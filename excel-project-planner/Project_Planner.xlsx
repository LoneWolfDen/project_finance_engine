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ctions" sheetId="1" state="visible" r:id="rId3"/>
    <sheet name="Dashboard" sheetId="2" state="visible" r:id="rId4"/>
    <sheet name="Settings" sheetId="3" state="visible" r:id="rId5"/>
    <sheet name="Tasks" sheetId="4" state="visible" r:id="rId6"/>
    <sheet name="Gantt" sheetId="5" state="visible" r:id="rId7"/>
    <sheet name="Resources" sheetId="6" state="visible" r:id="rId8"/>
    <sheet name="Sprints" sheetId="7" state="visible" r:id="rId9"/>
    <sheet name="Holidays" sheetId="8" state="visible" r:id="rId10"/>
    <sheet name="MSP_Tasks" sheetId="9" state="visible" r:id="rId11"/>
    <sheet name="MSP_Resources" sheetId="10" state="visible" r:id="rId12"/>
    <sheet name="Lists" sheetId="11" state="visible" r:id="rId13"/>
  </sheets>
  <definedNames>
    <definedName function="false" hidden="true" localSheetId="3" name="_xlnm._FilterDatabase" vbProcedure="false">Tasks!$A$5:$AD$205</definedName>
    <definedName function="false" hidden="false" name="DefaultUnits" vbProcedure="false">Settings!$C$13</definedName>
    <definedName function="false" hidden="false" name="GanttPeriod" vbProcedure="false">Settings!$C$23</definedName>
    <definedName function="false" hidden="false" name="GanttStart" vbProcedure="false">Settings!$C$22</definedName>
    <definedName function="false" hidden="false" name="hdr_Cost" vbProcedure="false">Tasks!$AA$5</definedName>
    <definedName function="false" hidden="false" name="hdr_FcFinish" vbProcedure="false">Tasks!$S$5</definedName>
    <definedName function="false" hidden="false" name="hdr_FcStart" vbProcedure="false">Tasks!$R$5</definedName>
    <definedName function="false" hidden="false" name="hdr_ID" vbProcedure="false">Tasks!$A$5</definedName>
    <definedName function="false" hidden="false" name="hdr_IsLeaf" vbProcedure="false">Tasks!$AJ$5</definedName>
    <definedName function="false" hidden="false" name="hdr_PlanFinish" vbProcedure="false">Tasks!$O$5</definedName>
    <definedName function="false" hidden="false" name="hdr_PlanStart" vbProcedure="false">Tasks!$N$5</definedName>
    <definedName function="false" hidden="false" name="hdr_WBS" vbProcedure="false">Tasks!$B$5</definedName>
    <definedName function="false" hidden="false" name="hdr_Work" vbProcedure="false">Tasks!$Z$5</definedName>
    <definedName function="false" hidden="false" name="hdr_WtDone" vbProcedure="false">Tasks!$AS$5</definedName>
    <definedName function="false" hidden="false" name="hdr_WtDur" vbProcedure="false">Tasks!$AR$5</definedName>
    <definedName function="false" hidden="false" name="Holidays" vbProcedure="false">Holidays!$B$5:$B$104</definedName>
    <definedName function="false" hidden="false" name="HoursPerDay" vbProcedure="false">Settings!$C$12</definedName>
    <definedName function="false" hidden="false" name="L_DepType" vbProcedure="false">Lists!$A$2:$A$5</definedName>
    <definedName function="false" hidden="false" name="L_Mode" vbProcedure="false">Lists!$B$2:$B$3</definedName>
    <definedName function="false" hidden="false" name="L_Period" vbProcedure="false">Lists!$E$2:$E$3</definedName>
    <definedName function="false" hidden="false" name="L_ResType" vbProcedure="false">Lists!$D$2:$D$4</definedName>
    <definedName function="false" hidden="false" name="L_YesNo" vbProcedure="false">Lists!$C$2:$C$3</definedName>
    <definedName function="false" hidden="false" name="msp_Tasks" vbProcedure="false">MSP_Tasks!$A$1:$Q$201</definedName>
    <definedName function="false" hidden="false" name="ProjectManager" vbProcedure="false">Settings!$C$6</definedName>
    <definedName function="false" hidden="false" name="ProjectName" vbProcedure="false">Settings!$C$5</definedName>
    <definedName function="false" hidden="false" name="ProjectStart" vbProcedure="false">Settings!$C$7</definedName>
    <definedName function="false" hidden="false" name="RescheduleAfterStatus" vbProcedure="false">Settings!$C$11</definedName>
    <definedName function="false" hidden="false" name="res_Email" vbProcedure="false">Resources!$H$6:$H$55</definedName>
    <definedName function="false" hidden="false" name="res_Group" vbProcedure="false">Resources!$D$6:$D$55</definedName>
    <definedName function="false" hidden="false" name="res_Initials" vbProcedure="false">Resources!$C$6:$C$55</definedName>
    <definedName function="false" hidden="false" name="res_MaxUnits" vbProcedure="false">Resources!$F$6:$F$55</definedName>
    <definedName function="false" hidden="false" name="res_Name" vbProcedure="false">Resources!$B$6:$B$55</definedName>
    <definedName function="false" hidden="false" name="res_Rate" vbProcedure="false">Resources!$G$6:$G$55</definedName>
    <definedName function="false" hidden="false" name="res_Type" vbProcedure="false">Resources!$E$6:$E$55</definedName>
    <definedName function="false" hidden="false" name="Sprint1Start" vbProcedure="false">Settings!$C$24</definedName>
    <definedName function="false" hidden="false" name="SprintCount" vbProcedure="false">Settings!$C$26</definedName>
    <definedName function="false" hidden="false" name="SprintLastEnd" vbProcedure="false">Settings!$C$28</definedName>
    <definedName function="false" hidden="false" name="SprintLength" vbProcedure="false">Settings!$C$25</definedName>
    <definedName function="false" hidden="false" name="SprintPrefix" vbProcedure="false">Settings!$C$27</definedName>
    <definedName function="false" hidden="false" name="spr_Capacity" vbProcedure="false">Sprints!$I$6:$I$31</definedName>
    <definedName function="false" hidden="false" name="spr_End" vbProcedure="false">Sprints!$D$6:$D$31</definedName>
    <definedName function="false" hidden="false" name="spr_Name" vbProcedure="false">Sprints!$B$6:$B$31</definedName>
    <definedName function="false" hidden="false" name="spr_Num" vbProcedure="false">Sprints!$A$6:$A$31</definedName>
    <definedName function="false" hidden="false" name="spr_Start" vbProcedure="false">Sprints!$C$6:$C$31</definedName>
    <definedName function="false" hidden="false" name="spr_Work" vbProcedure="false">Sprints!$H$6:$H$31</definedName>
    <definedName function="false" hidden="false" name="StatusDate" vbProcedure="false">Settings!$C$9</definedName>
    <definedName function="false" hidden="false" name="StatusDateOverride" vbProcedure="false">Settings!$C$8</definedName>
    <definedName function="false" hidden="false" name="StatusWorkday" vbProcedure="false">Settings!$C$10</definedName>
    <definedName function="false" hidden="false" name="tsk_ActFinish" vbProcedure="false">Tasks!$Q$6:$Q$205</definedName>
    <definedName function="false" hidden="false" name="tsk_ActStart" vbProcedure="false">Tasks!$P$6:$P$205</definedName>
    <definedName function="false" hidden="false" name="tsk_Constraint" vbProcedure="false">Tasks!$M$6:$M$205</definedName>
    <definedName function="false" hidden="false" name="tsk_Cost" vbProcedure="false">Tasks!$AA$6:$AA$205</definedName>
    <definedName function="false" hidden="false" name="tsk_Duration" vbProcedure="false">Tasks!$F$6:$F$205</definedName>
    <definedName function="false" hidden="false" name="tsk_FcFinish" vbProcedure="false">Tasks!$S$6:$S$205</definedName>
    <definedName function="false" hidden="false" name="tsk_FcStart" vbProcedure="false">Tasks!$R$6:$R$205</definedName>
    <definedName function="false" hidden="false" name="tsk_FinishN" vbProcedure="false">Tasks!$AP$6:$AP$205</definedName>
    <definedName function="false" hidden="false" name="tsk_ID" vbProcedure="false">Tasks!$A$6:$A$205</definedName>
    <definedName function="false" hidden="false" name="tsk_IsLeaf" vbProcedure="false">Tasks!$AJ$6:$AJ$205</definedName>
    <definedName function="false" hidden="false" name="tsk_IsSummary" vbProcedure="false">Tasks!$AI$6:$AI$205</definedName>
    <definedName function="false" hidden="false" name="tsk_Level" vbProcedure="false">Tasks!$AE$6:$AE$205</definedName>
    <definedName function="false" hidden="false" name="tsk_MilestoneKey" vbProcedure="false">Tasks!$AV$6:$AV$205</definedName>
    <definedName function="false" hidden="false" name="tsk_Mode" vbProcedure="false">Tasks!$E$6:$E$205</definedName>
    <definedName function="false" hidden="false" name="tsk_Name" vbProcedure="false">Tasks!$D$6:$D$205</definedName>
    <definedName function="false" hidden="false" name="tsk_Notes" vbProcedure="false">Tasks!$AD$6:$AD$205</definedName>
    <definedName function="false" hidden="false" name="tsk_PctInput" vbProcedure="false">Tasks!$U$6:$U$205</definedName>
    <definedName function="false" hidden="false" name="tsk_PlanFinish" vbProcedure="false">Tasks!$O$6:$O$205</definedName>
    <definedName function="false" hidden="false" name="tsk_PlanStart" vbProcedure="false">Tasks!$N$6:$N$205</definedName>
    <definedName function="false" hidden="false" name="tsk_Predecessors" vbProcedure="false">Tasks!$AC$6:$AC$205</definedName>
    <definedName function="false" hidden="false" name="tsk_Progress" vbProcedure="false">Tasks!$V$6:$V$205</definedName>
    <definedName function="false" hidden="false" name="tsk_Resource" vbProcedure="false">Tasks!$X$6:$X$205</definedName>
    <definedName function="false" hidden="false" name="tsk_Sprint" vbProcedure="false">Tasks!$AB$6:$AB$205</definedName>
    <definedName function="false" hidden="false" name="tsk_StartN" vbProcedure="false">Tasks!$AO$6:$AO$205</definedName>
    <definedName function="false" hidden="false" name="tsk_Status" vbProcedure="false">Tasks!$W$6:$W$205</definedName>
    <definedName function="false" hidden="false" name="tsk_Units" vbProcedure="false">Tasks!$Y$6:$Y$205</definedName>
    <definedName function="false" hidden="false" name="tsk_Variance" vbProcedure="false">Tasks!$T$6:$T$205</definedName>
    <definedName function="false" hidden="false" name="tsk_WBS" vbProcedure="false">Tasks!$B$6:$B$205</definedName>
    <definedName function="false" hidden="false" name="tsk_Work" vbProcedure="false">Tasks!$Z$6:$Z$205</definedName>
    <definedName function="false" hidden="false" name="tsk_WorkPerDay" vbProcedure="false">Tasks!$AQ$6:$AQ$205</definedName>
    <definedName function="false" hidden="false" name="tsk_WtDone" vbProcedure="false">Tasks!$AS$6:$AS$205</definedName>
    <definedName function="false" hidden="false" name="tsk_WtDur" vbProcedure="false">Tasks!$AR$6:$AR$205</definedName>
    <definedName function="false" hidden="false" name="WorkFri" vbProcedure="false">Settings!$C$18</definedName>
    <definedName function="false" hidden="false" name="WorkMon" vbProcedure="false">Settings!$C$14</definedName>
    <definedName function="false" hidden="false" name="WorkSat" vbProcedure="false">Settings!$C$19</definedName>
    <definedName function="false" hidden="false" name="WorkSun" vbProcedure="false">Settings!$C$20</definedName>
    <definedName function="false" hidden="false" name="WorkThu" vbProcedure="false">Settings!$C$17</definedName>
    <definedName function="false" hidden="false" name="WorkTue" vbProcedure="false">Settings!$C$15</definedName>
    <definedName function="false" hidden="false" name="WorkWed" vbProcedure="false">Settings!$C$16</definedName>
    <definedName function="false" hidden="false" name="WorkWeek" vbProcedure="false">Settings!$C$21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<sst xmlns="http://schemas.openxmlformats.org/spreadsheetml/2006/main" count="487" uniqueCount="368">
  <si>
    <t xml:space="preserve">Project Planner - MS Project-compatible Excel template</t>
  </si>
  <si>
    <t xml:space="preserve">HOW IT WORKS</t>
  </si>
  <si>
    <t xml:space="preserve">1. Settings</t>
  </si>
  <si>
    <t xml:space="preserve">Set project start, working week (Mon-Sun Yes/No), hours/day, status date, Gantt scale and sprint calendar. Add holidays on 'Holidays'.</t>
  </si>
  <si>
    <t xml:space="preserve">2. Resources</t>
  </si>
  <si>
    <t xml:space="preserve">List people/roles with Max Units and hourly rate. They appear in the Resource dropdown on Tasks and in sprint capacity.</t>
  </si>
  <si>
    <t xml:space="preserve">3. Tasks</t>
  </si>
  <si>
    <t xml:space="preserve">One row per task. Enter Level (1 = phase/summary, 2 = task, 3 = sub-task...), Task Name, Duration in working days (0 = milestone), and up to two predecessors by ID with link type (FS, SS, FF, SF) and lag in days (negative = lead). A row becomes a SUMMARY automatically when the rows beneath it have a higher level; its dates, work, cost and progress roll up.</t>
  </si>
  <si>
    <t xml:space="preserve">4. Track progress</t>
  </si>
  <si>
    <t xml:space="preserve">Enter Actual Start, Actual Finish and % Complete. Forecast Start/Finish then use actuals and push every dependent task; Planned Start/Finish keep the original plan (= MS Project Baseline). Finish Variance and Status flag slippage.</t>
  </si>
  <si>
    <t xml:space="preserve">5. Gantt</t>
  </si>
  <si>
    <t xml:space="preserve">Read-only view: grey line = planned dates, green = done, blue = remaining on track, orange = remaining but late vs plan, dark = summary, red border = status date. Change GanttStart / GanttPeriod (1 = days, 7 = weeks) on Settings to scroll or zoom.</t>
  </si>
  <si>
    <t xml:space="preserve">6. Sprints</t>
  </si>
  <si>
    <t xml:space="preserve">Sprint calendar from Settings. Each task is tagged with the sprint its forecast start falls in. Work hours are prorated across sprints per resource, compared against capacity (Max Units x Hours/day x working days); over-allocations turn red.</t>
  </si>
  <si>
    <t xml:space="preserve">7. Dashboard</t>
  </si>
  <si>
    <t xml:space="preserve">KPIs, status counts, upcoming milestones and sprint load vs capacity.</t>
  </si>
  <si>
    <t xml:space="preserve">CELL COLOURS</t>
  </si>
  <si>
    <t xml:space="preserve">Blue text</t>
  </si>
  <si>
    <t xml:space="preserve">Input - type here.</t>
  </si>
  <si>
    <t xml:space="preserve">Black text on grey</t>
  </si>
  <si>
    <t xml:space="preserve">Formula - do not overwrite. Summary rows grey-out inputs that are ignored.</t>
  </si>
  <si>
    <t xml:space="preserve">Dark blue header</t>
  </si>
  <si>
    <t xml:space="preserve">Input column.  Dark grey header = calculated.  Light grey header = helper column (hidden, grouped).</t>
  </si>
  <si>
    <t xml:space="preserve">RULES (same as MS Project)</t>
  </si>
  <si>
    <t xml:space="preserve">Task IDs</t>
  </si>
  <si>
    <t xml:space="preserve">ID = sequence of named rows. Inserting a row renumbers IDs below it (like MS Project) - re-check predecessor IDs after inserting or deleting rows. Easiest: add new tasks at the bottom of a phase and set Level.</t>
  </si>
  <si>
    <t xml:space="preserve">Outline levels</t>
  </si>
  <si>
    <t xml:space="preserve">Each row's Level may be at most 1 higher than the row above. A '?' in WBS (red) means a level jump.</t>
  </si>
  <si>
    <t xml:space="preserve">Predecessors</t>
  </si>
  <si>
    <t xml:space="preserve">Link detail tasks, not summaries, and never link a task to itself or its own summary (that creates a circular reference). Summary rows ignore Duration / Predecessors / Actuals - they roll up.</t>
  </si>
  <si>
    <t xml:space="preserve">Mode</t>
  </si>
  <si>
    <t xml:space="preserve">Auto = scheduled from predecessors, project start and 'Start No Earlier Than'. Manual = pinned to the date in 'Start No Earlier Than / Manual Start'.</t>
  </si>
  <si>
    <t xml:space="preserve">Rescheduling</t>
  </si>
  <si>
    <t xml:space="preserve">Settings &gt; RescheduleAfterStatus = Yes moves incomplete work to after the status date (like MS Project 'Update Project'), so late tasks push successors.</t>
  </si>
  <si>
    <t xml:space="preserve">Capacity</t>
  </si>
  <si>
    <t xml:space="preserve">Rows provided: 200 tasks, 50 resources, 26 sprints, 100 holidays. To extend, copy the last formula row down and extend the named ranges in Name Manager.</t>
  </si>
  <si>
    <t xml:space="preserve">MOVING TO MICROSOFT PROJECT</t>
  </si>
  <si>
    <t xml:space="preserve">One-time setting</t>
  </si>
  <si>
    <t xml:space="preserve">MS Project &gt; File &gt; Options &gt; Trust Center &gt; Trust Center Settings &gt; Legacy Formats &gt; 'Allow loading files with legacy or non-default file formats'.</t>
  </si>
  <si>
    <t xml:space="preserve">Import</t>
  </si>
  <si>
    <t xml:space="preserve">In MS Project: File &gt; Open &gt; choose this .xlsx &gt; Import Wizard &gt; New map &gt; 'As a new project' &gt; tick Tasks (and Resources) &gt; Tasks source worksheet = MSP_Tasks, Resources = MSP_Resources. Column headers already use MS Project field names, so the wizard maps them automatically.</t>
  </si>
  <si>
    <t xml:space="preserve">Tip: Start/Finish</t>
  </si>
  <si>
    <t xml:space="preserve">For auto-scheduled tasks map Duration + Predecessors (+ Constraint Type/Date) and set Start/Finish to '(not mapped)' - importing Start/Finish makes MS Project add fixed 'Start No Earlier Than' constraints. Map Baseline Start/Finish to keep the plan, and Actual Start/Finish/% Complete for progress.</t>
  </si>
  <si>
    <t xml:space="preserve">Rows</t>
  </si>
  <si>
    <t xml:space="preserve">MSP_Tasks contains 200 rows; blank rows import as blank tasks - delete them in MS Project or copy only the filled rows to a new sheet before importing.</t>
  </si>
  <si>
    <t xml:space="preserve">From MS Project to Excel</t>
  </si>
  <si>
    <t xml:space="preserve">MS Project &gt; File &gt; Save As &gt; Excel Workbook &gt; use the same field names, then paste Name / Outline Level / Duration / Predecessors etc. into the Tasks input columns (split '3FS+2d' into Pred ID, Type, Lag).</t>
  </si>
  <si>
    <t xml:space="preserve">NAMED RANGES (Formulas &gt; Name Manager)</t>
  </si>
  <si>
    <t xml:space="preserve">Settings</t>
  </si>
  <si>
    <t xml:space="preserve">ProjectStart, StatusDate, StatusWorkday, WorkWeek, Holidays, HoursPerDay, DefaultUnits, RescheduleAfterStatus, GanttStart, GanttPeriod, Sprint1Start, SprintLength, SprintCount, SprintPrefix, SprintLastEnd</t>
  </si>
  <si>
    <t xml:space="preserve">Task columns</t>
  </si>
  <si>
    <t xml:space="preserve">tsk_ID, tsk_WBS, tsk_Level, tsk_Name, tsk_Duration, tsk_PlanStart, tsk_PlanFinish, tsk_ActStart, tsk_ActFinish, tsk_FcStart, tsk_FcFinish, tsk_Variance, tsk_Progress, tsk_Status, tsk_Resource, tsk_Work, tsk_Cost, tsk_Sprint, tsk_Predecessors, tsk_IsSummary, tsk_IsLeaf ... and hdr_* anchors used by OFFSET look-ups</t>
  </si>
  <si>
    <t xml:space="preserve">Resources / Sprints</t>
  </si>
  <si>
    <t xml:space="preserve">res_Name, res_MaxUnits, res_Rate, ...  spr_Name, spr_Start, spr_End, spr_Capacity, spr_Work</t>
  </si>
  <si>
    <t xml:space="preserve">Key formulas</t>
  </si>
  <si>
    <t xml:space="preserve">Planned Start = WORKDAY.INTL(MAX(ProjectStart, StartNoEarlierThan, predecessor drivers) - 1, 1, WorkWeek, Holidays).  Pred driver (FS) = WORKDAY.INTL(OFFSET(hdr_PlanFinish, MATCH(PredID, tsk_ID, 0), 0), 1 + Lag, WorkWeek, Holidays).  Summary Start = MIN of its descendant block (OFFSET from the row, height = Descendant Count via COUNTIF(tsk_WBS, WBS &amp; ".*")).</t>
  </si>
  <si>
    <t xml:space="preserve">Key indicator</t>
  </si>
  <si>
    <t xml:space="preserve">Value</t>
  </si>
  <si>
    <t xml:space="preserve">Status (detail tasks)</t>
  </si>
  <si>
    <t xml:space="preserve">Count</t>
  </si>
  <si>
    <t xml:space="preserve">Planned start</t>
  </si>
  <si>
    <t xml:space="preserve">Complete</t>
  </si>
  <si>
    <t xml:space="preserve">Planned finish</t>
  </si>
  <si>
    <t xml:space="preserve">In Progress</t>
  </si>
  <si>
    <t xml:space="preserve">Forecast finish</t>
  </si>
  <si>
    <t xml:space="preserve">Behind</t>
  </si>
  <si>
    <t xml:space="preserve">Finish variance (work days)</t>
  </si>
  <si>
    <t xml:space="preserve">Late Start</t>
  </si>
  <si>
    <t xml:space="preserve">Overall progress (duration-weighted)</t>
  </si>
  <si>
    <t xml:space="preserve">Not Started</t>
  </si>
  <si>
    <t xml:space="preserve">Planned progress by status date</t>
  </si>
  <si>
    <t xml:space="preserve">Detail tasks</t>
  </si>
  <si>
    <t xml:space="preserve">Milestones</t>
  </si>
  <si>
    <t xml:space="preserve">Total work (hrs)</t>
  </si>
  <si>
    <t xml:space="preserve">Total cost</t>
  </si>
  <si>
    <t xml:space="preserve">Current sprint</t>
  </si>
  <si>
    <t xml:space="preserve">Next milestones (forecast)</t>
  </si>
  <si>
    <t xml:space="preserve">Forecast date</t>
  </si>
  <si>
    <t xml:space="preserve">Project Settings</t>
  </si>
  <si>
    <t xml:space="preserve">Blue = edit me. Grey = calculated. Column D shows the named range every formula uses.</t>
  </si>
  <si>
    <t xml:space="preserve">Setting</t>
  </si>
  <si>
    <t xml:space="preserve">Named range</t>
  </si>
  <si>
    <t xml:space="preserve">Notes</t>
  </si>
  <si>
    <t xml:space="preserve">Project name</t>
  </si>
  <si>
    <t xml:space="preserve">Customer Portal Implementation</t>
  </si>
  <si>
    <t xml:space="preserve">ProjectName</t>
  </si>
  <si>
    <t xml:space="preserve">Shown on every sheet title.</t>
  </si>
  <si>
    <t xml:space="preserve">Project manager</t>
  </si>
  <si>
    <t xml:space="preserve">Priya Sharma</t>
  </si>
  <si>
    <t xml:space="preserve">ProjectManager</t>
  </si>
  <si>
    <t xml:space="preserve">Project start date</t>
  </si>
  <si>
    <t xml:space="preserve">ProjectStart</t>
  </si>
  <si>
    <t xml:space="preserve">Tasks without predecessors start here (moved to the next working day if needed).</t>
  </si>
  <si>
    <t xml:space="preserve">Status date override</t>
  </si>
  <si>
    <t xml:space="preserve">StatusDateOverride</t>
  </si>
  <si>
    <t xml:space="preserve">Leave blank to use TODAY(). Type a date to report progress 'as of' that day.</t>
  </si>
  <si>
    <t xml:space="preserve">Status date (in use)</t>
  </si>
  <si>
    <t xml:space="preserve">StatusDate</t>
  </si>
  <si>
    <t xml:space="preserve">Drives Status, the red 'today' line on the Gantt and rescheduling of late work.</t>
  </si>
  <si>
    <t xml:space="preserve">First working day on/after status date</t>
  </si>
  <si>
    <t xml:space="preserve">StatusWorkday</t>
  </si>
  <si>
    <t xml:space="preserve">Reschedule incomplete work after status date?</t>
  </si>
  <si>
    <t xml:space="preserve">Yes</t>
  </si>
  <si>
    <t xml:space="preserve">RescheduleAfterStatus</t>
  </si>
  <si>
    <t xml:space="preserve">Yes = like MS Project 'move incomplete parts after status date': unstarted tasks can't start before the status date and in-progress tasks finish their remaining duration after it, pushing all successors.</t>
  </si>
  <si>
    <t xml:space="preserve">Working hours per day</t>
  </si>
  <si>
    <t xml:space="preserve">HoursPerDay</t>
  </si>
  <si>
    <t xml:space="preserve">Work (hrs) = Duration x Hours/day x Units.</t>
  </si>
  <si>
    <t xml:space="preserve">Default assignment units</t>
  </si>
  <si>
    <t xml:space="preserve">DefaultUnits</t>
  </si>
  <si>
    <t xml:space="preserve">Used when a task has a resource but Units is blank. 100% = full time.</t>
  </si>
  <si>
    <t xml:space="preserve">Monday is a working day</t>
  </si>
  <si>
    <t xml:space="preserve">WorkMon</t>
  </si>
  <si>
    <t xml:space="preserve">Working-week calendar (Yes/No). Feeds every WORKDAY / NETWORKDAYS formula.</t>
  </si>
  <si>
    <t xml:space="preserve">Tuesday is a working day</t>
  </si>
  <si>
    <t xml:space="preserve">WorkTue</t>
  </si>
  <si>
    <t xml:space="preserve">Wednesday is a working day</t>
  </si>
  <si>
    <t xml:space="preserve">WorkWed</t>
  </si>
  <si>
    <t xml:space="preserve">Thursday is a working day</t>
  </si>
  <si>
    <t xml:space="preserve">WorkThu</t>
  </si>
  <si>
    <t xml:space="preserve">Friday is a working day</t>
  </si>
  <si>
    <t xml:space="preserve">WorkFri</t>
  </si>
  <si>
    <t xml:space="preserve">Saturday is a working day</t>
  </si>
  <si>
    <t xml:space="preserve">No</t>
  </si>
  <si>
    <t xml:space="preserve">WorkSat</t>
  </si>
  <si>
    <t xml:space="preserve">Sunday is a working day</t>
  </si>
  <si>
    <t xml:space="preserve">WorkSun</t>
  </si>
  <si>
    <t xml:space="preserve">Weekend mask (calculated)</t>
  </si>
  <si>
    <t xml:space="preserve">WorkWeek</t>
  </si>
  <si>
    <t xml:space="preserve">7-character Mon..Sun string used by WORKDAY.INTL (1 = non-working).</t>
  </si>
  <si>
    <t xml:space="preserve">Gantt timeline start</t>
  </si>
  <si>
    <t xml:space="preserve">GanttStart</t>
  </si>
  <si>
    <t xml:space="preserve">Defaults to the Monday of the project start week. Overwrite with any date to scroll the timeline.</t>
  </si>
  <si>
    <t xml:space="preserve">Gantt days per column</t>
  </si>
  <si>
    <t xml:space="preserve">GanttPeriod</t>
  </si>
  <si>
    <t xml:space="preserve">1 = daily timeline, 7 = weekly timeline (150 columns either way).</t>
  </si>
  <si>
    <t xml:space="preserve">Sprint 1 start date</t>
  </si>
  <si>
    <t xml:space="preserve">Sprint1Start</t>
  </si>
  <si>
    <t xml:space="preserve">Defaults to the project start. Overwrite to align with your sprint calendar.</t>
  </si>
  <si>
    <t xml:space="preserve">Sprint length (calendar days)</t>
  </si>
  <si>
    <t xml:space="preserve">SprintLength</t>
  </si>
  <si>
    <t xml:space="preserve">14 = two-week sprints.</t>
  </si>
  <si>
    <t xml:space="preserve">Number of sprints</t>
  </si>
  <si>
    <t xml:space="preserve">SprintCount</t>
  </si>
  <si>
    <t xml:space="preserve">Up to 26. Tasks outside the sprint range are labelled 'Backlog'.</t>
  </si>
  <si>
    <t xml:space="preserve">Sprint name prefix</t>
  </si>
  <si>
    <t xml:space="preserve">Sprint </t>
  </si>
  <si>
    <t xml:space="preserve">SprintPrefix</t>
  </si>
  <si>
    <t xml:space="preserve">Sprint names = prefix &amp; number.</t>
  </si>
  <si>
    <t xml:space="preserve">Last sprint end (calculated)</t>
  </si>
  <si>
    <t xml:space="preserve">SprintLastEnd</t>
  </si>
  <si>
    <t xml:space="preserve">Type in BLUE columns only. Level = outline level (1 = phase, 2 = task, 3 = sub-task). Planned dates come from Duration + Predecessors; Forecast dates also use Actuals, so slips ripple to every successor.</t>
  </si>
  <si>
    <t xml:space="preserve">IDENTITY</t>
  </si>
  <si>
    <t xml:space="preserve">SCHEDULING INPUTS</t>
  </si>
  <si>
    <t xml:space="preserve">PLAN / ACTUAL / FORECAST</t>
  </si>
  <si>
    <t xml:space="preserve">PROGRESS</t>
  </si>
  <si>
    <t xml:space="preserve">RESOURCES &amp; SPRINT</t>
  </si>
  <si>
    <t xml:space="preserve">HELPER COLUMNS (hidden - click + above to show)</t>
  </si>
  <si>
    <t xml:space="preserve">ID</t>
  </si>
  <si>
    <t xml:space="preserve">WBS</t>
  </si>
  <si>
    <t xml:space="preserve">Level</t>
  </si>
  <si>
    <t xml:space="preserve">Task Name</t>
  </si>
  <si>
    <t xml:space="preserve">Duration (work days)</t>
  </si>
  <si>
    <t xml:space="preserve">Pred 1 ID</t>
  </si>
  <si>
    <t xml:space="preserve">Type 1</t>
  </si>
  <si>
    <t xml:space="preserve">Lag 1 (days)</t>
  </si>
  <si>
    <t xml:space="preserve">Pred 2 ID</t>
  </si>
  <si>
    <t xml:space="preserve">Type 2</t>
  </si>
  <si>
    <t xml:space="preserve">Lag 2 (days)</t>
  </si>
  <si>
    <t xml:space="preserve">Start No Earlier Than / Manual Start</t>
  </si>
  <si>
    <t xml:space="preserve">Planned Start</t>
  </si>
  <si>
    <t xml:space="preserve">Planned Finish</t>
  </si>
  <si>
    <t xml:space="preserve">Actual Start</t>
  </si>
  <si>
    <t xml:space="preserve">Actual Finish</t>
  </si>
  <si>
    <t xml:space="preserve">Forecast Start</t>
  </si>
  <si>
    <t xml:space="preserve">Forecast Finish</t>
  </si>
  <si>
    <t xml:space="preserve">Finish Variance (work days)</t>
  </si>
  <si>
    <t xml:space="preserve">% Complete (enter)</t>
  </si>
  <si>
    <t xml:space="preserve">Progress % (rolled up)</t>
  </si>
  <si>
    <t xml:space="preserve">Status</t>
  </si>
  <si>
    <t xml:space="preserve">Resource</t>
  </si>
  <si>
    <t xml:space="preserve">Units</t>
  </si>
  <si>
    <t xml:space="preserve">Work (hrs)</t>
  </si>
  <si>
    <t xml:space="preserve">Cost</t>
  </si>
  <si>
    <t xml:space="preserve">Sprint</t>
  </si>
  <si>
    <t xml:space="preserve">Predecessors (MSP format)</t>
  </si>
  <si>
    <t xml:space="preserve">Lvl (effective)</t>
  </si>
  <si>
    <t xml:space="preserve">Row Index</t>
  </si>
  <si>
    <t xml:space="preserve">Parent Row</t>
  </si>
  <si>
    <t xml:space="preserve">Descendant Count</t>
  </si>
  <si>
    <t xml:space="preserve">Is Summary</t>
  </si>
  <si>
    <t xml:space="preserve">Is Leaf</t>
  </si>
  <si>
    <t xml:space="preserve">Pred1 Plan Driver</t>
  </si>
  <si>
    <t xml:space="preserve">Pred2 Plan Driver</t>
  </si>
  <si>
    <t xml:space="preserve">Pred1 Fcst Driver</t>
  </si>
  <si>
    <t xml:space="preserve">Pred2 Fcst Driver</t>
  </si>
  <si>
    <t xml:space="preserve">Fcst Start # (leaf)</t>
  </si>
  <si>
    <t xml:space="preserve">Fcst Finish # (leaf)</t>
  </si>
  <si>
    <t xml:space="preserve">Work per Cal Day</t>
  </si>
  <si>
    <t xml:space="preserve">Weight Dur</t>
  </si>
  <si>
    <t xml:space="preserve">Weight Done</t>
  </si>
  <si>
    <t xml:space="preserve">Pred1 Text</t>
  </si>
  <si>
    <t xml:space="preserve">Pred2 Text</t>
  </si>
  <si>
    <t xml:space="preserve">Open Milestone Key</t>
  </si>
  <si>
    <t xml:space="preserve">Initiation</t>
  </si>
  <si>
    <t xml:space="preserve">Auto</t>
  </si>
  <si>
    <t xml:space="preserve">Phase 1 - summary rows roll up dates, work, cost and progress automatically.</t>
  </si>
  <si>
    <t xml:space="preserve">Project charter &amp; scope statement</t>
  </si>
  <si>
    <t xml:space="preserve">Took 1 extra day for sponsor sign-off.</t>
  </si>
  <si>
    <t xml:space="preserve">Stakeholder kickoff workshop</t>
  </si>
  <si>
    <t xml:space="preserve">FS</t>
  </si>
  <si>
    <t xml:space="preserve">Morgan Patel</t>
  </si>
  <si>
    <t xml:space="preserve">Kickoff complete</t>
  </si>
  <si>
    <t xml:space="preserve">Milestone (Duration 0).</t>
  </si>
  <si>
    <t xml:space="preserve">Requirements &amp; Design</t>
  </si>
  <si>
    <t xml:space="preserve">Requirements gathering</t>
  </si>
  <si>
    <t xml:space="preserve">Solution architecture</t>
  </si>
  <si>
    <t xml:space="preserve">SS</t>
  </si>
  <si>
    <t xml:space="preserve">Alex Chen</t>
  </si>
  <si>
    <t xml:space="preserve">Start-to-Start + 3 day lag example.</t>
  </si>
  <si>
    <t xml:space="preserve">UX wireframes &amp; prototype</t>
  </si>
  <si>
    <t xml:space="preserve">Casey Kim</t>
  </si>
  <si>
    <t xml:space="preserve">Design sign-off</t>
  </si>
  <si>
    <t xml:space="preserve">Two predecessors - waits for the later one.</t>
  </si>
  <si>
    <t xml:space="preserve">Build</t>
  </si>
  <si>
    <t xml:space="preserve">Backend</t>
  </si>
  <si>
    <t xml:space="preserve">Level-2 summary with sub-tasks.</t>
  </si>
  <si>
    <t xml:space="preserve">Data model &amp; database setup</t>
  </si>
  <si>
    <t xml:space="preserve">Jordan Lee</t>
  </si>
  <si>
    <t xml:space="preserve">Core API endpoints</t>
  </si>
  <si>
    <t xml:space="preserve">In progress - enter % Complete; forecast finish adjusts.</t>
  </si>
  <si>
    <t xml:space="preserve">Payment gateway integration</t>
  </si>
  <si>
    <t xml:space="preserve">Frontend</t>
  </si>
  <si>
    <t xml:space="preserve">UI component library</t>
  </si>
  <si>
    <t xml:space="preserve">Sam Rivera</t>
  </si>
  <si>
    <t xml:space="preserve">Feature screens</t>
  </si>
  <si>
    <t xml:space="preserve">Accessibility review</t>
  </si>
  <si>
    <t xml:space="preserve">FF</t>
  </si>
  <si>
    <t xml:space="preserve">Finish-to-Finish + 1 day; 50% units.</t>
  </si>
  <si>
    <t xml:space="preserve">Build complete</t>
  </si>
  <si>
    <t xml:space="preserve">Milestone</t>
  </si>
  <si>
    <t xml:space="preserve">Test &amp; Release</t>
  </si>
  <si>
    <t xml:space="preserve">System integration testing</t>
  </si>
  <si>
    <t xml:space="preserve">Taylor Morgan</t>
  </si>
  <si>
    <t xml:space="preserve">User acceptance testing</t>
  </si>
  <si>
    <t xml:space="preserve">Start No Earlier Than 07-Dec (client availability).</t>
  </si>
  <si>
    <t xml:space="preserve">Training &amp; user guides</t>
  </si>
  <si>
    <t xml:space="preserve">Go-live readiness review</t>
  </si>
  <si>
    <t xml:space="preserve">Go-live</t>
  </si>
  <si>
    <t xml:space="preserve">Hypercare support</t>
  </si>
  <si>
    <t xml:space="preserve">Project Close</t>
  </si>
  <si>
    <t xml:space="preserve">Steering committee update</t>
  </si>
  <si>
    <t xml:space="preserve">Manual</t>
  </si>
  <si>
    <t xml:space="preserve">Manual mode example: fixed on the date in the Start No Earlier Than / Manual Start column.</t>
  </si>
  <si>
    <t xml:space="preserve">Lessons learned</t>
  </si>
  <si>
    <t xml:space="preserve">Project closed</t>
  </si>
  <si>
    <t xml:space="preserve">━</t>
  </si>
  <si>
    <t xml:space="preserve">Planned dates (line)</t>
  </si>
  <si>
    <t xml:space="preserve">Done (% complete)</t>
  </si>
  <si>
    <t xml:space="preserve">Remaining - on track</t>
  </si>
  <si>
    <t xml:space="preserve">Remaining - late vs plan</t>
  </si>
  <si>
    <t xml:space="preserve">Summary (forecast)</t>
  </si>
  <si>
    <t xml:space="preserve">◆</t>
  </si>
  <si>
    <t xml:space="preserve">Forecast milestone (red = late)</t>
  </si>
  <si>
    <t xml:space="preserve">◇</t>
  </si>
  <si>
    <t xml:space="preserve">Planned milestone</t>
  </si>
  <si>
    <t xml:space="preserve">Red column = status date; grey = non-working</t>
  </si>
  <si>
    <t xml:space="preserve">Dur</t>
  </si>
  <si>
    <t xml:space="preserve">Fcst / Act Start</t>
  </si>
  <si>
    <t xml:space="preserve">Fcst / Act Finish</t>
  </si>
  <si>
    <t xml:space="preserve">%</t>
  </si>
  <si>
    <t xml:space="preserve">IsSum</t>
  </si>
  <si>
    <t xml:space="preserve">IsMile</t>
  </si>
  <si>
    <t xml:space="preserve">Done From</t>
  </si>
  <si>
    <t xml:space="preserve">Done To</t>
  </si>
  <si>
    <t xml:space="preserve">Rem From</t>
  </si>
  <si>
    <t xml:space="preserve">Rem To</t>
  </si>
  <si>
    <t xml:space="preserve">Late</t>
  </si>
  <si>
    <t xml:space="preserve">Resource Sheet</t>
  </si>
  <si>
    <t xml:space="preserve">Like MS Project's Resource Sheet. Names here feed the Resource dropdown on Tasks.</t>
  </si>
  <si>
    <t xml:space="preserve">Resource Name</t>
  </si>
  <si>
    <t xml:space="preserve">Initials</t>
  </si>
  <si>
    <t xml:space="preserve">Group / Role</t>
  </si>
  <si>
    <t xml:space="preserve">Type</t>
  </si>
  <si>
    <t xml:space="preserve">Max Units</t>
  </si>
  <si>
    <t xml:space="preserve">Std Rate / hr</t>
  </si>
  <si>
    <t xml:space="preserve">Email</t>
  </si>
  <si>
    <t xml:space="preserve"># Tasks</t>
  </si>
  <si>
    <t xml:space="preserve">Assigned Work (hrs)</t>
  </si>
  <si>
    <t xml:space="preserve">Assigned Cost</t>
  </si>
  <si>
    <t xml:space="preserve">PS</t>
  </si>
  <si>
    <t xml:space="preserve">Project Manager</t>
  </si>
  <si>
    <t xml:space="preserve">Work</t>
  </si>
  <si>
    <t xml:space="preserve">priya@example.com</t>
  </si>
  <si>
    <t xml:space="preserve">MP</t>
  </si>
  <si>
    <t xml:space="preserve">Business Analyst</t>
  </si>
  <si>
    <t xml:space="preserve">morgan@example.com</t>
  </si>
  <si>
    <t xml:space="preserve">AC</t>
  </si>
  <si>
    <t xml:space="preserve">Solution Architect</t>
  </si>
  <si>
    <t xml:space="preserve">alex@example.com</t>
  </si>
  <si>
    <t xml:space="preserve">CK</t>
  </si>
  <si>
    <t xml:space="preserve">UX Designer</t>
  </si>
  <si>
    <t xml:space="preserve">casey@example.com</t>
  </si>
  <si>
    <t xml:space="preserve">JL</t>
  </si>
  <si>
    <t xml:space="preserve">Backend Developer</t>
  </si>
  <si>
    <t xml:space="preserve">jordan@example.com</t>
  </si>
  <si>
    <t xml:space="preserve">SR</t>
  </si>
  <si>
    <t xml:space="preserve">Frontend Developer</t>
  </si>
  <si>
    <t xml:space="preserve">sam@example.com</t>
  </si>
  <si>
    <t xml:space="preserve">TM</t>
  </si>
  <si>
    <t xml:space="preserve">QA Engineer</t>
  </si>
  <si>
    <t xml:space="preserve">taylor@example.com</t>
  </si>
  <si>
    <t xml:space="preserve">Sprint calendar is generated from Settings (Sprint1Start, SprintLength, SprintCount). Work is prorated across sprints by the calendar days each task's forecast dates overlap the sprint.</t>
  </si>
  <si>
    <t xml:space="preserve">#</t>
  </si>
  <si>
    <t xml:space="preserve">Start</t>
  </si>
  <si>
    <t xml:space="preserve">End</t>
  </si>
  <si>
    <t xml:space="preserve">Working Days</t>
  </si>
  <si>
    <t xml:space="preserve">Sprint Goal</t>
  </si>
  <si>
    <t xml:space="preserve">Tasks Starting</t>
  </si>
  <si>
    <t xml:space="preserve">Planned Work (hrs)</t>
  </si>
  <si>
    <t xml:space="preserve">Team Capacity (hrs)</t>
  </si>
  <si>
    <t xml:space="preserve">Utilisation</t>
  </si>
  <si>
    <t xml:space="preserve">Charter &amp; kickoff</t>
  </si>
  <si>
    <t xml:space="preserve">Requirements</t>
  </si>
  <si>
    <t xml:space="preserve">Design &amp; architecture</t>
  </si>
  <si>
    <t xml:space="preserve">Foundations: DB + components</t>
  </si>
  <si>
    <t xml:space="preserve">Core APIs + screens</t>
  </si>
  <si>
    <t xml:space="preserve">Payments + screens</t>
  </si>
  <si>
    <t xml:space="preserve">Feature complete</t>
  </si>
  <si>
    <t xml:space="preserve">System testing</t>
  </si>
  <si>
    <t xml:space="preserve">UAT</t>
  </si>
  <si>
    <t xml:space="preserve">Release &amp; hypercare</t>
  </si>
  <si>
    <t xml:space="preserve">Hypercare</t>
  </si>
  <si>
    <t xml:space="preserve">Close-out</t>
  </si>
  <si>
    <t xml:space="preserve">Resource load by sprint (hours)  -  red = over capacity (Max Units x Hours/day x working days)</t>
  </si>
  <si>
    <t xml:space="preserve">Sprint start</t>
  </si>
  <si>
    <t xml:space="preserve">Sprint end</t>
  </si>
  <si>
    <t xml:space="preserve">Resource utilisation by sprint (%)</t>
  </si>
  <si>
    <t xml:space="preserve">Holidays &amp; Non-Working Days</t>
  </si>
  <si>
    <t xml:space="preserve">Every date listed here is skipped by all scheduling formulas (named range: Holidays).</t>
  </si>
  <si>
    <t xml:space="preserve">Date</t>
  </si>
  <si>
    <t xml:space="preserve">Description</t>
  </si>
  <si>
    <t xml:space="preserve">Christmas Eve (example - replace with your calendar)</t>
  </si>
  <si>
    <t xml:space="preserve">Christmas Day (example)</t>
  </si>
  <si>
    <t xml:space="preserve">New Year's Eve (example)</t>
  </si>
  <si>
    <t xml:space="preserve">New Year's Day (example)</t>
  </si>
  <si>
    <t xml:space="preserve">Name</t>
  </si>
  <si>
    <t xml:space="preserve">Outline Level</t>
  </si>
  <si>
    <t xml:space="preserve">Task Mode</t>
  </si>
  <si>
    <t xml:space="preserve">Duration</t>
  </si>
  <si>
    <t xml:space="preserve">Finish</t>
  </si>
  <si>
    <t xml:space="preserve">Resource Names</t>
  </si>
  <si>
    <t xml:space="preserve">% Complete</t>
  </si>
  <si>
    <t xml:space="preserve">Baseline Start</t>
  </si>
  <si>
    <t xml:space="preserve">Baseline Finish</t>
  </si>
  <si>
    <t xml:space="preserve">Constraint Type</t>
  </si>
  <si>
    <t xml:space="preserve">Constraint Date</t>
  </si>
  <si>
    <t xml:space="preserve">Group</t>
  </si>
  <si>
    <t xml:space="preserve">Standard Rate</t>
  </si>
  <si>
    <t xml:space="preserve">Email Address</t>
  </si>
  <si>
    <t xml:space="preserve">L_DepType</t>
  </si>
  <si>
    <t xml:space="preserve">L_Mode</t>
  </si>
  <si>
    <t xml:space="preserve">L_YesNo</t>
  </si>
  <si>
    <t xml:space="preserve">L_ResType</t>
  </si>
  <si>
    <t xml:space="preserve">L_Period</t>
  </si>
  <si>
    <t xml:space="preserve">Material</t>
  </si>
  <si>
    <t xml:space="preserve">SF</t>
  </si>
  <si>
    <t xml:space="preserve">Dropdown sources. Add values to a list and extend its named range (Formulas &gt; Name Manager).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</si>
</sst>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ddd\ dd\-mmm\-yy"/>
    <numFmt numFmtId="166" formatCode="\+0;\-0;0"/>
    <numFmt numFmtId="167" formatCode="0%"/>
    <numFmt numFmtId="168" formatCode="0"/>
    <numFmt numFmtId="169" formatCode="#,##0"/>
    <numFmt numFmtId="170" formatCode="#,##0.00"/>
    <numFmt numFmtId="171" formatCode="@"/>
    <numFmt numFmtId="172" formatCode="0.0"/>
    <numFmt numFmtId="173" formatCode="General"/>
    <numFmt numFmtId="174" formatCode="#,##0.0"/>
    <numFmt numFmtId="175" formatCode="dd\-mmm\-yy;;\-"/>
    <numFmt numFmtId="176" formatCode="mm/dd/yy"/>
    <numFmt numFmtId="177" formatCode="d"/>
    <numFmt numFmtId="178" formatCode="dd\-mmm\-yy"/>
    <numFmt numFmtId="179" formatCode="dd\-mmm;;\-"/>
    <numFmt numFmtId="180" formatCode="dd\-mmm"/>
    <numFmt numFmtId="181" formatCode="#,##0;;\-"/>
    <numFmt numFmtId="182" formatCode="0%;;\-"/>
    <numFmt numFmtId="183" formatCode="dd\-mmm\-yyyy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2F75B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8"/>
      <color rgb="FF40404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F2F2F2"/>
        <bgColor rgb="FFEDEDED"/>
      </patternFill>
    </fill>
    <fill>
      <patternFill patternType="solid">
        <fgColor rgb="FF595959"/>
        <bgColor rgb="FF404040"/>
      </patternFill>
    </fill>
    <fill>
      <patternFill patternType="solid">
        <fgColor rgb="FFA6A6A6"/>
        <bgColor rgb="FF878787"/>
      </patternFill>
    </fill>
    <fill>
      <patternFill patternType="solid">
        <fgColor rgb="FF70AD47"/>
        <bgColor rgb="FF548235"/>
      </patternFill>
    </fill>
    <fill>
      <patternFill patternType="solid">
        <fgColor rgb="FF9DC3E6"/>
        <bgColor rgb="FFA6A6A6"/>
      </patternFill>
    </fill>
    <fill>
      <patternFill patternType="solid">
        <fgColor rgb="FFF4B183"/>
        <bgColor rgb="FFFFC7CE"/>
      </patternFill>
    </fill>
    <fill>
      <patternFill patternType="solid">
        <fgColor rgb="FF404040"/>
        <bgColor rgb="FF1F386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FF0000"/>
      </left>
      <right/>
      <top/>
      <bottom/>
      <diagonal/>
    </border>
    <border diagonalUp="false" diagonalDown="false">
      <left style="hair">
        <color rgb="FFF2F2F2"/>
      </left>
      <right style="hair">
        <color rgb="FFF2F2F2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2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b val="1"/>
        <color rgb="FFC00000"/>
      </font>
    </dxf>
    <dxf>
      <font>
        <b val="1"/>
        <color rgb="FF548235"/>
      </font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ont>
        <b val="1"/>
      </font>
      <fill>
        <patternFill>
          <bgColor rgb="FFDDEBF7"/>
        </patternFill>
      </fill>
    </dxf>
    <dxf>
      <font>
        <b val="1"/>
        <i val="1"/>
        <color rgb="FFA6A6A6"/>
      </font>
    </dxf>
    <dxf>
      <font>
        <b val="1"/>
        <color rgb="FF2F75B5"/>
      </font>
    </dxf>
    <dxf>
      <font>
        <b val="1"/>
        <color rgb="FFC55A11"/>
      </font>
    </dxf>
    <dxf>
      <font>
        <b val="1"/>
        <color rgb="FF7F7F7F"/>
      </font>
    </dxf>
    <dxf>
      <font>
        <i val="1"/>
        <color rgb="FF7030A0"/>
      </font>
    </dxf>
    <dxf>
      <fill>
        <patternFill>
          <bgColor rgb="FFFFC7CE"/>
        </patternFill>
      </fill>
    </dxf>
    <dxf>
      <font>
        <color rgb="FFFFFFFF"/>
      </font>
      <fill>
        <patternFill>
          <bgColor rgb="FF404040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9DC3E6"/>
        </patternFill>
      </fill>
    </dxf>
    <dxf>
      <border diagonalUp="false" diagonalDown="false">
        <left style="thin">
          <color rgb="FFFF0000"/>
        </left>
        <right style="thin">
          <color rgb="FFFF0000"/>
        </right>
        <top/>
        <bottom/>
        <diagonal/>
      </border>
    </dxf>
    <dxf>
      <fill>
        <patternFill>
          <bgColor rgb="FFEDEDED"/>
        </patternFill>
      </fill>
    </dxf>
    <dxf>
      <fill>
        <patternFill>
          <bgColor rgb="FFC00000"/>
        </patternFill>
      </fill>
    </dxf>
    <dxf>
      <font>
        <color rgb="FFD9D9D9"/>
      </font>
    </dxf>
    <dxf>
      <font>
        <b val="1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A6A6A6"/>
      <rgbColor rgb="FF7F7F7F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EDEDED"/>
      <rgbColor rgb="FFF9F9F9"/>
      <rgbColor rgb="FF9DC3E6"/>
      <rgbColor rgb="FFF4B183"/>
      <rgbColor rgb="FFCC99FF"/>
      <rgbColor rgb="FFFFC7CE"/>
      <rgbColor rgb="FF2F75B5"/>
      <rgbColor rgb="FF33CCCC"/>
      <rgbColor rgb="FF70AD47"/>
      <rgbColor rgb="FFFFCC00"/>
      <rgbColor rgb="FFBF8F00"/>
      <rgbColor rgb="FFC55A11"/>
      <rgbColor rgb="FF595959"/>
      <rgbColor rgb="FF878787"/>
      <rgbColor rgb="FF1F3864"/>
      <rgbColor rgb="FF4F81BD"/>
      <rgbColor rgb="FF003300"/>
      <rgbColor rgb="FF333300"/>
      <rgbColor rgb="FF993300"/>
      <rgbColor rgb="FFC0504D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Detail tasks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Dashboard!$E$5:$E$9</c:f>
              <c:strCache>
                <c:ptCount val="5"/>
                <c:pt idx="0">
                  <c:v>Complete</c:v>
                </c:pt>
                <c:pt idx="1">
                  <c:v>In Progress</c:v>
                </c:pt>
                <c:pt idx="2">
                  <c:v>Behind</c:v>
                </c:pt>
                <c:pt idx="3">
                  <c:v>Late Start</c:v>
                </c:pt>
                <c:pt idx="4">
                  <c:v>Not Started</c:v>
                </c:pt>
              </c:strCache>
            </c:strRef>
          </c:cat>
          <c:val>
            <c:numRef>
              <c:f>Dashboard!$F$5:$F$9</c:f>
              <c:numCache>
                <c:formatCode>General</c:formatCode>
                <c:ptCount val="5"/>
                <c:pt idx="0">
                  <c:v>9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11</c:v>
                </c:pt>
              </c:numCache>
            </c:numRef>
          </c:val>
        </c:ser>
        <c:gapWidth val="150"/>
        <c:overlap val="0"/>
        <c:axId val="82180667"/>
        <c:axId val="50834600"/>
      </c:barChart>
      <c:catAx>
        <c:axId val="82180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34600"/>
        <c:crosses val="autoZero"/>
        <c:auto val="1"/>
        <c:lblAlgn val="ctr"/>
        <c:lblOffset val="100"/>
        <c:noMultiLvlLbl val="0"/>
      </c:catAx>
      <c:valAx>
        <c:axId val="50834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806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Sprint planned work vs capacity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Sprints!H5</c:f>
              <c:strCache>
                <c:ptCount val="1"/>
                <c:pt idx="0">
                  <c:v>Planned Work (hrs)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Sprints!$B$6:$B$17</c:f>
              <c:strCache>
                <c:ptCount val="12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</c:strCache>
            </c:strRef>
          </c:cat>
          <c:val>
            <c:numRef>
              <c:f>Sprints!$H$6:$H$17</c:f>
              <c:numCache>
                <c:formatCode>#,##0.0</c:formatCode>
                <c:ptCount val="12"/>
                <c:pt idx="0">
                  <c:v>89.9090909090909</c:v>
                </c:pt>
                <c:pt idx="1">
                  <c:v>91.4242424242424</c:v>
                </c:pt>
                <c:pt idx="2">
                  <c:v>118.666666666667</c:v>
                </c:pt>
                <c:pt idx="3">
                  <c:v>134.666666666667</c:v>
                </c:pt>
                <c:pt idx="4">
                  <c:v>131.161904761905</c:v>
                </c:pt>
                <c:pt idx="5">
                  <c:v>42.1714285714286</c:v>
                </c:pt>
                <c:pt idx="6">
                  <c:v>42</c:v>
                </c:pt>
                <c:pt idx="7">
                  <c:v>38</c:v>
                </c:pt>
                <c:pt idx="8">
                  <c:v>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Sprints!I5</c:f>
              <c:strCache>
                <c:ptCount val="1"/>
                <c:pt idx="0">
                  <c:v>Team Capacity (hrs)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Sprints!$B$6:$B$17</c:f>
              <c:strCache>
                <c:ptCount val="12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</c:strCache>
            </c:strRef>
          </c:cat>
          <c:val>
            <c:numRef>
              <c:f>Sprints!$I$6:$I$17</c:f>
              <c:numCache>
                <c:formatCode>#,##0.0</c:formatCode>
                <c:ptCount val="1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384</c:v>
                </c:pt>
                <c:pt idx="8">
                  <c:v>384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</c:numCache>
            </c:numRef>
          </c:val>
        </c:ser>
        <c:gapWidth val="150"/>
        <c:overlap val="0"/>
        <c:axId val="56222995"/>
        <c:axId val="24941236"/>
      </c:barChart>
      <c:catAx>
        <c:axId val="56222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41236"/>
        <c:crosses val="autoZero"/>
        <c:auto val="1"/>
        <c:lblAlgn val="ctr"/>
        <c:lblOffset val="100"/>
        <c:noMultiLvlLbl val="0"/>
      </c:catAx>
      <c:valAx>
        <c:axId val="24941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229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101160</xdr:rowOff>
    </xdr:from>
    <xdr:to>
      <xdr:col>10</xdr:col>
      <xdr:colOff>479160</xdr:colOff>
      <xdr:row>23</xdr:row>
      <xdr:rowOff>144000</xdr:rowOff>
    </xdr:to>
    <xdr:graphicFrame>
      <xdr:nvGraphicFramePr>
        <xdr:cNvPr id="0" name="Chart 1"/>
        <xdr:cNvGraphicFramePr/>
      </xdr:nvGraphicFramePr>
      <xdr:xfrm>
        <a:off x="4440600" y="20955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25</xdr:row>
      <xdr:rowOff>100800</xdr:rowOff>
    </xdr:from>
    <xdr:to>
      <xdr:col>8</xdr:col>
      <xdr:colOff>352800</xdr:colOff>
      <xdr:row>40</xdr:row>
      <xdr:rowOff>123120</xdr:rowOff>
    </xdr:to>
    <xdr:graphicFrame>
      <xdr:nvGraphicFramePr>
        <xdr:cNvPr id="1" name="Chart 2"/>
        <xdr:cNvGraphicFramePr/>
      </xdr:nvGraphicFramePr>
      <xdr:xfrm>
        <a:off x="211320" y="4952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10"/>
  </cols>
  <sheetData>
    <row r="1" customFormat="false" ht="22.0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  <c r="C4" s="3"/>
    </row>
    <row r="5" customFormat="false" ht="15" hidden="false" customHeight="false" outlineLevel="0" collapsed="false">
      <c r="B5" s="4" t="s">
        <v>2</v>
      </c>
      <c r="C5" s="5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35.05" hidden="false" customHeight="false" outlineLevel="0" collapsed="false">
      <c r="B7" s="4" t="s">
        <v>6</v>
      </c>
      <c r="C7" s="5" t="s">
        <v>7</v>
      </c>
    </row>
    <row r="8" customFormat="false" ht="23.85" hidden="false" customHeight="false" outlineLevel="0" collapsed="false">
      <c r="B8" s="4" t="s">
        <v>8</v>
      </c>
      <c r="C8" s="5" t="s">
        <v>9</v>
      </c>
    </row>
    <row r="9" customFormat="false" ht="23.85" hidden="false" customHeight="false" outlineLevel="0" collapsed="false">
      <c r="B9" s="4" t="s">
        <v>10</v>
      </c>
      <c r="C9" s="5" t="s">
        <v>11</v>
      </c>
    </row>
    <row r="10" customFormat="false" ht="23.85" hidden="false" customHeight="false" outlineLevel="0" collapsed="false">
      <c r="B10" s="4" t="s">
        <v>12</v>
      </c>
      <c r="C10" s="5" t="s">
        <v>13</v>
      </c>
    </row>
    <row r="11" customFormat="false" ht="15" hidden="false" customHeight="false" outlineLevel="0" collapsed="false">
      <c r="B11" s="4" t="s">
        <v>14</v>
      </c>
      <c r="C11" s="5" t="s">
        <v>15</v>
      </c>
    </row>
    <row r="13" customFormat="false" ht="15" hidden="false" customHeight="false" outlineLevel="0" collapsed="false">
      <c r="B13" s="2" t="s">
        <v>16</v>
      </c>
      <c r="C13" s="3"/>
    </row>
    <row r="14" customFormat="false" ht="15" hidden="false" customHeight="false" outlineLevel="0" collapsed="false">
      <c r="B14" s="4" t="s">
        <v>17</v>
      </c>
      <c r="C14" s="6" t="s">
        <v>18</v>
      </c>
    </row>
    <row r="15" customFormat="false" ht="15" hidden="false" customHeight="false" outlineLevel="0" collapsed="false">
      <c r="B15" s="4" t="s">
        <v>19</v>
      </c>
      <c r="C15" s="7" t="s">
        <v>20</v>
      </c>
    </row>
    <row r="16" customFormat="false" ht="15" hidden="false" customHeight="false" outlineLevel="0" collapsed="false">
      <c r="B16" s="4" t="s">
        <v>21</v>
      </c>
      <c r="C16" s="5" t="s">
        <v>22</v>
      </c>
    </row>
    <row r="18" customFormat="false" ht="15" hidden="false" customHeight="false" outlineLevel="0" collapsed="false">
      <c r="B18" s="2" t="s">
        <v>23</v>
      </c>
      <c r="C18" s="3"/>
    </row>
    <row r="19" customFormat="false" ht="23.85" hidden="false" customHeight="false" outlineLevel="0" collapsed="false">
      <c r="B19" s="4" t="s">
        <v>24</v>
      </c>
      <c r="C19" s="5" t="s">
        <v>25</v>
      </c>
    </row>
    <row r="20" customFormat="false" ht="15" hidden="false" customHeight="false" outlineLevel="0" collapsed="false">
      <c r="B20" s="4" t="s">
        <v>26</v>
      </c>
      <c r="C20" s="5" t="s">
        <v>27</v>
      </c>
    </row>
    <row r="21" customFormat="false" ht="23.85" hidden="false" customHeight="false" outlineLevel="0" collapsed="false">
      <c r="B21" s="4" t="s">
        <v>28</v>
      </c>
      <c r="C21" s="5" t="s">
        <v>29</v>
      </c>
    </row>
    <row r="22" customFormat="false" ht="23.85" hidden="false" customHeight="false" outlineLevel="0" collapsed="false">
      <c r="B22" s="4" t="s">
        <v>30</v>
      </c>
      <c r="C22" s="5" t="s">
        <v>31</v>
      </c>
    </row>
    <row r="23" customFormat="false" ht="23.85" hidden="false" customHeight="false" outlineLevel="0" collapsed="false">
      <c r="B23" s="4" t="s">
        <v>32</v>
      </c>
      <c r="C23" s="5" t="s">
        <v>33</v>
      </c>
    </row>
    <row r="24" customFormat="false" ht="23.85" hidden="false" customHeight="false" outlineLevel="0" collapsed="false">
      <c r="B24" s="4" t="s">
        <v>34</v>
      </c>
      <c r="C24" s="5" t="s">
        <v>35</v>
      </c>
    </row>
    <row r="26" customFormat="false" ht="15" hidden="false" customHeight="false" outlineLevel="0" collapsed="false">
      <c r="B26" s="2" t="s">
        <v>36</v>
      </c>
      <c r="C26" s="3"/>
    </row>
    <row r="27" customFormat="false" ht="23.85" hidden="false" customHeight="false" outlineLevel="0" collapsed="false">
      <c r="B27" s="4" t="s">
        <v>37</v>
      </c>
      <c r="C27" s="5" t="s">
        <v>38</v>
      </c>
    </row>
    <row r="28" customFormat="false" ht="35.05" hidden="false" customHeight="false" outlineLevel="0" collapsed="false">
      <c r="B28" s="4" t="s">
        <v>39</v>
      </c>
      <c r="C28" s="5" t="s">
        <v>40</v>
      </c>
    </row>
    <row r="29" customFormat="false" ht="35.05" hidden="false" customHeight="false" outlineLevel="0" collapsed="false">
      <c r="B29" s="4" t="s">
        <v>41</v>
      </c>
      <c r="C29" s="5" t="s">
        <v>42</v>
      </c>
    </row>
    <row r="30" customFormat="false" ht="23.85" hidden="false" customHeight="false" outlineLevel="0" collapsed="false">
      <c r="B30" s="4" t="s">
        <v>43</v>
      </c>
      <c r="C30" s="5" t="s">
        <v>44</v>
      </c>
    </row>
    <row r="31" customFormat="false" ht="23.85" hidden="false" customHeight="false" outlineLevel="0" collapsed="false">
      <c r="B31" s="4" t="s">
        <v>45</v>
      </c>
      <c r="C31" s="5" t="s">
        <v>46</v>
      </c>
    </row>
    <row r="33" customFormat="false" ht="15" hidden="false" customHeight="false" outlineLevel="0" collapsed="false">
      <c r="B33" s="2" t="s">
        <v>47</v>
      </c>
      <c r="C33" s="3"/>
    </row>
    <row r="34" customFormat="false" ht="23.85" hidden="false" customHeight="false" outlineLevel="0" collapsed="false">
      <c r="B34" s="4" t="s">
        <v>48</v>
      </c>
      <c r="C34" s="5" t="s">
        <v>49</v>
      </c>
    </row>
    <row r="35" customFormat="false" ht="35.05" hidden="false" customHeight="false" outlineLevel="0" collapsed="false">
      <c r="B35" s="4" t="s">
        <v>50</v>
      </c>
      <c r="C35" s="5" t="s">
        <v>51</v>
      </c>
    </row>
    <row r="36" customFormat="false" ht="15" hidden="false" customHeight="false" outlineLevel="0" collapsed="false">
      <c r="B36" s="4" t="s">
        <v>52</v>
      </c>
      <c r="C36" s="5" t="s">
        <v>53</v>
      </c>
    </row>
    <row r="37" customFormat="false" ht="35.05" hidden="false" customHeight="false" outlineLevel="0" collapsed="false">
      <c r="B37" s="4" t="s">
        <v>54</v>
      </c>
      <c r="C37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2.05" hidden="false" customHeight="false" outlineLevel="0" collapsed="false">
      <c r="A1" s="1" t="str">
        <f aca="false">ProjectName&amp;"  -  Dashboard"</f>
        <v>Customer Portal Implementation  -  Dashboard</v>
      </c>
    </row>
    <row r="2" customFormat="false" ht="15" hidden="false" customHeight="false" outlineLevel="0" collapsed="false">
      <c r="A2" s="8" t="str">
        <f aca="false">"Project manager: "&amp;ProjectManager&amp;"     Status date: "&amp;TEXT(StatusDate,"ddd dd-mmm-yyyy")</f>
        <v>Project manager: Priya Sharma     Status date: Sun 25-Oct-2026</v>
      </c>
    </row>
    <row r="4" customFormat="false" ht="15" hidden="false" customHeight="false" outlineLevel="0" collapsed="false">
      <c r="B4" s="9" t="s">
        <v>56</v>
      </c>
      <c r="C4" s="9" t="s">
        <v>57</v>
      </c>
      <c r="E4" s="9" t="s">
        <v>58</v>
      </c>
      <c r="F4" s="9" t="s">
        <v>59</v>
      </c>
    </row>
    <row r="5" customFormat="false" ht="15" hidden="false" customHeight="false" outlineLevel="0" collapsed="false">
      <c r="B5" s="10" t="s">
        <v>60</v>
      </c>
      <c r="C5" s="11" t="n">
        <f aca="false">MIN(tsk_PlanStart)</f>
        <v>46272</v>
      </c>
      <c r="E5" s="12" t="s">
        <v>61</v>
      </c>
      <c r="F5" s="10" t="n">
        <f aca="false">COUNTIFS(tsk_Status,E5,tsk_IsLeaf,1)</f>
        <v>9</v>
      </c>
    </row>
    <row r="6" customFormat="false" ht="15" hidden="false" customHeight="false" outlineLevel="0" collapsed="false">
      <c r="B6" s="10" t="s">
        <v>62</v>
      </c>
      <c r="C6" s="11" t="n">
        <f aca="false">MAX(tsk_PlanFinish)</f>
        <v>46393</v>
      </c>
      <c r="E6" s="13" t="s">
        <v>63</v>
      </c>
      <c r="F6" s="10" t="n">
        <f aca="false">COUNTIFS(tsk_Status,E6,tsk_IsLeaf,1)</f>
        <v>0</v>
      </c>
    </row>
    <row r="7" customFormat="false" ht="15" hidden="false" customHeight="false" outlineLevel="0" collapsed="false">
      <c r="B7" s="10" t="s">
        <v>64</v>
      </c>
      <c r="C7" s="11" t="n">
        <f aca="false">MAX(tsk_FcFinish)</f>
        <v>46393</v>
      </c>
      <c r="E7" s="14" t="s">
        <v>65</v>
      </c>
      <c r="F7" s="10" t="n">
        <f aca="false">COUNTIFS(tsk_Status,E7,tsk_IsLeaf,1)</f>
        <v>2</v>
      </c>
    </row>
    <row r="8" customFormat="false" ht="15" hidden="false" customHeight="false" outlineLevel="0" collapsed="false">
      <c r="B8" s="10" t="s">
        <v>66</v>
      </c>
      <c r="C8" s="15" t="n">
        <f aca="false">IF(MAX(tsk_FcFinish)&gt;=MAX(tsk_PlanFinish),NETWORKDAYS.INTL(MAX(tsk_PlanFinish),MAX(tsk_FcFinish),WorkWeek,Holidays)-1,1-NETWORKDAYS.INTL(MAX(tsk_FcFinish),MAX(tsk_PlanFinish),WorkWeek,Holidays))</f>
        <v>0</v>
      </c>
      <c r="E8" s="16" t="s">
        <v>67</v>
      </c>
      <c r="F8" s="10" t="n">
        <f aca="false">COUNTIFS(tsk_Status,E8,tsk_IsLeaf,1)</f>
        <v>1</v>
      </c>
    </row>
    <row r="9" customFormat="false" ht="15" hidden="false" customHeight="false" outlineLevel="0" collapsed="false">
      <c r="B9" s="10" t="s">
        <v>68</v>
      </c>
      <c r="C9" s="17" t="n">
        <f aca="false">IFERROR(SUM(tsk_WtDone)/SUM(tsk_WtDur),0)</f>
        <v>0.434170854271357</v>
      </c>
      <c r="E9" s="18" t="s">
        <v>69</v>
      </c>
      <c r="F9" s="10" t="n">
        <f aca="false">COUNTIFS(tsk_Status,E9,tsk_IsLeaf,1)</f>
        <v>11</v>
      </c>
    </row>
    <row r="10" customFormat="false" ht="15" hidden="false" customHeight="false" outlineLevel="0" collapsed="false">
      <c r="B10" s="10" t="s">
        <v>70</v>
      </c>
      <c r="C10" s="17" t="n">
        <f aca="false">IFERROR(SUMPRODUCT(tsk_WtDur*(tsk_PlanFinish&lt;StatusDate))/SUM(tsk_WtDur),0)</f>
        <v>0.45427135678392</v>
      </c>
    </row>
    <row r="11" customFormat="false" ht="15" hidden="false" customHeight="false" outlineLevel="0" collapsed="false">
      <c r="B11" s="10" t="s">
        <v>71</v>
      </c>
      <c r="C11" s="19" t="n">
        <f aca="false">SUM(tsk_IsLeaf)</f>
        <v>23</v>
      </c>
    </row>
    <row r="12" customFormat="false" ht="15" hidden="false" customHeight="false" outlineLevel="0" collapsed="false">
      <c r="B12" s="10" t="s">
        <v>72</v>
      </c>
      <c r="C12" s="19" t="n">
        <f aca="false">SUMPRODUCT(tsk_IsLeaf*(tsk_Duration=0)*(tsk_Name&lt;&gt;""))</f>
        <v>5</v>
      </c>
    </row>
    <row r="13" customFormat="false" ht="15" hidden="false" customHeight="false" outlineLevel="0" collapsed="false">
      <c r="B13" s="10" t="s">
        <v>73</v>
      </c>
      <c r="C13" s="20" t="n">
        <f aca="false">SUMPRODUCT(tsk_Work,tsk_IsLeaf)</f>
        <v>720</v>
      </c>
    </row>
    <row r="14" customFormat="false" ht="15" hidden="false" customHeight="false" outlineLevel="0" collapsed="false">
      <c r="B14" s="10" t="s">
        <v>74</v>
      </c>
      <c r="C14" s="21" t="n">
        <f aca="false">SUMPRODUCT(tsk_Cost,tsk_IsLeaf)</f>
        <v>58040</v>
      </c>
    </row>
    <row r="15" customFormat="false" ht="15" hidden="false" customHeight="false" outlineLevel="0" collapsed="false">
      <c r="B15" s="10" t="s">
        <v>75</v>
      </c>
      <c r="C15" s="22" t="str">
        <f aca="false">IF(OR(StatusDate&lt;Sprint1Start,StatusDate&gt;SprintLastEnd),"(outside sprint range)",INDEX(spr_Name,MATCH(StatusDate,spr_Start,1)))</f>
        <v>Sprint 4</v>
      </c>
    </row>
    <row r="17" customFormat="false" ht="15" hidden="false" customHeight="false" outlineLevel="0" collapsed="false">
      <c r="B17" s="9" t="s">
        <v>76</v>
      </c>
      <c r="C17" s="9" t="s">
        <v>77</v>
      </c>
    </row>
    <row r="18" customFormat="false" ht="15" hidden="false" customHeight="false" outlineLevel="0" collapsed="false">
      <c r="B18" s="23" t="str">
        <f aca="false">IFERROR(INDEX(tsk_Name,MATCH(SMALL(tsk_MilestoneKey,1),tsk_MilestoneKey,0)),"")</f>
        <v>Build complete</v>
      </c>
      <c r="C18" s="24" t="n">
        <f aca="false">IFERROR(INDEX(tsk_FcFinish,MATCH(SMALL(tsk_MilestoneKey,1),tsk_MilestoneKey,0)),"")</f>
        <v>46335</v>
      </c>
    </row>
    <row r="19" customFormat="false" ht="15" hidden="false" customHeight="false" outlineLevel="0" collapsed="false">
      <c r="B19" s="23" t="str">
        <f aca="false">IFERROR(INDEX(tsk_Name,MATCH(SMALL(tsk_MilestoneKey,2),tsk_MilestoneKey,0)),"")</f>
        <v>Go-live</v>
      </c>
      <c r="C19" s="24" t="n">
        <f aca="false">IFERROR(INDEX(tsk_FcFinish,MATCH(SMALL(tsk_MilestoneKey,2),tsk_MilestoneKey,0)),"")</f>
        <v>46371</v>
      </c>
    </row>
    <row r="20" customFormat="false" ht="15" hidden="false" customHeight="false" outlineLevel="0" collapsed="false">
      <c r="B20" s="23" t="str">
        <f aca="false">IFERROR(INDEX(tsk_Name,MATCH(SMALL(tsk_MilestoneKey,3),tsk_MilestoneKey,0)),"")</f>
        <v>Project closed</v>
      </c>
      <c r="C20" s="24" t="n">
        <f aca="false">IFERROR(INDEX(tsk_FcFinish,MATCH(SMALL(tsk_MilestoneKey,3),tsk_MilestoneKey,0)),"")</f>
        <v>46393</v>
      </c>
    </row>
    <row r="21" customFormat="false" ht="15" hidden="false" customHeight="false" outlineLevel="0" collapsed="false">
      <c r="B21" s="23" t="str">
        <f aca="false">IFERROR(INDEX(tsk_Name,MATCH(SMALL(tsk_MilestoneKey,4),tsk_MilestoneKey,0)),"")</f>
        <v/>
      </c>
      <c r="C21" s="24" t="str">
        <f aca="false">IFERROR(INDEX(tsk_FcFinish,MATCH(SMALL(tsk_MilestoneKey,4),tsk_MilestoneKey,0)),"")</f>
        <v/>
      </c>
    </row>
    <row r="22" customFormat="false" ht="15" hidden="false" customHeight="false" outlineLevel="0" collapsed="false">
      <c r="B22" s="23" t="str">
        <f aca="false">IFERROR(INDEX(tsk_Name,MATCH(SMALL(tsk_MilestoneKey,5),tsk_MilestoneKey,0)),"")</f>
        <v/>
      </c>
      <c r="C22" s="24" t="str">
        <f aca="false">IFERROR(INDEX(tsk_FcFinish,MATCH(SMALL(tsk_MilestoneKey,5),tsk_MilestoneKey,0)),"")</f>
        <v/>
      </c>
    </row>
  </sheetData>
  <conditionalFormatting sqref="C8">
    <cfRule type="expression" priority="2" aboveAverage="0" equalAverage="0" bottom="0" percent="0" rank="0" text="" dxfId="0">
      <formula>C8&gt;0</formula>
    </cfRule>
    <cfRule type="expression" priority="3" aboveAverage="0" equalAverage="0" bottom="0" percent="0" rank="0" text="" dxfId="1">
      <formula>C8&lt;=0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24"/>
    <col collapsed="false" customWidth="true" hidden="false" outlineLevel="0" max="5" min="5" style="0" width="80"/>
  </cols>
  <sheetData>
    <row r="1" customFormat="false" ht="19.7" hidden="false" customHeight="false" outlineLevel="0" collapsed="false">
      <c r="A1" s="25" t="s">
        <v>78</v>
      </c>
    </row>
    <row r="2" customFormat="false" ht="15" hidden="false" customHeight="false" outlineLevel="0" collapsed="false">
      <c r="A2" s="8" t="s">
        <v>79</v>
      </c>
    </row>
    <row r="4" customFormat="false" ht="15" hidden="false" customHeight="false" outlineLevel="0" collapsed="false">
      <c r="B4" s="9" t="s">
        <v>80</v>
      </c>
      <c r="C4" s="9" t="s">
        <v>57</v>
      </c>
      <c r="D4" s="9" t="s">
        <v>81</v>
      </c>
      <c r="E4" s="9" t="s">
        <v>82</v>
      </c>
    </row>
    <row r="5" customFormat="false" ht="15" hidden="false" customHeight="false" outlineLevel="0" collapsed="false">
      <c r="B5" s="26" t="s">
        <v>83</v>
      </c>
      <c r="C5" s="27" t="s">
        <v>84</v>
      </c>
      <c r="D5" s="28" t="s">
        <v>85</v>
      </c>
      <c r="E5" s="8" t="s">
        <v>86</v>
      </c>
    </row>
    <row r="6" customFormat="false" ht="15" hidden="false" customHeight="false" outlineLevel="0" collapsed="false">
      <c r="B6" s="26" t="s">
        <v>87</v>
      </c>
      <c r="C6" s="27" t="s">
        <v>88</v>
      </c>
      <c r="D6" s="28" t="s">
        <v>89</v>
      </c>
      <c r="E6" s="8"/>
    </row>
    <row r="7" customFormat="false" ht="15" hidden="false" customHeight="false" outlineLevel="0" collapsed="false">
      <c r="B7" s="26" t="s">
        <v>90</v>
      </c>
      <c r="C7" s="29" t="n">
        <v>46272</v>
      </c>
      <c r="D7" s="28" t="s">
        <v>91</v>
      </c>
      <c r="E7" s="8" t="s">
        <v>92</v>
      </c>
    </row>
    <row r="8" customFormat="false" ht="15" hidden="false" customHeight="false" outlineLevel="0" collapsed="false">
      <c r="B8" s="26" t="s">
        <v>93</v>
      </c>
      <c r="C8" s="29"/>
      <c r="D8" s="28" t="s">
        <v>94</v>
      </c>
      <c r="E8" s="8" t="s">
        <v>95</v>
      </c>
    </row>
    <row r="9" customFormat="false" ht="15" hidden="false" customHeight="false" outlineLevel="0" collapsed="false">
      <c r="B9" s="26" t="s">
        <v>96</v>
      </c>
      <c r="C9" s="30" t="n">
        <f aca="true">IF(StatusDateOverride="",TODAY(),StatusDateOverride)</f>
        <v>46320</v>
      </c>
      <c r="D9" s="28" t="s">
        <v>97</v>
      </c>
      <c r="E9" s="8" t="s">
        <v>98</v>
      </c>
    </row>
    <row r="10" customFormat="false" ht="15" hidden="false" customHeight="false" outlineLevel="0" collapsed="false">
      <c r="B10" s="26" t="s">
        <v>99</v>
      </c>
      <c r="C10" s="30" t="n">
        <f aca="false">WORKDAY.INTL(StatusDate-1,1,WorkWeek,Holidays)</f>
        <v>46321</v>
      </c>
      <c r="D10" s="28" t="s">
        <v>100</v>
      </c>
      <c r="E10" s="8"/>
    </row>
    <row r="11" customFormat="false" ht="15" hidden="false" customHeight="false" outlineLevel="0" collapsed="false">
      <c r="B11" s="26" t="s">
        <v>101</v>
      </c>
      <c r="C11" s="27" t="s">
        <v>102</v>
      </c>
      <c r="D11" s="28" t="s">
        <v>103</v>
      </c>
      <c r="E11" s="8" t="s">
        <v>104</v>
      </c>
    </row>
    <row r="12" customFormat="false" ht="15" hidden="false" customHeight="false" outlineLevel="0" collapsed="false">
      <c r="B12" s="26" t="s">
        <v>105</v>
      </c>
      <c r="C12" s="31" t="n">
        <v>8</v>
      </c>
      <c r="D12" s="28" t="s">
        <v>106</v>
      </c>
      <c r="E12" s="8" t="s">
        <v>107</v>
      </c>
    </row>
    <row r="13" customFormat="false" ht="15" hidden="false" customHeight="false" outlineLevel="0" collapsed="false">
      <c r="B13" s="26" t="s">
        <v>108</v>
      </c>
      <c r="C13" s="32" t="n">
        <v>1</v>
      </c>
      <c r="D13" s="28" t="s">
        <v>109</v>
      </c>
      <c r="E13" s="8" t="s">
        <v>110</v>
      </c>
    </row>
    <row r="14" customFormat="false" ht="15" hidden="false" customHeight="false" outlineLevel="0" collapsed="false">
      <c r="B14" s="26" t="s">
        <v>111</v>
      </c>
      <c r="C14" s="27" t="s">
        <v>102</v>
      </c>
      <c r="D14" s="28" t="s">
        <v>112</v>
      </c>
      <c r="E14" s="8" t="s">
        <v>113</v>
      </c>
    </row>
    <row r="15" customFormat="false" ht="15" hidden="false" customHeight="false" outlineLevel="0" collapsed="false">
      <c r="B15" s="26" t="s">
        <v>114</v>
      </c>
      <c r="C15" s="27" t="s">
        <v>102</v>
      </c>
      <c r="D15" s="28" t="s">
        <v>115</v>
      </c>
      <c r="E15" s="8"/>
    </row>
    <row r="16" customFormat="false" ht="15" hidden="false" customHeight="false" outlineLevel="0" collapsed="false">
      <c r="B16" s="26" t="s">
        <v>116</v>
      </c>
      <c r="C16" s="27" t="s">
        <v>102</v>
      </c>
      <c r="D16" s="28" t="s">
        <v>117</v>
      </c>
      <c r="E16" s="8"/>
    </row>
    <row r="17" customFormat="false" ht="15" hidden="false" customHeight="false" outlineLevel="0" collapsed="false">
      <c r="B17" s="26" t="s">
        <v>118</v>
      </c>
      <c r="C17" s="27" t="s">
        <v>102</v>
      </c>
      <c r="D17" s="28" t="s">
        <v>119</v>
      </c>
      <c r="E17" s="8"/>
    </row>
    <row r="18" customFormat="false" ht="15" hidden="false" customHeight="false" outlineLevel="0" collapsed="false">
      <c r="B18" s="26" t="s">
        <v>120</v>
      </c>
      <c r="C18" s="27" t="s">
        <v>102</v>
      </c>
      <c r="D18" s="28" t="s">
        <v>121</v>
      </c>
      <c r="E18" s="8"/>
    </row>
    <row r="19" customFormat="false" ht="15" hidden="false" customHeight="false" outlineLevel="0" collapsed="false">
      <c r="B19" s="26" t="s">
        <v>122</v>
      </c>
      <c r="C19" s="27" t="s">
        <v>123</v>
      </c>
      <c r="D19" s="28" t="s">
        <v>124</v>
      </c>
      <c r="E19" s="8"/>
    </row>
    <row r="20" customFormat="false" ht="15" hidden="false" customHeight="false" outlineLevel="0" collapsed="false">
      <c r="B20" s="26" t="s">
        <v>125</v>
      </c>
      <c r="C20" s="27" t="s">
        <v>123</v>
      </c>
      <c r="D20" s="28" t="s">
        <v>126</v>
      </c>
      <c r="E20" s="8"/>
    </row>
    <row r="21" customFormat="false" ht="15" hidden="false" customHeight="false" outlineLevel="0" collapsed="false">
      <c r="B21" s="26" t="s">
        <v>127</v>
      </c>
      <c r="C21" s="33" t="str">
        <f aca="false">IF(WorkMon="Yes","0","1")&amp;IF(WorkTue="Yes","0","1")&amp;IF(WorkWed="Yes","0","1")&amp;IF(WorkThu="Yes","0","1")&amp;IF(WorkFri="Yes","0","1")&amp;IF(WorkSat="Yes","0","1")&amp;IF(WorkSun="Yes","0","1")</f>
        <v>0000011</v>
      </c>
      <c r="D21" s="28" t="s">
        <v>128</v>
      </c>
      <c r="E21" s="8" t="s">
        <v>129</v>
      </c>
    </row>
    <row r="22" customFormat="false" ht="15" hidden="false" customHeight="false" outlineLevel="0" collapsed="false">
      <c r="B22" s="26" t="s">
        <v>130</v>
      </c>
      <c r="C22" s="29" t="n">
        <f aca="false">ProjectStart-WEEKDAY(ProjectStart,3)</f>
        <v>46272</v>
      </c>
      <c r="D22" s="28" t="s">
        <v>131</v>
      </c>
      <c r="E22" s="8" t="s">
        <v>132</v>
      </c>
    </row>
    <row r="23" customFormat="false" ht="15" hidden="false" customHeight="false" outlineLevel="0" collapsed="false">
      <c r="B23" s="26" t="s">
        <v>133</v>
      </c>
      <c r="C23" s="34" t="n">
        <v>1</v>
      </c>
      <c r="D23" s="28" t="s">
        <v>134</v>
      </c>
      <c r="E23" s="8" t="s">
        <v>135</v>
      </c>
    </row>
    <row r="24" customFormat="false" ht="15" hidden="false" customHeight="false" outlineLevel="0" collapsed="false">
      <c r="B24" s="26" t="s">
        <v>136</v>
      </c>
      <c r="C24" s="29" t="n">
        <f aca="false">ProjectStart</f>
        <v>46272</v>
      </c>
      <c r="D24" s="28" t="s">
        <v>137</v>
      </c>
      <c r="E24" s="8" t="s">
        <v>138</v>
      </c>
    </row>
    <row r="25" customFormat="false" ht="15" hidden="false" customHeight="false" outlineLevel="0" collapsed="false">
      <c r="B25" s="26" t="s">
        <v>139</v>
      </c>
      <c r="C25" s="34" t="n">
        <v>14</v>
      </c>
      <c r="D25" s="28" t="s">
        <v>140</v>
      </c>
      <c r="E25" s="8" t="s">
        <v>141</v>
      </c>
    </row>
    <row r="26" customFormat="false" ht="15" hidden="false" customHeight="false" outlineLevel="0" collapsed="false">
      <c r="B26" s="26" t="s">
        <v>142</v>
      </c>
      <c r="C26" s="34" t="n">
        <v>12</v>
      </c>
      <c r="D26" s="28" t="s">
        <v>143</v>
      </c>
      <c r="E26" s="8" t="s">
        <v>144</v>
      </c>
    </row>
    <row r="27" customFormat="false" ht="15" hidden="false" customHeight="false" outlineLevel="0" collapsed="false">
      <c r="B27" s="26" t="s">
        <v>145</v>
      </c>
      <c r="C27" s="27" t="s">
        <v>146</v>
      </c>
      <c r="D27" s="28" t="s">
        <v>147</v>
      </c>
      <c r="E27" s="8" t="s">
        <v>148</v>
      </c>
    </row>
    <row r="28" customFormat="false" ht="15" hidden="false" customHeight="false" outlineLevel="0" collapsed="false">
      <c r="B28" s="26" t="s">
        <v>149</v>
      </c>
      <c r="C28" s="30" t="n">
        <f aca="false">INDEX(spr_End,SprintCount)</f>
        <v>46439</v>
      </c>
      <c r="D28" s="28" t="s">
        <v>150</v>
      </c>
      <c r="E28" s="8"/>
    </row>
  </sheetData>
  <dataValidations count="3">
    <dataValidation allowBlank="false" errorStyle="stop" operator="between" showDropDown="false" showErrorMessage="false" showInputMessage="false" sqref="C11 C14:C20" type="list">
      <formula1>L_YesNo</formula1>
      <formula2>0</formula2>
    </dataValidation>
    <dataValidation allowBlank="false" errorStyle="stop" operator="between" showDropDown="false" showErrorMessage="false" showInputMessage="false" sqref="C23" type="list">
      <formula1>L_Period</formula1>
      <formula2>0</formula2>
    </dataValidation>
    <dataValidation allowBlank="false" errorStyle="stop" operator="between" showDropDown="false" showErrorMessage="false" showInputMessage="false" sqref="C26" type="whole">
      <formula1>1</formula1>
      <formula2>26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AV20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12" min="7" style="0" width="6"/>
    <col collapsed="false" customWidth="true" hidden="false" outlineLevel="0" max="19" min="13" style="0" width="15"/>
    <col collapsed="false" customWidth="true" hidden="false" outlineLevel="0" max="22" min="20" style="0" width="9"/>
    <col collapsed="false" customWidth="true" hidden="false" outlineLevel="0" max="23" min="23" style="0" width="12"/>
    <col collapsed="false" customWidth="true" hidden="false" outlineLevel="0" max="24" min="24" style="0" width="16"/>
    <col collapsed="false" customWidth="true" hidden="false" outlineLevel="0" max="25" min="25" style="0" width="7"/>
    <col collapsed="false" customWidth="true" hidden="false" outlineLevel="0" max="26" min="26" style="0" width="9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14"/>
    <col collapsed="false" customWidth="true" hidden="false" outlineLevel="0" max="30" min="30" style="0" width="40"/>
    <col collapsed="false" customWidth="true" hidden="true" outlineLevel="1" max="48" min="31" style="0" width="7"/>
  </cols>
  <sheetData>
    <row r="1" customFormat="false" ht="19.7" hidden="false" customHeight="false" outlineLevel="0" collapsed="false">
      <c r="A1" s="25" t="str">
        <f aca="false">ProjectName&amp;"  -  Task Entry"</f>
        <v>Customer Portal Implementation  -  Task Entry</v>
      </c>
    </row>
    <row r="2" customFormat="false" ht="15" hidden="false" customHeight="false" outlineLevel="0" collapsed="false">
      <c r="A2" s="8" t="s">
        <v>151</v>
      </c>
    </row>
    <row r="4" customFormat="false" ht="15" hidden="false" customHeight="false" outlineLevel="0" collapsed="false">
      <c r="A4" s="35" t="s">
        <v>152</v>
      </c>
      <c r="E4" s="35" t="s">
        <v>153</v>
      </c>
      <c r="N4" s="35" t="s">
        <v>154</v>
      </c>
      <c r="U4" s="35" t="s">
        <v>155</v>
      </c>
      <c r="X4" s="35" t="s">
        <v>156</v>
      </c>
      <c r="AE4" s="35" t="s">
        <v>157</v>
      </c>
    </row>
    <row r="5" customFormat="false" ht="54" hidden="false" customHeight="true" outlineLevel="0" collapsed="false">
      <c r="A5" s="9" t="s">
        <v>158</v>
      </c>
      <c r="B5" s="9" t="s">
        <v>159</v>
      </c>
      <c r="C5" s="36" t="s">
        <v>160</v>
      </c>
      <c r="D5" s="36" t="s">
        <v>161</v>
      </c>
      <c r="E5" s="36" t="s">
        <v>30</v>
      </c>
      <c r="F5" s="36" t="s">
        <v>162</v>
      </c>
      <c r="G5" s="36" t="s">
        <v>163</v>
      </c>
      <c r="H5" s="36" t="s">
        <v>164</v>
      </c>
      <c r="I5" s="36" t="s">
        <v>165</v>
      </c>
      <c r="J5" s="36" t="s">
        <v>166</v>
      </c>
      <c r="K5" s="36" t="s">
        <v>167</v>
      </c>
      <c r="L5" s="36" t="s">
        <v>168</v>
      </c>
      <c r="M5" s="36" t="s">
        <v>169</v>
      </c>
      <c r="N5" s="9" t="s">
        <v>170</v>
      </c>
      <c r="O5" s="9" t="s">
        <v>171</v>
      </c>
      <c r="P5" s="36" t="s">
        <v>172</v>
      </c>
      <c r="Q5" s="36" t="s">
        <v>173</v>
      </c>
      <c r="R5" s="9" t="s">
        <v>174</v>
      </c>
      <c r="S5" s="9" t="s">
        <v>175</v>
      </c>
      <c r="T5" s="9" t="s">
        <v>176</v>
      </c>
      <c r="U5" s="36" t="s">
        <v>177</v>
      </c>
      <c r="V5" s="9" t="s">
        <v>178</v>
      </c>
      <c r="W5" s="9" t="s">
        <v>179</v>
      </c>
      <c r="X5" s="36" t="s">
        <v>180</v>
      </c>
      <c r="Y5" s="36" t="s">
        <v>181</v>
      </c>
      <c r="Z5" s="9" t="s">
        <v>182</v>
      </c>
      <c r="AA5" s="9" t="s">
        <v>183</v>
      </c>
      <c r="AB5" s="9" t="s">
        <v>184</v>
      </c>
      <c r="AC5" s="9" t="s">
        <v>185</v>
      </c>
      <c r="AD5" s="36" t="s">
        <v>82</v>
      </c>
      <c r="AE5" s="37" t="s">
        <v>186</v>
      </c>
      <c r="AF5" s="37" t="s">
        <v>187</v>
      </c>
      <c r="AG5" s="37" t="s">
        <v>188</v>
      </c>
      <c r="AH5" s="37" t="s">
        <v>189</v>
      </c>
      <c r="AI5" s="37" t="s">
        <v>190</v>
      </c>
      <c r="AJ5" s="37" t="s">
        <v>191</v>
      </c>
      <c r="AK5" s="37" t="s">
        <v>192</v>
      </c>
      <c r="AL5" s="37" t="s">
        <v>193</v>
      </c>
      <c r="AM5" s="37" t="s">
        <v>194</v>
      </c>
      <c r="AN5" s="37" t="s">
        <v>195</v>
      </c>
      <c r="AO5" s="37" t="s">
        <v>196</v>
      </c>
      <c r="AP5" s="37" t="s">
        <v>197</v>
      </c>
      <c r="AQ5" s="37" t="s">
        <v>198</v>
      </c>
      <c r="AR5" s="37" t="s">
        <v>199</v>
      </c>
      <c r="AS5" s="37" t="s">
        <v>200</v>
      </c>
      <c r="AT5" s="37" t="s">
        <v>201</v>
      </c>
      <c r="AU5" s="37" t="s">
        <v>202</v>
      </c>
      <c r="AV5" s="37" t="s">
        <v>203</v>
      </c>
    </row>
    <row r="6" customFormat="false" ht="15" hidden="false" customHeight="false" outlineLevel="0" collapsed="false">
      <c r="A6" s="38" t="n">
        <f aca="false">IF($D6="","",COUNTA($D$6:$D6))</f>
        <v>1</v>
      </c>
      <c r="B6" s="39" t="str">
        <f aca="true">IF($D6="","",IF($AE6=1,COUNTIF($AE$6:$AE6,1)&amp;"",IF($AG6=0,"?",OFFSET(hdr_WBS,$AG6-ROW(hdr_WBS),0)&amp;"."&amp;COUNTIF(INDEX($AE:$AE,$AG6+1):$AE6,$AE6))))</f>
        <v>1</v>
      </c>
      <c r="C6" s="40" t="n">
        <v>1</v>
      </c>
      <c r="D6" s="41" t="s">
        <v>204</v>
      </c>
      <c r="E6" s="40" t="s">
        <v>205</v>
      </c>
      <c r="F6" s="40"/>
      <c r="G6" s="40"/>
      <c r="H6" s="40"/>
      <c r="I6" s="40"/>
      <c r="J6" s="40"/>
      <c r="K6" s="40"/>
      <c r="L6" s="40"/>
      <c r="M6" s="29"/>
      <c r="N6" s="30" t="n">
        <f aca="true">IF($D6="","",IF($AI6,MIN(OFFSET(hdr_PlanStart,$AF6+1,0,$AH6,1)),IF($E6="Manual",IF(N($M6)&gt;0,$M6,ProjectStart),WORKDAY.INTL(MAX(ProjectStart,N($M6),$AK6,$AL6)-1,1,WorkWeek,Holidays))))</f>
        <v>46272</v>
      </c>
      <c r="O6" s="30" t="n">
        <f aca="true">IF($D6="","",IF($AI6,MAX(OFFSET(hdr_PlanFinish,$AF6+1,0,$AH6,1)),IF(N($F6)&lt;=0,$N6,WORKDAY.INTL($N6,$F6-1,WorkWeek,Holidays))))</f>
        <v>46276</v>
      </c>
      <c r="P6" s="29"/>
      <c r="Q6" s="29"/>
      <c r="R6" s="30" t="n">
        <f aca="true">IF($D6="","",IF($AI6,MIN(OFFSET(hdr_FcStart,$AF6+1,0,$AH6,1)),IF(N($P6)&gt;0,$P6,IF($E6="Manual",IF(N($M6)&gt;0,$M6,ProjectStart),WORKDAY.INTL(MAX(ProjectStart,N($M6),$AM6,$AN6,IF(RescheduleAfterStatus="Yes",StatusDate,0))-1,1,WorkWeek,Holidays)))))</f>
        <v>46272</v>
      </c>
      <c r="S6" s="30" t="n">
        <f aca="true">IF($D6="","",IF($AI6,MAX(OFFSET(hdr_FcFinish,$AF6+1,0,$AH6,1)),IF(N($Q6)&gt;0,$Q6,IF(N($F6)&lt;=0,$R6,IF(AND(N($P6)&gt;0,RescheduleAfterStatus="Yes"),MAX(WORKDAY.INTL($R6,$F6-1,WorkWeek,Holidays),WORKDAY.INTL(StatusWorkday,MAX(0,ROUNDUP($F6*(1-MIN(1,N($U6))),0)-1),WorkWeek,Holidays)),WORKDAY.INTL($R6,$F6-1,WorkWeek,Holidays))))))</f>
        <v>46279</v>
      </c>
      <c r="T6" s="38" t="n">
        <f aca="false">IF($D6="","",IF($S6&gt;=$O6,NETWORKDAYS.INTL($O6,$S6,WorkWeek,Holidays)-1,1-NETWORKDAYS.INTL($S6,$O6,WorkWeek,Holidays)))</f>
        <v>1</v>
      </c>
      <c r="U6" s="32"/>
      <c r="V6" s="42" t="n">
        <f aca="true">IF($D6="","",IF($AI6,IFERROR(SUM(OFFSET(hdr_WtDone,$AF6+1,0,$AH6,1))/SUM(OFFSET(hdr_WtDur,$AF6+1,0,$AH6,1)),0),IF(N($Q6)&gt;0,1,MIN(1,N($U6)))))</f>
        <v>1</v>
      </c>
      <c r="W6" s="39" t="str">
        <f aca="false">IF($D6="","",IF($V6&gt;=1,"Complete",IF(OR(N($P6)&gt;0,$V6&gt;0),IF($T6&gt;0,"Behind","In Progress"),IF($N6&lt;StatusDate,"Late Start","Not Started"))))</f>
        <v>Complete</v>
      </c>
      <c r="X6" s="41"/>
      <c r="Y6" s="32"/>
      <c r="Z6" s="43" t="n">
        <f aca="true">IF($D6="","",IF($AI6,SUMPRODUCT(OFFSET(hdr_Work,$AF6+1,0,$AH6,1),OFFSET(hdr_IsLeaf,$AF6+1,0,$AH6,1)),IF($X6="",0,N($F6)*HoursPerDay*IF($Y6="",DefaultUnits,$Y6))))</f>
        <v>40</v>
      </c>
      <c r="AA6" s="44" t="n">
        <f aca="true">IF($D6="","",IF($AI6,SUMPRODUCT(OFFSET(hdr_Cost,$AF6+1,0,$AH6,1),OFFSET(hdr_IsLeaf,$AF6+1,0,$AH6,1)),$Z6*IFERROR(INDEX(res_Rate,MATCH($X6,res_Name,0)),0)))</f>
        <v>3400</v>
      </c>
      <c r="AB6" s="38" t="str">
        <f aca="false">IF(OR($D6="",$AI6),"",IF(OR($R6&lt;Sprint1Start,$R6&gt;SprintLastEnd),"Backlog",INDEX(spr_Name,MATCH($R6,spr_Start,1))))</f>
        <v/>
      </c>
      <c r="AC6" s="45" t="str">
        <f aca="false">IF($D6="","",$AT6&amp;IF(AND($AT6&lt;&gt;"",$AU6&lt;&gt;""),",","")&amp;$AU6)</f>
        <v/>
      </c>
      <c r="AD6" s="41" t="s">
        <v>206</v>
      </c>
      <c r="AE6" s="46" t="n">
        <f aca="false">IF($D6="","",MAX(1,N($C6)))</f>
        <v>1</v>
      </c>
      <c r="AF6" s="46" t="n">
        <f aca="false">ROW()-ROW(hdr_ID)</f>
        <v>1</v>
      </c>
      <c r="AG6" s="46" t="n">
        <f aca="false">IF(OR($D6="",$AE6&lt;=1),0,IFERROR(LOOKUP(2,1/($AE$5:$AE5=$AE6-1),ROW($AE$5:$AE5)),0))</f>
        <v>0</v>
      </c>
      <c r="AH6" s="46" t="n">
        <f aca="false">IF($D6="",0,COUNTIF(tsk_WBS,$B6&amp;".*"))</f>
        <v>3</v>
      </c>
      <c r="AI6" s="47" t="b">
        <f aca="false">$AH6&gt;0</f>
        <v>1</v>
      </c>
      <c r="AJ6" s="46" t="n">
        <f aca="false">IF(AND($D6&lt;&gt;"",NOT($AI6)),1,0)</f>
        <v>0</v>
      </c>
      <c r="AK6" s="48" t="n">
        <f aca="true">IF(OR(N($G6)=0,$AI6,$D6=""),0,IFERROR(CHOOSE(MATCH(IF($H6="","FS",$H6),{"FS","SS","FF","SF"},0),WORKDAY.INTL(OFFSET(hdr_PlanFinish,MATCH($G6,tsk_ID,0),0),IF(N($F6)=0,0,1)+N($I6),WorkWeek,Holidays),WORKDAY.INTL(OFFSET(hdr_PlanStart,MATCH($G6,tsk_ID,0),0),N($I6),WorkWeek,Holidays),WORKDAY.INTL(WORKDAY.INTL(OFFSET(hdr_PlanFinish,MATCH($G6,tsk_ID,0),0),N($I6),WorkWeek,Holidays),-MAX(0,N($F6)-1),WorkWeek,Holidays),WORKDAY.INTL(WORKDAY.INTL(OFFSET(hdr_PlanStart,MATCH($G6,tsk_ID,0),0),N($I6),WorkWeek,Holidays),-MAX(0,N($F6)-1),WorkWeek,Holidays)),0))</f>
        <v>0</v>
      </c>
      <c r="AL6" s="48" t="n">
        <f aca="true">IF(OR(N($J6)=0,$AI6,$D6=""),0,IFERROR(CHOOSE(MATCH(IF($K6="","FS",$K6),{"FS","SS","FF","SF"},0),WORKDAY.INTL(OFFSET(hdr_PlanFinish,MATCH($J6,tsk_ID,0),0),IF(N($F6)=0,0,1)+N($L6),WorkWeek,Holidays),WORKDAY.INTL(OFFSET(hdr_PlanStart,MATCH($J6,tsk_ID,0),0),N($L6),WorkWeek,Holidays),WORKDAY.INTL(WORKDAY.INTL(OFFSET(hdr_PlanFinish,MATCH($J6,tsk_ID,0),0),N($L6),WorkWeek,Holidays),-MAX(0,N($F6)-1),WorkWeek,Holidays),WORKDAY.INTL(WORKDAY.INTL(OFFSET(hdr_PlanStart,MATCH($J6,tsk_ID,0),0),N($L6),WorkWeek,Holidays),-MAX(0,N($F6)-1),WorkWeek,Holidays)),0))</f>
        <v>0</v>
      </c>
      <c r="AM6" s="48" t="n">
        <f aca="true">IF(OR(N($G6)=0,$AI6,$D6=""),0,IFERROR(CHOOSE(MATCH(IF($H6="","FS",$H6),{"FS","SS","FF","SF"},0),WORKDAY.INTL(OFFSET(hdr_FcFinish,MATCH($G6,tsk_ID,0),0),IF(N($F6)=0,0,1)+N($I6),WorkWeek,Holidays),WORKDAY.INTL(OFFSET(hdr_FcStart,MATCH($G6,tsk_ID,0),0),N($I6),WorkWeek,Holidays),WORKDAY.INTL(WORKDAY.INTL(OFFSET(hdr_FcFinish,MATCH($G6,tsk_ID,0),0),N($I6),WorkWeek,Holidays),-MAX(0,N($F6)-1),WorkWeek,Holidays),WORKDAY.INTL(WORKDAY.INTL(OFFSET(hdr_FcStart,MATCH($G6,tsk_ID,0),0),N($I6),WorkWeek,Holidays),-MAX(0,N($F6)-1),WorkWeek,Holidays)),0))</f>
        <v>0</v>
      </c>
      <c r="AN6" s="48" t="n">
        <f aca="true">IF(OR(N($J6)=0,$AI6,$D6=""),0,IFERROR(CHOOSE(MATCH(IF($K6="","FS",$K6),{"FS","SS","FF","SF"},0),WORKDAY.INTL(OFFSET(hdr_FcFinish,MATCH($J6,tsk_ID,0),0),IF(N($F6)=0,0,1)+N($L6),WorkWeek,Holidays),WORKDAY.INTL(OFFSET(hdr_FcStart,MATCH($J6,tsk_ID,0),0),N($L6),WorkWeek,Holidays),WORKDAY.INTL(WORKDAY.INTL(OFFSET(hdr_FcFinish,MATCH($J6,tsk_ID,0),0),N($L6),WorkWeek,Holidays),-MAX(0,N($F6)-1),WorkWeek,Holidays),WORKDAY.INTL(WORKDAY.INTL(OFFSET(hdr_FcStart,MATCH($J6,tsk_ID,0),0),N($L6),WorkWeek,Holidays),-MAX(0,N($F6)-1),WorkWeek,Holidays)),0))</f>
        <v>0</v>
      </c>
      <c r="AO6" s="48" t="n">
        <f aca="false">IF($AJ6=1,$R6,0)</f>
        <v>0</v>
      </c>
      <c r="AP6" s="48" t="n">
        <f aca="false">IF($AJ6=1,$S6,0)</f>
        <v>0</v>
      </c>
      <c r="AQ6" s="49" t="n">
        <f aca="false">IF(AND($AJ6=1,N($Z6)&gt;0),$Z6/($AP6-$AO6+1),0)</f>
        <v>0</v>
      </c>
      <c r="AR6" s="46" t="n">
        <f aca="false">IF($AJ6=1,MAX(N($F6),0.1),0)</f>
        <v>0</v>
      </c>
      <c r="AS6" s="46" t="n">
        <f aca="false">IF($AJ6=1,$AR6*$V6,0)</f>
        <v>0</v>
      </c>
      <c r="AT6" s="46" t="str">
        <f aca="false">IF(N($G6)=0,"",$G6&amp;IF(AND(IF($H6="","FS",$H6)="FS",N($I6)=0),"",IF($H6="","FS",$H6)&amp;IF(N($I6)=0,"",IF(N($I6)&gt;0,"+","")&amp;N($I6)&amp;"d")))</f>
        <v/>
      </c>
      <c r="AU6" s="46" t="str">
        <f aca="false">IF(N($J6)=0,"",$J6&amp;IF(AND(IF($K6="","FS",$K6)="FS",N($L6)=0),"",IF($K6="","FS",$K6)&amp;IF(N($L6)=0,"",IF(N($L6)&gt;0,"+","")&amp;N($L6)&amp;"d")))</f>
        <v/>
      </c>
      <c r="AV6" s="46" t="str">
        <f aca="false">IF(AND($AJ6=1,N($F6)=0,$V6&lt;1),$S6+$AF6/100000,"")</f>
        <v/>
      </c>
    </row>
    <row r="7" customFormat="false" ht="15" hidden="false" customHeight="false" outlineLevel="0" collapsed="false">
      <c r="A7" s="38" t="n">
        <f aca="false">IF($D7="","",COUNTA($D$6:$D7))</f>
        <v>2</v>
      </c>
      <c r="B7" s="39" t="str">
        <f aca="true">IF($D7="","",IF($AE7=1,COUNTIF($AE$6:$AE7,1)&amp;"",IF($AG7=0,"?",OFFSET(hdr_WBS,$AG7-ROW(hdr_WBS),0)&amp;"."&amp;COUNTIF(INDEX($AE:$AE,$AG7+1):$AE7,$AE7))))</f>
        <v>1.1</v>
      </c>
      <c r="C7" s="40" t="n">
        <v>2</v>
      </c>
      <c r="D7" s="41" t="s">
        <v>207</v>
      </c>
      <c r="E7" s="40" t="s">
        <v>205</v>
      </c>
      <c r="F7" s="40" t="n">
        <v>3</v>
      </c>
      <c r="G7" s="40"/>
      <c r="H7" s="40"/>
      <c r="I7" s="40"/>
      <c r="J7" s="40"/>
      <c r="K7" s="40"/>
      <c r="L7" s="40"/>
      <c r="M7" s="29"/>
      <c r="N7" s="30" t="n">
        <f aca="true">IF($D7="","",IF($AI7,MIN(OFFSET(hdr_PlanStart,$AF7+1,0,$AH7,1)),IF($E7="Manual",IF(N($M7)&gt;0,$M7,ProjectStart),WORKDAY.INTL(MAX(ProjectStart,N($M7),$AK7,$AL7)-1,1,WorkWeek,Holidays))))</f>
        <v>46272</v>
      </c>
      <c r="O7" s="30" t="n">
        <f aca="true">IF($D7="","",IF($AI7,MAX(OFFSET(hdr_PlanFinish,$AF7+1,0,$AH7,1)),IF(N($F7)&lt;=0,$N7,WORKDAY.INTL($N7,$F7-1,WorkWeek,Holidays))))</f>
        <v>46274</v>
      </c>
      <c r="P7" s="29" t="n">
        <v>46272</v>
      </c>
      <c r="Q7" s="29" t="n">
        <v>46275</v>
      </c>
      <c r="R7" s="30" t="n">
        <f aca="true">IF($D7="","",IF($AI7,MIN(OFFSET(hdr_FcStart,$AF7+1,0,$AH7,1)),IF(N($P7)&gt;0,$P7,IF($E7="Manual",IF(N($M7)&gt;0,$M7,ProjectStart),WORKDAY.INTL(MAX(ProjectStart,N($M7),$AM7,$AN7,IF(RescheduleAfterStatus="Yes",StatusDate,0))-1,1,WorkWeek,Holidays)))))</f>
        <v>46272</v>
      </c>
      <c r="S7" s="30" t="n">
        <f aca="true">IF($D7="","",IF($AI7,MAX(OFFSET(hdr_FcFinish,$AF7+1,0,$AH7,1)),IF(N($Q7)&gt;0,$Q7,IF(N($F7)&lt;=0,$R7,IF(AND(N($P7)&gt;0,RescheduleAfterStatus="Yes"),MAX(WORKDAY.INTL($R7,$F7-1,WorkWeek,Holidays),WORKDAY.INTL(StatusWorkday,MAX(0,ROUNDUP($F7*(1-MIN(1,N($U7))),0)-1),WorkWeek,Holidays)),WORKDAY.INTL($R7,$F7-1,WorkWeek,Holidays))))))</f>
        <v>46275</v>
      </c>
      <c r="T7" s="38" t="n">
        <f aca="false">IF($D7="","",IF($S7&gt;=$O7,NETWORKDAYS.INTL($O7,$S7,WorkWeek,Holidays)-1,1-NETWORKDAYS.INTL($S7,$O7,WorkWeek,Holidays)))</f>
        <v>1</v>
      </c>
      <c r="U7" s="32" t="n">
        <v>1</v>
      </c>
      <c r="V7" s="42" t="n">
        <f aca="true">IF($D7="","",IF($AI7,IFERROR(SUM(OFFSET(hdr_WtDone,$AF7+1,0,$AH7,1))/SUM(OFFSET(hdr_WtDur,$AF7+1,0,$AH7,1)),0),IF(N($Q7)&gt;0,1,MIN(1,N($U7)))))</f>
        <v>1</v>
      </c>
      <c r="W7" s="39" t="str">
        <f aca="false">IF($D7="","",IF($V7&gt;=1,"Complete",IF(OR(N($P7)&gt;0,$V7&gt;0),IF($T7&gt;0,"Behind","In Progress"),IF($N7&lt;StatusDate,"Late Start","Not Started"))))</f>
        <v>Complete</v>
      </c>
      <c r="X7" s="41" t="s">
        <v>88</v>
      </c>
      <c r="Y7" s="32"/>
      <c r="Z7" s="43" t="n">
        <f aca="true">IF($D7="","",IF($AI7,SUMPRODUCT(OFFSET(hdr_Work,$AF7+1,0,$AH7,1),OFFSET(hdr_IsLeaf,$AF7+1,0,$AH7,1)),IF($X7="",0,N($F7)*HoursPerDay*IF($Y7="",DefaultUnits,$Y7))))</f>
        <v>24</v>
      </c>
      <c r="AA7" s="44" t="n">
        <f aca="true">IF($D7="","",IF($AI7,SUMPRODUCT(OFFSET(hdr_Cost,$AF7+1,0,$AH7,1),OFFSET(hdr_IsLeaf,$AF7+1,0,$AH7,1)),$Z7*IFERROR(INDEX(res_Rate,MATCH($X7,res_Name,0)),0)))</f>
        <v>2280</v>
      </c>
      <c r="AB7" s="38" t="str">
        <f aca="false">IF(OR($D7="",$AI7),"",IF(OR($R7&lt;Sprint1Start,$R7&gt;SprintLastEnd),"Backlog",INDEX(spr_Name,MATCH($R7,spr_Start,1))))</f>
        <v>Sprint 1</v>
      </c>
      <c r="AC7" s="45" t="str">
        <f aca="false">IF($D7="","",$AT7&amp;IF(AND($AT7&lt;&gt;"",$AU7&lt;&gt;""),",","")&amp;$AU7)</f>
        <v/>
      </c>
      <c r="AD7" s="41" t="s">
        <v>208</v>
      </c>
      <c r="AE7" s="46" t="n">
        <f aca="false">IF($D7="","",MAX(1,N($C7)))</f>
        <v>2</v>
      </c>
      <c r="AF7" s="46" t="n">
        <f aca="false">ROW()-ROW(hdr_ID)</f>
        <v>2</v>
      </c>
      <c r="AG7" s="46" t="n">
        <f aca="false">IF(OR($D7="",$AE7&lt;=1),0,IFERROR(LOOKUP(2,1/($AE$5:$AE6=$AE7-1),ROW($AE$5:$AE6)),0))</f>
        <v>6</v>
      </c>
      <c r="AH7" s="46" t="n">
        <f aca="false">IF($D7="",0,COUNTIF(tsk_WBS,$B7&amp;".*"))</f>
        <v>0</v>
      </c>
      <c r="AI7" s="47" t="b">
        <f aca="false">$AH7&gt;0</f>
        <v>0</v>
      </c>
      <c r="AJ7" s="46" t="n">
        <f aca="false">IF(AND($D7&lt;&gt;"",NOT($AI7)),1,0)</f>
        <v>1</v>
      </c>
      <c r="AK7" s="48" t="n">
        <f aca="true">IF(OR(N($G7)=0,$AI7,$D7=""),0,IFERROR(CHOOSE(MATCH(IF($H7="","FS",$H7),{"FS","SS","FF","SF"},0),WORKDAY.INTL(OFFSET(hdr_PlanFinish,MATCH($G7,tsk_ID,0),0),IF(N($F7)=0,0,1)+N($I7),WorkWeek,Holidays),WORKDAY.INTL(OFFSET(hdr_PlanStart,MATCH($G7,tsk_ID,0),0),N($I7),WorkWeek,Holidays),WORKDAY.INTL(WORKDAY.INTL(OFFSET(hdr_PlanFinish,MATCH($G7,tsk_ID,0),0),N($I7),WorkWeek,Holidays),-MAX(0,N($F7)-1),WorkWeek,Holidays),WORKDAY.INTL(WORKDAY.INTL(OFFSET(hdr_PlanStart,MATCH($G7,tsk_ID,0),0),N($I7),WorkWeek,Holidays),-MAX(0,N($F7)-1),WorkWeek,Holidays)),0))</f>
        <v>0</v>
      </c>
      <c r="AL7" s="48" t="n">
        <f aca="true">IF(OR(N($J7)=0,$AI7,$D7=""),0,IFERROR(CHOOSE(MATCH(IF($K7="","FS",$K7),{"FS","SS","FF","SF"},0),WORKDAY.INTL(OFFSET(hdr_PlanFinish,MATCH($J7,tsk_ID,0),0),IF(N($F7)=0,0,1)+N($L7),WorkWeek,Holidays),WORKDAY.INTL(OFFSET(hdr_PlanStart,MATCH($J7,tsk_ID,0),0),N($L7),WorkWeek,Holidays),WORKDAY.INTL(WORKDAY.INTL(OFFSET(hdr_PlanFinish,MATCH($J7,tsk_ID,0),0),N($L7),WorkWeek,Holidays),-MAX(0,N($F7)-1),WorkWeek,Holidays),WORKDAY.INTL(WORKDAY.INTL(OFFSET(hdr_PlanStart,MATCH($J7,tsk_ID,0),0),N($L7),WorkWeek,Holidays),-MAX(0,N($F7)-1),WorkWeek,Holidays)),0))</f>
        <v>0</v>
      </c>
      <c r="AM7" s="48" t="n">
        <f aca="true">IF(OR(N($G7)=0,$AI7,$D7=""),0,IFERROR(CHOOSE(MATCH(IF($H7="","FS",$H7),{"FS","SS","FF","SF"},0),WORKDAY.INTL(OFFSET(hdr_FcFinish,MATCH($G7,tsk_ID,0),0),IF(N($F7)=0,0,1)+N($I7),WorkWeek,Holidays),WORKDAY.INTL(OFFSET(hdr_FcStart,MATCH($G7,tsk_ID,0),0),N($I7),WorkWeek,Holidays),WORKDAY.INTL(WORKDAY.INTL(OFFSET(hdr_FcFinish,MATCH($G7,tsk_ID,0),0),N($I7),WorkWeek,Holidays),-MAX(0,N($F7)-1),WorkWeek,Holidays),WORKDAY.INTL(WORKDAY.INTL(OFFSET(hdr_FcStart,MATCH($G7,tsk_ID,0),0),N($I7),WorkWeek,Holidays),-MAX(0,N($F7)-1),WorkWeek,Holidays)),0))</f>
        <v>0</v>
      </c>
      <c r="AN7" s="48" t="n">
        <f aca="true">IF(OR(N($J7)=0,$AI7,$D7=""),0,IFERROR(CHOOSE(MATCH(IF($K7="","FS",$K7),{"FS","SS","FF","SF"},0),WORKDAY.INTL(OFFSET(hdr_FcFinish,MATCH($J7,tsk_ID,0),0),IF(N($F7)=0,0,1)+N($L7),WorkWeek,Holidays),WORKDAY.INTL(OFFSET(hdr_FcStart,MATCH($J7,tsk_ID,0),0),N($L7),WorkWeek,Holidays),WORKDAY.INTL(WORKDAY.INTL(OFFSET(hdr_FcFinish,MATCH($J7,tsk_ID,0),0),N($L7),WorkWeek,Holidays),-MAX(0,N($F7)-1),WorkWeek,Holidays),WORKDAY.INTL(WORKDAY.INTL(OFFSET(hdr_FcStart,MATCH($J7,tsk_ID,0),0),N($L7),WorkWeek,Holidays),-MAX(0,N($F7)-1),WorkWeek,Holidays)),0))</f>
        <v>0</v>
      </c>
      <c r="AO7" s="48" t="n">
        <f aca="false">IF($AJ7=1,$R7,0)</f>
        <v>46272</v>
      </c>
      <c r="AP7" s="48" t="n">
        <f aca="false">IF($AJ7=1,$S7,0)</f>
        <v>46275</v>
      </c>
      <c r="AQ7" s="49" t="n">
        <f aca="false">IF(AND($AJ7=1,N($Z7)&gt;0),$Z7/($AP7-$AO7+1),0)</f>
        <v>6</v>
      </c>
      <c r="AR7" s="46" t="n">
        <f aca="false">IF($AJ7=1,MAX(N($F7),0.1),0)</f>
        <v>3</v>
      </c>
      <c r="AS7" s="46" t="n">
        <f aca="false">IF($AJ7=1,$AR7*$V7,0)</f>
        <v>3</v>
      </c>
      <c r="AT7" s="46" t="str">
        <f aca="false">IF(N($G7)=0,"",$G7&amp;IF(AND(IF($H7="","FS",$H7)="FS",N($I7)=0),"",IF($H7="","FS",$H7)&amp;IF(N($I7)=0,"",IF(N($I7)&gt;0,"+","")&amp;N($I7)&amp;"d")))</f>
        <v/>
      </c>
      <c r="AU7" s="46" t="str">
        <f aca="false">IF(N($J7)=0,"",$J7&amp;IF(AND(IF($K7="","FS",$K7)="FS",N($L7)=0),"",IF($K7="","FS",$K7)&amp;IF(N($L7)=0,"",IF(N($L7)&gt;0,"+","")&amp;N($L7)&amp;"d")))</f>
        <v/>
      </c>
      <c r="AV7" s="46" t="str">
        <f aca="false">IF(AND($AJ7=1,N($F7)=0,$V7&lt;1),$S7+$AF7/100000,"")</f>
        <v/>
      </c>
    </row>
    <row r="8" customFormat="false" ht="15" hidden="false" customHeight="false" outlineLevel="0" collapsed="false">
      <c r="A8" s="38" t="n">
        <f aca="false">IF($D8="","",COUNTA($D$6:$D8))</f>
        <v>3</v>
      </c>
      <c r="B8" s="39" t="str">
        <f aca="true">IF($D8="","",IF($AE8=1,COUNTIF($AE$6:$AE8,1)&amp;"",IF($AG8=0,"?",OFFSET(hdr_WBS,$AG8-ROW(hdr_WBS),0)&amp;"."&amp;COUNTIF(INDEX($AE:$AE,$AG8+1):$AE8,$AE8))))</f>
        <v>1.2</v>
      </c>
      <c r="C8" s="40" t="n">
        <v>2</v>
      </c>
      <c r="D8" s="41" t="s">
        <v>209</v>
      </c>
      <c r="E8" s="40" t="s">
        <v>205</v>
      </c>
      <c r="F8" s="40" t="n">
        <v>2</v>
      </c>
      <c r="G8" s="40" t="n">
        <v>2</v>
      </c>
      <c r="H8" s="40" t="s">
        <v>210</v>
      </c>
      <c r="I8" s="40"/>
      <c r="J8" s="40"/>
      <c r="K8" s="40"/>
      <c r="L8" s="40"/>
      <c r="M8" s="29"/>
      <c r="N8" s="30" t="n">
        <f aca="true">IF($D8="","",IF($AI8,MIN(OFFSET(hdr_PlanStart,$AF8+1,0,$AH8,1)),IF($E8="Manual",IF(N($M8)&gt;0,$M8,ProjectStart),WORKDAY.INTL(MAX(ProjectStart,N($M8),$AK8,$AL8)-1,1,WorkWeek,Holidays))))</f>
        <v>46275</v>
      </c>
      <c r="O8" s="30" t="n">
        <f aca="true">IF($D8="","",IF($AI8,MAX(OFFSET(hdr_PlanFinish,$AF8+1,0,$AH8,1)),IF(N($F8)&lt;=0,$N8,WORKDAY.INTL($N8,$F8-1,WorkWeek,Holidays))))</f>
        <v>46276</v>
      </c>
      <c r="P8" s="29" t="n">
        <v>46276</v>
      </c>
      <c r="Q8" s="29" t="n">
        <v>46279</v>
      </c>
      <c r="R8" s="30" t="n">
        <f aca="true">IF($D8="","",IF($AI8,MIN(OFFSET(hdr_FcStart,$AF8+1,0,$AH8,1)),IF(N($P8)&gt;0,$P8,IF($E8="Manual",IF(N($M8)&gt;0,$M8,ProjectStart),WORKDAY.INTL(MAX(ProjectStart,N($M8),$AM8,$AN8,IF(RescheduleAfterStatus="Yes",StatusDate,0))-1,1,WorkWeek,Holidays)))))</f>
        <v>46276</v>
      </c>
      <c r="S8" s="30" t="n">
        <f aca="true">IF($D8="","",IF($AI8,MAX(OFFSET(hdr_FcFinish,$AF8+1,0,$AH8,1)),IF(N($Q8)&gt;0,$Q8,IF(N($F8)&lt;=0,$R8,IF(AND(N($P8)&gt;0,RescheduleAfterStatus="Yes"),MAX(WORKDAY.INTL($R8,$F8-1,WorkWeek,Holidays),WORKDAY.INTL(StatusWorkday,MAX(0,ROUNDUP($F8*(1-MIN(1,N($U8))),0)-1),WorkWeek,Holidays)),WORKDAY.INTL($R8,$F8-1,WorkWeek,Holidays))))))</f>
        <v>46279</v>
      </c>
      <c r="T8" s="38" t="n">
        <f aca="false">IF($D8="","",IF($S8&gt;=$O8,NETWORKDAYS.INTL($O8,$S8,WorkWeek,Holidays)-1,1-NETWORKDAYS.INTL($S8,$O8,WorkWeek,Holidays)))</f>
        <v>1</v>
      </c>
      <c r="U8" s="32" t="n">
        <v>1</v>
      </c>
      <c r="V8" s="42" t="n">
        <f aca="true">IF($D8="","",IF($AI8,IFERROR(SUM(OFFSET(hdr_WtDone,$AF8+1,0,$AH8,1))/SUM(OFFSET(hdr_WtDur,$AF8+1,0,$AH8,1)),0),IF(N($Q8)&gt;0,1,MIN(1,N($U8)))))</f>
        <v>1</v>
      </c>
      <c r="W8" s="39" t="str">
        <f aca="false">IF($D8="","",IF($V8&gt;=1,"Complete",IF(OR(N($P8)&gt;0,$V8&gt;0),IF($T8&gt;0,"Behind","In Progress"),IF($N8&lt;StatusDate,"Late Start","Not Started"))))</f>
        <v>Complete</v>
      </c>
      <c r="X8" s="41" t="s">
        <v>211</v>
      </c>
      <c r="Y8" s="32"/>
      <c r="Z8" s="43" t="n">
        <f aca="true">IF($D8="","",IF($AI8,SUMPRODUCT(OFFSET(hdr_Work,$AF8+1,0,$AH8,1),OFFSET(hdr_IsLeaf,$AF8+1,0,$AH8,1)),IF($X8="",0,N($F8)*HoursPerDay*IF($Y8="",DefaultUnits,$Y8))))</f>
        <v>16</v>
      </c>
      <c r="AA8" s="44" t="n">
        <f aca="true">IF($D8="","",IF($AI8,SUMPRODUCT(OFFSET(hdr_Cost,$AF8+1,0,$AH8,1),OFFSET(hdr_IsLeaf,$AF8+1,0,$AH8,1)),$Z8*IFERROR(INDEX(res_Rate,MATCH($X8,res_Name,0)),0)))</f>
        <v>1120</v>
      </c>
      <c r="AB8" s="38" t="str">
        <f aca="false">IF(OR($D8="",$AI8),"",IF(OR($R8&lt;Sprint1Start,$R8&gt;SprintLastEnd),"Backlog",INDEX(spr_Name,MATCH($R8,spr_Start,1))))</f>
        <v>Sprint 1</v>
      </c>
      <c r="AC8" s="45" t="str">
        <f aca="false">IF($D8="","",$AT8&amp;IF(AND($AT8&lt;&gt;"",$AU8&lt;&gt;""),",","")&amp;$AU8)</f>
        <v>2</v>
      </c>
      <c r="AD8" s="41"/>
      <c r="AE8" s="46" t="n">
        <f aca="false">IF($D8="","",MAX(1,N($C8)))</f>
        <v>2</v>
      </c>
      <c r="AF8" s="46" t="n">
        <f aca="false">ROW()-ROW(hdr_ID)</f>
        <v>3</v>
      </c>
      <c r="AG8" s="46" t="n">
        <f aca="false">IF(OR($D8="",$AE8&lt;=1),0,IFERROR(LOOKUP(2,1/($AE$5:$AE7=$AE8-1),ROW($AE$5:$AE7)),0))</f>
        <v>6</v>
      </c>
      <c r="AH8" s="46" t="n">
        <f aca="false">IF($D8="",0,COUNTIF(tsk_WBS,$B8&amp;".*"))</f>
        <v>0</v>
      </c>
      <c r="AI8" s="47" t="b">
        <f aca="false">$AH8&gt;0</f>
        <v>0</v>
      </c>
      <c r="AJ8" s="46" t="n">
        <f aca="false">IF(AND($D8&lt;&gt;"",NOT($AI8)),1,0)</f>
        <v>1</v>
      </c>
      <c r="AK8" s="48" t="n">
        <f aca="true">IF(OR(N($G8)=0,$AI8,$D8=""),0,IFERROR(CHOOSE(MATCH(IF($H8="","FS",$H8),{"FS","SS","FF","SF"},0),WORKDAY.INTL(OFFSET(hdr_PlanFinish,MATCH($G8,tsk_ID,0),0),IF(N($F8)=0,0,1)+N($I8),WorkWeek,Holidays),WORKDAY.INTL(OFFSET(hdr_PlanStart,MATCH($G8,tsk_ID,0),0),N($I8),WorkWeek,Holidays),WORKDAY.INTL(WORKDAY.INTL(OFFSET(hdr_PlanFinish,MATCH($G8,tsk_ID,0),0),N($I8),WorkWeek,Holidays),-MAX(0,N($F8)-1),WorkWeek,Holidays),WORKDAY.INTL(WORKDAY.INTL(OFFSET(hdr_PlanStart,MATCH($G8,tsk_ID,0),0),N($I8),WorkWeek,Holidays),-MAX(0,N($F8)-1),WorkWeek,Holidays)),0))</f>
        <v>46275</v>
      </c>
      <c r="AL8" s="48" t="n">
        <f aca="true">IF(OR(N($J8)=0,$AI8,$D8=""),0,IFERROR(CHOOSE(MATCH(IF($K8="","FS",$K8),{"FS","SS","FF","SF"},0),WORKDAY.INTL(OFFSET(hdr_PlanFinish,MATCH($J8,tsk_ID,0),0),IF(N($F8)=0,0,1)+N($L8),WorkWeek,Holidays),WORKDAY.INTL(OFFSET(hdr_PlanStart,MATCH($J8,tsk_ID,0),0),N($L8),WorkWeek,Holidays),WORKDAY.INTL(WORKDAY.INTL(OFFSET(hdr_PlanFinish,MATCH($J8,tsk_ID,0),0),N($L8),WorkWeek,Holidays),-MAX(0,N($F8)-1),WorkWeek,Holidays),WORKDAY.INTL(WORKDAY.INTL(OFFSET(hdr_PlanStart,MATCH($J8,tsk_ID,0),0),N($L8),WorkWeek,Holidays),-MAX(0,N($F8)-1),WorkWeek,Holidays)),0))</f>
        <v>0</v>
      </c>
      <c r="AM8" s="48" t="n">
        <f aca="true">IF(OR(N($G8)=0,$AI8,$D8=""),0,IFERROR(CHOOSE(MATCH(IF($H8="","FS",$H8),{"FS","SS","FF","SF"},0),WORKDAY.INTL(OFFSET(hdr_FcFinish,MATCH($G8,tsk_ID,0),0),IF(N($F8)=0,0,1)+N($I8),WorkWeek,Holidays),WORKDAY.INTL(OFFSET(hdr_FcStart,MATCH($G8,tsk_ID,0),0),N($I8),WorkWeek,Holidays),WORKDAY.INTL(WORKDAY.INTL(OFFSET(hdr_FcFinish,MATCH($G8,tsk_ID,0),0),N($I8),WorkWeek,Holidays),-MAX(0,N($F8)-1),WorkWeek,Holidays),WORKDAY.INTL(WORKDAY.INTL(OFFSET(hdr_FcStart,MATCH($G8,tsk_ID,0),0),N($I8),WorkWeek,Holidays),-MAX(0,N($F8)-1),WorkWeek,Holidays)),0))</f>
        <v>46276</v>
      </c>
      <c r="AN8" s="48" t="n">
        <f aca="true">IF(OR(N($J8)=0,$AI8,$D8=""),0,IFERROR(CHOOSE(MATCH(IF($K8="","FS",$K8),{"FS","SS","FF","SF"},0),WORKDAY.INTL(OFFSET(hdr_FcFinish,MATCH($J8,tsk_ID,0),0),IF(N($F8)=0,0,1)+N($L8),WorkWeek,Holidays),WORKDAY.INTL(OFFSET(hdr_FcStart,MATCH($J8,tsk_ID,0),0),N($L8),WorkWeek,Holidays),WORKDAY.INTL(WORKDAY.INTL(OFFSET(hdr_FcFinish,MATCH($J8,tsk_ID,0),0),N($L8),WorkWeek,Holidays),-MAX(0,N($F8)-1),WorkWeek,Holidays),WORKDAY.INTL(WORKDAY.INTL(OFFSET(hdr_FcStart,MATCH($J8,tsk_ID,0),0),N($L8),WorkWeek,Holidays),-MAX(0,N($F8)-1),WorkWeek,Holidays)),0))</f>
        <v>0</v>
      </c>
      <c r="AO8" s="48" t="n">
        <f aca="false">IF($AJ8=1,$R8,0)</f>
        <v>46276</v>
      </c>
      <c r="AP8" s="48" t="n">
        <f aca="false">IF($AJ8=1,$S8,0)</f>
        <v>46279</v>
      </c>
      <c r="AQ8" s="49" t="n">
        <f aca="false">IF(AND($AJ8=1,N($Z8)&gt;0),$Z8/($AP8-$AO8+1),0)</f>
        <v>4</v>
      </c>
      <c r="AR8" s="46" t="n">
        <f aca="false">IF($AJ8=1,MAX(N($F8),0.1),0)</f>
        <v>2</v>
      </c>
      <c r="AS8" s="46" t="n">
        <f aca="false">IF($AJ8=1,$AR8*$V8,0)</f>
        <v>2</v>
      </c>
      <c r="AT8" s="46" t="str">
        <f aca="false">IF(N($G8)=0,"",$G8&amp;IF(AND(IF($H8="","FS",$H8)="FS",N($I8)=0),"",IF($H8="","FS",$H8)&amp;IF(N($I8)=0,"",IF(N($I8)&gt;0,"+","")&amp;N($I8)&amp;"d")))</f>
        <v>2</v>
      </c>
      <c r="AU8" s="46" t="str">
        <f aca="false">IF(N($J8)=0,"",$J8&amp;IF(AND(IF($K8="","FS",$K8)="FS",N($L8)=0),"",IF($K8="","FS",$K8)&amp;IF(N($L8)=0,"",IF(N($L8)&gt;0,"+","")&amp;N($L8)&amp;"d")))</f>
        <v/>
      </c>
      <c r="AV8" s="46" t="str">
        <f aca="false">IF(AND($AJ8=1,N($F8)=0,$V8&lt;1),$S8+$AF8/100000,"")</f>
        <v/>
      </c>
    </row>
    <row r="9" customFormat="false" ht="15" hidden="false" customHeight="false" outlineLevel="0" collapsed="false">
      <c r="A9" s="38" t="n">
        <f aca="false">IF($D9="","",COUNTA($D$6:$D9))</f>
        <v>4</v>
      </c>
      <c r="B9" s="39" t="str">
        <f aca="true">IF($D9="","",IF($AE9=1,COUNTIF($AE$6:$AE9,1)&amp;"",IF($AG9=0,"?",OFFSET(hdr_WBS,$AG9-ROW(hdr_WBS),0)&amp;"."&amp;COUNTIF(INDEX($AE:$AE,$AG9+1):$AE9,$AE9))))</f>
        <v>1.3</v>
      </c>
      <c r="C9" s="40" t="n">
        <v>2</v>
      </c>
      <c r="D9" s="41" t="s">
        <v>212</v>
      </c>
      <c r="E9" s="40" t="s">
        <v>205</v>
      </c>
      <c r="F9" s="40" t="n">
        <v>0</v>
      </c>
      <c r="G9" s="40" t="n">
        <v>3</v>
      </c>
      <c r="H9" s="40" t="s">
        <v>210</v>
      </c>
      <c r="I9" s="40"/>
      <c r="J9" s="40"/>
      <c r="K9" s="40"/>
      <c r="L9" s="40"/>
      <c r="M9" s="29"/>
      <c r="N9" s="30" t="n">
        <f aca="true">IF($D9="","",IF($AI9,MIN(OFFSET(hdr_PlanStart,$AF9+1,0,$AH9,1)),IF($E9="Manual",IF(N($M9)&gt;0,$M9,ProjectStart),WORKDAY.INTL(MAX(ProjectStart,N($M9),$AK9,$AL9)-1,1,WorkWeek,Holidays))))</f>
        <v>46276</v>
      </c>
      <c r="O9" s="30" t="n">
        <f aca="true">IF($D9="","",IF($AI9,MAX(OFFSET(hdr_PlanFinish,$AF9+1,0,$AH9,1)),IF(N($F9)&lt;=0,$N9,WORKDAY.INTL($N9,$F9-1,WorkWeek,Holidays))))</f>
        <v>46276</v>
      </c>
      <c r="P9" s="29" t="n">
        <v>46279</v>
      </c>
      <c r="Q9" s="29" t="n">
        <v>46279</v>
      </c>
      <c r="R9" s="30" t="n">
        <f aca="true">IF($D9="","",IF($AI9,MIN(OFFSET(hdr_FcStart,$AF9+1,0,$AH9,1)),IF(N($P9)&gt;0,$P9,IF($E9="Manual",IF(N($M9)&gt;0,$M9,ProjectStart),WORKDAY.INTL(MAX(ProjectStart,N($M9),$AM9,$AN9,IF(RescheduleAfterStatus="Yes",StatusDate,0))-1,1,WorkWeek,Holidays)))))</f>
        <v>46279</v>
      </c>
      <c r="S9" s="30" t="n">
        <f aca="true">IF($D9="","",IF($AI9,MAX(OFFSET(hdr_FcFinish,$AF9+1,0,$AH9,1)),IF(N($Q9)&gt;0,$Q9,IF(N($F9)&lt;=0,$R9,IF(AND(N($P9)&gt;0,RescheduleAfterStatus="Yes"),MAX(WORKDAY.INTL($R9,$F9-1,WorkWeek,Holidays),WORKDAY.INTL(StatusWorkday,MAX(0,ROUNDUP($F9*(1-MIN(1,N($U9))),0)-1),WorkWeek,Holidays)),WORKDAY.INTL($R9,$F9-1,WorkWeek,Holidays))))))</f>
        <v>46279</v>
      </c>
      <c r="T9" s="38" t="n">
        <f aca="false">IF($D9="","",IF($S9&gt;=$O9,NETWORKDAYS.INTL($O9,$S9,WorkWeek,Holidays)-1,1-NETWORKDAYS.INTL($S9,$O9,WorkWeek,Holidays)))</f>
        <v>1</v>
      </c>
      <c r="U9" s="32" t="n">
        <v>1</v>
      </c>
      <c r="V9" s="42" t="n">
        <f aca="true">IF($D9="","",IF($AI9,IFERROR(SUM(OFFSET(hdr_WtDone,$AF9+1,0,$AH9,1))/SUM(OFFSET(hdr_WtDur,$AF9+1,0,$AH9,1)),0),IF(N($Q9)&gt;0,1,MIN(1,N($U9)))))</f>
        <v>1</v>
      </c>
      <c r="W9" s="39" t="str">
        <f aca="false">IF($D9="","",IF($V9&gt;=1,"Complete",IF(OR(N($P9)&gt;0,$V9&gt;0),IF($T9&gt;0,"Behind","In Progress"),IF($N9&lt;StatusDate,"Late Start","Not Started"))))</f>
        <v>Complete</v>
      </c>
      <c r="X9" s="41"/>
      <c r="Y9" s="32"/>
      <c r="Z9" s="43" t="n">
        <f aca="true">IF($D9="","",IF($AI9,SUMPRODUCT(OFFSET(hdr_Work,$AF9+1,0,$AH9,1),OFFSET(hdr_IsLeaf,$AF9+1,0,$AH9,1)),IF($X9="",0,N($F9)*HoursPerDay*IF($Y9="",DefaultUnits,$Y9))))</f>
        <v>0</v>
      </c>
      <c r="AA9" s="44" t="n">
        <f aca="true">IF($D9="","",IF($AI9,SUMPRODUCT(OFFSET(hdr_Cost,$AF9+1,0,$AH9,1),OFFSET(hdr_IsLeaf,$AF9+1,0,$AH9,1)),$Z9*IFERROR(INDEX(res_Rate,MATCH($X9,res_Name,0)),0)))</f>
        <v>0</v>
      </c>
      <c r="AB9" s="38" t="str">
        <f aca="false">IF(OR($D9="",$AI9),"",IF(OR($R9&lt;Sprint1Start,$R9&gt;SprintLastEnd),"Backlog",INDEX(spr_Name,MATCH($R9,spr_Start,1))))</f>
        <v>Sprint 1</v>
      </c>
      <c r="AC9" s="45" t="str">
        <f aca="false">IF($D9="","",$AT9&amp;IF(AND($AT9&lt;&gt;"",$AU9&lt;&gt;""),",","")&amp;$AU9)</f>
        <v>3</v>
      </c>
      <c r="AD9" s="41" t="s">
        <v>213</v>
      </c>
      <c r="AE9" s="46" t="n">
        <f aca="false">IF($D9="","",MAX(1,N($C9)))</f>
        <v>2</v>
      </c>
      <c r="AF9" s="46" t="n">
        <f aca="false">ROW()-ROW(hdr_ID)</f>
        <v>4</v>
      </c>
      <c r="AG9" s="46" t="n">
        <f aca="false">IF(OR($D9="",$AE9&lt;=1),0,IFERROR(LOOKUP(2,1/($AE$5:$AE8=$AE9-1),ROW($AE$5:$AE8)),0))</f>
        <v>6</v>
      </c>
      <c r="AH9" s="46" t="n">
        <f aca="false">IF($D9="",0,COUNTIF(tsk_WBS,$B9&amp;".*"))</f>
        <v>0</v>
      </c>
      <c r="AI9" s="47" t="b">
        <f aca="false">$AH9&gt;0</f>
        <v>0</v>
      </c>
      <c r="AJ9" s="46" t="n">
        <f aca="false">IF(AND($D9&lt;&gt;"",NOT($AI9)),1,0)</f>
        <v>1</v>
      </c>
      <c r="AK9" s="48" t="n">
        <f aca="true">IF(OR(N($G9)=0,$AI9,$D9=""),0,IFERROR(CHOOSE(MATCH(IF($H9="","FS",$H9),{"FS","SS","FF","SF"},0),WORKDAY.INTL(OFFSET(hdr_PlanFinish,MATCH($G9,tsk_ID,0),0),IF(N($F9)=0,0,1)+N($I9),WorkWeek,Holidays),WORKDAY.INTL(OFFSET(hdr_PlanStart,MATCH($G9,tsk_ID,0),0),N($I9),WorkWeek,Holidays),WORKDAY.INTL(WORKDAY.INTL(OFFSET(hdr_PlanFinish,MATCH($G9,tsk_ID,0),0),N($I9),WorkWeek,Holidays),-MAX(0,N($F9)-1),WorkWeek,Holidays),WORKDAY.INTL(WORKDAY.INTL(OFFSET(hdr_PlanStart,MATCH($G9,tsk_ID,0),0),N($I9),WorkWeek,Holidays),-MAX(0,N($F9)-1),WorkWeek,Holidays)),0))</f>
        <v>46276</v>
      </c>
      <c r="AL9" s="48" t="n">
        <f aca="true">IF(OR(N($J9)=0,$AI9,$D9=""),0,IFERROR(CHOOSE(MATCH(IF($K9="","FS",$K9),{"FS","SS","FF","SF"},0),WORKDAY.INTL(OFFSET(hdr_PlanFinish,MATCH($J9,tsk_ID,0),0),IF(N($F9)=0,0,1)+N($L9),WorkWeek,Holidays),WORKDAY.INTL(OFFSET(hdr_PlanStart,MATCH($J9,tsk_ID,0),0),N($L9),WorkWeek,Holidays),WORKDAY.INTL(WORKDAY.INTL(OFFSET(hdr_PlanFinish,MATCH($J9,tsk_ID,0),0),N($L9),WorkWeek,Holidays),-MAX(0,N($F9)-1),WorkWeek,Holidays),WORKDAY.INTL(WORKDAY.INTL(OFFSET(hdr_PlanStart,MATCH($J9,tsk_ID,0),0),N($L9),WorkWeek,Holidays),-MAX(0,N($F9)-1),WorkWeek,Holidays)),0))</f>
        <v>0</v>
      </c>
      <c r="AM9" s="48" t="n">
        <f aca="true">IF(OR(N($G9)=0,$AI9,$D9=""),0,IFERROR(CHOOSE(MATCH(IF($H9="","FS",$H9),{"FS","SS","FF","SF"},0),WORKDAY.INTL(OFFSET(hdr_FcFinish,MATCH($G9,tsk_ID,0),0),IF(N($F9)=0,0,1)+N($I9),WorkWeek,Holidays),WORKDAY.INTL(OFFSET(hdr_FcStart,MATCH($G9,tsk_ID,0),0),N($I9),WorkWeek,Holidays),WORKDAY.INTL(WORKDAY.INTL(OFFSET(hdr_FcFinish,MATCH($G9,tsk_ID,0),0),N($I9),WorkWeek,Holidays),-MAX(0,N($F9)-1),WorkWeek,Holidays),WORKDAY.INTL(WORKDAY.INTL(OFFSET(hdr_FcStart,MATCH($G9,tsk_ID,0),0),N($I9),WorkWeek,Holidays),-MAX(0,N($F9)-1),WorkWeek,Holidays)),0))</f>
        <v>46279</v>
      </c>
      <c r="AN9" s="48" t="n">
        <f aca="true">IF(OR(N($J9)=0,$AI9,$D9=""),0,IFERROR(CHOOSE(MATCH(IF($K9="","FS",$K9),{"FS","SS","FF","SF"},0),WORKDAY.INTL(OFFSET(hdr_FcFinish,MATCH($J9,tsk_ID,0),0),IF(N($F9)=0,0,1)+N($L9),WorkWeek,Holidays),WORKDAY.INTL(OFFSET(hdr_FcStart,MATCH($J9,tsk_ID,0),0),N($L9),WorkWeek,Holidays),WORKDAY.INTL(WORKDAY.INTL(OFFSET(hdr_FcFinish,MATCH($J9,tsk_ID,0),0),N($L9),WorkWeek,Holidays),-MAX(0,N($F9)-1),WorkWeek,Holidays),WORKDAY.INTL(WORKDAY.INTL(OFFSET(hdr_FcStart,MATCH($J9,tsk_ID,0),0),N($L9),WorkWeek,Holidays),-MAX(0,N($F9)-1),WorkWeek,Holidays)),0))</f>
        <v>0</v>
      </c>
      <c r="AO9" s="48" t="n">
        <f aca="false">IF($AJ9=1,$R9,0)</f>
        <v>46279</v>
      </c>
      <c r="AP9" s="48" t="n">
        <f aca="false">IF($AJ9=1,$S9,0)</f>
        <v>46279</v>
      </c>
      <c r="AQ9" s="49" t="n">
        <f aca="false">IF(AND($AJ9=1,N($Z9)&gt;0),$Z9/($AP9-$AO9+1),0)</f>
        <v>0</v>
      </c>
      <c r="AR9" s="46" t="n">
        <f aca="false">IF($AJ9=1,MAX(N($F9),0.1),0)</f>
        <v>0.1</v>
      </c>
      <c r="AS9" s="46" t="n">
        <f aca="false">IF($AJ9=1,$AR9*$V9,0)</f>
        <v>0.1</v>
      </c>
      <c r="AT9" s="46" t="str">
        <f aca="false">IF(N($G9)=0,"",$G9&amp;IF(AND(IF($H9="","FS",$H9)="FS",N($I9)=0),"",IF($H9="","FS",$H9)&amp;IF(N($I9)=0,"",IF(N($I9)&gt;0,"+","")&amp;N($I9)&amp;"d")))</f>
        <v>3</v>
      </c>
      <c r="AU9" s="46" t="str">
        <f aca="false">IF(N($J9)=0,"",$J9&amp;IF(AND(IF($K9="","FS",$K9)="FS",N($L9)=0),"",IF($K9="","FS",$K9)&amp;IF(N($L9)=0,"",IF(N($L9)&gt;0,"+","")&amp;N($L9)&amp;"d")))</f>
        <v/>
      </c>
      <c r="AV9" s="46" t="str">
        <f aca="false">IF(AND($AJ9=1,N($F9)=0,$V9&lt;1),$S9+$AF9/100000,"")</f>
        <v/>
      </c>
    </row>
    <row r="10" customFormat="false" ht="15" hidden="false" customHeight="false" outlineLevel="0" collapsed="false">
      <c r="A10" s="38" t="n">
        <f aca="false">IF($D10="","",COUNTA($D$6:$D10))</f>
        <v>5</v>
      </c>
      <c r="B10" s="39" t="str">
        <f aca="true">IF($D10="","",IF($AE10=1,COUNTIF($AE$6:$AE10,1)&amp;"",IF($AG10=0,"?",OFFSET(hdr_WBS,$AG10-ROW(hdr_WBS),0)&amp;"."&amp;COUNTIF(INDEX($AE:$AE,$AG10+1):$AE10,$AE10))))</f>
        <v>2</v>
      </c>
      <c r="C10" s="40" t="n">
        <v>1</v>
      </c>
      <c r="D10" s="41" t="s">
        <v>214</v>
      </c>
      <c r="E10" s="40" t="s">
        <v>205</v>
      </c>
      <c r="F10" s="40"/>
      <c r="G10" s="40"/>
      <c r="H10" s="40"/>
      <c r="I10" s="40"/>
      <c r="J10" s="40"/>
      <c r="K10" s="40"/>
      <c r="L10" s="40"/>
      <c r="M10" s="29"/>
      <c r="N10" s="30" t="n">
        <f aca="true">IF($D10="","",IF($AI10,MIN(OFFSET(hdr_PlanStart,$AF10+1,0,$AH10,1)),IF($E10="Manual",IF(N($M10)&gt;0,$M10,ProjectStart),WORKDAY.INTL(MAX(ProjectStart,N($M10),$AK10,$AL10)-1,1,WorkWeek,Holidays))))</f>
        <v>46279</v>
      </c>
      <c r="O10" s="30" t="n">
        <f aca="true">IF($D10="","",IF($AI10,MAX(OFFSET(hdr_PlanFinish,$AF10+1,0,$AH10,1)),IF(N($F10)&lt;=0,$N10,WORKDAY.INTL($N10,$F10-1,WorkWeek,Holidays))))</f>
        <v>46296</v>
      </c>
      <c r="P10" s="29"/>
      <c r="Q10" s="29"/>
      <c r="R10" s="30" t="n">
        <f aca="true">IF($D10="","",IF($AI10,MIN(OFFSET(hdr_FcStart,$AF10+1,0,$AH10,1)),IF(N($P10)&gt;0,$P10,IF($E10="Manual",IF(N($M10)&gt;0,$M10,ProjectStart),WORKDAY.INTL(MAX(ProjectStart,N($M10),$AM10,$AN10,IF(RescheduleAfterStatus="Yes",StatusDate,0))-1,1,WorkWeek,Holidays)))))</f>
        <v>46280</v>
      </c>
      <c r="S10" s="30" t="n">
        <f aca="true">IF($D10="","",IF($AI10,MAX(OFFSET(hdr_FcFinish,$AF10+1,0,$AH10,1)),IF(N($Q10)&gt;0,$Q10,IF(N($F10)&lt;=0,$R10,IF(AND(N($P10)&gt;0,RescheduleAfterStatus="Yes"),MAX(WORKDAY.INTL($R10,$F10-1,WorkWeek,Holidays),WORKDAY.INTL(StatusWorkday,MAX(0,ROUNDUP($F10*(1-MIN(1,N($U10))),0)-1),WorkWeek,Holidays)),WORKDAY.INTL($R10,$F10-1,WorkWeek,Holidays))))))</f>
        <v>46301</v>
      </c>
      <c r="T10" s="38" t="n">
        <f aca="false">IF($D10="","",IF($S10&gt;=$O10,NETWORKDAYS.INTL($O10,$S10,WorkWeek,Holidays)-1,1-NETWORKDAYS.INTL($S10,$O10,WorkWeek,Holidays)))</f>
        <v>3</v>
      </c>
      <c r="U10" s="32"/>
      <c r="V10" s="42" t="n">
        <f aca="true">IF($D10="","",IF($AI10,IFERROR(SUM(OFFSET(hdr_WtDone,$AF10+1,0,$AH10,1))/SUM(OFFSET(hdr_WtDur,$AF10+1,0,$AH10,1)),0),IF(N($Q10)&gt;0,1,MIN(1,N($U10)))))</f>
        <v>1</v>
      </c>
      <c r="W10" s="39" t="str">
        <f aca="false">IF($D10="","",IF($V10&gt;=1,"Complete",IF(OR(N($P10)&gt;0,$V10&gt;0),IF($T10&gt;0,"Behind","In Progress"),IF($N10&lt;StatusDate,"Late Start","Not Started"))))</f>
        <v>Complete</v>
      </c>
      <c r="X10" s="41"/>
      <c r="Y10" s="32"/>
      <c r="Z10" s="43" t="n">
        <f aca="true">IF($D10="","",IF($AI10,SUMPRODUCT(OFFSET(hdr_Work,$AF10+1,0,$AH10,1),OFFSET(hdr_IsLeaf,$AF10+1,0,$AH10,1)),IF($X10="",0,N($F10)*HoursPerDay*IF($Y10="",DefaultUnits,$Y10))))</f>
        <v>152</v>
      </c>
      <c r="AA10" s="44" t="n">
        <f aca="true">IF($D10="","",IF($AI10,SUMPRODUCT(OFFSET(hdr_Cost,$AF10+1,0,$AH10,1),OFFSET(hdr_IsLeaf,$AF10+1,0,$AH10,1)),$Z10*IFERROR(INDEX(res_Rate,MATCH($X10,res_Name,0)),0)))</f>
        <v>12480</v>
      </c>
      <c r="AB10" s="38" t="str">
        <f aca="false">IF(OR($D10="",$AI10),"",IF(OR($R10&lt;Sprint1Start,$R10&gt;SprintLastEnd),"Backlog",INDEX(spr_Name,MATCH($R10,spr_Start,1))))</f>
        <v/>
      </c>
      <c r="AC10" s="45" t="str">
        <f aca="false">IF($D10="","",$AT10&amp;IF(AND($AT10&lt;&gt;"",$AU10&lt;&gt;""),",","")&amp;$AU10)</f>
        <v/>
      </c>
      <c r="AD10" s="41"/>
      <c r="AE10" s="46" t="n">
        <f aca="false">IF($D10="","",MAX(1,N($C10)))</f>
        <v>1</v>
      </c>
      <c r="AF10" s="46" t="n">
        <f aca="false">ROW()-ROW(hdr_ID)</f>
        <v>5</v>
      </c>
      <c r="AG10" s="46" t="n">
        <f aca="false">IF(OR($D10="",$AE10&lt;=1),0,IFERROR(LOOKUP(2,1/($AE$5:$AE9=$AE10-1),ROW($AE$5:$AE9)),0))</f>
        <v>0</v>
      </c>
      <c r="AH10" s="46" t="n">
        <f aca="false">IF($D10="",0,COUNTIF(tsk_WBS,$B10&amp;".*"))</f>
        <v>4</v>
      </c>
      <c r="AI10" s="47" t="b">
        <f aca="false">$AH10&gt;0</f>
        <v>1</v>
      </c>
      <c r="AJ10" s="46" t="n">
        <f aca="false">IF(AND($D10&lt;&gt;"",NOT($AI10)),1,0)</f>
        <v>0</v>
      </c>
      <c r="AK10" s="48" t="n">
        <f aca="true">IF(OR(N($G10)=0,$AI10,$D10=""),0,IFERROR(CHOOSE(MATCH(IF($H10="","FS",$H10),{"FS","SS","FF","SF"},0),WORKDAY.INTL(OFFSET(hdr_PlanFinish,MATCH($G10,tsk_ID,0),0),IF(N($F10)=0,0,1)+N($I10),WorkWeek,Holidays),WORKDAY.INTL(OFFSET(hdr_PlanStart,MATCH($G10,tsk_ID,0),0),N($I10),WorkWeek,Holidays),WORKDAY.INTL(WORKDAY.INTL(OFFSET(hdr_PlanFinish,MATCH($G10,tsk_ID,0),0),N($I10),WorkWeek,Holidays),-MAX(0,N($F10)-1),WorkWeek,Holidays),WORKDAY.INTL(WORKDAY.INTL(OFFSET(hdr_PlanStart,MATCH($G10,tsk_ID,0),0),N($I10),WorkWeek,Holidays),-MAX(0,N($F10)-1),WorkWeek,Holidays)),0))</f>
        <v>0</v>
      </c>
      <c r="AL10" s="48" t="n">
        <f aca="true">IF(OR(N($J10)=0,$AI10,$D10=""),0,IFERROR(CHOOSE(MATCH(IF($K10="","FS",$K10),{"FS","SS","FF","SF"},0),WORKDAY.INTL(OFFSET(hdr_PlanFinish,MATCH($J10,tsk_ID,0),0),IF(N($F10)=0,0,1)+N($L10),WorkWeek,Holidays),WORKDAY.INTL(OFFSET(hdr_PlanStart,MATCH($J10,tsk_ID,0),0),N($L10),WorkWeek,Holidays),WORKDAY.INTL(WORKDAY.INTL(OFFSET(hdr_PlanFinish,MATCH($J10,tsk_ID,0),0),N($L10),WorkWeek,Holidays),-MAX(0,N($F10)-1),WorkWeek,Holidays),WORKDAY.INTL(WORKDAY.INTL(OFFSET(hdr_PlanStart,MATCH($J10,tsk_ID,0),0),N($L10),WorkWeek,Holidays),-MAX(0,N($F10)-1),WorkWeek,Holidays)),0))</f>
        <v>0</v>
      </c>
      <c r="AM10" s="48" t="n">
        <f aca="true">IF(OR(N($G10)=0,$AI10,$D10=""),0,IFERROR(CHOOSE(MATCH(IF($H10="","FS",$H10),{"FS","SS","FF","SF"},0),WORKDAY.INTL(OFFSET(hdr_FcFinish,MATCH($G10,tsk_ID,0),0),IF(N($F10)=0,0,1)+N($I10),WorkWeek,Holidays),WORKDAY.INTL(OFFSET(hdr_FcStart,MATCH($G10,tsk_ID,0),0),N($I10),WorkWeek,Holidays),WORKDAY.INTL(WORKDAY.INTL(OFFSET(hdr_FcFinish,MATCH($G10,tsk_ID,0),0),N($I10),WorkWeek,Holidays),-MAX(0,N($F10)-1),WorkWeek,Holidays),WORKDAY.INTL(WORKDAY.INTL(OFFSET(hdr_FcStart,MATCH($G10,tsk_ID,0),0),N($I10),WorkWeek,Holidays),-MAX(0,N($F10)-1),WorkWeek,Holidays)),0))</f>
        <v>0</v>
      </c>
      <c r="AN10" s="48" t="n">
        <f aca="true">IF(OR(N($J10)=0,$AI10,$D10=""),0,IFERROR(CHOOSE(MATCH(IF($K10="","FS",$K10),{"FS","SS","FF","SF"},0),WORKDAY.INTL(OFFSET(hdr_FcFinish,MATCH($J10,tsk_ID,0),0),IF(N($F10)=0,0,1)+N($L10),WorkWeek,Holidays),WORKDAY.INTL(OFFSET(hdr_FcStart,MATCH($J10,tsk_ID,0),0),N($L10),WorkWeek,Holidays),WORKDAY.INTL(WORKDAY.INTL(OFFSET(hdr_FcFinish,MATCH($J10,tsk_ID,0),0),N($L10),WorkWeek,Holidays),-MAX(0,N($F10)-1),WorkWeek,Holidays),WORKDAY.INTL(WORKDAY.INTL(OFFSET(hdr_FcStart,MATCH($J10,tsk_ID,0),0),N($L10),WorkWeek,Holidays),-MAX(0,N($F10)-1),WorkWeek,Holidays)),0))</f>
        <v>0</v>
      </c>
      <c r="AO10" s="48" t="n">
        <f aca="false">IF($AJ10=1,$R10,0)</f>
        <v>0</v>
      </c>
      <c r="AP10" s="48" t="n">
        <f aca="false">IF($AJ10=1,$S10,0)</f>
        <v>0</v>
      </c>
      <c r="AQ10" s="49" t="n">
        <f aca="false">IF(AND($AJ10=1,N($Z10)&gt;0),$Z10/($AP10-$AO10+1),0)</f>
        <v>0</v>
      </c>
      <c r="AR10" s="46" t="n">
        <f aca="false">IF($AJ10=1,MAX(N($F10),0.1),0)</f>
        <v>0</v>
      </c>
      <c r="AS10" s="46" t="n">
        <f aca="false">IF($AJ10=1,$AR10*$V10,0)</f>
        <v>0</v>
      </c>
      <c r="AT10" s="46" t="str">
        <f aca="false">IF(N($G10)=0,"",$G10&amp;IF(AND(IF($H10="","FS",$H10)="FS",N($I10)=0),"",IF($H10="","FS",$H10)&amp;IF(N($I10)=0,"",IF(N($I10)&gt;0,"+","")&amp;N($I10)&amp;"d")))</f>
        <v/>
      </c>
      <c r="AU10" s="46" t="str">
        <f aca="false">IF(N($J10)=0,"",$J10&amp;IF(AND(IF($K10="","FS",$K10)="FS",N($L10)=0),"",IF($K10="","FS",$K10)&amp;IF(N($L10)=0,"",IF(N($L10)&gt;0,"+","")&amp;N($L10)&amp;"d")))</f>
        <v/>
      </c>
      <c r="AV10" s="46" t="str">
        <f aca="false">IF(AND($AJ10=1,N($F10)=0,$V10&lt;1),$S10+$AF10/100000,"")</f>
        <v/>
      </c>
    </row>
    <row r="11" customFormat="false" ht="15" hidden="false" customHeight="false" outlineLevel="0" collapsed="false">
      <c r="A11" s="38" t="n">
        <f aca="false">IF($D11="","",COUNTA($D$6:$D11))</f>
        <v>6</v>
      </c>
      <c r="B11" s="39" t="str">
        <f aca="true">IF($D11="","",IF($AE11=1,COUNTIF($AE$6:$AE11,1)&amp;"",IF($AG11=0,"?",OFFSET(hdr_WBS,$AG11-ROW(hdr_WBS),0)&amp;"."&amp;COUNTIF(INDEX($AE:$AE,$AG11+1):$AE11,$AE11))))</f>
        <v>2.1</v>
      </c>
      <c r="C11" s="40" t="n">
        <v>2</v>
      </c>
      <c r="D11" s="41" t="s">
        <v>215</v>
      </c>
      <c r="E11" s="40" t="s">
        <v>205</v>
      </c>
      <c r="F11" s="40" t="n">
        <v>8</v>
      </c>
      <c r="G11" s="40" t="n">
        <v>4</v>
      </c>
      <c r="H11" s="40" t="s">
        <v>210</v>
      </c>
      <c r="I11" s="40"/>
      <c r="J11" s="40"/>
      <c r="K11" s="40"/>
      <c r="L11" s="40"/>
      <c r="M11" s="29"/>
      <c r="N11" s="30" t="n">
        <f aca="true">IF($D11="","",IF($AI11,MIN(OFFSET(hdr_PlanStart,$AF11+1,0,$AH11,1)),IF($E11="Manual",IF(N($M11)&gt;0,$M11,ProjectStart),WORKDAY.INTL(MAX(ProjectStart,N($M11),$AK11,$AL11)-1,1,WorkWeek,Holidays))))</f>
        <v>46279</v>
      </c>
      <c r="O11" s="30" t="n">
        <f aca="true">IF($D11="","",IF($AI11,MAX(OFFSET(hdr_PlanFinish,$AF11+1,0,$AH11,1)),IF(N($F11)&lt;=0,$N11,WORKDAY.INTL($N11,$F11-1,WorkWeek,Holidays))))</f>
        <v>46288</v>
      </c>
      <c r="P11" s="29" t="n">
        <v>46280</v>
      </c>
      <c r="Q11" s="29" t="n">
        <v>46290</v>
      </c>
      <c r="R11" s="30" t="n">
        <f aca="true">IF($D11="","",IF($AI11,MIN(OFFSET(hdr_FcStart,$AF11+1,0,$AH11,1)),IF(N($P11)&gt;0,$P11,IF($E11="Manual",IF(N($M11)&gt;0,$M11,ProjectStart),WORKDAY.INTL(MAX(ProjectStart,N($M11),$AM11,$AN11,IF(RescheduleAfterStatus="Yes",StatusDate,0))-1,1,WorkWeek,Holidays)))))</f>
        <v>46280</v>
      </c>
      <c r="S11" s="30" t="n">
        <f aca="true">IF($D11="","",IF($AI11,MAX(OFFSET(hdr_FcFinish,$AF11+1,0,$AH11,1)),IF(N($Q11)&gt;0,$Q11,IF(N($F11)&lt;=0,$R11,IF(AND(N($P11)&gt;0,RescheduleAfterStatus="Yes"),MAX(WORKDAY.INTL($R11,$F11-1,WorkWeek,Holidays),WORKDAY.INTL(StatusWorkday,MAX(0,ROUNDUP($F11*(1-MIN(1,N($U11))),0)-1),WorkWeek,Holidays)),WORKDAY.INTL($R11,$F11-1,WorkWeek,Holidays))))))</f>
        <v>46290</v>
      </c>
      <c r="T11" s="38" t="n">
        <f aca="false">IF($D11="","",IF($S11&gt;=$O11,NETWORKDAYS.INTL($O11,$S11,WorkWeek,Holidays)-1,1-NETWORKDAYS.INTL($S11,$O11,WorkWeek,Holidays)))</f>
        <v>2</v>
      </c>
      <c r="U11" s="32" t="n">
        <v>1</v>
      </c>
      <c r="V11" s="42" t="n">
        <f aca="true">IF($D11="","",IF($AI11,IFERROR(SUM(OFFSET(hdr_WtDone,$AF11+1,0,$AH11,1))/SUM(OFFSET(hdr_WtDur,$AF11+1,0,$AH11,1)),0),IF(N($Q11)&gt;0,1,MIN(1,N($U11)))))</f>
        <v>1</v>
      </c>
      <c r="W11" s="39" t="str">
        <f aca="false">IF($D11="","",IF($V11&gt;=1,"Complete",IF(OR(N($P11)&gt;0,$V11&gt;0),IF($T11&gt;0,"Behind","In Progress"),IF($N11&lt;StatusDate,"Late Start","Not Started"))))</f>
        <v>Complete</v>
      </c>
      <c r="X11" s="41" t="s">
        <v>211</v>
      </c>
      <c r="Y11" s="32"/>
      <c r="Z11" s="43" t="n">
        <f aca="true">IF($D11="","",IF($AI11,SUMPRODUCT(OFFSET(hdr_Work,$AF11+1,0,$AH11,1),OFFSET(hdr_IsLeaf,$AF11+1,0,$AH11,1)),IF($X11="",0,N($F11)*HoursPerDay*IF($Y11="",DefaultUnits,$Y11))))</f>
        <v>64</v>
      </c>
      <c r="AA11" s="44" t="n">
        <f aca="true">IF($D11="","",IF($AI11,SUMPRODUCT(OFFSET(hdr_Cost,$AF11+1,0,$AH11,1),OFFSET(hdr_IsLeaf,$AF11+1,0,$AH11,1)),$Z11*IFERROR(INDEX(res_Rate,MATCH($X11,res_Name,0)),0)))</f>
        <v>4480</v>
      </c>
      <c r="AB11" s="38" t="str">
        <f aca="false">IF(OR($D11="",$AI11),"",IF(OR($R11&lt;Sprint1Start,$R11&gt;SprintLastEnd),"Backlog",INDEX(spr_Name,MATCH($R11,spr_Start,1))))</f>
        <v>Sprint 1</v>
      </c>
      <c r="AC11" s="45" t="str">
        <f aca="false">IF($D11="","",$AT11&amp;IF(AND($AT11&lt;&gt;"",$AU11&lt;&gt;""),",","")&amp;$AU11)</f>
        <v>4</v>
      </c>
      <c r="AD11" s="41"/>
      <c r="AE11" s="46" t="n">
        <f aca="false">IF($D11="","",MAX(1,N($C11)))</f>
        <v>2</v>
      </c>
      <c r="AF11" s="46" t="n">
        <f aca="false">ROW()-ROW(hdr_ID)</f>
        <v>6</v>
      </c>
      <c r="AG11" s="46" t="n">
        <f aca="false">IF(OR($D11="",$AE11&lt;=1),0,IFERROR(LOOKUP(2,1/($AE$5:$AE10=$AE11-1),ROW($AE$5:$AE10)),0))</f>
        <v>10</v>
      </c>
      <c r="AH11" s="46" t="n">
        <f aca="false">IF($D11="",0,COUNTIF(tsk_WBS,$B11&amp;".*"))</f>
        <v>0</v>
      </c>
      <c r="AI11" s="47" t="b">
        <f aca="false">$AH11&gt;0</f>
        <v>0</v>
      </c>
      <c r="AJ11" s="46" t="n">
        <f aca="false">IF(AND($D11&lt;&gt;"",NOT($AI11)),1,0)</f>
        <v>1</v>
      </c>
      <c r="AK11" s="48" t="n">
        <f aca="true">IF(OR(N($G11)=0,$AI11,$D11=""),0,IFERROR(CHOOSE(MATCH(IF($H11="","FS",$H11),{"FS","SS","FF","SF"},0),WORKDAY.INTL(OFFSET(hdr_PlanFinish,MATCH($G11,tsk_ID,0),0),IF(N($F11)=0,0,1)+N($I11),WorkWeek,Holidays),WORKDAY.INTL(OFFSET(hdr_PlanStart,MATCH($G11,tsk_ID,0),0),N($I11),WorkWeek,Holidays),WORKDAY.INTL(WORKDAY.INTL(OFFSET(hdr_PlanFinish,MATCH($G11,tsk_ID,0),0),N($I11),WorkWeek,Holidays),-MAX(0,N($F11)-1),WorkWeek,Holidays),WORKDAY.INTL(WORKDAY.INTL(OFFSET(hdr_PlanStart,MATCH($G11,tsk_ID,0),0),N($I11),WorkWeek,Holidays),-MAX(0,N($F11)-1),WorkWeek,Holidays)),0))</f>
        <v>46279</v>
      </c>
      <c r="AL11" s="48" t="n">
        <f aca="true">IF(OR(N($J11)=0,$AI11,$D11=""),0,IFERROR(CHOOSE(MATCH(IF($K11="","FS",$K11),{"FS","SS","FF","SF"},0),WORKDAY.INTL(OFFSET(hdr_PlanFinish,MATCH($J11,tsk_ID,0),0),IF(N($F11)=0,0,1)+N($L11),WorkWeek,Holidays),WORKDAY.INTL(OFFSET(hdr_PlanStart,MATCH($J11,tsk_ID,0),0),N($L11),WorkWeek,Holidays),WORKDAY.INTL(WORKDAY.INTL(OFFSET(hdr_PlanFinish,MATCH($J11,tsk_ID,0),0),N($L11),WorkWeek,Holidays),-MAX(0,N($F11)-1),WorkWeek,Holidays),WORKDAY.INTL(WORKDAY.INTL(OFFSET(hdr_PlanStart,MATCH($J11,tsk_ID,0),0),N($L11),WorkWeek,Holidays),-MAX(0,N($F11)-1),WorkWeek,Holidays)),0))</f>
        <v>0</v>
      </c>
      <c r="AM11" s="48" t="n">
        <f aca="true">IF(OR(N($G11)=0,$AI11,$D11=""),0,IFERROR(CHOOSE(MATCH(IF($H11="","FS",$H11),{"FS","SS","FF","SF"},0),WORKDAY.INTL(OFFSET(hdr_FcFinish,MATCH($G11,tsk_ID,0),0),IF(N($F11)=0,0,1)+N($I11),WorkWeek,Holidays),WORKDAY.INTL(OFFSET(hdr_FcStart,MATCH($G11,tsk_ID,0),0),N($I11),WorkWeek,Holidays),WORKDAY.INTL(WORKDAY.INTL(OFFSET(hdr_FcFinish,MATCH($G11,tsk_ID,0),0),N($I11),WorkWeek,Holidays),-MAX(0,N($F11)-1),WorkWeek,Holidays),WORKDAY.INTL(WORKDAY.INTL(OFFSET(hdr_FcStart,MATCH($G11,tsk_ID,0),0),N($I11),WorkWeek,Holidays),-MAX(0,N($F11)-1),WorkWeek,Holidays)),0))</f>
        <v>46280</v>
      </c>
      <c r="AN11" s="48" t="n">
        <f aca="true">IF(OR(N($J11)=0,$AI11,$D11=""),0,IFERROR(CHOOSE(MATCH(IF($K11="","FS",$K11),{"FS","SS","FF","SF"},0),WORKDAY.INTL(OFFSET(hdr_FcFinish,MATCH($J11,tsk_ID,0),0),IF(N($F11)=0,0,1)+N($L11),WorkWeek,Holidays),WORKDAY.INTL(OFFSET(hdr_FcStart,MATCH($J11,tsk_ID,0),0),N($L11),WorkWeek,Holidays),WORKDAY.INTL(WORKDAY.INTL(OFFSET(hdr_FcFinish,MATCH($J11,tsk_ID,0),0),N($L11),WorkWeek,Holidays),-MAX(0,N($F11)-1),WorkWeek,Holidays),WORKDAY.INTL(WORKDAY.INTL(OFFSET(hdr_FcStart,MATCH($J11,tsk_ID,0),0),N($L11),WorkWeek,Holidays),-MAX(0,N($F11)-1),WorkWeek,Holidays)),0))</f>
        <v>0</v>
      </c>
      <c r="AO11" s="48" t="n">
        <f aca="false">IF($AJ11=1,$R11,0)</f>
        <v>46280</v>
      </c>
      <c r="AP11" s="48" t="n">
        <f aca="false">IF($AJ11=1,$S11,0)</f>
        <v>46290</v>
      </c>
      <c r="AQ11" s="49" t="n">
        <f aca="false">IF(AND($AJ11=1,N($Z11)&gt;0),$Z11/($AP11-$AO11+1),0)</f>
        <v>5.81818181818182</v>
      </c>
      <c r="AR11" s="46" t="n">
        <f aca="false">IF($AJ11=1,MAX(N($F11),0.1),0)</f>
        <v>8</v>
      </c>
      <c r="AS11" s="46" t="n">
        <f aca="false">IF($AJ11=1,$AR11*$V11,0)</f>
        <v>8</v>
      </c>
      <c r="AT11" s="46" t="str">
        <f aca="false">IF(N($G11)=0,"",$G11&amp;IF(AND(IF($H11="","FS",$H11)="FS",N($I11)=0),"",IF($H11="","FS",$H11)&amp;IF(N($I11)=0,"",IF(N($I11)&gt;0,"+","")&amp;N($I11)&amp;"d")))</f>
        <v>4</v>
      </c>
      <c r="AU11" s="46" t="str">
        <f aca="false">IF(N($J11)=0,"",$J11&amp;IF(AND(IF($K11="","FS",$K11)="FS",N($L11)=0),"",IF($K11="","FS",$K11)&amp;IF(N($L11)=0,"",IF(N($L11)&gt;0,"+","")&amp;N($L11)&amp;"d")))</f>
        <v/>
      </c>
      <c r="AV11" s="46" t="str">
        <f aca="false">IF(AND($AJ11=1,N($F11)=0,$V11&lt;1),$S11+$AF11/100000,"")</f>
        <v/>
      </c>
    </row>
    <row r="12" customFormat="false" ht="15" hidden="false" customHeight="false" outlineLevel="0" collapsed="false">
      <c r="A12" s="38" t="n">
        <f aca="false">IF($D12="","",COUNTA($D$6:$D12))</f>
        <v>7</v>
      </c>
      <c r="B12" s="39" t="str">
        <f aca="true">IF($D12="","",IF($AE12=1,COUNTIF($AE$6:$AE12,1)&amp;"",IF($AG12=0,"?",OFFSET(hdr_WBS,$AG12-ROW(hdr_WBS),0)&amp;"."&amp;COUNTIF(INDEX($AE:$AE,$AG12+1):$AE12,$AE12))))</f>
        <v>2.2</v>
      </c>
      <c r="C12" s="40" t="n">
        <v>2</v>
      </c>
      <c r="D12" s="41" t="s">
        <v>216</v>
      </c>
      <c r="E12" s="40" t="s">
        <v>205</v>
      </c>
      <c r="F12" s="40" t="n">
        <v>5</v>
      </c>
      <c r="G12" s="40" t="n">
        <v>6</v>
      </c>
      <c r="H12" s="40" t="s">
        <v>217</v>
      </c>
      <c r="I12" s="40" t="n">
        <v>3</v>
      </c>
      <c r="J12" s="40"/>
      <c r="K12" s="40"/>
      <c r="L12" s="40"/>
      <c r="M12" s="29"/>
      <c r="N12" s="30" t="n">
        <f aca="true">IF($D12="","",IF($AI12,MIN(OFFSET(hdr_PlanStart,$AF12+1,0,$AH12,1)),IF($E12="Manual",IF(N($M12)&gt;0,$M12,ProjectStart),WORKDAY.INTL(MAX(ProjectStart,N($M12),$AK12,$AL12)-1,1,WorkWeek,Holidays))))</f>
        <v>46282</v>
      </c>
      <c r="O12" s="30" t="n">
        <f aca="true">IF($D12="","",IF($AI12,MAX(OFFSET(hdr_PlanFinish,$AF12+1,0,$AH12,1)),IF(N($F12)&lt;=0,$N12,WORKDAY.INTL($N12,$F12-1,WorkWeek,Holidays))))</f>
        <v>46288</v>
      </c>
      <c r="P12" s="29" t="n">
        <v>46283</v>
      </c>
      <c r="Q12" s="29" t="n">
        <v>46290</v>
      </c>
      <c r="R12" s="30" t="n">
        <f aca="true">IF($D12="","",IF($AI12,MIN(OFFSET(hdr_FcStart,$AF12+1,0,$AH12,1)),IF(N($P12)&gt;0,$P12,IF($E12="Manual",IF(N($M12)&gt;0,$M12,ProjectStart),WORKDAY.INTL(MAX(ProjectStart,N($M12),$AM12,$AN12,IF(RescheduleAfterStatus="Yes",StatusDate,0))-1,1,WorkWeek,Holidays)))))</f>
        <v>46283</v>
      </c>
      <c r="S12" s="30" t="n">
        <f aca="true">IF($D12="","",IF($AI12,MAX(OFFSET(hdr_FcFinish,$AF12+1,0,$AH12,1)),IF(N($Q12)&gt;0,$Q12,IF(N($F12)&lt;=0,$R12,IF(AND(N($P12)&gt;0,RescheduleAfterStatus="Yes"),MAX(WORKDAY.INTL($R12,$F12-1,WorkWeek,Holidays),WORKDAY.INTL(StatusWorkday,MAX(0,ROUNDUP($F12*(1-MIN(1,N($U12))),0)-1),WorkWeek,Holidays)),WORKDAY.INTL($R12,$F12-1,WorkWeek,Holidays))))))</f>
        <v>46290</v>
      </c>
      <c r="T12" s="38" t="n">
        <f aca="false">IF($D12="","",IF($S12&gt;=$O12,NETWORKDAYS.INTL($O12,$S12,WorkWeek,Holidays)-1,1-NETWORKDAYS.INTL($S12,$O12,WorkWeek,Holidays)))</f>
        <v>2</v>
      </c>
      <c r="U12" s="32" t="n">
        <v>1</v>
      </c>
      <c r="V12" s="42" t="n">
        <f aca="true">IF($D12="","",IF($AI12,IFERROR(SUM(OFFSET(hdr_WtDone,$AF12+1,0,$AH12,1))/SUM(OFFSET(hdr_WtDur,$AF12+1,0,$AH12,1)),0),IF(N($Q12)&gt;0,1,MIN(1,N($U12)))))</f>
        <v>1</v>
      </c>
      <c r="W12" s="39" t="str">
        <f aca="false">IF($D12="","",IF($V12&gt;=1,"Complete",IF(OR(N($P12)&gt;0,$V12&gt;0),IF($T12&gt;0,"Behind","In Progress"),IF($N12&lt;StatusDate,"Late Start","Not Started"))))</f>
        <v>Complete</v>
      </c>
      <c r="X12" s="41" t="s">
        <v>218</v>
      </c>
      <c r="Y12" s="32"/>
      <c r="Z12" s="43" t="n">
        <f aca="true">IF($D12="","",IF($AI12,SUMPRODUCT(OFFSET(hdr_Work,$AF12+1,0,$AH12,1),OFFSET(hdr_IsLeaf,$AF12+1,0,$AH12,1)),IF($X12="",0,N($F12)*HoursPerDay*IF($Y12="",DefaultUnits,$Y12))))</f>
        <v>40</v>
      </c>
      <c r="AA12" s="44" t="n">
        <f aca="true">IF($D12="","",IF($AI12,SUMPRODUCT(OFFSET(hdr_Cost,$AF12+1,0,$AH12,1),OFFSET(hdr_IsLeaf,$AF12+1,0,$AH12,1)),$Z12*IFERROR(INDEX(res_Rate,MATCH($X12,res_Name,0)),0)))</f>
        <v>4400</v>
      </c>
      <c r="AB12" s="38" t="str">
        <f aca="false">IF(OR($D12="",$AI12),"",IF(OR($R12&lt;Sprint1Start,$R12&gt;SprintLastEnd),"Backlog",INDEX(spr_Name,MATCH($R12,spr_Start,1))))</f>
        <v>Sprint 1</v>
      </c>
      <c r="AC12" s="45" t="str">
        <f aca="false">IF($D12="","",$AT12&amp;IF(AND($AT12&lt;&gt;"",$AU12&lt;&gt;""),",","")&amp;$AU12)</f>
        <v>6SS+3d</v>
      </c>
      <c r="AD12" s="41" t="s">
        <v>219</v>
      </c>
      <c r="AE12" s="46" t="n">
        <f aca="false">IF($D12="","",MAX(1,N($C12)))</f>
        <v>2</v>
      </c>
      <c r="AF12" s="46" t="n">
        <f aca="false">ROW()-ROW(hdr_ID)</f>
        <v>7</v>
      </c>
      <c r="AG12" s="46" t="n">
        <f aca="false">IF(OR($D12="",$AE12&lt;=1),0,IFERROR(LOOKUP(2,1/($AE$5:$AE11=$AE12-1),ROW($AE$5:$AE11)),0))</f>
        <v>10</v>
      </c>
      <c r="AH12" s="46" t="n">
        <f aca="false">IF($D12="",0,COUNTIF(tsk_WBS,$B12&amp;".*"))</f>
        <v>0</v>
      </c>
      <c r="AI12" s="47" t="b">
        <f aca="false">$AH12&gt;0</f>
        <v>0</v>
      </c>
      <c r="AJ12" s="46" t="n">
        <f aca="false">IF(AND($D12&lt;&gt;"",NOT($AI12)),1,0)</f>
        <v>1</v>
      </c>
      <c r="AK12" s="48" t="n">
        <f aca="true">IF(OR(N($G12)=0,$AI12,$D12=""),0,IFERROR(CHOOSE(MATCH(IF($H12="","FS",$H12),{"FS","SS","FF","SF"},0),WORKDAY.INTL(OFFSET(hdr_PlanFinish,MATCH($G12,tsk_ID,0),0),IF(N($F12)=0,0,1)+N($I12),WorkWeek,Holidays),WORKDAY.INTL(OFFSET(hdr_PlanStart,MATCH($G12,tsk_ID,0),0),N($I12),WorkWeek,Holidays),WORKDAY.INTL(WORKDAY.INTL(OFFSET(hdr_PlanFinish,MATCH($G12,tsk_ID,0),0),N($I12),WorkWeek,Holidays),-MAX(0,N($F12)-1),WorkWeek,Holidays),WORKDAY.INTL(WORKDAY.INTL(OFFSET(hdr_PlanStart,MATCH($G12,tsk_ID,0),0),N($I12),WorkWeek,Holidays),-MAX(0,N($F12)-1),WorkWeek,Holidays)),0))</f>
        <v>46282</v>
      </c>
      <c r="AL12" s="48" t="n">
        <f aca="true">IF(OR(N($J12)=0,$AI12,$D12=""),0,IFERROR(CHOOSE(MATCH(IF($K12="","FS",$K12),{"FS","SS","FF","SF"},0),WORKDAY.INTL(OFFSET(hdr_PlanFinish,MATCH($J12,tsk_ID,0),0),IF(N($F12)=0,0,1)+N($L12),WorkWeek,Holidays),WORKDAY.INTL(OFFSET(hdr_PlanStart,MATCH($J12,tsk_ID,0),0),N($L12),WorkWeek,Holidays),WORKDAY.INTL(WORKDAY.INTL(OFFSET(hdr_PlanFinish,MATCH($J12,tsk_ID,0),0),N($L12),WorkWeek,Holidays),-MAX(0,N($F12)-1),WorkWeek,Holidays),WORKDAY.INTL(WORKDAY.INTL(OFFSET(hdr_PlanStart,MATCH($J12,tsk_ID,0),0),N($L12),WorkWeek,Holidays),-MAX(0,N($F12)-1),WorkWeek,Holidays)),0))</f>
        <v>0</v>
      </c>
      <c r="AM12" s="48" t="n">
        <f aca="true">IF(OR(N($G12)=0,$AI12,$D12=""),0,IFERROR(CHOOSE(MATCH(IF($H12="","FS",$H12),{"FS","SS","FF","SF"},0),WORKDAY.INTL(OFFSET(hdr_FcFinish,MATCH($G12,tsk_ID,0),0),IF(N($F12)=0,0,1)+N($I12),WorkWeek,Holidays),WORKDAY.INTL(OFFSET(hdr_FcStart,MATCH($G12,tsk_ID,0),0),N($I12),WorkWeek,Holidays),WORKDAY.INTL(WORKDAY.INTL(OFFSET(hdr_FcFinish,MATCH($G12,tsk_ID,0),0),N($I12),WorkWeek,Holidays),-MAX(0,N($F12)-1),WorkWeek,Holidays),WORKDAY.INTL(WORKDAY.INTL(OFFSET(hdr_FcStart,MATCH($G12,tsk_ID,0),0),N($I12),WorkWeek,Holidays),-MAX(0,N($F12)-1),WorkWeek,Holidays)),0))</f>
        <v>46283</v>
      </c>
      <c r="AN12" s="48" t="n">
        <f aca="true">IF(OR(N($J12)=0,$AI12,$D12=""),0,IFERROR(CHOOSE(MATCH(IF($K12="","FS",$K12),{"FS","SS","FF","SF"},0),WORKDAY.INTL(OFFSET(hdr_FcFinish,MATCH($J12,tsk_ID,0),0),IF(N($F12)=0,0,1)+N($L12),WorkWeek,Holidays),WORKDAY.INTL(OFFSET(hdr_FcStart,MATCH($J12,tsk_ID,0),0),N($L12),WorkWeek,Holidays),WORKDAY.INTL(WORKDAY.INTL(OFFSET(hdr_FcFinish,MATCH($J12,tsk_ID,0),0),N($L12),WorkWeek,Holidays),-MAX(0,N($F12)-1),WorkWeek,Holidays),WORKDAY.INTL(WORKDAY.INTL(OFFSET(hdr_FcStart,MATCH($J12,tsk_ID,0),0),N($L12),WorkWeek,Holidays),-MAX(0,N($F12)-1),WorkWeek,Holidays)),0))</f>
        <v>0</v>
      </c>
      <c r="AO12" s="48" t="n">
        <f aca="false">IF($AJ12=1,$R12,0)</f>
        <v>46283</v>
      </c>
      <c r="AP12" s="48" t="n">
        <f aca="false">IF($AJ12=1,$S12,0)</f>
        <v>46290</v>
      </c>
      <c r="AQ12" s="49" t="n">
        <f aca="false">IF(AND($AJ12=1,N($Z12)&gt;0),$Z12/($AP12-$AO12+1),0)</f>
        <v>5</v>
      </c>
      <c r="AR12" s="46" t="n">
        <f aca="false">IF($AJ12=1,MAX(N($F12),0.1),0)</f>
        <v>5</v>
      </c>
      <c r="AS12" s="46" t="n">
        <f aca="false">IF($AJ12=1,$AR12*$V12,0)</f>
        <v>5</v>
      </c>
      <c r="AT12" s="46" t="str">
        <f aca="false">IF(N($G12)=0,"",$G12&amp;IF(AND(IF($H12="","FS",$H12)="FS",N($I12)=0),"",IF($H12="","FS",$H12)&amp;IF(N($I12)=0,"",IF(N($I12)&gt;0,"+","")&amp;N($I12)&amp;"d")))</f>
        <v>6SS+3d</v>
      </c>
      <c r="AU12" s="46" t="str">
        <f aca="false">IF(N($J12)=0,"",$J12&amp;IF(AND(IF($K12="","FS",$K12)="FS",N($L12)=0),"",IF($K12="","FS",$K12)&amp;IF(N($L12)=0,"",IF(N($L12)&gt;0,"+","")&amp;N($L12)&amp;"d")))</f>
        <v/>
      </c>
      <c r="AV12" s="46" t="str">
        <f aca="false">IF(AND($AJ12=1,N($F12)=0,$V12&lt;1),$S12+$AF12/100000,"")</f>
        <v/>
      </c>
    </row>
    <row r="13" customFormat="false" ht="15" hidden="false" customHeight="false" outlineLevel="0" collapsed="false">
      <c r="A13" s="38" t="n">
        <f aca="false">IF($D13="","",COUNTA($D$6:$D13))</f>
        <v>8</v>
      </c>
      <c r="B13" s="39" t="str">
        <f aca="true">IF($D13="","",IF($AE13=1,COUNTIF($AE$6:$AE13,1)&amp;"",IF($AG13=0,"?",OFFSET(hdr_WBS,$AG13-ROW(hdr_WBS),0)&amp;"."&amp;COUNTIF(INDEX($AE:$AE,$AG13+1):$AE13,$AE13))))</f>
        <v>2.3</v>
      </c>
      <c r="C13" s="40" t="n">
        <v>2</v>
      </c>
      <c r="D13" s="41" t="s">
        <v>220</v>
      </c>
      <c r="E13" s="40" t="s">
        <v>205</v>
      </c>
      <c r="F13" s="40" t="n">
        <v>6</v>
      </c>
      <c r="G13" s="40" t="n">
        <v>6</v>
      </c>
      <c r="H13" s="40" t="s">
        <v>210</v>
      </c>
      <c r="I13" s="40"/>
      <c r="J13" s="40"/>
      <c r="K13" s="40"/>
      <c r="L13" s="40"/>
      <c r="M13" s="29"/>
      <c r="N13" s="30" t="n">
        <f aca="true">IF($D13="","",IF($AI13,MIN(OFFSET(hdr_PlanStart,$AF13+1,0,$AH13,1)),IF($E13="Manual",IF(N($M13)&gt;0,$M13,ProjectStart),WORKDAY.INTL(MAX(ProjectStart,N($M13),$AK13,$AL13)-1,1,WorkWeek,Holidays))))</f>
        <v>46289</v>
      </c>
      <c r="O13" s="30" t="n">
        <f aca="true">IF($D13="","",IF($AI13,MAX(OFFSET(hdr_PlanFinish,$AF13+1,0,$AH13,1)),IF(N($F13)&lt;=0,$N13,WORKDAY.INTL($N13,$F13-1,WorkWeek,Holidays))))</f>
        <v>46296</v>
      </c>
      <c r="P13" s="29" t="n">
        <v>46293</v>
      </c>
      <c r="Q13" s="29" t="n">
        <v>46301</v>
      </c>
      <c r="R13" s="30" t="n">
        <f aca="true">IF($D13="","",IF($AI13,MIN(OFFSET(hdr_FcStart,$AF13+1,0,$AH13,1)),IF(N($P13)&gt;0,$P13,IF($E13="Manual",IF(N($M13)&gt;0,$M13,ProjectStart),WORKDAY.INTL(MAX(ProjectStart,N($M13),$AM13,$AN13,IF(RescheduleAfterStatus="Yes",StatusDate,0))-1,1,WorkWeek,Holidays)))))</f>
        <v>46293</v>
      </c>
      <c r="S13" s="30" t="n">
        <f aca="true">IF($D13="","",IF($AI13,MAX(OFFSET(hdr_FcFinish,$AF13+1,0,$AH13,1)),IF(N($Q13)&gt;0,$Q13,IF(N($F13)&lt;=0,$R13,IF(AND(N($P13)&gt;0,RescheduleAfterStatus="Yes"),MAX(WORKDAY.INTL($R13,$F13-1,WorkWeek,Holidays),WORKDAY.INTL(StatusWorkday,MAX(0,ROUNDUP($F13*(1-MIN(1,N($U13))),0)-1),WorkWeek,Holidays)),WORKDAY.INTL($R13,$F13-1,WorkWeek,Holidays))))))</f>
        <v>46301</v>
      </c>
      <c r="T13" s="38" t="n">
        <f aca="false">IF($D13="","",IF($S13&gt;=$O13,NETWORKDAYS.INTL($O13,$S13,WorkWeek,Holidays)-1,1-NETWORKDAYS.INTL($S13,$O13,WorkWeek,Holidays)))</f>
        <v>3</v>
      </c>
      <c r="U13" s="32" t="n">
        <v>1</v>
      </c>
      <c r="V13" s="42" t="n">
        <f aca="true">IF($D13="","",IF($AI13,IFERROR(SUM(OFFSET(hdr_WtDone,$AF13+1,0,$AH13,1))/SUM(OFFSET(hdr_WtDur,$AF13+1,0,$AH13,1)),0),IF(N($Q13)&gt;0,1,MIN(1,N($U13)))))</f>
        <v>1</v>
      </c>
      <c r="W13" s="39" t="str">
        <f aca="false">IF($D13="","",IF($V13&gt;=1,"Complete",IF(OR(N($P13)&gt;0,$V13&gt;0),IF($T13&gt;0,"Behind","In Progress"),IF($N13&lt;StatusDate,"Late Start","Not Started"))))</f>
        <v>Complete</v>
      </c>
      <c r="X13" s="41" t="s">
        <v>221</v>
      </c>
      <c r="Y13" s="32"/>
      <c r="Z13" s="43" t="n">
        <f aca="true">IF($D13="","",IF($AI13,SUMPRODUCT(OFFSET(hdr_Work,$AF13+1,0,$AH13,1),OFFSET(hdr_IsLeaf,$AF13+1,0,$AH13,1)),IF($X13="",0,N($F13)*HoursPerDay*IF($Y13="",DefaultUnits,$Y13))))</f>
        <v>48</v>
      </c>
      <c r="AA13" s="44" t="n">
        <f aca="true">IF($D13="","",IF($AI13,SUMPRODUCT(OFFSET(hdr_Cost,$AF13+1,0,$AH13,1),OFFSET(hdr_IsLeaf,$AF13+1,0,$AH13,1)),$Z13*IFERROR(INDEX(res_Rate,MATCH($X13,res_Name,0)),0)))</f>
        <v>3600</v>
      </c>
      <c r="AB13" s="38" t="str">
        <f aca="false">IF(OR($D13="",$AI13),"",IF(OR($R13&lt;Sprint1Start,$R13&gt;SprintLastEnd),"Backlog",INDEX(spr_Name,MATCH($R13,spr_Start,1))))</f>
        <v>Sprint 2</v>
      </c>
      <c r="AC13" s="45" t="str">
        <f aca="false">IF($D13="","",$AT13&amp;IF(AND($AT13&lt;&gt;"",$AU13&lt;&gt;""),",","")&amp;$AU13)</f>
        <v>6</v>
      </c>
      <c r="AD13" s="41"/>
      <c r="AE13" s="46" t="n">
        <f aca="false">IF($D13="","",MAX(1,N($C13)))</f>
        <v>2</v>
      </c>
      <c r="AF13" s="46" t="n">
        <f aca="false">ROW()-ROW(hdr_ID)</f>
        <v>8</v>
      </c>
      <c r="AG13" s="46" t="n">
        <f aca="false">IF(OR($D13="",$AE13&lt;=1),0,IFERROR(LOOKUP(2,1/($AE$5:$AE12=$AE13-1),ROW($AE$5:$AE12)),0))</f>
        <v>10</v>
      </c>
      <c r="AH13" s="46" t="n">
        <f aca="false">IF($D13="",0,COUNTIF(tsk_WBS,$B13&amp;".*"))</f>
        <v>0</v>
      </c>
      <c r="AI13" s="47" t="b">
        <f aca="false">$AH13&gt;0</f>
        <v>0</v>
      </c>
      <c r="AJ13" s="46" t="n">
        <f aca="false">IF(AND($D13&lt;&gt;"",NOT($AI13)),1,0)</f>
        <v>1</v>
      </c>
      <c r="AK13" s="48" t="n">
        <f aca="true">IF(OR(N($G13)=0,$AI13,$D13=""),0,IFERROR(CHOOSE(MATCH(IF($H13="","FS",$H13),{"FS","SS","FF","SF"},0),WORKDAY.INTL(OFFSET(hdr_PlanFinish,MATCH($G13,tsk_ID,0),0),IF(N($F13)=0,0,1)+N($I13),WorkWeek,Holidays),WORKDAY.INTL(OFFSET(hdr_PlanStart,MATCH($G13,tsk_ID,0),0),N($I13),WorkWeek,Holidays),WORKDAY.INTL(WORKDAY.INTL(OFFSET(hdr_PlanFinish,MATCH($G13,tsk_ID,0),0),N($I13),WorkWeek,Holidays),-MAX(0,N($F13)-1),WorkWeek,Holidays),WORKDAY.INTL(WORKDAY.INTL(OFFSET(hdr_PlanStart,MATCH($G13,tsk_ID,0),0),N($I13),WorkWeek,Holidays),-MAX(0,N($F13)-1),WorkWeek,Holidays)),0))</f>
        <v>46289</v>
      </c>
      <c r="AL13" s="48" t="n">
        <f aca="true">IF(OR(N($J13)=0,$AI13,$D13=""),0,IFERROR(CHOOSE(MATCH(IF($K13="","FS",$K13),{"FS","SS","FF","SF"},0),WORKDAY.INTL(OFFSET(hdr_PlanFinish,MATCH($J13,tsk_ID,0),0),IF(N($F13)=0,0,1)+N($L13),WorkWeek,Holidays),WORKDAY.INTL(OFFSET(hdr_PlanStart,MATCH($J13,tsk_ID,0),0),N($L13),WorkWeek,Holidays),WORKDAY.INTL(WORKDAY.INTL(OFFSET(hdr_PlanFinish,MATCH($J13,tsk_ID,0),0),N($L13),WorkWeek,Holidays),-MAX(0,N($F13)-1),WorkWeek,Holidays),WORKDAY.INTL(WORKDAY.INTL(OFFSET(hdr_PlanStart,MATCH($J13,tsk_ID,0),0),N($L13),WorkWeek,Holidays),-MAX(0,N($F13)-1),WorkWeek,Holidays)),0))</f>
        <v>0</v>
      </c>
      <c r="AM13" s="48" t="n">
        <f aca="true">IF(OR(N($G13)=0,$AI13,$D13=""),0,IFERROR(CHOOSE(MATCH(IF($H13="","FS",$H13),{"FS","SS","FF","SF"},0),WORKDAY.INTL(OFFSET(hdr_FcFinish,MATCH($G13,tsk_ID,0),0),IF(N($F13)=0,0,1)+N($I13),WorkWeek,Holidays),WORKDAY.INTL(OFFSET(hdr_FcStart,MATCH($G13,tsk_ID,0),0),N($I13),WorkWeek,Holidays),WORKDAY.INTL(WORKDAY.INTL(OFFSET(hdr_FcFinish,MATCH($G13,tsk_ID,0),0),N($I13),WorkWeek,Holidays),-MAX(0,N($F13)-1),WorkWeek,Holidays),WORKDAY.INTL(WORKDAY.INTL(OFFSET(hdr_FcStart,MATCH($G13,tsk_ID,0),0),N($I13),WorkWeek,Holidays),-MAX(0,N($F13)-1),WorkWeek,Holidays)),0))</f>
        <v>46293</v>
      </c>
      <c r="AN13" s="48" t="n">
        <f aca="true">IF(OR(N($J13)=0,$AI13,$D13=""),0,IFERROR(CHOOSE(MATCH(IF($K13="","FS",$K13),{"FS","SS","FF","SF"},0),WORKDAY.INTL(OFFSET(hdr_FcFinish,MATCH($J13,tsk_ID,0),0),IF(N($F13)=0,0,1)+N($L13),WorkWeek,Holidays),WORKDAY.INTL(OFFSET(hdr_FcStart,MATCH($J13,tsk_ID,0),0),N($L13),WorkWeek,Holidays),WORKDAY.INTL(WORKDAY.INTL(OFFSET(hdr_FcFinish,MATCH($J13,tsk_ID,0),0),N($L13),WorkWeek,Holidays),-MAX(0,N($F13)-1),WorkWeek,Holidays),WORKDAY.INTL(WORKDAY.INTL(OFFSET(hdr_FcStart,MATCH($J13,tsk_ID,0),0),N($L13),WorkWeek,Holidays),-MAX(0,N($F13)-1),WorkWeek,Holidays)),0))</f>
        <v>0</v>
      </c>
      <c r="AO13" s="48" t="n">
        <f aca="false">IF($AJ13=1,$R13,0)</f>
        <v>46293</v>
      </c>
      <c r="AP13" s="48" t="n">
        <f aca="false">IF($AJ13=1,$S13,0)</f>
        <v>46301</v>
      </c>
      <c r="AQ13" s="49" t="n">
        <f aca="false">IF(AND($AJ13=1,N($Z13)&gt;0),$Z13/($AP13-$AO13+1),0)</f>
        <v>5.33333333333333</v>
      </c>
      <c r="AR13" s="46" t="n">
        <f aca="false">IF($AJ13=1,MAX(N($F13),0.1),0)</f>
        <v>6</v>
      </c>
      <c r="AS13" s="46" t="n">
        <f aca="false">IF($AJ13=1,$AR13*$V13,0)</f>
        <v>6</v>
      </c>
      <c r="AT13" s="46" t="str">
        <f aca="false">IF(N($G13)=0,"",$G13&amp;IF(AND(IF($H13="","FS",$H13)="FS",N($I13)=0),"",IF($H13="","FS",$H13)&amp;IF(N($I13)=0,"",IF(N($I13)&gt;0,"+","")&amp;N($I13)&amp;"d")))</f>
        <v>6</v>
      </c>
      <c r="AU13" s="46" t="str">
        <f aca="false">IF(N($J13)=0,"",$J13&amp;IF(AND(IF($K13="","FS",$K13)="FS",N($L13)=0),"",IF($K13="","FS",$K13)&amp;IF(N($L13)=0,"",IF(N($L13)&gt;0,"+","")&amp;N($L13)&amp;"d")))</f>
        <v/>
      </c>
      <c r="AV13" s="46" t="str">
        <f aca="false">IF(AND($AJ13=1,N($F13)=0,$V13&lt;1),$S13+$AF13/100000,"")</f>
        <v/>
      </c>
    </row>
    <row r="14" customFormat="false" ht="15" hidden="false" customHeight="false" outlineLevel="0" collapsed="false">
      <c r="A14" s="38" t="n">
        <f aca="false">IF($D14="","",COUNTA($D$6:$D14))</f>
        <v>9</v>
      </c>
      <c r="B14" s="39" t="str">
        <f aca="true">IF($D14="","",IF($AE14=1,COUNTIF($AE$6:$AE14,1)&amp;"",IF($AG14=0,"?",OFFSET(hdr_WBS,$AG14-ROW(hdr_WBS),0)&amp;"."&amp;COUNTIF(INDEX($AE:$AE,$AG14+1):$AE14,$AE14))))</f>
        <v>2.4</v>
      </c>
      <c r="C14" s="40" t="n">
        <v>2</v>
      </c>
      <c r="D14" s="41" t="s">
        <v>222</v>
      </c>
      <c r="E14" s="40" t="s">
        <v>205</v>
      </c>
      <c r="F14" s="40" t="n">
        <v>0</v>
      </c>
      <c r="G14" s="40" t="n">
        <v>7</v>
      </c>
      <c r="H14" s="40" t="s">
        <v>210</v>
      </c>
      <c r="I14" s="40"/>
      <c r="J14" s="40" t="n">
        <v>8</v>
      </c>
      <c r="K14" s="40" t="s">
        <v>210</v>
      </c>
      <c r="L14" s="40"/>
      <c r="M14" s="29"/>
      <c r="N14" s="30" t="n">
        <f aca="true">IF($D14="","",IF($AI14,MIN(OFFSET(hdr_PlanStart,$AF14+1,0,$AH14,1)),IF($E14="Manual",IF(N($M14)&gt;0,$M14,ProjectStart),WORKDAY.INTL(MAX(ProjectStart,N($M14),$AK14,$AL14)-1,1,WorkWeek,Holidays))))</f>
        <v>46296</v>
      </c>
      <c r="O14" s="30" t="n">
        <f aca="true">IF($D14="","",IF($AI14,MAX(OFFSET(hdr_PlanFinish,$AF14+1,0,$AH14,1)),IF(N($F14)&lt;=0,$N14,WORKDAY.INTL($N14,$F14-1,WorkWeek,Holidays))))</f>
        <v>46296</v>
      </c>
      <c r="P14" s="29" t="n">
        <v>46301</v>
      </c>
      <c r="Q14" s="29" t="n">
        <v>46301</v>
      </c>
      <c r="R14" s="30" t="n">
        <f aca="true">IF($D14="","",IF($AI14,MIN(OFFSET(hdr_FcStart,$AF14+1,0,$AH14,1)),IF(N($P14)&gt;0,$P14,IF($E14="Manual",IF(N($M14)&gt;0,$M14,ProjectStart),WORKDAY.INTL(MAX(ProjectStart,N($M14),$AM14,$AN14,IF(RescheduleAfterStatus="Yes",StatusDate,0))-1,1,WorkWeek,Holidays)))))</f>
        <v>46301</v>
      </c>
      <c r="S14" s="30" t="n">
        <f aca="true">IF($D14="","",IF($AI14,MAX(OFFSET(hdr_FcFinish,$AF14+1,0,$AH14,1)),IF(N($Q14)&gt;0,$Q14,IF(N($F14)&lt;=0,$R14,IF(AND(N($P14)&gt;0,RescheduleAfterStatus="Yes"),MAX(WORKDAY.INTL($R14,$F14-1,WorkWeek,Holidays),WORKDAY.INTL(StatusWorkday,MAX(0,ROUNDUP($F14*(1-MIN(1,N($U14))),0)-1),WorkWeek,Holidays)),WORKDAY.INTL($R14,$F14-1,WorkWeek,Holidays))))))</f>
        <v>46301</v>
      </c>
      <c r="T14" s="38" t="n">
        <f aca="false">IF($D14="","",IF($S14&gt;=$O14,NETWORKDAYS.INTL($O14,$S14,WorkWeek,Holidays)-1,1-NETWORKDAYS.INTL($S14,$O14,WorkWeek,Holidays)))</f>
        <v>3</v>
      </c>
      <c r="U14" s="32" t="n">
        <v>1</v>
      </c>
      <c r="V14" s="42" t="n">
        <f aca="true">IF($D14="","",IF($AI14,IFERROR(SUM(OFFSET(hdr_WtDone,$AF14+1,0,$AH14,1))/SUM(OFFSET(hdr_WtDur,$AF14+1,0,$AH14,1)),0),IF(N($Q14)&gt;0,1,MIN(1,N($U14)))))</f>
        <v>1</v>
      </c>
      <c r="W14" s="39" t="str">
        <f aca="false">IF($D14="","",IF($V14&gt;=1,"Complete",IF(OR(N($P14)&gt;0,$V14&gt;0),IF($T14&gt;0,"Behind","In Progress"),IF($N14&lt;StatusDate,"Late Start","Not Started"))))</f>
        <v>Complete</v>
      </c>
      <c r="X14" s="41"/>
      <c r="Y14" s="32"/>
      <c r="Z14" s="43" t="n">
        <f aca="true">IF($D14="","",IF($AI14,SUMPRODUCT(OFFSET(hdr_Work,$AF14+1,0,$AH14,1),OFFSET(hdr_IsLeaf,$AF14+1,0,$AH14,1)),IF($X14="",0,N($F14)*HoursPerDay*IF($Y14="",DefaultUnits,$Y14))))</f>
        <v>0</v>
      </c>
      <c r="AA14" s="44" t="n">
        <f aca="true">IF($D14="","",IF($AI14,SUMPRODUCT(OFFSET(hdr_Cost,$AF14+1,0,$AH14,1),OFFSET(hdr_IsLeaf,$AF14+1,0,$AH14,1)),$Z14*IFERROR(INDEX(res_Rate,MATCH($X14,res_Name,0)),0)))</f>
        <v>0</v>
      </c>
      <c r="AB14" s="38" t="str">
        <f aca="false">IF(OR($D14="",$AI14),"",IF(OR($R14&lt;Sprint1Start,$R14&gt;SprintLastEnd),"Backlog",INDEX(spr_Name,MATCH($R14,spr_Start,1))))</f>
        <v>Sprint 3</v>
      </c>
      <c r="AC14" s="45" t="str">
        <f aca="false">IF($D14="","",$AT14&amp;IF(AND($AT14&lt;&gt;"",$AU14&lt;&gt;""),",","")&amp;$AU14)</f>
        <v>7,8</v>
      </c>
      <c r="AD14" s="41" t="s">
        <v>223</v>
      </c>
      <c r="AE14" s="46" t="n">
        <f aca="false">IF($D14="","",MAX(1,N($C14)))</f>
        <v>2</v>
      </c>
      <c r="AF14" s="46" t="n">
        <f aca="false">ROW()-ROW(hdr_ID)</f>
        <v>9</v>
      </c>
      <c r="AG14" s="46" t="n">
        <f aca="false">IF(OR($D14="",$AE14&lt;=1),0,IFERROR(LOOKUP(2,1/($AE$5:$AE13=$AE14-1),ROW($AE$5:$AE13)),0))</f>
        <v>10</v>
      </c>
      <c r="AH14" s="46" t="n">
        <f aca="false">IF($D14="",0,COUNTIF(tsk_WBS,$B14&amp;".*"))</f>
        <v>0</v>
      </c>
      <c r="AI14" s="47" t="b">
        <f aca="false">$AH14&gt;0</f>
        <v>0</v>
      </c>
      <c r="AJ14" s="46" t="n">
        <f aca="false">IF(AND($D14&lt;&gt;"",NOT($AI14)),1,0)</f>
        <v>1</v>
      </c>
      <c r="AK14" s="48" t="n">
        <f aca="true">IF(OR(N($G14)=0,$AI14,$D14=""),0,IFERROR(CHOOSE(MATCH(IF($H14="","FS",$H14),{"FS","SS","FF","SF"},0),WORKDAY.INTL(OFFSET(hdr_PlanFinish,MATCH($G14,tsk_ID,0),0),IF(N($F14)=0,0,1)+N($I14),WorkWeek,Holidays),WORKDAY.INTL(OFFSET(hdr_PlanStart,MATCH($G14,tsk_ID,0),0),N($I14),WorkWeek,Holidays),WORKDAY.INTL(WORKDAY.INTL(OFFSET(hdr_PlanFinish,MATCH($G14,tsk_ID,0),0),N($I14),WorkWeek,Holidays),-MAX(0,N($F14)-1),WorkWeek,Holidays),WORKDAY.INTL(WORKDAY.INTL(OFFSET(hdr_PlanStart,MATCH($G14,tsk_ID,0),0),N($I14),WorkWeek,Holidays),-MAX(0,N($F14)-1),WorkWeek,Holidays)),0))</f>
        <v>46288</v>
      </c>
      <c r="AL14" s="48" t="n">
        <f aca="true">IF(OR(N($J14)=0,$AI14,$D14=""),0,IFERROR(CHOOSE(MATCH(IF($K14="","FS",$K14),{"FS","SS","FF","SF"},0),WORKDAY.INTL(OFFSET(hdr_PlanFinish,MATCH($J14,tsk_ID,0),0),IF(N($F14)=0,0,1)+N($L14),WorkWeek,Holidays),WORKDAY.INTL(OFFSET(hdr_PlanStart,MATCH($J14,tsk_ID,0),0),N($L14),WorkWeek,Holidays),WORKDAY.INTL(WORKDAY.INTL(OFFSET(hdr_PlanFinish,MATCH($J14,tsk_ID,0),0),N($L14),WorkWeek,Holidays),-MAX(0,N($F14)-1),WorkWeek,Holidays),WORKDAY.INTL(WORKDAY.INTL(OFFSET(hdr_PlanStart,MATCH($J14,tsk_ID,0),0),N($L14),WorkWeek,Holidays),-MAX(0,N($F14)-1),WorkWeek,Holidays)),0))</f>
        <v>46296</v>
      </c>
      <c r="AM14" s="48" t="n">
        <f aca="true">IF(OR(N($G14)=0,$AI14,$D14=""),0,IFERROR(CHOOSE(MATCH(IF($H14="","FS",$H14),{"FS","SS","FF","SF"},0),WORKDAY.INTL(OFFSET(hdr_FcFinish,MATCH($G14,tsk_ID,0),0),IF(N($F14)=0,0,1)+N($I14),WorkWeek,Holidays),WORKDAY.INTL(OFFSET(hdr_FcStart,MATCH($G14,tsk_ID,0),0),N($I14),WorkWeek,Holidays),WORKDAY.INTL(WORKDAY.INTL(OFFSET(hdr_FcFinish,MATCH($G14,tsk_ID,0),0),N($I14),WorkWeek,Holidays),-MAX(0,N($F14)-1),WorkWeek,Holidays),WORKDAY.INTL(WORKDAY.INTL(OFFSET(hdr_FcStart,MATCH($G14,tsk_ID,0),0),N($I14),WorkWeek,Holidays),-MAX(0,N($F14)-1),WorkWeek,Holidays)),0))</f>
        <v>46290</v>
      </c>
      <c r="AN14" s="48" t="n">
        <f aca="true">IF(OR(N($J14)=0,$AI14,$D14=""),0,IFERROR(CHOOSE(MATCH(IF($K14="","FS",$K14),{"FS","SS","FF","SF"},0),WORKDAY.INTL(OFFSET(hdr_FcFinish,MATCH($J14,tsk_ID,0),0),IF(N($F14)=0,0,1)+N($L14),WorkWeek,Holidays),WORKDAY.INTL(OFFSET(hdr_FcStart,MATCH($J14,tsk_ID,0),0),N($L14),WorkWeek,Holidays),WORKDAY.INTL(WORKDAY.INTL(OFFSET(hdr_FcFinish,MATCH($J14,tsk_ID,0),0),N($L14),WorkWeek,Holidays),-MAX(0,N($F14)-1),WorkWeek,Holidays),WORKDAY.INTL(WORKDAY.INTL(OFFSET(hdr_FcStart,MATCH($J14,tsk_ID,0),0),N($L14),WorkWeek,Holidays),-MAX(0,N($F14)-1),WorkWeek,Holidays)),0))</f>
        <v>46301</v>
      </c>
      <c r="AO14" s="48" t="n">
        <f aca="false">IF($AJ14=1,$R14,0)</f>
        <v>46301</v>
      </c>
      <c r="AP14" s="48" t="n">
        <f aca="false">IF($AJ14=1,$S14,0)</f>
        <v>46301</v>
      </c>
      <c r="AQ14" s="49" t="n">
        <f aca="false">IF(AND($AJ14=1,N($Z14)&gt;0),$Z14/($AP14-$AO14+1),0)</f>
        <v>0</v>
      </c>
      <c r="AR14" s="46" t="n">
        <f aca="false">IF($AJ14=1,MAX(N($F14),0.1),0)</f>
        <v>0.1</v>
      </c>
      <c r="AS14" s="46" t="n">
        <f aca="false">IF($AJ14=1,$AR14*$V14,0)</f>
        <v>0.1</v>
      </c>
      <c r="AT14" s="46" t="str">
        <f aca="false">IF(N($G14)=0,"",$G14&amp;IF(AND(IF($H14="","FS",$H14)="FS",N($I14)=0),"",IF($H14="","FS",$H14)&amp;IF(N($I14)=0,"",IF(N($I14)&gt;0,"+","")&amp;N($I14)&amp;"d")))</f>
        <v>7</v>
      </c>
      <c r="AU14" s="46" t="str">
        <f aca="false">IF(N($J14)=0,"",$J14&amp;IF(AND(IF($K14="","FS",$K14)="FS",N($L14)=0),"",IF($K14="","FS",$K14)&amp;IF(N($L14)=0,"",IF(N($L14)&gt;0,"+","")&amp;N($L14)&amp;"d")))</f>
        <v>8</v>
      </c>
      <c r="AV14" s="46" t="str">
        <f aca="false">IF(AND($AJ14=1,N($F14)=0,$V14&lt;1),$S14+$AF14/100000,"")</f>
        <v/>
      </c>
    </row>
    <row r="15" customFormat="false" ht="15" hidden="false" customHeight="false" outlineLevel="0" collapsed="false">
      <c r="A15" s="38" t="n">
        <f aca="false">IF($D15="","",COUNTA($D$6:$D15))</f>
        <v>10</v>
      </c>
      <c r="B15" s="39" t="str">
        <f aca="true">IF($D15="","",IF($AE15=1,COUNTIF($AE$6:$AE15,1)&amp;"",IF($AG15=0,"?",OFFSET(hdr_WBS,$AG15-ROW(hdr_WBS),0)&amp;"."&amp;COUNTIF(INDEX($AE:$AE,$AG15+1):$AE15,$AE15))))</f>
        <v>3</v>
      </c>
      <c r="C15" s="40" t="n">
        <v>1</v>
      </c>
      <c r="D15" s="41" t="s">
        <v>224</v>
      </c>
      <c r="E15" s="40" t="s">
        <v>205</v>
      </c>
      <c r="F15" s="40"/>
      <c r="G15" s="40"/>
      <c r="H15" s="40"/>
      <c r="I15" s="40"/>
      <c r="J15" s="40"/>
      <c r="K15" s="40"/>
      <c r="L15" s="40"/>
      <c r="M15" s="29"/>
      <c r="N15" s="30" t="n">
        <f aca="true">IF($D15="","",IF($AI15,MIN(OFFSET(hdr_PlanStart,$AF15+1,0,$AH15,1)),IF($E15="Manual",IF(N($M15)&gt;0,$M15,ProjectStart),WORKDAY.INTL(MAX(ProjectStart,N($M15),$AK15,$AL15)-1,1,WorkWeek,Holidays))))</f>
        <v>46297</v>
      </c>
      <c r="O15" s="30" t="n">
        <f aca="true">IF($D15="","",IF($AI15,MAX(OFFSET(hdr_PlanFinish,$AF15+1,0,$AH15,1)),IF(N($F15)&lt;=0,$N15,WORKDAY.INTL($N15,$F15-1,WorkWeek,Holidays))))</f>
        <v>46325</v>
      </c>
      <c r="P15" s="29"/>
      <c r="Q15" s="29"/>
      <c r="R15" s="30" t="n">
        <f aca="true">IF($D15="","",IF($AI15,MIN(OFFSET(hdr_FcStart,$AF15+1,0,$AH15,1)),IF(N($P15)&gt;0,$P15,IF($E15="Manual",IF(N($M15)&gt;0,$M15,ProjectStart),WORKDAY.INTL(MAX(ProjectStart,N($M15),$AM15,$AN15,IF(RescheduleAfterStatus="Yes",StatusDate,0))-1,1,WorkWeek,Holidays)))))</f>
        <v>46302</v>
      </c>
      <c r="S15" s="30" t="n">
        <f aca="true">IF($D15="","",IF($AI15,MAX(OFFSET(hdr_FcFinish,$AF15+1,0,$AH15,1)),IF(N($Q15)&gt;0,$Q15,IF(N($F15)&lt;=0,$R15,IF(AND(N($P15)&gt;0,RescheduleAfterStatus="Yes"),MAX(WORKDAY.INTL($R15,$F15-1,WorkWeek,Holidays),WORKDAY.INTL(StatusWorkday,MAX(0,ROUNDUP($F15*(1-MIN(1,N($U15))),0)-1),WorkWeek,Holidays)),WORKDAY.INTL($R15,$F15-1,WorkWeek,Holidays))))))</f>
        <v>46335</v>
      </c>
      <c r="T15" s="38" t="n">
        <f aca="false">IF($D15="","",IF($S15&gt;=$O15,NETWORKDAYS.INTL($O15,$S15,WorkWeek,Holidays)-1,1-NETWORKDAYS.INTL($S15,$O15,WorkWeek,Holidays)))</f>
        <v>6</v>
      </c>
      <c r="U15" s="32"/>
      <c r="V15" s="42" t="n">
        <f aca="true">IF($D15="","",IF($AI15,IFERROR(SUM(OFFSET(hdr_WtDone,$AF15+1,0,$AH15,1))/SUM(OFFSET(hdr_WtDur,$AF15+1,0,$AH15,1)),0),IF(N($Q15)&gt;0,1,MIN(1,N($U15)))))</f>
        <v>0.451306413301663</v>
      </c>
      <c r="W15" s="39" t="str">
        <f aca="false">IF($D15="","",IF($V15&gt;=1,"Complete",IF(OR(N($P15)&gt;0,$V15&gt;0),IF($T15&gt;0,"Behind","In Progress"),IF($N15&lt;StatusDate,"Late Start","Not Started"))))</f>
        <v>Behind</v>
      </c>
      <c r="X15" s="41"/>
      <c r="Y15" s="32"/>
      <c r="Z15" s="43" t="n">
        <f aca="true">IF($D15="","",IF($AI15,SUMPRODUCT(OFFSET(hdr_Work,$AF15+1,0,$AH15,1),OFFSET(hdr_IsLeaf,$AF15+1,0,$AH15,1)),IF($X15="",0,N($F15)*HoursPerDay*IF($Y15="",DefaultUnits,$Y15))))</f>
        <v>324</v>
      </c>
      <c r="AA15" s="44" t="n">
        <f aca="true">IF($D15="","",IF($AI15,SUMPRODUCT(OFFSET(hdr_Cost,$AF15+1,0,$AH15,1),OFFSET(hdr_IsLeaf,$AF15+1,0,$AH15,1)),$Z15*IFERROR(INDEX(res_Rate,MATCH($X15,res_Name,0)),0)))</f>
        <v>26700</v>
      </c>
      <c r="AB15" s="38" t="str">
        <f aca="false">IF(OR($D15="",$AI15),"",IF(OR($R15&lt;Sprint1Start,$R15&gt;SprintLastEnd),"Backlog",INDEX(spr_Name,MATCH($R15,spr_Start,1))))</f>
        <v/>
      </c>
      <c r="AC15" s="45" t="str">
        <f aca="false">IF($D15="","",$AT15&amp;IF(AND($AT15&lt;&gt;"",$AU15&lt;&gt;""),",","")&amp;$AU15)</f>
        <v/>
      </c>
      <c r="AD15" s="41"/>
      <c r="AE15" s="46" t="n">
        <f aca="false">IF($D15="","",MAX(1,N($C15)))</f>
        <v>1</v>
      </c>
      <c r="AF15" s="46" t="n">
        <f aca="false">ROW()-ROW(hdr_ID)</f>
        <v>10</v>
      </c>
      <c r="AG15" s="46" t="n">
        <f aca="false">IF(OR($D15="",$AE15&lt;=1),0,IFERROR(LOOKUP(2,1/($AE$5:$AE14=$AE15-1),ROW($AE$5:$AE14)),0))</f>
        <v>0</v>
      </c>
      <c r="AH15" s="46" t="n">
        <f aca="false">IF($D15="",0,COUNTIF(tsk_WBS,$B15&amp;".*"))</f>
        <v>9</v>
      </c>
      <c r="AI15" s="47" t="b">
        <f aca="false">$AH15&gt;0</f>
        <v>1</v>
      </c>
      <c r="AJ15" s="46" t="n">
        <f aca="false">IF(AND($D15&lt;&gt;"",NOT($AI15)),1,0)</f>
        <v>0</v>
      </c>
      <c r="AK15" s="48" t="n">
        <f aca="true">IF(OR(N($G15)=0,$AI15,$D15=""),0,IFERROR(CHOOSE(MATCH(IF($H15="","FS",$H15),{"FS","SS","FF","SF"},0),WORKDAY.INTL(OFFSET(hdr_PlanFinish,MATCH($G15,tsk_ID,0),0),IF(N($F15)=0,0,1)+N($I15),WorkWeek,Holidays),WORKDAY.INTL(OFFSET(hdr_PlanStart,MATCH($G15,tsk_ID,0),0),N($I15),WorkWeek,Holidays),WORKDAY.INTL(WORKDAY.INTL(OFFSET(hdr_PlanFinish,MATCH($G15,tsk_ID,0),0),N($I15),WorkWeek,Holidays),-MAX(0,N($F15)-1),WorkWeek,Holidays),WORKDAY.INTL(WORKDAY.INTL(OFFSET(hdr_PlanStart,MATCH($G15,tsk_ID,0),0),N($I15),WorkWeek,Holidays),-MAX(0,N($F15)-1),WorkWeek,Holidays)),0))</f>
        <v>0</v>
      </c>
      <c r="AL15" s="48" t="n">
        <f aca="true">IF(OR(N($J15)=0,$AI15,$D15=""),0,IFERROR(CHOOSE(MATCH(IF($K15="","FS",$K15),{"FS","SS","FF","SF"},0),WORKDAY.INTL(OFFSET(hdr_PlanFinish,MATCH($J15,tsk_ID,0),0),IF(N($F15)=0,0,1)+N($L15),WorkWeek,Holidays),WORKDAY.INTL(OFFSET(hdr_PlanStart,MATCH($J15,tsk_ID,0),0),N($L15),WorkWeek,Holidays),WORKDAY.INTL(WORKDAY.INTL(OFFSET(hdr_PlanFinish,MATCH($J15,tsk_ID,0),0),N($L15),WorkWeek,Holidays),-MAX(0,N($F15)-1),WorkWeek,Holidays),WORKDAY.INTL(WORKDAY.INTL(OFFSET(hdr_PlanStart,MATCH($J15,tsk_ID,0),0),N($L15),WorkWeek,Holidays),-MAX(0,N($F15)-1),WorkWeek,Holidays)),0))</f>
        <v>0</v>
      </c>
      <c r="AM15" s="48" t="n">
        <f aca="true">IF(OR(N($G15)=0,$AI15,$D15=""),0,IFERROR(CHOOSE(MATCH(IF($H15="","FS",$H15),{"FS","SS","FF","SF"},0),WORKDAY.INTL(OFFSET(hdr_FcFinish,MATCH($G15,tsk_ID,0),0),IF(N($F15)=0,0,1)+N($I15),WorkWeek,Holidays),WORKDAY.INTL(OFFSET(hdr_FcStart,MATCH($G15,tsk_ID,0),0),N($I15),WorkWeek,Holidays),WORKDAY.INTL(WORKDAY.INTL(OFFSET(hdr_FcFinish,MATCH($G15,tsk_ID,0),0),N($I15),WorkWeek,Holidays),-MAX(0,N($F15)-1),WorkWeek,Holidays),WORKDAY.INTL(WORKDAY.INTL(OFFSET(hdr_FcStart,MATCH($G15,tsk_ID,0),0),N($I15),WorkWeek,Holidays),-MAX(0,N($F15)-1),WorkWeek,Holidays)),0))</f>
        <v>0</v>
      </c>
      <c r="AN15" s="48" t="n">
        <f aca="true">IF(OR(N($J15)=0,$AI15,$D15=""),0,IFERROR(CHOOSE(MATCH(IF($K15="","FS",$K15),{"FS","SS","FF","SF"},0),WORKDAY.INTL(OFFSET(hdr_FcFinish,MATCH($J15,tsk_ID,0),0),IF(N($F15)=0,0,1)+N($L15),WorkWeek,Holidays),WORKDAY.INTL(OFFSET(hdr_FcStart,MATCH($J15,tsk_ID,0),0),N($L15),WorkWeek,Holidays),WORKDAY.INTL(WORKDAY.INTL(OFFSET(hdr_FcFinish,MATCH($J15,tsk_ID,0),0),N($L15),WorkWeek,Holidays),-MAX(0,N($F15)-1),WorkWeek,Holidays),WORKDAY.INTL(WORKDAY.INTL(OFFSET(hdr_FcStart,MATCH($J15,tsk_ID,0),0),N($L15),WorkWeek,Holidays),-MAX(0,N($F15)-1),WorkWeek,Holidays)),0))</f>
        <v>0</v>
      </c>
      <c r="AO15" s="48" t="n">
        <f aca="false">IF($AJ15=1,$R15,0)</f>
        <v>0</v>
      </c>
      <c r="AP15" s="48" t="n">
        <f aca="false">IF($AJ15=1,$S15,0)</f>
        <v>0</v>
      </c>
      <c r="AQ15" s="49" t="n">
        <f aca="false">IF(AND($AJ15=1,N($Z15)&gt;0),$Z15/($AP15-$AO15+1),0)</f>
        <v>0</v>
      </c>
      <c r="AR15" s="46" t="n">
        <f aca="false">IF($AJ15=1,MAX(N($F15),0.1),0)</f>
        <v>0</v>
      </c>
      <c r="AS15" s="46" t="n">
        <f aca="false">IF($AJ15=1,$AR15*$V15,0)</f>
        <v>0</v>
      </c>
      <c r="AT15" s="46" t="str">
        <f aca="false">IF(N($G15)=0,"",$G15&amp;IF(AND(IF($H15="","FS",$H15)="FS",N($I15)=0),"",IF($H15="","FS",$H15)&amp;IF(N($I15)=0,"",IF(N($I15)&gt;0,"+","")&amp;N($I15)&amp;"d")))</f>
        <v/>
      </c>
      <c r="AU15" s="46" t="str">
        <f aca="false">IF(N($J15)=0,"",$J15&amp;IF(AND(IF($K15="","FS",$K15)="FS",N($L15)=0),"",IF($K15="","FS",$K15)&amp;IF(N($L15)=0,"",IF(N($L15)&gt;0,"+","")&amp;N($L15)&amp;"d")))</f>
        <v/>
      </c>
      <c r="AV15" s="46" t="str">
        <f aca="false">IF(AND($AJ15=1,N($F15)=0,$V15&lt;1),$S15+$AF15/100000,"")</f>
        <v/>
      </c>
    </row>
    <row r="16" customFormat="false" ht="15" hidden="false" customHeight="false" outlineLevel="0" collapsed="false">
      <c r="A16" s="38" t="n">
        <f aca="false">IF($D16="","",COUNTA($D$6:$D16))</f>
        <v>11</v>
      </c>
      <c r="B16" s="39" t="str">
        <f aca="true">IF($D16="","",IF($AE16=1,COUNTIF($AE$6:$AE16,1)&amp;"",IF($AG16=0,"?",OFFSET(hdr_WBS,$AG16-ROW(hdr_WBS),0)&amp;"."&amp;COUNTIF(INDEX($AE:$AE,$AG16+1):$AE16,$AE16))))</f>
        <v>3.1</v>
      </c>
      <c r="C16" s="40" t="n">
        <v>2</v>
      </c>
      <c r="D16" s="41" t="s">
        <v>225</v>
      </c>
      <c r="E16" s="40" t="s">
        <v>205</v>
      </c>
      <c r="F16" s="40"/>
      <c r="G16" s="40"/>
      <c r="H16" s="40"/>
      <c r="I16" s="40"/>
      <c r="J16" s="40"/>
      <c r="K16" s="40"/>
      <c r="L16" s="40"/>
      <c r="M16" s="29"/>
      <c r="N16" s="30" t="n">
        <f aca="true">IF($D16="","",IF($AI16,MIN(OFFSET(hdr_PlanStart,$AF16+1,0,$AH16,1)),IF($E16="Manual",IF(N($M16)&gt;0,$M16,ProjectStart),WORKDAY.INTL(MAX(ProjectStart,N($M16),$AK16,$AL16)-1,1,WorkWeek,Holidays))))</f>
        <v>46297</v>
      </c>
      <c r="O16" s="30" t="n">
        <f aca="true">IF($D16="","",IF($AI16,MAX(OFFSET(hdr_PlanFinish,$AF16+1,0,$AH16,1)),IF(N($F16)&lt;=0,$N16,WORKDAY.INTL($N16,$F16-1,WorkWeek,Holidays))))</f>
        <v>46325</v>
      </c>
      <c r="P16" s="29"/>
      <c r="Q16" s="29"/>
      <c r="R16" s="30" t="n">
        <f aca="true">IF($D16="","",IF($AI16,MIN(OFFSET(hdr_FcStart,$AF16+1,0,$AH16,1)),IF(N($P16)&gt;0,$P16,IF($E16="Manual",IF(N($M16)&gt;0,$M16,ProjectStart),WORKDAY.INTL(MAX(ProjectStart,N($M16),$AM16,$AN16,IF(RescheduleAfterStatus="Yes",StatusDate,0))-1,1,WorkWeek,Holidays)))))</f>
        <v>46302</v>
      </c>
      <c r="S16" s="30" t="n">
        <f aca="true">IF($D16="","",IF($AI16,MAX(OFFSET(hdr_FcFinish,$AF16+1,0,$AH16,1)),IF(N($Q16)&gt;0,$Q16,IF(N($F16)&lt;=0,$R16,IF(AND(N($P16)&gt;0,RescheduleAfterStatus="Yes"),MAX(WORKDAY.INTL($R16,$F16-1,WorkWeek,Holidays),WORKDAY.INTL(StatusWorkday,MAX(0,ROUNDUP($F16*(1-MIN(1,N($U16))),0)-1),WorkWeek,Holidays)),WORKDAY.INTL($R16,$F16-1,WorkWeek,Holidays))))))</f>
        <v>46335</v>
      </c>
      <c r="T16" s="38" t="n">
        <f aca="false">IF($D16="","",IF($S16&gt;=$O16,NETWORKDAYS.INTL($O16,$S16,WorkWeek,Holidays)-1,1-NETWORKDAYS.INTL($S16,$O16,WorkWeek,Holidays)))</f>
        <v>6</v>
      </c>
      <c r="U16" s="32"/>
      <c r="V16" s="42" t="n">
        <f aca="true">IF($D16="","",IF($AI16,IFERROR(SUM(OFFSET(hdr_WtDone,$AF16+1,0,$AH16,1))/SUM(OFFSET(hdr_WtDur,$AF16+1,0,$AH16,1)),0),IF(N($Q16)&gt;0,1,MIN(1,N($U16)))))</f>
        <v>0.476190476190476</v>
      </c>
      <c r="W16" s="39" t="str">
        <f aca="false">IF($D16="","",IF($V16&gt;=1,"Complete",IF(OR(N($P16)&gt;0,$V16&gt;0),IF($T16&gt;0,"Behind","In Progress"),IF($N16&lt;StatusDate,"Late Start","Not Started"))))</f>
        <v>Behind</v>
      </c>
      <c r="X16" s="41"/>
      <c r="Y16" s="32"/>
      <c r="Z16" s="43" t="n">
        <f aca="true">IF($D16="","",IF($AI16,SUMPRODUCT(OFFSET(hdr_Work,$AF16+1,0,$AH16,1),OFFSET(hdr_IsLeaf,$AF16+1,0,$AH16,1)),IF($X16="",0,N($F16)*HoursPerDay*IF($Y16="",DefaultUnits,$Y16))))</f>
        <v>168</v>
      </c>
      <c r="AA16" s="44" t="n">
        <f aca="true">IF($D16="","",IF($AI16,SUMPRODUCT(OFFSET(hdr_Cost,$AF16+1,0,$AH16,1),OFFSET(hdr_IsLeaf,$AF16+1,0,$AH16,1)),$Z16*IFERROR(INDEX(res_Rate,MATCH($X16,res_Name,0)),0)))</f>
        <v>14280</v>
      </c>
      <c r="AB16" s="38" t="str">
        <f aca="false">IF(OR($D16="",$AI16),"",IF(OR($R16&lt;Sprint1Start,$R16&gt;SprintLastEnd),"Backlog",INDEX(spr_Name,MATCH($R16,spr_Start,1))))</f>
        <v/>
      </c>
      <c r="AC16" s="45" t="str">
        <f aca="false">IF($D16="","",$AT16&amp;IF(AND($AT16&lt;&gt;"",$AU16&lt;&gt;""),",","")&amp;$AU16)</f>
        <v/>
      </c>
      <c r="AD16" s="41" t="s">
        <v>226</v>
      </c>
      <c r="AE16" s="46" t="n">
        <f aca="false">IF($D16="","",MAX(1,N($C16)))</f>
        <v>2</v>
      </c>
      <c r="AF16" s="46" t="n">
        <f aca="false">ROW()-ROW(hdr_ID)</f>
        <v>11</v>
      </c>
      <c r="AG16" s="46" t="n">
        <f aca="false">IF(OR($D16="",$AE16&lt;=1),0,IFERROR(LOOKUP(2,1/($AE$5:$AE15=$AE16-1),ROW($AE$5:$AE15)),0))</f>
        <v>15</v>
      </c>
      <c r="AH16" s="46" t="n">
        <f aca="false">IF($D16="",0,COUNTIF(tsk_WBS,$B16&amp;".*"))</f>
        <v>3</v>
      </c>
      <c r="AI16" s="47" t="b">
        <f aca="false">$AH16&gt;0</f>
        <v>1</v>
      </c>
      <c r="AJ16" s="46" t="n">
        <f aca="false">IF(AND($D16&lt;&gt;"",NOT($AI16)),1,0)</f>
        <v>0</v>
      </c>
      <c r="AK16" s="48" t="n">
        <f aca="true">IF(OR(N($G16)=0,$AI16,$D16=""),0,IFERROR(CHOOSE(MATCH(IF($H16="","FS",$H16),{"FS","SS","FF","SF"},0),WORKDAY.INTL(OFFSET(hdr_PlanFinish,MATCH($G16,tsk_ID,0),0),IF(N($F16)=0,0,1)+N($I16),WorkWeek,Holidays),WORKDAY.INTL(OFFSET(hdr_PlanStart,MATCH($G16,tsk_ID,0),0),N($I16),WorkWeek,Holidays),WORKDAY.INTL(WORKDAY.INTL(OFFSET(hdr_PlanFinish,MATCH($G16,tsk_ID,0),0),N($I16),WorkWeek,Holidays),-MAX(0,N($F16)-1),WorkWeek,Holidays),WORKDAY.INTL(WORKDAY.INTL(OFFSET(hdr_PlanStart,MATCH($G16,tsk_ID,0),0),N($I16),WorkWeek,Holidays),-MAX(0,N($F16)-1),WorkWeek,Holidays)),0))</f>
        <v>0</v>
      </c>
      <c r="AL16" s="48" t="n">
        <f aca="true">IF(OR(N($J16)=0,$AI16,$D16=""),0,IFERROR(CHOOSE(MATCH(IF($K16="","FS",$K16),{"FS","SS","FF","SF"},0),WORKDAY.INTL(OFFSET(hdr_PlanFinish,MATCH($J16,tsk_ID,0),0),IF(N($F16)=0,0,1)+N($L16),WorkWeek,Holidays),WORKDAY.INTL(OFFSET(hdr_PlanStart,MATCH($J16,tsk_ID,0),0),N($L16),WorkWeek,Holidays),WORKDAY.INTL(WORKDAY.INTL(OFFSET(hdr_PlanFinish,MATCH($J16,tsk_ID,0),0),N($L16),WorkWeek,Holidays),-MAX(0,N($F16)-1),WorkWeek,Holidays),WORKDAY.INTL(WORKDAY.INTL(OFFSET(hdr_PlanStart,MATCH($J16,tsk_ID,0),0),N($L16),WorkWeek,Holidays),-MAX(0,N($F16)-1),WorkWeek,Holidays)),0))</f>
        <v>0</v>
      </c>
      <c r="AM16" s="48" t="n">
        <f aca="true">IF(OR(N($G16)=0,$AI16,$D16=""),0,IFERROR(CHOOSE(MATCH(IF($H16="","FS",$H16),{"FS","SS","FF","SF"},0),WORKDAY.INTL(OFFSET(hdr_FcFinish,MATCH($G16,tsk_ID,0),0),IF(N($F16)=0,0,1)+N($I16),WorkWeek,Holidays),WORKDAY.INTL(OFFSET(hdr_FcStart,MATCH($G16,tsk_ID,0),0),N($I16),WorkWeek,Holidays),WORKDAY.INTL(WORKDAY.INTL(OFFSET(hdr_FcFinish,MATCH($G16,tsk_ID,0),0),N($I16),WorkWeek,Holidays),-MAX(0,N($F16)-1),WorkWeek,Holidays),WORKDAY.INTL(WORKDAY.INTL(OFFSET(hdr_FcStart,MATCH($G16,tsk_ID,0),0),N($I16),WorkWeek,Holidays),-MAX(0,N($F16)-1),WorkWeek,Holidays)),0))</f>
        <v>0</v>
      </c>
      <c r="AN16" s="48" t="n">
        <f aca="true">IF(OR(N($J16)=0,$AI16,$D16=""),0,IFERROR(CHOOSE(MATCH(IF($K16="","FS",$K16),{"FS","SS","FF","SF"},0),WORKDAY.INTL(OFFSET(hdr_FcFinish,MATCH($J16,tsk_ID,0),0),IF(N($F16)=0,0,1)+N($L16),WorkWeek,Holidays),WORKDAY.INTL(OFFSET(hdr_FcStart,MATCH($J16,tsk_ID,0),0),N($L16),WorkWeek,Holidays),WORKDAY.INTL(WORKDAY.INTL(OFFSET(hdr_FcFinish,MATCH($J16,tsk_ID,0),0),N($L16),WorkWeek,Holidays),-MAX(0,N($F16)-1),WorkWeek,Holidays),WORKDAY.INTL(WORKDAY.INTL(OFFSET(hdr_FcStart,MATCH($J16,tsk_ID,0),0),N($L16),WorkWeek,Holidays),-MAX(0,N($F16)-1),WorkWeek,Holidays)),0))</f>
        <v>0</v>
      </c>
      <c r="AO16" s="48" t="n">
        <f aca="false">IF($AJ16=1,$R16,0)</f>
        <v>0</v>
      </c>
      <c r="AP16" s="48" t="n">
        <f aca="false">IF($AJ16=1,$S16,0)</f>
        <v>0</v>
      </c>
      <c r="AQ16" s="49" t="n">
        <f aca="false">IF(AND($AJ16=1,N($Z16)&gt;0),$Z16/($AP16-$AO16+1),0)</f>
        <v>0</v>
      </c>
      <c r="AR16" s="46" t="n">
        <f aca="false">IF($AJ16=1,MAX(N($F16),0.1),0)</f>
        <v>0</v>
      </c>
      <c r="AS16" s="46" t="n">
        <f aca="false">IF($AJ16=1,$AR16*$V16,0)</f>
        <v>0</v>
      </c>
      <c r="AT16" s="46" t="str">
        <f aca="false">IF(N($G16)=0,"",$G16&amp;IF(AND(IF($H16="","FS",$H16)="FS",N($I16)=0),"",IF($H16="","FS",$H16)&amp;IF(N($I16)=0,"",IF(N($I16)&gt;0,"+","")&amp;N($I16)&amp;"d")))</f>
        <v/>
      </c>
      <c r="AU16" s="46" t="str">
        <f aca="false">IF(N($J16)=0,"",$J16&amp;IF(AND(IF($K16="","FS",$K16)="FS",N($L16)=0),"",IF($K16="","FS",$K16)&amp;IF(N($L16)=0,"",IF(N($L16)&gt;0,"+","")&amp;N($L16)&amp;"d")))</f>
        <v/>
      </c>
      <c r="AV16" s="46" t="str">
        <f aca="false">IF(AND($AJ16=1,N($F16)=0,$V16&lt;1),$S16+$AF16/100000,"")</f>
        <v/>
      </c>
    </row>
    <row r="17" customFormat="false" ht="15" hidden="false" customHeight="false" outlineLevel="0" collapsed="false">
      <c r="A17" s="38" t="n">
        <f aca="false">IF($D17="","",COUNTA($D$6:$D17))</f>
        <v>12</v>
      </c>
      <c r="B17" s="39" t="str">
        <f aca="true">IF($D17="","",IF($AE17=1,COUNTIF($AE$6:$AE17,1)&amp;"",IF($AG17=0,"?",OFFSET(hdr_WBS,$AG17-ROW(hdr_WBS),0)&amp;"."&amp;COUNTIF(INDEX($AE:$AE,$AG17+1):$AE17,$AE17))))</f>
        <v>3.1.1</v>
      </c>
      <c r="C17" s="40" t="n">
        <v>3</v>
      </c>
      <c r="D17" s="41" t="s">
        <v>227</v>
      </c>
      <c r="E17" s="40" t="s">
        <v>205</v>
      </c>
      <c r="F17" s="40" t="n">
        <v>5</v>
      </c>
      <c r="G17" s="40" t="n">
        <v>9</v>
      </c>
      <c r="H17" s="40" t="s">
        <v>210</v>
      </c>
      <c r="I17" s="40"/>
      <c r="J17" s="40"/>
      <c r="K17" s="40"/>
      <c r="L17" s="40"/>
      <c r="M17" s="29"/>
      <c r="N17" s="30" t="n">
        <f aca="true">IF($D17="","",IF($AI17,MIN(OFFSET(hdr_PlanStart,$AF17+1,0,$AH17,1)),IF($E17="Manual",IF(N($M17)&gt;0,$M17,ProjectStart),WORKDAY.INTL(MAX(ProjectStart,N($M17),$AK17,$AL17)-1,1,WorkWeek,Holidays))))</f>
        <v>46297</v>
      </c>
      <c r="O17" s="30" t="n">
        <f aca="true">IF($D17="","",IF($AI17,MAX(OFFSET(hdr_PlanFinish,$AF17+1,0,$AH17,1)),IF(N($F17)&lt;=0,$N17,WORKDAY.INTL($N17,$F17-1,WorkWeek,Holidays))))</f>
        <v>46303</v>
      </c>
      <c r="P17" s="29" t="n">
        <v>46302</v>
      </c>
      <c r="Q17" s="29" t="n">
        <v>46309</v>
      </c>
      <c r="R17" s="30" t="n">
        <f aca="true">IF($D17="","",IF($AI17,MIN(OFFSET(hdr_FcStart,$AF17+1,0,$AH17,1)),IF(N($P17)&gt;0,$P17,IF($E17="Manual",IF(N($M17)&gt;0,$M17,ProjectStart),WORKDAY.INTL(MAX(ProjectStart,N($M17),$AM17,$AN17,IF(RescheduleAfterStatus="Yes",StatusDate,0))-1,1,WorkWeek,Holidays)))))</f>
        <v>46302</v>
      </c>
      <c r="S17" s="30" t="n">
        <f aca="true">IF($D17="","",IF($AI17,MAX(OFFSET(hdr_FcFinish,$AF17+1,0,$AH17,1)),IF(N($Q17)&gt;0,$Q17,IF(N($F17)&lt;=0,$R17,IF(AND(N($P17)&gt;0,RescheduleAfterStatus="Yes"),MAX(WORKDAY.INTL($R17,$F17-1,WorkWeek,Holidays),WORKDAY.INTL(StatusWorkday,MAX(0,ROUNDUP($F17*(1-MIN(1,N($U17))),0)-1),WorkWeek,Holidays)),WORKDAY.INTL($R17,$F17-1,WorkWeek,Holidays))))))</f>
        <v>46309</v>
      </c>
      <c r="T17" s="38" t="n">
        <f aca="false">IF($D17="","",IF($S17&gt;=$O17,NETWORKDAYS.INTL($O17,$S17,WorkWeek,Holidays)-1,1-NETWORKDAYS.INTL($S17,$O17,WorkWeek,Holidays)))</f>
        <v>4</v>
      </c>
      <c r="U17" s="32" t="n">
        <v>1</v>
      </c>
      <c r="V17" s="42" t="n">
        <f aca="true">IF($D17="","",IF($AI17,IFERROR(SUM(OFFSET(hdr_WtDone,$AF17+1,0,$AH17,1))/SUM(OFFSET(hdr_WtDur,$AF17+1,0,$AH17,1)),0),IF(N($Q17)&gt;0,1,MIN(1,N($U17)))))</f>
        <v>1</v>
      </c>
      <c r="W17" s="39" t="str">
        <f aca="false">IF($D17="","",IF($V17&gt;=1,"Complete",IF(OR(N($P17)&gt;0,$V17&gt;0),IF($T17&gt;0,"Behind","In Progress"),IF($N17&lt;StatusDate,"Late Start","Not Started"))))</f>
        <v>Complete</v>
      </c>
      <c r="X17" s="41" t="s">
        <v>228</v>
      </c>
      <c r="Y17" s="32"/>
      <c r="Z17" s="43" t="n">
        <f aca="true">IF($D17="","",IF($AI17,SUMPRODUCT(OFFSET(hdr_Work,$AF17+1,0,$AH17,1),OFFSET(hdr_IsLeaf,$AF17+1,0,$AH17,1)),IF($X17="",0,N($F17)*HoursPerDay*IF($Y17="",DefaultUnits,$Y17))))</f>
        <v>40</v>
      </c>
      <c r="AA17" s="44" t="n">
        <f aca="true">IF($D17="","",IF($AI17,SUMPRODUCT(OFFSET(hdr_Cost,$AF17+1,0,$AH17,1),OFFSET(hdr_IsLeaf,$AF17+1,0,$AH17,1)),$Z17*IFERROR(INDEX(res_Rate,MATCH($X17,res_Name,0)),0)))</f>
        <v>3400</v>
      </c>
      <c r="AB17" s="38" t="str">
        <f aca="false">IF(OR($D17="",$AI17),"",IF(OR($R17&lt;Sprint1Start,$R17&gt;SprintLastEnd),"Backlog",INDEX(spr_Name,MATCH($R17,spr_Start,1))))</f>
        <v>Sprint 3</v>
      </c>
      <c r="AC17" s="45" t="str">
        <f aca="false">IF($D17="","",$AT17&amp;IF(AND($AT17&lt;&gt;"",$AU17&lt;&gt;""),",","")&amp;$AU17)</f>
        <v>9</v>
      </c>
      <c r="AD17" s="41"/>
      <c r="AE17" s="46" t="n">
        <f aca="false">IF($D17="","",MAX(1,N($C17)))</f>
        <v>3</v>
      </c>
      <c r="AF17" s="46" t="n">
        <f aca="false">ROW()-ROW(hdr_ID)</f>
        <v>12</v>
      </c>
      <c r="AG17" s="46" t="n">
        <f aca="false">IF(OR($D17="",$AE17&lt;=1),0,IFERROR(LOOKUP(2,1/($AE$5:$AE16=$AE17-1),ROW($AE$5:$AE16)),0))</f>
        <v>16</v>
      </c>
      <c r="AH17" s="46" t="n">
        <f aca="false">IF($D17="",0,COUNTIF(tsk_WBS,$B17&amp;".*"))</f>
        <v>0</v>
      </c>
      <c r="AI17" s="47" t="b">
        <f aca="false">$AH17&gt;0</f>
        <v>0</v>
      </c>
      <c r="AJ17" s="46" t="n">
        <f aca="false">IF(AND($D17&lt;&gt;"",NOT($AI17)),1,0)</f>
        <v>1</v>
      </c>
      <c r="AK17" s="48" t="n">
        <f aca="true">IF(OR(N($G17)=0,$AI17,$D17=""),0,IFERROR(CHOOSE(MATCH(IF($H17="","FS",$H17),{"FS","SS","FF","SF"},0),WORKDAY.INTL(OFFSET(hdr_PlanFinish,MATCH($G17,tsk_ID,0),0),IF(N($F17)=0,0,1)+N($I17),WorkWeek,Holidays),WORKDAY.INTL(OFFSET(hdr_PlanStart,MATCH($G17,tsk_ID,0),0),N($I17),WorkWeek,Holidays),WORKDAY.INTL(WORKDAY.INTL(OFFSET(hdr_PlanFinish,MATCH($G17,tsk_ID,0),0),N($I17),WorkWeek,Holidays),-MAX(0,N($F17)-1),WorkWeek,Holidays),WORKDAY.INTL(WORKDAY.INTL(OFFSET(hdr_PlanStart,MATCH($G17,tsk_ID,0),0),N($I17),WorkWeek,Holidays),-MAX(0,N($F17)-1),WorkWeek,Holidays)),0))</f>
        <v>46297</v>
      </c>
      <c r="AL17" s="48" t="n">
        <f aca="true">IF(OR(N($J17)=0,$AI17,$D17=""),0,IFERROR(CHOOSE(MATCH(IF($K17="","FS",$K17),{"FS","SS","FF","SF"},0),WORKDAY.INTL(OFFSET(hdr_PlanFinish,MATCH($J17,tsk_ID,0),0),IF(N($F17)=0,0,1)+N($L17),WorkWeek,Holidays),WORKDAY.INTL(OFFSET(hdr_PlanStart,MATCH($J17,tsk_ID,0),0),N($L17),WorkWeek,Holidays),WORKDAY.INTL(WORKDAY.INTL(OFFSET(hdr_PlanFinish,MATCH($J17,tsk_ID,0),0),N($L17),WorkWeek,Holidays),-MAX(0,N($F17)-1),WorkWeek,Holidays),WORKDAY.INTL(WORKDAY.INTL(OFFSET(hdr_PlanStart,MATCH($J17,tsk_ID,0),0),N($L17),WorkWeek,Holidays),-MAX(0,N($F17)-1),WorkWeek,Holidays)),0))</f>
        <v>0</v>
      </c>
      <c r="AM17" s="48" t="n">
        <f aca="true">IF(OR(N($G17)=0,$AI17,$D17=""),0,IFERROR(CHOOSE(MATCH(IF($H17="","FS",$H17),{"FS","SS","FF","SF"},0),WORKDAY.INTL(OFFSET(hdr_FcFinish,MATCH($G17,tsk_ID,0),0),IF(N($F17)=0,0,1)+N($I17),WorkWeek,Holidays),WORKDAY.INTL(OFFSET(hdr_FcStart,MATCH($G17,tsk_ID,0),0),N($I17),WorkWeek,Holidays),WORKDAY.INTL(WORKDAY.INTL(OFFSET(hdr_FcFinish,MATCH($G17,tsk_ID,0),0),N($I17),WorkWeek,Holidays),-MAX(0,N($F17)-1),WorkWeek,Holidays),WORKDAY.INTL(WORKDAY.INTL(OFFSET(hdr_FcStart,MATCH($G17,tsk_ID,0),0),N($I17),WorkWeek,Holidays),-MAX(0,N($F17)-1),WorkWeek,Holidays)),0))</f>
        <v>46302</v>
      </c>
      <c r="AN17" s="48" t="n">
        <f aca="true">IF(OR(N($J17)=0,$AI17,$D17=""),0,IFERROR(CHOOSE(MATCH(IF($K17="","FS",$K17),{"FS","SS","FF","SF"},0),WORKDAY.INTL(OFFSET(hdr_FcFinish,MATCH($J17,tsk_ID,0),0),IF(N($F17)=0,0,1)+N($L17),WorkWeek,Holidays),WORKDAY.INTL(OFFSET(hdr_FcStart,MATCH($J17,tsk_ID,0),0),N($L17),WorkWeek,Holidays),WORKDAY.INTL(WORKDAY.INTL(OFFSET(hdr_FcFinish,MATCH($J17,tsk_ID,0),0),N($L17),WorkWeek,Holidays),-MAX(0,N($F17)-1),WorkWeek,Holidays),WORKDAY.INTL(WORKDAY.INTL(OFFSET(hdr_FcStart,MATCH($J17,tsk_ID,0),0),N($L17),WorkWeek,Holidays),-MAX(0,N($F17)-1),WorkWeek,Holidays)),0))</f>
        <v>0</v>
      </c>
      <c r="AO17" s="48" t="n">
        <f aca="false">IF($AJ17=1,$R17,0)</f>
        <v>46302</v>
      </c>
      <c r="AP17" s="48" t="n">
        <f aca="false">IF($AJ17=1,$S17,0)</f>
        <v>46309</v>
      </c>
      <c r="AQ17" s="49" t="n">
        <f aca="false">IF(AND($AJ17=1,N($Z17)&gt;0),$Z17/($AP17-$AO17+1),0)</f>
        <v>5</v>
      </c>
      <c r="AR17" s="46" t="n">
        <f aca="false">IF($AJ17=1,MAX(N($F17),0.1),0)</f>
        <v>5</v>
      </c>
      <c r="AS17" s="46" t="n">
        <f aca="false">IF($AJ17=1,$AR17*$V17,0)</f>
        <v>5</v>
      </c>
      <c r="AT17" s="46" t="str">
        <f aca="false">IF(N($G17)=0,"",$G17&amp;IF(AND(IF($H17="","FS",$H17)="FS",N($I17)=0),"",IF($H17="","FS",$H17)&amp;IF(N($I17)=0,"",IF(N($I17)&gt;0,"+","")&amp;N($I17)&amp;"d")))</f>
        <v>9</v>
      </c>
      <c r="AU17" s="46" t="str">
        <f aca="false">IF(N($J17)=0,"",$J17&amp;IF(AND(IF($K17="","FS",$K17)="FS",N($L17)=0),"",IF($K17="","FS",$K17)&amp;IF(N($L17)=0,"",IF(N($L17)&gt;0,"+","")&amp;N($L17)&amp;"d")))</f>
        <v/>
      </c>
      <c r="AV17" s="46" t="str">
        <f aca="false">IF(AND($AJ17=1,N($F17)=0,$V17&lt;1),$S17+$AF17/100000,"")</f>
        <v/>
      </c>
    </row>
    <row r="18" customFormat="false" ht="15" hidden="false" customHeight="false" outlineLevel="0" collapsed="false">
      <c r="A18" s="38" t="n">
        <f aca="false">IF($D18="","",COUNTA($D$6:$D18))</f>
        <v>13</v>
      </c>
      <c r="B18" s="39" t="str">
        <f aca="true">IF($D18="","",IF($AE18=1,COUNTIF($AE$6:$AE18,1)&amp;"",IF($AG18=0,"?",OFFSET(hdr_WBS,$AG18-ROW(hdr_WBS),0)&amp;"."&amp;COUNTIF(INDEX($AE:$AE,$AG18+1):$AE18,$AE18))))</f>
        <v>3.1.2</v>
      </c>
      <c r="C18" s="40" t="n">
        <v>3</v>
      </c>
      <c r="D18" s="41" t="s">
        <v>229</v>
      </c>
      <c r="E18" s="40" t="s">
        <v>205</v>
      </c>
      <c r="F18" s="40" t="n">
        <v>10</v>
      </c>
      <c r="G18" s="40" t="n">
        <v>12</v>
      </c>
      <c r="H18" s="40" t="s">
        <v>210</v>
      </c>
      <c r="I18" s="40"/>
      <c r="J18" s="40"/>
      <c r="K18" s="40"/>
      <c r="L18" s="40"/>
      <c r="M18" s="29"/>
      <c r="N18" s="30" t="n">
        <f aca="true">IF($D18="","",IF($AI18,MIN(OFFSET(hdr_PlanStart,$AF18+1,0,$AH18,1)),IF($E18="Manual",IF(N($M18)&gt;0,$M18,ProjectStart),WORKDAY.INTL(MAX(ProjectStart,N($M18),$AK18,$AL18)-1,1,WorkWeek,Holidays))))</f>
        <v>46304</v>
      </c>
      <c r="O18" s="30" t="n">
        <f aca="true">IF($D18="","",IF($AI18,MAX(OFFSET(hdr_PlanFinish,$AF18+1,0,$AH18,1)),IF(N($F18)&lt;=0,$N18,WORKDAY.INTL($N18,$F18-1,WorkWeek,Holidays))))</f>
        <v>46317</v>
      </c>
      <c r="P18" s="29" t="n">
        <v>46310</v>
      </c>
      <c r="Q18" s="29"/>
      <c r="R18" s="30" t="n">
        <f aca="true">IF($D18="","",IF($AI18,MIN(OFFSET(hdr_FcStart,$AF18+1,0,$AH18,1)),IF(N($P18)&gt;0,$P18,IF($E18="Manual",IF(N($M18)&gt;0,$M18,ProjectStart),WORKDAY.INTL(MAX(ProjectStart,N($M18),$AM18,$AN18,IF(RescheduleAfterStatus="Yes",StatusDate,0))-1,1,WorkWeek,Holidays)))))</f>
        <v>46310</v>
      </c>
      <c r="S18" s="30" t="n">
        <f aca="true">IF($D18="","",IF($AI18,MAX(OFFSET(hdr_FcFinish,$AF18+1,0,$AH18,1)),IF(N($Q18)&gt;0,$Q18,IF(N($F18)&lt;=0,$R18,IF(AND(N($P18)&gt;0,RescheduleAfterStatus="Yes"),MAX(WORKDAY.INTL($R18,$F18-1,WorkWeek,Holidays),WORKDAY.INTL(StatusWorkday,MAX(0,ROUNDUP($F18*(1-MIN(1,N($U18))),0)-1),WorkWeek,Holidays)),WORKDAY.INTL($R18,$F18-1,WorkWeek,Holidays))))))</f>
        <v>46325</v>
      </c>
      <c r="T18" s="38" t="n">
        <f aca="false">IF($D18="","",IF($S18&gt;=$O18,NETWORKDAYS.INTL($O18,$S18,WorkWeek,Holidays)-1,1-NETWORKDAYS.INTL($S18,$O18,WorkWeek,Holidays)))</f>
        <v>6</v>
      </c>
      <c r="U18" s="32" t="n">
        <v>0.5</v>
      </c>
      <c r="V18" s="42" t="n">
        <f aca="true">IF($D18="","",IF($AI18,IFERROR(SUM(OFFSET(hdr_WtDone,$AF18+1,0,$AH18,1))/SUM(OFFSET(hdr_WtDur,$AF18+1,0,$AH18,1)),0),IF(N($Q18)&gt;0,1,MIN(1,N($U18)))))</f>
        <v>0.5</v>
      </c>
      <c r="W18" s="39" t="str">
        <f aca="false">IF($D18="","",IF($V18&gt;=1,"Complete",IF(OR(N($P18)&gt;0,$V18&gt;0),IF($T18&gt;0,"Behind","In Progress"),IF($N18&lt;StatusDate,"Late Start","Not Started"))))</f>
        <v>Behind</v>
      </c>
      <c r="X18" s="41" t="s">
        <v>228</v>
      </c>
      <c r="Y18" s="32"/>
      <c r="Z18" s="43" t="n">
        <f aca="true">IF($D18="","",IF($AI18,SUMPRODUCT(OFFSET(hdr_Work,$AF18+1,0,$AH18,1),OFFSET(hdr_IsLeaf,$AF18+1,0,$AH18,1)),IF($X18="",0,N($F18)*HoursPerDay*IF($Y18="",DefaultUnits,$Y18))))</f>
        <v>80</v>
      </c>
      <c r="AA18" s="44" t="n">
        <f aca="true">IF($D18="","",IF($AI18,SUMPRODUCT(OFFSET(hdr_Cost,$AF18+1,0,$AH18,1),OFFSET(hdr_IsLeaf,$AF18+1,0,$AH18,1)),$Z18*IFERROR(INDEX(res_Rate,MATCH($X18,res_Name,0)),0)))</f>
        <v>6800</v>
      </c>
      <c r="AB18" s="38" t="str">
        <f aca="false">IF(OR($D18="",$AI18),"",IF(OR($R18&lt;Sprint1Start,$R18&gt;SprintLastEnd),"Backlog",INDEX(spr_Name,MATCH($R18,spr_Start,1))))</f>
        <v>Sprint 3</v>
      </c>
      <c r="AC18" s="45" t="str">
        <f aca="false">IF($D18="","",$AT18&amp;IF(AND($AT18&lt;&gt;"",$AU18&lt;&gt;""),",","")&amp;$AU18)</f>
        <v>12</v>
      </c>
      <c r="AD18" s="41" t="s">
        <v>230</v>
      </c>
      <c r="AE18" s="46" t="n">
        <f aca="false">IF($D18="","",MAX(1,N($C18)))</f>
        <v>3</v>
      </c>
      <c r="AF18" s="46" t="n">
        <f aca="false">ROW()-ROW(hdr_ID)</f>
        <v>13</v>
      </c>
      <c r="AG18" s="46" t="n">
        <f aca="false">IF(OR($D18="",$AE18&lt;=1),0,IFERROR(LOOKUP(2,1/($AE$5:$AE17=$AE18-1),ROW($AE$5:$AE17)),0))</f>
        <v>16</v>
      </c>
      <c r="AH18" s="46" t="n">
        <f aca="false">IF($D18="",0,COUNTIF(tsk_WBS,$B18&amp;".*"))</f>
        <v>0</v>
      </c>
      <c r="AI18" s="47" t="b">
        <f aca="false">$AH18&gt;0</f>
        <v>0</v>
      </c>
      <c r="AJ18" s="46" t="n">
        <f aca="false">IF(AND($D18&lt;&gt;"",NOT($AI18)),1,0)</f>
        <v>1</v>
      </c>
      <c r="AK18" s="48" t="n">
        <f aca="true">IF(OR(N($G18)=0,$AI18,$D18=""),0,IFERROR(CHOOSE(MATCH(IF($H18="","FS",$H18),{"FS","SS","FF","SF"},0),WORKDAY.INTL(OFFSET(hdr_PlanFinish,MATCH($G18,tsk_ID,0),0),IF(N($F18)=0,0,1)+N($I18),WorkWeek,Holidays),WORKDAY.INTL(OFFSET(hdr_PlanStart,MATCH($G18,tsk_ID,0),0),N($I18),WorkWeek,Holidays),WORKDAY.INTL(WORKDAY.INTL(OFFSET(hdr_PlanFinish,MATCH($G18,tsk_ID,0),0),N($I18),WorkWeek,Holidays),-MAX(0,N($F18)-1),WorkWeek,Holidays),WORKDAY.INTL(WORKDAY.INTL(OFFSET(hdr_PlanStart,MATCH($G18,tsk_ID,0),0),N($I18),WorkWeek,Holidays),-MAX(0,N($F18)-1),WorkWeek,Holidays)),0))</f>
        <v>46304</v>
      </c>
      <c r="AL18" s="48" t="n">
        <f aca="true">IF(OR(N($J18)=0,$AI18,$D18=""),0,IFERROR(CHOOSE(MATCH(IF($K18="","FS",$K18),{"FS","SS","FF","SF"},0),WORKDAY.INTL(OFFSET(hdr_PlanFinish,MATCH($J18,tsk_ID,0),0),IF(N($F18)=0,0,1)+N($L18),WorkWeek,Holidays),WORKDAY.INTL(OFFSET(hdr_PlanStart,MATCH($J18,tsk_ID,0),0),N($L18),WorkWeek,Holidays),WORKDAY.INTL(WORKDAY.INTL(OFFSET(hdr_PlanFinish,MATCH($J18,tsk_ID,0),0),N($L18),WorkWeek,Holidays),-MAX(0,N($F18)-1),WorkWeek,Holidays),WORKDAY.INTL(WORKDAY.INTL(OFFSET(hdr_PlanStart,MATCH($J18,tsk_ID,0),0),N($L18),WorkWeek,Holidays),-MAX(0,N($F18)-1),WorkWeek,Holidays)),0))</f>
        <v>0</v>
      </c>
      <c r="AM18" s="48" t="n">
        <f aca="true">IF(OR(N($G18)=0,$AI18,$D18=""),0,IFERROR(CHOOSE(MATCH(IF($H18="","FS",$H18),{"FS","SS","FF","SF"},0),WORKDAY.INTL(OFFSET(hdr_FcFinish,MATCH($G18,tsk_ID,0),0),IF(N($F18)=0,0,1)+N($I18),WorkWeek,Holidays),WORKDAY.INTL(OFFSET(hdr_FcStart,MATCH($G18,tsk_ID,0),0),N($I18),WorkWeek,Holidays),WORKDAY.INTL(WORKDAY.INTL(OFFSET(hdr_FcFinish,MATCH($G18,tsk_ID,0),0),N($I18),WorkWeek,Holidays),-MAX(0,N($F18)-1),WorkWeek,Holidays),WORKDAY.INTL(WORKDAY.INTL(OFFSET(hdr_FcStart,MATCH($G18,tsk_ID,0),0),N($I18),WorkWeek,Holidays),-MAX(0,N($F18)-1),WorkWeek,Holidays)),0))</f>
        <v>46310</v>
      </c>
      <c r="AN18" s="48" t="n">
        <f aca="true">IF(OR(N($J18)=0,$AI18,$D18=""),0,IFERROR(CHOOSE(MATCH(IF($K18="","FS",$K18),{"FS","SS","FF","SF"},0),WORKDAY.INTL(OFFSET(hdr_FcFinish,MATCH($J18,tsk_ID,0),0),IF(N($F18)=0,0,1)+N($L18),WorkWeek,Holidays),WORKDAY.INTL(OFFSET(hdr_FcStart,MATCH($J18,tsk_ID,0),0),N($L18),WorkWeek,Holidays),WORKDAY.INTL(WORKDAY.INTL(OFFSET(hdr_FcFinish,MATCH($J18,tsk_ID,0),0),N($L18),WorkWeek,Holidays),-MAX(0,N($F18)-1),WorkWeek,Holidays),WORKDAY.INTL(WORKDAY.INTL(OFFSET(hdr_FcStart,MATCH($J18,tsk_ID,0),0),N($L18),WorkWeek,Holidays),-MAX(0,N($F18)-1),WorkWeek,Holidays)),0))</f>
        <v>0</v>
      </c>
      <c r="AO18" s="48" t="n">
        <f aca="false">IF($AJ18=1,$R18,0)</f>
        <v>46310</v>
      </c>
      <c r="AP18" s="48" t="n">
        <f aca="false">IF($AJ18=1,$S18,0)</f>
        <v>46325</v>
      </c>
      <c r="AQ18" s="49" t="n">
        <f aca="false">IF(AND($AJ18=1,N($Z18)&gt;0),$Z18/($AP18-$AO18+1),0)</f>
        <v>5</v>
      </c>
      <c r="AR18" s="46" t="n">
        <f aca="false">IF($AJ18=1,MAX(N($F18),0.1),0)</f>
        <v>10</v>
      </c>
      <c r="AS18" s="46" t="n">
        <f aca="false">IF($AJ18=1,$AR18*$V18,0)</f>
        <v>5</v>
      </c>
      <c r="AT18" s="46" t="str">
        <f aca="false">IF(N($G18)=0,"",$G18&amp;IF(AND(IF($H18="","FS",$H18)="FS",N($I18)=0),"",IF($H18="","FS",$H18)&amp;IF(N($I18)=0,"",IF(N($I18)&gt;0,"+","")&amp;N($I18)&amp;"d")))</f>
        <v>12</v>
      </c>
      <c r="AU18" s="46" t="str">
        <f aca="false">IF(N($J18)=0,"",$J18&amp;IF(AND(IF($K18="","FS",$K18)="FS",N($L18)=0),"",IF($K18="","FS",$K18)&amp;IF(N($L18)=0,"",IF(N($L18)&gt;0,"+","")&amp;N($L18)&amp;"d")))</f>
        <v/>
      </c>
      <c r="AV18" s="46" t="str">
        <f aca="false">IF(AND($AJ18=1,N($F18)=0,$V18&lt;1),$S18+$AF18/100000,"")</f>
        <v/>
      </c>
    </row>
    <row r="19" customFormat="false" ht="15" hidden="false" customHeight="false" outlineLevel="0" collapsed="false">
      <c r="A19" s="38" t="n">
        <f aca="false">IF($D19="","",COUNTA($D$6:$D19))</f>
        <v>14</v>
      </c>
      <c r="B19" s="39" t="str">
        <f aca="true">IF($D19="","",IF($AE19=1,COUNTIF($AE$6:$AE19,1)&amp;"",IF($AG19=0,"?",OFFSET(hdr_WBS,$AG19-ROW(hdr_WBS),0)&amp;"."&amp;COUNTIF(INDEX($AE:$AE,$AG19+1):$AE19,$AE19))))</f>
        <v>3.1.3</v>
      </c>
      <c r="C19" s="40" t="n">
        <v>3</v>
      </c>
      <c r="D19" s="41" t="s">
        <v>231</v>
      </c>
      <c r="E19" s="40" t="s">
        <v>205</v>
      </c>
      <c r="F19" s="40" t="n">
        <v>6</v>
      </c>
      <c r="G19" s="40" t="n">
        <v>13</v>
      </c>
      <c r="H19" s="40" t="s">
        <v>210</v>
      </c>
      <c r="I19" s="40"/>
      <c r="J19" s="40"/>
      <c r="K19" s="40"/>
      <c r="L19" s="40"/>
      <c r="M19" s="29"/>
      <c r="N19" s="30" t="n">
        <f aca="true">IF($D19="","",IF($AI19,MIN(OFFSET(hdr_PlanStart,$AF19+1,0,$AH19,1)),IF($E19="Manual",IF(N($M19)&gt;0,$M19,ProjectStart),WORKDAY.INTL(MAX(ProjectStart,N($M19),$AK19,$AL19)-1,1,WorkWeek,Holidays))))</f>
        <v>46318</v>
      </c>
      <c r="O19" s="30" t="n">
        <f aca="true">IF($D19="","",IF($AI19,MAX(OFFSET(hdr_PlanFinish,$AF19+1,0,$AH19,1)),IF(N($F19)&lt;=0,$N19,WORKDAY.INTL($N19,$F19-1,WorkWeek,Holidays))))</f>
        <v>46325</v>
      </c>
      <c r="P19" s="29"/>
      <c r="Q19" s="29"/>
      <c r="R19" s="30" t="n">
        <f aca="true">IF($D19="","",IF($AI19,MIN(OFFSET(hdr_FcStart,$AF19+1,0,$AH19,1)),IF(N($P19)&gt;0,$P19,IF($E19="Manual",IF(N($M19)&gt;0,$M19,ProjectStart),WORKDAY.INTL(MAX(ProjectStart,N($M19),$AM19,$AN19,IF(RescheduleAfterStatus="Yes",StatusDate,0))-1,1,WorkWeek,Holidays)))))</f>
        <v>46328</v>
      </c>
      <c r="S19" s="30" t="n">
        <f aca="true">IF($D19="","",IF($AI19,MAX(OFFSET(hdr_FcFinish,$AF19+1,0,$AH19,1)),IF(N($Q19)&gt;0,$Q19,IF(N($F19)&lt;=0,$R19,IF(AND(N($P19)&gt;0,RescheduleAfterStatus="Yes"),MAX(WORKDAY.INTL($R19,$F19-1,WorkWeek,Holidays),WORKDAY.INTL(StatusWorkday,MAX(0,ROUNDUP($F19*(1-MIN(1,N($U19))),0)-1),WorkWeek,Holidays)),WORKDAY.INTL($R19,$F19-1,WorkWeek,Holidays))))))</f>
        <v>46335</v>
      </c>
      <c r="T19" s="38" t="n">
        <f aca="false">IF($D19="","",IF($S19&gt;=$O19,NETWORKDAYS.INTL($O19,$S19,WorkWeek,Holidays)-1,1-NETWORKDAYS.INTL($S19,$O19,WorkWeek,Holidays)))</f>
        <v>6</v>
      </c>
      <c r="U19" s="32"/>
      <c r="V19" s="42" t="n">
        <f aca="true">IF($D19="","",IF($AI19,IFERROR(SUM(OFFSET(hdr_WtDone,$AF19+1,0,$AH19,1))/SUM(OFFSET(hdr_WtDur,$AF19+1,0,$AH19,1)),0),IF(N($Q19)&gt;0,1,MIN(1,N($U19)))))</f>
        <v>0</v>
      </c>
      <c r="W19" s="39" t="str">
        <f aca="false">IF($D19="","",IF($V19&gt;=1,"Complete",IF(OR(N($P19)&gt;0,$V19&gt;0),IF($T19&gt;0,"Behind","In Progress"),IF($N19&lt;StatusDate,"Late Start","Not Started"))))</f>
        <v>Late Start</v>
      </c>
      <c r="X19" s="41" t="s">
        <v>228</v>
      </c>
      <c r="Y19" s="32"/>
      <c r="Z19" s="43" t="n">
        <f aca="true">IF($D19="","",IF($AI19,SUMPRODUCT(OFFSET(hdr_Work,$AF19+1,0,$AH19,1),OFFSET(hdr_IsLeaf,$AF19+1,0,$AH19,1)),IF($X19="",0,N($F19)*HoursPerDay*IF($Y19="",DefaultUnits,$Y19))))</f>
        <v>48</v>
      </c>
      <c r="AA19" s="44" t="n">
        <f aca="true">IF($D19="","",IF($AI19,SUMPRODUCT(OFFSET(hdr_Cost,$AF19+1,0,$AH19,1),OFFSET(hdr_IsLeaf,$AF19+1,0,$AH19,1)),$Z19*IFERROR(INDEX(res_Rate,MATCH($X19,res_Name,0)),0)))</f>
        <v>4080</v>
      </c>
      <c r="AB19" s="38" t="str">
        <f aca="false">IF(OR($D19="",$AI19),"",IF(OR($R19&lt;Sprint1Start,$R19&gt;SprintLastEnd),"Backlog",INDEX(spr_Name,MATCH($R19,spr_Start,1))))</f>
        <v>Sprint 5</v>
      </c>
      <c r="AC19" s="45" t="str">
        <f aca="false">IF($D19="","",$AT19&amp;IF(AND($AT19&lt;&gt;"",$AU19&lt;&gt;""),",","")&amp;$AU19)</f>
        <v>13</v>
      </c>
      <c r="AD19" s="41"/>
      <c r="AE19" s="46" t="n">
        <f aca="false">IF($D19="","",MAX(1,N($C19)))</f>
        <v>3</v>
      </c>
      <c r="AF19" s="46" t="n">
        <f aca="false">ROW()-ROW(hdr_ID)</f>
        <v>14</v>
      </c>
      <c r="AG19" s="46" t="n">
        <f aca="false">IF(OR($D19="",$AE19&lt;=1),0,IFERROR(LOOKUP(2,1/($AE$5:$AE18=$AE19-1),ROW($AE$5:$AE18)),0))</f>
        <v>16</v>
      </c>
      <c r="AH19" s="46" t="n">
        <f aca="false">IF($D19="",0,COUNTIF(tsk_WBS,$B19&amp;".*"))</f>
        <v>0</v>
      </c>
      <c r="AI19" s="47" t="b">
        <f aca="false">$AH19&gt;0</f>
        <v>0</v>
      </c>
      <c r="AJ19" s="46" t="n">
        <f aca="false">IF(AND($D19&lt;&gt;"",NOT($AI19)),1,0)</f>
        <v>1</v>
      </c>
      <c r="AK19" s="48" t="n">
        <f aca="true">IF(OR(N($G19)=0,$AI19,$D19=""),0,IFERROR(CHOOSE(MATCH(IF($H19="","FS",$H19),{"FS","SS","FF","SF"},0),WORKDAY.INTL(OFFSET(hdr_PlanFinish,MATCH($G19,tsk_ID,0),0),IF(N($F19)=0,0,1)+N($I19),WorkWeek,Holidays),WORKDAY.INTL(OFFSET(hdr_PlanStart,MATCH($G19,tsk_ID,0),0),N($I19),WorkWeek,Holidays),WORKDAY.INTL(WORKDAY.INTL(OFFSET(hdr_PlanFinish,MATCH($G19,tsk_ID,0),0),N($I19),WorkWeek,Holidays),-MAX(0,N($F19)-1),WorkWeek,Holidays),WORKDAY.INTL(WORKDAY.INTL(OFFSET(hdr_PlanStart,MATCH($G19,tsk_ID,0),0),N($I19),WorkWeek,Holidays),-MAX(0,N($F19)-1),WorkWeek,Holidays)),0))</f>
        <v>46318</v>
      </c>
      <c r="AL19" s="48" t="n">
        <f aca="true">IF(OR(N($J19)=0,$AI19,$D19=""),0,IFERROR(CHOOSE(MATCH(IF($K19="","FS",$K19),{"FS","SS","FF","SF"},0),WORKDAY.INTL(OFFSET(hdr_PlanFinish,MATCH($J19,tsk_ID,0),0),IF(N($F19)=0,0,1)+N($L19),WorkWeek,Holidays),WORKDAY.INTL(OFFSET(hdr_PlanStart,MATCH($J19,tsk_ID,0),0),N($L19),WorkWeek,Holidays),WORKDAY.INTL(WORKDAY.INTL(OFFSET(hdr_PlanFinish,MATCH($J19,tsk_ID,0),0),N($L19),WorkWeek,Holidays),-MAX(0,N($F19)-1),WorkWeek,Holidays),WORKDAY.INTL(WORKDAY.INTL(OFFSET(hdr_PlanStart,MATCH($J19,tsk_ID,0),0),N($L19),WorkWeek,Holidays),-MAX(0,N($F19)-1),WorkWeek,Holidays)),0))</f>
        <v>0</v>
      </c>
      <c r="AM19" s="48" t="n">
        <f aca="true">IF(OR(N($G19)=0,$AI19,$D19=""),0,IFERROR(CHOOSE(MATCH(IF($H19="","FS",$H19),{"FS","SS","FF","SF"},0),WORKDAY.INTL(OFFSET(hdr_FcFinish,MATCH($G19,tsk_ID,0),0),IF(N($F19)=0,0,1)+N($I19),WorkWeek,Holidays),WORKDAY.INTL(OFFSET(hdr_FcStart,MATCH($G19,tsk_ID,0),0),N($I19),WorkWeek,Holidays),WORKDAY.INTL(WORKDAY.INTL(OFFSET(hdr_FcFinish,MATCH($G19,tsk_ID,0),0),N($I19),WorkWeek,Holidays),-MAX(0,N($F19)-1),WorkWeek,Holidays),WORKDAY.INTL(WORKDAY.INTL(OFFSET(hdr_FcStart,MATCH($G19,tsk_ID,0),0),N($I19),WorkWeek,Holidays),-MAX(0,N($F19)-1),WorkWeek,Holidays)),0))</f>
        <v>46328</v>
      </c>
      <c r="AN19" s="48" t="n">
        <f aca="true">IF(OR(N($J19)=0,$AI19,$D19=""),0,IFERROR(CHOOSE(MATCH(IF($K19="","FS",$K19),{"FS","SS","FF","SF"},0),WORKDAY.INTL(OFFSET(hdr_FcFinish,MATCH($J19,tsk_ID,0),0),IF(N($F19)=0,0,1)+N($L19),WorkWeek,Holidays),WORKDAY.INTL(OFFSET(hdr_FcStart,MATCH($J19,tsk_ID,0),0),N($L19),WorkWeek,Holidays),WORKDAY.INTL(WORKDAY.INTL(OFFSET(hdr_FcFinish,MATCH($J19,tsk_ID,0),0),N($L19),WorkWeek,Holidays),-MAX(0,N($F19)-1),WorkWeek,Holidays),WORKDAY.INTL(WORKDAY.INTL(OFFSET(hdr_FcStart,MATCH($J19,tsk_ID,0),0),N($L19),WorkWeek,Holidays),-MAX(0,N($F19)-1),WorkWeek,Holidays)),0))</f>
        <v>0</v>
      </c>
      <c r="AO19" s="48" t="n">
        <f aca="false">IF($AJ19=1,$R19,0)</f>
        <v>46328</v>
      </c>
      <c r="AP19" s="48" t="n">
        <f aca="false">IF($AJ19=1,$S19,0)</f>
        <v>46335</v>
      </c>
      <c r="AQ19" s="49" t="n">
        <f aca="false">IF(AND($AJ19=1,N($Z19)&gt;0),$Z19/($AP19-$AO19+1),0)</f>
        <v>6</v>
      </c>
      <c r="AR19" s="46" t="n">
        <f aca="false">IF($AJ19=1,MAX(N($F19),0.1),0)</f>
        <v>6</v>
      </c>
      <c r="AS19" s="46" t="n">
        <f aca="false">IF($AJ19=1,$AR19*$V19,0)</f>
        <v>0</v>
      </c>
      <c r="AT19" s="46" t="str">
        <f aca="false">IF(N($G19)=0,"",$G19&amp;IF(AND(IF($H19="","FS",$H19)="FS",N($I19)=0),"",IF($H19="","FS",$H19)&amp;IF(N($I19)=0,"",IF(N($I19)&gt;0,"+","")&amp;N($I19)&amp;"d")))</f>
        <v>13</v>
      </c>
      <c r="AU19" s="46" t="str">
        <f aca="false">IF(N($J19)=0,"",$J19&amp;IF(AND(IF($K19="","FS",$K19)="FS",N($L19)=0),"",IF($K19="","FS",$K19)&amp;IF(N($L19)=0,"",IF(N($L19)&gt;0,"+","")&amp;N($L19)&amp;"d")))</f>
        <v/>
      </c>
      <c r="AV19" s="46" t="str">
        <f aca="false">IF(AND($AJ19=1,N($F19)=0,$V19&lt;1),$S19+$AF19/100000,"")</f>
        <v/>
      </c>
    </row>
    <row r="20" customFormat="false" ht="15" hidden="false" customHeight="false" outlineLevel="0" collapsed="false">
      <c r="A20" s="38" t="n">
        <f aca="false">IF($D20="","",COUNTA($D$6:$D20))</f>
        <v>15</v>
      </c>
      <c r="B20" s="39" t="str">
        <f aca="true">IF($D20="","",IF($AE20=1,COUNTIF($AE$6:$AE20,1)&amp;"",IF($AG20=0,"?",OFFSET(hdr_WBS,$AG20-ROW(hdr_WBS),0)&amp;"."&amp;COUNTIF(INDEX($AE:$AE,$AG20+1):$AE20,$AE20))))</f>
        <v>3.2</v>
      </c>
      <c r="C20" s="40" t="n">
        <v>2</v>
      </c>
      <c r="D20" s="41" t="s">
        <v>232</v>
      </c>
      <c r="E20" s="40" t="s">
        <v>205</v>
      </c>
      <c r="F20" s="40"/>
      <c r="G20" s="40"/>
      <c r="H20" s="40"/>
      <c r="I20" s="40"/>
      <c r="J20" s="40"/>
      <c r="K20" s="40"/>
      <c r="L20" s="40"/>
      <c r="M20" s="29"/>
      <c r="N20" s="30" t="n">
        <f aca="true">IF($D20="","",IF($AI20,MIN(OFFSET(hdr_PlanStart,$AF20+1,0,$AH20,1)),IF($E20="Manual",IF(N($M20)&gt;0,$M20,ProjectStart),WORKDAY.INTL(MAX(ProjectStart,N($M20),$AK20,$AL20)-1,1,WorkWeek,Holidays))))</f>
        <v>46297</v>
      </c>
      <c r="O20" s="30" t="n">
        <f aca="true">IF($D20="","",IF($AI20,MAX(OFFSET(hdr_PlanFinish,$AF20+1,0,$AH20,1)),IF(N($F20)&lt;=0,$N20,WORKDAY.INTL($N20,$F20-1,WorkWeek,Holidays))))</f>
        <v>46324</v>
      </c>
      <c r="P20" s="29"/>
      <c r="Q20" s="29"/>
      <c r="R20" s="30" t="n">
        <f aca="true">IF($D20="","",IF($AI20,MIN(OFFSET(hdr_FcStart,$AF20+1,0,$AH20,1)),IF(N($P20)&gt;0,$P20,IF($E20="Manual",IF(N($M20)&gt;0,$M20,ProjectStart),WORKDAY.INTL(MAX(ProjectStart,N($M20),$AM20,$AN20,IF(RescheduleAfterStatus="Yes",StatusDate,0))-1,1,WorkWeek,Holidays)))))</f>
        <v>46302</v>
      </c>
      <c r="S20" s="30" t="n">
        <f aca="true">IF($D20="","",IF($AI20,MAX(OFFSET(hdr_FcFinish,$AF20+1,0,$AH20,1)),IF(N($Q20)&gt;0,$Q20,IF(N($F20)&lt;=0,$R20,IF(AND(N($P20)&gt;0,RescheduleAfterStatus="Yes"),MAX(WORKDAY.INTL($R20,$F20-1,WorkWeek,Holidays),WORKDAY.INTL(StatusWorkday,MAX(0,ROUNDUP($F20*(1-MIN(1,N($U20))),0)-1),WorkWeek,Holidays)),WORKDAY.INTL($R20,$F20-1,WorkWeek,Holidays))))))</f>
        <v>46332</v>
      </c>
      <c r="T20" s="38" t="n">
        <f aca="false">IF($D20="","",IF($S20&gt;=$O20,NETWORKDAYS.INTL($O20,$S20,WorkWeek,Holidays)-1,1-NETWORKDAYS.INTL($S20,$O20,WorkWeek,Holidays)))</f>
        <v>6</v>
      </c>
      <c r="U20" s="32"/>
      <c r="V20" s="42" t="n">
        <f aca="true">IF($D20="","",IF($AI20,IFERROR(SUM(OFFSET(hdr_WtDone,$AF20+1,0,$AH20,1))/SUM(OFFSET(hdr_WtDur,$AF20+1,0,$AH20,1)),0),IF(N($Q20)&gt;0,1,MIN(1,N($U20)))))</f>
        <v>0.428571428571429</v>
      </c>
      <c r="W20" s="39" t="str">
        <f aca="false">IF($D20="","",IF($V20&gt;=1,"Complete",IF(OR(N($P20)&gt;0,$V20&gt;0),IF($T20&gt;0,"Behind","In Progress"),IF($N20&lt;StatusDate,"Late Start","Not Started"))))</f>
        <v>Behind</v>
      </c>
      <c r="X20" s="41"/>
      <c r="Y20" s="32"/>
      <c r="Z20" s="43" t="n">
        <f aca="true">IF($D20="","",IF($AI20,SUMPRODUCT(OFFSET(hdr_Work,$AF20+1,0,$AH20,1),OFFSET(hdr_IsLeaf,$AF20+1,0,$AH20,1)),IF($X20="",0,N($F20)*HoursPerDay*IF($Y20="",DefaultUnits,$Y20))))</f>
        <v>156</v>
      </c>
      <c r="AA20" s="44" t="n">
        <f aca="true">IF($D20="","",IF($AI20,SUMPRODUCT(OFFSET(hdr_Cost,$AF20+1,0,$AH20,1),OFFSET(hdr_IsLeaf,$AF20+1,0,$AH20,1)),$Z20*IFERROR(INDEX(res_Rate,MATCH($X20,res_Name,0)),0)))</f>
        <v>12420</v>
      </c>
      <c r="AB20" s="38" t="str">
        <f aca="false">IF(OR($D20="",$AI20),"",IF(OR($R20&lt;Sprint1Start,$R20&gt;SprintLastEnd),"Backlog",INDEX(spr_Name,MATCH($R20,spr_Start,1))))</f>
        <v/>
      </c>
      <c r="AC20" s="45" t="str">
        <f aca="false">IF($D20="","",$AT20&amp;IF(AND($AT20&lt;&gt;"",$AU20&lt;&gt;""),",","")&amp;$AU20)</f>
        <v/>
      </c>
      <c r="AD20" s="41"/>
      <c r="AE20" s="46" t="n">
        <f aca="false">IF($D20="","",MAX(1,N($C20)))</f>
        <v>2</v>
      </c>
      <c r="AF20" s="46" t="n">
        <f aca="false">ROW()-ROW(hdr_ID)</f>
        <v>15</v>
      </c>
      <c r="AG20" s="46" t="n">
        <f aca="false">IF(OR($D20="",$AE20&lt;=1),0,IFERROR(LOOKUP(2,1/($AE$5:$AE19=$AE20-1),ROW($AE$5:$AE19)),0))</f>
        <v>15</v>
      </c>
      <c r="AH20" s="46" t="n">
        <f aca="false">IF($D20="",0,COUNTIF(tsk_WBS,$B20&amp;".*"))</f>
        <v>3</v>
      </c>
      <c r="AI20" s="47" t="b">
        <f aca="false">$AH20&gt;0</f>
        <v>1</v>
      </c>
      <c r="AJ20" s="46" t="n">
        <f aca="false">IF(AND($D20&lt;&gt;"",NOT($AI20)),1,0)</f>
        <v>0</v>
      </c>
      <c r="AK20" s="48" t="n">
        <f aca="true">IF(OR(N($G20)=0,$AI20,$D20=""),0,IFERROR(CHOOSE(MATCH(IF($H20="","FS",$H20),{"FS","SS","FF","SF"},0),WORKDAY.INTL(OFFSET(hdr_PlanFinish,MATCH($G20,tsk_ID,0),0),IF(N($F20)=0,0,1)+N($I20),WorkWeek,Holidays),WORKDAY.INTL(OFFSET(hdr_PlanStart,MATCH($G20,tsk_ID,0),0),N($I20),WorkWeek,Holidays),WORKDAY.INTL(WORKDAY.INTL(OFFSET(hdr_PlanFinish,MATCH($G20,tsk_ID,0),0),N($I20),WorkWeek,Holidays),-MAX(0,N($F20)-1),WorkWeek,Holidays),WORKDAY.INTL(WORKDAY.INTL(OFFSET(hdr_PlanStart,MATCH($G20,tsk_ID,0),0),N($I20),WorkWeek,Holidays),-MAX(0,N($F20)-1),WorkWeek,Holidays)),0))</f>
        <v>0</v>
      </c>
      <c r="AL20" s="48" t="n">
        <f aca="true">IF(OR(N($J20)=0,$AI20,$D20=""),0,IFERROR(CHOOSE(MATCH(IF($K20="","FS",$K20),{"FS","SS","FF","SF"},0),WORKDAY.INTL(OFFSET(hdr_PlanFinish,MATCH($J20,tsk_ID,0),0),IF(N($F20)=0,0,1)+N($L20),WorkWeek,Holidays),WORKDAY.INTL(OFFSET(hdr_PlanStart,MATCH($J20,tsk_ID,0),0),N($L20),WorkWeek,Holidays),WORKDAY.INTL(WORKDAY.INTL(OFFSET(hdr_PlanFinish,MATCH($J20,tsk_ID,0),0),N($L20),WorkWeek,Holidays),-MAX(0,N($F20)-1),WorkWeek,Holidays),WORKDAY.INTL(WORKDAY.INTL(OFFSET(hdr_PlanStart,MATCH($J20,tsk_ID,0),0),N($L20),WorkWeek,Holidays),-MAX(0,N($F20)-1),WorkWeek,Holidays)),0))</f>
        <v>0</v>
      </c>
      <c r="AM20" s="48" t="n">
        <f aca="true">IF(OR(N($G20)=0,$AI20,$D20=""),0,IFERROR(CHOOSE(MATCH(IF($H20="","FS",$H20),{"FS","SS","FF","SF"},0),WORKDAY.INTL(OFFSET(hdr_FcFinish,MATCH($G20,tsk_ID,0),0),IF(N($F20)=0,0,1)+N($I20),WorkWeek,Holidays),WORKDAY.INTL(OFFSET(hdr_FcStart,MATCH($G20,tsk_ID,0),0),N($I20),WorkWeek,Holidays),WORKDAY.INTL(WORKDAY.INTL(OFFSET(hdr_FcFinish,MATCH($G20,tsk_ID,0),0),N($I20),WorkWeek,Holidays),-MAX(0,N($F20)-1),WorkWeek,Holidays),WORKDAY.INTL(WORKDAY.INTL(OFFSET(hdr_FcStart,MATCH($G20,tsk_ID,0),0),N($I20),WorkWeek,Holidays),-MAX(0,N($F20)-1),WorkWeek,Holidays)),0))</f>
        <v>0</v>
      </c>
      <c r="AN20" s="48" t="n">
        <f aca="true">IF(OR(N($J20)=0,$AI20,$D20=""),0,IFERROR(CHOOSE(MATCH(IF($K20="","FS",$K20),{"FS","SS","FF","SF"},0),WORKDAY.INTL(OFFSET(hdr_FcFinish,MATCH($J20,tsk_ID,0),0),IF(N($F20)=0,0,1)+N($L20),WorkWeek,Holidays),WORKDAY.INTL(OFFSET(hdr_FcStart,MATCH($J20,tsk_ID,0),0),N($L20),WorkWeek,Holidays),WORKDAY.INTL(WORKDAY.INTL(OFFSET(hdr_FcFinish,MATCH($J20,tsk_ID,0),0),N($L20),WorkWeek,Holidays),-MAX(0,N($F20)-1),WorkWeek,Holidays),WORKDAY.INTL(WORKDAY.INTL(OFFSET(hdr_FcStart,MATCH($J20,tsk_ID,0),0),N($L20),WorkWeek,Holidays),-MAX(0,N($F20)-1),WorkWeek,Holidays)),0))</f>
        <v>0</v>
      </c>
      <c r="AO20" s="48" t="n">
        <f aca="false">IF($AJ20=1,$R20,0)</f>
        <v>0</v>
      </c>
      <c r="AP20" s="48" t="n">
        <f aca="false">IF($AJ20=1,$S20,0)</f>
        <v>0</v>
      </c>
      <c r="AQ20" s="49" t="n">
        <f aca="false">IF(AND($AJ20=1,N($Z20)&gt;0),$Z20/($AP20-$AO20+1),0)</f>
        <v>0</v>
      </c>
      <c r="AR20" s="46" t="n">
        <f aca="false">IF($AJ20=1,MAX(N($F20),0.1),0)</f>
        <v>0</v>
      </c>
      <c r="AS20" s="46" t="n">
        <f aca="false">IF($AJ20=1,$AR20*$V20,0)</f>
        <v>0</v>
      </c>
      <c r="AT20" s="46" t="str">
        <f aca="false">IF(N($G20)=0,"",$G20&amp;IF(AND(IF($H20="","FS",$H20)="FS",N($I20)=0),"",IF($H20="","FS",$H20)&amp;IF(N($I20)=0,"",IF(N($I20)&gt;0,"+","")&amp;N($I20)&amp;"d")))</f>
        <v/>
      </c>
      <c r="AU20" s="46" t="str">
        <f aca="false">IF(N($J20)=0,"",$J20&amp;IF(AND(IF($K20="","FS",$K20)="FS",N($L20)=0),"",IF($K20="","FS",$K20)&amp;IF(N($L20)=0,"",IF(N($L20)&gt;0,"+","")&amp;N($L20)&amp;"d")))</f>
        <v/>
      </c>
      <c r="AV20" s="46" t="str">
        <f aca="false">IF(AND($AJ20=1,N($F20)=0,$V20&lt;1),$S20+$AF20/100000,"")</f>
        <v/>
      </c>
    </row>
    <row r="21" customFormat="false" ht="15" hidden="false" customHeight="false" outlineLevel="0" collapsed="false">
      <c r="A21" s="38" t="n">
        <f aca="false">IF($D21="","",COUNTA($D$6:$D21))</f>
        <v>16</v>
      </c>
      <c r="B21" s="39" t="str">
        <f aca="true">IF($D21="","",IF($AE21=1,COUNTIF($AE$6:$AE21,1)&amp;"",IF($AG21=0,"?",OFFSET(hdr_WBS,$AG21-ROW(hdr_WBS),0)&amp;"."&amp;COUNTIF(INDEX($AE:$AE,$AG21+1):$AE21,$AE21))))</f>
        <v>3.2.1</v>
      </c>
      <c r="C21" s="40" t="n">
        <v>3</v>
      </c>
      <c r="D21" s="41" t="s">
        <v>233</v>
      </c>
      <c r="E21" s="40" t="s">
        <v>205</v>
      </c>
      <c r="F21" s="40" t="n">
        <v>6</v>
      </c>
      <c r="G21" s="40" t="n">
        <v>9</v>
      </c>
      <c r="H21" s="40" t="s">
        <v>210</v>
      </c>
      <c r="I21" s="40"/>
      <c r="J21" s="40"/>
      <c r="K21" s="40"/>
      <c r="L21" s="40"/>
      <c r="M21" s="29"/>
      <c r="N21" s="30" t="n">
        <f aca="true">IF($D21="","",IF($AI21,MIN(OFFSET(hdr_PlanStart,$AF21+1,0,$AH21,1)),IF($E21="Manual",IF(N($M21)&gt;0,$M21,ProjectStart),WORKDAY.INTL(MAX(ProjectStart,N($M21),$AK21,$AL21)-1,1,WorkWeek,Holidays))))</f>
        <v>46297</v>
      </c>
      <c r="O21" s="30" t="n">
        <f aca="true">IF($D21="","",IF($AI21,MAX(OFFSET(hdr_PlanFinish,$AF21+1,0,$AH21,1)),IF(N($F21)&lt;=0,$N21,WORKDAY.INTL($N21,$F21-1,WorkWeek,Holidays))))</f>
        <v>46304</v>
      </c>
      <c r="P21" s="29" t="n">
        <v>46302</v>
      </c>
      <c r="Q21" s="29" t="n">
        <v>46311</v>
      </c>
      <c r="R21" s="30" t="n">
        <f aca="true">IF($D21="","",IF($AI21,MIN(OFFSET(hdr_FcStart,$AF21+1,0,$AH21,1)),IF(N($P21)&gt;0,$P21,IF($E21="Manual",IF(N($M21)&gt;0,$M21,ProjectStart),WORKDAY.INTL(MAX(ProjectStart,N($M21),$AM21,$AN21,IF(RescheduleAfterStatus="Yes",StatusDate,0))-1,1,WorkWeek,Holidays)))))</f>
        <v>46302</v>
      </c>
      <c r="S21" s="30" t="n">
        <f aca="true">IF($D21="","",IF($AI21,MAX(OFFSET(hdr_FcFinish,$AF21+1,0,$AH21,1)),IF(N($Q21)&gt;0,$Q21,IF(N($F21)&lt;=0,$R21,IF(AND(N($P21)&gt;0,RescheduleAfterStatus="Yes"),MAX(WORKDAY.INTL($R21,$F21-1,WorkWeek,Holidays),WORKDAY.INTL(StatusWorkday,MAX(0,ROUNDUP($F21*(1-MIN(1,N($U21))),0)-1),WorkWeek,Holidays)),WORKDAY.INTL($R21,$F21-1,WorkWeek,Holidays))))))</f>
        <v>46311</v>
      </c>
      <c r="T21" s="38" t="n">
        <f aca="false">IF($D21="","",IF($S21&gt;=$O21,NETWORKDAYS.INTL($O21,$S21,WorkWeek,Holidays)-1,1-NETWORKDAYS.INTL($S21,$O21,WorkWeek,Holidays)))</f>
        <v>5</v>
      </c>
      <c r="U21" s="32" t="n">
        <v>1</v>
      </c>
      <c r="V21" s="42" t="n">
        <f aca="true">IF($D21="","",IF($AI21,IFERROR(SUM(OFFSET(hdr_WtDone,$AF21+1,0,$AH21,1))/SUM(OFFSET(hdr_WtDur,$AF21+1,0,$AH21,1)),0),IF(N($Q21)&gt;0,1,MIN(1,N($U21)))))</f>
        <v>1</v>
      </c>
      <c r="W21" s="39" t="str">
        <f aca="false">IF($D21="","",IF($V21&gt;=1,"Complete",IF(OR(N($P21)&gt;0,$V21&gt;0),IF($T21&gt;0,"Behind","In Progress"),IF($N21&lt;StatusDate,"Late Start","Not Started"))))</f>
        <v>Complete</v>
      </c>
      <c r="X21" s="41" t="s">
        <v>234</v>
      </c>
      <c r="Y21" s="32"/>
      <c r="Z21" s="43" t="n">
        <f aca="true">IF($D21="","",IF($AI21,SUMPRODUCT(OFFSET(hdr_Work,$AF21+1,0,$AH21,1),OFFSET(hdr_IsLeaf,$AF21+1,0,$AH21,1)),IF($X21="",0,N($F21)*HoursPerDay*IF($Y21="",DefaultUnits,$Y21))))</f>
        <v>48</v>
      </c>
      <c r="AA21" s="44" t="n">
        <f aca="true">IF($D21="","",IF($AI21,SUMPRODUCT(OFFSET(hdr_Cost,$AF21+1,0,$AH21,1),OFFSET(hdr_IsLeaf,$AF21+1,0,$AH21,1)),$Z21*IFERROR(INDEX(res_Rate,MATCH($X21,res_Name,0)),0)))</f>
        <v>3840</v>
      </c>
      <c r="AB21" s="38" t="str">
        <f aca="false">IF(OR($D21="",$AI21),"",IF(OR($R21&lt;Sprint1Start,$R21&gt;SprintLastEnd),"Backlog",INDEX(spr_Name,MATCH($R21,spr_Start,1))))</f>
        <v>Sprint 3</v>
      </c>
      <c r="AC21" s="45" t="str">
        <f aca="false">IF($D21="","",$AT21&amp;IF(AND($AT21&lt;&gt;"",$AU21&lt;&gt;""),",","")&amp;$AU21)</f>
        <v>9</v>
      </c>
      <c r="AD21" s="41"/>
      <c r="AE21" s="46" t="n">
        <f aca="false">IF($D21="","",MAX(1,N($C21)))</f>
        <v>3</v>
      </c>
      <c r="AF21" s="46" t="n">
        <f aca="false">ROW()-ROW(hdr_ID)</f>
        <v>16</v>
      </c>
      <c r="AG21" s="46" t="n">
        <f aca="false">IF(OR($D21="",$AE21&lt;=1),0,IFERROR(LOOKUP(2,1/($AE$5:$AE20=$AE21-1),ROW($AE$5:$AE20)),0))</f>
        <v>20</v>
      </c>
      <c r="AH21" s="46" t="n">
        <f aca="false">IF($D21="",0,COUNTIF(tsk_WBS,$B21&amp;".*"))</f>
        <v>0</v>
      </c>
      <c r="AI21" s="47" t="b">
        <f aca="false">$AH21&gt;0</f>
        <v>0</v>
      </c>
      <c r="AJ21" s="46" t="n">
        <f aca="false">IF(AND($D21&lt;&gt;"",NOT($AI21)),1,0)</f>
        <v>1</v>
      </c>
      <c r="AK21" s="48" t="n">
        <f aca="true">IF(OR(N($G21)=0,$AI21,$D21=""),0,IFERROR(CHOOSE(MATCH(IF($H21="","FS",$H21),{"FS","SS","FF","SF"},0),WORKDAY.INTL(OFFSET(hdr_PlanFinish,MATCH($G21,tsk_ID,0),0),IF(N($F21)=0,0,1)+N($I21),WorkWeek,Holidays),WORKDAY.INTL(OFFSET(hdr_PlanStart,MATCH($G21,tsk_ID,0),0),N($I21),WorkWeek,Holidays),WORKDAY.INTL(WORKDAY.INTL(OFFSET(hdr_PlanFinish,MATCH($G21,tsk_ID,0),0),N($I21),WorkWeek,Holidays),-MAX(0,N($F21)-1),WorkWeek,Holidays),WORKDAY.INTL(WORKDAY.INTL(OFFSET(hdr_PlanStart,MATCH($G21,tsk_ID,0),0),N($I21),WorkWeek,Holidays),-MAX(0,N($F21)-1),WorkWeek,Holidays)),0))</f>
        <v>46297</v>
      </c>
      <c r="AL21" s="48" t="n">
        <f aca="true">IF(OR(N($J21)=0,$AI21,$D21=""),0,IFERROR(CHOOSE(MATCH(IF($K21="","FS",$K21),{"FS","SS","FF","SF"},0),WORKDAY.INTL(OFFSET(hdr_PlanFinish,MATCH($J21,tsk_ID,0),0),IF(N($F21)=0,0,1)+N($L21),WorkWeek,Holidays),WORKDAY.INTL(OFFSET(hdr_PlanStart,MATCH($J21,tsk_ID,0),0),N($L21),WorkWeek,Holidays),WORKDAY.INTL(WORKDAY.INTL(OFFSET(hdr_PlanFinish,MATCH($J21,tsk_ID,0),0),N($L21),WorkWeek,Holidays),-MAX(0,N($F21)-1),WorkWeek,Holidays),WORKDAY.INTL(WORKDAY.INTL(OFFSET(hdr_PlanStart,MATCH($J21,tsk_ID,0),0),N($L21),WorkWeek,Holidays),-MAX(0,N($F21)-1),WorkWeek,Holidays)),0))</f>
        <v>0</v>
      </c>
      <c r="AM21" s="48" t="n">
        <f aca="true">IF(OR(N($G21)=0,$AI21,$D21=""),0,IFERROR(CHOOSE(MATCH(IF($H21="","FS",$H21),{"FS","SS","FF","SF"},0),WORKDAY.INTL(OFFSET(hdr_FcFinish,MATCH($G21,tsk_ID,0),0),IF(N($F21)=0,0,1)+N($I21),WorkWeek,Holidays),WORKDAY.INTL(OFFSET(hdr_FcStart,MATCH($G21,tsk_ID,0),0),N($I21),WorkWeek,Holidays),WORKDAY.INTL(WORKDAY.INTL(OFFSET(hdr_FcFinish,MATCH($G21,tsk_ID,0),0),N($I21),WorkWeek,Holidays),-MAX(0,N($F21)-1),WorkWeek,Holidays),WORKDAY.INTL(WORKDAY.INTL(OFFSET(hdr_FcStart,MATCH($G21,tsk_ID,0),0),N($I21),WorkWeek,Holidays),-MAX(0,N($F21)-1),WorkWeek,Holidays)),0))</f>
        <v>46302</v>
      </c>
      <c r="AN21" s="48" t="n">
        <f aca="true">IF(OR(N($J21)=0,$AI21,$D21=""),0,IFERROR(CHOOSE(MATCH(IF($K21="","FS",$K21),{"FS","SS","FF","SF"},0),WORKDAY.INTL(OFFSET(hdr_FcFinish,MATCH($J21,tsk_ID,0),0),IF(N($F21)=0,0,1)+N($L21),WorkWeek,Holidays),WORKDAY.INTL(OFFSET(hdr_FcStart,MATCH($J21,tsk_ID,0),0),N($L21),WorkWeek,Holidays),WORKDAY.INTL(WORKDAY.INTL(OFFSET(hdr_FcFinish,MATCH($J21,tsk_ID,0),0),N($L21),WorkWeek,Holidays),-MAX(0,N($F21)-1),WorkWeek,Holidays),WORKDAY.INTL(WORKDAY.INTL(OFFSET(hdr_FcStart,MATCH($J21,tsk_ID,0),0),N($L21),WorkWeek,Holidays),-MAX(0,N($F21)-1),WorkWeek,Holidays)),0))</f>
        <v>0</v>
      </c>
      <c r="AO21" s="48" t="n">
        <f aca="false">IF($AJ21=1,$R21,0)</f>
        <v>46302</v>
      </c>
      <c r="AP21" s="48" t="n">
        <f aca="false">IF($AJ21=1,$S21,0)</f>
        <v>46311</v>
      </c>
      <c r="AQ21" s="49" t="n">
        <f aca="false">IF(AND($AJ21=1,N($Z21)&gt;0),$Z21/($AP21-$AO21+1),0)</f>
        <v>4.8</v>
      </c>
      <c r="AR21" s="46" t="n">
        <f aca="false">IF($AJ21=1,MAX(N($F21),0.1),0)</f>
        <v>6</v>
      </c>
      <c r="AS21" s="46" t="n">
        <f aca="false">IF($AJ21=1,$AR21*$V21,0)</f>
        <v>6</v>
      </c>
      <c r="AT21" s="46" t="str">
        <f aca="false">IF(N($G21)=0,"",$G21&amp;IF(AND(IF($H21="","FS",$H21)="FS",N($I21)=0),"",IF($H21="","FS",$H21)&amp;IF(N($I21)=0,"",IF(N($I21)&gt;0,"+","")&amp;N($I21)&amp;"d")))</f>
        <v>9</v>
      </c>
      <c r="AU21" s="46" t="str">
        <f aca="false">IF(N($J21)=0,"",$J21&amp;IF(AND(IF($K21="","FS",$K21)="FS",N($L21)=0),"",IF($K21="","FS",$K21)&amp;IF(N($L21)=0,"",IF(N($L21)&gt;0,"+","")&amp;N($L21)&amp;"d")))</f>
        <v/>
      </c>
      <c r="AV21" s="46" t="str">
        <f aca="false">IF(AND($AJ21=1,N($F21)=0,$V21&lt;1),$S21+$AF21/100000,"")</f>
        <v/>
      </c>
    </row>
    <row r="22" customFormat="false" ht="15" hidden="false" customHeight="false" outlineLevel="0" collapsed="false">
      <c r="A22" s="38" t="n">
        <f aca="false">IF($D22="","",COUNTA($D$6:$D22))</f>
        <v>17</v>
      </c>
      <c r="B22" s="39" t="str">
        <f aca="true">IF($D22="","",IF($AE22=1,COUNTIF($AE$6:$AE22,1)&amp;"",IF($AG22=0,"?",OFFSET(hdr_WBS,$AG22-ROW(hdr_WBS),0)&amp;"."&amp;COUNTIF(INDEX($AE:$AE,$AG22+1):$AE22,$AE22))))</f>
        <v>3.2.2</v>
      </c>
      <c r="C22" s="40" t="n">
        <v>3</v>
      </c>
      <c r="D22" s="41" t="s">
        <v>235</v>
      </c>
      <c r="E22" s="40" t="s">
        <v>205</v>
      </c>
      <c r="F22" s="40" t="n">
        <v>12</v>
      </c>
      <c r="G22" s="40" t="n">
        <v>16</v>
      </c>
      <c r="H22" s="40" t="s">
        <v>210</v>
      </c>
      <c r="I22" s="40"/>
      <c r="J22" s="40" t="n">
        <v>13</v>
      </c>
      <c r="K22" s="40" t="s">
        <v>217</v>
      </c>
      <c r="L22" s="40" t="n">
        <v>2</v>
      </c>
      <c r="M22" s="29"/>
      <c r="N22" s="30" t="n">
        <f aca="true">IF($D22="","",IF($AI22,MIN(OFFSET(hdr_PlanStart,$AF22+1,0,$AH22,1)),IF($E22="Manual",IF(N($M22)&gt;0,$M22,ProjectStart),WORKDAY.INTL(MAX(ProjectStart,N($M22),$AK22,$AL22)-1,1,WorkWeek,Holidays))))</f>
        <v>46308</v>
      </c>
      <c r="O22" s="30" t="n">
        <f aca="true">IF($D22="","",IF($AI22,MAX(OFFSET(hdr_PlanFinish,$AF22+1,0,$AH22,1)),IF(N($F22)&lt;=0,$N22,WORKDAY.INTL($N22,$F22-1,WorkWeek,Holidays))))</f>
        <v>46323</v>
      </c>
      <c r="P22" s="29" t="n">
        <v>46314</v>
      </c>
      <c r="Q22" s="29"/>
      <c r="R22" s="30" t="n">
        <f aca="true">IF($D22="","",IF($AI22,MIN(OFFSET(hdr_FcStart,$AF22+1,0,$AH22,1)),IF(N($P22)&gt;0,$P22,IF($E22="Manual",IF(N($M22)&gt;0,$M22,ProjectStart),WORKDAY.INTL(MAX(ProjectStart,N($M22),$AM22,$AN22,IF(RescheduleAfterStatus="Yes",StatusDate,0))-1,1,WorkWeek,Holidays)))))</f>
        <v>46314</v>
      </c>
      <c r="S22" s="30" t="n">
        <f aca="true">IF($D22="","",IF($AI22,MAX(OFFSET(hdr_FcFinish,$AF22+1,0,$AH22,1)),IF(N($Q22)&gt;0,$Q22,IF(N($F22)&lt;=0,$R22,IF(AND(N($P22)&gt;0,RescheduleAfterStatus="Yes"),MAX(WORKDAY.INTL($R22,$F22-1,WorkWeek,Holidays),WORKDAY.INTL(StatusWorkday,MAX(0,ROUNDUP($F22*(1-MIN(1,N($U22))),0)-1),WorkWeek,Holidays)),WORKDAY.INTL($R22,$F22-1,WorkWeek,Holidays))))))</f>
        <v>46331</v>
      </c>
      <c r="T22" s="38" t="n">
        <f aca="false">IF($D22="","",IF($S22&gt;=$O22,NETWORKDAYS.INTL($O22,$S22,WorkWeek,Holidays)-1,1-NETWORKDAYS.INTL($S22,$O22,WorkWeek,Holidays)))</f>
        <v>6</v>
      </c>
      <c r="U22" s="32" t="n">
        <v>0.25</v>
      </c>
      <c r="V22" s="42" t="n">
        <f aca="true">IF($D22="","",IF($AI22,IFERROR(SUM(OFFSET(hdr_WtDone,$AF22+1,0,$AH22,1))/SUM(OFFSET(hdr_WtDur,$AF22+1,0,$AH22,1)),0),IF(N($Q22)&gt;0,1,MIN(1,N($U22)))))</f>
        <v>0.25</v>
      </c>
      <c r="W22" s="39" t="str">
        <f aca="false">IF($D22="","",IF($V22&gt;=1,"Complete",IF(OR(N($P22)&gt;0,$V22&gt;0),IF($T22&gt;0,"Behind","In Progress"),IF($N22&lt;StatusDate,"Late Start","Not Started"))))</f>
        <v>Behind</v>
      </c>
      <c r="X22" s="41" t="s">
        <v>234</v>
      </c>
      <c r="Y22" s="32"/>
      <c r="Z22" s="43" t="n">
        <f aca="true">IF($D22="","",IF($AI22,SUMPRODUCT(OFFSET(hdr_Work,$AF22+1,0,$AH22,1),OFFSET(hdr_IsLeaf,$AF22+1,0,$AH22,1)),IF($X22="",0,N($F22)*HoursPerDay*IF($Y22="",DefaultUnits,$Y22))))</f>
        <v>96</v>
      </c>
      <c r="AA22" s="44" t="n">
        <f aca="true">IF($D22="","",IF($AI22,SUMPRODUCT(OFFSET(hdr_Cost,$AF22+1,0,$AH22,1),OFFSET(hdr_IsLeaf,$AF22+1,0,$AH22,1)),$Z22*IFERROR(INDEX(res_Rate,MATCH($X22,res_Name,0)),0)))</f>
        <v>7680</v>
      </c>
      <c r="AB22" s="38" t="str">
        <f aca="false">IF(OR($D22="",$AI22),"",IF(OR($R22&lt;Sprint1Start,$R22&gt;SprintLastEnd),"Backlog",INDEX(spr_Name,MATCH($R22,spr_Start,1))))</f>
        <v>Sprint 4</v>
      </c>
      <c r="AC22" s="45" t="str">
        <f aca="false">IF($D22="","",$AT22&amp;IF(AND($AT22&lt;&gt;"",$AU22&lt;&gt;""),",","")&amp;$AU22)</f>
        <v>16,13SS+2d</v>
      </c>
      <c r="AD22" s="41"/>
      <c r="AE22" s="46" t="n">
        <f aca="false">IF($D22="","",MAX(1,N($C22)))</f>
        <v>3</v>
      </c>
      <c r="AF22" s="46" t="n">
        <f aca="false">ROW()-ROW(hdr_ID)</f>
        <v>17</v>
      </c>
      <c r="AG22" s="46" t="n">
        <f aca="false">IF(OR($D22="",$AE22&lt;=1),0,IFERROR(LOOKUP(2,1/($AE$5:$AE21=$AE22-1),ROW($AE$5:$AE21)),0))</f>
        <v>20</v>
      </c>
      <c r="AH22" s="46" t="n">
        <f aca="false">IF($D22="",0,COUNTIF(tsk_WBS,$B22&amp;".*"))</f>
        <v>0</v>
      </c>
      <c r="AI22" s="47" t="b">
        <f aca="false">$AH22&gt;0</f>
        <v>0</v>
      </c>
      <c r="AJ22" s="46" t="n">
        <f aca="false">IF(AND($D22&lt;&gt;"",NOT($AI22)),1,0)</f>
        <v>1</v>
      </c>
      <c r="AK22" s="48" t="n">
        <f aca="true">IF(OR(N($G22)=0,$AI22,$D22=""),0,IFERROR(CHOOSE(MATCH(IF($H22="","FS",$H22),{"FS","SS","FF","SF"},0),WORKDAY.INTL(OFFSET(hdr_PlanFinish,MATCH($G22,tsk_ID,0),0),IF(N($F22)=0,0,1)+N($I22),WorkWeek,Holidays),WORKDAY.INTL(OFFSET(hdr_PlanStart,MATCH($G22,tsk_ID,0),0),N($I22),WorkWeek,Holidays),WORKDAY.INTL(WORKDAY.INTL(OFFSET(hdr_PlanFinish,MATCH($G22,tsk_ID,0),0),N($I22),WorkWeek,Holidays),-MAX(0,N($F22)-1),WorkWeek,Holidays),WORKDAY.INTL(WORKDAY.INTL(OFFSET(hdr_PlanStart,MATCH($G22,tsk_ID,0),0),N($I22),WorkWeek,Holidays),-MAX(0,N($F22)-1),WorkWeek,Holidays)),0))</f>
        <v>46307</v>
      </c>
      <c r="AL22" s="48" t="n">
        <f aca="true">IF(OR(N($J22)=0,$AI22,$D22=""),0,IFERROR(CHOOSE(MATCH(IF($K22="","FS",$K22),{"FS","SS","FF","SF"},0),WORKDAY.INTL(OFFSET(hdr_PlanFinish,MATCH($J22,tsk_ID,0),0),IF(N($F22)=0,0,1)+N($L22),WorkWeek,Holidays),WORKDAY.INTL(OFFSET(hdr_PlanStart,MATCH($J22,tsk_ID,0),0),N($L22),WorkWeek,Holidays),WORKDAY.INTL(WORKDAY.INTL(OFFSET(hdr_PlanFinish,MATCH($J22,tsk_ID,0),0),N($L22),WorkWeek,Holidays),-MAX(0,N($F22)-1),WorkWeek,Holidays),WORKDAY.INTL(WORKDAY.INTL(OFFSET(hdr_PlanStart,MATCH($J22,tsk_ID,0),0),N($L22),WorkWeek,Holidays),-MAX(0,N($F22)-1),WorkWeek,Holidays)),0))</f>
        <v>46308</v>
      </c>
      <c r="AM22" s="48" t="n">
        <f aca="true">IF(OR(N($G22)=0,$AI22,$D22=""),0,IFERROR(CHOOSE(MATCH(IF($H22="","FS",$H22),{"FS","SS","FF","SF"},0),WORKDAY.INTL(OFFSET(hdr_FcFinish,MATCH($G22,tsk_ID,0),0),IF(N($F22)=0,0,1)+N($I22),WorkWeek,Holidays),WORKDAY.INTL(OFFSET(hdr_FcStart,MATCH($G22,tsk_ID,0),0),N($I22),WorkWeek,Holidays),WORKDAY.INTL(WORKDAY.INTL(OFFSET(hdr_FcFinish,MATCH($G22,tsk_ID,0),0),N($I22),WorkWeek,Holidays),-MAX(0,N($F22)-1),WorkWeek,Holidays),WORKDAY.INTL(WORKDAY.INTL(OFFSET(hdr_FcStart,MATCH($G22,tsk_ID,0),0),N($I22),WorkWeek,Holidays),-MAX(0,N($F22)-1),WorkWeek,Holidays)),0))</f>
        <v>46314</v>
      </c>
      <c r="AN22" s="48" t="n">
        <f aca="true">IF(OR(N($J22)=0,$AI22,$D22=""),0,IFERROR(CHOOSE(MATCH(IF($K22="","FS",$K22),{"FS","SS","FF","SF"},0),WORKDAY.INTL(OFFSET(hdr_FcFinish,MATCH($J22,tsk_ID,0),0),IF(N($F22)=0,0,1)+N($L22),WorkWeek,Holidays),WORKDAY.INTL(OFFSET(hdr_FcStart,MATCH($J22,tsk_ID,0),0),N($L22),WorkWeek,Holidays),WORKDAY.INTL(WORKDAY.INTL(OFFSET(hdr_FcFinish,MATCH($J22,tsk_ID,0),0),N($L22),WorkWeek,Holidays),-MAX(0,N($F22)-1),WorkWeek,Holidays),WORKDAY.INTL(WORKDAY.INTL(OFFSET(hdr_FcStart,MATCH($J22,tsk_ID,0),0),N($L22),WorkWeek,Holidays),-MAX(0,N($F22)-1),WorkWeek,Holidays)),0))</f>
        <v>46314</v>
      </c>
      <c r="AO22" s="48" t="n">
        <f aca="false">IF($AJ22=1,$R22,0)</f>
        <v>46314</v>
      </c>
      <c r="AP22" s="48" t="n">
        <f aca="false">IF($AJ22=1,$S22,0)</f>
        <v>46331</v>
      </c>
      <c r="AQ22" s="49" t="n">
        <f aca="false">IF(AND($AJ22=1,N($Z22)&gt;0),$Z22/($AP22-$AO22+1),0)</f>
        <v>5.33333333333333</v>
      </c>
      <c r="AR22" s="46" t="n">
        <f aca="false">IF($AJ22=1,MAX(N($F22),0.1),0)</f>
        <v>12</v>
      </c>
      <c r="AS22" s="46" t="n">
        <f aca="false">IF($AJ22=1,$AR22*$V22,0)</f>
        <v>3</v>
      </c>
      <c r="AT22" s="46" t="str">
        <f aca="false">IF(N($G22)=0,"",$G22&amp;IF(AND(IF($H22="","FS",$H22)="FS",N($I22)=0),"",IF($H22="","FS",$H22)&amp;IF(N($I22)=0,"",IF(N($I22)&gt;0,"+","")&amp;N($I22)&amp;"d")))</f>
        <v>16</v>
      </c>
      <c r="AU22" s="46" t="str">
        <f aca="false">IF(N($J22)=0,"",$J22&amp;IF(AND(IF($K22="","FS",$K22)="FS",N($L22)=0),"",IF($K22="","FS",$K22)&amp;IF(N($L22)=0,"",IF(N($L22)&gt;0,"+","")&amp;N($L22)&amp;"d")))</f>
        <v>13SS+2d</v>
      </c>
      <c r="AV22" s="46" t="str">
        <f aca="false">IF(AND($AJ22=1,N($F22)=0,$V22&lt;1),$S22+$AF22/100000,"")</f>
        <v/>
      </c>
    </row>
    <row r="23" customFormat="false" ht="15" hidden="false" customHeight="false" outlineLevel="0" collapsed="false">
      <c r="A23" s="38" t="n">
        <f aca="false">IF($D23="","",COUNTA($D$6:$D23))</f>
        <v>18</v>
      </c>
      <c r="B23" s="39" t="str">
        <f aca="true">IF($D23="","",IF($AE23=1,COUNTIF($AE$6:$AE23,1)&amp;"",IF($AG23=0,"?",OFFSET(hdr_WBS,$AG23-ROW(hdr_WBS),0)&amp;"."&amp;COUNTIF(INDEX($AE:$AE,$AG23+1):$AE23,$AE23))))</f>
        <v>3.2.3</v>
      </c>
      <c r="C23" s="40" t="n">
        <v>3</v>
      </c>
      <c r="D23" s="41" t="s">
        <v>236</v>
      </c>
      <c r="E23" s="40" t="s">
        <v>205</v>
      </c>
      <c r="F23" s="40" t="n">
        <v>3</v>
      </c>
      <c r="G23" s="40" t="n">
        <v>17</v>
      </c>
      <c r="H23" s="40" t="s">
        <v>237</v>
      </c>
      <c r="I23" s="40" t="n">
        <v>1</v>
      </c>
      <c r="J23" s="40"/>
      <c r="K23" s="40"/>
      <c r="L23" s="40"/>
      <c r="M23" s="29"/>
      <c r="N23" s="30" t="n">
        <f aca="true">IF($D23="","",IF($AI23,MIN(OFFSET(hdr_PlanStart,$AF23+1,0,$AH23,1)),IF($E23="Manual",IF(N($M23)&gt;0,$M23,ProjectStart),WORKDAY.INTL(MAX(ProjectStart,N($M23),$AK23,$AL23)-1,1,WorkWeek,Holidays))))</f>
        <v>46322</v>
      </c>
      <c r="O23" s="30" t="n">
        <f aca="true">IF($D23="","",IF($AI23,MAX(OFFSET(hdr_PlanFinish,$AF23+1,0,$AH23,1)),IF(N($F23)&lt;=0,$N23,WORKDAY.INTL($N23,$F23-1,WorkWeek,Holidays))))</f>
        <v>46324</v>
      </c>
      <c r="P23" s="29"/>
      <c r="Q23" s="29"/>
      <c r="R23" s="30" t="n">
        <f aca="true">IF($D23="","",IF($AI23,MIN(OFFSET(hdr_FcStart,$AF23+1,0,$AH23,1)),IF(N($P23)&gt;0,$P23,IF($E23="Manual",IF(N($M23)&gt;0,$M23,ProjectStart),WORKDAY.INTL(MAX(ProjectStart,N($M23),$AM23,$AN23,IF(RescheduleAfterStatus="Yes",StatusDate,0))-1,1,WorkWeek,Holidays)))))</f>
        <v>46330</v>
      </c>
      <c r="S23" s="30" t="n">
        <f aca="true">IF($D23="","",IF($AI23,MAX(OFFSET(hdr_FcFinish,$AF23+1,0,$AH23,1)),IF(N($Q23)&gt;0,$Q23,IF(N($F23)&lt;=0,$R23,IF(AND(N($P23)&gt;0,RescheduleAfterStatus="Yes"),MAX(WORKDAY.INTL($R23,$F23-1,WorkWeek,Holidays),WORKDAY.INTL(StatusWorkday,MAX(0,ROUNDUP($F23*(1-MIN(1,N($U23))),0)-1),WorkWeek,Holidays)),WORKDAY.INTL($R23,$F23-1,WorkWeek,Holidays))))))</f>
        <v>46332</v>
      </c>
      <c r="T23" s="38" t="n">
        <f aca="false">IF($D23="","",IF($S23&gt;=$O23,NETWORKDAYS.INTL($O23,$S23,WorkWeek,Holidays)-1,1-NETWORKDAYS.INTL($S23,$O23,WorkWeek,Holidays)))</f>
        <v>6</v>
      </c>
      <c r="U23" s="32"/>
      <c r="V23" s="42" t="n">
        <f aca="true">IF($D23="","",IF($AI23,IFERROR(SUM(OFFSET(hdr_WtDone,$AF23+1,0,$AH23,1))/SUM(OFFSET(hdr_WtDur,$AF23+1,0,$AH23,1)),0),IF(N($Q23)&gt;0,1,MIN(1,N($U23)))))</f>
        <v>0</v>
      </c>
      <c r="W23" s="39" t="str">
        <f aca="false">IF($D23="","",IF($V23&gt;=1,"Complete",IF(OR(N($P23)&gt;0,$V23&gt;0),IF($T23&gt;0,"Behind","In Progress"),IF($N23&lt;StatusDate,"Late Start","Not Started"))))</f>
        <v>Not Started</v>
      </c>
      <c r="X23" s="41" t="s">
        <v>221</v>
      </c>
      <c r="Y23" s="32" t="n">
        <v>0.5</v>
      </c>
      <c r="Z23" s="43" t="n">
        <f aca="true">IF($D23="","",IF($AI23,SUMPRODUCT(OFFSET(hdr_Work,$AF23+1,0,$AH23,1),OFFSET(hdr_IsLeaf,$AF23+1,0,$AH23,1)),IF($X23="",0,N($F23)*HoursPerDay*IF($Y23="",DefaultUnits,$Y23))))</f>
        <v>12</v>
      </c>
      <c r="AA23" s="44" t="n">
        <f aca="true">IF($D23="","",IF($AI23,SUMPRODUCT(OFFSET(hdr_Cost,$AF23+1,0,$AH23,1),OFFSET(hdr_IsLeaf,$AF23+1,0,$AH23,1)),$Z23*IFERROR(INDEX(res_Rate,MATCH($X23,res_Name,0)),0)))</f>
        <v>900</v>
      </c>
      <c r="AB23" s="38" t="str">
        <f aca="false">IF(OR($D23="",$AI23),"",IF(OR($R23&lt;Sprint1Start,$R23&gt;SprintLastEnd),"Backlog",INDEX(spr_Name,MATCH($R23,spr_Start,1))))</f>
        <v>Sprint 5</v>
      </c>
      <c r="AC23" s="45" t="str">
        <f aca="false">IF($D23="","",$AT23&amp;IF(AND($AT23&lt;&gt;"",$AU23&lt;&gt;""),",","")&amp;$AU23)</f>
        <v>17FF+1d</v>
      </c>
      <c r="AD23" s="41" t="s">
        <v>238</v>
      </c>
      <c r="AE23" s="46" t="n">
        <f aca="false">IF($D23="","",MAX(1,N($C23)))</f>
        <v>3</v>
      </c>
      <c r="AF23" s="46" t="n">
        <f aca="false">ROW()-ROW(hdr_ID)</f>
        <v>18</v>
      </c>
      <c r="AG23" s="46" t="n">
        <f aca="false">IF(OR($D23="",$AE23&lt;=1),0,IFERROR(LOOKUP(2,1/($AE$5:$AE22=$AE23-1),ROW($AE$5:$AE22)),0))</f>
        <v>20</v>
      </c>
      <c r="AH23" s="46" t="n">
        <f aca="false">IF($D23="",0,COUNTIF(tsk_WBS,$B23&amp;".*"))</f>
        <v>0</v>
      </c>
      <c r="AI23" s="47" t="b">
        <f aca="false">$AH23&gt;0</f>
        <v>0</v>
      </c>
      <c r="AJ23" s="46" t="n">
        <f aca="false">IF(AND($D23&lt;&gt;"",NOT($AI23)),1,0)</f>
        <v>1</v>
      </c>
      <c r="AK23" s="48" t="n">
        <f aca="true">IF(OR(N($G23)=0,$AI23,$D23=""),0,IFERROR(CHOOSE(MATCH(IF($H23="","FS",$H23),{"FS","SS","FF","SF"},0),WORKDAY.INTL(OFFSET(hdr_PlanFinish,MATCH($G23,tsk_ID,0),0),IF(N($F23)=0,0,1)+N($I23),WorkWeek,Holidays),WORKDAY.INTL(OFFSET(hdr_PlanStart,MATCH($G23,tsk_ID,0),0),N($I23),WorkWeek,Holidays),WORKDAY.INTL(WORKDAY.INTL(OFFSET(hdr_PlanFinish,MATCH($G23,tsk_ID,0),0),N($I23),WorkWeek,Holidays),-MAX(0,N($F23)-1),WorkWeek,Holidays),WORKDAY.INTL(WORKDAY.INTL(OFFSET(hdr_PlanStart,MATCH($G23,tsk_ID,0),0),N($I23),WorkWeek,Holidays),-MAX(0,N($F23)-1),WorkWeek,Holidays)),0))</f>
        <v>46322</v>
      </c>
      <c r="AL23" s="48" t="n">
        <f aca="true">IF(OR(N($J23)=0,$AI23,$D23=""),0,IFERROR(CHOOSE(MATCH(IF($K23="","FS",$K23),{"FS","SS","FF","SF"},0),WORKDAY.INTL(OFFSET(hdr_PlanFinish,MATCH($J23,tsk_ID,0),0),IF(N($F23)=0,0,1)+N($L23),WorkWeek,Holidays),WORKDAY.INTL(OFFSET(hdr_PlanStart,MATCH($J23,tsk_ID,0),0),N($L23),WorkWeek,Holidays),WORKDAY.INTL(WORKDAY.INTL(OFFSET(hdr_PlanFinish,MATCH($J23,tsk_ID,0),0),N($L23),WorkWeek,Holidays),-MAX(0,N($F23)-1),WorkWeek,Holidays),WORKDAY.INTL(WORKDAY.INTL(OFFSET(hdr_PlanStart,MATCH($J23,tsk_ID,0),0),N($L23),WorkWeek,Holidays),-MAX(0,N($F23)-1),WorkWeek,Holidays)),0))</f>
        <v>0</v>
      </c>
      <c r="AM23" s="48" t="n">
        <f aca="true">IF(OR(N($G23)=0,$AI23,$D23=""),0,IFERROR(CHOOSE(MATCH(IF($H23="","FS",$H23),{"FS","SS","FF","SF"},0),WORKDAY.INTL(OFFSET(hdr_FcFinish,MATCH($G23,tsk_ID,0),0),IF(N($F23)=0,0,1)+N($I23),WorkWeek,Holidays),WORKDAY.INTL(OFFSET(hdr_FcStart,MATCH($G23,tsk_ID,0),0),N($I23),WorkWeek,Holidays),WORKDAY.INTL(WORKDAY.INTL(OFFSET(hdr_FcFinish,MATCH($G23,tsk_ID,0),0),N($I23),WorkWeek,Holidays),-MAX(0,N($F23)-1),WorkWeek,Holidays),WORKDAY.INTL(WORKDAY.INTL(OFFSET(hdr_FcStart,MATCH($G23,tsk_ID,0),0),N($I23),WorkWeek,Holidays),-MAX(0,N($F23)-1),WorkWeek,Holidays)),0))</f>
        <v>46330</v>
      </c>
      <c r="AN23" s="48" t="n">
        <f aca="true">IF(OR(N($J23)=0,$AI23,$D23=""),0,IFERROR(CHOOSE(MATCH(IF($K23="","FS",$K23),{"FS","SS","FF","SF"},0),WORKDAY.INTL(OFFSET(hdr_FcFinish,MATCH($J23,tsk_ID,0),0),IF(N($F23)=0,0,1)+N($L23),WorkWeek,Holidays),WORKDAY.INTL(OFFSET(hdr_FcStart,MATCH($J23,tsk_ID,0),0),N($L23),WorkWeek,Holidays),WORKDAY.INTL(WORKDAY.INTL(OFFSET(hdr_FcFinish,MATCH($J23,tsk_ID,0),0),N($L23),WorkWeek,Holidays),-MAX(0,N($F23)-1),WorkWeek,Holidays),WORKDAY.INTL(WORKDAY.INTL(OFFSET(hdr_FcStart,MATCH($J23,tsk_ID,0),0),N($L23),WorkWeek,Holidays),-MAX(0,N($F23)-1),WorkWeek,Holidays)),0))</f>
        <v>0</v>
      </c>
      <c r="AO23" s="48" t="n">
        <f aca="false">IF($AJ23=1,$R23,0)</f>
        <v>46330</v>
      </c>
      <c r="AP23" s="48" t="n">
        <f aca="false">IF($AJ23=1,$S23,0)</f>
        <v>46332</v>
      </c>
      <c r="AQ23" s="49" t="n">
        <f aca="false">IF(AND($AJ23=1,N($Z23)&gt;0),$Z23/($AP23-$AO23+1),0)</f>
        <v>4</v>
      </c>
      <c r="AR23" s="46" t="n">
        <f aca="false">IF($AJ23=1,MAX(N($F23),0.1),0)</f>
        <v>3</v>
      </c>
      <c r="AS23" s="46" t="n">
        <f aca="false">IF($AJ23=1,$AR23*$V23,0)</f>
        <v>0</v>
      </c>
      <c r="AT23" s="46" t="str">
        <f aca="false">IF(N($G23)=0,"",$G23&amp;IF(AND(IF($H23="","FS",$H23)="FS",N($I23)=0),"",IF($H23="","FS",$H23)&amp;IF(N($I23)=0,"",IF(N($I23)&gt;0,"+","")&amp;N($I23)&amp;"d")))</f>
        <v>17FF+1d</v>
      </c>
      <c r="AU23" s="46" t="str">
        <f aca="false">IF(N($J23)=0,"",$J23&amp;IF(AND(IF($K23="","FS",$K23)="FS",N($L23)=0),"",IF($K23="","FS",$K23)&amp;IF(N($L23)=0,"",IF(N($L23)&gt;0,"+","")&amp;N($L23)&amp;"d")))</f>
        <v/>
      </c>
      <c r="AV23" s="46" t="str">
        <f aca="false">IF(AND($AJ23=1,N($F23)=0,$V23&lt;1),$S23+$AF23/100000,"")</f>
        <v/>
      </c>
    </row>
    <row r="24" customFormat="false" ht="15" hidden="false" customHeight="false" outlineLevel="0" collapsed="false">
      <c r="A24" s="38" t="n">
        <f aca="false">IF($D24="","",COUNTA($D$6:$D24))</f>
        <v>19</v>
      </c>
      <c r="B24" s="39" t="str">
        <f aca="true">IF($D24="","",IF($AE24=1,COUNTIF($AE$6:$AE24,1)&amp;"",IF($AG24=0,"?",OFFSET(hdr_WBS,$AG24-ROW(hdr_WBS),0)&amp;"."&amp;COUNTIF(INDEX($AE:$AE,$AG24+1):$AE24,$AE24))))</f>
        <v>3.3</v>
      </c>
      <c r="C24" s="40" t="n">
        <v>2</v>
      </c>
      <c r="D24" s="41" t="s">
        <v>239</v>
      </c>
      <c r="E24" s="40" t="s">
        <v>205</v>
      </c>
      <c r="F24" s="40" t="n">
        <v>0</v>
      </c>
      <c r="G24" s="40" t="n">
        <v>14</v>
      </c>
      <c r="H24" s="40" t="s">
        <v>210</v>
      </c>
      <c r="I24" s="40"/>
      <c r="J24" s="40" t="n">
        <v>18</v>
      </c>
      <c r="K24" s="40" t="s">
        <v>210</v>
      </c>
      <c r="L24" s="40"/>
      <c r="M24" s="29"/>
      <c r="N24" s="30" t="n">
        <f aca="true">IF($D24="","",IF($AI24,MIN(OFFSET(hdr_PlanStart,$AF24+1,0,$AH24,1)),IF($E24="Manual",IF(N($M24)&gt;0,$M24,ProjectStart),WORKDAY.INTL(MAX(ProjectStart,N($M24),$AK24,$AL24)-1,1,WorkWeek,Holidays))))</f>
        <v>46325</v>
      </c>
      <c r="O24" s="30" t="n">
        <f aca="true">IF($D24="","",IF($AI24,MAX(OFFSET(hdr_PlanFinish,$AF24+1,0,$AH24,1)),IF(N($F24)&lt;=0,$N24,WORKDAY.INTL($N24,$F24-1,WorkWeek,Holidays))))</f>
        <v>46325</v>
      </c>
      <c r="P24" s="29"/>
      <c r="Q24" s="29"/>
      <c r="R24" s="30" t="n">
        <f aca="true">IF($D24="","",IF($AI24,MIN(OFFSET(hdr_FcStart,$AF24+1,0,$AH24,1)),IF(N($P24)&gt;0,$P24,IF($E24="Manual",IF(N($M24)&gt;0,$M24,ProjectStart),WORKDAY.INTL(MAX(ProjectStart,N($M24),$AM24,$AN24,IF(RescheduleAfterStatus="Yes",StatusDate,0))-1,1,WorkWeek,Holidays)))))</f>
        <v>46335</v>
      </c>
      <c r="S24" s="30" t="n">
        <f aca="true">IF($D24="","",IF($AI24,MAX(OFFSET(hdr_FcFinish,$AF24+1,0,$AH24,1)),IF(N($Q24)&gt;0,$Q24,IF(N($F24)&lt;=0,$R24,IF(AND(N($P24)&gt;0,RescheduleAfterStatus="Yes"),MAX(WORKDAY.INTL($R24,$F24-1,WorkWeek,Holidays),WORKDAY.INTL(StatusWorkday,MAX(0,ROUNDUP($F24*(1-MIN(1,N($U24))),0)-1),WorkWeek,Holidays)),WORKDAY.INTL($R24,$F24-1,WorkWeek,Holidays))))))</f>
        <v>46335</v>
      </c>
      <c r="T24" s="38" t="n">
        <f aca="false">IF($D24="","",IF($S24&gt;=$O24,NETWORKDAYS.INTL($O24,$S24,WorkWeek,Holidays)-1,1-NETWORKDAYS.INTL($S24,$O24,WorkWeek,Holidays)))</f>
        <v>6</v>
      </c>
      <c r="U24" s="32"/>
      <c r="V24" s="42" t="n">
        <f aca="true">IF($D24="","",IF($AI24,IFERROR(SUM(OFFSET(hdr_WtDone,$AF24+1,0,$AH24,1))/SUM(OFFSET(hdr_WtDur,$AF24+1,0,$AH24,1)),0),IF(N($Q24)&gt;0,1,MIN(1,N($U24)))))</f>
        <v>0</v>
      </c>
      <c r="W24" s="39" t="str">
        <f aca="false">IF($D24="","",IF($V24&gt;=1,"Complete",IF(OR(N($P24)&gt;0,$V24&gt;0),IF($T24&gt;0,"Behind","In Progress"),IF($N24&lt;StatusDate,"Late Start","Not Started"))))</f>
        <v>Not Started</v>
      </c>
      <c r="X24" s="41"/>
      <c r="Y24" s="32"/>
      <c r="Z24" s="43" t="n">
        <f aca="true">IF($D24="","",IF($AI24,SUMPRODUCT(OFFSET(hdr_Work,$AF24+1,0,$AH24,1),OFFSET(hdr_IsLeaf,$AF24+1,0,$AH24,1)),IF($X24="",0,N($F24)*HoursPerDay*IF($Y24="",DefaultUnits,$Y24))))</f>
        <v>0</v>
      </c>
      <c r="AA24" s="44" t="n">
        <f aca="true">IF($D24="","",IF($AI24,SUMPRODUCT(OFFSET(hdr_Cost,$AF24+1,0,$AH24,1),OFFSET(hdr_IsLeaf,$AF24+1,0,$AH24,1)),$Z24*IFERROR(INDEX(res_Rate,MATCH($X24,res_Name,0)),0)))</f>
        <v>0</v>
      </c>
      <c r="AB24" s="38" t="str">
        <f aca="false">IF(OR($D24="",$AI24),"",IF(OR($R24&lt;Sprint1Start,$R24&gt;SprintLastEnd),"Backlog",INDEX(spr_Name,MATCH($R24,spr_Start,1))))</f>
        <v>Sprint 5</v>
      </c>
      <c r="AC24" s="45" t="str">
        <f aca="false">IF($D24="","",$AT24&amp;IF(AND($AT24&lt;&gt;"",$AU24&lt;&gt;""),",","")&amp;$AU24)</f>
        <v>14,18</v>
      </c>
      <c r="AD24" s="41" t="s">
        <v>240</v>
      </c>
      <c r="AE24" s="46" t="n">
        <f aca="false">IF($D24="","",MAX(1,N($C24)))</f>
        <v>2</v>
      </c>
      <c r="AF24" s="46" t="n">
        <f aca="false">ROW()-ROW(hdr_ID)</f>
        <v>19</v>
      </c>
      <c r="AG24" s="46" t="n">
        <f aca="false">IF(OR($D24="",$AE24&lt;=1),0,IFERROR(LOOKUP(2,1/($AE$5:$AE23=$AE24-1),ROW($AE$5:$AE23)),0))</f>
        <v>15</v>
      </c>
      <c r="AH24" s="46" t="n">
        <f aca="false">IF($D24="",0,COUNTIF(tsk_WBS,$B24&amp;".*"))</f>
        <v>0</v>
      </c>
      <c r="AI24" s="47" t="b">
        <f aca="false">$AH24&gt;0</f>
        <v>0</v>
      </c>
      <c r="AJ24" s="46" t="n">
        <f aca="false">IF(AND($D24&lt;&gt;"",NOT($AI24)),1,0)</f>
        <v>1</v>
      </c>
      <c r="AK24" s="48" t="n">
        <f aca="true">IF(OR(N($G24)=0,$AI24,$D24=""),0,IFERROR(CHOOSE(MATCH(IF($H24="","FS",$H24),{"FS","SS","FF","SF"},0),WORKDAY.INTL(OFFSET(hdr_PlanFinish,MATCH($G24,tsk_ID,0),0),IF(N($F24)=0,0,1)+N($I24),WorkWeek,Holidays),WORKDAY.INTL(OFFSET(hdr_PlanStart,MATCH($G24,tsk_ID,0),0),N($I24),WorkWeek,Holidays),WORKDAY.INTL(WORKDAY.INTL(OFFSET(hdr_PlanFinish,MATCH($G24,tsk_ID,0),0),N($I24),WorkWeek,Holidays),-MAX(0,N($F24)-1),WorkWeek,Holidays),WORKDAY.INTL(WORKDAY.INTL(OFFSET(hdr_PlanStart,MATCH($G24,tsk_ID,0),0),N($I24),WorkWeek,Holidays),-MAX(0,N($F24)-1),WorkWeek,Holidays)),0))</f>
        <v>46325</v>
      </c>
      <c r="AL24" s="48" t="n">
        <f aca="true">IF(OR(N($J24)=0,$AI24,$D24=""),0,IFERROR(CHOOSE(MATCH(IF($K24="","FS",$K24),{"FS","SS","FF","SF"},0),WORKDAY.INTL(OFFSET(hdr_PlanFinish,MATCH($J24,tsk_ID,0),0),IF(N($F24)=0,0,1)+N($L24),WorkWeek,Holidays),WORKDAY.INTL(OFFSET(hdr_PlanStart,MATCH($J24,tsk_ID,0),0),N($L24),WorkWeek,Holidays),WORKDAY.INTL(WORKDAY.INTL(OFFSET(hdr_PlanFinish,MATCH($J24,tsk_ID,0),0),N($L24),WorkWeek,Holidays),-MAX(0,N($F24)-1),WorkWeek,Holidays),WORKDAY.INTL(WORKDAY.INTL(OFFSET(hdr_PlanStart,MATCH($J24,tsk_ID,0),0),N($L24),WorkWeek,Holidays),-MAX(0,N($F24)-1),WorkWeek,Holidays)),0))</f>
        <v>46324</v>
      </c>
      <c r="AM24" s="48" t="n">
        <f aca="true">IF(OR(N($G24)=0,$AI24,$D24=""),0,IFERROR(CHOOSE(MATCH(IF($H24="","FS",$H24),{"FS","SS","FF","SF"},0),WORKDAY.INTL(OFFSET(hdr_FcFinish,MATCH($G24,tsk_ID,0),0),IF(N($F24)=0,0,1)+N($I24),WorkWeek,Holidays),WORKDAY.INTL(OFFSET(hdr_FcStart,MATCH($G24,tsk_ID,0),0),N($I24),WorkWeek,Holidays),WORKDAY.INTL(WORKDAY.INTL(OFFSET(hdr_FcFinish,MATCH($G24,tsk_ID,0),0),N($I24),WorkWeek,Holidays),-MAX(0,N($F24)-1),WorkWeek,Holidays),WORKDAY.INTL(WORKDAY.INTL(OFFSET(hdr_FcStart,MATCH($G24,tsk_ID,0),0),N($I24),WorkWeek,Holidays),-MAX(0,N($F24)-1),WorkWeek,Holidays)),0))</f>
        <v>46335</v>
      </c>
      <c r="AN24" s="48" t="n">
        <f aca="true">IF(OR(N($J24)=0,$AI24,$D24=""),0,IFERROR(CHOOSE(MATCH(IF($K24="","FS",$K24),{"FS","SS","FF","SF"},0),WORKDAY.INTL(OFFSET(hdr_FcFinish,MATCH($J24,tsk_ID,0),0),IF(N($F24)=0,0,1)+N($L24),WorkWeek,Holidays),WORKDAY.INTL(OFFSET(hdr_FcStart,MATCH($J24,tsk_ID,0),0),N($L24),WorkWeek,Holidays),WORKDAY.INTL(WORKDAY.INTL(OFFSET(hdr_FcFinish,MATCH($J24,tsk_ID,0),0),N($L24),WorkWeek,Holidays),-MAX(0,N($F24)-1),WorkWeek,Holidays),WORKDAY.INTL(WORKDAY.INTL(OFFSET(hdr_FcStart,MATCH($J24,tsk_ID,0),0),N($L24),WorkWeek,Holidays),-MAX(0,N($F24)-1),WorkWeek,Holidays)),0))</f>
        <v>46332</v>
      </c>
      <c r="AO24" s="48" t="n">
        <f aca="false">IF($AJ24=1,$R24,0)</f>
        <v>46335</v>
      </c>
      <c r="AP24" s="48" t="n">
        <f aca="false">IF($AJ24=1,$S24,0)</f>
        <v>46335</v>
      </c>
      <c r="AQ24" s="49" t="n">
        <f aca="false">IF(AND($AJ24=1,N($Z24)&gt;0),$Z24/($AP24-$AO24+1),0)</f>
        <v>0</v>
      </c>
      <c r="AR24" s="46" t="n">
        <f aca="false">IF($AJ24=1,MAX(N($F24),0.1),0)</f>
        <v>0.1</v>
      </c>
      <c r="AS24" s="46" t="n">
        <f aca="false">IF($AJ24=1,$AR24*$V24,0)</f>
        <v>0</v>
      </c>
      <c r="AT24" s="46" t="str">
        <f aca="false">IF(N($G24)=0,"",$G24&amp;IF(AND(IF($H24="","FS",$H24)="FS",N($I24)=0),"",IF($H24="","FS",$H24)&amp;IF(N($I24)=0,"",IF(N($I24)&gt;0,"+","")&amp;N($I24)&amp;"d")))</f>
        <v>14</v>
      </c>
      <c r="AU24" s="46" t="str">
        <f aca="false">IF(N($J24)=0,"",$J24&amp;IF(AND(IF($K24="","FS",$K24)="FS",N($L24)=0),"",IF($K24="","FS",$K24)&amp;IF(N($L24)=0,"",IF(N($L24)&gt;0,"+","")&amp;N($L24)&amp;"d")))</f>
        <v>18</v>
      </c>
      <c r="AV24" s="50" t="n">
        <f aca="false">IF(AND($AJ24=1,N($F24)=0,$V24&lt;1),$S24+$AF24/100000,"")</f>
        <v>46335.00019</v>
      </c>
    </row>
    <row r="25" customFormat="false" ht="15" hidden="false" customHeight="false" outlineLevel="0" collapsed="false">
      <c r="A25" s="38" t="n">
        <f aca="false">IF($D25="","",COUNTA($D$6:$D25))</f>
        <v>20</v>
      </c>
      <c r="B25" s="39" t="str">
        <f aca="true">IF($D25="","",IF($AE25=1,COUNTIF($AE$6:$AE25,1)&amp;"",IF($AG25=0,"?",OFFSET(hdr_WBS,$AG25-ROW(hdr_WBS),0)&amp;"."&amp;COUNTIF(INDEX($AE:$AE,$AG25+1):$AE25,$AE25))))</f>
        <v>4</v>
      </c>
      <c r="C25" s="40" t="n">
        <v>1</v>
      </c>
      <c r="D25" s="41" t="s">
        <v>241</v>
      </c>
      <c r="E25" s="40" t="s">
        <v>205</v>
      </c>
      <c r="F25" s="40"/>
      <c r="G25" s="40"/>
      <c r="H25" s="40"/>
      <c r="I25" s="40"/>
      <c r="J25" s="40"/>
      <c r="K25" s="40"/>
      <c r="L25" s="40"/>
      <c r="M25" s="29"/>
      <c r="N25" s="30" t="n">
        <f aca="true">IF($D25="","",IF($AI25,MIN(OFFSET(hdr_PlanStart,$AF25+1,0,$AH25,1)),IF($E25="Manual",IF(N($M25)&gt;0,$M25,ProjectStart),WORKDAY.INTL(MAX(ProjectStart,N($M25),$AK25,$AL25)-1,1,WorkWeek,Holidays))))</f>
        <v>46328</v>
      </c>
      <c r="O25" s="30" t="n">
        <f aca="true">IF($D25="","",IF($AI25,MAX(OFFSET(hdr_PlanFinish,$AF25+1,0,$AH25,1)),IF(N($F25)&lt;=0,$N25,WORKDAY.INTL($N25,$F25-1,WorkWeek,Holidays))))</f>
        <v>46391</v>
      </c>
      <c r="P25" s="29"/>
      <c r="Q25" s="29"/>
      <c r="R25" s="30" t="n">
        <f aca="true">IF($D25="","",IF($AI25,MIN(OFFSET(hdr_FcStart,$AF25+1,0,$AH25,1)),IF(N($P25)&gt;0,$P25,IF($E25="Manual",IF(N($M25)&gt;0,$M25,ProjectStart),WORKDAY.INTL(MAX(ProjectStart,N($M25),$AM25,$AN25,IF(RescheduleAfterStatus="Yes",StatusDate,0))-1,1,WorkWeek,Holidays)))))</f>
        <v>46336</v>
      </c>
      <c r="S25" s="30" t="n">
        <f aca="true">IF($D25="","",IF($AI25,MAX(OFFSET(hdr_FcFinish,$AF25+1,0,$AH25,1)),IF(N($Q25)&gt;0,$Q25,IF(N($F25)&lt;=0,$R25,IF(AND(N($P25)&gt;0,RescheduleAfterStatus="Yes"),MAX(WORKDAY.INTL($R25,$F25-1,WorkWeek,Holidays),WORKDAY.INTL(StatusWorkday,MAX(0,ROUNDUP($F25*(1-MIN(1,N($U25))),0)-1),WorkWeek,Holidays)),WORKDAY.INTL($R25,$F25-1,WorkWeek,Holidays))))))</f>
        <v>46391</v>
      </c>
      <c r="T25" s="38" t="n">
        <f aca="false">IF($D25="","",IF($S25&gt;=$O25,NETWORKDAYS.INTL($O25,$S25,WorkWeek,Holidays)-1,1-NETWORKDAYS.INTL($S25,$O25,WorkWeek,Holidays)))</f>
        <v>0</v>
      </c>
      <c r="U25" s="32"/>
      <c r="V25" s="42" t="n">
        <f aca="true">IF($D25="","",IF($AI25,IFERROR(SUM(OFFSET(hdr_WtDone,$AF25+1,0,$AH25,1))/SUM(OFFSET(hdr_WtDur,$AF25+1,0,$AH25,1)),0),IF(N($Q25)&gt;0,1,MIN(1,N($U25)))))</f>
        <v>0</v>
      </c>
      <c r="W25" s="39" t="str">
        <f aca="false">IF($D25="","",IF($V25&gt;=1,"Complete",IF(OR(N($P25)&gt;0,$V25&gt;0),IF($T25&gt;0,"Behind","In Progress"),IF($N25&lt;StatusDate,"Late Start","Not Started"))))</f>
        <v>Not Started</v>
      </c>
      <c r="X25" s="41"/>
      <c r="Y25" s="32"/>
      <c r="Z25" s="43" t="n">
        <f aca="true">IF($D25="","",IF($AI25,SUMPRODUCT(OFFSET(hdr_Work,$AF25+1,0,$AH25,1),OFFSET(hdr_IsLeaf,$AF25+1,0,$AH25,1)),IF($X25="",0,N($F25)*HoursPerDay*IF($Y25="",DefaultUnits,$Y25))))</f>
        <v>180</v>
      </c>
      <c r="AA25" s="44" t="n">
        <f aca="true">IF($D25="","",IF($AI25,SUMPRODUCT(OFFSET(hdr_Cost,$AF25+1,0,$AH25,1),OFFSET(hdr_IsLeaf,$AF25+1,0,$AH25,1)),$Z25*IFERROR(INDEX(res_Rate,MATCH($X25,res_Name,0)),0)))</f>
        <v>13180</v>
      </c>
      <c r="AB25" s="38" t="str">
        <f aca="false">IF(OR($D25="",$AI25),"",IF(OR($R25&lt;Sprint1Start,$R25&gt;SprintLastEnd),"Backlog",INDEX(spr_Name,MATCH($R25,spr_Start,1))))</f>
        <v/>
      </c>
      <c r="AC25" s="45" t="str">
        <f aca="false">IF($D25="","",$AT25&amp;IF(AND($AT25&lt;&gt;"",$AU25&lt;&gt;""),",","")&amp;$AU25)</f>
        <v/>
      </c>
      <c r="AD25" s="41"/>
      <c r="AE25" s="46" t="n">
        <f aca="false">IF($D25="","",MAX(1,N($C25)))</f>
        <v>1</v>
      </c>
      <c r="AF25" s="46" t="n">
        <f aca="false">ROW()-ROW(hdr_ID)</f>
        <v>20</v>
      </c>
      <c r="AG25" s="46" t="n">
        <f aca="false">IF(OR($D25="",$AE25&lt;=1),0,IFERROR(LOOKUP(2,1/($AE$5:$AE24=$AE25-1),ROW($AE$5:$AE24)),0))</f>
        <v>0</v>
      </c>
      <c r="AH25" s="46" t="n">
        <f aca="false">IF($D25="",0,COUNTIF(tsk_WBS,$B25&amp;".*"))</f>
        <v>6</v>
      </c>
      <c r="AI25" s="47" t="b">
        <f aca="false">$AH25&gt;0</f>
        <v>1</v>
      </c>
      <c r="AJ25" s="46" t="n">
        <f aca="false">IF(AND($D25&lt;&gt;"",NOT($AI25)),1,0)</f>
        <v>0</v>
      </c>
      <c r="AK25" s="48" t="n">
        <f aca="true">IF(OR(N($G25)=0,$AI25,$D25=""),0,IFERROR(CHOOSE(MATCH(IF($H25="","FS",$H25),{"FS","SS","FF","SF"},0),WORKDAY.INTL(OFFSET(hdr_PlanFinish,MATCH($G25,tsk_ID,0),0),IF(N($F25)=0,0,1)+N($I25),WorkWeek,Holidays),WORKDAY.INTL(OFFSET(hdr_PlanStart,MATCH($G25,tsk_ID,0),0),N($I25),WorkWeek,Holidays),WORKDAY.INTL(WORKDAY.INTL(OFFSET(hdr_PlanFinish,MATCH($G25,tsk_ID,0),0),N($I25),WorkWeek,Holidays),-MAX(0,N($F25)-1),WorkWeek,Holidays),WORKDAY.INTL(WORKDAY.INTL(OFFSET(hdr_PlanStart,MATCH($G25,tsk_ID,0),0),N($I25),WorkWeek,Holidays),-MAX(0,N($F25)-1),WorkWeek,Holidays)),0))</f>
        <v>0</v>
      </c>
      <c r="AL25" s="48" t="n">
        <f aca="true">IF(OR(N($J25)=0,$AI25,$D25=""),0,IFERROR(CHOOSE(MATCH(IF($K25="","FS",$K25),{"FS","SS","FF","SF"},0),WORKDAY.INTL(OFFSET(hdr_PlanFinish,MATCH($J25,tsk_ID,0),0),IF(N($F25)=0,0,1)+N($L25),WorkWeek,Holidays),WORKDAY.INTL(OFFSET(hdr_PlanStart,MATCH($J25,tsk_ID,0),0),N($L25),WorkWeek,Holidays),WORKDAY.INTL(WORKDAY.INTL(OFFSET(hdr_PlanFinish,MATCH($J25,tsk_ID,0),0),N($L25),WorkWeek,Holidays),-MAX(0,N($F25)-1),WorkWeek,Holidays),WORKDAY.INTL(WORKDAY.INTL(OFFSET(hdr_PlanStart,MATCH($J25,tsk_ID,0),0),N($L25),WorkWeek,Holidays),-MAX(0,N($F25)-1),WorkWeek,Holidays)),0))</f>
        <v>0</v>
      </c>
      <c r="AM25" s="48" t="n">
        <f aca="true">IF(OR(N($G25)=0,$AI25,$D25=""),0,IFERROR(CHOOSE(MATCH(IF($H25="","FS",$H25),{"FS","SS","FF","SF"},0),WORKDAY.INTL(OFFSET(hdr_FcFinish,MATCH($G25,tsk_ID,0),0),IF(N($F25)=0,0,1)+N($I25),WorkWeek,Holidays),WORKDAY.INTL(OFFSET(hdr_FcStart,MATCH($G25,tsk_ID,0),0),N($I25),WorkWeek,Holidays),WORKDAY.INTL(WORKDAY.INTL(OFFSET(hdr_FcFinish,MATCH($G25,tsk_ID,0),0),N($I25),WorkWeek,Holidays),-MAX(0,N($F25)-1),WorkWeek,Holidays),WORKDAY.INTL(WORKDAY.INTL(OFFSET(hdr_FcStart,MATCH($G25,tsk_ID,0),0),N($I25),WorkWeek,Holidays),-MAX(0,N($F25)-1),WorkWeek,Holidays)),0))</f>
        <v>0</v>
      </c>
      <c r="AN25" s="48" t="n">
        <f aca="true">IF(OR(N($J25)=0,$AI25,$D25=""),0,IFERROR(CHOOSE(MATCH(IF($K25="","FS",$K25),{"FS","SS","FF","SF"},0),WORKDAY.INTL(OFFSET(hdr_FcFinish,MATCH($J25,tsk_ID,0),0),IF(N($F25)=0,0,1)+N($L25),WorkWeek,Holidays),WORKDAY.INTL(OFFSET(hdr_FcStart,MATCH($J25,tsk_ID,0),0),N($L25),WorkWeek,Holidays),WORKDAY.INTL(WORKDAY.INTL(OFFSET(hdr_FcFinish,MATCH($J25,tsk_ID,0),0),N($L25),WorkWeek,Holidays),-MAX(0,N($F25)-1),WorkWeek,Holidays),WORKDAY.INTL(WORKDAY.INTL(OFFSET(hdr_FcStart,MATCH($J25,tsk_ID,0),0),N($L25),WorkWeek,Holidays),-MAX(0,N($F25)-1),WorkWeek,Holidays)),0))</f>
        <v>0</v>
      </c>
      <c r="AO25" s="48" t="n">
        <f aca="false">IF($AJ25=1,$R25,0)</f>
        <v>0</v>
      </c>
      <c r="AP25" s="48" t="n">
        <f aca="false">IF($AJ25=1,$S25,0)</f>
        <v>0</v>
      </c>
      <c r="AQ25" s="49" t="n">
        <f aca="false">IF(AND($AJ25=1,N($Z25)&gt;0),$Z25/($AP25-$AO25+1),0)</f>
        <v>0</v>
      </c>
      <c r="AR25" s="46" t="n">
        <f aca="false">IF($AJ25=1,MAX(N($F25),0.1),0)</f>
        <v>0</v>
      </c>
      <c r="AS25" s="46" t="n">
        <f aca="false">IF($AJ25=1,$AR25*$V25,0)</f>
        <v>0</v>
      </c>
      <c r="AT25" s="46" t="str">
        <f aca="false">IF(N($G25)=0,"",$G25&amp;IF(AND(IF($H25="","FS",$H25)="FS",N($I25)=0),"",IF($H25="","FS",$H25)&amp;IF(N($I25)=0,"",IF(N($I25)&gt;0,"+","")&amp;N($I25)&amp;"d")))</f>
        <v/>
      </c>
      <c r="AU25" s="46" t="str">
        <f aca="false">IF(N($J25)=0,"",$J25&amp;IF(AND(IF($K25="","FS",$K25)="FS",N($L25)=0),"",IF($K25="","FS",$K25)&amp;IF(N($L25)=0,"",IF(N($L25)&gt;0,"+","")&amp;N($L25)&amp;"d")))</f>
        <v/>
      </c>
      <c r="AV25" s="46" t="str">
        <f aca="false">IF(AND($AJ25=1,N($F25)=0,$V25&lt;1),$S25+$AF25/100000,"")</f>
        <v/>
      </c>
    </row>
    <row r="26" customFormat="false" ht="15" hidden="false" customHeight="false" outlineLevel="0" collapsed="false">
      <c r="A26" s="38" t="n">
        <f aca="false">IF($D26="","",COUNTA($D$6:$D26))</f>
        <v>21</v>
      </c>
      <c r="B26" s="39" t="str">
        <f aca="true">IF($D26="","",IF($AE26=1,COUNTIF($AE$6:$AE26,1)&amp;"",IF($AG26=0,"?",OFFSET(hdr_WBS,$AG26-ROW(hdr_WBS),0)&amp;"."&amp;COUNTIF(INDEX($AE:$AE,$AG26+1):$AE26,$AE26))))</f>
        <v>4.1</v>
      </c>
      <c r="C26" s="40" t="n">
        <v>2</v>
      </c>
      <c r="D26" s="41" t="s">
        <v>242</v>
      </c>
      <c r="E26" s="40" t="s">
        <v>205</v>
      </c>
      <c r="F26" s="40" t="n">
        <v>8</v>
      </c>
      <c r="G26" s="40" t="n">
        <v>19</v>
      </c>
      <c r="H26" s="40" t="s">
        <v>210</v>
      </c>
      <c r="I26" s="40"/>
      <c r="J26" s="40"/>
      <c r="K26" s="40"/>
      <c r="L26" s="40"/>
      <c r="M26" s="29"/>
      <c r="N26" s="30" t="n">
        <f aca="true">IF($D26="","",IF($AI26,MIN(OFFSET(hdr_PlanStart,$AF26+1,0,$AH26,1)),IF($E26="Manual",IF(N($M26)&gt;0,$M26,ProjectStart),WORKDAY.INTL(MAX(ProjectStart,N($M26),$AK26,$AL26)-1,1,WorkWeek,Holidays))))</f>
        <v>46328</v>
      </c>
      <c r="O26" s="30" t="n">
        <f aca="true">IF($D26="","",IF($AI26,MAX(OFFSET(hdr_PlanFinish,$AF26+1,0,$AH26,1)),IF(N($F26)&lt;=0,$N26,WORKDAY.INTL($N26,$F26-1,WorkWeek,Holidays))))</f>
        <v>46337</v>
      </c>
      <c r="P26" s="29"/>
      <c r="Q26" s="29"/>
      <c r="R26" s="30" t="n">
        <f aca="true">IF($D26="","",IF($AI26,MIN(OFFSET(hdr_FcStart,$AF26+1,0,$AH26,1)),IF(N($P26)&gt;0,$P26,IF($E26="Manual",IF(N($M26)&gt;0,$M26,ProjectStart),WORKDAY.INTL(MAX(ProjectStart,N($M26),$AM26,$AN26,IF(RescheduleAfterStatus="Yes",StatusDate,0))-1,1,WorkWeek,Holidays)))))</f>
        <v>46336</v>
      </c>
      <c r="S26" s="30" t="n">
        <f aca="true">IF($D26="","",IF($AI26,MAX(OFFSET(hdr_FcFinish,$AF26+1,0,$AH26,1)),IF(N($Q26)&gt;0,$Q26,IF(N($F26)&lt;=0,$R26,IF(AND(N($P26)&gt;0,RescheduleAfterStatus="Yes"),MAX(WORKDAY.INTL($R26,$F26-1,WorkWeek,Holidays),WORKDAY.INTL(StatusWorkday,MAX(0,ROUNDUP($F26*(1-MIN(1,N($U26))),0)-1),WorkWeek,Holidays)),WORKDAY.INTL($R26,$F26-1,WorkWeek,Holidays))))))</f>
        <v>46345</v>
      </c>
      <c r="T26" s="38" t="n">
        <f aca="false">IF($D26="","",IF($S26&gt;=$O26,NETWORKDAYS.INTL($O26,$S26,WorkWeek,Holidays)-1,1-NETWORKDAYS.INTL($S26,$O26,WorkWeek,Holidays)))</f>
        <v>6</v>
      </c>
      <c r="U26" s="32"/>
      <c r="V26" s="42" t="n">
        <f aca="true">IF($D26="","",IF($AI26,IFERROR(SUM(OFFSET(hdr_WtDone,$AF26+1,0,$AH26,1))/SUM(OFFSET(hdr_WtDur,$AF26+1,0,$AH26,1)),0),IF(N($Q26)&gt;0,1,MIN(1,N($U26)))))</f>
        <v>0</v>
      </c>
      <c r="W26" s="39" t="str">
        <f aca="false">IF($D26="","",IF($V26&gt;=1,"Complete",IF(OR(N($P26)&gt;0,$V26&gt;0),IF($T26&gt;0,"Behind","In Progress"),IF($N26&lt;StatusDate,"Late Start","Not Started"))))</f>
        <v>Not Started</v>
      </c>
      <c r="X26" s="41" t="s">
        <v>243</v>
      </c>
      <c r="Y26" s="32"/>
      <c r="Z26" s="43" t="n">
        <f aca="true">IF($D26="","",IF($AI26,SUMPRODUCT(OFFSET(hdr_Work,$AF26+1,0,$AH26,1),OFFSET(hdr_IsLeaf,$AF26+1,0,$AH26,1)),IF($X26="",0,N($F26)*HoursPerDay*IF($Y26="",DefaultUnits,$Y26))))</f>
        <v>64</v>
      </c>
      <c r="AA26" s="44" t="n">
        <f aca="true">IF($D26="","",IF($AI26,SUMPRODUCT(OFFSET(hdr_Cost,$AF26+1,0,$AH26,1),OFFSET(hdr_IsLeaf,$AF26+1,0,$AH26,1)),$Z26*IFERROR(INDEX(res_Rate,MATCH($X26,res_Name,0)),0)))</f>
        <v>4160</v>
      </c>
      <c r="AB26" s="38" t="str">
        <f aca="false">IF(OR($D26="",$AI26),"",IF(OR($R26&lt;Sprint1Start,$R26&gt;SprintLastEnd),"Backlog",INDEX(spr_Name,MATCH($R26,spr_Start,1))))</f>
        <v>Sprint 5</v>
      </c>
      <c r="AC26" s="45" t="str">
        <f aca="false">IF($D26="","",$AT26&amp;IF(AND($AT26&lt;&gt;"",$AU26&lt;&gt;""),",","")&amp;$AU26)</f>
        <v>19</v>
      </c>
      <c r="AD26" s="41"/>
      <c r="AE26" s="46" t="n">
        <f aca="false">IF($D26="","",MAX(1,N($C26)))</f>
        <v>2</v>
      </c>
      <c r="AF26" s="46" t="n">
        <f aca="false">ROW()-ROW(hdr_ID)</f>
        <v>21</v>
      </c>
      <c r="AG26" s="46" t="n">
        <f aca="false">IF(OR($D26="",$AE26&lt;=1),0,IFERROR(LOOKUP(2,1/($AE$5:$AE25=$AE26-1),ROW($AE$5:$AE25)),0))</f>
        <v>25</v>
      </c>
      <c r="AH26" s="46" t="n">
        <f aca="false">IF($D26="",0,COUNTIF(tsk_WBS,$B26&amp;".*"))</f>
        <v>0</v>
      </c>
      <c r="AI26" s="47" t="b">
        <f aca="false">$AH26&gt;0</f>
        <v>0</v>
      </c>
      <c r="AJ26" s="46" t="n">
        <f aca="false">IF(AND($D26&lt;&gt;"",NOT($AI26)),1,0)</f>
        <v>1</v>
      </c>
      <c r="AK26" s="48" t="n">
        <f aca="true">IF(OR(N($G26)=0,$AI26,$D26=""),0,IFERROR(CHOOSE(MATCH(IF($H26="","FS",$H26),{"FS","SS","FF","SF"},0),WORKDAY.INTL(OFFSET(hdr_PlanFinish,MATCH($G26,tsk_ID,0),0),IF(N($F26)=0,0,1)+N($I26),WorkWeek,Holidays),WORKDAY.INTL(OFFSET(hdr_PlanStart,MATCH($G26,tsk_ID,0),0),N($I26),WorkWeek,Holidays),WORKDAY.INTL(WORKDAY.INTL(OFFSET(hdr_PlanFinish,MATCH($G26,tsk_ID,0),0),N($I26),WorkWeek,Holidays),-MAX(0,N($F26)-1),WorkWeek,Holidays),WORKDAY.INTL(WORKDAY.INTL(OFFSET(hdr_PlanStart,MATCH($G26,tsk_ID,0),0),N($I26),WorkWeek,Holidays),-MAX(0,N($F26)-1),WorkWeek,Holidays)),0))</f>
        <v>46328</v>
      </c>
      <c r="AL26" s="48" t="n">
        <f aca="true">IF(OR(N($J26)=0,$AI26,$D26=""),0,IFERROR(CHOOSE(MATCH(IF($K26="","FS",$K26),{"FS","SS","FF","SF"},0),WORKDAY.INTL(OFFSET(hdr_PlanFinish,MATCH($J26,tsk_ID,0),0),IF(N($F26)=0,0,1)+N($L26),WorkWeek,Holidays),WORKDAY.INTL(OFFSET(hdr_PlanStart,MATCH($J26,tsk_ID,0),0),N($L26),WorkWeek,Holidays),WORKDAY.INTL(WORKDAY.INTL(OFFSET(hdr_PlanFinish,MATCH($J26,tsk_ID,0),0),N($L26),WorkWeek,Holidays),-MAX(0,N($F26)-1),WorkWeek,Holidays),WORKDAY.INTL(WORKDAY.INTL(OFFSET(hdr_PlanStart,MATCH($J26,tsk_ID,0),0),N($L26),WorkWeek,Holidays),-MAX(0,N($F26)-1),WorkWeek,Holidays)),0))</f>
        <v>0</v>
      </c>
      <c r="AM26" s="48" t="n">
        <f aca="true">IF(OR(N($G26)=0,$AI26,$D26=""),0,IFERROR(CHOOSE(MATCH(IF($H26="","FS",$H26),{"FS","SS","FF","SF"},0),WORKDAY.INTL(OFFSET(hdr_FcFinish,MATCH($G26,tsk_ID,0),0),IF(N($F26)=0,0,1)+N($I26),WorkWeek,Holidays),WORKDAY.INTL(OFFSET(hdr_FcStart,MATCH($G26,tsk_ID,0),0),N($I26),WorkWeek,Holidays),WORKDAY.INTL(WORKDAY.INTL(OFFSET(hdr_FcFinish,MATCH($G26,tsk_ID,0),0),N($I26),WorkWeek,Holidays),-MAX(0,N($F26)-1),WorkWeek,Holidays),WORKDAY.INTL(WORKDAY.INTL(OFFSET(hdr_FcStart,MATCH($G26,tsk_ID,0),0),N($I26),WorkWeek,Holidays),-MAX(0,N($F26)-1),WorkWeek,Holidays)),0))</f>
        <v>46336</v>
      </c>
      <c r="AN26" s="48" t="n">
        <f aca="true">IF(OR(N($J26)=0,$AI26,$D26=""),0,IFERROR(CHOOSE(MATCH(IF($K26="","FS",$K26),{"FS","SS","FF","SF"},0),WORKDAY.INTL(OFFSET(hdr_FcFinish,MATCH($J26,tsk_ID,0),0),IF(N($F26)=0,0,1)+N($L26),WorkWeek,Holidays),WORKDAY.INTL(OFFSET(hdr_FcStart,MATCH($J26,tsk_ID,0),0),N($L26),WorkWeek,Holidays),WORKDAY.INTL(WORKDAY.INTL(OFFSET(hdr_FcFinish,MATCH($J26,tsk_ID,0),0),N($L26),WorkWeek,Holidays),-MAX(0,N($F26)-1),WorkWeek,Holidays),WORKDAY.INTL(WORKDAY.INTL(OFFSET(hdr_FcStart,MATCH($J26,tsk_ID,0),0),N($L26),WorkWeek,Holidays),-MAX(0,N($F26)-1),WorkWeek,Holidays)),0))</f>
        <v>0</v>
      </c>
      <c r="AO26" s="48" t="n">
        <f aca="false">IF($AJ26=1,$R26,0)</f>
        <v>46336</v>
      </c>
      <c r="AP26" s="48" t="n">
        <f aca="false">IF($AJ26=1,$S26,0)</f>
        <v>46345</v>
      </c>
      <c r="AQ26" s="49" t="n">
        <f aca="false">IF(AND($AJ26=1,N($Z26)&gt;0),$Z26/($AP26-$AO26+1),0)</f>
        <v>6.4</v>
      </c>
      <c r="AR26" s="46" t="n">
        <f aca="false">IF($AJ26=1,MAX(N($F26),0.1),0)</f>
        <v>8</v>
      </c>
      <c r="AS26" s="46" t="n">
        <f aca="false">IF($AJ26=1,$AR26*$V26,0)</f>
        <v>0</v>
      </c>
      <c r="AT26" s="46" t="str">
        <f aca="false">IF(N($G26)=0,"",$G26&amp;IF(AND(IF($H26="","FS",$H26)="FS",N($I26)=0),"",IF($H26="","FS",$H26)&amp;IF(N($I26)=0,"",IF(N($I26)&gt;0,"+","")&amp;N($I26)&amp;"d")))</f>
        <v>19</v>
      </c>
      <c r="AU26" s="46" t="str">
        <f aca="false">IF(N($J26)=0,"",$J26&amp;IF(AND(IF($K26="","FS",$K26)="FS",N($L26)=0),"",IF($K26="","FS",$K26)&amp;IF(N($L26)=0,"",IF(N($L26)&gt;0,"+","")&amp;N($L26)&amp;"d")))</f>
        <v/>
      </c>
      <c r="AV26" s="46" t="str">
        <f aca="false">IF(AND($AJ26=1,N($F26)=0,$V26&lt;1),$S26+$AF26/100000,"")</f>
        <v/>
      </c>
    </row>
    <row r="27" customFormat="false" ht="15" hidden="false" customHeight="false" outlineLevel="0" collapsed="false">
      <c r="A27" s="38" t="n">
        <f aca="false">IF($D27="","",COUNTA($D$6:$D27))</f>
        <v>22</v>
      </c>
      <c r="B27" s="39" t="str">
        <f aca="true">IF($D27="","",IF($AE27=1,COUNTIF($AE$6:$AE27,1)&amp;"",IF($AG27=0,"?",OFFSET(hdr_WBS,$AG27-ROW(hdr_WBS),0)&amp;"."&amp;COUNTIF(INDEX($AE:$AE,$AG27+1):$AE27,$AE27))))</f>
        <v>4.2</v>
      </c>
      <c r="C27" s="40" t="n">
        <v>2</v>
      </c>
      <c r="D27" s="41" t="s">
        <v>244</v>
      </c>
      <c r="E27" s="40" t="s">
        <v>205</v>
      </c>
      <c r="F27" s="40" t="n">
        <v>6</v>
      </c>
      <c r="G27" s="40" t="n">
        <v>21</v>
      </c>
      <c r="H27" s="40" t="s">
        <v>210</v>
      </c>
      <c r="I27" s="40"/>
      <c r="J27" s="40"/>
      <c r="K27" s="40"/>
      <c r="L27" s="40"/>
      <c r="M27" s="29" t="n">
        <v>46363</v>
      </c>
      <c r="N27" s="30" t="n">
        <f aca="true">IF($D27="","",IF($AI27,MIN(OFFSET(hdr_PlanStart,$AF27+1,0,$AH27,1)),IF($E27="Manual",IF(N($M27)&gt;0,$M27,ProjectStart),WORKDAY.INTL(MAX(ProjectStart,N($M27),$AK27,$AL27)-1,1,WorkWeek,Holidays))))</f>
        <v>46363</v>
      </c>
      <c r="O27" s="30" t="n">
        <f aca="true">IF($D27="","",IF($AI27,MAX(OFFSET(hdr_PlanFinish,$AF27+1,0,$AH27,1)),IF(N($F27)&lt;=0,$N27,WORKDAY.INTL($N27,$F27-1,WorkWeek,Holidays))))</f>
        <v>46370</v>
      </c>
      <c r="P27" s="29"/>
      <c r="Q27" s="29"/>
      <c r="R27" s="30" t="n">
        <f aca="true">IF($D27="","",IF($AI27,MIN(OFFSET(hdr_FcStart,$AF27+1,0,$AH27,1)),IF(N($P27)&gt;0,$P27,IF($E27="Manual",IF(N($M27)&gt;0,$M27,ProjectStart),WORKDAY.INTL(MAX(ProjectStart,N($M27),$AM27,$AN27,IF(RescheduleAfterStatus="Yes",StatusDate,0))-1,1,WorkWeek,Holidays)))))</f>
        <v>46363</v>
      </c>
      <c r="S27" s="30" t="n">
        <f aca="true">IF($D27="","",IF($AI27,MAX(OFFSET(hdr_FcFinish,$AF27+1,0,$AH27,1)),IF(N($Q27)&gt;0,$Q27,IF(N($F27)&lt;=0,$R27,IF(AND(N($P27)&gt;0,RescheduleAfterStatus="Yes"),MAX(WORKDAY.INTL($R27,$F27-1,WorkWeek,Holidays),WORKDAY.INTL(StatusWorkday,MAX(0,ROUNDUP($F27*(1-MIN(1,N($U27))),0)-1),WorkWeek,Holidays)),WORKDAY.INTL($R27,$F27-1,WorkWeek,Holidays))))))</f>
        <v>46370</v>
      </c>
      <c r="T27" s="38" t="n">
        <f aca="false">IF($D27="","",IF($S27&gt;=$O27,NETWORKDAYS.INTL($O27,$S27,WorkWeek,Holidays)-1,1-NETWORKDAYS.INTL($S27,$O27,WorkWeek,Holidays)))</f>
        <v>0</v>
      </c>
      <c r="U27" s="32"/>
      <c r="V27" s="42" t="n">
        <f aca="true">IF($D27="","",IF($AI27,IFERROR(SUM(OFFSET(hdr_WtDone,$AF27+1,0,$AH27,1))/SUM(OFFSET(hdr_WtDur,$AF27+1,0,$AH27,1)),0),IF(N($Q27)&gt;0,1,MIN(1,N($U27)))))</f>
        <v>0</v>
      </c>
      <c r="W27" s="39" t="str">
        <f aca="false">IF($D27="","",IF($V27&gt;=1,"Complete",IF(OR(N($P27)&gt;0,$V27&gt;0),IF($T27&gt;0,"Behind","In Progress"),IF($N27&lt;StatusDate,"Late Start","Not Started"))))</f>
        <v>Not Started</v>
      </c>
      <c r="X27" s="41" t="s">
        <v>211</v>
      </c>
      <c r="Y27" s="32"/>
      <c r="Z27" s="43" t="n">
        <f aca="true">IF($D27="","",IF($AI27,SUMPRODUCT(OFFSET(hdr_Work,$AF27+1,0,$AH27,1),OFFSET(hdr_IsLeaf,$AF27+1,0,$AH27,1)),IF($X27="",0,N($F27)*HoursPerDay*IF($Y27="",DefaultUnits,$Y27))))</f>
        <v>48</v>
      </c>
      <c r="AA27" s="44" t="n">
        <f aca="true">IF($D27="","",IF($AI27,SUMPRODUCT(OFFSET(hdr_Cost,$AF27+1,0,$AH27,1),OFFSET(hdr_IsLeaf,$AF27+1,0,$AH27,1)),$Z27*IFERROR(INDEX(res_Rate,MATCH($X27,res_Name,0)),0)))</f>
        <v>3360</v>
      </c>
      <c r="AB27" s="38" t="str">
        <f aca="false">IF(OR($D27="",$AI27),"",IF(OR($R27&lt;Sprint1Start,$R27&gt;SprintLastEnd),"Backlog",INDEX(spr_Name,MATCH($R27,spr_Start,1))))</f>
        <v>Sprint 7</v>
      </c>
      <c r="AC27" s="45" t="str">
        <f aca="false">IF($D27="","",$AT27&amp;IF(AND($AT27&lt;&gt;"",$AU27&lt;&gt;""),",","")&amp;$AU27)</f>
        <v>21</v>
      </c>
      <c r="AD27" s="41" t="s">
        <v>245</v>
      </c>
      <c r="AE27" s="46" t="n">
        <f aca="false">IF($D27="","",MAX(1,N($C27)))</f>
        <v>2</v>
      </c>
      <c r="AF27" s="46" t="n">
        <f aca="false">ROW()-ROW(hdr_ID)</f>
        <v>22</v>
      </c>
      <c r="AG27" s="46" t="n">
        <f aca="false">IF(OR($D27="",$AE27&lt;=1),0,IFERROR(LOOKUP(2,1/($AE$5:$AE26=$AE27-1),ROW($AE$5:$AE26)),0))</f>
        <v>25</v>
      </c>
      <c r="AH27" s="46" t="n">
        <f aca="false">IF($D27="",0,COUNTIF(tsk_WBS,$B27&amp;".*"))</f>
        <v>0</v>
      </c>
      <c r="AI27" s="47" t="b">
        <f aca="false">$AH27&gt;0</f>
        <v>0</v>
      </c>
      <c r="AJ27" s="46" t="n">
        <f aca="false">IF(AND($D27&lt;&gt;"",NOT($AI27)),1,0)</f>
        <v>1</v>
      </c>
      <c r="AK27" s="48" t="n">
        <f aca="true">IF(OR(N($G27)=0,$AI27,$D27=""),0,IFERROR(CHOOSE(MATCH(IF($H27="","FS",$H27),{"FS","SS","FF","SF"},0),WORKDAY.INTL(OFFSET(hdr_PlanFinish,MATCH($G27,tsk_ID,0),0),IF(N($F27)=0,0,1)+N($I27),WorkWeek,Holidays),WORKDAY.INTL(OFFSET(hdr_PlanStart,MATCH($G27,tsk_ID,0),0),N($I27),WorkWeek,Holidays),WORKDAY.INTL(WORKDAY.INTL(OFFSET(hdr_PlanFinish,MATCH($G27,tsk_ID,0),0),N($I27),WorkWeek,Holidays),-MAX(0,N($F27)-1),WorkWeek,Holidays),WORKDAY.INTL(WORKDAY.INTL(OFFSET(hdr_PlanStart,MATCH($G27,tsk_ID,0),0),N($I27),WorkWeek,Holidays),-MAX(0,N($F27)-1),WorkWeek,Holidays)),0))</f>
        <v>46338</v>
      </c>
      <c r="AL27" s="48" t="n">
        <f aca="true">IF(OR(N($J27)=0,$AI27,$D27=""),0,IFERROR(CHOOSE(MATCH(IF($K27="","FS",$K27),{"FS","SS","FF","SF"},0),WORKDAY.INTL(OFFSET(hdr_PlanFinish,MATCH($J27,tsk_ID,0),0),IF(N($F27)=0,0,1)+N($L27),WorkWeek,Holidays),WORKDAY.INTL(OFFSET(hdr_PlanStart,MATCH($J27,tsk_ID,0),0),N($L27),WorkWeek,Holidays),WORKDAY.INTL(WORKDAY.INTL(OFFSET(hdr_PlanFinish,MATCH($J27,tsk_ID,0),0),N($L27),WorkWeek,Holidays),-MAX(0,N($F27)-1),WorkWeek,Holidays),WORKDAY.INTL(WORKDAY.INTL(OFFSET(hdr_PlanStart,MATCH($J27,tsk_ID,0),0),N($L27),WorkWeek,Holidays),-MAX(0,N($F27)-1),WorkWeek,Holidays)),0))</f>
        <v>0</v>
      </c>
      <c r="AM27" s="48" t="n">
        <f aca="true">IF(OR(N($G27)=0,$AI27,$D27=""),0,IFERROR(CHOOSE(MATCH(IF($H27="","FS",$H27),{"FS","SS","FF","SF"},0),WORKDAY.INTL(OFFSET(hdr_FcFinish,MATCH($G27,tsk_ID,0),0),IF(N($F27)=0,0,1)+N($I27),WorkWeek,Holidays),WORKDAY.INTL(OFFSET(hdr_FcStart,MATCH($G27,tsk_ID,0),0),N($I27),WorkWeek,Holidays),WORKDAY.INTL(WORKDAY.INTL(OFFSET(hdr_FcFinish,MATCH($G27,tsk_ID,0),0),N($I27),WorkWeek,Holidays),-MAX(0,N($F27)-1),WorkWeek,Holidays),WORKDAY.INTL(WORKDAY.INTL(OFFSET(hdr_FcStart,MATCH($G27,tsk_ID,0),0),N($I27),WorkWeek,Holidays),-MAX(0,N($F27)-1),WorkWeek,Holidays)),0))</f>
        <v>46346</v>
      </c>
      <c r="AN27" s="48" t="n">
        <f aca="true">IF(OR(N($J27)=0,$AI27,$D27=""),0,IFERROR(CHOOSE(MATCH(IF($K27="","FS",$K27),{"FS","SS","FF","SF"},0),WORKDAY.INTL(OFFSET(hdr_FcFinish,MATCH($J27,tsk_ID,0),0),IF(N($F27)=0,0,1)+N($L27),WorkWeek,Holidays),WORKDAY.INTL(OFFSET(hdr_FcStart,MATCH($J27,tsk_ID,0),0),N($L27),WorkWeek,Holidays),WORKDAY.INTL(WORKDAY.INTL(OFFSET(hdr_FcFinish,MATCH($J27,tsk_ID,0),0),N($L27),WorkWeek,Holidays),-MAX(0,N($F27)-1),WorkWeek,Holidays),WORKDAY.INTL(WORKDAY.INTL(OFFSET(hdr_FcStart,MATCH($J27,tsk_ID,0),0),N($L27),WorkWeek,Holidays),-MAX(0,N($F27)-1),WorkWeek,Holidays)),0))</f>
        <v>0</v>
      </c>
      <c r="AO27" s="48" t="n">
        <f aca="false">IF($AJ27=1,$R27,0)</f>
        <v>46363</v>
      </c>
      <c r="AP27" s="48" t="n">
        <f aca="false">IF($AJ27=1,$S27,0)</f>
        <v>46370</v>
      </c>
      <c r="AQ27" s="49" t="n">
        <f aca="false">IF(AND($AJ27=1,N($Z27)&gt;0),$Z27/($AP27-$AO27+1),0)</f>
        <v>6</v>
      </c>
      <c r="AR27" s="46" t="n">
        <f aca="false">IF($AJ27=1,MAX(N($F27),0.1),0)</f>
        <v>6</v>
      </c>
      <c r="AS27" s="46" t="n">
        <f aca="false">IF($AJ27=1,$AR27*$V27,0)</f>
        <v>0</v>
      </c>
      <c r="AT27" s="46" t="str">
        <f aca="false">IF(N($G27)=0,"",$G27&amp;IF(AND(IF($H27="","FS",$H27)="FS",N($I27)=0),"",IF($H27="","FS",$H27)&amp;IF(N($I27)=0,"",IF(N($I27)&gt;0,"+","")&amp;N($I27)&amp;"d")))</f>
        <v>21</v>
      </c>
      <c r="AU27" s="46" t="str">
        <f aca="false">IF(N($J27)=0,"",$J27&amp;IF(AND(IF($K27="","FS",$K27)="FS",N($L27)=0),"",IF($K27="","FS",$K27)&amp;IF(N($L27)=0,"",IF(N($L27)&gt;0,"+","")&amp;N($L27)&amp;"d")))</f>
        <v/>
      </c>
      <c r="AV27" s="46" t="str">
        <f aca="false">IF(AND($AJ27=1,N($F27)=0,$V27&lt;1),$S27+$AF27/100000,"")</f>
        <v/>
      </c>
    </row>
    <row r="28" customFormat="false" ht="15" hidden="false" customHeight="false" outlineLevel="0" collapsed="false">
      <c r="A28" s="38" t="n">
        <f aca="false">IF($D28="","",COUNTA($D$6:$D28))</f>
        <v>23</v>
      </c>
      <c r="B28" s="39" t="str">
        <f aca="true">IF($D28="","",IF($AE28=1,COUNTIF($AE$6:$AE28,1)&amp;"",IF($AG28=0,"?",OFFSET(hdr_WBS,$AG28-ROW(hdr_WBS),0)&amp;"."&amp;COUNTIF(INDEX($AE:$AE,$AG28+1):$AE28,$AE28))))</f>
        <v>4.3</v>
      </c>
      <c r="C28" s="40" t="n">
        <v>2</v>
      </c>
      <c r="D28" s="41" t="s">
        <v>246</v>
      </c>
      <c r="E28" s="40" t="s">
        <v>205</v>
      </c>
      <c r="F28" s="40" t="n">
        <v>5</v>
      </c>
      <c r="G28" s="40" t="n">
        <v>21</v>
      </c>
      <c r="H28" s="40" t="s">
        <v>217</v>
      </c>
      <c r="I28" s="40" t="n">
        <v>2</v>
      </c>
      <c r="J28" s="40"/>
      <c r="K28" s="40"/>
      <c r="L28" s="40"/>
      <c r="M28" s="29"/>
      <c r="N28" s="30" t="n">
        <f aca="true">IF($D28="","",IF($AI28,MIN(OFFSET(hdr_PlanStart,$AF28+1,0,$AH28,1)),IF($E28="Manual",IF(N($M28)&gt;0,$M28,ProjectStart),WORKDAY.INTL(MAX(ProjectStart,N($M28),$AK28,$AL28)-1,1,WorkWeek,Holidays))))</f>
        <v>46330</v>
      </c>
      <c r="O28" s="30" t="n">
        <f aca="true">IF($D28="","",IF($AI28,MAX(OFFSET(hdr_PlanFinish,$AF28+1,0,$AH28,1)),IF(N($F28)&lt;=0,$N28,WORKDAY.INTL($N28,$F28-1,WorkWeek,Holidays))))</f>
        <v>46336</v>
      </c>
      <c r="P28" s="29"/>
      <c r="Q28" s="29"/>
      <c r="R28" s="30" t="n">
        <f aca="true">IF($D28="","",IF($AI28,MIN(OFFSET(hdr_FcStart,$AF28+1,0,$AH28,1)),IF(N($P28)&gt;0,$P28,IF($E28="Manual",IF(N($M28)&gt;0,$M28,ProjectStart),WORKDAY.INTL(MAX(ProjectStart,N($M28),$AM28,$AN28,IF(RescheduleAfterStatus="Yes",StatusDate,0))-1,1,WorkWeek,Holidays)))))</f>
        <v>46338</v>
      </c>
      <c r="S28" s="30" t="n">
        <f aca="true">IF($D28="","",IF($AI28,MAX(OFFSET(hdr_FcFinish,$AF28+1,0,$AH28,1)),IF(N($Q28)&gt;0,$Q28,IF(N($F28)&lt;=0,$R28,IF(AND(N($P28)&gt;0,RescheduleAfterStatus="Yes"),MAX(WORKDAY.INTL($R28,$F28-1,WorkWeek,Holidays),WORKDAY.INTL(StatusWorkday,MAX(0,ROUNDUP($F28*(1-MIN(1,N($U28))),0)-1),WorkWeek,Holidays)),WORKDAY.INTL($R28,$F28-1,WorkWeek,Holidays))))))</f>
        <v>46344</v>
      </c>
      <c r="T28" s="38" t="n">
        <f aca="false">IF($D28="","",IF($S28&gt;=$O28,NETWORKDAYS.INTL($O28,$S28,WorkWeek,Holidays)-1,1-NETWORKDAYS.INTL($S28,$O28,WorkWeek,Holidays)))</f>
        <v>6</v>
      </c>
      <c r="U28" s="32"/>
      <c r="V28" s="42" t="n">
        <f aca="true">IF($D28="","",IF($AI28,IFERROR(SUM(OFFSET(hdr_WtDone,$AF28+1,0,$AH28,1))/SUM(OFFSET(hdr_WtDur,$AF28+1,0,$AH28,1)),0),IF(N($Q28)&gt;0,1,MIN(1,N($U28)))))</f>
        <v>0</v>
      </c>
      <c r="W28" s="39" t="str">
        <f aca="false">IF($D28="","",IF($V28&gt;=1,"Complete",IF(OR(N($P28)&gt;0,$V28&gt;0),IF($T28&gt;0,"Behind","In Progress"),IF($N28&lt;StatusDate,"Late Start","Not Started"))))</f>
        <v>Not Started</v>
      </c>
      <c r="X28" s="41" t="s">
        <v>221</v>
      </c>
      <c r="Y28" s="32" t="n">
        <v>0.5</v>
      </c>
      <c r="Z28" s="43" t="n">
        <f aca="true">IF($D28="","",IF($AI28,SUMPRODUCT(OFFSET(hdr_Work,$AF28+1,0,$AH28,1),OFFSET(hdr_IsLeaf,$AF28+1,0,$AH28,1)),IF($X28="",0,N($F28)*HoursPerDay*IF($Y28="",DefaultUnits,$Y28))))</f>
        <v>20</v>
      </c>
      <c r="AA28" s="44" t="n">
        <f aca="true">IF($D28="","",IF($AI28,SUMPRODUCT(OFFSET(hdr_Cost,$AF28+1,0,$AH28,1),OFFSET(hdr_IsLeaf,$AF28+1,0,$AH28,1)),$Z28*IFERROR(INDEX(res_Rate,MATCH($X28,res_Name,0)),0)))</f>
        <v>1500</v>
      </c>
      <c r="AB28" s="38" t="str">
        <f aca="false">IF(OR($D28="",$AI28),"",IF(OR($R28&lt;Sprint1Start,$R28&gt;SprintLastEnd),"Backlog",INDEX(spr_Name,MATCH($R28,spr_Start,1))))</f>
        <v>Sprint 5</v>
      </c>
      <c r="AC28" s="45" t="str">
        <f aca="false">IF($D28="","",$AT28&amp;IF(AND($AT28&lt;&gt;"",$AU28&lt;&gt;""),",","")&amp;$AU28)</f>
        <v>21SS+2d</v>
      </c>
      <c r="AD28" s="41"/>
      <c r="AE28" s="46" t="n">
        <f aca="false">IF($D28="","",MAX(1,N($C28)))</f>
        <v>2</v>
      </c>
      <c r="AF28" s="46" t="n">
        <f aca="false">ROW()-ROW(hdr_ID)</f>
        <v>23</v>
      </c>
      <c r="AG28" s="46" t="n">
        <f aca="false">IF(OR($D28="",$AE28&lt;=1),0,IFERROR(LOOKUP(2,1/($AE$5:$AE27=$AE28-1),ROW($AE$5:$AE27)),0))</f>
        <v>25</v>
      </c>
      <c r="AH28" s="46" t="n">
        <f aca="false">IF($D28="",0,COUNTIF(tsk_WBS,$B28&amp;".*"))</f>
        <v>0</v>
      </c>
      <c r="AI28" s="47" t="b">
        <f aca="false">$AH28&gt;0</f>
        <v>0</v>
      </c>
      <c r="AJ28" s="46" t="n">
        <f aca="false">IF(AND($D28&lt;&gt;"",NOT($AI28)),1,0)</f>
        <v>1</v>
      </c>
      <c r="AK28" s="48" t="n">
        <f aca="true">IF(OR(N($G28)=0,$AI28,$D28=""),0,IFERROR(CHOOSE(MATCH(IF($H28="","FS",$H28),{"FS","SS","FF","SF"},0),WORKDAY.INTL(OFFSET(hdr_PlanFinish,MATCH($G28,tsk_ID,0),0),IF(N($F28)=0,0,1)+N($I28),WorkWeek,Holidays),WORKDAY.INTL(OFFSET(hdr_PlanStart,MATCH($G28,tsk_ID,0),0),N($I28),WorkWeek,Holidays),WORKDAY.INTL(WORKDAY.INTL(OFFSET(hdr_PlanFinish,MATCH($G28,tsk_ID,0),0),N($I28),WorkWeek,Holidays),-MAX(0,N($F28)-1),WorkWeek,Holidays),WORKDAY.INTL(WORKDAY.INTL(OFFSET(hdr_PlanStart,MATCH($G28,tsk_ID,0),0),N($I28),WorkWeek,Holidays),-MAX(0,N($F28)-1),WorkWeek,Holidays)),0))</f>
        <v>46330</v>
      </c>
      <c r="AL28" s="48" t="n">
        <f aca="true">IF(OR(N($J28)=0,$AI28,$D28=""),0,IFERROR(CHOOSE(MATCH(IF($K28="","FS",$K28),{"FS","SS","FF","SF"},0),WORKDAY.INTL(OFFSET(hdr_PlanFinish,MATCH($J28,tsk_ID,0),0),IF(N($F28)=0,0,1)+N($L28),WorkWeek,Holidays),WORKDAY.INTL(OFFSET(hdr_PlanStart,MATCH($J28,tsk_ID,0),0),N($L28),WorkWeek,Holidays),WORKDAY.INTL(WORKDAY.INTL(OFFSET(hdr_PlanFinish,MATCH($J28,tsk_ID,0),0),N($L28),WorkWeek,Holidays),-MAX(0,N($F28)-1),WorkWeek,Holidays),WORKDAY.INTL(WORKDAY.INTL(OFFSET(hdr_PlanStart,MATCH($J28,tsk_ID,0),0),N($L28),WorkWeek,Holidays),-MAX(0,N($F28)-1),WorkWeek,Holidays)),0))</f>
        <v>0</v>
      </c>
      <c r="AM28" s="48" t="n">
        <f aca="true">IF(OR(N($G28)=0,$AI28,$D28=""),0,IFERROR(CHOOSE(MATCH(IF($H28="","FS",$H28),{"FS","SS","FF","SF"},0),WORKDAY.INTL(OFFSET(hdr_FcFinish,MATCH($G28,tsk_ID,0),0),IF(N($F28)=0,0,1)+N($I28),WorkWeek,Holidays),WORKDAY.INTL(OFFSET(hdr_FcStart,MATCH($G28,tsk_ID,0),0),N($I28),WorkWeek,Holidays),WORKDAY.INTL(WORKDAY.INTL(OFFSET(hdr_FcFinish,MATCH($G28,tsk_ID,0),0),N($I28),WorkWeek,Holidays),-MAX(0,N($F28)-1),WorkWeek,Holidays),WORKDAY.INTL(WORKDAY.INTL(OFFSET(hdr_FcStart,MATCH($G28,tsk_ID,0),0),N($I28),WorkWeek,Holidays),-MAX(0,N($F28)-1),WorkWeek,Holidays)),0))</f>
        <v>46338</v>
      </c>
      <c r="AN28" s="48" t="n">
        <f aca="true">IF(OR(N($J28)=0,$AI28,$D28=""),0,IFERROR(CHOOSE(MATCH(IF($K28="","FS",$K28),{"FS","SS","FF","SF"},0),WORKDAY.INTL(OFFSET(hdr_FcFinish,MATCH($J28,tsk_ID,0),0),IF(N($F28)=0,0,1)+N($L28),WorkWeek,Holidays),WORKDAY.INTL(OFFSET(hdr_FcStart,MATCH($J28,tsk_ID,0),0),N($L28),WorkWeek,Holidays),WORKDAY.INTL(WORKDAY.INTL(OFFSET(hdr_FcFinish,MATCH($J28,tsk_ID,0),0),N($L28),WorkWeek,Holidays),-MAX(0,N($F28)-1),WorkWeek,Holidays),WORKDAY.INTL(WORKDAY.INTL(OFFSET(hdr_FcStart,MATCH($J28,tsk_ID,0),0),N($L28),WorkWeek,Holidays),-MAX(0,N($F28)-1),WorkWeek,Holidays)),0))</f>
        <v>0</v>
      </c>
      <c r="AO28" s="48" t="n">
        <f aca="false">IF($AJ28=1,$R28,0)</f>
        <v>46338</v>
      </c>
      <c r="AP28" s="48" t="n">
        <f aca="false">IF($AJ28=1,$S28,0)</f>
        <v>46344</v>
      </c>
      <c r="AQ28" s="49" t="n">
        <f aca="false">IF(AND($AJ28=1,N($Z28)&gt;0),$Z28/($AP28-$AO28+1),0)</f>
        <v>2.85714285714286</v>
      </c>
      <c r="AR28" s="46" t="n">
        <f aca="false">IF($AJ28=1,MAX(N($F28),0.1),0)</f>
        <v>5</v>
      </c>
      <c r="AS28" s="46" t="n">
        <f aca="false">IF($AJ28=1,$AR28*$V28,0)</f>
        <v>0</v>
      </c>
      <c r="AT28" s="46" t="str">
        <f aca="false">IF(N($G28)=0,"",$G28&amp;IF(AND(IF($H28="","FS",$H28)="FS",N($I28)=0),"",IF($H28="","FS",$H28)&amp;IF(N($I28)=0,"",IF(N($I28)&gt;0,"+","")&amp;N($I28)&amp;"d")))</f>
        <v>21SS+2d</v>
      </c>
      <c r="AU28" s="46" t="str">
        <f aca="false">IF(N($J28)=0,"",$J28&amp;IF(AND(IF($K28="","FS",$K28)="FS",N($L28)=0),"",IF($K28="","FS",$K28)&amp;IF(N($L28)=0,"",IF(N($L28)&gt;0,"+","")&amp;N($L28)&amp;"d")))</f>
        <v/>
      </c>
      <c r="AV28" s="46" t="str">
        <f aca="false">IF(AND($AJ28=1,N($F28)=0,$V28&lt;1),$S28+$AF28/100000,"")</f>
        <v/>
      </c>
    </row>
    <row r="29" customFormat="false" ht="15" hidden="false" customHeight="false" outlineLevel="0" collapsed="false">
      <c r="A29" s="38" t="n">
        <f aca="false">IF($D29="","",COUNTA($D$6:$D29))</f>
        <v>24</v>
      </c>
      <c r="B29" s="39" t="str">
        <f aca="true">IF($D29="","",IF($AE29=1,COUNTIF($AE$6:$AE29,1)&amp;"",IF($AG29=0,"?",OFFSET(hdr_WBS,$AG29-ROW(hdr_WBS),0)&amp;"."&amp;COUNTIF(INDEX($AE:$AE,$AG29+1):$AE29,$AE29))))</f>
        <v>4.4</v>
      </c>
      <c r="C29" s="40" t="n">
        <v>2</v>
      </c>
      <c r="D29" s="41" t="s">
        <v>247</v>
      </c>
      <c r="E29" s="40" t="s">
        <v>205</v>
      </c>
      <c r="F29" s="40" t="n">
        <v>1</v>
      </c>
      <c r="G29" s="40" t="n">
        <v>22</v>
      </c>
      <c r="H29" s="40" t="s">
        <v>210</v>
      </c>
      <c r="I29" s="40"/>
      <c r="J29" s="40" t="n">
        <v>23</v>
      </c>
      <c r="K29" s="40" t="s">
        <v>210</v>
      </c>
      <c r="L29" s="40"/>
      <c r="M29" s="29"/>
      <c r="N29" s="30" t="n">
        <f aca="true">IF($D29="","",IF($AI29,MIN(OFFSET(hdr_PlanStart,$AF29+1,0,$AH29,1)),IF($E29="Manual",IF(N($M29)&gt;0,$M29,ProjectStart),WORKDAY.INTL(MAX(ProjectStart,N($M29),$AK29,$AL29)-1,1,WorkWeek,Holidays))))</f>
        <v>46371</v>
      </c>
      <c r="O29" s="30" t="n">
        <f aca="true">IF($D29="","",IF($AI29,MAX(OFFSET(hdr_PlanFinish,$AF29+1,0,$AH29,1)),IF(N($F29)&lt;=0,$N29,WORKDAY.INTL($N29,$F29-1,WorkWeek,Holidays))))</f>
        <v>46371</v>
      </c>
      <c r="P29" s="29"/>
      <c r="Q29" s="29"/>
      <c r="R29" s="30" t="n">
        <f aca="true">IF($D29="","",IF($AI29,MIN(OFFSET(hdr_FcStart,$AF29+1,0,$AH29,1)),IF(N($P29)&gt;0,$P29,IF($E29="Manual",IF(N($M29)&gt;0,$M29,ProjectStart),WORKDAY.INTL(MAX(ProjectStart,N($M29),$AM29,$AN29,IF(RescheduleAfterStatus="Yes",StatusDate,0))-1,1,WorkWeek,Holidays)))))</f>
        <v>46371</v>
      </c>
      <c r="S29" s="30" t="n">
        <f aca="true">IF($D29="","",IF($AI29,MAX(OFFSET(hdr_FcFinish,$AF29+1,0,$AH29,1)),IF(N($Q29)&gt;0,$Q29,IF(N($F29)&lt;=0,$R29,IF(AND(N($P29)&gt;0,RescheduleAfterStatus="Yes"),MAX(WORKDAY.INTL($R29,$F29-1,WorkWeek,Holidays),WORKDAY.INTL(StatusWorkday,MAX(0,ROUNDUP($F29*(1-MIN(1,N($U29))),0)-1),WorkWeek,Holidays)),WORKDAY.INTL($R29,$F29-1,WorkWeek,Holidays))))))</f>
        <v>46371</v>
      </c>
      <c r="T29" s="38" t="n">
        <f aca="false">IF($D29="","",IF($S29&gt;=$O29,NETWORKDAYS.INTL($O29,$S29,WorkWeek,Holidays)-1,1-NETWORKDAYS.INTL($S29,$O29,WorkWeek,Holidays)))</f>
        <v>0</v>
      </c>
      <c r="U29" s="32"/>
      <c r="V29" s="42" t="n">
        <f aca="true">IF($D29="","",IF($AI29,IFERROR(SUM(OFFSET(hdr_WtDone,$AF29+1,0,$AH29,1))/SUM(OFFSET(hdr_WtDur,$AF29+1,0,$AH29,1)),0),IF(N($Q29)&gt;0,1,MIN(1,N($U29)))))</f>
        <v>0</v>
      </c>
      <c r="W29" s="39" t="str">
        <f aca="false">IF($D29="","",IF($V29&gt;=1,"Complete",IF(OR(N($P29)&gt;0,$V29&gt;0),IF($T29&gt;0,"Behind","In Progress"),IF($N29&lt;StatusDate,"Late Start","Not Started"))))</f>
        <v>Not Started</v>
      </c>
      <c r="X29" s="41" t="s">
        <v>88</v>
      </c>
      <c r="Y29" s="32"/>
      <c r="Z29" s="43" t="n">
        <f aca="true">IF($D29="","",IF($AI29,SUMPRODUCT(OFFSET(hdr_Work,$AF29+1,0,$AH29,1),OFFSET(hdr_IsLeaf,$AF29+1,0,$AH29,1)),IF($X29="",0,N($F29)*HoursPerDay*IF($Y29="",DefaultUnits,$Y29))))</f>
        <v>8</v>
      </c>
      <c r="AA29" s="44" t="n">
        <f aca="true">IF($D29="","",IF($AI29,SUMPRODUCT(OFFSET(hdr_Cost,$AF29+1,0,$AH29,1),OFFSET(hdr_IsLeaf,$AF29+1,0,$AH29,1)),$Z29*IFERROR(INDEX(res_Rate,MATCH($X29,res_Name,0)),0)))</f>
        <v>760</v>
      </c>
      <c r="AB29" s="38" t="str">
        <f aca="false">IF(OR($D29="",$AI29),"",IF(OR($R29&lt;Sprint1Start,$R29&gt;SprintLastEnd),"Backlog",INDEX(spr_Name,MATCH($R29,spr_Start,1))))</f>
        <v>Sprint 8</v>
      </c>
      <c r="AC29" s="45" t="str">
        <f aca="false">IF($D29="","",$AT29&amp;IF(AND($AT29&lt;&gt;"",$AU29&lt;&gt;""),",","")&amp;$AU29)</f>
        <v>22,23</v>
      </c>
      <c r="AD29" s="41"/>
      <c r="AE29" s="46" t="n">
        <f aca="false">IF($D29="","",MAX(1,N($C29)))</f>
        <v>2</v>
      </c>
      <c r="AF29" s="46" t="n">
        <f aca="false">ROW()-ROW(hdr_ID)</f>
        <v>24</v>
      </c>
      <c r="AG29" s="46" t="n">
        <f aca="false">IF(OR($D29="",$AE29&lt;=1),0,IFERROR(LOOKUP(2,1/($AE$5:$AE28=$AE29-1),ROW($AE$5:$AE28)),0))</f>
        <v>25</v>
      </c>
      <c r="AH29" s="46" t="n">
        <f aca="false">IF($D29="",0,COUNTIF(tsk_WBS,$B29&amp;".*"))</f>
        <v>0</v>
      </c>
      <c r="AI29" s="47" t="b">
        <f aca="false">$AH29&gt;0</f>
        <v>0</v>
      </c>
      <c r="AJ29" s="46" t="n">
        <f aca="false">IF(AND($D29&lt;&gt;"",NOT($AI29)),1,0)</f>
        <v>1</v>
      </c>
      <c r="AK29" s="48" t="n">
        <f aca="true">IF(OR(N($G29)=0,$AI29,$D29=""),0,IFERROR(CHOOSE(MATCH(IF($H29="","FS",$H29),{"FS","SS","FF","SF"},0),WORKDAY.INTL(OFFSET(hdr_PlanFinish,MATCH($G29,tsk_ID,0),0),IF(N($F29)=0,0,1)+N($I29),WorkWeek,Holidays),WORKDAY.INTL(OFFSET(hdr_PlanStart,MATCH($G29,tsk_ID,0),0),N($I29),WorkWeek,Holidays),WORKDAY.INTL(WORKDAY.INTL(OFFSET(hdr_PlanFinish,MATCH($G29,tsk_ID,0),0),N($I29),WorkWeek,Holidays),-MAX(0,N($F29)-1),WorkWeek,Holidays),WORKDAY.INTL(WORKDAY.INTL(OFFSET(hdr_PlanStart,MATCH($G29,tsk_ID,0),0),N($I29),WorkWeek,Holidays),-MAX(0,N($F29)-1),WorkWeek,Holidays)),0))</f>
        <v>46371</v>
      </c>
      <c r="AL29" s="48" t="n">
        <f aca="true">IF(OR(N($J29)=0,$AI29,$D29=""),0,IFERROR(CHOOSE(MATCH(IF($K29="","FS",$K29),{"FS","SS","FF","SF"},0),WORKDAY.INTL(OFFSET(hdr_PlanFinish,MATCH($J29,tsk_ID,0),0),IF(N($F29)=0,0,1)+N($L29),WorkWeek,Holidays),WORKDAY.INTL(OFFSET(hdr_PlanStart,MATCH($J29,tsk_ID,0),0),N($L29),WorkWeek,Holidays),WORKDAY.INTL(WORKDAY.INTL(OFFSET(hdr_PlanFinish,MATCH($J29,tsk_ID,0),0),N($L29),WorkWeek,Holidays),-MAX(0,N($F29)-1),WorkWeek,Holidays),WORKDAY.INTL(WORKDAY.INTL(OFFSET(hdr_PlanStart,MATCH($J29,tsk_ID,0),0),N($L29),WorkWeek,Holidays),-MAX(0,N($F29)-1),WorkWeek,Holidays)),0))</f>
        <v>46337</v>
      </c>
      <c r="AM29" s="48" t="n">
        <f aca="true">IF(OR(N($G29)=0,$AI29,$D29=""),0,IFERROR(CHOOSE(MATCH(IF($H29="","FS",$H29),{"FS","SS","FF","SF"},0),WORKDAY.INTL(OFFSET(hdr_FcFinish,MATCH($G29,tsk_ID,0),0),IF(N($F29)=0,0,1)+N($I29),WorkWeek,Holidays),WORKDAY.INTL(OFFSET(hdr_FcStart,MATCH($G29,tsk_ID,0),0),N($I29),WorkWeek,Holidays),WORKDAY.INTL(WORKDAY.INTL(OFFSET(hdr_FcFinish,MATCH($G29,tsk_ID,0),0),N($I29),WorkWeek,Holidays),-MAX(0,N($F29)-1),WorkWeek,Holidays),WORKDAY.INTL(WORKDAY.INTL(OFFSET(hdr_FcStart,MATCH($G29,tsk_ID,0),0),N($I29),WorkWeek,Holidays),-MAX(0,N($F29)-1),WorkWeek,Holidays)),0))</f>
        <v>46371</v>
      </c>
      <c r="AN29" s="48" t="n">
        <f aca="true">IF(OR(N($J29)=0,$AI29,$D29=""),0,IFERROR(CHOOSE(MATCH(IF($K29="","FS",$K29),{"FS","SS","FF","SF"},0),WORKDAY.INTL(OFFSET(hdr_FcFinish,MATCH($J29,tsk_ID,0),0),IF(N($F29)=0,0,1)+N($L29),WorkWeek,Holidays),WORKDAY.INTL(OFFSET(hdr_FcStart,MATCH($J29,tsk_ID,0),0),N($L29),WorkWeek,Holidays),WORKDAY.INTL(WORKDAY.INTL(OFFSET(hdr_FcFinish,MATCH($J29,tsk_ID,0),0),N($L29),WorkWeek,Holidays),-MAX(0,N($F29)-1),WorkWeek,Holidays),WORKDAY.INTL(WORKDAY.INTL(OFFSET(hdr_FcStart,MATCH($J29,tsk_ID,0),0),N($L29),WorkWeek,Holidays),-MAX(0,N($F29)-1),WorkWeek,Holidays)),0))</f>
        <v>46345</v>
      </c>
      <c r="AO29" s="48" t="n">
        <f aca="false">IF($AJ29=1,$R29,0)</f>
        <v>46371</v>
      </c>
      <c r="AP29" s="48" t="n">
        <f aca="false">IF($AJ29=1,$S29,0)</f>
        <v>46371</v>
      </c>
      <c r="AQ29" s="49" t="n">
        <f aca="false">IF(AND($AJ29=1,N($Z29)&gt;0),$Z29/($AP29-$AO29+1),0)</f>
        <v>8</v>
      </c>
      <c r="AR29" s="46" t="n">
        <f aca="false">IF($AJ29=1,MAX(N($F29),0.1),0)</f>
        <v>1</v>
      </c>
      <c r="AS29" s="46" t="n">
        <f aca="false">IF($AJ29=1,$AR29*$V29,0)</f>
        <v>0</v>
      </c>
      <c r="AT29" s="46" t="str">
        <f aca="false">IF(N($G29)=0,"",$G29&amp;IF(AND(IF($H29="","FS",$H29)="FS",N($I29)=0),"",IF($H29="","FS",$H29)&amp;IF(N($I29)=0,"",IF(N($I29)&gt;0,"+","")&amp;N($I29)&amp;"d")))</f>
        <v>22</v>
      </c>
      <c r="AU29" s="46" t="str">
        <f aca="false">IF(N($J29)=0,"",$J29&amp;IF(AND(IF($K29="","FS",$K29)="FS",N($L29)=0),"",IF($K29="","FS",$K29)&amp;IF(N($L29)=0,"",IF(N($L29)&gt;0,"+","")&amp;N($L29)&amp;"d")))</f>
        <v>23</v>
      </c>
      <c r="AV29" s="46" t="str">
        <f aca="false">IF(AND($AJ29=1,N($F29)=0,$V29&lt;1),$S29+$AF29/100000,"")</f>
        <v/>
      </c>
    </row>
    <row r="30" customFormat="false" ht="15" hidden="false" customHeight="false" outlineLevel="0" collapsed="false">
      <c r="A30" s="38" t="n">
        <f aca="false">IF($D30="","",COUNTA($D$6:$D30))</f>
        <v>25</v>
      </c>
      <c r="B30" s="39" t="str">
        <f aca="true">IF($D30="","",IF($AE30=1,COUNTIF($AE$6:$AE30,1)&amp;"",IF($AG30=0,"?",OFFSET(hdr_WBS,$AG30-ROW(hdr_WBS),0)&amp;"."&amp;COUNTIF(INDEX($AE:$AE,$AG30+1):$AE30,$AE30))))</f>
        <v>4.5</v>
      </c>
      <c r="C30" s="40" t="n">
        <v>2</v>
      </c>
      <c r="D30" s="41" t="s">
        <v>248</v>
      </c>
      <c r="E30" s="40" t="s">
        <v>205</v>
      </c>
      <c r="F30" s="40" t="n">
        <v>0</v>
      </c>
      <c r="G30" s="40" t="n">
        <v>24</v>
      </c>
      <c r="H30" s="40" t="s">
        <v>210</v>
      </c>
      <c r="I30" s="40"/>
      <c r="J30" s="40"/>
      <c r="K30" s="40"/>
      <c r="L30" s="40"/>
      <c r="M30" s="29"/>
      <c r="N30" s="30" t="n">
        <f aca="true">IF($D30="","",IF($AI30,MIN(OFFSET(hdr_PlanStart,$AF30+1,0,$AH30,1)),IF($E30="Manual",IF(N($M30)&gt;0,$M30,ProjectStart),WORKDAY.INTL(MAX(ProjectStart,N($M30),$AK30,$AL30)-1,1,WorkWeek,Holidays))))</f>
        <v>46371</v>
      </c>
      <c r="O30" s="30" t="n">
        <f aca="true">IF($D30="","",IF($AI30,MAX(OFFSET(hdr_PlanFinish,$AF30+1,0,$AH30,1)),IF(N($F30)&lt;=0,$N30,WORKDAY.INTL($N30,$F30-1,WorkWeek,Holidays))))</f>
        <v>46371</v>
      </c>
      <c r="P30" s="29"/>
      <c r="Q30" s="29"/>
      <c r="R30" s="30" t="n">
        <f aca="true">IF($D30="","",IF($AI30,MIN(OFFSET(hdr_FcStart,$AF30+1,0,$AH30,1)),IF(N($P30)&gt;0,$P30,IF($E30="Manual",IF(N($M30)&gt;0,$M30,ProjectStart),WORKDAY.INTL(MAX(ProjectStart,N($M30),$AM30,$AN30,IF(RescheduleAfterStatus="Yes",StatusDate,0))-1,1,WorkWeek,Holidays)))))</f>
        <v>46371</v>
      </c>
      <c r="S30" s="30" t="n">
        <f aca="true">IF($D30="","",IF($AI30,MAX(OFFSET(hdr_FcFinish,$AF30+1,0,$AH30,1)),IF(N($Q30)&gt;0,$Q30,IF(N($F30)&lt;=0,$R30,IF(AND(N($P30)&gt;0,RescheduleAfterStatus="Yes"),MAX(WORKDAY.INTL($R30,$F30-1,WorkWeek,Holidays),WORKDAY.INTL(StatusWorkday,MAX(0,ROUNDUP($F30*(1-MIN(1,N($U30))),0)-1),WorkWeek,Holidays)),WORKDAY.INTL($R30,$F30-1,WorkWeek,Holidays))))))</f>
        <v>46371</v>
      </c>
      <c r="T30" s="38" t="n">
        <f aca="false">IF($D30="","",IF($S30&gt;=$O30,NETWORKDAYS.INTL($O30,$S30,WorkWeek,Holidays)-1,1-NETWORKDAYS.INTL($S30,$O30,WorkWeek,Holidays)))</f>
        <v>0</v>
      </c>
      <c r="U30" s="32"/>
      <c r="V30" s="42" t="n">
        <f aca="true">IF($D30="","",IF($AI30,IFERROR(SUM(OFFSET(hdr_WtDone,$AF30+1,0,$AH30,1))/SUM(OFFSET(hdr_WtDur,$AF30+1,0,$AH30,1)),0),IF(N($Q30)&gt;0,1,MIN(1,N($U30)))))</f>
        <v>0</v>
      </c>
      <c r="W30" s="39" t="str">
        <f aca="false">IF($D30="","",IF($V30&gt;=1,"Complete",IF(OR(N($P30)&gt;0,$V30&gt;0),IF($T30&gt;0,"Behind","In Progress"),IF($N30&lt;StatusDate,"Late Start","Not Started"))))</f>
        <v>Not Started</v>
      </c>
      <c r="X30" s="41"/>
      <c r="Y30" s="32"/>
      <c r="Z30" s="43" t="n">
        <f aca="true">IF($D30="","",IF($AI30,SUMPRODUCT(OFFSET(hdr_Work,$AF30+1,0,$AH30,1),OFFSET(hdr_IsLeaf,$AF30+1,0,$AH30,1)),IF($X30="",0,N($F30)*HoursPerDay*IF($Y30="",DefaultUnits,$Y30))))</f>
        <v>0</v>
      </c>
      <c r="AA30" s="44" t="n">
        <f aca="true">IF($D30="","",IF($AI30,SUMPRODUCT(OFFSET(hdr_Cost,$AF30+1,0,$AH30,1),OFFSET(hdr_IsLeaf,$AF30+1,0,$AH30,1)),$Z30*IFERROR(INDEX(res_Rate,MATCH($X30,res_Name,0)),0)))</f>
        <v>0</v>
      </c>
      <c r="AB30" s="38" t="str">
        <f aca="false">IF(OR($D30="",$AI30),"",IF(OR($R30&lt;Sprint1Start,$R30&gt;SprintLastEnd),"Backlog",INDEX(spr_Name,MATCH($R30,spr_Start,1))))</f>
        <v>Sprint 8</v>
      </c>
      <c r="AC30" s="45" t="str">
        <f aca="false">IF($D30="","",$AT30&amp;IF(AND($AT30&lt;&gt;"",$AU30&lt;&gt;""),",","")&amp;$AU30)</f>
        <v>24</v>
      </c>
      <c r="AD30" s="41" t="s">
        <v>240</v>
      </c>
      <c r="AE30" s="46" t="n">
        <f aca="false">IF($D30="","",MAX(1,N($C30)))</f>
        <v>2</v>
      </c>
      <c r="AF30" s="46" t="n">
        <f aca="false">ROW()-ROW(hdr_ID)</f>
        <v>25</v>
      </c>
      <c r="AG30" s="46" t="n">
        <f aca="false">IF(OR($D30="",$AE30&lt;=1),0,IFERROR(LOOKUP(2,1/($AE$5:$AE29=$AE30-1),ROW($AE$5:$AE29)),0))</f>
        <v>25</v>
      </c>
      <c r="AH30" s="46" t="n">
        <f aca="false">IF($D30="",0,COUNTIF(tsk_WBS,$B30&amp;".*"))</f>
        <v>0</v>
      </c>
      <c r="AI30" s="47" t="b">
        <f aca="false">$AH30&gt;0</f>
        <v>0</v>
      </c>
      <c r="AJ30" s="46" t="n">
        <f aca="false">IF(AND($D30&lt;&gt;"",NOT($AI30)),1,0)</f>
        <v>1</v>
      </c>
      <c r="AK30" s="48" t="n">
        <f aca="true">IF(OR(N($G30)=0,$AI30,$D30=""),0,IFERROR(CHOOSE(MATCH(IF($H30="","FS",$H30),{"FS","SS","FF","SF"},0),WORKDAY.INTL(OFFSET(hdr_PlanFinish,MATCH($G30,tsk_ID,0),0),IF(N($F30)=0,0,1)+N($I30),WorkWeek,Holidays),WORKDAY.INTL(OFFSET(hdr_PlanStart,MATCH($G30,tsk_ID,0),0),N($I30),WorkWeek,Holidays),WORKDAY.INTL(WORKDAY.INTL(OFFSET(hdr_PlanFinish,MATCH($G30,tsk_ID,0),0),N($I30),WorkWeek,Holidays),-MAX(0,N($F30)-1),WorkWeek,Holidays),WORKDAY.INTL(WORKDAY.INTL(OFFSET(hdr_PlanStart,MATCH($G30,tsk_ID,0),0),N($I30),WorkWeek,Holidays),-MAX(0,N($F30)-1),WorkWeek,Holidays)),0))</f>
        <v>46371</v>
      </c>
      <c r="AL30" s="48" t="n">
        <f aca="true">IF(OR(N($J30)=0,$AI30,$D30=""),0,IFERROR(CHOOSE(MATCH(IF($K30="","FS",$K30),{"FS","SS","FF","SF"},0),WORKDAY.INTL(OFFSET(hdr_PlanFinish,MATCH($J30,tsk_ID,0),0),IF(N($F30)=0,0,1)+N($L30),WorkWeek,Holidays),WORKDAY.INTL(OFFSET(hdr_PlanStart,MATCH($J30,tsk_ID,0),0),N($L30),WorkWeek,Holidays),WORKDAY.INTL(WORKDAY.INTL(OFFSET(hdr_PlanFinish,MATCH($J30,tsk_ID,0),0),N($L30),WorkWeek,Holidays),-MAX(0,N($F30)-1),WorkWeek,Holidays),WORKDAY.INTL(WORKDAY.INTL(OFFSET(hdr_PlanStart,MATCH($J30,tsk_ID,0),0),N($L30),WorkWeek,Holidays),-MAX(0,N($F30)-1),WorkWeek,Holidays)),0))</f>
        <v>0</v>
      </c>
      <c r="AM30" s="48" t="n">
        <f aca="true">IF(OR(N($G30)=0,$AI30,$D30=""),0,IFERROR(CHOOSE(MATCH(IF($H30="","FS",$H30),{"FS","SS","FF","SF"},0),WORKDAY.INTL(OFFSET(hdr_FcFinish,MATCH($G30,tsk_ID,0),0),IF(N($F30)=0,0,1)+N($I30),WorkWeek,Holidays),WORKDAY.INTL(OFFSET(hdr_FcStart,MATCH($G30,tsk_ID,0),0),N($I30),WorkWeek,Holidays),WORKDAY.INTL(WORKDAY.INTL(OFFSET(hdr_FcFinish,MATCH($G30,tsk_ID,0),0),N($I30),WorkWeek,Holidays),-MAX(0,N($F30)-1),WorkWeek,Holidays),WORKDAY.INTL(WORKDAY.INTL(OFFSET(hdr_FcStart,MATCH($G30,tsk_ID,0),0),N($I30),WorkWeek,Holidays),-MAX(0,N($F30)-1),WorkWeek,Holidays)),0))</f>
        <v>46371</v>
      </c>
      <c r="AN30" s="48" t="n">
        <f aca="true">IF(OR(N($J30)=0,$AI30,$D30=""),0,IFERROR(CHOOSE(MATCH(IF($K30="","FS",$K30),{"FS","SS","FF","SF"},0),WORKDAY.INTL(OFFSET(hdr_FcFinish,MATCH($J30,tsk_ID,0),0),IF(N($F30)=0,0,1)+N($L30),WorkWeek,Holidays),WORKDAY.INTL(OFFSET(hdr_FcStart,MATCH($J30,tsk_ID,0),0),N($L30),WorkWeek,Holidays),WORKDAY.INTL(WORKDAY.INTL(OFFSET(hdr_FcFinish,MATCH($J30,tsk_ID,0),0),N($L30),WorkWeek,Holidays),-MAX(0,N($F30)-1),WorkWeek,Holidays),WORKDAY.INTL(WORKDAY.INTL(OFFSET(hdr_FcStart,MATCH($J30,tsk_ID,0),0),N($L30),WorkWeek,Holidays),-MAX(0,N($F30)-1),WorkWeek,Holidays)),0))</f>
        <v>0</v>
      </c>
      <c r="AO30" s="48" t="n">
        <f aca="false">IF($AJ30=1,$R30,0)</f>
        <v>46371</v>
      </c>
      <c r="AP30" s="48" t="n">
        <f aca="false">IF($AJ30=1,$S30,0)</f>
        <v>46371</v>
      </c>
      <c r="AQ30" s="49" t="n">
        <f aca="false">IF(AND($AJ30=1,N($Z30)&gt;0),$Z30/($AP30-$AO30+1),0)</f>
        <v>0</v>
      </c>
      <c r="AR30" s="46" t="n">
        <f aca="false">IF($AJ30=1,MAX(N($F30),0.1),0)</f>
        <v>0.1</v>
      </c>
      <c r="AS30" s="46" t="n">
        <f aca="false">IF($AJ30=1,$AR30*$V30,0)</f>
        <v>0</v>
      </c>
      <c r="AT30" s="46" t="str">
        <f aca="false">IF(N($G30)=0,"",$G30&amp;IF(AND(IF($H30="","FS",$H30)="FS",N($I30)=0),"",IF($H30="","FS",$H30)&amp;IF(N($I30)=0,"",IF(N($I30)&gt;0,"+","")&amp;N($I30)&amp;"d")))</f>
        <v>24</v>
      </c>
      <c r="AU30" s="46" t="str">
        <f aca="false">IF(N($J30)=0,"",$J30&amp;IF(AND(IF($K30="","FS",$K30)="FS",N($L30)=0),"",IF($K30="","FS",$K30)&amp;IF(N($L30)=0,"",IF(N($L30)&gt;0,"+","")&amp;N($L30)&amp;"d")))</f>
        <v/>
      </c>
      <c r="AV30" s="50" t="n">
        <f aca="false">IF(AND($AJ30=1,N($F30)=0,$V30&lt;1),$S30+$AF30/100000,"")</f>
        <v>46371.00025</v>
      </c>
    </row>
    <row r="31" customFormat="false" ht="15" hidden="false" customHeight="false" outlineLevel="0" collapsed="false">
      <c r="A31" s="38" t="n">
        <f aca="false">IF($D31="","",COUNTA($D$6:$D31))</f>
        <v>26</v>
      </c>
      <c r="B31" s="39" t="str">
        <f aca="true">IF($D31="","",IF($AE31=1,COUNTIF($AE$6:$AE31,1)&amp;"",IF($AG31=0,"?",OFFSET(hdr_WBS,$AG31-ROW(hdr_WBS),0)&amp;"."&amp;COUNTIF(INDEX($AE:$AE,$AG31+1):$AE31,$AE31))))</f>
        <v>4.6</v>
      </c>
      <c r="C31" s="40" t="n">
        <v>2</v>
      </c>
      <c r="D31" s="41" t="s">
        <v>249</v>
      </c>
      <c r="E31" s="40" t="s">
        <v>205</v>
      </c>
      <c r="F31" s="40" t="n">
        <v>10</v>
      </c>
      <c r="G31" s="40" t="n">
        <v>25</v>
      </c>
      <c r="H31" s="40" t="s">
        <v>210</v>
      </c>
      <c r="I31" s="40"/>
      <c r="J31" s="40"/>
      <c r="K31" s="40"/>
      <c r="L31" s="40"/>
      <c r="M31" s="29"/>
      <c r="N31" s="30" t="n">
        <f aca="true">IF($D31="","",IF($AI31,MIN(OFFSET(hdr_PlanStart,$AF31+1,0,$AH31,1)),IF($E31="Manual",IF(N($M31)&gt;0,$M31,ProjectStart),WORKDAY.INTL(MAX(ProjectStart,N($M31),$AK31,$AL31)-1,1,WorkWeek,Holidays))))</f>
        <v>46372</v>
      </c>
      <c r="O31" s="30" t="n">
        <f aca="true">IF($D31="","",IF($AI31,MAX(OFFSET(hdr_PlanFinish,$AF31+1,0,$AH31,1)),IF(N($F31)&lt;=0,$N31,WORKDAY.INTL($N31,$F31-1,WorkWeek,Holidays))))</f>
        <v>46391</v>
      </c>
      <c r="P31" s="29"/>
      <c r="Q31" s="29"/>
      <c r="R31" s="30" t="n">
        <f aca="true">IF($D31="","",IF($AI31,MIN(OFFSET(hdr_FcStart,$AF31+1,0,$AH31,1)),IF(N($P31)&gt;0,$P31,IF($E31="Manual",IF(N($M31)&gt;0,$M31,ProjectStart),WORKDAY.INTL(MAX(ProjectStart,N($M31),$AM31,$AN31,IF(RescheduleAfterStatus="Yes",StatusDate,0))-1,1,WorkWeek,Holidays)))))</f>
        <v>46372</v>
      </c>
      <c r="S31" s="30" t="n">
        <f aca="true">IF($D31="","",IF($AI31,MAX(OFFSET(hdr_FcFinish,$AF31+1,0,$AH31,1)),IF(N($Q31)&gt;0,$Q31,IF(N($F31)&lt;=0,$R31,IF(AND(N($P31)&gt;0,RescheduleAfterStatus="Yes"),MAX(WORKDAY.INTL($R31,$F31-1,WorkWeek,Holidays),WORKDAY.INTL(StatusWorkday,MAX(0,ROUNDUP($F31*(1-MIN(1,N($U31))),0)-1),WorkWeek,Holidays)),WORKDAY.INTL($R31,$F31-1,WorkWeek,Holidays))))))</f>
        <v>46391</v>
      </c>
      <c r="T31" s="38" t="n">
        <f aca="false">IF($D31="","",IF($S31&gt;=$O31,NETWORKDAYS.INTL($O31,$S31,WorkWeek,Holidays)-1,1-NETWORKDAYS.INTL($S31,$O31,WorkWeek,Holidays)))</f>
        <v>0</v>
      </c>
      <c r="U31" s="32"/>
      <c r="V31" s="42" t="n">
        <f aca="true">IF($D31="","",IF($AI31,IFERROR(SUM(OFFSET(hdr_WtDone,$AF31+1,0,$AH31,1))/SUM(OFFSET(hdr_WtDur,$AF31+1,0,$AH31,1)),0),IF(N($Q31)&gt;0,1,MIN(1,N($U31)))))</f>
        <v>0</v>
      </c>
      <c r="W31" s="39" t="str">
        <f aca="false">IF($D31="","",IF($V31&gt;=1,"Complete",IF(OR(N($P31)&gt;0,$V31&gt;0),IF($T31&gt;0,"Behind","In Progress"),IF($N31&lt;StatusDate,"Late Start","Not Started"))))</f>
        <v>Not Started</v>
      </c>
      <c r="X31" s="41" t="s">
        <v>228</v>
      </c>
      <c r="Y31" s="32" t="n">
        <v>0.5</v>
      </c>
      <c r="Z31" s="43" t="n">
        <f aca="true">IF($D31="","",IF($AI31,SUMPRODUCT(OFFSET(hdr_Work,$AF31+1,0,$AH31,1),OFFSET(hdr_IsLeaf,$AF31+1,0,$AH31,1)),IF($X31="",0,N($F31)*HoursPerDay*IF($Y31="",DefaultUnits,$Y31))))</f>
        <v>40</v>
      </c>
      <c r="AA31" s="44" t="n">
        <f aca="true">IF($D31="","",IF($AI31,SUMPRODUCT(OFFSET(hdr_Cost,$AF31+1,0,$AH31,1),OFFSET(hdr_IsLeaf,$AF31+1,0,$AH31,1)),$Z31*IFERROR(INDEX(res_Rate,MATCH($X31,res_Name,0)),0)))</f>
        <v>3400</v>
      </c>
      <c r="AB31" s="38" t="str">
        <f aca="false">IF(OR($D31="",$AI31),"",IF(OR($R31&lt;Sprint1Start,$R31&gt;SprintLastEnd),"Backlog",INDEX(spr_Name,MATCH($R31,spr_Start,1))))</f>
        <v>Sprint 8</v>
      </c>
      <c r="AC31" s="45" t="str">
        <f aca="false">IF($D31="","",$AT31&amp;IF(AND($AT31&lt;&gt;"",$AU31&lt;&gt;""),",","")&amp;$AU31)</f>
        <v>25</v>
      </c>
      <c r="AD31" s="41"/>
      <c r="AE31" s="46" t="n">
        <f aca="false">IF($D31="","",MAX(1,N($C31)))</f>
        <v>2</v>
      </c>
      <c r="AF31" s="46" t="n">
        <f aca="false">ROW()-ROW(hdr_ID)</f>
        <v>26</v>
      </c>
      <c r="AG31" s="46" t="n">
        <f aca="false">IF(OR($D31="",$AE31&lt;=1),0,IFERROR(LOOKUP(2,1/($AE$5:$AE30=$AE31-1),ROW($AE$5:$AE30)),0))</f>
        <v>25</v>
      </c>
      <c r="AH31" s="46" t="n">
        <f aca="false">IF($D31="",0,COUNTIF(tsk_WBS,$B31&amp;".*"))</f>
        <v>0</v>
      </c>
      <c r="AI31" s="47" t="b">
        <f aca="false">$AH31&gt;0</f>
        <v>0</v>
      </c>
      <c r="AJ31" s="46" t="n">
        <f aca="false">IF(AND($D31&lt;&gt;"",NOT($AI31)),1,0)</f>
        <v>1</v>
      </c>
      <c r="AK31" s="48" t="n">
        <f aca="true">IF(OR(N($G31)=0,$AI31,$D31=""),0,IFERROR(CHOOSE(MATCH(IF($H31="","FS",$H31),{"FS","SS","FF","SF"},0),WORKDAY.INTL(OFFSET(hdr_PlanFinish,MATCH($G31,tsk_ID,0),0),IF(N($F31)=0,0,1)+N($I31),WorkWeek,Holidays),WORKDAY.INTL(OFFSET(hdr_PlanStart,MATCH($G31,tsk_ID,0),0),N($I31),WorkWeek,Holidays),WORKDAY.INTL(WORKDAY.INTL(OFFSET(hdr_PlanFinish,MATCH($G31,tsk_ID,0),0),N($I31),WorkWeek,Holidays),-MAX(0,N($F31)-1),WorkWeek,Holidays),WORKDAY.INTL(WORKDAY.INTL(OFFSET(hdr_PlanStart,MATCH($G31,tsk_ID,0),0),N($I31),WorkWeek,Holidays),-MAX(0,N($F31)-1),WorkWeek,Holidays)),0))</f>
        <v>46372</v>
      </c>
      <c r="AL31" s="48" t="n">
        <f aca="true">IF(OR(N($J31)=0,$AI31,$D31=""),0,IFERROR(CHOOSE(MATCH(IF($K31="","FS",$K31),{"FS","SS","FF","SF"},0),WORKDAY.INTL(OFFSET(hdr_PlanFinish,MATCH($J31,tsk_ID,0),0),IF(N($F31)=0,0,1)+N($L31),WorkWeek,Holidays),WORKDAY.INTL(OFFSET(hdr_PlanStart,MATCH($J31,tsk_ID,0),0),N($L31),WorkWeek,Holidays),WORKDAY.INTL(WORKDAY.INTL(OFFSET(hdr_PlanFinish,MATCH($J31,tsk_ID,0),0),N($L31),WorkWeek,Holidays),-MAX(0,N($F31)-1),WorkWeek,Holidays),WORKDAY.INTL(WORKDAY.INTL(OFFSET(hdr_PlanStart,MATCH($J31,tsk_ID,0),0),N($L31),WorkWeek,Holidays),-MAX(0,N($F31)-1),WorkWeek,Holidays)),0))</f>
        <v>0</v>
      </c>
      <c r="AM31" s="48" t="n">
        <f aca="true">IF(OR(N($G31)=0,$AI31,$D31=""),0,IFERROR(CHOOSE(MATCH(IF($H31="","FS",$H31),{"FS","SS","FF","SF"},0),WORKDAY.INTL(OFFSET(hdr_FcFinish,MATCH($G31,tsk_ID,0),0),IF(N($F31)=0,0,1)+N($I31),WorkWeek,Holidays),WORKDAY.INTL(OFFSET(hdr_FcStart,MATCH($G31,tsk_ID,0),0),N($I31),WorkWeek,Holidays),WORKDAY.INTL(WORKDAY.INTL(OFFSET(hdr_FcFinish,MATCH($G31,tsk_ID,0),0),N($I31),WorkWeek,Holidays),-MAX(0,N($F31)-1),WorkWeek,Holidays),WORKDAY.INTL(WORKDAY.INTL(OFFSET(hdr_FcStart,MATCH($G31,tsk_ID,0),0),N($I31),WorkWeek,Holidays),-MAX(0,N($F31)-1),WorkWeek,Holidays)),0))</f>
        <v>46372</v>
      </c>
      <c r="AN31" s="48" t="n">
        <f aca="true">IF(OR(N($J31)=0,$AI31,$D31=""),0,IFERROR(CHOOSE(MATCH(IF($K31="","FS",$K31),{"FS","SS","FF","SF"},0),WORKDAY.INTL(OFFSET(hdr_FcFinish,MATCH($J31,tsk_ID,0),0),IF(N($F31)=0,0,1)+N($L31),WorkWeek,Holidays),WORKDAY.INTL(OFFSET(hdr_FcStart,MATCH($J31,tsk_ID,0),0),N($L31),WorkWeek,Holidays),WORKDAY.INTL(WORKDAY.INTL(OFFSET(hdr_FcFinish,MATCH($J31,tsk_ID,0),0),N($L31),WorkWeek,Holidays),-MAX(0,N($F31)-1),WorkWeek,Holidays),WORKDAY.INTL(WORKDAY.INTL(OFFSET(hdr_FcStart,MATCH($J31,tsk_ID,0),0),N($L31),WorkWeek,Holidays),-MAX(0,N($F31)-1),WorkWeek,Holidays)),0))</f>
        <v>0</v>
      </c>
      <c r="AO31" s="48" t="n">
        <f aca="false">IF($AJ31=1,$R31,0)</f>
        <v>46372</v>
      </c>
      <c r="AP31" s="48" t="n">
        <f aca="false">IF($AJ31=1,$S31,0)</f>
        <v>46391</v>
      </c>
      <c r="AQ31" s="49" t="n">
        <f aca="false">IF(AND($AJ31=1,N($Z31)&gt;0),$Z31/($AP31-$AO31+1),0)</f>
        <v>2</v>
      </c>
      <c r="AR31" s="46" t="n">
        <f aca="false">IF($AJ31=1,MAX(N($F31),0.1),0)</f>
        <v>10</v>
      </c>
      <c r="AS31" s="46" t="n">
        <f aca="false">IF($AJ31=1,$AR31*$V31,0)</f>
        <v>0</v>
      </c>
      <c r="AT31" s="46" t="str">
        <f aca="false">IF(N($G31)=0,"",$G31&amp;IF(AND(IF($H31="","FS",$H31)="FS",N($I31)=0),"",IF($H31="","FS",$H31)&amp;IF(N($I31)=0,"",IF(N($I31)&gt;0,"+","")&amp;N($I31)&amp;"d")))</f>
        <v>25</v>
      </c>
      <c r="AU31" s="46" t="str">
        <f aca="false">IF(N($J31)=0,"",$J31&amp;IF(AND(IF($K31="","FS",$K31)="FS",N($L31)=0),"",IF($K31="","FS",$K31)&amp;IF(N($L31)=0,"",IF(N($L31)&gt;0,"+","")&amp;N($L31)&amp;"d")))</f>
        <v/>
      </c>
      <c r="AV31" s="46" t="str">
        <f aca="false">IF(AND($AJ31=1,N($F31)=0,$V31&lt;1),$S31+$AF31/100000,"")</f>
        <v/>
      </c>
    </row>
    <row r="32" customFormat="false" ht="15" hidden="false" customHeight="false" outlineLevel="0" collapsed="false">
      <c r="A32" s="38" t="n">
        <f aca="false">IF($D32="","",COUNTA($D$6:$D32))</f>
        <v>27</v>
      </c>
      <c r="B32" s="39" t="str">
        <f aca="true">IF($D32="","",IF($AE32=1,COUNTIF($AE$6:$AE32,1)&amp;"",IF($AG32=0,"?",OFFSET(hdr_WBS,$AG32-ROW(hdr_WBS),0)&amp;"."&amp;COUNTIF(INDEX($AE:$AE,$AG32+1):$AE32,$AE32))))</f>
        <v>5</v>
      </c>
      <c r="C32" s="40" t="n">
        <v>1</v>
      </c>
      <c r="D32" s="41" t="s">
        <v>250</v>
      </c>
      <c r="E32" s="40" t="s">
        <v>205</v>
      </c>
      <c r="F32" s="40"/>
      <c r="G32" s="40"/>
      <c r="H32" s="40"/>
      <c r="I32" s="40"/>
      <c r="J32" s="40"/>
      <c r="K32" s="40"/>
      <c r="L32" s="40"/>
      <c r="M32" s="29"/>
      <c r="N32" s="30" t="n">
        <f aca="true">IF($D32="","",IF($AI32,MIN(OFFSET(hdr_PlanStart,$AF32+1,0,$AH32,1)),IF($E32="Manual",IF(N($M32)&gt;0,$M32,ProjectStart),WORKDAY.INTL(MAX(ProjectStart,N($M32),$AK32,$AL32)-1,1,WorkWeek,Holidays))))</f>
        <v>46342</v>
      </c>
      <c r="O32" s="30" t="n">
        <f aca="true">IF($D32="","",IF($AI32,MAX(OFFSET(hdr_PlanFinish,$AF32+1,0,$AH32,1)),IF(N($F32)&lt;=0,$N32,WORKDAY.INTL($N32,$F32-1,WorkWeek,Holidays))))</f>
        <v>46393</v>
      </c>
      <c r="P32" s="29"/>
      <c r="Q32" s="29"/>
      <c r="R32" s="30" t="n">
        <f aca="true">IF($D32="","",IF($AI32,MIN(OFFSET(hdr_FcStart,$AF32+1,0,$AH32,1)),IF(N($P32)&gt;0,$P32,IF($E32="Manual",IF(N($M32)&gt;0,$M32,ProjectStart),WORKDAY.INTL(MAX(ProjectStart,N($M32),$AM32,$AN32,IF(RescheduleAfterStatus="Yes",StatusDate,0))-1,1,WorkWeek,Holidays)))))</f>
        <v>46342</v>
      </c>
      <c r="S32" s="30" t="n">
        <f aca="true">IF($D32="","",IF($AI32,MAX(OFFSET(hdr_FcFinish,$AF32+1,0,$AH32,1)),IF(N($Q32)&gt;0,$Q32,IF(N($F32)&lt;=0,$R32,IF(AND(N($P32)&gt;0,RescheduleAfterStatus="Yes"),MAX(WORKDAY.INTL($R32,$F32-1,WorkWeek,Holidays),WORKDAY.INTL(StatusWorkday,MAX(0,ROUNDUP($F32*(1-MIN(1,N($U32))),0)-1),WorkWeek,Holidays)),WORKDAY.INTL($R32,$F32-1,WorkWeek,Holidays))))))</f>
        <v>46393</v>
      </c>
      <c r="T32" s="38" t="n">
        <f aca="false">IF($D32="","",IF($S32&gt;=$O32,NETWORKDAYS.INTL($O32,$S32,WorkWeek,Holidays)-1,1-NETWORKDAYS.INTL($S32,$O32,WorkWeek,Holidays)))</f>
        <v>0</v>
      </c>
      <c r="U32" s="32"/>
      <c r="V32" s="42" t="n">
        <f aca="true">IF($D32="","",IF($AI32,IFERROR(SUM(OFFSET(hdr_WtDone,$AF32+1,0,$AH32,1))/SUM(OFFSET(hdr_WtDur,$AF32+1,0,$AH32,1)),0),IF(N($Q32)&gt;0,1,MIN(1,N($U32)))))</f>
        <v>0</v>
      </c>
      <c r="W32" s="39" t="str">
        <f aca="false">IF($D32="","",IF($V32&gt;=1,"Complete",IF(OR(N($P32)&gt;0,$V32&gt;0),IF($T32&gt;0,"Behind","In Progress"),IF($N32&lt;StatusDate,"Late Start","Not Started"))))</f>
        <v>Not Started</v>
      </c>
      <c r="X32" s="41"/>
      <c r="Y32" s="32"/>
      <c r="Z32" s="43" t="n">
        <f aca="true">IF($D32="","",IF($AI32,SUMPRODUCT(OFFSET(hdr_Work,$AF32+1,0,$AH32,1),OFFSET(hdr_IsLeaf,$AF32+1,0,$AH32,1)),IF($X32="",0,N($F32)*HoursPerDay*IF($Y32="",DefaultUnits,$Y32))))</f>
        <v>24</v>
      </c>
      <c r="AA32" s="44" t="n">
        <f aca="true">IF($D32="","",IF($AI32,SUMPRODUCT(OFFSET(hdr_Cost,$AF32+1,0,$AH32,1),OFFSET(hdr_IsLeaf,$AF32+1,0,$AH32,1)),$Z32*IFERROR(INDEX(res_Rate,MATCH($X32,res_Name,0)),0)))</f>
        <v>2280</v>
      </c>
      <c r="AB32" s="38" t="str">
        <f aca="false">IF(OR($D32="",$AI32),"",IF(OR($R32&lt;Sprint1Start,$R32&gt;SprintLastEnd),"Backlog",INDEX(spr_Name,MATCH($R32,spr_Start,1))))</f>
        <v/>
      </c>
      <c r="AC32" s="45" t="str">
        <f aca="false">IF($D32="","",$AT32&amp;IF(AND($AT32&lt;&gt;"",$AU32&lt;&gt;""),",","")&amp;$AU32)</f>
        <v/>
      </c>
      <c r="AD32" s="41"/>
      <c r="AE32" s="46" t="n">
        <f aca="false">IF($D32="","",MAX(1,N($C32)))</f>
        <v>1</v>
      </c>
      <c r="AF32" s="46" t="n">
        <f aca="false">ROW()-ROW(hdr_ID)</f>
        <v>27</v>
      </c>
      <c r="AG32" s="46" t="n">
        <f aca="false">IF(OR($D32="",$AE32&lt;=1),0,IFERROR(LOOKUP(2,1/($AE$5:$AE31=$AE32-1),ROW($AE$5:$AE31)),0))</f>
        <v>0</v>
      </c>
      <c r="AH32" s="46" t="n">
        <f aca="false">IF($D32="",0,COUNTIF(tsk_WBS,$B32&amp;".*"))</f>
        <v>3</v>
      </c>
      <c r="AI32" s="47" t="b">
        <f aca="false">$AH32&gt;0</f>
        <v>1</v>
      </c>
      <c r="AJ32" s="46" t="n">
        <f aca="false">IF(AND($D32&lt;&gt;"",NOT($AI32)),1,0)</f>
        <v>0</v>
      </c>
      <c r="AK32" s="48" t="n">
        <f aca="true">IF(OR(N($G32)=0,$AI32,$D32=""),0,IFERROR(CHOOSE(MATCH(IF($H32="","FS",$H32),{"FS","SS","FF","SF"},0),WORKDAY.INTL(OFFSET(hdr_PlanFinish,MATCH($G32,tsk_ID,0),0),IF(N($F32)=0,0,1)+N($I32),WorkWeek,Holidays),WORKDAY.INTL(OFFSET(hdr_PlanStart,MATCH($G32,tsk_ID,0),0),N($I32),WorkWeek,Holidays),WORKDAY.INTL(WORKDAY.INTL(OFFSET(hdr_PlanFinish,MATCH($G32,tsk_ID,0),0),N($I32),WorkWeek,Holidays),-MAX(0,N($F32)-1),WorkWeek,Holidays),WORKDAY.INTL(WORKDAY.INTL(OFFSET(hdr_PlanStart,MATCH($G32,tsk_ID,0),0),N($I32),WorkWeek,Holidays),-MAX(0,N($F32)-1),WorkWeek,Holidays)),0))</f>
        <v>0</v>
      </c>
      <c r="AL32" s="48" t="n">
        <f aca="true">IF(OR(N($J32)=0,$AI32,$D32=""),0,IFERROR(CHOOSE(MATCH(IF($K32="","FS",$K32),{"FS","SS","FF","SF"},0),WORKDAY.INTL(OFFSET(hdr_PlanFinish,MATCH($J32,tsk_ID,0),0),IF(N($F32)=0,0,1)+N($L32),WorkWeek,Holidays),WORKDAY.INTL(OFFSET(hdr_PlanStart,MATCH($J32,tsk_ID,0),0),N($L32),WorkWeek,Holidays),WORKDAY.INTL(WORKDAY.INTL(OFFSET(hdr_PlanFinish,MATCH($J32,tsk_ID,0),0),N($L32),WorkWeek,Holidays),-MAX(0,N($F32)-1),WorkWeek,Holidays),WORKDAY.INTL(WORKDAY.INTL(OFFSET(hdr_PlanStart,MATCH($J32,tsk_ID,0),0),N($L32),WorkWeek,Holidays),-MAX(0,N($F32)-1),WorkWeek,Holidays)),0))</f>
        <v>0</v>
      </c>
      <c r="AM32" s="48" t="n">
        <f aca="true">IF(OR(N($G32)=0,$AI32,$D32=""),0,IFERROR(CHOOSE(MATCH(IF($H32="","FS",$H32),{"FS","SS","FF","SF"},0),WORKDAY.INTL(OFFSET(hdr_FcFinish,MATCH($G32,tsk_ID,0),0),IF(N($F32)=0,0,1)+N($I32),WorkWeek,Holidays),WORKDAY.INTL(OFFSET(hdr_FcStart,MATCH($G32,tsk_ID,0),0),N($I32),WorkWeek,Holidays),WORKDAY.INTL(WORKDAY.INTL(OFFSET(hdr_FcFinish,MATCH($G32,tsk_ID,0),0),N($I32),WorkWeek,Holidays),-MAX(0,N($F32)-1),WorkWeek,Holidays),WORKDAY.INTL(WORKDAY.INTL(OFFSET(hdr_FcStart,MATCH($G32,tsk_ID,0),0),N($I32),WorkWeek,Holidays),-MAX(0,N($F32)-1),WorkWeek,Holidays)),0))</f>
        <v>0</v>
      </c>
      <c r="AN32" s="48" t="n">
        <f aca="true">IF(OR(N($J32)=0,$AI32,$D32=""),0,IFERROR(CHOOSE(MATCH(IF($K32="","FS",$K32),{"FS","SS","FF","SF"},0),WORKDAY.INTL(OFFSET(hdr_FcFinish,MATCH($J32,tsk_ID,0),0),IF(N($F32)=0,0,1)+N($L32),WorkWeek,Holidays),WORKDAY.INTL(OFFSET(hdr_FcStart,MATCH($J32,tsk_ID,0),0),N($L32),WorkWeek,Holidays),WORKDAY.INTL(WORKDAY.INTL(OFFSET(hdr_FcFinish,MATCH($J32,tsk_ID,0),0),N($L32),WorkWeek,Holidays),-MAX(0,N($F32)-1),WorkWeek,Holidays),WORKDAY.INTL(WORKDAY.INTL(OFFSET(hdr_FcStart,MATCH($J32,tsk_ID,0),0),N($L32),WorkWeek,Holidays),-MAX(0,N($F32)-1),WorkWeek,Holidays)),0))</f>
        <v>0</v>
      </c>
      <c r="AO32" s="48" t="n">
        <f aca="false">IF($AJ32=1,$R32,0)</f>
        <v>0</v>
      </c>
      <c r="AP32" s="48" t="n">
        <f aca="false">IF($AJ32=1,$S32,0)</f>
        <v>0</v>
      </c>
      <c r="AQ32" s="49" t="n">
        <f aca="false">IF(AND($AJ32=1,N($Z32)&gt;0),$Z32/($AP32-$AO32+1),0)</f>
        <v>0</v>
      </c>
      <c r="AR32" s="46" t="n">
        <f aca="false">IF($AJ32=1,MAX(N($F32),0.1),0)</f>
        <v>0</v>
      </c>
      <c r="AS32" s="46" t="n">
        <f aca="false">IF($AJ32=1,$AR32*$V32,0)</f>
        <v>0</v>
      </c>
      <c r="AT32" s="46" t="str">
        <f aca="false">IF(N($G32)=0,"",$G32&amp;IF(AND(IF($H32="","FS",$H32)="FS",N($I32)=0),"",IF($H32="","FS",$H32)&amp;IF(N($I32)=0,"",IF(N($I32)&gt;0,"+","")&amp;N($I32)&amp;"d")))</f>
        <v/>
      </c>
      <c r="AU32" s="46" t="str">
        <f aca="false">IF(N($J32)=0,"",$J32&amp;IF(AND(IF($K32="","FS",$K32)="FS",N($L32)=0),"",IF($K32="","FS",$K32)&amp;IF(N($L32)=0,"",IF(N($L32)&gt;0,"+","")&amp;N($L32)&amp;"d")))</f>
        <v/>
      </c>
      <c r="AV32" s="46" t="str">
        <f aca="false">IF(AND($AJ32=1,N($F32)=0,$V32&lt;1),$S32+$AF32/100000,"")</f>
        <v/>
      </c>
    </row>
    <row r="33" customFormat="false" ht="15" hidden="false" customHeight="false" outlineLevel="0" collapsed="false">
      <c r="A33" s="38" t="n">
        <f aca="false">IF($D33="","",COUNTA($D$6:$D33))</f>
        <v>28</v>
      </c>
      <c r="B33" s="39" t="str">
        <f aca="true">IF($D33="","",IF($AE33=1,COUNTIF($AE$6:$AE33,1)&amp;"",IF($AG33=0,"?",OFFSET(hdr_WBS,$AG33-ROW(hdr_WBS),0)&amp;"."&amp;COUNTIF(INDEX($AE:$AE,$AG33+1):$AE33,$AE33))))</f>
        <v>5.1</v>
      </c>
      <c r="C33" s="40" t="n">
        <v>2</v>
      </c>
      <c r="D33" s="41" t="s">
        <v>251</v>
      </c>
      <c r="E33" s="40" t="s">
        <v>252</v>
      </c>
      <c r="F33" s="40" t="n">
        <v>1</v>
      </c>
      <c r="G33" s="40"/>
      <c r="H33" s="40"/>
      <c r="I33" s="40"/>
      <c r="J33" s="40"/>
      <c r="K33" s="40"/>
      <c r="L33" s="40"/>
      <c r="M33" s="29" t="n">
        <v>46342</v>
      </c>
      <c r="N33" s="30" t="n">
        <f aca="true">IF($D33="","",IF($AI33,MIN(OFFSET(hdr_PlanStart,$AF33+1,0,$AH33,1)),IF($E33="Manual",IF(N($M33)&gt;0,$M33,ProjectStart),WORKDAY.INTL(MAX(ProjectStart,N($M33),$AK33,$AL33)-1,1,WorkWeek,Holidays))))</f>
        <v>46342</v>
      </c>
      <c r="O33" s="30" t="n">
        <f aca="true">IF($D33="","",IF($AI33,MAX(OFFSET(hdr_PlanFinish,$AF33+1,0,$AH33,1)),IF(N($F33)&lt;=0,$N33,WORKDAY.INTL($N33,$F33-1,WorkWeek,Holidays))))</f>
        <v>46342</v>
      </c>
      <c r="P33" s="29"/>
      <c r="Q33" s="29"/>
      <c r="R33" s="30" t="n">
        <f aca="true">IF($D33="","",IF($AI33,MIN(OFFSET(hdr_FcStart,$AF33+1,0,$AH33,1)),IF(N($P33)&gt;0,$P33,IF($E33="Manual",IF(N($M33)&gt;0,$M33,ProjectStart),WORKDAY.INTL(MAX(ProjectStart,N($M33),$AM33,$AN33,IF(RescheduleAfterStatus="Yes",StatusDate,0))-1,1,WorkWeek,Holidays)))))</f>
        <v>46342</v>
      </c>
      <c r="S33" s="30" t="n">
        <f aca="true">IF($D33="","",IF($AI33,MAX(OFFSET(hdr_FcFinish,$AF33+1,0,$AH33,1)),IF(N($Q33)&gt;0,$Q33,IF(N($F33)&lt;=0,$R33,IF(AND(N($P33)&gt;0,RescheduleAfterStatus="Yes"),MAX(WORKDAY.INTL($R33,$F33-1,WorkWeek,Holidays),WORKDAY.INTL(StatusWorkday,MAX(0,ROUNDUP($F33*(1-MIN(1,N($U33))),0)-1),WorkWeek,Holidays)),WORKDAY.INTL($R33,$F33-1,WorkWeek,Holidays))))))</f>
        <v>46342</v>
      </c>
      <c r="T33" s="38" t="n">
        <f aca="false">IF($D33="","",IF($S33&gt;=$O33,NETWORKDAYS.INTL($O33,$S33,WorkWeek,Holidays)-1,1-NETWORKDAYS.INTL($S33,$O33,WorkWeek,Holidays)))</f>
        <v>0</v>
      </c>
      <c r="U33" s="32"/>
      <c r="V33" s="42" t="n">
        <f aca="true">IF($D33="","",IF($AI33,IFERROR(SUM(OFFSET(hdr_WtDone,$AF33+1,0,$AH33,1))/SUM(OFFSET(hdr_WtDur,$AF33+1,0,$AH33,1)),0),IF(N($Q33)&gt;0,1,MIN(1,N($U33)))))</f>
        <v>0</v>
      </c>
      <c r="W33" s="39" t="str">
        <f aca="false">IF($D33="","",IF($V33&gt;=1,"Complete",IF(OR(N($P33)&gt;0,$V33&gt;0),IF($T33&gt;0,"Behind","In Progress"),IF($N33&lt;StatusDate,"Late Start","Not Started"))))</f>
        <v>Not Started</v>
      </c>
      <c r="X33" s="41" t="s">
        <v>88</v>
      </c>
      <c r="Y33" s="32"/>
      <c r="Z33" s="43" t="n">
        <f aca="true">IF($D33="","",IF($AI33,SUMPRODUCT(OFFSET(hdr_Work,$AF33+1,0,$AH33,1),OFFSET(hdr_IsLeaf,$AF33+1,0,$AH33,1)),IF($X33="",0,N($F33)*HoursPerDay*IF($Y33="",DefaultUnits,$Y33))))</f>
        <v>8</v>
      </c>
      <c r="AA33" s="44" t="n">
        <f aca="true">IF($D33="","",IF($AI33,SUMPRODUCT(OFFSET(hdr_Cost,$AF33+1,0,$AH33,1),OFFSET(hdr_IsLeaf,$AF33+1,0,$AH33,1)),$Z33*IFERROR(INDEX(res_Rate,MATCH($X33,res_Name,0)),0)))</f>
        <v>760</v>
      </c>
      <c r="AB33" s="38" t="str">
        <f aca="false">IF(OR($D33="",$AI33),"",IF(OR($R33&lt;Sprint1Start,$R33&gt;SprintLastEnd),"Backlog",INDEX(spr_Name,MATCH($R33,spr_Start,1))))</f>
        <v>Sprint 6</v>
      </c>
      <c r="AC33" s="45" t="str">
        <f aca="false">IF($D33="","",$AT33&amp;IF(AND($AT33&lt;&gt;"",$AU33&lt;&gt;""),",","")&amp;$AU33)</f>
        <v/>
      </c>
      <c r="AD33" s="41" t="s">
        <v>253</v>
      </c>
      <c r="AE33" s="46" t="n">
        <f aca="false">IF($D33="","",MAX(1,N($C33)))</f>
        <v>2</v>
      </c>
      <c r="AF33" s="46" t="n">
        <f aca="false">ROW()-ROW(hdr_ID)</f>
        <v>28</v>
      </c>
      <c r="AG33" s="46" t="n">
        <f aca="false">IF(OR($D33="",$AE33&lt;=1),0,IFERROR(LOOKUP(2,1/($AE$5:$AE32=$AE33-1),ROW($AE$5:$AE32)),0))</f>
        <v>32</v>
      </c>
      <c r="AH33" s="46" t="n">
        <f aca="false">IF($D33="",0,COUNTIF(tsk_WBS,$B33&amp;".*"))</f>
        <v>0</v>
      </c>
      <c r="AI33" s="47" t="b">
        <f aca="false">$AH33&gt;0</f>
        <v>0</v>
      </c>
      <c r="AJ33" s="46" t="n">
        <f aca="false">IF(AND($D33&lt;&gt;"",NOT($AI33)),1,0)</f>
        <v>1</v>
      </c>
      <c r="AK33" s="48" t="n">
        <f aca="true">IF(OR(N($G33)=0,$AI33,$D33=""),0,IFERROR(CHOOSE(MATCH(IF($H33="","FS",$H33),{"FS","SS","FF","SF"},0),WORKDAY.INTL(OFFSET(hdr_PlanFinish,MATCH($G33,tsk_ID,0),0),IF(N($F33)=0,0,1)+N($I33),WorkWeek,Holidays),WORKDAY.INTL(OFFSET(hdr_PlanStart,MATCH($G33,tsk_ID,0),0),N($I33),WorkWeek,Holidays),WORKDAY.INTL(WORKDAY.INTL(OFFSET(hdr_PlanFinish,MATCH($G33,tsk_ID,0),0),N($I33),WorkWeek,Holidays),-MAX(0,N($F33)-1),WorkWeek,Holidays),WORKDAY.INTL(WORKDAY.INTL(OFFSET(hdr_PlanStart,MATCH($G33,tsk_ID,0),0),N($I33),WorkWeek,Holidays),-MAX(0,N($F33)-1),WorkWeek,Holidays)),0))</f>
        <v>0</v>
      </c>
      <c r="AL33" s="48" t="n">
        <f aca="true">IF(OR(N($J33)=0,$AI33,$D33=""),0,IFERROR(CHOOSE(MATCH(IF($K33="","FS",$K33),{"FS","SS","FF","SF"},0),WORKDAY.INTL(OFFSET(hdr_PlanFinish,MATCH($J33,tsk_ID,0),0),IF(N($F33)=0,0,1)+N($L33),WorkWeek,Holidays),WORKDAY.INTL(OFFSET(hdr_PlanStart,MATCH($J33,tsk_ID,0),0),N($L33),WorkWeek,Holidays),WORKDAY.INTL(WORKDAY.INTL(OFFSET(hdr_PlanFinish,MATCH($J33,tsk_ID,0),0),N($L33),WorkWeek,Holidays),-MAX(0,N($F33)-1),WorkWeek,Holidays),WORKDAY.INTL(WORKDAY.INTL(OFFSET(hdr_PlanStart,MATCH($J33,tsk_ID,0),0),N($L33),WorkWeek,Holidays),-MAX(0,N($F33)-1),WorkWeek,Holidays)),0))</f>
        <v>0</v>
      </c>
      <c r="AM33" s="48" t="n">
        <f aca="true">IF(OR(N($G33)=0,$AI33,$D33=""),0,IFERROR(CHOOSE(MATCH(IF($H33="","FS",$H33),{"FS","SS","FF","SF"},0),WORKDAY.INTL(OFFSET(hdr_FcFinish,MATCH($G33,tsk_ID,0),0),IF(N($F33)=0,0,1)+N($I33),WorkWeek,Holidays),WORKDAY.INTL(OFFSET(hdr_FcStart,MATCH($G33,tsk_ID,0),0),N($I33),WorkWeek,Holidays),WORKDAY.INTL(WORKDAY.INTL(OFFSET(hdr_FcFinish,MATCH($G33,tsk_ID,0),0),N($I33),WorkWeek,Holidays),-MAX(0,N($F33)-1),WorkWeek,Holidays),WORKDAY.INTL(WORKDAY.INTL(OFFSET(hdr_FcStart,MATCH($G33,tsk_ID,0),0),N($I33),WorkWeek,Holidays),-MAX(0,N($F33)-1),WorkWeek,Holidays)),0))</f>
        <v>0</v>
      </c>
      <c r="AN33" s="48" t="n">
        <f aca="true">IF(OR(N($J33)=0,$AI33,$D33=""),0,IFERROR(CHOOSE(MATCH(IF($K33="","FS",$K33),{"FS","SS","FF","SF"},0),WORKDAY.INTL(OFFSET(hdr_FcFinish,MATCH($J33,tsk_ID,0),0),IF(N($F33)=0,0,1)+N($L33),WorkWeek,Holidays),WORKDAY.INTL(OFFSET(hdr_FcStart,MATCH($J33,tsk_ID,0),0),N($L33),WorkWeek,Holidays),WORKDAY.INTL(WORKDAY.INTL(OFFSET(hdr_FcFinish,MATCH($J33,tsk_ID,0),0),N($L33),WorkWeek,Holidays),-MAX(0,N($F33)-1),WorkWeek,Holidays),WORKDAY.INTL(WORKDAY.INTL(OFFSET(hdr_FcStart,MATCH($J33,tsk_ID,0),0),N($L33),WorkWeek,Holidays),-MAX(0,N($F33)-1),WorkWeek,Holidays)),0))</f>
        <v>0</v>
      </c>
      <c r="AO33" s="48" t="n">
        <f aca="false">IF($AJ33=1,$R33,0)</f>
        <v>46342</v>
      </c>
      <c r="AP33" s="48" t="n">
        <f aca="false">IF($AJ33=1,$S33,0)</f>
        <v>46342</v>
      </c>
      <c r="AQ33" s="49" t="n">
        <f aca="false">IF(AND($AJ33=1,N($Z33)&gt;0),$Z33/($AP33-$AO33+1),0)</f>
        <v>8</v>
      </c>
      <c r="AR33" s="46" t="n">
        <f aca="false">IF($AJ33=1,MAX(N($F33),0.1),0)</f>
        <v>1</v>
      </c>
      <c r="AS33" s="46" t="n">
        <f aca="false">IF($AJ33=1,$AR33*$V33,0)</f>
        <v>0</v>
      </c>
      <c r="AT33" s="46" t="str">
        <f aca="false">IF(N($G33)=0,"",$G33&amp;IF(AND(IF($H33="","FS",$H33)="FS",N($I33)=0),"",IF($H33="","FS",$H33)&amp;IF(N($I33)=0,"",IF(N($I33)&gt;0,"+","")&amp;N($I33)&amp;"d")))</f>
        <v/>
      </c>
      <c r="AU33" s="46" t="str">
        <f aca="false">IF(N($J33)=0,"",$J33&amp;IF(AND(IF($K33="","FS",$K33)="FS",N($L33)=0),"",IF($K33="","FS",$K33)&amp;IF(N($L33)=0,"",IF(N($L33)&gt;0,"+","")&amp;N($L33)&amp;"d")))</f>
        <v/>
      </c>
      <c r="AV33" s="46" t="str">
        <f aca="false">IF(AND($AJ33=1,N($F33)=0,$V33&lt;1),$S33+$AF33/100000,"")</f>
        <v/>
      </c>
    </row>
    <row r="34" customFormat="false" ht="15" hidden="false" customHeight="false" outlineLevel="0" collapsed="false">
      <c r="A34" s="38" t="n">
        <f aca="false">IF($D34="","",COUNTA($D$6:$D34))</f>
        <v>29</v>
      </c>
      <c r="B34" s="39" t="str">
        <f aca="true">IF($D34="","",IF($AE34=1,COUNTIF($AE$6:$AE34,1)&amp;"",IF($AG34=0,"?",OFFSET(hdr_WBS,$AG34-ROW(hdr_WBS),0)&amp;"."&amp;COUNTIF(INDEX($AE:$AE,$AG34+1):$AE34,$AE34))))</f>
        <v>5.2</v>
      </c>
      <c r="C34" s="40" t="n">
        <v>2</v>
      </c>
      <c r="D34" s="41" t="s">
        <v>254</v>
      </c>
      <c r="E34" s="40" t="s">
        <v>205</v>
      </c>
      <c r="F34" s="40" t="n">
        <v>2</v>
      </c>
      <c r="G34" s="40" t="n">
        <v>26</v>
      </c>
      <c r="H34" s="40" t="s">
        <v>210</v>
      </c>
      <c r="I34" s="40"/>
      <c r="J34" s="40"/>
      <c r="K34" s="40"/>
      <c r="L34" s="40"/>
      <c r="M34" s="29"/>
      <c r="N34" s="30" t="n">
        <f aca="true">IF($D34="","",IF($AI34,MIN(OFFSET(hdr_PlanStart,$AF34+1,0,$AH34,1)),IF($E34="Manual",IF(N($M34)&gt;0,$M34,ProjectStart),WORKDAY.INTL(MAX(ProjectStart,N($M34),$AK34,$AL34)-1,1,WorkWeek,Holidays))))</f>
        <v>46392</v>
      </c>
      <c r="O34" s="30" t="n">
        <f aca="true">IF($D34="","",IF($AI34,MAX(OFFSET(hdr_PlanFinish,$AF34+1,0,$AH34,1)),IF(N($F34)&lt;=0,$N34,WORKDAY.INTL($N34,$F34-1,WorkWeek,Holidays))))</f>
        <v>46393</v>
      </c>
      <c r="P34" s="29"/>
      <c r="Q34" s="29"/>
      <c r="R34" s="30" t="n">
        <f aca="true">IF($D34="","",IF($AI34,MIN(OFFSET(hdr_FcStart,$AF34+1,0,$AH34,1)),IF(N($P34)&gt;0,$P34,IF($E34="Manual",IF(N($M34)&gt;0,$M34,ProjectStart),WORKDAY.INTL(MAX(ProjectStart,N($M34),$AM34,$AN34,IF(RescheduleAfterStatus="Yes",StatusDate,0))-1,1,WorkWeek,Holidays)))))</f>
        <v>46392</v>
      </c>
      <c r="S34" s="30" t="n">
        <f aca="true">IF($D34="","",IF($AI34,MAX(OFFSET(hdr_FcFinish,$AF34+1,0,$AH34,1)),IF(N($Q34)&gt;0,$Q34,IF(N($F34)&lt;=0,$R34,IF(AND(N($P34)&gt;0,RescheduleAfterStatus="Yes"),MAX(WORKDAY.INTL($R34,$F34-1,WorkWeek,Holidays),WORKDAY.INTL(StatusWorkday,MAX(0,ROUNDUP($F34*(1-MIN(1,N($U34))),0)-1),WorkWeek,Holidays)),WORKDAY.INTL($R34,$F34-1,WorkWeek,Holidays))))))</f>
        <v>46393</v>
      </c>
      <c r="T34" s="38" t="n">
        <f aca="false">IF($D34="","",IF($S34&gt;=$O34,NETWORKDAYS.INTL($O34,$S34,WorkWeek,Holidays)-1,1-NETWORKDAYS.INTL($S34,$O34,WorkWeek,Holidays)))</f>
        <v>0</v>
      </c>
      <c r="U34" s="32"/>
      <c r="V34" s="42" t="n">
        <f aca="true">IF($D34="","",IF($AI34,IFERROR(SUM(OFFSET(hdr_WtDone,$AF34+1,0,$AH34,1))/SUM(OFFSET(hdr_WtDur,$AF34+1,0,$AH34,1)),0),IF(N($Q34)&gt;0,1,MIN(1,N($U34)))))</f>
        <v>0</v>
      </c>
      <c r="W34" s="39" t="str">
        <f aca="false">IF($D34="","",IF($V34&gt;=1,"Complete",IF(OR(N($P34)&gt;0,$V34&gt;0),IF($T34&gt;0,"Behind","In Progress"),IF($N34&lt;StatusDate,"Late Start","Not Started"))))</f>
        <v>Not Started</v>
      </c>
      <c r="X34" s="41" t="s">
        <v>88</v>
      </c>
      <c r="Y34" s="32"/>
      <c r="Z34" s="43" t="n">
        <f aca="true">IF($D34="","",IF($AI34,SUMPRODUCT(OFFSET(hdr_Work,$AF34+1,0,$AH34,1),OFFSET(hdr_IsLeaf,$AF34+1,0,$AH34,1)),IF($X34="",0,N($F34)*HoursPerDay*IF($Y34="",DefaultUnits,$Y34))))</f>
        <v>16</v>
      </c>
      <c r="AA34" s="44" t="n">
        <f aca="true">IF($D34="","",IF($AI34,SUMPRODUCT(OFFSET(hdr_Cost,$AF34+1,0,$AH34,1),OFFSET(hdr_IsLeaf,$AF34+1,0,$AH34,1)),$Z34*IFERROR(INDEX(res_Rate,MATCH($X34,res_Name,0)),0)))</f>
        <v>1520</v>
      </c>
      <c r="AB34" s="38" t="str">
        <f aca="false">IF(OR($D34="",$AI34),"",IF(OR($R34&lt;Sprint1Start,$R34&gt;SprintLastEnd),"Backlog",INDEX(spr_Name,MATCH($R34,spr_Start,1))))</f>
        <v>Sprint 9</v>
      </c>
      <c r="AC34" s="45" t="str">
        <f aca="false">IF($D34="","",$AT34&amp;IF(AND($AT34&lt;&gt;"",$AU34&lt;&gt;""),",","")&amp;$AU34)</f>
        <v>26</v>
      </c>
      <c r="AD34" s="41"/>
      <c r="AE34" s="46" t="n">
        <f aca="false">IF($D34="","",MAX(1,N($C34)))</f>
        <v>2</v>
      </c>
      <c r="AF34" s="46" t="n">
        <f aca="false">ROW()-ROW(hdr_ID)</f>
        <v>29</v>
      </c>
      <c r="AG34" s="46" t="n">
        <f aca="false">IF(OR($D34="",$AE34&lt;=1),0,IFERROR(LOOKUP(2,1/($AE$5:$AE33=$AE34-1),ROW($AE$5:$AE33)),0))</f>
        <v>32</v>
      </c>
      <c r="AH34" s="46" t="n">
        <f aca="false">IF($D34="",0,COUNTIF(tsk_WBS,$B34&amp;".*"))</f>
        <v>0</v>
      </c>
      <c r="AI34" s="47" t="b">
        <f aca="false">$AH34&gt;0</f>
        <v>0</v>
      </c>
      <c r="AJ34" s="46" t="n">
        <f aca="false">IF(AND($D34&lt;&gt;"",NOT($AI34)),1,0)</f>
        <v>1</v>
      </c>
      <c r="AK34" s="48" t="n">
        <f aca="true">IF(OR(N($G34)=0,$AI34,$D34=""),0,IFERROR(CHOOSE(MATCH(IF($H34="","FS",$H34),{"FS","SS","FF","SF"},0),WORKDAY.INTL(OFFSET(hdr_PlanFinish,MATCH($G34,tsk_ID,0),0),IF(N($F34)=0,0,1)+N($I34),WorkWeek,Holidays),WORKDAY.INTL(OFFSET(hdr_PlanStart,MATCH($G34,tsk_ID,0),0),N($I34),WorkWeek,Holidays),WORKDAY.INTL(WORKDAY.INTL(OFFSET(hdr_PlanFinish,MATCH($G34,tsk_ID,0),0),N($I34),WorkWeek,Holidays),-MAX(0,N($F34)-1),WorkWeek,Holidays),WORKDAY.INTL(WORKDAY.INTL(OFFSET(hdr_PlanStart,MATCH($G34,tsk_ID,0),0),N($I34),WorkWeek,Holidays),-MAX(0,N($F34)-1),WorkWeek,Holidays)),0))</f>
        <v>46392</v>
      </c>
      <c r="AL34" s="48" t="n">
        <f aca="true">IF(OR(N($J34)=0,$AI34,$D34=""),0,IFERROR(CHOOSE(MATCH(IF($K34="","FS",$K34),{"FS","SS","FF","SF"},0),WORKDAY.INTL(OFFSET(hdr_PlanFinish,MATCH($J34,tsk_ID,0),0),IF(N($F34)=0,0,1)+N($L34),WorkWeek,Holidays),WORKDAY.INTL(OFFSET(hdr_PlanStart,MATCH($J34,tsk_ID,0),0),N($L34),WorkWeek,Holidays),WORKDAY.INTL(WORKDAY.INTL(OFFSET(hdr_PlanFinish,MATCH($J34,tsk_ID,0),0),N($L34),WorkWeek,Holidays),-MAX(0,N($F34)-1),WorkWeek,Holidays),WORKDAY.INTL(WORKDAY.INTL(OFFSET(hdr_PlanStart,MATCH($J34,tsk_ID,0),0),N($L34),WorkWeek,Holidays),-MAX(0,N($F34)-1),WorkWeek,Holidays)),0))</f>
        <v>0</v>
      </c>
      <c r="AM34" s="48" t="n">
        <f aca="true">IF(OR(N($G34)=0,$AI34,$D34=""),0,IFERROR(CHOOSE(MATCH(IF($H34="","FS",$H34),{"FS","SS","FF","SF"},0),WORKDAY.INTL(OFFSET(hdr_FcFinish,MATCH($G34,tsk_ID,0),0),IF(N($F34)=0,0,1)+N($I34),WorkWeek,Holidays),WORKDAY.INTL(OFFSET(hdr_FcStart,MATCH($G34,tsk_ID,0),0),N($I34),WorkWeek,Holidays),WORKDAY.INTL(WORKDAY.INTL(OFFSET(hdr_FcFinish,MATCH($G34,tsk_ID,0),0),N($I34),WorkWeek,Holidays),-MAX(0,N($F34)-1),WorkWeek,Holidays),WORKDAY.INTL(WORKDAY.INTL(OFFSET(hdr_FcStart,MATCH($G34,tsk_ID,0),0),N($I34),WorkWeek,Holidays),-MAX(0,N($F34)-1),WorkWeek,Holidays)),0))</f>
        <v>46392</v>
      </c>
      <c r="AN34" s="48" t="n">
        <f aca="true">IF(OR(N($J34)=0,$AI34,$D34=""),0,IFERROR(CHOOSE(MATCH(IF($K34="","FS",$K34),{"FS","SS","FF","SF"},0),WORKDAY.INTL(OFFSET(hdr_FcFinish,MATCH($J34,tsk_ID,0),0),IF(N($F34)=0,0,1)+N($L34),WorkWeek,Holidays),WORKDAY.INTL(OFFSET(hdr_FcStart,MATCH($J34,tsk_ID,0),0),N($L34),WorkWeek,Holidays),WORKDAY.INTL(WORKDAY.INTL(OFFSET(hdr_FcFinish,MATCH($J34,tsk_ID,0),0),N($L34),WorkWeek,Holidays),-MAX(0,N($F34)-1),WorkWeek,Holidays),WORKDAY.INTL(WORKDAY.INTL(OFFSET(hdr_FcStart,MATCH($J34,tsk_ID,0),0),N($L34),WorkWeek,Holidays),-MAX(0,N($F34)-1),WorkWeek,Holidays)),0))</f>
        <v>0</v>
      </c>
      <c r="AO34" s="48" t="n">
        <f aca="false">IF($AJ34=1,$R34,0)</f>
        <v>46392</v>
      </c>
      <c r="AP34" s="48" t="n">
        <f aca="false">IF($AJ34=1,$S34,0)</f>
        <v>46393</v>
      </c>
      <c r="AQ34" s="49" t="n">
        <f aca="false">IF(AND($AJ34=1,N($Z34)&gt;0),$Z34/($AP34-$AO34+1),0)</f>
        <v>8</v>
      </c>
      <c r="AR34" s="46" t="n">
        <f aca="false">IF($AJ34=1,MAX(N($F34),0.1),0)</f>
        <v>2</v>
      </c>
      <c r="AS34" s="46" t="n">
        <f aca="false">IF($AJ34=1,$AR34*$V34,0)</f>
        <v>0</v>
      </c>
      <c r="AT34" s="46" t="str">
        <f aca="false">IF(N($G34)=0,"",$G34&amp;IF(AND(IF($H34="","FS",$H34)="FS",N($I34)=0),"",IF($H34="","FS",$H34)&amp;IF(N($I34)=0,"",IF(N($I34)&gt;0,"+","")&amp;N($I34)&amp;"d")))</f>
        <v>26</v>
      </c>
      <c r="AU34" s="46" t="str">
        <f aca="false">IF(N($J34)=0,"",$J34&amp;IF(AND(IF($K34="","FS",$K34)="FS",N($L34)=0),"",IF($K34="","FS",$K34)&amp;IF(N($L34)=0,"",IF(N($L34)&gt;0,"+","")&amp;N($L34)&amp;"d")))</f>
        <v/>
      </c>
      <c r="AV34" s="46" t="str">
        <f aca="false">IF(AND($AJ34=1,N($F34)=0,$V34&lt;1),$S34+$AF34/100000,"")</f>
        <v/>
      </c>
    </row>
    <row r="35" customFormat="false" ht="15" hidden="false" customHeight="false" outlineLevel="0" collapsed="false">
      <c r="A35" s="38" t="n">
        <f aca="false">IF($D35="","",COUNTA($D$6:$D35))</f>
        <v>30</v>
      </c>
      <c r="B35" s="39" t="str">
        <f aca="true">IF($D35="","",IF($AE35=1,COUNTIF($AE$6:$AE35,1)&amp;"",IF($AG35=0,"?",OFFSET(hdr_WBS,$AG35-ROW(hdr_WBS),0)&amp;"."&amp;COUNTIF(INDEX($AE:$AE,$AG35+1):$AE35,$AE35))))</f>
        <v>5.3</v>
      </c>
      <c r="C35" s="40" t="n">
        <v>2</v>
      </c>
      <c r="D35" s="41" t="s">
        <v>255</v>
      </c>
      <c r="E35" s="40" t="s">
        <v>205</v>
      </c>
      <c r="F35" s="40" t="n">
        <v>0</v>
      </c>
      <c r="G35" s="40" t="n">
        <v>29</v>
      </c>
      <c r="H35" s="40" t="s">
        <v>210</v>
      </c>
      <c r="I35" s="40"/>
      <c r="J35" s="40"/>
      <c r="K35" s="40"/>
      <c r="L35" s="40"/>
      <c r="M35" s="29"/>
      <c r="N35" s="30" t="n">
        <f aca="true">IF($D35="","",IF($AI35,MIN(OFFSET(hdr_PlanStart,$AF35+1,0,$AH35,1)),IF($E35="Manual",IF(N($M35)&gt;0,$M35,ProjectStart),WORKDAY.INTL(MAX(ProjectStart,N($M35),$AK35,$AL35)-1,1,WorkWeek,Holidays))))</f>
        <v>46393</v>
      </c>
      <c r="O35" s="30" t="n">
        <f aca="true">IF($D35="","",IF($AI35,MAX(OFFSET(hdr_PlanFinish,$AF35+1,0,$AH35,1)),IF(N($F35)&lt;=0,$N35,WORKDAY.INTL($N35,$F35-1,WorkWeek,Holidays))))</f>
        <v>46393</v>
      </c>
      <c r="P35" s="29"/>
      <c r="Q35" s="29"/>
      <c r="R35" s="30" t="n">
        <f aca="true">IF($D35="","",IF($AI35,MIN(OFFSET(hdr_FcStart,$AF35+1,0,$AH35,1)),IF(N($P35)&gt;0,$P35,IF($E35="Manual",IF(N($M35)&gt;0,$M35,ProjectStart),WORKDAY.INTL(MAX(ProjectStart,N($M35),$AM35,$AN35,IF(RescheduleAfterStatus="Yes",StatusDate,0))-1,1,WorkWeek,Holidays)))))</f>
        <v>46393</v>
      </c>
      <c r="S35" s="30" t="n">
        <f aca="true">IF($D35="","",IF($AI35,MAX(OFFSET(hdr_FcFinish,$AF35+1,0,$AH35,1)),IF(N($Q35)&gt;0,$Q35,IF(N($F35)&lt;=0,$R35,IF(AND(N($P35)&gt;0,RescheduleAfterStatus="Yes"),MAX(WORKDAY.INTL($R35,$F35-1,WorkWeek,Holidays),WORKDAY.INTL(StatusWorkday,MAX(0,ROUNDUP($F35*(1-MIN(1,N($U35))),0)-1),WorkWeek,Holidays)),WORKDAY.INTL($R35,$F35-1,WorkWeek,Holidays))))))</f>
        <v>46393</v>
      </c>
      <c r="T35" s="38" t="n">
        <f aca="false">IF($D35="","",IF($S35&gt;=$O35,NETWORKDAYS.INTL($O35,$S35,WorkWeek,Holidays)-1,1-NETWORKDAYS.INTL($S35,$O35,WorkWeek,Holidays)))</f>
        <v>0</v>
      </c>
      <c r="U35" s="32"/>
      <c r="V35" s="42" t="n">
        <f aca="true">IF($D35="","",IF($AI35,IFERROR(SUM(OFFSET(hdr_WtDone,$AF35+1,0,$AH35,1))/SUM(OFFSET(hdr_WtDur,$AF35+1,0,$AH35,1)),0),IF(N($Q35)&gt;0,1,MIN(1,N($U35)))))</f>
        <v>0</v>
      </c>
      <c r="W35" s="39" t="str">
        <f aca="false">IF($D35="","",IF($V35&gt;=1,"Complete",IF(OR(N($P35)&gt;0,$V35&gt;0),IF($T35&gt;0,"Behind","In Progress"),IF($N35&lt;StatusDate,"Late Start","Not Started"))))</f>
        <v>Not Started</v>
      </c>
      <c r="X35" s="41"/>
      <c r="Y35" s="32"/>
      <c r="Z35" s="43" t="n">
        <f aca="true">IF($D35="","",IF($AI35,SUMPRODUCT(OFFSET(hdr_Work,$AF35+1,0,$AH35,1),OFFSET(hdr_IsLeaf,$AF35+1,0,$AH35,1)),IF($X35="",0,N($F35)*HoursPerDay*IF($Y35="",DefaultUnits,$Y35))))</f>
        <v>0</v>
      </c>
      <c r="AA35" s="44" t="n">
        <f aca="true">IF($D35="","",IF($AI35,SUMPRODUCT(OFFSET(hdr_Cost,$AF35+1,0,$AH35,1),OFFSET(hdr_IsLeaf,$AF35+1,0,$AH35,1)),$Z35*IFERROR(INDEX(res_Rate,MATCH($X35,res_Name,0)),0)))</f>
        <v>0</v>
      </c>
      <c r="AB35" s="38" t="str">
        <f aca="false">IF(OR($D35="",$AI35),"",IF(OR($R35&lt;Sprint1Start,$R35&gt;SprintLastEnd),"Backlog",INDEX(spr_Name,MATCH($R35,spr_Start,1))))</f>
        <v>Sprint 9</v>
      </c>
      <c r="AC35" s="45" t="str">
        <f aca="false">IF($D35="","",$AT35&amp;IF(AND($AT35&lt;&gt;"",$AU35&lt;&gt;""),",","")&amp;$AU35)</f>
        <v>29</v>
      </c>
      <c r="AD35" s="41" t="s">
        <v>240</v>
      </c>
      <c r="AE35" s="46" t="n">
        <f aca="false">IF($D35="","",MAX(1,N($C35)))</f>
        <v>2</v>
      </c>
      <c r="AF35" s="46" t="n">
        <f aca="false">ROW()-ROW(hdr_ID)</f>
        <v>30</v>
      </c>
      <c r="AG35" s="46" t="n">
        <f aca="false">IF(OR($D35="",$AE35&lt;=1),0,IFERROR(LOOKUP(2,1/($AE$5:$AE34=$AE35-1),ROW($AE$5:$AE34)),0))</f>
        <v>32</v>
      </c>
      <c r="AH35" s="46" t="n">
        <f aca="false">IF($D35="",0,COUNTIF(tsk_WBS,$B35&amp;".*"))</f>
        <v>0</v>
      </c>
      <c r="AI35" s="47" t="b">
        <f aca="false">$AH35&gt;0</f>
        <v>0</v>
      </c>
      <c r="AJ35" s="46" t="n">
        <f aca="false">IF(AND($D35&lt;&gt;"",NOT($AI35)),1,0)</f>
        <v>1</v>
      </c>
      <c r="AK35" s="48" t="n">
        <f aca="true">IF(OR(N($G35)=0,$AI35,$D35=""),0,IFERROR(CHOOSE(MATCH(IF($H35="","FS",$H35),{"FS","SS","FF","SF"},0),WORKDAY.INTL(OFFSET(hdr_PlanFinish,MATCH($G35,tsk_ID,0),0),IF(N($F35)=0,0,1)+N($I35),WorkWeek,Holidays),WORKDAY.INTL(OFFSET(hdr_PlanStart,MATCH($G35,tsk_ID,0),0),N($I35),WorkWeek,Holidays),WORKDAY.INTL(WORKDAY.INTL(OFFSET(hdr_PlanFinish,MATCH($G35,tsk_ID,0),0),N($I35),WorkWeek,Holidays),-MAX(0,N($F35)-1),WorkWeek,Holidays),WORKDAY.INTL(WORKDAY.INTL(OFFSET(hdr_PlanStart,MATCH($G35,tsk_ID,0),0),N($I35),WorkWeek,Holidays),-MAX(0,N($F35)-1),WorkWeek,Holidays)),0))</f>
        <v>46393</v>
      </c>
      <c r="AL35" s="48" t="n">
        <f aca="true">IF(OR(N($J35)=0,$AI35,$D35=""),0,IFERROR(CHOOSE(MATCH(IF($K35="","FS",$K35),{"FS","SS","FF","SF"},0),WORKDAY.INTL(OFFSET(hdr_PlanFinish,MATCH($J35,tsk_ID,0),0),IF(N($F35)=0,0,1)+N($L35),WorkWeek,Holidays),WORKDAY.INTL(OFFSET(hdr_PlanStart,MATCH($J35,tsk_ID,0),0),N($L35),WorkWeek,Holidays),WORKDAY.INTL(WORKDAY.INTL(OFFSET(hdr_PlanFinish,MATCH($J35,tsk_ID,0),0),N($L35),WorkWeek,Holidays),-MAX(0,N($F35)-1),WorkWeek,Holidays),WORKDAY.INTL(WORKDAY.INTL(OFFSET(hdr_PlanStart,MATCH($J35,tsk_ID,0),0),N($L35),WorkWeek,Holidays),-MAX(0,N($F35)-1),WorkWeek,Holidays)),0))</f>
        <v>0</v>
      </c>
      <c r="AM35" s="48" t="n">
        <f aca="true">IF(OR(N($G35)=0,$AI35,$D35=""),0,IFERROR(CHOOSE(MATCH(IF($H35="","FS",$H35),{"FS","SS","FF","SF"},0),WORKDAY.INTL(OFFSET(hdr_FcFinish,MATCH($G35,tsk_ID,0),0),IF(N($F35)=0,0,1)+N($I35),WorkWeek,Holidays),WORKDAY.INTL(OFFSET(hdr_FcStart,MATCH($G35,tsk_ID,0),0),N($I35),WorkWeek,Holidays),WORKDAY.INTL(WORKDAY.INTL(OFFSET(hdr_FcFinish,MATCH($G35,tsk_ID,0),0),N($I35),WorkWeek,Holidays),-MAX(0,N($F35)-1),WorkWeek,Holidays),WORKDAY.INTL(WORKDAY.INTL(OFFSET(hdr_FcStart,MATCH($G35,tsk_ID,0),0),N($I35),WorkWeek,Holidays),-MAX(0,N($F35)-1),WorkWeek,Holidays)),0))</f>
        <v>46393</v>
      </c>
      <c r="AN35" s="48" t="n">
        <f aca="true">IF(OR(N($J35)=0,$AI35,$D35=""),0,IFERROR(CHOOSE(MATCH(IF($K35="","FS",$K35),{"FS","SS","FF","SF"},0),WORKDAY.INTL(OFFSET(hdr_FcFinish,MATCH($J35,tsk_ID,0),0),IF(N($F35)=0,0,1)+N($L35),WorkWeek,Holidays),WORKDAY.INTL(OFFSET(hdr_FcStart,MATCH($J35,tsk_ID,0),0),N($L35),WorkWeek,Holidays),WORKDAY.INTL(WORKDAY.INTL(OFFSET(hdr_FcFinish,MATCH($J35,tsk_ID,0),0),N($L35),WorkWeek,Holidays),-MAX(0,N($F35)-1),WorkWeek,Holidays),WORKDAY.INTL(WORKDAY.INTL(OFFSET(hdr_FcStart,MATCH($J35,tsk_ID,0),0),N($L35),WorkWeek,Holidays),-MAX(0,N($F35)-1),WorkWeek,Holidays)),0))</f>
        <v>0</v>
      </c>
      <c r="AO35" s="48" t="n">
        <f aca="false">IF($AJ35=1,$R35,0)</f>
        <v>46393</v>
      </c>
      <c r="AP35" s="48" t="n">
        <f aca="false">IF($AJ35=1,$S35,0)</f>
        <v>46393</v>
      </c>
      <c r="AQ35" s="49" t="n">
        <f aca="false">IF(AND($AJ35=1,N($Z35)&gt;0),$Z35/($AP35-$AO35+1),0)</f>
        <v>0</v>
      </c>
      <c r="AR35" s="46" t="n">
        <f aca="false">IF($AJ35=1,MAX(N($F35),0.1),0)</f>
        <v>0.1</v>
      </c>
      <c r="AS35" s="46" t="n">
        <f aca="false">IF($AJ35=1,$AR35*$V35,0)</f>
        <v>0</v>
      </c>
      <c r="AT35" s="46" t="str">
        <f aca="false">IF(N($G35)=0,"",$G35&amp;IF(AND(IF($H35="","FS",$H35)="FS",N($I35)=0),"",IF($H35="","FS",$H35)&amp;IF(N($I35)=0,"",IF(N($I35)&gt;0,"+","")&amp;N($I35)&amp;"d")))</f>
        <v>29</v>
      </c>
      <c r="AU35" s="46" t="str">
        <f aca="false">IF(N($J35)=0,"",$J35&amp;IF(AND(IF($K35="","FS",$K35)="FS",N($L35)=0),"",IF($K35="","FS",$K35)&amp;IF(N($L35)=0,"",IF(N($L35)&gt;0,"+","")&amp;N($L35)&amp;"d")))</f>
        <v/>
      </c>
      <c r="AV35" s="50" t="n">
        <f aca="false">IF(AND($AJ35=1,N($F35)=0,$V35&lt;1),$S35+$AF35/100000,"")</f>
        <v>46393.0003</v>
      </c>
    </row>
    <row r="36" customFormat="false" ht="15" hidden="false" customHeight="false" outlineLevel="0" collapsed="false">
      <c r="A36" s="38" t="str">
        <f aca="false">IF($D36="","",COUNTA($D$6:$D36))</f>
        <v/>
      </c>
      <c r="B36" s="39" t="str">
        <f aca="true">IF($D36="","",IF($AE36=1,COUNTIF($AE$6:$AE36,1)&amp;"",IF($AG36=0,"?",OFFSET(hdr_WBS,$AG36-ROW(hdr_WBS),0)&amp;"."&amp;COUNTIF(INDEX($AE:$AE,$AG36+1):$AE36,$AE36))))</f>
        <v/>
      </c>
      <c r="C36" s="40"/>
      <c r="D36" s="41"/>
      <c r="E36" s="40"/>
      <c r="F36" s="40"/>
      <c r="G36" s="40"/>
      <c r="H36" s="40"/>
      <c r="I36" s="40"/>
      <c r="J36" s="40"/>
      <c r="K36" s="40"/>
      <c r="L36" s="40"/>
      <c r="M36" s="29"/>
      <c r="N36" s="30" t="str">
        <f aca="true">IF($D36="","",IF($AI36,MIN(OFFSET(hdr_PlanStart,$AF36+1,0,$AH36,1)),IF($E36="Manual",IF(N($M36)&gt;0,$M36,ProjectStart),WORKDAY.INTL(MAX(ProjectStart,N($M36),$AK36,$AL36)-1,1,WorkWeek,Holidays))))</f>
        <v/>
      </c>
      <c r="O36" s="30" t="str">
        <f aca="true">IF($D36="","",IF($AI36,MAX(OFFSET(hdr_PlanFinish,$AF36+1,0,$AH36,1)),IF(N($F36)&lt;=0,$N36,WORKDAY.INTL($N36,$F36-1,WorkWeek,Holidays))))</f>
        <v/>
      </c>
      <c r="P36" s="29"/>
      <c r="Q36" s="29"/>
      <c r="R36" s="30" t="str">
        <f aca="true">IF($D36="","",IF($AI36,MIN(OFFSET(hdr_FcStart,$AF36+1,0,$AH36,1)),IF(N($P36)&gt;0,$P36,IF($E36="Manual",IF(N($M36)&gt;0,$M36,ProjectStart),WORKDAY.INTL(MAX(ProjectStart,N($M36),$AM36,$AN36,IF(RescheduleAfterStatus="Yes",StatusDate,0))-1,1,WorkWeek,Holidays)))))</f>
        <v/>
      </c>
      <c r="S36" s="30" t="str">
        <f aca="true">IF($D36="","",IF($AI36,MAX(OFFSET(hdr_FcFinish,$AF36+1,0,$AH36,1)),IF(N($Q36)&gt;0,$Q36,IF(N($F36)&lt;=0,$R36,IF(AND(N($P36)&gt;0,RescheduleAfterStatus="Yes"),MAX(WORKDAY.INTL($R36,$F36-1,WorkWeek,Holidays),WORKDAY.INTL(StatusWorkday,MAX(0,ROUNDUP($F36*(1-MIN(1,N($U36))),0)-1),WorkWeek,Holidays)),WORKDAY.INTL($R36,$F36-1,WorkWeek,Holidays))))))</f>
        <v/>
      </c>
      <c r="T36" s="38" t="str">
        <f aca="false">IF($D36="","",IF($S36&gt;=$O36,NETWORKDAYS.INTL($O36,$S36,WorkWeek,Holidays)-1,1-NETWORKDAYS.INTL($S36,$O36,WorkWeek,Holidays)))</f>
        <v/>
      </c>
      <c r="U36" s="32"/>
      <c r="V36" s="42" t="str">
        <f aca="true">IF($D36="","",IF($AI36,IFERROR(SUM(OFFSET(hdr_WtDone,$AF36+1,0,$AH36,1))/SUM(OFFSET(hdr_WtDur,$AF36+1,0,$AH36,1)),0),IF(N($Q36)&gt;0,1,MIN(1,N($U36)))))</f>
        <v/>
      </c>
      <c r="W36" s="39" t="str">
        <f aca="false">IF($D36="","",IF($V36&gt;=1,"Complete",IF(OR(N($P36)&gt;0,$V36&gt;0),IF($T36&gt;0,"Behind","In Progress"),IF($N36&lt;StatusDate,"Late Start","Not Started"))))</f>
        <v/>
      </c>
      <c r="X36" s="41"/>
      <c r="Y36" s="32"/>
      <c r="Z36" s="43" t="str">
        <f aca="true">IF($D36="","",IF($AI36,SUMPRODUCT(OFFSET(hdr_Work,$AF36+1,0,$AH36,1),OFFSET(hdr_IsLeaf,$AF36+1,0,$AH36,1)),IF($X36="",0,N($F36)*HoursPerDay*IF($Y36="",DefaultUnits,$Y36))))</f>
        <v/>
      </c>
      <c r="AA36" s="44" t="str">
        <f aca="true">IF($D36="","",IF($AI36,SUMPRODUCT(OFFSET(hdr_Cost,$AF36+1,0,$AH36,1),OFFSET(hdr_IsLeaf,$AF36+1,0,$AH36,1)),$Z36*IFERROR(INDEX(res_Rate,MATCH($X36,res_Name,0)),0)))</f>
        <v/>
      </c>
      <c r="AB36" s="38" t="str">
        <f aca="false">IF(OR($D36="",$AI36),"",IF(OR($R36&lt;Sprint1Start,$R36&gt;SprintLastEnd),"Backlog",INDEX(spr_Name,MATCH($R36,spr_Start,1))))</f>
        <v/>
      </c>
      <c r="AC36" s="45" t="str">
        <f aca="false">IF($D36="","",$AT36&amp;IF(AND($AT36&lt;&gt;"",$AU36&lt;&gt;""),",","")&amp;$AU36)</f>
        <v/>
      </c>
      <c r="AD36" s="41"/>
      <c r="AE36" s="46" t="str">
        <f aca="false">IF($D36="","",MAX(1,N($C36)))</f>
        <v/>
      </c>
      <c r="AF36" s="46" t="n">
        <f aca="false">ROW()-ROW(hdr_ID)</f>
        <v>31</v>
      </c>
      <c r="AG36" s="46" t="n">
        <f aca="false">IF(OR($D36="",$AE36&lt;=1),0,IFERROR(LOOKUP(2,1/($AE$5:$AE35=$AE36-1),ROW($AE$5:$AE35)),0))</f>
        <v>0</v>
      </c>
      <c r="AH36" s="46" t="n">
        <f aca="false">IF($D36="",0,COUNTIF(tsk_WBS,$B36&amp;".*"))</f>
        <v>0</v>
      </c>
      <c r="AI36" s="47" t="b">
        <f aca="false">$AH36&gt;0</f>
        <v>0</v>
      </c>
      <c r="AJ36" s="46" t="n">
        <f aca="false">IF(AND($D36&lt;&gt;"",NOT($AI36)),1,0)</f>
        <v>0</v>
      </c>
      <c r="AK36" s="48" t="n">
        <f aca="true">IF(OR(N($G36)=0,$AI36,$D36=""),0,IFERROR(CHOOSE(MATCH(IF($H36="","FS",$H36),{"FS","SS","FF","SF"},0),WORKDAY.INTL(OFFSET(hdr_PlanFinish,MATCH($G36,tsk_ID,0),0),IF(N($F36)=0,0,1)+N($I36),WorkWeek,Holidays),WORKDAY.INTL(OFFSET(hdr_PlanStart,MATCH($G36,tsk_ID,0),0),N($I36),WorkWeek,Holidays),WORKDAY.INTL(WORKDAY.INTL(OFFSET(hdr_PlanFinish,MATCH($G36,tsk_ID,0),0),N($I36),WorkWeek,Holidays),-MAX(0,N($F36)-1),WorkWeek,Holidays),WORKDAY.INTL(WORKDAY.INTL(OFFSET(hdr_PlanStart,MATCH($G36,tsk_ID,0),0),N($I36),WorkWeek,Holidays),-MAX(0,N($F36)-1),WorkWeek,Holidays)),0))</f>
        <v>0</v>
      </c>
      <c r="AL36" s="48" t="n">
        <f aca="true">IF(OR(N($J36)=0,$AI36,$D36=""),0,IFERROR(CHOOSE(MATCH(IF($K36="","FS",$K36),{"FS","SS","FF","SF"},0),WORKDAY.INTL(OFFSET(hdr_PlanFinish,MATCH($J36,tsk_ID,0),0),IF(N($F36)=0,0,1)+N($L36),WorkWeek,Holidays),WORKDAY.INTL(OFFSET(hdr_PlanStart,MATCH($J36,tsk_ID,0),0),N($L36),WorkWeek,Holidays),WORKDAY.INTL(WORKDAY.INTL(OFFSET(hdr_PlanFinish,MATCH($J36,tsk_ID,0),0),N($L36),WorkWeek,Holidays),-MAX(0,N($F36)-1),WorkWeek,Holidays),WORKDAY.INTL(WORKDAY.INTL(OFFSET(hdr_PlanStart,MATCH($J36,tsk_ID,0),0),N($L36),WorkWeek,Holidays),-MAX(0,N($F36)-1),WorkWeek,Holidays)),0))</f>
        <v>0</v>
      </c>
      <c r="AM36" s="48" t="n">
        <f aca="true">IF(OR(N($G36)=0,$AI36,$D36=""),0,IFERROR(CHOOSE(MATCH(IF($H36="","FS",$H36),{"FS","SS","FF","SF"},0),WORKDAY.INTL(OFFSET(hdr_FcFinish,MATCH($G36,tsk_ID,0),0),IF(N($F36)=0,0,1)+N($I36),WorkWeek,Holidays),WORKDAY.INTL(OFFSET(hdr_FcStart,MATCH($G36,tsk_ID,0),0),N($I36),WorkWeek,Holidays),WORKDAY.INTL(WORKDAY.INTL(OFFSET(hdr_FcFinish,MATCH($G36,tsk_ID,0),0),N($I36),WorkWeek,Holidays),-MAX(0,N($F36)-1),WorkWeek,Holidays),WORKDAY.INTL(WORKDAY.INTL(OFFSET(hdr_FcStart,MATCH($G36,tsk_ID,0),0),N($I36),WorkWeek,Holidays),-MAX(0,N($F36)-1),WorkWeek,Holidays)),0))</f>
        <v>0</v>
      </c>
      <c r="AN36" s="48" t="n">
        <f aca="true">IF(OR(N($J36)=0,$AI36,$D36=""),0,IFERROR(CHOOSE(MATCH(IF($K36="","FS",$K36),{"FS","SS","FF","SF"},0),WORKDAY.INTL(OFFSET(hdr_FcFinish,MATCH($J36,tsk_ID,0),0),IF(N($F36)=0,0,1)+N($L36),WorkWeek,Holidays),WORKDAY.INTL(OFFSET(hdr_FcStart,MATCH($J36,tsk_ID,0),0),N($L36),WorkWeek,Holidays),WORKDAY.INTL(WORKDAY.INTL(OFFSET(hdr_FcFinish,MATCH($J36,tsk_ID,0),0),N($L36),WorkWeek,Holidays),-MAX(0,N($F36)-1),WorkWeek,Holidays),WORKDAY.INTL(WORKDAY.INTL(OFFSET(hdr_FcStart,MATCH($J36,tsk_ID,0),0),N($L36),WorkWeek,Holidays),-MAX(0,N($F36)-1),WorkWeek,Holidays)),0))</f>
        <v>0</v>
      </c>
      <c r="AO36" s="48" t="n">
        <f aca="false">IF($AJ36=1,$R36,0)</f>
        <v>0</v>
      </c>
      <c r="AP36" s="48" t="n">
        <f aca="false">IF($AJ36=1,$S36,0)</f>
        <v>0</v>
      </c>
      <c r="AQ36" s="49" t="n">
        <f aca="false">IF(AND($AJ36=1,N($Z36)&gt;0),$Z36/($AP36-$AO36+1),0)</f>
        <v>0</v>
      </c>
      <c r="AR36" s="46" t="n">
        <f aca="false">IF($AJ36=1,MAX(N($F36),0.1),0)</f>
        <v>0</v>
      </c>
      <c r="AS36" s="46" t="n">
        <f aca="false">IF($AJ36=1,$AR36*$V36,0)</f>
        <v>0</v>
      </c>
      <c r="AT36" s="46" t="str">
        <f aca="false">IF(N($G36)=0,"",$G36&amp;IF(AND(IF($H36="","FS",$H36)="FS",N($I36)=0),"",IF($H36="","FS",$H36)&amp;IF(N($I36)=0,"",IF(N($I36)&gt;0,"+","")&amp;N($I36)&amp;"d")))</f>
        <v/>
      </c>
      <c r="AU36" s="46" t="str">
        <f aca="false">IF(N($J36)=0,"",$J36&amp;IF(AND(IF($K36="","FS",$K36)="FS",N($L36)=0),"",IF($K36="","FS",$K36)&amp;IF(N($L36)=0,"",IF(N($L36)&gt;0,"+","")&amp;N($L36)&amp;"d")))</f>
        <v/>
      </c>
      <c r="AV36" s="46" t="str">
        <f aca="false">IF(AND($AJ36=1,N($F36)=0,$V36&lt;1),$S36+$AF36/100000,"")</f>
        <v/>
      </c>
    </row>
    <row r="37" customFormat="false" ht="15" hidden="false" customHeight="false" outlineLevel="0" collapsed="false">
      <c r="A37" s="38" t="str">
        <f aca="false">IF($D37="","",COUNTA($D$6:$D37))</f>
        <v/>
      </c>
      <c r="B37" s="39" t="str">
        <f aca="true">IF($D37="","",IF($AE37=1,COUNTIF($AE$6:$AE37,1)&amp;"",IF($AG37=0,"?",OFFSET(hdr_WBS,$AG37-ROW(hdr_WBS),0)&amp;"."&amp;COUNTIF(INDEX($AE:$AE,$AG37+1):$AE37,$AE37))))</f>
        <v/>
      </c>
      <c r="C37" s="40"/>
      <c r="D37" s="41"/>
      <c r="E37" s="40"/>
      <c r="F37" s="40"/>
      <c r="G37" s="40"/>
      <c r="H37" s="40"/>
      <c r="I37" s="40"/>
      <c r="J37" s="40"/>
      <c r="K37" s="40"/>
      <c r="L37" s="40"/>
      <c r="M37" s="29"/>
      <c r="N37" s="30" t="str">
        <f aca="true">IF($D37="","",IF($AI37,MIN(OFFSET(hdr_PlanStart,$AF37+1,0,$AH37,1)),IF($E37="Manual",IF(N($M37)&gt;0,$M37,ProjectStart),WORKDAY.INTL(MAX(ProjectStart,N($M37),$AK37,$AL37)-1,1,WorkWeek,Holidays))))</f>
        <v/>
      </c>
      <c r="O37" s="30" t="str">
        <f aca="true">IF($D37="","",IF($AI37,MAX(OFFSET(hdr_PlanFinish,$AF37+1,0,$AH37,1)),IF(N($F37)&lt;=0,$N37,WORKDAY.INTL($N37,$F37-1,WorkWeek,Holidays))))</f>
        <v/>
      </c>
      <c r="P37" s="29"/>
      <c r="Q37" s="29"/>
      <c r="R37" s="30" t="str">
        <f aca="true">IF($D37="","",IF($AI37,MIN(OFFSET(hdr_FcStart,$AF37+1,0,$AH37,1)),IF(N($P37)&gt;0,$P37,IF($E37="Manual",IF(N($M37)&gt;0,$M37,ProjectStart),WORKDAY.INTL(MAX(ProjectStart,N($M37),$AM37,$AN37,IF(RescheduleAfterStatus="Yes",StatusDate,0))-1,1,WorkWeek,Holidays)))))</f>
        <v/>
      </c>
      <c r="S37" s="30" t="str">
        <f aca="true">IF($D37="","",IF($AI37,MAX(OFFSET(hdr_FcFinish,$AF37+1,0,$AH37,1)),IF(N($Q37)&gt;0,$Q37,IF(N($F37)&lt;=0,$R37,IF(AND(N($P37)&gt;0,RescheduleAfterStatus="Yes"),MAX(WORKDAY.INTL($R37,$F37-1,WorkWeek,Holidays),WORKDAY.INTL(StatusWorkday,MAX(0,ROUNDUP($F37*(1-MIN(1,N($U37))),0)-1),WorkWeek,Holidays)),WORKDAY.INTL($R37,$F37-1,WorkWeek,Holidays))))))</f>
        <v/>
      </c>
      <c r="T37" s="38" t="str">
        <f aca="false">IF($D37="","",IF($S37&gt;=$O37,NETWORKDAYS.INTL($O37,$S37,WorkWeek,Holidays)-1,1-NETWORKDAYS.INTL($S37,$O37,WorkWeek,Holidays)))</f>
        <v/>
      </c>
      <c r="U37" s="32"/>
      <c r="V37" s="42" t="str">
        <f aca="true">IF($D37="","",IF($AI37,IFERROR(SUM(OFFSET(hdr_WtDone,$AF37+1,0,$AH37,1))/SUM(OFFSET(hdr_WtDur,$AF37+1,0,$AH37,1)),0),IF(N($Q37)&gt;0,1,MIN(1,N($U37)))))</f>
        <v/>
      </c>
      <c r="W37" s="39" t="str">
        <f aca="false">IF($D37="","",IF($V37&gt;=1,"Complete",IF(OR(N($P37)&gt;0,$V37&gt;0),IF($T37&gt;0,"Behind","In Progress"),IF($N37&lt;StatusDate,"Late Start","Not Started"))))</f>
        <v/>
      </c>
      <c r="X37" s="41"/>
      <c r="Y37" s="32"/>
      <c r="Z37" s="43" t="str">
        <f aca="true">IF($D37="","",IF($AI37,SUMPRODUCT(OFFSET(hdr_Work,$AF37+1,0,$AH37,1),OFFSET(hdr_IsLeaf,$AF37+1,0,$AH37,1)),IF($X37="",0,N($F37)*HoursPerDay*IF($Y37="",DefaultUnits,$Y37))))</f>
        <v/>
      </c>
      <c r="AA37" s="44" t="str">
        <f aca="true">IF($D37="","",IF($AI37,SUMPRODUCT(OFFSET(hdr_Cost,$AF37+1,0,$AH37,1),OFFSET(hdr_IsLeaf,$AF37+1,0,$AH37,1)),$Z37*IFERROR(INDEX(res_Rate,MATCH($X37,res_Name,0)),0)))</f>
        <v/>
      </c>
      <c r="AB37" s="38" t="str">
        <f aca="false">IF(OR($D37="",$AI37),"",IF(OR($R37&lt;Sprint1Start,$R37&gt;SprintLastEnd),"Backlog",INDEX(spr_Name,MATCH($R37,spr_Start,1))))</f>
        <v/>
      </c>
      <c r="AC37" s="45" t="str">
        <f aca="false">IF($D37="","",$AT37&amp;IF(AND($AT37&lt;&gt;"",$AU37&lt;&gt;""),",","")&amp;$AU37)</f>
        <v/>
      </c>
      <c r="AD37" s="41"/>
      <c r="AE37" s="46" t="str">
        <f aca="false">IF($D37="","",MAX(1,N($C37)))</f>
        <v/>
      </c>
      <c r="AF37" s="46" t="n">
        <f aca="false">ROW()-ROW(hdr_ID)</f>
        <v>32</v>
      </c>
      <c r="AG37" s="46" t="n">
        <f aca="false">IF(OR($D37="",$AE37&lt;=1),0,IFERROR(LOOKUP(2,1/($AE$5:$AE36=$AE37-1),ROW($AE$5:$AE36)),0))</f>
        <v>0</v>
      </c>
      <c r="AH37" s="46" t="n">
        <f aca="false">IF($D37="",0,COUNTIF(tsk_WBS,$B37&amp;".*"))</f>
        <v>0</v>
      </c>
      <c r="AI37" s="47" t="b">
        <f aca="false">$AH37&gt;0</f>
        <v>0</v>
      </c>
      <c r="AJ37" s="46" t="n">
        <f aca="false">IF(AND($D37&lt;&gt;"",NOT($AI37)),1,0)</f>
        <v>0</v>
      </c>
      <c r="AK37" s="48" t="n">
        <f aca="true">IF(OR(N($G37)=0,$AI37,$D37=""),0,IFERROR(CHOOSE(MATCH(IF($H37="","FS",$H37),{"FS","SS","FF","SF"},0),WORKDAY.INTL(OFFSET(hdr_PlanFinish,MATCH($G37,tsk_ID,0),0),IF(N($F37)=0,0,1)+N($I37),WorkWeek,Holidays),WORKDAY.INTL(OFFSET(hdr_PlanStart,MATCH($G37,tsk_ID,0),0),N($I37),WorkWeek,Holidays),WORKDAY.INTL(WORKDAY.INTL(OFFSET(hdr_PlanFinish,MATCH($G37,tsk_ID,0),0),N($I37),WorkWeek,Holidays),-MAX(0,N($F37)-1),WorkWeek,Holidays),WORKDAY.INTL(WORKDAY.INTL(OFFSET(hdr_PlanStart,MATCH($G37,tsk_ID,0),0),N($I37),WorkWeek,Holidays),-MAX(0,N($F37)-1),WorkWeek,Holidays)),0))</f>
        <v>0</v>
      </c>
      <c r="AL37" s="48" t="n">
        <f aca="true">IF(OR(N($J37)=0,$AI37,$D37=""),0,IFERROR(CHOOSE(MATCH(IF($K37="","FS",$K37),{"FS","SS","FF","SF"},0),WORKDAY.INTL(OFFSET(hdr_PlanFinish,MATCH($J37,tsk_ID,0),0),IF(N($F37)=0,0,1)+N($L37),WorkWeek,Holidays),WORKDAY.INTL(OFFSET(hdr_PlanStart,MATCH($J37,tsk_ID,0),0),N($L37),WorkWeek,Holidays),WORKDAY.INTL(WORKDAY.INTL(OFFSET(hdr_PlanFinish,MATCH($J37,tsk_ID,0),0),N($L37),WorkWeek,Holidays),-MAX(0,N($F37)-1),WorkWeek,Holidays),WORKDAY.INTL(WORKDAY.INTL(OFFSET(hdr_PlanStart,MATCH($J37,tsk_ID,0),0),N($L37),WorkWeek,Holidays),-MAX(0,N($F37)-1),WorkWeek,Holidays)),0))</f>
        <v>0</v>
      </c>
      <c r="AM37" s="48" t="n">
        <f aca="true">IF(OR(N($G37)=0,$AI37,$D37=""),0,IFERROR(CHOOSE(MATCH(IF($H37="","FS",$H37),{"FS","SS","FF","SF"},0),WORKDAY.INTL(OFFSET(hdr_FcFinish,MATCH($G37,tsk_ID,0),0),IF(N($F37)=0,0,1)+N($I37),WorkWeek,Holidays),WORKDAY.INTL(OFFSET(hdr_FcStart,MATCH($G37,tsk_ID,0),0),N($I37),WorkWeek,Holidays),WORKDAY.INTL(WORKDAY.INTL(OFFSET(hdr_FcFinish,MATCH($G37,tsk_ID,0),0),N($I37),WorkWeek,Holidays),-MAX(0,N($F37)-1),WorkWeek,Holidays),WORKDAY.INTL(WORKDAY.INTL(OFFSET(hdr_FcStart,MATCH($G37,tsk_ID,0),0),N($I37),WorkWeek,Holidays),-MAX(0,N($F37)-1),WorkWeek,Holidays)),0))</f>
        <v>0</v>
      </c>
      <c r="AN37" s="48" t="n">
        <f aca="true">IF(OR(N($J37)=0,$AI37,$D37=""),0,IFERROR(CHOOSE(MATCH(IF($K37="","FS",$K37),{"FS","SS","FF","SF"},0),WORKDAY.INTL(OFFSET(hdr_FcFinish,MATCH($J37,tsk_ID,0),0),IF(N($F37)=0,0,1)+N($L37),WorkWeek,Holidays),WORKDAY.INTL(OFFSET(hdr_FcStart,MATCH($J37,tsk_ID,0),0),N($L37),WorkWeek,Holidays),WORKDAY.INTL(WORKDAY.INTL(OFFSET(hdr_FcFinish,MATCH($J37,tsk_ID,0),0),N($L37),WorkWeek,Holidays),-MAX(0,N($F37)-1),WorkWeek,Holidays),WORKDAY.INTL(WORKDAY.INTL(OFFSET(hdr_FcStart,MATCH($J37,tsk_ID,0),0),N($L37),WorkWeek,Holidays),-MAX(0,N($F37)-1),WorkWeek,Holidays)),0))</f>
        <v>0</v>
      </c>
      <c r="AO37" s="48" t="n">
        <f aca="false">IF($AJ37=1,$R37,0)</f>
        <v>0</v>
      </c>
      <c r="AP37" s="48" t="n">
        <f aca="false">IF($AJ37=1,$S37,0)</f>
        <v>0</v>
      </c>
      <c r="AQ37" s="49" t="n">
        <f aca="false">IF(AND($AJ37=1,N($Z37)&gt;0),$Z37/($AP37-$AO37+1),0)</f>
        <v>0</v>
      </c>
      <c r="AR37" s="46" t="n">
        <f aca="false">IF($AJ37=1,MAX(N($F37),0.1),0)</f>
        <v>0</v>
      </c>
      <c r="AS37" s="46" t="n">
        <f aca="false">IF($AJ37=1,$AR37*$V37,0)</f>
        <v>0</v>
      </c>
      <c r="AT37" s="46" t="str">
        <f aca="false">IF(N($G37)=0,"",$G37&amp;IF(AND(IF($H37="","FS",$H37)="FS",N($I37)=0),"",IF($H37="","FS",$H37)&amp;IF(N($I37)=0,"",IF(N($I37)&gt;0,"+","")&amp;N($I37)&amp;"d")))</f>
        <v/>
      </c>
      <c r="AU37" s="46" t="str">
        <f aca="false">IF(N($J37)=0,"",$J37&amp;IF(AND(IF($K37="","FS",$K37)="FS",N($L37)=0),"",IF($K37="","FS",$K37)&amp;IF(N($L37)=0,"",IF(N($L37)&gt;0,"+","")&amp;N($L37)&amp;"d")))</f>
        <v/>
      </c>
      <c r="AV37" s="46" t="str">
        <f aca="false">IF(AND($AJ37=1,N($F37)=0,$V37&lt;1),$S37+$AF37/100000,"")</f>
        <v/>
      </c>
    </row>
    <row r="38" customFormat="false" ht="15" hidden="false" customHeight="false" outlineLevel="0" collapsed="false">
      <c r="A38" s="38" t="str">
        <f aca="false">IF($D38="","",COUNTA($D$6:$D38))</f>
        <v/>
      </c>
      <c r="B38" s="39" t="str">
        <f aca="true">IF($D38="","",IF($AE38=1,COUNTIF($AE$6:$AE38,1)&amp;"",IF($AG38=0,"?",OFFSET(hdr_WBS,$AG38-ROW(hdr_WBS),0)&amp;"."&amp;COUNTIF(INDEX($AE:$AE,$AG38+1):$AE38,$AE38))))</f>
        <v/>
      </c>
      <c r="C38" s="40"/>
      <c r="D38" s="41"/>
      <c r="E38" s="40"/>
      <c r="F38" s="40"/>
      <c r="G38" s="40"/>
      <c r="H38" s="40"/>
      <c r="I38" s="40"/>
      <c r="J38" s="40"/>
      <c r="K38" s="40"/>
      <c r="L38" s="40"/>
      <c r="M38" s="29"/>
      <c r="N38" s="30" t="str">
        <f aca="true">IF($D38="","",IF($AI38,MIN(OFFSET(hdr_PlanStart,$AF38+1,0,$AH38,1)),IF($E38="Manual",IF(N($M38)&gt;0,$M38,ProjectStart),WORKDAY.INTL(MAX(ProjectStart,N($M38),$AK38,$AL38)-1,1,WorkWeek,Holidays))))</f>
        <v/>
      </c>
      <c r="O38" s="30" t="str">
        <f aca="true">IF($D38="","",IF($AI38,MAX(OFFSET(hdr_PlanFinish,$AF38+1,0,$AH38,1)),IF(N($F38)&lt;=0,$N38,WORKDAY.INTL($N38,$F38-1,WorkWeek,Holidays))))</f>
        <v/>
      </c>
      <c r="P38" s="29"/>
      <c r="Q38" s="29"/>
      <c r="R38" s="30" t="str">
        <f aca="true">IF($D38="","",IF($AI38,MIN(OFFSET(hdr_FcStart,$AF38+1,0,$AH38,1)),IF(N($P38)&gt;0,$P38,IF($E38="Manual",IF(N($M38)&gt;0,$M38,ProjectStart),WORKDAY.INTL(MAX(ProjectStart,N($M38),$AM38,$AN38,IF(RescheduleAfterStatus="Yes",StatusDate,0))-1,1,WorkWeek,Holidays)))))</f>
        <v/>
      </c>
      <c r="S38" s="30" t="str">
        <f aca="true">IF($D38="","",IF($AI38,MAX(OFFSET(hdr_FcFinish,$AF38+1,0,$AH38,1)),IF(N($Q38)&gt;0,$Q38,IF(N($F38)&lt;=0,$R38,IF(AND(N($P38)&gt;0,RescheduleAfterStatus="Yes"),MAX(WORKDAY.INTL($R38,$F38-1,WorkWeek,Holidays),WORKDAY.INTL(StatusWorkday,MAX(0,ROUNDUP($F38*(1-MIN(1,N($U38))),0)-1),WorkWeek,Holidays)),WORKDAY.INTL($R38,$F38-1,WorkWeek,Holidays))))))</f>
        <v/>
      </c>
      <c r="T38" s="38" t="str">
        <f aca="false">IF($D38="","",IF($S38&gt;=$O38,NETWORKDAYS.INTL($O38,$S38,WorkWeek,Holidays)-1,1-NETWORKDAYS.INTL($S38,$O38,WorkWeek,Holidays)))</f>
        <v/>
      </c>
      <c r="U38" s="32"/>
      <c r="V38" s="42" t="str">
        <f aca="true">IF($D38="","",IF($AI38,IFERROR(SUM(OFFSET(hdr_WtDone,$AF38+1,0,$AH38,1))/SUM(OFFSET(hdr_WtDur,$AF38+1,0,$AH38,1)),0),IF(N($Q38)&gt;0,1,MIN(1,N($U38)))))</f>
        <v/>
      </c>
      <c r="W38" s="39" t="str">
        <f aca="false">IF($D38="","",IF($V38&gt;=1,"Complete",IF(OR(N($P38)&gt;0,$V38&gt;0),IF($T38&gt;0,"Behind","In Progress"),IF($N38&lt;StatusDate,"Late Start","Not Started"))))</f>
        <v/>
      </c>
      <c r="X38" s="41"/>
      <c r="Y38" s="32"/>
      <c r="Z38" s="43" t="str">
        <f aca="true">IF($D38="","",IF($AI38,SUMPRODUCT(OFFSET(hdr_Work,$AF38+1,0,$AH38,1),OFFSET(hdr_IsLeaf,$AF38+1,0,$AH38,1)),IF($X38="",0,N($F38)*HoursPerDay*IF($Y38="",DefaultUnits,$Y38))))</f>
        <v/>
      </c>
      <c r="AA38" s="44" t="str">
        <f aca="true">IF($D38="","",IF($AI38,SUMPRODUCT(OFFSET(hdr_Cost,$AF38+1,0,$AH38,1),OFFSET(hdr_IsLeaf,$AF38+1,0,$AH38,1)),$Z38*IFERROR(INDEX(res_Rate,MATCH($X38,res_Name,0)),0)))</f>
        <v/>
      </c>
      <c r="AB38" s="38" t="str">
        <f aca="false">IF(OR($D38="",$AI38),"",IF(OR($R38&lt;Sprint1Start,$R38&gt;SprintLastEnd),"Backlog",INDEX(spr_Name,MATCH($R38,spr_Start,1))))</f>
        <v/>
      </c>
      <c r="AC38" s="45" t="str">
        <f aca="false">IF($D38="","",$AT38&amp;IF(AND($AT38&lt;&gt;"",$AU38&lt;&gt;""),",","")&amp;$AU38)</f>
        <v/>
      </c>
      <c r="AD38" s="41"/>
      <c r="AE38" s="46" t="str">
        <f aca="false">IF($D38="","",MAX(1,N($C38)))</f>
        <v/>
      </c>
      <c r="AF38" s="46" t="n">
        <f aca="false">ROW()-ROW(hdr_ID)</f>
        <v>33</v>
      </c>
      <c r="AG38" s="46" t="n">
        <f aca="false">IF(OR($D38="",$AE38&lt;=1),0,IFERROR(LOOKUP(2,1/($AE$5:$AE37=$AE38-1),ROW($AE$5:$AE37)),0))</f>
        <v>0</v>
      </c>
      <c r="AH38" s="46" t="n">
        <f aca="false">IF($D38="",0,COUNTIF(tsk_WBS,$B38&amp;".*"))</f>
        <v>0</v>
      </c>
      <c r="AI38" s="47" t="b">
        <f aca="false">$AH38&gt;0</f>
        <v>0</v>
      </c>
      <c r="AJ38" s="46" t="n">
        <f aca="false">IF(AND($D38&lt;&gt;"",NOT($AI38)),1,0)</f>
        <v>0</v>
      </c>
      <c r="AK38" s="48" t="n">
        <f aca="true">IF(OR(N($G38)=0,$AI38,$D38=""),0,IFERROR(CHOOSE(MATCH(IF($H38="","FS",$H38),{"FS","SS","FF","SF"},0),WORKDAY.INTL(OFFSET(hdr_PlanFinish,MATCH($G38,tsk_ID,0),0),IF(N($F38)=0,0,1)+N($I38),WorkWeek,Holidays),WORKDAY.INTL(OFFSET(hdr_PlanStart,MATCH($G38,tsk_ID,0),0),N($I38),WorkWeek,Holidays),WORKDAY.INTL(WORKDAY.INTL(OFFSET(hdr_PlanFinish,MATCH($G38,tsk_ID,0),0),N($I38),WorkWeek,Holidays),-MAX(0,N($F38)-1),WorkWeek,Holidays),WORKDAY.INTL(WORKDAY.INTL(OFFSET(hdr_PlanStart,MATCH($G38,tsk_ID,0),0),N($I38),WorkWeek,Holidays),-MAX(0,N($F38)-1),WorkWeek,Holidays)),0))</f>
        <v>0</v>
      </c>
      <c r="AL38" s="48" t="n">
        <f aca="true">IF(OR(N($J38)=0,$AI38,$D38=""),0,IFERROR(CHOOSE(MATCH(IF($K38="","FS",$K38),{"FS","SS","FF","SF"},0),WORKDAY.INTL(OFFSET(hdr_PlanFinish,MATCH($J38,tsk_ID,0),0),IF(N($F38)=0,0,1)+N($L38),WorkWeek,Holidays),WORKDAY.INTL(OFFSET(hdr_PlanStart,MATCH($J38,tsk_ID,0),0),N($L38),WorkWeek,Holidays),WORKDAY.INTL(WORKDAY.INTL(OFFSET(hdr_PlanFinish,MATCH($J38,tsk_ID,0),0),N($L38),WorkWeek,Holidays),-MAX(0,N($F38)-1),WorkWeek,Holidays),WORKDAY.INTL(WORKDAY.INTL(OFFSET(hdr_PlanStart,MATCH($J38,tsk_ID,0),0),N($L38),WorkWeek,Holidays),-MAX(0,N($F38)-1),WorkWeek,Holidays)),0))</f>
        <v>0</v>
      </c>
      <c r="AM38" s="48" t="n">
        <f aca="true">IF(OR(N($G38)=0,$AI38,$D38=""),0,IFERROR(CHOOSE(MATCH(IF($H38="","FS",$H38),{"FS","SS","FF","SF"},0),WORKDAY.INTL(OFFSET(hdr_FcFinish,MATCH($G38,tsk_ID,0),0),IF(N($F38)=0,0,1)+N($I38),WorkWeek,Holidays),WORKDAY.INTL(OFFSET(hdr_FcStart,MATCH($G38,tsk_ID,0),0),N($I38),WorkWeek,Holidays),WORKDAY.INTL(WORKDAY.INTL(OFFSET(hdr_FcFinish,MATCH($G38,tsk_ID,0),0),N($I38),WorkWeek,Holidays),-MAX(0,N($F38)-1),WorkWeek,Holidays),WORKDAY.INTL(WORKDAY.INTL(OFFSET(hdr_FcStart,MATCH($G38,tsk_ID,0),0),N($I38),WorkWeek,Holidays),-MAX(0,N($F38)-1),WorkWeek,Holidays)),0))</f>
        <v>0</v>
      </c>
      <c r="AN38" s="48" t="n">
        <f aca="true">IF(OR(N($J38)=0,$AI38,$D38=""),0,IFERROR(CHOOSE(MATCH(IF($K38="","FS",$K38),{"FS","SS","FF","SF"},0),WORKDAY.INTL(OFFSET(hdr_FcFinish,MATCH($J38,tsk_ID,0),0),IF(N($F38)=0,0,1)+N($L38),WorkWeek,Holidays),WORKDAY.INTL(OFFSET(hdr_FcStart,MATCH($J38,tsk_ID,0),0),N($L38),WorkWeek,Holidays),WORKDAY.INTL(WORKDAY.INTL(OFFSET(hdr_FcFinish,MATCH($J38,tsk_ID,0),0),N($L38),WorkWeek,Holidays),-MAX(0,N($F38)-1),WorkWeek,Holidays),WORKDAY.INTL(WORKDAY.INTL(OFFSET(hdr_FcStart,MATCH($J38,tsk_ID,0),0),N($L38),WorkWeek,Holidays),-MAX(0,N($F38)-1),WorkWeek,Holidays)),0))</f>
        <v>0</v>
      </c>
      <c r="AO38" s="48" t="n">
        <f aca="false">IF($AJ38=1,$R38,0)</f>
        <v>0</v>
      </c>
      <c r="AP38" s="48" t="n">
        <f aca="false">IF($AJ38=1,$S38,0)</f>
        <v>0</v>
      </c>
      <c r="AQ38" s="49" t="n">
        <f aca="false">IF(AND($AJ38=1,N($Z38)&gt;0),$Z38/($AP38-$AO38+1),0)</f>
        <v>0</v>
      </c>
      <c r="AR38" s="46" t="n">
        <f aca="false">IF($AJ38=1,MAX(N($F38),0.1),0)</f>
        <v>0</v>
      </c>
      <c r="AS38" s="46" t="n">
        <f aca="false">IF($AJ38=1,$AR38*$V38,0)</f>
        <v>0</v>
      </c>
      <c r="AT38" s="46" t="str">
        <f aca="false">IF(N($G38)=0,"",$G38&amp;IF(AND(IF($H38="","FS",$H38)="FS",N($I38)=0),"",IF($H38="","FS",$H38)&amp;IF(N($I38)=0,"",IF(N($I38)&gt;0,"+","")&amp;N($I38)&amp;"d")))</f>
        <v/>
      </c>
      <c r="AU38" s="46" t="str">
        <f aca="false">IF(N($J38)=0,"",$J38&amp;IF(AND(IF($K38="","FS",$K38)="FS",N($L38)=0),"",IF($K38="","FS",$K38)&amp;IF(N($L38)=0,"",IF(N($L38)&gt;0,"+","")&amp;N($L38)&amp;"d")))</f>
        <v/>
      </c>
      <c r="AV38" s="46" t="str">
        <f aca="false">IF(AND($AJ38=1,N($F38)=0,$V38&lt;1),$S38+$AF38/100000,"")</f>
        <v/>
      </c>
    </row>
    <row r="39" customFormat="false" ht="15" hidden="false" customHeight="false" outlineLevel="0" collapsed="false">
      <c r="A39" s="38" t="str">
        <f aca="false">IF($D39="","",COUNTA($D$6:$D39))</f>
        <v/>
      </c>
      <c r="B39" s="39" t="str">
        <f aca="true">IF($D39="","",IF($AE39=1,COUNTIF($AE$6:$AE39,1)&amp;"",IF($AG39=0,"?",OFFSET(hdr_WBS,$AG39-ROW(hdr_WBS),0)&amp;"."&amp;COUNTIF(INDEX($AE:$AE,$AG39+1):$AE39,$AE39))))</f>
        <v/>
      </c>
      <c r="C39" s="40"/>
      <c r="D39" s="41"/>
      <c r="E39" s="40"/>
      <c r="F39" s="40"/>
      <c r="G39" s="40"/>
      <c r="H39" s="40"/>
      <c r="I39" s="40"/>
      <c r="J39" s="40"/>
      <c r="K39" s="40"/>
      <c r="L39" s="40"/>
      <c r="M39" s="29"/>
      <c r="N39" s="30" t="str">
        <f aca="true">IF($D39="","",IF($AI39,MIN(OFFSET(hdr_PlanStart,$AF39+1,0,$AH39,1)),IF($E39="Manual",IF(N($M39)&gt;0,$M39,ProjectStart),WORKDAY.INTL(MAX(ProjectStart,N($M39),$AK39,$AL39)-1,1,WorkWeek,Holidays))))</f>
        <v/>
      </c>
      <c r="O39" s="30" t="str">
        <f aca="true">IF($D39="","",IF($AI39,MAX(OFFSET(hdr_PlanFinish,$AF39+1,0,$AH39,1)),IF(N($F39)&lt;=0,$N39,WORKDAY.INTL($N39,$F39-1,WorkWeek,Holidays))))</f>
        <v/>
      </c>
      <c r="P39" s="29"/>
      <c r="Q39" s="29"/>
      <c r="R39" s="30" t="str">
        <f aca="true">IF($D39="","",IF($AI39,MIN(OFFSET(hdr_FcStart,$AF39+1,0,$AH39,1)),IF(N($P39)&gt;0,$P39,IF($E39="Manual",IF(N($M39)&gt;0,$M39,ProjectStart),WORKDAY.INTL(MAX(ProjectStart,N($M39),$AM39,$AN39,IF(RescheduleAfterStatus="Yes",StatusDate,0))-1,1,WorkWeek,Holidays)))))</f>
        <v/>
      </c>
      <c r="S39" s="30" t="str">
        <f aca="true">IF($D39="","",IF($AI39,MAX(OFFSET(hdr_FcFinish,$AF39+1,0,$AH39,1)),IF(N($Q39)&gt;0,$Q39,IF(N($F39)&lt;=0,$R39,IF(AND(N($P39)&gt;0,RescheduleAfterStatus="Yes"),MAX(WORKDAY.INTL($R39,$F39-1,WorkWeek,Holidays),WORKDAY.INTL(StatusWorkday,MAX(0,ROUNDUP($F39*(1-MIN(1,N($U39))),0)-1),WorkWeek,Holidays)),WORKDAY.INTL($R39,$F39-1,WorkWeek,Holidays))))))</f>
        <v/>
      </c>
      <c r="T39" s="38" t="str">
        <f aca="false">IF($D39="","",IF($S39&gt;=$O39,NETWORKDAYS.INTL($O39,$S39,WorkWeek,Holidays)-1,1-NETWORKDAYS.INTL($S39,$O39,WorkWeek,Holidays)))</f>
        <v/>
      </c>
      <c r="U39" s="32"/>
      <c r="V39" s="42" t="str">
        <f aca="true">IF($D39="","",IF($AI39,IFERROR(SUM(OFFSET(hdr_WtDone,$AF39+1,0,$AH39,1))/SUM(OFFSET(hdr_WtDur,$AF39+1,0,$AH39,1)),0),IF(N($Q39)&gt;0,1,MIN(1,N($U39)))))</f>
        <v/>
      </c>
      <c r="W39" s="39" t="str">
        <f aca="false">IF($D39="","",IF($V39&gt;=1,"Complete",IF(OR(N($P39)&gt;0,$V39&gt;0),IF($T39&gt;0,"Behind","In Progress"),IF($N39&lt;StatusDate,"Late Start","Not Started"))))</f>
        <v/>
      </c>
      <c r="X39" s="41"/>
      <c r="Y39" s="32"/>
      <c r="Z39" s="43" t="str">
        <f aca="true">IF($D39="","",IF($AI39,SUMPRODUCT(OFFSET(hdr_Work,$AF39+1,0,$AH39,1),OFFSET(hdr_IsLeaf,$AF39+1,0,$AH39,1)),IF($X39="",0,N($F39)*HoursPerDay*IF($Y39="",DefaultUnits,$Y39))))</f>
        <v/>
      </c>
      <c r="AA39" s="44" t="str">
        <f aca="true">IF($D39="","",IF($AI39,SUMPRODUCT(OFFSET(hdr_Cost,$AF39+1,0,$AH39,1),OFFSET(hdr_IsLeaf,$AF39+1,0,$AH39,1)),$Z39*IFERROR(INDEX(res_Rate,MATCH($X39,res_Name,0)),0)))</f>
        <v/>
      </c>
      <c r="AB39" s="38" t="str">
        <f aca="false">IF(OR($D39="",$AI39),"",IF(OR($R39&lt;Sprint1Start,$R39&gt;SprintLastEnd),"Backlog",INDEX(spr_Name,MATCH($R39,spr_Start,1))))</f>
        <v/>
      </c>
      <c r="AC39" s="45" t="str">
        <f aca="false">IF($D39="","",$AT39&amp;IF(AND($AT39&lt;&gt;"",$AU39&lt;&gt;""),",","")&amp;$AU39)</f>
        <v/>
      </c>
      <c r="AD39" s="41"/>
      <c r="AE39" s="46" t="str">
        <f aca="false">IF($D39="","",MAX(1,N($C39)))</f>
        <v/>
      </c>
      <c r="AF39" s="46" t="n">
        <f aca="false">ROW()-ROW(hdr_ID)</f>
        <v>34</v>
      </c>
      <c r="AG39" s="46" t="n">
        <f aca="false">IF(OR($D39="",$AE39&lt;=1),0,IFERROR(LOOKUP(2,1/($AE$5:$AE38=$AE39-1),ROW($AE$5:$AE38)),0))</f>
        <v>0</v>
      </c>
      <c r="AH39" s="46" t="n">
        <f aca="false">IF($D39="",0,COUNTIF(tsk_WBS,$B39&amp;".*"))</f>
        <v>0</v>
      </c>
      <c r="AI39" s="47" t="b">
        <f aca="false">$AH39&gt;0</f>
        <v>0</v>
      </c>
      <c r="AJ39" s="46" t="n">
        <f aca="false">IF(AND($D39&lt;&gt;"",NOT($AI39)),1,0)</f>
        <v>0</v>
      </c>
      <c r="AK39" s="48" t="n">
        <f aca="true">IF(OR(N($G39)=0,$AI39,$D39=""),0,IFERROR(CHOOSE(MATCH(IF($H39="","FS",$H39),{"FS","SS","FF","SF"},0),WORKDAY.INTL(OFFSET(hdr_PlanFinish,MATCH($G39,tsk_ID,0),0),IF(N($F39)=0,0,1)+N($I39),WorkWeek,Holidays),WORKDAY.INTL(OFFSET(hdr_PlanStart,MATCH($G39,tsk_ID,0),0),N($I39),WorkWeek,Holidays),WORKDAY.INTL(WORKDAY.INTL(OFFSET(hdr_PlanFinish,MATCH($G39,tsk_ID,0),0),N($I39),WorkWeek,Holidays),-MAX(0,N($F39)-1),WorkWeek,Holidays),WORKDAY.INTL(WORKDAY.INTL(OFFSET(hdr_PlanStart,MATCH($G39,tsk_ID,0),0),N($I39),WorkWeek,Holidays),-MAX(0,N($F39)-1),WorkWeek,Holidays)),0))</f>
        <v>0</v>
      </c>
      <c r="AL39" s="48" t="n">
        <f aca="true">IF(OR(N($J39)=0,$AI39,$D39=""),0,IFERROR(CHOOSE(MATCH(IF($K39="","FS",$K39),{"FS","SS","FF","SF"},0),WORKDAY.INTL(OFFSET(hdr_PlanFinish,MATCH($J39,tsk_ID,0),0),IF(N($F39)=0,0,1)+N($L39),WorkWeek,Holidays),WORKDAY.INTL(OFFSET(hdr_PlanStart,MATCH($J39,tsk_ID,0),0),N($L39),WorkWeek,Holidays),WORKDAY.INTL(WORKDAY.INTL(OFFSET(hdr_PlanFinish,MATCH($J39,tsk_ID,0),0),N($L39),WorkWeek,Holidays),-MAX(0,N($F39)-1),WorkWeek,Holidays),WORKDAY.INTL(WORKDAY.INTL(OFFSET(hdr_PlanStart,MATCH($J39,tsk_ID,0),0),N($L39),WorkWeek,Holidays),-MAX(0,N($F39)-1),WorkWeek,Holidays)),0))</f>
        <v>0</v>
      </c>
      <c r="AM39" s="48" t="n">
        <f aca="true">IF(OR(N($G39)=0,$AI39,$D39=""),0,IFERROR(CHOOSE(MATCH(IF($H39="","FS",$H39),{"FS","SS","FF","SF"},0),WORKDAY.INTL(OFFSET(hdr_FcFinish,MATCH($G39,tsk_ID,0),0),IF(N($F39)=0,0,1)+N($I39),WorkWeek,Holidays),WORKDAY.INTL(OFFSET(hdr_FcStart,MATCH($G39,tsk_ID,0),0),N($I39),WorkWeek,Holidays),WORKDAY.INTL(WORKDAY.INTL(OFFSET(hdr_FcFinish,MATCH($G39,tsk_ID,0),0),N($I39),WorkWeek,Holidays),-MAX(0,N($F39)-1),WorkWeek,Holidays),WORKDAY.INTL(WORKDAY.INTL(OFFSET(hdr_FcStart,MATCH($G39,tsk_ID,0),0),N($I39),WorkWeek,Holidays),-MAX(0,N($F39)-1),WorkWeek,Holidays)),0))</f>
        <v>0</v>
      </c>
      <c r="AN39" s="48" t="n">
        <f aca="true">IF(OR(N($J39)=0,$AI39,$D39=""),0,IFERROR(CHOOSE(MATCH(IF($K39="","FS",$K39),{"FS","SS","FF","SF"},0),WORKDAY.INTL(OFFSET(hdr_FcFinish,MATCH($J39,tsk_ID,0),0),IF(N($F39)=0,0,1)+N($L39),WorkWeek,Holidays),WORKDAY.INTL(OFFSET(hdr_FcStart,MATCH($J39,tsk_ID,0),0),N($L39),WorkWeek,Holidays),WORKDAY.INTL(WORKDAY.INTL(OFFSET(hdr_FcFinish,MATCH($J39,tsk_ID,0),0),N($L39),WorkWeek,Holidays),-MAX(0,N($F39)-1),WorkWeek,Holidays),WORKDAY.INTL(WORKDAY.INTL(OFFSET(hdr_FcStart,MATCH($J39,tsk_ID,0),0),N($L39),WorkWeek,Holidays),-MAX(0,N($F39)-1),WorkWeek,Holidays)),0))</f>
        <v>0</v>
      </c>
      <c r="AO39" s="48" t="n">
        <f aca="false">IF($AJ39=1,$R39,0)</f>
        <v>0</v>
      </c>
      <c r="AP39" s="48" t="n">
        <f aca="false">IF($AJ39=1,$S39,0)</f>
        <v>0</v>
      </c>
      <c r="AQ39" s="49" t="n">
        <f aca="false">IF(AND($AJ39=1,N($Z39)&gt;0),$Z39/($AP39-$AO39+1),0)</f>
        <v>0</v>
      </c>
      <c r="AR39" s="46" t="n">
        <f aca="false">IF($AJ39=1,MAX(N($F39),0.1),0)</f>
        <v>0</v>
      </c>
      <c r="AS39" s="46" t="n">
        <f aca="false">IF($AJ39=1,$AR39*$V39,0)</f>
        <v>0</v>
      </c>
      <c r="AT39" s="46" t="str">
        <f aca="false">IF(N($G39)=0,"",$G39&amp;IF(AND(IF($H39="","FS",$H39)="FS",N($I39)=0),"",IF($H39="","FS",$H39)&amp;IF(N($I39)=0,"",IF(N($I39)&gt;0,"+","")&amp;N($I39)&amp;"d")))</f>
        <v/>
      </c>
      <c r="AU39" s="46" t="str">
        <f aca="false">IF(N($J39)=0,"",$J39&amp;IF(AND(IF($K39="","FS",$K39)="FS",N($L39)=0),"",IF($K39="","FS",$K39)&amp;IF(N($L39)=0,"",IF(N($L39)&gt;0,"+","")&amp;N($L39)&amp;"d")))</f>
        <v/>
      </c>
      <c r="AV39" s="46" t="str">
        <f aca="false">IF(AND($AJ39=1,N($F39)=0,$V39&lt;1),$S39+$AF39/100000,"")</f>
        <v/>
      </c>
    </row>
    <row r="40" customFormat="false" ht="15" hidden="false" customHeight="false" outlineLevel="0" collapsed="false">
      <c r="A40" s="38" t="str">
        <f aca="false">IF($D40="","",COUNTA($D$6:$D40))</f>
        <v/>
      </c>
      <c r="B40" s="39" t="str">
        <f aca="true">IF($D40="","",IF($AE40=1,COUNTIF($AE$6:$AE40,1)&amp;"",IF($AG40=0,"?",OFFSET(hdr_WBS,$AG40-ROW(hdr_WBS),0)&amp;"."&amp;COUNTIF(INDEX($AE:$AE,$AG40+1):$AE40,$AE40))))</f>
        <v/>
      </c>
      <c r="C40" s="40"/>
      <c r="D40" s="41"/>
      <c r="E40" s="40"/>
      <c r="F40" s="40"/>
      <c r="G40" s="40"/>
      <c r="H40" s="40"/>
      <c r="I40" s="40"/>
      <c r="J40" s="40"/>
      <c r="K40" s="40"/>
      <c r="L40" s="40"/>
      <c r="M40" s="29"/>
      <c r="N40" s="30" t="str">
        <f aca="true">IF($D40="","",IF($AI40,MIN(OFFSET(hdr_PlanStart,$AF40+1,0,$AH40,1)),IF($E40="Manual",IF(N($M40)&gt;0,$M40,ProjectStart),WORKDAY.INTL(MAX(ProjectStart,N($M40),$AK40,$AL40)-1,1,WorkWeek,Holidays))))</f>
        <v/>
      </c>
      <c r="O40" s="30" t="str">
        <f aca="true">IF($D40="","",IF($AI40,MAX(OFFSET(hdr_PlanFinish,$AF40+1,0,$AH40,1)),IF(N($F40)&lt;=0,$N40,WORKDAY.INTL($N40,$F40-1,WorkWeek,Holidays))))</f>
        <v/>
      </c>
      <c r="P40" s="29"/>
      <c r="Q40" s="29"/>
      <c r="R40" s="30" t="str">
        <f aca="true">IF($D40="","",IF($AI40,MIN(OFFSET(hdr_FcStart,$AF40+1,0,$AH40,1)),IF(N($P40)&gt;0,$P40,IF($E40="Manual",IF(N($M40)&gt;0,$M40,ProjectStart),WORKDAY.INTL(MAX(ProjectStart,N($M40),$AM40,$AN40,IF(RescheduleAfterStatus="Yes",StatusDate,0))-1,1,WorkWeek,Holidays)))))</f>
        <v/>
      </c>
      <c r="S40" s="30" t="str">
        <f aca="true">IF($D40="","",IF($AI40,MAX(OFFSET(hdr_FcFinish,$AF40+1,0,$AH40,1)),IF(N($Q40)&gt;0,$Q40,IF(N($F40)&lt;=0,$R40,IF(AND(N($P40)&gt;0,RescheduleAfterStatus="Yes"),MAX(WORKDAY.INTL($R40,$F40-1,WorkWeek,Holidays),WORKDAY.INTL(StatusWorkday,MAX(0,ROUNDUP($F40*(1-MIN(1,N($U40))),0)-1),WorkWeek,Holidays)),WORKDAY.INTL($R40,$F40-1,WorkWeek,Holidays))))))</f>
        <v/>
      </c>
      <c r="T40" s="38" t="str">
        <f aca="false">IF($D40="","",IF($S40&gt;=$O40,NETWORKDAYS.INTL($O40,$S40,WorkWeek,Holidays)-1,1-NETWORKDAYS.INTL($S40,$O40,WorkWeek,Holidays)))</f>
        <v/>
      </c>
      <c r="U40" s="32"/>
      <c r="V40" s="42" t="str">
        <f aca="true">IF($D40="","",IF($AI40,IFERROR(SUM(OFFSET(hdr_WtDone,$AF40+1,0,$AH40,1))/SUM(OFFSET(hdr_WtDur,$AF40+1,0,$AH40,1)),0),IF(N($Q40)&gt;0,1,MIN(1,N($U40)))))</f>
        <v/>
      </c>
      <c r="W40" s="39" t="str">
        <f aca="false">IF($D40="","",IF($V40&gt;=1,"Complete",IF(OR(N($P40)&gt;0,$V40&gt;0),IF($T40&gt;0,"Behind","In Progress"),IF($N40&lt;StatusDate,"Late Start","Not Started"))))</f>
        <v/>
      </c>
      <c r="X40" s="41"/>
      <c r="Y40" s="32"/>
      <c r="Z40" s="43" t="str">
        <f aca="true">IF($D40="","",IF($AI40,SUMPRODUCT(OFFSET(hdr_Work,$AF40+1,0,$AH40,1),OFFSET(hdr_IsLeaf,$AF40+1,0,$AH40,1)),IF($X40="",0,N($F40)*HoursPerDay*IF($Y40="",DefaultUnits,$Y40))))</f>
        <v/>
      </c>
      <c r="AA40" s="44" t="str">
        <f aca="true">IF($D40="","",IF($AI40,SUMPRODUCT(OFFSET(hdr_Cost,$AF40+1,0,$AH40,1),OFFSET(hdr_IsLeaf,$AF40+1,0,$AH40,1)),$Z40*IFERROR(INDEX(res_Rate,MATCH($X40,res_Name,0)),0)))</f>
        <v/>
      </c>
      <c r="AB40" s="38" t="str">
        <f aca="false">IF(OR($D40="",$AI40),"",IF(OR($R40&lt;Sprint1Start,$R40&gt;SprintLastEnd),"Backlog",INDEX(spr_Name,MATCH($R40,spr_Start,1))))</f>
        <v/>
      </c>
      <c r="AC40" s="45" t="str">
        <f aca="false">IF($D40="","",$AT40&amp;IF(AND($AT40&lt;&gt;"",$AU40&lt;&gt;""),",","")&amp;$AU40)</f>
        <v/>
      </c>
      <c r="AD40" s="41"/>
      <c r="AE40" s="46" t="str">
        <f aca="false">IF($D40="","",MAX(1,N($C40)))</f>
        <v/>
      </c>
      <c r="AF40" s="46" t="n">
        <f aca="false">ROW()-ROW(hdr_ID)</f>
        <v>35</v>
      </c>
      <c r="AG40" s="46" t="n">
        <f aca="false">IF(OR($D40="",$AE40&lt;=1),0,IFERROR(LOOKUP(2,1/($AE$5:$AE39=$AE40-1),ROW($AE$5:$AE39)),0))</f>
        <v>0</v>
      </c>
      <c r="AH40" s="46" t="n">
        <f aca="false">IF($D40="",0,COUNTIF(tsk_WBS,$B40&amp;".*"))</f>
        <v>0</v>
      </c>
      <c r="AI40" s="47" t="b">
        <f aca="false">$AH40&gt;0</f>
        <v>0</v>
      </c>
      <c r="AJ40" s="46" t="n">
        <f aca="false">IF(AND($D40&lt;&gt;"",NOT($AI40)),1,0)</f>
        <v>0</v>
      </c>
      <c r="AK40" s="48" t="n">
        <f aca="true">IF(OR(N($G40)=0,$AI40,$D40=""),0,IFERROR(CHOOSE(MATCH(IF($H40="","FS",$H40),{"FS","SS","FF","SF"},0),WORKDAY.INTL(OFFSET(hdr_PlanFinish,MATCH($G40,tsk_ID,0),0),IF(N($F40)=0,0,1)+N($I40),WorkWeek,Holidays),WORKDAY.INTL(OFFSET(hdr_PlanStart,MATCH($G40,tsk_ID,0),0),N($I40),WorkWeek,Holidays),WORKDAY.INTL(WORKDAY.INTL(OFFSET(hdr_PlanFinish,MATCH($G40,tsk_ID,0),0),N($I40),WorkWeek,Holidays),-MAX(0,N($F40)-1),WorkWeek,Holidays),WORKDAY.INTL(WORKDAY.INTL(OFFSET(hdr_PlanStart,MATCH($G40,tsk_ID,0),0),N($I40),WorkWeek,Holidays),-MAX(0,N($F40)-1),WorkWeek,Holidays)),0))</f>
        <v>0</v>
      </c>
      <c r="AL40" s="48" t="n">
        <f aca="true">IF(OR(N($J40)=0,$AI40,$D40=""),0,IFERROR(CHOOSE(MATCH(IF($K40="","FS",$K40),{"FS","SS","FF","SF"},0),WORKDAY.INTL(OFFSET(hdr_PlanFinish,MATCH($J40,tsk_ID,0),0),IF(N($F40)=0,0,1)+N($L40),WorkWeek,Holidays),WORKDAY.INTL(OFFSET(hdr_PlanStart,MATCH($J40,tsk_ID,0),0),N($L40),WorkWeek,Holidays),WORKDAY.INTL(WORKDAY.INTL(OFFSET(hdr_PlanFinish,MATCH($J40,tsk_ID,0),0),N($L40),WorkWeek,Holidays),-MAX(0,N($F40)-1),WorkWeek,Holidays),WORKDAY.INTL(WORKDAY.INTL(OFFSET(hdr_PlanStart,MATCH($J40,tsk_ID,0),0),N($L40),WorkWeek,Holidays),-MAX(0,N($F40)-1),WorkWeek,Holidays)),0))</f>
        <v>0</v>
      </c>
      <c r="AM40" s="48" t="n">
        <f aca="true">IF(OR(N($G40)=0,$AI40,$D40=""),0,IFERROR(CHOOSE(MATCH(IF($H40="","FS",$H40),{"FS","SS","FF","SF"},0),WORKDAY.INTL(OFFSET(hdr_FcFinish,MATCH($G40,tsk_ID,0),0),IF(N($F40)=0,0,1)+N($I40),WorkWeek,Holidays),WORKDAY.INTL(OFFSET(hdr_FcStart,MATCH($G40,tsk_ID,0),0),N($I40),WorkWeek,Holidays),WORKDAY.INTL(WORKDAY.INTL(OFFSET(hdr_FcFinish,MATCH($G40,tsk_ID,0),0),N($I40),WorkWeek,Holidays),-MAX(0,N($F40)-1),WorkWeek,Holidays),WORKDAY.INTL(WORKDAY.INTL(OFFSET(hdr_FcStart,MATCH($G40,tsk_ID,0),0),N($I40),WorkWeek,Holidays),-MAX(0,N($F40)-1),WorkWeek,Holidays)),0))</f>
        <v>0</v>
      </c>
      <c r="AN40" s="48" t="n">
        <f aca="true">IF(OR(N($J40)=0,$AI40,$D40=""),0,IFERROR(CHOOSE(MATCH(IF($K40="","FS",$K40),{"FS","SS","FF","SF"},0),WORKDAY.INTL(OFFSET(hdr_FcFinish,MATCH($J40,tsk_ID,0),0),IF(N($F40)=0,0,1)+N($L40),WorkWeek,Holidays),WORKDAY.INTL(OFFSET(hdr_FcStart,MATCH($J40,tsk_ID,0),0),N($L40),WorkWeek,Holidays),WORKDAY.INTL(WORKDAY.INTL(OFFSET(hdr_FcFinish,MATCH($J40,tsk_ID,0),0),N($L40),WorkWeek,Holidays),-MAX(0,N($F40)-1),WorkWeek,Holidays),WORKDAY.INTL(WORKDAY.INTL(OFFSET(hdr_FcStart,MATCH($J40,tsk_ID,0),0),N($L40),WorkWeek,Holidays),-MAX(0,N($F40)-1),WorkWeek,Holidays)),0))</f>
        <v>0</v>
      </c>
      <c r="AO40" s="48" t="n">
        <f aca="false">IF($AJ40=1,$R40,0)</f>
        <v>0</v>
      </c>
      <c r="AP40" s="48" t="n">
        <f aca="false">IF($AJ40=1,$S40,0)</f>
        <v>0</v>
      </c>
      <c r="AQ40" s="49" t="n">
        <f aca="false">IF(AND($AJ40=1,N($Z40)&gt;0),$Z40/($AP40-$AO40+1),0)</f>
        <v>0</v>
      </c>
      <c r="AR40" s="46" t="n">
        <f aca="false">IF($AJ40=1,MAX(N($F40),0.1),0)</f>
        <v>0</v>
      </c>
      <c r="AS40" s="46" t="n">
        <f aca="false">IF($AJ40=1,$AR40*$V40,0)</f>
        <v>0</v>
      </c>
      <c r="AT40" s="46" t="str">
        <f aca="false">IF(N($G40)=0,"",$G40&amp;IF(AND(IF($H40="","FS",$H40)="FS",N($I40)=0),"",IF($H40="","FS",$H40)&amp;IF(N($I40)=0,"",IF(N($I40)&gt;0,"+","")&amp;N($I40)&amp;"d")))</f>
        <v/>
      </c>
      <c r="AU40" s="46" t="str">
        <f aca="false">IF(N($J40)=0,"",$J40&amp;IF(AND(IF($K40="","FS",$K40)="FS",N($L40)=0),"",IF($K40="","FS",$K40)&amp;IF(N($L40)=0,"",IF(N($L40)&gt;0,"+","")&amp;N($L40)&amp;"d")))</f>
        <v/>
      </c>
      <c r="AV40" s="46" t="str">
        <f aca="false">IF(AND($AJ40=1,N($F40)=0,$V40&lt;1),$S40+$AF40/100000,"")</f>
        <v/>
      </c>
    </row>
    <row r="41" customFormat="false" ht="15" hidden="false" customHeight="false" outlineLevel="0" collapsed="false">
      <c r="A41" s="38" t="str">
        <f aca="false">IF($D41="","",COUNTA($D$6:$D41))</f>
        <v/>
      </c>
      <c r="B41" s="39" t="str">
        <f aca="true">IF($D41="","",IF($AE41=1,COUNTIF($AE$6:$AE41,1)&amp;"",IF($AG41=0,"?",OFFSET(hdr_WBS,$AG41-ROW(hdr_WBS),0)&amp;"."&amp;COUNTIF(INDEX($AE:$AE,$AG41+1):$AE41,$AE41))))</f>
        <v/>
      </c>
      <c r="C41" s="40"/>
      <c r="D41" s="41"/>
      <c r="E41" s="40"/>
      <c r="F41" s="40"/>
      <c r="G41" s="40"/>
      <c r="H41" s="40"/>
      <c r="I41" s="40"/>
      <c r="J41" s="40"/>
      <c r="K41" s="40"/>
      <c r="L41" s="40"/>
      <c r="M41" s="29"/>
      <c r="N41" s="30" t="str">
        <f aca="true">IF($D41="","",IF($AI41,MIN(OFFSET(hdr_PlanStart,$AF41+1,0,$AH41,1)),IF($E41="Manual",IF(N($M41)&gt;0,$M41,ProjectStart),WORKDAY.INTL(MAX(ProjectStart,N($M41),$AK41,$AL41)-1,1,WorkWeek,Holidays))))</f>
        <v/>
      </c>
      <c r="O41" s="30" t="str">
        <f aca="true">IF($D41="","",IF($AI41,MAX(OFFSET(hdr_PlanFinish,$AF41+1,0,$AH41,1)),IF(N($F41)&lt;=0,$N41,WORKDAY.INTL($N41,$F41-1,WorkWeek,Holidays))))</f>
        <v/>
      </c>
      <c r="P41" s="29"/>
      <c r="Q41" s="29"/>
      <c r="R41" s="30" t="str">
        <f aca="true">IF($D41="","",IF($AI41,MIN(OFFSET(hdr_FcStart,$AF41+1,0,$AH41,1)),IF(N($P41)&gt;0,$P41,IF($E41="Manual",IF(N($M41)&gt;0,$M41,ProjectStart),WORKDAY.INTL(MAX(ProjectStart,N($M41),$AM41,$AN41,IF(RescheduleAfterStatus="Yes",StatusDate,0))-1,1,WorkWeek,Holidays)))))</f>
        <v/>
      </c>
      <c r="S41" s="30" t="str">
        <f aca="true">IF($D41="","",IF($AI41,MAX(OFFSET(hdr_FcFinish,$AF41+1,0,$AH41,1)),IF(N($Q41)&gt;0,$Q41,IF(N($F41)&lt;=0,$R41,IF(AND(N($P41)&gt;0,RescheduleAfterStatus="Yes"),MAX(WORKDAY.INTL($R41,$F41-1,WorkWeek,Holidays),WORKDAY.INTL(StatusWorkday,MAX(0,ROUNDUP($F41*(1-MIN(1,N($U41))),0)-1),WorkWeek,Holidays)),WORKDAY.INTL($R41,$F41-1,WorkWeek,Holidays))))))</f>
        <v/>
      </c>
      <c r="T41" s="38" t="str">
        <f aca="false">IF($D41="","",IF($S41&gt;=$O41,NETWORKDAYS.INTL($O41,$S41,WorkWeek,Holidays)-1,1-NETWORKDAYS.INTL($S41,$O41,WorkWeek,Holidays)))</f>
        <v/>
      </c>
      <c r="U41" s="32"/>
      <c r="V41" s="42" t="str">
        <f aca="true">IF($D41="","",IF($AI41,IFERROR(SUM(OFFSET(hdr_WtDone,$AF41+1,0,$AH41,1))/SUM(OFFSET(hdr_WtDur,$AF41+1,0,$AH41,1)),0),IF(N($Q41)&gt;0,1,MIN(1,N($U41)))))</f>
        <v/>
      </c>
      <c r="W41" s="39" t="str">
        <f aca="false">IF($D41="","",IF($V41&gt;=1,"Complete",IF(OR(N($P41)&gt;0,$V41&gt;0),IF($T41&gt;0,"Behind","In Progress"),IF($N41&lt;StatusDate,"Late Start","Not Started"))))</f>
        <v/>
      </c>
      <c r="X41" s="41"/>
      <c r="Y41" s="32"/>
      <c r="Z41" s="43" t="str">
        <f aca="true">IF($D41="","",IF($AI41,SUMPRODUCT(OFFSET(hdr_Work,$AF41+1,0,$AH41,1),OFFSET(hdr_IsLeaf,$AF41+1,0,$AH41,1)),IF($X41="",0,N($F41)*HoursPerDay*IF($Y41="",DefaultUnits,$Y41))))</f>
        <v/>
      </c>
      <c r="AA41" s="44" t="str">
        <f aca="true">IF($D41="","",IF($AI41,SUMPRODUCT(OFFSET(hdr_Cost,$AF41+1,0,$AH41,1),OFFSET(hdr_IsLeaf,$AF41+1,0,$AH41,1)),$Z41*IFERROR(INDEX(res_Rate,MATCH($X41,res_Name,0)),0)))</f>
        <v/>
      </c>
      <c r="AB41" s="38" t="str">
        <f aca="false">IF(OR($D41="",$AI41),"",IF(OR($R41&lt;Sprint1Start,$R41&gt;SprintLastEnd),"Backlog",INDEX(spr_Name,MATCH($R41,spr_Start,1))))</f>
        <v/>
      </c>
      <c r="AC41" s="45" t="str">
        <f aca="false">IF($D41="","",$AT41&amp;IF(AND($AT41&lt;&gt;"",$AU41&lt;&gt;""),",","")&amp;$AU41)</f>
        <v/>
      </c>
      <c r="AD41" s="41"/>
      <c r="AE41" s="46" t="str">
        <f aca="false">IF($D41="","",MAX(1,N($C41)))</f>
        <v/>
      </c>
      <c r="AF41" s="46" t="n">
        <f aca="false">ROW()-ROW(hdr_ID)</f>
        <v>36</v>
      </c>
      <c r="AG41" s="46" t="n">
        <f aca="false">IF(OR($D41="",$AE41&lt;=1),0,IFERROR(LOOKUP(2,1/($AE$5:$AE40=$AE41-1),ROW($AE$5:$AE40)),0))</f>
        <v>0</v>
      </c>
      <c r="AH41" s="46" t="n">
        <f aca="false">IF($D41="",0,COUNTIF(tsk_WBS,$B41&amp;".*"))</f>
        <v>0</v>
      </c>
      <c r="AI41" s="47" t="b">
        <f aca="false">$AH41&gt;0</f>
        <v>0</v>
      </c>
      <c r="AJ41" s="46" t="n">
        <f aca="false">IF(AND($D41&lt;&gt;"",NOT($AI41)),1,0)</f>
        <v>0</v>
      </c>
      <c r="AK41" s="48" t="n">
        <f aca="true">IF(OR(N($G41)=0,$AI41,$D41=""),0,IFERROR(CHOOSE(MATCH(IF($H41="","FS",$H41),{"FS","SS","FF","SF"},0),WORKDAY.INTL(OFFSET(hdr_PlanFinish,MATCH($G41,tsk_ID,0),0),IF(N($F41)=0,0,1)+N($I41),WorkWeek,Holidays),WORKDAY.INTL(OFFSET(hdr_PlanStart,MATCH($G41,tsk_ID,0),0),N($I41),WorkWeek,Holidays),WORKDAY.INTL(WORKDAY.INTL(OFFSET(hdr_PlanFinish,MATCH($G41,tsk_ID,0),0),N($I41),WorkWeek,Holidays),-MAX(0,N($F41)-1),WorkWeek,Holidays),WORKDAY.INTL(WORKDAY.INTL(OFFSET(hdr_PlanStart,MATCH($G41,tsk_ID,0),0),N($I41),WorkWeek,Holidays),-MAX(0,N($F41)-1),WorkWeek,Holidays)),0))</f>
        <v>0</v>
      </c>
      <c r="AL41" s="48" t="n">
        <f aca="true">IF(OR(N($J41)=0,$AI41,$D41=""),0,IFERROR(CHOOSE(MATCH(IF($K41="","FS",$K41),{"FS","SS","FF","SF"},0),WORKDAY.INTL(OFFSET(hdr_PlanFinish,MATCH($J41,tsk_ID,0),0),IF(N($F41)=0,0,1)+N($L41),WorkWeek,Holidays),WORKDAY.INTL(OFFSET(hdr_PlanStart,MATCH($J41,tsk_ID,0),0),N($L41),WorkWeek,Holidays),WORKDAY.INTL(WORKDAY.INTL(OFFSET(hdr_PlanFinish,MATCH($J41,tsk_ID,0),0),N($L41),WorkWeek,Holidays),-MAX(0,N($F41)-1),WorkWeek,Holidays),WORKDAY.INTL(WORKDAY.INTL(OFFSET(hdr_PlanStart,MATCH($J41,tsk_ID,0),0),N($L41),WorkWeek,Holidays),-MAX(0,N($F41)-1),WorkWeek,Holidays)),0))</f>
        <v>0</v>
      </c>
      <c r="AM41" s="48" t="n">
        <f aca="true">IF(OR(N($G41)=0,$AI41,$D41=""),0,IFERROR(CHOOSE(MATCH(IF($H41="","FS",$H41),{"FS","SS","FF","SF"},0),WORKDAY.INTL(OFFSET(hdr_FcFinish,MATCH($G41,tsk_ID,0),0),IF(N($F41)=0,0,1)+N($I41),WorkWeek,Holidays),WORKDAY.INTL(OFFSET(hdr_FcStart,MATCH($G41,tsk_ID,0),0),N($I41),WorkWeek,Holidays),WORKDAY.INTL(WORKDAY.INTL(OFFSET(hdr_FcFinish,MATCH($G41,tsk_ID,0),0),N($I41),WorkWeek,Holidays),-MAX(0,N($F41)-1),WorkWeek,Holidays),WORKDAY.INTL(WORKDAY.INTL(OFFSET(hdr_FcStart,MATCH($G41,tsk_ID,0),0),N($I41),WorkWeek,Holidays),-MAX(0,N($F41)-1),WorkWeek,Holidays)),0))</f>
        <v>0</v>
      </c>
      <c r="AN41" s="48" t="n">
        <f aca="true">IF(OR(N($J41)=0,$AI41,$D41=""),0,IFERROR(CHOOSE(MATCH(IF($K41="","FS",$K41),{"FS","SS","FF","SF"},0),WORKDAY.INTL(OFFSET(hdr_FcFinish,MATCH($J41,tsk_ID,0),0),IF(N($F41)=0,0,1)+N($L41),WorkWeek,Holidays),WORKDAY.INTL(OFFSET(hdr_FcStart,MATCH($J41,tsk_ID,0),0),N($L41),WorkWeek,Holidays),WORKDAY.INTL(WORKDAY.INTL(OFFSET(hdr_FcFinish,MATCH($J41,tsk_ID,0),0),N($L41),WorkWeek,Holidays),-MAX(0,N($F41)-1),WorkWeek,Holidays),WORKDAY.INTL(WORKDAY.INTL(OFFSET(hdr_FcStart,MATCH($J41,tsk_ID,0),0),N($L41),WorkWeek,Holidays),-MAX(0,N($F41)-1),WorkWeek,Holidays)),0))</f>
        <v>0</v>
      </c>
      <c r="AO41" s="48" t="n">
        <f aca="false">IF($AJ41=1,$R41,0)</f>
        <v>0</v>
      </c>
      <c r="AP41" s="48" t="n">
        <f aca="false">IF($AJ41=1,$S41,0)</f>
        <v>0</v>
      </c>
      <c r="AQ41" s="49" t="n">
        <f aca="false">IF(AND($AJ41=1,N($Z41)&gt;0),$Z41/($AP41-$AO41+1),0)</f>
        <v>0</v>
      </c>
      <c r="AR41" s="46" t="n">
        <f aca="false">IF($AJ41=1,MAX(N($F41),0.1),0)</f>
        <v>0</v>
      </c>
      <c r="AS41" s="46" t="n">
        <f aca="false">IF($AJ41=1,$AR41*$V41,0)</f>
        <v>0</v>
      </c>
      <c r="AT41" s="46" t="str">
        <f aca="false">IF(N($G41)=0,"",$G41&amp;IF(AND(IF($H41="","FS",$H41)="FS",N($I41)=0),"",IF($H41="","FS",$H41)&amp;IF(N($I41)=0,"",IF(N($I41)&gt;0,"+","")&amp;N($I41)&amp;"d")))</f>
        <v/>
      </c>
      <c r="AU41" s="46" t="str">
        <f aca="false">IF(N($J41)=0,"",$J41&amp;IF(AND(IF($K41="","FS",$K41)="FS",N($L41)=0),"",IF($K41="","FS",$K41)&amp;IF(N($L41)=0,"",IF(N($L41)&gt;0,"+","")&amp;N($L41)&amp;"d")))</f>
        <v/>
      </c>
      <c r="AV41" s="46" t="str">
        <f aca="false">IF(AND($AJ41=1,N($F41)=0,$V41&lt;1),$S41+$AF41/100000,"")</f>
        <v/>
      </c>
    </row>
    <row r="42" customFormat="false" ht="15" hidden="false" customHeight="false" outlineLevel="0" collapsed="false">
      <c r="A42" s="38" t="str">
        <f aca="false">IF($D42="","",COUNTA($D$6:$D42))</f>
        <v/>
      </c>
      <c r="B42" s="39" t="str">
        <f aca="true">IF($D42="","",IF($AE42=1,COUNTIF($AE$6:$AE42,1)&amp;"",IF($AG42=0,"?",OFFSET(hdr_WBS,$AG42-ROW(hdr_WBS),0)&amp;"."&amp;COUNTIF(INDEX($AE:$AE,$AG42+1):$AE42,$AE42))))</f>
        <v/>
      </c>
      <c r="C42" s="40"/>
      <c r="D42" s="41"/>
      <c r="E42" s="40"/>
      <c r="F42" s="40"/>
      <c r="G42" s="40"/>
      <c r="H42" s="40"/>
      <c r="I42" s="40"/>
      <c r="J42" s="40"/>
      <c r="K42" s="40"/>
      <c r="L42" s="40"/>
      <c r="M42" s="29"/>
      <c r="N42" s="30" t="str">
        <f aca="true">IF($D42="","",IF($AI42,MIN(OFFSET(hdr_PlanStart,$AF42+1,0,$AH42,1)),IF($E42="Manual",IF(N($M42)&gt;0,$M42,ProjectStart),WORKDAY.INTL(MAX(ProjectStart,N($M42),$AK42,$AL42)-1,1,WorkWeek,Holidays))))</f>
        <v/>
      </c>
      <c r="O42" s="30" t="str">
        <f aca="true">IF($D42="","",IF($AI42,MAX(OFFSET(hdr_PlanFinish,$AF42+1,0,$AH42,1)),IF(N($F42)&lt;=0,$N42,WORKDAY.INTL($N42,$F42-1,WorkWeek,Holidays))))</f>
        <v/>
      </c>
      <c r="P42" s="29"/>
      <c r="Q42" s="29"/>
      <c r="R42" s="30" t="str">
        <f aca="true">IF($D42="","",IF($AI42,MIN(OFFSET(hdr_FcStart,$AF42+1,0,$AH42,1)),IF(N($P42)&gt;0,$P42,IF($E42="Manual",IF(N($M42)&gt;0,$M42,ProjectStart),WORKDAY.INTL(MAX(ProjectStart,N($M42),$AM42,$AN42,IF(RescheduleAfterStatus="Yes",StatusDate,0))-1,1,WorkWeek,Holidays)))))</f>
        <v/>
      </c>
      <c r="S42" s="30" t="str">
        <f aca="true">IF($D42="","",IF($AI42,MAX(OFFSET(hdr_FcFinish,$AF42+1,0,$AH42,1)),IF(N($Q42)&gt;0,$Q42,IF(N($F42)&lt;=0,$R42,IF(AND(N($P42)&gt;0,RescheduleAfterStatus="Yes"),MAX(WORKDAY.INTL($R42,$F42-1,WorkWeek,Holidays),WORKDAY.INTL(StatusWorkday,MAX(0,ROUNDUP($F42*(1-MIN(1,N($U42))),0)-1),WorkWeek,Holidays)),WORKDAY.INTL($R42,$F42-1,WorkWeek,Holidays))))))</f>
        <v/>
      </c>
      <c r="T42" s="38" t="str">
        <f aca="false">IF($D42="","",IF($S42&gt;=$O42,NETWORKDAYS.INTL($O42,$S42,WorkWeek,Holidays)-1,1-NETWORKDAYS.INTL($S42,$O42,WorkWeek,Holidays)))</f>
        <v/>
      </c>
      <c r="U42" s="32"/>
      <c r="V42" s="42" t="str">
        <f aca="true">IF($D42="","",IF($AI42,IFERROR(SUM(OFFSET(hdr_WtDone,$AF42+1,0,$AH42,1))/SUM(OFFSET(hdr_WtDur,$AF42+1,0,$AH42,1)),0),IF(N($Q42)&gt;0,1,MIN(1,N($U42)))))</f>
        <v/>
      </c>
      <c r="W42" s="39" t="str">
        <f aca="false">IF($D42="","",IF($V42&gt;=1,"Complete",IF(OR(N($P42)&gt;0,$V42&gt;0),IF($T42&gt;0,"Behind","In Progress"),IF($N42&lt;StatusDate,"Late Start","Not Started"))))</f>
        <v/>
      </c>
      <c r="X42" s="41"/>
      <c r="Y42" s="32"/>
      <c r="Z42" s="43" t="str">
        <f aca="true">IF($D42="","",IF($AI42,SUMPRODUCT(OFFSET(hdr_Work,$AF42+1,0,$AH42,1),OFFSET(hdr_IsLeaf,$AF42+1,0,$AH42,1)),IF($X42="",0,N($F42)*HoursPerDay*IF($Y42="",DefaultUnits,$Y42))))</f>
        <v/>
      </c>
      <c r="AA42" s="44" t="str">
        <f aca="true">IF($D42="","",IF($AI42,SUMPRODUCT(OFFSET(hdr_Cost,$AF42+1,0,$AH42,1),OFFSET(hdr_IsLeaf,$AF42+1,0,$AH42,1)),$Z42*IFERROR(INDEX(res_Rate,MATCH($X42,res_Name,0)),0)))</f>
        <v/>
      </c>
      <c r="AB42" s="38" t="str">
        <f aca="false">IF(OR($D42="",$AI42),"",IF(OR($R42&lt;Sprint1Start,$R42&gt;SprintLastEnd),"Backlog",INDEX(spr_Name,MATCH($R42,spr_Start,1))))</f>
        <v/>
      </c>
      <c r="AC42" s="45" t="str">
        <f aca="false">IF($D42="","",$AT42&amp;IF(AND($AT42&lt;&gt;"",$AU42&lt;&gt;""),",","")&amp;$AU42)</f>
        <v/>
      </c>
      <c r="AD42" s="41"/>
      <c r="AE42" s="46" t="str">
        <f aca="false">IF($D42="","",MAX(1,N($C42)))</f>
        <v/>
      </c>
      <c r="AF42" s="46" t="n">
        <f aca="false">ROW()-ROW(hdr_ID)</f>
        <v>37</v>
      </c>
      <c r="AG42" s="46" t="n">
        <f aca="false">IF(OR($D42="",$AE42&lt;=1),0,IFERROR(LOOKUP(2,1/($AE$5:$AE41=$AE42-1),ROW($AE$5:$AE41)),0))</f>
        <v>0</v>
      </c>
      <c r="AH42" s="46" t="n">
        <f aca="false">IF($D42="",0,COUNTIF(tsk_WBS,$B42&amp;".*"))</f>
        <v>0</v>
      </c>
      <c r="AI42" s="47" t="b">
        <f aca="false">$AH42&gt;0</f>
        <v>0</v>
      </c>
      <c r="AJ42" s="46" t="n">
        <f aca="false">IF(AND($D42&lt;&gt;"",NOT($AI42)),1,0)</f>
        <v>0</v>
      </c>
      <c r="AK42" s="48" t="n">
        <f aca="true">IF(OR(N($G42)=0,$AI42,$D42=""),0,IFERROR(CHOOSE(MATCH(IF($H42="","FS",$H42),{"FS","SS","FF","SF"},0),WORKDAY.INTL(OFFSET(hdr_PlanFinish,MATCH($G42,tsk_ID,0),0),IF(N($F42)=0,0,1)+N($I42),WorkWeek,Holidays),WORKDAY.INTL(OFFSET(hdr_PlanStart,MATCH($G42,tsk_ID,0),0),N($I42),WorkWeek,Holidays),WORKDAY.INTL(WORKDAY.INTL(OFFSET(hdr_PlanFinish,MATCH($G42,tsk_ID,0),0),N($I42),WorkWeek,Holidays),-MAX(0,N($F42)-1),WorkWeek,Holidays),WORKDAY.INTL(WORKDAY.INTL(OFFSET(hdr_PlanStart,MATCH($G42,tsk_ID,0),0),N($I42),WorkWeek,Holidays),-MAX(0,N($F42)-1),WorkWeek,Holidays)),0))</f>
        <v>0</v>
      </c>
      <c r="AL42" s="48" t="n">
        <f aca="true">IF(OR(N($J42)=0,$AI42,$D42=""),0,IFERROR(CHOOSE(MATCH(IF($K42="","FS",$K42),{"FS","SS","FF","SF"},0),WORKDAY.INTL(OFFSET(hdr_PlanFinish,MATCH($J42,tsk_ID,0),0),IF(N($F42)=0,0,1)+N($L42),WorkWeek,Holidays),WORKDAY.INTL(OFFSET(hdr_PlanStart,MATCH($J42,tsk_ID,0),0),N($L42),WorkWeek,Holidays),WORKDAY.INTL(WORKDAY.INTL(OFFSET(hdr_PlanFinish,MATCH($J42,tsk_ID,0),0),N($L42),WorkWeek,Holidays),-MAX(0,N($F42)-1),WorkWeek,Holidays),WORKDAY.INTL(WORKDAY.INTL(OFFSET(hdr_PlanStart,MATCH($J42,tsk_ID,0),0),N($L42),WorkWeek,Holidays),-MAX(0,N($F42)-1),WorkWeek,Holidays)),0))</f>
        <v>0</v>
      </c>
      <c r="AM42" s="48" t="n">
        <f aca="true">IF(OR(N($G42)=0,$AI42,$D42=""),0,IFERROR(CHOOSE(MATCH(IF($H42="","FS",$H42),{"FS","SS","FF","SF"},0),WORKDAY.INTL(OFFSET(hdr_FcFinish,MATCH($G42,tsk_ID,0),0),IF(N($F42)=0,0,1)+N($I42),WorkWeek,Holidays),WORKDAY.INTL(OFFSET(hdr_FcStart,MATCH($G42,tsk_ID,0),0),N($I42),WorkWeek,Holidays),WORKDAY.INTL(WORKDAY.INTL(OFFSET(hdr_FcFinish,MATCH($G42,tsk_ID,0),0),N($I42),WorkWeek,Holidays),-MAX(0,N($F42)-1),WorkWeek,Holidays),WORKDAY.INTL(WORKDAY.INTL(OFFSET(hdr_FcStart,MATCH($G42,tsk_ID,0),0),N($I42),WorkWeek,Holidays),-MAX(0,N($F42)-1),WorkWeek,Holidays)),0))</f>
        <v>0</v>
      </c>
      <c r="AN42" s="48" t="n">
        <f aca="true">IF(OR(N($J42)=0,$AI42,$D42=""),0,IFERROR(CHOOSE(MATCH(IF($K42="","FS",$K42),{"FS","SS","FF","SF"},0),WORKDAY.INTL(OFFSET(hdr_FcFinish,MATCH($J42,tsk_ID,0),0),IF(N($F42)=0,0,1)+N($L42),WorkWeek,Holidays),WORKDAY.INTL(OFFSET(hdr_FcStart,MATCH($J42,tsk_ID,0),0),N($L42),WorkWeek,Holidays),WORKDAY.INTL(WORKDAY.INTL(OFFSET(hdr_FcFinish,MATCH($J42,tsk_ID,0),0),N($L42),WorkWeek,Holidays),-MAX(0,N($F42)-1),WorkWeek,Holidays),WORKDAY.INTL(WORKDAY.INTL(OFFSET(hdr_FcStart,MATCH($J42,tsk_ID,0),0),N($L42),WorkWeek,Holidays),-MAX(0,N($F42)-1),WorkWeek,Holidays)),0))</f>
        <v>0</v>
      </c>
      <c r="AO42" s="48" t="n">
        <f aca="false">IF($AJ42=1,$R42,0)</f>
        <v>0</v>
      </c>
      <c r="AP42" s="48" t="n">
        <f aca="false">IF($AJ42=1,$S42,0)</f>
        <v>0</v>
      </c>
      <c r="AQ42" s="49" t="n">
        <f aca="false">IF(AND($AJ42=1,N($Z42)&gt;0),$Z42/($AP42-$AO42+1),0)</f>
        <v>0</v>
      </c>
      <c r="AR42" s="46" t="n">
        <f aca="false">IF($AJ42=1,MAX(N($F42),0.1),0)</f>
        <v>0</v>
      </c>
      <c r="AS42" s="46" t="n">
        <f aca="false">IF($AJ42=1,$AR42*$V42,0)</f>
        <v>0</v>
      </c>
      <c r="AT42" s="46" t="str">
        <f aca="false">IF(N($G42)=0,"",$G42&amp;IF(AND(IF($H42="","FS",$H42)="FS",N($I42)=0),"",IF($H42="","FS",$H42)&amp;IF(N($I42)=0,"",IF(N($I42)&gt;0,"+","")&amp;N($I42)&amp;"d")))</f>
        <v/>
      </c>
      <c r="AU42" s="46" t="str">
        <f aca="false">IF(N($J42)=0,"",$J42&amp;IF(AND(IF($K42="","FS",$K42)="FS",N($L42)=0),"",IF($K42="","FS",$K42)&amp;IF(N($L42)=0,"",IF(N($L42)&gt;0,"+","")&amp;N($L42)&amp;"d")))</f>
        <v/>
      </c>
      <c r="AV42" s="46" t="str">
        <f aca="false">IF(AND($AJ42=1,N($F42)=0,$V42&lt;1),$S42+$AF42/100000,"")</f>
        <v/>
      </c>
    </row>
    <row r="43" customFormat="false" ht="15" hidden="false" customHeight="false" outlineLevel="0" collapsed="false">
      <c r="A43" s="38" t="str">
        <f aca="false">IF($D43="","",COUNTA($D$6:$D43))</f>
        <v/>
      </c>
      <c r="B43" s="39" t="str">
        <f aca="true">IF($D43="","",IF($AE43=1,COUNTIF($AE$6:$AE43,1)&amp;"",IF($AG43=0,"?",OFFSET(hdr_WBS,$AG43-ROW(hdr_WBS),0)&amp;"."&amp;COUNTIF(INDEX($AE:$AE,$AG43+1):$AE43,$AE43))))</f>
        <v/>
      </c>
      <c r="C43" s="40"/>
      <c r="D43" s="41"/>
      <c r="E43" s="40"/>
      <c r="F43" s="40"/>
      <c r="G43" s="40"/>
      <c r="H43" s="40"/>
      <c r="I43" s="40"/>
      <c r="J43" s="40"/>
      <c r="K43" s="40"/>
      <c r="L43" s="40"/>
      <c r="M43" s="29"/>
      <c r="N43" s="30" t="str">
        <f aca="true">IF($D43="","",IF($AI43,MIN(OFFSET(hdr_PlanStart,$AF43+1,0,$AH43,1)),IF($E43="Manual",IF(N($M43)&gt;0,$M43,ProjectStart),WORKDAY.INTL(MAX(ProjectStart,N($M43),$AK43,$AL43)-1,1,WorkWeek,Holidays))))</f>
        <v/>
      </c>
      <c r="O43" s="30" t="str">
        <f aca="true">IF($D43="","",IF($AI43,MAX(OFFSET(hdr_PlanFinish,$AF43+1,0,$AH43,1)),IF(N($F43)&lt;=0,$N43,WORKDAY.INTL($N43,$F43-1,WorkWeek,Holidays))))</f>
        <v/>
      </c>
      <c r="P43" s="29"/>
      <c r="Q43" s="29"/>
      <c r="R43" s="30" t="str">
        <f aca="true">IF($D43="","",IF($AI43,MIN(OFFSET(hdr_FcStart,$AF43+1,0,$AH43,1)),IF(N($P43)&gt;0,$P43,IF($E43="Manual",IF(N($M43)&gt;0,$M43,ProjectStart),WORKDAY.INTL(MAX(ProjectStart,N($M43),$AM43,$AN43,IF(RescheduleAfterStatus="Yes",StatusDate,0))-1,1,WorkWeek,Holidays)))))</f>
        <v/>
      </c>
      <c r="S43" s="30" t="str">
        <f aca="true">IF($D43="","",IF($AI43,MAX(OFFSET(hdr_FcFinish,$AF43+1,0,$AH43,1)),IF(N($Q43)&gt;0,$Q43,IF(N($F43)&lt;=0,$R43,IF(AND(N($P43)&gt;0,RescheduleAfterStatus="Yes"),MAX(WORKDAY.INTL($R43,$F43-1,WorkWeek,Holidays),WORKDAY.INTL(StatusWorkday,MAX(0,ROUNDUP($F43*(1-MIN(1,N($U43))),0)-1),WorkWeek,Holidays)),WORKDAY.INTL($R43,$F43-1,WorkWeek,Holidays))))))</f>
        <v/>
      </c>
      <c r="T43" s="38" t="str">
        <f aca="false">IF($D43="","",IF($S43&gt;=$O43,NETWORKDAYS.INTL($O43,$S43,WorkWeek,Holidays)-1,1-NETWORKDAYS.INTL($S43,$O43,WorkWeek,Holidays)))</f>
        <v/>
      </c>
      <c r="U43" s="32"/>
      <c r="V43" s="42" t="str">
        <f aca="true">IF($D43="","",IF($AI43,IFERROR(SUM(OFFSET(hdr_WtDone,$AF43+1,0,$AH43,1))/SUM(OFFSET(hdr_WtDur,$AF43+1,0,$AH43,1)),0),IF(N($Q43)&gt;0,1,MIN(1,N($U43)))))</f>
        <v/>
      </c>
      <c r="W43" s="39" t="str">
        <f aca="false">IF($D43="","",IF($V43&gt;=1,"Complete",IF(OR(N($P43)&gt;0,$V43&gt;0),IF($T43&gt;0,"Behind","In Progress"),IF($N43&lt;StatusDate,"Late Start","Not Started"))))</f>
        <v/>
      </c>
      <c r="X43" s="41"/>
      <c r="Y43" s="32"/>
      <c r="Z43" s="43" t="str">
        <f aca="true">IF($D43="","",IF($AI43,SUMPRODUCT(OFFSET(hdr_Work,$AF43+1,0,$AH43,1),OFFSET(hdr_IsLeaf,$AF43+1,0,$AH43,1)),IF($X43="",0,N($F43)*HoursPerDay*IF($Y43="",DefaultUnits,$Y43))))</f>
        <v/>
      </c>
      <c r="AA43" s="44" t="str">
        <f aca="true">IF($D43="","",IF($AI43,SUMPRODUCT(OFFSET(hdr_Cost,$AF43+1,0,$AH43,1),OFFSET(hdr_IsLeaf,$AF43+1,0,$AH43,1)),$Z43*IFERROR(INDEX(res_Rate,MATCH($X43,res_Name,0)),0)))</f>
        <v/>
      </c>
      <c r="AB43" s="38" t="str">
        <f aca="false">IF(OR($D43="",$AI43),"",IF(OR($R43&lt;Sprint1Start,$R43&gt;SprintLastEnd),"Backlog",INDEX(spr_Name,MATCH($R43,spr_Start,1))))</f>
        <v/>
      </c>
      <c r="AC43" s="45" t="str">
        <f aca="false">IF($D43="","",$AT43&amp;IF(AND($AT43&lt;&gt;"",$AU43&lt;&gt;""),",","")&amp;$AU43)</f>
        <v/>
      </c>
      <c r="AD43" s="41"/>
      <c r="AE43" s="46" t="str">
        <f aca="false">IF($D43="","",MAX(1,N($C43)))</f>
        <v/>
      </c>
      <c r="AF43" s="46" t="n">
        <f aca="false">ROW()-ROW(hdr_ID)</f>
        <v>38</v>
      </c>
      <c r="AG43" s="46" t="n">
        <f aca="false">IF(OR($D43="",$AE43&lt;=1),0,IFERROR(LOOKUP(2,1/($AE$5:$AE42=$AE43-1),ROW($AE$5:$AE42)),0))</f>
        <v>0</v>
      </c>
      <c r="AH43" s="46" t="n">
        <f aca="false">IF($D43="",0,COUNTIF(tsk_WBS,$B43&amp;".*"))</f>
        <v>0</v>
      </c>
      <c r="AI43" s="47" t="b">
        <f aca="false">$AH43&gt;0</f>
        <v>0</v>
      </c>
      <c r="AJ43" s="46" t="n">
        <f aca="false">IF(AND($D43&lt;&gt;"",NOT($AI43)),1,0)</f>
        <v>0</v>
      </c>
      <c r="AK43" s="48" t="n">
        <f aca="true">IF(OR(N($G43)=0,$AI43,$D43=""),0,IFERROR(CHOOSE(MATCH(IF($H43="","FS",$H43),{"FS","SS","FF","SF"},0),WORKDAY.INTL(OFFSET(hdr_PlanFinish,MATCH($G43,tsk_ID,0),0),IF(N($F43)=0,0,1)+N($I43),WorkWeek,Holidays),WORKDAY.INTL(OFFSET(hdr_PlanStart,MATCH($G43,tsk_ID,0),0),N($I43),WorkWeek,Holidays),WORKDAY.INTL(WORKDAY.INTL(OFFSET(hdr_PlanFinish,MATCH($G43,tsk_ID,0),0),N($I43),WorkWeek,Holidays),-MAX(0,N($F43)-1),WorkWeek,Holidays),WORKDAY.INTL(WORKDAY.INTL(OFFSET(hdr_PlanStart,MATCH($G43,tsk_ID,0),0),N($I43),WorkWeek,Holidays),-MAX(0,N($F43)-1),WorkWeek,Holidays)),0))</f>
        <v>0</v>
      </c>
      <c r="AL43" s="48" t="n">
        <f aca="true">IF(OR(N($J43)=0,$AI43,$D43=""),0,IFERROR(CHOOSE(MATCH(IF($K43="","FS",$K43),{"FS","SS","FF","SF"},0),WORKDAY.INTL(OFFSET(hdr_PlanFinish,MATCH($J43,tsk_ID,0),0),IF(N($F43)=0,0,1)+N($L43),WorkWeek,Holidays),WORKDAY.INTL(OFFSET(hdr_PlanStart,MATCH($J43,tsk_ID,0),0),N($L43),WorkWeek,Holidays),WORKDAY.INTL(WORKDAY.INTL(OFFSET(hdr_PlanFinish,MATCH($J43,tsk_ID,0),0),N($L43),WorkWeek,Holidays),-MAX(0,N($F43)-1),WorkWeek,Holidays),WORKDAY.INTL(WORKDAY.INTL(OFFSET(hdr_PlanStart,MATCH($J43,tsk_ID,0),0),N($L43),WorkWeek,Holidays),-MAX(0,N($F43)-1),WorkWeek,Holidays)),0))</f>
        <v>0</v>
      </c>
      <c r="AM43" s="48" t="n">
        <f aca="true">IF(OR(N($G43)=0,$AI43,$D43=""),0,IFERROR(CHOOSE(MATCH(IF($H43="","FS",$H43),{"FS","SS","FF","SF"},0),WORKDAY.INTL(OFFSET(hdr_FcFinish,MATCH($G43,tsk_ID,0),0),IF(N($F43)=0,0,1)+N($I43),WorkWeek,Holidays),WORKDAY.INTL(OFFSET(hdr_FcStart,MATCH($G43,tsk_ID,0),0),N($I43),WorkWeek,Holidays),WORKDAY.INTL(WORKDAY.INTL(OFFSET(hdr_FcFinish,MATCH($G43,tsk_ID,0),0),N($I43),WorkWeek,Holidays),-MAX(0,N($F43)-1),WorkWeek,Holidays),WORKDAY.INTL(WORKDAY.INTL(OFFSET(hdr_FcStart,MATCH($G43,tsk_ID,0),0),N($I43),WorkWeek,Holidays),-MAX(0,N($F43)-1),WorkWeek,Holidays)),0))</f>
        <v>0</v>
      </c>
      <c r="AN43" s="48" t="n">
        <f aca="true">IF(OR(N($J43)=0,$AI43,$D43=""),0,IFERROR(CHOOSE(MATCH(IF($K43="","FS",$K43),{"FS","SS","FF","SF"},0),WORKDAY.INTL(OFFSET(hdr_FcFinish,MATCH($J43,tsk_ID,0),0),IF(N($F43)=0,0,1)+N($L43),WorkWeek,Holidays),WORKDAY.INTL(OFFSET(hdr_FcStart,MATCH($J43,tsk_ID,0),0),N($L43),WorkWeek,Holidays),WORKDAY.INTL(WORKDAY.INTL(OFFSET(hdr_FcFinish,MATCH($J43,tsk_ID,0),0),N($L43),WorkWeek,Holidays),-MAX(0,N($F43)-1),WorkWeek,Holidays),WORKDAY.INTL(WORKDAY.INTL(OFFSET(hdr_FcStart,MATCH($J43,tsk_ID,0),0),N($L43),WorkWeek,Holidays),-MAX(0,N($F43)-1),WorkWeek,Holidays)),0))</f>
        <v>0</v>
      </c>
      <c r="AO43" s="48" t="n">
        <f aca="false">IF($AJ43=1,$R43,0)</f>
        <v>0</v>
      </c>
      <c r="AP43" s="48" t="n">
        <f aca="false">IF($AJ43=1,$S43,0)</f>
        <v>0</v>
      </c>
      <c r="AQ43" s="49" t="n">
        <f aca="false">IF(AND($AJ43=1,N($Z43)&gt;0),$Z43/($AP43-$AO43+1),0)</f>
        <v>0</v>
      </c>
      <c r="AR43" s="46" t="n">
        <f aca="false">IF($AJ43=1,MAX(N($F43),0.1),0)</f>
        <v>0</v>
      </c>
      <c r="AS43" s="46" t="n">
        <f aca="false">IF($AJ43=1,$AR43*$V43,0)</f>
        <v>0</v>
      </c>
      <c r="AT43" s="46" t="str">
        <f aca="false">IF(N($G43)=0,"",$G43&amp;IF(AND(IF($H43="","FS",$H43)="FS",N($I43)=0),"",IF($H43="","FS",$H43)&amp;IF(N($I43)=0,"",IF(N($I43)&gt;0,"+","")&amp;N($I43)&amp;"d")))</f>
        <v/>
      </c>
      <c r="AU43" s="46" t="str">
        <f aca="false">IF(N($J43)=0,"",$J43&amp;IF(AND(IF($K43="","FS",$K43)="FS",N($L43)=0),"",IF($K43="","FS",$K43)&amp;IF(N($L43)=0,"",IF(N($L43)&gt;0,"+","")&amp;N($L43)&amp;"d")))</f>
        <v/>
      </c>
      <c r="AV43" s="46" t="str">
        <f aca="false">IF(AND($AJ43=1,N($F43)=0,$V43&lt;1),$S43+$AF43/100000,"")</f>
        <v/>
      </c>
    </row>
    <row r="44" customFormat="false" ht="15" hidden="false" customHeight="false" outlineLevel="0" collapsed="false">
      <c r="A44" s="38" t="str">
        <f aca="false">IF($D44="","",COUNTA($D$6:$D44))</f>
        <v/>
      </c>
      <c r="B44" s="39" t="str">
        <f aca="true">IF($D44="","",IF($AE44=1,COUNTIF($AE$6:$AE44,1)&amp;"",IF($AG44=0,"?",OFFSET(hdr_WBS,$AG44-ROW(hdr_WBS),0)&amp;"."&amp;COUNTIF(INDEX($AE:$AE,$AG44+1):$AE44,$AE44))))</f>
        <v/>
      </c>
      <c r="C44" s="40"/>
      <c r="D44" s="41"/>
      <c r="E44" s="40"/>
      <c r="F44" s="40"/>
      <c r="G44" s="40"/>
      <c r="H44" s="40"/>
      <c r="I44" s="40"/>
      <c r="J44" s="40"/>
      <c r="K44" s="40"/>
      <c r="L44" s="40"/>
      <c r="M44" s="29"/>
      <c r="N44" s="30" t="str">
        <f aca="true">IF($D44="","",IF($AI44,MIN(OFFSET(hdr_PlanStart,$AF44+1,0,$AH44,1)),IF($E44="Manual",IF(N($M44)&gt;0,$M44,ProjectStart),WORKDAY.INTL(MAX(ProjectStart,N($M44),$AK44,$AL44)-1,1,WorkWeek,Holidays))))</f>
        <v/>
      </c>
      <c r="O44" s="30" t="str">
        <f aca="true">IF($D44="","",IF($AI44,MAX(OFFSET(hdr_PlanFinish,$AF44+1,0,$AH44,1)),IF(N($F44)&lt;=0,$N44,WORKDAY.INTL($N44,$F44-1,WorkWeek,Holidays))))</f>
        <v/>
      </c>
      <c r="P44" s="29"/>
      <c r="Q44" s="29"/>
      <c r="R44" s="30" t="str">
        <f aca="true">IF($D44="","",IF($AI44,MIN(OFFSET(hdr_FcStart,$AF44+1,0,$AH44,1)),IF(N($P44)&gt;0,$P44,IF($E44="Manual",IF(N($M44)&gt;0,$M44,ProjectStart),WORKDAY.INTL(MAX(ProjectStart,N($M44),$AM44,$AN44,IF(RescheduleAfterStatus="Yes",StatusDate,0))-1,1,WorkWeek,Holidays)))))</f>
        <v/>
      </c>
      <c r="S44" s="30" t="str">
        <f aca="true">IF($D44="","",IF($AI44,MAX(OFFSET(hdr_FcFinish,$AF44+1,0,$AH44,1)),IF(N($Q44)&gt;0,$Q44,IF(N($F44)&lt;=0,$R44,IF(AND(N($P44)&gt;0,RescheduleAfterStatus="Yes"),MAX(WORKDAY.INTL($R44,$F44-1,WorkWeek,Holidays),WORKDAY.INTL(StatusWorkday,MAX(0,ROUNDUP($F44*(1-MIN(1,N($U44))),0)-1),WorkWeek,Holidays)),WORKDAY.INTL($R44,$F44-1,WorkWeek,Holidays))))))</f>
        <v/>
      </c>
      <c r="T44" s="38" t="str">
        <f aca="false">IF($D44="","",IF($S44&gt;=$O44,NETWORKDAYS.INTL($O44,$S44,WorkWeek,Holidays)-1,1-NETWORKDAYS.INTL($S44,$O44,WorkWeek,Holidays)))</f>
        <v/>
      </c>
      <c r="U44" s="32"/>
      <c r="V44" s="42" t="str">
        <f aca="true">IF($D44="","",IF($AI44,IFERROR(SUM(OFFSET(hdr_WtDone,$AF44+1,0,$AH44,1))/SUM(OFFSET(hdr_WtDur,$AF44+1,0,$AH44,1)),0),IF(N($Q44)&gt;0,1,MIN(1,N($U44)))))</f>
        <v/>
      </c>
      <c r="W44" s="39" t="str">
        <f aca="false">IF($D44="","",IF($V44&gt;=1,"Complete",IF(OR(N($P44)&gt;0,$V44&gt;0),IF($T44&gt;0,"Behind","In Progress"),IF($N44&lt;StatusDate,"Late Start","Not Started"))))</f>
        <v/>
      </c>
      <c r="X44" s="41"/>
      <c r="Y44" s="32"/>
      <c r="Z44" s="43" t="str">
        <f aca="true">IF($D44="","",IF($AI44,SUMPRODUCT(OFFSET(hdr_Work,$AF44+1,0,$AH44,1),OFFSET(hdr_IsLeaf,$AF44+1,0,$AH44,1)),IF($X44="",0,N($F44)*HoursPerDay*IF($Y44="",DefaultUnits,$Y44))))</f>
        <v/>
      </c>
      <c r="AA44" s="44" t="str">
        <f aca="true">IF($D44="","",IF($AI44,SUMPRODUCT(OFFSET(hdr_Cost,$AF44+1,0,$AH44,1),OFFSET(hdr_IsLeaf,$AF44+1,0,$AH44,1)),$Z44*IFERROR(INDEX(res_Rate,MATCH($X44,res_Name,0)),0)))</f>
        <v/>
      </c>
      <c r="AB44" s="38" t="str">
        <f aca="false">IF(OR($D44="",$AI44),"",IF(OR($R44&lt;Sprint1Start,$R44&gt;SprintLastEnd),"Backlog",INDEX(spr_Name,MATCH($R44,spr_Start,1))))</f>
        <v/>
      </c>
      <c r="AC44" s="45" t="str">
        <f aca="false">IF($D44="","",$AT44&amp;IF(AND($AT44&lt;&gt;"",$AU44&lt;&gt;""),",","")&amp;$AU44)</f>
        <v/>
      </c>
      <c r="AD44" s="41"/>
      <c r="AE44" s="46" t="str">
        <f aca="false">IF($D44="","",MAX(1,N($C44)))</f>
        <v/>
      </c>
      <c r="AF44" s="46" t="n">
        <f aca="false">ROW()-ROW(hdr_ID)</f>
        <v>39</v>
      </c>
      <c r="AG44" s="46" t="n">
        <f aca="false">IF(OR($D44="",$AE44&lt;=1),0,IFERROR(LOOKUP(2,1/($AE$5:$AE43=$AE44-1),ROW($AE$5:$AE43)),0))</f>
        <v>0</v>
      </c>
      <c r="AH44" s="46" t="n">
        <f aca="false">IF($D44="",0,COUNTIF(tsk_WBS,$B44&amp;".*"))</f>
        <v>0</v>
      </c>
      <c r="AI44" s="47" t="b">
        <f aca="false">$AH44&gt;0</f>
        <v>0</v>
      </c>
      <c r="AJ44" s="46" t="n">
        <f aca="false">IF(AND($D44&lt;&gt;"",NOT($AI44)),1,0)</f>
        <v>0</v>
      </c>
      <c r="AK44" s="48" t="n">
        <f aca="true">IF(OR(N($G44)=0,$AI44,$D44=""),0,IFERROR(CHOOSE(MATCH(IF($H44="","FS",$H44),{"FS","SS","FF","SF"},0),WORKDAY.INTL(OFFSET(hdr_PlanFinish,MATCH($G44,tsk_ID,0),0),IF(N($F44)=0,0,1)+N($I44),WorkWeek,Holidays),WORKDAY.INTL(OFFSET(hdr_PlanStart,MATCH($G44,tsk_ID,0),0),N($I44),WorkWeek,Holidays),WORKDAY.INTL(WORKDAY.INTL(OFFSET(hdr_PlanFinish,MATCH($G44,tsk_ID,0),0),N($I44),WorkWeek,Holidays),-MAX(0,N($F44)-1),WorkWeek,Holidays),WORKDAY.INTL(WORKDAY.INTL(OFFSET(hdr_PlanStart,MATCH($G44,tsk_ID,0),0),N($I44),WorkWeek,Holidays),-MAX(0,N($F44)-1),WorkWeek,Holidays)),0))</f>
        <v>0</v>
      </c>
      <c r="AL44" s="48" t="n">
        <f aca="true">IF(OR(N($J44)=0,$AI44,$D44=""),0,IFERROR(CHOOSE(MATCH(IF($K44="","FS",$K44),{"FS","SS","FF","SF"},0),WORKDAY.INTL(OFFSET(hdr_PlanFinish,MATCH($J44,tsk_ID,0),0),IF(N($F44)=0,0,1)+N($L44),WorkWeek,Holidays),WORKDAY.INTL(OFFSET(hdr_PlanStart,MATCH($J44,tsk_ID,0),0),N($L44),WorkWeek,Holidays),WORKDAY.INTL(WORKDAY.INTL(OFFSET(hdr_PlanFinish,MATCH($J44,tsk_ID,0),0),N($L44),WorkWeek,Holidays),-MAX(0,N($F44)-1),WorkWeek,Holidays),WORKDAY.INTL(WORKDAY.INTL(OFFSET(hdr_PlanStart,MATCH($J44,tsk_ID,0),0),N($L44),WorkWeek,Holidays),-MAX(0,N($F44)-1),WorkWeek,Holidays)),0))</f>
        <v>0</v>
      </c>
      <c r="AM44" s="48" t="n">
        <f aca="true">IF(OR(N($G44)=0,$AI44,$D44=""),0,IFERROR(CHOOSE(MATCH(IF($H44="","FS",$H44),{"FS","SS","FF","SF"},0),WORKDAY.INTL(OFFSET(hdr_FcFinish,MATCH($G44,tsk_ID,0),0),IF(N($F44)=0,0,1)+N($I44),WorkWeek,Holidays),WORKDAY.INTL(OFFSET(hdr_FcStart,MATCH($G44,tsk_ID,0),0),N($I44),WorkWeek,Holidays),WORKDAY.INTL(WORKDAY.INTL(OFFSET(hdr_FcFinish,MATCH($G44,tsk_ID,0),0),N($I44),WorkWeek,Holidays),-MAX(0,N($F44)-1),WorkWeek,Holidays),WORKDAY.INTL(WORKDAY.INTL(OFFSET(hdr_FcStart,MATCH($G44,tsk_ID,0),0),N($I44),WorkWeek,Holidays),-MAX(0,N($F44)-1),WorkWeek,Holidays)),0))</f>
        <v>0</v>
      </c>
      <c r="AN44" s="48" t="n">
        <f aca="true">IF(OR(N($J44)=0,$AI44,$D44=""),0,IFERROR(CHOOSE(MATCH(IF($K44="","FS",$K44),{"FS","SS","FF","SF"},0),WORKDAY.INTL(OFFSET(hdr_FcFinish,MATCH($J44,tsk_ID,0),0),IF(N($F44)=0,0,1)+N($L44),WorkWeek,Holidays),WORKDAY.INTL(OFFSET(hdr_FcStart,MATCH($J44,tsk_ID,0),0),N($L44),WorkWeek,Holidays),WORKDAY.INTL(WORKDAY.INTL(OFFSET(hdr_FcFinish,MATCH($J44,tsk_ID,0),0),N($L44),WorkWeek,Holidays),-MAX(0,N($F44)-1),WorkWeek,Holidays),WORKDAY.INTL(WORKDAY.INTL(OFFSET(hdr_FcStart,MATCH($J44,tsk_ID,0),0),N($L44),WorkWeek,Holidays),-MAX(0,N($F44)-1),WorkWeek,Holidays)),0))</f>
        <v>0</v>
      </c>
      <c r="AO44" s="48" t="n">
        <f aca="false">IF($AJ44=1,$R44,0)</f>
        <v>0</v>
      </c>
      <c r="AP44" s="48" t="n">
        <f aca="false">IF($AJ44=1,$S44,0)</f>
        <v>0</v>
      </c>
      <c r="AQ44" s="49" t="n">
        <f aca="false">IF(AND($AJ44=1,N($Z44)&gt;0),$Z44/($AP44-$AO44+1),0)</f>
        <v>0</v>
      </c>
      <c r="AR44" s="46" t="n">
        <f aca="false">IF($AJ44=1,MAX(N($F44),0.1),0)</f>
        <v>0</v>
      </c>
      <c r="AS44" s="46" t="n">
        <f aca="false">IF($AJ44=1,$AR44*$V44,0)</f>
        <v>0</v>
      </c>
      <c r="AT44" s="46" t="str">
        <f aca="false">IF(N($G44)=0,"",$G44&amp;IF(AND(IF($H44="","FS",$H44)="FS",N($I44)=0),"",IF($H44="","FS",$H44)&amp;IF(N($I44)=0,"",IF(N($I44)&gt;0,"+","")&amp;N($I44)&amp;"d")))</f>
        <v/>
      </c>
      <c r="AU44" s="46" t="str">
        <f aca="false">IF(N($J44)=0,"",$J44&amp;IF(AND(IF($K44="","FS",$K44)="FS",N($L44)=0),"",IF($K44="","FS",$K44)&amp;IF(N($L44)=0,"",IF(N($L44)&gt;0,"+","")&amp;N($L44)&amp;"d")))</f>
        <v/>
      </c>
      <c r="AV44" s="46" t="str">
        <f aca="false">IF(AND($AJ44=1,N($F44)=0,$V44&lt;1),$S44+$AF44/100000,"")</f>
        <v/>
      </c>
    </row>
    <row r="45" customFormat="false" ht="15" hidden="false" customHeight="false" outlineLevel="0" collapsed="false">
      <c r="A45" s="38" t="str">
        <f aca="false">IF($D45="","",COUNTA($D$6:$D45))</f>
        <v/>
      </c>
      <c r="B45" s="39" t="str">
        <f aca="true">IF($D45="","",IF($AE45=1,COUNTIF($AE$6:$AE45,1)&amp;"",IF($AG45=0,"?",OFFSET(hdr_WBS,$AG45-ROW(hdr_WBS),0)&amp;"."&amp;COUNTIF(INDEX($AE:$AE,$AG45+1):$AE45,$AE45))))</f>
        <v/>
      </c>
      <c r="C45" s="40"/>
      <c r="D45" s="41"/>
      <c r="E45" s="40"/>
      <c r="F45" s="40"/>
      <c r="G45" s="40"/>
      <c r="H45" s="40"/>
      <c r="I45" s="40"/>
      <c r="J45" s="40"/>
      <c r="K45" s="40"/>
      <c r="L45" s="40"/>
      <c r="M45" s="29"/>
      <c r="N45" s="30" t="str">
        <f aca="true">IF($D45="","",IF($AI45,MIN(OFFSET(hdr_PlanStart,$AF45+1,0,$AH45,1)),IF($E45="Manual",IF(N($M45)&gt;0,$M45,ProjectStart),WORKDAY.INTL(MAX(ProjectStart,N($M45),$AK45,$AL45)-1,1,WorkWeek,Holidays))))</f>
        <v/>
      </c>
      <c r="O45" s="30" t="str">
        <f aca="true">IF($D45="","",IF($AI45,MAX(OFFSET(hdr_PlanFinish,$AF45+1,0,$AH45,1)),IF(N($F45)&lt;=0,$N45,WORKDAY.INTL($N45,$F45-1,WorkWeek,Holidays))))</f>
        <v/>
      </c>
      <c r="P45" s="29"/>
      <c r="Q45" s="29"/>
      <c r="R45" s="30" t="str">
        <f aca="true">IF($D45="","",IF($AI45,MIN(OFFSET(hdr_FcStart,$AF45+1,0,$AH45,1)),IF(N($P45)&gt;0,$P45,IF($E45="Manual",IF(N($M45)&gt;0,$M45,ProjectStart),WORKDAY.INTL(MAX(ProjectStart,N($M45),$AM45,$AN45,IF(RescheduleAfterStatus="Yes",StatusDate,0))-1,1,WorkWeek,Holidays)))))</f>
        <v/>
      </c>
      <c r="S45" s="30" t="str">
        <f aca="true">IF($D45="","",IF($AI45,MAX(OFFSET(hdr_FcFinish,$AF45+1,0,$AH45,1)),IF(N($Q45)&gt;0,$Q45,IF(N($F45)&lt;=0,$R45,IF(AND(N($P45)&gt;0,RescheduleAfterStatus="Yes"),MAX(WORKDAY.INTL($R45,$F45-1,WorkWeek,Holidays),WORKDAY.INTL(StatusWorkday,MAX(0,ROUNDUP($F45*(1-MIN(1,N($U45))),0)-1),WorkWeek,Holidays)),WORKDAY.INTL($R45,$F45-1,WorkWeek,Holidays))))))</f>
        <v/>
      </c>
      <c r="T45" s="38" t="str">
        <f aca="false">IF($D45="","",IF($S45&gt;=$O45,NETWORKDAYS.INTL($O45,$S45,WorkWeek,Holidays)-1,1-NETWORKDAYS.INTL($S45,$O45,WorkWeek,Holidays)))</f>
        <v/>
      </c>
      <c r="U45" s="32"/>
      <c r="V45" s="42" t="str">
        <f aca="true">IF($D45="","",IF($AI45,IFERROR(SUM(OFFSET(hdr_WtDone,$AF45+1,0,$AH45,1))/SUM(OFFSET(hdr_WtDur,$AF45+1,0,$AH45,1)),0),IF(N($Q45)&gt;0,1,MIN(1,N($U45)))))</f>
        <v/>
      </c>
      <c r="W45" s="39" t="str">
        <f aca="false">IF($D45="","",IF($V45&gt;=1,"Complete",IF(OR(N($P45)&gt;0,$V45&gt;0),IF($T45&gt;0,"Behind","In Progress"),IF($N45&lt;StatusDate,"Late Start","Not Started"))))</f>
        <v/>
      </c>
      <c r="X45" s="41"/>
      <c r="Y45" s="32"/>
      <c r="Z45" s="43" t="str">
        <f aca="true">IF($D45="","",IF($AI45,SUMPRODUCT(OFFSET(hdr_Work,$AF45+1,0,$AH45,1),OFFSET(hdr_IsLeaf,$AF45+1,0,$AH45,1)),IF($X45="",0,N($F45)*HoursPerDay*IF($Y45="",DefaultUnits,$Y45))))</f>
        <v/>
      </c>
      <c r="AA45" s="44" t="str">
        <f aca="true">IF($D45="","",IF($AI45,SUMPRODUCT(OFFSET(hdr_Cost,$AF45+1,0,$AH45,1),OFFSET(hdr_IsLeaf,$AF45+1,0,$AH45,1)),$Z45*IFERROR(INDEX(res_Rate,MATCH($X45,res_Name,0)),0)))</f>
        <v/>
      </c>
      <c r="AB45" s="38" t="str">
        <f aca="false">IF(OR($D45="",$AI45),"",IF(OR($R45&lt;Sprint1Start,$R45&gt;SprintLastEnd),"Backlog",INDEX(spr_Name,MATCH($R45,spr_Start,1))))</f>
        <v/>
      </c>
      <c r="AC45" s="45" t="str">
        <f aca="false">IF($D45="","",$AT45&amp;IF(AND($AT45&lt;&gt;"",$AU45&lt;&gt;""),",","")&amp;$AU45)</f>
        <v/>
      </c>
      <c r="AD45" s="41"/>
      <c r="AE45" s="46" t="str">
        <f aca="false">IF($D45="","",MAX(1,N($C45)))</f>
        <v/>
      </c>
      <c r="AF45" s="46" t="n">
        <f aca="false">ROW()-ROW(hdr_ID)</f>
        <v>40</v>
      </c>
      <c r="AG45" s="46" t="n">
        <f aca="false">IF(OR($D45="",$AE45&lt;=1),0,IFERROR(LOOKUP(2,1/($AE$5:$AE44=$AE45-1),ROW($AE$5:$AE44)),0))</f>
        <v>0</v>
      </c>
      <c r="AH45" s="46" t="n">
        <f aca="false">IF($D45="",0,COUNTIF(tsk_WBS,$B45&amp;".*"))</f>
        <v>0</v>
      </c>
      <c r="AI45" s="47" t="b">
        <f aca="false">$AH45&gt;0</f>
        <v>0</v>
      </c>
      <c r="AJ45" s="46" t="n">
        <f aca="false">IF(AND($D45&lt;&gt;"",NOT($AI45)),1,0)</f>
        <v>0</v>
      </c>
      <c r="AK45" s="48" t="n">
        <f aca="true">IF(OR(N($G45)=0,$AI45,$D45=""),0,IFERROR(CHOOSE(MATCH(IF($H45="","FS",$H45),{"FS","SS","FF","SF"},0),WORKDAY.INTL(OFFSET(hdr_PlanFinish,MATCH($G45,tsk_ID,0),0),IF(N($F45)=0,0,1)+N($I45),WorkWeek,Holidays),WORKDAY.INTL(OFFSET(hdr_PlanStart,MATCH($G45,tsk_ID,0),0),N($I45),WorkWeek,Holidays),WORKDAY.INTL(WORKDAY.INTL(OFFSET(hdr_PlanFinish,MATCH($G45,tsk_ID,0),0),N($I45),WorkWeek,Holidays),-MAX(0,N($F45)-1),WorkWeek,Holidays),WORKDAY.INTL(WORKDAY.INTL(OFFSET(hdr_PlanStart,MATCH($G45,tsk_ID,0),0),N($I45),WorkWeek,Holidays),-MAX(0,N($F45)-1),WorkWeek,Holidays)),0))</f>
        <v>0</v>
      </c>
      <c r="AL45" s="48" t="n">
        <f aca="true">IF(OR(N($J45)=0,$AI45,$D45=""),0,IFERROR(CHOOSE(MATCH(IF($K45="","FS",$K45),{"FS","SS","FF","SF"},0),WORKDAY.INTL(OFFSET(hdr_PlanFinish,MATCH($J45,tsk_ID,0),0),IF(N($F45)=0,0,1)+N($L45),WorkWeek,Holidays),WORKDAY.INTL(OFFSET(hdr_PlanStart,MATCH($J45,tsk_ID,0),0),N($L45),WorkWeek,Holidays),WORKDAY.INTL(WORKDAY.INTL(OFFSET(hdr_PlanFinish,MATCH($J45,tsk_ID,0),0),N($L45),WorkWeek,Holidays),-MAX(0,N($F45)-1),WorkWeek,Holidays),WORKDAY.INTL(WORKDAY.INTL(OFFSET(hdr_PlanStart,MATCH($J45,tsk_ID,0),0),N($L45),WorkWeek,Holidays),-MAX(0,N($F45)-1),WorkWeek,Holidays)),0))</f>
        <v>0</v>
      </c>
      <c r="AM45" s="48" t="n">
        <f aca="true">IF(OR(N($G45)=0,$AI45,$D45=""),0,IFERROR(CHOOSE(MATCH(IF($H45="","FS",$H45),{"FS","SS","FF","SF"},0),WORKDAY.INTL(OFFSET(hdr_FcFinish,MATCH($G45,tsk_ID,0),0),IF(N($F45)=0,0,1)+N($I45),WorkWeek,Holidays),WORKDAY.INTL(OFFSET(hdr_FcStart,MATCH($G45,tsk_ID,0),0),N($I45),WorkWeek,Holidays),WORKDAY.INTL(WORKDAY.INTL(OFFSET(hdr_FcFinish,MATCH($G45,tsk_ID,0),0),N($I45),WorkWeek,Holidays),-MAX(0,N($F45)-1),WorkWeek,Holidays),WORKDAY.INTL(WORKDAY.INTL(OFFSET(hdr_FcStart,MATCH($G45,tsk_ID,0),0),N($I45),WorkWeek,Holidays),-MAX(0,N($F45)-1),WorkWeek,Holidays)),0))</f>
        <v>0</v>
      </c>
      <c r="AN45" s="48" t="n">
        <f aca="true">IF(OR(N($J45)=0,$AI45,$D45=""),0,IFERROR(CHOOSE(MATCH(IF($K45="","FS",$K45),{"FS","SS","FF","SF"},0),WORKDAY.INTL(OFFSET(hdr_FcFinish,MATCH($J45,tsk_ID,0),0),IF(N($F45)=0,0,1)+N($L45),WorkWeek,Holidays),WORKDAY.INTL(OFFSET(hdr_FcStart,MATCH($J45,tsk_ID,0),0),N($L45),WorkWeek,Holidays),WORKDAY.INTL(WORKDAY.INTL(OFFSET(hdr_FcFinish,MATCH($J45,tsk_ID,0),0),N($L45),WorkWeek,Holidays),-MAX(0,N($F45)-1),WorkWeek,Holidays),WORKDAY.INTL(WORKDAY.INTL(OFFSET(hdr_FcStart,MATCH($J45,tsk_ID,0),0),N($L45),WorkWeek,Holidays),-MAX(0,N($F45)-1),WorkWeek,Holidays)),0))</f>
        <v>0</v>
      </c>
      <c r="AO45" s="48" t="n">
        <f aca="false">IF($AJ45=1,$R45,0)</f>
        <v>0</v>
      </c>
      <c r="AP45" s="48" t="n">
        <f aca="false">IF($AJ45=1,$S45,0)</f>
        <v>0</v>
      </c>
      <c r="AQ45" s="49" t="n">
        <f aca="false">IF(AND($AJ45=1,N($Z45)&gt;0),$Z45/($AP45-$AO45+1),0)</f>
        <v>0</v>
      </c>
      <c r="AR45" s="46" t="n">
        <f aca="false">IF($AJ45=1,MAX(N($F45),0.1),0)</f>
        <v>0</v>
      </c>
      <c r="AS45" s="46" t="n">
        <f aca="false">IF($AJ45=1,$AR45*$V45,0)</f>
        <v>0</v>
      </c>
      <c r="AT45" s="46" t="str">
        <f aca="false">IF(N($G45)=0,"",$G45&amp;IF(AND(IF($H45="","FS",$H45)="FS",N($I45)=0),"",IF($H45="","FS",$H45)&amp;IF(N($I45)=0,"",IF(N($I45)&gt;0,"+","")&amp;N($I45)&amp;"d")))</f>
        <v/>
      </c>
      <c r="AU45" s="46" t="str">
        <f aca="false">IF(N($J45)=0,"",$J45&amp;IF(AND(IF($K45="","FS",$K45)="FS",N($L45)=0),"",IF($K45="","FS",$K45)&amp;IF(N($L45)=0,"",IF(N($L45)&gt;0,"+","")&amp;N($L45)&amp;"d")))</f>
        <v/>
      </c>
      <c r="AV45" s="46" t="str">
        <f aca="false">IF(AND($AJ45=1,N($F45)=0,$V45&lt;1),$S45+$AF45/100000,"")</f>
        <v/>
      </c>
    </row>
    <row r="46" customFormat="false" ht="15" hidden="false" customHeight="false" outlineLevel="0" collapsed="false">
      <c r="A46" s="38" t="str">
        <f aca="false">IF($D46="","",COUNTA($D$6:$D46))</f>
        <v/>
      </c>
      <c r="B46" s="39" t="str">
        <f aca="true">IF($D46="","",IF($AE46=1,COUNTIF($AE$6:$AE46,1)&amp;"",IF($AG46=0,"?",OFFSET(hdr_WBS,$AG46-ROW(hdr_WBS),0)&amp;"."&amp;COUNTIF(INDEX($AE:$AE,$AG46+1):$AE46,$AE46))))</f>
        <v/>
      </c>
      <c r="C46" s="40"/>
      <c r="D46" s="41"/>
      <c r="E46" s="40"/>
      <c r="F46" s="40"/>
      <c r="G46" s="40"/>
      <c r="H46" s="40"/>
      <c r="I46" s="40"/>
      <c r="J46" s="40"/>
      <c r="K46" s="40"/>
      <c r="L46" s="40"/>
      <c r="M46" s="29"/>
      <c r="N46" s="30" t="str">
        <f aca="true">IF($D46="","",IF($AI46,MIN(OFFSET(hdr_PlanStart,$AF46+1,0,$AH46,1)),IF($E46="Manual",IF(N($M46)&gt;0,$M46,ProjectStart),WORKDAY.INTL(MAX(ProjectStart,N($M46),$AK46,$AL46)-1,1,WorkWeek,Holidays))))</f>
        <v/>
      </c>
      <c r="O46" s="30" t="str">
        <f aca="true">IF($D46="","",IF($AI46,MAX(OFFSET(hdr_PlanFinish,$AF46+1,0,$AH46,1)),IF(N($F46)&lt;=0,$N46,WORKDAY.INTL($N46,$F46-1,WorkWeek,Holidays))))</f>
        <v/>
      </c>
      <c r="P46" s="29"/>
      <c r="Q46" s="29"/>
      <c r="R46" s="30" t="str">
        <f aca="true">IF($D46="","",IF($AI46,MIN(OFFSET(hdr_FcStart,$AF46+1,0,$AH46,1)),IF(N($P46)&gt;0,$P46,IF($E46="Manual",IF(N($M46)&gt;0,$M46,ProjectStart),WORKDAY.INTL(MAX(ProjectStart,N($M46),$AM46,$AN46,IF(RescheduleAfterStatus="Yes",StatusDate,0))-1,1,WorkWeek,Holidays)))))</f>
        <v/>
      </c>
      <c r="S46" s="30" t="str">
        <f aca="true">IF($D46="","",IF($AI46,MAX(OFFSET(hdr_FcFinish,$AF46+1,0,$AH46,1)),IF(N($Q46)&gt;0,$Q46,IF(N($F46)&lt;=0,$R46,IF(AND(N($P46)&gt;0,RescheduleAfterStatus="Yes"),MAX(WORKDAY.INTL($R46,$F46-1,WorkWeek,Holidays),WORKDAY.INTL(StatusWorkday,MAX(0,ROUNDUP($F46*(1-MIN(1,N($U46))),0)-1),WorkWeek,Holidays)),WORKDAY.INTL($R46,$F46-1,WorkWeek,Holidays))))))</f>
        <v/>
      </c>
      <c r="T46" s="38" t="str">
        <f aca="false">IF($D46="","",IF($S46&gt;=$O46,NETWORKDAYS.INTL($O46,$S46,WorkWeek,Holidays)-1,1-NETWORKDAYS.INTL($S46,$O46,WorkWeek,Holidays)))</f>
        <v/>
      </c>
      <c r="U46" s="32"/>
      <c r="V46" s="42" t="str">
        <f aca="true">IF($D46="","",IF($AI46,IFERROR(SUM(OFFSET(hdr_WtDone,$AF46+1,0,$AH46,1))/SUM(OFFSET(hdr_WtDur,$AF46+1,0,$AH46,1)),0),IF(N($Q46)&gt;0,1,MIN(1,N($U46)))))</f>
        <v/>
      </c>
      <c r="W46" s="39" t="str">
        <f aca="false">IF($D46="","",IF($V46&gt;=1,"Complete",IF(OR(N($P46)&gt;0,$V46&gt;0),IF($T46&gt;0,"Behind","In Progress"),IF($N46&lt;StatusDate,"Late Start","Not Started"))))</f>
        <v/>
      </c>
      <c r="X46" s="41"/>
      <c r="Y46" s="32"/>
      <c r="Z46" s="43" t="str">
        <f aca="true">IF($D46="","",IF($AI46,SUMPRODUCT(OFFSET(hdr_Work,$AF46+1,0,$AH46,1),OFFSET(hdr_IsLeaf,$AF46+1,0,$AH46,1)),IF($X46="",0,N($F46)*HoursPerDay*IF($Y46="",DefaultUnits,$Y46))))</f>
        <v/>
      </c>
      <c r="AA46" s="44" t="str">
        <f aca="true">IF($D46="","",IF($AI46,SUMPRODUCT(OFFSET(hdr_Cost,$AF46+1,0,$AH46,1),OFFSET(hdr_IsLeaf,$AF46+1,0,$AH46,1)),$Z46*IFERROR(INDEX(res_Rate,MATCH($X46,res_Name,0)),0)))</f>
        <v/>
      </c>
      <c r="AB46" s="38" t="str">
        <f aca="false">IF(OR($D46="",$AI46),"",IF(OR($R46&lt;Sprint1Start,$R46&gt;SprintLastEnd),"Backlog",INDEX(spr_Name,MATCH($R46,spr_Start,1))))</f>
        <v/>
      </c>
      <c r="AC46" s="45" t="str">
        <f aca="false">IF($D46="","",$AT46&amp;IF(AND($AT46&lt;&gt;"",$AU46&lt;&gt;""),",","")&amp;$AU46)</f>
        <v/>
      </c>
      <c r="AD46" s="41"/>
      <c r="AE46" s="46" t="str">
        <f aca="false">IF($D46="","",MAX(1,N($C46)))</f>
        <v/>
      </c>
      <c r="AF46" s="46" t="n">
        <f aca="false">ROW()-ROW(hdr_ID)</f>
        <v>41</v>
      </c>
      <c r="AG46" s="46" t="n">
        <f aca="false">IF(OR($D46="",$AE46&lt;=1),0,IFERROR(LOOKUP(2,1/($AE$5:$AE45=$AE46-1),ROW($AE$5:$AE45)),0))</f>
        <v>0</v>
      </c>
      <c r="AH46" s="46" t="n">
        <f aca="false">IF($D46="",0,COUNTIF(tsk_WBS,$B46&amp;".*"))</f>
        <v>0</v>
      </c>
      <c r="AI46" s="47" t="b">
        <f aca="false">$AH46&gt;0</f>
        <v>0</v>
      </c>
      <c r="AJ46" s="46" t="n">
        <f aca="false">IF(AND($D46&lt;&gt;"",NOT($AI46)),1,0)</f>
        <v>0</v>
      </c>
      <c r="AK46" s="48" t="n">
        <f aca="true">IF(OR(N($G46)=0,$AI46,$D46=""),0,IFERROR(CHOOSE(MATCH(IF($H46="","FS",$H46),{"FS","SS","FF","SF"},0),WORKDAY.INTL(OFFSET(hdr_PlanFinish,MATCH($G46,tsk_ID,0),0),IF(N($F46)=0,0,1)+N($I46),WorkWeek,Holidays),WORKDAY.INTL(OFFSET(hdr_PlanStart,MATCH($G46,tsk_ID,0),0),N($I46),WorkWeek,Holidays),WORKDAY.INTL(WORKDAY.INTL(OFFSET(hdr_PlanFinish,MATCH($G46,tsk_ID,0),0),N($I46),WorkWeek,Holidays),-MAX(0,N($F46)-1),WorkWeek,Holidays),WORKDAY.INTL(WORKDAY.INTL(OFFSET(hdr_PlanStart,MATCH($G46,tsk_ID,0),0),N($I46),WorkWeek,Holidays),-MAX(0,N($F46)-1),WorkWeek,Holidays)),0))</f>
        <v>0</v>
      </c>
      <c r="AL46" s="48" t="n">
        <f aca="true">IF(OR(N($J46)=0,$AI46,$D46=""),0,IFERROR(CHOOSE(MATCH(IF($K46="","FS",$K46),{"FS","SS","FF","SF"},0),WORKDAY.INTL(OFFSET(hdr_PlanFinish,MATCH($J46,tsk_ID,0),0),IF(N($F46)=0,0,1)+N($L46),WorkWeek,Holidays),WORKDAY.INTL(OFFSET(hdr_PlanStart,MATCH($J46,tsk_ID,0),0),N($L46),WorkWeek,Holidays),WORKDAY.INTL(WORKDAY.INTL(OFFSET(hdr_PlanFinish,MATCH($J46,tsk_ID,0),0),N($L46),WorkWeek,Holidays),-MAX(0,N($F46)-1),WorkWeek,Holidays),WORKDAY.INTL(WORKDAY.INTL(OFFSET(hdr_PlanStart,MATCH($J46,tsk_ID,0),0),N($L46),WorkWeek,Holidays),-MAX(0,N($F46)-1),WorkWeek,Holidays)),0))</f>
        <v>0</v>
      </c>
      <c r="AM46" s="48" t="n">
        <f aca="true">IF(OR(N($G46)=0,$AI46,$D46=""),0,IFERROR(CHOOSE(MATCH(IF($H46="","FS",$H46),{"FS","SS","FF","SF"},0),WORKDAY.INTL(OFFSET(hdr_FcFinish,MATCH($G46,tsk_ID,0),0),IF(N($F46)=0,0,1)+N($I46),WorkWeek,Holidays),WORKDAY.INTL(OFFSET(hdr_FcStart,MATCH($G46,tsk_ID,0),0),N($I46),WorkWeek,Holidays),WORKDAY.INTL(WORKDAY.INTL(OFFSET(hdr_FcFinish,MATCH($G46,tsk_ID,0),0),N($I46),WorkWeek,Holidays),-MAX(0,N($F46)-1),WorkWeek,Holidays),WORKDAY.INTL(WORKDAY.INTL(OFFSET(hdr_FcStart,MATCH($G46,tsk_ID,0),0),N($I46),WorkWeek,Holidays),-MAX(0,N($F46)-1),WorkWeek,Holidays)),0))</f>
        <v>0</v>
      </c>
      <c r="AN46" s="48" t="n">
        <f aca="true">IF(OR(N($J46)=0,$AI46,$D46=""),0,IFERROR(CHOOSE(MATCH(IF($K46="","FS",$K46),{"FS","SS","FF","SF"},0),WORKDAY.INTL(OFFSET(hdr_FcFinish,MATCH($J46,tsk_ID,0),0),IF(N($F46)=0,0,1)+N($L46),WorkWeek,Holidays),WORKDAY.INTL(OFFSET(hdr_FcStart,MATCH($J46,tsk_ID,0),0),N($L46),WorkWeek,Holidays),WORKDAY.INTL(WORKDAY.INTL(OFFSET(hdr_FcFinish,MATCH($J46,tsk_ID,0),0),N($L46),WorkWeek,Holidays),-MAX(0,N($F46)-1),WorkWeek,Holidays),WORKDAY.INTL(WORKDAY.INTL(OFFSET(hdr_FcStart,MATCH($J46,tsk_ID,0),0),N($L46),WorkWeek,Holidays),-MAX(0,N($F46)-1),WorkWeek,Holidays)),0))</f>
        <v>0</v>
      </c>
      <c r="AO46" s="48" t="n">
        <f aca="false">IF($AJ46=1,$R46,0)</f>
        <v>0</v>
      </c>
      <c r="AP46" s="48" t="n">
        <f aca="false">IF($AJ46=1,$S46,0)</f>
        <v>0</v>
      </c>
      <c r="AQ46" s="49" t="n">
        <f aca="false">IF(AND($AJ46=1,N($Z46)&gt;0),$Z46/($AP46-$AO46+1),0)</f>
        <v>0</v>
      </c>
      <c r="AR46" s="46" t="n">
        <f aca="false">IF($AJ46=1,MAX(N($F46),0.1),0)</f>
        <v>0</v>
      </c>
      <c r="AS46" s="46" t="n">
        <f aca="false">IF($AJ46=1,$AR46*$V46,0)</f>
        <v>0</v>
      </c>
      <c r="AT46" s="46" t="str">
        <f aca="false">IF(N($G46)=0,"",$G46&amp;IF(AND(IF($H46="","FS",$H46)="FS",N($I46)=0),"",IF($H46="","FS",$H46)&amp;IF(N($I46)=0,"",IF(N($I46)&gt;0,"+","")&amp;N($I46)&amp;"d")))</f>
        <v/>
      </c>
      <c r="AU46" s="46" t="str">
        <f aca="false">IF(N($J46)=0,"",$J46&amp;IF(AND(IF($K46="","FS",$K46)="FS",N($L46)=0),"",IF($K46="","FS",$K46)&amp;IF(N($L46)=0,"",IF(N($L46)&gt;0,"+","")&amp;N($L46)&amp;"d")))</f>
        <v/>
      </c>
      <c r="AV46" s="46" t="str">
        <f aca="false">IF(AND($AJ46=1,N($F46)=0,$V46&lt;1),$S46+$AF46/100000,"")</f>
        <v/>
      </c>
    </row>
    <row r="47" customFormat="false" ht="15" hidden="false" customHeight="false" outlineLevel="0" collapsed="false">
      <c r="A47" s="38" t="str">
        <f aca="false">IF($D47="","",COUNTA($D$6:$D47))</f>
        <v/>
      </c>
      <c r="B47" s="39" t="str">
        <f aca="true">IF($D47="","",IF($AE47=1,COUNTIF($AE$6:$AE47,1)&amp;"",IF($AG47=0,"?",OFFSET(hdr_WBS,$AG47-ROW(hdr_WBS),0)&amp;"."&amp;COUNTIF(INDEX($AE:$AE,$AG47+1):$AE47,$AE47))))</f>
        <v/>
      </c>
      <c r="C47" s="40"/>
      <c r="D47" s="41"/>
      <c r="E47" s="40"/>
      <c r="F47" s="40"/>
      <c r="G47" s="40"/>
      <c r="H47" s="40"/>
      <c r="I47" s="40"/>
      <c r="J47" s="40"/>
      <c r="K47" s="40"/>
      <c r="L47" s="40"/>
      <c r="M47" s="29"/>
      <c r="N47" s="30" t="str">
        <f aca="true">IF($D47="","",IF($AI47,MIN(OFFSET(hdr_PlanStart,$AF47+1,0,$AH47,1)),IF($E47="Manual",IF(N($M47)&gt;0,$M47,ProjectStart),WORKDAY.INTL(MAX(ProjectStart,N($M47),$AK47,$AL47)-1,1,WorkWeek,Holidays))))</f>
        <v/>
      </c>
      <c r="O47" s="30" t="str">
        <f aca="true">IF($D47="","",IF($AI47,MAX(OFFSET(hdr_PlanFinish,$AF47+1,0,$AH47,1)),IF(N($F47)&lt;=0,$N47,WORKDAY.INTL($N47,$F47-1,WorkWeek,Holidays))))</f>
        <v/>
      </c>
      <c r="P47" s="29"/>
      <c r="Q47" s="29"/>
      <c r="R47" s="30" t="str">
        <f aca="true">IF($D47="","",IF($AI47,MIN(OFFSET(hdr_FcStart,$AF47+1,0,$AH47,1)),IF(N($P47)&gt;0,$P47,IF($E47="Manual",IF(N($M47)&gt;0,$M47,ProjectStart),WORKDAY.INTL(MAX(ProjectStart,N($M47),$AM47,$AN47,IF(RescheduleAfterStatus="Yes",StatusDate,0))-1,1,WorkWeek,Holidays)))))</f>
        <v/>
      </c>
      <c r="S47" s="30" t="str">
        <f aca="true">IF($D47="","",IF($AI47,MAX(OFFSET(hdr_FcFinish,$AF47+1,0,$AH47,1)),IF(N($Q47)&gt;0,$Q47,IF(N($F47)&lt;=0,$R47,IF(AND(N($P47)&gt;0,RescheduleAfterStatus="Yes"),MAX(WORKDAY.INTL($R47,$F47-1,WorkWeek,Holidays),WORKDAY.INTL(StatusWorkday,MAX(0,ROUNDUP($F47*(1-MIN(1,N($U47))),0)-1),WorkWeek,Holidays)),WORKDAY.INTL($R47,$F47-1,WorkWeek,Holidays))))))</f>
        <v/>
      </c>
      <c r="T47" s="38" t="str">
        <f aca="false">IF($D47="","",IF($S47&gt;=$O47,NETWORKDAYS.INTL($O47,$S47,WorkWeek,Holidays)-1,1-NETWORKDAYS.INTL($S47,$O47,WorkWeek,Holidays)))</f>
        <v/>
      </c>
      <c r="U47" s="32"/>
      <c r="V47" s="42" t="str">
        <f aca="true">IF($D47="","",IF($AI47,IFERROR(SUM(OFFSET(hdr_WtDone,$AF47+1,0,$AH47,1))/SUM(OFFSET(hdr_WtDur,$AF47+1,0,$AH47,1)),0),IF(N($Q47)&gt;0,1,MIN(1,N($U47)))))</f>
        <v/>
      </c>
      <c r="W47" s="39" t="str">
        <f aca="false">IF($D47="","",IF($V47&gt;=1,"Complete",IF(OR(N($P47)&gt;0,$V47&gt;0),IF($T47&gt;0,"Behind","In Progress"),IF($N47&lt;StatusDate,"Late Start","Not Started"))))</f>
        <v/>
      </c>
      <c r="X47" s="41"/>
      <c r="Y47" s="32"/>
      <c r="Z47" s="43" t="str">
        <f aca="true">IF($D47="","",IF($AI47,SUMPRODUCT(OFFSET(hdr_Work,$AF47+1,0,$AH47,1),OFFSET(hdr_IsLeaf,$AF47+1,0,$AH47,1)),IF($X47="",0,N($F47)*HoursPerDay*IF($Y47="",DefaultUnits,$Y47))))</f>
        <v/>
      </c>
      <c r="AA47" s="44" t="str">
        <f aca="true">IF($D47="","",IF($AI47,SUMPRODUCT(OFFSET(hdr_Cost,$AF47+1,0,$AH47,1),OFFSET(hdr_IsLeaf,$AF47+1,0,$AH47,1)),$Z47*IFERROR(INDEX(res_Rate,MATCH($X47,res_Name,0)),0)))</f>
        <v/>
      </c>
      <c r="AB47" s="38" t="str">
        <f aca="false">IF(OR($D47="",$AI47),"",IF(OR($R47&lt;Sprint1Start,$R47&gt;SprintLastEnd),"Backlog",INDEX(spr_Name,MATCH($R47,spr_Start,1))))</f>
        <v/>
      </c>
      <c r="AC47" s="45" t="str">
        <f aca="false">IF($D47="","",$AT47&amp;IF(AND($AT47&lt;&gt;"",$AU47&lt;&gt;""),",","")&amp;$AU47)</f>
        <v/>
      </c>
      <c r="AD47" s="41"/>
      <c r="AE47" s="46" t="str">
        <f aca="false">IF($D47="","",MAX(1,N($C47)))</f>
        <v/>
      </c>
      <c r="AF47" s="46" t="n">
        <f aca="false">ROW()-ROW(hdr_ID)</f>
        <v>42</v>
      </c>
      <c r="AG47" s="46" t="n">
        <f aca="false">IF(OR($D47="",$AE47&lt;=1),0,IFERROR(LOOKUP(2,1/($AE$5:$AE46=$AE47-1),ROW($AE$5:$AE46)),0))</f>
        <v>0</v>
      </c>
      <c r="AH47" s="46" t="n">
        <f aca="false">IF($D47="",0,COUNTIF(tsk_WBS,$B47&amp;".*"))</f>
        <v>0</v>
      </c>
      <c r="AI47" s="47" t="b">
        <f aca="false">$AH47&gt;0</f>
        <v>0</v>
      </c>
      <c r="AJ47" s="46" t="n">
        <f aca="false">IF(AND($D47&lt;&gt;"",NOT($AI47)),1,0)</f>
        <v>0</v>
      </c>
      <c r="AK47" s="48" t="n">
        <f aca="true">IF(OR(N($G47)=0,$AI47,$D47=""),0,IFERROR(CHOOSE(MATCH(IF($H47="","FS",$H47),{"FS","SS","FF","SF"},0),WORKDAY.INTL(OFFSET(hdr_PlanFinish,MATCH($G47,tsk_ID,0),0),IF(N($F47)=0,0,1)+N($I47),WorkWeek,Holidays),WORKDAY.INTL(OFFSET(hdr_PlanStart,MATCH($G47,tsk_ID,0),0),N($I47),WorkWeek,Holidays),WORKDAY.INTL(WORKDAY.INTL(OFFSET(hdr_PlanFinish,MATCH($G47,tsk_ID,0),0),N($I47),WorkWeek,Holidays),-MAX(0,N($F47)-1),WorkWeek,Holidays),WORKDAY.INTL(WORKDAY.INTL(OFFSET(hdr_PlanStart,MATCH($G47,tsk_ID,0),0),N($I47),WorkWeek,Holidays),-MAX(0,N($F47)-1),WorkWeek,Holidays)),0))</f>
        <v>0</v>
      </c>
      <c r="AL47" s="48" t="n">
        <f aca="true">IF(OR(N($J47)=0,$AI47,$D47=""),0,IFERROR(CHOOSE(MATCH(IF($K47="","FS",$K47),{"FS","SS","FF","SF"},0),WORKDAY.INTL(OFFSET(hdr_PlanFinish,MATCH($J47,tsk_ID,0),0),IF(N($F47)=0,0,1)+N($L47),WorkWeek,Holidays),WORKDAY.INTL(OFFSET(hdr_PlanStart,MATCH($J47,tsk_ID,0),0),N($L47),WorkWeek,Holidays),WORKDAY.INTL(WORKDAY.INTL(OFFSET(hdr_PlanFinish,MATCH($J47,tsk_ID,0),0),N($L47),WorkWeek,Holidays),-MAX(0,N($F47)-1),WorkWeek,Holidays),WORKDAY.INTL(WORKDAY.INTL(OFFSET(hdr_PlanStart,MATCH($J47,tsk_ID,0),0),N($L47),WorkWeek,Holidays),-MAX(0,N($F47)-1),WorkWeek,Holidays)),0))</f>
        <v>0</v>
      </c>
      <c r="AM47" s="48" t="n">
        <f aca="true">IF(OR(N($G47)=0,$AI47,$D47=""),0,IFERROR(CHOOSE(MATCH(IF($H47="","FS",$H47),{"FS","SS","FF","SF"},0),WORKDAY.INTL(OFFSET(hdr_FcFinish,MATCH($G47,tsk_ID,0),0),IF(N($F47)=0,0,1)+N($I47),WorkWeek,Holidays),WORKDAY.INTL(OFFSET(hdr_FcStart,MATCH($G47,tsk_ID,0),0),N($I47),WorkWeek,Holidays),WORKDAY.INTL(WORKDAY.INTL(OFFSET(hdr_FcFinish,MATCH($G47,tsk_ID,0),0),N($I47),WorkWeek,Holidays),-MAX(0,N($F47)-1),WorkWeek,Holidays),WORKDAY.INTL(WORKDAY.INTL(OFFSET(hdr_FcStart,MATCH($G47,tsk_ID,0),0),N($I47),WorkWeek,Holidays),-MAX(0,N($F47)-1),WorkWeek,Holidays)),0))</f>
        <v>0</v>
      </c>
      <c r="AN47" s="48" t="n">
        <f aca="true">IF(OR(N($J47)=0,$AI47,$D47=""),0,IFERROR(CHOOSE(MATCH(IF($K47="","FS",$K47),{"FS","SS","FF","SF"},0),WORKDAY.INTL(OFFSET(hdr_FcFinish,MATCH($J47,tsk_ID,0),0),IF(N($F47)=0,0,1)+N($L47),WorkWeek,Holidays),WORKDAY.INTL(OFFSET(hdr_FcStart,MATCH($J47,tsk_ID,0),0),N($L47),WorkWeek,Holidays),WORKDAY.INTL(WORKDAY.INTL(OFFSET(hdr_FcFinish,MATCH($J47,tsk_ID,0),0),N($L47),WorkWeek,Holidays),-MAX(0,N($F47)-1),WorkWeek,Holidays),WORKDAY.INTL(WORKDAY.INTL(OFFSET(hdr_FcStart,MATCH($J47,tsk_ID,0),0),N($L47),WorkWeek,Holidays),-MAX(0,N($F47)-1),WorkWeek,Holidays)),0))</f>
        <v>0</v>
      </c>
      <c r="AO47" s="48" t="n">
        <f aca="false">IF($AJ47=1,$R47,0)</f>
        <v>0</v>
      </c>
      <c r="AP47" s="48" t="n">
        <f aca="false">IF($AJ47=1,$S47,0)</f>
        <v>0</v>
      </c>
      <c r="AQ47" s="49" t="n">
        <f aca="false">IF(AND($AJ47=1,N($Z47)&gt;0),$Z47/($AP47-$AO47+1),0)</f>
        <v>0</v>
      </c>
      <c r="AR47" s="46" t="n">
        <f aca="false">IF($AJ47=1,MAX(N($F47),0.1),0)</f>
        <v>0</v>
      </c>
      <c r="AS47" s="46" t="n">
        <f aca="false">IF($AJ47=1,$AR47*$V47,0)</f>
        <v>0</v>
      </c>
      <c r="AT47" s="46" t="str">
        <f aca="false">IF(N($G47)=0,"",$G47&amp;IF(AND(IF($H47="","FS",$H47)="FS",N($I47)=0),"",IF($H47="","FS",$H47)&amp;IF(N($I47)=0,"",IF(N($I47)&gt;0,"+","")&amp;N($I47)&amp;"d")))</f>
        <v/>
      </c>
      <c r="AU47" s="46" t="str">
        <f aca="false">IF(N($J47)=0,"",$J47&amp;IF(AND(IF($K47="","FS",$K47)="FS",N($L47)=0),"",IF($K47="","FS",$K47)&amp;IF(N($L47)=0,"",IF(N($L47)&gt;0,"+","")&amp;N($L47)&amp;"d")))</f>
        <v/>
      </c>
      <c r="AV47" s="46" t="str">
        <f aca="false">IF(AND($AJ47=1,N($F47)=0,$V47&lt;1),$S47+$AF47/100000,"")</f>
        <v/>
      </c>
    </row>
    <row r="48" customFormat="false" ht="15" hidden="false" customHeight="false" outlineLevel="0" collapsed="false">
      <c r="A48" s="38" t="str">
        <f aca="false">IF($D48="","",COUNTA($D$6:$D48))</f>
        <v/>
      </c>
      <c r="B48" s="39" t="str">
        <f aca="true">IF($D48="","",IF($AE48=1,COUNTIF($AE$6:$AE48,1)&amp;"",IF($AG48=0,"?",OFFSET(hdr_WBS,$AG48-ROW(hdr_WBS),0)&amp;"."&amp;COUNTIF(INDEX($AE:$AE,$AG48+1):$AE48,$AE48))))</f>
        <v/>
      </c>
      <c r="C48" s="40"/>
      <c r="D48" s="41"/>
      <c r="E48" s="40"/>
      <c r="F48" s="40"/>
      <c r="G48" s="40"/>
      <c r="H48" s="40"/>
      <c r="I48" s="40"/>
      <c r="J48" s="40"/>
      <c r="K48" s="40"/>
      <c r="L48" s="40"/>
      <c r="M48" s="29"/>
      <c r="N48" s="30" t="str">
        <f aca="true">IF($D48="","",IF($AI48,MIN(OFFSET(hdr_PlanStart,$AF48+1,0,$AH48,1)),IF($E48="Manual",IF(N($M48)&gt;0,$M48,ProjectStart),WORKDAY.INTL(MAX(ProjectStart,N($M48),$AK48,$AL48)-1,1,WorkWeek,Holidays))))</f>
        <v/>
      </c>
      <c r="O48" s="30" t="str">
        <f aca="true">IF($D48="","",IF($AI48,MAX(OFFSET(hdr_PlanFinish,$AF48+1,0,$AH48,1)),IF(N($F48)&lt;=0,$N48,WORKDAY.INTL($N48,$F48-1,WorkWeek,Holidays))))</f>
        <v/>
      </c>
      <c r="P48" s="29"/>
      <c r="Q48" s="29"/>
      <c r="R48" s="30" t="str">
        <f aca="true">IF($D48="","",IF($AI48,MIN(OFFSET(hdr_FcStart,$AF48+1,0,$AH48,1)),IF(N($P48)&gt;0,$P48,IF($E48="Manual",IF(N($M48)&gt;0,$M48,ProjectStart),WORKDAY.INTL(MAX(ProjectStart,N($M48),$AM48,$AN48,IF(RescheduleAfterStatus="Yes",StatusDate,0))-1,1,WorkWeek,Holidays)))))</f>
        <v/>
      </c>
      <c r="S48" s="30" t="str">
        <f aca="true">IF($D48="","",IF($AI48,MAX(OFFSET(hdr_FcFinish,$AF48+1,0,$AH48,1)),IF(N($Q48)&gt;0,$Q48,IF(N($F48)&lt;=0,$R48,IF(AND(N($P48)&gt;0,RescheduleAfterStatus="Yes"),MAX(WORKDAY.INTL($R48,$F48-1,WorkWeek,Holidays),WORKDAY.INTL(StatusWorkday,MAX(0,ROUNDUP($F48*(1-MIN(1,N($U48))),0)-1),WorkWeek,Holidays)),WORKDAY.INTL($R48,$F48-1,WorkWeek,Holidays))))))</f>
        <v/>
      </c>
      <c r="T48" s="38" t="str">
        <f aca="false">IF($D48="","",IF($S48&gt;=$O48,NETWORKDAYS.INTL($O48,$S48,WorkWeek,Holidays)-1,1-NETWORKDAYS.INTL($S48,$O48,WorkWeek,Holidays)))</f>
        <v/>
      </c>
      <c r="U48" s="32"/>
      <c r="V48" s="42" t="str">
        <f aca="true">IF($D48="","",IF($AI48,IFERROR(SUM(OFFSET(hdr_WtDone,$AF48+1,0,$AH48,1))/SUM(OFFSET(hdr_WtDur,$AF48+1,0,$AH48,1)),0),IF(N($Q48)&gt;0,1,MIN(1,N($U48)))))</f>
        <v/>
      </c>
      <c r="W48" s="39" t="str">
        <f aca="false">IF($D48="","",IF($V48&gt;=1,"Complete",IF(OR(N($P48)&gt;0,$V48&gt;0),IF($T48&gt;0,"Behind","In Progress"),IF($N48&lt;StatusDate,"Late Start","Not Started"))))</f>
        <v/>
      </c>
      <c r="X48" s="41"/>
      <c r="Y48" s="32"/>
      <c r="Z48" s="43" t="str">
        <f aca="true">IF($D48="","",IF($AI48,SUMPRODUCT(OFFSET(hdr_Work,$AF48+1,0,$AH48,1),OFFSET(hdr_IsLeaf,$AF48+1,0,$AH48,1)),IF($X48="",0,N($F48)*HoursPerDay*IF($Y48="",DefaultUnits,$Y48))))</f>
        <v/>
      </c>
      <c r="AA48" s="44" t="str">
        <f aca="true">IF($D48="","",IF($AI48,SUMPRODUCT(OFFSET(hdr_Cost,$AF48+1,0,$AH48,1),OFFSET(hdr_IsLeaf,$AF48+1,0,$AH48,1)),$Z48*IFERROR(INDEX(res_Rate,MATCH($X48,res_Name,0)),0)))</f>
        <v/>
      </c>
      <c r="AB48" s="38" t="str">
        <f aca="false">IF(OR($D48="",$AI48),"",IF(OR($R48&lt;Sprint1Start,$R48&gt;SprintLastEnd),"Backlog",INDEX(spr_Name,MATCH($R48,spr_Start,1))))</f>
        <v/>
      </c>
      <c r="AC48" s="45" t="str">
        <f aca="false">IF($D48="","",$AT48&amp;IF(AND($AT48&lt;&gt;"",$AU48&lt;&gt;""),",","")&amp;$AU48)</f>
        <v/>
      </c>
      <c r="AD48" s="41"/>
      <c r="AE48" s="46" t="str">
        <f aca="false">IF($D48="","",MAX(1,N($C48)))</f>
        <v/>
      </c>
      <c r="AF48" s="46" t="n">
        <f aca="false">ROW()-ROW(hdr_ID)</f>
        <v>43</v>
      </c>
      <c r="AG48" s="46" t="n">
        <f aca="false">IF(OR($D48="",$AE48&lt;=1),0,IFERROR(LOOKUP(2,1/($AE$5:$AE47=$AE48-1),ROW($AE$5:$AE47)),0))</f>
        <v>0</v>
      </c>
      <c r="AH48" s="46" t="n">
        <f aca="false">IF($D48="",0,COUNTIF(tsk_WBS,$B48&amp;".*"))</f>
        <v>0</v>
      </c>
      <c r="AI48" s="47" t="b">
        <f aca="false">$AH48&gt;0</f>
        <v>0</v>
      </c>
      <c r="AJ48" s="46" t="n">
        <f aca="false">IF(AND($D48&lt;&gt;"",NOT($AI48)),1,0)</f>
        <v>0</v>
      </c>
      <c r="AK48" s="48" t="n">
        <f aca="true">IF(OR(N($G48)=0,$AI48,$D48=""),0,IFERROR(CHOOSE(MATCH(IF($H48="","FS",$H48),{"FS","SS","FF","SF"},0),WORKDAY.INTL(OFFSET(hdr_PlanFinish,MATCH($G48,tsk_ID,0),0),IF(N($F48)=0,0,1)+N($I48),WorkWeek,Holidays),WORKDAY.INTL(OFFSET(hdr_PlanStart,MATCH($G48,tsk_ID,0),0),N($I48),WorkWeek,Holidays),WORKDAY.INTL(WORKDAY.INTL(OFFSET(hdr_PlanFinish,MATCH($G48,tsk_ID,0),0),N($I48),WorkWeek,Holidays),-MAX(0,N($F48)-1),WorkWeek,Holidays),WORKDAY.INTL(WORKDAY.INTL(OFFSET(hdr_PlanStart,MATCH($G48,tsk_ID,0),0),N($I48),WorkWeek,Holidays),-MAX(0,N($F48)-1),WorkWeek,Holidays)),0))</f>
        <v>0</v>
      </c>
      <c r="AL48" s="48" t="n">
        <f aca="true">IF(OR(N($J48)=0,$AI48,$D48=""),0,IFERROR(CHOOSE(MATCH(IF($K48="","FS",$K48),{"FS","SS","FF","SF"},0),WORKDAY.INTL(OFFSET(hdr_PlanFinish,MATCH($J48,tsk_ID,0),0),IF(N($F48)=0,0,1)+N($L48),WorkWeek,Holidays),WORKDAY.INTL(OFFSET(hdr_PlanStart,MATCH($J48,tsk_ID,0),0),N($L48),WorkWeek,Holidays),WORKDAY.INTL(WORKDAY.INTL(OFFSET(hdr_PlanFinish,MATCH($J48,tsk_ID,0),0),N($L48),WorkWeek,Holidays),-MAX(0,N($F48)-1),WorkWeek,Holidays),WORKDAY.INTL(WORKDAY.INTL(OFFSET(hdr_PlanStart,MATCH($J48,tsk_ID,0),0),N($L48),WorkWeek,Holidays),-MAX(0,N($F48)-1),WorkWeek,Holidays)),0))</f>
        <v>0</v>
      </c>
      <c r="AM48" s="48" t="n">
        <f aca="true">IF(OR(N($G48)=0,$AI48,$D48=""),0,IFERROR(CHOOSE(MATCH(IF($H48="","FS",$H48),{"FS","SS","FF","SF"},0),WORKDAY.INTL(OFFSET(hdr_FcFinish,MATCH($G48,tsk_ID,0),0),IF(N($F48)=0,0,1)+N($I48),WorkWeek,Holidays),WORKDAY.INTL(OFFSET(hdr_FcStart,MATCH($G48,tsk_ID,0),0),N($I48),WorkWeek,Holidays),WORKDAY.INTL(WORKDAY.INTL(OFFSET(hdr_FcFinish,MATCH($G48,tsk_ID,0),0),N($I48),WorkWeek,Holidays),-MAX(0,N($F48)-1),WorkWeek,Holidays),WORKDAY.INTL(WORKDAY.INTL(OFFSET(hdr_FcStart,MATCH($G48,tsk_ID,0),0),N($I48),WorkWeek,Holidays),-MAX(0,N($F48)-1),WorkWeek,Holidays)),0))</f>
        <v>0</v>
      </c>
      <c r="AN48" s="48" t="n">
        <f aca="true">IF(OR(N($J48)=0,$AI48,$D48=""),0,IFERROR(CHOOSE(MATCH(IF($K48="","FS",$K48),{"FS","SS","FF","SF"},0),WORKDAY.INTL(OFFSET(hdr_FcFinish,MATCH($J48,tsk_ID,0),0),IF(N($F48)=0,0,1)+N($L48),WorkWeek,Holidays),WORKDAY.INTL(OFFSET(hdr_FcStart,MATCH($J48,tsk_ID,0),0),N($L48),WorkWeek,Holidays),WORKDAY.INTL(WORKDAY.INTL(OFFSET(hdr_FcFinish,MATCH($J48,tsk_ID,0),0),N($L48),WorkWeek,Holidays),-MAX(0,N($F48)-1),WorkWeek,Holidays),WORKDAY.INTL(WORKDAY.INTL(OFFSET(hdr_FcStart,MATCH($J48,tsk_ID,0),0),N($L48),WorkWeek,Holidays),-MAX(0,N($F48)-1),WorkWeek,Holidays)),0))</f>
        <v>0</v>
      </c>
      <c r="AO48" s="48" t="n">
        <f aca="false">IF($AJ48=1,$R48,0)</f>
        <v>0</v>
      </c>
      <c r="AP48" s="48" t="n">
        <f aca="false">IF($AJ48=1,$S48,0)</f>
        <v>0</v>
      </c>
      <c r="AQ48" s="49" t="n">
        <f aca="false">IF(AND($AJ48=1,N($Z48)&gt;0),$Z48/($AP48-$AO48+1),0)</f>
        <v>0</v>
      </c>
      <c r="AR48" s="46" t="n">
        <f aca="false">IF($AJ48=1,MAX(N($F48),0.1),0)</f>
        <v>0</v>
      </c>
      <c r="AS48" s="46" t="n">
        <f aca="false">IF($AJ48=1,$AR48*$V48,0)</f>
        <v>0</v>
      </c>
      <c r="AT48" s="46" t="str">
        <f aca="false">IF(N($G48)=0,"",$G48&amp;IF(AND(IF($H48="","FS",$H48)="FS",N($I48)=0),"",IF($H48="","FS",$H48)&amp;IF(N($I48)=0,"",IF(N($I48)&gt;0,"+","")&amp;N($I48)&amp;"d")))</f>
        <v/>
      </c>
      <c r="AU48" s="46" t="str">
        <f aca="false">IF(N($J48)=0,"",$J48&amp;IF(AND(IF($K48="","FS",$K48)="FS",N($L48)=0),"",IF($K48="","FS",$K48)&amp;IF(N($L48)=0,"",IF(N($L48)&gt;0,"+","")&amp;N($L48)&amp;"d")))</f>
        <v/>
      </c>
      <c r="AV48" s="46" t="str">
        <f aca="false">IF(AND($AJ48=1,N($F48)=0,$V48&lt;1),$S48+$AF48/100000,"")</f>
        <v/>
      </c>
    </row>
    <row r="49" customFormat="false" ht="15" hidden="false" customHeight="false" outlineLevel="0" collapsed="false">
      <c r="A49" s="38" t="str">
        <f aca="false">IF($D49="","",COUNTA($D$6:$D49))</f>
        <v/>
      </c>
      <c r="B49" s="39" t="str">
        <f aca="true">IF($D49="","",IF($AE49=1,COUNTIF($AE$6:$AE49,1)&amp;"",IF($AG49=0,"?",OFFSET(hdr_WBS,$AG49-ROW(hdr_WBS),0)&amp;"."&amp;COUNTIF(INDEX($AE:$AE,$AG49+1):$AE49,$AE49))))</f>
        <v/>
      </c>
      <c r="C49" s="40"/>
      <c r="D49" s="41"/>
      <c r="E49" s="40"/>
      <c r="F49" s="40"/>
      <c r="G49" s="40"/>
      <c r="H49" s="40"/>
      <c r="I49" s="40"/>
      <c r="J49" s="40"/>
      <c r="K49" s="40"/>
      <c r="L49" s="40"/>
      <c r="M49" s="29"/>
      <c r="N49" s="30" t="str">
        <f aca="true">IF($D49="","",IF($AI49,MIN(OFFSET(hdr_PlanStart,$AF49+1,0,$AH49,1)),IF($E49="Manual",IF(N($M49)&gt;0,$M49,ProjectStart),WORKDAY.INTL(MAX(ProjectStart,N($M49),$AK49,$AL49)-1,1,WorkWeek,Holidays))))</f>
        <v/>
      </c>
      <c r="O49" s="30" t="str">
        <f aca="true">IF($D49="","",IF($AI49,MAX(OFFSET(hdr_PlanFinish,$AF49+1,0,$AH49,1)),IF(N($F49)&lt;=0,$N49,WORKDAY.INTL($N49,$F49-1,WorkWeek,Holidays))))</f>
        <v/>
      </c>
      <c r="P49" s="29"/>
      <c r="Q49" s="29"/>
      <c r="R49" s="30" t="str">
        <f aca="true">IF($D49="","",IF($AI49,MIN(OFFSET(hdr_FcStart,$AF49+1,0,$AH49,1)),IF(N($P49)&gt;0,$P49,IF($E49="Manual",IF(N($M49)&gt;0,$M49,ProjectStart),WORKDAY.INTL(MAX(ProjectStart,N($M49),$AM49,$AN49,IF(RescheduleAfterStatus="Yes",StatusDate,0))-1,1,WorkWeek,Holidays)))))</f>
        <v/>
      </c>
      <c r="S49" s="30" t="str">
        <f aca="true">IF($D49="","",IF($AI49,MAX(OFFSET(hdr_FcFinish,$AF49+1,0,$AH49,1)),IF(N($Q49)&gt;0,$Q49,IF(N($F49)&lt;=0,$R49,IF(AND(N($P49)&gt;0,RescheduleAfterStatus="Yes"),MAX(WORKDAY.INTL($R49,$F49-1,WorkWeek,Holidays),WORKDAY.INTL(StatusWorkday,MAX(0,ROUNDUP($F49*(1-MIN(1,N($U49))),0)-1),WorkWeek,Holidays)),WORKDAY.INTL($R49,$F49-1,WorkWeek,Holidays))))))</f>
        <v/>
      </c>
      <c r="T49" s="38" t="str">
        <f aca="false">IF($D49="","",IF($S49&gt;=$O49,NETWORKDAYS.INTL($O49,$S49,WorkWeek,Holidays)-1,1-NETWORKDAYS.INTL($S49,$O49,WorkWeek,Holidays)))</f>
        <v/>
      </c>
      <c r="U49" s="32"/>
      <c r="V49" s="42" t="str">
        <f aca="true">IF($D49="","",IF($AI49,IFERROR(SUM(OFFSET(hdr_WtDone,$AF49+1,0,$AH49,1))/SUM(OFFSET(hdr_WtDur,$AF49+1,0,$AH49,1)),0),IF(N($Q49)&gt;0,1,MIN(1,N($U49)))))</f>
        <v/>
      </c>
      <c r="W49" s="39" t="str">
        <f aca="false">IF($D49="","",IF($V49&gt;=1,"Complete",IF(OR(N($P49)&gt;0,$V49&gt;0),IF($T49&gt;0,"Behind","In Progress"),IF($N49&lt;StatusDate,"Late Start","Not Started"))))</f>
        <v/>
      </c>
      <c r="X49" s="41"/>
      <c r="Y49" s="32"/>
      <c r="Z49" s="43" t="str">
        <f aca="true">IF($D49="","",IF($AI49,SUMPRODUCT(OFFSET(hdr_Work,$AF49+1,0,$AH49,1),OFFSET(hdr_IsLeaf,$AF49+1,0,$AH49,1)),IF($X49="",0,N($F49)*HoursPerDay*IF($Y49="",DefaultUnits,$Y49))))</f>
        <v/>
      </c>
      <c r="AA49" s="44" t="str">
        <f aca="true">IF($D49="","",IF($AI49,SUMPRODUCT(OFFSET(hdr_Cost,$AF49+1,0,$AH49,1),OFFSET(hdr_IsLeaf,$AF49+1,0,$AH49,1)),$Z49*IFERROR(INDEX(res_Rate,MATCH($X49,res_Name,0)),0)))</f>
        <v/>
      </c>
      <c r="AB49" s="38" t="str">
        <f aca="false">IF(OR($D49="",$AI49),"",IF(OR($R49&lt;Sprint1Start,$R49&gt;SprintLastEnd),"Backlog",INDEX(spr_Name,MATCH($R49,spr_Start,1))))</f>
        <v/>
      </c>
      <c r="AC49" s="45" t="str">
        <f aca="false">IF($D49="","",$AT49&amp;IF(AND($AT49&lt;&gt;"",$AU49&lt;&gt;""),",","")&amp;$AU49)</f>
        <v/>
      </c>
      <c r="AD49" s="41"/>
      <c r="AE49" s="46" t="str">
        <f aca="false">IF($D49="","",MAX(1,N($C49)))</f>
        <v/>
      </c>
      <c r="AF49" s="46" t="n">
        <f aca="false">ROW()-ROW(hdr_ID)</f>
        <v>44</v>
      </c>
      <c r="AG49" s="46" t="n">
        <f aca="false">IF(OR($D49="",$AE49&lt;=1),0,IFERROR(LOOKUP(2,1/($AE$5:$AE48=$AE49-1),ROW($AE$5:$AE48)),0))</f>
        <v>0</v>
      </c>
      <c r="AH49" s="46" t="n">
        <f aca="false">IF($D49="",0,COUNTIF(tsk_WBS,$B49&amp;".*"))</f>
        <v>0</v>
      </c>
      <c r="AI49" s="47" t="b">
        <f aca="false">$AH49&gt;0</f>
        <v>0</v>
      </c>
      <c r="AJ49" s="46" t="n">
        <f aca="false">IF(AND($D49&lt;&gt;"",NOT($AI49)),1,0)</f>
        <v>0</v>
      </c>
      <c r="AK49" s="48" t="n">
        <f aca="true">IF(OR(N($G49)=0,$AI49,$D49=""),0,IFERROR(CHOOSE(MATCH(IF($H49="","FS",$H49),{"FS","SS","FF","SF"},0),WORKDAY.INTL(OFFSET(hdr_PlanFinish,MATCH($G49,tsk_ID,0),0),IF(N($F49)=0,0,1)+N($I49),WorkWeek,Holidays),WORKDAY.INTL(OFFSET(hdr_PlanStart,MATCH($G49,tsk_ID,0),0),N($I49),WorkWeek,Holidays),WORKDAY.INTL(WORKDAY.INTL(OFFSET(hdr_PlanFinish,MATCH($G49,tsk_ID,0),0),N($I49),WorkWeek,Holidays),-MAX(0,N($F49)-1),WorkWeek,Holidays),WORKDAY.INTL(WORKDAY.INTL(OFFSET(hdr_PlanStart,MATCH($G49,tsk_ID,0),0),N($I49),WorkWeek,Holidays),-MAX(0,N($F49)-1),WorkWeek,Holidays)),0))</f>
        <v>0</v>
      </c>
      <c r="AL49" s="48" t="n">
        <f aca="true">IF(OR(N($J49)=0,$AI49,$D49=""),0,IFERROR(CHOOSE(MATCH(IF($K49="","FS",$K49),{"FS","SS","FF","SF"},0),WORKDAY.INTL(OFFSET(hdr_PlanFinish,MATCH($J49,tsk_ID,0),0),IF(N($F49)=0,0,1)+N($L49),WorkWeek,Holidays),WORKDAY.INTL(OFFSET(hdr_PlanStart,MATCH($J49,tsk_ID,0),0),N($L49),WorkWeek,Holidays),WORKDAY.INTL(WORKDAY.INTL(OFFSET(hdr_PlanFinish,MATCH($J49,tsk_ID,0),0),N($L49),WorkWeek,Holidays),-MAX(0,N($F49)-1),WorkWeek,Holidays),WORKDAY.INTL(WORKDAY.INTL(OFFSET(hdr_PlanStart,MATCH($J49,tsk_ID,0),0),N($L49),WorkWeek,Holidays),-MAX(0,N($F49)-1),WorkWeek,Holidays)),0))</f>
        <v>0</v>
      </c>
      <c r="AM49" s="48" t="n">
        <f aca="true">IF(OR(N($G49)=0,$AI49,$D49=""),0,IFERROR(CHOOSE(MATCH(IF($H49="","FS",$H49),{"FS","SS","FF","SF"},0),WORKDAY.INTL(OFFSET(hdr_FcFinish,MATCH($G49,tsk_ID,0),0),IF(N($F49)=0,0,1)+N($I49),WorkWeek,Holidays),WORKDAY.INTL(OFFSET(hdr_FcStart,MATCH($G49,tsk_ID,0),0),N($I49),WorkWeek,Holidays),WORKDAY.INTL(WORKDAY.INTL(OFFSET(hdr_FcFinish,MATCH($G49,tsk_ID,0),0),N($I49),WorkWeek,Holidays),-MAX(0,N($F49)-1),WorkWeek,Holidays),WORKDAY.INTL(WORKDAY.INTL(OFFSET(hdr_FcStart,MATCH($G49,tsk_ID,0),0),N($I49),WorkWeek,Holidays),-MAX(0,N($F49)-1),WorkWeek,Holidays)),0))</f>
        <v>0</v>
      </c>
      <c r="AN49" s="48" t="n">
        <f aca="true">IF(OR(N($J49)=0,$AI49,$D49=""),0,IFERROR(CHOOSE(MATCH(IF($K49="","FS",$K49),{"FS","SS","FF","SF"},0),WORKDAY.INTL(OFFSET(hdr_FcFinish,MATCH($J49,tsk_ID,0),0),IF(N($F49)=0,0,1)+N($L49),WorkWeek,Holidays),WORKDAY.INTL(OFFSET(hdr_FcStart,MATCH($J49,tsk_ID,0),0),N($L49),WorkWeek,Holidays),WORKDAY.INTL(WORKDAY.INTL(OFFSET(hdr_FcFinish,MATCH($J49,tsk_ID,0),0),N($L49),WorkWeek,Holidays),-MAX(0,N($F49)-1),WorkWeek,Holidays),WORKDAY.INTL(WORKDAY.INTL(OFFSET(hdr_FcStart,MATCH($J49,tsk_ID,0),0),N($L49),WorkWeek,Holidays),-MAX(0,N($F49)-1),WorkWeek,Holidays)),0))</f>
        <v>0</v>
      </c>
      <c r="AO49" s="48" t="n">
        <f aca="false">IF($AJ49=1,$R49,0)</f>
        <v>0</v>
      </c>
      <c r="AP49" s="48" t="n">
        <f aca="false">IF($AJ49=1,$S49,0)</f>
        <v>0</v>
      </c>
      <c r="AQ49" s="49" t="n">
        <f aca="false">IF(AND($AJ49=1,N($Z49)&gt;0),$Z49/($AP49-$AO49+1),0)</f>
        <v>0</v>
      </c>
      <c r="AR49" s="46" t="n">
        <f aca="false">IF($AJ49=1,MAX(N($F49),0.1),0)</f>
        <v>0</v>
      </c>
      <c r="AS49" s="46" t="n">
        <f aca="false">IF($AJ49=1,$AR49*$V49,0)</f>
        <v>0</v>
      </c>
      <c r="AT49" s="46" t="str">
        <f aca="false">IF(N($G49)=0,"",$G49&amp;IF(AND(IF($H49="","FS",$H49)="FS",N($I49)=0),"",IF($H49="","FS",$H49)&amp;IF(N($I49)=0,"",IF(N($I49)&gt;0,"+","")&amp;N($I49)&amp;"d")))</f>
        <v/>
      </c>
      <c r="AU49" s="46" t="str">
        <f aca="false">IF(N($J49)=0,"",$J49&amp;IF(AND(IF($K49="","FS",$K49)="FS",N($L49)=0),"",IF($K49="","FS",$K49)&amp;IF(N($L49)=0,"",IF(N($L49)&gt;0,"+","")&amp;N($L49)&amp;"d")))</f>
        <v/>
      </c>
      <c r="AV49" s="46" t="str">
        <f aca="false">IF(AND($AJ49=1,N($F49)=0,$V49&lt;1),$S49+$AF49/100000,"")</f>
        <v/>
      </c>
    </row>
    <row r="50" customFormat="false" ht="15" hidden="false" customHeight="false" outlineLevel="0" collapsed="false">
      <c r="A50" s="38" t="str">
        <f aca="false">IF($D50="","",COUNTA($D$6:$D50))</f>
        <v/>
      </c>
      <c r="B50" s="39" t="str">
        <f aca="true">IF($D50="","",IF($AE50=1,COUNTIF($AE$6:$AE50,1)&amp;"",IF($AG50=0,"?",OFFSET(hdr_WBS,$AG50-ROW(hdr_WBS),0)&amp;"."&amp;COUNTIF(INDEX($AE:$AE,$AG50+1):$AE50,$AE50))))</f>
        <v/>
      </c>
      <c r="C50" s="40"/>
      <c r="D50" s="41"/>
      <c r="E50" s="40"/>
      <c r="F50" s="40"/>
      <c r="G50" s="40"/>
      <c r="H50" s="40"/>
      <c r="I50" s="40"/>
      <c r="J50" s="40"/>
      <c r="K50" s="40"/>
      <c r="L50" s="40"/>
      <c r="M50" s="29"/>
      <c r="N50" s="30" t="str">
        <f aca="true">IF($D50="","",IF($AI50,MIN(OFFSET(hdr_PlanStart,$AF50+1,0,$AH50,1)),IF($E50="Manual",IF(N($M50)&gt;0,$M50,ProjectStart),WORKDAY.INTL(MAX(ProjectStart,N($M50),$AK50,$AL50)-1,1,WorkWeek,Holidays))))</f>
        <v/>
      </c>
      <c r="O50" s="30" t="str">
        <f aca="true">IF($D50="","",IF($AI50,MAX(OFFSET(hdr_PlanFinish,$AF50+1,0,$AH50,1)),IF(N($F50)&lt;=0,$N50,WORKDAY.INTL($N50,$F50-1,WorkWeek,Holidays))))</f>
        <v/>
      </c>
      <c r="P50" s="29"/>
      <c r="Q50" s="29"/>
      <c r="R50" s="30" t="str">
        <f aca="true">IF($D50="","",IF($AI50,MIN(OFFSET(hdr_FcStart,$AF50+1,0,$AH50,1)),IF(N($P50)&gt;0,$P50,IF($E50="Manual",IF(N($M50)&gt;0,$M50,ProjectStart),WORKDAY.INTL(MAX(ProjectStart,N($M50),$AM50,$AN50,IF(RescheduleAfterStatus="Yes",StatusDate,0))-1,1,WorkWeek,Holidays)))))</f>
        <v/>
      </c>
      <c r="S50" s="30" t="str">
        <f aca="true">IF($D50="","",IF($AI50,MAX(OFFSET(hdr_FcFinish,$AF50+1,0,$AH50,1)),IF(N($Q50)&gt;0,$Q50,IF(N($F50)&lt;=0,$R50,IF(AND(N($P50)&gt;0,RescheduleAfterStatus="Yes"),MAX(WORKDAY.INTL($R50,$F50-1,WorkWeek,Holidays),WORKDAY.INTL(StatusWorkday,MAX(0,ROUNDUP($F50*(1-MIN(1,N($U50))),0)-1),WorkWeek,Holidays)),WORKDAY.INTL($R50,$F50-1,WorkWeek,Holidays))))))</f>
        <v/>
      </c>
      <c r="T50" s="38" t="str">
        <f aca="false">IF($D50="","",IF($S50&gt;=$O50,NETWORKDAYS.INTL($O50,$S50,WorkWeek,Holidays)-1,1-NETWORKDAYS.INTL($S50,$O50,WorkWeek,Holidays)))</f>
        <v/>
      </c>
      <c r="U50" s="32"/>
      <c r="V50" s="42" t="str">
        <f aca="true">IF($D50="","",IF($AI50,IFERROR(SUM(OFFSET(hdr_WtDone,$AF50+1,0,$AH50,1))/SUM(OFFSET(hdr_WtDur,$AF50+1,0,$AH50,1)),0),IF(N($Q50)&gt;0,1,MIN(1,N($U50)))))</f>
        <v/>
      </c>
      <c r="W50" s="39" t="str">
        <f aca="false">IF($D50="","",IF($V50&gt;=1,"Complete",IF(OR(N($P50)&gt;0,$V50&gt;0),IF($T50&gt;0,"Behind","In Progress"),IF($N50&lt;StatusDate,"Late Start","Not Started"))))</f>
        <v/>
      </c>
      <c r="X50" s="41"/>
      <c r="Y50" s="32"/>
      <c r="Z50" s="43" t="str">
        <f aca="true">IF($D50="","",IF($AI50,SUMPRODUCT(OFFSET(hdr_Work,$AF50+1,0,$AH50,1),OFFSET(hdr_IsLeaf,$AF50+1,0,$AH50,1)),IF($X50="",0,N($F50)*HoursPerDay*IF($Y50="",DefaultUnits,$Y50))))</f>
        <v/>
      </c>
      <c r="AA50" s="44" t="str">
        <f aca="true">IF($D50="","",IF($AI50,SUMPRODUCT(OFFSET(hdr_Cost,$AF50+1,0,$AH50,1),OFFSET(hdr_IsLeaf,$AF50+1,0,$AH50,1)),$Z50*IFERROR(INDEX(res_Rate,MATCH($X50,res_Name,0)),0)))</f>
        <v/>
      </c>
      <c r="AB50" s="38" t="str">
        <f aca="false">IF(OR($D50="",$AI50),"",IF(OR($R50&lt;Sprint1Start,$R50&gt;SprintLastEnd),"Backlog",INDEX(spr_Name,MATCH($R50,spr_Start,1))))</f>
        <v/>
      </c>
      <c r="AC50" s="45" t="str">
        <f aca="false">IF($D50="","",$AT50&amp;IF(AND($AT50&lt;&gt;"",$AU50&lt;&gt;""),",","")&amp;$AU50)</f>
        <v/>
      </c>
      <c r="AD50" s="41"/>
      <c r="AE50" s="46" t="str">
        <f aca="false">IF($D50="","",MAX(1,N($C50)))</f>
        <v/>
      </c>
      <c r="AF50" s="46" t="n">
        <f aca="false">ROW()-ROW(hdr_ID)</f>
        <v>45</v>
      </c>
      <c r="AG50" s="46" t="n">
        <f aca="false">IF(OR($D50="",$AE50&lt;=1),0,IFERROR(LOOKUP(2,1/($AE$5:$AE49=$AE50-1),ROW($AE$5:$AE49)),0))</f>
        <v>0</v>
      </c>
      <c r="AH50" s="46" t="n">
        <f aca="false">IF($D50="",0,COUNTIF(tsk_WBS,$B50&amp;".*"))</f>
        <v>0</v>
      </c>
      <c r="AI50" s="47" t="b">
        <f aca="false">$AH50&gt;0</f>
        <v>0</v>
      </c>
      <c r="AJ50" s="46" t="n">
        <f aca="false">IF(AND($D50&lt;&gt;"",NOT($AI50)),1,0)</f>
        <v>0</v>
      </c>
      <c r="AK50" s="48" t="n">
        <f aca="true">IF(OR(N($G50)=0,$AI50,$D50=""),0,IFERROR(CHOOSE(MATCH(IF($H50="","FS",$H50),{"FS","SS","FF","SF"},0),WORKDAY.INTL(OFFSET(hdr_PlanFinish,MATCH($G50,tsk_ID,0),0),IF(N($F50)=0,0,1)+N($I50),WorkWeek,Holidays),WORKDAY.INTL(OFFSET(hdr_PlanStart,MATCH($G50,tsk_ID,0),0),N($I50),WorkWeek,Holidays),WORKDAY.INTL(WORKDAY.INTL(OFFSET(hdr_PlanFinish,MATCH($G50,tsk_ID,0),0),N($I50),WorkWeek,Holidays),-MAX(0,N($F50)-1),WorkWeek,Holidays),WORKDAY.INTL(WORKDAY.INTL(OFFSET(hdr_PlanStart,MATCH($G50,tsk_ID,0),0),N($I50),WorkWeek,Holidays),-MAX(0,N($F50)-1),WorkWeek,Holidays)),0))</f>
        <v>0</v>
      </c>
      <c r="AL50" s="48" t="n">
        <f aca="true">IF(OR(N($J50)=0,$AI50,$D50=""),0,IFERROR(CHOOSE(MATCH(IF($K50="","FS",$K50),{"FS","SS","FF","SF"},0),WORKDAY.INTL(OFFSET(hdr_PlanFinish,MATCH($J50,tsk_ID,0),0),IF(N($F50)=0,0,1)+N($L50),WorkWeek,Holidays),WORKDAY.INTL(OFFSET(hdr_PlanStart,MATCH($J50,tsk_ID,0),0),N($L50),WorkWeek,Holidays),WORKDAY.INTL(WORKDAY.INTL(OFFSET(hdr_PlanFinish,MATCH($J50,tsk_ID,0),0),N($L50),WorkWeek,Holidays),-MAX(0,N($F50)-1),WorkWeek,Holidays),WORKDAY.INTL(WORKDAY.INTL(OFFSET(hdr_PlanStart,MATCH($J50,tsk_ID,0),0),N($L50),WorkWeek,Holidays),-MAX(0,N($F50)-1),WorkWeek,Holidays)),0))</f>
        <v>0</v>
      </c>
      <c r="AM50" s="48" t="n">
        <f aca="true">IF(OR(N($G50)=0,$AI50,$D50=""),0,IFERROR(CHOOSE(MATCH(IF($H50="","FS",$H50),{"FS","SS","FF","SF"},0),WORKDAY.INTL(OFFSET(hdr_FcFinish,MATCH($G50,tsk_ID,0),0),IF(N($F50)=0,0,1)+N($I50),WorkWeek,Holidays),WORKDAY.INTL(OFFSET(hdr_FcStart,MATCH($G50,tsk_ID,0),0),N($I50),WorkWeek,Holidays),WORKDAY.INTL(WORKDAY.INTL(OFFSET(hdr_FcFinish,MATCH($G50,tsk_ID,0),0),N($I50),WorkWeek,Holidays),-MAX(0,N($F50)-1),WorkWeek,Holidays),WORKDAY.INTL(WORKDAY.INTL(OFFSET(hdr_FcStart,MATCH($G50,tsk_ID,0),0),N($I50),WorkWeek,Holidays),-MAX(0,N($F50)-1),WorkWeek,Holidays)),0))</f>
        <v>0</v>
      </c>
      <c r="AN50" s="48" t="n">
        <f aca="true">IF(OR(N($J50)=0,$AI50,$D50=""),0,IFERROR(CHOOSE(MATCH(IF($K50="","FS",$K50),{"FS","SS","FF","SF"},0),WORKDAY.INTL(OFFSET(hdr_FcFinish,MATCH($J50,tsk_ID,0),0),IF(N($F50)=0,0,1)+N($L50),WorkWeek,Holidays),WORKDAY.INTL(OFFSET(hdr_FcStart,MATCH($J50,tsk_ID,0),0),N($L50),WorkWeek,Holidays),WORKDAY.INTL(WORKDAY.INTL(OFFSET(hdr_FcFinish,MATCH($J50,tsk_ID,0),0),N($L50),WorkWeek,Holidays),-MAX(0,N($F50)-1),WorkWeek,Holidays),WORKDAY.INTL(WORKDAY.INTL(OFFSET(hdr_FcStart,MATCH($J50,tsk_ID,0),0),N($L50),WorkWeek,Holidays),-MAX(0,N($F50)-1),WorkWeek,Holidays)),0))</f>
        <v>0</v>
      </c>
      <c r="AO50" s="48" t="n">
        <f aca="false">IF($AJ50=1,$R50,0)</f>
        <v>0</v>
      </c>
      <c r="AP50" s="48" t="n">
        <f aca="false">IF($AJ50=1,$S50,0)</f>
        <v>0</v>
      </c>
      <c r="AQ50" s="49" t="n">
        <f aca="false">IF(AND($AJ50=1,N($Z50)&gt;0),$Z50/($AP50-$AO50+1),0)</f>
        <v>0</v>
      </c>
      <c r="AR50" s="46" t="n">
        <f aca="false">IF($AJ50=1,MAX(N($F50),0.1),0)</f>
        <v>0</v>
      </c>
      <c r="AS50" s="46" t="n">
        <f aca="false">IF($AJ50=1,$AR50*$V50,0)</f>
        <v>0</v>
      </c>
      <c r="AT50" s="46" t="str">
        <f aca="false">IF(N($G50)=0,"",$G50&amp;IF(AND(IF($H50="","FS",$H50)="FS",N($I50)=0),"",IF($H50="","FS",$H50)&amp;IF(N($I50)=0,"",IF(N($I50)&gt;0,"+","")&amp;N($I50)&amp;"d")))</f>
        <v/>
      </c>
      <c r="AU50" s="46" t="str">
        <f aca="false">IF(N($J50)=0,"",$J50&amp;IF(AND(IF($K50="","FS",$K50)="FS",N($L50)=0),"",IF($K50="","FS",$K50)&amp;IF(N($L50)=0,"",IF(N($L50)&gt;0,"+","")&amp;N($L50)&amp;"d")))</f>
        <v/>
      </c>
      <c r="AV50" s="46" t="str">
        <f aca="false">IF(AND($AJ50=1,N($F50)=0,$V50&lt;1),$S50+$AF50/100000,"")</f>
        <v/>
      </c>
    </row>
    <row r="51" customFormat="false" ht="15" hidden="false" customHeight="false" outlineLevel="0" collapsed="false">
      <c r="A51" s="38" t="str">
        <f aca="false">IF($D51="","",COUNTA($D$6:$D51))</f>
        <v/>
      </c>
      <c r="B51" s="39" t="str">
        <f aca="true">IF($D51="","",IF($AE51=1,COUNTIF($AE$6:$AE51,1)&amp;"",IF($AG51=0,"?",OFFSET(hdr_WBS,$AG51-ROW(hdr_WBS),0)&amp;"."&amp;COUNTIF(INDEX($AE:$AE,$AG51+1):$AE51,$AE51))))</f>
        <v/>
      </c>
      <c r="C51" s="40"/>
      <c r="D51" s="41"/>
      <c r="E51" s="40"/>
      <c r="F51" s="40"/>
      <c r="G51" s="40"/>
      <c r="H51" s="40"/>
      <c r="I51" s="40"/>
      <c r="J51" s="40"/>
      <c r="K51" s="40"/>
      <c r="L51" s="40"/>
      <c r="M51" s="29"/>
      <c r="N51" s="30" t="str">
        <f aca="true">IF($D51="","",IF($AI51,MIN(OFFSET(hdr_PlanStart,$AF51+1,0,$AH51,1)),IF($E51="Manual",IF(N($M51)&gt;0,$M51,ProjectStart),WORKDAY.INTL(MAX(ProjectStart,N($M51),$AK51,$AL51)-1,1,WorkWeek,Holidays))))</f>
        <v/>
      </c>
      <c r="O51" s="30" t="str">
        <f aca="true">IF($D51="","",IF($AI51,MAX(OFFSET(hdr_PlanFinish,$AF51+1,0,$AH51,1)),IF(N($F51)&lt;=0,$N51,WORKDAY.INTL($N51,$F51-1,WorkWeek,Holidays))))</f>
        <v/>
      </c>
      <c r="P51" s="29"/>
      <c r="Q51" s="29"/>
      <c r="R51" s="30" t="str">
        <f aca="true">IF($D51="","",IF($AI51,MIN(OFFSET(hdr_FcStart,$AF51+1,0,$AH51,1)),IF(N($P51)&gt;0,$P51,IF($E51="Manual",IF(N($M51)&gt;0,$M51,ProjectStart),WORKDAY.INTL(MAX(ProjectStart,N($M51),$AM51,$AN51,IF(RescheduleAfterStatus="Yes",StatusDate,0))-1,1,WorkWeek,Holidays)))))</f>
        <v/>
      </c>
      <c r="S51" s="30" t="str">
        <f aca="true">IF($D51="","",IF($AI51,MAX(OFFSET(hdr_FcFinish,$AF51+1,0,$AH51,1)),IF(N($Q51)&gt;0,$Q51,IF(N($F51)&lt;=0,$R51,IF(AND(N($P51)&gt;0,RescheduleAfterStatus="Yes"),MAX(WORKDAY.INTL($R51,$F51-1,WorkWeek,Holidays),WORKDAY.INTL(StatusWorkday,MAX(0,ROUNDUP($F51*(1-MIN(1,N($U51))),0)-1),WorkWeek,Holidays)),WORKDAY.INTL($R51,$F51-1,WorkWeek,Holidays))))))</f>
        <v/>
      </c>
      <c r="T51" s="38" t="str">
        <f aca="false">IF($D51="","",IF($S51&gt;=$O51,NETWORKDAYS.INTL($O51,$S51,WorkWeek,Holidays)-1,1-NETWORKDAYS.INTL($S51,$O51,WorkWeek,Holidays)))</f>
        <v/>
      </c>
      <c r="U51" s="32"/>
      <c r="V51" s="42" t="str">
        <f aca="true">IF($D51="","",IF($AI51,IFERROR(SUM(OFFSET(hdr_WtDone,$AF51+1,0,$AH51,1))/SUM(OFFSET(hdr_WtDur,$AF51+1,0,$AH51,1)),0),IF(N($Q51)&gt;0,1,MIN(1,N($U51)))))</f>
        <v/>
      </c>
      <c r="W51" s="39" t="str">
        <f aca="false">IF($D51="","",IF($V51&gt;=1,"Complete",IF(OR(N($P51)&gt;0,$V51&gt;0),IF($T51&gt;0,"Behind","In Progress"),IF($N51&lt;StatusDate,"Late Start","Not Started"))))</f>
        <v/>
      </c>
      <c r="X51" s="41"/>
      <c r="Y51" s="32"/>
      <c r="Z51" s="43" t="str">
        <f aca="true">IF($D51="","",IF($AI51,SUMPRODUCT(OFFSET(hdr_Work,$AF51+1,0,$AH51,1),OFFSET(hdr_IsLeaf,$AF51+1,0,$AH51,1)),IF($X51="",0,N($F51)*HoursPerDay*IF($Y51="",DefaultUnits,$Y51))))</f>
        <v/>
      </c>
      <c r="AA51" s="44" t="str">
        <f aca="true">IF($D51="","",IF($AI51,SUMPRODUCT(OFFSET(hdr_Cost,$AF51+1,0,$AH51,1),OFFSET(hdr_IsLeaf,$AF51+1,0,$AH51,1)),$Z51*IFERROR(INDEX(res_Rate,MATCH($X51,res_Name,0)),0)))</f>
        <v/>
      </c>
      <c r="AB51" s="38" t="str">
        <f aca="false">IF(OR($D51="",$AI51),"",IF(OR($R51&lt;Sprint1Start,$R51&gt;SprintLastEnd),"Backlog",INDEX(spr_Name,MATCH($R51,spr_Start,1))))</f>
        <v/>
      </c>
      <c r="AC51" s="45" t="str">
        <f aca="false">IF($D51="","",$AT51&amp;IF(AND($AT51&lt;&gt;"",$AU51&lt;&gt;""),",","")&amp;$AU51)</f>
        <v/>
      </c>
      <c r="AD51" s="41"/>
      <c r="AE51" s="46" t="str">
        <f aca="false">IF($D51="","",MAX(1,N($C51)))</f>
        <v/>
      </c>
      <c r="AF51" s="46" t="n">
        <f aca="false">ROW()-ROW(hdr_ID)</f>
        <v>46</v>
      </c>
      <c r="AG51" s="46" t="n">
        <f aca="false">IF(OR($D51="",$AE51&lt;=1),0,IFERROR(LOOKUP(2,1/($AE$5:$AE50=$AE51-1),ROW($AE$5:$AE50)),0))</f>
        <v>0</v>
      </c>
      <c r="AH51" s="46" t="n">
        <f aca="false">IF($D51="",0,COUNTIF(tsk_WBS,$B51&amp;".*"))</f>
        <v>0</v>
      </c>
      <c r="AI51" s="47" t="b">
        <f aca="false">$AH51&gt;0</f>
        <v>0</v>
      </c>
      <c r="AJ51" s="46" t="n">
        <f aca="false">IF(AND($D51&lt;&gt;"",NOT($AI51)),1,0)</f>
        <v>0</v>
      </c>
      <c r="AK51" s="48" t="n">
        <f aca="true">IF(OR(N($G51)=0,$AI51,$D51=""),0,IFERROR(CHOOSE(MATCH(IF($H51="","FS",$H51),{"FS","SS","FF","SF"},0),WORKDAY.INTL(OFFSET(hdr_PlanFinish,MATCH($G51,tsk_ID,0),0),IF(N($F51)=0,0,1)+N($I51),WorkWeek,Holidays),WORKDAY.INTL(OFFSET(hdr_PlanStart,MATCH($G51,tsk_ID,0),0),N($I51),WorkWeek,Holidays),WORKDAY.INTL(WORKDAY.INTL(OFFSET(hdr_PlanFinish,MATCH($G51,tsk_ID,0),0),N($I51),WorkWeek,Holidays),-MAX(0,N($F51)-1),WorkWeek,Holidays),WORKDAY.INTL(WORKDAY.INTL(OFFSET(hdr_PlanStart,MATCH($G51,tsk_ID,0),0),N($I51),WorkWeek,Holidays),-MAX(0,N($F51)-1),WorkWeek,Holidays)),0))</f>
        <v>0</v>
      </c>
      <c r="AL51" s="48" t="n">
        <f aca="true">IF(OR(N($J51)=0,$AI51,$D51=""),0,IFERROR(CHOOSE(MATCH(IF($K51="","FS",$K51),{"FS","SS","FF","SF"},0),WORKDAY.INTL(OFFSET(hdr_PlanFinish,MATCH($J51,tsk_ID,0),0),IF(N($F51)=0,0,1)+N($L51),WorkWeek,Holidays),WORKDAY.INTL(OFFSET(hdr_PlanStart,MATCH($J51,tsk_ID,0),0),N($L51),WorkWeek,Holidays),WORKDAY.INTL(WORKDAY.INTL(OFFSET(hdr_PlanFinish,MATCH($J51,tsk_ID,0),0),N($L51),WorkWeek,Holidays),-MAX(0,N($F51)-1),WorkWeek,Holidays),WORKDAY.INTL(WORKDAY.INTL(OFFSET(hdr_PlanStart,MATCH($J51,tsk_ID,0),0),N($L51),WorkWeek,Holidays),-MAX(0,N($F51)-1),WorkWeek,Holidays)),0))</f>
        <v>0</v>
      </c>
      <c r="AM51" s="48" t="n">
        <f aca="true">IF(OR(N($G51)=0,$AI51,$D51=""),0,IFERROR(CHOOSE(MATCH(IF($H51="","FS",$H51),{"FS","SS","FF","SF"},0),WORKDAY.INTL(OFFSET(hdr_FcFinish,MATCH($G51,tsk_ID,0),0),IF(N($F51)=0,0,1)+N($I51),WorkWeek,Holidays),WORKDAY.INTL(OFFSET(hdr_FcStart,MATCH($G51,tsk_ID,0),0),N($I51),WorkWeek,Holidays),WORKDAY.INTL(WORKDAY.INTL(OFFSET(hdr_FcFinish,MATCH($G51,tsk_ID,0),0),N($I51),WorkWeek,Holidays),-MAX(0,N($F51)-1),WorkWeek,Holidays),WORKDAY.INTL(WORKDAY.INTL(OFFSET(hdr_FcStart,MATCH($G51,tsk_ID,0),0),N($I51),WorkWeek,Holidays),-MAX(0,N($F51)-1),WorkWeek,Holidays)),0))</f>
        <v>0</v>
      </c>
      <c r="AN51" s="48" t="n">
        <f aca="true">IF(OR(N($J51)=0,$AI51,$D51=""),0,IFERROR(CHOOSE(MATCH(IF($K51="","FS",$K51),{"FS","SS","FF","SF"},0),WORKDAY.INTL(OFFSET(hdr_FcFinish,MATCH($J51,tsk_ID,0),0),IF(N($F51)=0,0,1)+N($L51),WorkWeek,Holidays),WORKDAY.INTL(OFFSET(hdr_FcStart,MATCH($J51,tsk_ID,0),0),N($L51),WorkWeek,Holidays),WORKDAY.INTL(WORKDAY.INTL(OFFSET(hdr_FcFinish,MATCH($J51,tsk_ID,0),0),N($L51),WorkWeek,Holidays),-MAX(0,N($F51)-1),WorkWeek,Holidays),WORKDAY.INTL(WORKDAY.INTL(OFFSET(hdr_FcStart,MATCH($J51,tsk_ID,0),0),N($L51),WorkWeek,Holidays),-MAX(0,N($F51)-1),WorkWeek,Holidays)),0))</f>
        <v>0</v>
      </c>
      <c r="AO51" s="48" t="n">
        <f aca="false">IF($AJ51=1,$R51,0)</f>
        <v>0</v>
      </c>
      <c r="AP51" s="48" t="n">
        <f aca="false">IF($AJ51=1,$S51,0)</f>
        <v>0</v>
      </c>
      <c r="AQ51" s="49" t="n">
        <f aca="false">IF(AND($AJ51=1,N($Z51)&gt;0),$Z51/($AP51-$AO51+1),0)</f>
        <v>0</v>
      </c>
      <c r="AR51" s="46" t="n">
        <f aca="false">IF($AJ51=1,MAX(N($F51),0.1),0)</f>
        <v>0</v>
      </c>
      <c r="AS51" s="46" t="n">
        <f aca="false">IF($AJ51=1,$AR51*$V51,0)</f>
        <v>0</v>
      </c>
      <c r="AT51" s="46" t="str">
        <f aca="false">IF(N($G51)=0,"",$G51&amp;IF(AND(IF($H51="","FS",$H51)="FS",N($I51)=0),"",IF($H51="","FS",$H51)&amp;IF(N($I51)=0,"",IF(N($I51)&gt;0,"+","")&amp;N($I51)&amp;"d")))</f>
        <v/>
      </c>
      <c r="AU51" s="46" t="str">
        <f aca="false">IF(N($J51)=0,"",$J51&amp;IF(AND(IF($K51="","FS",$K51)="FS",N($L51)=0),"",IF($K51="","FS",$K51)&amp;IF(N($L51)=0,"",IF(N($L51)&gt;0,"+","")&amp;N($L51)&amp;"d")))</f>
        <v/>
      </c>
      <c r="AV51" s="46" t="str">
        <f aca="false">IF(AND($AJ51=1,N($F51)=0,$V51&lt;1),$S51+$AF51/100000,"")</f>
        <v/>
      </c>
    </row>
    <row r="52" customFormat="false" ht="15" hidden="false" customHeight="false" outlineLevel="0" collapsed="false">
      <c r="A52" s="38" t="str">
        <f aca="false">IF($D52="","",COUNTA($D$6:$D52))</f>
        <v/>
      </c>
      <c r="B52" s="39" t="str">
        <f aca="true">IF($D52="","",IF($AE52=1,COUNTIF($AE$6:$AE52,1)&amp;"",IF($AG52=0,"?",OFFSET(hdr_WBS,$AG52-ROW(hdr_WBS),0)&amp;"."&amp;COUNTIF(INDEX($AE:$AE,$AG52+1):$AE52,$AE52))))</f>
        <v/>
      </c>
      <c r="C52" s="40"/>
      <c r="D52" s="41"/>
      <c r="E52" s="40"/>
      <c r="F52" s="40"/>
      <c r="G52" s="40"/>
      <c r="H52" s="40"/>
      <c r="I52" s="40"/>
      <c r="J52" s="40"/>
      <c r="K52" s="40"/>
      <c r="L52" s="40"/>
      <c r="M52" s="29"/>
      <c r="N52" s="30" t="str">
        <f aca="true">IF($D52="","",IF($AI52,MIN(OFFSET(hdr_PlanStart,$AF52+1,0,$AH52,1)),IF($E52="Manual",IF(N($M52)&gt;0,$M52,ProjectStart),WORKDAY.INTL(MAX(ProjectStart,N($M52),$AK52,$AL52)-1,1,WorkWeek,Holidays))))</f>
        <v/>
      </c>
      <c r="O52" s="30" t="str">
        <f aca="true">IF($D52="","",IF($AI52,MAX(OFFSET(hdr_PlanFinish,$AF52+1,0,$AH52,1)),IF(N($F52)&lt;=0,$N52,WORKDAY.INTL($N52,$F52-1,WorkWeek,Holidays))))</f>
        <v/>
      </c>
      <c r="P52" s="29"/>
      <c r="Q52" s="29"/>
      <c r="R52" s="30" t="str">
        <f aca="true">IF($D52="","",IF($AI52,MIN(OFFSET(hdr_FcStart,$AF52+1,0,$AH52,1)),IF(N($P52)&gt;0,$P52,IF($E52="Manual",IF(N($M52)&gt;0,$M52,ProjectStart),WORKDAY.INTL(MAX(ProjectStart,N($M52),$AM52,$AN52,IF(RescheduleAfterStatus="Yes",StatusDate,0))-1,1,WorkWeek,Holidays)))))</f>
        <v/>
      </c>
      <c r="S52" s="30" t="str">
        <f aca="true">IF($D52="","",IF($AI52,MAX(OFFSET(hdr_FcFinish,$AF52+1,0,$AH52,1)),IF(N($Q52)&gt;0,$Q52,IF(N($F52)&lt;=0,$R52,IF(AND(N($P52)&gt;0,RescheduleAfterStatus="Yes"),MAX(WORKDAY.INTL($R52,$F52-1,WorkWeek,Holidays),WORKDAY.INTL(StatusWorkday,MAX(0,ROUNDUP($F52*(1-MIN(1,N($U52))),0)-1),WorkWeek,Holidays)),WORKDAY.INTL($R52,$F52-1,WorkWeek,Holidays))))))</f>
        <v/>
      </c>
      <c r="T52" s="38" t="str">
        <f aca="false">IF($D52="","",IF($S52&gt;=$O52,NETWORKDAYS.INTL($O52,$S52,WorkWeek,Holidays)-1,1-NETWORKDAYS.INTL($S52,$O52,WorkWeek,Holidays)))</f>
        <v/>
      </c>
      <c r="U52" s="32"/>
      <c r="V52" s="42" t="str">
        <f aca="true">IF($D52="","",IF($AI52,IFERROR(SUM(OFFSET(hdr_WtDone,$AF52+1,0,$AH52,1))/SUM(OFFSET(hdr_WtDur,$AF52+1,0,$AH52,1)),0),IF(N($Q52)&gt;0,1,MIN(1,N($U52)))))</f>
        <v/>
      </c>
      <c r="W52" s="39" t="str">
        <f aca="false">IF($D52="","",IF($V52&gt;=1,"Complete",IF(OR(N($P52)&gt;0,$V52&gt;0),IF($T52&gt;0,"Behind","In Progress"),IF($N52&lt;StatusDate,"Late Start","Not Started"))))</f>
        <v/>
      </c>
      <c r="X52" s="41"/>
      <c r="Y52" s="32"/>
      <c r="Z52" s="43" t="str">
        <f aca="true">IF($D52="","",IF($AI52,SUMPRODUCT(OFFSET(hdr_Work,$AF52+1,0,$AH52,1),OFFSET(hdr_IsLeaf,$AF52+1,0,$AH52,1)),IF($X52="",0,N($F52)*HoursPerDay*IF($Y52="",DefaultUnits,$Y52))))</f>
        <v/>
      </c>
      <c r="AA52" s="44" t="str">
        <f aca="true">IF($D52="","",IF($AI52,SUMPRODUCT(OFFSET(hdr_Cost,$AF52+1,0,$AH52,1),OFFSET(hdr_IsLeaf,$AF52+1,0,$AH52,1)),$Z52*IFERROR(INDEX(res_Rate,MATCH($X52,res_Name,0)),0)))</f>
        <v/>
      </c>
      <c r="AB52" s="38" t="str">
        <f aca="false">IF(OR($D52="",$AI52),"",IF(OR($R52&lt;Sprint1Start,$R52&gt;SprintLastEnd),"Backlog",INDEX(spr_Name,MATCH($R52,spr_Start,1))))</f>
        <v/>
      </c>
      <c r="AC52" s="45" t="str">
        <f aca="false">IF($D52="","",$AT52&amp;IF(AND($AT52&lt;&gt;"",$AU52&lt;&gt;""),",","")&amp;$AU52)</f>
        <v/>
      </c>
      <c r="AD52" s="41"/>
      <c r="AE52" s="46" t="str">
        <f aca="false">IF($D52="","",MAX(1,N($C52)))</f>
        <v/>
      </c>
      <c r="AF52" s="46" t="n">
        <f aca="false">ROW()-ROW(hdr_ID)</f>
        <v>47</v>
      </c>
      <c r="AG52" s="46" t="n">
        <f aca="false">IF(OR($D52="",$AE52&lt;=1),0,IFERROR(LOOKUP(2,1/($AE$5:$AE51=$AE52-1),ROW($AE$5:$AE51)),0))</f>
        <v>0</v>
      </c>
      <c r="AH52" s="46" t="n">
        <f aca="false">IF($D52="",0,COUNTIF(tsk_WBS,$B52&amp;".*"))</f>
        <v>0</v>
      </c>
      <c r="AI52" s="47" t="b">
        <f aca="false">$AH52&gt;0</f>
        <v>0</v>
      </c>
      <c r="AJ52" s="46" t="n">
        <f aca="false">IF(AND($D52&lt;&gt;"",NOT($AI52)),1,0)</f>
        <v>0</v>
      </c>
      <c r="AK52" s="48" t="n">
        <f aca="true">IF(OR(N($G52)=0,$AI52,$D52=""),0,IFERROR(CHOOSE(MATCH(IF($H52="","FS",$H52),{"FS","SS","FF","SF"},0),WORKDAY.INTL(OFFSET(hdr_PlanFinish,MATCH($G52,tsk_ID,0),0),IF(N($F52)=0,0,1)+N($I52),WorkWeek,Holidays),WORKDAY.INTL(OFFSET(hdr_PlanStart,MATCH($G52,tsk_ID,0),0),N($I52),WorkWeek,Holidays),WORKDAY.INTL(WORKDAY.INTL(OFFSET(hdr_PlanFinish,MATCH($G52,tsk_ID,0),0),N($I52),WorkWeek,Holidays),-MAX(0,N($F52)-1),WorkWeek,Holidays),WORKDAY.INTL(WORKDAY.INTL(OFFSET(hdr_PlanStart,MATCH($G52,tsk_ID,0),0),N($I52),WorkWeek,Holidays),-MAX(0,N($F52)-1),WorkWeek,Holidays)),0))</f>
        <v>0</v>
      </c>
      <c r="AL52" s="48" t="n">
        <f aca="true">IF(OR(N($J52)=0,$AI52,$D52=""),0,IFERROR(CHOOSE(MATCH(IF($K52="","FS",$K52),{"FS","SS","FF","SF"},0),WORKDAY.INTL(OFFSET(hdr_PlanFinish,MATCH($J52,tsk_ID,0),0),IF(N($F52)=0,0,1)+N($L52),WorkWeek,Holidays),WORKDAY.INTL(OFFSET(hdr_PlanStart,MATCH($J52,tsk_ID,0),0),N($L52),WorkWeek,Holidays),WORKDAY.INTL(WORKDAY.INTL(OFFSET(hdr_PlanFinish,MATCH($J52,tsk_ID,0),0),N($L52),WorkWeek,Holidays),-MAX(0,N($F52)-1),WorkWeek,Holidays),WORKDAY.INTL(WORKDAY.INTL(OFFSET(hdr_PlanStart,MATCH($J52,tsk_ID,0),0),N($L52),WorkWeek,Holidays),-MAX(0,N($F52)-1),WorkWeek,Holidays)),0))</f>
        <v>0</v>
      </c>
      <c r="AM52" s="48" t="n">
        <f aca="true">IF(OR(N($G52)=0,$AI52,$D52=""),0,IFERROR(CHOOSE(MATCH(IF($H52="","FS",$H52),{"FS","SS","FF","SF"},0),WORKDAY.INTL(OFFSET(hdr_FcFinish,MATCH($G52,tsk_ID,0),0),IF(N($F52)=0,0,1)+N($I52),WorkWeek,Holidays),WORKDAY.INTL(OFFSET(hdr_FcStart,MATCH($G52,tsk_ID,0),0),N($I52),WorkWeek,Holidays),WORKDAY.INTL(WORKDAY.INTL(OFFSET(hdr_FcFinish,MATCH($G52,tsk_ID,0),0),N($I52),WorkWeek,Holidays),-MAX(0,N($F52)-1),WorkWeek,Holidays),WORKDAY.INTL(WORKDAY.INTL(OFFSET(hdr_FcStart,MATCH($G52,tsk_ID,0),0),N($I52),WorkWeek,Holidays),-MAX(0,N($F52)-1),WorkWeek,Holidays)),0))</f>
        <v>0</v>
      </c>
      <c r="AN52" s="48" t="n">
        <f aca="true">IF(OR(N($J52)=0,$AI52,$D52=""),0,IFERROR(CHOOSE(MATCH(IF($K52="","FS",$K52),{"FS","SS","FF","SF"},0),WORKDAY.INTL(OFFSET(hdr_FcFinish,MATCH($J52,tsk_ID,0),0),IF(N($F52)=0,0,1)+N($L52),WorkWeek,Holidays),WORKDAY.INTL(OFFSET(hdr_FcStart,MATCH($J52,tsk_ID,0),0),N($L52),WorkWeek,Holidays),WORKDAY.INTL(WORKDAY.INTL(OFFSET(hdr_FcFinish,MATCH($J52,tsk_ID,0),0),N($L52),WorkWeek,Holidays),-MAX(0,N($F52)-1),WorkWeek,Holidays),WORKDAY.INTL(WORKDAY.INTL(OFFSET(hdr_FcStart,MATCH($J52,tsk_ID,0),0),N($L52),WorkWeek,Holidays),-MAX(0,N($F52)-1),WorkWeek,Holidays)),0))</f>
        <v>0</v>
      </c>
      <c r="AO52" s="48" t="n">
        <f aca="false">IF($AJ52=1,$R52,0)</f>
        <v>0</v>
      </c>
      <c r="AP52" s="48" t="n">
        <f aca="false">IF($AJ52=1,$S52,0)</f>
        <v>0</v>
      </c>
      <c r="AQ52" s="49" t="n">
        <f aca="false">IF(AND($AJ52=1,N($Z52)&gt;0),$Z52/($AP52-$AO52+1),0)</f>
        <v>0</v>
      </c>
      <c r="AR52" s="46" t="n">
        <f aca="false">IF($AJ52=1,MAX(N($F52),0.1),0)</f>
        <v>0</v>
      </c>
      <c r="AS52" s="46" t="n">
        <f aca="false">IF($AJ52=1,$AR52*$V52,0)</f>
        <v>0</v>
      </c>
      <c r="AT52" s="46" t="str">
        <f aca="false">IF(N($G52)=0,"",$G52&amp;IF(AND(IF($H52="","FS",$H52)="FS",N($I52)=0),"",IF($H52="","FS",$H52)&amp;IF(N($I52)=0,"",IF(N($I52)&gt;0,"+","")&amp;N($I52)&amp;"d")))</f>
        <v/>
      </c>
      <c r="AU52" s="46" t="str">
        <f aca="false">IF(N($J52)=0,"",$J52&amp;IF(AND(IF($K52="","FS",$K52)="FS",N($L52)=0),"",IF($K52="","FS",$K52)&amp;IF(N($L52)=0,"",IF(N($L52)&gt;0,"+","")&amp;N($L52)&amp;"d")))</f>
        <v/>
      </c>
      <c r="AV52" s="46" t="str">
        <f aca="false">IF(AND($AJ52=1,N($F52)=0,$V52&lt;1),$S52+$AF52/100000,"")</f>
        <v/>
      </c>
    </row>
    <row r="53" customFormat="false" ht="15" hidden="false" customHeight="false" outlineLevel="0" collapsed="false">
      <c r="A53" s="38" t="str">
        <f aca="false">IF($D53="","",COUNTA($D$6:$D53))</f>
        <v/>
      </c>
      <c r="B53" s="39" t="str">
        <f aca="true">IF($D53="","",IF($AE53=1,COUNTIF($AE$6:$AE53,1)&amp;"",IF($AG53=0,"?",OFFSET(hdr_WBS,$AG53-ROW(hdr_WBS),0)&amp;"."&amp;COUNTIF(INDEX($AE:$AE,$AG53+1):$AE53,$AE53))))</f>
        <v/>
      </c>
      <c r="C53" s="40"/>
      <c r="D53" s="41"/>
      <c r="E53" s="40"/>
      <c r="F53" s="40"/>
      <c r="G53" s="40"/>
      <c r="H53" s="40"/>
      <c r="I53" s="40"/>
      <c r="J53" s="40"/>
      <c r="K53" s="40"/>
      <c r="L53" s="40"/>
      <c r="M53" s="29"/>
      <c r="N53" s="30" t="str">
        <f aca="true">IF($D53="","",IF($AI53,MIN(OFFSET(hdr_PlanStart,$AF53+1,0,$AH53,1)),IF($E53="Manual",IF(N($M53)&gt;0,$M53,ProjectStart),WORKDAY.INTL(MAX(ProjectStart,N($M53),$AK53,$AL53)-1,1,WorkWeek,Holidays))))</f>
        <v/>
      </c>
      <c r="O53" s="30" t="str">
        <f aca="true">IF($D53="","",IF($AI53,MAX(OFFSET(hdr_PlanFinish,$AF53+1,0,$AH53,1)),IF(N($F53)&lt;=0,$N53,WORKDAY.INTL($N53,$F53-1,WorkWeek,Holidays))))</f>
        <v/>
      </c>
      <c r="P53" s="29"/>
      <c r="Q53" s="29"/>
      <c r="R53" s="30" t="str">
        <f aca="true">IF($D53="","",IF($AI53,MIN(OFFSET(hdr_FcStart,$AF53+1,0,$AH53,1)),IF(N($P53)&gt;0,$P53,IF($E53="Manual",IF(N($M53)&gt;0,$M53,ProjectStart),WORKDAY.INTL(MAX(ProjectStart,N($M53),$AM53,$AN53,IF(RescheduleAfterStatus="Yes",StatusDate,0))-1,1,WorkWeek,Holidays)))))</f>
        <v/>
      </c>
      <c r="S53" s="30" t="str">
        <f aca="true">IF($D53="","",IF($AI53,MAX(OFFSET(hdr_FcFinish,$AF53+1,0,$AH53,1)),IF(N($Q53)&gt;0,$Q53,IF(N($F53)&lt;=0,$R53,IF(AND(N($P53)&gt;0,RescheduleAfterStatus="Yes"),MAX(WORKDAY.INTL($R53,$F53-1,WorkWeek,Holidays),WORKDAY.INTL(StatusWorkday,MAX(0,ROUNDUP($F53*(1-MIN(1,N($U53))),0)-1),WorkWeek,Holidays)),WORKDAY.INTL($R53,$F53-1,WorkWeek,Holidays))))))</f>
        <v/>
      </c>
      <c r="T53" s="38" t="str">
        <f aca="false">IF($D53="","",IF($S53&gt;=$O53,NETWORKDAYS.INTL($O53,$S53,WorkWeek,Holidays)-1,1-NETWORKDAYS.INTL($S53,$O53,WorkWeek,Holidays)))</f>
        <v/>
      </c>
      <c r="U53" s="32"/>
      <c r="V53" s="42" t="str">
        <f aca="true">IF($D53="","",IF($AI53,IFERROR(SUM(OFFSET(hdr_WtDone,$AF53+1,0,$AH53,1))/SUM(OFFSET(hdr_WtDur,$AF53+1,0,$AH53,1)),0),IF(N($Q53)&gt;0,1,MIN(1,N($U53)))))</f>
        <v/>
      </c>
      <c r="W53" s="39" t="str">
        <f aca="false">IF($D53="","",IF($V53&gt;=1,"Complete",IF(OR(N($P53)&gt;0,$V53&gt;0),IF($T53&gt;0,"Behind","In Progress"),IF($N53&lt;StatusDate,"Late Start","Not Started"))))</f>
        <v/>
      </c>
      <c r="X53" s="41"/>
      <c r="Y53" s="32"/>
      <c r="Z53" s="43" t="str">
        <f aca="true">IF($D53="","",IF($AI53,SUMPRODUCT(OFFSET(hdr_Work,$AF53+1,0,$AH53,1),OFFSET(hdr_IsLeaf,$AF53+1,0,$AH53,1)),IF($X53="",0,N($F53)*HoursPerDay*IF($Y53="",DefaultUnits,$Y53))))</f>
        <v/>
      </c>
      <c r="AA53" s="44" t="str">
        <f aca="true">IF($D53="","",IF($AI53,SUMPRODUCT(OFFSET(hdr_Cost,$AF53+1,0,$AH53,1),OFFSET(hdr_IsLeaf,$AF53+1,0,$AH53,1)),$Z53*IFERROR(INDEX(res_Rate,MATCH($X53,res_Name,0)),0)))</f>
        <v/>
      </c>
      <c r="AB53" s="38" t="str">
        <f aca="false">IF(OR($D53="",$AI53),"",IF(OR($R53&lt;Sprint1Start,$R53&gt;SprintLastEnd),"Backlog",INDEX(spr_Name,MATCH($R53,spr_Start,1))))</f>
        <v/>
      </c>
      <c r="AC53" s="45" t="str">
        <f aca="false">IF($D53="","",$AT53&amp;IF(AND($AT53&lt;&gt;"",$AU53&lt;&gt;""),",","")&amp;$AU53)</f>
        <v/>
      </c>
      <c r="AD53" s="41"/>
      <c r="AE53" s="46" t="str">
        <f aca="false">IF($D53="","",MAX(1,N($C53)))</f>
        <v/>
      </c>
      <c r="AF53" s="46" t="n">
        <f aca="false">ROW()-ROW(hdr_ID)</f>
        <v>48</v>
      </c>
      <c r="AG53" s="46" t="n">
        <f aca="false">IF(OR($D53="",$AE53&lt;=1),0,IFERROR(LOOKUP(2,1/($AE$5:$AE52=$AE53-1),ROW($AE$5:$AE52)),0))</f>
        <v>0</v>
      </c>
      <c r="AH53" s="46" t="n">
        <f aca="false">IF($D53="",0,COUNTIF(tsk_WBS,$B53&amp;".*"))</f>
        <v>0</v>
      </c>
      <c r="AI53" s="47" t="b">
        <f aca="false">$AH53&gt;0</f>
        <v>0</v>
      </c>
      <c r="AJ53" s="46" t="n">
        <f aca="false">IF(AND($D53&lt;&gt;"",NOT($AI53)),1,0)</f>
        <v>0</v>
      </c>
      <c r="AK53" s="48" t="n">
        <f aca="true">IF(OR(N($G53)=0,$AI53,$D53=""),0,IFERROR(CHOOSE(MATCH(IF($H53="","FS",$H53),{"FS","SS","FF","SF"},0),WORKDAY.INTL(OFFSET(hdr_PlanFinish,MATCH($G53,tsk_ID,0),0),IF(N($F53)=0,0,1)+N($I53),WorkWeek,Holidays),WORKDAY.INTL(OFFSET(hdr_PlanStart,MATCH($G53,tsk_ID,0),0),N($I53),WorkWeek,Holidays),WORKDAY.INTL(WORKDAY.INTL(OFFSET(hdr_PlanFinish,MATCH($G53,tsk_ID,0),0),N($I53),WorkWeek,Holidays),-MAX(0,N($F53)-1),WorkWeek,Holidays),WORKDAY.INTL(WORKDAY.INTL(OFFSET(hdr_PlanStart,MATCH($G53,tsk_ID,0),0),N($I53),WorkWeek,Holidays),-MAX(0,N($F53)-1),WorkWeek,Holidays)),0))</f>
        <v>0</v>
      </c>
      <c r="AL53" s="48" t="n">
        <f aca="true">IF(OR(N($J53)=0,$AI53,$D53=""),0,IFERROR(CHOOSE(MATCH(IF($K53="","FS",$K53),{"FS","SS","FF","SF"},0),WORKDAY.INTL(OFFSET(hdr_PlanFinish,MATCH($J53,tsk_ID,0),0),IF(N($F53)=0,0,1)+N($L53),WorkWeek,Holidays),WORKDAY.INTL(OFFSET(hdr_PlanStart,MATCH($J53,tsk_ID,0),0),N($L53),WorkWeek,Holidays),WORKDAY.INTL(WORKDAY.INTL(OFFSET(hdr_PlanFinish,MATCH($J53,tsk_ID,0),0),N($L53),WorkWeek,Holidays),-MAX(0,N($F53)-1),WorkWeek,Holidays),WORKDAY.INTL(WORKDAY.INTL(OFFSET(hdr_PlanStart,MATCH($J53,tsk_ID,0),0),N($L53),WorkWeek,Holidays),-MAX(0,N($F53)-1),WorkWeek,Holidays)),0))</f>
        <v>0</v>
      </c>
      <c r="AM53" s="48" t="n">
        <f aca="true">IF(OR(N($G53)=0,$AI53,$D53=""),0,IFERROR(CHOOSE(MATCH(IF($H53="","FS",$H53),{"FS","SS","FF","SF"},0),WORKDAY.INTL(OFFSET(hdr_FcFinish,MATCH($G53,tsk_ID,0),0),IF(N($F53)=0,0,1)+N($I53),WorkWeek,Holidays),WORKDAY.INTL(OFFSET(hdr_FcStart,MATCH($G53,tsk_ID,0),0),N($I53),WorkWeek,Holidays),WORKDAY.INTL(WORKDAY.INTL(OFFSET(hdr_FcFinish,MATCH($G53,tsk_ID,0),0),N($I53),WorkWeek,Holidays),-MAX(0,N($F53)-1),WorkWeek,Holidays),WORKDAY.INTL(WORKDAY.INTL(OFFSET(hdr_FcStart,MATCH($G53,tsk_ID,0),0),N($I53),WorkWeek,Holidays),-MAX(0,N($F53)-1),WorkWeek,Holidays)),0))</f>
        <v>0</v>
      </c>
      <c r="AN53" s="48" t="n">
        <f aca="true">IF(OR(N($J53)=0,$AI53,$D53=""),0,IFERROR(CHOOSE(MATCH(IF($K53="","FS",$K53),{"FS","SS","FF","SF"},0),WORKDAY.INTL(OFFSET(hdr_FcFinish,MATCH($J53,tsk_ID,0),0),IF(N($F53)=0,0,1)+N($L53),WorkWeek,Holidays),WORKDAY.INTL(OFFSET(hdr_FcStart,MATCH($J53,tsk_ID,0),0),N($L53),WorkWeek,Holidays),WORKDAY.INTL(WORKDAY.INTL(OFFSET(hdr_FcFinish,MATCH($J53,tsk_ID,0),0),N($L53),WorkWeek,Holidays),-MAX(0,N($F53)-1),WorkWeek,Holidays),WORKDAY.INTL(WORKDAY.INTL(OFFSET(hdr_FcStart,MATCH($J53,tsk_ID,0),0),N($L53),WorkWeek,Holidays),-MAX(0,N($F53)-1),WorkWeek,Holidays)),0))</f>
        <v>0</v>
      </c>
      <c r="AO53" s="48" t="n">
        <f aca="false">IF($AJ53=1,$R53,0)</f>
        <v>0</v>
      </c>
      <c r="AP53" s="48" t="n">
        <f aca="false">IF($AJ53=1,$S53,0)</f>
        <v>0</v>
      </c>
      <c r="AQ53" s="49" t="n">
        <f aca="false">IF(AND($AJ53=1,N($Z53)&gt;0),$Z53/($AP53-$AO53+1),0)</f>
        <v>0</v>
      </c>
      <c r="AR53" s="46" t="n">
        <f aca="false">IF($AJ53=1,MAX(N($F53),0.1),0)</f>
        <v>0</v>
      </c>
      <c r="AS53" s="46" t="n">
        <f aca="false">IF($AJ53=1,$AR53*$V53,0)</f>
        <v>0</v>
      </c>
      <c r="AT53" s="46" t="str">
        <f aca="false">IF(N($G53)=0,"",$G53&amp;IF(AND(IF($H53="","FS",$H53)="FS",N($I53)=0),"",IF($H53="","FS",$H53)&amp;IF(N($I53)=0,"",IF(N($I53)&gt;0,"+","")&amp;N($I53)&amp;"d")))</f>
        <v/>
      </c>
      <c r="AU53" s="46" t="str">
        <f aca="false">IF(N($J53)=0,"",$J53&amp;IF(AND(IF($K53="","FS",$K53)="FS",N($L53)=0),"",IF($K53="","FS",$K53)&amp;IF(N($L53)=0,"",IF(N($L53)&gt;0,"+","")&amp;N($L53)&amp;"d")))</f>
        <v/>
      </c>
      <c r="AV53" s="46" t="str">
        <f aca="false">IF(AND($AJ53=1,N($F53)=0,$V53&lt;1),$S53+$AF53/100000,"")</f>
        <v/>
      </c>
    </row>
    <row r="54" customFormat="false" ht="15" hidden="false" customHeight="false" outlineLevel="0" collapsed="false">
      <c r="A54" s="38" t="str">
        <f aca="false">IF($D54="","",COUNTA($D$6:$D54))</f>
        <v/>
      </c>
      <c r="B54" s="39" t="str">
        <f aca="true">IF($D54="","",IF($AE54=1,COUNTIF($AE$6:$AE54,1)&amp;"",IF($AG54=0,"?",OFFSET(hdr_WBS,$AG54-ROW(hdr_WBS),0)&amp;"."&amp;COUNTIF(INDEX($AE:$AE,$AG54+1):$AE54,$AE54))))</f>
        <v/>
      </c>
      <c r="C54" s="40"/>
      <c r="D54" s="41"/>
      <c r="E54" s="40"/>
      <c r="F54" s="40"/>
      <c r="G54" s="40"/>
      <c r="H54" s="40"/>
      <c r="I54" s="40"/>
      <c r="J54" s="40"/>
      <c r="K54" s="40"/>
      <c r="L54" s="40"/>
      <c r="M54" s="29"/>
      <c r="N54" s="30" t="str">
        <f aca="true">IF($D54="","",IF($AI54,MIN(OFFSET(hdr_PlanStart,$AF54+1,0,$AH54,1)),IF($E54="Manual",IF(N($M54)&gt;0,$M54,ProjectStart),WORKDAY.INTL(MAX(ProjectStart,N($M54),$AK54,$AL54)-1,1,WorkWeek,Holidays))))</f>
        <v/>
      </c>
      <c r="O54" s="30" t="str">
        <f aca="true">IF($D54="","",IF($AI54,MAX(OFFSET(hdr_PlanFinish,$AF54+1,0,$AH54,1)),IF(N($F54)&lt;=0,$N54,WORKDAY.INTL($N54,$F54-1,WorkWeek,Holidays))))</f>
        <v/>
      </c>
      <c r="P54" s="29"/>
      <c r="Q54" s="29"/>
      <c r="R54" s="30" t="str">
        <f aca="true">IF($D54="","",IF($AI54,MIN(OFFSET(hdr_FcStart,$AF54+1,0,$AH54,1)),IF(N($P54)&gt;0,$P54,IF($E54="Manual",IF(N($M54)&gt;0,$M54,ProjectStart),WORKDAY.INTL(MAX(ProjectStart,N($M54),$AM54,$AN54,IF(RescheduleAfterStatus="Yes",StatusDate,0))-1,1,WorkWeek,Holidays)))))</f>
        <v/>
      </c>
      <c r="S54" s="30" t="str">
        <f aca="true">IF($D54="","",IF($AI54,MAX(OFFSET(hdr_FcFinish,$AF54+1,0,$AH54,1)),IF(N($Q54)&gt;0,$Q54,IF(N($F54)&lt;=0,$R54,IF(AND(N($P54)&gt;0,RescheduleAfterStatus="Yes"),MAX(WORKDAY.INTL($R54,$F54-1,WorkWeek,Holidays),WORKDAY.INTL(StatusWorkday,MAX(0,ROUNDUP($F54*(1-MIN(1,N($U54))),0)-1),WorkWeek,Holidays)),WORKDAY.INTL($R54,$F54-1,WorkWeek,Holidays))))))</f>
        <v/>
      </c>
      <c r="T54" s="38" t="str">
        <f aca="false">IF($D54="","",IF($S54&gt;=$O54,NETWORKDAYS.INTL($O54,$S54,WorkWeek,Holidays)-1,1-NETWORKDAYS.INTL($S54,$O54,WorkWeek,Holidays)))</f>
        <v/>
      </c>
      <c r="U54" s="32"/>
      <c r="V54" s="42" t="str">
        <f aca="true">IF($D54="","",IF($AI54,IFERROR(SUM(OFFSET(hdr_WtDone,$AF54+1,0,$AH54,1))/SUM(OFFSET(hdr_WtDur,$AF54+1,0,$AH54,1)),0),IF(N($Q54)&gt;0,1,MIN(1,N($U54)))))</f>
        <v/>
      </c>
      <c r="W54" s="39" t="str">
        <f aca="false">IF($D54="","",IF($V54&gt;=1,"Complete",IF(OR(N($P54)&gt;0,$V54&gt;0),IF($T54&gt;0,"Behind","In Progress"),IF($N54&lt;StatusDate,"Late Start","Not Started"))))</f>
        <v/>
      </c>
      <c r="X54" s="41"/>
      <c r="Y54" s="32"/>
      <c r="Z54" s="43" t="str">
        <f aca="true">IF($D54="","",IF($AI54,SUMPRODUCT(OFFSET(hdr_Work,$AF54+1,0,$AH54,1),OFFSET(hdr_IsLeaf,$AF54+1,0,$AH54,1)),IF($X54="",0,N($F54)*HoursPerDay*IF($Y54="",DefaultUnits,$Y54))))</f>
        <v/>
      </c>
      <c r="AA54" s="44" t="str">
        <f aca="true">IF($D54="","",IF($AI54,SUMPRODUCT(OFFSET(hdr_Cost,$AF54+1,0,$AH54,1),OFFSET(hdr_IsLeaf,$AF54+1,0,$AH54,1)),$Z54*IFERROR(INDEX(res_Rate,MATCH($X54,res_Name,0)),0)))</f>
        <v/>
      </c>
      <c r="AB54" s="38" t="str">
        <f aca="false">IF(OR($D54="",$AI54),"",IF(OR($R54&lt;Sprint1Start,$R54&gt;SprintLastEnd),"Backlog",INDEX(spr_Name,MATCH($R54,spr_Start,1))))</f>
        <v/>
      </c>
      <c r="AC54" s="45" t="str">
        <f aca="false">IF($D54="","",$AT54&amp;IF(AND($AT54&lt;&gt;"",$AU54&lt;&gt;""),",","")&amp;$AU54)</f>
        <v/>
      </c>
      <c r="AD54" s="41"/>
      <c r="AE54" s="46" t="str">
        <f aca="false">IF($D54="","",MAX(1,N($C54)))</f>
        <v/>
      </c>
      <c r="AF54" s="46" t="n">
        <f aca="false">ROW()-ROW(hdr_ID)</f>
        <v>49</v>
      </c>
      <c r="AG54" s="46" t="n">
        <f aca="false">IF(OR($D54="",$AE54&lt;=1),0,IFERROR(LOOKUP(2,1/($AE$5:$AE53=$AE54-1),ROW($AE$5:$AE53)),0))</f>
        <v>0</v>
      </c>
      <c r="AH54" s="46" t="n">
        <f aca="false">IF($D54="",0,COUNTIF(tsk_WBS,$B54&amp;".*"))</f>
        <v>0</v>
      </c>
      <c r="AI54" s="47" t="b">
        <f aca="false">$AH54&gt;0</f>
        <v>0</v>
      </c>
      <c r="AJ54" s="46" t="n">
        <f aca="false">IF(AND($D54&lt;&gt;"",NOT($AI54)),1,0)</f>
        <v>0</v>
      </c>
      <c r="AK54" s="48" t="n">
        <f aca="true">IF(OR(N($G54)=0,$AI54,$D54=""),0,IFERROR(CHOOSE(MATCH(IF($H54="","FS",$H54),{"FS","SS","FF","SF"},0),WORKDAY.INTL(OFFSET(hdr_PlanFinish,MATCH($G54,tsk_ID,0),0),IF(N($F54)=0,0,1)+N($I54),WorkWeek,Holidays),WORKDAY.INTL(OFFSET(hdr_PlanStart,MATCH($G54,tsk_ID,0),0),N($I54),WorkWeek,Holidays),WORKDAY.INTL(WORKDAY.INTL(OFFSET(hdr_PlanFinish,MATCH($G54,tsk_ID,0),0),N($I54),WorkWeek,Holidays),-MAX(0,N($F54)-1),WorkWeek,Holidays),WORKDAY.INTL(WORKDAY.INTL(OFFSET(hdr_PlanStart,MATCH($G54,tsk_ID,0),0),N($I54),WorkWeek,Holidays),-MAX(0,N($F54)-1),WorkWeek,Holidays)),0))</f>
        <v>0</v>
      </c>
      <c r="AL54" s="48" t="n">
        <f aca="true">IF(OR(N($J54)=0,$AI54,$D54=""),0,IFERROR(CHOOSE(MATCH(IF($K54="","FS",$K54),{"FS","SS","FF","SF"},0),WORKDAY.INTL(OFFSET(hdr_PlanFinish,MATCH($J54,tsk_ID,0),0),IF(N($F54)=0,0,1)+N($L54),WorkWeek,Holidays),WORKDAY.INTL(OFFSET(hdr_PlanStart,MATCH($J54,tsk_ID,0),0),N($L54),WorkWeek,Holidays),WORKDAY.INTL(WORKDAY.INTL(OFFSET(hdr_PlanFinish,MATCH($J54,tsk_ID,0),0),N($L54),WorkWeek,Holidays),-MAX(0,N($F54)-1),WorkWeek,Holidays),WORKDAY.INTL(WORKDAY.INTL(OFFSET(hdr_PlanStart,MATCH($J54,tsk_ID,0),0),N($L54),WorkWeek,Holidays),-MAX(0,N($F54)-1),WorkWeek,Holidays)),0))</f>
        <v>0</v>
      </c>
      <c r="AM54" s="48" t="n">
        <f aca="true">IF(OR(N($G54)=0,$AI54,$D54=""),0,IFERROR(CHOOSE(MATCH(IF($H54="","FS",$H54),{"FS","SS","FF","SF"},0),WORKDAY.INTL(OFFSET(hdr_FcFinish,MATCH($G54,tsk_ID,0),0),IF(N($F54)=0,0,1)+N($I54),WorkWeek,Holidays),WORKDAY.INTL(OFFSET(hdr_FcStart,MATCH($G54,tsk_ID,0),0),N($I54),WorkWeek,Holidays),WORKDAY.INTL(WORKDAY.INTL(OFFSET(hdr_FcFinish,MATCH($G54,tsk_ID,0),0),N($I54),WorkWeek,Holidays),-MAX(0,N($F54)-1),WorkWeek,Holidays),WORKDAY.INTL(WORKDAY.INTL(OFFSET(hdr_FcStart,MATCH($G54,tsk_ID,0),0),N($I54),WorkWeek,Holidays),-MAX(0,N($F54)-1),WorkWeek,Holidays)),0))</f>
        <v>0</v>
      </c>
      <c r="AN54" s="48" t="n">
        <f aca="true">IF(OR(N($J54)=0,$AI54,$D54=""),0,IFERROR(CHOOSE(MATCH(IF($K54="","FS",$K54),{"FS","SS","FF","SF"},0),WORKDAY.INTL(OFFSET(hdr_FcFinish,MATCH($J54,tsk_ID,0),0),IF(N($F54)=0,0,1)+N($L54),WorkWeek,Holidays),WORKDAY.INTL(OFFSET(hdr_FcStart,MATCH($J54,tsk_ID,0),0),N($L54),WorkWeek,Holidays),WORKDAY.INTL(WORKDAY.INTL(OFFSET(hdr_FcFinish,MATCH($J54,tsk_ID,0),0),N($L54),WorkWeek,Holidays),-MAX(0,N($F54)-1),WorkWeek,Holidays),WORKDAY.INTL(WORKDAY.INTL(OFFSET(hdr_FcStart,MATCH($J54,tsk_ID,0),0),N($L54),WorkWeek,Holidays),-MAX(0,N($F54)-1),WorkWeek,Holidays)),0))</f>
        <v>0</v>
      </c>
      <c r="AO54" s="48" t="n">
        <f aca="false">IF($AJ54=1,$R54,0)</f>
        <v>0</v>
      </c>
      <c r="AP54" s="48" t="n">
        <f aca="false">IF($AJ54=1,$S54,0)</f>
        <v>0</v>
      </c>
      <c r="AQ54" s="49" t="n">
        <f aca="false">IF(AND($AJ54=1,N($Z54)&gt;0),$Z54/($AP54-$AO54+1),0)</f>
        <v>0</v>
      </c>
      <c r="AR54" s="46" t="n">
        <f aca="false">IF($AJ54=1,MAX(N($F54),0.1),0)</f>
        <v>0</v>
      </c>
      <c r="AS54" s="46" t="n">
        <f aca="false">IF($AJ54=1,$AR54*$V54,0)</f>
        <v>0</v>
      </c>
      <c r="AT54" s="46" t="str">
        <f aca="false">IF(N($G54)=0,"",$G54&amp;IF(AND(IF($H54="","FS",$H54)="FS",N($I54)=0),"",IF($H54="","FS",$H54)&amp;IF(N($I54)=0,"",IF(N($I54)&gt;0,"+","")&amp;N($I54)&amp;"d")))</f>
        <v/>
      </c>
      <c r="AU54" s="46" t="str">
        <f aca="false">IF(N($J54)=0,"",$J54&amp;IF(AND(IF($K54="","FS",$K54)="FS",N($L54)=0),"",IF($K54="","FS",$K54)&amp;IF(N($L54)=0,"",IF(N($L54)&gt;0,"+","")&amp;N($L54)&amp;"d")))</f>
        <v/>
      </c>
      <c r="AV54" s="46" t="str">
        <f aca="false">IF(AND($AJ54=1,N($F54)=0,$V54&lt;1),$S54+$AF54/100000,"")</f>
        <v/>
      </c>
    </row>
    <row r="55" customFormat="false" ht="15" hidden="false" customHeight="false" outlineLevel="0" collapsed="false">
      <c r="A55" s="38" t="str">
        <f aca="false">IF($D55="","",COUNTA($D$6:$D55))</f>
        <v/>
      </c>
      <c r="B55" s="39" t="str">
        <f aca="true">IF($D55="","",IF($AE55=1,COUNTIF($AE$6:$AE55,1)&amp;"",IF($AG55=0,"?",OFFSET(hdr_WBS,$AG55-ROW(hdr_WBS),0)&amp;"."&amp;COUNTIF(INDEX($AE:$AE,$AG55+1):$AE55,$AE55))))</f>
        <v/>
      </c>
      <c r="C55" s="40"/>
      <c r="D55" s="41"/>
      <c r="E55" s="40"/>
      <c r="F55" s="40"/>
      <c r="G55" s="40"/>
      <c r="H55" s="40"/>
      <c r="I55" s="40"/>
      <c r="J55" s="40"/>
      <c r="K55" s="40"/>
      <c r="L55" s="40"/>
      <c r="M55" s="29"/>
      <c r="N55" s="30" t="str">
        <f aca="true">IF($D55="","",IF($AI55,MIN(OFFSET(hdr_PlanStart,$AF55+1,0,$AH55,1)),IF($E55="Manual",IF(N($M55)&gt;0,$M55,ProjectStart),WORKDAY.INTL(MAX(ProjectStart,N($M55),$AK55,$AL55)-1,1,WorkWeek,Holidays))))</f>
        <v/>
      </c>
      <c r="O55" s="30" t="str">
        <f aca="true">IF($D55="","",IF($AI55,MAX(OFFSET(hdr_PlanFinish,$AF55+1,0,$AH55,1)),IF(N($F55)&lt;=0,$N55,WORKDAY.INTL($N55,$F55-1,WorkWeek,Holidays))))</f>
        <v/>
      </c>
      <c r="P55" s="29"/>
      <c r="Q55" s="29"/>
      <c r="R55" s="30" t="str">
        <f aca="true">IF($D55="","",IF($AI55,MIN(OFFSET(hdr_FcStart,$AF55+1,0,$AH55,1)),IF(N($P55)&gt;0,$P55,IF($E55="Manual",IF(N($M55)&gt;0,$M55,ProjectStart),WORKDAY.INTL(MAX(ProjectStart,N($M55),$AM55,$AN55,IF(RescheduleAfterStatus="Yes",StatusDate,0))-1,1,WorkWeek,Holidays)))))</f>
        <v/>
      </c>
      <c r="S55" s="30" t="str">
        <f aca="true">IF($D55="","",IF($AI55,MAX(OFFSET(hdr_FcFinish,$AF55+1,0,$AH55,1)),IF(N($Q55)&gt;0,$Q55,IF(N($F55)&lt;=0,$R55,IF(AND(N($P55)&gt;0,RescheduleAfterStatus="Yes"),MAX(WORKDAY.INTL($R55,$F55-1,WorkWeek,Holidays),WORKDAY.INTL(StatusWorkday,MAX(0,ROUNDUP($F55*(1-MIN(1,N($U55))),0)-1),WorkWeek,Holidays)),WORKDAY.INTL($R55,$F55-1,WorkWeek,Holidays))))))</f>
        <v/>
      </c>
      <c r="T55" s="38" t="str">
        <f aca="false">IF($D55="","",IF($S55&gt;=$O55,NETWORKDAYS.INTL($O55,$S55,WorkWeek,Holidays)-1,1-NETWORKDAYS.INTL($S55,$O55,WorkWeek,Holidays)))</f>
        <v/>
      </c>
      <c r="U55" s="32"/>
      <c r="V55" s="42" t="str">
        <f aca="true">IF($D55="","",IF($AI55,IFERROR(SUM(OFFSET(hdr_WtDone,$AF55+1,0,$AH55,1))/SUM(OFFSET(hdr_WtDur,$AF55+1,0,$AH55,1)),0),IF(N($Q55)&gt;0,1,MIN(1,N($U55)))))</f>
        <v/>
      </c>
      <c r="W55" s="39" t="str">
        <f aca="false">IF($D55="","",IF($V55&gt;=1,"Complete",IF(OR(N($P55)&gt;0,$V55&gt;0),IF($T55&gt;0,"Behind","In Progress"),IF($N55&lt;StatusDate,"Late Start","Not Started"))))</f>
        <v/>
      </c>
      <c r="X55" s="41"/>
      <c r="Y55" s="32"/>
      <c r="Z55" s="43" t="str">
        <f aca="true">IF($D55="","",IF($AI55,SUMPRODUCT(OFFSET(hdr_Work,$AF55+1,0,$AH55,1),OFFSET(hdr_IsLeaf,$AF55+1,0,$AH55,1)),IF($X55="",0,N($F55)*HoursPerDay*IF($Y55="",DefaultUnits,$Y55))))</f>
        <v/>
      </c>
      <c r="AA55" s="44" t="str">
        <f aca="true">IF($D55="","",IF($AI55,SUMPRODUCT(OFFSET(hdr_Cost,$AF55+1,0,$AH55,1),OFFSET(hdr_IsLeaf,$AF55+1,0,$AH55,1)),$Z55*IFERROR(INDEX(res_Rate,MATCH($X55,res_Name,0)),0)))</f>
        <v/>
      </c>
      <c r="AB55" s="38" t="str">
        <f aca="false">IF(OR($D55="",$AI55),"",IF(OR($R55&lt;Sprint1Start,$R55&gt;SprintLastEnd),"Backlog",INDEX(spr_Name,MATCH($R55,spr_Start,1))))</f>
        <v/>
      </c>
      <c r="AC55" s="45" t="str">
        <f aca="false">IF($D55="","",$AT55&amp;IF(AND($AT55&lt;&gt;"",$AU55&lt;&gt;""),",","")&amp;$AU55)</f>
        <v/>
      </c>
      <c r="AD55" s="41"/>
      <c r="AE55" s="46" t="str">
        <f aca="false">IF($D55="","",MAX(1,N($C55)))</f>
        <v/>
      </c>
      <c r="AF55" s="46" t="n">
        <f aca="false">ROW()-ROW(hdr_ID)</f>
        <v>50</v>
      </c>
      <c r="AG55" s="46" t="n">
        <f aca="false">IF(OR($D55="",$AE55&lt;=1),0,IFERROR(LOOKUP(2,1/($AE$5:$AE54=$AE55-1),ROW($AE$5:$AE54)),0))</f>
        <v>0</v>
      </c>
      <c r="AH55" s="46" t="n">
        <f aca="false">IF($D55="",0,COUNTIF(tsk_WBS,$B55&amp;".*"))</f>
        <v>0</v>
      </c>
      <c r="AI55" s="47" t="b">
        <f aca="false">$AH55&gt;0</f>
        <v>0</v>
      </c>
      <c r="AJ55" s="46" t="n">
        <f aca="false">IF(AND($D55&lt;&gt;"",NOT($AI55)),1,0)</f>
        <v>0</v>
      </c>
      <c r="AK55" s="48" t="n">
        <f aca="true">IF(OR(N($G55)=0,$AI55,$D55=""),0,IFERROR(CHOOSE(MATCH(IF($H55="","FS",$H55),{"FS","SS","FF","SF"},0),WORKDAY.INTL(OFFSET(hdr_PlanFinish,MATCH($G55,tsk_ID,0),0),IF(N($F55)=0,0,1)+N($I55),WorkWeek,Holidays),WORKDAY.INTL(OFFSET(hdr_PlanStart,MATCH($G55,tsk_ID,0),0),N($I55),WorkWeek,Holidays),WORKDAY.INTL(WORKDAY.INTL(OFFSET(hdr_PlanFinish,MATCH($G55,tsk_ID,0),0),N($I55),WorkWeek,Holidays),-MAX(0,N($F55)-1),WorkWeek,Holidays),WORKDAY.INTL(WORKDAY.INTL(OFFSET(hdr_PlanStart,MATCH($G55,tsk_ID,0),0),N($I55),WorkWeek,Holidays),-MAX(0,N($F55)-1),WorkWeek,Holidays)),0))</f>
        <v>0</v>
      </c>
      <c r="AL55" s="48" t="n">
        <f aca="true">IF(OR(N($J55)=0,$AI55,$D55=""),0,IFERROR(CHOOSE(MATCH(IF($K55="","FS",$K55),{"FS","SS","FF","SF"},0),WORKDAY.INTL(OFFSET(hdr_PlanFinish,MATCH($J55,tsk_ID,0),0),IF(N($F55)=0,0,1)+N($L55),WorkWeek,Holidays),WORKDAY.INTL(OFFSET(hdr_PlanStart,MATCH($J55,tsk_ID,0),0),N($L55),WorkWeek,Holidays),WORKDAY.INTL(WORKDAY.INTL(OFFSET(hdr_PlanFinish,MATCH($J55,tsk_ID,0),0),N($L55),WorkWeek,Holidays),-MAX(0,N($F55)-1),WorkWeek,Holidays),WORKDAY.INTL(WORKDAY.INTL(OFFSET(hdr_PlanStart,MATCH($J55,tsk_ID,0),0),N($L55),WorkWeek,Holidays),-MAX(0,N($F55)-1),WorkWeek,Holidays)),0))</f>
        <v>0</v>
      </c>
      <c r="AM55" s="48" t="n">
        <f aca="true">IF(OR(N($G55)=0,$AI55,$D55=""),0,IFERROR(CHOOSE(MATCH(IF($H55="","FS",$H55),{"FS","SS","FF","SF"},0),WORKDAY.INTL(OFFSET(hdr_FcFinish,MATCH($G55,tsk_ID,0),0),IF(N($F55)=0,0,1)+N($I55),WorkWeek,Holidays),WORKDAY.INTL(OFFSET(hdr_FcStart,MATCH($G55,tsk_ID,0),0),N($I55),WorkWeek,Holidays),WORKDAY.INTL(WORKDAY.INTL(OFFSET(hdr_FcFinish,MATCH($G55,tsk_ID,0),0),N($I55),WorkWeek,Holidays),-MAX(0,N($F55)-1),WorkWeek,Holidays),WORKDAY.INTL(WORKDAY.INTL(OFFSET(hdr_FcStart,MATCH($G55,tsk_ID,0),0),N($I55),WorkWeek,Holidays),-MAX(0,N($F55)-1),WorkWeek,Holidays)),0))</f>
        <v>0</v>
      </c>
      <c r="AN55" s="48" t="n">
        <f aca="true">IF(OR(N($J55)=0,$AI55,$D55=""),0,IFERROR(CHOOSE(MATCH(IF($K55="","FS",$K55),{"FS","SS","FF","SF"},0),WORKDAY.INTL(OFFSET(hdr_FcFinish,MATCH($J55,tsk_ID,0),0),IF(N($F55)=0,0,1)+N($L55),WorkWeek,Holidays),WORKDAY.INTL(OFFSET(hdr_FcStart,MATCH($J55,tsk_ID,0),0),N($L55),WorkWeek,Holidays),WORKDAY.INTL(WORKDAY.INTL(OFFSET(hdr_FcFinish,MATCH($J55,tsk_ID,0),0),N($L55),WorkWeek,Holidays),-MAX(0,N($F55)-1),WorkWeek,Holidays),WORKDAY.INTL(WORKDAY.INTL(OFFSET(hdr_FcStart,MATCH($J55,tsk_ID,0),0),N($L55),WorkWeek,Holidays),-MAX(0,N($F55)-1),WorkWeek,Holidays)),0))</f>
        <v>0</v>
      </c>
      <c r="AO55" s="48" t="n">
        <f aca="false">IF($AJ55=1,$R55,0)</f>
        <v>0</v>
      </c>
      <c r="AP55" s="48" t="n">
        <f aca="false">IF($AJ55=1,$S55,0)</f>
        <v>0</v>
      </c>
      <c r="AQ55" s="49" t="n">
        <f aca="false">IF(AND($AJ55=1,N($Z55)&gt;0),$Z55/($AP55-$AO55+1),0)</f>
        <v>0</v>
      </c>
      <c r="AR55" s="46" t="n">
        <f aca="false">IF($AJ55=1,MAX(N($F55),0.1),0)</f>
        <v>0</v>
      </c>
      <c r="AS55" s="46" t="n">
        <f aca="false">IF($AJ55=1,$AR55*$V55,0)</f>
        <v>0</v>
      </c>
      <c r="AT55" s="46" t="str">
        <f aca="false">IF(N($G55)=0,"",$G55&amp;IF(AND(IF($H55="","FS",$H55)="FS",N($I55)=0),"",IF($H55="","FS",$H55)&amp;IF(N($I55)=0,"",IF(N($I55)&gt;0,"+","")&amp;N($I55)&amp;"d")))</f>
        <v/>
      </c>
      <c r="AU55" s="46" t="str">
        <f aca="false">IF(N($J55)=0,"",$J55&amp;IF(AND(IF($K55="","FS",$K55)="FS",N($L55)=0),"",IF($K55="","FS",$K55)&amp;IF(N($L55)=0,"",IF(N($L55)&gt;0,"+","")&amp;N($L55)&amp;"d")))</f>
        <v/>
      </c>
      <c r="AV55" s="46" t="str">
        <f aca="false">IF(AND($AJ55=1,N($F55)=0,$V55&lt;1),$S55+$AF55/100000,"")</f>
        <v/>
      </c>
    </row>
    <row r="56" customFormat="false" ht="15" hidden="false" customHeight="false" outlineLevel="0" collapsed="false">
      <c r="A56" s="38" t="str">
        <f aca="false">IF($D56="","",COUNTA($D$6:$D56))</f>
        <v/>
      </c>
      <c r="B56" s="39" t="str">
        <f aca="true">IF($D56="","",IF($AE56=1,COUNTIF($AE$6:$AE56,1)&amp;"",IF($AG56=0,"?",OFFSET(hdr_WBS,$AG56-ROW(hdr_WBS),0)&amp;"."&amp;COUNTIF(INDEX($AE:$AE,$AG56+1):$AE56,$AE56))))</f>
        <v/>
      </c>
      <c r="C56" s="40"/>
      <c r="D56" s="41"/>
      <c r="E56" s="40"/>
      <c r="F56" s="40"/>
      <c r="G56" s="40"/>
      <c r="H56" s="40"/>
      <c r="I56" s="40"/>
      <c r="J56" s="40"/>
      <c r="K56" s="40"/>
      <c r="L56" s="40"/>
      <c r="M56" s="29"/>
      <c r="N56" s="30" t="str">
        <f aca="true">IF($D56="","",IF($AI56,MIN(OFFSET(hdr_PlanStart,$AF56+1,0,$AH56,1)),IF($E56="Manual",IF(N($M56)&gt;0,$M56,ProjectStart),WORKDAY.INTL(MAX(ProjectStart,N($M56),$AK56,$AL56)-1,1,WorkWeek,Holidays))))</f>
        <v/>
      </c>
      <c r="O56" s="30" t="str">
        <f aca="true">IF($D56="","",IF($AI56,MAX(OFFSET(hdr_PlanFinish,$AF56+1,0,$AH56,1)),IF(N($F56)&lt;=0,$N56,WORKDAY.INTL($N56,$F56-1,WorkWeek,Holidays))))</f>
        <v/>
      </c>
      <c r="P56" s="29"/>
      <c r="Q56" s="29"/>
      <c r="R56" s="30" t="str">
        <f aca="true">IF($D56="","",IF($AI56,MIN(OFFSET(hdr_FcStart,$AF56+1,0,$AH56,1)),IF(N($P56)&gt;0,$P56,IF($E56="Manual",IF(N($M56)&gt;0,$M56,ProjectStart),WORKDAY.INTL(MAX(ProjectStart,N($M56),$AM56,$AN56,IF(RescheduleAfterStatus="Yes",StatusDate,0))-1,1,WorkWeek,Holidays)))))</f>
        <v/>
      </c>
      <c r="S56" s="30" t="str">
        <f aca="true">IF($D56="","",IF($AI56,MAX(OFFSET(hdr_FcFinish,$AF56+1,0,$AH56,1)),IF(N($Q56)&gt;0,$Q56,IF(N($F56)&lt;=0,$R56,IF(AND(N($P56)&gt;0,RescheduleAfterStatus="Yes"),MAX(WORKDAY.INTL($R56,$F56-1,WorkWeek,Holidays),WORKDAY.INTL(StatusWorkday,MAX(0,ROUNDUP($F56*(1-MIN(1,N($U56))),0)-1),WorkWeek,Holidays)),WORKDAY.INTL($R56,$F56-1,WorkWeek,Holidays))))))</f>
        <v/>
      </c>
      <c r="T56" s="38" t="str">
        <f aca="false">IF($D56="","",IF($S56&gt;=$O56,NETWORKDAYS.INTL($O56,$S56,WorkWeek,Holidays)-1,1-NETWORKDAYS.INTL($S56,$O56,WorkWeek,Holidays)))</f>
        <v/>
      </c>
      <c r="U56" s="32"/>
      <c r="V56" s="42" t="str">
        <f aca="true">IF($D56="","",IF($AI56,IFERROR(SUM(OFFSET(hdr_WtDone,$AF56+1,0,$AH56,1))/SUM(OFFSET(hdr_WtDur,$AF56+1,0,$AH56,1)),0),IF(N($Q56)&gt;0,1,MIN(1,N($U56)))))</f>
        <v/>
      </c>
      <c r="W56" s="39" t="str">
        <f aca="false">IF($D56="","",IF($V56&gt;=1,"Complete",IF(OR(N($P56)&gt;0,$V56&gt;0),IF($T56&gt;0,"Behind","In Progress"),IF($N56&lt;StatusDate,"Late Start","Not Started"))))</f>
        <v/>
      </c>
      <c r="X56" s="41"/>
      <c r="Y56" s="32"/>
      <c r="Z56" s="43" t="str">
        <f aca="true">IF($D56="","",IF($AI56,SUMPRODUCT(OFFSET(hdr_Work,$AF56+1,0,$AH56,1),OFFSET(hdr_IsLeaf,$AF56+1,0,$AH56,1)),IF($X56="",0,N($F56)*HoursPerDay*IF($Y56="",DefaultUnits,$Y56))))</f>
        <v/>
      </c>
      <c r="AA56" s="44" t="str">
        <f aca="true">IF($D56="","",IF($AI56,SUMPRODUCT(OFFSET(hdr_Cost,$AF56+1,0,$AH56,1),OFFSET(hdr_IsLeaf,$AF56+1,0,$AH56,1)),$Z56*IFERROR(INDEX(res_Rate,MATCH($X56,res_Name,0)),0)))</f>
        <v/>
      </c>
      <c r="AB56" s="38" t="str">
        <f aca="false">IF(OR($D56="",$AI56),"",IF(OR($R56&lt;Sprint1Start,$R56&gt;SprintLastEnd),"Backlog",INDEX(spr_Name,MATCH($R56,spr_Start,1))))</f>
        <v/>
      </c>
      <c r="AC56" s="45" t="str">
        <f aca="false">IF($D56="","",$AT56&amp;IF(AND($AT56&lt;&gt;"",$AU56&lt;&gt;""),",","")&amp;$AU56)</f>
        <v/>
      </c>
      <c r="AD56" s="41"/>
      <c r="AE56" s="46" t="str">
        <f aca="false">IF($D56="","",MAX(1,N($C56)))</f>
        <v/>
      </c>
      <c r="AF56" s="46" t="n">
        <f aca="false">ROW()-ROW(hdr_ID)</f>
        <v>51</v>
      </c>
      <c r="AG56" s="46" t="n">
        <f aca="false">IF(OR($D56="",$AE56&lt;=1),0,IFERROR(LOOKUP(2,1/($AE$5:$AE55=$AE56-1),ROW($AE$5:$AE55)),0))</f>
        <v>0</v>
      </c>
      <c r="AH56" s="46" t="n">
        <f aca="false">IF($D56="",0,COUNTIF(tsk_WBS,$B56&amp;".*"))</f>
        <v>0</v>
      </c>
      <c r="AI56" s="47" t="b">
        <f aca="false">$AH56&gt;0</f>
        <v>0</v>
      </c>
      <c r="AJ56" s="46" t="n">
        <f aca="false">IF(AND($D56&lt;&gt;"",NOT($AI56)),1,0)</f>
        <v>0</v>
      </c>
      <c r="AK56" s="48" t="n">
        <f aca="true">IF(OR(N($G56)=0,$AI56,$D56=""),0,IFERROR(CHOOSE(MATCH(IF($H56="","FS",$H56),{"FS","SS","FF","SF"},0),WORKDAY.INTL(OFFSET(hdr_PlanFinish,MATCH($G56,tsk_ID,0),0),IF(N($F56)=0,0,1)+N($I56),WorkWeek,Holidays),WORKDAY.INTL(OFFSET(hdr_PlanStart,MATCH($G56,tsk_ID,0),0),N($I56),WorkWeek,Holidays),WORKDAY.INTL(WORKDAY.INTL(OFFSET(hdr_PlanFinish,MATCH($G56,tsk_ID,0),0),N($I56),WorkWeek,Holidays),-MAX(0,N($F56)-1),WorkWeek,Holidays),WORKDAY.INTL(WORKDAY.INTL(OFFSET(hdr_PlanStart,MATCH($G56,tsk_ID,0),0),N($I56),WorkWeek,Holidays),-MAX(0,N($F56)-1),WorkWeek,Holidays)),0))</f>
        <v>0</v>
      </c>
      <c r="AL56" s="48" t="n">
        <f aca="true">IF(OR(N($J56)=0,$AI56,$D56=""),0,IFERROR(CHOOSE(MATCH(IF($K56="","FS",$K56),{"FS","SS","FF","SF"},0),WORKDAY.INTL(OFFSET(hdr_PlanFinish,MATCH($J56,tsk_ID,0),0),IF(N($F56)=0,0,1)+N($L56),WorkWeek,Holidays),WORKDAY.INTL(OFFSET(hdr_PlanStart,MATCH($J56,tsk_ID,0),0),N($L56),WorkWeek,Holidays),WORKDAY.INTL(WORKDAY.INTL(OFFSET(hdr_PlanFinish,MATCH($J56,tsk_ID,0),0),N($L56),WorkWeek,Holidays),-MAX(0,N($F56)-1),WorkWeek,Holidays),WORKDAY.INTL(WORKDAY.INTL(OFFSET(hdr_PlanStart,MATCH($J56,tsk_ID,0),0),N($L56),WorkWeek,Holidays),-MAX(0,N($F56)-1),WorkWeek,Holidays)),0))</f>
        <v>0</v>
      </c>
      <c r="AM56" s="48" t="n">
        <f aca="true">IF(OR(N($G56)=0,$AI56,$D56=""),0,IFERROR(CHOOSE(MATCH(IF($H56="","FS",$H56),{"FS","SS","FF","SF"},0),WORKDAY.INTL(OFFSET(hdr_FcFinish,MATCH($G56,tsk_ID,0),0),IF(N($F56)=0,0,1)+N($I56),WorkWeek,Holidays),WORKDAY.INTL(OFFSET(hdr_FcStart,MATCH($G56,tsk_ID,0),0),N($I56),WorkWeek,Holidays),WORKDAY.INTL(WORKDAY.INTL(OFFSET(hdr_FcFinish,MATCH($G56,tsk_ID,0),0),N($I56),WorkWeek,Holidays),-MAX(0,N($F56)-1),WorkWeek,Holidays),WORKDAY.INTL(WORKDAY.INTL(OFFSET(hdr_FcStart,MATCH($G56,tsk_ID,0),0),N($I56),WorkWeek,Holidays),-MAX(0,N($F56)-1),WorkWeek,Holidays)),0))</f>
        <v>0</v>
      </c>
      <c r="AN56" s="48" t="n">
        <f aca="true">IF(OR(N($J56)=0,$AI56,$D56=""),0,IFERROR(CHOOSE(MATCH(IF($K56="","FS",$K56),{"FS","SS","FF","SF"},0),WORKDAY.INTL(OFFSET(hdr_FcFinish,MATCH($J56,tsk_ID,0),0),IF(N($F56)=0,0,1)+N($L56),WorkWeek,Holidays),WORKDAY.INTL(OFFSET(hdr_FcStart,MATCH($J56,tsk_ID,0),0),N($L56),WorkWeek,Holidays),WORKDAY.INTL(WORKDAY.INTL(OFFSET(hdr_FcFinish,MATCH($J56,tsk_ID,0),0),N($L56),WorkWeek,Holidays),-MAX(0,N($F56)-1),WorkWeek,Holidays),WORKDAY.INTL(WORKDAY.INTL(OFFSET(hdr_FcStart,MATCH($J56,tsk_ID,0),0),N($L56),WorkWeek,Holidays),-MAX(0,N($F56)-1),WorkWeek,Holidays)),0))</f>
        <v>0</v>
      </c>
      <c r="AO56" s="48" t="n">
        <f aca="false">IF($AJ56=1,$R56,0)</f>
        <v>0</v>
      </c>
      <c r="AP56" s="48" t="n">
        <f aca="false">IF($AJ56=1,$S56,0)</f>
        <v>0</v>
      </c>
      <c r="AQ56" s="49" t="n">
        <f aca="false">IF(AND($AJ56=1,N($Z56)&gt;0),$Z56/($AP56-$AO56+1),0)</f>
        <v>0</v>
      </c>
      <c r="AR56" s="46" t="n">
        <f aca="false">IF($AJ56=1,MAX(N($F56),0.1),0)</f>
        <v>0</v>
      </c>
      <c r="AS56" s="46" t="n">
        <f aca="false">IF($AJ56=1,$AR56*$V56,0)</f>
        <v>0</v>
      </c>
      <c r="AT56" s="46" t="str">
        <f aca="false">IF(N($G56)=0,"",$G56&amp;IF(AND(IF($H56="","FS",$H56)="FS",N($I56)=0),"",IF($H56="","FS",$H56)&amp;IF(N($I56)=0,"",IF(N($I56)&gt;0,"+","")&amp;N($I56)&amp;"d")))</f>
        <v/>
      </c>
      <c r="AU56" s="46" t="str">
        <f aca="false">IF(N($J56)=0,"",$J56&amp;IF(AND(IF($K56="","FS",$K56)="FS",N($L56)=0),"",IF($K56="","FS",$K56)&amp;IF(N($L56)=0,"",IF(N($L56)&gt;0,"+","")&amp;N($L56)&amp;"d")))</f>
        <v/>
      </c>
      <c r="AV56" s="46" t="str">
        <f aca="false">IF(AND($AJ56=1,N($F56)=0,$V56&lt;1),$S56+$AF56/100000,"")</f>
        <v/>
      </c>
    </row>
    <row r="57" customFormat="false" ht="15" hidden="false" customHeight="false" outlineLevel="0" collapsed="false">
      <c r="A57" s="38" t="str">
        <f aca="false">IF($D57="","",COUNTA($D$6:$D57))</f>
        <v/>
      </c>
      <c r="B57" s="39" t="str">
        <f aca="true">IF($D57="","",IF($AE57=1,COUNTIF($AE$6:$AE57,1)&amp;"",IF($AG57=0,"?",OFFSET(hdr_WBS,$AG57-ROW(hdr_WBS),0)&amp;"."&amp;COUNTIF(INDEX($AE:$AE,$AG57+1):$AE57,$AE57))))</f>
        <v/>
      </c>
      <c r="C57" s="40"/>
      <c r="D57" s="41"/>
      <c r="E57" s="40"/>
      <c r="F57" s="40"/>
      <c r="G57" s="40"/>
      <c r="H57" s="40"/>
      <c r="I57" s="40"/>
      <c r="J57" s="40"/>
      <c r="K57" s="40"/>
      <c r="L57" s="40"/>
      <c r="M57" s="29"/>
      <c r="N57" s="30" t="str">
        <f aca="true">IF($D57="","",IF($AI57,MIN(OFFSET(hdr_PlanStart,$AF57+1,0,$AH57,1)),IF($E57="Manual",IF(N($M57)&gt;0,$M57,ProjectStart),WORKDAY.INTL(MAX(ProjectStart,N($M57),$AK57,$AL57)-1,1,WorkWeek,Holidays))))</f>
        <v/>
      </c>
      <c r="O57" s="30" t="str">
        <f aca="true">IF($D57="","",IF($AI57,MAX(OFFSET(hdr_PlanFinish,$AF57+1,0,$AH57,1)),IF(N($F57)&lt;=0,$N57,WORKDAY.INTL($N57,$F57-1,WorkWeek,Holidays))))</f>
        <v/>
      </c>
      <c r="P57" s="29"/>
      <c r="Q57" s="29"/>
      <c r="R57" s="30" t="str">
        <f aca="true">IF($D57="","",IF($AI57,MIN(OFFSET(hdr_FcStart,$AF57+1,0,$AH57,1)),IF(N($P57)&gt;0,$P57,IF($E57="Manual",IF(N($M57)&gt;0,$M57,ProjectStart),WORKDAY.INTL(MAX(ProjectStart,N($M57),$AM57,$AN57,IF(RescheduleAfterStatus="Yes",StatusDate,0))-1,1,WorkWeek,Holidays)))))</f>
        <v/>
      </c>
      <c r="S57" s="30" t="str">
        <f aca="true">IF($D57="","",IF($AI57,MAX(OFFSET(hdr_FcFinish,$AF57+1,0,$AH57,1)),IF(N($Q57)&gt;0,$Q57,IF(N($F57)&lt;=0,$R57,IF(AND(N($P57)&gt;0,RescheduleAfterStatus="Yes"),MAX(WORKDAY.INTL($R57,$F57-1,WorkWeek,Holidays),WORKDAY.INTL(StatusWorkday,MAX(0,ROUNDUP($F57*(1-MIN(1,N($U57))),0)-1),WorkWeek,Holidays)),WORKDAY.INTL($R57,$F57-1,WorkWeek,Holidays))))))</f>
        <v/>
      </c>
      <c r="T57" s="38" t="str">
        <f aca="false">IF($D57="","",IF($S57&gt;=$O57,NETWORKDAYS.INTL($O57,$S57,WorkWeek,Holidays)-1,1-NETWORKDAYS.INTL($S57,$O57,WorkWeek,Holidays)))</f>
        <v/>
      </c>
      <c r="U57" s="32"/>
      <c r="V57" s="42" t="str">
        <f aca="true">IF($D57="","",IF($AI57,IFERROR(SUM(OFFSET(hdr_WtDone,$AF57+1,0,$AH57,1))/SUM(OFFSET(hdr_WtDur,$AF57+1,0,$AH57,1)),0),IF(N($Q57)&gt;0,1,MIN(1,N($U57)))))</f>
        <v/>
      </c>
      <c r="W57" s="39" t="str">
        <f aca="false">IF($D57="","",IF($V57&gt;=1,"Complete",IF(OR(N($P57)&gt;0,$V57&gt;0),IF($T57&gt;0,"Behind","In Progress"),IF($N57&lt;StatusDate,"Late Start","Not Started"))))</f>
        <v/>
      </c>
      <c r="X57" s="41"/>
      <c r="Y57" s="32"/>
      <c r="Z57" s="43" t="str">
        <f aca="true">IF($D57="","",IF($AI57,SUMPRODUCT(OFFSET(hdr_Work,$AF57+1,0,$AH57,1),OFFSET(hdr_IsLeaf,$AF57+1,0,$AH57,1)),IF($X57="",0,N($F57)*HoursPerDay*IF($Y57="",DefaultUnits,$Y57))))</f>
        <v/>
      </c>
      <c r="AA57" s="44" t="str">
        <f aca="true">IF($D57="","",IF($AI57,SUMPRODUCT(OFFSET(hdr_Cost,$AF57+1,0,$AH57,1),OFFSET(hdr_IsLeaf,$AF57+1,0,$AH57,1)),$Z57*IFERROR(INDEX(res_Rate,MATCH($X57,res_Name,0)),0)))</f>
        <v/>
      </c>
      <c r="AB57" s="38" t="str">
        <f aca="false">IF(OR($D57="",$AI57),"",IF(OR($R57&lt;Sprint1Start,$R57&gt;SprintLastEnd),"Backlog",INDEX(spr_Name,MATCH($R57,spr_Start,1))))</f>
        <v/>
      </c>
      <c r="AC57" s="45" t="str">
        <f aca="false">IF($D57="","",$AT57&amp;IF(AND($AT57&lt;&gt;"",$AU57&lt;&gt;""),",","")&amp;$AU57)</f>
        <v/>
      </c>
      <c r="AD57" s="41"/>
      <c r="AE57" s="46" t="str">
        <f aca="false">IF($D57="","",MAX(1,N($C57)))</f>
        <v/>
      </c>
      <c r="AF57" s="46" t="n">
        <f aca="false">ROW()-ROW(hdr_ID)</f>
        <v>52</v>
      </c>
      <c r="AG57" s="46" t="n">
        <f aca="false">IF(OR($D57="",$AE57&lt;=1),0,IFERROR(LOOKUP(2,1/($AE$5:$AE56=$AE57-1),ROW($AE$5:$AE56)),0))</f>
        <v>0</v>
      </c>
      <c r="AH57" s="46" t="n">
        <f aca="false">IF($D57="",0,COUNTIF(tsk_WBS,$B57&amp;".*"))</f>
        <v>0</v>
      </c>
      <c r="AI57" s="47" t="b">
        <f aca="false">$AH57&gt;0</f>
        <v>0</v>
      </c>
      <c r="AJ57" s="46" t="n">
        <f aca="false">IF(AND($D57&lt;&gt;"",NOT($AI57)),1,0)</f>
        <v>0</v>
      </c>
      <c r="AK57" s="48" t="n">
        <f aca="true">IF(OR(N($G57)=0,$AI57,$D57=""),0,IFERROR(CHOOSE(MATCH(IF($H57="","FS",$H57),{"FS","SS","FF","SF"},0),WORKDAY.INTL(OFFSET(hdr_PlanFinish,MATCH($G57,tsk_ID,0),0),IF(N($F57)=0,0,1)+N($I57),WorkWeek,Holidays),WORKDAY.INTL(OFFSET(hdr_PlanStart,MATCH($G57,tsk_ID,0),0),N($I57),WorkWeek,Holidays),WORKDAY.INTL(WORKDAY.INTL(OFFSET(hdr_PlanFinish,MATCH($G57,tsk_ID,0),0),N($I57),WorkWeek,Holidays),-MAX(0,N($F57)-1),WorkWeek,Holidays),WORKDAY.INTL(WORKDAY.INTL(OFFSET(hdr_PlanStart,MATCH($G57,tsk_ID,0),0),N($I57),WorkWeek,Holidays),-MAX(0,N($F57)-1),WorkWeek,Holidays)),0))</f>
        <v>0</v>
      </c>
      <c r="AL57" s="48" t="n">
        <f aca="true">IF(OR(N($J57)=0,$AI57,$D57=""),0,IFERROR(CHOOSE(MATCH(IF($K57="","FS",$K57),{"FS","SS","FF","SF"},0),WORKDAY.INTL(OFFSET(hdr_PlanFinish,MATCH($J57,tsk_ID,0),0),IF(N($F57)=0,0,1)+N($L57),WorkWeek,Holidays),WORKDAY.INTL(OFFSET(hdr_PlanStart,MATCH($J57,tsk_ID,0),0),N($L57),WorkWeek,Holidays),WORKDAY.INTL(WORKDAY.INTL(OFFSET(hdr_PlanFinish,MATCH($J57,tsk_ID,0),0),N($L57),WorkWeek,Holidays),-MAX(0,N($F57)-1),WorkWeek,Holidays),WORKDAY.INTL(WORKDAY.INTL(OFFSET(hdr_PlanStart,MATCH($J57,tsk_ID,0),0),N($L57),WorkWeek,Holidays),-MAX(0,N($F57)-1),WorkWeek,Holidays)),0))</f>
        <v>0</v>
      </c>
      <c r="AM57" s="48" t="n">
        <f aca="true">IF(OR(N($G57)=0,$AI57,$D57=""),0,IFERROR(CHOOSE(MATCH(IF($H57="","FS",$H57),{"FS","SS","FF","SF"},0),WORKDAY.INTL(OFFSET(hdr_FcFinish,MATCH($G57,tsk_ID,0),0),IF(N($F57)=0,0,1)+N($I57),WorkWeek,Holidays),WORKDAY.INTL(OFFSET(hdr_FcStart,MATCH($G57,tsk_ID,0),0),N($I57),WorkWeek,Holidays),WORKDAY.INTL(WORKDAY.INTL(OFFSET(hdr_FcFinish,MATCH($G57,tsk_ID,0),0),N($I57),WorkWeek,Holidays),-MAX(0,N($F57)-1),WorkWeek,Holidays),WORKDAY.INTL(WORKDAY.INTL(OFFSET(hdr_FcStart,MATCH($G57,tsk_ID,0),0),N($I57),WorkWeek,Holidays),-MAX(0,N($F57)-1),WorkWeek,Holidays)),0))</f>
        <v>0</v>
      </c>
      <c r="AN57" s="48" t="n">
        <f aca="true">IF(OR(N($J57)=0,$AI57,$D57=""),0,IFERROR(CHOOSE(MATCH(IF($K57="","FS",$K57),{"FS","SS","FF","SF"},0),WORKDAY.INTL(OFFSET(hdr_FcFinish,MATCH($J57,tsk_ID,0),0),IF(N($F57)=0,0,1)+N($L57),WorkWeek,Holidays),WORKDAY.INTL(OFFSET(hdr_FcStart,MATCH($J57,tsk_ID,0),0),N($L57),WorkWeek,Holidays),WORKDAY.INTL(WORKDAY.INTL(OFFSET(hdr_FcFinish,MATCH($J57,tsk_ID,0),0),N($L57),WorkWeek,Holidays),-MAX(0,N($F57)-1),WorkWeek,Holidays),WORKDAY.INTL(WORKDAY.INTL(OFFSET(hdr_FcStart,MATCH($J57,tsk_ID,0),0),N($L57),WorkWeek,Holidays),-MAX(0,N($F57)-1),WorkWeek,Holidays)),0))</f>
        <v>0</v>
      </c>
      <c r="AO57" s="48" t="n">
        <f aca="false">IF($AJ57=1,$R57,0)</f>
        <v>0</v>
      </c>
      <c r="AP57" s="48" t="n">
        <f aca="false">IF($AJ57=1,$S57,0)</f>
        <v>0</v>
      </c>
      <c r="AQ57" s="49" t="n">
        <f aca="false">IF(AND($AJ57=1,N($Z57)&gt;0),$Z57/($AP57-$AO57+1),0)</f>
        <v>0</v>
      </c>
      <c r="AR57" s="46" t="n">
        <f aca="false">IF($AJ57=1,MAX(N($F57),0.1),0)</f>
        <v>0</v>
      </c>
      <c r="AS57" s="46" t="n">
        <f aca="false">IF($AJ57=1,$AR57*$V57,0)</f>
        <v>0</v>
      </c>
      <c r="AT57" s="46" t="str">
        <f aca="false">IF(N($G57)=0,"",$G57&amp;IF(AND(IF($H57="","FS",$H57)="FS",N($I57)=0),"",IF($H57="","FS",$H57)&amp;IF(N($I57)=0,"",IF(N($I57)&gt;0,"+","")&amp;N($I57)&amp;"d")))</f>
        <v/>
      </c>
      <c r="AU57" s="46" t="str">
        <f aca="false">IF(N($J57)=0,"",$J57&amp;IF(AND(IF($K57="","FS",$K57)="FS",N($L57)=0),"",IF($K57="","FS",$K57)&amp;IF(N($L57)=0,"",IF(N($L57)&gt;0,"+","")&amp;N($L57)&amp;"d")))</f>
        <v/>
      </c>
      <c r="AV57" s="46" t="str">
        <f aca="false">IF(AND($AJ57=1,N($F57)=0,$V57&lt;1),$S57+$AF57/100000,"")</f>
        <v/>
      </c>
    </row>
    <row r="58" customFormat="false" ht="15" hidden="false" customHeight="false" outlineLevel="0" collapsed="false">
      <c r="A58" s="38" t="str">
        <f aca="false">IF($D58="","",COUNTA($D$6:$D58))</f>
        <v/>
      </c>
      <c r="B58" s="39" t="str">
        <f aca="true">IF($D58="","",IF($AE58=1,COUNTIF($AE$6:$AE58,1)&amp;"",IF($AG58=0,"?",OFFSET(hdr_WBS,$AG58-ROW(hdr_WBS),0)&amp;"."&amp;COUNTIF(INDEX($AE:$AE,$AG58+1):$AE58,$AE58))))</f>
        <v/>
      </c>
      <c r="C58" s="40"/>
      <c r="D58" s="41"/>
      <c r="E58" s="40"/>
      <c r="F58" s="40"/>
      <c r="G58" s="40"/>
      <c r="H58" s="40"/>
      <c r="I58" s="40"/>
      <c r="J58" s="40"/>
      <c r="K58" s="40"/>
      <c r="L58" s="40"/>
      <c r="M58" s="29"/>
      <c r="N58" s="30" t="str">
        <f aca="true">IF($D58="","",IF($AI58,MIN(OFFSET(hdr_PlanStart,$AF58+1,0,$AH58,1)),IF($E58="Manual",IF(N($M58)&gt;0,$M58,ProjectStart),WORKDAY.INTL(MAX(ProjectStart,N($M58),$AK58,$AL58)-1,1,WorkWeek,Holidays))))</f>
        <v/>
      </c>
      <c r="O58" s="30" t="str">
        <f aca="true">IF($D58="","",IF($AI58,MAX(OFFSET(hdr_PlanFinish,$AF58+1,0,$AH58,1)),IF(N($F58)&lt;=0,$N58,WORKDAY.INTL($N58,$F58-1,WorkWeek,Holidays))))</f>
        <v/>
      </c>
      <c r="P58" s="29"/>
      <c r="Q58" s="29"/>
      <c r="R58" s="30" t="str">
        <f aca="true">IF($D58="","",IF($AI58,MIN(OFFSET(hdr_FcStart,$AF58+1,0,$AH58,1)),IF(N($P58)&gt;0,$P58,IF($E58="Manual",IF(N($M58)&gt;0,$M58,ProjectStart),WORKDAY.INTL(MAX(ProjectStart,N($M58),$AM58,$AN58,IF(RescheduleAfterStatus="Yes",StatusDate,0))-1,1,WorkWeek,Holidays)))))</f>
        <v/>
      </c>
      <c r="S58" s="30" t="str">
        <f aca="true">IF($D58="","",IF($AI58,MAX(OFFSET(hdr_FcFinish,$AF58+1,0,$AH58,1)),IF(N($Q58)&gt;0,$Q58,IF(N($F58)&lt;=0,$R58,IF(AND(N($P58)&gt;0,RescheduleAfterStatus="Yes"),MAX(WORKDAY.INTL($R58,$F58-1,WorkWeek,Holidays),WORKDAY.INTL(StatusWorkday,MAX(0,ROUNDUP($F58*(1-MIN(1,N($U58))),0)-1),WorkWeek,Holidays)),WORKDAY.INTL($R58,$F58-1,WorkWeek,Holidays))))))</f>
        <v/>
      </c>
      <c r="T58" s="38" t="str">
        <f aca="false">IF($D58="","",IF($S58&gt;=$O58,NETWORKDAYS.INTL($O58,$S58,WorkWeek,Holidays)-1,1-NETWORKDAYS.INTL($S58,$O58,WorkWeek,Holidays)))</f>
        <v/>
      </c>
      <c r="U58" s="32"/>
      <c r="V58" s="42" t="str">
        <f aca="true">IF($D58="","",IF($AI58,IFERROR(SUM(OFFSET(hdr_WtDone,$AF58+1,0,$AH58,1))/SUM(OFFSET(hdr_WtDur,$AF58+1,0,$AH58,1)),0),IF(N($Q58)&gt;0,1,MIN(1,N($U58)))))</f>
        <v/>
      </c>
      <c r="W58" s="39" t="str">
        <f aca="false">IF($D58="","",IF($V58&gt;=1,"Complete",IF(OR(N($P58)&gt;0,$V58&gt;0),IF($T58&gt;0,"Behind","In Progress"),IF($N58&lt;StatusDate,"Late Start","Not Started"))))</f>
        <v/>
      </c>
      <c r="X58" s="41"/>
      <c r="Y58" s="32"/>
      <c r="Z58" s="43" t="str">
        <f aca="true">IF($D58="","",IF($AI58,SUMPRODUCT(OFFSET(hdr_Work,$AF58+1,0,$AH58,1),OFFSET(hdr_IsLeaf,$AF58+1,0,$AH58,1)),IF($X58="",0,N($F58)*HoursPerDay*IF($Y58="",DefaultUnits,$Y58))))</f>
        <v/>
      </c>
      <c r="AA58" s="44" t="str">
        <f aca="true">IF($D58="","",IF($AI58,SUMPRODUCT(OFFSET(hdr_Cost,$AF58+1,0,$AH58,1),OFFSET(hdr_IsLeaf,$AF58+1,0,$AH58,1)),$Z58*IFERROR(INDEX(res_Rate,MATCH($X58,res_Name,0)),0)))</f>
        <v/>
      </c>
      <c r="AB58" s="38" t="str">
        <f aca="false">IF(OR($D58="",$AI58),"",IF(OR($R58&lt;Sprint1Start,$R58&gt;SprintLastEnd),"Backlog",INDEX(spr_Name,MATCH($R58,spr_Start,1))))</f>
        <v/>
      </c>
      <c r="AC58" s="45" t="str">
        <f aca="false">IF($D58="","",$AT58&amp;IF(AND($AT58&lt;&gt;"",$AU58&lt;&gt;""),",","")&amp;$AU58)</f>
        <v/>
      </c>
      <c r="AD58" s="41"/>
      <c r="AE58" s="46" t="str">
        <f aca="false">IF($D58="","",MAX(1,N($C58)))</f>
        <v/>
      </c>
      <c r="AF58" s="46" t="n">
        <f aca="false">ROW()-ROW(hdr_ID)</f>
        <v>53</v>
      </c>
      <c r="AG58" s="46" t="n">
        <f aca="false">IF(OR($D58="",$AE58&lt;=1),0,IFERROR(LOOKUP(2,1/($AE$5:$AE57=$AE58-1),ROW($AE$5:$AE57)),0))</f>
        <v>0</v>
      </c>
      <c r="AH58" s="46" t="n">
        <f aca="false">IF($D58="",0,COUNTIF(tsk_WBS,$B58&amp;".*"))</f>
        <v>0</v>
      </c>
      <c r="AI58" s="47" t="b">
        <f aca="false">$AH58&gt;0</f>
        <v>0</v>
      </c>
      <c r="AJ58" s="46" t="n">
        <f aca="false">IF(AND($D58&lt;&gt;"",NOT($AI58)),1,0)</f>
        <v>0</v>
      </c>
      <c r="AK58" s="48" t="n">
        <f aca="true">IF(OR(N($G58)=0,$AI58,$D58=""),0,IFERROR(CHOOSE(MATCH(IF($H58="","FS",$H58),{"FS","SS","FF","SF"},0),WORKDAY.INTL(OFFSET(hdr_PlanFinish,MATCH($G58,tsk_ID,0),0),IF(N($F58)=0,0,1)+N($I58),WorkWeek,Holidays),WORKDAY.INTL(OFFSET(hdr_PlanStart,MATCH($G58,tsk_ID,0),0),N($I58),WorkWeek,Holidays),WORKDAY.INTL(WORKDAY.INTL(OFFSET(hdr_PlanFinish,MATCH($G58,tsk_ID,0),0),N($I58),WorkWeek,Holidays),-MAX(0,N($F58)-1),WorkWeek,Holidays),WORKDAY.INTL(WORKDAY.INTL(OFFSET(hdr_PlanStart,MATCH($G58,tsk_ID,0),0),N($I58),WorkWeek,Holidays),-MAX(0,N($F58)-1),WorkWeek,Holidays)),0))</f>
        <v>0</v>
      </c>
      <c r="AL58" s="48" t="n">
        <f aca="true">IF(OR(N($J58)=0,$AI58,$D58=""),0,IFERROR(CHOOSE(MATCH(IF($K58="","FS",$K58),{"FS","SS","FF","SF"},0),WORKDAY.INTL(OFFSET(hdr_PlanFinish,MATCH($J58,tsk_ID,0),0),IF(N($F58)=0,0,1)+N($L58),WorkWeek,Holidays),WORKDAY.INTL(OFFSET(hdr_PlanStart,MATCH($J58,tsk_ID,0),0),N($L58),WorkWeek,Holidays),WORKDAY.INTL(WORKDAY.INTL(OFFSET(hdr_PlanFinish,MATCH($J58,tsk_ID,0),0),N($L58),WorkWeek,Holidays),-MAX(0,N($F58)-1),WorkWeek,Holidays),WORKDAY.INTL(WORKDAY.INTL(OFFSET(hdr_PlanStart,MATCH($J58,tsk_ID,0),0),N($L58),WorkWeek,Holidays),-MAX(0,N($F58)-1),WorkWeek,Holidays)),0))</f>
        <v>0</v>
      </c>
      <c r="AM58" s="48" t="n">
        <f aca="true">IF(OR(N($G58)=0,$AI58,$D58=""),0,IFERROR(CHOOSE(MATCH(IF($H58="","FS",$H58),{"FS","SS","FF","SF"},0),WORKDAY.INTL(OFFSET(hdr_FcFinish,MATCH($G58,tsk_ID,0),0),IF(N($F58)=0,0,1)+N($I58),WorkWeek,Holidays),WORKDAY.INTL(OFFSET(hdr_FcStart,MATCH($G58,tsk_ID,0),0),N($I58),WorkWeek,Holidays),WORKDAY.INTL(WORKDAY.INTL(OFFSET(hdr_FcFinish,MATCH($G58,tsk_ID,0),0),N($I58),WorkWeek,Holidays),-MAX(0,N($F58)-1),WorkWeek,Holidays),WORKDAY.INTL(WORKDAY.INTL(OFFSET(hdr_FcStart,MATCH($G58,tsk_ID,0),0),N($I58),WorkWeek,Holidays),-MAX(0,N($F58)-1),WorkWeek,Holidays)),0))</f>
        <v>0</v>
      </c>
      <c r="AN58" s="48" t="n">
        <f aca="true">IF(OR(N($J58)=0,$AI58,$D58=""),0,IFERROR(CHOOSE(MATCH(IF($K58="","FS",$K58),{"FS","SS","FF","SF"},0),WORKDAY.INTL(OFFSET(hdr_FcFinish,MATCH($J58,tsk_ID,0),0),IF(N($F58)=0,0,1)+N($L58),WorkWeek,Holidays),WORKDAY.INTL(OFFSET(hdr_FcStart,MATCH($J58,tsk_ID,0),0),N($L58),WorkWeek,Holidays),WORKDAY.INTL(WORKDAY.INTL(OFFSET(hdr_FcFinish,MATCH($J58,tsk_ID,0),0),N($L58),WorkWeek,Holidays),-MAX(0,N($F58)-1),WorkWeek,Holidays),WORKDAY.INTL(WORKDAY.INTL(OFFSET(hdr_FcStart,MATCH($J58,tsk_ID,0),0),N($L58),WorkWeek,Holidays),-MAX(0,N($F58)-1),WorkWeek,Holidays)),0))</f>
        <v>0</v>
      </c>
      <c r="AO58" s="48" t="n">
        <f aca="false">IF($AJ58=1,$R58,0)</f>
        <v>0</v>
      </c>
      <c r="AP58" s="48" t="n">
        <f aca="false">IF($AJ58=1,$S58,0)</f>
        <v>0</v>
      </c>
      <c r="AQ58" s="49" t="n">
        <f aca="false">IF(AND($AJ58=1,N($Z58)&gt;0),$Z58/($AP58-$AO58+1),0)</f>
        <v>0</v>
      </c>
      <c r="AR58" s="46" t="n">
        <f aca="false">IF($AJ58=1,MAX(N($F58),0.1),0)</f>
        <v>0</v>
      </c>
      <c r="AS58" s="46" t="n">
        <f aca="false">IF($AJ58=1,$AR58*$V58,0)</f>
        <v>0</v>
      </c>
      <c r="AT58" s="46" t="str">
        <f aca="false">IF(N($G58)=0,"",$G58&amp;IF(AND(IF($H58="","FS",$H58)="FS",N($I58)=0),"",IF($H58="","FS",$H58)&amp;IF(N($I58)=0,"",IF(N($I58)&gt;0,"+","")&amp;N($I58)&amp;"d")))</f>
        <v/>
      </c>
      <c r="AU58" s="46" t="str">
        <f aca="false">IF(N($J58)=0,"",$J58&amp;IF(AND(IF($K58="","FS",$K58)="FS",N($L58)=0),"",IF($K58="","FS",$K58)&amp;IF(N($L58)=0,"",IF(N($L58)&gt;0,"+","")&amp;N($L58)&amp;"d")))</f>
        <v/>
      </c>
      <c r="AV58" s="46" t="str">
        <f aca="false">IF(AND($AJ58=1,N($F58)=0,$V58&lt;1),$S58+$AF58/100000,"")</f>
        <v/>
      </c>
    </row>
    <row r="59" customFormat="false" ht="15" hidden="false" customHeight="false" outlineLevel="0" collapsed="false">
      <c r="A59" s="38" t="str">
        <f aca="false">IF($D59="","",COUNTA($D$6:$D59))</f>
        <v/>
      </c>
      <c r="B59" s="39" t="str">
        <f aca="true">IF($D59="","",IF($AE59=1,COUNTIF($AE$6:$AE59,1)&amp;"",IF($AG59=0,"?",OFFSET(hdr_WBS,$AG59-ROW(hdr_WBS),0)&amp;"."&amp;COUNTIF(INDEX($AE:$AE,$AG59+1):$AE59,$AE59))))</f>
        <v/>
      </c>
      <c r="C59" s="40"/>
      <c r="D59" s="41"/>
      <c r="E59" s="40"/>
      <c r="F59" s="40"/>
      <c r="G59" s="40"/>
      <c r="H59" s="40"/>
      <c r="I59" s="40"/>
      <c r="J59" s="40"/>
      <c r="K59" s="40"/>
      <c r="L59" s="40"/>
      <c r="M59" s="29"/>
      <c r="N59" s="30" t="str">
        <f aca="true">IF($D59="","",IF($AI59,MIN(OFFSET(hdr_PlanStart,$AF59+1,0,$AH59,1)),IF($E59="Manual",IF(N($M59)&gt;0,$M59,ProjectStart),WORKDAY.INTL(MAX(ProjectStart,N($M59),$AK59,$AL59)-1,1,WorkWeek,Holidays))))</f>
        <v/>
      </c>
      <c r="O59" s="30" t="str">
        <f aca="true">IF($D59="","",IF($AI59,MAX(OFFSET(hdr_PlanFinish,$AF59+1,0,$AH59,1)),IF(N($F59)&lt;=0,$N59,WORKDAY.INTL($N59,$F59-1,WorkWeek,Holidays))))</f>
        <v/>
      </c>
      <c r="P59" s="29"/>
      <c r="Q59" s="29"/>
      <c r="R59" s="30" t="str">
        <f aca="true">IF($D59="","",IF($AI59,MIN(OFFSET(hdr_FcStart,$AF59+1,0,$AH59,1)),IF(N($P59)&gt;0,$P59,IF($E59="Manual",IF(N($M59)&gt;0,$M59,ProjectStart),WORKDAY.INTL(MAX(ProjectStart,N($M59),$AM59,$AN59,IF(RescheduleAfterStatus="Yes",StatusDate,0))-1,1,WorkWeek,Holidays)))))</f>
        <v/>
      </c>
      <c r="S59" s="30" t="str">
        <f aca="true">IF($D59="","",IF($AI59,MAX(OFFSET(hdr_FcFinish,$AF59+1,0,$AH59,1)),IF(N($Q59)&gt;0,$Q59,IF(N($F59)&lt;=0,$R59,IF(AND(N($P59)&gt;0,RescheduleAfterStatus="Yes"),MAX(WORKDAY.INTL($R59,$F59-1,WorkWeek,Holidays),WORKDAY.INTL(StatusWorkday,MAX(0,ROUNDUP($F59*(1-MIN(1,N($U59))),0)-1),WorkWeek,Holidays)),WORKDAY.INTL($R59,$F59-1,WorkWeek,Holidays))))))</f>
        <v/>
      </c>
      <c r="T59" s="38" t="str">
        <f aca="false">IF($D59="","",IF($S59&gt;=$O59,NETWORKDAYS.INTL($O59,$S59,WorkWeek,Holidays)-1,1-NETWORKDAYS.INTL($S59,$O59,WorkWeek,Holidays)))</f>
        <v/>
      </c>
      <c r="U59" s="32"/>
      <c r="V59" s="42" t="str">
        <f aca="true">IF($D59="","",IF($AI59,IFERROR(SUM(OFFSET(hdr_WtDone,$AF59+1,0,$AH59,1))/SUM(OFFSET(hdr_WtDur,$AF59+1,0,$AH59,1)),0),IF(N($Q59)&gt;0,1,MIN(1,N($U59)))))</f>
        <v/>
      </c>
      <c r="W59" s="39" t="str">
        <f aca="false">IF($D59="","",IF($V59&gt;=1,"Complete",IF(OR(N($P59)&gt;0,$V59&gt;0),IF($T59&gt;0,"Behind","In Progress"),IF($N59&lt;StatusDate,"Late Start","Not Started"))))</f>
        <v/>
      </c>
      <c r="X59" s="41"/>
      <c r="Y59" s="32"/>
      <c r="Z59" s="43" t="str">
        <f aca="true">IF($D59="","",IF($AI59,SUMPRODUCT(OFFSET(hdr_Work,$AF59+1,0,$AH59,1),OFFSET(hdr_IsLeaf,$AF59+1,0,$AH59,1)),IF($X59="",0,N($F59)*HoursPerDay*IF($Y59="",DefaultUnits,$Y59))))</f>
        <v/>
      </c>
      <c r="AA59" s="44" t="str">
        <f aca="true">IF($D59="","",IF($AI59,SUMPRODUCT(OFFSET(hdr_Cost,$AF59+1,0,$AH59,1),OFFSET(hdr_IsLeaf,$AF59+1,0,$AH59,1)),$Z59*IFERROR(INDEX(res_Rate,MATCH($X59,res_Name,0)),0)))</f>
        <v/>
      </c>
      <c r="AB59" s="38" t="str">
        <f aca="false">IF(OR($D59="",$AI59),"",IF(OR($R59&lt;Sprint1Start,$R59&gt;SprintLastEnd),"Backlog",INDEX(spr_Name,MATCH($R59,spr_Start,1))))</f>
        <v/>
      </c>
      <c r="AC59" s="45" t="str">
        <f aca="false">IF($D59="","",$AT59&amp;IF(AND($AT59&lt;&gt;"",$AU59&lt;&gt;""),",","")&amp;$AU59)</f>
        <v/>
      </c>
      <c r="AD59" s="41"/>
      <c r="AE59" s="46" t="str">
        <f aca="false">IF($D59="","",MAX(1,N($C59)))</f>
        <v/>
      </c>
      <c r="AF59" s="46" t="n">
        <f aca="false">ROW()-ROW(hdr_ID)</f>
        <v>54</v>
      </c>
      <c r="AG59" s="46" t="n">
        <f aca="false">IF(OR($D59="",$AE59&lt;=1),0,IFERROR(LOOKUP(2,1/($AE$5:$AE58=$AE59-1),ROW($AE$5:$AE58)),0))</f>
        <v>0</v>
      </c>
      <c r="AH59" s="46" t="n">
        <f aca="false">IF($D59="",0,COUNTIF(tsk_WBS,$B59&amp;".*"))</f>
        <v>0</v>
      </c>
      <c r="AI59" s="47" t="b">
        <f aca="false">$AH59&gt;0</f>
        <v>0</v>
      </c>
      <c r="AJ59" s="46" t="n">
        <f aca="false">IF(AND($D59&lt;&gt;"",NOT($AI59)),1,0)</f>
        <v>0</v>
      </c>
      <c r="AK59" s="48" t="n">
        <f aca="true">IF(OR(N($G59)=0,$AI59,$D59=""),0,IFERROR(CHOOSE(MATCH(IF($H59="","FS",$H59),{"FS","SS","FF","SF"},0),WORKDAY.INTL(OFFSET(hdr_PlanFinish,MATCH($G59,tsk_ID,0),0),IF(N($F59)=0,0,1)+N($I59),WorkWeek,Holidays),WORKDAY.INTL(OFFSET(hdr_PlanStart,MATCH($G59,tsk_ID,0),0),N($I59),WorkWeek,Holidays),WORKDAY.INTL(WORKDAY.INTL(OFFSET(hdr_PlanFinish,MATCH($G59,tsk_ID,0),0),N($I59),WorkWeek,Holidays),-MAX(0,N($F59)-1),WorkWeek,Holidays),WORKDAY.INTL(WORKDAY.INTL(OFFSET(hdr_PlanStart,MATCH($G59,tsk_ID,0),0),N($I59),WorkWeek,Holidays),-MAX(0,N($F59)-1),WorkWeek,Holidays)),0))</f>
        <v>0</v>
      </c>
      <c r="AL59" s="48" t="n">
        <f aca="true">IF(OR(N($J59)=0,$AI59,$D59=""),0,IFERROR(CHOOSE(MATCH(IF($K59="","FS",$K59),{"FS","SS","FF","SF"},0),WORKDAY.INTL(OFFSET(hdr_PlanFinish,MATCH($J59,tsk_ID,0),0),IF(N($F59)=0,0,1)+N($L59),WorkWeek,Holidays),WORKDAY.INTL(OFFSET(hdr_PlanStart,MATCH($J59,tsk_ID,0),0),N($L59),WorkWeek,Holidays),WORKDAY.INTL(WORKDAY.INTL(OFFSET(hdr_PlanFinish,MATCH($J59,tsk_ID,0),0),N($L59),WorkWeek,Holidays),-MAX(0,N($F59)-1),WorkWeek,Holidays),WORKDAY.INTL(WORKDAY.INTL(OFFSET(hdr_PlanStart,MATCH($J59,tsk_ID,0),0),N($L59),WorkWeek,Holidays),-MAX(0,N($F59)-1),WorkWeek,Holidays)),0))</f>
        <v>0</v>
      </c>
      <c r="AM59" s="48" t="n">
        <f aca="true">IF(OR(N($G59)=0,$AI59,$D59=""),0,IFERROR(CHOOSE(MATCH(IF($H59="","FS",$H59),{"FS","SS","FF","SF"},0),WORKDAY.INTL(OFFSET(hdr_FcFinish,MATCH($G59,tsk_ID,0),0),IF(N($F59)=0,0,1)+N($I59),WorkWeek,Holidays),WORKDAY.INTL(OFFSET(hdr_FcStart,MATCH($G59,tsk_ID,0),0),N($I59),WorkWeek,Holidays),WORKDAY.INTL(WORKDAY.INTL(OFFSET(hdr_FcFinish,MATCH($G59,tsk_ID,0),0),N($I59),WorkWeek,Holidays),-MAX(0,N($F59)-1),WorkWeek,Holidays),WORKDAY.INTL(WORKDAY.INTL(OFFSET(hdr_FcStart,MATCH($G59,tsk_ID,0),0),N($I59),WorkWeek,Holidays),-MAX(0,N($F59)-1),WorkWeek,Holidays)),0))</f>
        <v>0</v>
      </c>
      <c r="AN59" s="48" t="n">
        <f aca="true">IF(OR(N($J59)=0,$AI59,$D59=""),0,IFERROR(CHOOSE(MATCH(IF($K59="","FS",$K59),{"FS","SS","FF","SF"},0),WORKDAY.INTL(OFFSET(hdr_FcFinish,MATCH($J59,tsk_ID,0),0),IF(N($F59)=0,0,1)+N($L59),WorkWeek,Holidays),WORKDAY.INTL(OFFSET(hdr_FcStart,MATCH($J59,tsk_ID,0),0),N($L59),WorkWeek,Holidays),WORKDAY.INTL(WORKDAY.INTL(OFFSET(hdr_FcFinish,MATCH($J59,tsk_ID,0),0),N($L59),WorkWeek,Holidays),-MAX(0,N($F59)-1),WorkWeek,Holidays),WORKDAY.INTL(WORKDAY.INTL(OFFSET(hdr_FcStart,MATCH($J59,tsk_ID,0),0),N($L59),WorkWeek,Holidays),-MAX(0,N($F59)-1),WorkWeek,Holidays)),0))</f>
        <v>0</v>
      </c>
      <c r="AO59" s="48" t="n">
        <f aca="false">IF($AJ59=1,$R59,0)</f>
        <v>0</v>
      </c>
      <c r="AP59" s="48" t="n">
        <f aca="false">IF($AJ59=1,$S59,0)</f>
        <v>0</v>
      </c>
      <c r="AQ59" s="49" t="n">
        <f aca="false">IF(AND($AJ59=1,N($Z59)&gt;0),$Z59/($AP59-$AO59+1),0)</f>
        <v>0</v>
      </c>
      <c r="AR59" s="46" t="n">
        <f aca="false">IF($AJ59=1,MAX(N($F59),0.1),0)</f>
        <v>0</v>
      </c>
      <c r="AS59" s="46" t="n">
        <f aca="false">IF($AJ59=1,$AR59*$V59,0)</f>
        <v>0</v>
      </c>
      <c r="AT59" s="46" t="str">
        <f aca="false">IF(N($G59)=0,"",$G59&amp;IF(AND(IF($H59="","FS",$H59)="FS",N($I59)=0),"",IF($H59="","FS",$H59)&amp;IF(N($I59)=0,"",IF(N($I59)&gt;0,"+","")&amp;N($I59)&amp;"d")))</f>
        <v/>
      </c>
      <c r="AU59" s="46" t="str">
        <f aca="false">IF(N($J59)=0,"",$J59&amp;IF(AND(IF($K59="","FS",$K59)="FS",N($L59)=0),"",IF($K59="","FS",$K59)&amp;IF(N($L59)=0,"",IF(N($L59)&gt;0,"+","")&amp;N($L59)&amp;"d")))</f>
        <v/>
      </c>
      <c r="AV59" s="46" t="str">
        <f aca="false">IF(AND($AJ59=1,N($F59)=0,$V59&lt;1),$S59+$AF59/100000,"")</f>
        <v/>
      </c>
    </row>
    <row r="60" customFormat="false" ht="15" hidden="false" customHeight="false" outlineLevel="0" collapsed="false">
      <c r="A60" s="38" t="str">
        <f aca="false">IF($D60="","",COUNTA($D$6:$D60))</f>
        <v/>
      </c>
      <c r="B60" s="39" t="str">
        <f aca="true">IF($D60="","",IF($AE60=1,COUNTIF($AE$6:$AE60,1)&amp;"",IF($AG60=0,"?",OFFSET(hdr_WBS,$AG60-ROW(hdr_WBS),0)&amp;"."&amp;COUNTIF(INDEX($AE:$AE,$AG60+1):$AE60,$AE60))))</f>
        <v/>
      </c>
      <c r="C60" s="40"/>
      <c r="D60" s="41"/>
      <c r="E60" s="40"/>
      <c r="F60" s="40"/>
      <c r="G60" s="40"/>
      <c r="H60" s="40"/>
      <c r="I60" s="40"/>
      <c r="J60" s="40"/>
      <c r="K60" s="40"/>
      <c r="L60" s="40"/>
      <c r="M60" s="29"/>
      <c r="N60" s="30" t="str">
        <f aca="true">IF($D60="","",IF($AI60,MIN(OFFSET(hdr_PlanStart,$AF60+1,0,$AH60,1)),IF($E60="Manual",IF(N($M60)&gt;0,$M60,ProjectStart),WORKDAY.INTL(MAX(ProjectStart,N($M60),$AK60,$AL60)-1,1,WorkWeek,Holidays))))</f>
        <v/>
      </c>
      <c r="O60" s="30" t="str">
        <f aca="true">IF($D60="","",IF($AI60,MAX(OFFSET(hdr_PlanFinish,$AF60+1,0,$AH60,1)),IF(N($F60)&lt;=0,$N60,WORKDAY.INTL($N60,$F60-1,WorkWeek,Holidays))))</f>
        <v/>
      </c>
      <c r="P60" s="29"/>
      <c r="Q60" s="29"/>
      <c r="R60" s="30" t="str">
        <f aca="true">IF($D60="","",IF($AI60,MIN(OFFSET(hdr_FcStart,$AF60+1,0,$AH60,1)),IF(N($P60)&gt;0,$P60,IF($E60="Manual",IF(N($M60)&gt;0,$M60,ProjectStart),WORKDAY.INTL(MAX(ProjectStart,N($M60),$AM60,$AN60,IF(RescheduleAfterStatus="Yes",StatusDate,0))-1,1,WorkWeek,Holidays)))))</f>
        <v/>
      </c>
      <c r="S60" s="30" t="str">
        <f aca="true">IF($D60="","",IF($AI60,MAX(OFFSET(hdr_FcFinish,$AF60+1,0,$AH60,1)),IF(N($Q60)&gt;0,$Q60,IF(N($F60)&lt;=0,$R60,IF(AND(N($P60)&gt;0,RescheduleAfterStatus="Yes"),MAX(WORKDAY.INTL($R60,$F60-1,WorkWeek,Holidays),WORKDAY.INTL(StatusWorkday,MAX(0,ROUNDUP($F60*(1-MIN(1,N($U60))),0)-1),WorkWeek,Holidays)),WORKDAY.INTL($R60,$F60-1,WorkWeek,Holidays))))))</f>
        <v/>
      </c>
      <c r="T60" s="38" t="str">
        <f aca="false">IF($D60="","",IF($S60&gt;=$O60,NETWORKDAYS.INTL($O60,$S60,WorkWeek,Holidays)-1,1-NETWORKDAYS.INTL($S60,$O60,WorkWeek,Holidays)))</f>
        <v/>
      </c>
      <c r="U60" s="32"/>
      <c r="V60" s="42" t="str">
        <f aca="true">IF($D60="","",IF($AI60,IFERROR(SUM(OFFSET(hdr_WtDone,$AF60+1,0,$AH60,1))/SUM(OFFSET(hdr_WtDur,$AF60+1,0,$AH60,1)),0),IF(N($Q60)&gt;0,1,MIN(1,N($U60)))))</f>
        <v/>
      </c>
      <c r="W60" s="39" t="str">
        <f aca="false">IF($D60="","",IF($V60&gt;=1,"Complete",IF(OR(N($P60)&gt;0,$V60&gt;0),IF($T60&gt;0,"Behind","In Progress"),IF($N60&lt;StatusDate,"Late Start","Not Started"))))</f>
        <v/>
      </c>
      <c r="X60" s="41"/>
      <c r="Y60" s="32"/>
      <c r="Z60" s="43" t="str">
        <f aca="true">IF($D60="","",IF($AI60,SUMPRODUCT(OFFSET(hdr_Work,$AF60+1,0,$AH60,1),OFFSET(hdr_IsLeaf,$AF60+1,0,$AH60,1)),IF($X60="",0,N($F60)*HoursPerDay*IF($Y60="",DefaultUnits,$Y60))))</f>
        <v/>
      </c>
      <c r="AA60" s="44" t="str">
        <f aca="true">IF($D60="","",IF($AI60,SUMPRODUCT(OFFSET(hdr_Cost,$AF60+1,0,$AH60,1),OFFSET(hdr_IsLeaf,$AF60+1,0,$AH60,1)),$Z60*IFERROR(INDEX(res_Rate,MATCH($X60,res_Name,0)),0)))</f>
        <v/>
      </c>
      <c r="AB60" s="38" t="str">
        <f aca="false">IF(OR($D60="",$AI60),"",IF(OR($R60&lt;Sprint1Start,$R60&gt;SprintLastEnd),"Backlog",INDEX(spr_Name,MATCH($R60,spr_Start,1))))</f>
        <v/>
      </c>
      <c r="AC60" s="45" t="str">
        <f aca="false">IF($D60="","",$AT60&amp;IF(AND($AT60&lt;&gt;"",$AU60&lt;&gt;""),",","")&amp;$AU60)</f>
        <v/>
      </c>
      <c r="AD60" s="41"/>
      <c r="AE60" s="46" t="str">
        <f aca="false">IF($D60="","",MAX(1,N($C60)))</f>
        <v/>
      </c>
      <c r="AF60" s="46" t="n">
        <f aca="false">ROW()-ROW(hdr_ID)</f>
        <v>55</v>
      </c>
      <c r="AG60" s="46" t="n">
        <f aca="false">IF(OR($D60="",$AE60&lt;=1),0,IFERROR(LOOKUP(2,1/($AE$5:$AE59=$AE60-1),ROW($AE$5:$AE59)),0))</f>
        <v>0</v>
      </c>
      <c r="AH60" s="46" t="n">
        <f aca="false">IF($D60="",0,COUNTIF(tsk_WBS,$B60&amp;".*"))</f>
        <v>0</v>
      </c>
      <c r="AI60" s="47" t="b">
        <f aca="false">$AH60&gt;0</f>
        <v>0</v>
      </c>
      <c r="AJ60" s="46" t="n">
        <f aca="false">IF(AND($D60&lt;&gt;"",NOT($AI60)),1,0)</f>
        <v>0</v>
      </c>
      <c r="AK60" s="48" t="n">
        <f aca="true">IF(OR(N($G60)=0,$AI60,$D60=""),0,IFERROR(CHOOSE(MATCH(IF($H60="","FS",$H60),{"FS","SS","FF","SF"},0),WORKDAY.INTL(OFFSET(hdr_PlanFinish,MATCH($G60,tsk_ID,0),0),IF(N($F60)=0,0,1)+N($I60),WorkWeek,Holidays),WORKDAY.INTL(OFFSET(hdr_PlanStart,MATCH($G60,tsk_ID,0),0),N($I60),WorkWeek,Holidays),WORKDAY.INTL(WORKDAY.INTL(OFFSET(hdr_PlanFinish,MATCH($G60,tsk_ID,0),0),N($I60),WorkWeek,Holidays),-MAX(0,N($F60)-1),WorkWeek,Holidays),WORKDAY.INTL(WORKDAY.INTL(OFFSET(hdr_PlanStart,MATCH($G60,tsk_ID,0),0),N($I60),WorkWeek,Holidays),-MAX(0,N($F60)-1),WorkWeek,Holidays)),0))</f>
        <v>0</v>
      </c>
      <c r="AL60" s="48" t="n">
        <f aca="true">IF(OR(N($J60)=0,$AI60,$D60=""),0,IFERROR(CHOOSE(MATCH(IF($K60="","FS",$K60),{"FS","SS","FF","SF"},0),WORKDAY.INTL(OFFSET(hdr_PlanFinish,MATCH($J60,tsk_ID,0),0),IF(N($F60)=0,0,1)+N($L60),WorkWeek,Holidays),WORKDAY.INTL(OFFSET(hdr_PlanStart,MATCH($J60,tsk_ID,0),0),N($L60),WorkWeek,Holidays),WORKDAY.INTL(WORKDAY.INTL(OFFSET(hdr_PlanFinish,MATCH($J60,tsk_ID,0),0),N($L60),WorkWeek,Holidays),-MAX(0,N($F60)-1),WorkWeek,Holidays),WORKDAY.INTL(WORKDAY.INTL(OFFSET(hdr_PlanStart,MATCH($J60,tsk_ID,0),0),N($L60),WorkWeek,Holidays),-MAX(0,N($F60)-1),WorkWeek,Holidays)),0))</f>
        <v>0</v>
      </c>
      <c r="AM60" s="48" t="n">
        <f aca="true">IF(OR(N($G60)=0,$AI60,$D60=""),0,IFERROR(CHOOSE(MATCH(IF($H60="","FS",$H60),{"FS","SS","FF","SF"},0),WORKDAY.INTL(OFFSET(hdr_FcFinish,MATCH($G60,tsk_ID,0),0),IF(N($F60)=0,0,1)+N($I60),WorkWeek,Holidays),WORKDAY.INTL(OFFSET(hdr_FcStart,MATCH($G60,tsk_ID,0),0),N($I60),WorkWeek,Holidays),WORKDAY.INTL(WORKDAY.INTL(OFFSET(hdr_FcFinish,MATCH($G60,tsk_ID,0),0),N($I60),WorkWeek,Holidays),-MAX(0,N($F60)-1),WorkWeek,Holidays),WORKDAY.INTL(WORKDAY.INTL(OFFSET(hdr_FcStart,MATCH($G60,tsk_ID,0),0),N($I60),WorkWeek,Holidays),-MAX(0,N($F60)-1),WorkWeek,Holidays)),0))</f>
        <v>0</v>
      </c>
      <c r="AN60" s="48" t="n">
        <f aca="true">IF(OR(N($J60)=0,$AI60,$D60=""),0,IFERROR(CHOOSE(MATCH(IF($K60="","FS",$K60),{"FS","SS","FF","SF"},0),WORKDAY.INTL(OFFSET(hdr_FcFinish,MATCH($J60,tsk_ID,0),0),IF(N($F60)=0,0,1)+N($L60),WorkWeek,Holidays),WORKDAY.INTL(OFFSET(hdr_FcStart,MATCH($J60,tsk_ID,0),0),N($L60),WorkWeek,Holidays),WORKDAY.INTL(WORKDAY.INTL(OFFSET(hdr_FcFinish,MATCH($J60,tsk_ID,0),0),N($L60),WorkWeek,Holidays),-MAX(0,N($F60)-1),WorkWeek,Holidays),WORKDAY.INTL(WORKDAY.INTL(OFFSET(hdr_FcStart,MATCH($J60,tsk_ID,0),0),N($L60),WorkWeek,Holidays),-MAX(0,N($F60)-1),WorkWeek,Holidays)),0))</f>
        <v>0</v>
      </c>
      <c r="AO60" s="48" t="n">
        <f aca="false">IF($AJ60=1,$R60,0)</f>
        <v>0</v>
      </c>
      <c r="AP60" s="48" t="n">
        <f aca="false">IF($AJ60=1,$S60,0)</f>
        <v>0</v>
      </c>
      <c r="AQ60" s="49" t="n">
        <f aca="false">IF(AND($AJ60=1,N($Z60)&gt;0),$Z60/($AP60-$AO60+1),0)</f>
        <v>0</v>
      </c>
      <c r="AR60" s="46" t="n">
        <f aca="false">IF($AJ60=1,MAX(N($F60),0.1),0)</f>
        <v>0</v>
      </c>
      <c r="AS60" s="46" t="n">
        <f aca="false">IF($AJ60=1,$AR60*$V60,0)</f>
        <v>0</v>
      </c>
      <c r="AT60" s="46" t="str">
        <f aca="false">IF(N($G60)=0,"",$G60&amp;IF(AND(IF($H60="","FS",$H60)="FS",N($I60)=0),"",IF($H60="","FS",$H60)&amp;IF(N($I60)=0,"",IF(N($I60)&gt;0,"+","")&amp;N($I60)&amp;"d")))</f>
        <v/>
      </c>
      <c r="AU60" s="46" t="str">
        <f aca="false">IF(N($J60)=0,"",$J60&amp;IF(AND(IF($K60="","FS",$K60)="FS",N($L60)=0),"",IF($K60="","FS",$K60)&amp;IF(N($L60)=0,"",IF(N($L60)&gt;0,"+","")&amp;N($L60)&amp;"d")))</f>
        <v/>
      </c>
      <c r="AV60" s="46" t="str">
        <f aca="false">IF(AND($AJ60=1,N($F60)=0,$V60&lt;1),$S60+$AF60/100000,"")</f>
        <v/>
      </c>
    </row>
    <row r="61" customFormat="false" ht="15" hidden="false" customHeight="false" outlineLevel="0" collapsed="false">
      <c r="A61" s="38" t="str">
        <f aca="false">IF($D61="","",COUNTA($D$6:$D61))</f>
        <v/>
      </c>
      <c r="B61" s="39" t="str">
        <f aca="true">IF($D61="","",IF($AE61=1,COUNTIF($AE$6:$AE61,1)&amp;"",IF($AG61=0,"?",OFFSET(hdr_WBS,$AG61-ROW(hdr_WBS),0)&amp;"."&amp;COUNTIF(INDEX($AE:$AE,$AG61+1):$AE61,$AE61))))</f>
        <v/>
      </c>
      <c r="C61" s="40"/>
      <c r="D61" s="41"/>
      <c r="E61" s="40"/>
      <c r="F61" s="40"/>
      <c r="G61" s="40"/>
      <c r="H61" s="40"/>
      <c r="I61" s="40"/>
      <c r="J61" s="40"/>
      <c r="K61" s="40"/>
      <c r="L61" s="40"/>
      <c r="M61" s="29"/>
      <c r="N61" s="30" t="str">
        <f aca="true">IF($D61="","",IF($AI61,MIN(OFFSET(hdr_PlanStart,$AF61+1,0,$AH61,1)),IF($E61="Manual",IF(N($M61)&gt;0,$M61,ProjectStart),WORKDAY.INTL(MAX(ProjectStart,N($M61),$AK61,$AL61)-1,1,WorkWeek,Holidays))))</f>
        <v/>
      </c>
      <c r="O61" s="30" t="str">
        <f aca="true">IF($D61="","",IF($AI61,MAX(OFFSET(hdr_PlanFinish,$AF61+1,0,$AH61,1)),IF(N($F61)&lt;=0,$N61,WORKDAY.INTL($N61,$F61-1,WorkWeek,Holidays))))</f>
        <v/>
      </c>
      <c r="P61" s="29"/>
      <c r="Q61" s="29"/>
      <c r="R61" s="30" t="str">
        <f aca="true">IF($D61="","",IF($AI61,MIN(OFFSET(hdr_FcStart,$AF61+1,0,$AH61,1)),IF(N($P61)&gt;0,$P61,IF($E61="Manual",IF(N($M61)&gt;0,$M61,ProjectStart),WORKDAY.INTL(MAX(ProjectStart,N($M61),$AM61,$AN61,IF(RescheduleAfterStatus="Yes",StatusDate,0))-1,1,WorkWeek,Holidays)))))</f>
        <v/>
      </c>
      <c r="S61" s="30" t="str">
        <f aca="true">IF($D61="","",IF($AI61,MAX(OFFSET(hdr_FcFinish,$AF61+1,0,$AH61,1)),IF(N($Q61)&gt;0,$Q61,IF(N($F61)&lt;=0,$R61,IF(AND(N($P61)&gt;0,RescheduleAfterStatus="Yes"),MAX(WORKDAY.INTL($R61,$F61-1,WorkWeek,Holidays),WORKDAY.INTL(StatusWorkday,MAX(0,ROUNDUP($F61*(1-MIN(1,N($U61))),0)-1),WorkWeek,Holidays)),WORKDAY.INTL($R61,$F61-1,WorkWeek,Holidays))))))</f>
        <v/>
      </c>
      <c r="T61" s="38" t="str">
        <f aca="false">IF($D61="","",IF($S61&gt;=$O61,NETWORKDAYS.INTL($O61,$S61,WorkWeek,Holidays)-1,1-NETWORKDAYS.INTL($S61,$O61,WorkWeek,Holidays)))</f>
        <v/>
      </c>
      <c r="U61" s="32"/>
      <c r="V61" s="42" t="str">
        <f aca="true">IF($D61="","",IF($AI61,IFERROR(SUM(OFFSET(hdr_WtDone,$AF61+1,0,$AH61,1))/SUM(OFFSET(hdr_WtDur,$AF61+1,0,$AH61,1)),0),IF(N($Q61)&gt;0,1,MIN(1,N($U61)))))</f>
        <v/>
      </c>
      <c r="W61" s="39" t="str">
        <f aca="false">IF($D61="","",IF($V61&gt;=1,"Complete",IF(OR(N($P61)&gt;0,$V61&gt;0),IF($T61&gt;0,"Behind","In Progress"),IF($N61&lt;StatusDate,"Late Start","Not Started"))))</f>
        <v/>
      </c>
      <c r="X61" s="41"/>
      <c r="Y61" s="32"/>
      <c r="Z61" s="43" t="str">
        <f aca="true">IF($D61="","",IF($AI61,SUMPRODUCT(OFFSET(hdr_Work,$AF61+1,0,$AH61,1),OFFSET(hdr_IsLeaf,$AF61+1,0,$AH61,1)),IF($X61="",0,N($F61)*HoursPerDay*IF($Y61="",DefaultUnits,$Y61))))</f>
        <v/>
      </c>
      <c r="AA61" s="44" t="str">
        <f aca="true">IF($D61="","",IF($AI61,SUMPRODUCT(OFFSET(hdr_Cost,$AF61+1,0,$AH61,1),OFFSET(hdr_IsLeaf,$AF61+1,0,$AH61,1)),$Z61*IFERROR(INDEX(res_Rate,MATCH($X61,res_Name,0)),0)))</f>
        <v/>
      </c>
      <c r="AB61" s="38" t="str">
        <f aca="false">IF(OR($D61="",$AI61),"",IF(OR($R61&lt;Sprint1Start,$R61&gt;SprintLastEnd),"Backlog",INDEX(spr_Name,MATCH($R61,spr_Start,1))))</f>
        <v/>
      </c>
      <c r="AC61" s="45" t="str">
        <f aca="false">IF($D61="","",$AT61&amp;IF(AND($AT61&lt;&gt;"",$AU61&lt;&gt;""),",","")&amp;$AU61)</f>
        <v/>
      </c>
      <c r="AD61" s="41"/>
      <c r="AE61" s="46" t="str">
        <f aca="false">IF($D61="","",MAX(1,N($C61)))</f>
        <v/>
      </c>
      <c r="AF61" s="46" t="n">
        <f aca="false">ROW()-ROW(hdr_ID)</f>
        <v>56</v>
      </c>
      <c r="AG61" s="46" t="n">
        <f aca="false">IF(OR($D61="",$AE61&lt;=1),0,IFERROR(LOOKUP(2,1/($AE$5:$AE60=$AE61-1),ROW($AE$5:$AE60)),0))</f>
        <v>0</v>
      </c>
      <c r="AH61" s="46" t="n">
        <f aca="false">IF($D61="",0,COUNTIF(tsk_WBS,$B61&amp;".*"))</f>
        <v>0</v>
      </c>
      <c r="AI61" s="47" t="b">
        <f aca="false">$AH61&gt;0</f>
        <v>0</v>
      </c>
      <c r="AJ61" s="46" t="n">
        <f aca="false">IF(AND($D61&lt;&gt;"",NOT($AI61)),1,0)</f>
        <v>0</v>
      </c>
      <c r="AK61" s="48" t="n">
        <f aca="true">IF(OR(N($G61)=0,$AI61,$D61=""),0,IFERROR(CHOOSE(MATCH(IF($H61="","FS",$H61),{"FS","SS","FF","SF"},0),WORKDAY.INTL(OFFSET(hdr_PlanFinish,MATCH($G61,tsk_ID,0),0),IF(N($F61)=0,0,1)+N($I61),WorkWeek,Holidays),WORKDAY.INTL(OFFSET(hdr_PlanStart,MATCH($G61,tsk_ID,0),0),N($I61),WorkWeek,Holidays),WORKDAY.INTL(WORKDAY.INTL(OFFSET(hdr_PlanFinish,MATCH($G61,tsk_ID,0),0),N($I61),WorkWeek,Holidays),-MAX(0,N($F61)-1),WorkWeek,Holidays),WORKDAY.INTL(WORKDAY.INTL(OFFSET(hdr_PlanStart,MATCH($G61,tsk_ID,0),0),N($I61),WorkWeek,Holidays),-MAX(0,N($F61)-1),WorkWeek,Holidays)),0))</f>
        <v>0</v>
      </c>
      <c r="AL61" s="48" t="n">
        <f aca="true">IF(OR(N($J61)=0,$AI61,$D61=""),0,IFERROR(CHOOSE(MATCH(IF($K61="","FS",$K61),{"FS","SS","FF","SF"},0),WORKDAY.INTL(OFFSET(hdr_PlanFinish,MATCH($J61,tsk_ID,0),0),IF(N($F61)=0,0,1)+N($L61),WorkWeek,Holidays),WORKDAY.INTL(OFFSET(hdr_PlanStart,MATCH($J61,tsk_ID,0),0),N($L61),WorkWeek,Holidays),WORKDAY.INTL(WORKDAY.INTL(OFFSET(hdr_PlanFinish,MATCH($J61,tsk_ID,0),0),N($L61),WorkWeek,Holidays),-MAX(0,N($F61)-1),WorkWeek,Holidays),WORKDAY.INTL(WORKDAY.INTL(OFFSET(hdr_PlanStart,MATCH($J61,tsk_ID,0),0),N($L61),WorkWeek,Holidays),-MAX(0,N($F61)-1),WorkWeek,Holidays)),0))</f>
        <v>0</v>
      </c>
      <c r="AM61" s="48" t="n">
        <f aca="true">IF(OR(N($G61)=0,$AI61,$D61=""),0,IFERROR(CHOOSE(MATCH(IF($H61="","FS",$H61),{"FS","SS","FF","SF"},0),WORKDAY.INTL(OFFSET(hdr_FcFinish,MATCH($G61,tsk_ID,0),0),IF(N($F61)=0,0,1)+N($I61),WorkWeek,Holidays),WORKDAY.INTL(OFFSET(hdr_FcStart,MATCH($G61,tsk_ID,0),0),N($I61),WorkWeek,Holidays),WORKDAY.INTL(WORKDAY.INTL(OFFSET(hdr_FcFinish,MATCH($G61,tsk_ID,0),0),N($I61),WorkWeek,Holidays),-MAX(0,N($F61)-1),WorkWeek,Holidays),WORKDAY.INTL(WORKDAY.INTL(OFFSET(hdr_FcStart,MATCH($G61,tsk_ID,0),0),N($I61),WorkWeek,Holidays),-MAX(0,N($F61)-1),WorkWeek,Holidays)),0))</f>
        <v>0</v>
      </c>
      <c r="AN61" s="48" t="n">
        <f aca="true">IF(OR(N($J61)=0,$AI61,$D61=""),0,IFERROR(CHOOSE(MATCH(IF($K61="","FS",$K61),{"FS","SS","FF","SF"},0),WORKDAY.INTL(OFFSET(hdr_FcFinish,MATCH($J61,tsk_ID,0),0),IF(N($F61)=0,0,1)+N($L61),WorkWeek,Holidays),WORKDAY.INTL(OFFSET(hdr_FcStart,MATCH($J61,tsk_ID,0),0),N($L61),WorkWeek,Holidays),WORKDAY.INTL(WORKDAY.INTL(OFFSET(hdr_FcFinish,MATCH($J61,tsk_ID,0),0),N($L61),WorkWeek,Holidays),-MAX(0,N($F61)-1),WorkWeek,Holidays),WORKDAY.INTL(WORKDAY.INTL(OFFSET(hdr_FcStart,MATCH($J61,tsk_ID,0),0),N($L61),WorkWeek,Holidays),-MAX(0,N($F61)-1),WorkWeek,Holidays)),0))</f>
        <v>0</v>
      </c>
      <c r="AO61" s="48" t="n">
        <f aca="false">IF($AJ61=1,$R61,0)</f>
        <v>0</v>
      </c>
      <c r="AP61" s="48" t="n">
        <f aca="false">IF($AJ61=1,$S61,0)</f>
        <v>0</v>
      </c>
      <c r="AQ61" s="49" t="n">
        <f aca="false">IF(AND($AJ61=1,N($Z61)&gt;0),$Z61/($AP61-$AO61+1),0)</f>
        <v>0</v>
      </c>
      <c r="AR61" s="46" t="n">
        <f aca="false">IF($AJ61=1,MAX(N($F61),0.1),0)</f>
        <v>0</v>
      </c>
      <c r="AS61" s="46" t="n">
        <f aca="false">IF($AJ61=1,$AR61*$V61,0)</f>
        <v>0</v>
      </c>
      <c r="AT61" s="46" t="str">
        <f aca="false">IF(N($G61)=0,"",$G61&amp;IF(AND(IF($H61="","FS",$H61)="FS",N($I61)=0),"",IF($H61="","FS",$H61)&amp;IF(N($I61)=0,"",IF(N($I61)&gt;0,"+","")&amp;N($I61)&amp;"d")))</f>
        <v/>
      </c>
      <c r="AU61" s="46" t="str">
        <f aca="false">IF(N($J61)=0,"",$J61&amp;IF(AND(IF($K61="","FS",$K61)="FS",N($L61)=0),"",IF($K61="","FS",$K61)&amp;IF(N($L61)=0,"",IF(N($L61)&gt;0,"+","")&amp;N($L61)&amp;"d")))</f>
        <v/>
      </c>
      <c r="AV61" s="46" t="str">
        <f aca="false">IF(AND($AJ61=1,N($F61)=0,$V61&lt;1),$S61+$AF61/100000,"")</f>
        <v/>
      </c>
    </row>
    <row r="62" customFormat="false" ht="15" hidden="false" customHeight="false" outlineLevel="0" collapsed="false">
      <c r="A62" s="38" t="str">
        <f aca="false">IF($D62="","",COUNTA($D$6:$D62))</f>
        <v/>
      </c>
      <c r="B62" s="39" t="str">
        <f aca="true">IF($D62="","",IF($AE62=1,COUNTIF($AE$6:$AE62,1)&amp;"",IF($AG62=0,"?",OFFSET(hdr_WBS,$AG62-ROW(hdr_WBS),0)&amp;"."&amp;COUNTIF(INDEX($AE:$AE,$AG62+1):$AE62,$AE62))))</f>
        <v/>
      </c>
      <c r="C62" s="40"/>
      <c r="D62" s="41"/>
      <c r="E62" s="40"/>
      <c r="F62" s="40"/>
      <c r="G62" s="40"/>
      <c r="H62" s="40"/>
      <c r="I62" s="40"/>
      <c r="J62" s="40"/>
      <c r="K62" s="40"/>
      <c r="L62" s="40"/>
      <c r="M62" s="29"/>
      <c r="N62" s="30" t="str">
        <f aca="true">IF($D62="","",IF($AI62,MIN(OFFSET(hdr_PlanStart,$AF62+1,0,$AH62,1)),IF($E62="Manual",IF(N($M62)&gt;0,$M62,ProjectStart),WORKDAY.INTL(MAX(ProjectStart,N($M62),$AK62,$AL62)-1,1,WorkWeek,Holidays))))</f>
        <v/>
      </c>
      <c r="O62" s="30" t="str">
        <f aca="true">IF($D62="","",IF($AI62,MAX(OFFSET(hdr_PlanFinish,$AF62+1,0,$AH62,1)),IF(N($F62)&lt;=0,$N62,WORKDAY.INTL($N62,$F62-1,WorkWeek,Holidays))))</f>
        <v/>
      </c>
      <c r="P62" s="29"/>
      <c r="Q62" s="29"/>
      <c r="R62" s="30" t="str">
        <f aca="true">IF($D62="","",IF($AI62,MIN(OFFSET(hdr_FcStart,$AF62+1,0,$AH62,1)),IF(N($P62)&gt;0,$P62,IF($E62="Manual",IF(N($M62)&gt;0,$M62,ProjectStart),WORKDAY.INTL(MAX(ProjectStart,N($M62),$AM62,$AN62,IF(RescheduleAfterStatus="Yes",StatusDate,0))-1,1,WorkWeek,Holidays)))))</f>
        <v/>
      </c>
      <c r="S62" s="30" t="str">
        <f aca="true">IF($D62="","",IF($AI62,MAX(OFFSET(hdr_FcFinish,$AF62+1,0,$AH62,1)),IF(N($Q62)&gt;0,$Q62,IF(N($F62)&lt;=0,$R62,IF(AND(N($P62)&gt;0,RescheduleAfterStatus="Yes"),MAX(WORKDAY.INTL($R62,$F62-1,WorkWeek,Holidays),WORKDAY.INTL(StatusWorkday,MAX(0,ROUNDUP($F62*(1-MIN(1,N($U62))),0)-1),WorkWeek,Holidays)),WORKDAY.INTL($R62,$F62-1,WorkWeek,Holidays))))))</f>
        <v/>
      </c>
      <c r="T62" s="38" t="str">
        <f aca="false">IF($D62="","",IF($S62&gt;=$O62,NETWORKDAYS.INTL($O62,$S62,WorkWeek,Holidays)-1,1-NETWORKDAYS.INTL($S62,$O62,WorkWeek,Holidays)))</f>
        <v/>
      </c>
      <c r="U62" s="32"/>
      <c r="V62" s="42" t="str">
        <f aca="true">IF($D62="","",IF($AI62,IFERROR(SUM(OFFSET(hdr_WtDone,$AF62+1,0,$AH62,1))/SUM(OFFSET(hdr_WtDur,$AF62+1,0,$AH62,1)),0),IF(N($Q62)&gt;0,1,MIN(1,N($U62)))))</f>
        <v/>
      </c>
      <c r="W62" s="39" t="str">
        <f aca="false">IF($D62="","",IF($V62&gt;=1,"Complete",IF(OR(N($P62)&gt;0,$V62&gt;0),IF($T62&gt;0,"Behind","In Progress"),IF($N62&lt;StatusDate,"Late Start","Not Started"))))</f>
        <v/>
      </c>
      <c r="X62" s="41"/>
      <c r="Y62" s="32"/>
      <c r="Z62" s="43" t="str">
        <f aca="true">IF($D62="","",IF($AI62,SUMPRODUCT(OFFSET(hdr_Work,$AF62+1,0,$AH62,1),OFFSET(hdr_IsLeaf,$AF62+1,0,$AH62,1)),IF($X62="",0,N($F62)*HoursPerDay*IF($Y62="",DefaultUnits,$Y62))))</f>
        <v/>
      </c>
      <c r="AA62" s="44" t="str">
        <f aca="true">IF($D62="","",IF($AI62,SUMPRODUCT(OFFSET(hdr_Cost,$AF62+1,0,$AH62,1),OFFSET(hdr_IsLeaf,$AF62+1,0,$AH62,1)),$Z62*IFERROR(INDEX(res_Rate,MATCH($X62,res_Name,0)),0)))</f>
        <v/>
      </c>
      <c r="AB62" s="38" t="str">
        <f aca="false">IF(OR($D62="",$AI62),"",IF(OR($R62&lt;Sprint1Start,$R62&gt;SprintLastEnd),"Backlog",INDEX(spr_Name,MATCH($R62,spr_Start,1))))</f>
        <v/>
      </c>
      <c r="AC62" s="45" t="str">
        <f aca="false">IF($D62="","",$AT62&amp;IF(AND($AT62&lt;&gt;"",$AU62&lt;&gt;""),",","")&amp;$AU62)</f>
        <v/>
      </c>
      <c r="AD62" s="41"/>
      <c r="AE62" s="46" t="str">
        <f aca="false">IF($D62="","",MAX(1,N($C62)))</f>
        <v/>
      </c>
      <c r="AF62" s="46" t="n">
        <f aca="false">ROW()-ROW(hdr_ID)</f>
        <v>57</v>
      </c>
      <c r="AG62" s="46" t="n">
        <f aca="false">IF(OR($D62="",$AE62&lt;=1),0,IFERROR(LOOKUP(2,1/($AE$5:$AE61=$AE62-1),ROW($AE$5:$AE61)),0))</f>
        <v>0</v>
      </c>
      <c r="AH62" s="46" t="n">
        <f aca="false">IF($D62="",0,COUNTIF(tsk_WBS,$B62&amp;".*"))</f>
        <v>0</v>
      </c>
      <c r="AI62" s="47" t="b">
        <f aca="false">$AH62&gt;0</f>
        <v>0</v>
      </c>
      <c r="AJ62" s="46" t="n">
        <f aca="false">IF(AND($D62&lt;&gt;"",NOT($AI62)),1,0)</f>
        <v>0</v>
      </c>
      <c r="AK62" s="48" t="n">
        <f aca="true">IF(OR(N($G62)=0,$AI62,$D62=""),0,IFERROR(CHOOSE(MATCH(IF($H62="","FS",$H62),{"FS","SS","FF","SF"},0),WORKDAY.INTL(OFFSET(hdr_PlanFinish,MATCH($G62,tsk_ID,0),0),IF(N($F62)=0,0,1)+N($I62),WorkWeek,Holidays),WORKDAY.INTL(OFFSET(hdr_PlanStart,MATCH($G62,tsk_ID,0),0),N($I62),WorkWeek,Holidays),WORKDAY.INTL(WORKDAY.INTL(OFFSET(hdr_PlanFinish,MATCH($G62,tsk_ID,0),0),N($I62),WorkWeek,Holidays),-MAX(0,N($F62)-1),WorkWeek,Holidays),WORKDAY.INTL(WORKDAY.INTL(OFFSET(hdr_PlanStart,MATCH($G62,tsk_ID,0),0),N($I62),WorkWeek,Holidays),-MAX(0,N($F62)-1),WorkWeek,Holidays)),0))</f>
        <v>0</v>
      </c>
      <c r="AL62" s="48" t="n">
        <f aca="true">IF(OR(N($J62)=0,$AI62,$D62=""),0,IFERROR(CHOOSE(MATCH(IF($K62="","FS",$K62),{"FS","SS","FF","SF"},0),WORKDAY.INTL(OFFSET(hdr_PlanFinish,MATCH($J62,tsk_ID,0),0),IF(N($F62)=0,0,1)+N($L62),WorkWeek,Holidays),WORKDAY.INTL(OFFSET(hdr_PlanStart,MATCH($J62,tsk_ID,0),0),N($L62),WorkWeek,Holidays),WORKDAY.INTL(WORKDAY.INTL(OFFSET(hdr_PlanFinish,MATCH($J62,tsk_ID,0),0),N($L62),WorkWeek,Holidays),-MAX(0,N($F62)-1),WorkWeek,Holidays),WORKDAY.INTL(WORKDAY.INTL(OFFSET(hdr_PlanStart,MATCH($J62,tsk_ID,0),0),N($L62),WorkWeek,Holidays),-MAX(0,N($F62)-1),WorkWeek,Holidays)),0))</f>
        <v>0</v>
      </c>
      <c r="AM62" s="48" t="n">
        <f aca="true">IF(OR(N($G62)=0,$AI62,$D62=""),0,IFERROR(CHOOSE(MATCH(IF($H62="","FS",$H62),{"FS","SS","FF","SF"},0),WORKDAY.INTL(OFFSET(hdr_FcFinish,MATCH($G62,tsk_ID,0),0),IF(N($F62)=0,0,1)+N($I62),WorkWeek,Holidays),WORKDAY.INTL(OFFSET(hdr_FcStart,MATCH($G62,tsk_ID,0),0),N($I62),WorkWeek,Holidays),WORKDAY.INTL(WORKDAY.INTL(OFFSET(hdr_FcFinish,MATCH($G62,tsk_ID,0),0),N($I62),WorkWeek,Holidays),-MAX(0,N($F62)-1),WorkWeek,Holidays),WORKDAY.INTL(WORKDAY.INTL(OFFSET(hdr_FcStart,MATCH($G62,tsk_ID,0),0),N($I62),WorkWeek,Holidays),-MAX(0,N($F62)-1),WorkWeek,Holidays)),0))</f>
        <v>0</v>
      </c>
      <c r="AN62" s="48" t="n">
        <f aca="true">IF(OR(N($J62)=0,$AI62,$D62=""),0,IFERROR(CHOOSE(MATCH(IF($K62="","FS",$K62),{"FS","SS","FF","SF"},0),WORKDAY.INTL(OFFSET(hdr_FcFinish,MATCH($J62,tsk_ID,0),0),IF(N($F62)=0,0,1)+N($L62),WorkWeek,Holidays),WORKDAY.INTL(OFFSET(hdr_FcStart,MATCH($J62,tsk_ID,0),0),N($L62),WorkWeek,Holidays),WORKDAY.INTL(WORKDAY.INTL(OFFSET(hdr_FcFinish,MATCH($J62,tsk_ID,0),0),N($L62),WorkWeek,Holidays),-MAX(0,N($F62)-1),WorkWeek,Holidays),WORKDAY.INTL(WORKDAY.INTL(OFFSET(hdr_FcStart,MATCH($J62,tsk_ID,0),0),N($L62),WorkWeek,Holidays),-MAX(0,N($F62)-1),WorkWeek,Holidays)),0))</f>
        <v>0</v>
      </c>
      <c r="AO62" s="48" t="n">
        <f aca="false">IF($AJ62=1,$R62,0)</f>
        <v>0</v>
      </c>
      <c r="AP62" s="48" t="n">
        <f aca="false">IF($AJ62=1,$S62,0)</f>
        <v>0</v>
      </c>
      <c r="AQ62" s="49" t="n">
        <f aca="false">IF(AND($AJ62=1,N($Z62)&gt;0),$Z62/($AP62-$AO62+1),0)</f>
        <v>0</v>
      </c>
      <c r="AR62" s="46" t="n">
        <f aca="false">IF($AJ62=1,MAX(N($F62),0.1),0)</f>
        <v>0</v>
      </c>
      <c r="AS62" s="46" t="n">
        <f aca="false">IF($AJ62=1,$AR62*$V62,0)</f>
        <v>0</v>
      </c>
      <c r="AT62" s="46" t="str">
        <f aca="false">IF(N($G62)=0,"",$G62&amp;IF(AND(IF($H62="","FS",$H62)="FS",N($I62)=0),"",IF($H62="","FS",$H62)&amp;IF(N($I62)=0,"",IF(N($I62)&gt;0,"+","")&amp;N($I62)&amp;"d")))</f>
        <v/>
      </c>
      <c r="AU62" s="46" t="str">
        <f aca="false">IF(N($J62)=0,"",$J62&amp;IF(AND(IF($K62="","FS",$K62)="FS",N($L62)=0),"",IF($K62="","FS",$K62)&amp;IF(N($L62)=0,"",IF(N($L62)&gt;0,"+","")&amp;N($L62)&amp;"d")))</f>
        <v/>
      </c>
      <c r="AV62" s="46" t="str">
        <f aca="false">IF(AND($AJ62=1,N($F62)=0,$V62&lt;1),$S62+$AF62/100000,"")</f>
        <v/>
      </c>
    </row>
    <row r="63" customFormat="false" ht="15" hidden="false" customHeight="false" outlineLevel="0" collapsed="false">
      <c r="A63" s="38" t="str">
        <f aca="false">IF($D63="","",COUNTA($D$6:$D63))</f>
        <v/>
      </c>
      <c r="B63" s="39" t="str">
        <f aca="true">IF($D63="","",IF($AE63=1,COUNTIF($AE$6:$AE63,1)&amp;"",IF($AG63=0,"?",OFFSET(hdr_WBS,$AG63-ROW(hdr_WBS),0)&amp;"."&amp;COUNTIF(INDEX($AE:$AE,$AG63+1):$AE63,$AE63))))</f>
        <v/>
      </c>
      <c r="C63" s="40"/>
      <c r="D63" s="41"/>
      <c r="E63" s="40"/>
      <c r="F63" s="40"/>
      <c r="G63" s="40"/>
      <c r="H63" s="40"/>
      <c r="I63" s="40"/>
      <c r="J63" s="40"/>
      <c r="K63" s="40"/>
      <c r="L63" s="40"/>
      <c r="M63" s="29"/>
      <c r="N63" s="30" t="str">
        <f aca="true">IF($D63="","",IF($AI63,MIN(OFFSET(hdr_PlanStart,$AF63+1,0,$AH63,1)),IF($E63="Manual",IF(N($M63)&gt;0,$M63,ProjectStart),WORKDAY.INTL(MAX(ProjectStart,N($M63),$AK63,$AL63)-1,1,WorkWeek,Holidays))))</f>
        <v/>
      </c>
      <c r="O63" s="30" t="str">
        <f aca="true">IF($D63="","",IF($AI63,MAX(OFFSET(hdr_PlanFinish,$AF63+1,0,$AH63,1)),IF(N($F63)&lt;=0,$N63,WORKDAY.INTL($N63,$F63-1,WorkWeek,Holidays))))</f>
        <v/>
      </c>
      <c r="P63" s="29"/>
      <c r="Q63" s="29"/>
      <c r="R63" s="30" t="str">
        <f aca="true">IF($D63="","",IF($AI63,MIN(OFFSET(hdr_FcStart,$AF63+1,0,$AH63,1)),IF(N($P63)&gt;0,$P63,IF($E63="Manual",IF(N($M63)&gt;0,$M63,ProjectStart),WORKDAY.INTL(MAX(ProjectStart,N($M63),$AM63,$AN63,IF(RescheduleAfterStatus="Yes",StatusDate,0))-1,1,WorkWeek,Holidays)))))</f>
        <v/>
      </c>
      <c r="S63" s="30" t="str">
        <f aca="true">IF($D63="","",IF($AI63,MAX(OFFSET(hdr_FcFinish,$AF63+1,0,$AH63,1)),IF(N($Q63)&gt;0,$Q63,IF(N($F63)&lt;=0,$R63,IF(AND(N($P63)&gt;0,RescheduleAfterStatus="Yes"),MAX(WORKDAY.INTL($R63,$F63-1,WorkWeek,Holidays),WORKDAY.INTL(StatusWorkday,MAX(0,ROUNDUP($F63*(1-MIN(1,N($U63))),0)-1),WorkWeek,Holidays)),WORKDAY.INTL($R63,$F63-1,WorkWeek,Holidays))))))</f>
        <v/>
      </c>
      <c r="T63" s="38" t="str">
        <f aca="false">IF($D63="","",IF($S63&gt;=$O63,NETWORKDAYS.INTL($O63,$S63,WorkWeek,Holidays)-1,1-NETWORKDAYS.INTL($S63,$O63,WorkWeek,Holidays)))</f>
        <v/>
      </c>
      <c r="U63" s="32"/>
      <c r="V63" s="42" t="str">
        <f aca="true">IF($D63="","",IF($AI63,IFERROR(SUM(OFFSET(hdr_WtDone,$AF63+1,0,$AH63,1))/SUM(OFFSET(hdr_WtDur,$AF63+1,0,$AH63,1)),0),IF(N($Q63)&gt;0,1,MIN(1,N($U63)))))</f>
        <v/>
      </c>
      <c r="W63" s="39" t="str">
        <f aca="false">IF($D63="","",IF($V63&gt;=1,"Complete",IF(OR(N($P63)&gt;0,$V63&gt;0),IF($T63&gt;0,"Behind","In Progress"),IF($N63&lt;StatusDate,"Late Start","Not Started"))))</f>
        <v/>
      </c>
      <c r="X63" s="41"/>
      <c r="Y63" s="32"/>
      <c r="Z63" s="43" t="str">
        <f aca="true">IF($D63="","",IF($AI63,SUMPRODUCT(OFFSET(hdr_Work,$AF63+1,0,$AH63,1),OFFSET(hdr_IsLeaf,$AF63+1,0,$AH63,1)),IF($X63="",0,N($F63)*HoursPerDay*IF($Y63="",DefaultUnits,$Y63))))</f>
        <v/>
      </c>
      <c r="AA63" s="44" t="str">
        <f aca="true">IF($D63="","",IF($AI63,SUMPRODUCT(OFFSET(hdr_Cost,$AF63+1,0,$AH63,1),OFFSET(hdr_IsLeaf,$AF63+1,0,$AH63,1)),$Z63*IFERROR(INDEX(res_Rate,MATCH($X63,res_Name,0)),0)))</f>
        <v/>
      </c>
      <c r="AB63" s="38" t="str">
        <f aca="false">IF(OR($D63="",$AI63),"",IF(OR($R63&lt;Sprint1Start,$R63&gt;SprintLastEnd),"Backlog",INDEX(spr_Name,MATCH($R63,spr_Start,1))))</f>
        <v/>
      </c>
      <c r="AC63" s="45" t="str">
        <f aca="false">IF($D63="","",$AT63&amp;IF(AND($AT63&lt;&gt;"",$AU63&lt;&gt;""),",","")&amp;$AU63)</f>
        <v/>
      </c>
      <c r="AD63" s="41"/>
      <c r="AE63" s="46" t="str">
        <f aca="false">IF($D63="","",MAX(1,N($C63)))</f>
        <v/>
      </c>
      <c r="AF63" s="46" t="n">
        <f aca="false">ROW()-ROW(hdr_ID)</f>
        <v>58</v>
      </c>
      <c r="AG63" s="46" t="n">
        <f aca="false">IF(OR($D63="",$AE63&lt;=1),0,IFERROR(LOOKUP(2,1/($AE$5:$AE62=$AE63-1),ROW($AE$5:$AE62)),0))</f>
        <v>0</v>
      </c>
      <c r="AH63" s="46" t="n">
        <f aca="false">IF($D63="",0,COUNTIF(tsk_WBS,$B63&amp;".*"))</f>
        <v>0</v>
      </c>
      <c r="AI63" s="47" t="b">
        <f aca="false">$AH63&gt;0</f>
        <v>0</v>
      </c>
      <c r="AJ63" s="46" t="n">
        <f aca="false">IF(AND($D63&lt;&gt;"",NOT($AI63)),1,0)</f>
        <v>0</v>
      </c>
      <c r="AK63" s="48" t="n">
        <f aca="true">IF(OR(N($G63)=0,$AI63,$D63=""),0,IFERROR(CHOOSE(MATCH(IF($H63="","FS",$H63),{"FS","SS","FF","SF"},0),WORKDAY.INTL(OFFSET(hdr_PlanFinish,MATCH($G63,tsk_ID,0),0),IF(N($F63)=0,0,1)+N($I63),WorkWeek,Holidays),WORKDAY.INTL(OFFSET(hdr_PlanStart,MATCH($G63,tsk_ID,0),0),N($I63),WorkWeek,Holidays),WORKDAY.INTL(WORKDAY.INTL(OFFSET(hdr_PlanFinish,MATCH($G63,tsk_ID,0),0),N($I63),WorkWeek,Holidays),-MAX(0,N($F63)-1),WorkWeek,Holidays),WORKDAY.INTL(WORKDAY.INTL(OFFSET(hdr_PlanStart,MATCH($G63,tsk_ID,0),0),N($I63),WorkWeek,Holidays),-MAX(0,N($F63)-1),WorkWeek,Holidays)),0))</f>
        <v>0</v>
      </c>
      <c r="AL63" s="48" t="n">
        <f aca="true">IF(OR(N($J63)=0,$AI63,$D63=""),0,IFERROR(CHOOSE(MATCH(IF($K63="","FS",$K63),{"FS","SS","FF","SF"},0),WORKDAY.INTL(OFFSET(hdr_PlanFinish,MATCH($J63,tsk_ID,0),0),IF(N($F63)=0,0,1)+N($L63),WorkWeek,Holidays),WORKDAY.INTL(OFFSET(hdr_PlanStart,MATCH($J63,tsk_ID,0),0),N($L63),WorkWeek,Holidays),WORKDAY.INTL(WORKDAY.INTL(OFFSET(hdr_PlanFinish,MATCH($J63,tsk_ID,0),0),N($L63),WorkWeek,Holidays),-MAX(0,N($F63)-1),WorkWeek,Holidays),WORKDAY.INTL(WORKDAY.INTL(OFFSET(hdr_PlanStart,MATCH($J63,tsk_ID,0),0),N($L63),WorkWeek,Holidays),-MAX(0,N($F63)-1),WorkWeek,Holidays)),0))</f>
        <v>0</v>
      </c>
      <c r="AM63" s="48" t="n">
        <f aca="true">IF(OR(N($G63)=0,$AI63,$D63=""),0,IFERROR(CHOOSE(MATCH(IF($H63="","FS",$H63),{"FS","SS","FF","SF"},0),WORKDAY.INTL(OFFSET(hdr_FcFinish,MATCH($G63,tsk_ID,0),0),IF(N($F63)=0,0,1)+N($I63),WorkWeek,Holidays),WORKDAY.INTL(OFFSET(hdr_FcStart,MATCH($G63,tsk_ID,0),0),N($I63),WorkWeek,Holidays),WORKDAY.INTL(WORKDAY.INTL(OFFSET(hdr_FcFinish,MATCH($G63,tsk_ID,0),0),N($I63),WorkWeek,Holidays),-MAX(0,N($F63)-1),WorkWeek,Holidays),WORKDAY.INTL(WORKDAY.INTL(OFFSET(hdr_FcStart,MATCH($G63,tsk_ID,0),0),N($I63),WorkWeek,Holidays),-MAX(0,N($F63)-1),WorkWeek,Holidays)),0))</f>
        <v>0</v>
      </c>
      <c r="AN63" s="48" t="n">
        <f aca="true">IF(OR(N($J63)=0,$AI63,$D63=""),0,IFERROR(CHOOSE(MATCH(IF($K63="","FS",$K63),{"FS","SS","FF","SF"},0),WORKDAY.INTL(OFFSET(hdr_FcFinish,MATCH($J63,tsk_ID,0),0),IF(N($F63)=0,0,1)+N($L63),WorkWeek,Holidays),WORKDAY.INTL(OFFSET(hdr_FcStart,MATCH($J63,tsk_ID,0),0),N($L63),WorkWeek,Holidays),WORKDAY.INTL(WORKDAY.INTL(OFFSET(hdr_FcFinish,MATCH($J63,tsk_ID,0),0),N($L63),WorkWeek,Holidays),-MAX(0,N($F63)-1),WorkWeek,Holidays),WORKDAY.INTL(WORKDAY.INTL(OFFSET(hdr_FcStart,MATCH($J63,tsk_ID,0),0),N($L63),WorkWeek,Holidays),-MAX(0,N($F63)-1),WorkWeek,Holidays)),0))</f>
        <v>0</v>
      </c>
      <c r="AO63" s="48" t="n">
        <f aca="false">IF($AJ63=1,$R63,0)</f>
        <v>0</v>
      </c>
      <c r="AP63" s="48" t="n">
        <f aca="false">IF($AJ63=1,$S63,0)</f>
        <v>0</v>
      </c>
      <c r="AQ63" s="49" t="n">
        <f aca="false">IF(AND($AJ63=1,N($Z63)&gt;0),$Z63/($AP63-$AO63+1),0)</f>
        <v>0</v>
      </c>
      <c r="AR63" s="46" t="n">
        <f aca="false">IF($AJ63=1,MAX(N($F63),0.1),0)</f>
        <v>0</v>
      </c>
      <c r="AS63" s="46" t="n">
        <f aca="false">IF($AJ63=1,$AR63*$V63,0)</f>
        <v>0</v>
      </c>
      <c r="AT63" s="46" t="str">
        <f aca="false">IF(N($G63)=0,"",$G63&amp;IF(AND(IF($H63="","FS",$H63)="FS",N($I63)=0),"",IF($H63="","FS",$H63)&amp;IF(N($I63)=0,"",IF(N($I63)&gt;0,"+","")&amp;N($I63)&amp;"d")))</f>
        <v/>
      </c>
      <c r="AU63" s="46" t="str">
        <f aca="false">IF(N($J63)=0,"",$J63&amp;IF(AND(IF($K63="","FS",$K63)="FS",N($L63)=0),"",IF($K63="","FS",$K63)&amp;IF(N($L63)=0,"",IF(N($L63)&gt;0,"+","")&amp;N($L63)&amp;"d")))</f>
        <v/>
      </c>
      <c r="AV63" s="46" t="str">
        <f aca="false">IF(AND($AJ63=1,N($F63)=0,$V63&lt;1),$S63+$AF63/100000,"")</f>
        <v/>
      </c>
    </row>
    <row r="64" customFormat="false" ht="15" hidden="false" customHeight="false" outlineLevel="0" collapsed="false">
      <c r="A64" s="38" t="str">
        <f aca="false">IF($D64="","",COUNTA($D$6:$D64))</f>
        <v/>
      </c>
      <c r="B64" s="39" t="str">
        <f aca="true">IF($D64="","",IF($AE64=1,COUNTIF($AE$6:$AE64,1)&amp;"",IF($AG64=0,"?",OFFSET(hdr_WBS,$AG64-ROW(hdr_WBS),0)&amp;"."&amp;COUNTIF(INDEX($AE:$AE,$AG64+1):$AE64,$AE64))))</f>
        <v/>
      </c>
      <c r="C64" s="40"/>
      <c r="D64" s="41"/>
      <c r="E64" s="40"/>
      <c r="F64" s="40"/>
      <c r="G64" s="40"/>
      <c r="H64" s="40"/>
      <c r="I64" s="40"/>
      <c r="J64" s="40"/>
      <c r="K64" s="40"/>
      <c r="L64" s="40"/>
      <c r="M64" s="29"/>
      <c r="N64" s="30" t="str">
        <f aca="true">IF($D64="","",IF($AI64,MIN(OFFSET(hdr_PlanStart,$AF64+1,0,$AH64,1)),IF($E64="Manual",IF(N($M64)&gt;0,$M64,ProjectStart),WORKDAY.INTL(MAX(ProjectStart,N($M64),$AK64,$AL64)-1,1,WorkWeek,Holidays))))</f>
        <v/>
      </c>
      <c r="O64" s="30" t="str">
        <f aca="true">IF($D64="","",IF($AI64,MAX(OFFSET(hdr_PlanFinish,$AF64+1,0,$AH64,1)),IF(N($F64)&lt;=0,$N64,WORKDAY.INTL($N64,$F64-1,WorkWeek,Holidays))))</f>
        <v/>
      </c>
      <c r="P64" s="29"/>
      <c r="Q64" s="29"/>
      <c r="R64" s="30" t="str">
        <f aca="true">IF($D64="","",IF($AI64,MIN(OFFSET(hdr_FcStart,$AF64+1,0,$AH64,1)),IF(N($P64)&gt;0,$P64,IF($E64="Manual",IF(N($M64)&gt;0,$M64,ProjectStart),WORKDAY.INTL(MAX(ProjectStart,N($M64),$AM64,$AN64,IF(RescheduleAfterStatus="Yes",StatusDate,0))-1,1,WorkWeek,Holidays)))))</f>
        <v/>
      </c>
      <c r="S64" s="30" t="str">
        <f aca="true">IF($D64="","",IF($AI64,MAX(OFFSET(hdr_FcFinish,$AF64+1,0,$AH64,1)),IF(N($Q64)&gt;0,$Q64,IF(N($F64)&lt;=0,$R64,IF(AND(N($P64)&gt;0,RescheduleAfterStatus="Yes"),MAX(WORKDAY.INTL($R64,$F64-1,WorkWeek,Holidays),WORKDAY.INTL(StatusWorkday,MAX(0,ROUNDUP($F64*(1-MIN(1,N($U64))),0)-1),WorkWeek,Holidays)),WORKDAY.INTL($R64,$F64-1,WorkWeek,Holidays))))))</f>
        <v/>
      </c>
      <c r="T64" s="38" t="str">
        <f aca="false">IF($D64="","",IF($S64&gt;=$O64,NETWORKDAYS.INTL($O64,$S64,WorkWeek,Holidays)-1,1-NETWORKDAYS.INTL($S64,$O64,WorkWeek,Holidays)))</f>
        <v/>
      </c>
      <c r="U64" s="32"/>
      <c r="V64" s="42" t="str">
        <f aca="true">IF($D64="","",IF($AI64,IFERROR(SUM(OFFSET(hdr_WtDone,$AF64+1,0,$AH64,1))/SUM(OFFSET(hdr_WtDur,$AF64+1,0,$AH64,1)),0),IF(N($Q64)&gt;0,1,MIN(1,N($U64)))))</f>
        <v/>
      </c>
      <c r="W64" s="39" t="str">
        <f aca="false">IF($D64="","",IF($V64&gt;=1,"Complete",IF(OR(N($P64)&gt;0,$V64&gt;0),IF($T64&gt;0,"Behind","In Progress"),IF($N64&lt;StatusDate,"Late Start","Not Started"))))</f>
        <v/>
      </c>
      <c r="X64" s="41"/>
      <c r="Y64" s="32"/>
      <c r="Z64" s="43" t="str">
        <f aca="true">IF($D64="","",IF($AI64,SUMPRODUCT(OFFSET(hdr_Work,$AF64+1,0,$AH64,1),OFFSET(hdr_IsLeaf,$AF64+1,0,$AH64,1)),IF($X64="",0,N($F64)*HoursPerDay*IF($Y64="",DefaultUnits,$Y64))))</f>
        <v/>
      </c>
      <c r="AA64" s="44" t="str">
        <f aca="true">IF($D64="","",IF($AI64,SUMPRODUCT(OFFSET(hdr_Cost,$AF64+1,0,$AH64,1),OFFSET(hdr_IsLeaf,$AF64+1,0,$AH64,1)),$Z64*IFERROR(INDEX(res_Rate,MATCH($X64,res_Name,0)),0)))</f>
        <v/>
      </c>
      <c r="AB64" s="38" t="str">
        <f aca="false">IF(OR($D64="",$AI64),"",IF(OR($R64&lt;Sprint1Start,$R64&gt;SprintLastEnd),"Backlog",INDEX(spr_Name,MATCH($R64,spr_Start,1))))</f>
        <v/>
      </c>
      <c r="AC64" s="45" t="str">
        <f aca="false">IF($D64="","",$AT64&amp;IF(AND($AT64&lt;&gt;"",$AU64&lt;&gt;""),",","")&amp;$AU64)</f>
        <v/>
      </c>
      <c r="AD64" s="41"/>
      <c r="AE64" s="46" t="str">
        <f aca="false">IF($D64="","",MAX(1,N($C64)))</f>
        <v/>
      </c>
      <c r="AF64" s="46" t="n">
        <f aca="false">ROW()-ROW(hdr_ID)</f>
        <v>59</v>
      </c>
      <c r="AG64" s="46" t="n">
        <f aca="false">IF(OR($D64="",$AE64&lt;=1),0,IFERROR(LOOKUP(2,1/($AE$5:$AE63=$AE64-1),ROW($AE$5:$AE63)),0))</f>
        <v>0</v>
      </c>
      <c r="AH64" s="46" t="n">
        <f aca="false">IF($D64="",0,COUNTIF(tsk_WBS,$B64&amp;".*"))</f>
        <v>0</v>
      </c>
      <c r="AI64" s="47" t="b">
        <f aca="false">$AH64&gt;0</f>
        <v>0</v>
      </c>
      <c r="AJ64" s="46" t="n">
        <f aca="false">IF(AND($D64&lt;&gt;"",NOT($AI64)),1,0)</f>
        <v>0</v>
      </c>
      <c r="AK64" s="48" t="n">
        <f aca="true">IF(OR(N($G64)=0,$AI64,$D64=""),0,IFERROR(CHOOSE(MATCH(IF($H64="","FS",$H64),{"FS","SS","FF","SF"},0),WORKDAY.INTL(OFFSET(hdr_PlanFinish,MATCH($G64,tsk_ID,0),0),IF(N($F64)=0,0,1)+N($I64),WorkWeek,Holidays),WORKDAY.INTL(OFFSET(hdr_PlanStart,MATCH($G64,tsk_ID,0),0),N($I64),WorkWeek,Holidays),WORKDAY.INTL(WORKDAY.INTL(OFFSET(hdr_PlanFinish,MATCH($G64,tsk_ID,0),0),N($I64),WorkWeek,Holidays),-MAX(0,N($F64)-1),WorkWeek,Holidays),WORKDAY.INTL(WORKDAY.INTL(OFFSET(hdr_PlanStart,MATCH($G64,tsk_ID,0),0),N($I64),WorkWeek,Holidays),-MAX(0,N($F64)-1),WorkWeek,Holidays)),0))</f>
        <v>0</v>
      </c>
      <c r="AL64" s="48" t="n">
        <f aca="true">IF(OR(N($J64)=0,$AI64,$D64=""),0,IFERROR(CHOOSE(MATCH(IF($K64="","FS",$K64),{"FS","SS","FF","SF"},0),WORKDAY.INTL(OFFSET(hdr_PlanFinish,MATCH($J64,tsk_ID,0),0),IF(N($F64)=0,0,1)+N($L64),WorkWeek,Holidays),WORKDAY.INTL(OFFSET(hdr_PlanStart,MATCH($J64,tsk_ID,0),0),N($L64),WorkWeek,Holidays),WORKDAY.INTL(WORKDAY.INTL(OFFSET(hdr_PlanFinish,MATCH($J64,tsk_ID,0),0),N($L64),WorkWeek,Holidays),-MAX(0,N($F64)-1),WorkWeek,Holidays),WORKDAY.INTL(WORKDAY.INTL(OFFSET(hdr_PlanStart,MATCH($J64,tsk_ID,0),0),N($L64),WorkWeek,Holidays),-MAX(0,N($F64)-1),WorkWeek,Holidays)),0))</f>
        <v>0</v>
      </c>
      <c r="AM64" s="48" t="n">
        <f aca="true">IF(OR(N($G64)=0,$AI64,$D64=""),0,IFERROR(CHOOSE(MATCH(IF($H64="","FS",$H64),{"FS","SS","FF","SF"},0),WORKDAY.INTL(OFFSET(hdr_FcFinish,MATCH($G64,tsk_ID,0),0),IF(N($F64)=0,0,1)+N($I64),WorkWeek,Holidays),WORKDAY.INTL(OFFSET(hdr_FcStart,MATCH($G64,tsk_ID,0),0),N($I64),WorkWeek,Holidays),WORKDAY.INTL(WORKDAY.INTL(OFFSET(hdr_FcFinish,MATCH($G64,tsk_ID,0),0),N($I64),WorkWeek,Holidays),-MAX(0,N($F64)-1),WorkWeek,Holidays),WORKDAY.INTL(WORKDAY.INTL(OFFSET(hdr_FcStart,MATCH($G64,tsk_ID,0),0),N($I64),WorkWeek,Holidays),-MAX(0,N($F64)-1),WorkWeek,Holidays)),0))</f>
        <v>0</v>
      </c>
      <c r="AN64" s="48" t="n">
        <f aca="true">IF(OR(N($J64)=0,$AI64,$D64=""),0,IFERROR(CHOOSE(MATCH(IF($K64="","FS",$K64),{"FS","SS","FF","SF"},0),WORKDAY.INTL(OFFSET(hdr_FcFinish,MATCH($J64,tsk_ID,0),0),IF(N($F64)=0,0,1)+N($L64),WorkWeek,Holidays),WORKDAY.INTL(OFFSET(hdr_FcStart,MATCH($J64,tsk_ID,0),0),N($L64),WorkWeek,Holidays),WORKDAY.INTL(WORKDAY.INTL(OFFSET(hdr_FcFinish,MATCH($J64,tsk_ID,0),0),N($L64),WorkWeek,Holidays),-MAX(0,N($F64)-1),WorkWeek,Holidays),WORKDAY.INTL(WORKDAY.INTL(OFFSET(hdr_FcStart,MATCH($J64,tsk_ID,0),0),N($L64),WorkWeek,Holidays),-MAX(0,N($F64)-1),WorkWeek,Holidays)),0))</f>
        <v>0</v>
      </c>
      <c r="AO64" s="48" t="n">
        <f aca="false">IF($AJ64=1,$R64,0)</f>
        <v>0</v>
      </c>
      <c r="AP64" s="48" t="n">
        <f aca="false">IF($AJ64=1,$S64,0)</f>
        <v>0</v>
      </c>
      <c r="AQ64" s="49" t="n">
        <f aca="false">IF(AND($AJ64=1,N($Z64)&gt;0),$Z64/($AP64-$AO64+1),0)</f>
        <v>0</v>
      </c>
      <c r="AR64" s="46" t="n">
        <f aca="false">IF($AJ64=1,MAX(N($F64),0.1),0)</f>
        <v>0</v>
      </c>
      <c r="AS64" s="46" t="n">
        <f aca="false">IF($AJ64=1,$AR64*$V64,0)</f>
        <v>0</v>
      </c>
      <c r="AT64" s="46" t="str">
        <f aca="false">IF(N($G64)=0,"",$G64&amp;IF(AND(IF($H64="","FS",$H64)="FS",N($I64)=0),"",IF($H64="","FS",$H64)&amp;IF(N($I64)=0,"",IF(N($I64)&gt;0,"+","")&amp;N($I64)&amp;"d")))</f>
        <v/>
      </c>
      <c r="AU64" s="46" t="str">
        <f aca="false">IF(N($J64)=0,"",$J64&amp;IF(AND(IF($K64="","FS",$K64)="FS",N($L64)=0),"",IF($K64="","FS",$K64)&amp;IF(N($L64)=0,"",IF(N($L64)&gt;0,"+","")&amp;N($L64)&amp;"d")))</f>
        <v/>
      </c>
      <c r="AV64" s="46" t="str">
        <f aca="false">IF(AND($AJ64=1,N($F64)=0,$V64&lt;1),$S64+$AF64/100000,"")</f>
        <v/>
      </c>
    </row>
    <row r="65" customFormat="false" ht="15" hidden="false" customHeight="false" outlineLevel="0" collapsed="false">
      <c r="A65" s="38" t="str">
        <f aca="false">IF($D65="","",COUNTA($D$6:$D65))</f>
        <v/>
      </c>
      <c r="B65" s="39" t="str">
        <f aca="true">IF($D65="","",IF($AE65=1,COUNTIF($AE$6:$AE65,1)&amp;"",IF($AG65=0,"?",OFFSET(hdr_WBS,$AG65-ROW(hdr_WBS),0)&amp;"."&amp;COUNTIF(INDEX($AE:$AE,$AG65+1):$AE65,$AE65))))</f>
        <v/>
      </c>
      <c r="C65" s="40"/>
      <c r="D65" s="41"/>
      <c r="E65" s="40"/>
      <c r="F65" s="40"/>
      <c r="G65" s="40"/>
      <c r="H65" s="40"/>
      <c r="I65" s="40"/>
      <c r="J65" s="40"/>
      <c r="K65" s="40"/>
      <c r="L65" s="40"/>
      <c r="M65" s="29"/>
      <c r="N65" s="30" t="str">
        <f aca="true">IF($D65="","",IF($AI65,MIN(OFFSET(hdr_PlanStart,$AF65+1,0,$AH65,1)),IF($E65="Manual",IF(N($M65)&gt;0,$M65,ProjectStart),WORKDAY.INTL(MAX(ProjectStart,N($M65),$AK65,$AL65)-1,1,WorkWeek,Holidays))))</f>
        <v/>
      </c>
      <c r="O65" s="30" t="str">
        <f aca="true">IF($D65="","",IF($AI65,MAX(OFFSET(hdr_PlanFinish,$AF65+1,0,$AH65,1)),IF(N($F65)&lt;=0,$N65,WORKDAY.INTL($N65,$F65-1,WorkWeek,Holidays))))</f>
        <v/>
      </c>
      <c r="P65" s="29"/>
      <c r="Q65" s="29"/>
      <c r="R65" s="30" t="str">
        <f aca="true">IF($D65="","",IF($AI65,MIN(OFFSET(hdr_FcStart,$AF65+1,0,$AH65,1)),IF(N($P65)&gt;0,$P65,IF($E65="Manual",IF(N($M65)&gt;0,$M65,ProjectStart),WORKDAY.INTL(MAX(ProjectStart,N($M65),$AM65,$AN65,IF(RescheduleAfterStatus="Yes",StatusDate,0))-1,1,WorkWeek,Holidays)))))</f>
        <v/>
      </c>
      <c r="S65" s="30" t="str">
        <f aca="true">IF($D65="","",IF($AI65,MAX(OFFSET(hdr_FcFinish,$AF65+1,0,$AH65,1)),IF(N($Q65)&gt;0,$Q65,IF(N($F65)&lt;=0,$R65,IF(AND(N($P65)&gt;0,RescheduleAfterStatus="Yes"),MAX(WORKDAY.INTL($R65,$F65-1,WorkWeek,Holidays),WORKDAY.INTL(StatusWorkday,MAX(0,ROUNDUP($F65*(1-MIN(1,N($U65))),0)-1),WorkWeek,Holidays)),WORKDAY.INTL($R65,$F65-1,WorkWeek,Holidays))))))</f>
        <v/>
      </c>
      <c r="T65" s="38" t="str">
        <f aca="false">IF($D65="","",IF($S65&gt;=$O65,NETWORKDAYS.INTL($O65,$S65,WorkWeek,Holidays)-1,1-NETWORKDAYS.INTL($S65,$O65,WorkWeek,Holidays)))</f>
        <v/>
      </c>
      <c r="U65" s="32"/>
      <c r="V65" s="42" t="str">
        <f aca="true">IF($D65="","",IF($AI65,IFERROR(SUM(OFFSET(hdr_WtDone,$AF65+1,0,$AH65,1))/SUM(OFFSET(hdr_WtDur,$AF65+1,0,$AH65,1)),0),IF(N($Q65)&gt;0,1,MIN(1,N($U65)))))</f>
        <v/>
      </c>
      <c r="W65" s="39" t="str">
        <f aca="false">IF($D65="","",IF($V65&gt;=1,"Complete",IF(OR(N($P65)&gt;0,$V65&gt;0),IF($T65&gt;0,"Behind","In Progress"),IF($N65&lt;StatusDate,"Late Start","Not Started"))))</f>
        <v/>
      </c>
      <c r="X65" s="41"/>
      <c r="Y65" s="32"/>
      <c r="Z65" s="43" t="str">
        <f aca="true">IF($D65="","",IF($AI65,SUMPRODUCT(OFFSET(hdr_Work,$AF65+1,0,$AH65,1),OFFSET(hdr_IsLeaf,$AF65+1,0,$AH65,1)),IF($X65="",0,N($F65)*HoursPerDay*IF($Y65="",DefaultUnits,$Y65))))</f>
        <v/>
      </c>
      <c r="AA65" s="44" t="str">
        <f aca="true">IF($D65="","",IF($AI65,SUMPRODUCT(OFFSET(hdr_Cost,$AF65+1,0,$AH65,1),OFFSET(hdr_IsLeaf,$AF65+1,0,$AH65,1)),$Z65*IFERROR(INDEX(res_Rate,MATCH($X65,res_Name,0)),0)))</f>
        <v/>
      </c>
      <c r="AB65" s="38" t="str">
        <f aca="false">IF(OR($D65="",$AI65),"",IF(OR($R65&lt;Sprint1Start,$R65&gt;SprintLastEnd),"Backlog",INDEX(spr_Name,MATCH($R65,spr_Start,1))))</f>
        <v/>
      </c>
      <c r="AC65" s="45" t="str">
        <f aca="false">IF($D65="","",$AT65&amp;IF(AND($AT65&lt;&gt;"",$AU65&lt;&gt;""),",","")&amp;$AU65)</f>
        <v/>
      </c>
      <c r="AD65" s="41"/>
      <c r="AE65" s="46" t="str">
        <f aca="false">IF($D65="","",MAX(1,N($C65)))</f>
        <v/>
      </c>
      <c r="AF65" s="46" t="n">
        <f aca="false">ROW()-ROW(hdr_ID)</f>
        <v>60</v>
      </c>
      <c r="AG65" s="46" t="n">
        <f aca="false">IF(OR($D65="",$AE65&lt;=1),0,IFERROR(LOOKUP(2,1/($AE$5:$AE64=$AE65-1),ROW($AE$5:$AE64)),0))</f>
        <v>0</v>
      </c>
      <c r="AH65" s="46" t="n">
        <f aca="false">IF($D65="",0,COUNTIF(tsk_WBS,$B65&amp;".*"))</f>
        <v>0</v>
      </c>
      <c r="AI65" s="47" t="b">
        <f aca="false">$AH65&gt;0</f>
        <v>0</v>
      </c>
      <c r="AJ65" s="46" t="n">
        <f aca="false">IF(AND($D65&lt;&gt;"",NOT($AI65)),1,0)</f>
        <v>0</v>
      </c>
      <c r="AK65" s="48" t="n">
        <f aca="true">IF(OR(N($G65)=0,$AI65,$D65=""),0,IFERROR(CHOOSE(MATCH(IF($H65="","FS",$H65),{"FS","SS","FF","SF"},0),WORKDAY.INTL(OFFSET(hdr_PlanFinish,MATCH($G65,tsk_ID,0),0),IF(N($F65)=0,0,1)+N($I65),WorkWeek,Holidays),WORKDAY.INTL(OFFSET(hdr_PlanStart,MATCH($G65,tsk_ID,0),0),N($I65),WorkWeek,Holidays),WORKDAY.INTL(WORKDAY.INTL(OFFSET(hdr_PlanFinish,MATCH($G65,tsk_ID,0),0),N($I65),WorkWeek,Holidays),-MAX(0,N($F65)-1),WorkWeek,Holidays),WORKDAY.INTL(WORKDAY.INTL(OFFSET(hdr_PlanStart,MATCH($G65,tsk_ID,0),0),N($I65),WorkWeek,Holidays),-MAX(0,N($F65)-1),WorkWeek,Holidays)),0))</f>
        <v>0</v>
      </c>
      <c r="AL65" s="48" t="n">
        <f aca="true">IF(OR(N($J65)=0,$AI65,$D65=""),0,IFERROR(CHOOSE(MATCH(IF($K65="","FS",$K65),{"FS","SS","FF","SF"},0),WORKDAY.INTL(OFFSET(hdr_PlanFinish,MATCH($J65,tsk_ID,0),0),IF(N($F65)=0,0,1)+N($L65),WorkWeek,Holidays),WORKDAY.INTL(OFFSET(hdr_PlanStart,MATCH($J65,tsk_ID,0),0),N($L65),WorkWeek,Holidays),WORKDAY.INTL(WORKDAY.INTL(OFFSET(hdr_PlanFinish,MATCH($J65,tsk_ID,0),0),N($L65),WorkWeek,Holidays),-MAX(0,N($F65)-1),WorkWeek,Holidays),WORKDAY.INTL(WORKDAY.INTL(OFFSET(hdr_PlanStart,MATCH($J65,tsk_ID,0),0),N($L65),WorkWeek,Holidays),-MAX(0,N($F65)-1),WorkWeek,Holidays)),0))</f>
        <v>0</v>
      </c>
      <c r="AM65" s="48" t="n">
        <f aca="true">IF(OR(N($G65)=0,$AI65,$D65=""),0,IFERROR(CHOOSE(MATCH(IF($H65="","FS",$H65),{"FS","SS","FF","SF"},0),WORKDAY.INTL(OFFSET(hdr_FcFinish,MATCH($G65,tsk_ID,0),0),IF(N($F65)=0,0,1)+N($I65),WorkWeek,Holidays),WORKDAY.INTL(OFFSET(hdr_FcStart,MATCH($G65,tsk_ID,0),0),N($I65),WorkWeek,Holidays),WORKDAY.INTL(WORKDAY.INTL(OFFSET(hdr_FcFinish,MATCH($G65,tsk_ID,0),0),N($I65),WorkWeek,Holidays),-MAX(0,N($F65)-1),WorkWeek,Holidays),WORKDAY.INTL(WORKDAY.INTL(OFFSET(hdr_FcStart,MATCH($G65,tsk_ID,0),0),N($I65),WorkWeek,Holidays),-MAX(0,N($F65)-1),WorkWeek,Holidays)),0))</f>
        <v>0</v>
      </c>
      <c r="AN65" s="48" t="n">
        <f aca="true">IF(OR(N($J65)=0,$AI65,$D65=""),0,IFERROR(CHOOSE(MATCH(IF($K65="","FS",$K65),{"FS","SS","FF","SF"},0),WORKDAY.INTL(OFFSET(hdr_FcFinish,MATCH($J65,tsk_ID,0),0),IF(N($F65)=0,0,1)+N($L65),WorkWeek,Holidays),WORKDAY.INTL(OFFSET(hdr_FcStart,MATCH($J65,tsk_ID,0),0),N($L65),WorkWeek,Holidays),WORKDAY.INTL(WORKDAY.INTL(OFFSET(hdr_FcFinish,MATCH($J65,tsk_ID,0),0),N($L65),WorkWeek,Holidays),-MAX(0,N($F65)-1),WorkWeek,Holidays),WORKDAY.INTL(WORKDAY.INTL(OFFSET(hdr_FcStart,MATCH($J65,tsk_ID,0),0),N($L65),WorkWeek,Holidays),-MAX(0,N($F65)-1),WorkWeek,Holidays)),0))</f>
        <v>0</v>
      </c>
      <c r="AO65" s="48" t="n">
        <f aca="false">IF($AJ65=1,$R65,0)</f>
        <v>0</v>
      </c>
      <c r="AP65" s="48" t="n">
        <f aca="false">IF($AJ65=1,$S65,0)</f>
        <v>0</v>
      </c>
      <c r="AQ65" s="49" t="n">
        <f aca="false">IF(AND($AJ65=1,N($Z65)&gt;0),$Z65/($AP65-$AO65+1),0)</f>
        <v>0</v>
      </c>
      <c r="AR65" s="46" t="n">
        <f aca="false">IF($AJ65=1,MAX(N($F65),0.1),0)</f>
        <v>0</v>
      </c>
      <c r="AS65" s="46" t="n">
        <f aca="false">IF($AJ65=1,$AR65*$V65,0)</f>
        <v>0</v>
      </c>
      <c r="AT65" s="46" t="str">
        <f aca="false">IF(N($G65)=0,"",$G65&amp;IF(AND(IF($H65="","FS",$H65)="FS",N($I65)=0),"",IF($H65="","FS",$H65)&amp;IF(N($I65)=0,"",IF(N($I65)&gt;0,"+","")&amp;N($I65)&amp;"d")))</f>
        <v/>
      </c>
      <c r="AU65" s="46" t="str">
        <f aca="false">IF(N($J65)=0,"",$J65&amp;IF(AND(IF($K65="","FS",$K65)="FS",N($L65)=0),"",IF($K65="","FS",$K65)&amp;IF(N($L65)=0,"",IF(N($L65)&gt;0,"+","")&amp;N($L65)&amp;"d")))</f>
        <v/>
      </c>
      <c r="AV65" s="46" t="str">
        <f aca="false">IF(AND($AJ65=1,N($F65)=0,$V65&lt;1),$S65+$AF65/100000,"")</f>
        <v/>
      </c>
    </row>
    <row r="66" customFormat="false" ht="15" hidden="false" customHeight="false" outlineLevel="0" collapsed="false">
      <c r="A66" s="38" t="str">
        <f aca="false">IF($D66="","",COUNTA($D$6:$D66))</f>
        <v/>
      </c>
      <c r="B66" s="39" t="str">
        <f aca="true">IF($D66="","",IF($AE66=1,COUNTIF($AE$6:$AE66,1)&amp;"",IF($AG66=0,"?",OFFSET(hdr_WBS,$AG66-ROW(hdr_WBS),0)&amp;"."&amp;COUNTIF(INDEX($AE:$AE,$AG66+1):$AE66,$AE66))))</f>
        <v/>
      </c>
      <c r="C66" s="40"/>
      <c r="D66" s="41"/>
      <c r="E66" s="40"/>
      <c r="F66" s="40"/>
      <c r="G66" s="40"/>
      <c r="H66" s="40"/>
      <c r="I66" s="40"/>
      <c r="J66" s="40"/>
      <c r="K66" s="40"/>
      <c r="L66" s="40"/>
      <c r="M66" s="29"/>
      <c r="N66" s="30" t="str">
        <f aca="true">IF($D66="","",IF($AI66,MIN(OFFSET(hdr_PlanStart,$AF66+1,0,$AH66,1)),IF($E66="Manual",IF(N($M66)&gt;0,$M66,ProjectStart),WORKDAY.INTL(MAX(ProjectStart,N($M66),$AK66,$AL66)-1,1,WorkWeek,Holidays))))</f>
        <v/>
      </c>
      <c r="O66" s="30" t="str">
        <f aca="true">IF($D66="","",IF($AI66,MAX(OFFSET(hdr_PlanFinish,$AF66+1,0,$AH66,1)),IF(N($F66)&lt;=0,$N66,WORKDAY.INTL($N66,$F66-1,WorkWeek,Holidays))))</f>
        <v/>
      </c>
      <c r="P66" s="29"/>
      <c r="Q66" s="29"/>
      <c r="R66" s="30" t="str">
        <f aca="true">IF($D66="","",IF($AI66,MIN(OFFSET(hdr_FcStart,$AF66+1,0,$AH66,1)),IF(N($P66)&gt;0,$P66,IF($E66="Manual",IF(N($M66)&gt;0,$M66,ProjectStart),WORKDAY.INTL(MAX(ProjectStart,N($M66),$AM66,$AN66,IF(RescheduleAfterStatus="Yes",StatusDate,0))-1,1,WorkWeek,Holidays)))))</f>
        <v/>
      </c>
      <c r="S66" s="30" t="str">
        <f aca="true">IF($D66="","",IF($AI66,MAX(OFFSET(hdr_FcFinish,$AF66+1,0,$AH66,1)),IF(N($Q66)&gt;0,$Q66,IF(N($F66)&lt;=0,$R66,IF(AND(N($P66)&gt;0,RescheduleAfterStatus="Yes"),MAX(WORKDAY.INTL($R66,$F66-1,WorkWeek,Holidays),WORKDAY.INTL(StatusWorkday,MAX(0,ROUNDUP($F66*(1-MIN(1,N($U66))),0)-1),WorkWeek,Holidays)),WORKDAY.INTL($R66,$F66-1,WorkWeek,Holidays))))))</f>
        <v/>
      </c>
      <c r="T66" s="38" t="str">
        <f aca="false">IF($D66="","",IF($S66&gt;=$O66,NETWORKDAYS.INTL($O66,$S66,WorkWeek,Holidays)-1,1-NETWORKDAYS.INTL($S66,$O66,WorkWeek,Holidays)))</f>
        <v/>
      </c>
      <c r="U66" s="32"/>
      <c r="V66" s="42" t="str">
        <f aca="true">IF($D66="","",IF($AI66,IFERROR(SUM(OFFSET(hdr_WtDone,$AF66+1,0,$AH66,1))/SUM(OFFSET(hdr_WtDur,$AF66+1,0,$AH66,1)),0),IF(N($Q66)&gt;0,1,MIN(1,N($U66)))))</f>
        <v/>
      </c>
      <c r="W66" s="39" t="str">
        <f aca="false">IF($D66="","",IF($V66&gt;=1,"Complete",IF(OR(N($P66)&gt;0,$V66&gt;0),IF($T66&gt;0,"Behind","In Progress"),IF($N66&lt;StatusDate,"Late Start","Not Started"))))</f>
        <v/>
      </c>
      <c r="X66" s="41"/>
      <c r="Y66" s="32"/>
      <c r="Z66" s="43" t="str">
        <f aca="true">IF($D66="","",IF($AI66,SUMPRODUCT(OFFSET(hdr_Work,$AF66+1,0,$AH66,1),OFFSET(hdr_IsLeaf,$AF66+1,0,$AH66,1)),IF($X66="",0,N($F66)*HoursPerDay*IF($Y66="",DefaultUnits,$Y66))))</f>
        <v/>
      </c>
      <c r="AA66" s="44" t="str">
        <f aca="true">IF($D66="","",IF($AI66,SUMPRODUCT(OFFSET(hdr_Cost,$AF66+1,0,$AH66,1),OFFSET(hdr_IsLeaf,$AF66+1,0,$AH66,1)),$Z66*IFERROR(INDEX(res_Rate,MATCH($X66,res_Name,0)),0)))</f>
        <v/>
      </c>
      <c r="AB66" s="38" t="str">
        <f aca="false">IF(OR($D66="",$AI66),"",IF(OR($R66&lt;Sprint1Start,$R66&gt;SprintLastEnd),"Backlog",INDEX(spr_Name,MATCH($R66,spr_Start,1))))</f>
        <v/>
      </c>
      <c r="AC66" s="45" t="str">
        <f aca="false">IF($D66="","",$AT66&amp;IF(AND($AT66&lt;&gt;"",$AU66&lt;&gt;""),",","")&amp;$AU66)</f>
        <v/>
      </c>
      <c r="AD66" s="41"/>
      <c r="AE66" s="46" t="str">
        <f aca="false">IF($D66="","",MAX(1,N($C66)))</f>
        <v/>
      </c>
      <c r="AF66" s="46" t="n">
        <f aca="false">ROW()-ROW(hdr_ID)</f>
        <v>61</v>
      </c>
      <c r="AG66" s="46" t="n">
        <f aca="false">IF(OR($D66="",$AE66&lt;=1),0,IFERROR(LOOKUP(2,1/($AE$5:$AE65=$AE66-1),ROW($AE$5:$AE65)),0))</f>
        <v>0</v>
      </c>
      <c r="AH66" s="46" t="n">
        <f aca="false">IF($D66="",0,COUNTIF(tsk_WBS,$B66&amp;".*"))</f>
        <v>0</v>
      </c>
      <c r="AI66" s="47" t="b">
        <f aca="false">$AH66&gt;0</f>
        <v>0</v>
      </c>
      <c r="AJ66" s="46" t="n">
        <f aca="false">IF(AND($D66&lt;&gt;"",NOT($AI66)),1,0)</f>
        <v>0</v>
      </c>
      <c r="AK66" s="48" t="n">
        <f aca="true">IF(OR(N($G66)=0,$AI66,$D66=""),0,IFERROR(CHOOSE(MATCH(IF($H66="","FS",$H66),{"FS","SS","FF","SF"},0),WORKDAY.INTL(OFFSET(hdr_PlanFinish,MATCH($G66,tsk_ID,0),0),IF(N($F66)=0,0,1)+N($I66),WorkWeek,Holidays),WORKDAY.INTL(OFFSET(hdr_PlanStart,MATCH($G66,tsk_ID,0),0),N($I66),WorkWeek,Holidays),WORKDAY.INTL(WORKDAY.INTL(OFFSET(hdr_PlanFinish,MATCH($G66,tsk_ID,0),0),N($I66),WorkWeek,Holidays),-MAX(0,N($F66)-1),WorkWeek,Holidays),WORKDAY.INTL(WORKDAY.INTL(OFFSET(hdr_PlanStart,MATCH($G66,tsk_ID,0),0),N($I66),WorkWeek,Holidays),-MAX(0,N($F66)-1),WorkWeek,Holidays)),0))</f>
        <v>0</v>
      </c>
      <c r="AL66" s="48" t="n">
        <f aca="true">IF(OR(N($J66)=0,$AI66,$D66=""),0,IFERROR(CHOOSE(MATCH(IF($K66="","FS",$K66),{"FS","SS","FF","SF"},0),WORKDAY.INTL(OFFSET(hdr_PlanFinish,MATCH($J66,tsk_ID,0),0),IF(N($F66)=0,0,1)+N($L66),WorkWeek,Holidays),WORKDAY.INTL(OFFSET(hdr_PlanStart,MATCH($J66,tsk_ID,0),0),N($L66),WorkWeek,Holidays),WORKDAY.INTL(WORKDAY.INTL(OFFSET(hdr_PlanFinish,MATCH($J66,tsk_ID,0),0),N($L66),WorkWeek,Holidays),-MAX(0,N($F66)-1),WorkWeek,Holidays),WORKDAY.INTL(WORKDAY.INTL(OFFSET(hdr_PlanStart,MATCH($J66,tsk_ID,0),0),N($L66),WorkWeek,Holidays),-MAX(0,N($F66)-1),WorkWeek,Holidays)),0))</f>
        <v>0</v>
      </c>
      <c r="AM66" s="48" t="n">
        <f aca="true">IF(OR(N($G66)=0,$AI66,$D66=""),0,IFERROR(CHOOSE(MATCH(IF($H66="","FS",$H66),{"FS","SS","FF","SF"},0),WORKDAY.INTL(OFFSET(hdr_FcFinish,MATCH($G66,tsk_ID,0),0),IF(N($F66)=0,0,1)+N($I66),WorkWeek,Holidays),WORKDAY.INTL(OFFSET(hdr_FcStart,MATCH($G66,tsk_ID,0),0),N($I66),WorkWeek,Holidays),WORKDAY.INTL(WORKDAY.INTL(OFFSET(hdr_FcFinish,MATCH($G66,tsk_ID,0),0),N($I66),WorkWeek,Holidays),-MAX(0,N($F66)-1),WorkWeek,Holidays),WORKDAY.INTL(WORKDAY.INTL(OFFSET(hdr_FcStart,MATCH($G66,tsk_ID,0),0),N($I66),WorkWeek,Holidays),-MAX(0,N($F66)-1),WorkWeek,Holidays)),0))</f>
        <v>0</v>
      </c>
      <c r="AN66" s="48" t="n">
        <f aca="true">IF(OR(N($J66)=0,$AI66,$D66=""),0,IFERROR(CHOOSE(MATCH(IF($K66="","FS",$K66),{"FS","SS","FF","SF"},0),WORKDAY.INTL(OFFSET(hdr_FcFinish,MATCH($J66,tsk_ID,0),0),IF(N($F66)=0,0,1)+N($L66),WorkWeek,Holidays),WORKDAY.INTL(OFFSET(hdr_FcStart,MATCH($J66,tsk_ID,0),0),N($L66),WorkWeek,Holidays),WORKDAY.INTL(WORKDAY.INTL(OFFSET(hdr_FcFinish,MATCH($J66,tsk_ID,0),0),N($L66),WorkWeek,Holidays),-MAX(0,N($F66)-1),WorkWeek,Holidays),WORKDAY.INTL(WORKDAY.INTL(OFFSET(hdr_FcStart,MATCH($J66,tsk_ID,0),0),N($L66),WorkWeek,Holidays),-MAX(0,N($F66)-1),WorkWeek,Holidays)),0))</f>
        <v>0</v>
      </c>
      <c r="AO66" s="48" t="n">
        <f aca="false">IF($AJ66=1,$R66,0)</f>
        <v>0</v>
      </c>
      <c r="AP66" s="48" t="n">
        <f aca="false">IF($AJ66=1,$S66,0)</f>
        <v>0</v>
      </c>
      <c r="AQ66" s="49" t="n">
        <f aca="false">IF(AND($AJ66=1,N($Z66)&gt;0),$Z66/($AP66-$AO66+1),0)</f>
        <v>0</v>
      </c>
      <c r="AR66" s="46" t="n">
        <f aca="false">IF($AJ66=1,MAX(N($F66),0.1),0)</f>
        <v>0</v>
      </c>
      <c r="AS66" s="46" t="n">
        <f aca="false">IF($AJ66=1,$AR66*$V66,0)</f>
        <v>0</v>
      </c>
      <c r="AT66" s="46" t="str">
        <f aca="false">IF(N($G66)=0,"",$G66&amp;IF(AND(IF($H66="","FS",$H66)="FS",N($I66)=0),"",IF($H66="","FS",$H66)&amp;IF(N($I66)=0,"",IF(N($I66)&gt;0,"+","")&amp;N($I66)&amp;"d")))</f>
        <v/>
      </c>
      <c r="AU66" s="46" t="str">
        <f aca="false">IF(N($J66)=0,"",$J66&amp;IF(AND(IF($K66="","FS",$K66)="FS",N($L66)=0),"",IF($K66="","FS",$K66)&amp;IF(N($L66)=0,"",IF(N($L66)&gt;0,"+","")&amp;N($L66)&amp;"d")))</f>
        <v/>
      </c>
      <c r="AV66" s="46" t="str">
        <f aca="false">IF(AND($AJ66=1,N($F66)=0,$V66&lt;1),$S66+$AF66/100000,"")</f>
        <v/>
      </c>
    </row>
    <row r="67" customFormat="false" ht="15" hidden="false" customHeight="false" outlineLevel="0" collapsed="false">
      <c r="A67" s="38" t="str">
        <f aca="false">IF($D67="","",COUNTA($D$6:$D67))</f>
        <v/>
      </c>
      <c r="B67" s="39" t="str">
        <f aca="true">IF($D67="","",IF($AE67=1,COUNTIF($AE$6:$AE67,1)&amp;"",IF($AG67=0,"?",OFFSET(hdr_WBS,$AG67-ROW(hdr_WBS),0)&amp;"."&amp;COUNTIF(INDEX($AE:$AE,$AG67+1):$AE67,$AE67))))</f>
        <v/>
      </c>
      <c r="C67" s="40"/>
      <c r="D67" s="41"/>
      <c r="E67" s="40"/>
      <c r="F67" s="40"/>
      <c r="G67" s="40"/>
      <c r="H67" s="40"/>
      <c r="I67" s="40"/>
      <c r="J67" s="40"/>
      <c r="K67" s="40"/>
      <c r="L67" s="40"/>
      <c r="M67" s="29"/>
      <c r="N67" s="30" t="str">
        <f aca="true">IF($D67="","",IF($AI67,MIN(OFFSET(hdr_PlanStart,$AF67+1,0,$AH67,1)),IF($E67="Manual",IF(N($M67)&gt;0,$M67,ProjectStart),WORKDAY.INTL(MAX(ProjectStart,N($M67),$AK67,$AL67)-1,1,WorkWeek,Holidays))))</f>
        <v/>
      </c>
      <c r="O67" s="30" t="str">
        <f aca="true">IF($D67="","",IF($AI67,MAX(OFFSET(hdr_PlanFinish,$AF67+1,0,$AH67,1)),IF(N($F67)&lt;=0,$N67,WORKDAY.INTL($N67,$F67-1,WorkWeek,Holidays))))</f>
        <v/>
      </c>
      <c r="P67" s="29"/>
      <c r="Q67" s="29"/>
      <c r="R67" s="30" t="str">
        <f aca="true">IF($D67="","",IF($AI67,MIN(OFFSET(hdr_FcStart,$AF67+1,0,$AH67,1)),IF(N($P67)&gt;0,$P67,IF($E67="Manual",IF(N($M67)&gt;0,$M67,ProjectStart),WORKDAY.INTL(MAX(ProjectStart,N($M67),$AM67,$AN67,IF(RescheduleAfterStatus="Yes",StatusDate,0))-1,1,WorkWeek,Holidays)))))</f>
        <v/>
      </c>
      <c r="S67" s="30" t="str">
        <f aca="true">IF($D67="","",IF($AI67,MAX(OFFSET(hdr_FcFinish,$AF67+1,0,$AH67,1)),IF(N($Q67)&gt;0,$Q67,IF(N($F67)&lt;=0,$R67,IF(AND(N($P67)&gt;0,RescheduleAfterStatus="Yes"),MAX(WORKDAY.INTL($R67,$F67-1,WorkWeek,Holidays),WORKDAY.INTL(StatusWorkday,MAX(0,ROUNDUP($F67*(1-MIN(1,N($U67))),0)-1),WorkWeek,Holidays)),WORKDAY.INTL($R67,$F67-1,WorkWeek,Holidays))))))</f>
        <v/>
      </c>
      <c r="T67" s="38" t="str">
        <f aca="false">IF($D67="","",IF($S67&gt;=$O67,NETWORKDAYS.INTL($O67,$S67,WorkWeek,Holidays)-1,1-NETWORKDAYS.INTL($S67,$O67,WorkWeek,Holidays)))</f>
        <v/>
      </c>
      <c r="U67" s="32"/>
      <c r="V67" s="42" t="str">
        <f aca="true">IF($D67="","",IF($AI67,IFERROR(SUM(OFFSET(hdr_WtDone,$AF67+1,0,$AH67,1))/SUM(OFFSET(hdr_WtDur,$AF67+1,0,$AH67,1)),0),IF(N($Q67)&gt;0,1,MIN(1,N($U67)))))</f>
        <v/>
      </c>
      <c r="W67" s="39" t="str">
        <f aca="false">IF($D67="","",IF($V67&gt;=1,"Complete",IF(OR(N($P67)&gt;0,$V67&gt;0),IF($T67&gt;0,"Behind","In Progress"),IF($N67&lt;StatusDate,"Late Start","Not Started"))))</f>
        <v/>
      </c>
      <c r="X67" s="41"/>
      <c r="Y67" s="32"/>
      <c r="Z67" s="43" t="str">
        <f aca="true">IF($D67="","",IF($AI67,SUMPRODUCT(OFFSET(hdr_Work,$AF67+1,0,$AH67,1),OFFSET(hdr_IsLeaf,$AF67+1,0,$AH67,1)),IF($X67="",0,N($F67)*HoursPerDay*IF($Y67="",DefaultUnits,$Y67))))</f>
        <v/>
      </c>
      <c r="AA67" s="44" t="str">
        <f aca="true">IF($D67="","",IF($AI67,SUMPRODUCT(OFFSET(hdr_Cost,$AF67+1,0,$AH67,1),OFFSET(hdr_IsLeaf,$AF67+1,0,$AH67,1)),$Z67*IFERROR(INDEX(res_Rate,MATCH($X67,res_Name,0)),0)))</f>
        <v/>
      </c>
      <c r="AB67" s="38" t="str">
        <f aca="false">IF(OR($D67="",$AI67),"",IF(OR($R67&lt;Sprint1Start,$R67&gt;SprintLastEnd),"Backlog",INDEX(spr_Name,MATCH($R67,spr_Start,1))))</f>
        <v/>
      </c>
      <c r="AC67" s="45" t="str">
        <f aca="false">IF($D67="","",$AT67&amp;IF(AND($AT67&lt;&gt;"",$AU67&lt;&gt;""),",","")&amp;$AU67)</f>
        <v/>
      </c>
      <c r="AD67" s="41"/>
      <c r="AE67" s="46" t="str">
        <f aca="false">IF($D67="","",MAX(1,N($C67)))</f>
        <v/>
      </c>
      <c r="AF67" s="46" t="n">
        <f aca="false">ROW()-ROW(hdr_ID)</f>
        <v>62</v>
      </c>
      <c r="AG67" s="46" t="n">
        <f aca="false">IF(OR($D67="",$AE67&lt;=1),0,IFERROR(LOOKUP(2,1/($AE$5:$AE66=$AE67-1),ROW($AE$5:$AE66)),0))</f>
        <v>0</v>
      </c>
      <c r="AH67" s="46" t="n">
        <f aca="false">IF($D67="",0,COUNTIF(tsk_WBS,$B67&amp;".*"))</f>
        <v>0</v>
      </c>
      <c r="AI67" s="47" t="b">
        <f aca="false">$AH67&gt;0</f>
        <v>0</v>
      </c>
      <c r="AJ67" s="46" t="n">
        <f aca="false">IF(AND($D67&lt;&gt;"",NOT($AI67)),1,0)</f>
        <v>0</v>
      </c>
      <c r="AK67" s="48" t="n">
        <f aca="true">IF(OR(N($G67)=0,$AI67,$D67=""),0,IFERROR(CHOOSE(MATCH(IF($H67="","FS",$H67),{"FS","SS","FF","SF"},0),WORKDAY.INTL(OFFSET(hdr_PlanFinish,MATCH($G67,tsk_ID,0),0),IF(N($F67)=0,0,1)+N($I67),WorkWeek,Holidays),WORKDAY.INTL(OFFSET(hdr_PlanStart,MATCH($G67,tsk_ID,0),0),N($I67),WorkWeek,Holidays),WORKDAY.INTL(WORKDAY.INTL(OFFSET(hdr_PlanFinish,MATCH($G67,tsk_ID,0),0),N($I67),WorkWeek,Holidays),-MAX(0,N($F67)-1),WorkWeek,Holidays),WORKDAY.INTL(WORKDAY.INTL(OFFSET(hdr_PlanStart,MATCH($G67,tsk_ID,0),0),N($I67),WorkWeek,Holidays),-MAX(0,N($F67)-1),WorkWeek,Holidays)),0))</f>
        <v>0</v>
      </c>
      <c r="AL67" s="48" t="n">
        <f aca="true">IF(OR(N($J67)=0,$AI67,$D67=""),0,IFERROR(CHOOSE(MATCH(IF($K67="","FS",$K67),{"FS","SS","FF","SF"},0),WORKDAY.INTL(OFFSET(hdr_PlanFinish,MATCH($J67,tsk_ID,0),0),IF(N($F67)=0,0,1)+N($L67),WorkWeek,Holidays),WORKDAY.INTL(OFFSET(hdr_PlanStart,MATCH($J67,tsk_ID,0),0),N($L67),WorkWeek,Holidays),WORKDAY.INTL(WORKDAY.INTL(OFFSET(hdr_PlanFinish,MATCH($J67,tsk_ID,0),0),N($L67),WorkWeek,Holidays),-MAX(0,N($F67)-1),WorkWeek,Holidays),WORKDAY.INTL(WORKDAY.INTL(OFFSET(hdr_PlanStart,MATCH($J67,tsk_ID,0),0),N($L67),WorkWeek,Holidays),-MAX(0,N($F67)-1),WorkWeek,Holidays)),0))</f>
        <v>0</v>
      </c>
      <c r="AM67" s="48" t="n">
        <f aca="true">IF(OR(N($G67)=0,$AI67,$D67=""),0,IFERROR(CHOOSE(MATCH(IF($H67="","FS",$H67),{"FS","SS","FF","SF"},0),WORKDAY.INTL(OFFSET(hdr_FcFinish,MATCH($G67,tsk_ID,0),0),IF(N($F67)=0,0,1)+N($I67),WorkWeek,Holidays),WORKDAY.INTL(OFFSET(hdr_FcStart,MATCH($G67,tsk_ID,0),0),N($I67),WorkWeek,Holidays),WORKDAY.INTL(WORKDAY.INTL(OFFSET(hdr_FcFinish,MATCH($G67,tsk_ID,0),0),N($I67),WorkWeek,Holidays),-MAX(0,N($F67)-1),WorkWeek,Holidays),WORKDAY.INTL(WORKDAY.INTL(OFFSET(hdr_FcStart,MATCH($G67,tsk_ID,0),0),N($I67),WorkWeek,Holidays),-MAX(0,N($F67)-1),WorkWeek,Holidays)),0))</f>
        <v>0</v>
      </c>
      <c r="AN67" s="48" t="n">
        <f aca="true">IF(OR(N($J67)=0,$AI67,$D67=""),0,IFERROR(CHOOSE(MATCH(IF($K67="","FS",$K67),{"FS","SS","FF","SF"},0),WORKDAY.INTL(OFFSET(hdr_FcFinish,MATCH($J67,tsk_ID,0),0),IF(N($F67)=0,0,1)+N($L67),WorkWeek,Holidays),WORKDAY.INTL(OFFSET(hdr_FcStart,MATCH($J67,tsk_ID,0),0),N($L67),WorkWeek,Holidays),WORKDAY.INTL(WORKDAY.INTL(OFFSET(hdr_FcFinish,MATCH($J67,tsk_ID,0),0),N($L67),WorkWeek,Holidays),-MAX(0,N($F67)-1),WorkWeek,Holidays),WORKDAY.INTL(WORKDAY.INTL(OFFSET(hdr_FcStart,MATCH($J67,tsk_ID,0),0),N($L67),WorkWeek,Holidays),-MAX(0,N($F67)-1),WorkWeek,Holidays)),0))</f>
        <v>0</v>
      </c>
      <c r="AO67" s="48" t="n">
        <f aca="false">IF($AJ67=1,$R67,0)</f>
        <v>0</v>
      </c>
      <c r="AP67" s="48" t="n">
        <f aca="false">IF($AJ67=1,$S67,0)</f>
        <v>0</v>
      </c>
      <c r="AQ67" s="49" t="n">
        <f aca="false">IF(AND($AJ67=1,N($Z67)&gt;0),$Z67/($AP67-$AO67+1),0)</f>
        <v>0</v>
      </c>
      <c r="AR67" s="46" t="n">
        <f aca="false">IF($AJ67=1,MAX(N($F67),0.1),0)</f>
        <v>0</v>
      </c>
      <c r="AS67" s="46" t="n">
        <f aca="false">IF($AJ67=1,$AR67*$V67,0)</f>
        <v>0</v>
      </c>
      <c r="AT67" s="46" t="str">
        <f aca="false">IF(N($G67)=0,"",$G67&amp;IF(AND(IF($H67="","FS",$H67)="FS",N($I67)=0),"",IF($H67="","FS",$H67)&amp;IF(N($I67)=0,"",IF(N($I67)&gt;0,"+","")&amp;N($I67)&amp;"d")))</f>
        <v/>
      </c>
      <c r="AU67" s="46" t="str">
        <f aca="false">IF(N($J67)=0,"",$J67&amp;IF(AND(IF($K67="","FS",$K67)="FS",N($L67)=0),"",IF($K67="","FS",$K67)&amp;IF(N($L67)=0,"",IF(N($L67)&gt;0,"+","")&amp;N($L67)&amp;"d")))</f>
        <v/>
      </c>
      <c r="AV67" s="46" t="str">
        <f aca="false">IF(AND($AJ67=1,N($F67)=0,$V67&lt;1),$S67+$AF67/100000,"")</f>
        <v/>
      </c>
    </row>
    <row r="68" customFormat="false" ht="15" hidden="false" customHeight="false" outlineLevel="0" collapsed="false">
      <c r="A68" s="38" t="str">
        <f aca="false">IF($D68="","",COUNTA($D$6:$D68))</f>
        <v/>
      </c>
      <c r="B68" s="39" t="str">
        <f aca="true">IF($D68="","",IF($AE68=1,COUNTIF($AE$6:$AE68,1)&amp;"",IF($AG68=0,"?",OFFSET(hdr_WBS,$AG68-ROW(hdr_WBS),0)&amp;"."&amp;COUNTIF(INDEX($AE:$AE,$AG68+1):$AE68,$AE68))))</f>
        <v/>
      </c>
      <c r="C68" s="40"/>
      <c r="D68" s="41"/>
      <c r="E68" s="40"/>
      <c r="F68" s="40"/>
      <c r="G68" s="40"/>
      <c r="H68" s="40"/>
      <c r="I68" s="40"/>
      <c r="J68" s="40"/>
      <c r="K68" s="40"/>
      <c r="L68" s="40"/>
      <c r="M68" s="29"/>
      <c r="N68" s="30" t="str">
        <f aca="true">IF($D68="","",IF($AI68,MIN(OFFSET(hdr_PlanStart,$AF68+1,0,$AH68,1)),IF($E68="Manual",IF(N($M68)&gt;0,$M68,ProjectStart),WORKDAY.INTL(MAX(ProjectStart,N($M68),$AK68,$AL68)-1,1,WorkWeek,Holidays))))</f>
        <v/>
      </c>
      <c r="O68" s="30" t="str">
        <f aca="true">IF($D68="","",IF($AI68,MAX(OFFSET(hdr_PlanFinish,$AF68+1,0,$AH68,1)),IF(N($F68)&lt;=0,$N68,WORKDAY.INTL($N68,$F68-1,WorkWeek,Holidays))))</f>
        <v/>
      </c>
      <c r="P68" s="29"/>
      <c r="Q68" s="29"/>
      <c r="R68" s="30" t="str">
        <f aca="true">IF($D68="","",IF($AI68,MIN(OFFSET(hdr_FcStart,$AF68+1,0,$AH68,1)),IF(N($P68)&gt;0,$P68,IF($E68="Manual",IF(N($M68)&gt;0,$M68,ProjectStart),WORKDAY.INTL(MAX(ProjectStart,N($M68),$AM68,$AN68,IF(RescheduleAfterStatus="Yes",StatusDate,0))-1,1,WorkWeek,Holidays)))))</f>
        <v/>
      </c>
      <c r="S68" s="30" t="str">
        <f aca="true">IF($D68="","",IF($AI68,MAX(OFFSET(hdr_FcFinish,$AF68+1,0,$AH68,1)),IF(N($Q68)&gt;0,$Q68,IF(N($F68)&lt;=0,$R68,IF(AND(N($P68)&gt;0,RescheduleAfterStatus="Yes"),MAX(WORKDAY.INTL($R68,$F68-1,WorkWeek,Holidays),WORKDAY.INTL(StatusWorkday,MAX(0,ROUNDUP($F68*(1-MIN(1,N($U68))),0)-1),WorkWeek,Holidays)),WORKDAY.INTL($R68,$F68-1,WorkWeek,Holidays))))))</f>
        <v/>
      </c>
      <c r="T68" s="38" t="str">
        <f aca="false">IF($D68="","",IF($S68&gt;=$O68,NETWORKDAYS.INTL($O68,$S68,WorkWeek,Holidays)-1,1-NETWORKDAYS.INTL($S68,$O68,WorkWeek,Holidays)))</f>
        <v/>
      </c>
      <c r="U68" s="32"/>
      <c r="V68" s="42" t="str">
        <f aca="true">IF($D68="","",IF($AI68,IFERROR(SUM(OFFSET(hdr_WtDone,$AF68+1,0,$AH68,1))/SUM(OFFSET(hdr_WtDur,$AF68+1,0,$AH68,1)),0),IF(N($Q68)&gt;0,1,MIN(1,N($U68)))))</f>
        <v/>
      </c>
      <c r="W68" s="39" t="str">
        <f aca="false">IF($D68="","",IF($V68&gt;=1,"Complete",IF(OR(N($P68)&gt;0,$V68&gt;0),IF($T68&gt;0,"Behind","In Progress"),IF($N68&lt;StatusDate,"Late Start","Not Started"))))</f>
        <v/>
      </c>
      <c r="X68" s="41"/>
      <c r="Y68" s="32"/>
      <c r="Z68" s="43" t="str">
        <f aca="true">IF($D68="","",IF($AI68,SUMPRODUCT(OFFSET(hdr_Work,$AF68+1,0,$AH68,1),OFFSET(hdr_IsLeaf,$AF68+1,0,$AH68,1)),IF($X68="",0,N($F68)*HoursPerDay*IF($Y68="",DefaultUnits,$Y68))))</f>
        <v/>
      </c>
      <c r="AA68" s="44" t="str">
        <f aca="true">IF($D68="","",IF($AI68,SUMPRODUCT(OFFSET(hdr_Cost,$AF68+1,0,$AH68,1),OFFSET(hdr_IsLeaf,$AF68+1,0,$AH68,1)),$Z68*IFERROR(INDEX(res_Rate,MATCH($X68,res_Name,0)),0)))</f>
        <v/>
      </c>
      <c r="AB68" s="38" t="str">
        <f aca="false">IF(OR($D68="",$AI68),"",IF(OR($R68&lt;Sprint1Start,$R68&gt;SprintLastEnd),"Backlog",INDEX(spr_Name,MATCH($R68,spr_Start,1))))</f>
        <v/>
      </c>
      <c r="AC68" s="45" t="str">
        <f aca="false">IF($D68="","",$AT68&amp;IF(AND($AT68&lt;&gt;"",$AU68&lt;&gt;""),",","")&amp;$AU68)</f>
        <v/>
      </c>
      <c r="AD68" s="41"/>
      <c r="AE68" s="46" t="str">
        <f aca="false">IF($D68="","",MAX(1,N($C68)))</f>
        <v/>
      </c>
      <c r="AF68" s="46" t="n">
        <f aca="false">ROW()-ROW(hdr_ID)</f>
        <v>63</v>
      </c>
      <c r="AG68" s="46" t="n">
        <f aca="false">IF(OR($D68="",$AE68&lt;=1),0,IFERROR(LOOKUP(2,1/($AE$5:$AE67=$AE68-1),ROW($AE$5:$AE67)),0))</f>
        <v>0</v>
      </c>
      <c r="AH68" s="46" t="n">
        <f aca="false">IF($D68="",0,COUNTIF(tsk_WBS,$B68&amp;".*"))</f>
        <v>0</v>
      </c>
      <c r="AI68" s="47" t="b">
        <f aca="false">$AH68&gt;0</f>
        <v>0</v>
      </c>
      <c r="AJ68" s="46" t="n">
        <f aca="false">IF(AND($D68&lt;&gt;"",NOT($AI68)),1,0)</f>
        <v>0</v>
      </c>
      <c r="AK68" s="48" t="n">
        <f aca="true">IF(OR(N($G68)=0,$AI68,$D68=""),0,IFERROR(CHOOSE(MATCH(IF($H68="","FS",$H68),{"FS","SS","FF","SF"},0),WORKDAY.INTL(OFFSET(hdr_PlanFinish,MATCH($G68,tsk_ID,0),0),IF(N($F68)=0,0,1)+N($I68),WorkWeek,Holidays),WORKDAY.INTL(OFFSET(hdr_PlanStart,MATCH($G68,tsk_ID,0),0),N($I68),WorkWeek,Holidays),WORKDAY.INTL(WORKDAY.INTL(OFFSET(hdr_PlanFinish,MATCH($G68,tsk_ID,0),0),N($I68),WorkWeek,Holidays),-MAX(0,N($F68)-1),WorkWeek,Holidays),WORKDAY.INTL(WORKDAY.INTL(OFFSET(hdr_PlanStart,MATCH($G68,tsk_ID,0),0),N($I68),WorkWeek,Holidays),-MAX(0,N($F68)-1),WorkWeek,Holidays)),0))</f>
        <v>0</v>
      </c>
      <c r="AL68" s="48" t="n">
        <f aca="true">IF(OR(N($J68)=0,$AI68,$D68=""),0,IFERROR(CHOOSE(MATCH(IF($K68="","FS",$K68),{"FS","SS","FF","SF"},0),WORKDAY.INTL(OFFSET(hdr_PlanFinish,MATCH($J68,tsk_ID,0),0),IF(N($F68)=0,0,1)+N($L68),WorkWeek,Holidays),WORKDAY.INTL(OFFSET(hdr_PlanStart,MATCH($J68,tsk_ID,0),0),N($L68),WorkWeek,Holidays),WORKDAY.INTL(WORKDAY.INTL(OFFSET(hdr_PlanFinish,MATCH($J68,tsk_ID,0),0),N($L68),WorkWeek,Holidays),-MAX(0,N($F68)-1),WorkWeek,Holidays),WORKDAY.INTL(WORKDAY.INTL(OFFSET(hdr_PlanStart,MATCH($J68,tsk_ID,0),0),N($L68),WorkWeek,Holidays),-MAX(0,N($F68)-1),WorkWeek,Holidays)),0))</f>
        <v>0</v>
      </c>
      <c r="AM68" s="48" t="n">
        <f aca="true">IF(OR(N($G68)=0,$AI68,$D68=""),0,IFERROR(CHOOSE(MATCH(IF($H68="","FS",$H68),{"FS","SS","FF","SF"},0),WORKDAY.INTL(OFFSET(hdr_FcFinish,MATCH($G68,tsk_ID,0),0),IF(N($F68)=0,0,1)+N($I68),WorkWeek,Holidays),WORKDAY.INTL(OFFSET(hdr_FcStart,MATCH($G68,tsk_ID,0),0),N($I68),WorkWeek,Holidays),WORKDAY.INTL(WORKDAY.INTL(OFFSET(hdr_FcFinish,MATCH($G68,tsk_ID,0),0),N($I68),WorkWeek,Holidays),-MAX(0,N($F68)-1),WorkWeek,Holidays),WORKDAY.INTL(WORKDAY.INTL(OFFSET(hdr_FcStart,MATCH($G68,tsk_ID,0),0),N($I68),WorkWeek,Holidays),-MAX(0,N($F68)-1),WorkWeek,Holidays)),0))</f>
        <v>0</v>
      </c>
      <c r="AN68" s="48" t="n">
        <f aca="true">IF(OR(N($J68)=0,$AI68,$D68=""),0,IFERROR(CHOOSE(MATCH(IF($K68="","FS",$K68),{"FS","SS","FF","SF"},0),WORKDAY.INTL(OFFSET(hdr_FcFinish,MATCH($J68,tsk_ID,0),0),IF(N($F68)=0,0,1)+N($L68),WorkWeek,Holidays),WORKDAY.INTL(OFFSET(hdr_FcStart,MATCH($J68,tsk_ID,0),0),N($L68),WorkWeek,Holidays),WORKDAY.INTL(WORKDAY.INTL(OFFSET(hdr_FcFinish,MATCH($J68,tsk_ID,0),0),N($L68),WorkWeek,Holidays),-MAX(0,N($F68)-1),WorkWeek,Holidays),WORKDAY.INTL(WORKDAY.INTL(OFFSET(hdr_FcStart,MATCH($J68,tsk_ID,0),0),N($L68),WorkWeek,Holidays),-MAX(0,N($F68)-1),WorkWeek,Holidays)),0))</f>
        <v>0</v>
      </c>
      <c r="AO68" s="48" t="n">
        <f aca="false">IF($AJ68=1,$R68,0)</f>
        <v>0</v>
      </c>
      <c r="AP68" s="48" t="n">
        <f aca="false">IF($AJ68=1,$S68,0)</f>
        <v>0</v>
      </c>
      <c r="AQ68" s="49" t="n">
        <f aca="false">IF(AND($AJ68=1,N($Z68)&gt;0),$Z68/($AP68-$AO68+1),0)</f>
        <v>0</v>
      </c>
      <c r="AR68" s="46" t="n">
        <f aca="false">IF($AJ68=1,MAX(N($F68),0.1),0)</f>
        <v>0</v>
      </c>
      <c r="AS68" s="46" t="n">
        <f aca="false">IF($AJ68=1,$AR68*$V68,0)</f>
        <v>0</v>
      </c>
      <c r="AT68" s="46" t="str">
        <f aca="false">IF(N($G68)=0,"",$G68&amp;IF(AND(IF($H68="","FS",$H68)="FS",N($I68)=0),"",IF($H68="","FS",$H68)&amp;IF(N($I68)=0,"",IF(N($I68)&gt;0,"+","")&amp;N($I68)&amp;"d")))</f>
        <v/>
      </c>
      <c r="AU68" s="46" t="str">
        <f aca="false">IF(N($J68)=0,"",$J68&amp;IF(AND(IF($K68="","FS",$K68)="FS",N($L68)=0),"",IF($K68="","FS",$K68)&amp;IF(N($L68)=0,"",IF(N($L68)&gt;0,"+","")&amp;N($L68)&amp;"d")))</f>
        <v/>
      </c>
      <c r="AV68" s="46" t="str">
        <f aca="false">IF(AND($AJ68=1,N($F68)=0,$V68&lt;1),$S68+$AF68/100000,"")</f>
        <v/>
      </c>
    </row>
    <row r="69" customFormat="false" ht="15" hidden="false" customHeight="false" outlineLevel="0" collapsed="false">
      <c r="A69" s="38" t="str">
        <f aca="false">IF($D69="","",COUNTA($D$6:$D69))</f>
        <v/>
      </c>
      <c r="B69" s="39" t="str">
        <f aca="true">IF($D69="","",IF($AE69=1,COUNTIF($AE$6:$AE69,1)&amp;"",IF($AG69=0,"?",OFFSET(hdr_WBS,$AG69-ROW(hdr_WBS),0)&amp;"."&amp;COUNTIF(INDEX($AE:$AE,$AG69+1):$AE69,$AE69))))</f>
        <v/>
      </c>
      <c r="C69" s="40"/>
      <c r="D69" s="41"/>
      <c r="E69" s="40"/>
      <c r="F69" s="40"/>
      <c r="G69" s="40"/>
      <c r="H69" s="40"/>
      <c r="I69" s="40"/>
      <c r="J69" s="40"/>
      <c r="K69" s="40"/>
      <c r="L69" s="40"/>
      <c r="M69" s="29"/>
      <c r="N69" s="30" t="str">
        <f aca="true">IF($D69="","",IF($AI69,MIN(OFFSET(hdr_PlanStart,$AF69+1,0,$AH69,1)),IF($E69="Manual",IF(N($M69)&gt;0,$M69,ProjectStart),WORKDAY.INTL(MAX(ProjectStart,N($M69),$AK69,$AL69)-1,1,WorkWeek,Holidays))))</f>
        <v/>
      </c>
      <c r="O69" s="30" t="str">
        <f aca="true">IF($D69="","",IF($AI69,MAX(OFFSET(hdr_PlanFinish,$AF69+1,0,$AH69,1)),IF(N($F69)&lt;=0,$N69,WORKDAY.INTL($N69,$F69-1,WorkWeek,Holidays))))</f>
        <v/>
      </c>
      <c r="P69" s="29"/>
      <c r="Q69" s="29"/>
      <c r="R69" s="30" t="str">
        <f aca="true">IF($D69="","",IF($AI69,MIN(OFFSET(hdr_FcStart,$AF69+1,0,$AH69,1)),IF(N($P69)&gt;0,$P69,IF($E69="Manual",IF(N($M69)&gt;0,$M69,ProjectStart),WORKDAY.INTL(MAX(ProjectStart,N($M69),$AM69,$AN69,IF(RescheduleAfterStatus="Yes",StatusDate,0))-1,1,WorkWeek,Holidays)))))</f>
        <v/>
      </c>
      <c r="S69" s="30" t="str">
        <f aca="true">IF($D69="","",IF($AI69,MAX(OFFSET(hdr_FcFinish,$AF69+1,0,$AH69,1)),IF(N($Q69)&gt;0,$Q69,IF(N($F69)&lt;=0,$R69,IF(AND(N($P69)&gt;0,RescheduleAfterStatus="Yes"),MAX(WORKDAY.INTL($R69,$F69-1,WorkWeek,Holidays),WORKDAY.INTL(StatusWorkday,MAX(0,ROUNDUP($F69*(1-MIN(1,N($U69))),0)-1),WorkWeek,Holidays)),WORKDAY.INTL($R69,$F69-1,WorkWeek,Holidays))))))</f>
        <v/>
      </c>
      <c r="T69" s="38" t="str">
        <f aca="false">IF($D69="","",IF($S69&gt;=$O69,NETWORKDAYS.INTL($O69,$S69,WorkWeek,Holidays)-1,1-NETWORKDAYS.INTL($S69,$O69,WorkWeek,Holidays)))</f>
        <v/>
      </c>
      <c r="U69" s="32"/>
      <c r="V69" s="42" t="str">
        <f aca="true">IF($D69="","",IF($AI69,IFERROR(SUM(OFFSET(hdr_WtDone,$AF69+1,0,$AH69,1))/SUM(OFFSET(hdr_WtDur,$AF69+1,0,$AH69,1)),0),IF(N($Q69)&gt;0,1,MIN(1,N($U69)))))</f>
        <v/>
      </c>
      <c r="W69" s="39" t="str">
        <f aca="false">IF($D69="","",IF($V69&gt;=1,"Complete",IF(OR(N($P69)&gt;0,$V69&gt;0),IF($T69&gt;0,"Behind","In Progress"),IF($N69&lt;StatusDate,"Late Start","Not Started"))))</f>
        <v/>
      </c>
      <c r="X69" s="41"/>
      <c r="Y69" s="32"/>
      <c r="Z69" s="43" t="str">
        <f aca="true">IF($D69="","",IF($AI69,SUMPRODUCT(OFFSET(hdr_Work,$AF69+1,0,$AH69,1),OFFSET(hdr_IsLeaf,$AF69+1,0,$AH69,1)),IF($X69="",0,N($F69)*HoursPerDay*IF($Y69="",DefaultUnits,$Y69))))</f>
        <v/>
      </c>
      <c r="AA69" s="44" t="str">
        <f aca="true">IF($D69="","",IF($AI69,SUMPRODUCT(OFFSET(hdr_Cost,$AF69+1,0,$AH69,1),OFFSET(hdr_IsLeaf,$AF69+1,0,$AH69,1)),$Z69*IFERROR(INDEX(res_Rate,MATCH($X69,res_Name,0)),0)))</f>
        <v/>
      </c>
      <c r="AB69" s="38" t="str">
        <f aca="false">IF(OR($D69="",$AI69),"",IF(OR($R69&lt;Sprint1Start,$R69&gt;SprintLastEnd),"Backlog",INDEX(spr_Name,MATCH($R69,spr_Start,1))))</f>
        <v/>
      </c>
      <c r="AC69" s="45" t="str">
        <f aca="false">IF($D69="","",$AT69&amp;IF(AND($AT69&lt;&gt;"",$AU69&lt;&gt;""),",","")&amp;$AU69)</f>
        <v/>
      </c>
      <c r="AD69" s="41"/>
      <c r="AE69" s="46" t="str">
        <f aca="false">IF($D69="","",MAX(1,N($C69)))</f>
        <v/>
      </c>
      <c r="AF69" s="46" t="n">
        <f aca="false">ROW()-ROW(hdr_ID)</f>
        <v>64</v>
      </c>
      <c r="AG69" s="46" t="n">
        <f aca="false">IF(OR($D69="",$AE69&lt;=1),0,IFERROR(LOOKUP(2,1/($AE$5:$AE68=$AE69-1),ROW($AE$5:$AE68)),0))</f>
        <v>0</v>
      </c>
      <c r="AH69" s="46" t="n">
        <f aca="false">IF($D69="",0,COUNTIF(tsk_WBS,$B69&amp;".*"))</f>
        <v>0</v>
      </c>
      <c r="AI69" s="47" t="b">
        <f aca="false">$AH69&gt;0</f>
        <v>0</v>
      </c>
      <c r="AJ69" s="46" t="n">
        <f aca="false">IF(AND($D69&lt;&gt;"",NOT($AI69)),1,0)</f>
        <v>0</v>
      </c>
      <c r="AK69" s="48" t="n">
        <f aca="true">IF(OR(N($G69)=0,$AI69,$D69=""),0,IFERROR(CHOOSE(MATCH(IF($H69="","FS",$H69),{"FS","SS","FF","SF"},0),WORKDAY.INTL(OFFSET(hdr_PlanFinish,MATCH($G69,tsk_ID,0),0),IF(N($F69)=0,0,1)+N($I69),WorkWeek,Holidays),WORKDAY.INTL(OFFSET(hdr_PlanStart,MATCH($G69,tsk_ID,0),0),N($I69),WorkWeek,Holidays),WORKDAY.INTL(WORKDAY.INTL(OFFSET(hdr_PlanFinish,MATCH($G69,tsk_ID,0),0),N($I69),WorkWeek,Holidays),-MAX(0,N($F69)-1),WorkWeek,Holidays),WORKDAY.INTL(WORKDAY.INTL(OFFSET(hdr_PlanStart,MATCH($G69,tsk_ID,0),0),N($I69),WorkWeek,Holidays),-MAX(0,N($F69)-1),WorkWeek,Holidays)),0))</f>
        <v>0</v>
      </c>
      <c r="AL69" s="48" t="n">
        <f aca="true">IF(OR(N($J69)=0,$AI69,$D69=""),0,IFERROR(CHOOSE(MATCH(IF($K69="","FS",$K69),{"FS","SS","FF","SF"},0),WORKDAY.INTL(OFFSET(hdr_PlanFinish,MATCH($J69,tsk_ID,0),0),IF(N($F69)=0,0,1)+N($L69),WorkWeek,Holidays),WORKDAY.INTL(OFFSET(hdr_PlanStart,MATCH($J69,tsk_ID,0),0),N($L69),WorkWeek,Holidays),WORKDAY.INTL(WORKDAY.INTL(OFFSET(hdr_PlanFinish,MATCH($J69,tsk_ID,0),0),N($L69),WorkWeek,Holidays),-MAX(0,N($F69)-1),WorkWeek,Holidays),WORKDAY.INTL(WORKDAY.INTL(OFFSET(hdr_PlanStart,MATCH($J69,tsk_ID,0),0),N($L69),WorkWeek,Holidays),-MAX(0,N($F69)-1),WorkWeek,Holidays)),0))</f>
        <v>0</v>
      </c>
      <c r="AM69" s="48" t="n">
        <f aca="true">IF(OR(N($G69)=0,$AI69,$D69=""),0,IFERROR(CHOOSE(MATCH(IF($H69="","FS",$H69),{"FS","SS","FF","SF"},0),WORKDAY.INTL(OFFSET(hdr_FcFinish,MATCH($G69,tsk_ID,0),0),IF(N($F69)=0,0,1)+N($I69),WorkWeek,Holidays),WORKDAY.INTL(OFFSET(hdr_FcStart,MATCH($G69,tsk_ID,0),0),N($I69),WorkWeek,Holidays),WORKDAY.INTL(WORKDAY.INTL(OFFSET(hdr_FcFinish,MATCH($G69,tsk_ID,0),0),N($I69),WorkWeek,Holidays),-MAX(0,N($F69)-1),WorkWeek,Holidays),WORKDAY.INTL(WORKDAY.INTL(OFFSET(hdr_FcStart,MATCH($G69,tsk_ID,0),0),N($I69),WorkWeek,Holidays),-MAX(0,N($F69)-1),WorkWeek,Holidays)),0))</f>
        <v>0</v>
      </c>
      <c r="AN69" s="48" t="n">
        <f aca="true">IF(OR(N($J69)=0,$AI69,$D69=""),0,IFERROR(CHOOSE(MATCH(IF($K69="","FS",$K69),{"FS","SS","FF","SF"},0),WORKDAY.INTL(OFFSET(hdr_FcFinish,MATCH($J69,tsk_ID,0),0),IF(N($F69)=0,0,1)+N($L69),WorkWeek,Holidays),WORKDAY.INTL(OFFSET(hdr_FcStart,MATCH($J69,tsk_ID,0),0),N($L69),WorkWeek,Holidays),WORKDAY.INTL(WORKDAY.INTL(OFFSET(hdr_FcFinish,MATCH($J69,tsk_ID,0),0),N($L69),WorkWeek,Holidays),-MAX(0,N($F69)-1),WorkWeek,Holidays),WORKDAY.INTL(WORKDAY.INTL(OFFSET(hdr_FcStart,MATCH($J69,tsk_ID,0),0),N($L69),WorkWeek,Holidays),-MAX(0,N($F69)-1),WorkWeek,Holidays)),0))</f>
        <v>0</v>
      </c>
      <c r="AO69" s="48" t="n">
        <f aca="false">IF($AJ69=1,$R69,0)</f>
        <v>0</v>
      </c>
      <c r="AP69" s="48" t="n">
        <f aca="false">IF($AJ69=1,$S69,0)</f>
        <v>0</v>
      </c>
      <c r="AQ69" s="49" t="n">
        <f aca="false">IF(AND($AJ69=1,N($Z69)&gt;0),$Z69/($AP69-$AO69+1),0)</f>
        <v>0</v>
      </c>
      <c r="AR69" s="46" t="n">
        <f aca="false">IF($AJ69=1,MAX(N($F69),0.1),0)</f>
        <v>0</v>
      </c>
      <c r="AS69" s="46" t="n">
        <f aca="false">IF($AJ69=1,$AR69*$V69,0)</f>
        <v>0</v>
      </c>
      <c r="AT69" s="46" t="str">
        <f aca="false">IF(N($G69)=0,"",$G69&amp;IF(AND(IF($H69="","FS",$H69)="FS",N($I69)=0),"",IF($H69="","FS",$H69)&amp;IF(N($I69)=0,"",IF(N($I69)&gt;0,"+","")&amp;N($I69)&amp;"d")))</f>
        <v/>
      </c>
      <c r="AU69" s="46" t="str">
        <f aca="false">IF(N($J69)=0,"",$J69&amp;IF(AND(IF($K69="","FS",$K69)="FS",N($L69)=0),"",IF($K69="","FS",$K69)&amp;IF(N($L69)=0,"",IF(N($L69)&gt;0,"+","")&amp;N($L69)&amp;"d")))</f>
        <v/>
      </c>
      <c r="AV69" s="46" t="str">
        <f aca="false">IF(AND($AJ69=1,N($F69)=0,$V69&lt;1),$S69+$AF69/100000,"")</f>
        <v/>
      </c>
    </row>
    <row r="70" customFormat="false" ht="15" hidden="false" customHeight="false" outlineLevel="0" collapsed="false">
      <c r="A70" s="38" t="str">
        <f aca="false">IF($D70="","",COUNTA($D$6:$D70))</f>
        <v/>
      </c>
      <c r="B70" s="39" t="str">
        <f aca="true">IF($D70="","",IF($AE70=1,COUNTIF($AE$6:$AE70,1)&amp;"",IF($AG70=0,"?",OFFSET(hdr_WBS,$AG70-ROW(hdr_WBS),0)&amp;"."&amp;COUNTIF(INDEX($AE:$AE,$AG70+1):$AE70,$AE70))))</f>
        <v/>
      </c>
      <c r="C70" s="40"/>
      <c r="D70" s="41"/>
      <c r="E70" s="40"/>
      <c r="F70" s="40"/>
      <c r="G70" s="40"/>
      <c r="H70" s="40"/>
      <c r="I70" s="40"/>
      <c r="J70" s="40"/>
      <c r="K70" s="40"/>
      <c r="L70" s="40"/>
      <c r="M70" s="29"/>
      <c r="N70" s="30" t="str">
        <f aca="true">IF($D70="","",IF($AI70,MIN(OFFSET(hdr_PlanStart,$AF70+1,0,$AH70,1)),IF($E70="Manual",IF(N($M70)&gt;0,$M70,ProjectStart),WORKDAY.INTL(MAX(ProjectStart,N($M70),$AK70,$AL70)-1,1,WorkWeek,Holidays))))</f>
        <v/>
      </c>
      <c r="O70" s="30" t="str">
        <f aca="true">IF($D70="","",IF($AI70,MAX(OFFSET(hdr_PlanFinish,$AF70+1,0,$AH70,1)),IF(N($F70)&lt;=0,$N70,WORKDAY.INTL($N70,$F70-1,WorkWeek,Holidays))))</f>
        <v/>
      </c>
      <c r="P70" s="29"/>
      <c r="Q70" s="29"/>
      <c r="R70" s="30" t="str">
        <f aca="true">IF($D70="","",IF($AI70,MIN(OFFSET(hdr_FcStart,$AF70+1,0,$AH70,1)),IF(N($P70)&gt;0,$P70,IF($E70="Manual",IF(N($M70)&gt;0,$M70,ProjectStart),WORKDAY.INTL(MAX(ProjectStart,N($M70),$AM70,$AN70,IF(RescheduleAfterStatus="Yes",StatusDate,0))-1,1,WorkWeek,Holidays)))))</f>
        <v/>
      </c>
      <c r="S70" s="30" t="str">
        <f aca="true">IF($D70="","",IF($AI70,MAX(OFFSET(hdr_FcFinish,$AF70+1,0,$AH70,1)),IF(N($Q70)&gt;0,$Q70,IF(N($F70)&lt;=0,$R70,IF(AND(N($P70)&gt;0,RescheduleAfterStatus="Yes"),MAX(WORKDAY.INTL($R70,$F70-1,WorkWeek,Holidays),WORKDAY.INTL(StatusWorkday,MAX(0,ROUNDUP($F70*(1-MIN(1,N($U70))),0)-1),WorkWeek,Holidays)),WORKDAY.INTL($R70,$F70-1,WorkWeek,Holidays))))))</f>
        <v/>
      </c>
      <c r="T70" s="38" t="str">
        <f aca="false">IF($D70="","",IF($S70&gt;=$O70,NETWORKDAYS.INTL($O70,$S70,WorkWeek,Holidays)-1,1-NETWORKDAYS.INTL($S70,$O70,WorkWeek,Holidays)))</f>
        <v/>
      </c>
      <c r="U70" s="32"/>
      <c r="V70" s="42" t="str">
        <f aca="true">IF($D70="","",IF($AI70,IFERROR(SUM(OFFSET(hdr_WtDone,$AF70+1,0,$AH70,1))/SUM(OFFSET(hdr_WtDur,$AF70+1,0,$AH70,1)),0),IF(N($Q70)&gt;0,1,MIN(1,N($U70)))))</f>
        <v/>
      </c>
      <c r="W70" s="39" t="str">
        <f aca="false">IF($D70="","",IF($V70&gt;=1,"Complete",IF(OR(N($P70)&gt;0,$V70&gt;0),IF($T70&gt;0,"Behind","In Progress"),IF($N70&lt;StatusDate,"Late Start","Not Started"))))</f>
        <v/>
      </c>
      <c r="X70" s="41"/>
      <c r="Y70" s="32"/>
      <c r="Z70" s="43" t="str">
        <f aca="true">IF($D70="","",IF($AI70,SUMPRODUCT(OFFSET(hdr_Work,$AF70+1,0,$AH70,1),OFFSET(hdr_IsLeaf,$AF70+1,0,$AH70,1)),IF($X70="",0,N($F70)*HoursPerDay*IF($Y70="",DefaultUnits,$Y70))))</f>
        <v/>
      </c>
      <c r="AA70" s="44" t="str">
        <f aca="true">IF($D70="","",IF($AI70,SUMPRODUCT(OFFSET(hdr_Cost,$AF70+1,0,$AH70,1),OFFSET(hdr_IsLeaf,$AF70+1,0,$AH70,1)),$Z70*IFERROR(INDEX(res_Rate,MATCH($X70,res_Name,0)),0)))</f>
        <v/>
      </c>
      <c r="AB70" s="38" t="str">
        <f aca="false">IF(OR($D70="",$AI70),"",IF(OR($R70&lt;Sprint1Start,$R70&gt;SprintLastEnd),"Backlog",INDEX(spr_Name,MATCH($R70,spr_Start,1))))</f>
        <v/>
      </c>
      <c r="AC70" s="45" t="str">
        <f aca="false">IF($D70="","",$AT70&amp;IF(AND($AT70&lt;&gt;"",$AU70&lt;&gt;""),",","")&amp;$AU70)</f>
        <v/>
      </c>
      <c r="AD70" s="41"/>
      <c r="AE70" s="46" t="str">
        <f aca="false">IF($D70="","",MAX(1,N($C70)))</f>
        <v/>
      </c>
      <c r="AF70" s="46" t="n">
        <f aca="false">ROW()-ROW(hdr_ID)</f>
        <v>65</v>
      </c>
      <c r="AG70" s="46" t="n">
        <f aca="false">IF(OR($D70="",$AE70&lt;=1),0,IFERROR(LOOKUP(2,1/($AE$5:$AE69=$AE70-1),ROW($AE$5:$AE69)),0))</f>
        <v>0</v>
      </c>
      <c r="AH70" s="46" t="n">
        <f aca="false">IF($D70="",0,COUNTIF(tsk_WBS,$B70&amp;".*"))</f>
        <v>0</v>
      </c>
      <c r="AI70" s="47" t="b">
        <f aca="false">$AH70&gt;0</f>
        <v>0</v>
      </c>
      <c r="AJ70" s="46" t="n">
        <f aca="false">IF(AND($D70&lt;&gt;"",NOT($AI70)),1,0)</f>
        <v>0</v>
      </c>
      <c r="AK70" s="48" t="n">
        <f aca="true">IF(OR(N($G70)=0,$AI70,$D70=""),0,IFERROR(CHOOSE(MATCH(IF($H70="","FS",$H70),{"FS","SS","FF","SF"},0),WORKDAY.INTL(OFFSET(hdr_PlanFinish,MATCH($G70,tsk_ID,0),0),IF(N($F70)=0,0,1)+N($I70),WorkWeek,Holidays),WORKDAY.INTL(OFFSET(hdr_PlanStart,MATCH($G70,tsk_ID,0),0),N($I70),WorkWeek,Holidays),WORKDAY.INTL(WORKDAY.INTL(OFFSET(hdr_PlanFinish,MATCH($G70,tsk_ID,0),0),N($I70),WorkWeek,Holidays),-MAX(0,N($F70)-1),WorkWeek,Holidays),WORKDAY.INTL(WORKDAY.INTL(OFFSET(hdr_PlanStart,MATCH($G70,tsk_ID,0),0),N($I70),WorkWeek,Holidays),-MAX(0,N($F70)-1),WorkWeek,Holidays)),0))</f>
        <v>0</v>
      </c>
      <c r="AL70" s="48" t="n">
        <f aca="true">IF(OR(N($J70)=0,$AI70,$D70=""),0,IFERROR(CHOOSE(MATCH(IF($K70="","FS",$K70),{"FS","SS","FF","SF"},0),WORKDAY.INTL(OFFSET(hdr_PlanFinish,MATCH($J70,tsk_ID,0),0),IF(N($F70)=0,0,1)+N($L70),WorkWeek,Holidays),WORKDAY.INTL(OFFSET(hdr_PlanStart,MATCH($J70,tsk_ID,0),0),N($L70),WorkWeek,Holidays),WORKDAY.INTL(WORKDAY.INTL(OFFSET(hdr_PlanFinish,MATCH($J70,tsk_ID,0),0),N($L70),WorkWeek,Holidays),-MAX(0,N($F70)-1),WorkWeek,Holidays),WORKDAY.INTL(WORKDAY.INTL(OFFSET(hdr_PlanStart,MATCH($J70,tsk_ID,0),0),N($L70),WorkWeek,Holidays),-MAX(0,N($F70)-1),WorkWeek,Holidays)),0))</f>
        <v>0</v>
      </c>
      <c r="AM70" s="48" t="n">
        <f aca="true">IF(OR(N($G70)=0,$AI70,$D70=""),0,IFERROR(CHOOSE(MATCH(IF($H70="","FS",$H70),{"FS","SS","FF","SF"},0),WORKDAY.INTL(OFFSET(hdr_FcFinish,MATCH($G70,tsk_ID,0),0),IF(N($F70)=0,0,1)+N($I70),WorkWeek,Holidays),WORKDAY.INTL(OFFSET(hdr_FcStart,MATCH($G70,tsk_ID,0),0),N($I70),WorkWeek,Holidays),WORKDAY.INTL(WORKDAY.INTL(OFFSET(hdr_FcFinish,MATCH($G70,tsk_ID,0),0),N($I70),WorkWeek,Holidays),-MAX(0,N($F70)-1),WorkWeek,Holidays),WORKDAY.INTL(WORKDAY.INTL(OFFSET(hdr_FcStart,MATCH($G70,tsk_ID,0),0),N($I70),WorkWeek,Holidays),-MAX(0,N($F70)-1),WorkWeek,Holidays)),0))</f>
        <v>0</v>
      </c>
      <c r="AN70" s="48" t="n">
        <f aca="true">IF(OR(N($J70)=0,$AI70,$D70=""),0,IFERROR(CHOOSE(MATCH(IF($K70="","FS",$K70),{"FS","SS","FF","SF"},0),WORKDAY.INTL(OFFSET(hdr_FcFinish,MATCH($J70,tsk_ID,0),0),IF(N($F70)=0,0,1)+N($L70),WorkWeek,Holidays),WORKDAY.INTL(OFFSET(hdr_FcStart,MATCH($J70,tsk_ID,0),0),N($L70),WorkWeek,Holidays),WORKDAY.INTL(WORKDAY.INTL(OFFSET(hdr_FcFinish,MATCH($J70,tsk_ID,0),0),N($L70),WorkWeek,Holidays),-MAX(0,N($F70)-1),WorkWeek,Holidays),WORKDAY.INTL(WORKDAY.INTL(OFFSET(hdr_FcStart,MATCH($J70,tsk_ID,0),0),N($L70),WorkWeek,Holidays),-MAX(0,N($F70)-1),WorkWeek,Holidays)),0))</f>
        <v>0</v>
      </c>
      <c r="AO70" s="48" t="n">
        <f aca="false">IF($AJ70=1,$R70,0)</f>
        <v>0</v>
      </c>
      <c r="AP70" s="48" t="n">
        <f aca="false">IF($AJ70=1,$S70,0)</f>
        <v>0</v>
      </c>
      <c r="AQ70" s="49" t="n">
        <f aca="false">IF(AND($AJ70=1,N($Z70)&gt;0),$Z70/($AP70-$AO70+1),0)</f>
        <v>0</v>
      </c>
      <c r="AR70" s="46" t="n">
        <f aca="false">IF($AJ70=1,MAX(N($F70),0.1),0)</f>
        <v>0</v>
      </c>
      <c r="AS70" s="46" t="n">
        <f aca="false">IF($AJ70=1,$AR70*$V70,0)</f>
        <v>0</v>
      </c>
      <c r="AT70" s="46" t="str">
        <f aca="false">IF(N($G70)=0,"",$G70&amp;IF(AND(IF($H70="","FS",$H70)="FS",N($I70)=0),"",IF($H70="","FS",$H70)&amp;IF(N($I70)=0,"",IF(N($I70)&gt;0,"+","")&amp;N($I70)&amp;"d")))</f>
        <v/>
      </c>
      <c r="AU70" s="46" t="str">
        <f aca="false">IF(N($J70)=0,"",$J70&amp;IF(AND(IF($K70="","FS",$K70)="FS",N($L70)=0),"",IF($K70="","FS",$K70)&amp;IF(N($L70)=0,"",IF(N($L70)&gt;0,"+","")&amp;N($L70)&amp;"d")))</f>
        <v/>
      </c>
      <c r="AV70" s="46" t="str">
        <f aca="false">IF(AND($AJ70=1,N($F70)=0,$V70&lt;1),$S70+$AF70/100000,"")</f>
        <v/>
      </c>
    </row>
    <row r="71" customFormat="false" ht="15" hidden="false" customHeight="false" outlineLevel="0" collapsed="false">
      <c r="A71" s="38" t="str">
        <f aca="false">IF($D71="","",COUNTA($D$6:$D71))</f>
        <v/>
      </c>
      <c r="B71" s="39" t="str">
        <f aca="true">IF($D71="","",IF($AE71=1,COUNTIF($AE$6:$AE71,1)&amp;"",IF($AG71=0,"?",OFFSET(hdr_WBS,$AG71-ROW(hdr_WBS),0)&amp;"."&amp;COUNTIF(INDEX($AE:$AE,$AG71+1):$AE71,$AE71))))</f>
        <v/>
      </c>
      <c r="C71" s="40"/>
      <c r="D71" s="41"/>
      <c r="E71" s="40"/>
      <c r="F71" s="40"/>
      <c r="G71" s="40"/>
      <c r="H71" s="40"/>
      <c r="I71" s="40"/>
      <c r="J71" s="40"/>
      <c r="K71" s="40"/>
      <c r="L71" s="40"/>
      <c r="M71" s="29"/>
      <c r="N71" s="30" t="str">
        <f aca="true">IF($D71="","",IF($AI71,MIN(OFFSET(hdr_PlanStart,$AF71+1,0,$AH71,1)),IF($E71="Manual",IF(N($M71)&gt;0,$M71,ProjectStart),WORKDAY.INTL(MAX(ProjectStart,N($M71),$AK71,$AL71)-1,1,WorkWeek,Holidays))))</f>
        <v/>
      </c>
      <c r="O71" s="30" t="str">
        <f aca="true">IF($D71="","",IF($AI71,MAX(OFFSET(hdr_PlanFinish,$AF71+1,0,$AH71,1)),IF(N($F71)&lt;=0,$N71,WORKDAY.INTL($N71,$F71-1,WorkWeek,Holidays))))</f>
        <v/>
      </c>
      <c r="P71" s="29"/>
      <c r="Q71" s="29"/>
      <c r="R71" s="30" t="str">
        <f aca="true">IF($D71="","",IF($AI71,MIN(OFFSET(hdr_FcStart,$AF71+1,0,$AH71,1)),IF(N($P71)&gt;0,$P71,IF($E71="Manual",IF(N($M71)&gt;0,$M71,ProjectStart),WORKDAY.INTL(MAX(ProjectStart,N($M71),$AM71,$AN71,IF(RescheduleAfterStatus="Yes",StatusDate,0))-1,1,WorkWeek,Holidays)))))</f>
        <v/>
      </c>
      <c r="S71" s="30" t="str">
        <f aca="true">IF($D71="","",IF($AI71,MAX(OFFSET(hdr_FcFinish,$AF71+1,0,$AH71,1)),IF(N($Q71)&gt;0,$Q71,IF(N($F71)&lt;=0,$R71,IF(AND(N($P71)&gt;0,RescheduleAfterStatus="Yes"),MAX(WORKDAY.INTL($R71,$F71-1,WorkWeek,Holidays),WORKDAY.INTL(StatusWorkday,MAX(0,ROUNDUP($F71*(1-MIN(1,N($U71))),0)-1),WorkWeek,Holidays)),WORKDAY.INTL($R71,$F71-1,WorkWeek,Holidays))))))</f>
        <v/>
      </c>
      <c r="T71" s="38" t="str">
        <f aca="false">IF($D71="","",IF($S71&gt;=$O71,NETWORKDAYS.INTL($O71,$S71,WorkWeek,Holidays)-1,1-NETWORKDAYS.INTL($S71,$O71,WorkWeek,Holidays)))</f>
        <v/>
      </c>
      <c r="U71" s="32"/>
      <c r="V71" s="42" t="str">
        <f aca="true">IF($D71="","",IF($AI71,IFERROR(SUM(OFFSET(hdr_WtDone,$AF71+1,0,$AH71,1))/SUM(OFFSET(hdr_WtDur,$AF71+1,0,$AH71,1)),0),IF(N($Q71)&gt;0,1,MIN(1,N($U71)))))</f>
        <v/>
      </c>
      <c r="W71" s="39" t="str">
        <f aca="false">IF($D71="","",IF($V71&gt;=1,"Complete",IF(OR(N($P71)&gt;0,$V71&gt;0),IF($T71&gt;0,"Behind","In Progress"),IF($N71&lt;StatusDate,"Late Start","Not Started"))))</f>
        <v/>
      </c>
      <c r="X71" s="41"/>
      <c r="Y71" s="32"/>
      <c r="Z71" s="43" t="str">
        <f aca="true">IF($D71="","",IF($AI71,SUMPRODUCT(OFFSET(hdr_Work,$AF71+1,0,$AH71,1),OFFSET(hdr_IsLeaf,$AF71+1,0,$AH71,1)),IF($X71="",0,N($F71)*HoursPerDay*IF($Y71="",DefaultUnits,$Y71))))</f>
        <v/>
      </c>
      <c r="AA71" s="44" t="str">
        <f aca="true">IF($D71="","",IF($AI71,SUMPRODUCT(OFFSET(hdr_Cost,$AF71+1,0,$AH71,1),OFFSET(hdr_IsLeaf,$AF71+1,0,$AH71,1)),$Z71*IFERROR(INDEX(res_Rate,MATCH($X71,res_Name,0)),0)))</f>
        <v/>
      </c>
      <c r="AB71" s="38" t="str">
        <f aca="false">IF(OR($D71="",$AI71),"",IF(OR($R71&lt;Sprint1Start,$R71&gt;SprintLastEnd),"Backlog",INDEX(spr_Name,MATCH($R71,spr_Start,1))))</f>
        <v/>
      </c>
      <c r="AC71" s="45" t="str">
        <f aca="false">IF($D71="","",$AT71&amp;IF(AND($AT71&lt;&gt;"",$AU71&lt;&gt;""),",","")&amp;$AU71)</f>
        <v/>
      </c>
      <c r="AD71" s="41"/>
      <c r="AE71" s="46" t="str">
        <f aca="false">IF($D71="","",MAX(1,N($C71)))</f>
        <v/>
      </c>
      <c r="AF71" s="46" t="n">
        <f aca="false">ROW()-ROW(hdr_ID)</f>
        <v>66</v>
      </c>
      <c r="AG71" s="46" t="n">
        <f aca="false">IF(OR($D71="",$AE71&lt;=1),0,IFERROR(LOOKUP(2,1/($AE$5:$AE70=$AE71-1),ROW($AE$5:$AE70)),0))</f>
        <v>0</v>
      </c>
      <c r="AH71" s="46" t="n">
        <f aca="false">IF($D71="",0,COUNTIF(tsk_WBS,$B71&amp;".*"))</f>
        <v>0</v>
      </c>
      <c r="AI71" s="47" t="b">
        <f aca="false">$AH71&gt;0</f>
        <v>0</v>
      </c>
      <c r="AJ71" s="46" t="n">
        <f aca="false">IF(AND($D71&lt;&gt;"",NOT($AI71)),1,0)</f>
        <v>0</v>
      </c>
      <c r="AK71" s="48" t="n">
        <f aca="true">IF(OR(N($G71)=0,$AI71,$D71=""),0,IFERROR(CHOOSE(MATCH(IF($H71="","FS",$H71),{"FS","SS","FF","SF"},0),WORKDAY.INTL(OFFSET(hdr_PlanFinish,MATCH($G71,tsk_ID,0),0),IF(N($F71)=0,0,1)+N($I71),WorkWeek,Holidays),WORKDAY.INTL(OFFSET(hdr_PlanStart,MATCH($G71,tsk_ID,0),0),N($I71),WorkWeek,Holidays),WORKDAY.INTL(WORKDAY.INTL(OFFSET(hdr_PlanFinish,MATCH($G71,tsk_ID,0),0),N($I71),WorkWeek,Holidays),-MAX(0,N($F71)-1),WorkWeek,Holidays),WORKDAY.INTL(WORKDAY.INTL(OFFSET(hdr_PlanStart,MATCH($G71,tsk_ID,0),0),N($I71),WorkWeek,Holidays),-MAX(0,N($F71)-1),WorkWeek,Holidays)),0))</f>
        <v>0</v>
      </c>
      <c r="AL71" s="48" t="n">
        <f aca="true">IF(OR(N($J71)=0,$AI71,$D71=""),0,IFERROR(CHOOSE(MATCH(IF($K71="","FS",$K71),{"FS","SS","FF","SF"},0),WORKDAY.INTL(OFFSET(hdr_PlanFinish,MATCH($J71,tsk_ID,0),0),IF(N($F71)=0,0,1)+N($L71),WorkWeek,Holidays),WORKDAY.INTL(OFFSET(hdr_PlanStart,MATCH($J71,tsk_ID,0),0),N($L71),WorkWeek,Holidays),WORKDAY.INTL(WORKDAY.INTL(OFFSET(hdr_PlanFinish,MATCH($J71,tsk_ID,0),0),N($L71),WorkWeek,Holidays),-MAX(0,N($F71)-1),WorkWeek,Holidays),WORKDAY.INTL(WORKDAY.INTL(OFFSET(hdr_PlanStart,MATCH($J71,tsk_ID,0),0),N($L71),WorkWeek,Holidays),-MAX(0,N($F71)-1),WorkWeek,Holidays)),0))</f>
        <v>0</v>
      </c>
      <c r="AM71" s="48" t="n">
        <f aca="true">IF(OR(N($G71)=0,$AI71,$D71=""),0,IFERROR(CHOOSE(MATCH(IF($H71="","FS",$H71),{"FS","SS","FF","SF"},0),WORKDAY.INTL(OFFSET(hdr_FcFinish,MATCH($G71,tsk_ID,0),0),IF(N($F71)=0,0,1)+N($I71),WorkWeek,Holidays),WORKDAY.INTL(OFFSET(hdr_FcStart,MATCH($G71,tsk_ID,0),0),N($I71),WorkWeek,Holidays),WORKDAY.INTL(WORKDAY.INTL(OFFSET(hdr_FcFinish,MATCH($G71,tsk_ID,0),0),N($I71),WorkWeek,Holidays),-MAX(0,N($F71)-1),WorkWeek,Holidays),WORKDAY.INTL(WORKDAY.INTL(OFFSET(hdr_FcStart,MATCH($G71,tsk_ID,0),0),N($I71),WorkWeek,Holidays),-MAX(0,N($F71)-1),WorkWeek,Holidays)),0))</f>
        <v>0</v>
      </c>
      <c r="AN71" s="48" t="n">
        <f aca="true">IF(OR(N($J71)=0,$AI71,$D71=""),0,IFERROR(CHOOSE(MATCH(IF($K71="","FS",$K71),{"FS","SS","FF","SF"},0),WORKDAY.INTL(OFFSET(hdr_FcFinish,MATCH($J71,tsk_ID,0),0),IF(N($F71)=0,0,1)+N($L71),WorkWeek,Holidays),WORKDAY.INTL(OFFSET(hdr_FcStart,MATCH($J71,tsk_ID,0),0),N($L71),WorkWeek,Holidays),WORKDAY.INTL(WORKDAY.INTL(OFFSET(hdr_FcFinish,MATCH($J71,tsk_ID,0),0),N($L71),WorkWeek,Holidays),-MAX(0,N($F71)-1),WorkWeek,Holidays),WORKDAY.INTL(WORKDAY.INTL(OFFSET(hdr_FcStart,MATCH($J71,tsk_ID,0),0),N($L71),WorkWeek,Holidays),-MAX(0,N($F71)-1),WorkWeek,Holidays)),0))</f>
        <v>0</v>
      </c>
      <c r="AO71" s="48" t="n">
        <f aca="false">IF($AJ71=1,$R71,0)</f>
        <v>0</v>
      </c>
      <c r="AP71" s="48" t="n">
        <f aca="false">IF($AJ71=1,$S71,0)</f>
        <v>0</v>
      </c>
      <c r="AQ71" s="49" t="n">
        <f aca="false">IF(AND($AJ71=1,N($Z71)&gt;0),$Z71/($AP71-$AO71+1),0)</f>
        <v>0</v>
      </c>
      <c r="AR71" s="46" t="n">
        <f aca="false">IF($AJ71=1,MAX(N($F71),0.1),0)</f>
        <v>0</v>
      </c>
      <c r="AS71" s="46" t="n">
        <f aca="false">IF($AJ71=1,$AR71*$V71,0)</f>
        <v>0</v>
      </c>
      <c r="AT71" s="46" t="str">
        <f aca="false">IF(N($G71)=0,"",$G71&amp;IF(AND(IF($H71="","FS",$H71)="FS",N($I71)=0),"",IF($H71="","FS",$H71)&amp;IF(N($I71)=0,"",IF(N($I71)&gt;0,"+","")&amp;N($I71)&amp;"d")))</f>
        <v/>
      </c>
      <c r="AU71" s="46" t="str">
        <f aca="false">IF(N($J71)=0,"",$J71&amp;IF(AND(IF($K71="","FS",$K71)="FS",N($L71)=0),"",IF($K71="","FS",$K71)&amp;IF(N($L71)=0,"",IF(N($L71)&gt;0,"+","")&amp;N($L71)&amp;"d")))</f>
        <v/>
      </c>
      <c r="AV71" s="46" t="str">
        <f aca="false">IF(AND($AJ71=1,N($F71)=0,$V71&lt;1),$S71+$AF71/100000,"")</f>
        <v/>
      </c>
    </row>
    <row r="72" customFormat="false" ht="15" hidden="false" customHeight="false" outlineLevel="0" collapsed="false">
      <c r="A72" s="38" t="str">
        <f aca="false">IF($D72="","",COUNTA($D$6:$D72))</f>
        <v/>
      </c>
      <c r="B72" s="39" t="str">
        <f aca="true">IF($D72="","",IF($AE72=1,COUNTIF($AE$6:$AE72,1)&amp;"",IF($AG72=0,"?",OFFSET(hdr_WBS,$AG72-ROW(hdr_WBS),0)&amp;"."&amp;COUNTIF(INDEX($AE:$AE,$AG72+1):$AE72,$AE72))))</f>
        <v/>
      </c>
      <c r="C72" s="40"/>
      <c r="D72" s="41"/>
      <c r="E72" s="40"/>
      <c r="F72" s="40"/>
      <c r="G72" s="40"/>
      <c r="H72" s="40"/>
      <c r="I72" s="40"/>
      <c r="J72" s="40"/>
      <c r="K72" s="40"/>
      <c r="L72" s="40"/>
      <c r="M72" s="29"/>
      <c r="N72" s="30" t="str">
        <f aca="true">IF($D72="","",IF($AI72,MIN(OFFSET(hdr_PlanStart,$AF72+1,0,$AH72,1)),IF($E72="Manual",IF(N($M72)&gt;0,$M72,ProjectStart),WORKDAY.INTL(MAX(ProjectStart,N($M72),$AK72,$AL72)-1,1,WorkWeek,Holidays))))</f>
        <v/>
      </c>
      <c r="O72" s="30" t="str">
        <f aca="true">IF($D72="","",IF($AI72,MAX(OFFSET(hdr_PlanFinish,$AF72+1,0,$AH72,1)),IF(N($F72)&lt;=0,$N72,WORKDAY.INTL($N72,$F72-1,WorkWeek,Holidays))))</f>
        <v/>
      </c>
      <c r="P72" s="29"/>
      <c r="Q72" s="29"/>
      <c r="R72" s="30" t="str">
        <f aca="true">IF($D72="","",IF($AI72,MIN(OFFSET(hdr_FcStart,$AF72+1,0,$AH72,1)),IF(N($P72)&gt;0,$P72,IF($E72="Manual",IF(N($M72)&gt;0,$M72,ProjectStart),WORKDAY.INTL(MAX(ProjectStart,N($M72),$AM72,$AN72,IF(RescheduleAfterStatus="Yes",StatusDate,0))-1,1,WorkWeek,Holidays)))))</f>
        <v/>
      </c>
      <c r="S72" s="30" t="str">
        <f aca="true">IF($D72="","",IF($AI72,MAX(OFFSET(hdr_FcFinish,$AF72+1,0,$AH72,1)),IF(N($Q72)&gt;0,$Q72,IF(N($F72)&lt;=0,$R72,IF(AND(N($P72)&gt;0,RescheduleAfterStatus="Yes"),MAX(WORKDAY.INTL($R72,$F72-1,WorkWeek,Holidays),WORKDAY.INTL(StatusWorkday,MAX(0,ROUNDUP($F72*(1-MIN(1,N($U72))),0)-1),WorkWeek,Holidays)),WORKDAY.INTL($R72,$F72-1,WorkWeek,Holidays))))))</f>
        <v/>
      </c>
      <c r="T72" s="38" t="str">
        <f aca="false">IF($D72="","",IF($S72&gt;=$O72,NETWORKDAYS.INTL($O72,$S72,WorkWeek,Holidays)-1,1-NETWORKDAYS.INTL($S72,$O72,WorkWeek,Holidays)))</f>
        <v/>
      </c>
      <c r="U72" s="32"/>
      <c r="V72" s="42" t="str">
        <f aca="true">IF($D72="","",IF($AI72,IFERROR(SUM(OFFSET(hdr_WtDone,$AF72+1,0,$AH72,1))/SUM(OFFSET(hdr_WtDur,$AF72+1,0,$AH72,1)),0),IF(N($Q72)&gt;0,1,MIN(1,N($U72)))))</f>
        <v/>
      </c>
      <c r="W72" s="39" t="str">
        <f aca="false">IF($D72="","",IF($V72&gt;=1,"Complete",IF(OR(N($P72)&gt;0,$V72&gt;0),IF($T72&gt;0,"Behind","In Progress"),IF($N72&lt;StatusDate,"Late Start","Not Started"))))</f>
        <v/>
      </c>
      <c r="X72" s="41"/>
      <c r="Y72" s="32"/>
      <c r="Z72" s="43" t="str">
        <f aca="true">IF($D72="","",IF($AI72,SUMPRODUCT(OFFSET(hdr_Work,$AF72+1,0,$AH72,1),OFFSET(hdr_IsLeaf,$AF72+1,0,$AH72,1)),IF($X72="",0,N($F72)*HoursPerDay*IF($Y72="",DefaultUnits,$Y72))))</f>
        <v/>
      </c>
      <c r="AA72" s="44" t="str">
        <f aca="true">IF($D72="","",IF($AI72,SUMPRODUCT(OFFSET(hdr_Cost,$AF72+1,0,$AH72,1),OFFSET(hdr_IsLeaf,$AF72+1,0,$AH72,1)),$Z72*IFERROR(INDEX(res_Rate,MATCH($X72,res_Name,0)),0)))</f>
        <v/>
      </c>
      <c r="AB72" s="38" t="str">
        <f aca="false">IF(OR($D72="",$AI72),"",IF(OR($R72&lt;Sprint1Start,$R72&gt;SprintLastEnd),"Backlog",INDEX(spr_Name,MATCH($R72,spr_Start,1))))</f>
        <v/>
      </c>
      <c r="AC72" s="45" t="str">
        <f aca="false">IF($D72="","",$AT72&amp;IF(AND($AT72&lt;&gt;"",$AU72&lt;&gt;""),",","")&amp;$AU72)</f>
        <v/>
      </c>
      <c r="AD72" s="41"/>
      <c r="AE72" s="46" t="str">
        <f aca="false">IF($D72="","",MAX(1,N($C72)))</f>
        <v/>
      </c>
      <c r="AF72" s="46" t="n">
        <f aca="false">ROW()-ROW(hdr_ID)</f>
        <v>67</v>
      </c>
      <c r="AG72" s="46" t="n">
        <f aca="false">IF(OR($D72="",$AE72&lt;=1),0,IFERROR(LOOKUP(2,1/($AE$5:$AE71=$AE72-1),ROW($AE$5:$AE71)),0))</f>
        <v>0</v>
      </c>
      <c r="AH72" s="46" t="n">
        <f aca="false">IF($D72="",0,COUNTIF(tsk_WBS,$B72&amp;".*"))</f>
        <v>0</v>
      </c>
      <c r="AI72" s="47" t="b">
        <f aca="false">$AH72&gt;0</f>
        <v>0</v>
      </c>
      <c r="AJ72" s="46" t="n">
        <f aca="false">IF(AND($D72&lt;&gt;"",NOT($AI72)),1,0)</f>
        <v>0</v>
      </c>
      <c r="AK72" s="48" t="n">
        <f aca="true">IF(OR(N($G72)=0,$AI72,$D72=""),0,IFERROR(CHOOSE(MATCH(IF($H72="","FS",$H72),{"FS","SS","FF","SF"},0),WORKDAY.INTL(OFFSET(hdr_PlanFinish,MATCH($G72,tsk_ID,0),0),IF(N($F72)=0,0,1)+N($I72),WorkWeek,Holidays),WORKDAY.INTL(OFFSET(hdr_PlanStart,MATCH($G72,tsk_ID,0),0),N($I72),WorkWeek,Holidays),WORKDAY.INTL(WORKDAY.INTL(OFFSET(hdr_PlanFinish,MATCH($G72,tsk_ID,0),0),N($I72),WorkWeek,Holidays),-MAX(0,N($F72)-1),WorkWeek,Holidays),WORKDAY.INTL(WORKDAY.INTL(OFFSET(hdr_PlanStart,MATCH($G72,tsk_ID,0),0),N($I72),WorkWeek,Holidays),-MAX(0,N($F72)-1),WorkWeek,Holidays)),0))</f>
        <v>0</v>
      </c>
      <c r="AL72" s="48" t="n">
        <f aca="true">IF(OR(N($J72)=0,$AI72,$D72=""),0,IFERROR(CHOOSE(MATCH(IF($K72="","FS",$K72),{"FS","SS","FF","SF"},0),WORKDAY.INTL(OFFSET(hdr_PlanFinish,MATCH($J72,tsk_ID,0),0),IF(N($F72)=0,0,1)+N($L72),WorkWeek,Holidays),WORKDAY.INTL(OFFSET(hdr_PlanStart,MATCH($J72,tsk_ID,0),0),N($L72),WorkWeek,Holidays),WORKDAY.INTL(WORKDAY.INTL(OFFSET(hdr_PlanFinish,MATCH($J72,tsk_ID,0),0),N($L72),WorkWeek,Holidays),-MAX(0,N($F72)-1),WorkWeek,Holidays),WORKDAY.INTL(WORKDAY.INTL(OFFSET(hdr_PlanStart,MATCH($J72,tsk_ID,0),0),N($L72),WorkWeek,Holidays),-MAX(0,N($F72)-1),WorkWeek,Holidays)),0))</f>
        <v>0</v>
      </c>
      <c r="AM72" s="48" t="n">
        <f aca="true">IF(OR(N($G72)=0,$AI72,$D72=""),0,IFERROR(CHOOSE(MATCH(IF($H72="","FS",$H72),{"FS","SS","FF","SF"},0),WORKDAY.INTL(OFFSET(hdr_FcFinish,MATCH($G72,tsk_ID,0),0),IF(N($F72)=0,0,1)+N($I72),WorkWeek,Holidays),WORKDAY.INTL(OFFSET(hdr_FcStart,MATCH($G72,tsk_ID,0),0),N($I72),WorkWeek,Holidays),WORKDAY.INTL(WORKDAY.INTL(OFFSET(hdr_FcFinish,MATCH($G72,tsk_ID,0),0),N($I72),WorkWeek,Holidays),-MAX(0,N($F72)-1),WorkWeek,Holidays),WORKDAY.INTL(WORKDAY.INTL(OFFSET(hdr_FcStart,MATCH($G72,tsk_ID,0),0),N($I72),WorkWeek,Holidays),-MAX(0,N($F72)-1),WorkWeek,Holidays)),0))</f>
        <v>0</v>
      </c>
      <c r="AN72" s="48" t="n">
        <f aca="true">IF(OR(N($J72)=0,$AI72,$D72=""),0,IFERROR(CHOOSE(MATCH(IF($K72="","FS",$K72),{"FS","SS","FF","SF"},0),WORKDAY.INTL(OFFSET(hdr_FcFinish,MATCH($J72,tsk_ID,0),0),IF(N($F72)=0,0,1)+N($L72),WorkWeek,Holidays),WORKDAY.INTL(OFFSET(hdr_FcStart,MATCH($J72,tsk_ID,0),0),N($L72),WorkWeek,Holidays),WORKDAY.INTL(WORKDAY.INTL(OFFSET(hdr_FcFinish,MATCH($J72,tsk_ID,0),0),N($L72),WorkWeek,Holidays),-MAX(0,N($F72)-1),WorkWeek,Holidays),WORKDAY.INTL(WORKDAY.INTL(OFFSET(hdr_FcStart,MATCH($J72,tsk_ID,0),0),N($L72),WorkWeek,Holidays),-MAX(0,N($F72)-1),WorkWeek,Holidays)),0))</f>
        <v>0</v>
      </c>
      <c r="AO72" s="48" t="n">
        <f aca="false">IF($AJ72=1,$R72,0)</f>
        <v>0</v>
      </c>
      <c r="AP72" s="48" t="n">
        <f aca="false">IF($AJ72=1,$S72,0)</f>
        <v>0</v>
      </c>
      <c r="AQ72" s="49" t="n">
        <f aca="false">IF(AND($AJ72=1,N($Z72)&gt;0),$Z72/($AP72-$AO72+1),0)</f>
        <v>0</v>
      </c>
      <c r="AR72" s="46" t="n">
        <f aca="false">IF($AJ72=1,MAX(N($F72),0.1),0)</f>
        <v>0</v>
      </c>
      <c r="AS72" s="46" t="n">
        <f aca="false">IF($AJ72=1,$AR72*$V72,0)</f>
        <v>0</v>
      </c>
      <c r="AT72" s="46" t="str">
        <f aca="false">IF(N($G72)=0,"",$G72&amp;IF(AND(IF($H72="","FS",$H72)="FS",N($I72)=0),"",IF($H72="","FS",$H72)&amp;IF(N($I72)=0,"",IF(N($I72)&gt;0,"+","")&amp;N($I72)&amp;"d")))</f>
        <v/>
      </c>
      <c r="AU72" s="46" t="str">
        <f aca="false">IF(N($J72)=0,"",$J72&amp;IF(AND(IF($K72="","FS",$K72)="FS",N($L72)=0),"",IF($K72="","FS",$K72)&amp;IF(N($L72)=0,"",IF(N($L72)&gt;0,"+","")&amp;N($L72)&amp;"d")))</f>
        <v/>
      </c>
      <c r="AV72" s="46" t="str">
        <f aca="false">IF(AND($AJ72=1,N($F72)=0,$V72&lt;1),$S72+$AF72/100000,"")</f>
        <v/>
      </c>
    </row>
    <row r="73" customFormat="false" ht="15" hidden="false" customHeight="false" outlineLevel="0" collapsed="false">
      <c r="A73" s="38" t="str">
        <f aca="false">IF($D73="","",COUNTA($D$6:$D73))</f>
        <v/>
      </c>
      <c r="B73" s="39" t="str">
        <f aca="true">IF($D73="","",IF($AE73=1,COUNTIF($AE$6:$AE73,1)&amp;"",IF($AG73=0,"?",OFFSET(hdr_WBS,$AG73-ROW(hdr_WBS),0)&amp;"."&amp;COUNTIF(INDEX($AE:$AE,$AG73+1):$AE73,$AE73))))</f>
        <v/>
      </c>
      <c r="C73" s="40"/>
      <c r="D73" s="41"/>
      <c r="E73" s="40"/>
      <c r="F73" s="40"/>
      <c r="G73" s="40"/>
      <c r="H73" s="40"/>
      <c r="I73" s="40"/>
      <c r="J73" s="40"/>
      <c r="K73" s="40"/>
      <c r="L73" s="40"/>
      <c r="M73" s="29"/>
      <c r="N73" s="30" t="str">
        <f aca="true">IF($D73="","",IF($AI73,MIN(OFFSET(hdr_PlanStart,$AF73+1,0,$AH73,1)),IF($E73="Manual",IF(N($M73)&gt;0,$M73,ProjectStart),WORKDAY.INTL(MAX(ProjectStart,N($M73),$AK73,$AL73)-1,1,WorkWeek,Holidays))))</f>
        <v/>
      </c>
      <c r="O73" s="30" t="str">
        <f aca="true">IF($D73="","",IF($AI73,MAX(OFFSET(hdr_PlanFinish,$AF73+1,0,$AH73,1)),IF(N($F73)&lt;=0,$N73,WORKDAY.INTL($N73,$F73-1,WorkWeek,Holidays))))</f>
        <v/>
      </c>
      <c r="P73" s="29"/>
      <c r="Q73" s="29"/>
      <c r="R73" s="30" t="str">
        <f aca="true">IF($D73="","",IF($AI73,MIN(OFFSET(hdr_FcStart,$AF73+1,0,$AH73,1)),IF(N($P73)&gt;0,$P73,IF($E73="Manual",IF(N($M73)&gt;0,$M73,ProjectStart),WORKDAY.INTL(MAX(ProjectStart,N($M73),$AM73,$AN73,IF(RescheduleAfterStatus="Yes",StatusDate,0))-1,1,WorkWeek,Holidays)))))</f>
        <v/>
      </c>
      <c r="S73" s="30" t="str">
        <f aca="true">IF($D73="","",IF($AI73,MAX(OFFSET(hdr_FcFinish,$AF73+1,0,$AH73,1)),IF(N($Q73)&gt;0,$Q73,IF(N($F73)&lt;=0,$R73,IF(AND(N($P73)&gt;0,RescheduleAfterStatus="Yes"),MAX(WORKDAY.INTL($R73,$F73-1,WorkWeek,Holidays),WORKDAY.INTL(StatusWorkday,MAX(0,ROUNDUP($F73*(1-MIN(1,N($U73))),0)-1),WorkWeek,Holidays)),WORKDAY.INTL($R73,$F73-1,WorkWeek,Holidays))))))</f>
        <v/>
      </c>
      <c r="T73" s="38" t="str">
        <f aca="false">IF($D73="","",IF($S73&gt;=$O73,NETWORKDAYS.INTL($O73,$S73,WorkWeek,Holidays)-1,1-NETWORKDAYS.INTL($S73,$O73,WorkWeek,Holidays)))</f>
        <v/>
      </c>
      <c r="U73" s="32"/>
      <c r="V73" s="42" t="str">
        <f aca="true">IF($D73="","",IF($AI73,IFERROR(SUM(OFFSET(hdr_WtDone,$AF73+1,0,$AH73,1))/SUM(OFFSET(hdr_WtDur,$AF73+1,0,$AH73,1)),0),IF(N($Q73)&gt;0,1,MIN(1,N($U73)))))</f>
        <v/>
      </c>
      <c r="W73" s="39" t="str">
        <f aca="false">IF($D73="","",IF($V73&gt;=1,"Complete",IF(OR(N($P73)&gt;0,$V73&gt;0),IF($T73&gt;0,"Behind","In Progress"),IF($N73&lt;StatusDate,"Late Start","Not Started"))))</f>
        <v/>
      </c>
      <c r="X73" s="41"/>
      <c r="Y73" s="32"/>
      <c r="Z73" s="43" t="str">
        <f aca="true">IF($D73="","",IF($AI73,SUMPRODUCT(OFFSET(hdr_Work,$AF73+1,0,$AH73,1),OFFSET(hdr_IsLeaf,$AF73+1,0,$AH73,1)),IF($X73="",0,N($F73)*HoursPerDay*IF($Y73="",DefaultUnits,$Y73))))</f>
        <v/>
      </c>
      <c r="AA73" s="44" t="str">
        <f aca="true">IF($D73="","",IF($AI73,SUMPRODUCT(OFFSET(hdr_Cost,$AF73+1,0,$AH73,1),OFFSET(hdr_IsLeaf,$AF73+1,0,$AH73,1)),$Z73*IFERROR(INDEX(res_Rate,MATCH($X73,res_Name,0)),0)))</f>
        <v/>
      </c>
      <c r="AB73" s="38" t="str">
        <f aca="false">IF(OR($D73="",$AI73),"",IF(OR($R73&lt;Sprint1Start,$R73&gt;SprintLastEnd),"Backlog",INDEX(spr_Name,MATCH($R73,spr_Start,1))))</f>
        <v/>
      </c>
      <c r="AC73" s="45" t="str">
        <f aca="false">IF($D73="","",$AT73&amp;IF(AND($AT73&lt;&gt;"",$AU73&lt;&gt;""),",","")&amp;$AU73)</f>
        <v/>
      </c>
      <c r="AD73" s="41"/>
      <c r="AE73" s="46" t="str">
        <f aca="false">IF($D73="","",MAX(1,N($C73)))</f>
        <v/>
      </c>
      <c r="AF73" s="46" t="n">
        <f aca="false">ROW()-ROW(hdr_ID)</f>
        <v>68</v>
      </c>
      <c r="AG73" s="46" t="n">
        <f aca="false">IF(OR($D73="",$AE73&lt;=1),0,IFERROR(LOOKUP(2,1/($AE$5:$AE72=$AE73-1),ROW($AE$5:$AE72)),0))</f>
        <v>0</v>
      </c>
      <c r="AH73" s="46" t="n">
        <f aca="false">IF($D73="",0,COUNTIF(tsk_WBS,$B73&amp;".*"))</f>
        <v>0</v>
      </c>
      <c r="AI73" s="47" t="b">
        <f aca="false">$AH73&gt;0</f>
        <v>0</v>
      </c>
      <c r="AJ73" s="46" t="n">
        <f aca="false">IF(AND($D73&lt;&gt;"",NOT($AI73)),1,0)</f>
        <v>0</v>
      </c>
      <c r="AK73" s="48" t="n">
        <f aca="true">IF(OR(N($G73)=0,$AI73,$D73=""),0,IFERROR(CHOOSE(MATCH(IF($H73="","FS",$H73),{"FS","SS","FF","SF"},0),WORKDAY.INTL(OFFSET(hdr_PlanFinish,MATCH($G73,tsk_ID,0),0),IF(N($F73)=0,0,1)+N($I73),WorkWeek,Holidays),WORKDAY.INTL(OFFSET(hdr_PlanStart,MATCH($G73,tsk_ID,0),0),N($I73),WorkWeek,Holidays),WORKDAY.INTL(WORKDAY.INTL(OFFSET(hdr_PlanFinish,MATCH($G73,tsk_ID,0),0),N($I73),WorkWeek,Holidays),-MAX(0,N($F73)-1),WorkWeek,Holidays),WORKDAY.INTL(WORKDAY.INTL(OFFSET(hdr_PlanStart,MATCH($G73,tsk_ID,0),0),N($I73),WorkWeek,Holidays),-MAX(0,N($F73)-1),WorkWeek,Holidays)),0))</f>
        <v>0</v>
      </c>
      <c r="AL73" s="48" t="n">
        <f aca="true">IF(OR(N($J73)=0,$AI73,$D73=""),0,IFERROR(CHOOSE(MATCH(IF($K73="","FS",$K73),{"FS","SS","FF","SF"},0),WORKDAY.INTL(OFFSET(hdr_PlanFinish,MATCH($J73,tsk_ID,0),0),IF(N($F73)=0,0,1)+N($L73),WorkWeek,Holidays),WORKDAY.INTL(OFFSET(hdr_PlanStart,MATCH($J73,tsk_ID,0),0),N($L73),WorkWeek,Holidays),WORKDAY.INTL(WORKDAY.INTL(OFFSET(hdr_PlanFinish,MATCH($J73,tsk_ID,0),0),N($L73),WorkWeek,Holidays),-MAX(0,N($F73)-1),WorkWeek,Holidays),WORKDAY.INTL(WORKDAY.INTL(OFFSET(hdr_PlanStart,MATCH($J73,tsk_ID,0),0),N($L73),WorkWeek,Holidays),-MAX(0,N($F73)-1),WorkWeek,Holidays)),0))</f>
        <v>0</v>
      </c>
      <c r="AM73" s="48" t="n">
        <f aca="true">IF(OR(N($G73)=0,$AI73,$D73=""),0,IFERROR(CHOOSE(MATCH(IF($H73="","FS",$H73),{"FS","SS","FF","SF"},0),WORKDAY.INTL(OFFSET(hdr_FcFinish,MATCH($G73,tsk_ID,0),0),IF(N($F73)=0,0,1)+N($I73),WorkWeek,Holidays),WORKDAY.INTL(OFFSET(hdr_FcStart,MATCH($G73,tsk_ID,0),0),N($I73),WorkWeek,Holidays),WORKDAY.INTL(WORKDAY.INTL(OFFSET(hdr_FcFinish,MATCH($G73,tsk_ID,0),0),N($I73),WorkWeek,Holidays),-MAX(0,N($F73)-1),WorkWeek,Holidays),WORKDAY.INTL(WORKDAY.INTL(OFFSET(hdr_FcStart,MATCH($G73,tsk_ID,0),0),N($I73),WorkWeek,Holidays),-MAX(0,N($F73)-1),WorkWeek,Holidays)),0))</f>
        <v>0</v>
      </c>
      <c r="AN73" s="48" t="n">
        <f aca="true">IF(OR(N($J73)=0,$AI73,$D73=""),0,IFERROR(CHOOSE(MATCH(IF($K73="","FS",$K73),{"FS","SS","FF","SF"},0),WORKDAY.INTL(OFFSET(hdr_FcFinish,MATCH($J73,tsk_ID,0),0),IF(N($F73)=0,0,1)+N($L73),WorkWeek,Holidays),WORKDAY.INTL(OFFSET(hdr_FcStart,MATCH($J73,tsk_ID,0),0),N($L73),WorkWeek,Holidays),WORKDAY.INTL(WORKDAY.INTL(OFFSET(hdr_FcFinish,MATCH($J73,tsk_ID,0),0),N($L73),WorkWeek,Holidays),-MAX(0,N($F73)-1),WorkWeek,Holidays),WORKDAY.INTL(WORKDAY.INTL(OFFSET(hdr_FcStart,MATCH($J73,tsk_ID,0),0),N($L73),WorkWeek,Holidays),-MAX(0,N($F73)-1),WorkWeek,Holidays)),0))</f>
        <v>0</v>
      </c>
      <c r="AO73" s="48" t="n">
        <f aca="false">IF($AJ73=1,$R73,0)</f>
        <v>0</v>
      </c>
      <c r="AP73" s="48" t="n">
        <f aca="false">IF($AJ73=1,$S73,0)</f>
        <v>0</v>
      </c>
      <c r="AQ73" s="49" t="n">
        <f aca="false">IF(AND($AJ73=1,N($Z73)&gt;0),$Z73/($AP73-$AO73+1),0)</f>
        <v>0</v>
      </c>
      <c r="AR73" s="46" t="n">
        <f aca="false">IF($AJ73=1,MAX(N($F73),0.1),0)</f>
        <v>0</v>
      </c>
      <c r="AS73" s="46" t="n">
        <f aca="false">IF($AJ73=1,$AR73*$V73,0)</f>
        <v>0</v>
      </c>
      <c r="AT73" s="46" t="str">
        <f aca="false">IF(N($G73)=0,"",$G73&amp;IF(AND(IF($H73="","FS",$H73)="FS",N($I73)=0),"",IF($H73="","FS",$H73)&amp;IF(N($I73)=0,"",IF(N($I73)&gt;0,"+","")&amp;N($I73)&amp;"d")))</f>
        <v/>
      </c>
      <c r="AU73" s="46" t="str">
        <f aca="false">IF(N($J73)=0,"",$J73&amp;IF(AND(IF($K73="","FS",$K73)="FS",N($L73)=0),"",IF($K73="","FS",$K73)&amp;IF(N($L73)=0,"",IF(N($L73)&gt;0,"+","")&amp;N($L73)&amp;"d")))</f>
        <v/>
      </c>
      <c r="AV73" s="46" t="str">
        <f aca="false">IF(AND($AJ73=1,N($F73)=0,$V73&lt;1),$S73+$AF73/100000,"")</f>
        <v/>
      </c>
    </row>
    <row r="74" customFormat="false" ht="15" hidden="false" customHeight="false" outlineLevel="0" collapsed="false">
      <c r="A74" s="38" t="str">
        <f aca="false">IF($D74="","",COUNTA($D$6:$D74))</f>
        <v/>
      </c>
      <c r="B74" s="39" t="str">
        <f aca="true">IF($D74="","",IF($AE74=1,COUNTIF($AE$6:$AE74,1)&amp;"",IF($AG74=0,"?",OFFSET(hdr_WBS,$AG74-ROW(hdr_WBS),0)&amp;"."&amp;COUNTIF(INDEX($AE:$AE,$AG74+1):$AE74,$AE74))))</f>
        <v/>
      </c>
      <c r="C74" s="40"/>
      <c r="D74" s="41"/>
      <c r="E74" s="40"/>
      <c r="F74" s="40"/>
      <c r="G74" s="40"/>
      <c r="H74" s="40"/>
      <c r="I74" s="40"/>
      <c r="J74" s="40"/>
      <c r="K74" s="40"/>
      <c r="L74" s="40"/>
      <c r="M74" s="29"/>
      <c r="N74" s="30" t="str">
        <f aca="true">IF($D74="","",IF($AI74,MIN(OFFSET(hdr_PlanStart,$AF74+1,0,$AH74,1)),IF($E74="Manual",IF(N($M74)&gt;0,$M74,ProjectStart),WORKDAY.INTL(MAX(ProjectStart,N($M74),$AK74,$AL74)-1,1,WorkWeek,Holidays))))</f>
        <v/>
      </c>
      <c r="O74" s="30" t="str">
        <f aca="true">IF($D74="","",IF($AI74,MAX(OFFSET(hdr_PlanFinish,$AF74+1,0,$AH74,1)),IF(N($F74)&lt;=0,$N74,WORKDAY.INTL($N74,$F74-1,WorkWeek,Holidays))))</f>
        <v/>
      </c>
      <c r="P74" s="29"/>
      <c r="Q74" s="29"/>
      <c r="R74" s="30" t="str">
        <f aca="true">IF($D74="","",IF($AI74,MIN(OFFSET(hdr_FcStart,$AF74+1,0,$AH74,1)),IF(N($P74)&gt;0,$P74,IF($E74="Manual",IF(N($M74)&gt;0,$M74,ProjectStart),WORKDAY.INTL(MAX(ProjectStart,N($M74),$AM74,$AN74,IF(RescheduleAfterStatus="Yes",StatusDate,0))-1,1,WorkWeek,Holidays)))))</f>
        <v/>
      </c>
      <c r="S74" s="30" t="str">
        <f aca="true">IF($D74="","",IF($AI74,MAX(OFFSET(hdr_FcFinish,$AF74+1,0,$AH74,1)),IF(N($Q74)&gt;0,$Q74,IF(N($F74)&lt;=0,$R74,IF(AND(N($P74)&gt;0,RescheduleAfterStatus="Yes"),MAX(WORKDAY.INTL($R74,$F74-1,WorkWeek,Holidays),WORKDAY.INTL(StatusWorkday,MAX(0,ROUNDUP($F74*(1-MIN(1,N($U74))),0)-1),WorkWeek,Holidays)),WORKDAY.INTL($R74,$F74-1,WorkWeek,Holidays))))))</f>
        <v/>
      </c>
      <c r="T74" s="38" t="str">
        <f aca="false">IF($D74="","",IF($S74&gt;=$O74,NETWORKDAYS.INTL($O74,$S74,WorkWeek,Holidays)-1,1-NETWORKDAYS.INTL($S74,$O74,WorkWeek,Holidays)))</f>
        <v/>
      </c>
      <c r="U74" s="32"/>
      <c r="V74" s="42" t="str">
        <f aca="true">IF($D74="","",IF($AI74,IFERROR(SUM(OFFSET(hdr_WtDone,$AF74+1,0,$AH74,1))/SUM(OFFSET(hdr_WtDur,$AF74+1,0,$AH74,1)),0),IF(N($Q74)&gt;0,1,MIN(1,N($U74)))))</f>
        <v/>
      </c>
      <c r="W74" s="39" t="str">
        <f aca="false">IF($D74="","",IF($V74&gt;=1,"Complete",IF(OR(N($P74)&gt;0,$V74&gt;0),IF($T74&gt;0,"Behind","In Progress"),IF($N74&lt;StatusDate,"Late Start","Not Started"))))</f>
        <v/>
      </c>
      <c r="X74" s="41"/>
      <c r="Y74" s="32"/>
      <c r="Z74" s="43" t="str">
        <f aca="true">IF($D74="","",IF($AI74,SUMPRODUCT(OFFSET(hdr_Work,$AF74+1,0,$AH74,1),OFFSET(hdr_IsLeaf,$AF74+1,0,$AH74,1)),IF($X74="",0,N($F74)*HoursPerDay*IF($Y74="",DefaultUnits,$Y74))))</f>
        <v/>
      </c>
      <c r="AA74" s="44" t="str">
        <f aca="true">IF($D74="","",IF($AI74,SUMPRODUCT(OFFSET(hdr_Cost,$AF74+1,0,$AH74,1),OFFSET(hdr_IsLeaf,$AF74+1,0,$AH74,1)),$Z74*IFERROR(INDEX(res_Rate,MATCH($X74,res_Name,0)),0)))</f>
        <v/>
      </c>
      <c r="AB74" s="38" t="str">
        <f aca="false">IF(OR($D74="",$AI74),"",IF(OR($R74&lt;Sprint1Start,$R74&gt;SprintLastEnd),"Backlog",INDEX(spr_Name,MATCH($R74,spr_Start,1))))</f>
        <v/>
      </c>
      <c r="AC74" s="45" t="str">
        <f aca="false">IF($D74="","",$AT74&amp;IF(AND($AT74&lt;&gt;"",$AU74&lt;&gt;""),",","")&amp;$AU74)</f>
        <v/>
      </c>
      <c r="AD74" s="41"/>
      <c r="AE74" s="46" t="str">
        <f aca="false">IF($D74="","",MAX(1,N($C74)))</f>
        <v/>
      </c>
      <c r="AF74" s="46" t="n">
        <f aca="false">ROW()-ROW(hdr_ID)</f>
        <v>69</v>
      </c>
      <c r="AG74" s="46" t="n">
        <f aca="false">IF(OR($D74="",$AE74&lt;=1),0,IFERROR(LOOKUP(2,1/($AE$5:$AE73=$AE74-1),ROW($AE$5:$AE73)),0))</f>
        <v>0</v>
      </c>
      <c r="AH74" s="46" t="n">
        <f aca="false">IF($D74="",0,COUNTIF(tsk_WBS,$B74&amp;".*"))</f>
        <v>0</v>
      </c>
      <c r="AI74" s="47" t="b">
        <f aca="false">$AH74&gt;0</f>
        <v>0</v>
      </c>
      <c r="AJ74" s="46" t="n">
        <f aca="false">IF(AND($D74&lt;&gt;"",NOT($AI74)),1,0)</f>
        <v>0</v>
      </c>
      <c r="AK74" s="48" t="n">
        <f aca="true">IF(OR(N($G74)=0,$AI74,$D74=""),0,IFERROR(CHOOSE(MATCH(IF($H74="","FS",$H74),{"FS","SS","FF","SF"},0),WORKDAY.INTL(OFFSET(hdr_PlanFinish,MATCH($G74,tsk_ID,0),0),IF(N($F74)=0,0,1)+N($I74),WorkWeek,Holidays),WORKDAY.INTL(OFFSET(hdr_PlanStart,MATCH($G74,tsk_ID,0),0),N($I74),WorkWeek,Holidays),WORKDAY.INTL(WORKDAY.INTL(OFFSET(hdr_PlanFinish,MATCH($G74,tsk_ID,0),0),N($I74),WorkWeek,Holidays),-MAX(0,N($F74)-1),WorkWeek,Holidays),WORKDAY.INTL(WORKDAY.INTL(OFFSET(hdr_PlanStart,MATCH($G74,tsk_ID,0),0),N($I74),WorkWeek,Holidays),-MAX(0,N($F74)-1),WorkWeek,Holidays)),0))</f>
        <v>0</v>
      </c>
      <c r="AL74" s="48" t="n">
        <f aca="true">IF(OR(N($J74)=0,$AI74,$D74=""),0,IFERROR(CHOOSE(MATCH(IF($K74="","FS",$K74),{"FS","SS","FF","SF"},0),WORKDAY.INTL(OFFSET(hdr_PlanFinish,MATCH($J74,tsk_ID,0),0),IF(N($F74)=0,0,1)+N($L74),WorkWeek,Holidays),WORKDAY.INTL(OFFSET(hdr_PlanStart,MATCH($J74,tsk_ID,0),0),N($L74),WorkWeek,Holidays),WORKDAY.INTL(WORKDAY.INTL(OFFSET(hdr_PlanFinish,MATCH($J74,tsk_ID,0),0),N($L74),WorkWeek,Holidays),-MAX(0,N($F74)-1),WorkWeek,Holidays),WORKDAY.INTL(WORKDAY.INTL(OFFSET(hdr_PlanStart,MATCH($J74,tsk_ID,0),0),N($L74),WorkWeek,Holidays),-MAX(0,N($F74)-1),WorkWeek,Holidays)),0))</f>
        <v>0</v>
      </c>
      <c r="AM74" s="48" t="n">
        <f aca="true">IF(OR(N($G74)=0,$AI74,$D74=""),0,IFERROR(CHOOSE(MATCH(IF($H74="","FS",$H74),{"FS","SS","FF","SF"},0),WORKDAY.INTL(OFFSET(hdr_FcFinish,MATCH($G74,tsk_ID,0),0),IF(N($F74)=0,0,1)+N($I74),WorkWeek,Holidays),WORKDAY.INTL(OFFSET(hdr_FcStart,MATCH($G74,tsk_ID,0),0),N($I74),WorkWeek,Holidays),WORKDAY.INTL(WORKDAY.INTL(OFFSET(hdr_FcFinish,MATCH($G74,tsk_ID,0),0),N($I74),WorkWeek,Holidays),-MAX(0,N($F74)-1),WorkWeek,Holidays),WORKDAY.INTL(WORKDAY.INTL(OFFSET(hdr_FcStart,MATCH($G74,tsk_ID,0),0),N($I74),WorkWeek,Holidays),-MAX(0,N($F74)-1),WorkWeek,Holidays)),0))</f>
        <v>0</v>
      </c>
      <c r="AN74" s="48" t="n">
        <f aca="true">IF(OR(N($J74)=0,$AI74,$D74=""),0,IFERROR(CHOOSE(MATCH(IF($K74="","FS",$K74),{"FS","SS","FF","SF"},0),WORKDAY.INTL(OFFSET(hdr_FcFinish,MATCH($J74,tsk_ID,0),0),IF(N($F74)=0,0,1)+N($L74),WorkWeek,Holidays),WORKDAY.INTL(OFFSET(hdr_FcStart,MATCH($J74,tsk_ID,0),0),N($L74),WorkWeek,Holidays),WORKDAY.INTL(WORKDAY.INTL(OFFSET(hdr_FcFinish,MATCH($J74,tsk_ID,0),0),N($L74),WorkWeek,Holidays),-MAX(0,N($F74)-1),WorkWeek,Holidays),WORKDAY.INTL(WORKDAY.INTL(OFFSET(hdr_FcStart,MATCH($J74,tsk_ID,0),0),N($L74),WorkWeek,Holidays),-MAX(0,N($F74)-1),WorkWeek,Holidays)),0))</f>
        <v>0</v>
      </c>
      <c r="AO74" s="48" t="n">
        <f aca="false">IF($AJ74=1,$R74,0)</f>
        <v>0</v>
      </c>
      <c r="AP74" s="48" t="n">
        <f aca="false">IF($AJ74=1,$S74,0)</f>
        <v>0</v>
      </c>
      <c r="AQ74" s="49" t="n">
        <f aca="false">IF(AND($AJ74=1,N($Z74)&gt;0),$Z74/($AP74-$AO74+1),0)</f>
        <v>0</v>
      </c>
      <c r="AR74" s="46" t="n">
        <f aca="false">IF($AJ74=1,MAX(N($F74),0.1),0)</f>
        <v>0</v>
      </c>
      <c r="AS74" s="46" t="n">
        <f aca="false">IF($AJ74=1,$AR74*$V74,0)</f>
        <v>0</v>
      </c>
      <c r="AT74" s="46" t="str">
        <f aca="false">IF(N($G74)=0,"",$G74&amp;IF(AND(IF($H74="","FS",$H74)="FS",N($I74)=0),"",IF($H74="","FS",$H74)&amp;IF(N($I74)=0,"",IF(N($I74)&gt;0,"+","")&amp;N($I74)&amp;"d")))</f>
        <v/>
      </c>
      <c r="AU74" s="46" t="str">
        <f aca="false">IF(N($J74)=0,"",$J74&amp;IF(AND(IF($K74="","FS",$K74)="FS",N($L74)=0),"",IF($K74="","FS",$K74)&amp;IF(N($L74)=0,"",IF(N($L74)&gt;0,"+","")&amp;N($L74)&amp;"d")))</f>
        <v/>
      </c>
      <c r="AV74" s="46" t="str">
        <f aca="false">IF(AND($AJ74=1,N($F74)=0,$V74&lt;1),$S74+$AF74/100000,"")</f>
        <v/>
      </c>
    </row>
    <row r="75" customFormat="false" ht="15" hidden="false" customHeight="false" outlineLevel="0" collapsed="false">
      <c r="A75" s="38" t="str">
        <f aca="false">IF($D75="","",COUNTA($D$6:$D75))</f>
        <v/>
      </c>
      <c r="B75" s="39" t="str">
        <f aca="true">IF($D75="","",IF($AE75=1,COUNTIF($AE$6:$AE75,1)&amp;"",IF($AG75=0,"?",OFFSET(hdr_WBS,$AG75-ROW(hdr_WBS),0)&amp;"."&amp;COUNTIF(INDEX($AE:$AE,$AG75+1):$AE75,$AE75))))</f>
        <v/>
      </c>
      <c r="C75" s="40"/>
      <c r="D75" s="41"/>
      <c r="E75" s="40"/>
      <c r="F75" s="40"/>
      <c r="G75" s="40"/>
      <c r="H75" s="40"/>
      <c r="I75" s="40"/>
      <c r="J75" s="40"/>
      <c r="K75" s="40"/>
      <c r="L75" s="40"/>
      <c r="M75" s="29"/>
      <c r="N75" s="30" t="str">
        <f aca="true">IF($D75="","",IF($AI75,MIN(OFFSET(hdr_PlanStart,$AF75+1,0,$AH75,1)),IF($E75="Manual",IF(N($M75)&gt;0,$M75,ProjectStart),WORKDAY.INTL(MAX(ProjectStart,N($M75),$AK75,$AL75)-1,1,WorkWeek,Holidays))))</f>
        <v/>
      </c>
      <c r="O75" s="30" t="str">
        <f aca="true">IF($D75="","",IF($AI75,MAX(OFFSET(hdr_PlanFinish,$AF75+1,0,$AH75,1)),IF(N($F75)&lt;=0,$N75,WORKDAY.INTL($N75,$F75-1,WorkWeek,Holidays))))</f>
        <v/>
      </c>
      <c r="P75" s="29"/>
      <c r="Q75" s="29"/>
      <c r="R75" s="30" t="str">
        <f aca="true">IF($D75="","",IF($AI75,MIN(OFFSET(hdr_FcStart,$AF75+1,0,$AH75,1)),IF(N($P75)&gt;0,$P75,IF($E75="Manual",IF(N($M75)&gt;0,$M75,ProjectStart),WORKDAY.INTL(MAX(ProjectStart,N($M75),$AM75,$AN75,IF(RescheduleAfterStatus="Yes",StatusDate,0))-1,1,WorkWeek,Holidays)))))</f>
        <v/>
      </c>
      <c r="S75" s="30" t="str">
        <f aca="true">IF($D75="","",IF($AI75,MAX(OFFSET(hdr_FcFinish,$AF75+1,0,$AH75,1)),IF(N($Q75)&gt;0,$Q75,IF(N($F75)&lt;=0,$R75,IF(AND(N($P75)&gt;0,RescheduleAfterStatus="Yes"),MAX(WORKDAY.INTL($R75,$F75-1,WorkWeek,Holidays),WORKDAY.INTL(StatusWorkday,MAX(0,ROUNDUP($F75*(1-MIN(1,N($U75))),0)-1),WorkWeek,Holidays)),WORKDAY.INTL($R75,$F75-1,WorkWeek,Holidays))))))</f>
        <v/>
      </c>
      <c r="T75" s="38" t="str">
        <f aca="false">IF($D75="","",IF($S75&gt;=$O75,NETWORKDAYS.INTL($O75,$S75,WorkWeek,Holidays)-1,1-NETWORKDAYS.INTL($S75,$O75,WorkWeek,Holidays)))</f>
        <v/>
      </c>
      <c r="U75" s="32"/>
      <c r="V75" s="42" t="str">
        <f aca="true">IF($D75="","",IF($AI75,IFERROR(SUM(OFFSET(hdr_WtDone,$AF75+1,0,$AH75,1))/SUM(OFFSET(hdr_WtDur,$AF75+1,0,$AH75,1)),0),IF(N($Q75)&gt;0,1,MIN(1,N($U75)))))</f>
        <v/>
      </c>
      <c r="W75" s="39" t="str">
        <f aca="false">IF($D75="","",IF($V75&gt;=1,"Complete",IF(OR(N($P75)&gt;0,$V75&gt;0),IF($T75&gt;0,"Behind","In Progress"),IF($N75&lt;StatusDate,"Late Start","Not Started"))))</f>
        <v/>
      </c>
      <c r="X75" s="41"/>
      <c r="Y75" s="32"/>
      <c r="Z75" s="43" t="str">
        <f aca="true">IF($D75="","",IF($AI75,SUMPRODUCT(OFFSET(hdr_Work,$AF75+1,0,$AH75,1),OFFSET(hdr_IsLeaf,$AF75+1,0,$AH75,1)),IF($X75="",0,N($F75)*HoursPerDay*IF($Y75="",DefaultUnits,$Y75))))</f>
        <v/>
      </c>
      <c r="AA75" s="44" t="str">
        <f aca="true">IF($D75="","",IF($AI75,SUMPRODUCT(OFFSET(hdr_Cost,$AF75+1,0,$AH75,1),OFFSET(hdr_IsLeaf,$AF75+1,0,$AH75,1)),$Z75*IFERROR(INDEX(res_Rate,MATCH($X75,res_Name,0)),0)))</f>
        <v/>
      </c>
      <c r="AB75" s="38" t="str">
        <f aca="false">IF(OR($D75="",$AI75),"",IF(OR($R75&lt;Sprint1Start,$R75&gt;SprintLastEnd),"Backlog",INDEX(spr_Name,MATCH($R75,spr_Start,1))))</f>
        <v/>
      </c>
      <c r="AC75" s="45" t="str">
        <f aca="false">IF($D75="","",$AT75&amp;IF(AND($AT75&lt;&gt;"",$AU75&lt;&gt;""),",","")&amp;$AU75)</f>
        <v/>
      </c>
      <c r="AD75" s="41"/>
      <c r="AE75" s="46" t="str">
        <f aca="false">IF($D75="","",MAX(1,N($C75)))</f>
        <v/>
      </c>
      <c r="AF75" s="46" t="n">
        <f aca="false">ROW()-ROW(hdr_ID)</f>
        <v>70</v>
      </c>
      <c r="AG75" s="46" t="n">
        <f aca="false">IF(OR($D75="",$AE75&lt;=1),0,IFERROR(LOOKUP(2,1/($AE$5:$AE74=$AE75-1),ROW($AE$5:$AE74)),0))</f>
        <v>0</v>
      </c>
      <c r="AH75" s="46" t="n">
        <f aca="false">IF($D75="",0,COUNTIF(tsk_WBS,$B75&amp;".*"))</f>
        <v>0</v>
      </c>
      <c r="AI75" s="47" t="b">
        <f aca="false">$AH75&gt;0</f>
        <v>0</v>
      </c>
      <c r="AJ75" s="46" t="n">
        <f aca="false">IF(AND($D75&lt;&gt;"",NOT($AI75)),1,0)</f>
        <v>0</v>
      </c>
      <c r="AK75" s="48" t="n">
        <f aca="true">IF(OR(N($G75)=0,$AI75,$D75=""),0,IFERROR(CHOOSE(MATCH(IF($H75="","FS",$H75),{"FS","SS","FF","SF"},0),WORKDAY.INTL(OFFSET(hdr_PlanFinish,MATCH($G75,tsk_ID,0),0),IF(N($F75)=0,0,1)+N($I75),WorkWeek,Holidays),WORKDAY.INTL(OFFSET(hdr_PlanStart,MATCH($G75,tsk_ID,0),0),N($I75),WorkWeek,Holidays),WORKDAY.INTL(WORKDAY.INTL(OFFSET(hdr_PlanFinish,MATCH($G75,tsk_ID,0),0),N($I75),WorkWeek,Holidays),-MAX(0,N($F75)-1),WorkWeek,Holidays),WORKDAY.INTL(WORKDAY.INTL(OFFSET(hdr_PlanStart,MATCH($G75,tsk_ID,0),0),N($I75),WorkWeek,Holidays),-MAX(0,N($F75)-1),WorkWeek,Holidays)),0))</f>
        <v>0</v>
      </c>
      <c r="AL75" s="48" t="n">
        <f aca="true">IF(OR(N($J75)=0,$AI75,$D75=""),0,IFERROR(CHOOSE(MATCH(IF($K75="","FS",$K75),{"FS","SS","FF","SF"},0),WORKDAY.INTL(OFFSET(hdr_PlanFinish,MATCH($J75,tsk_ID,0),0),IF(N($F75)=0,0,1)+N($L75),WorkWeek,Holidays),WORKDAY.INTL(OFFSET(hdr_PlanStart,MATCH($J75,tsk_ID,0),0),N($L75),WorkWeek,Holidays),WORKDAY.INTL(WORKDAY.INTL(OFFSET(hdr_PlanFinish,MATCH($J75,tsk_ID,0),0),N($L75),WorkWeek,Holidays),-MAX(0,N($F75)-1),WorkWeek,Holidays),WORKDAY.INTL(WORKDAY.INTL(OFFSET(hdr_PlanStart,MATCH($J75,tsk_ID,0),0),N($L75),WorkWeek,Holidays),-MAX(0,N($F75)-1),WorkWeek,Holidays)),0))</f>
        <v>0</v>
      </c>
      <c r="AM75" s="48" t="n">
        <f aca="true">IF(OR(N($G75)=0,$AI75,$D75=""),0,IFERROR(CHOOSE(MATCH(IF($H75="","FS",$H75),{"FS","SS","FF","SF"},0),WORKDAY.INTL(OFFSET(hdr_FcFinish,MATCH($G75,tsk_ID,0),0),IF(N($F75)=0,0,1)+N($I75),WorkWeek,Holidays),WORKDAY.INTL(OFFSET(hdr_FcStart,MATCH($G75,tsk_ID,0),0),N($I75),WorkWeek,Holidays),WORKDAY.INTL(WORKDAY.INTL(OFFSET(hdr_FcFinish,MATCH($G75,tsk_ID,0),0),N($I75),WorkWeek,Holidays),-MAX(0,N($F75)-1),WorkWeek,Holidays),WORKDAY.INTL(WORKDAY.INTL(OFFSET(hdr_FcStart,MATCH($G75,tsk_ID,0),0),N($I75),WorkWeek,Holidays),-MAX(0,N($F75)-1),WorkWeek,Holidays)),0))</f>
        <v>0</v>
      </c>
      <c r="AN75" s="48" t="n">
        <f aca="true">IF(OR(N($J75)=0,$AI75,$D75=""),0,IFERROR(CHOOSE(MATCH(IF($K75="","FS",$K75),{"FS","SS","FF","SF"},0),WORKDAY.INTL(OFFSET(hdr_FcFinish,MATCH($J75,tsk_ID,0),0),IF(N($F75)=0,0,1)+N($L75),WorkWeek,Holidays),WORKDAY.INTL(OFFSET(hdr_FcStart,MATCH($J75,tsk_ID,0),0),N($L75),WorkWeek,Holidays),WORKDAY.INTL(WORKDAY.INTL(OFFSET(hdr_FcFinish,MATCH($J75,tsk_ID,0),0),N($L75),WorkWeek,Holidays),-MAX(0,N($F75)-1),WorkWeek,Holidays),WORKDAY.INTL(WORKDAY.INTL(OFFSET(hdr_FcStart,MATCH($J75,tsk_ID,0),0),N($L75),WorkWeek,Holidays),-MAX(0,N($F75)-1),WorkWeek,Holidays)),0))</f>
        <v>0</v>
      </c>
      <c r="AO75" s="48" t="n">
        <f aca="false">IF($AJ75=1,$R75,0)</f>
        <v>0</v>
      </c>
      <c r="AP75" s="48" t="n">
        <f aca="false">IF($AJ75=1,$S75,0)</f>
        <v>0</v>
      </c>
      <c r="AQ75" s="49" t="n">
        <f aca="false">IF(AND($AJ75=1,N($Z75)&gt;0),$Z75/($AP75-$AO75+1),0)</f>
        <v>0</v>
      </c>
      <c r="AR75" s="46" t="n">
        <f aca="false">IF($AJ75=1,MAX(N($F75),0.1),0)</f>
        <v>0</v>
      </c>
      <c r="AS75" s="46" t="n">
        <f aca="false">IF($AJ75=1,$AR75*$V75,0)</f>
        <v>0</v>
      </c>
      <c r="AT75" s="46" t="str">
        <f aca="false">IF(N($G75)=0,"",$G75&amp;IF(AND(IF($H75="","FS",$H75)="FS",N($I75)=0),"",IF($H75="","FS",$H75)&amp;IF(N($I75)=0,"",IF(N($I75)&gt;0,"+","")&amp;N($I75)&amp;"d")))</f>
        <v/>
      </c>
      <c r="AU75" s="46" t="str">
        <f aca="false">IF(N($J75)=0,"",$J75&amp;IF(AND(IF($K75="","FS",$K75)="FS",N($L75)=0),"",IF($K75="","FS",$K75)&amp;IF(N($L75)=0,"",IF(N($L75)&gt;0,"+","")&amp;N($L75)&amp;"d")))</f>
        <v/>
      </c>
      <c r="AV75" s="46" t="str">
        <f aca="false">IF(AND($AJ75=1,N($F75)=0,$V75&lt;1),$S75+$AF75/100000,"")</f>
        <v/>
      </c>
    </row>
    <row r="76" customFormat="false" ht="15" hidden="false" customHeight="false" outlineLevel="0" collapsed="false">
      <c r="A76" s="38" t="str">
        <f aca="false">IF($D76="","",COUNTA($D$6:$D76))</f>
        <v/>
      </c>
      <c r="B76" s="39" t="str">
        <f aca="true">IF($D76="","",IF($AE76=1,COUNTIF($AE$6:$AE76,1)&amp;"",IF($AG76=0,"?",OFFSET(hdr_WBS,$AG76-ROW(hdr_WBS),0)&amp;"."&amp;COUNTIF(INDEX($AE:$AE,$AG76+1):$AE76,$AE76))))</f>
        <v/>
      </c>
      <c r="C76" s="40"/>
      <c r="D76" s="41"/>
      <c r="E76" s="40"/>
      <c r="F76" s="40"/>
      <c r="G76" s="40"/>
      <c r="H76" s="40"/>
      <c r="I76" s="40"/>
      <c r="J76" s="40"/>
      <c r="K76" s="40"/>
      <c r="L76" s="40"/>
      <c r="M76" s="29"/>
      <c r="N76" s="30" t="str">
        <f aca="true">IF($D76="","",IF($AI76,MIN(OFFSET(hdr_PlanStart,$AF76+1,0,$AH76,1)),IF($E76="Manual",IF(N($M76)&gt;0,$M76,ProjectStart),WORKDAY.INTL(MAX(ProjectStart,N($M76),$AK76,$AL76)-1,1,WorkWeek,Holidays))))</f>
        <v/>
      </c>
      <c r="O76" s="30" t="str">
        <f aca="true">IF($D76="","",IF($AI76,MAX(OFFSET(hdr_PlanFinish,$AF76+1,0,$AH76,1)),IF(N($F76)&lt;=0,$N76,WORKDAY.INTL($N76,$F76-1,WorkWeek,Holidays))))</f>
        <v/>
      </c>
      <c r="P76" s="29"/>
      <c r="Q76" s="29"/>
      <c r="R76" s="30" t="str">
        <f aca="true">IF($D76="","",IF($AI76,MIN(OFFSET(hdr_FcStart,$AF76+1,0,$AH76,1)),IF(N($P76)&gt;0,$P76,IF($E76="Manual",IF(N($M76)&gt;0,$M76,ProjectStart),WORKDAY.INTL(MAX(ProjectStart,N($M76),$AM76,$AN76,IF(RescheduleAfterStatus="Yes",StatusDate,0))-1,1,WorkWeek,Holidays)))))</f>
        <v/>
      </c>
      <c r="S76" s="30" t="str">
        <f aca="true">IF($D76="","",IF($AI76,MAX(OFFSET(hdr_FcFinish,$AF76+1,0,$AH76,1)),IF(N($Q76)&gt;0,$Q76,IF(N($F76)&lt;=0,$R76,IF(AND(N($P76)&gt;0,RescheduleAfterStatus="Yes"),MAX(WORKDAY.INTL($R76,$F76-1,WorkWeek,Holidays),WORKDAY.INTL(StatusWorkday,MAX(0,ROUNDUP($F76*(1-MIN(1,N($U76))),0)-1),WorkWeek,Holidays)),WORKDAY.INTL($R76,$F76-1,WorkWeek,Holidays))))))</f>
        <v/>
      </c>
      <c r="T76" s="38" t="str">
        <f aca="false">IF($D76="","",IF($S76&gt;=$O76,NETWORKDAYS.INTL($O76,$S76,WorkWeek,Holidays)-1,1-NETWORKDAYS.INTL($S76,$O76,WorkWeek,Holidays)))</f>
        <v/>
      </c>
      <c r="U76" s="32"/>
      <c r="V76" s="42" t="str">
        <f aca="true">IF($D76="","",IF($AI76,IFERROR(SUM(OFFSET(hdr_WtDone,$AF76+1,0,$AH76,1))/SUM(OFFSET(hdr_WtDur,$AF76+1,0,$AH76,1)),0),IF(N($Q76)&gt;0,1,MIN(1,N($U76)))))</f>
        <v/>
      </c>
      <c r="W76" s="39" t="str">
        <f aca="false">IF($D76="","",IF($V76&gt;=1,"Complete",IF(OR(N($P76)&gt;0,$V76&gt;0),IF($T76&gt;0,"Behind","In Progress"),IF($N76&lt;StatusDate,"Late Start","Not Started"))))</f>
        <v/>
      </c>
      <c r="X76" s="41"/>
      <c r="Y76" s="32"/>
      <c r="Z76" s="43" t="str">
        <f aca="true">IF($D76="","",IF($AI76,SUMPRODUCT(OFFSET(hdr_Work,$AF76+1,0,$AH76,1),OFFSET(hdr_IsLeaf,$AF76+1,0,$AH76,1)),IF($X76="",0,N($F76)*HoursPerDay*IF($Y76="",DefaultUnits,$Y76))))</f>
        <v/>
      </c>
      <c r="AA76" s="44" t="str">
        <f aca="true">IF($D76="","",IF($AI76,SUMPRODUCT(OFFSET(hdr_Cost,$AF76+1,0,$AH76,1),OFFSET(hdr_IsLeaf,$AF76+1,0,$AH76,1)),$Z76*IFERROR(INDEX(res_Rate,MATCH($X76,res_Name,0)),0)))</f>
        <v/>
      </c>
      <c r="AB76" s="38" t="str">
        <f aca="false">IF(OR($D76="",$AI76),"",IF(OR($R76&lt;Sprint1Start,$R76&gt;SprintLastEnd),"Backlog",INDEX(spr_Name,MATCH($R76,spr_Start,1))))</f>
        <v/>
      </c>
      <c r="AC76" s="45" t="str">
        <f aca="false">IF($D76="","",$AT76&amp;IF(AND($AT76&lt;&gt;"",$AU76&lt;&gt;""),",","")&amp;$AU76)</f>
        <v/>
      </c>
      <c r="AD76" s="41"/>
      <c r="AE76" s="46" t="str">
        <f aca="false">IF($D76="","",MAX(1,N($C76)))</f>
        <v/>
      </c>
      <c r="AF76" s="46" t="n">
        <f aca="false">ROW()-ROW(hdr_ID)</f>
        <v>71</v>
      </c>
      <c r="AG76" s="46" t="n">
        <f aca="false">IF(OR($D76="",$AE76&lt;=1),0,IFERROR(LOOKUP(2,1/($AE$5:$AE75=$AE76-1),ROW($AE$5:$AE75)),0))</f>
        <v>0</v>
      </c>
      <c r="AH76" s="46" t="n">
        <f aca="false">IF($D76="",0,COUNTIF(tsk_WBS,$B76&amp;".*"))</f>
        <v>0</v>
      </c>
      <c r="AI76" s="47" t="b">
        <f aca="false">$AH76&gt;0</f>
        <v>0</v>
      </c>
      <c r="AJ76" s="46" t="n">
        <f aca="false">IF(AND($D76&lt;&gt;"",NOT($AI76)),1,0)</f>
        <v>0</v>
      </c>
      <c r="AK76" s="48" t="n">
        <f aca="true">IF(OR(N($G76)=0,$AI76,$D76=""),0,IFERROR(CHOOSE(MATCH(IF($H76="","FS",$H76),{"FS","SS","FF","SF"},0),WORKDAY.INTL(OFFSET(hdr_PlanFinish,MATCH($G76,tsk_ID,0),0),IF(N($F76)=0,0,1)+N($I76),WorkWeek,Holidays),WORKDAY.INTL(OFFSET(hdr_PlanStart,MATCH($G76,tsk_ID,0),0),N($I76),WorkWeek,Holidays),WORKDAY.INTL(WORKDAY.INTL(OFFSET(hdr_PlanFinish,MATCH($G76,tsk_ID,0),0),N($I76),WorkWeek,Holidays),-MAX(0,N($F76)-1),WorkWeek,Holidays),WORKDAY.INTL(WORKDAY.INTL(OFFSET(hdr_PlanStart,MATCH($G76,tsk_ID,0),0),N($I76),WorkWeek,Holidays),-MAX(0,N($F76)-1),WorkWeek,Holidays)),0))</f>
        <v>0</v>
      </c>
      <c r="AL76" s="48" t="n">
        <f aca="true">IF(OR(N($J76)=0,$AI76,$D76=""),0,IFERROR(CHOOSE(MATCH(IF($K76="","FS",$K76),{"FS","SS","FF","SF"},0),WORKDAY.INTL(OFFSET(hdr_PlanFinish,MATCH($J76,tsk_ID,0),0),IF(N($F76)=0,0,1)+N($L76),WorkWeek,Holidays),WORKDAY.INTL(OFFSET(hdr_PlanStart,MATCH($J76,tsk_ID,0),0),N($L76),WorkWeek,Holidays),WORKDAY.INTL(WORKDAY.INTL(OFFSET(hdr_PlanFinish,MATCH($J76,tsk_ID,0),0),N($L76),WorkWeek,Holidays),-MAX(0,N($F76)-1),WorkWeek,Holidays),WORKDAY.INTL(WORKDAY.INTL(OFFSET(hdr_PlanStart,MATCH($J76,tsk_ID,0),0),N($L76),WorkWeek,Holidays),-MAX(0,N($F76)-1),WorkWeek,Holidays)),0))</f>
        <v>0</v>
      </c>
      <c r="AM76" s="48" t="n">
        <f aca="true">IF(OR(N($G76)=0,$AI76,$D76=""),0,IFERROR(CHOOSE(MATCH(IF($H76="","FS",$H76),{"FS","SS","FF","SF"},0),WORKDAY.INTL(OFFSET(hdr_FcFinish,MATCH($G76,tsk_ID,0),0),IF(N($F76)=0,0,1)+N($I76),WorkWeek,Holidays),WORKDAY.INTL(OFFSET(hdr_FcStart,MATCH($G76,tsk_ID,0),0),N($I76),WorkWeek,Holidays),WORKDAY.INTL(WORKDAY.INTL(OFFSET(hdr_FcFinish,MATCH($G76,tsk_ID,0),0),N($I76),WorkWeek,Holidays),-MAX(0,N($F76)-1),WorkWeek,Holidays),WORKDAY.INTL(WORKDAY.INTL(OFFSET(hdr_FcStart,MATCH($G76,tsk_ID,0),0),N($I76),WorkWeek,Holidays),-MAX(0,N($F76)-1),WorkWeek,Holidays)),0))</f>
        <v>0</v>
      </c>
      <c r="AN76" s="48" t="n">
        <f aca="true">IF(OR(N($J76)=0,$AI76,$D76=""),0,IFERROR(CHOOSE(MATCH(IF($K76="","FS",$K76),{"FS","SS","FF","SF"},0),WORKDAY.INTL(OFFSET(hdr_FcFinish,MATCH($J76,tsk_ID,0),0),IF(N($F76)=0,0,1)+N($L76),WorkWeek,Holidays),WORKDAY.INTL(OFFSET(hdr_FcStart,MATCH($J76,tsk_ID,0),0),N($L76),WorkWeek,Holidays),WORKDAY.INTL(WORKDAY.INTL(OFFSET(hdr_FcFinish,MATCH($J76,tsk_ID,0),0),N($L76),WorkWeek,Holidays),-MAX(0,N($F76)-1),WorkWeek,Holidays),WORKDAY.INTL(WORKDAY.INTL(OFFSET(hdr_FcStart,MATCH($J76,tsk_ID,0),0),N($L76),WorkWeek,Holidays),-MAX(0,N($F76)-1),WorkWeek,Holidays)),0))</f>
        <v>0</v>
      </c>
      <c r="AO76" s="48" t="n">
        <f aca="false">IF($AJ76=1,$R76,0)</f>
        <v>0</v>
      </c>
      <c r="AP76" s="48" t="n">
        <f aca="false">IF($AJ76=1,$S76,0)</f>
        <v>0</v>
      </c>
      <c r="AQ76" s="49" t="n">
        <f aca="false">IF(AND($AJ76=1,N($Z76)&gt;0),$Z76/($AP76-$AO76+1),0)</f>
        <v>0</v>
      </c>
      <c r="AR76" s="46" t="n">
        <f aca="false">IF($AJ76=1,MAX(N($F76),0.1),0)</f>
        <v>0</v>
      </c>
      <c r="AS76" s="46" t="n">
        <f aca="false">IF($AJ76=1,$AR76*$V76,0)</f>
        <v>0</v>
      </c>
      <c r="AT76" s="46" t="str">
        <f aca="false">IF(N($G76)=0,"",$G76&amp;IF(AND(IF($H76="","FS",$H76)="FS",N($I76)=0),"",IF($H76="","FS",$H76)&amp;IF(N($I76)=0,"",IF(N($I76)&gt;0,"+","")&amp;N($I76)&amp;"d")))</f>
        <v/>
      </c>
      <c r="AU76" s="46" t="str">
        <f aca="false">IF(N($J76)=0,"",$J76&amp;IF(AND(IF($K76="","FS",$K76)="FS",N($L76)=0),"",IF($K76="","FS",$K76)&amp;IF(N($L76)=0,"",IF(N($L76)&gt;0,"+","")&amp;N($L76)&amp;"d")))</f>
        <v/>
      </c>
      <c r="AV76" s="46" t="str">
        <f aca="false">IF(AND($AJ76=1,N($F76)=0,$V76&lt;1),$S76+$AF76/100000,"")</f>
        <v/>
      </c>
    </row>
    <row r="77" customFormat="false" ht="15" hidden="false" customHeight="false" outlineLevel="0" collapsed="false">
      <c r="A77" s="38" t="str">
        <f aca="false">IF($D77="","",COUNTA($D$6:$D77))</f>
        <v/>
      </c>
      <c r="B77" s="39" t="str">
        <f aca="true">IF($D77="","",IF($AE77=1,COUNTIF($AE$6:$AE77,1)&amp;"",IF($AG77=0,"?",OFFSET(hdr_WBS,$AG77-ROW(hdr_WBS),0)&amp;"."&amp;COUNTIF(INDEX($AE:$AE,$AG77+1):$AE77,$AE77))))</f>
        <v/>
      </c>
      <c r="C77" s="40"/>
      <c r="D77" s="41"/>
      <c r="E77" s="40"/>
      <c r="F77" s="40"/>
      <c r="G77" s="40"/>
      <c r="H77" s="40"/>
      <c r="I77" s="40"/>
      <c r="J77" s="40"/>
      <c r="K77" s="40"/>
      <c r="L77" s="40"/>
      <c r="M77" s="29"/>
      <c r="N77" s="30" t="str">
        <f aca="true">IF($D77="","",IF($AI77,MIN(OFFSET(hdr_PlanStart,$AF77+1,0,$AH77,1)),IF($E77="Manual",IF(N($M77)&gt;0,$M77,ProjectStart),WORKDAY.INTL(MAX(ProjectStart,N($M77),$AK77,$AL77)-1,1,WorkWeek,Holidays))))</f>
        <v/>
      </c>
      <c r="O77" s="30" t="str">
        <f aca="true">IF($D77="","",IF($AI77,MAX(OFFSET(hdr_PlanFinish,$AF77+1,0,$AH77,1)),IF(N($F77)&lt;=0,$N77,WORKDAY.INTL($N77,$F77-1,WorkWeek,Holidays))))</f>
        <v/>
      </c>
      <c r="P77" s="29"/>
      <c r="Q77" s="29"/>
      <c r="R77" s="30" t="str">
        <f aca="true">IF($D77="","",IF($AI77,MIN(OFFSET(hdr_FcStart,$AF77+1,0,$AH77,1)),IF(N($P77)&gt;0,$P77,IF($E77="Manual",IF(N($M77)&gt;0,$M77,ProjectStart),WORKDAY.INTL(MAX(ProjectStart,N($M77),$AM77,$AN77,IF(RescheduleAfterStatus="Yes",StatusDate,0))-1,1,WorkWeek,Holidays)))))</f>
        <v/>
      </c>
      <c r="S77" s="30" t="str">
        <f aca="true">IF($D77="","",IF($AI77,MAX(OFFSET(hdr_FcFinish,$AF77+1,0,$AH77,1)),IF(N($Q77)&gt;0,$Q77,IF(N($F77)&lt;=0,$R77,IF(AND(N($P77)&gt;0,RescheduleAfterStatus="Yes"),MAX(WORKDAY.INTL($R77,$F77-1,WorkWeek,Holidays),WORKDAY.INTL(StatusWorkday,MAX(0,ROUNDUP($F77*(1-MIN(1,N($U77))),0)-1),WorkWeek,Holidays)),WORKDAY.INTL($R77,$F77-1,WorkWeek,Holidays))))))</f>
        <v/>
      </c>
      <c r="T77" s="38" t="str">
        <f aca="false">IF($D77="","",IF($S77&gt;=$O77,NETWORKDAYS.INTL($O77,$S77,WorkWeek,Holidays)-1,1-NETWORKDAYS.INTL($S77,$O77,WorkWeek,Holidays)))</f>
        <v/>
      </c>
      <c r="U77" s="32"/>
      <c r="V77" s="42" t="str">
        <f aca="true">IF($D77="","",IF($AI77,IFERROR(SUM(OFFSET(hdr_WtDone,$AF77+1,0,$AH77,1))/SUM(OFFSET(hdr_WtDur,$AF77+1,0,$AH77,1)),0),IF(N($Q77)&gt;0,1,MIN(1,N($U77)))))</f>
        <v/>
      </c>
      <c r="W77" s="39" t="str">
        <f aca="false">IF($D77="","",IF($V77&gt;=1,"Complete",IF(OR(N($P77)&gt;0,$V77&gt;0),IF($T77&gt;0,"Behind","In Progress"),IF($N77&lt;StatusDate,"Late Start","Not Started"))))</f>
        <v/>
      </c>
      <c r="X77" s="41"/>
      <c r="Y77" s="32"/>
      <c r="Z77" s="43" t="str">
        <f aca="true">IF($D77="","",IF($AI77,SUMPRODUCT(OFFSET(hdr_Work,$AF77+1,0,$AH77,1),OFFSET(hdr_IsLeaf,$AF77+1,0,$AH77,1)),IF($X77="",0,N($F77)*HoursPerDay*IF($Y77="",DefaultUnits,$Y77))))</f>
        <v/>
      </c>
      <c r="AA77" s="44" t="str">
        <f aca="true">IF($D77="","",IF($AI77,SUMPRODUCT(OFFSET(hdr_Cost,$AF77+1,0,$AH77,1),OFFSET(hdr_IsLeaf,$AF77+1,0,$AH77,1)),$Z77*IFERROR(INDEX(res_Rate,MATCH($X77,res_Name,0)),0)))</f>
        <v/>
      </c>
      <c r="AB77" s="38" t="str">
        <f aca="false">IF(OR($D77="",$AI77),"",IF(OR($R77&lt;Sprint1Start,$R77&gt;SprintLastEnd),"Backlog",INDEX(spr_Name,MATCH($R77,spr_Start,1))))</f>
        <v/>
      </c>
      <c r="AC77" s="45" t="str">
        <f aca="false">IF($D77="","",$AT77&amp;IF(AND($AT77&lt;&gt;"",$AU77&lt;&gt;""),",","")&amp;$AU77)</f>
        <v/>
      </c>
      <c r="AD77" s="41"/>
      <c r="AE77" s="46" t="str">
        <f aca="false">IF($D77="","",MAX(1,N($C77)))</f>
        <v/>
      </c>
      <c r="AF77" s="46" t="n">
        <f aca="false">ROW()-ROW(hdr_ID)</f>
        <v>72</v>
      </c>
      <c r="AG77" s="46" t="n">
        <f aca="false">IF(OR($D77="",$AE77&lt;=1),0,IFERROR(LOOKUP(2,1/($AE$5:$AE76=$AE77-1),ROW($AE$5:$AE76)),0))</f>
        <v>0</v>
      </c>
      <c r="AH77" s="46" t="n">
        <f aca="false">IF($D77="",0,COUNTIF(tsk_WBS,$B77&amp;".*"))</f>
        <v>0</v>
      </c>
      <c r="AI77" s="47" t="b">
        <f aca="false">$AH77&gt;0</f>
        <v>0</v>
      </c>
      <c r="AJ77" s="46" t="n">
        <f aca="false">IF(AND($D77&lt;&gt;"",NOT($AI77)),1,0)</f>
        <v>0</v>
      </c>
      <c r="AK77" s="48" t="n">
        <f aca="true">IF(OR(N($G77)=0,$AI77,$D77=""),0,IFERROR(CHOOSE(MATCH(IF($H77="","FS",$H77),{"FS","SS","FF","SF"},0),WORKDAY.INTL(OFFSET(hdr_PlanFinish,MATCH($G77,tsk_ID,0),0),IF(N($F77)=0,0,1)+N($I77),WorkWeek,Holidays),WORKDAY.INTL(OFFSET(hdr_PlanStart,MATCH($G77,tsk_ID,0),0),N($I77),WorkWeek,Holidays),WORKDAY.INTL(WORKDAY.INTL(OFFSET(hdr_PlanFinish,MATCH($G77,tsk_ID,0),0),N($I77),WorkWeek,Holidays),-MAX(0,N($F77)-1),WorkWeek,Holidays),WORKDAY.INTL(WORKDAY.INTL(OFFSET(hdr_PlanStart,MATCH($G77,tsk_ID,0),0),N($I77),WorkWeek,Holidays),-MAX(0,N($F77)-1),WorkWeek,Holidays)),0))</f>
        <v>0</v>
      </c>
      <c r="AL77" s="48" t="n">
        <f aca="true">IF(OR(N($J77)=0,$AI77,$D77=""),0,IFERROR(CHOOSE(MATCH(IF($K77="","FS",$K77),{"FS","SS","FF","SF"},0),WORKDAY.INTL(OFFSET(hdr_PlanFinish,MATCH($J77,tsk_ID,0),0),IF(N($F77)=0,0,1)+N($L77),WorkWeek,Holidays),WORKDAY.INTL(OFFSET(hdr_PlanStart,MATCH($J77,tsk_ID,0),0),N($L77),WorkWeek,Holidays),WORKDAY.INTL(WORKDAY.INTL(OFFSET(hdr_PlanFinish,MATCH($J77,tsk_ID,0),0),N($L77),WorkWeek,Holidays),-MAX(0,N($F77)-1),WorkWeek,Holidays),WORKDAY.INTL(WORKDAY.INTL(OFFSET(hdr_PlanStart,MATCH($J77,tsk_ID,0),0),N($L77),WorkWeek,Holidays),-MAX(0,N($F77)-1),WorkWeek,Holidays)),0))</f>
        <v>0</v>
      </c>
      <c r="AM77" s="48" t="n">
        <f aca="true">IF(OR(N($G77)=0,$AI77,$D77=""),0,IFERROR(CHOOSE(MATCH(IF($H77="","FS",$H77),{"FS","SS","FF","SF"},0),WORKDAY.INTL(OFFSET(hdr_FcFinish,MATCH($G77,tsk_ID,0),0),IF(N($F77)=0,0,1)+N($I77),WorkWeek,Holidays),WORKDAY.INTL(OFFSET(hdr_FcStart,MATCH($G77,tsk_ID,0),0),N($I77),WorkWeek,Holidays),WORKDAY.INTL(WORKDAY.INTL(OFFSET(hdr_FcFinish,MATCH($G77,tsk_ID,0),0),N($I77),WorkWeek,Holidays),-MAX(0,N($F77)-1),WorkWeek,Holidays),WORKDAY.INTL(WORKDAY.INTL(OFFSET(hdr_FcStart,MATCH($G77,tsk_ID,0),0),N($I77),WorkWeek,Holidays),-MAX(0,N($F77)-1),WorkWeek,Holidays)),0))</f>
        <v>0</v>
      </c>
      <c r="AN77" s="48" t="n">
        <f aca="true">IF(OR(N($J77)=0,$AI77,$D77=""),0,IFERROR(CHOOSE(MATCH(IF($K77="","FS",$K77),{"FS","SS","FF","SF"},0),WORKDAY.INTL(OFFSET(hdr_FcFinish,MATCH($J77,tsk_ID,0),0),IF(N($F77)=0,0,1)+N($L77),WorkWeek,Holidays),WORKDAY.INTL(OFFSET(hdr_FcStart,MATCH($J77,tsk_ID,0),0),N($L77),WorkWeek,Holidays),WORKDAY.INTL(WORKDAY.INTL(OFFSET(hdr_FcFinish,MATCH($J77,tsk_ID,0),0),N($L77),WorkWeek,Holidays),-MAX(0,N($F77)-1),WorkWeek,Holidays),WORKDAY.INTL(WORKDAY.INTL(OFFSET(hdr_FcStart,MATCH($J77,tsk_ID,0),0),N($L77),WorkWeek,Holidays),-MAX(0,N($F77)-1),WorkWeek,Holidays)),0))</f>
        <v>0</v>
      </c>
      <c r="AO77" s="48" t="n">
        <f aca="false">IF($AJ77=1,$R77,0)</f>
        <v>0</v>
      </c>
      <c r="AP77" s="48" t="n">
        <f aca="false">IF($AJ77=1,$S77,0)</f>
        <v>0</v>
      </c>
      <c r="AQ77" s="49" t="n">
        <f aca="false">IF(AND($AJ77=1,N($Z77)&gt;0),$Z77/($AP77-$AO77+1),0)</f>
        <v>0</v>
      </c>
      <c r="AR77" s="46" t="n">
        <f aca="false">IF($AJ77=1,MAX(N($F77),0.1),0)</f>
        <v>0</v>
      </c>
      <c r="AS77" s="46" t="n">
        <f aca="false">IF($AJ77=1,$AR77*$V77,0)</f>
        <v>0</v>
      </c>
      <c r="AT77" s="46" t="str">
        <f aca="false">IF(N($G77)=0,"",$G77&amp;IF(AND(IF($H77="","FS",$H77)="FS",N($I77)=0),"",IF($H77="","FS",$H77)&amp;IF(N($I77)=0,"",IF(N($I77)&gt;0,"+","")&amp;N($I77)&amp;"d")))</f>
        <v/>
      </c>
      <c r="AU77" s="46" t="str">
        <f aca="false">IF(N($J77)=0,"",$J77&amp;IF(AND(IF($K77="","FS",$K77)="FS",N($L77)=0),"",IF($K77="","FS",$K77)&amp;IF(N($L77)=0,"",IF(N($L77)&gt;0,"+","")&amp;N($L77)&amp;"d")))</f>
        <v/>
      </c>
      <c r="AV77" s="46" t="str">
        <f aca="false">IF(AND($AJ77=1,N($F77)=0,$V77&lt;1),$S77+$AF77/100000,"")</f>
        <v/>
      </c>
    </row>
    <row r="78" customFormat="false" ht="15" hidden="false" customHeight="false" outlineLevel="0" collapsed="false">
      <c r="A78" s="38" t="str">
        <f aca="false">IF($D78="","",COUNTA($D$6:$D78))</f>
        <v/>
      </c>
      <c r="B78" s="39" t="str">
        <f aca="true">IF($D78="","",IF($AE78=1,COUNTIF($AE$6:$AE78,1)&amp;"",IF($AG78=0,"?",OFFSET(hdr_WBS,$AG78-ROW(hdr_WBS),0)&amp;"."&amp;COUNTIF(INDEX($AE:$AE,$AG78+1):$AE78,$AE78))))</f>
        <v/>
      </c>
      <c r="C78" s="40"/>
      <c r="D78" s="41"/>
      <c r="E78" s="40"/>
      <c r="F78" s="40"/>
      <c r="G78" s="40"/>
      <c r="H78" s="40"/>
      <c r="I78" s="40"/>
      <c r="J78" s="40"/>
      <c r="K78" s="40"/>
      <c r="L78" s="40"/>
      <c r="M78" s="29"/>
      <c r="N78" s="30" t="str">
        <f aca="true">IF($D78="","",IF($AI78,MIN(OFFSET(hdr_PlanStart,$AF78+1,0,$AH78,1)),IF($E78="Manual",IF(N($M78)&gt;0,$M78,ProjectStart),WORKDAY.INTL(MAX(ProjectStart,N($M78),$AK78,$AL78)-1,1,WorkWeek,Holidays))))</f>
        <v/>
      </c>
      <c r="O78" s="30" t="str">
        <f aca="true">IF($D78="","",IF($AI78,MAX(OFFSET(hdr_PlanFinish,$AF78+1,0,$AH78,1)),IF(N($F78)&lt;=0,$N78,WORKDAY.INTL($N78,$F78-1,WorkWeek,Holidays))))</f>
        <v/>
      </c>
      <c r="P78" s="29"/>
      <c r="Q78" s="29"/>
      <c r="R78" s="30" t="str">
        <f aca="true">IF($D78="","",IF($AI78,MIN(OFFSET(hdr_FcStart,$AF78+1,0,$AH78,1)),IF(N($P78)&gt;0,$P78,IF($E78="Manual",IF(N($M78)&gt;0,$M78,ProjectStart),WORKDAY.INTL(MAX(ProjectStart,N($M78),$AM78,$AN78,IF(RescheduleAfterStatus="Yes",StatusDate,0))-1,1,WorkWeek,Holidays)))))</f>
        <v/>
      </c>
      <c r="S78" s="30" t="str">
        <f aca="true">IF($D78="","",IF($AI78,MAX(OFFSET(hdr_FcFinish,$AF78+1,0,$AH78,1)),IF(N($Q78)&gt;0,$Q78,IF(N($F78)&lt;=0,$R78,IF(AND(N($P78)&gt;0,RescheduleAfterStatus="Yes"),MAX(WORKDAY.INTL($R78,$F78-1,WorkWeek,Holidays),WORKDAY.INTL(StatusWorkday,MAX(0,ROUNDUP($F78*(1-MIN(1,N($U78))),0)-1),WorkWeek,Holidays)),WORKDAY.INTL($R78,$F78-1,WorkWeek,Holidays))))))</f>
        <v/>
      </c>
      <c r="T78" s="38" t="str">
        <f aca="false">IF($D78="","",IF($S78&gt;=$O78,NETWORKDAYS.INTL($O78,$S78,WorkWeek,Holidays)-1,1-NETWORKDAYS.INTL($S78,$O78,WorkWeek,Holidays)))</f>
        <v/>
      </c>
      <c r="U78" s="32"/>
      <c r="V78" s="42" t="str">
        <f aca="true">IF($D78="","",IF($AI78,IFERROR(SUM(OFFSET(hdr_WtDone,$AF78+1,0,$AH78,1))/SUM(OFFSET(hdr_WtDur,$AF78+1,0,$AH78,1)),0),IF(N($Q78)&gt;0,1,MIN(1,N($U78)))))</f>
        <v/>
      </c>
      <c r="W78" s="39" t="str">
        <f aca="false">IF($D78="","",IF($V78&gt;=1,"Complete",IF(OR(N($P78)&gt;0,$V78&gt;0),IF($T78&gt;0,"Behind","In Progress"),IF($N78&lt;StatusDate,"Late Start","Not Started"))))</f>
        <v/>
      </c>
      <c r="X78" s="41"/>
      <c r="Y78" s="32"/>
      <c r="Z78" s="43" t="str">
        <f aca="true">IF($D78="","",IF($AI78,SUMPRODUCT(OFFSET(hdr_Work,$AF78+1,0,$AH78,1),OFFSET(hdr_IsLeaf,$AF78+1,0,$AH78,1)),IF($X78="",0,N($F78)*HoursPerDay*IF($Y78="",DefaultUnits,$Y78))))</f>
        <v/>
      </c>
      <c r="AA78" s="44" t="str">
        <f aca="true">IF($D78="","",IF($AI78,SUMPRODUCT(OFFSET(hdr_Cost,$AF78+1,0,$AH78,1),OFFSET(hdr_IsLeaf,$AF78+1,0,$AH78,1)),$Z78*IFERROR(INDEX(res_Rate,MATCH($X78,res_Name,0)),0)))</f>
        <v/>
      </c>
      <c r="AB78" s="38" t="str">
        <f aca="false">IF(OR($D78="",$AI78),"",IF(OR($R78&lt;Sprint1Start,$R78&gt;SprintLastEnd),"Backlog",INDEX(spr_Name,MATCH($R78,spr_Start,1))))</f>
        <v/>
      </c>
      <c r="AC78" s="45" t="str">
        <f aca="false">IF($D78="","",$AT78&amp;IF(AND($AT78&lt;&gt;"",$AU78&lt;&gt;""),",","")&amp;$AU78)</f>
        <v/>
      </c>
      <c r="AD78" s="41"/>
      <c r="AE78" s="46" t="str">
        <f aca="false">IF($D78="","",MAX(1,N($C78)))</f>
        <v/>
      </c>
      <c r="AF78" s="46" t="n">
        <f aca="false">ROW()-ROW(hdr_ID)</f>
        <v>73</v>
      </c>
      <c r="AG78" s="46" t="n">
        <f aca="false">IF(OR($D78="",$AE78&lt;=1),0,IFERROR(LOOKUP(2,1/($AE$5:$AE77=$AE78-1),ROW($AE$5:$AE77)),0))</f>
        <v>0</v>
      </c>
      <c r="AH78" s="46" t="n">
        <f aca="false">IF($D78="",0,COUNTIF(tsk_WBS,$B78&amp;".*"))</f>
        <v>0</v>
      </c>
      <c r="AI78" s="47" t="b">
        <f aca="false">$AH78&gt;0</f>
        <v>0</v>
      </c>
      <c r="AJ78" s="46" t="n">
        <f aca="false">IF(AND($D78&lt;&gt;"",NOT($AI78)),1,0)</f>
        <v>0</v>
      </c>
      <c r="AK78" s="48" t="n">
        <f aca="true">IF(OR(N($G78)=0,$AI78,$D78=""),0,IFERROR(CHOOSE(MATCH(IF($H78="","FS",$H78),{"FS","SS","FF","SF"},0),WORKDAY.INTL(OFFSET(hdr_PlanFinish,MATCH($G78,tsk_ID,0),0),IF(N($F78)=0,0,1)+N($I78),WorkWeek,Holidays),WORKDAY.INTL(OFFSET(hdr_PlanStart,MATCH($G78,tsk_ID,0),0),N($I78),WorkWeek,Holidays),WORKDAY.INTL(WORKDAY.INTL(OFFSET(hdr_PlanFinish,MATCH($G78,tsk_ID,0),0),N($I78),WorkWeek,Holidays),-MAX(0,N($F78)-1),WorkWeek,Holidays),WORKDAY.INTL(WORKDAY.INTL(OFFSET(hdr_PlanStart,MATCH($G78,tsk_ID,0),0),N($I78),WorkWeek,Holidays),-MAX(0,N($F78)-1),WorkWeek,Holidays)),0))</f>
        <v>0</v>
      </c>
      <c r="AL78" s="48" t="n">
        <f aca="true">IF(OR(N($J78)=0,$AI78,$D78=""),0,IFERROR(CHOOSE(MATCH(IF($K78="","FS",$K78),{"FS","SS","FF","SF"},0),WORKDAY.INTL(OFFSET(hdr_PlanFinish,MATCH($J78,tsk_ID,0),0),IF(N($F78)=0,0,1)+N($L78),WorkWeek,Holidays),WORKDAY.INTL(OFFSET(hdr_PlanStart,MATCH($J78,tsk_ID,0),0),N($L78),WorkWeek,Holidays),WORKDAY.INTL(WORKDAY.INTL(OFFSET(hdr_PlanFinish,MATCH($J78,tsk_ID,0),0),N($L78),WorkWeek,Holidays),-MAX(0,N($F78)-1),WorkWeek,Holidays),WORKDAY.INTL(WORKDAY.INTL(OFFSET(hdr_PlanStart,MATCH($J78,tsk_ID,0),0),N($L78),WorkWeek,Holidays),-MAX(0,N($F78)-1),WorkWeek,Holidays)),0))</f>
        <v>0</v>
      </c>
      <c r="AM78" s="48" t="n">
        <f aca="true">IF(OR(N($G78)=0,$AI78,$D78=""),0,IFERROR(CHOOSE(MATCH(IF($H78="","FS",$H78),{"FS","SS","FF","SF"},0),WORKDAY.INTL(OFFSET(hdr_FcFinish,MATCH($G78,tsk_ID,0),0),IF(N($F78)=0,0,1)+N($I78),WorkWeek,Holidays),WORKDAY.INTL(OFFSET(hdr_FcStart,MATCH($G78,tsk_ID,0),0),N($I78),WorkWeek,Holidays),WORKDAY.INTL(WORKDAY.INTL(OFFSET(hdr_FcFinish,MATCH($G78,tsk_ID,0),0),N($I78),WorkWeek,Holidays),-MAX(0,N($F78)-1),WorkWeek,Holidays),WORKDAY.INTL(WORKDAY.INTL(OFFSET(hdr_FcStart,MATCH($G78,tsk_ID,0),0),N($I78),WorkWeek,Holidays),-MAX(0,N($F78)-1),WorkWeek,Holidays)),0))</f>
        <v>0</v>
      </c>
      <c r="AN78" s="48" t="n">
        <f aca="true">IF(OR(N($J78)=0,$AI78,$D78=""),0,IFERROR(CHOOSE(MATCH(IF($K78="","FS",$K78),{"FS","SS","FF","SF"},0),WORKDAY.INTL(OFFSET(hdr_FcFinish,MATCH($J78,tsk_ID,0),0),IF(N($F78)=0,0,1)+N($L78),WorkWeek,Holidays),WORKDAY.INTL(OFFSET(hdr_FcStart,MATCH($J78,tsk_ID,0),0),N($L78),WorkWeek,Holidays),WORKDAY.INTL(WORKDAY.INTL(OFFSET(hdr_FcFinish,MATCH($J78,tsk_ID,0),0),N($L78),WorkWeek,Holidays),-MAX(0,N($F78)-1),WorkWeek,Holidays),WORKDAY.INTL(WORKDAY.INTL(OFFSET(hdr_FcStart,MATCH($J78,tsk_ID,0),0),N($L78),WorkWeek,Holidays),-MAX(0,N($F78)-1),WorkWeek,Holidays)),0))</f>
        <v>0</v>
      </c>
      <c r="AO78" s="48" t="n">
        <f aca="false">IF($AJ78=1,$R78,0)</f>
        <v>0</v>
      </c>
      <c r="AP78" s="48" t="n">
        <f aca="false">IF($AJ78=1,$S78,0)</f>
        <v>0</v>
      </c>
      <c r="AQ78" s="49" t="n">
        <f aca="false">IF(AND($AJ78=1,N($Z78)&gt;0),$Z78/($AP78-$AO78+1),0)</f>
        <v>0</v>
      </c>
      <c r="AR78" s="46" t="n">
        <f aca="false">IF($AJ78=1,MAX(N($F78),0.1),0)</f>
        <v>0</v>
      </c>
      <c r="AS78" s="46" t="n">
        <f aca="false">IF($AJ78=1,$AR78*$V78,0)</f>
        <v>0</v>
      </c>
      <c r="AT78" s="46" t="str">
        <f aca="false">IF(N($G78)=0,"",$G78&amp;IF(AND(IF($H78="","FS",$H78)="FS",N($I78)=0),"",IF($H78="","FS",$H78)&amp;IF(N($I78)=0,"",IF(N($I78)&gt;0,"+","")&amp;N($I78)&amp;"d")))</f>
        <v/>
      </c>
      <c r="AU78" s="46" t="str">
        <f aca="false">IF(N($J78)=0,"",$J78&amp;IF(AND(IF($K78="","FS",$K78)="FS",N($L78)=0),"",IF($K78="","FS",$K78)&amp;IF(N($L78)=0,"",IF(N($L78)&gt;0,"+","")&amp;N($L78)&amp;"d")))</f>
        <v/>
      </c>
      <c r="AV78" s="46" t="str">
        <f aca="false">IF(AND($AJ78=1,N($F78)=0,$V78&lt;1),$S78+$AF78/100000,"")</f>
        <v/>
      </c>
    </row>
    <row r="79" customFormat="false" ht="15" hidden="false" customHeight="false" outlineLevel="0" collapsed="false">
      <c r="A79" s="38" t="str">
        <f aca="false">IF($D79="","",COUNTA($D$6:$D79))</f>
        <v/>
      </c>
      <c r="B79" s="39" t="str">
        <f aca="true">IF($D79="","",IF($AE79=1,COUNTIF($AE$6:$AE79,1)&amp;"",IF($AG79=0,"?",OFFSET(hdr_WBS,$AG79-ROW(hdr_WBS),0)&amp;"."&amp;COUNTIF(INDEX($AE:$AE,$AG79+1):$AE79,$AE79))))</f>
        <v/>
      </c>
      <c r="C79" s="40"/>
      <c r="D79" s="41"/>
      <c r="E79" s="40"/>
      <c r="F79" s="40"/>
      <c r="G79" s="40"/>
      <c r="H79" s="40"/>
      <c r="I79" s="40"/>
      <c r="J79" s="40"/>
      <c r="K79" s="40"/>
      <c r="L79" s="40"/>
      <c r="M79" s="29"/>
      <c r="N79" s="30" t="str">
        <f aca="true">IF($D79="","",IF($AI79,MIN(OFFSET(hdr_PlanStart,$AF79+1,0,$AH79,1)),IF($E79="Manual",IF(N($M79)&gt;0,$M79,ProjectStart),WORKDAY.INTL(MAX(ProjectStart,N($M79),$AK79,$AL79)-1,1,WorkWeek,Holidays))))</f>
        <v/>
      </c>
      <c r="O79" s="30" t="str">
        <f aca="true">IF($D79="","",IF($AI79,MAX(OFFSET(hdr_PlanFinish,$AF79+1,0,$AH79,1)),IF(N($F79)&lt;=0,$N79,WORKDAY.INTL($N79,$F79-1,WorkWeek,Holidays))))</f>
        <v/>
      </c>
      <c r="P79" s="29"/>
      <c r="Q79" s="29"/>
      <c r="R79" s="30" t="str">
        <f aca="true">IF($D79="","",IF($AI79,MIN(OFFSET(hdr_FcStart,$AF79+1,0,$AH79,1)),IF(N($P79)&gt;0,$P79,IF($E79="Manual",IF(N($M79)&gt;0,$M79,ProjectStart),WORKDAY.INTL(MAX(ProjectStart,N($M79),$AM79,$AN79,IF(RescheduleAfterStatus="Yes",StatusDate,0))-1,1,WorkWeek,Holidays)))))</f>
        <v/>
      </c>
      <c r="S79" s="30" t="str">
        <f aca="true">IF($D79="","",IF($AI79,MAX(OFFSET(hdr_FcFinish,$AF79+1,0,$AH79,1)),IF(N($Q79)&gt;0,$Q79,IF(N($F79)&lt;=0,$R79,IF(AND(N($P79)&gt;0,RescheduleAfterStatus="Yes"),MAX(WORKDAY.INTL($R79,$F79-1,WorkWeek,Holidays),WORKDAY.INTL(StatusWorkday,MAX(0,ROUNDUP($F79*(1-MIN(1,N($U79))),0)-1),WorkWeek,Holidays)),WORKDAY.INTL($R79,$F79-1,WorkWeek,Holidays))))))</f>
        <v/>
      </c>
      <c r="T79" s="38" t="str">
        <f aca="false">IF($D79="","",IF($S79&gt;=$O79,NETWORKDAYS.INTL($O79,$S79,WorkWeek,Holidays)-1,1-NETWORKDAYS.INTL($S79,$O79,WorkWeek,Holidays)))</f>
        <v/>
      </c>
      <c r="U79" s="32"/>
      <c r="V79" s="42" t="str">
        <f aca="true">IF($D79="","",IF($AI79,IFERROR(SUM(OFFSET(hdr_WtDone,$AF79+1,0,$AH79,1))/SUM(OFFSET(hdr_WtDur,$AF79+1,0,$AH79,1)),0),IF(N($Q79)&gt;0,1,MIN(1,N($U79)))))</f>
        <v/>
      </c>
      <c r="W79" s="39" t="str">
        <f aca="false">IF($D79="","",IF($V79&gt;=1,"Complete",IF(OR(N($P79)&gt;0,$V79&gt;0),IF($T79&gt;0,"Behind","In Progress"),IF($N79&lt;StatusDate,"Late Start","Not Started"))))</f>
        <v/>
      </c>
      <c r="X79" s="41"/>
      <c r="Y79" s="32"/>
      <c r="Z79" s="43" t="str">
        <f aca="true">IF($D79="","",IF($AI79,SUMPRODUCT(OFFSET(hdr_Work,$AF79+1,0,$AH79,1),OFFSET(hdr_IsLeaf,$AF79+1,0,$AH79,1)),IF($X79="",0,N($F79)*HoursPerDay*IF($Y79="",DefaultUnits,$Y79))))</f>
        <v/>
      </c>
      <c r="AA79" s="44" t="str">
        <f aca="true">IF($D79="","",IF($AI79,SUMPRODUCT(OFFSET(hdr_Cost,$AF79+1,0,$AH79,1),OFFSET(hdr_IsLeaf,$AF79+1,0,$AH79,1)),$Z79*IFERROR(INDEX(res_Rate,MATCH($X79,res_Name,0)),0)))</f>
        <v/>
      </c>
      <c r="AB79" s="38" t="str">
        <f aca="false">IF(OR($D79="",$AI79),"",IF(OR($R79&lt;Sprint1Start,$R79&gt;SprintLastEnd),"Backlog",INDEX(spr_Name,MATCH($R79,spr_Start,1))))</f>
        <v/>
      </c>
      <c r="AC79" s="45" t="str">
        <f aca="false">IF($D79="","",$AT79&amp;IF(AND($AT79&lt;&gt;"",$AU79&lt;&gt;""),",","")&amp;$AU79)</f>
        <v/>
      </c>
      <c r="AD79" s="41"/>
      <c r="AE79" s="46" t="str">
        <f aca="false">IF($D79="","",MAX(1,N($C79)))</f>
        <v/>
      </c>
      <c r="AF79" s="46" t="n">
        <f aca="false">ROW()-ROW(hdr_ID)</f>
        <v>74</v>
      </c>
      <c r="AG79" s="46" t="n">
        <f aca="false">IF(OR($D79="",$AE79&lt;=1),0,IFERROR(LOOKUP(2,1/($AE$5:$AE78=$AE79-1),ROW($AE$5:$AE78)),0))</f>
        <v>0</v>
      </c>
      <c r="AH79" s="46" t="n">
        <f aca="false">IF($D79="",0,COUNTIF(tsk_WBS,$B79&amp;".*"))</f>
        <v>0</v>
      </c>
      <c r="AI79" s="47" t="b">
        <f aca="false">$AH79&gt;0</f>
        <v>0</v>
      </c>
      <c r="AJ79" s="46" t="n">
        <f aca="false">IF(AND($D79&lt;&gt;"",NOT($AI79)),1,0)</f>
        <v>0</v>
      </c>
      <c r="AK79" s="48" t="n">
        <f aca="true">IF(OR(N($G79)=0,$AI79,$D79=""),0,IFERROR(CHOOSE(MATCH(IF($H79="","FS",$H79),{"FS","SS","FF","SF"},0),WORKDAY.INTL(OFFSET(hdr_PlanFinish,MATCH($G79,tsk_ID,0),0),IF(N($F79)=0,0,1)+N($I79),WorkWeek,Holidays),WORKDAY.INTL(OFFSET(hdr_PlanStart,MATCH($G79,tsk_ID,0),0),N($I79),WorkWeek,Holidays),WORKDAY.INTL(WORKDAY.INTL(OFFSET(hdr_PlanFinish,MATCH($G79,tsk_ID,0),0),N($I79),WorkWeek,Holidays),-MAX(0,N($F79)-1),WorkWeek,Holidays),WORKDAY.INTL(WORKDAY.INTL(OFFSET(hdr_PlanStart,MATCH($G79,tsk_ID,0),0),N($I79),WorkWeek,Holidays),-MAX(0,N($F79)-1),WorkWeek,Holidays)),0))</f>
        <v>0</v>
      </c>
      <c r="AL79" s="48" t="n">
        <f aca="true">IF(OR(N($J79)=0,$AI79,$D79=""),0,IFERROR(CHOOSE(MATCH(IF($K79="","FS",$K79),{"FS","SS","FF","SF"},0),WORKDAY.INTL(OFFSET(hdr_PlanFinish,MATCH($J79,tsk_ID,0),0),IF(N($F79)=0,0,1)+N($L79),WorkWeek,Holidays),WORKDAY.INTL(OFFSET(hdr_PlanStart,MATCH($J79,tsk_ID,0),0),N($L79),WorkWeek,Holidays),WORKDAY.INTL(WORKDAY.INTL(OFFSET(hdr_PlanFinish,MATCH($J79,tsk_ID,0),0),N($L79),WorkWeek,Holidays),-MAX(0,N($F79)-1),WorkWeek,Holidays),WORKDAY.INTL(WORKDAY.INTL(OFFSET(hdr_PlanStart,MATCH($J79,tsk_ID,0),0),N($L79),WorkWeek,Holidays),-MAX(0,N($F79)-1),WorkWeek,Holidays)),0))</f>
        <v>0</v>
      </c>
      <c r="AM79" s="48" t="n">
        <f aca="true">IF(OR(N($G79)=0,$AI79,$D79=""),0,IFERROR(CHOOSE(MATCH(IF($H79="","FS",$H79),{"FS","SS","FF","SF"},0),WORKDAY.INTL(OFFSET(hdr_FcFinish,MATCH($G79,tsk_ID,0),0),IF(N($F79)=0,0,1)+N($I79),WorkWeek,Holidays),WORKDAY.INTL(OFFSET(hdr_FcStart,MATCH($G79,tsk_ID,0),0),N($I79),WorkWeek,Holidays),WORKDAY.INTL(WORKDAY.INTL(OFFSET(hdr_FcFinish,MATCH($G79,tsk_ID,0),0),N($I79),WorkWeek,Holidays),-MAX(0,N($F79)-1),WorkWeek,Holidays),WORKDAY.INTL(WORKDAY.INTL(OFFSET(hdr_FcStart,MATCH($G79,tsk_ID,0),0),N($I79),WorkWeek,Holidays),-MAX(0,N($F79)-1),WorkWeek,Holidays)),0))</f>
        <v>0</v>
      </c>
      <c r="AN79" s="48" t="n">
        <f aca="true">IF(OR(N($J79)=0,$AI79,$D79=""),0,IFERROR(CHOOSE(MATCH(IF($K79="","FS",$K79),{"FS","SS","FF","SF"},0),WORKDAY.INTL(OFFSET(hdr_FcFinish,MATCH($J79,tsk_ID,0),0),IF(N($F79)=0,0,1)+N($L79),WorkWeek,Holidays),WORKDAY.INTL(OFFSET(hdr_FcStart,MATCH($J79,tsk_ID,0),0),N($L79),WorkWeek,Holidays),WORKDAY.INTL(WORKDAY.INTL(OFFSET(hdr_FcFinish,MATCH($J79,tsk_ID,0),0),N($L79),WorkWeek,Holidays),-MAX(0,N($F79)-1),WorkWeek,Holidays),WORKDAY.INTL(WORKDAY.INTL(OFFSET(hdr_FcStart,MATCH($J79,tsk_ID,0),0),N($L79),WorkWeek,Holidays),-MAX(0,N($F79)-1),WorkWeek,Holidays)),0))</f>
        <v>0</v>
      </c>
      <c r="AO79" s="48" t="n">
        <f aca="false">IF($AJ79=1,$R79,0)</f>
        <v>0</v>
      </c>
      <c r="AP79" s="48" t="n">
        <f aca="false">IF($AJ79=1,$S79,0)</f>
        <v>0</v>
      </c>
      <c r="AQ79" s="49" t="n">
        <f aca="false">IF(AND($AJ79=1,N($Z79)&gt;0),$Z79/($AP79-$AO79+1),0)</f>
        <v>0</v>
      </c>
      <c r="AR79" s="46" t="n">
        <f aca="false">IF($AJ79=1,MAX(N($F79),0.1),0)</f>
        <v>0</v>
      </c>
      <c r="AS79" s="46" t="n">
        <f aca="false">IF($AJ79=1,$AR79*$V79,0)</f>
        <v>0</v>
      </c>
      <c r="AT79" s="46" t="str">
        <f aca="false">IF(N($G79)=0,"",$G79&amp;IF(AND(IF($H79="","FS",$H79)="FS",N($I79)=0),"",IF($H79="","FS",$H79)&amp;IF(N($I79)=0,"",IF(N($I79)&gt;0,"+","")&amp;N($I79)&amp;"d")))</f>
        <v/>
      </c>
      <c r="AU79" s="46" t="str">
        <f aca="false">IF(N($J79)=0,"",$J79&amp;IF(AND(IF($K79="","FS",$K79)="FS",N($L79)=0),"",IF($K79="","FS",$K79)&amp;IF(N($L79)=0,"",IF(N($L79)&gt;0,"+","")&amp;N($L79)&amp;"d")))</f>
        <v/>
      </c>
      <c r="AV79" s="46" t="str">
        <f aca="false">IF(AND($AJ79=1,N($F79)=0,$V79&lt;1),$S79+$AF79/100000,"")</f>
        <v/>
      </c>
    </row>
    <row r="80" customFormat="false" ht="15" hidden="false" customHeight="false" outlineLevel="0" collapsed="false">
      <c r="A80" s="38" t="str">
        <f aca="false">IF($D80="","",COUNTA($D$6:$D80))</f>
        <v/>
      </c>
      <c r="B80" s="39" t="str">
        <f aca="true">IF($D80="","",IF($AE80=1,COUNTIF($AE$6:$AE80,1)&amp;"",IF($AG80=0,"?",OFFSET(hdr_WBS,$AG80-ROW(hdr_WBS),0)&amp;"."&amp;COUNTIF(INDEX($AE:$AE,$AG80+1):$AE80,$AE80))))</f>
        <v/>
      </c>
      <c r="C80" s="40"/>
      <c r="D80" s="41"/>
      <c r="E80" s="40"/>
      <c r="F80" s="40"/>
      <c r="G80" s="40"/>
      <c r="H80" s="40"/>
      <c r="I80" s="40"/>
      <c r="J80" s="40"/>
      <c r="K80" s="40"/>
      <c r="L80" s="40"/>
      <c r="M80" s="29"/>
      <c r="N80" s="30" t="str">
        <f aca="true">IF($D80="","",IF($AI80,MIN(OFFSET(hdr_PlanStart,$AF80+1,0,$AH80,1)),IF($E80="Manual",IF(N($M80)&gt;0,$M80,ProjectStart),WORKDAY.INTL(MAX(ProjectStart,N($M80),$AK80,$AL80)-1,1,WorkWeek,Holidays))))</f>
        <v/>
      </c>
      <c r="O80" s="30" t="str">
        <f aca="true">IF($D80="","",IF($AI80,MAX(OFFSET(hdr_PlanFinish,$AF80+1,0,$AH80,1)),IF(N($F80)&lt;=0,$N80,WORKDAY.INTL($N80,$F80-1,WorkWeek,Holidays))))</f>
        <v/>
      </c>
      <c r="P80" s="29"/>
      <c r="Q80" s="29"/>
      <c r="R80" s="30" t="str">
        <f aca="true">IF($D80="","",IF($AI80,MIN(OFFSET(hdr_FcStart,$AF80+1,0,$AH80,1)),IF(N($P80)&gt;0,$P80,IF($E80="Manual",IF(N($M80)&gt;0,$M80,ProjectStart),WORKDAY.INTL(MAX(ProjectStart,N($M80),$AM80,$AN80,IF(RescheduleAfterStatus="Yes",StatusDate,0))-1,1,WorkWeek,Holidays)))))</f>
        <v/>
      </c>
      <c r="S80" s="30" t="str">
        <f aca="true">IF($D80="","",IF($AI80,MAX(OFFSET(hdr_FcFinish,$AF80+1,0,$AH80,1)),IF(N($Q80)&gt;0,$Q80,IF(N($F80)&lt;=0,$R80,IF(AND(N($P80)&gt;0,RescheduleAfterStatus="Yes"),MAX(WORKDAY.INTL($R80,$F80-1,WorkWeek,Holidays),WORKDAY.INTL(StatusWorkday,MAX(0,ROUNDUP($F80*(1-MIN(1,N($U80))),0)-1),WorkWeek,Holidays)),WORKDAY.INTL($R80,$F80-1,WorkWeek,Holidays))))))</f>
        <v/>
      </c>
      <c r="T80" s="38" t="str">
        <f aca="false">IF($D80="","",IF($S80&gt;=$O80,NETWORKDAYS.INTL($O80,$S80,WorkWeek,Holidays)-1,1-NETWORKDAYS.INTL($S80,$O80,WorkWeek,Holidays)))</f>
        <v/>
      </c>
      <c r="U80" s="32"/>
      <c r="V80" s="42" t="str">
        <f aca="true">IF($D80="","",IF($AI80,IFERROR(SUM(OFFSET(hdr_WtDone,$AF80+1,0,$AH80,1))/SUM(OFFSET(hdr_WtDur,$AF80+1,0,$AH80,1)),0),IF(N($Q80)&gt;0,1,MIN(1,N($U80)))))</f>
        <v/>
      </c>
      <c r="W80" s="39" t="str">
        <f aca="false">IF($D80="","",IF($V80&gt;=1,"Complete",IF(OR(N($P80)&gt;0,$V80&gt;0),IF($T80&gt;0,"Behind","In Progress"),IF($N80&lt;StatusDate,"Late Start","Not Started"))))</f>
        <v/>
      </c>
      <c r="X80" s="41"/>
      <c r="Y80" s="32"/>
      <c r="Z80" s="43" t="str">
        <f aca="true">IF($D80="","",IF($AI80,SUMPRODUCT(OFFSET(hdr_Work,$AF80+1,0,$AH80,1),OFFSET(hdr_IsLeaf,$AF80+1,0,$AH80,1)),IF($X80="",0,N($F80)*HoursPerDay*IF($Y80="",DefaultUnits,$Y80))))</f>
        <v/>
      </c>
      <c r="AA80" s="44" t="str">
        <f aca="true">IF($D80="","",IF($AI80,SUMPRODUCT(OFFSET(hdr_Cost,$AF80+1,0,$AH80,1),OFFSET(hdr_IsLeaf,$AF80+1,0,$AH80,1)),$Z80*IFERROR(INDEX(res_Rate,MATCH($X80,res_Name,0)),0)))</f>
        <v/>
      </c>
      <c r="AB80" s="38" t="str">
        <f aca="false">IF(OR($D80="",$AI80),"",IF(OR($R80&lt;Sprint1Start,$R80&gt;SprintLastEnd),"Backlog",INDEX(spr_Name,MATCH($R80,spr_Start,1))))</f>
        <v/>
      </c>
      <c r="AC80" s="45" t="str">
        <f aca="false">IF($D80="","",$AT80&amp;IF(AND($AT80&lt;&gt;"",$AU80&lt;&gt;""),",","")&amp;$AU80)</f>
        <v/>
      </c>
      <c r="AD80" s="41"/>
      <c r="AE80" s="46" t="str">
        <f aca="false">IF($D80="","",MAX(1,N($C80)))</f>
        <v/>
      </c>
      <c r="AF80" s="46" t="n">
        <f aca="false">ROW()-ROW(hdr_ID)</f>
        <v>75</v>
      </c>
      <c r="AG80" s="46" t="n">
        <f aca="false">IF(OR($D80="",$AE80&lt;=1),0,IFERROR(LOOKUP(2,1/($AE$5:$AE79=$AE80-1),ROW($AE$5:$AE79)),0))</f>
        <v>0</v>
      </c>
      <c r="AH80" s="46" t="n">
        <f aca="false">IF($D80="",0,COUNTIF(tsk_WBS,$B80&amp;".*"))</f>
        <v>0</v>
      </c>
      <c r="AI80" s="47" t="b">
        <f aca="false">$AH80&gt;0</f>
        <v>0</v>
      </c>
      <c r="AJ80" s="46" t="n">
        <f aca="false">IF(AND($D80&lt;&gt;"",NOT($AI80)),1,0)</f>
        <v>0</v>
      </c>
      <c r="AK80" s="48" t="n">
        <f aca="true">IF(OR(N($G80)=0,$AI80,$D80=""),0,IFERROR(CHOOSE(MATCH(IF($H80="","FS",$H80),{"FS","SS","FF","SF"},0),WORKDAY.INTL(OFFSET(hdr_PlanFinish,MATCH($G80,tsk_ID,0),0),IF(N($F80)=0,0,1)+N($I80),WorkWeek,Holidays),WORKDAY.INTL(OFFSET(hdr_PlanStart,MATCH($G80,tsk_ID,0),0),N($I80),WorkWeek,Holidays),WORKDAY.INTL(WORKDAY.INTL(OFFSET(hdr_PlanFinish,MATCH($G80,tsk_ID,0),0),N($I80),WorkWeek,Holidays),-MAX(0,N($F80)-1),WorkWeek,Holidays),WORKDAY.INTL(WORKDAY.INTL(OFFSET(hdr_PlanStart,MATCH($G80,tsk_ID,0),0),N($I80),WorkWeek,Holidays),-MAX(0,N($F80)-1),WorkWeek,Holidays)),0))</f>
        <v>0</v>
      </c>
      <c r="AL80" s="48" t="n">
        <f aca="true">IF(OR(N($J80)=0,$AI80,$D80=""),0,IFERROR(CHOOSE(MATCH(IF($K80="","FS",$K80),{"FS","SS","FF","SF"},0),WORKDAY.INTL(OFFSET(hdr_PlanFinish,MATCH($J80,tsk_ID,0),0),IF(N($F80)=0,0,1)+N($L80),WorkWeek,Holidays),WORKDAY.INTL(OFFSET(hdr_PlanStart,MATCH($J80,tsk_ID,0),0),N($L80),WorkWeek,Holidays),WORKDAY.INTL(WORKDAY.INTL(OFFSET(hdr_PlanFinish,MATCH($J80,tsk_ID,0),0),N($L80),WorkWeek,Holidays),-MAX(0,N($F80)-1),WorkWeek,Holidays),WORKDAY.INTL(WORKDAY.INTL(OFFSET(hdr_PlanStart,MATCH($J80,tsk_ID,0),0),N($L80),WorkWeek,Holidays),-MAX(0,N($F80)-1),WorkWeek,Holidays)),0))</f>
        <v>0</v>
      </c>
      <c r="AM80" s="48" t="n">
        <f aca="true">IF(OR(N($G80)=0,$AI80,$D80=""),0,IFERROR(CHOOSE(MATCH(IF($H80="","FS",$H80),{"FS","SS","FF","SF"},0),WORKDAY.INTL(OFFSET(hdr_FcFinish,MATCH($G80,tsk_ID,0),0),IF(N($F80)=0,0,1)+N($I80),WorkWeek,Holidays),WORKDAY.INTL(OFFSET(hdr_FcStart,MATCH($G80,tsk_ID,0),0),N($I80),WorkWeek,Holidays),WORKDAY.INTL(WORKDAY.INTL(OFFSET(hdr_FcFinish,MATCH($G80,tsk_ID,0),0),N($I80),WorkWeek,Holidays),-MAX(0,N($F80)-1),WorkWeek,Holidays),WORKDAY.INTL(WORKDAY.INTL(OFFSET(hdr_FcStart,MATCH($G80,tsk_ID,0),0),N($I80),WorkWeek,Holidays),-MAX(0,N($F80)-1),WorkWeek,Holidays)),0))</f>
        <v>0</v>
      </c>
      <c r="AN80" s="48" t="n">
        <f aca="true">IF(OR(N($J80)=0,$AI80,$D80=""),0,IFERROR(CHOOSE(MATCH(IF($K80="","FS",$K80),{"FS","SS","FF","SF"},0),WORKDAY.INTL(OFFSET(hdr_FcFinish,MATCH($J80,tsk_ID,0),0),IF(N($F80)=0,0,1)+N($L80),WorkWeek,Holidays),WORKDAY.INTL(OFFSET(hdr_FcStart,MATCH($J80,tsk_ID,0),0),N($L80),WorkWeek,Holidays),WORKDAY.INTL(WORKDAY.INTL(OFFSET(hdr_FcFinish,MATCH($J80,tsk_ID,0),0),N($L80),WorkWeek,Holidays),-MAX(0,N($F80)-1),WorkWeek,Holidays),WORKDAY.INTL(WORKDAY.INTL(OFFSET(hdr_FcStart,MATCH($J80,tsk_ID,0),0),N($L80),WorkWeek,Holidays),-MAX(0,N($F80)-1),WorkWeek,Holidays)),0))</f>
        <v>0</v>
      </c>
      <c r="AO80" s="48" t="n">
        <f aca="false">IF($AJ80=1,$R80,0)</f>
        <v>0</v>
      </c>
      <c r="AP80" s="48" t="n">
        <f aca="false">IF($AJ80=1,$S80,0)</f>
        <v>0</v>
      </c>
      <c r="AQ80" s="49" t="n">
        <f aca="false">IF(AND($AJ80=1,N($Z80)&gt;0),$Z80/($AP80-$AO80+1),0)</f>
        <v>0</v>
      </c>
      <c r="AR80" s="46" t="n">
        <f aca="false">IF($AJ80=1,MAX(N($F80),0.1),0)</f>
        <v>0</v>
      </c>
      <c r="AS80" s="46" t="n">
        <f aca="false">IF($AJ80=1,$AR80*$V80,0)</f>
        <v>0</v>
      </c>
      <c r="AT80" s="46" t="str">
        <f aca="false">IF(N($G80)=0,"",$G80&amp;IF(AND(IF($H80="","FS",$H80)="FS",N($I80)=0),"",IF($H80="","FS",$H80)&amp;IF(N($I80)=0,"",IF(N($I80)&gt;0,"+","")&amp;N($I80)&amp;"d")))</f>
        <v/>
      </c>
      <c r="AU80" s="46" t="str">
        <f aca="false">IF(N($J80)=0,"",$J80&amp;IF(AND(IF($K80="","FS",$K80)="FS",N($L80)=0),"",IF($K80="","FS",$K80)&amp;IF(N($L80)=0,"",IF(N($L80)&gt;0,"+","")&amp;N($L80)&amp;"d")))</f>
        <v/>
      </c>
      <c r="AV80" s="46" t="str">
        <f aca="false">IF(AND($AJ80=1,N($F80)=0,$V80&lt;1),$S80+$AF80/100000,"")</f>
        <v/>
      </c>
    </row>
    <row r="81" customFormat="false" ht="15" hidden="false" customHeight="false" outlineLevel="0" collapsed="false">
      <c r="A81" s="38" t="str">
        <f aca="false">IF($D81="","",COUNTA($D$6:$D81))</f>
        <v/>
      </c>
      <c r="B81" s="39" t="str">
        <f aca="true">IF($D81="","",IF($AE81=1,COUNTIF($AE$6:$AE81,1)&amp;"",IF($AG81=0,"?",OFFSET(hdr_WBS,$AG81-ROW(hdr_WBS),0)&amp;"."&amp;COUNTIF(INDEX($AE:$AE,$AG81+1):$AE81,$AE81))))</f>
        <v/>
      </c>
      <c r="C81" s="40"/>
      <c r="D81" s="41"/>
      <c r="E81" s="40"/>
      <c r="F81" s="40"/>
      <c r="G81" s="40"/>
      <c r="H81" s="40"/>
      <c r="I81" s="40"/>
      <c r="J81" s="40"/>
      <c r="K81" s="40"/>
      <c r="L81" s="40"/>
      <c r="M81" s="29"/>
      <c r="N81" s="30" t="str">
        <f aca="true">IF($D81="","",IF($AI81,MIN(OFFSET(hdr_PlanStart,$AF81+1,0,$AH81,1)),IF($E81="Manual",IF(N($M81)&gt;0,$M81,ProjectStart),WORKDAY.INTL(MAX(ProjectStart,N($M81),$AK81,$AL81)-1,1,WorkWeek,Holidays))))</f>
        <v/>
      </c>
      <c r="O81" s="30" t="str">
        <f aca="true">IF($D81="","",IF($AI81,MAX(OFFSET(hdr_PlanFinish,$AF81+1,0,$AH81,1)),IF(N($F81)&lt;=0,$N81,WORKDAY.INTL($N81,$F81-1,WorkWeek,Holidays))))</f>
        <v/>
      </c>
      <c r="P81" s="29"/>
      <c r="Q81" s="29"/>
      <c r="R81" s="30" t="str">
        <f aca="true">IF($D81="","",IF($AI81,MIN(OFFSET(hdr_FcStart,$AF81+1,0,$AH81,1)),IF(N($P81)&gt;0,$P81,IF($E81="Manual",IF(N($M81)&gt;0,$M81,ProjectStart),WORKDAY.INTL(MAX(ProjectStart,N($M81),$AM81,$AN81,IF(RescheduleAfterStatus="Yes",StatusDate,0))-1,1,WorkWeek,Holidays)))))</f>
        <v/>
      </c>
      <c r="S81" s="30" t="str">
        <f aca="true">IF($D81="","",IF($AI81,MAX(OFFSET(hdr_FcFinish,$AF81+1,0,$AH81,1)),IF(N($Q81)&gt;0,$Q81,IF(N($F81)&lt;=0,$R81,IF(AND(N($P81)&gt;0,RescheduleAfterStatus="Yes"),MAX(WORKDAY.INTL($R81,$F81-1,WorkWeek,Holidays),WORKDAY.INTL(StatusWorkday,MAX(0,ROUNDUP($F81*(1-MIN(1,N($U81))),0)-1),WorkWeek,Holidays)),WORKDAY.INTL($R81,$F81-1,WorkWeek,Holidays))))))</f>
        <v/>
      </c>
      <c r="T81" s="38" t="str">
        <f aca="false">IF($D81="","",IF($S81&gt;=$O81,NETWORKDAYS.INTL($O81,$S81,WorkWeek,Holidays)-1,1-NETWORKDAYS.INTL($S81,$O81,WorkWeek,Holidays)))</f>
        <v/>
      </c>
      <c r="U81" s="32"/>
      <c r="V81" s="42" t="str">
        <f aca="true">IF($D81="","",IF($AI81,IFERROR(SUM(OFFSET(hdr_WtDone,$AF81+1,0,$AH81,1))/SUM(OFFSET(hdr_WtDur,$AF81+1,0,$AH81,1)),0),IF(N($Q81)&gt;0,1,MIN(1,N($U81)))))</f>
        <v/>
      </c>
      <c r="W81" s="39" t="str">
        <f aca="false">IF($D81="","",IF($V81&gt;=1,"Complete",IF(OR(N($P81)&gt;0,$V81&gt;0),IF($T81&gt;0,"Behind","In Progress"),IF($N81&lt;StatusDate,"Late Start","Not Started"))))</f>
        <v/>
      </c>
      <c r="X81" s="41"/>
      <c r="Y81" s="32"/>
      <c r="Z81" s="43" t="str">
        <f aca="true">IF($D81="","",IF($AI81,SUMPRODUCT(OFFSET(hdr_Work,$AF81+1,0,$AH81,1),OFFSET(hdr_IsLeaf,$AF81+1,0,$AH81,1)),IF($X81="",0,N($F81)*HoursPerDay*IF($Y81="",DefaultUnits,$Y81))))</f>
        <v/>
      </c>
      <c r="AA81" s="44" t="str">
        <f aca="true">IF($D81="","",IF($AI81,SUMPRODUCT(OFFSET(hdr_Cost,$AF81+1,0,$AH81,1),OFFSET(hdr_IsLeaf,$AF81+1,0,$AH81,1)),$Z81*IFERROR(INDEX(res_Rate,MATCH($X81,res_Name,0)),0)))</f>
        <v/>
      </c>
      <c r="AB81" s="38" t="str">
        <f aca="false">IF(OR($D81="",$AI81),"",IF(OR($R81&lt;Sprint1Start,$R81&gt;SprintLastEnd),"Backlog",INDEX(spr_Name,MATCH($R81,spr_Start,1))))</f>
        <v/>
      </c>
      <c r="AC81" s="45" t="str">
        <f aca="false">IF($D81="","",$AT81&amp;IF(AND($AT81&lt;&gt;"",$AU81&lt;&gt;""),",","")&amp;$AU81)</f>
        <v/>
      </c>
      <c r="AD81" s="41"/>
      <c r="AE81" s="46" t="str">
        <f aca="false">IF($D81="","",MAX(1,N($C81)))</f>
        <v/>
      </c>
      <c r="AF81" s="46" t="n">
        <f aca="false">ROW()-ROW(hdr_ID)</f>
        <v>76</v>
      </c>
      <c r="AG81" s="46" t="n">
        <f aca="false">IF(OR($D81="",$AE81&lt;=1),0,IFERROR(LOOKUP(2,1/($AE$5:$AE80=$AE81-1),ROW($AE$5:$AE80)),0))</f>
        <v>0</v>
      </c>
      <c r="AH81" s="46" t="n">
        <f aca="false">IF($D81="",0,COUNTIF(tsk_WBS,$B81&amp;".*"))</f>
        <v>0</v>
      </c>
      <c r="AI81" s="47" t="b">
        <f aca="false">$AH81&gt;0</f>
        <v>0</v>
      </c>
      <c r="AJ81" s="46" t="n">
        <f aca="false">IF(AND($D81&lt;&gt;"",NOT($AI81)),1,0)</f>
        <v>0</v>
      </c>
      <c r="AK81" s="48" t="n">
        <f aca="true">IF(OR(N($G81)=0,$AI81,$D81=""),0,IFERROR(CHOOSE(MATCH(IF($H81="","FS",$H81),{"FS","SS","FF","SF"},0),WORKDAY.INTL(OFFSET(hdr_PlanFinish,MATCH($G81,tsk_ID,0),0),IF(N($F81)=0,0,1)+N($I81),WorkWeek,Holidays),WORKDAY.INTL(OFFSET(hdr_PlanStart,MATCH($G81,tsk_ID,0),0),N($I81),WorkWeek,Holidays),WORKDAY.INTL(WORKDAY.INTL(OFFSET(hdr_PlanFinish,MATCH($G81,tsk_ID,0),0),N($I81),WorkWeek,Holidays),-MAX(0,N($F81)-1),WorkWeek,Holidays),WORKDAY.INTL(WORKDAY.INTL(OFFSET(hdr_PlanStart,MATCH($G81,tsk_ID,0),0),N($I81),WorkWeek,Holidays),-MAX(0,N($F81)-1),WorkWeek,Holidays)),0))</f>
        <v>0</v>
      </c>
      <c r="AL81" s="48" t="n">
        <f aca="true">IF(OR(N($J81)=0,$AI81,$D81=""),0,IFERROR(CHOOSE(MATCH(IF($K81="","FS",$K81),{"FS","SS","FF","SF"},0),WORKDAY.INTL(OFFSET(hdr_PlanFinish,MATCH($J81,tsk_ID,0),0),IF(N($F81)=0,0,1)+N($L81),WorkWeek,Holidays),WORKDAY.INTL(OFFSET(hdr_PlanStart,MATCH($J81,tsk_ID,0),0),N($L81),WorkWeek,Holidays),WORKDAY.INTL(WORKDAY.INTL(OFFSET(hdr_PlanFinish,MATCH($J81,tsk_ID,0),0),N($L81),WorkWeek,Holidays),-MAX(0,N($F81)-1),WorkWeek,Holidays),WORKDAY.INTL(WORKDAY.INTL(OFFSET(hdr_PlanStart,MATCH($J81,tsk_ID,0),0),N($L81),WorkWeek,Holidays),-MAX(0,N($F81)-1),WorkWeek,Holidays)),0))</f>
        <v>0</v>
      </c>
      <c r="AM81" s="48" t="n">
        <f aca="true">IF(OR(N($G81)=0,$AI81,$D81=""),0,IFERROR(CHOOSE(MATCH(IF($H81="","FS",$H81),{"FS","SS","FF","SF"},0),WORKDAY.INTL(OFFSET(hdr_FcFinish,MATCH($G81,tsk_ID,0),0),IF(N($F81)=0,0,1)+N($I81),WorkWeek,Holidays),WORKDAY.INTL(OFFSET(hdr_FcStart,MATCH($G81,tsk_ID,0),0),N($I81),WorkWeek,Holidays),WORKDAY.INTL(WORKDAY.INTL(OFFSET(hdr_FcFinish,MATCH($G81,tsk_ID,0),0),N($I81),WorkWeek,Holidays),-MAX(0,N($F81)-1),WorkWeek,Holidays),WORKDAY.INTL(WORKDAY.INTL(OFFSET(hdr_FcStart,MATCH($G81,tsk_ID,0),0),N($I81),WorkWeek,Holidays),-MAX(0,N($F81)-1),WorkWeek,Holidays)),0))</f>
        <v>0</v>
      </c>
      <c r="AN81" s="48" t="n">
        <f aca="true">IF(OR(N($J81)=0,$AI81,$D81=""),0,IFERROR(CHOOSE(MATCH(IF($K81="","FS",$K81),{"FS","SS","FF","SF"},0),WORKDAY.INTL(OFFSET(hdr_FcFinish,MATCH($J81,tsk_ID,0),0),IF(N($F81)=0,0,1)+N($L81),WorkWeek,Holidays),WORKDAY.INTL(OFFSET(hdr_FcStart,MATCH($J81,tsk_ID,0),0),N($L81),WorkWeek,Holidays),WORKDAY.INTL(WORKDAY.INTL(OFFSET(hdr_FcFinish,MATCH($J81,tsk_ID,0),0),N($L81),WorkWeek,Holidays),-MAX(0,N($F81)-1),WorkWeek,Holidays),WORKDAY.INTL(WORKDAY.INTL(OFFSET(hdr_FcStart,MATCH($J81,tsk_ID,0),0),N($L81),WorkWeek,Holidays),-MAX(0,N($F81)-1),WorkWeek,Holidays)),0))</f>
        <v>0</v>
      </c>
      <c r="AO81" s="48" t="n">
        <f aca="false">IF($AJ81=1,$R81,0)</f>
        <v>0</v>
      </c>
      <c r="AP81" s="48" t="n">
        <f aca="false">IF($AJ81=1,$S81,0)</f>
        <v>0</v>
      </c>
      <c r="AQ81" s="49" t="n">
        <f aca="false">IF(AND($AJ81=1,N($Z81)&gt;0),$Z81/($AP81-$AO81+1),0)</f>
        <v>0</v>
      </c>
      <c r="AR81" s="46" t="n">
        <f aca="false">IF($AJ81=1,MAX(N($F81),0.1),0)</f>
        <v>0</v>
      </c>
      <c r="AS81" s="46" t="n">
        <f aca="false">IF($AJ81=1,$AR81*$V81,0)</f>
        <v>0</v>
      </c>
      <c r="AT81" s="46" t="str">
        <f aca="false">IF(N($G81)=0,"",$G81&amp;IF(AND(IF($H81="","FS",$H81)="FS",N($I81)=0),"",IF($H81="","FS",$H81)&amp;IF(N($I81)=0,"",IF(N($I81)&gt;0,"+","")&amp;N($I81)&amp;"d")))</f>
        <v/>
      </c>
      <c r="AU81" s="46" t="str">
        <f aca="false">IF(N($J81)=0,"",$J81&amp;IF(AND(IF($K81="","FS",$K81)="FS",N($L81)=0),"",IF($K81="","FS",$K81)&amp;IF(N($L81)=0,"",IF(N($L81)&gt;0,"+","")&amp;N($L81)&amp;"d")))</f>
        <v/>
      </c>
      <c r="AV81" s="46" t="str">
        <f aca="false">IF(AND($AJ81=1,N($F81)=0,$V81&lt;1),$S81+$AF81/100000,"")</f>
        <v/>
      </c>
    </row>
    <row r="82" customFormat="false" ht="15" hidden="false" customHeight="false" outlineLevel="0" collapsed="false">
      <c r="A82" s="38" t="str">
        <f aca="false">IF($D82="","",COUNTA($D$6:$D82))</f>
        <v/>
      </c>
      <c r="B82" s="39" t="str">
        <f aca="true">IF($D82="","",IF($AE82=1,COUNTIF($AE$6:$AE82,1)&amp;"",IF($AG82=0,"?",OFFSET(hdr_WBS,$AG82-ROW(hdr_WBS),0)&amp;"."&amp;COUNTIF(INDEX($AE:$AE,$AG82+1):$AE82,$AE82))))</f>
        <v/>
      </c>
      <c r="C82" s="40"/>
      <c r="D82" s="41"/>
      <c r="E82" s="40"/>
      <c r="F82" s="40"/>
      <c r="G82" s="40"/>
      <c r="H82" s="40"/>
      <c r="I82" s="40"/>
      <c r="J82" s="40"/>
      <c r="K82" s="40"/>
      <c r="L82" s="40"/>
      <c r="M82" s="29"/>
      <c r="N82" s="30" t="str">
        <f aca="true">IF($D82="","",IF($AI82,MIN(OFFSET(hdr_PlanStart,$AF82+1,0,$AH82,1)),IF($E82="Manual",IF(N($M82)&gt;0,$M82,ProjectStart),WORKDAY.INTL(MAX(ProjectStart,N($M82),$AK82,$AL82)-1,1,WorkWeek,Holidays))))</f>
        <v/>
      </c>
      <c r="O82" s="30" t="str">
        <f aca="true">IF($D82="","",IF($AI82,MAX(OFFSET(hdr_PlanFinish,$AF82+1,0,$AH82,1)),IF(N($F82)&lt;=0,$N82,WORKDAY.INTL($N82,$F82-1,WorkWeek,Holidays))))</f>
        <v/>
      </c>
      <c r="P82" s="29"/>
      <c r="Q82" s="29"/>
      <c r="R82" s="30" t="str">
        <f aca="true">IF($D82="","",IF($AI82,MIN(OFFSET(hdr_FcStart,$AF82+1,0,$AH82,1)),IF(N($P82)&gt;0,$P82,IF($E82="Manual",IF(N($M82)&gt;0,$M82,ProjectStart),WORKDAY.INTL(MAX(ProjectStart,N($M82),$AM82,$AN82,IF(RescheduleAfterStatus="Yes",StatusDate,0))-1,1,WorkWeek,Holidays)))))</f>
        <v/>
      </c>
      <c r="S82" s="30" t="str">
        <f aca="true">IF($D82="","",IF($AI82,MAX(OFFSET(hdr_FcFinish,$AF82+1,0,$AH82,1)),IF(N($Q82)&gt;0,$Q82,IF(N($F82)&lt;=0,$R82,IF(AND(N($P82)&gt;0,RescheduleAfterStatus="Yes"),MAX(WORKDAY.INTL($R82,$F82-1,WorkWeek,Holidays),WORKDAY.INTL(StatusWorkday,MAX(0,ROUNDUP($F82*(1-MIN(1,N($U82))),0)-1),WorkWeek,Holidays)),WORKDAY.INTL($R82,$F82-1,WorkWeek,Holidays))))))</f>
        <v/>
      </c>
      <c r="T82" s="38" t="str">
        <f aca="false">IF($D82="","",IF($S82&gt;=$O82,NETWORKDAYS.INTL($O82,$S82,WorkWeek,Holidays)-1,1-NETWORKDAYS.INTL($S82,$O82,WorkWeek,Holidays)))</f>
        <v/>
      </c>
      <c r="U82" s="32"/>
      <c r="V82" s="42" t="str">
        <f aca="true">IF($D82="","",IF($AI82,IFERROR(SUM(OFFSET(hdr_WtDone,$AF82+1,0,$AH82,1))/SUM(OFFSET(hdr_WtDur,$AF82+1,0,$AH82,1)),0),IF(N($Q82)&gt;0,1,MIN(1,N($U82)))))</f>
        <v/>
      </c>
      <c r="W82" s="39" t="str">
        <f aca="false">IF($D82="","",IF($V82&gt;=1,"Complete",IF(OR(N($P82)&gt;0,$V82&gt;0),IF($T82&gt;0,"Behind","In Progress"),IF($N82&lt;StatusDate,"Late Start","Not Started"))))</f>
        <v/>
      </c>
      <c r="X82" s="41"/>
      <c r="Y82" s="32"/>
      <c r="Z82" s="43" t="str">
        <f aca="true">IF($D82="","",IF($AI82,SUMPRODUCT(OFFSET(hdr_Work,$AF82+1,0,$AH82,1),OFFSET(hdr_IsLeaf,$AF82+1,0,$AH82,1)),IF($X82="",0,N($F82)*HoursPerDay*IF($Y82="",DefaultUnits,$Y82))))</f>
        <v/>
      </c>
      <c r="AA82" s="44" t="str">
        <f aca="true">IF($D82="","",IF($AI82,SUMPRODUCT(OFFSET(hdr_Cost,$AF82+1,0,$AH82,1),OFFSET(hdr_IsLeaf,$AF82+1,0,$AH82,1)),$Z82*IFERROR(INDEX(res_Rate,MATCH($X82,res_Name,0)),0)))</f>
        <v/>
      </c>
      <c r="AB82" s="38" t="str">
        <f aca="false">IF(OR($D82="",$AI82),"",IF(OR($R82&lt;Sprint1Start,$R82&gt;SprintLastEnd),"Backlog",INDEX(spr_Name,MATCH($R82,spr_Start,1))))</f>
        <v/>
      </c>
      <c r="AC82" s="45" t="str">
        <f aca="false">IF($D82="","",$AT82&amp;IF(AND($AT82&lt;&gt;"",$AU82&lt;&gt;""),",","")&amp;$AU82)</f>
        <v/>
      </c>
      <c r="AD82" s="41"/>
      <c r="AE82" s="46" t="str">
        <f aca="false">IF($D82="","",MAX(1,N($C82)))</f>
        <v/>
      </c>
      <c r="AF82" s="46" t="n">
        <f aca="false">ROW()-ROW(hdr_ID)</f>
        <v>77</v>
      </c>
      <c r="AG82" s="46" t="n">
        <f aca="false">IF(OR($D82="",$AE82&lt;=1),0,IFERROR(LOOKUP(2,1/($AE$5:$AE81=$AE82-1),ROW($AE$5:$AE81)),0))</f>
        <v>0</v>
      </c>
      <c r="AH82" s="46" t="n">
        <f aca="false">IF($D82="",0,COUNTIF(tsk_WBS,$B82&amp;".*"))</f>
        <v>0</v>
      </c>
      <c r="AI82" s="47" t="b">
        <f aca="false">$AH82&gt;0</f>
        <v>0</v>
      </c>
      <c r="AJ82" s="46" t="n">
        <f aca="false">IF(AND($D82&lt;&gt;"",NOT($AI82)),1,0)</f>
        <v>0</v>
      </c>
      <c r="AK82" s="48" t="n">
        <f aca="true">IF(OR(N($G82)=0,$AI82,$D82=""),0,IFERROR(CHOOSE(MATCH(IF($H82="","FS",$H82),{"FS","SS","FF","SF"},0),WORKDAY.INTL(OFFSET(hdr_PlanFinish,MATCH($G82,tsk_ID,0),0),IF(N($F82)=0,0,1)+N($I82),WorkWeek,Holidays),WORKDAY.INTL(OFFSET(hdr_PlanStart,MATCH($G82,tsk_ID,0),0),N($I82),WorkWeek,Holidays),WORKDAY.INTL(WORKDAY.INTL(OFFSET(hdr_PlanFinish,MATCH($G82,tsk_ID,0),0),N($I82),WorkWeek,Holidays),-MAX(0,N($F82)-1),WorkWeek,Holidays),WORKDAY.INTL(WORKDAY.INTL(OFFSET(hdr_PlanStart,MATCH($G82,tsk_ID,0),0),N($I82),WorkWeek,Holidays),-MAX(0,N($F82)-1),WorkWeek,Holidays)),0))</f>
        <v>0</v>
      </c>
      <c r="AL82" s="48" t="n">
        <f aca="true">IF(OR(N($J82)=0,$AI82,$D82=""),0,IFERROR(CHOOSE(MATCH(IF($K82="","FS",$K82),{"FS","SS","FF","SF"},0),WORKDAY.INTL(OFFSET(hdr_PlanFinish,MATCH($J82,tsk_ID,0),0),IF(N($F82)=0,0,1)+N($L82),WorkWeek,Holidays),WORKDAY.INTL(OFFSET(hdr_PlanStart,MATCH($J82,tsk_ID,0),0),N($L82),WorkWeek,Holidays),WORKDAY.INTL(WORKDAY.INTL(OFFSET(hdr_PlanFinish,MATCH($J82,tsk_ID,0),0),N($L82),WorkWeek,Holidays),-MAX(0,N($F82)-1),WorkWeek,Holidays),WORKDAY.INTL(WORKDAY.INTL(OFFSET(hdr_PlanStart,MATCH($J82,tsk_ID,0),0),N($L82),WorkWeek,Holidays),-MAX(0,N($F82)-1),WorkWeek,Holidays)),0))</f>
        <v>0</v>
      </c>
      <c r="AM82" s="48" t="n">
        <f aca="true">IF(OR(N($G82)=0,$AI82,$D82=""),0,IFERROR(CHOOSE(MATCH(IF($H82="","FS",$H82),{"FS","SS","FF","SF"},0),WORKDAY.INTL(OFFSET(hdr_FcFinish,MATCH($G82,tsk_ID,0),0),IF(N($F82)=0,0,1)+N($I82),WorkWeek,Holidays),WORKDAY.INTL(OFFSET(hdr_FcStart,MATCH($G82,tsk_ID,0),0),N($I82),WorkWeek,Holidays),WORKDAY.INTL(WORKDAY.INTL(OFFSET(hdr_FcFinish,MATCH($G82,tsk_ID,0),0),N($I82),WorkWeek,Holidays),-MAX(0,N($F82)-1),WorkWeek,Holidays),WORKDAY.INTL(WORKDAY.INTL(OFFSET(hdr_FcStart,MATCH($G82,tsk_ID,0),0),N($I82),WorkWeek,Holidays),-MAX(0,N($F82)-1),WorkWeek,Holidays)),0))</f>
        <v>0</v>
      </c>
      <c r="AN82" s="48" t="n">
        <f aca="true">IF(OR(N($J82)=0,$AI82,$D82=""),0,IFERROR(CHOOSE(MATCH(IF($K82="","FS",$K82),{"FS","SS","FF","SF"},0),WORKDAY.INTL(OFFSET(hdr_FcFinish,MATCH($J82,tsk_ID,0),0),IF(N($F82)=0,0,1)+N($L82),WorkWeek,Holidays),WORKDAY.INTL(OFFSET(hdr_FcStart,MATCH($J82,tsk_ID,0),0),N($L82),WorkWeek,Holidays),WORKDAY.INTL(WORKDAY.INTL(OFFSET(hdr_FcFinish,MATCH($J82,tsk_ID,0),0),N($L82),WorkWeek,Holidays),-MAX(0,N($F82)-1),WorkWeek,Holidays),WORKDAY.INTL(WORKDAY.INTL(OFFSET(hdr_FcStart,MATCH($J82,tsk_ID,0),0),N($L82),WorkWeek,Holidays),-MAX(0,N($F82)-1),WorkWeek,Holidays)),0))</f>
        <v>0</v>
      </c>
      <c r="AO82" s="48" t="n">
        <f aca="false">IF($AJ82=1,$R82,0)</f>
        <v>0</v>
      </c>
      <c r="AP82" s="48" t="n">
        <f aca="false">IF($AJ82=1,$S82,0)</f>
        <v>0</v>
      </c>
      <c r="AQ82" s="49" t="n">
        <f aca="false">IF(AND($AJ82=1,N($Z82)&gt;0),$Z82/($AP82-$AO82+1),0)</f>
        <v>0</v>
      </c>
      <c r="AR82" s="46" t="n">
        <f aca="false">IF($AJ82=1,MAX(N($F82),0.1),0)</f>
        <v>0</v>
      </c>
      <c r="AS82" s="46" t="n">
        <f aca="false">IF($AJ82=1,$AR82*$V82,0)</f>
        <v>0</v>
      </c>
      <c r="AT82" s="46" t="str">
        <f aca="false">IF(N($G82)=0,"",$G82&amp;IF(AND(IF($H82="","FS",$H82)="FS",N($I82)=0),"",IF($H82="","FS",$H82)&amp;IF(N($I82)=0,"",IF(N($I82)&gt;0,"+","")&amp;N($I82)&amp;"d")))</f>
        <v/>
      </c>
      <c r="AU82" s="46" t="str">
        <f aca="false">IF(N($J82)=0,"",$J82&amp;IF(AND(IF($K82="","FS",$K82)="FS",N($L82)=0),"",IF($K82="","FS",$K82)&amp;IF(N($L82)=0,"",IF(N($L82)&gt;0,"+","")&amp;N($L82)&amp;"d")))</f>
        <v/>
      </c>
      <c r="AV82" s="46" t="str">
        <f aca="false">IF(AND($AJ82=1,N($F82)=0,$V82&lt;1),$S82+$AF82/100000,"")</f>
        <v/>
      </c>
    </row>
    <row r="83" customFormat="false" ht="15" hidden="false" customHeight="false" outlineLevel="0" collapsed="false">
      <c r="A83" s="38" t="str">
        <f aca="false">IF($D83="","",COUNTA($D$6:$D83))</f>
        <v/>
      </c>
      <c r="B83" s="39" t="str">
        <f aca="true">IF($D83="","",IF($AE83=1,COUNTIF($AE$6:$AE83,1)&amp;"",IF($AG83=0,"?",OFFSET(hdr_WBS,$AG83-ROW(hdr_WBS),0)&amp;"."&amp;COUNTIF(INDEX($AE:$AE,$AG83+1):$AE83,$AE83))))</f>
        <v/>
      </c>
      <c r="C83" s="40"/>
      <c r="D83" s="41"/>
      <c r="E83" s="40"/>
      <c r="F83" s="40"/>
      <c r="G83" s="40"/>
      <c r="H83" s="40"/>
      <c r="I83" s="40"/>
      <c r="J83" s="40"/>
      <c r="K83" s="40"/>
      <c r="L83" s="40"/>
      <c r="M83" s="29"/>
      <c r="N83" s="30" t="str">
        <f aca="true">IF($D83="","",IF($AI83,MIN(OFFSET(hdr_PlanStart,$AF83+1,0,$AH83,1)),IF($E83="Manual",IF(N($M83)&gt;0,$M83,ProjectStart),WORKDAY.INTL(MAX(ProjectStart,N($M83),$AK83,$AL83)-1,1,WorkWeek,Holidays))))</f>
        <v/>
      </c>
      <c r="O83" s="30" t="str">
        <f aca="true">IF($D83="","",IF($AI83,MAX(OFFSET(hdr_PlanFinish,$AF83+1,0,$AH83,1)),IF(N($F83)&lt;=0,$N83,WORKDAY.INTL($N83,$F83-1,WorkWeek,Holidays))))</f>
        <v/>
      </c>
      <c r="P83" s="29"/>
      <c r="Q83" s="29"/>
      <c r="R83" s="30" t="str">
        <f aca="true">IF($D83="","",IF($AI83,MIN(OFFSET(hdr_FcStart,$AF83+1,0,$AH83,1)),IF(N($P83)&gt;0,$P83,IF($E83="Manual",IF(N($M83)&gt;0,$M83,ProjectStart),WORKDAY.INTL(MAX(ProjectStart,N($M83),$AM83,$AN83,IF(RescheduleAfterStatus="Yes",StatusDate,0))-1,1,WorkWeek,Holidays)))))</f>
        <v/>
      </c>
      <c r="S83" s="30" t="str">
        <f aca="true">IF($D83="","",IF($AI83,MAX(OFFSET(hdr_FcFinish,$AF83+1,0,$AH83,1)),IF(N($Q83)&gt;0,$Q83,IF(N($F83)&lt;=0,$R83,IF(AND(N($P83)&gt;0,RescheduleAfterStatus="Yes"),MAX(WORKDAY.INTL($R83,$F83-1,WorkWeek,Holidays),WORKDAY.INTL(StatusWorkday,MAX(0,ROUNDUP($F83*(1-MIN(1,N($U83))),0)-1),WorkWeek,Holidays)),WORKDAY.INTL($R83,$F83-1,WorkWeek,Holidays))))))</f>
        <v/>
      </c>
      <c r="T83" s="38" t="str">
        <f aca="false">IF($D83="","",IF($S83&gt;=$O83,NETWORKDAYS.INTL($O83,$S83,WorkWeek,Holidays)-1,1-NETWORKDAYS.INTL($S83,$O83,WorkWeek,Holidays)))</f>
        <v/>
      </c>
      <c r="U83" s="32"/>
      <c r="V83" s="42" t="str">
        <f aca="true">IF($D83="","",IF($AI83,IFERROR(SUM(OFFSET(hdr_WtDone,$AF83+1,0,$AH83,1))/SUM(OFFSET(hdr_WtDur,$AF83+1,0,$AH83,1)),0),IF(N($Q83)&gt;0,1,MIN(1,N($U83)))))</f>
        <v/>
      </c>
      <c r="W83" s="39" t="str">
        <f aca="false">IF($D83="","",IF($V83&gt;=1,"Complete",IF(OR(N($P83)&gt;0,$V83&gt;0),IF($T83&gt;0,"Behind","In Progress"),IF($N83&lt;StatusDate,"Late Start","Not Started"))))</f>
        <v/>
      </c>
      <c r="X83" s="41"/>
      <c r="Y83" s="32"/>
      <c r="Z83" s="43" t="str">
        <f aca="true">IF($D83="","",IF($AI83,SUMPRODUCT(OFFSET(hdr_Work,$AF83+1,0,$AH83,1),OFFSET(hdr_IsLeaf,$AF83+1,0,$AH83,1)),IF($X83="",0,N($F83)*HoursPerDay*IF($Y83="",DefaultUnits,$Y83))))</f>
        <v/>
      </c>
      <c r="AA83" s="44" t="str">
        <f aca="true">IF($D83="","",IF($AI83,SUMPRODUCT(OFFSET(hdr_Cost,$AF83+1,0,$AH83,1),OFFSET(hdr_IsLeaf,$AF83+1,0,$AH83,1)),$Z83*IFERROR(INDEX(res_Rate,MATCH($X83,res_Name,0)),0)))</f>
        <v/>
      </c>
      <c r="AB83" s="38" t="str">
        <f aca="false">IF(OR($D83="",$AI83),"",IF(OR($R83&lt;Sprint1Start,$R83&gt;SprintLastEnd),"Backlog",INDEX(spr_Name,MATCH($R83,spr_Start,1))))</f>
        <v/>
      </c>
      <c r="AC83" s="45" t="str">
        <f aca="false">IF($D83="","",$AT83&amp;IF(AND($AT83&lt;&gt;"",$AU83&lt;&gt;""),",","")&amp;$AU83)</f>
        <v/>
      </c>
      <c r="AD83" s="41"/>
      <c r="AE83" s="46" t="str">
        <f aca="false">IF($D83="","",MAX(1,N($C83)))</f>
        <v/>
      </c>
      <c r="AF83" s="46" t="n">
        <f aca="false">ROW()-ROW(hdr_ID)</f>
        <v>78</v>
      </c>
      <c r="AG83" s="46" t="n">
        <f aca="false">IF(OR($D83="",$AE83&lt;=1),0,IFERROR(LOOKUP(2,1/($AE$5:$AE82=$AE83-1),ROW($AE$5:$AE82)),0))</f>
        <v>0</v>
      </c>
      <c r="AH83" s="46" t="n">
        <f aca="false">IF($D83="",0,COUNTIF(tsk_WBS,$B83&amp;".*"))</f>
        <v>0</v>
      </c>
      <c r="AI83" s="47" t="b">
        <f aca="false">$AH83&gt;0</f>
        <v>0</v>
      </c>
      <c r="AJ83" s="46" t="n">
        <f aca="false">IF(AND($D83&lt;&gt;"",NOT($AI83)),1,0)</f>
        <v>0</v>
      </c>
      <c r="AK83" s="48" t="n">
        <f aca="true">IF(OR(N($G83)=0,$AI83,$D83=""),0,IFERROR(CHOOSE(MATCH(IF($H83="","FS",$H83),{"FS","SS","FF","SF"},0),WORKDAY.INTL(OFFSET(hdr_PlanFinish,MATCH($G83,tsk_ID,0),0),IF(N($F83)=0,0,1)+N($I83),WorkWeek,Holidays),WORKDAY.INTL(OFFSET(hdr_PlanStart,MATCH($G83,tsk_ID,0),0),N($I83),WorkWeek,Holidays),WORKDAY.INTL(WORKDAY.INTL(OFFSET(hdr_PlanFinish,MATCH($G83,tsk_ID,0),0),N($I83),WorkWeek,Holidays),-MAX(0,N($F83)-1),WorkWeek,Holidays),WORKDAY.INTL(WORKDAY.INTL(OFFSET(hdr_PlanStart,MATCH($G83,tsk_ID,0),0),N($I83),WorkWeek,Holidays),-MAX(0,N($F83)-1),WorkWeek,Holidays)),0))</f>
        <v>0</v>
      </c>
      <c r="AL83" s="48" t="n">
        <f aca="true">IF(OR(N($J83)=0,$AI83,$D83=""),0,IFERROR(CHOOSE(MATCH(IF($K83="","FS",$K83),{"FS","SS","FF","SF"},0),WORKDAY.INTL(OFFSET(hdr_PlanFinish,MATCH($J83,tsk_ID,0),0),IF(N($F83)=0,0,1)+N($L83),WorkWeek,Holidays),WORKDAY.INTL(OFFSET(hdr_PlanStart,MATCH($J83,tsk_ID,0),0),N($L83),WorkWeek,Holidays),WORKDAY.INTL(WORKDAY.INTL(OFFSET(hdr_PlanFinish,MATCH($J83,tsk_ID,0),0),N($L83),WorkWeek,Holidays),-MAX(0,N($F83)-1),WorkWeek,Holidays),WORKDAY.INTL(WORKDAY.INTL(OFFSET(hdr_PlanStart,MATCH($J83,tsk_ID,0),0),N($L83),WorkWeek,Holidays),-MAX(0,N($F83)-1),WorkWeek,Holidays)),0))</f>
        <v>0</v>
      </c>
      <c r="AM83" s="48" t="n">
        <f aca="true">IF(OR(N($G83)=0,$AI83,$D83=""),0,IFERROR(CHOOSE(MATCH(IF($H83="","FS",$H83),{"FS","SS","FF","SF"},0),WORKDAY.INTL(OFFSET(hdr_FcFinish,MATCH($G83,tsk_ID,0),0),IF(N($F83)=0,0,1)+N($I83),WorkWeek,Holidays),WORKDAY.INTL(OFFSET(hdr_FcStart,MATCH($G83,tsk_ID,0),0),N($I83),WorkWeek,Holidays),WORKDAY.INTL(WORKDAY.INTL(OFFSET(hdr_FcFinish,MATCH($G83,tsk_ID,0),0),N($I83),WorkWeek,Holidays),-MAX(0,N($F83)-1),WorkWeek,Holidays),WORKDAY.INTL(WORKDAY.INTL(OFFSET(hdr_FcStart,MATCH($G83,tsk_ID,0),0),N($I83),WorkWeek,Holidays),-MAX(0,N($F83)-1),WorkWeek,Holidays)),0))</f>
        <v>0</v>
      </c>
      <c r="AN83" s="48" t="n">
        <f aca="true">IF(OR(N($J83)=0,$AI83,$D83=""),0,IFERROR(CHOOSE(MATCH(IF($K83="","FS",$K83),{"FS","SS","FF","SF"},0),WORKDAY.INTL(OFFSET(hdr_FcFinish,MATCH($J83,tsk_ID,0),0),IF(N($F83)=0,0,1)+N($L83),WorkWeek,Holidays),WORKDAY.INTL(OFFSET(hdr_FcStart,MATCH($J83,tsk_ID,0),0),N($L83),WorkWeek,Holidays),WORKDAY.INTL(WORKDAY.INTL(OFFSET(hdr_FcFinish,MATCH($J83,tsk_ID,0),0),N($L83),WorkWeek,Holidays),-MAX(0,N($F83)-1),WorkWeek,Holidays),WORKDAY.INTL(WORKDAY.INTL(OFFSET(hdr_FcStart,MATCH($J83,tsk_ID,0),0),N($L83),WorkWeek,Holidays),-MAX(0,N($F83)-1),WorkWeek,Holidays)),0))</f>
        <v>0</v>
      </c>
      <c r="AO83" s="48" t="n">
        <f aca="false">IF($AJ83=1,$R83,0)</f>
        <v>0</v>
      </c>
      <c r="AP83" s="48" t="n">
        <f aca="false">IF($AJ83=1,$S83,0)</f>
        <v>0</v>
      </c>
      <c r="AQ83" s="49" t="n">
        <f aca="false">IF(AND($AJ83=1,N($Z83)&gt;0),$Z83/($AP83-$AO83+1),0)</f>
        <v>0</v>
      </c>
      <c r="AR83" s="46" t="n">
        <f aca="false">IF($AJ83=1,MAX(N($F83),0.1),0)</f>
        <v>0</v>
      </c>
      <c r="AS83" s="46" t="n">
        <f aca="false">IF($AJ83=1,$AR83*$V83,0)</f>
        <v>0</v>
      </c>
      <c r="AT83" s="46" t="str">
        <f aca="false">IF(N($G83)=0,"",$G83&amp;IF(AND(IF($H83="","FS",$H83)="FS",N($I83)=0),"",IF($H83="","FS",$H83)&amp;IF(N($I83)=0,"",IF(N($I83)&gt;0,"+","")&amp;N($I83)&amp;"d")))</f>
        <v/>
      </c>
      <c r="AU83" s="46" t="str">
        <f aca="false">IF(N($J83)=0,"",$J83&amp;IF(AND(IF($K83="","FS",$K83)="FS",N($L83)=0),"",IF($K83="","FS",$K83)&amp;IF(N($L83)=0,"",IF(N($L83)&gt;0,"+","")&amp;N($L83)&amp;"d")))</f>
        <v/>
      </c>
      <c r="AV83" s="46" t="str">
        <f aca="false">IF(AND($AJ83=1,N($F83)=0,$V83&lt;1),$S83+$AF83/100000,"")</f>
        <v/>
      </c>
    </row>
    <row r="84" customFormat="false" ht="15" hidden="false" customHeight="false" outlineLevel="0" collapsed="false">
      <c r="A84" s="38" t="str">
        <f aca="false">IF($D84="","",COUNTA($D$6:$D84))</f>
        <v/>
      </c>
      <c r="B84" s="39" t="str">
        <f aca="true">IF($D84="","",IF($AE84=1,COUNTIF($AE$6:$AE84,1)&amp;"",IF($AG84=0,"?",OFFSET(hdr_WBS,$AG84-ROW(hdr_WBS),0)&amp;"."&amp;COUNTIF(INDEX($AE:$AE,$AG84+1):$AE84,$AE84))))</f>
        <v/>
      </c>
      <c r="C84" s="40"/>
      <c r="D84" s="41"/>
      <c r="E84" s="40"/>
      <c r="F84" s="40"/>
      <c r="G84" s="40"/>
      <c r="H84" s="40"/>
      <c r="I84" s="40"/>
      <c r="J84" s="40"/>
      <c r="K84" s="40"/>
      <c r="L84" s="40"/>
      <c r="M84" s="29"/>
      <c r="N84" s="30" t="str">
        <f aca="true">IF($D84="","",IF($AI84,MIN(OFFSET(hdr_PlanStart,$AF84+1,0,$AH84,1)),IF($E84="Manual",IF(N($M84)&gt;0,$M84,ProjectStart),WORKDAY.INTL(MAX(ProjectStart,N($M84),$AK84,$AL84)-1,1,WorkWeek,Holidays))))</f>
        <v/>
      </c>
      <c r="O84" s="30" t="str">
        <f aca="true">IF($D84="","",IF($AI84,MAX(OFFSET(hdr_PlanFinish,$AF84+1,0,$AH84,1)),IF(N($F84)&lt;=0,$N84,WORKDAY.INTL($N84,$F84-1,WorkWeek,Holidays))))</f>
        <v/>
      </c>
      <c r="P84" s="29"/>
      <c r="Q84" s="29"/>
      <c r="R84" s="30" t="str">
        <f aca="true">IF($D84="","",IF($AI84,MIN(OFFSET(hdr_FcStart,$AF84+1,0,$AH84,1)),IF(N($P84)&gt;0,$P84,IF($E84="Manual",IF(N($M84)&gt;0,$M84,ProjectStart),WORKDAY.INTL(MAX(ProjectStart,N($M84),$AM84,$AN84,IF(RescheduleAfterStatus="Yes",StatusDate,0))-1,1,WorkWeek,Holidays)))))</f>
        <v/>
      </c>
      <c r="S84" s="30" t="str">
        <f aca="true">IF($D84="","",IF($AI84,MAX(OFFSET(hdr_FcFinish,$AF84+1,0,$AH84,1)),IF(N($Q84)&gt;0,$Q84,IF(N($F84)&lt;=0,$R84,IF(AND(N($P84)&gt;0,RescheduleAfterStatus="Yes"),MAX(WORKDAY.INTL($R84,$F84-1,WorkWeek,Holidays),WORKDAY.INTL(StatusWorkday,MAX(0,ROUNDUP($F84*(1-MIN(1,N($U84))),0)-1),WorkWeek,Holidays)),WORKDAY.INTL($R84,$F84-1,WorkWeek,Holidays))))))</f>
        <v/>
      </c>
      <c r="T84" s="38" t="str">
        <f aca="false">IF($D84="","",IF($S84&gt;=$O84,NETWORKDAYS.INTL($O84,$S84,WorkWeek,Holidays)-1,1-NETWORKDAYS.INTL($S84,$O84,WorkWeek,Holidays)))</f>
        <v/>
      </c>
      <c r="U84" s="32"/>
      <c r="V84" s="42" t="str">
        <f aca="true">IF($D84="","",IF($AI84,IFERROR(SUM(OFFSET(hdr_WtDone,$AF84+1,0,$AH84,1))/SUM(OFFSET(hdr_WtDur,$AF84+1,0,$AH84,1)),0),IF(N($Q84)&gt;0,1,MIN(1,N($U84)))))</f>
        <v/>
      </c>
      <c r="W84" s="39" t="str">
        <f aca="false">IF($D84="","",IF($V84&gt;=1,"Complete",IF(OR(N($P84)&gt;0,$V84&gt;0),IF($T84&gt;0,"Behind","In Progress"),IF($N84&lt;StatusDate,"Late Start","Not Started"))))</f>
        <v/>
      </c>
      <c r="X84" s="41"/>
      <c r="Y84" s="32"/>
      <c r="Z84" s="43" t="str">
        <f aca="true">IF($D84="","",IF($AI84,SUMPRODUCT(OFFSET(hdr_Work,$AF84+1,0,$AH84,1),OFFSET(hdr_IsLeaf,$AF84+1,0,$AH84,1)),IF($X84="",0,N($F84)*HoursPerDay*IF($Y84="",DefaultUnits,$Y84))))</f>
        <v/>
      </c>
      <c r="AA84" s="44" t="str">
        <f aca="true">IF($D84="","",IF($AI84,SUMPRODUCT(OFFSET(hdr_Cost,$AF84+1,0,$AH84,1),OFFSET(hdr_IsLeaf,$AF84+1,0,$AH84,1)),$Z84*IFERROR(INDEX(res_Rate,MATCH($X84,res_Name,0)),0)))</f>
        <v/>
      </c>
      <c r="AB84" s="38" t="str">
        <f aca="false">IF(OR($D84="",$AI84),"",IF(OR($R84&lt;Sprint1Start,$R84&gt;SprintLastEnd),"Backlog",INDEX(spr_Name,MATCH($R84,spr_Start,1))))</f>
        <v/>
      </c>
      <c r="AC84" s="45" t="str">
        <f aca="false">IF($D84="","",$AT84&amp;IF(AND($AT84&lt;&gt;"",$AU84&lt;&gt;""),",","")&amp;$AU84)</f>
        <v/>
      </c>
      <c r="AD84" s="41"/>
      <c r="AE84" s="46" t="str">
        <f aca="false">IF($D84="","",MAX(1,N($C84)))</f>
        <v/>
      </c>
      <c r="AF84" s="46" t="n">
        <f aca="false">ROW()-ROW(hdr_ID)</f>
        <v>79</v>
      </c>
      <c r="AG84" s="46" t="n">
        <f aca="false">IF(OR($D84="",$AE84&lt;=1),0,IFERROR(LOOKUP(2,1/($AE$5:$AE83=$AE84-1),ROW($AE$5:$AE83)),0))</f>
        <v>0</v>
      </c>
      <c r="AH84" s="46" t="n">
        <f aca="false">IF($D84="",0,COUNTIF(tsk_WBS,$B84&amp;".*"))</f>
        <v>0</v>
      </c>
      <c r="AI84" s="47" t="b">
        <f aca="false">$AH84&gt;0</f>
        <v>0</v>
      </c>
      <c r="AJ84" s="46" t="n">
        <f aca="false">IF(AND($D84&lt;&gt;"",NOT($AI84)),1,0)</f>
        <v>0</v>
      </c>
      <c r="AK84" s="48" t="n">
        <f aca="true">IF(OR(N($G84)=0,$AI84,$D84=""),0,IFERROR(CHOOSE(MATCH(IF($H84="","FS",$H84),{"FS","SS","FF","SF"},0),WORKDAY.INTL(OFFSET(hdr_PlanFinish,MATCH($G84,tsk_ID,0),0),IF(N($F84)=0,0,1)+N($I84),WorkWeek,Holidays),WORKDAY.INTL(OFFSET(hdr_PlanStart,MATCH($G84,tsk_ID,0),0),N($I84),WorkWeek,Holidays),WORKDAY.INTL(WORKDAY.INTL(OFFSET(hdr_PlanFinish,MATCH($G84,tsk_ID,0),0),N($I84),WorkWeek,Holidays),-MAX(0,N($F84)-1),WorkWeek,Holidays),WORKDAY.INTL(WORKDAY.INTL(OFFSET(hdr_PlanStart,MATCH($G84,tsk_ID,0),0),N($I84),WorkWeek,Holidays),-MAX(0,N($F84)-1),WorkWeek,Holidays)),0))</f>
        <v>0</v>
      </c>
      <c r="AL84" s="48" t="n">
        <f aca="true">IF(OR(N($J84)=0,$AI84,$D84=""),0,IFERROR(CHOOSE(MATCH(IF($K84="","FS",$K84),{"FS","SS","FF","SF"},0),WORKDAY.INTL(OFFSET(hdr_PlanFinish,MATCH($J84,tsk_ID,0),0),IF(N($F84)=0,0,1)+N($L84),WorkWeek,Holidays),WORKDAY.INTL(OFFSET(hdr_PlanStart,MATCH($J84,tsk_ID,0),0),N($L84),WorkWeek,Holidays),WORKDAY.INTL(WORKDAY.INTL(OFFSET(hdr_PlanFinish,MATCH($J84,tsk_ID,0),0),N($L84),WorkWeek,Holidays),-MAX(0,N($F84)-1),WorkWeek,Holidays),WORKDAY.INTL(WORKDAY.INTL(OFFSET(hdr_PlanStart,MATCH($J84,tsk_ID,0),0),N($L84),WorkWeek,Holidays),-MAX(0,N($F84)-1),WorkWeek,Holidays)),0))</f>
        <v>0</v>
      </c>
      <c r="AM84" s="48" t="n">
        <f aca="true">IF(OR(N($G84)=0,$AI84,$D84=""),0,IFERROR(CHOOSE(MATCH(IF($H84="","FS",$H84),{"FS","SS","FF","SF"},0),WORKDAY.INTL(OFFSET(hdr_FcFinish,MATCH($G84,tsk_ID,0),0),IF(N($F84)=0,0,1)+N($I84),WorkWeek,Holidays),WORKDAY.INTL(OFFSET(hdr_FcStart,MATCH($G84,tsk_ID,0),0),N($I84),WorkWeek,Holidays),WORKDAY.INTL(WORKDAY.INTL(OFFSET(hdr_FcFinish,MATCH($G84,tsk_ID,0),0),N($I84),WorkWeek,Holidays),-MAX(0,N($F84)-1),WorkWeek,Holidays),WORKDAY.INTL(WORKDAY.INTL(OFFSET(hdr_FcStart,MATCH($G84,tsk_ID,0),0),N($I84),WorkWeek,Holidays),-MAX(0,N($F84)-1),WorkWeek,Holidays)),0))</f>
        <v>0</v>
      </c>
      <c r="AN84" s="48" t="n">
        <f aca="true">IF(OR(N($J84)=0,$AI84,$D84=""),0,IFERROR(CHOOSE(MATCH(IF($K84="","FS",$K84),{"FS","SS","FF","SF"},0),WORKDAY.INTL(OFFSET(hdr_FcFinish,MATCH($J84,tsk_ID,0),0),IF(N($F84)=0,0,1)+N($L84),WorkWeek,Holidays),WORKDAY.INTL(OFFSET(hdr_FcStart,MATCH($J84,tsk_ID,0),0),N($L84),WorkWeek,Holidays),WORKDAY.INTL(WORKDAY.INTL(OFFSET(hdr_FcFinish,MATCH($J84,tsk_ID,0),0),N($L84),WorkWeek,Holidays),-MAX(0,N($F84)-1),WorkWeek,Holidays),WORKDAY.INTL(WORKDAY.INTL(OFFSET(hdr_FcStart,MATCH($J84,tsk_ID,0),0),N($L84),WorkWeek,Holidays),-MAX(0,N($F84)-1),WorkWeek,Holidays)),0))</f>
        <v>0</v>
      </c>
      <c r="AO84" s="48" t="n">
        <f aca="false">IF($AJ84=1,$R84,0)</f>
        <v>0</v>
      </c>
      <c r="AP84" s="48" t="n">
        <f aca="false">IF($AJ84=1,$S84,0)</f>
        <v>0</v>
      </c>
      <c r="AQ84" s="49" t="n">
        <f aca="false">IF(AND($AJ84=1,N($Z84)&gt;0),$Z84/($AP84-$AO84+1),0)</f>
        <v>0</v>
      </c>
      <c r="AR84" s="46" t="n">
        <f aca="false">IF($AJ84=1,MAX(N($F84),0.1),0)</f>
        <v>0</v>
      </c>
      <c r="AS84" s="46" t="n">
        <f aca="false">IF($AJ84=1,$AR84*$V84,0)</f>
        <v>0</v>
      </c>
      <c r="AT84" s="46" t="str">
        <f aca="false">IF(N($G84)=0,"",$G84&amp;IF(AND(IF($H84="","FS",$H84)="FS",N($I84)=0),"",IF($H84="","FS",$H84)&amp;IF(N($I84)=0,"",IF(N($I84)&gt;0,"+","")&amp;N($I84)&amp;"d")))</f>
        <v/>
      </c>
      <c r="AU84" s="46" t="str">
        <f aca="false">IF(N($J84)=0,"",$J84&amp;IF(AND(IF($K84="","FS",$K84)="FS",N($L84)=0),"",IF($K84="","FS",$K84)&amp;IF(N($L84)=0,"",IF(N($L84)&gt;0,"+","")&amp;N($L84)&amp;"d")))</f>
        <v/>
      </c>
      <c r="AV84" s="46" t="str">
        <f aca="false">IF(AND($AJ84=1,N($F84)=0,$V84&lt;1),$S84+$AF84/100000,"")</f>
        <v/>
      </c>
    </row>
    <row r="85" customFormat="false" ht="15" hidden="false" customHeight="false" outlineLevel="0" collapsed="false">
      <c r="A85" s="38" t="str">
        <f aca="false">IF($D85="","",COUNTA($D$6:$D85))</f>
        <v/>
      </c>
      <c r="B85" s="39" t="str">
        <f aca="true">IF($D85="","",IF($AE85=1,COUNTIF($AE$6:$AE85,1)&amp;"",IF($AG85=0,"?",OFFSET(hdr_WBS,$AG85-ROW(hdr_WBS),0)&amp;"."&amp;COUNTIF(INDEX($AE:$AE,$AG85+1):$AE85,$AE85))))</f>
        <v/>
      </c>
      <c r="C85" s="40"/>
      <c r="D85" s="41"/>
      <c r="E85" s="40"/>
      <c r="F85" s="40"/>
      <c r="G85" s="40"/>
      <c r="H85" s="40"/>
      <c r="I85" s="40"/>
      <c r="J85" s="40"/>
      <c r="K85" s="40"/>
      <c r="L85" s="40"/>
      <c r="M85" s="29"/>
      <c r="N85" s="30" t="str">
        <f aca="true">IF($D85="","",IF($AI85,MIN(OFFSET(hdr_PlanStart,$AF85+1,0,$AH85,1)),IF($E85="Manual",IF(N($M85)&gt;0,$M85,ProjectStart),WORKDAY.INTL(MAX(ProjectStart,N($M85),$AK85,$AL85)-1,1,WorkWeek,Holidays))))</f>
        <v/>
      </c>
      <c r="O85" s="30" t="str">
        <f aca="true">IF($D85="","",IF($AI85,MAX(OFFSET(hdr_PlanFinish,$AF85+1,0,$AH85,1)),IF(N($F85)&lt;=0,$N85,WORKDAY.INTL($N85,$F85-1,WorkWeek,Holidays))))</f>
        <v/>
      </c>
      <c r="P85" s="29"/>
      <c r="Q85" s="29"/>
      <c r="R85" s="30" t="str">
        <f aca="true">IF($D85="","",IF($AI85,MIN(OFFSET(hdr_FcStart,$AF85+1,0,$AH85,1)),IF(N($P85)&gt;0,$P85,IF($E85="Manual",IF(N($M85)&gt;0,$M85,ProjectStart),WORKDAY.INTL(MAX(ProjectStart,N($M85),$AM85,$AN85,IF(RescheduleAfterStatus="Yes",StatusDate,0))-1,1,WorkWeek,Holidays)))))</f>
        <v/>
      </c>
      <c r="S85" s="30" t="str">
        <f aca="true">IF($D85="","",IF($AI85,MAX(OFFSET(hdr_FcFinish,$AF85+1,0,$AH85,1)),IF(N($Q85)&gt;0,$Q85,IF(N($F85)&lt;=0,$R85,IF(AND(N($P85)&gt;0,RescheduleAfterStatus="Yes"),MAX(WORKDAY.INTL($R85,$F85-1,WorkWeek,Holidays),WORKDAY.INTL(StatusWorkday,MAX(0,ROUNDUP($F85*(1-MIN(1,N($U85))),0)-1),WorkWeek,Holidays)),WORKDAY.INTL($R85,$F85-1,WorkWeek,Holidays))))))</f>
        <v/>
      </c>
      <c r="T85" s="38" t="str">
        <f aca="false">IF($D85="","",IF($S85&gt;=$O85,NETWORKDAYS.INTL($O85,$S85,WorkWeek,Holidays)-1,1-NETWORKDAYS.INTL($S85,$O85,WorkWeek,Holidays)))</f>
        <v/>
      </c>
      <c r="U85" s="32"/>
      <c r="V85" s="42" t="str">
        <f aca="true">IF($D85="","",IF($AI85,IFERROR(SUM(OFFSET(hdr_WtDone,$AF85+1,0,$AH85,1))/SUM(OFFSET(hdr_WtDur,$AF85+1,0,$AH85,1)),0),IF(N($Q85)&gt;0,1,MIN(1,N($U85)))))</f>
        <v/>
      </c>
      <c r="W85" s="39" t="str">
        <f aca="false">IF($D85="","",IF($V85&gt;=1,"Complete",IF(OR(N($P85)&gt;0,$V85&gt;0),IF($T85&gt;0,"Behind","In Progress"),IF($N85&lt;StatusDate,"Late Start","Not Started"))))</f>
        <v/>
      </c>
      <c r="X85" s="41"/>
      <c r="Y85" s="32"/>
      <c r="Z85" s="43" t="str">
        <f aca="true">IF($D85="","",IF($AI85,SUMPRODUCT(OFFSET(hdr_Work,$AF85+1,0,$AH85,1),OFFSET(hdr_IsLeaf,$AF85+1,0,$AH85,1)),IF($X85="",0,N($F85)*HoursPerDay*IF($Y85="",DefaultUnits,$Y85))))</f>
        <v/>
      </c>
      <c r="AA85" s="44" t="str">
        <f aca="true">IF($D85="","",IF($AI85,SUMPRODUCT(OFFSET(hdr_Cost,$AF85+1,0,$AH85,1),OFFSET(hdr_IsLeaf,$AF85+1,0,$AH85,1)),$Z85*IFERROR(INDEX(res_Rate,MATCH($X85,res_Name,0)),0)))</f>
        <v/>
      </c>
      <c r="AB85" s="38" t="str">
        <f aca="false">IF(OR($D85="",$AI85),"",IF(OR($R85&lt;Sprint1Start,$R85&gt;SprintLastEnd),"Backlog",INDEX(spr_Name,MATCH($R85,spr_Start,1))))</f>
        <v/>
      </c>
      <c r="AC85" s="45" t="str">
        <f aca="false">IF($D85="","",$AT85&amp;IF(AND($AT85&lt;&gt;"",$AU85&lt;&gt;""),",","")&amp;$AU85)</f>
        <v/>
      </c>
      <c r="AD85" s="41"/>
      <c r="AE85" s="46" t="str">
        <f aca="false">IF($D85="","",MAX(1,N($C85)))</f>
        <v/>
      </c>
      <c r="AF85" s="46" t="n">
        <f aca="false">ROW()-ROW(hdr_ID)</f>
        <v>80</v>
      </c>
      <c r="AG85" s="46" t="n">
        <f aca="false">IF(OR($D85="",$AE85&lt;=1),0,IFERROR(LOOKUP(2,1/($AE$5:$AE84=$AE85-1),ROW($AE$5:$AE84)),0))</f>
        <v>0</v>
      </c>
      <c r="AH85" s="46" t="n">
        <f aca="false">IF($D85="",0,COUNTIF(tsk_WBS,$B85&amp;".*"))</f>
        <v>0</v>
      </c>
      <c r="AI85" s="47" t="b">
        <f aca="false">$AH85&gt;0</f>
        <v>0</v>
      </c>
      <c r="AJ85" s="46" t="n">
        <f aca="false">IF(AND($D85&lt;&gt;"",NOT($AI85)),1,0)</f>
        <v>0</v>
      </c>
      <c r="AK85" s="48" t="n">
        <f aca="true">IF(OR(N($G85)=0,$AI85,$D85=""),0,IFERROR(CHOOSE(MATCH(IF($H85="","FS",$H85),{"FS","SS","FF","SF"},0),WORKDAY.INTL(OFFSET(hdr_PlanFinish,MATCH($G85,tsk_ID,0),0),IF(N($F85)=0,0,1)+N($I85),WorkWeek,Holidays),WORKDAY.INTL(OFFSET(hdr_PlanStart,MATCH($G85,tsk_ID,0),0),N($I85),WorkWeek,Holidays),WORKDAY.INTL(WORKDAY.INTL(OFFSET(hdr_PlanFinish,MATCH($G85,tsk_ID,0),0),N($I85),WorkWeek,Holidays),-MAX(0,N($F85)-1),WorkWeek,Holidays),WORKDAY.INTL(WORKDAY.INTL(OFFSET(hdr_PlanStart,MATCH($G85,tsk_ID,0),0),N($I85),WorkWeek,Holidays),-MAX(0,N($F85)-1),WorkWeek,Holidays)),0))</f>
        <v>0</v>
      </c>
      <c r="AL85" s="48" t="n">
        <f aca="true">IF(OR(N($J85)=0,$AI85,$D85=""),0,IFERROR(CHOOSE(MATCH(IF($K85="","FS",$K85),{"FS","SS","FF","SF"},0),WORKDAY.INTL(OFFSET(hdr_PlanFinish,MATCH($J85,tsk_ID,0),0),IF(N($F85)=0,0,1)+N($L85),WorkWeek,Holidays),WORKDAY.INTL(OFFSET(hdr_PlanStart,MATCH($J85,tsk_ID,0),0),N($L85),WorkWeek,Holidays),WORKDAY.INTL(WORKDAY.INTL(OFFSET(hdr_PlanFinish,MATCH($J85,tsk_ID,0),0),N($L85),WorkWeek,Holidays),-MAX(0,N($F85)-1),WorkWeek,Holidays),WORKDAY.INTL(WORKDAY.INTL(OFFSET(hdr_PlanStart,MATCH($J85,tsk_ID,0),0),N($L85),WorkWeek,Holidays),-MAX(0,N($F85)-1),WorkWeek,Holidays)),0))</f>
        <v>0</v>
      </c>
      <c r="AM85" s="48" t="n">
        <f aca="true">IF(OR(N($G85)=0,$AI85,$D85=""),0,IFERROR(CHOOSE(MATCH(IF($H85="","FS",$H85),{"FS","SS","FF","SF"},0),WORKDAY.INTL(OFFSET(hdr_FcFinish,MATCH($G85,tsk_ID,0),0),IF(N($F85)=0,0,1)+N($I85),WorkWeek,Holidays),WORKDAY.INTL(OFFSET(hdr_FcStart,MATCH($G85,tsk_ID,0),0),N($I85),WorkWeek,Holidays),WORKDAY.INTL(WORKDAY.INTL(OFFSET(hdr_FcFinish,MATCH($G85,tsk_ID,0),0),N($I85),WorkWeek,Holidays),-MAX(0,N($F85)-1),WorkWeek,Holidays),WORKDAY.INTL(WORKDAY.INTL(OFFSET(hdr_FcStart,MATCH($G85,tsk_ID,0),0),N($I85),WorkWeek,Holidays),-MAX(0,N($F85)-1),WorkWeek,Holidays)),0))</f>
        <v>0</v>
      </c>
      <c r="AN85" s="48" t="n">
        <f aca="true">IF(OR(N($J85)=0,$AI85,$D85=""),0,IFERROR(CHOOSE(MATCH(IF($K85="","FS",$K85),{"FS","SS","FF","SF"},0),WORKDAY.INTL(OFFSET(hdr_FcFinish,MATCH($J85,tsk_ID,0),0),IF(N($F85)=0,0,1)+N($L85),WorkWeek,Holidays),WORKDAY.INTL(OFFSET(hdr_FcStart,MATCH($J85,tsk_ID,0),0),N($L85),WorkWeek,Holidays),WORKDAY.INTL(WORKDAY.INTL(OFFSET(hdr_FcFinish,MATCH($J85,tsk_ID,0),0),N($L85),WorkWeek,Holidays),-MAX(0,N($F85)-1),WorkWeek,Holidays),WORKDAY.INTL(WORKDAY.INTL(OFFSET(hdr_FcStart,MATCH($J85,tsk_ID,0),0),N($L85),WorkWeek,Holidays),-MAX(0,N($F85)-1),WorkWeek,Holidays)),0))</f>
        <v>0</v>
      </c>
      <c r="AO85" s="48" t="n">
        <f aca="false">IF($AJ85=1,$R85,0)</f>
        <v>0</v>
      </c>
      <c r="AP85" s="48" t="n">
        <f aca="false">IF($AJ85=1,$S85,0)</f>
        <v>0</v>
      </c>
      <c r="AQ85" s="49" t="n">
        <f aca="false">IF(AND($AJ85=1,N($Z85)&gt;0),$Z85/($AP85-$AO85+1),0)</f>
        <v>0</v>
      </c>
      <c r="AR85" s="46" t="n">
        <f aca="false">IF($AJ85=1,MAX(N($F85),0.1),0)</f>
        <v>0</v>
      </c>
      <c r="AS85" s="46" t="n">
        <f aca="false">IF($AJ85=1,$AR85*$V85,0)</f>
        <v>0</v>
      </c>
      <c r="AT85" s="46" t="str">
        <f aca="false">IF(N($G85)=0,"",$G85&amp;IF(AND(IF($H85="","FS",$H85)="FS",N($I85)=0),"",IF($H85="","FS",$H85)&amp;IF(N($I85)=0,"",IF(N($I85)&gt;0,"+","")&amp;N($I85)&amp;"d")))</f>
        <v/>
      </c>
      <c r="AU85" s="46" t="str">
        <f aca="false">IF(N($J85)=0,"",$J85&amp;IF(AND(IF($K85="","FS",$K85)="FS",N($L85)=0),"",IF($K85="","FS",$K85)&amp;IF(N($L85)=0,"",IF(N($L85)&gt;0,"+","")&amp;N($L85)&amp;"d")))</f>
        <v/>
      </c>
      <c r="AV85" s="46" t="str">
        <f aca="false">IF(AND($AJ85=1,N($F85)=0,$V85&lt;1),$S85+$AF85/100000,"")</f>
        <v/>
      </c>
    </row>
    <row r="86" customFormat="false" ht="15" hidden="false" customHeight="false" outlineLevel="0" collapsed="false">
      <c r="A86" s="38" t="str">
        <f aca="false">IF($D86="","",COUNTA($D$6:$D86))</f>
        <v/>
      </c>
      <c r="B86" s="39" t="str">
        <f aca="true">IF($D86="","",IF($AE86=1,COUNTIF($AE$6:$AE86,1)&amp;"",IF($AG86=0,"?",OFFSET(hdr_WBS,$AG86-ROW(hdr_WBS),0)&amp;"."&amp;COUNTIF(INDEX($AE:$AE,$AG86+1):$AE86,$AE86))))</f>
        <v/>
      </c>
      <c r="C86" s="40"/>
      <c r="D86" s="41"/>
      <c r="E86" s="40"/>
      <c r="F86" s="40"/>
      <c r="G86" s="40"/>
      <c r="H86" s="40"/>
      <c r="I86" s="40"/>
      <c r="J86" s="40"/>
      <c r="K86" s="40"/>
      <c r="L86" s="40"/>
      <c r="M86" s="29"/>
      <c r="N86" s="30" t="str">
        <f aca="true">IF($D86="","",IF($AI86,MIN(OFFSET(hdr_PlanStart,$AF86+1,0,$AH86,1)),IF($E86="Manual",IF(N($M86)&gt;0,$M86,ProjectStart),WORKDAY.INTL(MAX(ProjectStart,N($M86),$AK86,$AL86)-1,1,WorkWeek,Holidays))))</f>
        <v/>
      </c>
      <c r="O86" s="30" t="str">
        <f aca="true">IF($D86="","",IF($AI86,MAX(OFFSET(hdr_PlanFinish,$AF86+1,0,$AH86,1)),IF(N($F86)&lt;=0,$N86,WORKDAY.INTL($N86,$F86-1,WorkWeek,Holidays))))</f>
        <v/>
      </c>
      <c r="P86" s="29"/>
      <c r="Q86" s="29"/>
      <c r="R86" s="30" t="str">
        <f aca="true">IF($D86="","",IF($AI86,MIN(OFFSET(hdr_FcStart,$AF86+1,0,$AH86,1)),IF(N($P86)&gt;0,$P86,IF($E86="Manual",IF(N($M86)&gt;0,$M86,ProjectStart),WORKDAY.INTL(MAX(ProjectStart,N($M86),$AM86,$AN86,IF(RescheduleAfterStatus="Yes",StatusDate,0))-1,1,WorkWeek,Holidays)))))</f>
        <v/>
      </c>
      <c r="S86" s="30" t="str">
        <f aca="true">IF($D86="","",IF($AI86,MAX(OFFSET(hdr_FcFinish,$AF86+1,0,$AH86,1)),IF(N($Q86)&gt;0,$Q86,IF(N($F86)&lt;=0,$R86,IF(AND(N($P86)&gt;0,RescheduleAfterStatus="Yes"),MAX(WORKDAY.INTL($R86,$F86-1,WorkWeek,Holidays),WORKDAY.INTL(StatusWorkday,MAX(0,ROUNDUP($F86*(1-MIN(1,N($U86))),0)-1),WorkWeek,Holidays)),WORKDAY.INTL($R86,$F86-1,WorkWeek,Holidays))))))</f>
        <v/>
      </c>
      <c r="T86" s="38" t="str">
        <f aca="false">IF($D86="","",IF($S86&gt;=$O86,NETWORKDAYS.INTL($O86,$S86,WorkWeek,Holidays)-1,1-NETWORKDAYS.INTL($S86,$O86,WorkWeek,Holidays)))</f>
        <v/>
      </c>
      <c r="U86" s="32"/>
      <c r="V86" s="42" t="str">
        <f aca="true">IF($D86="","",IF($AI86,IFERROR(SUM(OFFSET(hdr_WtDone,$AF86+1,0,$AH86,1))/SUM(OFFSET(hdr_WtDur,$AF86+1,0,$AH86,1)),0),IF(N($Q86)&gt;0,1,MIN(1,N($U86)))))</f>
        <v/>
      </c>
      <c r="W86" s="39" t="str">
        <f aca="false">IF($D86="","",IF($V86&gt;=1,"Complete",IF(OR(N($P86)&gt;0,$V86&gt;0),IF($T86&gt;0,"Behind","In Progress"),IF($N86&lt;StatusDate,"Late Start","Not Started"))))</f>
        <v/>
      </c>
      <c r="X86" s="41"/>
      <c r="Y86" s="32"/>
      <c r="Z86" s="43" t="str">
        <f aca="true">IF($D86="","",IF($AI86,SUMPRODUCT(OFFSET(hdr_Work,$AF86+1,0,$AH86,1),OFFSET(hdr_IsLeaf,$AF86+1,0,$AH86,1)),IF($X86="",0,N($F86)*HoursPerDay*IF($Y86="",DefaultUnits,$Y86))))</f>
        <v/>
      </c>
      <c r="AA86" s="44" t="str">
        <f aca="true">IF($D86="","",IF($AI86,SUMPRODUCT(OFFSET(hdr_Cost,$AF86+1,0,$AH86,1),OFFSET(hdr_IsLeaf,$AF86+1,0,$AH86,1)),$Z86*IFERROR(INDEX(res_Rate,MATCH($X86,res_Name,0)),0)))</f>
        <v/>
      </c>
      <c r="AB86" s="38" t="str">
        <f aca="false">IF(OR($D86="",$AI86),"",IF(OR($R86&lt;Sprint1Start,$R86&gt;SprintLastEnd),"Backlog",INDEX(spr_Name,MATCH($R86,spr_Start,1))))</f>
        <v/>
      </c>
      <c r="AC86" s="45" t="str">
        <f aca="false">IF($D86="","",$AT86&amp;IF(AND($AT86&lt;&gt;"",$AU86&lt;&gt;""),",","")&amp;$AU86)</f>
        <v/>
      </c>
      <c r="AD86" s="41"/>
      <c r="AE86" s="46" t="str">
        <f aca="false">IF($D86="","",MAX(1,N($C86)))</f>
        <v/>
      </c>
      <c r="AF86" s="46" t="n">
        <f aca="false">ROW()-ROW(hdr_ID)</f>
        <v>81</v>
      </c>
      <c r="AG86" s="46" t="n">
        <f aca="false">IF(OR($D86="",$AE86&lt;=1),0,IFERROR(LOOKUP(2,1/($AE$5:$AE85=$AE86-1),ROW($AE$5:$AE85)),0))</f>
        <v>0</v>
      </c>
      <c r="AH86" s="46" t="n">
        <f aca="false">IF($D86="",0,COUNTIF(tsk_WBS,$B86&amp;".*"))</f>
        <v>0</v>
      </c>
      <c r="AI86" s="47" t="b">
        <f aca="false">$AH86&gt;0</f>
        <v>0</v>
      </c>
      <c r="AJ86" s="46" t="n">
        <f aca="false">IF(AND($D86&lt;&gt;"",NOT($AI86)),1,0)</f>
        <v>0</v>
      </c>
      <c r="AK86" s="48" t="n">
        <f aca="true">IF(OR(N($G86)=0,$AI86,$D86=""),0,IFERROR(CHOOSE(MATCH(IF($H86="","FS",$H86),{"FS","SS","FF","SF"},0),WORKDAY.INTL(OFFSET(hdr_PlanFinish,MATCH($G86,tsk_ID,0),0),IF(N($F86)=0,0,1)+N($I86),WorkWeek,Holidays),WORKDAY.INTL(OFFSET(hdr_PlanStart,MATCH($G86,tsk_ID,0),0),N($I86),WorkWeek,Holidays),WORKDAY.INTL(WORKDAY.INTL(OFFSET(hdr_PlanFinish,MATCH($G86,tsk_ID,0),0),N($I86),WorkWeek,Holidays),-MAX(0,N($F86)-1),WorkWeek,Holidays),WORKDAY.INTL(WORKDAY.INTL(OFFSET(hdr_PlanStart,MATCH($G86,tsk_ID,0),0),N($I86),WorkWeek,Holidays),-MAX(0,N($F86)-1),WorkWeek,Holidays)),0))</f>
        <v>0</v>
      </c>
      <c r="AL86" s="48" t="n">
        <f aca="true">IF(OR(N($J86)=0,$AI86,$D86=""),0,IFERROR(CHOOSE(MATCH(IF($K86="","FS",$K86),{"FS","SS","FF","SF"},0),WORKDAY.INTL(OFFSET(hdr_PlanFinish,MATCH($J86,tsk_ID,0),0),IF(N($F86)=0,0,1)+N($L86),WorkWeek,Holidays),WORKDAY.INTL(OFFSET(hdr_PlanStart,MATCH($J86,tsk_ID,0),0),N($L86),WorkWeek,Holidays),WORKDAY.INTL(WORKDAY.INTL(OFFSET(hdr_PlanFinish,MATCH($J86,tsk_ID,0),0),N($L86),WorkWeek,Holidays),-MAX(0,N($F86)-1),WorkWeek,Holidays),WORKDAY.INTL(WORKDAY.INTL(OFFSET(hdr_PlanStart,MATCH($J86,tsk_ID,0),0),N($L86),WorkWeek,Holidays),-MAX(0,N($F86)-1),WorkWeek,Holidays)),0))</f>
        <v>0</v>
      </c>
      <c r="AM86" s="48" t="n">
        <f aca="true">IF(OR(N($G86)=0,$AI86,$D86=""),0,IFERROR(CHOOSE(MATCH(IF($H86="","FS",$H86),{"FS","SS","FF","SF"},0),WORKDAY.INTL(OFFSET(hdr_FcFinish,MATCH($G86,tsk_ID,0),0),IF(N($F86)=0,0,1)+N($I86),WorkWeek,Holidays),WORKDAY.INTL(OFFSET(hdr_FcStart,MATCH($G86,tsk_ID,0),0),N($I86),WorkWeek,Holidays),WORKDAY.INTL(WORKDAY.INTL(OFFSET(hdr_FcFinish,MATCH($G86,tsk_ID,0),0),N($I86),WorkWeek,Holidays),-MAX(0,N($F86)-1),WorkWeek,Holidays),WORKDAY.INTL(WORKDAY.INTL(OFFSET(hdr_FcStart,MATCH($G86,tsk_ID,0),0),N($I86),WorkWeek,Holidays),-MAX(0,N($F86)-1),WorkWeek,Holidays)),0))</f>
        <v>0</v>
      </c>
      <c r="AN86" s="48" t="n">
        <f aca="true">IF(OR(N($J86)=0,$AI86,$D86=""),0,IFERROR(CHOOSE(MATCH(IF($K86="","FS",$K86),{"FS","SS","FF","SF"},0),WORKDAY.INTL(OFFSET(hdr_FcFinish,MATCH($J86,tsk_ID,0),0),IF(N($F86)=0,0,1)+N($L86),WorkWeek,Holidays),WORKDAY.INTL(OFFSET(hdr_FcStart,MATCH($J86,tsk_ID,0),0),N($L86),WorkWeek,Holidays),WORKDAY.INTL(WORKDAY.INTL(OFFSET(hdr_FcFinish,MATCH($J86,tsk_ID,0),0),N($L86),WorkWeek,Holidays),-MAX(0,N($F86)-1),WorkWeek,Holidays),WORKDAY.INTL(WORKDAY.INTL(OFFSET(hdr_FcStart,MATCH($J86,tsk_ID,0),0),N($L86),WorkWeek,Holidays),-MAX(0,N($F86)-1),WorkWeek,Holidays)),0))</f>
        <v>0</v>
      </c>
      <c r="AO86" s="48" t="n">
        <f aca="false">IF($AJ86=1,$R86,0)</f>
        <v>0</v>
      </c>
      <c r="AP86" s="48" t="n">
        <f aca="false">IF($AJ86=1,$S86,0)</f>
        <v>0</v>
      </c>
      <c r="AQ86" s="49" t="n">
        <f aca="false">IF(AND($AJ86=1,N($Z86)&gt;0),$Z86/($AP86-$AO86+1),0)</f>
        <v>0</v>
      </c>
      <c r="AR86" s="46" t="n">
        <f aca="false">IF($AJ86=1,MAX(N($F86),0.1),0)</f>
        <v>0</v>
      </c>
      <c r="AS86" s="46" t="n">
        <f aca="false">IF($AJ86=1,$AR86*$V86,0)</f>
        <v>0</v>
      </c>
      <c r="AT86" s="46" t="str">
        <f aca="false">IF(N($G86)=0,"",$G86&amp;IF(AND(IF($H86="","FS",$H86)="FS",N($I86)=0),"",IF($H86="","FS",$H86)&amp;IF(N($I86)=0,"",IF(N($I86)&gt;0,"+","")&amp;N($I86)&amp;"d")))</f>
        <v/>
      </c>
      <c r="AU86" s="46" t="str">
        <f aca="false">IF(N($J86)=0,"",$J86&amp;IF(AND(IF($K86="","FS",$K86)="FS",N($L86)=0),"",IF($K86="","FS",$K86)&amp;IF(N($L86)=0,"",IF(N($L86)&gt;0,"+","")&amp;N($L86)&amp;"d")))</f>
        <v/>
      </c>
      <c r="AV86" s="46" t="str">
        <f aca="false">IF(AND($AJ86=1,N($F86)=0,$V86&lt;1),$S86+$AF86/100000,"")</f>
        <v/>
      </c>
    </row>
    <row r="87" customFormat="false" ht="15" hidden="false" customHeight="false" outlineLevel="0" collapsed="false">
      <c r="A87" s="38" t="str">
        <f aca="false">IF($D87="","",COUNTA($D$6:$D87))</f>
        <v/>
      </c>
      <c r="B87" s="39" t="str">
        <f aca="true">IF($D87="","",IF($AE87=1,COUNTIF($AE$6:$AE87,1)&amp;"",IF($AG87=0,"?",OFFSET(hdr_WBS,$AG87-ROW(hdr_WBS),0)&amp;"."&amp;COUNTIF(INDEX($AE:$AE,$AG87+1):$AE87,$AE87))))</f>
        <v/>
      </c>
      <c r="C87" s="40"/>
      <c r="D87" s="41"/>
      <c r="E87" s="40"/>
      <c r="F87" s="40"/>
      <c r="G87" s="40"/>
      <c r="H87" s="40"/>
      <c r="I87" s="40"/>
      <c r="J87" s="40"/>
      <c r="K87" s="40"/>
      <c r="L87" s="40"/>
      <c r="M87" s="29"/>
      <c r="N87" s="30" t="str">
        <f aca="true">IF($D87="","",IF($AI87,MIN(OFFSET(hdr_PlanStart,$AF87+1,0,$AH87,1)),IF($E87="Manual",IF(N($M87)&gt;0,$M87,ProjectStart),WORKDAY.INTL(MAX(ProjectStart,N($M87),$AK87,$AL87)-1,1,WorkWeek,Holidays))))</f>
        <v/>
      </c>
      <c r="O87" s="30" t="str">
        <f aca="true">IF($D87="","",IF($AI87,MAX(OFFSET(hdr_PlanFinish,$AF87+1,0,$AH87,1)),IF(N($F87)&lt;=0,$N87,WORKDAY.INTL($N87,$F87-1,WorkWeek,Holidays))))</f>
        <v/>
      </c>
      <c r="P87" s="29"/>
      <c r="Q87" s="29"/>
      <c r="R87" s="30" t="str">
        <f aca="true">IF($D87="","",IF($AI87,MIN(OFFSET(hdr_FcStart,$AF87+1,0,$AH87,1)),IF(N($P87)&gt;0,$P87,IF($E87="Manual",IF(N($M87)&gt;0,$M87,ProjectStart),WORKDAY.INTL(MAX(ProjectStart,N($M87),$AM87,$AN87,IF(RescheduleAfterStatus="Yes",StatusDate,0))-1,1,WorkWeek,Holidays)))))</f>
        <v/>
      </c>
      <c r="S87" s="30" t="str">
        <f aca="true">IF($D87="","",IF($AI87,MAX(OFFSET(hdr_FcFinish,$AF87+1,0,$AH87,1)),IF(N($Q87)&gt;0,$Q87,IF(N($F87)&lt;=0,$R87,IF(AND(N($P87)&gt;0,RescheduleAfterStatus="Yes"),MAX(WORKDAY.INTL($R87,$F87-1,WorkWeek,Holidays),WORKDAY.INTL(StatusWorkday,MAX(0,ROUNDUP($F87*(1-MIN(1,N($U87))),0)-1),WorkWeek,Holidays)),WORKDAY.INTL($R87,$F87-1,WorkWeek,Holidays))))))</f>
        <v/>
      </c>
      <c r="T87" s="38" t="str">
        <f aca="false">IF($D87="","",IF($S87&gt;=$O87,NETWORKDAYS.INTL($O87,$S87,WorkWeek,Holidays)-1,1-NETWORKDAYS.INTL($S87,$O87,WorkWeek,Holidays)))</f>
        <v/>
      </c>
      <c r="U87" s="32"/>
      <c r="V87" s="42" t="str">
        <f aca="true">IF($D87="","",IF($AI87,IFERROR(SUM(OFFSET(hdr_WtDone,$AF87+1,0,$AH87,1))/SUM(OFFSET(hdr_WtDur,$AF87+1,0,$AH87,1)),0),IF(N($Q87)&gt;0,1,MIN(1,N($U87)))))</f>
        <v/>
      </c>
      <c r="W87" s="39" t="str">
        <f aca="false">IF($D87="","",IF($V87&gt;=1,"Complete",IF(OR(N($P87)&gt;0,$V87&gt;0),IF($T87&gt;0,"Behind","In Progress"),IF($N87&lt;StatusDate,"Late Start","Not Started"))))</f>
        <v/>
      </c>
      <c r="X87" s="41"/>
      <c r="Y87" s="32"/>
      <c r="Z87" s="43" t="str">
        <f aca="true">IF($D87="","",IF($AI87,SUMPRODUCT(OFFSET(hdr_Work,$AF87+1,0,$AH87,1),OFFSET(hdr_IsLeaf,$AF87+1,0,$AH87,1)),IF($X87="",0,N($F87)*HoursPerDay*IF($Y87="",DefaultUnits,$Y87))))</f>
        <v/>
      </c>
      <c r="AA87" s="44" t="str">
        <f aca="true">IF($D87="","",IF($AI87,SUMPRODUCT(OFFSET(hdr_Cost,$AF87+1,0,$AH87,1),OFFSET(hdr_IsLeaf,$AF87+1,0,$AH87,1)),$Z87*IFERROR(INDEX(res_Rate,MATCH($X87,res_Name,0)),0)))</f>
        <v/>
      </c>
      <c r="AB87" s="38" t="str">
        <f aca="false">IF(OR($D87="",$AI87),"",IF(OR($R87&lt;Sprint1Start,$R87&gt;SprintLastEnd),"Backlog",INDEX(spr_Name,MATCH($R87,spr_Start,1))))</f>
        <v/>
      </c>
      <c r="AC87" s="45" t="str">
        <f aca="false">IF($D87="","",$AT87&amp;IF(AND($AT87&lt;&gt;"",$AU87&lt;&gt;""),",","")&amp;$AU87)</f>
        <v/>
      </c>
      <c r="AD87" s="41"/>
      <c r="AE87" s="46" t="str">
        <f aca="false">IF($D87="","",MAX(1,N($C87)))</f>
        <v/>
      </c>
      <c r="AF87" s="46" t="n">
        <f aca="false">ROW()-ROW(hdr_ID)</f>
        <v>82</v>
      </c>
      <c r="AG87" s="46" t="n">
        <f aca="false">IF(OR($D87="",$AE87&lt;=1),0,IFERROR(LOOKUP(2,1/($AE$5:$AE86=$AE87-1),ROW($AE$5:$AE86)),0))</f>
        <v>0</v>
      </c>
      <c r="AH87" s="46" t="n">
        <f aca="false">IF($D87="",0,COUNTIF(tsk_WBS,$B87&amp;".*"))</f>
        <v>0</v>
      </c>
      <c r="AI87" s="47" t="b">
        <f aca="false">$AH87&gt;0</f>
        <v>0</v>
      </c>
      <c r="AJ87" s="46" t="n">
        <f aca="false">IF(AND($D87&lt;&gt;"",NOT($AI87)),1,0)</f>
        <v>0</v>
      </c>
      <c r="AK87" s="48" t="n">
        <f aca="true">IF(OR(N($G87)=0,$AI87,$D87=""),0,IFERROR(CHOOSE(MATCH(IF($H87="","FS",$H87),{"FS","SS","FF","SF"},0),WORKDAY.INTL(OFFSET(hdr_PlanFinish,MATCH($G87,tsk_ID,0),0),IF(N($F87)=0,0,1)+N($I87),WorkWeek,Holidays),WORKDAY.INTL(OFFSET(hdr_PlanStart,MATCH($G87,tsk_ID,0),0),N($I87),WorkWeek,Holidays),WORKDAY.INTL(WORKDAY.INTL(OFFSET(hdr_PlanFinish,MATCH($G87,tsk_ID,0),0),N($I87),WorkWeek,Holidays),-MAX(0,N($F87)-1),WorkWeek,Holidays),WORKDAY.INTL(WORKDAY.INTL(OFFSET(hdr_PlanStart,MATCH($G87,tsk_ID,0),0),N($I87),WorkWeek,Holidays),-MAX(0,N($F87)-1),WorkWeek,Holidays)),0))</f>
        <v>0</v>
      </c>
      <c r="AL87" s="48" t="n">
        <f aca="true">IF(OR(N($J87)=0,$AI87,$D87=""),0,IFERROR(CHOOSE(MATCH(IF($K87="","FS",$K87),{"FS","SS","FF","SF"},0),WORKDAY.INTL(OFFSET(hdr_PlanFinish,MATCH($J87,tsk_ID,0),0),IF(N($F87)=0,0,1)+N($L87),WorkWeek,Holidays),WORKDAY.INTL(OFFSET(hdr_PlanStart,MATCH($J87,tsk_ID,0),0),N($L87),WorkWeek,Holidays),WORKDAY.INTL(WORKDAY.INTL(OFFSET(hdr_PlanFinish,MATCH($J87,tsk_ID,0),0),N($L87),WorkWeek,Holidays),-MAX(0,N($F87)-1),WorkWeek,Holidays),WORKDAY.INTL(WORKDAY.INTL(OFFSET(hdr_PlanStart,MATCH($J87,tsk_ID,0),0),N($L87),WorkWeek,Holidays),-MAX(0,N($F87)-1),WorkWeek,Holidays)),0))</f>
        <v>0</v>
      </c>
      <c r="AM87" s="48" t="n">
        <f aca="true">IF(OR(N($G87)=0,$AI87,$D87=""),0,IFERROR(CHOOSE(MATCH(IF($H87="","FS",$H87),{"FS","SS","FF","SF"},0),WORKDAY.INTL(OFFSET(hdr_FcFinish,MATCH($G87,tsk_ID,0),0),IF(N($F87)=0,0,1)+N($I87),WorkWeek,Holidays),WORKDAY.INTL(OFFSET(hdr_FcStart,MATCH($G87,tsk_ID,0),0),N($I87),WorkWeek,Holidays),WORKDAY.INTL(WORKDAY.INTL(OFFSET(hdr_FcFinish,MATCH($G87,tsk_ID,0),0),N($I87),WorkWeek,Holidays),-MAX(0,N($F87)-1),WorkWeek,Holidays),WORKDAY.INTL(WORKDAY.INTL(OFFSET(hdr_FcStart,MATCH($G87,tsk_ID,0),0),N($I87),WorkWeek,Holidays),-MAX(0,N($F87)-1),WorkWeek,Holidays)),0))</f>
        <v>0</v>
      </c>
      <c r="AN87" s="48" t="n">
        <f aca="true">IF(OR(N($J87)=0,$AI87,$D87=""),0,IFERROR(CHOOSE(MATCH(IF($K87="","FS",$K87),{"FS","SS","FF","SF"},0),WORKDAY.INTL(OFFSET(hdr_FcFinish,MATCH($J87,tsk_ID,0),0),IF(N($F87)=0,0,1)+N($L87),WorkWeek,Holidays),WORKDAY.INTL(OFFSET(hdr_FcStart,MATCH($J87,tsk_ID,0),0),N($L87),WorkWeek,Holidays),WORKDAY.INTL(WORKDAY.INTL(OFFSET(hdr_FcFinish,MATCH($J87,tsk_ID,0),0),N($L87),WorkWeek,Holidays),-MAX(0,N($F87)-1),WorkWeek,Holidays),WORKDAY.INTL(WORKDAY.INTL(OFFSET(hdr_FcStart,MATCH($J87,tsk_ID,0),0),N($L87),WorkWeek,Holidays),-MAX(0,N($F87)-1),WorkWeek,Holidays)),0))</f>
        <v>0</v>
      </c>
      <c r="AO87" s="48" t="n">
        <f aca="false">IF($AJ87=1,$R87,0)</f>
        <v>0</v>
      </c>
      <c r="AP87" s="48" t="n">
        <f aca="false">IF($AJ87=1,$S87,0)</f>
        <v>0</v>
      </c>
      <c r="AQ87" s="49" t="n">
        <f aca="false">IF(AND($AJ87=1,N($Z87)&gt;0),$Z87/($AP87-$AO87+1),0)</f>
        <v>0</v>
      </c>
      <c r="AR87" s="46" t="n">
        <f aca="false">IF($AJ87=1,MAX(N($F87),0.1),0)</f>
        <v>0</v>
      </c>
      <c r="AS87" s="46" t="n">
        <f aca="false">IF($AJ87=1,$AR87*$V87,0)</f>
        <v>0</v>
      </c>
      <c r="AT87" s="46" t="str">
        <f aca="false">IF(N($G87)=0,"",$G87&amp;IF(AND(IF($H87="","FS",$H87)="FS",N($I87)=0),"",IF($H87="","FS",$H87)&amp;IF(N($I87)=0,"",IF(N($I87)&gt;0,"+","")&amp;N($I87)&amp;"d")))</f>
        <v/>
      </c>
      <c r="AU87" s="46" t="str">
        <f aca="false">IF(N($J87)=0,"",$J87&amp;IF(AND(IF($K87="","FS",$K87)="FS",N($L87)=0),"",IF($K87="","FS",$K87)&amp;IF(N($L87)=0,"",IF(N($L87)&gt;0,"+","")&amp;N($L87)&amp;"d")))</f>
        <v/>
      </c>
      <c r="AV87" s="46" t="str">
        <f aca="false">IF(AND($AJ87=1,N($F87)=0,$V87&lt;1),$S87+$AF87/100000,"")</f>
        <v/>
      </c>
    </row>
    <row r="88" customFormat="false" ht="15" hidden="false" customHeight="false" outlineLevel="0" collapsed="false">
      <c r="A88" s="38" t="str">
        <f aca="false">IF($D88="","",COUNTA($D$6:$D88))</f>
        <v/>
      </c>
      <c r="B88" s="39" t="str">
        <f aca="true">IF($D88="","",IF($AE88=1,COUNTIF($AE$6:$AE88,1)&amp;"",IF($AG88=0,"?",OFFSET(hdr_WBS,$AG88-ROW(hdr_WBS),0)&amp;"."&amp;COUNTIF(INDEX($AE:$AE,$AG88+1):$AE88,$AE88))))</f>
        <v/>
      </c>
      <c r="C88" s="40"/>
      <c r="D88" s="41"/>
      <c r="E88" s="40"/>
      <c r="F88" s="40"/>
      <c r="G88" s="40"/>
      <c r="H88" s="40"/>
      <c r="I88" s="40"/>
      <c r="J88" s="40"/>
      <c r="K88" s="40"/>
      <c r="L88" s="40"/>
      <c r="M88" s="29"/>
      <c r="N88" s="30" t="str">
        <f aca="true">IF($D88="","",IF($AI88,MIN(OFFSET(hdr_PlanStart,$AF88+1,0,$AH88,1)),IF($E88="Manual",IF(N($M88)&gt;0,$M88,ProjectStart),WORKDAY.INTL(MAX(ProjectStart,N($M88),$AK88,$AL88)-1,1,WorkWeek,Holidays))))</f>
        <v/>
      </c>
      <c r="O88" s="30" t="str">
        <f aca="true">IF($D88="","",IF($AI88,MAX(OFFSET(hdr_PlanFinish,$AF88+1,0,$AH88,1)),IF(N($F88)&lt;=0,$N88,WORKDAY.INTL($N88,$F88-1,WorkWeek,Holidays))))</f>
        <v/>
      </c>
      <c r="P88" s="29"/>
      <c r="Q88" s="29"/>
      <c r="R88" s="30" t="str">
        <f aca="true">IF($D88="","",IF($AI88,MIN(OFFSET(hdr_FcStart,$AF88+1,0,$AH88,1)),IF(N($P88)&gt;0,$P88,IF($E88="Manual",IF(N($M88)&gt;0,$M88,ProjectStart),WORKDAY.INTL(MAX(ProjectStart,N($M88),$AM88,$AN88,IF(RescheduleAfterStatus="Yes",StatusDate,0))-1,1,WorkWeek,Holidays)))))</f>
        <v/>
      </c>
      <c r="S88" s="30" t="str">
        <f aca="true">IF($D88="","",IF($AI88,MAX(OFFSET(hdr_FcFinish,$AF88+1,0,$AH88,1)),IF(N($Q88)&gt;0,$Q88,IF(N($F88)&lt;=0,$R88,IF(AND(N($P88)&gt;0,RescheduleAfterStatus="Yes"),MAX(WORKDAY.INTL($R88,$F88-1,WorkWeek,Holidays),WORKDAY.INTL(StatusWorkday,MAX(0,ROUNDUP($F88*(1-MIN(1,N($U88))),0)-1),WorkWeek,Holidays)),WORKDAY.INTL($R88,$F88-1,WorkWeek,Holidays))))))</f>
        <v/>
      </c>
      <c r="T88" s="38" t="str">
        <f aca="false">IF($D88="","",IF($S88&gt;=$O88,NETWORKDAYS.INTL($O88,$S88,WorkWeek,Holidays)-1,1-NETWORKDAYS.INTL($S88,$O88,WorkWeek,Holidays)))</f>
        <v/>
      </c>
      <c r="U88" s="32"/>
      <c r="V88" s="42" t="str">
        <f aca="true">IF($D88="","",IF($AI88,IFERROR(SUM(OFFSET(hdr_WtDone,$AF88+1,0,$AH88,1))/SUM(OFFSET(hdr_WtDur,$AF88+1,0,$AH88,1)),0),IF(N($Q88)&gt;0,1,MIN(1,N($U88)))))</f>
        <v/>
      </c>
      <c r="W88" s="39" t="str">
        <f aca="false">IF($D88="","",IF($V88&gt;=1,"Complete",IF(OR(N($P88)&gt;0,$V88&gt;0),IF($T88&gt;0,"Behind","In Progress"),IF($N88&lt;StatusDate,"Late Start","Not Started"))))</f>
        <v/>
      </c>
      <c r="X88" s="41"/>
      <c r="Y88" s="32"/>
      <c r="Z88" s="43" t="str">
        <f aca="true">IF($D88="","",IF($AI88,SUMPRODUCT(OFFSET(hdr_Work,$AF88+1,0,$AH88,1),OFFSET(hdr_IsLeaf,$AF88+1,0,$AH88,1)),IF($X88="",0,N($F88)*HoursPerDay*IF($Y88="",DefaultUnits,$Y88))))</f>
        <v/>
      </c>
      <c r="AA88" s="44" t="str">
        <f aca="true">IF($D88="","",IF($AI88,SUMPRODUCT(OFFSET(hdr_Cost,$AF88+1,0,$AH88,1),OFFSET(hdr_IsLeaf,$AF88+1,0,$AH88,1)),$Z88*IFERROR(INDEX(res_Rate,MATCH($X88,res_Name,0)),0)))</f>
        <v/>
      </c>
      <c r="AB88" s="38" t="str">
        <f aca="false">IF(OR($D88="",$AI88),"",IF(OR($R88&lt;Sprint1Start,$R88&gt;SprintLastEnd),"Backlog",INDEX(spr_Name,MATCH($R88,spr_Start,1))))</f>
        <v/>
      </c>
      <c r="AC88" s="45" t="str">
        <f aca="false">IF($D88="","",$AT88&amp;IF(AND($AT88&lt;&gt;"",$AU88&lt;&gt;""),",","")&amp;$AU88)</f>
        <v/>
      </c>
      <c r="AD88" s="41"/>
      <c r="AE88" s="46" t="str">
        <f aca="false">IF($D88="","",MAX(1,N($C88)))</f>
        <v/>
      </c>
      <c r="AF88" s="46" t="n">
        <f aca="false">ROW()-ROW(hdr_ID)</f>
        <v>83</v>
      </c>
      <c r="AG88" s="46" t="n">
        <f aca="false">IF(OR($D88="",$AE88&lt;=1),0,IFERROR(LOOKUP(2,1/($AE$5:$AE87=$AE88-1),ROW($AE$5:$AE87)),0))</f>
        <v>0</v>
      </c>
      <c r="AH88" s="46" t="n">
        <f aca="false">IF($D88="",0,COUNTIF(tsk_WBS,$B88&amp;".*"))</f>
        <v>0</v>
      </c>
      <c r="AI88" s="47" t="b">
        <f aca="false">$AH88&gt;0</f>
        <v>0</v>
      </c>
      <c r="AJ88" s="46" t="n">
        <f aca="false">IF(AND($D88&lt;&gt;"",NOT($AI88)),1,0)</f>
        <v>0</v>
      </c>
      <c r="AK88" s="48" t="n">
        <f aca="true">IF(OR(N($G88)=0,$AI88,$D88=""),0,IFERROR(CHOOSE(MATCH(IF($H88="","FS",$H88),{"FS","SS","FF","SF"},0),WORKDAY.INTL(OFFSET(hdr_PlanFinish,MATCH($G88,tsk_ID,0),0),IF(N($F88)=0,0,1)+N($I88),WorkWeek,Holidays),WORKDAY.INTL(OFFSET(hdr_PlanStart,MATCH($G88,tsk_ID,0),0),N($I88),WorkWeek,Holidays),WORKDAY.INTL(WORKDAY.INTL(OFFSET(hdr_PlanFinish,MATCH($G88,tsk_ID,0),0),N($I88),WorkWeek,Holidays),-MAX(0,N($F88)-1),WorkWeek,Holidays),WORKDAY.INTL(WORKDAY.INTL(OFFSET(hdr_PlanStart,MATCH($G88,tsk_ID,0),0),N($I88),WorkWeek,Holidays),-MAX(0,N($F88)-1),WorkWeek,Holidays)),0))</f>
        <v>0</v>
      </c>
      <c r="AL88" s="48" t="n">
        <f aca="true">IF(OR(N($J88)=0,$AI88,$D88=""),0,IFERROR(CHOOSE(MATCH(IF($K88="","FS",$K88),{"FS","SS","FF","SF"},0),WORKDAY.INTL(OFFSET(hdr_PlanFinish,MATCH($J88,tsk_ID,0),0),IF(N($F88)=0,0,1)+N($L88),WorkWeek,Holidays),WORKDAY.INTL(OFFSET(hdr_PlanStart,MATCH($J88,tsk_ID,0),0),N($L88),WorkWeek,Holidays),WORKDAY.INTL(WORKDAY.INTL(OFFSET(hdr_PlanFinish,MATCH($J88,tsk_ID,0),0),N($L88),WorkWeek,Holidays),-MAX(0,N($F88)-1),WorkWeek,Holidays),WORKDAY.INTL(WORKDAY.INTL(OFFSET(hdr_PlanStart,MATCH($J88,tsk_ID,0),0),N($L88),WorkWeek,Holidays),-MAX(0,N($F88)-1),WorkWeek,Holidays)),0))</f>
        <v>0</v>
      </c>
      <c r="AM88" s="48" t="n">
        <f aca="true">IF(OR(N($G88)=0,$AI88,$D88=""),0,IFERROR(CHOOSE(MATCH(IF($H88="","FS",$H88),{"FS","SS","FF","SF"},0),WORKDAY.INTL(OFFSET(hdr_FcFinish,MATCH($G88,tsk_ID,0),0),IF(N($F88)=0,0,1)+N($I88),WorkWeek,Holidays),WORKDAY.INTL(OFFSET(hdr_FcStart,MATCH($G88,tsk_ID,0),0),N($I88),WorkWeek,Holidays),WORKDAY.INTL(WORKDAY.INTL(OFFSET(hdr_FcFinish,MATCH($G88,tsk_ID,0),0),N($I88),WorkWeek,Holidays),-MAX(0,N($F88)-1),WorkWeek,Holidays),WORKDAY.INTL(WORKDAY.INTL(OFFSET(hdr_FcStart,MATCH($G88,tsk_ID,0),0),N($I88),WorkWeek,Holidays),-MAX(0,N($F88)-1),WorkWeek,Holidays)),0))</f>
        <v>0</v>
      </c>
      <c r="AN88" s="48" t="n">
        <f aca="true">IF(OR(N($J88)=0,$AI88,$D88=""),0,IFERROR(CHOOSE(MATCH(IF($K88="","FS",$K88),{"FS","SS","FF","SF"},0),WORKDAY.INTL(OFFSET(hdr_FcFinish,MATCH($J88,tsk_ID,0),0),IF(N($F88)=0,0,1)+N($L88),WorkWeek,Holidays),WORKDAY.INTL(OFFSET(hdr_FcStart,MATCH($J88,tsk_ID,0),0),N($L88),WorkWeek,Holidays),WORKDAY.INTL(WORKDAY.INTL(OFFSET(hdr_FcFinish,MATCH($J88,tsk_ID,0),0),N($L88),WorkWeek,Holidays),-MAX(0,N($F88)-1),WorkWeek,Holidays),WORKDAY.INTL(WORKDAY.INTL(OFFSET(hdr_FcStart,MATCH($J88,tsk_ID,0),0),N($L88),WorkWeek,Holidays),-MAX(0,N($F88)-1),WorkWeek,Holidays)),0))</f>
        <v>0</v>
      </c>
      <c r="AO88" s="48" t="n">
        <f aca="false">IF($AJ88=1,$R88,0)</f>
        <v>0</v>
      </c>
      <c r="AP88" s="48" t="n">
        <f aca="false">IF($AJ88=1,$S88,0)</f>
        <v>0</v>
      </c>
      <c r="AQ88" s="49" t="n">
        <f aca="false">IF(AND($AJ88=1,N($Z88)&gt;0),$Z88/($AP88-$AO88+1),0)</f>
        <v>0</v>
      </c>
      <c r="AR88" s="46" t="n">
        <f aca="false">IF($AJ88=1,MAX(N($F88),0.1),0)</f>
        <v>0</v>
      </c>
      <c r="AS88" s="46" t="n">
        <f aca="false">IF($AJ88=1,$AR88*$V88,0)</f>
        <v>0</v>
      </c>
      <c r="AT88" s="46" t="str">
        <f aca="false">IF(N($G88)=0,"",$G88&amp;IF(AND(IF($H88="","FS",$H88)="FS",N($I88)=0),"",IF($H88="","FS",$H88)&amp;IF(N($I88)=0,"",IF(N($I88)&gt;0,"+","")&amp;N($I88)&amp;"d")))</f>
        <v/>
      </c>
      <c r="AU88" s="46" t="str">
        <f aca="false">IF(N($J88)=0,"",$J88&amp;IF(AND(IF($K88="","FS",$K88)="FS",N($L88)=0),"",IF($K88="","FS",$K88)&amp;IF(N($L88)=0,"",IF(N($L88)&gt;0,"+","")&amp;N($L88)&amp;"d")))</f>
        <v/>
      </c>
      <c r="AV88" s="46" t="str">
        <f aca="false">IF(AND($AJ88=1,N($F88)=0,$V88&lt;1),$S88+$AF88/100000,"")</f>
        <v/>
      </c>
    </row>
    <row r="89" customFormat="false" ht="15" hidden="false" customHeight="false" outlineLevel="0" collapsed="false">
      <c r="A89" s="38" t="str">
        <f aca="false">IF($D89="","",COUNTA($D$6:$D89))</f>
        <v/>
      </c>
      <c r="B89" s="39" t="str">
        <f aca="true">IF($D89="","",IF($AE89=1,COUNTIF($AE$6:$AE89,1)&amp;"",IF($AG89=0,"?",OFFSET(hdr_WBS,$AG89-ROW(hdr_WBS),0)&amp;"."&amp;COUNTIF(INDEX($AE:$AE,$AG89+1):$AE89,$AE89))))</f>
        <v/>
      </c>
      <c r="C89" s="40"/>
      <c r="D89" s="41"/>
      <c r="E89" s="40"/>
      <c r="F89" s="40"/>
      <c r="G89" s="40"/>
      <c r="H89" s="40"/>
      <c r="I89" s="40"/>
      <c r="J89" s="40"/>
      <c r="K89" s="40"/>
      <c r="L89" s="40"/>
      <c r="M89" s="29"/>
      <c r="N89" s="30" t="str">
        <f aca="true">IF($D89="","",IF($AI89,MIN(OFFSET(hdr_PlanStart,$AF89+1,0,$AH89,1)),IF($E89="Manual",IF(N($M89)&gt;0,$M89,ProjectStart),WORKDAY.INTL(MAX(ProjectStart,N($M89),$AK89,$AL89)-1,1,WorkWeek,Holidays))))</f>
        <v/>
      </c>
      <c r="O89" s="30" t="str">
        <f aca="true">IF($D89="","",IF($AI89,MAX(OFFSET(hdr_PlanFinish,$AF89+1,0,$AH89,1)),IF(N($F89)&lt;=0,$N89,WORKDAY.INTL($N89,$F89-1,WorkWeek,Holidays))))</f>
        <v/>
      </c>
      <c r="P89" s="29"/>
      <c r="Q89" s="29"/>
      <c r="R89" s="30" t="str">
        <f aca="true">IF($D89="","",IF($AI89,MIN(OFFSET(hdr_FcStart,$AF89+1,0,$AH89,1)),IF(N($P89)&gt;0,$P89,IF($E89="Manual",IF(N($M89)&gt;0,$M89,ProjectStart),WORKDAY.INTL(MAX(ProjectStart,N($M89),$AM89,$AN89,IF(RescheduleAfterStatus="Yes",StatusDate,0))-1,1,WorkWeek,Holidays)))))</f>
        <v/>
      </c>
      <c r="S89" s="30" t="str">
        <f aca="true">IF($D89="","",IF($AI89,MAX(OFFSET(hdr_FcFinish,$AF89+1,0,$AH89,1)),IF(N($Q89)&gt;0,$Q89,IF(N($F89)&lt;=0,$R89,IF(AND(N($P89)&gt;0,RescheduleAfterStatus="Yes"),MAX(WORKDAY.INTL($R89,$F89-1,WorkWeek,Holidays),WORKDAY.INTL(StatusWorkday,MAX(0,ROUNDUP($F89*(1-MIN(1,N($U89))),0)-1),WorkWeek,Holidays)),WORKDAY.INTL($R89,$F89-1,WorkWeek,Holidays))))))</f>
        <v/>
      </c>
      <c r="T89" s="38" t="str">
        <f aca="false">IF($D89="","",IF($S89&gt;=$O89,NETWORKDAYS.INTL($O89,$S89,WorkWeek,Holidays)-1,1-NETWORKDAYS.INTL($S89,$O89,WorkWeek,Holidays)))</f>
        <v/>
      </c>
      <c r="U89" s="32"/>
      <c r="V89" s="42" t="str">
        <f aca="true">IF($D89="","",IF($AI89,IFERROR(SUM(OFFSET(hdr_WtDone,$AF89+1,0,$AH89,1))/SUM(OFFSET(hdr_WtDur,$AF89+1,0,$AH89,1)),0),IF(N($Q89)&gt;0,1,MIN(1,N($U89)))))</f>
        <v/>
      </c>
      <c r="W89" s="39" t="str">
        <f aca="false">IF($D89="","",IF($V89&gt;=1,"Complete",IF(OR(N($P89)&gt;0,$V89&gt;0),IF($T89&gt;0,"Behind","In Progress"),IF($N89&lt;StatusDate,"Late Start","Not Started"))))</f>
        <v/>
      </c>
      <c r="X89" s="41"/>
      <c r="Y89" s="32"/>
      <c r="Z89" s="43" t="str">
        <f aca="true">IF($D89="","",IF($AI89,SUMPRODUCT(OFFSET(hdr_Work,$AF89+1,0,$AH89,1),OFFSET(hdr_IsLeaf,$AF89+1,0,$AH89,1)),IF($X89="",0,N($F89)*HoursPerDay*IF($Y89="",DefaultUnits,$Y89))))</f>
        <v/>
      </c>
      <c r="AA89" s="44" t="str">
        <f aca="true">IF($D89="","",IF($AI89,SUMPRODUCT(OFFSET(hdr_Cost,$AF89+1,0,$AH89,1),OFFSET(hdr_IsLeaf,$AF89+1,0,$AH89,1)),$Z89*IFERROR(INDEX(res_Rate,MATCH($X89,res_Name,0)),0)))</f>
        <v/>
      </c>
      <c r="AB89" s="38" t="str">
        <f aca="false">IF(OR($D89="",$AI89),"",IF(OR($R89&lt;Sprint1Start,$R89&gt;SprintLastEnd),"Backlog",INDEX(spr_Name,MATCH($R89,spr_Start,1))))</f>
        <v/>
      </c>
      <c r="AC89" s="45" t="str">
        <f aca="false">IF($D89="","",$AT89&amp;IF(AND($AT89&lt;&gt;"",$AU89&lt;&gt;""),",","")&amp;$AU89)</f>
        <v/>
      </c>
      <c r="AD89" s="41"/>
      <c r="AE89" s="46" t="str">
        <f aca="false">IF($D89="","",MAX(1,N($C89)))</f>
        <v/>
      </c>
      <c r="AF89" s="46" t="n">
        <f aca="false">ROW()-ROW(hdr_ID)</f>
        <v>84</v>
      </c>
      <c r="AG89" s="46" t="n">
        <f aca="false">IF(OR($D89="",$AE89&lt;=1),0,IFERROR(LOOKUP(2,1/($AE$5:$AE88=$AE89-1),ROW($AE$5:$AE88)),0))</f>
        <v>0</v>
      </c>
      <c r="AH89" s="46" t="n">
        <f aca="false">IF($D89="",0,COUNTIF(tsk_WBS,$B89&amp;".*"))</f>
        <v>0</v>
      </c>
      <c r="AI89" s="47" t="b">
        <f aca="false">$AH89&gt;0</f>
        <v>0</v>
      </c>
      <c r="AJ89" s="46" t="n">
        <f aca="false">IF(AND($D89&lt;&gt;"",NOT($AI89)),1,0)</f>
        <v>0</v>
      </c>
      <c r="AK89" s="48" t="n">
        <f aca="true">IF(OR(N($G89)=0,$AI89,$D89=""),0,IFERROR(CHOOSE(MATCH(IF($H89="","FS",$H89),{"FS","SS","FF","SF"},0),WORKDAY.INTL(OFFSET(hdr_PlanFinish,MATCH($G89,tsk_ID,0),0),IF(N($F89)=0,0,1)+N($I89),WorkWeek,Holidays),WORKDAY.INTL(OFFSET(hdr_PlanStart,MATCH($G89,tsk_ID,0),0),N($I89),WorkWeek,Holidays),WORKDAY.INTL(WORKDAY.INTL(OFFSET(hdr_PlanFinish,MATCH($G89,tsk_ID,0),0),N($I89),WorkWeek,Holidays),-MAX(0,N($F89)-1),WorkWeek,Holidays),WORKDAY.INTL(WORKDAY.INTL(OFFSET(hdr_PlanStart,MATCH($G89,tsk_ID,0),0),N($I89),WorkWeek,Holidays),-MAX(0,N($F89)-1),WorkWeek,Holidays)),0))</f>
        <v>0</v>
      </c>
      <c r="AL89" s="48" t="n">
        <f aca="true">IF(OR(N($J89)=0,$AI89,$D89=""),0,IFERROR(CHOOSE(MATCH(IF($K89="","FS",$K89),{"FS","SS","FF","SF"},0),WORKDAY.INTL(OFFSET(hdr_PlanFinish,MATCH($J89,tsk_ID,0),0),IF(N($F89)=0,0,1)+N($L89),WorkWeek,Holidays),WORKDAY.INTL(OFFSET(hdr_PlanStart,MATCH($J89,tsk_ID,0),0),N($L89),WorkWeek,Holidays),WORKDAY.INTL(WORKDAY.INTL(OFFSET(hdr_PlanFinish,MATCH($J89,tsk_ID,0),0),N($L89),WorkWeek,Holidays),-MAX(0,N($F89)-1),WorkWeek,Holidays),WORKDAY.INTL(WORKDAY.INTL(OFFSET(hdr_PlanStart,MATCH($J89,tsk_ID,0),0),N($L89),WorkWeek,Holidays),-MAX(0,N($F89)-1),WorkWeek,Holidays)),0))</f>
        <v>0</v>
      </c>
      <c r="AM89" s="48" t="n">
        <f aca="true">IF(OR(N($G89)=0,$AI89,$D89=""),0,IFERROR(CHOOSE(MATCH(IF($H89="","FS",$H89),{"FS","SS","FF","SF"},0),WORKDAY.INTL(OFFSET(hdr_FcFinish,MATCH($G89,tsk_ID,0),0),IF(N($F89)=0,0,1)+N($I89),WorkWeek,Holidays),WORKDAY.INTL(OFFSET(hdr_FcStart,MATCH($G89,tsk_ID,0),0),N($I89),WorkWeek,Holidays),WORKDAY.INTL(WORKDAY.INTL(OFFSET(hdr_FcFinish,MATCH($G89,tsk_ID,0),0),N($I89),WorkWeek,Holidays),-MAX(0,N($F89)-1),WorkWeek,Holidays),WORKDAY.INTL(WORKDAY.INTL(OFFSET(hdr_FcStart,MATCH($G89,tsk_ID,0),0),N($I89),WorkWeek,Holidays),-MAX(0,N($F89)-1),WorkWeek,Holidays)),0))</f>
        <v>0</v>
      </c>
      <c r="AN89" s="48" t="n">
        <f aca="true">IF(OR(N($J89)=0,$AI89,$D89=""),0,IFERROR(CHOOSE(MATCH(IF($K89="","FS",$K89),{"FS","SS","FF","SF"},0),WORKDAY.INTL(OFFSET(hdr_FcFinish,MATCH($J89,tsk_ID,0),0),IF(N($F89)=0,0,1)+N($L89),WorkWeek,Holidays),WORKDAY.INTL(OFFSET(hdr_FcStart,MATCH($J89,tsk_ID,0),0),N($L89),WorkWeek,Holidays),WORKDAY.INTL(WORKDAY.INTL(OFFSET(hdr_FcFinish,MATCH($J89,tsk_ID,0),0),N($L89),WorkWeek,Holidays),-MAX(0,N($F89)-1),WorkWeek,Holidays),WORKDAY.INTL(WORKDAY.INTL(OFFSET(hdr_FcStart,MATCH($J89,tsk_ID,0),0),N($L89),WorkWeek,Holidays),-MAX(0,N($F89)-1),WorkWeek,Holidays)),0))</f>
        <v>0</v>
      </c>
      <c r="AO89" s="48" t="n">
        <f aca="false">IF($AJ89=1,$R89,0)</f>
        <v>0</v>
      </c>
      <c r="AP89" s="48" t="n">
        <f aca="false">IF($AJ89=1,$S89,0)</f>
        <v>0</v>
      </c>
      <c r="AQ89" s="49" t="n">
        <f aca="false">IF(AND($AJ89=1,N($Z89)&gt;0),$Z89/($AP89-$AO89+1),0)</f>
        <v>0</v>
      </c>
      <c r="AR89" s="46" t="n">
        <f aca="false">IF($AJ89=1,MAX(N($F89),0.1),0)</f>
        <v>0</v>
      </c>
      <c r="AS89" s="46" t="n">
        <f aca="false">IF($AJ89=1,$AR89*$V89,0)</f>
        <v>0</v>
      </c>
      <c r="AT89" s="46" t="str">
        <f aca="false">IF(N($G89)=0,"",$G89&amp;IF(AND(IF($H89="","FS",$H89)="FS",N($I89)=0),"",IF($H89="","FS",$H89)&amp;IF(N($I89)=0,"",IF(N($I89)&gt;0,"+","")&amp;N($I89)&amp;"d")))</f>
        <v/>
      </c>
      <c r="AU89" s="46" t="str">
        <f aca="false">IF(N($J89)=0,"",$J89&amp;IF(AND(IF($K89="","FS",$K89)="FS",N($L89)=0),"",IF($K89="","FS",$K89)&amp;IF(N($L89)=0,"",IF(N($L89)&gt;0,"+","")&amp;N($L89)&amp;"d")))</f>
        <v/>
      </c>
      <c r="AV89" s="46" t="str">
        <f aca="false">IF(AND($AJ89=1,N($F89)=0,$V89&lt;1),$S89+$AF89/100000,"")</f>
        <v/>
      </c>
    </row>
    <row r="90" customFormat="false" ht="15" hidden="false" customHeight="false" outlineLevel="0" collapsed="false">
      <c r="A90" s="38" t="str">
        <f aca="false">IF($D90="","",COUNTA($D$6:$D90))</f>
        <v/>
      </c>
      <c r="B90" s="39" t="str">
        <f aca="true">IF($D90="","",IF($AE90=1,COUNTIF($AE$6:$AE90,1)&amp;"",IF($AG90=0,"?",OFFSET(hdr_WBS,$AG90-ROW(hdr_WBS),0)&amp;"."&amp;COUNTIF(INDEX($AE:$AE,$AG90+1):$AE90,$AE90))))</f>
        <v/>
      </c>
      <c r="C90" s="40"/>
      <c r="D90" s="41"/>
      <c r="E90" s="40"/>
      <c r="F90" s="40"/>
      <c r="G90" s="40"/>
      <c r="H90" s="40"/>
      <c r="I90" s="40"/>
      <c r="J90" s="40"/>
      <c r="K90" s="40"/>
      <c r="L90" s="40"/>
      <c r="M90" s="29"/>
      <c r="N90" s="30" t="str">
        <f aca="true">IF($D90="","",IF($AI90,MIN(OFFSET(hdr_PlanStart,$AF90+1,0,$AH90,1)),IF($E90="Manual",IF(N($M90)&gt;0,$M90,ProjectStart),WORKDAY.INTL(MAX(ProjectStart,N($M90),$AK90,$AL90)-1,1,WorkWeek,Holidays))))</f>
        <v/>
      </c>
      <c r="O90" s="30" t="str">
        <f aca="true">IF($D90="","",IF($AI90,MAX(OFFSET(hdr_PlanFinish,$AF90+1,0,$AH90,1)),IF(N($F90)&lt;=0,$N90,WORKDAY.INTL($N90,$F90-1,WorkWeek,Holidays))))</f>
        <v/>
      </c>
      <c r="P90" s="29"/>
      <c r="Q90" s="29"/>
      <c r="R90" s="30" t="str">
        <f aca="true">IF($D90="","",IF($AI90,MIN(OFFSET(hdr_FcStart,$AF90+1,0,$AH90,1)),IF(N($P90)&gt;0,$P90,IF($E90="Manual",IF(N($M90)&gt;0,$M90,ProjectStart),WORKDAY.INTL(MAX(ProjectStart,N($M90),$AM90,$AN90,IF(RescheduleAfterStatus="Yes",StatusDate,0))-1,1,WorkWeek,Holidays)))))</f>
        <v/>
      </c>
      <c r="S90" s="30" t="str">
        <f aca="true">IF($D90="","",IF($AI90,MAX(OFFSET(hdr_FcFinish,$AF90+1,0,$AH90,1)),IF(N($Q90)&gt;0,$Q90,IF(N($F90)&lt;=0,$R90,IF(AND(N($P90)&gt;0,RescheduleAfterStatus="Yes"),MAX(WORKDAY.INTL($R90,$F90-1,WorkWeek,Holidays),WORKDAY.INTL(StatusWorkday,MAX(0,ROUNDUP($F90*(1-MIN(1,N($U90))),0)-1),WorkWeek,Holidays)),WORKDAY.INTL($R90,$F90-1,WorkWeek,Holidays))))))</f>
        <v/>
      </c>
      <c r="T90" s="38" t="str">
        <f aca="false">IF($D90="","",IF($S90&gt;=$O90,NETWORKDAYS.INTL($O90,$S90,WorkWeek,Holidays)-1,1-NETWORKDAYS.INTL($S90,$O90,WorkWeek,Holidays)))</f>
        <v/>
      </c>
      <c r="U90" s="32"/>
      <c r="V90" s="42" t="str">
        <f aca="true">IF($D90="","",IF($AI90,IFERROR(SUM(OFFSET(hdr_WtDone,$AF90+1,0,$AH90,1))/SUM(OFFSET(hdr_WtDur,$AF90+1,0,$AH90,1)),0),IF(N($Q90)&gt;0,1,MIN(1,N($U90)))))</f>
        <v/>
      </c>
      <c r="W90" s="39" t="str">
        <f aca="false">IF($D90="","",IF($V90&gt;=1,"Complete",IF(OR(N($P90)&gt;0,$V90&gt;0),IF($T90&gt;0,"Behind","In Progress"),IF($N90&lt;StatusDate,"Late Start","Not Started"))))</f>
        <v/>
      </c>
      <c r="X90" s="41"/>
      <c r="Y90" s="32"/>
      <c r="Z90" s="43" t="str">
        <f aca="true">IF($D90="","",IF($AI90,SUMPRODUCT(OFFSET(hdr_Work,$AF90+1,0,$AH90,1),OFFSET(hdr_IsLeaf,$AF90+1,0,$AH90,1)),IF($X90="",0,N($F90)*HoursPerDay*IF($Y90="",DefaultUnits,$Y90))))</f>
        <v/>
      </c>
      <c r="AA90" s="44" t="str">
        <f aca="true">IF($D90="","",IF($AI90,SUMPRODUCT(OFFSET(hdr_Cost,$AF90+1,0,$AH90,1),OFFSET(hdr_IsLeaf,$AF90+1,0,$AH90,1)),$Z90*IFERROR(INDEX(res_Rate,MATCH($X90,res_Name,0)),0)))</f>
        <v/>
      </c>
      <c r="AB90" s="38" t="str">
        <f aca="false">IF(OR($D90="",$AI90),"",IF(OR($R90&lt;Sprint1Start,$R90&gt;SprintLastEnd),"Backlog",INDEX(spr_Name,MATCH($R90,spr_Start,1))))</f>
        <v/>
      </c>
      <c r="AC90" s="45" t="str">
        <f aca="false">IF($D90="","",$AT90&amp;IF(AND($AT90&lt;&gt;"",$AU90&lt;&gt;""),",","")&amp;$AU90)</f>
        <v/>
      </c>
      <c r="AD90" s="41"/>
      <c r="AE90" s="46" t="str">
        <f aca="false">IF($D90="","",MAX(1,N($C90)))</f>
        <v/>
      </c>
      <c r="AF90" s="46" t="n">
        <f aca="false">ROW()-ROW(hdr_ID)</f>
        <v>85</v>
      </c>
      <c r="AG90" s="46" t="n">
        <f aca="false">IF(OR($D90="",$AE90&lt;=1),0,IFERROR(LOOKUP(2,1/($AE$5:$AE89=$AE90-1),ROW($AE$5:$AE89)),0))</f>
        <v>0</v>
      </c>
      <c r="AH90" s="46" t="n">
        <f aca="false">IF($D90="",0,COUNTIF(tsk_WBS,$B90&amp;".*"))</f>
        <v>0</v>
      </c>
      <c r="AI90" s="47" t="b">
        <f aca="false">$AH90&gt;0</f>
        <v>0</v>
      </c>
      <c r="AJ90" s="46" t="n">
        <f aca="false">IF(AND($D90&lt;&gt;"",NOT($AI90)),1,0)</f>
        <v>0</v>
      </c>
      <c r="AK90" s="48" t="n">
        <f aca="true">IF(OR(N($G90)=0,$AI90,$D90=""),0,IFERROR(CHOOSE(MATCH(IF($H90="","FS",$H90),{"FS","SS","FF","SF"},0),WORKDAY.INTL(OFFSET(hdr_PlanFinish,MATCH($G90,tsk_ID,0),0),IF(N($F90)=0,0,1)+N($I90),WorkWeek,Holidays),WORKDAY.INTL(OFFSET(hdr_PlanStart,MATCH($G90,tsk_ID,0),0),N($I90),WorkWeek,Holidays),WORKDAY.INTL(WORKDAY.INTL(OFFSET(hdr_PlanFinish,MATCH($G90,tsk_ID,0),0),N($I90),WorkWeek,Holidays),-MAX(0,N($F90)-1),WorkWeek,Holidays),WORKDAY.INTL(WORKDAY.INTL(OFFSET(hdr_PlanStart,MATCH($G90,tsk_ID,0),0),N($I90),WorkWeek,Holidays),-MAX(0,N($F90)-1),WorkWeek,Holidays)),0))</f>
        <v>0</v>
      </c>
      <c r="AL90" s="48" t="n">
        <f aca="true">IF(OR(N($J90)=0,$AI90,$D90=""),0,IFERROR(CHOOSE(MATCH(IF($K90="","FS",$K90),{"FS","SS","FF","SF"},0),WORKDAY.INTL(OFFSET(hdr_PlanFinish,MATCH($J90,tsk_ID,0),0),IF(N($F90)=0,0,1)+N($L90),WorkWeek,Holidays),WORKDAY.INTL(OFFSET(hdr_PlanStart,MATCH($J90,tsk_ID,0),0),N($L90),WorkWeek,Holidays),WORKDAY.INTL(WORKDAY.INTL(OFFSET(hdr_PlanFinish,MATCH($J90,tsk_ID,0),0),N($L90),WorkWeek,Holidays),-MAX(0,N($F90)-1),WorkWeek,Holidays),WORKDAY.INTL(WORKDAY.INTL(OFFSET(hdr_PlanStart,MATCH($J90,tsk_ID,0),0),N($L90),WorkWeek,Holidays),-MAX(0,N($F90)-1),WorkWeek,Holidays)),0))</f>
        <v>0</v>
      </c>
      <c r="AM90" s="48" t="n">
        <f aca="true">IF(OR(N($G90)=0,$AI90,$D90=""),0,IFERROR(CHOOSE(MATCH(IF($H90="","FS",$H90),{"FS","SS","FF","SF"},0),WORKDAY.INTL(OFFSET(hdr_FcFinish,MATCH($G90,tsk_ID,0),0),IF(N($F90)=0,0,1)+N($I90),WorkWeek,Holidays),WORKDAY.INTL(OFFSET(hdr_FcStart,MATCH($G90,tsk_ID,0),0),N($I90),WorkWeek,Holidays),WORKDAY.INTL(WORKDAY.INTL(OFFSET(hdr_FcFinish,MATCH($G90,tsk_ID,0),0),N($I90),WorkWeek,Holidays),-MAX(0,N($F90)-1),WorkWeek,Holidays),WORKDAY.INTL(WORKDAY.INTL(OFFSET(hdr_FcStart,MATCH($G90,tsk_ID,0),0),N($I90),WorkWeek,Holidays),-MAX(0,N($F90)-1),WorkWeek,Holidays)),0))</f>
        <v>0</v>
      </c>
      <c r="AN90" s="48" t="n">
        <f aca="true">IF(OR(N($J90)=0,$AI90,$D90=""),0,IFERROR(CHOOSE(MATCH(IF($K90="","FS",$K90),{"FS","SS","FF","SF"},0),WORKDAY.INTL(OFFSET(hdr_FcFinish,MATCH($J90,tsk_ID,0),0),IF(N($F90)=0,0,1)+N($L90),WorkWeek,Holidays),WORKDAY.INTL(OFFSET(hdr_FcStart,MATCH($J90,tsk_ID,0),0),N($L90),WorkWeek,Holidays),WORKDAY.INTL(WORKDAY.INTL(OFFSET(hdr_FcFinish,MATCH($J90,tsk_ID,0),0),N($L90),WorkWeek,Holidays),-MAX(0,N($F90)-1),WorkWeek,Holidays),WORKDAY.INTL(WORKDAY.INTL(OFFSET(hdr_FcStart,MATCH($J90,tsk_ID,0),0),N($L90),WorkWeek,Holidays),-MAX(0,N($F90)-1),WorkWeek,Holidays)),0))</f>
        <v>0</v>
      </c>
      <c r="AO90" s="48" t="n">
        <f aca="false">IF($AJ90=1,$R90,0)</f>
        <v>0</v>
      </c>
      <c r="AP90" s="48" t="n">
        <f aca="false">IF($AJ90=1,$S90,0)</f>
        <v>0</v>
      </c>
      <c r="AQ90" s="49" t="n">
        <f aca="false">IF(AND($AJ90=1,N($Z90)&gt;0),$Z90/($AP90-$AO90+1),0)</f>
        <v>0</v>
      </c>
      <c r="AR90" s="46" t="n">
        <f aca="false">IF($AJ90=1,MAX(N($F90),0.1),0)</f>
        <v>0</v>
      </c>
      <c r="AS90" s="46" t="n">
        <f aca="false">IF($AJ90=1,$AR90*$V90,0)</f>
        <v>0</v>
      </c>
      <c r="AT90" s="46" t="str">
        <f aca="false">IF(N($G90)=0,"",$G90&amp;IF(AND(IF($H90="","FS",$H90)="FS",N($I90)=0),"",IF($H90="","FS",$H90)&amp;IF(N($I90)=0,"",IF(N($I90)&gt;0,"+","")&amp;N($I90)&amp;"d")))</f>
        <v/>
      </c>
      <c r="AU90" s="46" t="str">
        <f aca="false">IF(N($J90)=0,"",$J90&amp;IF(AND(IF($K90="","FS",$K90)="FS",N($L90)=0),"",IF($K90="","FS",$K90)&amp;IF(N($L90)=0,"",IF(N($L90)&gt;0,"+","")&amp;N($L90)&amp;"d")))</f>
        <v/>
      </c>
      <c r="AV90" s="46" t="str">
        <f aca="false">IF(AND($AJ90=1,N($F90)=0,$V90&lt;1),$S90+$AF90/100000,"")</f>
        <v/>
      </c>
    </row>
    <row r="91" customFormat="false" ht="15" hidden="false" customHeight="false" outlineLevel="0" collapsed="false">
      <c r="A91" s="38" t="str">
        <f aca="false">IF($D91="","",COUNTA($D$6:$D91))</f>
        <v/>
      </c>
      <c r="B91" s="39" t="str">
        <f aca="true">IF($D91="","",IF($AE91=1,COUNTIF($AE$6:$AE91,1)&amp;"",IF($AG91=0,"?",OFFSET(hdr_WBS,$AG91-ROW(hdr_WBS),0)&amp;"."&amp;COUNTIF(INDEX($AE:$AE,$AG91+1):$AE91,$AE91))))</f>
        <v/>
      </c>
      <c r="C91" s="40"/>
      <c r="D91" s="41"/>
      <c r="E91" s="40"/>
      <c r="F91" s="40"/>
      <c r="G91" s="40"/>
      <c r="H91" s="40"/>
      <c r="I91" s="40"/>
      <c r="J91" s="40"/>
      <c r="K91" s="40"/>
      <c r="L91" s="40"/>
      <c r="M91" s="29"/>
      <c r="N91" s="30" t="str">
        <f aca="true">IF($D91="","",IF($AI91,MIN(OFFSET(hdr_PlanStart,$AF91+1,0,$AH91,1)),IF($E91="Manual",IF(N($M91)&gt;0,$M91,ProjectStart),WORKDAY.INTL(MAX(ProjectStart,N($M91),$AK91,$AL91)-1,1,WorkWeek,Holidays))))</f>
        <v/>
      </c>
      <c r="O91" s="30" t="str">
        <f aca="true">IF($D91="","",IF($AI91,MAX(OFFSET(hdr_PlanFinish,$AF91+1,0,$AH91,1)),IF(N($F91)&lt;=0,$N91,WORKDAY.INTL($N91,$F91-1,WorkWeek,Holidays))))</f>
        <v/>
      </c>
      <c r="P91" s="29"/>
      <c r="Q91" s="29"/>
      <c r="R91" s="30" t="str">
        <f aca="true">IF($D91="","",IF($AI91,MIN(OFFSET(hdr_FcStart,$AF91+1,0,$AH91,1)),IF(N($P91)&gt;0,$P91,IF($E91="Manual",IF(N($M91)&gt;0,$M91,ProjectStart),WORKDAY.INTL(MAX(ProjectStart,N($M91),$AM91,$AN91,IF(RescheduleAfterStatus="Yes",StatusDate,0))-1,1,WorkWeek,Holidays)))))</f>
        <v/>
      </c>
      <c r="S91" s="30" t="str">
        <f aca="true">IF($D91="","",IF($AI91,MAX(OFFSET(hdr_FcFinish,$AF91+1,0,$AH91,1)),IF(N($Q91)&gt;0,$Q91,IF(N($F91)&lt;=0,$R91,IF(AND(N($P91)&gt;0,RescheduleAfterStatus="Yes"),MAX(WORKDAY.INTL($R91,$F91-1,WorkWeek,Holidays),WORKDAY.INTL(StatusWorkday,MAX(0,ROUNDUP($F91*(1-MIN(1,N($U91))),0)-1),WorkWeek,Holidays)),WORKDAY.INTL($R91,$F91-1,WorkWeek,Holidays))))))</f>
        <v/>
      </c>
      <c r="T91" s="38" t="str">
        <f aca="false">IF($D91="","",IF($S91&gt;=$O91,NETWORKDAYS.INTL($O91,$S91,WorkWeek,Holidays)-1,1-NETWORKDAYS.INTL($S91,$O91,WorkWeek,Holidays)))</f>
        <v/>
      </c>
      <c r="U91" s="32"/>
      <c r="V91" s="42" t="str">
        <f aca="true">IF($D91="","",IF($AI91,IFERROR(SUM(OFFSET(hdr_WtDone,$AF91+1,0,$AH91,1))/SUM(OFFSET(hdr_WtDur,$AF91+1,0,$AH91,1)),0),IF(N($Q91)&gt;0,1,MIN(1,N($U91)))))</f>
        <v/>
      </c>
      <c r="W91" s="39" t="str">
        <f aca="false">IF($D91="","",IF($V91&gt;=1,"Complete",IF(OR(N($P91)&gt;0,$V91&gt;0),IF($T91&gt;0,"Behind","In Progress"),IF($N91&lt;StatusDate,"Late Start","Not Started"))))</f>
        <v/>
      </c>
      <c r="X91" s="41"/>
      <c r="Y91" s="32"/>
      <c r="Z91" s="43" t="str">
        <f aca="true">IF($D91="","",IF($AI91,SUMPRODUCT(OFFSET(hdr_Work,$AF91+1,0,$AH91,1),OFFSET(hdr_IsLeaf,$AF91+1,0,$AH91,1)),IF($X91="",0,N($F91)*HoursPerDay*IF($Y91="",DefaultUnits,$Y91))))</f>
        <v/>
      </c>
      <c r="AA91" s="44" t="str">
        <f aca="true">IF($D91="","",IF($AI91,SUMPRODUCT(OFFSET(hdr_Cost,$AF91+1,0,$AH91,1),OFFSET(hdr_IsLeaf,$AF91+1,0,$AH91,1)),$Z91*IFERROR(INDEX(res_Rate,MATCH($X91,res_Name,0)),0)))</f>
        <v/>
      </c>
      <c r="AB91" s="38" t="str">
        <f aca="false">IF(OR($D91="",$AI91),"",IF(OR($R91&lt;Sprint1Start,$R91&gt;SprintLastEnd),"Backlog",INDEX(spr_Name,MATCH($R91,spr_Start,1))))</f>
        <v/>
      </c>
      <c r="AC91" s="45" t="str">
        <f aca="false">IF($D91="","",$AT91&amp;IF(AND($AT91&lt;&gt;"",$AU91&lt;&gt;""),",","")&amp;$AU91)</f>
        <v/>
      </c>
      <c r="AD91" s="41"/>
      <c r="AE91" s="46" t="str">
        <f aca="false">IF($D91="","",MAX(1,N($C91)))</f>
        <v/>
      </c>
      <c r="AF91" s="46" t="n">
        <f aca="false">ROW()-ROW(hdr_ID)</f>
        <v>86</v>
      </c>
      <c r="AG91" s="46" t="n">
        <f aca="false">IF(OR($D91="",$AE91&lt;=1),0,IFERROR(LOOKUP(2,1/($AE$5:$AE90=$AE91-1),ROW($AE$5:$AE90)),0))</f>
        <v>0</v>
      </c>
      <c r="AH91" s="46" t="n">
        <f aca="false">IF($D91="",0,COUNTIF(tsk_WBS,$B91&amp;".*"))</f>
        <v>0</v>
      </c>
      <c r="AI91" s="47" t="b">
        <f aca="false">$AH91&gt;0</f>
        <v>0</v>
      </c>
      <c r="AJ91" s="46" t="n">
        <f aca="false">IF(AND($D91&lt;&gt;"",NOT($AI91)),1,0)</f>
        <v>0</v>
      </c>
      <c r="AK91" s="48" t="n">
        <f aca="true">IF(OR(N($G91)=0,$AI91,$D91=""),0,IFERROR(CHOOSE(MATCH(IF($H91="","FS",$H91),{"FS","SS","FF","SF"},0),WORKDAY.INTL(OFFSET(hdr_PlanFinish,MATCH($G91,tsk_ID,0),0),IF(N($F91)=0,0,1)+N($I91),WorkWeek,Holidays),WORKDAY.INTL(OFFSET(hdr_PlanStart,MATCH($G91,tsk_ID,0),0),N($I91),WorkWeek,Holidays),WORKDAY.INTL(WORKDAY.INTL(OFFSET(hdr_PlanFinish,MATCH($G91,tsk_ID,0),0),N($I91),WorkWeek,Holidays),-MAX(0,N($F91)-1),WorkWeek,Holidays),WORKDAY.INTL(WORKDAY.INTL(OFFSET(hdr_PlanStart,MATCH($G91,tsk_ID,0),0),N($I91),WorkWeek,Holidays),-MAX(0,N($F91)-1),WorkWeek,Holidays)),0))</f>
        <v>0</v>
      </c>
      <c r="AL91" s="48" t="n">
        <f aca="true">IF(OR(N($J91)=0,$AI91,$D91=""),0,IFERROR(CHOOSE(MATCH(IF($K91="","FS",$K91),{"FS","SS","FF","SF"},0),WORKDAY.INTL(OFFSET(hdr_PlanFinish,MATCH($J91,tsk_ID,0),0),IF(N($F91)=0,0,1)+N($L91),WorkWeek,Holidays),WORKDAY.INTL(OFFSET(hdr_PlanStart,MATCH($J91,tsk_ID,0),0),N($L91),WorkWeek,Holidays),WORKDAY.INTL(WORKDAY.INTL(OFFSET(hdr_PlanFinish,MATCH($J91,tsk_ID,0),0),N($L91),WorkWeek,Holidays),-MAX(0,N($F91)-1),WorkWeek,Holidays),WORKDAY.INTL(WORKDAY.INTL(OFFSET(hdr_PlanStart,MATCH($J91,tsk_ID,0),0),N($L91),WorkWeek,Holidays),-MAX(0,N($F91)-1),WorkWeek,Holidays)),0))</f>
        <v>0</v>
      </c>
      <c r="AM91" s="48" t="n">
        <f aca="true">IF(OR(N($G91)=0,$AI91,$D91=""),0,IFERROR(CHOOSE(MATCH(IF($H91="","FS",$H91),{"FS","SS","FF","SF"},0),WORKDAY.INTL(OFFSET(hdr_FcFinish,MATCH($G91,tsk_ID,0),0),IF(N($F91)=0,0,1)+N($I91),WorkWeek,Holidays),WORKDAY.INTL(OFFSET(hdr_FcStart,MATCH($G91,tsk_ID,0),0),N($I91),WorkWeek,Holidays),WORKDAY.INTL(WORKDAY.INTL(OFFSET(hdr_FcFinish,MATCH($G91,tsk_ID,0),0),N($I91),WorkWeek,Holidays),-MAX(0,N($F91)-1),WorkWeek,Holidays),WORKDAY.INTL(WORKDAY.INTL(OFFSET(hdr_FcStart,MATCH($G91,tsk_ID,0),0),N($I91),WorkWeek,Holidays),-MAX(0,N($F91)-1),WorkWeek,Holidays)),0))</f>
        <v>0</v>
      </c>
      <c r="AN91" s="48" t="n">
        <f aca="true">IF(OR(N($J91)=0,$AI91,$D91=""),0,IFERROR(CHOOSE(MATCH(IF($K91="","FS",$K91),{"FS","SS","FF","SF"},0),WORKDAY.INTL(OFFSET(hdr_FcFinish,MATCH($J91,tsk_ID,0),0),IF(N($F91)=0,0,1)+N($L91),WorkWeek,Holidays),WORKDAY.INTL(OFFSET(hdr_FcStart,MATCH($J91,tsk_ID,0),0),N($L91),WorkWeek,Holidays),WORKDAY.INTL(WORKDAY.INTL(OFFSET(hdr_FcFinish,MATCH($J91,tsk_ID,0),0),N($L91),WorkWeek,Holidays),-MAX(0,N($F91)-1),WorkWeek,Holidays),WORKDAY.INTL(WORKDAY.INTL(OFFSET(hdr_FcStart,MATCH($J91,tsk_ID,0),0),N($L91),WorkWeek,Holidays),-MAX(0,N($F91)-1),WorkWeek,Holidays)),0))</f>
        <v>0</v>
      </c>
      <c r="AO91" s="48" t="n">
        <f aca="false">IF($AJ91=1,$R91,0)</f>
        <v>0</v>
      </c>
      <c r="AP91" s="48" t="n">
        <f aca="false">IF($AJ91=1,$S91,0)</f>
        <v>0</v>
      </c>
      <c r="AQ91" s="49" t="n">
        <f aca="false">IF(AND($AJ91=1,N($Z91)&gt;0),$Z91/($AP91-$AO91+1),0)</f>
        <v>0</v>
      </c>
      <c r="AR91" s="46" t="n">
        <f aca="false">IF($AJ91=1,MAX(N($F91),0.1),0)</f>
        <v>0</v>
      </c>
      <c r="AS91" s="46" t="n">
        <f aca="false">IF($AJ91=1,$AR91*$V91,0)</f>
        <v>0</v>
      </c>
      <c r="AT91" s="46" t="str">
        <f aca="false">IF(N($G91)=0,"",$G91&amp;IF(AND(IF($H91="","FS",$H91)="FS",N($I91)=0),"",IF($H91="","FS",$H91)&amp;IF(N($I91)=0,"",IF(N($I91)&gt;0,"+","")&amp;N($I91)&amp;"d")))</f>
        <v/>
      </c>
      <c r="AU91" s="46" t="str">
        <f aca="false">IF(N($J91)=0,"",$J91&amp;IF(AND(IF($K91="","FS",$K91)="FS",N($L91)=0),"",IF($K91="","FS",$K91)&amp;IF(N($L91)=0,"",IF(N($L91)&gt;0,"+","")&amp;N($L91)&amp;"d")))</f>
        <v/>
      </c>
      <c r="AV91" s="46" t="str">
        <f aca="false">IF(AND($AJ91=1,N($F91)=0,$V91&lt;1),$S91+$AF91/100000,"")</f>
        <v/>
      </c>
    </row>
    <row r="92" customFormat="false" ht="15" hidden="false" customHeight="false" outlineLevel="0" collapsed="false">
      <c r="A92" s="38" t="str">
        <f aca="false">IF($D92="","",COUNTA($D$6:$D92))</f>
        <v/>
      </c>
      <c r="B92" s="39" t="str">
        <f aca="true">IF($D92="","",IF($AE92=1,COUNTIF($AE$6:$AE92,1)&amp;"",IF($AG92=0,"?",OFFSET(hdr_WBS,$AG92-ROW(hdr_WBS),0)&amp;"."&amp;COUNTIF(INDEX($AE:$AE,$AG92+1):$AE92,$AE92))))</f>
        <v/>
      </c>
      <c r="C92" s="40"/>
      <c r="D92" s="41"/>
      <c r="E92" s="40"/>
      <c r="F92" s="40"/>
      <c r="G92" s="40"/>
      <c r="H92" s="40"/>
      <c r="I92" s="40"/>
      <c r="J92" s="40"/>
      <c r="K92" s="40"/>
      <c r="L92" s="40"/>
      <c r="M92" s="29"/>
      <c r="N92" s="30" t="str">
        <f aca="true">IF($D92="","",IF($AI92,MIN(OFFSET(hdr_PlanStart,$AF92+1,0,$AH92,1)),IF($E92="Manual",IF(N($M92)&gt;0,$M92,ProjectStart),WORKDAY.INTL(MAX(ProjectStart,N($M92),$AK92,$AL92)-1,1,WorkWeek,Holidays))))</f>
        <v/>
      </c>
      <c r="O92" s="30" t="str">
        <f aca="true">IF($D92="","",IF($AI92,MAX(OFFSET(hdr_PlanFinish,$AF92+1,0,$AH92,1)),IF(N($F92)&lt;=0,$N92,WORKDAY.INTL($N92,$F92-1,WorkWeek,Holidays))))</f>
        <v/>
      </c>
      <c r="P92" s="29"/>
      <c r="Q92" s="29"/>
      <c r="R92" s="30" t="str">
        <f aca="true">IF($D92="","",IF($AI92,MIN(OFFSET(hdr_FcStart,$AF92+1,0,$AH92,1)),IF(N($P92)&gt;0,$P92,IF($E92="Manual",IF(N($M92)&gt;0,$M92,ProjectStart),WORKDAY.INTL(MAX(ProjectStart,N($M92),$AM92,$AN92,IF(RescheduleAfterStatus="Yes",StatusDate,0))-1,1,WorkWeek,Holidays)))))</f>
        <v/>
      </c>
      <c r="S92" s="30" t="str">
        <f aca="true">IF($D92="","",IF($AI92,MAX(OFFSET(hdr_FcFinish,$AF92+1,0,$AH92,1)),IF(N($Q92)&gt;0,$Q92,IF(N($F92)&lt;=0,$R92,IF(AND(N($P92)&gt;0,RescheduleAfterStatus="Yes"),MAX(WORKDAY.INTL($R92,$F92-1,WorkWeek,Holidays),WORKDAY.INTL(StatusWorkday,MAX(0,ROUNDUP($F92*(1-MIN(1,N($U92))),0)-1),WorkWeek,Holidays)),WORKDAY.INTL($R92,$F92-1,WorkWeek,Holidays))))))</f>
        <v/>
      </c>
      <c r="T92" s="38" t="str">
        <f aca="false">IF($D92="","",IF($S92&gt;=$O92,NETWORKDAYS.INTL($O92,$S92,WorkWeek,Holidays)-1,1-NETWORKDAYS.INTL($S92,$O92,WorkWeek,Holidays)))</f>
        <v/>
      </c>
      <c r="U92" s="32"/>
      <c r="V92" s="42" t="str">
        <f aca="true">IF($D92="","",IF($AI92,IFERROR(SUM(OFFSET(hdr_WtDone,$AF92+1,0,$AH92,1))/SUM(OFFSET(hdr_WtDur,$AF92+1,0,$AH92,1)),0),IF(N($Q92)&gt;0,1,MIN(1,N($U92)))))</f>
        <v/>
      </c>
      <c r="W92" s="39" t="str">
        <f aca="false">IF($D92="","",IF($V92&gt;=1,"Complete",IF(OR(N($P92)&gt;0,$V92&gt;0),IF($T92&gt;0,"Behind","In Progress"),IF($N92&lt;StatusDate,"Late Start","Not Started"))))</f>
        <v/>
      </c>
      <c r="X92" s="41"/>
      <c r="Y92" s="32"/>
      <c r="Z92" s="43" t="str">
        <f aca="true">IF($D92="","",IF($AI92,SUMPRODUCT(OFFSET(hdr_Work,$AF92+1,0,$AH92,1),OFFSET(hdr_IsLeaf,$AF92+1,0,$AH92,1)),IF($X92="",0,N($F92)*HoursPerDay*IF($Y92="",DefaultUnits,$Y92))))</f>
        <v/>
      </c>
      <c r="AA92" s="44" t="str">
        <f aca="true">IF($D92="","",IF($AI92,SUMPRODUCT(OFFSET(hdr_Cost,$AF92+1,0,$AH92,1),OFFSET(hdr_IsLeaf,$AF92+1,0,$AH92,1)),$Z92*IFERROR(INDEX(res_Rate,MATCH($X92,res_Name,0)),0)))</f>
        <v/>
      </c>
      <c r="AB92" s="38" t="str">
        <f aca="false">IF(OR($D92="",$AI92),"",IF(OR($R92&lt;Sprint1Start,$R92&gt;SprintLastEnd),"Backlog",INDEX(spr_Name,MATCH($R92,spr_Start,1))))</f>
        <v/>
      </c>
      <c r="AC92" s="45" t="str">
        <f aca="false">IF($D92="","",$AT92&amp;IF(AND($AT92&lt;&gt;"",$AU92&lt;&gt;""),",","")&amp;$AU92)</f>
        <v/>
      </c>
      <c r="AD92" s="41"/>
      <c r="AE92" s="46" t="str">
        <f aca="false">IF($D92="","",MAX(1,N($C92)))</f>
        <v/>
      </c>
      <c r="AF92" s="46" t="n">
        <f aca="false">ROW()-ROW(hdr_ID)</f>
        <v>87</v>
      </c>
      <c r="AG92" s="46" t="n">
        <f aca="false">IF(OR($D92="",$AE92&lt;=1),0,IFERROR(LOOKUP(2,1/($AE$5:$AE91=$AE92-1),ROW($AE$5:$AE91)),0))</f>
        <v>0</v>
      </c>
      <c r="AH92" s="46" t="n">
        <f aca="false">IF($D92="",0,COUNTIF(tsk_WBS,$B92&amp;".*"))</f>
        <v>0</v>
      </c>
      <c r="AI92" s="47" t="b">
        <f aca="false">$AH92&gt;0</f>
        <v>0</v>
      </c>
      <c r="AJ92" s="46" t="n">
        <f aca="false">IF(AND($D92&lt;&gt;"",NOT($AI92)),1,0)</f>
        <v>0</v>
      </c>
      <c r="AK92" s="48" t="n">
        <f aca="true">IF(OR(N($G92)=0,$AI92,$D92=""),0,IFERROR(CHOOSE(MATCH(IF($H92="","FS",$H92),{"FS","SS","FF","SF"},0),WORKDAY.INTL(OFFSET(hdr_PlanFinish,MATCH($G92,tsk_ID,0),0),IF(N($F92)=0,0,1)+N($I92),WorkWeek,Holidays),WORKDAY.INTL(OFFSET(hdr_PlanStart,MATCH($G92,tsk_ID,0),0),N($I92),WorkWeek,Holidays),WORKDAY.INTL(WORKDAY.INTL(OFFSET(hdr_PlanFinish,MATCH($G92,tsk_ID,0),0),N($I92),WorkWeek,Holidays),-MAX(0,N($F92)-1),WorkWeek,Holidays),WORKDAY.INTL(WORKDAY.INTL(OFFSET(hdr_PlanStart,MATCH($G92,tsk_ID,0),0),N($I92),WorkWeek,Holidays),-MAX(0,N($F92)-1),WorkWeek,Holidays)),0))</f>
        <v>0</v>
      </c>
      <c r="AL92" s="48" t="n">
        <f aca="true">IF(OR(N($J92)=0,$AI92,$D92=""),0,IFERROR(CHOOSE(MATCH(IF($K92="","FS",$K92),{"FS","SS","FF","SF"},0),WORKDAY.INTL(OFFSET(hdr_PlanFinish,MATCH($J92,tsk_ID,0),0),IF(N($F92)=0,0,1)+N($L92),WorkWeek,Holidays),WORKDAY.INTL(OFFSET(hdr_PlanStart,MATCH($J92,tsk_ID,0),0),N($L92),WorkWeek,Holidays),WORKDAY.INTL(WORKDAY.INTL(OFFSET(hdr_PlanFinish,MATCH($J92,tsk_ID,0),0),N($L92),WorkWeek,Holidays),-MAX(0,N($F92)-1),WorkWeek,Holidays),WORKDAY.INTL(WORKDAY.INTL(OFFSET(hdr_PlanStart,MATCH($J92,tsk_ID,0),0),N($L92),WorkWeek,Holidays),-MAX(0,N($F92)-1),WorkWeek,Holidays)),0))</f>
        <v>0</v>
      </c>
      <c r="AM92" s="48" t="n">
        <f aca="true">IF(OR(N($G92)=0,$AI92,$D92=""),0,IFERROR(CHOOSE(MATCH(IF($H92="","FS",$H92),{"FS","SS","FF","SF"},0),WORKDAY.INTL(OFFSET(hdr_FcFinish,MATCH($G92,tsk_ID,0),0),IF(N($F92)=0,0,1)+N($I92),WorkWeek,Holidays),WORKDAY.INTL(OFFSET(hdr_FcStart,MATCH($G92,tsk_ID,0),0),N($I92),WorkWeek,Holidays),WORKDAY.INTL(WORKDAY.INTL(OFFSET(hdr_FcFinish,MATCH($G92,tsk_ID,0),0),N($I92),WorkWeek,Holidays),-MAX(0,N($F92)-1),WorkWeek,Holidays),WORKDAY.INTL(WORKDAY.INTL(OFFSET(hdr_FcStart,MATCH($G92,tsk_ID,0),0),N($I92),WorkWeek,Holidays),-MAX(0,N($F92)-1),WorkWeek,Holidays)),0))</f>
        <v>0</v>
      </c>
      <c r="AN92" s="48" t="n">
        <f aca="true">IF(OR(N($J92)=0,$AI92,$D92=""),0,IFERROR(CHOOSE(MATCH(IF($K92="","FS",$K92),{"FS","SS","FF","SF"},0),WORKDAY.INTL(OFFSET(hdr_FcFinish,MATCH($J92,tsk_ID,0),0),IF(N($F92)=0,0,1)+N($L92),WorkWeek,Holidays),WORKDAY.INTL(OFFSET(hdr_FcStart,MATCH($J92,tsk_ID,0),0),N($L92),WorkWeek,Holidays),WORKDAY.INTL(WORKDAY.INTL(OFFSET(hdr_FcFinish,MATCH($J92,tsk_ID,0),0),N($L92),WorkWeek,Holidays),-MAX(0,N($F92)-1),WorkWeek,Holidays),WORKDAY.INTL(WORKDAY.INTL(OFFSET(hdr_FcStart,MATCH($J92,tsk_ID,0),0),N($L92),WorkWeek,Holidays),-MAX(0,N($F92)-1),WorkWeek,Holidays)),0))</f>
        <v>0</v>
      </c>
      <c r="AO92" s="48" t="n">
        <f aca="false">IF($AJ92=1,$R92,0)</f>
        <v>0</v>
      </c>
      <c r="AP92" s="48" t="n">
        <f aca="false">IF($AJ92=1,$S92,0)</f>
        <v>0</v>
      </c>
      <c r="AQ92" s="49" t="n">
        <f aca="false">IF(AND($AJ92=1,N($Z92)&gt;0),$Z92/($AP92-$AO92+1),0)</f>
        <v>0</v>
      </c>
      <c r="AR92" s="46" t="n">
        <f aca="false">IF($AJ92=1,MAX(N($F92),0.1),0)</f>
        <v>0</v>
      </c>
      <c r="AS92" s="46" t="n">
        <f aca="false">IF($AJ92=1,$AR92*$V92,0)</f>
        <v>0</v>
      </c>
      <c r="AT92" s="46" t="str">
        <f aca="false">IF(N($G92)=0,"",$G92&amp;IF(AND(IF($H92="","FS",$H92)="FS",N($I92)=0),"",IF($H92="","FS",$H92)&amp;IF(N($I92)=0,"",IF(N($I92)&gt;0,"+","")&amp;N($I92)&amp;"d")))</f>
        <v/>
      </c>
      <c r="AU92" s="46" t="str">
        <f aca="false">IF(N($J92)=0,"",$J92&amp;IF(AND(IF($K92="","FS",$K92)="FS",N($L92)=0),"",IF($K92="","FS",$K92)&amp;IF(N($L92)=0,"",IF(N($L92)&gt;0,"+","")&amp;N($L92)&amp;"d")))</f>
        <v/>
      </c>
      <c r="AV92" s="46" t="str">
        <f aca="false">IF(AND($AJ92=1,N($F92)=0,$V92&lt;1),$S92+$AF92/100000,"")</f>
        <v/>
      </c>
    </row>
    <row r="93" customFormat="false" ht="15" hidden="false" customHeight="false" outlineLevel="0" collapsed="false">
      <c r="A93" s="38" t="str">
        <f aca="false">IF($D93="","",COUNTA($D$6:$D93))</f>
        <v/>
      </c>
      <c r="B93" s="39" t="str">
        <f aca="true">IF($D93="","",IF($AE93=1,COUNTIF($AE$6:$AE93,1)&amp;"",IF($AG93=0,"?",OFFSET(hdr_WBS,$AG93-ROW(hdr_WBS),0)&amp;"."&amp;COUNTIF(INDEX($AE:$AE,$AG93+1):$AE93,$AE93))))</f>
        <v/>
      </c>
      <c r="C93" s="40"/>
      <c r="D93" s="41"/>
      <c r="E93" s="40"/>
      <c r="F93" s="40"/>
      <c r="G93" s="40"/>
      <c r="H93" s="40"/>
      <c r="I93" s="40"/>
      <c r="J93" s="40"/>
      <c r="K93" s="40"/>
      <c r="L93" s="40"/>
      <c r="M93" s="29"/>
      <c r="N93" s="30" t="str">
        <f aca="true">IF($D93="","",IF($AI93,MIN(OFFSET(hdr_PlanStart,$AF93+1,0,$AH93,1)),IF($E93="Manual",IF(N($M93)&gt;0,$M93,ProjectStart),WORKDAY.INTL(MAX(ProjectStart,N($M93),$AK93,$AL93)-1,1,WorkWeek,Holidays))))</f>
        <v/>
      </c>
      <c r="O93" s="30" t="str">
        <f aca="true">IF($D93="","",IF($AI93,MAX(OFFSET(hdr_PlanFinish,$AF93+1,0,$AH93,1)),IF(N($F93)&lt;=0,$N93,WORKDAY.INTL($N93,$F93-1,WorkWeek,Holidays))))</f>
        <v/>
      </c>
      <c r="P93" s="29"/>
      <c r="Q93" s="29"/>
      <c r="R93" s="30" t="str">
        <f aca="true">IF($D93="","",IF($AI93,MIN(OFFSET(hdr_FcStart,$AF93+1,0,$AH93,1)),IF(N($P93)&gt;0,$P93,IF($E93="Manual",IF(N($M93)&gt;0,$M93,ProjectStart),WORKDAY.INTL(MAX(ProjectStart,N($M93),$AM93,$AN93,IF(RescheduleAfterStatus="Yes",StatusDate,0))-1,1,WorkWeek,Holidays)))))</f>
        <v/>
      </c>
      <c r="S93" s="30" t="str">
        <f aca="true">IF($D93="","",IF($AI93,MAX(OFFSET(hdr_FcFinish,$AF93+1,0,$AH93,1)),IF(N($Q93)&gt;0,$Q93,IF(N($F93)&lt;=0,$R93,IF(AND(N($P93)&gt;0,RescheduleAfterStatus="Yes"),MAX(WORKDAY.INTL($R93,$F93-1,WorkWeek,Holidays),WORKDAY.INTL(StatusWorkday,MAX(0,ROUNDUP($F93*(1-MIN(1,N($U93))),0)-1),WorkWeek,Holidays)),WORKDAY.INTL($R93,$F93-1,WorkWeek,Holidays))))))</f>
        <v/>
      </c>
      <c r="T93" s="38" t="str">
        <f aca="false">IF($D93="","",IF($S93&gt;=$O93,NETWORKDAYS.INTL($O93,$S93,WorkWeek,Holidays)-1,1-NETWORKDAYS.INTL($S93,$O93,WorkWeek,Holidays)))</f>
        <v/>
      </c>
      <c r="U93" s="32"/>
      <c r="V93" s="42" t="str">
        <f aca="true">IF($D93="","",IF($AI93,IFERROR(SUM(OFFSET(hdr_WtDone,$AF93+1,0,$AH93,1))/SUM(OFFSET(hdr_WtDur,$AF93+1,0,$AH93,1)),0),IF(N($Q93)&gt;0,1,MIN(1,N($U93)))))</f>
        <v/>
      </c>
      <c r="W93" s="39" t="str">
        <f aca="false">IF($D93="","",IF($V93&gt;=1,"Complete",IF(OR(N($P93)&gt;0,$V93&gt;0),IF($T93&gt;0,"Behind","In Progress"),IF($N93&lt;StatusDate,"Late Start","Not Started"))))</f>
        <v/>
      </c>
      <c r="X93" s="41"/>
      <c r="Y93" s="32"/>
      <c r="Z93" s="43" t="str">
        <f aca="true">IF($D93="","",IF($AI93,SUMPRODUCT(OFFSET(hdr_Work,$AF93+1,0,$AH93,1),OFFSET(hdr_IsLeaf,$AF93+1,0,$AH93,1)),IF($X93="",0,N($F93)*HoursPerDay*IF($Y93="",DefaultUnits,$Y93))))</f>
        <v/>
      </c>
      <c r="AA93" s="44" t="str">
        <f aca="true">IF($D93="","",IF($AI93,SUMPRODUCT(OFFSET(hdr_Cost,$AF93+1,0,$AH93,1),OFFSET(hdr_IsLeaf,$AF93+1,0,$AH93,1)),$Z93*IFERROR(INDEX(res_Rate,MATCH($X93,res_Name,0)),0)))</f>
        <v/>
      </c>
      <c r="AB93" s="38" t="str">
        <f aca="false">IF(OR($D93="",$AI93),"",IF(OR($R93&lt;Sprint1Start,$R93&gt;SprintLastEnd),"Backlog",INDEX(spr_Name,MATCH($R93,spr_Start,1))))</f>
        <v/>
      </c>
      <c r="AC93" s="45" t="str">
        <f aca="false">IF($D93="","",$AT93&amp;IF(AND($AT93&lt;&gt;"",$AU93&lt;&gt;""),",","")&amp;$AU93)</f>
        <v/>
      </c>
      <c r="AD93" s="41"/>
      <c r="AE93" s="46" t="str">
        <f aca="false">IF($D93="","",MAX(1,N($C93)))</f>
        <v/>
      </c>
      <c r="AF93" s="46" t="n">
        <f aca="false">ROW()-ROW(hdr_ID)</f>
        <v>88</v>
      </c>
      <c r="AG93" s="46" t="n">
        <f aca="false">IF(OR($D93="",$AE93&lt;=1),0,IFERROR(LOOKUP(2,1/($AE$5:$AE92=$AE93-1),ROW($AE$5:$AE92)),0))</f>
        <v>0</v>
      </c>
      <c r="AH93" s="46" t="n">
        <f aca="false">IF($D93="",0,COUNTIF(tsk_WBS,$B93&amp;".*"))</f>
        <v>0</v>
      </c>
      <c r="AI93" s="47" t="b">
        <f aca="false">$AH93&gt;0</f>
        <v>0</v>
      </c>
      <c r="AJ93" s="46" t="n">
        <f aca="false">IF(AND($D93&lt;&gt;"",NOT($AI93)),1,0)</f>
        <v>0</v>
      </c>
      <c r="AK93" s="48" t="n">
        <f aca="true">IF(OR(N($G93)=0,$AI93,$D93=""),0,IFERROR(CHOOSE(MATCH(IF($H93="","FS",$H93),{"FS","SS","FF","SF"},0),WORKDAY.INTL(OFFSET(hdr_PlanFinish,MATCH($G93,tsk_ID,0),0),IF(N($F93)=0,0,1)+N($I93),WorkWeek,Holidays),WORKDAY.INTL(OFFSET(hdr_PlanStart,MATCH($G93,tsk_ID,0),0),N($I93),WorkWeek,Holidays),WORKDAY.INTL(WORKDAY.INTL(OFFSET(hdr_PlanFinish,MATCH($G93,tsk_ID,0),0),N($I93),WorkWeek,Holidays),-MAX(0,N($F93)-1),WorkWeek,Holidays),WORKDAY.INTL(WORKDAY.INTL(OFFSET(hdr_PlanStart,MATCH($G93,tsk_ID,0),0),N($I93),WorkWeek,Holidays),-MAX(0,N($F93)-1),WorkWeek,Holidays)),0))</f>
        <v>0</v>
      </c>
      <c r="AL93" s="48" t="n">
        <f aca="true">IF(OR(N($J93)=0,$AI93,$D93=""),0,IFERROR(CHOOSE(MATCH(IF($K93="","FS",$K93),{"FS","SS","FF","SF"},0),WORKDAY.INTL(OFFSET(hdr_PlanFinish,MATCH($J93,tsk_ID,0),0),IF(N($F93)=0,0,1)+N($L93),WorkWeek,Holidays),WORKDAY.INTL(OFFSET(hdr_PlanStart,MATCH($J93,tsk_ID,0),0),N($L93),WorkWeek,Holidays),WORKDAY.INTL(WORKDAY.INTL(OFFSET(hdr_PlanFinish,MATCH($J93,tsk_ID,0),0),N($L93),WorkWeek,Holidays),-MAX(0,N($F93)-1),WorkWeek,Holidays),WORKDAY.INTL(WORKDAY.INTL(OFFSET(hdr_PlanStart,MATCH($J93,tsk_ID,0),0),N($L93),WorkWeek,Holidays),-MAX(0,N($F93)-1),WorkWeek,Holidays)),0))</f>
        <v>0</v>
      </c>
      <c r="AM93" s="48" t="n">
        <f aca="true">IF(OR(N($G93)=0,$AI93,$D93=""),0,IFERROR(CHOOSE(MATCH(IF($H93="","FS",$H93),{"FS","SS","FF","SF"},0),WORKDAY.INTL(OFFSET(hdr_FcFinish,MATCH($G93,tsk_ID,0),0),IF(N($F93)=0,0,1)+N($I93),WorkWeek,Holidays),WORKDAY.INTL(OFFSET(hdr_FcStart,MATCH($G93,tsk_ID,0),0),N($I93),WorkWeek,Holidays),WORKDAY.INTL(WORKDAY.INTL(OFFSET(hdr_FcFinish,MATCH($G93,tsk_ID,0),0),N($I93),WorkWeek,Holidays),-MAX(0,N($F93)-1),WorkWeek,Holidays),WORKDAY.INTL(WORKDAY.INTL(OFFSET(hdr_FcStart,MATCH($G93,tsk_ID,0),0),N($I93),WorkWeek,Holidays),-MAX(0,N($F93)-1),WorkWeek,Holidays)),0))</f>
        <v>0</v>
      </c>
      <c r="AN93" s="48" t="n">
        <f aca="true">IF(OR(N($J93)=0,$AI93,$D93=""),0,IFERROR(CHOOSE(MATCH(IF($K93="","FS",$K93),{"FS","SS","FF","SF"},0),WORKDAY.INTL(OFFSET(hdr_FcFinish,MATCH($J93,tsk_ID,0),0),IF(N($F93)=0,0,1)+N($L93),WorkWeek,Holidays),WORKDAY.INTL(OFFSET(hdr_FcStart,MATCH($J93,tsk_ID,0),0),N($L93),WorkWeek,Holidays),WORKDAY.INTL(WORKDAY.INTL(OFFSET(hdr_FcFinish,MATCH($J93,tsk_ID,0),0),N($L93),WorkWeek,Holidays),-MAX(0,N($F93)-1),WorkWeek,Holidays),WORKDAY.INTL(WORKDAY.INTL(OFFSET(hdr_FcStart,MATCH($J93,tsk_ID,0),0),N($L93),WorkWeek,Holidays),-MAX(0,N($F93)-1),WorkWeek,Holidays)),0))</f>
        <v>0</v>
      </c>
      <c r="AO93" s="48" t="n">
        <f aca="false">IF($AJ93=1,$R93,0)</f>
        <v>0</v>
      </c>
      <c r="AP93" s="48" t="n">
        <f aca="false">IF($AJ93=1,$S93,0)</f>
        <v>0</v>
      </c>
      <c r="AQ93" s="49" t="n">
        <f aca="false">IF(AND($AJ93=1,N($Z93)&gt;0),$Z93/($AP93-$AO93+1),0)</f>
        <v>0</v>
      </c>
      <c r="AR93" s="46" t="n">
        <f aca="false">IF($AJ93=1,MAX(N($F93),0.1),0)</f>
        <v>0</v>
      </c>
      <c r="AS93" s="46" t="n">
        <f aca="false">IF($AJ93=1,$AR93*$V93,0)</f>
        <v>0</v>
      </c>
      <c r="AT93" s="46" t="str">
        <f aca="false">IF(N($G93)=0,"",$G93&amp;IF(AND(IF($H93="","FS",$H93)="FS",N($I93)=0),"",IF($H93="","FS",$H93)&amp;IF(N($I93)=0,"",IF(N($I93)&gt;0,"+","")&amp;N($I93)&amp;"d")))</f>
        <v/>
      </c>
      <c r="AU93" s="46" t="str">
        <f aca="false">IF(N($J93)=0,"",$J93&amp;IF(AND(IF($K93="","FS",$K93)="FS",N($L93)=0),"",IF($K93="","FS",$K93)&amp;IF(N($L93)=0,"",IF(N($L93)&gt;0,"+","")&amp;N($L93)&amp;"d")))</f>
        <v/>
      </c>
      <c r="AV93" s="46" t="str">
        <f aca="false">IF(AND($AJ93=1,N($F93)=0,$V93&lt;1),$S93+$AF93/100000,"")</f>
        <v/>
      </c>
    </row>
    <row r="94" customFormat="false" ht="15" hidden="false" customHeight="false" outlineLevel="0" collapsed="false">
      <c r="A94" s="38" t="str">
        <f aca="false">IF($D94="","",COUNTA($D$6:$D94))</f>
        <v/>
      </c>
      <c r="B94" s="39" t="str">
        <f aca="true">IF($D94="","",IF($AE94=1,COUNTIF($AE$6:$AE94,1)&amp;"",IF($AG94=0,"?",OFFSET(hdr_WBS,$AG94-ROW(hdr_WBS),0)&amp;"."&amp;COUNTIF(INDEX($AE:$AE,$AG94+1):$AE94,$AE94))))</f>
        <v/>
      </c>
      <c r="C94" s="40"/>
      <c r="D94" s="41"/>
      <c r="E94" s="40"/>
      <c r="F94" s="40"/>
      <c r="G94" s="40"/>
      <c r="H94" s="40"/>
      <c r="I94" s="40"/>
      <c r="J94" s="40"/>
      <c r="K94" s="40"/>
      <c r="L94" s="40"/>
      <c r="M94" s="29"/>
      <c r="N94" s="30" t="str">
        <f aca="true">IF($D94="","",IF($AI94,MIN(OFFSET(hdr_PlanStart,$AF94+1,0,$AH94,1)),IF($E94="Manual",IF(N($M94)&gt;0,$M94,ProjectStart),WORKDAY.INTL(MAX(ProjectStart,N($M94),$AK94,$AL94)-1,1,WorkWeek,Holidays))))</f>
        <v/>
      </c>
      <c r="O94" s="30" t="str">
        <f aca="true">IF($D94="","",IF($AI94,MAX(OFFSET(hdr_PlanFinish,$AF94+1,0,$AH94,1)),IF(N($F94)&lt;=0,$N94,WORKDAY.INTL($N94,$F94-1,WorkWeek,Holidays))))</f>
        <v/>
      </c>
      <c r="P94" s="29"/>
      <c r="Q94" s="29"/>
      <c r="R94" s="30" t="str">
        <f aca="true">IF($D94="","",IF($AI94,MIN(OFFSET(hdr_FcStart,$AF94+1,0,$AH94,1)),IF(N($P94)&gt;0,$P94,IF($E94="Manual",IF(N($M94)&gt;0,$M94,ProjectStart),WORKDAY.INTL(MAX(ProjectStart,N($M94),$AM94,$AN94,IF(RescheduleAfterStatus="Yes",StatusDate,0))-1,1,WorkWeek,Holidays)))))</f>
        <v/>
      </c>
      <c r="S94" s="30" t="str">
        <f aca="true">IF($D94="","",IF($AI94,MAX(OFFSET(hdr_FcFinish,$AF94+1,0,$AH94,1)),IF(N($Q94)&gt;0,$Q94,IF(N($F94)&lt;=0,$R94,IF(AND(N($P94)&gt;0,RescheduleAfterStatus="Yes"),MAX(WORKDAY.INTL($R94,$F94-1,WorkWeek,Holidays),WORKDAY.INTL(StatusWorkday,MAX(0,ROUNDUP($F94*(1-MIN(1,N($U94))),0)-1),WorkWeek,Holidays)),WORKDAY.INTL($R94,$F94-1,WorkWeek,Holidays))))))</f>
        <v/>
      </c>
      <c r="T94" s="38" t="str">
        <f aca="false">IF($D94="","",IF($S94&gt;=$O94,NETWORKDAYS.INTL($O94,$S94,WorkWeek,Holidays)-1,1-NETWORKDAYS.INTL($S94,$O94,WorkWeek,Holidays)))</f>
        <v/>
      </c>
      <c r="U94" s="32"/>
      <c r="V94" s="42" t="str">
        <f aca="true">IF($D94="","",IF($AI94,IFERROR(SUM(OFFSET(hdr_WtDone,$AF94+1,0,$AH94,1))/SUM(OFFSET(hdr_WtDur,$AF94+1,0,$AH94,1)),0),IF(N($Q94)&gt;0,1,MIN(1,N($U94)))))</f>
        <v/>
      </c>
      <c r="W94" s="39" t="str">
        <f aca="false">IF($D94="","",IF($V94&gt;=1,"Complete",IF(OR(N($P94)&gt;0,$V94&gt;0),IF($T94&gt;0,"Behind","In Progress"),IF($N94&lt;StatusDate,"Late Start","Not Started"))))</f>
        <v/>
      </c>
      <c r="X94" s="41"/>
      <c r="Y94" s="32"/>
      <c r="Z94" s="43" t="str">
        <f aca="true">IF($D94="","",IF($AI94,SUMPRODUCT(OFFSET(hdr_Work,$AF94+1,0,$AH94,1),OFFSET(hdr_IsLeaf,$AF94+1,0,$AH94,1)),IF($X94="",0,N($F94)*HoursPerDay*IF($Y94="",DefaultUnits,$Y94))))</f>
        <v/>
      </c>
      <c r="AA94" s="44" t="str">
        <f aca="true">IF($D94="","",IF($AI94,SUMPRODUCT(OFFSET(hdr_Cost,$AF94+1,0,$AH94,1),OFFSET(hdr_IsLeaf,$AF94+1,0,$AH94,1)),$Z94*IFERROR(INDEX(res_Rate,MATCH($X94,res_Name,0)),0)))</f>
        <v/>
      </c>
      <c r="AB94" s="38" t="str">
        <f aca="false">IF(OR($D94="",$AI94),"",IF(OR($R94&lt;Sprint1Start,$R94&gt;SprintLastEnd),"Backlog",INDEX(spr_Name,MATCH($R94,spr_Start,1))))</f>
        <v/>
      </c>
      <c r="AC94" s="45" t="str">
        <f aca="false">IF($D94="","",$AT94&amp;IF(AND($AT94&lt;&gt;"",$AU94&lt;&gt;""),",","")&amp;$AU94)</f>
        <v/>
      </c>
      <c r="AD94" s="41"/>
      <c r="AE94" s="46" t="str">
        <f aca="false">IF($D94="","",MAX(1,N($C94)))</f>
        <v/>
      </c>
      <c r="AF94" s="46" t="n">
        <f aca="false">ROW()-ROW(hdr_ID)</f>
        <v>89</v>
      </c>
      <c r="AG94" s="46" t="n">
        <f aca="false">IF(OR($D94="",$AE94&lt;=1),0,IFERROR(LOOKUP(2,1/($AE$5:$AE93=$AE94-1),ROW($AE$5:$AE93)),0))</f>
        <v>0</v>
      </c>
      <c r="AH94" s="46" t="n">
        <f aca="false">IF($D94="",0,COUNTIF(tsk_WBS,$B94&amp;".*"))</f>
        <v>0</v>
      </c>
      <c r="AI94" s="47" t="b">
        <f aca="false">$AH94&gt;0</f>
        <v>0</v>
      </c>
      <c r="AJ94" s="46" t="n">
        <f aca="false">IF(AND($D94&lt;&gt;"",NOT($AI94)),1,0)</f>
        <v>0</v>
      </c>
      <c r="AK94" s="48" t="n">
        <f aca="true">IF(OR(N($G94)=0,$AI94,$D94=""),0,IFERROR(CHOOSE(MATCH(IF($H94="","FS",$H94),{"FS","SS","FF","SF"},0),WORKDAY.INTL(OFFSET(hdr_PlanFinish,MATCH($G94,tsk_ID,0),0),IF(N($F94)=0,0,1)+N($I94),WorkWeek,Holidays),WORKDAY.INTL(OFFSET(hdr_PlanStart,MATCH($G94,tsk_ID,0),0),N($I94),WorkWeek,Holidays),WORKDAY.INTL(WORKDAY.INTL(OFFSET(hdr_PlanFinish,MATCH($G94,tsk_ID,0),0),N($I94),WorkWeek,Holidays),-MAX(0,N($F94)-1),WorkWeek,Holidays),WORKDAY.INTL(WORKDAY.INTL(OFFSET(hdr_PlanStart,MATCH($G94,tsk_ID,0),0),N($I94),WorkWeek,Holidays),-MAX(0,N($F94)-1),WorkWeek,Holidays)),0))</f>
        <v>0</v>
      </c>
      <c r="AL94" s="48" t="n">
        <f aca="true">IF(OR(N($J94)=0,$AI94,$D94=""),0,IFERROR(CHOOSE(MATCH(IF($K94="","FS",$K94),{"FS","SS","FF","SF"},0),WORKDAY.INTL(OFFSET(hdr_PlanFinish,MATCH($J94,tsk_ID,0),0),IF(N($F94)=0,0,1)+N($L94),WorkWeek,Holidays),WORKDAY.INTL(OFFSET(hdr_PlanStart,MATCH($J94,tsk_ID,0),0),N($L94),WorkWeek,Holidays),WORKDAY.INTL(WORKDAY.INTL(OFFSET(hdr_PlanFinish,MATCH($J94,tsk_ID,0),0),N($L94),WorkWeek,Holidays),-MAX(0,N($F94)-1),WorkWeek,Holidays),WORKDAY.INTL(WORKDAY.INTL(OFFSET(hdr_PlanStart,MATCH($J94,tsk_ID,0),0),N($L94),WorkWeek,Holidays),-MAX(0,N($F94)-1),WorkWeek,Holidays)),0))</f>
        <v>0</v>
      </c>
      <c r="AM94" s="48" t="n">
        <f aca="true">IF(OR(N($G94)=0,$AI94,$D94=""),0,IFERROR(CHOOSE(MATCH(IF($H94="","FS",$H94),{"FS","SS","FF","SF"},0),WORKDAY.INTL(OFFSET(hdr_FcFinish,MATCH($G94,tsk_ID,0),0),IF(N($F94)=0,0,1)+N($I94),WorkWeek,Holidays),WORKDAY.INTL(OFFSET(hdr_FcStart,MATCH($G94,tsk_ID,0),0),N($I94),WorkWeek,Holidays),WORKDAY.INTL(WORKDAY.INTL(OFFSET(hdr_FcFinish,MATCH($G94,tsk_ID,0),0),N($I94),WorkWeek,Holidays),-MAX(0,N($F94)-1),WorkWeek,Holidays),WORKDAY.INTL(WORKDAY.INTL(OFFSET(hdr_FcStart,MATCH($G94,tsk_ID,0),0),N($I94),WorkWeek,Holidays),-MAX(0,N($F94)-1),WorkWeek,Holidays)),0))</f>
        <v>0</v>
      </c>
      <c r="AN94" s="48" t="n">
        <f aca="true">IF(OR(N($J94)=0,$AI94,$D94=""),0,IFERROR(CHOOSE(MATCH(IF($K94="","FS",$K94),{"FS","SS","FF","SF"},0),WORKDAY.INTL(OFFSET(hdr_FcFinish,MATCH($J94,tsk_ID,0),0),IF(N($F94)=0,0,1)+N($L94),WorkWeek,Holidays),WORKDAY.INTL(OFFSET(hdr_FcStart,MATCH($J94,tsk_ID,0),0),N($L94),WorkWeek,Holidays),WORKDAY.INTL(WORKDAY.INTL(OFFSET(hdr_FcFinish,MATCH($J94,tsk_ID,0),0),N($L94),WorkWeek,Holidays),-MAX(0,N($F94)-1),WorkWeek,Holidays),WORKDAY.INTL(WORKDAY.INTL(OFFSET(hdr_FcStart,MATCH($J94,tsk_ID,0),0),N($L94),WorkWeek,Holidays),-MAX(0,N($F94)-1),WorkWeek,Holidays)),0))</f>
        <v>0</v>
      </c>
      <c r="AO94" s="48" t="n">
        <f aca="false">IF($AJ94=1,$R94,0)</f>
        <v>0</v>
      </c>
      <c r="AP94" s="48" t="n">
        <f aca="false">IF($AJ94=1,$S94,0)</f>
        <v>0</v>
      </c>
      <c r="AQ94" s="49" t="n">
        <f aca="false">IF(AND($AJ94=1,N($Z94)&gt;0),$Z94/($AP94-$AO94+1),0)</f>
        <v>0</v>
      </c>
      <c r="AR94" s="46" t="n">
        <f aca="false">IF($AJ94=1,MAX(N($F94),0.1),0)</f>
        <v>0</v>
      </c>
      <c r="AS94" s="46" t="n">
        <f aca="false">IF($AJ94=1,$AR94*$V94,0)</f>
        <v>0</v>
      </c>
      <c r="AT94" s="46" t="str">
        <f aca="false">IF(N($G94)=0,"",$G94&amp;IF(AND(IF($H94="","FS",$H94)="FS",N($I94)=0),"",IF($H94="","FS",$H94)&amp;IF(N($I94)=0,"",IF(N($I94)&gt;0,"+","")&amp;N($I94)&amp;"d")))</f>
        <v/>
      </c>
      <c r="AU94" s="46" t="str">
        <f aca="false">IF(N($J94)=0,"",$J94&amp;IF(AND(IF($K94="","FS",$K94)="FS",N($L94)=0),"",IF($K94="","FS",$K94)&amp;IF(N($L94)=0,"",IF(N($L94)&gt;0,"+","")&amp;N($L94)&amp;"d")))</f>
        <v/>
      </c>
      <c r="AV94" s="46" t="str">
        <f aca="false">IF(AND($AJ94=1,N($F94)=0,$V94&lt;1),$S94+$AF94/100000,"")</f>
        <v/>
      </c>
    </row>
    <row r="95" customFormat="false" ht="15" hidden="false" customHeight="false" outlineLevel="0" collapsed="false">
      <c r="A95" s="38" t="str">
        <f aca="false">IF($D95="","",COUNTA($D$6:$D95))</f>
        <v/>
      </c>
      <c r="B95" s="39" t="str">
        <f aca="true">IF($D95="","",IF($AE95=1,COUNTIF($AE$6:$AE95,1)&amp;"",IF($AG95=0,"?",OFFSET(hdr_WBS,$AG95-ROW(hdr_WBS),0)&amp;"."&amp;COUNTIF(INDEX($AE:$AE,$AG95+1):$AE95,$AE95))))</f>
        <v/>
      </c>
      <c r="C95" s="40"/>
      <c r="D95" s="41"/>
      <c r="E95" s="40"/>
      <c r="F95" s="40"/>
      <c r="G95" s="40"/>
      <c r="H95" s="40"/>
      <c r="I95" s="40"/>
      <c r="J95" s="40"/>
      <c r="K95" s="40"/>
      <c r="L95" s="40"/>
      <c r="M95" s="29"/>
      <c r="N95" s="30" t="str">
        <f aca="true">IF($D95="","",IF($AI95,MIN(OFFSET(hdr_PlanStart,$AF95+1,0,$AH95,1)),IF($E95="Manual",IF(N($M95)&gt;0,$M95,ProjectStart),WORKDAY.INTL(MAX(ProjectStart,N($M95),$AK95,$AL95)-1,1,WorkWeek,Holidays))))</f>
        <v/>
      </c>
      <c r="O95" s="30" t="str">
        <f aca="true">IF($D95="","",IF($AI95,MAX(OFFSET(hdr_PlanFinish,$AF95+1,0,$AH95,1)),IF(N($F95)&lt;=0,$N95,WORKDAY.INTL($N95,$F95-1,WorkWeek,Holidays))))</f>
        <v/>
      </c>
      <c r="P95" s="29"/>
      <c r="Q95" s="29"/>
      <c r="R95" s="30" t="str">
        <f aca="true">IF($D95="","",IF($AI95,MIN(OFFSET(hdr_FcStart,$AF95+1,0,$AH95,1)),IF(N($P95)&gt;0,$P95,IF($E95="Manual",IF(N($M95)&gt;0,$M95,ProjectStart),WORKDAY.INTL(MAX(ProjectStart,N($M95),$AM95,$AN95,IF(RescheduleAfterStatus="Yes",StatusDate,0))-1,1,WorkWeek,Holidays)))))</f>
        <v/>
      </c>
      <c r="S95" s="30" t="str">
        <f aca="true">IF($D95="","",IF($AI95,MAX(OFFSET(hdr_FcFinish,$AF95+1,0,$AH95,1)),IF(N($Q95)&gt;0,$Q95,IF(N($F95)&lt;=0,$R95,IF(AND(N($P95)&gt;0,RescheduleAfterStatus="Yes"),MAX(WORKDAY.INTL($R95,$F95-1,WorkWeek,Holidays),WORKDAY.INTL(StatusWorkday,MAX(0,ROUNDUP($F95*(1-MIN(1,N($U95))),0)-1),WorkWeek,Holidays)),WORKDAY.INTL($R95,$F95-1,WorkWeek,Holidays))))))</f>
        <v/>
      </c>
      <c r="T95" s="38" t="str">
        <f aca="false">IF($D95="","",IF($S95&gt;=$O95,NETWORKDAYS.INTL($O95,$S95,WorkWeek,Holidays)-1,1-NETWORKDAYS.INTL($S95,$O95,WorkWeek,Holidays)))</f>
        <v/>
      </c>
      <c r="U95" s="32"/>
      <c r="V95" s="42" t="str">
        <f aca="true">IF($D95="","",IF($AI95,IFERROR(SUM(OFFSET(hdr_WtDone,$AF95+1,0,$AH95,1))/SUM(OFFSET(hdr_WtDur,$AF95+1,0,$AH95,1)),0),IF(N($Q95)&gt;0,1,MIN(1,N($U95)))))</f>
        <v/>
      </c>
      <c r="W95" s="39" t="str">
        <f aca="false">IF($D95="","",IF($V95&gt;=1,"Complete",IF(OR(N($P95)&gt;0,$V95&gt;0),IF($T95&gt;0,"Behind","In Progress"),IF($N95&lt;StatusDate,"Late Start","Not Started"))))</f>
        <v/>
      </c>
      <c r="X95" s="41"/>
      <c r="Y95" s="32"/>
      <c r="Z95" s="43" t="str">
        <f aca="true">IF($D95="","",IF($AI95,SUMPRODUCT(OFFSET(hdr_Work,$AF95+1,0,$AH95,1),OFFSET(hdr_IsLeaf,$AF95+1,0,$AH95,1)),IF($X95="",0,N($F95)*HoursPerDay*IF($Y95="",DefaultUnits,$Y95))))</f>
        <v/>
      </c>
      <c r="AA95" s="44" t="str">
        <f aca="true">IF($D95="","",IF($AI95,SUMPRODUCT(OFFSET(hdr_Cost,$AF95+1,0,$AH95,1),OFFSET(hdr_IsLeaf,$AF95+1,0,$AH95,1)),$Z95*IFERROR(INDEX(res_Rate,MATCH($X95,res_Name,0)),0)))</f>
        <v/>
      </c>
      <c r="AB95" s="38" t="str">
        <f aca="false">IF(OR($D95="",$AI95),"",IF(OR($R95&lt;Sprint1Start,$R95&gt;SprintLastEnd),"Backlog",INDEX(spr_Name,MATCH($R95,spr_Start,1))))</f>
        <v/>
      </c>
      <c r="AC95" s="45" t="str">
        <f aca="false">IF($D95="","",$AT95&amp;IF(AND($AT95&lt;&gt;"",$AU95&lt;&gt;""),",","")&amp;$AU95)</f>
        <v/>
      </c>
      <c r="AD95" s="41"/>
      <c r="AE95" s="46" t="str">
        <f aca="false">IF($D95="","",MAX(1,N($C95)))</f>
        <v/>
      </c>
      <c r="AF95" s="46" t="n">
        <f aca="false">ROW()-ROW(hdr_ID)</f>
        <v>90</v>
      </c>
      <c r="AG95" s="46" t="n">
        <f aca="false">IF(OR($D95="",$AE95&lt;=1),0,IFERROR(LOOKUP(2,1/($AE$5:$AE94=$AE95-1),ROW($AE$5:$AE94)),0))</f>
        <v>0</v>
      </c>
      <c r="AH95" s="46" t="n">
        <f aca="false">IF($D95="",0,COUNTIF(tsk_WBS,$B95&amp;".*"))</f>
        <v>0</v>
      </c>
      <c r="AI95" s="47" t="b">
        <f aca="false">$AH95&gt;0</f>
        <v>0</v>
      </c>
      <c r="AJ95" s="46" t="n">
        <f aca="false">IF(AND($D95&lt;&gt;"",NOT($AI95)),1,0)</f>
        <v>0</v>
      </c>
      <c r="AK95" s="48" t="n">
        <f aca="true">IF(OR(N($G95)=0,$AI95,$D95=""),0,IFERROR(CHOOSE(MATCH(IF($H95="","FS",$H95),{"FS","SS","FF","SF"},0),WORKDAY.INTL(OFFSET(hdr_PlanFinish,MATCH($G95,tsk_ID,0),0),IF(N($F95)=0,0,1)+N($I95),WorkWeek,Holidays),WORKDAY.INTL(OFFSET(hdr_PlanStart,MATCH($G95,tsk_ID,0),0),N($I95),WorkWeek,Holidays),WORKDAY.INTL(WORKDAY.INTL(OFFSET(hdr_PlanFinish,MATCH($G95,tsk_ID,0),0),N($I95),WorkWeek,Holidays),-MAX(0,N($F95)-1),WorkWeek,Holidays),WORKDAY.INTL(WORKDAY.INTL(OFFSET(hdr_PlanStart,MATCH($G95,tsk_ID,0),0),N($I95),WorkWeek,Holidays),-MAX(0,N($F95)-1),WorkWeek,Holidays)),0))</f>
        <v>0</v>
      </c>
      <c r="AL95" s="48" t="n">
        <f aca="true">IF(OR(N($J95)=0,$AI95,$D95=""),0,IFERROR(CHOOSE(MATCH(IF($K95="","FS",$K95),{"FS","SS","FF","SF"},0),WORKDAY.INTL(OFFSET(hdr_PlanFinish,MATCH($J95,tsk_ID,0),0),IF(N($F95)=0,0,1)+N($L95),WorkWeek,Holidays),WORKDAY.INTL(OFFSET(hdr_PlanStart,MATCH($J95,tsk_ID,0),0),N($L95),WorkWeek,Holidays),WORKDAY.INTL(WORKDAY.INTL(OFFSET(hdr_PlanFinish,MATCH($J95,tsk_ID,0),0),N($L95),WorkWeek,Holidays),-MAX(0,N($F95)-1),WorkWeek,Holidays),WORKDAY.INTL(WORKDAY.INTL(OFFSET(hdr_PlanStart,MATCH($J95,tsk_ID,0),0),N($L95),WorkWeek,Holidays),-MAX(0,N($F95)-1),WorkWeek,Holidays)),0))</f>
        <v>0</v>
      </c>
      <c r="AM95" s="48" t="n">
        <f aca="true">IF(OR(N($G95)=0,$AI95,$D95=""),0,IFERROR(CHOOSE(MATCH(IF($H95="","FS",$H95),{"FS","SS","FF","SF"},0),WORKDAY.INTL(OFFSET(hdr_FcFinish,MATCH($G95,tsk_ID,0),0),IF(N($F95)=0,0,1)+N($I95),WorkWeek,Holidays),WORKDAY.INTL(OFFSET(hdr_FcStart,MATCH($G95,tsk_ID,0),0),N($I95),WorkWeek,Holidays),WORKDAY.INTL(WORKDAY.INTL(OFFSET(hdr_FcFinish,MATCH($G95,tsk_ID,0),0),N($I95),WorkWeek,Holidays),-MAX(0,N($F95)-1),WorkWeek,Holidays),WORKDAY.INTL(WORKDAY.INTL(OFFSET(hdr_FcStart,MATCH($G95,tsk_ID,0),0),N($I95),WorkWeek,Holidays),-MAX(0,N($F95)-1),WorkWeek,Holidays)),0))</f>
        <v>0</v>
      </c>
      <c r="AN95" s="48" t="n">
        <f aca="true">IF(OR(N($J95)=0,$AI95,$D95=""),0,IFERROR(CHOOSE(MATCH(IF($K95="","FS",$K95),{"FS","SS","FF","SF"},0),WORKDAY.INTL(OFFSET(hdr_FcFinish,MATCH($J95,tsk_ID,0),0),IF(N($F95)=0,0,1)+N($L95),WorkWeek,Holidays),WORKDAY.INTL(OFFSET(hdr_FcStart,MATCH($J95,tsk_ID,0),0),N($L95),WorkWeek,Holidays),WORKDAY.INTL(WORKDAY.INTL(OFFSET(hdr_FcFinish,MATCH($J95,tsk_ID,0),0),N($L95),WorkWeek,Holidays),-MAX(0,N($F95)-1),WorkWeek,Holidays),WORKDAY.INTL(WORKDAY.INTL(OFFSET(hdr_FcStart,MATCH($J95,tsk_ID,0),0),N($L95),WorkWeek,Holidays),-MAX(0,N($F95)-1),WorkWeek,Holidays)),0))</f>
        <v>0</v>
      </c>
      <c r="AO95" s="48" t="n">
        <f aca="false">IF($AJ95=1,$R95,0)</f>
        <v>0</v>
      </c>
      <c r="AP95" s="48" t="n">
        <f aca="false">IF($AJ95=1,$S95,0)</f>
        <v>0</v>
      </c>
      <c r="AQ95" s="49" t="n">
        <f aca="false">IF(AND($AJ95=1,N($Z95)&gt;0),$Z95/($AP95-$AO95+1),0)</f>
        <v>0</v>
      </c>
      <c r="AR95" s="46" t="n">
        <f aca="false">IF($AJ95=1,MAX(N($F95),0.1),0)</f>
        <v>0</v>
      </c>
      <c r="AS95" s="46" t="n">
        <f aca="false">IF($AJ95=1,$AR95*$V95,0)</f>
        <v>0</v>
      </c>
      <c r="AT95" s="46" t="str">
        <f aca="false">IF(N($G95)=0,"",$G95&amp;IF(AND(IF($H95="","FS",$H95)="FS",N($I95)=0),"",IF($H95="","FS",$H95)&amp;IF(N($I95)=0,"",IF(N($I95)&gt;0,"+","")&amp;N($I95)&amp;"d")))</f>
        <v/>
      </c>
      <c r="AU95" s="46" t="str">
        <f aca="false">IF(N($J95)=0,"",$J95&amp;IF(AND(IF($K95="","FS",$K95)="FS",N($L95)=0),"",IF($K95="","FS",$K95)&amp;IF(N($L95)=0,"",IF(N($L95)&gt;0,"+","")&amp;N($L95)&amp;"d")))</f>
        <v/>
      </c>
      <c r="AV95" s="46" t="str">
        <f aca="false">IF(AND($AJ95=1,N($F95)=0,$V95&lt;1),$S95+$AF95/100000,"")</f>
        <v/>
      </c>
    </row>
    <row r="96" customFormat="false" ht="15" hidden="false" customHeight="false" outlineLevel="0" collapsed="false">
      <c r="A96" s="38" t="str">
        <f aca="false">IF($D96="","",COUNTA($D$6:$D96))</f>
        <v/>
      </c>
      <c r="B96" s="39" t="str">
        <f aca="true">IF($D96="","",IF($AE96=1,COUNTIF($AE$6:$AE96,1)&amp;"",IF($AG96=0,"?",OFFSET(hdr_WBS,$AG96-ROW(hdr_WBS),0)&amp;"."&amp;COUNTIF(INDEX($AE:$AE,$AG96+1):$AE96,$AE96))))</f>
        <v/>
      </c>
      <c r="C96" s="40"/>
      <c r="D96" s="41"/>
      <c r="E96" s="40"/>
      <c r="F96" s="40"/>
      <c r="G96" s="40"/>
      <c r="H96" s="40"/>
      <c r="I96" s="40"/>
      <c r="J96" s="40"/>
      <c r="K96" s="40"/>
      <c r="L96" s="40"/>
      <c r="M96" s="29"/>
      <c r="N96" s="30" t="str">
        <f aca="true">IF($D96="","",IF($AI96,MIN(OFFSET(hdr_PlanStart,$AF96+1,0,$AH96,1)),IF($E96="Manual",IF(N($M96)&gt;0,$M96,ProjectStart),WORKDAY.INTL(MAX(ProjectStart,N($M96),$AK96,$AL96)-1,1,WorkWeek,Holidays))))</f>
        <v/>
      </c>
      <c r="O96" s="30" t="str">
        <f aca="true">IF($D96="","",IF($AI96,MAX(OFFSET(hdr_PlanFinish,$AF96+1,0,$AH96,1)),IF(N($F96)&lt;=0,$N96,WORKDAY.INTL($N96,$F96-1,WorkWeek,Holidays))))</f>
        <v/>
      </c>
      <c r="P96" s="29"/>
      <c r="Q96" s="29"/>
      <c r="R96" s="30" t="str">
        <f aca="true">IF($D96="","",IF($AI96,MIN(OFFSET(hdr_FcStart,$AF96+1,0,$AH96,1)),IF(N($P96)&gt;0,$P96,IF($E96="Manual",IF(N($M96)&gt;0,$M96,ProjectStart),WORKDAY.INTL(MAX(ProjectStart,N($M96),$AM96,$AN96,IF(RescheduleAfterStatus="Yes",StatusDate,0))-1,1,WorkWeek,Holidays)))))</f>
        <v/>
      </c>
      <c r="S96" s="30" t="str">
        <f aca="true">IF($D96="","",IF($AI96,MAX(OFFSET(hdr_FcFinish,$AF96+1,0,$AH96,1)),IF(N($Q96)&gt;0,$Q96,IF(N($F96)&lt;=0,$R96,IF(AND(N($P96)&gt;0,RescheduleAfterStatus="Yes"),MAX(WORKDAY.INTL($R96,$F96-1,WorkWeek,Holidays),WORKDAY.INTL(StatusWorkday,MAX(0,ROUNDUP($F96*(1-MIN(1,N($U96))),0)-1),WorkWeek,Holidays)),WORKDAY.INTL($R96,$F96-1,WorkWeek,Holidays))))))</f>
        <v/>
      </c>
      <c r="T96" s="38" t="str">
        <f aca="false">IF($D96="","",IF($S96&gt;=$O96,NETWORKDAYS.INTL($O96,$S96,WorkWeek,Holidays)-1,1-NETWORKDAYS.INTL($S96,$O96,WorkWeek,Holidays)))</f>
        <v/>
      </c>
      <c r="U96" s="32"/>
      <c r="V96" s="42" t="str">
        <f aca="true">IF($D96="","",IF($AI96,IFERROR(SUM(OFFSET(hdr_WtDone,$AF96+1,0,$AH96,1))/SUM(OFFSET(hdr_WtDur,$AF96+1,0,$AH96,1)),0),IF(N($Q96)&gt;0,1,MIN(1,N($U96)))))</f>
        <v/>
      </c>
      <c r="W96" s="39" t="str">
        <f aca="false">IF($D96="","",IF($V96&gt;=1,"Complete",IF(OR(N($P96)&gt;0,$V96&gt;0),IF($T96&gt;0,"Behind","In Progress"),IF($N96&lt;StatusDate,"Late Start","Not Started"))))</f>
        <v/>
      </c>
      <c r="X96" s="41"/>
      <c r="Y96" s="32"/>
      <c r="Z96" s="43" t="str">
        <f aca="true">IF($D96="","",IF($AI96,SUMPRODUCT(OFFSET(hdr_Work,$AF96+1,0,$AH96,1),OFFSET(hdr_IsLeaf,$AF96+1,0,$AH96,1)),IF($X96="",0,N($F96)*HoursPerDay*IF($Y96="",DefaultUnits,$Y96))))</f>
        <v/>
      </c>
      <c r="AA96" s="44" t="str">
        <f aca="true">IF($D96="","",IF($AI96,SUMPRODUCT(OFFSET(hdr_Cost,$AF96+1,0,$AH96,1),OFFSET(hdr_IsLeaf,$AF96+1,0,$AH96,1)),$Z96*IFERROR(INDEX(res_Rate,MATCH($X96,res_Name,0)),0)))</f>
        <v/>
      </c>
      <c r="AB96" s="38" t="str">
        <f aca="false">IF(OR($D96="",$AI96),"",IF(OR($R96&lt;Sprint1Start,$R96&gt;SprintLastEnd),"Backlog",INDEX(spr_Name,MATCH($R96,spr_Start,1))))</f>
        <v/>
      </c>
      <c r="AC96" s="45" t="str">
        <f aca="false">IF($D96="","",$AT96&amp;IF(AND($AT96&lt;&gt;"",$AU96&lt;&gt;""),",","")&amp;$AU96)</f>
        <v/>
      </c>
      <c r="AD96" s="41"/>
      <c r="AE96" s="46" t="str">
        <f aca="false">IF($D96="","",MAX(1,N($C96)))</f>
        <v/>
      </c>
      <c r="AF96" s="46" t="n">
        <f aca="false">ROW()-ROW(hdr_ID)</f>
        <v>91</v>
      </c>
      <c r="AG96" s="46" t="n">
        <f aca="false">IF(OR($D96="",$AE96&lt;=1),0,IFERROR(LOOKUP(2,1/($AE$5:$AE95=$AE96-1),ROW($AE$5:$AE95)),0))</f>
        <v>0</v>
      </c>
      <c r="AH96" s="46" t="n">
        <f aca="false">IF($D96="",0,COUNTIF(tsk_WBS,$B96&amp;".*"))</f>
        <v>0</v>
      </c>
      <c r="AI96" s="47" t="b">
        <f aca="false">$AH96&gt;0</f>
        <v>0</v>
      </c>
      <c r="AJ96" s="46" t="n">
        <f aca="false">IF(AND($D96&lt;&gt;"",NOT($AI96)),1,0)</f>
        <v>0</v>
      </c>
      <c r="AK96" s="48" t="n">
        <f aca="true">IF(OR(N($G96)=0,$AI96,$D96=""),0,IFERROR(CHOOSE(MATCH(IF($H96="","FS",$H96),{"FS","SS","FF","SF"},0),WORKDAY.INTL(OFFSET(hdr_PlanFinish,MATCH($G96,tsk_ID,0),0),IF(N($F96)=0,0,1)+N($I96),WorkWeek,Holidays),WORKDAY.INTL(OFFSET(hdr_PlanStart,MATCH($G96,tsk_ID,0),0),N($I96),WorkWeek,Holidays),WORKDAY.INTL(WORKDAY.INTL(OFFSET(hdr_PlanFinish,MATCH($G96,tsk_ID,0),0),N($I96),WorkWeek,Holidays),-MAX(0,N($F96)-1),WorkWeek,Holidays),WORKDAY.INTL(WORKDAY.INTL(OFFSET(hdr_PlanStart,MATCH($G96,tsk_ID,0),0),N($I96),WorkWeek,Holidays),-MAX(0,N($F96)-1),WorkWeek,Holidays)),0))</f>
        <v>0</v>
      </c>
      <c r="AL96" s="48" t="n">
        <f aca="true">IF(OR(N($J96)=0,$AI96,$D96=""),0,IFERROR(CHOOSE(MATCH(IF($K96="","FS",$K96),{"FS","SS","FF","SF"},0),WORKDAY.INTL(OFFSET(hdr_PlanFinish,MATCH($J96,tsk_ID,0),0),IF(N($F96)=0,0,1)+N($L96),WorkWeek,Holidays),WORKDAY.INTL(OFFSET(hdr_PlanStart,MATCH($J96,tsk_ID,0),0),N($L96),WorkWeek,Holidays),WORKDAY.INTL(WORKDAY.INTL(OFFSET(hdr_PlanFinish,MATCH($J96,tsk_ID,0),0),N($L96),WorkWeek,Holidays),-MAX(0,N($F96)-1),WorkWeek,Holidays),WORKDAY.INTL(WORKDAY.INTL(OFFSET(hdr_PlanStart,MATCH($J96,tsk_ID,0),0),N($L96),WorkWeek,Holidays),-MAX(0,N($F96)-1),WorkWeek,Holidays)),0))</f>
        <v>0</v>
      </c>
      <c r="AM96" s="48" t="n">
        <f aca="true">IF(OR(N($G96)=0,$AI96,$D96=""),0,IFERROR(CHOOSE(MATCH(IF($H96="","FS",$H96),{"FS","SS","FF","SF"},0),WORKDAY.INTL(OFFSET(hdr_FcFinish,MATCH($G96,tsk_ID,0),0),IF(N($F96)=0,0,1)+N($I96),WorkWeek,Holidays),WORKDAY.INTL(OFFSET(hdr_FcStart,MATCH($G96,tsk_ID,0),0),N($I96),WorkWeek,Holidays),WORKDAY.INTL(WORKDAY.INTL(OFFSET(hdr_FcFinish,MATCH($G96,tsk_ID,0),0),N($I96),WorkWeek,Holidays),-MAX(0,N($F96)-1),WorkWeek,Holidays),WORKDAY.INTL(WORKDAY.INTL(OFFSET(hdr_FcStart,MATCH($G96,tsk_ID,0),0),N($I96),WorkWeek,Holidays),-MAX(0,N($F96)-1),WorkWeek,Holidays)),0))</f>
        <v>0</v>
      </c>
      <c r="AN96" s="48" t="n">
        <f aca="true">IF(OR(N($J96)=0,$AI96,$D96=""),0,IFERROR(CHOOSE(MATCH(IF($K96="","FS",$K96),{"FS","SS","FF","SF"},0),WORKDAY.INTL(OFFSET(hdr_FcFinish,MATCH($J96,tsk_ID,0),0),IF(N($F96)=0,0,1)+N($L96),WorkWeek,Holidays),WORKDAY.INTL(OFFSET(hdr_FcStart,MATCH($J96,tsk_ID,0),0),N($L96),WorkWeek,Holidays),WORKDAY.INTL(WORKDAY.INTL(OFFSET(hdr_FcFinish,MATCH($J96,tsk_ID,0),0),N($L96),WorkWeek,Holidays),-MAX(0,N($F96)-1),WorkWeek,Holidays),WORKDAY.INTL(WORKDAY.INTL(OFFSET(hdr_FcStart,MATCH($J96,tsk_ID,0),0),N($L96),WorkWeek,Holidays),-MAX(0,N($F96)-1),WorkWeek,Holidays)),0))</f>
        <v>0</v>
      </c>
      <c r="AO96" s="48" t="n">
        <f aca="false">IF($AJ96=1,$R96,0)</f>
        <v>0</v>
      </c>
      <c r="AP96" s="48" t="n">
        <f aca="false">IF($AJ96=1,$S96,0)</f>
        <v>0</v>
      </c>
      <c r="AQ96" s="49" t="n">
        <f aca="false">IF(AND($AJ96=1,N($Z96)&gt;0),$Z96/($AP96-$AO96+1),0)</f>
        <v>0</v>
      </c>
      <c r="AR96" s="46" t="n">
        <f aca="false">IF($AJ96=1,MAX(N($F96),0.1),0)</f>
        <v>0</v>
      </c>
      <c r="AS96" s="46" t="n">
        <f aca="false">IF($AJ96=1,$AR96*$V96,0)</f>
        <v>0</v>
      </c>
      <c r="AT96" s="46" t="str">
        <f aca="false">IF(N($G96)=0,"",$G96&amp;IF(AND(IF($H96="","FS",$H96)="FS",N($I96)=0),"",IF($H96="","FS",$H96)&amp;IF(N($I96)=0,"",IF(N($I96)&gt;0,"+","")&amp;N($I96)&amp;"d")))</f>
        <v/>
      </c>
      <c r="AU96" s="46" t="str">
        <f aca="false">IF(N($J96)=0,"",$J96&amp;IF(AND(IF($K96="","FS",$K96)="FS",N($L96)=0),"",IF($K96="","FS",$K96)&amp;IF(N($L96)=0,"",IF(N($L96)&gt;0,"+","")&amp;N($L96)&amp;"d")))</f>
        <v/>
      </c>
      <c r="AV96" s="46" t="str">
        <f aca="false">IF(AND($AJ96=1,N($F96)=0,$V96&lt;1),$S96+$AF96/100000,"")</f>
        <v/>
      </c>
    </row>
    <row r="97" customFormat="false" ht="15" hidden="false" customHeight="false" outlineLevel="0" collapsed="false">
      <c r="A97" s="38" t="str">
        <f aca="false">IF($D97="","",COUNTA($D$6:$D97))</f>
        <v/>
      </c>
      <c r="B97" s="39" t="str">
        <f aca="true">IF($D97="","",IF($AE97=1,COUNTIF($AE$6:$AE97,1)&amp;"",IF($AG97=0,"?",OFFSET(hdr_WBS,$AG97-ROW(hdr_WBS),0)&amp;"."&amp;COUNTIF(INDEX($AE:$AE,$AG97+1):$AE97,$AE97))))</f>
        <v/>
      </c>
      <c r="C97" s="40"/>
      <c r="D97" s="41"/>
      <c r="E97" s="40"/>
      <c r="F97" s="40"/>
      <c r="G97" s="40"/>
      <c r="H97" s="40"/>
      <c r="I97" s="40"/>
      <c r="J97" s="40"/>
      <c r="K97" s="40"/>
      <c r="L97" s="40"/>
      <c r="M97" s="29"/>
      <c r="N97" s="30" t="str">
        <f aca="true">IF($D97="","",IF($AI97,MIN(OFFSET(hdr_PlanStart,$AF97+1,0,$AH97,1)),IF($E97="Manual",IF(N($M97)&gt;0,$M97,ProjectStart),WORKDAY.INTL(MAX(ProjectStart,N($M97),$AK97,$AL97)-1,1,WorkWeek,Holidays))))</f>
        <v/>
      </c>
      <c r="O97" s="30" t="str">
        <f aca="true">IF($D97="","",IF($AI97,MAX(OFFSET(hdr_PlanFinish,$AF97+1,0,$AH97,1)),IF(N($F97)&lt;=0,$N97,WORKDAY.INTL($N97,$F97-1,WorkWeek,Holidays))))</f>
        <v/>
      </c>
      <c r="P97" s="29"/>
      <c r="Q97" s="29"/>
      <c r="R97" s="30" t="str">
        <f aca="true">IF($D97="","",IF($AI97,MIN(OFFSET(hdr_FcStart,$AF97+1,0,$AH97,1)),IF(N($P97)&gt;0,$P97,IF($E97="Manual",IF(N($M97)&gt;0,$M97,ProjectStart),WORKDAY.INTL(MAX(ProjectStart,N($M97),$AM97,$AN97,IF(RescheduleAfterStatus="Yes",StatusDate,0))-1,1,WorkWeek,Holidays)))))</f>
        <v/>
      </c>
      <c r="S97" s="30" t="str">
        <f aca="true">IF($D97="","",IF($AI97,MAX(OFFSET(hdr_FcFinish,$AF97+1,0,$AH97,1)),IF(N($Q97)&gt;0,$Q97,IF(N($F97)&lt;=0,$R97,IF(AND(N($P97)&gt;0,RescheduleAfterStatus="Yes"),MAX(WORKDAY.INTL($R97,$F97-1,WorkWeek,Holidays),WORKDAY.INTL(StatusWorkday,MAX(0,ROUNDUP($F97*(1-MIN(1,N($U97))),0)-1),WorkWeek,Holidays)),WORKDAY.INTL($R97,$F97-1,WorkWeek,Holidays))))))</f>
        <v/>
      </c>
      <c r="T97" s="38" t="str">
        <f aca="false">IF($D97="","",IF($S97&gt;=$O97,NETWORKDAYS.INTL($O97,$S97,WorkWeek,Holidays)-1,1-NETWORKDAYS.INTL($S97,$O97,WorkWeek,Holidays)))</f>
        <v/>
      </c>
      <c r="U97" s="32"/>
      <c r="V97" s="42" t="str">
        <f aca="true">IF($D97="","",IF($AI97,IFERROR(SUM(OFFSET(hdr_WtDone,$AF97+1,0,$AH97,1))/SUM(OFFSET(hdr_WtDur,$AF97+1,0,$AH97,1)),0),IF(N($Q97)&gt;0,1,MIN(1,N($U97)))))</f>
        <v/>
      </c>
      <c r="W97" s="39" t="str">
        <f aca="false">IF($D97="","",IF($V97&gt;=1,"Complete",IF(OR(N($P97)&gt;0,$V97&gt;0),IF($T97&gt;0,"Behind","In Progress"),IF($N97&lt;StatusDate,"Late Start","Not Started"))))</f>
        <v/>
      </c>
      <c r="X97" s="41"/>
      <c r="Y97" s="32"/>
      <c r="Z97" s="43" t="str">
        <f aca="true">IF($D97="","",IF($AI97,SUMPRODUCT(OFFSET(hdr_Work,$AF97+1,0,$AH97,1),OFFSET(hdr_IsLeaf,$AF97+1,0,$AH97,1)),IF($X97="",0,N($F97)*HoursPerDay*IF($Y97="",DefaultUnits,$Y97))))</f>
        <v/>
      </c>
      <c r="AA97" s="44" t="str">
        <f aca="true">IF($D97="","",IF($AI97,SUMPRODUCT(OFFSET(hdr_Cost,$AF97+1,0,$AH97,1),OFFSET(hdr_IsLeaf,$AF97+1,0,$AH97,1)),$Z97*IFERROR(INDEX(res_Rate,MATCH($X97,res_Name,0)),0)))</f>
        <v/>
      </c>
      <c r="AB97" s="38" t="str">
        <f aca="false">IF(OR($D97="",$AI97),"",IF(OR($R97&lt;Sprint1Start,$R97&gt;SprintLastEnd),"Backlog",INDEX(spr_Name,MATCH($R97,spr_Start,1))))</f>
        <v/>
      </c>
      <c r="AC97" s="45" t="str">
        <f aca="false">IF($D97="","",$AT97&amp;IF(AND($AT97&lt;&gt;"",$AU97&lt;&gt;""),",","")&amp;$AU97)</f>
        <v/>
      </c>
      <c r="AD97" s="41"/>
      <c r="AE97" s="46" t="str">
        <f aca="false">IF($D97="","",MAX(1,N($C97)))</f>
        <v/>
      </c>
      <c r="AF97" s="46" t="n">
        <f aca="false">ROW()-ROW(hdr_ID)</f>
        <v>92</v>
      </c>
      <c r="AG97" s="46" t="n">
        <f aca="false">IF(OR($D97="",$AE97&lt;=1),0,IFERROR(LOOKUP(2,1/($AE$5:$AE96=$AE97-1),ROW($AE$5:$AE96)),0))</f>
        <v>0</v>
      </c>
      <c r="AH97" s="46" t="n">
        <f aca="false">IF($D97="",0,COUNTIF(tsk_WBS,$B97&amp;".*"))</f>
        <v>0</v>
      </c>
      <c r="AI97" s="47" t="b">
        <f aca="false">$AH97&gt;0</f>
        <v>0</v>
      </c>
      <c r="AJ97" s="46" t="n">
        <f aca="false">IF(AND($D97&lt;&gt;"",NOT($AI97)),1,0)</f>
        <v>0</v>
      </c>
      <c r="AK97" s="48" t="n">
        <f aca="true">IF(OR(N($G97)=0,$AI97,$D97=""),0,IFERROR(CHOOSE(MATCH(IF($H97="","FS",$H97),{"FS","SS","FF","SF"},0),WORKDAY.INTL(OFFSET(hdr_PlanFinish,MATCH($G97,tsk_ID,0),0),IF(N($F97)=0,0,1)+N($I97),WorkWeek,Holidays),WORKDAY.INTL(OFFSET(hdr_PlanStart,MATCH($G97,tsk_ID,0),0),N($I97),WorkWeek,Holidays),WORKDAY.INTL(WORKDAY.INTL(OFFSET(hdr_PlanFinish,MATCH($G97,tsk_ID,0),0),N($I97),WorkWeek,Holidays),-MAX(0,N($F97)-1),WorkWeek,Holidays),WORKDAY.INTL(WORKDAY.INTL(OFFSET(hdr_PlanStart,MATCH($G97,tsk_ID,0),0),N($I97),WorkWeek,Holidays),-MAX(0,N($F97)-1),WorkWeek,Holidays)),0))</f>
        <v>0</v>
      </c>
      <c r="AL97" s="48" t="n">
        <f aca="true">IF(OR(N($J97)=0,$AI97,$D97=""),0,IFERROR(CHOOSE(MATCH(IF($K97="","FS",$K97),{"FS","SS","FF","SF"},0),WORKDAY.INTL(OFFSET(hdr_PlanFinish,MATCH($J97,tsk_ID,0),0),IF(N($F97)=0,0,1)+N($L97),WorkWeek,Holidays),WORKDAY.INTL(OFFSET(hdr_PlanStart,MATCH($J97,tsk_ID,0),0),N($L97),WorkWeek,Holidays),WORKDAY.INTL(WORKDAY.INTL(OFFSET(hdr_PlanFinish,MATCH($J97,tsk_ID,0),0),N($L97),WorkWeek,Holidays),-MAX(0,N($F97)-1),WorkWeek,Holidays),WORKDAY.INTL(WORKDAY.INTL(OFFSET(hdr_PlanStart,MATCH($J97,tsk_ID,0),0),N($L97),WorkWeek,Holidays),-MAX(0,N($F97)-1),WorkWeek,Holidays)),0))</f>
        <v>0</v>
      </c>
      <c r="AM97" s="48" t="n">
        <f aca="true">IF(OR(N($G97)=0,$AI97,$D97=""),0,IFERROR(CHOOSE(MATCH(IF($H97="","FS",$H97),{"FS","SS","FF","SF"},0),WORKDAY.INTL(OFFSET(hdr_FcFinish,MATCH($G97,tsk_ID,0),0),IF(N($F97)=0,0,1)+N($I97),WorkWeek,Holidays),WORKDAY.INTL(OFFSET(hdr_FcStart,MATCH($G97,tsk_ID,0),0),N($I97),WorkWeek,Holidays),WORKDAY.INTL(WORKDAY.INTL(OFFSET(hdr_FcFinish,MATCH($G97,tsk_ID,0),0),N($I97),WorkWeek,Holidays),-MAX(0,N($F97)-1),WorkWeek,Holidays),WORKDAY.INTL(WORKDAY.INTL(OFFSET(hdr_FcStart,MATCH($G97,tsk_ID,0),0),N($I97),WorkWeek,Holidays),-MAX(0,N($F97)-1),WorkWeek,Holidays)),0))</f>
        <v>0</v>
      </c>
      <c r="AN97" s="48" t="n">
        <f aca="true">IF(OR(N($J97)=0,$AI97,$D97=""),0,IFERROR(CHOOSE(MATCH(IF($K97="","FS",$K97),{"FS","SS","FF","SF"},0),WORKDAY.INTL(OFFSET(hdr_FcFinish,MATCH($J97,tsk_ID,0),0),IF(N($F97)=0,0,1)+N($L97),WorkWeek,Holidays),WORKDAY.INTL(OFFSET(hdr_FcStart,MATCH($J97,tsk_ID,0),0),N($L97),WorkWeek,Holidays),WORKDAY.INTL(WORKDAY.INTL(OFFSET(hdr_FcFinish,MATCH($J97,tsk_ID,0),0),N($L97),WorkWeek,Holidays),-MAX(0,N($F97)-1),WorkWeek,Holidays),WORKDAY.INTL(WORKDAY.INTL(OFFSET(hdr_FcStart,MATCH($J97,tsk_ID,0),0),N($L97),WorkWeek,Holidays),-MAX(0,N($F97)-1),WorkWeek,Holidays)),0))</f>
        <v>0</v>
      </c>
      <c r="AO97" s="48" t="n">
        <f aca="false">IF($AJ97=1,$R97,0)</f>
        <v>0</v>
      </c>
      <c r="AP97" s="48" t="n">
        <f aca="false">IF($AJ97=1,$S97,0)</f>
        <v>0</v>
      </c>
      <c r="AQ97" s="49" t="n">
        <f aca="false">IF(AND($AJ97=1,N($Z97)&gt;0),$Z97/($AP97-$AO97+1),0)</f>
        <v>0</v>
      </c>
      <c r="AR97" s="46" t="n">
        <f aca="false">IF($AJ97=1,MAX(N($F97),0.1),0)</f>
        <v>0</v>
      </c>
      <c r="AS97" s="46" t="n">
        <f aca="false">IF($AJ97=1,$AR97*$V97,0)</f>
        <v>0</v>
      </c>
      <c r="AT97" s="46" t="str">
        <f aca="false">IF(N($G97)=0,"",$G97&amp;IF(AND(IF($H97="","FS",$H97)="FS",N($I97)=0),"",IF($H97="","FS",$H97)&amp;IF(N($I97)=0,"",IF(N($I97)&gt;0,"+","")&amp;N($I97)&amp;"d")))</f>
        <v/>
      </c>
      <c r="AU97" s="46" t="str">
        <f aca="false">IF(N($J97)=0,"",$J97&amp;IF(AND(IF($K97="","FS",$K97)="FS",N($L97)=0),"",IF($K97="","FS",$K97)&amp;IF(N($L97)=0,"",IF(N($L97)&gt;0,"+","")&amp;N($L97)&amp;"d")))</f>
        <v/>
      </c>
      <c r="AV97" s="46" t="str">
        <f aca="false">IF(AND($AJ97=1,N($F97)=0,$V97&lt;1),$S97+$AF97/100000,"")</f>
        <v/>
      </c>
    </row>
    <row r="98" customFormat="false" ht="15" hidden="false" customHeight="false" outlineLevel="0" collapsed="false">
      <c r="A98" s="38" t="str">
        <f aca="false">IF($D98="","",COUNTA($D$6:$D98))</f>
        <v/>
      </c>
      <c r="B98" s="39" t="str">
        <f aca="true">IF($D98="","",IF($AE98=1,COUNTIF($AE$6:$AE98,1)&amp;"",IF($AG98=0,"?",OFFSET(hdr_WBS,$AG98-ROW(hdr_WBS),0)&amp;"."&amp;COUNTIF(INDEX($AE:$AE,$AG98+1):$AE98,$AE98))))</f>
        <v/>
      </c>
      <c r="C98" s="40"/>
      <c r="D98" s="41"/>
      <c r="E98" s="40"/>
      <c r="F98" s="40"/>
      <c r="G98" s="40"/>
      <c r="H98" s="40"/>
      <c r="I98" s="40"/>
      <c r="J98" s="40"/>
      <c r="K98" s="40"/>
      <c r="L98" s="40"/>
      <c r="M98" s="29"/>
      <c r="N98" s="30" t="str">
        <f aca="true">IF($D98="","",IF($AI98,MIN(OFFSET(hdr_PlanStart,$AF98+1,0,$AH98,1)),IF($E98="Manual",IF(N($M98)&gt;0,$M98,ProjectStart),WORKDAY.INTL(MAX(ProjectStart,N($M98),$AK98,$AL98)-1,1,WorkWeek,Holidays))))</f>
        <v/>
      </c>
      <c r="O98" s="30" t="str">
        <f aca="true">IF($D98="","",IF($AI98,MAX(OFFSET(hdr_PlanFinish,$AF98+1,0,$AH98,1)),IF(N($F98)&lt;=0,$N98,WORKDAY.INTL($N98,$F98-1,WorkWeek,Holidays))))</f>
        <v/>
      </c>
      <c r="P98" s="29"/>
      <c r="Q98" s="29"/>
      <c r="R98" s="30" t="str">
        <f aca="true">IF($D98="","",IF($AI98,MIN(OFFSET(hdr_FcStart,$AF98+1,0,$AH98,1)),IF(N($P98)&gt;0,$P98,IF($E98="Manual",IF(N($M98)&gt;0,$M98,ProjectStart),WORKDAY.INTL(MAX(ProjectStart,N($M98),$AM98,$AN98,IF(RescheduleAfterStatus="Yes",StatusDate,0))-1,1,WorkWeek,Holidays)))))</f>
        <v/>
      </c>
      <c r="S98" s="30" t="str">
        <f aca="true">IF($D98="","",IF($AI98,MAX(OFFSET(hdr_FcFinish,$AF98+1,0,$AH98,1)),IF(N($Q98)&gt;0,$Q98,IF(N($F98)&lt;=0,$R98,IF(AND(N($P98)&gt;0,RescheduleAfterStatus="Yes"),MAX(WORKDAY.INTL($R98,$F98-1,WorkWeek,Holidays),WORKDAY.INTL(StatusWorkday,MAX(0,ROUNDUP($F98*(1-MIN(1,N($U98))),0)-1),WorkWeek,Holidays)),WORKDAY.INTL($R98,$F98-1,WorkWeek,Holidays))))))</f>
        <v/>
      </c>
      <c r="T98" s="38" t="str">
        <f aca="false">IF($D98="","",IF($S98&gt;=$O98,NETWORKDAYS.INTL($O98,$S98,WorkWeek,Holidays)-1,1-NETWORKDAYS.INTL($S98,$O98,WorkWeek,Holidays)))</f>
        <v/>
      </c>
      <c r="U98" s="32"/>
      <c r="V98" s="42" t="str">
        <f aca="true">IF($D98="","",IF($AI98,IFERROR(SUM(OFFSET(hdr_WtDone,$AF98+1,0,$AH98,1))/SUM(OFFSET(hdr_WtDur,$AF98+1,0,$AH98,1)),0),IF(N($Q98)&gt;0,1,MIN(1,N($U98)))))</f>
        <v/>
      </c>
      <c r="W98" s="39" t="str">
        <f aca="false">IF($D98="","",IF($V98&gt;=1,"Complete",IF(OR(N($P98)&gt;0,$V98&gt;0),IF($T98&gt;0,"Behind","In Progress"),IF($N98&lt;StatusDate,"Late Start","Not Started"))))</f>
        <v/>
      </c>
      <c r="X98" s="41"/>
      <c r="Y98" s="32"/>
      <c r="Z98" s="43" t="str">
        <f aca="true">IF($D98="","",IF($AI98,SUMPRODUCT(OFFSET(hdr_Work,$AF98+1,0,$AH98,1),OFFSET(hdr_IsLeaf,$AF98+1,0,$AH98,1)),IF($X98="",0,N($F98)*HoursPerDay*IF($Y98="",DefaultUnits,$Y98))))</f>
        <v/>
      </c>
      <c r="AA98" s="44" t="str">
        <f aca="true">IF($D98="","",IF($AI98,SUMPRODUCT(OFFSET(hdr_Cost,$AF98+1,0,$AH98,1),OFFSET(hdr_IsLeaf,$AF98+1,0,$AH98,1)),$Z98*IFERROR(INDEX(res_Rate,MATCH($X98,res_Name,0)),0)))</f>
        <v/>
      </c>
      <c r="AB98" s="38" t="str">
        <f aca="false">IF(OR($D98="",$AI98),"",IF(OR($R98&lt;Sprint1Start,$R98&gt;SprintLastEnd),"Backlog",INDEX(spr_Name,MATCH($R98,spr_Start,1))))</f>
        <v/>
      </c>
      <c r="AC98" s="45" t="str">
        <f aca="false">IF($D98="","",$AT98&amp;IF(AND($AT98&lt;&gt;"",$AU98&lt;&gt;""),",","")&amp;$AU98)</f>
        <v/>
      </c>
      <c r="AD98" s="41"/>
      <c r="AE98" s="46" t="str">
        <f aca="false">IF($D98="","",MAX(1,N($C98)))</f>
        <v/>
      </c>
      <c r="AF98" s="46" t="n">
        <f aca="false">ROW()-ROW(hdr_ID)</f>
        <v>93</v>
      </c>
      <c r="AG98" s="46" t="n">
        <f aca="false">IF(OR($D98="",$AE98&lt;=1),0,IFERROR(LOOKUP(2,1/($AE$5:$AE97=$AE98-1),ROW($AE$5:$AE97)),0))</f>
        <v>0</v>
      </c>
      <c r="AH98" s="46" t="n">
        <f aca="false">IF($D98="",0,COUNTIF(tsk_WBS,$B98&amp;".*"))</f>
        <v>0</v>
      </c>
      <c r="AI98" s="47" t="b">
        <f aca="false">$AH98&gt;0</f>
        <v>0</v>
      </c>
      <c r="AJ98" s="46" t="n">
        <f aca="false">IF(AND($D98&lt;&gt;"",NOT($AI98)),1,0)</f>
        <v>0</v>
      </c>
      <c r="AK98" s="48" t="n">
        <f aca="true">IF(OR(N($G98)=0,$AI98,$D98=""),0,IFERROR(CHOOSE(MATCH(IF($H98="","FS",$H98),{"FS","SS","FF","SF"},0),WORKDAY.INTL(OFFSET(hdr_PlanFinish,MATCH($G98,tsk_ID,0),0),IF(N($F98)=0,0,1)+N($I98),WorkWeek,Holidays),WORKDAY.INTL(OFFSET(hdr_PlanStart,MATCH($G98,tsk_ID,0),0),N($I98),WorkWeek,Holidays),WORKDAY.INTL(WORKDAY.INTL(OFFSET(hdr_PlanFinish,MATCH($G98,tsk_ID,0),0),N($I98),WorkWeek,Holidays),-MAX(0,N($F98)-1),WorkWeek,Holidays),WORKDAY.INTL(WORKDAY.INTL(OFFSET(hdr_PlanStart,MATCH($G98,tsk_ID,0),0),N($I98),WorkWeek,Holidays),-MAX(0,N($F98)-1),WorkWeek,Holidays)),0))</f>
        <v>0</v>
      </c>
      <c r="AL98" s="48" t="n">
        <f aca="true">IF(OR(N($J98)=0,$AI98,$D98=""),0,IFERROR(CHOOSE(MATCH(IF($K98="","FS",$K98),{"FS","SS","FF","SF"},0),WORKDAY.INTL(OFFSET(hdr_PlanFinish,MATCH($J98,tsk_ID,0),0),IF(N($F98)=0,0,1)+N($L98),WorkWeek,Holidays),WORKDAY.INTL(OFFSET(hdr_PlanStart,MATCH($J98,tsk_ID,0),0),N($L98),WorkWeek,Holidays),WORKDAY.INTL(WORKDAY.INTL(OFFSET(hdr_PlanFinish,MATCH($J98,tsk_ID,0),0),N($L98),WorkWeek,Holidays),-MAX(0,N($F98)-1),WorkWeek,Holidays),WORKDAY.INTL(WORKDAY.INTL(OFFSET(hdr_PlanStart,MATCH($J98,tsk_ID,0),0),N($L98),WorkWeek,Holidays),-MAX(0,N($F98)-1),WorkWeek,Holidays)),0))</f>
        <v>0</v>
      </c>
      <c r="AM98" s="48" t="n">
        <f aca="true">IF(OR(N($G98)=0,$AI98,$D98=""),0,IFERROR(CHOOSE(MATCH(IF($H98="","FS",$H98),{"FS","SS","FF","SF"},0),WORKDAY.INTL(OFFSET(hdr_FcFinish,MATCH($G98,tsk_ID,0),0),IF(N($F98)=0,0,1)+N($I98),WorkWeek,Holidays),WORKDAY.INTL(OFFSET(hdr_FcStart,MATCH($G98,tsk_ID,0),0),N($I98),WorkWeek,Holidays),WORKDAY.INTL(WORKDAY.INTL(OFFSET(hdr_FcFinish,MATCH($G98,tsk_ID,0),0),N($I98),WorkWeek,Holidays),-MAX(0,N($F98)-1),WorkWeek,Holidays),WORKDAY.INTL(WORKDAY.INTL(OFFSET(hdr_FcStart,MATCH($G98,tsk_ID,0),0),N($I98),WorkWeek,Holidays),-MAX(0,N($F98)-1),WorkWeek,Holidays)),0))</f>
        <v>0</v>
      </c>
      <c r="AN98" s="48" t="n">
        <f aca="true">IF(OR(N($J98)=0,$AI98,$D98=""),0,IFERROR(CHOOSE(MATCH(IF($K98="","FS",$K98),{"FS","SS","FF","SF"},0),WORKDAY.INTL(OFFSET(hdr_FcFinish,MATCH($J98,tsk_ID,0),0),IF(N($F98)=0,0,1)+N($L98),WorkWeek,Holidays),WORKDAY.INTL(OFFSET(hdr_FcStart,MATCH($J98,tsk_ID,0),0),N($L98),WorkWeek,Holidays),WORKDAY.INTL(WORKDAY.INTL(OFFSET(hdr_FcFinish,MATCH($J98,tsk_ID,0),0),N($L98),WorkWeek,Holidays),-MAX(0,N($F98)-1),WorkWeek,Holidays),WORKDAY.INTL(WORKDAY.INTL(OFFSET(hdr_FcStart,MATCH($J98,tsk_ID,0),0),N($L98),WorkWeek,Holidays),-MAX(0,N($F98)-1),WorkWeek,Holidays)),0))</f>
        <v>0</v>
      </c>
      <c r="AO98" s="48" t="n">
        <f aca="false">IF($AJ98=1,$R98,0)</f>
        <v>0</v>
      </c>
      <c r="AP98" s="48" t="n">
        <f aca="false">IF($AJ98=1,$S98,0)</f>
        <v>0</v>
      </c>
      <c r="AQ98" s="49" t="n">
        <f aca="false">IF(AND($AJ98=1,N($Z98)&gt;0),$Z98/($AP98-$AO98+1),0)</f>
        <v>0</v>
      </c>
      <c r="AR98" s="46" t="n">
        <f aca="false">IF($AJ98=1,MAX(N($F98),0.1),0)</f>
        <v>0</v>
      </c>
      <c r="AS98" s="46" t="n">
        <f aca="false">IF($AJ98=1,$AR98*$V98,0)</f>
        <v>0</v>
      </c>
      <c r="AT98" s="46" t="str">
        <f aca="false">IF(N($G98)=0,"",$G98&amp;IF(AND(IF($H98="","FS",$H98)="FS",N($I98)=0),"",IF($H98="","FS",$H98)&amp;IF(N($I98)=0,"",IF(N($I98)&gt;0,"+","")&amp;N($I98)&amp;"d")))</f>
        <v/>
      </c>
      <c r="AU98" s="46" t="str">
        <f aca="false">IF(N($J98)=0,"",$J98&amp;IF(AND(IF($K98="","FS",$K98)="FS",N($L98)=0),"",IF($K98="","FS",$K98)&amp;IF(N($L98)=0,"",IF(N($L98)&gt;0,"+","")&amp;N($L98)&amp;"d")))</f>
        <v/>
      </c>
      <c r="AV98" s="46" t="str">
        <f aca="false">IF(AND($AJ98=1,N($F98)=0,$V98&lt;1),$S98+$AF98/100000,"")</f>
        <v/>
      </c>
    </row>
    <row r="99" customFormat="false" ht="15" hidden="false" customHeight="false" outlineLevel="0" collapsed="false">
      <c r="A99" s="38" t="str">
        <f aca="false">IF($D99="","",COUNTA($D$6:$D99))</f>
        <v/>
      </c>
      <c r="B99" s="39" t="str">
        <f aca="true">IF($D99="","",IF($AE99=1,COUNTIF($AE$6:$AE99,1)&amp;"",IF($AG99=0,"?",OFFSET(hdr_WBS,$AG99-ROW(hdr_WBS),0)&amp;"."&amp;COUNTIF(INDEX($AE:$AE,$AG99+1):$AE99,$AE99))))</f>
        <v/>
      </c>
      <c r="C99" s="40"/>
      <c r="D99" s="41"/>
      <c r="E99" s="40"/>
      <c r="F99" s="40"/>
      <c r="G99" s="40"/>
      <c r="H99" s="40"/>
      <c r="I99" s="40"/>
      <c r="J99" s="40"/>
      <c r="K99" s="40"/>
      <c r="L99" s="40"/>
      <c r="M99" s="29"/>
      <c r="N99" s="30" t="str">
        <f aca="true">IF($D99="","",IF($AI99,MIN(OFFSET(hdr_PlanStart,$AF99+1,0,$AH99,1)),IF($E99="Manual",IF(N($M99)&gt;0,$M99,ProjectStart),WORKDAY.INTL(MAX(ProjectStart,N($M99),$AK99,$AL99)-1,1,WorkWeek,Holidays))))</f>
        <v/>
      </c>
      <c r="O99" s="30" t="str">
        <f aca="true">IF($D99="","",IF($AI99,MAX(OFFSET(hdr_PlanFinish,$AF99+1,0,$AH99,1)),IF(N($F99)&lt;=0,$N99,WORKDAY.INTL($N99,$F99-1,WorkWeek,Holidays))))</f>
        <v/>
      </c>
      <c r="P99" s="29"/>
      <c r="Q99" s="29"/>
      <c r="R99" s="30" t="str">
        <f aca="true">IF($D99="","",IF($AI99,MIN(OFFSET(hdr_FcStart,$AF99+1,0,$AH99,1)),IF(N($P99)&gt;0,$P99,IF($E99="Manual",IF(N($M99)&gt;0,$M99,ProjectStart),WORKDAY.INTL(MAX(ProjectStart,N($M99),$AM99,$AN99,IF(RescheduleAfterStatus="Yes",StatusDate,0))-1,1,WorkWeek,Holidays)))))</f>
        <v/>
      </c>
      <c r="S99" s="30" t="str">
        <f aca="true">IF($D99="","",IF($AI99,MAX(OFFSET(hdr_FcFinish,$AF99+1,0,$AH99,1)),IF(N($Q99)&gt;0,$Q99,IF(N($F99)&lt;=0,$R99,IF(AND(N($P99)&gt;0,RescheduleAfterStatus="Yes"),MAX(WORKDAY.INTL($R99,$F99-1,WorkWeek,Holidays),WORKDAY.INTL(StatusWorkday,MAX(0,ROUNDUP($F99*(1-MIN(1,N($U99))),0)-1),WorkWeek,Holidays)),WORKDAY.INTL($R99,$F99-1,WorkWeek,Holidays))))))</f>
        <v/>
      </c>
      <c r="T99" s="38" t="str">
        <f aca="false">IF($D99="","",IF($S99&gt;=$O99,NETWORKDAYS.INTL($O99,$S99,WorkWeek,Holidays)-1,1-NETWORKDAYS.INTL($S99,$O99,WorkWeek,Holidays)))</f>
        <v/>
      </c>
      <c r="U99" s="32"/>
      <c r="V99" s="42" t="str">
        <f aca="true">IF($D99="","",IF($AI99,IFERROR(SUM(OFFSET(hdr_WtDone,$AF99+1,0,$AH99,1))/SUM(OFFSET(hdr_WtDur,$AF99+1,0,$AH99,1)),0),IF(N($Q99)&gt;0,1,MIN(1,N($U99)))))</f>
        <v/>
      </c>
      <c r="W99" s="39" t="str">
        <f aca="false">IF($D99="","",IF($V99&gt;=1,"Complete",IF(OR(N($P99)&gt;0,$V99&gt;0),IF($T99&gt;0,"Behind","In Progress"),IF($N99&lt;StatusDate,"Late Start","Not Started"))))</f>
        <v/>
      </c>
      <c r="X99" s="41"/>
      <c r="Y99" s="32"/>
      <c r="Z99" s="43" t="str">
        <f aca="true">IF($D99="","",IF($AI99,SUMPRODUCT(OFFSET(hdr_Work,$AF99+1,0,$AH99,1),OFFSET(hdr_IsLeaf,$AF99+1,0,$AH99,1)),IF($X99="",0,N($F99)*HoursPerDay*IF($Y99="",DefaultUnits,$Y99))))</f>
        <v/>
      </c>
      <c r="AA99" s="44" t="str">
        <f aca="true">IF($D99="","",IF($AI99,SUMPRODUCT(OFFSET(hdr_Cost,$AF99+1,0,$AH99,1),OFFSET(hdr_IsLeaf,$AF99+1,0,$AH99,1)),$Z99*IFERROR(INDEX(res_Rate,MATCH($X99,res_Name,0)),0)))</f>
        <v/>
      </c>
      <c r="AB99" s="38" t="str">
        <f aca="false">IF(OR($D99="",$AI99),"",IF(OR($R99&lt;Sprint1Start,$R99&gt;SprintLastEnd),"Backlog",INDEX(spr_Name,MATCH($R99,spr_Start,1))))</f>
        <v/>
      </c>
      <c r="AC99" s="45" t="str">
        <f aca="false">IF($D99="","",$AT99&amp;IF(AND($AT99&lt;&gt;"",$AU99&lt;&gt;""),",","")&amp;$AU99)</f>
        <v/>
      </c>
      <c r="AD99" s="41"/>
      <c r="AE99" s="46" t="str">
        <f aca="false">IF($D99="","",MAX(1,N($C99)))</f>
        <v/>
      </c>
      <c r="AF99" s="46" t="n">
        <f aca="false">ROW()-ROW(hdr_ID)</f>
        <v>94</v>
      </c>
      <c r="AG99" s="46" t="n">
        <f aca="false">IF(OR($D99="",$AE99&lt;=1),0,IFERROR(LOOKUP(2,1/($AE$5:$AE98=$AE99-1),ROW($AE$5:$AE98)),0))</f>
        <v>0</v>
      </c>
      <c r="AH99" s="46" t="n">
        <f aca="false">IF($D99="",0,COUNTIF(tsk_WBS,$B99&amp;".*"))</f>
        <v>0</v>
      </c>
      <c r="AI99" s="47" t="b">
        <f aca="false">$AH99&gt;0</f>
        <v>0</v>
      </c>
      <c r="AJ99" s="46" t="n">
        <f aca="false">IF(AND($D99&lt;&gt;"",NOT($AI99)),1,0)</f>
        <v>0</v>
      </c>
      <c r="AK99" s="48" t="n">
        <f aca="true">IF(OR(N($G99)=0,$AI99,$D99=""),0,IFERROR(CHOOSE(MATCH(IF($H99="","FS",$H99),{"FS","SS","FF","SF"},0),WORKDAY.INTL(OFFSET(hdr_PlanFinish,MATCH($G99,tsk_ID,0),0),IF(N($F99)=0,0,1)+N($I99),WorkWeek,Holidays),WORKDAY.INTL(OFFSET(hdr_PlanStart,MATCH($G99,tsk_ID,0),0),N($I99),WorkWeek,Holidays),WORKDAY.INTL(WORKDAY.INTL(OFFSET(hdr_PlanFinish,MATCH($G99,tsk_ID,0),0),N($I99),WorkWeek,Holidays),-MAX(0,N($F99)-1),WorkWeek,Holidays),WORKDAY.INTL(WORKDAY.INTL(OFFSET(hdr_PlanStart,MATCH($G99,tsk_ID,0),0),N($I99),WorkWeek,Holidays),-MAX(0,N($F99)-1),WorkWeek,Holidays)),0))</f>
        <v>0</v>
      </c>
      <c r="AL99" s="48" t="n">
        <f aca="true">IF(OR(N($J99)=0,$AI99,$D99=""),0,IFERROR(CHOOSE(MATCH(IF($K99="","FS",$K99),{"FS","SS","FF","SF"},0),WORKDAY.INTL(OFFSET(hdr_PlanFinish,MATCH($J99,tsk_ID,0),0),IF(N($F99)=0,0,1)+N($L99),WorkWeek,Holidays),WORKDAY.INTL(OFFSET(hdr_PlanStart,MATCH($J99,tsk_ID,0),0),N($L99),WorkWeek,Holidays),WORKDAY.INTL(WORKDAY.INTL(OFFSET(hdr_PlanFinish,MATCH($J99,tsk_ID,0),0),N($L99),WorkWeek,Holidays),-MAX(0,N($F99)-1),WorkWeek,Holidays),WORKDAY.INTL(WORKDAY.INTL(OFFSET(hdr_PlanStart,MATCH($J99,tsk_ID,0),0),N($L99),WorkWeek,Holidays),-MAX(0,N($F99)-1),WorkWeek,Holidays)),0))</f>
        <v>0</v>
      </c>
      <c r="AM99" s="48" t="n">
        <f aca="true">IF(OR(N($G99)=0,$AI99,$D99=""),0,IFERROR(CHOOSE(MATCH(IF($H99="","FS",$H99),{"FS","SS","FF","SF"},0),WORKDAY.INTL(OFFSET(hdr_FcFinish,MATCH($G99,tsk_ID,0),0),IF(N($F99)=0,0,1)+N($I99),WorkWeek,Holidays),WORKDAY.INTL(OFFSET(hdr_FcStart,MATCH($G99,tsk_ID,0),0),N($I99),WorkWeek,Holidays),WORKDAY.INTL(WORKDAY.INTL(OFFSET(hdr_FcFinish,MATCH($G99,tsk_ID,0),0),N($I99),WorkWeek,Holidays),-MAX(0,N($F99)-1),WorkWeek,Holidays),WORKDAY.INTL(WORKDAY.INTL(OFFSET(hdr_FcStart,MATCH($G99,tsk_ID,0),0),N($I99),WorkWeek,Holidays),-MAX(0,N($F99)-1),WorkWeek,Holidays)),0))</f>
        <v>0</v>
      </c>
      <c r="AN99" s="48" t="n">
        <f aca="true">IF(OR(N($J99)=0,$AI99,$D99=""),0,IFERROR(CHOOSE(MATCH(IF($K99="","FS",$K99),{"FS","SS","FF","SF"},0),WORKDAY.INTL(OFFSET(hdr_FcFinish,MATCH($J99,tsk_ID,0),0),IF(N($F99)=0,0,1)+N($L99),WorkWeek,Holidays),WORKDAY.INTL(OFFSET(hdr_FcStart,MATCH($J99,tsk_ID,0),0),N($L99),WorkWeek,Holidays),WORKDAY.INTL(WORKDAY.INTL(OFFSET(hdr_FcFinish,MATCH($J99,tsk_ID,0),0),N($L99),WorkWeek,Holidays),-MAX(0,N($F99)-1),WorkWeek,Holidays),WORKDAY.INTL(WORKDAY.INTL(OFFSET(hdr_FcStart,MATCH($J99,tsk_ID,0),0),N($L99),WorkWeek,Holidays),-MAX(0,N($F99)-1),WorkWeek,Holidays)),0))</f>
        <v>0</v>
      </c>
      <c r="AO99" s="48" t="n">
        <f aca="false">IF($AJ99=1,$R99,0)</f>
        <v>0</v>
      </c>
      <c r="AP99" s="48" t="n">
        <f aca="false">IF($AJ99=1,$S99,0)</f>
        <v>0</v>
      </c>
      <c r="AQ99" s="49" t="n">
        <f aca="false">IF(AND($AJ99=1,N($Z99)&gt;0),$Z99/($AP99-$AO99+1),0)</f>
        <v>0</v>
      </c>
      <c r="AR99" s="46" t="n">
        <f aca="false">IF($AJ99=1,MAX(N($F99),0.1),0)</f>
        <v>0</v>
      </c>
      <c r="AS99" s="46" t="n">
        <f aca="false">IF($AJ99=1,$AR99*$V99,0)</f>
        <v>0</v>
      </c>
      <c r="AT99" s="46" t="str">
        <f aca="false">IF(N($G99)=0,"",$G99&amp;IF(AND(IF($H99="","FS",$H99)="FS",N($I99)=0),"",IF($H99="","FS",$H99)&amp;IF(N($I99)=0,"",IF(N($I99)&gt;0,"+","")&amp;N($I99)&amp;"d")))</f>
        <v/>
      </c>
      <c r="AU99" s="46" t="str">
        <f aca="false">IF(N($J99)=0,"",$J99&amp;IF(AND(IF($K99="","FS",$K99)="FS",N($L99)=0),"",IF($K99="","FS",$K99)&amp;IF(N($L99)=0,"",IF(N($L99)&gt;0,"+","")&amp;N($L99)&amp;"d")))</f>
        <v/>
      </c>
      <c r="AV99" s="46" t="str">
        <f aca="false">IF(AND($AJ99=1,N($F99)=0,$V99&lt;1),$S99+$AF99/100000,"")</f>
        <v/>
      </c>
    </row>
    <row r="100" customFormat="false" ht="15" hidden="false" customHeight="false" outlineLevel="0" collapsed="false">
      <c r="A100" s="38" t="str">
        <f aca="false">IF($D100="","",COUNTA($D$6:$D100))</f>
        <v/>
      </c>
      <c r="B100" s="39" t="str">
        <f aca="true">IF($D100="","",IF($AE100=1,COUNTIF($AE$6:$AE100,1)&amp;"",IF($AG100=0,"?",OFFSET(hdr_WBS,$AG100-ROW(hdr_WBS),0)&amp;"."&amp;COUNTIF(INDEX($AE:$AE,$AG100+1):$AE100,$AE100))))</f>
        <v/>
      </c>
      <c r="C100" s="40"/>
      <c r="D100" s="41"/>
      <c r="E100" s="40"/>
      <c r="F100" s="40"/>
      <c r="G100" s="40"/>
      <c r="H100" s="40"/>
      <c r="I100" s="40"/>
      <c r="J100" s="40"/>
      <c r="K100" s="40"/>
      <c r="L100" s="40"/>
      <c r="M100" s="29"/>
      <c r="N100" s="30" t="str">
        <f aca="true">IF($D100="","",IF($AI100,MIN(OFFSET(hdr_PlanStart,$AF100+1,0,$AH100,1)),IF($E100="Manual",IF(N($M100)&gt;0,$M100,ProjectStart),WORKDAY.INTL(MAX(ProjectStart,N($M100),$AK100,$AL100)-1,1,WorkWeek,Holidays))))</f>
        <v/>
      </c>
      <c r="O100" s="30" t="str">
        <f aca="true">IF($D100="","",IF($AI100,MAX(OFFSET(hdr_PlanFinish,$AF100+1,0,$AH100,1)),IF(N($F100)&lt;=0,$N100,WORKDAY.INTL($N100,$F100-1,WorkWeek,Holidays))))</f>
        <v/>
      </c>
      <c r="P100" s="29"/>
      <c r="Q100" s="29"/>
      <c r="R100" s="30" t="str">
        <f aca="true">IF($D100="","",IF($AI100,MIN(OFFSET(hdr_FcStart,$AF100+1,0,$AH100,1)),IF(N($P100)&gt;0,$P100,IF($E100="Manual",IF(N($M100)&gt;0,$M100,ProjectStart),WORKDAY.INTL(MAX(ProjectStart,N($M100),$AM100,$AN100,IF(RescheduleAfterStatus="Yes",StatusDate,0))-1,1,WorkWeek,Holidays)))))</f>
        <v/>
      </c>
      <c r="S100" s="30" t="str">
        <f aca="true">IF($D100="","",IF($AI100,MAX(OFFSET(hdr_FcFinish,$AF100+1,0,$AH100,1)),IF(N($Q100)&gt;0,$Q100,IF(N($F100)&lt;=0,$R100,IF(AND(N($P100)&gt;0,RescheduleAfterStatus="Yes"),MAX(WORKDAY.INTL($R100,$F100-1,WorkWeek,Holidays),WORKDAY.INTL(StatusWorkday,MAX(0,ROUNDUP($F100*(1-MIN(1,N($U100))),0)-1),WorkWeek,Holidays)),WORKDAY.INTL($R100,$F100-1,WorkWeek,Holidays))))))</f>
        <v/>
      </c>
      <c r="T100" s="38" t="str">
        <f aca="false">IF($D100="","",IF($S100&gt;=$O100,NETWORKDAYS.INTL($O100,$S100,WorkWeek,Holidays)-1,1-NETWORKDAYS.INTL($S100,$O100,WorkWeek,Holidays)))</f>
        <v/>
      </c>
      <c r="U100" s="32"/>
      <c r="V100" s="42" t="str">
        <f aca="true">IF($D100="","",IF($AI100,IFERROR(SUM(OFFSET(hdr_WtDone,$AF100+1,0,$AH100,1))/SUM(OFFSET(hdr_WtDur,$AF100+1,0,$AH100,1)),0),IF(N($Q100)&gt;0,1,MIN(1,N($U100)))))</f>
        <v/>
      </c>
      <c r="W100" s="39" t="str">
        <f aca="false">IF($D100="","",IF($V100&gt;=1,"Complete",IF(OR(N($P100)&gt;0,$V100&gt;0),IF($T100&gt;0,"Behind","In Progress"),IF($N100&lt;StatusDate,"Late Start","Not Started"))))</f>
        <v/>
      </c>
      <c r="X100" s="41"/>
      <c r="Y100" s="32"/>
      <c r="Z100" s="43" t="str">
        <f aca="true">IF($D100="","",IF($AI100,SUMPRODUCT(OFFSET(hdr_Work,$AF100+1,0,$AH100,1),OFFSET(hdr_IsLeaf,$AF100+1,0,$AH100,1)),IF($X100="",0,N($F100)*HoursPerDay*IF($Y100="",DefaultUnits,$Y100))))</f>
        <v/>
      </c>
      <c r="AA100" s="44" t="str">
        <f aca="true">IF($D100="","",IF($AI100,SUMPRODUCT(OFFSET(hdr_Cost,$AF100+1,0,$AH100,1),OFFSET(hdr_IsLeaf,$AF100+1,0,$AH100,1)),$Z100*IFERROR(INDEX(res_Rate,MATCH($X100,res_Name,0)),0)))</f>
        <v/>
      </c>
      <c r="AB100" s="38" t="str">
        <f aca="false">IF(OR($D100="",$AI100),"",IF(OR($R100&lt;Sprint1Start,$R100&gt;SprintLastEnd),"Backlog",INDEX(spr_Name,MATCH($R100,spr_Start,1))))</f>
        <v/>
      </c>
      <c r="AC100" s="45" t="str">
        <f aca="false">IF($D100="","",$AT100&amp;IF(AND($AT100&lt;&gt;"",$AU100&lt;&gt;""),",","")&amp;$AU100)</f>
        <v/>
      </c>
      <c r="AD100" s="41"/>
      <c r="AE100" s="46" t="str">
        <f aca="false">IF($D100="","",MAX(1,N($C100)))</f>
        <v/>
      </c>
      <c r="AF100" s="46" t="n">
        <f aca="false">ROW()-ROW(hdr_ID)</f>
        <v>95</v>
      </c>
      <c r="AG100" s="46" t="n">
        <f aca="false">IF(OR($D100="",$AE100&lt;=1),0,IFERROR(LOOKUP(2,1/($AE$5:$AE99=$AE100-1),ROW($AE$5:$AE99)),0))</f>
        <v>0</v>
      </c>
      <c r="AH100" s="46" t="n">
        <f aca="false">IF($D100="",0,COUNTIF(tsk_WBS,$B100&amp;".*"))</f>
        <v>0</v>
      </c>
      <c r="AI100" s="47" t="b">
        <f aca="false">$AH100&gt;0</f>
        <v>0</v>
      </c>
      <c r="AJ100" s="46" t="n">
        <f aca="false">IF(AND($D100&lt;&gt;"",NOT($AI100)),1,0)</f>
        <v>0</v>
      </c>
      <c r="AK100" s="48" t="n">
        <f aca="true">IF(OR(N($G100)=0,$AI100,$D100=""),0,IFERROR(CHOOSE(MATCH(IF($H100="","FS",$H100),{"FS","SS","FF","SF"},0),WORKDAY.INTL(OFFSET(hdr_PlanFinish,MATCH($G100,tsk_ID,0),0),IF(N($F100)=0,0,1)+N($I100),WorkWeek,Holidays),WORKDAY.INTL(OFFSET(hdr_PlanStart,MATCH($G100,tsk_ID,0),0),N($I100),WorkWeek,Holidays),WORKDAY.INTL(WORKDAY.INTL(OFFSET(hdr_PlanFinish,MATCH($G100,tsk_ID,0),0),N($I100),WorkWeek,Holidays),-MAX(0,N($F100)-1),WorkWeek,Holidays),WORKDAY.INTL(WORKDAY.INTL(OFFSET(hdr_PlanStart,MATCH($G100,tsk_ID,0),0),N($I100),WorkWeek,Holidays),-MAX(0,N($F100)-1),WorkWeek,Holidays)),0))</f>
        <v>0</v>
      </c>
      <c r="AL100" s="48" t="n">
        <f aca="true">IF(OR(N($J100)=0,$AI100,$D100=""),0,IFERROR(CHOOSE(MATCH(IF($K100="","FS",$K100),{"FS","SS","FF","SF"},0),WORKDAY.INTL(OFFSET(hdr_PlanFinish,MATCH($J100,tsk_ID,0),0),IF(N($F100)=0,0,1)+N($L100),WorkWeek,Holidays),WORKDAY.INTL(OFFSET(hdr_PlanStart,MATCH($J100,tsk_ID,0),0),N($L100),WorkWeek,Holidays),WORKDAY.INTL(WORKDAY.INTL(OFFSET(hdr_PlanFinish,MATCH($J100,tsk_ID,0),0),N($L100),WorkWeek,Holidays),-MAX(0,N($F100)-1),WorkWeek,Holidays),WORKDAY.INTL(WORKDAY.INTL(OFFSET(hdr_PlanStart,MATCH($J100,tsk_ID,0),0),N($L100),WorkWeek,Holidays),-MAX(0,N($F100)-1),WorkWeek,Holidays)),0))</f>
        <v>0</v>
      </c>
      <c r="AM100" s="48" t="n">
        <f aca="true">IF(OR(N($G100)=0,$AI100,$D100=""),0,IFERROR(CHOOSE(MATCH(IF($H100="","FS",$H100),{"FS","SS","FF","SF"},0),WORKDAY.INTL(OFFSET(hdr_FcFinish,MATCH($G100,tsk_ID,0),0),IF(N($F100)=0,0,1)+N($I100),WorkWeek,Holidays),WORKDAY.INTL(OFFSET(hdr_FcStart,MATCH($G100,tsk_ID,0),0),N($I100),WorkWeek,Holidays),WORKDAY.INTL(WORKDAY.INTL(OFFSET(hdr_FcFinish,MATCH($G100,tsk_ID,0),0),N($I100),WorkWeek,Holidays),-MAX(0,N($F100)-1),WorkWeek,Holidays),WORKDAY.INTL(WORKDAY.INTL(OFFSET(hdr_FcStart,MATCH($G100,tsk_ID,0),0),N($I100),WorkWeek,Holidays),-MAX(0,N($F100)-1),WorkWeek,Holidays)),0))</f>
        <v>0</v>
      </c>
      <c r="AN100" s="48" t="n">
        <f aca="true">IF(OR(N($J100)=0,$AI100,$D100=""),0,IFERROR(CHOOSE(MATCH(IF($K100="","FS",$K100),{"FS","SS","FF","SF"},0),WORKDAY.INTL(OFFSET(hdr_FcFinish,MATCH($J100,tsk_ID,0),0),IF(N($F100)=0,0,1)+N($L100),WorkWeek,Holidays),WORKDAY.INTL(OFFSET(hdr_FcStart,MATCH($J100,tsk_ID,0),0),N($L100),WorkWeek,Holidays),WORKDAY.INTL(WORKDAY.INTL(OFFSET(hdr_FcFinish,MATCH($J100,tsk_ID,0),0),N($L100),WorkWeek,Holidays),-MAX(0,N($F100)-1),WorkWeek,Holidays),WORKDAY.INTL(WORKDAY.INTL(OFFSET(hdr_FcStart,MATCH($J100,tsk_ID,0),0),N($L100),WorkWeek,Holidays),-MAX(0,N($F100)-1),WorkWeek,Holidays)),0))</f>
        <v>0</v>
      </c>
      <c r="AO100" s="48" t="n">
        <f aca="false">IF($AJ100=1,$R100,0)</f>
        <v>0</v>
      </c>
      <c r="AP100" s="48" t="n">
        <f aca="false">IF($AJ100=1,$S100,0)</f>
        <v>0</v>
      </c>
      <c r="AQ100" s="49" t="n">
        <f aca="false">IF(AND($AJ100=1,N($Z100)&gt;0),$Z100/($AP100-$AO100+1),0)</f>
        <v>0</v>
      </c>
      <c r="AR100" s="46" t="n">
        <f aca="false">IF($AJ100=1,MAX(N($F100),0.1),0)</f>
        <v>0</v>
      </c>
      <c r="AS100" s="46" t="n">
        <f aca="false">IF($AJ100=1,$AR100*$V100,0)</f>
        <v>0</v>
      </c>
      <c r="AT100" s="46" t="str">
        <f aca="false">IF(N($G100)=0,"",$G100&amp;IF(AND(IF($H100="","FS",$H100)="FS",N($I100)=0),"",IF($H100="","FS",$H100)&amp;IF(N($I100)=0,"",IF(N($I100)&gt;0,"+","")&amp;N($I100)&amp;"d")))</f>
        <v/>
      </c>
      <c r="AU100" s="46" t="str">
        <f aca="false">IF(N($J100)=0,"",$J100&amp;IF(AND(IF($K100="","FS",$K100)="FS",N($L100)=0),"",IF($K100="","FS",$K100)&amp;IF(N($L100)=0,"",IF(N($L100)&gt;0,"+","")&amp;N($L100)&amp;"d")))</f>
        <v/>
      </c>
      <c r="AV100" s="46" t="str">
        <f aca="false">IF(AND($AJ100=1,N($F100)=0,$V100&lt;1),$S100+$AF100/100000,"")</f>
        <v/>
      </c>
    </row>
    <row r="101" customFormat="false" ht="15" hidden="false" customHeight="false" outlineLevel="0" collapsed="false">
      <c r="A101" s="38" t="str">
        <f aca="false">IF($D101="","",COUNTA($D$6:$D101))</f>
        <v/>
      </c>
      <c r="B101" s="39" t="str">
        <f aca="true">IF($D101="","",IF($AE101=1,COUNTIF($AE$6:$AE101,1)&amp;"",IF($AG101=0,"?",OFFSET(hdr_WBS,$AG101-ROW(hdr_WBS),0)&amp;"."&amp;COUNTIF(INDEX($AE:$AE,$AG101+1):$AE101,$AE101))))</f>
        <v/>
      </c>
      <c r="C101" s="40"/>
      <c r="D101" s="41"/>
      <c r="E101" s="40"/>
      <c r="F101" s="40"/>
      <c r="G101" s="40"/>
      <c r="H101" s="40"/>
      <c r="I101" s="40"/>
      <c r="J101" s="40"/>
      <c r="K101" s="40"/>
      <c r="L101" s="40"/>
      <c r="M101" s="29"/>
      <c r="N101" s="30" t="str">
        <f aca="true">IF($D101="","",IF($AI101,MIN(OFFSET(hdr_PlanStart,$AF101+1,0,$AH101,1)),IF($E101="Manual",IF(N($M101)&gt;0,$M101,ProjectStart),WORKDAY.INTL(MAX(ProjectStart,N($M101),$AK101,$AL101)-1,1,WorkWeek,Holidays))))</f>
        <v/>
      </c>
      <c r="O101" s="30" t="str">
        <f aca="true">IF($D101="","",IF($AI101,MAX(OFFSET(hdr_PlanFinish,$AF101+1,0,$AH101,1)),IF(N($F101)&lt;=0,$N101,WORKDAY.INTL($N101,$F101-1,WorkWeek,Holidays))))</f>
        <v/>
      </c>
      <c r="P101" s="29"/>
      <c r="Q101" s="29"/>
      <c r="R101" s="30" t="str">
        <f aca="true">IF($D101="","",IF($AI101,MIN(OFFSET(hdr_FcStart,$AF101+1,0,$AH101,1)),IF(N($P101)&gt;0,$P101,IF($E101="Manual",IF(N($M101)&gt;0,$M101,ProjectStart),WORKDAY.INTL(MAX(ProjectStart,N($M101),$AM101,$AN101,IF(RescheduleAfterStatus="Yes",StatusDate,0))-1,1,WorkWeek,Holidays)))))</f>
        <v/>
      </c>
      <c r="S101" s="30" t="str">
        <f aca="true">IF($D101="","",IF($AI101,MAX(OFFSET(hdr_FcFinish,$AF101+1,0,$AH101,1)),IF(N($Q101)&gt;0,$Q101,IF(N($F101)&lt;=0,$R101,IF(AND(N($P101)&gt;0,RescheduleAfterStatus="Yes"),MAX(WORKDAY.INTL($R101,$F101-1,WorkWeek,Holidays),WORKDAY.INTL(StatusWorkday,MAX(0,ROUNDUP($F101*(1-MIN(1,N($U101))),0)-1),WorkWeek,Holidays)),WORKDAY.INTL($R101,$F101-1,WorkWeek,Holidays))))))</f>
        <v/>
      </c>
      <c r="T101" s="38" t="str">
        <f aca="false">IF($D101="","",IF($S101&gt;=$O101,NETWORKDAYS.INTL($O101,$S101,WorkWeek,Holidays)-1,1-NETWORKDAYS.INTL($S101,$O101,WorkWeek,Holidays)))</f>
        <v/>
      </c>
      <c r="U101" s="32"/>
      <c r="V101" s="42" t="str">
        <f aca="true">IF($D101="","",IF($AI101,IFERROR(SUM(OFFSET(hdr_WtDone,$AF101+1,0,$AH101,1))/SUM(OFFSET(hdr_WtDur,$AF101+1,0,$AH101,1)),0),IF(N($Q101)&gt;0,1,MIN(1,N($U101)))))</f>
        <v/>
      </c>
      <c r="W101" s="39" t="str">
        <f aca="false">IF($D101="","",IF($V101&gt;=1,"Complete",IF(OR(N($P101)&gt;0,$V101&gt;0),IF($T101&gt;0,"Behind","In Progress"),IF($N101&lt;StatusDate,"Late Start","Not Started"))))</f>
        <v/>
      </c>
      <c r="X101" s="41"/>
      <c r="Y101" s="32"/>
      <c r="Z101" s="43" t="str">
        <f aca="true">IF($D101="","",IF($AI101,SUMPRODUCT(OFFSET(hdr_Work,$AF101+1,0,$AH101,1),OFFSET(hdr_IsLeaf,$AF101+1,0,$AH101,1)),IF($X101="",0,N($F101)*HoursPerDay*IF($Y101="",DefaultUnits,$Y101))))</f>
        <v/>
      </c>
      <c r="AA101" s="44" t="str">
        <f aca="true">IF($D101="","",IF($AI101,SUMPRODUCT(OFFSET(hdr_Cost,$AF101+1,0,$AH101,1),OFFSET(hdr_IsLeaf,$AF101+1,0,$AH101,1)),$Z101*IFERROR(INDEX(res_Rate,MATCH($X101,res_Name,0)),0)))</f>
        <v/>
      </c>
      <c r="AB101" s="38" t="str">
        <f aca="false">IF(OR($D101="",$AI101),"",IF(OR($R101&lt;Sprint1Start,$R101&gt;SprintLastEnd),"Backlog",INDEX(spr_Name,MATCH($R101,spr_Start,1))))</f>
        <v/>
      </c>
      <c r="AC101" s="45" t="str">
        <f aca="false">IF($D101="","",$AT101&amp;IF(AND($AT101&lt;&gt;"",$AU101&lt;&gt;""),",","")&amp;$AU101)</f>
        <v/>
      </c>
      <c r="AD101" s="41"/>
      <c r="AE101" s="46" t="str">
        <f aca="false">IF($D101="","",MAX(1,N($C101)))</f>
        <v/>
      </c>
      <c r="AF101" s="46" t="n">
        <f aca="false">ROW()-ROW(hdr_ID)</f>
        <v>96</v>
      </c>
      <c r="AG101" s="46" t="n">
        <f aca="false">IF(OR($D101="",$AE101&lt;=1),0,IFERROR(LOOKUP(2,1/($AE$5:$AE100=$AE101-1),ROW($AE$5:$AE100)),0))</f>
        <v>0</v>
      </c>
      <c r="AH101" s="46" t="n">
        <f aca="false">IF($D101="",0,COUNTIF(tsk_WBS,$B101&amp;".*"))</f>
        <v>0</v>
      </c>
      <c r="AI101" s="47" t="b">
        <f aca="false">$AH101&gt;0</f>
        <v>0</v>
      </c>
      <c r="AJ101" s="46" t="n">
        <f aca="false">IF(AND($D101&lt;&gt;"",NOT($AI101)),1,0)</f>
        <v>0</v>
      </c>
      <c r="AK101" s="48" t="n">
        <f aca="true">IF(OR(N($G101)=0,$AI101,$D101=""),0,IFERROR(CHOOSE(MATCH(IF($H101="","FS",$H101),{"FS","SS","FF","SF"},0),WORKDAY.INTL(OFFSET(hdr_PlanFinish,MATCH($G101,tsk_ID,0),0),IF(N($F101)=0,0,1)+N($I101),WorkWeek,Holidays),WORKDAY.INTL(OFFSET(hdr_PlanStart,MATCH($G101,tsk_ID,0),0),N($I101),WorkWeek,Holidays),WORKDAY.INTL(WORKDAY.INTL(OFFSET(hdr_PlanFinish,MATCH($G101,tsk_ID,0),0),N($I101),WorkWeek,Holidays),-MAX(0,N($F101)-1),WorkWeek,Holidays),WORKDAY.INTL(WORKDAY.INTL(OFFSET(hdr_PlanStart,MATCH($G101,tsk_ID,0),0),N($I101),WorkWeek,Holidays),-MAX(0,N($F101)-1),WorkWeek,Holidays)),0))</f>
        <v>0</v>
      </c>
      <c r="AL101" s="48" t="n">
        <f aca="true">IF(OR(N($J101)=0,$AI101,$D101=""),0,IFERROR(CHOOSE(MATCH(IF($K101="","FS",$K101),{"FS","SS","FF","SF"},0),WORKDAY.INTL(OFFSET(hdr_PlanFinish,MATCH($J101,tsk_ID,0),0),IF(N($F101)=0,0,1)+N($L101),WorkWeek,Holidays),WORKDAY.INTL(OFFSET(hdr_PlanStart,MATCH($J101,tsk_ID,0),0),N($L101),WorkWeek,Holidays),WORKDAY.INTL(WORKDAY.INTL(OFFSET(hdr_PlanFinish,MATCH($J101,tsk_ID,0),0),N($L101),WorkWeek,Holidays),-MAX(0,N($F101)-1),WorkWeek,Holidays),WORKDAY.INTL(WORKDAY.INTL(OFFSET(hdr_PlanStart,MATCH($J101,tsk_ID,0),0),N($L101),WorkWeek,Holidays),-MAX(0,N($F101)-1),WorkWeek,Holidays)),0))</f>
        <v>0</v>
      </c>
      <c r="AM101" s="48" t="n">
        <f aca="true">IF(OR(N($G101)=0,$AI101,$D101=""),0,IFERROR(CHOOSE(MATCH(IF($H101="","FS",$H101),{"FS","SS","FF","SF"},0),WORKDAY.INTL(OFFSET(hdr_FcFinish,MATCH($G101,tsk_ID,0),0),IF(N($F101)=0,0,1)+N($I101),WorkWeek,Holidays),WORKDAY.INTL(OFFSET(hdr_FcStart,MATCH($G101,tsk_ID,0),0),N($I101),WorkWeek,Holidays),WORKDAY.INTL(WORKDAY.INTL(OFFSET(hdr_FcFinish,MATCH($G101,tsk_ID,0),0),N($I101),WorkWeek,Holidays),-MAX(0,N($F101)-1),WorkWeek,Holidays),WORKDAY.INTL(WORKDAY.INTL(OFFSET(hdr_FcStart,MATCH($G101,tsk_ID,0),0),N($I101),WorkWeek,Holidays),-MAX(0,N($F101)-1),WorkWeek,Holidays)),0))</f>
        <v>0</v>
      </c>
      <c r="AN101" s="48" t="n">
        <f aca="true">IF(OR(N($J101)=0,$AI101,$D101=""),0,IFERROR(CHOOSE(MATCH(IF($K101="","FS",$K101),{"FS","SS","FF","SF"},0),WORKDAY.INTL(OFFSET(hdr_FcFinish,MATCH($J101,tsk_ID,0),0),IF(N($F101)=0,0,1)+N($L101),WorkWeek,Holidays),WORKDAY.INTL(OFFSET(hdr_FcStart,MATCH($J101,tsk_ID,0),0),N($L101),WorkWeek,Holidays),WORKDAY.INTL(WORKDAY.INTL(OFFSET(hdr_FcFinish,MATCH($J101,tsk_ID,0),0),N($L101),WorkWeek,Holidays),-MAX(0,N($F101)-1),WorkWeek,Holidays),WORKDAY.INTL(WORKDAY.INTL(OFFSET(hdr_FcStart,MATCH($J101,tsk_ID,0),0),N($L101),WorkWeek,Holidays),-MAX(0,N($F101)-1),WorkWeek,Holidays)),0))</f>
        <v>0</v>
      </c>
      <c r="AO101" s="48" t="n">
        <f aca="false">IF($AJ101=1,$R101,0)</f>
        <v>0</v>
      </c>
      <c r="AP101" s="48" t="n">
        <f aca="false">IF($AJ101=1,$S101,0)</f>
        <v>0</v>
      </c>
      <c r="AQ101" s="49" t="n">
        <f aca="false">IF(AND($AJ101=1,N($Z101)&gt;0),$Z101/($AP101-$AO101+1),0)</f>
        <v>0</v>
      </c>
      <c r="AR101" s="46" t="n">
        <f aca="false">IF($AJ101=1,MAX(N($F101),0.1),0)</f>
        <v>0</v>
      </c>
      <c r="AS101" s="46" t="n">
        <f aca="false">IF($AJ101=1,$AR101*$V101,0)</f>
        <v>0</v>
      </c>
      <c r="AT101" s="46" t="str">
        <f aca="false">IF(N($G101)=0,"",$G101&amp;IF(AND(IF($H101="","FS",$H101)="FS",N($I101)=0),"",IF($H101="","FS",$H101)&amp;IF(N($I101)=0,"",IF(N($I101)&gt;0,"+","")&amp;N($I101)&amp;"d")))</f>
        <v/>
      </c>
      <c r="AU101" s="46" t="str">
        <f aca="false">IF(N($J101)=0,"",$J101&amp;IF(AND(IF($K101="","FS",$K101)="FS",N($L101)=0),"",IF($K101="","FS",$K101)&amp;IF(N($L101)=0,"",IF(N($L101)&gt;0,"+","")&amp;N($L101)&amp;"d")))</f>
        <v/>
      </c>
      <c r="AV101" s="46" t="str">
        <f aca="false">IF(AND($AJ101=1,N($F101)=0,$V101&lt;1),$S101+$AF101/100000,"")</f>
        <v/>
      </c>
    </row>
    <row r="102" customFormat="false" ht="15" hidden="false" customHeight="false" outlineLevel="0" collapsed="false">
      <c r="A102" s="38" t="str">
        <f aca="false">IF($D102="","",COUNTA($D$6:$D102))</f>
        <v/>
      </c>
      <c r="B102" s="39" t="str">
        <f aca="true">IF($D102="","",IF($AE102=1,COUNTIF($AE$6:$AE102,1)&amp;"",IF($AG102=0,"?",OFFSET(hdr_WBS,$AG102-ROW(hdr_WBS),0)&amp;"."&amp;COUNTIF(INDEX($AE:$AE,$AG102+1):$AE102,$AE102))))</f>
        <v/>
      </c>
      <c r="C102" s="40"/>
      <c r="D102" s="41"/>
      <c r="E102" s="40"/>
      <c r="F102" s="40"/>
      <c r="G102" s="40"/>
      <c r="H102" s="40"/>
      <c r="I102" s="40"/>
      <c r="J102" s="40"/>
      <c r="K102" s="40"/>
      <c r="L102" s="40"/>
      <c r="M102" s="29"/>
      <c r="N102" s="30" t="str">
        <f aca="true">IF($D102="","",IF($AI102,MIN(OFFSET(hdr_PlanStart,$AF102+1,0,$AH102,1)),IF($E102="Manual",IF(N($M102)&gt;0,$M102,ProjectStart),WORKDAY.INTL(MAX(ProjectStart,N($M102),$AK102,$AL102)-1,1,WorkWeek,Holidays))))</f>
        <v/>
      </c>
      <c r="O102" s="30" t="str">
        <f aca="true">IF($D102="","",IF($AI102,MAX(OFFSET(hdr_PlanFinish,$AF102+1,0,$AH102,1)),IF(N($F102)&lt;=0,$N102,WORKDAY.INTL($N102,$F102-1,WorkWeek,Holidays))))</f>
        <v/>
      </c>
      <c r="P102" s="29"/>
      <c r="Q102" s="29"/>
      <c r="R102" s="30" t="str">
        <f aca="true">IF($D102="","",IF($AI102,MIN(OFFSET(hdr_FcStart,$AF102+1,0,$AH102,1)),IF(N($P102)&gt;0,$P102,IF($E102="Manual",IF(N($M102)&gt;0,$M102,ProjectStart),WORKDAY.INTL(MAX(ProjectStart,N($M102),$AM102,$AN102,IF(RescheduleAfterStatus="Yes",StatusDate,0))-1,1,WorkWeek,Holidays)))))</f>
        <v/>
      </c>
      <c r="S102" s="30" t="str">
        <f aca="true">IF($D102="","",IF($AI102,MAX(OFFSET(hdr_FcFinish,$AF102+1,0,$AH102,1)),IF(N($Q102)&gt;0,$Q102,IF(N($F102)&lt;=0,$R102,IF(AND(N($P102)&gt;0,RescheduleAfterStatus="Yes"),MAX(WORKDAY.INTL($R102,$F102-1,WorkWeek,Holidays),WORKDAY.INTL(StatusWorkday,MAX(0,ROUNDUP($F102*(1-MIN(1,N($U102))),0)-1),WorkWeek,Holidays)),WORKDAY.INTL($R102,$F102-1,WorkWeek,Holidays))))))</f>
        <v/>
      </c>
      <c r="T102" s="38" t="str">
        <f aca="false">IF($D102="","",IF($S102&gt;=$O102,NETWORKDAYS.INTL($O102,$S102,WorkWeek,Holidays)-1,1-NETWORKDAYS.INTL($S102,$O102,WorkWeek,Holidays)))</f>
        <v/>
      </c>
      <c r="U102" s="32"/>
      <c r="V102" s="42" t="str">
        <f aca="true">IF($D102="","",IF($AI102,IFERROR(SUM(OFFSET(hdr_WtDone,$AF102+1,0,$AH102,1))/SUM(OFFSET(hdr_WtDur,$AF102+1,0,$AH102,1)),0),IF(N($Q102)&gt;0,1,MIN(1,N($U102)))))</f>
        <v/>
      </c>
      <c r="W102" s="39" t="str">
        <f aca="false">IF($D102="","",IF($V102&gt;=1,"Complete",IF(OR(N($P102)&gt;0,$V102&gt;0),IF($T102&gt;0,"Behind","In Progress"),IF($N102&lt;StatusDate,"Late Start","Not Started"))))</f>
        <v/>
      </c>
      <c r="X102" s="41"/>
      <c r="Y102" s="32"/>
      <c r="Z102" s="43" t="str">
        <f aca="true">IF($D102="","",IF($AI102,SUMPRODUCT(OFFSET(hdr_Work,$AF102+1,0,$AH102,1),OFFSET(hdr_IsLeaf,$AF102+1,0,$AH102,1)),IF($X102="",0,N($F102)*HoursPerDay*IF($Y102="",DefaultUnits,$Y102))))</f>
        <v/>
      </c>
      <c r="AA102" s="44" t="str">
        <f aca="true">IF($D102="","",IF($AI102,SUMPRODUCT(OFFSET(hdr_Cost,$AF102+1,0,$AH102,1),OFFSET(hdr_IsLeaf,$AF102+1,0,$AH102,1)),$Z102*IFERROR(INDEX(res_Rate,MATCH($X102,res_Name,0)),0)))</f>
        <v/>
      </c>
      <c r="AB102" s="38" t="str">
        <f aca="false">IF(OR($D102="",$AI102),"",IF(OR($R102&lt;Sprint1Start,$R102&gt;SprintLastEnd),"Backlog",INDEX(spr_Name,MATCH($R102,spr_Start,1))))</f>
        <v/>
      </c>
      <c r="AC102" s="45" t="str">
        <f aca="false">IF($D102="","",$AT102&amp;IF(AND($AT102&lt;&gt;"",$AU102&lt;&gt;""),",","")&amp;$AU102)</f>
        <v/>
      </c>
      <c r="AD102" s="41"/>
      <c r="AE102" s="46" t="str">
        <f aca="false">IF($D102="","",MAX(1,N($C102)))</f>
        <v/>
      </c>
      <c r="AF102" s="46" t="n">
        <f aca="false">ROW()-ROW(hdr_ID)</f>
        <v>97</v>
      </c>
      <c r="AG102" s="46" t="n">
        <f aca="false">IF(OR($D102="",$AE102&lt;=1),0,IFERROR(LOOKUP(2,1/($AE$5:$AE101=$AE102-1),ROW($AE$5:$AE101)),0))</f>
        <v>0</v>
      </c>
      <c r="AH102" s="46" t="n">
        <f aca="false">IF($D102="",0,COUNTIF(tsk_WBS,$B102&amp;".*"))</f>
        <v>0</v>
      </c>
      <c r="AI102" s="47" t="b">
        <f aca="false">$AH102&gt;0</f>
        <v>0</v>
      </c>
      <c r="AJ102" s="46" t="n">
        <f aca="false">IF(AND($D102&lt;&gt;"",NOT($AI102)),1,0)</f>
        <v>0</v>
      </c>
      <c r="AK102" s="48" t="n">
        <f aca="true">IF(OR(N($G102)=0,$AI102,$D102=""),0,IFERROR(CHOOSE(MATCH(IF($H102="","FS",$H102),{"FS","SS","FF","SF"},0),WORKDAY.INTL(OFFSET(hdr_PlanFinish,MATCH($G102,tsk_ID,0),0),IF(N($F102)=0,0,1)+N($I102),WorkWeek,Holidays),WORKDAY.INTL(OFFSET(hdr_PlanStart,MATCH($G102,tsk_ID,0),0),N($I102),WorkWeek,Holidays),WORKDAY.INTL(WORKDAY.INTL(OFFSET(hdr_PlanFinish,MATCH($G102,tsk_ID,0),0),N($I102),WorkWeek,Holidays),-MAX(0,N($F102)-1),WorkWeek,Holidays),WORKDAY.INTL(WORKDAY.INTL(OFFSET(hdr_PlanStart,MATCH($G102,tsk_ID,0),0),N($I102),WorkWeek,Holidays),-MAX(0,N($F102)-1),WorkWeek,Holidays)),0))</f>
        <v>0</v>
      </c>
      <c r="AL102" s="48" t="n">
        <f aca="true">IF(OR(N($J102)=0,$AI102,$D102=""),0,IFERROR(CHOOSE(MATCH(IF($K102="","FS",$K102),{"FS","SS","FF","SF"},0),WORKDAY.INTL(OFFSET(hdr_PlanFinish,MATCH($J102,tsk_ID,0),0),IF(N($F102)=0,0,1)+N($L102),WorkWeek,Holidays),WORKDAY.INTL(OFFSET(hdr_PlanStart,MATCH($J102,tsk_ID,0),0),N($L102),WorkWeek,Holidays),WORKDAY.INTL(WORKDAY.INTL(OFFSET(hdr_PlanFinish,MATCH($J102,tsk_ID,0),0),N($L102),WorkWeek,Holidays),-MAX(0,N($F102)-1),WorkWeek,Holidays),WORKDAY.INTL(WORKDAY.INTL(OFFSET(hdr_PlanStart,MATCH($J102,tsk_ID,0),0),N($L102),WorkWeek,Holidays),-MAX(0,N($F102)-1),WorkWeek,Holidays)),0))</f>
        <v>0</v>
      </c>
      <c r="AM102" s="48" t="n">
        <f aca="true">IF(OR(N($G102)=0,$AI102,$D102=""),0,IFERROR(CHOOSE(MATCH(IF($H102="","FS",$H102),{"FS","SS","FF","SF"},0),WORKDAY.INTL(OFFSET(hdr_FcFinish,MATCH($G102,tsk_ID,0),0),IF(N($F102)=0,0,1)+N($I102),WorkWeek,Holidays),WORKDAY.INTL(OFFSET(hdr_FcStart,MATCH($G102,tsk_ID,0),0),N($I102),WorkWeek,Holidays),WORKDAY.INTL(WORKDAY.INTL(OFFSET(hdr_FcFinish,MATCH($G102,tsk_ID,0),0),N($I102),WorkWeek,Holidays),-MAX(0,N($F102)-1),WorkWeek,Holidays),WORKDAY.INTL(WORKDAY.INTL(OFFSET(hdr_FcStart,MATCH($G102,tsk_ID,0),0),N($I102),WorkWeek,Holidays),-MAX(0,N($F102)-1),WorkWeek,Holidays)),0))</f>
        <v>0</v>
      </c>
      <c r="AN102" s="48" t="n">
        <f aca="true">IF(OR(N($J102)=0,$AI102,$D102=""),0,IFERROR(CHOOSE(MATCH(IF($K102="","FS",$K102),{"FS","SS","FF","SF"},0),WORKDAY.INTL(OFFSET(hdr_FcFinish,MATCH($J102,tsk_ID,0),0),IF(N($F102)=0,0,1)+N($L102),WorkWeek,Holidays),WORKDAY.INTL(OFFSET(hdr_FcStart,MATCH($J102,tsk_ID,0),0),N($L102),WorkWeek,Holidays),WORKDAY.INTL(WORKDAY.INTL(OFFSET(hdr_FcFinish,MATCH($J102,tsk_ID,0),0),N($L102),WorkWeek,Holidays),-MAX(0,N($F102)-1),WorkWeek,Holidays),WORKDAY.INTL(WORKDAY.INTL(OFFSET(hdr_FcStart,MATCH($J102,tsk_ID,0),0),N($L102),WorkWeek,Holidays),-MAX(0,N($F102)-1),WorkWeek,Holidays)),0))</f>
        <v>0</v>
      </c>
      <c r="AO102" s="48" t="n">
        <f aca="false">IF($AJ102=1,$R102,0)</f>
        <v>0</v>
      </c>
      <c r="AP102" s="48" t="n">
        <f aca="false">IF($AJ102=1,$S102,0)</f>
        <v>0</v>
      </c>
      <c r="AQ102" s="49" t="n">
        <f aca="false">IF(AND($AJ102=1,N($Z102)&gt;0),$Z102/($AP102-$AO102+1),0)</f>
        <v>0</v>
      </c>
      <c r="AR102" s="46" t="n">
        <f aca="false">IF($AJ102=1,MAX(N($F102),0.1),0)</f>
        <v>0</v>
      </c>
      <c r="AS102" s="46" t="n">
        <f aca="false">IF($AJ102=1,$AR102*$V102,0)</f>
        <v>0</v>
      </c>
      <c r="AT102" s="46" t="str">
        <f aca="false">IF(N($G102)=0,"",$G102&amp;IF(AND(IF($H102="","FS",$H102)="FS",N($I102)=0),"",IF($H102="","FS",$H102)&amp;IF(N($I102)=0,"",IF(N($I102)&gt;0,"+","")&amp;N($I102)&amp;"d")))</f>
        <v/>
      </c>
      <c r="AU102" s="46" t="str">
        <f aca="false">IF(N($J102)=0,"",$J102&amp;IF(AND(IF($K102="","FS",$K102)="FS",N($L102)=0),"",IF($K102="","FS",$K102)&amp;IF(N($L102)=0,"",IF(N($L102)&gt;0,"+","")&amp;N($L102)&amp;"d")))</f>
        <v/>
      </c>
      <c r="AV102" s="46" t="str">
        <f aca="false">IF(AND($AJ102=1,N($F102)=0,$V102&lt;1),$S102+$AF102/100000,"")</f>
        <v/>
      </c>
    </row>
    <row r="103" customFormat="false" ht="15" hidden="false" customHeight="false" outlineLevel="0" collapsed="false">
      <c r="A103" s="38" t="str">
        <f aca="false">IF($D103="","",COUNTA($D$6:$D103))</f>
        <v/>
      </c>
      <c r="B103" s="39" t="str">
        <f aca="true">IF($D103="","",IF($AE103=1,COUNTIF($AE$6:$AE103,1)&amp;"",IF($AG103=0,"?",OFFSET(hdr_WBS,$AG103-ROW(hdr_WBS),0)&amp;"."&amp;COUNTIF(INDEX($AE:$AE,$AG103+1):$AE103,$AE103))))</f>
        <v/>
      </c>
      <c r="C103" s="40"/>
      <c r="D103" s="41"/>
      <c r="E103" s="40"/>
      <c r="F103" s="40"/>
      <c r="G103" s="40"/>
      <c r="H103" s="40"/>
      <c r="I103" s="40"/>
      <c r="J103" s="40"/>
      <c r="K103" s="40"/>
      <c r="L103" s="40"/>
      <c r="M103" s="29"/>
      <c r="N103" s="30" t="str">
        <f aca="true">IF($D103="","",IF($AI103,MIN(OFFSET(hdr_PlanStart,$AF103+1,0,$AH103,1)),IF($E103="Manual",IF(N($M103)&gt;0,$M103,ProjectStart),WORKDAY.INTL(MAX(ProjectStart,N($M103),$AK103,$AL103)-1,1,WorkWeek,Holidays))))</f>
        <v/>
      </c>
      <c r="O103" s="30" t="str">
        <f aca="true">IF($D103="","",IF($AI103,MAX(OFFSET(hdr_PlanFinish,$AF103+1,0,$AH103,1)),IF(N($F103)&lt;=0,$N103,WORKDAY.INTL($N103,$F103-1,WorkWeek,Holidays))))</f>
        <v/>
      </c>
      <c r="P103" s="29"/>
      <c r="Q103" s="29"/>
      <c r="R103" s="30" t="str">
        <f aca="true">IF($D103="","",IF($AI103,MIN(OFFSET(hdr_FcStart,$AF103+1,0,$AH103,1)),IF(N($P103)&gt;0,$P103,IF($E103="Manual",IF(N($M103)&gt;0,$M103,ProjectStart),WORKDAY.INTL(MAX(ProjectStart,N($M103),$AM103,$AN103,IF(RescheduleAfterStatus="Yes",StatusDate,0))-1,1,WorkWeek,Holidays)))))</f>
        <v/>
      </c>
      <c r="S103" s="30" t="str">
        <f aca="true">IF($D103="","",IF($AI103,MAX(OFFSET(hdr_FcFinish,$AF103+1,0,$AH103,1)),IF(N($Q103)&gt;0,$Q103,IF(N($F103)&lt;=0,$R103,IF(AND(N($P103)&gt;0,RescheduleAfterStatus="Yes"),MAX(WORKDAY.INTL($R103,$F103-1,WorkWeek,Holidays),WORKDAY.INTL(StatusWorkday,MAX(0,ROUNDUP($F103*(1-MIN(1,N($U103))),0)-1),WorkWeek,Holidays)),WORKDAY.INTL($R103,$F103-1,WorkWeek,Holidays))))))</f>
        <v/>
      </c>
      <c r="T103" s="38" t="str">
        <f aca="false">IF($D103="","",IF($S103&gt;=$O103,NETWORKDAYS.INTL($O103,$S103,WorkWeek,Holidays)-1,1-NETWORKDAYS.INTL($S103,$O103,WorkWeek,Holidays)))</f>
        <v/>
      </c>
      <c r="U103" s="32"/>
      <c r="V103" s="42" t="str">
        <f aca="true">IF($D103="","",IF($AI103,IFERROR(SUM(OFFSET(hdr_WtDone,$AF103+1,0,$AH103,1))/SUM(OFFSET(hdr_WtDur,$AF103+1,0,$AH103,1)),0),IF(N($Q103)&gt;0,1,MIN(1,N($U103)))))</f>
        <v/>
      </c>
      <c r="W103" s="39" t="str">
        <f aca="false">IF($D103="","",IF($V103&gt;=1,"Complete",IF(OR(N($P103)&gt;0,$V103&gt;0),IF($T103&gt;0,"Behind","In Progress"),IF($N103&lt;StatusDate,"Late Start","Not Started"))))</f>
        <v/>
      </c>
      <c r="X103" s="41"/>
      <c r="Y103" s="32"/>
      <c r="Z103" s="43" t="str">
        <f aca="true">IF($D103="","",IF($AI103,SUMPRODUCT(OFFSET(hdr_Work,$AF103+1,0,$AH103,1),OFFSET(hdr_IsLeaf,$AF103+1,0,$AH103,1)),IF($X103="",0,N($F103)*HoursPerDay*IF($Y103="",DefaultUnits,$Y103))))</f>
        <v/>
      </c>
      <c r="AA103" s="44" t="str">
        <f aca="true">IF($D103="","",IF($AI103,SUMPRODUCT(OFFSET(hdr_Cost,$AF103+1,0,$AH103,1),OFFSET(hdr_IsLeaf,$AF103+1,0,$AH103,1)),$Z103*IFERROR(INDEX(res_Rate,MATCH($X103,res_Name,0)),0)))</f>
        <v/>
      </c>
      <c r="AB103" s="38" t="str">
        <f aca="false">IF(OR($D103="",$AI103),"",IF(OR($R103&lt;Sprint1Start,$R103&gt;SprintLastEnd),"Backlog",INDEX(spr_Name,MATCH($R103,spr_Start,1))))</f>
        <v/>
      </c>
      <c r="AC103" s="45" t="str">
        <f aca="false">IF($D103="","",$AT103&amp;IF(AND($AT103&lt;&gt;"",$AU103&lt;&gt;""),",","")&amp;$AU103)</f>
        <v/>
      </c>
      <c r="AD103" s="41"/>
      <c r="AE103" s="46" t="str">
        <f aca="false">IF($D103="","",MAX(1,N($C103)))</f>
        <v/>
      </c>
      <c r="AF103" s="46" t="n">
        <f aca="false">ROW()-ROW(hdr_ID)</f>
        <v>98</v>
      </c>
      <c r="AG103" s="46" t="n">
        <f aca="false">IF(OR($D103="",$AE103&lt;=1),0,IFERROR(LOOKUP(2,1/($AE$5:$AE102=$AE103-1),ROW($AE$5:$AE102)),0))</f>
        <v>0</v>
      </c>
      <c r="AH103" s="46" t="n">
        <f aca="false">IF($D103="",0,COUNTIF(tsk_WBS,$B103&amp;".*"))</f>
        <v>0</v>
      </c>
      <c r="AI103" s="47" t="b">
        <f aca="false">$AH103&gt;0</f>
        <v>0</v>
      </c>
      <c r="AJ103" s="46" t="n">
        <f aca="false">IF(AND($D103&lt;&gt;"",NOT($AI103)),1,0)</f>
        <v>0</v>
      </c>
      <c r="AK103" s="48" t="n">
        <f aca="true">IF(OR(N($G103)=0,$AI103,$D103=""),0,IFERROR(CHOOSE(MATCH(IF($H103="","FS",$H103),{"FS","SS","FF","SF"},0),WORKDAY.INTL(OFFSET(hdr_PlanFinish,MATCH($G103,tsk_ID,0),0),IF(N($F103)=0,0,1)+N($I103),WorkWeek,Holidays),WORKDAY.INTL(OFFSET(hdr_PlanStart,MATCH($G103,tsk_ID,0),0),N($I103),WorkWeek,Holidays),WORKDAY.INTL(WORKDAY.INTL(OFFSET(hdr_PlanFinish,MATCH($G103,tsk_ID,0),0),N($I103),WorkWeek,Holidays),-MAX(0,N($F103)-1),WorkWeek,Holidays),WORKDAY.INTL(WORKDAY.INTL(OFFSET(hdr_PlanStart,MATCH($G103,tsk_ID,0),0),N($I103),WorkWeek,Holidays),-MAX(0,N($F103)-1),WorkWeek,Holidays)),0))</f>
        <v>0</v>
      </c>
      <c r="AL103" s="48" t="n">
        <f aca="true">IF(OR(N($J103)=0,$AI103,$D103=""),0,IFERROR(CHOOSE(MATCH(IF($K103="","FS",$K103),{"FS","SS","FF","SF"},0),WORKDAY.INTL(OFFSET(hdr_PlanFinish,MATCH($J103,tsk_ID,0),0),IF(N($F103)=0,0,1)+N($L103),WorkWeek,Holidays),WORKDAY.INTL(OFFSET(hdr_PlanStart,MATCH($J103,tsk_ID,0),0),N($L103),WorkWeek,Holidays),WORKDAY.INTL(WORKDAY.INTL(OFFSET(hdr_PlanFinish,MATCH($J103,tsk_ID,0),0),N($L103),WorkWeek,Holidays),-MAX(0,N($F103)-1),WorkWeek,Holidays),WORKDAY.INTL(WORKDAY.INTL(OFFSET(hdr_PlanStart,MATCH($J103,tsk_ID,0),0),N($L103),WorkWeek,Holidays),-MAX(0,N($F103)-1),WorkWeek,Holidays)),0))</f>
        <v>0</v>
      </c>
      <c r="AM103" s="48" t="n">
        <f aca="true">IF(OR(N($G103)=0,$AI103,$D103=""),0,IFERROR(CHOOSE(MATCH(IF($H103="","FS",$H103),{"FS","SS","FF","SF"},0),WORKDAY.INTL(OFFSET(hdr_FcFinish,MATCH($G103,tsk_ID,0),0),IF(N($F103)=0,0,1)+N($I103),WorkWeek,Holidays),WORKDAY.INTL(OFFSET(hdr_FcStart,MATCH($G103,tsk_ID,0),0),N($I103),WorkWeek,Holidays),WORKDAY.INTL(WORKDAY.INTL(OFFSET(hdr_FcFinish,MATCH($G103,tsk_ID,0),0),N($I103),WorkWeek,Holidays),-MAX(0,N($F103)-1),WorkWeek,Holidays),WORKDAY.INTL(WORKDAY.INTL(OFFSET(hdr_FcStart,MATCH($G103,tsk_ID,0),0),N($I103),WorkWeek,Holidays),-MAX(0,N($F103)-1),WorkWeek,Holidays)),0))</f>
        <v>0</v>
      </c>
      <c r="AN103" s="48" t="n">
        <f aca="true">IF(OR(N($J103)=0,$AI103,$D103=""),0,IFERROR(CHOOSE(MATCH(IF($K103="","FS",$K103),{"FS","SS","FF","SF"},0),WORKDAY.INTL(OFFSET(hdr_FcFinish,MATCH($J103,tsk_ID,0),0),IF(N($F103)=0,0,1)+N($L103),WorkWeek,Holidays),WORKDAY.INTL(OFFSET(hdr_FcStart,MATCH($J103,tsk_ID,0),0),N($L103),WorkWeek,Holidays),WORKDAY.INTL(WORKDAY.INTL(OFFSET(hdr_FcFinish,MATCH($J103,tsk_ID,0),0),N($L103),WorkWeek,Holidays),-MAX(0,N($F103)-1),WorkWeek,Holidays),WORKDAY.INTL(WORKDAY.INTL(OFFSET(hdr_FcStart,MATCH($J103,tsk_ID,0),0),N($L103),WorkWeek,Holidays),-MAX(0,N($F103)-1),WorkWeek,Holidays)),0))</f>
        <v>0</v>
      </c>
      <c r="AO103" s="48" t="n">
        <f aca="false">IF($AJ103=1,$R103,0)</f>
        <v>0</v>
      </c>
      <c r="AP103" s="48" t="n">
        <f aca="false">IF($AJ103=1,$S103,0)</f>
        <v>0</v>
      </c>
      <c r="AQ103" s="49" t="n">
        <f aca="false">IF(AND($AJ103=1,N($Z103)&gt;0),$Z103/($AP103-$AO103+1),0)</f>
        <v>0</v>
      </c>
      <c r="AR103" s="46" t="n">
        <f aca="false">IF($AJ103=1,MAX(N($F103),0.1),0)</f>
        <v>0</v>
      </c>
      <c r="AS103" s="46" t="n">
        <f aca="false">IF($AJ103=1,$AR103*$V103,0)</f>
        <v>0</v>
      </c>
      <c r="AT103" s="46" t="str">
        <f aca="false">IF(N($G103)=0,"",$G103&amp;IF(AND(IF($H103="","FS",$H103)="FS",N($I103)=0),"",IF($H103="","FS",$H103)&amp;IF(N($I103)=0,"",IF(N($I103)&gt;0,"+","")&amp;N($I103)&amp;"d")))</f>
        <v/>
      </c>
      <c r="AU103" s="46" t="str">
        <f aca="false">IF(N($J103)=0,"",$J103&amp;IF(AND(IF($K103="","FS",$K103)="FS",N($L103)=0),"",IF($K103="","FS",$K103)&amp;IF(N($L103)=0,"",IF(N($L103)&gt;0,"+","")&amp;N($L103)&amp;"d")))</f>
        <v/>
      </c>
      <c r="AV103" s="46" t="str">
        <f aca="false">IF(AND($AJ103=1,N($F103)=0,$V103&lt;1),$S103+$AF103/100000,"")</f>
        <v/>
      </c>
    </row>
    <row r="104" customFormat="false" ht="15" hidden="false" customHeight="false" outlineLevel="0" collapsed="false">
      <c r="A104" s="38" t="str">
        <f aca="false">IF($D104="","",COUNTA($D$6:$D104))</f>
        <v/>
      </c>
      <c r="B104" s="39" t="str">
        <f aca="true">IF($D104="","",IF($AE104=1,COUNTIF($AE$6:$AE104,1)&amp;"",IF($AG104=0,"?",OFFSET(hdr_WBS,$AG104-ROW(hdr_WBS),0)&amp;"."&amp;COUNTIF(INDEX($AE:$AE,$AG104+1):$AE104,$AE104))))</f>
        <v/>
      </c>
      <c r="C104" s="40"/>
      <c r="D104" s="41"/>
      <c r="E104" s="40"/>
      <c r="F104" s="40"/>
      <c r="G104" s="40"/>
      <c r="H104" s="40"/>
      <c r="I104" s="40"/>
      <c r="J104" s="40"/>
      <c r="K104" s="40"/>
      <c r="L104" s="40"/>
      <c r="M104" s="29"/>
      <c r="N104" s="30" t="str">
        <f aca="true">IF($D104="","",IF($AI104,MIN(OFFSET(hdr_PlanStart,$AF104+1,0,$AH104,1)),IF($E104="Manual",IF(N($M104)&gt;0,$M104,ProjectStart),WORKDAY.INTL(MAX(ProjectStart,N($M104),$AK104,$AL104)-1,1,WorkWeek,Holidays))))</f>
        <v/>
      </c>
      <c r="O104" s="30" t="str">
        <f aca="true">IF($D104="","",IF($AI104,MAX(OFFSET(hdr_PlanFinish,$AF104+1,0,$AH104,1)),IF(N($F104)&lt;=0,$N104,WORKDAY.INTL($N104,$F104-1,WorkWeek,Holidays))))</f>
        <v/>
      </c>
      <c r="P104" s="29"/>
      <c r="Q104" s="29"/>
      <c r="R104" s="30" t="str">
        <f aca="true">IF($D104="","",IF($AI104,MIN(OFFSET(hdr_FcStart,$AF104+1,0,$AH104,1)),IF(N($P104)&gt;0,$P104,IF($E104="Manual",IF(N($M104)&gt;0,$M104,ProjectStart),WORKDAY.INTL(MAX(ProjectStart,N($M104),$AM104,$AN104,IF(RescheduleAfterStatus="Yes",StatusDate,0))-1,1,WorkWeek,Holidays)))))</f>
        <v/>
      </c>
      <c r="S104" s="30" t="str">
        <f aca="true">IF($D104="","",IF($AI104,MAX(OFFSET(hdr_FcFinish,$AF104+1,0,$AH104,1)),IF(N($Q104)&gt;0,$Q104,IF(N($F104)&lt;=0,$R104,IF(AND(N($P104)&gt;0,RescheduleAfterStatus="Yes"),MAX(WORKDAY.INTL($R104,$F104-1,WorkWeek,Holidays),WORKDAY.INTL(StatusWorkday,MAX(0,ROUNDUP($F104*(1-MIN(1,N($U104))),0)-1),WorkWeek,Holidays)),WORKDAY.INTL($R104,$F104-1,WorkWeek,Holidays))))))</f>
        <v/>
      </c>
      <c r="T104" s="38" t="str">
        <f aca="false">IF($D104="","",IF($S104&gt;=$O104,NETWORKDAYS.INTL($O104,$S104,WorkWeek,Holidays)-1,1-NETWORKDAYS.INTL($S104,$O104,WorkWeek,Holidays)))</f>
        <v/>
      </c>
      <c r="U104" s="32"/>
      <c r="V104" s="42" t="str">
        <f aca="true">IF($D104="","",IF($AI104,IFERROR(SUM(OFFSET(hdr_WtDone,$AF104+1,0,$AH104,1))/SUM(OFFSET(hdr_WtDur,$AF104+1,0,$AH104,1)),0),IF(N($Q104)&gt;0,1,MIN(1,N($U104)))))</f>
        <v/>
      </c>
      <c r="W104" s="39" t="str">
        <f aca="false">IF($D104="","",IF($V104&gt;=1,"Complete",IF(OR(N($P104)&gt;0,$V104&gt;0),IF($T104&gt;0,"Behind","In Progress"),IF($N104&lt;StatusDate,"Late Start","Not Started"))))</f>
        <v/>
      </c>
      <c r="X104" s="41"/>
      <c r="Y104" s="32"/>
      <c r="Z104" s="43" t="str">
        <f aca="true">IF($D104="","",IF($AI104,SUMPRODUCT(OFFSET(hdr_Work,$AF104+1,0,$AH104,1),OFFSET(hdr_IsLeaf,$AF104+1,0,$AH104,1)),IF($X104="",0,N($F104)*HoursPerDay*IF($Y104="",DefaultUnits,$Y104))))</f>
        <v/>
      </c>
      <c r="AA104" s="44" t="str">
        <f aca="true">IF($D104="","",IF($AI104,SUMPRODUCT(OFFSET(hdr_Cost,$AF104+1,0,$AH104,1),OFFSET(hdr_IsLeaf,$AF104+1,0,$AH104,1)),$Z104*IFERROR(INDEX(res_Rate,MATCH($X104,res_Name,0)),0)))</f>
        <v/>
      </c>
      <c r="AB104" s="38" t="str">
        <f aca="false">IF(OR($D104="",$AI104),"",IF(OR($R104&lt;Sprint1Start,$R104&gt;SprintLastEnd),"Backlog",INDEX(spr_Name,MATCH($R104,spr_Start,1))))</f>
        <v/>
      </c>
      <c r="AC104" s="45" t="str">
        <f aca="false">IF($D104="","",$AT104&amp;IF(AND($AT104&lt;&gt;"",$AU104&lt;&gt;""),",","")&amp;$AU104)</f>
        <v/>
      </c>
      <c r="AD104" s="41"/>
      <c r="AE104" s="46" t="str">
        <f aca="false">IF($D104="","",MAX(1,N($C104)))</f>
        <v/>
      </c>
      <c r="AF104" s="46" t="n">
        <f aca="false">ROW()-ROW(hdr_ID)</f>
        <v>99</v>
      </c>
      <c r="AG104" s="46" t="n">
        <f aca="false">IF(OR($D104="",$AE104&lt;=1),0,IFERROR(LOOKUP(2,1/($AE$5:$AE103=$AE104-1),ROW($AE$5:$AE103)),0))</f>
        <v>0</v>
      </c>
      <c r="AH104" s="46" t="n">
        <f aca="false">IF($D104="",0,COUNTIF(tsk_WBS,$B104&amp;".*"))</f>
        <v>0</v>
      </c>
      <c r="AI104" s="47" t="b">
        <f aca="false">$AH104&gt;0</f>
        <v>0</v>
      </c>
      <c r="AJ104" s="46" t="n">
        <f aca="false">IF(AND($D104&lt;&gt;"",NOT($AI104)),1,0)</f>
        <v>0</v>
      </c>
      <c r="AK104" s="48" t="n">
        <f aca="true">IF(OR(N($G104)=0,$AI104,$D104=""),0,IFERROR(CHOOSE(MATCH(IF($H104="","FS",$H104),{"FS","SS","FF","SF"},0),WORKDAY.INTL(OFFSET(hdr_PlanFinish,MATCH($G104,tsk_ID,0),0),IF(N($F104)=0,0,1)+N($I104),WorkWeek,Holidays),WORKDAY.INTL(OFFSET(hdr_PlanStart,MATCH($G104,tsk_ID,0),0),N($I104),WorkWeek,Holidays),WORKDAY.INTL(WORKDAY.INTL(OFFSET(hdr_PlanFinish,MATCH($G104,tsk_ID,0),0),N($I104),WorkWeek,Holidays),-MAX(0,N($F104)-1),WorkWeek,Holidays),WORKDAY.INTL(WORKDAY.INTL(OFFSET(hdr_PlanStart,MATCH($G104,tsk_ID,0),0),N($I104),WorkWeek,Holidays),-MAX(0,N($F104)-1),WorkWeek,Holidays)),0))</f>
        <v>0</v>
      </c>
      <c r="AL104" s="48" t="n">
        <f aca="true">IF(OR(N($J104)=0,$AI104,$D104=""),0,IFERROR(CHOOSE(MATCH(IF($K104="","FS",$K104),{"FS","SS","FF","SF"},0),WORKDAY.INTL(OFFSET(hdr_PlanFinish,MATCH($J104,tsk_ID,0),0),IF(N($F104)=0,0,1)+N($L104),WorkWeek,Holidays),WORKDAY.INTL(OFFSET(hdr_PlanStart,MATCH($J104,tsk_ID,0),0),N($L104),WorkWeek,Holidays),WORKDAY.INTL(WORKDAY.INTL(OFFSET(hdr_PlanFinish,MATCH($J104,tsk_ID,0),0),N($L104),WorkWeek,Holidays),-MAX(0,N($F104)-1),WorkWeek,Holidays),WORKDAY.INTL(WORKDAY.INTL(OFFSET(hdr_PlanStart,MATCH($J104,tsk_ID,0),0),N($L104),WorkWeek,Holidays),-MAX(0,N($F104)-1),WorkWeek,Holidays)),0))</f>
        <v>0</v>
      </c>
      <c r="AM104" s="48" t="n">
        <f aca="true">IF(OR(N($G104)=0,$AI104,$D104=""),0,IFERROR(CHOOSE(MATCH(IF($H104="","FS",$H104),{"FS","SS","FF","SF"},0),WORKDAY.INTL(OFFSET(hdr_FcFinish,MATCH($G104,tsk_ID,0),0),IF(N($F104)=0,0,1)+N($I104),WorkWeek,Holidays),WORKDAY.INTL(OFFSET(hdr_FcStart,MATCH($G104,tsk_ID,0),0),N($I104),WorkWeek,Holidays),WORKDAY.INTL(WORKDAY.INTL(OFFSET(hdr_FcFinish,MATCH($G104,tsk_ID,0),0),N($I104),WorkWeek,Holidays),-MAX(0,N($F104)-1),WorkWeek,Holidays),WORKDAY.INTL(WORKDAY.INTL(OFFSET(hdr_FcStart,MATCH($G104,tsk_ID,0),0),N($I104),WorkWeek,Holidays),-MAX(0,N($F104)-1),WorkWeek,Holidays)),0))</f>
        <v>0</v>
      </c>
      <c r="AN104" s="48" t="n">
        <f aca="true">IF(OR(N($J104)=0,$AI104,$D104=""),0,IFERROR(CHOOSE(MATCH(IF($K104="","FS",$K104),{"FS","SS","FF","SF"},0),WORKDAY.INTL(OFFSET(hdr_FcFinish,MATCH($J104,tsk_ID,0),0),IF(N($F104)=0,0,1)+N($L104),WorkWeek,Holidays),WORKDAY.INTL(OFFSET(hdr_FcStart,MATCH($J104,tsk_ID,0),0),N($L104),WorkWeek,Holidays),WORKDAY.INTL(WORKDAY.INTL(OFFSET(hdr_FcFinish,MATCH($J104,tsk_ID,0),0),N($L104),WorkWeek,Holidays),-MAX(0,N($F104)-1),WorkWeek,Holidays),WORKDAY.INTL(WORKDAY.INTL(OFFSET(hdr_FcStart,MATCH($J104,tsk_ID,0),0),N($L104),WorkWeek,Holidays),-MAX(0,N($F104)-1),WorkWeek,Holidays)),0))</f>
        <v>0</v>
      </c>
      <c r="AO104" s="48" t="n">
        <f aca="false">IF($AJ104=1,$R104,0)</f>
        <v>0</v>
      </c>
      <c r="AP104" s="48" t="n">
        <f aca="false">IF($AJ104=1,$S104,0)</f>
        <v>0</v>
      </c>
      <c r="AQ104" s="49" t="n">
        <f aca="false">IF(AND($AJ104=1,N($Z104)&gt;0),$Z104/($AP104-$AO104+1),0)</f>
        <v>0</v>
      </c>
      <c r="AR104" s="46" t="n">
        <f aca="false">IF($AJ104=1,MAX(N($F104),0.1),0)</f>
        <v>0</v>
      </c>
      <c r="AS104" s="46" t="n">
        <f aca="false">IF($AJ104=1,$AR104*$V104,0)</f>
        <v>0</v>
      </c>
      <c r="AT104" s="46" t="str">
        <f aca="false">IF(N($G104)=0,"",$G104&amp;IF(AND(IF($H104="","FS",$H104)="FS",N($I104)=0),"",IF($H104="","FS",$H104)&amp;IF(N($I104)=0,"",IF(N($I104)&gt;0,"+","")&amp;N($I104)&amp;"d")))</f>
        <v/>
      </c>
      <c r="AU104" s="46" t="str">
        <f aca="false">IF(N($J104)=0,"",$J104&amp;IF(AND(IF($K104="","FS",$K104)="FS",N($L104)=0),"",IF($K104="","FS",$K104)&amp;IF(N($L104)=0,"",IF(N($L104)&gt;0,"+","")&amp;N($L104)&amp;"d")))</f>
        <v/>
      </c>
      <c r="AV104" s="46" t="str">
        <f aca="false">IF(AND($AJ104=1,N($F104)=0,$V104&lt;1),$S104+$AF104/100000,"")</f>
        <v/>
      </c>
    </row>
    <row r="105" customFormat="false" ht="15" hidden="false" customHeight="false" outlineLevel="0" collapsed="false">
      <c r="A105" s="38" t="str">
        <f aca="false">IF($D105="","",COUNTA($D$6:$D105))</f>
        <v/>
      </c>
      <c r="B105" s="39" t="str">
        <f aca="true">IF($D105="","",IF($AE105=1,COUNTIF($AE$6:$AE105,1)&amp;"",IF($AG105=0,"?",OFFSET(hdr_WBS,$AG105-ROW(hdr_WBS),0)&amp;"."&amp;COUNTIF(INDEX($AE:$AE,$AG105+1):$AE105,$AE105))))</f>
        <v/>
      </c>
      <c r="C105" s="40"/>
      <c r="D105" s="41"/>
      <c r="E105" s="40"/>
      <c r="F105" s="40"/>
      <c r="G105" s="40"/>
      <c r="H105" s="40"/>
      <c r="I105" s="40"/>
      <c r="J105" s="40"/>
      <c r="K105" s="40"/>
      <c r="L105" s="40"/>
      <c r="M105" s="29"/>
      <c r="N105" s="30" t="str">
        <f aca="true">IF($D105="","",IF($AI105,MIN(OFFSET(hdr_PlanStart,$AF105+1,0,$AH105,1)),IF($E105="Manual",IF(N($M105)&gt;0,$M105,ProjectStart),WORKDAY.INTL(MAX(ProjectStart,N($M105),$AK105,$AL105)-1,1,WorkWeek,Holidays))))</f>
        <v/>
      </c>
      <c r="O105" s="30" t="str">
        <f aca="true">IF($D105="","",IF($AI105,MAX(OFFSET(hdr_PlanFinish,$AF105+1,0,$AH105,1)),IF(N($F105)&lt;=0,$N105,WORKDAY.INTL($N105,$F105-1,WorkWeek,Holidays))))</f>
        <v/>
      </c>
      <c r="P105" s="29"/>
      <c r="Q105" s="29"/>
      <c r="R105" s="30" t="str">
        <f aca="true">IF($D105="","",IF($AI105,MIN(OFFSET(hdr_FcStart,$AF105+1,0,$AH105,1)),IF(N($P105)&gt;0,$P105,IF($E105="Manual",IF(N($M105)&gt;0,$M105,ProjectStart),WORKDAY.INTL(MAX(ProjectStart,N($M105),$AM105,$AN105,IF(RescheduleAfterStatus="Yes",StatusDate,0))-1,1,WorkWeek,Holidays)))))</f>
        <v/>
      </c>
      <c r="S105" s="30" t="str">
        <f aca="true">IF($D105="","",IF($AI105,MAX(OFFSET(hdr_FcFinish,$AF105+1,0,$AH105,1)),IF(N($Q105)&gt;0,$Q105,IF(N($F105)&lt;=0,$R105,IF(AND(N($P105)&gt;0,RescheduleAfterStatus="Yes"),MAX(WORKDAY.INTL($R105,$F105-1,WorkWeek,Holidays),WORKDAY.INTL(StatusWorkday,MAX(0,ROUNDUP($F105*(1-MIN(1,N($U105))),0)-1),WorkWeek,Holidays)),WORKDAY.INTL($R105,$F105-1,WorkWeek,Holidays))))))</f>
        <v/>
      </c>
      <c r="T105" s="38" t="str">
        <f aca="false">IF($D105="","",IF($S105&gt;=$O105,NETWORKDAYS.INTL($O105,$S105,WorkWeek,Holidays)-1,1-NETWORKDAYS.INTL($S105,$O105,WorkWeek,Holidays)))</f>
        <v/>
      </c>
      <c r="U105" s="32"/>
      <c r="V105" s="42" t="str">
        <f aca="true">IF($D105="","",IF($AI105,IFERROR(SUM(OFFSET(hdr_WtDone,$AF105+1,0,$AH105,1))/SUM(OFFSET(hdr_WtDur,$AF105+1,0,$AH105,1)),0),IF(N($Q105)&gt;0,1,MIN(1,N($U105)))))</f>
        <v/>
      </c>
      <c r="W105" s="39" t="str">
        <f aca="false">IF($D105="","",IF($V105&gt;=1,"Complete",IF(OR(N($P105)&gt;0,$V105&gt;0),IF($T105&gt;0,"Behind","In Progress"),IF($N105&lt;StatusDate,"Late Start","Not Started"))))</f>
        <v/>
      </c>
      <c r="X105" s="41"/>
      <c r="Y105" s="32"/>
      <c r="Z105" s="43" t="str">
        <f aca="true">IF($D105="","",IF($AI105,SUMPRODUCT(OFFSET(hdr_Work,$AF105+1,0,$AH105,1),OFFSET(hdr_IsLeaf,$AF105+1,0,$AH105,1)),IF($X105="",0,N($F105)*HoursPerDay*IF($Y105="",DefaultUnits,$Y105))))</f>
        <v/>
      </c>
      <c r="AA105" s="44" t="str">
        <f aca="true">IF($D105="","",IF($AI105,SUMPRODUCT(OFFSET(hdr_Cost,$AF105+1,0,$AH105,1),OFFSET(hdr_IsLeaf,$AF105+1,0,$AH105,1)),$Z105*IFERROR(INDEX(res_Rate,MATCH($X105,res_Name,0)),0)))</f>
        <v/>
      </c>
      <c r="AB105" s="38" t="str">
        <f aca="false">IF(OR($D105="",$AI105),"",IF(OR($R105&lt;Sprint1Start,$R105&gt;SprintLastEnd),"Backlog",INDEX(spr_Name,MATCH($R105,spr_Start,1))))</f>
        <v/>
      </c>
      <c r="AC105" s="45" t="str">
        <f aca="false">IF($D105="","",$AT105&amp;IF(AND($AT105&lt;&gt;"",$AU105&lt;&gt;""),",","")&amp;$AU105)</f>
        <v/>
      </c>
      <c r="AD105" s="41"/>
      <c r="AE105" s="46" t="str">
        <f aca="false">IF($D105="","",MAX(1,N($C105)))</f>
        <v/>
      </c>
      <c r="AF105" s="46" t="n">
        <f aca="false">ROW()-ROW(hdr_ID)</f>
        <v>100</v>
      </c>
      <c r="AG105" s="46" t="n">
        <f aca="false">IF(OR($D105="",$AE105&lt;=1),0,IFERROR(LOOKUP(2,1/($AE$5:$AE104=$AE105-1),ROW($AE$5:$AE104)),0))</f>
        <v>0</v>
      </c>
      <c r="AH105" s="46" t="n">
        <f aca="false">IF($D105="",0,COUNTIF(tsk_WBS,$B105&amp;".*"))</f>
        <v>0</v>
      </c>
      <c r="AI105" s="47" t="b">
        <f aca="false">$AH105&gt;0</f>
        <v>0</v>
      </c>
      <c r="AJ105" s="46" t="n">
        <f aca="false">IF(AND($D105&lt;&gt;"",NOT($AI105)),1,0)</f>
        <v>0</v>
      </c>
      <c r="AK105" s="48" t="n">
        <f aca="true">IF(OR(N($G105)=0,$AI105,$D105=""),0,IFERROR(CHOOSE(MATCH(IF($H105="","FS",$H105),{"FS","SS","FF","SF"},0),WORKDAY.INTL(OFFSET(hdr_PlanFinish,MATCH($G105,tsk_ID,0),0),IF(N($F105)=0,0,1)+N($I105),WorkWeek,Holidays),WORKDAY.INTL(OFFSET(hdr_PlanStart,MATCH($G105,tsk_ID,0),0),N($I105),WorkWeek,Holidays),WORKDAY.INTL(WORKDAY.INTL(OFFSET(hdr_PlanFinish,MATCH($G105,tsk_ID,0),0),N($I105),WorkWeek,Holidays),-MAX(0,N($F105)-1),WorkWeek,Holidays),WORKDAY.INTL(WORKDAY.INTL(OFFSET(hdr_PlanStart,MATCH($G105,tsk_ID,0),0),N($I105),WorkWeek,Holidays),-MAX(0,N($F105)-1),WorkWeek,Holidays)),0))</f>
        <v>0</v>
      </c>
      <c r="AL105" s="48" t="n">
        <f aca="true">IF(OR(N($J105)=0,$AI105,$D105=""),0,IFERROR(CHOOSE(MATCH(IF($K105="","FS",$K105),{"FS","SS","FF","SF"},0),WORKDAY.INTL(OFFSET(hdr_PlanFinish,MATCH($J105,tsk_ID,0),0),IF(N($F105)=0,0,1)+N($L105),WorkWeek,Holidays),WORKDAY.INTL(OFFSET(hdr_PlanStart,MATCH($J105,tsk_ID,0),0),N($L105),WorkWeek,Holidays),WORKDAY.INTL(WORKDAY.INTL(OFFSET(hdr_PlanFinish,MATCH($J105,tsk_ID,0),0),N($L105),WorkWeek,Holidays),-MAX(0,N($F105)-1),WorkWeek,Holidays),WORKDAY.INTL(WORKDAY.INTL(OFFSET(hdr_PlanStart,MATCH($J105,tsk_ID,0),0),N($L105),WorkWeek,Holidays),-MAX(0,N($F105)-1),WorkWeek,Holidays)),0))</f>
        <v>0</v>
      </c>
      <c r="AM105" s="48" t="n">
        <f aca="true">IF(OR(N($G105)=0,$AI105,$D105=""),0,IFERROR(CHOOSE(MATCH(IF($H105="","FS",$H105),{"FS","SS","FF","SF"},0),WORKDAY.INTL(OFFSET(hdr_FcFinish,MATCH($G105,tsk_ID,0),0),IF(N($F105)=0,0,1)+N($I105),WorkWeek,Holidays),WORKDAY.INTL(OFFSET(hdr_FcStart,MATCH($G105,tsk_ID,0),0),N($I105),WorkWeek,Holidays),WORKDAY.INTL(WORKDAY.INTL(OFFSET(hdr_FcFinish,MATCH($G105,tsk_ID,0),0),N($I105),WorkWeek,Holidays),-MAX(0,N($F105)-1),WorkWeek,Holidays),WORKDAY.INTL(WORKDAY.INTL(OFFSET(hdr_FcStart,MATCH($G105,tsk_ID,0),0),N($I105),WorkWeek,Holidays),-MAX(0,N($F105)-1),WorkWeek,Holidays)),0))</f>
        <v>0</v>
      </c>
      <c r="AN105" s="48" t="n">
        <f aca="true">IF(OR(N($J105)=0,$AI105,$D105=""),0,IFERROR(CHOOSE(MATCH(IF($K105="","FS",$K105),{"FS","SS","FF","SF"},0),WORKDAY.INTL(OFFSET(hdr_FcFinish,MATCH($J105,tsk_ID,0),0),IF(N($F105)=0,0,1)+N($L105),WorkWeek,Holidays),WORKDAY.INTL(OFFSET(hdr_FcStart,MATCH($J105,tsk_ID,0),0),N($L105),WorkWeek,Holidays),WORKDAY.INTL(WORKDAY.INTL(OFFSET(hdr_FcFinish,MATCH($J105,tsk_ID,0),0),N($L105),WorkWeek,Holidays),-MAX(0,N($F105)-1),WorkWeek,Holidays),WORKDAY.INTL(WORKDAY.INTL(OFFSET(hdr_FcStart,MATCH($J105,tsk_ID,0),0),N($L105),WorkWeek,Holidays),-MAX(0,N($F105)-1),WorkWeek,Holidays)),0))</f>
        <v>0</v>
      </c>
      <c r="AO105" s="48" t="n">
        <f aca="false">IF($AJ105=1,$R105,0)</f>
        <v>0</v>
      </c>
      <c r="AP105" s="48" t="n">
        <f aca="false">IF($AJ105=1,$S105,0)</f>
        <v>0</v>
      </c>
      <c r="AQ105" s="49" t="n">
        <f aca="false">IF(AND($AJ105=1,N($Z105)&gt;0),$Z105/($AP105-$AO105+1),0)</f>
        <v>0</v>
      </c>
      <c r="AR105" s="46" t="n">
        <f aca="false">IF($AJ105=1,MAX(N($F105),0.1),0)</f>
        <v>0</v>
      </c>
      <c r="AS105" s="46" t="n">
        <f aca="false">IF($AJ105=1,$AR105*$V105,0)</f>
        <v>0</v>
      </c>
      <c r="AT105" s="46" t="str">
        <f aca="false">IF(N($G105)=0,"",$G105&amp;IF(AND(IF($H105="","FS",$H105)="FS",N($I105)=0),"",IF($H105="","FS",$H105)&amp;IF(N($I105)=0,"",IF(N($I105)&gt;0,"+","")&amp;N($I105)&amp;"d")))</f>
        <v/>
      </c>
      <c r="AU105" s="46" t="str">
        <f aca="false">IF(N($J105)=0,"",$J105&amp;IF(AND(IF($K105="","FS",$K105)="FS",N($L105)=0),"",IF($K105="","FS",$K105)&amp;IF(N($L105)=0,"",IF(N($L105)&gt;0,"+","")&amp;N($L105)&amp;"d")))</f>
        <v/>
      </c>
      <c r="AV105" s="46" t="str">
        <f aca="false">IF(AND($AJ105=1,N($F105)=0,$V105&lt;1),$S105+$AF105/100000,"")</f>
        <v/>
      </c>
    </row>
    <row r="106" customFormat="false" ht="15" hidden="false" customHeight="false" outlineLevel="0" collapsed="false">
      <c r="A106" s="38" t="str">
        <f aca="false">IF($D106="","",COUNTA($D$6:$D106))</f>
        <v/>
      </c>
      <c r="B106" s="39" t="str">
        <f aca="true">IF($D106="","",IF($AE106=1,COUNTIF($AE$6:$AE106,1)&amp;"",IF($AG106=0,"?",OFFSET(hdr_WBS,$AG106-ROW(hdr_WBS),0)&amp;"."&amp;COUNTIF(INDEX($AE:$AE,$AG106+1):$AE106,$AE106))))</f>
        <v/>
      </c>
      <c r="C106" s="40"/>
      <c r="D106" s="41"/>
      <c r="E106" s="40"/>
      <c r="F106" s="40"/>
      <c r="G106" s="40"/>
      <c r="H106" s="40"/>
      <c r="I106" s="40"/>
      <c r="J106" s="40"/>
      <c r="K106" s="40"/>
      <c r="L106" s="40"/>
      <c r="M106" s="29"/>
      <c r="N106" s="30" t="str">
        <f aca="true">IF($D106="","",IF($AI106,MIN(OFFSET(hdr_PlanStart,$AF106+1,0,$AH106,1)),IF($E106="Manual",IF(N($M106)&gt;0,$M106,ProjectStart),WORKDAY.INTL(MAX(ProjectStart,N($M106),$AK106,$AL106)-1,1,WorkWeek,Holidays))))</f>
        <v/>
      </c>
      <c r="O106" s="30" t="str">
        <f aca="true">IF($D106="","",IF($AI106,MAX(OFFSET(hdr_PlanFinish,$AF106+1,0,$AH106,1)),IF(N($F106)&lt;=0,$N106,WORKDAY.INTL($N106,$F106-1,WorkWeek,Holidays))))</f>
        <v/>
      </c>
      <c r="P106" s="29"/>
      <c r="Q106" s="29"/>
      <c r="R106" s="30" t="str">
        <f aca="true">IF($D106="","",IF($AI106,MIN(OFFSET(hdr_FcStart,$AF106+1,0,$AH106,1)),IF(N($P106)&gt;0,$P106,IF($E106="Manual",IF(N($M106)&gt;0,$M106,ProjectStart),WORKDAY.INTL(MAX(ProjectStart,N($M106),$AM106,$AN106,IF(RescheduleAfterStatus="Yes",StatusDate,0))-1,1,WorkWeek,Holidays)))))</f>
        <v/>
      </c>
      <c r="S106" s="30" t="str">
        <f aca="true">IF($D106="","",IF($AI106,MAX(OFFSET(hdr_FcFinish,$AF106+1,0,$AH106,1)),IF(N($Q106)&gt;0,$Q106,IF(N($F106)&lt;=0,$R106,IF(AND(N($P106)&gt;0,RescheduleAfterStatus="Yes"),MAX(WORKDAY.INTL($R106,$F106-1,WorkWeek,Holidays),WORKDAY.INTL(StatusWorkday,MAX(0,ROUNDUP($F106*(1-MIN(1,N($U106))),0)-1),WorkWeek,Holidays)),WORKDAY.INTL($R106,$F106-1,WorkWeek,Holidays))))))</f>
        <v/>
      </c>
      <c r="T106" s="38" t="str">
        <f aca="false">IF($D106="","",IF($S106&gt;=$O106,NETWORKDAYS.INTL($O106,$S106,WorkWeek,Holidays)-1,1-NETWORKDAYS.INTL($S106,$O106,WorkWeek,Holidays)))</f>
        <v/>
      </c>
      <c r="U106" s="32"/>
      <c r="V106" s="42" t="str">
        <f aca="true">IF($D106="","",IF($AI106,IFERROR(SUM(OFFSET(hdr_WtDone,$AF106+1,0,$AH106,1))/SUM(OFFSET(hdr_WtDur,$AF106+1,0,$AH106,1)),0),IF(N($Q106)&gt;0,1,MIN(1,N($U106)))))</f>
        <v/>
      </c>
      <c r="W106" s="39" t="str">
        <f aca="false">IF($D106="","",IF($V106&gt;=1,"Complete",IF(OR(N($P106)&gt;0,$V106&gt;0),IF($T106&gt;0,"Behind","In Progress"),IF($N106&lt;StatusDate,"Late Start","Not Started"))))</f>
        <v/>
      </c>
      <c r="X106" s="41"/>
      <c r="Y106" s="32"/>
      <c r="Z106" s="43" t="str">
        <f aca="true">IF($D106="","",IF($AI106,SUMPRODUCT(OFFSET(hdr_Work,$AF106+1,0,$AH106,1),OFFSET(hdr_IsLeaf,$AF106+1,0,$AH106,1)),IF($X106="",0,N($F106)*HoursPerDay*IF($Y106="",DefaultUnits,$Y106))))</f>
        <v/>
      </c>
      <c r="AA106" s="44" t="str">
        <f aca="true">IF($D106="","",IF($AI106,SUMPRODUCT(OFFSET(hdr_Cost,$AF106+1,0,$AH106,1),OFFSET(hdr_IsLeaf,$AF106+1,0,$AH106,1)),$Z106*IFERROR(INDEX(res_Rate,MATCH($X106,res_Name,0)),0)))</f>
        <v/>
      </c>
      <c r="AB106" s="38" t="str">
        <f aca="false">IF(OR($D106="",$AI106),"",IF(OR($R106&lt;Sprint1Start,$R106&gt;SprintLastEnd),"Backlog",INDEX(spr_Name,MATCH($R106,spr_Start,1))))</f>
        <v/>
      </c>
      <c r="AC106" s="45" t="str">
        <f aca="false">IF($D106="","",$AT106&amp;IF(AND($AT106&lt;&gt;"",$AU106&lt;&gt;""),",","")&amp;$AU106)</f>
        <v/>
      </c>
      <c r="AD106" s="41"/>
      <c r="AE106" s="46" t="str">
        <f aca="false">IF($D106="","",MAX(1,N($C106)))</f>
        <v/>
      </c>
      <c r="AF106" s="46" t="n">
        <f aca="false">ROW()-ROW(hdr_ID)</f>
        <v>101</v>
      </c>
      <c r="AG106" s="46" t="n">
        <f aca="false">IF(OR($D106="",$AE106&lt;=1),0,IFERROR(LOOKUP(2,1/($AE$5:$AE105=$AE106-1),ROW($AE$5:$AE105)),0))</f>
        <v>0</v>
      </c>
      <c r="AH106" s="46" t="n">
        <f aca="false">IF($D106="",0,COUNTIF(tsk_WBS,$B106&amp;".*"))</f>
        <v>0</v>
      </c>
      <c r="AI106" s="47" t="b">
        <f aca="false">$AH106&gt;0</f>
        <v>0</v>
      </c>
      <c r="AJ106" s="46" t="n">
        <f aca="false">IF(AND($D106&lt;&gt;"",NOT($AI106)),1,0)</f>
        <v>0</v>
      </c>
      <c r="AK106" s="48" t="n">
        <f aca="true">IF(OR(N($G106)=0,$AI106,$D106=""),0,IFERROR(CHOOSE(MATCH(IF($H106="","FS",$H106),{"FS","SS","FF","SF"},0),WORKDAY.INTL(OFFSET(hdr_PlanFinish,MATCH($G106,tsk_ID,0),0),IF(N($F106)=0,0,1)+N($I106),WorkWeek,Holidays),WORKDAY.INTL(OFFSET(hdr_PlanStart,MATCH($G106,tsk_ID,0),0),N($I106),WorkWeek,Holidays),WORKDAY.INTL(WORKDAY.INTL(OFFSET(hdr_PlanFinish,MATCH($G106,tsk_ID,0),0),N($I106),WorkWeek,Holidays),-MAX(0,N($F106)-1),WorkWeek,Holidays),WORKDAY.INTL(WORKDAY.INTL(OFFSET(hdr_PlanStart,MATCH($G106,tsk_ID,0),0),N($I106),WorkWeek,Holidays),-MAX(0,N($F106)-1),WorkWeek,Holidays)),0))</f>
        <v>0</v>
      </c>
      <c r="AL106" s="48" t="n">
        <f aca="true">IF(OR(N($J106)=0,$AI106,$D106=""),0,IFERROR(CHOOSE(MATCH(IF($K106="","FS",$K106),{"FS","SS","FF","SF"},0),WORKDAY.INTL(OFFSET(hdr_PlanFinish,MATCH($J106,tsk_ID,0),0),IF(N($F106)=0,0,1)+N($L106),WorkWeek,Holidays),WORKDAY.INTL(OFFSET(hdr_PlanStart,MATCH($J106,tsk_ID,0),0),N($L106),WorkWeek,Holidays),WORKDAY.INTL(WORKDAY.INTL(OFFSET(hdr_PlanFinish,MATCH($J106,tsk_ID,0),0),N($L106),WorkWeek,Holidays),-MAX(0,N($F106)-1),WorkWeek,Holidays),WORKDAY.INTL(WORKDAY.INTL(OFFSET(hdr_PlanStart,MATCH($J106,tsk_ID,0),0),N($L106),WorkWeek,Holidays),-MAX(0,N($F106)-1),WorkWeek,Holidays)),0))</f>
        <v>0</v>
      </c>
      <c r="AM106" s="48" t="n">
        <f aca="true">IF(OR(N($G106)=0,$AI106,$D106=""),0,IFERROR(CHOOSE(MATCH(IF($H106="","FS",$H106),{"FS","SS","FF","SF"},0),WORKDAY.INTL(OFFSET(hdr_FcFinish,MATCH($G106,tsk_ID,0),0),IF(N($F106)=0,0,1)+N($I106),WorkWeek,Holidays),WORKDAY.INTL(OFFSET(hdr_FcStart,MATCH($G106,tsk_ID,0),0),N($I106),WorkWeek,Holidays),WORKDAY.INTL(WORKDAY.INTL(OFFSET(hdr_FcFinish,MATCH($G106,tsk_ID,0),0),N($I106),WorkWeek,Holidays),-MAX(0,N($F106)-1),WorkWeek,Holidays),WORKDAY.INTL(WORKDAY.INTL(OFFSET(hdr_FcStart,MATCH($G106,tsk_ID,0),0),N($I106),WorkWeek,Holidays),-MAX(0,N($F106)-1),WorkWeek,Holidays)),0))</f>
        <v>0</v>
      </c>
      <c r="AN106" s="48" t="n">
        <f aca="true">IF(OR(N($J106)=0,$AI106,$D106=""),0,IFERROR(CHOOSE(MATCH(IF($K106="","FS",$K106),{"FS","SS","FF","SF"},0),WORKDAY.INTL(OFFSET(hdr_FcFinish,MATCH($J106,tsk_ID,0),0),IF(N($F106)=0,0,1)+N($L106),WorkWeek,Holidays),WORKDAY.INTL(OFFSET(hdr_FcStart,MATCH($J106,tsk_ID,0),0),N($L106),WorkWeek,Holidays),WORKDAY.INTL(WORKDAY.INTL(OFFSET(hdr_FcFinish,MATCH($J106,tsk_ID,0),0),N($L106),WorkWeek,Holidays),-MAX(0,N($F106)-1),WorkWeek,Holidays),WORKDAY.INTL(WORKDAY.INTL(OFFSET(hdr_FcStart,MATCH($J106,tsk_ID,0),0),N($L106),WorkWeek,Holidays),-MAX(0,N($F106)-1),WorkWeek,Holidays)),0))</f>
        <v>0</v>
      </c>
      <c r="AO106" s="48" t="n">
        <f aca="false">IF($AJ106=1,$R106,0)</f>
        <v>0</v>
      </c>
      <c r="AP106" s="48" t="n">
        <f aca="false">IF($AJ106=1,$S106,0)</f>
        <v>0</v>
      </c>
      <c r="AQ106" s="49" t="n">
        <f aca="false">IF(AND($AJ106=1,N($Z106)&gt;0),$Z106/($AP106-$AO106+1),0)</f>
        <v>0</v>
      </c>
      <c r="AR106" s="46" t="n">
        <f aca="false">IF($AJ106=1,MAX(N($F106),0.1),0)</f>
        <v>0</v>
      </c>
      <c r="AS106" s="46" t="n">
        <f aca="false">IF($AJ106=1,$AR106*$V106,0)</f>
        <v>0</v>
      </c>
      <c r="AT106" s="46" t="str">
        <f aca="false">IF(N($G106)=0,"",$G106&amp;IF(AND(IF($H106="","FS",$H106)="FS",N($I106)=0),"",IF($H106="","FS",$H106)&amp;IF(N($I106)=0,"",IF(N($I106)&gt;0,"+","")&amp;N($I106)&amp;"d")))</f>
        <v/>
      </c>
      <c r="AU106" s="46" t="str">
        <f aca="false">IF(N($J106)=0,"",$J106&amp;IF(AND(IF($K106="","FS",$K106)="FS",N($L106)=0),"",IF($K106="","FS",$K106)&amp;IF(N($L106)=0,"",IF(N($L106)&gt;0,"+","")&amp;N($L106)&amp;"d")))</f>
        <v/>
      </c>
      <c r="AV106" s="46" t="str">
        <f aca="false">IF(AND($AJ106=1,N($F106)=0,$V106&lt;1),$S106+$AF106/100000,"")</f>
        <v/>
      </c>
    </row>
    <row r="107" customFormat="false" ht="15" hidden="false" customHeight="false" outlineLevel="0" collapsed="false">
      <c r="A107" s="38" t="str">
        <f aca="false">IF($D107="","",COUNTA($D$6:$D107))</f>
        <v/>
      </c>
      <c r="B107" s="39" t="str">
        <f aca="true">IF($D107="","",IF($AE107=1,COUNTIF($AE$6:$AE107,1)&amp;"",IF($AG107=0,"?",OFFSET(hdr_WBS,$AG107-ROW(hdr_WBS),0)&amp;"."&amp;COUNTIF(INDEX($AE:$AE,$AG107+1):$AE107,$AE107))))</f>
        <v/>
      </c>
      <c r="C107" s="40"/>
      <c r="D107" s="41"/>
      <c r="E107" s="40"/>
      <c r="F107" s="40"/>
      <c r="G107" s="40"/>
      <c r="H107" s="40"/>
      <c r="I107" s="40"/>
      <c r="J107" s="40"/>
      <c r="K107" s="40"/>
      <c r="L107" s="40"/>
      <c r="M107" s="29"/>
      <c r="N107" s="30" t="str">
        <f aca="true">IF($D107="","",IF($AI107,MIN(OFFSET(hdr_PlanStart,$AF107+1,0,$AH107,1)),IF($E107="Manual",IF(N($M107)&gt;0,$M107,ProjectStart),WORKDAY.INTL(MAX(ProjectStart,N($M107),$AK107,$AL107)-1,1,WorkWeek,Holidays))))</f>
        <v/>
      </c>
      <c r="O107" s="30" t="str">
        <f aca="true">IF($D107="","",IF($AI107,MAX(OFFSET(hdr_PlanFinish,$AF107+1,0,$AH107,1)),IF(N($F107)&lt;=0,$N107,WORKDAY.INTL($N107,$F107-1,WorkWeek,Holidays))))</f>
        <v/>
      </c>
      <c r="P107" s="29"/>
      <c r="Q107" s="29"/>
      <c r="R107" s="30" t="str">
        <f aca="true">IF($D107="","",IF($AI107,MIN(OFFSET(hdr_FcStart,$AF107+1,0,$AH107,1)),IF(N($P107)&gt;0,$P107,IF($E107="Manual",IF(N($M107)&gt;0,$M107,ProjectStart),WORKDAY.INTL(MAX(ProjectStart,N($M107),$AM107,$AN107,IF(RescheduleAfterStatus="Yes",StatusDate,0))-1,1,WorkWeek,Holidays)))))</f>
        <v/>
      </c>
      <c r="S107" s="30" t="str">
        <f aca="true">IF($D107="","",IF($AI107,MAX(OFFSET(hdr_FcFinish,$AF107+1,0,$AH107,1)),IF(N($Q107)&gt;0,$Q107,IF(N($F107)&lt;=0,$R107,IF(AND(N($P107)&gt;0,RescheduleAfterStatus="Yes"),MAX(WORKDAY.INTL($R107,$F107-1,WorkWeek,Holidays),WORKDAY.INTL(StatusWorkday,MAX(0,ROUNDUP($F107*(1-MIN(1,N($U107))),0)-1),WorkWeek,Holidays)),WORKDAY.INTL($R107,$F107-1,WorkWeek,Holidays))))))</f>
        <v/>
      </c>
      <c r="T107" s="38" t="str">
        <f aca="false">IF($D107="","",IF($S107&gt;=$O107,NETWORKDAYS.INTL($O107,$S107,WorkWeek,Holidays)-1,1-NETWORKDAYS.INTL($S107,$O107,WorkWeek,Holidays)))</f>
        <v/>
      </c>
      <c r="U107" s="32"/>
      <c r="V107" s="42" t="str">
        <f aca="true">IF($D107="","",IF($AI107,IFERROR(SUM(OFFSET(hdr_WtDone,$AF107+1,0,$AH107,1))/SUM(OFFSET(hdr_WtDur,$AF107+1,0,$AH107,1)),0),IF(N($Q107)&gt;0,1,MIN(1,N($U107)))))</f>
        <v/>
      </c>
      <c r="W107" s="39" t="str">
        <f aca="false">IF($D107="","",IF($V107&gt;=1,"Complete",IF(OR(N($P107)&gt;0,$V107&gt;0),IF($T107&gt;0,"Behind","In Progress"),IF($N107&lt;StatusDate,"Late Start","Not Started"))))</f>
        <v/>
      </c>
      <c r="X107" s="41"/>
      <c r="Y107" s="32"/>
      <c r="Z107" s="43" t="str">
        <f aca="true">IF($D107="","",IF($AI107,SUMPRODUCT(OFFSET(hdr_Work,$AF107+1,0,$AH107,1),OFFSET(hdr_IsLeaf,$AF107+1,0,$AH107,1)),IF($X107="",0,N($F107)*HoursPerDay*IF($Y107="",DefaultUnits,$Y107))))</f>
        <v/>
      </c>
      <c r="AA107" s="44" t="str">
        <f aca="true">IF($D107="","",IF($AI107,SUMPRODUCT(OFFSET(hdr_Cost,$AF107+1,0,$AH107,1),OFFSET(hdr_IsLeaf,$AF107+1,0,$AH107,1)),$Z107*IFERROR(INDEX(res_Rate,MATCH($X107,res_Name,0)),0)))</f>
        <v/>
      </c>
      <c r="AB107" s="38" t="str">
        <f aca="false">IF(OR($D107="",$AI107),"",IF(OR($R107&lt;Sprint1Start,$R107&gt;SprintLastEnd),"Backlog",INDEX(spr_Name,MATCH($R107,spr_Start,1))))</f>
        <v/>
      </c>
      <c r="AC107" s="45" t="str">
        <f aca="false">IF($D107="","",$AT107&amp;IF(AND($AT107&lt;&gt;"",$AU107&lt;&gt;""),",","")&amp;$AU107)</f>
        <v/>
      </c>
      <c r="AD107" s="41"/>
      <c r="AE107" s="46" t="str">
        <f aca="false">IF($D107="","",MAX(1,N($C107)))</f>
        <v/>
      </c>
      <c r="AF107" s="46" t="n">
        <f aca="false">ROW()-ROW(hdr_ID)</f>
        <v>102</v>
      </c>
      <c r="AG107" s="46" t="n">
        <f aca="false">IF(OR($D107="",$AE107&lt;=1),0,IFERROR(LOOKUP(2,1/($AE$5:$AE106=$AE107-1),ROW($AE$5:$AE106)),0))</f>
        <v>0</v>
      </c>
      <c r="AH107" s="46" t="n">
        <f aca="false">IF($D107="",0,COUNTIF(tsk_WBS,$B107&amp;".*"))</f>
        <v>0</v>
      </c>
      <c r="AI107" s="47" t="b">
        <f aca="false">$AH107&gt;0</f>
        <v>0</v>
      </c>
      <c r="AJ107" s="46" t="n">
        <f aca="false">IF(AND($D107&lt;&gt;"",NOT($AI107)),1,0)</f>
        <v>0</v>
      </c>
      <c r="AK107" s="48" t="n">
        <f aca="true">IF(OR(N($G107)=0,$AI107,$D107=""),0,IFERROR(CHOOSE(MATCH(IF($H107="","FS",$H107),{"FS","SS","FF","SF"},0),WORKDAY.INTL(OFFSET(hdr_PlanFinish,MATCH($G107,tsk_ID,0),0),IF(N($F107)=0,0,1)+N($I107),WorkWeek,Holidays),WORKDAY.INTL(OFFSET(hdr_PlanStart,MATCH($G107,tsk_ID,0),0),N($I107),WorkWeek,Holidays),WORKDAY.INTL(WORKDAY.INTL(OFFSET(hdr_PlanFinish,MATCH($G107,tsk_ID,0),0),N($I107),WorkWeek,Holidays),-MAX(0,N($F107)-1),WorkWeek,Holidays),WORKDAY.INTL(WORKDAY.INTL(OFFSET(hdr_PlanStart,MATCH($G107,tsk_ID,0),0),N($I107),WorkWeek,Holidays),-MAX(0,N($F107)-1),WorkWeek,Holidays)),0))</f>
        <v>0</v>
      </c>
      <c r="AL107" s="48" t="n">
        <f aca="true">IF(OR(N($J107)=0,$AI107,$D107=""),0,IFERROR(CHOOSE(MATCH(IF($K107="","FS",$K107),{"FS","SS","FF","SF"},0),WORKDAY.INTL(OFFSET(hdr_PlanFinish,MATCH($J107,tsk_ID,0),0),IF(N($F107)=0,0,1)+N($L107),WorkWeek,Holidays),WORKDAY.INTL(OFFSET(hdr_PlanStart,MATCH($J107,tsk_ID,0),0),N($L107),WorkWeek,Holidays),WORKDAY.INTL(WORKDAY.INTL(OFFSET(hdr_PlanFinish,MATCH($J107,tsk_ID,0),0),N($L107),WorkWeek,Holidays),-MAX(0,N($F107)-1),WorkWeek,Holidays),WORKDAY.INTL(WORKDAY.INTL(OFFSET(hdr_PlanStart,MATCH($J107,tsk_ID,0),0),N($L107),WorkWeek,Holidays),-MAX(0,N($F107)-1),WorkWeek,Holidays)),0))</f>
        <v>0</v>
      </c>
      <c r="AM107" s="48" t="n">
        <f aca="true">IF(OR(N($G107)=0,$AI107,$D107=""),0,IFERROR(CHOOSE(MATCH(IF($H107="","FS",$H107),{"FS","SS","FF","SF"},0),WORKDAY.INTL(OFFSET(hdr_FcFinish,MATCH($G107,tsk_ID,0),0),IF(N($F107)=0,0,1)+N($I107),WorkWeek,Holidays),WORKDAY.INTL(OFFSET(hdr_FcStart,MATCH($G107,tsk_ID,0),0),N($I107),WorkWeek,Holidays),WORKDAY.INTL(WORKDAY.INTL(OFFSET(hdr_FcFinish,MATCH($G107,tsk_ID,0),0),N($I107),WorkWeek,Holidays),-MAX(0,N($F107)-1),WorkWeek,Holidays),WORKDAY.INTL(WORKDAY.INTL(OFFSET(hdr_FcStart,MATCH($G107,tsk_ID,0),0),N($I107),WorkWeek,Holidays),-MAX(0,N($F107)-1),WorkWeek,Holidays)),0))</f>
        <v>0</v>
      </c>
      <c r="AN107" s="48" t="n">
        <f aca="true">IF(OR(N($J107)=0,$AI107,$D107=""),0,IFERROR(CHOOSE(MATCH(IF($K107="","FS",$K107),{"FS","SS","FF","SF"},0),WORKDAY.INTL(OFFSET(hdr_FcFinish,MATCH($J107,tsk_ID,0),0),IF(N($F107)=0,0,1)+N($L107),WorkWeek,Holidays),WORKDAY.INTL(OFFSET(hdr_FcStart,MATCH($J107,tsk_ID,0),0),N($L107),WorkWeek,Holidays),WORKDAY.INTL(WORKDAY.INTL(OFFSET(hdr_FcFinish,MATCH($J107,tsk_ID,0),0),N($L107),WorkWeek,Holidays),-MAX(0,N($F107)-1),WorkWeek,Holidays),WORKDAY.INTL(WORKDAY.INTL(OFFSET(hdr_FcStart,MATCH($J107,tsk_ID,0),0),N($L107),WorkWeek,Holidays),-MAX(0,N($F107)-1),WorkWeek,Holidays)),0))</f>
        <v>0</v>
      </c>
      <c r="AO107" s="48" t="n">
        <f aca="false">IF($AJ107=1,$R107,0)</f>
        <v>0</v>
      </c>
      <c r="AP107" s="48" t="n">
        <f aca="false">IF($AJ107=1,$S107,0)</f>
        <v>0</v>
      </c>
      <c r="AQ107" s="49" t="n">
        <f aca="false">IF(AND($AJ107=1,N($Z107)&gt;0),$Z107/($AP107-$AO107+1),0)</f>
        <v>0</v>
      </c>
      <c r="AR107" s="46" t="n">
        <f aca="false">IF($AJ107=1,MAX(N($F107),0.1),0)</f>
        <v>0</v>
      </c>
      <c r="AS107" s="46" t="n">
        <f aca="false">IF($AJ107=1,$AR107*$V107,0)</f>
        <v>0</v>
      </c>
      <c r="AT107" s="46" t="str">
        <f aca="false">IF(N($G107)=0,"",$G107&amp;IF(AND(IF($H107="","FS",$H107)="FS",N($I107)=0),"",IF($H107="","FS",$H107)&amp;IF(N($I107)=0,"",IF(N($I107)&gt;0,"+","")&amp;N($I107)&amp;"d")))</f>
        <v/>
      </c>
      <c r="AU107" s="46" t="str">
        <f aca="false">IF(N($J107)=0,"",$J107&amp;IF(AND(IF($K107="","FS",$K107)="FS",N($L107)=0),"",IF($K107="","FS",$K107)&amp;IF(N($L107)=0,"",IF(N($L107)&gt;0,"+","")&amp;N($L107)&amp;"d")))</f>
        <v/>
      </c>
      <c r="AV107" s="46" t="str">
        <f aca="false">IF(AND($AJ107=1,N($F107)=0,$V107&lt;1),$S107+$AF107/100000,"")</f>
        <v/>
      </c>
    </row>
    <row r="108" customFormat="false" ht="15" hidden="false" customHeight="false" outlineLevel="0" collapsed="false">
      <c r="A108" s="38" t="str">
        <f aca="false">IF($D108="","",COUNTA($D$6:$D108))</f>
        <v/>
      </c>
      <c r="B108" s="39" t="str">
        <f aca="true">IF($D108="","",IF($AE108=1,COUNTIF($AE$6:$AE108,1)&amp;"",IF($AG108=0,"?",OFFSET(hdr_WBS,$AG108-ROW(hdr_WBS),0)&amp;"."&amp;COUNTIF(INDEX($AE:$AE,$AG108+1):$AE108,$AE108))))</f>
        <v/>
      </c>
      <c r="C108" s="40"/>
      <c r="D108" s="41"/>
      <c r="E108" s="40"/>
      <c r="F108" s="40"/>
      <c r="G108" s="40"/>
      <c r="H108" s="40"/>
      <c r="I108" s="40"/>
      <c r="J108" s="40"/>
      <c r="K108" s="40"/>
      <c r="L108" s="40"/>
      <c r="M108" s="29"/>
      <c r="N108" s="30" t="str">
        <f aca="true">IF($D108="","",IF($AI108,MIN(OFFSET(hdr_PlanStart,$AF108+1,0,$AH108,1)),IF($E108="Manual",IF(N($M108)&gt;0,$M108,ProjectStart),WORKDAY.INTL(MAX(ProjectStart,N($M108),$AK108,$AL108)-1,1,WorkWeek,Holidays))))</f>
        <v/>
      </c>
      <c r="O108" s="30" t="str">
        <f aca="true">IF($D108="","",IF($AI108,MAX(OFFSET(hdr_PlanFinish,$AF108+1,0,$AH108,1)),IF(N($F108)&lt;=0,$N108,WORKDAY.INTL($N108,$F108-1,WorkWeek,Holidays))))</f>
        <v/>
      </c>
      <c r="P108" s="29"/>
      <c r="Q108" s="29"/>
      <c r="R108" s="30" t="str">
        <f aca="true">IF($D108="","",IF($AI108,MIN(OFFSET(hdr_FcStart,$AF108+1,0,$AH108,1)),IF(N($P108)&gt;0,$P108,IF($E108="Manual",IF(N($M108)&gt;0,$M108,ProjectStart),WORKDAY.INTL(MAX(ProjectStart,N($M108),$AM108,$AN108,IF(RescheduleAfterStatus="Yes",StatusDate,0))-1,1,WorkWeek,Holidays)))))</f>
        <v/>
      </c>
      <c r="S108" s="30" t="str">
        <f aca="true">IF($D108="","",IF($AI108,MAX(OFFSET(hdr_FcFinish,$AF108+1,0,$AH108,1)),IF(N($Q108)&gt;0,$Q108,IF(N($F108)&lt;=0,$R108,IF(AND(N($P108)&gt;0,RescheduleAfterStatus="Yes"),MAX(WORKDAY.INTL($R108,$F108-1,WorkWeek,Holidays),WORKDAY.INTL(StatusWorkday,MAX(0,ROUNDUP($F108*(1-MIN(1,N($U108))),0)-1),WorkWeek,Holidays)),WORKDAY.INTL($R108,$F108-1,WorkWeek,Holidays))))))</f>
        <v/>
      </c>
      <c r="T108" s="38" t="str">
        <f aca="false">IF($D108="","",IF($S108&gt;=$O108,NETWORKDAYS.INTL($O108,$S108,WorkWeek,Holidays)-1,1-NETWORKDAYS.INTL($S108,$O108,WorkWeek,Holidays)))</f>
        <v/>
      </c>
      <c r="U108" s="32"/>
      <c r="V108" s="42" t="str">
        <f aca="true">IF($D108="","",IF($AI108,IFERROR(SUM(OFFSET(hdr_WtDone,$AF108+1,0,$AH108,1))/SUM(OFFSET(hdr_WtDur,$AF108+1,0,$AH108,1)),0),IF(N($Q108)&gt;0,1,MIN(1,N($U108)))))</f>
        <v/>
      </c>
      <c r="W108" s="39" t="str">
        <f aca="false">IF($D108="","",IF($V108&gt;=1,"Complete",IF(OR(N($P108)&gt;0,$V108&gt;0),IF($T108&gt;0,"Behind","In Progress"),IF($N108&lt;StatusDate,"Late Start","Not Started"))))</f>
        <v/>
      </c>
      <c r="X108" s="41"/>
      <c r="Y108" s="32"/>
      <c r="Z108" s="43" t="str">
        <f aca="true">IF($D108="","",IF($AI108,SUMPRODUCT(OFFSET(hdr_Work,$AF108+1,0,$AH108,1),OFFSET(hdr_IsLeaf,$AF108+1,0,$AH108,1)),IF($X108="",0,N($F108)*HoursPerDay*IF($Y108="",DefaultUnits,$Y108))))</f>
        <v/>
      </c>
      <c r="AA108" s="44" t="str">
        <f aca="true">IF($D108="","",IF($AI108,SUMPRODUCT(OFFSET(hdr_Cost,$AF108+1,0,$AH108,1),OFFSET(hdr_IsLeaf,$AF108+1,0,$AH108,1)),$Z108*IFERROR(INDEX(res_Rate,MATCH($X108,res_Name,0)),0)))</f>
        <v/>
      </c>
      <c r="AB108" s="38" t="str">
        <f aca="false">IF(OR($D108="",$AI108),"",IF(OR($R108&lt;Sprint1Start,$R108&gt;SprintLastEnd),"Backlog",INDEX(spr_Name,MATCH($R108,spr_Start,1))))</f>
        <v/>
      </c>
      <c r="AC108" s="45" t="str">
        <f aca="false">IF($D108="","",$AT108&amp;IF(AND($AT108&lt;&gt;"",$AU108&lt;&gt;""),",","")&amp;$AU108)</f>
        <v/>
      </c>
      <c r="AD108" s="41"/>
      <c r="AE108" s="46" t="str">
        <f aca="false">IF($D108="","",MAX(1,N($C108)))</f>
        <v/>
      </c>
      <c r="AF108" s="46" t="n">
        <f aca="false">ROW()-ROW(hdr_ID)</f>
        <v>103</v>
      </c>
      <c r="AG108" s="46" t="n">
        <f aca="false">IF(OR($D108="",$AE108&lt;=1),0,IFERROR(LOOKUP(2,1/($AE$5:$AE107=$AE108-1),ROW($AE$5:$AE107)),0))</f>
        <v>0</v>
      </c>
      <c r="AH108" s="46" t="n">
        <f aca="false">IF($D108="",0,COUNTIF(tsk_WBS,$B108&amp;".*"))</f>
        <v>0</v>
      </c>
      <c r="AI108" s="47" t="b">
        <f aca="false">$AH108&gt;0</f>
        <v>0</v>
      </c>
      <c r="AJ108" s="46" t="n">
        <f aca="false">IF(AND($D108&lt;&gt;"",NOT($AI108)),1,0)</f>
        <v>0</v>
      </c>
      <c r="AK108" s="48" t="n">
        <f aca="true">IF(OR(N($G108)=0,$AI108,$D108=""),0,IFERROR(CHOOSE(MATCH(IF($H108="","FS",$H108),{"FS","SS","FF","SF"},0),WORKDAY.INTL(OFFSET(hdr_PlanFinish,MATCH($G108,tsk_ID,0),0),IF(N($F108)=0,0,1)+N($I108),WorkWeek,Holidays),WORKDAY.INTL(OFFSET(hdr_PlanStart,MATCH($G108,tsk_ID,0),0),N($I108),WorkWeek,Holidays),WORKDAY.INTL(WORKDAY.INTL(OFFSET(hdr_PlanFinish,MATCH($G108,tsk_ID,0),0),N($I108),WorkWeek,Holidays),-MAX(0,N($F108)-1),WorkWeek,Holidays),WORKDAY.INTL(WORKDAY.INTL(OFFSET(hdr_PlanStart,MATCH($G108,tsk_ID,0),0),N($I108),WorkWeek,Holidays),-MAX(0,N($F108)-1),WorkWeek,Holidays)),0))</f>
        <v>0</v>
      </c>
      <c r="AL108" s="48" t="n">
        <f aca="true">IF(OR(N($J108)=0,$AI108,$D108=""),0,IFERROR(CHOOSE(MATCH(IF($K108="","FS",$K108),{"FS","SS","FF","SF"},0),WORKDAY.INTL(OFFSET(hdr_PlanFinish,MATCH($J108,tsk_ID,0),0),IF(N($F108)=0,0,1)+N($L108),WorkWeek,Holidays),WORKDAY.INTL(OFFSET(hdr_PlanStart,MATCH($J108,tsk_ID,0),0),N($L108),WorkWeek,Holidays),WORKDAY.INTL(WORKDAY.INTL(OFFSET(hdr_PlanFinish,MATCH($J108,tsk_ID,0),0),N($L108),WorkWeek,Holidays),-MAX(0,N($F108)-1),WorkWeek,Holidays),WORKDAY.INTL(WORKDAY.INTL(OFFSET(hdr_PlanStart,MATCH($J108,tsk_ID,0),0),N($L108),WorkWeek,Holidays),-MAX(0,N($F108)-1),WorkWeek,Holidays)),0))</f>
        <v>0</v>
      </c>
      <c r="AM108" s="48" t="n">
        <f aca="true">IF(OR(N($G108)=0,$AI108,$D108=""),0,IFERROR(CHOOSE(MATCH(IF($H108="","FS",$H108),{"FS","SS","FF","SF"},0),WORKDAY.INTL(OFFSET(hdr_FcFinish,MATCH($G108,tsk_ID,0),0),IF(N($F108)=0,0,1)+N($I108),WorkWeek,Holidays),WORKDAY.INTL(OFFSET(hdr_FcStart,MATCH($G108,tsk_ID,0),0),N($I108),WorkWeek,Holidays),WORKDAY.INTL(WORKDAY.INTL(OFFSET(hdr_FcFinish,MATCH($G108,tsk_ID,0),0),N($I108),WorkWeek,Holidays),-MAX(0,N($F108)-1),WorkWeek,Holidays),WORKDAY.INTL(WORKDAY.INTL(OFFSET(hdr_FcStart,MATCH($G108,tsk_ID,0),0),N($I108),WorkWeek,Holidays),-MAX(0,N($F108)-1),WorkWeek,Holidays)),0))</f>
        <v>0</v>
      </c>
      <c r="AN108" s="48" t="n">
        <f aca="true">IF(OR(N($J108)=0,$AI108,$D108=""),0,IFERROR(CHOOSE(MATCH(IF($K108="","FS",$K108),{"FS","SS","FF","SF"},0),WORKDAY.INTL(OFFSET(hdr_FcFinish,MATCH($J108,tsk_ID,0),0),IF(N($F108)=0,0,1)+N($L108),WorkWeek,Holidays),WORKDAY.INTL(OFFSET(hdr_FcStart,MATCH($J108,tsk_ID,0),0),N($L108),WorkWeek,Holidays),WORKDAY.INTL(WORKDAY.INTL(OFFSET(hdr_FcFinish,MATCH($J108,tsk_ID,0),0),N($L108),WorkWeek,Holidays),-MAX(0,N($F108)-1),WorkWeek,Holidays),WORKDAY.INTL(WORKDAY.INTL(OFFSET(hdr_FcStart,MATCH($J108,tsk_ID,0),0),N($L108),WorkWeek,Holidays),-MAX(0,N($F108)-1),WorkWeek,Holidays)),0))</f>
        <v>0</v>
      </c>
      <c r="AO108" s="48" t="n">
        <f aca="false">IF($AJ108=1,$R108,0)</f>
        <v>0</v>
      </c>
      <c r="AP108" s="48" t="n">
        <f aca="false">IF($AJ108=1,$S108,0)</f>
        <v>0</v>
      </c>
      <c r="AQ108" s="49" t="n">
        <f aca="false">IF(AND($AJ108=1,N($Z108)&gt;0),$Z108/($AP108-$AO108+1),0)</f>
        <v>0</v>
      </c>
      <c r="AR108" s="46" t="n">
        <f aca="false">IF($AJ108=1,MAX(N($F108),0.1),0)</f>
        <v>0</v>
      </c>
      <c r="AS108" s="46" t="n">
        <f aca="false">IF($AJ108=1,$AR108*$V108,0)</f>
        <v>0</v>
      </c>
      <c r="AT108" s="46" t="str">
        <f aca="false">IF(N($G108)=0,"",$G108&amp;IF(AND(IF($H108="","FS",$H108)="FS",N($I108)=0),"",IF($H108="","FS",$H108)&amp;IF(N($I108)=0,"",IF(N($I108)&gt;0,"+","")&amp;N($I108)&amp;"d")))</f>
        <v/>
      </c>
      <c r="AU108" s="46" t="str">
        <f aca="false">IF(N($J108)=0,"",$J108&amp;IF(AND(IF($K108="","FS",$K108)="FS",N($L108)=0),"",IF($K108="","FS",$K108)&amp;IF(N($L108)=0,"",IF(N($L108)&gt;0,"+","")&amp;N($L108)&amp;"d")))</f>
        <v/>
      </c>
      <c r="AV108" s="46" t="str">
        <f aca="false">IF(AND($AJ108=1,N($F108)=0,$V108&lt;1),$S108+$AF108/100000,"")</f>
        <v/>
      </c>
    </row>
    <row r="109" customFormat="false" ht="15" hidden="false" customHeight="false" outlineLevel="0" collapsed="false">
      <c r="A109" s="38" t="str">
        <f aca="false">IF($D109="","",COUNTA($D$6:$D109))</f>
        <v/>
      </c>
      <c r="B109" s="39" t="str">
        <f aca="true">IF($D109="","",IF($AE109=1,COUNTIF($AE$6:$AE109,1)&amp;"",IF($AG109=0,"?",OFFSET(hdr_WBS,$AG109-ROW(hdr_WBS),0)&amp;"."&amp;COUNTIF(INDEX($AE:$AE,$AG109+1):$AE109,$AE109))))</f>
        <v/>
      </c>
      <c r="C109" s="40"/>
      <c r="D109" s="41"/>
      <c r="E109" s="40"/>
      <c r="F109" s="40"/>
      <c r="G109" s="40"/>
      <c r="H109" s="40"/>
      <c r="I109" s="40"/>
      <c r="J109" s="40"/>
      <c r="K109" s="40"/>
      <c r="L109" s="40"/>
      <c r="M109" s="29"/>
      <c r="N109" s="30" t="str">
        <f aca="true">IF($D109="","",IF($AI109,MIN(OFFSET(hdr_PlanStart,$AF109+1,0,$AH109,1)),IF($E109="Manual",IF(N($M109)&gt;0,$M109,ProjectStart),WORKDAY.INTL(MAX(ProjectStart,N($M109),$AK109,$AL109)-1,1,WorkWeek,Holidays))))</f>
        <v/>
      </c>
      <c r="O109" s="30" t="str">
        <f aca="true">IF($D109="","",IF($AI109,MAX(OFFSET(hdr_PlanFinish,$AF109+1,0,$AH109,1)),IF(N($F109)&lt;=0,$N109,WORKDAY.INTL($N109,$F109-1,WorkWeek,Holidays))))</f>
        <v/>
      </c>
      <c r="P109" s="29"/>
      <c r="Q109" s="29"/>
      <c r="R109" s="30" t="str">
        <f aca="true">IF($D109="","",IF($AI109,MIN(OFFSET(hdr_FcStart,$AF109+1,0,$AH109,1)),IF(N($P109)&gt;0,$P109,IF($E109="Manual",IF(N($M109)&gt;0,$M109,ProjectStart),WORKDAY.INTL(MAX(ProjectStart,N($M109),$AM109,$AN109,IF(RescheduleAfterStatus="Yes",StatusDate,0))-1,1,WorkWeek,Holidays)))))</f>
        <v/>
      </c>
      <c r="S109" s="30" t="str">
        <f aca="true">IF($D109="","",IF($AI109,MAX(OFFSET(hdr_FcFinish,$AF109+1,0,$AH109,1)),IF(N($Q109)&gt;0,$Q109,IF(N($F109)&lt;=0,$R109,IF(AND(N($P109)&gt;0,RescheduleAfterStatus="Yes"),MAX(WORKDAY.INTL($R109,$F109-1,WorkWeek,Holidays),WORKDAY.INTL(StatusWorkday,MAX(0,ROUNDUP($F109*(1-MIN(1,N($U109))),0)-1),WorkWeek,Holidays)),WORKDAY.INTL($R109,$F109-1,WorkWeek,Holidays))))))</f>
        <v/>
      </c>
      <c r="T109" s="38" t="str">
        <f aca="false">IF($D109="","",IF($S109&gt;=$O109,NETWORKDAYS.INTL($O109,$S109,WorkWeek,Holidays)-1,1-NETWORKDAYS.INTL($S109,$O109,WorkWeek,Holidays)))</f>
        <v/>
      </c>
      <c r="U109" s="32"/>
      <c r="V109" s="42" t="str">
        <f aca="true">IF($D109="","",IF($AI109,IFERROR(SUM(OFFSET(hdr_WtDone,$AF109+1,0,$AH109,1))/SUM(OFFSET(hdr_WtDur,$AF109+1,0,$AH109,1)),0),IF(N($Q109)&gt;0,1,MIN(1,N($U109)))))</f>
        <v/>
      </c>
      <c r="W109" s="39" t="str">
        <f aca="false">IF($D109="","",IF($V109&gt;=1,"Complete",IF(OR(N($P109)&gt;0,$V109&gt;0),IF($T109&gt;0,"Behind","In Progress"),IF($N109&lt;StatusDate,"Late Start","Not Started"))))</f>
        <v/>
      </c>
      <c r="X109" s="41"/>
      <c r="Y109" s="32"/>
      <c r="Z109" s="43" t="str">
        <f aca="true">IF($D109="","",IF($AI109,SUMPRODUCT(OFFSET(hdr_Work,$AF109+1,0,$AH109,1),OFFSET(hdr_IsLeaf,$AF109+1,0,$AH109,1)),IF($X109="",0,N($F109)*HoursPerDay*IF($Y109="",DefaultUnits,$Y109))))</f>
        <v/>
      </c>
      <c r="AA109" s="44" t="str">
        <f aca="true">IF($D109="","",IF($AI109,SUMPRODUCT(OFFSET(hdr_Cost,$AF109+1,0,$AH109,1),OFFSET(hdr_IsLeaf,$AF109+1,0,$AH109,1)),$Z109*IFERROR(INDEX(res_Rate,MATCH($X109,res_Name,0)),0)))</f>
        <v/>
      </c>
      <c r="AB109" s="38" t="str">
        <f aca="false">IF(OR($D109="",$AI109),"",IF(OR($R109&lt;Sprint1Start,$R109&gt;SprintLastEnd),"Backlog",INDEX(spr_Name,MATCH($R109,spr_Start,1))))</f>
        <v/>
      </c>
      <c r="AC109" s="45" t="str">
        <f aca="false">IF($D109="","",$AT109&amp;IF(AND($AT109&lt;&gt;"",$AU109&lt;&gt;""),",","")&amp;$AU109)</f>
        <v/>
      </c>
      <c r="AD109" s="41"/>
      <c r="AE109" s="46" t="str">
        <f aca="false">IF($D109="","",MAX(1,N($C109)))</f>
        <v/>
      </c>
      <c r="AF109" s="46" t="n">
        <f aca="false">ROW()-ROW(hdr_ID)</f>
        <v>104</v>
      </c>
      <c r="AG109" s="46" t="n">
        <f aca="false">IF(OR($D109="",$AE109&lt;=1),0,IFERROR(LOOKUP(2,1/($AE$5:$AE108=$AE109-1),ROW($AE$5:$AE108)),0))</f>
        <v>0</v>
      </c>
      <c r="AH109" s="46" t="n">
        <f aca="false">IF($D109="",0,COUNTIF(tsk_WBS,$B109&amp;".*"))</f>
        <v>0</v>
      </c>
      <c r="AI109" s="47" t="b">
        <f aca="false">$AH109&gt;0</f>
        <v>0</v>
      </c>
      <c r="AJ109" s="46" t="n">
        <f aca="false">IF(AND($D109&lt;&gt;"",NOT($AI109)),1,0)</f>
        <v>0</v>
      </c>
      <c r="AK109" s="48" t="n">
        <f aca="true">IF(OR(N($G109)=0,$AI109,$D109=""),0,IFERROR(CHOOSE(MATCH(IF($H109="","FS",$H109),{"FS","SS","FF","SF"},0),WORKDAY.INTL(OFFSET(hdr_PlanFinish,MATCH($G109,tsk_ID,0),0),IF(N($F109)=0,0,1)+N($I109),WorkWeek,Holidays),WORKDAY.INTL(OFFSET(hdr_PlanStart,MATCH($G109,tsk_ID,0),0),N($I109),WorkWeek,Holidays),WORKDAY.INTL(WORKDAY.INTL(OFFSET(hdr_PlanFinish,MATCH($G109,tsk_ID,0),0),N($I109),WorkWeek,Holidays),-MAX(0,N($F109)-1),WorkWeek,Holidays),WORKDAY.INTL(WORKDAY.INTL(OFFSET(hdr_PlanStart,MATCH($G109,tsk_ID,0),0),N($I109),WorkWeek,Holidays),-MAX(0,N($F109)-1),WorkWeek,Holidays)),0))</f>
        <v>0</v>
      </c>
      <c r="AL109" s="48" t="n">
        <f aca="true">IF(OR(N($J109)=0,$AI109,$D109=""),0,IFERROR(CHOOSE(MATCH(IF($K109="","FS",$K109),{"FS","SS","FF","SF"},0),WORKDAY.INTL(OFFSET(hdr_PlanFinish,MATCH($J109,tsk_ID,0),0),IF(N($F109)=0,0,1)+N($L109),WorkWeek,Holidays),WORKDAY.INTL(OFFSET(hdr_PlanStart,MATCH($J109,tsk_ID,0),0),N($L109),WorkWeek,Holidays),WORKDAY.INTL(WORKDAY.INTL(OFFSET(hdr_PlanFinish,MATCH($J109,tsk_ID,0),0),N($L109),WorkWeek,Holidays),-MAX(0,N($F109)-1),WorkWeek,Holidays),WORKDAY.INTL(WORKDAY.INTL(OFFSET(hdr_PlanStart,MATCH($J109,tsk_ID,0),0),N($L109),WorkWeek,Holidays),-MAX(0,N($F109)-1),WorkWeek,Holidays)),0))</f>
        <v>0</v>
      </c>
      <c r="AM109" s="48" t="n">
        <f aca="true">IF(OR(N($G109)=0,$AI109,$D109=""),0,IFERROR(CHOOSE(MATCH(IF($H109="","FS",$H109),{"FS","SS","FF","SF"},0),WORKDAY.INTL(OFFSET(hdr_FcFinish,MATCH($G109,tsk_ID,0),0),IF(N($F109)=0,0,1)+N($I109),WorkWeek,Holidays),WORKDAY.INTL(OFFSET(hdr_FcStart,MATCH($G109,tsk_ID,0),0),N($I109),WorkWeek,Holidays),WORKDAY.INTL(WORKDAY.INTL(OFFSET(hdr_FcFinish,MATCH($G109,tsk_ID,0),0),N($I109),WorkWeek,Holidays),-MAX(0,N($F109)-1),WorkWeek,Holidays),WORKDAY.INTL(WORKDAY.INTL(OFFSET(hdr_FcStart,MATCH($G109,tsk_ID,0),0),N($I109),WorkWeek,Holidays),-MAX(0,N($F109)-1),WorkWeek,Holidays)),0))</f>
        <v>0</v>
      </c>
      <c r="AN109" s="48" t="n">
        <f aca="true">IF(OR(N($J109)=0,$AI109,$D109=""),0,IFERROR(CHOOSE(MATCH(IF($K109="","FS",$K109),{"FS","SS","FF","SF"},0),WORKDAY.INTL(OFFSET(hdr_FcFinish,MATCH($J109,tsk_ID,0),0),IF(N($F109)=0,0,1)+N($L109),WorkWeek,Holidays),WORKDAY.INTL(OFFSET(hdr_FcStart,MATCH($J109,tsk_ID,0),0),N($L109),WorkWeek,Holidays),WORKDAY.INTL(WORKDAY.INTL(OFFSET(hdr_FcFinish,MATCH($J109,tsk_ID,0),0),N($L109),WorkWeek,Holidays),-MAX(0,N($F109)-1),WorkWeek,Holidays),WORKDAY.INTL(WORKDAY.INTL(OFFSET(hdr_FcStart,MATCH($J109,tsk_ID,0),0),N($L109),WorkWeek,Holidays),-MAX(0,N($F109)-1),WorkWeek,Holidays)),0))</f>
        <v>0</v>
      </c>
      <c r="AO109" s="48" t="n">
        <f aca="false">IF($AJ109=1,$R109,0)</f>
        <v>0</v>
      </c>
      <c r="AP109" s="48" t="n">
        <f aca="false">IF($AJ109=1,$S109,0)</f>
        <v>0</v>
      </c>
      <c r="AQ109" s="49" t="n">
        <f aca="false">IF(AND($AJ109=1,N($Z109)&gt;0),$Z109/($AP109-$AO109+1),0)</f>
        <v>0</v>
      </c>
      <c r="AR109" s="46" t="n">
        <f aca="false">IF($AJ109=1,MAX(N($F109),0.1),0)</f>
        <v>0</v>
      </c>
      <c r="AS109" s="46" t="n">
        <f aca="false">IF($AJ109=1,$AR109*$V109,0)</f>
        <v>0</v>
      </c>
      <c r="AT109" s="46" t="str">
        <f aca="false">IF(N($G109)=0,"",$G109&amp;IF(AND(IF($H109="","FS",$H109)="FS",N($I109)=0),"",IF($H109="","FS",$H109)&amp;IF(N($I109)=0,"",IF(N($I109)&gt;0,"+","")&amp;N($I109)&amp;"d")))</f>
        <v/>
      </c>
      <c r="AU109" s="46" t="str">
        <f aca="false">IF(N($J109)=0,"",$J109&amp;IF(AND(IF($K109="","FS",$K109)="FS",N($L109)=0),"",IF($K109="","FS",$K109)&amp;IF(N($L109)=0,"",IF(N($L109)&gt;0,"+","")&amp;N($L109)&amp;"d")))</f>
        <v/>
      </c>
      <c r="AV109" s="46" t="str">
        <f aca="false">IF(AND($AJ109=1,N($F109)=0,$V109&lt;1),$S109+$AF109/100000,"")</f>
        <v/>
      </c>
    </row>
    <row r="110" customFormat="false" ht="15" hidden="false" customHeight="false" outlineLevel="0" collapsed="false">
      <c r="A110" s="38" t="str">
        <f aca="false">IF($D110="","",COUNTA($D$6:$D110))</f>
        <v/>
      </c>
      <c r="B110" s="39" t="str">
        <f aca="true">IF($D110="","",IF($AE110=1,COUNTIF($AE$6:$AE110,1)&amp;"",IF($AG110=0,"?",OFFSET(hdr_WBS,$AG110-ROW(hdr_WBS),0)&amp;"."&amp;COUNTIF(INDEX($AE:$AE,$AG110+1):$AE110,$AE110))))</f>
        <v/>
      </c>
      <c r="C110" s="40"/>
      <c r="D110" s="41"/>
      <c r="E110" s="40"/>
      <c r="F110" s="40"/>
      <c r="G110" s="40"/>
      <c r="H110" s="40"/>
      <c r="I110" s="40"/>
      <c r="J110" s="40"/>
      <c r="K110" s="40"/>
      <c r="L110" s="40"/>
      <c r="M110" s="29"/>
      <c r="N110" s="30" t="str">
        <f aca="true">IF($D110="","",IF($AI110,MIN(OFFSET(hdr_PlanStart,$AF110+1,0,$AH110,1)),IF($E110="Manual",IF(N($M110)&gt;0,$M110,ProjectStart),WORKDAY.INTL(MAX(ProjectStart,N($M110),$AK110,$AL110)-1,1,WorkWeek,Holidays))))</f>
        <v/>
      </c>
      <c r="O110" s="30" t="str">
        <f aca="true">IF($D110="","",IF($AI110,MAX(OFFSET(hdr_PlanFinish,$AF110+1,0,$AH110,1)),IF(N($F110)&lt;=0,$N110,WORKDAY.INTL($N110,$F110-1,WorkWeek,Holidays))))</f>
        <v/>
      </c>
      <c r="P110" s="29"/>
      <c r="Q110" s="29"/>
      <c r="R110" s="30" t="str">
        <f aca="true">IF($D110="","",IF($AI110,MIN(OFFSET(hdr_FcStart,$AF110+1,0,$AH110,1)),IF(N($P110)&gt;0,$P110,IF($E110="Manual",IF(N($M110)&gt;0,$M110,ProjectStart),WORKDAY.INTL(MAX(ProjectStart,N($M110),$AM110,$AN110,IF(RescheduleAfterStatus="Yes",StatusDate,0))-1,1,WorkWeek,Holidays)))))</f>
        <v/>
      </c>
      <c r="S110" s="30" t="str">
        <f aca="true">IF($D110="","",IF($AI110,MAX(OFFSET(hdr_FcFinish,$AF110+1,0,$AH110,1)),IF(N($Q110)&gt;0,$Q110,IF(N($F110)&lt;=0,$R110,IF(AND(N($P110)&gt;0,RescheduleAfterStatus="Yes"),MAX(WORKDAY.INTL($R110,$F110-1,WorkWeek,Holidays),WORKDAY.INTL(StatusWorkday,MAX(0,ROUNDUP($F110*(1-MIN(1,N($U110))),0)-1),WorkWeek,Holidays)),WORKDAY.INTL($R110,$F110-1,WorkWeek,Holidays))))))</f>
        <v/>
      </c>
      <c r="T110" s="38" t="str">
        <f aca="false">IF($D110="","",IF($S110&gt;=$O110,NETWORKDAYS.INTL($O110,$S110,WorkWeek,Holidays)-1,1-NETWORKDAYS.INTL($S110,$O110,WorkWeek,Holidays)))</f>
        <v/>
      </c>
      <c r="U110" s="32"/>
      <c r="V110" s="42" t="str">
        <f aca="true">IF($D110="","",IF($AI110,IFERROR(SUM(OFFSET(hdr_WtDone,$AF110+1,0,$AH110,1))/SUM(OFFSET(hdr_WtDur,$AF110+1,0,$AH110,1)),0),IF(N($Q110)&gt;0,1,MIN(1,N($U110)))))</f>
        <v/>
      </c>
      <c r="W110" s="39" t="str">
        <f aca="false">IF($D110="","",IF($V110&gt;=1,"Complete",IF(OR(N($P110)&gt;0,$V110&gt;0),IF($T110&gt;0,"Behind","In Progress"),IF($N110&lt;StatusDate,"Late Start","Not Started"))))</f>
        <v/>
      </c>
      <c r="X110" s="41"/>
      <c r="Y110" s="32"/>
      <c r="Z110" s="43" t="str">
        <f aca="true">IF($D110="","",IF($AI110,SUMPRODUCT(OFFSET(hdr_Work,$AF110+1,0,$AH110,1),OFFSET(hdr_IsLeaf,$AF110+1,0,$AH110,1)),IF($X110="",0,N($F110)*HoursPerDay*IF($Y110="",DefaultUnits,$Y110))))</f>
        <v/>
      </c>
      <c r="AA110" s="44" t="str">
        <f aca="true">IF($D110="","",IF($AI110,SUMPRODUCT(OFFSET(hdr_Cost,$AF110+1,0,$AH110,1),OFFSET(hdr_IsLeaf,$AF110+1,0,$AH110,1)),$Z110*IFERROR(INDEX(res_Rate,MATCH($X110,res_Name,0)),0)))</f>
        <v/>
      </c>
      <c r="AB110" s="38" t="str">
        <f aca="false">IF(OR($D110="",$AI110),"",IF(OR($R110&lt;Sprint1Start,$R110&gt;SprintLastEnd),"Backlog",INDEX(spr_Name,MATCH($R110,spr_Start,1))))</f>
        <v/>
      </c>
      <c r="AC110" s="45" t="str">
        <f aca="false">IF($D110="","",$AT110&amp;IF(AND($AT110&lt;&gt;"",$AU110&lt;&gt;""),",","")&amp;$AU110)</f>
        <v/>
      </c>
      <c r="AD110" s="41"/>
      <c r="AE110" s="46" t="str">
        <f aca="false">IF($D110="","",MAX(1,N($C110)))</f>
        <v/>
      </c>
      <c r="AF110" s="46" t="n">
        <f aca="false">ROW()-ROW(hdr_ID)</f>
        <v>105</v>
      </c>
      <c r="AG110" s="46" t="n">
        <f aca="false">IF(OR($D110="",$AE110&lt;=1),0,IFERROR(LOOKUP(2,1/($AE$5:$AE109=$AE110-1),ROW($AE$5:$AE109)),0))</f>
        <v>0</v>
      </c>
      <c r="AH110" s="46" t="n">
        <f aca="false">IF($D110="",0,COUNTIF(tsk_WBS,$B110&amp;".*"))</f>
        <v>0</v>
      </c>
      <c r="AI110" s="47" t="b">
        <f aca="false">$AH110&gt;0</f>
        <v>0</v>
      </c>
      <c r="AJ110" s="46" t="n">
        <f aca="false">IF(AND($D110&lt;&gt;"",NOT($AI110)),1,0)</f>
        <v>0</v>
      </c>
      <c r="AK110" s="48" t="n">
        <f aca="true">IF(OR(N($G110)=0,$AI110,$D110=""),0,IFERROR(CHOOSE(MATCH(IF($H110="","FS",$H110),{"FS","SS","FF","SF"},0),WORKDAY.INTL(OFFSET(hdr_PlanFinish,MATCH($G110,tsk_ID,0),0),IF(N($F110)=0,0,1)+N($I110),WorkWeek,Holidays),WORKDAY.INTL(OFFSET(hdr_PlanStart,MATCH($G110,tsk_ID,0),0),N($I110),WorkWeek,Holidays),WORKDAY.INTL(WORKDAY.INTL(OFFSET(hdr_PlanFinish,MATCH($G110,tsk_ID,0),0),N($I110),WorkWeek,Holidays),-MAX(0,N($F110)-1),WorkWeek,Holidays),WORKDAY.INTL(WORKDAY.INTL(OFFSET(hdr_PlanStart,MATCH($G110,tsk_ID,0),0),N($I110),WorkWeek,Holidays),-MAX(0,N($F110)-1),WorkWeek,Holidays)),0))</f>
        <v>0</v>
      </c>
      <c r="AL110" s="48" t="n">
        <f aca="true">IF(OR(N($J110)=0,$AI110,$D110=""),0,IFERROR(CHOOSE(MATCH(IF($K110="","FS",$K110),{"FS","SS","FF","SF"},0),WORKDAY.INTL(OFFSET(hdr_PlanFinish,MATCH($J110,tsk_ID,0),0),IF(N($F110)=0,0,1)+N($L110),WorkWeek,Holidays),WORKDAY.INTL(OFFSET(hdr_PlanStart,MATCH($J110,tsk_ID,0),0),N($L110),WorkWeek,Holidays),WORKDAY.INTL(WORKDAY.INTL(OFFSET(hdr_PlanFinish,MATCH($J110,tsk_ID,0),0),N($L110),WorkWeek,Holidays),-MAX(0,N($F110)-1),WorkWeek,Holidays),WORKDAY.INTL(WORKDAY.INTL(OFFSET(hdr_PlanStart,MATCH($J110,tsk_ID,0),0),N($L110),WorkWeek,Holidays),-MAX(0,N($F110)-1),WorkWeek,Holidays)),0))</f>
        <v>0</v>
      </c>
      <c r="AM110" s="48" t="n">
        <f aca="true">IF(OR(N($G110)=0,$AI110,$D110=""),0,IFERROR(CHOOSE(MATCH(IF($H110="","FS",$H110),{"FS","SS","FF","SF"},0),WORKDAY.INTL(OFFSET(hdr_FcFinish,MATCH($G110,tsk_ID,0),0),IF(N($F110)=0,0,1)+N($I110),WorkWeek,Holidays),WORKDAY.INTL(OFFSET(hdr_FcStart,MATCH($G110,tsk_ID,0),0),N($I110),WorkWeek,Holidays),WORKDAY.INTL(WORKDAY.INTL(OFFSET(hdr_FcFinish,MATCH($G110,tsk_ID,0),0),N($I110),WorkWeek,Holidays),-MAX(0,N($F110)-1),WorkWeek,Holidays),WORKDAY.INTL(WORKDAY.INTL(OFFSET(hdr_FcStart,MATCH($G110,tsk_ID,0),0),N($I110),WorkWeek,Holidays),-MAX(0,N($F110)-1),WorkWeek,Holidays)),0))</f>
        <v>0</v>
      </c>
      <c r="AN110" s="48" t="n">
        <f aca="true">IF(OR(N($J110)=0,$AI110,$D110=""),0,IFERROR(CHOOSE(MATCH(IF($K110="","FS",$K110),{"FS","SS","FF","SF"},0),WORKDAY.INTL(OFFSET(hdr_FcFinish,MATCH($J110,tsk_ID,0),0),IF(N($F110)=0,0,1)+N($L110),WorkWeek,Holidays),WORKDAY.INTL(OFFSET(hdr_FcStart,MATCH($J110,tsk_ID,0),0),N($L110),WorkWeek,Holidays),WORKDAY.INTL(WORKDAY.INTL(OFFSET(hdr_FcFinish,MATCH($J110,tsk_ID,0),0),N($L110),WorkWeek,Holidays),-MAX(0,N($F110)-1),WorkWeek,Holidays),WORKDAY.INTL(WORKDAY.INTL(OFFSET(hdr_FcStart,MATCH($J110,tsk_ID,0),0),N($L110),WorkWeek,Holidays),-MAX(0,N($F110)-1),WorkWeek,Holidays)),0))</f>
        <v>0</v>
      </c>
      <c r="AO110" s="48" t="n">
        <f aca="false">IF($AJ110=1,$R110,0)</f>
        <v>0</v>
      </c>
      <c r="AP110" s="48" t="n">
        <f aca="false">IF($AJ110=1,$S110,0)</f>
        <v>0</v>
      </c>
      <c r="AQ110" s="49" t="n">
        <f aca="false">IF(AND($AJ110=1,N($Z110)&gt;0),$Z110/($AP110-$AO110+1),0)</f>
        <v>0</v>
      </c>
      <c r="AR110" s="46" t="n">
        <f aca="false">IF($AJ110=1,MAX(N($F110),0.1),0)</f>
        <v>0</v>
      </c>
      <c r="AS110" s="46" t="n">
        <f aca="false">IF($AJ110=1,$AR110*$V110,0)</f>
        <v>0</v>
      </c>
      <c r="AT110" s="46" t="str">
        <f aca="false">IF(N($G110)=0,"",$G110&amp;IF(AND(IF($H110="","FS",$H110)="FS",N($I110)=0),"",IF($H110="","FS",$H110)&amp;IF(N($I110)=0,"",IF(N($I110)&gt;0,"+","")&amp;N($I110)&amp;"d")))</f>
        <v/>
      </c>
      <c r="AU110" s="46" t="str">
        <f aca="false">IF(N($J110)=0,"",$J110&amp;IF(AND(IF($K110="","FS",$K110)="FS",N($L110)=0),"",IF($K110="","FS",$K110)&amp;IF(N($L110)=0,"",IF(N($L110)&gt;0,"+","")&amp;N($L110)&amp;"d")))</f>
        <v/>
      </c>
      <c r="AV110" s="46" t="str">
        <f aca="false">IF(AND($AJ110=1,N($F110)=0,$V110&lt;1),$S110+$AF110/100000,"")</f>
        <v/>
      </c>
    </row>
    <row r="111" customFormat="false" ht="15" hidden="false" customHeight="false" outlineLevel="0" collapsed="false">
      <c r="A111" s="38" t="str">
        <f aca="false">IF($D111="","",COUNTA($D$6:$D111))</f>
        <v/>
      </c>
      <c r="B111" s="39" t="str">
        <f aca="true">IF($D111="","",IF($AE111=1,COUNTIF($AE$6:$AE111,1)&amp;"",IF($AG111=0,"?",OFFSET(hdr_WBS,$AG111-ROW(hdr_WBS),0)&amp;"."&amp;COUNTIF(INDEX($AE:$AE,$AG111+1):$AE111,$AE111))))</f>
        <v/>
      </c>
      <c r="C111" s="40"/>
      <c r="D111" s="41"/>
      <c r="E111" s="40"/>
      <c r="F111" s="40"/>
      <c r="G111" s="40"/>
      <c r="H111" s="40"/>
      <c r="I111" s="40"/>
      <c r="J111" s="40"/>
      <c r="K111" s="40"/>
      <c r="L111" s="40"/>
      <c r="M111" s="29"/>
      <c r="N111" s="30" t="str">
        <f aca="true">IF($D111="","",IF($AI111,MIN(OFFSET(hdr_PlanStart,$AF111+1,0,$AH111,1)),IF($E111="Manual",IF(N($M111)&gt;0,$M111,ProjectStart),WORKDAY.INTL(MAX(ProjectStart,N($M111),$AK111,$AL111)-1,1,WorkWeek,Holidays))))</f>
        <v/>
      </c>
      <c r="O111" s="30" t="str">
        <f aca="true">IF($D111="","",IF($AI111,MAX(OFFSET(hdr_PlanFinish,$AF111+1,0,$AH111,1)),IF(N($F111)&lt;=0,$N111,WORKDAY.INTL($N111,$F111-1,WorkWeek,Holidays))))</f>
        <v/>
      </c>
      <c r="P111" s="29"/>
      <c r="Q111" s="29"/>
      <c r="R111" s="30" t="str">
        <f aca="true">IF($D111="","",IF($AI111,MIN(OFFSET(hdr_FcStart,$AF111+1,0,$AH111,1)),IF(N($P111)&gt;0,$P111,IF($E111="Manual",IF(N($M111)&gt;0,$M111,ProjectStart),WORKDAY.INTL(MAX(ProjectStart,N($M111),$AM111,$AN111,IF(RescheduleAfterStatus="Yes",StatusDate,0))-1,1,WorkWeek,Holidays)))))</f>
        <v/>
      </c>
      <c r="S111" s="30" t="str">
        <f aca="true">IF($D111="","",IF($AI111,MAX(OFFSET(hdr_FcFinish,$AF111+1,0,$AH111,1)),IF(N($Q111)&gt;0,$Q111,IF(N($F111)&lt;=0,$R111,IF(AND(N($P111)&gt;0,RescheduleAfterStatus="Yes"),MAX(WORKDAY.INTL($R111,$F111-1,WorkWeek,Holidays),WORKDAY.INTL(StatusWorkday,MAX(0,ROUNDUP($F111*(1-MIN(1,N($U111))),0)-1),WorkWeek,Holidays)),WORKDAY.INTL($R111,$F111-1,WorkWeek,Holidays))))))</f>
        <v/>
      </c>
      <c r="T111" s="38" t="str">
        <f aca="false">IF($D111="","",IF($S111&gt;=$O111,NETWORKDAYS.INTL($O111,$S111,WorkWeek,Holidays)-1,1-NETWORKDAYS.INTL($S111,$O111,WorkWeek,Holidays)))</f>
        <v/>
      </c>
      <c r="U111" s="32"/>
      <c r="V111" s="42" t="str">
        <f aca="true">IF($D111="","",IF($AI111,IFERROR(SUM(OFFSET(hdr_WtDone,$AF111+1,0,$AH111,1))/SUM(OFFSET(hdr_WtDur,$AF111+1,0,$AH111,1)),0),IF(N($Q111)&gt;0,1,MIN(1,N($U111)))))</f>
        <v/>
      </c>
      <c r="W111" s="39" t="str">
        <f aca="false">IF($D111="","",IF($V111&gt;=1,"Complete",IF(OR(N($P111)&gt;0,$V111&gt;0),IF($T111&gt;0,"Behind","In Progress"),IF($N111&lt;StatusDate,"Late Start","Not Started"))))</f>
        <v/>
      </c>
      <c r="X111" s="41"/>
      <c r="Y111" s="32"/>
      <c r="Z111" s="43" t="str">
        <f aca="true">IF($D111="","",IF($AI111,SUMPRODUCT(OFFSET(hdr_Work,$AF111+1,0,$AH111,1),OFFSET(hdr_IsLeaf,$AF111+1,0,$AH111,1)),IF($X111="",0,N($F111)*HoursPerDay*IF($Y111="",DefaultUnits,$Y111))))</f>
        <v/>
      </c>
      <c r="AA111" s="44" t="str">
        <f aca="true">IF($D111="","",IF($AI111,SUMPRODUCT(OFFSET(hdr_Cost,$AF111+1,0,$AH111,1),OFFSET(hdr_IsLeaf,$AF111+1,0,$AH111,1)),$Z111*IFERROR(INDEX(res_Rate,MATCH($X111,res_Name,0)),0)))</f>
        <v/>
      </c>
      <c r="AB111" s="38" t="str">
        <f aca="false">IF(OR($D111="",$AI111),"",IF(OR($R111&lt;Sprint1Start,$R111&gt;SprintLastEnd),"Backlog",INDEX(spr_Name,MATCH($R111,spr_Start,1))))</f>
        <v/>
      </c>
      <c r="AC111" s="45" t="str">
        <f aca="false">IF($D111="","",$AT111&amp;IF(AND($AT111&lt;&gt;"",$AU111&lt;&gt;""),",","")&amp;$AU111)</f>
        <v/>
      </c>
      <c r="AD111" s="41"/>
      <c r="AE111" s="46" t="str">
        <f aca="false">IF($D111="","",MAX(1,N($C111)))</f>
        <v/>
      </c>
      <c r="AF111" s="46" t="n">
        <f aca="false">ROW()-ROW(hdr_ID)</f>
        <v>106</v>
      </c>
      <c r="AG111" s="46" t="n">
        <f aca="false">IF(OR($D111="",$AE111&lt;=1),0,IFERROR(LOOKUP(2,1/($AE$5:$AE110=$AE111-1),ROW($AE$5:$AE110)),0))</f>
        <v>0</v>
      </c>
      <c r="AH111" s="46" t="n">
        <f aca="false">IF($D111="",0,COUNTIF(tsk_WBS,$B111&amp;".*"))</f>
        <v>0</v>
      </c>
      <c r="AI111" s="47" t="b">
        <f aca="false">$AH111&gt;0</f>
        <v>0</v>
      </c>
      <c r="AJ111" s="46" t="n">
        <f aca="false">IF(AND($D111&lt;&gt;"",NOT($AI111)),1,0)</f>
        <v>0</v>
      </c>
      <c r="AK111" s="48" t="n">
        <f aca="true">IF(OR(N($G111)=0,$AI111,$D111=""),0,IFERROR(CHOOSE(MATCH(IF($H111="","FS",$H111),{"FS","SS","FF","SF"},0),WORKDAY.INTL(OFFSET(hdr_PlanFinish,MATCH($G111,tsk_ID,0),0),IF(N($F111)=0,0,1)+N($I111),WorkWeek,Holidays),WORKDAY.INTL(OFFSET(hdr_PlanStart,MATCH($G111,tsk_ID,0),0),N($I111),WorkWeek,Holidays),WORKDAY.INTL(WORKDAY.INTL(OFFSET(hdr_PlanFinish,MATCH($G111,tsk_ID,0),0),N($I111),WorkWeek,Holidays),-MAX(0,N($F111)-1),WorkWeek,Holidays),WORKDAY.INTL(WORKDAY.INTL(OFFSET(hdr_PlanStart,MATCH($G111,tsk_ID,0),0),N($I111),WorkWeek,Holidays),-MAX(0,N($F111)-1),WorkWeek,Holidays)),0))</f>
        <v>0</v>
      </c>
      <c r="AL111" s="48" t="n">
        <f aca="true">IF(OR(N($J111)=0,$AI111,$D111=""),0,IFERROR(CHOOSE(MATCH(IF($K111="","FS",$K111),{"FS","SS","FF","SF"},0),WORKDAY.INTL(OFFSET(hdr_PlanFinish,MATCH($J111,tsk_ID,0),0),IF(N($F111)=0,0,1)+N($L111),WorkWeek,Holidays),WORKDAY.INTL(OFFSET(hdr_PlanStart,MATCH($J111,tsk_ID,0),0),N($L111),WorkWeek,Holidays),WORKDAY.INTL(WORKDAY.INTL(OFFSET(hdr_PlanFinish,MATCH($J111,tsk_ID,0),0),N($L111),WorkWeek,Holidays),-MAX(0,N($F111)-1),WorkWeek,Holidays),WORKDAY.INTL(WORKDAY.INTL(OFFSET(hdr_PlanStart,MATCH($J111,tsk_ID,0),0),N($L111),WorkWeek,Holidays),-MAX(0,N($F111)-1),WorkWeek,Holidays)),0))</f>
        <v>0</v>
      </c>
      <c r="AM111" s="48" t="n">
        <f aca="true">IF(OR(N($G111)=0,$AI111,$D111=""),0,IFERROR(CHOOSE(MATCH(IF($H111="","FS",$H111),{"FS","SS","FF","SF"},0),WORKDAY.INTL(OFFSET(hdr_FcFinish,MATCH($G111,tsk_ID,0),0),IF(N($F111)=0,0,1)+N($I111),WorkWeek,Holidays),WORKDAY.INTL(OFFSET(hdr_FcStart,MATCH($G111,tsk_ID,0),0),N($I111),WorkWeek,Holidays),WORKDAY.INTL(WORKDAY.INTL(OFFSET(hdr_FcFinish,MATCH($G111,tsk_ID,0),0),N($I111),WorkWeek,Holidays),-MAX(0,N($F111)-1),WorkWeek,Holidays),WORKDAY.INTL(WORKDAY.INTL(OFFSET(hdr_FcStart,MATCH($G111,tsk_ID,0),0),N($I111),WorkWeek,Holidays),-MAX(0,N($F111)-1),WorkWeek,Holidays)),0))</f>
        <v>0</v>
      </c>
      <c r="AN111" s="48" t="n">
        <f aca="true">IF(OR(N($J111)=0,$AI111,$D111=""),0,IFERROR(CHOOSE(MATCH(IF($K111="","FS",$K111),{"FS","SS","FF","SF"},0),WORKDAY.INTL(OFFSET(hdr_FcFinish,MATCH($J111,tsk_ID,0),0),IF(N($F111)=0,0,1)+N($L111),WorkWeek,Holidays),WORKDAY.INTL(OFFSET(hdr_FcStart,MATCH($J111,tsk_ID,0),0),N($L111),WorkWeek,Holidays),WORKDAY.INTL(WORKDAY.INTL(OFFSET(hdr_FcFinish,MATCH($J111,tsk_ID,0),0),N($L111),WorkWeek,Holidays),-MAX(0,N($F111)-1),WorkWeek,Holidays),WORKDAY.INTL(WORKDAY.INTL(OFFSET(hdr_FcStart,MATCH($J111,tsk_ID,0),0),N($L111),WorkWeek,Holidays),-MAX(0,N($F111)-1),WorkWeek,Holidays)),0))</f>
        <v>0</v>
      </c>
      <c r="AO111" s="48" t="n">
        <f aca="false">IF($AJ111=1,$R111,0)</f>
        <v>0</v>
      </c>
      <c r="AP111" s="48" t="n">
        <f aca="false">IF($AJ111=1,$S111,0)</f>
        <v>0</v>
      </c>
      <c r="AQ111" s="49" t="n">
        <f aca="false">IF(AND($AJ111=1,N($Z111)&gt;0),$Z111/($AP111-$AO111+1),0)</f>
        <v>0</v>
      </c>
      <c r="AR111" s="46" t="n">
        <f aca="false">IF($AJ111=1,MAX(N($F111),0.1),0)</f>
        <v>0</v>
      </c>
      <c r="AS111" s="46" t="n">
        <f aca="false">IF($AJ111=1,$AR111*$V111,0)</f>
        <v>0</v>
      </c>
      <c r="AT111" s="46" t="str">
        <f aca="false">IF(N($G111)=0,"",$G111&amp;IF(AND(IF($H111="","FS",$H111)="FS",N($I111)=0),"",IF($H111="","FS",$H111)&amp;IF(N($I111)=0,"",IF(N($I111)&gt;0,"+","")&amp;N($I111)&amp;"d")))</f>
        <v/>
      </c>
      <c r="AU111" s="46" t="str">
        <f aca="false">IF(N($J111)=0,"",$J111&amp;IF(AND(IF($K111="","FS",$K111)="FS",N($L111)=0),"",IF($K111="","FS",$K111)&amp;IF(N($L111)=0,"",IF(N($L111)&gt;0,"+","")&amp;N($L111)&amp;"d")))</f>
        <v/>
      </c>
      <c r="AV111" s="46" t="str">
        <f aca="false">IF(AND($AJ111=1,N($F111)=0,$V111&lt;1),$S111+$AF111/100000,"")</f>
        <v/>
      </c>
    </row>
    <row r="112" customFormat="false" ht="15" hidden="false" customHeight="false" outlineLevel="0" collapsed="false">
      <c r="A112" s="38" t="str">
        <f aca="false">IF($D112="","",COUNTA($D$6:$D112))</f>
        <v/>
      </c>
      <c r="B112" s="39" t="str">
        <f aca="true">IF($D112="","",IF($AE112=1,COUNTIF($AE$6:$AE112,1)&amp;"",IF($AG112=0,"?",OFFSET(hdr_WBS,$AG112-ROW(hdr_WBS),0)&amp;"."&amp;COUNTIF(INDEX($AE:$AE,$AG112+1):$AE112,$AE112))))</f>
        <v/>
      </c>
      <c r="C112" s="40"/>
      <c r="D112" s="41"/>
      <c r="E112" s="40"/>
      <c r="F112" s="40"/>
      <c r="G112" s="40"/>
      <c r="H112" s="40"/>
      <c r="I112" s="40"/>
      <c r="J112" s="40"/>
      <c r="K112" s="40"/>
      <c r="L112" s="40"/>
      <c r="M112" s="29"/>
      <c r="N112" s="30" t="str">
        <f aca="true">IF($D112="","",IF($AI112,MIN(OFFSET(hdr_PlanStart,$AF112+1,0,$AH112,1)),IF($E112="Manual",IF(N($M112)&gt;0,$M112,ProjectStart),WORKDAY.INTL(MAX(ProjectStart,N($M112),$AK112,$AL112)-1,1,WorkWeek,Holidays))))</f>
        <v/>
      </c>
      <c r="O112" s="30" t="str">
        <f aca="true">IF($D112="","",IF($AI112,MAX(OFFSET(hdr_PlanFinish,$AF112+1,0,$AH112,1)),IF(N($F112)&lt;=0,$N112,WORKDAY.INTL($N112,$F112-1,WorkWeek,Holidays))))</f>
        <v/>
      </c>
      <c r="P112" s="29"/>
      <c r="Q112" s="29"/>
      <c r="R112" s="30" t="str">
        <f aca="true">IF($D112="","",IF($AI112,MIN(OFFSET(hdr_FcStart,$AF112+1,0,$AH112,1)),IF(N($P112)&gt;0,$P112,IF($E112="Manual",IF(N($M112)&gt;0,$M112,ProjectStart),WORKDAY.INTL(MAX(ProjectStart,N($M112),$AM112,$AN112,IF(RescheduleAfterStatus="Yes",StatusDate,0))-1,1,WorkWeek,Holidays)))))</f>
        <v/>
      </c>
      <c r="S112" s="30" t="str">
        <f aca="true">IF($D112="","",IF($AI112,MAX(OFFSET(hdr_FcFinish,$AF112+1,0,$AH112,1)),IF(N($Q112)&gt;0,$Q112,IF(N($F112)&lt;=0,$R112,IF(AND(N($P112)&gt;0,RescheduleAfterStatus="Yes"),MAX(WORKDAY.INTL($R112,$F112-1,WorkWeek,Holidays),WORKDAY.INTL(StatusWorkday,MAX(0,ROUNDUP($F112*(1-MIN(1,N($U112))),0)-1),WorkWeek,Holidays)),WORKDAY.INTL($R112,$F112-1,WorkWeek,Holidays))))))</f>
        <v/>
      </c>
      <c r="T112" s="38" t="str">
        <f aca="false">IF($D112="","",IF($S112&gt;=$O112,NETWORKDAYS.INTL($O112,$S112,WorkWeek,Holidays)-1,1-NETWORKDAYS.INTL($S112,$O112,WorkWeek,Holidays)))</f>
        <v/>
      </c>
      <c r="U112" s="32"/>
      <c r="V112" s="42" t="str">
        <f aca="true">IF($D112="","",IF($AI112,IFERROR(SUM(OFFSET(hdr_WtDone,$AF112+1,0,$AH112,1))/SUM(OFFSET(hdr_WtDur,$AF112+1,0,$AH112,1)),0),IF(N($Q112)&gt;0,1,MIN(1,N($U112)))))</f>
        <v/>
      </c>
      <c r="W112" s="39" t="str">
        <f aca="false">IF($D112="","",IF($V112&gt;=1,"Complete",IF(OR(N($P112)&gt;0,$V112&gt;0),IF($T112&gt;0,"Behind","In Progress"),IF($N112&lt;StatusDate,"Late Start","Not Started"))))</f>
        <v/>
      </c>
      <c r="X112" s="41"/>
      <c r="Y112" s="32"/>
      <c r="Z112" s="43" t="str">
        <f aca="true">IF($D112="","",IF($AI112,SUMPRODUCT(OFFSET(hdr_Work,$AF112+1,0,$AH112,1),OFFSET(hdr_IsLeaf,$AF112+1,0,$AH112,1)),IF($X112="",0,N($F112)*HoursPerDay*IF($Y112="",DefaultUnits,$Y112))))</f>
        <v/>
      </c>
      <c r="AA112" s="44" t="str">
        <f aca="true">IF($D112="","",IF($AI112,SUMPRODUCT(OFFSET(hdr_Cost,$AF112+1,0,$AH112,1),OFFSET(hdr_IsLeaf,$AF112+1,0,$AH112,1)),$Z112*IFERROR(INDEX(res_Rate,MATCH($X112,res_Name,0)),0)))</f>
        <v/>
      </c>
      <c r="AB112" s="38" t="str">
        <f aca="false">IF(OR($D112="",$AI112),"",IF(OR($R112&lt;Sprint1Start,$R112&gt;SprintLastEnd),"Backlog",INDEX(spr_Name,MATCH($R112,spr_Start,1))))</f>
        <v/>
      </c>
      <c r="AC112" s="45" t="str">
        <f aca="false">IF($D112="","",$AT112&amp;IF(AND($AT112&lt;&gt;"",$AU112&lt;&gt;""),",","")&amp;$AU112)</f>
        <v/>
      </c>
      <c r="AD112" s="41"/>
      <c r="AE112" s="46" t="str">
        <f aca="false">IF($D112="","",MAX(1,N($C112)))</f>
        <v/>
      </c>
      <c r="AF112" s="46" t="n">
        <f aca="false">ROW()-ROW(hdr_ID)</f>
        <v>107</v>
      </c>
      <c r="AG112" s="46" t="n">
        <f aca="false">IF(OR($D112="",$AE112&lt;=1),0,IFERROR(LOOKUP(2,1/($AE$5:$AE111=$AE112-1),ROW($AE$5:$AE111)),0))</f>
        <v>0</v>
      </c>
      <c r="AH112" s="46" t="n">
        <f aca="false">IF($D112="",0,COUNTIF(tsk_WBS,$B112&amp;".*"))</f>
        <v>0</v>
      </c>
      <c r="AI112" s="47" t="b">
        <f aca="false">$AH112&gt;0</f>
        <v>0</v>
      </c>
      <c r="AJ112" s="46" t="n">
        <f aca="false">IF(AND($D112&lt;&gt;"",NOT($AI112)),1,0)</f>
        <v>0</v>
      </c>
      <c r="AK112" s="48" t="n">
        <f aca="true">IF(OR(N($G112)=0,$AI112,$D112=""),0,IFERROR(CHOOSE(MATCH(IF($H112="","FS",$H112),{"FS","SS","FF","SF"},0),WORKDAY.INTL(OFFSET(hdr_PlanFinish,MATCH($G112,tsk_ID,0),0),IF(N($F112)=0,0,1)+N($I112),WorkWeek,Holidays),WORKDAY.INTL(OFFSET(hdr_PlanStart,MATCH($G112,tsk_ID,0),0),N($I112),WorkWeek,Holidays),WORKDAY.INTL(WORKDAY.INTL(OFFSET(hdr_PlanFinish,MATCH($G112,tsk_ID,0),0),N($I112),WorkWeek,Holidays),-MAX(0,N($F112)-1),WorkWeek,Holidays),WORKDAY.INTL(WORKDAY.INTL(OFFSET(hdr_PlanStart,MATCH($G112,tsk_ID,0),0),N($I112),WorkWeek,Holidays),-MAX(0,N($F112)-1),WorkWeek,Holidays)),0))</f>
        <v>0</v>
      </c>
      <c r="AL112" s="48" t="n">
        <f aca="true">IF(OR(N($J112)=0,$AI112,$D112=""),0,IFERROR(CHOOSE(MATCH(IF($K112="","FS",$K112),{"FS","SS","FF","SF"},0),WORKDAY.INTL(OFFSET(hdr_PlanFinish,MATCH($J112,tsk_ID,0),0),IF(N($F112)=0,0,1)+N($L112),WorkWeek,Holidays),WORKDAY.INTL(OFFSET(hdr_PlanStart,MATCH($J112,tsk_ID,0),0),N($L112),WorkWeek,Holidays),WORKDAY.INTL(WORKDAY.INTL(OFFSET(hdr_PlanFinish,MATCH($J112,tsk_ID,0),0),N($L112),WorkWeek,Holidays),-MAX(0,N($F112)-1),WorkWeek,Holidays),WORKDAY.INTL(WORKDAY.INTL(OFFSET(hdr_PlanStart,MATCH($J112,tsk_ID,0),0),N($L112),WorkWeek,Holidays),-MAX(0,N($F112)-1),WorkWeek,Holidays)),0))</f>
        <v>0</v>
      </c>
      <c r="AM112" s="48" t="n">
        <f aca="true">IF(OR(N($G112)=0,$AI112,$D112=""),0,IFERROR(CHOOSE(MATCH(IF($H112="","FS",$H112),{"FS","SS","FF","SF"},0),WORKDAY.INTL(OFFSET(hdr_FcFinish,MATCH($G112,tsk_ID,0),0),IF(N($F112)=0,0,1)+N($I112),WorkWeek,Holidays),WORKDAY.INTL(OFFSET(hdr_FcStart,MATCH($G112,tsk_ID,0),0),N($I112),WorkWeek,Holidays),WORKDAY.INTL(WORKDAY.INTL(OFFSET(hdr_FcFinish,MATCH($G112,tsk_ID,0),0),N($I112),WorkWeek,Holidays),-MAX(0,N($F112)-1),WorkWeek,Holidays),WORKDAY.INTL(WORKDAY.INTL(OFFSET(hdr_FcStart,MATCH($G112,tsk_ID,0),0),N($I112),WorkWeek,Holidays),-MAX(0,N($F112)-1),WorkWeek,Holidays)),0))</f>
        <v>0</v>
      </c>
      <c r="AN112" s="48" t="n">
        <f aca="true">IF(OR(N($J112)=0,$AI112,$D112=""),0,IFERROR(CHOOSE(MATCH(IF($K112="","FS",$K112),{"FS","SS","FF","SF"},0),WORKDAY.INTL(OFFSET(hdr_FcFinish,MATCH($J112,tsk_ID,0),0),IF(N($F112)=0,0,1)+N($L112),WorkWeek,Holidays),WORKDAY.INTL(OFFSET(hdr_FcStart,MATCH($J112,tsk_ID,0),0),N($L112),WorkWeek,Holidays),WORKDAY.INTL(WORKDAY.INTL(OFFSET(hdr_FcFinish,MATCH($J112,tsk_ID,0),0),N($L112),WorkWeek,Holidays),-MAX(0,N($F112)-1),WorkWeek,Holidays),WORKDAY.INTL(WORKDAY.INTL(OFFSET(hdr_FcStart,MATCH($J112,tsk_ID,0),0),N($L112),WorkWeek,Holidays),-MAX(0,N($F112)-1),WorkWeek,Holidays)),0))</f>
        <v>0</v>
      </c>
      <c r="AO112" s="48" t="n">
        <f aca="false">IF($AJ112=1,$R112,0)</f>
        <v>0</v>
      </c>
      <c r="AP112" s="48" t="n">
        <f aca="false">IF($AJ112=1,$S112,0)</f>
        <v>0</v>
      </c>
      <c r="AQ112" s="49" t="n">
        <f aca="false">IF(AND($AJ112=1,N($Z112)&gt;0),$Z112/($AP112-$AO112+1),0)</f>
        <v>0</v>
      </c>
      <c r="AR112" s="46" t="n">
        <f aca="false">IF($AJ112=1,MAX(N($F112),0.1),0)</f>
        <v>0</v>
      </c>
      <c r="AS112" s="46" t="n">
        <f aca="false">IF($AJ112=1,$AR112*$V112,0)</f>
        <v>0</v>
      </c>
      <c r="AT112" s="46" t="str">
        <f aca="false">IF(N($G112)=0,"",$G112&amp;IF(AND(IF($H112="","FS",$H112)="FS",N($I112)=0),"",IF($H112="","FS",$H112)&amp;IF(N($I112)=0,"",IF(N($I112)&gt;0,"+","")&amp;N($I112)&amp;"d")))</f>
        <v/>
      </c>
      <c r="AU112" s="46" t="str">
        <f aca="false">IF(N($J112)=0,"",$J112&amp;IF(AND(IF($K112="","FS",$K112)="FS",N($L112)=0),"",IF($K112="","FS",$K112)&amp;IF(N($L112)=0,"",IF(N($L112)&gt;0,"+","")&amp;N($L112)&amp;"d")))</f>
        <v/>
      </c>
      <c r="AV112" s="46" t="str">
        <f aca="false">IF(AND($AJ112=1,N($F112)=0,$V112&lt;1),$S112+$AF112/100000,"")</f>
        <v/>
      </c>
    </row>
    <row r="113" customFormat="false" ht="15" hidden="false" customHeight="false" outlineLevel="0" collapsed="false">
      <c r="A113" s="38" t="str">
        <f aca="false">IF($D113="","",COUNTA($D$6:$D113))</f>
        <v/>
      </c>
      <c r="B113" s="39" t="str">
        <f aca="true">IF($D113="","",IF($AE113=1,COUNTIF($AE$6:$AE113,1)&amp;"",IF($AG113=0,"?",OFFSET(hdr_WBS,$AG113-ROW(hdr_WBS),0)&amp;"."&amp;COUNTIF(INDEX($AE:$AE,$AG113+1):$AE113,$AE113))))</f>
        <v/>
      </c>
      <c r="C113" s="40"/>
      <c r="D113" s="41"/>
      <c r="E113" s="40"/>
      <c r="F113" s="40"/>
      <c r="G113" s="40"/>
      <c r="H113" s="40"/>
      <c r="I113" s="40"/>
      <c r="J113" s="40"/>
      <c r="K113" s="40"/>
      <c r="L113" s="40"/>
      <c r="M113" s="29"/>
      <c r="N113" s="30" t="str">
        <f aca="true">IF($D113="","",IF($AI113,MIN(OFFSET(hdr_PlanStart,$AF113+1,0,$AH113,1)),IF($E113="Manual",IF(N($M113)&gt;0,$M113,ProjectStart),WORKDAY.INTL(MAX(ProjectStart,N($M113),$AK113,$AL113)-1,1,WorkWeek,Holidays))))</f>
        <v/>
      </c>
      <c r="O113" s="30" t="str">
        <f aca="true">IF($D113="","",IF($AI113,MAX(OFFSET(hdr_PlanFinish,$AF113+1,0,$AH113,1)),IF(N($F113)&lt;=0,$N113,WORKDAY.INTL($N113,$F113-1,WorkWeek,Holidays))))</f>
        <v/>
      </c>
      <c r="P113" s="29"/>
      <c r="Q113" s="29"/>
      <c r="R113" s="30" t="str">
        <f aca="true">IF($D113="","",IF($AI113,MIN(OFFSET(hdr_FcStart,$AF113+1,0,$AH113,1)),IF(N($P113)&gt;0,$P113,IF($E113="Manual",IF(N($M113)&gt;0,$M113,ProjectStart),WORKDAY.INTL(MAX(ProjectStart,N($M113),$AM113,$AN113,IF(RescheduleAfterStatus="Yes",StatusDate,0))-1,1,WorkWeek,Holidays)))))</f>
        <v/>
      </c>
      <c r="S113" s="30" t="str">
        <f aca="true">IF($D113="","",IF($AI113,MAX(OFFSET(hdr_FcFinish,$AF113+1,0,$AH113,1)),IF(N($Q113)&gt;0,$Q113,IF(N($F113)&lt;=0,$R113,IF(AND(N($P113)&gt;0,RescheduleAfterStatus="Yes"),MAX(WORKDAY.INTL($R113,$F113-1,WorkWeek,Holidays),WORKDAY.INTL(StatusWorkday,MAX(0,ROUNDUP($F113*(1-MIN(1,N($U113))),0)-1),WorkWeek,Holidays)),WORKDAY.INTL($R113,$F113-1,WorkWeek,Holidays))))))</f>
        <v/>
      </c>
      <c r="T113" s="38" t="str">
        <f aca="false">IF($D113="","",IF($S113&gt;=$O113,NETWORKDAYS.INTL($O113,$S113,WorkWeek,Holidays)-1,1-NETWORKDAYS.INTL($S113,$O113,WorkWeek,Holidays)))</f>
        <v/>
      </c>
      <c r="U113" s="32"/>
      <c r="V113" s="42" t="str">
        <f aca="true">IF($D113="","",IF($AI113,IFERROR(SUM(OFFSET(hdr_WtDone,$AF113+1,0,$AH113,1))/SUM(OFFSET(hdr_WtDur,$AF113+1,0,$AH113,1)),0),IF(N($Q113)&gt;0,1,MIN(1,N($U113)))))</f>
        <v/>
      </c>
      <c r="W113" s="39" t="str">
        <f aca="false">IF($D113="","",IF($V113&gt;=1,"Complete",IF(OR(N($P113)&gt;0,$V113&gt;0),IF($T113&gt;0,"Behind","In Progress"),IF($N113&lt;StatusDate,"Late Start","Not Started"))))</f>
        <v/>
      </c>
      <c r="X113" s="41"/>
      <c r="Y113" s="32"/>
      <c r="Z113" s="43" t="str">
        <f aca="true">IF($D113="","",IF($AI113,SUMPRODUCT(OFFSET(hdr_Work,$AF113+1,0,$AH113,1),OFFSET(hdr_IsLeaf,$AF113+1,0,$AH113,1)),IF($X113="",0,N($F113)*HoursPerDay*IF($Y113="",DefaultUnits,$Y113))))</f>
        <v/>
      </c>
      <c r="AA113" s="44" t="str">
        <f aca="true">IF($D113="","",IF($AI113,SUMPRODUCT(OFFSET(hdr_Cost,$AF113+1,0,$AH113,1),OFFSET(hdr_IsLeaf,$AF113+1,0,$AH113,1)),$Z113*IFERROR(INDEX(res_Rate,MATCH($X113,res_Name,0)),0)))</f>
        <v/>
      </c>
      <c r="AB113" s="38" t="str">
        <f aca="false">IF(OR($D113="",$AI113),"",IF(OR($R113&lt;Sprint1Start,$R113&gt;SprintLastEnd),"Backlog",INDEX(spr_Name,MATCH($R113,spr_Start,1))))</f>
        <v/>
      </c>
      <c r="AC113" s="45" t="str">
        <f aca="false">IF($D113="","",$AT113&amp;IF(AND($AT113&lt;&gt;"",$AU113&lt;&gt;""),",","")&amp;$AU113)</f>
        <v/>
      </c>
      <c r="AD113" s="41"/>
      <c r="AE113" s="46" t="str">
        <f aca="false">IF($D113="","",MAX(1,N($C113)))</f>
        <v/>
      </c>
      <c r="AF113" s="46" t="n">
        <f aca="false">ROW()-ROW(hdr_ID)</f>
        <v>108</v>
      </c>
      <c r="AG113" s="46" t="n">
        <f aca="false">IF(OR($D113="",$AE113&lt;=1),0,IFERROR(LOOKUP(2,1/($AE$5:$AE112=$AE113-1),ROW($AE$5:$AE112)),0))</f>
        <v>0</v>
      </c>
      <c r="AH113" s="46" t="n">
        <f aca="false">IF($D113="",0,COUNTIF(tsk_WBS,$B113&amp;".*"))</f>
        <v>0</v>
      </c>
      <c r="AI113" s="47" t="b">
        <f aca="false">$AH113&gt;0</f>
        <v>0</v>
      </c>
      <c r="AJ113" s="46" t="n">
        <f aca="false">IF(AND($D113&lt;&gt;"",NOT($AI113)),1,0)</f>
        <v>0</v>
      </c>
      <c r="AK113" s="48" t="n">
        <f aca="true">IF(OR(N($G113)=0,$AI113,$D113=""),0,IFERROR(CHOOSE(MATCH(IF($H113="","FS",$H113),{"FS","SS","FF","SF"},0),WORKDAY.INTL(OFFSET(hdr_PlanFinish,MATCH($G113,tsk_ID,0),0),IF(N($F113)=0,0,1)+N($I113),WorkWeek,Holidays),WORKDAY.INTL(OFFSET(hdr_PlanStart,MATCH($G113,tsk_ID,0),0),N($I113),WorkWeek,Holidays),WORKDAY.INTL(WORKDAY.INTL(OFFSET(hdr_PlanFinish,MATCH($G113,tsk_ID,0),0),N($I113),WorkWeek,Holidays),-MAX(0,N($F113)-1),WorkWeek,Holidays),WORKDAY.INTL(WORKDAY.INTL(OFFSET(hdr_PlanStart,MATCH($G113,tsk_ID,0),0),N($I113),WorkWeek,Holidays),-MAX(0,N($F113)-1),WorkWeek,Holidays)),0))</f>
        <v>0</v>
      </c>
      <c r="AL113" s="48" t="n">
        <f aca="true">IF(OR(N($J113)=0,$AI113,$D113=""),0,IFERROR(CHOOSE(MATCH(IF($K113="","FS",$K113),{"FS","SS","FF","SF"},0),WORKDAY.INTL(OFFSET(hdr_PlanFinish,MATCH($J113,tsk_ID,0),0),IF(N($F113)=0,0,1)+N($L113),WorkWeek,Holidays),WORKDAY.INTL(OFFSET(hdr_PlanStart,MATCH($J113,tsk_ID,0),0),N($L113),WorkWeek,Holidays),WORKDAY.INTL(WORKDAY.INTL(OFFSET(hdr_PlanFinish,MATCH($J113,tsk_ID,0),0),N($L113),WorkWeek,Holidays),-MAX(0,N($F113)-1),WorkWeek,Holidays),WORKDAY.INTL(WORKDAY.INTL(OFFSET(hdr_PlanStart,MATCH($J113,tsk_ID,0),0),N($L113),WorkWeek,Holidays),-MAX(0,N($F113)-1),WorkWeek,Holidays)),0))</f>
        <v>0</v>
      </c>
      <c r="AM113" s="48" t="n">
        <f aca="true">IF(OR(N($G113)=0,$AI113,$D113=""),0,IFERROR(CHOOSE(MATCH(IF($H113="","FS",$H113),{"FS","SS","FF","SF"},0),WORKDAY.INTL(OFFSET(hdr_FcFinish,MATCH($G113,tsk_ID,0),0),IF(N($F113)=0,0,1)+N($I113),WorkWeek,Holidays),WORKDAY.INTL(OFFSET(hdr_FcStart,MATCH($G113,tsk_ID,0),0),N($I113),WorkWeek,Holidays),WORKDAY.INTL(WORKDAY.INTL(OFFSET(hdr_FcFinish,MATCH($G113,tsk_ID,0),0),N($I113),WorkWeek,Holidays),-MAX(0,N($F113)-1),WorkWeek,Holidays),WORKDAY.INTL(WORKDAY.INTL(OFFSET(hdr_FcStart,MATCH($G113,tsk_ID,0),0),N($I113),WorkWeek,Holidays),-MAX(0,N($F113)-1),WorkWeek,Holidays)),0))</f>
        <v>0</v>
      </c>
      <c r="AN113" s="48" t="n">
        <f aca="true">IF(OR(N($J113)=0,$AI113,$D113=""),0,IFERROR(CHOOSE(MATCH(IF($K113="","FS",$K113),{"FS","SS","FF","SF"},0),WORKDAY.INTL(OFFSET(hdr_FcFinish,MATCH($J113,tsk_ID,0),0),IF(N($F113)=0,0,1)+N($L113),WorkWeek,Holidays),WORKDAY.INTL(OFFSET(hdr_FcStart,MATCH($J113,tsk_ID,0),0),N($L113),WorkWeek,Holidays),WORKDAY.INTL(WORKDAY.INTL(OFFSET(hdr_FcFinish,MATCH($J113,tsk_ID,0),0),N($L113),WorkWeek,Holidays),-MAX(0,N($F113)-1),WorkWeek,Holidays),WORKDAY.INTL(WORKDAY.INTL(OFFSET(hdr_FcStart,MATCH($J113,tsk_ID,0),0),N($L113),WorkWeek,Holidays),-MAX(0,N($F113)-1),WorkWeek,Holidays)),0))</f>
        <v>0</v>
      </c>
      <c r="AO113" s="48" t="n">
        <f aca="false">IF($AJ113=1,$R113,0)</f>
        <v>0</v>
      </c>
      <c r="AP113" s="48" t="n">
        <f aca="false">IF($AJ113=1,$S113,0)</f>
        <v>0</v>
      </c>
      <c r="AQ113" s="49" t="n">
        <f aca="false">IF(AND($AJ113=1,N($Z113)&gt;0),$Z113/($AP113-$AO113+1),0)</f>
        <v>0</v>
      </c>
      <c r="AR113" s="46" t="n">
        <f aca="false">IF($AJ113=1,MAX(N($F113),0.1),0)</f>
        <v>0</v>
      </c>
      <c r="AS113" s="46" t="n">
        <f aca="false">IF($AJ113=1,$AR113*$V113,0)</f>
        <v>0</v>
      </c>
      <c r="AT113" s="46" t="str">
        <f aca="false">IF(N($G113)=0,"",$G113&amp;IF(AND(IF($H113="","FS",$H113)="FS",N($I113)=0),"",IF($H113="","FS",$H113)&amp;IF(N($I113)=0,"",IF(N($I113)&gt;0,"+","")&amp;N($I113)&amp;"d")))</f>
        <v/>
      </c>
      <c r="AU113" s="46" t="str">
        <f aca="false">IF(N($J113)=0,"",$J113&amp;IF(AND(IF($K113="","FS",$K113)="FS",N($L113)=0),"",IF($K113="","FS",$K113)&amp;IF(N($L113)=0,"",IF(N($L113)&gt;0,"+","")&amp;N($L113)&amp;"d")))</f>
        <v/>
      </c>
      <c r="AV113" s="46" t="str">
        <f aca="false">IF(AND($AJ113=1,N($F113)=0,$V113&lt;1),$S113+$AF113/100000,"")</f>
        <v/>
      </c>
    </row>
    <row r="114" customFormat="false" ht="15" hidden="false" customHeight="false" outlineLevel="0" collapsed="false">
      <c r="A114" s="38" t="str">
        <f aca="false">IF($D114="","",COUNTA($D$6:$D114))</f>
        <v/>
      </c>
      <c r="B114" s="39" t="str">
        <f aca="true">IF($D114="","",IF($AE114=1,COUNTIF($AE$6:$AE114,1)&amp;"",IF($AG114=0,"?",OFFSET(hdr_WBS,$AG114-ROW(hdr_WBS),0)&amp;"."&amp;COUNTIF(INDEX($AE:$AE,$AG114+1):$AE114,$AE114))))</f>
        <v/>
      </c>
      <c r="C114" s="40"/>
      <c r="D114" s="41"/>
      <c r="E114" s="40"/>
      <c r="F114" s="40"/>
      <c r="G114" s="40"/>
      <c r="H114" s="40"/>
      <c r="I114" s="40"/>
      <c r="J114" s="40"/>
      <c r="K114" s="40"/>
      <c r="L114" s="40"/>
      <c r="M114" s="29"/>
      <c r="N114" s="30" t="str">
        <f aca="true">IF($D114="","",IF($AI114,MIN(OFFSET(hdr_PlanStart,$AF114+1,0,$AH114,1)),IF($E114="Manual",IF(N($M114)&gt;0,$M114,ProjectStart),WORKDAY.INTL(MAX(ProjectStart,N($M114),$AK114,$AL114)-1,1,WorkWeek,Holidays))))</f>
        <v/>
      </c>
      <c r="O114" s="30" t="str">
        <f aca="true">IF($D114="","",IF($AI114,MAX(OFFSET(hdr_PlanFinish,$AF114+1,0,$AH114,1)),IF(N($F114)&lt;=0,$N114,WORKDAY.INTL($N114,$F114-1,WorkWeek,Holidays))))</f>
        <v/>
      </c>
      <c r="P114" s="29"/>
      <c r="Q114" s="29"/>
      <c r="R114" s="30" t="str">
        <f aca="true">IF($D114="","",IF($AI114,MIN(OFFSET(hdr_FcStart,$AF114+1,0,$AH114,1)),IF(N($P114)&gt;0,$P114,IF($E114="Manual",IF(N($M114)&gt;0,$M114,ProjectStart),WORKDAY.INTL(MAX(ProjectStart,N($M114),$AM114,$AN114,IF(RescheduleAfterStatus="Yes",StatusDate,0))-1,1,WorkWeek,Holidays)))))</f>
        <v/>
      </c>
      <c r="S114" s="30" t="str">
        <f aca="true">IF($D114="","",IF($AI114,MAX(OFFSET(hdr_FcFinish,$AF114+1,0,$AH114,1)),IF(N($Q114)&gt;0,$Q114,IF(N($F114)&lt;=0,$R114,IF(AND(N($P114)&gt;0,RescheduleAfterStatus="Yes"),MAX(WORKDAY.INTL($R114,$F114-1,WorkWeek,Holidays),WORKDAY.INTL(StatusWorkday,MAX(0,ROUNDUP($F114*(1-MIN(1,N($U114))),0)-1),WorkWeek,Holidays)),WORKDAY.INTL($R114,$F114-1,WorkWeek,Holidays))))))</f>
        <v/>
      </c>
      <c r="T114" s="38" t="str">
        <f aca="false">IF($D114="","",IF($S114&gt;=$O114,NETWORKDAYS.INTL($O114,$S114,WorkWeek,Holidays)-1,1-NETWORKDAYS.INTL($S114,$O114,WorkWeek,Holidays)))</f>
        <v/>
      </c>
      <c r="U114" s="32"/>
      <c r="V114" s="42" t="str">
        <f aca="true">IF($D114="","",IF($AI114,IFERROR(SUM(OFFSET(hdr_WtDone,$AF114+1,0,$AH114,1))/SUM(OFFSET(hdr_WtDur,$AF114+1,0,$AH114,1)),0),IF(N($Q114)&gt;0,1,MIN(1,N($U114)))))</f>
        <v/>
      </c>
      <c r="W114" s="39" t="str">
        <f aca="false">IF($D114="","",IF($V114&gt;=1,"Complete",IF(OR(N($P114)&gt;0,$V114&gt;0),IF($T114&gt;0,"Behind","In Progress"),IF($N114&lt;StatusDate,"Late Start","Not Started"))))</f>
        <v/>
      </c>
      <c r="X114" s="41"/>
      <c r="Y114" s="32"/>
      <c r="Z114" s="43" t="str">
        <f aca="true">IF($D114="","",IF($AI114,SUMPRODUCT(OFFSET(hdr_Work,$AF114+1,0,$AH114,1),OFFSET(hdr_IsLeaf,$AF114+1,0,$AH114,1)),IF($X114="",0,N($F114)*HoursPerDay*IF($Y114="",DefaultUnits,$Y114))))</f>
        <v/>
      </c>
      <c r="AA114" s="44" t="str">
        <f aca="true">IF($D114="","",IF($AI114,SUMPRODUCT(OFFSET(hdr_Cost,$AF114+1,0,$AH114,1),OFFSET(hdr_IsLeaf,$AF114+1,0,$AH114,1)),$Z114*IFERROR(INDEX(res_Rate,MATCH($X114,res_Name,0)),0)))</f>
        <v/>
      </c>
      <c r="AB114" s="38" t="str">
        <f aca="false">IF(OR($D114="",$AI114),"",IF(OR($R114&lt;Sprint1Start,$R114&gt;SprintLastEnd),"Backlog",INDEX(spr_Name,MATCH($R114,spr_Start,1))))</f>
        <v/>
      </c>
      <c r="AC114" s="45" t="str">
        <f aca="false">IF($D114="","",$AT114&amp;IF(AND($AT114&lt;&gt;"",$AU114&lt;&gt;""),",","")&amp;$AU114)</f>
        <v/>
      </c>
      <c r="AD114" s="41"/>
      <c r="AE114" s="46" t="str">
        <f aca="false">IF($D114="","",MAX(1,N($C114)))</f>
        <v/>
      </c>
      <c r="AF114" s="46" t="n">
        <f aca="false">ROW()-ROW(hdr_ID)</f>
        <v>109</v>
      </c>
      <c r="AG114" s="46" t="n">
        <f aca="false">IF(OR($D114="",$AE114&lt;=1),0,IFERROR(LOOKUP(2,1/($AE$5:$AE113=$AE114-1),ROW($AE$5:$AE113)),0))</f>
        <v>0</v>
      </c>
      <c r="AH114" s="46" t="n">
        <f aca="false">IF($D114="",0,COUNTIF(tsk_WBS,$B114&amp;".*"))</f>
        <v>0</v>
      </c>
      <c r="AI114" s="47" t="b">
        <f aca="false">$AH114&gt;0</f>
        <v>0</v>
      </c>
      <c r="AJ114" s="46" t="n">
        <f aca="false">IF(AND($D114&lt;&gt;"",NOT($AI114)),1,0)</f>
        <v>0</v>
      </c>
      <c r="AK114" s="48" t="n">
        <f aca="true">IF(OR(N($G114)=0,$AI114,$D114=""),0,IFERROR(CHOOSE(MATCH(IF($H114="","FS",$H114),{"FS","SS","FF","SF"},0),WORKDAY.INTL(OFFSET(hdr_PlanFinish,MATCH($G114,tsk_ID,0),0),IF(N($F114)=0,0,1)+N($I114),WorkWeek,Holidays),WORKDAY.INTL(OFFSET(hdr_PlanStart,MATCH($G114,tsk_ID,0),0),N($I114),WorkWeek,Holidays),WORKDAY.INTL(WORKDAY.INTL(OFFSET(hdr_PlanFinish,MATCH($G114,tsk_ID,0),0),N($I114),WorkWeek,Holidays),-MAX(0,N($F114)-1),WorkWeek,Holidays),WORKDAY.INTL(WORKDAY.INTL(OFFSET(hdr_PlanStart,MATCH($G114,tsk_ID,0),0),N($I114),WorkWeek,Holidays),-MAX(0,N($F114)-1),WorkWeek,Holidays)),0))</f>
        <v>0</v>
      </c>
      <c r="AL114" s="48" t="n">
        <f aca="true">IF(OR(N($J114)=0,$AI114,$D114=""),0,IFERROR(CHOOSE(MATCH(IF($K114="","FS",$K114),{"FS","SS","FF","SF"},0),WORKDAY.INTL(OFFSET(hdr_PlanFinish,MATCH($J114,tsk_ID,0),0),IF(N($F114)=0,0,1)+N($L114),WorkWeek,Holidays),WORKDAY.INTL(OFFSET(hdr_PlanStart,MATCH($J114,tsk_ID,0),0),N($L114),WorkWeek,Holidays),WORKDAY.INTL(WORKDAY.INTL(OFFSET(hdr_PlanFinish,MATCH($J114,tsk_ID,0),0),N($L114),WorkWeek,Holidays),-MAX(0,N($F114)-1),WorkWeek,Holidays),WORKDAY.INTL(WORKDAY.INTL(OFFSET(hdr_PlanStart,MATCH($J114,tsk_ID,0),0),N($L114),WorkWeek,Holidays),-MAX(0,N($F114)-1),WorkWeek,Holidays)),0))</f>
        <v>0</v>
      </c>
      <c r="AM114" s="48" t="n">
        <f aca="true">IF(OR(N($G114)=0,$AI114,$D114=""),0,IFERROR(CHOOSE(MATCH(IF($H114="","FS",$H114),{"FS","SS","FF","SF"},0),WORKDAY.INTL(OFFSET(hdr_FcFinish,MATCH($G114,tsk_ID,0),0),IF(N($F114)=0,0,1)+N($I114),WorkWeek,Holidays),WORKDAY.INTL(OFFSET(hdr_FcStart,MATCH($G114,tsk_ID,0),0),N($I114),WorkWeek,Holidays),WORKDAY.INTL(WORKDAY.INTL(OFFSET(hdr_FcFinish,MATCH($G114,tsk_ID,0),0),N($I114),WorkWeek,Holidays),-MAX(0,N($F114)-1),WorkWeek,Holidays),WORKDAY.INTL(WORKDAY.INTL(OFFSET(hdr_FcStart,MATCH($G114,tsk_ID,0),0),N($I114),WorkWeek,Holidays),-MAX(0,N($F114)-1),WorkWeek,Holidays)),0))</f>
        <v>0</v>
      </c>
      <c r="AN114" s="48" t="n">
        <f aca="true">IF(OR(N($J114)=0,$AI114,$D114=""),0,IFERROR(CHOOSE(MATCH(IF($K114="","FS",$K114),{"FS","SS","FF","SF"},0),WORKDAY.INTL(OFFSET(hdr_FcFinish,MATCH($J114,tsk_ID,0),0),IF(N($F114)=0,0,1)+N($L114),WorkWeek,Holidays),WORKDAY.INTL(OFFSET(hdr_FcStart,MATCH($J114,tsk_ID,0),0),N($L114),WorkWeek,Holidays),WORKDAY.INTL(WORKDAY.INTL(OFFSET(hdr_FcFinish,MATCH($J114,tsk_ID,0),0),N($L114),WorkWeek,Holidays),-MAX(0,N($F114)-1),WorkWeek,Holidays),WORKDAY.INTL(WORKDAY.INTL(OFFSET(hdr_FcStart,MATCH($J114,tsk_ID,0),0),N($L114),WorkWeek,Holidays),-MAX(0,N($F114)-1),WorkWeek,Holidays)),0))</f>
        <v>0</v>
      </c>
      <c r="AO114" s="48" t="n">
        <f aca="false">IF($AJ114=1,$R114,0)</f>
        <v>0</v>
      </c>
      <c r="AP114" s="48" t="n">
        <f aca="false">IF($AJ114=1,$S114,0)</f>
        <v>0</v>
      </c>
      <c r="AQ114" s="49" t="n">
        <f aca="false">IF(AND($AJ114=1,N($Z114)&gt;0),$Z114/($AP114-$AO114+1),0)</f>
        <v>0</v>
      </c>
      <c r="AR114" s="46" t="n">
        <f aca="false">IF($AJ114=1,MAX(N($F114),0.1),0)</f>
        <v>0</v>
      </c>
      <c r="AS114" s="46" t="n">
        <f aca="false">IF($AJ114=1,$AR114*$V114,0)</f>
        <v>0</v>
      </c>
      <c r="AT114" s="46" t="str">
        <f aca="false">IF(N($G114)=0,"",$G114&amp;IF(AND(IF($H114="","FS",$H114)="FS",N($I114)=0),"",IF($H114="","FS",$H114)&amp;IF(N($I114)=0,"",IF(N($I114)&gt;0,"+","")&amp;N($I114)&amp;"d")))</f>
        <v/>
      </c>
      <c r="AU114" s="46" t="str">
        <f aca="false">IF(N($J114)=0,"",$J114&amp;IF(AND(IF($K114="","FS",$K114)="FS",N($L114)=0),"",IF($K114="","FS",$K114)&amp;IF(N($L114)=0,"",IF(N($L114)&gt;0,"+","")&amp;N($L114)&amp;"d")))</f>
        <v/>
      </c>
      <c r="AV114" s="46" t="str">
        <f aca="false">IF(AND($AJ114=1,N($F114)=0,$V114&lt;1),$S114+$AF114/100000,"")</f>
        <v/>
      </c>
    </row>
    <row r="115" customFormat="false" ht="15" hidden="false" customHeight="false" outlineLevel="0" collapsed="false">
      <c r="A115" s="38" t="str">
        <f aca="false">IF($D115="","",COUNTA($D$6:$D115))</f>
        <v/>
      </c>
      <c r="B115" s="39" t="str">
        <f aca="true">IF($D115="","",IF($AE115=1,COUNTIF($AE$6:$AE115,1)&amp;"",IF($AG115=0,"?",OFFSET(hdr_WBS,$AG115-ROW(hdr_WBS),0)&amp;"."&amp;COUNTIF(INDEX($AE:$AE,$AG115+1):$AE115,$AE115))))</f>
        <v/>
      </c>
      <c r="C115" s="40"/>
      <c r="D115" s="41"/>
      <c r="E115" s="40"/>
      <c r="F115" s="40"/>
      <c r="G115" s="40"/>
      <c r="H115" s="40"/>
      <c r="I115" s="40"/>
      <c r="J115" s="40"/>
      <c r="K115" s="40"/>
      <c r="L115" s="40"/>
      <c r="M115" s="29"/>
      <c r="N115" s="30" t="str">
        <f aca="true">IF($D115="","",IF($AI115,MIN(OFFSET(hdr_PlanStart,$AF115+1,0,$AH115,1)),IF($E115="Manual",IF(N($M115)&gt;0,$M115,ProjectStart),WORKDAY.INTL(MAX(ProjectStart,N($M115),$AK115,$AL115)-1,1,WorkWeek,Holidays))))</f>
        <v/>
      </c>
      <c r="O115" s="30" t="str">
        <f aca="true">IF($D115="","",IF($AI115,MAX(OFFSET(hdr_PlanFinish,$AF115+1,0,$AH115,1)),IF(N($F115)&lt;=0,$N115,WORKDAY.INTL($N115,$F115-1,WorkWeek,Holidays))))</f>
        <v/>
      </c>
      <c r="P115" s="29"/>
      <c r="Q115" s="29"/>
      <c r="R115" s="30" t="str">
        <f aca="true">IF($D115="","",IF($AI115,MIN(OFFSET(hdr_FcStart,$AF115+1,0,$AH115,1)),IF(N($P115)&gt;0,$P115,IF($E115="Manual",IF(N($M115)&gt;0,$M115,ProjectStart),WORKDAY.INTL(MAX(ProjectStart,N($M115),$AM115,$AN115,IF(RescheduleAfterStatus="Yes",StatusDate,0))-1,1,WorkWeek,Holidays)))))</f>
        <v/>
      </c>
      <c r="S115" s="30" t="str">
        <f aca="true">IF($D115="","",IF($AI115,MAX(OFFSET(hdr_FcFinish,$AF115+1,0,$AH115,1)),IF(N($Q115)&gt;0,$Q115,IF(N($F115)&lt;=0,$R115,IF(AND(N($P115)&gt;0,RescheduleAfterStatus="Yes"),MAX(WORKDAY.INTL($R115,$F115-1,WorkWeek,Holidays),WORKDAY.INTL(StatusWorkday,MAX(0,ROUNDUP($F115*(1-MIN(1,N($U115))),0)-1),WorkWeek,Holidays)),WORKDAY.INTL($R115,$F115-1,WorkWeek,Holidays))))))</f>
        <v/>
      </c>
      <c r="T115" s="38" t="str">
        <f aca="false">IF($D115="","",IF($S115&gt;=$O115,NETWORKDAYS.INTL($O115,$S115,WorkWeek,Holidays)-1,1-NETWORKDAYS.INTL($S115,$O115,WorkWeek,Holidays)))</f>
        <v/>
      </c>
      <c r="U115" s="32"/>
      <c r="V115" s="42" t="str">
        <f aca="true">IF($D115="","",IF($AI115,IFERROR(SUM(OFFSET(hdr_WtDone,$AF115+1,0,$AH115,1))/SUM(OFFSET(hdr_WtDur,$AF115+1,0,$AH115,1)),0),IF(N($Q115)&gt;0,1,MIN(1,N($U115)))))</f>
        <v/>
      </c>
      <c r="W115" s="39" t="str">
        <f aca="false">IF($D115="","",IF($V115&gt;=1,"Complete",IF(OR(N($P115)&gt;0,$V115&gt;0),IF($T115&gt;0,"Behind","In Progress"),IF($N115&lt;StatusDate,"Late Start","Not Started"))))</f>
        <v/>
      </c>
      <c r="X115" s="41"/>
      <c r="Y115" s="32"/>
      <c r="Z115" s="43" t="str">
        <f aca="true">IF($D115="","",IF($AI115,SUMPRODUCT(OFFSET(hdr_Work,$AF115+1,0,$AH115,1),OFFSET(hdr_IsLeaf,$AF115+1,0,$AH115,1)),IF($X115="",0,N($F115)*HoursPerDay*IF($Y115="",DefaultUnits,$Y115))))</f>
        <v/>
      </c>
      <c r="AA115" s="44" t="str">
        <f aca="true">IF($D115="","",IF($AI115,SUMPRODUCT(OFFSET(hdr_Cost,$AF115+1,0,$AH115,1),OFFSET(hdr_IsLeaf,$AF115+1,0,$AH115,1)),$Z115*IFERROR(INDEX(res_Rate,MATCH($X115,res_Name,0)),0)))</f>
        <v/>
      </c>
      <c r="AB115" s="38" t="str">
        <f aca="false">IF(OR($D115="",$AI115),"",IF(OR($R115&lt;Sprint1Start,$R115&gt;SprintLastEnd),"Backlog",INDEX(spr_Name,MATCH($R115,spr_Start,1))))</f>
        <v/>
      </c>
      <c r="AC115" s="45" t="str">
        <f aca="false">IF($D115="","",$AT115&amp;IF(AND($AT115&lt;&gt;"",$AU115&lt;&gt;""),",","")&amp;$AU115)</f>
        <v/>
      </c>
      <c r="AD115" s="41"/>
      <c r="AE115" s="46" t="str">
        <f aca="false">IF($D115="","",MAX(1,N($C115)))</f>
        <v/>
      </c>
      <c r="AF115" s="46" t="n">
        <f aca="false">ROW()-ROW(hdr_ID)</f>
        <v>110</v>
      </c>
      <c r="AG115" s="46" t="n">
        <f aca="false">IF(OR($D115="",$AE115&lt;=1),0,IFERROR(LOOKUP(2,1/($AE$5:$AE114=$AE115-1),ROW($AE$5:$AE114)),0))</f>
        <v>0</v>
      </c>
      <c r="AH115" s="46" t="n">
        <f aca="false">IF($D115="",0,COUNTIF(tsk_WBS,$B115&amp;".*"))</f>
        <v>0</v>
      </c>
      <c r="AI115" s="47" t="b">
        <f aca="false">$AH115&gt;0</f>
        <v>0</v>
      </c>
      <c r="AJ115" s="46" t="n">
        <f aca="false">IF(AND($D115&lt;&gt;"",NOT($AI115)),1,0)</f>
        <v>0</v>
      </c>
      <c r="AK115" s="48" t="n">
        <f aca="true">IF(OR(N($G115)=0,$AI115,$D115=""),0,IFERROR(CHOOSE(MATCH(IF($H115="","FS",$H115),{"FS","SS","FF","SF"},0),WORKDAY.INTL(OFFSET(hdr_PlanFinish,MATCH($G115,tsk_ID,0),0),IF(N($F115)=0,0,1)+N($I115),WorkWeek,Holidays),WORKDAY.INTL(OFFSET(hdr_PlanStart,MATCH($G115,tsk_ID,0),0),N($I115),WorkWeek,Holidays),WORKDAY.INTL(WORKDAY.INTL(OFFSET(hdr_PlanFinish,MATCH($G115,tsk_ID,0),0),N($I115),WorkWeek,Holidays),-MAX(0,N($F115)-1),WorkWeek,Holidays),WORKDAY.INTL(WORKDAY.INTL(OFFSET(hdr_PlanStart,MATCH($G115,tsk_ID,0),0),N($I115),WorkWeek,Holidays),-MAX(0,N($F115)-1),WorkWeek,Holidays)),0))</f>
        <v>0</v>
      </c>
      <c r="AL115" s="48" t="n">
        <f aca="true">IF(OR(N($J115)=0,$AI115,$D115=""),0,IFERROR(CHOOSE(MATCH(IF($K115="","FS",$K115),{"FS","SS","FF","SF"},0),WORKDAY.INTL(OFFSET(hdr_PlanFinish,MATCH($J115,tsk_ID,0),0),IF(N($F115)=0,0,1)+N($L115),WorkWeek,Holidays),WORKDAY.INTL(OFFSET(hdr_PlanStart,MATCH($J115,tsk_ID,0),0),N($L115),WorkWeek,Holidays),WORKDAY.INTL(WORKDAY.INTL(OFFSET(hdr_PlanFinish,MATCH($J115,tsk_ID,0),0),N($L115),WorkWeek,Holidays),-MAX(0,N($F115)-1),WorkWeek,Holidays),WORKDAY.INTL(WORKDAY.INTL(OFFSET(hdr_PlanStart,MATCH($J115,tsk_ID,0),0),N($L115),WorkWeek,Holidays),-MAX(0,N($F115)-1),WorkWeek,Holidays)),0))</f>
        <v>0</v>
      </c>
      <c r="AM115" s="48" t="n">
        <f aca="true">IF(OR(N($G115)=0,$AI115,$D115=""),0,IFERROR(CHOOSE(MATCH(IF($H115="","FS",$H115),{"FS","SS","FF","SF"},0),WORKDAY.INTL(OFFSET(hdr_FcFinish,MATCH($G115,tsk_ID,0),0),IF(N($F115)=0,0,1)+N($I115),WorkWeek,Holidays),WORKDAY.INTL(OFFSET(hdr_FcStart,MATCH($G115,tsk_ID,0),0),N($I115),WorkWeek,Holidays),WORKDAY.INTL(WORKDAY.INTL(OFFSET(hdr_FcFinish,MATCH($G115,tsk_ID,0),0),N($I115),WorkWeek,Holidays),-MAX(0,N($F115)-1),WorkWeek,Holidays),WORKDAY.INTL(WORKDAY.INTL(OFFSET(hdr_FcStart,MATCH($G115,tsk_ID,0),0),N($I115),WorkWeek,Holidays),-MAX(0,N($F115)-1),WorkWeek,Holidays)),0))</f>
        <v>0</v>
      </c>
      <c r="AN115" s="48" t="n">
        <f aca="true">IF(OR(N($J115)=0,$AI115,$D115=""),0,IFERROR(CHOOSE(MATCH(IF($K115="","FS",$K115),{"FS","SS","FF","SF"},0),WORKDAY.INTL(OFFSET(hdr_FcFinish,MATCH($J115,tsk_ID,0),0),IF(N($F115)=0,0,1)+N($L115),WorkWeek,Holidays),WORKDAY.INTL(OFFSET(hdr_FcStart,MATCH($J115,tsk_ID,0),0),N($L115),WorkWeek,Holidays),WORKDAY.INTL(WORKDAY.INTL(OFFSET(hdr_FcFinish,MATCH($J115,tsk_ID,0),0),N($L115),WorkWeek,Holidays),-MAX(0,N($F115)-1),WorkWeek,Holidays),WORKDAY.INTL(WORKDAY.INTL(OFFSET(hdr_FcStart,MATCH($J115,tsk_ID,0),0),N($L115),WorkWeek,Holidays),-MAX(0,N($F115)-1),WorkWeek,Holidays)),0))</f>
        <v>0</v>
      </c>
      <c r="AO115" s="48" t="n">
        <f aca="false">IF($AJ115=1,$R115,0)</f>
        <v>0</v>
      </c>
      <c r="AP115" s="48" t="n">
        <f aca="false">IF($AJ115=1,$S115,0)</f>
        <v>0</v>
      </c>
      <c r="AQ115" s="49" t="n">
        <f aca="false">IF(AND($AJ115=1,N($Z115)&gt;0),$Z115/($AP115-$AO115+1),0)</f>
        <v>0</v>
      </c>
      <c r="AR115" s="46" t="n">
        <f aca="false">IF($AJ115=1,MAX(N($F115),0.1),0)</f>
        <v>0</v>
      </c>
      <c r="AS115" s="46" t="n">
        <f aca="false">IF($AJ115=1,$AR115*$V115,0)</f>
        <v>0</v>
      </c>
      <c r="AT115" s="46" t="str">
        <f aca="false">IF(N($G115)=0,"",$G115&amp;IF(AND(IF($H115="","FS",$H115)="FS",N($I115)=0),"",IF($H115="","FS",$H115)&amp;IF(N($I115)=0,"",IF(N($I115)&gt;0,"+","")&amp;N($I115)&amp;"d")))</f>
        <v/>
      </c>
      <c r="AU115" s="46" t="str">
        <f aca="false">IF(N($J115)=0,"",$J115&amp;IF(AND(IF($K115="","FS",$K115)="FS",N($L115)=0),"",IF($K115="","FS",$K115)&amp;IF(N($L115)=0,"",IF(N($L115)&gt;0,"+","")&amp;N($L115)&amp;"d")))</f>
        <v/>
      </c>
      <c r="AV115" s="46" t="str">
        <f aca="false">IF(AND($AJ115=1,N($F115)=0,$V115&lt;1),$S115+$AF115/100000,"")</f>
        <v/>
      </c>
    </row>
    <row r="116" customFormat="false" ht="15" hidden="false" customHeight="false" outlineLevel="0" collapsed="false">
      <c r="A116" s="38" t="str">
        <f aca="false">IF($D116="","",COUNTA($D$6:$D116))</f>
        <v/>
      </c>
      <c r="B116" s="39" t="str">
        <f aca="true">IF($D116="","",IF($AE116=1,COUNTIF($AE$6:$AE116,1)&amp;"",IF($AG116=0,"?",OFFSET(hdr_WBS,$AG116-ROW(hdr_WBS),0)&amp;"."&amp;COUNTIF(INDEX($AE:$AE,$AG116+1):$AE116,$AE116))))</f>
        <v/>
      </c>
      <c r="C116" s="40"/>
      <c r="D116" s="41"/>
      <c r="E116" s="40"/>
      <c r="F116" s="40"/>
      <c r="G116" s="40"/>
      <c r="H116" s="40"/>
      <c r="I116" s="40"/>
      <c r="J116" s="40"/>
      <c r="K116" s="40"/>
      <c r="L116" s="40"/>
      <c r="M116" s="29"/>
      <c r="N116" s="30" t="str">
        <f aca="true">IF($D116="","",IF($AI116,MIN(OFFSET(hdr_PlanStart,$AF116+1,0,$AH116,1)),IF($E116="Manual",IF(N($M116)&gt;0,$M116,ProjectStart),WORKDAY.INTL(MAX(ProjectStart,N($M116),$AK116,$AL116)-1,1,WorkWeek,Holidays))))</f>
        <v/>
      </c>
      <c r="O116" s="30" t="str">
        <f aca="true">IF($D116="","",IF($AI116,MAX(OFFSET(hdr_PlanFinish,$AF116+1,0,$AH116,1)),IF(N($F116)&lt;=0,$N116,WORKDAY.INTL($N116,$F116-1,WorkWeek,Holidays))))</f>
        <v/>
      </c>
      <c r="P116" s="29"/>
      <c r="Q116" s="29"/>
      <c r="R116" s="30" t="str">
        <f aca="true">IF($D116="","",IF($AI116,MIN(OFFSET(hdr_FcStart,$AF116+1,0,$AH116,1)),IF(N($P116)&gt;0,$P116,IF($E116="Manual",IF(N($M116)&gt;0,$M116,ProjectStart),WORKDAY.INTL(MAX(ProjectStart,N($M116),$AM116,$AN116,IF(RescheduleAfterStatus="Yes",StatusDate,0))-1,1,WorkWeek,Holidays)))))</f>
        <v/>
      </c>
      <c r="S116" s="30" t="str">
        <f aca="true">IF($D116="","",IF($AI116,MAX(OFFSET(hdr_FcFinish,$AF116+1,0,$AH116,1)),IF(N($Q116)&gt;0,$Q116,IF(N($F116)&lt;=0,$R116,IF(AND(N($P116)&gt;0,RescheduleAfterStatus="Yes"),MAX(WORKDAY.INTL($R116,$F116-1,WorkWeek,Holidays),WORKDAY.INTL(StatusWorkday,MAX(0,ROUNDUP($F116*(1-MIN(1,N($U116))),0)-1),WorkWeek,Holidays)),WORKDAY.INTL($R116,$F116-1,WorkWeek,Holidays))))))</f>
        <v/>
      </c>
      <c r="T116" s="38" t="str">
        <f aca="false">IF($D116="","",IF($S116&gt;=$O116,NETWORKDAYS.INTL($O116,$S116,WorkWeek,Holidays)-1,1-NETWORKDAYS.INTL($S116,$O116,WorkWeek,Holidays)))</f>
        <v/>
      </c>
      <c r="U116" s="32"/>
      <c r="V116" s="42" t="str">
        <f aca="true">IF($D116="","",IF($AI116,IFERROR(SUM(OFFSET(hdr_WtDone,$AF116+1,0,$AH116,1))/SUM(OFFSET(hdr_WtDur,$AF116+1,0,$AH116,1)),0),IF(N($Q116)&gt;0,1,MIN(1,N($U116)))))</f>
        <v/>
      </c>
      <c r="W116" s="39" t="str">
        <f aca="false">IF($D116="","",IF($V116&gt;=1,"Complete",IF(OR(N($P116)&gt;0,$V116&gt;0),IF($T116&gt;0,"Behind","In Progress"),IF($N116&lt;StatusDate,"Late Start","Not Started"))))</f>
        <v/>
      </c>
      <c r="X116" s="41"/>
      <c r="Y116" s="32"/>
      <c r="Z116" s="43" t="str">
        <f aca="true">IF($D116="","",IF($AI116,SUMPRODUCT(OFFSET(hdr_Work,$AF116+1,0,$AH116,1),OFFSET(hdr_IsLeaf,$AF116+1,0,$AH116,1)),IF($X116="",0,N($F116)*HoursPerDay*IF($Y116="",DefaultUnits,$Y116))))</f>
        <v/>
      </c>
      <c r="AA116" s="44" t="str">
        <f aca="true">IF($D116="","",IF($AI116,SUMPRODUCT(OFFSET(hdr_Cost,$AF116+1,0,$AH116,1),OFFSET(hdr_IsLeaf,$AF116+1,0,$AH116,1)),$Z116*IFERROR(INDEX(res_Rate,MATCH($X116,res_Name,0)),0)))</f>
        <v/>
      </c>
      <c r="AB116" s="38" t="str">
        <f aca="false">IF(OR($D116="",$AI116),"",IF(OR($R116&lt;Sprint1Start,$R116&gt;SprintLastEnd),"Backlog",INDEX(spr_Name,MATCH($R116,spr_Start,1))))</f>
        <v/>
      </c>
      <c r="AC116" s="45" t="str">
        <f aca="false">IF($D116="","",$AT116&amp;IF(AND($AT116&lt;&gt;"",$AU116&lt;&gt;""),",","")&amp;$AU116)</f>
        <v/>
      </c>
      <c r="AD116" s="41"/>
      <c r="AE116" s="46" t="str">
        <f aca="false">IF($D116="","",MAX(1,N($C116)))</f>
        <v/>
      </c>
      <c r="AF116" s="46" t="n">
        <f aca="false">ROW()-ROW(hdr_ID)</f>
        <v>111</v>
      </c>
      <c r="AG116" s="46" t="n">
        <f aca="false">IF(OR($D116="",$AE116&lt;=1),0,IFERROR(LOOKUP(2,1/($AE$5:$AE115=$AE116-1),ROW($AE$5:$AE115)),0))</f>
        <v>0</v>
      </c>
      <c r="AH116" s="46" t="n">
        <f aca="false">IF($D116="",0,COUNTIF(tsk_WBS,$B116&amp;".*"))</f>
        <v>0</v>
      </c>
      <c r="AI116" s="47" t="b">
        <f aca="false">$AH116&gt;0</f>
        <v>0</v>
      </c>
      <c r="AJ116" s="46" t="n">
        <f aca="false">IF(AND($D116&lt;&gt;"",NOT($AI116)),1,0)</f>
        <v>0</v>
      </c>
      <c r="AK116" s="48" t="n">
        <f aca="true">IF(OR(N($G116)=0,$AI116,$D116=""),0,IFERROR(CHOOSE(MATCH(IF($H116="","FS",$H116),{"FS","SS","FF","SF"},0),WORKDAY.INTL(OFFSET(hdr_PlanFinish,MATCH($G116,tsk_ID,0),0),IF(N($F116)=0,0,1)+N($I116),WorkWeek,Holidays),WORKDAY.INTL(OFFSET(hdr_PlanStart,MATCH($G116,tsk_ID,0),0),N($I116),WorkWeek,Holidays),WORKDAY.INTL(WORKDAY.INTL(OFFSET(hdr_PlanFinish,MATCH($G116,tsk_ID,0),0),N($I116),WorkWeek,Holidays),-MAX(0,N($F116)-1),WorkWeek,Holidays),WORKDAY.INTL(WORKDAY.INTL(OFFSET(hdr_PlanStart,MATCH($G116,tsk_ID,0),0),N($I116),WorkWeek,Holidays),-MAX(0,N($F116)-1),WorkWeek,Holidays)),0))</f>
        <v>0</v>
      </c>
      <c r="AL116" s="48" t="n">
        <f aca="true">IF(OR(N($J116)=0,$AI116,$D116=""),0,IFERROR(CHOOSE(MATCH(IF($K116="","FS",$K116),{"FS","SS","FF","SF"},0),WORKDAY.INTL(OFFSET(hdr_PlanFinish,MATCH($J116,tsk_ID,0),0),IF(N($F116)=0,0,1)+N($L116),WorkWeek,Holidays),WORKDAY.INTL(OFFSET(hdr_PlanStart,MATCH($J116,tsk_ID,0),0),N($L116),WorkWeek,Holidays),WORKDAY.INTL(WORKDAY.INTL(OFFSET(hdr_PlanFinish,MATCH($J116,tsk_ID,0),0),N($L116),WorkWeek,Holidays),-MAX(0,N($F116)-1),WorkWeek,Holidays),WORKDAY.INTL(WORKDAY.INTL(OFFSET(hdr_PlanStart,MATCH($J116,tsk_ID,0),0),N($L116),WorkWeek,Holidays),-MAX(0,N($F116)-1),WorkWeek,Holidays)),0))</f>
        <v>0</v>
      </c>
      <c r="AM116" s="48" t="n">
        <f aca="true">IF(OR(N($G116)=0,$AI116,$D116=""),0,IFERROR(CHOOSE(MATCH(IF($H116="","FS",$H116),{"FS","SS","FF","SF"},0),WORKDAY.INTL(OFFSET(hdr_FcFinish,MATCH($G116,tsk_ID,0),0),IF(N($F116)=0,0,1)+N($I116),WorkWeek,Holidays),WORKDAY.INTL(OFFSET(hdr_FcStart,MATCH($G116,tsk_ID,0),0),N($I116),WorkWeek,Holidays),WORKDAY.INTL(WORKDAY.INTL(OFFSET(hdr_FcFinish,MATCH($G116,tsk_ID,0),0),N($I116),WorkWeek,Holidays),-MAX(0,N($F116)-1),WorkWeek,Holidays),WORKDAY.INTL(WORKDAY.INTL(OFFSET(hdr_FcStart,MATCH($G116,tsk_ID,0),0),N($I116),WorkWeek,Holidays),-MAX(0,N($F116)-1),WorkWeek,Holidays)),0))</f>
        <v>0</v>
      </c>
      <c r="AN116" s="48" t="n">
        <f aca="true">IF(OR(N($J116)=0,$AI116,$D116=""),0,IFERROR(CHOOSE(MATCH(IF($K116="","FS",$K116),{"FS","SS","FF","SF"},0),WORKDAY.INTL(OFFSET(hdr_FcFinish,MATCH($J116,tsk_ID,0),0),IF(N($F116)=0,0,1)+N($L116),WorkWeek,Holidays),WORKDAY.INTL(OFFSET(hdr_FcStart,MATCH($J116,tsk_ID,0),0),N($L116),WorkWeek,Holidays),WORKDAY.INTL(WORKDAY.INTL(OFFSET(hdr_FcFinish,MATCH($J116,tsk_ID,0),0),N($L116),WorkWeek,Holidays),-MAX(0,N($F116)-1),WorkWeek,Holidays),WORKDAY.INTL(WORKDAY.INTL(OFFSET(hdr_FcStart,MATCH($J116,tsk_ID,0),0),N($L116),WorkWeek,Holidays),-MAX(0,N($F116)-1),WorkWeek,Holidays)),0))</f>
        <v>0</v>
      </c>
      <c r="AO116" s="48" t="n">
        <f aca="false">IF($AJ116=1,$R116,0)</f>
        <v>0</v>
      </c>
      <c r="AP116" s="48" t="n">
        <f aca="false">IF($AJ116=1,$S116,0)</f>
        <v>0</v>
      </c>
      <c r="AQ116" s="49" t="n">
        <f aca="false">IF(AND($AJ116=1,N($Z116)&gt;0),$Z116/($AP116-$AO116+1),0)</f>
        <v>0</v>
      </c>
      <c r="AR116" s="46" t="n">
        <f aca="false">IF($AJ116=1,MAX(N($F116),0.1),0)</f>
        <v>0</v>
      </c>
      <c r="AS116" s="46" t="n">
        <f aca="false">IF($AJ116=1,$AR116*$V116,0)</f>
        <v>0</v>
      </c>
      <c r="AT116" s="46" t="str">
        <f aca="false">IF(N($G116)=0,"",$G116&amp;IF(AND(IF($H116="","FS",$H116)="FS",N($I116)=0),"",IF($H116="","FS",$H116)&amp;IF(N($I116)=0,"",IF(N($I116)&gt;0,"+","")&amp;N($I116)&amp;"d")))</f>
        <v/>
      </c>
      <c r="AU116" s="46" t="str">
        <f aca="false">IF(N($J116)=0,"",$J116&amp;IF(AND(IF($K116="","FS",$K116)="FS",N($L116)=0),"",IF($K116="","FS",$K116)&amp;IF(N($L116)=0,"",IF(N($L116)&gt;0,"+","")&amp;N($L116)&amp;"d")))</f>
        <v/>
      </c>
      <c r="AV116" s="46" t="str">
        <f aca="false">IF(AND($AJ116=1,N($F116)=0,$V116&lt;1),$S116+$AF116/100000,"")</f>
        <v/>
      </c>
    </row>
    <row r="117" customFormat="false" ht="15" hidden="false" customHeight="false" outlineLevel="0" collapsed="false">
      <c r="A117" s="38" t="str">
        <f aca="false">IF($D117="","",COUNTA($D$6:$D117))</f>
        <v/>
      </c>
      <c r="B117" s="39" t="str">
        <f aca="true">IF($D117="","",IF($AE117=1,COUNTIF($AE$6:$AE117,1)&amp;"",IF($AG117=0,"?",OFFSET(hdr_WBS,$AG117-ROW(hdr_WBS),0)&amp;"."&amp;COUNTIF(INDEX($AE:$AE,$AG117+1):$AE117,$AE117))))</f>
        <v/>
      </c>
      <c r="C117" s="40"/>
      <c r="D117" s="41"/>
      <c r="E117" s="40"/>
      <c r="F117" s="40"/>
      <c r="G117" s="40"/>
      <c r="H117" s="40"/>
      <c r="I117" s="40"/>
      <c r="J117" s="40"/>
      <c r="K117" s="40"/>
      <c r="L117" s="40"/>
      <c r="M117" s="29"/>
      <c r="N117" s="30" t="str">
        <f aca="true">IF($D117="","",IF($AI117,MIN(OFFSET(hdr_PlanStart,$AF117+1,0,$AH117,1)),IF($E117="Manual",IF(N($M117)&gt;0,$M117,ProjectStart),WORKDAY.INTL(MAX(ProjectStart,N($M117),$AK117,$AL117)-1,1,WorkWeek,Holidays))))</f>
        <v/>
      </c>
      <c r="O117" s="30" t="str">
        <f aca="true">IF($D117="","",IF($AI117,MAX(OFFSET(hdr_PlanFinish,$AF117+1,0,$AH117,1)),IF(N($F117)&lt;=0,$N117,WORKDAY.INTL($N117,$F117-1,WorkWeek,Holidays))))</f>
        <v/>
      </c>
      <c r="P117" s="29"/>
      <c r="Q117" s="29"/>
      <c r="R117" s="30" t="str">
        <f aca="true">IF($D117="","",IF($AI117,MIN(OFFSET(hdr_FcStart,$AF117+1,0,$AH117,1)),IF(N($P117)&gt;0,$P117,IF($E117="Manual",IF(N($M117)&gt;0,$M117,ProjectStart),WORKDAY.INTL(MAX(ProjectStart,N($M117),$AM117,$AN117,IF(RescheduleAfterStatus="Yes",StatusDate,0))-1,1,WorkWeek,Holidays)))))</f>
        <v/>
      </c>
      <c r="S117" s="30" t="str">
        <f aca="true">IF($D117="","",IF($AI117,MAX(OFFSET(hdr_FcFinish,$AF117+1,0,$AH117,1)),IF(N($Q117)&gt;0,$Q117,IF(N($F117)&lt;=0,$R117,IF(AND(N($P117)&gt;0,RescheduleAfterStatus="Yes"),MAX(WORKDAY.INTL($R117,$F117-1,WorkWeek,Holidays),WORKDAY.INTL(StatusWorkday,MAX(0,ROUNDUP($F117*(1-MIN(1,N($U117))),0)-1),WorkWeek,Holidays)),WORKDAY.INTL($R117,$F117-1,WorkWeek,Holidays))))))</f>
        <v/>
      </c>
      <c r="T117" s="38" t="str">
        <f aca="false">IF($D117="","",IF($S117&gt;=$O117,NETWORKDAYS.INTL($O117,$S117,WorkWeek,Holidays)-1,1-NETWORKDAYS.INTL($S117,$O117,WorkWeek,Holidays)))</f>
        <v/>
      </c>
      <c r="U117" s="32"/>
      <c r="V117" s="42" t="str">
        <f aca="true">IF($D117="","",IF($AI117,IFERROR(SUM(OFFSET(hdr_WtDone,$AF117+1,0,$AH117,1))/SUM(OFFSET(hdr_WtDur,$AF117+1,0,$AH117,1)),0),IF(N($Q117)&gt;0,1,MIN(1,N($U117)))))</f>
        <v/>
      </c>
      <c r="W117" s="39" t="str">
        <f aca="false">IF($D117="","",IF($V117&gt;=1,"Complete",IF(OR(N($P117)&gt;0,$V117&gt;0),IF($T117&gt;0,"Behind","In Progress"),IF($N117&lt;StatusDate,"Late Start","Not Started"))))</f>
        <v/>
      </c>
      <c r="X117" s="41"/>
      <c r="Y117" s="32"/>
      <c r="Z117" s="43" t="str">
        <f aca="true">IF($D117="","",IF($AI117,SUMPRODUCT(OFFSET(hdr_Work,$AF117+1,0,$AH117,1),OFFSET(hdr_IsLeaf,$AF117+1,0,$AH117,1)),IF($X117="",0,N($F117)*HoursPerDay*IF($Y117="",DefaultUnits,$Y117))))</f>
        <v/>
      </c>
      <c r="AA117" s="44" t="str">
        <f aca="true">IF($D117="","",IF($AI117,SUMPRODUCT(OFFSET(hdr_Cost,$AF117+1,0,$AH117,1),OFFSET(hdr_IsLeaf,$AF117+1,0,$AH117,1)),$Z117*IFERROR(INDEX(res_Rate,MATCH($X117,res_Name,0)),0)))</f>
        <v/>
      </c>
      <c r="AB117" s="38" t="str">
        <f aca="false">IF(OR($D117="",$AI117),"",IF(OR($R117&lt;Sprint1Start,$R117&gt;SprintLastEnd),"Backlog",INDEX(spr_Name,MATCH($R117,spr_Start,1))))</f>
        <v/>
      </c>
      <c r="AC117" s="45" t="str">
        <f aca="false">IF($D117="","",$AT117&amp;IF(AND($AT117&lt;&gt;"",$AU117&lt;&gt;""),",","")&amp;$AU117)</f>
        <v/>
      </c>
      <c r="AD117" s="41"/>
      <c r="AE117" s="46" t="str">
        <f aca="false">IF($D117="","",MAX(1,N($C117)))</f>
        <v/>
      </c>
      <c r="AF117" s="46" t="n">
        <f aca="false">ROW()-ROW(hdr_ID)</f>
        <v>112</v>
      </c>
      <c r="AG117" s="46" t="n">
        <f aca="false">IF(OR($D117="",$AE117&lt;=1),0,IFERROR(LOOKUP(2,1/($AE$5:$AE116=$AE117-1),ROW($AE$5:$AE116)),0))</f>
        <v>0</v>
      </c>
      <c r="AH117" s="46" t="n">
        <f aca="false">IF($D117="",0,COUNTIF(tsk_WBS,$B117&amp;".*"))</f>
        <v>0</v>
      </c>
      <c r="AI117" s="47" t="b">
        <f aca="false">$AH117&gt;0</f>
        <v>0</v>
      </c>
      <c r="AJ117" s="46" t="n">
        <f aca="false">IF(AND($D117&lt;&gt;"",NOT($AI117)),1,0)</f>
        <v>0</v>
      </c>
      <c r="AK117" s="48" t="n">
        <f aca="true">IF(OR(N($G117)=0,$AI117,$D117=""),0,IFERROR(CHOOSE(MATCH(IF($H117="","FS",$H117),{"FS","SS","FF","SF"},0),WORKDAY.INTL(OFFSET(hdr_PlanFinish,MATCH($G117,tsk_ID,0),0),IF(N($F117)=0,0,1)+N($I117),WorkWeek,Holidays),WORKDAY.INTL(OFFSET(hdr_PlanStart,MATCH($G117,tsk_ID,0),0),N($I117),WorkWeek,Holidays),WORKDAY.INTL(WORKDAY.INTL(OFFSET(hdr_PlanFinish,MATCH($G117,tsk_ID,0),0),N($I117),WorkWeek,Holidays),-MAX(0,N($F117)-1),WorkWeek,Holidays),WORKDAY.INTL(WORKDAY.INTL(OFFSET(hdr_PlanStart,MATCH($G117,tsk_ID,0),0),N($I117),WorkWeek,Holidays),-MAX(0,N($F117)-1),WorkWeek,Holidays)),0))</f>
        <v>0</v>
      </c>
      <c r="AL117" s="48" t="n">
        <f aca="true">IF(OR(N($J117)=0,$AI117,$D117=""),0,IFERROR(CHOOSE(MATCH(IF($K117="","FS",$K117),{"FS","SS","FF","SF"},0),WORKDAY.INTL(OFFSET(hdr_PlanFinish,MATCH($J117,tsk_ID,0),0),IF(N($F117)=0,0,1)+N($L117),WorkWeek,Holidays),WORKDAY.INTL(OFFSET(hdr_PlanStart,MATCH($J117,tsk_ID,0),0),N($L117),WorkWeek,Holidays),WORKDAY.INTL(WORKDAY.INTL(OFFSET(hdr_PlanFinish,MATCH($J117,tsk_ID,0),0),N($L117),WorkWeek,Holidays),-MAX(0,N($F117)-1),WorkWeek,Holidays),WORKDAY.INTL(WORKDAY.INTL(OFFSET(hdr_PlanStart,MATCH($J117,tsk_ID,0),0),N($L117),WorkWeek,Holidays),-MAX(0,N($F117)-1),WorkWeek,Holidays)),0))</f>
        <v>0</v>
      </c>
      <c r="AM117" s="48" t="n">
        <f aca="true">IF(OR(N($G117)=0,$AI117,$D117=""),0,IFERROR(CHOOSE(MATCH(IF($H117="","FS",$H117),{"FS","SS","FF","SF"},0),WORKDAY.INTL(OFFSET(hdr_FcFinish,MATCH($G117,tsk_ID,0),0),IF(N($F117)=0,0,1)+N($I117),WorkWeek,Holidays),WORKDAY.INTL(OFFSET(hdr_FcStart,MATCH($G117,tsk_ID,0),0),N($I117),WorkWeek,Holidays),WORKDAY.INTL(WORKDAY.INTL(OFFSET(hdr_FcFinish,MATCH($G117,tsk_ID,0),0),N($I117),WorkWeek,Holidays),-MAX(0,N($F117)-1),WorkWeek,Holidays),WORKDAY.INTL(WORKDAY.INTL(OFFSET(hdr_FcStart,MATCH($G117,tsk_ID,0),0),N($I117),WorkWeek,Holidays),-MAX(0,N($F117)-1),WorkWeek,Holidays)),0))</f>
        <v>0</v>
      </c>
      <c r="AN117" s="48" t="n">
        <f aca="true">IF(OR(N($J117)=0,$AI117,$D117=""),0,IFERROR(CHOOSE(MATCH(IF($K117="","FS",$K117),{"FS","SS","FF","SF"},0),WORKDAY.INTL(OFFSET(hdr_FcFinish,MATCH($J117,tsk_ID,0),0),IF(N($F117)=0,0,1)+N($L117),WorkWeek,Holidays),WORKDAY.INTL(OFFSET(hdr_FcStart,MATCH($J117,tsk_ID,0),0),N($L117),WorkWeek,Holidays),WORKDAY.INTL(WORKDAY.INTL(OFFSET(hdr_FcFinish,MATCH($J117,tsk_ID,0),0),N($L117),WorkWeek,Holidays),-MAX(0,N($F117)-1),WorkWeek,Holidays),WORKDAY.INTL(WORKDAY.INTL(OFFSET(hdr_FcStart,MATCH($J117,tsk_ID,0),0),N($L117),WorkWeek,Holidays),-MAX(0,N($F117)-1),WorkWeek,Holidays)),0))</f>
        <v>0</v>
      </c>
      <c r="AO117" s="48" t="n">
        <f aca="false">IF($AJ117=1,$R117,0)</f>
        <v>0</v>
      </c>
      <c r="AP117" s="48" t="n">
        <f aca="false">IF($AJ117=1,$S117,0)</f>
        <v>0</v>
      </c>
      <c r="AQ117" s="49" t="n">
        <f aca="false">IF(AND($AJ117=1,N($Z117)&gt;0),$Z117/($AP117-$AO117+1),0)</f>
        <v>0</v>
      </c>
      <c r="AR117" s="46" t="n">
        <f aca="false">IF($AJ117=1,MAX(N($F117),0.1),0)</f>
        <v>0</v>
      </c>
      <c r="AS117" s="46" t="n">
        <f aca="false">IF($AJ117=1,$AR117*$V117,0)</f>
        <v>0</v>
      </c>
      <c r="AT117" s="46" t="str">
        <f aca="false">IF(N($G117)=0,"",$G117&amp;IF(AND(IF($H117="","FS",$H117)="FS",N($I117)=0),"",IF($H117="","FS",$H117)&amp;IF(N($I117)=0,"",IF(N($I117)&gt;0,"+","")&amp;N($I117)&amp;"d")))</f>
        <v/>
      </c>
      <c r="AU117" s="46" t="str">
        <f aca="false">IF(N($J117)=0,"",$J117&amp;IF(AND(IF($K117="","FS",$K117)="FS",N($L117)=0),"",IF($K117="","FS",$K117)&amp;IF(N($L117)=0,"",IF(N($L117)&gt;0,"+","")&amp;N($L117)&amp;"d")))</f>
        <v/>
      </c>
      <c r="AV117" s="46" t="str">
        <f aca="false">IF(AND($AJ117=1,N($F117)=0,$V117&lt;1),$S117+$AF117/100000,"")</f>
        <v/>
      </c>
    </row>
    <row r="118" customFormat="false" ht="15" hidden="false" customHeight="false" outlineLevel="0" collapsed="false">
      <c r="A118" s="38" t="str">
        <f aca="false">IF($D118="","",COUNTA($D$6:$D118))</f>
        <v/>
      </c>
      <c r="B118" s="39" t="str">
        <f aca="true">IF($D118="","",IF($AE118=1,COUNTIF($AE$6:$AE118,1)&amp;"",IF($AG118=0,"?",OFFSET(hdr_WBS,$AG118-ROW(hdr_WBS),0)&amp;"."&amp;COUNTIF(INDEX($AE:$AE,$AG118+1):$AE118,$AE118))))</f>
        <v/>
      </c>
      <c r="C118" s="40"/>
      <c r="D118" s="41"/>
      <c r="E118" s="40"/>
      <c r="F118" s="40"/>
      <c r="G118" s="40"/>
      <c r="H118" s="40"/>
      <c r="I118" s="40"/>
      <c r="J118" s="40"/>
      <c r="K118" s="40"/>
      <c r="L118" s="40"/>
      <c r="M118" s="29"/>
      <c r="N118" s="30" t="str">
        <f aca="true">IF($D118="","",IF($AI118,MIN(OFFSET(hdr_PlanStart,$AF118+1,0,$AH118,1)),IF($E118="Manual",IF(N($M118)&gt;0,$M118,ProjectStart),WORKDAY.INTL(MAX(ProjectStart,N($M118),$AK118,$AL118)-1,1,WorkWeek,Holidays))))</f>
        <v/>
      </c>
      <c r="O118" s="30" t="str">
        <f aca="true">IF($D118="","",IF($AI118,MAX(OFFSET(hdr_PlanFinish,$AF118+1,0,$AH118,1)),IF(N($F118)&lt;=0,$N118,WORKDAY.INTL($N118,$F118-1,WorkWeek,Holidays))))</f>
        <v/>
      </c>
      <c r="P118" s="29"/>
      <c r="Q118" s="29"/>
      <c r="R118" s="30" t="str">
        <f aca="true">IF($D118="","",IF($AI118,MIN(OFFSET(hdr_FcStart,$AF118+1,0,$AH118,1)),IF(N($P118)&gt;0,$P118,IF($E118="Manual",IF(N($M118)&gt;0,$M118,ProjectStart),WORKDAY.INTL(MAX(ProjectStart,N($M118),$AM118,$AN118,IF(RescheduleAfterStatus="Yes",StatusDate,0))-1,1,WorkWeek,Holidays)))))</f>
        <v/>
      </c>
      <c r="S118" s="30" t="str">
        <f aca="true">IF($D118="","",IF($AI118,MAX(OFFSET(hdr_FcFinish,$AF118+1,0,$AH118,1)),IF(N($Q118)&gt;0,$Q118,IF(N($F118)&lt;=0,$R118,IF(AND(N($P118)&gt;0,RescheduleAfterStatus="Yes"),MAX(WORKDAY.INTL($R118,$F118-1,WorkWeek,Holidays),WORKDAY.INTL(StatusWorkday,MAX(0,ROUNDUP($F118*(1-MIN(1,N($U118))),0)-1),WorkWeek,Holidays)),WORKDAY.INTL($R118,$F118-1,WorkWeek,Holidays))))))</f>
        <v/>
      </c>
      <c r="T118" s="38" t="str">
        <f aca="false">IF($D118="","",IF($S118&gt;=$O118,NETWORKDAYS.INTL($O118,$S118,WorkWeek,Holidays)-1,1-NETWORKDAYS.INTL($S118,$O118,WorkWeek,Holidays)))</f>
        <v/>
      </c>
      <c r="U118" s="32"/>
      <c r="V118" s="42" t="str">
        <f aca="true">IF($D118="","",IF($AI118,IFERROR(SUM(OFFSET(hdr_WtDone,$AF118+1,0,$AH118,1))/SUM(OFFSET(hdr_WtDur,$AF118+1,0,$AH118,1)),0),IF(N($Q118)&gt;0,1,MIN(1,N($U118)))))</f>
        <v/>
      </c>
      <c r="W118" s="39" t="str">
        <f aca="false">IF($D118="","",IF($V118&gt;=1,"Complete",IF(OR(N($P118)&gt;0,$V118&gt;0),IF($T118&gt;0,"Behind","In Progress"),IF($N118&lt;StatusDate,"Late Start","Not Started"))))</f>
        <v/>
      </c>
      <c r="X118" s="41"/>
      <c r="Y118" s="32"/>
      <c r="Z118" s="43" t="str">
        <f aca="true">IF($D118="","",IF($AI118,SUMPRODUCT(OFFSET(hdr_Work,$AF118+1,0,$AH118,1),OFFSET(hdr_IsLeaf,$AF118+1,0,$AH118,1)),IF($X118="",0,N($F118)*HoursPerDay*IF($Y118="",DefaultUnits,$Y118))))</f>
        <v/>
      </c>
      <c r="AA118" s="44" t="str">
        <f aca="true">IF($D118="","",IF($AI118,SUMPRODUCT(OFFSET(hdr_Cost,$AF118+1,0,$AH118,1),OFFSET(hdr_IsLeaf,$AF118+1,0,$AH118,1)),$Z118*IFERROR(INDEX(res_Rate,MATCH($X118,res_Name,0)),0)))</f>
        <v/>
      </c>
      <c r="AB118" s="38" t="str">
        <f aca="false">IF(OR($D118="",$AI118),"",IF(OR($R118&lt;Sprint1Start,$R118&gt;SprintLastEnd),"Backlog",INDEX(spr_Name,MATCH($R118,spr_Start,1))))</f>
        <v/>
      </c>
      <c r="AC118" s="45" t="str">
        <f aca="false">IF($D118="","",$AT118&amp;IF(AND($AT118&lt;&gt;"",$AU118&lt;&gt;""),",","")&amp;$AU118)</f>
        <v/>
      </c>
      <c r="AD118" s="41"/>
      <c r="AE118" s="46" t="str">
        <f aca="false">IF($D118="","",MAX(1,N($C118)))</f>
        <v/>
      </c>
      <c r="AF118" s="46" t="n">
        <f aca="false">ROW()-ROW(hdr_ID)</f>
        <v>113</v>
      </c>
      <c r="AG118" s="46" t="n">
        <f aca="false">IF(OR($D118="",$AE118&lt;=1),0,IFERROR(LOOKUP(2,1/($AE$5:$AE117=$AE118-1),ROW($AE$5:$AE117)),0))</f>
        <v>0</v>
      </c>
      <c r="AH118" s="46" t="n">
        <f aca="false">IF($D118="",0,COUNTIF(tsk_WBS,$B118&amp;".*"))</f>
        <v>0</v>
      </c>
      <c r="AI118" s="47" t="b">
        <f aca="false">$AH118&gt;0</f>
        <v>0</v>
      </c>
      <c r="AJ118" s="46" t="n">
        <f aca="false">IF(AND($D118&lt;&gt;"",NOT($AI118)),1,0)</f>
        <v>0</v>
      </c>
      <c r="AK118" s="48" t="n">
        <f aca="true">IF(OR(N($G118)=0,$AI118,$D118=""),0,IFERROR(CHOOSE(MATCH(IF($H118="","FS",$H118),{"FS","SS","FF","SF"},0),WORKDAY.INTL(OFFSET(hdr_PlanFinish,MATCH($G118,tsk_ID,0),0),IF(N($F118)=0,0,1)+N($I118),WorkWeek,Holidays),WORKDAY.INTL(OFFSET(hdr_PlanStart,MATCH($G118,tsk_ID,0),0),N($I118),WorkWeek,Holidays),WORKDAY.INTL(WORKDAY.INTL(OFFSET(hdr_PlanFinish,MATCH($G118,tsk_ID,0),0),N($I118),WorkWeek,Holidays),-MAX(0,N($F118)-1),WorkWeek,Holidays),WORKDAY.INTL(WORKDAY.INTL(OFFSET(hdr_PlanStart,MATCH($G118,tsk_ID,0),0),N($I118),WorkWeek,Holidays),-MAX(0,N($F118)-1),WorkWeek,Holidays)),0))</f>
        <v>0</v>
      </c>
      <c r="AL118" s="48" t="n">
        <f aca="true">IF(OR(N($J118)=0,$AI118,$D118=""),0,IFERROR(CHOOSE(MATCH(IF($K118="","FS",$K118),{"FS","SS","FF","SF"},0),WORKDAY.INTL(OFFSET(hdr_PlanFinish,MATCH($J118,tsk_ID,0),0),IF(N($F118)=0,0,1)+N($L118),WorkWeek,Holidays),WORKDAY.INTL(OFFSET(hdr_PlanStart,MATCH($J118,tsk_ID,0),0),N($L118),WorkWeek,Holidays),WORKDAY.INTL(WORKDAY.INTL(OFFSET(hdr_PlanFinish,MATCH($J118,tsk_ID,0),0),N($L118),WorkWeek,Holidays),-MAX(0,N($F118)-1),WorkWeek,Holidays),WORKDAY.INTL(WORKDAY.INTL(OFFSET(hdr_PlanStart,MATCH($J118,tsk_ID,0),0),N($L118),WorkWeek,Holidays),-MAX(0,N($F118)-1),WorkWeek,Holidays)),0))</f>
        <v>0</v>
      </c>
      <c r="AM118" s="48" t="n">
        <f aca="true">IF(OR(N($G118)=0,$AI118,$D118=""),0,IFERROR(CHOOSE(MATCH(IF($H118="","FS",$H118),{"FS","SS","FF","SF"},0),WORKDAY.INTL(OFFSET(hdr_FcFinish,MATCH($G118,tsk_ID,0),0),IF(N($F118)=0,0,1)+N($I118),WorkWeek,Holidays),WORKDAY.INTL(OFFSET(hdr_FcStart,MATCH($G118,tsk_ID,0),0),N($I118),WorkWeek,Holidays),WORKDAY.INTL(WORKDAY.INTL(OFFSET(hdr_FcFinish,MATCH($G118,tsk_ID,0),0),N($I118),WorkWeek,Holidays),-MAX(0,N($F118)-1),WorkWeek,Holidays),WORKDAY.INTL(WORKDAY.INTL(OFFSET(hdr_FcStart,MATCH($G118,tsk_ID,0),0),N($I118),WorkWeek,Holidays),-MAX(0,N($F118)-1),WorkWeek,Holidays)),0))</f>
        <v>0</v>
      </c>
      <c r="AN118" s="48" t="n">
        <f aca="true">IF(OR(N($J118)=0,$AI118,$D118=""),0,IFERROR(CHOOSE(MATCH(IF($K118="","FS",$K118),{"FS","SS","FF","SF"},0),WORKDAY.INTL(OFFSET(hdr_FcFinish,MATCH($J118,tsk_ID,0),0),IF(N($F118)=0,0,1)+N($L118),WorkWeek,Holidays),WORKDAY.INTL(OFFSET(hdr_FcStart,MATCH($J118,tsk_ID,0),0),N($L118),WorkWeek,Holidays),WORKDAY.INTL(WORKDAY.INTL(OFFSET(hdr_FcFinish,MATCH($J118,tsk_ID,0),0),N($L118),WorkWeek,Holidays),-MAX(0,N($F118)-1),WorkWeek,Holidays),WORKDAY.INTL(WORKDAY.INTL(OFFSET(hdr_FcStart,MATCH($J118,tsk_ID,0),0),N($L118),WorkWeek,Holidays),-MAX(0,N($F118)-1),WorkWeek,Holidays)),0))</f>
        <v>0</v>
      </c>
      <c r="AO118" s="48" t="n">
        <f aca="false">IF($AJ118=1,$R118,0)</f>
        <v>0</v>
      </c>
      <c r="AP118" s="48" t="n">
        <f aca="false">IF($AJ118=1,$S118,0)</f>
        <v>0</v>
      </c>
      <c r="AQ118" s="49" t="n">
        <f aca="false">IF(AND($AJ118=1,N($Z118)&gt;0),$Z118/($AP118-$AO118+1),0)</f>
        <v>0</v>
      </c>
      <c r="AR118" s="46" t="n">
        <f aca="false">IF($AJ118=1,MAX(N($F118),0.1),0)</f>
        <v>0</v>
      </c>
      <c r="AS118" s="46" t="n">
        <f aca="false">IF($AJ118=1,$AR118*$V118,0)</f>
        <v>0</v>
      </c>
      <c r="AT118" s="46" t="str">
        <f aca="false">IF(N($G118)=0,"",$G118&amp;IF(AND(IF($H118="","FS",$H118)="FS",N($I118)=0),"",IF($H118="","FS",$H118)&amp;IF(N($I118)=0,"",IF(N($I118)&gt;0,"+","")&amp;N($I118)&amp;"d")))</f>
        <v/>
      </c>
      <c r="AU118" s="46" t="str">
        <f aca="false">IF(N($J118)=0,"",$J118&amp;IF(AND(IF($K118="","FS",$K118)="FS",N($L118)=0),"",IF($K118="","FS",$K118)&amp;IF(N($L118)=0,"",IF(N($L118)&gt;0,"+","")&amp;N($L118)&amp;"d")))</f>
        <v/>
      </c>
      <c r="AV118" s="46" t="str">
        <f aca="false">IF(AND($AJ118=1,N($F118)=0,$V118&lt;1),$S118+$AF118/100000,"")</f>
        <v/>
      </c>
    </row>
    <row r="119" customFormat="false" ht="15" hidden="false" customHeight="false" outlineLevel="0" collapsed="false">
      <c r="A119" s="38" t="str">
        <f aca="false">IF($D119="","",COUNTA($D$6:$D119))</f>
        <v/>
      </c>
      <c r="B119" s="39" t="str">
        <f aca="true">IF($D119="","",IF($AE119=1,COUNTIF($AE$6:$AE119,1)&amp;"",IF($AG119=0,"?",OFFSET(hdr_WBS,$AG119-ROW(hdr_WBS),0)&amp;"."&amp;COUNTIF(INDEX($AE:$AE,$AG119+1):$AE119,$AE119))))</f>
        <v/>
      </c>
      <c r="C119" s="40"/>
      <c r="D119" s="41"/>
      <c r="E119" s="40"/>
      <c r="F119" s="40"/>
      <c r="G119" s="40"/>
      <c r="H119" s="40"/>
      <c r="I119" s="40"/>
      <c r="J119" s="40"/>
      <c r="K119" s="40"/>
      <c r="L119" s="40"/>
      <c r="M119" s="29"/>
      <c r="N119" s="30" t="str">
        <f aca="true">IF($D119="","",IF($AI119,MIN(OFFSET(hdr_PlanStart,$AF119+1,0,$AH119,1)),IF($E119="Manual",IF(N($M119)&gt;0,$M119,ProjectStart),WORKDAY.INTL(MAX(ProjectStart,N($M119),$AK119,$AL119)-1,1,WorkWeek,Holidays))))</f>
        <v/>
      </c>
      <c r="O119" s="30" t="str">
        <f aca="true">IF($D119="","",IF($AI119,MAX(OFFSET(hdr_PlanFinish,$AF119+1,0,$AH119,1)),IF(N($F119)&lt;=0,$N119,WORKDAY.INTL($N119,$F119-1,WorkWeek,Holidays))))</f>
        <v/>
      </c>
      <c r="P119" s="29"/>
      <c r="Q119" s="29"/>
      <c r="R119" s="30" t="str">
        <f aca="true">IF($D119="","",IF($AI119,MIN(OFFSET(hdr_FcStart,$AF119+1,0,$AH119,1)),IF(N($P119)&gt;0,$P119,IF($E119="Manual",IF(N($M119)&gt;0,$M119,ProjectStart),WORKDAY.INTL(MAX(ProjectStart,N($M119),$AM119,$AN119,IF(RescheduleAfterStatus="Yes",StatusDate,0))-1,1,WorkWeek,Holidays)))))</f>
        <v/>
      </c>
      <c r="S119" s="30" t="str">
        <f aca="true">IF($D119="","",IF($AI119,MAX(OFFSET(hdr_FcFinish,$AF119+1,0,$AH119,1)),IF(N($Q119)&gt;0,$Q119,IF(N($F119)&lt;=0,$R119,IF(AND(N($P119)&gt;0,RescheduleAfterStatus="Yes"),MAX(WORKDAY.INTL($R119,$F119-1,WorkWeek,Holidays),WORKDAY.INTL(StatusWorkday,MAX(0,ROUNDUP($F119*(1-MIN(1,N($U119))),0)-1),WorkWeek,Holidays)),WORKDAY.INTL($R119,$F119-1,WorkWeek,Holidays))))))</f>
        <v/>
      </c>
      <c r="T119" s="38" t="str">
        <f aca="false">IF($D119="","",IF($S119&gt;=$O119,NETWORKDAYS.INTL($O119,$S119,WorkWeek,Holidays)-1,1-NETWORKDAYS.INTL($S119,$O119,WorkWeek,Holidays)))</f>
        <v/>
      </c>
      <c r="U119" s="32"/>
      <c r="V119" s="42" t="str">
        <f aca="true">IF($D119="","",IF($AI119,IFERROR(SUM(OFFSET(hdr_WtDone,$AF119+1,0,$AH119,1))/SUM(OFFSET(hdr_WtDur,$AF119+1,0,$AH119,1)),0),IF(N($Q119)&gt;0,1,MIN(1,N($U119)))))</f>
        <v/>
      </c>
      <c r="W119" s="39" t="str">
        <f aca="false">IF($D119="","",IF($V119&gt;=1,"Complete",IF(OR(N($P119)&gt;0,$V119&gt;0),IF($T119&gt;0,"Behind","In Progress"),IF($N119&lt;StatusDate,"Late Start","Not Started"))))</f>
        <v/>
      </c>
      <c r="X119" s="41"/>
      <c r="Y119" s="32"/>
      <c r="Z119" s="43" t="str">
        <f aca="true">IF($D119="","",IF($AI119,SUMPRODUCT(OFFSET(hdr_Work,$AF119+1,0,$AH119,1),OFFSET(hdr_IsLeaf,$AF119+1,0,$AH119,1)),IF($X119="",0,N($F119)*HoursPerDay*IF($Y119="",DefaultUnits,$Y119))))</f>
        <v/>
      </c>
      <c r="AA119" s="44" t="str">
        <f aca="true">IF($D119="","",IF($AI119,SUMPRODUCT(OFFSET(hdr_Cost,$AF119+1,0,$AH119,1),OFFSET(hdr_IsLeaf,$AF119+1,0,$AH119,1)),$Z119*IFERROR(INDEX(res_Rate,MATCH($X119,res_Name,0)),0)))</f>
        <v/>
      </c>
      <c r="AB119" s="38" t="str">
        <f aca="false">IF(OR($D119="",$AI119),"",IF(OR($R119&lt;Sprint1Start,$R119&gt;SprintLastEnd),"Backlog",INDEX(spr_Name,MATCH($R119,spr_Start,1))))</f>
        <v/>
      </c>
      <c r="AC119" s="45" t="str">
        <f aca="false">IF($D119="","",$AT119&amp;IF(AND($AT119&lt;&gt;"",$AU119&lt;&gt;""),",","")&amp;$AU119)</f>
        <v/>
      </c>
      <c r="AD119" s="41"/>
      <c r="AE119" s="46" t="str">
        <f aca="false">IF($D119="","",MAX(1,N($C119)))</f>
        <v/>
      </c>
      <c r="AF119" s="46" t="n">
        <f aca="false">ROW()-ROW(hdr_ID)</f>
        <v>114</v>
      </c>
      <c r="AG119" s="46" t="n">
        <f aca="false">IF(OR($D119="",$AE119&lt;=1),0,IFERROR(LOOKUP(2,1/($AE$5:$AE118=$AE119-1),ROW($AE$5:$AE118)),0))</f>
        <v>0</v>
      </c>
      <c r="AH119" s="46" t="n">
        <f aca="false">IF($D119="",0,COUNTIF(tsk_WBS,$B119&amp;".*"))</f>
        <v>0</v>
      </c>
      <c r="AI119" s="47" t="b">
        <f aca="false">$AH119&gt;0</f>
        <v>0</v>
      </c>
      <c r="AJ119" s="46" t="n">
        <f aca="false">IF(AND($D119&lt;&gt;"",NOT($AI119)),1,0)</f>
        <v>0</v>
      </c>
      <c r="AK119" s="48" t="n">
        <f aca="true">IF(OR(N($G119)=0,$AI119,$D119=""),0,IFERROR(CHOOSE(MATCH(IF($H119="","FS",$H119),{"FS","SS","FF","SF"},0),WORKDAY.INTL(OFFSET(hdr_PlanFinish,MATCH($G119,tsk_ID,0),0),IF(N($F119)=0,0,1)+N($I119),WorkWeek,Holidays),WORKDAY.INTL(OFFSET(hdr_PlanStart,MATCH($G119,tsk_ID,0),0),N($I119),WorkWeek,Holidays),WORKDAY.INTL(WORKDAY.INTL(OFFSET(hdr_PlanFinish,MATCH($G119,tsk_ID,0),0),N($I119),WorkWeek,Holidays),-MAX(0,N($F119)-1),WorkWeek,Holidays),WORKDAY.INTL(WORKDAY.INTL(OFFSET(hdr_PlanStart,MATCH($G119,tsk_ID,0),0),N($I119),WorkWeek,Holidays),-MAX(0,N($F119)-1),WorkWeek,Holidays)),0))</f>
        <v>0</v>
      </c>
      <c r="AL119" s="48" t="n">
        <f aca="true">IF(OR(N($J119)=0,$AI119,$D119=""),0,IFERROR(CHOOSE(MATCH(IF($K119="","FS",$K119),{"FS","SS","FF","SF"},0),WORKDAY.INTL(OFFSET(hdr_PlanFinish,MATCH($J119,tsk_ID,0),0),IF(N($F119)=0,0,1)+N($L119),WorkWeek,Holidays),WORKDAY.INTL(OFFSET(hdr_PlanStart,MATCH($J119,tsk_ID,0),0),N($L119),WorkWeek,Holidays),WORKDAY.INTL(WORKDAY.INTL(OFFSET(hdr_PlanFinish,MATCH($J119,tsk_ID,0),0),N($L119),WorkWeek,Holidays),-MAX(0,N($F119)-1),WorkWeek,Holidays),WORKDAY.INTL(WORKDAY.INTL(OFFSET(hdr_PlanStart,MATCH($J119,tsk_ID,0),0),N($L119),WorkWeek,Holidays),-MAX(0,N($F119)-1),WorkWeek,Holidays)),0))</f>
        <v>0</v>
      </c>
      <c r="AM119" s="48" t="n">
        <f aca="true">IF(OR(N($G119)=0,$AI119,$D119=""),0,IFERROR(CHOOSE(MATCH(IF($H119="","FS",$H119),{"FS","SS","FF","SF"},0),WORKDAY.INTL(OFFSET(hdr_FcFinish,MATCH($G119,tsk_ID,0),0),IF(N($F119)=0,0,1)+N($I119),WorkWeek,Holidays),WORKDAY.INTL(OFFSET(hdr_FcStart,MATCH($G119,tsk_ID,0),0),N($I119),WorkWeek,Holidays),WORKDAY.INTL(WORKDAY.INTL(OFFSET(hdr_FcFinish,MATCH($G119,tsk_ID,0),0),N($I119),WorkWeek,Holidays),-MAX(0,N($F119)-1),WorkWeek,Holidays),WORKDAY.INTL(WORKDAY.INTL(OFFSET(hdr_FcStart,MATCH($G119,tsk_ID,0),0),N($I119),WorkWeek,Holidays),-MAX(0,N($F119)-1),WorkWeek,Holidays)),0))</f>
        <v>0</v>
      </c>
      <c r="AN119" s="48" t="n">
        <f aca="true">IF(OR(N($J119)=0,$AI119,$D119=""),0,IFERROR(CHOOSE(MATCH(IF($K119="","FS",$K119),{"FS","SS","FF","SF"},0),WORKDAY.INTL(OFFSET(hdr_FcFinish,MATCH($J119,tsk_ID,0),0),IF(N($F119)=0,0,1)+N($L119),WorkWeek,Holidays),WORKDAY.INTL(OFFSET(hdr_FcStart,MATCH($J119,tsk_ID,0),0),N($L119),WorkWeek,Holidays),WORKDAY.INTL(WORKDAY.INTL(OFFSET(hdr_FcFinish,MATCH($J119,tsk_ID,0),0),N($L119),WorkWeek,Holidays),-MAX(0,N($F119)-1),WorkWeek,Holidays),WORKDAY.INTL(WORKDAY.INTL(OFFSET(hdr_FcStart,MATCH($J119,tsk_ID,0),0),N($L119),WorkWeek,Holidays),-MAX(0,N($F119)-1),WorkWeek,Holidays)),0))</f>
        <v>0</v>
      </c>
      <c r="AO119" s="48" t="n">
        <f aca="false">IF($AJ119=1,$R119,0)</f>
        <v>0</v>
      </c>
      <c r="AP119" s="48" t="n">
        <f aca="false">IF($AJ119=1,$S119,0)</f>
        <v>0</v>
      </c>
      <c r="AQ119" s="49" t="n">
        <f aca="false">IF(AND($AJ119=1,N($Z119)&gt;0),$Z119/($AP119-$AO119+1),0)</f>
        <v>0</v>
      </c>
      <c r="AR119" s="46" t="n">
        <f aca="false">IF($AJ119=1,MAX(N($F119),0.1),0)</f>
        <v>0</v>
      </c>
      <c r="AS119" s="46" t="n">
        <f aca="false">IF($AJ119=1,$AR119*$V119,0)</f>
        <v>0</v>
      </c>
      <c r="AT119" s="46" t="str">
        <f aca="false">IF(N($G119)=0,"",$G119&amp;IF(AND(IF($H119="","FS",$H119)="FS",N($I119)=0),"",IF($H119="","FS",$H119)&amp;IF(N($I119)=0,"",IF(N($I119)&gt;0,"+","")&amp;N($I119)&amp;"d")))</f>
        <v/>
      </c>
      <c r="AU119" s="46" t="str">
        <f aca="false">IF(N($J119)=0,"",$J119&amp;IF(AND(IF($K119="","FS",$K119)="FS",N($L119)=0),"",IF($K119="","FS",$K119)&amp;IF(N($L119)=0,"",IF(N($L119)&gt;0,"+","")&amp;N($L119)&amp;"d")))</f>
        <v/>
      </c>
      <c r="AV119" s="46" t="str">
        <f aca="false">IF(AND($AJ119=1,N($F119)=0,$V119&lt;1),$S119+$AF119/100000,"")</f>
        <v/>
      </c>
    </row>
    <row r="120" customFormat="false" ht="15" hidden="false" customHeight="false" outlineLevel="0" collapsed="false">
      <c r="A120" s="38" t="str">
        <f aca="false">IF($D120="","",COUNTA($D$6:$D120))</f>
        <v/>
      </c>
      <c r="B120" s="39" t="str">
        <f aca="true">IF($D120="","",IF($AE120=1,COUNTIF($AE$6:$AE120,1)&amp;"",IF($AG120=0,"?",OFFSET(hdr_WBS,$AG120-ROW(hdr_WBS),0)&amp;"."&amp;COUNTIF(INDEX($AE:$AE,$AG120+1):$AE120,$AE120))))</f>
        <v/>
      </c>
      <c r="C120" s="40"/>
      <c r="D120" s="41"/>
      <c r="E120" s="40"/>
      <c r="F120" s="40"/>
      <c r="G120" s="40"/>
      <c r="H120" s="40"/>
      <c r="I120" s="40"/>
      <c r="J120" s="40"/>
      <c r="K120" s="40"/>
      <c r="L120" s="40"/>
      <c r="M120" s="29"/>
      <c r="N120" s="30" t="str">
        <f aca="true">IF($D120="","",IF($AI120,MIN(OFFSET(hdr_PlanStart,$AF120+1,0,$AH120,1)),IF($E120="Manual",IF(N($M120)&gt;0,$M120,ProjectStart),WORKDAY.INTL(MAX(ProjectStart,N($M120),$AK120,$AL120)-1,1,WorkWeek,Holidays))))</f>
        <v/>
      </c>
      <c r="O120" s="30" t="str">
        <f aca="true">IF($D120="","",IF($AI120,MAX(OFFSET(hdr_PlanFinish,$AF120+1,0,$AH120,1)),IF(N($F120)&lt;=0,$N120,WORKDAY.INTL($N120,$F120-1,WorkWeek,Holidays))))</f>
        <v/>
      </c>
      <c r="P120" s="29"/>
      <c r="Q120" s="29"/>
      <c r="R120" s="30" t="str">
        <f aca="true">IF($D120="","",IF($AI120,MIN(OFFSET(hdr_FcStart,$AF120+1,0,$AH120,1)),IF(N($P120)&gt;0,$P120,IF($E120="Manual",IF(N($M120)&gt;0,$M120,ProjectStart),WORKDAY.INTL(MAX(ProjectStart,N($M120),$AM120,$AN120,IF(RescheduleAfterStatus="Yes",StatusDate,0))-1,1,WorkWeek,Holidays)))))</f>
        <v/>
      </c>
      <c r="S120" s="30" t="str">
        <f aca="true">IF($D120="","",IF($AI120,MAX(OFFSET(hdr_FcFinish,$AF120+1,0,$AH120,1)),IF(N($Q120)&gt;0,$Q120,IF(N($F120)&lt;=0,$R120,IF(AND(N($P120)&gt;0,RescheduleAfterStatus="Yes"),MAX(WORKDAY.INTL($R120,$F120-1,WorkWeek,Holidays),WORKDAY.INTL(StatusWorkday,MAX(0,ROUNDUP($F120*(1-MIN(1,N($U120))),0)-1),WorkWeek,Holidays)),WORKDAY.INTL($R120,$F120-1,WorkWeek,Holidays))))))</f>
        <v/>
      </c>
      <c r="T120" s="38" t="str">
        <f aca="false">IF($D120="","",IF($S120&gt;=$O120,NETWORKDAYS.INTL($O120,$S120,WorkWeek,Holidays)-1,1-NETWORKDAYS.INTL($S120,$O120,WorkWeek,Holidays)))</f>
        <v/>
      </c>
      <c r="U120" s="32"/>
      <c r="V120" s="42" t="str">
        <f aca="true">IF($D120="","",IF($AI120,IFERROR(SUM(OFFSET(hdr_WtDone,$AF120+1,0,$AH120,1))/SUM(OFFSET(hdr_WtDur,$AF120+1,0,$AH120,1)),0),IF(N($Q120)&gt;0,1,MIN(1,N($U120)))))</f>
        <v/>
      </c>
      <c r="W120" s="39" t="str">
        <f aca="false">IF($D120="","",IF($V120&gt;=1,"Complete",IF(OR(N($P120)&gt;0,$V120&gt;0),IF($T120&gt;0,"Behind","In Progress"),IF($N120&lt;StatusDate,"Late Start","Not Started"))))</f>
        <v/>
      </c>
      <c r="X120" s="41"/>
      <c r="Y120" s="32"/>
      <c r="Z120" s="43" t="str">
        <f aca="true">IF($D120="","",IF($AI120,SUMPRODUCT(OFFSET(hdr_Work,$AF120+1,0,$AH120,1),OFFSET(hdr_IsLeaf,$AF120+1,0,$AH120,1)),IF($X120="",0,N($F120)*HoursPerDay*IF($Y120="",DefaultUnits,$Y120))))</f>
        <v/>
      </c>
      <c r="AA120" s="44" t="str">
        <f aca="true">IF($D120="","",IF($AI120,SUMPRODUCT(OFFSET(hdr_Cost,$AF120+1,0,$AH120,1),OFFSET(hdr_IsLeaf,$AF120+1,0,$AH120,1)),$Z120*IFERROR(INDEX(res_Rate,MATCH($X120,res_Name,0)),0)))</f>
        <v/>
      </c>
      <c r="AB120" s="38" t="str">
        <f aca="false">IF(OR($D120="",$AI120),"",IF(OR($R120&lt;Sprint1Start,$R120&gt;SprintLastEnd),"Backlog",INDEX(spr_Name,MATCH($R120,spr_Start,1))))</f>
        <v/>
      </c>
      <c r="AC120" s="45" t="str">
        <f aca="false">IF($D120="","",$AT120&amp;IF(AND($AT120&lt;&gt;"",$AU120&lt;&gt;""),",","")&amp;$AU120)</f>
        <v/>
      </c>
      <c r="AD120" s="41"/>
      <c r="AE120" s="46" t="str">
        <f aca="false">IF($D120="","",MAX(1,N($C120)))</f>
        <v/>
      </c>
      <c r="AF120" s="46" t="n">
        <f aca="false">ROW()-ROW(hdr_ID)</f>
        <v>115</v>
      </c>
      <c r="AG120" s="46" t="n">
        <f aca="false">IF(OR($D120="",$AE120&lt;=1),0,IFERROR(LOOKUP(2,1/($AE$5:$AE119=$AE120-1),ROW($AE$5:$AE119)),0))</f>
        <v>0</v>
      </c>
      <c r="AH120" s="46" t="n">
        <f aca="false">IF($D120="",0,COUNTIF(tsk_WBS,$B120&amp;".*"))</f>
        <v>0</v>
      </c>
      <c r="AI120" s="47" t="b">
        <f aca="false">$AH120&gt;0</f>
        <v>0</v>
      </c>
      <c r="AJ120" s="46" t="n">
        <f aca="false">IF(AND($D120&lt;&gt;"",NOT($AI120)),1,0)</f>
        <v>0</v>
      </c>
      <c r="AK120" s="48" t="n">
        <f aca="true">IF(OR(N($G120)=0,$AI120,$D120=""),0,IFERROR(CHOOSE(MATCH(IF($H120="","FS",$H120),{"FS","SS","FF","SF"},0),WORKDAY.INTL(OFFSET(hdr_PlanFinish,MATCH($G120,tsk_ID,0),0),IF(N($F120)=0,0,1)+N($I120),WorkWeek,Holidays),WORKDAY.INTL(OFFSET(hdr_PlanStart,MATCH($G120,tsk_ID,0),0),N($I120),WorkWeek,Holidays),WORKDAY.INTL(WORKDAY.INTL(OFFSET(hdr_PlanFinish,MATCH($G120,tsk_ID,0),0),N($I120),WorkWeek,Holidays),-MAX(0,N($F120)-1),WorkWeek,Holidays),WORKDAY.INTL(WORKDAY.INTL(OFFSET(hdr_PlanStart,MATCH($G120,tsk_ID,0),0),N($I120),WorkWeek,Holidays),-MAX(0,N($F120)-1),WorkWeek,Holidays)),0))</f>
        <v>0</v>
      </c>
      <c r="AL120" s="48" t="n">
        <f aca="true">IF(OR(N($J120)=0,$AI120,$D120=""),0,IFERROR(CHOOSE(MATCH(IF($K120="","FS",$K120),{"FS","SS","FF","SF"},0),WORKDAY.INTL(OFFSET(hdr_PlanFinish,MATCH($J120,tsk_ID,0),0),IF(N($F120)=0,0,1)+N($L120),WorkWeek,Holidays),WORKDAY.INTL(OFFSET(hdr_PlanStart,MATCH($J120,tsk_ID,0),0),N($L120),WorkWeek,Holidays),WORKDAY.INTL(WORKDAY.INTL(OFFSET(hdr_PlanFinish,MATCH($J120,tsk_ID,0),0),N($L120),WorkWeek,Holidays),-MAX(0,N($F120)-1),WorkWeek,Holidays),WORKDAY.INTL(WORKDAY.INTL(OFFSET(hdr_PlanStart,MATCH($J120,tsk_ID,0),0),N($L120),WorkWeek,Holidays),-MAX(0,N($F120)-1),WorkWeek,Holidays)),0))</f>
        <v>0</v>
      </c>
      <c r="AM120" s="48" t="n">
        <f aca="true">IF(OR(N($G120)=0,$AI120,$D120=""),0,IFERROR(CHOOSE(MATCH(IF($H120="","FS",$H120),{"FS","SS","FF","SF"},0),WORKDAY.INTL(OFFSET(hdr_FcFinish,MATCH($G120,tsk_ID,0),0),IF(N($F120)=0,0,1)+N($I120),WorkWeek,Holidays),WORKDAY.INTL(OFFSET(hdr_FcStart,MATCH($G120,tsk_ID,0),0),N($I120),WorkWeek,Holidays),WORKDAY.INTL(WORKDAY.INTL(OFFSET(hdr_FcFinish,MATCH($G120,tsk_ID,0),0),N($I120),WorkWeek,Holidays),-MAX(0,N($F120)-1),WorkWeek,Holidays),WORKDAY.INTL(WORKDAY.INTL(OFFSET(hdr_FcStart,MATCH($G120,tsk_ID,0),0),N($I120),WorkWeek,Holidays),-MAX(0,N($F120)-1),WorkWeek,Holidays)),0))</f>
        <v>0</v>
      </c>
      <c r="AN120" s="48" t="n">
        <f aca="true">IF(OR(N($J120)=0,$AI120,$D120=""),0,IFERROR(CHOOSE(MATCH(IF($K120="","FS",$K120),{"FS","SS","FF","SF"},0),WORKDAY.INTL(OFFSET(hdr_FcFinish,MATCH($J120,tsk_ID,0),0),IF(N($F120)=0,0,1)+N($L120),WorkWeek,Holidays),WORKDAY.INTL(OFFSET(hdr_FcStart,MATCH($J120,tsk_ID,0),0),N($L120),WorkWeek,Holidays),WORKDAY.INTL(WORKDAY.INTL(OFFSET(hdr_FcFinish,MATCH($J120,tsk_ID,0),0),N($L120),WorkWeek,Holidays),-MAX(0,N($F120)-1),WorkWeek,Holidays),WORKDAY.INTL(WORKDAY.INTL(OFFSET(hdr_FcStart,MATCH($J120,tsk_ID,0),0),N($L120),WorkWeek,Holidays),-MAX(0,N($F120)-1),WorkWeek,Holidays)),0))</f>
        <v>0</v>
      </c>
      <c r="AO120" s="48" t="n">
        <f aca="false">IF($AJ120=1,$R120,0)</f>
        <v>0</v>
      </c>
      <c r="AP120" s="48" t="n">
        <f aca="false">IF($AJ120=1,$S120,0)</f>
        <v>0</v>
      </c>
      <c r="AQ120" s="49" t="n">
        <f aca="false">IF(AND($AJ120=1,N($Z120)&gt;0),$Z120/($AP120-$AO120+1),0)</f>
        <v>0</v>
      </c>
      <c r="AR120" s="46" t="n">
        <f aca="false">IF($AJ120=1,MAX(N($F120),0.1),0)</f>
        <v>0</v>
      </c>
      <c r="AS120" s="46" t="n">
        <f aca="false">IF($AJ120=1,$AR120*$V120,0)</f>
        <v>0</v>
      </c>
      <c r="AT120" s="46" t="str">
        <f aca="false">IF(N($G120)=0,"",$G120&amp;IF(AND(IF($H120="","FS",$H120)="FS",N($I120)=0),"",IF($H120="","FS",$H120)&amp;IF(N($I120)=0,"",IF(N($I120)&gt;0,"+","")&amp;N($I120)&amp;"d")))</f>
        <v/>
      </c>
      <c r="AU120" s="46" t="str">
        <f aca="false">IF(N($J120)=0,"",$J120&amp;IF(AND(IF($K120="","FS",$K120)="FS",N($L120)=0),"",IF($K120="","FS",$K120)&amp;IF(N($L120)=0,"",IF(N($L120)&gt;0,"+","")&amp;N($L120)&amp;"d")))</f>
        <v/>
      </c>
      <c r="AV120" s="46" t="str">
        <f aca="false">IF(AND($AJ120=1,N($F120)=0,$V120&lt;1),$S120+$AF120/100000,"")</f>
        <v/>
      </c>
    </row>
    <row r="121" customFormat="false" ht="15" hidden="false" customHeight="false" outlineLevel="0" collapsed="false">
      <c r="A121" s="38" t="str">
        <f aca="false">IF($D121="","",COUNTA($D$6:$D121))</f>
        <v/>
      </c>
      <c r="B121" s="39" t="str">
        <f aca="true">IF($D121="","",IF($AE121=1,COUNTIF($AE$6:$AE121,1)&amp;"",IF($AG121=0,"?",OFFSET(hdr_WBS,$AG121-ROW(hdr_WBS),0)&amp;"."&amp;COUNTIF(INDEX($AE:$AE,$AG121+1):$AE121,$AE121))))</f>
        <v/>
      </c>
      <c r="C121" s="40"/>
      <c r="D121" s="41"/>
      <c r="E121" s="40"/>
      <c r="F121" s="40"/>
      <c r="G121" s="40"/>
      <c r="H121" s="40"/>
      <c r="I121" s="40"/>
      <c r="J121" s="40"/>
      <c r="K121" s="40"/>
      <c r="L121" s="40"/>
      <c r="M121" s="29"/>
      <c r="N121" s="30" t="str">
        <f aca="true">IF($D121="","",IF($AI121,MIN(OFFSET(hdr_PlanStart,$AF121+1,0,$AH121,1)),IF($E121="Manual",IF(N($M121)&gt;0,$M121,ProjectStart),WORKDAY.INTL(MAX(ProjectStart,N($M121),$AK121,$AL121)-1,1,WorkWeek,Holidays))))</f>
        <v/>
      </c>
      <c r="O121" s="30" t="str">
        <f aca="true">IF($D121="","",IF($AI121,MAX(OFFSET(hdr_PlanFinish,$AF121+1,0,$AH121,1)),IF(N($F121)&lt;=0,$N121,WORKDAY.INTL($N121,$F121-1,WorkWeek,Holidays))))</f>
        <v/>
      </c>
      <c r="P121" s="29"/>
      <c r="Q121" s="29"/>
      <c r="R121" s="30" t="str">
        <f aca="true">IF($D121="","",IF($AI121,MIN(OFFSET(hdr_FcStart,$AF121+1,0,$AH121,1)),IF(N($P121)&gt;0,$P121,IF($E121="Manual",IF(N($M121)&gt;0,$M121,ProjectStart),WORKDAY.INTL(MAX(ProjectStart,N($M121),$AM121,$AN121,IF(RescheduleAfterStatus="Yes",StatusDate,0))-1,1,WorkWeek,Holidays)))))</f>
        <v/>
      </c>
      <c r="S121" s="30" t="str">
        <f aca="true">IF($D121="","",IF($AI121,MAX(OFFSET(hdr_FcFinish,$AF121+1,0,$AH121,1)),IF(N($Q121)&gt;0,$Q121,IF(N($F121)&lt;=0,$R121,IF(AND(N($P121)&gt;0,RescheduleAfterStatus="Yes"),MAX(WORKDAY.INTL($R121,$F121-1,WorkWeek,Holidays),WORKDAY.INTL(StatusWorkday,MAX(0,ROUNDUP($F121*(1-MIN(1,N($U121))),0)-1),WorkWeek,Holidays)),WORKDAY.INTL($R121,$F121-1,WorkWeek,Holidays))))))</f>
        <v/>
      </c>
      <c r="T121" s="38" t="str">
        <f aca="false">IF($D121="","",IF($S121&gt;=$O121,NETWORKDAYS.INTL($O121,$S121,WorkWeek,Holidays)-1,1-NETWORKDAYS.INTL($S121,$O121,WorkWeek,Holidays)))</f>
        <v/>
      </c>
      <c r="U121" s="32"/>
      <c r="V121" s="42" t="str">
        <f aca="true">IF($D121="","",IF($AI121,IFERROR(SUM(OFFSET(hdr_WtDone,$AF121+1,0,$AH121,1))/SUM(OFFSET(hdr_WtDur,$AF121+1,0,$AH121,1)),0),IF(N($Q121)&gt;0,1,MIN(1,N($U121)))))</f>
        <v/>
      </c>
      <c r="W121" s="39" t="str">
        <f aca="false">IF($D121="","",IF($V121&gt;=1,"Complete",IF(OR(N($P121)&gt;0,$V121&gt;0),IF($T121&gt;0,"Behind","In Progress"),IF($N121&lt;StatusDate,"Late Start","Not Started"))))</f>
        <v/>
      </c>
      <c r="X121" s="41"/>
      <c r="Y121" s="32"/>
      <c r="Z121" s="43" t="str">
        <f aca="true">IF($D121="","",IF($AI121,SUMPRODUCT(OFFSET(hdr_Work,$AF121+1,0,$AH121,1),OFFSET(hdr_IsLeaf,$AF121+1,0,$AH121,1)),IF($X121="",0,N($F121)*HoursPerDay*IF($Y121="",DefaultUnits,$Y121))))</f>
        <v/>
      </c>
      <c r="AA121" s="44" t="str">
        <f aca="true">IF($D121="","",IF($AI121,SUMPRODUCT(OFFSET(hdr_Cost,$AF121+1,0,$AH121,1),OFFSET(hdr_IsLeaf,$AF121+1,0,$AH121,1)),$Z121*IFERROR(INDEX(res_Rate,MATCH($X121,res_Name,0)),0)))</f>
        <v/>
      </c>
      <c r="AB121" s="38" t="str">
        <f aca="false">IF(OR($D121="",$AI121),"",IF(OR($R121&lt;Sprint1Start,$R121&gt;SprintLastEnd),"Backlog",INDEX(spr_Name,MATCH($R121,spr_Start,1))))</f>
        <v/>
      </c>
      <c r="AC121" s="45" t="str">
        <f aca="false">IF($D121="","",$AT121&amp;IF(AND($AT121&lt;&gt;"",$AU121&lt;&gt;""),",","")&amp;$AU121)</f>
        <v/>
      </c>
      <c r="AD121" s="41"/>
      <c r="AE121" s="46" t="str">
        <f aca="false">IF($D121="","",MAX(1,N($C121)))</f>
        <v/>
      </c>
      <c r="AF121" s="46" t="n">
        <f aca="false">ROW()-ROW(hdr_ID)</f>
        <v>116</v>
      </c>
      <c r="AG121" s="46" t="n">
        <f aca="false">IF(OR($D121="",$AE121&lt;=1),0,IFERROR(LOOKUP(2,1/($AE$5:$AE120=$AE121-1),ROW($AE$5:$AE120)),0))</f>
        <v>0</v>
      </c>
      <c r="AH121" s="46" t="n">
        <f aca="false">IF($D121="",0,COUNTIF(tsk_WBS,$B121&amp;".*"))</f>
        <v>0</v>
      </c>
      <c r="AI121" s="47" t="b">
        <f aca="false">$AH121&gt;0</f>
        <v>0</v>
      </c>
      <c r="AJ121" s="46" t="n">
        <f aca="false">IF(AND($D121&lt;&gt;"",NOT($AI121)),1,0)</f>
        <v>0</v>
      </c>
      <c r="AK121" s="48" t="n">
        <f aca="true">IF(OR(N($G121)=0,$AI121,$D121=""),0,IFERROR(CHOOSE(MATCH(IF($H121="","FS",$H121),{"FS","SS","FF","SF"},0),WORKDAY.INTL(OFFSET(hdr_PlanFinish,MATCH($G121,tsk_ID,0),0),IF(N($F121)=0,0,1)+N($I121),WorkWeek,Holidays),WORKDAY.INTL(OFFSET(hdr_PlanStart,MATCH($G121,tsk_ID,0),0),N($I121),WorkWeek,Holidays),WORKDAY.INTL(WORKDAY.INTL(OFFSET(hdr_PlanFinish,MATCH($G121,tsk_ID,0),0),N($I121),WorkWeek,Holidays),-MAX(0,N($F121)-1),WorkWeek,Holidays),WORKDAY.INTL(WORKDAY.INTL(OFFSET(hdr_PlanStart,MATCH($G121,tsk_ID,0),0),N($I121),WorkWeek,Holidays),-MAX(0,N($F121)-1),WorkWeek,Holidays)),0))</f>
        <v>0</v>
      </c>
      <c r="AL121" s="48" t="n">
        <f aca="true">IF(OR(N($J121)=0,$AI121,$D121=""),0,IFERROR(CHOOSE(MATCH(IF($K121="","FS",$K121),{"FS","SS","FF","SF"},0),WORKDAY.INTL(OFFSET(hdr_PlanFinish,MATCH($J121,tsk_ID,0),0),IF(N($F121)=0,0,1)+N($L121),WorkWeek,Holidays),WORKDAY.INTL(OFFSET(hdr_PlanStart,MATCH($J121,tsk_ID,0),0),N($L121),WorkWeek,Holidays),WORKDAY.INTL(WORKDAY.INTL(OFFSET(hdr_PlanFinish,MATCH($J121,tsk_ID,0),0),N($L121),WorkWeek,Holidays),-MAX(0,N($F121)-1),WorkWeek,Holidays),WORKDAY.INTL(WORKDAY.INTL(OFFSET(hdr_PlanStart,MATCH($J121,tsk_ID,0),0),N($L121),WorkWeek,Holidays),-MAX(0,N($F121)-1),WorkWeek,Holidays)),0))</f>
        <v>0</v>
      </c>
      <c r="AM121" s="48" t="n">
        <f aca="true">IF(OR(N($G121)=0,$AI121,$D121=""),0,IFERROR(CHOOSE(MATCH(IF($H121="","FS",$H121),{"FS","SS","FF","SF"},0),WORKDAY.INTL(OFFSET(hdr_FcFinish,MATCH($G121,tsk_ID,0),0),IF(N($F121)=0,0,1)+N($I121),WorkWeek,Holidays),WORKDAY.INTL(OFFSET(hdr_FcStart,MATCH($G121,tsk_ID,0),0),N($I121),WorkWeek,Holidays),WORKDAY.INTL(WORKDAY.INTL(OFFSET(hdr_FcFinish,MATCH($G121,tsk_ID,0),0),N($I121),WorkWeek,Holidays),-MAX(0,N($F121)-1),WorkWeek,Holidays),WORKDAY.INTL(WORKDAY.INTL(OFFSET(hdr_FcStart,MATCH($G121,tsk_ID,0),0),N($I121),WorkWeek,Holidays),-MAX(0,N($F121)-1),WorkWeek,Holidays)),0))</f>
        <v>0</v>
      </c>
      <c r="AN121" s="48" t="n">
        <f aca="true">IF(OR(N($J121)=0,$AI121,$D121=""),0,IFERROR(CHOOSE(MATCH(IF($K121="","FS",$K121),{"FS","SS","FF","SF"},0),WORKDAY.INTL(OFFSET(hdr_FcFinish,MATCH($J121,tsk_ID,0),0),IF(N($F121)=0,0,1)+N($L121),WorkWeek,Holidays),WORKDAY.INTL(OFFSET(hdr_FcStart,MATCH($J121,tsk_ID,0),0),N($L121),WorkWeek,Holidays),WORKDAY.INTL(WORKDAY.INTL(OFFSET(hdr_FcFinish,MATCH($J121,tsk_ID,0),0),N($L121),WorkWeek,Holidays),-MAX(0,N($F121)-1),WorkWeek,Holidays),WORKDAY.INTL(WORKDAY.INTL(OFFSET(hdr_FcStart,MATCH($J121,tsk_ID,0),0),N($L121),WorkWeek,Holidays),-MAX(0,N($F121)-1),WorkWeek,Holidays)),0))</f>
        <v>0</v>
      </c>
      <c r="AO121" s="48" t="n">
        <f aca="false">IF($AJ121=1,$R121,0)</f>
        <v>0</v>
      </c>
      <c r="AP121" s="48" t="n">
        <f aca="false">IF($AJ121=1,$S121,0)</f>
        <v>0</v>
      </c>
      <c r="AQ121" s="49" t="n">
        <f aca="false">IF(AND($AJ121=1,N($Z121)&gt;0),$Z121/($AP121-$AO121+1),0)</f>
        <v>0</v>
      </c>
      <c r="AR121" s="46" t="n">
        <f aca="false">IF($AJ121=1,MAX(N($F121),0.1),0)</f>
        <v>0</v>
      </c>
      <c r="AS121" s="46" t="n">
        <f aca="false">IF($AJ121=1,$AR121*$V121,0)</f>
        <v>0</v>
      </c>
      <c r="AT121" s="46" t="str">
        <f aca="false">IF(N($G121)=0,"",$G121&amp;IF(AND(IF($H121="","FS",$H121)="FS",N($I121)=0),"",IF($H121="","FS",$H121)&amp;IF(N($I121)=0,"",IF(N($I121)&gt;0,"+","")&amp;N($I121)&amp;"d")))</f>
        <v/>
      </c>
      <c r="AU121" s="46" t="str">
        <f aca="false">IF(N($J121)=0,"",$J121&amp;IF(AND(IF($K121="","FS",$K121)="FS",N($L121)=0),"",IF($K121="","FS",$K121)&amp;IF(N($L121)=0,"",IF(N($L121)&gt;0,"+","")&amp;N($L121)&amp;"d")))</f>
        <v/>
      </c>
      <c r="AV121" s="46" t="str">
        <f aca="false">IF(AND($AJ121=1,N($F121)=0,$V121&lt;1),$S121+$AF121/100000,"")</f>
        <v/>
      </c>
    </row>
    <row r="122" customFormat="false" ht="15" hidden="false" customHeight="false" outlineLevel="0" collapsed="false">
      <c r="A122" s="38" t="str">
        <f aca="false">IF($D122="","",COUNTA($D$6:$D122))</f>
        <v/>
      </c>
      <c r="B122" s="39" t="str">
        <f aca="true">IF($D122="","",IF($AE122=1,COUNTIF($AE$6:$AE122,1)&amp;"",IF($AG122=0,"?",OFFSET(hdr_WBS,$AG122-ROW(hdr_WBS),0)&amp;"."&amp;COUNTIF(INDEX($AE:$AE,$AG122+1):$AE122,$AE122))))</f>
        <v/>
      </c>
      <c r="C122" s="40"/>
      <c r="D122" s="41"/>
      <c r="E122" s="40"/>
      <c r="F122" s="40"/>
      <c r="G122" s="40"/>
      <c r="H122" s="40"/>
      <c r="I122" s="40"/>
      <c r="J122" s="40"/>
      <c r="K122" s="40"/>
      <c r="L122" s="40"/>
      <c r="M122" s="29"/>
      <c r="N122" s="30" t="str">
        <f aca="true">IF($D122="","",IF($AI122,MIN(OFFSET(hdr_PlanStart,$AF122+1,0,$AH122,1)),IF($E122="Manual",IF(N($M122)&gt;0,$M122,ProjectStart),WORKDAY.INTL(MAX(ProjectStart,N($M122),$AK122,$AL122)-1,1,WorkWeek,Holidays))))</f>
        <v/>
      </c>
      <c r="O122" s="30" t="str">
        <f aca="true">IF($D122="","",IF($AI122,MAX(OFFSET(hdr_PlanFinish,$AF122+1,0,$AH122,1)),IF(N($F122)&lt;=0,$N122,WORKDAY.INTL($N122,$F122-1,WorkWeek,Holidays))))</f>
        <v/>
      </c>
      <c r="P122" s="29"/>
      <c r="Q122" s="29"/>
      <c r="R122" s="30" t="str">
        <f aca="true">IF($D122="","",IF($AI122,MIN(OFFSET(hdr_FcStart,$AF122+1,0,$AH122,1)),IF(N($P122)&gt;0,$P122,IF($E122="Manual",IF(N($M122)&gt;0,$M122,ProjectStart),WORKDAY.INTL(MAX(ProjectStart,N($M122),$AM122,$AN122,IF(RescheduleAfterStatus="Yes",StatusDate,0))-1,1,WorkWeek,Holidays)))))</f>
        <v/>
      </c>
      <c r="S122" s="30" t="str">
        <f aca="true">IF($D122="","",IF($AI122,MAX(OFFSET(hdr_FcFinish,$AF122+1,0,$AH122,1)),IF(N($Q122)&gt;0,$Q122,IF(N($F122)&lt;=0,$R122,IF(AND(N($P122)&gt;0,RescheduleAfterStatus="Yes"),MAX(WORKDAY.INTL($R122,$F122-1,WorkWeek,Holidays),WORKDAY.INTL(StatusWorkday,MAX(0,ROUNDUP($F122*(1-MIN(1,N($U122))),0)-1),WorkWeek,Holidays)),WORKDAY.INTL($R122,$F122-1,WorkWeek,Holidays))))))</f>
        <v/>
      </c>
      <c r="T122" s="38" t="str">
        <f aca="false">IF($D122="","",IF($S122&gt;=$O122,NETWORKDAYS.INTL($O122,$S122,WorkWeek,Holidays)-1,1-NETWORKDAYS.INTL($S122,$O122,WorkWeek,Holidays)))</f>
        <v/>
      </c>
      <c r="U122" s="32"/>
      <c r="V122" s="42" t="str">
        <f aca="true">IF($D122="","",IF($AI122,IFERROR(SUM(OFFSET(hdr_WtDone,$AF122+1,0,$AH122,1))/SUM(OFFSET(hdr_WtDur,$AF122+1,0,$AH122,1)),0),IF(N($Q122)&gt;0,1,MIN(1,N($U122)))))</f>
        <v/>
      </c>
      <c r="W122" s="39" t="str">
        <f aca="false">IF($D122="","",IF($V122&gt;=1,"Complete",IF(OR(N($P122)&gt;0,$V122&gt;0),IF($T122&gt;0,"Behind","In Progress"),IF($N122&lt;StatusDate,"Late Start","Not Started"))))</f>
        <v/>
      </c>
      <c r="X122" s="41"/>
      <c r="Y122" s="32"/>
      <c r="Z122" s="43" t="str">
        <f aca="true">IF($D122="","",IF($AI122,SUMPRODUCT(OFFSET(hdr_Work,$AF122+1,0,$AH122,1),OFFSET(hdr_IsLeaf,$AF122+1,0,$AH122,1)),IF($X122="",0,N($F122)*HoursPerDay*IF($Y122="",DefaultUnits,$Y122))))</f>
        <v/>
      </c>
      <c r="AA122" s="44" t="str">
        <f aca="true">IF($D122="","",IF($AI122,SUMPRODUCT(OFFSET(hdr_Cost,$AF122+1,0,$AH122,1),OFFSET(hdr_IsLeaf,$AF122+1,0,$AH122,1)),$Z122*IFERROR(INDEX(res_Rate,MATCH($X122,res_Name,0)),0)))</f>
        <v/>
      </c>
      <c r="AB122" s="38" t="str">
        <f aca="false">IF(OR($D122="",$AI122),"",IF(OR($R122&lt;Sprint1Start,$R122&gt;SprintLastEnd),"Backlog",INDEX(spr_Name,MATCH($R122,spr_Start,1))))</f>
        <v/>
      </c>
      <c r="AC122" s="45" t="str">
        <f aca="false">IF($D122="","",$AT122&amp;IF(AND($AT122&lt;&gt;"",$AU122&lt;&gt;""),",","")&amp;$AU122)</f>
        <v/>
      </c>
      <c r="AD122" s="41"/>
      <c r="AE122" s="46" t="str">
        <f aca="false">IF($D122="","",MAX(1,N($C122)))</f>
        <v/>
      </c>
      <c r="AF122" s="46" t="n">
        <f aca="false">ROW()-ROW(hdr_ID)</f>
        <v>117</v>
      </c>
      <c r="AG122" s="46" t="n">
        <f aca="false">IF(OR($D122="",$AE122&lt;=1),0,IFERROR(LOOKUP(2,1/($AE$5:$AE121=$AE122-1),ROW($AE$5:$AE121)),0))</f>
        <v>0</v>
      </c>
      <c r="AH122" s="46" t="n">
        <f aca="false">IF($D122="",0,COUNTIF(tsk_WBS,$B122&amp;".*"))</f>
        <v>0</v>
      </c>
      <c r="AI122" s="47" t="b">
        <f aca="false">$AH122&gt;0</f>
        <v>0</v>
      </c>
      <c r="AJ122" s="46" t="n">
        <f aca="false">IF(AND($D122&lt;&gt;"",NOT($AI122)),1,0)</f>
        <v>0</v>
      </c>
      <c r="AK122" s="48" t="n">
        <f aca="true">IF(OR(N($G122)=0,$AI122,$D122=""),0,IFERROR(CHOOSE(MATCH(IF($H122="","FS",$H122),{"FS","SS","FF","SF"},0),WORKDAY.INTL(OFFSET(hdr_PlanFinish,MATCH($G122,tsk_ID,0),0),IF(N($F122)=0,0,1)+N($I122),WorkWeek,Holidays),WORKDAY.INTL(OFFSET(hdr_PlanStart,MATCH($G122,tsk_ID,0),0),N($I122),WorkWeek,Holidays),WORKDAY.INTL(WORKDAY.INTL(OFFSET(hdr_PlanFinish,MATCH($G122,tsk_ID,0),0),N($I122),WorkWeek,Holidays),-MAX(0,N($F122)-1),WorkWeek,Holidays),WORKDAY.INTL(WORKDAY.INTL(OFFSET(hdr_PlanStart,MATCH($G122,tsk_ID,0),0),N($I122),WorkWeek,Holidays),-MAX(0,N($F122)-1),WorkWeek,Holidays)),0))</f>
        <v>0</v>
      </c>
      <c r="AL122" s="48" t="n">
        <f aca="true">IF(OR(N($J122)=0,$AI122,$D122=""),0,IFERROR(CHOOSE(MATCH(IF($K122="","FS",$K122),{"FS","SS","FF","SF"},0),WORKDAY.INTL(OFFSET(hdr_PlanFinish,MATCH($J122,tsk_ID,0),0),IF(N($F122)=0,0,1)+N($L122),WorkWeek,Holidays),WORKDAY.INTL(OFFSET(hdr_PlanStart,MATCH($J122,tsk_ID,0),0),N($L122),WorkWeek,Holidays),WORKDAY.INTL(WORKDAY.INTL(OFFSET(hdr_PlanFinish,MATCH($J122,tsk_ID,0),0),N($L122),WorkWeek,Holidays),-MAX(0,N($F122)-1),WorkWeek,Holidays),WORKDAY.INTL(WORKDAY.INTL(OFFSET(hdr_PlanStart,MATCH($J122,tsk_ID,0),0),N($L122),WorkWeek,Holidays),-MAX(0,N($F122)-1),WorkWeek,Holidays)),0))</f>
        <v>0</v>
      </c>
      <c r="AM122" s="48" t="n">
        <f aca="true">IF(OR(N($G122)=0,$AI122,$D122=""),0,IFERROR(CHOOSE(MATCH(IF($H122="","FS",$H122),{"FS","SS","FF","SF"},0),WORKDAY.INTL(OFFSET(hdr_FcFinish,MATCH($G122,tsk_ID,0),0),IF(N($F122)=0,0,1)+N($I122),WorkWeek,Holidays),WORKDAY.INTL(OFFSET(hdr_FcStart,MATCH($G122,tsk_ID,0),0),N($I122),WorkWeek,Holidays),WORKDAY.INTL(WORKDAY.INTL(OFFSET(hdr_FcFinish,MATCH($G122,tsk_ID,0),0),N($I122),WorkWeek,Holidays),-MAX(0,N($F122)-1),WorkWeek,Holidays),WORKDAY.INTL(WORKDAY.INTL(OFFSET(hdr_FcStart,MATCH($G122,tsk_ID,0),0),N($I122),WorkWeek,Holidays),-MAX(0,N($F122)-1),WorkWeek,Holidays)),0))</f>
        <v>0</v>
      </c>
      <c r="AN122" s="48" t="n">
        <f aca="true">IF(OR(N($J122)=0,$AI122,$D122=""),0,IFERROR(CHOOSE(MATCH(IF($K122="","FS",$K122),{"FS","SS","FF","SF"},0),WORKDAY.INTL(OFFSET(hdr_FcFinish,MATCH($J122,tsk_ID,0),0),IF(N($F122)=0,0,1)+N($L122),WorkWeek,Holidays),WORKDAY.INTL(OFFSET(hdr_FcStart,MATCH($J122,tsk_ID,0),0),N($L122),WorkWeek,Holidays),WORKDAY.INTL(WORKDAY.INTL(OFFSET(hdr_FcFinish,MATCH($J122,tsk_ID,0),0),N($L122),WorkWeek,Holidays),-MAX(0,N($F122)-1),WorkWeek,Holidays),WORKDAY.INTL(WORKDAY.INTL(OFFSET(hdr_FcStart,MATCH($J122,tsk_ID,0),0),N($L122),WorkWeek,Holidays),-MAX(0,N($F122)-1),WorkWeek,Holidays)),0))</f>
        <v>0</v>
      </c>
      <c r="AO122" s="48" t="n">
        <f aca="false">IF($AJ122=1,$R122,0)</f>
        <v>0</v>
      </c>
      <c r="AP122" s="48" t="n">
        <f aca="false">IF($AJ122=1,$S122,0)</f>
        <v>0</v>
      </c>
      <c r="AQ122" s="49" t="n">
        <f aca="false">IF(AND($AJ122=1,N($Z122)&gt;0),$Z122/($AP122-$AO122+1),0)</f>
        <v>0</v>
      </c>
      <c r="AR122" s="46" t="n">
        <f aca="false">IF($AJ122=1,MAX(N($F122),0.1),0)</f>
        <v>0</v>
      </c>
      <c r="AS122" s="46" t="n">
        <f aca="false">IF($AJ122=1,$AR122*$V122,0)</f>
        <v>0</v>
      </c>
      <c r="AT122" s="46" t="str">
        <f aca="false">IF(N($G122)=0,"",$G122&amp;IF(AND(IF($H122="","FS",$H122)="FS",N($I122)=0),"",IF($H122="","FS",$H122)&amp;IF(N($I122)=0,"",IF(N($I122)&gt;0,"+","")&amp;N($I122)&amp;"d")))</f>
        <v/>
      </c>
      <c r="AU122" s="46" t="str">
        <f aca="false">IF(N($J122)=0,"",$J122&amp;IF(AND(IF($K122="","FS",$K122)="FS",N($L122)=0),"",IF($K122="","FS",$K122)&amp;IF(N($L122)=0,"",IF(N($L122)&gt;0,"+","")&amp;N($L122)&amp;"d")))</f>
        <v/>
      </c>
      <c r="AV122" s="46" t="str">
        <f aca="false">IF(AND($AJ122=1,N($F122)=0,$V122&lt;1),$S122+$AF122/100000,"")</f>
        <v/>
      </c>
    </row>
    <row r="123" customFormat="false" ht="15" hidden="false" customHeight="false" outlineLevel="0" collapsed="false">
      <c r="A123" s="38" t="str">
        <f aca="false">IF($D123="","",COUNTA($D$6:$D123))</f>
        <v/>
      </c>
      <c r="B123" s="39" t="str">
        <f aca="true">IF($D123="","",IF($AE123=1,COUNTIF($AE$6:$AE123,1)&amp;"",IF($AG123=0,"?",OFFSET(hdr_WBS,$AG123-ROW(hdr_WBS),0)&amp;"."&amp;COUNTIF(INDEX($AE:$AE,$AG123+1):$AE123,$AE123))))</f>
        <v/>
      </c>
      <c r="C123" s="40"/>
      <c r="D123" s="41"/>
      <c r="E123" s="40"/>
      <c r="F123" s="40"/>
      <c r="G123" s="40"/>
      <c r="H123" s="40"/>
      <c r="I123" s="40"/>
      <c r="J123" s="40"/>
      <c r="K123" s="40"/>
      <c r="L123" s="40"/>
      <c r="M123" s="29"/>
      <c r="N123" s="30" t="str">
        <f aca="true">IF($D123="","",IF($AI123,MIN(OFFSET(hdr_PlanStart,$AF123+1,0,$AH123,1)),IF($E123="Manual",IF(N($M123)&gt;0,$M123,ProjectStart),WORKDAY.INTL(MAX(ProjectStart,N($M123),$AK123,$AL123)-1,1,WorkWeek,Holidays))))</f>
        <v/>
      </c>
      <c r="O123" s="30" t="str">
        <f aca="true">IF($D123="","",IF($AI123,MAX(OFFSET(hdr_PlanFinish,$AF123+1,0,$AH123,1)),IF(N($F123)&lt;=0,$N123,WORKDAY.INTL($N123,$F123-1,WorkWeek,Holidays))))</f>
        <v/>
      </c>
      <c r="P123" s="29"/>
      <c r="Q123" s="29"/>
      <c r="R123" s="30" t="str">
        <f aca="true">IF($D123="","",IF($AI123,MIN(OFFSET(hdr_FcStart,$AF123+1,0,$AH123,1)),IF(N($P123)&gt;0,$P123,IF($E123="Manual",IF(N($M123)&gt;0,$M123,ProjectStart),WORKDAY.INTL(MAX(ProjectStart,N($M123),$AM123,$AN123,IF(RescheduleAfterStatus="Yes",StatusDate,0))-1,1,WorkWeek,Holidays)))))</f>
        <v/>
      </c>
      <c r="S123" s="30" t="str">
        <f aca="true">IF($D123="","",IF($AI123,MAX(OFFSET(hdr_FcFinish,$AF123+1,0,$AH123,1)),IF(N($Q123)&gt;0,$Q123,IF(N($F123)&lt;=0,$R123,IF(AND(N($P123)&gt;0,RescheduleAfterStatus="Yes"),MAX(WORKDAY.INTL($R123,$F123-1,WorkWeek,Holidays),WORKDAY.INTL(StatusWorkday,MAX(0,ROUNDUP($F123*(1-MIN(1,N($U123))),0)-1),WorkWeek,Holidays)),WORKDAY.INTL($R123,$F123-1,WorkWeek,Holidays))))))</f>
        <v/>
      </c>
      <c r="T123" s="38" t="str">
        <f aca="false">IF($D123="","",IF($S123&gt;=$O123,NETWORKDAYS.INTL($O123,$S123,WorkWeek,Holidays)-1,1-NETWORKDAYS.INTL($S123,$O123,WorkWeek,Holidays)))</f>
        <v/>
      </c>
      <c r="U123" s="32"/>
      <c r="V123" s="42" t="str">
        <f aca="true">IF($D123="","",IF($AI123,IFERROR(SUM(OFFSET(hdr_WtDone,$AF123+1,0,$AH123,1))/SUM(OFFSET(hdr_WtDur,$AF123+1,0,$AH123,1)),0),IF(N($Q123)&gt;0,1,MIN(1,N($U123)))))</f>
        <v/>
      </c>
      <c r="W123" s="39" t="str">
        <f aca="false">IF($D123="","",IF($V123&gt;=1,"Complete",IF(OR(N($P123)&gt;0,$V123&gt;0),IF($T123&gt;0,"Behind","In Progress"),IF($N123&lt;StatusDate,"Late Start","Not Started"))))</f>
        <v/>
      </c>
      <c r="X123" s="41"/>
      <c r="Y123" s="32"/>
      <c r="Z123" s="43" t="str">
        <f aca="true">IF($D123="","",IF($AI123,SUMPRODUCT(OFFSET(hdr_Work,$AF123+1,0,$AH123,1),OFFSET(hdr_IsLeaf,$AF123+1,0,$AH123,1)),IF($X123="",0,N($F123)*HoursPerDay*IF($Y123="",DefaultUnits,$Y123))))</f>
        <v/>
      </c>
      <c r="AA123" s="44" t="str">
        <f aca="true">IF($D123="","",IF($AI123,SUMPRODUCT(OFFSET(hdr_Cost,$AF123+1,0,$AH123,1),OFFSET(hdr_IsLeaf,$AF123+1,0,$AH123,1)),$Z123*IFERROR(INDEX(res_Rate,MATCH($X123,res_Name,0)),0)))</f>
        <v/>
      </c>
      <c r="AB123" s="38" t="str">
        <f aca="false">IF(OR($D123="",$AI123),"",IF(OR($R123&lt;Sprint1Start,$R123&gt;SprintLastEnd),"Backlog",INDEX(spr_Name,MATCH($R123,spr_Start,1))))</f>
        <v/>
      </c>
      <c r="AC123" s="45" t="str">
        <f aca="false">IF($D123="","",$AT123&amp;IF(AND($AT123&lt;&gt;"",$AU123&lt;&gt;""),",","")&amp;$AU123)</f>
        <v/>
      </c>
      <c r="AD123" s="41"/>
      <c r="AE123" s="46" t="str">
        <f aca="false">IF($D123="","",MAX(1,N($C123)))</f>
        <v/>
      </c>
      <c r="AF123" s="46" t="n">
        <f aca="false">ROW()-ROW(hdr_ID)</f>
        <v>118</v>
      </c>
      <c r="AG123" s="46" t="n">
        <f aca="false">IF(OR($D123="",$AE123&lt;=1),0,IFERROR(LOOKUP(2,1/($AE$5:$AE122=$AE123-1),ROW($AE$5:$AE122)),0))</f>
        <v>0</v>
      </c>
      <c r="AH123" s="46" t="n">
        <f aca="false">IF($D123="",0,COUNTIF(tsk_WBS,$B123&amp;".*"))</f>
        <v>0</v>
      </c>
      <c r="AI123" s="47" t="b">
        <f aca="false">$AH123&gt;0</f>
        <v>0</v>
      </c>
      <c r="AJ123" s="46" t="n">
        <f aca="false">IF(AND($D123&lt;&gt;"",NOT($AI123)),1,0)</f>
        <v>0</v>
      </c>
      <c r="AK123" s="48" t="n">
        <f aca="true">IF(OR(N($G123)=0,$AI123,$D123=""),0,IFERROR(CHOOSE(MATCH(IF($H123="","FS",$H123),{"FS","SS","FF","SF"},0),WORKDAY.INTL(OFFSET(hdr_PlanFinish,MATCH($G123,tsk_ID,0),0),IF(N($F123)=0,0,1)+N($I123),WorkWeek,Holidays),WORKDAY.INTL(OFFSET(hdr_PlanStart,MATCH($G123,tsk_ID,0),0),N($I123),WorkWeek,Holidays),WORKDAY.INTL(WORKDAY.INTL(OFFSET(hdr_PlanFinish,MATCH($G123,tsk_ID,0),0),N($I123),WorkWeek,Holidays),-MAX(0,N($F123)-1),WorkWeek,Holidays),WORKDAY.INTL(WORKDAY.INTL(OFFSET(hdr_PlanStart,MATCH($G123,tsk_ID,0),0),N($I123),WorkWeek,Holidays),-MAX(0,N($F123)-1),WorkWeek,Holidays)),0))</f>
        <v>0</v>
      </c>
      <c r="AL123" s="48" t="n">
        <f aca="true">IF(OR(N($J123)=0,$AI123,$D123=""),0,IFERROR(CHOOSE(MATCH(IF($K123="","FS",$K123),{"FS","SS","FF","SF"},0),WORKDAY.INTL(OFFSET(hdr_PlanFinish,MATCH($J123,tsk_ID,0),0),IF(N($F123)=0,0,1)+N($L123),WorkWeek,Holidays),WORKDAY.INTL(OFFSET(hdr_PlanStart,MATCH($J123,tsk_ID,0),0),N($L123),WorkWeek,Holidays),WORKDAY.INTL(WORKDAY.INTL(OFFSET(hdr_PlanFinish,MATCH($J123,tsk_ID,0),0),N($L123),WorkWeek,Holidays),-MAX(0,N($F123)-1),WorkWeek,Holidays),WORKDAY.INTL(WORKDAY.INTL(OFFSET(hdr_PlanStart,MATCH($J123,tsk_ID,0),0),N($L123),WorkWeek,Holidays),-MAX(0,N($F123)-1),WorkWeek,Holidays)),0))</f>
        <v>0</v>
      </c>
      <c r="AM123" s="48" t="n">
        <f aca="true">IF(OR(N($G123)=0,$AI123,$D123=""),0,IFERROR(CHOOSE(MATCH(IF($H123="","FS",$H123),{"FS","SS","FF","SF"},0),WORKDAY.INTL(OFFSET(hdr_FcFinish,MATCH($G123,tsk_ID,0),0),IF(N($F123)=0,0,1)+N($I123),WorkWeek,Holidays),WORKDAY.INTL(OFFSET(hdr_FcStart,MATCH($G123,tsk_ID,0),0),N($I123),WorkWeek,Holidays),WORKDAY.INTL(WORKDAY.INTL(OFFSET(hdr_FcFinish,MATCH($G123,tsk_ID,0),0),N($I123),WorkWeek,Holidays),-MAX(0,N($F123)-1),WorkWeek,Holidays),WORKDAY.INTL(WORKDAY.INTL(OFFSET(hdr_FcStart,MATCH($G123,tsk_ID,0),0),N($I123),WorkWeek,Holidays),-MAX(0,N($F123)-1),WorkWeek,Holidays)),0))</f>
        <v>0</v>
      </c>
      <c r="AN123" s="48" t="n">
        <f aca="true">IF(OR(N($J123)=0,$AI123,$D123=""),0,IFERROR(CHOOSE(MATCH(IF($K123="","FS",$K123),{"FS","SS","FF","SF"},0),WORKDAY.INTL(OFFSET(hdr_FcFinish,MATCH($J123,tsk_ID,0),0),IF(N($F123)=0,0,1)+N($L123),WorkWeek,Holidays),WORKDAY.INTL(OFFSET(hdr_FcStart,MATCH($J123,tsk_ID,0),0),N($L123),WorkWeek,Holidays),WORKDAY.INTL(WORKDAY.INTL(OFFSET(hdr_FcFinish,MATCH($J123,tsk_ID,0),0),N($L123),WorkWeek,Holidays),-MAX(0,N($F123)-1),WorkWeek,Holidays),WORKDAY.INTL(WORKDAY.INTL(OFFSET(hdr_FcStart,MATCH($J123,tsk_ID,0),0),N($L123),WorkWeek,Holidays),-MAX(0,N($F123)-1),WorkWeek,Holidays)),0))</f>
        <v>0</v>
      </c>
      <c r="AO123" s="48" t="n">
        <f aca="false">IF($AJ123=1,$R123,0)</f>
        <v>0</v>
      </c>
      <c r="AP123" s="48" t="n">
        <f aca="false">IF($AJ123=1,$S123,0)</f>
        <v>0</v>
      </c>
      <c r="AQ123" s="49" t="n">
        <f aca="false">IF(AND($AJ123=1,N($Z123)&gt;0),$Z123/($AP123-$AO123+1),0)</f>
        <v>0</v>
      </c>
      <c r="AR123" s="46" t="n">
        <f aca="false">IF($AJ123=1,MAX(N($F123),0.1),0)</f>
        <v>0</v>
      </c>
      <c r="AS123" s="46" t="n">
        <f aca="false">IF($AJ123=1,$AR123*$V123,0)</f>
        <v>0</v>
      </c>
      <c r="AT123" s="46" t="str">
        <f aca="false">IF(N($G123)=0,"",$G123&amp;IF(AND(IF($H123="","FS",$H123)="FS",N($I123)=0),"",IF($H123="","FS",$H123)&amp;IF(N($I123)=0,"",IF(N($I123)&gt;0,"+","")&amp;N($I123)&amp;"d")))</f>
        <v/>
      </c>
      <c r="AU123" s="46" t="str">
        <f aca="false">IF(N($J123)=0,"",$J123&amp;IF(AND(IF($K123="","FS",$K123)="FS",N($L123)=0),"",IF($K123="","FS",$K123)&amp;IF(N($L123)=0,"",IF(N($L123)&gt;0,"+","")&amp;N($L123)&amp;"d")))</f>
        <v/>
      </c>
      <c r="AV123" s="46" t="str">
        <f aca="false">IF(AND($AJ123=1,N($F123)=0,$V123&lt;1),$S123+$AF123/100000,"")</f>
        <v/>
      </c>
    </row>
    <row r="124" customFormat="false" ht="15" hidden="false" customHeight="false" outlineLevel="0" collapsed="false">
      <c r="A124" s="38" t="str">
        <f aca="false">IF($D124="","",COUNTA($D$6:$D124))</f>
        <v/>
      </c>
      <c r="B124" s="39" t="str">
        <f aca="true">IF($D124="","",IF($AE124=1,COUNTIF($AE$6:$AE124,1)&amp;"",IF($AG124=0,"?",OFFSET(hdr_WBS,$AG124-ROW(hdr_WBS),0)&amp;"."&amp;COUNTIF(INDEX($AE:$AE,$AG124+1):$AE124,$AE124))))</f>
        <v/>
      </c>
      <c r="C124" s="40"/>
      <c r="D124" s="41"/>
      <c r="E124" s="40"/>
      <c r="F124" s="40"/>
      <c r="G124" s="40"/>
      <c r="H124" s="40"/>
      <c r="I124" s="40"/>
      <c r="J124" s="40"/>
      <c r="K124" s="40"/>
      <c r="L124" s="40"/>
      <c r="M124" s="29"/>
      <c r="N124" s="30" t="str">
        <f aca="true">IF($D124="","",IF($AI124,MIN(OFFSET(hdr_PlanStart,$AF124+1,0,$AH124,1)),IF($E124="Manual",IF(N($M124)&gt;0,$M124,ProjectStart),WORKDAY.INTL(MAX(ProjectStart,N($M124),$AK124,$AL124)-1,1,WorkWeek,Holidays))))</f>
        <v/>
      </c>
      <c r="O124" s="30" t="str">
        <f aca="true">IF($D124="","",IF($AI124,MAX(OFFSET(hdr_PlanFinish,$AF124+1,0,$AH124,1)),IF(N($F124)&lt;=0,$N124,WORKDAY.INTL($N124,$F124-1,WorkWeek,Holidays))))</f>
        <v/>
      </c>
      <c r="P124" s="29"/>
      <c r="Q124" s="29"/>
      <c r="R124" s="30" t="str">
        <f aca="true">IF($D124="","",IF($AI124,MIN(OFFSET(hdr_FcStart,$AF124+1,0,$AH124,1)),IF(N($P124)&gt;0,$P124,IF($E124="Manual",IF(N($M124)&gt;0,$M124,ProjectStart),WORKDAY.INTL(MAX(ProjectStart,N($M124),$AM124,$AN124,IF(RescheduleAfterStatus="Yes",StatusDate,0))-1,1,WorkWeek,Holidays)))))</f>
        <v/>
      </c>
      <c r="S124" s="30" t="str">
        <f aca="true">IF($D124="","",IF($AI124,MAX(OFFSET(hdr_FcFinish,$AF124+1,0,$AH124,1)),IF(N($Q124)&gt;0,$Q124,IF(N($F124)&lt;=0,$R124,IF(AND(N($P124)&gt;0,RescheduleAfterStatus="Yes"),MAX(WORKDAY.INTL($R124,$F124-1,WorkWeek,Holidays),WORKDAY.INTL(StatusWorkday,MAX(0,ROUNDUP($F124*(1-MIN(1,N($U124))),0)-1),WorkWeek,Holidays)),WORKDAY.INTL($R124,$F124-1,WorkWeek,Holidays))))))</f>
        <v/>
      </c>
      <c r="T124" s="38" t="str">
        <f aca="false">IF($D124="","",IF($S124&gt;=$O124,NETWORKDAYS.INTL($O124,$S124,WorkWeek,Holidays)-1,1-NETWORKDAYS.INTL($S124,$O124,WorkWeek,Holidays)))</f>
        <v/>
      </c>
      <c r="U124" s="32"/>
      <c r="V124" s="42" t="str">
        <f aca="true">IF($D124="","",IF($AI124,IFERROR(SUM(OFFSET(hdr_WtDone,$AF124+1,0,$AH124,1))/SUM(OFFSET(hdr_WtDur,$AF124+1,0,$AH124,1)),0),IF(N($Q124)&gt;0,1,MIN(1,N($U124)))))</f>
        <v/>
      </c>
      <c r="W124" s="39" t="str">
        <f aca="false">IF($D124="","",IF($V124&gt;=1,"Complete",IF(OR(N($P124)&gt;0,$V124&gt;0),IF($T124&gt;0,"Behind","In Progress"),IF($N124&lt;StatusDate,"Late Start","Not Started"))))</f>
        <v/>
      </c>
      <c r="X124" s="41"/>
      <c r="Y124" s="32"/>
      <c r="Z124" s="43" t="str">
        <f aca="true">IF($D124="","",IF($AI124,SUMPRODUCT(OFFSET(hdr_Work,$AF124+1,0,$AH124,1),OFFSET(hdr_IsLeaf,$AF124+1,0,$AH124,1)),IF($X124="",0,N($F124)*HoursPerDay*IF($Y124="",DefaultUnits,$Y124))))</f>
        <v/>
      </c>
      <c r="AA124" s="44" t="str">
        <f aca="true">IF($D124="","",IF($AI124,SUMPRODUCT(OFFSET(hdr_Cost,$AF124+1,0,$AH124,1),OFFSET(hdr_IsLeaf,$AF124+1,0,$AH124,1)),$Z124*IFERROR(INDEX(res_Rate,MATCH($X124,res_Name,0)),0)))</f>
        <v/>
      </c>
      <c r="AB124" s="38" t="str">
        <f aca="false">IF(OR($D124="",$AI124),"",IF(OR($R124&lt;Sprint1Start,$R124&gt;SprintLastEnd),"Backlog",INDEX(spr_Name,MATCH($R124,spr_Start,1))))</f>
        <v/>
      </c>
      <c r="AC124" s="45" t="str">
        <f aca="false">IF($D124="","",$AT124&amp;IF(AND($AT124&lt;&gt;"",$AU124&lt;&gt;""),",","")&amp;$AU124)</f>
        <v/>
      </c>
      <c r="AD124" s="41"/>
      <c r="AE124" s="46" t="str">
        <f aca="false">IF($D124="","",MAX(1,N($C124)))</f>
        <v/>
      </c>
      <c r="AF124" s="46" t="n">
        <f aca="false">ROW()-ROW(hdr_ID)</f>
        <v>119</v>
      </c>
      <c r="AG124" s="46" t="n">
        <f aca="false">IF(OR($D124="",$AE124&lt;=1),0,IFERROR(LOOKUP(2,1/($AE$5:$AE123=$AE124-1),ROW($AE$5:$AE123)),0))</f>
        <v>0</v>
      </c>
      <c r="AH124" s="46" t="n">
        <f aca="false">IF($D124="",0,COUNTIF(tsk_WBS,$B124&amp;".*"))</f>
        <v>0</v>
      </c>
      <c r="AI124" s="47" t="b">
        <f aca="false">$AH124&gt;0</f>
        <v>0</v>
      </c>
      <c r="AJ124" s="46" t="n">
        <f aca="false">IF(AND($D124&lt;&gt;"",NOT($AI124)),1,0)</f>
        <v>0</v>
      </c>
      <c r="AK124" s="48" t="n">
        <f aca="true">IF(OR(N($G124)=0,$AI124,$D124=""),0,IFERROR(CHOOSE(MATCH(IF($H124="","FS",$H124),{"FS","SS","FF","SF"},0),WORKDAY.INTL(OFFSET(hdr_PlanFinish,MATCH($G124,tsk_ID,0),0),IF(N($F124)=0,0,1)+N($I124),WorkWeek,Holidays),WORKDAY.INTL(OFFSET(hdr_PlanStart,MATCH($G124,tsk_ID,0),0),N($I124),WorkWeek,Holidays),WORKDAY.INTL(WORKDAY.INTL(OFFSET(hdr_PlanFinish,MATCH($G124,tsk_ID,0),0),N($I124),WorkWeek,Holidays),-MAX(0,N($F124)-1),WorkWeek,Holidays),WORKDAY.INTL(WORKDAY.INTL(OFFSET(hdr_PlanStart,MATCH($G124,tsk_ID,0),0),N($I124),WorkWeek,Holidays),-MAX(0,N($F124)-1),WorkWeek,Holidays)),0))</f>
        <v>0</v>
      </c>
      <c r="AL124" s="48" t="n">
        <f aca="true">IF(OR(N($J124)=0,$AI124,$D124=""),0,IFERROR(CHOOSE(MATCH(IF($K124="","FS",$K124),{"FS","SS","FF","SF"},0),WORKDAY.INTL(OFFSET(hdr_PlanFinish,MATCH($J124,tsk_ID,0),0),IF(N($F124)=0,0,1)+N($L124),WorkWeek,Holidays),WORKDAY.INTL(OFFSET(hdr_PlanStart,MATCH($J124,tsk_ID,0),0),N($L124),WorkWeek,Holidays),WORKDAY.INTL(WORKDAY.INTL(OFFSET(hdr_PlanFinish,MATCH($J124,tsk_ID,0),0),N($L124),WorkWeek,Holidays),-MAX(0,N($F124)-1),WorkWeek,Holidays),WORKDAY.INTL(WORKDAY.INTL(OFFSET(hdr_PlanStart,MATCH($J124,tsk_ID,0),0),N($L124),WorkWeek,Holidays),-MAX(0,N($F124)-1),WorkWeek,Holidays)),0))</f>
        <v>0</v>
      </c>
      <c r="AM124" s="48" t="n">
        <f aca="true">IF(OR(N($G124)=0,$AI124,$D124=""),0,IFERROR(CHOOSE(MATCH(IF($H124="","FS",$H124),{"FS","SS","FF","SF"},0),WORKDAY.INTL(OFFSET(hdr_FcFinish,MATCH($G124,tsk_ID,0),0),IF(N($F124)=0,0,1)+N($I124),WorkWeek,Holidays),WORKDAY.INTL(OFFSET(hdr_FcStart,MATCH($G124,tsk_ID,0),0),N($I124),WorkWeek,Holidays),WORKDAY.INTL(WORKDAY.INTL(OFFSET(hdr_FcFinish,MATCH($G124,tsk_ID,0),0),N($I124),WorkWeek,Holidays),-MAX(0,N($F124)-1),WorkWeek,Holidays),WORKDAY.INTL(WORKDAY.INTL(OFFSET(hdr_FcStart,MATCH($G124,tsk_ID,0),0),N($I124),WorkWeek,Holidays),-MAX(0,N($F124)-1),WorkWeek,Holidays)),0))</f>
        <v>0</v>
      </c>
      <c r="AN124" s="48" t="n">
        <f aca="true">IF(OR(N($J124)=0,$AI124,$D124=""),0,IFERROR(CHOOSE(MATCH(IF($K124="","FS",$K124),{"FS","SS","FF","SF"},0),WORKDAY.INTL(OFFSET(hdr_FcFinish,MATCH($J124,tsk_ID,0),0),IF(N($F124)=0,0,1)+N($L124),WorkWeek,Holidays),WORKDAY.INTL(OFFSET(hdr_FcStart,MATCH($J124,tsk_ID,0),0),N($L124),WorkWeek,Holidays),WORKDAY.INTL(WORKDAY.INTL(OFFSET(hdr_FcFinish,MATCH($J124,tsk_ID,0),0),N($L124),WorkWeek,Holidays),-MAX(0,N($F124)-1),WorkWeek,Holidays),WORKDAY.INTL(WORKDAY.INTL(OFFSET(hdr_FcStart,MATCH($J124,tsk_ID,0),0),N($L124),WorkWeek,Holidays),-MAX(0,N($F124)-1),WorkWeek,Holidays)),0))</f>
        <v>0</v>
      </c>
      <c r="AO124" s="48" t="n">
        <f aca="false">IF($AJ124=1,$R124,0)</f>
        <v>0</v>
      </c>
      <c r="AP124" s="48" t="n">
        <f aca="false">IF($AJ124=1,$S124,0)</f>
        <v>0</v>
      </c>
      <c r="AQ124" s="49" t="n">
        <f aca="false">IF(AND($AJ124=1,N($Z124)&gt;0),$Z124/($AP124-$AO124+1),0)</f>
        <v>0</v>
      </c>
      <c r="AR124" s="46" t="n">
        <f aca="false">IF($AJ124=1,MAX(N($F124),0.1),0)</f>
        <v>0</v>
      </c>
      <c r="AS124" s="46" t="n">
        <f aca="false">IF($AJ124=1,$AR124*$V124,0)</f>
        <v>0</v>
      </c>
      <c r="AT124" s="46" t="str">
        <f aca="false">IF(N($G124)=0,"",$G124&amp;IF(AND(IF($H124="","FS",$H124)="FS",N($I124)=0),"",IF($H124="","FS",$H124)&amp;IF(N($I124)=0,"",IF(N($I124)&gt;0,"+","")&amp;N($I124)&amp;"d")))</f>
        <v/>
      </c>
      <c r="AU124" s="46" t="str">
        <f aca="false">IF(N($J124)=0,"",$J124&amp;IF(AND(IF($K124="","FS",$K124)="FS",N($L124)=0),"",IF($K124="","FS",$K124)&amp;IF(N($L124)=0,"",IF(N($L124)&gt;0,"+","")&amp;N($L124)&amp;"d")))</f>
        <v/>
      </c>
      <c r="AV124" s="46" t="str">
        <f aca="false">IF(AND($AJ124=1,N($F124)=0,$V124&lt;1),$S124+$AF124/100000,"")</f>
        <v/>
      </c>
    </row>
    <row r="125" customFormat="false" ht="15" hidden="false" customHeight="false" outlineLevel="0" collapsed="false">
      <c r="A125" s="38" t="str">
        <f aca="false">IF($D125="","",COUNTA($D$6:$D125))</f>
        <v/>
      </c>
      <c r="B125" s="39" t="str">
        <f aca="true">IF($D125="","",IF($AE125=1,COUNTIF($AE$6:$AE125,1)&amp;"",IF($AG125=0,"?",OFFSET(hdr_WBS,$AG125-ROW(hdr_WBS),0)&amp;"."&amp;COUNTIF(INDEX($AE:$AE,$AG125+1):$AE125,$AE125))))</f>
        <v/>
      </c>
      <c r="C125" s="40"/>
      <c r="D125" s="41"/>
      <c r="E125" s="40"/>
      <c r="F125" s="40"/>
      <c r="G125" s="40"/>
      <c r="H125" s="40"/>
      <c r="I125" s="40"/>
      <c r="J125" s="40"/>
      <c r="K125" s="40"/>
      <c r="L125" s="40"/>
      <c r="M125" s="29"/>
      <c r="N125" s="30" t="str">
        <f aca="true">IF($D125="","",IF($AI125,MIN(OFFSET(hdr_PlanStart,$AF125+1,0,$AH125,1)),IF($E125="Manual",IF(N($M125)&gt;0,$M125,ProjectStart),WORKDAY.INTL(MAX(ProjectStart,N($M125),$AK125,$AL125)-1,1,WorkWeek,Holidays))))</f>
        <v/>
      </c>
      <c r="O125" s="30" t="str">
        <f aca="true">IF($D125="","",IF($AI125,MAX(OFFSET(hdr_PlanFinish,$AF125+1,0,$AH125,1)),IF(N($F125)&lt;=0,$N125,WORKDAY.INTL($N125,$F125-1,WorkWeek,Holidays))))</f>
        <v/>
      </c>
      <c r="P125" s="29"/>
      <c r="Q125" s="29"/>
      <c r="R125" s="30" t="str">
        <f aca="true">IF($D125="","",IF($AI125,MIN(OFFSET(hdr_FcStart,$AF125+1,0,$AH125,1)),IF(N($P125)&gt;0,$P125,IF($E125="Manual",IF(N($M125)&gt;0,$M125,ProjectStart),WORKDAY.INTL(MAX(ProjectStart,N($M125),$AM125,$AN125,IF(RescheduleAfterStatus="Yes",StatusDate,0))-1,1,WorkWeek,Holidays)))))</f>
        <v/>
      </c>
      <c r="S125" s="30" t="str">
        <f aca="true">IF($D125="","",IF($AI125,MAX(OFFSET(hdr_FcFinish,$AF125+1,0,$AH125,1)),IF(N($Q125)&gt;0,$Q125,IF(N($F125)&lt;=0,$R125,IF(AND(N($P125)&gt;0,RescheduleAfterStatus="Yes"),MAX(WORKDAY.INTL($R125,$F125-1,WorkWeek,Holidays),WORKDAY.INTL(StatusWorkday,MAX(0,ROUNDUP($F125*(1-MIN(1,N($U125))),0)-1),WorkWeek,Holidays)),WORKDAY.INTL($R125,$F125-1,WorkWeek,Holidays))))))</f>
        <v/>
      </c>
      <c r="T125" s="38" t="str">
        <f aca="false">IF($D125="","",IF($S125&gt;=$O125,NETWORKDAYS.INTL($O125,$S125,WorkWeek,Holidays)-1,1-NETWORKDAYS.INTL($S125,$O125,WorkWeek,Holidays)))</f>
        <v/>
      </c>
      <c r="U125" s="32"/>
      <c r="V125" s="42" t="str">
        <f aca="true">IF($D125="","",IF($AI125,IFERROR(SUM(OFFSET(hdr_WtDone,$AF125+1,0,$AH125,1))/SUM(OFFSET(hdr_WtDur,$AF125+1,0,$AH125,1)),0),IF(N($Q125)&gt;0,1,MIN(1,N($U125)))))</f>
        <v/>
      </c>
      <c r="W125" s="39" t="str">
        <f aca="false">IF($D125="","",IF($V125&gt;=1,"Complete",IF(OR(N($P125)&gt;0,$V125&gt;0),IF($T125&gt;0,"Behind","In Progress"),IF($N125&lt;StatusDate,"Late Start","Not Started"))))</f>
        <v/>
      </c>
      <c r="X125" s="41"/>
      <c r="Y125" s="32"/>
      <c r="Z125" s="43" t="str">
        <f aca="true">IF($D125="","",IF($AI125,SUMPRODUCT(OFFSET(hdr_Work,$AF125+1,0,$AH125,1),OFFSET(hdr_IsLeaf,$AF125+1,0,$AH125,1)),IF($X125="",0,N($F125)*HoursPerDay*IF($Y125="",DefaultUnits,$Y125))))</f>
        <v/>
      </c>
      <c r="AA125" s="44" t="str">
        <f aca="true">IF($D125="","",IF($AI125,SUMPRODUCT(OFFSET(hdr_Cost,$AF125+1,0,$AH125,1),OFFSET(hdr_IsLeaf,$AF125+1,0,$AH125,1)),$Z125*IFERROR(INDEX(res_Rate,MATCH($X125,res_Name,0)),0)))</f>
        <v/>
      </c>
      <c r="AB125" s="38" t="str">
        <f aca="false">IF(OR($D125="",$AI125),"",IF(OR($R125&lt;Sprint1Start,$R125&gt;SprintLastEnd),"Backlog",INDEX(spr_Name,MATCH($R125,spr_Start,1))))</f>
        <v/>
      </c>
      <c r="AC125" s="45" t="str">
        <f aca="false">IF($D125="","",$AT125&amp;IF(AND($AT125&lt;&gt;"",$AU125&lt;&gt;""),",","")&amp;$AU125)</f>
        <v/>
      </c>
      <c r="AD125" s="41"/>
      <c r="AE125" s="46" t="str">
        <f aca="false">IF($D125="","",MAX(1,N($C125)))</f>
        <v/>
      </c>
      <c r="AF125" s="46" t="n">
        <f aca="false">ROW()-ROW(hdr_ID)</f>
        <v>120</v>
      </c>
      <c r="AG125" s="46" t="n">
        <f aca="false">IF(OR($D125="",$AE125&lt;=1),0,IFERROR(LOOKUP(2,1/($AE$5:$AE124=$AE125-1),ROW($AE$5:$AE124)),0))</f>
        <v>0</v>
      </c>
      <c r="AH125" s="46" t="n">
        <f aca="false">IF($D125="",0,COUNTIF(tsk_WBS,$B125&amp;".*"))</f>
        <v>0</v>
      </c>
      <c r="AI125" s="47" t="b">
        <f aca="false">$AH125&gt;0</f>
        <v>0</v>
      </c>
      <c r="AJ125" s="46" t="n">
        <f aca="false">IF(AND($D125&lt;&gt;"",NOT($AI125)),1,0)</f>
        <v>0</v>
      </c>
      <c r="AK125" s="48" t="n">
        <f aca="true">IF(OR(N($G125)=0,$AI125,$D125=""),0,IFERROR(CHOOSE(MATCH(IF($H125="","FS",$H125),{"FS","SS","FF","SF"},0),WORKDAY.INTL(OFFSET(hdr_PlanFinish,MATCH($G125,tsk_ID,0),0),IF(N($F125)=0,0,1)+N($I125),WorkWeek,Holidays),WORKDAY.INTL(OFFSET(hdr_PlanStart,MATCH($G125,tsk_ID,0),0),N($I125),WorkWeek,Holidays),WORKDAY.INTL(WORKDAY.INTL(OFFSET(hdr_PlanFinish,MATCH($G125,tsk_ID,0),0),N($I125),WorkWeek,Holidays),-MAX(0,N($F125)-1),WorkWeek,Holidays),WORKDAY.INTL(WORKDAY.INTL(OFFSET(hdr_PlanStart,MATCH($G125,tsk_ID,0),0),N($I125),WorkWeek,Holidays),-MAX(0,N($F125)-1),WorkWeek,Holidays)),0))</f>
        <v>0</v>
      </c>
      <c r="AL125" s="48" t="n">
        <f aca="true">IF(OR(N($J125)=0,$AI125,$D125=""),0,IFERROR(CHOOSE(MATCH(IF($K125="","FS",$K125),{"FS","SS","FF","SF"},0),WORKDAY.INTL(OFFSET(hdr_PlanFinish,MATCH($J125,tsk_ID,0),0),IF(N($F125)=0,0,1)+N($L125),WorkWeek,Holidays),WORKDAY.INTL(OFFSET(hdr_PlanStart,MATCH($J125,tsk_ID,0),0),N($L125),WorkWeek,Holidays),WORKDAY.INTL(WORKDAY.INTL(OFFSET(hdr_PlanFinish,MATCH($J125,tsk_ID,0),0),N($L125),WorkWeek,Holidays),-MAX(0,N($F125)-1),WorkWeek,Holidays),WORKDAY.INTL(WORKDAY.INTL(OFFSET(hdr_PlanStart,MATCH($J125,tsk_ID,0),0),N($L125),WorkWeek,Holidays),-MAX(0,N($F125)-1),WorkWeek,Holidays)),0))</f>
        <v>0</v>
      </c>
      <c r="AM125" s="48" t="n">
        <f aca="true">IF(OR(N($G125)=0,$AI125,$D125=""),0,IFERROR(CHOOSE(MATCH(IF($H125="","FS",$H125),{"FS","SS","FF","SF"},0),WORKDAY.INTL(OFFSET(hdr_FcFinish,MATCH($G125,tsk_ID,0),0),IF(N($F125)=0,0,1)+N($I125),WorkWeek,Holidays),WORKDAY.INTL(OFFSET(hdr_FcStart,MATCH($G125,tsk_ID,0),0),N($I125),WorkWeek,Holidays),WORKDAY.INTL(WORKDAY.INTL(OFFSET(hdr_FcFinish,MATCH($G125,tsk_ID,0),0),N($I125),WorkWeek,Holidays),-MAX(0,N($F125)-1),WorkWeek,Holidays),WORKDAY.INTL(WORKDAY.INTL(OFFSET(hdr_FcStart,MATCH($G125,tsk_ID,0),0),N($I125),WorkWeek,Holidays),-MAX(0,N($F125)-1),WorkWeek,Holidays)),0))</f>
        <v>0</v>
      </c>
      <c r="AN125" s="48" t="n">
        <f aca="true">IF(OR(N($J125)=0,$AI125,$D125=""),0,IFERROR(CHOOSE(MATCH(IF($K125="","FS",$K125),{"FS","SS","FF","SF"},0),WORKDAY.INTL(OFFSET(hdr_FcFinish,MATCH($J125,tsk_ID,0),0),IF(N($F125)=0,0,1)+N($L125),WorkWeek,Holidays),WORKDAY.INTL(OFFSET(hdr_FcStart,MATCH($J125,tsk_ID,0),0),N($L125),WorkWeek,Holidays),WORKDAY.INTL(WORKDAY.INTL(OFFSET(hdr_FcFinish,MATCH($J125,tsk_ID,0),0),N($L125),WorkWeek,Holidays),-MAX(0,N($F125)-1),WorkWeek,Holidays),WORKDAY.INTL(WORKDAY.INTL(OFFSET(hdr_FcStart,MATCH($J125,tsk_ID,0),0),N($L125),WorkWeek,Holidays),-MAX(0,N($F125)-1),WorkWeek,Holidays)),0))</f>
        <v>0</v>
      </c>
      <c r="AO125" s="48" t="n">
        <f aca="false">IF($AJ125=1,$R125,0)</f>
        <v>0</v>
      </c>
      <c r="AP125" s="48" t="n">
        <f aca="false">IF($AJ125=1,$S125,0)</f>
        <v>0</v>
      </c>
      <c r="AQ125" s="49" t="n">
        <f aca="false">IF(AND($AJ125=1,N($Z125)&gt;0),$Z125/($AP125-$AO125+1),0)</f>
        <v>0</v>
      </c>
      <c r="AR125" s="46" t="n">
        <f aca="false">IF($AJ125=1,MAX(N($F125),0.1),0)</f>
        <v>0</v>
      </c>
      <c r="AS125" s="46" t="n">
        <f aca="false">IF($AJ125=1,$AR125*$V125,0)</f>
        <v>0</v>
      </c>
      <c r="AT125" s="46" t="str">
        <f aca="false">IF(N($G125)=0,"",$G125&amp;IF(AND(IF($H125="","FS",$H125)="FS",N($I125)=0),"",IF($H125="","FS",$H125)&amp;IF(N($I125)=0,"",IF(N($I125)&gt;0,"+","")&amp;N($I125)&amp;"d")))</f>
        <v/>
      </c>
      <c r="AU125" s="46" t="str">
        <f aca="false">IF(N($J125)=0,"",$J125&amp;IF(AND(IF($K125="","FS",$K125)="FS",N($L125)=0),"",IF($K125="","FS",$K125)&amp;IF(N($L125)=0,"",IF(N($L125)&gt;0,"+","")&amp;N($L125)&amp;"d")))</f>
        <v/>
      </c>
      <c r="AV125" s="46" t="str">
        <f aca="false">IF(AND($AJ125=1,N($F125)=0,$V125&lt;1),$S125+$AF125/100000,"")</f>
        <v/>
      </c>
    </row>
    <row r="126" customFormat="false" ht="15" hidden="false" customHeight="false" outlineLevel="0" collapsed="false">
      <c r="A126" s="38" t="str">
        <f aca="false">IF($D126="","",COUNTA($D$6:$D126))</f>
        <v/>
      </c>
      <c r="B126" s="39" t="str">
        <f aca="true">IF($D126="","",IF($AE126=1,COUNTIF($AE$6:$AE126,1)&amp;"",IF($AG126=0,"?",OFFSET(hdr_WBS,$AG126-ROW(hdr_WBS),0)&amp;"."&amp;COUNTIF(INDEX($AE:$AE,$AG126+1):$AE126,$AE126))))</f>
        <v/>
      </c>
      <c r="C126" s="40"/>
      <c r="D126" s="41"/>
      <c r="E126" s="40"/>
      <c r="F126" s="40"/>
      <c r="G126" s="40"/>
      <c r="H126" s="40"/>
      <c r="I126" s="40"/>
      <c r="J126" s="40"/>
      <c r="K126" s="40"/>
      <c r="L126" s="40"/>
      <c r="M126" s="29"/>
      <c r="N126" s="30" t="str">
        <f aca="true">IF($D126="","",IF($AI126,MIN(OFFSET(hdr_PlanStart,$AF126+1,0,$AH126,1)),IF($E126="Manual",IF(N($M126)&gt;0,$M126,ProjectStart),WORKDAY.INTL(MAX(ProjectStart,N($M126),$AK126,$AL126)-1,1,WorkWeek,Holidays))))</f>
        <v/>
      </c>
      <c r="O126" s="30" t="str">
        <f aca="true">IF($D126="","",IF($AI126,MAX(OFFSET(hdr_PlanFinish,$AF126+1,0,$AH126,1)),IF(N($F126)&lt;=0,$N126,WORKDAY.INTL($N126,$F126-1,WorkWeek,Holidays))))</f>
        <v/>
      </c>
      <c r="P126" s="29"/>
      <c r="Q126" s="29"/>
      <c r="R126" s="30" t="str">
        <f aca="true">IF($D126="","",IF($AI126,MIN(OFFSET(hdr_FcStart,$AF126+1,0,$AH126,1)),IF(N($P126)&gt;0,$P126,IF($E126="Manual",IF(N($M126)&gt;0,$M126,ProjectStart),WORKDAY.INTL(MAX(ProjectStart,N($M126),$AM126,$AN126,IF(RescheduleAfterStatus="Yes",StatusDate,0))-1,1,WorkWeek,Holidays)))))</f>
        <v/>
      </c>
      <c r="S126" s="30" t="str">
        <f aca="true">IF($D126="","",IF($AI126,MAX(OFFSET(hdr_FcFinish,$AF126+1,0,$AH126,1)),IF(N($Q126)&gt;0,$Q126,IF(N($F126)&lt;=0,$R126,IF(AND(N($P126)&gt;0,RescheduleAfterStatus="Yes"),MAX(WORKDAY.INTL($R126,$F126-1,WorkWeek,Holidays),WORKDAY.INTL(StatusWorkday,MAX(0,ROUNDUP($F126*(1-MIN(1,N($U126))),0)-1),WorkWeek,Holidays)),WORKDAY.INTL($R126,$F126-1,WorkWeek,Holidays))))))</f>
        <v/>
      </c>
      <c r="T126" s="38" t="str">
        <f aca="false">IF($D126="","",IF($S126&gt;=$O126,NETWORKDAYS.INTL($O126,$S126,WorkWeek,Holidays)-1,1-NETWORKDAYS.INTL($S126,$O126,WorkWeek,Holidays)))</f>
        <v/>
      </c>
      <c r="U126" s="32"/>
      <c r="V126" s="42" t="str">
        <f aca="true">IF($D126="","",IF($AI126,IFERROR(SUM(OFFSET(hdr_WtDone,$AF126+1,0,$AH126,1))/SUM(OFFSET(hdr_WtDur,$AF126+1,0,$AH126,1)),0),IF(N($Q126)&gt;0,1,MIN(1,N($U126)))))</f>
        <v/>
      </c>
      <c r="W126" s="39" t="str">
        <f aca="false">IF($D126="","",IF($V126&gt;=1,"Complete",IF(OR(N($P126)&gt;0,$V126&gt;0),IF($T126&gt;0,"Behind","In Progress"),IF($N126&lt;StatusDate,"Late Start","Not Started"))))</f>
        <v/>
      </c>
      <c r="X126" s="41"/>
      <c r="Y126" s="32"/>
      <c r="Z126" s="43" t="str">
        <f aca="true">IF($D126="","",IF($AI126,SUMPRODUCT(OFFSET(hdr_Work,$AF126+1,0,$AH126,1),OFFSET(hdr_IsLeaf,$AF126+1,0,$AH126,1)),IF($X126="",0,N($F126)*HoursPerDay*IF($Y126="",DefaultUnits,$Y126))))</f>
        <v/>
      </c>
      <c r="AA126" s="44" t="str">
        <f aca="true">IF($D126="","",IF($AI126,SUMPRODUCT(OFFSET(hdr_Cost,$AF126+1,0,$AH126,1),OFFSET(hdr_IsLeaf,$AF126+1,0,$AH126,1)),$Z126*IFERROR(INDEX(res_Rate,MATCH($X126,res_Name,0)),0)))</f>
        <v/>
      </c>
      <c r="AB126" s="38" t="str">
        <f aca="false">IF(OR($D126="",$AI126),"",IF(OR($R126&lt;Sprint1Start,$R126&gt;SprintLastEnd),"Backlog",INDEX(spr_Name,MATCH($R126,spr_Start,1))))</f>
        <v/>
      </c>
      <c r="AC126" s="45" t="str">
        <f aca="false">IF($D126="","",$AT126&amp;IF(AND($AT126&lt;&gt;"",$AU126&lt;&gt;""),",","")&amp;$AU126)</f>
        <v/>
      </c>
      <c r="AD126" s="41"/>
      <c r="AE126" s="46" t="str">
        <f aca="false">IF($D126="","",MAX(1,N($C126)))</f>
        <v/>
      </c>
      <c r="AF126" s="46" t="n">
        <f aca="false">ROW()-ROW(hdr_ID)</f>
        <v>121</v>
      </c>
      <c r="AG126" s="46" t="n">
        <f aca="false">IF(OR($D126="",$AE126&lt;=1),0,IFERROR(LOOKUP(2,1/($AE$5:$AE125=$AE126-1),ROW($AE$5:$AE125)),0))</f>
        <v>0</v>
      </c>
      <c r="AH126" s="46" t="n">
        <f aca="false">IF($D126="",0,COUNTIF(tsk_WBS,$B126&amp;".*"))</f>
        <v>0</v>
      </c>
      <c r="AI126" s="47" t="b">
        <f aca="false">$AH126&gt;0</f>
        <v>0</v>
      </c>
      <c r="AJ126" s="46" t="n">
        <f aca="false">IF(AND($D126&lt;&gt;"",NOT($AI126)),1,0)</f>
        <v>0</v>
      </c>
      <c r="AK126" s="48" t="n">
        <f aca="true">IF(OR(N($G126)=0,$AI126,$D126=""),0,IFERROR(CHOOSE(MATCH(IF($H126="","FS",$H126),{"FS","SS","FF","SF"},0),WORKDAY.INTL(OFFSET(hdr_PlanFinish,MATCH($G126,tsk_ID,0),0),IF(N($F126)=0,0,1)+N($I126),WorkWeek,Holidays),WORKDAY.INTL(OFFSET(hdr_PlanStart,MATCH($G126,tsk_ID,0),0),N($I126),WorkWeek,Holidays),WORKDAY.INTL(WORKDAY.INTL(OFFSET(hdr_PlanFinish,MATCH($G126,tsk_ID,0),0),N($I126),WorkWeek,Holidays),-MAX(0,N($F126)-1),WorkWeek,Holidays),WORKDAY.INTL(WORKDAY.INTL(OFFSET(hdr_PlanStart,MATCH($G126,tsk_ID,0),0),N($I126),WorkWeek,Holidays),-MAX(0,N($F126)-1),WorkWeek,Holidays)),0))</f>
        <v>0</v>
      </c>
      <c r="AL126" s="48" t="n">
        <f aca="true">IF(OR(N($J126)=0,$AI126,$D126=""),0,IFERROR(CHOOSE(MATCH(IF($K126="","FS",$K126),{"FS","SS","FF","SF"},0),WORKDAY.INTL(OFFSET(hdr_PlanFinish,MATCH($J126,tsk_ID,0),0),IF(N($F126)=0,0,1)+N($L126),WorkWeek,Holidays),WORKDAY.INTL(OFFSET(hdr_PlanStart,MATCH($J126,tsk_ID,0),0),N($L126),WorkWeek,Holidays),WORKDAY.INTL(WORKDAY.INTL(OFFSET(hdr_PlanFinish,MATCH($J126,tsk_ID,0),0),N($L126),WorkWeek,Holidays),-MAX(0,N($F126)-1),WorkWeek,Holidays),WORKDAY.INTL(WORKDAY.INTL(OFFSET(hdr_PlanStart,MATCH($J126,tsk_ID,0),0),N($L126),WorkWeek,Holidays),-MAX(0,N($F126)-1),WorkWeek,Holidays)),0))</f>
        <v>0</v>
      </c>
      <c r="AM126" s="48" t="n">
        <f aca="true">IF(OR(N($G126)=0,$AI126,$D126=""),0,IFERROR(CHOOSE(MATCH(IF($H126="","FS",$H126),{"FS","SS","FF","SF"},0),WORKDAY.INTL(OFFSET(hdr_FcFinish,MATCH($G126,tsk_ID,0),0),IF(N($F126)=0,0,1)+N($I126),WorkWeek,Holidays),WORKDAY.INTL(OFFSET(hdr_FcStart,MATCH($G126,tsk_ID,0),0),N($I126),WorkWeek,Holidays),WORKDAY.INTL(WORKDAY.INTL(OFFSET(hdr_FcFinish,MATCH($G126,tsk_ID,0),0),N($I126),WorkWeek,Holidays),-MAX(0,N($F126)-1),WorkWeek,Holidays),WORKDAY.INTL(WORKDAY.INTL(OFFSET(hdr_FcStart,MATCH($G126,tsk_ID,0),0),N($I126),WorkWeek,Holidays),-MAX(0,N($F126)-1),WorkWeek,Holidays)),0))</f>
        <v>0</v>
      </c>
      <c r="AN126" s="48" t="n">
        <f aca="true">IF(OR(N($J126)=0,$AI126,$D126=""),0,IFERROR(CHOOSE(MATCH(IF($K126="","FS",$K126),{"FS","SS","FF","SF"},0),WORKDAY.INTL(OFFSET(hdr_FcFinish,MATCH($J126,tsk_ID,0),0),IF(N($F126)=0,0,1)+N($L126),WorkWeek,Holidays),WORKDAY.INTL(OFFSET(hdr_FcStart,MATCH($J126,tsk_ID,0),0),N($L126),WorkWeek,Holidays),WORKDAY.INTL(WORKDAY.INTL(OFFSET(hdr_FcFinish,MATCH($J126,tsk_ID,0),0),N($L126),WorkWeek,Holidays),-MAX(0,N($F126)-1),WorkWeek,Holidays),WORKDAY.INTL(WORKDAY.INTL(OFFSET(hdr_FcStart,MATCH($J126,tsk_ID,0),0),N($L126),WorkWeek,Holidays),-MAX(0,N($F126)-1),WorkWeek,Holidays)),0))</f>
        <v>0</v>
      </c>
      <c r="AO126" s="48" t="n">
        <f aca="false">IF($AJ126=1,$R126,0)</f>
        <v>0</v>
      </c>
      <c r="AP126" s="48" t="n">
        <f aca="false">IF($AJ126=1,$S126,0)</f>
        <v>0</v>
      </c>
      <c r="AQ126" s="49" t="n">
        <f aca="false">IF(AND($AJ126=1,N($Z126)&gt;0),$Z126/($AP126-$AO126+1),0)</f>
        <v>0</v>
      </c>
      <c r="AR126" s="46" t="n">
        <f aca="false">IF($AJ126=1,MAX(N($F126),0.1),0)</f>
        <v>0</v>
      </c>
      <c r="AS126" s="46" t="n">
        <f aca="false">IF($AJ126=1,$AR126*$V126,0)</f>
        <v>0</v>
      </c>
      <c r="AT126" s="46" t="str">
        <f aca="false">IF(N($G126)=0,"",$G126&amp;IF(AND(IF($H126="","FS",$H126)="FS",N($I126)=0),"",IF($H126="","FS",$H126)&amp;IF(N($I126)=0,"",IF(N($I126)&gt;0,"+","")&amp;N($I126)&amp;"d")))</f>
        <v/>
      </c>
      <c r="AU126" s="46" t="str">
        <f aca="false">IF(N($J126)=0,"",$J126&amp;IF(AND(IF($K126="","FS",$K126)="FS",N($L126)=0),"",IF($K126="","FS",$K126)&amp;IF(N($L126)=0,"",IF(N($L126)&gt;0,"+","")&amp;N($L126)&amp;"d")))</f>
        <v/>
      </c>
      <c r="AV126" s="46" t="str">
        <f aca="false">IF(AND($AJ126=1,N($F126)=0,$V126&lt;1),$S126+$AF126/100000,"")</f>
        <v/>
      </c>
    </row>
    <row r="127" customFormat="false" ht="15" hidden="false" customHeight="false" outlineLevel="0" collapsed="false">
      <c r="A127" s="38" t="str">
        <f aca="false">IF($D127="","",COUNTA($D$6:$D127))</f>
        <v/>
      </c>
      <c r="B127" s="39" t="str">
        <f aca="true">IF($D127="","",IF($AE127=1,COUNTIF($AE$6:$AE127,1)&amp;"",IF($AG127=0,"?",OFFSET(hdr_WBS,$AG127-ROW(hdr_WBS),0)&amp;"."&amp;COUNTIF(INDEX($AE:$AE,$AG127+1):$AE127,$AE127))))</f>
        <v/>
      </c>
      <c r="C127" s="40"/>
      <c r="D127" s="41"/>
      <c r="E127" s="40"/>
      <c r="F127" s="40"/>
      <c r="G127" s="40"/>
      <c r="H127" s="40"/>
      <c r="I127" s="40"/>
      <c r="J127" s="40"/>
      <c r="K127" s="40"/>
      <c r="L127" s="40"/>
      <c r="M127" s="29"/>
      <c r="N127" s="30" t="str">
        <f aca="true">IF($D127="","",IF($AI127,MIN(OFFSET(hdr_PlanStart,$AF127+1,0,$AH127,1)),IF($E127="Manual",IF(N($M127)&gt;0,$M127,ProjectStart),WORKDAY.INTL(MAX(ProjectStart,N($M127),$AK127,$AL127)-1,1,WorkWeek,Holidays))))</f>
        <v/>
      </c>
      <c r="O127" s="30" t="str">
        <f aca="true">IF($D127="","",IF($AI127,MAX(OFFSET(hdr_PlanFinish,$AF127+1,0,$AH127,1)),IF(N($F127)&lt;=0,$N127,WORKDAY.INTL($N127,$F127-1,WorkWeek,Holidays))))</f>
        <v/>
      </c>
      <c r="P127" s="29"/>
      <c r="Q127" s="29"/>
      <c r="R127" s="30" t="str">
        <f aca="true">IF($D127="","",IF($AI127,MIN(OFFSET(hdr_FcStart,$AF127+1,0,$AH127,1)),IF(N($P127)&gt;0,$P127,IF($E127="Manual",IF(N($M127)&gt;0,$M127,ProjectStart),WORKDAY.INTL(MAX(ProjectStart,N($M127),$AM127,$AN127,IF(RescheduleAfterStatus="Yes",StatusDate,0))-1,1,WorkWeek,Holidays)))))</f>
        <v/>
      </c>
      <c r="S127" s="30" t="str">
        <f aca="true">IF($D127="","",IF($AI127,MAX(OFFSET(hdr_FcFinish,$AF127+1,0,$AH127,1)),IF(N($Q127)&gt;0,$Q127,IF(N($F127)&lt;=0,$R127,IF(AND(N($P127)&gt;0,RescheduleAfterStatus="Yes"),MAX(WORKDAY.INTL($R127,$F127-1,WorkWeek,Holidays),WORKDAY.INTL(StatusWorkday,MAX(0,ROUNDUP($F127*(1-MIN(1,N($U127))),0)-1),WorkWeek,Holidays)),WORKDAY.INTL($R127,$F127-1,WorkWeek,Holidays))))))</f>
        <v/>
      </c>
      <c r="T127" s="38" t="str">
        <f aca="false">IF($D127="","",IF($S127&gt;=$O127,NETWORKDAYS.INTL($O127,$S127,WorkWeek,Holidays)-1,1-NETWORKDAYS.INTL($S127,$O127,WorkWeek,Holidays)))</f>
        <v/>
      </c>
      <c r="U127" s="32"/>
      <c r="V127" s="42" t="str">
        <f aca="true">IF($D127="","",IF($AI127,IFERROR(SUM(OFFSET(hdr_WtDone,$AF127+1,0,$AH127,1))/SUM(OFFSET(hdr_WtDur,$AF127+1,0,$AH127,1)),0),IF(N($Q127)&gt;0,1,MIN(1,N($U127)))))</f>
        <v/>
      </c>
      <c r="W127" s="39" t="str">
        <f aca="false">IF($D127="","",IF($V127&gt;=1,"Complete",IF(OR(N($P127)&gt;0,$V127&gt;0),IF($T127&gt;0,"Behind","In Progress"),IF($N127&lt;StatusDate,"Late Start","Not Started"))))</f>
        <v/>
      </c>
      <c r="X127" s="41"/>
      <c r="Y127" s="32"/>
      <c r="Z127" s="43" t="str">
        <f aca="true">IF($D127="","",IF($AI127,SUMPRODUCT(OFFSET(hdr_Work,$AF127+1,0,$AH127,1),OFFSET(hdr_IsLeaf,$AF127+1,0,$AH127,1)),IF($X127="",0,N($F127)*HoursPerDay*IF($Y127="",DefaultUnits,$Y127))))</f>
        <v/>
      </c>
      <c r="AA127" s="44" t="str">
        <f aca="true">IF($D127="","",IF($AI127,SUMPRODUCT(OFFSET(hdr_Cost,$AF127+1,0,$AH127,1),OFFSET(hdr_IsLeaf,$AF127+1,0,$AH127,1)),$Z127*IFERROR(INDEX(res_Rate,MATCH($X127,res_Name,0)),0)))</f>
        <v/>
      </c>
      <c r="AB127" s="38" t="str">
        <f aca="false">IF(OR($D127="",$AI127),"",IF(OR($R127&lt;Sprint1Start,$R127&gt;SprintLastEnd),"Backlog",INDEX(spr_Name,MATCH($R127,spr_Start,1))))</f>
        <v/>
      </c>
      <c r="AC127" s="45" t="str">
        <f aca="false">IF($D127="","",$AT127&amp;IF(AND($AT127&lt;&gt;"",$AU127&lt;&gt;""),",","")&amp;$AU127)</f>
        <v/>
      </c>
      <c r="AD127" s="41"/>
      <c r="AE127" s="46" t="str">
        <f aca="false">IF($D127="","",MAX(1,N($C127)))</f>
        <v/>
      </c>
      <c r="AF127" s="46" t="n">
        <f aca="false">ROW()-ROW(hdr_ID)</f>
        <v>122</v>
      </c>
      <c r="AG127" s="46" t="n">
        <f aca="false">IF(OR($D127="",$AE127&lt;=1),0,IFERROR(LOOKUP(2,1/($AE$5:$AE126=$AE127-1),ROW($AE$5:$AE126)),0))</f>
        <v>0</v>
      </c>
      <c r="AH127" s="46" t="n">
        <f aca="false">IF($D127="",0,COUNTIF(tsk_WBS,$B127&amp;".*"))</f>
        <v>0</v>
      </c>
      <c r="AI127" s="47" t="b">
        <f aca="false">$AH127&gt;0</f>
        <v>0</v>
      </c>
      <c r="AJ127" s="46" t="n">
        <f aca="false">IF(AND($D127&lt;&gt;"",NOT($AI127)),1,0)</f>
        <v>0</v>
      </c>
      <c r="AK127" s="48" t="n">
        <f aca="true">IF(OR(N($G127)=0,$AI127,$D127=""),0,IFERROR(CHOOSE(MATCH(IF($H127="","FS",$H127),{"FS","SS","FF","SF"},0),WORKDAY.INTL(OFFSET(hdr_PlanFinish,MATCH($G127,tsk_ID,0),0),IF(N($F127)=0,0,1)+N($I127),WorkWeek,Holidays),WORKDAY.INTL(OFFSET(hdr_PlanStart,MATCH($G127,tsk_ID,0),0),N($I127),WorkWeek,Holidays),WORKDAY.INTL(WORKDAY.INTL(OFFSET(hdr_PlanFinish,MATCH($G127,tsk_ID,0),0),N($I127),WorkWeek,Holidays),-MAX(0,N($F127)-1),WorkWeek,Holidays),WORKDAY.INTL(WORKDAY.INTL(OFFSET(hdr_PlanStart,MATCH($G127,tsk_ID,0),0),N($I127),WorkWeek,Holidays),-MAX(0,N($F127)-1),WorkWeek,Holidays)),0))</f>
        <v>0</v>
      </c>
      <c r="AL127" s="48" t="n">
        <f aca="true">IF(OR(N($J127)=0,$AI127,$D127=""),0,IFERROR(CHOOSE(MATCH(IF($K127="","FS",$K127),{"FS","SS","FF","SF"},0),WORKDAY.INTL(OFFSET(hdr_PlanFinish,MATCH($J127,tsk_ID,0),0),IF(N($F127)=0,0,1)+N($L127),WorkWeek,Holidays),WORKDAY.INTL(OFFSET(hdr_PlanStart,MATCH($J127,tsk_ID,0),0),N($L127),WorkWeek,Holidays),WORKDAY.INTL(WORKDAY.INTL(OFFSET(hdr_PlanFinish,MATCH($J127,tsk_ID,0),0),N($L127),WorkWeek,Holidays),-MAX(0,N($F127)-1),WorkWeek,Holidays),WORKDAY.INTL(WORKDAY.INTL(OFFSET(hdr_PlanStart,MATCH($J127,tsk_ID,0),0),N($L127),WorkWeek,Holidays),-MAX(0,N($F127)-1),WorkWeek,Holidays)),0))</f>
        <v>0</v>
      </c>
      <c r="AM127" s="48" t="n">
        <f aca="true">IF(OR(N($G127)=0,$AI127,$D127=""),0,IFERROR(CHOOSE(MATCH(IF($H127="","FS",$H127),{"FS","SS","FF","SF"},0),WORKDAY.INTL(OFFSET(hdr_FcFinish,MATCH($G127,tsk_ID,0),0),IF(N($F127)=0,0,1)+N($I127),WorkWeek,Holidays),WORKDAY.INTL(OFFSET(hdr_FcStart,MATCH($G127,tsk_ID,0),0),N($I127),WorkWeek,Holidays),WORKDAY.INTL(WORKDAY.INTL(OFFSET(hdr_FcFinish,MATCH($G127,tsk_ID,0),0),N($I127),WorkWeek,Holidays),-MAX(0,N($F127)-1),WorkWeek,Holidays),WORKDAY.INTL(WORKDAY.INTL(OFFSET(hdr_FcStart,MATCH($G127,tsk_ID,0),0),N($I127),WorkWeek,Holidays),-MAX(0,N($F127)-1),WorkWeek,Holidays)),0))</f>
        <v>0</v>
      </c>
      <c r="AN127" s="48" t="n">
        <f aca="true">IF(OR(N($J127)=0,$AI127,$D127=""),0,IFERROR(CHOOSE(MATCH(IF($K127="","FS",$K127),{"FS","SS","FF","SF"},0),WORKDAY.INTL(OFFSET(hdr_FcFinish,MATCH($J127,tsk_ID,0),0),IF(N($F127)=0,0,1)+N($L127),WorkWeek,Holidays),WORKDAY.INTL(OFFSET(hdr_FcStart,MATCH($J127,tsk_ID,0),0),N($L127),WorkWeek,Holidays),WORKDAY.INTL(WORKDAY.INTL(OFFSET(hdr_FcFinish,MATCH($J127,tsk_ID,0),0),N($L127),WorkWeek,Holidays),-MAX(0,N($F127)-1),WorkWeek,Holidays),WORKDAY.INTL(WORKDAY.INTL(OFFSET(hdr_FcStart,MATCH($J127,tsk_ID,0),0),N($L127),WorkWeek,Holidays),-MAX(0,N($F127)-1),WorkWeek,Holidays)),0))</f>
        <v>0</v>
      </c>
      <c r="AO127" s="48" t="n">
        <f aca="false">IF($AJ127=1,$R127,0)</f>
        <v>0</v>
      </c>
      <c r="AP127" s="48" t="n">
        <f aca="false">IF($AJ127=1,$S127,0)</f>
        <v>0</v>
      </c>
      <c r="AQ127" s="49" t="n">
        <f aca="false">IF(AND($AJ127=1,N($Z127)&gt;0),$Z127/($AP127-$AO127+1),0)</f>
        <v>0</v>
      </c>
      <c r="AR127" s="46" t="n">
        <f aca="false">IF($AJ127=1,MAX(N($F127),0.1),0)</f>
        <v>0</v>
      </c>
      <c r="AS127" s="46" t="n">
        <f aca="false">IF($AJ127=1,$AR127*$V127,0)</f>
        <v>0</v>
      </c>
      <c r="AT127" s="46" t="str">
        <f aca="false">IF(N($G127)=0,"",$G127&amp;IF(AND(IF($H127="","FS",$H127)="FS",N($I127)=0),"",IF($H127="","FS",$H127)&amp;IF(N($I127)=0,"",IF(N($I127)&gt;0,"+","")&amp;N($I127)&amp;"d")))</f>
        <v/>
      </c>
      <c r="AU127" s="46" t="str">
        <f aca="false">IF(N($J127)=0,"",$J127&amp;IF(AND(IF($K127="","FS",$K127)="FS",N($L127)=0),"",IF($K127="","FS",$K127)&amp;IF(N($L127)=0,"",IF(N($L127)&gt;0,"+","")&amp;N($L127)&amp;"d")))</f>
        <v/>
      </c>
      <c r="AV127" s="46" t="str">
        <f aca="false">IF(AND($AJ127=1,N($F127)=0,$V127&lt;1),$S127+$AF127/100000,"")</f>
        <v/>
      </c>
    </row>
    <row r="128" customFormat="false" ht="15" hidden="false" customHeight="false" outlineLevel="0" collapsed="false">
      <c r="A128" s="38" t="str">
        <f aca="false">IF($D128="","",COUNTA($D$6:$D128))</f>
        <v/>
      </c>
      <c r="B128" s="39" t="str">
        <f aca="true">IF($D128="","",IF($AE128=1,COUNTIF($AE$6:$AE128,1)&amp;"",IF($AG128=0,"?",OFFSET(hdr_WBS,$AG128-ROW(hdr_WBS),0)&amp;"."&amp;COUNTIF(INDEX($AE:$AE,$AG128+1):$AE128,$AE128))))</f>
        <v/>
      </c>
      <c r="C128" s="40"/>
      <c r="D128" s="41"/>
      <c r="E128" s="40"/>
      <c r="F128" s="40"/>
      <c r="G128" s="40"/>
      <c r="H128" s="40"/>
      <c r="I128" s="40"/>
      <c r="J128" s="40"/>
      <c r="K128" s="40"/>
      <c r="L128" s="40"/>
      <c r="M128" s="29"/>
      <c r="N128" s="30" t="str">
        <f aca="true">IF($D128="","",IF($AI128,MIN(OFFSET(hdr_PlanStart,$AF128+1,0,$AH128,1)),IF($E128="Manual",IF(N($M128)&gt;0,$M128,ProjectStart),WORKDAY.INTL(MAX(ProjectStart,N($M128),$AK128,$AL128)-1,1,WorkWeek,Holidays))))</f>
        <v/>
      </c>
      <c r="O128" s="30" t="str">
        <f aca="true">IF($D128="","",IF($AI128,MAX(OFFSET(hdr_PlanFinish,$AF128+1,0,$AH128,1)),IF(N($F128)&lt;=0,$N128,WORKDAY.INTL($N128,$F128-1,WorkWeek,Holidays))))</f>
        <v/>
      </c>
      <c r="P128" s="29"/>
      <c r="Q128" s="29"/>
      <c r="R128" s="30" t="str">
        <f aca="true">IF($D128="","",IF($AI128,MIN(OFFSET(hdr_FcStart,$AF128+1,0,$AH128,1)),IF(N($P128)&gt;0,$P128,IF($E128="Manual",IF(N($M128)&gt;0,$M128,ProjectStart),WORKDAY.INTL(MAX(ProjectStart,N($M128),$AM128,$AN128,IF(RescheduleAfterStatus="Yes",StatusDate,0))-1,1,WorkWeek,Holidays)))))</f>
        <v/>
      </c>
      <c r="S128" s="30" t="str">
        <f aca="true">IF($D128="","",IF($AI128,MAX(OFFSET(hdr_FcFinish,$AF128+1,0,$AH128,1)),IF(N($Q128)&gt;0,$Q128,IF(N($F128)&lt;=0,$R128,IF(AND(N($P128)&gt;0,RescheduleAfterStatus="Yes"),MAX(WORKDAY.INTL($R128,$F128-1,WorkWeek,Holidays),WORKDAY.INTL(StatusWorkday,MAX(0,ROUNDUP($F128*(1-MIN(1,N($U128))),0)-1),WorkWeek,Holidays)),WORKDAY.INTL($R128,$F128-1,WorkWeek,Holidays))))))</f>
        <v/>
      </c>
      <c r="T128" s="38" t="str">
        <f aca="false">IF($D128="","",IF($S128&gt;=$O128,NETWORKDAYS.INTL($O128,$S128,WorkWeek,Holidays)-1,1-NETWORKDAYS.INTL($S128,$O128,WorkWeek,Holidays)))</f>
        <v/>
      </c>
      <c r="U128" s="32"/>
      <c r="V128" s="42" t="str">
        <f aca="true">IF($D128="","",IF($AI128,IFERROR(SUM(OFFSET(hdr_WtDone,$AF128+1,0,$AH128,1))/SUM(OFFSET(hdr_WtDur,$AF128+1,0,$AH128,1)),0),IF(N($Q128)&gt;0,1,MIN(1,N($U128)))))</f>
        <v/>
      </c>
      <c r="W128" s="39" t="str">
        <f aca="false">IF($D128="","",IF($V128&gt;=1,"Complete",IF(OR(N($P128)&gt;0,$V128&gt;0),IF($T128&gt;0,"Behind","In Progress"),IF($N128&lt;StatusDate,"Late Start","Not Started"))))</f>
        <v/>
      </c>
      <c r="X128" s="41"/>
      <c r="Y128" s="32"/>
      <c r="Z128" s="43" t="str">
        <f aca="true">IF($D128="","",IF($AI128,SUMPRODUCT(OFFSET(hdr_Work,$AF128+1,0,$AH128,1),OFFSET(hdr_IsLeaf,$AF128+1,0,$AH128,1)),IF($X128="",0,N($F128)*HoursPerDay*IF($Y128="",DefaultUnits,$Y128))))</f>
        <v/>
      </c>
      <c r="AA128" s="44" t="str">
        <f aca="true">IF($D128="","",IF($AI128,SUMPRODUCT(OFFSET(hdr_Cost,$AF128+1,0,$AH128,1),OFFSET(hdr_IsLeaf,$AF128+1,0,$AH128,1)),$Z128*IFERROR(INDEX(res_Rate,MATCH($X128,res_Name,0)),0)))</f>
        <v/>
      </c>
      <c r="AB128" s="38" t="str">
        <f aca="false">IF(OR($D128="",$AI128),"",IF(OR($R128&lt;Sprint1Start,$R128&gt;SprintLastEnd),"Backlog",INDEX(spr_Name,MATCH($R128,spr_Start,1))))</f>
        <v/>
      </c>
      <c r="AC128" s="45" t="str">
        <f aca="false">IF($D128="","",$AT128&amp;IF(AND($AT128&lt;&gt;"",$AU128&lt;&gt;""),",","")&amp;$AU128)</f>
        <v/>
      </c>
      <c r="AD128" s="41"/>
      <c r="AE128" s="46" t="str">
        <f aca="false">IF($D128="","",MAX(1,N($C128)))</f>
        <v/>
      </c>
      <c r="AF128" s="46" t="n">
        <f aca="false">ROW()-ROW(hdr_ID)</f>
        <v>123</v>
      </c>
      <c r="AG128" s="46" t="n">
        <f aca="false">IF(OR($D128="",$AE128&lt;=1),0,IFERROR(LOOKUP(2,1/($AE$5:$AE127=$AE128-1),ROW($AE$5:$AE127)),0))</f>
        <v>0</v>
      </c>
      <c r="AH128" s="46" t="n">
        <f aca="false">IF($D128="",0,COUNTIF(tsk_WBS,$B128&amp;".*"))</f>
        <v>0</v>
      </c>
      <c r="AI128" s="47" t="b">
        <f aca="false">$AH128&gt;0</f>
        <v>0</v>
      </c>
      <c r="AJ128" s="46" t="n">
        <f aca="false">IF(AND($D128&lt;&gt;"",NOT($AI128)),1,0)</f>
        <v>0</v>
      </c>
      <c r="AK128" s="48" t="n">
        <f aca="true">IF(OR(N($G128)=0,$AI128,$D128=""),0,IFERROR(CHOOSE(MATCH(IF($H128="","FS",$H128),{"FS","SS","FF","SF"},0),WORKDAY.INTL(OFFSET(hdr_PlanFinish,MATCH($G128,tsk_ID,0),0),IF(N($F128)=0,0,1)+N($I128),WorkWeek,Holidays),WORKDAY.INTL(OFFSET(hdr_PlanStart,MATCH($G128,tsk_ID,0),0),N($I128),WorkWeek,Holidays),WORKDAY.INTL(WORKDAY.INTL(OFFSET(hdr_PlanFinish,MATCH($G128,tsk_ID,0),0),N($I128),WorkWeek,Holidays),-MAX(0,N($F128)-1),WorkWeek,Holidays),WORKDAY.INTL(WORKDAY.INTL(OFFSET(hdr_PlanStart,MATCH($G128,tsk_ID,0),0),N($I128),WorkWeek,Holidays),-MAX(0,N($F128)-1),WorkWeek,Holidays)),0))</f>
        <v>0</v>
      </c>
      <c r="AL128" s="48" t="n">
        <f aca="true">IF(OR(N($J128)=0,$AI128,$D128=""),0,IFERROR(CHOOSE(MATCH(IF($K128="","FS",$K128),{"FS","SS","FF","SF"},0),WORKDAY.INTL(OFFSET(hdr_PlanFinish,MATCH($J128,tsk_ID,0),0),IF(N($F128)=0,0,1)+N($L128),WorkWeek,Holidays),WORKDAY.INTL(OFFSET(hdr_PlanStart,MATCH($J128,tsk_ID,0),0),N($L128),WorkWeek,Holidays),WORKDAY.INTL(WORKDAY.INTL(OFFSET(hdr_PlanFinish,MATCH($J128,tsk_ID,0),0),N($L128),WorkWeek,Holidays),-MAX(0,N($F128)-1),WorkWeek,Holidays),WORKDAY.INTL(WORKDAY.INTL(OFFSET(hdr_PlanStart,MATCH($J128,tsk_ID,0),0),N($L128),WorkWeek,Holidays),-MAX(0,N($F128)-1),WorkWeek,Holidays)),0))</f>
        <v>0</v>
      </c>
      <c r="AM128" s="48" t="n">
        <f aca="true">IF(OR(N($G128)=0,$AI128,$D128=""),0,IFERROR(CHOOSE(MATCH(IF($H128="","FS",$H128),{"FS","SS","FF","SF"},0),WORKDAY.INTL(OFFSET(hdr_FcFinish,MATCH($G128,tsk_ID,0),0),IF(N($F128)=0,0,1)+N($I128),WorkWeek,Holidays),WORKDAY.INTL(OFFSET(hdr_FcStart,MATCH($G128,tsk_ID,0),0),N($I128),WorkWeek,Holidays),WORKDAY.INTL(WORKDAY.INTL(OFFSET(hdr_FcFinish,MATCH($G128,tsk_ID,0),0),N($I128),WorkWeek,Holidays),-MAX(0,N($F128)-1),WorkWeek,Holidays),WORKDAY.INTL(WORKDAY.INTL(OFFSET(hdr_FcStart,MATCH($G128,tsk_ID,0),0),N($I128),WorkWeek,Holidays),-MAX(0,N($F128)-1),WorkWeek,Holidays)),0))</f>
        <v>0</v>
      </c>
      <c r="AN128" s="48" t="n">
        <f aca="true">IF(OR(N($J128)=0,$AI128,$D128=""),0,IFERROR(CHOOSE(MATCH(IF($K128="","FS",$K128),{"FS","SS","FF","SF"},0),WORKDAY.INTL(OFFSET(hdr_FcFinish,MATCH($J128,tsk_ID,0),0),IF(N($F128)=0,0,1)+N($L128),WorkWeek,Holidays),WORKDAY.INTL(OFFSET(hdr_FcStart,MATCH($J128,tsk_ID,0),0),N($L128),WorkWeek,Holidays),WORKDAY.INTL(WORKDAY.INTL(OFFSET(hdr_FcFinish,MATCH($J128,tsk_ID,0),0),N($L128),WorkWeek,Holidays),-MAX(0,N($F128)-1),WorkWeek,Holidays),WORKDAY.INTL(WORKDAY.INTL(OFFSET(hdr_FcStart,MATCH($J128,tsk_ID,0),0),N($L128),WorkWeek,Holidays),-MAX(0,N($F128)-1),WorkWeek,Holidays)),0))</f>
        <v>0</v>
      </c>
      <c r="AO128" s="48" t="n">
        <f aca="false">IF($AJ128=1,$R128,0)</f>
        <v>0</v>
      </c>
      <c r="AP128" s="48" t="n">
        <f aca="false">IF($AJ128=1,$S128,0)</f>
        <v>0</v>
      </c>
      <c r="AQ128" s="49" t="n">
        <f aca="false">IF(AND($AJ128=1,N($Z128)&gt;0),$Z128/($AP128-$AO128+1),0)</f>
        <v>0</v>
      </c>
      <c r="AR128" s="46" t="n">
        <f aca="false">IF($AJ128=1,MAX(N($F128),0.1),0)</f>
        <v>0</v>
      </c>
      <c r="AS128" s="46" t="n">
        <f aca="false">IF($AJ128=1,$AR128*$V128,0)</f>
        <v>0</v>
      </c>
      <c r="AT128" s="46" t="str">
        <f aca="false">IF(N($G128)=0,"",$G128&amp;IF(AND(IF($H128="","FS",$H128)="FS",N($I128)=0),"",IF($H128="","FS",$H128)&amp;IF(N($I128)=0,"",IF(N($I128)&gt;0,"+","")&amp;N($I128)&amp;"d")))</f>
        <v/>
      </c>
      <c r="AU128" s="46" t="str">
        <f aca="false">IF(N($J128)=0,"",$J128&amp;IF(AND(IF($K128="","FS",$K128)="FS",N($L128)=0),"",IF($K128="","FS",$K128)&amp;IF(N($L128)=0,"",IF(N($L128)&gt;0,"+","")&amp;N($L128)&amp;"d")))</f>
        <v/>
      </c>
      <c r="AV128" s="46" t="str">
        <f aca="false">IF(AND($AJ128=1,N($F128)=0,$V128&lt;1),$S128+$AF128/100000,"")</f>
        <v/>
      </c>
    </row>
    <row r="129" customFormat="false" ht="15" hidden="false" customHeight="false" outlineLevel="0" collapsed="false">
      <c r="A129" s="38" t="str">
        <f aca="false">IF($D129="","",COUNTA($D$6:$D129))</f>
        <v/>
      </c>
      <c r="B129" s="39" t="str">
        <f aca="true">IF($D129="","",IF($AE129=1,COUNTIF($AE$6:$AE129,1)&amp;"",IF($AG129=0,"?",OFFSET(hdr_WBS,$AG129-ROW(hdr_WBS),0)&amp;"."&amp;COUNTIF(INDEX($AE:$AE,$AG129+1):$AE129,$AE129))))</f>
        <v/>
      </c>
      <c r="C129" s="40"/>
      <c r="D129" s="41"/>
      <c r="E129" s="40"/>
      <c r="F129" s="40"/>
      <c r="G129" s="40"/>
      <c r="H129" s="40"/>
      <c r="I129" s="40"/>
      <c r="J129" s="40"/>
      <c r="K129" s="40"/>
      <c r="L129" s="40"/>
      <c r="M129" s="29"/>
      <c r="N129" s="30" t="str">
        <f aca="true">IF($D129="","",IF($AI129,MIN(OFFSET(hdr_PlanStart,$AF129+1,0,$AH129,1)),IF($E129="Manual",IF(N($M129)&gt;0,$M129,ProjectStart),WORKDAY.INTL(MAX(ProjectStart,N($M129),$AK129,$AL129)-1,1,WorkWeek,Holidays))))</f>
        <v/>
      </c>
      <c r="O129" s="30" t="str">
        <f aca="true">IF($D129="","",IF($AI129,MAX(OFFSET(hdr_PlanFinish,$AF129+1,0,$AH129,1)),IF(N($F129)&lt;=0,$N129,WORKDAY.INTL($N129,$F129-1,WorkWeek,Holidays))))</f>
        <v/>
      </c>
      <c r="P129" s="29"/>
      <c r="Q129" s="29"/>
      <c r="R129" s="30" t="str">
        <f aca="true">IF($D129="","",IF($AI129,MIN(OFFSET(hdr_FcStart,$AF129+1,0,$AH129,1)),IF(N($P129)&gt;0,$P129,IF($E129="Manual",IF(N($M129)&gt;0,$M129,ProjectStart),WORKDAY.INTL(MAX(ProjectStart,N($M129),$AM129,$AN129,IF(RescheduleAfterStatus="Yes",StatusDate,0))-1,1,WorkWeek,Holidays)))))</f>
        <v/>
      </c>
      <c r="S129" s="30" t="str">
        <f aca="true">IF($D129="","",IF($AI129,MAX(OFFSET(hdr_FcFinish,$AF129+1,0,$AH129,1)),IF(N($Q129)&gt;0,$Q129,IF(N($F129)&lt;=0,$R129,IF(AND(N($P129)&gt;0,RescheduleAfterStatus="Yes"),MAX(WORKDAY.INTL($R129,$F129-1,WorkWeek,Holidays),WORKDAY.INTL(StatusWorkday,MAX(0,ROUNDUP($F129*(1-MIN(1,N($U129))),0)-1),WorkWeek,Holidays)),WORKDAY.INTL($R129,$F129-1,WorkWeek,Holidays))))))</f>
        <v/>
      </c>
      <c r="T129" s="38" t="str">
        <f aca="false">IF($D129="","",IF($S129&gt;=$O129,NETWORKDAYS.INTL($O129,$S129,WorkWeek,Holidays)-1,1-NETWORKDAYS.INTL($S129,$O129,WorkWeek,Holidays)))</f>
        <v/>
      </c>
      <c r="U129" s="32"/>
      <c r="V129" s="42" t="str">
        <f aca="true">IF($D129="","",IF($AI129,IFERROR(SUM(OFFSET(hdr_WtDone,$AF129+1,0,$AH129,1))/SUM(OFFSET(hdr_WtDur,$AF129+1,0,$AH129,1)),0),IF(N($Q129)&gt;0,1,MIN(1,N($U129)))))</f>
        <v/>
      </c>
      <c r="W129" s="39" t="str">
        <f aca="false">IF($D129="","",IF($V129&gt;=1,"Complete",IF(OR(N($P129)&gt;0,$V129&gt;0),IF($T129&gt;0,"Behind","In Progress"),IF($N129&lt;StatusDate,"Late Start","Not Started"))))</f>
        <v/>
      </c>
      <c r="X129" s="41"/>
      <c r="Y129" s="32"/>
      <c r="Z129" s="43" t="str">
        <f aca="true">IF($D129="","",IF($AI129,SUMPRODUCT(OFFSET(hdr_Work,$AF129+1,0,$AH129,1),OFFSET(hdr_IsLeaf,$AF129+1,0,$AH129,1)),IF($X129="",0,N($F129)*HoursPerDay*IF($Y129="",DefaultUnits,$Y129))))</f>
        <v/>
      </c>
      <c r="AA129" s="44" t="str">
        <f aca="true">IF($D129="","",IF($AI129,SUMPRODUCT(OFFSET(hdr_Cost,$AF129+1,0,$AH129,1),OFFSET(hdr_IsLeaf,$AF129+1,0,$AH129,1)),$Z129*IFERROR(INDEX(res_Rate,MATCH($X129,res_Name,0)),0)))</f>
        <v/>
      </c>
      <c r="AB129" s="38" t="str">
        <f aca="false">IF(OR($D129="",$AI129),"",IF(OR($R129&lt;Sprint1Start,$R129&gt;SprintLastEnd),"Backlog",INDEX(spr_Name,MATCH($R129,spr_Start,1))))</f>
        <v/>
      </c>
      <c r="AC129" s="45" t="str">
        <f aca="false">IF($D129="","",$AT129&amp;IF(AND($AT129&lt;&gt;"",$AU129&lt;&gt;""),",","")&amp;$AU129)</f>
        <v/>
      </c>
      <c r="AD129" s="41"/>
      <c r="AE129" s="46" t="str">
        <f aca="false">IF($D129="","",MAX(1,N($C129)))</f>
        <v/>
      </c>
      <c r="AF129" s="46" t="n">
        <f aca="false">ROW()-ROW(hdr_ID)</f>
        <v>124</v>
      </c>
      <c r="AG129" s="46" t="n">
        <f aca="false">IF(OR($D129="",$AE129&lt;=1),0,IFERROR(LOOKUP(2,1/($AE$5:$AE128=$AE129-1),ROW($AE$5:$AE128)),0))</f>
        <v>0</v>
      </c>
      <c r="AH129" s="46" t="n">
        <f aca="false">IF($D129="",0,COUNTIF(tsk_WBS,$B129&amp;".*"))</f>
        <v>0</v>
      </c>
      <c r="AI129" s="47" t="b">
        <f aca="false">$AH129&gt;0</f>
        <v>0</v>
      </c>
      <c r="AJ129" s="46" t="n">
        <f aca="false">IF(AND($D129&lt;&gt;"",NOT($AI129)),1,0)</f>
        <v>0</v>
      </c>
      <c r="AK129" s="48" t="n">
        <f aca="true">IF(OR(N($G129)=0,$AI129,$D129=""),0,IFERROR(CHOOSE(MATCH(IF($H129="","FS",$H129),{"FS","SS","FF","SF"},0),WORKDAY.INTL(OFFSET(hdr_PlanFinish,MATCH($G129,tsk_ID,0),0),IF(N($F129)=0,0,1)+N($I129),WorkWeek,Holidays),WORKDAY.INTL(OFFSET(hdr_PlanStart,MATCH($G129,tsk_ID,0),0),N($I129),WorkWeek,Holidays),WORKDAY.INTL(WORKDAY.INTL(OFFSET(hdr_PlanFinish,MATCH($G129,tsk_ID,0),0),N($I129),WorkWeek,Holidays),-MAX(0,N($F129)-1),WorkWeek,Holidays),WORKDAY.INTL(WORKDAY.INTL(OFFSET(hdr_PlanStart,MATCH($G129,tsk_ID,0),0),N($I129),WorkWeek,Holidays),-MAX(0,N($F129)-1),WorkWeek,Holidays)),0))</f>
        <v>0</v>
      </c>
      <c r="AL129" s="48" t="n">
        <f aca="true">IF(OR(N($J129)=0,$AI129,$D129=""),0,IFERROR(CHOOSE(MATCH(IF($K129="","FS",$K129),{"FS","SS","FF","SF"},0),WORKDAY.INTL(OFFSET(hdr_PlanFinish,MATCH($J129,tsk_ID,0),0),IF(N($F129)=0,0,1)+N($L129),WorkWeek,Holidays),WORKDAY.INTL(OFFSET(hdr_PlanStart,MATCH($J129,tsk_ID,0),0),N($L129),WorkWeek,Holidays),WORKDAY.INTL(WORKDAY.INTL(OFFSET(hdr_PlanFinish,MATCH($J129,tsk_ID,0),0),N($L129),WorkWeek,Holidays),-MAX(0,N($F129)-1),WorkWeek,Holidays),WORKDAY.INTL(WORKDAY.INTL(OFFSET(hdr_PlanStart,MATCH($J129,tsk_ID,0),0),N($L129),WorkWeek,Holidays),-MAX(0,N($F129)-1),WorkWeek,Holidays)),0))</f>
        <v>0</v>
      </c>
      <c r="AM129" s="48" t="n">
        <f aca="true">IF(OR(N($G129)=0,$AI129,$D129=""),0,IFERROR(CHOOSE(MATCH(IF($H129="","FS",$H129),{"FS","SS","FF","SF"},0),WORKDAY.INTL(OFFSET(hdr_FcFinish,MATCH($G129,tsk_ID,0),0),IF(N($F129)=0,0,1)+N($I129),WorkWeek,Holidays),WORKDAY.INTL(OFFSET(hdr_FcStart,MATCH($G129,tsk_ID,0),0),N($I129),WorkWeek,Holidays),WORKDAY.INTL(WORKDAY.INTL(OFFSET(hdr_FcFinish,MATCH($G129,tsk_ID,0),0),N($I129),WorkWeek,Holidays),-MAX(0,N($F129)-1),WorkWeek,Holidays),WORKDAY.INTL(WORKDAY.INTL(OFFSET(hdr_FcStart,MATCH($G129,tsk_ID,0),0),N($I129),WorkWeek,Holidays),-MAX(0,N($F129)-1),WorkWeek,Holidays)),0))</f>
        <v>0</v>
      </c>
      <c r="AN129" s="48" t="n">
        <f aca="true">IF(OR(N($J129)=0,$AI129,$D129=""),0,IFERROR(CHOOSE(MATCH(IF($K129="","FS",$K129),{"FS","SS","FF","SF"},0),WORKDAY.INTL(OFFSET(hdr_FcFinish,MATCH($J129,tsk_ID,0),0),IF(N($F129)=0,0,1)+N($L129),WorkWeek,Holidays),WORKDAY.INTL(OFFSET(hdr_FcStart,MATCH($J129,tsk_ID,0),0),N($L129),WorkWeek,Holidays),WORKDAY.INTL(WORKDAY.INTL(OFFSET(hdr_FcFinish,MATCH($J129,tsk_ID,0),0),N($L129),WorkWeek,Holidays),-MAX(0,N($F129)-1),WorkWeek,Holidays),WORKDAY.INTL(WORKDAY.INTL(OFFSET(hdr_FcStart,MATCH($J129,tsk_ID,0),0),N($L129),WorkWeek,Holidays),-MAX(0,N($F129)-1),WorkWeek,Holidays)),0))</f>
        <v>0</v>
      </c>
      <c r="AO129" s="48" t="n">
        <f aca="false">IF($AJ129=1,$R129,0)</f>
        <v>0</v>
      </c>
      <c r="AP129" s="48" t="n">
        <f aca="false">IF($AJ129=1,$S129,0)</f>
        <v>0</v>
      </c>
      <c r="AQ129" s="49" t="n">
        <f aca="false">IF(AND($AJ129=1,N($Z129)&gt;0),$Z129/($AP129-$AO129+1),0)</f>
        <v>0</v>
      </c>
      <c r="AR129" s="46" t="n">
        <f aca="false">IF($AJ129=1,MAX(N($F129),0.1),0)</f>
        <v>0</v>
      </c>
      <c r="AS129" s="46" t="n">
        <f aca="false">IF($AJ129=1,$AR129*$V129,0)</f>
        <v>0</v>
      </c>
      <c r="AT129" s="46" t="str">
        <f aca="false">IF(N($G129)=0,"",$G129&amp;IF(AND(IF($H129="","FS",$H129)="FS",N($I129)=0),"",IF($H129="","FS",$H129)&amp;IF(N($I129)=0,"",IF(N($I129)&gt;0,"+","")&amp;N($I129)&amp;"d")))</f>
        <v/>
      </c>
      <c r="AU129" s="46" t="str">
        <f aca="false">IF(N($J129)=0,"",$J129&amp;IF(AND(IF($K129="","FS",$K129)="FS",N($L129)=0),"",IF($K129="","FS",$K129)&amp;IF(N($L129)=0,"",IF(N($L129)&gt;0,"+","")&amp;N($L129)&amp;"d")))</f>
        <v/>
      </c>
      <c r="AV129" s="46" t="str">
        <f aca="false">IF(AND($AJ129=1,N($F129)=0,$V129&lt;1),$S129+$AF129/100000,"")</f>
        <v/>
      </c>
    </row>
    <row r="130" customFormat="false" ht="15" hidden="false" customHeight="false" outlineLevel="0" collapsed="false">
      <c r="A130" s="38" t="str">
        <f aca="false">IF($D130="","",COUNTA($D$6:$D130))</f>
        <v/>
      </c>
      <c r="B130" s="39" t="str">
        <f aca="true">IF($D130="","",IF($AE130=1,COUNTIF($AE$6:$AE130,1)&amp;"",IF($AG130=0,"?",OFFSET(hdr_WBS,$AG130-ROW(hdr_WBS),0)&amp;"."&amp;COUNTIF(INDEX($AE:$AE,$AG130+1):$AE130,$AE130))))</f>
        <v/>
      </c>
      <c r="C130" s="40"/>
      <c r="D130" s="41"/>
      <c r="E130" s="40"/>
      <c r="F130" s="40"/>
      <c r="G130" s="40"/>
      <c r="H130" s="40"/>
      <c r="I130" s="40"/>
      <c r="J130" s="40"/>
      <c r="K130" s="40"/>
      <c r="L130" s="40"/>
      <c r="M130" s="29"/>
      <c r="N130" s="30" t="str">
        <f aca="true">IF($D130="","",IF($AI130,MIN(OFFSET(hdr_PlanStart,$AF130+1,0,$AH130,1)),IF($E130="Manual",IF(N($M130)&gt;0,$M130,ProjectStart),WORKDAY.INTL(MAX(ProjectStart,N($M130),$AK130,$AL130)-1,1,WorkWeek,Holidays))))</f>
        <v/>
      </c>
      <c r="O130" s="30" t="str">
        <f aca="true">IF($D130="","",IF($AI130,MAX(OFFSET(hdr_PlanFinish,$AF130+1,0,$AH130,1)),IF(N($F130)&lt;=0,$N130,WORKDAY.INTL($N130,$F130-1,WorkWeek,Holidays))))</f>
        <v/>
      </c>
      <c r="P130" s="29"/>
      <c r="Q130" s="29"/>
      <c r="R130" s="30" t="str">
        <f aca="true">IF($D130="","",IF($AI130,MIN(OFFSET(hdr_FcStart,$AF130+1,0,$AH130,1)),IF(N($P130)&gt;0,$P130,IF($E130="Manual",IF(N($M130)&gt;0,$M130,ProjectStart),WORKDAY.INTL(MAX(ProjectStart,N($M130),$AM130,$AN130,IF(RescheduleAfterStatus="Yes",StatusDate,0))-1,1,WorkWeek,Holidays)))))</f>
        <v/>
      </c>
      <c r="S130" s="30" t="str">
        <f aca="true">IF($D130="","",IF($AI130,MAX(OFFSET(hdr_FcFinish,$AF130+1,0,$AH130,1)),IF(N($Q130)&gt;0,$Q130,IF(N($F130)&lt;=0,$R130,IF(AND(N($P130)&gt;0,RescheduleAfterStatus="Yes"),MAX(WORKDAY.INTL($R130,$F130-1,WorkWeek,Holidays),WORKDAY.INTL(StatusWorkday,MAX(0,ROUNDUP($F130*(1-MIN(1,N($U130))),0)-1),WorkWeek,Holidays)),WORKDAY.INTL($R130,$F130-1,WorkWeek,Holidays))))))</f>
        <v/>
      </c>
      <c r="T130" s="38" t="str">
        <f aca="false">IF($D130="","",IF($S130&gt;=$O130,NETWORKDAYS.INTL($O130,$S130,WorkWeek,Holidays)-1,1-NETWORKDAYS.INTL($S130,$O130,WorkWeek,Holidays)))</f>
        <v/>
      </c>
      <c r="U130" s="32"/>
      <c r="V130" s="42" t="str">
        <f aca="true">IF($D130="","",IF($AI130,IFERROR(SUM(OFFSET(hdr_WtDone,$AF130+1,0,$AH130,1))/SUM(OFFSET(hdr_WtDur,$AF130+1,0,$AH130,1)),0),IF(N($Q130)&gt;0,1,MIN(1,N($U130)))))</f>
        <v/>
      </c>
      <c r="W130" s="39" t="str">
        <f aca="false">IF($D130="","",IF($V130&gt;=1,"Complete",IF(OR(N($P130)&gt;0,$V130&gt;0),IF($T130&gt;0,"Behind","In Progress"),IF($N130&lt;StatusDate,"Late Start","Not Started"))))</f>
        <v/>
      </c>
      <c r="X130" s="41"/>
      <c r="Y130" s="32"/>
      <c r="Z130" s="43" t="str">
        <f aca="true">IF($D130="","",IF($AI130,SUMPRODUCT(OFFSET(hdr_Work,$AF130+1,0,$AH130,1),OFFSET(hdr_IsLeaf,$AF130+1,0,$AH130,1)),IF($X130="",0,N($F130)*HoursPerDay*IF($Y130="",DefaultUnits,$Y130))))</f>
        <v/>
      </c>
      <c r="AA130" s="44" t="str">
        <f aca="true">IF($D130="","",IF($AI130,SUMPRODUCT(OFFSET(hdr_Cost,$AF130+1,0,$AH130,1),OFFSET(hdr_IsLeaf,$AF130+1,0,$AH130,1)),$Z130*IFERROR(INDEX(res_Rate,MATCH($X130,res_Name,0)),0)))</f>
        <v/>
      </c>
      <c r="AB130" s="38" t="str">
        <f aca="false">IF(OR($D130="",$AI130),"",IF(OR($R130&lt;Sprint1Start,$R130&gt;SprintLastEnd),"Backlog",INDEX(spr_Name,MATCH($R130,spr_Start,1))))</f>
        <v/>
      </c>
      <c r="AC130" s="45" t="str">
        <f aca="false">IF($D130="","",$AT130&amp;IF(AND($AT130&lt;&gt;"",$AU130&lt;&gt;""),",","")&amp;$AU130)</f>
        <v/>
      </c>
      <c r="AD130" s="41"/>
      <c r="AE130" s="46" t="str">
        <f aca="false">IF($D130="","",MAX(1,N($C130)))</f>
        <v/>
      </c>
      <c r="AF130" s="46" t="n">
        <f aca="false">ROW()-ROW(hdr_ID)</f>
        <v>125</v>
      </c>
      <c r="AG130" s="46" t="n">
        <f aca="false">IF(OR($D130="",$AE130&lt;=1),0,IFERROR(LOOKUP(2,1/($AE$5:$AE129=$AE130-1),ROW($AE$5:$AE129)),0))</f>
        <v>0</v>
      </c>
      <c r="AH130" s="46" t="n">
        <f aca="false">IF($D130="",0,COUNTIF(tsk_WBS,$B130&amp;".*"))</f>
        <v>0</v>
      </c>
      <c r="AI130" s="47" t="b">
        <f aca="false">$AH130&gt;0</f>
        <v>0</v>
      </c>
      <c r="AJ130" s="46" t="n">
        <f aca="false">IF(AND($D130&lt;&gt;"",NOT($AI130)),1,0)</f>
        <v>0</v>
      </c>
      <c r="AK130" s="48" t="n">
        <f aca="true">IF(OR(N($G130)=0,$AI130,$D130=""),0,IFERROR(CHOOSE(MATCH(IF($H130="","FS",$H130),{"FS","SS","FF","SF"},0),WORKDAY.INTL(OFFSET(hdr_PlanFinish,MATCH($G130,tsk_ID,0),0),IF(N($F130)=0,0,1)+N($I130),WorkWeek,Holidays),WORKDAY.INTL(OFFSET(hdr_PlanStart,MATCH($G130,tsk_ID,0),0),N($I130),WorkWeek,Holidays),WORKDAY.INTL(WORKDAY.INTL(OFFSET(hdr_PlanFinish,MATCH($G130,tsk_ID,0),0),N($I130),WorkWeek,Holidays),-MAX(0,N($F130)-1),WorkWeek,Holidays),WORKDAY.INTL(WORKDAY.INTL(OFFSET(hdr_PlanStart,MATCH($G130,tsk_ID,0),0),N($I130),WorkWeek,Holidays),-MAX(0,N($F130)-1),WorkWeek,Holidays)),0))</f>
        <v>0</v>
      </c>
      <c r="AL130" s="48" t="n">
        <f aca="true">IF(OR(N($J130)=0,$AI130,$D130=""),0,IFERROR(CHOOSE(MATCH(IF($K130="","FS",$K130),{"FS","SS","FF","SF"},0),WORKDAY.INTL(OFFSET(hdr_PlanFinish,MATCH($J130,tsk_ID,0),0),IF(N($F130)=0,0,1)+N($L130),WorkWeek,Holidays),WORKDAY.INTL(OFFSET(hdr_PlanStart,MATCH($J130,tsk_ID,0),0),N($L130),WorkWeek,Holidays),WORKDAY.INTL(WORKDAY.INTL(OFFSET(hdr_PlanFinish,MATCH($J130,tsk_ID,0),0),N($L130),WorkWeek,Holidays),-MAX(0,N($F130)-1),WorkWeek,Holidays),WORKDAY.INTL(WORKDAY.INTL(OFFSET(hdr_PlanStart,MATCH($J130,tsk_ID,0),0),N($L130),WorkWeek,Holidays),-MAX(0,N($F130)-1),WorkWeek,Holidays)),0))</f>
        <v>0</v>
      </c>
      <c r="AM130" s="48" t="n">
        <f aca="true">IF(OR(N($G130)=0,$AI130,$D130=""),0,IFERROR(CHOOSE(MATCH(IF($H130="","FS",$H130),{"FS","SS","FF","SF"},0),WORKDAY.INTL(OFFSET(hdr_FcFinish,MATCH($G130,tsk_ID,0),0),IF(N($F130)=0,0,1)+N($I130),WorkWeek,Holidays),WORKDAY.INTL(OFFSET(hdr_FcStart,MATCH($G130,tsk_ID,0),0),N($I130),WorkWeek,Holidays),WORKDAY.INTL(WORKDAY.INTL(OFFSET(hdr_FcFinish,MATCH($G130,tsk_ID,0),0),N($I130),WorkWeek,Holidays),-MAX(0,N($F130)-1),WorkWeek,Holidays),WORKDAY.INTL(WORKDAY.INTL(OFFSET(hdr_FcStart,MATCH($G130,tsk_ID,0),0),N($I130),WorkWeek,Holidays),-MAX(0,N($F130)-1),WorkWeek,Holidays)),0))</f>
        <v>0</v>
      </c>
      <c r="AN130" s="48" t="n">
        <f aca="true">IF(OR(N($J130)=0,$AI130,$D130=""),0,IFERROR(CHOOSE(MATCH(IF($K130="","FS",$K130),{"FS","SS","FF","SF"},0),WORKDAY.INTL(OFFSET(hdr_FcFinish,MATCH($J130,tsk_ID,0),0),IF(N($F130)=0,0,1)+N($L130),WorkWeek,Holidays),WORKDAY.INTL(OFFSET(hdr_FcStart,MATCH($J130,tsk_ID,0),0),N($L130),WorkWeek,Holidays),WORKDAY.INTL(WORKDAY.INTL(OFFSET(hdr_FcFinish,MATCH($J130,tsk_ID,0),0),N($L130),WorkWeek,Holidays),-MAX(0,N($F130)-1),WorkWeek,Holidays),WORKDAY.INTL(WORKDAY.INTL(OFFSET(hdr_FcStart,MATCH($J130,tsk_ID,0),0),N($L130),WorkWeek,Holidays),-MAX(0,N($F130)-1),WorkWeek,Holidays)),0))</f>
        <v>0</v>
      </c>
      <c r="AO130" s="48" t="n">
        <f aca="false">IF($AJ130=1,$R130,0)</f>
        <v>0</v>
      </c>
      <c r="AP130" s="48" t="n">
        <f aca="false">IF($AJ130=1,$S130,0)</f>
        <v>0</v>
      </c>
      <c r="AQ130" s="49" t="n">
        <f aca="false">IF(AND($AJ130=1,N($Z130)&gt;0),$Z130/($AP130-$AO130+1),0)</f>
        <v>0</v>
      </c>
      <c r="AR130" s="46" t="n">
        <f aca="false">IF($AJ130=1,MAX(N($F130),0.1),0)</f>
        <v>0</v>
      </c>
      <c r="AS130" s="46" t="n">
        <f aca="false">IF($AJ130=1,$AR130*$V130,0)</f>
        <v>0</v>
      </c>
      <c r="AT130" s="46" t="str">
        <f aca="false">IF(N($G130)=0,"",$G130&amp;IF(AND(IF($H130="","FS",$H130)="FS",N($I130)=0),"",IF($H130="","FS",$H130)&amp;IF(N($I130)=0,"",IF(N($I130)&gt;0,"+","")&amp;N($I130)&amp;"d")))</f>
        <v/>
      </c>
      <c r="AU130" s="46" t="str">
        <f aca="false">IF(N($J130)=0,"",$J130&amp;IF(AND(IF($K130="","FS",$K130)="FS",N($L130)=0),"",IF($K130="","FS",$K130)&amp;IF(N($L130)=0,"",IF(N($L130)&gt;0,"+","")&amp;N($L130)&amp;"d")))</f>
        <v/>
      </c>
      <c r="AV130" s="46" t="str">
        <f aca="false">IF(AND($AJ130=1,N($F130)=0,$V130&lt;1),$S130+$AF130/100000,"")</f>
        <v/>
      </c>
    </row>
    <row r="131" customFormat="false" ht="15" hidden="false" customHeight="false" outlineLevel="0" collapsed="false">
      <c r="A131" s="38" t="str">
        <f aca="false">IF($D131="","",COUNTA($D$6:$D131))</f>
        <v/>
      </c>
      <c r="B131" s="39" t="str">
        <f aca="true">IF($D131="","",IF($AE131=1,COUNTIF($AE$6:$AE131,1)&amp;"",IF($AG131=0,"?",OFFSET(hdr_WBS,$AG131-ROW(hdr_WBS),0)&amp;"."&amp;COUNTIF(INDEX($AE:$AE,$AG131+1):$AE131,$AE131))))</f>
        <v/>
      </c>
      <c r="C131" s="40"/>
      <c r="D131" s="41"/>
      <c r="E131" s="40"/>
      <c r="F131" s="40"/>
      <c r="G131" s="40"/>
      <c r="H131" s="40"/>
      <c r="I131" s="40"/>
      <c r="J131" s="40"/>
      <c r="K131" s="40"/>
      <c r="L131" s="40"/>
      <c r="M131" s="29"/>
      <c r="N131" s="30" t="str">
        <f aca="true">IF($D131="","",IF($AI131,MIN(OFFSET(hdr_PlanStart,$AF131+1,0,$AH131,1)),IF($E131="Manual",IF(N($M131)&gt;0,$M131,ProjectStart),WORKDAY.INTL(MAX(ProjectStart,N($M131),$AK131,$AL131)-1,1,WorkWeek,Holidays))))</f>
        <v/>
      </c>
      <c r="O131" s="30" t="str">
        <f aca="true">IF($D131="","",IF($AI131,MAX(OFFSET(hdr_PlanFinish,$AF131+1,0,$AH131,1)),IF(N($F131)&lt;=0,$N131,WORKDAY.INTL($N131,$F131-1,WorkWeek,Holidays))))</f>
        <v/>
      </c>
      <c r="P131" s="29"/>
      <c r="Q131" s="29"/>
      <c r="R131" s="30" t="str">
        <f aca="true">IF($D131="","",IF($AI131,MIN(OFFSET(hdr_FcStart,$AF131+1,0,$AH131,1)),IF(N($P131)&gt;0,$P131,IF($E131="Manual",IF(N($M131)&gt;0,$M131,ProjectStart),WORKDAY.INTL(MAX(ProjectStart,N($M131),$AM131,$AN131,IF(RescheduleAfterStatus="Yes",StatusDate,0))-1,1,WorkWeek,Holidays)))))</f>
        <v/>
      </c>
      <c r="S131" s="30" t="str">
        <f aca="true">IF($D131="","",IF($AI131,MAX(OFFSET(hdr_FcFinish,$AF131+1,0,$AH131,1)),IF(N($Q131)&gt;0,$Q131,IF(N($F131)&lt;=0,$R131,IF(AND(N($P131)&gt;0,RescheduleAfterStatus="Yes"),MAX(WORKDAY.INTL($R131,$F131-1,WorkWeek,Holidays),WORKDAY.INTL(StatusWorkday,MAX(0,ROUNDUP($F131*(1-MIN(1,N($U131))),0)-1),WorkWeek,Holidays)),WORKDAY.INTL($R131,$F131-1,WorkWeek,Holidays))))))</f>
        <v/>
      </c>
      <c r="T131" s="38" t="str">
        <f aca="false">IF($D131="","",IF($S131&gt;=$O131,NETWORKDAYS.INTL($O131,$S131,WorkWeek,Holidays)-1,1-NETWORKDAYS.INTL($S131,$O131,WorkWeek,Holidays)))</f>
        <v/>
      </c>
      <c r="U131" s="32"/>
      <c r="V131" s="42" t="str">
        <f aca="true">IF($D131="","",IF($AI131,IFERROR(SUM(OFFSET(hdr_WtDone,$AF131+1,0,$AH131,1))/SUM(OFFSET(hdr_WtDur,$AF131+1,0,$AH131,1)),0),IF(N($Q131)&gt;0,1,MIN(1,N($U131)))))</f>
        <v/>
      </c>
      <c r="W131" s="39" t="str">
        <f aca="false">IF($D131="","",IF($V131&gt;=1,"Complete",IF(OR(N($P131)&gt;0,$V131&gt;0),IF($T131&gt;0,"Behind","In Progress"),IF($N131&lt;StatusDate,"Late Start","Not Started"))))</f>
        <v/>
      </c>
      <c r="X131" s="41"/>
      <c r="Y131" s="32"/>
      <c r="Z131" s="43" t="str">
        <f aca="true">IF($D131="","",IF($AI131,SUMPRODUCT(OFFSET(hdr_Work,$AF131+1,0,$AH131,1),OFFSET(hdr_IsLeaf,$AF131+1,0,$AH131,1)),IF($X131="",0,N($F131)*HoursPerDay*IF($Y131="",DefaultUnits,$Y131))))</f>
        <v/>
      </c>
      <c r="AA131" s="44" t="str">
        <f aca="true">IF($D131="","",IF($AI131,SUMPRODUCT(OFFSET(hdr_Cost,$AF131+1,0,$AH131,1),OFFSET(hdr_IsLeaf,$AF131+1,0,$AH131,1)),$Z131*IFERROR(INDEX(res_Rate,MATCH($X131,res_Name,0)),0)))</f>
        <v/>
      </c>
      <c r="AB131" s="38" t="str">
        <f aca="false">IF(OR($D131="",$AI131),"",IF(OR($R131&lt;Sprint1Start,$R131&gt;SprintLastEnd),"Backlog",INDEX(spr_Name,MATCH($R131,spr_Start,1))))</f>
        <v/>
      </c>
      <c r="AC131" s="45" t="str">
        <f aca="false">IF($D131="","",$AT131&amp;IF(AND($AT131&lt;&gt;"",$AU131&lt;&gt;""),",","")&amp;$AU131)</f>
        <v/>
      </c>
      <c r="AD131" s="41"/>
      <c r="AE131" s="46" t="str">
        <f aca="false">IF($D131="","",MAX(1,N($C131)))</f>
        <v/>
      </c>
      <c r="AF131" s="46" t="n">
        <f aca="false">ROW()-ROW(hdr_ID)</f>
        <v>126</v>
      </c>
      <c r="AG131" s="46" t="n">
        <f aca="false">IF(OR($D131="",$AE131&lt;=1),0,IFERROR(LOOKUP(2,1/($AE$5:$AE130=$AE131-1),ROW($AE$5:$AE130)),0))</f>
        <v>0</v>
      </c>
      <c r="AH131" s="46" t="n">
        <f aca="false">IF($D131="",0,COUNTIF(tsk_WBS,$B131&amp;".*"))</f>
        <v>0</v>
      </c>
      <c r="AI131" s="47" t="b">
        <f aca="false">$AH131&gt;0</f>
        <v>0</v>
      </c>
      <c r="AJ131" s="46" t="n">
        <f aca="false">IF(AND($D131&lt;&gt;"",NOT($AI131)),1,0)</f>
        <v>0</v>
      </c>
      <c r="AK131" s="48" t="n">
        <f aca="true">IF(OR(N($G131)=0,$AI131,$D131=""),0,IFERROR(CHOOSE(MATCH(IF($H131="","FS",$H131),{"FS","SS","FF","SF"},0),WORKDAY.INTL(OFFSET(hdr_PlanFinish,MATCH($G131,tsk_ID,0),0),IF(N($F131)=0,0,1)+N($I131),WorkWeek,Holidays),WORKDAY.INTL(OFFSET(hdr_PlanStart,MATCH($G131,tsk_ID,0),0),N($I131),WorkWeek,Holidays),WORKDAY.INTL(WORKDAY.INTL(OFFSET(hdr_PlanFinish,MATCH($G131,tsk_ID,0),0),N($I131),WorkWeek,Holidays),-MAX(0,N($F131)-1),WorkWeek,Holidays),WORKDAY.INTL(WORKDAY.INTL(OFFSET(hdr_PlanStart,MATCH($G131,tsk_ID,0),0),N($I131),WorkWeek,Holidays),-MAX(0,N($F131)-1),WorkWeek,Holidays)),0))</f>
        <v>0</v>
      </c>
      <c r="AL131" s="48" t="n">
        <f aca="true">IF(OR(N($J131)=0,$AI131,$D131=""),0,IFERROR(CHOOSE(MATCH(IF($K131="","FS",$K131),{"FS","SS","FF","SF"},0),WORKDAY.INTL(OFFSET(hdr_PlanFinish,MATCH($J131,tsk_ID,0),0),IF(N($F131)=0,0,1)+N($L131),WorkWeek,Holidays),WORKDAY.INTL(OFFSET(hdr_PlanStart,MATCH($J131,tsk_ID,0),0),N($L131),WorkWeek,Holidays),WORKDAY.INTL(WORKDAY.INTL(OFFSET(hdr_PlanFinish,MATCH($J131,tsk_ID,0),0),N($L131),WorkWeek,Holidays),-MAX(0,N($F131)-1),WorkWeek,Holidays),WORKDAY.INTL(WORKDAY.INTL(OFFSET(hdr_PlanStart,MATCH($J131,tsk_ID,0),0),N($L131),WorkWeek,Holidays),-MAX(0,N($F131)-1),WorkWeek,Holidays)),0))</f>
        <v>0</v>
      </c>
      <c r="AM131" s="48" t="n">
        <f aca="true">IF(OR(N($G131)=0,$AI131,$D131=""),0,IFERROR(CHOOSE(MATCH(IF($H131="","FS",$H131),{"FS","SS","FF","SF"},0),WORKDAY.INTL(OFFSET(hdr_FcFinish,MATCH($G131,tsk_ID,0),0),IF(N($F131)=0,0,1)+N($I131),WorkWeek,Holidays),WORKDAY.INTL(OFFSET(hdr_FcStart,MATCH($G131,tsk_ID,0),0),N($I131),WorkWeek,Holidays),WORKDAY.INTL(WORKDAY.INTL(OFFSET(hdr_FcFinish,MATCH($G131,tsk_ID,0),0),N($I131),WorkWeek,Holidays),-MAX(0,N($F131)-1),WorkWeek,Holidays),WORKDAY.INTL(WORKDAY.INTL(OFFSET(hdr_FcStart,MATCH($G131,tsk_ID,0),0),N($I131),WorkWeek,Holidays),-MAX(0,N($F131)-1),WorkWeek,Holidays)),0))</f>
        <v>0</v>
      </c>
      <c r="AN131" s="48" t="n">
        <f aca="true">IF(OR(N($J131)=0,$AI131,$D131=""),0,IFERROR(CHOOSE(MATCH(IF($K131="","FS",$K131),{"FS","SS","FF","SF"},0),WORKDAY.INTL(OFFSET(hdr_FcFinish,MATCH($J131,tsk_ID,0),0),IF(N($F131)=0,0,1)+N($L131),WorkWeek,Holidays),WORKDAY.INTL(OFFSET(hdr_FcStart,MATCH($J131,tsk_ID,0),0),N($L131),WorkWeek,Holidays),WORKDAY.INTL(WORKDAY.INTL(OFFSET(hdr_FcFinish,MATCH($J131,tsk_ID,0),0),N($L131),WorkWeek,Holidays),-MAX(0,N($F131)-1),WorkWeek,Holidays),WORKDAY.INTL(WORKDAY.INTL(OFFSET(hdr_FcStart,MATCH($J131,tsk_ID,0),0),N($L131),WorkWeek,Holidays),-MAX(0,N($F131)-1),WorkWeek,Holidays)),0))</f>
        <v>0</v>
      </c>
      <c r="AO131" s="48" t="n">
        <f aca="false">IF($AJ131=1,$R131,0)</f>
        <v>0</v>
      </c>
      <c r="AP131" s="48" t="n">
        <f aca="false">IF($AJ131=1,$S131,0)</f>
        <v>0</v>
      </c>
      <c r="AQ131" s="49" t="n">
        <f aca="false">IF(AND($AJ131=1,N($Z131)&gt;0),$Z131/($AP131-$AO131+1),0)</f>
        <v>0</v>
      </c>
      <c r="AR131" s="46" t="n">
        <f aca="false">IF($AJ131=1,MAX(N($F131),0.1),0)</f>
        <v>0</v>
      </c>
      <c r="AS131" s="46" t="n">
        <f aca="false">IF($AJ131=1,$AR131*$V131,0)</f>
        <v>0</v>
      </c>
      <c r="AT131" s="46" t="str">
        <f aca="false">IF(N($G131)=0,"",$G131&amp;IF(AND(IF($H131="","FS",$H131)="FS",N($I131)=0),"",IF($H131="","FS",$H131)&amp;IF(N($I131)=0,"",IF(N($I131)&gt;0,"+","")&amp;N($I131)&amp;"d")))</f>
        <v/>
      </c>
      <c r="AU131" s="46" t="str">
        <f aca="false">IF(N($J131)=0,"",$J131&amp;IF(AND(IF($K131="","FS",$K131)="FS",N($L131)=0),"",IF($K131="","FS",$K131)&amp;IF(N($L131)=0,"",IF(N($L131)&gt;0,"+","")&amp;N($L131)&amp;"d")))</f>
        <v/>
      </c>
      <c r="AV131" s="46" t="str">
        <f aca="false">IF(AND($AJ131=1,N($F131)=0,$V131&lt;1),$S131+$AF131/100000,"")</f>
        <v/>
      </c>
    </row>
    <row r="132" customFormat="false" ht="15" hidden="false" customHeight="false" outlineLevel="0" collapsed="false">
      <c r="A132" s="38" t="str">
        <f aca="false">IF($D132="","",COUNTA($D$6:$D132))</f>
        <v/>
      </c>
      <c r="B132" s="39" t="str">
        <f aca="true">IF($D132="","",IF($AE132=1,COUNTIF($AE$6:$AE132,1)&amp;"",IF($AG132=0,"?",OFFSET(hdr_WBS,$AG132-ROW(hdr_WBS),0)&amp;"."&amp;COUNTIF(INDEX($AE:$AE,$AG132+1):$AE132,$AE132))))</f>
        <v/>
      </c>
      <c r="C132" s="40"/>
      <c r="D132" s="41"/>
      <c r="E132" s="40"/>
      <c r="F132" s="40"/>
      <c r="G132" s="40"/>
      <c r="H132" s="40"/>
      <c r="I132" s="40"/>
      <c r="J132" s="40"/>
      <c r="K132" s="40"/>
      <c r="L132" s="40"/>
      <c r="M132" s="29"/>
      <c r="N132" s="30" t="str">
        <f aca="true">IF($D132="","",IF($AI132,MIN(OFFSET(hdr_PlanStart,$AF132+1,0,$AH132,1)),IF($E132="Manual",IF(N($M132)&gt;0,$M132,ProjectStart),WORKDAY.INTL(MAX(ProjectStart,N($M132),$AK132,$AL132)-1,1,WorkWeek,Holidays))))</f>
        <v/>
      </c>
      <c r="O132" s="30" t="str">
        <f aca="true">IF($D132="","",IF($AI132,MAX(OFFSET(hdr_PlanFinish,$AF132+1,0,$AH132,1)),IF(N($F132)&lt;=0,$N132,WORKDAY.INTL($N132,$F132-1,WorkWeek,Holidays))))</f>
        <v/>
      </c>
      <c r="P132" s="29"/>
      <c r="Q132" s="29"/>
      <c r="R132" s="30" t="str">
        <f aca="true">IF($D132="","",IF($AI132,MIN(OFFSET(hdr_FcStart,$AF132+1,0,$AH132,1)),IF(N($P132)&gt;0,$P132,IF($E132="Manual",IF(N($M132)&gt;0,$M132,ProjectStart),WORKDAY.INTL(MAX(ProjectStart,N($M132),$AM132,$AN132,IF(RescheduleAfterStatus="Yes",StatusDate,0))-1,1,WorkWeek,Holidays)))))</f>
        <v/>
      </c>
      <c r="S132" s="30" t="str">
        <f aca="true">IF($D132="","",IF($AI132,MAX(OFFSET(hdr_FcFinish,$AF132+1,0,$AH132,1)),IF(N($Q132)&gt;0,$Q132,IF(N($F132)&lt;=0,$R132,IF(AND(N($P132)&gt;0,RescheduleAfterStatus="Yes"),MAX(WORKDAY.INTL($R132,$F132-1,WorkWeek,Holidays),WORKDAY.INTL(StatusWorkday,MAX(0,ROUNDUP($F132*(1-MIN(1,N($U132))),0)-1),WorkWeek,Holidays)),WORKDAY.INTL($R132,$F132-1,WorkWeek,Holidays))))))</f>
        <v/>
      </c>
      <c r="T132" s="38" t="str">
        <f aca="false">IF($D132="","",IF($S132&gt;=$O132,NETWORKDAYS.INTL($O132,$S132,WorkWeek,Holidays)-1,1-NETWORKDAYS.INTL($S132,$O132,WorkWeek,Holidays)))</f>
        <v/>
      </c>
      <c r="U132" s="32"/>
      <c r="V132" s="42" t="str">
        <f aca="true">IF($D132="","",IF($AI132,IFERROR(SUM(OFFSET(hdr_WtDone,$AF132+1,0,$AH132,1))/SUM(OFFSET(hdr_WtDur,$AF132+1,0,$AH132,1)),0),IF(N($Q132)&gt;0,1,MIN(1,N($U132)))))</f>
        <v/>
      </c>
      <c r="W132" s="39" t="str">
        <f aca="false">IF($D132="","",IF($V132&gt;=1,"Complete",IF(OR(N($P132)&gt;0,$V132&gt;0),IF($T132&gt;0,"Behind","In Progress"),IF($N132&lt;StatusDate,"Late Start","Not Started"))))</f>
        <v/>
      </c>
      <c r="X132" s="41"/>
      <c r="Y132" s="32"/>
      <c r="Z132" s="43" t="str">
        <f aca="true">IF($D132="","",IF($AI132,SUMPRODUCT(OFFSET(hdr_Work,$AF132+1,0,$AH132,1),OFFSET(hdr_IsLeaf,$AF132+1,0,$AH132,1)),IF($X132="",0,N($F132)*HoursPerDay*IF($Y132="",DefaultUnits,$Y132))))</f>
        <v/>
      </c>
      <c r="AA132" s="44" t="str">
        <f aca="true">IF($D132="","",IF($AI132,SUMPRODUCT(OFFSET(hdr_Cost,$AF132+1,0,$AH132,1),OFFSET(hdr_IsLeaf,$AF132+1,0,$AH132,1)),$Z132*IFERROR(INDEX(res_Rate,MATCH($X132,res_Name,0)),0)))</f>
        <v/>
      </c>
      <c r="AB132" s="38" t="str">
        <f aca="false">IF(OR($D132="",$AI132),"",IF(OR($R132&lt;Sprint1Start,$R132&gt;SprintLastEnd),"Backlog",INDEX(spr_Name,MATCH($R132,spr_Start,1))))</f>
        <v/>
      </c>
      <c r="AC132" s="45" t="str">
        <f aca="false">IF($D132="","",$AT132&amp;IF(AND($AT132&lt;&gt;"",$AU132&lt;&gt;""),",","")&amp;$AU132)</f>
        <v/>
      </c>
      <c r="AD132" s="41"/>
      <c r="AE132" s="46" t="str">
        <f aca="false">IF($D132="","",MAX(1,N($C132)))</f>
        <v/>
      </c>
      <c r="AF132" s="46" t="n">
        <f aca="false">ROW()-ROW(hdr_ID)</f>
        <v>127</v>
      </c>
      <c r="AG132" s="46" t="n">
        <f aca="false">IF(OR($D132="",$AE132&lt;=1),0,IFERROR(LOOKUP(2,1/($AE$5:$AE131=$AE132-1),ROW($AE$5:$AE131)),0))</f>
        <v>0</v>
      </c>
      <c r="AH132" s="46" t="n">
        <f aca="false">IF($D132="",0,COUNTIF(tsk_WBS,$B132&amp;".*"))</f>
        <v>0</v>
      </c>
      <c r="AI132" s="47" t="b">
        <f aca="false">$AH132&gt;0</f>
        <v>0</v>
      </c>
      <c r="AJ132" s="46" t="n">
        <f aca="false">IF(AND($D132&lt;&gt;"",NOT($AI132)),1,0)</f>
        <v>0</v>
      </c>
      <c r="AK132" s="48" t="n">
        <f aca="true">IF(OR(N($G132)=0,$AI132,$D132=""),0,IFERROR(CHOOSE(MATCH(IF($H132="","FS",$H132),{"FS","SS","FF","SF"},0),WORKDAY.INTL(OFFSET(hdr_PlanFinish,MATCH($G132,tsk_ID,0),0),IF(N($F132)=0,0,1)+N($I132),WorkWeek,Holidays),WORKDAY.INTL(OFFSET(hdr_PlanStart,MATCH($G132,tsk_ID,0),0),N($I132),WorkWeek,Holidays),WORKDAY.INTL(WORKDAY.INTL(OFFSET(hdr_PlanFinish,MATCH($G132,tsk_ID,0),0),N($I132),WorkWeek,Holidays),-MAX(0,N($F132)-1),WorkWeek,Holidays),WORKDAY.INTL(WORKDAY.INTL(OFFSET(hdr_PlanStart,MATCH($G132,tsk_ID,0),0),N($I132),WorkWeek,Holidays),-MAX(0,N($F132)-1),WorkWeek,Holidays)),0))</f>
        <v>0</v>
      </c>
      <c r="AL132" s="48" t="n">
        <f aca="true">IF(OR(N($J132)=0,$AI132,$D132=""),0,IFERROR(CHOOSE(MATCH(IF($K132="","FS",$K132),{"FS","SS","FF","SF"},0),WORKDAY.INTL(OFFSET(hdr_PlanFinish,MATCH($J132,tsk_ID,0),0),IF(N($F132)=0,0,1)+N($L132),WorkWeek,Holidays),WORKDAY.INTL(OFFSET(hdr_PlanStart,MATCH($J132,tsk_ID,0),0),N($L132),WorkWeek,Holidays),WORKDAY.INTL(WORKDAY.INTL(OFFSET(hdr_PlanFinish,MATCH($J132,tsk_ID,0),0),N($L132),WorkWeek,Holidays),-MAX(0,N($F132)-1),WorkWeek,Holidays),WORKDAY.INTL(WORKDAY.INTL(OFFSET(hdr_PlanStart,MATCH($J132,tsk_ID,0),0),N($L132),WorkWeek,Holidays),-MAX(0,N($F132)-1),WorkWeek,Holidays)),0))</f>
        <v>0</v>
      </c>
      <c r="AM132" s="48" t="n">
        <f aca="true">IF(OR(N($G132)=0,$AI132,$D132=""),0,IFERROR(CHOOSE(MATCH(IF($H132="","FS",$H132),{"FS","SS","FF","SF"},0),WORKDAY.INTL(OFFSET(hdr_FcFinish,MATCH($G132,tsk_ID,0),0),IF(N($F132)=0,0,1)+N($I132),WorkWeek,Holidays),WORKDAY.INTL(OFFSET(hdr_FcStart,MATCH($G132,tsk_ID,0),0),N($I132),WorkWeek,Holidays),WORKDAY.INTL(WORKDAY.INTL(OFFSET(hdr_FcFinish,MATCH($G132,tsk_ID,0),0),N($I132),WorkWeek,Holidays),-MAX(0,N($F132)-1),WorkWeek,Holidays),WORKDAY.INTL(WORKDAY.INTL(OFFSET(hdr_FcStart,MATCH($G132,tsk_ID,0),0),N($I132),WorkWeek,Holidays),-MAX(0,N($F132)-1),WorkWeek,Holidays)),0))</f>
        <v>0</v>
      </c>
      <c r="AN132" s="48" t="n">
        <f aca="true">IF(OR(N($J132)=0,$AI132,$D132=""),0,IFERROR(CHOOSE(MATCH(IF($K132="","FS",$K132),{"FS","SS","FF","SF"},0),WORKDAY.INTL(OFFSET(hdr_FcFinish,MATCH($J132,tsk_ID,0),0),IF(N($F132)=0,0,1)+N($L132),WorkWeek,Holidays),WORKDAY.INTL(OFFSET(hdr_FcStart,MATCH($J132,tsk_ID,0),0),N($L132),WorkWeek,Holidays),WORKDAY.INTL(WORKDAY.INTL(OFFSET(hdr_FcFinish,MATCH($J132,tsk_ID,0),0),N($L132),WorkWeek,Holidays),-MAX(0,N($F132)-1),WorkWeek,Holidays),WORKDAY.INTL(WORKDAY.INTL(OFFSET(hdr_FcStart,MATCH($J132,tsk_ID,0),0),N($L132),WorkWeek,Holidays),-MAX(0,N($F132)-1),WorkWeek,Holidays)),0))</f>
        <v>0</v>
      </c>
      <c r="AO132" s="48" t="n">
        <f aca="false">IF($AJ132=1,$R132,0)</f>
        <v>0</v>
      </c>
      <c r="AP132" s="48" t="n">
        <f aca="false">IF($AJ132=1,$S132,0)</f>
        <v>0</v>
      </c>
      <c r="AQ132" s="49" t="n">
        <f aca="false">IF(AND($AJ132=1,N($Z132)&gt;0),$Z132/($AP132-$AO132+1),0)</f>
        <v>0</v>
      </c>
      <c r="AR132" s="46" t="n">
        <f aca="false">IF($AJ132=1,MAX(N($F132),0.1),0)</f>
        <v>0</v>
      </c>
      <c r="AS132" s="46" t="n">
        <f aca="false">IF($AJ132=1,$AR132*$V132,0)</f>
        <v>0</v>
      </c>
      <c r="AT132" s="46" t="str">
        <f aca="false">IF(N($G132)=0,"",$G132&amp;IF(AND(IF($H132="","FS",$H132)="FS",N($I132)=0),"",IF($H132="","FS",$H132)&amp;IF(N($I132)=0,"",IF(N($I132)&gt;0,"+","")&amp;N($I132)&amp;"d")))</f>
        <v/>
      </c>
      <c r="AU132" s="46" t="str">
        <f aca="false">IF(N($J132)=0,"",$J132&amp;IF(AND(IF($K132="","FS",$K132)="FS",N($L132)=0),"",IF($K132="","FS",$K132)&amp;IF(N($L132)=0,"",IF(N($L132)&gt;0,"+","")&amp;N($L132)&amp;"d")))</f>
        <v/>
      </c>
      <c r="AV132" s="46" t="str">
        <f aca="false">IF(AND($AJ132=1,N($F132)=0,$V132&lt;1),$S132+$AF132/100000,"")</f>
        <v/>
      </c>
    </row>
    <row r="133" customFormat="false" ht="15" hidden="false" customHeight="false" outlineLevel="0" collapsed="false">
      <c r="A133" s="38" t="str">
        <f aca="false">IF($D133="","",COUNTA($D$6:$D133))</f>
        <v/>
      </c>
      <c r="B133" s="39" t="str">
        <f aca="true">IF($D133="","",IF($AE133=1,COUNTIF($AE$6:$AE133,1)&amp;"",IF($AG133=0,"?",OFFSET(hdr_WBS,$AG133-ROW(hdr_WBS),0)&amp;"."&amp;COUNTIF(INDEX($AE:$AE,$AG133+1):$AE133,$AE133))))</f>
        <v/>
      </c>
      <c r="C133" s="40"/>
      <c r="D133" s="41"/>
      <c r="E133" s="40"/>
      <c r="F133" s="40"/>
      <c r="G133" s="40"/>
      <c r="H133" s="40"/>
      <c r="I133" s="40"/>
      <c r="J133" s="40"/>
      <c r="K133" s="40"/>
      <c r="L133" s="40"/>
      <c r="M133" s="29"/>
      <c r="N133" s="30" t="str">
        <f aca="true">IF($D133="","",IF($AI133,MIN(OFFSET(hdr_PlanStart,$AF133+1,0,$AH133,1)),IF($E133="Manual",IF(N($M133)&gt;0,$M133,ProjectStart),WORKDAY.INTL(MAX(ProjectStart,N($M133),$AK133,$AL133)-1,1,WorkWeek,Holidays))))</f>
        <v/>
      </c>
      <c r="O133" s="30" t="str">
        <f aca="true">IF($D133="","",IF($AI133,MAX(OFFSET(hdr_PlanFinish,$AF133+1,0,$AH133,1)),IF(N($F133)&lt;=0,$N133,WORKDAY.INTL($N133,$F133-1,WorkWeek,Holidays))))</f>
        <v/>
      </c>
      <c r="P133" s="29"/>
      <c r="Q133" s="29"/>
      <c r="R133" s="30" t="str">
        <f aca="true">IF($D133="","",IF($AI133,MIN(OFFSET(hdr_FcStart,$AF133+1,0,$AH133,1)),IF(N($P133)&gt;0,$P133,IF($E133="Manual",IF(N($M133)&gt;0,$M133,ProjectStart),WORKDAY.INTL(MAX(ProjectStart,N($M133),$AM133,$AN133,IF(RescheduleAfterStatus="Yes",StatusDate,0))-1,1,WorkWeek,Holidays)))))</f>
        <v/>
      </c>
      <c r="S133" s="30" t="str">
        <f aca="true">IF($D133="","",IF($AI133,MAX(OFFSET(hdr_FcFinish,$AF133+1,0,$AH133,1)),IF(N($Q133)&gt;0,$Q133,IF(N($F133)&lt;=0,$R133,IF(AND(N($P133)&gt;0,RescheduleAfterStatus="Yes"),MAX(WORKDAY.INTL($R133,$F133-1,WorkWeek,Holidays),WORKDAY.INTL(StatusWorkday,MAX(0,ROUNDUP($F133*(1-MIN(1,N($U133))),0)-1),WorkWeek,Holidays)),WORKDAY.INTL($R133,$F133-1,WorkWeek,Holidays))))))</f>
        <v/>
      </c>
      <c r="T133" s="38" t="str">
        <f aca="false">IF($D133="","",IF($S133&gt;=$O133,NETWORKDAYS.INTL($O133,$S133,WorkWeek,Holidays)-1,1-NETWORKDAYS.INTL($S133,$O133,WorkWeek,Holidays)))</f>
        <v/>
      </c>
      <c r="U133" s="32"/>
      <c r="V133" s="42" t="str">
        <f aca="true">IF($D133="","",IF($AI133,IFERROR(SUM(OFFSET(hdr_WtDone,$AF133+1,0,$AH133,1))/SUM(OFFSET(hdr_WtDur,$AF133+1,0,$AH133,1)),0),IF(N($Q133)&gt;0,1,MIN(1,N($U133)))))</f>
        <v/>
      </c>
      <c r="W133" s="39" t="str">
        <f aca="false">IF($D133="","",IF($V133&gt;=1,"Complete",IF(OR(N($P133)&gt;0,$V133&gt;0),IF($T133&gt;0,"Behind","In Progress"),IF($N133&lt;StatusDate,"Late Start","Not Started"))))</f>
        <v/>
      </c>
      <c r="X133" s="41"/>
      <c r="Y133" s="32"/>
      <c r="Z133" s="43" t="str">
        <f aca="true">IF($D133="","",IF($AI133,SUMPRODUCT(OFFSET(hdr_Work,$AF133+1,0,$AH133,1),OFFSET(hdr_IsLeaf,$AF133+1,0,$AH133,1)),IF($X133="",0,N($F133)*HoursPerDay*IF($Y133="",DefaultUnits,$Y133))))</f>
        <v/>
      </c>
      <c r="AA133" s="44" t="str">
        <f aca="true">IF($D133="","",IF($AI133,SUMPRODUCT(OFFSET(hdr_Cost,$AF133+1,0,$AH133,1),OFFSET(hdr_IsLeaf,$AF133+1,0,$AH133,1)),$Z133*IFERROR(INDEX(res_Rate,MATCH($X133,res_Name,0)),0)))</f>
        <v/>
      </c>
      <c r="AB133" s="38" t="str">
        <f aca="false">IF(OR($D133="",$AI133),"",IF(OR($R133&lt;Sprint1Start,$R133&gt;SprintLastEnd),"Backlog",INDEX(spr_Name,MATCH($R133,spr_Start,1))))</f>
        <v/>
      </c>
      <c r="AC133" s="45" t="str">
        <f aca="false">IF($D133="","",$AT133&amp;IF(AND($AT133&lt;&gt;"",$AU133&lt;&gt;""),",","")&amp;$AU133)</f>
        <v/>
      </c>
      <c r="AD133" s="41"/>
      <c r="AE133" s="46" t="str">
        <f aca="false">IF($D133="","",MAX(1,N($C133)))</f>
        <v/>
      </c>
      <c r="AF133" s="46" t="n">
        <f aca="false">ROW()-ROW(hdr_ID)</f>
        <v>128</v>
      </c>
      <c r="AG133" s="46" t="n">
        <f aca="false">IF(OR($D133="",$AE133&lt;=1),0,IFERROR(LOOKUP(2,1/($AE$5:$AE132=$AE133-1),ROW($AE$5:$AE132)),0))</f>
        <v>0</v>
      </c>
      <c r="AH133" s="46" t="n">
        <f aca="false">IF($D133="",0,COUNTIF(tsk_WBS,$B133&amp;".*"))</f>
        <v>0</v>
      </c>
      <c r="AI133" s="47" t="b">
        <f aca="false">$AH133&gt;0</f>
        <v>0</v>
      </c>
      <c r="AJ133" s="46" t="n">
        <f aca="false">IF(AND($D133&lt;&gt;"",NOT($AI133)),1,0)</f>
        <v>0</v>
      </c>
      <c r="AK133" s="48" t="n">
        <f aca="true">IF(OR(N($G133)=0,$AI133,$D133=""),0,IFERROR(CHOOSE(MATCH(IF($H133="","FS",$H133),{"FS","SS","FF","SF"},0),WORKDAY.INTL(OFFSET(hdr_PlanFinish,MATCH($G133,tsk_ID,0),0),IF(N($F133)=0,0,1)+N($I133),WorkWeek,Holidays),WORKDAY.INTL(OFFSET(hdr_PlanStart,MATCH($G133,tsk_ID,0),0),N($I133),WorkWeek,Holidays),WORKDAY.INTL(WORKDAY.INTL(OFFSET(hdr_PlanFinish,MATCH($G133,tsk_ID,0),0),N($I133),WorkWeek,Holidays),-MAX(0,N($F133)-1),WorkWeek,Holidays),WORKDAY.INTL(WORKDAY.INTL(OFFSET(hdr_PlanStart,MATCH($G133,tsk_ID,0),0),N($I133),WorkWeek,Holidays),-MAX(0,N($F133)-1),WorkWeek,Holidays)),0))</f>
        <v>0</v>
      </c>
      <c r="AL133" s="48" t="n">
        <f aca="true">IF(OR(N($J133)=0,$AI133,$D133=""),0,IFERROR(CHOOSE(MATCH(IF($K133="","FS",$K133),{"FS","SS","FF","SF"},0),WORKDAY.INTL(OFFSET(hdr_PlanFinish,MATCH($J133,tsk_ID,0),0),IF(N($F133)=0,0,1)+N($L133),WorkWeek,Holidays),WORKDAY.INTL(OFFSET(hdr_PlanStart,MATCH($J133,tsk_ID,0),0),N($L133),WorkWeek,Holidays),WORKDAY.INTL(WORKDAY.INTL(OFFSET(hdr_PlanFinish,MATCH($J133,tsk_ID,0),0),N($L133),WorkWeek,Holidays),-MAX(0,N($F133)-1),WorkWeek,Holidays),WORKDAY.INTL(WORKDAY.INTL(OFFSET(hdr_PlanStart,MATCH($J133,tsk_ID,0),0),N($L133),WorkWeek,Holidays),-MAX(0,N($F133)-1),WorkWeek,Holidays)),0))</f>
        <v>0</v>
      </c>
      <c r="AM133" s="48" t="n">
        <f aca="true">IF(OR(N($G133)=0,$AI133,$D133=""),0,IFERROR(CHOOSE(MATCH(IF($H133="","FS",$H133),{"FS","SS","FF","SF"},0),WORKDAY.INTL(OFFSET(hdr_FcFinish,MATCH($G133,tsk_ID,0),0),IF(N($F133)=0,0,1)+N($I133),WorkWeek,Holidays),WORKDAY.INTL(OFFSET(hdr_FcStart,MATCH($G133,tsk_ID,0),0),N($I133),WorkWeek,Holidays),WORKDAY.INTL(WORKDAY.INTL(OFFSET(hdr_FcFinish,MATCH($G133,tsk_ID,0),0),N($I133),WorkWeek,Holidays),-MAX(0,N($F133)-1),WorkWeek,Holidays),WORKDAY.INTL(WORKDAY.INTL(OFFSET(hdr_FcStart,MATCH($G133,tsk_ID,0),0),N($I133),WorkWeek,Holidays),-MAX(0,N($F133)-1),WorkWeek,Holidays)),0))</f>
        <v>0</v>
      </c>
      <c r="AN133" s="48" t="n">
        <f aca="true">IF(OR(N($J133)=0,$AI133,$D133=""),0,IFERROR(CHOOSE(MATCH(IF($K133="","FS",$K133),{"FS","SS","FF","SF"},0),WORKDAY.INTL(OFFSET(hdr_FcFinish,MATCH($J133,tsk_ID,0),0),IF(N($F133)=0,0,1)+N($L133),WorkWeek,Holidays),WORKDAY.INTL(OFFSET(hdr_FcStart,MATCH($J133,tsk_ID,0),0),N($L133),WorkWeek,Holidays),WORKDAY.INTL(WORKDAY.INTL(OFFSET(hdr_FcFinish,MATCH($J133,tsk_ID,0),0),N($L133),WorkWeek,Holidays),-MAX(0,N($F133)-1),WorkWeek,Holidays),WORKDAY.INTL(WORKDAY.INTL(OFFSET(hdr_FcStart,MATCH($J133,tsk_ID,0),0),N($L133),WorkWeek,Holidays),-MAX(0,N($F133)-1),WorkWeek,Holidays)),0))</f>
        <v>0</v>
      </c>
      <c r="AO133" s="48" t="n">
        <f aca="false">IF($AJ133=1,$R133,0)</f>
        <v>0</v>
      </c>
      <c r="AP133" s="48" t="n">
        <f aca="false">IF($AJ133=1,$S133,0)</f>
        <v>0</v>
      </c>
      <c r="AQ133" s="49" t="n">
        <f aca="false">IF(AND($AJ133=1,N($Z133)&gt;0),$Z133/($AP133-$AO133+1),0)</f>
        <v>0</v>
      </c>
      <c r="AR133" s="46" t="n">
        <f aca="false">IF($AJ133=1,MAX(N($F133),0.1),0)</f>
        <v>0</v>
      </c>
      <c r="AS133" s="46" t="n">
        <f aca="false">IF($AJ133=1,$AR133*$V133,0)</f>
        <v>0</v>
      </c>
      <c r="AT133" s="46" t="str">
        <f aca="false">IF(N($G133)=0,"",$G133&amp;IF(AND(IF($H133="","FS",$H133)="FS",N($I133)=0),"",IF($H133="","FS",$H133)&amp;IF(N($I133)=0,"",IF(N($I133)&gt;0,"+","")&amp;N($I133)&amp;"d")))</f>
        <v/>
      </c>
      <c r="AU133" s="46" t="str">
        <f aca="false">IF(N($J133)=0,"",$J133&amp;IF(AND(IF($K133="","FS",$K133)="FS",N($L133)=0),"",IF($K133="","FS",$K133)&amp;IF(N($L133)=0,"",IF(N($L133)&gt;0,"+","")&amp;N($L133)&amp;"d")))</f>
        <v/>
      </c>
      <c r="AV133" s="46" t="str">
        <f aca="false">IF(AND($AJ133=1,N($F133)=0,$V133&lt;1),$S133+$AF133/100000,"")</f>
        <v/>
      </c>
    </row>
    <row r="134" customFormat="false" ht="15" hidden="false" customHeight="false" outlineLevel="0" collapsed="false">
      <c r="A134" s="38" t="str">
        <f aca="false">IF($D134="","",COUNTA($D$6:$D134))</f>
        <v/>
      </c>
      <c r="B134" s="39" t="str">
        <f aca="true">IF($D134="","",IF($AE134=1,COUNTIF($AE$6:$AE134,1)&amp;"",IF($AG134=0,"?",OFFSET(hdr_WBS,$AG134-ROW(hdr_WBS),0)&amp;"."&amp;COUNTIF(INDEX($AE:$AE,$AG134+1):$AE134,$AE134))))</f>
        <v/>
      </c>
      <c r="C134" s="40"/>
      <c r="D134" s="41"/>
      <c r="E134" s="40"/>
      <c r="F134" s="40"/>
      <c r="G134" s="40"/>
      <c r="H134" s="40"/>
      <c r="I134" s="40"/>
      <c r="J134" s="40"/>
      <c r="K134" s="40"/>
      <c r="L134" s="40"/>
      <c r="M134" s="29"/>
      <c r="N134" s="30" t="str">
        <f aca="true">IF($D134="","",IF($AI134,MIN(OFFSET(hdr_PlanStart,$AF134+1,0,$AH134,1)),IF($E134="Manual",IF(N($M134)&gt;0,$M134,ProjectStart),WORKDAY.INTL(MAX(ProjectStart,N($M134),$AK134,$AL134)-1,1,WorkWeek,Holidays))))</f>
        <v/>
      </c>
      <c r="O134" s="30" t="str">
        <f aca="true">IF($D134="","",IF($AI134,MAX(OFFSET(hdr_PlanFinish,$AF134+1,0,$AH134,1)),IF(N($F134)&lt;=0,$N134,WORKDAY.INTL($N134,$F134-1,WorkWeek,Holidays))))</f>
        <v/>
      </c>
      <c r="P134" s="29"/>
      <c r="Q134" s="29"/>
      <c r="R134" s="30" t="str">
        <f aca="true">IF($D134="","",IF($AI134,MIN(OFFSET(hdr_FcStart,$AF134+1,0,$AH134,1)),IF(N($P134)&gt;0,$P134,IF($E134="Manual",IF(N($M134)&gt;0,$M134,ProjectStart),WORKDAY.INTL(MAX(ProjectStart,N($M134),$AM134,$AN134,IF(RescheduleAfterStatus="Yes",StatusDate,0))-1,1,WorkWeek,Holidays)))))</f>
        <v/>
      </c>
      <c r="S134" s="30" t="str">
        <f aca="true">IF($D134="","",IF($AI134,MAX(OFFSET(hdr_FcFinish,$AF134+1,0,$AH134,1)),IF(N($Q134)&gt;0,$Q134,IF(N($F134)&lt;=0,$R134,IF(AND(N($P134)&gt;0,RescheduleAfterStatus="Yes"),MAX(WORKDAY.INTL($R134,$F134-1,WorkWeek,Holidays),WORKDAY.INTL(StatusWorkday,MAX(0,ROUNDUP($F134*(1-MIN(1,N($U134))),0)-1),WorkWeek,Holidays)),WORKDAY.INTL($R134,$F134-1,WorkWeek,Holidays))))))</f>
        <v/>
      </c>
      <c r="T134" s="38" t="str">
        <f aca="false">IF($D134="","",IF($S134&gt;=$O134,NETWORKDAYS.INTL($O134,$S134,WorkWeek,Holidays)-1,1-NETWORKDAYS.INTL($S134,$O134,WorkWeek,Holidays)))</f>
        <v/>
      </c>
      <c r="U134" s="32"/>
      <c r="V134" s="42" t="str">
        <f aca="true">IF($D134="","",IF($AI134,IFERROR(SUM(OFFSET(hdr_WtDone,$AF134+1,0,$AH134,1))/SUM(OFFSET(hdr_WtDur,$AF134+1,0,$AH134,1)),0),IF(N($Q134)&gt;0,1,MIN(1,N($U134)))))</f>
        <v/>
      </c>
      <c r="W134" s="39" t="str">
        <f aca="false">IF($D134="","",IF($V134&gt;=1,"Complete",IF(OR(N($P134)&gt;0,$V134&gt;0),IF($T134&gt;0,"Behind","In Progress"),IF($N134&lt;StatusDate,"Late Start","Not Started"))))</f>
        <v/>
      </c>
      <c r="X134" s="41"/>
      <c r="Y134" s="32"/>
      <c r="Z134" s="43" t="str">
        <f aca="true">IF($D134="","",IF($AI134,SUMPRODUCT(OFFSET(hdr_Work,$AF134+1,0,$AH134,1),OFFSET(hdr_IsLeaf,$AF134+1,0,$AH134,1)),IF($X134="",0,N($F134)*HoursPerDay*IF($Y134="",DefaultUnits,$Y134))))</f>
        <v/>
      </c>
      <c r="AA134" s="44" t="str">
        <f aca="true">IF($D134="","",IF($AI134,SUMPRODUCT(OFFSET(hdr_Cost,$AF134+1,0,$AH134,1),OFFSET(hdr_IsLeaf,$AF134+1,0,$AH134,1)),$Z134*IFERROR(INDEX(res_Rate,MATCH($X134,res_Name,0)),0)))</f>
        <v/>
      </c>
      <c r="AB134" s="38" t="str">
        <f aca="false">IF(OR($D134="",$AI134),"",IF(OR($R134&lt;Sprint1Start,$R134&gt;SprintLastEnd),"Backlog",INDEX(spr_Name,MATCH($R134,spr_Start,1))))</f>
        <v/>
      </c>
      <c r="AC134" s="45" t="str">
        <f aca="false">IF($D134="","",$AT134&amp;IF(AND($AT134&lt;&gt;"",$AU134&lt;&gt;""),",","")&amp;$AU134)</f>
        <v/>
      </c>
      <c r="AD134" s="41"/>
      <c r="AE134" s="46" t="str">
        <f aca="false">IF($D134="","",MAX(1,N($C134)))</f>
        <v/>
      </c>
      <c r="AF134" s="46" t="n">
        <f aca="false">ROW()-ROW(hdr_ID)</f>
        <v>129</v>
      </c>
      <c r="AG134" s="46" t="n">
        <f aca="false">IF(OR($D134="",$AE134&lt;=1),0,IFERROR(LOOKUP(2,1/($AE$5:$AE133=$AE134-1),ROW($AE$5:$AE133)),0))</f>
        <v>0</v>
      </c>
      <c r="AH134" s="46" t="n">
        <f aca="false">IF($D134="",0,COUNTIF(tsk_WBS,$B134&amp;".*"))</f>
        <v>0</v>
      </c>
      <c r="AI134" s="47" t="b">
        <f aca="false">$AH134&gt;0</f>
        <v>0</v>
      </c>
      <c r="AJ134" s="46" t="n">
        <f aca="false">IF(AND($D134&lt;&gt;"",NOT($AI134)),1,0)</f>
        <v>0</v>
      </c>
      <c r="AK134" s="48" t="n">
        <f aca="true">IF(OR(N($G134)=0,$AI134,$D134=""),0,IFERROR(CHOOSE(MATCH(IF($H134="","FS",$H134),{"FS","SS","FF","SF"},0),WORKDAY.INTL(OFFSET(hdr_PlanFinish,MATCH($G134,tsk_ID,0),0),IF(N($F134)=0,0,1)+N($I134),WorkWeek,Holidays),WORKDAY.INTL(OFFSET(hdr_PlanStart,MATCH($G134,tsk_ID,0),0),N($I134),WorkWeek,Holidays),WORKDAY.INTL(WORKDAY.INTL(OFFSET(hdr_PlanFinish,MATCH($G134,tsk_ID,0),0),N($I134),WorkWeek,Holidays),-MAX(0,N($F134)-1),WorkWeek,Holidays),WORKDAY.INTL(WORKDAY.INTL(OFFSET(hdr_PlanStart,MATCH($G134,tsk_ID,0),0),N($I134),WorkWeek,Holidays),-MAX(0,N($F134)-1),WorkWeek,Holidays)),0))</f>
        <v>0</v>
      </c>
      <c r="AL134" s="48" t="n">
        <f aca="true">IF(OR(N($J134)=0,$AI134,$D134=""),0,IFERROR(CHOOSE(MATCH(IF($K134="","FS",$K134),{"FS","SS","FF","SF"},0),WORKDAY.INTL(OFFSET(hdr_PlanFinish,MATCH($J134,tsk_ID,0),0),IF(N($F134)=0,0,1)+N($L134),WorkWeek,Holidays),WORKDAY.INTL(OFFSET(hdr_PlanStart,MATCH($J134,tsk_ID,0),0),N($L134),WorkWeek,Holidays),WORKDAY.INTL(WORKDAY.INTL(OFFSET(hdr_PlanFinish,MATCH($J134,tsk_ID,0),0),N($L134),WorkWeek,Holidays),-MAX(0,N($F134)-1),WorkWeek,Holidays),WORKDAY.INTL(WORKDAY.INTL(OFFSET(hdr_PlanStart,MATCH($J134,tsk_ID,0),0),N($L134),WorkWeek,Holidays),-MAX(0,N($F134)-1),WorkWeek,Holidays)),0))</f>
        <v>0</v>
      </c>
      <c r="AM134" s="48" t="n">
        <f aca="true">IF(OR(N($G134)=0,$AI134,$D134=""),0,IFERROR(CHOOSE(MATCH(IF($H134="","FS",$H134),{"FS","SS","FF","SF"},0),WORKDAY.INTL(OFFSET(hdr_FcFinish,MATCH($G134,tsk_ID,0),0),IF(N($F134)=0,0,1)+N($I134),WorkWeek,Holidays),WORKDAY.INTL(OFFSET(hdr_FcStart,MATCH($G134,tsk_ID,0),0),N($I134),WorkWeek,Holidays),WORKDAY.INTL(WORKDAY.INTL(OFFSET(hdr_FcFinish,MATCH($G134,tsk_ID,0),0),N($I134),WorkWeek,Holidays),-MAX(0,N($F134)-1),WorkWeek,Holidays),WORKDAY.INTL(WORKDAY.INTL(OFFSET(hdr_FcStart,MATCH($G134,tsk_ID,0),0),N($I134),WorkWeek,Holidays),-MAX(0,N($F134)-1),WorkWeek,Holidays)),0))</f>
        <v>0</v>
      </c>
      <c r="AN134" s="48" t="n">
        <f aca="true">IF(OR(N($J134)=0,$AI134,$D134=""),0,IFERROR(CHOOSE(MATCH(IF($K134="","FS",$K134),{"FS","SS","FF","SF"},0),WORKDAY.INTL(OFFSET(hdr_FcFinish,MATCH($J134,tsk_ID,0),0),IF(N($F134)=0,0,1)+N($L134),WorkWeek,Holidays),WORKDAY.INTL(OFFSET(hdr_FcStart,MATCH($J134,tsk_ID,0),0),N($L134),WorkWeek,Holidays),WORKDAY.INTL(WORKDAY.INTL(OFFSET(hdr_FcFinish,MATCH($J134,tsk_ID,0),0),N($L134),WorkWeek,Holidays),-MAX(0,N($F134)-1),WorkWeek,Holidays),WORKDAY.INTL(WORKDAY.INTL(OFFSET(hdr_FcStart,MATCH($J134,tsk_ID,0),0),N($L134),WorkWeek,Holidays),-MAX(0,N($F134)-1),WorkWeek,Holidays)),0))</f>
        <v>0</v>
      </c>
      <c r="AO134" s="48" t="n">
        <f aca="false">IF($AJ134=1,$R134,0)</f>
        <v>0</v>
      </c>
      <c r="AP134" s="48" t="n">
        <f aca="false">IF($AJ134=1,$S134,0)</f>
        <v>0</v>
      </c>
      <c r="AQ134" s="49" t="n">
        <f aca="false">IF(AND($AJ134=1,N($Z134)&gt;0),$Z134/($AP134-$AO134+1),0)</f>
        <v>0</v>
      </c>
      <c r="AR134" s="46" t="n">
        <f aca="false">IF($AJ134=1,MAX(N($F134),0.1),0)</f>
        <v>0</v>
      </c>
      <c r="AS134" s="46" t="n">
        <f aca="false">IF($AJ134=1,$AR134*$V134,0)</f>
        <v>0</v>
      </c>
      <c r="AT134" s="46" t="str">
        <f aca="false">IF(N($G134)=0,"",$G134&amp;IF(AND(IF($H134="","FS",$H134)="FS",N($I134)=0),"",IF($H134="","FS",$H134)&amp;IF(N($I134)=0,"",IF(N($I134)&gt;0,"+","")&amp;N($I134)&amp;"d")))</f>
        <v/>
      </c>
      <c r="AU134" s="46" t="str">
        <f aca="false">IF(N($J134)=0,"",$J134&amp;IF(AND(IF($K134="","FS",$K134)="FS",N($L134)=0),"",IF($K134="","FS",$K134)&amp;IF(N($L134)=0,"",IF(N($L134)&gt;0,"+","")&amp;N($L134)&amp;"d")))</f>
        <v/>
      </c>
      <c r="AV134" s="46" t="str">
        <f aca="false">IF(AND($AJ134=1,N($F134)=0,$V134&lt;1),$S134+$AF134/100000,"")</f>
        <v/>
      </c>
    </row>
    <row r="135" customFormat="false" ht="15" hidden="false" customHeight="false" outlineLevel="0" collapsed="false">
      <c r="A135" s="38" t="str">
        <f aca="false">IF($D135="","",COUNTA($D$6:$D135))</f>
        <v/>
      </c>
      <c r="B135" s="39" t="str">
        <f aca="true">IF($D135="","",IF($AE135=1,COUNTIF($AE$6:$AE135,1)&amp;"",IF($AG135=0,"?",OFFSET(hdr_WBS,$AG135-ROW(hdr_WBS),0)&amp;"."&amp;COUNTIF(INDEX($AE:$AE,$AG135+1):$AE135,$AE135))))</f>
        <v/>
      </c>
      <c r="C135" s="40"/>
      <c r="D135" s="41"/>
      <c r="E135" s="40"/>
      <c r="F135" s="40"/>
      <c r="G135" s="40"/>
      <c r="H135" s="40"/>
      <c r="I135" s="40"/>
      <c r="J135" s="40"/>
      <c r="K135" s="40"/>
      <c r="L135" s="40"/>
      <c r="M135" s="29"/>
      <c r="N135" s="30" t="str">
        <f aca="true">IF($D135="","",IF($AI135,MIN(OFFSET(hdr_PlanStart,$AF135+1,0,$AH135,1)),IF($E135="Manual",IF(N($M135)&gt;0,$M135,ProjectStart),WORKDAY.INTL(MAX(ProjectStart,N($M135),$AK135,$AL135)-1,1,WorkWeek,Holidays))))</f>
        <v/>
      </c>
      <c r="O135" s="30" t="str">
        <f aca="true">IF($D135="","",IF($AI135,MAX(OFFSET(hdr_PlanFinish,$AF135+1,0,$AH135,1)),IF(N($F135)&lt;=0,$N135,WORKDAY.INTL($N135,$F135-1,WorkWeek,Holidays))))</f>
        <v/>
      </c>
      <c r="P135" s="29"/>
      <c r="Q135" s="29"/>
      <c r="R135" s="30" t="str">
        <f aca="true">IF($D135="","",IF($AI135,MIN(OFFSET(hdr_FcStart,$AF135+1,0,$AH135,1)),IF(N($P135)&gt;0,$P135,IF($E135="Manual",IF(N($M135)&gt;0,$M135,ProjectStart),WORKDAY.INTL(MAX(ProjectStart,N($M135),$AM135,$AN135,IF(RescheduleAfterStatus="Yes",StatusDate,0))-1,1,WorkWeek,Holidays)))))</f>
        <v/>
      </c>
      <c r="S135" s="30" t="str">
        <f aca="true">IF($D135="","",IF($AI135,MAX(OFFSET(hdr_FcFinish,$AF135+1,0,$AH135,1)),IF(N($Q135)&gt;0,$Q135,IF(N($F135)&lt;=0,$R135,IF(AND(N($P135)&gt;0,RescheduleAfterStatus="Yes"),MAX(WORKDAY.INTL($R135,$F135-1,WorkWeek,Holidays),WORKDAY.INTL(StatusWorkday,MAX(0,ROUNDUP($F135*(1-MIN(1,N($U135))),0)-1),WorkWeek,Holidays)),WORKDAY.INTL($R135,$F135-1,WorkWeek,Holidays))))))</f>
        <v/>
      </c>
      <c r="T135" s="38" t="str">
        <f aca="false">IF($D135="","",IF($S135&gt;=$O135,NETWORKDAYS.INTL($O135,$S135,WorkWeek,Holidays)-1,1-NETWORKDAYS.INTL($S135,$O135,WorkWeek,Holidays)))</f>
        <v/>
      </c>
      <c r="U135" s="32"/>
      <c r="V135" s="42" t="str">
        <f aca="true">IF($D135="","",IF($AI135,IFERROR(SUM(OFFSET(hdr_WtDone,$AF135+1,0,$AH135,1))/SUM(OFFSET(hdr_WtDur,$AF135+1,0,$AH135,1)),0),IF(N($Q135)&gt;0,1,MIN(1,N($U135)))))</f>
        <v/>
      </c>
      <c r="W135" s="39" t="str">
        <f aca="false">IF($D135="","",IF($V135&gt;=1,"Complete",IF(OR(N($P135)&gt;0,$V135&gt;0),IF($T135&gt;0,"Behind","In Progress"),IF($N135&lt;StatusDate,"Late Start","Not Started"))))</f>
        <v/>
      </c>
      <c r="X135" s="41"/>
      <c r="Y135" s="32"/>
      <c r="Z135" s="43" t="str">
        <f aca="true">IF($D135="","",IF($AI135,SUMPRODUCT(OFFSET(hdr_Work,$AF135+1,0,$AH135,1),OFFSET(hdr_IsLeaf,$AF135+1,0,$AH135,1)),IF($X135="",0,N($F135)*HoursPerDay*IF($Y135="",DefaultUnits,$Y135))))</f>
        <v/>
      </c>
      <c r="AA135" s="44" t="str">
        <f aca="true">IF($D135="","",IF($AI135,SUMPRODUCT(OFFSET(hdr_Cost,$AF135+1,0,$AH135,1),OFFSET(hdr_IsLeaf,$AF135+1,0,$AH135,1)),$Z135*IFERROR(INDEX(res_Rate,MATCH($X135,res_Name,0)),0)))</f>
        <v/>
      </c>
      <c r="AB135" s="38" t="str">
        <f aca="false">IF(OR($D135="",$AI135),"",IF(OR($R135&lt;Sprint1Start,$R135&gt;SprintLastEnd),"Backlog",INDEX(spr_Name,MATCH($R135,spr_Start,1))))</f>
        <v/>
      </c>
      <c r="AC135" s="45" t="str">
        <f aca="false">IF($D135="","",$AT135&amp;IF(AND($AT135&lt;&gt;"",$AU135&lt;&gt;""),",","")&amp;$AU135)</f>
        <v/>
      </c>
      <c r="AD135" s="41"/>
      <c r="AE135" s="46" t="str">
        <f aca="false">IF($D135="","",MAX(1,N($C135)))</f>
        <v/>
      </c>
      <c r="AF135" s="46" t="n">
        <f aca="false">ROW()-ROW(hdr_ID)</f>
        <v>130</v>
      </c>
      <c r="AG135" s="46" t="n">
        <f aca="false">IF(OR($D135="",$AE135&lt;=1),0,IFERROR(LOOKUP(2,1/($AE$5:$AE134=$AE135-1),ROW($AE$5:$AE134)),0))</f>
        <v>0</v>
      </c>
      <c r="AH135" s="46" t="n">
        <f aca="false">IF($D135="",0,COUNTIF(tsk_WBS,$B135&amp;".*"))</f>
        <v>0</v>
      </c>
      <c r="AI135" s="47" t="b">
        <f aca="false">$AH135&gt;0</f>
        <v>0</v>
      </c>
      <c r="AJ135" s="46" t="n">
        <f aca="false">IF(AND($D135&lt;&gt;"",NOT($AI135)),1,0)</f>
        <v>0</v>
      </c>
      <c r="AK135" s="48" t="n">
        <f aca="true">IF(OR(N($G135)=0,$AI135,$D135=""),0,IFERROR(CHOOSE(MATCH(IF($H135="","FS",$H135),{"FS","SS","FF","SF"},0),WORKDAY.INTL(OFFSET(hdr_PlanFinish,MATCH($G135,tsk_ID,0),0),IF(N($F135)=0,0,1)+N($I135),WorkWeek,Holidays),WORKDAY.INTL(OFFSET(hdr_PlanStart,MATCH($G135,tsk_ID,0),0),N($I135),WorkWeek,Holidays),WORKDAY.INTL(WORKDAY.INTL(OFFSET(hdr_PlanFinish,MATCH($G135,tsk_ID,0),0),N($I135),WorkWeek,Holidays),-MAX(0,N($F135)-1),WorkWeek,Holidays),WORKDAY.INTL(WORKDAY.INTL(OFFSET(hdr_PlanStart,MATCH($G135,tsk_ID,0),0),N($I135),WorkWeek,Holidays),-MAX(0,N($F135)-1),WorkWeek,Holidays)),0))</f>
        <v>0</v>
      </c>
      <c r="AL135" s="48" t="n">
        <f aca="true">IF(OR(N($J135)=0,$AI135,$D135=""),0,IFERROR(CHOOSE(MATCH(IF($K135="","FS",$K135),{"FS","SS","FF","SF"},0),WORKDAY.INTL(OFFSET(hdr_PlanFinish,MATCH($J135,tsk_ID,0),0),IF(N($F135)=0,0,1)+N($L135),WorkWeek,Holidays),WORKDAY.INTL(OFFSET(hdr_PlanStart,MATCH($J135,tsk_ID,0),0),N($L135),WorkWeek,Holidays),WORKDAY.INTL(WORKDAY.INTL(OFFSET(hdr_PlanFinish,MATCH($J135,tsk_ID,0),0),N($L135),WorkWeek,Holidays),-MAX(0,N($F135)-1),WorkWeek,Holidays),WORKDAY.INTL(WORKDAY.INTL(OFFSET(hdr_PlanStart,MATCH($J135,tsk_ID,0),0),N($L135),WorkWeek,Holidays),-MAX(0,N($F135)-1),WorkWeek,Holidays)),0))</f>
        <v>0</v>
      </c>
      <c r="AM135" s="48" t="n">
        <f aca="true">IF(OR(N($G135)=0,$AI135,$D135=""),0,IFERROR(CHOOSE(MATCH(IF($H135="","FS",$H135),{"FS","SS","FF","SF"},0),WORKDAY.INTL(OFFSET(hdr_FcFinish,MATCH($G135,tsk_ID,0),0),IF(N($F135)=0,0,1)+N($I135),WorkWeek,Holidays),WORKDAY.INTL(OFFSET(hdr_FcStart,MATCH($G135,tsk_ID,0),0),N($I135),WorkWeek,Holidays),WORKDAY.INTL(WORKDAY.INTL(OFFSET(hdr_FcFinish,MATCH($G135,tsk_ID,0),0),N($I135),WorkWeek,Holidays),-MAX(0,N($F135)-1),WorkWeek,Holidays),WORKDAY.INTL(WORKDAY.INTL(OFFSET(hdr_FcStart,MATCH($G135,tsk_ID,0),0),N($I135),WorkWeek,Holidays),-MAX(0,N($F135)-1),WorkWeek,Holidays)),0))</f>
        <v>0</v>
      </c>
      <c r="AN135" s="48" t="n">
        <f aca="true">IF(OR(N($J135)=0,$AI135,$D135=""),0,IFERROR(CHOOSE(MATCH(IF($K135="","FS",$K135),{"FS","SS","FF","SF"},0),WORKDAY.INTL(OFFSET(hdr_FcFinish,MATCH($J135,tsk_ID,0),0),IF(N($F135)=0,0,1)+N($L135),WorkWeek,Holidays),WORKDAY.INTL(OFFSET(hdr_FcStart,MATCH($J135,tsk_ID,0),0),N($L135),WorkWeek,Holidays),WORKDAY.INTL(WORKDAY.INTL(OFFSET(hdr_FcFinish,MATCH($J135,tsk_ID,0),0),N($L135),WorkWeek,Holidays),-MAX(0,N($F135)-1),WorkWeek,Holidays),WORKDAY.INTL(WORKDAY.INTL(OFFSET(hdr_FcStart,MATCH($J135,tsk_ID,0),0),N($L135),WorkWeek,Holidays),-MAX(0,N($F135)-1),WorkWeek,Holidays)),0))</f>
        <v>0</v>
      </c>
      <c r="AO135" s="48" t="n">
        <f aca="false">IF($AJ135=1,$R135,0)</f>
        <v>0</v>
      </c>
      <c r="AP135" s="48" t="n">
        <f aca="false">IF($AJ135=1,$S135,0)</f>
        <v>0</v>
      </c>
      <c r="AQ135" s="49" t="n">
        <f aca="false">IF(AND($AJ135=1,N($Z135)&gt;0),$Z135/($AP135-$AO135+1),0)</f>
        <v>0</v>
      </c>
      <c r="AR135" s="46" t="n">
        <f aca="false">IF($AJ135=1,MAX(N($F135),0.1),0)</f>
        <v>0</v>
      </c>
      <c r="AS135" s="46" t="n">
        <f aca="false">IF($AJ135=1,$AR135*$V135,0)</f>
        <v>0</v>
      </c>
      <c r="AT135" s="46" t="str">
        <f aca="false">IF(N($G135)=0,"",$G135&amp;IF(AND(IF($H135="","FS",$H135)="FS",N($I135)=0),"",IF($H135="","FS",$H135)&amp;IF(N($I135)=0,"",IF(N($I135)&gt;0,"+","")&amp;N($I135)&amp;"d")))</f>
        <v/>
      </c>
      <c r="AU135" s="46" t="str">
        <f aca="false">IF(N($J135)=0,"",$J135&amp;IF(AND(IF($K135="","FS",$K135)="FS",N($L135)=0),"",IF($K135="","FS",$K135)&amp;IF(N($L135)=0,"",IF(N($L135)&gt;0,"+","")&amp;N($L135)&amp;"d")))</f>
        <v/>
      </c>
      <c r="AV135" s="46" t="str">
        <f aca="false">IF(AND($AJ135=1,N($F135)=0,$V135&lt;1),$S135+$AF135/100000,"")</f>
        <v/>
      </c>
    </row>
    <row r="136" customFormat="false" ht="15" hidden="false" customHeight="false" outlineLevel="0" collapsed="false">
      <c r="A136" s="38" t="str">
        <f aca="false">IF($D136="","",COUNTA($D$6:$D136))</f>
        <v/>
      </c>
      <c r="B136" s="39" t="str">
        <f aca="true">IF($D136="","",IF($AE136=1,COUNTIF($AE$6:$AE136,1)&amp;"",IF($AG136=0,"?",OFFSET(hdr_WBS,$AG136-ROW(hdr_WBS),0)&amp;"."&amp;COUNTIF(INDEX($AE:$AE,$AG136+1):$AE136,$AE136))))</f>
        <v/>
      </c>
      <c r="C136" s="40"/>
      <c r="D136" s="41"/>
      <c r="E136" s="40"/>
      <c r="F136" s="40"/>
      <c r="G136" s="40"/>
      <c r="H136" s="40"/>
      <c r="I136" s="40"/>
      <c r="J136" s="40"/>
      <c r="K136" s="40"/>
      <c r="L136" s="40"/>
      <c r="M136" s="29"/>
      <c r="N136" s="30" t="str">
        <f aca="true">IF($D136="","",IF($AI136,MIN(OFFSET(hdr_PlanStart,$AF136+1,0,$AH136,1)),IF($E136="Manual",IF(N($M136)&gt;0,$M136,ProjectStart),WORKDAY.INTL(MAX(ProjectStart,N($M136),$AK136,$AL136)-1,1,WorkWeek,Holidays))))</f>
        <v/>
      </c>
      <c r="O136" s="30" t="str">
        <f aca="true">IF($D136="","",IF($AI136,MAX(OFFSET(hdr_PlanFinish,$AF136+1,0,$AH136,1)),IF(N($F136)&lt;=0,$N136,WORKDAY.INTL($N136,$F136-1,WorkWeek,Holidays))))</f>
        <v/>
      </c>
      <c r="P136" s="29"/>
      <c r="Q136" s="29"/>
      <c r="R136" s="30" t="str">
        <f aca="true">IF($D136="","",IF($AI136,MIN(OFFSET(hdr_FcStart,$AF136+1,0,$AH136,1)),IF(N($P136)&gt;0,$P136,IF($E136="Manual",IF(N($M136)&gt;0,$M136,ProjectStart),WORKDAY.INTL(MAX(ProjectStart,N($M136),$AM136,$AN136,IF(RescheduleAfterStatus="Yes",StatusDate,0))-1,1,WorkWeek,Holidays)))))</f>
        <v/>
      </c>
      <c r="S136" s="30" t="str">
        <f aca="true">IF($D136="","",IF($AI136,MAX(OFFSET(hdr_FcFinish,$AF136+1,0,$AH136,1)),IF(N($Q136)&gt;0,$Q136,IF(N($F136)&lt;=0,$R136,IF(AND(N($P136)&gt;0,RescheduleAfterStatus="Yes"),MAX(WORKDAY.INTL($R136,$F136-1,WorkWeek,Holidays),WORKDAY.INTL(StatusWorkday,MAX(0,ROUNDUP($F136*(1-MIN(1,N($U136))),0)-1),WorkWeek,Holidays)),WORKDAY.INTL($R136,$F136-1,WorkWeek,Holidays))))))</f>
        <v/>
      </c>
      <c r="T136" s="38" t="str">
        <f aca="false">IF($D136="","",IF($S136&gt;=$O136,NETWORKDAYS.INTL($O136,$S136,WorkWeek,Holidays)-1,1-NETWORKDAYS.INTL($S136,$O136,WorkWeek,Holidays)))</f>
        <v/>
      </c>
      <c r="U136" s="32"/>
      <c r="V136" s="42" t="str">
        <f aca="true">IF($D136="","",IF($AI136,IFERROR(SUM(OFFSET(hdr_WtDone,$AF136+1,0,$AH136,1))/SUM(OFFSET(hdr_WtDur,$AF136+1,0,$AH136,1)),0),IF(N($Q136)&gt;0,1,MIN(1,N($U136)))))</f>
        <v/>
      </c>
      <c r="W136" s="39" t="str">
        <f aca="false">IF($D136="","",IF($V136&gt;=1,"Complete",IF(OR(N($P136)&gt;0,$V136&gt;0),IF($T136&gt;0,"Behind","In Progress"),IF($N136&lt;StatusDate,"Late Start","Not Started"))))</f>
        <v/>
      </c>
      <c r="X136" s="41"/>
      <c r="Y136" s="32"/>
      <c r="Z136" s="43" t="str">
        <f aca="true">IF($D136="","",IF($AI136,SUMPRODUCT(OFFSET(hdr_Work,$AF136+1,0,$AH136,1),OFFSET(hdr_IsLeaf,$AF136+1,0,$AH136,1)),IF($X136="",0,N($F136)*HoursPerDay*IF($Y136="",DefaultUnits,$Y136))))</f>
        <v/>
      </c>
      <c r="AA136" s="44" t="str">
        <f aca="true">IF($D136="","",IF($AI136,SUMPRODUCT(OFFSET(hdr_Cost,$AF136+1,0,$AH136,1),OFFSET(hdr_IsLeaf,$AF136+1,0,$AH136,1)),$Z136*IFERROR(INDEX(res_Rate,MATCH($X136,res_Name,0)),0)))</f>
        <v/>
      </c>
      <c r="AB136" s="38" t="str">
        <f aca="false">IF(OR($D136="",$AI136),"",IF(OR($R136&lt;Sprint1Start,$R136&gt;SprintLastEnd),"Backlog",INDEX(spr_Name,MATCH($R136,spr_Start,1))))</f>
        <v/>
      </c>
      <c r="AC136" s="45" t="str">
        <f aca="false">IF($D136="","",$AT136&amp;IF(AND($AT136&lt;&gt;"",$AU136&lt;&gt;""),",","")&amp;$AU136)</f>
        <v/>
      </c>
      <c r="AD136" s="41"/>
      <c r="AE136" s="46" t="str">
        <f aca="false">IF($D136="","",MAX(1,N($C136)))</f>
        <v/>
      </c>
      <c r="AF136" s="46" t="n">
        <f aca="false">ROW()-ROW(hdr_ID)</f>
        <v>131</v>
      </c>
      <c r="AG136" s="46" t="n">
        <f aca="false">IF(OR($D136="",$AE136&lt;=1),0,IFERROR(LOOKUP(2,1/($AE$5:$AE135=$AE136-1),ROW($AE$5:$AE135)),0))</f>
        <v>0</v>
      </c>
      <c r="AH136" s="46" t="n">
        <f aca="false">IF($D136="",0,COUNTIF(tsk_WBS,$B136&amp;".*"))</f>
        <v>0</v>
      </c>
      <c r="AI136" s="47" t="b">
        <f aca="false">$AH136&gt;0</f>
        <v>0</v>
      </c>
      <c r="AJ136" s="46" t="n">
        <f aca="false">IF(AND($D136&lt;&gt;"",NOT($AI136)),1,0)</f>
        <v>0</v>
      </c>
      <c r="AK136" s="48" t="n">
        <f aca="true">IF(OR(N($G136)=0,$AI136,$D136=""),0,IFERROR(CHOOSE(MATCH(IF($H136="","FS",$H136),{"FS","SS","FF","SF"},0),WORKDAY.INTL(OFFSET(hdr_PlanFinish,MATCH($G136,tsk_ID,0),0),IF(N($F136)=0,0,1)+N($I136),WorkWeek,Holidays),WORKDAY.INTL(OFFSET(hdr_PlanStart,MATCH($G136,tsk_ID,0),0),N($I136),WorkWeek,Holidays),WORKDAY.INTL(WORKDAY.INTL(OFFSET(hdr_PlanFinish,MATCH($G136,tsk_ID,0),0),N($I136),WorkWeek,Holidays),-MAX(0,N($F136)-1),WorkWeek,Holidays),WORKDAY.INTL(WORKDAY.INTL(OFFSET(hdr_PlanStart,MATCH($G136,tsk_ID,0),0),N($I136),WorkWeek,Holidays),-MAX(0,N($F136)-1),WorkWeek,Holidays)),0))</f>
        <v>0</v>
      </c>
      <c r="AL136" s="48" t="n">
        <f aca="true">IF(OR(N($J136)=0,$AI136,$D136=""),0,IFERROR(CHOOSE(MATCH(IF($K136="","FS",$K136),{"FS","SS","FF","SF"},0),WORKDAY.INTL(OFFSET(hdr_PlanFinish,MATCH($J136,tsk_ID,0),0),IF(N($F136)=0,0,1)+N($L136),WorkWeek,Holidays),WORKDAY.INTL(OFFSET(hdr_PlanStart,MATCH($J136,tsk_ID,0),0),N($L136),WorkWeek,Holidays),WORKDAY.INTL(WORKDAY.INTL(OFFSET(hdr_PlanFinish,MATCH($J136,tsk_ID,0),0),N($L136),WorkWeek,Holidays),-MAX(0,N($F136)-1),WorkWeek,Holidays),WORKDAY.INTL(WORKDAY.INTL(OFFSET(hdr_PlanStart,MATCH($J136,tsk_ID,0),0),N($L136),WorkWeek,Holidays),-MAX(0,N($F136)-1),WorkWeek,Holidays)),0))</f>
        <v>0</v>
      </c>
      <c r="AM136" s="48" t="n">
        <f aca="true">IF(OR(N($G136)=0,$AI136,$D136=""),0,IFERROR(CHOOSE(MATCH(IF($H136="","FS",$H136),{"FS","SS","FF","SF"},0),WORKDAY.INTL(OFFSET(hdr_FcFinish,MATCH($G136,tsk_ID,0),0),IF(N($F136)=0,0,1)+N($I136),WorkWeek,Holidays),WORKDAY.INTL(OFFSET(hdr_FcStart,MATCH($G136,tsk_ID,0),0),N($I136),WorkWeek,Holidays),WORKDAY.INTL(WORKDAY.INTL(OFFSET(hdr_FcFinish,MATCH($G136,tsk_ID,0),0),N($I136),WorkWeek,Holidays),-MAX(0,N($F136)-1),WorkWeek,Holidays),WORKDAY.INTL(WORKDAY.INTL(OFFSET(hdr_FcStart,MATCH($G136,tsk_ID,0),0),N($I136),WorkWeek,Holidays),-MAX(0,N($F136)-1),WorkWeek,Holidays)),0))</f>
        <v>0</v>
      </c>
      <c r="AN136" s="48" t="n">
        <f aca="true">IF(OR(N($J136)=0,$AI136,$D136=""),0,IFERROR(CHOOSE(MATCH(IF($K136="","FS",$K136),{"FS","SS","FF","SF"},0),WORKDAY.INTL(OFFSET(hdr_FcFinish,MATCH($J136,tsk_ID,0),0),IF(N($F136)=0,0,1)+N($L136),WorkWeek,Holidays),WORKDAY.INTL(OFFSET(hdr_FcStart,MATCH($J136,tsk_ID,0),0),N($L136),WorkWeek,Holidays),WORKDAY.INTL(WORKDAY.INTL(OFFSET(hdr_FcFinish,MATCH($J136,tsk_ID,0),0),N($L136),WorkWeek,Holidays),-MAX(0,N($F136)-1),WorkWeek,Holidays),WORKDAY.INTL(WORKDAY.INTL(OFFSET(hdr_FcStart,MATCH($J136,tsk_ID,0),0),N($L136),WorkWeek,Holidays),-MAX(0,N($F136)-1),WorkWeek,Holidays)),0))</f>
        <v>0</v>
      </c>
      <c r="AO136" s="48" t="n">
        <f aca="false">IF($AJ136=1,$R136,0)</f>
        <v>0</v>
      </c>
      <c r="AP136" s="48" t="n">
        <f aca="false">IF($AJ136=1,$S136,0)</f>
        <v>0</v>
      </c>
      <c r="AQ136" s="49" t="n">
        <f aca="false">IF(AND($AJ136=1,N($Z136)&gt;0),$Z136/($AP136-$AO136+1),0)</f>
        <v>0</v>
      </c>
      <c r="AR136" s="46" t="n">
        <f aca="false">IF($AJ136=1,MAX(N($F136),0.1),0)</f>
        <v>0</v>
      </c>
      <c r="AS136" s="46" t="n">
        <f aca="false">IF($AJ136=1,$AR136*$V136,0)</f>
        <v>0</v>
      </c>
      <c r="AT136" s="46" t="str">
        <f aca="false">IF(N($G136)=0,"",$G136&amp;IF(AND(IF($H136="","FS",$H136)="FS",N($I136)=0),"",IF($H136="","FS",$H136)&amp;IF(N($I136)=0,"",IF(N($I136)&gt;0,"+","")&amp;N($I136)&amp;"d")))</f>
        <v/>
      </c>
      <c r="AU136" s="46" t="str">
        <f aca="false">IF(N($J136)=0,"",$J136&amp;IF(AND(IF($K136="","FS",$K136)="FS",N($L136)=0),"",IF($K136="","FS",$K136)&amp;IF(N($L136)=0,"",IF(N($L136)&gt;0,"+","")&amp;N($L136)&amp;"d")))</f>
        <v/>
      </c>
      <c r="AV136" s="46" t="str">
        <f aca="false">IF(AND($AJ136=1,N($F136)=0,$V136&lt;1),$S136+$AF136/100000,"")</f>
        <v/>
      </c>
    </row>
    <row r="137" customFormat="false" ht="15" hidden="false" customHeight="false" outlineLevel="0" collapsed="false">
      <c r="A137" s="38" t="str">
        <f aca="false">IF($D137="","",COUNTA($D$6:$D137))</f>
        <v/>
      </c>
      <c r="B137" s="39" t="str">
        <f aca="true">IF($D137="","",IF($AE137=1,COUNTIF($AE$6:$AE137,1)&amp;"",IF($AG137=0,"?",OFFSET(hdr_WBS,$AG137-ROW(hdr_WBS),0)&amp;"."&amp;COUNTIF(INDEX($AE:$AE,$AG137+1):$AE137,$AE137))))</f>
        <v/>
      </c>
      <c r="C137" s="40"/>
      <c r="D137" s="41"/>
      <c r="E137" s="40"/>
      <c r="F137" s="40"/>
      <c r="G137" s="40"/>
      <c r="H137" s="40"/>
      <c r="I137" s="40"/>
      <c r="J137" s="40"/>
      <c r="K137" s="40"/>
      <c r="L137" s="40"/>
      <c r="M137" s="29"/>
      <c r="N137" s="30" t="str">
        <f aca="true">IF($D137="","",IF($AI137,MIN(OFFSET(hdr_PlanStart,$AF137+1,0,$AH137,1)),IF($E137="Manual",IF(N($M137)&gt;0,$M137,ProjectStart),WORKDAY.INTL(MAX(ProjectStart,N($M137),$AK137,$AL137)-1,1,WorkWeek,Holidays))))</f>
        <v/>
      </c>
      <c r="O137" s="30" t="str">
        <f aca="true">IF($D137="","",IF($AI137,MAX(OFFSET(hdr_PlanFinish,$AF137+1,0,$AH137,1)),IF(N($F137)&lt;=0,$N137,WORKDAY.INTL($N137,$F137-1,WorkWeek,Holidays))))</f>
        <v/>
      </c>
      <c r="P137" s="29"/>
      <c r="Q137" s="29"/>
      <c r="R137" s="30" t="str">
        <f aca="true">IF($D137="","",IF($AI137,MIN(OFFSET(hdr_FcStart,$AF137+1,0,$AH137,1)),IF(N($P137)&gt;0,$P137,IF($E137="Manual",IF(N($M137)&gt;0,$M137,ProjectStart),WORKDAY.INTL(MAX(ProjectStart,N($M137),$AM137,$AN137,IF(RescheduleAfterStatus="Yes",StatusDate,0))-1,1,WorkWeek,Holidays)))))</f>
        <v/>
      </c>
      <c r="S137" s="30" t="str">
        <f aca="true">IF($D137="","",IF($AI137,MAX(OFFSET(hdr_FcFinish,$AF137+1,0,$AH137,1)),IF(N($Q137)&gt;0,$Q137,IF(N($F137)&lt;=0,$R137,IF(AND(N($P137)&gt;0,RescheduleAfterStatus="Yes"),MAX(WORKDAY.INTL($R137,$F137-1,WorkWeek,Holidays),WORKDAY.INTL(StatusWorkday,MAX(0,ROUNDUP($F137*(1-MIN(1,N($U137))),0)-1),WorkWeek,Holidays)),WORKDAY.INTL($R137,$F137-1,WorkWeek,Holidays))))))</f>
        <v/>
      </c>
      <c r="T137" s="38" t="str">
        <f aca="false">IF($D137="","",IF($S137&gt;=$O137,NETWORKDAYS.INTL($O137,$S137,WorkWeek,Holidays)-1,1-NETWORKDAYS.INTL($S137,$O137,WorkWeek,Holidays)))</f>
        <v/>
      </c>
      <c r="U137" s="32"/>
      <c r="V137" s="42" t="str">
        <f aca="true">IF($D137="","",IF($AI137,IFERROR(SUM(OFFSET(hdr_WtDone,$AF137+1,0,$AH137,1))/SUM(OFFSET(hdr_WtDur,$AF137+1,0,$AH137,1)),0),IF(N($Q137)&gt;0,1,MIN(1,N($U137)))))</f>
        <v/>
      </c>
      <c r="W137" s="39" t="str">
        <f aca="false">IF($D137="","",IF($V137&gt;=1,"Complete",IF(OR(N($P137)&gt;0,$V137&gt;0),IF($T137&gt;0,"Behind","In Progress"),IF($N137&lt;StatusDate,"Late Start","Not Started"))))</f>
        <v/>
      </c>
      <c r="X137" s="41"/>
      <c r="Y137" s="32"/>
      <c r="Z137" s="43" t="str">
        <f aca="true">IF($D137="","",IF($AI137,SUMPRODUCT(OFFSET(hdr_Work,$AF137+1,0,$AH137,1),OFFSET(hdr_IsLeaf,$AF137+1,0,$AH137,1)),IF($X137="",0,N($F137)*HoursPerDay*IF($Y137="",DefaultUnits,$Y137))))</f>
        <v/>
      </c>
      <c r="AA137" s="44" t="str">
        <f aca="true">IF($D137="","",IF($AI137,SUMPRODUCT(OFFSET(hdr_Cost,$AF137+1,0,$AH137,1),OFFSET(hdr_IsLeaf,$AF137+1,0,$AH137,1)),$Z137*IFERROR(INDEX(res_Rate,MATCH($X137,res_Name,0)),0)))</f>
        <v/>
      </c>
      <c r="AB137" s="38" t="str">
        <f aca="false">IF(OR($D137="",$AI137),"",IF(OR($R137&lt;Sprint1Start,$R137&gt;SprintLastEnd),"Backlog",INDEX(spr_Name,MATCH($R137,spr_Start,1))))</f>
        <v/>
      </c>
      <c r="AC137" s="45" t="str">
        <f aca="false">IF($D137="","",$AT137&amp;IF(AND($AT137&lt;&gt;"",$AU137&lt;&gt;""),",","")&amp;$AU137)</f>
        <v/>
      </c>
      <c r="AD137" s="41"/>
      <c r="AE137" s="46" t="str">
        <f aca="false">IF($D137="","",MAX(1,N($C137)))</f>
        <v/>
      </c>
      <c r="AF137" s="46" t="n">
        <f aca="false">ROW()-ROW(hdr_ID)</f>
        <v>132</v>
      </c>
      <c r="AG137" s="46" t="n">
        <f aca="false">IF(OR($D137="",$AE137&lt;=1),0,IFERROR(LOOKUP(2,1/($AE$5:$AE136=$AE137-1),ROW($AE$5:$AE136)),0))</f>
        <v>0</v>
      </c>
      <c r="AH137" s="46" t="n">
        <f aca="false">IF($D137="",0,COUNTIF(tsk_WBS,$B137&amp;".*"))</f>
        <v>0</v>
      </c>
      <c r="AI137" s="47" t="b">
        <f aca="false">$AH137&gt;0</f>
        <v>0</v>
      </c>
      <c r="AJ137" s="46" t="n">
        <f aca="false">IF(AND($D137&lt;&gt;"",NOT($AI137)),1,0)</f>
        <v>0</v>
      </c>
      <c r="AK137" s="48" t="n">
        <f aca="true">IF(OR(N($G137)=0,$AI137,$D137=""),0,IFERROR(CHOOSE(MATCH(IF($H137="","FS",$H137),{"FS","SS","FF","SF"},0),WORKDAY.INTL(OFFSET(hdr_PlanFinish,MATCH($G137,tsk_ID,0),0),IF(N($F137)=0,0,1)+N($I137),WorkWeek,Holidays),WORKDAY.INTL(OFFSET(hdr_PlanStart,MATCH($G137,tsk_ID,0),0),N($I137),WorkWeek,Holidays),WORKDAY.INTL(WORKDAY.INTL(OFFSET(hdr_PlanFinish,MATCH($G137,tsk_ID,0),0),N($I137),WorkWeek,Holidays),-MAX(0,N($F137)-1),WorkWeek,Holidays),WORKDAY.INTL(WORKDAY.INTL(OFFSET(hdr_PlanStart,MATCH($G137,tsk_ID,0),0),N($I137),WorkWeek,Holidays),-MAX(0,N($F137)-1),WorkWeek,Holidays)),0))</f>
        <v>0</v>
      </c>
      <c r="AL137" s="48" t="n">
        <f aca="true">IF(OR(N($J137)=0,$AI137,$D137=""),0,IFERROR(CHOOSE(MATCH(IF($K137="","FS",$K137),{"FS","SS","FF","SF"},0),WORKDAY.INTL(OFFSET(hdr_PlanFinish,MATCH($J137,tsk_ID,0),0),IF(N($F137)=0,0,1)+N($L137),WorkWeek,Holidays),WORKDAY.INTL(OFFSET(hdr_PlanStart,MATCH($J137,tsk_ID,0),0),N($L137),WorkWeek,Holidays),WORKDAY.INTL(WORKDAY.INTL(OFFSET(hdr_PlanFinish,MATCH($J137,tsk_ID,0),0),N($L137),WorkWeek,Holidays),-MAX(0,N($F137)-1),WorkWeek,Holidays),WORKDAY.INTL(WORKDAY.INTL(OFFSET(hdr_PlanStart,MATCH($J137,tsk_ID,0),0),N($L137),WorkWeek,Holidays),-MAX(0,N($F137)-1),WorkWeek,Holidays)),0))</f>
        <v>0</v>
      </c>
      <c r="AM137" s="48" t="n">
        <f aca="true">IF(OR(N($G137)=0,$AI137,$D137=""),0,IFERROR(CHOOSE(MATCH(IF($H137="","FS",$H137),{"FS","SS","FF","SF"},0),WORKDAY.INTL(OFFSET(hdr_FcFinish,MATCH($G137,tsk_ID,0),0),IF(N($F137)=0,0,1)+N($I137),WorkWeek,Holidays),WORKDAY.INTL(OFFSET(hdr_FcStart,MATCH($G137,tsk_ID,0),0),N($I137),WorkWeek,Holidays),WORKDAY.INTL(WORKDAY.INTL(OFFSET(hdr_FcFinish,MATCH($G137,tsk_ID,0),0),N($I137),WorkWeek,Holidays),-MAX(0,N($F137)-1),WorkWeek,Holidays),WORKDAY.INTL(WORKDAY.INTL(OFFSET(hdr_FcStart,MATCH($G137,tsk_ID,0),0),N($I137),WorkWeek,Holidays),-MAX(0,N($F137)-1),WorkWeek,Holidays)),0))</f>
        <v>0</v>
      </c>
      <c r="AN137" s="48" t="n">
        <f aca="true">IF(OR(N($J137)=0,$AI137,$D137=""),0,IFERROR(CHOOSE(MATCH(IF($K137="","FS",$K137),{"FS","SS","FF","SF"},0),WORKDAY.INTL(OFFSET(hdr_FcFinish,MATCH($J137,tsk_ID,0),0),IF(N($F137)=0,0,1)+N($L137),WorkWeek,Holidays),WORKDAY.INTL(OFFSET(hdr_FcStart,MATCH($J137,tsk_ID,0),0),N($L137),WorkWeek,Holidays),WORKDAY.INTL(WORKDAY.INTL(OFFSET(hdr_FcFinish,MATCH($J137,tsk_ID,0),0),N($L137),WorkWeek,Holidays),-MAX(0,N($F137)-1),WorkWeek,Holidays),WORKDAY.INTL(WORKDAY.INTL(OFFSET(hdr_FcStart,MATCH($J137,tsk_ID,0),0),N($L137),WorkWeek,Holidays),-MAX(0,N($F137)-1),WorkWeek,Holidays)),0))</f>
        <v>0</v>
      </c>
      <c r="AO137" s="48" t="n">
        <f aca="false">IF($AJ137=1,$R137,0)</f>
        <v>0</v>
      </c>
      <c r="AP137" s="48" t="n">
        <f aca="false">IF($AJ137=1,$S137,0)</f>
        <v>0</v>
      </c>
      <c r="AQ137" s="49" t="n">
        <f aca="false">IF(AND($AJ137=1,N($Z137)&gt;0),$Z137/($AP137-$AO137+1),0)</f>
        <v>0</v>
      </c>
      <c r="AR137" s="46" t="n">
        <f aca="false">IF($AJ137=1,MAX(N($F137),0.1),0)</f>
        <v>0</v>
      </c>
      <c r="AS137" s="46" t="n">
        <f aca="false">IF($AJ137=1,$AR137*$V137,0)</f>
        <v>0</v>
      </c>
      <c r="AT137" s="46" t="str">
        <f aca="false">IF(N($G137)=0,"",$G137&amp;IF(AND(IF($H137="","FS",$H137)="FS",N($I137)=0),"",IF($H137="","FS",$H137)&amp;IF(N($I137)=0,"",IF(N($I137)&gt;0,"+","")&amp;N($I137)&amp;"d")))</f>
        <v/>
      </c>
      <c r="AU137" s="46" t="str">
        <f aca="false">IF(N($J137)=0,"",$J137&amp;IF(AND(IF($K137="","FS",$K137)="FS",N($L137)=0),"",IF($K137="","FS",$K137)&amp;IF(N($L137)=0,"",IF(N($L137)&gt;0,"+","")&amp;N($L137)&amp;"d")))</f>
        <v/>
      </c>
      <c r="AV137" s="46" t="str">
        <f aca="false">IF(AND($AJ137=1,N($F137)=0,$V137&lt;1),$S137+$AF137/100000,"")</f>
        <v/>
      </c>
    </row>
    <row r="138" customFormat="false" ht="15" hidden="false" customHeight="false" outlineLevel="0" collapsed="false">
      <c r="A138" s="38" t="str">
        <f aca="false">IF($D138="","",COUNTA($D$6:$D138))</f>
        <v/>
      </c>
      <c r="B138" s="39" t="str">
        <f aca="true">IF($D138="","",IF($AE138=1,COUNTIF($AE$6:$AE138,1)&amp;"",IF($AG138=0,"?",OFFSET(hdr_WBS,$AG138-ROW(hdr_WBS),0)&amp;"."&amp;COUNTIF(INDEX($AE:$AE,$AG138+1):$AE138,$AE138))))</f>
        <v/>
      </c>
      <c r="C138" s="40"/>
      <c r="D138" s="41"/>
      <c r="E138" s="40"/>
      <c r="F138" s="40"/>
      <c r="G138" s="40"/>
      <c r="H138" s="40"/>
      <c r="I138" s="40"/>
      <c r="J138" s="40"/>
      <c r="K138" s="40"/>
      <c r="L138" s="40"/>
      <c r="M138" s="29"/>
      <c r="N138" s="30" t="str">
        <f aca="true">IF($D138="","",IF($AI138,MIN(OFFSET(hdr_PlanStart,$AF138+1,0,$AH138,1)),IF($E138="Manual",IF(N($M138)&gt;0,$M138,ProjectStart),WORKDAY.INTL(MAX(ProjectStart,N($M138),$AK138,$AL138)-1,1,WorkWeek,Holidays))))</f>
        <v/>
      </c>
      <c r="O138" s="30" t="str">
        <f aca="true">IF($D138="","",IF($AI138,MAX(OFFSET(hdr_PlanFinish,$AF138+1,0,$AH138,1)),IF(N($F138)&lt;=0,$N138,WORKDAY.INTL($N138,$F138-1,WorkWeek,Holidays))))</f>
        <v/>
      </c>
      <c r="P138" s="29"/>
      <c r="Q138" s="29"/>
      <c r="R138" s="30" t="str">
        <f aca="true">IF($D138="","",IF($AI138,MIN(OFFSET(hdr_FcStart,$AF138+1,0,$AH138,1)),IF(N($P138)&gt;0,$P138,IF($E138="Manual",IF(N($M138)&gt;0,$M138,ProjectStart),WORKDAY.INTL(MAX(ProjectStart,N($M138),$AM138,$AN138,IF(RescheduleAfterStatus="Yes",StatusDate,0))-1,1,WorkWeek,Holidays)))))</f>
        <v/>
      </c>
      <c r="S138" s="30" t="str">
        <f aca="true">IF($D138="","",IF($AI138,MAX(OFFSET(hdr_FcFinish,$AF138+1,0,$AH138,1)),IF(N($Q138)&gt;0,$Q138,IF(N($F138)&lt;=0,$R138,IF(AND(N($P138)&gt;0,RescheduleAfterStatus="Yes"),MAX(WORKDAY.INTL($R138,$F138-1,WorkWeek,Holidays),WORKDAY.INTL(StatusWorkday,MAX(0,ROUNDUP($F138*(1-MIN(1,N($U138))),0)-1),WorkWeek,Holidays)),WORKDAY.INTL($R138,$F138-1,WorkWeek,Holidays))))))</f>
        <v/>
      </c>
      <c r="T138" s="38" t="str">
        <f aca="false">IF($D138="","",IF($S138&gt;=$O138,NETWORKDAYS.INTL($O138,$S138,WorkWeek,Holidays)-1,1-NETWORKDAYS.INTL($S138,$O138,WorkWeek,Holidays)))</f>
        <v/>
      </c>
      <c r="U138" s="32"/>
      <c r="V138" s="42" t="str">
        <f aca="true">IF($D138="","",IF($AI138,IFERROR(SUM(OFFSET(hdr_WtDone,$AF138+1,0,$AH138,1))/SUM(OFFSET(hdr_WtDur,$AF138+1,0,$AH138,1)),0),IF(N($Q138)&gt;0,1,MIN(1,N($U138)))))</f>
        <v/>
      </c>
      <c r="W138" s="39" t="str">
        <f aca="false">IF($D138="","",IF($V138&gt;=1,"Complete",IF(OR(N($P138)&gt;0,$V138&gt;0),IF($T138&gt;0,"Behind","In Progress"),IF($N138&lt;StatusDate,"Late Start","Not Started"))))</f>
        <v/>
      </c>
      <c r="X138" s="41"/>
      <c r="Y138" s="32"/>
      <c r="Z138" s="43" t="str">
        <f aca="true">IF($D138="","",IF($AI138,SUMPRODUCT(OFFSET(hdr_Work,$AF138+1,0,$AH138,1),OFFSET(hdr_IsLeaf,$AF138+1,0,$AH138,1)),IF($X138="",0,N($F138)*HoursPerDay*IF($Y138="",DefaultUnits,$Y138))))</f>
        <v/>
      </c>
      <c r="AA138" s="44" t="str">
        <f aca="true">IF($D138="","",IF($AI138,SUMPRODUCT(OFFSET(hdr_Cost,$AF138+1,0,$AH138,1),OFFSET(hdr_IsLeaf,$AF138+1,0,$AH138,1)),$Z138*IFERROR(INDEX(res_Rate,MATCH($X138,res_Name,0)),0)))</f>
        <v/>
      </c>
      <c r="AB138" s="38" t="str">
        <f aca="false">IF(OR($D138="",$AI138),"",IF(OR($R138&lt;Sprint1Start,$R138&gt;SprintLastEnd),"Backlog",INDEX(spr_Name,MATCH($R138,spr_Start,1))))</f>
        <v/>
      </c>
      <c r="AC138" s="45" t="str">
        <f aca="false">IF($D138="","",$AT138&amp;IF(AND($AT138&lt;&gt;"",$AU138&lt;&gt;""),",","")&amp;$AU138)</f>
        <v/>
      </c>
      <c r="AD138" s="41"/>
      <c r="AE138" s="46" t="str">
        <f aca="false">IF($D138="","",MAX(1,N($C138)))</f>
        <v/>
      </c>
      <c r="AF138" s="46" t="n">
        <f aca="false">ROW()-ROW(hdr_ID)</f>
        <v>133</v>
      </c>
      <c r="AG138" s="46" t="n">
        <f aca="false">IF(OR($D138="",$AE138&lt;=1),0,IFERROR(LOOKUP(2,1/($AE$5:$AE137=$AE138-1),ROW($AE$5:$AE137)),0))</f>
        <v>0</v>
      </c>
      <c r="AH138" s="46" t="n">
        <f aca="false">IF($D138="",0,COUNTIF(tsk_WBS,$B138&amp;".*"))</f>
        <v>0</v>
      </c>
      <c r="AI138" s="47" t="b">
        <f aca="false">$AH138&gt;0</f>
        <v>0</v>
      </c>
      <c r="AJ138" s="46" t="n">
        <f aca="false">IF(AND($D138&lt;&gt;"",NOT($AI138)),1,0)</f>
        <v>0</v>
      </c>
      <c r="AK138" s="48" t="n">
        <f aca="true">IF(OR(N($G138)=0,$AI138,$D138=""),0,IFERROR(CHOOSE(MATCH(IF($H138="","FS",$H138),{"FS","SS","FF","SF"},0),WORKDAY.INTL(OFFSET(hdr_PlanFinish,MATCH($G138,tsk_ID,0),0),IF(N($F138)=0,0,1)+N($I138),WorkWeek,Holidays),WORKDAY.INTL(OFFSET(hdr_PlanStart,MATCH($G138,tsk_ID,0),0),N($I138),WorkWeek,Holidays),WORKDAY.INTL(WORKDAY.INTL(OFFSET(hdr_PlanFinish,MATCH($G138,tsk_ID,0),0),N($I138),WorkWeek,Holidays),-MAX(0,N($F138)-1),WorkWeek,Holidays),WORKDAY.INTL(WORKDAY.INTL(OFFSET(hdr_PlanStart,MATCH($G138,tsk_ID,0),0),N($I138),WorkWeek,Holidays),-MAX(0,N($F138)-1),WorkWeek,Holidays)),0))</f>
        <v>0</v>
      </c>
      <c r="AL138" s="48" t="n">
        <f aca="true">IF(OR(N($J138)=0,$AI138,$D138=""),0,IFERROR(CHOOSE(MATCH(IF($K138="","FS",$K138),{"FS","SS","FF","SF"},0),WORKDAY.INTL(OFFSET(hdr_PlanFinish,MATCH($J138,tsk_ID,0),0),IF(N($F138)=0,0,1)+N($L138),WorkWeek,Holidays),WORKDAY.INTL(OFFSET(hdr_PlanStart,MATCH($J138,tsk_ID,0),0),N($L138),WorkWeek,Holidays),WORKDAY.INTL(WORKDAY.INTL(OFFSET(hdr_PlanFinish,MATCH($J138,tsk_ID,0),0),N($L138),WorkWeek,Holidays),-MAX(0,N($F138)-1),WorkWeek,Holidays),WORKDAY.INTL(WORKDAY.INTL(OFFSET(hdr_PlanStart,MATCH($J138,tsk_ID,0),0),N($L138),WorkWeek,Holidays),-MAX(0,N($F138)-1),WorkWeek,Holidays)),0))</f>
        <v>0</v>
      </c>
      <c r="AM138" s="48" t="n">
        <f aca="true">IF(OR(N($G138)=0,$AI138,$D138=""),0,IFERROR(CHOOSE(MATCH(IF($H138="","FS",$H138),{"FS","SS","FF","SF"},0),WORKDAY.INTL(OFFSET(hdr_FcFinish,MATCH($G138,tsk_ID,0),0),IF(N($F138)=0,0,1)+N($I138),WorkWeek,Holidays),WORKDAY.INTL(OFFSET(hdr_FcStart,MATCH($G138,tsk_ID,0),0),N($I138),WorkWeek,Holidays),WORKDAY.INTL(WORKDAY.INTL(OFFSET(hdr_FcFinish,MATCH($G138,tsk_ID,0),0),N($I138),WorkWeek,Holidays),-MAX(0,N($F138)-1),WorkWeek,Holidays),WORKDAY.INTL(WORKDAY.INTL(OFFSET(hdr_FcStart,MATCH($G138,tsk_ID,0),0),N($I138),WorkWeek,Holidays),-MAX(0,N($F138)-1),WorkWeek,Holidays)),0))</f>
        <v>0</v>
      </c>
      <c r="AN138" s="48" t="n">
        <f aca="true">IF(OR(N($J138)=0,$AI138,$D138=""),0,IFERROR(CHOOSE(MATCH(IF($K138="","FS",$K138),{"FS","SS","FF","SF"},0),WORKDAY.INTL(OFFSET(hdr_FcFinish,MATCH($J138,tsk_ID,0),0),IF(N($F138)=0,0,1)+N($L138),WorkWeek,Holidays),WORKDAY.INTL(OFFSET(hdr_FcStart,MATCH($J138,tsk_ID,0),0),N($L138),WorkWeek,Holidays),WORKDAY.INTL(WORKDAY.INTL(OFFSET(hdr_FcFinish,MATCH($J138,tsk_ID,0),0),N($L138),WorkWeek,Holidays),-MAX(0,N($F138)-1),WorkWeek,Holidays),WORKDAY.INTL(WORKDAY.INTL(OFFSET(hdr_FcStart,MATCH($J138,tsk_ID,0),0),N($L138),WorkWeek,Holidays),-MAX(0,N($F138)-1),WorkWeek,Holidays)),0))</f>
        <v>0</v>
      </c>
      <c r="AO138" s="48" t="n">
        <f aca="false">IF($AJ138=1,$R138,0)</f>
        <v>0</v>
      </c>
      <c r="AP138" s="48" t="n">
        <f aca="false">IF($AJ138=1,$S138,0)</f>
        <v>0</v>
      </c>
      <c r="AQ138" s="49" t="n">
        <f aca="false">IF(AND($AJ138=1,N($Z138)&gt;0),$Z138/($AP138-$AO138+1),0)</f>
        <v>0</v>
      </c>
      <c r="AR138" s="46" t="n">
        <f aca="false">IF($AJ138=1,MAX(N($F138),0.1),0)</f>
        <v>0</v>
      </c>
      <c r="AS138" s="46" t="n">
        <f aca="false">IF($AJ138=1,$AR138*$V138,0)</f>
        <v>0</v>
      </c>
      <c r="AT138" s="46" t="str">
        <f aca="false">IF(N($G138)=0,"",$G138&amp;IF(AND(IF($H138="","FS",$H138)="FS",N($I138)=0),"",IF($H138="","FS",$H138)&amp;IF(N($I138)=0,"",IF(N($I138)&gt;0,"+","")&amp;N($I138)&amp;"d")))</f>
        <v/>
      </c>
      <c r="AU138" s="46" t="str">
        <f aca="false">IF(N($J138)=0,"",$J138&amp;IF(AND(IF($K138="","FS",$K138)="FS",N($L138)=0),"",IF($K138="","FS",$K138)&amp;IF(N($L138)=0,"",IF(N($L138)&gt;0,"+","")&amp;N($L138)&amp;"d")))</f>
        <v/>
      </c>
      <c r="AV138" s="46" t="str">
        <f aca="false">IF(AND($AJ138=1,N($F138)=0,$V138&lt;1),$S138+$AF138/100000,"")</f>
        <v/>
      </c>
    </row>
    <row r="139" customFormat="false" ht="15" hidden="false" customHeight="false" outlineLevel="0" collapsed="false">
      <c r="A139" s="38" t="str">
        <f aca="false">IF($D139="","",COUNTA($D$6:$D139))</f>
        <v/>
      </c>
      <c r="B139" s="39" t="str">
        <f aca="true">IF($D139="","",IF($AE139=1,COUNTIF($AE$6:$AE139,1)&amp;"",IF($AG139=0,"?",OFFSET(hdr_WBS,$AG139-ROW(hdr_WBS),0)&amp;"."&amp;COUNTIF(INDEX($AE:$AE,$AG139+1):$AE139,$AE139))))</f>
        <v/>
      </c>
      <c r="C139" s="40"/>
      <c r="D139" s="41"/>
      <c r="E139" s="40"/>
      <c r="F139" s="40"/>
      <c r="G139" s="40"/>
      <c r="H139" s="40"/>
      <c r="I139" s="40"/>
      <c r="J139" s="40"/>
      <c r="K139" s="40"/>
      <c r="L139" s="40"/>
      <c r="M139" s="29"/>
      <c r="N139" s="30" t="str">
        <f aca="true">IF($D139="","",IF($AI139,MIN(OFFSET(hdr_PlanStart,$AF139+1,0,$AH139,1)),IF($E139="Manual",IF(N($M139)&gt;0,$M139,ProjectStart),WORKDAY.INTL(MAX(ProjectStart,N($M139),$AK139,$AL139)-1,1,WorkWeek,Holidays))))</f>
        <v/>
      </c>
      <c r="O139" s="30" t="str">
        <f aca="true">IF($D139="","",IF($AI139,MAX(OFFSET(hdr_PlanFinish,$AF139+1,0,$AH139,1)),IF(N($F139)&lt;=0,$N139,WORKDAY.INTL($N139,$F139-1,WorkWeek,Holidays))))</f>
        <v/>
      </c>
      <c r="P139" s="29"/>
      <c r="Q139" s="29"/>
      <c r="R139" s="30" t="str">
        <f aca="true">IF($D139="","",IF($AI139,MIN(OFFSET(hdr_FcStart,$AF139+1,0,$AH139,1)),IF(N($P139)&gt;0,$P139,IF($E139="Manual",IF(N($M139)&gt;0,$M139,ProjectStart),WORKDAY.INTL(MAX(ProjectStart,N($M139),$AM139,$AN139,IF(RescheduleAfterStatus="Yes",StatusDate,0))-1,1,WorkWeek,Holidays)))))</f>
        <v/>
      </c>
      <c r="S139" s="30" t="str">
        <f aca="true">IF($D139="","",IF($AI139,MAX(OFFSET(hdr_FcFinish,$AF139+1,0,$AH139,1)),IF(N($Q139)&gt;0,$Q139,IF(N($F139)&lt;=0,$R139,IF(AND(N($P139)&gt;0,RescheduleAfterStatus="Yes"),MAX(WORKDAY.INTL($R139,$F139-1,WorkWeek,Holidays),WORKDAY.INTL(StatusWorkday,MAX(0,ROUNDUP($F139*(1-MIN(1,N($U139))),0)-1),WorkWeek,Holidays)),WORKDAY.INTL($R139,$F139-1,WorkWeek,Holidays))))))</f>
        <v/>
      </c>
      <c r="T139" s="38" t="str">
        <f aca="false">IF($D139="","",IF($S139&gt;=$O139,NETWORKDAYS.INTL($O139,$S139,WorkWeek,Holidays)-1,1-NETWORKDAYS.INTL($S139,$O139,WorkWeek,Holidays)))</f>
        <v/>
      </c>
      <c r="U139" s="32"/>
      <c r="V139" s="42" t="str">
        <f aca="true">IF($D139="","",IF($AI139,IFERROR(SUM(OFFSET(hdr_WtDone,$AF139+1,0,$AH139,1))/SUM(OFFSET(hdr_WtDur,$AF139+1,0,$AH139,1)),0),IF(N($Q139)&gt;0,1,MIN(1,N($U139)))))</f>
        <v/>
      </c>
      <c r="W139" s="39" t="str">
        <f aca="false">IF($D139="","",IF($V139&gt;=1,"Complete",IF(OR(N($P139)&gt;0,$V139&gt;0),IF($T139&gt;0,"Behind","In Progress"),IF($N139&lt;StatusDate,"Late Start","Not Started"))))</f>
        <v/>
      </c>
      <c r="X139" s="41"/>
      <c r="Y139" s="32"/>
      <c r="Z139" s="43" t="str">
        <f aca="true">IF($D139="","",IF($AI139,SUMPRODUCT(OFFSET(hdr_Work,$AF139+1,0,$AH139,1),OFFSET(hdr_IsLeaf,$AF139+1,0,$AH139,1)),IF($X139="",0,N($F139)*HoursPerDay*IF($Y139="",DefaultUnits,$Y139))))</f>
        <v/>
      </c>
      <c r="AA139" s="44" t="str">
        <f aca="true">IF($D139="","",IF($AI139,SUMPRODUCT(OFFSET(hdr_Cost,$AF139+1,0,$AH139,1),OFFSET(hdr_IsLeaf,$AF139+1,0,$AH139,1)),$Z139*IFERROR(INDEX(res_Rate,MATCH($X139,res_Name,0)),0)))</f>
        <v/>
      </c>
      <c r="AB139" s="38" t="str">
        <f aca="false">IF(OR($D139="",$AI139),"",IF(OR($R139&lt;Sprint1Start,$R139&gt;SprintLastEnd),"Backlog",INDEX(spr_Name,MATCH($R139,spr_Start,1))))</f>
        <v/>
      </c>
      <c r="AC139" s="45" t="str">
        <f aca="false">IF($D139="","",$AT139&amp;IF(AND($AT139&lt;&gt;"",$AU139&lt;&gt;""),",","")&amp;$AU139)</f>
        <v/>
      </c>
      <c r="AD139" s="41"/>
      <c r="AE139" s="46" t="str">
        <f aca="false">IF($D139="","",MAX(1,N($C139)))</f>
        <v/>
      </c>
      <c r="AF139" s="46" t="n">
        <f aca="false">ROW()-ROW(hdr_ID)</f>
        <v>134</v>
      </c>
      <c r="AG139" s="46" t="n">
        <f aca="false">IF(OR($D139="",$AE139&lt;=1),0,IFERROR(LOOKUP(2,1/($AE$5:$AE138=$AE139-1),ROW($AE$5:$AE138)),0))</f>
        <v>0</v>
      </c>
      <c r="AH139" s="46" t="n">
        <f aca="false">IF($D139="",0,COUNTIF(tsk_WBS,$B139&amp;".*"))</f>
        <v>0</v>
      </c>
      <c r="AI139" s="47" t="b">
        <f aca="false">$AH139&gt;0</f>
        <v>0</v>
      </c>
      <c r="AJ139" s="46" t="n">
        <f aca="false">IF(AND($D139&lt;&gt;"",NOT($AI139)),1,0)</f>
        <v>0</v>
      </c>
      <c r="AK139" s="48" t="n">
        <f aca="true">IF(OR(N($G139)=0,$AI139,$D139=""),0,IFERROR(CHOOSE(MATCH(IF($H139="","FS",$H139),{"FS","SS","FF","SF"},0),WORKDAY.INTL(OFFSET(hdr_PlanFinish,MATCH($G139,tsk_ID,0),0),IF(N($F139)=0,0,1)+N($I139),WorkWeek,Holidays),WORKDAY.INTL(OFFSET(hdr_PlanStart,MATCH($G139,tsk_ID,0),0),N($I139),WorkWeek,Holidays),WORKDAY.INTL(WORKDAY.INTL(OFFSET(hdr_PlanFinish,MATCH($G139,tsk_ID,0),0),N($I139),WorkWeek,Holidays),-MAX(0,N($F139)-1),WorkWeek,Holidays),WORKDAY.INTL(WORKDAY.INTL(OFFSET(hdr_PlanStart,MATCH($G139,tsk_ID,0),0),N($I139),WorkWeek,Holidays),-MAX(0,N($F139)-1),WorkWeek,Holidays)),0))</f>
        <v>0</v>
      </c>
      <c r="AL139" s="48" t="n">
        <f aca="true">IF(OR(N($J139)=0,$AI139,$D139=""),0,IFERROR(CHOOSE(MATCH(IF($K139="","FS",$K139),{"FS","SS","FF","SF"},0),WORKDAY.INTL(OFFSET(hdr_PlanFinish,MATCH($J139,tsk_ID,0),0),IF(N($F139)=0,0,1)+N($L139),WorkWeek,Holidays),WORKDAY.INTL(OFFSET(hdr_PlanStart,MATCH($J139,tsk_ID,0),0),N($L139),WorkWeek,Holidays),WORKDAY.INTL(WORKDAY.INTL(OFFSET(hdr_PlanFinish,MATCH($J139,tsk_ID,0),0),N($L139),WorkWeek,Holidays),-MAX(0,N($F139)-1),WorkWeek,Holidays),WORKDAY.INTL(WORKDAY.INTL(OFFSET(hdr_PlanStart,MATCH($J139,tsk_ID,0),0),N($L139),WorkWeek,Holidays),-MAX(0,N($F139)-1),WorkWeek,Holidays)),0))</f>
        <v>0</v>
      </c>
      <c r="AM139" s="48" t="n">
        <f aca="true">IF(OR(N($G139)=0,$AI139,$D139=""),0,IFERROR(CHOOSE(MATCH(IF($H139="","FS",$H139),{"FS","SS","FF","SF"},0),WORKDAY.INTL(OFFSET(hdr_FcFinish,MATCH($G139,tsk_ID,0),0),IF(N($F139)=0,0,1)+N($I139),WorkWeek,Holidays),WORKDAY.INTL(OFFSET(hdr_FcStart,MATCH($G139,tsk_ID,0),0),N($I139),WorkWeek,Holidays),WORKDAY.INTL(WORKDAY.INTL(OFFSET(hdr_FcFinish,MATCH($G139,tsk_ID,0),0),N($I139),WorkWeek,Holidays),-MAX(0,N($F139)-1),WorkWeek,Holidays),WORKDAY.INTL(WORKDAY.INTL(OFFSET(hdr_FcStart,MATCH($G139,tsk_ID,0),0),N($I139),WorkWeek,Holidays),-MAX(0,N($F139)-1),WorkWeek,Holidays)),0))</f>
        <v>0</v>
      </c>
      <c r="AN139" s="48" t="n">
        <f aca="true">IF(OR(N($J139)=0,$AI139,$D139=""),0,IFERROR(CHOOSE(MATCH(IF($K139="","FS",$K139),{"FS","SS","FF","SF"},0),WORKDAY.INTL(OFFSET(hdr_FcFinish,MATCH($J139,tsk_ID,0),0),IF(N($F139)=0,0,1)+N($L139),WorkWeek,Holidays),WORKDAY.INTL(OFFSET(hdr_FcStart,MATCH($J139,tsk_ID,0),0),N($L139),WorkWeek,Holidays),WORKDAY.INTL(WORKDAY.INTL(OFFSET(hdr_FcFinish,MATCH($J139,tsk_ID,0),0),N($L139),WorkWeek,Holidays),-MAX(0,N($F139)-1),WorkWeek,Holidays),WORKDAY.INTL(WORKDAY.INTL(OFFSET(hdr_FcStart,MATCH($J139,tsk_ID,0),0),N($L139),WorkWeek,Holidays),-MAX(0,N($F139)-1),WorkWeek,Holidays)),0))</f>
        <v>0</v>
      </c>
      <c r="AO139" s="48" t="n">
        <f aca="false">IF($AJ139=1,$R139,0)</f>
        <v>0</v>
      </c>
      <c r="AP139" s="48" t="n">
        <f aca="false">IF($AJ139=1,$S139,0)</f>
        <v>0</v>
      </c>
      <c r="AQ139" s="49" t="n">
        <f aca="false">IF(AND($AJ139=1,N($Z139)&gt;0),$Z139/($AP139-$AO139+1),0)</f>
        <v>0</v>
      </c>
      <c r="AR139" s="46" t="n">
        <f aca="false">IF($AJ139=1,MAX(N($F139),0.1),0)</f>
        <v>0</v>
      </c>
      <c r="AS139" s="46" t="n">
        <f aca="false">IF($AJ139=1,$AR139*$V139,0)</f>
        <v>0</v>
      </c>
      <c r="AT139" s="46" t="str">
        <f aca="false">IF(N($G139)=0,"",$G139&amp;IF(AND(IF($H139="","FS",$H139)="FS",N($I139)=0),"",IF($H139="","FS",$H139)&amp;IF(N($I139)=0,"",IF(N($I139)&gt;0,"+","")&amp;N($I139)&amp;"d")))</f>
        <v/>
      </c>
      <c r="AU139" s="46" t="str">
        <f aca="false">IF(N($J139)=0,"",$J139&amp;IF(AND(IF($K139="","FS",$K139)="FS",N($L139)=0),"",IF($K139="","FS",$K139)&amp;IF(N($L139)=0,"",IF(N($L139)&gt;0,"+","")&amp;N($L139)&amp;"d")))</f>
        <v/>
      </c>
      <c r="AV139" s="46" t="str">
        <f aca="false">IF(AND($AJ139=1,N($F139)=0,$V139&lt;1),$S139+$AF139/100000,"")</f>
        <v/>
      </c>
    </row>
    <row r="140" customFormat="false" ht="15" hidden="false" customHeight="false" outlineLevel="0" collapsed="false">
      <c r="A140" s="38" t="str">
        <f aca="false">IF($D140="","",COUNTA($D$6:$D140))</f>
        <v/>
      </c>
      <c r="B140" s="39" t="str">
        <f aca="true">IF($D140="","",IF($AE140=1,COUNTIF($AE$6:$AE140,1)&amp;"",IF($AG140=0,"?",OFFSET(hdr_WBS,$AG140-ROW(hdr_WBS),0)&amp;"."&amp;COUNTIF(INDEX($AE:$AE,$AG140+1):$AE140,$AE140))))</f>
        <v/>
      </c>
      <c r="C140" s="40"/>
      <c r="D140" s="41"/>
      <c r="E140" s="40"/>
      <c r="F140" s="40"/>
      <c r="G140" s="40"/>
      <c r="H140" s="40"/>
      <c r="I140" s="40"/>
      <c r="J140" s="40"/>
      <c r="K140" s="40"/>
      <c r="L140" s="40"/>
      <c r="M140" s="29"/>
      <c r="N140" s="30" t="str">
        <f aca="true">IF($D140="","",IF($AI140,MIN(OFFSET(hdr_PlanStart,$AF140+1,0,$AH140,1)),IF($E140="Manual",IF(N($M140)&gt;0,$M140,ProjectStart),WORKDAY.INTL(MAX(ProjectStart,N($M140),$AK140,$AL140)-1,1,WorkWeek,Holidays))))</f>
        <v/>
      </c>
      <c r="O140" s="30" t="str">
        <f aca="true">IF($D140="","",IF($AI140,MAX(OFFSET(hdr_PlanFinish,$AF140+1,0,$AH140,1)),IF(N($F140)&lt;=0,$N140,WORKDAY.INTL($N140,$F140-1,WorkWeek,Holidays))))</f>
        <v/>
      </c>
      <c r="P140" s="29"/>
      <c r="Q140" s="29"/>
      <c r="R140" s="30" t="str">
        <f aca="true">IF($D140="","",IF($AI140,MIN(OFFSET(hdr_FcStart,$AF140+1,0,$AH140,1)),IF(N($P140)&gt;0,$P140,IF($E140="Manual",IF(N($M140)&gt;0,$M140,ProjectStart),WORKDAY.INTL(MAX(ProjectStart,N($M140),$AM140,$AN140,IF(RescheduleAfterStatus="Yes",StatusDate,0))-1,1,WorkWeek,Holidays)))))</f>
        <v/>
      </c>
      <c r="S140" s="30" t="str">
        <f aca="true">IF($D140="","",IF($AI140,MAX(OFFSET(hdr_FcFinish,$AF140+1,0,$AH140,1)),IF(N($Q140)&gt;0,$Q140,IF(N($F140)&lt;=0,$R140,IF(AND(N($P140)&gt;0,RescheduleAfterStatus="Yes"),MAX(WORKDAY.INTL($R140,$F140-1,WorkWeek,Holidays),WORKDAY.INTL(StatusWorkday,MAX(0,ROUNDUP($F140*(1-MIN(1,N($U140))),0)-1),WorkWeek,Holidays)),WORKDAY.INTL($R140,$F140-1,WorkWeek,Holidays))))))</f>
        <v/>
      </c>
      <c r="T140" s="38" t="str">
        <f aca="false">IF($D140="","",IF($S140&gt;=$O140,NETWORKDAYS.INTL($O140,$S140,WorkWeek,Holidays)-1,1-NETWORKDAYS.INTL($S140,$O140,WorkWeek,Holidays)))</f>
        <v/>
      </c>
      <c r="U140" s="32"/>
      <c r="V140" s="42" t="str">
        <f aca="true">IF($D140="","",IF($AI140,IFERROR(SUM(OFFSET(hdr_WtDone,$AF140+1,0,$AH140,1))/SUM(OFFSET(hdr_WtDur,$AF140+1,0,$AH140,1)),0),IF(N($Q140)&gt;0,1,MIN(1,N($U140)))))</f>
        <v/>
      </c>
      <c r="W140" s="39" t="str">
        <f aca="false">IF($D140="","",IF($V140&gt;=1,"Complete",IF(OR(N($P140)&gt;0,$V140&gt;0),IF($T140&gt;0,"Behind","In Progress"),IF($N140&lt;StatusDate,"Late Start","Not Started"))))</f>
        <v/>
      </c>
      <c r="X140" s="41"/>
      <c r="Y140" s="32"/>
      <c r="Z140" s="43" t="str">
        <f aca="true">IF($D140="","",IF($AI140,SUMPRODUCT(OFFSET(hdr_Work,$AF140+1,0,$AH140,1),OFFSET(hdr_IsLeaf,$AF140+1,0,$AH140,1)),IF($X140="",0,N($F140)*HoursPerDay*IF($Y140="",DefaultUnits,$Y140))))</f>
        <v/>
      </c>
      <c r="AA140" s="44" t="str">
        <f aca="true">IF($D140="","",IF($AI140,SUMPRODUCT(OFFSET(hdr_Cost,$AF140+1,0,$AH140,1),OFFSET(hdr_IsLeaf,$AF140+1,0,$AH140,1)),$Z140*IFERROR(INDEX(res_Rate,MATCH($X140,res_Name,0)),0)))</f>
        <v/>
      </c>
      <c r="AB140" s="38" t="str">
        <f aca="false">IF(OR($D140="",$AI140),"",IF(OR($R140&lt;Sprint1Start,$R140&gt;SprintLastEnd),"Backlog",INDEX(spr_Name,MATCH($R140,spr_Start,1))))</f>
        <v/>
      </c>
      <c r="AC140" s="45" t="str">
        <f aca="false">IF($D140="","",$AT140&amp;IF(AND($AT140&lt;&gt;"",$AU140&lt;&gt;""),",","")&amp;$AU140)</f>
        <v/>
      </c>
      <c r="AD140" s="41"/>
      <c r="AE140" s="46" t="str">
        <f aca="false">IF($D140="","",MAX(1,N($C140)))</f>
        <v/>
      </c>
      <c r="AF140" s="46" t="n">
        <f aca="false">ROW()-ROW(hdr_ID)</f>
        <v>135</v>
      </c>
      <c r="AG140" s="46" t="n">
        <f aca="false">IF(OR($D140="",$AE140&lt;=1),0,IFERROR(LOOKUP(2,1/($AE$5:$AE139=$AE140-1),ROW($AE$5:$AE139)),0))</f>
        <v>0</v>
      </c>
      <c r="AH140" s="46" t="n">
        <f aca="false">IF($D140="",0,COUNTIF(tsk_WBS,$B140&amp;".*"))</f>
        <v>0</v>
      </c>
      <c r="AI140" s="47" t="b">
        <f aca="false">$AH140&gt;0</f>
        <v>0</v>
      </c>
      <c r="AJ140" s="46" t="n">
        <f aca="false">IF(AND($D140&lt;&gt;"",NOT($AI140)),1,0)</f>
        <v>0</v>
      </c>
      <c r="AK140" s="48" t="n">
        <f aca="true">IF(OR(N($G140)=0,$AI140,$D140=""),0,IFERROR(CHOOSE(MATCH(IF($H140="","FS",$H140),{"FS","SS","FF","SF"},0),WORKDAY.INTL(OFFSET(hdr_PlanFinish,MATCH($G140,tsk_ID,0),0),IF(N($F140)=0,0,1)+N($I140),WorkWeek,Holidays),WORKDAY.INTL(OFFSET(hdr_PlanStart,MATCH($G140,tsk_ID,0),0),N($I140),WorkWeek,Holidays),WORKDAY.INTL(WORKDAY.INTL(OFFSET(hdr_PlanFinish,MATCH($G140,tsk_ID,0),0),N($I140),WorkWeek,Holidays),-MAX(0,N($F140)-1),WorkWeek,Holidays),WORKDAY.INTL(WORKDAY.INTL(OFFSET(hdr_PlanStart,MATCH($G140,tsk_ID,0),0),N($I140),WorkWeek,Holidays),-MAX(0,N($F140)-1),WorkWeek,Holidays)),0))</f>
        <v>0</v>
      </c>
      <c r="AL140" s="48" t="n">
        <f aca="true">IF(OR(N($J140)=0,$AI140,$D140=""),0,IFERROR(CHOOSE(MATCH(IF($K140="","FS",$K140),{"FS","SS","FF","SF"},0),WORKDAY.INTL(OFFSET(hdr_PlanFinish,MATCH($J140,tsk_ID,0),0),IF(N($F140)=0,0,1)+N($L140),WorkWeek,Holidays),WORKDAY.INTL(OFFSET(hdr_PlanStart,MATCH($J140,tsk_ID,0),0),N($L140),WorkWeek,Holidays),WORKDAY.INTL(WORKDAY.INTL(OFFSET(hdr_PlanFinish,MATCH($J140,tsk_ID,0),0),N($L140),WorkWeek,Holidays),-MAX(0,N($F140)-1),WorkWeek,Holidays),WORKDAY.INTL(WORKDAY.INTL(OFFSET(hdr_PlanStart,MATCH($J140,tsk_ID,0),0),N($L140),WorkWeek,Holidays),-MAX(0,N($F140)-1),WorkWeek,Holidays)),0))</f>
        <v>0</v>
      </c>
      <c r="AM140" s="48" t="n">
        <f aca="true">IF(OR(N($G140)=0,$AI140,$D140=""),0,IFERROR(CHOOSE(MATCH(IF($H140="","FS",$H140),{"FS","SS","FF","SF"},0),WORKDAY.INTL(OFFSET(hdr_FcFinish,MATCH($G140,tsk_ID,0),0),IF(N($F140)=0,0,1)+N($I140),WorkWeek,Holidays),WORKDAY.INTL(OFFSET(hdr_FcStart,MATCH($G140,tsk_ID,0),0),N($I140),WorkWeek,Holidays),WORKDAY.INTL(WORKDAY.INTL(OFFSET(hdr_FcFinish,MATCH($G140,tsk_ID,0),0),N($I140),WorkWeek,Holidays),-MAX(0,N($F140)-1),WorkWeek,Holidays),WORKDAY.INTL(WORKDAY.INTL(OFFSET(hdr_FcStart,MATCH($G140,tsk_ID,0),0),N($I140),WorkWeek,Holidays),-MAX(0,N($F140)-1),WorkWeek,Holidays)),0))</f>
        <v>0</v>
      </c>
      <c r="AN140" s="48" t="n">
        <f aca="true">IF(OR(N($J140)=0,$AI140,$D140=""),0,IFERROR(CHOOSE(MATCH(IF($K140="","FS",$K140),{"FS","SS","FF","SF"},0),WORKDAY.INTL(OFFSET(hdr_FcFinish,MATCH($J140,tsk_ID,0),0),IF(N($F140)=0,0,1)+N($L140),WorkWeek,Holidays),WORKDAY.INTL(OFFSET(hdr_FcStart,MATCH($J140,tsk_ID,0),0),N($L140),WorkWeek,Holidays),WORKDAY.INTL(WORKDAY.INTL(OFFSET(hdr_FcFinish,MATCH($J140,tsk_ID,0),0),N($L140),WorkWeek,Holidays),-MAX(0,N($F140)-1),WorkWeek,Holidays),WORKDAY.INTL(WORKDAY.INTL(OFFSET(hdr_FcStart,MATCH($J140,tsk_ID,0),0),N($L140),WorkWeek,Holidays),-MAX(0,N($F140)-1),WorkWeek,Holidays)),0))</f>
        <v>0</v>
      </c>
      <c r="AO140" s="48" t="n">
        <f aca="false">IF($AJ140=1,$R140,0)</f>
        <v>0</v>
      </c>
      <c r="AP140" s="48" t="n">
        <f aca="false">IF($AJ140=1,$S140,0)</f>
        <v>0</v>
      </c>
      <c r="AQ140" s="49" t="n">
        <f aca="false">IF(AND($AJ140=1,N($Z140)&gt;0),$Z140/($AP140-$AO140+1),0)</f>
        <v>0</v>
      </c>
      <c r="AR140" s="46" t="n">
        <f aca="false">IF($AJ140=1,MAX(N($F140),0.1),0)</f>
        <v>0</v>
      </c>
      <c r="AS140" s="46" t="n">
        <f aca="false">IF($AJ140=1,$AR140*$V140,0)</f>
        <v>0</v>
      </c>
      <c r="AT140" s="46" t="str">
        <f aca="false">IF(N($G140)=0,"",$G140&amp;IF(AND(IF($H140="","FS",$H140)="FS",N($I140)=0),"",IF($H140="","FS",$H140)&amp;IF(N($I140)=0,"",IF(N($I140)&gt;0,"+","")&amp;N($I140)&amp;"d")))</f>
        <v/>
      </c>
      <c r="AU140" s="46" t="str">
        <f aca="false">IF(N($J140)=0,"",$J140&amp;IF(AND(IF($K140="","FS",$K140)="FS",N($L140)=0),"",IF($K140="","FS",$K140)&amp;IF(N($L140)=0,"",IF(N($L140)&gt;0,"+","")&amp;N($L140)&amp;"d")))</f>
        <v/>
      </c>
      <c r="AV140" s="46" t="str">
        <f aca="false">IF(AND($AJ140=1,N($F140)=0,$V140&lt;1),$S140+$AF140/100000,"")</f>
        <v/>
      </c>
    </row>
    <row r="141" customFormat="false" ht="15" hidden="false" customHeight="false" outlineLevel="0" collapsed="false">
      <c r="A141" s="38" t="str">
        <f aca="false">IF($D141="","",COUNTA($D$6:$D141))</f>
        <v/>
      </c>
      <c r="B141" s="39" t="str">
        <f aca="true">IF($D141="","",IF($AE141=1,COUNTIF($AE$6:$AE141,1)&amp;"",IF($AG141=0,"?",OFFSET(hdr_WBS,$AG141-ROW(hdr_WBS),0)&amp;"."&amp;COUNTIF(INDEX($AE:$AE,$AG141+1):$AE141,$AE141))))</f>
        <v/>
      </c>
      <c r="C141" s="40"/>
      <c r="D141" s="41"/>
      <c r="E141" s="40"/>
      <c r="F141" s="40"/>
      <c r="G141" s="40"/>
      <c r="H141" s="40"/>
      <c r="I141" s="40"/>
      <c r="J141" s="40"/>
      <c r="K141" s="40"/>
      <c r="L141" s="40"/>
      <c r="M141" s="29"/>
      <c r="N141" s="30" t="str">
        <f aca="true">IF($D141="","",IF($AI141,MIN(OFFSET(hdr_PlanStart,$AF141+1,0,$AH141,1)),IF($E141="Manual",IF(N($M141)&gt;0,$M141,ProjectStart),WORKDAY.INTL(MAX(ProjectStart,N($M141),$AK141,$AL141)-1,1,WorkWeek,Holidays))))</f>
        <v/>
      </c>
      <c r="O141" s="30" t="str">
        <f aca="true">IF($D141="","",IF($AI141,MAX(OFFSET(hdr_PlanFinish,$AF141+1,0,$AH141,1)),IF(N($F141)&lt;=0,$N141,WORKDAY.INTL($N141,$F141-1,WorkWeek,Holidays))))</f>
        <v/>
      </c>
      <c r="P141" s="29"/>
      <c r="Q141" s="29"/>
      <c r="R141" s="30" t="str">
        <f aca="true">IF($D141="","",IF($AI141,MIN(OFFSET(hdr_FcStart,$AF141+1,0,$AH141,1)),IF(N($P141)&gt;0,$P141,IF($E141="Manual",IF(N($M141)&gt;0,$M141,ProjectStart),WORKDAY.INTL(MAX(ProjectStart,N($M141),$AM141,$AN141,IF(RescheduleAfterStatus="Yes",StatusDate,0))-1,1,WorkWeek,Holidays)))))</f>
        <v/>
      </c>
      <c r="S141" s="30" t="str">
        <f aca="true">IF($D141="","",IF($AI141,MAX(OFFSET(hdr_FcFinish,$AF141+1,0,$AH141,1)),IF(N($Q141)&gt;0,$Q141,IF(N($F141)&lt;=0,$R141,IF(AND(N($P141)&gt;0,RescheduleAfterStatus="Yes"),MAX(WORKDAY.INTL($R141,$F141-1,WorkWeek,Holidays),WORKDAY.INTL(StatusWorkday,MAX(0,ROUNDUP($F141*(1-MIN(1,N($U141))),0)-1),WorkWeek,Holidays)),WORKDAY.INTL($R141,$F141-1,WorkWeek,Holidays))))))</f>
        <v/>
      </c>
      <c r="T141" s="38" t="str">
        <f aca="false">IF($D141="","",IF($S141&gt;=$O141,NETWORKDAYS.INTL($O141,$S141,WorkWeek,Holidays)-1,1-NETWORKDAYS.INTL($S141,$O141,WorkWeek,Holidays)))</f>
        <v/>
      </c>
      <c r="U141" s="32"/>
      <c r="V141" s="42" t="str">
        <f aca="true">IF($D141="","",IF($AI141,IFERROR(SUM(OFFSET(hdr_WtDone,$AF141+1,0,$AH141,1))/SUM(OFFSET(hdr_WtDur,$AF141+1,0,$AH141,1)),0),IF(N($Q141)&gt;0,1,MIN(1,N($U141)))))</f>
        <v/>
      </c>
      <c r="W141" s="39" t="str">
        <f aca="false">IF($D141="","",IF($V141&gt;=1,"Complete",IF(OR(N($P141)&gt;0,$V141&gt;0),IF($T141&gt;0,"Behind","In Progress"),IF($N141&lt;StatusDate,"Late Start","Not Started"))))</f>
        <v/>
      </c>
      <c r="X141" s="41"/>
      <c r="Y141" s="32"/>
      <c r="Z141" s="43" t="str">
        <f aca="true">IF($D141="","",IF($AI141,SUMPRODUCT(OFFSET(hdr_Work,$AF141+1,0,$AH141,1),OFFSET(hdr_IsLeaf,$AF141+1,0,$AH141,1)),IF($X141="",0,N($F141)*HoursPerDay*IF($Y141="",DefaultUnits,$Y141))))</f>
        <v/>
      </c>
      <c r="AA141" s="44" t="str">
        <f aca="true">IF($D141="","",IF($AI141,SUMPRODUCT(OFFSET(hdr_Cost,$AF141+1,0,$AH141,1),OFFSET(hdr_IsLeaf,$AF141+1,0,$AH141,1)),$Z141*IFERROR(INDEX(res_Rate,MATCH($X141,res_Name,0)),0)))</f>
        <v/>
      </c>
      <c r="AB141" s="38" t="str">
        <f aca="false">IF(OR($D141="",$AI141),"",IF(OR($R141&lt;Sprint1Start,$R141&gt;SprintLastEnd),"Backlog",INDEX(spr_Name,MATCH($R141,spr_Start,1))))</f>
        <v/>
      </c>
      <c r="AC141" s="45" t="str">
        <f aca="false">IF($D141="","",$AT141&amp;IF(AND($AT141&lt;&gt;"",$AU141&lt;&gt;""),",","")&amp;$AU141)</f>
        <v/>
      </c>
      <c r="AD141" s="41"/>
      <c r="AE141" s="46" t="str">
        <f aca="false">IF($D141="","",MAX(1,N($C141)))</f>
        <v/>
      </c>
      <c r="AF141" s="46" t="n">
        <f aca="false">ROW()-ROW(hdr_ID)</f>
        <v>136</v>
      </c>
      <c r="AG141" s="46" t="n">
        <f aca="false">IF(OR($D141="",$AE141&lt;=1),0,IFERROR(LOOKUP(2,1/($AE$5:$AE140=$AE141-1),ROW($AE$5:$AE140)),0))</f>
        <v>0</v>
      </c>
      <c r="AH141" s="46" t="n">
        <f aca="false">IF($D141="",0,COUNTIF(tsk_WBS,$B141&amp;".*"))</f>
        <v>0</v>
      </c>
      <c r="AI141" s="47" t="b">
        <f aca="false">$AH141&gt;0</f>
        <v>0</v>
      </c>
      <c r="AJ141" s="46" t="n">
        <f aca="false">IF(AND($D141&lt;&gt;"",NOT($AI141)),1,0)</f>
        <v>0</v>
      </c>
      <c r="AK141" s="48" t="n">
        <f aca="true">IF(OR(N($G141)=0,$AI141,$D141=""),0,IFERROR(CHOOSE(MATCH(IF($H141="","FS",$H141),{"FS","SS","FF","SF"},0),WORKDAY.INTL(OFFSET(hdr_PlanFinish,MATCH($G141,tsk_ID,0),0),IF(N($F141)=0,0,1)+N($I141),WorkWeek,Holidays),WORKDAY.INTL(OFFSET(hdr_PlanStart,MATCH($G141,tsk_ID,0),0),N($I141),WorkWeek,Holidays),WORKDAY.INTL(WORKDAY.INTL(OFFSET(hdr_PlanFinish,MATCH($G141,tsk_ID,0),0),N($I141),WorkWeek,Holidays),-MAX(0,N($F141)-1),WorkWeek,Holidays),WORKDAY.INTL(WORKDAY.INTL(OFFSET(hdr_PlanStart,MATCH($G141,tsk_ID,0),0),N($I141),WorkWeek,Holidays),-MAX(0,N($F141)-1),WorkWeek,Holidays)),0))</f>
        <v>0</v>
      </c>
      <c r="AL141" s="48" t="n">
        <f aca="true">IF(OR(N($J141)=0,$AI141,$D141=""),0,IFERROR(CHOOSE(MATCH(IF($K141="","FS",$K141),{"FS","SS","FF","SF"},0),WORKDAY.INTL(OFFSET(hdr_PlanFinish,MATCH($J141,tsk_ID,0),0),IF(N($F141)=0,0,1)+N($L141),WorkWeek,Holidays),WORKDAY.INTL(OFFSET(hdr_PlanStart,MATCH($J141,tsk_ID,0),0),N($L141),WorkWeek,Holidays),WORKDAY.INTL(WORKDAY.INTL(OFFSET(hdr_PlanFinish,MATCH($J141,tsk_ID,0),0),N($L141),WorkWeek,Holidays),-MAX(0,N($F141)-1),WorkWeek,Holidays),WORKDAY.INTL(WORKDAY.INTL(OFFSET(hdr_PlanStart,MATCH($J141,tsk_ID,0),0),N($L141),WorkWeek,Holidays),-MAX(0,N($F141)-1),WorkWeek,Holidays)),0))</f>
        <v>0</v>
      </c>
      <c r="AM141" s="48" t="n">
        <f aca="true">IF(OR(N($G141)=0,$AI141,$D141=""),0,IFERROR(CHOOSE(MATCH(IF($H141="","FS",$H141),{"FS","SS","FF","SF"},0),WORKDAY.INTL(OFFSET(hdr_FcFinish,MATCH($G141,tsk_ID,0),0),IF(N($F141)=0,0,1)+N($I141),WorkWeek,Holidays),WORKDAY.INTL(OFFSET(hdr_FcStart,MATCH($G141,tsk_ID,0),0),N($I141),WorkWeek,Holidays),WORKDAY.INTL(WORKDAY.INTL(OFFSET(hdr_FcFinish,MATCH($G141,tsk_ID,0),0),N($I141),WorkWeek,Holidays),-MAX(0,N($F141)-1),WorkWeek,Holidays),WORKDAY.INTL(WORKDAY.INTL(OFFSET(hdr_FcStart,MATCH($G141,tsk_ID,0),0),N($I141),WorkWeek,Holidays),-MAX(0,N($F141)-1),WorkWeek,Holidays)),0))</f>
        <v>0</v>
      </c>
      <c r="AN141" s="48" t="n">
        <f aca="true">IF(OR(N($J141)=0,$AI141,$D141=""),0,IFERROR(CHOOSE(MATCH(IF($K141="","FS",$K141),{"FS","SS","FF","SF"},0),WORKDAY.INTL(OFFSET(hdr_FcFinish,MATCH($J141,tsk_ID,0),0),IF(N($F141)=0,0,1)+N($L141),WorkWeek,Holidays),WORKDAY.INTL(OFFSET(hdr_FcStart,MATCH($J141,tsk_ID,0),0),N($L141),WorkWeek,Holidays),WORKDAY.INTL(WORKDAY.INTL(OFFSET(hdr_FcFinish,MATCH($J141,tsk_ID,0),0),N($L141),WorkWeek,Holidays),-MAX(0,N($F141)-1),WorkWeek,Holidays),WORKDAY.INTL(WORKDAY.INTL(OFFSET(hdr_FcStart,MATCH($J141,tsk_ID,0),0),N($L141),WorkWeek,Holidays),-MAX(0,N($F141)-1),WorkWeek,Holidays)),0))</f>
        <v>0</v>
      </c>
      <c r="AO141" s="48" t="n">
        <f aca="false">IF($AJ141=1,$R141,0)</f>
        <v>0</v>
      </c>
      <c r="AP141" s="48" t="n">
        <f aca="false">IF($AJ141=1,$S141,0)</f>
        <v>0</v>
      </c>
      <c r="AQ141" s="49" t="n">
        <f aca="false">IF(AND($AJ141=1,N($Z141)&gt;0),$Z141/($AP141-$AO141+1),0)</f>
        <v>0</v>
      </c>
      <c r="AR141" s="46" t="n">
        <f aca="false">IF($AJ141=1,MAX(N($F141),0.1),0)</f>
        <v>0</v>
      </c>
      <c r="AS141" s="46" t="n">
        <f aca="false">IF($AJ141=1,$AR141*$V141,0)</f>
        <v>0</v>
      </c>
      <c r="AT141" s="46" t="str">
        <f aca="false">IF(N($G141)=0,"",$G141&amp;IF(AND(IF($H141="","FS",$H141)="FS",N($I141)=0),"",IF($H141="","FS",$H141)&amp;IF(N($I141)=0,"",IF(N($I141)&gt;0,"+","")&amp;N($I141)&amp;"d")))</f>
        <v/>
      </c>
      <c r="AU141" s="46" t="str">
        <f aca="false">IF(N($J141)=0,"",$J141&amp;IF(AND(IF($K141="","FS",$K141)="FS",N($L141)=0),"",IF($K141="","FS",$K141)&amp;IF(N($L141)=0,"",IF(N($L141)&gt;0,"+","")&amp;N($L141)&amp;"d")))</f>
        <v/>
      </c>
      <c r="AV141" s="46" t="str">
        <f aca="false">IF(AND($AJ141=1,N($F141)=0,$V141&lt;1),$S141+$AF141/100000,"")</f>
        <v/>
      </c>
    </row>
    <row r="142" customFormat="false" ht="15" hidden="false" customHeight="false" outlineLevel="0" collapsed="false">
      <c r="A142" s="38" t="str">
        <f aca="false">IF($D142="","",COUNTA($D$6:$D142))</f>
        <v/>
      </c>
      <c r="B142" s="39" t="str">
        <f aca="true">IF($D142="","",IF($AE142=1,COUNTIF($AE$6:$AE142,1)&amp;"",IF($AG142=0,"?",OFFSET(hdr_WBS,$AG142-ROW(hdr_WBS),0)&amp;"."&amp;COUNTIF(INDEX($AE:$AE,$AG142+1):$AE142,$AE142))))</f>
        <v/>
      </c>
      <c r="C142" s="40"/>
      <c r="D142" s="41"/>
      <c r="E142" s="40"/>
      <c r="F142" s="40"/>
      <c r="G142" s="40"/>
      <c r="H142" s="40"/>
      <c r="I142" s="40"/>
      <c r="J142" s="40"/>
      <c r="K142" s="40"/>
      <c r="L142" s="40"/>
      <c r="M142" s="29"/>
      <c r="N142" s="30" t="str">
        <f aca="true">IF($D142="","",IF($AI142,MIN(OFFSET(hdr_PlanStart,$AF142+1,0,$AH142,1)),IF($E142="Manual",IF(N($M142)&gt;0,$M142,ProjectStart),WORKDAY.INTL(MAX(ProjectStart,N($M142),$AK142,$AL142)-1,1,WorkWeek,Holidays))))</f>
        <v/>
      </c>
      <c r="O142" s="30" t="str">
        <f aca="true">IF($D142="","",IF($AI142,MAX(OFFSET(hdr_PlanFinish,$AF142+1,0,$AH142,1)),IF(N($F142)&lt;=0,$N142,WORKDAY.INTL($N142,$F142-1,WorkWeek,Holidays))))</f>
        <v/>
      </c>
      <c r="P142" s="29"/>
      <c r="Q142" s="29"/>
      <c r="R142" s="30" t="str">
        <f aca="true">IF($D142="","",IF($AI142,MIN(OFFSET(hdr_FcStart,$AF142+1,0,$AH142,1)),IF(N($P142)&gt;0,$P142,IF($E142="Manual",IF(N($M142)&gt;0,$M142,ProjectStart),WORKDAY.INTL(MAX(ProjectStart,N($M142),$AM142,$AN142,IF(RescheduleAfterStatus="Yes",StatusDate,0))-1,1,WorkWeek,Holidays)))))</f>
        <v/>
      </c>
      <c r="S142" s="30" t="str">
        <f aca="true">IF($D142="","",IF($AI142,MAX(OFFSET(hdr_FcFinish,$AF142+1,0,$AH142,1)),IF(N($Q142)&gt;0,$Q142,IF(N($F142)&lt;=0,$R142,IF(AND(N($P142)&gt;0,RescheduleAfterStatus="Yes"),MAX(WORKDAY.INTL($R142,$F142-1,WorkWeek,Holidays),WORKDAY.INTL(StatusWorkday,MAX(0,ROUNDUP($F142*(1-MIN(1,N($U142))),0)-1),WorkWeek,Holidays)),WORKDAY.INTL($R142,$F142-1,WorkWeek,Holidays))))))</f>
        <v/>
      </c>
      <c r="T142" s="38" t="str">
        <f aca="false">IF($D142="","",IF($S142&gt;=$O142,NETWORKDAYS.INTL($O142,$S142,WorkWeek,Holidays)-1,1-NETWORKDAYS.INTL($S142,$O142,WorkWeek,Holidays)))</f>
        <v/>
      </c>
      <c r="U142" s="32"/>
      <c r="V142" s="42" t="str">
        <f aca="true">IF($D142="","",IF($AI142,IFERROR(SUM(OFFSET(hdr_WtDone,$AF142+1,0,$AH142,1))/SUM(OFFSET(hdr_WtDur,$AF142+1,0,$AH142,1)),0),IF(N($Q142)&gt;0,1,MIN(1,N($U142)))))</f>
        <v/>
      </c>
      <c r="W142" s="39" t="str">
        <f aca="false">IF($D142="","",IF($V142&gt;=1,"Complete",IF(OR(N($P142)&gt;0,$V142&gt;0),IF($T142&gt;0,"Behind","In Progress"),IF($N142&lt;StatusDate,"Late Start","Not Started"))))</f>
        <v/>
      </c>
      <c r="X142" s="41"/>
      <c r="Y142" s="32"/>
      <c r="Z142" s="43" t="str">
        <f aca="true">IF($D142="","",IF($AI142,SUMPRODUCT(OFFSET(hdr_Work,$AF142+1,0,$AH142,1),OFFSET(hdr_IsLeaf,$AF142+1,0,$AH142,1)),IF($X142="",0,N($F142)*HoursPerDay*IF($Y142="",DefaultUnits,$Y142))))</f>
        <v/>
      </c>
      <c r="AA142" s="44" t="str">
        <f aca="true">IF($D142="","",IF($AI142,SUMPRODUCT(OFFSET(hdr_Cost,$AF142+1,0,$AH142,1),OFFSET(hdr_IsLeaf,$AF142+1,0,$AH142,1)),$Z142*IFERROR(INDEX(res_Rate,MATCH($X142,res_Name,0)),0)))</f>
        <v/>
      </c>
      <c r="AB142" s="38" t="str">
        <f aca="false">IF(OR($D142="",$AI142),"",IF(OR($R142&lt;Sprint1Start,$R142&gt;SprintLastEnd),"Backlog",INDEX(spr_Name,MATCH($R142,spr_Start,1))))</f>
        <v/>
      </c>
      <c r="AC142" s="45" t="str">
        <f aca="false">IF($D142="","",$AT142&amp;IF(AND($AT142&lt;&gt;"",$AU142&lt;&gt;""),",","")&amp;$AU142)</f>
        <v/>
      </c>
      <c r="AD142" s="41"/>
      <c r="AE142" s="46" t="str">
        <f aca="false">IF($D142="","",MAX(1,N($C142)))</f>
        <v/>
      </c>
      <c r="AF142" s="46" t="n">
        <f aca="false">ROW()-ROW(hdr_ID)</f>
        <v>137</v>
      </c>
      <c r="AG142" s="46" t="n">
        <f aca="false">IF(OR($D142="",$AE142&lt;=1),0,IFERROR(LOOKUP(2,1/($AE$5:$AE141=$AE142-1),ROW($AE$5:$AE141)),0))</f>
        <v>0</v>
      </c>
      <c r="AH142" s="46" t="n">
        <f aca="false">IF($D142="",0,COUNTIF(tsk_WBS,$B142&amp;".*"))</f>
        <v>0</v>
      </c>
      <c r="AI142" s="47" t="b">
        <f aca="false">$AH142&gt;0</f>
        <v>0</v>
      </c>
      <c r="AJ142" s="46" t="n">
        <f aca="false">IF(AND($D142&lt;&gt;"",NOT($AI142)),1,0)</f>
        <v>0</v>
      </c>
      <c r="AK142" s="48" t="n">
        <f aca="true">IF(OR(N($G142)=0,$AI142,$D142=""),0,IFERROR(CHOOSE(MATCH(IF($H142="","FS",$H142),{"FS","SS","FF","SF"},0),WORKDAY.INTL(OFFSET(hdr_PlanFinish,MATCH($G142,tsk_ID,0),0),IF(N($F142)=0,0,1)+N($I142),WorkWeek,Holidays),WORKDAY.INTL(OFFSET(hdr_PlanStart,MATCH($G142,tsk_ID,0),0),N($I142),WorkWeek,Holidays),WORKDAY.INTL(WORKDAY.INTL(OFFSET(hdr_PlanFinish,MATCH($G142,tsk_ID,0),0),N($I142),WorkWeek,Holidays),-MAX(0,N($F142)-1),WorkWeek,Holidays),WORKDAY.INTL(WORKDAY.INTL(OFFSET(hdr_PlanStart,MATCH($G142,tsk_ID,0),0),N($I142),WorkWeek,Holidays),-MAX(0,N($F142)-1),WorkWeek,Holidays)),0))</f>
        <v>0</v>
      </c>
      <c r="AL142" s="48" t="n">
        <f aca="true">IF(OR(N($J142)=0,$AI142,$D142=""),0,IFERROR(CHOOSE(MATCH(IF($K142="","FS",$K142),{"FS","SS","FF","SF"},0),WORKDAY.INTL(OFFSET(hdr_PlanFinish,MATCH($J142,tsk_ID,0),0),IF(N($F142)=0,0,1)+N($L142),WorkWeek,Holidays),WORKDAY.INTL(OFFSET(hdr_PlanStart,MATCH($J142,tsk_ID,0),0),N($L142),WorkWeek,Holidays),WORKDAY.INTL(WORKDAY.INTL(OFFSET(hdr_PlanFinish,MATCH($J142,tsk_ID,0),0),N($L142),WorkWeek,Holidays),-MAX(0,N($F142)-1),WorkWeek,Holidays),WORKDAY.INTL(WORKDAY.INTL(OFFSET(hdr_PlanStart,MATCH($J142,tsk_ID,0),0),N($L142),WorkWeek,Holidays),-MAX(0,N($F142)-1),WorkWeek,Holidays)),0))</f>
        <v>0</v>
      </c>
      <c r="AM142" s="48" t="n">
        <f aca="true">IF(OR(N($G142)=0,$AI142,$D142=""),0,IFERROR(CHOOSE(MATCH(IF($H142="","FS",$H142),{"FS","SS","FF","SF"},0),WORKDAY.INTL(OFFSET(hdr_FcFinish,MATCH($G142,tsk_ID,0),0),IF(N($F142)=0,0,1)+N($I142),WorkWeek,Holidays),WORKDAY.INTL(OFFSET(hdr_FcStart,MATCH($G142,tsk_ID,0),0),N($I142),WorkWeek,Holidays),WORKDAY.INTL(WORKDAY.INTL(OFFSET(hdr_FcFinish,MATCH($G142,tsk_ID,0),0),N($I142),WorkWeek,Holidays),-MAX(0,N($F142)-1),WorkWeek,Holidays),WORKDAY.INTL(WORKDAY.INTL(OFFSET(hdr_FcStart,MATCH($G142,tsk_ID,0),0),N($I142),WorkWeek,Holidays),-MAX(0,N($F142)-1),WorkWeek,Holidays)),0))</f>
        <v>0</v>
      </c>
      <c r="AN142" s="48" t="n">
        <f aca="true">IF(OR(N($J142)=0,$AI142,$D142=""),0,IFERROR(CHOOSE(MATCH(IF($K142="","FS",$K142),{"FS","SS","FF","SF"},0),WORKDAY.INTL(OFFSET(hdr_FcFinish,MATCH($J142,tsk_ID,0),0),IF(N($F142)=0,0,1)+N($L142),WorkWeek,Holidays),WORKDAY.INTL(OFFSET(hdr_FcStart,MATCH($J142,tsk_ID,0),0),N($L142),WorkWeek,Holidays),WORKDAY.INTL(WORKDAY.INTL(OFFSET(hdr_FcFinish,MATCH($J142,tsk_ID,0),0),N($L142),WorkWeek,Holidays),-MAX(0,N($F142)-1),WorkWeek,Holidays),WORKDAY.INTL(WORKDAY.INTL(OFFSET(hdr_FcStart,MATCH($J142,tsk_ID,0),0),N($L142),WorkWeek,Holidays),-MAX(0,N($F142)-1),WorkWeek,Holidays)),0))</f>
        <v>0</v>
      </c>
      <c r="AO142" s="48" t="n">
        <f aca="false">IF($AJ142=1,$R142,0)</f>
        <v>0</v>
      </c>
      <c r="AP142" s="48" t="n">
        <f aca="false">IF($AJ142=1,$S142,0)</f>
        <v>0</v>
      </c>
      <c r="AQ142" s="49" t="n">
        <f aca="false">IF(AND($AJ142=1,N($Z142)&gt;0),$Z142/($AP142-$AO142+1),0)</f>
        <v>0</v>
      </c>
      <c r="AR142" s="46" t="n">
        <f aca="false">IF($AJ142=1,MAX(N($F142),0.1),0)</f>
        <v>0</v>
      </c>
      <c r="AS142" s="46" t="n">
        <f aca="false">IF($AJ142=1,$AR142*$V142,0)</f>
        <v>0</v>
      </c>
      <c r="AT142" s="46" t="str">
        <f aca="false">IF(N($G142)=0,"",$G142&amp;IF(AND(IF($H142="","FS",$H142)="FS",N($I142)=0),"",IF($H142="","FS",$H142)&amp;IF(N($I142)=0,"",IF(N($I142)&gt;0,"+","")&amp;N($I142)&amp;"d")))</f>
        <v/>
      </c>
      <c r="AU142" s="46" t="str">
        <f aca="false">IF(N($J142)=0,"",$J142&amp;IF(AND(IF($K142="","FS",$K142)="FS",N($L142)=0),"",IF($K142="","FS",$K142)&amp;IF(N($L142)=0,"",IF(N($L142)&gt;0,"+","")&amp;N($L142)&amp;"d")))</f>
        <v/>
      </c>
      <c r="AV142" s="46" t="str">
        <f aca="false">IF(AND($AJ142=1,N($F142)=0,$V142&lt;1),$S142+$AF142/100000,"")</f>
        <v/>
      </c>
    </row>
    <row r="143" customFormat="false" ht="15" hidden="false" customHeight="false" outlineLevel="0" collapsed="false">
      <c r="A143" s="38" t="str">
        <f aca="false">IF($D143="","",COUNTA($D$6:$D143))</f>
        <v/>
      </c>
      <c r="B143" s="39" t="str">
        <f aca="true">IF($D143="","",IF($AE143=1,COUNTIF($AE$6:$AE143,1)&amp;"",IF($AG143=0,"?",OFFSET(hdr_WBS,$AG143-ROW(hdr_WBS),0)&amp;"."&amp;COUNTIF(INDEX($AE:$AE,$AG143+1):$AE143,$AE143))))</f>
        <v/>
      </c>
      <c r="C143" s="40"/>
      <c r="D143" s="41"/>
      <c r="E143" s="40"/>
      <c r="F143" s="40"/>
      <c r="G143" s="40"/>
      <c r="H143" s="40"/>
      <c r="I143" s="40"/>
      <c r="J143" s="40"/>
      <c r="K143" s="40"/>
      <c r="L143" s="40"/>
      <c r="M143" s="29"/>
      <c r="N143" s="30" t="str">
        <f aca="true">IF($D143="","",IF($AI143,MIN(OFFSET(hdr_PlanStart,$AF143+1,0,$AH143,1)),IF($E143="Manual",IF(N($M143)&gt;0,$M143,ProjectStart),WORKDAY.INTL(MAX(ProjectStart,N($M143),$AK143,$AL143)-1,1,WorkWeek,Holidays))))</f>
        <v/>
      </c>
      <c r="O143" s="30" t="str">
        <f aca="true">IF($D143="","",IF($AI143,MAX(OFFSET(hdr_PlanFinish,$AF143+1,0,$AH143,1)),IF(N($F143)&lt;=0,$N143,WORKDAY.INTL($N143,$F143-1,WorkWeek,Holidays))))</f>
        <v/>
      </c>
      <c r="P143" s="29"/>
      <c r="Q143" s="29"/>
      <c r="R143" s="30" t="str">
        <f aca="true">IF($D143="","",IF($AI143,MIN(OFFSET(hdr_FcStart,$AF143+1,0,$AH143,1)),IF(N($P143)&gt;0,$P143,IF($E143="Manual",IF(N($M143)&gt;0,$M143,ProjectStart),WORKDAY.INTL(MAX(ProjectStart,N($M143),$AM143,$AN143,IF(RescheduleAfterStatus="Yes",StatusDate,0))-1,1,WorkWeek,Holidays)))))</f>
        <v/>
      </c>
      <c r="S143" s="30" t="str">
        <f aca="true">IF($D143="","",IF($AI143,MAX(OFFSET(hdr_FcFinish,$AF143+1,0,$AH143,1)),IF(N($Q143)&gt;0,$Q143,IF(N($F143)&lt;=0,$R143,IF(AND(N($P143)&gt;0,RescheduleAfterStatus="Yes"),MAX(WORKDAY.INTL($R143,$F143-1,WorkWeek,Holidays),WORKDAY.INTL(StatusWorkday,MAX(0,ROUNDUP($F143*(1-MIN(1,N($U143))),0)-1),WorkWeek,Holidays)),WORKDAY.INTL($R143,$F143-1,WorkWeek,Holidays))))))</f>
        <v/>
      </c>
      <c r="T143" s="38" t="str">
        <f aca="false">IF($D143="","",IF($S143&gt;=$O143,NETWORKDAYS.INTL($O143,$S143,WorkWeek,Holidays)-1,1-NETWORKDAYS.INTL($S143,$O143,WorkWeek,Holidays)))</f>
        <v/>
      </c>
      <c r="U143" s="32"/>
      <c r="V143" s="42" t="str">
        <f aca="true">IF($D143="","",IF($AI143,IFERROR(SUM(OFFSET(hdr_WtDone,$AF143+1,0,$AH143,1))/SUM(OFFSET(hdr_WtDur,$AF143+1,0,$AH143,1)),0),IF(N($Q143)&gt;0,1,MIN(1,N($U143)))))</f>
        <v/>
      </c>
      <c r="W143" s="39" t="str">
        <f aca="false">IF($D143="","",IF($V143&gt;=1,"Complete",IF(OR(N($P143)&gt;0,$V143&gt;0),IF($T143&gt;0,"Behind","In Progress"),IF($N143&lt;StatusDate,"Late Start","Not Started"))))</f>
        <v/>
      </c>
      <c r="X143" s="41"/>
      <c r="Y143" s="32"/>
      <c r="Z143" s="43" t="str">
        <f aca="true">IF($D143="","",IF($AI143,SUMPRODUCT(OFFSET(hdr_Work,$AF143+1,0,$AH143,1),OFFSET(hdr_IsLeaf,$AF143+1,0,$AH143,1)),IF($X143="",0,N($F143)*HoursPerDay*IF($Y143="",DefaultUnits,$Y143))))</f>
        <v/>
      </c>
      <c r="AA143" s="44" t="str">
        <f aca="true">IF($D143="","",IF($AI143,SUMPRODUCT(OFFSET(hdr_Cost,$AF143+1,0,$AH143,1),OFFSET(hdr_IsLeaf,$AF143+1,0,$AH143,1)),$Z143*IFERROR(INDEX(res_Rate,MATCH($X143,res_Name,0)),0)))</f>
        <v/>
      </c>
      <c r="AB143" s="38" t="str">
        <f aca="false">IF(OR($D143="",$AI143),"",IF(OR($R143&lt;Sprint1Start,$R143&gt;SprintLastEnd),"Backlog",INDEX(spr_Name,MATCH($R143,spr_Start,1))))</f>
        <v/>
      </c>
      <c r="AC143" s="45" t="str">
        <f aca="false">IF($D143="","",$AT143&amp;IF(AND($AT143&lt;&gt;"",$AU143&lt;&gt;""),",","")&amp;$AU143)</f>
        <v/>
      </c>
      <c r="AD143" s="41"/>
      <c r="AE143" s="46" t="str">
        <f aca="false">IF($D143="","",MAX(1,N($C143)))</f>
        <v/>
      </c>
      <c r="AF143" s="46" t="n">
        <f aca="false">ROW()-ROW(hdr_ID)</f>
        <v>138</v>
      </c>
      <c r="AG143" s="46" t="n">
        <f aca="false">IF(OR($D143="",$AE143&lt;=1),0,IFERROR(LOOKUP(2,1/($AE$5:$AE142=$AE143-1),ROW($AE$5:$AE142)),0))</f>
        <v>0</v>
      </c>
      <c r="AH143" s="46" t="n">
        <f aca="false">IF($D143="",0,COUNTIF(tsk_WBS,$B143&amp;".*"))</f>
        <v>0</v>
      </c>
      <c r="AI143" s="47" t="b">
        <f aca="false">$AH143&gt;0</f>
        <v>0</v>
      </c>
      <c r="AJ143" s="46" t="n">
        <f aca="false">IF(AND($D143&lt;&gt;"",NOT($AI143)),1,0)</f>
        <v>0</v>
      </c>
      <c r="AK143" s="48" t="n">
        <f aca="true">IF(OR(N($G143)=0,$AI143,$D143=""),0,IFERROR(CHOOSE(MATCH(IF($H143="","FS",$H143),{"FS","SS","FF","SF"},0),WORKDAY.INTL(OFFSET(hdr_PlanFinish,MATCH($G143,tsk_ID,0),0),IF(N($F143)=0,0,1)+N($I143),WorkWeek,Holidays),WORKDAY.INTL(OFFSET(hdr_PlanStart,MATCH($G143,tsk_ID,0),0),N($I143),WorkWeek,Holidays),WORKDAY.INTL(WORKDAY.INTL(OFFSET(hdr_PlanFinish,MATCH($G143,tsk_ID,0),0),N($I143),WorkWeek,Holidays),-MAX(0,N($F143)-1),WorkWeek,Holidays),WORKDAY.INTL(WORKDAY.INTL(OFFSET(hdr_PlanStart,MATCH($G143,tsk_ID,0),0),N($I143),WorkWeek,Holidays),-MAX(0,N($F143)-1),WorkWeek,Holidays)),0))</f>
        <v>0</v>
      </c>
      <c r="AL143" s="48" t="n">
        <f aca="true">IF(OR(N($J143)=0,$AI143,$D143=""),0,IFERROR(CHOOSE(MATCH(IF($K143="","FS",$K143),{"FS","SS","FF","SF"},0),WORKDAY.INTL(OFFSET(hdr_PlanFinish,MATCH($J143,tsk_ID,0),0),IF(N($F143)=0,0,1)+N($L143),WorkWeek,Holidays),WORKDAY.INTL(OFFSET(hdr_PlanStart,MATCH($J143,tsk_ID,0),0),N($L143),WorkWeek,Holidays),WORKDAY.INTL(WORKDAY.INTL(OFFSET(hdr_PlanFinish,MATCH($J143,tsk_ID,0),0),N($L143),WorkWeek,Holidays),-MAX(0,N($F143)-1),WorkWeek,Holidays),WORKDAY.INTL(WORKDAY.INTL(OFFSET(hdr_PlanStart,MATCH($J143,tsk_ID,0),0),N($L143),WorkWeek,Holidays),-MAX(0,N($F143)-1),WorkWeek,Holidays)),0))</f>
        <v>0</v>
      </c>
      <c r="AM143" s="48" t="n">
        <f aca="true">IF(OR(N($G143)=0,$AI143,$D143=""),0,IFERROR(CHOOSE(MATCH(IF($H143="","FS",$H143),{"FS","SS","FF","SF"},0),WORKDAY.INTL(OFFSET(hdr_FcFinish,MATCH($G143,tsk_ID,0),0),IF(N($F143)=0,0,1)+N($I143),WorkWeek,Holidays),WORKDAY.INTL(OFFSET(hdr_FcStart,MATCH($G143,tsk_ID,0),0),N($I143),WorkWeek,Holidays),WORKDAY.INTL(WORKDAY.INTL(OFFSET(hdr_FcFinish,MATCH($G143,tsk_ID,0),0),N($I143),WorkWeek,Holidays),-MAX(0,N($F143)-1),WorkWeek,Holidays),WORKDAY.INTL(WORKDAY.INTL(OFFSET(hdr_FcStart,MATCH($G143,tsk_ID,0),0),N($I143),WorkWeek,Holidays),-MAX(0,N($F143)-1),WorkWeek,Holidays)),0))</f>
        <v>0</v>
      </c>
      <c r="AN143" s="48" t="n">
        <f aca="true">IF(OR(N($J143)=0,$AI143,$D143=""),0,IFERROR(CHOOSE(MATCH(IF($K143="","FS",$K143),{"FS","SS","FF","SF"},0),WORKDAY.INTL(OFFSET(hdr_FcFinish,MATCH($J143,tsk_ID,0),0),IF(N($F143)=0,0,1)+N($L143),WorkWeek,Holidays),WORKDAY.INTL(OFFSET(hdr_FcStart,MATCH($J143,tsk_ID,0),0),N($L143),WorkWeek,Holidays),WORKDAY.INTL(WORKDAY.INTL(OFFSET(hdr_FcFinish,MATCH($J143,tsk_ID,0),0),N($L143),WorkWeek,Holidays),-MAX(0,N($F143)-1),WorkWeek,Holidays),WORKDAY.INTL(WORKDAY.INTL(OFFSET(hdr_FcStart,MATCH($J143,tsk_ID,0),0),N($L143),WorkWeek,Holidays),-MAX(0,N($F143)-1),WorkWeek,Holidays)),0))</f>
        <v>0</v>
      </c>
      <c r="AO143" s="48" t="n">
        <f aca="false">IF($AJ143=1,$R143,0)</f>
        <v>0</v>
      </c>
      <c r="AP143" s="48" t="n">
        <f aca="false">IF($AJ143=1,$S143,0)</f>
        <v>0</v>
      </c>
      <c r="AQ143" s="49" t="n">
        <f aca="false">IF(AND($AJ143=1,N($Z143)&gt;0),$Z143/($AP143-$AO143+1),0)</f>
        <v>0</v>
      </c>
      <c r="AR143" s="46" t="n">
        <f aca="false">IF($AJ143=1,MAX(N($F143),0.1),0)</f>
        <v>0</v>
      </c>
      <c r="AS143" s="46" t="n">
        <f aca="false">IF($AJ143=1,$AR143*$V143,0)</f>
        <v>0</v>
      </c>
      <c r="AT143" s="46" t="str">
        <f aca="false">IF(N($G143)=0,"",$G143&amp;IF(AND(IF($H143="","FS",$H143)="FS",N($I143)=0),"",IF($H143="","FS",$H143)&amp;IF(N($I143)=0,"",IF(N($I143)&gt;0,"+","")&amp;N($I143)&amp;"d")))</f>
        <v/>
      </c>
      <c r="AU143" s="46" t="str">
        <f aca="false">IF(N($J143)=0,"",$J143&amp;IF(AND(IF($K143="","FS",$K143)="FS",N($L143)=0),"",IF($K143="","FS",$K143)&amp;IF(N($L143)=0,"",IF(N($L143)&gt;0,"+","")&amp;N($L143)&amp;"d")))</f>
        <v/>
      </c>
      <c r="AV143" s="46" t="str">
        <f aca="false">IF(AND($AJ143=1,N($F143)=0,$V143&lt;1),$S143+$AF143/100000,"")</f>
        <v/>
      </c>
    </row>
    <row r="144" customFormat="false" ht="15" hidden="false" customHeight="false" outlineLevel="0" collapsed="false">
      <c r="A144" s="38" t="str">
        <f aca="false">IF($D144="","",COUNTA($D$6:$D144))</f>
        <v/>
      </c>
      <c r="B144" s="39" t="str">
        <f aca="true">IF($D144="","",IF($AE144=1,COUNTIF($AE$6:$AE144,1)&amp;"",IF($AG144=0,"?",OFFSET(hdr_WBS,$AG144-ROW(hdr_WBS),0)&amp;"."&amp;COUNTIF(INDEX($AE:$AE,$AG144+1):$AE144,$AE144))))</f>
        <v/>
      </c>
      <c r="C144" s="40"/>
      <c r="D144" s="41"/>
      <c r="E144" s="40"/>
      <c r="F144" s="40"/>
      <c r="G144" s="40"/>
      <c r="H144" s="40"/>
      <c r="I144" s="40"/>
      <c r="J144" s="40"/>
      <c r="K144" s="40"/>
      <c r="L144" s="40"/>
      <c r="M144" s="29"/>
      <c r="N144" s="30" t="str">
        <f aca="true">IF($D144="","",IF($AI144,MIN(OFFSET(hdr_PlanStart,$AF144+1,0,$AH144,1)),IF($E144="Manual",IF(N($M144)&gt;0,$M144,ProjectStart),WORKDAY.INTL(MAX(ProjectStart,N($M144),$AK144,$AL144)-1,1,WorkWeek,Holidays))))</f>
        <v/>
      </c>
      <c r="O144" s="30" t="str">
        <f aca="true">IF($D144="","",IF($AI144,MAX(OFFSET(hdr_PlanFinish,$AF144+1,0,$AH144,1)),IF(N($F144)&lt;=0,$N144,WORKDAY.INTL($N144,$F144-1,WorkWeek,Holidays))))</f>
        <v/>
      </c>
      <c r="P144" s="29"/>
      <c r="Q144" s="29"/>
      <c r="R144" s="30" t="str">
        <f aca="true">IF($D144="","",IF($AI144,MIN(OFFSET(hdr_FcStart,$AF144+1,0,$AH144,1)),IF(N($P144)&gt;0,$P144,IF($E144="Manual",IF(N($M144)&gt;0,$M144,ProjectStart),WORKDAY.INTL(MAX(ProjectStart,N($M144),$AM144,$AN144,IF(RescheduleAfterStatus="Yes",StatusDate,0))-1,1,WorkWeek,Holidays)))))</f>
        <v/>
      </c>
      <c r="S144" s="30" t="str">
        <f aca="true">IF($D144="","",IF($AI144,MAX(OFFSET(hdr_FcFinish,$AF144+1,0,$AH144,1)),IF(N($Q144)&gt;0,$Q144,IF(N($F144)&lt;=0,$R144,IF(AND(N($P144)&gt;0,RescheduleAfterStatus="Yes"),MAX(WORKDAY.INTL($R144,$F144-1,WorkWeek,Holidays),WORKDAY.INTL(StatusWorkday,MAX(0,ROUNDUP($F144*(1-MIN(1,N($U144))),0)-1),WorkWeek,Holidays)),WORKDAY.INTL($R144,$F144-1,WorkWeek,Holidays))))))</f>
        <v/>
      </c>
      <c r="T144" s="38" t="str">
        <f aca="false">IF($D144="","",IF($S144&gt;=$O144,NETWORKDAYS.INTL($O144,$S144,WorkWeek,Holidays)-1,1-NETWORKDAYS.INTL($S144,$O144,WorkWeek,Holidays)))</f>
        <v/>
      </c>
      <c r="U144" s="32"/>
      <c r="V144" s="42" t="str">
        <f aca="true">IF($D144="","",IF($AI144,IFERROR(SUM(OFFSET(hdr_WtDone,$AF144+1,0,$AH144,1))/SUM(OFFSET(hdr_WtDur,$AF144+1,0,$AH144,1)),0),IF(N($Q144)&gt;0,1,MIN(1,N($U144)))))</f>
        <v/>
      </c>
      <c r="W144" s="39" t="str">
        <f aca="false">IF($D144="","",IF($V144&gt;=1,"Complete",IF(OR(N($P144)&gt;0,$V144&gt;0),IF($T144&gt;0,"Behind","In Progress"),IF($N144&lt;StatusDate,"Late Start","Not Started"))))</f>
        <v/>
      </c>
      <c r="X144" s="41"/>
      <c r="Y144" s="32"/>
      <c r="Z144" s="43" t="str">
        <f aca="true">IF($D144="","",IF($AI144,SUMPRODUCT(OFFSET(hdr_Work,$AF144+1,0,$AH144,1),OFFSET(hdr_IsLeaf,$AF144+1,0,$AH144,1)),IF($X144="",0,N($F144)*HoursPerDay*IF($Y144="",DefaultUnits,$Y144))))</f>
        <v/>
      </c>
      <c r="AA144" s="44" t="str">
        <f aca="true">IF($D144="","",IF($AI144,SUMPRODUCT(OFFSET(hdr_Cost,$AF144+1,0,$AH144,1),OFFSET(hdr_IsLeaf,$AF144+1,0,$AH144,1)),$Z144*IFERROR(INDEX(res_Rate,MATCH($X144,res_Name,0)),0)))</f>
        <v/>
      </c>
      <c r="AB144" s="38" t="str">
        <f aca="false">IF(OR($D144="",$AI144),"",IF(OR($R144&lt;Sprint1Start,$R144&gt;SprintLastEnd),"Backlog",INDEX(spr_Name,MATCH($R144,spr_Start,1))))</f>
        <v/>
      </c>
      <c r="AC144" s="45" t="str">
        <f aca="false">IF($D144="","",$AT144&amp;IF(AND($AT144&lt;&gt;"",$AU144&lt;&gt;""),",","")&amp;$AU144)</f>
        <v/>
      </c>
      <c r="AD144" s="41"/>
      <c r="AE144" s="46" t="str">
        <f aca="false">IF($D144="","",MAX(1,N($C144)))</f>
        <v/>
      </c>
      <c r="AF144" s="46" t="n">
        <f aca="false">ROW()-ROW(hdr_ID)</f>
        <v>139</v>
      </c>
      <c r="AG144" s="46" t="n">
        <f aca="false">IF(OR($D144="",$AE144&lt;=1),0,IFERROR(LOOKUP(2,1/($AE$5:$AE143=$AE144-1),ROW($AE$5:$AE143)),0))</f>
        <v>0</v>
      </c>
      <c r="AH144" s="46" t="n">
        <f aca="false">IF($D144="",0,COUNTIF(tsk_WBS,$B144&amp;".*"))</f>
        <v>0</v>
      </c>
      <c r="AI144" s="47" t="b">
        <f aca="false">$AH144&gt;0</f>
        <v>0</v>
      </c>
      <c r="AJ144" s="46" t="n">
        <f aca="false">IF(AND($D144&lt;&gt;"",NOT($AI144)),1,0)</f>
        <v>0</v>
      </c>
      <c r="AK144" s="48" t="n">
        <f aca="true">IF(OR(N($G144)=0,$AI144,$D144=""),0,IFERROR(CHOOSE(MATCH(IF($H144="","FS",$H144),{"FS","SS","FF","SF"},0),WORKDAY.INTL(OFFSET(hdr_PlanFinish,MATCH($G144,tsk_ID,0),0),IF(N($F144)=0,0,1)+N($I144),WorkWeek,Holidays),WORKDAY.INTL(OFFSET(hdr_PlanStart,MATCH($G144,tsk_ID,0),0),N($I144),WorkWeek,Holidays),WORKDAY.INTL(WORKDAY.INTL(OFFSET(hdr_PlanFinish,MATCH($G144,tsk_ID,0),0),N($I144),WorkWeek,Holidays),-MAX(0,N($F144)-1),WorkWeek,Holidays),WORKDAY.INTL(WORKDAY.INTL(OFFSET(hdr_PlanStart,MATCH($G144,tsk_ID,0),0),N($I144),WorkWeek,Holidays),-MAX(0,N($F144)-1),WorkWeek,Holidays)),0))</f>
        <v>0</v>
      </c>
      <c r="AL144" s="48" t="n">
        <f aca="true">IF(OR(N($J144)=0,$AI144,$D144=""),0,IFERROR(CHOOSE(MATCH(IF($K144="","FS",$K144),{"FS","SS","FF","SF"},0),WORKDAY.INTL(OFFSET(hdr_PlanFinish,MATCH($J144,tsk_ID,0),0),IF(N($F144)=0,0,1)+N($L144),WorkWeek,Holidays),WORKDAY.INTL(OFFSET(hdr_PlanStart,MATCH($J144,tsk_ID,0),0),N($L144),WorkWeek,Holidays),WORKDAY.INTL(WORKDAY.INTL(OFFSET(hdr_PlanFinish,MATCH($J144,tsk_ID,0),0),N($L144),WorkWeek,Holidays),-MAX(0,N($F144)-1),WorkWeek,Holidays),WORKDAY.INTL(WORKDAY.INTL(OFFSET(hdr_PlanStart,MATCH($J144,tsk_ID,0),0),N($L144),WorkWeek,Holidays),-MAX(0,N($F144)-1),WorkWeek,Holidays)),0))</f>
        <v>0</v>
      </c>
      <c r="AM144" s="48" t="n">
        <f aca="true">IF(OR(N($G144)=0,$AI144,$D144=""),0,IFERROR(CHOOSE(MATCH(IF($H144="","FS",$H144),{"FS","SS","FF","SF"},0),WORKDAY.INTL(OFFSET(hdr_FcFinish,MATCH($G144,tsk_ID,0),0),IF(N($F144)=0,0,1)+N($I144),WorkWeek,Holidays),WORKDAY.INTL(OFFSET(hdr_FcStart,MATCH($G144,tsk_ID,0),0),N($I144),WorkWeek,Holidays),WORKDAY.INTL(WORKDAY.INTL(OFFSET(hdr_FcFinish,MATCH($G144,tsk_ID,0),0),N($I144),WorkWeek,Holidays),-MAX(0,N($F144)-1),WorkWeek,Holidays),WORKDAY.INTL(WORKDAY.INTL(OFFSET(hdr_FcStart,MATCH($G144,tsk_ID,0),0),N($I144),WorkWeek,Holidays),-MAX(0,N($F144)-1),WorkWeek,Holidays)),0))</f>
        <v>0</v>
      </c>
      <c r="AN144" s="48" t="n">
        <f aca="true">IF(OR(N($J144)=0,$AI144,$D144=""),0,IFERROR(CHOOSE(MATCH(IF($K144="","FS",$K144),{"FS","SS","FF","SF"},0),WORKDAY.INTL(OFFSET(hdr_FcFinish,MATCH($J144,tsk_ID,0),0),IF(N($F144)=0,0,1)+N($L144),WorkWeek,Holidays),WORKDAY.INTL(OFFSET(hdr_FcStart,MATCH($J144,tsk_ID,0),0),N($L144),WorkWeek,Holidays),WORKDAY.INTL(WORKDAY.INTL(OFFSET(hdr_FcFinish,MATCH($J144,tsk_ID,0),0),N($L144),WorkWeek,Holidays),-MAX(0,N($F144)-1),WorkWeek,Holidays),WORKDAY.INTL(WORKDAY.INTL(OFFSET(hdr_FcStart,MATCH($J144,tsk_ID,0),0),N($L144),WorkWeek,Holidays),-MAX(0,N($F144)-1),WorkWeek,Holidays)),0))</f>
        <v>0</v>
      </c>
      <c r="AO144" s="48" t="n">
        <f aca="false">IF($AJ144=1,$R144,0)</f>
        <v>0</v>
      </c>
      <c r="AP144" s="48" t="n">
        <f aca="false">IF($AJ144=1,$S144,0)</f>
        <v>0</v>
      </c>
      <c r="AQ144" s="49" t="n">
        <f aca="false">IF(AND($AJ144=1,N($Z144)&gt;0),$Z144/($AP144-$AO144+1),0)</f>
        <v>0</v>
      </c>
      <c r="AR144" s="46" t="n">
        <f aca="false">IF($AJ144=1,MAX(N($F144),0.1),0)</f>
        <v>0</v>
      </c>
      <c r="AS144" s="46" t="n">
        <f aca="false">IF($AJ144=1,$AR144*$V144,0)</f>
        <v>0</v>
      </c>
      <c r="AT144" s="46" t="str">
        <f aca="false">IF(N($G144)=0,"",$G144&amp;IF(AND(IF($H144="","FS",$H144)="FS",N($I144)=0),"",IF($H144="","FS",$H144)&amp;IF(N($I144)=0,"",IF(N($I144)&gt;0,"+","")&amp;N($I144)&amp;"d")))</f>
        <v/>
      </c>
      <c r="AU144" s="46" t="str">
        <f aca="false">IF(N($J144)=0,"",$J144&amp;IF(AND(IF($K144="","FS",$K144)="FS",N($L144)=0),"",IF($K144="","FS",$K144)&amp;IF(N($L144)=0,"",IF(N($L144)&gt;0,"+","")&amp;N($L144)&amp;"d")))</f>
        <v/>
      </c>
      <c r="AV144" s="46" t="str">
        <f aca="false">IF(AND($AJ144=1,N($F144)=0,$V144&lt;1),$S144+$AF144/100000,"")</f>
        <v/>
      </c>
    </row>
    <row r="145" customFormat="false" ht="15" hidden="false" customHeight="false" outlineLevel="0" collapsed="false">
      <c r="A145" s="38" t="str">
        <f aca="false">IF($D145="","",COUNTA($D$6:$D145))</f>
        <v/>
      </c>
      <c r="B145" s="39" t="str">
        <f aca="true">IF($D145="","",IF($AE145=1,COUNTIF($AE$6:$AE145,1)&amp;"",IF($AG145=0,"?",OFFSET(hdr_WBS,$AG145-ROW(hdr_WBS),0)&amp;"."&amp;COUNTIF(INDEX($AE:$AE,$AG145+1):$AE145,$AE145))))</f>
        <v/>
      </c>
      <c r="C145" s="40"/>
      <c r="D145" s="41"/>
      <c r="E145" s="40"/>
      <c r="F145" s="40"/>
      <c r="G145" s="40"/>
      <c r="H145" s="40"/>
      <c r="I145" s="40"/>
      <c r="J145" s="40"/>
      <c r="K145" s="40"/>
      <c r="L145" s="40"/>
      <c r="M145" s="29"/>
      <c r="N145" s="30" t="str">
        <f aca="true">IF($D145="","",IF($AI145,MIN(OFFSET(hdr_PlanStart,$AF145+1,0,$AH145,1)),IF($E145="Manual",IF(N($M145)&gt;0,$M145,ProjectStart),WORKDAY.INTL(MAX(ProjectStart,N($M145),$AK145,$AL145)-1,1,WorkWeek,Holidays))))</f>
        <v/>
      </c>
      <c r="O145" s="30" t="str">
        <f aca="true">IF($D145="","",IF($AI145,MAX(OFFSET(hdr_PlanFinish,$AF145+1,0,$AH145,1)),IF(N($F145)&lt;=0,$N145,WORKDAY.INTL($N145,$F145-1,WorkWeek,Holidays))))</f>
        <v/>
      </c>
      <c r="P145" s="29"/>
      <c r="Q145" s="29"/>
      <c r="R145" s="30" t="str">
        <f aca="true">IF($D145="","",IF($AI145,MIN(OFFSET(hdr_FcStart,$AF145+1,0,$AH145,1)),IF(N($P145)&gt;0,$P145,IF($E145="Manual",IF(N($M145)&gt;0,$M145,ProjectStart),WORKDAY.INTL(MAX(ProjectStart,N($M145),$AM145,$AN145,IF(RescheduleAfterStatus="Yes",StatusDate,0))-1,1,WorkWeek,Holidays)))))</f>
        <v/>
      </c>
      <c r="S145" s="30" t="str">
        <f aca="true">IF($D145="","",IF($AI145,MAX(OFFSET(hdr_FcFinish,$AF145+1,0,$AH145,1)),IF(N($Q145)&gt;0,$Q145,IF(N($F145)&lt;=0,$R145,IF(AND(N($P145)&gt;0,RescheduleAfterStatus="Yes"),MAX(WORKDAY.INTL($R145,$F145-1,WorkWeek,Holidays),WORKDAY.INTL(StatusWorkday,MAX(0,ROUNDUP($F145*(1-MIN(1,N($U145))),0)-1),WorkWeek,Holidays)),WORKDAY.INTL($R145,$F145-1,WorkWeek,Holidays))))))</f>
        <v/>
      </c>
      <c r="T145" s="38" t="str">
        <f aca="false">IF($D145="","",IF($S145&gt;=$O145,NETWORKDAYS.INTL($O145,$S145,WorkWeek,Holidays)-1,1-NETWORKDAYS.INTL($S145,$O145,WorkWeek,Holidays)))</f>
        <v/>
      </c>
      <c r="U145" s="32"/>
      <c r="V145" s="42" t="str">
        <f aca="true">IF($D145="","",IF($AI145,IFERROR(SUM(OFFSET(hdr_WtDone,$AF145+1,0,$AH145,1))/SUM(OFFSET(hdr_WtDur,$AF145+1,0,$AH145,1)),0),IF(N($Q145)&gt;0,1,MIN(1,N($U145)))))</f>
        <v/>
      </c>
      <c r="W145" s="39" t="str">
        <f aca="false">IF($D145="","",IF($V145&gt;=1,"Complete",IF(OR(N($P145)&gt;0,$V145&gt;0),IF($T145&gt;0,"Behind","In Progress"),IF($N145&lt;StatusDate,"Late Start","Not Started"))))</f>
        <v/>
      </c>
      <c r="X145" s="41"/>
      <c r="Y145" s="32"/>
      <c r="Z145" s="43" t="str">
        <f aca="true">IF($D145="","",IF($AI145,SUMPRODUCT(OFFSET(hdr_Work,$AF145+1,0,$AH145,1),OFFSET(hdr_IsLeaf,$AF145+1,0,$AH145,1)),IF($X145="",0,N($F145)*HoursPerDay*IF($Y145="",DefaultUnits,$Y145))))</f>
        <v/>
      </c>
      <c r="AA145" s="44" t="str">
        <f aca="true">IF($D145="","",IF($AI145,SUMPRODUCT(OFFSET(hdr_Cost,$AF145+1,0,$AH145,1),OFFSET(hdr_IsLeaf,$AF145+1,0,$AH145,1)),$Z145*IFERROR(INDEX(res_Rate,MATCH($X145,res_Name,0)),0)))</f>
        <v/>
      </c>
      <c r="AB145" s="38" t="str">
        <f aca="false">IF(OR($D145="",$AI145),"",IF(OR($R145&lt;Sprint1Start,$R145&gt;SprintLastEnd),"Backlog",INDEX(spr_Name,MATCH($R145,spr_Start,1))))</f>
        <v/>
      </c>
      <c r="AC145" s="45" t="str">
        <f aca="false">IF($D145="","",$AT145&amp;IF(AND($AT145&lt;&gt;"",$AU145&lt;&gt;""),",","")&amp;$AU145)</f>
        <v/>
      </c>
      <c r="AD145" s="41"/>
      <c r="AE145" s="46" t="str">
        <f aca="false">IF($D145="","",MAX(1,N($C145)))</f>
        <v/>
      </c>
      <c r="AF145" s="46" t="n">
        <f aca="false">ROW()-ROW(hdr_ID)</f>
        <v>140</v>
      </c>
      <c r="AG145" s="46" t="n">
        <f aca="false">IF(OR($D145="",$AE145&lt;=1),0,IFERROR(LOOKUP(2,1/($AE$5:$AE144=$AE145-1),ROW($AE$5:$AE144)),0))</f>
        <v>0</v>
      </c>
      <c r="AH145" s="46" t="n">
        <f aca="false">IF($D145="",0,COUNTIF(tsk_WBS,$B145&amp;".*"))</f>
        <v>0</v>
      </c>
      <c r="AI145" s="47" t="b">
        <f aca="false">$AH145&gt;0</f>
        <v>0</v>
      </c>
      <c r="AJ145" s="46" t="n">
        <f aca="false">IF(AND($D145&lt;&gt;"",NOT($AI145)),1,0)</f>
        <v>0</v>
      </c>
      <c r="AK145" s="48" t="n">
        <f aca="true">IF(OR(N($G145)=0,$AI145,$D145=""),0,IFERROR(CHOOSE(MATCH(IF($H145="","FS",$H145),{"FS","SS","FF","SF"},0),WORKDAY.INTL(OFFSET(hdr_PlanFinish,MATCH($G145,tsk_ID,0),0),IF(N($F145)=0,0,1)+N($I145),WorkWeek,Holidays),WORKDAY.INTL(OFFSET(hdr_PlanStart,MATCH($G145,tsk_ID,0),0),N($I145),WorkWeek,Holidays),WORKDAY.INTL(WORKDAY.INTL(OFFSET(hdr_PlanFinish,MATCH($G145,tsk_ID,0),0),N($I145),WorkWeek,Holidays),-MAX(0,N($F145)-1),WorkWeek,Holidays),WORKDAY.INTL(WORKDAY.INTL(OFFSET(hdr_PlanStart,MATCH($G145,tsk_ID,0),0),N($I145),WorkWeek,Holidays),-MAX(0,N($F145)-1),WorkWeek,Holidays)),0))</f>
        <v>0</v>
      </c>
      <c r="AL145" s="48" t="n">
        <f aca="true">IF(OR(N($J145)=0,$AI145,$D145=""),0,IFERROR(CHOOSE(MATCH(IF($K145="","FS",$K145),{"FS","SS","FF","SF"},0),WORKDAY.INTL(OFFSET(hdr_PlanFinish,MATCH($J145,tsk_ID,0),0),IF(N($F145)=0,0,1)+N($L145),WorkWeek,Holidays),WORKDAY.INTL(OFFSET(hdr_PlanStart,MATCH($J145,tsk_ID,0),0),N($L145),WorkWeek,Holidays),WORKDAY.INTL(WORKDAY.INTL(OFFSET(hdr_PlanFinish,MATCH($J145,tsk_ID,0),0),N($L145),WorkWeek,Holidays),-MAX(0,N($F145)-1),WorkWeek,Holidays),WORKDAY.INTL(WORKDAY.INTL(OFFSET(hdr_PlanStart,MATCH($J145,tsk_ID,0),0),N($L145),WorkWeek,Holidays),-MAX(0,N($F145)-1),WorkWeek,Holidays)),0))</f>
        <v>0</v>
      </c>
      <c r="AM145" s="48" t="n">
        <f aca="true">IF(OR(N($G145)=0,$AI145,$D145=""),0,IFERROR(CHOOSE(MATCH(IF($H145="","FS",$H145),{"FS","SS","FF","SF"},0),WORKDAY.INTL(OFFSET(hdr_FcFinish,MATCH($G145,tsk_ID,0),0),IF(N($F145)=0,0,1)+N($I145),WorkWeek,Holidays),WORKDAY.INTL(OFFSET(hdr_FcStart,MATCH($G145,tsk_ID,0),0),N($I145),WorkWeek,Holidays),WORKDAY.INTL(WORKDAY.INTL(OFFSET(hdr_FcFinish,MATCH($G145,tsk_ID,0),0),N($I145),WorkWeek,Holidays),-MAX(0,N($F145)-1),WorkWeek,Holidays),WORKDAY.INTL(WORKDAY.INTL(OFFSET(hdr_FcStart,MATCH($G145,tsk_ID,0),0),N($I145),WorkWeek,Holidays),-MAX(0,N($F145)-1),WorkWeek,Holidays)),0))</f>
        <v>0</v>
      </c>
      <c r="AN145" s="48" t="n">
        <f aca="true">IF(OR(N($J145)=0,$AI145,$D145=""),0,IFERROR(CHOOSE(MATCH(IF($K145="","FS",$K145),{"FS","SS","FF","SF"},0),WORKDAY.INTL(OFFSET(hdr_FcFinish,MATCH($J145,tsk_ID,0),0),IF(N($F145)=0,0,1)+N($L145),WorkWeek,Holidays),WORKDAY.INTL(OFFSET(hdr_FcStart,MATCH($J145,tsk_ID,0),0),N($L145),WorkWeek,Holidays),WORKDAY.INTL(WORKDAY.INTL(OFFSET(hdr_FcFinish,MATCH($J145,tsk_ID,0),0),N($L145),WorkWeek,Holidays),-MAX(0,N($F145)-1),WorkWeek,Holidays),WORKDAY.INTL(WORKDAY.INTL(OFFSET(hdr_FcStart,MATCH($J145,tsk_ID,0),0),N($L145),WorkWeek,Holidays),-MAX(0,N($F145)-1),WorkWeek,Holidays)),0))</f>
        <v>0</v>
      </c>
      <c r="AO145" s="48" t="n">
        <f aca="false">IF($AJ145=1,$R145,0)</f>
        <v>0</v>
      </c>
      <c r="AP145" s="48" t="n">
        <f aca="false">IF($AJ145=1,$S145,0)</f>
        <v>0</v>
      </c>
      <c r="AQ145" s="49" t="n">
        <f aca="false">IF(AND($AJ145=1,N($Z145)&gt;0),$Z145/($AP145-$AO145+1),0)</f>
        <v>0</v>
      </c>
      <c r="AR145" s="46" t="n">
        <f aca="false">IF($AJ145=1,MAX(N($F145),0.1),0)</f>
        <v>0</v>
      </c>
      <c r="AS145" s="46" t="n">
        <f aca="false">IF($AJ145=1,$AR145*$V145,0)</f>
        <v>0</v>
      </c>
      <c r="AT145" s="46" t="str">
        <f aca="false">IF(N($G145)=0,"",$G145&amp;IF(AND(IF($H145="","FS",$H145)="FS",N($I145)=0),"",IF($H145="","FS",$H145)&amp;IF(N($I145)=0,"",IF(N($I145)&gt;0,"+","")&amp;N($I145)&amp;"d")))</f>
        <v/>
      </c>
      <c r="AU145" s="46" t="str">
        <f aca="false">IF(N($J145)=0,"",$J145&amp;IF(AND(IF($K145="","FS",$K145)="FS",N($L145)=0),"",IF($K145="","FS",$K145)&amp;IF(N($L145)=0,"",IF(N($L145)&gt;0,"+","")&amp;N($L145)&amp;"d")))</f>
        <v/>
      </c>
      <c r="AV145" s="46" t="str">
        <f aca="false">IF(AND($AJ145=1,N($F145)=0,$V145&lt;1),$S145+$AF145/100000,"")</f>
        <v/>
      </c>
    </row>
    <row r="146" customFormat="false" ht="15" hidden="false" customHeight="false" outlineLevel="0" collapsed="false">
      <c r="A146" s="38" t="str">
        <f aca="false">IF($D146="","",COUNTA($D$6:$D146))</f>
        <v/>
      </c>
      <c r="B146" s="39" t="str">
        <f aca="true">IF($D146="","",IF($AE146=1,COUNTIF($AE$6:$AE146,1)&amp;"",IF($AG146=0,"?",OFFSET(hdr_WBS,$AG146-ROW(hdr_WBS),0)&amp;"."&amp;COUNTIF(INDEX($AE:$AE,$AG146+1):$AE146,$AE146))))</f>
        <v/>
      </c>
      <c r="C146" s="40"/>
      <c r="D146" s="41"/>
      <c r="E146" s="40"/>
      <c r="F146" s="40"/>
      <c r="G146" s="40"/>
      <c r="H146" s="40"/>
      <c r="I146" s="40"/>
      <c r="J146" s="40"/>
      <c r="K146" s="40"/>
      <c r="L146" s="40"/>
      <c r="M146" s="29"/>
      <c r="N146" s="30" t="str">
        <f aca="true">IF($D146="","",IF($AI146,MIN(OFFSET(hdr_PlanStart,$AF146+1,0,$AH146,1)),IF($E146="Manual",IF(N($M146)&gt;0,$M146,ProjectStart),WORKDAY.INTL(MAX(ProjectStart,N($M146),$AK146,$AL146)-1,1,WorkWeek,Holidays))))</f>
        <v/>
      </c>
      <c r="O146" s="30" t="str">
        <f aca="true">IF($D146="","",IF($AI146,MAX(OFFSET(hdr_PlanFinish,$AF146+1,0,$AH146,1)),IF(N($F146)&lt;=0,$N146,WORKDAY.INTL($N146,$F146-1,WorkWeek,Holidays))))</f>
        <v/>
      </c>
      <c r="P146" s="29"/>
      <c r="Q146" s="29"/>
      <c r="R146" s="30" t="str">
        <f aca="true">IF($D146="","",IF($AI146,MIN(OFFSET(hdr_FcStart,$AF146+1,0,$AH146,1)),IF(N($P146)&gt;0,$P146,IF($E146="Manual",IF(N($M146)&gt;0,$M146,ProjectStart),WORKDAY.INTL(MAX(ProjectStart,N($M146),$AM146,$AN146,IF(RescheduleAfterStatus="Yes",StatusDate,0))-1,1,WorkWeek,Holidays)))))</f>
        <v/>
      </c>
      <c r="S146" s="30" t="str">
        <f aca="true">IF($D146="","",IF($AI146,MAX(OFFSET(hdr_FcFinish,$AF146+1,0,$AH146,1)),IF(N($Q146)&gt;0,$Q146,IF(N($F146)&lt;=0,$R146,IF(AND(N($P146)&gt;0,RescheduleAfterStatus="Yes"),MAX(WORKDAY.INTL($R146,$F146-1,WorkWeek,Holidays),WORKDAY.INTL(StatusWorkday,MAX(0,ROUNDUP($F146*(1-MIN(1,N($U146))),0)-1),WorkWeek,Holidays)),WORKDAY.INTL($R146,$F146-1,WorkWeek,Holidays))))))</f>
        <v/>
      </c>
      <c r="T146" s="38" t="str">
        <f aca="false">IF($D146="","",IF($S146&gt;=$O146,NETWORKDAYS.INTL($O146,$S146,WorkWeek,Holidays)-1,1-NETWORKDAYS.INTL($S146,$O146,WorkWeek,Holidays)))</f>
        <v/>
      </c>
      <c r="U146" s="32"/>
      <c r="V146" s="42" t="str">
        <f aca="true">IF($D146="","",IF($AI146,IFERROR(SUM(OFFSET(hdr_WtDone,$AF146+1,0,$AH146,1))/SUM(OFFSET(hdr_WtDur,$AF146+1,0,$AH146,1)),0),IF(N($Q146)&gt;0,1,MIN(1,N($U146)))))</f>
        <v/>
      </c>
      <c r="W146" s="39" t="str">
        <f aca="false">IF($D146="","",IF($V146&gt;=1,"Complete",IF(OR(N($P146)&gt;0,$V146&gt;0),IF($T146&gt;0,"Behind","In Progress"),IF($N146&lt;StatusDate,"Late Start","Not Started"))))</f>
        <v/>
      </c>
      <c r="X146" s="41"/>
      <c r="Y146" s="32"/>
      <c r="Z146" s="43" t="str">
        <f aca="true">IF($D146="","",IF($AI146,SUMPRODUCT(OFFSET(hdr_Work,$AF146+1,0,$AH146,1),OFFSET(hdr_IsLeaf,$AF146+1,0,$AH146,1)),IF($X146="",0,N($F146)*HoursPerDay*IF($Y146="",DefaultUnits,$Y146))))</f>
        <v/>
      </c>
      <c r="AA146" s="44" t="str">
        <f aca="true">IF($D146="","",IF($AI146,SUMPRODUCT(OFFSET(hdr_Cost,$AF146+1,0,$AH146,1),OFFSET(hdr_IsLeaf,$AF146+1,0,$AH146,1)),$Z146*IFERROR(INDEX(res_Rate,MATCH($X146,res_Name,0)),0)))</f>
        <v/>
      </c>
      <c r="AB146" s="38" t="str">
        <f aca="false">IF(OR($D146="",$AI146),"",IF(OR($R146&lt;Sprint1Start,$R146&gt;SprintLastEnd),"Backlog",INDEX(spr_Name,MATCH($R146,spr_Start,1))))</f>
        <v/>
      </c>
      <c r="AC146" s="45" t="str">
        <f aca="false">IF($D146="","",$AT146&amp;IF(AND($AT146&lt;&gt;"",$AU146&lt;&gt;""),",","")&amp;$AU146)</f>
        <v/>
      </c>
      <c r="AD146" s="41"/>
      <c r="AE146" s="46" t="str">
        <f aca="false">IF($D146="","",MAX(1,N($C146)))</f>
        <v/>
      </c>
      <c r="AF146" s="46" t="n">
        <f aca="false">ROW()-ROW(hdr_ID)</f>
        <v>141</v>
      </c>
      <c r="AG146" s="46" t="n">
        <f aca="false">IF(OR($D146="",$AE146&lt;=1),0,IFERROR(LOOKUP(2,1/($AE$5:$AE145=$AE146-1),ROW($AE$5:$AE145)),0))</f>
        <v>0</v>
      </c>
      <c r="AH146" s="46" t="n">
        <f aca="false">IF($D146="",0,COUNTIF(tsk_WBS,$B146&amp;".*"))</f>
        <v>0</v>
      </c>
      <c r="AI146" s="47" t="b">
        <f aca="false">$AH146&gt;0</f>
        <v>0</v>
      </c>
      <c r="AJ146" s="46" t="n">
        <f aca="false">IF(AND($D146&lt;&gt;"",NOT($AI146)),1,0)</f>
        <v>0</v>
      </c>
      <c r="AK146" s="48" t="n">
        <f aca="true">IF(OR(N($G146)=0,$AI146,$D146=""),0,IFERROR(CHOOSE(MATCH(IF($H146="","FS",$H146),{"FS","SS","FF","SF"},0),WORKDAY.INTL(OFFSET(hdr_PlanFinish,MATCH($G146,tsk_ID,0),0),IF(N($F146)=0,0,1)+N($I146),WorkWeek,Holidays),WORKDAY.INTL(OFFSET(hdr_PlanStart,MATCH($G146,tsk_ID,0),0),N($I146),WorkWeek,Holidays),WORKDAY.INTL(WORKDAY.INTL(OFFSET(hdr_PlanFinish,MATCH($G146,tsk_ID,0),0),N($I146),WorkWeek,Holidays),-MAX(0,N($F146)-1),WorkWeek,Holidays),WORKDAY.INTL(WORKDAY.INTL(OFFSET(hdr_PlanStart,MATCH($G146,tsk_ID,0),0),N($I146),WorkWeek,Holidays),-MAX(0,N($F146)-1),WorkWeek,Holidays)),0))</f>
        <v>0</v>
      </c>
      <c r="AL146" s="48" t="n">
        <f aca="true">IF(OR(N($J146)=0,$AI146,$D146=""),0,IFERROR(CHOOSE(MATCH(IF($K146="","FS",$K146),{"FS","SS","FF","SF"},0),WORKDAY.INTL(OFFSET(hdr_PlanFinish,MATCH($J146,tsk_ID,0),0),IF(N($F146)=0,0,1)+N($L146),WorkWeek,Holidays),WORKDAY.INTL(OFFSET(hdr_PlanStart,MATCH($J146,tsk_ID,0),0),N($L146),WorkWeek,Holidays),WORKDAY.INTL(WORKDAY.INTL(OFFSET(hdr_PlanFinish,MATCH($J146,tsk_ID,0),0),N($L146),WorkWeek,Holidays),-MAX(0,N($F146)-1),WorkWeek,Holidays),WORKDAY.INTL(WORKDAY.INTL(OFFSET(hdr_PlanStart,MATCH($J146,tsk_ID,0),0),N($L146),WorkWeek,Holidays),-MAX(0,N($F146)-1),WorkWeek,Holidays)),0))</f>
        <v>0</v>
      </c>
      <c r="AM146" s="48" t="n">
        <f aca="true">IF(OR(N($G146)=0,$AI146,$D146=""),0,IFERROR(CHOOSE(MATCH(IF($H146="","FS",$H146),{"FS","SS","FF","SF"},0),WORKDAY.INTL(OFFSET(hdr_FcFinish,MATCH($G146,tsk_ID,0),0),IF(N($F146)=0,0,1)+N($I146),WorkWeek,Holidays),WORKDAY.INTL(OFFSET(hdr_FcStart,MATCH($G146,tsk_ID,0),0),N($I146),WorkWeek,Holidays),WORKDAY.INTL(WORKDAY.INTL(OFFSET(hdr_FcFinish,MATCH($G146,tsk_ID,0),0),N($I146),WorkWeek,Holidays),-MAX(0,N($F146)-1),WorkWeek,Holidays),WORKDAY.INTL(WORKDAY.INTL(OFFSET(hdr_FcStart,MATCH($G146,tsk_ID,0),0),N($I146),WorkWeek,Holidays),-MAX(0,N($F146)-1),WorkWeek,Holidays)),0))</f>
        <v>0</v>
      </c>
      <c r="AN146" s="48" t="n">
        <f aca="true">IF(OR(N($J146)=0,$AI146,$D146=""),0,IFERROR(CHOOSE(MATCH(IF($K146="","FS",$K146),{"FS","SS","FF","SF"},0),WORKDAY.INTL(OFFSET(hdr_FcFinish,MATCH($J146,tsk_ID,0),0),IF(N($F146)=0,0,1)+N($L146),WorkWeek,Holidays),WORKDAY.INTL(OFFSET(hdr_FcStart,MATCH($J146,tsk_ID,0),0),N($L146),WorkWeek,Holidays),WORKDAY.INTL(WORKDAY.INTL(OFFSET(hdr_FcFinish,MATCH($J146,tsk_ID,0),0),N($L146),WorkWeek,Holidays),-MAX(0,N($F146)-1),WorkWeek,Holidays),WORKDAY.INTL(WORKDAY.INTL(OFFSET(hdr_FcStart,MATCH($J146,tsk_ID,0),0),N($L146),WorkWeek,Holidays),-MAX(0,N($F146)-1),WorkWeek,Holidays)),0))</f>
        <v>0</v>
      </c>
      <c r="AO146" s="48" t="n">
        <f aca="false">IF($AJ146=1,$R146,0)</f>
        <v>0</v>
      </c>
      <c r="AP146" s="48" t="n">
        <f aca="false">IF($AJ146=1,$S146,0)</f>
        <v>0</v>
      </c>
      <c r="AQ146" s="49" t="n">
        <f aca="false">IF(AND($AJ146=1,N($Z146)&gt;0),$Z146/($AP146-$AO146+1),0)</f>
        <v>0</v>
      </c>
      <c r="AR146" s="46" t="n">
        <f aca="false">IF($AJ146=1,MAX(N($F146),0.1),0)</f>
        <v>0</v>
      </c>
      <c r="AS146" s="46" t="n">
        <f aca="false">IF($AJ146=1,$AR146*$V146,0)</f>
        <v>0</v>
      </c>
      <c r="AT146" s="46" t="str">
        <f aca="false">IF(N($G146)=0,"",$G146&amp;IF(AND(IF($H146="","FS",$H146)="FS",N($I146)=0),"",IF($H146="","FS",$H146)&amp;IF(N($I146)=0,"",IF(N($I146)&gt;0,"+","")&amp;N($I146)&amp;"d")))</f>
        <v/>
      </c>
      <c r="AU146" s="46" t="str">
        <f aca="false">IF(N($J146)=0,"",$J146&amp;IF(AND(IF($K146="","FS",$K146)="FS",N($L146)=0),"",IF($K146="","FS",$K146)&amp;IF(N($L146)=0,"",IF(N($L146)&gt;0,"+","")&amp;N($L146)&amp;"d")))</f>
        <v/>
      </c>
      <c r="AV146" s="46" t="str">
        <f aca="false">IF(AND($AJ146=1,N($F146)=0,$V146&lt;1),$S146+$AF146/100000,"")</f>
        <v/>
      </c>
    </row>
    <row r="147" customFormat="false" ht="15" hidden="false" customHeight="false" outlineLevel="0" collapsed="false">
      <c r="A147" s="38" t="str">
        <f aca="false">IF($D147="","",COUNTA($D$6:$D147))</f>
        <v/>
      </c>
      <c r="B147" s="39" t="str">
        <f aca="true">IF($D147="","",IF($AE147=1,COUNTIF($AE$6:$AE147,1)&amp;"",IF($AG147=0,"?",OFFSET(hdr_WBS,$AG147-ROW(hdr_WBS),0)&amp;"."&amp;COUNTIF(INDEX($AE:$AE,$AG147+1):$AE147,$AE147))))</f>
        <v/>
      </c>
      <c r="C147" s="40"/>
      <c r="D147" s="41"/>
      <c r="E147" s="40"/>
      <c r="F147" s="40"/>
      <c r="G147" s="40"/>
      <c r="H147" s="40"/>
      <c r="I147" s="40"/>
      <c r="J147" s="40"/>
      <c r="K147" s="40"/>
      <c r="L147" s="40"/>
      <c r="M147" s="29"/>
      <c r="N147" s="30" t="str">
        <f aca="true">IF($D147="","",IF($AI147,MIN(OFFSET(hdr_PlanStart,$AF147+1,0,$AH147,1)),IF($E147="Manual",IF(N($M147)&gt;0,$M147,ProjectStart),WORKDAY.INTL(MAX(ProjectStart,N($M147),$AK147,$AL147)-1,1,WorkWeek,Holidays))))</f>
        <v/>
      </c>
      <c r="O147" s="30" t="str">
        <f aca="true">IF($D147="","",IF($AI147,MAX(OFFSET(hdr_PlanFinish,$AF147+1,0,$AH147,1)),IF(N($F147)&lt;=0,$N147,WORKDAY.INTL($N147,$F147-1,WorkWeek,Holidays))))</f>
        <v/>
      </c>
      <c r="P147" s="29"/>
      <c r="Q147" s="29"/>
      <c r="R147" s="30" t="str">
        <f aca="true">IF($D147="","",IF($AI147,MIN(OFFSET(hdr_FcStart,$AF147+1,0,$AH147,1)),IF(N($P147)&gt;0,$P147,IF($E147="Manual",IF(N($M147)&gt;0,$M147,ProjectStart),WORKDAY.INTL(MAX(ProjectStart,N($M147),$AM147,$AN147,IF(RescheduleAfterStatus="Yes",StatusDate,0))-1,1,WorkWeek,Holidays)))))</f>
        <v/>
      </c>
      <c r="S147" s="30" t="str">
        <f aca="true">IF($D147="","",IF($AI147,MAX(OFFSET(hdr_FcFinish,$AF147+1,0,$AH147,1)),IF(N($Q147)&gt;0,$Q147,IF(N($F147)&lt;=0,$R147,IF(AND(N($P147)&gt;0,RescheduleAfterStatus="Yes"),MAX(WORKDAY.INTL($R147,$F147-1,WorkWeek,Holidays),WORKDAY.INTL(StatusWorkday,MAX(0,ROUNDUP($F147*(1-MIN(1,N($U147))),0)-1),WorkWeek,Holidays)),WORKDAY.INTL($R147,$F147-1,WorkWeek,Holidays))))))</f>
        <v/>
      </c>
      <c r="T147" s="38" t="str">
        <f aca="false">IF($D147="","",IF($S147&gt;=$O147,NETWORKDAYS.INTL($O147,$S147,WorkWeek,Holidays)-1,1-NETWORKDAYS.INTL($S147,$O147,WorkWeek,Holidays)))</f>
        <v/>
      </c>
      <c r="U147" s="32"/>
      <c r="V147" s="42" t="str">
        <f aca="true">IF($D147="","",IF($AI147,IFERROR(SUM(OFFSET(hdr_WtDone,$AF147+1,0,$AH147,1))/SUM(OFFSET(hdr_WtDur,$AF147+1,0,$AH147,1)),0),IF(N($Q147)&gt;0,1,MIN(1,N($U147)))))</f>
        <v/>
      </c>
      <c r="W147" s="39" t="str">
        <f aca="false">IF($D147="","",IF($V147&gt;=1,"Complete",IF(OR(N($P147)&gt;0,$V147&gt;0),IF($T147&gt;0,"Behind","In Progress"),IF($N147&lt;StatusDate,"Late Start","Not Started"))))</f>
        <v/>
      </c>
      <c r="X147" s="41"/>
      <c r="Y147" s="32"/>
      <c r="Z147" s="43" t="str">
        <f aca="true">IF($D147="","",IF($AI147,SUMPRODUCT(OFFSET(hdr_Work,$AF147+1,0,$AH147,1),OFFSET(hdr_IsLeaf,$AF147+1,0,$AH147,1)),IF($X147="",0,N($F147)*HoursPerDay*IF($Y147="",DefaultUnits,$Y147))))</f>
        <v/>
      </c>
      <c r="AA147" s="44" t="str">
        <f aca="true">IF($D147="","",IF($AI147,SUMPRODUCT(OFFSET(hdr_Cost,$AF147+1,0,$AH147,1),OFFSET(hdr_IsLeaf,$AF147+1,0,$AH147,1)),$Z147*IFERROR(INDEX(res_Rate,MATCH($X147,res_Name,0)),0)))</f>
        <v/>
      </c>
      <c r="AB147" s="38" t="str">
        <f aca="false">IF(OR($D147="",$AI147),"",IF(OR($R147&lt;Sprint1Start,$R147&gt;SprintLastEnd),"Backlog",INDEX(spr_Name,MATCH($R147,spr_Start,1))))</f>
        <v/>
      </c>
      <c r="AC147" s="45" t="str">
        <f aca="false">IF($D147="","",$AT147&amp;IF(AND($AT147&lt;&gt;"",$AU147&lt;&gt;""),",","")&amp;$AU147)</f>
        <v/>
      </c>
      <c r="AD147" s="41"/>
      <c r="AE147" s="46" t="str">
        <f aca="false">IF($D147="","",MAX(1,N($C147)))</f>
        <v/>
      </c>
      <c r="AF147" s="46" t="n">
        <f aca="false">ROW()-ROW(hdr_ID)</f>
        <v>142</v>
      </c>
      <c r="AG147" s="46" t="n">
        <f aca="false">IF(OR($D147="",$AE147&lt;=1),0,IFERROR(LOOKUP(2,1/($AE$5:$AE146=$AE147-1),ROW($AE$5:$AE146)),0))</f>
        <v>0</v>
      </c>
      <c r="AH147" s="46" t="n">
        <f aca="false">IF($D147="",0,COUNTIF(tsk_WBS,$B147&amp;".*"))</f>
        <v>0</v>
      </c>
      <c r="AI147" s="47" t="b">
        <f aca="false">$AH147&gt;0</f>
        <v>0</v>
      </c>
      <c r="AJ147" s="46" t="n">
        <f aca="false">IF(AND($D147&lt;&gt;"",NOT($AI147)),1,0)</f>
        <v>0</v>
      </c>
      <c r="AK147" s="48" t="n">
        <f aca="true">IF(OR(N($G147)=0,$AI147,$D147=""),0,IFERROR(CHOOSE(MATCH(IF($H147="","FS",$H147),{"FS","SS","FF","SF"},0),WORKDAY.INTL(OFFSET(hdr_PlanFinish,MATCH($G147,tsk_ID,0),0),IF(N($F147)=0,0,1)+N($I147),WorkWeek,Holidays),WORKDAY.INTL(OFFSET(hdr_PlanStart,MATCH($G147,tsk_ID,0),0),N($I147),WorkWeek,Holidays),WORKDAY.INTL(WORKDAY.INTL(OFFSET(hdr_PlanFinish,MATCH($G147,tsk_ID,0),0),N($I147),WorkWeek,Holidays),-MAX(0,N($F147)-1),WorkWeek,Holidays),WORKDAY.INTL(WORKDAY.INTL(OFFSET(hdr_PlanStart,MATCH($G147,tsk_ID,0),0),N($I147),WorkWeek,Holidays),-MAX(0,N($F147)-1),WorkWeek,Holidays)),0))</f>
        <v>0</v>
      </c>
      <c r="AL147" s="48" t="n">
        <f aca="true">IF(OR(N($J147)=0,$AI147,$D147=""),0,IFERROR(CHOOSE(MATCH(IF($K147="","FS",$K147),{"FS","SS","FF","SF"},0),WORKDAY.INTL(OFFSET(hdr_PlanFinish,MATCH($J147,tsk_ID,0),0),IF(N($F147)=0,0,1)+N($L147),WorkWeek,Holidays),WORKDAY.INTL(OFFSET(hdr_PlanStart,MATCH($J147,tsk_ID,0),0),N($L147),WorkWeek,Holidays),WORKDAY.INTL(WORKDAY.INTL(OFFSET(hdr_PlanFinish,MATCH($J147,tsk_ID,0),0),N($L147),WorkWeek,Holidays),-MAX(0,N($F147)-1),WorkWeek,Holidays),WORKDAY.INTL(WORKDAY.INTL(OFFSET(hdr_PlanStart,MATCH($J147,tsk_ID,0),0),N($L147),WorkWeek,Holidays),-MAX(0,N($F147)-1),WorkWeek,Holidays)),0))</f>
        <v>0</v>
      </c>
      <c r="AM147" s="48" t="n">
        <f aca="true">IF(OR(N($G147)=0,$AI147,$D147=""),0,IFERROR(CHOOSE(MATCH(IF($H147="","FS",$H147),{"FS","SS","FF","SF"},0),WORKDAY.INTL(OFFSET(hdr_FcFinish,MATCH($G147,tsk_ID,0),0),IF(N($F147)=0,0,1)+N($I147),WorkWeek,Holidays),WORKDAY.INTL(OFFSET(hdr_FcStart,MATCH($G147,tsk_ID,0),0),N($I147),WorkWeek,Holidays),WORKDAY.INTL(WORKDAY.INTL(OFFSET(hdr_FcFinish,MATCH($G147,tsk_ID,0),0),N($I147),WorkWeek,Holidays),-MAX(0,N($F147)-1),WorkWeek,Holidays),WORKDAY.INTL(WORKDAY.INTL(OFFSET(hdr_FcStart,MATCH($G147,tsk_ID,0),0),N($I147),WorkWeek,Holidays),-MAX(0,N($F147)-1),WorkWeek,Holidays)),0))</f>
        <v>0</v>
      </c>
      <c r="AN147" s="48" t="n">
        <f aca="true">IF(OR(N($J147)=0,$AI147,$D147=""),0,IFERROR(CHOOSE(MATCH(IF($K147="","FS",$K147),{"FS","SS","FF","SF"},0),WORKDAY.INTL(OFFSET(hdr_FcFinish,MATCH($J147,tsk_ID,0),0),IF(N($F147)=0,0,1)+N($L147),WorkWeek,Holidays),WORKDAY.INTL(OFFSET(hdr_FcStart,MATCH($J147,tsk_ID,0),0),N($L147),WorkWeek,Holidays),WORKDAY.INTL(WORKDAY.INTL(OFFSET(hdr_FcFinish,MATCH($J147,tsk_ID,0),0),N($L147),WorkWeek,Holidays),-MAX(0,N($F147)-1),WorkWeek,Holidays),WORKDAY.INTL(WORKDAY.INTL(OFFSET(hdr_FcStart,MATCH($J147,tsk_ID,0),0),N($L147),WorkWeek,Holidays),-MAX(0,N($F147)-1),WorkWeek,Holidays)),0))</f>
        <v>0</v>
      </c>
      <c r="AO147" s="48" t="n">
        <f aca="false">IF($AJ147=1,$R147,0)</f>
        <v>0</v>
      </c>
      <c r="AP147" s="48" t="n">
        <f aca="false">IF($AJ147=1,$S147,0)</f>
        <v>0</v>
      </c>
      <c r="AQ147" s="49" t="n">
        <f aca="false">IF(AND($AJ147=1,N($Z147)&gt;0),$Z147/($AP147-$AO147+1),0)</f>
        <v>0</v>
      </c>
      <c r="AR147" s="46" t="n">
        <f aca="false">IF($AJ147=1,MAX(N($F147),0.1),0)</f>
        <v>0</v>
      </c>
      <c r="AS147" s="46" t="n">
        <f aca="false">IF($AJ147=1,$AR147*$V147,0)</f>
        <v>0</v>
      </c>
      <c r="AT147" s="46" t="str">
        <f aca="false">IF(N($G147)=0,"",$G147&amp;IF(AND(IF($H147="","FS",$H147)="FS",N($I147)=0),"",IF($H147="","FS",$H147)&amp;IF(N($I147)=0,"",IF(N($I147)&gt;0,"+","")&amp;N($I147)&amp;"d")))</f>
        <v/>
      </c>
      <c r="AU147" s="46" t="str">
        <f aca="false">IF(N($J147)=0,"",$J147&amp;IF(AND(IF($K147="","FS",$K147)="FS",N($L147)=0),"",IF($K147="","FS",$K147)&amp;IF(N($L147)=0,"",IF(N($L147)&gt;0,"+","")&amp;N($L147)&amp;"d")))</f>
        <v/>
      </c>
      <c r="AV147" s="46" t="str">
        <f aca="false">IF(AND($AJ147=1,N($F147)=0,$V147&lt;1),$S147+$AF147/100000,"")</f>
        <v/>
      </c>
    </row>
    <row r="148" customFormat="false" ht="15" hidden="false" customHeight="false" outlineLevel="0" collapsed="false">
      <c r="A148" s="38" t="str">
        <f aca="false">IF($D148="","",COUNTA($D$6:$D148))</f>
        <v/>
      </c>
      <c r="B148" s="39" t="str">
        <f aca="true">IF($D148="","",IF($AE148=1,COUNTIF($AE$6:$AE148,1)&amp;"",IF($AG148=0,"?",OFFSET(hdr_WBS,$AG148-ROW(hdr_WBS),0)&amp;"."&amp;COUNTIF(INDEX($AE:$AE,$AG148+1):$AE148,$AE148))))</f>
        <v/>
      </c>
      <c r="C148" s="40"/>
      <c r="D148" s="41"/>
      <c r="E148" s="40"/>
      <c r="F148" s="40"/>
      <c r="G148" s="40"/>
      <c r="H148" s="40"/>
      <c r="I148" s="40"/>
      <c r="J148" s="40"/>
      <c r="K148" s="40"/>
      <c r="L148" s="40"/>
      <c r="M148" s="29"/>
      <c r="N148" s="30" t="str">
        <f aca="true">IF($D148="","",IF($AI148,MIN(OFFSET(hdr_PlanStart,$AF148+1,0,$AH148,1)),IF($E148="Manual",IF(N($M148)&gt;0,$M148,ProjectStart),WORKDAY.INTL(MAX(ProjectStart,N($M148),$AK148,$AL148)-1,1,WorkWeek,Holidays))))</f>
        <v/>
      </c>
      <c r="O148" s="30" t="str">
        <f aca="true">IF($D148="","",IF($AI148,MAX(OFFSET(hdr_PlanFinish,$AF148+1,0,$AH148,1)),IF(N($F148)&lt;=0,$N148,WORKDAY.INTL($N148,$F148-1,WorkWeek,Holidays))))</f>
        <v/>
      </c>
      <c r="P148" s="29"/>
      <c r="Q148" s="29"/>
      <c r="R148" s="30" t="str">
        <f aca="true">IF($D148="","",IF($AI148,MIN(OFFSET(hdr_FcStart,$AF148+1,0,$AH148,1)),IF(N($P148)&gt;0,$P148,IF($E148="Manual",IF(N($M148)&gt;0,$M148,ProjectStart),WORKDAY.INTL(MAX(ProjectStart,N($M148),$AM148,$AN148,IF(RescheduleAfterStatus="Yes",StatusDate,0))-1,1,WorkWeek,Holidays)))))</f>
        <v/>
      </c>
      <c r="S148" s="30" t="str">
        <f aca="true">IF($D148="","",IF($AI148,MAX(OFFSET(hdr_FcFinish,$AF148+1,0,$AH148,1)),IF(N($Q148)&gt;0,$Q148,IF(N($F148)&lt;=0,$R148,IF(AND(N($P148)&gt;0,RescheduleAfterStatus="Yes"),MAX(WORKDAY.INTL($R148,$F148-1,WorkWeek,Holidays),WORKDAY.INTL(StatusWorkday,MAX(0,ROUNDUP($F148*(1-MIN(1,N($U148))),0)-1),WorkWeek,Holidays)),WORKDAY.INTL($R148,$F148-1,WorkWeek,Holidays))))))</f>
        <v/>
      </c>
      <c r="T148" s="38" t="str">
        <f aca="false">IF($D148="","",IF($S148&gt;=$O148,NETWORKDAYS.INTL($O148,$S148,WorkWeek,Holidays)-1,1-NETWORKDAYS.INTL($S148,$O148,WorkWeek,Holidays)))</f>
        <v/>
      </c>
      <c r="U148" s="32"/>
      <c r="V148" s="42" t="str">
        <f aca="true">IF($D148="","",IF($AI148,IFERROR(SUM(OFFSET(hdr_WtDone,$AF148+1,0,$AH148,1))/SUM(OFFSET(hdr_WtDur,$AF148+1,0,$AH148,1)),0),IF(N($Q148)&gt;0,1,MIN(1,N($U148)))))</f>
        <v/>
      </c>
      <c r="W148" s="39" t="str">
        <f aca="false">IF($D148="","",IF($V148&gt;=1,"Complete",IF(OR(N($P148)&gt;0,$V148&gt;0),IF($T148&gt;0,"Behind","In Progress"),IF($N148&lt;StatusDate,"Late Start","Not Started"))))</f>
        <v/>
      </c>
      <c r="X148" s="41"/>
      <c r="Y148" s="32"/>
      <c r="Z148" s="43" t="str">
        <f aca="true">IF($D148="","",IF($AI148,SUMPRODUCT(OFFSET(hdr_Work,$AF148+1,0,$AH148,1),OFFSET(hdr_IsLeaf,$AF148+1,0,$AH148,1)),IF($X148="",0,N($F148)*HoursPerDay*IF($Y148="",DefaultUnits,$Y148))))</f>
        <v/>
      </c>
      <c r="AA148" s="44" t="str">
        <f aca="true">IF($D148="","",IF($AI148,SUMPRODUCT(OFFSET(hdr_Cost,$AF148+1,0,$AH148,1),OFFSET(hdr_IsLeaf,$AF148+1,0,$AH148,1)),$Z148*IFERROR(INDEX(res_Rate,MATCH($X148,res_Name,0)),0)))</f>
        <v/>
      </c>
      <c r="AB148" s="38" t="str">
        <f aca="false">IF(OR($D148="",$AI148),"",IF(OR($R148&lt;Sprint1Start,$R148&gt;SprintLastEnd),"Backlog",INDEX(spr_Name,MATCH($R148,spr_Start,1))))</f>
        <v/>
      </c>
      <c r="AC148" s="45" t="str">
        <f aca="false">IF($D148="","",$AT148&amp;IF(AND($AT148&lt;&gt;"",$AU148&lt;&gt;""),",","")&amp;$AU148)</f>
        <v/>
      </c>
      <c r="AD148" s="41"/>
      <c r="AE148" s="46" t="str">
        <f aca="false">IF($D148="","",MAX(1,N($C148)))</f>
        <v/>
      </c>
      <c r="AF148" s="46" t="n">
        <f aca="false">ROW()-ROW(hdr_ID)</f>
        <v>143</v>
      </c>
      <c r="AG148" s="46" t="n">
        <f aca="false">IF(OR($D148="",$AE148&lt;=1),0,IFERROR(LOOKUP(2,1/($AE$5:$AE147=$AE148-1),ROW($AE$5:$AE147)),0))</f>
        <v>0</v>
      </c>
      <c r="AH148" s="46" t="n">
        <f aca="false">IF($D148="",0,COUNTIF(tsk_WBS,$B148&amp;".*"))</f>
        <v>0</v>
      </c>
      <c r="AI148" s="47" t="b">
        <f aca="false">$AH148&gt;0</f>
        <v>0</v>
      </c>
      <c r="AJ148" s="46" t="n">
        <f aca="false">IF(AND($D148&lt;&gt;"",NOT($AI148)),1,0)</f>
        <v>0</v>
      </c>
      <c r="AK148" s="48" t="n">
        <f aca="true">IF(OR(N($G148)=0,$AI148,$D148=""),0,IFERROR(CHOOSE(MATCH(IF($H148="","FS",$H148),{"FS","SS","FF","SF"},0),WORKDAY.INTL(OFFSET(hdr_PlanFinish,MATCH($G148,tsk_ID,0),0),IF(N($F148)=0,0,1)+N($I148),WorkWeek,Holidays),WORKDAY.INTL(OFFSET(hdr_PlanStart,MATCH($G148,tsk_ID,0),0),N($I148),WorkWeek,Holidays),WORKDAY.INTL(WORKDAY.INTL(OFFSET(hdr_PlanFinish,MATCH($G148,tsk_ID,0),0),N($I148),WorkWeek,Holidays),-MAX(0,N($F148)-1),WorkWeek,Holidays),WORKDAY.INTL(WORKDAY.INTL(OFFSET(hdr_PlanStart,MATCH($G148,tsk_ID,0),0),N($I148),WorkWeek,Holidays),-MAX(0,N($F148)-1),WorkWeek,Holidays)),0))</f>
        <v>0</v>
      </c>
      <c r="AL148" s="48" t="n">
        <f aca="true">IF(OR(N($J148)=0,$AI148,$D148=""),0,IFERROR(CHOOSE(MATCH(IF($K148="","FS",$K148),{"FS","SS","FF","SF"},0),WORKDAY.INTL(OFFSET(hdr_PlanFinish,MATCH($J148,tsk_ID,0),0),IF(N($F148)=0,0,1)+N($L148),WorkWeek,Holidays),WORKDAY.INTL(OFFSET(hdr_PlanStart,MATCH($J148,tsk_ID,0),0),N($L148),WorkWeek,Holidays),WORKDAY.INTL(WORKDAY.INTL(OFFSET(hdr_PlanFinish,MATCH($J148,tsk_ID,0),0),N($L148),WorkWeek,Holidays),-MAX(0,N($F148)-1),WorkWeek,Holidays),WORKDAY.INTL(WORKDAY.INTL(OFFSET(hdr_PlanStart,MATCH($J148,tsk_ID,0),0),N($L148),WorkWeek,Holidays),-MAX(0,N($F148)-1),WorkWeek,Holidays)),0))</f>
        <v>0</v>
      </c>
      <c r="AM148" s="48" t="n">
        <f aca="true">IF(OR(N($G148)=0,$AI148,$D148=""),0,IFERROR(CHOOSE(MATCH(IF($H148="","FS",$H148),{"FS","SS","FF","SF"},0),WORKDAY.INTL(OFFSET(hdr_FcFinish,MATCH($G148,tsk_ID,0),0),IF(N($F148)=0,0,1)+N($I148),WorkWeek,Holidays),WORKDAY.INTL(OFFSET(hdr_FcStart,MATCH($G148,tsk_ID,0),0),N($I148),WorkWeek,Holidays),WORKDAY.INTL(WORKDAY.INTL(OFFSET(hdr_FcFinish,MATCH($G148,tsk_ID,0),0),N($I148),WorkWeek,Holidays),-MAX(0,N($F148)-1),WorkWeek,Holidays),WORKDAY.INTL(WORKDAY.INTL(OFFSET(hdr_FcStart,MATCH($G148,tsk_ID,0),0),N($I148),WorkWeek,Holidays),-MAX(0,N($F148)-1),WorkWeek,Holidays)),0))</f>
        <v>0</v>
      </c>
      <c r="AN148" s="48" t="n">
        <f aca="true">IF(OR(N($J148)=0,$AI148,$D148=""),0,IFERROR(CHOOSE(MATCH(IF($K148="","FS",$K148),{"FS","SS","FF","SF"},0),WORKDAY.INTL(OFFSET(hdr_FcFinish,MATCH($J148,tsk_ID,0),0),IF(N($F148)=0,0,1)+N($L148),WorkWeek,Holidays),WORKDAY.INTL(OFFSET(hdr_FcStart,MATCH($J148,tsk_ID,0),0),N($L148),WorkWeek,Holidays),WORKDAY.INTL(WORKDAY.INTL(OFFSET(hdr_FcFinish,MATCH($J148,tsk_ID,0),0),N($L148),WorkWeek,Holidays),-MAX(0,N($F148)-1),WorkWeek,Holidays),WORKDAY.INTL(WORKDAY.INTL(OFFSET(hdr_FcStart,MATCH($J148,tsk_ID,0),0),N($L148),WorkWeek,Holidays),-MAX(0,N($F148)-1),WorkWeek,Holidays)),0))</f>
        <v>0</v>
      </c>
      <c r="AO148" s="48" t="n">
        <f aca="false">IF($AJ148=1,$R148,0)</f>
        <v>0</v>
      </c>
      <c r="AP148" s="48" t="n">
        <f aca="false">IF($AJ148=1,$S148,0)</f>
        <v>0</v>
      </c>
      <c r="AQ148" s="49" t="n">
        <f aca="false">IF(AND($AJ148=1,N($Z148)&gt;0),$Z148/($AP148-$AO148+1),0)</f>
        <v>0</v>
      </c>
      <c r="AR148" s="46" t="n">
        <f aca="false">IF($AJ148=1,MAX(N($F148),0.1),0)</f>
        <v>0</v>
      </c>
      <c r="AS148" s="46" t="n">
        <f aca="false">IF($AJ148=1,$AR148*$V148,0)</f>
        <v>0</v>
      </c>
      <c r="AT148" s="46" t="str">
        <f aca="false">IF(N($G148)=0,"",$G148&amp;IF(AND(IF($H148="","FS",$H148)="FS",N($I148)=0),"",IF($H148="","FS",$H148)&amp;IF(N($I148)=0,"",IF(N($I148)&gt;0,"+","")&amp;N($I148)&amp;"d")))</f>
        <v/>
      </c>
      <c r="AU148" s="46" t="str">
        <f aca="false">IF(N($J148)=0,"",$J148&amp;IF(AND(IF($K148="","FS",$K148)="FS",N($L148)=0),"",IF($K148="","FS",$K148)&amp;IF(N($L148)=0,"",IF(N($L148)&gt;0,"+","")&amp;N($L148)&amp;"d")))</f>
        <v/>
      </c>
      <c r="AV148" s="46" t="str">
        <f aca="false">IF(AND($AJ148=1,N($F148)=0,$V148&lt;1),$S148+$AF148/100000,"")</f>
        <v/>
      </c>
    </row>
    <row r="149" customFormat="false" ht="15" hidden="false" customHeight="false" outlineLevel="0" collapsed="false">
      <c r="A149" s="38" t="str">
        <f aca="false">IF($D149="","",COUNTA($D$6:$D149))</f>
        <v/>
      </c>
      <c r="B149" s="39" t="str">
        <f aca="true">IF($D149="","",IF($AE149=1,COUNTIF($AE$6:$AE149,1)&amp;"",IF($AG149=0,"?",OFFSET(hdr_WBS,$AG149-ROW(hdr_WBS),0)&amp;"."&amp;COUNTIF(INDEX($AE:$AE,$AG149+1):$AE149,$AE149))))</f>
        <v/>
      </c>
      <c r="C149" s="40"/>
      <c r="D149" s="41"/>
      <c r="E149" s="40"/>
      <c r="F149" s="40"/>
      <c r="G149" s="40"/>
      <c r="H149" s="40"/>
      <c r="I149" s="40"/>
      <c r="J149" s="40"/>
      <c r="K149" s="40"/>
      <c r="L149" s="40"/>
      <c r="M149" s="29"/>
      <c r="N149" s="30" t="str">
        <f aca="true">IF($D149="","",IF($AI149,MIN(OFFSET(hdr_PlanStart,$AF149+1,0,$AH149,1)),IF($E149="Manual",IF(N($M149)&gt;0,$M149,ProjectStart),WORKDAY.INTL(MAX(ProjectStart,N($M149),$AK149,$AL149)-1,1,WorkWeek,Holidays))))</f>
        <v/>
      </c>
      <c r="O149" s="30" t="str">
        <f aca="true">IF($D149="","",IF($AI149,MAX(OFFSET(hdr_PlanFinish,$AF149+1,0,$AH149,1)),IF(N($F149)&lt;=0,$N149,WORKDAY.INTL($N149,$F149-1,WorkWeek,Holidays))))</f>
        <v/>
      </c>
      <c r="P149" s="29"/>
      <c r="Q149" s="29"/>
      <c r="R149" s="30" t="str">
        <f aca="true">IF($D149="","",IF($AI149,MIN(OFFSET(hdr_FcStart,$AF149+1,0,$AH149,1)),IF(N($P149)&gt;0,$P149,IF($E149="Manual",IF(N($M149)&gt;0,$M149,ProjectStart),WORKDAY.INTL(MAX(ProjectStart,N($M149),$AM149,$AN149,IF(RescheduleAfterStatus="Yes",StatusDate,0))-1,1,WorkWeek,Holidays)))))</f>
        <v/>
      </c>
      <c r="S149" s="30" t="str">
        <f aca="true">IF($D149="","",IF($AI149,MAX(OFFSET(hdr_FcFinish,$AF149+1,0,$AH149,1)),IF(N($Q149)&gt;0,$Q149,IF(N($F149)&lt;=0,$R149,IF(AND(N($P149)&gt;0,RescheduleAfterStatus="Yes"),MAX(WORKDAY.INTL($R149,$F149-1,WorkWeek,Holidays),WORKDAY.INTL(StatusWorkday,MAX(0,ROUNDUP($F149*(1-MIN(1,N($U149))),0)-1),WorkWeek,Holidays)),WORKDAY.INTL($R149,$F149-1,WorkWeek,Holidays))))))</f>
        <v/>
      </c>
      <c r="T149" s="38" t="str">
        <f aca="false">IF($D149="","",IF($S149&gt;=$O149,NETWORKDAYS.INTL($O149,$S149,WorkWeek,Holidays)-1,1-NETWORKDAYS.INTL($S149,$O149,WorkWeek,Holidays)))</f>
        <v/>
      </c>
      <c r="U149" s="32"/>
      <c r="V149" s="42" t="str">
        <f aca="true">IF($D149="","",IF($AI149,IFERROR(SUM(OFFSET(hdr_WtDone,$AF149+1,0,$AH149,1))/SUM(OFFSET(hdr_WtDur,$AF149+1,0,$AH149,1)),0),IF(N($Q149)&gt;0,1,MIN(1,N($U149)))))</f>
        <v/>
      </c>
      <c r="W149" s="39" t="str">
        <f aca="false">IF($D149="","",IF($V149&gt;=1,"Complete",IF(OR(N($P149)&gt;0,$V149&gt;0),IF($T149&gt;0,"Behind","In Progress"),IF($N149&lt;StatusDate,"Late Start","Not Started"))))</f>
        <v/>
      </c>
      <c r="X149" s="41"/>
      <c r="Y149" s="32"/>
      <c r="Z149" s="43" t="str">
        <f aca="true">IF($D149="","",IF($AI149,SUMPRODUCT(OFFSET(hdr_Work,$AF149+1,0,$AH149,1),OFFSET(hdr_IsLeaf,$AF149+1,0,$AH149,1)),IF($X149="",0,N($F149)*HoursPerDay*IF($Y149="",DefaultUnits,$Y149))))</f>
        <v/>
      </c>
      <c r="AA149" s="44" t="str">
        <f aca="true">IF($D149="","",IF($AI149,SUMPRODUCT(OFFSET(hdr_Cost,$AF149+1,0,$AH149,1),OFFSET(hdr_IsLeaf,$AF149+1,0,$AH149,1)),$Z149*IFERROR(INDEX(res_Rate,MATCH($X149,res_Name,0)),0)))</f>
        <v/>
      </c>
      <c r="AB149" s="38" t="str">
        <f aca="false">IF(OR($D149="",$AI149),"",IF(OR($R149&lt;Sprint1Start,$R149&gt;SprintLastEnd),"Backlog",INDEX(spr_Name,MATCH($R149,spr_Start,1))))</f>
        <v/>
      </c>
      <c r="AC149" s="45" t="str">
        <f aca="false">IF($D149="","",$AT149&amp;IF(AND($AT149&lt;&gt;"",$AU149&lt;&gt;""),",","")&amp;$AU149)</f>
        <v/>
      </c>
      <c r="AD149" s="41"/>
      <c r="AE149" s="46" t="str">
        <f aca="false">IF($D149="","",MAX(1,N($C149)))</f>
        <v/>
      </c>
      <c r="AF149" s="46" t="n">
        <f aca="false">ROW()-ROW(hdr_ID)</f>
        <v>144</v>
      </c>
      <c r="AG149" s="46" t="n">
        <f aca="false">IF(OR($D149="",$AE149&lt;=1),0,IFERROR(LOOKUP(2,1/($AE$5:$AE148=$AE149-1),ROW($AE$5:$AE148)),0))</f>
        <v>0</v>
      </c>
      <c r="AH149" s="46" t="n">
        <f aca="false">IF($D149="",0,COUNTIF(tsk_WBS,$B149&amp;".*"))</f>
        <v>0</v>
      </c>
      <c r="AI149" s="47" t="b">
        <f aca="false">$AH149&gt;0</f>
        <v>0</v>
      </c>
      <c r="AJ149" s="46" t="n">
        <f aca="false">IF(AND($D149&lt;&gt;"",NOT($AI149)),1,0)</f>
        <v>0</v>
      </c>
      <c r="AK149" s="48" t="n">
        <f aca="true">IF(OR(N($G149)=0,$AI149,$D149=""),0,IFERROR(CHOOSE(MATCH(IF($H149="","FS",$H149),{"FS","SS","FF","SF"},0),WORKDAY.INTL(OFFSET(hdr_PlanFinish,MATCH($G149,tsk_ID,0),0),IF(N($F149)=0,0,1)+N($I149),WorkWeek,Holidays),WORKDAY.INTL(OFFSET(hdr_PlanStart,MATCH($G149,tsk_ID,0),0),N($I149),WorkWeek,Holidays),WORKDAY.INTL(WORKDAY.INTL(OFFSET(hdr_PlanFinish,MATCH($G149,tsk_ID,0),0),N($I149),WorkWeek,Holidays),-MAX(0,N($F149)-1),WorkWeek,Holidays),WORKDAY.INTL(WORKDAY.INTL(OFFSET(hdr_PlanStart,MATCH($G149,tsk_ID,0),0),N($I149),WorkWeek,Holidays),-MAX(0,N($F149)-1),WorkWeek,Holidays)),0))</f>
        <v>0</v>
      </c>
      <c r="AL149" s="48" t="n">
        <f aca="true">IF(OR(N($J149)=0,$AI149,$D149=""),0,IFERROR(CHOOSE(MATCH(IF($K149="","FS",$K149),{"FS","SS","FF","SF"},0),WORKDAY.INTL(OFFSET(hdr_PlanFinish,MATCH($J149,tsk_ID,0),0),IF(N($F149)=0,0,1)+N($L149),WorkWeek,Holidays),WORKDAY.INTL(OFFSET(hdr_PlanStart,MATCH($J149,tsk_ID,0),0),N($L149),WorkWeek,Holidays),WORKDAY.INTL(WORKDAY.INTL(OFFSET(hdr_PlanFinish,MATCH($J149,tsk_ID,0),0),N($L149),WorkWeek,Holidays),-MAX(0,N($F149)-1),WorkWeek,Holidays),WORKDAY.INTL(WORKDAY.INTL(OFFSET(hdr_PlanStart,MATCH($J149,tsk_ID,0),0),N($L149),WorkWeek,Holidays),-MAX(0,N($F149)-1),WorkWeek,Holidays)),0))</f>
        <v>0</v>
      </c>
      <c r="AM149" s="48" t="n">
        <f aca="true">IF(OR(N($G149)=0,$AI149,$D149=""),0,IFERROR(CHOOSE(MATCH(IF($H149="","FS",$H149),{"FS","SS","FF","SF"},0),WORKDAY.INTL(OFFSET(hdr_FcFinish,MATCH($G149,tsk_ID,0),0),IF(N($F149)=0,0,1)+N($I149),WorkWeek,Holidays),WORKDAY.INTL(OFFSET(hdr_FcStart,MATCH($G149,tsk_ID,0),0),N($I149),WorkWeek,Holidays),WORKDAY.INTL(WORKDAY.INTL(OFFSET(hdr_FcFinish,MATCH($G149,tsk_ID,0),0),N($I149),WorkWeek,Holidays),-MAX(0,N($F149)-1),WorkWeek,Holidays),WORKDAY.INTL(WORKDAY.INTL(OFFSET(hdr_FcStart,MATCH($G149,tsk_ID,0),0),N($I149),WorkWeek,Holidays),-MAX(0,N($F149)-1),WorkWeek,Holidays)),0))</f>
        <v>0</v>
      </c>
      <c r="AN149" s="48" t="n">
        <f aca="true">IF(OR(N($J149)=0,$AI149,$D149=""),0,IFERROR(CHOOSE(MATCH(IF($K149="","FS",$K149),{"FS","SS","FF","SF"},0),WORKDAY.INTL(OFFSET(hdr_FcFinish,MATCH($J149,tsk_ID,0),0),IF(N($F149)=0,0,1)+N($L149),WorkWeek,Holidays),WORKDAY.INTL(OFFSET(hdr_FcStart,MATCH($J149,tsk_ID,0),0),N($L149),WorkWeek,Holidays),WORKDAY.INTL(WORKDAY.INTL(OFFSET(hdr_FcFinish,MATCH($J149,tsk_ID,0),0),N($L149),WorkWeek,Holidays),-MAX(0,N($F149)-1),WorkWeek,Holidays),WORKDAY.INTL(WORKDAY.INTL(OFFSET(hdr_FcStart,MATCH($J149,tsk_ID,0),0),N($L149),WorkWeek,Holidays),-MAX(0,N($F149)-1),WorkWeek,Holidays)),0))</f>
        <v>0</v>
      </c>
      <c r="AO149" s="48" t="n">
        <f aca="false">IF($AJ149=1,$R149,0)</f>
        <v>0</v>
      </c>
      <c r="AP149" s="48" t="n">
        <f aca="false">IF($AJ149=1,$S149,0)</f>
        <v>0</v>
      </c>
      <c r="AQ149" s="49" t="n">
        <f aca="false">IF(AND($AJ149=1,N($Z149)&gt;0),$Z149/($AP149-$AO149+1),0)</f>
        <v>0</v>
      </c>
      <c r="AR149" s="46" t="n">
        <f aca="false">IF($AJ149=1,MAX(N($F149),0.1),0)</f>
        <v>0</v>
      </c>
      <c r="AS149" s="46" t="n">
        <f aca="false">IF($AJ149=1,$AR149*$V149,0)</f>
        <v>0</v>
      </c>
      <c r="AT149" s="46" t="str">
        <f aca="false">IF(N($G149)=0,"",$G149&amp;IF(AND(IF($H149="","FS",$H149)="FS",N($I149)=0),"",IF($H149="","FS",$H149)&amp;IF(N($I149)=0,"",IF(N($I149)&gt;0,"+","")&amp;N($I149)&amp;"d")))</f>
        <v/>
      </c>
      <c r="AU149" s="46" t="str">
        <f aca="false">IF(N($J149)=0,"",$J149&amp;IF(AND(IF($K149="","FS",$K149)="FS",N($L149)=0),"",IF($K149="","FS",$K149)&amp;IF(N($L149)=0,"",IF(N($L149)&gt;0,"+","")&amp;N($L149)&amp;"d")))</f>
        <v/>
      </c>
      <c r="AV149" s="46" t="str">
        <f aca="false">IF(AND($AJ149=1,N($F149)=0,$V149&lt;1),$S149+$AF149/100000,"")</f>
        <v/>
      </c>
    </row>
    <row r="150" customFormat="false" ht="15" hidden="false" customHeight="false" outlineLevel="0" collapsed="false">
      <c r="A150" s="38" t="str">
        <f aca="false">IF($D150="","",COUNTA($D$6:$D150))</f>
        <v/>
      </c>
      <c r="B150" s="39" t="str">
        <f aca="true">IF($D150="","",IF($AE150=1,COUNTIF($AE$6:$AE150,1)&amp;"",IF($AG150=0,"?",OFFSET(hdr_WBS,$AG150-ROW(hdr_WBS),0)&amp;"."&amp;COUNTIF(INDEX($AE:$AE,$AG150+1):$AE150,$AE150))))</f>
        <v/>
      </c>
      <c r="C150" s="40"/>
      <c r="D150" s="41"/>
      <c r="E150" s="40"/>
      <c r="F150" s="40"/>
      <c r="G150" s="40"/>
      <c r="H150" s="40"/>
      <c r="I150" s="40"/>
      <c r="J150" s="40"/>
      <c r="K150" s="40"/>
      <c r="L150" s="40"/>
      <c r="M150" s="29"/>
      <c r="N150" s="30" t="str">
        <f aca="true">IF($D150="","",IF($AI150,MIN(OFFSET(hdr_PlanStart,$AF150+1,0,$AH150,1)),IF($E150="Manual",IF(N($M150)&gt;0,$M150,ProjectStart),WORKDAY.INTL(MAX(ProjectStart,N($M150),$AK150,$AL150)-1,1,WorkWeek,Holidays))))</f>
        <v/>
      </c>
      <c r="O150" s="30" t="str">
        <f aca="true">IF($D150="","",IF($AI150,MAX(OFFSET(hdr_PlanFinish,$AF150+1,0,$AH150,1)),IF(N($F150)&lt;=0,$N150,WORKDAY.INTL($N150,$F150-1,WorkWeek,Holidays))))</f>
        <v/>
      </c>
      <c r="P150" s="29"/>
      <c r="Q150" s="29"/>
      <c r="R150" s="30" t="str">
        <f aca="true">IF($D150="","",IF($AI150,MIN(OFFSET(hdr_FcStart,$AF150+1,0,$AH150,1)),IF(N($P150)&gt;0,$P150,IF($E150="Manual",IF(N($M150)&gt;0,$M150,ProjectStart),WORKDAY.INTL(MAX(ProjectStart,N($M150),$AM150,$AN150,IF(RescheduleAfterStatus="Yes",StatusDate,0))-1,1,WorkWeek,Holidays)))))</f>
        <v/>
      </c>
      <c r="S150" s="30" t="str">
        <f aca="true">IF($D150="","",IF($AI150,MAX(OFFSET(hdr_FcFinish,$AF150+1,0,$AH150,1)),IF(N($Q150)&gt;0,$Q150,IF(N($F150)&lt;=0,$R150,IF(AND(N($P150)&gt;0,RescheduleAfterStatus="Yes"),MAX(WORKDAY.INTL($R150,$F150-1,WorkWeek,Holidays),WORKDAY.INTL(StatusWorkday,MAX(0,ROUNDUP($F150*(1-MIN(1,N($U150))),0)-1),WorkWeek,Holidays)),WORKDAY.INTL($R150,$F150-1,WorkWeek,Holidays))))))</f>
        <v/>
      </c>
      <c r="T150" s="38" t="str">
        <f aca="false">IF($D150="","",IF($S150&gt;=$O150,NETWORKDAYS.INTL($O150,$S150,WorkWeek,Holidays)-1,1-NETWORKDAYS.INTL($S150,$O150,WorkWeek,Holidays)))</f>
        <v/>
      </c>
      <c r="U150" s="32"/>
      <c r="V150" s="42" t="str">
        <f aca="true">IF($D150="","",IF($AI150,IFERROR(SUM(OFFSET(hdr_WtDone,$AF150+1,0,$AH150,1))/SUM(OFFSET(hdr_WtDur,$AF150+1,0,$AH150,1)),0),IF(N($Q150)&gt;0,1,MIN(1,N($U150)))))</f>
        <v/>
      </c>
      <c r="W150" s="39" t="str">
        <f aca="false">IF($D150="","",IF($V150&gt;=1,"Complete",IF(OR(N($P150)&gt;0,$V150&gt;0),IF($T150&gt;0,"Behind","In Progress"),IF($N150&lt;StatusDate,"Late Start","Not Started"))))</f>
        <v/>
      </c>
      <c r="X150" s="41"/>
      <c r="Y150" s="32"/>
      <c r="Z150" s="43" t="str">
        <f aca="true">IF($D150="","",IF($AI150,SUMPRODUCT(OFFSET(hdr_Work,$AF150+1,0,$AH150,1),OFFSET(hdr_IsLeaf,$AF150+1,0,$AH150,1)),IF($X150="",0,N($F150)*HoursPerDay*IF($Y150="",DefaultUnits,$Y150))))</f>
        <v/>
      </c>
      <c r="AA150" s="44" t="str">
        <f aca="true">IF($D150="","",IF($AI150,SUMPRODUCT(OFFSET(hdr_Cost,$AF150+1,0,$AH150,1),OFFSET(hdr_IsLeaf,$AF150+1,0,$AH150,1)),$Z150*IFERROR(INDEX(res_Rate,MATCH($X150,res_Name,0)),0)))</f>
        <v/>
      </c>
      <c r="AB150" s="38" t="str">
        <f aca="false">IF(OR($D150="",$AI150),"",IF(OR($R150&lt;Sprint1Start,$R150&gt;SprintLastEnd),"Backlog",INDEX(spr_Name,MATCH($R150,spr_Start,1))))</f>
        <v/>
      </c>
      <c r="AC150" s="45" t="str">
        <f aca="false">IF($D150="","",$AT150&amp;IF(AND($AT150&lt;&gt;"",$AU150&lt;&gt;""),",","")&amp;$AU150)</f>
        <v/>
      </c>
      <c r="AD150" s="41"/>
      <c r="AE150" s="46" t="str">
        <f aca="false">IF($D150="","",MAX(1,N($C150)))</f>
        <v/>
      </c>
      <c r="AF150" s="46" t="n">
        <f aca="false">ROW()-ROW(hdr_ID)</f>
        <v>145</v>
      </c>
      <c r="AG150" s="46" t="n">
        <f aca="false">IF(OR($D150="",$AE150&lt;=1),0,IFERROR(LOOKUP(2,1/($AE$5:$AE149=$AE150-1),ROW($AE$5:$AE149)),0))</f>
        <v>0</v>
      </c>
      <c r="AH150" s="46" t="n">
        <f aca="false">IF($D150="",0,COUNTIF(tsk_WBS,$B150&amp;".*"))</f>
        <v>0</v>
      </c>
      <c r="AI150" s="47" t="b">
        <f aca="false">$AH150&gt;0</f>
        <v>0</v>
      </c>
      <c r="AJ150" s="46" t="n">
        <f aca="false">IF(AND($D150&lt;&gt;"",NOT($AI150)),1,0)</f>
        <v>0</v>
      </c>
      <c r="AK150" s="48" t="n">
        <f aca="true">IF(OR(N($G150)=0,$AI150,$D150=""),0,IFERROR(CHOOSE(MATCH(IF($H150="","FS",$H150),{"FS","SS","FF","SF"},0),WORKDAY.INTL(OFFSET(hdr_PlanFinish,MATCH($G150,tsk_ID,0),0),IF(N($F150)=0,0,1)+N($I150),WorkWeek,Holidays),WORKDAY.INTL(OFFSET(hdr_PlanStart,MATCH($G150,tsk_ID,0),0),N($I150),WorkWeek,Holidays),WORKDAY.INTL(WORKDAY.INTL(OFFSET(hdr_PlanFinish,MATCH($G150,tsk_ID,0),0),N($I150),WorkWeek,Holidays),-MAX(0,N($F150)-1),WorkWeek,Holidays),WORKDAY.INTL(WORKDAY.INTL(OFFSET(hdr_PlanStart,MATCH($G150,tsk_ID,0),0),N($I150),WorkWeek,Holidays),-MAX(0,N($F150)-1),WorkWeek,Holidays)),0))</f>
        <v>0</v>
      </c>
      <c r="AL150" s="48" t="n">
        <f aca="true">IF(OR(N($J150)=0,$AI150,$D150=""),0,IFERROR(CHOOSE(MATCH(IF($K150="","FS",$K150),{"FS","SS","FF","SF"},0),WORKDAY.INTL(OFFSET(hdr_PlanFinish,MATCH($J150,tsk_ID,0),0),IF(N($F150)=0,0,1)+N($L150),WorkWeek,Holidays),WORKDAY.INTL(OFFSET(hdr_PlanStart,MATCH($J150,tsk_ID,0),0),N($L150),WorkWeek,Holidays),WORKDAY.INTL(WORKDAY.INTL(OFFSET(hdr_PlanFinish,MATCH($J150,tsk_ID,0),0),N($L150),WorkWeek,Holidays),-MAX(0,N($F150)-1),WorkWeek,Holidays),WORKDAY.INTL(WORKDAY.INTL(OFFSET(hdr_PlanStart,MATCH($J150,tsk_ID,0),0),N($L150),WorkWeek,Holidays),-MAX(0,N($F150)-1),WorkWeek,Holidays)),0))</f>
        <v>0</v>
      </c>
      <c r="AM150" s="48" t="n">
        <f aca="true">IF(OR(N($G150)=0,$AI150,$D150=""),0,IFERROR(CHOOSE(MATCH(IF($H150="","FS",$H150),{"FS","SS","FF","SF"},0),WORKDAY.INTL(OFFSET(hdr_FcFinish,MATCH($G150,tsk_ID,0),0),IF(N($F150)=0,0,1)+N($I150),WorkWeek,Holidays),WORKDAY.INTL(OFFSET(hdr_FcStart,MATCH($G150,tsk_ID,0),0),N($I150),WorkWeek,Holidays),WORKDAY.INTL(WORKDAY.INTL(OFFSET(hdr_FcFinish,MATCH($G150,tsk_ID,0),0),N($I150),WorkWeek,Holidays),-MAX(0,N($F150)-1),WorkWeek,Holidays),WORKDAY.INTL(WORKDAY.INTL(OFFSET(hdr_FcStart,MATCH($G150,tsk_ID,0),0),N($I150),WorkWeek,Holidays),-MAX(0,N($F150)-1),WorkWeek,Holidays)),0))</f>
        <v>0</v>
      </c>
      <c r="AN150" s="48" t="n">
        <f aca="true">IF(OR(N($J150)=0,$AI150,$D150=""),0,IFERROR(CHOOSE(MATCH(IF($K150="","FS",$K150),{"FS","SS","FF","SF"},0),WORKDAY.INTL(OFFSET(hdr_FcFinish,MATCH($J150,tsk_ID,0),0),IF(N($F150)=0,0,1)+N($L150),WorkWeek,Holidays),WORKDAY.INTL(OFFSET(hdr_FcStart,MATCH($J150,tsk_ID,0),0),N($L150),WorkWeek,Holidays),WORKDAY.INTL(WORKDAY.INTL(OFFSET(hdr_FcFinish,MATCH($J150,tsk_ID,0),0),N($L150),WorkWeek,Holidays),-MAX(0,N($F150)-1),WorkWeek,Holidays),WORKDAY.INTL(WORKDAY.INTL(OFFSET(hdr_FcStart,MATCH($J150,tsk_ID,0),0),N($L150),WorkWeek,Holidays),-MAX(0,N($F150)-1),WorkWeek,Holidays)),0))</f>
        <v>0</v>
      </c>
      <c r="AO150" s="48" t="n">
        <f aca="false">IF($AJ150=1,$R150,0)</f>
        <v>0</v>
      </c>
      <c r="AP150" s="48" t="n">
        <f aca="false">IF($AJ150=1,$S150,0)</f>
        <v>0</v>
      </c>
      <c r="AQ150" s="49" t="n">
        <f aca="false">IF(AND($AJ150=1,N($Z150)&gt;0),$Z150/($AP150-$AO150+1),0)</f>
        <v>0</v>
      </c>
      <c r="AR150" s="46" t="n">
        <f aca="false">IF($AJ150=1,MAX(N($F150),0.1),0)</f>
        <v>0</v>
      </c>
      <c r="AS150" s="46" t="n">
        <f aca="false">IF($AJ150=1,$AR150*$V150,0)</f>
        <v>0</v>
      </c>
      <c r="AT150" s="46" t="str">
        <f aca="false">IF(N($G150)=0,"",$G150&amp;IF(AND(IF($H150="","FS",$H150)="FS",N($I150)=0),"",IF($H150="","FS",$H150)&amp;IF(N($I150)=0,"",IF(N($I150)&gt;0,"+","")&amp;N($I150)&amp;"d")))</f>
        <v/>
      </c>
      <c r="AU150" s="46" t="str">
        <f aca="false">IF(N($J150)=0,"",$J150&amp;IF(AND(IF($K150="","FS",$K150)="FS",N($L150)=0),"",IF($K150="","FS",$K150)&amp;IF(N($L150)=0,"",IF(N($L150)&gt;0,"+","")&amp;N($L150)&amp;"d")))</f>
        <v/>
      </c>
      <c r="AV150" s="46" t="str">
        <f aca="false">IF(AND($AJ150=1,N($F150)=0,$V150&lt;1),$S150+$AF150/100000,"")</f>
        <v/>
      </c>
    </row>
    <row r="151" customFormat="false" ht="15" hidden="false" customHeight="false" outlineLevel="0" collapsed="false">
      <c r="A151" s="38" t="str">
        <f aca="false">IF($D151="","",COUNTA($D$6:$D151))</f>
        <v/>
      </c>
      <c r="B151" s="39" t="str">
        <f aca="true">IF($D151="","",IF($AE151=1,COUNTIF($AE$6:$AE151,1)&amp;"",IF($AG151=0,"?",OFFSET(hdr_WBS,$AG151-ROW(hdr_WBS),0)&amp;"."&amp;COUNTIF(INDEX($AE:$AE,$AG151+1):$AE151,$AE151))))</f>
        <v/>
      </c>
      <c r="C151" s="40"/>
      <c r="D151" s="41"/>
      <c r="E151" s="40"/>
      <c r="F151" s="40"/>
      <c r="G151" s="40"/>
      <c r="H151" s="40"/>
      <c r="I151" s="40"/>
      <c r="J151" s="40"/>
      <c r="K151" s="40"/>
      <c r="L151" s="40"/>
      <c r="M151" s="29"/>
      <c r="N151" s="30" t="str">
        <f aca="true">IF($D151="","",IF($AI151,MIN(OFFSET(hdr_PlanStart,$AF151+1,0,$AH151,1)),IF($E151="Manual",IF(N($M151)&gt;0,$M151,ProjectStart),WORKDAY.INTL(MAX(ProjectStart,N($M151),$AK151,$AL151)-1,1,WorkWeek,Holidays))))</f>
        <v/>
      </c>
      <c r="O151" s="30" t="str">
        <f aca="true">IF($D151="","",IF($AI151,MAX(OFFSET(hdr_PlanFinish,$AF151+1,0,$AH151,1)),IF(N($F151)&lt;=0,$N151,WORKDAY.INTL($N151,$F151-1,WorkWeek,Holidays))))</f>
        <v/>
      </c>
      <c r="P151" s="29"/>
      <c r="Q151" s="29"/>
      <c r="R151" s="30" t="str">
        <f aca="true">IF($D151="","",IF($AI151,MIN(OFFSET(hdr_FcStart,$AF151+1,0,$AH151,1)),IF(N($P151)&gt;0,$P151,IF($E151="Manual",IF(N($M151)&gt;0,$M151,ProjectStart),WORKDAY.INTL(MAX(ProjectStart,N($M151),$AM151,$AN151,IF(RescheduleAfterStatus="Yes",StatusDate,0))-1,1,WorkWeek,Holidays)))))</f>
        <v/>
      </c>
      <c r="S151" s="30" t="str">
        <f aca="true">IF($D151="","",IF($AI151,MAX(OFFSET(hdr_FcFinish,$AF151+1,0,$AH151,1)),IF(N($Q151)&gt;0,$Q151,IF(N($F151)&lt;=0,$R151,IF(AND(N($P151)&gt;0,RescheduleAfterStatus="Yes"),MAX(WORKDAY.INTL($R151,$F151-1,WorkWeek,Holidays),WORKDAY.INTL(StatusWorkday,MAX(0,ROUNDUP($F151*(1-MIN(1,N($U151))),0)-1),WorkWeek,Holidays)),WORKDAY.INTL($R151,$F151-1,WorkWeek,Holidays))))))</f>
        <v/>
      </c>
      <c r="T151" s="38" t="str">
        <f aca="false">IF($D151="","",IF($S151&gt;=$O151,NETWORKDAYS.INTL($O151,$S151,WorkWeek,Holidays)-1,1-NETWORKDAYS.INTL($S151,$O151,WorkWeek,Holidays)))</f>
        <v/>
      </c>
      <c r="U151" s="32"/>
      <c r="V151" s="42" t="str">
        <f aca="true">IF($D151="","",IF($AI151,IFERROR(SUM(OFFSET(hdr_WtDone,$AF151+1,0,$AH151,1))/SUM(OFFSET(hdr_WtDur,$AF151+1,0,$AH151,1)),0),IF(N($Q151)&gt;0,1,MIN(1,N($U151)))))</f>
        <v/>
      </c>
      <c r="W151" s="39" t="str">
        <f aca="false">IF($D151="","",IF($V151&gt;=1,"Complete",IF(OR(N($P151)&gt;0,$V151&gt;0),IF($T151&gt;0,"Behind","In Progress"),IF($N151&lt;StatusDate,"Late Start","Not Started"))))</f>
        <v/>
      </c>
      <c r="X151" s="41"/>
      <c r="Y151" s="32"/>
      <c r="Z151" s="43" t="str">
        <f aca="true">IF($D151="","",IF($AI151,SUMPRODUCT(OFFSET(hdr_Work,$AF151+1,0,$AH151,1),OFFSET(hdr_IsLeaf,$AF151+1,0,$AH151,1)),IF($X151="",0,N($F151)*HoursPerDay*IF($Y151="",DefaultUnits,$Y151))))</f>
        <v/>
      </c>
      <c r="AA151" s="44" t="str">
        <f aca="true">IF($D151="","",IF($AI151,SUMPRODUCT(OFFSET(hdr_Cost,$AF151+1,0,$AH151,1),OFFSET(hdr_IsLeaf,$AF151+1,0,$AH151,1)),$Z151*IFERROR(INDEX(res_Rate,MATCH($X151,res_Name,0)),0)))</f>
        <v/>
      </c>
      <c r="AB151" s="38" t="str">
        <f aca="false">IF(OR($D151="",$AI151),"",IF(OR($R151&lt;Sprint1Start,$R151&gt;SprintLastEnd),"Backlog",INDEX(spr_Name,MATCH($R151,spr_Start,1))))</f>
        <v/>
      </c>
      <c r="AC151" s="45" t="str">
        <f aca="false">IF($D151="","",$AT151&amp;IF(AND($AT151&lt;&gt;"",$AU151&lt;&gt;""),",","")&amp;$AU151)</f>
        <v/>
      </c>
      <c r="AD151" s="41"/>
      <c r="AE151" s="46" t="str">
        <f aca="false">IF($D151="","",MAX(1,N($C151)))</f>
        <v/>
      </c>
      <c r="AF151" s="46" t="n">
        <f aca="false">ROW()-ROW(hdr_ID)</f>
        <v>146</v>
      </c>
      <c r="AG151" s="46" t="n">
        <f aca="false">IF(OR($D151="",$AE151&lt;=1),0,IFERROR(LOOKUP(2,1/($AE$5:$AE150=$AE151-1),ROW($AE$5:$AE150)),0))</f>
        <v>0</v>
      </c>
      <c r="AH151" s="46" t="n">
        <f aca="false">IF($D151="",0,COUNTIF(tsk_WBS,$B151&amp;".*"))</f>
        <v>0</v>
      </c>
      <c r="AI151" s="47" t="b">
        <f aca="false">$AH151&gt;0</f>
        <v>0</v>
      </c>
      <c r="AJ151" s="46" t="n">
        <f aca="false">IF(AND($D151&lt;&gt;"",NOT($AI151)),1,0)</f>
        <v>0</v>
      </c>
      <c r="AK151" s="48" t="n">
        <f aca="true">IF(OR(N($G151)=0,$AI151,$D151=""),0,IFERROR(CHOOSE(MATCH(IF($H151="","FS",$H151),{"FS","SS","FF","SF"},0),WORKDAY.INTL(OFFSET(hdr_PlanFinish,MATCH($G151,tsk_ID,0),0),IF(N($F151)=0,0,1)+N($I151),WorkWeek,Holidays),WORKDAY.INTL(OFFSET(hdr_PlanStart,MATCH($G151,tsk_ID,0),0),N($I151),WorkWeek,Holidays),WORKDAY.INTL(WORKDAY.INTL(OFFSET(hdr_PlanFinish,MATCH($G151,tsk_ID,0),0),N($I151),WorkWeek,Holidays),-MAX(0,N($F151)-1),WorkWeek,Holidays),WORKDAY.INTL(WORKDAY.INTL(OFFSET(hdr_PlanStart,MATCH($G151,tsk_ID,0),0),N($I151),WorkWeek,Holidays),-MAX(0,N($F151)-1),WorkWeek,Holidays)),0))</f>
        <v>0</v>
      </c>
      <c r="AL151" s="48" t="n">
        <f aca="true">IF(OR(N($J151)=0,$AI151,$D151=""),0,IFERROR(CHOOSE(MATCH(IF($K151="","FS",$K151),{"FS","SS","FF","SF"},0),WORKDAY.INTL(OFFSET(hdr_PlanFinish,MATCH($J151,tsk_ID,0),0),IF(N($F151)=0,0,1)+N($L151),WorkWeek,Holidays),WORKDAY.INTL(OFFSET(hdr_PlanStart,MATCH($J151,tsk_ID,0),0),N($L151),WorkWeek,Holidays),WORKDAY.INTL(WORKDAY.INTL(OFFSET(hdr_PlanFinish,MATCH($J151,tsk_ID,0),0),N($L151),WorkWeek,Holidays),-MAX(0,N($F151)-1),WorkWeek,Holidays),WORKDAY.INTL(WORKDAY.INTL(OFFSET(hdr_PlanStart,MATCH($J151,tsk_ID,0),0),N($L151),WorkWeek,Holidays),-MAX(0,N($F151)-1),WorkWeek,Holidays)),0))</f>
        <v>0</v>
      </c>
      <c r="AM151" s="48" t="n">
        <f aca="true">IF(OR(N($G151)=0,$AI151,$D151=""),0,IFERROR(CHOOSE(MATCH(IF($H151="","FS",$H151),{"FS","SS","FF","SF"},0),WORKDAY.INTL(OFFSET(hdr_FcFinish,MATCH($G151,tsk_ID,0),0),IF(N($F151)=0,0,1)+N($I151),WorkWeek,Holidays),WORKDAY.INTL(OFFSET(hdr_FcStart,MATCH($G151,tsk_ID,0),0),N($I151),WorkWeek,Holidays),WORKDAY.INTL(WORKDAY.INTL(OFFSET(hdr_FcFinish,MATCH($G151,tsk_ID,0),0),N($I151),WorkWeek,Holidays),-MAX(0,N($F151)-1),WorkWeek,Holidays),WORKDAY.INTL(WORKDAY.INTL(OFFSET(hdr_FcStart,MATCH($G151,tsk_ID,0),0),N($I151),WorkWeek,Holidays),-MAX(0,N($F151)-1),WorkWeek,Holidays)),0))</f>
        <v>0</v>
      </c>
      <c r="AN151" s="48" t="n">
        <f aca="true">IF(OR(N($J151)=0,$AI151,$D151=""),0,IFERROR(CHOOSE(MATCH(IF($K151="","FS",$K151),{"FS","SS","FF","SF"},0),WORKDAY.INTL(OFFSET(hdr_FcFinish,MATCH($J151,tsk_ID,0),0),IF(N($F151)=0,0,1)+N($L151),WorkWeek,Holidays),WORKDAY.INTL(OFFSET(hdr_FcStart,MATCH($J151,tsk_ID,0),0),N($L151),WorkWeek,Holidays),WORKDAY.INTL(WORKDAY.INTL(OFFSET(hdr_FcFinish,MATCH($J151,tsk_ID,0),0),N($L151),WorkWeek,Holidays),-MAX(0,N($F151)-1),WorkWeek,Holidays),WORKDAY.INTL(WORKDAY.INTL(OFFSET(hdr_FcStart,MATCH($J151,tsk_ID,0),0),N($L151),WorkWeek,Holidays),-MAX(0,N($F151)-1),WorkWeek,Holidays)),0))</f>
        <v>0</v>
      </c>
      <c r="AO151" s="48" t="n">
        <f aca="false">IF($AJ151=1,$R151,0)</f>
        <v>0</v>
      </c>
      <c r="AP151" s="48" t="n">
        <f aca="false">IF($AJ151=1,$S151,0)</f>
        <v>0</v>
      </c>
      <c r="AQ151" s="49" t="n">
        <f aca="false">IF(AND($AJ151=1,N($Z151)&gt;0),$Z151/($AP151-$AO151+1),0)</f>
        <v>0</v>
      </c>
      <c r="AR151" s="46" t="n">
        <f aca="false">IF($AJ151=1,MAX(N($F151),0.1),0)</f>
        <v>0</v>
      </c>
      <c r="AS151" s="46" t="n">
        <f aca="false">IF($AJ151=1,$AR151*$V151,0)</f>
        <v>0</v>
      </c>
      <c r="AT151" s="46" t="str">
        <f aca="false">IF(N($G151)=0,"",$G151&amp;IF(AND(IF($H151="","FS",$H151)="FS",N($I151)=0),"",IF($H151="","FS",$H151)&amp;IF(N($I151)=0,"",IF(N($I151)&gt;0,"+","")&amp;N($I151)&amp;"d")))</f>
        <v/>
      </c>
      <c r="AU151" s="46" t="str">
        <f aca="false">IF(N($J151)=0,"",$J151&amp;IF(AND(IF($K151="","FS",$K151)="FS",N($L151)=0),"",IF($K151="","FS",$K151)&amp;IF(N($L151)=0,"",IF(N($L151)&gt;0,"+","")&amp;N($L151)&amp;"d")))</f>
        <v/>
      </c>
      <c r="AV151" s="46" t="str">
        <f aca="false">IF(AND($AJ151=1,N($F151)=0,$V151&lt;1),$S151+$AF151/100000,"")</f>
        <v/>
      </c>
    </row>
    <row r="152" customFormat="false" ht="15" hidden="false" customHeight="false" outlineLevel="0" collapsed="false">
      <c r="A152" s="38" t="str">
        <f aca="false">IF($D152="","",COUNTA($D$6:$D152))</f>
        <v/>
      </c>
      <c r="B152" s="39" t="str">
        <f aca="true">IF($D152="","",IF($AE152=1,COUNTIF($AE$6:$AE152,1)&amp;"",IF($AG152=0,"?",OFFSET(hdr_WBS,$AG152-ROW(hdr_WBS),0)&amp;"."&amp;COUNTIF(INDEX($AE:$AE,$AG152+1):$AE152,$AE152))))</f>
        <v/>
      </c>
      <c r="C152" s="40"/>
      <c r="D152" s="41"/>
      <c r="E152" s="40"/>
      <c r="F152" s="40"/>
      <c r="G152" s="40"/>
      <c r="H152" s="40"/>
      <c r="I152" s="40"/>
      <c r="J152" s="40"/>
      <c r="K152" s="40"/>
      <c r="L152" s="40"/>
      <c r="M152" s="29"/>
      <c r="N152" s="30" t="str">
        <f aca="true">IF($D152="","",IF($AI152,MIN(OFFSET(hdr_PlanStart,$AF152+1,0,$AH152,1)),IF($E152="Manual",IF(N($M152)&gt;0,$M152,ProjectStart),WORKDAY.INTL(MAX(ProjectStart,N($M152),$AK152,$AL152)-1,1,WorkWeek,Holidays))))</f>
        <v/>
      </c>
      <c r="O152" s="30" t="str">
        <f aca="true">IF($D152="","",IF($AI152,MAX(OFFSET(hdr_PlanFinish,$AF152+1,0,$AH152,1)),IF(N($F152)&lt;=0,$N152,WORKDAY.INTL($N152,$F152-1,WorkWeek,Holidays))))</f>
        <v/>
      </c>
      <c r="P152" s="29"/>
      <c r="Q152" s="29"/>
      <c r="R152" s="30" t="str">
        <f aca="true">IF($D152="","",IF($AI152,MIN(OFFSET(hdr_FcStart,$AF152+1,0,$AH152,1)),IF(N($P152)&gt;0,$P152,IF($E152="Manual",IF(N($M152)&gt;0,$M152,ProjectStart),WORKDAY.INTL(MAX(ProjectStart,N($M152),$AM152,$AN152,IF(RescheduleAfterStatus="Yes",StatusDate,0))-1,1,WorkWeek,Holidays)))))</f>
        <v/>
      </c>
      <c r="S152" s="30" t="str">
        <f aca="true">IF($D152="","",IF($AI152,MAX(OFFSET(hdr_FcFinish,$AF152+1,0,$AH152,1)),IF(N($Q152)&gt;0,$Q152,IF(N($F152)&lt;=0,$R152,IF(AND(N($P152)&gt;0,RescheduleAfterStatus="Yes"),MAX(WORKDAY.INTL($R152,$F152-1,WorkWeek,Holidays),WORKDAY.INTL(StatusWorkday,MAX(0,ROUNDUP($F152*(1-MIN(1,N($U152))),0)-1),WorkWeek,Holidays)),WORKDAY.INTL($R152,$F152-1,WorkWeek,Holidays))))))</f>
        <v/>
      </c>
      <c r="T152" s="38" t="str">
        <f aca="false">IF($D152="","",IF($S152&gt;=$O152,NETWORKDAYS.INTL($O152,$S152,WorkWeek,Holidays)-1,1-NETWORKDAYS.INTL($S152,$O152,WorkWeek,Holidays)))</f>
        <v/>
      </c>
      <c r="U152" s="32"/>
      <c r="V152" s="42" t="str">
        <f aca="true">IF($D152="","",IF($AI152,IFERROR(SUM(OFFSET(hdr_WtDone,$AF152+1,0,$AH152,1))/SUM(OFFSET(hdr_WtDur,$AF152+1,0,$AH152,1)),0),IF(N($Q152)&gt;0,1,MIN(1,N($U152)))))</f>
        <v/>
      </c>
      <c r="W152" s="39" t="str">
        <f aca="false">IF($D152="","",IF($V152&gt;=1,"Complete",IF(OR(N($P152)&gt;0,$V152&gt;0),IF($T152&gt;0,"Behind","In Progress"),IF($N152&lt;StatusDate,"Late Start","Not Started"))))</f>
        <v/>
      </c>
      <c r="X152" s="41"/>
      <c r="Y152" s="32"/>
      <c r="Z152" s="43" t="str">
        <f aca="true">IF($D152="","",IF($AI152,SUMPRODUCT(OFFSET(hdr_Work,$AF152+1,0,$AH152,1),OFFSET(hdr_IsLeaf,$AF152+1,0,$AH152,1)),IF($X152="",0,N($F152)*HoursPerDay*IF($Y152="",DefaultUnits,$Y152))))</f>
        <v/>
      </c>
      <c r="AA152" s="44" t="str">
        <f aca="true">IF($D152="","",IF($AI152,SUMPRODUCT(OFFSET(hdr_Cost,$AF152+1,0,$AH152,1),OFFSET(hdr_IsLeaf,$AF152+1,0,$AH152,1)),$Z152*IFERROR(INDEX(res_Rate,MATCH($X152,res_Name,0)),0)))</f>
        <v/>
      </c>
      <c r="AB152" s="38" t="str">
        <f aca="false">IF(OR($D152="",$AI152),"",IF(OR($R152&lt;Sprint1Start,$R152&gt;SprintLastEnd),"Backlog",INDEX(spr_Name,MATCH($R152,spr_Start,1))))</f>
        <v/>
      </c>
      <c r="AC152" s="45" t="str">
        <f aca="false">IF($D152="","",$AT152&amp;IF(AND($AT152&lt;&gt;"",$AU152&lt;&gt;""),",","")&amp;$AU152)</f>
        <v/>
      </c>
      <c r="AD152" s="41"/>
      <c r="AE152" s="46" t="str">
        <f aca="false">IF($D152="","",MAX(1,N($C152)))</f>
        <v/>
      </c>
      <c r="AF152" s="46" t="n">
        <f aca="false">ROW()-ROW(hdr_ID)</f>
        <v>147</v>
      </c>
      <c r="AG152" s="46" t="n">
        <f aca="false">IF(OR($D152="",$AE152&lt;=1),0,IFERROR(LOOKUP(2,1/($AE$5:$AE151=$AE152-1),ROW($AE$5:$AE151)),0))</f>
        <v>0</v>
      </c>
      <c r="AH152" s="46" t="n">
        <f aca="false">IF($D152="",0,COUNTIF(tsk_WBS,$B152&amp;".*"))</f>
        <v>0</v>
      </c>
      <c r="AI152" s="47" t="b">
        <f aca="false">$AH152&gt;0</f>
        <v>0</v>
      </c>
      <c r="AJ152" s="46" t="n">
        <f aca="false">IF(AND($D152&lt;&gt;"",NOT($AI152)),1,0)</f>
        <v>0</v>
      </c>
      <c r="AK152" s="48" t="n">
        <f aca="true">IF(OR(N($G152)=0,$AI152,$D152=""),0,IFERROR(CHOOSE(MATCH(IF($H152="","FS",$H152),{"FS","SS","FF","SF"},0),WORKDAY.INTL(OFFSET(hdr_PlanFinish,MATCH($G152,tsk_ID,0),0),IF(N($F152)=0,0,1)+N($I152),WorkWeek,Holidays),WORKDAY.INTL(OFFSET(hdr_PlanStart,MATCH($G152,tsk_ID,0),0),N($I152),WorkWeek,Holidays),WORKDAY.INTL(WORKDAY.INTL(OFFSET(hdr_PlanFinish,MATCH($G152,tsk_ID,0),0),N($I152),WorkWeek,Holidays),-MAX(0,N($F152)-1),WorkWeek,Holidays),WORKDAY.INTL(WORKDAY.INTL(OFFSET(hdr_PlanStart,MATCH($G152,tsk_ID,0),0),N($I152),WorkWeek,Holidays),-MAX(0,N($F152)-1),WorkWeek,Holidays)),0))</f>
        <v>0</v>
      </c>
      <c r="AL152" s="48" t="n">
        <f aca="true">IF(OR(N($J152)=0,$AI152,$D152=""),0,IFERROR(CHOOSE(MATCH(IF($K152="","FS",$K152),{"FS","SS","FF","SF"},0),WORKDAY.INTL(OFFSET(hdr_PlanFinish,MATCH($J152,tsk_ID,0),0),IF(N($F152)=0,0,1)+N($L152),WorkWeek,Holidays),WORKDAY.INTL(OFFSET(hdr_PlanStart,MATCH($J152,tsk_ID,0),0),N($L152),WorkWeek,Holidays),WORKDAY.INTL(WORKDAY.INTL(OFFSET(hdr_PlanFinish,MATCH($J152,tsk_ID,0),0),N($L152),WorkWeek,Holidays),-MAX(0,N($F152)-1),WorkWeek,Holidays),WORKDAY.INTL(WORKDAY.INTL(OFFSET(hdr_PlanStart,MATCH($J152,tsk_ID,0),0),N($L152),WorkWeek,Holidays),-MAX(0,N($F152)-1),WorkWeek,Holidays)),0))</f>
        <v>0</v>
      </c>
      <c r="AM152" s="48" t="n">
        <f aca="true">IF(OR(N($G152)=0,$AI152,$D152=""),0,IFERROR(CHOOSE(MATCH(IF($H152="","FS",$H152),{"FS","SS","FF","SF"},0),WORKDAY.INTL(OFFSET(hdr_FcFinish,MATCH($G152,tsk_ID,0),0),IF(N($F152)=0,0,1)+N($I152),WorkWeek,Holidays),WORKDAY.INTL(OFFSET(hdr_FcStart,MATCH($G152,tsk_ID,0),0),N($I152),WorkWeek,Holidays),WORKDAY.INTL(WORKDAY.INTL(OFFSET(hdr_FcFinish,MATCH($G152,tsk_ID,0),0),N($I152),WorkWeek,Holidays),-MAX(0,N($F152)-1),WorkWeek,Holidays),WORKDAY.INTL(WORKDAY.INTL(OFFSET(hdr_FcStart,MATCH($G152,tsk_ID,0),0),N($I152),WorkWeek,Holidays),-MAX(0,N($F152)-1),WorkWeek,Holidays)),0))</f>
        <v>0</v>
      </c>
      <c r="AN152" s="48" t="n">
        <f aca="true">IF(OR(N($J152)=0,$AI152,$D152=""),0,IFERROR(CHOOSE(MATCH(IF($K152="","FS",$K152),{"FS","SS","FF","SF"},0),WORKDAY.INTL(OFFSET(hdr_FcFinish,MATCH($J152,tsk_ID,0),0),IF(N($F152)=0,0,1)+N($L152),WorkWeek,Holidays),WORKDAY.INTL(OFFSET(hdr_FcStart,MATCH($J152,tsk_ID,0),0),N($L152),WorkWeek,Holidays),WORKDAY.INTL(WORKDAY.INTL(OFFSET(hdr_FcFinish,MATCH($J152,tsk_ID,0),0),N($L152),WorkWeek,Holidays),-MAX(0,N($F152)-1),WorkWeek,Holidays),WORKDAY.INTL(WORKDAY.INTL(OFFSET(hdr_FcStart,MATCH($J152,tsk_ID,0),0),N($L152),WorkWeek,Holidays),-MAX(0,N($F152)-1),WorkWeek,Holidays)),0))</f>
        <v>0</v>
      </c>
      <c r="AO152" s="48" t="n">
        <f aca="false">IF($AJ152=1,$R152,0)</f>
        <v>0</v>
      </c>
      <c r="AP152" s="48" t="n">
        <f aca="false">IF($AJ152=1,$S152,0)</f>
        <v>0</v>
      </c>
      <c r="AQ152" s="49" t="n">
        <f aca="false">IF(AND($AJ152=1,N($Z152)&gt;0),$Z152/($AP152-$AO152+1),0)</f>
        <v>0</v>
      </c>
      <c r="AR152" s="46" t="n">
        <f aca="false">IF($AJ152=1,MAX(N($F152),0.1),0)</f>
        <v>0</v>
      </c>
      <c r="AS152" s="46" t="n">
        <f aca="false">IF($AJ152=1,$AR152*$V152,0)</f>
        <v>0</v>
      </c>
      <c r="AT152" s="46" t="str">
        <f aca="false">IF(N($G152)=0,"",$G152&amp;IF(AND(IF($H152="","FS",$H152)="FS",N($I152)=0),"",IF($H152="","FS",$H152)&amp;IF(N($I152)=0,"",IF(N($I152)&gt;0,"+","")&amp;N($I152)&amp;"d")))</f>
        <v/>
      </c>
      <c r="AU152" s="46" t="str">
        <f aca="false">IF(N($J152)=0,"",$J152&amp;IF(AND(IF($K152="","FS",$K152)="FS",N($L152)=0),"",IF($K152="","FS",$K152)&amp;IF(N($L152)=0,"",IF(N($L152)&gt;0,"+","")&amp;N($L152)&amp;"d")))</f>
        <v/>
      </c>
      <c r="AV152" s="46" t="str">
        <f aca="false">IF(AND($AJ152=1,N($F152)=0,$V152&lt;1),$S152+$AF152/100000,"")</f>
        <v/>
      </c>
    </row>
    <row r="153" customFormat="false" ht="15" hidden="false" customHeight="false" outlineLevel="0" collapsed="false">
      <c r="A153" s="38" t="str">
        <f aca="false">IF($D153="","",COUNTA($D$6:$D153))</f>
        <v/>
      </c>
      <c r="B153" s="39" t="str">
        <f aca="true">IF($D153="","",IF($AE153=1,COUNTIF($AE$6:$AE153,1)&amp;"",IF($AG153=0,"?",OFFSET(hdr_WBS,$AG153-ROW(hdr_WBS),0)&amp;"."&amp;COUNTIF(INDEX($AE:$AE,$AG153+1):$AE153,$AE153))))</f>
        <v/>
      </c>
      <c r="C153" s="40"/>
      <c r="D153" s="41"/>
      <c r="E153" s="40"/>
      <c r="F153" s="40"/>
      <c r="G153" s="40"/>
      <c r="H153" s="40"/>
      <c r="I153" s="40"/>
      <c r="J153" s="40"/>
      <c r="K153" s="40"/>
      <c r="L153" s="40"/>
      <c r="M153" s="29"/>
      <c r="N153" s="30" t="str">
        <f aca="true">IF($D153="","",IF($AI153,MIN(OFFSET(hdr_PlanStart,$AF153+1,0,$AH153,1)),IF($E153="Manual",IF(N($M153)&gt;0,$M153,ProjectStart),WORKDAY.INTL(MAX(ProjectStart,N($M153),$AK153,$AL153)-1,1,WorkWeek,Holidays))))</f>
        <v/>
      </c>
      <c r="O153" s="30" t="str">
        <f aca="true">IF($D153="","",IF($AI153,MAX(OFFSET(hdr_PlanFinish,$AF153+1,0,$AH153,1)),IF(N($F153)&lt;=0,$N153,WORKDAY.INTL($N153,$F153-1,WorkWeek,Holidays))))</f>
        <v/>
      </c>
      <c r="P153" s="29"/>
      <c r="Q153" s="29"/>
      <c r="R153" s="30" t="str">
        <f aca="true">IF($D153="","",IF($AI153,MIN(OFFSET(hdr_FcStart,$AF153+1,0,$AH153,1)),IF(N($P153)&gt;0,$P153,IF($E153="Manual",IF(N($M153)&gt;0,$M153,ProjectStart),WORKDAY.INTL(MAX(ProjectStart,N($M153),$AM153,$AN153,IF(RescheduleAfterStatus="Yes",StatusDate,0))-1,1,WorkWeek,Holidays)))))</f>
        <v/>
      </c>
      <c r="S153" s="30" t="str">
        <f aca="true">IF($D153="","",IF($AI153,MAX(OFFSET(hdr_FcFinish,$AF153+1,0,$AH153,1)),IF(N($Q153)&gt;0,$Q153,IF(N($F153)&lt;=0,$R153,IF(AND(N($P153)&gt;0,RescheduleAfterStatus="Yes"),MAX(WORKDAY.INTL($R153,$F153-1,WorkWeek,Holidays),WORKDAY.INTL(StatusWorkday,MAX(0,ROUNDUP($F153*(1-MIN(1,N($U153))),0)-1),WorkWeek,Holidays)),WORKDAY.INTL($R153,$F153-1,WorkWeek,Holidays))))))</f>
        <v/>
      </c>
      <c r="T153" s="38" t="str">
        <f aca="false">IF($D153="","",IF($S153&gt;=$O153,NETWORKDAYS.INTL($O153,$S153,WorkWeek,Holidays)-1,1-NETWORKDAYS.INTL($S153,$O153,WorkWeek,Holidays)))</f>
        <v/>
      </c>
      <c r="U153" s="32"/>
      <c r="V153" s="42" t="str">
        <f aca="true">IF($D153="","",IF($AI153,IFERROR(SUM(OFFSET(hdr_WtDone,$AF153+1,0,$AH153,1))/SUM(OFFSET(hdr_WtDur,$AF153+1,0,$AH153,1)),0),IF(N($Q153)&gt;0,1,MIN(1,N($U153)))))</f>
        <v/>
      </c>
      <c r="W153" s="39" t="str">
        <f aca="false">IF($D153="","",IF($V153&gt;=1,"Complete",IF(OR(N($P153)&gt;0,$V153&gt;0),IF($T153&gt;0,"Behind","In Progress"),IF($N153&lt;StatusDate,"Late Start","Not Started"))))</f>
        <v/>
      </c>
      <c r="X153" s="41"/>
      <c r="Y153" s="32"/>
      <c r="Z153" s="43" t="str">
        <f aca="true">IF($D153="","",IF($AI153,SUMPRODUCT(OFFSET(hdr_Work,$AF153+1,0,$AH153,1),OFFSET(hdr_IsLeaf,$AF153+1,0,$AH153,1)),IF($X153="",0,N($F153)*HoursPerDay*IF($Y153="",DefaultUnits,$Y153))))</f>
        <v/>
      </c>
      <c r="AA153" s="44" t="str">
        <f aca="true">IF($D153="","",IF($AI153,SUMPRODUCT(OFFSET(hdr_Cost,$AF153+1,0,$AH153,1),OFFSET(hdr_IsLeaf,$AF153+1,0,$AH153,1)),$Z153*IFERROR(INDEX(res_Rate,MATCH($X153,res_Name,0)),0)))</f>
        <v/>
      </c>
      <c r="AB153" s="38" t="str">
        <f aca="false">IF(OR($D153="",$AI153),"",IF(OR($R153&lt;Sprint1Start,$R153&gt;SprintLastEnd),"Backlog",INDEX(spr_Name,MATCH($R153,spr_Start,1))))</f>
        <v/>
      </c>
      <c r="AC153" s="45" t="str">
        <f aca="false">IF($D153="","",$AT153&amp;IF(AND($AT153&lt;&gt;"",$AU153&lt;&gt;""),",","")&amp;$AU153)</f>
        <v/>
      </c>
      <c r="AD153" s="41"/>
      <c r="AE153" s="46" t="str">
        <f aca="false">IF($D153="","",MAX(1,N($C153)))</f>
        <v/>
      </c>
      <c r="AF153" s="46" t="n">
        <f aca="false">ROW()-ROW(hdr_ID)</f>
        <v>148</v>
      </c>
      <c r="AG153" s="46" t="n">
        <f aca="false">IF(OR($D153="",$AE153&lt;=1),0,IFERROR(LOOKUP(2,1/($AE$5:$AE152=$AE153-1),ROW($AE$5:$AE152)),0))</f>
        <v>0</v>
      </c>
      <c r="AH153" s="46" t="n">
        <f aca="false">IF($D153="",0,COUNTIF(tsk_WBS,$B153&amp;".*"))</f>
        <v>0</v>
      </c>
      <c r="AI153" s="47" t="b">
        <f aca="false">$AH153&gt;0</f>
        <v>0</v>
      </c>
      <c r="AJ153" s="46" t="n">
        <f aca="false">IF(AND($D153&lt;&gt;"",NOT($AI153)),1,0)</f>
        <v>0</v>
      </c>
      <c r="AK153" s="48" t="n">
        <f aca="true">IF(OR(N($G153)=0,$AI153,$D153=""),0,IFERROR(CHOOSE(MATCH(IF($H153="","FS",$H153),{"FS","SS","FF","SF"},0),WORKDAY.INTL(OFFSET(hdr_PlanFinish,MATCH($G153,tsk_ID,0),0),IF(N($F153)=0,0,1)+N($I153),WorkWeek,Holidays),WORKDAY.INTL(OFFSET(hdr_PlanStart,MATCH($G153,tsk_ID,0),0),N($I153),WorkWeek,Holidays),WORKDAY.INTL(WORKDAY.INTL(OFFSET(hdr_PlanFinish,MATCH($G153,tsk_ID,0),0),N($I153),WorkWeek,Holidays),-MAX(0,N($F153)-1),WorkWeek,Holidays),WORKDAY.INTL(WORKDAY.INTL(OFFSET(hdr_PlanStart,MATCH($G153,tsk_ID,0),0),N($I153),WorkWeek,Holidays),-MAX(0,N($F153)-1),WorkWeek,Holidays)),0))</f>
        <v>0</v>
      </c>
      <c r="AL153" s="48" t="n">
        <f aca="true">IF(OR(N($J153)=0,$AI153,$D153=""),0,IFERROR(CHOOSE(MATCH(IF($K153="","FS",$K153),{"FS","SS","FF","SF"},0),WORKDAY.INTL(OFFSET(hdr_PlanFinish,MATCH($J153,tsk_ID,0),0),IF(N($F153)=0,0,1)+N($L153),WorkWeek,Holidays),WORKDAY.INTL(OFFSET(hdr_PlanStart,MATCH($J153,tsk_ID,0),0),N($L153),WorkWeek,Holidays),WORKDAY.INTL(WORKDAY.INTL(OFFSET(hdr_PlanFinish,MATCH($J153,tsk_ID,0),0),N($L153),WorkWeek,Holidays),-MAX(0,N($F153)-1),WorkWeek,Holidays),WORKDAY.INTL(WORKDAY.INTL(OFFSET(hdr_PlanStart,MATCH($J153,tsk_ID,0),0),N($L153),WorkWeek,Holidays),-MAX(0,N($F153)-1),WorkWeek,Holidays)),0))</f>
        <v>0</v>
      </c>
      <c r="AM153" s="48" t="n">
        <f aca="true">IF(OR(N($G153)=0,$AI153,$D153=""),0,IFERROR(CHOOSE(MATCH(IF($H153="","FS",$H153),{"FS","SS","FF","SF"},0),WORKDAY.INTL(OFFSET(hdr_FcFinish,MATCH($G153,tsk_ID,0),0),IF(N($F153)=0,0,1)+N($I153),WorkWeek,Holidays),WORKDAY.INTL(OFFSET(hdr_FcStart,MATCH($G153,tsk_ID,0),0),N($I153),WorkWeek,Holidays),WORKDAY.INTL(WORKDAY.INTL(OFFSET(hdr_FcFinish,MATCH($G153,tsk_ID,0),0),N($I153),WorkWeek,Holidays),-MAX(0,N($F153)-1),WorkWeek,Holidays),WORKDAY.INTL(WORKDAY.INTL(OFFSET(hdr_FcStart,MATCH($G153,tsk_ID,0),0),N($I153),WorkWeek,Holidays),-MAX(0,N($F153)-1),WorkWeek,Holidays)),0))</f>
        <v>0</v>
      </c>
      <c r="AN153" s="48" t="n">
        <f aca="true">IF(OR(N($J153)=0,$AI153,$D153=""),0,IFERROR(CHOOSE(MATCH(IF($K153="","FS",$K153),{"FS","SS","FF","SF"},0),WORKDAY.INTL(OFFSET(hdr_FcFinish,MATCH($J153,tsk_ID,0),0),IF(N($F153)=0,0,1)+N($L153),WorkWeek,Holidays),WORKDAY.INTL(OFFSET(hdr_FcStart,MATCH($J153,tsk_ID,0),0),N($L153),WorkWeek,Holidays),WORKDAY.INTL(WORKDAY.INTL(OFFSET(hdr_FcFinish,MATCH($J153,tsk_ID,0),0),N($L153),WorkWeek,Holidays),-MAX(0,N($F153)-1),WorkWeek,Holidays),WORKDAY.INTL(WORKDAY.INTL(OFFSET(hdr_FcStart,MATCH($J153,tsk_ID,0),0),N($L153),WorkWeek,Holidays),-MAX(0,N($F153)-1),WorkWeek,Holidays)),0))</f>
        <v>0</v>
      </c>
      <c r="AO153" s="48" t="n">
        <f aca="false">IF($AJ153=1,$R153,0)</f>
        <v>0</v>
      </c>
      <c r="AP153" s="48" t="n">
        <f aca="false">IF($AJ153=1,$S153,0)</f>
        <v>0</v>
      </c>
      <c r="AQ153" s="49" t="n">
        <f aca="false">IF(AND($AJ153=1,N($Z153)&gt;0),$Z153/($AP153-$AO153+1),0)</f>
        <v>0</v>
      </c>
      <c r="AR153" s="46" t="n">
        <f aca="false">IF($AJ153=1,MAX(N($F153),0.1),0)</f>
        <v>0</v>
      </c>
      <c r="AS153" s="46" t="n">
        <f aca="false">IF($AJ153=1,$AR153*$V153,0)</f>
        <v>0</v>
      </c>
      <c r="AT153" s="46" t="str">
        <f aca="false">IF(N($G153)=0,"",$G153&amp;IF(AND(IF($H153="","FS",$H153)="FS",N($I153)=0),"",IF($H153="","FS",$H153)&amp;IF(N($I153)=0,"",IF(N($I153)&gt;0,"+","")&amp;N($I153)&amp;"d")))</f>
        <v/>
      </c>
      <c r="AU153" s="46" t="str">
        <f aca="false">IF(N($J153)=0,"",$J153&amp;IF(AND(IF($K153="","FS",$K153)="FS",N($L153)=0),"",IF($K153="","FS",$K153)&amp;IF(N($L153)=0,"",IF(N($L153)&gt;0,"+","")&amp;N($L153)&amp;"d")))</f>
        <v/>
      </c>
      <c r="AV153" s="46" t="str">
        <f aca="false">IF(AND($AJ153=1,N($F153)=0,$V153&lt;1),$S153+$AF153/100000,"")</f>
        <v/>
      </c>
    </row>
    <row r="154" customFormat="false" ht="15" hidden="false" customHeight="false" outlineLevel="0" collapsed="false">
      <c r="A154" s="38" t="str">
        <f aca="false">IF($D154="","",COUNTA($D$6:$D154))</f>
        <v/>
      </c>
      <c r="B154" s="39" t="str">
        <f aca="true">IF($D154="","",IF($AE154=1,COUNTIF($AE$6:$AE154,1)&amp;"",IF($AG154=0,"?",OFFSET(hdr_WBS,$AG154-ROW(hdr_WBS),0)&amp;"."&amp;COUNTIF(INDEX($AE:$AE,$AG154+1):$AE154,$AE154))))</f>
        <v/>
      </c>
      <c r="C154" s="40"/>
      <c r="D154" s="41"/>
      <c r="E154" s="40"/>
      <c r="F154" s="40"/>
      <c r="G154" s="40"/>
      <c r="H154" s="40"/>
      <c r="I154" s="40"/>
      <c r="J154" s="40"/>
      <c r="K154" s="40"/>
      <c r="L154" s="40"/>
      <c r="M154" s="29"/>
      <c r="N154" s="30" t="str">
        <f aca="true">IF($D154="","",IF($AI154,MIN(OFFSET(hdr_PlanStart,$AF154+1,0,$AH154,1)),IF($E154="Manual",IF(N($M154)&gt;0,$M154,ProjectStart),WORKDAY.INTL(MAX(ProjectStart,N($M154),$AK154,$AL154)-1,1,WorkWeek,Holidays))))</f>
        <v/>
      </c>
      <c r="O154" s="30" t="str">
        <f aca="true">IF($D154="","",IF($AI154,MAX(OFFSET(hdr_PlanFinish,$AF154+1,0,$AH154,1)),IF(N($F154)&lt;=0,$N154,WORKDAY.INTL($N154,$F154-1,WorkWeek,Holidays))))</f>
        <v/>
      </c>
      <c r="P154" s="29"/>
      <c r="Q154" s="29"/>
      <c r="R154" s="30" t="str">
        <f aca="true">IF($D154="","",IF($AI154,MIN(OFFSET(hdr_FcStart,$AF154+1,0,$AH154,1)),IF(N($P154)&gt;0,$P154,IF($E154="Manual",IF(N($M154)&gt;0,$M154,ProjectStart),WORKDAY.INTL(MAX(ProjectStart,N($M154),$AM154,$AN154,IF(RescheduleAfterStatus="Yes",StatusDate,0))-1,1,WorkWeek,Holidays)))))</f>
        <v/>
      </c>
      <c r="S154" s="30" t="str">
        <f aca="true">IF($D154="","",IF($AI154,MAX(OFFSET(hdr_FcFinish,$AF154+1,0,$AH154,1)),IF(N($Q154)&gt;0,$Q154,IF(N($F154)&lt;=0,$R154,IF(AND(N($P154)&gt;0,RescheduleAfterStatus="Yes"),MAX(WORKDAY.INTL($R154,$F154-1,WorkWeek,Holidays),WORKDAY.INTL(StatusWorkday,MAX(0,ROUNDUP($F154*(1-MIN(1,N($U154))),0)-1),WorkWeek,Holidays)),WORKDAY.INTL($R154,$F154-1,WorkWeek,Holidays))))))</f>
        <v/>
      </c>
      <c r="T154" s="38" t="str">
        <f aca="false">IF($D154="","",IF($S154&gt;=$O154,NETWORKDAYS.INTL($O154,$S154,WorkWeek,Holidays)-1,1-NETWORKDAYS.INTL($S154,$O154,WorkWeek,Holidays)))</f>
        <v/>
      </c>
      <c r="U154" s="32"/>
      <c r="V154" s="42" t="str">
        <f aca="true">IF($D154="","",IF($AI154,IFERROR(SUM(OFFSET(hdr_WtDone,$AF154+1,0,$AH154,1))/SUM(OFFSET(hdr_WtDur,$AF154+1,0,$AH154,1)),0),IF(N($Q154)&gt;0,1,MIN(1,N($U154)))))</f>
        <v/>
      </c>
      <c r="W154" s="39" t="str">
        <f aca="false">IF($D154="","",IF($V154&gt;=1,"Complete",IF(OR(N($P154)&gt;0,$V154&gt;0),IF($T154&gt;0,"Behind","In Progress"),IF($N154&lt;StatusDate,"Late Start","Not Started"))))</f>
        <v/>
      </c>
      <c r="X154" s="41"/>
      <c r="Y154" s="32"/>
      <c r="Z154" s="43" t="str">
        <f aca="true">IF($D154="","",IF($AI154,SUMPRODUCT(OFFSET(hdr_Work,$AF154+1,0,$AH154,1),OFFSET(hdr_IsLeaf,$AF154+1,0,$AH154,1)),IF($X154="",0,N($F154)*HoursPerDay*IF($Y154="",DefaultUnits,$Y154))))</f>
        <v/>
      </c>
      <c r="AA154" s="44" t="str">
        <f aca="true">IF($D154="","",IF($AI154,SUMPRODUCT(OFFSET(hdr_Cost,$AF154+1,0,$AH154,1),OFFSET(hdr_IsLeaf,$AF154+1,0,$AH154,1)),$Z154*IFERROR(INDEX(res_Rate,MATCH($X154,res_Name,0)),0)))</f>
        <v/>
      </c>
      <c r="AB154" s="38" t="str">
        <f aca="false">IF(OR($D154="",$AI154),"",IF(OR($R154&lt;Sprint1Start,$R154&gt;SprintLastEnd),"Backlog",INDEX(spr_Name,MATCH($R154,spr_Start,1))))</f>
        <v/>
      </c>
      <c r="AC154" s="45" t="str">
        <f aca="false">IF($D154="","",$AT154&amp;IF(AND($AT154&lt;&gt;"",$AU154&lt;&gt;""),",","")&amp;$AU154)</f>
        <v/>
      </c>
      <c r="AD154" s="41"/>
      <c r="AE154" s="46" t="str">
        <f aca="false">IF($D154="","",MAX(1,N($C154)))</f>
        <v/>
      </c>
      <c r="AF154" s="46" t="n">
        <f aca="false">ROW()-ROW(hdr_ID)</f>
        <v>149</v>
      </c>
      <c r="AG154" s="46" t="n">
        <f aca="false">IF(OR($D154="",$AE154&lt;=1),0,IFERROR(LOOKUP(2,1/($AE$5:$AE153=$AE154-1),ROW($AE$5:$AE153)),0))</f>
        <v>0</v>
      </c>
      <c r="AH154" s="46" t="n">
        <f aca="false">IF($D154="",0,COUNTIF(tsk_WBS,$B154&amp;".*"))</f>
        <v>0</v>
      </c>
      <c r="AI154" s="47" t="b">
        <f aca="false">$AH154&gt;0</f>
        <v>0</v>
      </c>
      <c r="AJ154" s="46" t="n">
        <f aca="false">IF(AND($D154&lt;&gt;"",NOT($AI154)),1,0)</f>
        <v>0</v>
      </c>
      <c r="AK154" s="48" t="n">
        <f aca="true">IF(OR(N($G154)=0,$AI154,$D154=""),0,IFERROR(CHOOSE(MATCH(IF($H154="","FS",$H154),{"FS","SS","FF","SF"},0),WORKDAY.INTL(OFFSET(hdr_PlanFinish,MATCH($G154,tsk_ID,0),0),IF(N($F154)=0,0,1)+N($I154),WorkWeek,Holidays),WORKDAY.INTL(OFFSET(hdr_PlanStart,MATCH($G154,tsk_ID,0),0),N($I154),WorkWeek,Holidays),WORKDAY.INTL(WORKDAY.INTL(OFFSET(hdr_PlanFinish,MATCH($G154,tsk_ID,0),0),N($I154),WorkWeek,Holidays),-MAX(0,N($F154)-1),WorkWeek,Holidays),WORKDAY.INTL(WORKDAY.INTL(OFFSET(hdr_PlanStart,MATCH($G154,tsk_ID,0),0),N($I154),WorkWeek,Holidays),-MAX(0,N($F154)-1),WorkWeek,Holidays)),0))</f>
        <v>0</v>
      </c>
      <c r="AL154" s="48" t="n">
        <f aca="true">IF(OR(N($J154)=0,$AI154,$D154=""),0,IFERROR(CHOOSE(MATCH(IF($K154="","FS",$K154),{"FS","SS","FF","SF"},0),WORKDAY.INTL(OFFSET(hdr_PlanFinish,MATCH($J154,tsk_ID,0),0),IF(N($F154)=0,0,1)+N($L154),WorkWeek,Holidays),WORKDAY.INTL(OFFSET(hdr_PlanStart,MATCH($J154,tsk_ID,0),0),N($L154),WorkWeek,Holidays),WORKDAY.INTL(WORKDAY.INTL(OFFSET(hdr_PlanFinish,MATCH($J154,tsk_ID,0),0),N($L154),WorkWeek,Holidays),-MAX(0,N($F154)-1),WorkWeek,Holidays),WORKDAY.INTL(WORKDAY.INTL(OFFSET(hdr_PlanStart,MATCH($J154,tsk_ID,0),0),N($L154),WorkWeek,Holidays),-MAX(0,N($F154)-1),WorkWeek,Holidays)),0))</f>
        <v>0</v>
      </c>
      <c r="AM154" s="48" t="n">
        <f aca="true">IF(OR(N($G154)=0,$AI154,$D154=""),0,IFERROR(CHOOSE(MATCH(IF($H154="","FS",$H154),{"FS","SS","FF","SF"},0),WORKDAY.INTL(OFFSET(hdr_FcFinish,MATCH($G154,tsk_ID,0),0),IF(N($F154)=0,0,1)+N($I154),WorkWeek,Holidays),WORKDAY.INTL(OFFSET(hdr_FcStart,MATCH($G154,tsk_ID,0),0),N($I154),WorkWeek,Holidays),WORKDAY.INTL(WORKDAY.INTL(OFFSET(hdr_FcFinish,MATCH($G154,tsk_ID,0),0),N($I154),WorkWeek,Holidays),-MAX(0,N($F154)-1),WorkWeek,Holidays),WORKDAY.INTL(WORKDAY.INTL(OFFSET(hdr_FcStart,MATCH($G154,tsk_ID,0),0),N($I154),WorkWeek,Holidays),-MAX(0,N($F154)-1),WorkWeek,Holidays)),0))</f>
        <v>0</v>
      </c>
      <c r="AN154" s="48" t="n">
        <f aca="true">IF(OR(N($J154)=0,$AI154,$D154=""),0,IFERROR(CHOOSE(MATCH(IF($K154="","FS",$K154),{"FS","SS","FF","SF"},0),WORKDAY.INTL(OFFSET(hdr_FcFinish,MATCH($J154,tsk_ID,0),0),IF(N($F154)=0,0,1)+N($L154),WorkWeek,Holidays),WORKDAY.INTL(OFFSET(hdr_FcStart,MATCH($J154,tsk_ID,0),0),N($L154),WorkWeek,Holidays),WORKDAY.INTL(WORKDAY.INTL(OFFSET(hdr_FcFinish,MATCH($J154,tsk_ID,0),0),N($L154),WorkWeek,Holidays),-MAX(0,N($F154)-1),WorkWeek,Holidays),WORKDAY.INTL(WORKDAY.INTL(OFFSET(hdr_FcStart,MATCH($J154,tsk_ID,0),0),N($L154),WorkWeek,Holidays),-MAX(0,N($F154)-1),WorkWeek,Holidays)),0))</f>
        <v>0</v>
      </c>
      <c r="AO154" s="48" t="n">
        <f aca="false">IF($AJ154=1,$R154,0)</f>
        <v>0</v>
      </c>
      <c r="AP154" s="48" t="n">
        <f aca="false">IF($AJ154=1,$S154,0)</f>
        <v>0</v>
      </c>
      <c r="AQ154" s="49" t="n">
        <f aca="false">IF(AND($AJ154=1,N($Z154)&gt;0),$Z154/($AP154-$AO154+1),0)</f>
        <v>0</v>
      </c>
      <c r="AR154" s="46" t="n">
        <f aca="false">IF($AJ154=1,MAX(N($F154),0.1),0)</f>
        <v>0</v>
      </c>
      <c r="AS154" s="46" t="n">
        <f aca="false">IF($AJ154=1,$AR154*$V154,0)</f>
        <v>0</v>
      </c>
      <c r="AT154" s="46" t="str">
        <f aca="false">IF(N($G154)=0,"",$G154&amp;IF(AND(IF($H154="","FS",$H154)="FS",N($I154)=0),"",IF($H154="","FS",$H154)&amp;IF(N($I154)=0,"",IF(N($I154)&gt;0,"+","")&amp;N($I154)&amp;"d")))</f>
        <v/>
      </c>
      <c r="AU154" s="46" t="str">
        <f aca="false">IF(N($J154)=0,"",$J154&amp;IF(AND(IF($K154="","FS",$K154)="FS",N($L154)=0),"",IF($K154="","FS",$K154)&amp;IF(N($L154)=0,"",IF(N($L154)&gt;0,"+","")&amp;N($L154)&amp;"d")))</f>
        <v/>
      </c>
      <c r="AV154" s="46" t="str">
        <f aca="false">IF(AND($AJ154=1,N($F154)=0,$V154&lt;1),$S154+$AF154/100000,"")</f>
        <v/>
      </c>
    </row>
    <row r="155" customFormat="false" ht="15" hidden="false" customHeight="false" outlineLevel="0" collapsed="false">
      <c r="A155" s="38" t="str">
        <f aca="false">IF($D155="","",COUNTA($D$6:$D155))</f>
        <v/>
      </c>
      <c r="B155" s="39" t="str">
        <f aca="true">IF($D155="","",IF($AE155=1,COUNTIF($AE$6:$AE155,1)&amp;"",IF($AG155=0,"?",OFFSET(hdr_WBS,$AG155-ROW(hdr_WBS),0)&amp;"."&amp;COUNTIF(INDEX($AE:$AE,$AG155+1):$AE155,$AE155))))</f>
        <v/>
      </c>
      <c r="C155" s="40"/>
      <c r="D155" s="41"/>
      <c r="E155" s="40"/>
      <c r="F155" s="40"/>
      <c r="G155" s="40"/>
      <c r="H155" s="40"/>
      <c r="I155" s="40"/>
      <c r="J155" s="40"/>
      <c r="K155" s="40"/>
      <c r="L155" s="40"/>
      <c r="M155" s="29"/>
      <c r="N155" s="30" t="str">
        <f aca="true">IF($D155="","",IF($AI155,MIN(OFFSET(hdr_PlanStart,$AF155+1,0,$AH155,1)),IF($E155="Manual",IF(N($M155)&gt;0,$M155,ProjectStart),WORKDAY.INTL(MAX(ProjectStart,N($M155),$AK155,$AL155)-1,1,WorkWeek,Holidays))))</f>
        <v/>
      </c>
      <c r="O155" s="30" t="str">
        <f aca="true">IF($D155="","",IF($AI155,MAX(OFFSET(hdr_PlanFinish,$AF155+1,0,$AH155,1)),IF(N($F155)&lt;=0,$N155,WORKDAY.INTL($N155,$F155-1,WorkWeek,Holidays))))</f>
        <v/>
      </c>
      <c r="P155" s="29"/>
      <c r="Q155" s="29"/>
      <c r="R155" s="30" t="str">
        <f aca="true">IF($D155="","",IF($AI155,MIN(OFFSET(hdr_FcStart,$AF155+1,0,$AH155,1)),IF(N($P155)&gt;0,$P155,IF($E155="Manual",IF(N($M155)&gt;0,$M155,ProjectStart),WORKDAY.INTL(MAX(ProjectStart,N($M155),$AM155,$AN155,IF(RescheduleAfterStatus="Yes",StatusDate,0))-1,1,WorkWeek,Holidays)))))</f>
        <v/>
      </c>
      <c r="S155" s="30" t="str">
        <f aca="true">IF($D155="","",IF($AI155,MAX(OFFSET(hdr_FcFinish,$AF155+1,0,$AH155,1)),IF(N($Q155)&gt;0,$Q155,IF(N($F155)&lt;=0,$R155,IF(AND(N($P155)&gt;0,RescheduleAfterStatus="Yes"),MAX(WORKDAY.INTL($R155,$F155-1,WorkWeek,Holidays),WORKDAY.INTL(StatusWorkday,MAX(0,ROUNDUP($F155*(1-MIN(1,N($U155))),0)-1),WorkWeek,Holidays)),WORKDAY.INTL($R155,$F155-1,WorkWeek,Holidays))))))</f>
        <v/>
      </c>
      <c r="T155" s="38" t="str">
        <f aca="false">IF($D155="","",IF($S155&gt;=$O155,NETWORKDAYS.INTL($O155,$S155,WorkWeek,Holidays)-1,1-NETWORKDAYS.INTL($S155,$O155,WorkWeek,Holidays)))</f>
        <v/>
      </c>
      <c r="U155" s="32"/>
      <c r="V155" s="42" t="str">
        <f aca="true">IF($D155="","",IF($AI155,IFERROR(SUM(OFFSET(hdr_WtDone,$AF155+1,0,$AH155,1))/SUM(OFFSET(hdr_WtDur,$AF155+1,0,$AH155,1)),0),IF(N($Q155)&gt;0,1,MIN(1,N($U155)))))</f>
        <v/>
      </c>
      <c r="W155" s="39" t="str">
        <f aca="false">IF($D155="","",IF($V155&gt;=1,"Complete",IF(OR(N($P155)&gt;0,$V155&gt;0),IF($T155&gt;0,"Behind","In Progress"),IF($N155&lt;StatusDate,"Late Start","Not Started"))))</f>
        <v/>
      </c>
      <c r="X155" s="41"/>
      <c r="Y155" s="32"/>
      <c r="Z155" s="43" t="str">
        <f aca="true">IF($D155="","",IF($AI155,SUMPRODUCT(OFFSET(hdr_Work,$AF155+1,0,$AH155,1),OFFSET(hdr_IsLeaf,$AF155+1,0,$AH155,1)),IF($X155="",0,N($F155)*HoursPerDay*IF($Y155="",DefaultUnits,$Y155))))</f>
        <v/>
      </c>
      <c r="AA155" s="44" t="str">
        <f aca="true">IF($D155="","",IF($AI155,SUMPRODUCT(OFFSET(hdr_Cost,$AF155+1,0,$AH155,1),OFFSET(hdr_IsLeaf,$AF155+1,0,$AH155,1)),$Z155*IFERROR(INDEX(res_Rate,MATCH($X155,res_Name,0)),0)))</f>
        <v/>
      </c>
      <c r="AB155" s="38" t="str">
        <f aca="false">IF(OR($D155="",$AI155),"",IF(OR($R155&lt;Sprint1Start,$R155&gt;SprintLastEnd),"Backlog",INDEX(spr_Name,MATCH($R155,spr_Start,1))))</f>
        <v/>
      </c>
      <c r="AC155" s="45" t="str">
        <f aca="false">IF($D155="","",$AT155&amp;IF(AND($AT155&lt;&gt;"",$AU155&lt;&gt;""),",","")&amp;$AU155)</f>
        <v/>
      </c>
      <c r="AD155" s="41"/>
      <c r="AE155" s="46" t="str">
        <f aca="false">IF($D155="","",MAX(1,N($C155)))</f>
        <v/>
      </c>
      <c r="AF155" s="46" t="n">
        <f aca="false">ROW()-ROW(hdr_ID)</f>
        <v>150</v>
      </c>
      <c r="AG155" s="46" t="n">
        <f aca="false">IF(OR($D155="",$AE155&lt;=1),0,IFERROR(LOOKUP(2,1/($AE$5:$AE154=$AE155-1),ROW($AE$5:$AE154)),0))</f>
        <v>0</v>
      </c>
      <c r="AH155" s="46" t="n">
        <f aca="false">IF($D155="",0,COUNTIF(tsk_WBS,$B155&amp;".*"))</f>
        <v>0</v>
      </c>
      <c r="AI155" s="47" t="b">
        <f aca="false">$AH155&gt;0</f>
        <v>0</v>
      </c>
      <c r="AJ155" s="46" t="n">
        <f aca="false">IF(AND($D155&lt;&gt;"",NOT($AI155)),1,0)</f>
        <v>0</v>
      </c>
      <c r="AK155" s="48" t="n">
        <f aca="true">IF(OR(N($G155)=0,$AI155,$D155=""),0,IFERROR(CHOOSE(MATCH(IF($H155="","FS",$H155),{"FS","SS","FF","SF"},0),WORKDAY.INTL(OFFSET(hdr_PlanFinish,MATCH($G155,tsk_ID,0),0),IF(N($F155)=0,0,1)+N($I155),WorkWeek,Holidays),WORKDAY.INTL(OFFSET(hdr_PlanStart,MATCH($G155,tsk_ID,0),0),N($I155),WorkWeek,Holidays),WORKDAY.INTL(WORKDAY.INTL(OFFSET(hdr_PlanFinish,MATCH($G155,tsk_ID,0),0),N($I155),WorkWeek,Holidays),-MAX(0,N($F155)-1),WorkWeek,Holidays),WORKDAY.INTL(WORKDAY.INTL(OFFSET(hdr_PlanStart,MATCH($G155,tsk_ID,0),0),N($I155),WorkWeek,Holidays),-MAX(0,N($F155)-1),WorkWeek,Holidays)),0))</f>
        <v>0</v>
      </c>
      <c r="AL155" s="48" t="n">
        <f aca="true">IF(OR(N($J155)=0,$AI155,$D155=""),0,IFERROR(CHOOSE(MATCH(IF($K155="","FS",$K155),{"FS","SS","FF","SF"},0),WORKDAY.INTL(OFFSET(hdr_PlanFinish,MATCH($J155,tsk_ID,0),0),IF(N($F155)=0,0,1)+N($L155),WorkWeek,Holidays),WORKDAY.INTL(OFFSET(hdr_PlanStart,MATCH($J155,tsk_ID,0),0),N($L155),WorkWeek,Holidays),WORKDAY.INTL(WORKDAY.INTL(OFFSET(hdr_PlanFinish,MATCH($J155,tsk_ID,0),0),N($L155),WorkWeek,Holidays),-MAX(0,N($F155)-1),WorkWeek,Holidays),WORKDAY.INTL(WORKDAY.INTL(OFFSET(hdr_PlanStart,MATCH($J155,tsk_ID,0),0),N($L155),WorkWeek,Holidays),-MAX(0,N($F155)-1),WorkWeek,Holidays)),0))</f>
        <v>0</v>
      </c>
      <c r="AM155" s="48" t="n">
        <f aca="true">IF(OR(N($G155)=0,$AI155,$D155=""),0,IFERROR(CHOOSE(MATCH(IF($H155="","FS",$H155),{"FS","SS","FF","SF"},0),WORKDAY.INTL(OFFSET(hdr_FcFinish,MATCH($G155,tsk_ID,0),0),IF(N($F155)=0,0,1)+N($I155),WorkWeek,Holidays),WORKDAY.INTL(OFFSET(hdr_FcStart,MATCH($G155,tsk_ID,0),0),N($I155),WorkWeek,Holidays),WORKDAY.INTL(WORKDAY.INTL(OFFSET(hdr_FcFinish,MATCH($G155,tsk_ID,0),0),N($I155),WorkWeek,Holidays),-MAX(0,N($F155)-1),WorkWeek,Holidays),WORKDAY.INTL(WORKDAY.INTL(OFFSET(hdr_FcStart,MATCH($G155,tsk_ID,0),0),N($I155),WorkWeek,Holidays),-MAX(0,N($F155)-1),WorkWeek,Holidays)),0))</f>
        <v>0</v>
      </c>
      <c r="AN155" s="48" t="n">
        <f aca="true">IF(OR(N($J155)=0,$AI155,$D155=""),0,IFERROR(CHOOSE(MATCH(IF($K155="","FS",$K155),{"FS","SS","FF","SF"},0),WORKDAY.INTL(OFFSET(hdr_FcFinish,MATCH($J155,tsk_ID,0),0),IF(N($F155)=0,0,1)+N($L155),WorkWeek,Holidays),WORKDAY.INTL(OFFSET(hdr_FcStart,MATCH($J155,tsk_ID,0),0),N($L155),WorkWeek,Holidays),WORKDAY.INTL(WORKDAY.INTL(OFFSET(hdr_FcFinish,MATCH($J155,tsk_ID,0),0),N($L155),WorkWeek,Holidays),-MAX(0,N($F155)-1),WorkWeek,Holidays),WORKDAY.INTL(WORKDAY.INTL(OFFSET(hdr_FcStart,MATCH($J155,tsk_ID,0),0),N($L155),WorkWeek,Holidays),-MAX(0,N($F155)-1),WorkWeek,Holidays)),0))</f>
        <v>0</v>
      </c>
      <c r="AO155" s="48" t="n">
        <f aca="false">IF($AJ155=1,$R155,0)</f>
        <v>0</v>
      </c>
      <c r="AP155" s="48" t="n">
        <f aca="false">IF($AJ155=1,$S155,0)</f>
        <v>0</v>
      </c>
      <c r="AQ155" s="49" t="n">
        <f aca="false">IF(AND($AJ155=1,N($Z155)&gt;0),$Z155/($AP155-$AO155+1),0)</f>
        <v>0</v>
      </c>
      <c r="AR155" s="46" t="n">
        <f aca="false">IF($AJ155=1,MAX(N($F155),0.1),0)</f>
        <v>0</v>
      </c>
      <c r="AS155" s="46" t="n">
        <f aca="false">IF($AJ155=1,$AR155*$V155,0)</f>
        <v>0</v>
      </c>
      <c r="AT155" s="46" t="str">
        <f aca="false">IF(N($G155)=0,"",$G155&amp;IF(AND(IF($H155="","FS",$H155)="FS",N($I155)=0),"",IF($H155="","FS",$H155)&amp;IF(N($I155)=0,"",IF(N($I155)&gt;0,"+","")&amp;N($I155)&amp;"d")))</f>
        <v/>
      </c>
      <c r="AU155" s="46" t="str">
        <f aca="false">IF(N($J155)=0,"",$J155&amp;IF(AND(IF($K155="","FS",$K155)="FS",N($L155)=0),"",IF($K155="","FS",$K155)&amp;IF(N($L155)=0,"",IF(N($L155)&gt;0,"+","")&amp;N($L155)&amp;"d")))</f>
        <v/>
      </c>
      <c r="AV155" s="46" t="str">
        <f aca="false">IF(AND($AJ155=1,N($F155)=0,$V155&lt;1),$S155+$AF155/100000,"")</f>
        <v/>
      </c>
    </row>
    <row r="156" customFormat="false" ht="15" hidden="false" customHeight="false" outlineLevel="0" collapsed="false">
      <c r="A156" s="38" t="str">
        <f aca="false">IF($D156="","",COUNTA($D$6:$D156))</f>
        <v/>
      </c>
      <c r="B156" s="39" t="str">
        <f aca="true">IF($D156="","",IF($AE156=1,COUNTIF($AE$6:$AE156,1)&amp;"",IF($AG156=0,"?",OFFSET(hdr_WBS,$AG156-ROW(hdr_WBS),0)&amp;"."&amp;COUNTIF(INDEX($AE:$AE,$AG156+1):$AE156,$AE156))))</f>
        <v/>
      </c>
      <c r="C156" s="40"/>
      <c r="D156" s="41"/>
      <c r="E156" s="40"/>
      <c r="F156" s="40"/>
      <c r="G156" s="40"/>
      <c r="H156" s="40"/>
      <c r="I156" s="40"/>
      <c r="J156" s="40"/>
      <c r="K156" s="40"/>
      <c r="L156" s="40"/>
      <c r="M156" s="29"/>
      <c r="N156" s="30" t="str">
        <f aca="true">IF($D156="","",IF($AI156,MIN(OFFSET(hdr_PlanStart,$AF156+1,0,$AH156,1)),IF($E156="Manual",IF(N($M156)&gt;0,$M156,ProjectStart),WORKDAY.INTL(MAX(ProjectStart,N($M156),$AK156,$AL156)-1,1,WorkWeek,Holidays))))</f>
        <v/>
      </c>
      <c r="O156" s="30" t="str">
        <f aca="true">IF($D156="","",IF($AI156,MAX(OFFSET(hdr_PlanFinish,$AF156+1,0,$AH156,1)),IF(N($F156)&lt;=0,$N156,WORKDAY.INTL($N156,$F156-1,WorkWeek,Holidays))))</f>
        <v/>
      </c>
      <c r="P156" s="29"/>
      <c r="Q156" s="29"/>
      <c r="R156" s="30" t="str">
        <f aca="true">IF($D156="","",IF($AI156,MIN(OFFSET(hdr_FcStart,$AF156+1,0,$AH156,1)),IF(N($P156)&gt;0,$P156,IF($E156="Manual",IF(N($M156)&gt;0,$M156,ProjectStart),WORKDAY.INTL(MAX(ProjectStart,N($M156),$AM156,$AN156,IF(RescheduleAfterStatus="Yes",StatusDate,0))-1,1,WorkWeek,Holidays)))))</f>
        <v/>
      </c>
      <c r="S156" s="30" t="str">
        <f aca="true">IF($D156="","",IF($AI156,MAX(OFFSET(hdr_FcFinish,$AF156+1,0,$AH156,1)),IF(N($Q156)&gt;0,$Q156,IF(N($F156)&lt;=0,$R156,IF(AND(N($P156)&gt;0,RescheduleAfterStatus="Yes"),MAX(WORKDAY.INTL($R156,$F156-1,WorkWeek,Holidays),WORKDAY.INTL(StatusWorkday,MAX(0,ROUNDUP($F156*(1-MIN(1,N($U156))),0)-1),WorkWeek,Holidays)),WORKDAY.INTL($R156,$F156-1,WorkWeek,Holidays))))))</f>
        <v/>
      </c>
      <c r="T156" s="38" t="str">
        <f aca="false">IF($D156="","",IF($S156&gt;=$O156,NETWORKDAYS.INTL($O156,$S156,WorkWeek,Holidays)-1,1-NETWORKDAYS.INTL($S156,$O156,WorkWeek,Holidays)))</f>
        <v/>
      </c>
      <c r="U156" s="32"/>
      <c r="V156" s="42" t="str">
        <f aca="true">IF($D156="","",IF($AI156,IFERROR(SUM(OFFSET(hdr_WtDone,$AF156+1,0,$AH156,1))/SUM(OFFSET(hdr_WtDur,$AF156+1,0,$AH156,1)),0),IF(N($Q156)&gt;0,1,MIN(1,N($U156)))))</f>
        <v/>
      </c>
      <c r="W156" s="39" t="str">
        <f aca="false">IF($D156="","",IF($V156&gt;=1,"Complete",IF(OR(N($P156)&gt;0,$V156&gt;0),IF($T156&gt;0,"Behind","In Progress"),IF($N156&lt;StatusDate,"Late Start","Not Started"))))</f>
        <v/>
      </c>
      <c r="X156" s="41"/>
      <c r="Y156" s="32"/>
      <c r="Z156" s="43" t="str">
        <f aca="true">IF($D156="","",IF($AI156,SUMPRODUCT(OFFSET(hdr_Work,$AF156+1,0,$AH156,1),OFFSET(hdr_IsLeaf,$AF156+1,0,$AH156,1)),IF($X156="",0,N($F156)*HoursPerDay*IF($Y156="",DefaultUnits,$Y156))))</f>
        <v/>
      </c>
      <c r="AA156" s="44" t="str">
        <f aca="true">IF($D156="","",IF($AI156,SUMPRODUCT(OFFSET(hdr_Cost,$AF156+1,0,$AH156,1),OFFSET(hdr_IsLeaf,$AF156+1,0,$AH156,1)),$Z156*IFERROR(INDEX(res_Rate,MATCH($X156,res_Name,0)),0)))</f>
        <v/>
      </c>
      <c r="AB156" s="38" t="str">
        <f aca="false">IF(OR($D156="",$AI156),"",IF(OR($R156&lt;Sprint1Start,$R156&gt;SprintLastEnd),"Backlog",INDEX(spr_Name,MATCH($R156,spr_Start,1))))</f>
        <v/>
      </c>
      <c r="AC156" s="45" t="str">
        <f aca="false">IF($D156="","",$AT156&amp;IF(AND($AT156&lt;&gt;"",$AU156&lt;&gt;""),",","")&amp;$AU156)</f>
        <v/>
      </c>
      <c r="AD156" s="41"/>
      <c r="AE156" s="46" t="str">
        <f aca="false">IF($D156="","",MAX(1,N($C156)))</f>
        <v/>
      </c>
      <c r="AF156" s="46" t="n">
        <f aca="false">ROW()-ROW(hdr_ID)</f>
        <v>151</v>
      </c>
      <c r="AG156" s="46" t="n">
        <f aca="false">IF(OR($D156="",$AE156&lt;=1),0,IFERROR(LOOKUP(2,1/($AE$5:$AE155=$AE156-1),ROW($AE$5:$AE155)),0))</f>
        <v>0</v>
      </c>
      <c r="AH156" s="46" t="n">
        <f aca="false">IF($D156="",0,COUNTIF(tsk_WBS,$B156&amp;".*"))</f>
        <v>0</v>
      </c>
      <c r="AI156" s="47" t="b">
        <f aca="false">$AH156&gt;0</f>
        <v>0</v>
      </c>
      <c r="AJ156" s="46" t="n">
        <f aca="false">IF(AND($D156&lt;&gt;"",NOT($AI156)),1,0)</f>
        <v>0</v>
      </c>
      <c r="AK156" s="48" t="n">
        <f aca="true">IF(OR(N($G156)=0,$AI156,$D156=""),0,IFERROR(CHOOSE(MATCH(IF($H156="","FS",$H156),{"FS","SS","FF","SF"},0),WORKDAY.INTL(OFFSET(hdr_PlanFinish,MATCH($G156,tsk_ID,0),0),IF(N($F156)=0,0,1)+N($I156),WorkWeek,Holidays),WORKDAY.INTL(OFFSET(hdr_PlanStart,MATCH($G156,tsk_ID,0),0),N($I156),WorkWeek,Holidays),WORKDAY.INTL(WORKDAY.INTL(OFFSET(hdr_PlanFinish,MATCH($G156,tsk_ID,0),0),N($I156),WorkWeek,Holidays),-MAX(0,N($F156)-1),WorkWeek,Holidays),WORKDAY.INTL(WORKDAY.INTL(OFFSET(hdr_PlanStart,MATCH($G156,tsk_ID,0),0),N($I156),WorkWeek,Holidays),-MAX(0,N($F156)-1),WorkWeek,Holidays)),0))</f>
        <v>0</v>
      </c>
      <c r="AL156" s="48" t="n">
        <f aca="true">IF(OR(N($J156)=0,$AI156,$D156=""),0,IFERROR(CHOOSE(MATCH(IF($K156="","FS",$K156),{"FS","SS","FF","SF"},0),WORKDAY.INTL(OFFSET(hdr_PlanFinish,MATCH($J156,tsk_ID,0),0),IF(N($F156)=0,0,1)+N($L156),WorkWeek,Holidays),WORKDAY.INTL(OFFSET(hdr_PlanStart,MATCH($J156,tsk_ID,0),0),N($L156),WorkWeek,Holidays),WORKDAY.INTL(WORKDAY.INTL(OFFSET(hdr_PlanFinish,MATCH($J156,tsk_ID,0),0),N($L156),WorkWeek,Holidays),-MAX(0,N($F156)-1),WorkWeek,Holidays),WORKDAY.INTL(WORKDAY.INTL(OFFSET(hdr_PlanStart,MATCH($J156,tsk_ID,0),0),N($L156),WorkWeek,Holidays),-MAX(0,N($F156)-1),WorkWeek,Holidays)),0))</f>
        <v>0</v>
      </c>
      <c r="AM156" s="48" t="n">
        <f aca="true">IF(OR(N($G156)=0,$AI156,$D156=""),0,IFERROR(CHOOSE(MATCH(IF($H156="","FS",$H156),{"FS","SS","FF","SF"},0),WORKDAY.INTL(OFFSET(hdr_FcFinish,MATCH($G156,tsk_ID,0),0),IF(N($F156)=0,0,1)+N($I156),WorkWeek,Holidays),WORKDAY.INTL(OFFSET(hdr_FcStart,MATCH($G156,tsk_ID,0),0),N($I156),WorkWeek,Holidays),WORKDAY.INTL(WORKDAY.INTL(OFFSET(hdr_FcFinish,MATCH($G156,tsk_ID,0),0),N($I156),WorkWeek,Holidays),-MAX(0,N($F156)-1),WorkWeek,Holidays),WORKDAY.INTL(WORKDAY.INTL(OFFSET(hdr_FcStart,MATCH($G156,tsk_ID,0),0),N($I156),WorkWeek,Holidays),-MAX(0,N($F156)-1),WorkWeek,Holidays)),0))</f>
        <v>0</v>
      </c>
      <c r="AN156" s="48" t="n">
        <f aca="true">IF(OR(N($J156)=0,$AI156,$D156=""),0,IFERROR(CHOOSE(MATCH(IF($K156="","FS",$K156),{"FS","SS","FF","SF"},0),WORKDAY.INTL(OFFSET(hdr_FcFinish,MATCH($J156,tsk_ID,0),0),IF(N($F156)=0,0,1)+N($L156),WorkWeek,Holidays),WORKDAY.INTL(OFFSET(hdr_FcStart,MATCH($J156,tsk_ID,0),0),N($L156),WorkWeek,Holidays),WORKDAY.INTL(WORKDAY.INTL(OFFSET(hdr_FcFinish,MATCH($J156,tsk_ID,0),0),N($L156),WorkWeek,Holidays),-MAX(0,N($F156)-1),WorkWeek,Holidays),WORKDAY.INTL(WORKDAY.INTL(OFFSET(hdr_FcStart,MATCH($J156,tsk_ID,0),0),N($L156),WorkWeek,Holidays),-MAX(0,N($F156)-1),WorkWeek,Holidays)),0))</f>
        <v>0</v>
      </c>
      <c r="AO156" s="48" t="n">
        <f aca="false">IF($AJ156=1,$R156,0)</f>
        <v>0</v>
      </c>
      <c r="AP156" s="48" t="n">
        <f aca="false">IF($AJ156=1,$S156,0)</f>
        <v>0</v>
      </c>
      <c r="AQ156" s="49" t="n">
        <f aca="false">IF(AND($AJ156=1,N($Z156)&gt;0),$Z156/($AP156-$AO156+1),0)</f>
        <v>0</v>
      </c>
      <c r="AR156" s="46" t="n">
        <f aca="false">IF($AJ156=1,MAX(N($F156),0.1),0)</f>
        <v>0</v>
      </c>
      <c r="AS156" s="46" t="n">
        <f aca="false">IF($AJ156=1,$AR156*$V156,0)</f>
        <v>0</v>
      </c>
      <c r="AT156" s="46" t="str">
        <f aca="false">IF(N($G156)=0,"",$G156&amp;IF(AND(IF($H156="","FS",$H156)="FS",N($I156)=0),"",IF($H156="","FS",$H156)&amp;IF(N($I156)=0,"",IF(N($I156)&gt;0,"+","")&amp;N($I156)&amp;"d")))</f>
        <v/>
      </c>
      <c r="AU156" s="46" t="str">
        <f aca="false">IF(N($J156)=0,"",$J156&amp;IF(AND(IF($K156="","FS",$K156)="FS",N($L156)=0),"",IF($K156="","FS",$K156)&amp;IF(N($L156)=0,"",IF(N($L156)&gt;0,"+","")&amp;N($L156)&amp;"d")))</f>
        <v/>
      </c>
      <c r="AV156" s="46" t="str">
        <f aca="false">IF(AND($AJ156=1,N($F156)=0,$V156&lt;1),$S156+$AF156/100000,"")</f>
        <v/>
      </c>
    </row>
    <row r="157" customFormat="false" ht="15" hidden="false" customHeight="false" outlineLevel="0" collapsed="false">
      <c r="A157" s="38" t="str">
        <f aca="false">IF($D157="","",COUNTA($D$6:$D157))</f>
        <v/>
      </c>
      <c r="B157" s="39" t="str">
        <f aca="true">IF($D157="","",IF($AE157=1,COUNTIF($AE$6:$AE157,1)&amp;"",IF($AG157=0,"?",OFFSET(hdr_WBS,$AG157-ROW(hdr_WBS),0)&amp;"."&amp;COUNTIF(INDEX($AE:$AE,$AG157+1):$AE157,$AE157))))</f>
        <v/>
      </c>
      <c r="C157" s="40"/>
      <c r="D157" s="41"/>
      <c r="E157" s="40"/>
      <c r="F157" s="40"/>
      <c r="G157" s="40"/>
      <c r="H157" s="40"/>
      <c r="I157" s="40"/>
      <c r="J157" s="40"/>
      <c r="K157" s="40"/>
      <c r="L157" s="40"/>
      <c r="M157" s="29"/>
      <c r="N157" s="30" t="str">
        <f aca="true">IF($D157="","",IF($AI157,MIN(OFFSET(hdr_PlanStart,$AF157+1,0,$AH157,1)),IF($E157="Manual",IF(N($M157)&gt;0,$M157,ProjectStart),WORKDAY.INTL(MAX(ProjectStart,N($M157),$AK157,$AL157)-1,1,WorkWeek,Holidays))))</f>
        <v/>
      </c>
      <c r="O157" s="30" t="str">
        <f aca="true">IF($D157="","",IF($AI157,MAX(OFFSET(hdr_PlanFinish,$AF157+1,0,$AH157,1)),IF(N($F157)&lt;=0,$N157,WORKDAY.INTL($N157,$F157-1,WorkWeek,Holidays))))</f>
        <v/>
      </c>
      <c r="P157" s="29"/>
      <c r="Q157" s="29"/>
      <c r="R157" s="30" t="str">
        <f aca="true">IF($D157="","",IF($AI157,MIN(OFFSET(hdr_FcStart,$AF157+1,0,$AH157,1)),IF(N($P157)&gt;0,$P157,IF($E157="Manual",IF(N($M157)&gt;0,$M157,ProjectStart),WORKDAY.INTL(MAX(ProjectStart,N($M157),$AM157,$AN157,IF(RescheduleAfterStatus="Yes",StatusDate,0))-1,1,WorkWeek,Holidays)))))</f>
        <v/>
      </c>
      <c r="S157" s="30" t="str">
        <f aca="true">IF($D157="","",IF($AI157,MAX(OFFSET(hdr_FcFinish,$AF157+1,0,$AH157,1)),IF(N($Q157)&gt;0,$Q157,IF(N($F157)&lt;=0,$R157,IF(AND(N($P157)&gt;0,RescheduleAfterStatus="Yes"),MAX(WORKDAY.INTL($R157,$F157-1,WorkWeek,Holidays),WORKDAY.INTL(StatusWorkday,MAX(0,ROUNDUP($F157*(1-MIN(1,N($U157))),0)-1),WorkWeek,Holidays)),WORKDAY.INTL($R157,$F157-1,WorkWeek,Holidays))))))</f>
        <v/>
      </c>
      <c r="T157" s="38" t="str">
        <f aca="false">IF($D157="","",IF($S157&gt;=$O157,NETWORKDAYS.INTL($O157,$S157,WorkWeek,Holidays)-1,1-NETWORKDAYS.INTL($S157,$O157,WorkWeek,Holidays)))</f>
        <v/>
      </c>
      <c r="U157" s="32"/>
      <c r="V157" s="42" t="str">
        <f aca="true">IF($D157="","",IF($AI157,IFERROR(SUM(OFFSET(hdr_WtDone,$AF157+1,0,$AH157,1))/SUM(OFFSET(hdr_WtDur,$AF157+1,0,$AH157,1)),0),IF(N($Q157)&gt;0,1,MIN(1,N($U157)))))</f>
        <v/>
      </c>
      <c r="W157" s="39" t="str">
        <f aca="false">IF($D157="","",IF($V157&gt;=1,"Complete",IF(OR(N($P157)&gt;0,$V157&gt;0),IF($T157&gt;0,"Behind","In Progress"),IF($N157&lt;StatusDate,"Late Start","Not Started"))))</f>
        <v/>
      </c>
      <c r="X157" s="41"/>
      <c r="Y157" s="32"/>
      <c r="Z157" s="43" t="str">
        <f aca="true">IF($D157="","",IF($AI157,SUMPRODUCT(OFFSET(hdr_Work,$AF157+1,0,$AH157,1),OFFSET(hdr_IsLeaf,$AF157+1,0,$AH157,1)),IF($X157="",0,N($F157)*HoursPerDay*IF($Y157="",DefaultUnits,$Y157))))</f>
        <v/>
      </c>
      <c r="AA157" s="44" t="str">
        <f aca="true">IF($D157="","",IF($AI157,SUMPRODUCT(OFFSET(hdr_Cost,$AF157+1,0,$AH157,1),OFFSET(hdr_IsLeaf,$AF157+1,0,$AH157,1)),$Z157*IFERROR(INDEX(res_Rate,MATCH($X157,res_Name,0)),0)))</f>
        <v/>
      </c>
      <c r="AB157" s="38" t="str">
        <f aca="false">IF(OR($D157="",$AI157),"",IF(OR($R157&lt;Sprint1Start,$R157&gt;SprintLastEnd),"Backlog",INDEX(spr_Name,MATCH($R157,spr_Start,1))))</f>
        <v/>
      </c>
      <c r="AC157" s="45" t="str">
        <f aca="false">IF($D157="","",$AT157&amp;IF(AND($AT157&lt;&gt;"",$AU157&lt;&gt;""),",","")&amp;$AU157)</f>
        <v/>
      </c>
      <c r="AD157" s="41"/>
      <c r="AE157" s="46" t="str">
        <f aca="false">IF($D157="","",MAX(1,N($C157)))</f>
        <v/>
      </c>
      <c r="AF157" s="46" t="n">
        <f aca="false">ROW()-ROW(hdr_ID)</f>
        <v>152</v>
      </c>
      <c r="AG157" s="46" t="n">
        <f aca="false">IF(OR($D157="",$AE157&lt;=1),0,IFERROR(LOOKUP(2,1/($AE$5:$AE156=$AE157-1),ROW($AE$5:$AE156)),0))</f>
        <v>0</v>
      </c>
      <c r="AH157" s="46" t="n">
        <f aca="false">IF($D157="",0,COUNTIF(tsk_WBS,$B157&amp;".*"))</f>
        <v>0</v>
      </c>
      <c r="AI157" s="47" t="b">
        <f aca="false">$AH157&gt;0</f>
        <v>0</v>
      </c>
      <c r="AJ157" s="46" t="n">
        <f aca="false">IF(AND($D157&lt;&gt;"",NOT($AI157)),1,0)</f>
        <v>0</v>
      </c>
      <c r="AK157" s="48" t="n">
        <f aca="true">IF(OR(N($G157)=0,$AI157,$D157=""),0,IFERROR(CHOOSE(MATCH(IF($H157="","FS",$H157),{"FS","SS","FF","SF"},0),WORKDAY.INTL(OFFSET(hdr_PlanFinish,MATCH($G157,tsk_ID,0),0),IF(N($F157)=0,0,1)+N($I157),WorkWeek,Holidays),WORKDAY.INTL(OFFSET(hdr_PlanStart,MATCH($G157,tsk_ID,0),0),N($I157),WorkWeek,Holidays),WORKDAY.INTL(WORKDAY.INTL(OFFSET(hdr_PlanFinish,MATCH($G157,tsk_ID,0),0),N($I157),WorkWeek,Holidays),-MAX(0,N($F157)-1),WorkWeek,Holidays),WORKDAY.INTL(WORKDAY.INTL(OFFSET(hdr_PlanStart,MATCH($G157,tsk_ID,0),0),N($I157),WorkWeek,Holidays),-MAX(0,N($F157)-1),WorkWeek,Holidays)),0))</f>
        <v>0</v>
      </c>
      <c r="AL157" s="48" t="n">
        <f aca="true">IF(OR(N($J157)=0,$AI157,$D157=""),0,IFERROR(CHOOSE(MATCH(IF($K157="","FS",$K157),{"FS","SS","FF","SF"},0),WORKDAY.INTL(OFFSET(hdr_PlanFinish,MATCH($J157,tsk_ID,0),0),IF(N($F157)=0,0,1)+N($L157),WorkWeek,Holidays),WORKDAY.INTL(OFFSET(hdr_PlanStart,MATCH($J157,tsk_ID,0),0),N($L157),WorkWeek,Holidays),WORKDAY.INTL(WORKDAY.INTL(OFFSET(hdr_PlanFinish,MATCH($J157,tsk_ID,0),0),N($L157),WorkWeek,Holidays),-MAX(0,N($F157)-1),WorkWeek,Holidays),WORKDAY.INTL(WORKDAY.INTL(OFFSET(hdr_PlanStart,MATCH($J157,tsk_ID,0),0),N($L157),WorkWeek,Holidays),-MAX(0,N($F157)-1),WorkWeek,Holidays)),0))</f>
        <v>0</v>
      </c>
      <c r="AM157" s="48" t="n">
        <f aca="true">IF(OR(N($G157)=0,$AI157,$D157=""),0,IFERROR(CHOOSE(MATCH(IF($H157="","FS",$H157),{"FS","SS","FF","SF"},0),WORKDAY.INTL(OFFSET(hdr_FcFinish,MATCH($G157,tsk_ID,0),0),IF(N($F157)=0,0,1)+N($I157),WorkWeek,Holidays),WORKDAY.INTL(OFFSET(hdr_FcStart,MATCH($G157,tsk_ID,0),0),N($I157),WorkWeek,Holidays),WORKDAY.INTL(WORKDAY.INTL(OFFSET(hdr_FcFinish,MATCH($G157,tsk_ID,0),0),N($I157),WorkWeek,Holidays),-MAX(0,N($F157)-1),WorkWeek,Holidays),WORKDAY.INTL(WORKDAY.INTL(OFFSET(hdr_FcStart,MATCH($G157,tsk_ID,0),0),N($I157),WorkWeek,Holidays),-MAX(0,N($F157)-1),WorkWeek,Holidays)),0))</f>
        <v>0</v>
      </c>
      <c r="AN157" s="48" t="n">
        <f aca="true">IF(OR(N($J157)=0,$AI157,$D157=""),0,IFERROR(CHOOSE(MATCH(IF($K157="","FS",$K157),{"FS","SS","FF","SF"},0),WORKDAY.INTL(OFFSET(hdr_FcFinish,MATCH($J157,tsk_ID,0),0),IF(N($F157)=0,0,1)+N($L157),WorkWeek,Holidays),WORKDAY.INTL(OFFSET(hdr_FcStart,MATCH($J157,tsk_ID,0),0),N($L157),WorkWeek,Holidays),WORKDAY.INTL(WORKDAY.INTL(OFFSET(hdr_FcFinish,MATCH($J157,tsk_ID,0),0),N($L157),WorkWeek,Holidays),-MAX(0,N($F157)-1),WorkWeek,Holidays),WORKDAY.INTL(WORKDAY.INTL(OFFSET(hdr_FcStart,MATCH($J157,tsk_ID,0),0),N($L157),WorkWeek,Holidays),-MAX(0,N($F157)-1),WorkWeek,Holidays)),0))</f>
        <v>0</v>
      </c>
      <c r="AO157" s="48" t="n">
        <f aca="false">IF($AJ157=1,$R157,0)</f>
        <v>0</v>
      </c>
      <c r="AP157" s="48" t="n">
        <f aca="false">IF($AJ157=1,$S157,0)</f>
        <v>0</v>
      </c>
      <c r="AQ157" s="49" t="n">
        <f aca="false">IF(AND($AJ157=1,N($Z157)&gt;0),$Z157/($AP157-$AO157+1),0)</f>
        <v>0</v>
      </c>
      <c r="AR157" s="46" t="n">
        <f aca="false">IF($AJ157=1,MAX(N($F157),0.1),0)</f>
        <v>0</v>
      </c>
      <c r="AS157" s="46" t="n">
        <f aca="false">IF($AJ157=1,$AR157*$V157,0)</f>
        <v>0</v>
      </c>
      <c r="AT157" s="46" t="str">
        <f aca="false">IF(N($G157)=0,"",$G157&amp;IF(AND(IF($H157="","FS",$H157)="FS",N($I157)=0),"",IF($H157="","FS",$H157)&amp;IF(N($I157)=0,"",IF(N($I157)&gt;0,"+","")&amp;N($I157)&amp;"d")))</f>
        <v/>
      </c>
      <c r="AU157" s="46" t="str">
        <f aca="false">IF(N($J157)=0,"",$J157&amp;IF(AND(IF($K157="","FS",$K157)="FS",N($L157)=0),"",IF($K157="","FS",$K157)&amp;IF(N($L157)=0,"",IF(N($L157)&gt;0,"+","")&amp;N($L157)&amp;"d")))</f>
        <v/>
      </c>
      <c r="AV157" s="46" t="str">
        <f aca="false">IF(AND($AJ157=1,N($F157)=0,$V157&lt;1),$S157+$AF157/100000,"")</f>
        <v/>
      </c>
    </row>
    <row r="158" customFormat="false" ht="15" hidden="false" customHeight="false" outlineLevel="0" collapsed="false">
      <c r="A158" s="38" t="str">
        <f aca="false">IF($D158="","",COUNTA($D$6:$D158))</f>
        <v/>
      </c>
      <c r="B158" s="39" t="str">
        <f aca="true">IF($D158="","",IF($AE158=1,COUNTIF($AE$6:$AE158,1)&amp;"",IF($AG158=0,"?",OFFSET(hdr_WBS,$AG158-ROW(hdr_WBS),0)&amp;"."&amp;COUNTIF(INDEX($AE:$AE,$AG158+1):$AE158,$AE158))))</f>
        <v/>
      </c>
      <c r="C158" s="40"/>
      <c r="D158" s="41"/>
      <c r="E158" s="40"/>
      <c r="F158" s="40"/>
      <c r="G158" s="40"/>
      <c r="H158" s="40"/>
      <c r="I158" s="40"/>
      <c r="J158" s="40"/>
      <c r="K158" s="40"/>
      <c r="L158" s="40"/>
      <c r="M158" s="29"/>
      <c r="N158" s="30" t="str">
        <f aca="true">IF($D158="","",IF($AI158,MIN(OFFSET(hdr_PlanStart,$AF158+1,0,$AH158,1)),IF($E158="Manual",IF(N($M158)&gt;0,$M158,ProjectStart),WORKDAY.INTL(MAX(ProjectStart,N($M158),$AK158,$AL158)-1,1,WorkWeek,Holidays))))</f>
        <v/>
      </c>
      <c r="O158" s="30" t="str">
        <f aca="true">IF($D158="","",IF($AI158,MAX(OFFSET(hdr_PlanFinish,$AF158+1,0,$AH158,1)),IF(N($F158)&lt;=0,$N158,WORKDAY.INTL($N158,$F158-1,WorkWeek,Holidays))))</f>
        <v/>
      </c>
      <c r="P158" s="29"/>
      <c r="Q158" s="29"/>
      <c r="R158" s="30" t="str">
        <f aca="true">IF($D158="","",IF($AI158,MIN(OFFSET(hdr_FcStart,$AF158+1,0,$AH158,1)),IF(N($P158)&gt;0,$P158,IF($E158="Manual",IF(N($M158)&gt;0,$M158,ProjectStart),WORKDAY.INTL(MAX(ProjectStart,N($M158),$AM158,$AN158,IF(RescheduleAfterStatus="Yes",StatusDate,0))-1,1,WorkWeek,Holidays)))))</f>
        <v/>
      </c>
      <c r="S158" s="30" t="str">
        <f aca="true">IF($D158="","",IF($AI158,MAX(OFFSET(hdr_FcFinish,$AF158+1,0,$AH158,1)),IF(N($Q158)&gt;0,$Q158,IF(N($F158)&lt;=0,$R158,IF(AND(N($P158)&gt;0,RescheduleAfterStatus="Yes"),MAX(WORKDAY.INTL($R158,$F158-1,WorkWeek,Holidays),WORKDAY.INTL(StatusWorkday,MAX(0,ROUNDUP($F158*(1-MIN(1,N($U158))),0)-1),WorkWeek,Holidays)),WORKDAY.INTL($R158,$F158-1,WorkWeek,Holidays))))))</f>
        <v/>
      </c>
      <c r="T158" s="38" t="str">
        <f aca="false">IF($D158="","",IF($S158&gt;=$O158,NETWORKDAYS.INTL($O158,$S158,WorkWeek,Holidays)-1,1-NETWORKDAYS.INTL($S158,$O158,WorkWeek,Holidays)))</f>
        <v/>
      </c>
      <c r="U158" s="32"/>
      <c r="V158" s="42" t="str">
        <f aca="true">IF($D158="","",IF($AI158,IFERROR(SUM(OFFSET(hdr_WtDone,$AF158+1,0,$AH158,1))/SUM(OFFSET(hdr_WtDur,$AF158+1,0,$AH158,1)),0),IF(N($Q158)&gt;0,1,MIN(1,N($U158)))))</f>
        <v/>
      </c>
      <c r="W158" s="39" t="str">
        <f aca="false">IF($D158="","",IF($V158&gt;=1,"Complete",IF(OR(N($P158)&gt;0,$V158&gt;0),IF($T158&gt;0,"Behind","In Progress"),IF($N158&lt;StatusDate,"Late Start","Not Started"))))</f>
        <v/>
      </c>
      <c r="X158" s="41"/>
      <c r="Y158" s="32"/>
      <c r="Z158" s="43" t="str">
        <f aca="true">IF($D158="","",IF($AI158,SUMPRODUCT(OFFSET(hdr_Work,$AF158+1,0,$AH158,1),OFFSET(hdr_IsLeaf,$AF158+1,0,$AH158,1)),IF($X158="",0,N($F158)*HoursPerDay*IF($Y158="",DefaultUnits,$Y158))))</f>
        <v/>
      </c>
      <c r="AA158" s="44" t="str">
        <f aca="true">IF($D158="","",IF($AI158,SUMPRODUCT(OFFSET(hdr_Cost,$AF158+1,0,$AH158,1),OFFSET(hdr_IsLeaf,$AF158+1,0,$AH158,1)),$Z158*IFERROR(INDEX(res_Rate,MATCH($X158,res_Name,0)),0)))</f>
        <v/>
      </c>
      <c r="AB158" s="38" t="str">
        <f aca="false">IF(OR($D158="",$AI158),"",IF(OR($R158&lt;Sprint1Start,$R158&gt;SprintLastEnd),"Backlog",INDEX(spr_Name,MATCH($R158,spr_Start,1))))</f>
        <v/>
      </c>
      <c r="AC158" s="45" t="str">
        <f aca="false">IF($D158="","",$AT158&amp;IF(AND($AT158&lt;&gt;"",$AU158&lt;&gt;""),",","")&amp;$AU158)</f>
        <v/>
      </c>
      <c r="AD158" s="41"/>
      <c r="AE158" s="46" t="str">
        <f aca="false">IF($D158="","",MAX(1,N($C158)))</f>
        <v/>
      </c>
      <c r="AF158" s="46" t="n">
        <f aca="false">ROW()-ROW(hdr_ID)</f>
        <v>153</v>
      </c>
      <c r="AG158" s="46" t="n">
        <f aca="false">IF(OR($D158="",$AE158&lt;=1),0,IFERROR(LOOKUP(2,1/($AE$5:$AE157=$AE158-1),ROW($AE$5:$AE157)),0))</f>
        <v>0</v>
      </c>
      <c r="AH158" s="46" t="n">
        <f aca="false">IF($D158="",0,COUNTIF(tsk_WBS,$B158&amp;".*"))</f>
        <v>0</v>
      </c>
      <c r="AI158" s="47" t="b">
        <f aca="false">$AH158&gt;0</f>
        <v>0</v>
      </c>
      <c r="AJ158" s="46" t="n">
        <f aca="false">IF(AND($D158&lt;&gt;"",NOT($AI158)),1,0)</f>
        <v>0</v>
      </c>
      <c r="AK158" s="48" t="n">
        <f aca="true">IF(OR(N($G158)=0,$AI158,$D158=""),0,IFERROR(CHOOSE(MATCH(IF($H158="","FS",$H158),{"FS","SS","FF","SF"},0),WORKDAY.INTL(OFFSET(hdr_PlanFinish,MATCH($G158,tsk_ID,0),0),IF(N($F158)=0,0,1)+N($I158),WorkWeek,Holidays),WORKDAY.INTL(OFFSET(hdr_PlanStart,MATCH($G158,tsk_ID,0),0),N($I158),WorkWeek,Holidays),WORKDAY.INTL(WORKDAY.INTL(OFFSET(hdr_PlanFinish,MATCH($G158,tsk_ID,0),0),N($I158),WorkWeek,Holidays),-MAX(0,N($F158)-1),WorkWeek,Holidays),WORKDAY.INTL(WORKDAY.INTL(OFFSET(hdr_PlanStart,MATCH($G158,tsk_ID,0),0),N($I158),WorkWeek,Holidays),-MAX(0,N($F158)-1),WorkWeek,Holidays)),0))</f>
        <v>0</v>
      </c>
      <c r="AL158" s="48" t="n">
        <f aca="true">IF(OR(N($J158)=0,$AI158,$D158=""),0,IFERROR(CHOOSE(MATCH(IF($K158="","FS",$K158),{"FS","SS","FF","SF"},0),WORKDAY.INTL(OFFSET(hdr_PlanFinish,MATCH($J158,tsk_ID,0),0),IF(N($F158)=0,0,1)+N($L158),WorkWeek,Holidays),WORKDAY.INTL(OFFSET(hdr_PlanStart,MATCH($J158,tsk_ID,0),0),N($L158),WorkWeek,Holidays),WORKDAY.INTL(WORKDAY.INTL(OFFSET(hdr_PlanFinish,MATCH($J158,tsk_ID,0),0),N($L158),WorkWeek,Holidays),-MAX(0,N($F158)-1),WorkWeek,Holidays),WORKDAY.INTL(WORKDAY.INTL(OFFSET(hdr_PlanStart,MATCH($J158,tsk_ID,0),0),N($L158),WorkWeek,Holidays),-MAX(0,N($F158)-1),WorkWeek,Holidays)),0))</f>
        <v>0</v>
      </c>
      <c r="AM158" s="48" t="n">
        <f aca="true">IF(OR(N($G158)=0,$AI158,$D158=""),0,IFERROR(CHOOSE(MATCH(IF($H158="","FS",$H158),{"FS","SS","FF","SF"},0),WORKDAY.INTL(OFFSET(hdr_FcFinish,MATCH($G158,tsk_ID,0),0),IF(N($F158)=0,0,1)+N($I158),WorkWeek,Holidays),WORKDAY.INTL(OFFSET(hdr_FcStart,MATCH($G158,tsk_ID,0),0),N($I158),WorkWeek,Holidays),WORKDAY.INTL(WORKDAY.INTL(OFFSET(hdr_FcFinish,MATCH($G158,tsk_ID,0),0),N($I158),WorkWeek,Holidays),-MAX(0,N($F158)-1),WorkWeek,Holidays),WORKDAY.INTL(WORKDAY.INTL(OFFSET(hdr_FcStart,MATCH($G158,tsk_ID,0),0),N($I158),WorkWeek,Holidays),-MAX(0,N($F158)-1),WorkWeek,Holidays)),0))</f>
        <v>0</v>
      </c>
      <c r="AN158" s="48" t="n">
        <f aca="true">IF(OR(N($J158)=0,$AI158,$D158=""),0,IFERROR(CHOOSE(MATCH(IF($K158="","FS",$K158),{"FS","SS","FF","SF"},0),WORKDAY.INTL(OFFSET(hdr_FcFinish,MATCH($J158,tsk_ID,0),0),IF(N($F158)=0,0,1)+N($L158),WorkWeek,Holidays),WORKDAY.INTL(OFFSET(hdr_FcStart,MATCH($J158,tsk_ID,0),0),N($L158),WorkWeek,Holidays),WORKDAY.INTL(WORKDAY.INTL(OFFSET(hdr_FcFinish,MATCH($J158,tsk_ID,0),0),N($L158),WorkWeek,Holidays),-MAX(0,N($F158)-1),WorkWeek,Holidays),WORKDAY.INTL(WORKDAY.INTL(OFFSET(hdr_FcStart,MATCH($J158,tsk_ID,0),0),N($L158),WorkWeek,Holidays),-MAX(0,N($F158)-1),WorkWeek,Holidays)),0))</f>
        <v>0</v>
      </c>
      <c r="AO158" s="48" t="n">
        <f aca="false">IF($AJ158=1,$R158,0)</f>
        <v>0</v>
      </c>
      <c r="AP158" s="48" t="n">
        <f aca="false">IF($AJ158=1,$S158,0)</f>
        <v>0</v>
      </c>
      <c r="AQ158" s="49" t="n">
        <f aca="false">IF(AND($AJ158=1,N($Z158)&gt;0),$Z158/($AP158-$AO158+1),0)</f>
        <v>0</v>
      </c>
      <c r="AR158" s="46" t="n">
        <f aca="false">IF($AJ158=1,MAX(N($F158),0.1),0)</f>
        <v>0</v>
      </c>
      <c r="AS158" s="46" t="n">
        <f aca="false">IF($AJ158=1,$AR158*$V158,0)</f>
        <v>0</v>
      </c>
      <c r="AT158" s="46" t="str">
        <f aca="false">IF(N($G158)=0,"",$G158&amp;IF(AND(IF($H158="","FS",$H158)="FS",N($I158)=0),"",IF($H158="","FS",$H158)&amp;IF(N($I158)=0,"",IF(N($I158)&gt;0,"+","")&amp;N($I158)&amp;"d")))</f>
        <v/>
      </c>
      <c r="AU158" s="46" t="str">
        <f aca="false">IF(N($J158)=0,"",$J158&amp;IF(AND(IF($K158="","FS",$K158)="FS",N($L158)=0),"",IF($K158="","FS",$K158)&amp;IF(N($L158)=0,"",IF(N($L158)&gt;0,"+","")&amp;N($L158)&amp;"d")))</f>
        <v/>
      </c>
      <c r="AV158" s="46" t="str">
        <f aca="false">IF(AND($AJ158=1,N($F158)=0,$V158&lt;1),$S158+$AF158/100000,"")</f>
        <v/>
      </c>
    </row>
    <row r="159" customFormat="false" ht="15" hidden="false" customHeight="false" outlineLevel="0" collapsed="false">
      <c r="A159" s="38" t="str">
        <f aca="false">IF($D159="","",COUNTA($D$6:$D159))</f>
        <v/>
      </c>
      <c r="B159" s="39" t="str">
        <f aca="true">IF($D159="","",IF($AE159=1,COUNTIF($AE$6:$AE159,1)&amp;"",IF($AG159=0,"?",OFFSET(hdr_WBS,$AG159-ROW(hdr_WBS),0)&amp;"."&amp;COUNTIF(INDEX($AE:$AE,$AG159+1):$AE159,$AE159))))</f>
        <v/>
      </c>
      <c r="C159" s="40"/>
      <c r="D159" s="41"/>
      <c r="E159" s="40"/>
      <c r="F159" s="40"/>
      <c r="G159" s="40"/>
      <c r="H159" s="40"/>
      <c r="I159" s="40"/>
      <c r="J159" s="40"/>
      <c r="K159" s="40"/>
      <c r="L159" s="40"/>
      <c r="M159" s="29"/>
      <c r="N159" s="30" t="str">
        <f aca="true">IF($D159="","",IF($AI159,MIN(OFFSET(hdr_PlanStart,$AF159+1,0,$AH159,1)),IF($E159="Manual",IF(N($M159)&gt;0,$M159,ProjectStart),WORKDAY.INTL(MAX(ProjectStart,N($M159),$AK159,$AL159)-1,1,WorkWeek,Holidays))))</f>
        <v/>
      </c>
      <c r="O159" s="30" t="str">
        <f aca="true">IF($D159="","",IF($AI159,MAX(OFFSET(hdr_PlanFinish,$AF159+1,0,$AH159,1)),IF(N($F159)&lt;=0,$N159,WORKDAY.INTL($N159,$F159-1,WorkWeek,Holidays))))</f>
        <v/>
      </c>
      <c r="P159" s="29"/>
      <c r="Q159" s="29"/>
      <c r="R159" s="30" t="str">
        <f aca="true">IF($D159="","",IF($AI159,MIN(OFFSET(hdr_FcStart,$AF159+1,0,$AH159,1)),IF(N($P159)&gt;0,$P159,IF($E159="Manual",IF(N($M159)&gt;0,$M159,ProjectStart),WORKDAY.INTL(MAX(ProjectStart,N($M159),$AM159,$AN159,IF(RescheduleAfterStatus="Yes",StatusDate,0))-1,1,WorkWeek,Holidays)))))</f>
        <v/>
      </c>
      <c r="S159" s="30" t="str">
        <f aca="true">IF($D159="","",IF($AI159,MAX(OFFSET(hdr_FcFinish,$AF159+1,0,$AH159,1)),IF(N($Q159)&gt;0,$Q159,IF(N($F159)&lt;=0,$R159,IF(AND(N($P159)&gt;0,RescheduleAfterStatus="Yes"),MAX(WORKDAY.INTL($R159,$F159-1,WorkWeek,Holidays),WORKDAY.INTL(StatusWorkday,MAX(0,ROUNDUP($F159*(1-MIN(1,N($U159))),0)-1),WorkWeek,Holidays)),WORKDAY.INTL($R159,$F159-1,WorkWeek,Holidays))))))</f>
        <v/>
      </c>
      <c r="T159" s="38" t="str">
        <f aca="false">IF($D159="","",IF($S159&gt;=$O159,NETWORKDAYS.INTL($O159,$S159,WorkWeek,Holidays)-1,1-NETWORKDAYS.INTL($S159,$O159,WorkWeek,Holidays)))</f>
        <v/>
      </c>
      <c r="U159" s="32"/>
      <c r="V159" s="42" t="str">
        <f aca="true">IF($D159="","",IF($AI159,IFERROR(SUM(OFFSET(hdr_WtDone,$AF159+1,0,$AH159,1))/SUM(OFFSET(hdr_WtDur,$AF159+1,0,$AH159,1)),0),IF(N($Q159)&gt;0,1,MIN(1,N($U159)))))</f>
        <v/>
      </c>
      <c r="W159" s="39" t="str">
        <f aca="false">IF($D159="","",IF($V159&gt;=1,"Complete",IF(OR(N($P159)&gt;0,$V159&gt;0),IF($T159&gt;0,"Behind","In Progress"),IF($N159&lt;StatusDate,"Late Start","Not Started"))))</f>
        <v/>
      </c>
      <c r="X159" s="41"/>
      <c r="Y159" s="32"/>
      <c r="Z159" s="43" t="str">
        <f aca="true">IF($D159="","",IF($AI159,SUMPRODUCT(OFFSET(hdr_Work,$AF159+1,0,$AH159,1),OFFSET(hdr_IsLeaf,$AF159+1,0,$AH159,1)),IF($X159="",0,N($F159)*HoursPerDay*IF($Y159="",DefaultUnits,$Y159))))</f>
        <v/>
      </c>
      <c r="AA159" s="44" t="str">
        <f aca="true">IF($D159="","",IF($AI159,SUMPRODUCT(OFFSET(hdr_Cost,$AF159+1,0,$AH159,1),OFFSET(hdr_IsLeaf,$AF159+1,0,$AH159,1)),$Z159*IFERROR(INDEX(res_Rate,MATCH($X159,res_Name,0)),0)))</f>
        <v/>
      </c>
      <c r="AB159" s="38" t="str">
        <f aca="false">IF(OR($D159="",$AI159),"",IF(OR($R159&lt;Sprint1Start,$R159&gt;SprintLastEnd),"Backlog",INDEX(spr_Name,MATCH($R159,spr_Start,1))))</f>
        <v/>
      </c>
      <c r="AC159" s="45" t="str">
        <f aca="false">IF($D159="","",$AT159&amp;IF(AND($AT159&lt;&gt;"",$AU159&lt;&gt;""),",","")&amp;$AU159)</f>
        <v/>
      </c>
      <c r="AD159" s="41"/>
      <c r="AE159" s="46" t="str">
        <f aca="false">IF($D159="","",MAX(1,N($C159)))</f>
        <v/>
      </c>
      <c r="AF159" s="46" t="n">
        <f aca="false">ROW()-ROW(hdr_ID)</f>
        <v>154</v>
      </c>
      <c r="AG159" s="46" t="n">
        <f aca="false">IF(OR($D159="",$AE159&lt;=1),0,IFERROR(LOOKUP(2,1/($AE$5:$AE158=$AE159-1),ROW($AE$5:$AE158)),0))</f>
        <v>0</v>
      </c>
      <c r="AH159" s="46" t="n">
        <f aca="false">IF($D159="",0,COUNTIF(tsk_WBS,$B159&amp;".*"))</f>
        <v>0</v>
      </c>
      <c r="AI159" s="47" t="b">
        <f aca="false">$AH159&gt;0</f>
        <v>0</v>
      </c>
      <c r="AJ159" s="46" t="n">
        <f aca="false">IF(AND($D159&lt;&gt;"",NOT($AI159)),1,0)</f>
        <v>0</v>
      </c>
      <c r="AK159" s="48" t="n">
        <f aca="true">IF(OR(N($G159)=0,$AI159,$D159=""),0,IFERROR(CHOOSE(MATCH(IF($H159="","FS",$H159),{"FS","SS","FF","SF"},0),WORKDAY.INTL(OFFSET(hdr_PlanFinish,MATCH($G159,tsk_ID,0),0),IF(N($F159)=0,0,1)+N($I159),WorkWeek,Holidays),WORKDAY.INTL(OFFSET(hdr_PlanStart,MATCH($G159,tsk_ID,0),0),N($I159),WorkWeek,Holidays),WORKDAY.INTL(WORKDAY.INTL(OFFSET(hdr_PlanFinish,MATCH($G159,tsk_ID,0),0),N($I159),WorkWeek,Holidays),-MAX(0,N($F159)-1),WorkWeek,Holidays),WORKDAY.INTL(WORKDAY.INTL(OFFSET(hdr_PlanStart,MATCH($G159,tsk_ID,0),0),N($I159),WorkWeek,Holidays),-MAX(0,N($F159)-1),WorkWeek,Holidays)),0))</f>
        <v>0</v>
      </c>
      <c r="AL159" s="48" t="n">
        <f aca="true">IF(OR(N($J159)=0,$AI159,$D159=""),0,IFERROR(CHOOSE(MATCH(IF($K159="","FS",$K159),{"FS","SS","FF","SF"},0),WORKDAY.INTL(OFFSET(hdr_PlanFinish,MATCH($J159,tsk_ID,0),0),IF(N($F159)=0,0,1)+N($L159),WorkWeek,Holidays),WORKDAY.INTL(OFFSET(hdr_PlanStart,MATCH($J159,tsk_ID,0),0),N($L159),WorkWeek,Holidays),WORKDAY.INTL(WORKDAY.INTL(OFFSET(hdr_PlanFinish,MATCH($J159,tsk_ID,0),0),N($L159),WorkWeek,Holidays),-MAX(0,N($F159)-1),WorkWeek,Holidays),WORKDAY.INTL(WORKDAY.INTL(OFFSET(hdr_PlanStart,MATCH($J159,tsk_ID,0),0),N($L159),WorkWeek,Holidays),-MAX(0,N($F159)-1),WorkWeek,Holidays)),0))</f>
        <v>0</v>
      </c>
      <c r="AM159" s="48" t="n">
        <f aca="true">IF(OR(N($G159)=0,$AI159,$D159=""),0,IFERROR(CHOOSE(MATCH(IF($H159="","FS",$H159),{"FS","SS","FF","SF"},0),WORKDAY.INTL(OFFSET(hdr_FcFinish,MATCH($G159,tsk_ID,0),0),IF(N($F159)=0,0,1)+N($I159),WorkWeek,Holidays),WORKDAY.INTL(OFFSET(hdr_FcStart,MATCH($G159,tsk_ID,0),0),N($I159),WorkWeek,Holidays),WORKDAY.INTL(WORKDAY.INTL(OFFSET(hdr_FcFinish,MATCH($G159,tsk_ID,0),0),N($I159),WorkWeek,Holidays),-MAX(0,N($F159)-1),WorkWeek,Holidays),WORKDAY.INTL(WORKDAY.INTL(OFFSET(hdr_FcStart,MATCH($G159,tsk_ID,0),0),N($I159),WorkWeek,Holidays),-MAX(0,N($F159)-1),WorkWeek,Holidays)),0))</f>
        <v>0</v>
      </c>
      <c r="AN159" s="48" t="n">
        <f aca="true">IF(OR(N($J159)=0,$AI159,$D159=""),0,IFERROR(CHOOSE(MATCH(IF($K159="","FS",$K159),{"FS","SS","FF","SF"},0),WORKDAY.INTL(OFFSET(hdr_FcFinish,MATCH($J159,tsk_ID,0),0),IF(N($F159)=0,0,1)+N($L159),WorkWeek,Holidays),WORKDAY.INTL(OFFSET(hdr_FcStart,MATCH($J159,tsk_ID,0),0),N($L159),WorkWeek,Holidays),WORKDAY.INTL(WORKDAY.INTL(OFFSET(hdr_FcFinish,MATCH($J159,tsk_ID,0),0),N($L159),WorkWeek,Holidays),-MAX(0,N($F159)-1),WorkWeek,Holidays),WORKDAY.INTL(WORKDAY.INTL(OFFSET(hdr_FcStart,MATCH($J159,tsk_ID,0),0),N($L159),WorkWeek,Holidays),-MAX(0,N($F159)-1),WorkWeek,Holidays)),0))</f>
        <v>0</v>
      </c>
      <c r="AO159" s="48" t="n">
        <f aca="false">IF($AJ159=1,$R159,0)</f>
        <v>0</v>
      </c>
      <c r="AP159" s="48" t="n">
        <f aca="false">IF($AJ159=1,$S159,0)</f>
        <v>0</v>
      </c>
      <c r="AQ159" s="49" t="n">
        <f aca="false">IF(AND($AJ159=1,N($Z159)&gt;0),$Z159/($AP159-$AO159+1),0)</f>
        <v>0</v>
      </c>
      <c r="AR159" s="46" t="n">
        <f aca="false">IF($AJ159=1,MAX(N($F159),0.1),0)</f>
        <v>0</v>
      </c>
      <c r="AS159" s="46" t="n">
        <f aca="false">IF($AJ159=1,$AR159*$V159,0)</f>
        <v>0</v>
      </c>
      <c r="AT159" s="46" t="str">
        <f aca="false">IF(N($G159)=0,"",$G159&amp;IF(AND(IF($H159="","FS",$H159)="FS",N($I159)=0),"",IF($H159="","FS",$H159)&amp;IF(N($I159)=0,"",IF(N($I159)&gt;0,"+","")&amp;N($I159)&amp;"d")))</f>
        <v/>
      </c>
      <c r="AU159" s="46" t="str">
        <f aca="false">IF(N($J159)=0,"",$J159&amp;IF(AND(IF($K159="","FS",$K159)="FS",N($L159)=0),"",IF($K159="","FS",$K159)&amp;IF(N($L159)=0,"",IF(N($L159)&gt;0,"+","")&amp;N($L159)&amp;"d")))</f>
        <v/>
      </c>
      <c r="AV159" s="46" t="str">
        <f aca="false">IF(AND($AJ159=1,N($F159)=0,$V159&lt;1),$S159+$AF159/100000,"")</f>
        <v/>
      </c>
    </row>
    <row r="160" customFormat="false" ht="15" hidden="false" customHeight="false" outlineLevel="0" collapsed="false">
      <c r="A160" s="38" t="str">
        <f aca="false">IF($D160="","",COUNTA($D$6:$D160))</f>
        <v/>
      </c>
      <c r="B160" s="39" t="str">
        <f aca="true">IF($D160="","",IF($AE160=1,COUNTIF($AE$6:$AE160,1)&amp;"",IF($AG160=0,"?",OFFSET(hdr_WBS,$AG160-ROW(hdr_WBS),0)&amp;"."&amp;COUNTIF(INDEX($AE:$AE,$AG160+1):$AE160,$AE160))))</f>
        <v/>
      </c>
      <c r="C160" s="40"/>
      <c r="D160" s="41"/>
      <c r="E160" s="40"/>
      <c r="F160" s="40"/>
      <c r="G160" s="40"/>
      <c r="H160" s="40"/>
      <c r="I160" s="40"/>
      <c r="J160" s="40"/>
      <c r="K160" s="40"/>
      <c r="L160" s="40"/>
      <c r="M160" s="29"/>
      <c r="N160" s="30" t="str">
        <f aca="true">IF($D160="","",IF($AI160,MIN(OFFSET(hdr_PlanStart,$AF160+1,0,$AH160,1)),IF($E160="Manual",IF(N($M160)&gt;0,$M160,ProjectStart),WORKDAY.INTL(MAX(ProjectStart,N($M160),$AK160,$AL160)-1,1,WorkWeek,Holidays))))</f>
        <v/>
      </c>
      <c r="O160" s="30" t="str">
        <f aca="true">IF($D160="","",IF($AI160,MAX(OFFSET(hdr_PlanFinish,$AF160+1,0,$AH160,1)),IF(N($F160)&lt;=0,$N160,WORKDAY.INTL($N160,$F160-1,WorkWeek,Holidays))))</f>
        <v/>
      </c>
      <c r="P160" s="29"/>
      <c r="Q160" s="29"/>
      <c r="R160" s="30" t="str">
        <f aca="true">IF($D160="","",IF($AI160,MIN(OFFSET(hdr_FcStart,$AF160+1,0,$AH160,1)),IF(N($P160)&gt;0,$P160,IF($E160="Manual",IF(N($M160)&gt;0,$M160,ProjectStart),WORKDAY.INTL(MAX(ProjectStart,N($M160),$AM160,$AN160,IF(RescheduleAfterStatus="Yes",StatusDate,0))-1,1,WorkWeek,Holidays)))))</f>
        <v/>
      </c>
      <c r="S160" s="30" t="str">
        <f aca="true">IF($D160="","",IF($AI160,MAX(OFFSET(hdr_FcFinish,$AF160+1,0,$AH160,1)),IF(N($Q160)&gt;0,$Q160,IF(N($F160)&lt;=0,$R160,IF(AND(N($P160)&gt;0,RescheduleAfterStatus="Yes"),MAX(WORKDAY.INTL($R160,$F160-1,WorkWeek,Holidays),WORKDAY.INTL(StatusWorkday,MAX(0,ROUNDUP($F160*(1-MIN(1,N($U160))),0)-1),WorkWeek,Holidays)),WORKDAY.INTL($R160,$F160-1,WorkWeek,Holidays))))))</f>
        <v/>
      </c>
      <c r="T160" s="38" t="str">
        <f aca="false">IF($D160="","",IF($S160&gt;=$O160,NETWORKDAYS.INTL($O160,$S160,WorkWeek,Holidays)-1,1-NETWORKDAYS.INTL($S160,$O160,WorkWeek,Holidays)))</f>
        <v/>
      </c>
      <c r="U160" s="32"/>
      <c r="V160" s="42" t="str">
        <f aca="true">IF($D160="","",IF($AI160,IFERROR(SUM(OFFSET(hdr_WtDone,$AF160+1,0,$AH160,1))/SUM(OFFSET(hdr_WtDur,$AF160+1,0,$AH160,1)),0),IF(N($Q160)&gt;0,1,MIN(1,N($U160)))))</f>
        <v/>
      </c>
      <c r="W160" s="39" t="str">
        <f aca="false">IF($D160="","",IF($V160&gt;=1,"Complete",IF(OR(N($P160)&gt;0,$V160&gt;0),IF($T160&gt;0,"Behind","In Progress"),IF($N160&lt;StatusDate,"Late Start","Not Started"))))</f>
        <v/>
      </c>
      <c r="X160" s="41"/>
      <c r="Y160" s="32"/>
      <c r="Z160" s="43" t="str">
        <f aca="true">IF($D160="","",IF($AI160,SUMPRODUCT(OFFSET(hdr_Work,$AF160+1,0,$AH160,1),OFFSET(hdr_IsLeaf,$AF160+1,0,$AH160,1)),IF($X160="",0,N($F160)*HoursPerDay*IF($Y160="",DefaultUnits,$Y160))))</f>
        <v/>
      </c>
      <c r="AA160" s="44" t="str">
        <f aca="true">IF($D160="","",IF($AI160,SUMPRODUCT(OFFSET(hdr_Cost,$AF160+1,0,$AH160,1),OFFSET(hdr_IsLeaf,$AF160+1,0,$AH160,1)),$Z160*IFERROR(INDEX(res_Rate,MATCH($X160,res_Name,0)),0)))</f>
        <v/>
      </c>
      <c r="AB160" s="38" t="str">
        <f aca="false">IF(OR($D160="",$AI160),"",IF(OR($R160&lt;Sprint1Start,$R160&gt;SprintLastEnd),"Backlog",INDEX(spr_Name,MATCH($R160,spr_Start,1))))</f>
        <v/>
      </c>
      <c r="AC160" s="45" t="str">
        <f aca="false">IF($D160="","",$AT160&amp;IF(AND($AT160&lt;&gt;"",$AU160&lt;&gt;""),",","")&amp;$AU160)</f>
        <v/>
      </c>
      <c r="AD160" s="41"/>
      <c r="AE160" s="46" t="str">
        <f aca="false">IF($D160="","",MAX(1,N($C160)))</f>
        <v/>
      </c>
      <c r="AF160" s="46" t="n">
        <f aca="false">ROW()-ROW(hdr_ID)</f>
        <v>155</v>
      </c>
      <c r="AG160" s="46" t="n">
        <f aca="false">IF(OR($D160="",$AE160&lt;=1),0,IFERROR(LOOKUP(2,1/($AE$5:$AE159=$AE160-1),ROW($AE$5:$AE159)),0))</f>
        <v>0</v>
      </c>
      <c r="AH160" s="46" t="n">
        <f aca="false">IF($D160="",0,COUNTIF(tsk_WBS,$B160&amp;".*"))</f>
        <v>0</v>
      </c>
      <c r="AI160" s="47" t="b">
        <f aca="false">$AH160&gt;0</f>
        <v>0</v>
      </c>
      <c r="AJ160" s="46" t="n">
        <f aca="false">IF(AND($D160&lt;&gt;"",NOT($AI160)),1,0)</f>
        <v>0</v>
      </c>
      <c r="AK160" s="48" t="n">
        <f aca="true">IF(OR(N($G160)=0,$AI160,$D160=""),0,IFERROR(CHOOSE(MATCH(IF($H160="","FS",$H160),{"FS","SS","FF","SF"},0),WORKDAY.INTL(OFFSET(hdr_PlanFinish,MATCH($G160,tsk_ID,0),0),IF(N($F160)=0,0,1)+N($I160),WorkWeek,Holidays),WORKDAY.INTL(OFFSET(hdr_PlanStart,MATCH($G160,tsk_ID,0),0),N($I160),WorkWeek,Holidays),WORKDAY.INTL(WORKDAY.INTL(OFFSET(hdr_PlanFinish,MATCH($G160,tsk_ID,0),0),N($I160),WorkWeek,Holidays),-MAX(0,N($F160)-1),WorkWeek,Holidays),WORKDAY.INTL(WORKDAY.INTL(OFFSET(hdr_PlanStart,MATCH($G160,tsk_ID,0),0),N($I160),WorkWeek,Holidays),-MAX(0,N($F160)-1),WorkWeek,Holidays)),0))</f>
        <v>0</v>
      </c>
      <c r="AL160" s="48" t="n">
        <f aca="true">IF(OR(N($J160)=0,$AI160,$D160=""),0,IFERROR(CHOOSE(MATCH(IF($K160="","FS",$K160),{"FS","SS","FF","SF"},0),WORKDAY.INTL(OFFSET(hdr_PlanFinish,MATCH($J160,tsk_ID,0),0),IF(N($F160)=0,0,1)+N($L160),WorkWeek,Holidays),WORKDAY.INTL(OFFSET(hdr_PlanStart,MATCH($J160,tsk_ID,0),0),N($L160),WorkWeek,Holidays),WORKDAY.INTL(WORKDAY.INTL(OFFSET(hdr_PlanFinish,MATCH($J160,tsk_ID,0),0),N($L160),WorkWeek,Holidays),-MAX(0,N($F160)-1),WorkWeek,Holidays),WORKDAY.INTL(WORKDAY.INTL(OFFSET(hdr_PlanStart,MATCH($J160,tsk_ID,0),0),N($L160),WorkWeek,Holidays),-MAX(0,N($F160)-1),WorkWeek,Holidays)),0))</f>
        <v>0</v>
      </c>
      <c r="AM160" s="48" t="n">
        <f aca="true">IF(OR(N($G160)=0,$AI160,$D160=""),0,IFERROR(CHOOSE(MATCH(IF($H160="","FS",$H160),{"FS","SS","FF","SF"},0),WORKDAY.INTL(OFFSET(hdr_FcFinish,MATCH($G160,tsk_ID,0),0),IF(N($F160)=0,0,1)+N($I160),WorkWeek,Holidays),WORKDAY.INTL(OFFSET(hdr_FcStart,MATCH($G160,tsk_ID,0),0),N($I160),WorkWeek,Holidays),WORKDAY.INTL(WORKDAY.INTL(OFFSET(hdr_FcFinish,MATCH($G160,tsk_ID,0),0),N($I160),WorkWeek,Holidays),-MAX(0,N($F160)-1),WorkWeek,Holidays),WORKDAY.INTL(WORKDAY.INTL(OFFSET(hdr_FcStart,MATCH($G160,tsk_ID,0),0),N($I160),WorkWeek,Holidays),-MAX(0,N($F160)-1),WorkWeek,Holidays)),0))</f>
        <v>0</v>
      </c>
      <c r="AN160" s="48" t="n">
        <f aca="true">IF(OR(N($J160)=0,$AI160,$D160=""),0,IFERROR(CHOOSE(MATCH(IF($K160="","FS",$K160),{"FS","SS","FF","SF"},0),WORKDAY.INTL(OFFSET(hdr_FcFinish,MATCH($J160,tsk_ID,0),0),IF(N($F160)=0,0,1)+N($L160),WorkWeek,Holidays),WORKDAY.INTL(OFFSET(hdr_FcStart,MATCH($J160,tsk_ID,0),0),N($L160),WorkWeek,Holidays),WORKDAY.INTL(WORKDAY.INTL(OFFSET(hdr_FcFinish,MATCH($J160,tsk_ID,0),0),N($L160),WorkWeek,Holidays),-MAX(0,N($F160)-1),WorkWeek,Holidays),WORKDAY.INTL(WORKDAY.INTL(OFFSET(hdr_FcStart,MATCH($J160,tsk_ID,0),0),N($L160),WorkWeek,Holidays),-MAX(0,N($F160)-1),WorkWeek,Holidays)),0))</f>
        <v>0</v>
      </c>
      <c r="AO160" s="48" t="n">
        <f aca="false">IF($AJ160=1,$R160,0)</f>
        <v>0</v>
      </c>
      <c r="AP160" s="48" t="n">
        <f aca="false">IF($AJ160=1,$S160,0)</f>
        <v>0</v>
      </c>
      <c r="AQ160" s="49" t="n">
        <f aca="false">IF(AND($AJ160=1,N($Z160)&gt;0),$Z160/($AP160-$AO160+1),0)</f>
        <v>0</v>
      </c>
      <c r="AR160" s="46" t="n">
        <f aca="false">IF($AJ160=1,MAX(N($F160),0.1),0)</f>
        <v>0</v>
      </c>
      <c r="AS160" s="46" t="n">
        <f aca="false">IF($AJ160=1,$AR160*$V160,0)</f>
        <v>0</v>
      </c>
      <c r="AT160" s="46" t="str">
        <f aca="false">IF(N($G160)=0,"",$G160&amp;IF(AND(IF($H160="","FS",$H160)="FS",N($I160)=0),"",IF($H160="","FS",$H160)&amp;IF(N($I160)=0,"",IF(N($I160)&gt;0,"+","")&amp;N($I160)&amp;"d")))</f>
        <v/>
      </c>
      <c r="AU160" s="46" t="str">
        <f aca="false">IF(N($J160)=0,"",$J160&amp;IF(AND(IF($K160="","FS",$K160)="FS",N($L160)=0),"",IF($K160="","FS",$K160)&amp;IF(N($L160)=0,"",IF(N($L160)&gt;0,"+","")&amp;N($L160)&amp;"d")))</f>
        <v/>
      </c>
      <c r="AV160" s="46" t="str">
        <f aca="false">IF(AND($AJ160=1,N($F160)=0,$V160&lt;1),$S160+$AF160/100000,"")</f>
        <v/>
      </c>
    </row>
    <row r="161" customFormat="false" ht="15" hidden="false" customHeight="false" outlineLevel="0" collapsed="false">
      <c r="A161" s="38" t="str">
        <f aca="false">IF($D161="","",COUNTA($D$6:$D161))</f>
        <v/>
      </c>
      <c r="B161" s="39" t="str">
        <f aca="true">IF($D161="","",IF($AE161=1,COUNTIF($AE$6:$AE161,1)&amp;"",IF($AG161=0,"?",OFFSET(hdr_WBS,$AG161-ROW(hdr_WBS),0)&amp;"."&amp;COUNTIF(INDEX($AE:$AE,$AG161+1):$AE161,$AE161))))</f>
        <v/>
      </c>
      <c r="C161" s="40"/>
      <c r="D161" s="41"/>
      <c r="E161" s="40"/>
      <c r="F161" s="40"/>
      <c r="G161" s="40"/>
      <c r="H161" s="40"/>
      <c r="I161" s="40"/>
      <c r="J161" s="40"/>
      <c r="K161" s="40"/>
      <c r="L161" s="40"/>
      <c r="M161" s="29"/>
      <c r="N161" s="30" t="str">
        <f aca="true">IF($D161="","",IF($AI161,MIN(OFFSET(hdr_PlanStart,$AF161+1,0,$AH161,1)),IF($E161="Manual",IF(N($M161)&gt;0,$M161,ProjectStart),WORKDAY.INTL(MAX(ProjectStart,N($M161),$AK161,$AL161)-1,1,WorkWeek,Holidays))))</f>
        <v/>
      </c>
      <c r="O161" s="30" t="str">
        <f aca="true">IF($D161="","",IF($AI161,MAX(OFFSET(hdr_PlanFinish,$AF161+1,0,$AH161,1)),IF(N($F161)&lt;=0,$N161,WORKDAY.INTL($N161,$F161-1,WorkWeek,Holidays))))</f>
        <v/>
      </c>
      <c r="P161" s="29"/>
      <c r="Q161" s="29"/>
      <c r="R161" s="30" t="str">
        <f aca="true">IF($D161="","",IF($AI161,MIN(OFFSET(hdr_FcStart,$AF161+1,0,$AH161,1)),IF(N($P161)&gt;0,$P161,IF($E161="Manual",IF(N($M161)&gt;0,$M161,ProjectStart),WORKDAY.INTL(MAX(ProjectStart,N($M161),$AM161,$AN161,IF(RescheduleAfterStatus="Yes",StatusDate,0))-1,1,WorkWeek,Holidays)))))</f>
        <v/>
      </c>
      <c r="S161" s="30" t="str">
        <f aca="true">IF($D161="","",IF($AI161,MAX(OFFSET(hdr_FcFinish,$AF161+1,0,$AH161,1)),IF(N($Q161)&gt;0,$Q161,IF(N($F161)&lt;=0,$R161,IF(AND(N($P161)&gt;0,RescheduleAfterStatus="Yes"),MAX(WORKDAY.INTL($R161,$F161-1,WorkWeek,Holidays),WORKDAY.INTL(StatusWorkday,MAX(0,ROUNDUP($F161*(1-MIN(1,N($U161))),0)-1),WorkWeek,Holidays)),WORKDAY.INTL($R161,$F161-1,WorkWeek,Holidays))))))</f>
        <v/>
      </c>
      <c r="T161" s="38" t="str">
        <f aca="false">IF($D161="","",IF($S161&gt;=$O161,NETWORKDAYS.INTL($O161,$S161,WorkWeek,Holidays)-1,1-NETWORKDAYS.INTL($S161,$O161,WorkWeek,Holidays)))</f>
        <v/>
      </c>
      <c r="U161" s="32"/>
      <c r="V161" s="42" t="str">
        <f aca="true">IF($D161="","",IF($AI161,IFERROR(SUM(OFFSET(hdr_WtDone,$AF161+1,0,$AH161,1))/SUM(OFFSET(hdr_WtDur,$AF161+1,0,$AH161,1)),0),IF(N($Q161)&gt;0,1,MIN(1,N($U161)))))</f>
        <v/>
      </c>
      <c r="W161" s="39" t="str">
        <f aca="false">IF($D161="","",IF($V161&gt;=1,"Complete",IF(OR(N($P161)&gt;0,$V161&gt;0),IF($T161&gt;0,"Behind","In Progress"),IF($N161&lt;StatusDate,"Late Start","Not Started"))))</f>
        <v/>
      </c>
      <c r="X161" s="41"/>
      <c r="Y161" s="32"/>
      <c r="Z161" s="43" t="str">
        <f aca="true">IF($D161="","",IF($AI161,SUMPRODUCT(OFFSET(hdr_Work,$AF161+1,0,$AH161,1),OFFSET(hdr_IsLeaf,$AF161+1,0,$AH161,1)),IF($X161="",0,N($F161)*HoursPerDay*IF($Y161="",DefaultUnits,$Y161))))</f>
        <v/>
      </c>
      <c r="AA161" s="44" t="str">
        <f aca="true">IF($D161="","",IF($AI161,SUMPRODUCT(OFFSET(hdr_Cost,$AF161+1,0,$AH161,1),OFFSET(hdr_IsLeaf,$AF161+1,0,$AH161,1)),$Z161*IFERROR(INDEX(res_Rate,MATCH($X161,res_Name,0)),0)))</f>
        <v/>
      </c>
      <c r="AB161" s="38" t="str">
        <f aca="false">IF(OR($D161="",$AI161),"",IF(OR($R161&lt;Sprint1Start,$R161&gt;SprintLastEnd),"Backlog",INDEX(spr_Name,MATCH($R161,spr_Start,1))))</f>
        <v/>
      </c>
      <c r="AC161" s="45" t="str">
        <f aca="false">IF($D161="","",$AT161&amp;IF(AND($AT161&lt;&gt;"",$AU161&lt;&gt;""),",","")&amp;$AU161)</f>
        <v/>
      </c>
      <c r="AD161" s="41"/>
      <c r="AE161" s="46" t="str">
        <f aca="false">IF($D161="","",MAX(1,N($C161)))</f>
        <v/>
      </c>
      <c r="AF161" s="46" t="n">
        <f aca="false">ROW()-ROW(hdr_ID)</f>
        <v>156</v>
      </c>
      <c r="AG161" s="46" t="n">
        <f aca="false">IF(OR($D161="",$AE161&lt;=1),0,IFERROR(LOOKUP(2,1/($AE$5:$AE160=$AE161-1),ROW($AE$5:$AE160)),0))</f>
        <v>0</v>
      </c>
      <c r="AH161" s="46" t="n">
        <f aca="false">IF($D161="",0,COUNTIF(tsk_WBS,$B161&amp;".*"))</f>
        <v>0</v>
      </c>
      <c r="AI161" s="47" t="b">
        <f aca="false">$AH161&gt;0</f>
        <v>0</v>
      </c>
      <c r="AJ161" s="46" t="n">
        <f aca="false">IF(AND($D161&lt;&gt;"",NOT($AI161)),1,0)</f>
        <v>0</v>
      </c>
      <c r="AK161" s="48" t="n">
        <f aca="true">IF(OR(N($G161)=0,$AI161,$D161=""),0,IFERROR(CHOOSE(MATCH(IF($H161="","FS",$H161),{"FS","SS","FF","SF"},0),WORKDAY.INTL(OFFSET(hdr_PlanFinish,MATCH($G161,tsk_ID,0),0),IF(N($F161)=0,0,1)+N($I161),WorkWeek,Holidays),WORKDAY.INTL(OFFSET(hdr_PlanStart,MATCH($G161,tsk_ID,0),0),N($I161),WorkWeek,Holidays),WORKDAY.INTL(WORKDAY.INTL(OFFSET(hdr_PlanFinish,MATCH($G161,tsk_ID,0),0),N($I161),WorkWeek,Holidays),-MAX(0,N($F161)-1),WorkWeek,Holidays),WORKDAY.INTL(WORKDAY.INTL(OFFSET(hdr_PlanStart,MATCH($G161,tsk_ID,0),0),N($I161),WorkWeek,Holidays),-MAX(0,N($F161)-1),WorkWeek,Holidays)),0))</f>
        <v>0</v>
      </c>
      <c r="AL161" s="48" t="n">
        <f aca="true">IF(OR(N($J161)=0,$AI161,$D161=""),0,IFERROR(CHOOSE(MATCH(IF($K161="","FS",$K161),{"FS","SS","FF","SF"},0),WORKDAY.INTL(OFFSET(hdr_PlanFinish,MATCH($J161,tsk_ID,0),0),IF(N($F161)=0,0,1)+N($L161),WorkWeek,Holidays),WORKDAY.INTL(OFFSET(hdr_PlanStart,MATCH($J161,tsk_ID,0),0),N($L161),WorkWeek,Holidays),WORKDAY.INTL(WORKDAY.INTL(OFFSET(hdr_PlanFinish,MATCH($J161,tsk_ID,0),0),N($L161),WorkWeek,Holidays),-MAX(0,N($F161)-1),WorkWeek,Holidays),WORKDAY.INTL(WORKDAY.INTL(OFFSET(hdr_PlanStart,MATCH($J161,tsk_ID,0),0),N($L161),WorkWeek,Holidays),-MAX(0,N($F161)-1),WorkWeek,Holidays)),0))</f>
        <v>0</v>
      </c>
      <c r="AM161" s="48" t="n">
        <f aca="true">IF(OR(N($G161)=0,$AI161,$D161=""),0,IFERROR(CHOOSE(MATCH(IF($H161="","FS",$H161),{"FS","SS","FF","SF"},0),WORKDAY.INTL(OFFSET(hdr_FcFinish,MATCH($G161,tsk_ID,0),0),IF(N($F161)=0,0,1)+N($I161),WorkWeek,Holidays),WORKDAY.INTL(OFFSET(hdr_FcStart,MATCH($G161,tsk_ID,0),0),N($I161),WorkWeek,Holidays),WORKDAY.INTL(WORKDAY.INTL(OFFSET(hdr_FcFinish,MATCH($G161,tsk_ID,0),0),N($I161),WorkWeek,Holidays),-MAX(0,N($F161)-1),WorkWeek,Holidays),WORKDAY.INTL(WORKDAY.INTL(OFFSET(hdr_FcStart,MATCH($G161,tsk_ID,0),0),N($I161),WorkWeek,Holidays),-MAX(0,N($F161)-1),WorkWeek,Holidays)),0))</f>
        <v>0</v>
      </c>
      <c r="AN161" s="48" t="n">
        <f aca="true">IF(OR(N($J161)=0,$AI161,$D161=""),0,IFERROR(CHOOSE(MATCH(IF($K161="","FS",$K161),{"FS","SS","FF","SF"},0),WORKDAY.INTL(OFFSET(hdr_FcFinish,MATCH($J161,tsk_ID,0),0),IF(N($F161)=0,0,1)+N($L161),WorkWeek,Holidays),WORKDAY.INTL(OFFSET(hdr_FcStart,MATCH($J161,tsk_ID,0),0),N($L161),WorkWeek,Holidays),WORKDAY.INTL(WORKDAY.INTL(OFFSET(hdr_FcFinish,MATCH($J161,tsk_ID,0),0),N($L161),WorkWeek,Holidays),-MAX(0,N($F161)-1),WorkWeek,Holidays),WORKDAY.INTL(WORKDAY.INTL(OFFSET(hdr_FcStart,MATCH($J161,tsk_ID,0),0),N($L161),WorkWeek,Holidays),-MAX(0,N($F161)-1),WorkWeek,Holidays)),0))</f>
        <v>0</v>
      </c>
      <c r="AO161" s="48" t="n">
        <f aca="false">IF($AJ161=1,$R161,0)</f>
        <v>0</v>
      </c>
      <c r="AP161" s="48" t="n">
        <f aca="false">IF($AJ161=1,$S161,0)</f>
        <v>0</v>
      </c>
      <c r="AQ161" s="49" t="n">
        <f aca="false">IF(AND($AJ161=1,N($Z161)&gt;0),$Z161/($AP161-$AO161+1),0)</f>
        <v>0</v>
      </c>
      <c r="AR161" s="46" t="n">
        <f aca="false">IF($AJ161=1,MAX(N($F161),0.1),0)</f>
        <v>0</v>
      </c>
      <c r="AS161" s="46" t="n">
        <f aca="false">IF($AJ161=1,$AR161*$V161,0)</f>
        <v>0</v>
      </c>
      <c r="AT161" s="46" t="str">
        <f aca="false">IF(N($G161)=0,"",$G161&amp;IF(AND(IF($H161="","FS",$H161)="FS",N($I161)=0),"",IF($H161="","FS",$H161)&amp;IF(N($I161)=0,"",IF(N($I161)&gt;0,"+","")&amp;N($I161)&amp;"d")))</f>
        <v/>
      </c>
      <c r="AU161" s="46" t="str">
        <f aca="false">IF(N($J161)=0,"",$J161&amp;IF(AND(IF($K161="","FS",$K161)="FS",N($L161)=0),"",IF($K161="","FS",$K161)&amp;IF(N($L161)=0,"",IF(N($L161)&gt;0,"+","")&amp;N($L161)&amp;"d")))</f>
        <v/>
      </c>
      <c r="AV161" s="46" t="str">
        <f aca="false">IF(AND($AJ161=1,N($F161)=0,$V161&lt;1),$S161+$AF161/100000,"")</f>
        <v/>
      </c>
    </row>
    <row r="162" customFormat="false" ht="15" hidden="false" customHeight="false" outlineLevel="0" collapsed="false">
      <c r="A162" s="38" t="str">
        <f aca="false">IF($D162="","",COUNTA($D$6:$D162))</f>
        <v/>
      </c>
      <c r="B162" s="39" t="str">
        <f aca="true">IF($D162="","",IF($AE162=1,COUNTIF($AE$6:$AE162,1)&amp;"",IF($AG162=0,"?",OFFSET(hdr_WBS,$AG162-ROW(hdr_WBS),0)&amp;"."&amp;COUNTIF(INDEX($AE:$AE,$AG162+1):$AE162,$AE162))))</f>
        <v/>
      </c>
      <c r="C162" s="40"/>
      <c r="D162" s="41"/>
      <c r="E162" s="40"/>
      <c r="F162" s="40"/>
      <c r="G162" s="40"/>
      <c r="H162" s="40"/>
      <c r="I162" s="40"/>
      <c r="J162" s="40"/>
      <c r="K162" s="40"/>
      <c r="L162" s="40"/>
      <c r="M162" s="29"/>
      <c r="N162" s="30" t="str">
        <f aca="true">IF($D162="","",IF($AI162,MIN(OFFSET(hdr_PlanStart,$AF162+1,0,$AH162,1)),IF($E162="Manual",IF(N($M162)&gt;0,$M162,ProjectStart),WORKDAY.INTL(MAX(ProjectStart,N($M162),$AK162,$AL162)-1,1,WorkWeek,Holidays))))</f>
        <v/>
      </c>
      <c r="O162" s="30" t="str">
        <f aca="true">IF($D162="","",IF($AI162,MAX(OFFSET(hdr_PlanFinish,$AF162+1,0,$AH162,1)),IF(N($F162)&lt;=0,$N162,WORKDAY.INTL($N162,$F162-1,WorkWeek,Holidays))))</f>
        <v/>
      </c>
      <c r="P162" s="29"/>
      <c r="Q162" s="29"/>
      <c r="R162" s="30" t="str">
        <f aca="true">IF($D162="","",IF($AI162,MIN(OFFSET(hdr_FcStart,$AF162+1,0,$AH162,1)),IF(N($P162)&gt;0,$P162,IF($E162="Manual",IF(N($M162)&gt;0,$M162,ProjectStart),WORKDAY.INTL(MAX(ProjectStart,N($M162),$AM162,$AN162,IF(RescheduleAfterStatus="Yes",StatusDate,0))-1,1,WorkWeek,Holidays)))))</f>
        <v/>
      </c>
      <c r="S162" s="30" t="str">
        <f aca="true">IF($D162="","",IF($AI162,MAX(OFFSET(hdr_FcFinish,$AF162+1,0,$AH162,1)),IF(N($Q162)&gt;0,$Q162,IF(N($F162)&lt;=0,$R162,IF(AND(N($P162)&gt;0,RescheduleAfterStatus="Yes"),MAX(WORKDAY.INTL($R162,$F162-1,WorkWeek,Holidays),WORKDAY.INTL(StatusWorkday,MAX(0,ROUNDUP($F162*(1-MIN(1,N($U162))),0)-1),WorkWeek,Holidays)),WORKDAY.INTL($R162,$F162-1,WorkWeek,Holidays))))))</f>
        <v/>
      </c>
      <c r="T162" s="38" t="str">
        <f aca="false">IF($D162="","",IF($S162&gt;=$O162,NETWORKDAYS.INTL($O162,$S162,WorkWeek,Holidays)-1,1-NETWORKDAYS.INTL($S162,$O162,WorkWeek,Holidays)))</f>
        <v/>
      </c>
      <c r="U162" s="32"/>
      <c r="V162" s="42" t="str">
        <f aca="true">IF($D162="","",IF($AI162,IFERROR(SUM(OFFSET(hdr_WtDone,$AF162+1,0,$AH162,1))/SUM(OFFSET(hdr_WtDur,$AF162+1,0,$AH162,1)),0),IF(N($Q162)&gt;0,1,MIN(1,N($U162)))))</f>
        <v/>
      </c>
      <c r="W162" s="39" t="str">
        <f aca="false">IF($D162="","",IF($V162&gt;=1,"Complete",IF(OR(N($P162)&gt;0,$V162&gt;0),IF($T162&gt;0,"Behind","In Progress"),IF($N162&lt;StatusDate,"Late Start","Not Started"))))</f>
        <v/>
      </c>
      <c r="X162" s="41"/>
      <c r="Y162" s="32"/>
      <c r="Z162" s="43" t="str">
        <f aca="true">IF($D162="","",IF($AI162,SUMPRODUCT(OFFSET(hdr_Work,$AF162+1,0,$AH162,1),OFFSET(hdr_IsLeaf,$AF162+1,0,$AH162,1)),IF($X162="",0,N($F162)*HoursPerDay*IF($Y162="",DefaultUnits,$Y162))))</f>
        <v/>
      </c>
      <c r="AA162" s="44" t="str">
        <f aca="true">IF($D162="","",IF($AI162,SUMPRODUCT(OFFSET(hdr_Cost,$AF162+1,0,$AH162,1),OFFSET(hdr_IsLeaf,$AF162+1,0,$AH162,1)),$Z162*IFERROR(INDEX(res_Rate,MATCH($X162,res_Name,0)),0)))</f>
        <v/>
      </c>
      <c r="AB162" s="38" t="str">
        <f aca="false">IF(OR($D162="",$AI162),"",IF(OR($R162&lt;Sprint1Start,$R162&gt;SprintLastEnd),"Backlog",INDEX(spr_Name,MATCH($R162,spr_Start,1))))</f>
        <v/>
      </c>
      <c r="AC162" s="45" t="str">
        <f aca="false">IF($D162="","",$AT162&amp;IF(AND($AT162&lt;&gt;"",$AU162&lt;&gt;""),",","")&amp;$AU162)</f>
        <v/>
      </c>
      <c r="AD162" s="41"/>
      <c r="AE162" s="46" t="str">
        <f aca="false">IF($D162="","",MAX(1,N($C162)))</f>
        <v/>
      </c>
      <c r="AF162" s="46" t="n">
        <f aca="false">ROW()-ROW(hdr_ID)</f>
        <v>157</v>
      </c>
      <c r="AG162" s="46" t="n">
        <f aca="false">IF(OR($D162="",$AE162&lt;=1),0,IFERROR(LOOKUP(2,1/($AE$5:$AE161=$AE162-1),ROW($AE$5:$AE161)),0))</f>
        <v>0</v>
      </c>
      <c r="AH162" s="46" t="n">
        <f aca="false">IF($D162="",0,COUNTIF(tsk_WBS,$B162&amp;".*"))</f>
        <v>0</v>
      </c>
      <c r="AI162" s="47" t="b">
        <f aca="false">$AH162&gt;0</f>
        <v>0</v>
      </c>
      <c r="AJ162" s="46" t="n">
        <f aca="false">IF(AND($D162&lt;&gt;"",NOT($AI162)),1,0)</f>
        <v>0</v>
      </c>
      <c r="AK162" s="48" t="n">
        <f aca="true">IF(OR(N($G162)=0,$AI162,$D162=""),0,IFERROR(CHOOSE(MATCH(IF($H162="","FS",$H162),{"FS","SS","FF","SF"},0),WORKDAY.INTL(OFFSET(hdr_PlanFinish,MATCH($G162,tsk_ID,0),0),IF(N($F162)=0,0,1)+N($I162),WorkWeek,Holidays),WORKDAY.INTL(OFFSET(hdr_PlanStart,MATCH($G162,tsk_ID,0),0),N($I162),WorkWeek,Holidays),WORKDAY.INTL(WORKDAY.INTL(OFFSET(hdr_PlanFinish,MATCH($G162,tsk_ID,0),0),N($I162),WorkWeek,Holidays),-MAX(0,N($F162)-1),WorkWeek,Holidays),WORKDAY.INTL(WORKDAY.INTL(OFFSET(hdr_PlanStart,MATCH($G162,tsk_ID,0),0),N($I162),WorkWeek,Holidays),-MAX(0,N($F162)-1),WorkWeek,Holidays)),0))</f>
        <v>0</v>
      </c>
      <c r="AL162" s="48" t="n">
        <f aca="true">IF(OR(N($J162)=0,$AI162,$D162=""),0,IFERROR(CHOOSE(MATCH(IF($K162="","FS",$K162),{"FS","SS","FF","SF"},0),WORKDAY.INTL(OFFSET(hdr_PlanFinish,MATCH($J162,tsk_ID,0),0),IF(N($F162)=0,0,1)+N($L162),WorkWeek,Holidays),WORKDAY.INTL(OFFSET(hdr_PlanStart,MATCH($J162,tsk_ID,0),0),N($L162),WorkWeek,Holidays),WORKDAY.INTL(WORKDAY.INTL(OFFSET(hdr_PlanFinish,MATCH($J162,tsk_ID,0),0),N($L162),WorkWeek,Holidays),-MAX(0,N($F162)-1),WorkWeek,Holidays),WORKDAY.INTL(WORKDAY.INTL(OFFSET(hdr_PlanStart,MATCH($J162,tsk_ID,0),0),N($L162),WorkWeek,Holidays),-MAX(0,N($F162)-1),WorkWeek,Holidays)),0))</f>
        <v>0</v>
      </c>
      <c r="AM162" s="48" t="n">
        <f aca="true">IF(OR(N($G162)=0,$AI162,$D162=""),0,IFERROR(CHOOSE(MATCH(IF($H162="","FS",$H162),{"FS","SS","FF","SF"},0),WORKDAY.INTL(OFFSET(hdr_FcFinish,MATCH($G162,tsk_ID,0),0),IF(N($F162)=0,0,1)+N($I162),WorkWeek,Holidays),WORKDAY.INTL(OFFSET(hdr_FcStart,MATCH($G162,tsk_ID,0),0),N($I162),WorkWeek,Holidays),WORKDAY.INTL(WORKDAY.INTL(OFFSET(hdr_FcFinish,MATCH($G162,tsk_ID,0),0),N($I162),WorkWeek,Holidays),-MAX(0,N($F162)-1),WorkWeek,Holidays),WORKDAY.INTL(WORKDAY.INTL(OFFSET(hdr_FcStart,MATCH($G162,tsk_ID,0),0),N($I162),WorkWeek,Holidays),-MAX(0,N($F162)-1),WorkWeek,Holidays)),0))</f>
        <v>0</v>
      </c>
      <c r="AN162" s="48" t="n">
        <f aca="true">IF(OR(N($J162)=0,$AI162,$D162=""),0,IFERROR(CHOOSE(MATCH(IF($K162="","FS",$K162),{"FS","SS","FF","SF"},0),WORKDAY.INTL(OFFSET(hdr_FcFinish,MATCH($J162,tsk_ID,0),0),IF(N($F162)=0,0,1)+N($L162),WorkWeek,Holidays),WORKDAY.INTL(OFFSET(hdr_FcStart,MATCH($J162,tsk_ID,0),0),N($L162),WorkWeek,Holidays),WORKDAY.INTL(WORKDAY.INTL(OFFSET(hdr_FcFinish,MATCH($J162,tsk_ID,0),0),N($L162),WorkWeek,Holidays),-MAX(0,N($F162)-1),WorkWeek,Holidays),WORKDAY.INTL(WORKDAY.INTL(OFFSET(hdr_FcStart,MATCH($J162,tsk_ID,0),0),N($L162),WorkWeek,Holidays),-MAX(0,N($F162)-1),WorkWeek,Holidays)),0))</f>
        <v>0</v>
      </c>
      <c r="AO162" s="48" t="n">
        <f aca="false">IF($AJ162=1,$R162,0)</f>
        <v>0</v>
      </c>
      <c r="AP162" s="48" t="n">
        <f aca="false">IF($AJ162=1,$S162,0)</f>
        <v>0</v>
      </c>
      <c r="AQ162" s="49" t="n">
        <f aca="false">IF(AND($AJ162=1,N($Z162)&gt;0),$Z162/($AP162-$AO162+1),0)</f>
        <v>0</v>
      </c>
      <c r="AR162" s="46" t="n">
        <f aca="false">IF($AJ162=1,MAX(N($F162),0.1),0)</f>
        <v>0</v>
      </c>
      <c r="AS162" s="46" t="n">
        <f aca="false">IF($AJ162=1,$AR162*$V162,0)</f>
        <v>0</v>
      </c>
      <c r="AT162" s="46" t="str">
        <f aca="false">IF(N($G162)=0,"",$G162&amp;IF(AND(IF($H162="","FS",$H162)="FS",N($I162)=0),"",IF($H162="","FS",$H162)&amp;IF(N($I162)=0,"",IF(N($I162)&gt;0,"+","")&amp;N($I162)&amp;"d")))</f>
        <v/>
      </c>
      <c r="AU162" s="46" t="str">
        <f aca="false">IF(N($J162)=0,"",$J162&amp;IF(AND(IF($K162="","FS",$K162)="FS",N($L162)=0),"",IF($K162="","FS",$K162)&amp;IF(N($L162)=0,"",IF(N($L162)&gt;0,"+","")&amp;N($L162)&amp;"d")))</f>
        <v/>
      </c>
      <c r="AV162" s="46" t="str">
        <f aca="false">IF(AND($AJ162=1,N($F162)=0,$V162&lt;1),$S162+$AF162/100000,"")</f>
        <v/>
      </c>
    </row>
    <row r="163" customFormat="false" ht="15" hidden="false" customHeight="false" outlineLevel="0" collapsed="false">
      <c r="A163" s="38" t="str">
        <f aca="false">IF($D163="","",COUNTA($D$6:$D163))</f>
        <v/>
      </c>
      <c r="B163" s="39" t="str">
        <f aca="true">IF($D163="","",IF($AE163=1,COUNTIF($AE$6:$AE163,1)&amp;"",IF($AG163=0,"?",OFFSET(hdr_WBS,$AG163-ROW(hdr_WBS),0)&amp;"."&amp;COUNTIF(INDEX($AE:$AE,$AG163+1):$AE163,$AE163))))</f>
        <v/>
      </c>
      <c r="C163" s="40"/>
      <c r="D163" s="41"/>
      <c r="E163" s="40"/>
      <c r="F163" s="40"/>
      <c r="G163" s="40"/>
      <c r="H163" s="40"/>
      <c r="I163" s="40"/>
      <c r="J163" s="40"/>
      <c r="K163" s="40"/>
      <c r="L163" s="40"/>
      <c r="M163" s="29"/>
      <c r="N163" s="30" t="str">
        <f aca="true">IF($D163="","",IF($AI163,MIN(OFFSET(hdr_PlanStart,$AF163+1,0,$AH163,1)),IF($E163="Manual",IF(N($M163)&gt;0,$M163,ProjectStart),WORKDAY.INTL(MAX(ProjectStart,N($M163),$AK163,$AL163)-1,1,WorkWeek,Holidays))))</f>
        <v/>
      </c>
      <c r="O163" s="30" t="str">
        <f aca="true">IF($D163="","",IF($AI163,MAX(OFFSET(hdr_PlanFinish,$AF163+1,0,$AH163,1)),IF(N($F163)&lt;=0,$N163,WORKDAY.INTL($N163,$F163-1,WorkWeek,Holidays))))</f>
        <v/>
      </c>
      <c r="P163" s="29"/>
      <c r="Q163" s="29"/>
      <c r="R163" s="30" t="str">
        <f aca="true">IF($D163="","",IF($AI163,MIN(OFFSET(hdr_FcStart,$AF163+1,0,$AH163,1)),IF(N($P163)&gt;0,$P163,IF($E163="Manual",IF(N($M163)&gt;0,$M163,ProjectStart),WORKDAY.INTL(MAX(ProjectStart,N($M163),$AM163,$AN163,IF(RescheduleAfterStatus="Yes",StatusDate,0))-1,1,WorkWeek,Holidays)))))</f>
        <v/>
      </c>
      <c r="S163" s="30" t="str">
        <f aca="true">IF($D163="","",IF($AI163,MAX(OFFSET(hdr_FcFinish,$AF163+1,0,$AH163,1)),IF(N($Q163)&gt;0,$Q163,IF(N($F163)&lt;=0,$R163,IF(AND(N($P163)&gt;0,RescheduleAfterStatus="Yes"),MAX(WORKDAY.INTL($R163,$F163-1,WorkWeek,Holidays),WORKDAY.INTL(StatusWorkday,MAX(0,ROUNDUP($F163*(1-MIN(1,N($U163))),0)-1),WorkWeek,Holidays)),WORKDAY.INTL($R163,$F163-1,WorkWeek,Holidays))))))</f>
        <v/>
      </c>
      <c r="T163" s="38" t="str">
        <f aca="false">IF($D163="","",IF($S163&gt;=$O163,NETWORKDAYS.INTL($O163,$S163,WorkWeek,Holidays)-1,1-NETWORKDAYS.INTL($S163,$O163,WorkWeek,Holidays)))</f>
        <v/>
      </c>
      <c r="U163" s="32"/>
      <c r="V163" s="42" t="str">
        <f aca="true">IF($D163="","",IF($AI163,IFERROR(SUM(OFFSET(hdr_WtDone,$AF163+1,0,$AH163,1))/SUM(OFFSET(hdr_WtDur,$AF163+1,0,$AH163,1)),0),IF(N($Q163)&gt;0,1,MIN(1,N($U163)))))</f>
        <v/>
      </c>
      <c r="W163" s="39" t="str">
        <f aca="false">IF($D163="","",IF($V163&gt;=1,"Complete",IF(OR(N($P163)&gt;0,$V163&gt;0),IF($T163&gt;0,"Behind","In Progress"),IF($N163&lt;StatusDate,"Late Start","Not Started"))))</f>
        <v/>
      </c>
      <c r="X163" s="41"/>
      <c r="Y163" s="32"/>
      <c r="Z163" s="43" t="str">
        <f aca="true">IF($D163="","",IF($AI163,SUMPRODUCT(OFFSET(hdr_Work,$AF163+1,0,$AH163,1),OFFSET(hdr_IsLeaf,$AF163+1,0,$AH163,1)),IF($X163="",0,N($F163)*HoursPerDay*IF($Y163="",DefaultUnits,$Y163))))</f>
        <v/>
      </c>
      <c r="AA163" s="44" t="str">
        <f aca="true">IF($D163="","",IF($AI163,SUMPRODUCT(OFFSET(hdr_Cost,$AF163+1,0,$AH163,1),OFFSET(hdr_IsLeaf,$AF163+1,0,$AH163,1)),$Z163*IFERROR(INDEX(res_Rate,MATCH($X163,res_Name,0)),0)))</f>
        <v/>
      </c>
      <c r="AB163" s="38" t="str">
        <f aca="false">IF(OR($D163="",$AI163),"",IF(OR($R163&lt;Sprint1Start,$R163&gt;SprintLastEnd),"Backlog",INDEX(spr_Name,MATCH($R163,spr_Start,1))))</f>
        <v/>
      </c>
      <c r="AC163" s="45" t="str">
        <f aca="false">IF($D163="","",$AT163&amp;IF(AND($AT163&lt;&gt;"",$AU163&lt;&gt;""),",","")&amp;$AU163)</f>
        <v/>
      </c>
      <c r="AD163" s="41"/>
      <c r="AE163" s="46" t="str">
        <f aca="false">IF($D163="","",MAX(1,N($C163)))</f>
        <v/>
      </c>
      <c r="AF163" s="46" t="n">
        <f aca="false">ROW()-ROW(hdr_ID)</f>
        <v>158</v>
      </c>
      <c r="AG163" s="46" t="n">
        <f aca="false">IF(OR($D163="",$AE163&lt;=1),0,IFERROR(LOOKUP(2,1/($AE$5:$AE162=$AE163-1),ROW($AE$5:$AE162)),0))</f>
        <v>0</v>
      </c>
      <c r="AH163" s="46" t="n">
        <f aca="false">IF($D163="",0,COUNTIF(tsk_WBS,$B163&amp;".*"))</f>
        <v>0</v>
      </c>
      <c r="AI163" s="47" t="b">
        <f aca="false">$AH163&gt;0</f>
        <v>0</v>
      </c>
      <c r="AJ163" s="46" t="n">
        <f aca="false">IF(AND($D163&lt;&gt;"",NOT($AI163)),1,0)</f>
        <v>0</v>
      </c>
      <c r="AK163" s="48" t="n">
        <f aca="true">IF(OR(N($G163)=0,$AI163,$D163=""),0,IFERROR(CHOOSE(MATCH(IF($H163="","FS",$H163),{"FS","SS","FF","SF"},0),WORKDAY.INTL(OFFSET(hdr_PlanFinish,MATCH($G163,tsk_ID,0),0),IF(N($F163)=0,0,1)+N($I163),WorkWeek,Holidays),WORKDAY.INTL(OFFSET(hdr_PlanStart,MATCH($G163,tsk_ID,0),0),N($I163),WorkWeek,Holidays),WORKDAY.INTL(WORKDAY.INTL(OFFSET(hdr_PlanFinish,MATCH($G163,tsk_ID,0),0),N($I163),WorkWeek,Holidays),-MAX(0,N($F163)-1),WorkWeek,Holidays),WORKDAY.INTL(WORKDAY.INTL(OFFSET(hdr_PlanStart,MATCH($G163,tsk_ID,0),0),N($I163),WorkWeek,Holidays),-MAX(0,N($F163)-1),WorkWeek,Holidays)),0))</f>
        <v>0</v>
      </c>
      <c r="AL163" s="48" t="n">
        <f aca="true">IF(OR(N($J163)=0,$AI163,$D163=""),0,IFERROR(CHOOSE(MATCH(IF($K163="","FS",$K163),{"FS","SS","FF","SF"},0),WORKDAY.INTL(OFFSET(hdr_PlanFinish,MATCH($J163,tsk_ID,0),0),IF(N($F163)=0,0,1)+N($L163),WorkWeek,Holidays),WORKDAY.INTL(OFFSET(hdr_PlanStart,MATCH($J163,tsk_ID,0),0),N($L163),WorkWeek,Holidays),WORKDAY.INTL(WORKDAY.INTL(OFFSET(hdr_PlanFinish,MATCH($J163,tsk_ID,0),0),N($L163),WorkWeek,Holidays),-MAX(0,N($F163)-1),WorkWeek,Holidays),WORKDAY.INTL(WORKDAY.INTL(OFFSET(hdr_PlanStart,MATCH($J163,tsk_ID,0),0),N($L163),WorkWeek,Holidays),-MAX(0,N($F163)-1),WorkWeek,Holidays)),0))</f>
        <v>0</v>
      </c>
      <c r="AM163" s="48" t="n">
        <f aca="true">IF(OR(N($G163)=0,$AI163,$D163=""),0,IFERROR(CHOOSE(MATCH(IF($H163="","FS",$H163),{"FS","SS","FF","SF"},0),WORKDAY.INTL(OFFSET(hdr_FcFinish,MATCH($G163,tsk_ID,0),0),IF(N($F163)=0,0,1)+N($I163),WorkWeek,Holidays),WORKDAY.INTL(OFFSET(hdr_FcStart,MATCH($G163,tsk_ID,0),0),N($I163),WorkWeek,Holidays),WORKDAY.INTL(WORKDAY.INTL(OFFSET(hdr_FcFinish,MATCH($G163,tsk_ID,0),0),N($I163),WorkWeek,Holidays),-MAX(0,N($F163)-1),WorkWeek,Holidays),WORKDAY.INTL(WORKDAY.INTL(OFFSET(hdr_FcStart,MATCH($G163,tsk_ID,0),0),N($I163),WorkWeek,Holidays),-MAX(0,N($F163)-1),WorkWeek,Holidays)),0))</f>
        <v>0</v>
      </c>
      <c r="AN163" s="48" t="n">
        <f aca="true">IF(OR(N($J163)=0,$AI163,$D163=""),0,IFERROR(CHOOSE(MATCH(IF($K163="","FS",$K163),{"FS","SS","FF","SF"},0),WORKDAY.INTL(OFFSET(hdr_FcFinish,MATCH($J163,tsk_ID,0),0),IF(N($F163)=0,0,1)+N($L163),WorkWeek,Holidays),WORKDAY.INTL(OFFSET(hdr_FcStart,MATCH($J163,tsk_ID,0),0),N($L163),WorkWeek,Holidays),WORKDAY.INTL(WORKDAY.INTL(OFFSET(hdr_FcFinish,MATCH($J163,tsk_ID,0),0),N($L163),WorkWeek,Holidays),-MAX(0,N($F163)-1),WorkWeek,Holidays),WORKDAY.INTL(WORKDAY.INTL(OFFSET(hdr_FcStart,MATCH($J163,tsk_ID,0),0),N($L163),WorkWeek,Holidays),-MAX(0,N($F163)-1),WorkWeek,Holidays)),0))</f>
        <v>0</v>
      </c>
      <c r="AO163" s="48" t="n">
        <f aca="false">IF($AJ163=1,$R163,0)</f>
        <v>0</v>
      </c>
      <c r="AP163" s="48" t="n">
        <f aca="false">IF($AJ163=1,$S163,0)</f>
        <v>0</v>
      </c>
      <c r="AQ163" s="49" t="n">
        <f aca="false">IF(AND($AJ163=1,N($Z163)&gt;0),$Z163/($AP163-$AO163+1),0)</f>
        <v>0</v>
      </c>
      <c r="AR163" s="46" t="n">
        <f aca="false">IF($AJ163=1,MAX(N($F163),0.1),0)</f>
        <v>0</v>
      </c>
      <c r="AS163" s="46" t="n">
        <f aca="false">IF($AJ163=1,$AR163*$V163,0)</f>
        <v>0</v>
      </c>
      <c r="AT163" s="46" t="str">
        <f aca="false">IF(N($G163)=0,"",$G163&amp;IF(AND(IF($H163="","FS",$H163)="FS",N($I163)=0),"",IF($H163="","FS",$H163)&amp;IF(N($I163)=0,"",IF(N($I163)&gt;0,"+","")&amp;N($I163)&amp;"d")))</f>
        <v/>
      </c>
      <c r="AU163" s="46" t="str">
        <f aca="false">IF(N($J163)=0,"",$J163&amp;IF(AND(IF($K163="","FS",$K163)="FS",N($L163)=0),"",IF($K163="","FS",$K163)&amp;IF(N($L163)=0,"",IF(N($L163)&gt;0,"+","")&amp;N($L163)&amp;"d")))</f>
        <v/>
      </c>
      <c r="AV163" s="46" t="str">
        <f aca="false">IF(AND($AJ163=1,N($F163)=0,$V163&lt;1),$S163+$AF163/100000,"")</f>
        <v/>
      </c>
    </row>
    <row r="164" customFormat="false" ht="15" hidden="false" customHeight="false" outlineLevel="0" collapsed="false">
      <c r="A164" s="38" t="str">
        <f aca="false">IF($D164="","",COUNTA($D$6:$D164))</f>
        <v/>
      </c>
      <c r="B164" s="39" t="str">
        <f aca="true">IF($D164="","",IF($AE164=1,COUNTIF($AE$6:$AE164,1)&amp;"",IF($AG164=0,"?",OFFSET(hdr_WBS,$AG164-ROW(hdr_WBS),0)&amp;"."&amp;COUNTIF(INDEX($AE:$AE,$AG164+1):$AE164,$AE164))))</f>
        <v/>
      </c>
      <c r="C164" s="40"/>
      <c r="D164" s="41"/>
      <c r="E164" s="40"/>
      <c r="F164" s="40"/>
      <c r="G164" s="40"/>
      <c r="H164" s="40"/>
      <c r="I164" s="40"/>
      <c r="J164" s="40"/>
      <c r="K164" s="40"/>
      <c r="L164" s="40"/>
      <c r="M164" s="29"/>
      <c r="N164" s="30" t="str">
        <f aca="true">IF($D164="","",IF($AI164,MIN(OFFSET(hdr_PlanStart,$AF164+1,0,$AH164,1)),IF($E164="Manual",IF(N($M164)&gt;0,$M164,ProjectStart),WORKDAY.INTL(MAX(ProjectStart,N($M164),$AK164,$AL164)-1,1,WorkWeek,Holidays))))</f>
        <v/>
      </c>
      <c r="O164" s="30" t="str">
        <f aca="true">IF($D164="","",IF($AI164,MAX(OFFSET(hdr_PlanFinish,$AF164+1,0,$AH164,1)),IF(N($F164)&lt;=0,$N164,WORKDAY.INTL($N164,$F164-1,WorkWeek,Holidays))))</f>
        <v/>
      </c>
      <c r="P164" s="29"/>
      <c r="Q164" s="29"/>
      <c r="R164" s="30" t="str">
        <f aca="true">IF($D164="","",IF($AI164,MIN(OFFSET(hdr_FcStart,$AF164+1,0,$AH164,1)),IF(N($P164)&gt;0,$P164,IF($E164="Manual",IF(N($M164)&gt;0,$M164,ProjectStart),WORKDAY.INTL(MAX(ProjectStart,N($M164),$AM164,$AN164,IF(RescheduleAfterStatus="Yes",StatusDate,0))-1,1,WorkWeek,Holidays)))))</f>
        <v/>
      </c>
      <c r="S164" s="30" t="str">
        <f aca="true">IF($D164="","",IF($AI164,MAX(OFFSET(hdr_FcFinish,$AF164+1,0,$AH164,1)),IF(N($Q164)&gt;0,$Q164,IF(N($F164)&lt;=0,$R164,IF(AND(N($P164)&gt;0,RescheduleAfterStatus="Yes"),MAX(WORKDAY.INTL($R164,$F164-1,WorkWeek,Holidays),WORKDAY.INTL(StatusWorkday,MAX(0,ROUNDUP($F164*(1-MIN(1,N($U164))),0)-1),WorkWeek,Holidays)),WORKDAY.INTL($R164,$F164-1,WorkWeek,Holidays))))))</f>
        <v/>
      </c>
      <c r="T164" s="38" t="str">
        <f aca="false">IF($D164="","",IF($S164&gt;=$O164,NETWORKDAYS.INTL($O164,$S164,WorkWeek,Holidays)-1,1-NETWORKDAYS.INTL($S164,$O164,WorkWeek,Holidays)))</f>
        <v/>
      </c>
      <c r="U164" s="32"/>
      <c r="V164" s="42" t="str">
        <f aca="true">IF($D164="","",IF($AI164,IFERROR(SUM(OFFSET(hdr_WtDone,$AF164+1,0,$AH164,1))/SUM(OFFSET(hdr_WtDur,$AF164+1,0,$AH164,1)),0),IF(N($Q164)&gt;0,1,MIN(1,N($U164)))))</f>
        <v/>
      </c>
      <c r="W164" s="39" t="str">
        <f aca="false">IF($D164="","",IF($V164&gt;=1,"Complete",IF(OR(N($P164)&gt;0,$V164&gt;0),IF($T164&gt;0,"Behind","In Progress"),IF($N164&lt;StatusDate,"Late Start","Not Started"))))</f>
        <v/>
      </c>
      <c r="X164" s="41"/>
      <c r="Y164" s="32"/>
      <c r="Z164" s="43" t="str">
        <f aca="true">IF($D164="","",IF($AI164,SUMPRODUCT(OFFSET(hdr_Work,$AF164+1,0,$AH164,1),OFFSET(hdr_IsLeaf,$AF164+1,0,$AH164,1)),IF($X164="",0,N($F164)*HoursPerDay*IF($Y164="",DefaultUnits,$Y164))))</f>
        <v/>
      </c>
      <c r="AA164" s="44" t="str">
        <f aca="true">IF($D164="","",IF($AI164,SUMPRODUCT(OFFSET(hdr_Cost,$AF164+1,0,$AH164,1),OFFSET(hdr_IsLeaf,$AF164+1,0,$AH164,1)),$Z164*IFERROR(INDEX(res_Rate,MATCH($X164,res_Name,0)),0)))</f>
        <v/>
      </c>
      <c r="AB164" s="38" t="str">
        <f aca="false">IF(OR($D164="",$AI164),"",IF(OR($R164&lt;Sprint1Start,$R164&gt;SprintLastEnd),"Backlog",INDEX(spr_Name,MATCH($R164,spr_Start,1))))</f>
        <v/>
      </c>
      <c r="AC164" s="45" t="str">
        <f aca="false">IF($D164="","",$AT164&amp;IF(AND($AT164&lt;&gt;"",$AU164&lt;&gt;""),",","")&amp;$AU164)</f>
        <v/>
      </c>
      <c r="AD164" s="41"/>
      <c r="AE164" s="46" t="str">
        <f aca="false">IF($D164="","",MAX(1,N($C164)))</f>
        <v/>
      </c>
      <c r="AF164" s="46" t="n">
        <f aca="false">ROW()-ROW(hdr_ID)</f>
        <v>159</v>
      </c>
      <c r="AG164" s="46" t="n">
        <f aca="false">IF(OR($D164="",$AE164&lt;=1),0,IFERROR(LOOKUP(2,1/($AE$5:$AE163=$AE164-1),ROW($AE$5:$AE163)),0))</f>
        <v>0</v>
      </c>
      <c r="AH164" s="46" t="n">
        <f aca="false">IF($D164="",0,COUNTIF(tsk_WBS,$B164&amp;".*"))</f>
        <v>0</v>
      </c>
      <c r="AI164" s="47" t="b">
        <f aca="false">$AH164&gt;0</f>
        <v>0</v>
      </c>
      <c r="AJ164" s="46" t="n">
        <f aca="false">IF(AND($D164&lt;&gt;"",NOT($AI164)),1,0)</f>
        <v>0</v>
      </c>
      <c r="AK164" s="48" t="n">
        <f aca="true">IF(OR(N($G164)=0,$AI164,$D164=""),0,IFERROR(CHOOSE(MATCH(IF($H164="","FS",$H164),{"FS","SS","FF","SF"},0),WORKDAY.INTL(OFFSET(hdr_PlanFinish,MATCH($G164,tsk_ID,0),0),IF(N($F164)=0,0,1)+N($I164),WorkWeek,Holidays),WORKDAY.INTL(OFFSET(hdr_PlanStart,MATCH($G164,tsk_ID,0),0),N($I164),WorkWeek,Holidays),WORKDAY.INTL(WORKDAY.INTL(OFFSET(hdr_PlanFinish,MATCH($G164,tsk_ID,0),0),N($I164),WorkWeek,Holidays),-MAX(0,N($F164)-1),WorkWeek,Holidays),WORKDAY.INTL(WORKDAY.INTL(OFFSET(hdr_PlanStart,MATCH($G164,tsk_ID,0),0),N($I164),WorkWeek,Holidays),-MAX(0,N($F164)-1),WorkWeek,Holidays)),0))</f>
        <v>0</v>
      </c>
      <c r="AL164" s="48" t="n">
        <f aca="true">IF(OR(N($J164)=0,$AI164,$D164=""),0,IFERROR(CHOOSE(MATCH(IF($K164="","FS",$K164),{"FS","SS","FF","SF"},0),WORKDAY.INTL(OFFSET(hdr_PlanFinish,MATCH($J164,tsk_ID,0),0),IF(N($F164)=0,0,1)+N($L164),WorkWeek,Holidays),WORKDAY.INTL(OFFSET(hdr_PlanStart,MATCH($J164,tsk_ID,0),0),N($L164),WorkWeek,Holidays),WORKDAY.INTL(WORKDAY.INTL(OFFSET(hdr_PlanFinish,MATCH($J164,tsk_ID,0),0),N($L164),WorkWeek,Holidays),-MAX(0,N($F164)-1),WorkWeek,Holidays),WORKDAY.INTL(WORKDAY.INTL(OFFSET(hdr_PlanStart,MATCH($J164,tsk_ID,0),0),N($L164),WorkWeek,Holidays),-MAX(0,N($F164)-1),WorkWeek,Holidays)),0))</f>
        <v>0</v>
      </c>
      <c r="AM164" s="48" t="n">
        <f aca="true">IF(OR(N($G164)=0,$AI164,$D164=""),0,IFERROR(CHOOSE(MATCH(IF($H164="","FS",$H164),{"FS","SS","FF","SF"},0),WORKDAY.INTL(OFFSET(hdr_FcFinish,MATCH($G164,tsk_ID,0),0),IF(N($F164)=0,0,1)+N($I164),WorkWeek,Holidays),WORKDAY.INTL(OFFSET(hdr_FcStart,MATCH($G164,tsk_ID,0),0),N($I164),WorkWeek,Holidays),WORKDAY.INTL(WORKDAY.INTL(OFFSET(hdr_FcFinish,MATCH($G164,tsk_ID,0),0),N($I164),WorkWeek,Holidays),-MAX(0,N($F164)-1),WorkWeek,Holidays),WORKDAY.INTL(WORKDAY.INTL(OFFSET(hdr_FcStart,MATCH($G164,tsk_ID,0),0),N($I164),WorkWeek,Holidays),-MAX(0,N($F164)-1),WorkWeek,Holidays)),0))</f>
        <v>0</v>
      </c>
      <c r="AN164" s="48" t="n">
        <f aca="true">IF(OR(N($J164)=0,$AI164,$D164=""),0,IFERROR(CHOOSE(MATCH(IF($K164="","FS",$K164),{"FS","SS","FF","SF"},0),WORKDAY.INTL(OFFSET(hdr_FcFinish,MATCH($J164,tsk_ID,0),0),IF(N($F164)=0,0,1)+N($L164),WorkWeek,Holidays),WORKDAY.INTL(OFFSET(hdr_FcStart,MATCH($J164,tsk_ID,0),0),N($L164),WorkWeek,Holidays),WORKDAY.INTL(WORKDAY.INTL(OFFSET(hdr_FcFinish,MATCH($J164,tsk_ID,0),0),N($L164),WorkWeek,Holidays),-MAX(0,N($F164)-1),WorkWeek,Holidays),WORKDAY.INTL(WORKDAY.INTL(OFFSET(hdr_FcStart,MATCH($J164,tsk_ID,0),0),N($L164),WorkWeek,Holidays),-MAX(0,N($F164)-1),WorkWeek,Holidays)),0))</f>
        <v>0</v>
      </c>
      <c r="AO164" s="48" t="n">
        <f aca="false">IF($AJ164=1,$R164,0)</f>
        <v>0</v>
      </c>
      <c r="AP164" s="48" t="n">
        <f aca="false">IF($AJ164=1,$S164,0)</f>
        <v>0</v>
      </c>
      <c r="AQ164" s="49" t="n">
        <f aca="false">IF(AND($AJ164=1,N($Z164)&gt;0),$Z164/($AP164-$AO164+1),0)</f>
        <v>0</v>
      </c>
      <c r="AR164" s="46" t="n">
        <f aca="false">IF($AJ164=1,MAX(N($F164),0.1),0)</f>
        <v>0</v>
      </c>
      <c r="AS164" s="46" t="n">
        <f aca="false">IF($AJ164=1,$AR164*$V164,0)</f>
        <v>0</v>
      </c>
      <c r="AT164" s="46" t="str">
        <f aca="false">IF(N($G164)=0,"",$G164&amp;IF(AND(IF($H164="","FS",$H164)="FS",N($I164)=0),"",IF($H164="","FS",$H164)&amp;IF(N($I164)=0,"",IF(N($I164)&gt;0,"+","")&amp;N($I164)&amp;"d")))</f>
        <v/>
      </c>
      <c r="AU164" s="46" t="str">
        <f aca="false">IF(N($J164)=0,"",$J164&amp;IF(AND(IF($K164="","FS",$K164)="FS",N($L164)=0),"",IF($K164="","FS",$K164)&amp;IF(N($L164)=0,"",IF(N($L164)&gt;0,"+","")&amp;N($L164)&amp;"d")))</f>
        <v/>
      </c>
      <c r="AV164" s="46" t="str">
        <f aca="false">IF(AND($AJ164=1,N($F164)=0,$V164&lt;1),$S164+$AF164/100000,"")</f>
        <v/>
      </c>
    </row>
    <row r="165" customFormat="false" ht="15" hidden="false" customHeight="false" outlineLevel="0" collapsed="false">
      <c r="A165" s="38" t="str">
        <f aca="false">IF($D165="","",COUNTA($D$6:$D165))</f>
        <v/>
      </c>
      <c r="B165" s="39" t="str">
        <f aca="true">IF($D165="","",IF($AE165=1,COUNTIF($AE$6:$AE165,1)&amp;"",IF($AG165=0,"?",OFFSET(hdr_WBS,$AG165-ROW(hdr_WBS),0)&amp;"."&amp;COUNTIF(INDEX($AE:$AE,$AG165+1):$AE165,$AE165))))</f>
        <v/>
      </c>
      <c r="C165" s="40"/>
      <c r="D165" s="41"/>
      <c r="E165" s="40"/>
      <c r="F165" s="40"/>
      <c r="G165" s="40"/>
      <c r="H165" s="40"/>
      <c r="I165" s="40"/>
      <c r="J165" s="40"/>
      <c r="K165" s="40"/>
      <c r="L165" s="40"/>
      <c r="M165" s="29"/>
      <c r="N165" s="30" t="str">
        <f aca="true">IF($D165="","",IF($AI165,MIN(OFFSET(hdr_PlanStart,$AF165+1,0,$AH165,1)),IF($E165="Manual",IF(N($M165)&gt;0,$M165,ProjectStart),WORKDAY.INTL(MAX(ProjectStart,N($M165),$AK165,$AL165)-1,1,WorkWeek,Holidays))))</f>
        <v/>
      </c>
      <c r="O165" s="30" t="str">
        <f aca="true">IF($D165="","",IF($AI165,MAX(OFFSET(hdr_PlanFinish,$AF165+1,0,$AH165,1)),IF(N($F165)&lt;=0,$N165,WORKDAY.INTL($N165,$F165-1,WorkWeek,Holidays))))</f>
        <v/>
      </c>
      <c r="P165" s="29"/>
      <c r="Q165" s="29"/>
      <c r="R165" s="30" t="str">
        <f aca="true">IF($D165="","",IF($AI165,MIN(OFFSET(hdr_FcStart,$AF165+1,0,$AH165,1)),IF(N($P165)&gt;0,$P165,IF($E165="Manual",IF(N($M165)&gt;0,$M165,ProjectStart),WORKDAY.INTL(MAX(ProjectStart,N($M165),$AM165,$AN165,IF(RescheduleAfterStatus="Yes",StatusDate,0))-1,1,WorkWeek,Holidays)))))</f>
        <v/>
      </c>
      <c r="S165" s="30" t="str">
        <f aca="true">IF($D165="","",IF($AI165,MAX(OFFSET(hdr_FcFinish,$AF165+1,0,$AH165,1)),IF(N($Q165)&gt;0,$Q165,IF(N($F165)&lt;=0,$R165,IF(AND(N($P165)&gt;0,RescheduleAfterStatus="Yes"),MAX(WORKDAY.INTL($R165,$F165-1,WorkWeek,Holidays),WORKDAY.INTL(StatusWorkday,MAX(0,ROUNDUP($F165*(1-MIN(1,N($U165))),0)-1),WorkWeek,Holidays)),WORKDAY.INTL($R165,$F165-1,WorkWeek,Holidays))))))</f>
        <v/>
      </c>
      <c r="T165" s="38" t="str">
        <f aca="false">IF($D165="","",IF($S165&gt;=$O165,NETWORKDAYS.INTL($O165,$S165,WorkWeek,Holidays)-1,1-NETWORKDAYS.INTL($S165,$O165,WorkWeek,Holidays)))</f>
        <v/>
      </c>
      <c r="U165" s="32"/>
      <c r="V165" s="42" t="str">
        <f aca="true">IF($D165="","",IF($AI165,IFERROR(SUM(OFFSET(hdr_WtDone,$AF165+1,0,$AH165,1))/SUM(OFFSET(hdr_WtDur,$AF165+1,0,$AH165,1)),0),IF(N($Q165)&gt;0,1,MIN(1,N($U165)))))</f>
        <v/>
      </c>
      <c r="W165" s="39" t="str">
        <f aca="false">IF($D165="","",IF($V165&gt;=1,"Complete",IF(OR(N($P165)&gt;0,$V165&gt;0),IF($T165&gt;0,"Behind","In Progress"),IF($N165&lt;StatusDate,"Late Start","Not Started"))))</f>
        <v/>
      </c>
      <c r="X165" s="41"/>
      <c r="Y165" s="32"/>
      <c r="Z165" s="43" t="str">
        <f aca="true">IF($D165="","",IF($AI165,SUMPRODUCT(OFFSET(hdr_Work,$AF165+1,0,$AH165,1),OFFSET(hdr_IsLeaf,$AF165+1,0,$AH165,1)),IF($X165="",0,N($F165)*HoursPerDay*IF($Y165="",DefaultUnits,$Y165))))</f>
        <v/>
      </c>
      <c r="AA165" s="44" t="str">
        <f aca="true">IF($D165="","",IF($AI165,SUMPRODUCT(OFFSET(hdr_Cost,$AF165+1,0,$AH165,1),OFFSET(hdr_IsLeaf,$AF165+1,0,$AH165,1)),$Z165*IFERROR(INDEX(res_Rate,MATCH($X165,res_Name,0)),0)))</f>
        <v/>
      </c>
      <c r="AB165" s="38" t="str">
        <f aca="false">IF(OR($D165="",$AI165),"",IF(OR($R165&lt;Sprint1Start,$R165&gt;SprintLastEnd),"Backlog",INDEX(spr_Name,MATCH($R165,spr_Start,1))))</f>
        <v/>
      </c>
      <c r="AC165" s="45" t="str">
        <f aca="false">IF($D165="","",$AT165&amp;IF(AND($AT165&lt;&gt;"",$AU165&lt;&gt;""),",","")&amp;$AU165)</f>
        <v/>
      </c>
      <c r="AD165" s="41"/>
      <c r="AE165" s="46" t="str">
        <f aca="false">IF($D165="","",MAX(1,N($C165)))</f>
        <v/>
      </c>
      <c r="AF165" s="46" t="n">
        <f aca="false">ROW()-ROW(hdr_ID)</f>
        <v>160</v>
      </c>
      <c r="AG165" s="46" t="n">
        <f aca="false">IF(OR($D165="",$AE165&lt;=1),0,IFERROR(LOOKUP(2,1/($AE$5:$AE164=$AE165-1),ROW($AE$5:$AE164)),0))</f>
        <v>0</v>
      </c>
      <c r="AH165" s="46" t="n">
        <f aca="false">IF($D165="",0,COUNTIF(tsk_WBS,$B165&amp;".*"))</f>
        <v>0</v>
      </c>
      <c r="AI165" s="47" t="b">
        <f aca="false">$AH165&gt;0</f>
        <v>0</v>
      </c>
      <c r="AJ165" s="46" t="n">
        <f aca="false">IF(AND($D165&lt;&gt;"",NOT($AI165)),1,0)</f>
        <v>0</v>
      </c>
      <c r="AK165" s="48" t="n">
        <f aca="true">IF(OR(N($G165)=0,$AI165,$D165=""),0,IFERROR(CHOOSE(MATCH(IF($H165="","FS",$H165),{"FS","SS","FF","SF"},0),WORKDAY.INTL(OFFSET(hdr_PlanFinish,MATCH($G165,tsk_ID,0),0),IF(N($F165)=0,0,1)+N($I165),WorkWeek,Holidays),WORKDAY.INTL(OFFSET(hdr_PlanStart,MATCH($G165,tsk_ID,0),0),N($I165),WorkWeek,Holidays),WORKDAY.INTL(WORKDAY.INTL(OFFSET(hdr_PlanFinish,MATCH($G165,tsk_ID,0),0),N($I165),WorkWeek,Holidays),-MAX(0,N($F165)-1),WorkWeek,Holidays),WORKDAY.INTL(WORKDAY.INTL(OFFSET(hdr_PlanStart,MATCH($G165,tsk_ID,0),0),N($I165),WorkWeek,Holidays),-MAX(0,N($F165)-1),WorkWeek,Holidays)),0))</f>
        <v>0</v>
      </c>
      <c r="AL165" s="48" t="n">
        <f aca="true">IF(OR(N($J165)=0,$AI165,$D165=""),0,IFERROR(CHOOSE(MATCH(IF($K165="","FS",$K165),{"FS","SS","FF","SF"},0),WORKDAY.INTL(OFFSET(hdr_PlanFinish,MATCH($J165,tsk_ID,0),0),IF(N($F165)=0,0,1)+N($L165),WorkWeek,Holidays),WORKDAY.INTL(OFFSET(hdr_PlanStart,MATCH($J165,tsk_ID,0),0),N($L165),WorkWeek,Holidays),WORKDAY.INTL(WORKDAY.INTL(OFFSET(hdr_PlanFinish,MATCH($J165,tsk_ID,0),0),N($L165),WorkWeek,Holidays),-MAX(0,N($F165)-1),WorkWeek,Holidays),WORKDAY.INTL(WORKDAY.INTL(OFFSET(hdr_PlanStart,MATCH($J165,tsk_ID,0),0),N($L165),WorkWeek,Holidays),-MAX(0,N($F165)-1),WorkWeek,Holidays)),0))</f>
        <v>0</v>
      </c>
      <c r="AM165" s="48" t="n">
        <f aca="true">IF(OR(N($G165)=0,$AI165,$D165=""),0,IFERROR(CHOOSE(MATCH(IF($H165="","FS",$H165),{"FS","SS","FF","SF"},0),WORKDAY.INTL(OFFSET(hdr_FcFinish,MATCH($G165,tsk_ID,0),0),IF(N($F165)=0,0,1)+N($I165),WorkWeek,Holidays),WORKDAY.INTL(OFFSET(hdr_FcStart,MATCH($G165,tsk_ID,0),0),N($I165),WorkWeek,Holidays),WORKDAY.INTL(WORKDAY.INTL(OFFSET(hdr_FcFinish,MATCH($G165,tsk_ID,0),0),N($I165),WorkWeek,Holidays),-MAX(0,N($F165)-1),WorkWeek,Holidays),WORKDAY.INTL(WORKDAY.INTL(OFFSET(hdr_FcStart,MATCH($G165,tsk_ID,0),0),N($I165),WorkWeek,Holidays),-MAX(0,N($F165)-1),WorkWeek,Holidays)),0))</f>
        <v>0</v>
      </c>
      <c r="AN165" s="48" t="n">
        <f aca="true">IF(OR(N($J165)=0,$AI165,$D165=""),0,IFERROR(CHOOSE(MATCH(IF($K165="","FS",$K165),{"FS","SS","FF","SF"},0),WORKDAY.INTL(OFFSET(hdr_FcFinish,MATCH($J165,tsk_ID,0),0),IF(N($F165)=0,0,1)+N($L165),WorkWeek,Holidays),WORKDAY.INTL(OFFSET(hdr_FcStart,MATCH($J165,tsk_ID,0),0),N($L165),WorkWeek,Holidays),WORKDAY.INTL(WORKDAY.INTL(OFFSET(hdr_FcFinish,MATCH($J165,tsk_ID,0),0),N($L165),WorkWeek,Holidays),-MAX(0,N($F165)-1),WorkWeek,Holidays),WORKDAY.INTL(WORKDAY.INTL(OFFSET(hdr_FcStart,MATCH($J165,tsk_ID,0),0),N($L165),WorkWeek,Holidays),-MAX(0,N($F165)-1),WorkWeek,Holidays)),0))</f>
        <v>0</v>
      </c>
      <c r="AO165" s="48" t="n">
        <f aca="false">IF($AJ165=1,$R165,0)</f>
        <v>0</v>
      </c>
      <c r="AP165" s="48" t="n">
        <f aca="false">IF($AJ165=1,$S165,0)</f>
        <v>0</v>
      </c>
      <c r="AQ165" s="49" t="n">
        <f aca="false">IF(AND($AJ165=1,N($Z165)&gt;0),$Z165/($AP165-$AO165+1),0)</f>
        <v>0</v>
      </c>
      <c r="AR165" s="46" t="n">
        <f aca="false">IF($AJ165=1,MAX(N($F165),0.1),0)</f>
        <v>0</v>
      </c>
      <c r="AS165" s="46" t="n">
        <f aca="false">IF($AJ165=1,$AR165*$V165,0)</f>
        <v>0</v>
      </c>
      <c r="AT165" s="46" t="str">
        <f aca="false">IF(N($G165)=0,"",$G165&amp;IF(AND(IF($H165="","FS",$H165)="FS",N($I165)=0),"",IF($H165="","FS",$H165)&amp;IF(N($I165)=0,"",IF(N($I165)&gt;0,"+","")&amp;N($I165)&amp;"d")))</f>
        <v/>
      </c>
      <c r="AU165" s="46" t="str">
        <f aca="false">IF(N($J165)=0,"",$J165&amp;IF(AND(IF($K165="","FS",$K165)="FS",N($L165)=0),"",IF($K165="","FS",$K165)&amp;IF(N($L165)=0,"",IF(N($L165)&gt;0,"+","")&amp;N($L165)&amp;"d")))</f>
        <v/>
      </c>
      <c r="AV165" s="46" t="str">
        <f aca="false">IF(AND($AJ165=1,N($F165)=0,$V165&lt;1),$S165+$AF165/100000,"")</f>
        <v/>
      </c>
    </row>
    <row r="166" customFormat="false" ht="15" hidden="false" customHeight="false" outlineLevel="0" collapsed="false">
      <c r="A166" s="38" t="str">
        <f aca="false">IF($D166="","",COUNTA($D$6:$D166))</f>
        <v/>
      </c>
      <c r="B166" s="39" t="str">
        <f aca="true">IF($D166="","",IF($AE166=1,COUNTIF($AE$6:$AE166,1)&amp;"",IF($AG166=0,"?",OFFSET(hdr_WBS,$AG166-ROW(hdr_WBS),0)&amp;"."&amp;COUNTIF(INDEX($AE:$AE,$AG166+1):$AE166,$AE166))))</f>
        <v/>
      </c>
      <c r="C166" s="40"/>
      <c r="D166" s="41"/>
      <c r="E166" s="40"/>
      <c r="F166" s="40"/>
      <c r="G166" s="40"/>
      <c r="H166" s="40"/>
      <c r="I166" s="40"/>
      <c r="J166" s="40"/>
      <c r="K166" s="40"/>
      <c r="L166" s="40"/>
      <c r="M166" s="29"/>
      <c r="N166" s="30" t="str">
        <f aca="true">IF($D166="","",IF($AI166,MIN(OFFSET(hdr_PlanStart,$AF166+1,0,$AH166,1)),IF($E166="Manual",IF(N($M166)&gt;0,$M166,ProjectStart),WORKDAY.INTL(MAX(ProjectStart,N($M166),$AK166,$AL166)-1,1,WorkWeek,Holidays))))</f>
        <v/>
      </c>
      <c r="O166" s="30" t="str">
        <f aca="true">IF($D166="","",IF($AI166,MAX(OFFSET(hdr_PlanFinish,$AF166+1,0,$AH166,1)),IF(N($F166)&lt;=0,$N166,WORKDAY.INTL($N166,$F166-1,WorkWeek,Holidays))))</f>
        <v/>
      </c>
      <c r="P166" s="29"/>
      <c r="Q166" s="29"/>
      <c r="R166" s="30" t="str">
        <f aca="true">IF($D166="","",IF($AI166,MIN(OFFSET(hdr_FcStart,$AF166+1,0,$AH166,1)),IF(N($P166)&gt;0,$P166,IF($E166="Manual",IF(N($M166)&gt;0,$M166,ProjectStart),WORKDAY.INTL(MAX(ProjectStart,N($M166),$AM166,$AN166,IF(RescheduleAfterStatus="Yes",StatusDate,0))-1,1,WorkWeek,Holidays)))))</f>
        <v/>
      </c>
      <c r="S166" s="30" t="str">
        <f aca="true">IF($D166="","",IF($AI166,MAX(OFFSET(hdr_FcFinish,$AF166+1,0,$AH166,1)),IF(N($Q166)&gt;0,$Q166,IF(N($F166)&lt;=0,$R166,IF(AND(N($P166)&gt;0,RescheduleAfterStatus="Yes"),MAX(WORKDAY.INTL($R166,$F166-1,WorkWeek,Holidays),WORKDAY.INTL(StatusWorkday,MAX(0,ROUNDUP($F166*(1-MIN(1,N($U166))),0)-1),WorkWeek,Holidays)),WORKDAY.INTL($R166,$F166-1,WorkWeek,Holidays))))))</f>
        <v/>
      </c>
      <c r="T166" s="38" t="str">
        <f aca="false">IF($D166="","",IF($S166&gt;=$O166,NETWORKDAYS.INTL($O166,$S166,WorkWeek,Holidays)-1,1-NETWORKDAYS.INTL($S166,$O166,WorkWeek,Holidays)))</f>
        <v/>
      </c>
      <c r="U166" s="32"/>
      <c r="V166" s="42" t="str">
        <f aca="true">IF($D166="","",IF($AI166,IFERROR(SUM(OFFSET(hdr_WtDone,$AF166+1,0,$AH166,1))/SUM(OFFSET(hdr_WtDur,$AF166+1,0,$AH166,1)),0),IF(N($Q166)&gt;0,1,MIN(1,N($U166)))))</f>
        <v/>
      </c>
      <c r="W166" s="39" t="str">
        <f aca="false">IF($D166="","",IF($V166&gt;=1,"Complete",IF(OR(N($P166)&gt;0,$V166&gt;0),IF($T166&gt;0,"Behind","In Progress"),IF($N166&lt;StatusDate,"Late Start","Not Started"))))</f>
        <v/>
      </c>
      <c r="X166" s="41"/>
      <c r="Y166" s="32"/>
      <c r="Z166" s="43" t="str">
        <f aca="true">IF($D166="","",IF($AI166,SUMPRODUCT(OFFSET(hdr_Work,$AF166+1,0,$AH166,1),OFFSET(hdr_IsLeaf,$AF166+1,0,$AH166,1)),IF($X166="",0,N($F166)*HoursPerDay*IF($Y166="",DefaultUnits,$Y166))))</f>
        <v/>
      </c>
      <c r="AA166" s="44" t="str">
        <f aca="true">IF($D166="","",IF($AI166,SUMPRODUCT(OFFSET(hdr_Cost,$AF166+1,0,$AH166,1),OFFSET(hdr_IsLeaf,$AF166+1,0,$AH166,1)),$Z166*IFERROR(INDEX(res_Rate,MATCH($X166,res_Name,0)),0)))</f>
        <v/>
      </c>
      <c r="AB166" s="38" t="str">
        <f aca="false">IF(OR($D166="",$AI166),"",IF(OR($R166&lt;Sprint1Start,$R166&gt;SprintLastEnd),"Backlog",INDEX(spr_Name,MATCH($R166,spr_Start,1))))</f>
        <v/>
      </c>
      <c r="AC166" s="45" t="str">
        <f aca="false">IF($D166="","",$AT166&amp;IF(AND($AT166&lt;&gt;"",$AU166&lt;&gt;""),",","")&amp;$AU166)</f>
        <v/>
      </c>
      <c r="AD166" s="41"/>
      <c r="AE166" s="46" t="str">
        <f aca="false">IF($D166="","",MAX(1,N($C166)))</f>
        <v/>
      </c>
      <c r="AF166" s="46" t="n">
        <f aca="false">ROW()-ROW(hdr_ID)</f>
        <v>161</v>
      </c>
      <c r="AG166" s="46" t="n">
        <f aca="false">IF(OR($D166="",$AE166&lt;=1),0,IFERROR(LOOKUP(2,1/($AE$5:$AE165=$AE166-1),ROW($AE$5:$AE165)),0))</f>
        <v>0</v>
      </c>
      <c r="AH166" s="46" t="n">
        <f aca="false">IF($D166="",0,COUNTIF(tsk_WBS,$B166&amp;".*"))</f>
        <v>0</v>
      </c>
      <c r="AI166" s="47" t="b">
        <f aca="false">$AH166&gt;0</f>
        <v>0</v>
      </c>
      <c r="AJ166" s="46" t="n">
        <f aca="false">IF(AND($D166&lt;&gt;"",NOT($AI166)),1,0)</f>
        <v>0</v>
      </c>
      <c r="AK166" s="48" t="n">
        <f aca="true">IF(OR(N($G166)=0,$AI166,$D166=""),0,IFERROR(CHOOSE(MATCH(IF($H166="","FS",$H166),{"FS","SS","FF","SF"},0),WORKDAY.INTL(OFFSET(hdr_PlanFinish,MATCH($G166,tsk_ID,0),0),IF(N($F166)=0,0,1)+N($I166),WorkWeek,Holidays),WORKDAY.INTL(OFFSET(hdr_PlanStart,MATCH($G166,tsk_ID,0),0),N($I166),WorkWeek,Holidays),WORKDAY.INTL(WORKDAY.INTL(OFFSET(hdr_PlanFinish,MATCH($G166,tsk_ID,0),0),N($I166),WorkWeek,Holidays),-MAX(0,N($F166)-1),WorkWeek,Holidays),WORKDAY.INTL(WORKDAY.INTL(OFFSET(hdr_PlanStart,MATCH($G166,tsk_ID,0),0),N($I166),WorkWeek,Holidays),-MAX(0,N($F166)-1),WorkWeek,Holidays)),0))</f>
        <v>0</v>
      </c>
      <c r="AL166" s="48" t="n">
        <f aca="true">IF(OR(N($J166)=0,$AI166,$D166=""),0,IFERROR(CHOOSE(MATCH(IF($K166="","FS",$K166),{"FS","SS","FF","SF"},0),WORKDAY.INTL(OFFSET(hdr_PlanFinish,MATCH($J166,tsk_ID,0),0),IF(N($F166)=0,0,1)+N($L166),WorkWeek,Holidays),WORKDAY.INTL(OFFSET(hdr_PlanStart,MATCH($J166,tsk_ID,0),0),N($L166),WorkWeek,Holidays),WORKDAY.INTL(WORKDAY.INTL(OFFSET(hdr_PlanFinish,MATCH($J166,tsk_ID,0),0),N($L166),WorkWeek,Holidays),-MAX(0,N($F166)-1),WorkWeek,Holidays),WORKDAY.INTL(WORKDAY.INTL(OFFSET(hdr_PlanStart,MATCH($J166,tsk_ID,0),0),N($L166),WorkWeek,Holidays),-MAX(0,N($F166)-1),WorkWeek,Holidays)),0))</f>
        <v>0</v>
      </c>
      <c r="AM166" s="48" t="n">
        <f aca="true">IF(OR(N($G166)=0,$AI166,$D166=""),0,IFERROR(CHOOSE(MATCH(IF($H166="","FS",$H166),{"FS","SS","FF","SF"},0),WORKDAY.INTL(OFFSET(hdr_FcFinish,MATCH($G166,tsk_ID,0),0),IF(N($F166)=0,0,1)+N($I166),WorkWeek,Holidays),WORKDAY.INTL(OFFSET(hdr_FcStart,MATCH($G166,tsk_ID,0),0),N($I166),WorkWeek,Holidays),WORKDAY.INTL(WORKDAY.INTL(OFFSET(hdr_FcFinish,MATCH($G166,tsk_ID,0),0),N($I166),WorkWeek,Holidays),-MAX(0,N($F166)-1),WorkWeek,Holidays),WORKDAY.INTL(WORKDAY.INTL(OFFSET(hdr_FcStart,MATCH($G166,tsk_ID,0),0),N($I166),WorkWeek,Holidays),-MAX(0,N($F166)-1),WorkWeek,Holidays)),0))</f>
        <v>0</v>
      </c>
      <c r="AN166" s="48" t="n">
        <f aca="true">IF(OR(N($J166)=0,$AI166,$D166=""),0,IFERROR(CHOOSE(MATCH(IF($K166="","FS",$K166),{"FS","SS","FF","SF"},0),WORKDAY.INTL(OFFSET(hdr_FcFinish,MATCH($J166,tsk_ID,0),0),IF(N($F166)=0,0,1)+N($L166),WorkWeek,Holidays),WORKDAY.INTL(OFFSET(hdr_FcStart,MATCH($J166,tsk_ID,0),0),N($L166),WorkWeek,Holidays),WORKDAY.INTL(WORKDAY.INTL(OFFSET(hdr_FcFinish,MATCH($J166,tsk_ID,0),0),N($L166),WorkWeek,Holidays),-MAX(0,N($F166)-1),WorkWeek,Holidays),WORKDAY.INTL(WORKDAY.INTL(OFFSET(hdr_FcStart,MATCH($J166,tsk_ID,0),0),N($L166),WorkWeek,Holidays),-MAX(0,N($F166)-1),WorkWeek,Holidays)),0))</f>
        <v>0</v>
      </c>
      <c r="AO166" s="48" t="n">
        <f aca="false">IF($AJ166=1,$R166,0)</f>
        <v>0</v>
      </c>
      <c r="AP166" s="48" t="n">
        <f aca="false">IF($AJ166=1,$S166,0)</f>
        <v>0</v>
      </c>
      <c r="AQ166" s="49" t="n">
        <f aca="false">IF(AND($AJ166=1,N($Z166)&gt;0),$Z166/($AP166-$AO166+1),0)</f>
        <v>0</v>
      </c>
      <c r="AR166" s="46" t="n">
        <f aca="false">IF($AJ166=1,MAX(N($F166),0.1),0)</f>
        <v>0</v>
      </c>
      <c r="AS166" s="46" t="n">
        <f aca="false">IF($AJ166=1,$AR166*$V166,0)</f>
        <v>0</v>
      </c>
      <c r="AT166" s="46" t="str">
        <f aca="false">IF(N($G166)=0,"",$G166&amp;IF(AND(IF($H166="","FS",$H166)="FS",N($I166)=0),"",IF($H166="","FS",$H166)&amp;IF(N($I166)=0,"",IF(N($I166)&gt;0,"+","")&amp;N($I166)&amp;"d")))</f>
        <v/>
      </c>
      <c r="AU166" s="46" t="str">
        <f aca="false">IF(N($J166)=0,"",$J166&amp;IF(AND(IF($K166="","FS",$K166)="FS",N($L166)=0),"",IF($K166="","FS",$K166)&amp;IF(N($L166)=0,"",IF(N($L166)&gt;0,"+","")&amp;N($L166)&amp;"d")))</f>
        <v/>
      </c>
      <c r="AV166" s="46" t="str">
        <f aca="false">IF(AND($AJ166=1,N($F166)=0,$V166&lt;1),$S166+$AF166/100000,"")</f>
        <v/>
      </c>
    </row>
    <row r="167" customFormat="false" ht="15" hidden="false" customHeight="false" outlineLevel="0" collapsed="false">
      <c r="A167" s="38" t="str">
        <f aca="false">IF($D167="","",COUNTA($D$6:$D167))</f>
        <v/>
      </c>
      <c r="B167" s="39" t="str">
        <f aca="true">IF($D167="","",IF($AE167=1,COUNTIF($AE$6:$AE167,1)&amp;"",IF($AG167=0,"?",OFFSET(hdr_WBS,$AG167-ROW(hdr_WBS),0)&amp;"."&amp;COUNTIF(INDEX($AE:$AE,$AG167+1):$AE167,$AE167))))</f>
        <v/>
      </c>
      <c r="C167" s="40"/>
      <c r="D167" s="41"/>
      <c r="E167" s="40"/>
      <c r="F167" s="40"/>
      <c r="G167" s="40"/>
      <c r="H167" s="40"/>
      <c r="I167" s="40"/>
      <c r="J167" s="40"/>
      <c r="K167" s="40"/>
      <c r="L167" s="40"/>
      <c r="M167" s="29"/>
      <c r="N167" s="30" t="str">
        <f aca="true">IF($D167="","",IF($AI167,MIN(OFFSET(hdr_PlanStart,$AF167+1,0,$AH167,1)),IF($E167="Manual",IF(N($M167)&gt;0,$M167,ProjectStart),WORKDAY.INTL(MAX(ProjectStart,N($M167),$AK167,$AL167)-1,1,WorkWeek,Holidays))))</f>
        <v/>
      </c>
      <c r="O167" s="30" t="str">
        <f aca="true">IF($D167="","",IF($AI167,MAX(OFFSET(hdr_PlanFinish,$AF167+1,0,$AH167,1)),IF(N($F167)&lt;=0,$N167,WORKDAY.INTL($N167,$F167-1,WorkWeek,Holidays))))</f>
        <v/>
      </c>
      <c r="P167" s="29"/>
      <c r="Q167" s="29"/>
      <c r="R167" s="30" t="str">
        <f aca="true">IF($D167="","",IF($AI167,MIN(OFFSET(hdr_FcStart,$AF167+1,0,$AH167,1)),IF(N($P167)&gt;0,$P167,IF($E167="Manual",IF(N($M167)&gt;0,$M167,ProjectStart),WORKDAY.INTL(MAX(ProjectStart,N($M167),$AM167,$AN167,IF(RescheduleAfterStatus="Yes",StatusDate,0))-1,1,WorkWeek,Holidays)))))</f>
        <v/>
      </c>
      <c r="S167" s="30" t="str">
        <f aca="true">IF($D167="","",IF($AI167,MAX(OFFSET(hdr_FcFinish,$AF167+1,0,$AH167,1)),IF(N($Q167)&gt;0,$Q167,IF(N($F167)&lt;=0,$R167,IF(AND(N($P167)&gt;0,RescheduleAfterStatus="Yes"),MAX(WORKDAY.INTL($R167,$F167-1,WorkWeek,Holidays),WORKDAY.INTL(StatusWorkday,MAX(0,ROUNDUP($F167*(1-MIN(1,N($U167))),0)-1),WorkWeek,Holidays)),WORKDAY.INTL($R167,$F167-1,WorkWeek,Holidays))))))</f>
        <v/>
      </c>
      <c r="T167" s="38" t="str">
        <f aca="false">IF($D167="","",IF($S167&gt;=$O167,NETWORKDAYS.INTL($O167,$S167,WorkWeek,Holidays)-1,1-NETWORKDAYS.INTL($S167,$O167,WorkWeek,Holidays)))</f>
        <v/>
      </c>
      <c r="U167" s="32"/>
      <c r="V167" s="42" t="str">
        <f aca="true">IF($D167="","",IF($AI167,IFERROR(SUM(OFFSET(hdr_WtDone,$AF167+1,0,$AH167,1))/SUM(OFFSET(hdr_WtDur,$AF167+1,0,$AH167,1)),0),IF(N($Q167)&gt;0,1,MIN(1,N($U167)))))</f>
        <v/>
      </c>
      <c r="W167" s="39" t="str">
        <f aca="false">IF($D167="","",IF($V167&gt;=1,"Complete",IF(OR(N($P167)&gt;0,$V167&gt;0),IF($T167&gt;0,"Behind","In Progress"),IF($N167&lt;StatusDate,"Late Start","Not Started"))))</f>
        <v/>
      </c>
      <c r="X167" s="41"/>
      <c r="Y167" s="32"/>
      <c r="Z167" s="43" t="str">
        <f aca="true">IF($D167="","",IF($AI167,SUMPRODUCT(OFFSET(hdr_Work,$AF167+1,0,$AH167,1),OFFSET(hdr_IsLeaf,$AF167+1,0,$AH167,1)),IF($X167="",0,N($F167)*HoursPerDay*IF($Y167="",DefaultUnits,$Y167))))</f>
        <v/>
      </c>
      <c r="AA167" s="44" t="str">
        <f aca="true">IF($D167="","",IF($AI167,SUMPRODUCT(OFFSET(hdr_Cost,$AF167+1,0,$AH167,1),OFFSET(hdr_IsLeaf,$AF167+1,0,$AH167,1)),$Z167*IFERROR(INDEX(res_Rate,MATCH($X167,res_Name,0)),0)))</f>
        <v/>
      </c>
      <c r="AB167" s="38" t="str">
        <f aca="false">IF(OR($D167="",$AI167),"",IF(OR($R167&lt;Sprint1Start,$R167&gt;SprintLastEnd),"Backlog",INDEX(spr_Name,MATCH($R167,spr_Start,1))))</f>
        <v/>
      </c>
      <c r="AC167" s="45" t="str">
        <f aca="false">IF($D167="","",$AT167&amp;IF(AND($AT167&lt;&gt;"",$AU167&lt;&gt;""),",","")&amp;$AU167)</f>
        <v/>
      </c>
      <c r="AD167" s="41"/>
      <c r="AE167" s="46" t="str">
        <f aca="false">IF($D167="","",MAX(1,N($C167)))</f>
        <v/>
      </c>
      <c r="AF167" s="46" t="n">
        <f aca="false">ROW()-ROW(hdr_ID)</f>
        <v>162</v>
      </c>
      <c r="AG167" s="46" t="n">
        <f aca="false">IF(OR($D167="",$AE167&lt;=1),0,IFERROR(LOOKUP(2,1/($AE$5:$AE166=$AE167-1),ROW($AE$5:$AE166)),0))</f>
        <v>0</v>
      </c>
      <c r="AH167" s="46" t="n">
        <f aca="false">IF($D167="",0,COUNTIF(tsk_WBS,$B167&amp;".*"))</f>
        <v>0</v>
      </c>
      <c r="AI167" s="47" t="b">
        <f aca="false">$AH167&gt;0</f>
        <v>0</v>
      </c>
      <c r="AJ167" s="46" t="n">
        <f aca="false">IF(AND($D167&lt;&gt;"",NOT($AI167)),1,0)</f>
        <v>0</v>
      </c>
      <c r="AK167" s="48" t="n">
        <f aca="true">IF(OR(N($G167)=0,$AI167,$D167=""),0,IFERROR(CHOOSE(MATCH(IF($H167="","FS",$H167),{"FS","SS","FF","SF"},0),WORKDAY.INTL(OFFSET(hdr_PlanFinish,MATCH($G167,tsk_ID,0),0),IF(N($F167)=0,0,1)+N($I167),WorkWeek,Holidays),WORKDAY.INTL(OFFSET(hdr_PlanStart,MATCH($G167,tsk_ID,0),0),N($I167),WorkWeek,Holidays),WORKDAY.INTL(WORKDAY.INTL(OFFSET(hdr_PlanFinish,MATCH($G167,tsk_ID,0),0),N($I167),WorkWeek,Holidays),-MAX(0,N($F167)-1),WorkWeek,Holidays),WORKDAY.INTL(WORKDAY.INTL(OFFSET(hdr_PlanStart,MATCH($G167,tsk_ID,0),0),N($I167),WorkWeek,Holidays),-MAX(0,N($F167)-1),WorkWeek,Holidays)),0))</f>
        <v>0</v>
      </c>
      <c r="AL167" s="48" t="n">
        <f aca="true">IF(OR(N($J167)=0,$AI167,$D167=""),0,IFERROR(CHOOSE(MATCH(IF($K167="","FS",$K167),{"FS","SS","FF","SF"},0),WORKDAY.INTL(OFFSET(hdr_PlanFinish,MATCH($J167,tsk_ID,0),0),IF(N($F167)=0,0,1)+N($L167),WorkWeek,Holidays),WORKDAY.INTL(OFFSET(hdr_PlanStart,MATCH($J167,tsk_ID,0),0),N($L167),WorkWeek,Holidays),WORKDAY.INTL(WORKDAY.INTL(OFFSET(hdr_PlanFinish,MATCH($J167,tsk_ID,0),0),N($L167),WorkWeek,Holidays),-MAX(0,N($F167)-1),WorkWeek,Holidays),WORKDAY.INTL(WORKDAY.INTL(OFFSET(hdr_PlanStart,MATCH($J167,tsk_ID,0),0),N($L167),WorkWeek,Holidays),-MAX(0,N($F167)-1),WorkWeek,Holidays)),0))</f>
        <v>0</v>
      </c>
      <c r="AM167" s="48" t="n">
        <f aca="true">IF(OR(N($G167)=0,$AI167,$D167=""),0,IFERROR(CHOOSE(MATCH(IF($H167="","FS",$H167),{"FS","SS","FF","SF"},0),WORKDAY.INTL(OFFSET(hdr_FcFinish,MATCH($G167,tsk_ID,0),0),IF(N($F167)=0,0,1)+N($I167),WorkWeek,Holidays),WORKDAY.INTL(OFFSET(hdr_FcStart,MATCH($G167,tsk_ID,0),0),N($I167),WorkWeek,Holidays),WORKDAY.INTL(WORKDAY.INTL(OFFSET(hdr_FcFinish,MATCH($G167,tsk_ID,0),0),N($I167),WorkWeek,Holidays),-MAX(0,N($F167)-1),WorkWeek,Holidays),WORKDAY.INTL(WORKDAY.INTL(OFFSET(hdr_FcStart,MATCH($G167,tsk_ID,0),0),N($I167),WorkWeek,Holidays),-MAX(0,N($F167)-1),WorkWeek,Holidays)),0))</f>
        <v>0</v>
      </c>
      <c r="AN167" s="48" t="n">
        <f aca="true">IF(OR(N($J167)=0,$AI167,$D167=""),0,IFERROR(CHOOSE(MATCH(IF($K167="","FS",$K167),{"FS","SS","FF","SF"},0),WORKDAY.INTL(OFFSET(hdr_FcFinish,MATCH($J167,tsk_ID,0),0),IF(N($F167)=0,0,1)+N($L167),WorkWeek,Holidays),WORKDAY.INTL(OFFSET(hdr_FcStart,MATCH($J167,tsk_ID,0),0),N($L167),WorkWeek,Holidays),WORKDAY.INTL(WORKDAY.INTL(OFFSET(hdr_FcFinish,MATCH($J167,tsk_ID,0),0),N($L167),WorkWeek,Holidays),-MAX(0,N($F167)-1),WorkWeek,Holidays),WORKDAY.INTL(WORKDAY.INTL(OFFSET(hdr_FcStart,MATCH($J167,tsk_ID,0),0),N($L167),WorkWeek,Holidays),-MAX(0,N($F167)-1),WorkWeek,Holidays)),0))</f>
        <v>0</v>
      </c>
      <c r="AO167" s="48" t="n">
        <f aca="false">IF($AJ167=1,$R167,0)</f>
        <v>0</v>
      </c>
      <c r="AP167" s="48" t="n">
        <f aca="false">IF($AJ167=1,$S167,0)</f>
        <v>0</v>
      </c>
      <c r="AQ167" s="49" t="n">
        <f aca="false">IF(AND($AJ167=1,N($Z167)&gt;0),$Z167/($AP167-$AO167+1),0)</f>
        <v>0</v>
      </c>
      <c r="AR167" s="46" t="n">
        <f aca="false">IF($AJ167=1,MAX(N($F167),0.1),0)</f>
        <v>0</v>
      </c>
      <c r="AS167" s="46" t="n">
        <f aca="false">IF($AJ167=1,$AR167*$V167,0)</f>
        <v>0</v>
      </c>
      <c r="AT167" s="46" t="str">
        <f aca="false">IF(N($G167)=0,"",$G167&amp;IF(AND(IF($H167="","FS",$H167)="FS",N($I167)=0),"",IF($H167="","FS",$H167)&amp;IF(N($I167)=0,"",IF(N($I167)&gt;0,"+","")&amp;N($I167)&amp;"d")))</f>
        <v/>
      </c>
      <c r="AU167" s="46" t="str">
        <f aca="false">IF(N($J167)=0,"",$J167&amp;IF(AND(IF($K167="","FS",$K167)="FS",N($L167)=0),"",IF($K167="","FS",$K167)&amp;IF(N($L167)=0,"",IF(N($L167)&gt;0,"+","")&amp;N($L167)&amp;"d")))</f>
        <v/>
      </c>
      <c r="AV167" s="46" t="str">
        <f aca="false">IF(AND($AJ167=1,N($F167)=0,$V167&lt;1),$S167+$AF167/100000,"")</f>
        <v/>
      </c>
    </row>
    <row r="168" customFormat="false" ht="15" hidden="false" customHeight="false" outlineLevel="0" collapsed="false">
      <c r="A168" s="38" t="str">
        <f aca="false">IF($D168="","",COUNTA($D$6:$D168))</f>
        <v/>
      </c>
      <c r="B168" s="39" t="str">
        <f aca="true">IF($D168="","",IF($AE168=1,COUNTIF($AE$6:$AE168,1)&amp;"",IF($AG168=0,"?",OFFSET(hdr_WBS,$AG168-ROW(hdr_WBS),0)&amp;"."&amp;COUNTIF(INDEX($AE:$AE,$AG168+1):$AE168,$AE168))))</f>
        <v/>
      </c>
      <c r="C168" s="40"/>
      <c r="D168" s="41"/>
      <c r="E168" s="40"/>
      <c r="F168" s="40"/>
      <c r="G168" s="40"/>
      <c r="H168" s="40"/>
      <c r="I168" s="40"/>
      <c r="J168" s="40"/>
      <c r="K168" s="40"/>
      <c r="L168" s="40"/>
      <c r="M168" s="29"/>
      <c r="N168" s="30" t="str">
        <f aca="true">IF($D168="","",IF($AI168,MIN(OFFSET(hdr_PlanStart,$AF168+1,0,$AH168,1)),IF($E168="Manual",IF(N($M168)&gt;0,$M168,ProjectStart),WORKDAY.INTL(MAX(ProjectStart,N($M168),$AK168,$AL168)-1,1,WorkWeek,Holidays))))</f>
        <v/>
      </c>
      <c r="O168" s="30" t="str">
        <f aca="true">IF($D168="","",IF($AI168,MAX(OFFSET(hdr_PlanFinish,$AF168+1,0,$AH168,1)),IF(N($F168)&lt;=0,$N168,WORKDAY.INTL($N168,$F168-1,WorkWeek,Holidays))))</f>
        <v/>
      </c>
      <c r="P168" s="29"/>
      <c r="Q168" s="29"/>
      <c r="R168" s="30" t="str">
        <f aca="true">IF($D168="","",IF($AI168,MIN(OFFSET(hdr_FcStart,$AF168+1,0,$AH168,1)),IF(N($P168)&gt;0,$P168,IF($E168="Manual",IF(N($M168)&gt;0,$M168,ProjectStart),WORKDAY.INTL(MAX(ProjectStart,N($M168),$AM168,$AN168,IF(RescheduleAfterStatus="Yes",StatusDate,0))-1,1,WorkWeek,Holidays)))))</f>
        <v/>
      </c>
      <c r="S168" s="30" t="str">
        <f aca="true">IF($D168="","",IF($AI168,MAX(OFFSET(hdr_FcFinish,$AF168+1,0,$AH168,1)),IF(N($Q168)&gt;0,$Q168,IF(N($F168)&lt;=0,$R168,IF(AND(N($P168)&gt;0,RescheduleAfterStatus="Yes"),MAX(WORKDAY.INTL($R168,$F168-1,WorkWeek,Holidays),WORKDAY.INTL(StatusWorkday,MAX(0,ROUNDUP($F168*(1-MIN(1,N($U168))),0)-1),WorkWeek,Holidays)),WORKDAY.INTL($R168,$F168-1,WorkWeek,Holidays))))))</f>
        <v/>
      </c>
      <c r="T168" s="38" t="str">
        <f aca="false">IF($D168="","",IF($S168&gt;=$O168,NETWORKDAYS.INTL($O168,$S168,WorkWeek,Holidays)-1,1-NETWORKDAYS.INTL($S168,$O168,WorkWeek,Holidays)))</f>
        <v/>
      </c>
      <c r="U168" s="32"/>
      <c r="V168" s="42" t="str">
        <f aca="true">IF($D168="","",IF($AI168,IFERROR(SUM(OFFSET(hdr_WtDone,$AF168+1,0,$AH168,1))/SUM(OFFSET(hdr_WtDur,$AF168+1,0,$AH168,1)),0),IF(N($Q168)&gt;0,1,MIN(1,N($U168)))))</f>
        <v/>
      </c>
      <c r="W168" s="39" t="str">
        <f aca="false">IF($D168="","",IF($V168&gt;=1,"Complete",IF(OR(N($P168)&gt;0,$V168&gt;0),IF($T168&gt;0,"Behind","In Progress"),IF($N168&lt;StatusDate,"Late Start","Not Started"))))</f>
        <v/>
      </c>
      <c r="X168" s="41"/>
      <c r="Y168" s="32"/>
      <c r="Z168" s="43" t="str">
        <f aca="true">IF($D168="","",IF($AI168,SUMPRODUCT(OFFSET(hdr_Work,$AF168+1,0,$AH168,1),OFFSET(hdr_IsLeaf,$AF168+1,0,$AH168,1)),IF($X168="",0,N($F168)*HoursPerDay*IF($Y168="",DefaultUnits,$Y168))))</f>
        <v/>
      </c>
      <c r="AA168" s="44" t="str">
        <f aca="true">IF($D168="","",IF($AI168,SUMPRODUCT(OFFSET(hdr_Cost,$AF168+1,0,$AH168,1),OFFSET(hdr_IsLeaf,$AF168+1,0,$AH168,1)),$Z168*IFERROR(INDEX(res_Rate,MATCH($X168,res_Name,0)),0)))</f>
        <v/>
      </c>
      <c r="AB168" s="38" t="str">
        <f aca="false">IF(OR($D168="",$AI168),"",IF(OR($R168&lt;Sprint1Start,$R168&gt;SprintLastEnd),"Backlog",INDEX(spr_Name,MATCH($R168,spr_Start,1))))</f>
        <v/>
      </c>
      <c r="AC168" s="45" t="str">
        <f aca="false">IF($D168="","",$AT168&amp;IF(AND($AT168&lt;&gt;"",$AU168&lt;&gt;""),",","")&amp;$AU168)</f>
        <v/>
      </c>
      <c r="AD168" s="41"/>
      <c r="AE168" s="46" t="str">
        <f aca="false">IF($D168="","",MAX(1,N($C168)))</f>
        <v/>
      </c>
      <c r="AF168" s="46" t="n">
        <f aca="false">ROW()-ROW(hdr_ID)</f>
        <v>163</v>
      </c>
      <c r="AG168" s="46" t="n">
        <f aca="false">IF(OR($D168="",$AE168&lt;=1),0,IFERROR(LOOKUP(2,1/($AE$5:$AE167=$AE168-1),ROW($AE$5:$AE167)),0))</f>
        <v>0</v>
      </c>
      <c r="AH168" s="46" t="n">
        <f aca="false">IF($D168="",0,COUNTIF(tsk_WBS,$B168&amp;".*"))</f>
        <v>0</v>
      </c>
      <c r="AI168" s="47" t="b">
        <f aca="false">$AH168&gt;0</f>
        <v>0</v>
      </c>
      <c r="AJ168" s="46" t="n">
        <f aca="false">IF(AND($D168&lt;&gt;"",NOT($AI168)),1,0)</f>
        <v>0</v>
      </c>
      <c r="AK168" s="48" t="n">
        <f aca="true">IF(OR(N($G168)=0,$AI168,$D168=""),0,IFERROR(CHOOSE(MATCH(IF($H168="","FS",$H168),{"FS","SS","FF","SF"},0),WORKDAY.INTL(OFFSET(hdr_PlanFinish,MATCH($G168,tsk_ID,0),0),IF(N($F168)=0,0,1)+N($I168),WorkWeek,Holidays),WORKDAY.INTL(OFFSET(hdr_PlanStart,MATCH($G168,tsk_ID,0),0),N($I168),WorkWeek,Holidays),WORKDAY.INTL(WORKDAY.INTL(OFFSET(hdr_PlanFinish,MATCH($G168,tsk_ID,0),0),N($I168),WorkWeek,Holidays),-MAX(0,N($F168)-1),WorkWeek,Holidays),WORKDAY.INTL(WORKDAY.INTL(OFFSET(hdr_PlanStart,MATCH($G168,tsk_ID,0),0),N($I168),WorkWeek,Holidays),-MAX(0,N($F168)-1),WorkWeek,Holidays)),0))</f>
        <v>0</v>
      </c>
      <c r="AL168" s="48" t="n">
        <f aca="true">IF(OR(N($J168)=0,$AI168,$D168=""),0,IFERROR(CHOOSE(MATCH(IF($K168="","FS",$K168),{"FS","SS","FF","SF"},0),WORKDAY.INTL(OFFSET(hdr_PlanFinish,MATCH($J168,tsk_ID,0),0),IF(N($F168)=0,0,1)+N($L168),WorkWeek,Holidays),WORKDAY.INTL(OFFSET(hdr_PlanStart,MATCH($J168,tsk_ID,0),0),N($L168),WorkWeek,Holidays),WORKDAY.INTL(WORKDAY.INTL(OFFSET(hdr_PlanFinish,MATCH($J168,tsk_ID,0),0),N($L168),WorkWeek,Holidays),-MAX(0,N($F168)-1),WorkWeek,Holidays),WORKDAY.INTL(WORKDAY.INTL(OFFSET(hdr_PlanStart,MATCH($J168,tsk_ID,0),0),N($L168),WorkWeek,Holidays),-MAX(0,N($F168)-1),WorkWeek,Holidays)),0))</f>
        <v>0</v>
      </c>
      <c r="AM168" s="48" t="n">
        <f aca="true">IF(OR(N($G168)=0,$AI168,$D168=""),0,IFERROR(CHOOSE(MATCH(IF($H168="","FS",$H168),{"FS","SS","FF","SF"},0),WORKDAY.INTL(OFFSET(hdr_FcFinish,MATCH($G168,tsk_ID,0),0),IF(N($F168)=0,0,1)+N($I168),WorkWeek,Holidays),WORKDAY.INTL(OFFSET(hdr_FcStart,MATCH($G168,tsk_ID,0),0),N($I168),WorkWeek,Holidays),WORKDAY.INTL(WORKDAY.INTL(OFFSET(hdr_FcFinish,MATCH($G168,tsk_ID,0),0),N($I168),WorkWeek,Holidays),-MAX(0,N($F168)-1),WorkWeek,Holidays),WORKDAY.INTL(WORKDAY.INTL(OFFSET(hdr_FcStart,MATCH($G168,tsk_ID,0),0),N($I168),WorkWeek,Holidays),-MAX(0,N($F168)-1),WorkWeek,Holidays)),0))</f>
        <v>0</v>
      </c>
      <c r="AN168" s="48" t="n">
        <f aca="true">IF(OR(N($J168)=0,$AI168,$D168=""),0,IFERROR(CHOOSE(MATCH(IF($K168="","FS",$K168),{"FS","SS","FF","SF"},0),WORKDAY.INTL(OFFSET(hdr_FcFinish,MATCH($J168,tsk_ID,0),0),IF(N($F168)=0,0,1)+N($L168),WorkWeek,Holidays),WORKDAY.INTL(OFFSET(hdr_FcStart,MATCH($J168,tsk_ID,0),0),N($L168),WorkWeek,Holidays),WORKDAY.INTL(WORKDAY.INTL(OFFSET(hdr_FcFinish,MATCH($J168,tsk_ID,0),0),N($L168),WorkWeek,Holidays),-MAX(0,N($F168)-1),WorkWeek,Holidays),WORKDAY.INTL(WORKDAY.INTL(OFFSET(hdr_FcStart,MATCH($J168,tsk_ID,0),0),N($L168),WorkWeek,Holidays),-MAX(0,N($F168)-1),WorkWeek,Holidays)),0))</f>
        <v>0</v>
      </c>
      <c r="AO168" s="48" t="n">
        <f aca="false">IF($AJ168=1,$R168,0)</f>
        <v>0</v>
      </c>
      <c r="AP168" s="48" t="n">
        <f aca="false">IF($AJ168=1,$S168,0)</f>
        <v>0</v>
      </c>
      <c r="AQ168" s="49" t="n">
        <f aca="false">IF(AND($AJ168=1,N($Z168)&gt;0),$Z168/($AP168-$AO168+1),0)</f>
        <v>0</v>
      </c>
      <c r="AR168" s="46" t="n">
        <f aca="false">IF($AJ168=1,MAX(N($F168),0.1),0)</f>
        <v>0</v>
      </c>
      <c r="AS168" s="46" t="n">
        <f aca="false">IF($AJ168=1,$AR168*$V168,0)</f>
        <v>0</v>
      </c>
      <c r="AT168" s="46" t="str">
        <f aca="false">IF(N($G168)=0,"",$G168&amp;IF(AND(IF($H168="","FS",$H168)="FS",N($I168)=0),"",IF($H168="","FS",$H168)&amp;IF(N($I168)=0,"",IF(N($I168)&gt;0,"+","")&amp;N($I168)&amp;"d")))</f>
        <v/>
      </c>
      <c r="AU168" s="46" t="str">
        <f aca="false">IF(N($J168)=0,"",$J168&amp;IF(AND(IF($K168="","FS",$K168)="FS",N($L168)=0),"",IF($K168="","FS",$K168)&amp;IF(N($L168)=0,"",IF(N($L168)&gt;0,"+","")&amp;N($L168)&amp;"d")))</f>
        <v/>
      </c>
      <c r="AV168" s="46" t="str">
        <f aca="false">IF(AND($AJ168=1,N($F168)=0,$V168&lt;1),$S168+$AF168/100000,"")</f>
        <v/>
      </c>
    </row>
    <row r="169" customFormat="false" ht="15" hidden="false" customHeight="false" outlineLevel="0" collapsed="false">
      <c r="A169" s="38" t="str">
        <f aca="false">IF($D169="","",COUNTA($D$6:$D169))</f>
        <v/>
      </c>
      <c r="B169" s="39" t="str">
        <f aca="true">IF($D169="","",IF($AE169=1,COUNTIF($AE$6:$AE169,1)&amp;"",IF($AG169=0,"?",OFFSET(hdr_WBS,$AG169-ROW(hdr_WBS),0)&amp;"."&amp;COUNTIF(INDEX($AE:$AE,$AG169+1):$AE169,$AE169))))</f>
        <v/>
      </c>
      <c r="C169" s="40"/>
      <c r="D169" s="41"/>
      <c r="E169" s="40"/>
      <c r="F169" s="40"/>
      <c r="G169" s="40"/>
      <c r="H169" s="40"/>
      <c r="I169" s="40"/>
      <c r="J169" s="40"/>
      <c r="K169" s="40"/>
      <c r="L169" s="40"/>
      <c r="M169" s="29"/>
      <c r="N169" s="30" t="str">
        <f aca="true">IF($D169="","",IF($AI169,MIN(OFFSET(hdr_PlanStart,$AF169+1,0,$AH169,1)),IF($E169="Manual",IF(N($M169)&gt;0,$M169,ProjectStart),WORKDAY.INTL(MAX(ProjectStart,N($M169),$AK169,$AL169)-1,1,WorkWeek,Holidays))))</f>
        <v/>
      </c>
      <c r="O169" s="30" t="str">
        <f aca="true">IF($D169="","",IF($AI169,MAX(OFFSET(hdr_PlanFinish,$AF169+1,0,$AH169,1)),IF(N($F169)&lt;=0,$N169,WORKDAY.INTL($N169,$F169-1,WorkWeek,Holidays))))</f>
        <v/>
      </c>
      <c r="P169" s="29"/>
      <c r="Q169" s="29"/>
      <c r="R169" s="30" t="str">
        <f aca="true">IF($D169="","",IF($AI169,MIN(OFFSET(hdr_FcStart,$AF169+1,0,$AH169,1)),IF(N($P169)&gt;0,$P169,IF($E169="Manual",IF(N($M169)&gt;0,$M169,ProjectStart),WORKDAY.INTL(MAX(ProjectStart,N($M169),$AM169,$AN169,IF(RescheduleAfterStatus="Yes",StatusDate,0))-1,1,WorkWeek,Holidays)))))</f>
        <v/>
      </c>
      <c r="S169" s="30" t="str">
        <f aca="true">IF($D169="","",IF($AI169,MAX(OFFSET(hdr_FcFinish,$AF169+1,0,$AH169,1)),IF(N($Q169)&gt;0,$Q169,IF(N($F169)&lt;=0,$R169,IF(AND(N($P169)&gt;0,RescheduleAfterStatus="Yes"),MAX(WORKDAY.INTL($R169,$F169-1,WorkWeek,Holidays),WORKDAY.INTL(StatusWorkday,MAX(0,ROUNDUP($F169*(1-MIN(1,N($U169))),0)-1),WorkWeek,Holidays)),WORKDAY.INTL($R169,$F169-1,WorkWeek,Holidays))))))</f>
        <v/>
      </c>
      <c r="T169" s="38" t="str">
        <f aca="false">IF($D169="","",IF($S169&gt;=$O169,NETWORKDAYS.INTL($O169,$S169,WorkWeek,Holidays)-1,1-NETWORKDAYS.INTL($S169,$O169,WorkWeek,Holidays)))</f>
        <v/>
      </c>
      <c r="U169" s="32"/>
      <c r="V169" s="42" t="str">
        <f aca="true">IF($D169="","",IF($AI169,IFERROR(SUM(OFFSET(hdr_WtDone,$AF169+1,0,$AH169,1))/SUM(OFFSET(hdr_WtDur,$AF169+1,0,$AH169,1)),0),IF(N($Q169)&gt;0,1,MIN(1,N($U169)))))</f>
        <v/>
      </c>
      <c r="W169" s="39" t="str">
        <f aca="false">IF($D169="","",IF($V169&gt;=1,"Complete",IF(OR(N($P169)&gt;0,$V169&gt;0),IF($T169&gt;0,"Behind","In Progress"),IF($N169&lt;StatusDate,"Late Start","Not Started"))))</f>
        <v/>
      </c>
      <c r="X169" s="41"/>
      <c r="Y169" s="32"/>
      <c r="Z169" s="43" t="str">
        <f aca="true">IF($D169="","",IF($AI169,SUMPRODUCT(OFFSET(hdr_Work,$AF169+1,0,$AH169,1),OFFSET(hdr_IsLeaf,$AF169+1,0,$AH169,1)),IF($X169="",0,N($F169)*HoursPerDay*IF($Y169="",DefaultUnits,$Y169))))</f>
        <v/>
      </c>
      <c r="AA169" s="44" t="str">
        <f aca="true">IF($D169="","",IF($AI169,SUMPRODUCT(OFFSET(hdr_Cost,$AF169+1,0,$AH169,1),OFFSET(hdr_IsLeaf,$AF169+1,0,$AH169,1)),$Z169*IFERROR(INDEX(res_Rate,MATCH($X169,res_Name,0)),0)))</f>
        <v/>
      </c>
      <c r="AB169" s="38" t="str">
        <f aca="false">IF(OR($D169="",$AI169),"",IF(OR($R169&lt;Sprint1Start,$R169&gt;SprintLastEnd),"Backlog",INDEX(spr_Name,MATCH($R169,spr_Start,1))))</f>
        <v/>
      </c>
      <c r="AC169" s="45" t="str">
        <f aca="false">IF($D169="","",$AT169&amp;IF(AND($AT169&lt;&gt;"",$AU169&lt;&gt;""),",","")&amp;$AU169)</f>
        <v/>
      </c>
      <c r="AD169" s="41"/>
      <c r="AE169" s="46" t="str">
        <f aca="false">IF($D169="","",MAX(1,N($C169)))</f>
        <v/>
      </c>
      <c r="AF169" s="46" t="n">
        <f aca="false">ROW()-ROW(hdr_ID)</f>
        <v>164</v>
      </c>
      <c r="AG169" s="46" t="n">
        <f aca="false">IF(OR($D169="",$AE169&lt;=1),0,IFERROR(LOOKUP(2,1/($AE$5:$AE168=$AE169-1),ROW($AE$5:$AE168)),0))</f>
        <v>0</v>
      </c>
      <c r="AH169" s="46" t="n">
        <f aca="false">IF($D169="",0,COUNTIF(tsk_WBS,$B169&amp;".*"))</f>
        <v>0</v>
      </c>
      <c r="AI169" s="47" t="b">
        <f aca="false">$AH169&gt;0</f>
        <v>0</v>
      </c>
      <c r="AJ169" s="46" t="n">
        <f aca="false">IF(AND($D169&lt;&gt;"",NOT($AI169)),1,0)</f>
        <v>0</v>
      </c>
      <c r="AK169" s="48" t="n">
        <f aca="true">IF(OR(N($G169)=0,$AI169,$D169=""),0,IFERROR(CHOOSE(MATCH(IF($H169="","FS",$H169),{"FS","SS","FF","SF"},0),WORKDAY.INTL(OFFSET(hdr_PlanFinish,MATCH($G169,tsk_ID,0),0),IF(N($F169)=0,0,1)+N($I169),WorkWeek,Holidays),WORKDAY.INTL(OFFSET(hdr_PlanStart,MATCH($G169,tsk_ID,0),0),N($I169),WorkWeek,Holidays),WORKDAY.INTL(WORKDAY.INTL(OFFSET(hdr_PlanFinish,MATCH($G169,tsk_ID,0),0),N($I169),WorkWeek,Holidays),-MAX(0,N($F169)-1),WorkWeek,Holidays),WORKDAY.INTL(WORKDAY.INTL(OFFSET(hdr_PlanStart,MATCH($G169,tsk_ID,0),0),N($I169),WorkWeek,Holidays),-MAX(0,N($F169)-1),WorkWeek,Holidays)),0))</f>
        <v>0</v>
      </c>
      <c r="AL169" s="48" t="n">
        <f aca="true">IF(OR(N($J169)=0,$AI169,$D169=""),0,IFERROR(CHOOSE(MATCH(IF($K169="","FS",$K169),{"FS","SS","FF","SF"},0),WORKDAY.INTL(OFFSET(hdr_PlanFinish,MATCH($J169,tsk_ID,0),0),IF(N($F169)=0,0,1)+N($L169),WorkWeek,Holidays),WORKDAY.INTL(OFFSET(hdr_PlanStart,MATCH($J169,tsk_ID,0),0),N($L169),WorkWeek,Holidays),WORKDAY.INTL(WORKDAY.INTL(OFFSET(hdr_PlanFinish,MATCH($J169,tsk_ID,0),0),N($L169),WorkWeek,Holidays),-MAX(0,N($F169)-1),WorkWeek,Holidays),WORKDAY.INTL(WORKDAY.INTL(OFFSET(hdr_PlanStart,MATCH($J169,tsk_ID,0),0),N($L169),WorkWeek,Holidays),-MAX(0,N($F169)-1),WorkWeek,Holidays)),0))</f>
        <v>0</v>
      </c>
      <c r="AM169" s="48" t="n">
        <f aca="true">IF(OR(N($G169)=0,$AI169,$D169=""),0,IFERROR(CHOOSE(MATCH(IF($H169="","FS",$H169),{"FS","SS","FF","SF"},0),WORKDAY.INTL(OFFSET(hdr_FcFinish,MATCH($G169,tsk_ID,0),0),IF(N($F169)=0,0,1)+N($I169),WorkWeek,Holidays),WORKDAY.INTL(OFFSET(hdr_FcStart,MATCH($G169,tsk_ID,0),0),N($I169),WorkWeek,Holidays),WORKDAY.INTL(WORKDAY.INTL(OFFSET(hdr_FcFinish,MATCH($G169,tsk_ID,0),0),N($I169),WorkWeek,Holidays),-MAX(0,N($F169)-1),WorkWeek,Holidays),WORKDAY.INTL(WORKDAY.INTL(OFFSET(hdr_FcStart,MATCH($G169,tsk_ID,0),0),N($I169),WorkWeek,Holidays),-MAX(0,N($F169)-1),WorkWeek,Holidays)),0))</f>
        <v>0</v>
      </c>
      <c r="AN169" s="48" t="n">
        <f aca="true">IF(OR(N($J169)=0,$AI169,$D169=""),0,IFERROR(CHOOSE(MATCH(IF($K169="","FS",$K169),{"FS","SS","FF","SF"},0),WORKDAY.INTL(OFFSET(hdr_FcFinish,MATCH($J169,tsk_ID,0),0),IF(N($F169)=0,0,1)+N($L169),WorkWeek,Holidays),WORKDAY.INTL(OFFSET(hdr_FcStart,MATCH($J169,tsk_ID,0),0),N($L169),WorkWeek,Holidays),WORKDAY.INTL(WORKDAY.INTL(OFFSET(hdr_FcFinish,MATCH($J169,tsk_ID,0),0),N($L169),WorkWeek,Holidays),-MAX(0,N($F169)-1),WorkWeek,Holidays),WORKDAY.INTL(WORKDAY.INTL(OFFSET(hdr_FcStart,MATCH($J169,tsk_ID,0),0),N($L169),WorkWeek,Holidays),-MAX(0,N($F169)-1),WorkWeek,Holidays)),0))</f>
        <v>0</v>
      </c>
      <c r="AO169" s="48" t="n">
        <f aca="false">IF($AJ169=1,$R169,0)</f>
        <v>0</v>
      </c>
      <c r="AP169" s="48" t="n">
        <f aca="false">IF($AJ169=1,$S169,0)</f>
        <v>0</v>
      </c>
      <c r="AQ169" s="49" t="n">
        <f aca="false">IF(AND($AJ169=1,N($Z169)&gt;0),$Z169/($AP169-$AO169+1),0)</f>
        <v>0</v>
      </c>
      <c r="AR169" s="46" t="n">
        <f aca="false">IF($AJ169=1,MAX(N($F169),0.1),0)</f>
        <v>0</v>
      </c>
      <c r="AS169" s="46" t="n">
        <f aca="false">IF($AJ169=1,$AR169*$V169,0)</f>
        <v>0</v>
      </c>
      <c r="AT169" s="46" t="str">
        <f aca="false">IF(N($G169)=0,"",$G169&amp;IF(AND(IF($H169="","FS",$H169)="FS",N($I169)=0),"",IF($H169="","FS",$H169)&amp;IF(N($I169)=0,"",IF(N($I169)&gt;0,"+","")&amp;N($I169)&amp;"d")))</f>
        <v/>
      </c>
      <c r="AU169" s="46" t="str">
        <f aca="false">IF(N($J169)=0,"",$J169&amp;IF(AND(IF($K169="","FS",$K169)="FS",N($L169)=0),"",IF($K169="","FS",$K169)&amp;IF(N($L169)=0,"",IF(N($L169)&gt;0,"+","")&amp;N($L169)&amp;"d")))</f>
        <v/>
      </c>
      <c r="AV169" s="46" t="str">
        <f aca="false">IF(AND($AJ169=1,N($F169)=0,$V169&lt;1),$S169+$AF169/100000,"")</f>
        <v/>
      </c>
    </row>
    <row r="170" customFormat="false" ht="15" hidden="false" customHeight="false" outlineLevel="0" collapsed="false">
      <c r="A170" s="38" t="str">
        <f aca="false">IF($D170="","",COUNTA($D$6:$D170))</f>
        <v/>
      </c>
      <c r="B170" s="39" t="str">
        <f aca="true">IF($D170="","",IF($AE170=1,COUNTIF($AE$6:$AE170,1)&amp;"",IF($AG170=0,"?",OFFSET(hdr_WBS,$AG170-ROW(hdr_WBS),0)&amp;"."&amp;COUNTIF(INDEX($AE:$AE,$AG170+1):$AE170,$AE170))))</f>
        <v/>
      </c>
      <c r="C170" s="40"/>
      <c r="D170" s="41"/>
      <c r="E170" s="40"/>
      <c r="F170" s="40"/>
      <c r="G170" s="40"/>
      <c r="H170" s="40"/>
      <c r="I170" s="40"/>
      <c r="J170" s="40"/>
      <c r="K170" s="40"/>
      <c r="L170" s="40"/>
      <c r="M170" s="29"/>
      <c r="N170" s="30" t="str">
        <f aca="true">IF($D170="","",IF($AI170,MIN(OFFSET(hdr_PlanStart,$AF170+1,0,$AH170,1)),IF($E170="Manual",IF(N($M170)&gt;0,$M170,ProjectStart),WORKDAY.INTL(MAX(ProjectStart,N($M170),$AK170,$AL170)-1,1,WorkWeek,Holidays))))</f>
        <v/>
      </c>
      <c r="O170" s="30" t="str">
        <f aca="true">IF($D170="","",IF($AI170,MAX(OFFSET(hdr_PlanFinish,$AF170+1,0,$AH170,1)),IF(N($F170)&lt;=0,$N170,WORKDAY.INTL($N170,$F170-1,WorkWeek,Holidays))))</f>
        <v/>
      </c>
      <c r="P170" s="29"/>
      <c r="Q170" s="29"/>
      <c r="R170" s="30" t="str">
        <f aca="true">IF($D170="","",IF($AI170,MIN(OFFSET(hdr_FcStart,$AF170+1,0,$AH170,1)),IF(N($P170)&gt;0,$P170,IF($E170="Manual",IF(N($M170)&gt;0,$M170,ProjectStart),WORKDAY.INTL(MAX(ProjectStart,N($M170),$AM170,$AN170,IF(RescheduleAfterStatus="Yes",StatusDate,0))-1,1,WorkWeek,Holidays)))))</f>
        <v/>
      </c>
      <c r="S170" s="30" t="str">
        <f aca="true">IF($D170="","",IF($AI170,MAX(OFFSET(hdr_FcFinish,$AF170+1,0,$AH170,1)),IF(N($Q170)&gt;0,$Q170,IF(N($F170)&lt;=0,$R170,IF(AND(N($P170)&gt;0,RescheduleAfterStatus="Yes"),MAX(WORKDAY.INTL($R170,$F170-1,WorkWeek,Holidays),WORKDAY.INTL(StatusWorkday,MAX(0,ROUNDUP($F170*(1-MIN(1,N($U170))),0)-1),WorkWeek,Holidays)),WORKDAY.INTL($R170,$F170-1,WorkWeek,Holidays))))))</f>
        <v/>
      </c>
      <c r="T170" s="38" t="str">
        <f aca="false">IF($D170="","",IF($S170&gt;=$O170,NETWORKDAYS.INTL($O170,$S170,WorkWeek,Holidays)-1,1-NETWORKDAYS.INTL($S170,$O170,WorkWeek,Holidays)))</f>
        <v/>
      </c>
      <c r="U170" s="32"/>
      <c r="V170" s="42" t="str">
        <f aca="true">IF($D170="","",IF($AI170,IFERROR(SUM(OFFSET(hdr_WtDone,$AF170+1,0,$AH170,1))/SUM(OFFSET(hdr_WtDur,$AF170+1,0,$AH170,1)),0),IF(N($Q170)&gt;0,1,MIN(1,N($U170)))))</f>
        <v/>
      </c>
      <c r="W170" s="39" t="str">
        <f aca="false">IF($D170="","",IF($V170&gt;=1,"Complete",IF(OR(N($P170)&gt;0,$V170&gt;0),IF($T170&gt;0,"Behind","In Progress"),IF($N170&lt;StatusDate,"Late Start","Not Started"))))</f>
        <v/>
      </c>
      <c r="X170" s="41"/>
      <c r="Y170" s="32"/>
      <c r="Z170" s="43" t="str">
        <f aca="true">IF($D170="","",IF($AI170,SUMPRODUCT(OFFSET(hdr_Work,$AF170+1,0,$AH170,1),OFFSET(hdr_IsLeaf,$AF170+1,0,$AH170,1)),IF($X170="",0,N($F170)*HoursPerDay*IF($Y170="",DefaultUnits,$Y170))))</f>
        <v/>
      </c>
      <c r="AA170" s="44" t="str">
        <f aca="true">IF($D170="","",IF($AI170,SUMPRODUCT(OFFSET(hdr_Cost,$AF170+1,0,$AH170,1),OFFSET(hdr_IsLeaf,$AF170+1,0,$AH170,1)),$Z170*IFERROR(INDEX(res_Rate,MATCH($X170,res_Name,0)),0)))</f>
        <v/>
      </c>
      <c r="AB170" s="38" t="str">
        <f aca="false">IF(OR($D170="",$AI170),"",IF(OR($R170&lt;Sprint1Start,$R170&gt;SprintLastEnd),"Backlog",INDEX(spr_Name,MATCH($R170,spr_Start,1))))</f>
        <v/>
      </c>
      <c r="AC170" s="45" t="str">
        <f aca="false">IF($D170="","",$AT170&amp;IF(AND($AT170&lt;&gt;"",$AU170&lt;&gt;""),",","")&amp;$AU170)</f>
        <v/>
      </c>
      <c r="AD170" s="41"/>
      <c r="AE170" s="46" t="str">
        <f aca="false">IF($D170="","",MAX(1,N($C170)))</f>
        <v/>
      </c>
      <c r="AF170" s="46" t="n">
        <f aca="false">ROW()-ROW(hdr_ID)</f>
        <v>165</v>
      </c>
      <c r="AG170" s="46" t="n">
        <f aca="false">IF(OR($D170="",$AE170&lt;=1),0,IFERROR(LOOKUP(2,1/($AE$5:$AE169=$AE170-1),ROW($AE$5:$AE169)),0))</f>
        <v>0</v>
      </c>
      <c r="AH170" s="46" t="n">
        <f aca="false">IF($D170="",0,COUNTIF(tsk_WBS,$B170&amp;".*"))</f>
        <v>0</v>
      </c>
      <c r="AI170" s="47" t="b">
        <f aca="false">$AH170&gt;0</f>
        <v>0</v>
      </c>
      <c r="AJ170" s="46" t="n">
        <f aca="false">IF(AND($D170&lt;&gt;"",NOT($AI170)),1,0)</f>
        <v>0</v>
      </c>
      <c r="AK170" s="48" t="n">
        <f aca="true">IF(OR(N($G170)=0,$AI170,$D170=""),0,IFERROR(CHOOSE(MATCH(IF($H170="","FS",$H170),{"FS","SS","FF","SF"},0),WORKDAY.INTL(OFFSET(hdr_PlanFinish,MATCH($G170,tsk_ID,0),0),IF(N($F170)=0,0,1)+N($I170),WorkWeek,Holidays),WORKDAY.INTL(OFFSET(hdr_PlanStart,MATCH($G170,tsk_ID,0),0),N($I170),WorkWeek,Holidays),WORKDAY.INTL(WORKDAY.INTL(OFFSET(hdr_PlanFinish,MATCH($G170,tsk_ID,0),0),N($I170),WorkWeek,Holidays),-MAX(0,N($F170)-1),WorkWeek,Holidays),WORKDAY.INTL(WORKDAY.INTL(OFFSET(hdr_PlanStart,MATCH($G170,tsk_ID,0),0),N($I170),WorkWeek,Holidays),-MAX(0,N($F170)-1),WorkWeek,Holidays)),0))</f>
        <v>0</v>
      </c>
      <c r="AL170" s="48" t="n">
        <f aca="true">IF(OR(N($J170)=0,$AI170,$D170=""),0,IFERROR(CHOOSE(MATCH(IF($K170="","FS",$K170),{"FS","SS","FF","SF"},0),WORKDAY.INTL(OFFSET(hdr_PlanFinish,MATCH($J170,tsk_ID,0),0),IF(N($F170)=0,0,1)+N($L170),WorkWeek,Holidays),WORKDAY.INTL(OFFSET(hdr_PlanStart,MATCH($J170,tsk_ID,0),0),N($L170),WorkWeek,Holidays),WORKDAY.INTL(WORKDAY.INTL(OFFSET(hdr_PlanFinish,MATCH($J170,tsk_ID,0),0),N($L170),WorkWeek,Holidays),-MAX(0,N($F170)-1),WorkWeek,Holidays),WORKDAY.INTL(WORKDAY.INTL(OFFSET(hdr_PlanStart,MATCH($J170,tsk_ID,0),0),N($L170),WorkWeek,Holidays),-MAX(0,N($F170)-1),WorkWeek,Holidays)),0))</f>
        <v>0</v>
      </c>
      <c r="AM170" s="48" t="n">
        <f aca="true">IF(OR(N($G170)=0,$AI170,$D170=""),0,IFERROR(CHOOSE(MATCH(IF($H170="","FS",$H170),{"FS","SS","FF","SF"},0),WORKDAY.INTL(OFFSET(hdr_FcFinish,MATCH($G170,tsk_ID,0),0),IF(N($F170)=0,0,1)+N($I170),WorkWeek,Holidays),WORKDAY.INTL(OFFSET(hdr_FcStart,MATCH($G170,tsk_ID,0),0),N($I170),WorkWeek,Holidays),WORKDAY.INTL(WORKDAY.INTL(OFFSET(hdr_FcFinish,MATCH($G170,tsk_ID,0),0),N($I170),WorkWeek,Holidays),-MAX(0,N($F170)-1),WorkWeek,Holidays),WORKDAY.INTL(WORKDAY.INTL(OFFSET(hdr_FcStart,MATCH($G170,tsk_ID,0),0),N($I170),WorkWeek,Holidays),-MAX(0,N($F170)-1),WorkWeek,Holidays)),0))</f>
        <v>0</v>
      </c>
      <c r="AN170" s="48" t="n">
        <f aca="true">IF(OR(N($J170)=0,$AI170,$D170=""),0,IFERROR(CHOOSE(MATCH(IF($K170="","FS",$K170),{"FS","SS","FF","SF"},0),WORKDAY.INTL(OFFSET(hdr_FcFinish,MATCH($J170,tsk_ID,0),0),IF(N($F170)=0,0,1)+N($L170),WorkWeek,Holidays),WORKDAY.INTL(OFFSET(hdr_FcStart,MATCH($J170,tsk_ID,0),0),N($L170),WorkWeek,Holidays),WORKDAY.INTL(WORKDAY.INTL(OFFSET(hdr_FcFinish,MATCH($J170,tsk_ID,0),0),N($L170),WorkWeek,Holidays),-MAX(0,N($F170)-1),WorkWeek,Holidays),WORKDAY.INTL(WORKDAY.INTL(OFFSET(hdr_FcStart,MATCH($J170,tsk_ID,0),0),N($L170),WorkWeek,Holidays),-MAX(0,N($F170)-1),WorkWeek,Holidays)),0))</f>
        <v>0</v>
      </c>
      <c r="AO170" s="48" t="n">
        <f aca="false">IF($AJ170=1,$R170,0)</f>
        <v>0</v>
      </c>
      <c r="AP170" s="48" t="n">
        <f aca="false">IF($AJ170=1,$S170,0)</f>
        <v>0</v>
      </c>
      <c r="AQ170" s="49" t="n">
        <f aca="false">IF(AND($AJ170=1,N($Z170)&gt;0),$Z170/($AP170-$AO170+1),0)</f>
        <v>0</v>
      </c>
      <c r="AR170" s="46" t="n">
        <f aca="false">IF($AJ170=1,MAX(N($F170),0.1),0)</f>
        <v>0</v>
      </c>
      <c r="AS170" s="46" t="n">
        <f aca="false">IF($AJ170=1,$AR170*$V170,0)</f>
        <v>0</v>
      </c>
      <c r="AT170" s="46" t="str">
        <f aca="false">IF(N($G170)=0,"",$G170&amp;IF(AND(IF($H170="","FS",$H170)="FS",N($I170)=0),"",IF($H170="","FS",$H170)&amp;IF(N($I170)=0,"",IF(N($I170)&gt;0,"+","")&amp;N($I170)&amp;"d")))</f>
        <v/>
      </c>
      <c r="AU170" s="46" t="str">
        <f aca="false">IF(N($J170)=0,"",$J170&amp;IF(AND(IF($K170="","FS",$K170)="FS",N($L170)=0),"",IF($K170="","FS",$K170)&amp;IF(N($L170)=0,"",IF(N($L170)&gt;0,"+","")&amp;N($L170)&amp;"d")))</f>
        <v/>
      </c>
      <c r="AV170" s="46" t="str">
        <f aca="false">IF(AND($AJ170=1,N($F170)=0,$V170&lt;1),$S170+$AF170/100000,"")</f>
        <v/>
      </c>
    </row>
    <row r="171" customFormat="false" ht="15" hidden="false" customHeight="false" outlineLevel="0" collapsed="false">
      <c r="A171" s="38" t="str">
        <f aca="false">IF($D171="","",COUNTA($D$6:$D171))</f>
        <v/>
      </c>
      <c r="B171" s="39" t="str">
        <f aca="true">IF($D171="","",IF($AE171=1,COUNTIF($AE$6:$AE171,1)&amp;"",IF($AG171=0,"?",OFFSET(hdr_WBS,$AG171-ROW(hdr_WBS),0)&amp;"."&amp;COUNTIF(INDEX($AE:$AE,$AG171+1):$AE171,$AE171))))</f>
        <v/>
      </c>
      <c r="C171" s="40"/>
      <c r="D171" s="41"/>
      <c r="E171" s="40"/>
      <c r="F171" s="40"/>
      <c r="G171" s="40"/>
      <c r="H171" s="40"/>
      <c r="I171" s="40"/>
      <c r="J171" s="40"/>
      <c r="K171" s="40"/>
      <c r="L171" s="40"/>
      <c r="M171" s="29"/>
      <c r="N171" s="30" t="str">
        <f aca="true">IF($D171="","",IF($AI171,MIN(OFFSET(hdr_PlanStart,$AF171+1,0,$AH171,1)),IF($E171="Manual",IF(N($M171)&gt;0,$M171,ProjectStart),WORKDAY.INTL(MAX(ProjectStart,N($M171),$AK171,$AL171)-1,1,WorkWeek,Holidays))))</f>
        <v/>
      </c>
      <c r="O171" s="30" t="str">
        <f aca="true">IF($D171="","",IF($AI171,MAX(OFFSET(hdr_PlanFinish,$AF171+1,0,$AH171,1)),IF(N($F171)&lt;=0,$N171,WORKDAY.INTL($N171,$F171-1,WorkWeek,Holidays))))</f>
        <v/>
      </c>
      <c r="P171" s="29"/>
      <c r="Q171" s="29"/>
      <c r="R171" s="30" t="str">
        <f aca="true">IF($D171="","",IF($AI171,MIN(OFFSET(hdr_FcStart,$AF171+1,0,$AH171,1)),IF(N($P171)&gt;0,$P171,IF($E171="Manual",IF(N($M171)&gt;0,$M171,ProjectStart),WORKDAY.INTL(MAX(ProjectStart,N($M171),$AM171,$AN171,IF(RescheduleAfterStatus="Yes",StatusDate,0))-1,1,WorkWeek,Holidays)))))</f>
        <v/>
      </c>
      <c r="S171" s="30" t="str">
        <f aca="true">IF($D171="","",IF($AI171,MAX(OFFSET(hdr_FcFinish,$AF171+1,0,$AH171,1)),IF(N($Q171)&gt;0,$Q171,IF(N($F171)&lt;=0,$R171,IF(AND(N($P171)&gt;0,RescheduleAfterStatus="Yes"),MAX(WORKDAY.INTL($R171,$F171-1,WorkWeek,Holidays),WORKDAY.INTL(StatusWorkday,MAX(0,ROUNDUP($F171*(1-MIN(1,N($U171))),0)-1),WorkWeek,Holidays)),WORKDAY.INTL($R171,$F171-1,WorkWeek,Holidays))))))</f>
        <v/>
      </c>
      <c r="T171" s="38" t="str">
        <f aca="false">IF($D171="","",IF($S171&gt;=$O171,NETWORKDAYS.INTL($O171,$S171,WorkWeek,Holidays)-1,1-NETWORKDAYS.INTL($S171,$O171,WorkWeek,Holidays)))</f>
        <v/>
      </c>
      <c r="U171" s="32"/>
      <c r="V171" s="42" t="str">
        <f aca="true">IF($D171="","",IF($AI171,IFERROR(SUM(OFFSET(hdr_WtDone,$AF171+1,0,$AH171,1))/SUM(OFFSET(hdr_WtDur,$AF171+1,0,$AH171,1)),0),IF(N($Q171)&gt;0,1,MIN(1,N($U171)))))</f>
        <v/>
      </c>
      <c r="W171" s="39" t="str">
        <f aca="false">IF($D171="","",IF($V171&gt;=1,"Complete",IF(OR(N($P171)&gt;0,$V171&gt;0),IF($T171&gt;0,"Behind","In Progress"),IF($N171&lt;StatusDate,"Late Start","Not Started"))))</f>
        <v/>
      </c>
      <c r="X171" s="41"/>
      <c r="Y171" s="32"/>
      <c r="Z171" s="43" t="str">
        <f aca="true">IF($D171="","",IF($AI171,SUMPRODUCT(OFFSET(hdr_Work,$AF171+1,0,$AH171,1),OFFSET(hdr_IsLeaf,$AF171+1,0,$AH171,1)),IF($X171="",0,N($F171)*HoursPerDay*IF($Y171="",DefaultUnits,$Y171))))</f>
        <v/>
      </c>
      <c r="AA171" s="44" t="str">
        <f aca="true">IF($D171="","",IF($AI171,SUMPRODUCT(OFFSET(hdr_Cost,$AF171+1,0,$AH171,1),OFFSET(hdr_IsLeaf,$AF171+1,0,$AH171,1)),$Z171*IFERROR(INDEX(res_Rate,MATCH($X171,res_Name,0)),0)))</f>
        <v/>
      </c>
      <c r="AB171" s="38" t="str">
        <f aca="false">IF(OR($D171="",$AI171),"",IF(OR($R171&lt;Sprint1Start,$R171&gt;SprintLastEnd),"Backlog",INDEX(spr_Name,MATCH($R171,spr_Start,1))))</f>
        <v/>
      </c>
      <c r="AC171" s="45" t="str">
        <f aca="false">IF($D171="","",$AT171&amp;IF(AND($AT171&lt;&gt;"",$AU171&lt;&gt;""),",","")&amp;$AU171)</f>
        <v/>
      </c>
      <c r="AD171" s="41"/>
      <c r="AE171" s="46" t="str">
        <f aca="false">IF($D171="","",MAX(1,N($C171)))</f>
        <v/>
      </c>
      <c r="AF171" s="46" t="n">
        <f aca="false">ROW()-ROW(hdr_ID)</f>
        <v>166</v>
      </c>
      <c r="AG171" s="46" t="n">
        <f aca="false">IF(OR($D171="",$AE171&lt;=1),0,IFERROR(LOOKUP(2,1/($AE$5:$AE170=$AE171-1),ROW($AE$5:$AE170)),0))</f>
        <v>0</v>
      </c>
      <c r="AH171" s="46" t="n">
        <f aca="false">IF($D171="",0,COUNTIF(tsk_WBS,$B171&amp;".*"))</f>
        <v>0</v>
      </c>
      <c r="AI171" s="47" t="b">
        <f aca="false">$AH171&gt;0</f>
        <v>0</v>
      </c>
      <c r="AJ171" s="46" t="n">
        <f aca="false">IF(AND($D171&lt;&gt;"",NOT($AI171)),1,0)</f>
        <v>0</v>
      </c>
      <c r="AK171" s="48" t="n">
        <f aca="true">IF(OR(N($G171)=0,$AI171,$D171=""),0,IFERROR(CHOOSE(MATCH(IF($H171="","FS",$H171),{"FS","SS","FF","SF"},0),WORKDAY.INTL(OFFSET(hdr_PlanFinish,MATCH($G171,tsk_ID,0),0),IF(N($F171)=0,0,1)+N($I171),WorkWeek,Holidays),WORKDAY.INTL(OFFSET(hdr_PlanStart,MATCH($G171,tsk_ID,0),0),N($I171),WorkWeek,Holidays),WORKDAY.INTL(WORKDAY.INTL(OFFSET(hdr_PlanFinish,MATCH($G171,tsk_ID,0),0),N($I171),WorkWeek,Holidays),-MAX(0,N($F171)-1),WorkWeek,Holidays),WORKDAY.INTL(WORKDAY.INTL(OFFSET(hdr_PlanStart,MATCH($G171,tsk_ID,0),0),N($I171),WorkWeek,Holidays),-MAX(0,N($F171)-1),WorkWeek,Holidays)),0))</f>
        <v>0</v>
      </c>
      <c r="AL171" s="48" t="n">
        <f aca="true">IF(OR(N($J171)=0,$AI171,$D171=""),0,IFERROR(CHOOSE(MATCH(IF($K171="","FS",$K171),{"FS","SS","FF","SF"},0),WORKDAY.INTL(OFFSET(hdr_PlanFinish,MATCH($J171,tsk_ID,0),0),IF(N($F171)=0,0,1)+N($L171),WorkWeek,Holidays),WORKDAY.INTL(OFFSET(hdr_PlanStart,MATCH($J171,tsk_ID,0),0),N($L171),WorkWeek,Holidays),WORKDAY.INTL(WORKDAY.INTL(OFFSET(hdr_PlanFinish,MATCH($J171,tsk_ID,0),0),N($L171),WorkWeek,Holidays),-MAX(0,N($F171)-1),WorkWeek,Holidays),WORKDAY.INTL(WORKDAY.INTL(OFFSET(hdr_PlanStart,MATCH($J171,tsk_ID,0),0),N($L171),WorkWeek,Holidays),-MAX(0,N($F171)-1),WorkWeek,Holidays)),0))</f>
        <v>0</v>
      </c>
      <c r="AM171" s="48" t="n">
        <f aca="true">IF(OR(N($G171)=0,$AI171,$D171=""),0,IFERROR(CHOOSE(MATCH(IF($H171="","FS",$H171),{"FS","SS","FF","SF"},0),WORKDAY.INTL(OFFSET(hdr_FcFinish,MATCH($G171,tsk_ID,0),0),IF(N($F171)=0,0,1)+N($I171),WorkWeek,Holidays),WORKDAY.INTL(OFFSET(hdr_FcStart,MATCH($G171,tsk_ID,0),0),N($I171),WorkWeek,Holidays),WORKDAY.INTL(WORKDAY.INTL(OFFSET(hdr_FcFinish,MATCH($G171,tsk_ID,0),0),N($I171),WorkWeek,Holidays),-MAX(0,N($F171)-1),WorkWeek,Holidays),WORKDAY.INTL(WORKDAY.INTL(OFFSET(hdr_FcStart,MATCH($G171,tsk_ID,0),0),N($I171),WorkWeek,Holidays),-MAX(0,N($F171)-1),WorkWeek,Holidays)),0))</f>
        <v>0</v>
      </c>
      <c r="AN171" s="48" t="n">
        <f aca="true">IF(OR(N($J171)=0,$AI171,$D171=""),0,IFERROR(CHOOSE(MATCH(IF($K171="","FS",$K171),{"FS","SS","FF","SF"},0),WORKDAY.INTL(OFFSET(hdr_FcFinish,MATCH($J171,tsk_ID,0),0),IF(N($F171)=0,0,1)+N($L171),WorkWeek,Holidays),WORKDAY.INTL(OFFSET(hdr_FcStart,MATCH($J171,tsk_ID,0),0),N($L171),WorkWeek,Holidays),WORKDAY.INTL(WORKDAY.INTL(OFFSET(hdr_FcFinish,MATCH($J171,tsk_ID,0),0),N($L171),WorkWeek,Holidays),-MAX(0,N($F171)-1),WorkWeek,Holidays),WORKDAY.INTL(WORKDAY.INTL(OFFSET(hdr_FcStart,MATCH($J171,tsk_ID,0),0),N($L171),WorkWeek,Holidays),-MAX(0,N($F171)-1),WorkWeek,Holidays)),0))</f>
        <v>0</v>
      </c>
      <c r="AO171" s="48" t="n">
        <f aca="false">IF($AJ171=1,$R171,0)</f>
        <v>0</v>
      </c>
      <c r="AP171" s="48" t="n">
        <f aca="false">IF($AJ171=1,$S171,0)</f>
        <v>0</v>
      </c>
      <c r="AQ171" s="49" t="n">
        <f aca="false">IF(AND($AJ171=1,N($Z171)&gt;0),$Z171/($AP171-$AO171+1),0)</f>
        <v>0</v>
      </c>
      <c r="AR171" s="46" t="n">
        <f aca="false">IF($AJ171=1,MAX(N($F171),0.1),0)</f>
        <v>0</v>
      </c>
      <c r="AS171" s="46" t="n">
        <f aca="false">IF($AJ171=1,$AR171*$V171,0)</f>
        <v>0</v>
      </c>
      <c r="AT171" s="46" t="str">
        <f aca="false">IF(N($G171)=0,"",$G171&amp;IF(AND(IF($H171="","FS",$H171)="FS",N($I171)=0),"",IF($H171="","FS",$H171)&amp;IF(N($I171)=0,"",IF(N($I171)&gt;0,"+","")&amp;N($I171)&amp;"d")))</f>
        <v/>
      </c>
      <c r="AU171" s="46" t="str">
        <f aca="false">IF(N($J171)=0,"",$J171&amp;IF(AND(IF($K171="","FS",$K171)="FS",N($L171)=0),"",IF($K171="","FS",$K171)&amp;IF(N($L171)=0,"",IF(N($L171)&gt;0,"+","")&amp;N($L171)&amp;"d")))</f>
        <v/>
      </c>
      <c r="AV171" s="46" t="str">
        <f aca="false">IF(AND($AJ171=1,N($F171)=0,$V171&lt;1),$S171+$AF171/100000,"")</f>
        <v/>
      </c>
    </row>
    <row r="172" customFormat="false" ht="15" hidden="false" customHeight="false" outlineLevel="0" collapsed="false">
      <c r="A172" s="38" t="str">
        <f aca="false">IF($D172="","",COUNTA($D$6:$D172))</f>
        <v/>
      </c>
      <c r="B172" s="39" t="str">
        <f aca="true">IF($D172="","",IF($AE172=1,COUNTIF($AE$6:$AE172,1)&amp;"",IF($AG172=0,"?",OFFSET(hdr_WBS,$AG172-ROW(hdr_WBS),0)&amp;"."&amp;COUNTIF(INDEX($AE:$AE,$AG172+1):$AE172,$AE172))))</f>
        <v/>
      </c>
      <c r="C172" s="40"/>
      <c r="D172" s="41"/>
      <c r="E172" s="40"/>
      <c r="F172" s="40"/>
      <c r="G172" s="40"/>
      <c r="H172" s="40"/>
      <c r="I172" s="40"/>
      <c r="J172" s="40"/>
      <c r="K172" s="40"/>
      <c r="L172" s="40"/>
      <c r="M172" s="29"/>
      <c r="N172" s="30" t="str">
        <f aca="true">IF($D172="","",IF($AI172,MIN(OFFSET(hdr_PlanStart,$AF172+1,0,$AH172,1)),IF($E172="Manual",IF(N($M172)&gt;0,$M172,ProjectStart),WORKDAY.INTL(MAX(ProjectStart,N($M172),$AK172,$AL172)-1,1,WorkWeek,Holidays))))</f>
        <v/>
      </c>
      <c r="O172" s="30" t="str">
        <f aca="true">IF($D172="","",IF($AI172,MAX(OFFSET(hdr_PlanFinish,$AF172+1,0,$AH172,1)),IF(N($F172)&lt;=0,$N172,WORKDAY.INTL($N172,$F172-1,WorkWeek,Holidays))))</f>
        <v/>
      </c>
      <c r="P172" s="29"/>
      <c r="Q172" s="29"/>
      <c r="R172" s="30" t="str">
        <f aca="true">IF($D172="","",IF($AI172,MIN(OFFSET(hdr_FcStart,$AF172+1,0,$AH172,1)),IF(N($P172)&gt;0,$P172,IF($E172="Manual",IF(N($M172)&gt;0,$M172,ProjectStart),WORKDAY.INTL(MAX(ProjectStart,N($M172),$AM172,$AN172,IF(RescheduleAfterStatus="Yes",StatusDate,0))-1,1,WorkWeek,Holidays)))))</f>
        <v/>
      </c>
      <c r="S172" s="30" t="str">
        <f aca="true">IF($D172="","",IF($AI172,MAX(OFFSET(hdr_FcFinish,$AF172+1,0,$AH172,1)),IF(N($Q172)&gt;0,$Q172,IF(N($F172)&lt;=0,$R172,IF(AND(N($P172)&gt;0,RescheduleAfterStatus="Yes"),MAX(WORKDAY.INTL($R172,$F172-1,WorkWeek,Holidays),WORKDAY.INTL(StatusWorkday,MAX(0,ROUNDUP($F172*(1-MIN(1,N($U172))),0)-1),WorkWeek,Holidays)),WORKDAY.INTL($R172,$F172-1,WorkWeek,Holidays))))))</f>
        <v/>
      </c>
      <c r="T172" s="38" t="str">
        <f aca="false">IF($D172="","",IF($S172&gt;=$O172,NETWORKDAYS.INTL($O172,$S172,WorkWeek,Holidays)-1,1-NETWORKDAYS.INTL($S172,$O172,WorkWeek,Holidays)))</f>
        <v/>
      </c>
      <c r="U172" s="32"/>
      <c r="V172" s="42" t="str">
        <f aca="true">IF($D172="","",IF($AI172,IFERROR(SUM(OFFSET(hdr_WtDone,$AF172+1,0,$AH172,1))/SUM(OFFSET(hdr_WtDur,$AF172+1,0,$AH172,1)),0),IF(N($Q172)&gt;0,1,MIN(1,N($U172)))))</f>
        <v/>
      </c>
      <c r="W172" s="39" t="str">
        <f aca="false">IF($D172="","",IF($V172&gt;=1,"Complete",IF(OR(N($P172)&gt;0,$V172&gt;0),IF($T172&gt;0,"Behind","In Progress"),IF($N172&lt;StatusDate,"Late Start","Not Started"))))</f>
        <v/>
      </c>
      <c r="X172" s="41"/>
      <c r="Y172" s="32"/>
      <c r="Z172" s="43" t="str">
        <f aca="true">IF($D172="","",IF($AI172,SUMPRODUCT(OFFSET(hdr_Work,$AF172+1,0,$AH172,1),OFFSET(hdr_IsLeaf,$AF172+1,0,$AH172,1)),IF($X172="",0,N($F172)*HoursPerDay*IF($Y172="",DefaultUnits,$Y172))))</f>
        <v/>
      </c>
      <c r="AA172" s="44" t="str">
        <f aca="true">IF($D172="","",IF($AI172,SUMPRODUCT(OFFSET(hdr_Cost,$AF172+1,0,$AH172,1),OFFSET(hdr_IsLeaf,$AF172+1,0,$AH172,1)),$Z172*IFERROR(INDEX(res_Rate,MATCH($X172,res_Name,0)),0)))</f>
        <v/>
      </c>
      <c r="AB172" s="38" t="str">
        <f aca="false">IF(OR($D172="",$AI172),"",IF(OR($R172&lt;Sprint1Start,$R172&gt;SprintLastEnd),"Backlog",INDEX(spr_Name,MATCH($R172,spr_Start,1))))</f>
        <v/>
      </c>
      <c r="AC172" s="45" t="str">
        <f aca="false">IF($D172="","",$AT172&amp;IF(AND($AT172&lt;&gt;"",$AU172&lt;&gt;""),",","")&amp;$AU172)</f>
        <v/>
      </c>
      <c r="AD172" s="41"/>
      <c r="AE172" s="46" t="str">
        <f aca="false">IF($D172="","",MAX(1,N($C172)))</f>
        <v/>
      </c>
      <c r="AF172" s="46" t="n">
        <f aca="false">ROW()-ROW(hdr_ID)</f>
        <v>167</v>
      </c>
      <c r="AG172" s="46" t="n">
        <f aca="false">IF(OR($D172="",$AE172&lt;=1),0,IFERROR(LOOKUP(2,1/($AE$5:$AE171=$AE172-1),ROW($AE$5:$AE171)),0))</f>
        <v>0</v>
      </c>
      <c r="AH172" s="46" t="n">
        <f aca="false">IF($D172="",0,COUNTIF(tsk_WBS,$B172&amp;".*"))</f>
        <v>0</v>
      </c>
      <c r="AI172" s="47" t="b">
        <f aca="false">$AH172&gt;0</f>
        <v>0</v>
      </c>
      <c r="AJ172" s="46" t="n">
        <f aca="false">IF(AND($D172&lt;&gt;"",NOT($AI172)),1,0)</f>
        <v>0</v>
      </c>
      <c r="AK172" s="48" t="n">
        <f aca="true">IF(OR(N($G172)=0,$AI172,$D172=""),0,IFERROR(CHOOSE(MATCH(IF($H172="","FS",$H172),{"FS","SS","FF","SF"},0),WORKDAY.INTL(OFFSET(hdr_PlanFinish,MATCH($G172,tsk_ID,0),0),IF(N($F172)=0,0,1)+N($I172),WorkWeek,Holidays),WORKDAY.INTL(OFFSET(hdr_PlanStart,MATCH($G172,tsk_ID,0),0),N($I172),WorkWeek,Holidays),WORKDAY.INTL(WORKDAY.INTL(OFFSET(hdr_PlanFinish,MATCH($G172,tsk_ID,0),0),N($I172),WorkWeek,Holidays),-MAX(0,N($F172)-1),WorkWeek,Holidays),WORKDAY.INTL(WORKDAY.INTL(OFFSET(hdr_PlanStart,MATCH($G172,tsk_ID,0),0),N($I172),WorkWeek,Holidays),-MAX(0,N($F172)-1),WorkWeek,Holidays)),0))</f>
        <v>0</v>
      </c>
      <c r="AL172" s="48" t="n">
        <f aca="true">IF(OR(N($J172)=0,$AI172,$D172=""),0,IFERROR(CHOOSE(MATCH(IF($K172="","FS",$K172),{"FS","SS","FF","SF"},0),WORKDAY.INTL(OFFSET(hdr_PlanFinish,MATCH($J172,tsk_ID,0),0),IF(N($F172)=0,0,1)+N($L172),WorkWeek,Holidays),WORKDAY.INTL(OFFSET(hdr_PlanStart,MATCH($J172,tsk_ID,0),0),N($L172),WorkWeek,Holidays),WORKDAY.INTL(WORKDAY.INTL(OFFSET(hdr_PlanFinish,MATCH($J172,tsk_ID,0),0),N($L172),WorkWeek,Holidays),-MAX(0,N($F172)-1),WorkWeek,Holidays),WORKDAY.INTL(WORKDAY.INTL(OFFSET(hdr_PlanStart,MATCH($J172,tsk_ID,0),0),N($L172),WorkWeek,Holidays),-MAX(0,N($F172)-1),WorkWeek,Holidays)),0))</f>
        <v>0</v>
      </c>
      <c r="AM172" s="48" t="n">
        <f aca="true">IF(OR(N($G172)=0,$AI172,$D172=""),0,IFERROR(CHOOSE(MATCH(IF($H172="","FS",$H172),{"FS","SS","FF","SF"},0),WORKDAY.INTL(OFFSET(hdr_FcFinish,MATCH($G172,tsk_ID,0),0),IF(N($F172)=0,0,1)+N($I172),WorkWeek,Holidays),WORKDAY.INTL(OFFSET(hdr_FcStart,MATCH($G172,tsk_ID,0),0),N($I172),WorkWeek,Holidays),WORKDAY.INTL(WORKDAY.INTL(OFFSET(hdr_FcFinish,MATCH($G172,tsk_ID,0),0),N($I172),WorkWeek,Holidays),-MAX(0,N($F172)-1),WorkWeek,Holidays),WORKDAY.INTL(WORKDAY.INTL(OFFSET(hdr_FcStart,MATCH($G172,tsk_ID,0),0),N($I172),WorkWeek,Holidays),-MAX(0,N($F172)-1),WorkWeek,Holidays)),0))</f>
        <v>0</v>
      </c>
      <c r="AN172" s="48" t="n">
        <f aca="true">IF(OR(N($J172)=0,$AI172,$D172=""),0,IFERROR(CHOOSE(MATCH(IF($K172="","FS",$K172),{"FS","SS","FF","SF"},0),WORKDAY.INTL(OFFSET(hdr_FcFinish,MATCH($J172,tsk_ID,0),0),IF(N($F172)=0,0,1)+N($L172),WorkWeek,Holidays),WORKDAY.INTL(OFFSET(hdr_FcStart,MATCH($J172,tsk_ID,0),0),N($L172),WorkWeek,Holidays),WORKDAY.INTL(WORKDAY.INTL(OFFSET(hdr_FcFinish,MATCH($J172,tsk_ID,0),0),N($L172),WorkWeek,Holidays),-MAX(0,N($F172)-1),WorkWeek,Holidays),WORKDAY.INTL(WORKDAY.INTL(OFFSET(hdr_FcStart,MATCH($J172,tsk_ID,0),0),N($L172),WorkWeek,Holidays),-MAX(0,N($F172)-1),WorkWeek,Holidays)),0))</f>
        <v>0</v>
      </c>
      <c r="AO172" s="48" t="n">
        <f aca="false">IF($AJ172=1,$R172,0)</f>
        <v>0</v>
      </c>
      <c r="AP172" s="48" t="n">
        <f aca="false">IF($AJ172=1,$S172,0)</f>
        <v>0</v>
      </c>
      <c r="AQ172" s="49" t="n">
        <f aca="false">IF(AND($AJ172=1,N($Z172)&gt;0),$Z172/($AP172-$AO172+1),0)</f>
        <v>0</v>
      </c>
      <c r="AR172" s="46" t="n">
        <f aca="false">IF($AJ172=1,MAX(N($F172),0.1),0)</f>
        <v>0</v>
      </c>
      <c r="AS172" s="46" t="n">
        <f aca="false">IF($AJ172=1,$AR172*$V172,0)</f>
        <v>0</v>
      </c>
      <c r="AT172" s="46" t="str">
        <f aca="false">IF(N($G172)=0,"",$G172&amp;IF(AND(IF($H172="","FS",$H172)="FS",N($I172)=0),"",IF($H172="","FS",$H172)&amp;IF(N($I172)=0,"",IF(N($I172)&gt;0,"+","")&amp;N($I172)&amp;"d")))</f>
        <v/>
      </c>
      <c r="AU172" s="46" t="str">
        <f aca="false">IF(N($J172)=0,"",$J172&amp;IF(AND(IF($K172="","FS",$K172)="FS",N($L172)=0),"",IF($K172="","FS",$K172)&amp;IF(N($L172)=0,"",IF(N($L172)&gt;0,"+","")&amp;N($L172)&amp;"d")))</f>
        <v/>
      </c>
      <c r="AV172" s="46" t="str">
        <f aca="false">IF(AND($AJ172=1,N($F172)=0,$V172&lt;1),$S172+$AF172/100000,"")</f>
        <v/>
      </c>
    </row>
    <row r="173" customFormat="false" ht="15" hidden="false" customHeight="false" outlineLevel="0" collapsed="false">
      <c r="A173" s="38" t="str">
        <f aca="false">IF($D173="","",COUNTA($D$6:$D173))</f>
        <v/>
      </c>
      <c r="B173" s="39" t="str">
        <f aca="true">IF($D173="","",IF($AE173=1,COUNTIF($AE$6:$AE173,1)&amp;"",IF($AG173=0,"?",OFFSET(hdr_WBS,$AG173-ROW(hdr_WBS),0)&amp;"."&amp;COUNTIF(INDEX($AE:$AE,$AG173+1):$AE173,$AE173))))</f>
        <v/>
      </c>
      <c r="C173" s="40"/>
      <c r="D173" s="41"/>
      <c r="E173" s="40"/>
      <c r="F173" s="40"/>
      <c r="G173" s="40"/>
      <c r="H173" s="40"/>
      <c r="I173" s="40"/>
      <c r="J173" s="40"/>
      <c r="K173" s="40"/>
      <c r="L173" s="40"/>
      <c r="M173" s="29"/>
      <c r="N173" s="30" t="str">
        <f aca="true">IF($D173="","",IF($AI173,MIN(OFFSET(hdr_PlanStart,$AF173+1,0,$AH173,1)),IF($E173="Manual",IF(N($M173)&gt;0,$M173,ProjectStart),WORKDAY.INTL(MAX(ProjectStart,N($M173),$AK173,$AL173)-1,1,WorkWeek,Holidays))))</f>
        <v/>
      </c>
      <c r="O173" s="30" t="str">
        <f aca="true">IF($D173="","",IF($AI173,MAX(OFFSET(hdr_PlanFinish,$AF173+1,0,$AH173,1)),IF(N($F173)&lt;=0,$N173,WORKDAY.INTL($N173,$F173-1,WorkWeek,Holidays))))</f>
        <v/>
      </c>
      <c r="P173" s="29"/>
      <c r="Q173" s="29"/>
      <c r="R173" s="30" t="str">
        <f aca="true">IF($D173="","",IF($AI173,MIN(OFFSET(hdr_FcStart,$AF173+1,0,$AH173,1)),IF(N($P173)&gt;0,$P173,IF($E173="Manual",IF(N($M173)&gt;0,$M173,ProjectStart),WORKDAY.INTL(MAX(ProjectStart,N($M173),$AM173,$AN173,IF(RescheduleAfterStatus="Yes",StatusDate,0))-1,1,WorkWeek,Holidays)))))</f>
        <v/>
      </c>
      <c r="S173" s="30" t="str">
        <f aca="true">IF($D173="","",IF($AI173,MAX(OFFSET(hdr_FcFinish,$AF173+1,0,$AH173,1)),IF(N($Q173)&gt;0,$Q173,IF(N($F173)&lt;=0,$R173,IF(AND(N($P173)&gt;0,RescheduleAfterStatus="Yes"),MAX(WORKDAY.INTL($R173,$F173-1,WorkWeek,Holidays),WORKDAY.INTL(StatusWorkday,MAX(0,ROUNDUP($F173*(1-MIN(1,N($U173))),0)-1),WorkWeek,Holidays)),WORKDAY.INTL($R173,$F173-1,WorkWeek,Holidays))))))</f>
        <v/>
      </c>
      <c r="T173" s="38" t="str">
        <f aca="false">IF($D173="","",IF($S173&gt;=$O173,NETWORKDAYS.INTL($O173,$S173,WorkWeek,Holidays)-1,1-NETWORKDAYS.INTL($S173,$O173,WorkWeek,Holidays)))</f>
        <v/>
      </c>
      <c r="U173" s="32"/>
      <c r="V173" s="42" t="str">
        <f aca="true">IF($D173="","",IF($AI173,IFERROR(SUM(OFFSET(hdr_WtDone,$AF173+1,0,$AH173,1))/SUM(OFFSET(hdr_WtDur,$AF173+1,0,$AH173,1)),0),IF(N($Q173)&gt;0,1,MIN(1,N($U173)))))</f>
        <v/>
      </c>
      <c r="W173" s="39" t="str">
        <f aca="false">IF($D173="","",IF($V173&gt;=1,"Complete",IF(OR(N($P173)&gt;0,$V173&gt;0),IF($T173&gt;0,"Behind","In Progress"),IF($N173&lt;StatusDate,"Late Start","Not Started"))))</f>
        <v/>
      </c>
      <c r="X173" s="41"/>
      <c r="Y173" s="32"/>
      <c r="Z173" s="43" t="str">
        <f aca="true">IF($D173="","",IF($AI173,SUMPRODUCT(OFFSET(hdr_Work,$AF173+1,0,$AH173,1),OFFSET(hdr_IsLeaf,$AF173+1,0,$AH173,1)),IF($X173="",0,N($F173)*HoursPerDay*IF($Y173="",DefaultUnits,$Y173))))</f>
        <v/>
      </c>
      <c r="AA173" s="44" t="str">
        <f aca="true">IF($D173="","",IF($AI173,SUMPRODUCT(OFFSET(hdr_Cost,$AF173+1,0,$AH173,1),OFFSET(hdr_IsLeaf,$AF173+1,0,$AH173,1)),$Z173*IFERROR(INDEX(res_Rate,MATCH($X173,res_Name,0)),0)))</f>
        <v/>
      </c>
      <c r="AB173" s="38" t="str">
        <f aca="false">IF(OR($D173="",$AI173),"",IF(OR($R173&lt;Sprint1Start,$R173&gt;SprintLastEnd),"Backlog",INDEX(spr_Name,MATCH($R173,spr_Start,1))))</f>
        <v/>
      </c>
      <c r="AC173" s="45" t="str">
        <f aca="false">IF($D173="","",$AT173&amp;IF(AND($AT173&lt;&gt;"",$AU173&lt;&gt;""),",","")&amp;$AU173)</f>
        <v/>
      </c>
      <c r="AD173" s="41"/>
      <c r="AE173" s="46" t="str">
        <f aca="false">IF($D173="","",MAX(1,N($C173)))</f>
        <v/>
      </c>
      <c r="AF173" s="46" t="n">
        <f aca="false">ROW()-ROW(hdr_ID)</f>
        <v>168</v>
      </c>
      <c r="AG173" s="46" t="n">
        <f aca="false">IF(OR($D173="",$AE173&lt;=1),0,IFERROR(LOOKUP(2,1/($AE$5:$AE172=$AE173-1),ROW($AE$5:$AE172)),0))</f>
        <v>0</v>
      </c>
      <c r="AH173" s="46" t="n">
        <f aca="false">IF($D173="",0,COUNTIF(tsk_WBS,$B173&amp;".*"))</f>
        <v>0</v>
      </c>
      <c r="AI173" s="47" t="b">
        <f aca="false">$AH173&gt;0</f>
        <v>0</v>
      </c>
      <c r="AJ173" s="46" t="n">
        <f aca="false">IF(AND($D173&lt;&gt;"",NOT($AI173)),1,0)</f>
        <v>0</v>
      </c>
      <c r="AK173" s="48" t="n">
        <f aca="true">IF(OR(N($G173)=0,$AI173,$D173=""),0,IFERROR(CHOOSE(MATCH(IF($H173="","FS",$H173),{"FS","SS","FF","SF"},0),WORKDAY.INTL(OFFSET(hdr_PlanFinish,MATCH($G173,tsk_ID,0),0),IF(N($F173)=0,0,1)+N($I173),WorkWeek,Holidays),WORKDAY.INTL(OFFSET(hdr_PlanStart,MATCH($G173,tsk_ID,0),0),N($I173),WorkWeek,Holidays),WORKDAY.INTL(WORKDAY.INTL(OFFSET(hdr_PlanFinish,MATCH($G173,tsk_ID,0),0),N($I173),WorkWeek,Holidays),-MAX(0,N($F173)-1),WorkWeek,Holidays),WORKDAY.INTL(WORKDAY.INTL(OFFSET(hdr_PlanStart,MATCH($G173,tsk_ID,0),0),N($I173),WorkWeek,Holidays),-MAX(0,N($F173)-1),WorkWeek,Holidays)),0))</f>
        <v>0</v>
      </c>
      <c r="AL173" s="48" t="n">
        <f aca="true">IF(OR(N($J173)=0,$AI173,$D173=""),0,IFERROR(CHOOSE(MATCH(IF($K173="","FS",$K173),{"FS","SS","FF","SF"},0),WORKDAY.INTL(OFFSET(hdr_PlanFinish,MATCH($J173,tsk_ID,0),0),IF(N($F173)=0,0,1)+N($L173),WorkWeek,Holidays),WORKDAY.INTL(OFFSET(hdr_PlanStart,MATCH($J173,tsk_ID,0),0),N($L173),WorkWeek,Holidays),WORKDAY.INTL(WORKDAY.INTL(OFFSET(hdr_PlanFinish,MATCH($J173,tsk_ID,0),0),N($L173),WorkWeek,Holidays),-MAX(0,N($F173)-1),WorkWeek,Holidays),WORKDAY.INTL(WORKDAY.INTL(OFFSET(hdr_PlanStart,MATCH($J173,tsk_ID,0),0),N($L173),WorkWeek,Holidays),-MAX(0,N($F173)-1),WorkWeek,Holidays)),0))</f>
        <v>0</v>
      </c>
      <c r="AM173" s="48" t="n">
        <f aca="true">IF(OR(N($G173)=0,$AI173,$D173=""),0,IFERROR(CHOOSE(MATCH(IF($H173="","FS",$H173),{"FS","SS","FF","SF"},0),WORKDAY.INTL(OFFSET(hdr_FcFinish,MATCH($G173,tsk_ID,0),0),IF(N($F173)=0,0,1)+N($I173),WorkWeek,Holidays),WORKDAY.INTL(OFFSET(hdr_FcStart,MATCH($G173,tsk_ID,0),0),N($I173),WorkWeek,Holidays),WORKDAY.INTL(WORKDAY.INTL(OFFSET(hdr_FcFinish,MATCH($G173,tsk_ID,0),0),N($I173),WorkWeek,Holidays),-MAX(0,N($F173)-1),WorkWeek,Holidays),WORKDAY.INTL(WORKDAY.INTL(OFFSET(hdr_FcStart,MATCH($G173,tsk_ID,0),0),N($I173),WorkWeek,Holidays),-MAX(0,N($F173)-1),WorkWeek,Holidays)),0))</f>
        <v>0</v>
      </c>
      <c r="AN173" s="48" t="n">
        <f aca="true">IF(OR(N($J173)=0,$AI173,$D173=""),0,IFERROR(CHOOSE(MATCH(IF($K173="","FS",$K173),{"FS","SS","FF","SF"},0),WORKDAY.INTL(OFFSET(hdr_FcFinish,MATCH($J173,tsk_ID,0),0),IF(N($F173)=0,0,1)+N($L173),WorkWeek,Holidays),WORKDAY.INTL(OFFSET(hdr_FcStart,MATCH($J173,tsk_ID,0),0),N($L173),WorkWeek,Holidays),WORKDAY.INTL(WORKDAY.INTL(OFFSET(hdr_FcFinish,MATCH($J173,tsk_ID,0),0),N($L173),WorkWeek,Holidays),-MAX(0,N($F173)-1),WorkWeek,Holidays),WORKDAY.INTL(WORKDAY.INTL(OFFSET(hdr_FcStart,MATCH($J173,tsk_ID,0),0),N($L173),WorkWeek,Holidays),-MAX(0,N($F173)-1),WorkWeek,Holidays)),0))</f>
        <v>0</v>
      </c>
      <c r="AO173" s="48" t="n">
        <f aca="false">IF($AJ173=1,$R173,0)</f>
        <v>0</v>
      </c>
      <c r="AP173" s="48" t="n">
        <f aca="false">IF($AJ173=1,$S173,0)</f>
        <v>0</v>
      </c>
      <c r="AQ173" s="49" t="n">
        <f aca="false">IF(AND($AJ173=1,N($Z173)&gt;0),$Z173/($AP173-$AO173+1),0)</f>
        <v>0</v>
      </c>
      <c r="AR173" s="46" t="n">
        <f aca="false">IF($AJ173=1,MAX(N($F173),0.1),0)</f>
        <v>0</v>
      </c>
      <c r="AS173" s="46" t="n">
        <f aca="false">IF($AJ173=1,$AR173*$V173,0)</f>
        <v>0</v>
      </c>
      <c r="AT173" s="46" t="str">
        <f aca="false">IF(N($G173)=0,"",$G173&amp;IF(AND(IF($H173="","FS",$H173)="FS",N($I173)=0),"",IF($H173="","FS",$H173)&amp;IF(N($I173)=0,"",IF(N($I173)&gt;0,"+","")&amp;N($I173)&amp;"d")))</f>
        <v/>
      </c>
      <c r="AU173" s="46" t="str">
        <f aca="false">IF(N($J173)=0,"",$J173&amp;IF(AND(IF($K173="","FS",$K173)="FS",N($L173)=0),"",IF($K173="","FS",$K173)&amp;IF(N($L173)=0,"",IF(N($L173)&gt;0,"+","")&amp;N($L173)&amp;"d")))</f>
        <v/>
      </c>
      <c r="AV173" s="46" t="str">
        <f aca="false">IF(AND($AJ173=1,N($F173)=0,$V173&lt;1),$S173+$AF173/100000,"")</f>
        <v/>
      </c>
    </row>
    <row r="174" customFormat="false" ht="15" hidden="false" customHeight="false" outlineLevel="0" collapsed="false">
      <c r="A174" s="38" t="str">
        <f aca="false">IF($D174="","",COUNTA($D$6:$D174))</f>
        <v/>
      </c>
      <c r="B174" s="39" t="str">
        <f aca="true">IF($D174="","",IF($AE174=1,COUNTIF($AE$6:$AE174,1)&amp;"",IF($AG174=0,"?",OFFSET(hdr_WBS,$AG174-ROW(hdr_WBS),0)&amp;"."&amp;COUNTIF(INDEX($AE:$AE,$AG174+1):$AE174,$AE174))))</f>
        <v/>
      </c>
      <c r="C174" s="40"/>
      <c r="D174" s="41"/>
      <c r="E174" s="40"/>
      <c r="F174" s="40"/>
      <c r="G174" s="40"/>
      <c r="H174" s="40"/>
      <c r="I174" s="40"/>
      <c r="J174" s="40"/>
      <c r="K174" s="40"/>
      <c r="L174" s="40"/>
      <c r="M174" s="29"/>
      <c r="N174" s="30" t="str">
        <f aca="true">IF($D174="","",IF($AI174,MIN(OFFSET(hdr_PlanStart,$AF174+1,0,$AH174,1)),IF($E174="Manual",IF(N($M174)&gt;0,$M174,ProjectStart),WORKDAY.INTL(MAX(ProjectStart,N($M174),$AK174,$AL174)-1,1,WorkWeek,Holidays))))</f>
        <v/>
      </c>
      <c r="O174" s="30" t="str">
        <f aca="true">IF($D174="","",IF($AI174,MAX(OFFSET(hdr_PlanFinish,$AF174+1,0,$AH174,1)),IF(N($F174)&lt;=0,$N174,WORKDAY.INTL($N174,$F174-1,WorkWeek,Holidays))))</f>
        <v/>
      </c>
      <c r="P174" s="29"/>
      <c r="Q174" s="29"/>
      <c r="R174" s="30" t="str">
        <f aca="true">IF($D174="","",IF($AI174,MIN(OFFSET(hdr_FcStart,$AF174+1,0,$AH174,1)),IF(N($P174)&gt;0,$P174,IF($E174="Manual",IF(N($M174)&gt;0,$M174,ProjectStart),WORKDAY.INTL(MAX(ProjectStart,N($M174),$AM174,$AN174,IF(RescheduleAfterStatus="Yes",StatusDate,0))-1,1,WorkWeek,Holidays)))))</f>
        <v/>
      </c>
      <c r="S174" s="30" t="str">
        <f aca="true">IF($D174="","",IF($AI174,MAX(OFFSET(hdr_FcFinish,$AF174+1,0,$AH174,1)),IF(N($Q174)&gt;0,$Q174,IF(N($F174)&lt;=0,$R174,IF(AND(N($P174)&gt;0,RescheduleAfterStatus="Yes"),MAX(WORKDAY.INTL($R174,$F174-1,WorkWeek,Holidays),WORKDAY.INTL(StatusWorkday,MAX(0,ROUNDUP($F174*(1-MIN(1,N($U174))),0)-1),WorkWeek,Holidays)),WORKDAY.INTL($R174,$F174-1,WorkWeek,Holidays))))))</f>
        <v/>
      </c>
      <c r="T174" s="38" t="str">
        <f aca="false">IF($D174="","",IF($S174&gt;=$O174,NETWORKDAYS.INTL($O174,$S174,WorkWeek,Holidays)-1,1-NETWORKDAYS.INTL($S174,$O174,WorkWeek,Holidays)))</f>
        <v/>
      </c>
      <c r="U174" s="32"/>
      <c r="V174" s="42" t="str">
        <f aca="true">IF($D174="","",IF($AI174,IFERROR(SUM(OFFSET(hdr_WtDone,$AF174+1,0,$AH174,1))/SUM(OFFSET(hdr_WtDur,$AF174+1,0,$AH174,1)),0),IF(N($Q174)&gt;0,1,MIN(1,N($U174)))))</f>
        <v/>
      </c>
      <c r="W174" s="39" t="str">
        <f aca="false">IF($D174="","",IF($V174&gt;=1,"Complete",IF(OR(N($P174)&gt;0,$V174&gt;0),IF($T174&gt;0,"Behind","In Progress"),IF($N174&lt;StatusDate,"Late Start","Not Started"))))</f>
        <v/>
      </c>
      <c r="X174" s="41"/>
      <c r="Y174" s="32"/>
      <c r="Z174" s="43" t="str">
        <f aca="true">IF($D174="","",IF($AI174,SUMPRODUCT(OFFSET(hdr_Work,$AF174+1,0,$AH174,1),OFFSET(hdr_IsLeaf,$AF174+1,0,$AH174,1)),IF($X174="",0,N($F174)*HoursPerDay*IF($Y174="",DefaultUnits,$Y174))))</f>
        <v/>
      </c>
      <c r="AA174" s="44" t="str">
        <f aca="true">IF($D174="","",IF($AI174,SUMPRODUCT(OFFSET(hdr_Cost,$AF174+1,0,$AH174,1),OFFSET(hdr_IsLeaf,$AF174+1,0,$AH174,1)),$Z174*IFERROR(INDEX(res_Rate,MATCH($X174,res_Name,0)),0)))</f>
        <v/>
      </c>
      <c r="AB174" s="38" t="str">
        <f aca="false">IF(OR($D174="",$AI174),"",IF(OR($R174&lt;Sprint1Start,$R174&gt;SprintLastEnd),"Backlog",INDEX(spr_Name,MATCH($R174,spr_Start,1))))</f>
        <v/>
      </c>
      <c r="AC174" s="45" t="str">
        <f aca="false">IF($D174="","",$AT174&amp;IF(AND($AT174&lt;&gt;"",$AU174&lt;&gt;""),",","")&amp;$AU174)</f>
        <v/>
      </c>
      <c r="AD174" s="41"/>
      <c r="AE174" s="46" t="str">
        <f aca="false">IF($D174="","",MAX(1,N($C174)))</f>
        <v/>
      </c>
      <c r="AF174" s="46" t="n">
        <f aca="false">ROW()-ROW(hdr_ID)</f>
        <v>169</v>
      </c>
      <c r="AG174" s="46" t="n">
        <f aca="false">IF(OR($D174="",$AE174&lt;=1),0,IFERROR(LOOKUP(2,1/($AE$5:$AE173=$AE174-1),ROW($AE$5:$AE173)),0))</f>
        <v>0</v>
      </c>
      <c r="AH174" s="46" t="n">
        <f aca="false">IF($D174="",0,COUNTIF(tsk_WBS,$B174&amp;".*"))</f>
        <v>0</v>
      </c>
      <c r="AI174" s="47" t="b">
        <f aca="false">$AH174&gt;0</f>
        <v>0</v>
      </c>
      <c r="AJ174" s="46" t="n">
        <f aca="false">IF(AND($D174&lt;&gt;"",NOT($AI174)),1,0)</f>
        <v>0</v>
      </c>
      <c r="AK174" s="48" t="n">
        <f aca="true">IF(OR(N($G174)=0,$AI174,$D174=""),0,IFERROR(CHOOSE(MATCH(IF($H174="","FS",$H174),{"FS","SS","FF","SF"},0),WORKDAY.INTL(OFFSET(hdr_PlanFinish,MATCH($G174,tsk_ID,0),0),IF(N($F174)=0,0,1)+N($I174),WorkWeek,Holidays),WORKDAY.INTL(OFFSET(hdr_PlanStart,MATCH($G174,tsk_ID,0),0),N($I174),WorkWeek,Holidays),WORKDAY.INTL(WORKDAY.INTL(OFFSET(hdr_PlanFinish,MATCH($G174,tsk_ID,0),0),N($I174),WorkWeek,Holidays),-MAX(0,N($F174)-1),WorkWeek,Holidays),WORKDAY.INTL(WORKDAY.INTL(OFFSET(hdr_PlanStart,MATCH($G174,tsk_ID,0),0),N($I174),WorkWeek,Holidays),-MAX(0,N($F174)-1),WorkWeek,Holidays)),0))</f>
        <v>0</v>
      </c>
      <c r="AL174" s="48" t="n">
        <f aca="true">IF(OR(N($J174)=0,$AI174,$D174=""),0,IFERROR(CHOOSE(MATCH(IF($K174="","FS",$K174),{"FS","SS","FF","SF"},0),WORKDAY.INTL(OFFSET(hdr_PlanFinish,MATCH($J174,tsk_ID,0),0),IF(N($F174)=0,0,1)+N($L174),WorkWeek,Holidays),WORKDAY.INTL(OFFSET(hdr_PlanStart,MATCH($J174,tsk_ID,0),0),N($L174),WorkWeek,Holidays),WORKDAY.INTL(WORKDAY.INTL(OFFSET(hdr_PlanFinish,MATCH($J174,tsk_ID,0),0),N($L174),WorkWeek,Holidays),-MAX(0,N($F174)-1),WorkWeek,Holidays),WORKDAY.INTL(WORKDAY.INTL(OFFSET(hdr_PlanStart,MATCH($J174,tsk_ID,0),0),N($L174),WorkWeek,Holidays),-MAX(0,N($F174)-1),WorkWeek,Holidays)),0))</f>
        <v>0</v>
      </c>
      <c r="AM174" s="48" t="n">
        <f aca="true">IF(OR(N($G174)=0,$AI174,$D174=""),0,IFERROR(CHOOSE(MATCH(IF($H174="","FS",$H174),{"FS","SS","FF","SF"},0),WORKDAY.INTL(OFFSET(hdr_FcFinish,MATCH($G174,tsk_ID,0),0),IF(N($F174)=0,0,1)+N($I174),WorkWeek,Holidays),WORKDAY.INTL(OFFSET(hdr_FcStart,MATCH($G174,tsk_ID,0),0),N($I174),WorkWeek,Holidays),WORKDAY.INTL(WORKDAY.INTL(OFFSET(hdr_FcFinish,MATCH($G174,tsk_ID,0),0),N($I174),WorkWeek,Holidays),-MAX(0,N($F174)-1),WorkWeek,Holidays),WORKDAY.INTL(WORKDAY.INTL(OFFSET(hdr_FcStart,MATCH($G174,tsk_ID,0),0),N($I174),WorkWeek,Holidays),-MAX(0,N($F174)-1),WorkWeek,Holidays)),0))</f>
        <v>0</v>
      </c>
      <c r="AN174" s="48" t="n">
        <f aca="true">IF(OR(N($J174)=0,$AI174,$D174=""),0,IFERROR(CHOOSE(MATCH(IF($K174="","FS",$K174),{"FS","SS","FF","SF"},0),WORKDAY.INTL(OFFSET(hdr_FcFinish,MATCH($J174,tsk_ID,0),0),IF(N($F174)=0,0,1)+N($L174),WorkWeek,Holidays),WORKDAY.INTL(OFFSET(hdr_FcStart,MATCH($J174,tsk_ID,0),0),N($L174),WorkWeek,Holidays),WORKDAY.INTL(WORKDAY.INTL(OFFSET(hdr_FcFinish,MATCH($J174,tsk_ID,0),0),N($L174),WorkWeek,Holidays),-MAX(0,N($F174)-1),WorkWeek,Holidays),WORKDAY.INTL(WORKDAY.INTL(OFFSET(hdr_FcStart,MATCH($J174,tsk_ID,0),0),N($L174),WorkWeek,Holidays),-MAX(0,N($F174)-1),WorkWeek,Holidays)),0))</f>
        <v>0</v>
      </c>
      <c r="AO174" s="48" t="n">
        <f aca="false">IF($AJ174=1,$R174,0)</f>
        <v>0</v>
      </c>
      <c r="AP174" s="48" t="n">
        <f aca="false">IF($AJ174=1,$S174,0)</f>
        <v>0</v>
      </c>
      <c r="AQ174" s="49" t="n">
        <f aca="false">IF(AND($AJ174=1,N($Z174)&gt;0),$Z174/($AP174-$AO174+1),0)</f>
        <v>0</v>
      </c>
      <c r="AR174" s="46" t="n">
        <f aca="false">IF($AJ174=1,MAX(N($F174),0.1),0)</f>
        <v>0</v>
      </c>
      <c r="AS174" s="46" t="n">
        <f aca="false">IF($AJ174=1,$AR174*$V174,0)</f>
        <v>0</v>
      </c>
      <c r="AT174" s="46" t="str">
        <f aca="false">IF(N($G174)=0,"",$G174&amp;IF(AND(IF($H174="","FS",$H174)="FS",N($I174)=0),"",IF($H174="","FS",$H174)&amp;IF(N($I174)=0,"",IF(N($I174)&gt;0,"+","")&amp;N($I174)&amp;"d")))</f>
        <v/>
      </c>
      <c r="AU174" s="46" t="str">
        <f aca="false">IF(N($J174)=0,"",$J174&amp;IF(AND(IF($K174="","FS",$K174)="FS",N($L174)=0),"",IF($K174="","FS",$K174)&amp;IF(N($L174)=0,"",IF(N($L174)&gt;0,"+","")&amp;N($L174)&amp;"d")))</f>
        <v/>
      </c>
      <c r="AV174" s="46" t="str">
        <f aca="false">IF(AND($AJ174=1,N($F174)=0,$V174&lt;1),$S174+$AF174/100000,"")</f>
        <v/>
      </c>
    </row>
    <row r="175" customFormat="false" ht="15" hidden="false" customHeight="false" outlineLevel="0" collapsed="false">
      <c r="A175" s="38" t="str">
        <f aca="false">IF($D175="","",COUNTA($D$6:$D175))</f>
        <v/>
      </c>
      <c r="B175" s="39" t="str">
        <f aca="true">IF($D175="","",IF($AE175=1,COUNTIF($AE$6:$AE175,1)&amp;"",IF($AG175=0,"?",OFFSET(hdr_WBS,$AG175-ROW(hdr_WBS),0)&amp;"."&amp;COUNTIF(INDEX($AE:$AE,$AG175+1):$AE175,$AE175))))</f>
        <v/>
      </c>
      <c r="C175" s="40"/>
      <c r="D175" s="41"/>
      <c r="E175" s="40"/>
      <c r="F175" s="40"/>
      <c r="G175" s="40"/>
      <c r="H175" s="40"/>
      <c r="I175" s="40"/>
      <c r="J175" s="40"/>
      <c r="K175" s="40"/>
      <c r="L175" s="40"/>
      <c r="M175" s="29"/>
      <c r="N175" s="30" t="str">
        <f aca="true">IF($D175="","",IF($AI175,MIN(OFFSET(hdr_PlanStart,$AF175+1,0,$AH175,1)),IF($E175="Manual",IF(N($M175)&gt;0,$M175,ProjectStart),WORKDAY.INTL(MAX(ProjectStart,N($M175),$AK175,$AL175)-1,1,WorkWeek,Holidays))))</f>
        <v/>
      </c>
      <c r="O175" s="30" t="str">
        <f aca="true">IF($D175="","",IF($AI175,MAX(OFFSET(hdr_PlanFinish,$AF175+1,0,$AH175,1)),IF(N($F175)&lt;=0,$N175,WORKDAY.INTL($N175,$F175-1,WorkWeek,Holidays))))</f>
        <v/>
      </c>
      <c r="P175" s="29"/>
      <c r="Q175" s="29"/>
      <c r="R175" s="30" t="str">
        <f aca="true">IF($D175="","",IF($AI175,MIN(OFFSET(hdr_FcStart,$AF175+1,0,$AH175,1)),IF(N($P175)&gt;0,$P175,IF($E175="Manual",IF(N($M175)&gt;0,$M175,ProjectStart),WORKDAY.INTL(MAX(ProjectStart,N($M175),$AM175,$AN175,IF(RescheduleAfterStatus="Yes",StatusDate,0))-1,1,WorkWeek,Holidays)))))</f>
        <v/>
      </c>
      <c r="S175" s="30" t="str">
        <f aca="true">IF($D175="","",IF($AI175,MAX(OFFSET(hdr_FcFinish,$AF175+1,0,$AH175,1)),IF(N($Q175)&gt;0,$Q175,IF(N($F175)&lt;=0,$R175,IF(AND(N($P175)&gt;0,RescheduleAfterStatus="Yes"),MAX(WORKDAY.INTL($R175,$F175-1,WorkWeek,Holidays),WORKDAY.INTL(StatusWorkday,MAX(0,ROUNDUP($F175*(1-MIN(1,N($U175))),0)-1),WorkWeek,Holidays)),WORKDAY.INTL($R175,$F175-1,WorkWeek,Holidays))))))</f>
        <v/>
      </c>
      <c r="T175" s="38" t="str">
        <f aca="false">IF($D175="","",IF($S175&gt;=$O175,NETWORKDAYS.INTL($O175,$S175,WorkWeek,Holidays)-1,1-NETWORKDAYS.INTL($S175,$O175,WorkWeek,Holidays)))</f>
        <v/>
      </c>
      <c r="U175" s="32"/>
      <c r="V175" s="42" t="str">
        <f aca="true">IF($D175="","",IF($AI175,IFERROR(SUM(OFFSET(hdr_WtDone,$AF175+1,0,$AH175,1))/SUM(OFFSET(hdr_WtDur,$AF175+1,0,$AH175,1)),0),IF(N($Q175)&gt;0,1,MIN(1,N($U175)))))</f>
        <v/>
      </c>
      <c r="W175" s="39" t="str">
        <f aca="false">IF($D175="","",IF($V175&gt;=1,"Complete",IF(OR(N($P175)&gt;0,$V175&gt;0),IF($T175&gt;0,"Behind","In Progress"),IF($N175&lt;StatusDate,"Late Start","Not Started"))))</f>
        <v/>
      </c>
      <c r="X175" s="41"/>
      <c r="Y175" s="32"/>
      <c r="Z175" s="43" t="str">
        <f aca="true">IF($D175="","",IF($AI175,SUMPRODUCT(OFFSET(hdr_Work,$AF175+1,0,$AH175,1),OFFSET(hdr_IsLeaf,$AF175+1,0,$AH175,1)),IF($X175="",0,N($F175)*HoursPerDay*IF($Y175="",DefaultUnits,$Y175))))</f>
        <v/>
      </c>
      <c r="AA175" s="44" t="str">
        <f aca="true">IF($D175="","",IF($AI175,SUMPRODUCT(OFFSET(hdr_Cost,$AF175+1,0,$AH175,1),OFFSET(hdr_IsLeaf,$AF175+1,0,$AH175,1)),$Z175*IFERROR(INDEX(res_Rate,MATCH($X175,res_Name,0)),0)))</f>
        <v/>
      </c>
      <c r="AB175" s="38" t="str">
        <f aca="false">IF(OR($D175="",$AI175),"",IF(OR($R175&lt;Sprint1Start,$R175&gt;SprintLastEnd),"Backlog",INDEX(spr_Name,MATCH($R175,spr_Start,1))))</f>
        <v/>
      </c>
      <c r="AC175" s="45" t="str">
        <f aca="false">IF($D175="","",$AT175&amp;IF(AND($AT175&lt;&gt;"",$AU175&lt;&gt;""),",","")&amp;$AU175)</f>
        <v/>
      </c>
      <c r="AD175" s="41"/>
      <c r="AE175" s="46" t="str">
        <f aca="false">IF($D175="","",MAX(1,N($C175)))</f>
        <v/>
      </c>
      <c r="AF175" s="46" t="n">
        <f aca="false">ROW()-ROW(hdr_ID)</f>
        <v>170</v>
      </c>
      <c r="AG175" s="46" t="n">
        <f aca="false">IF(OR($D175="",$AE175&lt;=1),0,IFERROR(LOOKUP(2,1/($AE$5:$AE174=$AE175-1),ROW($AE$5:$AE174)),0))</f>
        <v>0</v>
      </c>
      <c r="AH175" s="46" t="n">
        <f aca="false">IF($D175="",0,COUNTIF(tsk_WBS,$B175&amp;".*"))</f>
        <v>0</v>
      </c>
      <c r="AI175" s="47" t="b">
        <f aca="false">$AH175&gt;0</f>
        <v>0</v>
      </c>
      <c r="AJ175" s="46" t="n">
        <f aca="false">IF(AND($D175&lt;&gt;"",NOT($AI175)),1,0)</f>
        <v>0</v>
      </c>
      <c r="AK175" s="48" t="n">
        <f aca="true">IF(OR(N($G175)=0,$AI175,$D175=""),0,IFERROR(CHOOSE(MATCH(IF($H175="","FS",$H175),{"FS","SS","FF","SF"},0),WORKDAY.INTL(OFFSET(hdr_PlanFinish,MATCH($G175,tsk_ID,0),0),IF(N($F175)=0,0,1)+N($I175),WorkWeek,Holidays),WORKDAY.INTL(OFFSET(hdr_PlanStart,MATCH($G175,tsk_ID,0),0),N($I175),WorkWeek,Holidays),WORKDAY.INTL(WORKDAY.INTL(OFFSET(hdr_PlanFinish,MATCH($G175,tsk_ID,0),0),N($I175),WorkWeek,Holidays),-MAX(0,N($F175)-1),WorkWeek,Holidays),WORKDAY.INTL(WORKDAY.INTL(OFFSET(hdr_PlanStart,MATCH($G175,tsk_ID,0),0),N($I175),WorkWeek,Holidays),-MAX(0,N($F175)-1),WorkWeek,Holidays)),0))</f>
        <v>0</v>
      </c>
      <c r="AL175" s="48" t="n">
        <f aca="true">IF(OR(N($J175)=0,$AI175,$D175=""),0,IFERROR(CHOOSE(MATCH(IF($K175="","FS",$K175),{"FS","SS","FF","SF"},0),WORKDAY.INTL(OFFSET(hdr_PlanFinish,MATCH($J175,tsk_ID,0),0),IF(N($F175)=0,0,1)+N($L175),WorkWeek,Holidays),WORKDAY.INTL(OFFSET(hdr_PlanStart,MATCH($J175,tsk_ID,0),0),N($L175),WorkWeek,Holidays),WORKDAY.INTL(WORKDAY.INTL(OFFSET(hdr_PlanFinish,MATCH($J175,tsk_ID,0),0),N($L175),WorkWeek,Holidays),-MAX(0,N($F175)-1),WorkWeek,Holidays),WORKDAY.INTL(WORKDAY.INTL(OFFSET(hdr_PlanStart,MATCH($J175,tsk_ID,0),0),N($L175),WorkWeek,Holidays),-MAX(0,N($F175)-1),WorkWeek,Holidays)),0))</f>
        <v>0</v>
      </c>
      <c r="AM175" s="48" t="n">
        <f aca="true">IF(OR(N($G175)=0,$AI175,$D175=""),0,IFERROR(CHOOSE(MATCH(IF($H175="","FS",$H175),{"FS","SS","FF","SF"},0),WORKDAY.INTL(OFFSET(hdr_FcFinish,MATCH($G175,tsk_ID,0),0),IF(N($F175)=0,0,1)+N($I175),WorkWeek,Holidays),WORKDAY.INTL(OFFSET(hdr_FcStart,MATCH($G175,tsk_ID,0),0),N($I175),WorkWeek,Holidays),WORKDAY.INTL(WORKDAY.INTL(OFFSET(hdr_FcFinish,MATCH($G175,tsk_ID,0),0),N($I175),WorkWeek,Holidays),-MAX(0,N($F175)-1),WorkWeek,Holidays),WORKDAY.INTL(WORKDAY.INTL(OFFSET(hdr_FcStart,MATCH($G175,tsk_ID,0),0),N($I175),WorkWeek,Holidays),-MAX(0,N($F175)-1),WorkWeek,Holidays)),0))</f>
        <v>0</v>
      </c>
      <c r="AN175" s="48" t="n">
        <f aca="true">IF(OR(N($J175)=0,$AI175,$D175=""),0,IFERROR(CHOOSE(MATCH(IF($K175="","FS",$K175),{"FS","SS","FF","SF"},0),WORKDAY.INTL(OFFSET(hdr_FcFinish,MATCH($J175,tsk_ID,0),0),IF(N($F175)=0,0,1)+N($L175),WorkWeek,Holidays),WORKDAY.INTL(OFFSET(hdr_FcStart,MATCH($J175,tsk_ID,0),0),N($L175),WorkWeek,Holidays),WORKDAY.INTL(WORKDAY.INTL(OFFSET(hdr_FcFinish,MATCH($J175,tsk_ID,0),0),N($L175),WorkWeek,Holidays),-MAX(0,N($F175)-1),WorkWeek,Holidays),WORKDAY.INTL(WORKDAY.INTL(OFFSET(hdr_FcStart,MATCH($J175,tsk_ID,0),0),N($L175),WorkWeek,Holidays),-MAX(0,N($F175)-1),WorkWeek,Holidays)),0))</f>
        <v>0</v>
      </c>
      <c r="AO175" s="48" t="n">
        <f aca="false">IF($AJ175=1,$R175,0)</f>
        <v>0</v>
      </c>
      <c r="AP175" s="48" t="n">
        <f aca="false">IF($AJ175=1,$S175,0)</f>
        <v>0</v>
      </c>
      <c r="AQ175" s="49" t="n">
        <f aca="false">IF(AND($AJ175=1,N($Z175)&gt;0),$Z175/($AP175-$AO175+1),0)</f>
        <v>0</v>
      </c>
      <c r="AR175" s="46" t="n">
        <f aca="false">IF($AJ175=1,MAX(N($F175),0.1),0)</f>
        <v>0</v>
      </c>
      <c r="AS175" s="46" t="n">
        <f aca="false">IF($AJ175=1,$AR175*$V175,0)</f>
        <v>0</v>
      </c>
      <c r="AT175" s="46" t="str">
        <f aca="false">IF(N($G175)=0,"",$G175&amp;IF(AND(IF($H175="","FS",$H175)="FS",N($I175)=0),"",IF($H175="","FS",$H175)&amp;IF(N($I175)=0,"",IF(N($I175)&gt;0,"+","")&amp;N($I175)&amp;"d")))</f>
        <v/>
      </c>
      <c r="AU175" s="46" t="str">
        <f aca="false">IF(N($J175)=0,"",$J175&amp;IF(AND(IF($K175="","FS",$K175)="FS",N($L175)=0),"",IF($K175="","FS",$K175)&amp;IF(N($L175)=0,"",IF(N($L175)&gt;0,"+","")&amp;N($L175)&amp;"d")))</f>
        <v/>
      </c>
      <c r="AV175" s="46" t="str">
        <f aca="false">IF(AND($AJ175=1,N($F175)=0,$V175&lt;1),$S175+$AF175/100000,"")</f>
        <v/>
      </c>
    </row>
    <row r="176" customFormat="false" ht="15" hidden="false" customHeight="false" outlineLevel="0" collapsed="false">
      <c r="A176" s="38" t="str">
        <f aca="false">IF($D176="","",COUNTA($D$6:$D176))</f>
        <v/>
      </c>
      <c r="B176" s="39" t="str">
        <f aca="true">IF($D176="","",IF($AE176=1,COUNTIF($AE$6:$AE176,1)&amp;"",IF($AG176=0,"?",OFFSET(hdr_WBS,$AG176-ROW(hdr_WBS),0)&amp;"."&amp;COUNTIF(INDEX($AE:$AE,$AG176+1):$AE176,$AE176))))</f>
        <v/>
      </c>
      <c r="C176" s="40"/>
      <c r="D176" s="41"/>
      <c r="E176" s="40"/>
      <c r="F176" s="40"/>
      <c r="G176" s="40"/>
      <c r="H176" s="40"/>
      <c r="I176" s="40"/>
      <c r="J176" s="40"/>
      <c r="K176" s="40"/>
      <c r="L176" s="40"/>
      <c r="M176" s="29"/>
      <c r="N176" s="30" t="str">
        <f aca="true">IF($D176="","",IF($AI176,MIN(OFFSET(hdr_PlanStart,$AF176+1,0,$AH176,1)),IF($E176="Manual",IF(N($M176)&gt;0,$M176,ProjectStart),WORKDAY.INTL(MAX(ProjectStart,N($M176),$AK176,$AL176)-1,1,WorkWeek,Holidays))))</f>
        <v/>
      </c>
      <c r="O176" s="30" t="str">
        <f aca="true">IF($D176="","",IF($AI176,MAX(OFFSET(hdr_PlanFinish,$AF176+1,0,$AH176,1)),IF(N($F176)&lt;=0,$N176,WORKDAY.INTL($N176,$F176-1,WorkWeek,Holidays))))</f>
        <v/>
      </c>
      <c r="P176" s="29"/>
      <c r="Q176" s="29"/>
      <c r="R176" s="30" t="str">
        <f aca="true">IF($D176="","",IF($AI176,MIN(OFFSET(hdr_FcStart,$AF176+1,0,$AH176,1)),IF(N($P176)&gt;0,$P176,IF($E176="Manual",IF(N($M176)&gt;0,$M176,ProjectStart),WORKDAY.INTL(MAX(ProjectStart,N($M176),$AM176,$AN176,IF(RescheduleAfterStatus="Yes",StatusDate,0))-1,1,WorkWeek,Holidays)))))</f>
        <v/>
      </c>
      <c r="S176" s="30" t="str">
        <f aca="true">IF($D176="","",IF($AI176,MAX(OFFSET(hdr_FcFinish,$AF176+1,0,$AH176,1)),IF(N($Q176)&gt;0,$Q176,IF(N($F176)&lt;=0,$R176,IF(AND(N($P176)&gt;0,RescheduleAfterStatus="Yes"),MAX(WORKDAY.INTL($R176,$F176-1,WorkWeek,Holidays),WORKDAY.INTL(StatusWorkday,MAX(0,ROUNDUP($F176*(1-MIN(1,N($U176))),0)-1),WorkWeek,Holidays)),WORKDAY.INTL($R176,$F176-1,WorkWeek,Holidays))))))</f>
        <v/>
      </c>
      <c r="T176" s="38" t="str">
        <f aca="false">IF($D176="","",IF($S176&gt;=$O176,NETWORKDAYS.INTL($O176,$S176,WorkWeek,Holidays)-1,1-NETWORKDAYS.INTL($S176,$O176,WorkWeek,Holidays)))</f>
        <v/>
      </c>
      <c r="U176" s="32"/>
      <c r="V176" s="42" t="str">
        <f aca="true">IF($D176="","",IF($AI176,IFERROR(SUM(OFFSET(hdr_WtDone,$AF176+1,0,$AH176,1))/SUM(OFFSET(hdr_WtDur,$AF176+1,0,$AH176,1)),0),IF(N($Q176)&gt;0,1,MIN(1,N($U176)))))</f>
        <v/>
      </c>
      <c r="W176" s="39" t="str">
        <f aca="false">IF($D176="","",IF($V176&gt;=1,"Complete",IF(OR(N($P176)&gt;0,$V176&gt;0),IF($T176&gt;0,"Behind","In Progress"),IF($N176&lt;StatusDate,"Late Start","Not Started"))))</f>
        <v/>
      </c>
      <c r="X176" s="41"/>
      <c r="Y176" s="32"/>
      <c r="Z176" s="43" t="str">
        <f aca="true">IF($D176="","",IF($AI176,SUMPRODUCT(OFFSET(hdr_Work,$AF176+1,0,$AH176,1),OFFSET(hdr_IsLeaf,$AF176+1,0,$AH176,1)),IF($X176="",0,N($F176)*HoursPerDay*IF($Y176="",DefaultUnits,$Y176))))</f>
        <v/>
      </c>
      <c r="AA176" s="44" t="str">
        <f aca="true">IF($D176="","",IF($AI176,SUMPRODUCT(OFFSET(hdr_Cost,$AF176+1,0,$AH176,1),OFFSET(hdr_IsLeaf,$AF176+1,0,$AH176,1)),$Z176*IFERROR(INDEX(res_Rate,MATCH($X176,res_Name,0)),0)))</f>
        <v/>
      </c>
      <c r="AB176" s="38" t="str">
        <f aca="false">IF(OR($D176="",$AI176),"",IF(OR($R176&lt;Sprint1Start,$R176&gt;SprintLastEnd),"Backlog",INDEX(spr_Name,MATCH($R176,spr_Start,1))))</f>
        <v/>
      </c>
      <c r="AC176" s="45" t="str">
        <f aca="false">IF($D176="","",$AT176&amp;IF(AND($AT176&lt;&gt;"",$AU176&lt;&gt;""),",","")&amp;$AU176)</f>
        <v/>
      </c>
      <c r="AD176" s="41"/>
      <c r="AE176" s="46" t="str">
        <f aca="false">IF($D176="","",MAX(1,N($C176)))</f>
        <v/>
      </c>
      <c r="AF176" s="46" t="n">
        <f aca="false">ROW()-ROW(hdr_ID)</f>
        <v>171</v>
      </c>
      <c r="AG176" s="46" t="n">
        <f aca="false">IF(OR($D176="",$AE176&lt;=1),0,IFERROR(LOOKUP(2,1/($AE$5:$AE175=$AE176-1),ROW($AE$5:$AE175)),0))</f>
        <v>0</v>
      </c>
      <c r="AH176" s="46" t="n">
        <f aca="false">IF($D176="",0,COUNTIF(tsk_WBS,$B176&amp;".*"))</f>
        <v>0</v>
      </c>
      <c r="AI176" s="47" t="b">
        <f aca="false">$AH176&gt;0</f>
        <v>0</v>
      </c>
      <c r="AJ176" s="46" t="n">
        <f aca="false">IF(AND($D176&lt;&gt;"",NOT($AI176)),1,0)</f>
        <v>0</v>
      </c>
      <c r="AK176" s="48" t="n">
        <f aca="true">IF(OR(N($G176)=0,$AI176,$D176=""),0,IFERROR(CHOOSE(MATCH(IF($H176="","FS",$H176),{"FS","SS","FF","SF"},0),WORKDAY.INTL(OFFSET(hdr_PlanFinish,MATCH($G176,tsk_ID,0),0),IF(N($F176)=0,0,1)+N($I176),WorkWeek,Holidays),WORKDAY.INTL(OFFSET(hdr_PlanStart,MATCH($G176,tsk_ID,0),0),N($I176),WorkWeek,Holidays),WORKDAY.INTL(WORKDAY.INTL(OFFSET(hdr_PlanFinish,MATCH($G176,tsk_ID,0),0),N($I176),WorkWeek,Holidays),-MAX(0,N($F176)-1),WorkWeek,Holidays),WORKDAY.INTL(WORKDAY.INTL(OFFSET(hdr_PlanStart,MATCH($G176,tsk_ID,0),0),N($I176),WorkWeek,Holidays),-MAX(0,N($F176)-1),WorkWeek,Holidays)),0))</f>
        <v>0</v>
      </c>
      <c r="AL176" s="48" t="n">
        <f aca="true">IF(OR(N($J176)=0,$AI176,$D176=""),0,IFERROR(CHOOSE(MATCH(IF($K176="","FS",$K176),{"FS","SS","FF","SF"},0),WORKDAY.INTL(OFFSET(hdr_PlanFinish,MATCH($J176,tsk_ID,0),0),IF(N($F176)=0,0,1)+N($L176),WorkWeek,Holidays),WORKDAY.INTL(OFFSET(hdr_PlanStart,MATCH($J176,tsk_ID,0),0),N($L176),WorkWeek,Holidays),WORKDAY.INTL(WORKDAY.INTL(OFFSET(hdr_PlanFinish,MATCH($J176,tsk_ID,0),0),N($L176),WorkWeek,Holidays),-MAX(0,N($F176)-1),WorkWeek,Holidays),WORKDAY.INTL(WORKDAY.INTL(OFFSET(hdr_PlanStart,MATCH($J176,tsk_ID,0),0),N($L176),WorkWeek,Holidays),-MAX(0,N($F176)-1),WorkWeek,Holidays)),0))</f>
        <v>0</v>
      </c>
      <c r="AM176" s="48" t="n">
        <f aca="true">IF(OR(N($G176)=0,$AI176,$D176=""),0,IFERROR(CHOOSE(MATCH(IF($H176="","FS",$H176),{"FS","SS","FF","SF"},0),WORKDAY.INTL(OFFSET(hdr_FcFinish,MATCH($G176,tsk_ID,0),0),IF(N($F176)=0,0,1)+N($I176),WorkWeek,Holidays),WORKDAY.INTL(OFFSET(hdr_FcStart,MATCH($G176,tsk_ID,0),0),N($I176),WorkWeek,Holidays),WORKDAY.INTL(WORKDAY.INTL(OFFSET(hdr_FcFinish,MATCH($G176,tsk_ID,0),0),N($I176),WorkWeek,Holidays),-MAX(0,N($F176)-1),WorkWeek,Holidays),WORKDAY.INTL(WORKDAY.INTL(OFFSET(hdr_FcStart,MATCH($G176,tsk_ID,0),0),N($I176),WorkWeek,Holidays),-MAX(0,N($F176)-1),WorkWeek,Holidays)),0))</f>
        <v>0</v>
      </c>
      <c r="AN176" s="48" t="n">
        <f aca="true">IF(OR(N($J176)=0,$AI176,$D176=""),0,IFERROR(CHOOSE(MATCH(IF($K176="","FS",$K176),{"FS","SS","FF","SF"},0),WORKDAY.INTL(OFFSET(hdr_FcFinish,MATCH($J176,tsk_ID,0),0),IF(N($F176)=0,0,1)+N($L176),WorkWeek,Holidays),WORKDAY.INTL(OFFSET(hdr_FcStart,MATCH($J176,tsk_ID,0),0),N($L176),WorkWeek,Holidays),WORKDAY.INTL(WORKDAY.INTL(OFFSET(hdr_FcFinish,MATCH($J176,tsk_ID,0),0),N($L176),WorkWeek,Holidays),-MAX(0,N($F176)-1),WorkWeek,Holidays),WORKDAY.INTL(WORKDAY.INTL(OFFSET(hdr_FcStart,MATCH($J176,tsk_ID,0),0),N($L176),WorkWeek,Holidays),-MAX(0,N($F176)-1),WorkWeek,Holidays)),0))</f>
        <v>0</v>
      </c>
      <c r="AO176" s="48" t="n">
        <f aca="false">IF($AJ176=1,$R176,0)</f>
        <v>0</v>
      </c>
      <c r="AP176" s="48" t="n">
        <f aca="false">IF($AJ176=1,$S176,0)</f>
        <v>0</v>
      </c>
      <c r="AQ176" s="49" t="n">
        <f aca="false">IF(AND($AJ176=1,N($Z176)&gt;0),$Z176/($AP176-$AO176+1),0)</f>
        <v>0</v>
      </c>
      <c r="AR176" s="46" t="n">
        <f aca="false">IF($AJ176=1,MAX(N($F176),0.1),0)</f>
        <v>0</v>
      </c>
      <c r="AS176" s="46" t="n">
        <f aca="false">IF($AJ176=1,$AR176*$V176,0)</f>
        <v>0</v>
      </c>
      <c r="AT176" s="46" t="str">
        <f aca="false">IF(N($G176)=0,"",$G176&amp;IF(AND(IF($H176="","FS",$H176)="FS",N($I176)=0),"",IF($H176="","FS",$H176)&amp;IF(N($I176)=0,"",IF(N($I176)&gt;0,"+","")&amp;N($I176)&amp;"d")))</f>
        <v/>
      </c>
      <c r="AU176" s="46" t="str">
        <f aca="false">IF(N($J176)=0,"",$J176&amp;IF(AND(IF($K176="","FS",$K176)="FS",N($L176)=0),"",IF($K176="","FS",$K176)&amp;IF(N($L176)=0,"",IF(N($L176)&gt;0,"+","")&amp;N($L176)&amp;"d")))</f>
        <v/>
      </c>
      <c r="AV176" s="46" t="str">
        <f aca="false">IF(AND($AJ176=1,N($F176)=0,$V176&lt;1),$S176+$AF176/100000,"")</f>
        <v/>
      </c>
    </row>
    <row r="177" customFormat="false" ht="15" hidden="false" customHeight="false" outlineLevel="0" collapsed="false">
      <c r="A177" s="38" t="str">
        <f aca="false">IF($D177="","",COUNTA($D$6:$D177))</f>
        <v/>
      </c>
      <c r="B177" s="39" t="str">
        <f aca="true">IF($D177="","",IF($AE177=1,COUNTIF($AE$6:$AE177,1)&amp;"",IF($AG177=0,"?",OFFSET(hdr_WBS,$AG177-ROW(hdr_WBS),0)&amp;"."&amp;COUNTIF(INDEX($AE:$AE,$AG177+1):$AE177,$AE177))))</f>
        <v/>
      </c>
      <c r="C177" s="40"/>
      <c r="D177" s="41"/>
      <c r="E177" s="40"/>
      <c r="F177" s="40"/>
      <c r="G177" s="40"/>
      <c r="H177" s="40"/>
      <c r="I177" s="40"/>
      <c r="J177" s="40"/>
      <c r="K177" s="40"/>
      <c r="L177" s="40"/>
      <c r="M177" s="29"/>
      <c r="N177" s="30" t="str">
        <f aca="true">IF($D177="","",IF($AI177,MIN(OFFSET(hdr_PlanStart,$AF177+1,0,$AH177,1)),IF($E177="Manual",IF(N($M177)&gt;0,$M177,ProjectStart),WORKDAY.INTL(MAX(ProjectStart,N($M177),$AK177,$AL177)-1,1,WorkWeek,Holidays))))</f>
        <v/>
      </c>
      <c r="O177" s="30" t="str">
        <f aca="true">IF($D177="","",IF($AI177,MAX(OFFSET(hdr_PlanFinish,$AF177+1,0,$AH177,1)),IF(N($F177)&lt;=0,$N177,WORKDAY.INTL($N177,$F177-1,WorkWeek,Holidays))))</f>
        <v/>
      </c>
      <c r="P177" s="29"/>
      <c r="Q177" s="29"/>
      <c r="R177" s="30" t="str">
        <f aca="true">IF($D177="","",IF($AI177,MIN(OFFSET(hdr_FcStart,$AF177+1,0,$AH177,1)),IF(N($P177)&gt;0,$P177,IF($E177="Manual",IF(N($M177)&gt;0,$M177,ProjectStart),WORKDAY.INTL(MAX(ProjectStart,N($M177),$AM177,$AN177,IF(RescheduleAfterStatus="Yes",StatusDate,0))-1,1,WorkWeek,Holidays)))))</f>
        <v/>
      </c>
      <c r="S177" s="30" t="str">
        <f aca="true">IF($D177="","",IF($AI177,MAX(OFFSET(hdr_FcFinish,$AF177+1,0,$AH177,1)),IF(N($Q177)&gt;0,$Q177,IF(N($F177)&lt;=0,$R177,IF(AND(N($P177)&gt;0,RescheduleAfterStatus="Yes"),MAX(WORKDAY.INTL($R177,$F177-1,WorkWeek,Holidays),WORKDAY.INTL(StatusWorkday,MAX(0,ROUNDUP($F177*(1-MIN(1,N($U177))),0)-1),WorkWeek,Holidays)),WORKDAY.INTL($R177,$F177-1,WorkWeek,Holidays))))))</f>
        <v/>
      </c>
      <c r="T177" s="38" t="str">
        <f aca="false">IF($D177="","",IF($S177&gt;=$O177,NETWORKDAYS.INTL($O177,$S177,WorkWeek,Holidays)-1,1-NETWORKDAYS.INTL($S177,$O177,WorkWeek,Holidays)))</f>
        <v/>
      </c>
      <c r="U177" s="32"/>
      <c r="V177" s="42" t="str">
        <f aca="true">IF($D177="","",IF($AI177,IFERROR(SUM(OFFSET(hdr_WtDone,$AF177+1,0,$AH177,1))/SUM(OFFSET(hdr_WtDur,$AF177+1,0,$AH177,1)),0),IF(N($Q177)&gt;0,1,MIN(1,N($U177)))))</f>
        <v/>
      </c>
      <c r="W177" s="39" t="str">
        <f aca="false">IF($D177="","",IF($V177&gt;=1,"Complete",IF(OR(N($P177)&gt;0,$V177&gt;0),IF($T177&gt;0,"Behind","In Progress"),IF($N177&lt;StatusDate,"Late Start","Not Started"))))</f>
        <v/>
      </c>
      <c r="X177" s="41"/>
      <c r="Y177" s="32"/>
      <c r="Z177" s="43" t="str">
        <f aca="true">IF($D177="","",IF($AI177,SUMPRODUCT(OFFSET(hdr_Work,$AF177+1,0,$AH177,1),OFFSET(hdr_IsLeaf,$AF177+1,0,$AH177,1)),IF($X177="",0,N($F177)*HoursPerDay*IF($Y177="",DefaultUnits,$Y177))))</f>
        <v/>
      </c>
      <c r="AA177" s="44" t="str">
        <f aca="true">IF($D177="","",IF($AI177,SUMPRODUCT(OFFSET(hdr_Cost,$AF177+1,0,$AH177,1),OFFSET(hdr_IsLeaf,$AF177+1,0,$AH177,1)),$Z177*IFERROR(INDEX(res_Rate,MATCH($X177,res_Name,0)),0)))</f>
        <v/>
      </c>
      <c r="AB177" s="38" t="str">
        <f aca="false">IF(OR($D177="",$AI177),"",IF(OR($R177&lt;Sprint1Start,$R177&gt;SprintLastEnd),"Backlog",INDEX(spr_Name,MATCH($R177,spr_Start,1))))</f>
        <v/>
      </c>
      <c r="AC177" s="45" t="str">
        <f aca="false">IF($D177="","",$AT177&amp;IF(AND($AT177&lt;&gt;"",$AU177&lt;&gt;""),",","")&amp;$AU177)</f>
        <v/>
      </c>
      <c r="AD177" s="41"/>
      <c r="AE177" s="46" t="str">
        <f aca="false">IF($D177="","",MAX(1,N($C177)))</f>
        <v/>
      </c>
      <c r="AF177" s="46" t="n">
        <f aca="false">ROW()-ROW(hdr_ID)</f>
        <v>172</v>
      </c>
      <c r="AG177" s="46" t="n">
        <f aca="false">IF(OR($D177="",$AE177&lt;=1),0,IFERROR(LOOKUP(2,1/($AE$5:$AE176=$AE177-1),ROW($AE$5:$AE176)),0))</f>
        <v>0</v>
      </c>
      <c r="AH177" s="46" t="n">
        <f aca="false">IF($D177="",0,COUNTIF(tsk_WBS,$B177&amp;".*"))</f>
        <v>0</v>
      </c>
      <c r="AI177" s="47" t="b">
        <f aca="false">$AH177&gt;0</f>
        <v>0</v>
      </c>
      <c r="AJ177" s="46" t="n">
        <f aca="false">IF(AND($D177&lt;&gt;"",NOT($AI177)),1,0)</f>
        <v>0</v>
      </c>
      <c r="AK177" s="48" t="n">
        <f aca="true">IF(OR(N($G177)=0,$AI177,$D177=""),0,IFERROR(CHOOSE(MATCH(IF($H177="","FS",$H177),{"FS","SS","FF","SF"},0),WORKDAY.INTL(OFFSET(hdr_PlanFinish,MATCH($G177,tsk_ID,0),0),IF(N($F177)=0,0,1)+N($I177),WorkWeek,Holidays),WORKDAY.INTL(OFFSET(hdr_PlanStart,MATCH($G177,tsk_ID,0),0),N($I177),WorkWeek,Holidays),WORKDAY.INTL(WORKDAY.INTL(OFFSET(hdr_PlanFinish,MATCH($G177,tsk_ID,0),0),N($I177),WorkWeek,Holidays),-MAX(0,N($F177)-1),WorkWeek,Holidays),WORKDAY.INTL(WORKDAY.INTL(OFFSET(hdr_PlanStart,MATCH($G177,tsk_ID,0),0),N($I177),WorkWeek,Holidays),-MAX(0,N($F177)-1),WorkWeek,Holidays)),0))</f>
        <v>0</v>
      </c>
      <c r="AL177" s="48" t="n">
        <f aca="true">IF(OR(N($J177)=0,$AI177,$D177=""),0,IFERROR(CHOOSE(MATCH(IF($K177="","FS",$K177),{"FS","SS","FF","SF"},0),WORKDAY.INTL(OFFSET(hdr_PlanFinish,MATCH($J177,tsk_ID,0),0),IF(N($F177)=0,0,1)+N($L177),WorkWeek,Holidays),WORKDAY.INTL(OFFSET(hdr_PlanStart,MATCH($J177,tsk_ID,0),0),N($L177),WorkWeek,Holidays),WORKDAY.INTL(WORKDAY.INTL(OFFSET(hdr_PlanFinish,MATCH($J177,tsk_ID,0),0),N($L177),WorkWeek,Holidays),-MAX(0,N($F177)-1),WorkWeek,Holidays),WORKDAY.INTL(WORKDAY.INTL(OFFSET(hdr_PlanStart,MATCH($J177,tsk_ID,0),0),N($L177),WorkWeek,Holidays),-MAX(0,N($F177)-1),WorkWeek,Holidays)),0))</f>
        <v>0</v>
      </c>
      <c r="AM177" s="48" t="n">
        <f aca="true">IF(OR(N($G177)=0,$AI177,$D177=""),0,IFERROR(CHOOSE(MATCH(IF($H177="","FS",$H177),{"FS","SS","FF","SF"},0),WORKDAY.INTL(OFFSET(hdr_FcFinish,MATCH($G177,tsk_ID,0),0),IF(N($F177)=0,0,1)+N($I177),WorkWeek,Holidays),WORKDAY.INTL(OFFSET(hdr_FcStart,MATCH($G177,tsk_ID,0),0),N($I177),WorkWeek,Holidays),WORKDAY.INTL(WORKDAY.INTL(OFFSET(hdr_FcFinish,MATCH($G177,tsk_ID,0),0),N($I177),WorkWeek,Holidays),-MAX(0,N($F177)-1),WorkWeek,Holidays),WORKDAY.INTL(WORKDAY.INTL(OFFSET(hdr_FcStart,MATCH($G177,tsk_ID,0),0),N($I177),WorkWeek,Holidays),-MAX(0,N($F177)-1),WorkWeek,Holidays)),0))</f>
        <v>0</v>
      </c>
      <c r="AN177" s="48" t="n">
        <f aca="true">IF(OR(N($J177)=0,$AI177,$D177=""),0,IFERROR(CHOOSE(MATCH(IF($K177="","FS",$K177),{"FS","SS","FF","SF"},0),WORKDAY.INTL(OFFSET(hdr_FcFinish,MATCH($J177,tsk_ID,0),0),IF(N($F177)=0,0,1)+N($L177),WorkWeek,Holidays),WORKDAY.INTL(OFFSET(hdr_FcStart,MATCH($J177,tsk_ID,0),0),N($L177),WorkWeek,Holidays),WORKDAY.INTL(WORKDAY.INTL(OFFSET(hdr_FcFinish,MATCH($J177,tsk_ID,0),0),N($L177),WorkWeek,Holidays),-MAX(0,N($F177)-1),WorkWeek,Holidays),WORKDAY.INTL(WORKDAY.INTL(OFFSET(hdr_FcStart,MATCH($J177,tsk_ID,0),0),N($L177),WorkWeek,Holidays),-MAX(0,N($F177)-1),WorkWeek,Holidays)),0))</f>
        <v>0</v>
      </c>
      <c r="AO177" s="48" t="n">
        <f aca="false">IF($AJ177=1,$R177,0)</f>
        <v>0</v>
      </c>
      <c r="AP177" s="48" t="n">
        <f aca="false">IF($AJ177=1,$S177,0)</f>
        <v>0</v>
      </c>
      <c r="AQ177" s="49" t="n">
        <f aca="false">IF(AND($AJ177=1,N($Z177)&gt;0),$Z177/($AP177-$AO177+1),0)</f>
        <v>0</v>
      </c>
      <c r="AR177" s="46" t="n">
        <f aca="false">IF($AJ177=1,MAX(N($F177),0.1),0)</f>
        <v>0</v>
      </c>
      <c r="AS177" s="46" t="n">
        <f aca="false">IF($AJ177=1,$AR177*$V177,0)</f>
        <v>0</v>
      </c>
      <c r="AT177" s="46" t="str">
        <f aca="false">IF(N($G177)=0,"",$G177&amp;IF(AND(IF($H177="","FS",$H177)="FS",N($I177)=0),"",IF($H177="","FS",$H177)&amp;IF(N($I177)=0,"",IF(N($I177)&gt;0,"+","")&amp;N($I177)&amp;"d")))</f>
        <v/>
      </c>
      <c r="AU177" s="46" t="str">
        <f aca="false">IF(N($J177)=0,"",$J177&amp;IF(AND(IF($K177="","FS",$K177)="FS",N($L177)=0),"",IF($K177="","FS",$K177)&amp;IF(N($L177)=0,"",IF(N($L177)&gt;0,"+","")&amp;N($L177)&amp;"d")))</f>
        <v/>
      </c>
      <c r="AV177" s="46" t="str">
        <f aca="false">IF(AND($AJ177=1,N($F177)=0,$V177&lt;1),$S177+$AF177/100000,"")</f>
        <v/>
      </c>
    </row>
    <row r="178" customFormat="false" ht="15" hidden="false" customHeight="false" outlineLevel="0" collapsed="false">
      <c r="A178" s="38" t="str">
        <f aca="false">IF($D178="","",COUNTA($D$6:$D178))</f>
        <v/>
      </c>
      <c r="B178" s="39" t="str">
        <f aca="true">IF($D178="","",IF($AE178=1,COUNTIF($AE$6:$AE178,1)&amp;"",IF($AG178=0,"?",OFFSET(hdr_WBS,$AG178-ROW(hdr_WBS),0)&amp;"."&amp;COUNTIF(INDEX($AE:$AE,$AG178+1):$AE178,$AE178))))</f>
        <v/>
      </c>
      <c r="C178" s="40"/>
      <c r="D178" s="41"/>
      <c r="E178" s="40"/>
      <c r="F178" s="40"/>
      <c r="G178" s="40"/>
      <c r="H178" s="40"/>
      <c r="I178" s="40"/>
      <c r="J178" s="40"/>
      <c r="K178" s="40"/>
      <c r="L178" s="40"/>
      <c r="M178" s="29"/>
      <c r="N178" s="30" t="str">
        <f aca="true">IF($D178="","",IF($AI178,MIN(OFFSET(hdr_PlanStart,$AF178+1,0,$AH178,1)),IF($E178="Manual",IF(N($M178)&gt;0,$M178,ProjectStart),WORKDAY.INTL(MAX(ProjectStart,N($M178),$AK178,$AL178)-1,1,WorkWeek,Holidays))))</f>
        <v/>
      </c>
      <c r="O178" s="30" t="str">
        <f aca="true">IF($D178="","",IF($AI178,MAX(OFFSET(hdr_PlanFinish,$AF178+1,0,$AH178,1)),IF(N($F178)&lt;=0,$N178,WORKDAY.INTL($N178,$F178-1,WorkWeek,Holidays))))</f>
        <v/>
      </c>
      <c r="P178" s="29"/>
      <c r="Q178" s="29"/>
      <c r="R178" s="30" t="str">
        <f aca="true">IF($D178="","",IF($AI178,MIN(OFFSET(hdr_FcStart,$AF178+1,0,$AH178,1)),IF(N($P178)&gt;0,$P178,IF($E178="Manual",IF(N($M178)&gt;0,$M178,ProjectStart),WORKDAY.INTL(MAX(ProjectStart,N($M178),$AM178,$AN178,IF(RescheduleAfterStatus="Yes",StatusDate,0))-1,1,WorkWeek,Holidays)))))</f>
        <v/>
      </c>
      <c r="S178" s="30" t="str">
        <f aca="true">IF($D178="","",IF($AI178,MAX(OFFSET(hdr_FcFinish,$AF178+1,0,$AH178,1)),IF(N($Q178)&gt;0,$Q178,IF(N($F178)&lt;=0,$R178,IF(AND(N($P178)&gt;0,RescheduleAfterStatus="Yes"),MAX(WORKDAY.INTL($R178,$F178-1,WorkWeek,Holidays),WORKDAY.INTL(StatusWorkday,MAX(0,ROUNDUP($F178*(1-MIN(1,N($U178))),0)-1),WorkWeek,Holidays)),WORKDAY.INTL($R178,$F178-1,WorkWeek,Holidays))))))</f>
        <v/>
      </c>
      <c r="T178" s="38" t="str">
        <f aca="false">IF($D178="","",IF($S178&gt;=$O178,NETWORKDAYS.INTL($O178,$S178,WorkWeek,Holidays)-1,1-NETWORKDAYS.INTL($S178,$O178,WorkWeek,Holidays)))</f>
        <v/>
      </c>
      <c r="U178" s="32"/>
      <c r="V178" s="42" t="str">
        <f aca="true">IF($D178="","",IF($AI178,IFERROR(SUM(OFFSET(hdr_WtDone,$AF178+1,0,$AH178,1))/SUM(OFFSET(hdr_WtDur,$AF178+1,0,$AH178,1)),0),IF(N($Q178)&gt;0,1,MIN(1,N($U178)))))</f>
        <v/>
      </c>
      <c r="W178" s="39" t="str">
        <f aca="false">IF($D178="","",IF($V178&gt;=1,"Complete",IF(OR(N($P178)&gt;0,$V178&gt;0),IF($T178&gt;0,"Behind","In Progress"),IF($N178&lt;StatusDate,"Late Start","Not Started"))))</f>
        <v/>
      </c>
      <c r="X178" s="41"/>
      <c r="Y178" s="32"/>
      <c r="Z178" s="43" t="str">
        <f aca="true">IF($D178="","",IF($AI178,SUMPRODUCT(OFFSET(hdr_Work,$AF178+1,0,$AH178,1),OFFSET(hdr_IsLeaf,$AF178+1,0,$AH178,1)),IF($X178="",0,N($F178)*HoursPerDay*IF($Y178="",DefaultUnits,$Y178))))</f>
        <v/>
      </c>
      <c r="AA178" s="44" t="str">
        <f aca="true">IF($D178="","",IF($AI178,SUMPRODUCT(OFFSET(hdr_Cost,$AF178+1,0,$AH178,1),OFFSET(hdr_IsLeaf,$AF178+1,0,$AH178,1)),$Z178*IFERROR(INDEX(res_Rate,MATCH($X178,res_Name,0)),0)))</f>
        <v/>
      </c>
      <c r="AB178" s="38" t="str">
        <f aca="false">IF(OR($D178="",$AI178),"",IF(OR($R178&lt;Sprint1Start,$R178&gt;SprintLastEnd),"Backlog",INDEX(spr_Name,MATCH($R178,spr_Start,1))))</f>
        <v/>
      </c>
      <c r="AC178" s="45" t="str">
        <f aca="false">IF($D178="","",$AT178&amp;IF(AND($AT178&lt;&gt;"",$AU178&lt;&gt;""),",","")&amp;$AU178)</f>
        <v/>
      </c>
      <c r="AD178" s="41"/>
      <c r="AE178" s="46" t="str">
        <f aca="false">IF($D178="","",MAX(1,N($C178)))</f>
        <v/>
      </c>
      <c r="AF178" s="46" t="n">
        <f aca="false">ROW()-ROW(hdr_ID)</f>
        <v>173</v>
      </c>
      <c r="AG178" s="46" t="n">
        <f aca="false">IF(OR($D178="",$AE178&lt;=1),0,IFERROR(LOOKUP(2,1/($AE$5:$AE177=$AE178-1),ROW($AE$5:$AE177)),0))</f>
        <v>0</v>
      </c>
      <c r="AH178" s="46" t="n">
        <f aca="false">IF($D178="",0,COUNTIF(tsk_WBS,$B178&amp;".*"))</f>
        <v>0</v>
      </c>
      <c r="AI178" s="47" t="b">
        <f aca="false">$AH178&gt;0</f>
        <v>0</v>
      </c>
      <c r="AJ178" s="46" t="n">
        <f aca="false">IF(AND($D178&lt;&gt;"",NOT($AI178)),1,0)</f>
        <v>0</v>
      </c>
      <c r="AK178" s="48" t="n">
        <f aca="true">IF(OR(N($G178)=0,$AI178,$D178=""),0,IFERROR(CHOOSE(MATCH(IF($H178="","FS",$H178),{"FS","SS","FF","SF"},0),WORKDAY.INTL(OFFSET(hdr_PlanFinish,MATCH($G178,tsk_ID,0),0),IF(N($F178)=0,0,1)+N($I178),WorkWeek,Holidays),WORKDAY.INTL(OFFSET(hdr_PlanStart,MATCH($G178,tsk_ID,0),0),N($I178),WorkWeek,Holidays),WORKDAY.INTL(WORKDAY.INTL(OFFSET(hdr_PlanFinish,MATCH($G178,tsk_ID,0),0),N($I178),WorkWeek,Holidays),-MAX(0,N($F178)-1),WorkWeek,Holidays),WORKDAY.INTL(WORKDAY.INTL(OFFSET(hdr_PlanStart,MATCH($G178,tsk_ID,0),0),N($I178),WorkWeek,Holidays),-MAX(0,N($F178)-1),WorkWeek,Holidays)),0))</f>
        <v>0</v>
      </c>
      <c r="AL178" s="48" t="n">
        <f aca="true">IF(OR(N($J178)=0,$AI178,$D178=""),0,IFERROR(CHOOSE(MATCH(IF($K178="","FS",$K178),{"FS","SS","FF","SF"},0),WORKDAY.INTL(OFFSET(hdr_PlanFinish,MATCH($J178,tsk_ID,0),0),IF(N($F178)=0,0,1)+N($L178),WorkWeek,Holidays),WORKDAY.INTL(OFFSET(hdr_PlanStart,MATCH($J178,tsk_ID,0),0),N($L178),WorkWeek,Holidays),WORKDAY.INTL(WORKDAY.INTL(OFFSET(hdr_PlanFinish,MATCH($J178,tsk_ID,0),0),N($L178),WorkWeek,Holidays),-MAX(0,N($F178)-1),WorkWeek,Holidays),WORKDAY.INTL(WORKDAY.INTL(OFFSET(hdr_PlanStart,MATCH($J178,tsk_ID,0),0),N($L178),WorkWeek,Holidays),-MAX(0,N($F178)-1),WorkWeek,Holidays)),0))</f>
        <v>0</v>
      </c>
      <c r="AM178" s="48" t="n">
        <f aca="true">IF(OR(N($G178)=0,$AI178,$D178=""),0,IFERROR(CHOOSE(MATCH(IF($H178="","FS",$H178),{"FS","SS","FF","SF"},0),WORKDAY.INTL(OFFSET(hdr_FcFinish,MATCH($G178,tsk_ID,0),0),IF(N($F178)=0,0,1)+N($I178),WorkWeek,Holidays),WORKDAY.INTL(OFFSET(hdr_FcStart,MATCH($G178,tsk_ID,0),0),N($I178),WorkWeek,Holidays),WORKDAY.INTL(WORKDAY.INTL(OFFSET(hdr_FcFinish,MATCH($G178,tsk_ID,0),0),N($I178),WorkWeek,Holidays),-MAX(0,N($F178)-1),WorkWeek,Holidays),WORKDAY.INTL(WORKDAY.INTL(OFFSET(hdr_FcStart,MATCH($G178,tsk_ID,0),0),N($I178),WorkWeek,Holidays),-MAX(0,N($F178)-1),WorkWeek,Holidays)),0))</f>
        <v>0</v>
      </c>
      <c r="AN178" s="48" t="n">
        <f aca="true">IF(OR(N($J178)=0,$AI178,$D178=""),0,IFERROR(CHOOSE(MATCH(IF($K178="","FS",$K178),{"FS","SS","FF","SF"},0),WORKDAY.INTL(OFFSET(hdr_FcFinish,MATCH($J178,tsk_ID,0),0),IF(N($F178)=0,0,1)+N($L178),WorkWeek,Holidays),WORKDAY.INTL(OFFSET(hdr_FcStart,MATCH($J178,tsk_ID,0),0),N($L178),WorkWeek,Holidays),WORKDAY.INTL(WORKDAY.INTL(OFFSET(hdr_FcFinish,MATCH($J178,tsk_ID,0),0),N($L178),WorkWeek,Holidays),-MAX(0,N($F178)-1),WorkWeek,Holidays),WORKDAY.INTL(WORKDAY.INTL(OFFSET(hdr_FcStart,MATCH($J178,tsk_ID,0),0),N($L178),WorkWeek,Holidays),-MAX(0,N($F178)-1),WorkWeek,Holidays)),0))</f>
        <v>0</v>
      </c>
      <c r="AO178" s="48" t="n">
        <f aca="false">IF($AJ178=1,$R178,0)</f>
        <v>0</v>
      </c>
      <c r="AP178" s="48" t="n">
        <f aca="false">IF($AJ178=1,$S178,0)</f>
        <v>0</v>
      </c>
      <c r="AQ178" s="49" t="n">
        <f aca="false">IF(AND($AJ178=1,N($Z178)&gt;0),$Z178/($AP178-$AO178+1),0)</f>
        <v>0</v>
      </c>
      <c r="AR178" s="46" t="n">
        <f aca="false">IF($AJ178=1,MAX(N($F178),0.1),0)</f>
        <v>0</v>
      </c>
      <c r="AS178" s="46" t="n">
        <f aca="false">IF($AJ178=1,$AR178*$V178,0)</f>
        <v>0</v>
      </c>
      <c r="AT178" s="46" t="str">
        <f aca="false">IF(N($G178)=0,"",$G178&amp;IF(AND(IF($H178="","FS",$H178)="FS",N($I178)=0),"",IF($H178="","FS",$H178)&amp;IF(N($I178)=0,"",IF(N($I178)&gt;0,"+","")&amp;N($I178)&amp;"d")))</f>
        <v/>
      </c>
      <c r="AU178" s="46" t="str">
        <f aca="false">IF(N($J178)=0,"",$J178&amp;IF(AND(IF($K178="","FS",$K178)="FS",N($L178)=0),"",IF($K178="","FS",$K178)&amp;IF(N($L178)=0,"",IF(N($L178)&gt;0,"+","")&amp;N($L178)&amp;"d")))</f>
        <v/>
      </c>
      <c r="AV178" s="46" t="str">
        <f aca="false">IF(AND($AJ178=1,N($F178)=0,$V178&lt;1),$S178+$AF178/100000,"")</f>
        <v/>
      </c>
    </row>
    <row r="179" customFormat="false" ht="15" hidden="false" customHeight="false" outlineLevel="0" collapsed="false">
      <c r="A179" s="38" t="str">
        <f aca="false">IF($D179="","",COUNTA($D$6:$D179))</f>
        <v/>
      </c>
      <c r="B179" s="39" t="str">
        <f aca="true">IF($D179="","",IF($AE179=1,COUNTIF($AE$6:$AE179,1)&amp;"",IF($AG179=0,"?",OFFSET(hdr_WBS,$AG179-ROW(hdr_WBS),0)&amp;"."&amp;COUNTIF(INDEX($AE:$AE,$AG179+1):$AE179,$AE179))))</f>
        <v/>
      </c>
      <c r="C179" s="40"/>
      <c r="D179" s="41"/>
      <c r="E179" s="40"/>
      <c r="F179" s="40"/>
      <c r="G179" s="40"/>
      <c r="H179" s="40"/>
      <c r="I179" s="40"/>
      <c r="J179" s="40"/>
      <c r="K179" s="40"/>
      <c r="L179" s="40"/>
      <c r="M179" s="29"/>
      <c r="N179" s="30" t="str">
        <f aca="true">IF($D179="","",IF($AI179,MIN(OFFSET(hdr_PlanStart,$AF179+1,0,$AH179,1)),IF($E179="Manual",IF(N($M179)&gt;0,$M179,ProjectStart),WORKDAY.INTL(MAX(ProjectStart,N($M179),$AK179,$AL179)-1,1,WorkWeek,Holidays))))</f>
        <v/>
      </c>
      <c r="O179" s="30" t="str">
        <f aca="true">IF($D179="","",IF($AI179,MAX(OFFSET(hdr_PlanFinish,$AF179+1,0,$AH179,1)),IF(N($F179)&lt;=0,$N179,WORKDAY.INTL($N179,$F179-1,WorkWeek,Holidays))))</f>
        <v/>
      </c>
      <c r="P179" s="29"/>
      <c r="Q179" s="29"/>
      <c r="R179" s="30" t="str">
        <f aca="true">IF($D179="","",IF($AI179,MIN(OFFSET(hdr_FcStart,$AF179+1,0,$AH179,1)),IF(N($P179)&gt;0,$P179,IF($E179="Manual",IF(N($M179)&gt;0,$M179,ProjectStart),WORKDAY.INTL(MAX(ProjectStart,N($M179),$AM179,$AN179,IF(RescheduleAfterStatus="Yes",StatusDate,0))-1,1,WorkWeek,Holidays)))))</f>
        <v/>
      </c>
      <c r="S179" s="30" t="str">
        <f aca="true">IF($D179="","",IF($AI179,MAX(OFFSET(hdr_FcFinish,$AF179+1,0,$AH179,1)),IF(N($Q179)&gt;0,$Q179,IF(N($F179)&lt;=0,$R179,IF(AND(N($P179)&gt;0,RescheduleAfterStatus="Yes"),MAX(WORKDAY.INTL($R179,$F179-1,WorkWeek,Holidays),WORKDAY.INTL(StatusWorkday,MAX(0,ROUNDUP($F179*(1-MIN(1,N($U179))),0)-1),WorkWeek,Holidays)),WORKDAY.INTL($R179,$F179-1,WorkWeek,Holidays))))))</f>
        <v/>
      </c>
      <c r="T179" s="38" t="str">
        <f aca="false">IF($D179="","",IF($S179&gt;=$O179,NETWORKDAYS.INTL($O179,$S179,WorkWeek,Holidays)-1,1-NETWORKDAYS.INTL($S179,$O179,WorkWeek,Holidays)))</f>
        <v/>
      </c>
      <c r="U179" s="32"/>
      <c r="V179" s="42" t="str">
        <f aca="true">IF($D179="","",IF($AI179,IFERROR(SUM(OFFSET(hdr_WtDone,$AF179+1,0,$AH179,1))/SUM(OFFSET(hdr_WtDur,$AF179+1,0,$AH179,1)),0),IF(N($Q179)&gt;0,1,MIN(1,N($U179)))))</f>
        <v/>
      </c>
      <c r="W179" s="39" t="str">
        <f aca="false">IF($D179="","",IF($V179&gt;=1,"Complete",IF(OR(N($P179)&gt;0,$V179&gt;0),IF($T179&gt;0,"Behind","In Progress"),IF($N179&lt;StatusDate,"Late Start","Not Started"))))</f>
        <v/>
      </c>
      <c r="X179" s="41"/>
      <c r="Y179" s="32"/>
      <c r="Z179" s="43" t="str">
        <f aca="true">IF($D179="","",IF($AI179,SUMPRODUCT(OFFSET(hdr_Work,$AF179+1,0,$AH179,1),OFFSET(hdr_IsLeaf,$AF179+1,0,$AH179,1)),IF($X179="",0,N($F179)*HoursPerDay*IF($Y179="",DefaultUnits,$Y179))))</f>
        <v/>
      </c>
      <c r="AA179" s="44" t="str">
        <f aca="true">IF($D179="","",IF($AI179,SUMPRODUCT(OFFSET(hdr_Cost,$AF179+1,0,$AH179,1),OFFSET(hdr_IsLeaf,$AF179+1,0,$AH179,1)),$Z179*IFERROR(INDEX(res_Rate,MATCH($X179,res_Name,0)),0)))</f>
        <v/>
      </c>
      <c r="AB179" s="38" t="str">
        <f aca="false">IF(OR($D179="",$AI179),"",IF(OR($R179&lt;Sprint1Start,$R179&gt;SprintLastEnd),"Backlog",INDEX(spr_Name,MATCH($R179,spr_Start,1))))</f>
        <v/>
      </c>
      <c r="AC179" s="45" t="str">
        <f aca="false">IF($D179="","",$AT179&amp;IF(AND($AT179&lt;&gt;"",$AU179&lt;&gt;""),",","")&amp;$AU179)</f>
        <v/>
      </c>
      <c r="AD179" s="41"/>
      <c r="AE179" s="46" t="str">
        <f aca="false">IF($D179="","",MAX(1,N($C179)))</f>
        <v/>
      </c>
      <c r="AF179" s="46" t="n">
        <f aca="false">ROW()-ROW(hdr_ID)</f>
        <v>174</v>
      </c>
      <c r="AG179" s="46" t="n">
        <f aca="false">IF(OR($D179="",$AE179&lt;=1),0,IFERROR(LOOKUP(2,1/($AE$5:$AE178=$AE179-1),ROW($AE$5:$AE178)),0))</f>
        <v>0</v>
      </c>
      <c r="AH179" s="46" t="n">
        <f aca="false">IF($D179="",0,COUNTIF(tsk_WBS,$B179&amp;".*"))</f>
        <v>0</v>
      </c>
      <c r="AI179" s="47" t="b">
        <f aca="false">$AH179&gt;0</f>
        <v>0</v>
      </c>
      <c r="AJ179" s="46" t="n">
        <f aca="false">IF(AND($D179&lt;&gt;"",NOT($AI179)),1,0)</f>
        <v>0</v>
      </c>
      <c r="AK179" s="48" t="n">
        <f aca="true">IF(OR(N($G179)=0,$AI179,$D179=""),0,IFERROR(CHOOSE(MATCH(IF($H179="","FS",$H179),{"FS","SS","FF","SF"},0),WORKDAY.INTL(OFFSET(hdr_PlanFinish,MATCH($G179,tsk_ID,0),0),IF(N($F179)=0,0,1)+N($I179),WorkWeek,Holidays),WORKDAY.INTL(OFFSET(hdr_PlanStart,MATCH($G179,tsk_ID,0),0),N($I179),WorkWeek,Holidays),WORKDAY.INTL(WORKDAY.INTL(OFFSET(hdr_PlanFinish,MATCH($G179,tsk_ID,0),0),N($I179),WorkWeek,Holidays),-MAX(0,N($F179)-1),WorkWeek,Holidays),WORKDAY.INTL(WORKDAY.INTL(OFFSET(hdr_PlanStart,MATCH($G179,tsk_ID,0),0),N($I179),WorkWeek,Holidays),-MAX(0,N($F179)-1),WorkWeek,Holidays)),0))</f>
        <v>0</v>
      </c>
      <c r="AL179" s="48" t="n">
        <f aca="true">IF(OR(N($J179)=0,$AI179,$D179=""),0,IFERROR(CHOOSE(MATCH(IF($K179="","FS",$K179),{"FS","SS","FF","SF"},0),WORKDAY.INTL(OFFSET(hdr_PlanFinish,MATCH($J179,tsk_ID,0),0),IF(N($F179)=0,0,1)+N($L179),WorkWeek,Holidays),WORKDAY.INTL(OFFSET(hdr_PlanStart,MATCH($J179,tsk_ID,0),0),N($L179),WorkWeek,Holidays),WORKDAY.INTL(WORKDAY.INTL(OFFSET(hdr_PlanFinish,MATCH($J179,tsk_ID,0),0),N($L179),WorkWeek,Holidays),-MAX(0,N($F179)-1),WorkWeek,Holidays),WORKDAY.INTL(WORKDAY.INTL(OFFSET(hdr_PlanStart,MATCH($J179,tsk_ID,0),0),N($L179),WorkWeek,Holidays),-MAX(0,N($F179)-1),WorkWeek,Holidays)),0))</f>
        <v>0</v>
      </c>
      <c r="AM179" s="48" t="n">
        <f aca="true">IF(OR(N($G179)=0,$AI179,$D179=""),0,IFERROR(CHOOSE(MATCH(IF($H179="","FS",$H179),{"FS","SS","FF","SF"},0),WORKDAY.INTL(OFFSET(hdr_FcFinish,MATCH($G179,tsk_ID,0),0),IF(N($F179)=0,0,1)+N($I179),WorkWeek,Holidays),WORKDAY.INTL(OFFSET(hdr_FcStart,MATCH($G179,tsk_ID,0),0),N($I179),WorkWeek,Holidays),WORKDAY.INTL(WORKDAY.INTL(OFFSET(hdr_FcFinish,MATCH($G179,tsk_ID,0),0),N($I179),WorkWeek,Holidays),-MAX(0,N($F179)-1),WorkWeek,Holidays),WORKDAY.INTL(WORKDAY.INTL(OFFSET(hdr_FcStart,MATCH($G179,tsk_ID,0),0),N($I179),WorkWeek,Holidays),-MAX(0,N($F179)-1),WorkWeek,Holidays)),0))</f>
        <v>0</v>
      </c>
      <c r="AN179" s="48" t="n">
        <f aca="true">IF(OR(N($J179)=0,$AI179,$D179=""),0,IFERROR(CHOOSE(MATCH(IF($K179="","FS",$K179),{"FS","SS","FF","SF"},0),WORKDAY.INTL(OFFSET(hdr_FcFinish,MATCH($J179,tsk_ID,0),0),IF(N($F179)=0,0,1)+N($L179),WorkWeek,Holidays),WORKDAY.INTL(OFFSET(hdr_FcStart,MATCH($J179,tsk_ID,0),0),N($L179),WorkWeek,Holidays),WORKDAY.INTL(WORKDAY.INTL(OFFSET(hdr_FcFinish,MATCH($J179,tsk_ID,0),0),N($L179),WorkWeek,Holidays),-MAX(0,N($F179)-1),WorkWeek,Holidays),WORKDAY.INTL(WORKDAY.INTL(OFFSET(hdr_FcStart,MATCH($J179,tsk_ID,0),0),N($L179),WorkWeek,Holidays),-MAX(0,N($F179)-1),WorkWeek,Holidays)),0))</f>
        <v>0</v>
      </c>
      <c r="AO179" s="48" t="n">
        <f aca="false">IF($AJ179=1,$R179,0)</f>
        <v>0</v>
      </c>
      <c r="AP179" s="48" t="n">
        <f aca="false">IF($AJ179=1,$S179,0)</f>
        <v>0</v>
      </c>
      <c r="AQ179" s="49" t="n">
        <f aca="false">IF(AND($AJ179=1,N($Z179)&gt;0),$Z179/($AP179-$AO179+1),0)</f>
        <v>0</v>
      </c>
      <c r="AR179" s="46" t="n">
        <f aca="false">IF($AJ179=1,MAX(N($F179),0.1),0)</f>
        <v>0</v>
      </c>
      <c r="AS179" s="46" t="n">
        <f aca="false">IF($AJ179=1,$AR179*$V179,0)</f>
        <v>0</v>
      </c>
      <c r="AT179" s="46" t="str">
        <f aca="false">IF(N($G179)=0,"",$G179&amp;IF(AND(IF($H179="","FS",$H179)="FS",N($I179)=0),"",IF($H179="","FS",$H179)&amp;IF(N($I179)=0,"",IF(N($I179)&gt;0,"+","")&amp;N($I179)&amp;"d")))</f>
        <v/>
      </c>
      <c r="AU179" s="46" t="str">
        <f aca="false">IF(N($J179)=0,"",$J179&amp;IF(AND(IF($K179="","FS",$K179)="FS",N($L179)=0),"",IF($K179="","FS",$K179)&amp;IF(N($L179)=0,"",IF(N($L179)&gt;0,"+","")&amp;N($L179)&amp;"d")))</f>
        <v/>
      </c>
      <c r="AV179" s="46" t="str">
        <f aca="false">IF(AND($AJ179=1,N($F179)=0,$V179&lt;1),$S179+$AF179/100000,"")</f>
        <v/>
      </c>
    </row>
    <row r="180" customFormat="false" ht="15" hidden="false" customHeight="false" outlineLevel="0" collapsed="false">
      <c r="A180" s="38" t="str">
        <f aca="false">IF($D180="","",COUNTA($D$6:$D180))</f>
        <v/>
      </c>
      <c r="B180" s="39" t="str">
        <f aca="true">IF($D180="","",IF($AE180=1,COUNTIF($AE$6:$AE180,1)&amp;"",IF($AG180=0,"?",OFFSET(hdr_WBS,$AG180-ROW(hdr_WBS),0)&amp;"."&amp;COUNTIF(INDEX($AE:$AE,$AG180+1):$AE180,$AE180))))</f>
        <v/>
      </c>
      <c r="C180" s="40"/>
      <c r="D180" s="41"/>
      <c r="E180" s="40"/>
      <c r="F180" s="40"/>
      <c r="G180" s="40"/>
      <c r="H180" s="40"/>
      <c r="I180" s="40"/>
      <c r="J180" s="40"/>
      <c r="K180" s="40"/>
      <c r="L180" s="40"/>
      <c r="M180" s="29"/>
      <c r="N180" s="30" t="str">
        <f aca="true">IF($D180="","",IF($AI180,MIN(OFFSET(hdr_PlanStart,$AF180+1,0,$AH180,1)),IF($E180="Manual",IF(N($M180)&gt;0,$M180,ProjectStart),WORKDAY.INTL(MAX(ProjectStart,N($M180),$AK180,$AL180)-1,1,WorkWeek,Holidays))))</f>
        <v/>
      </c>
      <c r="O180" s="30" t="str">
        <f aca="true">IF($D180="","",IF($AI180,MAX(OFFSET(hdr_PlanFinish,$AF180+1,0,$AH180,1)),IF(N($F180)&lt;=0,$N180,WORKDAY.INTL($N180,$F180-1,WorkWeek,Holidays))))</f>
        <v/>
      </c>
      <c r="P180" s="29"/>
      <c r="Q180" s="29"/>
      <c r="R180" s="30" t="str">
        <f aca="true">IF($D180="","",IF($AI180,MIN(OFFSET(hdr_FcStart,$AF180+1,0,$AH180,1)),IF(N($P180)&gt;0,$P180,IF($E180="Manual",IF(N($M180)&gt;0,$M180,ProjectStart),WORKDAY.INTL(MAX(ProjectStart,N($M180),$AM180,$AN180,IF(RescheduleAfterStatus="Yes",StatusDate,0))-1,1,WorkWeek,Holidays)))))</f>
        <v/>
      </c>
      <c r="S180" s="30" t="str">
        <f aca="true">IF($D180="","",IF($AI180,MAX(OFFSET(hdr_FcFinish,$AF180+1,0,$AH180,1)),IF(N($Q180)&gt;0,$Q180,IF(N($F180)&lt;=0,$R180,IF(AND(N($P180)&gt;0,RescheduleAfterStatus="Yes"),MAX(WORKDAY.INTL($R180,$F180-1,WorkWeek,Holidays),WORKDAY.INTL(StatusWorkday,MAX(0,ROUNDUP($F180*(1-MIN(1,N($U180))),0)-1),WorkWeek,Holidays)),WORKDAY.INTL($R180,$F180-1,WorkWeek,Holidays))))))</f>
        <v/>
      </c>
      <c r="T180" s="38" t="str">
        <f aca="false">IF($D180="","",IF($S180&gt;=$O180,NETWORKDAYS.INTL($O180,$S180,WorkWeek,Holidays)-1,1-NETWORKDAYS.INTL($S180,$O180,WorkWeek,Holidays)))</f>
        <v/>
      </c>
      <c r="U180" s="32"/>
      <c r="V180" s="42" t="str">
        <f aca="true">IF($D180="","",IF($AI180,IFERROR(SUM(OFFSET(hdr_WtDone,$AF180+1,0,$AH180,1))/SUM(OFFSET(hdr_WtDur,$AF180+1,0,$AH180,1)),0),IF(N($Q180)&gt;0,1,MIN(1,N($U180)))))</f>
        <v/>
      </c>
      <c r="W180" s="39" t="str">
        <f aca="false">IF($D180="","",IF($V180&gt;=1,"Complete",IF(OR(N($P180)&gt;0,$V180&gt;0),IF($T180&gt;0,"Behind","In Progress"),IF($N180&lt;StatusDate,"Late Start","Not Started"))))</f>
        <v/>
      </c>
      <c r="X180" s="41"/>
      <c r="Y180" s="32"/>
      <c r="Z180" s="43" t="str">
        <f aca="true">IF($D180="","",IF($AI180,SUMPRODUCT(OFFSET(hdr_Work,$AF180+1,0,$AH180,1),OFFSET(hdr_IsLeaf,$AF180+1,0,$AH180,1)),IF($X180="",0,N($F180)*HoursPerDay*IF($Y180="",DefaultUnits,$Y180))))</f>
        <v/>
      </c>
      <c r="AA180" s="44" t="str">
        <f aca="true">IF($D180="","",IF($AI180,SUMPRODUCT(OFFSET(hdr_Cost,$AF180+1,0,$AH180,1),OFFSET(hdr_IsLeaf,$AF180+1,0,$AH180,1)),$Z180*IFERROR(INDEX(res_Rate,MATCH($X180,res_Name,0)),0)))</f>
        <v/>
      </c>
      <c r="AB180" s="38" t="str">
        <f aca="false">IF(OR($D180="",$AI180),"",IF(OR($R180&lt;Sprint1Start,$R180&gt;SprintLastEnd),"Backlog",INDEX(spr_Name,MATCH($R180,spr_Start,1))))</f>
        <v/>
      </c>
      <c r="AC180" s="45" t="str">
        <f aca="false">IF($D180="","",$AT180&amp;IF(AND($AT180&lt;&gt;"",$AU180&lt;&gt;""),",","")&amp;$AU180)</f>
        <v/>
      </c>
      <c r="AD180" s="41"/>
      <c r="AE180" s="46" t="str">
        <f aca="false">IF($D180="","",MAX(1,N($C180)))</f>
        <v/>
      </c>
      <c r="AF180" s="46" t="n">
        <f aca="false">ROW()-ROW(hdr_ID)</f>
        <v>175</v>
      </c>
      <c r="AG180" s="46" t="n">
        <f aca="false">IF(OR($D180="",$AE180&lt;=1),0,IFERROR(LOOKUP(2,1/($AE$5:$AE179=$AE180-1),ROW($AE$5:$AE179)),0))</f>
        <v>0</v>
      </c>
      <c r="AH180" s="46" t="n">
        <f aca="false">IF($D180="",0,COUNTIF(tsk_WBS,$B180&amp;".*"))</f>
        <v>0</v>
      </c>
      <c r="AI180" s="47" t="b">
        <f aca="false">$AH180&gt;0</f>
        <v>0</v>
      </c>
      <c r="AJ180" s="46" t="n">
        <f aca="false">IF(AND($D180&lt;&gt;"",NOT($AI180)),1,0)</f>
        <v>0</v>
      </c>
      <c r="AK180" s="48" t="n">
        <f aca="true">IF(OR(N($G180)=0,$AI180,$D180=""),0,IFERROR(CHOOSE(MATCH(IF($H180="","FS",$H180),{"FS","SS","FF","SF"},0),WORKDAY.INTL(OFFSET(hdr_PlanFinish,MATCH($G180,tsk_ID,0),0),IF(N($F180)=0,0,1)+N($I180),WorkWeek,Holidays),WORKDAY.INTL(OFFSET(hdr_PlanStart,MATCH($G180,tsk_ID,0),0),N($I180),WorkWeek,Holidays),WORKDAY.INTL(WORKDAY.INTL(OFFSET(hdr_PlanFinish,MATCH($G180,tsk_ID,0),0),N($I180),WorkWeek,Holidays),-MAX(0,N($F180)-1),WorkWeek,Holidays),WORKDAY.INTL(WORKDAY.INTL(OFFSET(hdr_PlanStart,MATCH($G180,tsk_ID,0),0),N($I180),WorkWeek,Holidays),-MAX(0,N($F180)-1),WorkWeek,Holidays)),0))</f>
        <v>0</v>
      </c>
      <c r="AL180" s="48" t="n">
        <f aca="true">IF(OR(N($J180)=0,$AI180,$D180=""),0,IFERROR(CHOOSE(MATCH(IF($K180="","FS",$K180),{"FS","SS","FF","SF"},0),WORKDAY.INTL(OFFSET(hdr_PlanFinish,MATCH($J180,tsk_ID,0),0),IF(N($F180)=0,0,1)+N($L180),WorkWeek,Holidays),WORKDAY.INTL(OFFSET(hdr_PlanStart,MATCH($J180,tsk_ID,0),0),N($L180),WorkWeek,Holidays),WORKDAY.INTL(WORKDAY.INTL(OFFSET(hdr_PlanFinish,MATCH($J180,tsk_ID,0),0),N($L180),WorkWeek,Holidays),-MAX(0,N($F180)-1),WorkWeek,Holidays),WORKDAY.INTL(WORKDAY.INTL(OFFSET(hdr_PlanStart,MATCH($J180,tsk_ID,0),0),N($L180),WorkWeek,Holidays),-MAX(0,N($F180)-1),WorkWeek,Holidays)),0))</f>
        <v>0</v>
      </c>
      <c r="AM180" s="48" t="n">
        <f aca="true">IF(OR(N($G180)=0,$AI180,$D180=""),0,IFERROR(CHOOSE(MATCH(IF($H180="","FS",$H180),{"FS","SS","FF","SF"},0),WORKDAY.INTL(OFFSET(hdr_FcFinish,MATCH($G180,tsk_ID,0),0),IF(N($F180)=0,0,1)+N($I180),WorkWeek,Holidays),WORKDAY.INTL(OFFSET(hdr_FcStart,MATCH($G180,tsk_ID,0),0),N($I180),WorkWeek,Holidays),WORKDAY.INTL(WORKDAY.INTL(OFFSET(hdr_FcFinish,MATCH($G180,tsk_ID,0),0),N($I180),WorkWeek,Holidays),-MAX(0,N($F180)-1),WorkWeek,Holidays),WORKDAY.INTL(WORKDAY.INTL(OFFSET(hdr_FcStart,MATCH($G180,tsk_ID,0),0),N($I180),WorkWeek,Holidays),-MAX(0,N($F180)-1),WorkWeek,Holidays)),0))</f>
        <v>0</v>
      </c>
      <c r="AN180" s="48" t="n">
        <f aca="true">IF(OR(N($J180)=0,$AI180,$D180=""),0,IFERROR(CHOOSE(MATCH(IF($K180="","FS",$K180),{"FS","SS","FF","SF"},0),WORKDAY.INTL(OFFSET(hdr_FcFinish,MATCH($J180,tsk_ID,0),0),IF(N($F180)=0,0,1)+N($L180),WorkWeek,Holidays),WORKDAY.INTL(OFFSET(hdr_FcStart,MATCH($J180,tsk_ID,0),0),N($L180),WorkWeek,Holidays),WORKDAY.INTL(WORKDAY.INTL(OFFSET(hdr_FcFinish,MATCH($J180,tsk_ID,0),0),N($L180),WorkWeek,Holidays),-MAX(0,N($F180)-1),WorkWeek,Holidays),WORKDAY.INTL(WORKDAY.INTL(OFFSET(hdr_FcStart,MATCH($J180,tsk_ID,0),0),N($L180),WorkWeek,Holidays),-MAX(0,N($F180)-1),WorkWeek,Holidays)),0))</f>
        <v>0</v>
      </c>
      <c r="AO180" s="48" t="n">
        <f aca="false">IF($AJ180=1,$R180,0)</f>
        <v>0</v>
      </c>
      <c r="AP180" s="48" t="n">
        <f aca="false">IF($AJ180=1,$S180,0)</f>
        <v>0</v>
      </c>
      <c r="AQ180" s="49" t="n">
        <f aca="false">IF(AND($AJ180=1,N($Z180)&gt;0),$Z180/($AP180-$AO180+1),0)</f>
        <v>0</v>
      </c>
      <c r="AR180" s="46" t="n">
        <f aca="false">IF($AJ180=1,MAX(N($F180),0.1),0)</f>
        <v>0</v>
      </c>
      <c r="AS180" s="46" t="n">
        <f aca="false">IF($AJ180=1,$AR180*$V180,0)</f>
        <v>0</v>
      </c>
      <c r="AT180" s="46" t="str">
        <f aca="false">IF(N($G180)=0,"",$G180&amp;IF(AND(IF($H180="","FS",$H180)="FS",N($I180)=0),"",IF($H180="","FS",$H180)&amp;IF(N($I180)=0,"",IF(N($I180)&gt;0,"+","")&amp;N($I180)&amp;"d")))</f>
        <v/>
      </c>
      <c r="AU180" s="46" t="str">
        <f aca="false">IF(N($J180)=0,"",$J180&amp;IF(AND(IF($K180="","FS",$K180)="FS",N($L180)=0),"",IF($K180="","FS",$K180)&amp;IF(N($L180)=0,"",IF(N($L180)&gt;0,"+","")&amp;N($L180)&amp;"d")))</f>
        <v/>
      </c>
      <c r="AV180" s="46" t="str">
        <f aca="false">IF(AND($AJ180=1,N($F180)=0,$V180&lt;1),$S180+$AF180/100000,"")</f>
        <v/>
      </c>
    </row>
    <row r="181" customFormat="false" ht="15" hidden="false" customHeight="false" outlineLevel="0" collapsed="false">
      <c r="A181" s="38" t="str">
        <f aca="false">IF($D181="","",COUNTA($D$6:$D181))</f>
        <v/>
      </c>
      <c r="B181" s="39" t="str">
        <f aca="true">IF($D181="","",IF($AE181=1,COUNTIF($AE$6:$AE181,1)&amp;"",IF($AG181=0,"?",OFFSET(hdr_WBS,$AG181-ROW(hdr_WBS),0)&amp;"."&amp;COUNTIF(INDEX($AE:$AE,$AG181+1):$AE181,$AE181))))</f>
        <v/>
      </c>
      <c r="C181" s="40"/>
      <c r="D181" s="41"/>
      <c r="E181" s="40"/>
      <c r="F181" s="40"/>
      <c r="G181" s="40"/>
      <c r="H181" s="40"/>
      <c r="I181" s="40"/>
      <c r="J181" s="40"/>
      <c r="K181" s="40"/>
      <c r="L181" s="40"/>
      <c r="M181" s="29"/>
      <c r="N181" s="30" t="str">
        <f aca="true">IF($D181="","",IF($AI181,MIN(OFFSET(hdr_PlanStart,$AF181+1,0,$AH181,1)),IF($E181="Manual",IF(N($M181)&gt;0,$M181,ProjectStart),WORKDAY.INTL(MAX(ProjectStart,N($M181),$AK181,$AL181)-1,1,WorkWeek,Holidays))))</f>
        <v/>
      </c>
      <c r="O181" s="30" t="str">
        <f aca="true">IF($D181="","",IF($AI181,MAX(OFFSET(hdr_PlanFinish,$AF181+1,0,$AH181,1)),IF(N($F181)&lt;=0,$N181,WORKDAY.INTL($N181,$F181-1,WorkWeek,Holidays))))</f>
        <v/>
      </c>
      <c r="P181" s="29"/>
      <c r="Q181" s="29"/>
      <c r="R181" s="30" t="str">
        <f aca="true">IF($D181="","",IF($AI181,MIN(OFFSET(hdr_FcStart,$AF181+1,0,$AH181,1)),IF(N($P181)&gt;0,$P181,IF($E181="Manual",IF(N($M181)&gt;0,$M181,ProjectStart),WORKDAY.INTL(MAX(ProjectStart,N($M181),$AM181,$AN181,IF(RescheduleAfterStatus="Yes",StatusDate,0))-1,1,WorkWeek,Holidays)))))</f>
        <v/>
      </c>
      <c r="S181" s="30" t="str">
        <f aca="true">IF($D181="","",IF($AI181,MAX(OFFSET(hdr_FcFinish,$AF181+1,0,$AH181,1)),IF(N($Q181)&gt;0,$Q181,IF(N($F181)&lt;=0,$R181,IF(AND(N($P181)&gt;0,RescheduleAfterStatus="Yes"),MAX(WORKDAY.INTL($R181,$F181-1,WorkWeek,Holidays),WORKDAY.INTL(StatusWorkday,MAX(0,ROUNDUP($F181*(1-MIN(1,N($U181))),0)-1),WorkWeek,Holidays)),WORKDAY.INTL($R181,$F181-1,WorkWeek,Holidays))))))</f>
        <v/>
      </c>
      <c r="T181" s="38" t="str">
        <f aca="false">IF($D181="","",IF($S181&gt;=$O181,NETWORKDAYS.INTL($O181,$S181,WorkWeek,Holidays)-1,1-NETWORKDAYS.INTL($S181,$O181,WorkWeek,Holidays)))</f>
        <v/>
      </c>
      <c r="U181" s="32"/>
      <c r="V181" s="42" t="str">
        <f aca="true">IF($D181="","",IF($AI181,IFERROR(SUM(OFFSET(hdr_WtDone,$AF181+1,0,$AH181,1))/SUM(OFFSET(hdr_WtDur,$AF181+1,0,$AH181,1)),0),IF(N($Q181)&gt;0,1,MIN(1,N($U181)))))</f>
        <v/>
      </c>
      <c r="W181" s="39" t="str">
        <f aca="false">IF($D181="","",IF($V181&gt;=1,"Complete",IF(OR(N($P181)&gt;0,$V181&gt;0),IF($T181&gt;0,"Behind","In Progress"),IF($N181&lt;StatusDate,"Late Start","Not Started"))))</f>
        <v/>
      </c>
      <c r="X181" s="41"/>
      <c r="Y181" s="32"/>
      <c r="Z181" s="43" t="str">
        <f aca="true">IF($D181="","",IF($AI181,SUMPRODUCT(OFFSET(hdr_Work,$AF181+1,0,$AH181,1),OFFSET(hdr_IsLeaf,$AF181+1,0,$AH181,1)),IF($X181="",0,N($F181)*HoursPerDay*IF($Y181="",DefaultUnits,$Y181))))</f>
        <v/>
      </c>
      <c r="AA181" s="44" t="str">
        <f aca="true">IF($D181="","",IF($AI181,SUMPRODUCT(OFFSET(hdr_Cost,$AF181+1,0,$AH181,1),OFFSET(hdr_IsLeaf,$AF181+1,0,$AH181,1)),$Z181*IFERROR(INDEX(res_Rate,MATCH($X181,res_Name,0)),0)))</f>
        <v/>
      </c>
      <c r="AB181" s="38" t="str">
        <f aca="false">IF(OR($D181="",$AI181),"",IF(OR($R181&lt;Sprint1Start,$R181&gt;SprintLastEnd),"Backlog",INDEX(spr_Name,MATCH($R181,spr_Start,1))))</f>
        <v/>
      </c>
      <c r="AC181" s="45" t="str">
        <f aca="false">IF($D181="","",$AT181&amp;IF(AND($AT181&lt;&gt;"",$AU181&lt;&gt;""),",","")&amp;$AU181)</f>
        <v/>
      </c>
      <c r="AD181" s="41"/>
      <c r="AE181" s="46" t="str">
        <f aca="false">IF($D181="","",MAX(1,N($C181)))</f>
        <v/>
      </c>
      <c r="AF181" s="46" t="n">
        <f aca="false">ROW()-ROW(hdr_ID)</f>
        <v>176</v>
      </c>
      <c r="AG181" s="46" t="n">
        <f aca="false">IF(OR($D181="",$AE181&lt;=1),0,IFERROR(LOOKUP(2,1/($AE$5:$AE180=$AE181-1),ROW($AE$5:$AE180)),0))</f>
        <v>0</v>
      </c>
      <c r="AH181" s="46" t="n">
        <f aca="false">IF($D181="",0,COUNTIF(tsk_WBS,$B181&amp;".*"))</f>
        <v>0</v>
      </c>
      <c r="AI181" s="47" t="b">
        <f aca="false">$AH181&gt;0</f>
        <v>0</v>
      </c>
      <c r="AJ181" s="46" t="n">
        <f aca="false">IF(AND($D181&lt;&gt;"",NOT($AI181)),1,0)</f>
        <v>0</v>
      </c>
      <c r="AK181" s="48" t="n">
        <f aca="true">IF(OR(N($G181)=0,$AI181,$D181=""),0,IFERROR(CHOOSE(MATCH(IF($H181="","FS",$H181),{"FS","SS","FF","SF"},0),WORKDAY.INTL(OFFSET(hdr_PlanFinish,MATCH($G181,tsk_ID,0),0),IF(N($F181)=0,0,1)+N($I181),WorkWeek,Holidays),WORKDAY.INTL(OFFSET(hdr_PlanStart,MATCH($G181,tsk_ID,0),0),N($I181),WorkWeek,Holidays),WORKDAY.INTL(WORKDAY.INTL(OFFSET(hdr_PlanFinish,MATCH($G181,tsk_ID,0),0),N($I181),WorkWeek,Holidays),-MAX(0,N($F181)-1),WorkWeek,Holidays),WORKDAY.INTL(WORKDAY.INTL(OFFSET(hdr_PlanStart,MATCH($G181,tsk_ID,0),0),N($I181),WorkWeek,Holidays),-MAX(0,N($F181)-1),WorkWeek,Holidays)),0))</f>
        <v>0</v>
      </c>
      <c r="AL181" s="48" t="n">
        <f aca="true">IF(OR(N($J181)=0,$AI181,$D181=""),0,IFERROR(CHOOSE(MATCH(IF($K181="","FS",$K181),{"FS","SS","FF","SF"},0),WORKDAY.INTL(OFFSET(hdr_PlanFinish,MATCH($J181,tsk_ID,0),0),IF(N($F181)=0,0,1)+N($L181),WorkWeek,Holidays),WORKDAY.INTL(OFFSET(hdr_PlanStart,MATCH($J181,tsk_ID,0),0),N($L181),WorkWeek,Holidays),WORKDAY.INTL(WORKDAY.INTL(OFFSET(hdr_PlanFinish,MATCH($J181,tsk_ID,0),0),N($L181),WorkWeek,Holidays),-MAX(0,N($F181)-1),WorkWeek,Holidays),WORKDAY.INTL(WORKDAY.INTL(OFFSET(hdr_PlanStart,MATCH($J181,tsk_ID,0),0),N($L181),WorkWeek,Holidays),-MAX(0,N($F181)-1),WorkWeek,Holidays)),0))</f>
        <v>0</v>
      </c>
      <c r="AM181" s="48" t="n">
        <f aca="true">IF(OR(N($G181)=0,$AI181,$D181=""),0,IFERROR(CHOOSE(MATCH(IF($H181="","FS",$H181),{"FS","SS","FF","SF"},0),WORKDAY.INTL(OFFSET(hdr_FcFinish,MATCH($G181,tsk_ID,0),0),IF(N($F181)=0,0,1)+N($I181),WorkWeek,Holidays),WORKDAY.INTL(OFFSET(hdr_FcStart,MATCH($G181,tsk_ID,0),0),N($I181),WorkWeek,Holidays),WORKDAY.INTL(WORKDAY.INTL(OFFSET(hdr_FcFinish,MATCH($G181,tsk_ID,0),0),N($I181),WorkWeek,Holidays),-MAX(0,N($F181)-1),WorkWeek,Holidays),WORKDAY.INTL(WORKDAY.INTL(OFFSET(hdr_FcStart,MATCH($G181,tsk_ID,0),0),N($I181),WorkWeek,Holidays),-MAX(0,N($F181)-1),WorkWeek,Holidays)),0))</f>
        <v>0</v>
      </c>
      <c r="AN181" s="48" t="n">
        <f aca="true">IF(OR(N($J181)=0,$AI181,$D181=""),0,IFERROR(CHOOSE(MATCH(IF($K181="","FS",$K181),{"FS","SS","FF","SF"},0),WORKDAY.INTL(OFFSET(hdr_FcFinish,MATCH($J181,tsk_ID,0),0),IF(N($F181)=0,0,1)+N($L181),WorkWeek,Holidays),WORKDAY.INTL(OFFSET(hdr_FcStart,MATCH($J181,tsk_ID,0),0),N($L181),WorkWeek,Holidays),WORKDAY.INTL(WORKDAY.INTL(OFFSET(hdr_FcFinish,MATCH($J181,tsk_ID,0),0),N($L181),WorkWeek,Holidays),-MAX(0,N($F181)-1),WorkWeek,Holidays),WORKDAY.INTL(WORKDAY.INTL(OFFSET(hdr_FcStart,MATCH($J181,tsk_ID,0),0),N($L181),WorkWeek,Holidays),-MAX(0,N($F181)-1),WorkWeek,Holidays)),0))</f>
        <v>0</v>
      </c>
      <c r="AO181" s="48" t="n">
        <f aca="false">IF($AJ181=1,$R181,0)</f>
        <v>0</v>
      </c>
      <c r="AP181" s="48" t="n">
        <f aca="false">IF($AJ181=1,$S181,0)</f>
        <v>0</v>
      </c>
      <c r="AQ181" s="49" t="n">
        <f aca="false">IF(AND($AJ181=1,N($Z181)&gt;0),$Z181/($AP181-$AO181+1),0)</f>
        <v>0</v>
      </c>
      <c r="AR181" s="46" t="n">
        <f aca="false">IF($AJ181=1,MAX(N($F181),0.1),0)</f>
        <v>0</v>
      </c>
      <c r="AS181" s="46" t="n">
        <f aca="false">IF($AJ181=1,$AR181*$V181,0)</f>
        <v>0</v>
      </c>
      <c r="AT181" s="46" t="str">
        <f aca="false">IF(N($G181)=0,"",$G181&amp;IF(AND(IF($H181="","FS",$H181)="FS",N($I181)=0),"",IF($H181="","FS",$H181)&amp;IF(N($I181)=0,"",IF(N($I181)&gt;0,"+","")&amp;N($I181)&amp;"d")))</f>
        <v/>
      </c>
      <c r="AU181" s="46" t="str">
        <f aca="false">IF(N($J181)=0,"",$J181&amp;IF(AND(IF($K181="","FS",$K181)="FS",N($L181)=0),"",IF($K181="","FS",$K181)&amp;IF(N($L181)=0,"",IF(N($L181)&gt;0,"+","")&amp;N($L181)&amp;"d")))</f>
        <v/>
      </c>
      <c r="AV181" s="46" t="str">
        <f aca="false">IF(AND($AJ181=1,N($F181)=0,$V181&lt;1),$S181+$AF181/100000,"")</f>
        <v/>
      </c>
    </row>
    <row r="182" customFormat="false" ht="15" hidden="false" customHeight="false" outlineLevel="0" collapsed="false">
      <c r="A182" s="38" t="str">
        <f aca="false">IF($D182="","",COUNTA($D$6:$D182))</f>
        <v/>
      </c>
      <c r="B182" s="39" t="str">
        <f aca="true">IF($D182="","",IF($AE182=1,COUNTIF($AE$6:$AE182,1)&amp;"",IF($AG182=0,"?",OFFSET(hdr_WBS,$AG182-ROW(hdr_WBS),0)&amp;"."&amp;COUNTIF(INDEX($AE:$AE,$AG182+1):$AE182,$AE182))))</f>
        <v/>
      </c>
      <c r="C182" s="40"/>
      <c r="D182" s="41"/>
      <c r="E182" s="40"/>
      <c r="F182" s="40"/>
      <c r="G182" s="40"/>
      <c r="H182" s="40"/>
      <c r="I182" s="40"/>
      <c r="J182" s="40"/>
      <c r="K182" s="40"/>
      <c r="L182" s="40"/>
      <c r="M182" s="29"/>
      <c r="N182" s="30" t="str">
        <f aca="true">IF($D182="","",IF($AI182,MIN(OFFSET(hdr_PlanStart,$AF182+1,0,$AH182,1)),IF($E182="Manual",IF(N($M182)&gt;0,$M182,ProjectStart),WORKDAY.INTL(MAX(ProjectStart,N($M182),$AK182,$AL182)-1,1,WorkWeek,Holidays))))</f>
        <v/>
      </c>
      <c r="O182" s="30" t="str">
        <f aca="true">IF($D182="","",IF($AI182,MAX(OFFSET(hdr_PlanFinish,$AF182+1,0,$AH182,1)),IF(N($F182)&lt;=0,$N182,WORKDAY.INTL($N182,$F182-1,WorkWeek,Holidays))))</f>
        <v/>
      </c>
      <c r="P182" s="29"/>
      <c r="Q182" s="29"/>
      <c r="R182" s="30" t="str">
        <f aca="true">IF($D182="","",IF($AI182,MIN(OFFSET(hdr_FcStart,$AF182+1,0,$AH182,1)),IF(N($P182)&gt;0,$P182,IF($E182="Manual",IF(N($M182)&gt;0,$M182,ProjectStart),WORKDAY.INTL(MAX(ProjectStart,N($M182),$AM182,$AN182,IF(RescheduleAfterStatus="Yes",StatusDate,0))-1,1,WorkWeek,Holidays)))))</f>
        <v/>
      </c>
      <c r="S182" s="30" t="str">
        <f aca="true">IF($D182="","",IF($AI182,MAX(OFFSET(hdr_FcFinish,$AF182+1,0,$AH182,1)),IF(N($Q182)&gt;0,$Q182,IF(N($F182)&lt;=0,$R182,IF(AND(N($P182)&gt;0,RescheduleAfterStatus="Yes"),MAX(WORKDAY.INTL($R182,$F182-1,WorkWeek,Holidays),WORKDAY.INTL(StatusWorkday,MAX(0,ROUNDUP($F182*(1-MIN(1,N($U182))),0)-1),WorkWeek,Holidays)),WORKDAY.INTL($R182,$F182-1,WorkWeek,Holidays))))))</f>
        <v/>
      </c>
      <c r="T182" s="38" t="str">
        <f aca="false">IF($D182="","",IF($S182&gt;=$O182,NETWORKDAYS.INTL($O182,$S182,WorkWeek,Holidays)-1,1-NETWORKDAYS.INTL($S182,$O182,WorkWeek,Holidays)))</f>
        <v/>
      </c>
      <c r="U182" s="32"/>
      <c r="V182" s="42" t="str">
        <f aca="true">IF($D182="","",IF($AI182,IFERROR(SUM(OFFSET(hdr_WtDone,$AF182+1,0,$AH182,1))/SUM(OFFSET(hdr_WtDur,$AF182+1,0,$AH182,1)),0),IF(N($Q182)&gt;0,1,MIN(1,N($U182)))))</f>
        <v/>
      </c>
      <c r="W182" s="39" t="str">
        <f aca="false">IF($D182="","",IF($V182&gt;=1,"Complete",IF(OR(N($P182)&gt;0,$V182&gt;0),IF($T182&gt;0,"Behind","In Progress"),IF($N182&lt;StatusDate,"Late Start","Not Started"))))</f>
        <v/>
      </c>
      <c r="X182" s="41"/>
      <c r="Y182" s="32"/>
      <c r="Z182" s="43" t="str">
        <f aca="true">IF($D182="","",IF($AI182,SUMPRODUCT(OFFSET(hdr_Work,$AF182+1,0,$AH182,1),OFFSET(hdr_IsLeaf,$AF182+1,0,$AH182,1)),IF($X182="",0,N($F182)*HoursPerDay*IF($Y182="",DefaultUnits,$Y182))))</f>
        <v/>
      </c>
      <c r="AA182" s="44" t="str">
        <f aca="true">IF($D182="","",IF($AI182,SUMPRODUCT(OFFSET(hdr_Cost,$AF182+1,0,$AH182,1),OFFSET(hdr_IsLeaf,$AF182+1,0,$AH182,1)),$Z182*IFERROR(INDEX(res_Rate,MATCH($X182,res_Name,0)),0)))</f>
        <v/>
      </c>
      <c r="AB182" s="38" t="str">
        <f aca="false">IF(OR($D182="",$AI182),"",IF(OR($R182&lt;Sprint1Start,$R182&gt;SprintLastEnd),"Backlog",INDEX(spr_Name,MATCH($R182,spr_Start,1))))</f>
        <v/>
      </c>
      <c r="AC182" s="45" t="str">
        <f aca="false">IF($D182="","",$AT182&amp;IF(AND($AT182&lt;&gt;"",$AU182&lt;&gt;""),",","")&amp;$AU182)</f>
        <v/>
      </c>
      <c r="AD182" s="41"/>
      <c r="AE182" s="46" t="str">
        <f aca="false">IF($D182="","",MAX(1,N($C182)))</f>
        <v/>
      </c>
      <c r="AF182" s="46" t="n">
        <f aca="false">ROW()-ROW(hdr_ID)</f>
        <v>177</v>
      </c>
      <c r="AG182" s="46" t="n">
        <f aca="false">IF(OR($D182="",$AE182&lt;=1),0,IFERROR(LOOKUP(2,1/($AE$5:$AE181=$AE182-1),ROW($AE$5:$AE181)),0))</f>
        <v>0</v>
      </c>
      <c r="AH182" s="46" t="n">
        <f aca="false">IF($D182="",0,COUNTIF(tsk_WBS,$B182&amp;".*"))</f>
        <v>0</v>
      </c>
      <c r="AI182" s="47" t="b">
        <f aca="false">$AH182&gt;0</f>
        <v>0</v>
      </c>
      <c r="AJ182" s="46" t="n">
        <f aca="false">IF(AND($D182&lt;&gt;"",NOT($AI182)),1,0)</f>
        <v>0</v>
      </c>
      <c r="AK182" s="48" t="n">
        <f aca="true">IF(OR(N($G182)=0,$AI182,$D182=""),0,IFERROR(CHOOSE(MATCH(IF($H182="","FS",$H182),{"FS","SS","FF","SF"},0),WORKDAY.INTL(OFFSET(hdr_PlanFinish,MATCH($G182,tsk_ID,0),0),IF(N($F182)=0,0,1)+N($I182),WorkWeek,Holidays),WORKDAY.INTL(OFFSET(hdr_PlanStart,MATCH($G182,tsk_ID,0),0),N($I182),WorkWeek,Holidays),WORKDAY.INTL(WORKDAY.INTL(OFFSET(hdr_PlanFinish,MATCH($G182,tsk_ID,0),0),N($I182),WorkWeek,Holidays),-MAX(0,N($F182)-1),WorkWeek,Holidays),WORKDAY.INTL(WORKDAY.INTL(OFFSET(hdr_PlanStart,MATCH($G182,tsk_ID,0),0),N($I182),WorkWeek,Holidays),-MAX(0,N($F182)-1),WorkWeek,Holidays)),0))</f>
        <v>0</v>
      </c>
      <c r="AL182" s="48" t="n">
        <f aca="true">IF(OR(N($J182)=0,$AI182,$D182=""),0,IFERROR(CHOOSE(MATCH(IF($K182="","FS",$K182),{"FS","SS","FF","SF"},0),WORKDAY.INTL(OFFSET(hdr_PlanFinish,MATCH($J182,tsk_ID,0),0),IF(N($F182)=0,0,1)+N($L182),WorkWeek,Holidays),WORKDAY.INTL(OFFSET(hdr_PlanStart,MATCH($J182,tsk_ID,0),0),N($L182),WorkWeek,Holidays),WORKDAY.INTL(WORKDAY.INTL(OFFSET(hdr_PlanFinish,MATCH($J182,tsk_ID,0),0),N($L182),WorkWeek,Holidays),-MAX(0,N($F182)-1),WorkWeek,Holidays),WORKDAY.INTL(WORKDAY.INTL(OFFSET(hdr_PlanStart,MATCH($J182,tsk_ID,0),0),N($L182),WorkWeek,Holidays),-MAX(0,N($F182)-1),WorkWeek,Holidays)),0))</f>
        <v>0</v>
      </c>
      <c r="AM182" s="48" t="n">
        <f aca="true">IF(OR(N($G182)=0,$AI182,$D182=""),0,IFERROR(CHOOSE(MATCH(IF($H182="","FS",$H182),{"FS","SS","FF","SF"},0),WORKDAY.INTL(OFFSET(hdr_FcFinish,MATCH($G182,tsk_ID,0),0),IF(N($F182)=0,0,1)+N($I182),WorkWeek,Holidays),WORKDAY.INTL(OFFSET(hdr_FcStart,MATCH($G182,tsk_ID,0),0),N($I182),WorkWeek,Holidays),WORKDAY.INTL(WORKDAY.INTL(OFFSET(hdr_FcFinish,MATCH($G182,tsk_ID,0),0),N($I182),WorkWeek,Holidays),-MAX(0,N($F182)-1),WorkWeek,Holidays),WORKDAY.INTL(WORKDAY.INTL(OFFSET(hdr_FcStart,MATCH($G182,tsk_ID,0),0),N($I182),WorkWeek,Holidays),-MAX(0,N($F182)-1),WorkWeek,Holidays)),0))</f>
        <v>0</v>
      </c>
      <c r="AN182" s="48" t="n">
        <f aca="true">IF(OR(N($J182)=0,$AI182,$D182=""),0,IFERROR(CHOOSE(MATCH(IF($K182="","FS",$K182),{"FS","SS","FF","SF"},0),WORKDAY.INTL(OFFSET(hdr_FcFinish,MATCH($J182,tsk_ID,0),0),IF(N($F182)=0,0,1)+N($L182),WorkWeek,Holidays),WORKDAY.INTL(OFFSET(hdr_FcStart,MATCH($J182,tsk_ID,0),0),N($L182),WorkWeek,Holidays),WORKDAY.INTL(WORKDAY.INTL(OFFSET(hdr_FcFinish,MATCH($J182,tsk_ID,0),0),N($L182),WorkWeek,Holidays),-MAX(0,N($F182)-1),WorkWeek,Holidays),WORKDAY.INTL(WORKDAY.INTL(OFFSET(hdr_FcStart,MATCH($J182,tsk_ID,0),0),N($L182),WorkWeek,Holidays),-MAX(0,N($F182)-1),WorkWeek,Holidays)),0))</f>
        <v>0</v>
      </c>
      <c r="AO182" s="48" t="n">
        <f aca="false">IF($AJ182=1,$R182,0)</f>
        <v>0</v>
      </c>
      <c r="AP182" s="48" t="n">
        <f aca="false">IF($AJ182=1,$S182,0)</f>
        <v>0</v>
      </c>
      <c r="AQ182" s="49" t="n">
        <f aca="false">IF(AND($AJ182=1,N($Z182)&gt;0),$Z182/($AP182-$AO182+1),0)</f>
        <v>0</v>
      </c>
      <c r="AR182" s="46" t="n">
        <f aca="false">IF($AJ182=1,MAX(N($F182),0.1),0)</f>
        <v>0</v>
      </c>
      <c r="AS182" s="46" t="n">
        <f aca="false">IF($AJ182=1,$AR182*$V182,0)</f>
        <v>0</v>
      </c>
      <c r="AT182" s="46" t="str">
        <f aca="false">IF(N($G182)=0,"",$G182&amp;IF(AND(IF($H182="","FS",$H182)="FS",N($I182)=0),"",IF($H182="","FS",$H182)&amp;IF(N($I182)=0,"",IF(N($I182)&gt;0,"+","")&amp;N($I182)&amp;"d")))</f>
        <v/>
      </c>
      <c r="AU182" s="46" t="str">
        <f aca="false">IF(N($J182)=0,"",$J182&amp;IF(AND(IF($K182="","FS",$K182)="FS",N($L182)=0),"",IF($K182="","FS",$K182)&amp;IF(N($L182)=0,"",IF(N($L182)&gt;0,"+","")&amp;N($L182)&amp;"d")))</f>
        <v/>
      </c>
      <c r="AV182" s="46" t="str">
        <f aca="false">IF(AND($AJ182=1,N($F182)=0,$V182&lt;1),$S182+$AF182/100000,"")</f>
        <v/>
      </c>
    </row>
    <row r="183" customFormat="false" ht="15" hidden="false" customHeight="false" outlineLevel="0" collapsed="false">
      <c r="A183" s="38" t="str">
        <f aca="false">IF($D183="","",COUNTA($D$6:$D183))</f>
        <v/>
      </c>
      <c r="B183" s="39" t="str">
        <f aca="true">IF($D183="","",IF($AE183=1,COUNTIF($AE$6:$AE183,1)&amp;"",IF($AG183=0,"?",OFFSET(hdr_WBS,$AG183-ROW(hdr_WBS),0)&amp;"."&amp;COUNTIF(INDEX($AE:$AE,$AG183+1):$AE183,$AE183))))</f>
        <v/>
      </c>
      <c r="C183" s="40"/>
      <c r="D183" s="41"/>
      <c r="E183" s="40"/>
      <c r="F183" s="40"/>
      <c r="G183" s="40"/>
      <c r="H183" s="40"/>
      <c r="I183" s="40"/>
      <c r="J183" s="40"/>
      <c r="K183" s="40"/>
      <c r="L183" s="40"/>
      <c r="M183" s="29"/>
      <c r="N183" s="30" t="str">
        <f aca="true">IF($D183="","",IF($AI183,MIN(OFFSET(hdr_PlanStart,$AF183+1,0,$AH183,1)),IF($E183="Manual",IF(N($M183)&gt;0,$M183,ProjectStart),WORKDAY.INTL(MAX(ProjectStart,N($M183),$AK183,$AL183)-1,1,WorkWeek,Holidays))))</f>
        <v/>
      </c>
      <c r="O183" s="30" t="str">
        <f aca="true">IF($D183="","",IF($AI183,MAX(OFFSET(hdr_PlanFinish,$AF183+1,0,$AH183,1)),IF(N($F183)&lt;=0,$N183,WORKDAY.INTL($N183,$F183-1,WorkWeek,Holidays))))</f>
        <v/>
      </c>
      <c r="P183" s="29"/>
      <c r="Q183" s="29"/>
      <c r="R183" s="30" t="str">
        <f aca="true">IF($D183="","",IF($AI183,MIN(OFFSET(hdr_FcStart,$AF183+1,0,$AH183,1)),IF(N($P183)&gt;0,$P183,IF($E183="Manual",IF(N($M183)&gt;0,$M183,ProjectStart),WORKDAY.INTL(MAX(ProjectStart,N($M183),$AM183,$AN183,IF(RescheduleAfterStatus="Yes",StatusDate,0))-1,1,WorkWeek,Holidays)))))</f>
        <v/>
      </c>
      <c r="S183" s="30" t="str">
        <f aca="true">IF($D183="","",IF($AI183,MAX(OFFSET(hdr_FcFinish,$AF183+1,0,$AH183,1)),IF(N($Q183)&gt;0,$Q183,IF(N($F183)&lt;=0,$R183,IF(AND(N($P183)&gt;0,RescheduleAfterStatus="Yes"),MAX(WORKDAY.INTL($R183,$F183-1,WorkWeek,Holidays),WORKDAY.INTL(StatusWorkday,MAX(0,ROUNDUP($F183*(1-MIN(1,N($U183))),0)-1),WorkWeek,Holidays)),WORKDAY.INTL($R183,$F183-1,WorkWeek,Holidays))))))</f>
        <v/>
      </c>
      <c r="T183" s="38" t="str">
        <f aca="false">IF($D183="","",IF($S183&gt;=$O183,NETWORKDAYS.INTL($O183,$S183,WorkWeek,Holidays)-1,1-NETWORKDAYS.INTL($S183,$O183,WorkWeek,Holidays)))</f>
        <v/>
      </c>
      <c r="U183" s="32"/>
      <c r="V183" s="42" t="str">
        <f aca="true">IF($D183="","",IF($AI183,IFERROR(SUM(OFFSET(hdr_WtDone,$AF183+1,0,$AH183,1))/SUM(OFFSET(hdr_WtDur,$AF183+1,0,$AH183,1)),0),IF(N($Q183)&gt;0,1,MIN(1,N($U183)))))</f>
        <v/>
      </c>
      <c r="W183" s="39" t="str">
        <f aca="false">IF($D183="","",IF($V183&gt;=1,"Complete",IF(OR(N($P183)&gt;0,$V183&gt;0),IF($T183&gt;0,"Behind","In Progress"),IF($N183&lt;StatusDate,"Late Start","Not Started"))))</f>
        <v/>
      </c>
      <c r="X183" s="41"/>
      <c r="Y183" s="32"/>
      <c r="Z183" s="43" t="str">
        <f aca="true">IF($D183="","",IF($AI183,SUMPRODUCT(OFFSET(hdr_Work,$AF183+1,0,$AH183,1),OFFSET(hdr_IsLeaf,$AF183+1,0,$AH183,1)),IF($X183="",0,N($F183)*HoursPerDay*IF($Y183="",DefaultUnits,$Y183))))</f>
        <v/>
      </c>
      <c r="AA183" s="44" t="str">
        <f aca="true">IF($D183="","",IF($AI183,SUMPRODUCT(OFFSET(hdr_Cost,$AF183+1,0,$AH183,1),OFFSET(hdr_IsLeaf,$AF183+1,0,$AH183,1)),$Z183*IFERROR(INDEX(res_Rate,MATCH($X183,res_Name,0)),0)))</f>
        <v/>
      </c>
      <c r="AB183" s="38" t="str">
        <f aca="false">IF(OR($D183="",$AI183),"",IF(OR($R183&lt;Sprint1Start,$R183&gt;SprintLastEnd),"Backlog",INDEX(spr_Name,MATCH($R183,spr_Start,1))))</f>
        <v/>
      </c>
      <c r="AC183" s="45" t="str">
        <f aca="false">IF($D183="","",$AT183&amp;IF(AND($AT183&lt;&gt;"",$AU183&lt;&gt;""),",","")&amp;$AU183)</f>
        <v/>
      </c>
      <c r="AD183" s="41"/>
      <c r="AE183" s="46" t="str">
        <f aca="false">IF($D183="","",MAX(1,N($C183)))</f>
        <v/>
      </c>
      <c r="AF183" s="46" t="n">
        <f aca="false">ROW()-ROW(hdr_ID)</f>
        <v>178</v>
      </c>
      <c r="AG183" s="46" t="n">
        <f aca="false">IF(OR($D183="",$AE183&lt;=1),0,IFERROR(LOOKUP(2,1/($AE$5:$AE182=$AE183-1),ROW($AE$5:$AE182)),0))</f>
        <v>0</v>
      </c>
      <c r="AH183" s="46" t="n">
        <f aca="false">IF($D183="",0,COUNTIF(tsk_WBS,$B183&amp;".*"))</f>
        <v>0</v>
      </c>
      <c r="AI183" s="47" t="b">
        <f aca="false">$AH183&gt;0</f>
        <v>0</v>
      </c>
      <c r="AJ183" s="46" t="n">
        <f aca="false">IF(AND($D183&lt;&gt;"",NOT($AI183)),1,0)</f>
        <v>0</v>
      </c>
      <c r="AK183" s="48" t="n">
        <f aca="true">IF(OR(N($G183)=0,$AI183,$D183=""),0,IFERROR(CHOOSE(MATCH(IF($H183="","FS",$H183),{"FS","SS","FF","SF"},0),WORKDAY.INTL(OFFSET(hdr_PlanFinish,MATCH($G183,tsk_ID,0),0),IF(N($F183)=0,0,1)+N($I183),WorkWeek,Holidays),WORKDAY.INTL(OFFSET(hdr_PlanStart,MATCH($G183,tsk_ID,0),0),N($I183),WorkWeek,Holidays),WORKDAY.INTL(WORKDAY.INTL(OFFSET(hdr_PlanFinish,MATCH($G183,tsk_ID,0),0),N($I183),WorkWeek,Holidays),-MAX(0,N($F183)-1),WorkWeek,Holidays),WORKDAY.INTL(WORKDAY.INTL(OFFSET(hdr_PlanStart,MATCH($G183,tsk_ID,0),0),N($I183),WorkWeek,Holidays),-MAX(0,N($F183)-1),WorkWeek,Holidays)),0))</f>
        <v>0</v>
      </c>
      <c r="AL183" s="48" t="n">
        <f aca="true">IF(OR(N($J183)=0,$AI183,$D183=""),0,IFERROR(CHOOSE(MATCH(IF($K183="","FS",$K183),{"FS","SS","FF","SF"},0),WORKDAY.INTL(OFFSET(hdr_PlanFinish,MATCH($J183,tsk_ID,0),0),IF(N($F183)=0,0,1)+N($L183),WorkWeek,Holidays),WORKDAY.INTL(OFFSET(hdr_PlanStart,MATCH($J183,tsk_ID,0),0),N($L183),WorkWeek,Holidays),WORKDAY.INTL(WORKDAY.INTL(OFFSET(hdr_PlanFinish,MATCH($J183,tsk_ID,0),0),N($L183),WorkWeek,Holidays),-MAX(0,N($F183)-1),WorkWeek,Holidays),WORKDAY.INTL(WORKDAY.INTL(OFFSET(hdr_PlanStart,MATCH($J183,tsk_ID,0),0),N($L183),WorkWeek,Holidays),-MAX(0,N($F183)-1),WorkWeek,Holidays)),0))</f>
        <v>0</v>
      </c>
      <c r="AM183" s="48" t="n">
        <f aca="true">IF(OR(N($G183)=0,$AI183,$D183=""),0,IFERROR(CHOOSE(MATCH(IF($H183="","FS",$H183),{"FS","SS","FF","SF"},0),WORKDAY.INTL(OFFSET(hdr_FcFinish,MATCH($G183,tsk_ID,0),0),IF(N($F183)=0,0,1)+N($I183),WorkWeek,Holidays),WORKDAY.INTL(OFFSET(hdr_FcStart,MATCH($G183,tsk_ID,0),0),N($I183),WorkWeek,Holidays),WORKDAY.INTL(WORKDAY.INTL(OFFSET(hdr_FcFinish,MATCH($G183,tsk_ID,0),0),N($I183),WorkWeek,Holidays),-MAX(0,N($F183)-1),WorkWeek,Holidays),WORKDAY.INTL(WORKDAY.INTL(OFFSET(hdr_FcStart,MATCH($G183,tsk_ID,0),0),N($I183),WorkWeek,Holidays),-MAX(0,N($F183)-1),WorkWeek,Holidays)),0))</f>
        <v>0</v>
      </c>
      <c r="AN183" s="48" t="n">
        <f aca="true">IF(OR(N($J183)=0,$AI183,$D183=""),0,IFERROR(CHOOSE(MATCH(IF($K183="","FS",$K183),{"FS","SS","FF","SF"},0),WORKDAY.INTL(OFFSET(hdr_FcFinish,MATCH($J183,tsk_ID,0),0),IF(N($F183)=0,0,1)+N($L183),WorkWeek,Holidays),WORKDAY.INTL(OFFSET(hdr_FcStart,MATCH($J183,tsk_ID,0),0),N($L183),WorkWeek,Holidays),WORKDAY.INTL(WORKDAY.INTL(OFFSET(hdr_FcFinish,MATCH($J183,tsk_ID,0),0),N($L183),WorkWeek,Holidays),-MAX(0,N($F183)-1),WorkWeek,Holidays),WORKDAY.INTL(WORKDAY.INTL(OFFSET(hdr_FcStart,MATCH($J183,tsk_ID,0),0),N($L183),WorkWeek,Holidays),-MAX(0,N($F183)-1),WorkWeek,Holidays)),0))</f>
        <v>0</v>
      </c>
      <c r="AO183" s="48" t="n">
        <f aca="false">IF($AJ183=1,$R183,0)</f>
        <v>0</v>
      </c>
      <c r="AP183" s="48" t="n">
        <f aca="false">IF($AJ183=1,$S183,0)</f>
        <v>0</v>
      </c>
      <c r="AQ183" s="49" t="n">
        <f aca="false">IF(AND($AJ183=1,N($Z183)&gt;0),$Z183/($AP183-$AO183+1),0)</f>
        <v>0</v>
      </c>
      <c r="AR183" s="46" t="n">
        <f aca="false">IF($AJ183=1,MAX(N($F183),0.1),0)</f>
        <v>0</v>
      </c>
      <c r="AS183" s="46" t="n">
        <f aca="false">IF($AJ183=1,$AR183*$V183,0)</f>
        <v>0</v>
      </c>
      <c r="AT183" s="46" t="str">
        <f aca="false">IF(N($G183)=0,"",$G183&amp;IF(AND(IF($H183="","FS",$H183)="FS",N($I183)=0),"",IF($H183="","FS",$H183)&amp;IF(N($I183)=0,"",IF(N($I183)&gt;0,"+","")&amp;N($I183)&amp;"d")))</f>
        <v/>
      </c>
      <c r="AU183" s="46" t="str">
        <f aca="false">IF(N($J183)=0,"",$J183&amp;IF(AND(IF($K183="","FS",$K183)="FS",N($L183)=0),"",IF($K183="","FS",$K183)&amp;IF(N($L183)=0,"",IF(N($L183)&gt;0,"+","")&amp;N($L183)&amp;"d")))</f>
        <v/>
      </c>
      <c r="AV183" s="46" t="str">
        <f aca="false">IF(AND($AJ183=1,N($F183)=0,$V183&lt;1),$S183+$AF183/100000,"")</f>
        <v/>
      </c>
    </row>
    <row r="184" customFormat="false" ht="15" hidden="false" customHeight="false" outlineLevel="0" collapsed="false">
      <c r="A184" s="38" t="str">
        <f aca="false">IF($D184="","",COUNTA($D$6:$D184))</f>
        <v/>
      </c>
      <c r="B184" s="39" t="str">
        <f aca="true">IF($D184="","",IF($AE184=1,COUNTIF($AE$6:$AE184,1)&amp;"",IF($AG184=0,"?",OFFSET(hdr_WBS,$AG184-ROW(hdr_WBS),0)&amp;"."&amp;COUNTIF(INDEX($AE:$AE,$AG184+1):$AE184,$AE184))))</f>
        <v/>
      </c>
      <c r="C184" s="40"/>
      <c r="D184" s="41"/>
      <c r="E184" s="40"/>
      <c r="F184" s="40"/>
      <c r="G184" s="40"/>
      <c r="H184" s="40"/>
      <c r="I184" s="40"/>
      <c r="J184" s="40"/>
      <c r="K184" s="40"/>
      <c r="L184" s="40"/>
      <c r="M184" s="29"/>
      <c r="N184" s="30" t="str">
        <f aca="true">IF($D184="","",IF($AI184,MIN(OFFSET(hdr_PlanStart,$AF184+1,0,$AH184,1)),IF($E184="Manual",IF(N($M184)&gt;0,$M184,ProjectStart),WORKDAY.INTL(MAX(ProjectStart,N($M184),$AK184,$AL184)-1,1,WorkWeek,Holidays))))</f>
        <v/>
      </c>
      <c r="O184" s="30" t="str">
        <f aca="true">IF($D184="","",IF($AI184,MAX(OFFSET(hdr_PlanFinish,$AF184+1,0,$AH184,1)),IF(N($F184)&lt;=0,$N184,WORKDAY.INTL($N184,$F184-1,WorkWeek,Holidays))))</f>
        <v/>
      </c>
      <c r="P184" s="29"/>
      <c r="Q184" s="29"/>
      <c r="R184" s="30" t="str">
        <f aca="true">IF($D184="","",IF($AI184,MIN(OFFSET(hdr_FcStart,$AF184+1,0,$AH184,1)),IF(N($P184)&gt;0,$P184,IF($E184="Manual",IF(N($M184)&gt;0,$M184,ProjectStart),WORKDAY.INTL(MAX(ProjectStart,N($M184),$AM184,$AN184,IF(RescheduleAfterStatus="Yes",StatusDate,0))-1,1,WorkWeek,Holidays)))))</f>
        <v/>
      </c>
      <c r="S184" s="30" t="str">
        <f aca="true">IF($D184="","",IF($AI184,MAX(OFFSET(hdr_FcFinish,$AF184+1,0,$AH184,1)),IF(N($Q184)&gt;0,$Q184,IF(N($F184)&lt;=0,$R184,IF(AND(N($P184)&gt;0,RescheduleAfterStatus="Yes"),MAX(WORKDAY.INTL($R184,$F184-1,WorkWeek,Holidays),WORKDAY.INTL(StatusWorkday,MAX(0,ROUNDUP($F184*(1-MIN(1,N($U184))),0)-1),WorkWeek,Holidays)),WORKDAY.INTL($R184,$F184-1,WorkWeek,Holidays))))))</f>
        <v/>
      </c>
      <c r="T184" s="38" t="str">
        <f aca="false">IF($D184="","",IF($S184&gt;=$O184,NETWORKDAYS.INTL($O184,$S184,WorkWeek,Holidays)-1,1-NETWORKDAYS.INTL($S184,$O184,WorkWeek,Holidays)))</f>
        <v/>
      </c>
      <c r="U184" s="32"/>
      <c r="V184" s="42" t="str">
        <f aca="true">IF($D184="","",IF($AI184,IFERROR(SUM(OFFSET(hdr_WtDone,$AF184+1,0,$AH184,1))/SUM(OFFSET(hdr_WtDur,$AF184+1,0,$AH184,1)),0),IF(N($Q184)&gt;0,1,MIN(1,N($U184)))))</f>
        <v/>
      </c>
      <c r="W184" s="39" t="str">
        <f aca="false">IF($D184="","",IF($V184&gt;=1,"Complete",IF(OR(N($P184)&gt;0,$V184&gt;0),IF($T184&gt;0,"Behind","In Progress"),IF($N184&lt;StatusDate,"Late Start","Not Started"))))</f>
        <v/>
      </c>
      <c r="X184" s="41"/>
      <c r="Y184" s="32"/>
      <c r="Z184" s="43" t="str">
        <f aca="true">IF($D184="","",IF($AI184,SUMPRODUCT(OFFSET(hdr_Work,$AF184+1,0,$AH184,1),OFFSET(hdr_IsLeaf,$AF184+1,0,$AH184,1)),IF($X184="",0,N($F184)*HoursPerDay*IF($Y184="",DefaultUnits,$Y184))))</f>
        <v/>
      </c>
      <c r="AA184" s="44" t="str">
        <f aca="true">IF($D184="","",IF($AI184,SUMPRODUCT(OFFSET(hdr_Cost,$AF184+1,0,$AH184,1),OFFSET(hdr_IsLeaf,$AF184+1,0,$AH184,1)),$Z184*IFERROR(INDEX(res_Rate,MATCH($X184,res_Name,0)),0)))</f>
        <v/>
      </c>
      <c r="AB184" s="38" t="str">
        <f aca="false">IF(OR($D184="",$AI184),"",IF(OR($R184&lt;Sprint1Start,$R184&gt;SprintLastEnd),"Backlog",INDEX(spr_Name,MATCH($R184,spr_Start,1))))</f>
        <v/>
      </c>
      <c r="AC184" s="45" t="str">
        <f aca="false">IF($D184="","",$AT184&amp;IF(AND($AT184&lt;&gt;"",$AU184&lt;&gt;""),",","")&amp;$AU184)</f>
        <v/>
      </c>
      <c r="AD184" s="41"/>
      <c r="AE184" s="46" t="str">
        <f aca="false">IF($D184="","",MAX(1,N($C184)))</f>
        <v/>
      </c>
      <c r="AF184" s="46" t="n">
        <f aca="false">ROW()-ROW(hdr_ID)</f>
        <v>179</v>
      </c>
      <c r="AG184" s="46" t="n">
        <f aca="false">IF(OR($D184="",$AE184&lt;=1),0,IFERROR(LOOKUP(2,1/($AE$5:$AE183=$AE184-1),ROW($AE$5:$AE183)),0))</f>
        <v>0</v>
      </c>
      <c r="AH184" s="46" t="n">
        <f aca="false">IF($D184="",0,COUNTIF(tsk_WBS,$B184&amp;".*"))</f>
        <v>0</v>
      </c>
      <c r="AI184" s="47" t="b">
        <f aca="false">$AH184&gt;0</f>
        <v>0</v>
      </c>
      <c r="AJ184" s="46" t="n">
        <f aca="false">IF(AND($D184&lt;&gt;"",NOT($AI184)),1,0)</f>
        <v>0</v>
      </c>
      <c r="AK184" s="48" t="n">
        <f aca="true">IF(OR(N($G184)=0,$AI184,$D184=""),0,IFERROR(CHOOSE(MATCH(IF($H184="","FS",$H184),{"FS","SS","FF","SF"},0),WORKDAY.INTL(OFFSET(hdr_PlanFinish,MATCH($G184,tsk_ID,0),0),IF(N($F184)=0,0,1)+N($I184),WorkWeek,Holidays),WORKDAY.INTL(OFFSET(hdr_PlanStart,MATCH($G184,tsk_ID,0),0),N($I184),WorkWeek,Holidays),WORKDAY.INTL(WORKDAY.INTL(OFFSET(hdr_PlanFinish,MATCH($G184,tsk_ID,0),0),N($I184),WorkWeek,Holidays),-MAX(0,N($F184)-1),WorkWeek,Holidays),WORKDAY.INTL(WORKDAY.INTL(OFFSET(hdr_PlanStart,MATCH($G184,tsk_ID,0),0),N($I184),WorkWeek,Holidays),-MAX(0,N($F184)-1),WorkWeek,Holidays)),0))</f>
        <v>0</v>
      </c>
      <c r="AL184" s="48" t="n">
        <f aca="true">IF(OR(N($J184)=0,$AI184,$D184=""),0,IFERROR(CHOOSE(MATCH(IF($K184="","FS",$K184),{"FS","SS","FF","SF"},0),WORKDAY.INTL(OFFSET(hdr_PlanFinish,MATCH($J184,tsk_ID,0),0),IF(N($F184)=0,0,1)+N($L184),WorkWeek,Holidays),WORKDAY.INTL(OFFSET(hdr_PlanStart,MATCH($J184,tsk_ID,0),0),N($L184),WorkWeek,Holidays),WORKDAY.INTL(WORKDAY.INTL(OFFSET(hdr_PlanFinish,MATCH($J184,tsk_ID,0),0),N($L184),WorkWeek,Holidays),-MAX(0,N($F184)-1),WorkWeek,Holidays),WORKDAY.INTL(WORKDAY.INTL(OFFSET(hdr_PlanStart,MATCH($J184,tsk_ID,0),0),N($L184),WorkWeek,Holidays),-MAX(0,N($F184)-1),WorkWeek,Holidays)),0))</f>
        <v>0</v>
      </c>
      <c r="AM184" s="48" t="n">
        <f aca="true">IF(OR(N($G184)=0,$AI184,$D184=""),0,IFERROR(CHOOSE(MATCH(IF($H184="","FS",$H184),{"FS","SS","FF","SF"},0),WORKDAY.INTL(OFFSET(hdr_FcFinish,MATCH($G184,tsk_ID,0),0),IF(N($F184)=0,0,1)+N($I184),WorkWeek,Holidays),WORKDAY.INTL(OFFSET(hdr_FcStart,MATCH($G184,tsk_ID,0),0),N($I184),WorkWeek,Holidays),WORKDAY.INTL(WORKDAY.INTL(OFFSET(hdr_FcFinish,MATCH($G184,tsk_ID,0),0),N($I184),WorkWeek,Holidays),-MAX(0,N($F184)-1),WorkWeek,Holidays),WORKDAY.INTL(WORKDAY.INTL(OFFSET(hdr_FcStart,MATCH($G184,tsk_ID,0),0),N($I184),WorkWeek,Holidays),-MAX(0,N($F184)-1),WorkWeek,Holidays)),0))</f>
        <v>0</v>
      </c>
      <c r="AN184" s="48" t="n">
        <f aca="true">IF(OR(N($J184)=0,$AI184,$D184=""),0,IFERROR(CHOOSE(MATCH(IF($K184="","FS",$K184),{"FS","SS","FF","SF"},0),WORKDAY.INTL(OFFSET(hdr_FcFinish,MATCH($J184,tsk_ID,0),0),IF(N($F184)=0,0,1)+N($L184),WorkWeek,Holidays),WORKDAY.INTL(OFFSET(hdr_FcStart,MATCH($J184,tsk_ID,0),0),N($L184),WorkWeek,Holidays),WORKDAY.INTL(WORKDAY.INTL(OFFSET(hdr_FcFinish,MATCH($J184,tsk_ID,0),0),N($L184),WorkWeek,Holidays),-MAX(0,N($F184)-1),WorkWeek,Holidays),WORKDAY.INTL(WORKDAY.INTL(OFFSET(hdr_FcStart,MATCH($J184,tsk_ID,0),0),N($L184),WorkWeek,Holidays),-MAX(0,N($F184)-1),WorkWeek,Holidays)),0))</f>
        <v>0</v>
      </c>
      <c r="AO184" s="48" t="n">
        <f aca="false">IF($AJ184=1,$R184,0)</f>
        <v>0</v>
      </c>
      <c r="AP184" s="48" t="n">
        <f aca="false">IF($AJ184=1,$S184,0)</f>
        <v>0</v>
      </c>
      <c r="AQ184" s="49" t="n">
        <f aca="false">IF(AND($AJ184=1,N($Z184)&gt;0),$Z184/($AP184-$AO184+1),0)</f>
        <v>0</v>
      </c>
      <c r="AR184" s="46" t="n">
        <f aca="false">IF($AJ184=1,MAX(N($F184),0.1),0)</f>
        <v>0</v>
      </c>
      <c r="AS184" s="46" t="n">
        <f aca="false">IF($AJ184=1,$AR184*$V184,0)</f>
        <v>0</v>
      </c>
      <c r="AT184" s="46" t="str">
        <f aca="false">IF(N($G184)=0,"",$G184&amp;IF(AND(IF($H184="","FS",$H184)="FS",N($I184)=0),"",IF($H184="","FS",$H184)&amp;IF(N($I184)=0,"",IF(N($I184)&gt;0,"+","")&amp;N($I184)&amp;"d")))</f>
        <v/>
      </c>
      <c r="AU184" s="46" t="str">
        <f aca="false">IF(N($J184)=0,"",$J184&amp;IF(AND(IF($K184="","FS",$K184)="FS",N($L184)=0),"",IF($K184="","FS",$K184)&amp;IF(N($L184)=0,"",IF(N($L184)&gt;0,"+","")&amp;N($L184)&amp;"d")))</f>
        <v/>
      </c>
      <c r="AV184" s="46" t="str">
        <f aca="false">IF(AND($AJ184=1,N($F184)=0,$V184&lt;1),$S184+$AF184/100000,"")</f>
        <v/>
      </c>
    </row>
    <row r="185" customFormat="false" ht="15" hidden="false" customHeight="false" outlineLevel="0" collapsed="false">
      <c r="A185" s="38" t="str">
        <f aca="false">IF($D185="","",COUNTA($D$6:$D185))</f>
        <v/>
      </c>
      <c r="B185" s="39" t="str">
        <f aca="true">IF($D185="","",IF($AE185=1,COUNTIF($AE$6:$AE185,1)&amp;"",IF($AG185=0,"?",OFFSET(hdr_WBS,$AG185-ROW(hdr_WBS),0)&amp;"."&amp;COUNTIF(INDEX($AE:$AE,$AG185+1):$AE185,$AE185))))</f>
        <v/>
      </c>
      <c r="C185" s="40"/>
      <c r="D185" s="41"/>
      <c r="E185" s="40"/>
      <c r="F185" s="40"/>
      <c r="G185" s="40"/>
      <c r="H185" s="40"/>
      <c r="I185" s="40"/>
      <c r="J185" s="40"/>
      <c r="K185" s="40"/>
      <c r="L185" s="40"/>
      <c r="M185" s="29"/>
      <c r="N185" s="30" t="str">
        <f aca="true">IF($D185="","",IF($AI185,MIN(OFFSET(hdr_PlanStart,$AF185+1,0,$AH185,1)),IF($E185="Manual",IF(N($M185)&gt;0,$M185,ProjectStart),WORKDAY.INTL(MAX(ProjectStart,N($M185),$AK185,$AL185)-1,1,WorkWeek,Holidays))))</f>
        <v/>
      </c>
      <c r="O185" s="30" t="str">
        <f aca="true">IF($D185="","",IF($AI185,MAX(OFFSET(hdr_PlanFinish,$AF185+1,0,$AH185,1)),IF(N($F185)&lt;=0,$N185,WORKDAY.INTL($N185,$F185-1,WorkWeek,Holidays))))</f>
        <v/>
      </c>
      <c r="P185" s="29"/>
      <c r="Q185" s="29"/>
      <c r="R185" s="30" t="str">
        <f aca="true">IF($D185="","",IF($AI185,MIN(OFFSET(hdr_FcStart,$AF185+1,0,$AH185,1)),IF(N($P185)&gt;0,$P185,IF($E185="Manual",IF(N($M185)&gt;0,$M185,ProjectStart),WORKDAY.INTL(MAX(ProjectStart,N($M185),$AM185,$AN185,IF(RescheduleAfterStatus="Yes",StatusDate,0))-1,1,WorkWeek,Holidays)))))</f>
        <v/>
      </c>
      <c r="S185" s="30" t="str">
        <f aca="true">IF($D185="","",IF($AI185,MAX(OFFSET(hdr_FcFinish,$AF185+1,0,$AH185,1)),IF(N($Q185)&gt;0,$Q185,IF(N($F185)&lt;=0,$R185,IF(AND(N($P185)&gt;0,RescheduleAfterStatus="Yes"),MAX(WORKDAY.INTL($R185,$F185-1,WorkWeek,Holidays),WORKDAY.INTL(StatusWorkday,MAX(0,ROUNDUP($F185*(1-MIN(1,N($U185))),0)-1),WorkWeek,Holidays)),WORKDAY.INTL($R185,$F185-1,WorkWeek,Holidays))))))</f>
        <v/>
      </c>
      <c r="T185" s="38" t="str">
        <f aca="false">IF($D185="","",IF($S185&gt;=$O185,NETWORKDAYS.INTL($O185,$S185,WorkWeek,Holidays)-1,1-NETWORKDAYS.INTL($S185,$O185,WorkWeek,Holidays)))</f>
        <v/>
      </c>
      <c r="U185" s="32"/>
      <c r="V185" s="42" t="str">
        <f aca="true">IF($D185="","",IF($AI185,IFERROR(SUM(OFFSET(hdr_WtDone,$AF185+1,0,$AH185,1))/SUM(OFFSET(hdr_WtDur,$AF185+1,0,$AH185,1)),0),IF(N($Q185)&gt;0,1,MIN(1,N($U185)))))</f>
        <v/>
      </c>
      <c r="W185" s="39" t="str">
        <f aca="false">IF($D185="","",IF($V185&gt;=1,"Complete",IF(OR(N($P185)&gt;0,$V185&gt;0),IF($T185&gt;0,"Behind","In Progress"),IF($N185&lt;StatusDate,"Late Start","Not Started"))))</f>
        <v/>
      </c>
      <c r="X185" s="41"/>
      <c r="Y185" s="32"/>
      <c r="Z185" s="43" t="str">
        <f aca="true">IF($D185="","",IF($AI185,SUMPRODUCT(OFFSET(hdr_Work,$AF185+1,0,$AH185,1),OFFSET(hdr_IsLeaf,$AF185+1,0,$AH185,1)),IF($X185="",0,N($F185)*HoursPerDay*IF($Y185="",DefaultUnits,$Y185))))</f>
        <v/>
      </c>
      <c r="AA185" s="44" t="str">
        <f aca="true">IF($D185="","",IF($AI185,SUMPRODUCT(OFFSET(hdr_Cost,$AF185+1,0,$AH185,1),OFFSET(hdr_IsLeaf,$AF185+1,0,$AH185,1)),$Z185*IFERROR(INDEX(res_Rate,MATCH($X185,res_Name,0)),0)))</f>
        <v/>
      </c>
      <c r="AB185" s="38" t="str">
        <f aca="false">IF(OR($D185="",$AI185),"",IF(OR($R185&lt;Sprint1Start,$R185&gt;SprintLastEnd),"Backlog",INDEX(spr_Name,MATCH($R185,spr_Start,1))))</f>
        <v/>
      </c>
      <c r="AC185" s="45" t="str">
        <f aca="false">IF($D185="","",$AT185&amp;IF(AND($AT185&lt;&gt;"",$AU185&lt;&gt;""),",","")&amp;$AU185)</f>
        <v/>
      </c>
      <c r="AD185" s="41"/>
      <c r="AE185" s="46" t="str">
        <f aca="false">IF($D185="","",MAX(1,N($C185)))</f>
        <v/>
      </c>
      <c r="AF185" s="46" t="n">
        <f aca="false">ROW()-ROW(hdr_ID)</f>
        <v>180</v>
      </c>
      <c r="AG185" s="46" t="n">
        <f aca="false">IF(OR($D185="",$AE185&lt;=1),0,IFERROR(LOOKUP(2,1/($AE$5:$AE184=$AE185-1),ROW($AE$5:$AE184)),0))</f>
        <v>0</v>
      </c>
      <c r="AH185" s="46" t="n">
        <f aca="false">IF($D185="",0,COUNTIF(tsk_WBS,$B185&amp;".*"))</f>
        <v>0</v>
      </c>
      <c r="AI185" s="47" t="b">
        <f aca="false">$AH185&gt;0</f>
        <v>0</v>
      </c>
      <c r="AJ185" s="46" t="n">
        <f aca="false">IF(AND($D185&lt;&gt;"",NOT($AI185)),1,0)</f>
        <v>0</v>
      </c>
      <c r="AK185" s="48" t="n">
        <f aca="true">IF(OR(N($G185)=0,$AI185,$D185=""),0,IFERROR(CHOOSE(MATCH(IF($H185="","FS",$H185),{"FS","SS","FF","SF"},0),WORKDAY.INTL(OFFSET(hdr_PlanFinish,MATCH($G185,tsk_ID,0),0),IF(N($F185)=0,0,1)+N($I185),WorkWeek,Holidays),WORKDAY.INTL(OFFSET(hdr_PlanStart,MATCH($G185,tsk_ID,0),0),N($I185),WorkWeek,Holidays),WORKDAY.INTL(WORKDAY.INTL(OFFSET(hdr_PlanFinish,MATCH($G185,tsk_ID,0),0),N($I185),WorkWeek,Holidays),-MAX(0,N($F185)-1),WorkWeek,Holidays),WORKDAY.INTL(WORKDAY.INTL(OFFSET(hdr_PlanStart,MATCH($G185,tsk_ID,0),0),N($I185),WorkWeek,Holidays),-MAX(0,N($F185)-1),WorkWeek,Holidays)),0))</f>
        <v>0</v>
      </c>
      <c r="AL185" s="48" t="n">
        <f aca="true">IF(OR(N($J185)=0,$AI185,$D185=""),0,IFERROR(CHOOSE(MATCH(IF($K185="","FS",$K185),{"FS","SS","FF","SF"},0),WORKDAY.INTL(OFFSET(hdr_PlanFinish,MATCH($J185,tsk_ID,0),0),IF(N($F185)=0,0,1)+N($L185),WorkWeek,Holidays),WORKDAY.INTL(OFFSET(hdr_PlanStart,MATCH($J185,tsk_ID,0),0),N($L185),WorkWeek,Holidays),WORKDAY.INTL(WORKDAY.INTL(OFFSET(hdr_PlanFinish,MATCH($J185,tsk_ID,0),0),N($L185),WorkWeek,Holidays),-MAX(0,N($F185)-1),WorkWeek,Holidays),WORKDAY.INTL(WORKDAY.INTL(OFFSET(hdr_PlanStart,MATCH($J185,tsk_ID,0),0),N($L185),WorkWeek,Holidays),-MAX(0,N($F185)-1),WorkWeek,Holidays)),0))</f>
        <v>0</v>
      </c>
      <c r="AM185" s="48" t="n">
        <f aca="true">IF(OR(N($G185)=0,$AI185,$D185=""),0,IFERROR(CHOOSE(MATCH(IF($H185="","FS",$H185),{"FS","SS","FF","SF"},0),WORKDAY.INTL(OFFSET(hdr_FcFinish,MATCH($G185,tsk_ID,0),0),IF(N($F185)=0,0,1)+N($I185),WorkWeek,Holidays),WORKDAY.INTL(OFFSET(hdr_FcStart,MATCH($G185,tsk_ID,0),0),N($I185),WorkWeek,Holidays),WORKDAY.INTL(WORKDAY.INTL(OFFSET(hdr_FcFinish,MATCH($G185,tsk_ID,0),0),N($I185),WorkWeek,Holidays),-MAX(0,N($F185)-1),WorkWeek,Holidays),WORKDAY.INTL(WORKDAY.INTL(OFFSET(hdr_FcStart,MATCH($G185,tsk_ID,0),0),N($I185),WorkWeek,Holidays),-MAX(0,N($F185)-1),WorkWeek,Holidays)),0))</f>
        <v>0</v>
      </c>
      <c r="AN185" s="48" t="n">
        <f aca="true">IF(OR(N($J185)=0,$AI185,$D185=""),0,IFERROR(CHOOSE(MATCH(IF($K185="","FS",$K185),{"FS","SS","FF","SF"},0),WORKDAY.INTL(OFFSET(hdr_FcFinish,MATCH($J185,tsk_ID,0),0),IF(N($F185)=0,0,1)+N($L185),WorkWeek,Holidays),WORKDAY.INTL(OFFSET(hdr_FcStart,MATCH($J185,tsk_ID,0),0),N($L185),WorkWeek,Holidays),WORKDAY.INTL(WORKDAY.INTL(OFFSET(hdr_FcFinish,MATCH($J185,tsk_ID,0),0),N($L185),WorkWeek,Holidays),-MAX(0,N($F185)-1),WorkWeek,Holidays),WORKDAY.INTL(WORKDAY.INTL(OFFSET(hdr_FcStart,MATCH($J185,tsk_ID,0),0),N($L185),WorkWeek,Holidays),-MAX(0,N($F185)-1),WorkWeek,Holidays)),0))</f>
        <v>0</v>
      </c>
      <c r="AO185" s="48" t="n">
        <f aca="false">IF($AJ185=1,$R185,0)</f>
        <v>0</v>
      </c>
      <c r="AP185" s="48" t="n">
        <f aca="false">IF($AJ185=1,$S185,0)</f>
        <v>0</v>
      </c>
      <c r="AQ185" s="49" t="n">
        <f aca="false">IF(AND($AJ185=1,N($Z185)&gt;0),$Z185/($AP185-$AO185+1),0)</f>
        <v>0</v>
      </c>
      <c r="AR185" s="46" t="n">
        <f aca="false">IF($AJ185=1,MAX(N($F185),0.1),0)</f>
        <v>0</v>
      </c>
      <c r="AS185" s="46" t="n">
        <f aca="false">IF($AJ185=1,$AR185*$V185,0)</f>
        <v>0</v>
      </c>
      <c r="AT185" s="46" t="str">
        <f aca="false">IF(N($G185)=0,"",$G185&amp;IF(AND(IF($H185="","FS",$H185)="FS",N($I185)=0),"",IF($H185="","FS",$H185)&amp;IF(N($I185)=0,"",IF(N($I185)&gt;0,"+","")&amp;N($I185)&amp;"d")))</f>
        <v/>
      </c>
      <c r="AU185" s="46" t="str">
        <f aca="false">IF(N($J185)=0,"",$J185&amp;IF(AND(IF($K185="","FS",$K185)="FS",N($L185)=0),"",IF($K185="","FS",$K185)&amp;IF(N($L185)=0,"",IF(N($L185)&gt;0,"+","")&amp;N($L185)&amp;"d")))</f>
        <v/>
      </c>
      <c r="AV185" s="46" t="str">
        <f aca="false">IF(AND($AJ185=1,N($F185)=0,$V185&lt;1),$S185+$AF185/100000,"")</f>
        <v/>
      </c>
    </row>
    <row r="186" customFormat="false" ht="15" hidden="false" customHeight="false" outlineLevel="0" collapsed="false">
      <c r="A186" s="38" t="str">
        <f aca="false">IF($D186="","",COUNTA($D$6:$D186))</f>
        <v/>
      </c>
      <c r="B186" s="39" t="str">
        <f aca="true">IF($D186="","",IF($AE186=1,COUNTIF($AE$6:$AE186,1)&amp;"",IF($AG186=0,"?",OFFSET(hdr_WBS,$AG186-ROW(hdr_WBS),0)&amp;"."&amp;COUNTIF(INDEX($AE:$AE,$AG186+1):$AE186,$AE186))))</f>
        <v/>
      </c>
      <c r="C186" s="40"/>
      <c r="D186" s="41"/>
      <c r="E186" s="40"/>
      <c r="F186" s="40"/>
      <c r="G186" s="40"/>
      <c r="H186" s="40"/>
      <c r="I186" s="40"/>
      <c r="J186" s="40"/>
      <c r="K186" s="40"/>
      <c r="L186" s="40"/>
      <c r="M186" s="29"/>
      <c r="N186" s="30" t="str">
        <f aca="true">IF($D186="","",IF($AI186,MIN(OFFSET(hdr_PlanStart,$AF186+1,0,$AH186,1)),IF($E186="Manual",IF(N($M186)&gt;0,$M186,ProjectStart),WORKDAY.INTL(MAX(ProjectStart,N($M186),$AK186,$AL186)-1,1,WorkWeek,Holidays))))</f>
        <v/>
      </c>
      <c r="O186" s="30" t="str">
        <f aca="true">IF($D186="","",IF($AI186,MAX(OFFSET(hdr_PlanFinish,$AF186+1,0,$AH186,1)),IF(N($F186)&lt;=0,$N186,WORKDAY.INTL($N186,$F186-1,WorkWeek,Holidays))))</f>
        <v/>
      </c>
      <c r="P186" s="29"/>
      <c r="Q186" s="29"/>
      <c r="R186" s="30" t="str">
        <f aca="true">IF($D186="","",IF($AI186,MIN(OFFSET(hdr_FcStart,$AF186+1,0,$AH186,1)),IF(N($P186)&gt;0,$P186,IF($E186="Manual",IF(N($M186)&gt;0,$M186,ProjectStart),WORKDAY.INTL(MAX(ProjectStart,N($M186),$AM186,$AN186,IF(RescheduleAfterStatus="Yes",StatusDate,0))-1,1,WorkWeek,Holidays)))))</f>
        <v/>
      </c>
      <c r="S186" s="30" t="str">
        <f aca="true">IF($D186="","",IF($AI186,MAX(OFFSET(hdr_FcFinish,$AF186+1,0,$AH186,1)),IF(N($Q186)&gt;0,$Q186,IF(N($F186)&lt;=0,$R186,IF(AND(N($P186)&gt;0,RescheduleAfterStatus="Yes"),MAX(WORKDAY.INTL($R186,$F186-1,WorkWeek,Holidays),WORKDAY.INTL(StatusWorkday,MAX(0,ROUNDUP($F186*(1-MIN(1,N($U186))),0)-1),WorkWeek,Holidays)),WORKDAY.INTL($R186,$F186-1,WorkWeek,Holidays))))))</f>
        <v/>
      </c>
      <c r="T186" s="38" t="str">
        <f aca="false">IF($D186="","",IF($S186&gt;=$O186,NETWORKDAYS.INTL($O186,$S186,WorkWeek,Holidays)-1,1-NETWORKDAYS.INTL($S186,$O186,WorkWeek,Holidays)))</f>
        <v/>
      </c>
      <c r="U186" s="32"/>
      <c r="V186" s="42" t="str">
        <f aca="true">IF($D186="","",IF($AI186,IFERROR(SUM(OFFSET(hdr_WtDone,$AF186+1,0,$AH186,1))/SUM(OFFSET(hdr_WtDur,$AF186+1,0,$AH186,1)),0),IF(N($Q186)&gt;0,1,MIN(1,N($U186)))))</f>
        <v/>
      </c>
      <c r="W186" s="39" t="str">
        <f aca="false">IF($D186="","",IF($V186&gt;=1,"Complete",IF(OR(N($P186)&gt;0,$V186&gt;0),IF($T186&gt;0,"Behind","In Progress"),IF($N186&lt;StatusDate,"Late Start","Not Started"))))</f>
        <v/>
      </c>
      <c r="X186" s="41"/>
      <c r="Y186" s="32"/>
      <c r="Z186" s="43" t="str">
        <f aca="true">IF($D186="","",IF($AI186,SUMPRODUCT(OFFSET(hdr_Work,$AF186+1,0,$AH186,1),OFFSET(hdr_IsLeaf,$AF186+1,0,$AH186,1)),IF($X186="",0,N($F186)*HoursPerDay*IF($Y186="",DefaultUnits,$Y186))))</f>
        <v/>
      </c>
      <c r="AA186" s="44" t="str">
        <f aca="true">IF($D186="","",IF($AI186,SUMPRODUCT(OFFSET(hdr_Cost,$AF186+1,0,$AH186,1),OFFSET(hdr_IsLeaf,$AF186+1,0,$AH186,1)),$Z186*IFERROR(INDEX(res_Rate,MATCH($X186,res_Name,0)),0)))</f>
        <v/>
      </c>
      <c r="AB186" s="38" t="str">
        <f aca="false">IF(OR($D186="",$AI186),"",IF(OR($R186&lt;Sprint1Start,$R186&gt;SprintLastEnd),"Backlog",INDEX(spr_Name,MATCH($R186,spr_Start,1))))</f>
        <v/>
      </c>
      <c r="AC186" s="45" t="str">
        <f aca="false">IF($D186="","",$AT186&amp;IF(AND($AT186&lt;&gt;"",$AU186&lt;&gt;""),",","")&amp;$AU186)</f>
        <v/>
      </c>
      <c r="AD186" s="41"/>
      <c r="AE186" s="46" t="str">
        <f aca="false">IF($D186="","",MAX(1,N($C186)))</f>
        <v/>
      </c>
      <c r="AF186" s="46" t="n">
        <f aca="false">ROW()-ROW(hdr_ID)</f>
        <v>181</v>
      </c>
      <c r="AG186" s="46" t="n">
        <f aca="false">IF(OR($D186="",$AE186&lt;=1),0,IFERROR(LOOKUP(2,1/($AE$5:$AE185=$AE186-1),ROW($AE$5:$AE185)),0))</f>
        <v>0</v>
      </c>
      <c r="AH186" s="46" t="n">
        <f aca="false">IF($D186="",0,COUNTIF(tsk_WBS,$B186&amp;".*"))</f>
        <v>0</v>
      </c>
      <c r="AI186" s="47" t="b">
        <f aca="false">$AH186&gt;0</f>
        <v>0</v>
      </c>
      <c r="AJ186" s="46" t="n">
        <f aca="false">IF(AND($D186&lt;&gt;"",NOT($AI186)),1,0)</f>
        <v>0</v>
      </c>
      <c r="AK186" s="48" t="n">
        <f aca="true">IF(OR(N($G186)=0,$AI186,$D186=""),0,IFERROR(CHOOSE(MATCH(IF($H186="","FS",$H186),{"FS","SS","FF","SF"},0),WORKDAY.INTL(OFFSET(hdr_PlanFinish,MATCH($G186,tsk_ID,0),0),IF(N($F186)=0,0,1)+N($I186),WorkWeek,Holidays),WORKDAY.INTL(OFFSET(hdr_PlanStart,MATCH($G186,tsk_ID,0),0),N($I186),WorkWeek,Holidays),WORKDAY.INTL(WORKDAY.INTL(OFFSET(hdr_PlanFinish,MATCH($G186,tsk_ID,0),0),N($I186),WorkWeek,Holidays),-MAX(0,N($F186)-1),WorkWeek,Holidays),WORKDAY.INTL(WORKDAY.INTL(OFFSET(hdr_PlanStart,MATCH($G186,tsk_ID,0),0),N($I186),WorkWeek,Holidays),-MAX(0,N($F186)-1),WorkWeek,Holidays)),0))</f>
        <v>0</v>
      </c>
      <c r="AL186" s="48" t="n">
        <f aca="true">IF(OR(N($J186)=0,$AI186,$D186=""),0,IFERROR(CHOOSE(MATCH(IF($K186="","FS",$K186),{"FS","SS","FF","SF"},0),WORKDAY.INTL(OFFSET(hdr_PlanFinish,MATCH($J186,tsk_ID,0),0),IF(N($F186)=0,0,1)+N($L186),WorkWeek,Holidays),WORKDAY.INTL(OFFSET(hdr_PlanStart,MATCH($J186,tsk_ID,0),0),N($L186),WorkWeek,Holidays),WORKDAY.INTL(WORKDAY.INTL(OFFSET(hdr_PlanFinish,MATCH($J186,tsk_ID,0),0),N($L186),WorkWeek,Holidays),-MAX(0,N($F186)-1),WorkWeek,Holidays),WORKDAY.INTL(WORKDAY.INTL(OFFSET(hdr_PlanStart,MATCH($J186,tsk_ID,0),0),N($L186),WorkWeek,Holidays),-MAX(0,N($F186)-1),WorkWeek,Holidays)),0))</f>
        <v>0</v>
      </c>
      <c r="AM186" s="48" t="n">
        <f aca="true">IF(OR(N($G186)=0,$AI186,$D186=""),0,IFERROR(CHOOSE(MATCH(IF($H186="","FS",$H186),{"FS","SS","FF","SF"},0),WORKDAY.INTL(OFFSET(hdr_FcFinish,MATCH($G186,tsk_ID,0),0),IF(N($F186)=0,0,1)+N($I186),WorkWeek,Holidays),WORKDAY.INTL(OFFSET(hdr_FcStart,MATCH($G186,tsk_ID,0),0),N($I186),WorkWeek,Holidays),WORKDAY.INTL(WORKDAY.INTL(OFFSET(hdr_FcFinish,MATCH($G186,tsk_ID,0),0),N($I186),WorkWeek,Holidays),-MAX(0,N($F186)-1),WorkWeek,Holidays),WORKDAY.INTL(WORKDAY.INTL(OFFSET(hdr_FcStart,MATCH($G186,tsk_ID,0),0),N($I186),WorkWeek,Holidays),-MAX(0,N($F186)-1),WorkWeek,Holidays)),0))</f>
        <v>0</v>
      </c>
      <c r="AN186" s="48" t="n">
        <f aca="true">IF(OR(N($J186)=0,$AI186,$D186=""),0,IFERROR(CHOOSE(MATCH(IF($K186="","FS",$K186),{"FS","SS","FF","SF"},0),WORKDAY.INTL(OFFSET(hdr_FcFinish,MATCH($J186,tsk_ID,0),0),IF(N($F186)=0,0,1)+N($L186),WorkWeek,Holidays),WORKDAY.INTL(OFFSET(hdr_FcStart,MATCH($J186,tsk_ID,0),0),N($L186),WorkWeek,Holidays),WORKDAY.INTL(WORKDAY.INTL(OFFSET(hdr_FcFinish,MATCH($J186,tsk_ID,0),0),N($L186),WorkWeek,Holidays),-MAX(0,N($F186)-1),WorkWeek,Holidays),WORKDAY.INTL(WORKDAY.INTL(OFFSET(hdr_FcStart,MATCH($J186,tsk_ID,0),0),N($L186),WorkWeek,Holidays),-MAX(0,N($F186)-1),WorkWeek,Holidays)),0))</f>
        <v>0</v>
      </c>
      <c r="AO186" s="48" t="n">
        <f aca="false">IF($AJ186=1,$R186,0)</f>
        <v>0</v>
      </c>
      <c r="AP186" s="48" t="n">
        <f aca="false">IF($AJ186=1,$S186,0)</f>
        <v>0</v>
      </c>
      <c r="AQ186" s="49" t="n">
        <f aca="false">IF(AND($AJ186=1,N($Z186)&gt;0),$Z186/($AP186-$AO186+1),0)</f>
        <v>0</v>
      </c>
      <c r="AR186" s="46" t="n">
        <f aca="false">IF($AJ186=1,MAX(N($F186),0.1),0)</f>
        <v>0</v>
      </c>
      <c r="AS186" s="46" t="n">
        <f aca="false">IF($AJ186=1,$AR186*$V186,0)</f>
        <v>0</v>
      </c>
      <c r="AT186" s="46" t="str">
        <f aca="false">IF(N($G186)=0,"",$G186&amp;IF(AND(IF($H186="","FS",$H186)="FS",N($I186)=0),"",IF($H186="","FS",$H186)&amp;IF(N($I186)=0,"",IF(N($I186)&gt;0,"+","")&amp;N($I186)&amp;"d")))</f>
        <v/>
      </c>
      <c r="AU186" s="46" t="str">
        <f aca="false">IF(N($J186)=0,"",$J186&amp;IF(AND(IF($K186="","FS",$K186)="FS",N($L186)=0),"",IF($K186="","FS",$K186)&amp;IF(N($L186)=0,"",IF(N($L186)&gt;0,"+","")&amp;N($L186)&amp;"d")))</f>
        <v/>
      </c>
      <c r="AV186" s="46" t="str">
        <f aca="false">IF(AND($AJ186=1,N($F186)=0,$V186&lt;1),$S186+$AF186/100000,"")</f>
        <v/>
      </c>
    </row>
    <row r="187" customFormat="false" ht="15" hidden="false" customHeight="false" outlineLevel="0" collapsed="false">
      <c r="A187" s="38" t="str">
        <f aca="false">IF($D187="","",COUNTA($D$6:$D187))</f>
        <v/>
      </c>
      <c r="B187" s="39" t="str">
        <f aca="true">IF($D187="","",IF($AE187=1,COUNTIF($AE$6:$AE187,1)&amp;"",IF($AG187=0,"?",OFFSET(hdr_WBS,$AG187-ROW(hdr_WBS),0)&amp;"."&amp;COUNTIF(INDEX($AE:$AE,$AG187+1):$AE187,$AE187))))</f>
        <v/>
      </c>
      <c r="C187" s="40"/>
      <c r="D187" s="41"/>
      <c r="E187" s="40"/>
      <c r="F187" s="40"/>
      <c r="G187" s="40"/>
      <c r="H187" s="40"/>
      <c r="I187" s="40"/>
      <c r="J187" s="40"/>
      <c r="K187" s="40"/>
      <c r="L187" s="40"/>
      <c r="M187" s="29"/>
      <c r="N187" s="30" t="str">
        <f aca="true">IF($D187="","",IF($AI187,MIN(OFFSET(hdr_PlanStart,$AF187+1,0,$AH187,1)),IF($E187="Manual",IF(N($M187)&gt;0,$M187,ProjectStart),WORKDAY.INTL(MAX(ProjectStart,N($M187),$AK187,$AL187)-1,1,WorkWeek,Holidays))))</f>
        <v/>
      </c>
      <c r="O187" s="30" t="str">
        <f aca="true">IF($D187="","",IF($AI187,MAX(OFFSET(hdr_PlanFinish,$AF187+1,0,$AH187,1)),IF(N($F187)&lt;=0,$N187,WORKDAY.INTL($N187,$F187-1,WorkWeek,Holidays))))</f>
        <v/>
      </c>
      <c r="P187" s="29"/>
      <c r="Q187" s="29"/>
      <c r="R187" s="30" t="str">
        <f aca="true">IF($D187="","",IF($AI187,MIN(OFFSET(hdr_FcStart,$AF187+1,0,$AH187,1)),IF(N($P187)&gt;0,$P187,IF($E187="Manual",IF(N($M187)&gt;0,$M187,ProjectStart),WORKDAY.INTL(MAX(ProjectStart,N($M187),$AM187,$AN187,IF(RescheduleAfterStatus="Yes",StatusDate,0))-1,1,WorkWeek,Holidays)))))</f>
        <v/>
      </c>
      <c r="S187" s="30" t="str">
        <f aca="true">IF($D187="","",IF($AI187,MAX(OFFSET(hdr_FcFinish,$AF187+1,0,$AH187,1)),IF(N($Q187)&gt;0,$Q187,IF(N($F187)&lt;=0,$R187,IF(AND(N($P187)&gt;0,RescheduleAfterStatus="Yes"),MAX(WORKDAY.INTL($R187,$F187-1,WorkWeek,Holidays),WORKDAY.INTL(StatusWorkday,MAX(0,ROUNDUP($F187*(1-MIN(1,N($U187))),0)-1),WorkWeek,Holidays)),WORKDAY.INTL($R187,$F187-1,WorkWeek,Holidays))))))</f>
        <v/>
      </c>
      <c r="T187" s="38" t="str">
        <f aca="false">IF($D187="","",IF($S187&gt;=$O187,NETWORKDAYS.INTL($O187,$S187,WorkWeek,Holidays)-1,1-NETWORKDAYS.INTL($S187,$O187,WorkWeek,Holidays)))</f>
        <v/>
      </c>
      <c r="U187" s="32"/>
      <c r="V187" s="42" t="str">
        <f aca="true">IF($D187="","",IF($AI187,IFERROR(SUM(OFFSET(hdr_WtDone,$AF187+1,0,$AH187,1))/SUM(OFFSET(hdr_WtDur,$AF187+1,0,$AH187,1)),0),IF(N($Q187)&gt;0,1,MIN(1,N($U187)))))</f>
        <v/>
      </c>
      <c r="W187" s="39" t="str">
        <f aca="false">IF($D187="","",IF($V187&gt;=1,"Complete",IF(OR(N($P187)&gt;0,$V187&gt;0),IF($T187&gt;0,"Behind","In Progress"),IF($N187&lt;StatusDate,"Late Start","Not Started"))))</f>
        <v/>
      </c>
      <c r="X187" s="41"/>
      <c r="Y187" s="32"/>
      <c r="Z187" s="43" t="str">
        <f aca="true">IF($D187="","",IF($AI187,SUMPRODUCT(OFFSET(hdr_Work,$AF187+1,0,$AH187,1),OFFSET(hdr_IsLeaf,$AF187+1,0,$AH187,1)),IF($X187="",0,N($F187)*HoursPerDay*IF($Y187="",DefaultUnits,$Y187))))</f>
        <v/>
      </c>
      <c r="AA187" s="44" t="str">
        <f aca="true">IF($D187="","",IF($AI187,SUMPRODUCT(OFFSET(hdr_Cost,$AF187+1,0,$AH187,1),OFFSET(hdr_IsLeaf,$AF187+1,0,$AH187,1)),$Z187*IFERROR(INDEX(res_Rate,MATCH($X187,res_Name,0)),0)))</f>
        <v/>
      </c>
      <c r="AB187" s="38" t="str">
        <f aca="false">IF(OR($D187="",$AI187),"",IF(OR($R187&lt;Sprint1Start,$R187&gt;SprintLastEnd),"Backlog",INDEX(spr_Name,MATCH($R187,spr_Start,1))))</f>
        <v/>
      </c>
      <c r="AC187" s="45" t="str">
        <f aca="false">IF($D187="","",$AT187&amp;IF(AND($AT187&lt;&gt;"",$AU187&lt;&gt;""),",","")&amp;$AU187)</f>
        <v/>
      </c>
      <c r="AD187" s="41"/>
      <c r="AE187" s="46" t="str">
        <f aca="false">IF($D187="","",MAX(1,N($C187)))</f>
        <v/>
      </c>
      <c r="AF187" s="46" t="n">
        <f aca="false">ROW()-ROW(hdr_ID)</f>
        <v>182</v>
      </c>
      <c r="AG187" s="46" t="n">
        <f aca="false">IF(OR($D187="",$AE187&lt;=1),0,IFERROR(LOOKUP(2,1/($AE$5:$AE186=$AE187-1),ROW($AE$5:$AE186)),0))</f>
        <v>0</v>
      </c>
      <c r="AH187" s="46" t="n">
        <f aca="false">IF($D187="",0,COUNTIF(tsk_WBS,$B187&amp;".*"))</f>
        <v>0</v>
      </c>
      <c r="AI187" s="47" t="b">
        <f aca="false">$AH187&gt;0</f>
        <v>0</v>
      </c>
      <c r="AJ187" s="46" t="n">
        <f aca="false">IF(AND($D187&lt;&gt;"",NOT($AI187)),1,0)</f>
        <v>0</v>
      </c>
      <c r="AK187" s="48" t="n">
        <f aca="true">IF(OR(N($G187)=0,$AI187,$D187=""),0,IFERROR(CHOOSE(MATCH(IF($H187="","FS",$H187),{"FS","SS","FF","SF"},0),WORKDAY.INTL(OFFSET(hdr_PlanFinish,MATCH($G187,tsk_ID,0),0),IF(N($F187)=0,0,1)+N($I187),WorkWeek,Holidays),WORKDAY.INTL(OFFSET(hdr_PlanStart,MATCH($G187,tsk_ID,0),0),N($I187),WorkWeek,Holidays),WORKDAY.INTL(WORKDAY.INTL(OFFSET(hdr_PlanFinish,MATCH($G187,tsk_ID,0),0),N($I187),WorkWeek,Holidays),-MAX(0,N($F187)-1),WorkWeek,Holidays),WORKDAY.INTL(WORKDAY.INTL(OFFSET(hdr_PlanStart,MATCH($G187,tsk_ID,0),0),N($I187),WorkWeek,Holidays),-MAX(0,N($F187)-1),WorkWeek,Holidays)),0))</f>
        <v>0</v>
      </c>
      <c r="AL187" s="48" t="n">
        <f aca="true">IF(OR(N($J187)=0,$AI187,$D187=""),0,IFERROR(CHOOSE(MATCH(IF($K187="","FS",$K187),{"FS","SS","FF","SF"},0),WORKDAY.INTL(OFFSET(hdr_PlanFinish,MATCH($J187,tsk_ID,0),0),IF(N($F187)=0,0,1)+N($L187),WorkWeek,Holidays),WORKDAY.INTL(OFFSET(hdr_PlanStart,MATCH($J187,tsk_ID,0),0),N($L187),WorkWeek,Holidays),WORKDAY.INTL(WORKDAY.INTL(OFFSET(hdr_PlanFinish,MATCH($J187,tsk_ID,0),0),N($L187),WorkWeek,Holidays),-MAX(0,N($F187)-1),WorkWeek,Holidays),WORKDAY.INTL(WORKDAY.INTL(OFFSET(hdr_PlanStart,MATCH($J187,tsk_ID,0),0),N($L187),WorkWeek,Holidays),-MAX(0,N($F187)-1),WorkWeek,Holidays)),0))</f>
        <v>0</v>
      </c>
      <c r="AM187" s="48" t="n">
        <f aca="true">IF(OR(N($G187)=0,$AI187,$D187=""),0,IFERROR(CHOOSE(MATCH(IF($H187="","FS",$H187),{"FS","SS","FF","SF"},0),WORKDAY.INTL(OFFSET(hdr_FcFinish,MATCH($G187,tsk_ID,0),0),IF(N($F187)=0,0,1)+N($I187),WorkWeek,Holidays),WORKDAY.INTL(OFFSET(hdr_FcStart,MATCH($G187,tsk_ID,0),0),N($I187),WorkWeek,Holidays),WORKDAY.INTL(WORKDAY.INTL(OFFSET(hdr_FcFinish,MATCH($G187,tsk_ID,0),0),N($I187),WorkWeek,Holidays),-MAX(0,N($F187)-1),WorkWeek,Holidays),WORKDAY.INTL(WORKDAY.INTL(OFFSET(hdr_FcStart,MATCH($G187,tsk_ID,0),0),N($I187),WorkWeek,Holidays),-MAX(0,N($F187)-1),WorkWeek,Holidays)),0))</f>
        <v>0</v>
      </c>
      <c r="AN187" s="48" t="n">
        <f aca="true">IF(OR(N($J187)=0,$AI187,$D187=""),0,IFERROR(CHOOSE(MATCH(IF($K187="","FS",$K187),{"FS","SS","FF","SF"},0),WORKDAY.INTL(OFFSET(hdr_FcFinish,MATCH($J187,tsk_ID,0),0),IF(N($F187)=0,0,1)+N($L187),WorkWeek,Holidays),WORKDAY.INTL(OFFSET(hdr_FcStart,MATCH($J187,tsk_ID,0),0),N($L187),WorkWeek,Holidays),WORKDAY.INTL(WORKDAY.INTL(OFFSET(hdr_FcFinish,MATCH($J187,tsk_ID,0),0),N($L187),WorkWeek,Holidays),-MAX(0,N($F187)-1),WorkWeek,Holidays),WORKDAY.INTL(WORKDAY.INTL(OFFSET(hdr_FcStart,MATCH($J187,tsk_ID,0),0),N($L187),WorkWeek,Holidays),-MAX(0,N($F187)-1),WorkWeek,Holidays)),0))</f>
        <v>0</v>
      </c>
      <c r="AO187" s="48" t="n">
        <f aca="false">IF($AJ187=1,$R187,0)</f>
        <v>0</v>
      </c>
      <c r="AP187" s="48" t="n">
        <f aca="false">IF($AJ187=1,$S187,0)</f>
        <v>0</v>
      </c>
      <c r="AQ187" s="49" t="n">
        <f aca="false">IF(AND($AJ187=1,N($Z187)&gt;0),$Z187/($AP187-$AO187+1),0)</f>
        <v>0</v>
      </c>
      <c r="AR187" s="46" t="n">
        <f aca="false">IF($AJ187=1,MAX(N($F187),0.1),0)</f>
        <v>0</v>
      </c>
      <c r="AS187" s="46" t="n">
        <f aca="false">IF($AJ187=1,$AR187*$V187,0)</f>
        <v>0</v>
      </c>
      <c r="AT187" s="46" t="str">
        <f aca="false">IF(N($G187)=0,"",$G187&amp;IF(AND(IF($H187="","FS",$H187)="FS",N($I187)=0),"",IF($H187="","FS",$H187)&amp;IF(N($I187)=0,"",IF(N($I187)&gt;0,"+","")&amp;N($I187)&amp;"d")))</f>
        <v/>
      </c>
      <c r="AU187" s="46" t="str">
        <f aca="false">IF(N($J187)=0,"",$J187&amp;IF(AND(IF($K187="","FS",$K187)="FS",N($L187)=0),"",IF($K187="","FS",$K187)&amp;IF(N($L187)=0,"",IF(N($L187)&gt;0,"+","")&amp;N($L187)&amp;"d")))</f>
        <v/>
      </c>
      <c r="AV187" s="46" t="str">
        <f aca="false">IF(AND($AJ187=1,N($F187)=0,$V187&lt;1),$S187+$AF187/100000,"")</f>
        <v/>
      </c>
    </row>
    <row r="188" customFormat="false" ht="15" hidden="false" customHeight="false" outlineLevel="0" collapsed="false">
      <c r="A188" s="38" t="str">
        <f aca="false">IF($D188="","",COUNTA($D$6:$D188))</f>
        <v/>
      </c>
      <c r="B188" s="39" t="str">
        <f aca="true">IF($D188="","",IF($AE188=1,COUNTIF($AE$6:$AE188,1)&amp;"",IF($AG188=0,"?",OFFSET(hdr_WBS,$AG188-ROW(hdr_WBS),0)&amp;"."&amp;COUNTIF(INDEX($AE:$AE,$AG188+1):$AE188,$AE188))))</f>
        <v/>
      </c>
      <c r="C188" s="40"/>
      <c r="D188" s="41"/>
      <c r="E188" s="40"/>
      <c r="F188" s="40"/>
      <c r="G188" s="40"/>
      <c r="H188" s="40"/>
      <c r="I188" s="40"/>
      <c r="J188" s="40"/>
      <c r="K188" s="40"/>
      <c r="L188" s="40"/>
      <c r="M188" s="29"/>
      <c r="N188" s="30" t="str">
        <f aca="true">IF($D188="","",IF($AI188,MIN(OFFSET(hdr_PlanStart,$AF188+1,0,$AH188,1)),IF($E188="Manual",IF(N($M188)&gt;0,$M188,ProjectStart),WORKDAY.INTL(MAX(ProjectStart,N($M188),$AK188,$AL188)-1,1,WorkWeek,Holidays))))</f>
        <v/>
      </c>
      <c r="O188" s="30" t="str">
        <f aca="true">IF($D188="","",IF($AI188,MAX(OFFSET(hdr_PlanFinish,$AF188+1,0,$AH188,1)),IF(N($F188)&lt;=0,$N188,WORKDAY.INTL($N188,$F188-1,WorkWeek,Holidays))))</f>
        <v/>
      </c>
      <c r="P188" s="29"/>
      <c r="Q188" s="29"/>
      <c r="R188" s="30" t="str">
        <f aca="true">IF($D188="","",IF($AI188,MIN(OFFSET(hdr_FcStart,$AF188+1,0,$AH188,1)),IF(N($P188)&gt;0,$P188,IF($E188="Manual",IF(N($M188)&gt;0,$M188,ProjectStart),WORKDAY.INTL(MAX(ProjectStart,N($M188),$AM188,$AN188,IF(RescheduleAfterStatus="Yes",StatusDate,0))-1,1,WorkWeek,Holidays)))))</f>
        <v/>
      </c>
      <c r="S188" s="30" t="str">
        <f aca="true">IF($D188="","",IF($AI188,MAX(OFFSET(hdr_FcFinish,$AF188+1,0,$AH188,1)),IF(N($Q188)&gt;0,$Q188,IF(N($F188)&lt;=0,$R188,IF(AND(N($P188)&gt;0,RescheduleAfterStatus="Yes"),MAX(WORKDAY.INTL($R188,$F188-1,WorkWeek,Holidays),WORKDAY.INTL(StatusWorkday,MAX(0,ROUNDUP($F188*(1-MIN(1,N($U188))),0)-1),WorkWeek,Holidays)),WORKDAY.INTL($R188,$F188-1,WorkWeek,Holidays))))))</f>
        <v/>
      </c>
      <c r="T188" s="38" t="str">
        <f aca="false">IF($D188="","",IF($S188&gt;=$O188,NETWORKDAYS.INTL($O188,$S188,WorkWeek,Holidays)-1,1-NETWORKDAYS.INTL($S188,$O188,WorkWeek,Holidays)))</f>
        <v/>
      </c>
      <c r="U188" s="32"/>
      <c r="V188" s="42" t="str">
        <f aca="true">IF($D188="","",IF($AI188,IFERROR(SUM(OFFSET(hdr_WtDone,$AF188+1,0,$AH188,1))/SUM(OFFSET(hdr_WtDur,$AF188+1,0,$AH188,1)),0),IF(N($Q188)&gt;0,1,MIN(1,N($U188)))))</f>
        <v/>
      </c>
      <c r="W188" s="39" t="str">
        <f aca="false">IF($D188="","",IF($V188&gt;=1,"Complete",IF(OR(N($P188)&gt;0,$V188&gt;0),IF($T188&gt;0,"Behind","In Progress"),IF($N188&lt;StatusDate,"Late Start","Not Started"))))</f>
        <v/>
      </c>
      <c r="X188" s="41"/>
      <c r="Y188" s="32"/>
      <c r="Z188" s="43" t="str">
        <f aca="true">IF($D188="","",IF($AI188,SUMPRODUCT(OFFSET(hdr_Work,$AF188+1,0,$AH188,1),OFFSET(hdr_IsLeaf,$AF188+1,0,$AH188,1)),IF($X188="",0,N($F188)*HoursPerDay*IF($Y188="",DefaultUnits,$Y188))))</f>
        <v/>
      </c>
      <c r="AA188" s="44" t="str">
        <f aca="true">IF($D188="","",IF($AI188,SUMPRODUCT(OFFSET(hdr_Cost,$AF188+1,0,$AH188,1),OFFSET(hdr_IsLeaf,$AF188+1,0,$AH188,1)),$Z188*IFERROR(INDEX(res_Rate,MATCH($X188,res_Name,0)),0)))</f>
        <v/>
      </c>
      <c r="AB188" s="38" t="str">
        <f aca="false">IF(OR($D188="",$AI188),"",IF(OR($R188&lt;Sprint1Start,$R188&gt;SprintLastEnd),"Backlog",INDEX(spr_Name,MATCH($R188,spr_Start,1))))</f>
        <v/>
      </c>
      <c r="AC188" s="45" t="str">
        <f aca="false">IF($D188="","",$AT188&amp;IF(AND($AT188&lt;&gt;"",$AU188&lt;&gt;""),",","")&amp;$AU188)</f>
        <v/>
      </c>
      <c r="AD188" s="41"/>
      <c r="AE188" s="46" t="str">
        <f aca="false">IF($D188="","",MAX(1,N($C188)))</f>
        <v/>
      </c>
      <c r="AF188" s="46" t="n">
        <f aca="false">ROW()-ROW(hdr_ID)</f>
        <v>183</v>
      </c>
      <c r="AG188" s="46" t="n">
        <f aca="false">IF(OR($D188="",$AE188&lt;=1),0,IFERROR(LOOKUP(2,1/($AE$5:$AE187=$AE188-1),ROW($AE$5:$AE187)),0))</f>
        <v>0</v>
      </c>
      <c r="AH188" s="46" t="n">
        <f aca="false">IF($D188="",0,COUNTIF(tsk_WBS,$B188&amp;".*"))</f>
        <v>0</v>
      </c>
      <c r="AI188" s="47" t="b">
        <f aca="false">$AH188&gt;0</f>
        <v>0</v>
      </c>
      <c r="AJ188" s="46" t="n">
        <f aca="false">IF(AND($D188&lt;&gt;"",NOT($AI188)),1,0)</f>
        <v>0</v>
      </c>
      <c r="AK188" s="48" t="n">
        <f aca="true">IF(OR(N($G188)=0,$AI188,$D188=""),0,IFERROR(CHOOSE(MATCH(IF($H188="","FS",$H188),{"FS","SS","FF","SF"},0),WORKDAY.INTL(OFFSET(hdr_PlanFinish,MATCH($G188,tsk_ID,0),0),IF(N($F188)=0,0,1)+N($I188),WorkWeek,Holidays),WORKDAY.INTL(OFFSET(hdr_PlanStart,MATCH($G188,tsk_ID,0),0),N($I188),WorkWeek,Holidays),WORKDAY.INTL(WORKDAY.INTL(OFFSET(hdr_PlanFinish,MATCH($G188,tsk_ID,0),0),N($I188),WorkWeek,Holidays),-MAX(0,N($F188)-1),WorkWeek,Holidays),WORKDAY.INTL(WORKDAY.INTL(OFFSET(hdr_PlanStart,MATCH($G188,tsk_ID,0),0),N($I188),WorkWeek,Holidays),-MAX(0,N($F188)-1),WorkWeek,Holidays)),0))</f>
        <v>0</v>
      </c>
      <c r="AL188" s="48" t="n">
        <f aca="true">IF(OR(N($J188)=0,$AI188,$D188=""),0,IFERROR(CHOOSE(MATCH(IF($K188="","FS",$K188),{"FS","SS","FF","SF"},0),WORKDAY.INTL(OFFSET(hdr_PlanFinish,MATCH($J188,tsk_ID,0),0),IF(N($F188)=0,0,1)+N($L188),WorkWeek,Holidays),WORKDAY.INTL(OFFSET(hdr_PlanStart,MATCH($J188,tsk_ID,0),0),N($L188),WorkWeek,Holidays),WORKDAY.INTL(WORKDAY.INTL(OFFSET(hdr_PlanFinish,MATCH($J188,tsk_ID,0),0),N($L188),WorkWeek,Holidays),-MAX(0,N($F188)-1),WorkWeek,Holidays),WORKDAY.INTL(WORKDAY.INTL(OFFSET(hdr_PlanStart,MATCH($J188,tsk_ID,0),0),N($L188),WorkWeek,Holidays),-MAX(0,N($F188)-1),WorkWeek,Holidays)),0))</f>
        <v>0</v>
      </c>
      <c r="AM188" s="48" t="n">
        <f aca="true">IF(OR(N($G188)=0,$AI188,$D188=""),0,IFERROR(CHOOSE(MATCH(IF($H188="","FS",$H188),{"FS","SS","FF","SF"},0),WORKDAY.INTL(OFFSET(hdr_FcFinish,MATCH($G188,tsk_ID,0),0),IF(N($F188)=0,0,1)+N($I188),WorkWeek,Holidays),WORKDAY.INTL(OFFSET(hdr_FcStart,MATCH($G188,tsk_ID,0),0),N($I188),WorkWeek,Holidays),WORKDAY.INTL(WORKDAY.INTL(OFFSET(hdr_FcFinish,MATCH($G188,tsk_ID,0),0),N($I188),WorkWeek,Holidays),-MAX(0,N($F188)-1),WorkWeek,Holidays),WORKDAY.INTL(WORKDAY.INTL(OFFSET(hdr_FcStart,MATCH($G188,tsk_ID,0),0),N($I188),WorkWeek,Holidays),-MAX(0,N($F188)-1),WorkWeek,Holidays)),0))</f>
        <v>0</v>
      </c>
      <c r="AN188" s="48" t="n">
        <f aca="true">IF(OR(N($J188)=0,$AI188,$D188=""),0,IFERROR(CHOOSE(MATCH(IF($K188="","FS",$K188),{"FS","SS","FF","SF"},0),WORKDAY.INTL(OFFSET(hdr_FcFinish,MATCH($J188,tsk_ID,0),0),IF(N($F188)=0,0,1)+N($L188),WorkWeek,Holidays),WORKDAY.INTL(OFFSET(hdr_FcStart,MATCH($J188,tsk_ID,0),0),N($L188),WorkWeek,Holidays),WORKDAY.INTL(WORKDAY.INTL(OFFSET(hdr_FcFinish,MATCH($J188,tsk_ID,0),0),N($L188),WorkWeek,Holidays),-MAX(0,N($F188)-1),WorkWeek,Holidays),WORKDAY.INTL(WORKDAY.INTL(OFFSET(hdr_FcStart,MATCH($J188,tsk_ID,0),0),N($L188),WorkWeek,Holidays),-MAX(0,N($F188)-1),WorkWeek,Holidays)),0))</f>
        <v>0</v>
      </c>
      <c r="AO188" s="48" t="n">
        <f aca="false">IF($AJ188=1,$R188,0)</f>
        <v>0</v>
      </c>
      <c r="AP188" s="48" t="n">
        <f aca="false">IF($AJ188=1,$S188,0)</f>
        <v>0</v>
      </c>
      <c r="AQ188" s="49" t="n">
        <f aca="false">IF(AND($AJ188=1,N($Z188)&gt;0),$Z188/($AP188-$AO188+1),0)</f>
        <v>0</v>
      </c>
      <c r="AR188" s="46" t="n">
        <f aca="false">IF($AJ188=1,MAX(N($F188),0.1),0)</f>
        <v>0</v>
      </c>
      <c r="AS188" s="46" t="n">
        <f aca="false">IF($AJ188=1,$AR188*$V188,0)</f>
        <v>0</v>
      </c>
      <c r="AT188" s="46" t="str">
        <f aca="false">IF(N($G188)=0,"",$G188&amp;IF(AND(IF($H188="","FS",$H188)="FS",N($I188)=0),"",IF($H188="","FS",$H188)&amp;IF(N($I188)=0,"",IF(N($I188)&gt;0,"+","")&amp;N($I188)&amp;"d")))</f>
        <v/>
      </c>
      <c r="AU188" s="46" t="str">
        <f aca="false">IF(N($J188)=0,"",$J188&amp;IF(AND(IF($K188="","FS",$K188)="FS",N($L188)=0),"",IF($K188="","FS",$K188)&amp;IF(N($L188)=0,"",IF(N($L188)&gt;0,"+","")&amp;N($L188)&amp;"d")))</f>
        <v/>
      </c>
      <c r="AV188" s="46" t="str">
        <f aca="false">IF(AND($AJ188=1,N($F188)=0,$V188&lt;1),$S188+$AF188/100000,"")</f>
        <v/>
      </c>
    </row>
    <row r="189" customFormat="false" ht="15" hidden="false" customHeight="false" outlineLevel="0" collapsed="false">
      <c r="A189" s="38" t="str">
        <f aca="false">IF($D189="","",COUNTA($D$6:$D189))</f>
        <v/>
      </c>
      <c r="B189" s="39" t="str">
        <f aca="true">IF($D189="","",IF($AE189=1,COUNTIF($AE$6:$AE189,1)&amp;"",IF($AG189=0,"?",OFFSET(hdr_WBS,$AG189-ROW(hdr_WBS),0)&amp;"."&amp;COUNTIF(INDEX($AE:$AE,$AG189+1):$AE189,$AE189))))</f>
        <v/>
      </c>
      <c r="C189" s="40"/>
      <c r="D189" s="41"/>
      <c r="E189" s="40"/>
      <c r="F189" s="40"/>
      <c r="G189" s="40"/>
      <c r="H189" s="40"/>
      <c r="I189" s="40"/>
      <c r="J189" s="40"/>
      <c r="K189" s="40"/>
      <c r="L189" s="40"/>
      <c r="M189" s="29"/>
      <c r="N189" s="30" t="str">
        <f aca="true">IF($D189="","",IF($AI189,MIN(OFFSET(hdr_PlanStart,$AF189+1,0,$AH189,1)),IF($E189="Manual",IF(N($M189)&gt;0,$M189,ProjectStart),WORKDAY.INTL(MAX(ProjectStart,N($M189),$AK189,$AL189)-1,1,WorkWeek,Holidays))))</f>
        <v/>
      </c>
      <c r="O189" s="30" t="str">
        <f aca="true">IF($D189="","",IF($AI189,MAX(OFFSET(hdr_PlanFinish,$AF189+1,0,$AH189,1)),IF(N($F189)&lt;=0,$N189,WORKDAY.INTL($N189,$F189-1,WorkWeek,Holidays))))</f>
        <v/>
      </c>
      <c r="P189" s="29"/>
      <c r="Q189" s="29"/>
      <c r="R189" s="30" t="str">
        <f aca="true">IF($D189="","",IF($AI189,MIN(OFFSET(hdr_FcStart,$AF189+1,0,$AH189,1)),IF(N($P189)&gt;0,$P189,IF($E189="Manual",IF(N($M189)&gt;0,$M189,ProjectStart),WORKDAY.INTL(MAX(ProjectStart,N($M189),$AM189,$AN189,IF(RescheduleAfterStatus="Yes",StatusDate,0))-1,1,WorkWeek,Holidays)))))</f>
        <v/>
      </c>
      <c r="S189" s="30" t="str">
        <f aca="true">IF($D189="","",IF($AI189,MAX(OFFSET(hdr_FcFinish,$AF189+1,0,$AH189,1)),IF(N($Q189)&gt;0,$Q189,IF(N($F189)&lt;=0,$R189,IF(AND(N($P189)&gt;0,RescheduleAfterStatus="Yes"),MAX(WORKDAY.INTL($R189,$F189-1,WorkWeek,Holidays),WORKDAY.INTL(StatusWorkday,MAX(0,ROUNDUP($F189*(1-MIN(1,N($U189))),0)-1),WorkWeek,Holidays)),WORKDAY.INTL($R189,$F189-1,WorkWeek,Holidays))))))</f>
        <v/>
      </c>
      <c r="T189" s="38" t="str">
        <f aca="false">IF($D189="","",IF($S189&gt;=$O189,NETWORKDAYS.INTL($O189,$S189,WorkWeek,Holidays)-1,1-NETWORKDAYS.INTL($S189,$O189,WorkWeek,Holidays)))</f>
        <v/>
      </c>
      <c r="U189" s="32"/>
      <c r="V189" s="42" t="str">
        <f aca="true">IF($D189="","",IF($AI189,IFERROR(SUM(OFFSET(hdr_WtDone,$AF189+1,0,$AH189,1))/SUM(OFFSET(hdr_WtDur,$AF189+1,0,$AH189,1)),0),IF(N($Q189)&gt;0,1,MIN(1,N($U189)))))</f>
        <v/>
      </c>
      <c r="W189" s="39" t="str">
        <f aca="false">IF($D189="","",IF($V189&gt;=1,"Complete",IF(OR(N($P189)&gt;0,$V189&gt;0),IF($T189&gt;0,"Behind","In Progress"),IF($N189&lt;StatusDate,"Late Start","Not Started"))))</f>
        <v/>
      </c>
      <c r="X189" s="41"/>
      <c r="Y189" s="32"/>
      <c r="Z189" s="43" t="str">
        <f aca="true">IF($D189="","",IF($AI189,SUMPRODUCT(OFFSET(hdr_Work,$AF189+1,0,$AH189,1),OFFSET(hdr_IsLeaf,$AF189+1,0,$AH189,1)),IF($X189="",0,N($F189)*HoursPerDay*IF($Y189="",DefaultUnits,$Y189))))</f>
        <v/>
      </c>
      <c r="AA189" s="44" t="str">
        <f aca="true">IF($D189="","",IF($AI189,SUMPRODUCT(OFFSET(hdr_Cost,$AF189+1,0,$AH189,1),OFFSET(hdr_IsLeaf,$AF189+1,0,$AH189,1)),$Z189*IFERROR(INDEX(res_Rate,MATCH($X189,res_Name,0)),0)))</f>
        <v/>
      </c>
      <c r="AB189" s="38" t="str">
        <f aca="false">IF(OR($D189="",$AI189),"",IF(OR($R189&lt;Sprint1Start,$R189&gt;SprintLastEnd),"Backlog",INDEX(spr_Name,MATCH($R189,spr_Start,1))))</f>
        <v/>
      </c>
      <c r="AC189" s="45" t="str">
        <f aca="false">IF($D189="","",$AT189&amp;IF(AND($AT189&lt;&gt;"",$AU189&lt;&gt;""),",","")&amp;$AU189)</f>
        <v/>
      </c>
      <c r="AD189" s="41"/>
      <c r="AE189" s="46" t="str">
        <f aca="false">IF($D189="","",MAX(1,N($C189)))</f>
        <v/>
      </c>
      <c r="AF189" s="46" t="n">
        <f aca="false">ROW()-ROW(hdr_ID)</f>
        <v>184</v>
      </c>
      <c r="AG189" s="46" t="n">
        <f aca="false">IF(OR($D189="",$AE189&lt;=1),0,IFERROR(LOOKUP(2,1/($AE$5:$AE188=$AE189-1),ROW($AE$5:$AE188)),0))</f>
        <v>0</v>
      </c>
      <c r="AH189" s="46" t="n">
        <f aca="false">IF($D189="",0,COUNTIF(tsk_WBS,$B189&amp;".*"))</f>
        <v>0</v>
      </c>
      <c r="AI189" s="47" t="b">
        <f aca="false">$AH189&gt;0</f>
        <v>0</v>
      </c>
      <c r="AJ189" s="46" t="n">
        <f aca="false">IF(AND($D189&lt;&gt;"",NOT($AI189)),1,0)</f>
        <v>0</v>
      </c>
      <c r="AK189" s="48" t="n">
        <f aca="true">IF(OR(N($G189)=0,$AI189,$D189=""),0,IFERROR(CHOOSE(MATCH(IF($H189="","FS",$H189),{"FS","SS","FF","SF"},0),WORKDAY.INTL(OFFSET(hdr_PlanFinish,MATCH($G189,tsk_ID,0),0),IF(N($F189)=0,0,1)+N($I189),WorkWeek,Holidays),WORKDAY.INTL(OFFSET(hdr_PlanStart,MATCH($G189,tsk_ID,0),0),N($I189),WorkWeek,Holidays),WORKDAY.INTL(WORKDAY.INTL(OFFSET(hdr_PlanFinish,MATCH($G189,tsk_ID,0),0),N($I189),WorkWeek,Holidays),-MAX(0,N($F189)-1),WorkWeek,Holidays),WORKDAY.INTL(WORKDAY.INTL(OFFSET(hdr_PlanStart,MATCH($G189,tsk_ID,0),0),N($I189),WorkWeek,Holidays),-MAX(0,N($F189)-1),WorkWeek,Holidays)),0))</f>
        <v>0</v>
      </c>
      <c r="AL189" s="48" t="n">
        <f aca="true">IF(OR(N($J189)=0,$AI189,$D189=""),0,IFERROR(CHOOSE(MATCH(IF($K189="","FS",$K189),{"FS","SS","FF","SF"},0),WORKDAY.INTL(OFFSET(hdr_PlanFinish,MATCH($J189,tsk_ID,0),0),IF(N($F189)=0,0,1)+N($L189),WorkWeek,Holidays),WORKDAY.INTL(OFFSET(hdr_PlanStart,MATCH($J189,tsk_ID,0),0),N($L189),WorkWeek,Holidays),WORKDAY.INTL(WORKDAY.INTL(OFFSET(hdr_PlanFinish,MATCH($J189,tsk_ID,0),0),N($L189),WorkWeek,Holidays),-MAX(0,N($F189)-1),WorkWeek,Holidays),WORKDAY.INTL(WORKDAY.INTL(OFFSET(hdr_PlanStart,MATCH($J189,tsk_ID,0),0),N($L189),WorkWeek,Holidays),-MAX(0,N($F189)-1),WorkWeek,Holidays)),0))</f>
        <v>0</v>
      </c>
      <c r="AM189" s="48" t="n">
        <f aca="true">IF(OR(N($G189)=0,$AI189,$D189=""),0,IFERROR(CHOOSE(MATCH(IF($H189="","FS",$H189),{"FS","SS","FF","SF"},0),WORKDAY.INTL(OFFSET(hdr_FcFinish,MATCH($G189,tsk_ID,0),0),IF(N($F189)=0,0,1)+N($I189),WorkWeek,Holidays),WORKDAY.INTL(OFFSET(hdr_FcStart,MATCH($G189,tsk_ID,0),0),N($I189),WorkWeek,Holidays),WORKDAY.INTL(WORKDAY.INTL(OFFSET(hdr_FcFinish,MATCH($G189,tsk_ID,0),0),N($I189),WorkWeek,Holidays),-MAX(0,N($F189)-1),WorkWeek,Holidays),WORKDAY.INTL(WORKDAY.INTL(OFFSET(hdr_FcStart,MATCH($G189,tsk_ID,0),0),N($I189),WorkWeek,Holidays),-MAX(0,N($F189)-1),WorkWeek,Holidays)),0))</f>
        <v>0</v>
      </c>
      <c r="AN189" s="48" t="n">
        <f aca="true">IF(OR(N($J189)=0,$AI189,$D189=""),0,IFERROR(CHOOSE(MATCH(IF($K189="","FS",$K189),{"FS","SS","FF","SF"},0),WORKDAY.INTL(OFFSET(hdr_FcFinish,MATCH($J189,tsk_ID,0),0),IF(N($F189)=0,0,1)+N($L189),WorkWeek,Holidays),WORKDAY.INTL(OFFSET(hdr_FcStart,MATCH($J189,tsk_ID,0),0),N($L189),WorkWeek,Holidays),WORKDAY.INTL(WORKDAY.INTL(OFFSET(hdr_FcFinish,MATCH($J189,tsk_ID,0),0),N($L189),WorkWeek,Holidays),-MAX(0,N($F189)-1),WorkWeek,Holidays),WORKDAY.INTL(WORKDAY.INTL(OFFSET(hdr_FcStart,MATCH($J189,tsk_ID,0),0),N($L189),WorkWeek,Holidays),-MAX(0,N($F189)-1),WorkWeek,Holidays)),0))</f>
        <v>0</v>
      </c>
      <c r="AO189" s="48" t="n">
        <f aca="false">IF($AJ189=1,$R189,0)</f>
        <v>0</v>
      </c>
      <c r="AP189" s="48" t="n">
        <f aca="false">IF($AJ189=1,$S189,0)</f>
        <v>0</v>
      </c>
      <c r="AQ189" s="49" t="n">
        <f aca="false">IF(AND($AJ189=1,N($Z189)&gt;0),$Z189/($AP189-$AO189+1),0)</f>
        <v>0</v>
      </c>
      <c r="AR189" s="46" t="n">
        <f aca="false">IF($AJ189=1,MAX(N($F189),0.1),0)</f>
        <v>0</v>
      </c>
      <c r="AS189" s="46" t="n">
        <f aca="false">IF($AJ189=1,$AR189*$V189,0)</f>
        <v>0</v>
      </c>
      <c r="AT189" s="46" t="str">
        <f aca="false">IF(N($G189)=0,"",$G189&amp;IF(AND(IF($H189="","FS",$H189)="FS",N($I189)=0),"",IF($H189="","FS",$H189)&amp;IF(N($I189)=0,"",IF(N($I189)&gt;0,"+","")&amp;N($I189)&amp;"d")))</f>
        <v/>
      </c>
      <c r="AU189" s="46" t="str">
        <f aca="false">IF(N($J189)=0,"",$J189&amp;IF(AND(IF($K189="","FS",$K189)="FS",N($L189)=0),"",IF($K189="","FS",$K189)&amp;IF(N($L189)=0,"",IF(N($L189)&gt;0,"+","")&amp;N($L189)&amp;"d")))</f>
        <v/>
      </c>
      <c r="AV189" s="46" t="str">
        <f aca="false">IF(AND($AJ189=1,N($F189)=0,$V189&lt;1),$S189+$AF189/100000,"")</f>
        <v/>
      </c>
    </row>
    <row r="190" customFormat="false" ht="15" hidden="false" customHeight="false" outlineLevel="0" collapsed="false">
      <c r="A190" s="38" t="str">
        <f aca="false">IF($D190="","",COUNTA($D$6:$D190))</f>
        <v/>
      </c>
      <c r="B190" s="39" t="str">
        <f aca="true">IF($D190="","",IF($AE190=1,COUNTIF($AE$6:$AE190,1)&amp;"",IF($AG190=0,"?",OFFSET(hdr_WBS,$AG190-ROW(hdr_WBS),0)&amp;"."&amp;COUNTIF(INDEX($AE:$AE,$AG190+1):$AE190,$AE190))))</f>
        <v/>
      </c>
      <c r="C190" s="40"/>
      <c r="D190" s="41"/>
      <c r="E190" s="40"/>
      <c r="F190" s="40"/>
      <c r="G190" s="40"/>
      <c r="H190" s="40"/>
      <c r="I190" s="40"/>
      <c r="J190" s="40"/>
      <c r="K190" s="40"/>
      <c r="L190" s="40"/>
      <c r="M190" s="29"/>
      <c r="N190" s="30" t="str">
        <f aca="true">IF($D190="","",IF($AI190,MIN(OFFSET(hdr_PlanStart,$AF190+1,0,$AH190,1)),IF($E190="Manual",IF(N($M190)&gt;0,$M190,ProjectStart),WORKDAY.INTL(MAX(ProjectStart,N($M190),$AK190,$AL190)-1,1,WorkWeek,Holidays))))</f>
        <v/>
      </c>
      <c r="O190" s="30" t="str">
        <f aca="true">IF($D190="","",IF($AI190,MAX(OFFSET(hdr_PlanFinish,$AF190+1,0,$AH190,1)),IF(N($F190)&lt;=0,$N190,WORKDAY.INTL($N190,$F190-1,WorkWeek,Holidays))))</f>
        <v/>
      </c>
      <c r="P190" s="29"/>
      <c r="Q190" s="29"/>
      <c r="R190" s="30" t="str">
        <f aca="true">IF($D190="","",IF($AI190,MIN(OFFSET(hdr_FcStart,$AF190+1,0,$AH190,1)),IF(N($P190)&gt;0,$P190,IF($E190="Manual",IF(N($M190)&gt;0,$M190,ProjectStart),WORKDAY.INTL(MAX(ProjectStart,N($M190),$AM190,$AN190,IF(RescheduleAfterStatus="Yes",StatusDate,0))-1,1,WorkWeek,Holidays)))))</f>
        <v/>
      </c>
      <c r="S190" s="30" t="str">
        <f aca="true">IF($D190="","",IF($AI190,MAX(OFFSET(hdr_FcFinish,$AF190+1,0,$AH190,1)),IF(N($Q190)&gt;0,$Q190,IF(N($F190)&lt;=0,$R190,IF(AND(N($P190)&gt;0,RescheduleAfterStatus="Yes"),MAX(WORKDAY.INTL($R190,$F190-1,WorkWeek,Holidays),WORKDAY.INTL(StatusWorkday,MAX(0,ROUNDUP($F190*(1-MIN(1,N($U190))),0)-1),WorkWeek,Holidays)),WORKDAY.INTL($R190,$F190-1,WorkWeek,Holidays))))))</f>
        <v/>
      </c>
      <c r="T190" s="38" t="str">
        <f aca="false">IF($D190="","",IF($S190&gt;=$O190,NETWORKDAYS.INTL($O190,$S190,WorkWeek,Holidays)-1,1-NETWORKDAYS.INTL($S190,$O190,WorkWeek,Holidays)))</f>
        <v/>
      </c>
      <c r="U190" s="32"/>
      <c r="V190" s="42" t="str">
        <f aca="true">IF($D190="","",IF($AI190,IFERROR(SUM(OFFSET(hdr_WtDone,$AF190+1,0,$AH190,1))/SUM(OFFSET(hdr_WtDur,$AF190+1,0,$AH190,1)),0),IF(N($Q190)&gt;0,1,MIN(1,N($U190)))))</f>
        <v/>
      </c>
      <c r="W190" s="39" t="str">
        <f aca="false">IF($D190="","",IF($V190&gt;=1,"Complete",IF(OR(N($P190)&gt;0,$V190&gt;0),IF($T190&gt;0,"Behind","In Progress"),IF($N190&lt;StatusDate,"Late Start","Not Started"))))</f>
        <v/>
      </c>
      <c r="X190" s="41"/>
      <c r="Y190" s="32"/>
      <c r="Z190" s="43" t="str">
        <f aca="true">IF($D190="","",IF($AI190,SUMPRODUCT(OFFSET(hdr_Work,$AF190+1,0,$AH190,1),OFFSET(hdr_IsLeaf,$AF190+1,0,$AH190,1)),IF($X190="",0,N($F190)*HoursPerDay*IF($Y190="",DefaultUnits,$Y190))))</f>
        <v/>
      </c>
      <c r="AA190" s="44" t="str">
        <f aca="true">IF($D190="","",IF($AI190,SUMPRODUCT(OFFSET(hdr_Cost,$AF190+1,0,$AH190,1),OFFSET(hdr_IsLeaf,$AF190+1,0,$AH190,1)),$Z190*IFERROR(INDEX(res_Rate,MATCH($X190,res_Name,0)),0)))</f>
        <v/>
      </c>
      <c r="AB190" s="38" t="str">
        <f aca="false">IF(OR($D190="",$AI190),"",IF(OR($R190&lt;Sprint1Start,$R190&gt;SprintLastEnd),"Backlog",INDEX(spr_Name,MATCH($R190,spr_Start,1))))</f>
        <v/>
      </c>
      <c r="AC190" s="45" t="str">
        <f aca="false">IF($D190="","",$AT190&amp;IF(AND($AT190&lt;&gt;"",$AU190&lt;&gt;""),",","")&amp;$AU190)</f>
        <v/>
      </c>
      <c r="AD190" s="41"/>
      <c r="AE190" s="46" t="str">
        <f aca="false">IF($D190="","",MAX(1,N($C190)))</f>
        <v/>
      </c>
      <c r="AF190" s="46" t="n">
        <f aca="false">ROW()-ROW(hdr_ID)</f>
        <v>185</v>
      </c>
      <c r="AG190" s="46" t="n">
        <f aca="false">IF(OR($D190="",$AE190&lt;=1),0,IFERROR(LOOKUP(2,1/($AE$5:$AE189=$AE190-1),ROW($AE$5:$AE189)),0))</f>
        <v>0</v>
      </c>
      <c r="AH190" s="46" t="n">
        <f aca="false">IF($D190="",0,COUNTIF(tsk_WBS,$B190&amp;".*"))</f>
        <v>0</v>
      </c>
      <c r="AI190" s="47" t="b">
        <f aca="false">$AH190&gt;0</f>
        <v>0</v>
      </c>
      <c r="AJ190" s="46" t="n">
        <f aca="false">IF(AND($D190&lt;&gt;"",NOT($AI190)),1,0)</f>
        <v>0</v>
      </c>
      <c r="AK190" s="48" t="n">
        <f aca="true">IF(OR(N($G190)=0,$AI190,$D190=""),0,IFERROR(CHOOSE(MATCH(IF($H190="","FS",$H190),{"FS","SS","FF","SF"},0),WORKDAY.INTL(OFFSET(hdr_PlanFinish,MATCH($G190,tsk_ID,0),0),IF(N($F190)=0,0,1)+N($I190),WorkWeek,Holidays),WORKDAY.INTL(OFFSET(hdr_PlanStart,MATCH($G190,tsk_ID,0),0),N($I190),WorkWeek,Holidays),WORKDAY.INTL(WORKDAY.INTL(OFFSET(hdr_PlanFinish,MATCH($G190,tsk_ID,0),0),N($I190),WorkWeek,Holidays),-MAX(0,N($F190)-1),WorkWeek,Holidays),WORKDAY.INTL(WORKDAY.INTL(OFFSET(hdr_PlanStart,MATCH($G190,tsk_ID,0),0),N($I190),WorkWeek,Holidays),-MAX(0,N($F190)-1),WorkWeek,Holidays)),0))</f>
        <v>0</v>
      </c>
      <c r="AL190" s="48" t="n">
        <f aca="true">IF(OR(N($J190)=0,$AI190,$D190=""),0,IFERROR(CHOOSE(MATCH(IF($K190="","FS",$K190),{"FS","SS","FF","SF"},0),WORKDAY.INTL(OFFSET(hdr_PlanFinish,MATCH($J190,tsk_ID,0),0),IF(N($F190)=0,0,1)+N($L190),WorkWeek,Holidays),WORKDAY.INTL(OFFSET(hdr_PlanStart,MATCH($J190,tsk_ID,0),0),N($L190),WorkWeek,Holidays),WORKDAY.INTL(WORKDAY.INTL(OFFSET(hdr_PlanFinish,MATCH($J190,tsk_ID,0),0),N($L190),WorkWeek,Holidays),-MAX(0,N($F190)-1),WorkWeek,Holidays),WORKDAY.INTL(WORKDAY.INTL(OFFSET(hdr_PlanStart,MATCH($J190,tsk_ID,0),0),N($L190),WorkWeek,Holidays),-MAX(0,N($F190)-1),WorkWeek,Holidays)),0))</f>
        <v>0</v>
      </c>
      <c r="AM190" s="48" t="n">
        <f aca="true">IF(OR(N($G190)=0,$AI190,$D190=""),0,IFERROR(CHOOSE(MATCH(IF($H190="","FS",$H190),{"FS","SS","FF","SF"},0),WORKDAY.INTL(OFFSET(hdr_FcFinish,MATCH($G190,tsk_ID,0),0),IF(N($F190)=0,0,1)+N($I190),WorkWeek,Holidays),WORKDAY.INTL(OFFSET(hdr_FcStart,MATCH($G190,tsk_ID,0),0),N($I190),WorkWeek,Holidays),WORKDAY.INTL(WORKDAY.INTL(OFFSET(hdr_FcFinish,MATCH($G190,tsk_ID,0),0),N($I190),WorkWeek,Holidays),-MAX(0,N($F190)-1),WorkWeek,Holidays),WORKDAY.INTL(WORKDAY.INTL(OFFSET(hdr_FcStart,MATCH($G190,tsk_ID,0),0),N($I190),WorkWeek,Holidays),-MAX(0,N($F190)-1),WorkWeek,Holidays)),0))</f>
        <v>0</v>
      </c>
      <c r="AN190" s="48" t="n">
        <f aca="true">IF(OR(N($J190)=0,$AI190,$D190=""),0,IFERROR(CHOOSE(MATCH(IF($K190="","FS",$K190),{"FS","SS","FF","SF"},0),WORKDAY.INTL(OFFSET(hdr_FcFinish,MATCH($J190,tsk_ID,0),0),IF(N($F190)=0,0,1)+N($L190),WorkWeek,Holidays),WORKDAY.INTL(OFFSET(hdr_FcStart,MATCH($J190,tsk_ID,0),0),N($L190),WorkWeek,Holidays),WORKDAY.INTL(WORKDAY.INTL(OFFSET(hdr_FcFinish,MATCH($J190,tsk_ID,0),0),N($L190),WorkWeek,Holidays),-MAX(0,N($F190)-1),WorkWeek,Holidays),WORKDAY.INTL(WORKDAY.INTL(OFFSET(hdr_FcStart,MATCH($J190,tsk_ID,0),0),N($L190),WorkWeek,Holidays),-MAX(0,N($F190)-1),WorkWeek,Holidays)),0))</f>
        <v>0</v>
      </c>
      <c r="AO190" s="48" t="n">
        <f aca="false">IF($AJ190=1,$R190,0)</f>
        <v>0</v>
      </c>
      <c r="AP190" s="48" t="n">
        <f aca="false">IF($AJ190=1,$S190,0)</f>
        <v>0</v>
      </c>
      <c r="AQ190" s="49" t="n">
        <f aca="false">IF(AND($AJ190=1,N($Z190)&gt;0),$Z190/($AP190-$AO190+1),0)</f>
        <v>0</v>
      </c>
      <c r="AR190" s="46" t="n">
        <f aca="false">IF($AJ190=1,MAX(N($F190),0.1),0)</f>
        <v>0</v>
      </c>
      <c r="AS190" s="46" t="n">
        <f aca="false">IF($AJ190=1,$AR190*$V190,0)</f>
        <v>0</v>
      </c>
      <c r="AT190" s="46" t="str">
        <f aca="false">IF(N($G190)=0,"",$G190&amp;IF(AND(IF($H190="","FS",$H190)="FS",N($I190)=0),"",IF($H190="","FS",$H190)&amp;IF(N($I190)=0,"",IF(N($I190)&gt;0,"+","")&amp;N($I190)&amp;"d")))</f>
        <v/>
      </c>
      <c r="AU190" s="46" t="str">
        <f aca="false">IF(N($J190)=0,"",$J190&amp;IF(AND(IF($K190="","FS",$K190)="FS",N($L190)=0),"",IF($K190="","FS",$K190)&amp;IF(N($L190)=0,"",IF(N($L190)&gt;0,"+","")&amp;N($L190)&amp;"d")))</f>
        <v/>
      </c>
      <c r="AV190" s="46" t="str">
        <f aca="false">IF(AND($AJ190=1,N($F190)=0,$V190&lt;1),$S190+$AF190/100000,"")</f>
        <v/>
      </c>
    </row>
    <row r="191" customFormat="false" ht="15" hidden="false" customHeight="false" outlineLevel="0" collapsed="false">
      <c r="A191" s="38" t="str">
        <f aca="false">IF($D191="","",COUNTA($D$6:$D191))</f>
        <v/>
      </c>
      <c r="B191" s="39" t="str">
        <f aca="true">IF($D191="","",IF($AE191=1,COUNTIF($AE$6:$AE191,1)&amp;"",IF($AG191=0,"?",OFFSET(hdr_WBS,$AG191-ROW(hdr_WBS),0)&amp;"."&amp;COUNTIF(INDEX($AE:$AE,$AG191+1):$AE191,$AE191))))</f>
        <v/>
      </c>
      <c r="C191" s="40"/>
      <c r="D191" s="41"/>
      <c r="E191" s="40"/>
      <c r="F191" s="40"/>
      <c r="G191" s="40"/>
      <c r="H191" s="40"/>
      <c r="I191" s="40"/>
      <c r="J191" s="40"/>
      <c r="K191" s="40"/>
      <c r="L191" s="40"/>
      <c r="M191" s="29"/>
      <c r="N191" s="30" t="str">
        <f aca="true">IF($D191="","",IF($AI191,MIN(OFFSET(hdr_PlanStart,$AF191+1,0,$AH191,1)),IF($E191="Manual",IF(N($M191)&gt;0,$M191,ProjectStart),WORKDAY.INTL(MAX(ProjectStart,N($M191),$AK191,$AL191)-1,1,WorkWeek,Holidays))))</f>
        <v/>
      </c>
      <c r="O191" s="30" t="str">
        <f aca="true">IF($D191="","",IF($AI191,MAX(OFFSET(hdr_PlanFinish,$AF191+1,0,$AH191,1)),IF(N($F191)&lt;=0,$N191,WORKDAY.INTL($N191,$F191-1,WorkWeek,Holidays))))</f>
        <v/>
      </c>
      <c r="P191" s="29"/>
      <c r="Q191" s="29"/>
      <c r="R191" s="30" t="str">
        <f aca="true">IF($D191="","",IF($AI191,MIN(OFFSET(hdr_FcStart,$AF191+1,0,$AH191,1)),IF(N($P191)&gt;0,$P191,IF($E191="Manual",IF(N($M191)&gt;0,$M191,ProjectStart),WORKDAY.INTL(MAX(ProjectStart,N($M191),$AM191,$AN191,IF(RescheduleAfterStatus="Yes",StatusDate,0))-1,1,WorkWeek,Holidays)))))</f>
        <v/>
      </c>
      <c r="S191" s="30" t="str">
        <f aca="true">IF($D191="","",IF($AI191,MAX(OFFSET(hdr_FcFinish,$AF191+1,0,$AH191,1)),IF(N($Q191)&gt;0,$Q191,IF(N($F191)&lt;=0,$R191,IF(AND(N($P191)&gt;0,RescheduleAfterStatus="Yes"),MAX(WORKDAY.INTL($R191,$F191-1,WorkWeek,Holidays),WORKDAY.INTL(StatusWorkday,MAX(0,ROUNDUP($F191*(1-MIN(1,N($U191))),0)-1),WorkWeek,Holidays)),WORKDAY.INTL($R191,$F191-1,WorkWeek,Holidays))))))</f>
        <v/>
      </c>
      <c r="T191" s="38" t="str">
        <f aca="false">IF($D191="","",IF($S191&gt;=$O191,NETWORKDAYS.INTL($O191,$S191,WorkWeek,Holidays)-1,1-NETWORKDAYS.INTL($S191,$O191,WorkWeek,Holidays)))</f>
        <v/>
      </c>
      <c r="U191" s="32"/>
      <c r="V191" s="42" t="str">
        <f aca="true">IF($D191="","",IF($AI191,IFERROR(SUM(OFFSET(hdr_WtDone,$AF191+1,0,$AH191,1))/SUM(OFFSET(hdr_WtDur,$AF191+1,0,$AH191,1)),0),IF(N($Q191)&gt;0,1,MIN(1,N($U191)))))</f>
        <v/>
      </c>
      <c r="W191" s="39" t="str">
        <f aca="false">IF($D191="","",IF($V191&gt;=1,"Complete",IF(OR(N($P191)&gt;0,$V191&gt;0),IF($T191&gt;0,"Behind","In Progress"),IF($N191&lt;StatusDate,"Late Start","Not Started"))))</f>
        <v/>
      </c>
      <c r="X191" s="41"/>
      <c r="Y191" s="32"/>
      <c r="Z191" s="43" t="str">
        <f aca="true">IF($D191="","",IF($AI191,SUMPRODUCT(OFFSET(hdr_Work,$AF191+1,0,$AH191,1),OFFSET(hdr_IsLeaf,$AF191+1,0,$AH191,1)),IF($X191="",0,N($F191)*HoursPerDay*IF($Y191="",DefaultUnits,$Y191))))</f>
        <v/>
      </c>
      <c r="AA191" s="44" t="str">
        <f aca="true">IF($D191="","",IF($AI191,SUMPRODUCT(OFFSET(hdr_Cost,$AF191+1,0,$AH191,1),OFFSET(hdr_IsLeaf,$AF191+1,0,$AH191,1)),$Z191*IFERROR(INDEX(res_Rate,MATCH($X191,res_Name,0)),0)))</f>
        <v/>
      </c>
      <c r="AB191" s="38" t="str">
        <f aca="false">IF(OR($D191="",$AI191),"",IF(OR($R191&lt;Sprint1Start,$R191&gt;SprintLastEnd),"Backlog",INDEX(spr_Name,MATCH($R191,spr_Start,1))))</f>
        <v/>
      </c>
      <c r="AC191" s="45" t="str">
        <f aca="false">IF($D191="","",$AT191&amp;IF(AND($AT191&lt;&gt;"",$AU191&lt;&gt;""),",","")&amp;$AU191)</f>
        <v/>
      </c>
      <c r="AD191" s="41"/>
      <c r="AE191" s="46" t="str">
        <f aca="false">IF($D191="","",MAX(1,N($C191)))</f>
        <v/>
      </c>
      <c r="AF191" s="46" t="n">
        <f aca="false">ROW()-ROW(hdr_ID)</f>
        <v>186</v>
      </c>
      <c r="AG191" s="46" t="n">
        <f aca="false">IF(OR($D191="",$AE191&lt;=1),0,IFERROR(LOOKUP(2,1/($AE$5:$AE190=$AE191-1),ROW($AE$5:$AE190)),0))</f>
        <v>0</v>
      </c>
      <c r="AH191" s="46" t="n">
        <f aca="false">IF($D191="",0,COUNTIF(tsk_WBS,$B191&amp;".*"))</f>
        <v>0</v>
      </c>
      <c r="AI191" s="47" t="b">
        <f aca="false">$AH191&gt;0</f>
        <v>0</v>
      </c>
      <c r="AJ191" s="46" t="n">
        <f aca="false">IF(AND($D191&lt;&gt;"",NOT($AI191)),1,0)</f>
        <v>0</v>
      </c>
      <c r="AK191" s="48" t="n">
        <f aca="true">IF(OR(N($G191)=0,$AI191,$D191=""),0,IFERROR(CHOOSE(MATCH(IF($H191="","FS",$H191),{"FS","SS","FF","SF"},0),WORKDAY.INTL(OFFSET(hdr_PlanFinish,MATCH($G191,tsk_ID,0),0),IF(N($F191)=0,0,1)+N($I191),WorkWeek,Holidays),WORKDAY.INTL(OFFSET(hdr_PlanStart,MATCH($G191,tsk_ID,0),0),N($I191),WorkWeek,Holidays),WORKDAY.INTL(WORKDAY.INTL(OFFSET(hdr_PlanFinish,MATCH($G191,tsk_ID,0),0),N($I191),WorkWeek,Holidays),-MAX(0,N($F191)-1),WorkWeek,Holidays),WORKDAY.INTL(WORKDAY.INTL(OFFSET(hdr_PlanStart,MATCH($G191,tsk_ID,0),0),N($I191),WorkWeek,Holidays),-MAX(0,N($F191)-1),WorkWeek,Holidays)),0))</f>
        <v>0</v>
      </c>
      <c r="AL191" s="48" t="n">
        <f aca="true">IF(OR(N($J191)=0,$AI191,$D191=""),0,IFERROR(CHOOSE(MATCH(IF($K191="","FS",$K191),{"FS","SS","FF","SF"},0),WORKDAY.INTL(OFFSET(hdr_PlanFinish,MATCH($J191,tsk_ID,0),0),IF(N($F191)=0,0,1)+N($L191),WorkWeek,Holidays),WORKDAY.INTL(OFFSET(hdr_PlanStart,MATCH($J191,tsk_ID,0),0),N($L191),WorkWeek,Holidays),WORKDAY.INTL(WORKDAY.INTL(OFFSET(hdr_PlanFinish,MATCH($J191,tsk_ID,0),0),N($L191),WorkWeek,Holidays),-MAX(0,N($F191)-1),WorkWeek,Holidays),WORKDAY.INTL(WORKDAY.INTL(OFFSET(hdr_PlanStart,MATCH($J191,tsk_ID,0),0),N($L191),WorkWeek,Holidays),-MAX(0,N($F191)-1),WorkWeek,Holidays)),0))</f>
        <v>0</v>
      </c>
      <c r="AM191" s="48" t="n">
        <f aca="true">IF(OR(N($G191)=0,$AI191,$D191=""),0,IFERROR(CHOOSE(MATCH(IF($H191="","FS",$H191),{"FS","SS","FF","SF"},0),WORKDAY.INTL(OFFSET(hdr_FcFinish,MATCH($G191,tsk_ID,0),0),IF(N($F191)=0,0,1)+N($I191),WorkWeek,Holidays),WORKDAY.INTL(OFFSET(hdr_FcStart,MATCH($G191,tsk_ID,0),0),N($I191),WorkWeek,Holidays),WORKDAY.INTL(WORKDAY.INTL(OFFSET(hdr_FcFinish,MATCH($G191,tsk_ID,0),0),N($I191),WorkWeek,Holidays),-MAX(0,N($F191)-1),WorkWeek,Holidays),WORKDAY.INTL(WORKDAY.INTL(OFFSET(hdr_FcStart,MATCH($G191,tsk_ID,0),0),N($I191),WorkWeek,Holidays),-MAX(0,N($F191)-1),WorkWeek,Holidays)),0))</f>
        <v>0</v>
      </c>
      <c r="AN191" s="48" t="n">
        <f aca="true">IF(OR(N($J191)=0,$AI191,$D191=""),0,IFERROR(CHOOSE(MATCH(IF($K191="","FS",$K191),{"FS","SS","FF","SF"},0),WORKDAY.INTL(OFFSET(hdr_FcFinish,MATCH($J191,tsk_ID,0),0),IF(N($F191)=0,0,1)+N($L191),WorkWeek,Holidays),WORKDAY.INTL(OFFSET(hdr_FcStart,MATCH($J191,tsk_ID,0),0),N($L191),WorkWeek,Holidays),WORKDAY.INTL(WORKDAY.INTL(OFFSET(hdr_FcFinish,MATCH($J191,tsk_ID,0),0),N($L191),WorkWeek,Holidays),-MAX(0,N($F191)-1),WorkWeek,Holidays),WORKDAY.INTL(WORKDAY.INTL(OFFSET(hdr_FcStart,MATCH($J191,tsk_ID,0),0),N($L191),WorkWeek,Holidays),-MAX(0,N($F191)-1),WorkWeek,Holidays)),0))</f>
        <v>0</v>
      </c>
      <c r="AO191" s="48" t="n">
        <f aca="false">IF($AJ191=1,$R191,0)</f>
        <v>0</v>
      </c>
      <c r="AP191" s="48" t="n">
        <f aca="false">IF($AJ191=1,$S191,0)</f>
        <v>0</v>
      </c>
      <c r="AQ191" s="49" t="n">
        <f aca="false">IF(AND($AJ191=1,N($Z191)&gt;0),$Z191/($AP191-$AO191+1),0)</f>
        <v>0</v>
      </c>
      <c r="AR191" s="46" t="n">
        <f aca="false">IF($AJ191=1,MAX(N($F191),0.1),0)</f>
        <v>0</v>
      </c>
      <c r="AS191" s="46" t="n">
        <f aca="false">IF($AJ191=1,$AR191*$V191,0)</f>
        <v>0</v>
      </c>
      <c r="AT191" s="46" t="str">
        <f aca="false">IF(N($G191)=0,"",$G191&amp;IF(AND(IF($H191="","FS",$H191)="FS",N($I191)=0),"",IF($H191="","FS",$H191)&amp;IF(N($I191)=0,"",IF(N($I191)&gt;0,"+","")&amp;N($I191)&amp;"d")))</f>
        <v/>
      </c>
      <c r="AU191" s="46" t="str">
        <f aca="false">IF(N($J191)=0,"",$J191&amp;IF(AND(IF($K191="","FS",$K191)="FS",N($L191)=0),"",IF($K191="","FS",$K191)&amp;IF(N($L191)=0,"",IF(N($L191)&gt;0,"+","")&amp;N($L191)&amp;"d")))</f>
        <v/>
      </c>
      <c r="AV191" s="46" t="str">
        <f aca="false">IF(AND($AJ191=1,N($F191)=0,$V191&lt;1),$S191+$AF191/100000,"")</f>
        <v/>
      </c>
    </row>
    <row r="192" customFormat="false" ht="15" hidden="false" customHeight="false" outlineLevel="0" collapsed="false">
      <c r="A192" s="38" t="str">
        <f aca="false">IF($D192="","",COUNTA($D$6:$D192))</f>
        <v/>
      </c>
      <c r="B192" s="39" t="str">
        <f aca="true">IF($D192="","",IF($AE192=1,COUNTIF($AE$6:$AE192,1)&amp;"",IF($AG192=0,"?",OFFSET(hdr_WBS,$AG192-ROW(hdr_WBS),0)&amp;"."&amp;COUNTIF(INDEX($AE:$AE,$AG192+1):$AE192,$AE192))))</f>
        <v/>
      </c>
      <c r="C192" s="40"/>
      <c r="D192" s="41"/>
      <c r="E192" s="40"/>
      <c r="F192" s="40"/>
      <c r="G192" s="40"/>
      <c r="H192" s="40"/>
      <c r="I192" s="40"/>
      <c r="J192" s="40"/>
      <c r="K192" s="40"/>
      <c r="L192" s="40"/>
      <c r="M192" s="29"/>
      <c r="N192" s="30" t="str">
        <f aca="true">IF($D192="","",IF($AI192,MIN(OFFSET(hdr_PlanStart,$AF192+1,0,$AH192,1)),IF($E192="Manual",IF(N($M192)&gt;0,$M192,ProjectStart),WORKDAY.INTL(MAX(ProjectStart,N($M192),$AK192,$AL192)-1,1,WorkWeek,Holidays))))</f>
        <v/>
      </c>
      <c r="O192" s="30" t="str">
        <f aca="true">IF($D192="","",IF($AI192,MAX(OFFSET(hdr_PlanFinish,$AF192+1,0,$AH192,1)),IF(N($F192)&lt;=0,$N192,WORKDAY.INTL($N192,$F192-1,WorkWeek,Holidays))))</f>
        <v/>
      </c>
      <c r="P192" s="29"/>
      <c r="Q192" s="29"/>
      <c r="R192" s="30" t="str">
        <f aca="true">IF($D192="","",IF($AI192,MIN(OFFSET(hdr_FcStart,$AF192+1,0,$AH192,1)),IF(N($P192)&gt;0,$P192,IF($E192="Manual",IF(N($M192)&gt;0,$M192,ProjectStart),WORKDAY.INTL(MAX(ProjectStart,N($M192),$AM192,$AN192,IF(RescheduleAfterStatus="Yes",StatusDate,0))-1,1,WorkWeek,Holidays)))))</f>
        <v/>
      </c>
      <c r="S192" s="30" t="str">
        <f aca="true">IF($D192="","",IF($AI192,MAX(OFFSET(hdr_FcFinish,$AF192+1,0,$AH192,1)),IF(N($Q192)&gt;0,$Q192,IF(N($F192)&lt;=0,$R192,IF(AND(N($P192)&gt;0,RescheduleAfterStatus="Yes"),MAX(WORKDAY.INTL($R192,$F192-1,WorkWeek,Holidays),WORKDAY.INTL(StatusWorkday,MAX(0,ROUNDUP($F192*(1-MIN(1,N($U192))),0)-1),WorkWeek,Holidays)),WORKDAY.INTL($R192,$F192-1,WorkWeek,Holidays))))))</f>
        <v/>
      </c>
      <c r="T192" s="38" t="str">
        <f aca="false">IF($D192="","",IF($S192&gt;=$O192,NETWORKDAYS.INTL($O192,$S192,WorkWeek,Holidays)-1,1-NETWORKDAYS.INTL($S192,$O192,WorkWeek,Holidays)))</f>
        <v/>
      </c>
      <c r="U192" s="32"/>
      <c r="V192" s="42" t="str">
        <f aca="true">IF($D192="","",IF($AI192,IFERROR(SUM(OFFSET(hdr_WtDone,$AF192+1,0,$AH192,1))/SUM(OFFSET(hdr_WtDur,$AF192+1,0,$AH192,1)),0),IF(N($Q192)&gt;0,1,MIN(1,N($U192)))))</f>
        <v/>
      </c>
      <c r="W192" s="39" t="str">
        <f aca="false">IF($D192="","",IF($V192&gt;=1,"Complete",IF(OR(N($P192)&gt;0,$V192&gt;0),IF($T192&gt;0,"Behind","In Progress"),IF($N192&lt;StatusDate,"Late Start","Not Started"))))</f>
        <v/>
      </c>
      <c r="X192" s="41"/>
      <c r="Y192" s="32"/>
      <c r="Z192" s="43" t="str">
        <f aca="true">IF($D192="","",IF($AI192,SUMPRODUCT(OFFSET(hdr_Work,$AF192+1,0,$AH192,1),OFFSET(hdr_IsLeaf,$AF192+1,0,$AH192,1)),IF($X192="",0,N($F192)*HoursPerDay*IF($Y192="",DefaultUnits,$Y192))))</f>
        <v/>
      </c>
      <c r="AA192" s="44" t="str">
        <f aca="true">IF($D192="","",IF($AI192,SUMPRODUCT(OFFSET(hdr_Cost,$AF192+1,0,$AH192,1),OFFSET(hdr_IsLeaf,$AF192+1,0,$AH192,1)),$Z192*IFERROR(INDEX(res_Rate,MATCH($X192,res_Name,0)),0)))</f>
        <v/>
      </c>
      <c r="AB192" s="38" t="str">
        <f aca="false">IF(OR($D192="",$AI192),"",IF(OR($R192&lt;Sprint1Start,$R192&gt;SprintLastEnd),"Backlog",INDEX(spr_Name,MATCH($R192,spr_Start,1))))</f>
        <v/>
      </c>
      <c r="AC192" s="45" t="str">
        <f aca="false">IF($D192="","",$AT192&amp;IF(AND($AT192&lt;&gt;"",$AU192&lt;&gt;""),",","")&amp;$AU192)</f>
        <v/>
      </c>
      <c r="AD192" s="41"/>
      <c r="AE192" s="46" t="str">
        <f aca="false">IF($D192="","",MAX(1,N($C192)))</f>
        <v/>
      </c>
      <c r="AF192" s="46" t="n">
        <f aca="false">ROW()-ROW(hdr_ID)</f>
        <v>187</v>
      </c>
      <c r="AG192" s="46" t="n">
        <f aca="false">IF(OR($D192="",$AE192&lt;=1),0,IFERROR(LOOKUP(2,1/($AE$5:$AE191=$AE192-1),ROW($AE$5:$AE191)),0))</f>
        <v>0</v>
      </c>
      <c r="AH192" s="46" t="n">
        <f aca="false">IF($D192="",0,COUNTIF(tsk_WBS,$B192&amp;".*"))</f>
        <v>0</v>
      </c>
      <c r="AI192" s="47" t="b">
        <f aca="false">$AH192&gt;0</f>
        <v>0</v>
      </c>
      <c r="AJ192" s="46" t="n">
        <f aca="false">IF(AND($D192&lt;&gt;"",NOT($AI192)),1,0)</f>
        <v>0</v>
      </c>
      <c r="AK192" s="48" t="n">
        <f aca="true">IF(OR(N($G192)=0,$AI192,$D192=""),0,IFERROR(CHOOSE(MATCH(IF($H192="","FS",$H192),{"FS","SS","FF","SF"},0),WORKDAY.INTL(OFFSET(hdr_PlanFinish,MATCH($G192,tsk_ID,0),0),IF(N($F192)=0,0,1)+N($I192),WorkWeek,Holidays),WORKDAY.INTL(OFFSET(hdr_PlanStart,MATCH($G192,tsk_ID,0),0),N($I192),WorkWeek,Holidays),WORKDAY.INTL(WORKDAY.INTL(OFFSET(hdr_PlanFinish,MATCH($G192,tsk_ID,0),0),N($I192),WorkWeek,Holidays),-MAX(0,N($F192)-1),WorkWeek,Holidays),WORKDAY.INTL(WORKDAY.INTL(OFFSET(hdr_PlanStart,MATCH($G192,tsk_ID,0),0),N($I192),WorkWeek,Holidays),-MAX(0,N($F192)-1),WorkWeek,Holidays)),0))</f>
        <v>0</v>
      </c>
      <c r="AL192" s="48" t="n">
        <f aca="true">IF(OR(N($J192)=0,$AI192,$D192=""),0,IFERROR(CHOOSE(MATCH(IF($K192="","FS",$K192),{"FS","SS","FF","SF"},0),WORKDAY.INTL(OFFSET(hdr_PlanFinish,MATCH($J192,tsk_ID,0),0),IF(N($F192)=0,0,1)+N($L192),WorkWeek,Holidays),WORKDAY.INTL(OFFSET(hdr_PlanStart,MATCH($J192,tsk_ID,0),0),N($L192),WorkWeek,Holidays),WORKDAY.INTL(WORKDAY.INTL(OFFSET(hdr_PlanFinish,MATCH($J192,tsk_ID,0),0),N($L192),WorkWeek,Holidays),-MAX(0,N($F192)-1),WorkWeek,Holidays),WORKDAY.INTL(WORKDAY.INTL(OFFSET(hdr_PlanStart,MATCH($J192,tsk_ID,0),0),N($L192),WorkWeek,Holidays),-MAX(0,N($F192)-1),WorkWeek,Holidays)),0))</f>
        <v>0</v>
      </c>
      <c r="AM192" s="48" t="n">
        <f aca="true">IF(OR(N($G192)=0,$AI192,$D192=""),0,IFERROR(CHOOSE(MATCH(IF($H192="","FS",$H192),{"FS","SS","FF","SF"},0),WORKDAY.INTL(OFFSET(hdr_FcFinish,MATCH($G192,tsk_ID,0),0),IF(N($F192)=0,0,1)+N($I192),WorkWeek,Holidays),WORKDAY.INTL(OFFSET(hdr_FcStart,MATCH($G192,tsk_ID,0),0),N($I192),WorkWeek,Holidays),WORKDAY.INTL(WORKDAY.INTL(OFFSET(hdr_FcFinish,MATCH($G192,tsk_ID,0),0),N($I192),WorkWeek,Holidays),-MAX(0,N($F192)-1),WorkWeek,Holidays),WORKDAY.INTL(WORKDAY.INTL(OFFSET(hdr_FcStart,MATCH($G192,tsk_ID,0),0),N($I192),WorkWeek,Holidays),-MAX(0,N($F192)-1),WorkWeek,Holidays)),0))</f>
        <v>0</v>
      </c>
      <c r="AN192" s="48" t="n">
        <f aca="true">IF(OR(N($J192)=0,$AI192,$D192=""),0,IFERROR(CHOOSE(MATCH(IF($K192="","FS",$K192),{"FS","SS","FF","SF"},0),WORKDAY.INTL(OFFSET(hdr_FcFinish,MATCH($J192,tsk_ID,0),0),IF(N($F192)=0,0,1)+N($L192),WorkWeek,Holidays),WORKDAY.INTL(OFFSET(hdr_FcStart,MATCH($J192,tsk_ID,0),0),N($L192),WorkWeek,Holidays),WORKDAY.INTL(WORKDAY.INTL(OFFSET(hdr_FcFinish,MATCH($J192,tsk_ID,0),0),N($L192),WorkWeek,Holidays),-MAX(0,N($F192)-1),WorkWeek,Holidays),WORKDAY.INTL(WORKDAY.INTL(OFFSET(hdr_FcStart,MATCH($J192,tsk_ID,0),0),N($L192),WorkWeek,Holidays),-MAX(0,N($F192)-1),WorkWeek,Holidays)),0))</f>
        <v>0</v>
      </c>
      <c r="AO192" s="48" t="n">
        <f aca="false">IF($AJ192=1,$R192,0)</f>
        <v>0</v>
      </c>
      <c r="AP192" s="48" t="n">
        <f aca="false">IF($AJ192=1,$S192,0)</f>
        <v>0</v>
      </c>
      <c r="AQ192" s="49" t="n">
        <f aca="false">IF(AND($AJ192=1,N($Z192)&gt;0),$Z192/($AP192-$AO192+1),0)</f>
        <v>0</v>
      </c>
      <c r="AR192" s="46" t="n">
        <f aca="false">IF($AJ192=1,MAX(N($F192),0.1),0)</f>
        <v>0</v>
      </c>
      <c r="AS192" s="46" t="n">
        <f aca="false">IF($AJ192=1,$AR192*$V192,0)</f>
        <v>0</v>
      </c>
      <c r="AT192" s="46" t="str">
        <f aca="false">IF(N($G192)=0,"",$G192&amp;IF(AND(IF($H192="","FS",$H192)="FS",N($I192)=0),"",IF($H192="","FS",$H192)&amp;IF(N($I192)=0,"",IF(N($I192)&gt;0,"+","")&amp;N($I192)&amp;"d")))</f>
        <v/>
      </c>
      <c r="AU192" s="46" t="str">
        <f aca="false">IF(N($J192)=0,"",$J192&amp;IF(AND(IF($K192="","FS",$K192)="FS",N($L192)=0),"",IF($K192="","FS",$K192)&amp;IF(N($L192)=0,"",IF(N($L192)&gt;0,"+","")&amp;N($L192)&amp;"d")))</f>
        <v/>
      </c>
      <c r="AV192" s="46" t="str">
        <f aca="false">IF(AND($AJ192=1,N($F192)=0,$V192&lt;1),$S192+$AF192/100000,"")</f>
        <v/>
      </c>
    </row>
    <row r="193" customFormat="false" ht="15" hidden="false" customHeight="false" outlineLevel="0" collapsed="false">
      <c r="A193" s="38" t="str">
        <f aca="false">IF($D193="","",COUNTA($D$6:$D193))</f>
        <v/>
      </c>
      <c r="B193" s="39" t="str">
        <f aca="true">IF($D193="","",IF($AE193=1,COUNTIF($AE$6:$AE193,1)&amp;"",IF($AG193=0,"?",OFFSET(hdr_WBS,$AG193-ROW(hdr_WBS),0)&amp;"."&amp;COUNTIF(INDEX($AE:$AE,$AG193+1):$AE193,$AE193))))</f>
        <v/>
      </c>
      <c r="C193" s="40"/>
      <c r="D193" s="41"/>
      <c r="E193" s="40"/>
      <c r="F193" s="40"/>
      <c r="G193" s="40"/>
      <c r="H193" s="40"/>
      <c r="I193" s="40"/>
      <c r="J193" s="40"/>
      <c r="K193" s="40"/>
      <c r="L193" s="40"/>
      <c r="M193" s="29"/>
      <c r="N193" s="30" t="str">
        <f aca="true">IF($D193="","",IF($AI193,MIN(OFFSET(hdr_PlanStart,$AF193+1,0,$AH193,1)),IF($E193="Manual",IF(N($M193)&gt;0,$M193,ProjectStart),WORKDAY.INTL(MAX(ProjectStart,N($M193),$AK193,$AL193)-1,1,WorkWeek,Holidays))))</f>
        <v/>
      </c>
      <c r="O193" s="30" t="str">
        <f aca="true">IF($D193="","",IF($AI193,MAX(OFFSET(hdr_PlanFinish,$AF193+1,0,$AH193,1)),IF(N($F193)&lt;=0,$N193,WORKDAY.INTL($N193,$F193-1,WorkWeek,Holidays))))</f>
        <v/>
      </c>
      <c r="P193" s="29"/>
      <c r="Q193" s="29"/>
      <c r="R193" s="30" t="str">
        <f aca="true">IF($D193="","",IF($AI193,MIN(OFFSET(hdr_FcStart,$AF193+1,0,$AH193,1)),IF(N($P193)&gt;0,$P193,IF($E193="Manual",IF(N($M193)&gt;0,$M193,ProjectStart),WORKDAY.INTL(MAX(ProjectStart,N($M193),$AM193,$AN193,IF(RescheduleAfterStatus="Yes",StatusDate,0))-1,1,WorkWeek,Holidays)))))</f>
        <v/>
      </c>
      <c r="S193" s="30" t="str">
        <f aca="true">IF($D193="","",IF($AI193,MAX(OFFSET(hdr_FcFinish,$AF193+1,0,$AH193,1)),IF(N($Q193)&gt;0,$Q193,IF(N($F193)&lt;=0,$R193,IF(AND(N($P193)&gt;0,RescheduleAfterStatus="Yes"),MAX(WORKDAY.INTL($R193,$F193-1,WorkWeek,Holidays),WORKDAY.INTL(StatusWorkday,MAX(0,ROUNDUP($F193*(1-MIN(1,N($U193))),0)-1),WorkWeek,Holidays)),WORKDAY.INTL($R193,$F193-1,WorkWeek,Holidays))))))</f>
        <v/>
      </c>
      <c r="T193" s="38" t="str">
        <f aca="false">IF($D193="","",IF($S193&gt;=$O193,NETWORKDAYS.INTL($O193,$S193,WorkWeek,Holidays)-1,1-NETWORKDAYS.INTL($S193,$O193,WorkWeek,Holidays)))</f>
        <v/>
      </c>
      <c r="U193" s="32"/>
      <c r="V193" s="42" t="str">
        <f aca="true">IF($D193="","",IF($AI193,IFERROR(SUM(OFFSET(hdr_WtDone,$AF193+1,0,$AH193,1))/SUM(OFFSET(hdr_WtDur,$AF193+1,0,$AH193,1)),0),IF(N($Q193)&gt;0,1,MIN(1,N($U193)))))</f>
        <v/>
      </c>
      <c r="W193" s="39" t="str">
        <f aca="false">IF($D193="","",IF($V193&gt;=1,"Complete",IF(OR(N($P193)&gt;0,$V193&gt;0),IF($T193&gt;0,"Behind","In Progress"),IF($N193&lt;StatusDate,"Late Start","Not Started"))))</f>
        <v/>
      </c>
      <c r="X193" s="41"/>
      <c r="Y193" s="32"/>
      <c r="Z193" s="43" t="str">
        <f aca="true">IF($D193="","",IF($AI193,SUMPRODUCT(OFFSET(hdr_Work,$AF193+1,0,$AH193,1),OFFSET(hdr_IsLeaf,$AF193+1,0,$AH193,1)),IF($X193="",0,N($F193)*HoursPerDay*IF($Y193="",DefaultUnits,$Y193))))</f>
        <v/>
      </c>
      <c r="AA193" s="44" t="str">
        <f aca="true">IF($D193="","",IF($AI193,SUMPRODUCT(OFFSET(hdr_Cost,$AF193+1,0,$AH193,1),OFFSET(hdr_IsLeaf,$AF193+1,0,$AH193,1)),$Z193*IFERROR(INDEX(res_Rate,MATCH($X193,res_Name,0)),0)))</f>
        <v/>
      </c>
      <c r="AB193" s="38" t="str">
        <f aca="false">IF(OR($D193="",$AI193),"",IF(OR($R193&lt;Sprint1Start,$R193&gt;SprintLastEnd),"Backlog",INDEX(spr_Name,MATCH($R193,spr_Start,1))))</f>
        <v/>
      </c>
      <c r="AC193" s="45" t="str">
        <f aca="false">IF($D193="","",$AT193&amp;IF(AND($AT193&lt;&gt;"",$AU193&lt;&gt;""),",","")&amp;$AU193)</f>
        <v/>
      </c>
      <c r="AD193" s="41"/>
      <c r="AE193" s="46" t="str">
        <f aca="false">IF($D193="","",MAX(1,N($C193)))</f>
        <v/>
      </c>
      <c r="AF193" s="46" t="n">
        <f aca="false">ROW()-ROW(hdr_ID)</f>
        <v>188</v>
      </c>
      <c r="AG193" s="46" t="n">
        <f aca="false">IF(OR($D193="",$AE193&lt;=1),0,IFERROR(LOOKUP(2,1/($AE$5:$AE192=$AE193-1),ROW($AE$5:$AE192)),0))</f>
        <v>0</v>
      </c>
      <c r="AH193" s="46" t="n">
        <f aca="false">IF($D193="",0,COUNTIF(tsk_WBS,$B193&amp;".*"))</f>
        <v>0</v>
      </c>
      <c r="AI193" s="47" t="b">
        <f aca="false">$AH193&gt;0</f>
        <v>0</v>
      </c>
      <c r="AJ193" s="46" t="n">
        <f aca="false">IF(AND($D193&lt;&gt;"",NOT($AI193)),1,0)</f>
        <v>0</v>
      </c>
      <c r="AK193" s="48" t="n">
        <f aca="true">IF(OR(N($G193)=0,$AI193,$D193=""),0,IFERROR(CHOOSE(MATCH(IF($H193="","FS",$H193),{"FS","SS","FF","SF"},0),WORKDAY.INTL(OFFSET(hdr_PlanFinish,MATCH($G193,tsk_ID,0),0),IF(N($F193)=0,0,1)+N($I193),WorkWeek,Holidays),WORKDAY.INTL(OFFSET(hdr_PlanStart,MATCH($G193,tsk_ID,0),0),N($I193),WorkWeek,Holidays),WORKDAY.INTL(WORKDAY.INTL(OFFSET(hdr_PlanFinish,MATCH($G193,tsk_ID,0),0),N($I193),WorkWeek,Holidays),-MAX(0,N($F193)-1),WorkWeek,Holidays),WORKDAY.INTL(WORKDAY.INTL(OFFSET(hdr_PlanStart,MATCH($G193,tsk_ID,0),0),N($I193),WorkWeek,Holidays),-MAX(0,N($F193)-1),WorkWeek,Holidays)),0))</f>
        <v>0</v>
      </c>
      <c r="AL193" s="48" t="n">
        <f aca="true">IF(OR(N($J193)=0,$AI193,$D193=""),0,IFERROR(CHOOSE(MATCH(IF($K193="","FS",$K193),{"FS","SS","FF","SF"},0),WORKDAY.INTL(OFFSET(hdr_PlanFinish,MATCH($J193,tsk_ID,0),0),IF(N($F193)=0,0,1)+N($L193),WorkWeek,Holidays),WORKDAY.INTL(OFFSET(hdr_PlanStart,MATCH($J193,tsk_ID,0),0),N($L193),WorkWeek,Holidays),WORKDAY.INTL(WORKDAY.INTL(OFFSET(hdr_PlanFinish,MATCH($J193,tsk_ID,0),0),N($L193),WorkWeek,Holidays),-MAX(0,N($F193)-1),WorkWeek,Holidays),WORKDAY.INTL(WORKDAY.INTL(OFFSET(hdr_PlanStart,MATCH($J193,tsk_ID,0),0),N($L193),WorkWeek,Holidays),-MAX(0,N($F193)-1),WorkWeek,Holidays)),0))</f>
        <v>0</v>
      </c>
      <c r="AM193" s="48" t="n">
        <f aca="true">IF(OR(N($G193)=0,$AI193,$D193=""),0,IFERROR(CHOOSE(MATCH(IF($H193="","FS",$H193),{"FS","SS","FF","SF"},0),WORKDAY.INTL(OFFSET(hdr_FcFinish,MATCH($G193,tsk_ID,0),0),IF(N($F193)=0,0,1)+N($I193),WorkWeek,Holidays),WORKDAY.INTL(OFFSET(hdr_FcStart,MATCH($G193,tsk_ID,0),0),N($I193),WorkWeek,Holidays),WORKDAY.INTL(WORKDAY.INTL(OFFSET(hdr_FcFinish,MATCH($G193,tsk_ID,0),0),N($I193),WorkWeek,Holidays),-MAX(0,N($F193)-1),WorkWeek,Holidays),WORKDAY.INTL(WORKDAY.INTL(OFFSET(hdr_FcStart,MATCH($G193,tsk_ID,0),0),N($I193),WorkWeek,Holidays),-MAX(0,N($F193)-1),WorkWeek,Holidays)),0))</f>
        <v>0</v>
      </c>
      <c r="AN193" s="48" t="n">
        <f aca="true">IF(OR(N($J193)=0,$AI193,$D193=""),0,IFERROR(CHOOSE(MATCH(IF($K193="","FS",$K193),{"FS","SS","FF","SF"},0),WORKDAY.INTL(OFFSET(hdr_FcFinish,MATCH($J193,tsk_ID,0),0),IF(N($F193)=0,0,1)+N($L193),WorkWeek,Holidays),WORKDAY.INTL(OFFSET(hdr_FcStart,MATCH($J193,tsk_ID,0),0),N($L193),WorkWeek,Holidays),WORKDAY.INTL(WORKDAY.INTL(OFFSET(hdr_FcFinish,MATCH($J193,tsk_ID,0),0),N($L193),WorkWeek,Holidays),-MAX(0,N($F193)-1),WorkWeek,Holidays),WORKDAY.INTL(WORKDAY.INTL(OFFSET(hdr_FcStart,MATCH($J193,tsk_ID,0),0),N($L193),WorkWeek,Holidays),-MAX(0,N($F193)-1),WorkWeek,Holidays)),0))</f>
        <v>0</v>
      </c>
      <c r="AO193" s="48" t="n">
        <f aca="false">IF($AJ193=1,$R193,0)</f>
        <v>0</v>
      </c>
      <c r="AP193" s="48" t="n">
        <f aca="false">IF($AJ193=1,$S193,0)</f>
        <v>0</v>
      </c>
      <c r="AQ193" s="49" t="n">
        <f aca="false">IF(AND($AJ193=1,N($Z193)&gt;0),$Z193/($AP193-$AO193+1),0)</f>
        <v>0</v>
      </c>
      <c r="AR193" s="46" t="n">
        <f aca="false">IF($AJ193=1,MAX(N($F193),0.1),0)</f>
        <v>0</v>
      </c>
      <c r="AS193" s="46" t="n">
        <f aca="false">IF($AJ193=1,$AR193*$V193,0)</f>
        <v>0</v>
      </c>
      <c r="AT193" s="46" t="str">
        <f aca="false">IF(N($G193)=0,"",$G193&amp;IF(AND(IF($H193="","FS",$H193)="FS",N($I193)=0),"",IF($H193="","FS",$H193)&amp;IF(N($I193)=0,"",IF(N($I193)&gt;0,"+","")&amp;N($I193)&amp;"d")))</f>
        <v/>
      </c>
      <c r="AU193" s="46" t="str">
        <f aca="false">IF(N($J193)=0,"",$J193&amp;IF(AND(IF($K193="","FS",$K193)="FS",N($L193)=0),"",IF($K193="","FS",$K193)&amp;IF(N($L193)=0,"",IF(N($L193)&gt;0,"+","")&amp;N($L193)&amp;"d")))</f>
        <v/>
      </c>
      <c r="AV193" s="46" t="str">
        <f aca="false">IF(AND($AJ193=1,N($F193)=0,$V193&lt;1),$S193+$AF193/100000,"")</f>
        <v/>
      </c>
    </row>
    <row r="194" customFormat="false" ht="15" hidden="false" customHeight="false" outlineLevel="0" collapsed="false">
      <c r="A194" s="38" t="str">
        <f aca="false">IF($D194="","",COUNTA($D$6:$D194))</f>
        <v/>
      </c>
      <c r="B194" s="39" t="str">
        <f aca="true">IF($D194="","",IF($AE194=1,COUNTIF($AE$6:$AE194,1)&amp;"",IF($AG194=0,"?",OFFSET(hdr_WBS,$AG194-ROW(hdr_WBS),0)&amp;"."&amp;COUNTIF(INDEX($AE:$AE,$AG194+1):$AE194,$AE194))))</f>
        <v/>
      </c>
      <c r="C194" s="40"/>
      <c r="D194" s="41"/>
      <c r="E194" s="40"/>
      <c r="F194" s="40"/>
      <c r="G194" s="40"/>
      <c r="H194" s="40"/>
      <c r="I194" s="40"/>
      <c r="J194" s="40"/>
      <c r="K194" s="40"/>
      <c r="L194" s="40"/>
      <c r="M194" s="29"/>
      <c r="N194" s="30" t="str">
        <f aca="true">IF($D194="","",IF($AI194,MIN(OFFSET(hdr_PlanStart,$AF194+1,0,$AH194,1)),IF($E194="Manual",IF(N($M194)&gt;0,$M194,ProjectStart),WORKDAY.INTL(MAX(ProjectStart,N($M194),$AK194,$AL194)-1,1,WorkWeek,Holidays))))</f>
        <v/>
      </c>
      <c r="O194" s="30" t="str">
        <f aca="true">IF($D194="","",IF($AI194,MAX(OFFSET(hdr_PlanFinish,$AF194+1,0,$AH194,1)),IF(N($F194)&lt;=0,$N194,WORKDAY.INTL($N194,$F194-1,WorkWeek,Holidays))))</f>
        <v/>
      </c>
      <c r="P194" s="29"/>
      <c r="Q194" s="29"/>
      <c r="R194" s="30" t="str">
        <f aca="true">IF($D194="","",IF($AI194,MIN(OFFSET(hdr_FcStart,$AF194+1,0,$AH194,1)),IF(N($P194)&gt;0,$P194,IF($E194="Manual",IF(N($M194)&gt;0,$M194,ProjectStart),WORKDAY.INTL(MAX(ProjectStart,N($M194),$AM194,$AN194,IF(RescheduleAfterStatus="Yes",StatusDate,0))-1,1,WorkWeek,Holidays)))))</f>
        <v/>
      </c>
      <c r="S194" s="30" t="str">
        <f aca="true">IF($D194="","",IF($AI194,MAX(OFFSET(hdr_FcFinish,$AF194+1,0,$AH194,1)),IF(N($Q194)&gt;0,$Q194,IF(N($F194)&lt;=0,$R194,IF(AND(N($P194)&gt;0,RescheduleAfterStatus="Yes"),MAX(WORKDAY.INTL($R194,$F194-1,WorkWeek,Holidays),WORKDAY.INTL(StatusWorkday,MAX(0,ROUNDUP($F194*(1-MIN(1,N($U194))),0)-1),WorkWeek,Holidays)),WORKDAY.INTL($R194,$F194-1,WorkWeek,Holidays))))))</f>
        <v/>
      </c>
      <c r="T194" s="38" t="str">
        <f aca="false">IF($D194="","",IF($S194&gt;=$O194,NETWORKDAYS.INTL($O194,$S194,WorkWeek,Holidays)-1,1-NETWORKDAYS.INTL($S194,$O194,WorkWeek,Holidays)))</f>
        <v/>
      </c>
      <c r="U194" s="32"/>
      <c r="V194" s="42" t="str">
        <f aca="true">IF($D194="","",IF($AI194,IFERROR(SUM(OFFSET(hdr_WtDone,$AF194+1,0,$AH194,1))/SUM(OFFSET(hdr_WtDur,$AF194+1,0,$AH194,1)),0),IF(N($Q194)&gt;0,1,MIN(1,N($U194)))))</f>
        <v/>
      </c>
      <c r="W194" s="39" t="str">
        <f aca="false">IF($D194="","",IF($V194&gt;=1,"Complete",IF(OR(N($P194)&gt;0,$V194&gt;0),IF($T194&gt;0,"Behind","In Progress"),IF($N194&lt;StatusDate,"Late Start","Not Started"))))</f>
        <v/>
      </c>
      <c r="X194" s="41"/>
      <c r="Y194" s="32"/>
      <c r="Z194" s="43" t="str">
        <f aca="true">IF($D194="","",IF($AI194,SUMPRODUCT(OFFSET(hdr_Work,$AF194+1,0,$AH194,1),OFFSET(hdr_IsLeaf,$AF194+1,0,$AH194,1)),IF($X194="",0,N($F194)*HoursPerDay*IF($Y194="",DefaultUnits,$Y194))))</f>
        <v/>
      </c>
      <c r="AA194" s="44" t="str">
        <f aca="true">IF($D194="","",IF($AI194,SUMPRODUCT(OFFSET(hdr_Cost,$AF194+1,0,$AH194,1),OFFSET(hdr_IsLeaf,$AF194+1,0,$AH194,1)),$Z194*IFERROR(INDEX(res_Rate,MATCH($X194,res_Name,0)),0)))</f>
        <v/>
      </c>
      <c r="AB194" s="38" t="str">
        <f aca="false">IF(OR($D194="",$AI194),"",IF(OR($R194&lt;Sprint1Start,$R194&gt;SprintLastEnd),"Backlog",INDEX(spr_Name,MATCH($R194,spr_Start,1))))</f>
        <v/>
      </c>
      <c r="AC194" s="45" t="str">
        <f aca="false">IF($D194="","",$AT194&amp;IF(AND($AT194&lt;&gt;"",$AU194&lt;&gt;""),",","")&amp;$AU194)</f>
        <v/>
      </c>
      <c r="AD194" s="41"/>
      <c r="AE194" s="46" t="str">
        <f aca="false">IF($D194="","",MAX(1,N($C194)))</f>
        <v/>
      </c>
      <c r="AF194" s="46" t="n">
        <f aca="false">ROW()-ROW(hdr_ID)</f>
        <v>189</v>
      </c>
      <c r="AG194" s="46" t="n">
        <f aca="false">IF(OR($D194="",$AE194&lt;=1),0,IFERROR(LOOKUP(2,1/($AE$5:$AE193=$AE194-1),ROW($AE$5:$AE193)),0))</f>
        <v>0</v>
      </c>
      <c r="AH194" s="46" t="n">
        <f aca="false">IF($D194="",0,COUNTIF(tsk_WBS,$B194&amp;".*"))</f>
        <v>0</v>
      </c>
      <c r="AI194" s="47" t="b">
        <f aca="false">$AH194&gt;0</f>
        <v>0</v>
      </c>
      <c r="AJ194" s="46" t="n">
        <f aca="false">IF(AND($D194&lt;&gt;"",NOT($AI194)),1,0)</f>
        <v>0</v>
      </c>
      <c r="AK194" s="48" t="n">
        <f aca="true">IF(OR(N($G194)=0,$AI194,$D194=""),0,IFERROR(CHOOSE(MATCH(IF($H194="","FS",$H194),{"FS","SS","FF","SF"},0),WORKDAY.INTL(OFFSET(hdr_PlanFinish,MATCH($G194,tsk_ID,0),0),IF(N($F194)=0,0,1)+N($I194),WorkWeek,Holidays),WORKDAY.INTL(OFFSET(hdr_PlanStart,MATCH($G194,tsk_ID,0),0),N($I194),WorkWeek,Holidays),WORKDAY.INTL(WORKDAY.INTL(OFFSET(hdr_PlanFinish,MATCH($G194,tsk_ID,0),0),N($I194),WorkWeek,Holidays),-MAX(0,N($F194)-1),WorkWeek,Holidays),WORKDAY.INTL(WORKDAY.INTL(OFFSET(hdr_PlanStart,MATCH($G194,tsk_ID,0),0),N($I194),WorkWeek,Holidays),-MAX(0,N($F194)-1),WorkWeek,Holidays)),0))</f>
        <v>0</v>
      </c>
      <c r="AL194" s="48" t="n">
        <f aca="true">IF(OR(N($J194)=0,$AI194,$D194=""),0,IFERROR(CHOOSE(MATCH(IF($K194="","FS",$K194),{"FS","SS","FF","SF"},0),WORKDAY.INTL(OFFSET(hdr_PlanFinish,MATCH($J194,tsk_ID,0),0),IF(N($F194)=0,0,1)+N($L194),WorkWeek,Holidays),WORKDAY.INTL(OFFSET(hdr_PlanStart,MATCH($J194,tsk_ID,0),0),N($L194),WorkWeek,Holidays),WORKDAY.INTL(WORKDAY.INTL(OFFSET(hdr_PlanFinish,MATCH($J194,tsk_ID,0),0),N($L194),WorkWeek,Holidays),-MAX(0,N($F194)-1),WorkWeek,Holidays),WORKDAY.INTL(WORKDAY.INTL(OFFSET(hdr_PlanStart,MATCH($J194,tsk_ID,0),0),N($L194),WorkWeek,Holidays),-MAX(0,N($F194)-1),WorkWeek,Holidays)),0))</f>
        <v>0</v>
      </c>
      <c r="AM194" s="48" t="n">
        <f aca="true">IF(OR(N($G194)=0,$AI194,$D194=""),0,IFERROR(CHOOSE(MATCH(IF($H194="","FS",$H194),{"FS","SS","FF","SF"},0),WORKDAY.INTL(OFFSET(hdr_FcFinish,MATCH($G194,tsk_ID,0),0),IF(N($F194)=0,0,1)+N($I194),WorkWeek,Holidays),WORKDAY.INTL(OFFSET(hdr_FcStart,MATCH($G194,tsk_ID,0),0),N($I194),WorkWeek,Holidays),WORKDAY.INTL(WORKDAY.INTL(OFFSET(hdr_FcFinish,MATCH($G194,tsk_ID,0),0),N($I194),WorkWeek,Holidays),-MAX(0,N($F194)-1),WorkWeek,Holidays),WORKDAY.INTL(WORKDAY.INTL(OFFSET(hdr_FcStart,MATCH($G194,tsk_ID,0),0),N($I194),WorkWeek,Holidays),-MAX(0,N($F194)-1),WorkWeek,Holidays)),0))</f>
        <v>0</v>
      </c>
      <c r="AN194" s="48" t="n">
        <f aca="true">IF(OR(N($J194)=0,$AI194,$D194=""),0,IFERROR(CHOOSE(MATCH(IF($K194="","FS",$K194),{"FS","SS","FF","SF"},0),WORKDAY.INTL(OFFSET(hdr_FcFinish,MATCH($J194,tsk_ID,0),0),IF(N($F194)=0,0,1)+N($L194),WorkWeek,Holidays),WORKDAY.INTL(OFFSET(hdr_FcStart,MATCH($J194,tsk_ID,0),0),N($L194),WorkWeek,Holidays),WORKDAY.INTL(WORKDAY.INTL(OFFSET(hdr_FcFinish,MATCH($J194,tsk_ID,0),0),N($L194),WorkWeek,Holidays),-MAX(0,N($F194)-1),WorkWeek,Holidays),WORKDAY.INTL(WORKDAY.INTL(OFFSET(hdr_FcStart,MATCH($J194,tsk_ID,0),0),N($L194),WorkWeek,Holidays),-MAX(0,N($F194)-1),WorkWeek,Holidays)),0))</f>
        <v>0</v>
      </c>
      <c r="AO194" s="48" t="n">
        <f aca="false">IF($AJ194=1,$R194,0)</f>
        <v>0</v>
      </c>
      <c r="AP194" s="48" t="n">
        <f aca="false">IF($AJ194=1,$S194,0)</f>
        <v>0</v>
      </c>
      <c r="AQ194" s="49" t="n">
        <f aca="false">IF(AND($AJ194=1,N($Z194)&gt;0),$Z194/($AP194-$AO194+1),0)</f>
        <v>0</v>
      </c>
      <c r="AR194" s="46" t="n">
        <f aca="false">IF($AJ194=1,MAX(N($F194),0.1),0)</f>
        <v>0</v>
      </c>
      <c r="AS194" s="46" t="n">
        <f aca="false">IF($AJ194=1,$AR194*$V194,0)</f>
        <v>0</v>
      </c>
      <c r="AT194" s="46" t="str">
        <f aca="false">IF(N($G194)=0,"",$G194&amp;IF(AND(IF($H194="","FS",$H194)="FS",N($I194)=0),"",IF($H194="","FS",$H194)&amp;IF(N($I194)=0,"",IF(N($I194)&gt;0,"+","")&amp;N($I194)&amp;"d")))</f>
        <v/>
      </c>
      <c r="AU194" s="46" t="str">
        <f aca="false">IF(N($J194)=0,"",$J194&amp;IF(AND(IF($K194="","FS",$K194)="FS",N($L194)=0),"",IF($K194="","FS",$K194)&amp;IF(N($L194)=0,"",IF(N($L194)&gt;0,"+","")&amp;N($L194)&amp;"d")))</f>
        <v/>
      </c>
      <c r="AV194" s="46" t="str">
        <f aca="false">IF(AND($AJ194=1,N($F194)=0,$V194&lt;1),$S194+$AF194/100000,"")</f>
        <v/>
      </c>
    </row>
    <row r="195" customFormat="false" ht="15" hidden="false" customHeight="false" outlineLevel="0" collapsed="false">
      <c r="A195" s="38" t="str">
        <f aca="false">IF($D195="","",COUNTA($D$6:$D195))</f>
        <v/>
      </c>
      <c r="B195" s="39" t="str">
        <f aca="true">IF($D195="","",IF($AE195=1,COUNTIF($AE$6:$AE195,1)&amp;"",IF($AG195=0,"?",OFFSET(hdr_WBS,$AG195-ROW(hdr_WBS),0)&amp;"."&amp;COUNTIF(INDEX($AE:$AE,$AG195+1):$AE195,$AE195))))</f>
        <v/>
      </c>
      <c r="C195" s="40"/>
      <c r="D195" s="41"/>
      <c r="E195" s="40"/>
      <c r="F195" s="40"/>
      <c r="G195" s="40"/>
      <c r="H195" s="40"/>
      <c r="I195" s="40"/>
      <c r="J195" s="40"/>
      <c r="K195" s="40"/>
      <c r="L195" s="40"/>
      <c r="M195" s="29"/>
      <c r="N195" s="30" t="str">
        <f aca="true">IF($D195="","",IF($AI195,MIN(OFFSET(hdr_PlanStart,$AF195+1,0,$AH195,1)),IF($E195="Manual",IF(N($M195)&gt;0,$M195,ProjectStart),WORKDAY.INTL(MAX(ProjectStart,N($M195),$AK195,$AL195)-1,1,WorkWeek,Holidays))))</f>
        <v/>
      </c>
      <c r="O195" s="30" t="str">
        <f aca="true">IF($D195="","",IF($AI195,MAX(OFFSET(hdr_PlanFinish,$AF195+1,0,$AH195,1)),IF(N($F195)&lt;=0,$N195,WORKDAY.INTL($N195,$F195-1,WorkWeek,Holidays))))</f>
        <v/>
      </c>
      <c r="P195" s="29"/>
      <c r="Q195" s="29"/>
      <c r="R195" s="30" t="str">
        <f aca="true">IF($D195="","",IF($AI195,MIN(OFFSET(hdr_FcStart,$AF195+1,0,$AH195,1)),IF(N($P195)&gt;0,$P195,IF($E195="Manual",IF(N($M195)&gt;0,$M195,ProjectStart),WORKDAY.INTL(MAX(ProjectStart,N($M195),$AM195,$AN195,IF(RescheduleAfterStatus="Yes",StatusDate,0))-1,1,WorkWeek,Holidays)))))</f>
        <v/>
      </c>
      <c r="S195" s="30" t="str">
        <f aca="true">IF($D195="","",IF($AI195,MAX(OFFSET(hdr_FcFinish,$AF195+1,0,$AH195,1)),IF(N($Q195)&gt;0,$Q195,IF(N($F195)&lt;=0,$R195,IF(AND(N($P195)&gt;0,RescheduleAfterStatus="Yes"),MAX(WORKDAY.INTL($R195,$F195-1,WorkWeek,Holidays),WORKDAY.INTL(StatusWorkday,MAX(0,ROUNDUP($F195*(1-MIN(1,N($U195))),0)-1),WorkWeek,Holidays)),WORKDAY.INTL($R195,$F195-1,WorkWeek,Holidays))))))</f>
        <v/>
      </c>
      <c r="T195" s="38" t="str">
        <f aca="false">IF($D195="","",IF($S195&gt;=$O195,NETWORKDAYS.INTL($O195,$S195,WorkWeek,Holidays)-1,1-NETWORKDAYS.INTL($S195,$O195,WorkWeek,Holidays)))</f>
        <v/>
      </c>
      <c r="U195" s="32"/>
      <c r="V195" s="42" t="str">
        <f aca="true">IF($D195="","",IF($AI195,IFERROR(SUM(OFFSET(hdr_WtDone,$AF195+1,0,$AH195,1))/SUM(OFFSET(hdr_WtDur,$AF195+1,0,$AH195,1)),0),IF(N($Q195)&gt;0,1,MIN(1,N($U195)))))</f>
        <v/>
      </c>
      <c r="W195" s="39" t="str">
        <f aca="false">IF($D195="","",IF($V195&gt;=1,"Complete",IF(OR(N($P195)&gt;0,$V195&gt;0),IF($T195&gt;0,"Behind","In Progress"),IF($N195&lt;StatusDate,"Late Start","Not Started"))))</f>
        <v/>
      </c>
      <c r="X195" s="41"/>
      <c r="Y195" s="32"/>
      <c r="Z195" s="43" t="str">
        <f aca="true">IF($D195="","",IF($AI195,SUMPRODUCT(OFFSET(hdr_Work,$AF195+1,0,$AH195,1),OFFSET(hdr_IsLeaf,$AF195+1,0,$AH195,1)),IF($X195="",0,N($F195)*HoursPerDay*IF($Y195="",DefaultUnits,$Y195))))</f>
        <v/>
      </c>
      <c r="AA195" s="44" t="str">
        <f aca="true">IF($D195="","",IF($AI195,SUMPRODUCT(OFFSET(hdr_Cost,$AF195+1,0,$AH195,1),OFFSET(hdr_IsLeaf,$AF195+1,0,$AH195,1)),$Z195*IFERROR(INDEX(res_Rate,MATCH($X195,res_Name,0)),0)))</f>
        <v/>
      </c>
      <c r="AB195" s="38" t="str">
        <f aca="false">IF(OR($D195="",$AI195),"",IF(OR($R195&lt;Sprint1Start,$R195&gt;SprintLastEnd),"Backlog",INDEX(spr_Name,MATCH($R195,spr_Start,1))))</f>
        <v/>
      </c>
      <c r="AC195" s="45" t="str">
        <f aca="false">IF($D195="","",$AT195&amp;IF(AND($AT195&lt;&gt;"",$AU195&lt;&gt;""),",","")&amp;$AU195)</f>
        <v/>
      </c>
      <c r="AD195" s="41"/>
      <c r="AE195" s="46" t="str">
        <f aca="false">IF($D195="","",MAX(1,N($C195)))</f>
        <v/>
      </c>
      <c r="AF195" s="46" t="n">
        <f aca="false">ROW()-ROW(hdr_ID)</f>
        <v>190</v>
      </c>
      <c r="AG195" s="46" t="n">
        <f aca="false">IF(OR($D195="",$AE195&lt;=1),0,IFERROR(LOOKUP(2,1/($AE$5:$AE194=$AE195-1),ROW($AE$5:$AE194)),0))</f>
        <v>0</v>
      </c>
      <c r="AH195" s="46" t="n">
        <f aca="false">IF($D195="",0,COUNTIF(tsk_WBS,$B195&amp;".*"))</f>
        <v>0</v>
      </c>
      <c r="AI195" s="47" t="b">
        <f aca="false">$AH195&gt;0</f>
        <v>0</v>
      </c>
      <c r="AJ195" s="46" t="n">
        <f aca="false">IF(AND($D195&lt;&gt;"",NOT($AI195)),1,0)</f>
        <v>0</v>
      </c>
      <c r="AK195" s="48" t="n">
        <f aca="true">IF(OR(N($G195)=0,$AI195,$D195=""),0,IFERROR(CHOOSE(MATCH(IF($H195="","FS",$H195),{"FS","SS","FF","SF"},0),WORKDAY.INTL(OFFSET(hdr_PlanFinish,MATCH($G195,tsk_ID,0),0),IF(N($F195)=0,0,1)+N($I195),WorkWeek,Holidays),WORKDAY.INTL(OFFSET(hdr_PlanStart,MATCH($G195,tsk_ID,0),0),N($I195),WorkWeek,Holidays),WORKDAY.INTL(WORKDAY.INTL(OFFSET(hdr_PlanFinish,MATCH($G195,tsk_ID,0),0),N($I195),WorkWeek,Holidays),-MAX(0,N($F195)-1),WorkWeek,Holidays),WORKDAY.INTL(WORKDAY.INTL(OFFSET(hdr_PlanStart,MATCH($G195,tsk_ID,0),0),N($I195),WorkWeek,Holidays),-MAX(0,N($F195)-1),WorkWeek,Holidays)),0))</f>
        <v>0</v>
      </c>
      <c r="AL195" s="48" t="n">
        <f aca="true">IF(OR(N($J195)=0,$AI195,$D195=""),0,IFERROR(CHOOSE(MATCH(IF($K195="","FS",$K195),{"FS","SS","FF","SF"},0),WORKDAY.INTL(OFFSET(hdr_PlanFinish,MATCH($J195,tsk_ID,0),0),IF(N($F195)=0,0,1)+N($L195),WorkWeek,Holidays),WORKDAY.INTL(OFFSET(hdr_PlanStart,MATCH($J195,tsk_ID,0),0),N($L195),WorkWeek,Holidays),WORKDAY.INTL(WORKDAY.INTL(OFFSET(hdr_PlanFinish,MATCH($J195,tsk_ID,0),0),N($L195),WorkWeek,Holidays),-MAX(0,N($F195)-1),WorkWeek,Holidays),WORKDAY.INTL(WORKDAY.INTL(OFFSET(hdr_PlanStart,MATCH($J195,tsk_ID,0),0),N($L195),WorkWeek,Holidays),-MAX(0,N($F195)-1),WorkWeek,Holidays)),0))</f>
        <v>0</v>
      </c>
      <c r="AM195" s="48" t="n">
        <f aca="true">IF(OR(N($G195)=0,$AI195,$D195=""),0,IFERROR(CHOOSE(MATCH(IF($H195="","FS",$H195),{"FS","SS","FF","SF"},0),WORKDAY.INTL(OFFSET(hdr_FcFinish,MATCH($G195,tsk_ID,0),0),IF(N($F195)=0,0,1)+N($I195),WorkWeek,Holidays),WORKDAY.INTL(OFFSET(hdr_FcStart,MATCH($G195,tsk_ID,0),0),N($I195),WorkWeek,Holidays),WORKDAY.INTL(WORKDAY.INTL(OFFSET(hdr_FcFinish,MATCH($G195,tsk_ID,0),0),N($I195),WorkWeek,Holidays),-MAX(0,N($F195)-1),WorkWeek,Holidays),WORKDAY.INTL(WORKDAY.INTL(OFFSET(hdr_FcStart,MATCH($G195,tsk_ID,0),0),N($I195),WorkWeek,Holidays),-MAX(0,N($F195)-1),WorkWeek,Holidays)),0))</f>
        <v>0</v>
      </c>
      <c r="AN195" s="48" t="n">
        <f aca="true">IF(OR(N($J195)=0,$AI195,$D195=""),0,IFERROR(CHOOSE(MATCH(IF($K195="","FS",$K195),{"FS","SS","FF","SF"},0),WORKDAY.INTL(OFFSET(hdr_FcFinish,MATCH($J195,tsk_ID,0),0),IF(N($F195)=0,0,1)+N($L195),WorkWeek,Holidays),WORKDAY.INTL(OFFSET(hdr_FcStart,MATCH($J195,tsk_ID,0),0),N($L195),WorkWeek,Holidays),WORKDAY.INTL(WORKDAY.INTL(OFFSET(hdr_FcFinish,MATCH($J195,tsk_ID,0),0),N($L195),WorkWeek,Holidays),-MAX(0,N($F195)-1),WorkWeek,Holidays),WORKDAY.INTL(WORKDAY.INTL(OFFSET(hdr_FcStart,MATCH($J195,tsk_ID,0),0),N($L195),WorkWeek,Holidays),-MAX(0,N($F195)-1),WorkWeek,Holidays)),0))</f>
        <v>0</v>
      </c>
      <c r="AO195" s="48" t="n">
        <f aca="false">IF($AJ195=1,$R195,0)</f>
        <v>0</v>
      </c>
      <c r="AP195" s="48" t="n">
        <f aca="false">IF($AJ195=1,$S195,0)</f>
        <v>0</v>
      </c>
      <c r="AQ195" s="49" t="n">
        <f aca="false">IF(AND($AJ195=1,N($Z195)&gt;0),$Z195/($AP195-$AO195+1),0)</f>
        <v>0</v>
      </c>
      <c r="AR195" s="46" t="n">
        <f aca="false">IF($AJ195=1,MAX(N($F195),0.1),0)</f>
        <v>0</v>
      </c>
      <c r="AS195" s="46" t="n">
        <f aca="false">IF($AJ195=1,$AR195*$V195,0)</f>
        <v>0</v>
      </c>
      <c r="AT195" s="46" t="str">
        <f aca="false">IF(N($G195)=0,"",$G195&amp;IF(AND(IF($H195="","FS",$H195)="FS",N($I195)=0),"",IF($H195="","FS",$H195)&amp;IF(N($I195)=0,"",IF(N($I195)&gt;0,"+","")&amp;N($I195)&amp;"d")))</f>
        <v/>
      </c>
      <c r="AU195" s="46" t="str">
        <f aca="false">IF(N($J195)=0,"",$J195&amp;IF(AND(IF($K195="","FS",$K195)="FS",N($L195)=0),"",IF($K195="","FS",$K195)&amp;IF(N($L195)=0,"",IF(N($L195)&gt;0,"+","")&amp;N($L195)&amp;"d")))</f>
        <v/>
      </c>
      <c r="AV195" s="46" t="str">
        <f aca="false">IF(AND($AJ195=1,N($F195)=0,$V195&lt;1),$S195+$AF195/100000,"")</f>
        <v/>
      </c>
    </row>
    <row r="196" customFormat="false" ht="15" hidden="false" customHeight="false" outlineLevel="0" collapsed="false">
      <c r="A196" s="38" t="str">
        <f aca="false">IF($D196="","",COUNTA($D$6:$D196))</f>
        <v/>
      </c>
      <c r="B196" s="39" t="str">
        <f aca="true">IF($D196="","",IF($AE196=1,COUNTIF($AE$6:$AE196,1)&amp;"",IF($AG196=0,"?",OFFSET(hdr_WBS,$AG196-ROW(hdr_WBS),0)&amp;"."&amp;COUNTIF(INDEX($AE:$AE,$AG196+1):$AE196,$AE196))))</f>
        <v/>
      </c>
      <c r="C196" s="40"/>
      <c r="D196" s="41"/>
      <c r="E196" s="40"/>
      <c r="F196" s="40"/>
      <c r="G196" s="40"/>
      <c r="H196" s="40"/>
      <c r="I196" s="40"/>
      <c r="J196" s="40"/>
      <c r="K196" s="40"/>
      <c r="L196" s="40"/>
      <c r="M196" s="29"/>
      <c r="N196" s="30" t="str">
        <f aca="true">IF($D196="","",IF($AI196,MIN(OFFSET(hdr_PlanStart,$AF196+1,0,$AH196,1)),IF($E196="Manual",IF(N($M196)&gt;0,$M196,ProjectStart),WORKDAY.INTL(MAX(ProjectStart,N($M196),$AK196,$AL196)-1,1,WorkWeek,Holidays))))</f>
        <v/>
      </c>
      <c r="O196" s="30" t="str">
        <f aca="true">IF($D196="","",IF($AI196,MAX(OFFSET(hdr_PlanFinish,$AF196+1,0,$AH196,1)),IF(N($F196)&lt;=0,$N196,WORKDAY.INTL($N196,$F196-1,WorkWeek,Holidays))))</f>
        <v/>
      </c>
      <c r="P196" s="29"/>
      <c r="Q196" s="29"/>
      <c r="R196" s="30" t="str">
        <f aca="true">IF($D196="","",IF($AI196,MIN(OFFSET(hdr_FcStart,$AF196+1,0,$AH196,1)),IF(N($P196)&gt;0,$P196,IF($E196="Manual",IF(N($M196)&gt;0,$M196,ProjectStart),WORKDAY.INTL(MAX(ProjectStart,N($M196),$AM196,$AN196,IF(RescheduleAfterStatus="Yes",StatusDate,0))-1,1,WorkWeek,Holidays)))))</f>
        <v/>
      </c>
      <c r="S196" s="30" t="str">
        <f aca="true">IF($D196="","",IF($AI196,MAX(OFFSET(hdr_FcFinish,$AF196+1,0,$AH196,1)),IF(N($Q196)&gt;0,$Q196,IF(N($F196)&lt;=0,$R196,IF(AND(N($P196)&gt;0,RescheduleAfterStatus="Yes"),MAX(WORKDAY.INTL($R196,$F196-1,WorkWeek,Holidays),WORKDAY.INTL(StatusWorkday,MAX(0,ROUNDUP($F196*(1-MIN(1,N($U196))),0)-1),WorkWeek,Holidays)),WORKDAY.INTL($R196,$F196-1,WorkWeek,Holidays))))))</f>
        <v/>
      </c>
      <c r="T196" s="38" t="str">
        <f aca="false">IF($D196="","",IF($S196&gt;=$O196,NETWORKDAYS.INTL($O196,$S196,WorkWeek,Holidays)-1,1-NETWORKDAYS.INTL($S196,$O196,WorkWeek,Holidays)))</f>
        <v/>
      </c>
      <c r="U196" s="32"/>
      <c r="V196" s="42" t="str">
        <f aca="true">IF($D196="","",IF($AI196,IFERROR(SUM(OFFSET(hdr_WtDone,$AF196+1,0,$AH196,1))/SUM(OFFSET(hdr_WtDur,$AF196+1,0,$AH196,1)),0),IF(N($Q196)&gt;0,1,MIN(1,N($U196)))))</f>
        <v/>
      </c>
      <c r="W196" s="39" t="str">
        <f aca="false">IF($D196="","",IF($V196&gt;=1,"Complete",IF(OR(N($P196)&gt;0,$V196&gt;0),IF($T196&gt;0,"Behind","In Progress"),IF($N196&lt;StatusDate,"Late Start","Not Started"))))</f>
        <v/>
      </c>
      <c r="X196" s="41"/>
      <c r="Y196" s="32"/>
      <c r="Z196" s="43" t="str">
        <f aca="true">IF($D196="","",IF($AI196,SUMPRODUCT(OFFSET(hdr_Work,$AF196+1,0,$AH196,1),OFFSET(hdr_IsLeaf,$AF196+1,0,$AH196,1)),IF($X196="",0,N($F196)*HoursPerDay*IF($Y196="",DefaultUnits,$Y196))))</f>
        <v/>
      </c>
      <c r="AA196" s="44" t="str">
        <f aca="true">IF($D196="","",IF($AI196,SUMPRODUCT(OFFSET(hdr_Cost,$AF196+1,0,$AH196,1),OFFSET(hdr_IsLeaf,$AF196+1,0,$AH196,1)),$Z196*IFERROR(INDEX(res_Rate,MATCH($X196,res_Name,0)),0)))</f>
        <v/>
      </c>
      <c r="AB196" s="38" t="str">
        <f aca="false">IF(OR($D196="",$AI196),"",IF(OR($R196&lt;Sprint1Start,$R196&gt;SprintLastEnd),"Backlog",INDEX(spr_Name,MATCH($R196,spr_Start,1))))</f>
        <v/>
      </c>
      <c r="AC196" s="45" t="str">
        <f aca="false">IF($D196="","",$AT196&amp;IF(AND($AT196&lt;&gt;"",$AU196&lt;&gt;""),",","")&amp;$AU196)</f>
        <v/>
      </c>
      <c r="AD196" s="41"/>
      <c r="AE196" s="46" t="str">
        <f aca="false">IF($D196="","",MAX(1,N($C196)))</f>
        <v/>
      </c>
      <c r="AF196" s="46" t="n">
        <f aca="false">ROW()-ROW(hdr_ID)</f>
        <v>191</v>
      </c>
      <c r="AG196" s="46" t="n">
        <f aca="false">IF(OR($D196="",$AE196&lt;=1),0,IFERROR(LOOKUP(2,1/($AE$5:$AE195=$AE196-1),ROW($AE$5:$AE195)),0))</f>
        <v>0</v>
      </c>
      <c r="AH196" s="46" t="n">
        <f aca="false">IF($D196="",0,COUNTIF(tsk_WBS,$B196&amp;".*"))</f>
        <v>0</v>
      </c>
      <c r="AI196" s="47" t="b">
        <f aca="false">$AH196&gt;0</f>
        <v>0</v>
      </c>
      <c r="AJ196" s="46" t="n">
        <f aca="false">IF(AND($D196&lt;&gt;"",NOT($AI196)),1,0)</f>
        <v>0</v>
      </c>
      <c r="AK196" s="48" t="n">
        <f aca="true">IF(OR(N($G196)=0,$AI196,$D196=""),0,IFERROR(CHOOSE(MATCH(IF($H196="","FS",$H196),{"FS","SS","FF","SF"},0),WORKDAY.INTL(OFFSET(hdr_PlanFinish,MATCH($G196,tsk_ID,0),0),IF(N($F196)=0,0,1)+N($I196),WorkWeek,Holidays),WORKDAY.INTL(OFFSET(hdr_PlanStart,MATCH($G196,tsk_ID,0),0),N($I196),WorkWeek,Holidays),WORKDAY.INTL(WORKDAY.INTL(OFFSET(hdr_PlanFinish,MATCH($G196,tsk_ID,0),0),N($I196),WorkWeek,Holidays),-MAX(0,N($F196)-1),WorkWeek,Holidays),WORKDAY.INTL(WORKDAY.INTL(OFFSET(hdr_PlanStart,MATCH($G196,tsk_ID,0),0),N($I196),WorkWeek,Holidays),-MAX(0,N($F196)-1),WorkWeek,Holidays)),0))</f>
        <v>0</v>
      </c>
      <c r="AL196" s="48" t="n">
        <f aca="true">IF(OR(N($J196)=0,$AI196,$D196=""),0,IFERROR(CHOOSE(MATCH(IF($K196="","FS",$K196),{"FS","SS","FF","SF"},0),WORKDAY.INTL(OFFSET(hdr_PlanFinish,MATCH($J196,tsk_ID,0),0),IF(N($F196)=0,0,1)+N($L196),WorkWeek,Holidays),WORKDAY.INTL(OFFSET(hdr_PlanStart,MATCH($J196,tsk_ID,0),0),N($L196),WorkWeek,Holidays),WORKDAY.INTL(WORKDAY.INTL(OFFSET(hdr_PlanFinish,MATCH($J196,tsk_ID,0),0),N($L196),WorkWeek,Holidays),-MAX(0,N($F196)-1),WorkWeek,Holidays),WORKDAY.INTL(WORKDAY.INTL(OFFSET(hdr_PlanStart,MATCH($J196,tsk_ID,0),0),N($L196),WorkWeek,Holidays),-MAX(0,N($F196)-1),WorkWeek,Holidays)),0))</f>
        <v>0</v>
      </c>
      <c r="AM196" s="48" t="n">
        <f aca="true">IF(OR(N($G196)=0,$AI196,$D196=""),0,IFERROR(CHOOSE(MATCH(IF($H196="","FS",$H196),{"FS","SS","FF","SF"},0),WORKDAY.INTL(OFFSET(hdr_FcFinish,MATCH($G196,tsk_ID,0),0),IF(N($F196)=0,0,1)+N($I196),WorkWeek,Holidays),WORKDAY.INTL(OFFSET(hdr_FcStart,MATCH($G196,tsk_ID,0),0),N($I196),WorkWeek,Holidays),WORKDAY.INTL(WORKDAY.INTL(OFFSET(hdr_FcFinish,MATCH($G196,tsk_ID,0),0),N($I196),WorkWeek,Holidays),-MAX(0,N($F196)-1),WorkWeek,Holidays),WORKDAY.INTL(WORKDAY.INTL(OFFSET(hdr_FcStart,MATCH($G196,tsk_ID,0),0),N($I196),WorkWeek,Holidays),-MAX(0,N($F196)-1),WorkWeek,Holidays)),0))</f>
        <v>0</v>
      </c>
      <c r="AN196" s="48" t="n">
        <f aca="true">IF(OR(N($J196)=0,$AI196,$D196=""),0,IFERROR(CHOOSE(MATCH(IF($K196="","FS",$K196),{"FS","SS","FF","SF"},0),WORKDAY.INTL(OFFSET(hdr_FcFinish,MATCH($J196,tsk_ID,0),0),IF(N($F196)=0,0,1)+N($L196),WorkWeek,Holidays),WORKDAY.INTL(OFFSET(hdr_FcStart,MATCH($J196,tsk_ID,0),0),N($L196),WorkWeek,Holidays),WORKDAY.INTL(WORKDAY.INTL(OFFSET(hdr_FcFinish,MATCH($J196,tsk_ID,0),0),N($L196),WorkWeek,Holidays),-MAX(0,N($F196)-1),WorkWeek,Holidays),WORKDAY.INTL(WORKDAY.INTL(OFFSET(hdr_FcStart,MATCH($J196,tsk_ID,0),0),N($L196),WorkWeek,Holidays),-MAX(0,N($F196)-1),WorkWeek,Holidays)),0))</f>
        <v>0</v>
      </c>
      <c r="AO196" s="48" t="n">
        <f aca="false">IF($AJ196=1,$R196,0)</f>
        <v>0</v>
      </c>
      <c r="AP196" s="48" t="n">
        <f aca="false">IF($AJ196=1,$S196,0)</f>
        <v>0</v>
      </c>
      <c r="AQ196" s="49" t="n">
        <f aca="false">IF(AND($AJ196=1,N($Z196)&gt;0),$Z196/($AP196-$AO196+1),0)</f>
        <v>0</v>
      </c>
      <c r="AR196" s="46" t="n">
        <f aca="false">IF($AJ196=1,MAX(N($F196),0.1),0)</f>
        <v>0</v>
      </c>
      <c r="AS196" s="46" t="n">
        <f aca="false">IF($AJ196=1,$AR196*$V196,0)</f>
        <v>0</v>
      </c>
      <c r="AT196" s="46" t="str">
        <f aca="false">IF(N($G196)=0,"",$G196&amp;IF(AND(IF($H196="","FS",$H196)="FS",N($I196)=0),"",IF($H196="","FS",$H196)&amp;IF(N($I196)=0,"",IF(N($I196)&gt;0,"+","")&amp;N($I196)&amp;"d")))</f>
        <v/>
      </c>
      <c r="AU196" s="46" t="str">
        <f aca="false">IF(N($J196)=0,"",$J196&amp;IF(AND(IF($K196="","FS",$K196)="FS",N($L196)=0),"",IF($K196="","FS",$K196)&amp;IF(N($L196)=0,"",IF(N($L196)&gt;0,"+","")&amp;N($L196)&amp;"d")))</f>
        <v/>
      </c>
      <c r="AV196" s="46" t="str">
        <f aca="false">IF(AND($AJ196=1,N($F196)=0,$V196&lt;1),$S196+$AF196/100000,"")</f>
        <v/>
      </c>
    </row>
    <row r="197" customFormat="false" ht="15" hidden="false" customHeight="false" outlineLevel="0" collapsed="false">
      <c r="A197" s="38" t="str">
        <f aca="false">IF($D197="","",COUNTA($D$6:$D197))</f>
        <v/>
      </c>
      <c r="B197" s="39" t="str">
        <f aca="true">IF($D197="","",IF($AE197=1,COUNTIF($AE$6:$AE197,1)&amp;"",IF($AG197=0,"?",OFFSET(hdr_WBS,$AG197-ROW(hdr_WBS),0)&amp;"."&amp;COUNTIF(INDEX($AE:$AE,$AG197+1):$AE197,$AE197))))</f>
        <v/>
      </c>
      <c r="C197" s="40"/>
      <c r="D197" s="41"/>
      <c r="E197" s="40"/>
      <c r="F197" s="40"/>
      <c r="G197" s="40"/>
      <c r="H197" s="40"/>
      <c r="I197" s="40"/>
      <c r="J197" s="40"/>
      <c r="K197" s="40"/>
      <c r="L197" s="40"/>
      <c r="M197" s="29"/>
      <c r="N197" s="30" t="str">
        <f aca="true">IF($D197="","",IF($AI197,MIN(OFFSET(hdr_PlanStart,$AF197+1,0,$AH197,1)),IF($E197="Manual",IF(N($M197)&gt;0,$M197,ProjectStart),WORKDAY.INTL(MAX(ProjectStart,N($M197),$AK197,$AL197)-1,1,WorkWeek,Holidays))))</f>
        <v/>
      </c>
      <c r="O197" s="30" t="str">
        <f aca="true">IF($D197="","",IF($AI197,MAX(OFFSET(hdr_PlanFinish,$AF197+1,0,$AH197,1)),IF(N($F197)&lt;=0,$N197,WORKDAY.INTL($N197,$F197-1,WorkWeek,Holidays))))</f>
        <v/>
      </c>
      <c r="P197" s="29"/>
      <c r="Q197" s="29"/>
      <c r="R197" s="30" t="str">
        <f aca="true">IF($D197="","",IF($AI197,MIN(OFFSET(hdr_FcStart,$AF197+1,0,$AH197,1)),IF(N($P197)&gt;0,$P197,IF($E197="Manual",IF(N($M197)&gt;0,$M197,ProjectStart),WORKDAY.INTL(MAX(ProjectStart,N($M197),$AM197,$AN197,IF(RescheduleAfterStatus="Yes",StatusDate,0))-1,1,WorkWeek,Holidays)))))</f>
        <v/>
      </c>
      <c r="S197" s="30" t="str">
        <f aca="true">IF($D197="","",IF($AI197,MAX(OFFSET(hdr_FcFinish,$AF197+1,0,$AH197,1)),IF(N($Q197)&gt;0,$Q197,IF(N($F197)&lt;=0,$R197,IF(AND(N($P197)&gt;0,RescheduleAfterStatus="Yes"),MAX(WORKDAY.INTL($R197,$F197-1,WorkWeek,Holidays),WORKDAY.INTL(StatusWorkday,MAX(0,ROUNDUP($F197*(1-MIN(1,N($U197))),0)-1),WorkWeek,Holidays)),WORKDAY.INTL($R197,$F197-1,WorkWeek,Holidays))))))</f>
        <v/>
      </c>
      <c r="T197" s="38" t="str">
        <f aca="false">IF($D197="","",IF($S197&gt;=$O197,NETWORKDAYS.INTL($O197,$S197,WorkWeek,Holidays)-1,1-NETWORKDAYS.INTL($S197,$O197,WorkWeek,Holidays)))</f>
        <v/>
      </c>
      <c r="U197" s="32"/>
      <c r="V197" s="42" t="str">
        <f aca="true">IF($D197="","",IF($AI197,IFERROR(SUM(OFFSET(hdr_WtDone,$AF197+1,0,$AH197,1))/SUM(OFFSET(hdr_WtDur,$AF197+1,0,$AH197,1)),0),IF(N($Q197)&gt;0,1,MIN(1,N($U197)))))</f>
        <v/>
      </c>
      <c r="W197" s="39" t="str">
        <f aca="false">IF($D197="","",IF($V197&gt;=1,"Complete",IF(OR(N($P197)&gt;0,$V197&gt;0),IF($T197&gt;0,"Behind","In Progress"),IF($N197&lt;StatusDate,"Late Start","Not Started"))))</f>
        <v/>
      </c>
      <c r="X197" s="41"/>
      <c r="Y197" s="32"/>
      <c r="Z197" s="43" t="str">
        <f aca="true">IF($D197="","",IF($AI197,SUMPRODUCT(OFFSET(hdr_Work,$AF197+1,0,$AH197,1),OFFSET(hdr_IsLeaf,$AF197+1,0,$AH197,1)),IF($X197="",0,N($F197)*HoursPerDay*IF($Y197="",DefaultUnits,$Y197))))</f>
        <v/>
      </c>
      <c r="AA197" s="44" t="str">
        <f aca="true">IF($D197="","",IF($AI197,SUMPRODUCT(OFFSET(hdr_Cost,$AF197+1,0,$AH197,1),OFFSET(hdr_IsLeaf,$AF197+1,0,$AH197,1)),$Z197*IFERROR(INDEX(res_Rate,MATCH($X197,res_Name,0)),0)))</f>
        <v/>
      </c>
      <c r="AB197" s="38" t="str">
        <f aca="false">IF(OR($D197="",$AI197),"",IF(OR($R197&lt;Sprint1Start,$R197&gt;SprintLastEnd),"Backlog",INDEX(spr_Name,MATCH($R197,spr_Start,1))))</f>
        <v/>
      </c>
      <c r="AC197" s="45" t="str">
        <f aca="false">IF($D197="","",$AT197&amp;IF(AND($AT197&lt;&gt;"",$AU197&lt;&gt;""),",","")&amp;$AU197)</f>
        <v/>
      </c>
      <c r="AD197" s="41"/>
      <c r="AE197" s="46" t="str">
        <f aca="false">IF($D197="","",MAX(1,N($C197)))</f>
        <v/>
      </c>
      <c r="AF197" s="46" t="n">
        <f aca="false">ROW()-ROW(hdr_ID)</f>
        <v>192</v>
      </c>
      <c r="AG197" s="46" t="n">
        <f aca="false">IF(OR($D197="",$AE197&lt;=1),0,IFERROR(LOOKUP(2,1/($AE$5:$AE196=$AE197-1),ROW($AE$5:$AE196)),0))</f>
        <v>0</v>
      </c>
      <c r="AH197" s="46" t="n">
        <f aca="false">IF($D197="",0,COUNTIF(tsk_WBS,$B197&amp;".*"))</f>
        <v>0</v>
      </c>
      <c r="AI197" s="47" t="b">
        <f aca="false">$AH197&gt;0</f>
        <v>0</v>
      </c>
      <c r="AJ197" s="46" t="n">
        <f aca="false">IF(AND($D197&lt;&gt;"",NOT($AI197)),1,0)</f>
        <v>0</v>
      </c>
      <c r="AK197" s="48" t="n">
        <f aca="true">IF(OR(N($G197)=0,$AI197,$D197=""),0,IFERROR(CHOOSE(MATCH(IF($H197="","FS",$H197),{"FS","SS","FF","SF"},0),WORKDAY.INTL(OFFSET(hdr_PlanFinish,MATCH($G197,tsk_ID,0),0),IF(N($F197)=0,0,1)+N($I197),WorkWeek,Holidays),WORKDAY.INTL(OFFSET(hdr_PlanStart,MATCH($G197,tsk_ID,0),0),N($I197),WorkWeek,Holidays),WORKDAY.INTL(WORKDAY.INTL(OFFSET(hdr_PlanFinish,MATCH($G197,tsk_ID,0),0),N($I197),WorkWeek,Holidays),-MAX(0,N($F197)-1),WorkWeek,Holidays),WORKDAY.INTL(WORKDAY.INTL(OFFSET(hdr_PlanStart,MATCH($G197,tsk_ID,0),0),N($I197),WorkWeek,Holidays),-MAX(0,N($F197)-1),WorkWeek,Holidays)),0))</f>
        <v>0</v>
      </c>
      <c r="AL197" s="48" t="n">
        <f aca="true">IF(OR(N($J197)=0,$AI197,$D197=""),0,IFERROR(CHOOSE(MATCH(IF($K197="","FS",$K197),{"FS","SS","FF","SF"},0),WORKDAY.INTL(OFFSET(hdr_PlanFinish,MATCH($J197,tsk_ID,0),0),IF(N($F197)=0,0,1)+N($L197),WorkWeek,Holidays),WORKDAY.INTL(OFFSET(hdr_PlanStart,MATCH($J197,tsk_ID,0),0),N($L197),WorkWeek,Holidays),WORKDAY.INTL(WORKDAY.INTL(OFFSET(hdr_PlanFinish,MATCH($J197,tsk_ID,0),0),N($L197),WorkWeek,Holidays),-MAX(0,N($F197)-1),WorkWeek,Holidays),WORKDAY.INTL(WORKDAY.INTL(OFFSET(hdr_PlanStart,MATCH($J197,tsk_ID,0),0),N($L197),WorkWeek,Holidays),-MAX(0,N($F197)-1),WorkWeek,Holidays)),0))</f>
        <v>0</v>
      </c>
      <c r="AM197" s="48" t="n">
        <f aca="true">IF(OR(N($G197)=0,$AI197,$D197=""),0,IFERROR(CHOOSE(MATCH(IF($H197="","FS",$H197),{"FS","SS","FF","SF"},0),WORKDAY.INTL(OFFSET(hdr_FcFinish,MATCH($G197,tsk_ID,0),0),IF(N($F197)=0,0,1)+N($I197),WorkWeek,Holidays),WORKDAY.INTL(OFFSET(hdr_FcStart,MATCH($G197,tsk_ID,0),0),N($I197),WorkWeek,Holidays),WORKDAY.INTL(WORKDAY.INTL(OFFSET(hdr_FcFinish,MATCH($G197,tsk_ID,0),0),N($I197),WorkWeek,Holidays),-MAX(0,N($F197)-1),WorkWeek,Holidays),WORKDAY.INTL(WORKDAY.INTL(OFFSET(hdr_FcStart,MATCH($G197,tsk_ID,0),0),N($I197),WorkWeek,Holidays),-MAX(0,N($F197)-1),WorkWeek,Holidays)),0))</f>
        <v>0</v>
      </c>
      <c r="AN197" s="48" t="n">
        <f aca="true">IF(OR(N($J197)=0,$AI197,$D197=""),0,IFERROR(CHOOSE(MATCH(IF($K197="","FS",$K197),{"FS","SS","FF","SF"},0),WORKDAY.INTL(OFFSET(hdr_FcFinish,MATCH($J197,tsk_ID,0),0),IF(N($F197)=0,0,1)+N($L197),WorkWeek,Holidays),WORKDAY.INTL(OFFSET(hdr_FcStart,MATCH($J197,tsk_ID,0),0),N($L197),WorkWeek,Holidays),WORKDAY.INTL(WORKDAY.INTL(OFFSET(hdr_FcFinish,MATCH($J197,tsk_ID,0),0),N($L197),WorkWeek,Holidays),-MAX(0,N($F197)-1),WorkWeek,Holidays),WORKDAY.INTL(WORKDAY.INTL(OFFSET(hdr_FcStart,MATCH($J197,tsk_ID,0),0),N($L197),WorkWeek,Holidays),-MAX(0,N($F197)-1),WorkWeek,Holidays)),0))</f>
        <v>0</v>
      </c>
      <c r="AO197" s="48" t="n">
        <f aca="false">IF($AJ197=1,$R197,0)</f>
        <v>0</v>
      </c>
      <c r="AP197" s="48" t="n">
        <f aca="false">IF($AJ197=1,$S197,0)</f>
        <v>0</v>
      </c>
      <c r="AQ197" s="49" t="n">
        <f aca="false">IF(AND($AJ197=1,N($Z197)&gt;0),$Z197/($AP197-$AO197+1),0)</f>
        <v>0</v>
      </c>
      <c r="AR197" s="46" t="n">
        <f aca="false">IF($AJ197=1,MAX(N($F197),0.1),0)</f>
        <v>0</v>
      </c>
      <c r="AS197" s="46" t="n">
        <f aca="false">IF($AJ197=1,$AR197*$V197,0)</f>
        <v>0</v>
      </c>
      <c r="AT197" s="46" t="str">
        <f aca="false">IF(N($G197)=0,"",$G197&amp;IF(AND(IF($H197="","FS",$H197)="FS",N($I197)=0),"",IF($H197="","FS",$H197)&amp;IF(N($I197)=0,"",IF(N($I197)&gt;0,"+","")&amp;N($I197)&amp;"d")))</f>
        <v/>
      </c>
      <c r="AU197" s="46" t="str">
        <f aca="false">IF(N($J197)=0,"",$J197&amp;IF(AND(IF($K197="","FS",$K197)="FS",N($L197)=0),"",IF($K197="","FS",$K197)&amp;IF(N($L197)=0,"",IF(N($L197)&gt;0,"+","")&amp;N($L197)&amp;"d")))</f>
        <v/>
      </c>
      <c r="AV197" s="46" t="str">
        <f aca="false">IF(AND($AJ197=1,N($F197)=0,$V197&lt;1),$S197+$AF197/100000,"")</f>
        <v/>
      </c>
    </row>
    <row r="198" customFormat="false" ht="15" hidden="false" customHeight="false" outlineLevel="0" collapsed="false">
      <c r="A198" s="38" t="str">
        <f aca="false">IF($D198="","",COUNTA($D$6:$D198))</f>
        <v/>
      </c>
      <c r="B198" s="39" t="str">
        <f aca="true">IF($D198="","",IF($AE198=1,COUNTIF($AE$6:$AE198,1)&amp;"",IF($AG198=0,"?",OFFSET(hdr_WBS,$AG198-ROW(hdr_WBS),0)&amp;"."&amp;COUNTIF(INDEX($AE:$AE,$AG198+1):$AE198,$AE198))))</f>
        <v/>
      </c>
      <c r="C198" s="40"/>
      <c r="D198" s="41"/>
      <c r="E198" s="40"/>
      <c r="F198" s="40"/>
      <c r="G198" s="40"/>
      <c r="H198" s="40"/>
      <c r="I198" s="40"/>
      <c r="J198" s="40"/>
      <c r="K198" s="40"/>
      <c r="L198" s="40"/>
      <c r="M198" s="29"/>
      <c r="N198" s="30" t="str">
        <f aca="true">IF($D198="","",IF($AI198,MIN(OFFSET(hdr_PlanStart,$AF198+1,0,$AH198,1)),IF($E198="Manual",IF(N($M198)&gt;0,$M198,ProjectStart),WORKDAY.INTL(MAX(ProjectStart,N($M198),$AK198,$AL198)-1,1,WorkWeek,Holidays))))</f>
        <v/>
      </c>
      <c r="O198" s="30" t="str">
        <f aca="true">IF($D198="","",IF($AI198,MAX(OFFSET(hdr_PlanFinish,$AF198+1,0,$AH198,1)),IF(N($F198)&lt;=0,$N198,WORKDAY.INTL($N198,$F198-1,WorkWeek,Holidays))))</f>
        <v/>
      </c>
      <c r="P198" s="29"/>
      <c r="Q198" s="29"/>
      <c r="R198" s="30" t="str">
        <f aca="true">IF($D198="","",IF($AI198,MIN(OFFSET(hdr_FcStart,$AF198+1,0,$AH198,1)),IF(N($P198)&gt;0,$P198,IF($E198="Manual",IF(N($M198)&gt;0,$M198,ProjectStart),WORKDAY.INTL(MAX(ProjectStart,N($M198),$AM198,$AN198,IF(RescheduleAfterStatus="Yes",StatusDate,0))-1,1,WorkWeek,Holidays)))))</f>
        <v/>
      </c>
      <c r="S198" s="30" t="str">
        <f aca="true">IF($D198="","",IF($AI198,MAX(OFFSET(hdr_FcFinish,$AF198+1,0,$AH198,1)),IF(N($Q198)&gt;0,$Q198,IF(N($F198)&lt;=0,$R198,IF(AND(N($P198)&gt;0,RescheduleAfterStatus="Yes"),MAX(WORKDAY.INTL($R198,$F198-1,WorkWeek,Holidays),WORKDAY.INTL(StatusWorkday,MAX(0,ROUNDUP($F198*(1-MIN(1,N($U198))),0)-1),WorkWeek,Holidays)),WORKDAY.INTL($R198,$F198-1,WorkWeek,Holidays))))))</f>
        <v/>
      </c>
      <c r="T198" s="38" t="str">
        <f aca="false">IF($D198="","",IF($S198&gt;=$O198,NETWORKDAYS.INTL($O198,$S198,WorkWeek,Holidays)-1,1-NETWORKDAYS.INTL($S198,$O198,WorkWeek,Holidays)))</f>
        <v/>
      </c>
      <c r="U198" s="32"/>
      <c r="V198" s="42" t="str">
        <f aca="true">IF($D198="","",IF($AI198,IFERROR(SUM(OFFSET(hdr_WtDone,$AF198+1,0,$AH198,1))/SUM(OFFSET(hdr_WtDur,$AF198+1,0,$AH198,1)),0),IF(N($Q198)&gt;0,1,MIN(1,N($U198)))))</f>
        <v/>
      </c>
      <c r="W198" s="39" t="str">
        <f aca="false">IF($D198="","",IF($V198&gt;=1,"Complete",IF(OR(N($P198)&gt;0,$V198&gt;0),IF($T198&gt;0,"Behind","In Progress"),IF($N198&lt;StatusDate,"Late Start","Not Started"))))</f>
        <v/>
      </c>
      <c r="X198" s="41"/>
      <c r="Y198" s="32"/>
      <c r="Z198" s="43" t="str">
        <f aca="true">IF($D198="","",IF($AI198,SUMPRODUCT(OFFSET(hdr_Work,$AF198+1,0,$AH198,1),OFFSET(hdr_IsLeaf,$AF198+1,0,$AH198,1)),IF($X198="",0,N($F198)*HoursPerDay*IF($Y198="",DefaultUnits,$Y198))))</f>
        <v/>
      </c>
      <c r="AA198" s="44" t="str">
        <f aca="true">IF($D198="","",IF($AI198,SUMPRODUCT(OFFSET(hdr_Cost,$AF198+1,0,$AH198,1),OFFSET(hdr_IsLeaf,$AF198+1,0,$AH198,1)),$Z198*IFERROR(INDEX(res_Rate,MATCH($X198,res_Name,0)),0)))</f>
        <v/>
      </c>
      <c r="AB198" s="38" t="str">
        <f aca="false">IF(OR($D198="",$AI198),"",IF(OR($R198&lt;Sprint1Start,$R198&gt;SprintLastEnd),"Backlog",INDEX(spr_Name,MATCH($R198,spr_Start,1))))</f>
        <v/>
      </c>
      <c r="AC198" s="45" t="str">
        <f aca="false">IF($D198="","",$AT198&amp;IF(AND($AT198&lt;&gt;"",$AU198&lt;&gt;""),",","")&amp;$AU198)</f>
        <v/>
      </c>
      <c r="AD198" s="41"/>
      <c r="AE198" s="46" t="str">
        <f aca="false">IF($D198="","",MAX(1,N($C198)))</f>
        <v/>
      </c>
      <c r="AF198" s="46" t="n">
        <f aca="false">ROW()-ROW(hdr_ID)</f>
        <v>193</v>
      </c>
      <c r="AG198" s="46" t="n">
        <f aca="false">IF(OR($D198="",$AE198&lt;=1),0,IFERROR(LOOKUP(2,1/($AE$5:$AE197=$AE198-1),ROW($AE$5:$AE197)),0))</f>
        <v>0</v>
      </c>
      <c r="AH198" s="46" t="n">
        <f aca="false">IF($D198="",0,COUNTIF(tsk_WBS,$B198&amp;".*"))</f>
        <v>0</v>
      </c>
      <c r="AI198" s="47" t="b">
        <f aca="false">$AH198&gt;0</f>
        <v>0</v>
      </c>
      <c r="AJ198" s="46" t="n">
        <f aca="false">IF(AND($D198&lt;&gt;"",NOT($AI198)),1,0)</f>
        <v>0</v>
      </c>
      <c r="AK198" s="48" t="n">
        <f aca="true">IF(OR(N($G198)=0,$AI198,$D198=""),0,IFERROR(CHOOSE(MATCH(IF($H198="","FS",$H198),{"FS","SS","FF","SF"},0),WORKDAY.INTL(OFFSET(hdr_PlanFinish,MATCH($G198,tsk_ID,0),0),IF(N($F198)=0,0,1)+N($I198),WorkWeek,Holidays),WORKDAY.INTL(OFFSET(hdr_PlanStart,MATCH($G198,tsk_ID,0),0),N($I198),WorkWeek,Holidays),WORKDAY.INTL(WORKDAY.INTL(OFFSET(hdr_PlanFinish,MATCH($G198,tsk_ID,0),0),N($I198),WorkWeek,Holidays),-MAX(0,N($F198)-1),WorkWeek,Holidays),WORKDAY.INTL(WORKDAY.INTL(OFFSET(hdr_PlanStart,MATCH($G198,tsk_ID,0),0),N($I198),WorkWeek,Holidays),-MAX(0,N($F198)-1),WorkWeek,Holidays)),0))</f>
        <v>0</v>
      </c>
      <c r="AL198" s="48" t="n">
        <f aca="true">IF(OR(N($J198)=0,$AI198,$D198=""),0,IFERROR(CHOOSE(MATCH(IF($K198="","FS",$K198),{"FS","SS","FF","SF"},0),WORKDAY.INTL(OFFSET(hdr_PlanFinish,MATCH($J198,tsk_ID,0),0),IF(N($F198)=0,0,1)+N($L198),WorkWeek,Holidays),WORKDAY.INTL(OFFSET(hdr_PlanStart,MATCH($J198,tsk_ID,0),0),N($L198),WorkWeek,Holidays),WORKDAY.INTL(WORKDAY.INTL(OFFSET(hdr_PlanFinish,MATCH($J198,tsk_ID,0),0),N($L198),WorkWeek,Holidays),-MAX(0,N($F198)-1),WorkWeek,Holidays),WORKDAY.INTL(WORKDAY.INTL(OFFSET(hdr_PlanStart,MATCH($J198,tsk_ID,0),0),N($L198),WorkWeek,Holidays),-MAX(0,N($F198)-1),WorkWeek,Holidays)),0))</f>
        <v>0</v>
      </c>
      <c r="AM198" s="48" t="n">
        <f aca="true">IF(OR(N($G198)=0,$AI198,$D198=""),0,IFERROR(CHOOSE(MATCH(IF($H198="","FS",$H198),{"FS","SS","FF","SF"},0),WORKDAY.INTL(OFFSET(hdr_FcFinish,MATCH($G198,tsk_ID,0),0),IF(N($F198)=0,0,1)+N($I198),WorkWeek,Holidays),WORKDAY.INTL(OFFSET(hdr_FcStart,MATCH($G198,tsk_ID,0),0),N($I198),WorkWeek,Holidays),WORKDAY.INTL(WORKDAY.INTL(OFFSET(hdr_FcFinish,MATCH($G198,tsk_ID,0),0),N($I198),WorkWeek,Holidays),-MAX(0,N($F198)-1),WorkWeek,Holidays),WORKDAY.INTL(WORKDAY.INTL(OFFSET(hdr_FcStart,MATCH($G198,tsk_ID,0),0),N($I198),WorkWeek,Holidays),-MAX(0,N($F198)-1),WorkWeek,Holidays)),0))</f>
        <v>0</v>
      </c>
      <c r="AN198" s="48" t="n">
        <f aca="true">IF(OR(N($J198)=0,$AI198,$D198=""),0,IFERROR(CHOOSE(MATCH(IF($K198="","FS",$K198),{"FS","SS","FF","SF"},0),WORKDAY.INTL(OFFSET(hdr_FcFinish,MATCH($J198,tsk_ID,0),0),IF(N($F198)=0,0,1)+N($L198),WorkWeek,Holidays),WORKDAY.INTL(OFFSET(hdr_FcStart,MATCH($J198,tsk_ID,0),0),N($L198),WorkWeek,Holidays),WORKDAY.INTL(WORKDAY.INTL(OFFSET(hdr_FcFinish,MATCH($J198,tsk_ID,0),0),N($L198),WorkWeek,Holidays),-MAX(0,N($F198)-1),WorkWeek,Holidays),WORKDAY.INTL(WORKDAY.INTL(OFFSET(hdr_FcStart,MATCH($J198,tsk_ID,0),0),N($L198),WorkWeek,Holidays),-MAX(0,N($F198)-1),WorkWeek,Holidays)),0))</f>
        <v>0</v>
      </c>
      <c r="AO198" s="48" t="n">
        <f aca="false">IF($AJ198=1,$R198,0)</f>
        <v>0</v>
      </c>
      <c r="AP198" s="48" t="n">
        <f aca="false">IF($AJ198=1,$S198,0)</f>
        <v>0</v>
      </c>
      <c r="AQ198" s="49" t="n">
        <f aca="false">IF(AND($AJ198=1,N($Z198)&gt;0),$Z198/($AP198-$AO198+1),0)</f>
        <v>0</v>
      </c>
      <c r="AR198" s="46" t="n">
        <f aca="false">IF($AJ198=1,MAX(N($F198),0.1),0)</f>
        <v>0</v>
      </c>
      <c r="AS198" s="46" t="n">
        <f aca="false">IF($AJ198=1,$AR198*$V198,0)</f>
        <v>0</v>
      </c>
      <c r="AT198" s="46" t="str">
        <f aca="false">IF(N($G198)=0,"",$G198&amp;IF(AND(IF($H198="","FS",$H198)="FS",N($I198)=0),"",IF($H198="","FS",$H198)&amp;IF(N($I198)=0,"",IF(N($I198)&gt;0,"+","")&amp;N($I198)&amp;"d")))</f>
        <v/>
      </c>
      <c r="AU198" s="46" t="str">
        <f aca="false">IF(N($J198)=0,"",$J198&amp;IF(AND(IF($K198="","FS",$K198)="FS",N($L198)=0),"",IF($K198="","FS",$K198)&amp;IF(N($L198)=0,"",IF(N($L198)&gt;0,"+","")&amp;N($L198)&amp;"d")))</f>
        <v/>
      </c>
      <c r="AV198" s="46" t="str">
        <f aca="false">IF(AND($AJ198=1,N($F198)=0,$V198&lt;1),$S198+$AF198/100000,"")</f>
        <v/>
      </c>
    </row>
    <row r="199" customFormat="false" ht="15" hidden="false" customHeight="false" outlineLevel="0" collapsed="false">
      <c r="A199" s="38" t="str">
        <f aca="false">IF($D199="","",COUNTA($D$6:$D199))</f>
        <v/>
      </c>
      <c r="B199" s="39" t="str">
        <f aca="true">IF($D199="","",IF($AE199=1,COUNTIF($AE$6:$AE199,1)&amp;"",IF($AG199=0,"?",OFFSET(hdr_WBS,$AG199-ROW(hdr_WBS),0)&amp;"."&amp;COUNTIF(INDEX($AE:$AE,$AG199+1):$AE199,$AE199))))</f>
        <v/>
      </c>
      <c r="C199" s="40"/>
      <c r="D199" s="41"/>
      <c r="E199" s="40"/>
      <c r="F199" s="40"/>
      <c r="G199" s="40"/>
      <c r="H199" s="40"/>
      <c r="I199" s="40"/>
      <c r="J199" s="40"/>
      <c r="K199" s="40"/>
      <c r="L199" s="40"/>
      <c r="M199" s="29"/>
      <c r="N199" s="30" t="str">
        <f aca="true">IF($D199="","",IF($AI199,MIN(OFFSET(hdr_PlanStart,$AF199+1,0,$AH199,1)),IF($E199="Manual",IF(N($M199)&gt;0,$M199,ProjectStart),WORKDAY.INTL(MAX(ProjectStart,N($M199),$AK199,$AL199)-1,1,WorkWeek,Holidays))))</f>
        <v/>
      </c>
      <c r="O199" s="30" t="str">
        <f aca="true">IF($D199="","",IF($AI199,MAX(OFFSET(hdr_PlanFinish,$AF199+1,0,$AH199,1)),IF(N($F199)&lt;=0,$N199,WORKDAY.INTL($N199,$F199-1,WorkWeek,Holidays))))</f>
        <v/>
      </c>
      <c r="P199" s="29"/>
      <c r="Q199" s="29"/>
      <c r="R199" s="30" t="str">
        <f aca="true">IF($D199="","",IF($AI199,MIN(OFFSET(hdr_FcStart,$AF199+1,0,$AH199,1)),IF(N($P199)&gt;0,$P199,IF($E199="Manual",IF(N($M199)&gt;0,$M199,ProjectStart),WORKDAY.INTL(MAX(ProjectStart,N($M199),$AM199,$AN199,IF(RescheduleAfterStatus="Yes",StatusDate,0))-1,1,WorkWeek,Holidays)))))</f>
        <v/>
      </c>
      <c r="S199" s="30" t="str">
        <f aca="true">IF($D199="","",IF($AI199,MAX(OFFSET(hdr_FcFinish,$AF199+1,0,$AH199,1)),IF(N($Q199)&gt;0,$Q199,IF(N($F199)&lt;=0,$R199,IF(AND(N($P199)&gt;0,RescheduleAfterStatus="Yes"),MAX(WORKDAY.INTL($R199,$F199-1,WorkWeek,Holidays),WORKDAY.INTL(StatusWorkday,MAX(0,ROUNDUP($F199*(1-MIN(1,N($U199))),0)-1),WorkWeek,Holidays)),WORKDAY.INTL($R199,$F199-1,WorkWeek,Holidays))))))</f>
        <v/>
      </c>
      <c r="T199" s="38" t="str">
        <f aca="false">IF($D199="","",IF($S199&gt;=$O199,NETWORKDAYS.INTL($O199,$S199,WorkWeek,Holidays)-1,1-NETWORKDAYS.INTL($S199,$O199,WorkWeek,Holidays)))</f>
        <v/>
      </c>
      <c r="U199" s="32"/>
      <c r="V199" s="42" t="str">
        <f aca="true">IF($D199="","",IF($AI199,IFERROR(SUM(OFFSET(hdr_WtDone,$AF199+1,0,$AH199,1))/SUM(OFFSET(hdr_WtDur,$AF199+1,0,$AH199,1)),0),IF(N($Q199)&gt;0,1,MIN(1,N($U199)))))</f>
        <v/>
      </c>
      <c r="W199" s="39" t="str">
        <f aca="false">IF($D199="","",IF($V199&gt;=1,"Complete",IF(OR(N($P199)&gt;0,$V199&gt;0),IF($T199&gt;0,"Behind","In Progress"),IF($N199&lt;StatusDate,"Late Start","Not Started"))))</f>
        <v/>
      </c>
      <c r="X199" s="41"/>
      <c r="Y199" s="32"/>
      <c r="Z199" s="43" t="str">
        <f aca="true">IF($D199="","",IF($AI199,SUMPRODUCT(OFFSET(hdr_Work,$AF199+1,0,$AH199,1),OFFSET(hdr_IsLeaf,$AF199+1,0,$AH199,1)),IF($X199="",0,N($F199)*HoursPerDay*IF($Y199="",DefaultUnits,$Y199))))</f>
        <v/>
      </c>
      <c r="AA199" s="44" t="str">
        <f aca="true">IF($D199="","",IF($AI199,SUMPRODUCT(OFFSET(hdr_Cost,$AF199+1,0,$AH199,1),OFFSET(hdr_IsLeaf,$AF199+1,0,$AH199,1)),$Z199*IFERROR(INDEX(res_Rate,MATCH($X199,res_Name,0)),0)))</f>
        <v/>
      </c>
      <c r="AB199" s="38" t="str">
        <f aca="false">IF(OR($D199="",$AI199),"",IF(OR($R199&lt;Sprint1Start,$R199&gt;SprintLastEnd),"Backlog",INDEX(spr_Name,MATCH($R199,spr_Start,1))))</f>
        <v/>
      </c>
      <c r="AC199" s="45" t="str">
        <f aca="false">IF($D199="","",$AT199&amp;IF(AND($AT199&lt;&gt;"",$AU199&lt;&gt;""),",","")&amp;$AU199)</f>
        <v/>
      </c>
      <c r="AD199" s="41"/>
      <c r="AE199" s="46" t="str">
        <f aca="false">IF($D199="","",MAX(1,N($C199)))</f>
        <v/>
      </c>
      <c r="AF199" s="46" t="n">
        <f aca="false">ROW()-ROW(hdr_ID)</f>
        <v>194</v>
      </c>
      <c r="AG199" s="46" t="n">
        <f aca="false">IF(OR($D199="",$AE199&lt;=1),0,IFERROR(LOOKUP(2,1/($AE$5:$AE198=$AE199-1),ROW($AE$5:$AE198)),0))</f>
        <v>0</v>
      </c>
      <c r="AH199" s="46" t="n">
        <f aca="false">IF($D199="",0,COUNTIF(tsk_WBS,$B199&amp;".*"))</f>
        <v>0</v>
      </c>
      <c r="AI199" s="47" t="b">
        <f aca="false">$AH199&gt;0</f>
        <v>0</v>
      </c>
      <c r="AJ199" s="46" t="n">
        <f aca="false">IF(AND($D199&lt;&gt;"",NOT($AI199)),1,0)</f>
        <v>0</v>
      </c>
      <c r="AK199" s="48" t="n">
        <f aca="true">IF(OR(N($G199)=0,$AI199,$D199=""),0,IFERROR(CHOOSE(MATCH(IF($H199="","FS",$H199),{"FS","SS","FF","SF"},0),WORKDAY.INTL(OFFSET(hdr_PlanFinish,MATCH($G199,tsk_ID,0),0),IF(N($F199)=0,0,1)+N($I199),WorkWeek,Holidays),WORKDAY.INTL(OFFSET(hdr_PlanStart,MATCH($G199,tsk_ID,0),0),N($I199),WorkWeek,Holidays),WORKDAY.INTL(WORKDAY.INTL(OFFSET(hdr_PlanFinish,MATCH($G199,tsk_ID,0),0),N($I199),WorkWeek,Holidays),-MAX(0,N($F199)-1),WorkWeek,Holidays),WORKDAY.INTL(WORKDAY.INTL(OFFSET(hdr_PlanStart,MATCH($G199,tsk_ID,0),0),N($I199),WorkWeek,Holidays),-MAX(0,N($F199)-1),WorkWeek,Holidays)),0))</f>
        <v>0</v>
      </c>
      <c r="AL199" s="48" t="n">
        <f aca="true">IF(OR(N($J199)=0,$AI199,$D199=""),0,IFERROR(CHOOSE(MATCH(IF($K199="","FS",$K199),{"FS","SS","FF","SF"},0),WORKDAY.INTL(OFFSET(hdr_PlanFinish,MATCH($J199,tsk_ID,0),0),IF(N($F199)=0,0,1)+N($L199),WorkWeek,Holidays),WORKDAY.INTL(OFFSET(hdr_PlanStart,MATCH($J199,tsk_ID,0),0),N($L199),WorkWeek,Holidays),WORKDAY.INTL(WORKDAY.INTL(OFFSET(hdr_PlanFinish,MATCH($J199,tsk_ID,0),0),N($L199),WorkWeek,Holidays),-MAX(0,N($F199)-1),WorkWeek,Holidays),WORKDAY.INTL(WORKDAY.INTL(OFFSET(hdr_PlanStart,MATCH($J199,tsk_ID,0),0),N($L199),WorkWeek,Holidays),-MAX(0,N($F199)-1),WorkWeek,Holidays)),0))</f>
        <v>0</v>
      </c>
      <c r="AM199" s="48" t="n">
        <f aca="true">IF(OR(N($G199)=0,$AI199,$D199=""),0,IFERROR(CHOOSE(MATCH(IF($H199="","FS",$H199),{"FS","SS","FF","SF"},0),WORKDAY.INTL(OFFSET(hdr_FcFinish,MATCH($G199,tsk_ID,0),0),IF(N($F199)=0,0,1)+N($I199),WorkWeek,Holidays),WORKDAY.INTL(OFFSET(hdr_FcStart,MATCH($G199,tsk_ID,0),0),N($I199),WorkWeek,Holidays),WORKDAY.INTL(WORKDAY.INTL(OFFSET(hdr_FcFinish,MATCH($G199,tsk_ID,0),0),N($I199),WorkWeek,Holidays),-MAX(0,N($F199)-1),WorkWeek,Holidays),WORKDAY.INTL(WORKDAY.INTL(OFFSET(hdr_FcStart,MATCH($G199,tsk_ID,0),0),N($I199),WorkWeek,Holidays),-MAX(0,N($F199)-1),WorkWeek,Holidays)),0))</f>
        <v>0</v>
      </c>
      <c r="AN199" s="48" t="n">
        <f aca="true">IF(OR(N($J199)=0,$AI199,$D199=""),0,IFERROR(CHOOSE(MATCH(IF($K199="","FS",$K199),{"FS","SS","FF","SF"},0),WORKDAY.INTL(OFFSET(hdr_FcFinish,MATCH($J199,tsk_ID,0),0),IF(N($F199)=0,0,1)+N($L199),WorkWeek,Holidays),WORKDAY.INTL(OFFSET(hdr_FcStart,MATCH($J199,tsk_ID,0),0),N($L199),WorkWeek,Holidays),WORKDAY.INTL(WORKDAY.INTL(OFFSET(hdr_FcFinish,MATCH($J199,tsk_ID,0),0),N($L199),WorkWeek,Holidays),-MAX(0,N($F199)-1),WorkWeek,Holidays),WORKDAY.INTL(WORKDAY.INTL(OFFSET(hdr_FcStart,MATCH($J199,tsk_ID,0),0),N($L199),WorkWeek,Holidays),-MAX(0,N($F199)-1),WorkWeek,Holidays)),0))</f>
        <v>0</v>
      </c>
      <c r="AO199" s="48" t="n">
        <f aca="false">IF($AJ199=1,$R199,0)</f>
        <v>0</v>
      </c>
      <c r="AP199" s="48" t="n">
        <f aca="false">IF($AJ199=1,$S199,0)</f>
        <v>0</v>
      </c>
      <c r="AQ199" s="49" t="n">
        <f aca="false">IF(AND($AJ199=1,N($Z199)&gt;0),$Z199/($AP199-$AO199+1),0)</f>
        <v>0</v>
      </c>
      <c r="AR199" s="46" t="n">
        <f aca="false">IF($AJ199=1,MAX(N($F199),0.1),0)</f>
        <v>0</v>
      </c>
      <c r="AS199" s="46" t="n">
        <f aca="false">IF($AJ199=1,$AR199*$V199,0)</f>
        <v>0</v>
      </c>
      <c r="AT199" s="46" t="str">
        <f aca="false">IF(N($G199)=0,"",$G199&amp;IF(AND(IF($H199="","FS",$H199)="FS",N($I199)=0),"",IF($H199="","FS",$H199)&amp;IF(N($I199)=0,"",IF(N($I199)&gt;0,"+","")&amp;N($I199)&amp;"d")))</f>
        <v/>
      </c>
      <c r="AU199" s="46" t="str">
        <f aca="false">IF(N($J199)=0,"",$J199&amp;IF(AND(IF($K199="","FS",$K199)="FS",N($L199)=0),"",IF($K199="","FS",$K199)&amp;IF(N($L199)=0,"",IF(N($L199)&gt;0,"+","")&amp;N($L199)&amp;"d")))</f>
        <v/>
      </c>
      <c r="AV199" s="46" t="str">
        <f aca="false">IF(AND($AJ199=1,N($F199)=0,$V199&lt;1),$S199+$AF199/100000,"")</f>
        <v/>
      </c>
    </row>
    <row r="200" customFormat="false" ht="15" hidden="false" customHeight="false" outlineLevel="0" collapsed="false">
      <c r="A200" s="38" t="str">
        <f aca="false">IF($D200="","",COUNTA($D$6:$D200))</f>
        <v/>
      </c>
      <c r="B200" s="39" t="str">
        <f aca="true">IF($D200="","",IF($AE200=1,COUNTIF($AE$6:$AE200,1)&amp;"",IF($AG200=0,"?",OFFSET(hdr_WBS,$AG200-ROW(hdr_WBS),0)&amp;"."&amp;COUNTIF(INDEX($AE:$AE,$AG200+1):$AE200,$AE200))))</f>
        <v/>
      </c>
      <c r="C200" s="40"/>
      <c r="D200" s="41"/>
      <c r="E200" s="40"/>
      <c r="F200" s="40"/>
      <c r="G200" s="40"/>
      <c r="H200" s="40"/>
      <c r="I200" s="40"/>
      <c r="J200" s="40"/>
      <c r="K200" s="40"/>
      <c r="L200" s="40"/>
      <c r="M200" s="29"/>
      <c r="N200" s="30" t="str">
        <f aca="true">IF($D200="","",IF($AI200,MIN(OFFSET(hdr_PlanStart,$AF200+1,0,$AH200,1)),IF($E200="Manual",IF(N($M200)&gt;0,$M200,ProjectStart),WORKDAY.INTL(MAX(ProjectStart,N($M200),$AK200,$AL200)-1,1,WorkWeek,Holidays))))</f>
        <v/>
      </c>
      <c r="O200" s="30" t="str">
        <f aca="true">IF($D200="","",IF($AI200,MAX(OFFSET(hdr_PlanFinish,$AF200+1,0,$AH200,1)),IF(N($F200)&lt;=0,$N200,WORKDAY.INTL($N200,$F200-1,WorkWeek,Holidays))))</f>
        <v/>
      </c>
      <c r="P200" s="29"/>
      <c r="Q200" s="29"/>
      <c r="R200" s="30" t="str">
        <f aca="true">IF($D200="","",IF($AI200,MIN(OFFSET(hdr_FcStart,$AF200+1,0,$AH200,1)),IF(N($P200)&gt;0,$P200,IF($E200="Manual",IF(N($M200)&gt;0,$M200,ProjectStart),WORKDAY.INTL(MAX(ProjectStart,N($M200),$AM200,$AN200,IF(RescheduleAfterStatus="Yes",StatusDate,0))-1,1,WorkWeek,Holidays)))))</f>
        <v/>
      </c>
      <c r="S200" s="30" t="str">
        <f aca="true">IF($D200="","",IF($AI200,MAX(OFFSET(hdr_FcFinish,$AF200+1,0,$AH200,1)),IF(N($Q200)&gt;0,$Q200,IF(N($F200)&lt;=0,$R200,IF(AND(N($P200)&gt;0,RescheduleAfterStatus="Yes"),MAX(WORKDAY.INTL($R200,$F200-1,WorkWeek,Holidays),WORKDAY.INTL(StatusWorkday,MAX(0,ROUNDUP($F200*(1-MIN(1,N($U200))),0)-1),WorkWeek,Holidays)),WORKDAY.INTL($R200,$F200-1,WorkWeek,Holidays))))))</f>
        <v/>
      </c>
      <c r="T200" s="38" t="str">
        <f aca="false">IF($D200="","",IF($S200&gt;=$O200,NETWORKDAYS.INTL($O200,$S200,WorkWeek,Holidays)-1,1-NETWORKDAYS.INTL($S200,$O200,WorkWeek,Holidays)))</f>
        <v/>
      </c>
      <c r="U200" s="32"/>
      <c r="V200" s="42" t="str">
        <f aca="true">IF($D200="","",IF($AI200,IFERROR(SUM(OFFSET(hdr_WtDone,$AF200+1,0,$AH200,1))/SUM(OFFSET(hdr_WtDur,$AF200+1,0,$AH200,1)),0),IF(N($Q200)&gt;0,1,MIN(1,N($U200)))))</f>
        <v/>
      </c>
      <c r="W200" s="39" t="str">
        <f aca="false">IF($D200="","",IF($V200&gt;=1,"Complete",IF(OR(N($P200)&gt;0,$V200&gt;0),IF($T200&gt;0,"Behind","In Progress"),IF($N200&lt;StatusDate,"Late Start","Not Started"))))</f>
        <v/>
      </c>
      <c r="X200" s="41"/>
      <c r="Y200" s="32"/>
      <c r="Z200" s="43" t="str">
        <f aca="true">IF($D200="","",IF($AI200,SUMPRODUCT(OFFSET(hdr_Work,$AF200+1,0,$AH200,1),OFFSET(hdr_IsLeaf,$AF200+1,0,$AH200,1)),IF($X200="",0,N($F200)*HoursPerDay*IF($Y200="",DefaultUnits,$Y200))))</f>
        <v/>
      </c>
      <c r="AA200" s="44" t="str">
        <f aca="true">IF($D200="","",IF($AI200,SUMPRODUCT(OFFSET(hdr_Cost,$AF200+1,0,$AH200,1),OFFSET(hdr_IsLeaf,$AF200+1,0,$AH200,1)),$Z200*IFERROR(INDEX(res_Rate,MATCH($X200,res_Name,0)),0)))</f>
        <v/>
      </c>
      <c r="AB200" s="38" t="str">
        <f aca="false">IF(OR($D200="",$AI200),"",IF(OR($R200&lt;Sprint1Start,$R200&gt;SprintLastEnd),"Backlog",INDEX(spr_Name,MATCH($R200,spr_Start,1))))</f>
        <v/>
      </c>
      <c r="AC200" s="45" t="str">
        <f aca="false">IF($D200="","",$AT200&amp;IF(AND($AT200&lt;&gt;"",$AU200&lt;&gt;""),",","")&amp;$AU200)</f>
        <v/>
      </c>
      <c r="AD200" s="41"/>
      <c r="AE200" s="46" t="str">
        <f aca="false">IF($D200="","",MAX(1,N($C200)))</f>
        <v/>
      </c>
      <c r="AF200" s="46" t="n">
        <f aca="false">ROW()-ROW(hdr_ID)</f>
        <v>195</v>
      </c>
      <c r="AG200" s="46" t="n">
        <f aca="false">IF(OR($D200="",$AE200&lt;=1),0,IFERROR(LOOKUP(2,1/($AE$5:$AE199=$AE200-1),ROW($AE$5:$AE199)),0))</f>
        <v>0</v>
      </c>
      <c r="AH200" s="46" t="n">
        <f aca="false">IF($D200="",0,COUNTIF(tsk_WBS,$B200&amp;".*"))</f>
        <v>0</v>
      </c>
      <c r="AI200" s="47" t="b">
        <f aca="false">$AH200&gt;0</f>
        <v>0</v>
      </c>
      <c r="AJ200" s="46" t="n">
        <f aca="false">IF(AND($D200&lt;&gt;"",NOT($AI200)),1,0)</f>
        <v>0</v>
      </c>
      <c r="AK200" s="48" t="n">
        <f aca="true">IF(OR(N($G200)=0,$AI200,$D200=""),0,IFERROR(CHOOSE(MATCH(IF($H200="","FS",$H200),{"FS","SS","FF","SF"},0),WORKDAY.INTL(OFFSET(hdr_PlanFinish,MATCH($G200,tsk_ID,0),0),IF(N($F200)=0,0,1)+N($I200),WorkWeek,Holidays),WORKDAY.INTL(OFFSET(hdr_PlanStart,MATCH($G200,tsk_ID,0),0),N($I200),WorkWeek,Holidays),WORKDAY.INTL(WORKDAY.INTL(OFFSET(hdr_PlanFinish,MATCH($G200,tsk_ID,0),0),N($I200),WorkWeek,Holidays),-MAX(0,N($F200)-1),WorkWeek,Holidays),WORKDAY.INTL(WORKDAY.INTL(OFFSET(hdr_PlanStart,MATCH($G200,tsk_ID,0),0),N($I200),WorkWeek,Holidays),-MAX(0,N($F200)-1),WorkWeek,Holidays)),0))</f>
        <v>0</v>
      </c>
      <c r="AL200" s="48" t="n">
        <f aca="true">IF(OR(N($J200)=0,$AI200,$D200=""),0,IFERROR(CHOOSE(MATCH(IF($K200="","FS",$K200),{"FS","SS","FF","SF"},0),WORKDAY.INTL(OFFSET(hdr_PlanFinish,MATCH($J200,tsk_ID,0),0),IF(N($F200)=0,0,1)+N($L200),WorkWeek,Holidays),WORKDAY.INTL(OFFSET(hdr_PlanStart,MATCH($J200,tsk_ID,0),0),N($L200),WorkWeek,Holidays),WORKDAY.INTL(WORKDAY.INTL(OFFSET(hdr_PlanFinish,MATCH($J200,tsk_ID,0),0),N($L200),WorkWeek,Holidays),-MAX(0,N($F200)-1),WorkWeek,Holidays),WORKDAY.INTL(WORKDAY.INTL(OFFSET(hdr_PlanStart,MATCH($J200,tsk_ID,0),0),N($L200),WorkWeek,Holidays),-MAX(0,N($F200)-1),WorkWeek,Holidays)),0))</f>
        <v>0</v>
      </c>
      <c r="AM200" s="48" t="n">
        <f aca="true">IF(OR(N($G200)=0,$AI200,$D200=""),0,IFERROR(CHOOSE(MATCH(IF($H200="","FS",$H200),{"FS","SS","FF","SF"},0),WORKDAY.INTL(OFFSET(hdr_FcFinish,MATCH($G200,tsk_ID,0),0),IF(N($F200)=0,0,1)+N($I200),WorkWeek,Holidays),WORKDAY.INTL(OFFSET(hdr_FcStart,MATCH($G200,tsk_ID,0),0),N($I200),WorkWeek,Holidays),WORKDAY.INTL(WORKDAY.INTL(OFFSET(hdr_FcFinish,MATCH($G200,tsk_ID,0),0),N($I200),WorkWeek,Holidays),-MAX(0,N($F200)-1),WorkWeek,Holidays),WORKDAY.INTL(WORKDAY.INTL(OFFSET(hdr_FcStart,MATCH($G200,tsk_ID,0),0),N($I200),WorkWeek,Holidays),-MAX(0,N($F200)-1),WorkWeek,Holidays)),0))</f>
        <v>0</v>
      </c>
      <c r="AN200" s="48" t="n">
        <f aca="true">IF(OR(N($J200)=0,$AI200,$D200=""),0,IFERROR(CHOOSE(MATCH(IF($K200="","FS",$K200),{"FS","SS","FF","SF"},0),WORKDAY.INTL(OFFSET(hdr_FcFinish,MATCH($J200,tsk_ID,0),0),IF(N($F200)=0,0,1)+N($L200),WorkWeek,Holidays),WORKDAY.INTL(OFFSET(hdr_FcStart,MATCH($J200,tsk_ID,0),0),N($L200),WorkWeek,Holidays),WORKDAY.INTL(WORKDAY.INTL(OFFSET(hdr_FcFinish,MATCH($J200,tsk_ID,0),0),N($L200),WorkWeek,Holidays),-MAX(0,N($F200)-1),WorkWeek,Holidays),WORKDAY.INTL(WORKDAY.INTL(OFFSET(hdr_FcStart,MATCH($J200,tsk_ID,0),0),N($L200),WorkWeek,Holidays),-MAX(0,N($F200)-1),WorkWeek,Holidays)),0))</f>
        <v>0</v>
      </c>
      <c r="AO200" s="48" t="n">
        <f aca="false">IF($AJ200=1,$R200,0)</f>
        <v>0</v>
      </c>
      <c r="AP200" s="48" t="n">
        <f aca="false">IF($AJ200=1,$S200,0)</f>
        <v>0</v>
      </c>
      <c r="AQ200" s="49" t="n">
        <f aca="false">IF(AND($AJ200=1,N($Z200)&gt;0),$Z200/($AP200-$AO200+1),0)</f>
        <v>0</v>
      </c>
      <c r="AR200" s="46" t="n">
        <f aca="false">IF($AJ200=1,MAX(N($F200),0.1),0)</f>
        <v>0</v>
      </c>
      <c r="AS200" s="46" t="n">
        <f aca="false">IF($AJ200=1,$AR200*$V200,0)</f>
        <v>0</v>
      </c>
      <c r="AT200" s="46" t="str">
        <f aca="false">IF(N($G200)=0,"",$G200&amp;IF(AND(IF($H200="","FS",$H200)="FS",N($I200)=0),"",IF($H200="","FS",$H200)&amp;IF(N($I200)=0,"",IF(N($I200)&gt;0,"+","")&amp;N($I200)&amp;"d")))</f>
        <v/>
      </c>
      <c r="AU200" s="46" t="str">
        <f aca="false">IF(N($J200)=0,"",$J200&amp;IF(AND(IF($K200="","FS",$K200)="FS",N($L200)=0),"",IF($K200="","FS",$K200)&amp;IF(N($L200)=0,"",IF(N($L200)&gt;0,"+","")&amp;N($L200)&amp;"d")))</f>
        <v/>
      </c>
      <c r="AV200" s="46" t="str">
        <f aca="false">IF(AND($AJ200=1,N($F200)=0,$V200&lt;1),$S200+$AF200/100000,"")</f>
        <v/>
      </c>
    </row>
    <row r="201" customFormat="false" ht="15" hidden="false" customHeight="false" outlineLevel="0" collapsed="false">
      <c r="A201" s="38" t="str">
        <f aca="false">IF($D201="","",COUNTA($D$6:$D201))</f>
        <v/>
      </c>
      <c r="B201" s="39" t="str">
        <f aca="true">IF($D201="","",IF($AE201=1,COUNTIF($AE$6:$AE201,1)&amp;"",IF($AG201=0,"?",OFFSET(hdr_WBS,$AG201-ROW(hdr_WBS),0)&amp;"."&amp;COUNTIF(INDEX($AE:$AE,$AG201+1):$AE201,$AE201))))</f>
        <v/>
      </c>
      <c r="C201" s="40"/>
      <c r="D201" s="41"/>
      <c r="E201" s="40"/>
      <c r="F201" s="40"/>
      <c r="G201" s="40"/>
      <c r="H201" s="40"/>
      <c r="I201" s="40"/>
      <c r="J201" s="40"/>
      <c r="K201" s="40"/>
      <c r="L201" s="40"/>
      <c r="M201" s="29"/>
      <c r="N201" s="30" t="str">
        <f aca="true">IF($D201="","",IF($AI201,MIN(OFFSET(hdr_PlanStart,$AF201+1,0,$AH201,1)),IF($E201="Manual",IF(N($M201)&gt;0,$M201,ProjectStart),WORKDAY.INTL(MAX(ProjectStart,N($M201),$AK201,$AL201)-1,1,WorkWeek,Holidays))))</f>
        <v/>
      </c>
      <c r="O201" s="30" t="str">
        <f aca="true">IF($D201="","",IF($AI201,MAX(OFFSET(hdr_PlanFinish,$AF201+1,0,$AH201,1)),IF(N($F201)&lt;=0,$N201,WORKDAY.INTL($N201,$F201-1,WorkWeek,Holidays))))</f>
        <v/>
      </c>
      <c r="P201" s="29"/>
      <c r="Q201" s="29"/>
      <c r="R201" s="30" t="str">
        <f aca="true">IF($D201="","",IF($AI201,MIN(OFFSET(hdr_FcStart,$AF201+1,0,$AH201,1)),IF(N($P201)&gt;0,$P201,IF($E201="Manual",IF(N($M201)&gt;0,$M201,ProjectStart),WORKDAY.INTL(MAX(ProjectStart,N($M201),$AM201,$AN201,IF(RescheduleAfterStatus="Yes",StatusDate,0))-1,1,WorkWeek,Holidays)))))</f>
        <v/>
      </c>
      <c r="S201" s="30" t="str">
        <f aca="true">IF($D201="","",IF($AI201,MAX(OFFSET(hdr_FcFinish,$AF201+1,0,$AH201,1)),IF(N($Q201)&gt;0,$Q201,IF(N($F201)&lt;=0,$R201,IF(AND(N($P201)&gt;0,RescheduleAfterStatus="Yes"),MAX(WORKDAY.INTL($R201,$F201-1,WorkWeek,Holidays),WORKDAY.INTL(StatusWorkday,MAX(0,ROUNDUP($F201*(1-MIN(1,N($U201))),0)-1),WorkWeek,Holidays)),WORKDAY.INTL($R201,$F201-1,WorkWeek,Holidays))))))</f>
        <v/>
      </c>
      <c r="T201" s="38" t="str">
        <f aca="false">IF($D201="","",IF($S201&gt;=$O201,NETWORKDAYS.INTL($O201,$S201,WorkWeek,Holidays)-1,1-NETWORKDAYS.INTL($S201,$O201,WorkWeek,Holidays)))</f>
        <v/>
      </c>
      <c r="U201" s="32"/>
      <c r="V201" s="42" t="str">
        <f aca="true">IF($D201="","",IF($AI201,IFERROR(SUM(OFFSET(hdr_WtDone,$AF201+1,0,$AH201,1))/SUM(OFFSET(hdr_WtDur,$AF201+1,0,$AH201,1)),0),IF(N($Q201)&gt;0,1,MIN(1,N($U201)))))</f>
        <v/>
      </c>
      <c r="W201" s="39" t="str">
        <f aca="false">IF($D201="","",IF($V201&gt;=1,"Complete",IF(OR(N($P201)&gt;0,$V201&gt;0),IF($T201&gt;0,"Behind","In Progress"),IF($N201&lt;StatusDate,"Late Start","Not Started"))))</f>
        <v/>
      </c>
      <c r="X201" s="41"/>
      <c r="Y201" s="32"/>
      <c r="Z201" s="43" t="str">
        <f aca="true">IF($D201="","",IF($AI201,SUMPRODUCT(OFFSET(hdr_Work,$AF201+1,0,$AH201,1),OFFSET(hdr_IsLeaf,$AF201+1,0,$AH201,1)),IF($X201="",0,N($F201)*HoursPerDay*IF($Y201="",DefaultUnits,$Y201))))</f>
        <v/>
      </c>
      <c r="AA201" s="44" t="str">
        <f aca="true">IF($D201="","",IF($AI201,SUMPRODUCT(OFFSET(hdr_Cost,$AF201+1,0,$AH201,1),OFFSET(hdr_IsLeaf,$AF201+1,0,$AH201,1)),$Z201*IFERROR(INDEX(res_Rate,MATCH($X201,res_Name,0)),0)))</f>
        <v/>
      </c>
      <c r="AB201" s="38" t="str">
        <f aca="false">IF(OR($D201="",$AI201),"",IF(OR($R201&lt;Sprint1Start,$R201&gt;SprintLastEnd),"Backlog",INDEX(spr_Name,MATCH($R201,spr_Start,1))))</f>
        <v/>
      </c>
      <c r="AC201" s="45" t="str">
        <f aca="false">IF($D201="","",$AT201&amp;IF(AND($AT201&lt;&gt;"",$AU201&lt;&gt;""),",","")&amp;$AU201)</f>
        <v/>
      </c>
      <c r="AD201" s="41"/>
      <c r="AE201" s="46" t="str">
        <f aca="false">IF($D201="","",MAX(1,N($C201)))</f>
        <v/>
      </c>
      <c r="AF201" s="46" t="n">
        <f aca="false">ROW()-ROW(hdr_ID)</f>
        <v>196</v>
      </c>
      <c r="AG201" s="46" t="n">
        <f aca="false">IF(OR($D201="",$AE201&lt;=1),0,IFERROR(LOOKUP(2,1/($AE$5:$AE200=$AE201-1),ROW($AE$5:$AE200)),0))</f>
        <v>0</v>
      </c>
      <c r="AH201" s="46" t="n">
        <f aca="false">IF($D201="",0,COUNTIF(tsk_WBS,$B201&amp;".*"))</f>
        <v>0</v>
      </c>
      <c r="AI201" s="47" t="b">
        <f aca="false">$AH201&gt;0</f>
        <v>0</v>
      </c>
      <c r="AJ201" s="46" t="n">
        <f aca="false">IF(AND($D201&lt;&gt;"",NOT($AI201)),1,0)</f>
        <v>0</v>
      </c>
      <c r="AK201" s="48" t="n">
        <f aca="true">IF(OR(N($G201)=0,$AI201,$D201=""),0,IFERROR(CHOOSE(MATCH(IF($H201="","FS",$H201),{"FS","SS","FF","SF"},0),WORKDAY.INTL(OFFSET(hdr_PlanFinish,MATCH($G201,tsk_ID,0),0),IF(N($F201)=0,0,1)+N($I201),WorkWeek,Holidays),WORKDAY.INTL(OFFSET(hdr_PlanStart,MATCH($G201,tsk_ID,0),0),N($I201),WorkWeek,Holidays),WORKDAY.INTL(WORKDAY.INTL(OFFSET(hdr_PlanFinish,MATCH($G201,tsk_ID,0),0),N($I201),WorkWeek,Holidays),-MAX(0,N($F201)-1),WorkWeek,Holidays),WORKDAY.INTL(WORKDAY.INTL(OFFSET(hdr_PlanStart,MATCH($G201,tsk_ID,0),0),N($I201),WorkWeek,Holidays),-MAX(0,N($F201)-1),WorkWeek,Holidays)),0))</f>
        <v>0</v>
      </c>
      <c r="AL201" s="48" t="n">
        <f aca="true">IF(OR(N($J201)=0,$AI201,$D201=""),0,IFERROR(CHOOSE(MATCH(IF($K201="","FS",$K201),{"FS","SS","FF","SF"},0),WORKDAY.INTL(OFFSET(hdr_PlanFinish,MATCH($J201,tsk_ID,0),0),IF(N($F201)=0,0,1)+N($L201),WorkWeek,Holidays),WORKDAY.INTL(OFFSET(hdr_PlanStart,MATCH($J201,tsk_ID,0),0),N($L201),WorkWeek,Holidays),WORKDAY.INTL(WORKDAY.INTL(OFFSET(hdr_PlanFinish,MATCH($J201,tsk_ID,0),0),N($L201),WorkWeek,Holidays),-MAX(0,N($F201)-1),WorkWeek,Holidays),WORKDAY.INTL(WORKDAY.INTL(OFFSET(hdr_PlanStart,MATCH($J201,tsk_ID,0),0),N($L201),WorkWeek,Holidays),-MAX(0,N($F201)-1),WorkWeek,Holidays)),0))</f>
        <v>0</v>
      </c>
      <c r="AM201" s="48" t="n">
        <f aca="true">IF(OR(N($G201)=0,$AI201,$D201=""),0,IFERROR(CHOOSE(MATCH(IF($H201="","FS",$H201),{"FS","SS","FF","SF"},0),WORKDAY.INTL(OFFSET(hdr_FcFinish,MATCH($G201,tsk_ID,0),0),IF(N($F201)=0,0,1)+N($I201),WorkWeek,Holidays),WORKDAY.INTL(OFFSET(hdr_FcStart,MATCH($G201,tsk_ID,0),0),N($I201),WorkWeek,Holidays),WORKDAY.INTL(WORKDAY.INTL(OFFSET(hdr_FcFinish,MATCH($G201,tsk_ID,0),0),N($I201),WorkWeek,Holidays),-MAX(0,N($F201)-1),WorkWeek,Holidays),WORKDAY.INTL(WORKDAY.INTL(OFFSET(hdr_FcStart,MATCH($G201,tsk_ID,0),0),N($I201),WorkWeek,Holidays),-MAX(0,N($F201)-1),WorkWeek,Holidays)),0))</f>
        <v>0</v>
      </c>
      <c r="AN201" s="48" t="n">
        <f aca="true">IF(OR(N($J201)=0,$AI201,$D201=""),0,IFERROR(CHOOSE(MATCH(IF($K201="","FS",$K201),{"FS","SS","FF","SF"},0),WORKDAY.INTL(OFFSET(hdr_FcFinish,MATCH($J201,tsk_ID,0),0),IF(N($F201)=0,0,1)+N($L201),WorkWeek,Holidays),WORKDAY.INTL(OFFSET(hdr_FcStart,MATCH($J201,tsk_ID,0),0),N($L201),WorkWeek,Holidays),WORKDAY.INTL(WORKDAY.INTL(OFFSET(hdr_FcFinish,MATCH($J201,tsk_ID,0),0),N($L201),WorkWeek,Holidays),-MAX(0,N($F201)-1),WorkWeek,Holidays),WORKDAY.INTL(WORKDAY.INTL(OFFSET(hdr_FcStart,MATCH($J201,tsk_ID,0),0),N($L201),WorkWeek,Holidays),-MAX(0,N($F201)-1),WorkWeek,Holidays)),0))</f>
        <v>0</v>
      </c>
      <c r="AO201" s="48" t="n">
        <f aca="false">IF($AJ201=1,$R201,0)</f>
        <v>0</v>
      </c>
      <c r="AP201" s="48" t="n">
        <f aca="false">IF($AJ201=1,$S201,0)</f>
        <v>0</v>
      </c>
      <c r="AQ201" s="49" t="n">
        <f aca="false">IF(AND($AJ201=1,N($Z201)&gt;0),$Z201/($AP201-$AO201+1),0)</f>
        <v>0</v>
      </c>
      <c r="AR201" s="46" t="n">
        <f aca="false">IF($AJ201=1,MAX(N($F201),0.1),0)</f>
        <v>0</v>
      </c>
      <c r="AS201" s="46" t="n">
        <f aca="false">IF($AJ201=1,$AR201*$V201,0)</f>
        <v>0</v>
      </c>
      <c r="AT201" s="46" t="str">
        <f aca="false">IF(N($G201)=0,"",$G201&amp;IF(AND(IF($H201="","FS",$H201)="FS",N($I201)=0),"",IF($H201="","FS",$H201)&amp;IF(N($I201)=0,"",IF(N($I201)&gt;0,"+","")&amp;N($I201)&amp;"d")))</f>
        <v/>
      </c>
      <c r="AU201" s="46" t="str">
        <f aca="false">IF(N($J201)=0,"",$J201&amp;IF(AND(IF($K201="","FS",$K201)="FS",N($L201)=0),"",IF($K201="","FS",$K201)&amp;IF(N($L201)=0,"",IF(N($L201)&gt;0,"+","")&amp;N($L201)&amp;"d")))</f>
        <v/>
      </c>
      <c r="AV201" s="46" t="str">
        <f aca="false">IF(AND($AJ201=1,N($F201)=0,$V201&lt;1),$S201+$AF201/100000,"")</f>
        <v/>
      </c>
    </row>
    <row r="202" customFormat="false" ht="15" hidden="false" customHeight="false" outlineLevel="0" collapsed="false">
      <c r="A202" s="38" t="str">
        <f aca="false">IF($D202="","",COUNTA($D$6:$D202))</f>
        <v/>
      </c>
      <c r="B202" s="39" t="str">
        <f aca="true">IF($D202="","",IF($AE202=1,COUNTIF($AE$6:$AE202,1)&amp;"",IF($AG202=0,"?",OFFSET(hdr_WBS,$AG202-ROW(hdr_WBS),0)&amp;"."&amp;COUNTIF(INDEX($AE:$AE,$AG202+1):$AE202,$AE202))))</f>
        <v/>
      </c>
      <c r="C202" s="40"/>
      <c r="D202" s="41"/>
      <c r="E202" s="40"/>
      <c r="F202" s="40"/>
      <c r="G202" s="40"/>
      <c r="H202" s="40"/>
      <c r="I202" s="40"/>
      <c r="J202" s="40"/>
      <c r="K202" s="40"/>
      <c r="L202" s="40"/>
      <c r="M202" s="29"/>
      <c r="N202" s="30" t="str">
        <f aca="true">IF($D202="","",IF($AI202,MIN(OFFSET(hdr_PlanStart,$AF202+1,0,$AH202,1)),IF($E202="Manual",IF(N($M202)&gt;0,$M202,ProjectStart),WORKDAY.INTL(MAX(ProjectStart,N($M202),$AK202,$AL202)-1,1,WorkWeek,Holidays))))</f>
        <v/>
      </c>
      <c r="O202" s="30" t="str">
        <f aca="true">IF($D202="","",IF($AI202,MAX(OFFSET(hdr_PlanFinish,$AF202+1,0,$AH202,1)),IF(N($F202)&lt;=0,$N202,WORKDAY.INTL($N202,$F202-1,WorkWeek,Holidays))))</f>
        <v/>
      </c>
      <c r="P202" s="29"/>
      <c r="Q202" s="29"/>
      <c r="R202" s="30" t="str">
        <f aca="true">IF($D202="","",IF($AI202,MIN(OFFSET(hdr_FcStart,$AF202+1,0,$AH202,1)),IF(N($P202)&gt;0,$P202,IF($E202="Manual",IF(N($M202)&gt;0,$M202,ProjectStart),WORKDAY.INTL(MAX(ProjectStart,N($M202),$AM202,$AN202,IF(RescheduleAfterStatus="Yes",StatusDate,0))-1,1,WorkWeek,Holidays)))))</f>
        <v/>
      </c>
      <c r="S202" s="30" t="str">
        <f aca="true">IF($D202="","",IF($AI202,MAX(OFFSET(hdr_FcFinish,$AF202+1,0,$AH202,1)),IF(N($Q202)&gt;0,$Q202,IF(N($F202)&lt;=0,$R202,IF(AND(N($P202)&gt;0,RescheduleAfterStatus="Yes"),MAX(WORKDAY.INTL($R202,$F202-1,WorkWeek,Holidays),WORKDAY.INTL(StatusWorkday,MAX(0,ROUNDUP($F202*(1-MIN(1,N($U202))),0)-1),WorkWeek,Holidays)),WORKDAY.INTL($R202,$F202-1,WorkWeek,Holidays))))))</f>
        <v/>
      </c>
      <c r="T202" s="38" t="str">
        <f aca="false">IF($D202="","",IF($S202&gt;=$O202,NETWORKDAYS.INTL($O202,$S202,WorkWeek,Holidays)-1,1-NETWORKDAYS.INTL($S202,$O202,WorkWeek,Holidays)))</f>
        <v/>
      </c>
      <c r="U202" s="32"/>
      <c r="V202" s="42" t="str">
        <f aca="true">IF($D202="","",IF($AI202,IFERROR(SUM(OFFSET(hdr_WtDone,$AF202+1,0,$AH202,1))/SUM(OFFSET(hdr_WtDur,$AF202+1,0,$AH202,1)),0),IF(N($Q202)&gt;0,1,MIN(1,N($U202)))))</f>
        <v/>
      </c>
      <c r="W202" s="39" t="str">
        <f aca="false">IF($D202="","",IF($V202&gt;=1,"Complete",IF(OR(N($P202)&gt;0,$V202&gt;0),IF($T202&gt;0,"Behind","In Progress"),IF($N202&lt;StatusDate,"Late Start","Not Started"))))</f>
        <v/>
      </c>
      <c r="X202" s="41"/>
      <c r="Y202" s="32"/>
      <c r="Z202" s="43" t="str">
        <f aca="true">IF($D202="","",IF($AI202,SUMPRODUCT(OFFSET(hdr_Work,$AF202+1,0,$AH202,1),OFFSET(hdr_IsLeaf,$AF202+1,0,$AH202,1)),IF($X202="",0,N($F202)*HoursPerDay*IF($Y202="",DefaultUnits,$Y202))))</f>
        <v/>
      </c>
      <c r="AA202" s="44" t="str">
        <f aca="true">IF($D202="","",IF($AI202,SUMPRODUCT(OFFSET(hdr_Cost,$AF202+1,0,$AH202,1),OFFSET(hdr_IsLeaf,$AF202+1,0,$AH202,1)),$Z202*IFERROR(INDEX(res_Rate,MATCH($X202,res_Name,0)),0)))</f>
        <v/>
      </c>
      <c r="AB202" s="38" t="str">
        <f aca="false">IF(OR($D202="",$AI202),"",IF(OR($R202&lt;Sprint1Start,$R202&gt;SprintLastEnd),"Backlog",INDEX(spr_Name,MATCH($R202,spr_Start,1))))</f>
        <v/>
      </c>
      <c r="AC202" s="45" t="str">
        <f aca="false">IF($D202="","",$AT202&amp;IF(AND($AT202&lt;&gt;"",$AU202&lt;&gt;""),",","")&amp;$AU202)</f>
        <v/>
      </c>
      <c r="AD202" s="41"/>
      <c r="AE202" s="46" t="str">
        <f aca="false">IF($D202="","",MAX(1,N($C202)))</f>
        <v/>
      </c>
      <c r="AF202" s="46" t="n">
        <f aca="false">ROW()-ROW(hdr_ID)</f>
        <v>197</v>
      </c>
      <c r="AG202" s="46" t="n">
        <f aca="false">IF(OR($D202="",$AE202&lt;=1),0,IFERROR(LOOKUP(2,1/($AE$5:$AE201=$AE202-1),ROW($AE$5:$AE201)),0))</f>
        <v>0</v>
      </c>
      <c r="AH202" s="46" t="n">
        <f aca="false">IF($D202="",0,COUNTIF(tsk_WBS,$B202&amp;".*"))</f>
        <v>0</v>
      </c>
      <c r="AI202" s="47" t="b">
        <f aca="false">$AH202&gt;0</f>
        <v>0</v>
      </c>
      <c r="AJ202" s="46" t="n">
        <f aca="false">IF(AND($D202&lt;&gt;"",NOT($AI202)),1,0)</f>
        <v>0</v>
      </c>
      <c r="AK202" s="48" t="n">
        <f aca="true">IF(OR(N($G202)=0,$AI202,$D202=""),0,IFERROR(CHOOSE(MATCH(IF($H202="","FS",$H202),{"FS","SS","FF","SF"},0),WORKDAY.INTL(OFFSET(hdr_PlanFinish,MATCH($G202,tsk_ID,0),0),IF(N($F202)=0,0,1)+N($I202),WorkWeek,Holidays),WORKDAY.INTL(OFFSET(hdr_PlanStart,MATCH($G202,tsk_ID,0),0),N($I202),WorkWeek,Holidays),WORKDAY.INTL(WORKDAY.INTL(OFFSET(hdr_PlanFinish,MATCH($G202,tsk_ID,0),0),N($I202),WorkWeek,Holidays),-MAX(0,N($F202)-1),WorkWeek,Holidays),WORKDAY.INTL(WORKDAY.INTL(OFFSET(hdr_PlanStart,MATCH($G202,tsk_ID,0),0),N($I202),WorkWeek,Holidays),-MAX(0,N($F202)-1),WorkWeek,Holidays)),0))</f>
        <v>0</v>
      </c>
      <c r="AL202" s="48" t="n">
        <f aca="true">IF(OR(N($J202)=0,$AI202,$D202=""),0,IFERROR(CHOOSE(MATCH(IF($K202="","FS",$K202),{"FS","SS","FF","SF"},0),WORKDAY.INTL(OFFSET(hdr_PlanFinish,MATCH($J202,tsk_ID,0),0),IF(N($F202)=0,0,1)+N($L202),WorkWeek,Holidays),WORKDAY.INTL(OFFSET(hdr_PlanStart,MATCH($J202,tsk_ID,0),0),N($L202),WorkWeek,Holidays),WORKDAY.INTL(WORKDAY.INTL(OFFSET(hdr_PlanFinish,MATCH($J202,tsk_ID,0),0),N($L202),WorkWeek,Holidays),-MAX(0,N($F202)-1),WorkWeek,Holidays),WORKDAY.INTL(WORKDAY.INTL(OFFSET(hdr_PlanStart,MATCH($J202,tsk_ID,0),0),N($L202),WorkWeek,Holidays),-MAX(0,N($F202)-1),WorkWeek,Holidays)),0))</f>
        <v>0</v>
      </c>
      <c r="AM202" s="48" t="n">
        <f aca="true">IF(OR(N($G202)=0,$AI202,$D202=""),0,IFERROR(CHOOSE(MATCH(IF($H202="","FS",$H202),{"FS","SS","FF","SF"},0),WORKDAY.INTL(OFFSET(hdr_FcFinish,MATCH($G202,tsk_ID,0),0),IF(N($F202)=0,0,1)+N($I202),WorkWeek,Holidays),WORKDAY.INTL(OFFSET(hdr_FcStart,MATCH($G202,tsk_ID,0),0),N($I202),WorkWeek,Holidays),WORKDAY.INTL(WORKDAY.INTL(OFFSET(hdr_FcFinish,MATCH($G202,tsk_ID,0),0),N($I202),WorkWeek,Holidays),-MAX(0,N($F202)-1),WorkWeek,Holidays),WORKDAY.INTL(WORKDAY.INTL(OFFSET(hdr_FcStart,MATCH($G202,tsk_ID,0),0),N($I202),WorkWeek,Holidays),-MAX(0,N($F202)-1),WorkWeek,Holidays)),0))</f>
        <v>0</v>
      </c>
      <c r="AN202" s="48" t="n">
        <f aca="true">IF(OR(N($J202)=0,$AI202,$D202=""),0,IFERROR(CHOOSE(MATCH(IF($K202="","FS",$K202),{"FS","SS","FF","SF"},0),WORKDAY.INTL(OFFSET(hdr_FcFinish,MATCH($J202,tsk_ID,0),0),IF(N($F202)=0,0,1)+N($L202),WorkWeek,Holidays),WORKDAY.INTL(OFFSET(hdr_FcStart,MATCH($J202,tsk_ID,0),0),N($L202),WorkWeek,Holidays),WORKDAY.INTL(WORKDAY.INTL(OFFSET(hdr_FcFinish,MATCH($J202,tsk_ID,0),0),N($L202),WorkWeek,Holidays),-MAX(0,N($F202)-1),WorkWeek,Holidays),WORKDAY.INTL(WORKDAY.INTL(OFFSET(hdr_FcStart,MATCH($J202,tsk_ID,0),0),N($L202),WorkWeek,Holidays),-MAX(0,N($F202)-1),WorkWeek,Holidays)),0))</f>
        <v>0</v>
      </c>
      <c r="AO202" s="48" t="n">
        <f aca="false">IF($AJ202=1,$R202,0)</f>
        <v>0</v>
      </c>
      <c r="AP202" s="48" t="n">
        <f aca="false">IF($AJ202=1,$S202,0)</f>
        <v>0</v>
      </c>
      <c r="AQ202" s="49" t="n">
        <f aca="false">IF(AND($AJ202=1,N($Z202)&gt;0),$Z202/($AP202-$AO202+1),0)</f>
        <v>0</v>
      </c>
      <c r="AR202" s="46" t="n">
        <f aca="false">IF($AJ202=1,MAX(N($F202),0.1),0)</f>
        <v>0</v>
      </c>
      <c r="AS202" s="46" t="n">
        <f aca="false">IF($AJ202=1,$AR202*$V202,0)</f>
        <v>0</v>
      </c>
      <c r="AT202" s="46" t="str">
        <f aca="false">IF(N($G202)=0,"",$G202&amp;IF(AND(IF($H202="","FS",$H202)="FS",N($I202)=0),"",IF($H202="","FS",$H202)&amp;IF(N($I202)=0,"",IF(N($I202)&gt;0,"+","")&amp;N($I202)&amp;"d")))</f>
        <v/>
      </c>
      <c r="AU202" s="46" t="str">
        <f aca="false">IF(N($J202)=0,"",$J202&amp;IF(AND(IF($K202="","FS",$K202)="FS",N($L202)=0),"",IF($K202="","FS",$K202)&amp;IF(N($L202)=0,"",IF(N($L202)&gt;0,"+","")&amp;N($L202)&amp;"d")))</f>
        <v/>
      </c>
      <c r="AV202" s="46" t="str">
        <f aca="false">IF(AND($AJ202=1,N($F202)=0,$V202&lt;1),$S202+$AF202/100000,"")</f>
        <v/>
      </c>
    </row>
    <row r="203" customFormat="false" ht="15" hidden="false" customHeight="false" outlineLevel="0" collapsed="false">
      <c r="A203" s="38" t="str">
        <f aca="false">IF($D203="","",COUNTA($D$6:$D203))</f>
        <v/>
      </c>
      <c r="B203" s="39" t="str">
        <f aca="true">IF($D203="","",IF($AE203=1,COUNTIF($AE$6:$AE203,1)&amp;"",IF($AG203=0,"?",OFFSET(hdr_WBS,$AG203-ROW(hdr_WBS),0)&amp;"."&amp;COUNTIF(INDEX($AE:$AE,$AG203+1):$AE203,$AE203))))</f>
        <v/>
      </c>
      <c r="C203" s="40"/>
      <c r="D203" s="41"/>
      <c r="E203" s="40"/>
      <c r="F203" s="40"/>
      <c r="G203" s="40"/>
      <c r="H203" s="40"/>
      <c r="I203" s="40"/>
      <c r="J203" s="40"/>
      <c r="K203" s="40"/>
      <c r="L203" s="40"/>
      <c r="M203" s="29"/>
      <c r="N203" s="30" t="str">
        <f aca="true">IF($D203="","",IF($AI203,MIN(OFFSET(hdr_PlanStart,$AF203+1,0,$AH203,1)),IF($E203="Manual",IF(N($M203)&gt;0,$M203,ProjectStart),WORKDAY.INTL(MAX(ProjectStart,N($M203),$AK203,$AL203)-1,1,WorkWeek,Holidays))))</f>
        <v/>
      </c>
      <c r="O203" s="30" t="str">
        <f aca="true">IF($D203="","",IF($AI203,MAX(OFFSET(hdr_PlanFinish,$AF203+1,0,$AH203,1)),IF(N($F203)&lt;=0,$N203,WORKDAY.INTL($N203,$F203-1,WorkWeek,Holidays))))</f>
        <v/>
      </c>
      <c r="P203" s="29"/>
      <c r="Q203" s="29"/>
      <c r="R203" s="30" t="str">
        <f aca="true">IF($D203="","",IF($AI203,MIN(OFFSET(hdr_FcStart,$AF203+1,0,$AH203,1)),IF(N($P203)&gt;0,$P203,IF($E203="Manual",IF(N($M203)&gt;0,$M203,ProjectStart),WORKDAY.INTL(MAX(ProjectStart,N($M203),$AM203,$AN203,IF(RescheduleAfterStatus="Yes",StatusDate,0))-1,1,WorkWeek,Holidays)))))</f>
        <v/>
      </c>
      <c r="S203" s="30" t="str">
        <f aca="true">IF($D203="","",IF($AI203,MAX(OFFSET(hdr_FcFinish,$AF203+1,0,$AH203,1)),IF(N($Q203)&gt;0,$Q203,IF(N($F203)&lt;=0,$R203,IF(AND(N($P203)&gt;0,RescheduleAfterStatus="Yes"),MAX(WORKDAY.INTL($R203,$F203-1,WorkWeek,Holidays),WORKDAY.INTL(StatusWorkday,MAX(0,ROUNDUP($F203*(1-MIN(1,N($U203))),0)-1),WorkWeek,Holidays)),WORKDAY.INTL($R203,$F203-1,WorkWeek,Holidays))))))</f>
        <v/>
      </c>
      <c r="T203" s="38" t="str">
        <f aca="false">IF($D203="","",IF($S203&gt;=$O203,NETWORKDAYS.INTL($O203,$S203,WorkWeek,Holidays)-1,1-NETWORKDAYS.INTL($S203,$O203,WorkWeek,Holidays)))</f>
        <v/>
      </c>
      <c r="U203" s="32"/>
      <c r="V203" s="42" t="str">
        <f aca="true">IF($D203="","",IF($AI203,IFERROR(SUM(OFFSET(hdr_WtDone,$AF203+1,0,$AH203,1))/SUM(OFFSET(hdr_WtDur,$AF203+1,0,$AH203,1)),0),IF(N($Q203)&gt;0,1,MIN(1,N($U203)))))</f>
        <v/>
      </c>
      <c r="W203" s="39" t="str">
        <f aca="false">IF($D203="","",IF($V203&gt;=1,"Complete",IF(OR(N($P203)&gt;0,$V203&gt;0),IF($T203&gt;0,"Behind","In Progress"),IF($N203&lt;StatusDate,"Late Start","Not Started"))))</f>
        <v/>
      </c>
      <c r="X203" s="41"/>
      <c r="Y203" s="32"/>
      <c r="Z203" s="43" t="str">
        <f aca="true">IF($D203="","",IF($AI203,SUMPRODUCT(OFFSET(hdr_Work,$AF203+1,0,$AH203,1),OFFSET(hdr_IsLeaf,$AF203+1,0,$AH203,1)),IF($X203="",0,N($F203)*HoursPerDay*IF($Y203="",DefaultUnits,$Y203))))</f>
        <v/>
      </c>
      <c r="AA203" s="44" t="str">
        <f aca="true">IF($D203="","",IF($AI203,SUMPRODUCT(OFFSET(hdr_Cost,$AF203+1,0,$AH203,1),OFFSET(hdr_IsLeaf,$AF203+1,0,$AH203,1)),$Z203*IFERROR(INDEX(res_Rate,MATCH($X203,res_Name,0)),0)))</f>
        <v/>
      </c>
      <c r="AB203" s="38" t="str">
        <f aca="false">IF(OR($D203="",$AI203),"",IF(OR($R203&lt;Sprint1Start,$R203&gt;SprintLastEnd),"Backlog",INDEX(spr_Name,MATCH($R203,spr_Start,1))))</f>
        <v/>
      </c>
      <c r="AC203" s="45" t="str">
        <f aca="false">IF($D203="","",$AT203&amp;IF(AND($AT203&lt;&gt;"",$AU203&lt;&gt;""),",","")&amp;$AU203)</f>
        <v/>
      </c>
      <c r="AD203" s="41"/>
      <c r="AE203" s="46" t="str">
        <f aca="false">IF($D203="","",MAX(1,N($C203)))</f>
        <v/>
      </c>
      <c r="AF203" s="46" t="n">
        <f aca="false">ROW()-ROW(hdr_ID)</f>
        <v>198</v>
      </c>
      <c r="AG203" s="46" t="n">
        <f aca="false">IF(OR($D203="",$AE203&lt;=1),0,IFERROR(LOOKUP(2,1/($AE$5:$AE202=$AE203-1),ROW($AE$5:$AE202)),0))</f>
        <v>0</v>
      </c>
      <c r="AH203" s="46" t="n">
        <f aca="false">IF($D203="",0,COUNTIF(tsk_WBS,$B203&amp;".*"))</f>
        <v>0</v>
      </c>
      <c r="AI203" s="47" t="b">
        <f aca="false">$AH203&gt;0</f>
        <v>0</v>
      </c>
      <c r="AJ203" s="46" t="n">
        <f aca="false">IF(AND($D203&lt;&gt;"",NOT($AI203)),1,0)</f>
        <v>0</v>
      </c>
      <c r="AK203" s="48" t="n">
        <f aca="true">IF(OR(N($G203)=0,$AI203,$D203=""),0,IFERROR(CHOOSE(MATCH(IF($H203="","FS",$H203),{"FS","SS","FF","SF"},0),WORKDAY.INTL(OFFSET(hdr_PlanFinish,MATCH($G203,tsk_ID,0),0),IF(N($F203)=0,0,1)+N($I203),WorkWeek,Holidays),WORKDAY.INTL(OFFSET(hdr_PlanStart,MATCH($G203,tsk_ID,0),0),N($I203),WorkWeek,Holidays),WORKDAY.INTL(WORKDAY.INTL(OFFSET(hdr_PlanFinish,MATCH($G203,tsk_ID,0),0),N($I203),WorkWeek,Holidays),-MAX(0,N($F203)-1),WorkWeek,Holidays),WORKDAY.INTL(WORKDAY.INTL(OFFSET(hdr_PlanStart,MATCH($G203,tsk_ID,0),0),N($I203),WorkWeek,Holidays),-MAX(0,N($F203)-1),WorkWeek,Holidays)),0))</f>
        <v>0</v>
      </c>
      <c r="AL203" s="48" t="n">
        <f aca="true">IF(OR(N($J203)=0,$AI203,$D203=""),0,IFERROR(CHOOSE(MATCH(IF($K203="","FS",$K203),{"FS","SS","FF","SF"},0),WORKDAY.INTL(OFFSET(hdr_PlanFinish,MATCH($J203,tsk_ID,0),0),IF(N($F203)=0,0,1)+N($L203),WorkWeek,Holidays),WORKDAY.INTL(OFFSET(hdr_PlanStart,MATCH($J203,tsk_ID,0),0),N($L203),WorkWeek,Holidays),WORKDAY.INTL(WORKDAY.INTL(OFFSET(hdr_PlanFinish,MATCH($J203,tsk_ID,0),0),N($L203),WorkWeek,Holidays),-MAX(0,N($F203)-1),WorkWeek,Holidays),WORKDAY.INTL(WORKDAY.INTL(OFFSET(hdr_PlanStart,MATCH($J203,tsk_ID,0),0),N($L203),WorkWeek,Holidays),-MAX(0,N($F203)-1),WorkWeek,Holidays)),0))</f>
        <v>0</v>
      </c>
      <c r="AM203" s="48" t="n">
        <f aca="true">IF(OR(N($G203)=0,$AI203,$D203=""),0,IFERROR(CHOOSE(MATCH(IF($H203="","FS",$H203),{"FS","SS","FF","SF"},0),WORKDAY.INTL(OFFSET(hdr_FcFinish,MATCH($G203,tsk_ID,0),0),IF(N($F203)=0,0,1)+N($I203),WorkWeek,Holidays),WORKDAY.INTL(OFFSET(hdr_FcStart,MATCH($G203,tsk_ID,0),0),N($I203),WorkWeek,Holidays),WORKDAY.INTL(WORKDAY.INTL(OFFSET(hdr_FcFinish,MATCH($G203,tsk_ID,0),0),N($I203),WorkWeek,Holidays),-MAX(0,N($F203)-1),WorkWeek,Holidays),WORKDAY.INTL(WORKDAY.INTL(OFFSET(hdr_FcStart,MATCH($G203,tsk_ID,0),0),N($I203),WorkWeek,Holidays),-MAX(0,N($F203)-1),WorkWeek,Holidays)),0))</f>
        <v>0</v>
      </c>
      <c r="AN203" s="48" t="n">
        <f aca="true">IF(OR(N($J203)=0,$AI203,$D203=""),0,IFERROR(CHOOSE(MATCH(IF($K203="","FS",$K203),{"FS","SS","FF","SF"},0),WORKDAY.INTL(OFFSET(hdr_FcFinish,MATCH($J203,tsk_ID,0),0),IF(N($F203)=0,0,1)+N($L203),WorkWeek,Holidays),WORKDAY.INTL(OFFSET(hdr_FcStart,MATCH($J203,tsk_ID,0),0),N($L203),WorkWeek,Holidays),WORKDAY.INTL(WORKDAY.INTL(OFFSET(hdr_FcFinish,MATCH($J203,tsk_ID,0),0),N($L203),WorkWeek,Holidays),-MAX(0,N($F203)-1),WorkWeek,Holidays),WORKDAY.INTL(WORKDAY.INTL(OFFSET(hdr_FcStart,MATCH($J203,tsk_ID,0),0),N($L203),WorkWeek,Holidays),-MAX(0,N($F203)-1),WorkWeek,Holidays)),0))</f>
        <v>0</v>
      </c>
      <c r="AO203" s="48" t="n">
        <f aca="false">IF($AJ203=1,$R203,0)</f>
        <v>0</v>
      </c>
      <c r="AP203" s="48" t="n">
        <f aca="false">IF($AJ203=1,$S203,0)</f>
        <v>0</v>
      </c>
      <c r="AQ203" s="49" t="n">
        <f aca="false">IF(AND($AJ203=1,N($Z203)&gt;0),$Z203/($AP203-$AO203+1),0)</f>
        <v>0</v>
      </c>
      <c r="AR203" s="46" t="n">
        <f aca="false">IF($AJ203=1,MAX(N($F203),0.1),0)</f>
        <v>0</v>
      </c>
      <c r="AS203" s="46" t="n">
        <f aca="false">IF($AJ203=1,$AR203*$V203,0)</f>
        <v>0</v>
      </c>
      <c r="AT203" s="46" t="str">
        <f aca="false">IF(N($G203)=0,"",$G203&amp;IF(AND(IF($H203="","FS",$H203)="FS",N($I203)=0),"",IF($H203="","FS",$H203)&amp;IF(N($I203)=0,"",IF(N($I203)&gt;0,"+","")&amp;N($I203)&amp;"d")))</f>
        <v/>
      </c>
      <c r="AU203" s="46" t="str">
        <f aca="false">IF(N($J203)=0,"",$J203&amp;IF(AND(IF($K203="","FS",$K203)="FS",N($L203)=0),"",IF($K203="","FS",$K203)&amp;IF(N($L203)=0,"",IF(N($L203)&gt;0,"+","")&amp;N($L203)&amp;"d")))</f>
        <v/>
      </c>
      <c r="AV203" s="46" t="str">
        <f aca="false">IF(AND($AJ203=1,N($F203)=0,$V203&lt;1),$S203+$AF203/100000,"")</f>
        <v/>
      </c>
    </row>
    <row r="204" customFormat="false" ht="15" hidden="false" customHeight="false" outlineLevel="0" collapsed="false">
      <c r="A204" s="38" t="str">
        <f aca="false">IF($D204="","",COUNTA($D$6:$D204))</f>
        <v/>
      </c>
      <c r="B204" s="39" t="str">
        <f aca="true">IF($D204="","",IF($AE204=1,COUNTIF($AE$6:$AE204,1)&amp;"",IF($AG204=0,"?",OFFSET(hdr_WBS,$AG204-ROW(hdr_WBS),0)&amp;"."&amp;COUNTIF(INDEX($AE:$AE,$AG204+1):$AE204,$AE204))))</f>
        <v/>
      </c>
      <c r="C204" s="40"/>
      <c r="D204" s="41"/>
      <c r="E204" s="40"/>
      <c r="F204" s="40"/>
      <c r="G204" s="40"/>
      <c r="H204" s="40"/>
      <c r="I204" s="40"/>
      <c r="J204" s="40"/>
      <c r="K204" s="40"/>
      <c r="L204" s="40"/>
      <c r="M204" s="29"/>
      <c r="N204" s="30" t="str">
        <f aca="true">IF($D204="","",IF($AI204,MIN(OFFSET(hdr_PlanStart,$AF204+1,0,$AH204,1)),IF($E204="Manual",IF(N($M204)&gt;0,$M204,ProjectStart),WORKDAY.INTL(MAX(ProjectStart,N($M204),$AK204,$AL204)-1,1,WorkWeek,Holidays))))</f>
        <v/>
      </c>
      <c r="O204" s="30" t="str">
        <f aca="true">IF($D204="","",IF($AI204,MAX(OFFSET(hdr_PlanFinish,$AF204+1,0,$AH204,1)),IF(N($F204)&lt;=0,$N204,WORKDAY.INTL($N204,$F204-1,WorkWeek,Holidays))))</f>
        <v/>
      </c>
      <c r="P204" s="29"/>
      <c r="Q204" s="29"/>
      <c r="R204" s="30" t="str">
        <f aca="true">IF($D204="","",IF($AI204,MIN(OFFSET(hdr_FcStart,$AF204+1,0,$AH204,1)),IF(N($P204)&gt;0,$P204,IF($E204="Manual",IF(N($M204)&gt;0,$M204,ProjectStart),WORKDAY.INTL(MAX(ProjectStart,N($M204),$AM204,$AN204,IF(RescheduleAfterStatus="Yes",StatusDate,0))-1,1,WorkWeek,Holidays)))))</f>
        <v/>
      </c>
      <c r="S204" s="30" t="str">
        <f aca="true">IF($D204="","",IF($AI204,MAX(OFFSET(hdr_FcFinish,$AF204+1,0,$AH204,1)),IF(N($Q204)&gt;0,$Q204,IF(N($F204)&lt;=0,$R204,IF(AND(N($P204)&gt;0,RescheduleAfterStatus="Yes"),MAX(WORKDAY.INTL($R204,$F204-1,WorkWeek,Holidays),WORKDAY.INTL(StatusWorkday,MAX(0,ROUNDUP($F204*(1-MIN(1,N($U204))),0)-1),WorkWeek,Holidays)),WORKDAY.INTL($R204,$F204-1,WorkWeek,Holidays))))))</f>
        <v/>
      </c>
      <c r="T204" s="38" t="str">
        <f aca="false">IF($D204="","",IF($S204&gt;=$O204,NETWORKDAYS.INTL($O204,$S204,WorkWeek,Holidays)-1,1-NETWORKDAYS.INTL($S204,$O204,WorkWeek,Holidays)))</f>
        <v/>
      </c>
      <c r="U204" s="32"/>
      <c r="V204" s="42" t="str">
        <f aca="true">IF($D204="","",IF($AI204,IFERROR(SUM(OFFSET(hdr_WtDone,$AF204+1,0,$AH204,1))/SUM(OFFSET(hdr_WtDur,$AF204+1,0,$AH204,1)),0),IF(N($Q204)&gt;0,1,MIN(1,N($U204)))))</f>
        <v/>
      </c>
      <c r="W204" s="39" t="str">
        <f aca="false">IF($D204="","",IF($V204&gt;=1,"Complete",IF(OR(N($P204)&gt;0,$V204&gt;0),IF($T204&gt;0,"Behind","In Progress"),IF($N204&lt;StatusDate,"Late Start","Not Started"))))</f>
        <v/>
      </c>
      <c r="X204" s="41"/>
      <c r="Y204" s="32"/>
      <c r="Z204" s="43" t="str">
        <f aca="true">IF($D204="","",IF($AI204,SUMPRODUCT(OFFSET(hdr_Work,$AF204+1,0,$AH204,1),OFFSET(hdr_IsLeaf,$AF204+1,0,$AH204,1)),IF($X204="",0,N($F204)*HoursPerDay*IF($Y204="",DefaultUnits,$Y204))))</f>
        <v/>
      </c>
      <c r="AA204" s="44" t="str">
        <f aca="true">IF($D204="","",IF($AI204,SUMPRODUCT(OFFSET(hdr_Cost,$AF204+1,0,$AH204,1),OFFSET(hdr_IsLeaf,$AF204+1,0,$AH204,1)),$Z204*IFERROR(INDEX(res_Rate,MATCH($X204,res_Name,0)),0)))</f>
        <v/>
      </c>
      <c r="AB204" s="38" t="str">
        <f aca="false">IF(OR($D204="",$AI204),"",IF(OR($R204&lt;Sprint1Start,$R204&gt;SprintLastEnd),"Backlog",INDEX(spr_Name,MATCH($R204,spr_Start,1))))</f>
        <v/>
      </c>
      <c r="AC204" s="45" t="str">
        <f aca="false">IF($D204="","",$AT204&amp;IF(AND($AT204&lt;&gt;"",$AU204&lt;&gt;""),",","")&amp;$AU204)</f>
        <v/>
      </c>
      <c r="AD204" s="41"/>
      <c r="AE204" s="46" t="str">
        <f aca="false">IF($D204="","",MAX(1,N($C204)))</f>
        <v/>
      </c>
      <c r="AF204" s="46" t="n">
        <f aca="false">ROW()-ROW(hdr_ID)</f>
        <v>199</v>
      </c>
      <c r="AG204" s="46" t="n">
        <f aca="false">IF(OR($D204="",$AE204&lt;=1),0,IFERROR(LOOKUP(2,1/($AE$5:$AE203=$AE204-1),ROW($AE$5:$AE203)),0))</f>
        <v>0</v>
      </c>
      <c r="AH204" s="46" t="n">
        <f aca="false">IF($D204="",0,COUNTIF(tsk_WBS,$B204&amp;".*"))</f>
        <v>0</v>
      </c>
      <c r="AI204" s="47" t="b">
        <f aca="false">$AH204&gt;0</f>
        <v>0</v>
      </c>
      <c r="AJ204" s="46" t="n">
        <f aca="false">IF(AND($D204&lt;&gt;"",NOT($AI204)),1,0)</f>
        <v>0</v>
      </c>
      <c r="AK204" s="48" t="n">
        <f aca="true">IF(OR(N($G204)=0,$AI204,$D204=""),0,IFERROR(CHOOSE(MATCH(IF($H204="","FS",$H204),{"FS","SS","FF","SF"},0),WORKDAY.INTL(OFFSET(hdr_PlanFinish,MATCH($G204,tsk_ID,0),0),IF(N($F204)=0,0,1)+N($I204),WorkWeek,Holidays),WORKDAY.INTL(OFFSET(hdr_PlanStart,MATCH($G204,tsk_ID,0),0),N($I204),WorkWeek,Holidays),WORKDAY.INTL(WORKDAY.INTL(OFFSET(hdr_PlanFinish,MATCH($G204,tsk_ID,0),0),N($I204),WorkWeek,Holidays),-MAX(0,N($F204)-1),WorkWeek,Holidays),WORKDAY.INTL(WORKDAY.INTL(OFFSET(hdr_PlanStart,MATCH($G204,tsk_ID,0),0),N($I204),WorkWeek,Holidays),-MAX(0,N($F204)-1),WorkWeek,Holidays)),0))</f>
        <v>0</v>
      </c>
      <c r="AL204" s="48" t="n">
        <f aca="true">IF(OR(N($J204)=0,$AI204,$D204=""),0,IFERROR(CHOOSE(MATCH(IF($K204="","FS",$K204),{"FS","SS","FF","SF"},0),WORKDAY.INTL(OFFSET(hdr_PlanFinish,MATCH($J204,tsk_ID,0),0),IF(N($F204)=0,0,1)+N($L204),WorkWeek,Holidays),WORKDAY.INTL(OFFSET(hdr_PlanStart,MATCH($J204,tsk_ID,0),0),N($L204),WorkWeek,Holidays),WORKDAY.INTL(WORKDAY.INTL(OFFSET(hdr_PlanFinish,MATCH($J204,tsk_ID,0),0),N($L204),WorkWeek,Holidays),-MAX(0,N($F204)-1),WorkWeek,Holidays),WORKDAY.INTL(WORKDAY.INTL(OFFSET(hdr_PlanStart,MATCH($J204,tsk_ID,0),0),N($L204),WorkWeek,Holidays),-MAX(0,N($F204)-1),WorkWeek,Holidays)),0))</f>
        <v>0</v>
      </c>
      <c r="AM204" s="48" t="n">
        <f aca="true">IF(OR(N($G204)=0,$AI204,$D204=""),0,IFERROR(CHOOSE(MATCH(IF($H204="","FS",$H204),{"FS","SS","FF","SF"},0),WORKDAY.INTL(OFFSET(hdr_FcFinish,MATCH($G204,tsk_ID,0),0),IF(N($F204)=0,0,1)+N($I204),WorkWeek,Holidays),WORKDAY.INTL(OFFSET(hdr_FcStart,MATCH($G204,tsk_ID,0),0),N($I204),WorkWeek,Holidays),WORKDAY.INTL(WORKDAY.INTL(OFFSET(hdr_FcFinish,MATCH($G204,tsk_ID,0),0),N($I204),WorkWeek,Holidays),-MAX(0,N($F204)-1),WorkWeek,Holidays),WORKDAY.INTL(WORKDAY.INTL(OFFSET(hdr_FcStart,MATCH($G204,tsk_ID,0),0),N($I204),WorkWeek,Holidays),-MAX(0,N($F204)-1),WorkWeek,Holidays)),0))</f>
        <v>0</v>
      </c>
      <c r="AN204" s="48" t="n">
        <f aca="true">IF(OR(N($J204)=0,$AI204,$D204=""),0,IFERROR(CHOOSE(MATCH(IF($K204="","FS",$K204),{"FS","SS","FF","SF"},0),WORKDAY.INTL(OFFSET(hdr_FcFinish,MATCH($J204,tsk_ID,0),0),IF(N($F204)=0,0,1)+N($L204),WorkWeek,Holidays),WORKDAY.INTL(OFFSET(hdr_FcStart,MATCH($J204,tsk_ID,0),0),N($L204),WorkWeek,Holidays),WORKDAY.INTL(WORKDAY.INTL(OFFSET(hdr_FcFinish,MATCH($J204,tsk_ID,0),0),N($L204),WorkWeek,Holidays),-MAX(0,N($F204)-1),WorkWeek,Holidays),WORKDAY.INTL(WORKDAY.INTL(OFFSET(hdr_FcStart,MATCH($J204,tsk_ID,0),0),N($L204),WorkWeek,Holidays),-MAX(0,N($F204)-1),WorkWeek,Holidays)),0))</f>
        <v>0</v>
      </c>
      <c r="AO204" s="48" t="n">
        <f aca="false">IF($AJ204=1,$R204,0)</f>
        <v>0</v>
      </c>
      <c r="AP204" s="48" t="n">
        <f aca="false">IF($AJ204=1,$S204,0)</f>
        <v>0</v>
      </c>
      <c r="AQ204" s="49" t="n">
        <f aca="false">IF(AND($AJ204=1,N($Z204)&gt;0),$Z204/($AP204-$AO204+1),0)</f>
        <v>0</v>
      </c>
      <c r="AR204" s="46" t="n">
        <f aca="false">IF($AJ204=1,MAX(N($F204),0.1),0)</f>
        <v>0</v>
      </c>
      <c r="AS204" s="46" t="n">
        <f aca="false">IF($AJ204=1,$AR204*$V204,0)</f>
        <v>0</v>
      </c>
      <c r="AT204" s="46" t="str">
        <f aca="false">IF(N($G204)=0,"",$G204&amp;IF(AND(IF($H204="","FS",$H204)="FS",N($I204)=0),"",IF($H204="","FS",$H204)&amp;IF(N($I204)=0,"",IF(N($I204)&gt;0,"+","")&amp;N($I204)&amp;"d")))</f>
        <v/>
      </c>
      <c r="AU204" s="46" t="str">
        <f aca="false">IF(N($J204)=0,"",$J204&amp;IF(AND(IF($K204="","FS",$K204)="FS",N($L204)=0),"",IF($K204="","FS",$K204)&amp;IF(N($L204)=0,"",IF(N($L204)&gt;0,"+","")&amp;N($L204)&amp;"d")))</f>
        <v/>
      </c>
      <c r="AV204" s="46" t="str">
        <f aca="false">IF(AND($AJ204=1,N($F204)=0,$V204&lt;1),$S204+$AF204/100000,"")</f>
        <v/>
      </c>
    </row>
    <row r="205" customFormat="false" ht="15" hidden="false" customHeight="false" outlineLevel="0" collapsed="false">
      <c r="A205" s="38" t="str">
        <f aca="false">IF($D205="","",COUNTA($D$6:$D205))</f>
        <v/>
      </c>
      <c r="B205" s="39" t="str">
        <f aca="true">IF($D205="","",IF($AE205=1,COUNTIF($AE$6:$AE205,1)&amp;"",IF($AG205=0,"?",OFFSET(hdr_WBS,$AG205-ROW(hdr_WBS),0)&amp;"."&amp;COUNTIF(INDEX($AE:$AE,$AG205+1):$AE205,$AE205))))</f>
        <v/>
      </c>
      <c r="C205" s="40"/>
      <c r="D205" s="41"/>
      <c r="E205" s="40"/>
      <c r="F205" s="40"/>
      <c r="G205" s="40"/>
      <c r="H205" s="40"/>
      <c r="I205" s="40"/>
      <c r="J205" s="40"/>
      <c r="K205" s="40"/>
      <c r="L205" s="40"/>
      <c r="M205" s="29"/>
      <c r="N205" s="30" t="str">
        <f aca="true">IF($D205="","",IF($AI205,MIN(OFFSET(hdr_PlanStart,$AF205+1,0,$AH205,1)),IF($E205="Manual",IF(N($M205)&gt;0,$M205,ProjectStart),WORKDAY.INTL(MAX(ProjectStart,N($M205),$AK205,$AL205)-1,1,WorkWeek,Holidays))))</f>
        <v/>
      </c>
      <c r="O205" s="30" t="str">
        <f aca="true">IF($D205="","",IF($AI205,MAX(OFFSET(hdr_PlanFinish,$AF205+1,0,$AH205,1)),IF(N($F205)&lt;=0,$N205,WORKDAY.INTL($N205,$F205-1,WorkWeek,Holidays))))</f>
        <v/>
      </c>
      <c r="P205" s="29"/>
      <c r="Q205" s="29"/>
      <c r="R205" s="30" t="str">
        <f aca="true">IF($D205="","",IF($AI205,MIN(OFFSET(hdr_FcStart,$AF205+1,0,$AH205,1)),IF(N($P205)&gt;0,$P205,IF($E205="Manual",IF(N($M205)&gt;0,$M205,ProjectStart),WORKDAY.INTL(MAX(ProjectStart,N($M205),$AM205,$AN205,IF(RescheduleAfterStatus="Yes",StatusDate,0))-1,1,WorkWeek,Holidays)))))</f>
        <v/>
      </c>
      <c r="S205" s="30" t="str">
        <f aca="true">IF($D205="","",IF($AI205,MAX(OFFSET(hdr_FcFinish,$AF205+1,0,$AH205,1)),IF(N($Q205)&gt;0,$Q205,IF(N($F205)&lt;=0,$R205,IF(AND(N($P205)&gt;0,RescheduleAfterStatus="Yes"),MAX(WORKDAY.INTL($R205,$F205-1,WorkWeek,Holidays),WORKDAY.INTL(StatusWorkday,MAX(0,ROUNDUP($F205*(1-MIN(1,N($U205))),0)-1),WorkWeek,Holidays)),WORKDAY.INTL($R205,$F205-1,WorkWeek,Holidays))))))</f>
        <v/>
      </c>
      <c r="T205" s="38" t="str">
        <f aca="false">IF($D205="","",IF($S205&gt;=$O205,NETWORKDAYS.INTL($O205,$S205,WorkWeek,Holidays)-1,1-NETWORKDAYS.INTL($S205,$O205,WorkWeek,Holidays)))</f>
        <v/>
      </c>
      <c r="U205" s="32"/>
      <c r="V205" s="42" t="str">
        <f aca="true">IF($D205="","",IF($AI205,IFERROR(SUM(OFFSET(hdr_WtDone,$AF205+1,0,$AH205,1))/SUM(OFFSET(hdr_WtDur,$AF205+1,0,$AH205,1)),0),IF(N($Q205)&gt;0,1,MIN(1,N($U205)))))</f>
        <v/>
      </c>
      <c r="W205" s="39" t="str">
        <f aca="false">IF($D205="","",IF($V205&gt;=1,"Complete",IF(OR(N($P205)&gt;0,$V205&gt;0),IF($T205&gt;0,"Behind","In Progress"),IF($N205&lt;StatusDate,"Late Start","Not Started"))))</f>
        <v/>
      </c>
      <c r="X205" s="41"/>
      <c r="Y205" s="32"/>
      <c r="Z205" s="43" t="str">
        <f aca="true">IF($D205="","",IF($AI205,SUMPRODUCT(OFFSET(hdr_Work,$AF205+1,0,$AH205,1),OFFSET(hdr_IsLeaf,$AF205+1,0,$AH205,1)),IF($X205="",0,N($F205)*HoursPerDay*IF($Y205="",DefaultUnits,$Y205))))</f>
        <v/>
      </c>
      <c r="AA205" s="44" t="str">
        <f aca="true">IF($D205="","",IF($AI205,SUMPRODUCT(OFFSET(hdr_Cost,$AF205+1,0,$AH205,1),OFFSET(hdr_IsLeaf,$AF205+1,0,$AH205,1)),$Z205*IFERROR(INDEX(res_Rate,MATCH($X205,res_Name,0)),0)))</f>
        <v/>
      </c>
      <c r="AB205" s="38" t="str">
        <f aca="false">IF(OR($D205="",$AI205),"",IF(OR($R205&lt;Sprint1Start,$R205&gt;SprintLastEnd),"Backlog",INDEX(spr_Name,MATCH($R205,spr_Start,1))))</f>
        <v/>
      </c>
      <c r="AC205" s="45" t="str">
        <f aca="false">IF($D205="","",$AT205&amp;IF(AND($AT205&lt;&gt;"",$AU205&lt;&gt;""),",","")&amp;$AU205)</f>
        <v/>
      </c>
      <c r="AD205" s="41"/>
      <c r="AE205" s="46" t="str">
        <f aca="false">IF($D205="","",MAX(1,N($C205)))</f>
        <v/>
      </c>
      <c r="AF205" s="46" t="n">
        <f aca="false">ROW()-ROW(hdr_ID)</f>
        <v>200</v>
      </c>
      <c r="AG205" s="46" t="n">
        <f aca="false">IF(OR($D205="",$AE205&lt;=1),0,IFERROR(LOOKUP(2,1/($AE$5:$AE204=$AE205-1),ROW($AE$5:$AE204)),0))</f>
        <v>0</v>
      </c>
      <c r="AH205" s="46" t="n">
        <f aca="false">IF($D205="",0,COUNTIF(tsk_WBS,$B205&amp;".*"))</f>
        <v>0</v>
      </c>
      <c r="AI205" s="47" t="b">
        <f aca="false">$AH205&gt;0</f>
        <v>0</v>
      </c>
      <c r="AJ205" s="46" t="n">
        <f aca="false">IF(AND($D205&lt;&gt;"",NOT($AI205)),1,0)</f>
        <v>0</v>
      </c>
      <c r="AK205" s="48" t="n">
        <f aca="true">IF(OR(N($G205)=0,$AI205,$D205=""),0,IFERROR(CHOOSE(MATCH(IF($H205="","FS",$H205),{"FS","SS","FF","SF"},0),WORKDAY.INTL(OFFSET(hdr_PlanFinish,MATCH($G205,tsk_ID,0),0),IF(N($F205)=0,0,1)+N($I205),WorkWeek,Holidays),WORKDAY.INTL(OFFSET(hdr_PlanStart,MATCH($G205,tsk_ID,0),0),N($I205),WorkWeek,Holidays),WORKDAY.INTL(WORKDAY.INTL(OFFSET(hdr_PlanFinish,MATCH($G205,tsk_ID,0),0),N($I205),WorkWeek,Holidays),-MAX(0,N($F205)-1),WorkWeek,Holidays),WORKDAY.INTL(WORKDAY.INTL(OFFSET(hdr_PlanStart,MATCH($G205,tsk_ID,0),0),N($I205),WorkWeek,Holidays),-MAX(0,N($F205)-1),WorkWeek,Holidays)),0))</f>
        <v>0</v>
      </c>
      <c r="AL205" s="48" t="n">
        <f aca="true">IF(OR(N($J205)=0,$AI205,$D205=""),0,IFERROR(CHOOSE(MATCH(IF($K205="","FS",$K205),{"FS","SS","FF","SF"},0),WORKDAY.INTL(OFFSET(hdr_PlanFinish,MATCH($J205,tsk_ID,0),0),IF(N($F205)=0,0,1)+N($L205),WorkWeek,Holidays),WORKDAY.INTL(OFFSET(hdr_PlanStart,MATCH($J205,tsk_ID,0),0),N($L205),WorkWeek,Holidays),WORKDAY.INTL(WORKDAY.INTL(OFFSET(hdr_PlanFinish,MATCH($J205,tsk_ID,0),0),N($L205),WorkWeek,Holidays),-MAX(0,N($F205)-1),WorkWeek,Holidays),WORKDAY.INTL(WORKDAY.INTL(OFFSET(hdr_PlanStart,MATCH($J205,tsk_ID,0),0),N($L205),WorkWeek,Holidays),-MAX(0,N($F205)-1),WorkWeek,Holidays)),0))</f>
        <v>0</v>
      </c>
      <c r="AM205" s="48" t="n">
        <f aca="true">IF(OR(N($G205)=0,$AI205,$D205=""),0,IFERROR(CHOOSE(MATCH(IF($H205="","FS",$H205),{"FS","SS","FF","SF"},0),WORKDAY.INTL(OFFSET(hdr_FcFinish,MATCH($G205,tsk_ID,0),0),IF(N($F205)=0,0,1)+N($I205),WorkWeek,Holidays),WORKDAY.INTL(OFFSET(hdr_FcStart,MATCH($G205,tsk_ID,0),0),N($I205),WorkWeek,Holidays),WORKDAY.INTL(WORKDAY.INTL(OFFSET(hdr_FcFinish,MATCH($G205,tsk_ID,0),0),N($I205),WorkWeek,Holidays),-MAX(0,N($F205)-1),WorkWeek,Holidays),WORKDAY.INTL(WORKDAY.INTL(OFFSET(hdr_FcStart,MATCH($G205,tsk_ID,0),0),N($I205),WorkWeek,Holidays),-MAX(0,N($F205)-1),WorkWeek,Holidays)),0))</f>
        <v>0</v>
      </c>
      <c r="AN205" s="48" t="n">
        <f aca="true">IF(OR(N($J205)=0,$AI205,$D205=""),0,IFERROR(CHOOSE(MATCH(IF($K205="","FS",$K205),{"FS","SS","FF","SF"},0),WORKDAY.INTL(OFFSET(hdr_FcFinish,MATCH($J205,tsk_ID,0),0),IF(N($F205)=0,0,1)+N($L205),WorkWeek,Holidays),WORKDAY.INTL(OFFSET(hdr_FcStart,MATCH($J205,tsk_ID,0),0),N($L205),WorkWeek,Holidays),WORKDAY.INTL(WORKDAY.INTL(OFFSET(hdr_FcFinish,MATCH($J205,tsk_ID,0),0),N($L205),WorkWeek,Holidays),-MAX(0,N($F205)-1),WorkWeek,Holidays),WORKDAY.INTL(WORKDAY.INTL(OFFSET(hdr_FcStart,MATCH($J205,tsk_ID,0),0),N($L205),WorkWeek,Holidays),-MAX(0,N($F205)-1),WorkWeek,Holidays)),0))</f>
        <v>0</v>
      </c>
      <c r="AO205" s="48" t="n">
        <f aca="false">IF($AJ205=1,$R205,0)</f>
        <v>0</v>
      </c>
      <c r="AP205" s="48" t="n">
        <f aca="false">IF($AJ205=1,$S205,0)</f>
        <v>0</v>
      </c>
      <c r="AQ205" s="49" t="n">
        <f aca="false">IF(AND($AJ205=1,N($Z205)&gt;0),$Z205/($AP205-$AO205+1),0)</f>
        <v>0</v>
      </c>
      <c r="AR205" s="46" t="n">
        <f aca="false">IF($AJ205=1,MAX(N($F205),0.1),0)</f>
        <v>0</v>
      </c>
      <c r="AS205" s="46" t="n">
        <f aca="false">IF($AJ205=1,$AR205*$V205,0)</f>
        <v>0</v>
      </c>
      <c r="AT205" s="46" t="str">
        <f aca="false">IF(N($G205)=0,"",$G205&amp;IF(AND(IF($H205="","FS",$H205)="FS",N($I205)=0),"",IF($H205="","FS",$H205)&amp;IF(N($I205)=0,"",IF(N($I205)&gt;0,"+","")&amp;N($I205)&amp;"d")))</f>
        <v/>
      </c>
      <c r="AU205" s="46" t="str">
        <f aca="false">IF(N($J205)=0,"",$J205&amp;IF(AND(IF($K205="","FS",$K205)="FS",N($L205)=0),"",IF($K205="","FS",$K205)&amp;IF(N($L205)=0,"",IF(N($L205)&gt;0,"+","")&amp;N($L205)&amp;"d")))</f>
        <v/>
      </c>
      <c r="AV205" s="46" t="str">
        <f aca="false">IF(AND($AJ205=1,N($F205)=0,$V205&lt;1),$S205+$AF205/100000,"")</f>
        <v/>
      </c>
    </row>
  </sheetData>
  <autoFilter ref="A5:AD205"/>
  <conditionalFormatting sqref="A6:AD205">
    <cfRule type="expression" priority="2" aboveAverage="0" equalAverage="0" bottom="0" percent="0" rank="0" text="" dxfId="14">
      <formula>$AI6=1</formula>
    </cfRule>
  </conditionalFormatting>
  <conditionalFormatting sqref="F6:F205">
    <cfRule type="expression" priority="3" aboveAverage="0" equalAverage="0" bottom="0" percent="0" rank="0" text="" dxfId="15">
      <formula>$AI6=1</formula>
    </cfRule>
  </conditionalFormatting>
  <conditionalFormatting sqref="G6:G205">
    <cfRule type="expression" priority="4" aboveAverage="0" equalAverage="0" bottom="0" percent="0" rank="0" text="" dxfId="15">
      <formula>$AI6=1</formula>
    </cfRule>
  </conditionalFormatting>
  <conditionalFormatting sqref="H6:H205">
    <cfRule type="expression" priority="5" aboveAverage="0" equalAverage="0" bottom="0" percent="0" rank="0" text="" dxfId="15">
      <formula>$AI6=1</formula>
    </cfRule>
  </conditionalFormatting>
  <conditionalFormatting sqref="I6:I205">
    <cfRule type="expression" priority="6" aboveAverage="0" equalAverage="0" bottom="0" percent="0" rank="0" text="" dxfId="15">
      <formula>$AI6=1</formula>
    </cfRule>
  </conditionalFormatting>
  <conditionalFormatting sqref="J6:J205">
    <cfRule type="expression" priority="7" aboveAverage="0" equalAverage="0" bottom="0" percent="0" rank="0" text="" dxfId="15">
      <formula>$AI6=1</formula>
    </cfRule>
  </conditionalFormatting>
  <conditionalFormatting sqref="K6:K205">
    <cfRule type="expression" priority="8" aboveAverage="0" equalAverage="0" bottom="0" percent="0" rank="0" text="" dxfId="15">
      <formula>$AI6=1</formula>
    </cfRule>
  </conditionalFormatting>
  <conditionalFormatting sqref="L6:L205">
    <cfRule type="expression" priority="9" aboveAverage="0" equalAverage="0" bottom="0" percent="0" rank="0" text="" dxfId="15">
      <formula>$AI6=1</formula>
    </cfRule>
  </conditionalFormatting>
  <conditionalFormatting sqref="M6:M205">
    <cfRule type="expression" priority="10" aboveAverage="0" equalAverage="0" bottom="0" percent="0" rank="0" text="" dxfId="15">
      <formula>$AI6=1</formula>
    </cfRule>
  </conditionalFormatting>
  <conditionalFormatting sqref="P6:P205">
    <cfRule type="expression" priority="11" aboveAverage="0" equalAverage="0" bottom="0" percent="0" rank="0" text="" dxfId="15">
      <formula>$AI6=1</formula>
    </cfRule>
  </conditionalFormatting>
  <conditionalFormatting sqref="Q6:Q205">
    <cfRule type="expression" priority="12" aboveAverage="0" equalAverage="0" bottom="0" percent="0" rank="0" text="" dxfId="15">
      <formula>$AI6=1</formula>
    </cfRule>
  </conditionalFormatting>
  <conditionalFormatting sqref="U6:U205">
    <cfRule type="expression" priority="13" aboveAverage="0" equalAverage="0" bottom="0" percent="0" rank="0" text="" dxfId="15">
      <formula>$AI6=1</formula>
    </cfRule>
  </conditionalFormatting>
  <conditionalFormatting sqref="X6:X205">
    <cfRule type="expression" priority="14" aboveAverage="0" equalAverage="0" bottom="0" percent="0" rank="0" text="" dxfId="15">
      <formula>$AI6=1</formula>
    </cfRule>
  </conditionalFormatting>
  <conditionalFormatting sqref="Y6:Y205">
    <cfRule type="expression" priority="15" aboveAverage="0" equalAverage="0" bottom="0" percent="0" rank="0" text="" dxfId="15">
      <formula>$AI6=1</formula>
    </cfRule>
  </conditionalFormatting>
  <conditionalFormatting sqref="W6:W205">
    <cfRule type="expression" priority="16" aboveAverage="0" equalAverage="0" bottom="0" percent="0" rank="0" text="" dxfId="1">
      <formula>$W6="Complete"</formula>
    </cfRule>
    <cfRule type="expression" priority="17" aboveAverage="0" equalAverage="0" bottom="0" percent="0" rank="0" text="" dxfId="16">
      <formula>$W6="In Progress"</formula>
    </cfRule>
    <cfRule type="expression" priority="18" aboveAverage="0" equalAverage="0" bottom="0" percent="0" rank="0" text="" dxfId="0">
      <formula>$W6="Behind"</formula>
    </cfRule>
    <cfRule type="expression" priority="19" aboveAverage="0" equalAverage="0" bottom="0" percent="0" rank="0" text="" dxfId="17">
      <formula>$W6="Late Start"</formula>
    </cfRule>
    <cfRule type="expression" priority="20" aboveAverage="0" equalAverage="0" bottom="0" percent="0" rank="0" text="" dxfId="18">
      <formula>$W6="Not Started"</formula>
    </cfRule>
  </conditionalFormatting>
  <conditionalFormatting sqref="T6:T205">
    <cfRule type="expression" priority="21" aboveAverage="0" equalAverage="0" bottom="0" percent="0" rank="0" text="" dxfId="0">
      <formula>AND(ISNUMBER($T6),$T6&gt;0)</formula>
    </cfRule>
    <cfRule type="expression" priority="22" aboveAverage="0" equalAverage="0" bottom="0" percent="0" rank="0" text="" dxfId="1">
      <formula>AND(ISNUMBER($T6),$T6&lt;0)</formula>
    </cfRule>
  </conditionalFormatting>
  <conditionalFormatting sqref="D6:D205">
    <cfRule type="expression" priority="23" aboveAverage="0" equalAverage="0" bottom="0" percent="0" rank="0" text="" dxfId="19">
      <formula>AND($AJ6=1,N($F6)=0)</formula>
    </cfRule>
  </conditionalFormatting>
  <conditionalFormatting sqref="B6:B205">
    <cfRule type="expression" priority="24" aboveAverage="0" equalAverage="0" bottom="0" percent="0" rank="0" text="" dxfId="20">
      <formula>$B6="?"</formula>
    </cfRule>
  </conditionalFormatting>
  <dataValidations count="10">
    <dataValidation allowBlank="false" error="Outline level must be 1-9 and increase by at most 1 from the row above." errorStyle="stop" errorTitle="Level" operator="between" showDropDown="false" showErrorMessage="true" showInputMessage="false" sqref="C6:C205" type="whole">
      <formula1>1</formula1>
      <formula2>9</formula2>
    </dataValidation>
    <dataValidation allowBlank="false" errorStyle="stop" operator="between" showDropDown="false" showErrorMessage="false" showInputMessage="false" sqref="E6:E205" type="list">
      <formula1>L_Mode</formula1>
      <formula2>0</formula2>
    </dataValidation>
    <dataValidation allowBlank="false" error="Duration is in working days (0 = milestone)." errorStyle="stop" operator="greaterThanOrEqual" showDropDown="false" showErrorMessage="true" showInputMessage="false" sqref="F6:F205" type="decimal">
      <formula1>0</formula1>
      <formula2>0</formula2>
    </dataValidation>
    <dataValidation allowBlank="false" error="Enter the ID of an existing task (not this task or one of its summaries)." errorStyle="stop" operator="between" showDropDown="false" showErrorMessage="true" showInputMessage="false" sqref="G6:G205 J6:J205" type="whole">
      <formula1>1</formula1>
      <formula2>200</formula2>
    </dataValidation>
    <dataValidation allowBlank="false" errorStyle="stop" operator="between" showDropDown="false" showErrorMessage="false" showInputMessage="false" sqref="H6:H205 K6:K205" type="list">
      <formula1>L_DepType</formula1>
      <formula2>0</formula2>
    </dataValidation>
    <dataValidation allowBlank="false" errorStyle="stop" operator="between" showDropDown="false" showErrorMessage="false" showInputMessage="false" sqref="I6:I205 L6:L205" type="whole">
      <formula1>-365</formula1>
      <formula2>365</formula2>
    </dataValidation>
    <dataValidation allowBlank="false" errorStyle="stop" operator="greaterThan" showDropDown="false" showErrorMessage="false" showInputMessage="false" sqref="M6:M205 P6:Q205" type="date">
      <formula1>1</formula1>
      <formula2>0</formula2>
    </dataValidation>
    <dataValidation allowBlank="false" error="Enter 0% - 100%." errorStyle="stop" operator="between" showDropDown="false" showErrorMessage="true" showInputMessage="false" sqref="U6:U205" type="decimal">
      <formula1>0</formula1>
      <formula2>1</formula2>
    </dataValidation>
    <dataValidation allowBlank="false" errorStyle="stop" operator="between" showDropDown="false" showErrorMessage="false" showInputMessage="false" sqref="X6:X205" type="list">
      <formula1>res_Name</formula1>
      <formula2>0</formula2>
    </dataValidation>
    <dataValidation allowBlank="false" errorStyle="stop" operator="between" showDropDown="false" showErrorMessage="false" showInputMessage="false" sqref="Y6:Y205" type="decimal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FM2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9" ySplit="5" topLeftCell="T6" activePane="bottomRight" state="frozen"/>
      <selection pane="topLeft" activeCell="A1" activeCellId="0" sqref="A1"/>
      <selection pane="topRight" activeCell="T1" activeCellId="0" sqref="T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5"/>
    <col collapsed="false" customWidth="true" hidden="false" outlineLevel="0" max="8" min="5" style="0" width="10"/>
    <col collapsed="false" customWidth="true" hidden="false" outlineLevel="0" max="9" min="9" style="0" width="6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true" outlineLevel="1" max="18" min="12" style="0" width="5"/>
    <col collapsed="false" customWidth="true" hidden="false" outlineLevel="0" max="19" min="19" style="0" width="1"/>
    <col collapsed="false" customWidth="true" hidden="false" outlineLevel="0" max="169" min="20" style="0" width="2.9"/>
  </cols>
  <sheetData>
    <row r="1" customFormat="false" ht="19.7" hidden="false" customHeight="false" outlineLevel="0" collapsed="false">
      <c r="A1" s="25" t="str">
        <f aca="false">ProjectName&amp;"  -  Gantt Chart"</f>
        <v>Customer Portal Implementation  -  Gantt Chart</v>
      </c>
      <c r="T1" s="51" t="s">
        <v>256</v>
      </c>
      <c r="U1" s="52" t="s">
        <v>257</v>
      </c>
      <c r="AF1" s="53"/>
      <c r="AG1" s="52" t="s">
        <v>258</v>
      </c>
      <c r="AR1" s="54"/>
      <c r="AS1" s="52" t="s">
        <v>259</v>
      </c>
      <c r="BD1" s="55"/>
      <c r="BE1" s="52" t="s">
        <v>260</v>
      </c>
    </row>
    <row r="2" customFormat="false" ht="15" hidden="false" customHeight="false" outlineLevel="0" collapsed="false">
      <c r="A2" s="56" t="str">
        <f aca="false">"Status date: "&amp;TEXT(StatusDate,"ddd dd-mmm-yyyy")&amp;"   |   Forecast finish: "&amp;TEXT(MAX(tsk_FcFinish),"dd-mmm-yyyy")&amp;"   |   Planned finish: "&amp;TEXT(MAX(tsk_PlanFinish),"dd-mmm-yyyy")</f>
        <v>Status date: Sun 25-Oct-2026   |   Forecast finish: 06-Jan-2027   |   Planned finish: 06-Jan-2027</v>
      </c>
      <c r="T2" s="57"/>
      <c r="U2" s="52" t="s">
        <v>261</v>
      </c>
      <c r="AF2" s="51" t="s">
        <v>262</v>
      </c>
      <c r="AG2" s="52" t="s">
        <v>263</v>
      </c>
      <c r="AR2" s="51" t="s">
        <v>264</v>
      </c>
      <c r="AS2" s="52" t="s">
        <v>265</v>
      </c>
      <c r="BD2" s="58"/>
      <c r="BE2" s="52" t="s">
        <v>266</v>
      </c>
    </row>
    <row r="3" customFormat="false" ht="15" hidden="false" customHeight="false" outlineLevel="0" collapsed="false">
      <c r="T3" s="59" t="str">
        <f aca="false">IF(GanttPeriod=1,LEFT(TEXT(T5,"ddd"),1),"")</f>
        <v>M</v>
      </c>
      <c r="U3" s="59" t="str">
        <f aca="false">IF(GanttPeriod=1,LEFT(TEXT(U5,"ddd"),1),"")</f>
        <v>T</v>
      </c>
      <c r="V3" s="59" t="str">
        <f aca="false">IF(GanttPeriod=1,LEFT(TEXT(V5,"ddd"),1),"")</f>
        <v>W</v>
      </c>
      <c r="W3" s="59" t="str">
        <f aca="false">IF(GanttPeriod=1,LEFT(TEXT(W5,"ddd"),1),"")</f>
        <v>T</v>
      </c>
      <c r="X3" s="59" t="str">
        <f aca="false">IF(GanttPeriod=1,LEFT(TEXT(X5,"ddd"),1),"")</f>
        <v>F</v>
      </c>
      <c r="Y3" s="59" t="str">
        <f aca="false">IF(GanttPeriod=1,LEFT(TEXT(Y5,"ddd"),1),"")</f>
        <v>S</v>
      </c>
      <c r="Z3" s="59" t="str">
        <f aca="false">IF(GanttPeriod=1,LEFT(TEXT(Z5,"ddd"),1),"")</f>
        <v>S</v>
      </c>
      <c r="AA3" s="59" t="str">
        <f aca="false">IF(GanttPeriod=1,LEFT(TEXT(AA5,"ddd"),1),"")</f>
        <v>M</v>
      </c>
      <c r="AB3" s="59" t="str">
        <f aca="false">IF(GanttPeriod=1,LEFT(TEXT(AB5,"ddd"),1),"")</f>
        <v>T</v>
      </c>
      <c r="AC3" s="59" t="str">
        <f aca="false">IF(GanttPeriod=1,LEFT(TEXT(AC5,"ddd"),1),"")</f>
        <v>W</v>
      </c>
      <c r="AD3" s="59" t="str">
        <f aca="false">IF(GanttPeriod=1,LEFT(TEXT(AD5,"ddd"),1),"")</f>
        <v>T</v>
      </c>
      <c r="AE3" s="59" t="str">
        <f aca="false">IF(GanttPeriod=1,LEFT(TEXT(AE5,"ddd"),1),"")</f>
        <v>F</v>
      </c>
      <c r="AF3" s="59" t="str">
        <f aca="false">IF(GanttPeriod=1,LEFT(TEXT(AF5,"ddd"),1),"")</f>
        <v>S</v>
      </c>
      <c r="AG3" s="59" t="str">
        <f aca="false">IF(GanttPeriod=1,LEFT(TEXT(AG5,"ddd"),1),"")</f>
        <v>S</v>
      </c>
      <c r="AH3" s="59" t="str">
        <f aca="false">IF(GanttPeriod=1,LEFT(TEXT(AH5,"ddd"),1),"")</f>
        <v>M</v>
      </c>
      <c r="AI3" s="59" t="str">
        <f aca="false">IF(GanttPeriod=1,LEFT(TEXT(AI5,"ddd"),1),"")</f>
        <v>T</v>
      </c>
      <c r="AJ3" s="59" t="str">
        <f aca="false">IF(GanttPeriod=1,LEFT(TEXT(AJ5,"ddd"),1),"")</f>
        <v>W</v>
      </c>
      <c r="AK3" s="59" t="str">
        <f aca="false">IF(GanttPeriod=1,LEFT(TEXT(AK5,"ddd"),1),"")</f>
        <v>T</v>
      </c>
      <c r="AL3" s="59" t="str">
        <f aca="false">IF(GanttPeriod=1,LEFT(TEXT(AL5,"ddd"),1),"")</f>
        <v>F</v>
      </c>
      <c r="AM3" s="59" t="str">
        <f aca="false">IF(GanttPeriod=1,LEFT(TEXT(AM5,"ddd"),1),"")</f>
        <v>S</v>
      </c>
      <c r="AN3" s="59" t="str">
        <f aca="false">IF(GanttPeriod=1,LEFT(TEXT(AN5,"ddd"),1),"")</f>
        <v>S</v>
      </c>
      <c r="AO3" s="59" t="str">
        <f aca="false">IF(GanttPeriod=1,LEFT(TEXT(AO5,"ddd"),1),"")</f>
        <v>M</v>
      </c>
      <c r="AP3" s="59" t="str">
        <f aca="false">IF(GanttPeriod=1,LEFT(TEXT(AP5,"ddd"),1),"")</f>
        <v>T</v>
      </c>
      <c r="AQ3" s="59" t="str">
        <f aca="false">IF(GanttPeriod=1,LEFT(TEXT(AQ5,"ddd"),1),"")</f>
        <v>W</v>
      </c>
      <c r="AR3" s="59" t="str">
        <f aca="false">IF(GanttPeriod=1,LEFT(TEXT(AR5,"ddd"),1),"")</f>
        <v>T</v>
      </c>
      <c r="AS3" s="59" t="str">
        <f aca="false">IF(GanttPeriod=1,LEFT(TEXT(AS5,"ddd"),1),"")</f>
        <v>F</v>
      </c>
      <c r="AT3" s="59" t="str">
        <f aca="false">IF(GanttPeriod=1,LEFT(TEXT(AT5,"ddd"),1),"")</f>
        <v>S</v>
      </c>
      <c r="AU3" s="59" t="str">
        <f aca="false">IF(GanttPeriod=1,LEFT(TEXT(AU5,"ddd"),1),"")</f>
        <v>S</v>
      </c>
      <c r="AV3" s="59" t="str">
        <f aca="false">IF(GanttPeriod=1,LEFT(TEXT(AV5,"ddd"),1),"")</f>
        <v>M</v>
      </c>
      <c r="AW3" s="59" t="str">
        <f aca="false">IF(GanttPeriod=1,LEFT(TEXT(AW5,"ddd"),1),"")</f>
        <v>T</v>
      </c>
      <c r="AX3" s="59" t="str">
        <f aca="false">IF(GanttPeriod=1,LEFT(TEXT(AX5,"ddd"),1),"")</f>
        <v>W</v>
      </c>
      <c r="AY3" s="59" t="str">
        <f aca="false">IF(GanttPeriod=1,LEFT(TEXT(AY5,"ddd"),1),"")</f>
        <v>T</v>
      </c>
      <c r="AZ3" s="59" t="str">
        <f aca="false">IF(GanttPeriod=1,LEFT(TEXT(AZ5,"ddd"),1),"")</f>
        <v>F</v>
      </c>
      <c r="BA3" s="59" t="str">
        <f aca="false">IF(GanttPeriod=1,LEFT(TEXT(BA5,"ddd"),1),"")</f>
        <v>S</v>
      </c>
      <c r="BB3" s="59" t="str">
        <f aca="false">IF(GanttPeriod=1,LEFT(TEXT(BB5,"ddd"),1),"")</f>
        <v>S</v>
      </c>
      <c r="BC3" s="59" t="str">
        <f aca="false">IF(GanttPeriod=1,LEFT(TEXT(BC5,"ddd"),1),"")</f>
        <v>M</v>
      </c>
      <c r="BD3" s="59" t="str">
        <f aca="false">IF(GanttPeriod=1,LEFT(TEXT(BD5,"ddd"),1),"")</f>
        <v>T</v>
      </c>
      <c r="BE3" s="59" t="str">
        <f aca="false">IF(GanttPeriod=1,LEFT(TEXT(BE5,"ddd"),1),"")</f>
        <v>W</v>
      </c>
      <c r="BF3" s="59" t="str">
        <f aca="false">IF(GanttPeriod=1,LEFT(TEXT(BF5,"ddd"),1),"")</f>
        <v>T</v>
      </c>
      <c r="BG3" s="59" t="str">
        <f aca="false">IF(GanttPeriod=1,LEFT(TEXT(BG5,"ddd"),1),"")</f>
        <v>F</v>
      </c>
      <c r="BH3" s="59" t="str">
        <f aca="false">IF(GanttPeriod=1,LEFT(TEXT(BH5,"ddd"),1),"")</f>
        <v>S</v>
      </c>
      <c r="BI3" s="59" t="str">
        <f aca="false">IF(GanttPeriod=1,LEFT(TEXT(BI5,"ddd"),1),"")</f>
        <v>S</v>
      </c>
      <c r="BJ3" s="59" t="str">
        <f aca="false">IF(GanttPeriod=1,LEFT(TEXT(BJ5,"ddd"),1),"")</f>
        <v>M</v>
      </c>
      <c r="BK3" s="59" t="str">
        <f aca="false">IF(GanttPeriod=1,LEFT(TEXT(BK5,"ddd"),1),"")</f>
        <v>T</v>
      </c>
      <c r="BL3" s="59" t="str">
        <f aca="false">IF(GanttPeriod=1,LEFT(TEXT(BL5,"ddd"),1),"")</f>
        <v>W</v>
      </c>
      <c r="BM3" s="59" t="str">
        <f aca="false">IF(GanttPeriod=1,LEFT(TEXT(BM5,"ddd"),1),"")</f>
        <v>T</v>
      </c>
      <c r="BN3" s="59" t="str">
        <f aca="false">IF(GanttPeriod=1,LEFT(TEXT(BN5,"ddd"),1),"")</f>
        <v>F</v>
      </c>
      <c r="BO3" s="59" t="str">
        <f aca="false">IF(GanttPeriod=1,LEFT(TEXT(BO5,"ddd"),1),"")</f>
        <v>S</v>
      </c>
      <c r="BP3" s="59" t="str">
        <f aca="false">IF(GanttPeriod=1,LEFT(TEXT(BP5,"ddd"),1),"")</f>
        <v>S</v>
      </c>
      <c r="BQ3" s="59" t="str">
        <f aca="false">IF(GanttPeriod=1,LEFT(TEXT(BQ5,"ddd"),1),"")</f>
        <v>M</v>
      </c>
      <c r="BR3" s="59" t="str">
        <f aca="false">IF(GanttPeriod=1,LEFT(TEXT(BR5,"ddd"),1),"")</f>
        <v>T</v>
      </c>
      <c r="BS3" s="59" t="str">
        <f aca="false">IF(GanttPeriod=1,LEFT(TEXT(BS5,"ddd"),1),"")</f>
        <v>W</v>
      </c>
      <c r="BT3" s="59" t="str">
        <f aca="false">IF(GanttPeriod=1,LEFT(TEXT(BT5,"ddd"),1),"")</f>
        <v>T</v>
      </c>
      <c r="BU3" s="59" t="str">
        <f aca="false">IF(GanttPeriod=1,LEFT(TEXT(BU5,"ddd"),1),"")</f>
        <v>F</v>
      </c>
      <c r="BV3" s="59" t="str">
        <f aca="false">IF(GanttPeriod=1,LEFT(TEXT(BV5,"ddd"),1),"")</f>
        <v>S</v>
      </c>
      <c r="BW3" s="59" t="str">
        <f aca="false">IF(GanttPeriod=1,LEFT(TEXT(BW5,"ddd"),1),"")</f>
        <v>S</v>
      </c>
      <c r="BX3" s="59" t="str">
        <f aca="false">IF(GanttPeriod=1,LEFT(TEXT(BX5,"ddd"),1),"")</f>
        <v>M</v>
      </c>
      <c r="BY3" s="59" t="str">
        <f aca="false">IF(GanttPeriod=1,LEFT(TEXT(BY5,"ddd"),1),"")</f>
        <v>T</v>
      </c>
      <c r="BZ3" s="59" t="str">
        <f aca="false">IF(GanttPeriod=1,LEFT(TEXT(BZ5,"ddd"),1),"")</f>
        <v>W</v>
      </c>
      <c r="CA3" s="59" t="str">
        <f aca="false">IF(GanttPeriod=1,LEFT(TEXT(CA5,"ddd"),1),"")</f>
        <v>T</v>
      </c>
      <c r="CB3" s="59" t="str">
        <f aca="false">IF(GanttPeriod=1,LEFT(TEXT(CB5,"ddd"),1),"")</f>
        <v>F</v>
      </c>
      <c r="CC3" s="59" t="str">
        <f aca="false">IF(GanttPeriod=1,LEFT(TEXT(CC5,"ddd"),1),"")</f>
        <v>S</v>
      </c>
      <c r="CD3" s="59" t="str">
        <f aca="false">IF(GanttPeriod=1,LEFT(TEXT(CD5,"ddd"),1),"")</f>
        <v>S</v>
      </c>
      <c r="CE3" s="59" t="str">
        <f aca="false">IF(GanttPeriod=1,LEFT(TEXT(CE5,"ddd"),1),"")</f>
        <v>M</v>
      </c>
      <c r="CF3" s="59" t="str">
        <f aca="false">IF(GanttPeriod=1,LEFT(TEXT(CF5,"ddd"),1),"")</f>
        <v>T</v>
      </c>
      <c r="CG3" s="59" t="str">
        <f aca="false">IF(GanttPeriod=1,LEFT(TEXT(CG5,"ddd"),1),"")</f>
        <v>W</v>
      </c>
      <c r="CH3" s="59" t="str">
        <f aca="false">IF(GanttPeriod=1,LEFT(TEXT(CH5,"ddd"),1),"")</f>
        <v>T</v>
      </c>
      <c r="CI3" s="59" t="str">
        <f aca="false">IF(GanttPeriod=1,LEFT(TEXT(CI5,"ddd"),1),"")</f>
        <v>F</v>
      </c>
      <c r="CJ3" s="59" t="str">
        <f aca="false">IF(GanttPeriod=1,LEFT(TEXT(CJ5,"ddd"),1),"")</f>
        <v>S</v>
      </c>
      <c r="CK3" s="59" t="str">
        <f aca="false">IF(GanttPeriod=1,LEFT(TEXT(CK5,"ddd"),1),"")</f>
        <v>S</v>
      </c>
      <c r="CL3" s="59" t="str">
        <f aca="false">IF(GanttPeriod=1,LEFT(TEXT(CL5,"ddd"),1),"")</f>
        <v>M</v>
      </c>
      <c r="CM3" s="59" t="str">
        <f aca="false">IF(GanttPeriod=1,LEFT(TEXT(CM5,"ddd"),1),"")</f>
        <v>T</v>
      </c>
      <c r="CN3" s="59" t="str">
        <f aca="false">IF(GanttPeriod=1,LEFT(TEXT(CN5,"ddd"),1),"")</f>
        <v>W</v>
      </c>
      <c r="CO3" s="59" t="str">
        <f aca="false">IF(GanttPeriod=1,LEFT(TEXT(CO5,"ddd"),1),"")</f>
        <v>T</v>
      </c>
      <c r="CP3" s="59" t="str">
        <f aca="false">IF(GanttPeriod=1,LEFT(TEXT(CP5,"ddd"),1),"")</f>
        <v>F</v>
      </c>
      <c r="CQ3" s="59" t="str">
        <f aca="false">IF(GanttPeriod=1,LEFT(TEXT(CQ5,"ddd"),1),"")</f>
        <v>S</v>
      </c>
      <c r="CR3" s="59" t="str">
        <f aca="false">IF(GanttPeriod=1,LEFT(TEXT(CR5,"ddd"),1),"")</f>
        <v>S</v>
      </c>
      <c r="CS3" s="59" t="str">
        <f aca="false">IF(GanttPeriod=1,LEFT(TEXT(CS5,"ddd"),1),"")</f>
        <v>M</v>
      </c>
      <c r="CT3" s="59" t="str">
        <f aca="false">IF(GanttPeriod=1,LEFT(TEXT(CT5,"ddd"),1),"")</f>
        <v>T</v>
      </c>
      <c r="CU3" s="59" t="str">
        <f aca="false">IF(GanttPeriod=1,LEFT(TEXT(CU5,"ddd"),1),"")</f>
        <v>W</v>
      </c>
      <c r="CV3" s="59" t="str">
        <f aca="false">IF(GanttPeriod=1,LEFT(TEXT(CV5,"ddd"),1),"")</f>
        <v>T</v>
      </c>
      <c r="CW3" s="59" t="str">
        <f aca="false">IF(GanttPeriod=1,LEFT(TEXT(CW5,"ddd"),1),"")</f>
        <v>F</v>
      </c>
      <c r="CX3" s="59" t="str">
        <f aca="false">IF(GanttPeriod=1,LEFT(TEXT(CX5,"ddd"),1),"")</f>
        <v>S</v>
      </c>
      <c r="CY3" s="59" t="str">
        <f aca="false">IF(GanttPeriod=1,LEFT(TEXT(CY5,"ddd"),1),"")</f>
        <v>S</v>
      </c>
      <c r="CZ3" s="59" t="str">
        <f aca="false">IF(GanttPeriod=1,LEFT(TEXT(CZ5,"ddd"),1),"")</f>
        <v>M</v>
      </c>
      <c r="DA3" s="59" t="str">
        <f aca="false">IF(GanttPeriod=1,LEFT(TEXT(DA5,"ddd"),1),"")</f>
        <v>T</v>
      </c>
      <c r="DB3" s="59" t="str">
        <f aca="false">IF(GanttPeriod=1,LEFT(TEXT(DB5,"ddd"),1),"")</f>
        <v>W</v>
      </c>
      <c r="DC3" s="59" t="str">
        <f aca="false">IF(GanttPeriod=1,LEFT(TEXT(DC5,"ddd"),1),"")</f>
        <v>T</v>
      </c>
      <c r="DD3" s="59" t="str">
        <f aca="false">IF(GanttPeriod=1,LEFT(TEXT(DD5,"ddd"),1),"")</f>
        <v>F</v>
      </c>
      <c r="DE3" s="59" t="str">
        <f aca="false">IF(GanttPeriod=1,LEFT(TEXT(DE5,"ddd"),1),"")</f>
        <v>S</v>
      </c>
      <c r="DF3" s="59" t="str">
        <f aca="false">IF(GanttPeriod=1,LEFT(TEXT(DF5,"ddd"),1),"")</f>
        <v>S</v>
      </c>
      <c r="DG3" s="59" t="str">
        <f aca="false">IF(GanttPeriod=1,LEFT(TEXT(DG5,"ddd"),1),"")</f>
        <v>M</v>
      </c>
      <c r="DH3" s="59" t="str">
        <f aca="false">IF(GanttPeriod=1,LEFT(TEXT(DH5,"ddd"),1),"")</f>
        <v>T</v>
      </c>
      <c r="DI3" s="59" t="str">
        <f aca="false">IF(GanttPeriod=1,LEFT(TEXT(DI5,"ddd"),1),"")</f>
        <v>W</v>
      </c>
      <c r="DJ3" s="59" t="str">
        <f aca="false">IF(GanttPeriod=1,LEFT(TEXT(DJ5,"ddd"),1),"")</f>
        <v>T</v>
      </c>
      <c r="DK3" s="59" t="str">
        <f aca="false">IF(GanttPeriod=1,LEFT(TEXT(DK5,"ddd"),1),"")</f>
        <v>F</v>
      </c>
      <c r="DL3" s="59" t="str">
        <f aca="false">IF(GanttPeriod=1,LEFT(TEXT(DL5,"ddd"),1),"")</f>
        <v>S</v>
      </c>
      <c r="DM3" s="59" t="str">
        <f aca="false">IF(GanttPeriod=1,LEFT(TEXT(DM5,"ddd"),1),"")</f>
        <v>S</v>
      </c>
      <c r="DN3" s="59" t="str">
        <f aca="false">IF(GanttPeriod=1,LEFT(TEXT(DN5,"ddd"),1),"")</f>
        <v>M</v>
      </c>
      <c r="DO3" s="59" t="str">
        <f aca="false">IF(GanttPeriod=1,LEFT(TEXT(DO5,"ddd"),1),"")</f>
        <v>T</v>
      </c>
      <c r="DP3" s="59" t="str">
        <f aca="false">IF(GanttPeriod=1,LEFT(TEXT(DP5,"ddd"),1),"")</f>
        <v>W</v>
      </c>
      <c r="DQ3" s="59" t="str">
        <f aca="false">IF(GanttPeriod=1,LEFT(TEXT(DQ5,"ddd"),1),"")</f>
        <v>T</v>
      </c>
      <c r="DR3" s="59" t="str">
        <f aca="false">IF(GanttPeriod=1,LEFT(TEXT(DR5,"ddd"),1),"")</f>
        <v>F</v>
      </c>
      <c r="DS3" s="59" t="str">
        <f aca="false">IF(GanttPeriod=1,LEFT(TEXT(DS5,"ddd"),1),"")</f>
        <v>S</v>
      </c>
      <c r="DT3" s="59" t="str">
        <f aca="false">IF(GanttPeriod=1,LEFT(TEXT(DT5,"ddd"),1),"")</f>
        <v>S</v>
      </c>
      <c r="DU3" s="59" t="str">
        <f aca="false">IF(GanttPeriod=1,LEFT(TEXT(DU5,"ddd"),1),"")</f>
        <v>M</v>
      </c>
      <c r="DV3" s="59" t="str">
        <f aca="false">IF(GanttPeriod=1,LEFT(TEXT(DV5,"ddd"),1),"")</f>
        <v>T</v>
      </c>
      <c r="DW3" s="59" t="str">
        <f aca="false">IF(GanttPeriod=1,LEFT(TEXT(DW5,"ddd"),1),"")</f>
        <v>W</v>
      </c>
      <c r="DX3" s="59" t="str">
        <f aca="false">IF(GanttPeriod=1,LEFT(TEXT(DX5,"ddd"),1),"")</f>
        <v>T</v>
      </c>
      <c r="DY3" s="59" t="str">
        <f aca="false">IF(GanttPeriod=1,LEFT(TEXT(DY5,"ddd"),1),"")</f>
        <v>F</v>
      </c>
      <c r="DZ3" s="59" t="str">
        <f aca="false">IF(GanttPeriod=1,LEFT(TEXT(DZ5,"ddd"),1),"")</f>
        <v>S</v>
      </c>
      <c r="EA3" s="59" t="str">
        <f aca="false">IF(GanttPeriod=1,LEFT(TEXT(EA5,"ddd"),1),"")</f>
        <v>S</v>
      </c>
      <c r="EB3" s="59" t="str">
        <f aca="false">IF(GanttPeriod=1,LEFT(TEXT(EB5,"ddd"),1),"")</f>
        <v>M</v>
      </c>
      <c r="EC3" s="59" t="str">
        <f aca="false">IF(GanttPeriod=1,LEFT(TEXT(EC5,"ddd"),1),"")</f>
        <v>T</v>
      </c>
      <c r="ED3" s="59" t="str">
        <f aca="false">IF(GanttPeriod=1,LEFT(TEXT(ED5,"ddd"),1),"")</f>
        <v>W</v>
      </c>
      <c r="EE3" s="59" t="str">
        <f aca="false">IF(GanttPeriod=1,LEFT(TEXT(EE5,"ddd"),1),"")</f>
        <v>T</v>
      </c>
      <c r="EF3" s="59" t="str">
        <f aca="false">IF(GanttPeriod=1,LEFT(TEXT(EF5,"ddd"),1),"")</f>
        <v>F</v>
      </c>
      <c r="EG3" s="59" t="str">
        <f aca="false">IF(GanttPeriod=1,LEFT(TEXT(EG5,"ddd"),1),"")</f>
        <v>S</v>
      </c>
      <c r="EH3" s="59" t="str">
        <f aca="false">IF(GanttPeriod=1,LEFT(TEXT(EH5,"ddd"),1),"")</f>
        <v>S</v>
      </c>
      <c r="EI3" s="59" t="str">
        <f aca="false">IF(GanttPeriod=1,LEFT(TEXT(EI5,"ddd"),1),"")</f>
        <v>M</v>
      </c>
      <c r="EJ3" s="59" t="str">
        <f aca="false">IF(GanttPeriod=1,LEFT(TEXT(EJ5,"ddd"),1),"")</f>
        <v>T</v>
      </c>
      <c r="EK3" s="59" t="str">
        <f aca="false">IF(GanttPeriod=1,LEFT(TEXT(EK5,"ddd"),1),"")</f>
        <v>W</v>
      </c>
      <c r="EL3" s="59" t="str">
        <f aca="false">IF(GanttPeriod=1,LEFT(TEXT(EL5,"ddd"),1),"")</f>
        <v>T</v>
      </c>
      <c r="EM3" s="59" t="str">
        <f aca="false">IF(GanttPeriod=1,LEFT(TEXT(EM5,"ddd"),1),"")</f>
        <v>F</v>
      </c>
      <c r="EN3" s="59" t="str">
        <f aca="false">IF(GanttPeriod=1,LEFT(TEXT(EN5,"ddd"),1),"")</f>
        <v>S</v>
      </c>
      <c r="EO3" s="59" t="str">
        <f aca="false">IF(GanttPeriod=1,LEFT(TEXT(EO5,"ddd"),1),"")</f>
        <v>S</v>
      </c>
      <c r="EP3" s="59" t="str">
        <f aca="false">IF(GanttPeriod=1,LEFT(TEXT(EP5,"ddd"),1),"")</f>
        <v>M</v>
      </c>
      <c r="EQ3" s="59" t="str">
        <f aca="false">IF(GanttPeriod=1,LEFT(TEXT(EQ5,"ddd"),1),"")</f>
        <v>T</v>
      </c>
      <c r="ER3" s="59" t="str">
        <f aca="false">IF(GanttPeriod=1,LEFT(TEXT(ER5,"ddd"),1),"")</f>
        <v>W</v>
      </c>
      <c r="ES3" s="59" t="str">
        <f aca="false">IF(GanttPeriod=1,LEFT(TEXT(ES5,"ddd"),1),"")</f>
        <v>T</v>
      </c>
      <c r="ET3" s="59" t="str">
        <f aca="false">IF(GanttPeriod=1,LEFT(TEXT(ET5,"ddd"),1),"")</f>
        <v>F</v>
      </c>
      <c r="EU3" s="59" t="str">
        <f aca="false">IF(GanttPeriod=1,LEFT(TEXT(EU5,"ddd"),1),"")</f>
        <v>S</v>
      </c>
      <c r="EV3" s="59" t="str">
        <f aca="false">IF(GanttPeriod=1,LEFT(TEXT(EV5,"ddd"),1),"")</f>
        <v>S</v>
      </c>
      <c r="EW3" s="59" t="str">
        <f aca="false">IF(GanttPeriod=1,LEFT(TEXT(EW5,"ddd"),1),"")</f>
        <v>M</v>
      </c>
      <c r="EX3" s="59" t="str">
        <f aca="false">IF(GanttPeriod=1,LEFT(TEXT(EX5,"ddd"),1),"")</f>
        <v>T</v>
      </c>
      <c r="EY3" s="59" t="str">
        <f aca="false">IF(GanttPeriod=1,LEFT(TEXT(EY5,"ddd"),1),"")</f>
        <v>W</v>
      </c>
      <c r="EZ3" s="59" t="str">
        <f aca="false">IF(GanttPeriod=1,LEFT(TEXT(EZ5,"ddd"),1),"")</f>
        <v>T</v>
      </c>
      <c r="FA3" s="59" t="str">
        <f aca="false">IF(GanttPeriod=1,LEFT(TEXT(FA5,"ddd"),1),"")</f>
        <v>F</v>
      </c>
      <c r="FB3" s="59" t="str">
        <f aca="false">IF(GanttPeriod=1,LEFT(TEXT(FB5,"ddd"),1),"")</f>
        <v>S</v>
      </c>
      <c r="FC3" s="59" t="str">
        <f aca="false">IF(GanttPeriod=1,LEFT(TEXT(FC5,"ddd"),1),"")</f>
        <v>S</v>
      </c>
      <c r="FD3" s="59" t="str">
        <f aca="false">IF(GanttPeriod=1,LEFT(TEXT(FD5,"ddd"),1),"")</f>
        <v>M</v>
      </c>
      <c r="FE3" s="59" t="str">
        <f aca="false">IF(GanttPeriod=1,LEFT(TEXT(FE5,"ddd"),1),"")</f>
        <v>T</v>
      </c>
      <c r="FF3" s="59" t="str">
        <f aca="false">IF(GanttPeriod=1,LEFT(TEXT(FF5,"ddd"),1),"")</f>
        <v>W</v>
      </c>
      <c r="FG3" s="59" t="str">
        <f aca="false">IF(GanttPeriod=1,LEFT(TEXT(FG5,"ddd"),1),"")</f>
        <v>T</v>
      </c>
      <c r="FH3" s="59" t="str">
        <f aca="false">IF(GanttPeriod=1,LEFT(TEXT(FH5,"ddd"),1),"")</f>
        <v>F</v>
      </c>
      <c r="FI3" s="59" t="str">
        <f aca="false">IF(GanttPeriod=1,LEFT(TEXT(FI5,"ddd"),1),"")</f>
        <v>S</v>
      </c>
      <c r="FJ3" s="59" t="str">
        <f aca="false">IF(GanttPeriod=1,LEFT(TEXT(FJ5,"ddd"),1),"")</f>
        <v>S</v>
      </c>
      <c r="FK3" s="59" t="str">
        <f aca="false">IF(GanttPeriod=1,LEFT(TEXT(FK5,"ddd"),1),"")</f>
        <v>M</v>
      </c>
      <c r="FL3" s="59" t="str">
        <f aca="false">IF(GanttPeriod=1,LEFT(TEXT(FL5,"ddd"),1),"")</f>
        <v>T</v>
      </c>
      <c r="FM3" s="59" t="str">
        <f aca="false">IF(GanttPeriod=1,LEFT(TEXT(FM5,"ddd"),1),"")</f>
        <v>W</v>
      </c>
    </row>
    <row r="4" customFormat="false" ht="15" hidden="false" customHeight="false" outlineLevel="0" collapsed="false">
      <c r="T4" s="60" t="str">
        <f aca="false">TEXT(T5,"mmm")</f>
        <v>Sep</v>
      </c>
      <c r="U4" s="60" t="str">
        <f aca="false">IF(MONTH(U5)&lt;&gt;MONTH(T5),TEXT(U5,"mmm"),"'"&amp;TEXT(T5,"yy"))</f>
        <v>'26</v>
      </c>
      <c r="V4" s="60" t="str">
        <f aca="false">IF(MONTH(V5)&lt;&gt;MONTH(U5),TEXT(V5,"mmm"),IF(MONTH(U5)&lt;&gt;MONTH(T5),"'"&amp;TEXT(U5,"yy"),""))</f>
        <v/>
      </c>
      <c r="W4" s="60" t="str">
        <f aca="false">IF(MONTH(W5)&lt;&gt;MONTH(V5),TEXT(W5,"mmm"),IF(MONTH(V5)&lt;&gt;MONTH(U5),"'"&amp;TEXT(V5,"yy"),""))</f>
        <v/>
      </c>
      <c r="X4" s="60" t="str">
        <f aca="false">IF(MONTH(X5)&lt;&gt;MONTH(W5),TEXT(X5,"mmm"),IF(MONTH(W5)&lt;&gt;MONTH(V5),"'"&amp;TEXT(W5,"yy"),""))</f>
        <v/>
      </c>
      <c r="Y4" s="60" t="str">
        <f aca="false">IF(MONTH(Y5)&lt;&gt;MONTH(X5),TEXT(Y5,"mmm"),IF(MONTH(X5)&lt;&gt;MONTH(W5),"'"&amp;TEXT(X5,"yy"),""))</f>
        <v/>
      </c>
      <c r="Z4" s="60" t="str">
        <f aca="false">IF(MONTH(Z5)&lt;&gt;MONTH(Y5),TEXT(Z5,"mmm"),IF(MONTH(Y5)&lt;&gt;MONTH(X5),"'"&amp;TEXT(Y5,"yy"),""))</f>
        <v/>
      </c>
      <c r="AA4" s="60" t="str">
        <f aca="false">IF(MONTH(AA5)&lt;&gt;MONTH(Z5),TEXT(AA5,"mmm"),IF(MONTH(Z5)&lt;&gt;MONTH(Y5),"'"&amp;TEXT(Z5,"yy"),""))</f>
        <v/>
      </c>
      <c r="AB4" s="60" t="str">
        <f aca="false">IF(MONTH(AB5)&lt;&gt;MONTH(AA5),TEXT(AB5,"mmm"),IF(MONTH(AA5)&lt;&gt;MONTH(Z5),"'"&amp;TEXT(AA5,"yy"),""))</f>
        <v/>
      </c>
      <c r="AC4" s="60" t="str">
        <f aca="false">IF(MONTH(AC5)&lt;&gt;MONTH(AB5),TEXT(AC5,"mmm"),IF(MONTH(AB5)&lt;&gt;MONTH(AA5),"'"&amp;TEXT(AB5,"yy"),""))</f>
        <v/>
      </c>
      <c r="AD4" s="60" t="str">
        <f aca="false">IF(MONTH(AD5)&lt;&gt;MONTH(AC5),TEXT(AD5,"mmm"),IF(MONTH(AC5)&lt;&gt;MONTH(AB5),"'"&amp;TEXT(AC5,"yy"),""))</f>
        <v/>
      </c>
      <c r="AE4" s="60" t="str">
        <f aca="false">IF(MONTH(AE5)&lt;&gt;MONTH(AD5),TEXT(AE5,"mmm"),IF(MONTH(AD5)&lt;&gt;MONTH(AC5),"'"&amp;TEXT(AD5,"yy"),""))</f>
        <v/>
      </c>
      <c r="AF4" s="60" t="str">
        <f aca="false">IF(MONTH(AF5)&lt;&gt;MONTH(AE5),TEXT(AF5,"mmm"),IF(MONTH(AE5)&lt;&gt;MONTH(AD5),"'"&amp;TEXT(AE5,"yy"),""))</f>
        <v/>
      </c>
      <c r="AG4" s="60" t="str">
        <f aca="false">IF(MONTH(AG5)&lt;&gt;MONTH(AF5),TEXT(AG5,"mmm"),IF(MONTH(AF5)&lt;&gt;MONTH(AE5),"'"&amp;TEXT(AF5,"yy"),""))</f>
        <v/>
      </c>
      <c r="AH4" s="60" t="str">
        <f aca="false">IF(MONTH(AH5)&lt;&gt;MONTH(AG5),TEXT(AH5,"mmm"),IF(MONTH(AG5)&lt;&gt;MONTH(AF5),"'"&amp;TEXT(AG5,"yy"),""))</f>
        <v/>
      </c>
      <c r="AI4" s="60" t="str">
        <f aca="false">IF(MONTH(AI5)&lt;&gt;MONTH(AH5),TEXT(AI5,"mmm"),IF(MONTH(AH5)&lt;&gt;MONTH(AG5),"'"&amp;TEXT(AH5,"yy"),""))</f>
        <v/>
      </c>
      <c r="AJ4" s="60" t="str">
        <f aca="false">IF(MONTH(AJ5)&lt;&gt;MONTH(AI5),TEXT(AJ5,"mmm"),IF(MONTH(AI5)&lt;&gt;MONTH(AH5),"'"&amp;TEXT(AI5,"yy"),""))</f>
        <v/>
      </c>
      <c r="AK4" s="60" t="str">
        <f aca="false">IF(MONTH(AK5)&lt;&gt;MONTH(AJ5),TEXT(AK5,"mmm"),IF(MONTH(AJ5)&lt;&gt;MONTH(AI5),"'"&amp;TEXT(AJ5,"yy"),""))</f>
        <v/>
      </c>
      <c r="AL4" s="60" t="str">
        <f aca="false">IF(MONTH(AL5)&lt;&gt;MONTH(AK5),TEXT(AL5,"mmm"),IF(MONTH(AK5)&lt;&gt;MONTH(AJ5),"'"&amp;TEXT(AK5,"yy"),""))</f>
        <v/>
      </c>
      <c r="AM4" s="60" t="str">
        <f aca="false">IF(MONTH(AM5)&lt;&gt;MONTH(AL5),TEXT(AM5,"mmm"),IF(MONTH(AL5)&lt;&gt;MONTH(AK5),"'"&amp;TEXT(AL5,"yy"),""))</f>
        <v/>
      </c>
      <c r="AN4" s="60" t="str">
        <f aca="false">IF(MONTH(AN5)&lt;&gt;MONTH(AM5),TEXT(AN5,"mmm"),IF(MONTH(AM5)&lt;&gt;MONTH(AL5),"'"&amp;TEXT(AM5,"yy"),""))</f>
        <v/>
      </c>
      <c r="AO4" s="60" t="str">
        <f aca="false">IF(MONTH(AO5)&lt;&gt;MONTH(AN5),TEXT(AO5,"mmm"),IF(MONTH(AN5)&lt;&gt;MONTH(AM5),"'"&amp;TEXT(AN5,"yy"),""))</f>
        <v/>
      </c>
      <c r="AP4" s="60" t="str">
        <f aca="false">IF(MONTH(AP5)&lt;&gt;MONTH(AO5),TEXT(AP5,"mmm"),IF(MONTH(AO5)&lt;&gt;MONTH(AN5),"'"&amp;TEXT(AO5,"yy"),""))</f>
        <v/>
      </c>
      <c r="AQ4" s="60" t="str">
        <f aca="false">IF(MONTH(AQ5)&lt;&gt;MONTH(AP5),TEXT(AQ5,"mmm"),IF(MONTH(AP5)&lt;&gt;MONTH(AO5),"'"&amp;TEXT(AP5,"yy"),""))</f>
        <v/>
      </c>
      <c r="AR4" s="60" t="str">
        <f aca="false">IF(MONTH(AR5)&lt;&gt;MONTH(AQ5),TEXT(AR5,"mmm"),IF(MONTH(AQ5)&lt;&gt;MONTH(AP5),"'"&amp;TEXT(AQ5,"yy"),""))</f>
        <v>Oct</v>
      </c>
      <c r="AS4" s="60" t="str">
        <f aca="false">IF(MONTH(AS5)&lt;&gt;MONTH(AR5),TEXT(AS5,"mmm"),IF(MONTH(AR5)&lt;&gt;MONTH(AQ5),"'"&amp;TEXT(AR5,"yy"),""))</f>
        <v>'26</v>
      </c>
      <c r="AT4" s="60" t="str">
        <f aca="false">IF(MONTH(AT5)&lt;&gt;MONTH(AS5),TEXT(AT5,"mmm"),IF(MONTH(AS5)&lt;&gt;MONTH(AR5),"'"&amp;TEXT(AS5,"yy"),""))</f>
        <v/>
      </c>
      <c r="AU4" s="60" t="str">
        <f aca="false">IF(MONTH(AU5)&lt;&gt;MONTH(AT5),TEXT(AU5,"mmm"),IF(MONTH(AT5)&lt;&gt;MONTH(AS5),"'"&amp;TEXT(AT5,"yy"),""))</f>
        <v/>
      </c>
      <c r="AV4" s="60" t="str">
        <f aca="false">IF(MONTH(AV5)&lt;&gt;MONTH(AU5),TEXT(AV5,"mmm"),IF(MONTH(AU5)&lt;&gt;MONTH(AT5),"'"&amp;TEXT(AU5,"yy"),""))</f>
        <v/>
      </c>
      <c r="AW4" s="60" t="str">
        <f aca="false">IF(MONTH(AW5)&lt;&gt;MONTH(AV5),TEXT(AW5,"mmm"),IF(MONTH(AV5)&lt;&gt;MONTH(AU5),"'"&amp;TEXT(AV5,"yy"),""))</f>
        <v/>
      </c>
      <c r="AX4" s="60" t="str">
        <f aca="false">IF(MONTH(AX5)&lt;&gt;MONTH(AW5),TEXT(AX5,"mmm"),IF(MONTH(AW5)&lt;&gt;MONTH(AV5),"'"&amp;TEXT(AW5,"yy"),""))</f>
        <v/>
      </c>
      <c r="AY4" s="60" t="str">
        <f aca="false">IF(MONTH(AY5)&lt;&gt;MONTH(AX5),TEXT(AY5,"mmm"),IF(MONTH(AX5)&lt;&gt;MONTH(AW5),"'"&amp;TEXT(AX5,"yy"),""))</f>
        <v/>
      </c>
      <c r="AZ4" s="60" t="str">
        <f aca="false">IF(MONTH(AZ5)&lt;&gt;MONTH(AY5),TEXT(AZ5,"mmm"),IF(MONTH(AY5)&lt;&gt;MONTH(AX5),"'"&amp;TEXT(AY5,"yy"),""))</f>
        <v/>
      </c>
      <c r="BA4" s="60" t="str">
        <f aca="false">IF(MONTH(BA5)&lt;&gt;MONTH(AZ5),TEXT(BA5,"mmm"),IF(MONTH(AZ5)&lt;&gt;MONTH(AY5),"'"&amp;TEXT(AZ5,"yy"),""))</f>
        <v/>
      </c>
      <c r="BB4" s="60" t="str">
        <f aca="false">IF(MONTH(BB5)&lt;&gt;MONTH(BA5),TEXT(BB5,"mmm"),IF(MONTH(BA5)&lt;&gt;MONTH(AZ5),"'"&amp;TEXT(BA5,"yy"),""))</f>
        <v/>
      </c>
      <c r="BC4" s="60" t="str">
        <f aca="false">IF(MONTH(BC5)&lt;&gt;MONTH(BB5),TEXT(BC5,"mmm"),IF(MONTH(BB5)&lt;&gt;MONTH(BA5),"'"&amp;TEXT(BB5,"yy"),""))</f>
        <v/>
      </c>
      <c r="BD4" s="60" t="str">
        <f aca="false">IF(MONTH(BD5)&lt;&gt;MONTH(BC5),TEXT(BD5,"mmm"),IF(MONTH(BC5)&lt;&gt;MONTH(BB5),"'"&amp;TEXT(BC5,"yy"),""))</f>
        <v/>
      </c>
      <c r="BE4" s="60" t="str">
        <f aca="false">IF(MONTH(BE5)&lt;&gt;MONTH(BD5),TEXT(BE5,"mmm"),IF(MONTH(BD5)&lt;&gt;MONTH(BC5),"'"&amp;TEXT(BD5,"yy"),""))</f>
        <v/>
      </c>
      <c r="BF4" s="60" t="str">
        <f aca="false">IF(MONTH(BF5)&lt;&gt;MONTH(BE5),TEXT(BF5,"mmm"),IF(MONTH(BE5)&lt;&gt;MONTH(BD5),"'"&amp;TEXT(BE5,"yy"),""))</f>
        <v/>
      </c>
      <c r="BG4" s="60" t="str">
        <f aca="false">IF(MONTH(BG5)&lt;&gt;MONTH(BF5),TEXT(BG5,"mmm"),IF(MONTH(BF5)&lt;&gt;MONTH(BE5),"'"&amp;TEXT(BF5,"yy"),""))</f>
        <v/>
      </c>
      <c r="BH4" s="60" t="str">
        <f aca="false">IF(MONTH(BH5)&lt;&gt;MONTH(BG5),TEXT(BH5,"mmm"),IF(MONTH(BG5)&lt;&gt;MONTH(BF5),"'"&amp;TEXT(BG5,"yy"),""))</f>
        <v/>
      </c>
      <c r="BI4" s="60" t="str">
        <f aca="false">IF(MONTH(BI5)&lt;&gt;MONTH(BH5),TEXT(BI5,"mmm"),IF(MONTH(BH5)&lt;&gt;MONTH(BG5),"'"&amp;TEXT(BH5,"yy"),""))</f>
        <v/>
      </c>
      <c r="BJ4" s="60" t="str">
        <f aca="false">IF(MONTH(BJ5)&lt;&gt;MONTH(BI5),TEXT(BJ5,"mmm"),IF(MONTH(BI5)&lt;&gt;MONTH(BH5),"'"&amp;TEXT(BI5,"yy"),""))</f>
        <v/>
      </c>
      <c r="BK4" s="60" t="str">
        <f aca="false">IF(MONTH(BK5)&lt;&gt;MONTH(BJ5),TEXT(BK5,"mmm"),IF(MONTH(BJ5)&lt;&gt;MONTH(BI5),"'"&amp;TEXT(BJ5,"yy"),""))</f>
        <v/>
      </c>
      <c r="BL4" s="60" t="str">
        <f aca="false">IF(MONTH(BL5)&lt;&gt;MONTH(BK5),TEXT(BL5,"mmm"),IF(MONTH(BK5)&lt;&gt;MONTH(BJ5),"'"&amp;TEXT(BK5,"yy"),""))</f>
        <v/>
      </c>
      <c r="BM4" s="60" t="str">
        <f aca="false">IF(MONTH(BM5)&lt;&gt;MONTH(BL5),TEXT(BM5,"mmm"),IF(MONTH(BL5)&lt;&gt;MONTH(BK5),"'"&amp;TEXT(BL5,"yy"),""))</f>
        <v/>
      </c>
      <c r="BN4" s="60" t="str">
        <f aca="false">IF(MONTH(BN5)&lt;&gt;MONTH(BM5),TEXT(BN5,"mmm"),IF(MONTH(BM5)&lt;&gt;MONTH(BL5),"'"&amp;TEXT(BM5,"yy"),""))</f>
        <v/>
      </c>
      <c r="BO4" s="60" t="str">
        <f aca="false">IF(MONTH(BO5)&lt;&gt;MONTH(BN5),TEXT(BO5,"mmm"),IF(MONTH(BN5)&lt;&gt;MONTH(BM5),"'"&amp;TEXT(BN5,"yy"),""))</f>
        <v/>
      </c>
      <c r="BP4" s="60" t="str">
        <f aca="false">IF(MONTH(BP5)&lt;&gt;MONTH(BO5),TEXT(BP5,"mmm"),IF(MONTH(BO5)&lt;&gt;MONTH(BN5),"'"&amp;TEXT(BO5,"yy"),""))</f>
        <v/>
      </c>
      <c r="BQ4" s="60" t="str">
        <f aca="false">IF(MONTH(BQ5)&lt;&gt;MONTH(BP5),TEXT(BQ5,"mmm"),IF(MONTH(BP5)&lt;&gt;MONTH(BO5),"'"&amp;TEXT(BP5,"yy"),""))</f>
        <v/>
      </c>
      <c r="BR4" s="60" t="str">
        <f aca="false">IF(MONTH(BR5)&lt;&gt;MONTH(BQ5),TEXT(BR5,"mmm"),IF(MONTH(BQ5)&lt;&gt;MONTH(BP5),"'"&amp;TEXT(BQ5,"yy"),""))</f>
        <v/>
      </c>
      <c r="BS4" s="60" t="str">
        <f aca="false">IF(MONTH(BS5)&lt;&gt;MONTH(BR5),TEXT(BS5,"mmm"),IF(MONTH(BR5)&lt;&gt;MONTH(BQ5),"'"&amp;TEXT(BR5,"yy"),""))</f>
        <v/>
      </c>
      <c r="BT4" s="60" t="str">
        <f aca="false">IF(MONTH(BT5)&lt;&gt;MONTH(BS5),TEXT(BT5,"mmm"),IF(MONTH(BS5)&lt;&gt;MONTH(BR5),"'"&amp;TEXT(BS5,"yy"),""))</f>
        <v/>
      </c>
      <c r="BU4" s="60" t="str">
        <f aca="false">IF(MONTH(BU5)&lt;&gt;MONTH(BT5),TEXT(BU5,"mmm"),IF(MONTH(BT5)&lt;&gt;MONTH(BS5),"'"&amp;TEXT(BT5,"yy"),""))</f>
        <v/>
      </c>
      <c r="BV4" s="60" t="str">
        <f aca="false">IF(MONTH(BV5)&lt;&gt;MONTH(BU5),TEXT(BV5,"mmm"),IF(MONTH(BU5)&lt;&gt;MONTH(BT5),"'"&amp;TEXT(BU5,"yy"),""))</f>
        <v/>
      </c>
      <c r="BW4" s="60" t="str">
        <f aca="false">IF(MONTH(BW5)&lt;&gt;MONTH(BV5),TEXT(BW5,"mmm"),IF(MONTH(BV5)&lt;&gt;MONTH(BU5),"'"&amp;TEXT(BV5,"yy"),""))</f>
        <v>Nov</v>
      </c>
      <c r="BX4" s="60" t="str">
        <f aca="false">IF(MONTH(BX5)&lt;&gt;MONTH(BW5),TEXT(BX5,"mmm"),IF(MONTH(BW5)&lt;&gt;MONTH(BV5),"'"&amp;TEXT(BW5,"yy"),""))</f>
        <v>'26</v>
      </c>
      <c r="BY4" s="60" t="str">
        <f aca="false">IF(MONTH(BY5)&lt;&gt;MONTH(BX5),TEXT(BY5,"mmm"),IF(MONTH(BX5)&lt;&gt;MONTH(BW5),"'"&amp;TEXT(BX5,"yy"),""))</f>
        <v/>
      </c>
      <c r="BZ4" s="60" t="str">
        <f aca="false">IF(MONTH(BZ5)&lt;&gt;MONTH(BY5),TEXT(BZ5,"mmm"),IF(MONTH(BY5)&lt;&gt;MONTH(BX5),"'"&amp;TEXT(BY5,"yy"),""))</f>
        <v/>
      </c>
      <c r="CA4" s="60" t="str">
        <f aca="false">IF(MONTH(CA5)&lt;&gt;MONTH(BZ5),TEXT(CA5,"mmm"),IF(MONTH(BZ5)&lt;&gt;MONTH(BY5),"'"&amp;TEXT(BZ5,"yy"),""))</f>
        <v/>
      </c>
      <c r="CB4" s="60" t="str">
        <f aca="false">IF(MONTH(CB5)&lt;&gt;MONTH(CA5),TEXT(CB5,"mmm"),IF(MONTH(CA5)&lt;&gt;MONTH(BZ5),"'"&amp;TEXT(CA5,"yy"),""))</f>
        <v/>
      </c>
      <c r="CC4" s="60" t="str">
        <f aca="false">IF(MONTH(CC5)&lt;&gt;MONTH(CB5),TEXT(CC5,"mmm"),IF(MONTH(CB5)&lt;&gt;MONTH(CA5),"'"&amp;TEXT(CB5,"yy"),""))</f>
        <v/>
      </c>
      <c r="CD4" s="60" t="str">
        <f aca="false">IF(MONTH(CD5)&lt;&gt;MONTH(CC5),TEXT(CD5,"mmm"),IF(MONTH(CC5)&lt;&gt;MONTH(CB5),"'"&amp;TEXT(CC5,"yy"),""))</f>
        <v/>
      </c>
      <c r="CE4" s="60" t="str">
        <f aca="false">IF(MONTH(CE5)&lt;&gt;MONTH(CD5),TEXT(CE5,"mmm"),IF(MONTH(CD5)&lt;&gt;MONTH(CC5),"'"&amp;TEXT(CD5,"yy"),""))</f>
        <v/>
      </c>
      <c r="CF4" s="60" t="str">
        <f aca="false">IF(MONTH(CF5)&lt;&gt;MONTH(CE5),TEXT(CF5,"mmm"),IF(MONTH(CE5)&lt;&gt;MONTH(CD5),"'"&amp;TEXT(CE5,"yy"),""))</f>
        <v/>
      </c>
      <c r="CG4" s="60" t="str">
        <f aca="false">IF(MONTH(CG5)&lt;&gt;MONTH(CF5),TEXT(CG5,"mmm"),IF(MONTH(CF5)&lt;&gt;MONTH(CE5),"'"&amp;TEXT(CF5,"yy"),""))</f>
        <v/>
      </c>
      <c r="CH4" s="60" t="str">
        <f aca="false">IF(MONTH(CH5)&lt;&gt;MONTH(CG5),TEXT(CH5,"mmm"),IF(MONTH(CG5)&lt;&gt;MONTH(CF5),"'"&amp;TEXT(CG5,"yy"),""))</f>
        <v/>
      </c>
      <c r="CI4" s="60" t="str">
        <f aca="false">IF(MONTH(CI5)&lt;&gt;MONTH(CH5),TEXT(CI5,"mmm"),IF(MONTH(CH5)&lt;&gt;MONTH(CG5),"'"&amp;TEXT(CH5,"yy"),""))</f>
        <v/>
      </c>
      <c r="CJ4" s="60" t="str">
        <f aca="false">IF(MONTH(CJ5)&lt;&gt;MONTH(CI5),TEXT(CJ5,"mmm"),IF(MONTH(CI5)&lt;&gt;MONTH(CH5),"'"&amp;TEXT(CI5,"yy"),""))</f>
        <v/>
      </c>
      <c r="CK4" s="60" t="str">
        <f aca="false">IF(MONTH(CK5)&lt;&gt;MONTH(CJ5),TEXT(CK5,"mmm"),IF(MONTH(CJ5)&lt;&gt;MONTH(CI5),"'"&amp;TEXT(CJ5,"yy"),""))</f>
        <v/>
      </c>
      <c r="CL4" s="60" t="str">
        <f aca="false">IF(MONTH(CL5)&lt;&gt;MONTH(CK5),TEXT(CL5,"mmm"),IF(MONTH(CK5)&lt;&gt;MONTH(CJ5),"'"&amp;TEXT(CK5,"yy"),""))</f>
        <v/>
      </c>
      <c r="CM4" s="60" t="str">
        <f aca="false">IF(MONTH(CM5)&lt;&gt;MONTH(CL5),TEXT(CM5,"mmm"),IF(MONTH(CL5)&lt;&gt;MONTH(CK5),"'"&amp;TEXT(CL5,"yy"),""))</f>
        <v/>
      </c>
      <c r="CN4" s="60" t="str">
        <f aca="false">IF(MONTH(CN5)&lt;&gt;MONTH(CM5),TEXT(CN5,"mmm"),IF(MONTH(CM5)&lt;&gt;MONTH(CL5),"'"&amp;TEXT(CM5,"yy"),""))</f>
        <v/>
      </c>
      <c r="CO4" s="60" t="str">
        <f aca="false">IF(MONTH(CO5)&lt;&gt;MONTH(CN5),TEXT(CO5,"mmm"),IF(MONTH(CN5)&lt;&gt;MONTH(CM5),"'"&amp;TEXT(CN5,"yy"),""))</f>
        <v/>
      </c>
      <c r="CP4" s="60" t="str">
        <f aca="false">IF(MONTH(CP5)&lt;&gt;MONTH(CO5),TEXT(CP5,"mmm"),IF(MONTH(CO5)&lt;&gt;MONTH(CN5),"'"&amp;TEXT(CO5,"yy"),""))</f>
        <v/>
      </c>
      <c r="CQ4" s="60" t="str">
        <f aca="false">IF(MONTH(CQ5)&lt;&gt;MONTH(CP5),TEXT(CQ5,"mmm"),IF(MONTH(CP5)&lt;&gt;MONTH(CO5),"'"&amp;TEXT(CP5,"yy"),""))</f>
        <v/>
      </c>
      <c r="CR4" s="60" t="str">
        <f aca="false">IF(MONTH(CR5)&lt;&gt;MONTH(CQ5),TEXT(CR5,"mmm"),IF(MONTH(CQ5)&lt;&gt;MONTH(CP5),"'"&amp;TEXT(CQ5,"yy"),""))</f>
        <v/>
      </c>
      <c r="CS4" s="60" t="str">
        <f aca="false">IF(MONTH(CS5)&lt;&gt;MONTH(CR5),TEXT(CS5,"mmm"),IF(MONTH(CR5)&lt;&gt;MONTH(CQ5),"'"&amp;TEXT(CR5,"yy"),""))</f>
        <v/>
      </c>
      <c r="CT4" s="60" t="str">
        <f aca="false">IF(MONTH(CT5)&lt;&gt;MONTH(CS5),TEXT(CT5,"mmm"),IF(MONTH(CS5)&lt;&gt;MONTH(CR5),"'"&amp;TEXT(CS5,"yy"),""))</f>
        <v/>
      </c>
      <c r="CU4" s="60" t="str">
        <f aca="false">IF(MONTH(CU5)&lt;&gt;MONTH(CT5),TEXT(CU5,"mmm"),IF(MONTH(CT5)&lt;&gt;MONTH(CS5),"'"&amp;TEXT(CT5,"yy"),""))</f>
        <v/>
      </c>
      <c r="CV4" s="60" t="str">
        <f aca="false">IF(MONTH(CV5)&lt;&gt;MONTH(CU5),TEXT(CV5,"mmm"),IF(MONTH(CU5)&lt;&gt;MONTH(CT5),"'"&amp;TEXT(CU5,"yy"),""))</f>
        <v/>
      </c>
      <c r="CW4" s="60" t="str">
        <f aca="false">IF(MONTH(CW5)&lt;&gt;MONTH(CV5),TEXT(CW5,"mmm"),IF(MONTH(CV5)&lt;&gt;MONTH(CU5),"'"&amp;TEXT(CV5,"yy"),""))</f>
        <v/>
      </c>
      <c r="CX4" s="60" t="str">
        <f aca="false">IF(MONTH(CX5)&lt;&gt;MONTH(CW5),TEXT(CX5,"mmm"),IF(MONTH(CW5)&lt;&gt;MONTH(CV5),"'"&amp;TEXT(CW5,"yy"),""))</f>
        <v/>
      </c>
      <c r="CY4" s="60" t="str">
        <f aca="false">IF(MONTH(CY5)&lt;&gt;MONTH(CX5),TEXT(CY5,"mmm"),IF(MONTH(CX5)&lt;&gt;MONTH(CW5),"'"&amp;TEXT(CX5,"yy"),""))</f>
        <v/>
      </c>
      <c r="CZ4" s="60" t="str">
        <f aca="false">IF(MONTH(CZ5)&lt;&gt;MONTH(CY5),TEXT(CZ5,"mmm"),IF(MONTH(CY5)&lt;&gt;MONTH(CX5),"'"&amp;TEXT(CY5,"yy"),""))</f>
        <v/>
      </c>
      <c r="DA4" s="60" t="str">
        <f aca="false">IF(MONTH(DA5)&lt;&gt;MONTH(CZ5),TEXT(DA5,"mmm"),IF(MONTH(CZ5)&lt;&gt;MONTH(CY5),"'"&amp;TEXT(CZ5,"yy"),""))</f>
        <v>Dec</v>
      </c>
      <c r="DB4" s="60" t="str">
        <f aca="false">IF(MONTH(DB5)&lt;&gt;MONTH(DA5),TEXT(DB5,"mmm"),IF(MONTH(DA5)&lt;&gt;MONTH(CZ5),"'"&amp;TEXT(DA5,"yy"),""))</f>
        <v>'26</v>
      </c>
      <c r="DC4" s="60" t="str">
        <f aca="false">IF(MONTH(DC5)&lt;&gt;MONTH(DB5),TEXT(DC5,"mmm"),IF(MONTH(DB5)&lt;&gt;MONTH(DA5),"'"&amp;TEXT(DB5,"yy"),""))</f>
        <v/>
      </c>
      <c r="DD4" s="60" t="str">
        <f aca="false">IF(MONTH(DD5)&lt;&gt;MONTH(DC5),TEXT(DD5,"mmm"),IF(MONTH(DC5)&lt;&gt;MONTH(DB5),"'"&amp;TEXT(DC5,"yy"),""))</f>
        <v/>
      </c>
      <c r="DE4" s="60" t="str">
        <f aca="false">IF(MONTH(DE5)&lt;&gt;MONTH(DD5),TEXT(DE5,"mmm"),IF(MONTH(DD5)&lt;&gt;MONTH(DC5),"'"&amp;TEXT(DD5,"yy"),""))</f>
        <v/>
      </c>
      <c r="DF4" s="60" t="str">
        <f aca="false">IF(MONTH(DF5)&lt;&gt;MONTH(DE5),TEXT(DF5,"mmm"),IF(MONTH(DE5)&lt;&gt;MONTH(DD5),"'"&amp;TEXT(DE5,"yy"),""))</f>
        <v/>
      </c>
      <c r="DG4" s="60" t="str">
        <f aca="false">IF(MONTH(DG5)&lt;&gt;MONTH(DF5),TEXT(DG5,"mmm"),IF(MONTH(DF5)&lt;&gt;MONTH(DE5),"'"&amp;TEXT(DF5,"yy"),""))</f>
        <v/>
      </c>
      <c r="DH4" s="60" t="str">
        <f aca="false">IF(MONTH(DH5)&lt;&gt;MONTH(DG5),TEXT(DH5,"mmm"),IF(MONTH(DG5)&lt;&gt;MONTH(DF5),"'"&amp;TEXT(DG5,"yy"),""))</f>
        <v/>
      </c>
      <c r="DI4" s="60" t="str">
        <f aca="false">IF(MONTH(DI5)&lt;&gt;MONTH(DH5),TEXT(DI5,"mmm"),IF(MONTH(DH5)&lt;&gt;MONTH(DG5),"'"&amp;TEXT(DH5,"yy"),""))</f>
        <v/>
      </c>
      <c r="DJ4" s="60" t="str">
        <f aca="false">IF(MONTH(DJ5)&lt;&gt;MONTH(DI5),TEXT(DJ5,"mmm"),IF(MONTH(DI5)&lt;&gt;MONTH(DH5),"'"&amp;TEXT(DI5,"yy"),""))</f>
        <v/>
      </c>
      <c r="DK4" s="60" t="str">
        <f aca="false">IF(MONTH(DK5)&lt;&gt;MONTH(DJ5),TEXT(DK5,"mmm"),IF(MONTH(DJ5)&lt;&gt;MONTH(DI5),"'"&amp;TEXT(DJ5,"yy"),""))</f>
        <v/>
      </c>
      <c r="DL4" s="60" t="str">
        <f aca="false">IF(MONTH(DL5)&lt;&gt;MONTH(DK5),TEXT(DL5,"mmm"),IF(MONTH(DK5)&lt;&gt;MONTH(DJ5),"'"&amp;TEXT(DK5,"yy"),""))</f>
        <v/>
      </c>
      <c r="DM4" s="60" t="str">
        <f aca="false">IF(MONTH(DM5)&lt;&gt;MONTH(DL5),TEXT(DM5,"mmm"),IF(MONTH(DL5)&lt;&gt;MONTH(DK5),"'"&amp;TEXT(DL5,"yy"),""))</f>
        <v/>
      </c>
      <c r="DN4" s="60" t="str">
        <f aca="false">IF(MONTH(DN5)&lt;&gt;MONTH(DM5),TEXT(DN5,"mmm"),IF(MONTH(DM5)&lt;&gt;MONTH(DL5),"'"&amp;TEXT(DM5,"yy"),""))</f>
        <v/>
      </c>
      <c r="DO4" s="60" t="str">
        <f aca="false">IF(MONTH(DO5)&lt;&gt;MONTH(DN5),TEXT(DO5,"mmm"),IF(MONTH(DN5)&lt;&gt;MONTH(DM5),"'"&amp;TEXT(DN5,"yy"),""))</f>
        <v/>
      </c>
      <c r="DP4" s="60" t="str">
        <f aca="false">IF(MONTH(DP5)&lt;&gt;MONTH(DO5),TEXT(DP5,"mmm"),IF(MONTH(DO5)&lt;&gt;MONTH(DN5),"'"&amp;TEXT(DO5,"yy"),""))</f>
        <v/>
      </c>
      <c r="DQ4" s="60" t="str">
        <f aca="false">IF(MONTH(DQ5)&lt;&gt;MONTH(DP5),TEXT(DQ5,"mmm"),IF(MONTH(DP5)&lt;&gt;MONTH(DO5),"'"&amp;TEXT(DP5,"yy"),""))</f>
        <v/>
      </c>
      <c r="DR4" s="60" t="str">
        <f aca="false">IF(MONTH(DR5)&lt;&gt;MONTH(DQ5),TEXT(DR5,"mmm"),IF(MONTH(DQ5)&lt;&gt;MONTH(DP5),"'"&amp;TEXT(DQ5,"yy"),""))</f>
        <v/>
      </c>
      <c r="DS4" s="60" t="str">
        <f aca="false">IF(MONTH(DS5)&lt;&gt;MONTH(DR5),TEXT(DS5,"mmm"),IF(MONTH(DR5)&lt;&gt;MONTH(DQ5),"'"&amp;TEXT(DR5,"yy"),""))</f>
        <v/>
      </c>
      <c r="DT4" s="60" t="str">
        <f aca="false">IF(MONTH(DT5)&lt;&gt;MONTH(DS5),TEXT(DT5,"mmm"),IF(MONTH(DS5)&lt;&gt;MONTH(DR5),"'"&amp;TEXT(DS5,"yy"),""))</f>
        <v/>
      </c>
      <c r="DU4" s="60" t="str">
        <f aca="false">IF(MONTH(DU5)&lt;&gt;MONTH(DT5),TEXT(DU5,"mmm"),IF(MONTH(DT5)&lt;&gt;MONTH(DS5),"'"&amp;TEXT(DT5,"yy"),""))</f>
        <v/>
      </c>
      <c r="DV4" s="60" t="str">
        <f aca="false">IF(MONTH(DV5)&lt;&gt;MONTH(DU5),TEXT(DV5,"mmm"),IF(MONTH(DU5)&lt;&gt;MONTH(DT5),"'"&amp;TEXT(DU5,"yy"),""))</f>
        <v/>
      </c>
      <c r="DW4" s="60" t="str">
        <f aca="false">IF(MONTH(DW5)&lt;&gt;MONTH(DV5),TEXT(DW5,"mmm"),IF(MONTH(DV5)&lt;&gt;MONTH(DU5),"'"&amp;TEXT(DV5,"yy"),""))</f>
        <v/>
      </c>
      <c r="DX4" s="60" t="str">
        <f aca="false">IF(MONTH(DX5)&lt;&gt;MONTH(DW5),TEXT(DX5,"mmm"),IF(MONTH(DW5)&lt;&gt;MONTH(DV5),"'"&amp;TEXT(DW5,"yy"),""))</f>
        <v/>
      </c>
      <c r="DY4" s="60" t="str">
        <f aca="false">IF(MONTH(DY5)&lt;&gt;MONTH(DX5),TEXT(DY5,"mmm"),IF(MONTH(DX5)&lt;&gt;MONTH(DW5),"'"&amp;TEXT(DX5,"yy"),""))</f>
        <v/>
      </c>
      <c r="DZ4" s="60" t="str">
        <f aca="false">IF(MONTH(DZ5)&lt;&gt;MONTH(DY5),TEXT(DZ5,"mmm"),IF(MONTH(DY5)&lt;&gt;MONTH(DX5),"'"&amp;TEXT(DY5,"yy"),""))</f>
        <v/>
      </c>
      <c r="EA4" s="60" t="str">
        <f aca="false">IF(MONTH(EA5)&lt;&gt;MONTH(DZ5),TEXT(EA5,"mmm"),IF(MONTH(DZ5)&lt;&gt;MONTH(DY5),"'"&amp;TEXT(DZ5,"yy"),""))</f>
        <v/>
      </c>
      <c r="EB4" s="60" t="str">
        <f aca="false">IF(MONTH(EB5)&lt;&gt;MONTH(EA5),TEXT(EB5,"mmm"),IF(MONTH(EA5)&lt;&gt;MONTH(DZ5),"'"&amp;TEXT(EA5,"yy"),""))</f>
        <v/>
      </c>
      <c r="EC4" s="60" t="str">
        <f aca="false">IF(MONTH(EC5)&lt;&gt;MONTH(EB5),TEXT(EC5,"mmm"),IF(MONTH(EB5)&lt;&gt;MONTH(EA5),"'"&amp;TEXT(EB5,"yy"),""))</f>
        <v/>
      </c>
      <c r="ED4" s="60" t="str">
        <f aca="false">IF(MONTH(ED5)&lt;&gt;MONTH(EC5),TEXT(ED5,"mmm"),IF(MONTH(EC5)&lt;&gt;MONTH(EB5),"'"&amp;TEXT(EC5,"yy"),""))</f>
        <v/>
      </c>
      <c r="EE4" s="60" t="str">
        <f aca="false">IF(MONTH(EE5)&lt;&gt;MONTH(ED5),TEXT(EE5,"mmm"),IF(MONTH(ED5)&lt;&gt;MONTH(EC5),"'"&amp;TEXT(ED5,"yy"),""))</f>
        <v/>
      </c>
      <c r="EF4" s="60" t="str">
        <f aca="false">IF(MONTH(EF5)&lt;&gt;MONTH(EE5),TEXT(EF5,"mmm"),IF(MONTH(EE5)&lt;&gt;MONTH(ED5),"'"&amp;TEXT(EE5,"yy"),""))</f>
        <v>Jan</v>
      </c>
      <c r="EG4" s="60" t="str">
        <f aca="false">IF(MONTH(EG5)&lt;&gt;MONTH(EF5),TEXT(EG5,"mmm"),IF(MONTH(EF5)&lt;&gt;MONTH(EE5),"'"&amp;TEXT(EF5,"yy"),""))</f>
        <v>'27</v>
      </c>
      <c r="EH4" s="60" t="str">
        <f aca="false">IF(MONTH(EH5)&lt;&gt;MONTH(EG5),TEXT(EH5,"mmm"),IF(MONTH(EG5)&lt;&gt;MONTH(EF5),"'"&amp;TEXT(EG5,"yy"),""))</f>
        <v/>
      </c>
      <c r="EI4" s="60" t="str">
        <f aca="false">IF(MONTH(EI5)&lt;&gt;MONTH(EH5),TEXT(EI5,"mmm"),IF(MONTH(EH5)&lt;&gt;MONTH(EG5),"'"&amp;TEXT(EH5,"yy"),""))</f>
        <v/>
      </c>
      <c r="EJ4" s="60" t="str">
        <f aca="false">IF(MONTH(EJ5)&lt;&gt;MONTH(EI5),TEXT(EJ5,"mmm"),IF(MONTH(EI5)&lt;&gt;MONTH(EH5),"'"&amp;TEXT(EI5,"yy"),""))</f>
        <v/>
      </c>
      <c r="EK4" s="60" t="str">
        <f aca="false">IF(MONTH(EK5)&lt;&gt;MONTH(EJ5),TEXT(EK5,"mmm"),IF(MONTH(EJ5)&lt;&gt;MONTH(EI5),"'"&amp;TEXT(EJ5,"yy"),""))</f>
        <v/>
      </c>
      <c r="EL4" s="60" t="str">
        <f aca="false">IF(MONTH(EL5)&lt;&gt;MONTH(EK5),TEXT(EL5,"mmm"),IF(MONTH(EK5)&lt;&gt;MONTH(EJ5),"'"&amp;TEXT(EK5,"yy"),""))</f>
        <v/>
      </c>
      <c r="EM4" s="60" t="str">
        <f aca="false">IF(MONTH(EM5)&lt;&gt;MONTH(EL5),TEXT(EM5,"mmm"),IF(MONTH(EL5)&lt;&gt;MONTH(EK5),"'"&amp;TEXT(EL5,"yy"),""))</f>
        <v/>
      </c>
      <c r="EN4" s="60" t="str">
        <f aca="false">IF(MONTH(EN5)&lt;&gt;MONTH(EM5),TEXT(EN5,"mmm"),IF(MONTH(EM5)&lt;&gt;MONTH(EL5),"'"&amp;TEXT(EM5,"yy"),""))</f>
        <v/>
      </c>
      <c r="EO4" s="60" t="str">
        <f aca="false">IF(MONTH(EO5)&lt;&gt;MONTH(EN5),TEXT(EO5,"mmm"),IF(MONTH(EN5)&lt;&gt;MONTH(EM5),"'"&amp;TEXT(EN5,"yy"),""))</f>
        <v/>
      </c>
      <c r="EP4" s="60" t="str">
        <f aca="false">IF(MONTH(EP5)&lt;&gt;MONTH(EO5),TEXT(EP5,"mmm"),IF(MONTH(EO5)&lt;&gt;MONTH(EN5),"'"&amp;TEXT(EO5,"yy"),""))</f>
        <v/>
      </c>
      <c r="EQ4" s="60" t="str">
        <f aca="false">IF(MONTH(EQ5)&lt;&gt;MONTH(EP5),TEXT(EQ5,"mmm"),IF(MONTH(EP5)&lt;&gt;MONTH(EO5),"'"&amp;TEXT(EP5,"yy"),""))</f>
        <v/>
      </c>
      <c r="ER4" s="60" t="str">
        <f aca="false">IF(MONTH(ER5)&lt;&gt;MONTH(EQ5),TEXT(ER5,"mmm"),IF(MONTH(EQ5)&lt;&gt;MONTH(EP5),"'"&amp;TEXT(EQ5,"yy"),""))</f>
        <v/>
      </c>
      <c r="ES4" s="60" t="str">
        <f aca="false">IF(MONTH(ES5)&lt;&gt;MONTH(ER5),TEXT(ES5,"mmm"),IF(MONTH(ER5)&lt;&gt;MONTH(EQ5),"'"&amp;TEXT(ER5,"yy"),""))</f>
        <v/>
      </c>
      <c r="ET4" s="60" t="str">
        <f aca="false">IF(MONTH(ET5)&lt;&gt;MONTH(ES5),TEXT(ET5,"mmm"),IF(MONTH(ES5)&lt;&gt;MONTH(ER5),"'"&amp;TEXT(ES5,"yy"),""))</f>
        <v/>
      </c>
      <c r="EU4" s="60" t="str">
        <f aca="false">IF(MONTH(EU5)&lt;&gt;MONTH(ET5),TEXT(EU5,"mmm"),IF(MONTH(ET5)&lt;&gt;MONTH(ES5),"'"&amp;TEXT(ET5,"yy"),""))</f>
        <v/>
      </c>
      <c r="EV4" s="60" t="str">
        <f aca="false">IF(MONTH(EV5)&lt;&gt;MONTH(EU5),TEXT(EV5,"mmm"),IF(MONTH(EU5)&lt;&gt;MONTH(ET5),"'"&amp;TEXT(EU5,"yy"),""))</f>
        <v/>
      </c>
      <c r="EW4" s="60" t="str">
        <f aca="false">IF(MONTH(EW5)&lt;&gt;MONTH(EV5),TEXT(EW5,"mmm"),IF(MONTH(EV5)&lt;&gt;MONTH(EU5),"'"&amp;TEXT(EV5,"yy"),""))</f>
        <v/>
      </c>
      <c r="EX4" s="60" t="str">
        <f aca="false">IF(MONTH(EX5)&lt;&gt;MONTH(EW5),TEXT(EX5,"mmm"),IF(MONTH(EW5)&lt;&gt;MONTH(EV5),"'"&amp;TEXT(EW5,"yy"),""))</f>
        <v/>
      </c>
      <c r="EY4" s="60" t="str">
        <f aca="false">IF(MONTH(EY5)&lt;&gt;MONTH(EX5),TEXT(EY5,"mmm"),IF(MONTH(EX5)&lt;&gt;MONTH(EW5),"'"&amp;TEXT(EX5,"yy"),""))</f>
        <v/>
      </c>
      <c r="EZ4" s="60" t="str">
        <f aca="false">IF(MONTH(EZ5)&lt;&gt;MONTH(EY5),TEXT(EZ5,"mmm"),IF(MONTH(EY5)&lt;&gt;MONTH(EX5),"'"&amp;TEXT(EY5,"yy"),""))</f>
        <v/>
      </c>
      <c r="FA4" s="60" t="str">
        <f aca="false">IF(MONTH(FA5)&lt;&gt;MONTH(EZ5),TEXT(FA5,"mmm"),IF(MONTH(EZ5)&lt;&gt;MONTH(EY5),"'"&amp;TEXT(EZ5,"yy"),""))</f>
        <v/>
      </c>
      <c r="FB4" s="60" t="str">
        <f aca="false">IF(MONTH(FB5)&lt;&gt;MONTH(FA5),TEXT(FB5,"mmm"),IF(MONTH(FA5)&lt;&gt;MONTH(EZ5),"'"&amp;TEXT(FA5,"yy"),""))</f>
        <v/>
      </c>
      <c r="FC4" s="60" t="str">
        <f aca="false">IF(MONTH(FC5)&lt;&gt;MONTH(FB5),TEXT(FC5,"mmm"),IF(MONTH(FB5)&lt;&gt;MONTH(FA5),"'"&amp;TEXT(FB5,"yy"),""))</f>
        <v/>
      </c>
      <c r="FD4" s="60" t="str">
        <f aca="false">IF(MONTH(FD5)&lt;&gt;MONTH(FC5),TEXT(FD5,"mmm"),IF(MONTH(FC5)&lt;&gt;MONTH(FB5),"'"&amp;TEXT(FC5,"yy"),""))</f>
        <v/>
      </c>
      <c r="FE4" s="60" t="str">
        <f aca="false">IF(MONTH(FE5)&lt;&gt;MONTH(FD5),TEXT(FE5,"mmm"),IF(MONTH(FD5)&lt;&gt;MONTH(FC5),"'"&amp;TEXT(FD5,"yy"),""))</f>
        <v/>
      </c>
      <c r="FF4" s="60" t="str">
        <f aca="false">IF(MONTH(FF5)&lt;&gt;MONTH(FE5),TEXT(FF5,"mmm"),IF(MONTH(FE5)&lt;&gt;MONTH(FD5),"'"&amp;TEXT(FE5,"yy"),""))</f>
        <v/>
      </c>
      <c r="FG4" s="60" t="str">
        <f aca="false">IF(MONTH(FG5)&lt;&gt;MONTH(FF5),TEXT(FG5,"mmm"),IF(MONTH(FF5)&lt;&gt;MONTH(FE5),"'"&amp;TEXT(FF5,"yy"),""))</f>
        <v/>
      </c>
      <c r="FH4" s="60" t="str">
        <f aca="false">IF(MONTH(FH5)&lt;&gt;MONTH(FG5),TEXT(FH5,"mmm"),IF(MONTH(FG5)&lt;&gt;MONTH(FF5),"'"&amp;TEXT(FG5,"yy"),""))</f>
        <v/>
      </c>
      <c r="FI4" s="60" t="str">
        <f aca="false">IF(MONTH(FI5)&lt;&gt;MONTH(FH5),TEXT(FI5,"mmm"),IF(MONTH(FH5)&lt;&gt;MONTH(FG5),"'"&amp;TEXT(FH5,"yy"),""))</f>
        <v/>
      </c>
      <c r="FJ4" s="60" t="str">
        <f aca="false">IF(MONTH(FJ5)&lt;&gt;MONTH(FI5),TEXT(FJ5,"mmm"),IF(MONTH(FI5)&lt;&gt;MONTH(FH5),"'"&amp;TEXT(FI5,"yy"),""))</f>
        <v/>
      </c>
      <c r="FK4" s="60" t="str">
        <f aca="false">IF(MONTH(FK5)&lt;&gt;MONTH(FJ5),TEXT(FK5,"mmm"),IF(MONTH(FJ5)&lt;&gt;MONTH(FI5),"'"&amp;TEXT(FJ5,"yy"),""))</f>
        <v>Feb</v>
      </c>
      <c r="FL4" s="60" t="str">
        <f aca="false">IF(MONTH(FL5)&lt;&gt;MONTH(FK5),TEXT(FL5,"mmm"),IF(MONTH(FK5)&lt;&gt;MONTH(FJ5),"'"&amp;TEXT(FK5,"yy"),""))</f>
        <v>'27</v>
      </c>
      <c r="FM4" s="60" t="str">
        <f aca="false">IF(MONTH(FM5)&lt;&gt;MONTH(FL5),TEXT(FM5,"mmm"),IF(MONTH(FL5)&lt;&gt;MONTH(FK5),"'"&amp;TEXT(FL5,"yy"),""))</f>
        <v/>
      </c>
    </row>
    <row r="5" customFormat="false" ht="30" hidden="false" customHeight="true" outlineLevel="0" collapsed="false">
      <c r="A5" s="9" t="s">
        <v>158</v>
      </c>
      <c r="B5" s="9" t="s">
        <v>159</v>
      </c>
      <c r="C5" s="9" t="s">
        <v>161</v>
      </c>
      <c r="D5" s="9" t="s">
        <v>267</v>
      </c>
      <c r="E5" s="9" t="s">
        <v>170</v>
      </c>
      <c r="F5" s="9" t="s">
        <v>171</v>
      </c>
      <c r="G5" s="9" t="s">
        <v>268</v>
      </c>
      <c r="H5" s="9" t="s">
        <v>269</v>
      </c>
      <c r="I5" s="9" t="s">
        <v>270</v>
      </c>
      <c r="J5" s="9" t="s">
        <v>180</v>
      </c>
      <c r="K5" s="9" t="s">
        <v>179</v>
      </c>
      <c r="L5" s="37" t="s">
        <v>271</v>
      </c>
      <c r="M5" s="37" t="s">
        <v>272</v>
      </c>
      <c r="N5" s="37" t="s">
        <v>273</v>
      </c>
      <c r="O5" s="37" t="s">
        <v>274</v>
      </c>
      <c r="P5" s="37" t="s">
        <v>275</v>
      </c>
      <c r="Q5" s="37" t="s">
        <v>276</v>
      </c>
      <c r="R5" s="37" t="s">
        <v>277</v>
      </c>
      <c r="S5" s="9"/>
      <c r="T5" s="61" t="n">
        <f aca="false">GanttStart</f>
        <v>46272</v>
      </c>
      <c r="U5" s="61" t="n">
        <f aca="false">T5+GanttPeriod</f>
        <v>46273</v>
      </c>
      <c r="V5" s="61" t="n">
        <f aca="false">U5+GanttPeriod</f>
        <v>46274</v>
      </c>
      <c r="W5" s="61" t="n">
        <f aca="false">V5+GanttPeriod</f>
        <v>46275</v>
      </c>
      <c r="X5" s="61" t="n">
        <f aca="false">W5+GanttPeriod</f>
        <v>46276</v>
      </c>
      <c r="Y5" s="61" t="n">
        <f aca="false">X5+GanttPeriod</f>
        <v>46277</v>
      </c>
      <c r="Z5" s="61" t="n">
        <f aca="false">Y5+GanttPeriod</f>
        <v>46278</v>
      </c>
      <c r="AA5" s="61" t="n">
        <f aca="false">Z5+GanttPeriod</f>
        <v>46279</v>
      </c>
      <c r="AB5" s="61" t="n">
        <f aca="false">AA5+GanttPeriod</f>
        <v>46280</v>
      </c>
      <c r="AC5" s="61" t="n">
        <f aca="false">AB5+GanttPeriod</f>
        <v>46281</v>
      </c>
      <c r="AD5" s="61" t="n">
        <f aca="false">AC5+GanttPeriod</f>
        <v>46282</v>
      </c>
      <c r="AE5" s="61" t="n">
        <f aca="false">AD5+GanttPeriod</f>
        <v>46283</v>
      </c>
      <c r="AF5" s="61" t="n">
        <f aca="false">AE5+GanttPeriod</f>
        <v>46284</v>
      </c>
      <c r="AG5" s="61" t="n">
        <f aca="false">AF5+GanttPeriod</f>
        <v>46285</v>
      </c>
      <c r="AH5" s="61" t="n">
        <f aca="false">AG5+GanttPeriod</f>
        <v>46286</v>
      </c>
      <c r="AI5" s="61" t="n">
        <f aca="false">AH5+GanttPeriod</f>
        <v>46287</v>
      </c>
      <c r="AJ5" s="61" t="n">
        <f aca="false">AI5+GanttPeriod</f>
        <v>46288</v>
      </c>
      <c r="AK5" s="61" t="n">
        <f aca="false">AJ5+GanttPeriod</f>
        <v>46289</v>
      </c>
      <c r="AL5" s="61" t="n">
        <f aca="false">AK5+GanttPeriod</f>
        <v>46290</v>
      </c>
      <c r="AM5" s="61" t="n">
        <f aca="false">AL5+GanttPeriod</f>
        <v>46291</v>
      </c>
      <c r="AN5" s="61" t="n">
        <f aca="false">AM5+GanttPeriod</f>
        <v>46292</v>
      </c>
      <c r="AO5" s="61" t="n">
        <f aca="false">AN5+GanttPeriod</f>
        <v>46293</v>
      </c>
      <c r="AP5" s="61" t="n">
        <f aca="false">AO5+GanttPeriod</f>
        <v>46294</v>
      </c>
      <c r="AQ5" s="61" t="n">
        <f aca="false">AP5+GanttPeriod</f>
        <v>46295</v>
      </c>
      <c r="AR5" s="61" t="n">
        <f aca="false">AQ5+GanttPeriod</f>
        <v>46296</v>
      </c>
      <c r="AS5" s="61" t="n">
        <f aca="false">AR5+GanttPeriod</f>
        <v>46297</v>
      </c>
      <c r="AT5" s="61" t="n">
        <f aca="false">AS5+GanttPeriod</f>
        <v>46298</v>
      </c>
      <c r="AU5" s="61" t="n">
        <f aca="false">AT5+GanttPeriod</f>
        <v>46299</v>
      </c>
      <c r="AV5" s="61" t="n">
        <f aca="false">AU5+GanttPeriod</f>
        <v>46300</v>
      </c>
      <c r="AW5" s="61" t="n">
        <f aca="false">AV5+GanttPeriod</f>
        <v>46301</v>
      </c>
      <c r="AX5" s="61" t="n">
        <f aca="false">AW5+GanttPeriod</f>
        <v>46302</v>
      </c>
      <c r="AY5" s="61" t="n">
        <f aca="false">AX5+GanttPeriod</f>
        <v>46303</v>
      </c>
      <c r="AZ5" s="61" t="n">
        <f aca="false">AY5+GanttPeriod</f>
        <v>46304</v>
      </c>
      <c r="BA5" s="61" t="n">
        <f aca="false">AZ5+GanttPeriod</f>
        <v>46305</v>
      </c>
      <c r="BB5" s="61" t="n">
        <f aca="false">BA5+GanttPeriod</f>
        <v>46306</v>
      </c>
      <c r="BC5" s="61" t="n">
        <f aca="false">BB5+GanttPeriod</f>
        <v>46307</v>
      </c>
      <c r="BD5" s="61" t="n">
        <f aca="false">BC5+GanttPeriod</f>
        <v>46308</v>
      </c>
      <c r="BE5" s="61" t="n">
        <f aca="false">BD5+GanttPeriod</f>
        <v>46309</v>
      </c>
      <c r="BF5" s="61" t="n">
        <f aca="false">BE5+GanttPeriod</f>
        <v>46310</v>
      </c>
      <c r="BG5" s="61" t="n">
        <f aca="false">BF5+GanttPeriod</f>
        <v>46311</v>
      </c>
      <c r="BH5" s="61" t="n">
        <f aca="false">BG5+GanttPeriod</f>
        <v>46312</v>
      </c>
      <c r="BI5" s="61" t="n">
        <f aca="false">BH5+GanttPeriod</f>
        <v>46313</v>
      </c>
      <c r="BJ5" s="61" t="n">
        <f aca="false">BI5+GanttPeriod</f>
        <v>46314</v>
      </c>
      <c r="BK5" s="61" t="n">
        <f aca="false">BJ5+GanttPeriod</f>
        <v>46315</v>
      </c>
      <c r="BL5" s="61" t="n">
        <f aca="false">BK5+GanttPeriod</f>
        <v>46316</v>
      </c>
      <c r="BM5" s="61" t="n">
        <f aca="false">BL5+GanttPeriod</f>
        <v>46317</v>
      </c>
      <c r="BN5" s="61" t="n">
        <f aca="false">BM5+GanttPeriod</f>
        <v>46318</v>
      </c>
      <c r="BO5" s="61" t="n">
        <f aca="false">BN5+GanttPeriod</f>
        <v>46319</v>
      </c>
      <c r="BP5" s="61" t="n">
        <f aca="false">BO5+GanttPeriod</f>
        <v>46320</v>
      </c>
      <c r="BQ5" s="61" t="n">
        <f aca="false">BP5+GanttPeriod</f>
        <v>46321</v>
      </c>
      <c r="BR5" s="61" t="n">
        <f aca="false">BQ5+GanttPeriod</f>
        <v>46322</v>
      </c>
      <c r="BS5" s="61" t="n">
        <f aca="false">BR5+GanttPeriod</f>
        <v>46323</v>
      </c>
      <c r="BT5" s="61" t="n">
        <f aca="false">BS5+GanttPeriod</f>
        <v>46324</v>
      </c>
      <c r="BU5" s="61" t="n">
        <f aca="false">BT5+GanttPeriod</f>
        <v>46325</v>
      </c>
      <c r="BV5" s="61" t="n">
        <f aca="false">BU5+GanttPeriod</f>
        <v>46326</v>
      </c>
      <c r="BW5" s="61" t="n">
        <f aca="false">BV5+GanttPeriod</f>
        <v>46327</v>
      </c>
      <c r="BX5" s="61" t="n">
        <f aca="false">BW5+GanttPeriod</f>
        <v>46328</v>
      </c>
      <c r="BY5" s="61" t="n">
        <f aca="false">BX5+GanttPeriod</f>
        <v>46329</v>
      </c>
      <c r="BZ5" s="61" t="n">
        <f aca="false">BY5+GanttPeriod</f>
        <v>46330</v>
      </c>
      <c r="CA5" s="61" t="n">
        <f aca="false">BZ5+GanttPeriod</f>
        <v>46331</v>
      </c>
      <c r="CB5" s="61" t="n">
        <f aca="false">CA5+GanttPeriod</f>
        <v>46332</v>
      </c>
      <c r="CC5" s="61" t="n">
        <f aca="false">CB5+GanttPeriod</f>
        <v>46333</v>
      </c>
      <c r="CD5" s="61" t="n">
        <f aca="false">CC5+GanttPeriod</f>
        <v>46334</v>
      </c>
      <c r="CE5" s="61" t="n">
        <f aca="false">CD5+GanttPeriod</f>
        <v>46335</v>
      </c>
      <c r="CF5" s="61" t="n">
        <f aca="false">CE5+GanttPeriod</f>
        <v>46336</v>
      </c>
      <c r="CG5" s="61" t="n">
        <f aca="false">CF5+GanttPeriod</f>
        <v>46337</v>
      </c>
      <c r="CH5" s="61" t="n">
        <f aca="false">CG5+GanttPeriod</f>
        <v>46338</v>
      </c>
      <c r="CI5" s="61" t="n">
        <f aca="false">CH5+GanttPeriod</f>
        <v>46339</v>
      </c>
      <c r="CJ5" s="61" t="n">
        <f aca="false">CI5+GanttPeriod</f>
        <v>46340</v>
      </c>
      <c r="CK5" s="61" t="n">
        <f aca="false">CJ5+GanttPeriod</f>
        <v>46341</v>
      </c>
      <c r="CL5" s="61" t="n">
        <f aca="false">CK5+GanttPeriod</f>
        <v>46342</v>
      </c>
      <c r="CM5" s="61" t="n">
        <f aca="false">CL5+GanttPeriod</f>
        <v>46343</v>
      </c>
      <c r="CN5" s="61" t="n">
        <f aca="false">CM5+GanttPeriod</f>
        <v>46344</v>
      </c>
      <c r="CO5" s="61" t="n">
        <f aca="false">CN5+GanttPeriod</f>
        <v>46345</v>
      </c>
      <c r="CP5" s="61" t="n">
        <f aca="false">CO5+GanttPeriod</f>
        <v>46346</v>
      </c>
      <c r="CQ5" s="61" t="n">
        <f aca="false">CP5+GanttPeriod</f>
        <v>46347</v>
      </c>
      <c r="CR5" s="61" t="n">
        <f aca="false">CQ5+GanttPeriod</f>
        <v>46348</v>
      </c>
      <c r="CS5" s="61" t="n">
        <f aca="false">CR5+GanttPeriod</f>
        <v>46349</v>
      </c>
      <c r="CT5" s="61" t="n">
        <f aca="false">CS5+GanttPeriod</f>
        <v>46350</v>
      </c>
      <c r="CU5" s="61" t="n">
        <f aca="false">CT5+GanttPeriod</f>
        <v>46351</v>
      </c>
      <c r="CV5" s="61" t="n">
        <f aca="false">CU5+GanttPeriod</f>
        <v>46352</v>
      </c>
      <c r="CW5" s="61" t="n">
        <f aca="false">CV5+GanttPeriod</f>
        <v>46353</v>
      </c>
      <c r="CX5" s="61" t="n">
        <f aca="false">CW5+GanttPeriod</f>
        <v>46354</v>
      </c>
      <c r="CY5" s="61" t="n">
        <f aca="false">CX5+GanttPeriod</f>
        <v>46355</v>
      </c>
      <c r="CZ5" s="61" t="n">
        <f aca="false">CY5+GanttPeriod</f>
        <v>46356</v>
      </c>
      <c r="DA5" s="61" t="n">
        <f aca="false">CZ5+GanttPeriod</f>
        <v>46357</v>
      </c>
      <c r="DB5" s="61" t="n">
        <f aca="false">DA5+GanttPeriod</f>
        <v>46358</v>
      </c>
      <c r="DC5" s="61" t="n">
        <f aca="false">DB5+GanttPeriod</f>
        <v>46359</v>
      </c>
      <c r="DD5" s="61" t="n">
        <f aca="false">DC5+GanttPeriod</f>
        <v>46360</v>
      </c>
      <c r="DE5" s="61" t="n">
        <f aca="false">DD5+GanttPeriod</f>
        <v>46361</v>
      </c>
      <c r="DF5" s="61" t="n">
        <f aca="false">DE5+GanttPeriod</f>
        <v>46362</v>
      </c>
      <c r="DG5" s="61" t="n">
        <f aca="false">DF5+GanttPeriod</f>
        <v>46363</v>
      </c>
      <c r="DH5" s="61" t="n">
        <f aca="false">DG5+GanttPeriod</f>
        <v>46364</v>
      </c>
      <c r="DI5" s="61" t="n">
        <f aca="false">DH5+GanttPeriod</f>
        <v>46365</v>
      </c>
      <c r="DJ5" s="61" t="n">
        <f aca="false">DI5+GanttPeriod</f>
        <v>46366</v>
      </c>
      <c r="DK5" s="61" t="n">
        <f aca="false">DJ5+GanttPeriod</f>
        <v>46367</v>
      </c>
      <c r="DL5" s="61" t="n">
        <f aca="false">DK5+GanttPeriod</f>
        <v>46368</v>
      </c>
      <c r="DM5" s="61" t="n">
        <f aca="false">DL5+GanttPeriod</f>
        <v>46369</v>
      </c>
      <c r="DN5" s="61" t="n">
        <f aca="false">DM5+GanttPeriod</f>
        <v>46370</v>
      </c>
      <c r="DO5" s="61" t="n">
        <f aca="false">DN5+GanttPeriod</f>
        <v>46371</v>
      </c>
      <c r="DP5" s="61" t="n">
        <f aca="false">DO5+GanttPeriod</f>
        <v>46372</v>
      </c>
      <c r="DQ5" s="61" t="n">
        <f aca="false">DP5+GanttPeriod</f>
        <v>46373</v>
      </c>
      <c r="DR5" s="61" t="n">
        <f aca="false">DQ5+GanttPeriod</f>
        <v>46374</v>
      </c>
      <c r="DS5" s="61" t="n">
        <f aca="false">DR5+GanttPeriod</f>
        <v>46375</v>
      </c>
      <c r="DT5" s="61" t="n">
        <f aca="false">DS5+GanttPeriod</f>
        <v>46376</v>
      </c>
      <c r="DU5" s="61" t="n">
        <f aca="false">DT5+GanttPeriod</f>
        <v>46377</v>
      </c>
      <c r="DV5" s="61" t="n">
        <f aca="false">DU5+GanttPeriod</f>
        <v>46378</v>
      </c>
      <c r="DW5" s="61" t="n">
        <f aca="false">DV5+GanttPeriod</f>
        <v>46379</v>
      </c>
      <c r="DX5" s="61" t="n">
        <f aca="false">DW5+GanttPeriod</f>
        <v>46380</v>
      </c>
      <c r="DY5" s="61" t="n">
        <f aca="false">DX5+GanttPeriod</f>
        <v>46381</v>
      </c>
      <c r="DZ5" s="61" t="n">
        <f aca="false">DY5+GanttPeriod</f>
        <v>46382</v>
      </c>
      <c r="EA5" s="61" t="n">
        <f aca="false">DZ5+GanttPeriod</f>
        <v>46383</v>
      </c>
      <c r="EB5" s="61" t="n">
        <f aca="false">EA5+GanttPeriod</f>
        <v>46384</v>
      </c>
      <c r="EC5" s="61" t="n">
        <f aca="false">EB5+GanttPeriod</f>
        <v>46385</v>
      </c>
      <c r="ED5" s="61" t="n">
        <f aca="false">EC5+GanttPeriod</f>
        <v>46386</v>
      </c>
      <c r="EE5" s="61" t="n">
        <f aca="false">ED5+GanttPeriod</f>
        <v>46387</v>
      </c>
      <c r="EF5" s="61" t="n">
        <f aca="false">EE5+GanttPeriod</f>
        <v>46388</v>
      </c>
      <c r="EG5" s="61" t="n">
        <f aca="false">EF5+GanttPeriod</f>
        <v>46389</v>
      </c>
      <c r="EH5" s="61" t="n">
        <f aca="false">EG5+GanttPeriod</f>
        <v>46390</v>
      </c>
      <c r="EI5" s="61" t="n">
        <f aca="false">EH5+GanttPeriod</f>
        <v>46391</v>
      </c>
      <c r="EJ5" s="61" t="n">
        <f aca="false">EI5+GanttPeriod</f>
        <v>46392</v>
      </c>
      <c r="EK5" s="61" t="n">
        <f aca="false">EJ5+GanttPeriod</f>
        <v>46393</v>
      </c>
      <c r="EL5" s="61" t="n">
        <f aca="false">EK5+GanttPeriod</f>
        <v>46394</v>
      </c>
      <c r="EM5" s="61" t="n">
        <f aca="false">EL5+GanttPeriod</f>
        <v>46395</v>
      </c>
      <c r="EN5" s="61" t="n">
        <f aca="false">EM5+GanttPeriod</f>
        <v>46396</v>
      </c>
      <c r="EO5" s="61" t="n">
        <f aca="false">EN5+GanttPeriod</f>
        <v>46397</v>
      </c>
      <c r="EP5" s="61" t="n">
        <f aca="false">EO5+GanttPeriod</f>
        <v>46398</v>
      </c>
      <c r="EQ5" s="61" t="n">
        <f aca="false">EP5+GanttPeriod</f>
        <v>46399</v>
      </c>
      <c r="ER5" s="61" t="n">
        <f aca="false">EQ5+GanttPeriod</f>
        <v>46400</v>
      </c>
      <c r="ES5" s="61" t="n">
        <f aca="false">ER5+GanttPeriod</f>
        <v>46401</v>
      </c>
      <c r="ET5" s="61" t="n">
        <f aca="false">ES5+GanttPeriod</f>
        <v>46402</v>
      </c>
      <c r="EU5" s="61" t="n">
        <f aca="false">ET5+GanttPeriod</f>
        <v>46403</v>
      </c>
      <c r="EV5" s="61" t="n">
        <f aca="false">EU5+GanttPeriod</f>
        <v>46404</v>
      </c>
      <c r="EW5" s="61" t="n">
        <f aca="false">EV5+GanttPeriod</f>
        <v>46405</v>
      </c>
      <c r="EX5" s="61" t="n">
        <f aca="false">EW5+GanttPeriod</f>
        <v>46406</v>
      </c>
      <c r="EY5" s="61" t="n">
        <f aca="false">EX5+GanttPeriod</f>
        <v>46407</v>
      </c>
      <c r="EZ5" s="61" t="n">
        <f aca="false">EY5+GanttPeriod</f>
        <v>46408</v>
      </c>
      <c r="FA5" s="61" t="n">
        <f aca="false">EZ5+GanttPeriod</f>
        <v>46409</v>
      </c>
      <c r="FB5" s="61" t="n">
        <f aca="false">FA5+GanttPeriod</f>
        <v>46410</v>
      </c>
      <c r="FC5" s="61" t="n">
        <f aca="false">FB5+GanttPeriod</f>
        <v>46411</v>
      </c>
      <c r="FD5" s="61" t="n">
        <f aca="false">FC5+GanttPeriod</f>
        <v>46412</v>
      </c>
      <c r="FE5" s="61" t="n">
        <f aca="false">FD5+GanttPeriod</f>
        <v>46413</v>
      </c>
      <c r="FF5" s="61" t="n">
        <f aca="false">FE5+GanttPeriod</f>
        <v>46414</v>
      </c>
      <c r="FG5" s="61" t="n">
        <f aca="false">FF5+GanttPeriod</f>
        <v>46415</v>
      </c>
      <c r="FH5" s="61" t="n">
        <f aca="false">FG5+GanttPeriod</f>
        <v>46416</v>
      </c>
      <c r="FI5" s="61" t="n">
        <f aca="false">FH5+GanttPeriod</f>
        <v>46417</v>
      </c>
      <c r="FJ5" s="61" t="n">
        <f aca="false">FI5+GanttPeriod</f>
        <v>46418</v>
      </c>
      <c r="FK5" s="61" t="n">
        <f aca="false">FJ5+GanttPeriod</f>
        <v>46419</v>
      </c>
      <c r="FL5" s="61" t="n">
        <f aca="false">FK5+GanttPeriod</f>
        <v>46420</v>
      </c>
      <c r="FM5" s="61" t="n">
        <f aca="false">FL5+GanttPeriod</f>
        <v>46421</v>
      </c>
    </row>
    <row r="6" customFormat="false" ht="15" hidden="false" customHeight="false" outlineLevel="0" collapsed="false">
      <c r="A6" s="62" t="n">
        <f aca="false">IF(Tasks!$D6="","",Tasks!$A6)</f>
        <v>1</v>
      </c>
      <c r="B6" s="62" t="str">
        <f aca="false">IF(Tasks!$D6="","",Tasks!$B6)</f>
        <v>1</v>
      </c>
      <c r="C6" s="63" t="str">
        <f aca="false">IF(Tasks!$D6="","",REPT("    ",Tasks!$AE6-1)&amp;Tasks!$D6)</f>
        <v>Initiation</v>
      </c>
      <c r="D6" s="62" t="n">
        <f aca="false">IF(Tasks!$D6="","",IF(Tasks!$AI6,NETWORKDAYS.INTL(Tasks!$R6,Tasks!$S6,WorkWeek,Holidays),N(Tasks!$F6)))</f>
        <v>6</v>
      </c>
      <c r="E6" s="64" t="n">
        <f aca="false">IF(Tasks!$D6="","",Tasks!$N6)</f>
        <v>46272</v>
      </c>
      <c r="F6" s="64" t="n">
        <f aca="false">IF(Tasks!$D6="","",Tasks!$O6)</f>
        <v>46276</v>
      </c>
      <c r="G6" s="64" t="n">
        <f aca="false">IF(Tasks!$D6="","",Tasks!$R6)</f>
        <v>46272</v>
      </c>
      <c r="H6" s="64" t="n">
        <f aca="false">IF(Tasks!$D6="","",Tasks!$S6)</f>
        <v>46279</v>
      </c>
      <c r="I6" s="65" t="n">
        <f aca="false">IF(Tasks!$D6="","",Tasks!$V6)</f>
        <v>1</v>
      </c>
      <c r="J6" s="63" t="str">
        <f aca="false">IF(Tasks!$D6="","",Tasks!$X6&amp;"")</f>
        <v/>
      </c>
      <c r="K6" s="66" t="str">
        <f aca="false">IF(Tasks!$D6="","",Tasks!$W6)</f>
        <v>Complete</v>
      </c>
      <c r="L6" s="67" t="b">
        <f aca="false">IF(Tasks!$D6="",FALSE(),Tasks!$AI6)</f>
        <v>1</v>
      </c>
      <c r="M6" s="67" t="b">
        <f aca="false">AND(Tasks!$AJ6=1,N(Tasks!$F6)=0)</f>
        <v>0</v>
      </c>
      <c r="N6" s="68" t="n">
        <f aca="false">IF(AND(Tasks!$AJ6=1,NOT($M6),N($I6)&gt;0),$G6,0)</f>
        <v>0</v>
      </c>
      <c r="O6" s="68" t="n">
        <f aca="false">IF($N6=0,0,IF($I6&gt;=1,$H6,MAX($N6,$G6+ROUND(($H6-$G6+1)*$I6,0)-1)))</f>
        <v>0</v>
      </c>
      <c r="P6" s="68" t="n">
        <f aca="false">IF(OR(Tasks!$AJ6&lt;&gt;1,$M6,N($I6)&gt;=1),0,IF($O6&gt;0,$O6+1,$G6))</f>
        <v>0</v>
      </c>
      <c r="Q6" s="68" t="n">
        <f aca="false">IF($P6=0,0,$H6)</f>
        <v>0</v>
      </c>
      <c r="R6" s="67" t="b">
        <f aca="false">AND(Tasks!$D6&lt;&gt;"",N(Tasks!$T6)&gt;0)</f>
        <v>1</v>
      </c>
      <c r="T6" s="69" t="str">
        <f aca="false">IF($E6="","",IF($M6,IF(AND($G6&gt;=T$5,$G6&lt;T$5+GanttPeriod),"◆",IF(AND($E6&gt;=T$5,$E6&lt;T$5+GanttPeriod),"◇","")),IF(AND(T$5&lt;=$F6,T$5+GanttPeriod-1&gt;=$E6),"━","")))</f>
        <v>━</v>
      </c>
      <c r="U6" s="69" t="str">
        <f aca="false">IF($E6="","",IF($M6,IF(AND($G6&gt;=U$5,$G6&lt;U$5+GanttPeriod),"◆",IF(AND($E6&gt;=U$5,$E6&lt;U$5+GanttPeriod),"◇","")),IF(AND(U$5&lt;=$F6,U$5+GanttPeriod-1&gt;=$E6),"━","")))</f>
        <v>━</v>
      </c>
      <c r="V6" s="69" t="str">
        <f aca="false">IF($E6="","",IF($M6,IF(AND($G6&gt;=V$5,$G6&lt;V$5+GanttPeriod),"◆",IF(AND($E6&gt;=V$5,$E6&lt;V$5+GanttPeriod),"◇","")),IF(AND(V$5&lt;=$F6,V$5+GanttPeriod-1&gt;=$E6),"━","")))</f>
        <v>━</v>
      </c>
      <c r="W6" s="69" t="str">
        <f aca="false">IF($E6="","",IF($M6,IF(AND($G6&gt;=W$5,$G6&lt;W$5+GanttPeriod),"◆",IF(AND($E6&gt;=W$5,$E6&lt;W$5+GanttPeriod),"◇","")),IF(AND(W$5&lt;=$F6,W$5+GanttPeriod-1&gt;=$E6),"━","")))</f>
        <v>━</v>
      </c>
      <c r="X6" s="69" t="str">
        <f aca="false">IF($E6="","",IF($M6,IF(AND($G6&gt;=X$5,$G6&lt;X$5+GanttPeriod),"◆",IF(AND($E6&gt;=X$5,$E6&lt;X$5+GanttPeriod),"◇","")),IF(AND(X$5&lt;=$F6,X$5+GanttPeriod-1&gt;=$E6),"━","")))</f>
        <v>━</v>
      </c>
      <c r="Y6" s="69" t="str">
        <f aca="false">IF($E6="","",IF($M6,IF(AND($G6&gt;=Y$5,$G6&lt;Y$5+GanttPeriod),"◆",IF(AND($E6&gt;=Y$5,$E6&lt;Y$5+GanttPeriod),"◇","")),IF(AND(Y$5&lt;=$F6,Y$5+GanttPeriod-1&gt;=$E6),"━","")))</f>
        <v/>
      </c>
      <c r="Z6" s="69" t="str">
        <f aca="false">IF($E6="","",IF($M6,IF(AND($G6&gt;=Z$5,$G6&lt;Z$5+GanttPeriod),"◆",IF(AND($E6&gt;=Z$5,$E6&lt;Z$5+GanttPeriod),"◇","")),IF(AND(Z$5&lt;=$F6,Z$5+GanttPeriod-1&gt;=$E6),"━","")))</f>
        <v/>
      </c>
      <c r="AA6" s="69" t="str">
        <f aca="false">IF($E6="","",IF($M6,IF(AND($G6&gt;=AA$5,$G6&lt;AA$5+GanttPeriod),"◆",IF(AND($E6&gt;=AA$5,$E6&lt;AA$5+GanttPeriod),"◇","")),IF(AND(AA$5&lt;=$F6,AA$5+GanttPeriod-1&gt;=$E6),"━","")))</f>
        <v/>
      </c>
      <c r="AB6" s="69" t="str">
        <f aca="false">IF($E6="","",IF($M6,IF(AND($G6&gt;=AB$5,$G6&lt;AB$5+GanttPeriod),"◆",IF(AND($E6&gt;=AB$5,$E6&lt;AB$5+GanttPeriod),"◇","")),IF(AND(AB$5&lt;=$F6,AB$5+GanttPeriod-1&gt;=$E6),"━","")))</f>
        <v/>
      </c>
      <c r="AC6" s="69" t="str">
        <f aca="false">IF($E6="","",IF($M6,IF(AND($G6&gt;=AC$5,$G6&lt;AC$5+GanttPeriod),"◆",IF(AND($E6&gt;=AC$5,$E6&lt;AC$5+GanttPeriod),"◇","")),IF(AND(AC$5&lt;=$F6,AC$5+GanttPeriod-1&gt;=$E6),"━","")))</f>
        <v/>
      </c>
      <c r="AD6" s="69" t="str">
        <f aca="false">IF($E6="","",IF($M6,IF(AND($G6&gt;=AD$5,$G6&lt;AD$5+GanttPeriod),"◆",IF(AND($E6&gt;=AD$5,$E6&lt;AD$5+GanttPeriod),"◇","")),IF(AND(AD$5&lt;=$F6,AD$5+GanttPeriod-1&gt;=$E6),"━","")))</f>
        <v/>
      </c>
      <c r="AE6" s="69" t="str">
        <f aca="false">IF($E6="","",IF($M6,IF(AND($G6&gt;=AE$5,$G6&lt;AE$5+GanttPeriod),"◆",IF(AND($E6&gt;=AE$5,$E6&lt;AE$5+GanttPeriod),"◇","")),IF(AND(AE$5&lt;=$F6,AE$5+GanttPeriod-1&gt;=$E6),"━","")))</f>
        <v/>
      </c>
      <c r="AF6" s="69" t="str">
        <f aca="false">IF($E6="","",IF($M6,IF(AND($G6&gt;=AF$5,$G6&lt;AF$5+GanttPeriod),"◆",IF(AND($E6&gt;=AF$5,$E6&lt;AF$5+GanttPeriod),"◇","")),IF(AND(AF$5&lt;=$F6,AF$5+GanttPeriod-1&gt;=$E6),"━","")))</f>
        <v/>
      </c>
      <c r="AG6" s="69" t="str">
        <f aca="false">IF($E6="","",IF($M6,IF(AND($G6&gt;=AG$5,$G6&lt;AG$5+GanttPeriod),"◆",IF(AND($E6&gt;=AG$5,$E6&lt;AG$5+GanttPeriod),"◇","")),IF(AND(AG$5&lt;=$F6,AG$5+GanttPeriod-1&gt;=$E6),"━","")))</f>
        <v/>
      </c>
      <c r="AH6" s="69" t="str">
        <f aca="false">IF($E6="","",IF($M6,IF(AND($G6&gt;=AH$5,$G6&lt;AH$5+GanttPeriod),"◆",IF(AND($E6&gt;=AH$5,$E6&lt;AH$5+GanttPeriod),"◇","")),IF(AND(AH$5&lt;=$F6,AH$5+GanttPeriod-1&gt;=$E6),"━","")))</f>
        <v/>
      </c>
      <c r="AI6" s="69" t="str">
        <f aca="false">IF($E6="","",IF($M6,IF(AND($G6&gt;=AI$5,$G6&lt;AI$5+GanttPeriod),"◆",IF(AND($E6&gt;=AI$5,$E6&lt;AI$5+GanttPeriod),"◇","")),IF(AND(AI$5&lt;=$F6,AI$5+GanttPeriod-1&gt;=$E6),"━","")))</f>
        <v/>
      </c>
      <c r="AJ6" s="69" t="str">
        <f aca="false">IF($E6="","",IF($M6,IF(AND($G6&gt;=AJ$5,$G6&lt;AJ$5+GanttPeriod),"◆",IF(AND($E6&gt;=AJ$5,$E6&lt;AJ$5+GanttPeriod),"◇","")),IF(AND(AJ$5&lt;=$F6,AJ$5+GanttPeriod-1&gt;=$E6),"━","")))</f>
        <v/>
      </c>
      <c r="AK6" s="69" t="str">
        <f aca="false">IF($E6="","",IF($M6,IF(AND($G6&gt;=AK$5,$G6&lt;AK$5+GanttPeriod),"◆",IF(AND($E6&gt;=AK$5,$E6&lt;AK$5+GanttPeriod),"◇","")),IF(AND(AK$5&lt;=$F6,AK$5+GanttPeriod-1&gt;=$E6),"━","")))</f>
        <v/>
      </c>
      <c r="AL6" s="69" t="str">
        <f aca="false">IF($E6="","",IF($M6,IF(AND($G6&gt;=AL$5,$G6&lt;AL$5+GanttPeriod),"◆",IF(AND($E6&gt;=AL$5,$E6&lt;AL$5+GanttPeriod),"◇","")),IF(AND(AL$5&lt;=$F6,AL$5+GanttPeriod-1&gt;=$E6),"━","")))</f>
        <v/>
      </c>
      <c r="AM6" s="69" t="str">
        <f aca="false">IF($E6="","",IF($M6,IF(AND($G6&gt;=AM$5,$G6&lt;AM$5+GanttPeriod),"◆",IF(AND($E6&gt;=AM$5,$E6&lt;AM$5+GanttPeriod),"◇","")),IF(AND(AM$5&lt;=$F6,AM$5+GanttPeriod-1&gt;=$E6),"━","")))</f>
        <v/>
      </c>
      <c r="AN6" s="69" t="str">
        <f aca="false">IF($E6="","",IF($M6,IF(AND($G6&gt;=AN$5,$G6&lt;AN$5+GanttPeriod),"◆",IF(AND($E6&gt;=AN$5,$E6&lt;AN$5+GanttPeriod),"◇","")),IF(AND(AN$5&lt;=$F6,AN$5+GanttPeriod-1&gt;=$E6),"━","")))</f>
        <v/>
      </c>
      <c r="AO6" s="69" t="str">
        <f aca="false">IF($E6="","",IF($M6,IF(AND($G6&gt;=AO$5,$G6&lt;AO$5+GanttPeriod),"◆",IF(AND($E6&gt;=AO$5,$E6&lt;AO$5+GanttPeriod),"◇","")),IF(AND(AO$5&lt;=$F6,AO$5+GanttPeriod-1&gt;=$E6),"━","")))</f>
        <v/>
      </c>
      <c r="AP6" s="69" t="str">
        <f aca="false">IF($E6="","",IF($M6,IF(AND($G6&gt;=AP$5,$G6&lt;AP$5+GanttPeriod),"◆",IF(AND($E6&gt;=AP$5,$E6&lt;AP$5+GanttPeriod),"◇","")),IF(AND(AP$5&lt;=$F6,AP$5+GanttPeriod-1&gt;=$E6),"━","")))</f>
        <v/>
      </c>
      <c r="AQ6" s="69" t="str">
        <f aca="false">IF($E6="","",IF($M6,IF(AND($G6&gt;=AQ$5,$G6&lt;AQ$5+GanttPeriod),"◆",IF(AND($E6&gt;=AQ$5,$E6&lt;AQ$5+GanttPeriod),"◇","")),IF(AND(AQ$5&lt;=$F6,AQ$5+GanttPeriod-1&gt;=$E6),"━","")))</f>
        <v/>
      </c>
      <c r="AR6" s="69" t="str">
        <f aca="false">IF($E6="","",IF($M6,IF(AND($G6&gt;=AR$5,$G6&lt;AR$5+GanttPeriod),"◆",IF(AND($E6&gt;=AR$5,$E6&lt;AR$5+GanttPeriod),"◇","")),IF(AND(AR$5&lt;=$F6,AR$5+GanttPeriod-1&gt;=$E6),"━","")))</f>
        <v/>
      </c>
      <c r="AS6" s="69" t="str">
        <f aca="false">IF($E6="","",IF($M6,IF(AND($G6&gt;=AS$5,$G6&lt;AS$5+GanttPeriod),"◆",IF(AND($E6&gt;=AS$5,$E6&lt;AS$5+GanttPeriod),"◇","")),IF(AND(AS$5&lt;=$F6,AS$5+GanttPeriod-1&gt;=$E6),"━","")))</f>
        <v/>
      </c>
      <c r="AT6" s="69" t="str">
        <f aca="false">IF($E6="","",IF($M6,IF(AND($G6&gt;=AT$5,$G6&lt;AT$5+GanttPeriod),"◆",IF(AND($E6&gt;=AT$5,$E6&lt;AT$5+GanttPeriod),"◇","")),IF(AND(AT$5&lt;=$F6,AT$5+GanttPeriod-1&gt;=$E6),"━","")))</f>
        <v/>
      </c>
      <c r="AU6" s="69" t="str">
        <f aca="false">IF($E6="","",IF($M6,IF(AND($G6&gt;=AU$5,$G6&lt;AU$5+GanttPeriod),"◆",IF(AND($E6&gt;=AU$5,$E6&lt;AU$5+GanttPeriod),"◇","")),IF(AND(AU$5&lt;=$F6,AU$5+GanttPeriod-1&gt;=$E6),"━","")))</f>
        <v/>
      </c>
      <c r="AV6" s="69" t="str">
        <f aca="false">IF($E6="","",IF($M6,IF(AND($G6&gt;=AV$5,$G6&lt;AV$5+GanttPeriod),"◆",IF(AND($E6&gt;=AV$5,$E6&lt;AV$5+GanttPeriod),"◇","")),IF(AND(AV$5&lt;=$F6,AV$5+GanttPeriod-1&gt;=$E6),"━","")))</f>
        <v/>
      </c>
      <c r="AW6" s="69" t="str">
        <f aca="false">IF($E6="","",IF($M6,IF(AND($G6&gt;=AW$5,$G6&lt;AW$5+GanttPeriod),"◆",IF(AND($E6&gt;=AW$5,$E6&lt;AW$5+GanttPeriod),"◇","")),IF(AND(AW$5&lt;=$F6,AW$5+GanttPeriod-1&gt;=$E6),"━","")))</f>
        <v/>
      </c>
      <c r="AX6" s="69" t="str">
        <f aca="false">IF($E6="","",IF($M6,IF(AND($G6&gt;=AX$5,$G6&lt;AX$5+GanttPeriod),"◆",IF(AND($E6&gt;=AX$5,$E6&lt;AX$5+GanttPeriod),"◇","")),IF(AND(AX$5&lt;=$F6,AX$5+GanttPeriod-1&gt;=$E6),"━","")))</f>
        <v/>
      </c>
      <c r="AY6" s="69" t="str">
        <f aca="false">IF($E6="","",IF($M6,IF(AND($G6&gt;=AY$5,$G6&lt;AY$5+GanttPeriod),"◆",IF(AND($E6&gt;=AY$5,$E6&lt;AY$5+GanttPeriod),"◇","")),IF(AND(AY$5&lt;=$F6,AY$5+GanttPeriod-1&gt;=$E6),"━","")))</f>
        <v/>
      </c>
      <c r="AZ6" s="69" t="str">
        <f aca="false">IF($E6="","",IF($M6,IF(AND($G6&gt;=AZ$5,$G6&lt;AZ$5+GanttPeriod),"◆",IF(AND($E6&gt;=AZ$5,$E6&lt;AZ$5+GanttPeriod),"◇","")),IF(AND(AZ$5&lt;=$F6,AZ$5+GanttPeriod-1&gt;=$E6),"━","")))</f>
        <v/>
      </c>
      <c r="BA6" s="69" t="str">
        <f aca="false">IF($E6="","",IF($M6,IF(AND($G6&gt;=BA$5,$G6&lt;BA$5+GanttPeriod),"◆",IF(AND($E6&gt;=BA$5,$E6&lt;BA$5+GanttPeriod),"◇","")),IF(AND(BA$5&lt;=$F6,BA$5+GanttPeriod-1&gt;=$E6),"━","")))</f>
        <v/>
      </c>
      <c r="BB6" s="69" t="str">
        <f aca="false">IF($E6="","",IF($M6,IF(AND($G6&gt;=BB$5,$G6&lt;BB$5+GanttPeriod),"◆",IF(AND($E6&gt;=BB$5,$E6&lt;BB$5+GanttPeriod),"◇","")),IF(AND(BB$5&lt;=$F6,BB$5+GanttPeriod-1&gt;=$E6),"━","")))</f>
        <v/>
      </c>
      <c r="BC6" s="69" t="str">
        <f aca="false">IF($E6="","",IF($M6,IF(AND($G6&gt;=BC$5,$G6&lt;BC$5+GanttPeriod),"◆",IF(AND($E6&gt;=BC$5,$E6&lt;BC$5+GanttPeriod),"◇","")),IF(AND(BC$5&lt;=$F6,BC$5+GanttPeriod-1&gt;=$E6),"━","")))</f>
        <v/>
      </c>
      <c r="BD6" s="69" t="str">
        <f aca="false">IF($E6="","",IF($M6,IF(AND($G6&gt;=BD$5,$G6&lt;BD$5+GanttPeriod),"◆",IF(AND($E6&gt;=BD$5,$E6&lt;BD$5+GanttPeriod),"◇","")),IF(AND(BD$5&lt;=$F6,BD$5+GanttPeriod-1&gt;=$E6),"━","")))</f>
        <v/>
      </c>
      <c r="BE6" s="69" t="str">
        <f aca="false">IF($E6="","",IF($M6,IF(AND($G6&gt;=BE$5,$G6&lt;BE$5+GanttPeriod),"◆",IF(AND($E6&gt;=BE$5,$E6&lt;BE$5+GanttPeriod),"◇","")),IF(AND(BE$5&lt;=$F6,BE$5+GanttPeriod-1&gt;=$E6),"━","")))</f>
        <v/>
      </c>
      <c r="BF6" s="69" t="str">
        <f aca="false">IF($E6="","",IF($M6,IF(AND($G6&gt;=BF$5,$G6&lt;BF$5+GanttPeriod),"◆",IF(AND($E6&gt;=BF$5,$E6&lt;BF$5+GanttPeriod),"◇","")),IF(AND(BF$5&lt;=$F6,BF$5+GanttPeriod-1&gt;=$E6),"━","")))</f>
        <v/>
      </c>
      <c r="BG6" s="69" t="str">
        <f aca="false">IF($E6="","",IF($M6,IF(AND($G6&gt;=BG$5,$G6&lt;BG$5+GanttPeriod),"◆",IF(AND($E6&gt;=BG$5,$E6&lt;BG$5+GanttPeriod),"◇","")),IF(AND(BG$5&lt;=$F6,BG$5+GanttPeriod-1&gt;=$E6),"━","")))</f>
        <v/>
      </c>
      <c r="BH6" s="69" t="str">
        <f aca="false">IF($E6="","",IF($M6,IF(AND($G6&gt;=BH$5,$G6&lt;BH$5+GanttPeriod),"◆",IF(AND($E6&gt;=BH$5,$E6&lt;BH$5+GanttPeriod),"◇","")),IF(AND(BH$5&lt;=$F6,BH$5+GanttPeriod-1&gt;=$E6),"━","")))</f>
        <v/>
      </c>
      <c r="BI6" s="69" t="str">
        <f aca="false">IF($E6="","",IF($M6,IF(AND($G6&gt;=BI$5,$G6&lt;BI$5+GanttPeriod),"◆",IF(AND($E6&gt;=BI$5,$E6&lt;BI$5+GanttPeriod),"◇","")),IF(AND(BI$5&lt;=$F6,BI$5+GanttPeriod-1&gt;=$E6),"━","")))</f>
        <v/>
      </c>
      <c r="BJ6" s="69" t="str">
        <f aca="false">IF($E6="","",IF($M6,IF(AND($G6&gt;=BJ$5,$G6&lt;BJ$5+GanttPeriod),"◆",IF(AND($E6&gt;=BJ$5,$E6&lt;BJ$5+GanttPeriod),"◇","")),IF(AND(BJ$5&lt;=$F6,BJ$5+GanttPeriod-1&gt;=$E6),"━","")))</f>
        <v/>
      </c>
      <c r="BK6" s="69" t="str">
        <f aca="false">IF($E6="","",IF($M6,IF(AND($G6&gt;=BK$5,$G6&lt;BK$5+GanttPeriod),"◆",IF(AND($E6&gt;=BK$5,$E6&lt;BK$5+GanttPeriod),"◇","")),IF(AND(BK$5&lt;=$F6,BK$5+GanttPeriod-1&gt;=$E6),"━","")))</f>
        <v/>
      </c>
      <c r="BL6" s="69" t="str">
        <f aca="false">IF($E6="","",IF($M6,IF(AND($G6&gt;=BL$5,$G6&lt;BL$5+GanttPeriod),"◆",IF(AND($E6&gt;=BL$5,$E6&lt;BL$5+GanttPeriod),"◇","")),IF(AND(BL$5&lt;=$F6,BL$5+GanttPeriod-1&gt;=$E6),"━","")))</f>
        <v/>
      </c>
      <c r="BM6" s="69" t="str">
        <f aca="false">IF($E6="","",IF($M6,IF(AND($G6&gt;=BM$5,$G6&lt;BM$5+GanttPeriod),"◆",IF(AND($E6&gt;=BM$5,$E6&lt;BM$5+GanttPeriod),"◇","")),IF(AND(BM$5&lt;=$F6,BM$5+GanttPeriod-1&gt;=$E6),"━","")))</f>
        <v/>
      </c>
      <c r="BN6" s="69" t="str">
        <f aca="false">IF($E6="","",IF($M6,IF(AND($G6&gt;=BN$5,$G6&lt;BN$5+GanttPeriod),"◆",IF(AND($E6&gt;=BN$5,$E6&lt;BN$5+GanttPeriod),"◇","")),IF(AND(BN$5&lt;=$F6,BN$5+GanttPeriod-1&gt;=$E6),"━","")))</f>
        <v/>
      </c>
      <c r="BO6" s="69" t="str">
        <f aca="false">IF($E6="","",IF($M6,IF(AND($G6&gt;=BO$5,$G6&lt;BO$5+GanttPeriod),"◆",IF(AND($E6&gt;=BO$5,$E6&lt;BO$5+GanttPeriod),"◇","")),IF(AND(BO$5&lt;=$F6,BO$5+GanttPeriod-1&gt;=$E6),"━","")))</f>
        <v/>
      </c>
      <c r="BP6" s="69" t="str">
        <f aca="false">IF($E6="","",IF($M6,IF(AND($G6&gt;=BP$5,$G6&lt;BP$5+GanttPeriod),"◆",IF(AND($E6&gt;=BP$5,$E6&lt;BP$5+GanttPeriod),"◇","")),IF(AND(BP$5&lt;=$F6,BP$5+GanttPeriod-1&gt;=$E6),"━","")))</f>
        <v/>
      </c>
      <c r="BQ6" s="69" t="str">
        <f aca="false">IF($E6="","",IF($M6,IF(AND($G6&gt;=BQ$5,$G6&lt;BQ$5+GanttPeriod),"◆",IF(AND($E6&gt;=BQ$5,$E6&lt;BQ$5+GanttPeriod),"◇","")),IF(AND(BQ$5&lt;=$F6,BQ$5+GanttPeriod-1&gt;=$E6),"━","")))</f>
        <v/>
      </c>
      <c r="BR6" s="69" t="str">
        <f aca="false">IF($E6="","",IF($M6,IF(AND($G6&gt;=BR$5,$G6&lt;BR$5+GanttPeriod),"◆",IF(AND($E6&gt;=BR$5,$E6&lt;BR$5+GanttPeriod),"◇","")),IF(AND(BR$5&lt;=$F6,BR$5+GanttPeriod-1&gt;=$E6),"━","")))</f>
        <v/>
      </c>
      <c r="BS6" s="69" t="str">
        <f aca="false">IF($E6="","",IF($M6,IF(AND($G6&gt;=BS$5,$G6&lt;BS$5+GanttPeriod),"◆",IF(AND($E6&gt;=BS$5,$E6&lt;BS$5+GanttPeriod),"◇","")),IF(AND(BS$5&lt;=$F6,BS$5+GanttPeriod-1&gt;=$E6),"━","")))</f>
        <v/>
      </c>
      <c r="BT6" s="69" t="str">
        <f aca="false">IF($E6="","",IF($M6,IF(AND($G6&gt;=BT$5,$G6&lt;BT$5+GanttPeriod),"◆",IF(AND($E6&gt;=BT$5,$E6&lt;BT$5+GanttPeriod),"◇","")),IF(AND(BT$5&lt;=$F6,BT$5+GanttPeriod-1&gt;=$E6),"━","")))</f>
        <v/>
      </c>
      <c r="BU6" s="69" t="str">
        <f aca="false">IF($E6="","",IF($M6,IF(AND($G6&gt;=BU$5,$G6&lt;BU$5+GanttPeriod),"◆",IF(AND($E6&gt;=BU$5,$E6&lt;BU$5+GanttPeriod),"◇","")),IF(AND(BU$5&lt;=$F6,BU$5+GanttPeriod-1&gt;=$E6),"━","")))</f>
        <v/>
      </c>
      <c r="BV6" s="69" t="str">
        <f aca="false">IF($E6="","",IF($M6,IF(AND($G6&gt;=BV$5,$G6&lt;BV$5+GanttPeriod),"◆",IF(AND($E6&gt;=BV$5,$E6&lt;BV$5+GanttPeriod),"◇","")),IF(AND(BV$5&lt;=$F6,BV$5+GanttPeriod-1&gt;=$E6),"━","")))</f>
        <v/>
      </c>
      <c r="BW6" s="69" t="str">
        <f aca="false">IF($E6="","",IF($M6,IF(AND($G6&gt;=BW$5,$G6&lt;BW$5+GanttPeriod),"◆",IF(AND($E6&gt;=BW$5,$E6&lt;BW$5+GanttPeriod),"◇","")),IF(AND(BW$5&lt;=$F6,BW$5+GanttPeriod-1&gt;=$E6),"━","")))</f>
        <v/>
      </c>
      <c r="BX6" s="69" t="str">
        <f aca="false">IF($E6="","",IF($M6,IF(AND($G6&gt;=BX$5,$G6&lt;BX$5+GanttPeriod),"◆",IF(AND($E6&gt;=BX$5,$E6&lt;BX$5+GanttPeriod),"◇","")),IF(AND(BX$5&lt;=$F6,BX$5+GanttPeriod-1&gt;=$E6),"━","")))</f>
        <v/>
      </c>
      <c r="BY6" s="69" t="str">
        <f aca="false">IF($E6="","",IF($M6,IF(AND($G6&gt;=BY$5,$G6&lt;BY$5+GanttPeriod),"◆",IF(AND($E6&gt;=BY$5,$E6&lt;BY$5+GanttPeriod),"◇","")),IF(AND(BY$5&lt;=$F6,BY$5+GanttPeriod-1&gt;=$E6),"━","")))</f>
        <v/>
      </c>
      <c r="BZ6" s="69" t="str">
        <f aca="false">IF($E6="","",IF($M6,IF(AND($G6&gt;=BZ$5,$G6&lt;BZ$5+GanttPeriod),"◆",IF(AND($E6&gt;=BZ$5,$E6&lt;BZ$5+GanttPeriod),"◇","")),IF(AND(BZ$5&lt;=$F6,BZ$5+GanttPeriod-1&gt;=$E6),"━","")))</f>
        <v/>
      </c>
      <c r="CA6" s="69" t="str">
        <f aca="false">IF($E6="","",IF($M6,IF(AND($G6&gt;=CA$5,$G6&lt;CA$5+GanttPeriod),"◆",IF(AND($E6&gt;=CA$5,$E6&lt;CA$5+GanttPeriod),"◇","")),IF(AND(CA$5&lt;=$F6,CA$5+GanttPeriod-1&gt;=$E6),"━","")))</f>
        <v/>
      </c>
      <c r="CB6" s="69" t="str">
        <f aca="false">IF($E6="","",IF($M6,IF(AND($G6&gt;=CB$5,$G6&lt;CB$5+GanttPeriod),"◆",IF(AND($E6&gt;=CB$5,$E6&lt;CB$5+GanttPeriod),"◇","")),IF(AND(CB$5&lt;=$F6,CB$5+GanttPeriod-1&gt;=$E6),"━","")))</f>
        <v/>
      </c>
      <c r="CC6" s="69" t="str">
        <f aca="false">IF($E6="","",IF($M6,IF(AND($G6&gt;=CC$5,$G6&lt;CC$5+GanttPeriod),"◆",IF(AND($E6&gt;=CC$5,$E6&lt;CC$5+GanttPeriod),"◇","")),IF(AND(CC$5&lt;=$F6,CC$5+GanttPeriod-1&gt;=$E6),"━","")))</f>
        <v/>
      </c>
      <c r="CD6" s="69" t="str">
        <f aca="false">IF($E6="","",IF($M6,IF(AND($G6&gt;=CD$5,$G6&lt;CD$5+GanttPeriod),"◆",IF(AND($E6&gt;=CD$5,$E6&lt;CD$5+GanttPeriod),"◇","")),IF(AND(CD$5&lt;=$F6,CD$5+GanttPeriod-1&gt;=$E6),"━","")))</f>
        <v/>
      </c>
      <c r="CE6" s="69" t="str">
        <f aca="false">IF($E6="","",IF($M6,IF(AND($G6&gt;=CE$5,$G6&lt;CE$5+GanttPeriod),"◆",IF(AND($E6&gt;=CE$5,$E6&lt;CE$5+GanttPeriod),"◇","")),IF(AND(CE$5&lt;=$F6,CE$5+GanttPeriod-1&gt;=$E6),"━","")))</f>
        <v/>
      </c>
      <c r="CF6" s="69" t="str">
        <f aca="false">IF($E6="","",IF($M6,IF(AND($G6&gt;=CF$5,$G6&lt;CF$5+GanttPeriod),"◆",IF(AND($E6&gt;=CF$5,$E6&lt;CF$5+GanttPeriod),"◇","")),IF(AND(CF$5&lt;=$F6,CF$5+GanttPeriod-1&gt;=$E6),"━","")))</f>
        <v/>
      </c>
      <c r="CG6" s="69" t="str">
        <f aca="false">IF($E6="","",IF($M6,IF(AND($G6&gt;=CG$5,$G6&lt;CG$5+GanttPeriod),"◆",IF(AND($E6&gt;=CG$5,$E6&lt;CG$5+GanttPeriod),"◇","")),IF(AND(CG$5&lt;=$F6,CG$5+GanttPeriod-1&gt;=$E6),"━","")))</f>
        <v/>
      </c>
      <c r="CH6" s="69" t="str">
        <f aca="false">IF($E6="","",IF($M6,IF(AND($G6&gt;=CH$5,$G6&lt;CH$5+GanttPeriod),"◆",IF(AND($E6&gt;=CH$5,$E6&lt;CH$5+GanttPeriod),"◇","")),IF(AND(CH$5&lt;=$F6,CH$5+GanttPeriod-1&gt;=$E6),"━","")))</f>
        <v/>
      </c>
      <c r="CI6" s="69" t="str">
        <f aca="false">IF($E6="","",IF($M6,IF(AND($G6&gt;=CI$5,$G6&lt;CI$5+GanttPeriod),"◆",IF(AND($E6&gt;=CI$5,$E6&lt;CI$5+GanttPeriod),"◇","")),IF(AND(CI$5&lt;=$F6,CI$5+GanttPeriod-1&gt;=$E6),"━","")))</f>
        <v/>
      </c>
      <c r="CJ6" s="69" t="str">
        <f aca="false">IF($E6="","",IF($M6,IF(AND($G6&gt;=CJ$5,$G6&lt;CJ$5+GanttPeriod),"◆",IF(AND($E6&gt;=CJ$5,$E6&lt;CJ$5+GanttPeriod),"◇","")),IF(AND(CJ$5&lt;=$F6,CJ$5+GanttPeriod-1&gt;=$E6),"━","")))</f>
        <v/>
      </c>
      <c r="CK6" s="69" t="str">
        <f aca="false">IF($E6="","",IF($M6,IF(AND($G6&gt;=CK$5,$G6&lt;CK$5+GanttPeriod),"◆",IF(AND($E6&gt;=CK$5,$E6&lt;CK$5+GanttPeriod),"◇","")),IF(AND(CK$5&lt;=$F6,CK$5+GanttPeriod-1&gt;=$E6),"━","")))</f>
        <v/>
      </c>
      <c r="CL6" s="69" t="str">
        <f aca="false">IF($E6="","",IF($M6,IF(AND($G6&gt;=CL$5,$G6&lt;CL$5+GanttPeriod),"◆",IF(AND($E6&gt;=CL$5,$E6&lt;CL$5+GanttPeriod),"◇","")),IF(AND(CL$5&lt;=$F6,CL$5+GanttPeriod-1&gt;=$E6),"━","")))</f>
        <v/>
      </c>
      <c r="CM6" s="69" t="str">
        <f aca="false">IF($E6="","",IF($M6,IF(AND($G6&gt;=CM$5,$G6&lt;CM$5+GanttPeriod),"◆",IF(AND($E6&gt;=CM$5,$E6&lt;CM$5+GanttPeriod),"◇","")),IF(AND(CM$5&lt;=$F6,CM$5+GanttPeriod-1&gt;=$E6),"━","")))</f>
        <v/>
      </c>
      <c r="CN6" s="69" t="str">
        <f aca="false">IF($E6="","",IF($M6,IF(AND($G6&gt;=CN$5,$G6&lt;CN$5+GanttPeriod),"◆",IF(AND($E6&gt;=CN$5,$E6&lt;CN$5+GanttPeriod),"◇","")),IF(AND(CN$5&lt;=$F6,CN$5+GanttPeriod-1&gt;=$E6),"━","")))</f>
        <v/>
      </c>
      <c r="CO6" s="69" t="str">
        <f aca="false">IF($E6="","",IF($M6,IF(AND($G6&gt;=CO$5,$G6&lt;CO$5+GanttPeriod),"◆",IF(AND($E6&gt;=CO$5,$E6&lt;CO$5+GanttPeriod),"◇","")),IF(AND(CO$5&lt;=$F6,CO$5+GanttPeriod-1&gt;=$E6),"━","")))</f>
        <v/>
      </c>
      <c r="CP6" s="69" t="str">
        <f aca="false">IF($E6="","",IF($M6,IF(AND($G6&gt;=CP$5,$G6&lt;CP$5+GanttPeriod),"◆",IF(AND($E6&gt;=CP$5,$E6&lt;CP$5+GanttPeriod),"◇","")),IF(AND(CP$5&lt;=$F6,CP$5+GanttPeriod-1&gt;=$E6),"━","")))</f>
        <v/>
      </c>
      <c r="CQ6" s="69" t="str">
        <f aca="false">IF($E6="","",IF($M6,IF(AND($G6&gt;=CQ$5,$G6&lt;CQ$5+GanttPeriod),"◆",IF(AND($E6&gt;=CQ$5,$E6&lt;CQ$5+GanttPeriod),"◇","")),IF(AND(CQ$5&lt;=$F6,CQ$5+GanttPeriod-1&gt;=$E6),"━","")))</f>
        <v/>
      </c>
      <c r="CR6" s="69" t="str">
        <f aca="false">IF($E6="","",IF($M6,IF(AND($G6&gt;=CR$5,$G6&lt;CR$5+GanttPeriod),"◆",IF(AND($E6&gt;=CR$5,$E6&lt;CR$5+GanttPeriod),"◇","")),IF(AND(CR$5&lt;=$F6,CR$5+GanttPeriod-1&gt;=$E6),"━","")))</f>
        <v/>
      </c>
      <c r="CS6" s="69" t="str">
        <f aca="false">IF($E6="","",IF($M6,IF(AND($G6&gt;=CS$5,$G6&lt;CS$5+GanttPeriod),"◆",IF(AND($E6&gt;=CS$5,$E6&lt;CS$5+GanttPeriod),"◇","")),IF(AND(CS$5&lt;=$F6,CS$5+GanttPeriod-1&gt;=$E6),"━","")))</f>
        <v/>
      </c>
      <c r="CT6" s="69" t="str">
        <f aca="false">IF($E6="","",IF($M6,IF(AND($G6&gt;=CT$5,$G6&lt;CT$5+GanttPeriod),"◆",IF(AND($E6&gt;=CT$5,$E6&lt;CT$5+GanttPeriod),"◇","")),IF(AND(CT$5&lt;=$F6,CT$5+GanttPeriod-1&gt;=$E6),"━","")))</f>
        <v/>
      </c>
      <c r="CU6" s="69" t="str">
        <f aca="false">IF($E6="","",IF($M6,IF(AND($G6&gt;=CU$5,$G6&lt;CU$5+GanttPeriod),"◆",IF(AND($E6&gt;=CU$5,$E6&lt;CU$5+GanttPeriod),"◇","")),IF(AND(CU$5&lt;=$F6,CU$5+GanttPeriod-1&gt;=$E6),"━","")))</f>
        <v/>
      </c>
      <c r="CV6" s="69" t="str">
        <f aca="false">IF($E6="","",IF($M6,IF(AND($G6&gt;=CV$5,$G6&lt;CV$5+GanttPeriod),"◆",IF(AND($E6&gt;=CV$5,$E6&lt;CV$5+GanttPeriod),"◇","")),IF(AND(CV$5&lt;=$F6,CV$5+GanttPeriod-1&gt;=$E6),"━","")))</f>
        <v/>
      </c>
      <c r="CW6" s="69" t="str">
        <f aca="false">IF($E6="","",IF($M6,IF(AND($G6&gt;=CW$5,$G6&lt;CW$5+GanttPeriod),"◆",IF(AND($E6&gt;=CW$5,$E6&lt;CW$5+GanttPeriod),"◇","")),IF(AND(CW$5&lt;=$F6,CW$5+GanttPeriod-1&gt;=$E6),"━","")))</f>
        <v/>
      </c>
      <c r="CX6" s="69" t="str">
        <f aca="false">IF($E6="","",IF($M6,IF(AND($G6&gt;=CX$5,$G6&lt;CX$5+GanttPeriod),"◆",IF(AND($E6&gt;=CX$5,$E6&lt;CX$5+GanttPeriod),"◇","")),IF(AND(CX$5&lt;=$F6,CX$5+GanttPeriod-1&gt;=$E6),"━","")))</f>
        <v/>
      </c>
      <c r="CY6" s="69" t="str">
        <f aca="false">IF($E6="","",IF($M6,IF(AND($G6&gt;=CY$5,$G6&lt;CY$5+GanttPeriod),"◆",IF(AND($E6&gt;=CY$5,$E6&lt;CY$5+GanttPeriod),"◇","")),IF(AND(CY$5&lt;=$F6,CY$5+GanttPeriod-1&gt;=$E6),"━","")))</f>
        <v/>
      </c>
      <c r="CZ6" s="69" t="str">
        <f aca="false">IF($E6="","",IF($M6,IF(AND($G6&gt;=CZ$5,$G6&lt;CZ$5+GanttPeriod),"◆",IF(AND($E6&gt;=CZ$5,$E6&lt;CZ$5+GanttPeriod),"◇","")),IF(AND(CZ$5&lt;=$F6,CZ$5+GanttPeriod-1&gt;=$E6),"━","")))</f>
        <v/>
      </c>
      <c r="DA6" s="69" t="str">
        <f aca="false">IF($E6="","",IF($M6,IF(AND($G6&gt;=DA$5,$G6&lt;DA$5+GanttPeriod),"◆",IF(AND($E6&gt;=DA$5,$E6&lt;DA$5+GanttPeriod),"◇","")),IF(AND(DA$5&lt;=$F6,DA$5+GanttPeriod-1&gt;=$E6),"━","")))</f>
        <v/>
      </c>
      <c r="DB6" s="69" t="str">
        <f aca="false">IF($E6="","",IF($M6,IF(AND($G6&gt;=DB$5,$G6&lt;DB$5+GanttPeriod),"◆",IF(AND($E6&gt;=DB$5,$E6&lt;DB$5+GanttPeriod),"◇","")),IF(AND(DB$5&lt;=$F6,DB$5+GanttPeriod-1&gt;=$E6),"━","")))</f>
        <v/>
      </c>
      <c r="DC6" s="69" t="str">
        <f aca="false">IF($E6="","",IF($M6,IF(AND($G6&gt;=DC$5,$G6&lt;DC$5+GanttPeriod),"◆",IF(AND($E6&gt;=DC$5,$E6&lt;DC$5+GanttPeriod),"◇","")),IF(AND(DC$5&lt;=$F6,DC$5+GanttPeriod-1&gt;=$E6),"━","")))</f>
        <v/>
      </c>
      <c r="DD6" s="69" t="str">
        <f aca="false">IF($E6="","",IF($M6,IF(AND($G6&gt;=DD$5,$G6&lt;DD$5+GanttPeriod),"◆",IF(AND($E6&gt;=DD$5,$E6&lt;DD$5+GanttPeriod),"◇","")),IF(AND(DD$5&lt;=$F6,DD$5+GanttPeriod-1&gt;=$E6),"━","")))</f>
        <v/>
      </c>
      <c r="DE6" s="69" t="str">
        <f aca="false">IF($E6="","",IF($M6,IF(AND($G6&gt;=DE$5,$G6&lt;DE$5+GanttPeriod),"◆",IF(AND($E6&gt;=DE$5,$E6&lt;DE$5+GanttPeriod),"◇","")),IF(AND(DE$5&lt;=$F6,DE$5+GanttPeriod-1&gt;=$E6),"━","")))</f>
        <v/>
      </c>
      <c r="DF6" s="69" t="str">
        <f aca="false">IF($E6="","",IF($M6,IF(AND($G6&gt;=DF$5,$G6&lt;DF$5+GanttPeriod),"◆",IF(AND($E6&gt;=DF$5,$E6&lt;DF$5+GanttPeriod),"◇","")),IF(AND(DF$5&lt;=$F6,DF$5+GanttPeriod-1&gt;=$E6),"━","")))</f>
        <v/>
      </c>
      <c r="DG6" s="69" t="str">
        <f aca="false">IF($E6="","",IF($M6,IF(AND($G6&gt;=DG$5,$G6&lt;DG$5+GanttPeriod),"◆",IF(AND($E6&gt;=DG$5,$E6&lt;DG$5+GanttPeriod),"◇","")),IF(AND(DG$5&lt;=$F6,DG$5+GanttPeriod-1&gt;=$E6),"━","")))</f>
        <v/>
      </c>
      <c r="DH6" s="69" t="str">
        <f aca="false">IF($E6="","",IF($M6,IF(AND($G6&gt;=DH$5,$G6&lt;DH$5+GanttPeriod),"◆",IF(AND($E6&gt;=DH$5,$E6&lt;DH$5+GanttPeriod),"◇","")),IF(AND(DH$5&lt;=$F6,DH$5+GanttPeriod-1&gt;=$E6),"━","")))</f>
        <v/>
      </c>
      <c r="DI6" s="69" t="str">
        <f aca="false">IF($E6="","",IF($M6,IF(AND($G6&gt;=DI$5,$G6&lt;DI$5+GanttPeriod),"◆",IF(AND($E6&gt;=DI$5,$E6&lt;DI$5+GanttPeriod),"◇","")),IF(AND(DI$5&lt;=$F6,DI$5+GanttPeriod-1&gt;=$E6),"━","")))</f>
        <v/>
      </c>
      <c r="DJ6" s="69" t="str">
        <f aca="false">IF($E6="","",IF($M6,IF(AND($G6&gt;=DJ$5,$G6&lt;DJ$5+GanttPeriod),"◆",IF(AND($E6&gt;=DJ$5,$E6&lt;DJ$5+GanttPeriod),"◇","")),IF(AND(DJ$5&lt;=$F6,DJ$5+GanttPeriod-1&gt;=$E6),"━","")))</f>
        <v/>
      </c>
      <c r="DK6" s="69" t="str">
        <f aca="false">IF($E6="","",IF($M6,IF(AND($G6&gt;=DK$5,$G6&lt;DK$5+GanttPeriod),"◆",IF(AND($E6&gt;=DK$5,$E6&lt;DK$5+GanttPeriod),"◇","")),IF(AND(DK$5&lt;=$F6,DK$5+GanttPeriod-1&gt;=$E6),"━","")))</f>
        <v/>
      </c>
      <c r="DL6" s="69" t="str">
        <f aca="false">IF($E6="","",IF($M6,IF(AND($G6&gt;=DL$5,$G6&lt;DL$5+GanttPeriod),"◆",IF(AND($E6&gt;=DL$5,$E6&lt;DL$5+GanttPeriod),"◇","")),IF(AND(DL$5&lt;=$F6,DL$5+GanttPeriod-1&gt;=$E6),"━","")))</f>
        <v/>
      </c>
      <c r="DM6" s="69" t="str">
        <f aca="false">IF($E6="","",IF($M6,IF(AND($G6&gt;=DM$5,$G6&lt;DM$5+GanttPeriod),"◆",IF(AND($E6&gt;=DM$5,$E6&lt;DM$5+GanttPeriod),"◇","")),IF(AND(DM$5&lt;=$F6,DM$5+GanttPeriod-1&gt;=$E6),"━","")))</f>
        <v/>
      </c>
      <c r="DN6" s="69" t="str">
        <f aca="false">IF($E6="","",IF($M6,IF(AND($G6&gt;=DN$5,$G6&lt;DN$5+GanttPeriod),"◆",IF(AND($E6&gt;=DN$5,$E6&lt;DN$5+GanttPeriod),"◇","")),IF(AND(DN$5&lt;=$F6,DN$5+GanttPeriod-1&gt;=$E6),"━","")))</f>
        <v/>
      </c>
      <c r="DO6" s="69" t="str">
        <f aca="false">IF($E6="","",IF($M6,IF(AND($G6&gt;=DO$5,$G6&lt;DO$5+GanttPeriod),"◆",IF(AND($E6&gt;=DO$5,$E6&lt;DO$5+GanttPeriod),"◇","")),IF(AND(DO$5&lt;=$F6,DO$5+GanttPeriod-1&gt;=$E6),"━","")))</f>
        <v/>
      </c>
      <c r="DP6" s="69" t="str">
        <f aca="false">IF($E6="","",IF($M6,IF(AND($G6&gt;=DP$5,$G6&lt;DP$5+GanttPeriod),"◆",IF(AND($E6&gt;=DP$5,$E6&lt;DP$5+GanttPeriod),"◇","")),IF(AND(DP$5&lt;=$F6,DP$5+GanttPeriod-1&gt;=$E6),"━","")))</f>
        <v/>
      </c>
      <c r="DQ6" s="69" t="str">
        <f aca="false">IF($E6="","",IF($M6,IF(AND($G6&gt;=DQ$5,$G6&lt;DQ$5+GanttPeriod),"◆",IF(AND($E6&gt;=DQ$5,$E6&lt;DQ$5+GanttPeriod),"◇","")),IF(AND(DQ$5&lt;=$F6,DQ$5+GanttPeriod-1&gt;=$E6),"━","")))</f>
        <v/>
      </c>
      <c r="DR6" s="69" t="str">
        <f aca="false">IF($E6="","",IF($M6,IF(AND($G6&gt;=DR$5,$G6&lt;DR$5+GanttPeriod),"◆",IF(AND($E6&gt;=DR$5,$E6&lt;DR$5+GanttPeriod),"◇","")),IF(AND(DR$5&lt;=$F6,DR$5+GanttPeriod-1&gt;=$E6),"━","")))</f>
        <v/>
      </c>
      <c r="DS6" s="69" t="str">
        <f aca="false">IF($E6="","",IF($M6,IF(AND($G6&gt;=DS$5,$G6&lt;DS$5+GanttPeriod),"◆",IF(AND($E6&gt;=DS$5,$E6&lt;DS$5+GanttPeriod),"◇","")),IF(AND(DS$5&lt;=$F6,DS$5+GanttPeriod-1&gt;=$E6),"━","")))</f>
        <v/>
      </c>
      <c r="DT6" s="69" t="str">
        <f aca="false">IF($E6="","",IF($M6,IF(AND($G6&gt;=DT$5,$G6&lt;DT$5+GanttPeriod),"◆",IF(AND($E6&gt;=DT$5,$E6&lt;DT$5+GanttPeriod),"◇","")),IF(AND(DT$5&lt;=$F6,DT$5+GanttPeriod-1&gt;=$E6),"━","")))</f>
        <v/>
      </c>
      <c r="DU6" s="69" t="str">
        <f aca="false">IF($E6="","",IF($M6,IF(AND($G6&gt;=DU$5,$G6&lt;DU$5+GanttPeriod),"◆",IF(AND($E6&gt;=DU$5,$E6&lt;DU$5+GanttPeriod),"◇","")),IF(AND(DU$5&lt;=$F6,DU$5+GanttPeriod-1&gt;=$E6),"━","")))</f>
        <v/>
      </c>
      <c r="DV6" s="69" t="str">
        <f aca="false">IF($E6="","",IF($M6,IF(AND($G6&gt;=DV$5,$G6&lt;DV$5+GanttPeriod),"◆",IF(AND($E6&gt;=DV$5,$E6&lt;DV$5+GanttPeriod),"◇","")),IF(AND(DV$5&lt;=$F6,DV$5+GanttPeriod-1&gt;=$E6),"━","")))</f>
        <v/>
      </c>
      <c r="DW6" s="69" t="str">
        <f aca="false">IF($E6="","",IF($M6,IF(AND($G6&gt;=DW$5,$G6&lt;DW$5+GanttPeriod),"◆",IF(AND($E6&gt;=DW$5,$E6&lt;DW$5+GanttPeriod),"◇","")),IF(AND(DW$5&lt;=$F6,DW$5+GanttPeriod-1&gt;=$E6),"━","")))</f>
        <v/>
      </c>
      <c r="DX6" s="69" t="str">
        <f aca="false">IF($E6="","",IF($M6,IF(AND($G6&gt;=DX$5,$G6&lt;DX$5+GanttPeriod),"◆",IF(AND($E6&gt;=DX$5,$E6&lt;DX$5+GanttPeriod),"◇","")),IF(AND(DX$5&lt;=$F6,DX$5+GanttPeriod-1&gt;=$E6),"━","")))</f>
        <v/>
      </c>
      <c r="DY6" s="69" t="str">
        <f aca="false">IF($E6="","",IF($M6,IF(AND($G6&gt;=DY$5,$G6&lt;DY$5+GanttPeriod),"◆",IF(AND($E6&gt;=DY$5,$E6&lt;DY$5+GanttPeriod),"◇","")),IF(AND(DY$5&lt;=$F6,DY$5+GanttPeriod-1&gt;=$E6),"━","")))</f>
        <v/>
      </c>
      <c r="DZ6" s="69" t="str">
        <f aca="false">IF($E6="","",IF($M6,IF(AND($G6&gt;=DZ$5,$G6&lt;DZ$5+GanttPeriod),"◆",IF(AND($E6&gt;=DZ$5,$E6&lt;DZ$5+GanttPeriod),"◇","")),IF(AND(DZ$5&lt;=$F6,DZ$5+GanttPeriod-1&gt;=$E6),"━","")))</f>
        <v/>
      </c>
      <c r="EA6" s="69" t="str">
        <f aca="false">IF($E6="","",IF($M6,IF(AND($G6&gt;=EA$5,$G6&lt;EA$5+GanttPeriod),"◆",IF(AND($E6&gt;=EA$5,$E6&lt;EA$5+GanttPeriod),"◇","")),IF(AND(EA$5&lt;=$F6,EA$5+GanttPeriod-1&gt;=$E6),"━","")))</f>
        <v/>
      </c>
      <c r="EB6" s="69" t="str">
        <f aca="false">IF($E6="","",IF($M6,IF(AND($G6&gt;=EB$5,$G6&lt;EB$5+GanttPeriod),"◆",IF(AND($E6&gt;=EB$5,$E6&lt;EB$5+GanttPeriod),"◇","")),IF(AND(EB$5&lt;=$F6,EB$5+GanttPeriod-1&gt;=$E6),"━","")))</f>
        <v/>
      </c>
      <c r="EC6" s="69" t="str">
        <f aca="false">IF($E6="","",IF($M6,IF(AND($G6&gt;=EC$5,$G6&lt;EC$5+GanttPeriod),"◆",IF(AND($E6&gt;=EC$5,$E6&lt;EC$5+GanttPeriod),"◇","")),IF(AND(EC$5&lt;=$F6,EC$5+GanttPeriod-1&gt;=$E6),"━","")))</f>
        <v/>
      </c>
      <c r="ED6" s="69" t="str">
        <f aca="false">IF($E6="","",IF($M6,IF(AND($G6&gt;=ED$5,$G6&lt;ED$5+GanttPeriod),"◆",IF(AND($E6&gt;=ED$5,$E6&lt;ED$5+GanttPeriod),"◇","")),IF(AND(ED$5&lt;=$F6,ED$5+GanttPeriod-1&gt;=$E6),"━","")))</f>
        <v/>
      </c>
      <c r="EE6" s="69" t="str">
        <f aca="false">IF($E6="","",IF($M6,IF(AND($G6&gt;=EE$5,$G6&lt;EE$5+GanttPeriod),"◆",IF(AND($E6&gt;=EE$5,$E6&lt;EE$5+GanttPeriod),"◇","")),IF(AND(EE$5&lt;=$F6,EE$5+GanttPeriod-1&gt;=$E6),"━","")))</f>
        <v/>
      </c>
      <c r="EF6" s="69" t="str">
        <f aca="false">IF($E6="","",IF($M6,IF(AND($G6&gt;=EF$5,$G6&lt;EF$5+GanttPeriod),"◆",IF(AND($E6&gt;=EF$5,$E6&lt;EF$5+GanttPeriod),"◇","")),IF(AND(EF$5&lt;=$F6,EF$5+GanttPeriod-1&gt;=$E6),"━","")))</f>
        <v/>
      </c>
      <c r="EG6" s="69" t="str">
        <f aca="false">IF($E6="","",IF($M6,IF(AND($G6&gt;=EG$5,$G6&lt;EG$5+GanttPeriod),"◆",IF(AND($E6&gt;=EG$5,$E6&lt;EG$5+GanttPeriod),"◇","")),IF(AND(EG$5&lt;=$F6,EG$5+GanttPeriod-1&gt;=$E6),"━","")))</f>
        <v/>
      </c>
      <c r="EH6" s="69" t="str">
        <f aca="false">IF($E6="","",IF($M6,IF(AND($G6&gt;=EH$5,$G6&lt;EH$5+GanttPeriod),"◆",IF(AND($E6&gt;=EH$5,$E6&lt;EH$5+GanttPeriod),"◇","")),IF(AND(EH$5&lt;=$F6,EH$5+GanttPeriod-1&gt;=$E6),"━","")))</f>
        <v/>
      </c>
      <c r="EI6" s="69" t="str">
        <f aca="false">IF($E6="","",IF($M6,IF(AND($G6&gt;=EI$5,$G6&lt;EI$5+GanttPeriod),"◆",IF(AND($E6&gt;=EI$5,$E6&lt;EI$5+GanttPeriod),"◇","")),IF(AND(EI$5&lt;=$F6,EI$5+GanttPeriod-1&gt;=$E6),"━","")))</f>
        <v/>
      </c>
      <c r="EJ6" s="69" t="str">
        <f aca="false">IF($E6="","",IF($M6,IF(AND($G6&gt;=EJ$5,$G6&lt;EJ$5+GanttPeriod),"◆",IF(AND($E6&gt;=EJ$5,$E6&lt;EJ$5+GanttPeriod),"◇","")),IF(AND(EJ$5&lt;=$F6,EJ$5+GanttPeriod-1&gt;=$E6),"━","")))</f>
        <v/>
      </c>
      <c r="EK6" s="69" t="str">
        <f aca="false">IF($E6="","",IF($M6,IF(AND($G6&gt;=EK$5,$G6&lt;EK$5+GanttPeriod),"◆",IF(AND($E6&gt;=EK$5,$E6&lt;EK$5+GanttPeriod),"◇","")),IF(AND(EK$5&lt;=$F6,EK$5+GanttPeriod-1&gt;=$E6),"━","")))</f>
        <v/>
      </c>
      <c r="EL6" s="69" t="str">
        <f aca="false">IF($E6="","",IF($M6,IF(AND($G6&gt;=EL$5,$G6&lt;EL$5+GanttPeriod),"◆",IF(AND($E6&gt;=EL$5,$E6&lt;EL$5+GanttPeriod),"◇","")),IF(AND(EL$5&lt;=$F6,EL$5+GanttPeriod-1&gt;=$E6),"━","")))</f>
        <v/>
      </c>
      <c r="EM6" s="69" t="str">
        <f aca="false">IF($E6="","",IF($M6,IF(AND($G6&gt;=EM$5,$G6&lt;EM$5+GanttPeriod),"◆",IF(AND($E6&gt;=EM$5,$E6&lt;EM$5+GanttPeriod),"◇","")),IF(AND(EM$5&lt;=$F6,EM$5+GanttPeriod-1&gt;=$E6),"━","")))</f>
        <v/>
      </c>
      <c r="EN6" s="69" t="str">
        <f aca="false">IF($E6="","",IF($M6,IF(AND($G6&gt;=EN$5,$G6&lt;EN$5+GanttPeriod),"◆",IF(AND($E6&gt;=EN$5,$E6&lt;EN$5+GanttPeriod),"◇","")),IF(AND(EN$5&lt;=$F6,EN$5+GanttPeriod-1&gt;=$E6),"━","")))</f>
        <v/>
      </c>
      <c r="EO6" s="69" t="str">
        <f aca="false">IF($E6="","",IF($M6,IF(AND($G6&gt;=EO$5,$G6&lt;EO$5+GanttPeriod),"◆",IF(AND($E6&gt;=EO$5,$E6&lt;EO$5+GanttPeriod),"◇","")),IF(AND(EO$5&lt;=$F6,EO$5+GanttPeriod-1&gt;=$E6),"━","")))</f>
        <v/>
      </c>
      <c r="EP6" s="69" t="str">
        <f aca="false">IF($E6="","",IF($M6,IF(AND($G6&gt;=EP$5,$G6&lt;EP$5+GanttPeriod),"◆",IF(AND($E6&gt;=EP$5,$E6&lt;EP$5+GanttPeriod),"◇","")),IF(AND(EP$5&lt;=$F6,EP$5+GanttPeriod-1&gt;=$E6),"━","")))</f>
        <v/>
      </c>
      <c r="EQ6" s="69" t="str">
        <f aca="false">IF($E6="","",IF($M6,IF(AND($G6&gt;=EQ$5,$G6&lt;EQ$5+GanttPeriod),"◆",IF(AND($E6&gt;=EQ$5,$E6&lt;EQ$5+GanttPeriod),"◇","")),IF(AND(EQ$5&lt;=$F6,EQ$5+GanttPeriod-1&gt;=$E6),"━","")))</f>
        <v/>
      </c>
      <c r="ER6" s="69" t="str">
        <f aca="false">IF($E6="","",IF($M6,IF(AND($G6&gt;=ER$5,$G6&lt;ER$5+GanttPeriod),"◆",IF(AND($E6&gt;=ER$5,$E6&lt;ER$5+GanttPeriod),"◇","")),IF(AND(ER$5&lt;=$F6,ER$5+GanttPeriod-1&gt;=$E6),"━","")))</f>
        <v/>
      </c>
      <c r="ES6" s="69" t="str">
        <f aca="false">IF($E6="","",IF($M6,IF(AND($G6&gt;=ES$5,$G6&lt;ES$5+GanttPeriod),"◆",IF(AND($E6&gt;=ES$5,$E6&lt;ES$5+GanttPeriod),"◇","")),IF(AND(ES$5&lt;=$F6,ES$5+GanttPeriod-1&gt;=$E6),"━","")))</f>
        <v/>
      </c>
      <c r="ET6" s="69" t="str">
        <f aca="false">IF($E6="","",IF($M6,IF(AND($G6&gt;=ET$5,$G6&lt;ET$5+GanttPeriod),"◆",IF(AND($E6&gt;=ET$5,$E6&lt;ET$5+GanttPeriod),"◇","")),IF(AND(ET$5&lt;=$F6,ET$5+GanttPeriod-1&gt;=$E6),"━","")))</f>
        <v/>
      </c>
      <c r="EU6" s="69" t="str">
        <f aca="false">IF($E6="","",IF($M6,IF(AND($G6&gt;=EU$5,$G6&lt;EU$5+GanttPeriod),"◆",IF(AND($E6&gt;=EU$5,$E6&lt;EU$5+GanttPeriod),"◇","")),IF(AND(EU$5&lt;=$F6,EU$5+GanttPeriod-1&gt;=$E6),"━","")))</f>
        <v/>
      </c>
      <c r="EV6" s="69" t="str">
        <f aca="false">IF($E6="","",IF($M6,IF(AND($G6&gt;=EV$5,$G6&lt;EV$5+GanttPeriod),"◆",IF(AND($E6&gt;=EV$5,$E6&lt;EV$5+GanttPeriod),"◇","")),IF(AND(EV$5&lt;=$F6,EV$5+GanttPeriod-1&gt;=$E6),"━","")))</f>
        <v/>
      </c>
      <c r="EW6" s="69" t="str">
        <f aca="false">IF($E6="","",IF($M6,IF(AND($G6&gt;=EW$5,$G6&lt;EW$5+GanttPeriod),"◆",IF(AND($E6&gt;=EW$5,$E6&lt;EW$5+GanttPeriod),"◇","")),IF(AND(EW$5&lt;=$F6,EW$5+GanttPeriod-1&gt;=$E6),"━","")))</f>
        <v/>
      </c>
      <c r="EX6" s="69" t="str">
        <f aca="false">IF($E6="","",IF($M6,IF(AND($G6&gt;=EX$5,$G6&lt;EX$5+GanttPeriod),"◆",IF(AND($E6&gt;=EX$5,$E6&lt;EX$5+GanttPeriod),"◇","")),IF(AND(EX$5&lt;=$F6,EX$5+GanttPeriod-1&gt;=$E6),"━","")))</f>
        <v/>
      </c>
      <c r="EY6" s="69" t="str">
        <f aca="false">IF($E6="","",IF($M6,IF(AND($G6&gt;=EY$5,$G6&lt;EY$5+GanttPeriod),"◆",IF(AND($E6&gt;=EY$5,$E6&lt;EY$5+GanttPeriod),"◇","")),IF(AND(EY$5&lt;=$F6,EY$5+GanttPeriod-1&gt;=$E6),"━","")))</f>
        <v/>
      </c>
      <c r="EZ6" s="69" t="str">
        <f aca="false">IF($E6="","",IF($M6,IF(AND($G6&gt;=EZ$5,$G6&lt;EZ$5+GanttPeriod),"◆",IF(AND($E6&gt;=EZ$5,$E6&lt;EZ$5+GanttPeriod),"◇","")),IF(AND(EZ$5&lt;=$F6,EZ$5+GanttPeriod-1&gt;=$E6),"━","")))</f>
        <v/>
      </c>
      <c r="FA6" s="69" t="str">
        <f aca="false">IF($E6="","",IF($M6,IF(AND($G6&gt;=FA$5,$G6&lt;FA$5+GanttPeriod),"◆",IF(AND($E6&gt;=FA$5,$E6&lt;FA$5+GanttPeriod),"◇","")),IF(AND(FA$5&lt;=$F6,FA$5+GanttPeriod-1&gt;=$E6),"━","")))</f>
        <v/>
      </c>
      <c r="FB6" s="69" t="str">
        <f aca="false">IF($E6="","",IF($M6,IF(AND($G6&gt;=FB$5,$G6&lt;FB$5+GanttPeriod),"◆",IF(AND($E6&gt;=FB$5,$E6&lt;FB$5+GanttPeriod),"◇","")),IF(AND(FB$5&lt;=$F6,FB$5+GanttPeriod-1&gt;=$E6),"━","")))</f>
        <v/>
      </c>
      <c r="FC6" s="69" t="str">
        <f aca="false">IF($E6="","",IF($M6,IF(AND($G6&gt;=FC$5,$G6&lt;FC$5+GanttPeriod),"◆",IF(AND($E6&gt;=FC$5,$E6&lt;FC$5+GanttPeriod),"◇","")),IF(AND(FC$5&lt;=$F6,FC$5+GanttPeriod-1&gt;=$E6),"━","")))</f>
        <v/>
      </c>
      <c r="FD6" s="69" t="str">
        <f aca="false">IF($E6="","",IF($M6,IF(AND($G6&gt;=FD$5,$G6&lt;FD$5+GanttPeriod),"◆",IF(AND($E6&gt;=FD$5,$E6&lt;FD$5+GanttPeriod),"◇","")),IF(AND(FD$5&lt;=$F6,FD$5+GanttPeriod-1&gt;=$E6),"━","")))</f>
        <v/>
      </c>
      <c r="FE6" s="69" t="str">
        <f aca="false">IF($E6="","",IF($M6,IF(AND($G6&gt;=FE$5,$G6&lt;FE$5+GanttPeriod),"◆",IF(AND($E6&gt;=FE$5,$E6&lt;FE$5+GanttPeriod),"◇","")),IF(AND(FE$5&lt;=$F6,FE$5+GanttPeriod-1&gt;=$E6),"━","")))</f>
        <v/>
      </c>
      <c r="FF6" s="69" t="str">
        <f aca="false">IF($E6="","",IF($M6,IF(AND($G6&gt;=FF$5,$G6&lt;FF$5+GanttPeriod),"◆",IF(AND($E6&gt;=FF$5,$E6&lt;FF$5+GanttPeriod),"◇","")),IF(AND(FF$5&lt;=$F6,FF$5+GanttPeriod-1&gt;=$E6),"━","")))</f>
        <v/>
      </c>
      <c r="FG6" s="69" t="str">
        <f aca="false">IF($E6="","",IF($M6,IF(AND($G6&gt;=FG$5,$G6&lt;FG$5+GanttPeriod),"◆",IF(AND($E6&gt;=FG$5,$E6&lt;FG$5+GanttPeriod),"◇","")),IF(AND(FG$5&lt;=$F6,FG$5+GanttPeriod-1&gt;=$E6),"━","")))</f>
        <v/>
      </c>
      <c r="FH6" s="69" t="str">
        <f aca="false">IF($E6="","",IF($M6,IF(AND($G6&gt;=FH$5,$G6&lt;FH$5+GanttPeriod),"◆",IF(AND($E6&gt;=FH$5,$E6&lt;FH$5+GanttPeriod),"◇","")),IF(AND(FH$5&lt;=$F6,FH$5+GanttPeriod-1&gt;=$E6),"━","")))</f>
        <v/>
      </c>
      <c r="FI6" s="69" t="str">
        <f aca="false">IF($E6="","",IF($M6,IF(AND($G6&gt;=FI$5,$G6&lt;FI$5+GanttPeriod),"◆",IF(AND($E6&gt;=FI$5,$E6&lt;FI$5+GanttPeriod),"◇","")),IF(AND(FI$5&lt;=$F6,FI$5+GanttPeriod-1&gt;=$E6),"━","")))</f>
        <v/>
      </c>
      <c r="FJ6" s="69" t="str">
        <f aca="false">IF($E6="","",IF($M6,IF(AND($G6&gt;=FJ$5,$G6&lt;FJ$5+GanttPeriod),"◆",IF(AND($E6&gt;=FJ$5,$E6&lt;FJ$5+GanttPeriod),"◇","")),IF(AND(FJ$5&lt;=$F6,FJ$5+GanttPeriod-1&gt;=$E6),"━","")))</f>
        <v/>
      </c>
      <c r="FK6" s="69" t="str">
        <f aca="false">IF($E6="","",IF($M6,IF(AND($G6&gt;=FK$5,$G6&lt;FK$5+GanttPeriod),"◆",IF(AND($E6&gt;=FK$5,$E6&lt;FK$5+GanttPeriod),"◇","")),IF(AND(FK$5&lt;=$F6,FK$5+GanttPeriod-1&gt;=$E6),"━","")))</f>
        <v/>
      </c>
      <c r="FL6" s="69" t="str">
        <f aca="false">IF($E6="","",IF($M6,IF(AND($G6&gt;=FL$5,$G6&lt;FL$5+GanttPeriod),"◆",IF(AND($E6&gt;=FL$5,$E6&lt;FL$5+GanttPeriod),"◇","")),IF(AND(FL$5&lt;=$F6,FL$5+GanttPeriod-1&gt;=$E6),"━","")))</f>
        <v/>
      </c>
      <c r="FM6" s="69" t="str">
        <f aca="false">IF($E6="","",IF($M6,IF(AND($G6&gt;=FM$5,$G6&lt;FM$5+GanttPeriod),"◆",IF(AND($E6&gt;=FM$5,$E6&lt;FM$5+GanttPeriod),"◇","")),IF(AND(FM$5&lt;=$F6,FM$5+GanttPeriod-1&gt;=$E6),"━","")))</f>
        <v/>
      </c>
    </row>
    <row r="7" customFormat="false" ht="15" hidden="false" customHeight="false" outlineLevel="0" collapsed="false">
      <c r="A7" s="62" t="n">
        <f aca="false">IF(Tasks!$D7="","",Tasks!$A7)</f>
        <v>2</v>
      </c>
      <c r="B7" s="62" t="str">
        <f aca="false">IF(Tasks!$D7="","",Tasks!$B7)</f>
        <v>1.1</v>
      </c>
      <c r="C7" s="63" t="str">
        <f aca="false">IF(Tasks!$D7="","",REPT("    ",Tasks!$AE7-1)&amp;Tasks!$D7)</f>
        <v>    Project charter &amp; scope statement</v>
      </c>
      <c r="D7" s="62" t="n">
        <f aca="false">IF(Tasks!$D7="","",IF(Tasks!$AI7,NETWORKDAYS.INTL(Tasks!$R7,Tasks!$S7,WorkWeek,Holidays),N(Tasks!$F7)))</f>
        <v>3</v>
      </c>
      <c r="E7" s="64" t="n">
        <f aca="false">IF(Tasks!$D7="","",Tasks!$N7)</f>
        <v>46272</v>
      </c>
      <c r="F7" s="64" t="n">
        <f aca="false">IF(Tasks!$D7="","",Tasks!$O7)</f>
        <v>46274</v>
      </c>
      <c r="G7" s="64" t="n">
        <f aca="false">IF(Tasks!$D7="","",Tasks!$R7)</f>
        <v>46272</v>
      </c>
      <c r="H7" s="64" t="n">
        <f aca="false">IF(Tasks!$D7="","",Tasks!$S7)</f>
        <v>46275</v>
      </c>
      <c r="I7" s="65" t="n">
        <f aca="false">IF(Tasks!$D7="","",Tasks!$V7)</f>
        <v>1</v>
      </c>
      <c r="J7" s="63" t="str">
        <f aca="false">IF(Tasks!$D7="","",Tasks!$X7&amp;"")</f>
        <v>Priya Sharma</v>
      </c>
      <c r="K7" s="66" t="str">
        <f aca="false">IF(Tasks!$D7="","",Tasks!$W7)</f>
        <v>Complete</v>
      </c>
      <c r="L7" s="67" t="b">
        <f aca="false">IF(Tasks!$D7="",FALSE(),Tasks!$AI7)</f>
        <v>0</v>
      </c>
      <c r="M7" s="67" t="b">
        <f aca="false">AND(Tasks!$AJ7=1,N(Tasks!$F7)=0)</f>
        <v>0</v>
      </c>
      <c r="N7" s="68" t="n">
        <f aca="false">IF(AND(Tasks!$AJ7=1,NOT($M7),N($I7)&gt;0),$G7,0)</f>
        <v>46272</v>
      </c>
      <c r="O7" s="68" t="n">
        <f aca="false">IF($N7=0,0,IF($I7&gt;=1,$H7,MAX($N7,$G7+ROUND(($H7-$G7+1)*$I7,0)-1)))</f>
        <v>46275</v>
      </c>
      <c r="P7" s="68" t="n">
        <f aca="false">IF(OR(Tasks!$AJ7&lt;&gt;1,$M7,N($I7)&gt;=1),0,IF($O7&gt;0,$O7+1,$G7))</f>
        <v>0</v>
      </c>
      <c r="Q7" s="68" t="n">
        <f aca="false">IF($P7=0,0,$H7)</f>
        <v>0</v>
      </c>
      <c r="R7" s="67" t="b">
        <f aca="false">AND(Tasks!$D7&lt;&gt;"",N(Tasks!$T7)&gt;0)</f>
        <v>1</v>
      </c>
      <c r="T7" s="69" t="str">
        <f aca="false">IF($E7="","",IF($M7,IF(AND($G7&gt;=T$5,$G7&lt;T$5+GanttPeriod),"◆",IF(AND($E7&gt;=T$5,$E7&lt;T$5+GanttPeriod),"◇","")),IF(AND(T$5&lt;=$F7,T$5+GanttPeriod-1&gt;=$E7),"━","")))</f>
        <v>━</v>
      </c>
      <c r="U7" s="69" t="str">
        <f aca="false">IF($E7="","",IF($M7,IF(AND($G7&gt;=U$5,$G7&lt;U$5+GanttPeriod),"◆",IF(AND($E7&gt;=U$5,$E7&lt;U$5+GanttPeriod),"◇","")),IF(AND(U$5&lt;=$F7,U$5+GanttPeriod-1&gt;=$E7),"━","")))</f>
        <v>━</v>
      </c>
      <c r="V7" s="69" t="str">
        <f aca="false">IF($E7="","",IF($M7,IF(AND($G7&gt;=V$5,$G7&lt;V$5+GanttPeriod),"◆",IF(AND($E7&gt;=V$5,$E7&lt;V$5+GanttPeriod),"◇","")),IF(AND(V$5&lt;=$F7,V$5+GanttPeriod-1&gt;=$E7),"━","")))</f>
        <v>━</v>
      </c>
      <c r="W7" s="69" t="str">
        <f aca="false">IF($E7="","",IF($M7,IF(AND($G7&gt;=W$5,$G7&lt;W$5+GanttPeriod),"◆",IF(AND($E7&gt;=W$5,$E7&lt;W$5+GanttPeriod),"◇","")),IF(AND(W$5&lt;=$F7,W$5+GanttPeriod-1&gt;=$E7),"━","")))</f>
        <v/>
      </c>
      <c r="X7" s="69" t="str">
        <f aca="false">IF($E7="","",IF($M7,IF(AND($G7&gt;=X$5,$G7&lt;X$5+GanttPeriod),"◆",IF(AND($E7&gt;=X$5,$E7&lt;X$5+GanttPeriod),"◇","")),IF(AND(X$5&lt;=$F7,X$5+GanttPeriod-1&gt;=$E7),"━","")))</f>
        <v/>
      </c>
      <c r="Y7" s="69" t="str">
        <f aca="false">IF($E7="","",IF($M7,IF(AND($G7&gt;=Y$5,$G7&lt;Y$5+GanttPeriod),"◆",IF(AND($E7&gt;=Y$5,$E7&lt;Y$5+GanttPeriod),"◇","")),IF(AND(Y$5&lt;=$F7,Y$5+GanttPeriod-1&gt;=$E7),"━","")))</f>
        <v/>
      </c>
      <c r="Z7" s="69" t="str">
        <f aca="false">IF($E7="","",IF($M7,IF(AND($G7&gt;=Z$5,$G7&lt;Z$5+GanttPeriod),"◆",IF(AND($E7&gt;=Z$5,$E7&lt;Z$5+GanttPeriod),"◇","")),IF(AND(Z$5&lt;=$F7,Z$5+GanttPeriod-1&gt;=$E7),"━","")))</f>
        <v/>
      </c>
      <c r="AA7" s="69" t="str">
        <f aca="false">IF($E7="","",IF($M7,IF(AND($G7&gt;=AA$5,$G7&lt;AA$5+GanttPeriod),"◆",IF(AND($E7&gt;=AA$5,$E7&lt;AA$5+GanttPeriod),"◇","")),IF(AND(AA$5&lt;=$F7,AA$5+GanttPeriod-1&gt;=$E7),"━","")))</f>
        <v/>
      </c>
      <c r="AB7" s="69" t="str">
        <f aca="false">IF($E7="","",IF($M7,IF(AND($G7&gt;=AB$5,$G7&lt;AB$5+GanttPeriod),"◆",IF(AND($E7&gt;=AB$5,$E7&lt;AB$5+GanttPeriod),"◇","")),IF(AND(AB$5&lt;=$F7,AB$5+GanttPeriod-1&gt;=$E7),"━","")))</f>
        <v/>
      </c>
      <c r="AC7" s="69" t="str">
        <f aca="false">IF($E7="","",IF($M7,IF(AND($G7&gt;=AC$5,$G7&lt;AC$5+GanttPeriod),"◆",IF(AND($E7&gt;=AC$5,$E7&lt;AC$5+GanttPeriod),"◇","")),IF(AND(AC$5&lt;=$F7,AC$5+GanttPeriod-1&gt;=$E7),"━","")))</f>
        <v/>
      </c>
      <c r="AD7" s="69" t="str">
        <f aca="false">IF($E7="","",IF($M7,IF(AND($G7&gt;=AD$5,$G7&lt;AD$5+GanttPeriod),"◆",IF(AND($E7&gt;=AD$5,$E7&lt;AD$5+GanttPeriod),"◇","")),IF(AND(AD$5&lt;=$F7,AD$5+GanttPeriod-1&gt;=$E7),"━","")))</f>
        <v/>
      </c>
      <c r="AE7" s="69" t="str">
        <f aca="false">IF($E7="","",IF($M7,IF(AND($G7&gt;=AE$5,$G7&lt;AE$5+GanttPeriod),"◆",IF(AND($E7&gt;=AE$5,$E7&lt;AE$5+GanttPeriod),"◇","")),IF(AND(AE$5&lt;=$F7,AE$5+GanttPeriod-1&gt;=$E7),"━","")))</f>
        <v/>
      </c>
      <c r="AF7" s="69" t="str">
        <f aca="false">IF($E7="","",IF($M7,IF(AND($G7&gt;=AF$5,$G7&lt;AF$5+GanttPeriod),"◆",IF(AND($E7&gt;=AF$5,$E7&lt;AF$5+GanttPeriod),"◇","")),IF(AND(AF$5&lt;=$F7,AF$5+GanttPeriod-1&gt;=$E7),"━","")))</f>
        <v/>
      </c>
      <c r="AG7" s="69" t="str">
        <f aca="false">IF($E7="","",IF($M7,IF(AND($G7&gt;=AG$5,$G7&lt;AG$5+GanttPeriod),"◆",IF(AND($E7&gt;=AG$5,$E7&lt;AG$5+GanttPeriod),"◇","")),IF(AND(AG$5&lt;=$F7,AG$5+GanttPeriod-1&gt;=$E7),"━","")))</f>
        <v/>
      </c>
      <c r="AH7" s="69" t="str">
        <f aca="false">IF($E7="","",IF($M7,IF(AND($G7&gt;=AH$5,$G7&lt;AH$5+GanttPeriod),"◆",IF(AND($E7&gt;=AH$5,$E7&lt;AH$5+GanttPeriod),"◇","")),IF(AND(AH$5&lt;=$F7,AH$5+GanttPeriod-1&gt;=$E7),"━","")))</f>
        <v/>
      </c>
      <c r="AI7" s="69" t="str">
        <f aca="false">IF($E7="","",IF($M7,IF(AND($G7&gt;=AI$5,$G7&lt;AI$5+GanttPeriod),"◆",IF(AND($E7&gt;=AI$5,$E7&lt;AI$5+GanttPeriod),"◇","")),IF(AND(AI$5&lt;=$F7,AI$5+GanttPeriod-1&gt;=$E7),"━","")))</f>
        <v/>
      </c>
      <c r="AJ7" s="69" t="str">
        <f aca="false">IF($E7="","",IF($M7,IF(AND($G7&gt;=AJ$5,$G7&lt;AJ$5+GanttPeriod),"◆",IF(AND($E7&gt;=AJ$5,$E7&lt;AJ$5+GanttPeriod),"◇","")),IF(AND(AJ$5&lt;=$F7,AJ$5+GanttPeriod-1&gt;=$E7),"━","")))</f>
        <v/>
      </c>
      <c r="AK7" s="69" t="str">
        <f aca="false">IF($E7="","",IF($M7,IF(AND($G7&gt;=AK$5,$G7&lt;AK$5+GanttPeriod),"◆",IF(AND($E7&gt;=AK$5,$E7&lt;AK$5+GanttPeriod),"◇","")),IF(AND(AK$5&lt;=$F7,AK$5+GanttPeriod-1&gt;=$E7),"━","")))</f>
        <v/>
      </c>
      <c r="AL7" s="69" t="str">
        <f aca="false">IF($E7="","",IF($M7,IF(AND($G7&gt;=AL$5,$G7&lt;AL$5+GanttPeriod),"◆",IF(AND($E7&gt;=AL$5,$E7&lt;AL$5+GanttPeriod),"◇","")),IF(AND(AL$5&lt;=$F7,AL$5+GanttPeriod-1&gt;=$E7),"━","")))</f>
        <v/>
      </c>
      <c r="AM7" s="69" t="str">
        <f aca="false">IF($E7="","",IF($M7,IF(AND($G7&gt;=AM$5,$G7&lt;AM$5+GanttPeriod),"◆",IF(AND($E7&gt;=AM$5,$E7&lt;AM$5+GanttPeriod),"◇","")),IF(AND(AM$5&lt;=$F7,AM$5+GanttPeriod-1&gt;=$E7),"━","")))</f>
        <v/>
      </c>
      <c r="AN7" s="69" t="str">
        <f aca="false">IF($E7="","",IF($M7,IF(AND($G7&gt;=AN$5,$G7&lt;AN$5+GanttPeriod),"◆",IF(AND($E7&gt;=AN$5,$E7&lt;AN$5+GanttPeriod),"◇","")),IF(AND(AN$5&lt;=$F7,AN$5+GanttPeriod-1&gt;=$E7),"━","")))</f>
        <v/>
      </c>
      <c r="AO7" s="69" t="str">
        <f aca="false">IF($E7="","",IF($M7,IF(AND($G7&gt;=AO$5,$G7&lt;AO$5+GanttPeriod),"◆",IF(AND($E7&gt;=AO$5,$E7&lt;AO$5+GanttPeriod),"◇","")),IF(AND(AO$5&lt;=$F7,AO$5+GanttPeriod-1&gt;=$E7),"━","")))</f>
        <v/>
      </c>
      <c r="AP7" s="69" t="str">
        <f aca="false">IF($E7="","",IF($M7,IF(AND($G7&gt;=AP$5,$G7&lt;AP$5+GanttPeriod),"◆",IF(AND($E7&gt;=AP$5,$E7&lt;AP$5+GanttPeriod),"◇","")),IF(AND(AP$5&lt;=$F7,AP$5+GanttPeriod-1&gt;=$E7),"━","")))</f>
        <v/>
      </c>
      <c r="AQ7" s="69" t="str">
        <f aca="false">IF($E7="","",IF($M7,IF(AND($G7&gt;=AQ$5,$G7&lt;AQ$5+GanttPeriod),"◆",IF(AND($E7&gt;=AQ$5,$E7&lt;AQ$5+GanttPeriod),"◇","")),IF(AND(AQ$5&lt;=$F7,AQ$5+GanttPeriod-1&gt;=$E7),"━","")))</f>
        <v/>
      </c>
      <c r="AR7" s="69" t="str">
        <f aca="false">IF($E7="","",IF($M7,IF(AND($G7&gt;=AR$5,$G7&lt;AR$5+GanttPeriod),"◆",IF(AND($E7&gt;=AR$5,$E7&lt;AR$5+GanttPeriod),"◇","")),IF(AND(AR$5&lt;=$F7,AR$5+GanttPeriod-1&gt;=$E7),"━","")))</f>
        <v/>
      </c>
      <c r="AS7" s="69" t="str">
        <f aca="false">IF($E7="","",IF($M7,IF(AND($G7&gt;=AS$5,$G7&lt;AS$5+GanttPeriod),"◆",IF(AND($E7&gt;=AS$5,$E7&lt;AS$5+GanttPeriod),"◇","")),IF(AND(AS$5&lt;=$F7,AS$5+GanttPeriod-1&gt;=$E7),"━","")))</f>
        <v/>
      </c>
      <c r="AT7" s="69" t="str">
        <f aca="false">IF($E7="","",IF($M7,IF(AND($G7&gt;=AT$5,$G7&lt;AT$5+GanttPeriod),"◆",IF(AND($E7&gt;=AT$5,$E7&lt;AT$5+GanttPeriod),"◇","")),IF(AND(AT$5&lt;=$F7,AT$5+GanttPeriod-1&gt;=$E7),"━","")))</f>
        <v/>
      </c>
      <c r="AU7" s="69" t="str">
        <f aca="false">IF($E7="","",IF($M7,IF(AND($G7&gt;=AU$5,$G7&lt;AU$5+GanttPeriod),"◆",IF(AND($E7&gt;=AU$5,$E7&lt;AU$5+GanttPeriod),"◇","")),IF(AND(AU$5&lt;=$F7,AU$5+GanttPeriod-1&gt;=$E7),"━","")))</f>
        <v/>
      </c>
      <c r="AV7" s="69" t="str">
        <f aca="false">IF($E7="","",IF($M7,IF(AND($G7&gt;=AV$5,$G7&lt;AV$5+GanttPeriod),"◆",IF(AND($E7&gt;=AV$5,$E7&lt;AV$5+GanttPeriod),"◇","")),IF(AND(AV$5&lt;=$F7,AV$5+GanttPeriod-1&gt;=$E7),"━","")))</f>
        <v/>
      </c>
      <c r="AW7" s="69" t="str">
        <f aca="false">IF($E7="","",IF($M7,IF(AND($G7&gt;=AW$5,$G7&lt;AW$5+GanttPeriod),"◆",IF(AND($E7&gt;=AW$5,$E7&lt;AW$5+GanttPeriod),"◇","")),IF(AND(AW$5&lt;=$F7,AW$5+GanttPeriod-1&gt;=$E7),"━","")))</f>
        <v/>
      </c>
      <c r="AX7" s="69" t="str">
        <f aca="false">IF($E7="","",IF($M7,IF(AND($G7&gt;=AX$5,$G7&lt;AX$5+GanttPeriod),"◆",IF(AND($E7&gt;=AX$5,$E7&lt;AX$5+GanttPeriod),"◇","")),IF(AND(AX$5&lt;=$F7,AX$5+GanttPeriod-1&gt;=$E7),"━","")))</f>
        <v/>
      </c>
      <c r="AY7" s="69" t="str">
        <f aca="false">IF($E7="","",IF($M7,IF(AND($G7&gt;=AY$5,$G7&lt;AY$5+GanttPeriod),"◆",IF(AND($E7&gt;=AY$5,$E7&lt;AY$5+GanttPeriod),"◇","")),IF(AND(AY$5&lt;=$F7,AY$5+GanttPeriod-1&gt;=$E7),"━","")))</f>
        <v/>
      </c>
      <c r="AZ7" s="69" t="str">
        <f aca="false">IF($E7="","",IF($M7,IF(AND($G7&gt;=AZ$5,$G7&lt;AZ$5+GanttPeriod),"◆",IF(AND($E7&gt;=AZ$5,$E7&lt;AZ$5+GanttPeriod),"◇","")),IF(AND(AZ$5&lt;=$F7,AZ$5+GanttPeriod-1&gt;=$E7),"━","")))</f>
        <v/>
      </c>
      <c r="BA7" s="69" t="str">
        <f aca="false">IF($E7="","",IF($M7,IF(AND($G7&gt;=BA$5,$G7&lt;BA$5+GanttPeriod),"◆",IF(AND($E7&gt;=BA$5,$E7&lt;BA$5+GanttPeriod),"◇","")),IF(AND(BA$5&lt;=$F7,BA$5+GanttPeriod-1&gt;=$E7),"━","")))</f>
        <v/>
      </c>
      <c r="BB7" s="69" t="str">
        <f aca="false">IF($E7="","",IF($M7,IF(AND($G7&gt;=BB$5,$G7&lt;BB$5+GanttPeriod),"◆",IF(AND($E7&gt;=BB$5,$E7&lt;BB$5+GanttPeriod),"◇","")),IF(AND(BB$5&lt;=$F7,BB$5+GanttPeriod-1&gt;=$E7),"━","")))</f>
        <v/>
      </c>
      <c r="BC7" s="69" t="str">
        <f aca="false">IF($E7="","",IF($M7,IF(AND($G7&gt;=BC$5,$G7&lt;BC$5+GanttPeriod),"◆",IF(AND($E7&gt;=BC$5,$E7&lt;BC$5+GanttPeriod),"◇","")),IF(AND(BC$5&lt;=$F7,BC$5+GanttPeriod-1&gt;=$E7),"━","")))</f>
        <v/>
      </c>
      <c r="BD7" s="69" t="str">
        <f aca="false">IF($E7="","",IF($M7,IF(AND($G7&gt;=BD$5,$G7&lt;BD$5+GanttPeriod),"◆",IF(AND($E7&gt;=BD$5,$E7&lt;BD$5+GanttPeriod),"◇","")),IF(AND(BD$5&lt;=$F7,BD$5+GanttPeriod-1&gt;=$E7),"━","")))</f>
        <v/>
      </c>
      <c r="BE7" s="69" t="str">
        <f aca="false">IF($E7="","",IF($M7,IF(AND($G7&gt;=BE$5,$G7&lt;BE$5+GanttPeriod),"◆",IF(AND($E7&gt;=BE$5,$E7&lt;BE$5+GanttPeriod),"◇","")),IF(AND(BE$5&lt;=$F7,BE$5+GanttPeriod-1&gt;=$E7),"━","")))</f>
        <v/>
      </c>
      <c r="BF7" s="69" t="str">
        <f aca="false">IF($E7="","",IF($M7,IF(AND($G7&gt;=BF$5,$G7&lt;BF$5+GanttPeriod),"◆",IF(AND($E7&gt;=BF$5,$E7&lt;BF$5+GanttPeriod),"◇","")),IF(AND(BF$5&lt;=$F7,BF$5+GanttPeriod-1&gt;=$E7),"━","")))</f>
        <v/>
      </c>
      <c r="BG7" s="69" t="str">
        <f aca="false">IF($E7="","",IF($M7,IF(AND($G7&gt;=BG$5,$G7&lt;BG$5+GanttPeriod),"◆",IF(AND($E7&gt;=BG$5,$E7&lt;BG$5+GanttPeriod),"◇","")),IF(AND(BG$5&lt;=$F7,BG$5+GanttPeriod-1&gt;=$E7),"━","")))</f>
        <v/>
      </c>
      <c r="BH7" s="69" t="str">
        <f aca="false">IF($E7="","",IF($M7,IF(AND($G7&gt;=BH$5,$G7&lt;BH$5+GanttPeriod),"◆",IF(AND($E7&gt;=BH$5,$E7&lt;BH$5+GanttPeriod),"◇","")),IF(AND(BH$5&lt;=$F7,BH$5+GanttPeriod-1&gt;=$E7),"━","")))</f>
        <v/>
      </c>
      <c r="BI7" s="69" t="str">
        <f aca="false">IF($E7="","",IF($M7,IF(AND($G7&gt;=BI$5,$G7&lt;BI$5+GanttPeriod),"◆",IF(AND($E7&gt;=BI$5,$E7&lt;BI$5+GanttPeriod),"◇","")),IF(AND(BI$5&lt;=$F7,BI$5+GanttPeriod-1&gt;=$E7),"━","")))</f>
        <v/>
      </c>
      <c r="BJ7" s="69" t="str">
        <f aca="false">IF($E7="","",IF($M7,IF(AND($G7&gt;=BJ$5,$G7&lt;BJ$5+GanttPeriod),"◆",IF(AND($E7&gt;=BJ$5,$E7&lt;BJ$5+GanttPeriod),"◇","")),IF(AND(BJ$5&lt;=$F7,BJ$5+GanttPeriod-1&gt;=$E7),"━","")))</f>
        <v/>
      </c>
      <c r="BK7" s="69" t="str">
        <f aca="false">IF($E7="","",IF($M7,IF(AND($G7&gt;=BK$5,$G7&lt;BK$5+GanttPeriod),"◆",IF(AND($E7&gt;=BK$5,$E7&lt;BK$5+GanttPeriod),"◇","")),IF(AND(BK$5&lt;=$F7,BK$5+GanttPeriod-1&gt;=$E7),"━","")))</f>
        <v/>
      </c>
      <c r="BL7" s="69" t="str">
        <f aca="false">IF($E7="","",IF($M7,IF(AND($G7&gt;=BL$5,$G7&lt;BL$5+GanttPeriod),"◆",IF(AND($E7&gt;=BL$5,$E7&lt;BL$5+GanttPeriod),"◇","")),IF(AND(BL$5&lt;=$F7,BL$5+GanttPeriod-1&gt;=$E7),"━","")))</f>
        <v/>
      </c>
      <c r="BM7" s="69" t="str">
        <f aca="false">IF($E7="","",IF($M7,IF(AND($G7&gt;=BM$5,$G7&lt;BM$5+GanttPeriod),"◆",IF(AND($E7&gt;=BM$5,$E7&lt;BM$5+GanttPeriod),"◇","")),IF(AND(BM$5&lt;=$F7,BM$5+GanttPeriod-1&gt;=$E7),"━","")))</f>
        <v/>
      </c>
      <c r="BN7" s="69" t="str">
        <f aca="false">IF($E7="","",IF($M7,IF(AND($G7&gt;=BN$5,$G7&lt;BN$5+GanttPeriod),"◆",IF(AND($E7&gt;=BN$5,$E7&lt;BN$5+GanttPeriod),"◇","")),IF(AND(BN$5&lt;=$F7,BN$5+GanttPeriod-1&gt;=$E7),"━","")))</f>
        <v/>
      </c>
      <c r="BO7" s="69" t="str">
        <f aca="false">IF($E7="","",IF($M7,IF(AND($G7&gt;=BO$5,$G7&lt;BO$5+GanttPeriod),"◆",IF(AND($E7&gt;=BO$5,$E7&lt;BO$5+GanttPeriod),"◇","")),IF(AND(BO$5&lt;=$F7,BO$5+GanttPeriod-1&gt;=$E7),"━","")))</f>
        <v/>
      </c>
      <c r="BP7" s="69" t="str">
        <f aca="false">IF($E7="","",IF($M7,IF(AND($G7&gt;=BP$5,$G7&lt;BP$5+GanttPeriod),"◆",IF(AND($E7&gt;=BP$5,$E7&lt;BP$5+GanttPeriod),"◇","")),IF(AND(BP$5&lt;=$F7,BP$5+GanttPeriod-1&gt;=$E7),"━","")))</f>
        <v/>
      </c>
      <c r="BQ7" s="69" t="str">
        <f aca="false">IF($E7="","",IF($M7,IF(AND($G7&gt;=BQ$5,$G7&lt;BQ$5+GanttPeriod),"◆",IF(AND($E7&gt;=BQ$5,$E7&lt;BQ$5+GanttPeriod),"◇","")),IF(AND(BQ$5&lt;=$F7,BQ$5+GanttPeriod-1&gt;=$E7),"━","")))</f>
        <v/>
      </c>
      <c r="BR7" s="69" t="str">
        <f aca="false">IF($E7="","",IF($M7,IF(AND($G7&gt;=BR$5,$G7&lt;BR$5+GanttPeriod),"◆",IF(AND($E7&gt;=BR$5,$E7&lt;BR$5+GanttPeriod),"◇","")),IF(AND(BR$5&lt;=$F7,BR$5+GanttPeriod-1&gt;=$E7),"━","")))</f>
        <v/>
      </c>
      <c r="BS7" s="69" t="str">
        <f aca="false">IF($E7="","",IF($M7,IF(AND($G7&gt;=BS$5,$G7&lt;BS$5+GanttPeriod),"◆",IF(AND($E7&gt;=BS$5,$E7&lt;BS$5+GanttPeriod),"◇","")),IF(AND(BS$5&lt;=$F7,BS$5+GanttPeriod-1&gt;=$E7),"━","")))</f>
        <v/>
      </c>
      <c r="BT7" s="69" t="str">
        <f aca="false">IF($E7="","",IF($M7,IF(AND($G7&gt;=BT$5,$G7&lt;BT$5+GanttPeriod),"◆",IF(AND($E7&gt;=BT$5,$E7&lt;BT$5+GanttPeriod),"◇","")),IF(AND(BT$5&lt;=$F7,BT$5+GanttPeriod-1&gt;=$E7),"━","")))</f>
        <v/>
      </c>
      <c r="BU7" s="69" t="str">
        <f aca="false">IF($E7="","",IF($M7,IF(AND($G7&gt;=BU$5,$G7&lt;BU$5+GanttPeriod),"◆",IF(AND($E7&gt;=BU$5,$E7&lt;BU$5+GanttPeriod),"◇","")),IF(AND(BU$5&lt;=$F7,BU$5+GanttPeriod-1&gt;=$E7),"━","")))</f>
        <v/>
      </c>
      <c r="BV7" s="69" t="str">
        <f aca="false">IF($E7="","",IF($M7,IF(AND($G7&gt;=BV$5,$G7&lt;BV$5+GanttPeriod),"◆",IF(AND($E7&gt;=BV$5,$E7&lt;BV$5+GanttPeriod),"◇","")),IF(AND(BV$5&lt;=$F7,BV$5+GanttPeriod-1&gt;=$E7),"━","")))</f>
        <v/>
      </c>
      <c r="BW7" s="69" t="str">
        <f aca="false">IF($E7="","",IF($M7,IF(AND($G7&gt;=BW$5,$G7&lt;BW$5+GanttPeriod),"◆",IF(AND($E7&gt;=BW$5,$E7&lt;BW$5+GanttPeriod),"◇","")),IF(AND(BW$5&lt;=$F7,BW$5+GanttPeriod-1&gt;=$E7),"━","")))</f>
        <v/>
      </c>
      <c r="BX7" s="69" t="str">
        <f aca="false">IF($E7="","",IF($M7,IF(AND($G7&gt;=BX$5,$G7&lt;BX$5+GanttPeriod),"◆",IF(AND($E7&gt;=BX$5,$E7&lt;BX$5+GanttPeriod),"◇","")),IF(AND(BX$5&lt;=$F7,BX$5+GanttPeriod-1&gt;=$E7),"━","")))</f>
        <v/>
      </c>
      <c r="BY7" s="69" t="str">
        <f aca="false">IF($E7="","",IF($M7,IF(AND($G7&gt;=BY$5,$G7&lt;BY$5+GanttPeriod),"◆",IF(AND($E7&gt;=BY$5,$E7&lt;BY$5+GanttPeriod),"◇","")),IF(AND(BY$5&lt;=$F7,BY$5+GanttPeriod-1&gt;=$E7),"━","")))</f>
        <v/>
      </c>
      <c r="BZ7" s="69" t="str">
        <f aca="false">IF($E7="","",IF($M7,IF(AND($G7&gt;=BZ$5,$G7&lt;BZ$5+GanttPeriod),"◆",IF(AND($E7&gt;=BZ$5,$E7&lt;BZ$5+GanttPeriod),"◇","")),IF(AND(BZ$5&lt;=$F7,BZ$5+GanttPeriod-1&gt;=$E7),"━","")))</f>
        <v/>
      </c>
      <c r="CA7" s="69" t="str">
        <f aca="false">IF($E7="","",IF($M7,IF(AND($G7&gt;=CA$5,$G7&lt;CA$5+GanttPeriod),"◆",IF(AND($E7&gt;=CA$5,$E7&lt;CA$5+GanttPeriod),"◇","")),IF(AND(CA$5&lt;=$F7,CA$5+GanttPeriod-1&gt;=$E7),"━","")))</f>
        <v/>
      </c>
      <c r="CB7" s="69" t="str">
        <f aca="false">IF($E7="","",IF($M7,IF(AND($G7&gt;=CB$5,$G7&lt;CB$5+GanttPeriod),"◆",IF(AND($E7&gt;=CB$5,$E7&lt;CB$5+GanttPeriod),"◇","")),IF(AND(CB$5&lt;=$F7,CB$5+GanttPeriod-1&gt;=$E7),"━","")))</f>
        <v/>
      </c>
      <c r="CC7" s="69" t="str">
        <f aca="false">IF($E7="","",IF($M7,IF(AND($G7&gt;=CC$5,$G7&lt;CC$5+GanttPeriod),"◆",IF(AND($E7&gt;=CC$5,$E7&lt;CC$5+GanttPeriod),"◇","")),IF(AND(CC$5&lt;=$F7,CC$5+GanttPeriod-1&gt;=$E7),"━","")))</f>
        <v/>
      </c>
      <c r="CD7" s="69" t="str">
        <f aca="false">IF($E7="","",IF($M7,IF(AND($G7&gt;=CD$5,$G7&lt;CD$5+GanttPeriod),"◆",IF(AND($E7&gt;=CD$5,$E7&lt;CD$5+GanttPeriod),"◇","")),IF(AND(CD$5&lt;=$F7,CD$5+GanttPeriod-1&gt;=$E7),"━","")))</f>
        <v/>
      </c>
      <c r="CE7" s="69" t="str">
        <f aca="false">IF($E7="","",IF($M7,IF(AND($G7&gt;=CE$5,$G7&lt;CE$5+GanttPeriod),"◆",IF(AND($E7&gt;=CE$5,$E7&lt;CE$5+GanttPeriod),"◇","")),IF(AND(CE$5&lt;=$F7,CE$5+GanttPeriod-1&gt;=$E7),"━","")))</f>
        <v/>
      </c>
      <c r="CF7" s="69" t="str">
        <f aca="false">IF($E7="","",IF($M7,IF(AND($G7&gt;=CF$5,$G7&lt;CF$5+GanttPeriod),"◆",IF(AND($E7&gt;=CF$5,$E7&lt;CF$5+GanttPeriod),"◇","")),IF(AND(CF$5&lt;=$F7,CF$5+GanttPeriod-1&gt;=$E7),"━","")))</f>
        <v/>
      </c>
      <c r="CG7" s="69" t="str">
        <f aca="false">IF($E7="","",IF($M7,IF(AND($G7&gt;=CG$5,$G7&lt;CG$5+GanttPeriod),"◆",IF(AND($E7&gt;=CG$5,$E7&lt;CG$5+GanttPeriod),"◇","")),IF(AND(CG$5&lt;=$F7,CG$5+GanttPeriod-1&gt;=$E7),"━","")))</f>
        <v/>
      </c>
      <c r="CH7" s="69" t="str">
        <f aca="false">IF($E7="","",IF($M7,IF(AND($G7&gt;=CH$5,$G7&lt;CH$5+GanttPeriod),"◆",IF(AND($E7&gt;=CH$5,$E7&lt;CH$5+GanttPeriod),"◇","")),IF(AND(CH$5&lt;=$F7,CH$5+GanttPeriod-1&gt;=$E7),"━","")))</f>
        <v/>
      </c>
      <c r="CI7" s="69" t="str">
        <f aca="false">IF($E7="","",IF($M7,IF(AND($G7&gt;=CI$5,$G7&lt;CI$5+GanttPeriod),"◆",IF(AND($E7&gt;=CI$5,$E7&lt;CI$5+GanttPeriod),"◇","")),IF(AND(CI$5&lt;=$F7,CI$5+GanttPeriod-1&gt;=$E7),"━","")))</f>
        <v/>
      </c>
      <c r="CJ7" s="69" t="str">
        <f aca="false">IF($E7="","",IF($M7,IF(AND($G7&gt;=CJ$5,$G7&lt;CJ$5+GanttPeriod),"◆",IF(AND($E7&gt;=CJ$5,$E7&lt;CJ$5+GanttPeriod),"◇","")),IF(AND(CJ$5&lt;=$F7,CJ$5+GanttPeriod-1&gt;=$E7),"━","")))</f>
        <v/>
      </c>
      <c r="CK7" s="69" t="str">
        <f aca="false">IF($E7="","",IF($M7,IF(AND($G7&gt;=CK$5,$G7&lt;CK$5+GanttPeriod),"◆",IF(AND($E7&gt;=CK$5,$E7&lt;CK$5+GanttPeriod),"◇","")),IF(AND(CK$5&lt;=$F7,CK$5+GanttPeriod-1&gt;=$E7),"━","")))</f>
        <v/>
      </c>
      <c r="CL7" s="69" t="str">
        <f aca="false">IF($E7="","",IF($M7,IF(AND($G7&gt;=CL$5,$G7&lt;CL$5+GanttPeriod),"◆",IF(AND($E7&gt;=CL$5,$E7&lt;CL$5+GanttPeriod),"◇","")),IF(AND(CL$5&lt;=$F7,CL$5+GanttPeriod-1&gt;=$E7),"━","")))</f>
        <v/>
      </c>
      <c r="CM7" s="69" t="str">
        <f aca="false">IF($E7="","",IF($M7,IF(AND($G7&gt;=CM$5,$G7&lt;CM$5+GanttPeriod),"◆",IF(AND($E7&gt;=CM$5,$E7&lt;CM$5+GanttPeriod),"◇","")),IF(AND(CM$5&lt;=$F7,CM$5+GanttPeriod-1&gt;=$E7),"━","")))</f>
        <v/>
      </c>
      <c r="CN7" s="69" t="str">
        <f aca="false">IF($E7="","",IF($M7,IF(AND($G7&gt;=CN$5,$G7&lt;CN$5+GanttPeriod),"◆",IF(AND($E7&gt;=CN$5,$E7&lt;CN$5+GanttPeriod),"◇","")),IF(AND(CN$5&lt;=$F7,CN$5+GanttPeriod-1&gt;=$E7),"━","")))</f>
        <v/>
      </c>
      <c r="CO7" s="69" t="str">
        <f aca="false">IF($E7="","",IF($M7,IF(AND($G7&gt;=CO$5,$G7&lt;CO$5+GanttPeriod),"◆",IF(AND($E7&gt;=CO$5,$E7&lt;CO$5+GanttPeriod),"◇","")),IF(AND(CO$5&lt;=$F7,CO$5+GanttPeriod-1&gt;=$E7),"━","")))</f>
        <v/>
      </c>
      <c r="CP7" s="69" t="str">
        <f aca="false">IF($E7="","",IF($M7,IF(AND($G7&gt;=CP$5,$G7&lt;CP$5+GanttPeriod),"◆",IF(AND($E7&gt;=CP$5,$E7&lt;CP$5+GanttPeriod),"◇","")),IF(AND(CP$5&lt;=$F7,CP$5+GanttPeriod-1&gt;=$E7),"━","")))</f>
        <v/>
      </c>
      <c r="CQ7" s="69" t="str">
        <f aca="false">IF($E7="","",IF($M7,IF(AND($G7&gt;=CQ$5,$G7&lt;CQ$5+GanttPeriod),"◆",IF(AND($E7&gt;=CQ$5,$E7&lt;CQ$5+GanttPeriod),"◇","")),IF(AND(CQ$5&lt;=$F7,CQ$5+GanttPeriod-1&gt;=$E7),"━","")))</f>
        <v/>
      </c>
      <c r="CR7" s="69" t="str">
        <f aca="false">IF($E7="","",IF($M7,IF(AND($G7&gt;=CR$5,$G7&lt;CR$5+GanttPeriod),"◆",IF(AND($E7&gt;=CR$5,$E7&lt;CR$5+GanttPeriod),"◇","")),IF(AND(CR$5&lt;=$F7,CR$5+GanttPeriod-1&gt;=$E7),"━","")))</f>
        <v/>
      </c>
      <c r="CS7" s="69" t="str">
        <f aca="false">IF($E7="","",IF($M7,IF(AND($G7&gt;=CS$5,$G7&lt;CS$5+GanttPeriod),"◆",IF(AND($E7&gt;=CS$5,$E7&lt;CS$5+GanttPeriod),"◇","")),IF(AND(CS$5&lt;=$F7,CS$5+GanttPeriod-1&gt;=$E7),"━","")))</f>
        <v/>
      </c>
      <c r="CT7" s="69" t="str">
        <f aca="false">IF($E7="","",IF($M7,IF(AND($G7&gt;=CT$5,$G7&lt;CT$5+GanttPeriod),"◆",IF(AND($E7&gt;=CT$5,$E7&lt;CT$5+GanttPeriod),"◇","")),IF(AND(CT$5&lt;=$F7,CT$5+GanttPeriod-1&gt;=$E7),"━","")))</f>
        <v/>
      </c>
      <c r="CU7" s="69" t="str">
        <f aca="false">IF($E7="","",IF($M7,IF(AND($G7&gt;=CU$5,$G7&lt;CU$5+GanttPeriod),"◆",IF(AND($E7&gt;=CU$5,$E7&lt;CU$5+GanttPeriod),"◇","")),IF(AND(CU$5&lt;=$F7,CU$5+GanttPeriod-1&gt;=$E7),"━","")))</f>
        <v/>
      </c>
      <c r="CV7" s="69" t="str">
        <f aca="false">IF($E7="","",IF($M7,IF(AND($G7&gt;=CV$5,$G7&lt;CV$5+GanttPeriod),"◆",IF(AND($E7&gt;=CV$5,$E7&lt;CV$5+GanttPeriod),"◇","")),IF(AND(CV$5&lt;=$F7,CV$5+GanttPeriod-1&gt;=$E7),"━","")))</f>
        <v/>
      </c>
      <c r="CW7" s="69" t="str">
        <f aca="false">IF($E7="","",IF($M7,IF(AND($G7&gt;=CW$5,$G7&lt;CW$5+GanttPeriod),"◆",IF(AND($E7&gt;=CW$5,$E7&lt;CW$5+GanttPeriod),"◇","")),IF(AND(CW$5&lt;=$F7,CW$5+GanttPeriod-1&gt;=$E7),"━","")))</f>
        <v/>
      </c>
      <c r="CX7" s="69" t="str">
        <f aca="false">IF($E7="","",IF($M7,IF(AND($G7&gt;=CX$5,$G7&lt;CX$5+GanttPeriod),"◆",IF(AND($E7&gt;=CX$5,$E7&lt;CX$5+GanttPeriod),"◇","")),IF(AND(CX$5&lt;=$F7,CX$5+GanttPeriod-1&gt;=$E7),"━","")))</f>
        <v/>
      </c>
      <c r="CY7" s="69" t="str">
        <f aca="false">IF($E7="","",IF($M7,IF(AND($G7&gt;=CY$5,$G7&lt;CY$5+GanttPeriod),"◆",IF(AND($E7&gt;=CY$5,$E7&lt;CY$5+GanttPeriod),"◇","")),IF(AND(CY$5&lt;=$F7,CY$5+GanttPeriod-1&gt;=$E7),"━","")))</f>
        <v/>
      </c>
      <c r="CZ7" s="69" t="str">
        <f aca="false">IF($E7="","",IF($M7,IF(AND($G7&gt;=CZ$5,$G7&lt;CZ$5+GanttPeriod),"◆",IF(AND($E7&gt;=CZ$5,$E7&lt;CZ$5+GanttPeriod),"◇","")),IF(AND(CZ$5&lt;=$F7,CZ$5+GanttPeriod-1&gt;=$E7),"━","")))</f>
        <v/>
      </c>
      <c r="DA7" s="69" t="str">
        <f aca="false">IF($E7="","",IF($M7,IF(AND($G7&gt;=DA$5,$G7&lt;DA$5+GanttPeriod),"◆",IF(AND($E7&gt;=DA$5,$E7&lt;DA$5+GanttPeriod),"◇","")),IF(AND(DA$5&lt;=$F7,DA$5+GanttPeriod-1&gt;=$E7),"━","")))</f>
        <v/>
      </c>
      <c r="DB7" s="69" t="str">
        <f aca="false">IF($E7="","",IF($M7,IF(AND($G7&gt;=DB$5,$G7&lt;DB$5+GanttPeriod),"◆",IF(AND($E7&gt;=DB$5,$E7&lt;DB$5+GanttPeriod),"◇","")),IF(AND(DB$5&lt;=$F7,DB$5+GanttPeriod-1&gt;=$E7),"━","")))</f>
        <v/>
      </c>
      <c r="DC7" s="69" t="str">
        <f aca="false">IF($E7="","",IF($M7,IF(AND($G7&gt;=DC$5,$G7&lt;DC$5+GanttPeriod),"◆",IF(AND($E7&gt;=DC$5,$E7&lt;DC$5+GanttPeriod),"◇","")),IF(AND(DC$5&lt;=$F7,DC$5+GanttPeriod-1&gt;=$E7),"━","")))</f>
        <v/>
      </c>
      <c r="DD7" s="69" t="str">
        <f aca="false">IF($E7="","",IF($M7,IF(AND($G7&gt;=DD$5,$G7&lt;DD$5+GanttPeriod),"◆",IF(AND($E7&gt;=DD$5,$E7&lt;DD$5+GanttPeriod),"◇","")),IF(AND(DD$5&lt;=$F7,DD$5+GanttPeriod-1&gt;=$E7),"━","")))</f>
        <v/>
      </c>
      <c r="DE7" s="69" t="str">
        <f aca="false">IF($E7="","",IF($M7,IF(AND($G7&gt;=DE$5,$G7&lt;DE$5+GanttPeriod),"◆",IF(AND($E7&gt;=DE$5,$E7&lt;DE$5+GanttPeriod),"◇","")),IF(AND(DE$5&lt;=$F7,DE$5+GanttPeriod-1&gt;=$E7),"━","")))</f>
        <v/>
      </c>
      <c r="DF7" s="69" t="str">
        <f aca="false">IF($E7="","",IF($M7,IF(AND($G7&gt;=DF$5,$G7&lt;DF$5+GanttPeriod),"◆",IF(AND($E7&gt;=DF$5,$E7&lt;DF$5+GanttPeriod),"◇","")),IF(AND(DF$5&lt;=$F7,DF$5+GanttPeriod-1&gt;=$E7),"━","")))</f>
        <v/>
      </c>
      <c r="DG7" s="69" t="str">
        <f aca="false">IF($E7="","",IF($M7,IF(AND($G7&gt;=DG$5,$G7&lt;DG$5+GanttPeriod),"◆",IF(AND($E7&gt;=DG$5,$E7&lt;DG$5+GanttPeriod),"◇","")),IF(AND(DG$5&lt;=$F7,DG$5+GanttPeriod-1&gt;=$E7),"━","")))</f>
        <v/>
      </c>
      <c r="DH7" s="69" t="str">
        <f aca="false">IF($E7="","",IF($M7,IF(AND($G7&gt;=DH$5,$G7&lt;DH$5+GanttPeriod),"◆",IF(AND($E7&gt;=DH$5,$E7&lt;DH$5+GanttPeriod),"◇","")),IF(AND(DH$5&lt;=$F7,DH$5+GanttPeriod-1&gt;=$E7),"━","")))</f>
        <v/>
      </c>
      <c r="DI7" s="69" t="str">
        <f aca="false">IF($E7="","",IF($M7,IF(AND($G7&gt;=DI$5,$G7&lt;DI$5+GanttPeriod),"◆",IF(AND($E7&gt;=DI$5,$E7&lt;DI$5+GanttPeriod),"◇","")),IF(AND(DI$5&lt;=$F7,DI$5+GanttPeriod-1&gt;=$E7),"━","")))</f>
        <v/>
      </c>
      <c r="DJ7" s="69" t="str">
        <f aca="false">IF($E7="","",IF($M7,IF(AND($G7&gt;=DJ$5,$G7&lt;DJ$5+GanttPeriod),"◆",IF(AND($E7&gt;=DJ$5,$E7&lt;DJ$5+GanttPeriod),"◇","")),IF(AND(DJ$5&lt;=$F7,DJ$5+GanttPeriod-1&gt;=$E7),"━","")))</f>
        <v/>
      </c>
      <c r="DK7" s="69" t="str">
        <f aca="false">IF($E7="","",IF($M7,IF(AND($G7&gt;=DK$5,$G7&lt;DK$5+GanttPeriod),"◆",IF(AND($E7&gt;=DK$5,$E7&lt;DK$5+GanttPeriod),"◇","")),IF(AND(DK$5&lt;=$F7,DK$5+GanttPeriod-1&gt;=$E7),"━","")))</f>
        <v/>
      </c>
      <c r="DL7" s="69" t="str">
        <f aca="false">IF($E7="","",IF($M7,IF(AND($G7&gt;=DL$5,$G7&lt;DL$5+GanttPeriod),"◆",IF(AND($E7&gt;=DL$5,$E7&lt;DL$5+GanttPeriod),"◇","")),IF(AND(DL$5&lt;=$F7,DL$5+GanttPeriod-1&gt;=$E7),"━","")))</f>
        <v/>
      </c>
      <c r="DM7" s="69" t="str">
        <f aca="false">IF($E7="","",IF($M7,IF(AND($G7&gt;=DM$5,$G7&lt;DM$5+GanttPeriod),"◆",IF(AND($E7&gt;=DM$5,$E7&lt;DM$5+GanttPeriod),"◇","")),IF(AND(DM$5&lt;=$F7,DM$5+GanttPeriod-1&gt;=$E7),"━","")))</f>
        <v/>
      </c>
      <c r="DN7" s="69" t="str">
        <f aca="false">IF($E7="","",IF($M7,IF(AND($G7&gt;=DN$5,$G7&lt;DN$5+GanttPeriod),"◆",IF(AND($E7&gt;=DN$5,$E7&lt;DN$5+GanttPeriod),"◇","")),IF(AND(DN$5&lt;=$F7,DN$5+GanttPeriod-1&gt;=$E7),"━","")))</f>
        <v/>
      </c>
      <c r="DO7" s="69" t="str">
        <f aca="false">IF($E7="","",IF($M7,IF(AND($G7&gt;=DO$5,$G7&lt;DO$5+GanttPeriod),"◆",IF(AND($E7&gt;=DO$5,$E7&lt;DO$5+GanttPeriod),"◇","")),IF(AND(DO$5&lt;=$F7,DO$5+GanttPeriod-1&gt;=$E7),"━","")))</f>
        <v/>
      </c>
      <c r="DP7" s="69" t="str">
        <f aca="false">IF($E7="","",IF($M7,IF(AND($G7&gt;=DP$5,$G7&lt;DP$5+GanttPeriod),"◆",IF(AND($E7&gt;=DP$5,$E7&lt;DP$5+GanttPeriod),"◇","")),IF(AND(DP$5&lt;=$F7,DP$5+GanttPeriod-1&gt;=$E7),"━","")))</f>
        <v/>
      </c>
      <c r="DQ7" s="69" t="str">
        <f aca="false">IF($E7="","",IF($M7,IF(AND($G7&gt;=DQ$5,$G7&lt;DQ$5+GanttPeriod),"◆",IF(AND($E7&gt;=DQ$5,$E7&lt;DQ$5+GanttPeriod),"◇","")),IF(AND(DQ$5&lt;=$F7,DQ$5+GanttPeriod-1&gt;=$E7),"━","")))</f>
        <v/>
      </c>
      <c r="DR7" s="69" t="str">
        <f aca="false">IF($E7="","",IF($M7,IF(AND($G7&gt;=DR$5,$G7&lt;DR$5+GanttPeriod),"◆",IF(AND($E7&gt;=DR$5,$E7&lt;DR$5+GanttPeriod),"◇","")),IF(AND(DR$5&lt;=$F7,DR$5+GanttPeriod-1&gt;=$E7),"━","")))</f>
        <v/>
      </c>
      <c r="DS7" s="69" t="str">
        <f aca="false">IF($E7="","",IF($M7,IF(AND($G7&gt;=DS$5,$G7&lt;DS$5+GanttPeriod),"◆",IF(AND($E7&gt;=DS$5,$E7&lt;DS$5+GanttPeriod),"◇","")),IF(AND(DS$5&lt;=$F7,DS$5+GanttPeriod-1&gt;=$E7),"━","")))</f>
        <v/>
      </c>
      <c r="DT7" s="69" t="str">
        <f aca="false">IF($E7="","",IF($M7,IF(AND($G7&gt;=DT$5,$G7&lt;DT$5+GanttPeriod),"◆",IF(AND($E7&gt;=DT$5,$E7&lt;DT$5+GanttPeriod),"◇","")),IF(AND(DT$5&lt;=$F7,DT$5+GanttPeriod-1&gt;=$E7),"━","")))</f>
        <v/>
      </c>
      <c r="DU7" s="69" t="str">
        <f aca="false">IF($E7="","",IF($M7,IF(AND($G7&gt;=DU$5,$G7&lt;DU$5+GanttPeriod),"◆",IF(AND($E7&gt;=DU$5,$E7&lt;DU$5+GanttPeriod),"◇","")),IF(AND(DU$5&lt;=$F7,DU$5+GanttPeriod-1&gt;=$E7),"━","")))</f>
        <v/>
      </c>
      <c r="DV7" s="69" t="str">
        <f aca="false">IF($E7="","",IF($M7,IF(AND($G7&gt;=DV$5,$G7&lt;DV$5+GanttPeriod),"◆",IF(AND($E7&gt;=DV$5,$E7&lt;DV$5+GanttPeriod),"◇","")),IF(AND(DV$5&lt;=$F7,DV$5+GanttPeriod-1&gt;=$E7),"━","")))</f>
        <v/>
      </c>
      <c r="DW7" s="69" t="str">
        <f aca="false">IF($E7="","",IF($M7,IF(AND($G7&gt;=DW$5,$G7&lt;DW$5+GanttPeriod),"◆",IF(AND($E7&gt;=DW$5,$E7&lt;DW$5+GanttPeriod),"◇","")),IF(AND(DW$5&lt;=$F7,DW$5+GanttPeriod-1&gt;=$E7),"━","")))</f>
        <v/>
      </c>
      <c r="DX7" s="69" t="str">
        <f aca="false">IF($E7="","",IF($M7,IF(AND($G7&gt;=DX$5,$G7&lt;DX$5+GanttPeriod),"◆",IF(AND($E7&gt;=DX$5,$E7&lt;DX$5+GanttPeriod),"◇","")),IF(AND(DX$5&lt;=$F7,DX$5+GanttPeriod-1&gt;=$E7),"━","")))</f>
        <v/>
      </c>
      <c r="DY7" s="69" t="str">
        <f aca="false">IF($E7="","",IF($M7,IF(AND($G7&gt;=DY$5,$G7&lt;DY$5+GanttPeriod),"◆",IF(AND($E7&gt;=DY$5,$E7&lt;DY$5+GanttPeriod),"◇","")),IF(AND(DY$5&lt;=$F7,DY$5+GanttPeriod-1&gt;=$E7),"━","")))</f>
        <v/>
      </c>
      <c r="DZ7" s="69" t="str">
        <f aca="false">IF($E7="","",IF($M7,IF(AND($G7&gt;=DZ$5,$G7&lt;DZ$5+GanttPeriod),"◆",IF(AND($E7&gt;=DZ$5,$E7&lt;DZ$5+GanttPeriod),"◇","")),IF(AND(DZ$5&lt;=$F7,DZ$5+GanttPeriod-1&gt;=$E7),"━","")))</f>
        <v/>
      </c>
      <c r="EA7" s="69" t="str">
        <f aca="false">IF($E7="","",IF($M7,IF(AND($G7&gt;=EA$5,$G7&lt;EA$5+GanttPeriod),"◆",IF(AND($E7&gt;=EA$5,$E7&lt;EA$5+GanttPeriod),"◇","")),IF(AND(EA$5&lt;=$F7,EA$5+GanttPeriod-1&gt;=$E7),"━","")))</f>
        <v/>
      </c>
      <c r="EB7" s="69" t="str">
        <f aca="false">IF($E7="","",IF($M7,IF(AND($G7&gt;=EB$5,$G7&lt;EB$5+GanttPeriod),"◆",IF(AND($E7&gt;=EB$5,$E7&lt;EB$5+GanttPeriod),"◇","")),IF(AND(EB$5&lt;=$F7,EB$5+GanttPeriod-1&gt;=$E7),"━","")))</f>
        <v/>
      </c>
      <c r="EC7" s="69" t="str">
        <f aca="false">IF($E7="","",IF($M7,IF(AND($G7&gt;=EC$5,$G7&lt;EC$5+GanttPeriod),"◆",IF(AND($E7&gt;=EC$5,$E7&lt;EC$5+GanttPeriod),"◇","")),IF(AND(EC$5&lt;=$F7,EC$5+GanttPeriod-1&gt;=$E7),"━","")))</f>
        <v/>
      </c>
      <c r="ED7" s="69" t="str">
        <f aca="false">IF($E7="","",IF($M7,IF(AND($G7&gt;=ED$5,$G7&lt;ED$5+GanttPeriod),"◆",IF(AND($E7&gt;=ED$5,$E7&lt;ED$5+GanttPeriod),"◇","")),IF(AND(ED$5&lt;=$F7,ED$5+GanttPeriod-1&gt;=$E7),"━","")))</f>
        <v/>
      </c>
      <c r="EE7" s="69" t="str">
        <f aca="false">IF($E7="","",IF($M7,IF(AND($G7&gt;=EE$5,$G7&lt;EE$5+GanttPeriod),"◆",IF(AND($E7&gt;=EE$5,$E7&lt;EE$5+GanttPeriod),"◇","")),IF(AND(EE$5&lt;=$F7,EE$5+GanttPeriod-1&gt;=$E7),"━","")))</f>
        <v/>
      </c>
      <c r="EF7" s="69" t="str">
        <f aca="false">IF($E7="","",IF($M7,IF(AND($G7&gt;=EF$5,$G7&lt;EF$5+GanttPeriod),"◆",IF(AND($E7&gt;=EF$5,$E7&lt;EF$5+GanttPeriod),"◇","")),IF(AND(EF$5&lt;=$F7,EF$5+GanttPeriod-1&gt;=$E7),"━","")))</f>
        <v/>
      </c>
      <c r="EG7" s="69" t="str">
        <f aca="false">IF($E7="","",IF($M7,IF(AND($G7&gt;=EG$5,$G7&lt;EG$5+GanttPeriod),"◆",IF(AND($E7&gt;=EG$5,$E7&lt;EG$5+GanttPeriod),"◇","")),IF(AND(EG$5&lt;=$F7,EG$5+GanttPeriod-1&gt;=$E7),"━","")))</f>
        <v/>
      </c>
      <c r="EH7" s="69" t="str">
        <f aca="false">IF($E7="","",IF($M7,IF(AND($G7&gt;=EH$5,$G7&lt;EH$5+GanttPeriod),"◆",IF(AND($E7&gt;=EH$5,$E7&lt;EH$5+GanttPeriod),"◇","")),IF(AND(EH$5&lt;=$F7,EH$5+GanttPeriod-1&gt;=$E7),"━","")))</f>
        <v/>
      </c>
      <c r="EI7" s="69" t="str">
        <f aca="false">IF($E7="","",IF($M7,IF(AND($G7&gt;=EI$5,$G7&lt;EI$5+GanttPeriod),"◆",IF(AND($E7&gt;=EI$5,$E7&lt;EI$5+GanttPeriod),"◇","")),IF(AND(EI$5&lt;=$F7,EI$5+GanttPeriod-1&gt;=$E7),"━","")))</f>
        <v/>
      </c>
      <c r="EJ7" s="69" t="str">
        <f aca="false">IF($E7="","",IF($M7,IF(AND($G7&gt;=EJ$5,$G7&lt;EJ$5+GanttPeriod),"◆",IF(AND($E7&gt;=EJ$5,$E7&lt;EJ$5+GanttPeriod),"◇","")),IF(AND(EJ$5&lt;=$F7,EJ$5+GanttPeriod-1&gt;=$E7),"━","")))</f>
        <v/>
      </c>
      <c r="EK7" s="69" t="str">
        <f aca="false">IF($E7="","",IF($M7,IF(AND($G7&gt;=EK$5,$G7&lt;EK$5+GanttPeriod),"◆",IF(AND($E7&gt;=EK$5,$E7&lt;EK$5+GanttPeriod),"◇","")),IF(AND(EK$5&lt;=$F7,EK$5+GanttPeriod-1&gt;=$E7),"━","")))</f>
        <v/>
      </c>
      <c r="EL7" s="69" t="str">
        <f aca="false">IF($E7="","",IF($M7,IF(AND($G7&gt;=EL$5,$G7&lt;EL$5+GanttPeriod),"◆",IF(AND($E7&gt;=EL$5,$E7&lt;EL$5+GanttPeriod),"◇","")),IF(AND(EL$5&lt;=$F7,EL$5+GanttPeriod-1&gt;=$E7),"━","")))</f>
        <v/>
      </c>
      <c r="EM7" s="69" t="str">
        <f aca="false">IF($E7="","",IF($M7,IF(AND($G7&gt;=EM$5,$G7&lt;EM$5+GanttPeriod),"◆",IF(AND($E7&gt;=EM$5,$E7&lt;EM$5+GanttPeriod),"◇","")),IF(AND(EM$5&lt;=$F7,EM$5+GanttPeriod-1&gt;=$E7),"━","")))</f>
        <v/>
      </c>
      <c r="EN7" s="69" t="str">
        <f aca="false">IF($E7="","",IF($M7,IF(AND($G7&gt;=EN$5,$G7&lt;EN$5+GanttPeriod),"◆",IF(AND($E7&gt;=EN$5,$E7&lt;EN$5+GanttPeriod),"◇","")),IF(AND(EN$5&lt;=$F7,EN$5+GanttPeriod-1&gt;=$E7),"━","")))</f>
        <v/>
      </c>
      <c r="EO7" s="69" t="str">
        <f aca="false">IF($E7="","",IF($M7,IF(AND($G7&gt;=EO$5,$G7&lt;EO$5+GanttPeriod),"◆",IF(AND($E7&gt;=EO$5,$E7&lt;EO$5+GanttPeriod),"◇","")),IF(AND(EO$5&lt;=$F7,EO$5+GanttPeriod-1&gt;=$E7),"━","")))</f>
        <v/>
      </c>
      <c r="EP7" s="69" t="str">
        <f aca="false">IF($E7="","",IF($M7,IF(AND($G7&gt;=EP$5,$G7&lt;EP$5+GanttPeriod),"◆",IF(AND($E7&gt;=EP$5,$E7&lt;EP$5+GanttPeriod),"◇","")),IF(AND(EP$5&lt;=$F7,EP$5+GanttPeriod-1&gt;=$E7),"━","")))</f>
        <v/>
      </c>
      <c r="EQ7" s="69" t="str">
        <f aca="false">IF($E7="","",IF($M7,IF(AND($G7&gt;=EQ$5,$G7&lt;EQ$5+GanttPeriod),"◆",IF(AND($E7&gt;=EQ$5,$E7&lt;EQ$5+GanttPeriod),"◇","")),IF(AND(EQ$5&lt;=$F7,EQ$5+GanttPeriod-1&gt;=$E7),"━","")))</f>
        <v/>
      </c>
      <c r="ER7" s="69" t="str">
        <f aca="false">IF($E7="","",IF($M7,IF(AND($G7&gt;=ER$5,$G7&lt;ER$5+GanttPeriod),"◆",IF(AND($E7&gt;=ER$5,$E7&lt;ER$5+GanttPeriod),"◇","")),IF(AND(ER$5&lt;=$F7,ER$5+GanttPeriod-1&gt;=$E7),"━","")))</f>
        <v/>
      </c>
      <c r="ES7" s="69" t="str">
        <f aca="false">IF($E7="","",IF($M7,IF(AND($G7&gt;=ES$5,$G7&lt;ES$5+GanttPeriod),"◆",IF(AND($E7&gt;=ES$5,$E7&lt;ES$5+GanttPeriod),"◇","")),IF(AND(ES$5&lt;=$F7,ES$5+GanttPeriod-1&gt;=$E7),"━","")))</f>
        <v/>
      </c>
      <c r="ET7" s="69" t="str">
        <f aca="false">IF($E7="","",IF($M7,IF(AND($G7&gt;=ET$5,$G7&lt;ET$5+GanttPeriod),"◆",IF(AND($E7&gt;=ET$5,$E7&lt;ET$5+GanttPeriod),"◇","")),IF(AND(ET$5&lt;=$F7,ET$5+GanttPeriod-1&gt;=$E7),"━","")))</f>
        <v/>
      </c>
      <c r="EU7" s="69" t="str">
        <f aca="false">IF($E7="","",IF($M7,IF(AND($G7&gt;=EU$5,$G7&lt;EU$5+GanttPeriod),"◆",IF(AND($E7&gt;=EU$5,$E7&lt;EU$5+GanttPeriod),"◇","")),IF(AND(EU$5&lt;=$F7,EU$5+GanttPeriod-1&gt;=$E7),"━","")))</f>
        <v/>
      </c>
      <c r="EV7" s="69" t="str">
        <f aca="false">IF($E7="","",IF($M7,IF(AND($G7&gt;=EV$5,$G7&lt;EV$5+GanttPeriod),"◆",IF(AND($E7&gt;=EV$5,$E7&lt;EV$5+GanttPeriod),"◇","")),IF(AND(EV$5&lt;=$F7,EV$5+GanttPeriod-1&gt;=$E7),"━","")))</f>
        <v/>
      </c>
      <c r="EW7" s="69" t="str">
        <f aca="false">IF($E7="","",IF($M7,IF(AND($G7&gt;=EW$5,$G7&lt;EW$5+GanttPeriod),"◆",IF(AND($E7&gt;=EW$5,$E7&lt;EW$5+GanttPeriod),"◇","")),IF(AND(EW$5&lt;=$F7,EW$5+GanttPeriod-1&gt;=$E7),"━","")))</f>
        <v/>
      </c>
      <c r="EX7" s="69" t="str">
        <f aca="false">IF($E7="","",IF($M7,IF(AND($G7&gt;=EX$5,$G7&lt;EX$5+GanttPeriod),"◆",IF(AND($E7&gt;=EX$5,$E7&lt;EX$5+GanttPeriod),"◇","")),IF(AND(EX$5&lt;=$F7,EX$5+GanttPeriod-1&gt;=$E7),"━","")))</f>
        <v/>
      </c>
      <c r="EY7" s="69" t="str">
        <f aca="false">IF($E7="","",IF($M7,IF(AND($G7&gt;=EY$5,$G7&lt;EY$5+GanttPeriod),"◆",IF(AND($E7&gt;=EY$5,$E7&lt;EY$5+GanttPeriod),"◇","")),IF(AND(EY$5&lt;=$F7,EY$5+GanttPeriod-1&gt;=$E7),"━","")))</f>
        <v/>
      </c>
      <c r="EZ7" s="69" t="str">
        <f aca="false">IF($E7="","",IF($M7,IF(AND($G7&gt;=EZ$5,$G7&lt;EZ$5+GanttPeriod),"◆",IF(AND($E7&gt;=EZ$5,$E7&lt;EZ$5+GanttPeriod),"◇","")),IF(AND(EZ$5&lt;=$F7,EZ$5+GanttPeriod-1&gt;=$E7),"━","")))</f>
        <v/>
      </c>
      <c r="FA7" s="69" t="str">
        <f aca="false">IF($E7="","",IF($M7,IF(AND($G7&gt;=FA$5,$G7&lt;FA$5+GanttPeriod),"◆",IF(AND($E7&gt;=FA$5,$E7&lt;FA$5+GanttPeriod),"◇","")),IF(AND(FA$5&lt;=$F7,FA$5+GanttPeriod-1&gt;=$E7),"━","")))</f>
        <v/>
      </c>
      <c r="FB7" s="69" t="str">
        <f aca="false">IF($E7="","",IF($M7,IF(AND($G7&gt;=FB$5,$G7&lt;FB$5+GanttPeriod),"◆",IF(AND($E7&gt;=FB$5,$E7&lt;FB$5+GanttPeriod),"◇","")),IF(AND(FB$5&lt;=$F7,FB$5+GanttPeriod-1&gt;=$E7),"━","")))</f>
        <v/>
      </c>
      <c r="FC7" s="69" t="str">
        <f aca="false">IF($E7="","",IF($M7,IF(AND($G7&gt;=FC$5,$G7&lt;FC$5+GanttPeriod),"◆",IF(AND($E7&gt;=FC$5,$E7&lt;FC$5+GanttPeriod),"◇","")),IF(AND(FC$5&lt;=$F7,FC$5+GanttPeriod-1&gt;=$E7),"━","")))</f>
        <v/>
      </c>
      <c r="FD7" s="69" t="str">
        <f aca="false">IF($E7="","",IF($M7,IF(AND($G7&gt;=FD$5,$G7&lt;FD$5+GanttPeriod),"◆",IF(AND($E7&gt;=FD$5,$E7&lt;FD$5+GanttPeriod),"◇","")),IF(AND(FD$5&lt;=$F7,FD$5+GanttPeriod-1&gt;=$E7),"━","")))</f>
        <v/>
      </c>
      <c r="FE7" s="69" t="str">
        <f aca="false">IF($E7="","",IF($M7,IF(AND($G7&gt;=FE$5,$G7&lt;FE$5+GanttPeriod),"◆",IF(AND($E7&gt;=FE$5,$E7&lt;FE$5+GanttPeriod),"◇","")),IF(AND(FE$5&lt;=$F7,FE$5+GanttPeriod-1&gt;=$E7),"━","")))</f>
        <v/>
      </c>
      <c r="FF7" s="69" t="str">
        <f aca="false">IF($E7="","",IF($M7,IF(AND($G7&gt;=FF$5,$G7&lt;FF$5+GanttPeriod),"◆",IF(AND($E7&gt;=FF$5,$E7&lt;FF$5+GanttPeriod),"◇","")),IF(AND(FF$5&lt;=$F7,FF$5+GanttPeriod-1&gt;=$E7),"━","")))</f>
        <v/>
      </c>
      <c r="FG7" s="69" t="str">
        <f aca="false">IF($E7="","",IF($M7,IF(AND($G7&gt;=FG$5,$G7&lt;FG$5+GanttPeriod),"◆",IF(AND($E7&gt;=FG$5,$E7&lt;FG$5+GanttPeriod),"◇","")),IF(AND(FG$5&lt;=$F7,FG$5+GanttPeriod-1&gt;=$E7),"━","")))</f>
        <v/>
      </c>
      <c r="FH7" s="69" t="str">
        <f aca="false">IF($E7="","",IF($M7,IF(AND($G7&gt;=FH$5,$G7&lt;FH$5+GanttPeriod),"◆",IF(AND($E7&gt;=FH$5,$E7&lt;FH$5+GanttPeriod),"◇","")),IF(AND(FH$5&lt;=$F7,FH$5+GanttPeriod-1&gt;=$E7),"━","")))</f>
        <v/>
      </c>
      <c r="FI7" s="69" t="str">
        <f aca="false">IF($E7="","",IF($M7,IF(AND($G7&gt;=FI$5,$G7&lt;FI$5+GanttPeriod),"◆",IF(AND($E7&gt;=FI$5,$E7&lt;FI$5+GanttPeriod),"◇","")),IF(AND(FI$5&lt;=$F7,FI$5+GanttPeriod-1&gt;=$E7),"━","")))</f>
        <v/>
      </c>
      <c r="FJ7" s="69" t="str">
        <f aca="false">IF($E7="","",IF($M7,IF(AND($G7&gt;=FJ$5,$G7&lt;FJ$5+GanttPeriod),"◆",IF(AND($E7&gt;=FJ$5,$E7&lt;FJ$5+GanttPeriod),"◇","")),IF(AND(FJ$5&lt;=$F7,FJ$5+GanttPeriod-1&gt;=$E7),"━","")))</f>
        <v/>
      </c>
      <c r="FK7" s="69" t="str">
        <f aca="false">IF($E7="","",IF($M7,IF(AND($G7&gt;=FK$5,$G7&lt;FK$5+GanttPeriod),"◆",IF(AND($E7&gt;=FK$5,$E7&lt;FK$5+GanttPeriod),"◇","")),IF(AND(FK$5&lt;=$F7,FK$5+GanttPeriod-1&gt;=$E7),"━","")))</f>
        <v/>
      </c>
      <c r="FL7" s="69" t="str">
        <f aca="false">IF($E7="","",IF($M7,IF(AND($G7&gt;=FL$5,$G7&lt;FL$5+GanttPeriod),"◆",IF(AND($E7&gt;=FL$5,$E7&lt;FL$5+GanttPeriod),"◇","")),IF(AND(FL$5&lt;=$F7,FL$5+GanttPeriod-1&gt;=$E7),"━","")))</f>
        <v/>
      </c>
      <c r="FM7" s="69" t="str">
        <f aca="false">IF($E7="","",IF($M7,IF(AND($G7&gt;=FM$5,$G7&lt;FM$5+GanttPeriod),"◆",IF(AND($E7&gt;=FM$5,$E7&lt;FM$5+GanttPeriod),"◇","")),IF(AND(FM$5&lt;=$F7,FM$5+GanttPeriod-1&gt;=$E7),"━","")))</f>
        <v/>
      </c>
    </row>
    <row r="8" customFormat="false" ht="15" hidden="false" customHeight="false" outlineLevel="0" collapsed="false">
      <c r="A8" s="62" t="n">
        <f aca="false">IF(Tasks!$D8="","",Tasks!$A8)</f>
        <v>3</v>
      </c>
      <c r="B8" s="62" t="str">
        <f aca="false">IF(Tasks!$D8="","",Tasks!$B8)</f>
        <v>1.2</v>
      </c>
      <c r="C8" s="63" t="str">
        <f aca="false">IF(Tasks!$D8="","",REPT("    ",Tasks!$AE8-1)&amp;Tasks!$D8)</f>
        <v>    Stakeholder kickoff workshop</v>
      </c>
      <c r="D8" s="62" t="n">
        <f aca="false">IF(Tasks!$D8="","",IF(Tasks!$AI8,NETWORKDAYS.INTL(Tasks!$R8,Tasks!$S8,WorkWeek,Holidays),N(Tasks!$F8)))</f>
        <v>2</v>
      </c>
      <c r="E8" s="64" t="n">
        <f aca="false">IF(Tasks!$D8="","",Tasks!$N8)</f>
        <v>46275</v>
      </c>
      <c r="F8" s="64" t="n">
        <f aca="false">IF(Tasks!$D8="","",Tasks!$O8)</f>
        <v>46276</v>
      </c>
      <c r="G8" s="64" t="n">
        <f aca="false">IF(Tasks!$D8="","",Tasks!$R8)</f>
        <v>46276</v>
      </c>
      <c r="H8" s="64" t="n">
        <f aca="false">IF(Tasks!$D8="","",Tasks!$S8)</f>
        <v>46279</v>
      </c>
      <c r="I8" s="65" t="n">
        <f aca="false">IF(Tasks!$D8="","",Tasks!$V8)</f>
        <v>1</v>
      </c>
      <c r="J8" s="63" t="str">
        <f aca="false">IF(Tasks!$D8="","",Tasks!$X8&amp;"")</f>
        <v>Morgan Patel</v>
      </c>
      <c r="K8" s="66" t="str">
        <f aca="false">IF(Tasks!$D8="","",Tasks!$W8)</f>
        <v>Complete</v>
      </c>
      <c r="L8" s="67" t="b">
        <f aca="false">IF(Tasks!$D8="",FALSE(),Tasks!$AI8)</f>
        <v>0</v>
      </c>
      <c r="M8" s="67" t="b">
        <f aca="false">AND(Tasks!$AJ8=1,N(Tasks!$F8)=0)</f>
        <v>0</v>
      </c>
      <c r="N8" s="68" t="n">
        <f aca="false">IF(AND(Tasks!$AJ8=1,NOT($M8),N($I8)&gt;0),$G8,0)</f>
        <v>46276</v>
      </c>
      <c r="O8" s="68" t="n">
        <f aca="false">IF($N8=0,0,IF($I8&gt;=1,$H8,MAX($N8,$G8+ROUND(($H8-$G8+1)*$I8,0)-1)))</f>
        <v>46279</v>
      </c>
      <c r="P8" s="68" t="n">
        <f aca="false">IF(OR(Tasks!$AJ8&lt;&gt;1,$M8,N($I8)&gt;=1),0,IF($O8&gt;0,$O8+1,$G8))</f>
        <v>0</v>
      </c>
      <c r="Q8" s="68" t="n">
        <f aca="false">IF($P8=0,0,$H8)</f>
        <v>0</v>
      </c>
      <c r="R8" s="67" t="b">
        <f aca="false">AND(Tasks!$D8&lt;&gt;"",N(Tasks!$T8)&gt;0)</f>
        <v>1</v>
      </c>
      <c r="T8" s="69" t="str">
        <f aca="false">IF($E8="","",IF($M8,IF(AND($G8&gt;=T$5,$G8&lt;T$5+GanttPeriod),"◆",IF(AND($E8&gt;=T$5,$E8&lt;T$5+GanttPeriod),"◇","")),IF(AND(T$5&lt;=$F8,T$5+GanttPeriod-1&gt;=$E8),"━","")))</f>
        <v/>
      </c>
      <c r="U8" s="69" t="str">
        <f aca="false">IF($E8="","",IF($M8,IF(AND($G8&gt;=U$5,$G8&lt;U$5+GanttPeriod),"◆",IF(AND($E8&gt;=U$5,$E8&lt;U$5+GanttPeriod),"◇","")),IF(AND(U$5&lt;=$F8,U$5+GanttPeriod-1&gt;=$E8),"━","")))</f>
        <v/>
      </c>
      <c r="V8" s="69" t="str">
        <f aca="false">IF($E8="","",IF($M8,IF(AND($G8&gt;=V$5,$G8&lt;V$5+GanttPeriod),"◆",IF(AND($E8&gt;=V$5,$E8&lt;V$5+GanttPeriod),"◇","")),IF(AND(V$5&lt;=$F8,V$5+GanttPeriod-1&gt;=$E8),"━","")))</f>
        <v/>
      </c>
      <c r="W8" s="69" t="str">
        <f aca="false">IF($E8="","",IF($M8,IF(AND($G8&gt;=W$5,$G8&lt;W$5+GanttPeriod),"◆",IF(AND($E8&gt;=W$5,$E8&lt;W$5+GanttPeriod),"◇","")),IF(AND(W$5&lt;=$F8,W$5+GanttPeriod-1&gt;=$E8),"━","")))</f>
        <v>━</v>
      </c>
      <c r="X8" s="69" t="str">
        <f aca="false">IF($E8="","",IF($M8,IF(AND($G8&gt;=X$5,$G8&lt;X$5+GanttPeriod),"◆",IF(AND($E8&gt;=X$5,$E8&lt;X$5+GanttPeriod),"◇","")),IF(AND(X$5&lt;=$F8,X$5+GanttPeriod-1&gt;=$E8),"━","")))</f>
        <v>━</v>
      </c>
      <c r="Y8" s="69" t="str">
        <f aca="false">IF($E8="","",IF($M8,IF(AND($G8&gt;=Y$5,$G8&lt;Y$5+GanttPeriod),"◆",IF(AND($E8&gt;=Y$5,$E8&lt;Y$5+GanttPeriod),"◇","")),IF(AND(Y$5&lt;=$F8,Y$5+GanttPeriod-1&gt;=$E8),"━","")))</f>
        <v/>
      </c>
      <c r="Z8" s="69" t="str">
        <f aca="false">IF($E8="","",IF($M8,IF(AND($G8&gt;=Z$5,$G8&lt;Z$5+GanttPeriod),"◆",IF(AND($E8&gt;=Z$5,$E8&lt;Z$5+GanttPeriod),"◇","")),IF(AND(Z$5&lt;=$F8,Z$5+GanttPeriod-1&gt;=$E8),"━","")))</f>
        <v/>
      </c>
      <c r="AA8" s="69" t="str">
        <f aca="false">IF($E8="","",IF($M8,IF(AND($G8&gt;=AA$5,$G8&lt;AA$5+GanttPeriod),"◆",IF(AND($E8&gt;=AA$5,$E8&lt;AA$5+GanttPeriod),"◇","")),IF(AND(AA$5&lt;=$F8,AA$5+GanttPeriod-1&gt;=$E8),"━","")))</f>
        <v/>
      </c>
      <c r="AB8" s="69" t="str">
        <f aca="false">IF($E8="","",IF($M8,IF(AND($G8&gt;=AB$5,$G8&lt;AB$5+GanttPeriod),"◆",IF(AND($E8&gt;=AB$5,$E8&lt;AB$5+GanttPeriod),"◇","")),IF(AND(AB$5&lt;=$F8,AB$5+GanttPeriod-1&gt;=$E8),"━","")))</f>
        <v/>
      </c>
      <c r="AC8" s="69" t="str">
        <f aca="false">IF($E8="","",IF($M8,IF(AND($G8&gt;=AC$5,$G8&lt;AC$5+GanttPeriod),"◆",IF(AND($E8&gt;=AC$5,$E8&lt;AC$5+GanttPeriod),"◇","")),IF(AND(AC$5&lt;=$F8,AC$5+GanttPeriod-1&gt;=$E8),"━","")))</f>
        <v/>
      </c>
      <c r="AD8" s="69" t="str">
        <f aca="false">IF($E8="","",IF($M8,IF(AND($G8&gt;=AD$5,$G8&lt;AD$5+GanttPeriod),"◆",IF(AND($E8&gt;=AD$5,$E8&lt;AD$5+GanttPeriod),"◇","")),IF(AND(AD$5&lt;=$F8,AD$5+GanttPeriod-1&gt;=$E8),"━","")))</f>
        <v/>
      </c>
      <c r="AE8" s="69" t="str">
        <f aca="false">IF($E8="","",IF($M8,IF(AND($G8&gt;=AE$5,$G8&lt;AE$5+GanttPeriod),"◆",IF(AND($E8&gt;=AE$5,$E8&lt;AE$5+GanttPeriod),"◇","")),IF(AND(AE$5&lt;=$F8,AE$5+GanttPeriod-1&gt;=$E8),"━","")))</f>
        <v/>
      </c>
      <c r="AF8" s="69" t="str">
        <f aca="false">IF($E8="","",IF($M8,IF(AND($G8&gt;=AF$5,$G8&lt;AF$5+GanttPeriod),"◆",IF(AND($E8&gt;=AF$5,$E8&lt;AF$5+GanttPeriod),"◇","")),IF(AND(AF$5&lt;=$F8,AF$5+GanttPeriod-1&gt;=$E8),"━","")))</f>
        <v/>
      </c>
      <c r="AG8" s="69" t="str">
        <f aca="false">IF($E8="","",IF($M8,IF(AND($G8&gt;=AG$5,$G8&lt;AG$5+GanttPeriod),"◆",IF(AND($E8&gt;=AG$5,$E8&lt;AG$5+GanttPeriod),"◇","")),IF(AND(AG$5&lt;=$F8,AG$5+GanttPeriod-1&gt;=$E8),"━","")))</f>
        <v/>
      </c>
      <c r="AH8" s="69" t="str">
        <f aca="false">IF($E8="","",IF($M8,IF(AND($G8&gt;=AH$5,$G8&lt;AH$5+GanttPeriod),"◆",IF(AND($E8&gt;=AH$5,$E8&lt;AH$5+GanttPeriod),"◇","")),IF(AND(AH$5&lt;=$F8,AH$5+GanttPeriod-1&gt;=$E8),"━","")))</f>
        <v/>
      </c>
      <c r="AI8" s="69" t="str">
        <f aca="false">IF($E8="","",IF($M8,IF(AND($G8&gt;=AI$5,$G8&lt;AI$5+GanttPeriod),"◆",IF(AND($E8&gt;=AI$5,$E8&lt;AI$5+GanttPeriod),"◇","")),IF(AND(AI$5&lt;=$F8,AI$5+GanttPeriod-1&gt;=$E8),"━","")))</f>
        <v/>
      </c>
      <c r="AJ8" s="69" t="str">
        <f aca="false">IF($E8="","",IF($M8,IF(AND($G8&gt;=AJ$5,$G8&lt;AJ$5+GanttPeriod),"◆",IF(AND($E8&gt;=AJ$5,$E8&lt;AJ$5+GanttPeriod),"◇","")),IF(AND(AJ$5&lt;=$F8,AJ$5+GanttPeriod-1&gt;=$E8),"━","")))</f>
        <v/>
      </c>
      <c r="AK8" s="69" t="str">
        <f aca="false">IF($E8="","",IF($M8,IF(AND($G8&gt;=AK$5,$G8&lt;AK$5+GanttPeriod),"◆",IF(AND($E8&gt;=AK$5,$E8&lt;AK$5+GanttPeriod),"◇","")),IF(AND(AK$5&lt;=$F8,AK$5+GanttPeriod-1&gt;=$E8),"━","")))</f>
        <v/>
      </c>
      <c r="AL8" s="69" t="str">
        <f aca="false">IF($E8="","",IF($M8,IF(AND($G8&gt;=AL$5,$G8&lt;AL$5+GanttPeriod),"◆",IF(AND($E8&gt;=AL$5,$E8&lt;AL$5+GanttPeriod),"◇","")),IF(AND(AL$5&lt;=$F8,AL$5+GanttPeriod-1&gt;=$E8),"━","")))</f>
        <v/>
      </c>
      <c r="AM8" s="69" t="str">
        <f aca="false">IF($E8="","",IF($M8,IF(AND($G8&gt;=AM$5,$G8&lt;AM$5+GanttPeriod),"◆",IF(AND($E8&gt;=AM$5,$E8&lt;AM$5+GanttPeriod),"◇","")),IF(AND(AM$5&lt;=$F8,AM$5+GanttPeriod-1&gt;=$E8),"━","")))</f>
        <v/>
      </c>
      <c r="AN8" s="69" t="str">
        <f aca="false">IF($E8="","",IF($M8,IF(AND($G8&gt;=AN$5,$G8&lt;AN$5+GanttPeriod),"◆",IF(AND($E8&gt;=AN$5,$E8&lt;AN$5+GanttPeriod),"◇","")),IF(AND(AN$5&lt;=$F8,AN$5+GanttPeriod-1&gt;=$E8),"━","")))</f>
        <v/>
      </c>
      <c r="AO8" s="69" t="str">
        <f aca="false">IF($E8="","",IF($M8,IF(AND($G8&gt;=AO$5,$G8&lt;AO$5+GanttPeriod),"◆",IF(AND($E8&gt;=AO$5,$E8&lt;AO$5+GanttPeriod),"◇","")),IF(AND(AO$5&lt;=$F8,AO$5+GanttPeriod-1&gt;=$E8),"━","")))</f>
        <v/>
      </c>
      <c r="AP8" s="69" t="str">
        <f aca="false">IF($E8="","",IF($M8,IF(AND($G8&gt;=AP$5,$G8&lt;AP$5+GanttPeriod),"◆",IF(AND($E8&gt;=AP$5,$E8&lt;AP$5+GanttPeriod),"◇","")),IF(AND(AP$5&lt;=$F8,AP$5+GanttPeriod-1&gt;=$E8),"━","")))</f>
        <v/>
      </c>
      <c r="AQ8" s="69" t="str">
        <f aca="false">IF($E8="","",IF($M8,IF(AND($G8&gt;=AQ$5,$G8&lt;AQ$5+GanttPeriod),"◆",IF(AND($E8&gt;=AQ$5,$E8&lt;AQ$5+GanttPeriod),"◇","")),IF(AND(AQ$5&lt;=$F8,AQ$5+GanttPeriod-1&gt;=$E8),"━","")))</f>
        <v/>
      </c>
      <c r="AR8" s="69" t="str">
        <f aca="false">IF($E8="","",IF($M8,IF(AND($G8&gt;=AR$5,$G8&lt;AR$5+GanttPeriod),"◆",IF(AND($E8&gt;=AR$5,$E8&lt;AR$5+GanttPeriod),"◇","")),IF(AND(AR$5&lt;=$F8,AR$5+GanttPeriod-1&gt;=$E8),"━","")))</f>
        <v/>
      </c>
      <c r="AS8" s="69" t="str">
        <f aca="false">IF($E8="","",IF($M8,IF(AND($G8&gt;=AS$5,$G8&lt;AS$5+GanttPeriod),"◆",IF(AND($E8&gt;=AS$5,$E8&lt;AS$5+GanttPeriod),"◇","")),IF(AND(AS$5&lt;=$F8,AS$5+GanttPeriod-1&gt;=$E8),"━","")))</f>
        <v/>
      </c>
      <c r="AT8" s="69" t="str">
        <f aca="false">IF($E8="","",IF($M8,IF(AND($G8&gt;=AT$5,$G8&lt;AT$5+GanttPeriod),"◆",IF(AND($E8&gt;=AT$5,$E8&lt;AT$5+GanttPeriod),"◇","")),IF(AND(AT$5&lt;=$F8,AT$5+GanttPeriod-1&gt;=$E8),"━","")))</f>
        <v/>
      </c>
      <c r="AU8" s="69" t="str">
        <f aca="false">IF($E8="","",IF($M8,IF(AND($G8&gt;=AU$5,$G8&lt;AU$5+GanttPeriod),"◆",IF(AND($E8&gt;=AU$5,$E8&lt;AU$5+GanttPeriod),"◇","")),IF(AND(AU$5&lt;=$F8,AU$5+GanttPeriod-1&gt;=$E8),"━","")))</f>
        <v/>
      </c>
      <c r="AV8" s="69" t="str">
        <f aca="false">IF($E8="","",IF($M8,IF(AND($G8&gt;=AV$5,$G8&lt;AV$5+GanttPeriod),"◆",IF(AND($E8&gt;=AV$5,$E8&lt;AV$5+GanttPeriod),"◇","")),IF(AND(AV$5&lt;=$F8,AV$5+GanttPeriod-1&gt;=$E8),"━","")))</f>
        <v/>
      </c>
      <c r="AW8" s="69" t="str">
        <f aca="false">IF($E8="","",IF($M8,IF(AND($G8&gt;=AW$5,$G8&lt;AW$5+GanttPeriod),"◆",IF(AND($E8&gt;=AW$5,$E8&lt;AW$5+GanttPeriod),"◇","")),IF(AND(AW$5&lt;=$F8,AW$5+GanttPeriod-1&gt;=$E8),"━","")))</f>
        <v/>
      </c>
      <c r="AX8" s="69" t="str">
        <f aca="false">IF($E8="","",IF($M8,IF(AND($G8&gt;=AX$5,$G8&lt;AX$5+GanttPeriod),"◆",IF(AND($E8&gt;=AX$5,$E8&lt;AX$5+GanttPeriod),"◇","")),IF(AND(AX$5&lt;=$F8,AX$5+GanttPeriod-1&gt;=$E8),"━","")))</f>
        <v/>
      </c>
      <c r="AY8" s="69" t="str">
        <f aca="false">IF($E8="","",IF($M8,IF(AND($G8&gt;=AY$5,$G8&lt;AY$5+GanttPeriod),"◆",IF(AND($E8&gt;=AY$5,$E8&lt;AY$5+GanttPeriod),"◇","")),IF(AND(AY$5&lt;=$F8,AY$5+GanttPeriod-1&gt;=$E8),"━","")))</f>
        <v/>
      </c>
      <c r="AZ8" s="69" t="str">
        <f aca="false">IF($E8="","",IF($M8,IF(AND($G8&gt;=AZ$5,$G8&lt;AZ$5+GanttPeriod),"◆",IF(AND($E8&gt;=AZ$5,$E8&lt;AZ$5+GanttPeriod),"◇","")),IF(AND(AZ$5&lt;=$F8,AZ$5+GanttPeriod-1&gt;=$E8),"━","")))</f>
        <v/>
      </c>
      <c r="BA8" s="69" t="str">
        <f aca="false">IF($E8="","",IF($M8,IF(AND($G8&gt;=BA$5,$G8&lt;BA$5+GanttPeriod),"◆",IF(AND($E8&gt;=BA$5,$E8&lt;BA$5+GanttPeriod),"◇","")),IF(AND(BA$5&lt;=$F8,BA$5+GanttPeriod-1&gt;=$E8),"━","")))</f>
        <v/>
      </c>
      <c r="BB8" s="69" t="str">
        <f aca="false">IF($E8="","",IF($M8,IF(AND($G8&gt;=BB$5,$G8&lt;BB$5+GanttPeriod),"◆",IF(AND($E8&gt;=BB$5,$E8&lt;BB$5+GanttPeriod),"◇","")),IF(AND(BB$5&lt;=$F8,BB$5+GanttPeriod-1&gt;=$E8),"━","")))</f>
        <v/>
      </c>
      <c r="BC8" s="69" t="str">
        <f aca="false">IF($E8="","",IF($M8,IF(AND($G8&gt;=BC$5,$G8&lt;BC$5+GanttPeriod),"◆",IF(AND($E8&gt;=BC$5,$E8&lt;BC$5+GanttPeriod),"◇","")),IF(AND(BC$5&lt;=$F8,BC$5+GanttPeriod-1&gt;=$E8),"━","")))</f>
        <v/>
      </c>
      <c r="BD8" s="69" t="str">
        <f aca="false">IF($E8="","",IF($M8,IF(AND($G8&gt;=BD$5,$G8&lt;BD$5+GanttPeriod),"◆",IF(AND($E8&gt;=BD$5,$E8&lt;BD$5+GanttPeriod),"◇","")),IF(AND(BD$5&lt;=$F8,BD$5+GanttPeriod-1&gt;=$E8),"━","")))</f>
        <v/>
      </c>
      <c r="BE8" s="69" t="str">
        <f aca="false">IF($E8="","",IF($M8,IF(AND($G8&gt;=BE$5,$G8&lt;BE$5+GanttPeriod),"◆",IF(AND($E8&gt;=BE$5,$E8&lt;BE$5+GanttPeriod),"◇","")),IF(AND(BE$5&lt;=$F8,BE$5+GanttPeriod-1&gt;=$E8),"━","")))</f>
        <v/>
      </c>
      <c r="BF8" s="69" t="str">
        <f aca="false">IF($E8="","",IF($M8,IF(AND($G8&gt;=BF$5,$G8&lt;BF$5+GanttPeriod),"◆",IF(AND($E8&gt;=BF$5,$E8&lt;BF$5+GanttPeriod),"◇","")),IF(AND(BF$5&lt;=$F8,BF$5+GanttPeriod-1&gt;=$E8),"━","")))</f>
        <v/>
      </c>
      <c r="BG8" s="69" t="str">
        <f aca="false">IF($E8="","",IF($M8,IF(AND($G8&gt;=BG$5,$G8&lt;BG$5+GanttPeriod),"◆",IF(AND($E8&gt;=BG$5,$E8&lt;BG$5+GanttPeriod),"◇","")),IF(AND(BG$5&lt;=$F8,BG$5+GanttPeriod-1&gt;=$E8),"━","")))</f>
        <v/>
      </c>
      <c r="BH8" s="69" t="str">
        <f aca="false">IF($E8="","",IF($M8,IF(AND($G8&gt;=BH$5,$G8&lt;BH$5+GanttPeriod),"◆",IF(AND($E8&gt;=BH$5,$E8&lt;BH$5+GanttPeriod),"◇","")),IF(AND(BH$5&lt;=$F8,BH$5+GanttPeriod-1&gt;=$E8),"━","")))</f>
        <v/>
      </c>
      <c r="BI8" s="69" t="str">
        <f aca="false">IF($E8="","",IF($M8,IF(AND($G8&gt;=BI$5,$G8&lt;BI$5+GanttPeriod),"◆",IF(AND($E8&gt;=BI$5,$E8&lt;BI$5+GanttPeriod),"◇","")),IF(AND(BI$5&lt;=$F8,BI$5+GanttPeriod-1&gt;=$E8),"━","")))</f>
        <v/>
      </c>
      <c r="BJ8" s="69" t="str">
        <f aca="false">IF($E8="","",IF($M8,IF(AND($G8&gt;=BJ$5,$G8&lt;BJ$5+GanttPeriod),"◆",IF(AND($E8&gt;=BJ$5,$E8&lt;BJ$5+GanttPeriod),"◇","")),IF(AND(BJ$5&lt;=$F8,BJ$5+GanttPeriod-1&gt;=$E8),"━","")))</f>
        <v/>
      </c>
      <c r="BK8" s="69" t="str">
        <f aca="false">IF($E8="","",IF($M8,IF(AND($G8&gt;=BK$5,$G8&lt;BK$5+GanttPeriod),"◆",IF(AND($E8&gt;=BK$5,$E8&lt;BK$5+GanttPeriod),"◇","")),IF(AND(BK$5&lt;=$F8,BK$5+GanttPeriod-1&gt;=$E8),"━","")))</f>
        <v/>
      </c>
      <c r="BL8" s="69" t="str">
        <f aca="false">IF($E8="","",IF($M8,IF(AND($G8&gt;=BL$5,$G8&lt;BL$5+GanttPeriod),"◆",IF(AND($E8&gt;=BL$5,$E8&lt;BL$5+GanttPeriod),"◇","")),IF(AND(BL$5&lt;=$F8,BL$5+GanttPeriod-1&gt;=$E8),"━","")))</f>
        <v/>
      </c>
      <c r="BM8" s="69" t="str">
        <f aca="false">IF($E8="","",IF($M8,IF(AND($G8&gt;=BM$5,$G8&lt;BM$5+GanttPeriod),"◆",IF(AND($E8&gt;=BM$5,$E8&lt;BM$5+GanttPeriod),"◇","")),IF(AND(BM$5&lt;=$F8,BM$5+GanttPeriod-1&gt;=$E8),"━","")))</f>
        <v/>
      </c>
      <c r="BN8" s="69" t="str">
        <f aca="false">IF($E8="","",IF($M8,IF(AND($G8&gt;=BN$5,$G8&lt;BN$5+GanttPeriod),"◆",IF(AND($E8&gt;=BN$5,$E8&lt;BN$5+GanttPeriod),"◇","")),IF(AND(BN$5&lt;=$F8,BN$5+GanttPeriod-1&gt;=$E8),"━","")))</f>
        <v/>
      </c>
      <c r="BO8" s="69" t="str">
        <f aca="false">IF($E8="","",IF($M8,IF(AND($G8&gt;=BO$5,$G8&lt;BO$5+GanttPeriod),"◆",IF(AND($E8&gt;=BO$5,$E8&lt;BO$5+GanttPeriod),"◇","")),IF(AND(BO$5&lt;=$F8,BO$5+GanttPeriod-1&gt;=$E8),"━","")))</f>
        <v/>
      </c>
      <c r="BP8" s="69" t="str">
        <f aca="false">IF($E8="","",IF($M8,IF(AND($G8&gt;=BP$5,$G8&lt;BP$5+GanttPeriod),"◆",IF(AND($E8&gt;=BP$5,$E8&lt;BP$5+GanttPeriod),"◇","")),IF(AND(BP$5&lt;=$F8,BP$5+GanttPeriod-1&gt;=$E8),"━","")))</f>
        <v/>
      </c>
      <c r="BQ8" s="69" t="str">
        <f aca="false">IF($E8="","",IF($M8,IF(AND($G8&gt;=BQ$5,$G8&lt;BQ$5+GanttPeriod),"◆",IF(AND($E8&gt;=BQ$5,$E8&lt;BQ$5+GanttPeriod),"◇","")),IF(AND(BQ$5&lt;=$F8,BQ$5+GanttPeriod-1&gt;=$E8),"━","")))</f>
        <v/>
      </c>
      <c r="BR8" s="69" t="str">
        <f aca="false">IF($E8="","",IF($M8,IF(AND($G8&gt;=BR$5,$G8&lt;BR$5+GanttPeriod),"◆",IF(AND($E8&gt;=BR$5,$E8&lt;BR$5+GanttPeriod),"◇","")),IF(AND(BR$5&lt;=$F8,BR$5+GanttPeriod-1&gt;=$E8),"━","")))</f>
        <v/>
      </c>
      <c r="BS8" s="69" t="str">
        <f aca="false">IF($E8="","",IF($M8,IF(AND($G8&gt;=BS$5,$G8&lt;BS$5+GanttPeriod),"◆",IF(AND($E8&gt;=BS$5,$E8&lt;BS$5+GanttPeriod),"◇","")),IF(AND(BS$5&lt;=$F8,BS$5+GanttPeriod-1&gt;=$E8),"━","")))</f>
        <v/>
      </c>
      <c r="BT8" s="69" t="str">
        <f aca="false">IF($E8="","",IF($M8,IF(AND($G8&gt;=BT$5,$G8&lt;BT$5+GanttPeriod),"◆",IF(AND($E8&gt;=BT$5,$E8&lt;BT$5+GanttPeriod),"◇","")),IF(AND(BT$5&lt;=$F8,BT$5+GanttPeriod-1&gt;=$E8),"━","")))</f>
        <v/>
      </c>
      <c r="BU8" s="69" t="str">
        <f aca="false">IF($E8="","",IF($M8,IF(AND($G8&gt;=BU$5,$G8&lt;BU$5+GanttPeriod),"◆",IF(AND($E8&gt;=BU$5,$E8&lt;BU$5+GanttPeriod),"◇","")),IF(AND(BU$5&lt;=$F8,BU$5+GanttPeriod-1&gt;=$E8),"━","")))</f>
        <v/>
      </c>
      <c r="BV8" s="69" t="str">
        <f aca="false">IF($E8="","",IF($M8,IF(AND($G8&gt;=BV$5,$G8&lt;BV$5+GanttPeriod),"◆",IF(AND($E8&gt;=BV$5,$E8&lt;BV$5+GanttPeriod),"◇","")),IF(AND(BV$5&lt;=$F8,BV$5+GanttPeriod-1&gt;=$E8),"━","")))</f>
        <v/>
      </c>
      <c r="BW8" s="69" t="str">
        <f aca="false">IF($E8="","",IF($M8,IF(AND($G8&gt;=BW$5,$G8&lt;BW$5+GanttPeriod),"◆",IF(AND($E8&gt;=BW$5,$E8&lt;BW$5+GanttPeriod),"◇","")),IF(AND(BW$5&lt;=$F8,BW$5+GanttPeriod-1&gt;=$E8),"━","")))</f>
        <v/>
      </c>
      <c r="BX8" s="69" t="str">
        <f aca="false">IF($E8="","",IF($M8,IF(AND($G8&gt;=BX$5,$G8&lt;BX$5+GanttPeriod),"◆",IF(AND($E8&gt;=BX$5,$E8&lt;BX$5+GanttPeriod),"◇","")),IF(AND(BX$5&lt;=$F8,BX$5+GanttPeriod-1&gt;=$E8),"━","")))</f>
        <v/>
      </c>
      <c r="BY8" s="69" t="str">
        <f aca="false">IF($E8="","",IF($M8,IF(AND($G8&gt;=BY$5,$G8&lt;BY$5+GanttPeriod),"◆",IF(AND($E8&gt;=BY$5,$E8&lt;BY$5+GanttPeriod),"◇","")),IF(AND(BY$5&lt;=$F8,BY$5+GanttPeriod-1&gt;=$E8),"━","")))</f>
        <v/>
      </c>
      <c r="BZ8" s="69" t="str">
        <f aca="false">IF($E8="","",IF($M8,IF(AND($G8&gt;=BZ$5,$G8&lt;BZ$5+GanttPeriod),"◆",IF(AND($E8&gt;=BZ$5,$E8&lt;BZ$5+GanttPeriod),"◇","")),IF(AND(BZ$5&lt;=$F8,BZ$5+GanttPeriod-1&gt;=$E8),"━","")))</f>
        <v/>
      </c>
      <c r="CA8" s="69" t="str">
        <f aca="false">IF($E8="","",IF($M8,IF(AND($G8&gt;=CA$5,$G8&lt;CA$5+GanttPeriod),"◆",IF(AND($E8&gt;=CA$5,$E8&lt;CA$5+GanttPeriod),"◇","")),IF(AND(CA$5&lt;=$F8,CA$5+GanttPeriod-1&gt;=$E8),"━","")))</f>
        <v/>
      </c>
      <c r="CB8" s="69" t="str">
        <f aca="false">IF($E8="","",IF($M8,IF(AND($G8&gt;=CB$5,$G8&lt;CB$5+GanttPeriod),"◆",IF(AND($E8&gt;=CB$5,$E8&lt;CB$5+GanttPeriod),"◇","")),IF(AND(CB$5&lt;=$F8,CB$5+GanttPeriod-1&gt;=$E8),"━","")))</f>
        <v/>
      </c>
      <c r="CC8" s="69" t="str">
        <f aca="false">IF($E8="","",IF($M8,IF(AND($G8&gt;=CC$5,$G8&lt;CC$5+GanttPeriod),"◆",IF(AND($E8&gt;=CC$5,$E8&lt;CC$5+GanttPeriod),"◇","")),IF(AND(CC$5&lt;=$F8,CC$5+GanttPeriod-1&gt;=$E8),"━","")))</f>
        <v/>
      </c>
      <c r="CD8" s="69" t="str">
        <f aca="false">IF($E8="","",IF($M8,IF(AND($G8&gt;=CD$5,$G8&lt;CD$5+GanttPeriod),"◆",IF(AND($E8&gt;=CD$5,$E8&lt;CD$5+GanttPeriod),"◇","")),IF(AND(CD$5&lt;=$F8,CD$5+GanttPeriod-1&gt;=$E8),"━","")))</f>
        <v/>
      </c>
      <c r="CE8" s="69" t="str">
        <f aca="false">IF($E8="","",IF($M8,IF(AND($G8&gt;=CE$5,$G8&lt;CE$5+GanttPeriod),"◆",IF(AND($E8&gt;=CE$5,$E8&lt;CE$5+GanttPeriod),"◇","")),IF(AND(CE$5&lt;=$F8,CE$5+GanttPeriod-1&gt;=$E8),"━","")))</f>
        <v/>
      </c>
      <c r="CF8" s="69" t="str">
        <f aca="false">IF($E8="","",IF($M8,IF(AND($G8&gt;=CF$5,$G8&lt;CF$5+GanttPeriod),"◆",IF(AND($E8&gt;=CF$5,$E8&lt;CF$5+GanttPeriod),"◇","")),IF(AND(CF$5&lt;=$F8,CF$5+GanttPeriod-1&gt;=$E8),"━","")))</f>
        <v/>
      </c>
      <c r="CG8" s="69" t="str">
        <f aca="false">IF($E8="","",IF($M8,IF(AND($G8&gt;=CG$5,$G8&lt;CG$5+GanttPeriod),"◆",IF(AND($E8&gt;=CG$5,$E8&lt;CG$5+GanttPeriod),"◇","")),IF(AND(CG$5&lt;=$F8,CG$5+GanttPeriod-1&gt;=$E8),"━","")))</f>
        <v/>
      </c>
      <c r="CH8" s="69" t="str">
        <f aca="false">IF($E8="","",IF($M8,IF(AND($G8&gt;=CH$5,$G8&lt;CH$5+GanttPeriod),"◆",IF(AND($E8&gt;=CH$5,$E8&lt;CH$5+GanttPeriod),"◇","")),IF(AND(CH$5&lt;=$F8,CH$5+GanttPeriod-1&gt;=$E8),"━","")))</f>
        <v/>
      </c>
      <c r="CI8" s="69" t="str">
        <f aca="false">IF($E8="","",IF($M8,IF(AND($G8&gt;=CI$5,$G8&lt;CI$5+GanttPeriod),"◆",IF(AND($E8&gt;=CI$5,$E8&lt;CI$5+GanttPeriod),"◇","")),IF(AND(CI$5&lt;=$F8,CI$5+GanttPeriod-1&gt;=$E8),"━","")))</f>
        <v/>
      </c>
      <c r="CJ8" s="69" t="str">
        <f aca="false">IF($E8="","",IF($M8,IF(AND($G8&gt;=CJ$5,$G8&lt;CJ$5+GanttPeriod),"◆",IF(AND($E8&gt;=CJ$5,$E8&lt;CJ$5+GanttPeriod),"◇","")),IF(AND(CJ$5&lt;=$F8,CJ$5+GanttPeriod-1&gt;=$E8),"━","")))</f>
        <v/>
      </c>
      <c r="CK8" s="69" t="str">
        <f aca="false">IF($E8="","",IF($M8,IF(AND($G8&gt;=CK$5,$G8&lt;CK$5+GanttPeriod),"◆",IF(AND($E8&gt;=CK$5,$E8&lt;CK$5+GanttPeriod),"◇","")),IF(AND(CK$5&lt;=$F8,CK$5+GanttPeriod-1&gt;=$E8),"━","")))</f>
        <v/>
      </c>
      <c r="CL8" s="69" t="str">
        <f aca="false">IF($E8="","",IF($M8,IF(AND($G8&gt;=CL$5,$G8&lt;CL$5+GanttPeriod),"◆",IF(AND($E8&gt;=CL$5,$E8&lt;CL$5+GanttPeriod),"◇","")),IF(AND(CL$5&lt;=$F8,CL$5+GanttPeriod-1&gt;=$E8),"━","")))</f>
        <v/>
      </c>
      <c r="CM8" s="69" t="str">
        <f aca="false">IF($E8="","",IF($M8,IF(AND($G8&gt;=CM$5,$G8&lt;CM$5+GanttPeriod),"◆",IF(AND($E8&gt;=CM$5,$E8&lt;CM$5+GanttPeriod),"◇","")),IF(AND(CM$5&lt;=$F8,CM$5+GanttPeriod-1&gt;=$E8),"━","")))</f>
        <v/>
      </c>
      <c r="CN8" s="69" t="str">
        <f aca="false">IF($E8="","",IF($M8,IF(AND($G8&gt;=CN$5,$G8&lt;CN$5+GanttPeriod),"◆",IF(AND($E8&gt;=CN$5,$E8&lt;CN$5+GanttPeriod),"◇","")),IF(AND(CN$5&lt;=$F8,CN$5+GanttPeriod-1&gt;=$E8),"━","")))</f>
        <v/>
      </c>
      <c r="CO8" s="69" t="str">
        <f aca="false">IF($E8="","",IF($M8,IF(AND($G8&gt;=CO$5,$G8&lt;CO$5+GanttPeriod),"◆",IF(AND($E8&gt;=CO$5,$E8&lt;CO$5+GanttPeriod),"◇","")),IF(AND(CO$5&lt;=$F8,CO$5+GanttPeriod-1&gt;=$E8),"━","")))</f>
        <v/>
      </c>
      <c r="CP8" s="69" t="str">
        <f aca="false">IF($E8="","",IF($M8,IF(AND($G8&gt;=CP$5,$G8&lt;CP$5+GanttPeriod),"◆",IF(AND($E8&gt;=CP$5,$E8&lt;CP$5+GanttPeriod),"◇","")),IF(AND(CP$5&lt;=$F8,CP$5+GanttPeriod-1&gt;=$E8),"━","")))</f>
        <v/>
      </c>
      <c r="CQ8" s="69" t="str">
        <f aca="false">IF($E8="","",IF($M8,IF(AND($G8&gt;=CQ$5,$G8&lt;CQ$5+GanttPeriod),"◆",IF(AND($E8&gt;=CQ$5,$E8&lt;CQ$5+GanttPeriod),"◇","")),IF(AND(CQ$5&lt;=$F8,CQ$5+GanttPeriod-1&gt;=$E8),"━","")))</f>
        <v/>
      </c>
      <c r="CR8" s="69" t="str">
        <f aca="false">IF($E8="","",IF($M8,IF(AND($G8&gt;=CR$5,$G8&lt;CR$5+GanttPeriod),"◆",IF(AND($E8&gt;=CR$5,$E8&lt;CR$5+GanttPeriod),"◇","")),IF(AND(CR$5&lt;=$F8,CR$5+GanttPeriod-1&gt;=$E8),"━","")))</f>
        <v/>
      </c>
      <c r="CS8" s="69" t="str">
        <f aca="false">IF($E8="","",IF($M8,IF(AND($G8&gt;=CS$5,$G8&lt;CS$5+GanttPeriod),"◆",IF(AND($E8&gt;=CS$5,$E8&lt;CS$5+GanttPeriod),"◇","")),IF(AND(CS$5&lt;=$F8,CS$5+GanttPeriod-1&gt;=$E8),"━","")))</f>
        <v/>
      </c>
      <c r="CT8" s="69" t="str">
        <f aca="false">IF($E8="","",IF($M8,IF(AND($G8&gt;=CT$5,$G8&lt;CT$5+GanttPeriod),"◆",IF(AND($E8&gt;=CT$5,$E8&lt;CT$5+GanttPeriod),"◇","")),IF(AND(CT$5&lt;=$F8,CT$5+GanttPeriod-1&gt;=$E8),"━","")))</f>
        <v/>
      </c>
      <c r="CU8" s="69" t="str">
        <f aca="false">IF($E8="","",IF($M8,IF(AND($G8&gt;=CU$5,$G8&lt;CU$5+GanttPeriod),"◆",IF(AND($E8&gt;=CU$5,$E8&lt;CU$5+GanttPeriod),"◇","")),IF(AND(CU$5&lt;=$F8,CU$5+GanttPeriod-1&gt;=$E8),"━","")))</f>
        <v/>
      </c>
      <c r="CV8" s="69" t="str">
        <f aca="false">IF($E8="","",IF($M8,IF(AND($G8&gt;=CV$5,$G8&lt;CV$5+GanttPeriod),"◆",IF(AND($E8&gt;=CV$5,$E8&lt;CV$5+GanttPeriod),"◇","")),IF(AND(CV$5&lt;=$F8,CV$5+GanttPeriod-1&gt;=$E8),"━","")))</f>
        <v/>
      </c>
      <c r="CW8" s="69" t="str">
        <f aca="false">IF($E8="","",IF($M8,IF(AND($G8&gt;=CW$5,$G8&lt;CW$5+GanttPeriod),"◆",IF(AND($E8&gt;=CW$5,$E8&lt;CW$5+GanttPeriod),"◇","")),IF(AND(CW$5&lt;=$F8,CW$5+GanttPeriod-1&gt;=$E8),"━","")))</f>
        <v/>
      </c>
      <c r="CX8" s="69" t="str">
        <f aca="false">IF($E8="","",IF($M8,IF(AND($G8&gt;=CX$5,$G8&lt;CX$5+GanttPeriod),"◆",IF(AND($E8&gt;=CX$5,$E8&lt;CX$5+GanttPeriod),"◇","")),IF(AND(CX$5&lt;=$F8,CX$5+GanttPeriod-1&gt;=$E8),"━","")))</f>
        <v/>
      </c>
      <c r="CY8" s="69" t="str">
        <f aca="false">IF($E8="","",IF($M8,IF(AND($G8&gt;=CY$5,$G8&lt;CY$5+GanttPeriod),"◆",IF(AND($E8&gt;=CY$5,$E8&lt;CY$5+GanttPeriod),"◇","")),IF(AND(CY$5&lt;=$F8,CY$5+GanttPeriod-1&gt;=$E8),"━","")))</f>
        <v/>
      </c>
      <c r="CZ8" s="69" t="str">
        <f aca="false">IF($E8="","",IF($M8,IF(AND($G8&gt;=CZ$5,$G8&lt;CZ$5+GanttPeriod),"◆",IF(AND($E8&gt;=CZ$5,$E8&lt;CZ$5+GanttPeriod),"◇","")),IF(AND(CZ$5&lt;=$F8,CZ$5+GanttPeriod-1&gt;=$E8),"━","")))</f>
        <v/>
      </c>
      <c r="DA8" s="69" t="str">
        <f aca="false">IF($E8="","",IF($M8,IF(AND($G8&gt;=DA$5,$G8&lt;DA$5+GanttPeriod),"◆",IF(AND($E8&gt;=DA$5,$E8&lt;DA$5+GanttPeriod),"◇","")),IF(AND(DA$5&lt;=$F8,DA$5+GanttPeriod-1&gt;=$E8),"━","")))</f>
        <v/>
      </c>
      <c r="DB8" s="69" t="str">
        <f aca="false">IF($E8="","",IF($M8,IF(AND($G8&gt;=DB$5,$G8&lt;DB$5+GanttPeriod),"◆",IF(AND($E8&gt;=DB$5,$E8&lt;DB$5+GanttPeriod),"◇","")),IF(AND(DB$5&lt;=$F8,DB$5+GanttPeriod-1&gt;=$E8),"━","")))</f>
        <v/>
      </c>
      <c r="DC8" s="69" t="str">
        <f aca="false">IF($E8="","",IF($M8,IF(AND($G8&gt;=DC$5,$G8&lt;DC$5+GanttPeriod),"◆",IF(AND($E8&gt;=DC$5,$E8&lt;DC$5+GanttPeriod),"◇","")),IF(AND(DC$5&lt;=$F8,DC$5+GanttPeriod-1&gt;=$E8),"━","")))</f>
        <v/>
      </c>
      <c r="DD8" s="69" t="str">
        <f aca="false">IF($E8="","",IF($M8,IF(AND($G8&gt;=DD$5,$G8&lt;DD$5+GanttPeriod),"◆",IF(AND($E8&gt;=DD$5,$E8&lt;DD$5+GanttPeriod),"◇","")),IF(AND(DD$5&lt;=$F8,DD$5+GanttPeriod-1&gt;=$E8),"━","")))</f>
        <v/>
      </c>
      <c r="DE8" s="69" t="str">
        <f aca="false">IF($E8="","",IF($M8,IF(AND($G8&gt;=DE$5,$G8&lt;DE$5+GanttPeriod),"◆",IF(AND($E8&gt;=DE$5,$E8&lt;DE$5+GanttPeriod),"◇","")),IF(AND(DE$5&lt;=$F8,DE$5+GanttPeriod-1&gt;=$E8),"━","")))</f>
        <v/>
      </c>
      <c r="DF8" s="69" t="str">
        <f aca="false">IF($E8="","",IF($M8,IF(AND($G8&gt;=DF$5,$G8&lt;DF$5+GanttPeriod),"◆",IF(AND($E8&gt;=DF$5,$E8&lt;DF$5+GanttPeriod),"◇","")),IF(AND(DF$5&lt;=$F8,DF$5+GanttPeriod-1&gt;=$E8),"━","")))</f>
        <v/>
      </c>
      <c r="DG8" s="69" t="str">
        <f aca="false">IF($E8="","",IF($M8,IF(AND($G8&gt;=DG$5,$G8&lt;DG$5+GanttPeriod),"◆",IF(AND($E8&gt;=DG$5,$E8&lt;DG$5+GanttPeriod),"◇","")),IF(AND(DG$5&lt;=$F8,DG$5+GanttPeriod-1&gt;=$E8),"━","")))</f>
        <v/>
      </c>
      <c r="DH8" s="69" t="str">
        <f aca="false">IF($E8="","",IF($M8,IF(AND($G8&gt;=DH$5,$G8&lt;DH$5+GanttPeriod),"◆",IF(AND($E8&gt;=DH$5,$E8&lt;DH$5+GanttPeriod),"◇","")),IF(AND(DH$5&lt;=$F8,DH$5+GanttPeriod-1&gt;=$E8),"━","")))</f>
        <v/>
      </c>
      <c r="DI8" s="69" t="str">
        <f aca="false">IF($E8="","",IF($M8,IF(AND($G8&gt;=DI$5,$G8&lt;DI$5+GanttPeriod),"◆",IF(AND($E8&gt;=DI$5,$E8&lt;DI$5+GanttPeriod),"◇","")),IF(AND(DI$5&lt;=$F8,DI$5+GanttPeriod-1&gt;=$E8),"━","")))</f>
        <v/>
      </c>
      <c r="DJ8" s="69" t="str">
        <f aca="false">IF($E8="","",IF($M8,IF(AND($G8&gt;=DJ$5,$G8&lt;DJ$5+GanttPeriod),"◆",IF(AND($E8&gt;=DJ$5,$E8&lt;DJ$5+GanttPeriod),"◇","")),IF(AND(DJ$5&lt;=$F8,DJ$5+GanttPeriod-1&gt;=$E8),"━","")))</f>
        <v/>
      </c>
      <c r="DK8" s="69" t="str">
        <f aca="false">IF($E8="","",IF($M8,IF(AND($G8&gt;=DK$5,$G8&lt;DK$5+GanttPeriod),"◆",IF(AND($E8&gt;=DK$5,$E8&lt;DK$5+GanttPeriod),"◇","")),IF(AND(DK$5&lt;=$F8,DK$5+GanttPeriod-1&gt;=$E8),"━","")))</f>
        <v/>
      </c>
      <c r="DL8" s="69" t="str">
        <f aca="false">IF($E8="","",IF($M8,IF(AND($G8&gt;=DL$5,$G8&lt;DL$5+GanttPeriod),"◆",IF(AND($E8&gt;=DL$5,$E8&lt;DL$5+GanttPeriod),"◇","")),IF(AND(DL$5&lt;=$F8,DL$5+GanttPeriod-1&gt;=$E8),"━","")))</f>
        <v/>
      </c>
      <c r="DM8" s="69" t="str">
        <f aca="false">IF($E8="","",IF($M8,IF(AND($G8&gt;=DM$5,$G8&lt;DM$5+GanttPeriod),"◆",IF(AND($E8&gt;=DM$5,$E8&lt;DM$5+GanttPeriod),"◇","")),IF(AND(DM$5&lt;=$F8,DM$5+GanttPeriod-1&gt;=$E8),"━","")))</f>
        <v/>
      </c>
      <c r="DN8" s="69" t="str">
        <f aca="false">IF($E8="","",IF($M8,IF(AND($G8&gt;=DN$5,$G8&lt;DN$5+GanttPeriod),"◆",IF(AND($E8&gt;=DN$5,$E8&lt;DN$5+GanttPeriod),"◇","")),IF(AND(DN$5&lt;=$F8,DN$5+GanttPeriod-1&gt;=$E8),"━","")))</f>
        <v/>
      </c>
      <c r="DO8" s="69" t="str">
        <f aca="false">IF($E8="","",IF($M8,IF(AND($G8&gt;=DO$5,$G8&lt;DO$5+GanttPeriod),"◆",IF(AND($E8&gt;=DO$5,$E8&lt;DO$5+GanttPeriod),"◇","")),IF(AND(DO$5&lt;=$F8,DO$5+GanttPeriod-1&gt;=$E8),"━","")))</f>
        <v/>
      </c>
      <c r="DP8" s="69" t="str">
        <f aca="false">IF($E8="","",IF($M8,IF(AND($G8&gt;=DP$5,$G8&lt;DP$5+GanttPeriod),"◆",IF(AND($E8&gt;=DP$5,$E8&lt;DP$5+GanttPeriod),"◇","")),IF(AND(DP$5&lt;=$F8,DP$5+GanttPeriod-1&gt;=$E8),"━","")))</f>
        <v/>
      </c>
      <c r="DQ8" s="69" t="str">
        <f aca="false">IF($E8="","",IF($M8,IF(AND($G8&gt;=DQ$5,$G8&lt;DQ$5+GanttPeriod),"◆",IF(AND($E8&gt;=DQ$5,$E8&lt;DQ$5+GanttPeriod),"◇","")),IF(AND(DQ$5&lt;=$F8,DQ$5+GanttPeriod-1&gt;=$E8),"━","")))</f>
        <v/>
      </c>
      <c r="DR8" s="69" t="str">
        <f aca="false">IF($E8="","",IF($M8,IF(AND($G8&gt;=DR$5,$G8&lt;DR$5+GanttPeriod),"◆",IF(AND($E8&gt;=DR$5,$E8&lt;DR$5+GanttPeriod),"◇","")),IF(AND(DR$5&lt;=$F8,DR$5+GanttPeriod-1&gt;=$E8),"━","")))</f>
        <v/>
      </c>
      <c r="DS8" s="69" t="str">
        <f aca="false">IF($E8="","",IF($M8,IF(AND($G8&gt;=DS$5,$G8&lt;DS$5+GanttPeriod),"◆",IF(AND($E8&gt;=DS$5,$E8&lt;DS$5+GanttPeriod),"◇","")),IF(AND(DS$5&lt;=$F8,DS$5+GanttPeriod-1&gt;=$E8),"━","")))</f>
        <v/>
      </c>
      <c r="DT8" s="69" t="str">
        <f aca="false">IF($E8="","",IF($M8,IF(AND($G8&gt;=DT$5,$G8&lt;DT$5+GanttPeriod),"◆",IF(AND($E8&gt;=DT$5,$E8&lt;DT$5+GanttPeriod),"◇","")),IF(AND(DT$5&lt;=$F8,DT$5+GanttPeriod-1&gt;=$E8),"━","")))</f>
        <v/>
      </c>
      <c r="DU8" s="69" t="str">
        <f aca="false">IF($E8="","",IF($M8,IF(AND($G8&gt;=DU$5,$G8&lt;DU$5+GanttPeriod),"◆",IF(AND($E8&gt;=DU$5,$E8&lt;DU$5+GanttPeriod),"◇","")),IF(AND(DU$5&lt;=$F8,DU$5+GanttPeriod-1&gt;=$E8),"━","")))</f>
        <v/>
      </c>
      <c r="DV8" s="69" t="str">
        <f aca="false">IF($E8="","",IF($M8,IF(AND($G8&gt;=DV$5,$G8&lt;DV$5+GanttPeriod),"◆",IF(AND($E8&gt;=DV$5,$E8&lt;DV$5+GanttPeriod),"◇","")),IF(AND(DV$5&lt;=$F8,DV$5+GanttPeriod-1&gt;=$E8),"━","")))</f>
        <v/>
      </c>
      <c r="DW8" s="69" t="str">
        <f aca="false">IF($E8="","",IF($M8,IF(AND($G8&gt;=DW$5,$G8&lt;DW$5+GanttPeriod),"◆",IF(AND($E8&gt;=DW$5,$E8&lt;DW$5+GanttPeriod),"◇","")),IF(AND(DW$5&lt;=$F8,DW$5+GanttPeriod-1&gt;=$E8),"━","")))</f>
        <v/>
      </c>
      <c r="DX8" s="69" t="str">
        <f aca="false">IF($E8="","",IF($M8,IF(AND($G8&gt;=DX$5,$G8&lt;DX$5+GanttPeriod),"◆",IF(AND($E8&gt;=DX$5,$E8&lt;DX$5+GanttPeriod),"◇","")),IF(AND(DX$5&lt;=$F8,DX$5+GanttPeriod-1&gt;=$E8),"━","")))</f>
        <v/>
      </c>
      <c r="DY8" s="69" t="str">
        <f aca="false">IF($E8="","",IF($M8,IF(AND($G8&gt;=DY$5,$G8&lt;DY$5+GanttPeriod),"◆",IF(AND($E8&gt;=DY$5,$E8&lt;DY$5+GanttPeriod),"◇","")),IF(AND(DY$5&lt;=$F8,DY$5+GanttPeriod-1&gt;=$E8),"━","")))</f>
        <v/>
      </c>
      <c r="DZ8" s="69" t="str">
        <f aca="false">IF($E8="","",IF($M8,IF(AND($G8&gt;=DZ$5,$G8&lt;DZ$5+GanttPeriod),"◆",IF(AND($E8&gt;=DZ$5,$E8&lt;DZ$5+GanttPeriod),"◇","")),IF(AND(DZ$5&lt;=$F8,DZ$5+GanttPeriod-1&gt;=$E8),"━","")))</f>
        <v/>
      </c>
      <c r="EA8" s="69" t="str">
        <f aca="false">IF($E8="","",IF($M8,IF(AND($G8&gt;=EA$5,$G8&lt;EA$5+GanttPeriod),"◆",IF(AND($E8&gt;=EA$5,$E8&lt;EA$5+GanttPeriod),"◇","")),IF(AND(EA$5&lt;=$F8,EA$5+GanttPeriod-1&gt;=$E8),"━","")))</f>
        <v/>
      </c>
      <c r="EB8" s="69" t="str">
        <f aca="false">IF($E8="","",IF($M8,IF(AND($G8&gt;=EB$5,$G8&lt;EB$5+GanttPeriod),"◆",IF(AND($E8&gt;=EB$5,$E8&lt;EB$5+GanttPeriod),"◇","")),IF(AND(EB$5&lt;=$F8,EB$5+GanttPeriod-1&gt;=$E8),"━","")))</f>
        <v/>
      </c>
      <c r="EC8" s="69" t="str">
        <f aca="false">IF($E8="","",IF($M8,IF(AND($G8&gt;=EC$5,$G8&lt;EC$5+GanttPeriod),"◆",IF(AND($E8&gt;=EC$5,$E8&lt;EC$5+GanttPeriod),"◇","")),IF(AND(EC$5&lt;=$F8,EC$5+GanttPeriod-1&gt;=$E8),"━","")))</f>
        <v/>
      </c>
      <c r="ED8" s="69" t="str">
        <f aca="false">IF($E8="","",IF($M8,IF(AND($G8&gt;=ED$5,$G8&lt;ED$5+GanttPeriod),"◆",IF(AND($E8&gt;=ED$5,$E8&lt;ED$5+GanttPeriod),"◇","")),IF(AND(ED$5&lt;=$F8,ED$5+GanttPeriod-1&gt;=$E8),"━","")))</f>
        <v/>
      </c>
      <c r="EE8" s="69" t="str">
        <f aca="false">IF($E8="","",IF($M8,IF(AND($G8&gt;=EE$5,$G8&lt;EE$5+GanttPeriod),"◆",IF(AND($E8&gt;=EE$5,$E8&lt;EE$5+GanttPeriod),"◇","")),IF(AND(EE$5&lt;=$F8,EE$5+GanttPeriod-1&gt;=$E8),"━","")))</f>
        <v/>
      </c>
      <c r="EF8" s="69" t="str">
        <f aca="false">IF($E8="","",IF($M8,IF(AND($G8&gt;=EF$5,$G8&lt;EF$5+GanttPeriod),"◆",IF(AND($E8&gt;=EF$5,$E8&lt;EF$5+GanttPeriod),"◇","")),IF(AND(EF$5&lt;=$F8,EF$5+GanttPeriod-1&gt;=$E8),"━","")))</f>
        <v/>
      </c>
      <c r="EG8" s="69" t="str">
        <f aca="false">IF($E8="","",IF($M8,IF(AND($G8&gt;=EG$5,$G8&lt;EG$5+GanttPeriod),"◆",IF(AND($E8&gt;=EG$5,$E8&lt;EG$5+GanttPeriod),"◇","")),IF(AND(EG$5&lt;=$F8,EG$5+GanttPeriod-1&gt;=$E8),"━","")))</f>
        <v/>
      </c>
      <c r="EH8" s="69" t="str">
        <f aca="false">IF($E8="","",IF($M8,IF(AND($G8&gt;=EH$5,$G8&lt;EH$5+GanttPeriod),"◆",IF(AND($E8&gt;=EH$5,$E8&lt;EH$5+GanttPeriod),"◇","")),IF(AND(EH$5&lt;=$F8,EH$5+GanttPeriod-1&gt;=$E8),"━","")))</f>
        <v/>
      </c>
      <c r="EI8" s="69" t="str">
        <f aca="false">IF($E8="","",IF($M8,IF(AND($G8&gt;=EI$5,$G8&lt;EI$5+GanttPeriod),"◆",IF(AND($E8&gt;=EI$5,$E8&lt;EI$5+GanttPeriod),"◇","")),IF(AND(EI$5&lt;=$F8,EI$5+GanttPeriod-1&gt;=$E8),"━","")))</f>
        <v/>
      </c>
      <c r="EJ8" s="69" t="str">
        <f aca="false">IF($E8="","",IF($M8,IF(AND($G8&gt;=EJ$5,$G8&lt;EJ$5+GanttPeriod),"◆",IF(AND($E8&gt;=EJ$5,$E8&lt;EJ$5+GanttPeriod),"◇","")),IF(AND(EJ$5&lt;=$F8,EJ$5+GanttPeriod-1&gt;=$E8),"━","")))</f>
        <v/>
      </c>
      <c r="EK8" s="69" t="str">
        <f aca="false">IF($E8="","",IF($M8,IF(AND($G8&gt;=EK$5,$G8&lt;EK$5+GanttPeriod),"◆",IF(AND($E8&gt;=EK$5,$E8&lt;EK$5+GanttPeriod),"◇","")),IF(AND(EK$5&lt;=$F8,EK$5+GanttPeriod-1&gt;=$E8),"━","")))</f>
        <v/>
      </c>
      <c r="EL8" s="69" t="str">
        <f aca="false">IF($E8="","",IF($M8,IF(AND($G8&gt;=EL$5,$G8&lt;EL$5+GanttPeriod),"◆",IF(AND($E8&gt;=EL$5,$E8&lt;EL$5+GanttPeriod),"◇","")),IF(AND(EL$5&lt;=$F8,EL$5+GanttPeriod-1&gt;=$E8),"━","")))</f>
        <v/>
      </c>
      <c r="EM8" s="69" t="str">
        <f aca="false">IF($E8="","",IF($M8,IF(AND($G8&gt;=EM$5,$G8&lt;EM$5+GanttPeriod),"◆",IF(AND($E8&gt;=EM$5,$E8&lt;EM$5+GanttPeriod),"◇","")),IF(AND(EM$5&lt;=$F8,EM$5+GanttPeriod-1&gt;=$E8),"━","")))</f>
        <v/>
      </c>
      <c r="EN8" s="69" t="str">
        <f aca="false">IF($E8="","",IF($M8,IF(AND($G8&gt;=EN$5,$G8&lt;EN$5+GanttPeriod),"◆",IF(AND($E8&gt;=EN$5,$E8&lt;EN$5+GanttPeriod),"◇","")),IF(AND(EN$5&lt;=$F8,EN$5+GanttPeriod-1&gt;=$E8),"━","")))</f>
        <v/>
      </c>
      <c r="EO8" s="69" t="str">
        <f aca="false">IF($E8="","",IF($M8,IF(AND($G8&gt;=EO$5,$G8&lt;EO$5+GanttPeriod),"◆",IF(AND($E8&gt;=EO$5,$E8&lt;EO$5+GanttPeriod),"◇","")),IF(AND(EO$5&lt;=$F8,EO$5+GanttPeriod-1&gt;=$E8),"━","")))</f>
        <v/>
      </c>
      <c r="EP8" s="69" t="str">
        <f aca="false">IF($E8="","",IF($M8,IF(AND($G8&gt;=EP$5,$G8&lt;EP$5+GanttPeriod),"◆",IF(AND($E8&gt;=EP$5,$E8&lt;EP$5+GanttPeriod),"◇","")),IF(AND(EP$5&lt;=$F8,EP$5+GanttPeriod-1&gt;=$E8),"━","")))</f>
        <v/>
      </c>
      <c r="EQ8" s="69" t="str">
        <f aca="false">IF($E8="","",IF($M8,IF(AND($G8&gt;=EQ$5,$G8&lt;EQ$5+GanttPeriod),"◆",IF(AND($E8&gt;=EQ$5,$E8&lt;EQ$5+GanttPeriod),"◇","")),IF(AND(EQ$5&lt;=$F8,EQ$5+GanttPeriod-1&gt;=$E8),"━","")))</f>
        <v/>
      </c>
      <c r="ER8" s="69" t="str">
        <f aca="false">IF($E8="","",IF($M8,IF(AND($G8&gt;=ER$5,$G8&lt;ER$5+GanttPeriod),"◆",IF(AND($E8&gt;=ER$5,$E8&lt;ER$5+GanttPeriod),"◇","")),IF(AND(ER$5&lt;=$F8,ER$5+GanttPeriod-1&gt;=$E8),"━","")))</f>
        <v/>
      </c>
      <c r="ES8" s="69" t="str">
        <f aca="false">IF($E8="","",IF($M8,IF(AND($G8&gt;=ES$5,$G8&lt;ES$5+GanttPeriod),"◆",IF(AND($E8&gt;=ES$5,$E8&lt;ES$5+GanttPeriod),"◇","")),IF(AND(ES$5&lt;=$F8,ES$5+GanttPeriod-1&gt;=$E8),"━","")))</f>
        <v/>
      </c>
      <c r="ET8" s="69" t="str">
        <f aca="false">IF($E8="","",IF($M8,IF(AND($G8&gt;=ET$5,$G8&lt;ET$5+GanttPeriod),"◆",IF(AND($E8&gt;=ET$5,$E8&lt;ET$5+GanttPeriod),"◇","")),IF(AND(ET$5&lt;=$F8,ET$5+GanttPeriod-1&gt;=$E8),"━","")))</f>
        <v/>
      </c>
      <c r="EU8" s="69" t="str">
        <f aca="false">IF($E8="","",IF($M8,IF(AND($G8&gt;=EU$5,$G8&lt;EU$5+GanttPeriod),"◆",IF(AND($E8&gt;=EU$5,$E8&lt;EU$5+GanttPeriod),"◇","")),IF(AND(EU$5&lt;=$F8,EU$5+GanttPeriod-1&gt;=$E8),"━","")))</f>
        <v/>
      </c>
      <c r="EV8" s="69" t="str">
        <f aca="false">IF($E8="","",IF($M8,IF(AND($G8&gt;=EV$5,$G8&lt;EV$5+GanttPeriod),"◆",IF(AND($E8&gt;=EV$5,$E8&lt;EV$5+GanttPeriod),"◇","")),IF(AND(EV$5&lt;=$F8,EV$5+GanttPeriod-1&gt;=$E8),"━","")))</f>
        <v/>
      </c>
      <c r="EW8" s="69" t="str">
        <f aca="false">IF($E8="","",IF($M8,IF(AND($G8&gt;=EW$5,$G8&lt;EW$5+GanttPeriod),"◆",IF(AND($E8&gt;=EW$5,$E8&lt;EW$5+GanttPeriod),"◇","")),IF(AND(EW$5&lt;=$F8,EW$5+GanttPeriod-1&gt;=$E8),"━","")))</f>
        <v/>
      </c>
      <c r="EX8" s="69" t="str">
        <f aca="false">IF($E8="","",IF($M8,IF(AND($G8&gt;=EX$5,$G8&lt;EX$5+GanttPeriod),"◆",IF(AND($E8&gt;=EX$5,$E8&lt;EX$5+GanttPeriod),"◇","")),IF(AND(EX$5&lt;=$F8,EX$5+GanttPeriod-1&gt;=$E8),"━","")))</f>
        <v/>
      </c>
      <c r="EY8" s="69" t="str">
        <f aca="false">IF($E8="","",IF($M8,IF(AND($G8&gt;=EY$5,$G8&lt;EY$5+GanttPeriod),"◆",IF(AND($E8&gt;=EY$5,$E8&lt;EY$5+GanttPeriod),"◇","")),IF(AND(EY$5&lt;=$F8,EY$5+GanttPeriod-1&gt;=$E8),"━","")))</f>
        <v/>
      </c>
      <c r="EZ8" s="69" t="str">
        <f aca="false">IF($E8="","",IF($M8,IF(AND($G8&gt;=EZ$5,$G8&lt;EZ$5+GanttPeriod),"◆",IF(AND($E8&gt;=EZ$5,$E8&lt;EZ$5+GanttPeriod),"◇","")),IF(AND(EZ$5&lt;=$F8,EZ$5+GanttPeriod-1&gt;=$E8),"━","")))</f>
        <v/>
      </c>
      <c r="FA8" s="69" t="str">
        <f aca="false">IF($E8="","",IF($M8,IF(AND($G8&gt;=FA$5,$G8&lt;FA$5+GanttPeriod),"◆",IF(AND($E8&gt;=FA$5,$E8&lt;FA$5+GanttPeriod),"◇","")),IF(AND(FA$5&lt;=$F8,FA$5+GanttPeriod-1&gt;=$E8),"━","")))</f>
        <v/>
      </c>
      <c r="FB8" s="69" t="str">
        <f aca="false">IF($E8="","",IF($M8,IF(AND($G8&gt;=FB$5,$G8&lt;FB$5+GanttPeriod),"◆",IF(AND($E8&gt;=FB$5,$E8&lt;FB$5+GanttPeriod),"◇","")),IF(AND(FB$5&lt;=$F8,FB$5+GanttPeriod-1&gt;=$E8),"━","")))</f>
        <v/>
      </c>
      <c r="FC8" s="69" t="str">
        <f aca="false">IF($E8="","",IF($M8,IF(AND($G8&gt;=FC$5,$G8&lt;FC$5+GanttPeriod),"◆",IF(AND($E8&gt;=FC$5,$E8&lt;FC$5+GanttPeriod),"◇","")),IF(AND(FC$5&lt;=$F8,FC$5+GanttPeriod-1&gt;=$E8),"━","")))</f>
        <v/>
      </c>
      <c r="FD8" s="69" t="str">
        <f aca="false">IF($E8="","",IF($M8,IF(AND($G8&gt;=FD$5,$G8&lt;FD$5+GanttPeriod),"◆",IF(AND($E8&gt;=FD$5,$E8&lt;FD$5+GanttPeriod),"◇","")),IF(AND(FD$5&lt;=$F8,FD$5+GanttPeriod-1&gt;=$E8),"━","")))</f>
        <v/>
      </c>
      <c r="FE8" s="69" t="str">
        <f aca="false">IF($E8="","",IF($M8,IF(AND($G8&gt;=FE$5,$G8&lt;FE$5+GanttPeriod),"◆",IF(AND($E8&gt;=FE$5,$E8&lt;FE$5+GanttPeriod),"◇","")),IF(AND(FE$5&lt;=$F8,FE$5+GanttPeriod-1&gt;=$E8),"━","")))</f>
        <v/>
      </c>
      <c r="FF8" s="69" t="str">
        <f aca="false">IF($E8="","",IF($M8,IF(AND($G8&gt;=FF$5,$G8&lt;FF$5+GanttPeriod),"◆",IF(AND($E8&gt;=FF$5,$E8&lt;FF$5+GanttPeriod),"◇","")),IF(AND(FF$5&lt;=$F8,FF$5+GanttPeriod-1&gt;=$E8),"━","")))</f>
        <v/>
      </c>
      <c r="FG8" s="69" t="str">
        <f aca="false">IF($E8="","",IF($M8,IF(AND($G8&gt;=FG$5,$G8&lt;FG$5+GanttPeriod),"◆",IF(AND($E8&gt;=FG$5,$E8&lt;FG$5+GanttPeriod),"◇","")),IF(AND(FG$5&lt;=$F8,FG$5+GanttPeriod-1&gt;=$E8),"━","")))</f>
        <v/>
      </c>
      <c r="FH8" s="69" t="str">
        <f aca="false">IF($E8="","",IF($M8,IF(AND($G8&gt;=FH$5,$G8&lt;FH$5+GanttPeriod),"◆",IF(AND($E8&gt;=FH$5,$E8&lt;FH$5+GanttPeriod),"◇","")),IF(AND(FH$5&lt;=$F8,FH$5+GanttPeriod-1&gt;=$E8),"━","")))</f>
        <v/>
      </c>
      <c r="FI8" s="69" t="str">
        <f aca="false">IF($E8="","",IF($M8,IF(AND($G8&gt;=FI$5,$G8&lt;FI$5+GanttPeriod),"◆",IF(AND($E8&gt;=FI$5,$E8&lt;FI$5+GanttPeriod),"◇","")),IF(AND(FI$5&lt;=$F8,FI$5+GanttPeriod-1&gt;=$E8),"━","")))</f>
        <v/>
      </c>
      <c r="FJ8" s="69" t="str">
        <f aca="false">IF($E8="","",IF($M8,IF(AND($G8&gt;=FJ$5,$G8&lt;FJ$5+GanttPeriod),"◆",IF(AND($E8&gt;=FJ$5,$E8&lt;FJ$5+GanttPeriod),"◇","")),IF(AND(FJ$5&lt;=$F8,FJ$5+GanttPeriod-1&gt;=$E8),"━","")))</f>
        <v/>
      </c>
      <c r="FK8" s="69" t="str">
        <f aca="false">IF($E8="","",IF($M8,IF(AND($G8&gt;=FK$5,$G8&lt;FK$5+GanttPeriod),"◆",IF(AND($E8&gt;=FK$5,$E8&lt;FK$5+GanttPeriod),"◇","")),IF(AND(FK$5&lt;=$F8,FK$5+GanttPeriod-1&gt;=$E8),"━","")))</f>
        <v/>
      </c>
      <c r="FL8" s="69" t="str">
        <f aca="false">IF($E8="","",IF($M8,IF(AND($G8&gt;=FL$5,$G8&lt;FL$5+GanttPeriod),"◆",IF(AND($E8&gt;=FL$5,$E8&lt;FL$5+GanttPeriod),"◇","")),IF(AND(FL$5&lt;=$F8,FL$5+GanttPeriod-1&gt;=$E8),"━","")))</f>
        <v/>
      </c>
      <c r="FM8" s="69" t="str">
        <f aca="false">IF($E8="","",IF($M8,IF(AND($G8&gt;=FM$5,$G8&lt;FM$5+GanttPeriod),"◆",IF(AND($E8&gt;=FM$5,$E8&lt;FM$5+GanttPeriod),"◇","")),IF(AND(FM$5&lt;=$F8,FM$5+GanttPeriod-1&gt;=$E8),"━","")))</f>
        <v/>
      </c>
    </row>
    <row r="9" customFormat="false" ht="15" hidden="false" customHeight="false" outlineLevel="0" collapsed="false">
      <c r="A9" s="62" t="n">
        <f aca="false">IF(Tasks!$D9="","",Tasks!$A9)</f>
        <v>4</v>
      </c>
      <c r="B9" s="62" t="str">
        <f aca="false">IF(Tasks!$D9="","",Tasks!$B9)</f>
        <v>1.3</v>
      </c>
      <c r="C9" s="63" t="str">
        <f aca="false">IF(Tasks!$D9="","",REPT("    ",Tasks!$AE9-1)&amp;Tasks!$D9)</f>
        <v>    Kickoff complete</v>
      </c>
      <c r="D9" s="62" t="n">
        <f aca="false">IF(Tasks!$D9="","",IF(Tasks!$AI9,NETWORKDAYS.INTL(Tasks!$R9,Tasks!$S9,WorkWeek,Holidays),N(Tasks!$F9)))</f>
        <v>0</v>
      </c>
      <c r="E9" s="64" t="n">
        <f aca="false">IF(Tasks!$D9="","",Tasks!$N9)</f>
        <v>46276</v>
      </c>
      <c r="F9" s="64" t="n">
        <f aca="false">IF(Tasks!$D9="","",Tasks!$O9)</f>
        <v>46276</v>
      </c>
      <c r="G9" s="64" t="n">
        <f aca="false">IF(Tasks!$D9="","",Tasks!$R9)</f>
        <v>46279</v>
      </c>
      <c r="H9" s="64" t="n">
        <f aca="false">IF(Tasks!$D9="","",Tasks!$S9)</f>
        <v>46279</v>
      </c>
      <c r="I9" s="65" t="n">
        <f aca="false">IF(Tasks!$D9="","",Tasks!$V9)</f>
        <v>1</v>
      </c>
      <c r="J9" s="63" t="str">
        <f aca="false">IF(Tasks!$D9="","",Tasks!$X9&amp;"")</f>
        <v/>
      </c>
      <c r="K9" s="66" t="str">
        <f aca="false">IF(Tasks!$D9="","",Tasks!$W9)</f>
        <v>Complete</v>
      </c>
      <c r="L9" s="67" t="b">
        <f aca="false">IF(Tasks!$D9="",FALSE(),Tasks!$AI9)</f>
        <v>0</v>
      </c>
      <c r="M9" s="67" t="b">
        <f aca="false">AND(Tasks!$AJ9=1,N(Tasks!$F9)=0)</f>
        <v>1</v>
      </c>
      <c r="N9" s="68" t="n">
        <f aca="false">IF(AND(Tasks!$AJ9=1,NOT($M9),N($I9)&gt;0),$G9,0)</f>
        <v>0</v>
      </c>
      <c r="O9" s="68" t="n">
        <f aca="false">IF($N9=0,0,IF($I9&gt;=1,$H9,MAX($N9,$G9+ROUND(($H9-$G9+1)*$I9,0)-1)))</f>
        <v>0</v>
      </c>
      <c r="P9" s="68" t="n">
        <f aca="false">IF(OR(Tasks!$AJ9&lt;&gt;1,$M9,N($I9)&gt;=1),0,IF($O9&gt;0,$O9+1,$G9))</f>
        <v>0</v>
      </c>
      <c r="Q9" s="68" t="n">
        <f aca="false">IF($P9=0,0,$H9)</f>
        <v>0</v>
      </c>
      <c r="R9" s="67" t="b">
        <f aca="false">AND(Tasks!$D9&lt;&gt;"",N(Tasks!$T9)&gt;0)</f>
        <v>1</v>
      </c>
      <c r="T9" s="69" t="str">
        <f aca="false">IF($E9="","",IF($M9,IF(AND($G9&gt;=T$5,$G9&lt;T$5+GanttPeriod),"◆",IF(AND($E9&gt;=T$5,$E9&lt;T$5+GanttPeriod),"◇","")),IF(AND(T$5&lt;=$F9,T$5+GanttPeriod-1&gt;=$E9),"━","")))</f>
        <v/>
      </c>
      <c r="U9" s="69" t="str">
        <f aca="false">IF($E9="","",IF($M9,IF(AND($G9&gt;=U$5,$G9&lt;U$5+GanttPeriod),"◆",IF(AND($E9&gt;=U$5,$E9&lt;U$5+GanttPeriod),"◇","")),IF(AND(U$5&lt;=$F9,U$5+GanttPeriod-1&gt;=$E9),"━","")))</f>
        <v/>
      </c>
      <c r="V9" s="69" t="str">
        <f aca="false">IF($E9="","",IF($M9,IF(AND($G9&gt;=V$5,$G9&lt;V$5+GanttPeriod),"◆",IF(AND($E9&gt;=V$5,$E9&lt;V$5+GanttPeriod),"◇","")),IF(AND(V$5&lt;=$F9,V$5+GanttPeriod-1&gt;=$E9),"━","")))</f>
        <v/>
      </c>
      <c r="W9" s="69" t="str">
        <f aca="false">IF($E9="","",IF($M9,IF(AND($G9&gt;=W$5,$G9&lt;W$5+GanttPeriod),"◆",IF(AND($E9&gt;=W$5,$E9&lt;W$5+GanttPeriod),"◇","")),IF(AND(W$5&lt;=$F9,W$5+GanttPeriod-1&gt;=$E9),"━","")))</f>
        <v/>
      </c>
      <c r="X9" s="69" t="str">
        <f aca="false">IF($E9="","",IF($M9,IF(AND($G9&gt;=X$5,$G9&lt;X$5+GanttPeriod),"◆",IF(AND($E9&gt;=X$5,$E9&lt;X$5+GanttPeriod),"◇","")),IF(AND(X$5&lt;=$F9,X$5+GanttPeriod-1&gt;=$E9),"━","")))</f>
        <v>◇</v>
      </c>
      <c r="Y9" s="69" t="str">
        <f aca="false">IF($E9="","",IF($M9,IF(AND($G9&gt;=Y$5,$G9&lt;Y$5+GanttPeriod),"◆",IF(AND($E9&gt;=Y$5,$E9&lt;Y$5+GanttPeriod),"◇","")),IF(AND(Y$5&lt;=$F9,Y$5+GanttPeriod-1&gt;=$E9),"━","")))</f>
        <v/>
      </c>
      <c r="Z9" s="69" t="str">
        <f aca="false">IF($E9="","",IF($M9,IF(AND($G9&gt;=Z$5,$G9&lt;Z$5+GanttPeriod),"◆",IF(AND($E9&gt;=Z$5,$E9&lt;Z$5+GanttPeriod),"◇","")),IF(AND(Z$5&lt;=$F9,Z$5+GanttPeriod-1&gt;=$E9),"━","")))</f>
        <v/>
      </c>
      <c r="AA9" s="69" t="str">
        <f aca="false">IF($E9="","",IF($M9,IF(AND($G9&gt;=AA$5,$G9&lt;AA$5+GanttPeriod),"◆",IF(AND($E9&gt;=AA$5,$E9&lt;AA$5+GanttPeriod),"◇","")),IF(AND(AA$5&lt;=$F9,AA$5+GanttPeriod-1&gt;=$E9),"━","")))</f>
        <v>◆</v>
      </c>
      <c r="AB9" s="69" t="str">
        <f aca="false">IF($E9="","",IF($M9,IF(AND($G9&gt;=AB$5,$G9&lt;AB$5+GanttPeriod),"◆",IF(AND($E9&gt;=AB$5,$E9&lt;AB$5+GanttPeriod),"◇","")),IF(AND(AB$5&lt;=$F9,AB$5+GanttPeriod-1&gt;=$E9),"━","")))</f>
        <v/>
      </c>
      <c r="AC9" s="69" t="str">
        <f aca="false">IF($E9="","",IF($M9,IF(AND($G9&gt;=AC$5,$G9&lt;AC$5+GanttPeriod),"◆",IF(AND($E9&gt;=AC$5,$E9&lt;AC$5+GanttPeriod),"◇","")),IF(AND(AC$5&lt;=$F9,AC$5+GanttPeriod-1&gt;=$E9),"━","")))</f>
        <v/>
      </c>
      <c r="AD9" s="69" t="str">
        <f aca="false">IF($E9="","",IF($M9,IF(AND($G9&gt;=AD$5,$G9&lt;AD$5+GanttPeriod),"◆",IF(AND($E9&gt;=AD$5,$E9&lt;AD$5+GanttPeriod),"◇","")),IF(AND(AD$5&lt;=$F9,AD$5+GanttPeriod-1&gt;=$E9),"━","")))</f>
        <v/>
      </c>
      <c r="AE9" s="69" t="str">
        <f aca="false">IF($E9="","",IF($M9,IF(AND($G9&gt;=AE$5,$G9&lt;AE$5+GanttPeriod),"◆",IF(AND($E9&gt;=AE$5,$E9&lt;AE$5+GanttPeriod),"◇","")),IF(AND(AE$5&lt;=$F9,AE$5+GanttPeriod-1&gt;=$E9),"━","")))</f>
        <v/>
      </c>
      <c r="AF9" s="69" t="str">
        <f aca="false">IF($E9="","",IF($M9,IF(AND($G9&gt;=AF$5,$G9&lt;AF$5+GanttPeriod),"◆",IF(AND($E9&gt;=AF$5,$E9&lt;AF$5+GanttPeriod),"◇","")),IF(AND(AF$5&lt;=$F9,AF$5+GanttPeriod-1&gt;=$E9),"━","")))</f>
        <v/>
      </c>
      <c r="AG9" s="69" t="str">
        <f aca="false">IF($E9="","",IF($M9,IF(AND($G9&gt;=AG$5,$G9&lt;AG$5+GanttPeriod),"◆",IF(AND($E9&gt;=AG$5,$E9&lt;AG$5+GanttPeriod),"◇","")),IF(AND(AG$5&lt;=$F9,AG$5+GanttPeriod-1&gt;=$E9),"━","")))</f>
        <v/>
      </c>
      <c r="AH9" s="69" t="str">
        <f aca="false">IF($E9="","",IF($M9,IF(AND($G9&gt;=AH$5,$G9&lt;AH$5+GanttPeriod),"◆",IF(AND($E9&gt;=AH$5,$E9&lt;AH$5+GanttPeriod),"◇","")),IF(AND(AH$5&lt;=$F9,AH$5+GanttPeriod-1&gt;=$E9),"━","")))</f>
        <v/>
      </c>
      <c r="AI9" s="69" t="str">
        <f aca="false">IF($E9="","",IF($M9,IF(AND($G9&gt;=AI$5,$G9&lt;AI$5+GanttPeriod),"◆",IF(AND($E9&gt;=AI$5,$E9&lt;AI$5+GanttPeriod),"◇","")),IF(AND(AI$5&lt;=$F9,AI$5+GanttPeriod-1&gt;=$E9),"━","")))</f>
        <v/>
      </c>
      <c r="AJ9" s="69" t="str">
        <f aca="false">IF($E9="","",IF($M9,IF(AND($G9&gt;=AJ$5,$G9&lt;AJ$5+GanttPeriod),"◆",IF(AND($E9&gt;=AJ$5,$E9&lt;AJ$5+GanttPeriod),"◇","")),IF(AND(AJ$5&lt;=$F9,AJ$5+GanttPeriod-1&gt;=$E9),"━","")))</f>
        <v/>
      </c>
      <c r="AK9" s="69" t="str">
        <f aca="false">IF($E9="","",IF($M9,IF(AND($G9&gt;=AK$5,$G9&lt;AK$5+GanttPeriod),"◆",IF(AND($E9&gt;=AK$5,$E9&lt;AK$5+GanttPeriod),"◇","")),IF(AND(AK$5&lt;=$F9,AK$5+GanttPeriod-1&gt;=$E9),"━","")))</f>
        <v/>
      </c>
      <c r="AL9" s="69" t="str">
        <f aca="false">IF($E9="","",IF($M9,IF(AND($G9&gt;=AL$5,$G9&lt;AL$5+GanttPeriod),"◆",IF(AND($E9&gt;=AL$5,$E9&lt;AL$5+GanttPeriod),"◇","")),IF(AND(AL$5&lt;=$F9,AL$5+GanttPeriod-1&gt;=$E9),"━","")))</f>
        <v/>
      </c>
      <c r="AM9" s="69" t="str">
        <f aca="false">IF($E9="","",IF($M9,IF(AND($G9&gt;=AM$5,$G9&lt;AM$5+GanttPeriod),"◆",IF(AND($E9&gt;=AM$5,$E9&lt;AM$5+GanttPeriod),"◇","")),IF(AND(AM$5&lt;=$F9,AM$5+GanttPeriod-1&gt;=$E9),"━","")))</f>
        <v/>
      </c>
      <c r="AN9" s="69" t="str">
        <f aca="false">IF($E9="","",IF($M9,IF(AND($G9&gt;=AN$5,$G9&lt;AN$5+GanttPeriod),"◆",IF(AND($E9&gt;=AN$5,$E9&lt;AN$5+GanttPeriod),"◇","")),IF(AND(AN$5&lt;=$F9,AN$5+GanttPeriod-1&gt;=$E9),"━","")))</f>
        <v/>
      </c>
      <c r="AO9" s="69" t="str">
        <f aca="false">IF($E9="","",IF($M9,IF(AND($G9&gt;=AO$5,$G9&lt;AO$5+GanttPeriod),"◆",IF(AND($E9&gt;=AO$5,$E9&lt;AO$5+GanttPeriod),"◇","")),IF(AND(AO$5&lt;=$F9,AO$5+GanttPeriod-1&gt;=$E9),"━","")))</f>
        <v/>
      </c>
      <c r="AP9" s="69" t="str">
        <f aca="false">IF($E9="","",IF($M9,IF(AND($G9&gt;=AP$5,$G9&lt;AP$5+GanttPeriod),"◆",IF(AND($E9&gt;=AP$5,$E9&lt;AP$5+GanttPeriod),"◇","")),IF(AND(AP$5&lt;=$F9,AP$5+GanttPeriod-1&gt;=$E9),"━","")))</f>
        <v/>
      </c>
      <c r="AQ9" s="69" t="str">
        <f aca="false">IF($E9="","",IF($M9,IF(AND($G9&gt;=AQ$5,$G9&lt;AQ$5+GanttPeriod),"◆",IF(AND($E9&gt;=AQ$5,$E9&lt;AQ$5+GanttPeriod),"◇","")),IF(AND(AQ$5&lt;=$F9,AQ$5+GanttPeriod-1&gt;=$E9),"━","")))</f>
        <v/>
      </c>
      <c r="AR9" s="69" t="str">
        <f aca="false">IF($E9="","",IF($M9,IF(AND($G9&gt;=AR$5,$G9&lt;AR$5+GanttPeriod),"◆",IF(AND($E9&gt;=AR$5,$E9&lt;AR$5+GanttPeriod),"◇","")),IF(AND(AR$5&lt;=$F9,AR$5+GanttPeriod-1&gt;=$E9),"━","")))</f>
        <v/>
      </c>
      <c r="AS9" s="69" t="str">
        <f aca="false">IF($E9="","",IF($M9,IF(AND($G9&gt;=AS$5,$G9&lt;AS$5+GanttPeriod),"◆",IF(AND($E9&gt;=AS$5,$E9&lt;AS$5+GanttPeriod),"◇","")),IF(AND(AS$5&lt;=$F9,AS$5+GanttPeriod-1&gt;=$E9),"━","")))</f>
        <v/>
      </c>
      <c r="AT9" s="69" t="str">
        <f aca="false">IF($E9="","",IF($M9,IF(AND($G9&gt;=AT$5,$G9&lt;AT$5+GanttPeriod),"◆",IF(AND($E9&gt;=AT$5,$E9&lt;AT$5+GanttPeriod),"◇","")),IF(AND(AT$5&lt;=$F9,AT$5+GanttPeriod-1&gt;=$E9),"━","")))</f>
        <v/>
      </c>
      <c r="AU9" s="69" t="str">
        <f aca="false">IF($E9="","",IF($M9,IF(AND($G9&gt;=AU$5,$G9&lt;AU$5+GanttPeriod),"◆",IF(AND($E9&gt;=AU$5,$E9&lt;AU$5+GanttPeriod),"◇","")),IF(AND(AU$5&lt;=$F9,AU$5+GanttPeriod-1&gt;=$E9),"━","")))</f>
        <v/>
      </c>
      <c r="AV9" s="69" t="str">
        <f aca="false">IF($E9="","",IF($M9,IF(AND($G9&gt;=AV$5,$G9&lt;AV$5+GanttPeriod),"◆",IF(AND($E9&gt;=AV$5,$E9&lt;AV$5+GanttPeriod),"◇","")),IF(AND(AV$5&lt;=$F9,AV$5+GanttPeriod-1&gt;=$E9),"━","")))</f>
        <v/>
      </c>
      <c r="AW9" s="69" t="str">
        <f aca="false">IF($E9="","",IF($M9,IF(AND($G9&gt;=AW$5,$G9&lt;AW$5+GanttPeriod),"◆",IF(AND($E9&gt;=AW$5,$E9&lt;AW$5+GanttPeriod),"◇","")),IF(AND(AW$5&lt;=$F9,AW$5+GanttPeriod-1&gt;=$E9),"━","")))</f>
        <v/>
      </c>
      <c r="AX9" s="69" t="str">
        <f aca="false">IF($E9="","",IF($M9,IF(AND($G9&gt;=AX$5,$G9&lt;AX$5+GanttPeriod),"◆",IF(AND($E9&gt;=AX$5,$E9&lt;AX$5+GanttPeriod),"◇","")),IF(AND(AX$5&lt;=$F9,AX$5+GanttPeriod-1&gt;=$E9),"━","")))</f>
        <v/>
      </c>
      <c r="AY9" s="69" t="str">
        <f aca="false">IF($E9="","",IF($M9,IF(AND($G9&gt;=AY$5,$G9&lt;AY$5+GanttPeriod),"◆",IF(AND($E9&gt;=AY$5,$E9&lt;AY$5+GanttPeriod),"◇","")),IF(AND(AY$5&lt;=$F9,AY$5+GanttPeriod-1&gt;=$E9),"━","")))</f>
        <v/>
      </c>
      <c r="AZ9" s="69" t="str">
        <f aca="false">IF($E9="","",IF($M9,IF(AND($G9&gt;=AZ$5,$G9&lt;AZ$5+GanttPeriod),"◆",IF(AND($E9&gt;=AZ$5,$E9&lt;AZ$5+GanttPeriod),"◇","")),IF(AND(AZ$5&lt;=$F9,AZ$5+GanttPeriod-1&gt;=$E9),"━","")))</f>
        <v/>
      </c>
      <c r="BA9" s="69" t="str">
        <f aca="false">IF($E9="","",IF($M9,IF(AND($G9&gt;=BA$5,$G9&lt;BA$5+GanttPeriod),"◆",IF(AND($E9&gt;=BA$5,$E9&lt;BA$5+GanttPeriod),"◇","")),IF(AND(BA$5&lt;=$F9,BA$5+GanttPeriod-1&gt;=$E9),"━","")))</f>
        <v/>
      </c>
      <c r="BB9" s="69" t="str">
        <f aca="false">IF($E9="","",IF($M9,IF(AND($G9&gt;=BB$5,$G9&lt;BB$5+GanttPeriod),"◆",IF(AND($E9&gt;=BB$5,$E9&lt;BB$5+GanttPeriod),"◇","")),IF(AND(BB$5&lt;=$F9,BB$5+GanttPeriod-1&gt;=$E9),"━","")))</f>
        <v/>
      </c>
      <c r="BC9" s="69" t="str">
        <f aca="false">IF($E9="","",IF($M9,IF(AND($G9&gt;=BC$5,$G9&lt;BC$5+GanttPeriod),"◆",IF(AND($E9&gt;=BC$5,$E9&lt;BC$5+GanttPeriod),"◇","")),IF(AND(BC$5&lt;=$F9,BC$5+GanttPeriod-1&gt;=$E9),"━","")))</f>
        <v/>
      </c>
      <c r="BD9" s="69" t="str">
        <f aca="false">IF($E9="","",IF($M9,IF(AND($G9&gt;=BD$5,$G9&lt;BD$5+GanttPeriod),"◆",IF(AND($E9&gt;=BD$5,$E9&lt;BD$5+GanttPeriod),"◇","")),IF(AND(BD$5&lt;=$F9,BD$5+GanttPeriod-1&gt;=$E9),"━","")))</f>
        <v/>
      </c>
      <c r="BE9" s="69" t="str">
        <f aca="false">IF($E9="","",IF($M9,IF(AND($G9&gt;=BE$5,$G9&lt;BE$5+GanttPeriod),"◆",IF(AND($E9&gt;=BE$5,$E9&lt;BE$5+GanttPeriod),"◇","")),IF(AND(BE$5&lt;=$F9,BE$5+GanttPeriod-1&gt;=$E9),"━","")))</f>
        <v/>
      </c>
      <c r="BF9" s="69" t="str">
        <f aca="false">IF($E9="","",IF($M9,IF(AND($G9&gt;=BF$5,$G9&lt;BF$5+GanttPeriod),"◆",IF(AND($E9&gt;=BF$5,$E9&lt;BF$5+GanttPeriod),"◇","")),IF(AND(BF$5&lt;=$F9,BF$5+GanttPeriod-1&gt;=$E9),"━","")))</f>
        <v/>
      </c>
      <c r="BG9" s="69" t="str">
        <f aca="false">IF($E9="","",IF($M9,IF(AND($G9&gt;=BG$5,$G9&lt;BG$5+GanttPeriod),"◆",IF(AND($E9&gt;=BG$5,$E9&lt;BG$5+GanttPeriod),"◇","")),IF(AND(BG$5&lt;=$F9,BG$5+GanttPeriod-1&gt;=$E9),"━","")))</f>
        <v/>
      </c>
      <c r="BH9" s="69" t="str">
        <f aca="false">IF($E9="","",IF($M9,IF(AND($G9&gt;=BH$5,$G9&lt;BH$5+GanttPeriod),"◆",IF(AND($E9&gt;=BH$5,$E9&lt;BH$5+GanttPeriod),"◇","")),IF(AND(BH$5&lt;=$F9,BH$5+GanttPeriod-1&gt;=$E9),"━","")))</f>
        <v/>
      </c>
      <c r="BI9" s="69" t="str">
        <f aca="false">IF($E9="","",IF($M9,IF(AND($G9&gt;=BI$5,$G9&lt;BI$5+GanttPeriod),"◆",IF(AND($E9&gt;=BI$5,$E9&lt;BI$5+GanttPeriod),"◇","")),IF(AND(BI$5&lt;=$F9,BI$5+GanttPeriod-1&gt;=$E9),"━","")))</f>
        <v/>
      </c>
      <c r="BJ9" s="69" t="str">
        <f aca="false">IF($E9="","",IF($M9,IF(AND($G9&gt;=BJ$5,$G9&lt;BJ$5+GanttPeriod),"◆",IF(AND($E9&gt;=BJ$5,$E9&lt;BJ$5+GanttPeriod),"◇","")),IF(AND(BJ$5&lt;=$F9,BJ$5+GanttPeriod-1&gt;=$E9),"━","")))</f>
        <v/>
      </c>
      <c r="BK9" s="69" t="str">
        <f aca="false">IF($E9="","",IF($M9,IF(AND($G9&gt;=BK$5,$G9&lt;BK$5+GanttPeriod),"◆",IF(AND($E9&gt;=BK$5,$E9&lt;BK$5+GanttPeriod),"◇","")),IF(AND(BK$5&lt;=$F9,BK$5+GanttPeriod-1&gt;=$E9),"━","")))</f>
        <v/>
      </c>
      <c r="BL9" s="69" t="str">
        <f aca="false">IF($E9="","",IF($M9,IF(AND($G9&gt;=BL$5,$G9&lt;BL$5+GanttPeriod),"◆",IF(AND($E9&gt;=BL$5,$E9&lt;BL$5+GanttPeriod),"◇","")),IF(AND(BL$5&lt;=$F9,BL$5+GanttPeriod-1&gt;=$E9),"━","")))</f>
        <v/>
      </c>
      <c r="BM9" s="69" t="str">
        <f aca="false">IF($E9="","",IF($M9,IF(AND($G9&gt;=BM$5,$G9&lt;BM$5+GanttPeriod),"◆",IF(AND($E9&gt;=BM$5,$E9&lt;BM$5+GanttPeriod),"◇","")),IF(AND(BM$5&lt;=$F9,BM$5+GanttPeriod-1&gt;=$E9),"━","")))</f>
        <v/>
      </c>
      <c r="BN9" s="69" t="str">
        <f aca="false">IF($E9="","",IF($M9,IF(AND($G9&gt;=BN$5,$G9&lt;BN$5+GanttPeriod),"◆",IF(AND($E9&gt;=BN$5,$E9&lt;BN$5+GanttPeriod),"◇","")),IF(AND(BN$5&lt;=$F9,BN$5+GanttPeriod-1&gt;=$E9),"━","")))</f>
        <v/>
      </c>
      <c r="BO9" s="69" t="str">
        <f aca="false">IF($E9="","",IF($M9,IF(AND($G9&gt;=BO$5,$G9&lt;BO$5+GanttPeriod),"◆",IF(AND($E9&gt;=BO$5,$E9&lt;BO$5+GanttPeriod),"◇","")),IF(AND(BO$5&lt;=$F9,BO$5+GanttPeriod-1&gt;=$E9),"━","")))</f>
        <v/>
      </c>
      <c r="BP9" s="69" t="str">
        <f aca="false">IF($E9="","",IF($M9,IF(AND($G9&gt;=BP$5,$G9&lt;BP$5+GanttPeriod),"◆",IF(AND($E9&gt;=BP$5,$E9&lt;BP$5+GanttPeriod),"◇","")),IF(AND(BP$5&lt;=$F9,BP$5+GanttPeriod-1&gt;=$E9),"━","")))</f>
        <v/>
      </c>
      <c r="BQ9" s="69" t="str">
        <f aca="false">IF($E9="","",IF($M9,IF(AND($G9&gt;=BQ$5,$G9&lt;BQ$5+GanttPeriod),"◆",IF(AND($E9&gt;=BQ$5,$E9&lt;BQ$5+GanttPeriod),"◇","")),IF(AND(BQ$5&lt;=$F9,BQ$5+GanttPeriod-1&gt;=$E9),"━","")))</f>
        <v/>
      </c>
      <c r="BR9" s="69" t="str">
        <f aca="false">IF($E9="","",IF($M9,IF(AND($G9&gt;=BR$5,$G9&lt;BR$5+GanttPeriod),"◆",IF(AND($E9&gt;=BR$5,$E9&lt;BR$5+GanttPeriod),"◇","")),IF(AND(BR$5&lt;=$F9,BR$5+GanttPeriod-1&gt;=$E9),"━","")))</f>
        <v/>
      </c>
      <c r="BS9" s="69" t="str">
        <f aca="false">IF($E9="","",IF($M9,IF(AND($G9&gt;=BS$5,$G9&lt;BS$5+GanttPeriod),"◆",IF(AND($E9&gt;=BS$5,$E9&lt;BS$5+GanttPeriod),"◇","")),IF(AND(BS$5&lt;=$F9,BS$5+GanttPeriod-1&gt;=$E9),"━","")))</f>
        <v/>
      </c>
      <c r="BT9" s="69" t="str">
        <f aca="false">IF($E9="","",IF($M9,IF(AND($G9&gt;=BT$5,$G9&lt;BT$5+GanttPeriod),"◆",IF(AND($E9&gt;=BT$5,$E9&lt;BT$5+GanttPeriod),"◇","")),IF(AND(BT$5&lt;=$F9,BT$5+GanttPeriod-1&gt;=$E9),"━","")))</f>
        <v/>
      </c>
      <c r="BU9" s="69" t="str">
        <f aca="false">IF($E9="","",IF($M9,IF(AND($G9&gt;=BU$5,$G9&lt;BU$5+GanttPeriod),"◆",IF(AND($E9&gt;=BU$5,$E9&lt;BU$5+GanttPeriod),"◇","")),IF(AND(BU$5&lt;=$F9,BU$5+GanttPeriod-1&gt;=$E9),"━","")))</f>
        <v/>
      </c>
      <c r="BV9" s="69" t="str">
        <f aca="false">IF($E9="","",IF($M9,IF(AND($G9&gt;=BV$5,$G9&lt;BV$5+GanttPeriod),"◆",IF(AND($E9&gt;=BV$5,$E9&lt;BV$5+GanttPeriod),"◇","")),IF(AND(BV$5&lt;=$F9,BV$5+GanttPeriod-1&gt;=$E9),"━","")))</f>
        <v/>
      </c>
      <c r="BW9" s="69" t="str">
        <f aca="false">IF($E9="","",IF($M9,IF(AND($G9&gt;=BW$5,$G9&lt;BW$5+GanttPeriod),"◆",IF(AND($E9&gt;=BW$5,$E9&lt;BW$5+GanttPeriod),"◇","")),IF(AND(BW$5&lt;=$F9,BW$5+GanttPeriod-1&gt;=$E9),"━","")))</f>
        <v/>
      </c>
      <c r="BX9" s="69" t="str">
        <f aca="false">IF($E9="","",IF($M9,IF(AND($G9&gt;=BX$5,$G9&lt;BX$5+GanttPeriod),"◆",IF(AND($E9&gt;=BX$5,$E9&lt;BX$5+GanttPeriod),"◇","")),IF(AND(BX$5&lt;=$F9,BX$5+GanttPeriod-1&gt;=$E9),"━","")))</f>
        <v/>
      </c>
      <c r="BY9" s="69" t="str">
        <f aca="false">IF($E9="","",IF($M9,IF(AND($G9&gt;=BY$5,$G9&lt;BY$5+GanttPeriod),"◆",IF(AND($E9&gt;=BY$5,$E9&lt;BY$5+GanttPeriod),"◇","")),IF(AND(BY$5&lt;=$F9,BY$5+GanttPeriod-1&gt;=$E9),"━","")))</f>
        <v/>
      </c>
      <c r="BZ9" s="69" t="str">
        <f aca="false">IF($E9="","",IF($M9,IF(AND($G9&gt;=BZ$5,$G9&lt;BZ$5+GanttPeriod),"◆",IF(AND($E9&gt;=BZ$5,$E9&lt;BZ$5+GanttPeriod),"◇","")),IF(AND(BZ$5&lt;=$F9,BZ$5+GanttPeriod-1&gt;=$E9),"━","")))</f>
        <v/>
      </c>
      <c r="CA9" s="69" t="str">
        <f aca="false">IF($E9="","",IF($M9,IF(AND($G9&gt;=CA$5,$G9&lt;CA$5+GanttPeriod),"◆",IF(AND($E9&gt;=CA$5,$E9&lt;CA$5+GanttPeriod),"◇","")),IF(AND(CA$5&lt;=$F9,CA$5+GanttPeriod-1&gt;=$E9),"━","")))</f>
        <v/>
      </c>
      <c r="CB9" s="69" t="str">
        <f aca="false">IF($E9="","",IF($M9,IF(AND($G9&gt;=CB$5,$G9&lt;CB$5+GanttPeriod),"◆",IF(AND($E9&gt;=CB$5,$E9&lt;CB$5+GanttPeriod),"◇","")),IF(AND(CB$5&lt;=$F9,CB$5+GanttPeriod-1&gt;=$E9),"━","")))</f>
        <v/>
      </c>
      <c r="CC9" s="69" t="str">
        <f aca="false">IF($E9="","",IF($M9,IF(AND($G9&gt;=CC$5,$G9&lt;CC$5+GanttPeriod),"◆",IF(AND($E9&gt;=CC$5,$E9&lt;CC$5+GanttPeriod),"◇","")),IF(AND(CC$5&lt;=$F9,CC$5+GanttPeriod-1&gt;=$E9),"━","")))</f>
        <v/>
      </c>
      <c r="CD9" s="69" t="str">
        <f aca="false">IF($E9="","",IF($M9,IF(AND($G9&gt;=CD$5,$G9&lt;CD$5+GanttPeriod),"◆",IF(AND($E9&gt;=CD$5,$E9&lt;CD$5+GanttPeriod),"◇","")),IF(AND(CD$5&lt;=$F9,CD$5+GanttPeriod-1&gt;=$E9),"━","")))</f>
        <v/>
      </c>
      <c r="CE9" s="69" t="str">
        <f aca="false">IF($E9="","",IF($M9,IF(AND($G9&gt;=CE$5,$G9&lt;CE$5+GanttPeriod),"◆",IF(AND($E9&gt;=CE$5,$E9&lt;CE$5+GanttPeriod),"◇","")),IF(AND(CE$5&lt;=$F9,CE$5+GanttPeriod-1&gt;=$E9),"━","")))</f>
        <v/>
      </c>
      <c r="CF9" s="69" t="str">
        <f aca="false">IF($E9="","",IF($M9,IF(AND($G9&gt;=CF$5,$G9&lt;CF$5+GanttPeriod),"◆",IF(AND($E9&gt;=CF$5,$E9&lt;CF$5+GanttPeriod),"◇","")),IF(AND(CF$5&lt;=$F9,CF$5+GanttPeriod-1&gt;=$E9),"━","")))</f>
        <v/>
      </c>
      <c r="CG9" s="69" t="str">
        <f aca="false">IF($E9="","",IF($M9,IF(AND($G9&gt;=CG$5,$G9&lt;CG$5+GanttPeriod),"◆",IF(AND($E9&gt;=CG$5,$E9&lt;CG$5+GanttPeriod),"◇","")),IF(AND(CG$5&lt;=$F9,CG$5+GanttPeriod-1&gt;=$E9),"━","")))</f>
        <v/>
      </c>
      <c r="CH9" s="69" t="str">
        <f aca="false">IF($E9="","",IF($M9,IF(AND($G9&gt;=CH$5,$G9&lt;CH$5+GanttPeriod),"◆",IF(AND($E9&gt;=CH$5,$E9&lt;CH$5+GanttPeriod),"◇","")),IF(AND(CH$5&lt;=$F9,CH$5+GanttPeriod-1&gt;=$E9),"━","")))</f>
        <v/>
      </c>
      <c r="CI9" s="69" t="str">
        <f aca="false">IF($E9="","",IF($M9,IF(AND($G9&gt;=CI$5,$G9&lt;CI$5+GanttPeriod),"◆",IF(AND($E9&gt;=CI$5,$E9&lt;CI$5+GanttPeriod),"◇","")),IF(AND(CI$5&lt;=$F9,CI$5+GanttPeriod-1&gt;=$E9),"━","")))</f>
        <v/>
      </c>
      <c r="CJ9" s="69" t="str">
        <f aca="false">IF($E9="","",IF($M9,IF(AND($G9&gt;=CJ$5,$G9&lt;CJ$5+GanttPeriod),"◆",IF(AND($E9&gt;=CJ$5,$E9&lt;CJ$5+GanttPeriod),"◇","")),IF(AND(CJ$5&lt;=$F9,CJ$5+GanttPeriod-1&gt;=$E9),"━","")))</f>
        <v/>
      </c>
      <c r="CK9" s="69" t="str">
        <f aca="false">IF($E9="","",IF($M9,IF(AND($G9&gt;=CK$5,$G9&lt;CK$5+GanttPeriod),"◆",IF(AND($E9&gt;=CK$5,$E9&lt;CK$5+GanttPeriod),"◇","")),IF(AND(CK$5&lt;=$F9,CK$5+GanttPeriod-1&gt;=$E9),"━","")))</f>
        <v/>
      </c>
      <c r="CL9" s="69" t="str">
        <f aca="false">IF($E9="","",IF($M9,IF(AND($G9&gt;=CL$5,$G9&lt;CL$5+GanttPeriod),"◆",IF(AND($E9&gt;=CL$5,$E9&lt;CL$5+GanttPeriod),"◇","")),IF(AND(CL$5&lt;=$F9,CL$5+GanttPeriod-1&gt;=$E9),"━","")))</f>
        <v/>
      </c>
      <c r="CM9" s="69" t="str">
        <f aca="false">IF($E9="","",IF($M9,IF(AND($G9&gt;=CM$5,$G9&lt;CM$5+GanttPeriod),"◆",IF(AND($E9&gt;=CM$5,$E9&lt;CM$5+GanttPeriod),"◇","")),IF(AND(CM$5&lt;=$F9,CM$5+GanttPeriod-1&gt;=$E9),"━","")))</f>
        <v/>
      </c>
      <c r="CN9" s="69" t="str">
        <f aca="false">IF($E9="","",IF($M9,IF(AND($G9&gt;=CN$5,$G9&lt;CN$5+GanttPeriod),"◆",IF(AND($E9&gt;=CN$5,$E9&lt;CN$5+GanttPeriod),"◇","")),IF(AND(CN$5&lt;=$F9,CN$5+GanttPeriod-1&gt;=$E9),"━","")))</f>
        <v/>
      </c>
      <c r="CO9" s="69" t="str">
        <f aca="false">IF($E9="","",IF($M9,IF(AND($G9&gt;=CO$5,$G9&lt;CO$5+GanttPeriod),"◆",IF(AND($E9&gt;=CO$5,$E9&lt;CO$5+GanttPeriod),"◇","")),IF(AND(CO$5&lt;=$F9,CO$5+GanttPeriod-1&gt;=$E9),"━","")))</f>
        <v/>
      </c>
      <c r="CP9" s="69" t="str">
        <f aca="false">IF($E9="","",IF($M9,IF(AND($G9&gt;=CP$5,$G9&lt;CP$5+GanttPeriod),"◆",IF(AND($E9&gt;=CP$5,$E9&lt;CP$5+GanttPeriod),"◇","")),IF(AND(CP$5&lt;=$F9,CP$5+GanttPeriod-1&gt;=$E9),"━","")))</f>
        <v/>
      </c>
      <c r="CQ9" s="69" t="str">
        <f aca="false">IF($E9="","",IF($M9,IF(AND($G9&gt;=CQ$5,$G9&lt;CQ$5+GanttPeriod),"◆",IF(AND($E9&gt;=CQ$5,$E9&lt;CQ$5+GanttPeriod),"◇","")),IF(AND(CQ$5&lt;=$F9,CQ$5+GanttPeriod-1&gt;=$E9),"━","")))</f>
        <v/>
      </c>
      <c r="CR9" s="69" t="str">
        <f aca="false">IF($E9="","",IF($M9,IF(AND($G9&gt;=CR$5,$G9&lt;CR$5+GanttPeriod),"◆",IF(AND($E9&gt;=CR$5,$E9&lt;CR$5+GanttPeriod),"◇","")),IF(AND(CR$5&lt;=$F9,CR$5+GanttPeriod-1&gt;=$E9),"━","")))</f>
        <v/>
      </c>
      <c r="CS9" s="69" t="str">
        <f aca="false">IF($E9="","",IF($M9,IF(AND($G9&gt;=CS$5,$G9&lt;CS$5+GanttPeriod),"◆",IF(AND($E9&gt;=CS$5,$E9&lt;CS$5+GanttPeriod),"◇","")),IF(AND(CS$5&lt;=$F9,CS$5+GanttPeriod-1&gt;=$E9),"━","")))</f>
        <v/>
      </c>
      <c r="CT9" s="69" t="str">
        <f aca="false">IF($E9="","",IF($M9,IF(AND($G9&gt;=CT$5,$G9&lt;CT$5+GanttPeriod),"◆",IF(AND($E9&gt;=CT$5,$E9&lt;CT$5+GanttPeriod),"◇","")),IF(AND(CT$5&lt;=$F9,CT$5+GanttPeriod-1&gt;=$E9),"━","")))</f>
        <v/>
      </c>
      <c r="CU9" s="69" t="str">
        <f aca="false">IF($E9="","",IF($M9,IF(AND($G9&gt;=CU$5,$G9&lt;CU$5+GanttPeriod),"◆",IF(AND($E9&gt;=CU$5,$E9&lt;CU$5+GanttPeriod),"◇","")),IF(AND(CU$5&lt;=$F9,CU$5+GanttPeriod-1&gt;=$E9),"━","")))</f>
        <v/>
      </c>
      <c r="CV9" s="69" t="str">
        <f aca="false">IF($E9="","",IF($M9,IF(AND($G9&gt;=CV$5,$G9&lt;CV$5+GanttPeriod),"◆",IF(AND($E9&gt;=CV$5,$E9&lt;CV$5+GanttPeriod),"◇","")),IF(AND(CV$5&lt;=$F9,CV$5+GanttPeriod-1&gt;=$E9),"━","")))</f>
        <v/>
      </c>
      <c r="CW9" s="69" t="str">
        <f aca="false">IF($E9="","",IF($M9,IF(AND($G9&gt;=CW$5,$G9&lt;CW$5+GanttPeriod),"◆",IF(AND($E9&gt;=CW$5,$E9&lt;CW$5+GanttPeriod),"◇","")),IF(AND(CW$5&lt;=$F9,CW$5+GanttPeriod-1&gt;=$E9),"━","")))</f>
        <v/>
      </c>
      <c r="CX9" s="69" t="str">
        <f aca="false">IF($E9="","",IF($M9,IF(AND($G9&gt;=CX$5,$G9&lt;CX$5+GanttPeriod),"◆",IF(AND($E9&gt;=CX$5,$E9&lt;CX$5+GanttPeriod),"◇","")),IF(AND(CX$5&lt;=$F9,CX$5+GanttPeriod-1&gt;=$E9),"━","")))</f>
        <v/>
      </c>
      <c r="CY9" s="69" t="str">
        <f aca="false">IF($E9="","",IF($M9,IF(AND($G9&gt;=CY$5,$G9&lt;CY$5+GanttPeriod),"◆",IF(AND($E9&gt;=CY$5,$E9&lt;CY$5+GanttPeriod),"◇","")),IF(AND(CY$5&lt;=$F9,CY$5+GanttPeriod-1&gt;=$E9),"━","")))</f>
        <v/>
      </c>
      <c r="CZ9" s="69" t="str">
        <f aca="false">IF($E9="","",IF($M9,IF(AND($G9&gt;=CZ$5,$G9&lt;CZ$5+GanttPeriod),"◆",IF(AND($E9&gt;=CZ$5,$E9&lt;CZ$5+GanttPeriod),"◇","")),IF(AND(CZ$5&lt;=$F9,CZ$5+GanttPeriod-1&gt;=$E9),"━","")))</f>
        <v/>
      </c>
      <c r="DA9" s="69" t="str">
        <f aca="false">IF($E9="","",IF($M9,IF(AND($G9&gt;=DA$5,$G9&lt;DA$5+GanttPeriod),"◆",IF(AND($E9&gt;=DA$5,$E9&lt;DA$5+GanttPeriod),"◇","")),IF(AND(DA$5&lt;=$F9,DA$5+GanttPeriod-1&gt;=$E9),"━","")))</f>
        <v/>
      </c>
      <c r="DB9" s="69" t="str">
        <f aca="false">IF($E9="","",IF($M9,IF(AND($G9&gt;=DB$5,$G9&lt;DB$5+GanttPeriod),"◆",IF(AND($E9&gt;=DB$5,$E9&lt;DB$5+GanttPeriod),"◇","")),IF(AND(DB$5&lt;=$F9,DB$5+GanttPeriod-1&gt;=$E9),"━","")))</f>
        <v/>
      </c>
      <c r="DC9" s="69" t="str">
        <f aca="false">IF($E9="","",IF($M9,IF(AND($G9&gt;=DC$5,$G9&lt;DC$5+GanttPeriod),"◆",IF(AND($E9&gt;=DC$5,$E9&lt;DC$5+GanttPeriod),"◇","")),IF(AND(DC$5&lt;=$F9,DC$5+GanttPeriod-1&gt;=$E9),"━","")))</f>
        <v/>
      </c>
      <c r="DD9" s="69" t="str">
        <f aca="false">IF($E9="","",IF($M9,IF(AND($G9&gt;=DD$5,$G9&lt;DD$5+GanttPeriod),"◆",IF(AND($E9&gt;=DD$5,$E9&lt;DD$5+GanttPeriod),"◇","")),IF(AND(DD$5&lt;=$F9,DD$5+GanttPeriod-1&gt;=$E9),"━","")))</f>
        <v/>
      </c>
      <c r="DE9" s="69" t="str">
        <f aca="false">IF($E9="","",IF($M9,IF(AND($G9&gt;=DE$5,$G9&lt;DE$5+GanttPeriod),"◆",IF(AND($E9&gt;=DE$5,$E9&lt;DE$5+GanttPeriod),"◇","")),IF(AND(DE$5&lt;=$F9,DE$5+GanttPeriod-1&gt;=$E9),"━","")))</f>
        <v/>
      </c>
      <c r="DF9" s="69" t="str">
        <f aca="false">IF($E9="","",IF($M9,IF(AND($G9&gt;=DF$5,$G9&lt;DF$5+GanttPeriod),"◆",IF(AND($E9&gt;=DF$5,$E9&lt;DF$5+GanttPeriod),"◇","")),IF(AND(DF$5&lt;=$F9,DF$5+GanttPeriod-1&gt;=$E9),"━","")))</f>
        <v/>
      </c>
      <c r="DG9" s="69" t="str">
        <f aca="false">IF($E9="","",IF($M9,IF(AND($G9&gt;=DG$5,$G9&lt;DG$5+GanttPeriod),"◆",IF(AND($E9&gt;=DG$5,$E9&lt;DG$5+GanttPeriod),"◇","")),IF(AND(DG$5&lt;=$F9,DG$5+GanttPeriod-1&gt;=$E9),"━","")))</f>
        <v/>
      </c>
      <c r="DH9" s="69" t="str">
        <f aca="false">IF($E9="","",IF($M9,IF(AND($G9&gt;=DH$5,$G9&lt;DH$5+GanttPeriod),"◆",IF(AND($E9&gt;=DH$5,$E9&lt;DH$5+GanttPeriod),"◇","")),IF(AND(DH$5&lt;=$F9,DH$5+GanttPeriod-1&gt;=$E9),"━","")))</f>
        <v/>
      </c>
      <c r="DI9" s="69" t="str">
        <f aca="false">IF($E9="","",IF($M9,IF(AND($G9&gt;=DI$5,$G9&lt;DI$5+GanttPeriod),"◆",IF(AND($E9&gt;=DI$5,$E9&lt;DI$5+GanttPeriod),"◇","")),IF(AND(DI$5&lt;=$F9,DI$5+GanttPeriod-1&gt;=$E9),"━","")))</f>
        <v/>
      </c>
      <c r="DJ9" s="69" t="str">
        <f aca="false">IF($E9="","",IF($M9,IF(AND($G9&gt;=DJ$5,$G9&lt;DJ$5+GanttPeriod),"◆",IF(AND($E9&gt;=DJ$5,$E9&lt;DJ$5+GanttPeriod),"◇","")),IF(AND(DJ$5&lt;=$F9,DJ$5+GanttPeriod-1&gt;=$E9),"━","")))</f>
        <v/>
      </c>
      <c r="DK9" s="69" t="str">
        <f aca="false">IF($E9="","",IF($M9,IF(AND($G9&gt;=DK$5,$G9&lt;DK$5+GanttPeriod),"◆",IF(AND($E9&gt;=DK$5,$E9&lt;DK$5+GanttPeriod),"◇","")),IF(AND(DK$5&lt;=$F9,DK$5+GanttPeriod-1&gt;=$E9),"━","")))</f>
        <v/>
      </c>
      <c r="DL9" s="69" t="str">
        <f aca="false">IF($E9="","",IF($M9,IF(AND($G9&gt;=DL$5,$G9&lt;DL$5+GanttPeriod),"◆",IF(AND($E9&gt;=DL$5,$E9&lt;DL$5+GanttPeriod),"◇","")),IF(AND(DL$5&lt;=$F9,DL$5+GanttPeriod-1&gt;=$E9),"━","")))</f>
        <v/>
      </c>
      <c r="DM9" s="69" t="str">
        <f aca="false">IF($E9="","",IF($M9,IF(AND($G9&gt;=DM$5,$G9&lt;DM$5+GanttPeriod),"◆",IF(AND($E9&gt;=DM$5,$E9&lt;DM$5+GanttPeriod),"◇","")),IF(AND(DM$5&lt;=$F9,DM$5+GanttPeriod-1&gt;=$E9),"━","")))</f>
        <v/>
      </c>
      <c r="DN9" s="69" t="str">
        <f aca="false">IF($E9="","",IF($M9,IF(AND($G9&gt;=DN$5,$G9&lt;DN$5+GanttPeriod),"◆",IF(AND($E9&gt;=DN$5,$E9&lt;DN$5+GanttPeriod),"◇","")),IF(AND(DN$5&lt;=$F9,DN$5+GanttPeriod-1&gt;=$E9),"━","")))</f>
        <v/>
      </c>
      <c r="DO9" s="69" t="str">
        <f aca="false">IF($E9="","",IF($M9,IF(AND($G9&gt;=DO$5,$G9&lt;DO$5+GanttPeriod),"◆",IF(AND($E9&gt;=DO$5,$E9&lt;DO$5+GanttPeriod),"◇","")),IF(AND(DO$5&lt;=$F9,DO$5+GanttPeriod-1&gt;=$E9),"━","")))</f>
        <v/>
      </c>
      <c r="DP9" s="69" t="str">
        <f aca="false">IF($E9="","",IF($M9,IF(AND($G9&gt;=DP$5,$G9&lt;DP$5+GanttPeriod),"◆",IF(AND($E9&gt;=DP$5,$E9&lt;DP$5+GanttPeriod),"◇","")),IF(AND(DP$5&lt;=$F9,DP$5+GanttPeriod-1&gt;=$E9),"━","")))</f>
        <v/>
      </c>
      <c r="DQ9" s="69" t="str">
        <f aca="false">IF($E9="","",IF($M9,IF(AND($G9&gt;=DQ$5,$G9&lt;DQ$5+GanttPeriod),"◆",IF(AND($E9&gt;=DQ$5,$E9&lt;DQ$5+GanttPeriod),"◇","")),IF(AND(DQ$5&lt;=$F9,DQ$5+GanttPeriod-1&gt;=$E9),"━","")))</f>
        <v/>
      </c>
      <c r="DR9" s="69" t="str">
        <f aca="false">IF($E9="","",IF($M9,IF(AND($G9&gt;=DR$5,$G9&lt;DR$5+GanttPeriod),"◆",IF(AND($E9&gt;=DR$5,$E9&lt;DR$5+GanttPeriod),"◇","")),IF(AND(DR$5&lt;=$F9,DR$5+GanttPeriod-1&gt;=$E9),"━","")))</f>
        <v/>
      </c>
      <c r="DS9" s="69" t="str">
        <f aca="false">IF($E9="","",IF($M9,IF(AND($G9&gt;=DS$5,$G9&lt;DS$5+GanttPeriod),"◆",IF(AND($E9&gt;=DS$5,$E9&lt;DS$5+GanttPeriod),"◇","")),IF(AND(DS$5&lt;=$F9,DS$5+GanttPeriod-1&gt;=$E9),"━","")))</f>
        <v/>
      </c>
      <c r="DT9" s="69" t="str">
        <f aca="false">IF($E9="","",IF($M9,IF(AND($G9&gt;=DT$5,$G9&lt;DT$5+GanttPeriod),"◆",IF(AND($E9&gt;=DT$5,$E9&lt;DT$5+GanttPeriod),"◇","")),IF(AND(DT$5&lt;=$F9,DT$5+GanttPeriod-1&gt;=$E9),"━","")))</f>
        <v/>
      </c>
      <c r="DU9" s="69" t="str">
        <f aca="false">IF($E9="","",IF($M9,IF(AND($G9&gt;=DU$5,$G9&lt;DU$5+GanttPeriod),"◆",IF(AND($E9&gt;=DU$5,$E9&lt;DU$5+GanttPeriod),"◇","")),IF(AND(DU$5&lt;=$F9,DU$5+GanttPeriod-1&gt;=$E9),"━","")))</f>
        <v/>
      </c>
      <c r="DV9" s="69" t="str">
        <f aca="false">IF($E9="","",IF($M9,IF(AND($G9&gt;=DV$5,$G9&lt;DV$5+GanttPeriod),"◆",IF(AND($E9&gt;=DV$5,$E9&lt;DV$5+GanttPeriod),"◇","")),IF(AND(DV$5&lt;=$F9,DV$5+GanttPeriod-1&gt;=$E9),"━","")))</f>
        <v/>
      </c>
      <c r="DW9" s="69" t="str">
        <f aca="false">IF($E9="","",IF($M9,IF(AND($G9&gt;=DW$5,$G9&lt;DW$5+GanttPeriod),"◆",IF(AND($E9&gt;=DW$5,$E9&lt;DW$5+GanttPeriod),"◇","")),IF(AND(DW$5&lt;=$F9,DW$5+GanttPeriod-1&gt;=$E9),"━","")))</f>
        <v/>
      </c>
      <c r="DX9" s="69" t="str">
        <f aca="false">IF($E9="","",IF($M9,IF(AND($G9&gt;=DX$5,$G9&lt;DX$5+GanttPeriod),"◆",IF(AND($E9&gt;=DX$5,$E9&lt;DX$5+GanttPeriod),"◇","")),IF(AND(DX$5&lt;=$F9,DX$5+GanttPeriod-1&gt;=$E9),"━","")))</f>
        <v/>
      </c>
      <c r="DY9" s="69" t="str">
        <f aca="false">IF($E9="","",IF($M9,IF(AND($G9&gt;=DY$5,$G9&lt;DY$5+GanttPeriod),"◆",IF(AND($E9&gt;=DY$5,$E9&lt;DY$5+GanttPeriod),"◇","")),IF(AND(DY$5&lt;=$F9,DY$5+GanttPeriod-1&gt;=$E9),"━","")))</f>
        <v/>
      </c>
      <c r="DZ9" s="69" t="str">
        <f aca="false">IF($E9="","",IF($M9,IF(AND($G9&gt;=DZ$5,$G9&lt;DZ$5+GanttPeriod),"◆",IF(AND($E9&gt;=DZ$5,$E9&lt;DZ$5+GanttPeriod),"◇","")),IF(AND(DZ$5&lt;=$F9,DZ$5+GanttPeriod-1&gt;=$E9),"━","")))</f>
        <v/>
      </c>
      <c r="EA9" s="69" t="str">
        <f aca="false">IF($E9="","",IF($M9,IF(AND($G9&gt;=EA$5,$G9&lt;EA$5+GanttPeriod),"◆",IF(AND($E9&gt;=EA$5,$E9&lt;EA$5+GanttPeriod),"◇","")),IF(AND(EA$5&lt;=$F9,EA$5+GanttPeriod-1&gt;=$E9),"━","")))</f>
        <v/>
      </c>
      <c r="EB9" s="69" t="str">
        <f aca="false">IF($E9="","",IF($M9,IF(AND($G9&gt;=EB$5,$G9&lt;EB$5+GanttPeriod),"◆",IF(AND($E9&gt;=EB$5,$E9&lt;EB$5+GanttPeriod),"◇","")),IF(AND(EB$5&lt;=$F9,EB$5+GanttPeriod-1&gt;=$E9),"━","")))</f>
        <v/>
      </c>
      <c r="EC9" s="69" t="str">
        <f aca="false">IF($E9="","",IF($M9,IF(AND($G9&gt;=EC$5,$G9&lt;EC$5+GanttPeriod),"◆",IF(AND($E9&gt;=EC$5,$E9&lt;EC$5+GanttPeriod),"◇","")),IF(AND(EC$5&lt;=$F9,EC$5+GanttPeriod-1&gt;=$E9),"━","")))</f>
        <v/>
      </c>
      <c r="ED9" s="69" t="str">
        <f aca="false">IF($E9="","",IF($M9,IF(AND($G9&gt;=ED$5,$G9&lt;ED$5+GanttPeriod),"◆",IF(AND($E9&gt;=ED$5,$E9&lt;ED$5+GanttPeriod),"◇","")),IF(AND(ED$5&lt;=$F9,ED$5+GanttPeriod-1&gt;=$E9),"━","")))</f>
        <v/>
      </c>
      <c r="EE9" s="69" t="str">
        <f aca="false">IF($E9="","",IF($M9,IF(AND($G9&gt;=EE$5,$G9&lt;EE$5+GanttPeriod),"◆",IF(AND($E9&gt;=EE$5,$E9&lt;EE$5+GanttPeriod),"◇","")),IF(AND(EE$5&lt;=$F9,EE$5+GanttPeriod-1&gt;=$E9),"━","")))</f>
        <v/>
      </c>
      <c r="EF9" s="69" t="str">
        <f aca="false">IF($E9="","",IF($M9,IF(AND($G9&gt;=EF$5,$G9&lt;EF$5+GanttPeriod),"◆",IF(AND($E9&gt;=EF$5,$E9&lt;EF$5+GanttPeriod),"◇","")),IF(AND(EF$5&lt;=$F9,EF$5+GanttPeriod-1&gt;=$E9),"━","")))</f>
        <v/>
      </c>
      <c r="EG9" s="69" t="str">
        <f aca="false">IF($E9="","",IF($M9,IF(AND($G9&gt;=EG$5,$G9&lt;EG$5+GanttPeriod),"◆",IF(AND($E9&gt;=EG$5,$E9&lt;EG$5+GanttPeriod),"◇","")),IF(AND(EG$5&lt;=$F9,EG$5+GanttPeriod-1&gt;=$E9),"━","")))</f>
        <v/>
      </c>
      <c r="EH9" s="69" t="str">
        <f aca="false">IF($E9="","",IF($M9,IF(AND($G9&gt;=EH$5,$G9&lt;EH$5+GanttPeriod),"◆",IF(AND($E9&gt;=EH$5,$E9&lt;EH$5+GanttPeriod),"◇","")),IF(AND(EH$5&lt;=$F9,EH$5+GanttPeriod-1&gt;=$E9),"━","")))</f>
        <v/>
      </c>
      <c r="EI9" s="69" t="str">
        <f aca="false">IF($E9="","",IF($M9,IF(AND($G9&gt;=EI$5,$G9&lt;EI$5+GanttPeriod),"◆",IF(AND($E9&gt;=EI$5,$E9&lt;EI$5+GanttPeriod),"◇","")),IF(AND(EI$5&lt;=$F9,EI$5+GanttPeriod-1&gt;=$E9),"━","")))</f>
        <v/>
      </c>
      <c r="EJ9" s="69" t="str">
        <f aca="false">IF($E9="","",IF($M9,IF(AND($G9&gt;=EJ$5,$G9&lt;EJ$5+GanttPeriod),"◆",IF(AND($E9&gt;=EJ$5,$E9&lt;EJ$5+GanttPeriod),"◇","")),IF(AND(EJ$5&lt;=$F9,EJ$5+GanttPeriod-1&gt;=$E9),"━","")))</f>
        <v/>
      </c>
      <c r="EK9" s="69" t="str">
        <f aca="false">IF($E9="","",IF($M9,IF(AND($G9&gt;=EK$5,$G9&lt;EK$5+GanttPeriod),"◆",IF(AND($E9&gt;=EK$5,$E9&lt;EK$5+GanttPeriod),"◇","")),IF(AND(EK$5&lt;=$F9,EK$5+GanttPeriod-1&gt;=$E9),"━","")))</f>
        <v/>
      </c>
      <c r="EL9" s="69" t="str">
        <f aca="false">IF($E9="","",IF($M9,IF(AND($G9&gt;=EL$5,$G9&lt;EL$5+GanttPeriod),"◆",IF(AND($E9&gt;=EL$5,$E9&lt;EL$5+GanttPeriod),"◇","")),IF(AND(EL$5&lt;=$F9,EL$5+GanttPeriod-1&gt;=$E9),"━","")))</f>
        <v/>
      </c>
      <c r="EM9" s="69" t="str">
        <f aca="false">IF($E9="","",IF($M9,IF(AND($G9&gt;=EM$5,$G9&lt;EM$5+GanttPeriod),"◆",IF(AND($E9&gt;=EM$5,$E9&lt;EM$5+GanttPeriod),"◇","")),IF(AND(EM$5&lt;=$F9,EM$5+GanttPeriod-1&gt;=$E9),"━","")))</f>
        <v/>
      </c>
      <c r="EN9" s="69" t="str">
        <f aca="false">IF($E9="","",IF($M9,IF(AND($G9&gt;=EN$5,$G9&lt;EN$5+GanttPeriod),"◆",IF(AND($E9&gt;=EN$5,$E9&lt;EN$5+GanttPeriod),"◇","")),IF(AND(EN$5&lt;=$F9,EN$5+GanttPeriod-1&gt;=$E9),"━","")))</f>
        <v/>
      </c>
      <c r="EO9" s="69" t="str">
        <f aca="false">IF($E9="","",IF($M9,IF(AND($G9&gt;=EO$5,$G9&lt;EO$5+GanttPeriod),"◆",IF(AND($E9&gt;=EO$5,$E9&lt;EO$5+GanttPeriod),"◇","")),IF(AND(EO$5&lt;=$F9,EO$5+GanttPeriod-1&gt;=$E9),"━","")))</f>
        <v/>
      </c>
      <c r="EP9" s="69" t="str">
        <f aca="false">IF($E9="","",IF($M9,IF(AND($G9&gt;=EP$5,$G9&lt;EP$5+GanttPeriod),"◆",IF(AND($E9&gt;=EP$5,$E9&lt;EP$5+GanttPeriod),"◇","")),IF(AND(EP$5&lt;=$F9,EP$5+GanttPeriod-1&gt;=$E9),"━","")))</f>
        <v/>
      </c>
      <c r="EQ9" s="69" t="str">
        <f aca="false">IF($E9="","",IF($M9,IF(AND($G9&gt;=EQ$5,$G9&lt;EQ$5+GanttPeriod),"◆",IF(AND($E9&gt;=EQ$5,$E9&lt;EQ$5+GanttPeriod),"◇","")),IF(AND(EQ$5&lt;=$F9,EQ$5+GanttPeriod-1&gt;=$E9),"━","")))</f>
        <v/>
      </c>
      <c r="ER9" s="69" t="str">
        <f aca="false">IF($E9="","",IF($M9,IF(AND($G9&gt;=ER$5,$G9&lt;ER$5+GanttPeriod),"◆",IF(AND($E9&gt;=ER$5,$E9&lt;ER$5+GanttPeriod),"◇","")),IF(AND(ER$5&lt;=$F9,ER$5+GanttPeriod-1&gt;=$E9),"━","")))</f>
        <v/>
      </c>
      <c r="ES9" s="69" t="str">
        <f aca="false">IF($E9="","",IF($M9,IF(AND($G9&gt;=ES$5,$G9&lt;ES$5+GanttPeriod),"◆",IF(AND($E9&gt;=ES$5,$E9&lt;ES$5+GanttPeriod),"◇","")),IF(AND(ES$5&lt;=$F9,ES$5+GanttPeriod-1&gt;=$E9),"━","")))</f>
        <v/>
      </c>
      <c r="ET9" s="69" t="str">
        <f aca="false">IF($E9="","",IF($M9,IF(AND($G9&gt;=ET$5,$G9&lt;ET$5+GanttPeriod),"◆",IF(AND($E9&gt;=ET$5,$E9&lt;ET$5+GanttPeriod),"◇","")),IF(AND(ET$5&lt;=$F9,ET$5+GanttPeriod-1&gt;=$E9),"━","")))</f>
        <v/>
      </c>
      <c r="EU9" s="69" t="str">
        <f aca="false">IF($E9="","",IF($M9,IF(AND($G9&gt;=EU$5,$G9&lt;EU$5+GanttPeriod),"◆",IF(AND($E9&gt;=EU$5,$E9&lt;EU$5+GanttPeriod),"◇","")),IF(AND(EU$5&lt;=$F9,EU$5+GanttPeriod-1&gt;=$E9),"━","")))</f>
        <v/>
      </c>
      <c r="EV9" s="69" t="str">
        <f aca="false">IF($E9="","",IF($M9,IF(AND($G9&gt;=EV$5,$G9&lt;EV$5+GanttPeriod),"◆",IF(AND($E9&gt;=EV$5,$E9&lt;EV$5+GanttPeriod),"◇","")),IF(AND(EV$5&lt;=$F9,EV$5+GanttPeriod-1&gt;=$E9),"━","")))</f>
        <v/>
      </c>
      <c r="EW9" s="69" t="str">
        <f aca="false">IF($E9="","",IF($M9,IF(AND($G9&gt;=EW$5,$G9&lt;EW$5+GanttPeriod),"◆",IF(AND($E9&gt;=EW$5,$E9&lt;EW$5+GanttPeriod),"◇","")),IF(AND(EW$5&lt;=$F9,EW$5+GanttPeriod-1&gt;=$E9),"━","")))</f>
        <v/>
      </c>
      <c r="EX9" s="69" t="str">
        <f aca="false">IF($E9="","",IF($M9,IF(AND($G9&gt;=EX$5,$G9&lt;EX$5+GanttPeriod),"◆",IF(AND($E9&gt;=EX$5,$E9&lt;EX$5+GanttPeriod),"◇","")),IF(AND(EX$5&lt;=$F9,EX$5+GanttPeriod-1&gt;=$E9),"━","")))</f>
        <v/>
      </c>
      <c r="EY9" s="69" t="str">
        <f aca="false">IF($E9="","",IF($M9,IF(AND($G9&gt;=EY$5,$G9&lt;EY$5+GanttPeriod),"◆",IF(AND($E9&gt;=EY$5,$E9&lt;EY$5+GanttPeriod),"◇","")),IF(AND(EY$5&lt;=$F9,EY$5+GanttPeriod-1&gt;=$E9),"━","")))</f>
        <v/>
      </c>
      <c r="EZ9" s="69" t="str">
        <f aca="false">IF($E9="","",IF($M9,IF(AND($G9&gt;=EZ$5,$G9&lt;EZ$5+GanttPeriod),"◆",IF(AND($E9&gt;=EZ$5,$E9&lt;EZ$5+GanttPeriod),"◇","")),IF(AND(EZ$5&lt;=$F9,EZ$5+GanttPeriod-1&gt;=$E9),"━","")))</f>
        <v/>
      </c>
      <c r="FA9" s="69" t="str">
        <f aca="false">IF($E9="","",IF($M9,IF(AND($G9&gt;=FA$5,$G9&lt;FA$5+GanttPeriod),"◆",IF(AND($E9&gt;=FA$5,$E9&lt;FA$5+GanttPeriod),"◇","")),IF(AND(FA$5&lt;=$F9,FA$5+GanttPeriod-1&gt;=$E9),"━","")))</f>
        <v/>
      </c>
      <c r="FB9" s="69" t="str">
        <f aca="false">IF($E9="","",IF($M9,IF(AND($G9&gt;=FB$5,$G9&lt;FB$5+GanttPeriod),"◆",IF(AND($E9&gt;=FB$5,$E9&lt;FB$5+GanttPeriod),"◇","")),IF(AND(FB$5&lt;=$F9,FB$5+GanttPeriod-1&gt;=$E9),"━","")))</f>
        <v/>
      </c>
      <c r="FC9" s="69" t="str">
        <f aca="false">IF($E9="","",IF($M9,IF(AND($G9&gt;=FC$5,$G9&lt;FC$5+GanttPeriod),"◆",IF(AND($E9&gt;=FC$5,$E9&lt;FC$5+GanttPeriod),"◇","")),IF(AND(FC$5&lt;=$F9,FC$5+GanttPeriod-1&gt;=$E9),"━","")))</f>
        <v/>
      </c>
      <c r="FD9" s="69" t="str">
        <f aca="false">IF($E9="","",IF($M9,IF(AND($G9&gt;=FD$5,$G9&lt;FD$5+GanttPeriod),"◆",IF(AND($E9&gt;=FD$5,$E9&lt;FD$5+GanttPeriod),"◇","")),IF(AND(FD$5&lt;=$F9,FD$5+GanttPeriod-1&gt;=$E9),"━","")))</f>
        <v/>
      </c>
      <c r="FE9" s="69" t="str">
        <f aca="false">IF($E9="","",IF($M9,IF(AND($G9&gt;=FE$5,$G9&lt;FE$5+GanttPeriod),"◆",IF(AND($E9&gt;=FE$5,$E9&lt;FE$5+GanttPeriod),"◇","")),IF(AND(FE$5&lt;=$F9,FE$5+GanttPeriod-1&gt;=$E9),"━","")))</f>
        <v/>
      </c>
      <c r="FF9" s="69" t="str">
        <f aca="false">IF($E9="","",IF($M9,IF(AND($G9&gt;=FF$5,$G9&lt;FF$5+GanttPeriod),"◆",IF(AND($E9&gt;=FF$5,$E9&lt;FF$5+GanttPeriod),"◇","")),IF(AND(FF$5&lt;=$F9,FF$5+GanttPeriod-1&gt;=$E9),"━","")))</f>
        <v/>
      </c>
      <c r="FG9" s="69" t="str">
        <f aca="false">IF($E9="","",IF($M9,IF(AND($G9&gt;=FG$5,$G9&lt;FG$5+GanttPeriod),"◆",IF(AND($E9&gt;=FG$5,$E9&lt;FG$5+GanttPeriod),"◇","")),IF(AND(FG$5&lt;=$F9,FG$5+GanttPeriod-1&gt;=$E9),"━","")))</f>
        <v/>
      </c>
      <c r="FH9" s="69" t="str">
        <f aca="false">IF($E9="","",IF($M9,IF(AND($G9&gt;=FH$5,$G9&lt;FH$5+GanttPeriod),"◆",IF(AND($E9&gt;=FH$5,$E9&lt;FH$5+GanttPeriod),"◇","")),IF(AND(FH$5&lt;=$F9,FH$5+GanttPeriod-1&gt;=$E9),"━","")))</f>
        <v/>
      </c>
      <c r="FI9" s="69" t="str">
        <f aca="false">IF($E9="","",IF($M9,IF(AND($G9&gt;=FI$5,$G9&lt;FI$5+GanttPeriod),"◆",IF(AND($E9&gt;=FI$5,$E9&lt;FI$5+GanttPeriod),"◇","")),IF(AND(FI$5&lt;=$F9,FI$5+GanttPeriod-1&gt;=$E9),"━","")))</f>
        <v/>
      </c>
      <c r="FJ9" s="69" t="str">
        <f aca="false">IF($E9="","",IF($M9,IF(AND($G9&gt;=FJ$5,$G9&lt;FJ$5+GanttPeriod),"◆",IF(AND($E9&gt;=FJ$5,$E9&lt;FJ$5+GanttPeriod),"◇","")),IF(AND(FJ$5&lt;=$F9,FJ$5+GanttPeriod-1&gt;=$E9),"━","")))</f>
        <v/>
      </c>
      <c r="FK9" s="69" t="str">
        <f aca="false">IF($E9="","",IF($M9,IF(AND($G9&gt;=FK$5,$G9&lt;FK$5+GanttPeriod),"◆",IF(AND($E9&gt;=FK$5,$E9&lt;FK$5+GanttPeriod),"◇","")),IF(AND(FK$5&lt;=$F9,FK$5+GanttPeriod-1&gt;=$E9),"━","")))</f>
        <v/>
      </c>
      <c r="FL9" s="69" t="str">
        <f aca="false">IF($E9="","",IF($M9,IF(AND($G9&gt;=FL$5,$G9&lt;FL$5+GanttPeriod),"◆",IF(AND($E9&gt;=FL$5,$E9&lt;FL$5+GanttPeriod),"◇","")),IF(AND(FL$5&lt;=$F9,FL$5+GanttPeriod-1&gt;=$E9),"━","")))</f>
        <v/>
      </c>
      <c r="FM9" s="69" t="str">
        <f aca="false">IF($E9="","",IF($M9,IF(AND($G9&gt;=FM$5,$G9&lt;FM$5+GanttPeriod),"◆",IF(AND($E9&gt;=FM$5,$E9&lt;FM$5+GanttPeriod),"◇","")),IF(AND(FM$5&lt;=$F9,FM$5+GanttPeriod-1&gt;=$E9),"━","")))</f>
        <v/>
      </c>
    </row>
    <row r="10" customFormat="false" ht="15" hidden="false" customHeight="false" outlineLevel="0" collapsed="false">
      <c r="A10" s="62" t="n">
        <f aca="false">IF(Tasks!$D10="","",Tasks!$A10)</f>
        <v>5</v>
      </c>
      <c r="B10" s="62" t="str">
        <f aca="false">IF(Tasks!$D10="","",Tasks!$B10)</f>
        <v>2</v>
      </c>
      <c r="C10" s="63" t="str">
        <f aca="false">IF(Tasks!$D10="","",REPT("    ",Tasks!$AE10-1)&amp;Tasks!$D10)</f>
        <v>Requirements &amp; Design</v>
      </c>
      <c r="D10" s="62" t="n">
        <f aca="false">IF(Tasks!$D10="","",IF(Tasks!$AI10,NETWORKDAYS.INTL(Tasks!$R10,Tasks!$S10,WorkWeek,Holidays),N(Tasks!$F10)))</f>
        <v>16</v>
      </c>
      <c r="E10" s="64" t="n">
        <f aca="false">IF(Tasks!$D10="","",Tasks!$N10)</f>
        <v>46279</v>
      </c>
      <c r="F10" s="64" t="n">
        <f aca="false">IF(Tasks!$D10="","",Tasks!$O10)</f>
        <v>46296</v>
      </c>
      <c r="G10" s="64" t="n">
        <f aca="false">IF(Tasks!$D10="","",Tasks!$R10)</f>
        <v>46280</v>
      </c>
      <c r="H10" s="64" t="n">
        <f aca="false">IF(Tasks!$D10="","",Tasks!$S10)</f>
        <v>46301</v>
      </c>
      <c r="I10" s="65" t="n">
        <f aca="false">IF(Tasks!$D10="","",Tasks!$V10)</f>
        <v>1</v>
      </c>
      <c r="J10" s="63" t="str">
        <f aca="false">IF(Tasks!$D10="","",Tasks!$X10&amp;"")</f>
        <v/>
      </c>
      <c r="K10" s="66" t="str">
        <f aca="false">IF(Tasks!$D10="","",Tasks!$W10)</f>
        <v>Complete</v>
      </c>
      <c r="L10" s="67" t="b">
        <f aca="false">IF(Tasks!$D10="",FALSE(),Tasks!$AI10)</f>
        <v>1</v>
      </c>
      <c r="M10" s="67" t="b">
        <f aca="false">AND(Tasks!$AJ10=1,N(Tasks!$F10)=0)</f>
        <v>0</v>
      </c>
      <c r="N10" s="68" t="n">
        <f aca="false">IF(AND(Tasks!$AJ10=1,NOT($M10),N($I10)&gt;0),$G10,0)</f>
        <v>0</v>
      </c>
      <c r="O10" s="68" t="n">
        <f aca="false">IF($N10=0,0,IF($I10&gt;=1,$H10,MAX($N10,$G10+ROUND(($H10-$G10+1)*$I10,0)-1)))</f>
        <v>0</v>
      </c>
      <c r="P10" s="68" t="n">
        <f aca="false">IF(OR(Tasks!$AJ10&lt;&gt;1,$M10,N($I10)&gt;=1),0,IF($O10&gt;0,$O10+1,$G10))</f>
        <v>0</v>
      </c>
      <c r="Q10" s="68" t="n">
        <f aca="false">IF($P10=0,0,$H10)</f>
        <v>0</v>
      </c>
      <c r="R10" s="67" t="b">
        <f aca="false">AND(Tasks!$D10&lt;&gt;"",N(Tasks!$T10)&gt;0)</f>
        <v>1</v>
      </c>
      <c r="T10" s="69" t="str">
        <f aca="false">IF($E10="","",IF($M10,IF(AND($G10&gt;=T$5,$G10&lt;T$5+GanttPeriod),"◆",IF(AND($E10&gt;=T$5,$E10&lt;T$5+GanttPeriod),"◇","")),IF(AND(T$5&lt;=$F10,T$5+GanttPeriod-1&gt;=$E10),"━","")))</f>
        <v/>
      </c>
      <c r="U10" s="69" t="str">
        <f aca="false">IF($E10="","",IF($M10,IF(AND($G10&gt;=U$5,$G10&lt;U$5+GanttPeriod),"◆",IF(AND($E10&gt;=U$5,$E10&lt;U$5+GanttPeriod),"◇","")),IF(AND(U$5&lt;=$F10,U$5+GanttPeriod-1&gt;=$E10),"━","")))</f>
        <v/>
      </c>
      <c r="V10" s="69" t="str">
        <f aca="false">IF($E10="","",IF($M10,IF(AND($G10&gt;=V$5,$G10&lt;V$5+GanttPeriod),"◆",IF(AND($E10&gt;=V$5,$E10&lt;V$5+GanttPeriod),"◇","")),IF(AND(V$5&lt;=$F10,V$5+GanttPeriod-1&gt;=$E10),"━","")))</f>
        <v/>
      </c>
      <c r="W10" s="69" t="str">
        <f aca="false">IF($E10="","",IF($M10,IF(AND($G10&gt;=W$5,$G10&lt;W$5+GanttPeriod),"◆",IF(AND($E10&gt;=W$5,$E10&lt;W$5+GanttPeriod),"◇","")),IF(AND(W$5&lt;=$F10,W$5+GanttPeriod-1&gt;=$E10),"━","")))</f>
        <v/>
      </c>
      <c r="X10" s="69" t="str">
        <f aca="false">IF($E10="","",IF($M10,IF(AND($G10&gt;=X$5,$G10&lt;X$5+GanttPeriod),"◆",IF(AND($E10&gt;=X$5,$E10&lt;X$5+GanttPeriod),"◇","")),IF(AND(X$5&lt;=$F10,X$5+GanttPeriod-1&gt;=$E10),"━","")))</f>
        <v/>
      </c>
      <c r="Y10" s="69" t="str">
        <f aca="false">IF($E10="","",IF($M10,IF(AND($G10&gt;=Y$5,$G10&lt;Y$5+GanttPeriod),"◆",IF(AND($E10&gt;=Y$5,$E10&lt;Y$5+GanttPeriod),"◇","")),IF(AND(Y$5&lt;=$F10,Y$5+GanttPeriod-1&gt;=$E10),"━","")))</f>
        <v/>
      </c>
      <c r="Z10" s="69" t="str">
        <f aca="false">IF($E10="","",IF($M10,IF(AND($G10&gt;=Z$5,$G10&lt;Z$5+GanttPeriod),"◆",IF(AND($E10&gt;=Z$5,$E10&lt;Z$5+GanttPeriod),"◇","")),IF(AND(Z$5&lt;=$F10,Z$5+GanttPeriod-1&gt;=$E10),"━","")))</f>
        <v/>
      </c>
      <c r="AA10" s="69" t="str">
        <f aca="false">IF($E10="","",IF($M10,IF(AND($G10&gt;=AA$5,$G10&lt;AA$5+GanttPeriod),"◆",IF(AND($E10&gt;=AA$5,$E10&lt;AA$5+GanttPeriod),"◇","")),IF(AND(AA$5&lt;=$F10,AA$5+GanttPeriod-1&gt;=$E10),"━","")))</f>
        <v>━</v>
      </c>
      <c r="AB10" s="69" t="str">
        <f aca="false">IF($E10="","",IF($M10,IF(AND($G10&gt;=AB$5,$G10&lt;AB$5+GanttPeriod),"◆",IF(AND($E10&gt;=AB$5,$E10&lt;AB$5+GanttPeriod),"◇","")),IF(AND(AB$5&lt;=$F10,AB$5+GanttPeriod-1&gt;=$E10),"━","")))</f>
        <v>━</v>
      </c>
      <c r="AC10" s="69" t="str">
        <f aca="false">IF($E10="","",IF($M10,IF(AND($G10&gt;=AC$5,$G10&lt;AC$5+GanttPeriod),"◆",IF(AND($E10&gt;=AC$5,$E10&lt;AC$5+GanttPeriod),"◇","")),IF(AND(AC$5&lt;=$F10,AC$5+GanttPeriod-1&gt;=$E10),"━","")))</f>
        <v>━</v>
      </c>
      <c r="AD10" s="69" t="str">
        <f aca="false">IF($E10="","",IF($M10,IF(AND($G10&gt;=AD$5,$G10&lt;AD$5+GanttPeriod),"◆",IF(AND($E10&gt;=AD$5,$E10&lt;AD$5+GanttPeriod),"◇","")),IF(AND(AD$5&lt;=$F10,AD$5+GanttPeriod-1&gt;=$E10),"━","")))</f>
        <v>━</v>
      </c>
      <c r="AE10" s="69" t="str">
        <f aca="false">IF($E10="","",IF($M10,IF(AND($G10&gt;=AE$5,$G10&lt;AE$5+GanttPeriod),"◆",IF(AND($E10&gt;=AE$5,$E10&lt;AE$5+GanttPeriod),"◇","")),IF(AND(AE$5&lt;=$F10,AE$5+GanttPeriod-1&gt;=$E10),"━","")))</f>
        <v>━</v>
      </c>
      <c r="AF10" s="69" t="str">
        <f aca="false">IF($E10="","",IF($M10,IF(AND($G10&gt;=AF$5,$G10&lt;AF$5+GanttPeriod),"◆",IF(AND($E10&gt;=AF$5,$E10&lt;AF$5+GanttPeriod),"◇","")),IF(AND(AF$5&lt;=$F10,AF$5+GanttPeriod-1&gt;=$E10),"━","")))</f>
        <v>━</v>
      </c>
      <c r="AG10" s="69" t="str">
        <f aca="false">IF($E10="","",IF($M10,IF(AND($G10&gt;=AG$5,$G10&lt;AG$5+GanttPeriod),"◆",IF(AND($E10&gt;=AG$5,$E10&lt;AG$5+GanttPeriod),"◇","")),IF(AND(AG$5&lt;=$F10,AG$5+GanttPeriod-1&gt;=$E10),"━","")))</f>
        <v>━</v>
      </c>
      <c r="AH10" s="69" t="str">
        <f aca="false">IF($E10="","",IF($M10,IF(AND($G10&gt;=AH$5,$G10&lt;AH$5+GanttPeriod),"◆",IF(AND($E10&gt;=AH$5,$E10&lt;AH$5+GanttPeriod),"◇","")),IF(AND(AH$5&lt;=$F10,AH$5+GanttPeriod-1&gt;=$E10),"━","")))</f>
        <v>━</v>
      </c>
      <c r="AI10" s="69" t="str">
        <f aca="false">IF($E10="","",IF($M10,IF(AND($G10&gt;=AI$5,$G10&lt;AI$5+GanttPeriod),"◆",IF(AND($E10&gt;=AI$5,$E10&lt;AI$5+GanttPeriod),"◇","")),IF(AND(AI$5&lt;=$F10,AI$5+GanttPeriod-1&gt;=$E10),"━","")))</f>
        <v>━</v>
      </c>
      <c r="AJ10" s="69" t="str">
        <f aca="false">IF($E10="","",IF($M10,IF(AND($G10&gt;=AJ$5,$G10&lt;AJ$5+GanttPeriod),"◆",IF(AND($E10&gt;=AJ$5,$E10&lt;AJ$5+GanttPeriod),"◇","")),IF(AND(AJ$5&lt;=$F10,AJ$5+GanttPeriod-1&gt;=$E10),"━","")))</f>
        <v>━</v>
      </c>
      <c r="AK10" s="69" t="str">
        <f aca="false">IF($E10="","",IF($M10,IF(AND($G10&gt;=AK$5,$G10&lt;AK$5+GanttPeriod),"◆",IF(AND($E10&gt;=AK$5,$E10&lt;AK$5+GanttPeriod),"◇","")),IF(AND(AK$5&lt;=$F10,AK$5+GanttPeriod-1&gt;=$E10),"━","")))</f>
        <v>━</v>
      </c>
      <c r="AL10" s="69" t="str">
        <f aca="false">IF($E10="","",IF($M10,IF(AND($G10&gt;=AL$5,$G10&lt;AL$5+GanttPeriod),"◆",IF(AND($E10&gt;=AL$5,$E10&lt;AL$5+GanttPeriod),"◇","")),IF(AND(AL$5&lt;=$F10,AL$5+GanttPeriod-1&gt;=$E10),"━","")))</f>
        <v>━</v>
      </c>
      <c r="AM10" s="69" t="str">
        <f aca="false">IF($E10="","",IF($M10,IF(AND($G10&gt;=AM$5,$G10&lt;AM$5+GanttPeriod),"◆",IF(AND($E10&gt;=AM$5,$E10&lt;AM$5+GanttPeriod),"◇","")),IF(AND(AM$5&lt;=$F10,AM$5+GanttPeriod-1&gt;=$E10),"━","")))</f>
        <v>━</v>
      </c>
      <c r="AN10" s="69" t="str">
        <f aca="false">IF($E10="","",IF($M10,IF(AND($G10&gt;=AN$5,$G10&lt;AN$5+GanttPeriod),"◆",IF(AND($E10&gt;=AN$5,$E10&lt;AN$5+GanttPeriod),"◇","")),IF(AND(AN$5&lt;=$F10,AN$5+GanttPeriod-1&gt;=$E10),"━","")))</f>
        <v>━</v>
      </c>
      <c r="AO10" s="69" t="str">
        <f aca="false">IF($E10="","",IF($M10,IF(AND($G10&gt;=AO$5,$G10&lt;AO$5+GanttPeriod),"◆",IF(AND($E10&gt;=AO$5,$E10&lt;AO$5+GanttPeriod),"◇","")),IF(AND(AO$5&lt;=$F10,AO$5+GanttPeriod-1&gt;=$E10),"━","")))</f>
        <v>━</v>
      </c>
      <c r="AP10" s="69" t="str">
        <f aca="false">IF($E10="","",IF($M10,IF(AND($G10&gt;=AP$5,$G10&lt;AP$5+GanttPeriod),"◆",IF(AND($E10&gt;=AP$5,$E10&lt;AP$5+GanttPeriod),"◇","")),IF(AND(AP$5&lt;=$F10,AP$5+GanttPeriod-1&gt;=$E10),"━","")))</f>
        <v>━</v>
      </c>
      <c r="AQ10" s="69" t="str">
        <f aca="false">IF($E10="","",IF($M10,IF(AND($G10&gt;=AQ$5,$G10&lt;AQ$5+GanttPeriod),"◆",IF(AND($E10&gt;=AQ$5,$E10&lt;AQ$5+GanttPeriod),"◇","")),IF(AND(AQ$5&lt;=$F10,AQ$5+GanttPeriod-1&gt;=$E10),"━","")))</f>
        <v>━</v>
      </c>
      <c r="AR10" s="69" t="str">
        <f aca="false">IF($E10="","",IF($M10,IF(AND($G10&gt;=AR$5,$G10&lt;AR$5+GanttPeriod),"◆",IF(AND($E10&gt;=AR$5,$E10&lt;AR$5+GanttPeriod),"◇","")),IF(AND(AR$5&lt;=$F10,AR$5+GanttPeriod-1&gt;=$E10),"━","")))</f>
        <v>━</v>
      </c>
      <c r="AS10" s="69" t="str">
        <f aca="false">IF($E10="","",IF($M10,IF(AND($G10&gt;=AS$5,$G10&lt;AS$5+GanttPeriod),"◆",IF(AND($E10&gt;=AS$5,$E10&lt;AS$5+GanttPeriod),"◇","")),IF(AND(AS$5&lt;=$F10,AS$5+GanttPeriod-1&gt;=$E10),"━","")))</f>
        <v/>
      </c>
      <c r="AT10" s="69" t="str">
        <f aca="false">IF($E10="","",IF($M10,IF(AND($G10&gt;=AT$5,$G10&lt;AT$5+GanttPeriod),"◆",IF(AND($E10&gt;=AT$5,$E10&lt;AT$5+GanttPeriod),"◇","")),IF(AND(AT$5&lt;=$F10,AT$5+GanttPeriod-1&gt;=$E10),"━","")))</f>
        <v/>
      </c>
      <c r="AU10" s="69" t="str">
        <f aca="false">IF($E10="","",IF($M10,IF(AND($G10&gt;=AU$5,$G10&lt;AU$5+GanttPeriod),"◆",IF(AND($E10&gt;=AU$5,$E10&lt;AU$5+GanttPeriod),"◇","")),IF(AND(AU$5&lt;=$F10,AU$5+GanttPeriod-1&gt;=$E10),"━","")))</f>
        <v/>
      </c>
      <c r="AV10" s="69" t="str">
        <f aca="false">IF($E10="","",IF($M10,IF(AND($G10&gt;=AV$5,$G10&lt;AV$5+GanttPeriod),"◆",IF(AND($E10&gt;=AV$5,$E10&lt;AV$5+GanttPeriod),"◇","")),IF(AND(AV$5&lt;=$F10,AV$5+GanttPeriod-1&gt;=$E10),"━","")))</f>
        <v/>
      </c>
      <c r="AW10" s="69" t="str">
        <f aca="false">IF($E10="","",IF($M10,IF(AND($G10&gt;=AW$5,$G10&lt;AW$5+GanttPeriod),"◆",IF(AND($E10&gt;=AW$5,$E10&lt;AW$5+GanttPeriod),"◇","")),IF(AND(AW$5&lt;=$F10,AW$5+GanttPeriod-1&gt;=$E10),"━","")))</f>
        <v/>
      </c>
      <c r="AX10" s="69" t="str">
        <f aca="false">IF($E10="","",IF($M10,IF(AND($G10&gt;=AX$5,$G10&lt;AX$5+GanttPeriod),"◆",IF(AND($E10&gt;=AX$5,$E10&lt;AX$5+GanttPeriod),"◇","")),IF(AND(AX$5&lt;=$F10,AX$5+GanttPeriod-1&gt;=$E10),"━","")))</f>
        <v/>
      </c>
      <c r="AY10" s="69" t="str">
        <f aca="false">IF($E10="","",IF($M10,IF(AND($G10&gt;=AY$5,$G10&lt;AY$5+GanttPeriod),"◆",IF(AND($E10&gt;=AY$5,$E10&lt;AY$5+GanttPeriod),"◇","")),IF(AND(AY$5&lt;=$F10,AY$5+GanttPeriod-1&gt;=$E10),"━","")))</f>
        <v/>
      </c>
      <c r="AZ10" s="69" t="str">
        <f aca="false">IF($E10="","",IF($M10,IF(AND($G10&gt;=AZ$5,$G10&lt;AZ$5+GanttPeriod),"◆",IF(AND($E10&gt;=AZ$5,$E10&lt;AZ$5+GanttPeriod),"◇","")),IF(AND(AZ$5&lt;=$F10,AZ$5+GanttPeriod-1&gt;=$E10),"━","")))</f>
        <v/>
      </c>
      <c r="BA10" s="69" t="str">
        <f aca="false">IF($E10="","",IF($M10,IF(AND($G10&gt;=BA$5,$G10&lt;BA$5+GanttPeriod),"◆",IF(AND($E10&gt;=BA$5,$E10&lt;BA$5+GanttPeriod),"◇","")),IF(AND(BA$5&lt;=$F10,BA$5+GanttPeriod-1&gt;=$E10),"━","")))</f>
        <v/>
      </c>
      <c r="BB10" s="69" t="str">
        <f aca="false">IF($E10="","",IF($M10,IF(AND($G10&gt;=BB$5,$G10&lt;BB$5+GanttPeriod),"◆",IF(AND($E10&gt;=BB$5,$E10&lt;BB$5+GanttPeriod),"◇","")),IF(AND(BB$5&lt;=$F10,BB$5+GanttPeriod-1&gt;=$E10),"━","")))</f>
        <v/>
      </c>
      <c r="BC10" s="69" t="str">
        <f aca="false">IF($E10="","",IF($M10,IF(AND($G10&gt;=BC$5,$G10&lt;BC$5+GanttPeriod),"◆",IF(AND($E10&gt;=BC$5,$E10&lt;BC$5+GanttPeriod),"◇","")),IF(AND(BC$5&lt;=$F10,BC$5+GanttPeriod-1&gt;=$E10),"━","")))</f>
        <v/>
      </c>
      <c r="BD10" s="69" t="str">
        <f aca="false">IF($E10="","",IF($M10,IF(AND($G10&gt;=BD$5,$G10&lt;BD$5+GanttPeriod),"◆",IF(AND($E10&gt;=BD$5,$E10&lt;BD$5+GanttPeriod),"◇","")),IF(AND(BD$5&lt;=$F10,BD$5+GanttPeriod-1&gt;=$E10),"━","")))</f>
        <v/>
      </c>
      <c r="BE10" s="69" t="str">
        <f aca="false">IF($E10="","",IF($M10,IF(AND($G10&gt;=BE$5,$G10&lt;BE$5+GanttPeriod),"◆",IF(AND($E10&gt;=BE$5,$E10&lt;BE$5+GanttPeriod),"◇","")),IF(AND(BE$5&lt;=$F10,BE$5+GanttPeriod-1&gt;=$E10),"━","")))</f>
        <v/>
      </c>
      <c r="BF10" s="69" t="str">
        <f aca="false">IF($E10="","",IF($M10,IF(AND($G10&gt;=BF$5,$G10&lt;BF$5+GanttPeriod),"◆",IF(AND($E10&gt;=BF$5,$E10&lt;BF$5+GanttPeriod),"◇","")),IF(AND(BF$5&lt;=$F10,BF$5+GanttPeriod-1&gt;=$E10),"━","")))</f>
        <v/>
      </c>
      <c r="BG10" s="69" t="str">
        <f aca="false">IF($E10="","",IF($M10,IF(AND($G10&gt;=BG$5,$G10&lt;BG$5+GanttPeriod),"◆",IF(AND($E10&gt;=BG$5,$E10&lt;BG$5+GanttPeriod),"◇","")),IF(AND(BG$5&lt;=$F10,BG$5+GanttPeriod-1&gt;=$E10),"━","")))</f>
        <v/>
      </c>
      <c r="BH10" s="69" t="str">
        <f aca="false">IF($E10="","",IF($M10,IF(AND($G10&gt;=BH$5,$G10&lt;BH$5+GanttPeriod),"◆",IF(AND($E10&gt;=BH$5,$E10&lt;BH$5+GanttPeriod),"◇","")),IF(AND(BH$5&lt;=$F10,BH$5+GanttPeriod-1&gt;=$E10),"━","")))</f>
        <v/>
      </c>
      <c r="BI10" s="69" t="str">
        <f aca="false">IF($E10="","",IF($M10,IF(AND($G10&gt;=BI$5,$G10&lt;BI$5+GanttPeriod),"◆",IF(AND($E10&gt;=BI$5,$E10&lt;BI$5+GanttPeriod),"◇","")),IF(AND(BI$5&lt;=$F10,BI$5+GanttPeriod-1&gt;=$E10),"━","")))</f>
        <v/>
      </c>
      <c r="BJ10" s="69" t="str">
        <f aca="false">IF($E10="","",IF($M10,IF(AND($G10&gt;=BJ$5,$G10&lt;BJ$5+GanttPeriod),"◆",IF(AND($E10&gt;=BJ$5,$E10&lt;BJ$5+GanttPeriod),"◇","")),IF(AND(BJ$5&lt;=$F10,BJ$5+GanttPeriod-1&gt;=$E10),"━","")))</f>
        <v/>
      </c>
      <c r="BK10" s="69" t="str">
        <f aca="false">IF($E10="","",IF($M10,IF(AND($G10&gt;=BK$5,$G10&lt;BK$5+GanttPeriod),"◆",IF(AND($E10&gt;=BK$5,$E10&lt;BK$5+GanttPeriod),"◇","")),IF(AND(BK$5&lt;=$F10,BK$5+GanttPeriod-1&gt;=$E10),"━","")))</f>
        <v/>
      </c>
      <c r="BL10" s="69" t="str">
        <f aca="false">IF($E10="","",IF($M10,IF(AND($G10&gt;=BL$5,$G10&lt;BL$5+GanttPeriod),"◆",IF(AND($E10&gt;=BL$5,$E10&lt;BL$5+GanttPeriod),"◇","")),IF(AND(BL$5&lt;=$F10,BL$5+GanttPeriod-1&gt;=$E10),"━","")))</f>
        <v/>
      </c>
      <c r="BM10" s="69" t="str">
        <f aca="false">IF($E10="","",IF($M10,IF(AND($G10&gt;=BM$5,$G10&lt;BM$5+GanttPeriod),"◆",IF(AND($E10&gt;=BM$5,$E10&lt;BM$5+GanttPeriod),"◇","")),IF(AND(BM$5&lt;=$F10,BM$5+GanttPeriod-1&gt;=$E10),"━","")))</f>
        <v/>
      </c>
      <c r="BN10" s="69" t="str">
        <f aca="false">IF($E10="","",IF($M10,IF(AND($G10&gt;=BN$5,$G10&lt;BN$5+GanttPeriod),"◆",IF(AND($E10&gt;=BN$5,$E10&lt;BN$5+GanttPeriod),"◇","")),IF(AND(BN$5&lt;=$F10,BN$5+GanttPeriod-1&gt;=$E10),"━","")))</f>
        <v/>
      </c>
      <c r="BO10" s="69" t="str">
        <f aca="false">IF($E10="","",IF($M10,IF(AND($G10&gt;=BO$5,$G10&lt;BO$5+GanttPeriod),"◆",IF(AND($E10&gt;=BO$5,$E10&lt;BO$5+GanttPeriod),"◇","")),IF(AND(BO$5&lt;=$F10,BO$5+GanttPeriod-1&gt;=$E10),"━","")))</f>
        <v/>
      </c>
      <c r="BP10" s="69" t="str">
        <f aca="false">IF($E10="","",IF($M10,IF(AND($G10&gt;=BP$5,$G10&lt;BP$5+GanttPeriod),"◆",IF(AND($E10&gt;=BP$5,$E10&lt;BP$5+GanttPeriod),"◇","")),IF(AND(BP$5&lt;=$F10,BP$5+GanttPeriod-1&gt;=$E10),"━","")))</f>
        <v/>
      </c>
      <c r="BQ10" s="69" t="str">
        <f aca="false">IF($E10="","",IF($M10,IF(AND($G10&gt;=BQ$5,$G10&lt;BQ$5+GanttPeriod),"◆",IF(AND($E10&gt;=BQ$5,$E10&lt;BQ$5+GanttPeriod),"◇","")),IF(AND(BQ$5&lt;=$F10,BQ$5+GanttPeriod-1&gt;=$E10),"━","")))</f>
        <v/>
      </c>
      <c r="BR10" s="69" t="str">
        <f aca="false">IF($E10="","",IF($M10,IF(AND($G10&gt;=BR$5,$G10&lt;BR$5+GanttPeriod),"◆",IF(AND($E10&gt;=BR$5,$E10&lt;BR$5+GanttPeriod),"◇","")),IF(AND(BR$5&lt;=$F10,BR$5+GanttPeriod-1&gt;=$E10),"━","")))</f>
        <v/>
      </c>
      <c r="BS10" s="69" t="str">
        <f aca="false">IF($E10="","",IF($M10,IF(AND($G10&gt;=BS$5,$G10&lt;BS$5+GanttPeriod),"◆",IF(AND($E10&gt;=BS$5,$E10&lt;BS$5+GanttPeriod),"◇","")),IF(AND(BS$5&lt;=$F10,BS$5+GanttPeriod-1&gt;=$E10),"━","")))</f>
        <v/>
      </c>
      <c r="BT10" s="69" t="str">
        <f aca="false">IF($E10="","",IF($M10,IF(AND($G10&gt;=BT$5,$G10&lt;BT$5+GanttPeriod),"◆",IF(AND($E10&gt;=BT$5,$E10&lt;BT$5+GanttPeriod),"◇","")),IF(AND(BT$5&lt;=$F10,BT$5+GanttPeriod-1&gt;=$E10),"━","")))</f>
        <v/>
      </c>
      <c r="BU10" s="69" t="str">
        <f aca="false">IF($E10="","",IF($M10,IF(AND($G10&gt;=BU$5,$G10&lt;BU$5+GanttPeriod),"◆",IF(AND($E10&gt;=BU$5,$E10&lt;BU$5+GanttPeriod),"◇","")),IF(AND(BU$5&lt;=$F10,BU$5+GanttPeriod-1&gt;=$E10),"━","")))</f>
        <v/>
      </c>
      <c r="BV10" s="69" t="str">
        <f aca="false">IF($E10="","",IF($M10,IF(AND($G10&gt;=BV$5,$G10&lt;BV$5+GanttPeriod),"◆",IF(AND($E10&gt;=BV$5,$E10&lt;BV$5+GanttPeriod),"◇","")),IF(AND(BV$5&lt;=$F10,BV$5+GanttPeriod-1&gt;=$E10),"━","")))</f>
        <v/>
      </c>
      <c r="BW10" s="69" t="str">
        <f aca="false">IF($E10="","",IF($M10,IF(AND($G10&gt;=BW$5,$G10&lt;BW$5+GanttPeriod),"◆",IF(AND($E10&gt;=BW$5,$E10&lt;BW$5+GanttPeriod),"◇","")),IF(AND(BW$5&lt;=$F10,BW$5+GanttPeriod-1&gt;=$E10),"━","")))</f>
        <v/>
      </c>
      <c r="BX10" s="69" t="str">
        <f aca="false">IF($E10="","",IF($M10,IF(AND($G10&gt;=BX$5,$G10&lt;BX$5+GanttPeriod),"◆",IF(AND($E10&gt;=BX$5,$E10&lt;BX$5+GanttPeriod),"◇","")),IF(AND(BX$5&lt;=$F10,BX$5+GanttPeriod-1&gt;=$E10),"━","")))</f>
        <v/>
      </c>
      <c r="BY10" s="69" t="str">
        <f aca="false">IF($E10="","",IF($M10,IF(AND($G10&gt;=BY$5,$G10&lt;BY$5+GanttPeriod),"◆",IF(AND($E10&gt;=BY$5,$E10&lt;BY$5+GanttPeriod),"◇","")),IF(AND(BY$5&lt;=$F10,BY$5+GanttPeriod-1&gt;=$E10),"━","")))</f>
        <v/>
      </c>
      <c r="BZ10" s="69" t="str">
        <f aca="false">IF($E10="","",IF($M10,IF(AND($G10&gt;=BZ$5,$G10&lt;BZ$5+GanttPeriod),"◆",IF(AND($E10&gt;=BZ$5,$E10&lt;BZ$5+GanttPeriod),"◇","")),IF(AND(BZ$5&lt;=$F10,BZ$5+GanttPeriod-1&gt;=$E10),"━","")))</f>
        <v/>
      </c>
      <c r="CA10" s="69" t="str">
        <f aca="false">IF($E10="","",IF($M10,IF(AND($G10&gt;=CA$5,$G10&lt;CA$5+GanttPeriod),"◆",IF(AND($E10&gt;=CA$5,$E10&lt;CA$5+GanttPeriod),"◇","")),IF(AND(CA$5&lt;=$F10,CA$5+GanttPeriod-1&gt;=$E10),"━","")))</f>
        <v/>
      </c>
      <c r="CB10" s="69" t="str">
        <f aca="false">IF($E10="","",IF($M10,IF(AND($G10&gt;=CB$5,$G10&lt;CB$5+GanttPeriod),"◆",IF(AND($E10&gt;=CB$5,$E10&lt;CB$5+GanttPeriod),"◇","")),IF(AND(CB$5&lt;=$F10,CB$5+GanttPeriod-1&gt;=$E10),"━","")))</f>
        <v/>
      </c>
      <c r="CC10" s="69" t="str">
        <f aca="false">IF($E10="","",IF($M10,IF(AND($G10&gt;=CC$5,$G10&lt;CC$5+GanttPeriod),"◆",IF(AND($E10&gt;=CC$5,$E10&lt;CC$5+GanttPeriod),"◇","")),IF(AND(CC$5&lt;=$F10,CC$5+GanttPeriod-1&gt;=$E10),"━","")))</f>
        <v/>
      </c>
      <c r="CD10" s="69" t="str">
        <f aca="false">IF($E10="","",IF($M10,IF(AND($G10&gt;=CD$5,$G10&lt;CD$5+GanttPeriod),"◆",IF(AND($E10&gt;=CD$5,$E10&lt;CD$5+GanttPeriod),"◇","")),IF(AND(CD$5&lt;=$F10,CD$5+GanttPeriod-1&gt;=$E10),"━","")))</f>
        <v/>
      </c>
      <c r="CE10" s="69" t="str">
        <f aca="false">IF($E10="","",IF($M10,IF(AND($G10&gt;=CE$5,$G10&lt;CE$5+GanttPeriod),"◆",IF(AND($E10&gt;=CE$5,$E10&lt;CE$5+GanttPeriod),"◇","")),IF(AND(CE$5&lt;=$F10,CE$5+GanttPeriod-1&gt;=$E10),"━","")))</f>
        <v/>
      </c>
      <c r="CF10" s="69" t="str">
        <f aca="false">IF($E10="","",IF($M10,IF(AND($G10&gt;=CF$5,$G10&lt;CF$5+GanttPeriod),"◆",IF(AND($E10&gt;=CF$5,$E10&lt;CF$5+GanttPeriod),"◇","")),IF(AND(CF$5&lt;=$F10,CF$5+GanttPeriod-1&gt;=$E10),"━","")))</f>
        <v/>
      </c>
      <c r="CG10" s="69" t="str">
        <f aca="false">IF($E10="","",IF($M10,IF(AND($G10&gt;=CG$5,$G10&lt;CG$5+GanttPeriod),"◆",IF(AND($E10&gt;=CG$5,$E10&lt;CG$5+GanttPeriod),"◇","")),IF(AND(CG$5&lt;=$F10,CG$5+GanttPeriod-1&gt;=$E10),"━","")))</f>
        <v/>
      </c>
      <c r="CH10" s="69" t="str">
        <f aca="false">IF($E10="","",IF($M10,IF(AND($G10&gt;=CH$5,$G10&lt;CH$5+GanttPeriod),"◆",IF(AND($E10&gt;=CH$5,$E10&lt;CH$5+GanttPeriod),"◇","")),IF(AND(CH$5&lt;=$F10,CH$5+GanttPeriod-1&gt;=$E10),"━","")))</f>
        <v/>
      </c>
      <c r="CI10" s="69" t="str">
        <f aca="false">IF($E10="","",IF($M10,IF(AND($G10&gt;=CI$5,$G10&lt;CI$5+GanttPeriod),"◆",IF(AND($E10&gt;=CI$5,$E10&lt;CI$5+GanttPeriod),"◇","")),IF(AND(CI$5&lt;=$F10,CI$5+GanttPeriod-1&gt;=$E10),"━","")))</f>
        <v/>
      </c>
      <c r="CJ10" s="69" t="str">
        <f aca="false">IF($E10="","",IF($M10,IF(AND($G10&gt;=CJ$5,$G10&lt;CJ$5+GanttPeriod),"◆",IF(AND($E10&gt;=CJ$5,$E10&lt;CJ$5+GanttPeriod),"◇","")),IF(AND(CJ$5&lt;=$F10,CJ$5+GanttPeriod-1&gt;=$E10),"━","")))</f>
        <v/>
      </c>
      <c r="CK10" s="69" t="str">
        <f aca="false">IF($E10="","",IF($M10,IF(AND($G10&gt;=CK$5,$G10&lt;CK$5+GanttPeriod),"◆",IF(AND($E10&gt;=CK$5,$E10&lt;CK$5+GanttPeriod),"◇","")),IF(AND(CK$5&lt;=$F10,CK$5+GanttPeriod-1&gt;=$E10),"━","")))</f>
        <v/>
      </c>
      <c r="CL10" s="69" t="str">
        <f aca="false">IF($E10="","",IF($M10,IF(AND($G10&gt;=CL$5,$G10&lt;CL$5+GanttPeriod),"◆",IF(AND($E10&gt;=CL$5,$E10&lt;CL$5+GanttPeriod),"◇","")),IF(AND(CL$5&lt;=$F10,CL$5+GanttPeriod-1&gt;=$E10),"━","")))</f>
        <v/>
      </c>
      <c r="CM10" s="69" t="str">
        <f aca="false">IF($E10="","",IF($M10,IF(AND($G10&gt;=CM$5,$G10&lt;CM$5+GanttPeriod),"◆",IF(AND($E10&gt;=CM$5,$E10&lt;CM$5+GanttPeriod),"◇","")),IF(AND(CM$5&lt;=$F10,CM$5+GanttPeriod-1&gt;=$E10),"━","")))</f>
        <v/>
      </c>
      <c r="CN10" s="69" t="str">
        <f aca="false">IF($E10="","",IF($M10,IF(AND($G10&gt;=CN$5,$G10&lt;CN$5+GanttPeriod),"◆",IF(AND($E10&gt;=CN$5,$E10&lt;CN$5+GanttPeriod),"◇","")),IF(AND(CN$5&lt;=$F10,CN$5+GanttPeriod-1&gt;=$E10),"━","")))</f>
        <v/>
      </c>
      <c r="CO10" s="69" t="str">
        <f aca="false">IF($E10="","",IF($M10,IF(AND($G10&gt;=CO$5,$G10&lt;CO$5+GanttPeriod),"◆",IF(AND($E10&gt;=CO$5,$E10&lt;CO$5+GanttPeriod),"◇","")),IF(AND(CO$5&lt;=$F10,CO$5+GanttPeriod-1&gt;=$E10),"━","")))</f>
        <v/>
      </c>
      <c r="CP10" s="69" t="str">
        <f aca="false">IF($E10="","",IF($M10,IF(AND($G10&gt;=CP$5,$G10&lt;CP$5+GanttPeriod),"◆",IF(AND($E10&gt;=CP$5,$E10&lt;CP$5+GanttPeriod),"◇","")),IF(AND(CP$5&lt;=$F10,CP$5+GanttPeriod-1&gt;=$E10),"━","")))</f>
        <v/>
      </c>
      <c r="CQ10" s="69" t="str">
        <f aca="false">IF($E10="","",IF($M10,IF(AND($G10&gt;=CQ$5,$G10&lt;CQ$5+GanttPeriod),"◆",IF(AND($E10&gt;=CQ$5,$E10&lt;CQ$5+GanttPeriod),"◇","")),IF(AND(CQ$5&lt;=$F10,CQ$5+GanttPeriod-1&gt;=$E10),"━","")))</f>
        <v/>
      </c>
      <c r="CR10" s="69" t="str">
        <f aca="false">IF($E10="","",IF($M10,IF(AND($G10&gt;=CR$5,$G10&lt;CR$5+GanttPeriod),"◆",IF(AND($E10&gt;=CR$5,$E10&lt;CR$5+GanttPeriod),"◇","")),IF(AND(CR$5&lt;=$F10,CR$5+GanttPeriod-1&gt;=$E10),"━","")))</f>
        <v/>
      </c>
      <c r="CS10" s="69" t="str">
        <f aca="false">IF($E10="","",IF($M10,IF(AND($G10&gt;=CS$5,$G10&lt;CS$5+GanttPeriod),"◆",IF(AND($E10&gt;=CS$5,$E10&lt;CS$5+GanttPeriod),"◇","")),IF(AND(CS$5&lt;=$F10,CS$5+GanttPeriod-1&gt;=$E10),"━","")))</f>
        <v/>
      </c>
      <c r="CT10" s="69" t="str">
        <f aca="false">IF($E10="","",IF($M10,IF(AND($G10&gt;=CT$5,$G10&lt;CT$5+GanttPeriod),"◆",IF(AND($E10&gt;=CT$5,$E10&lt;CT$5+GanttPeriod),"◇","")),IF(AND(CT$5&lt;=$F10,CT$5+GanttPeriod-1&gt;=$E10),"━","")))</f>
        <v/>
      </c>
      <c r="CU10" s="69" t="str">
        <f aca="false">IF($E10="","",IF($M10,IF(AND($G10&gt;=CU$5,$G10&lt;CU$5+GanttPeriod),"◆",IF(AND($E10&gt;=CU$5,$E10&lt;CU$5+GanttPeriod),"◇","")),IF(AND(CU$5&lt;=$F10,CU$5+GanttPeriod-1&gt;=$E10),"━","")))</f>
        <v/>
      </c>
      <c r="CV10" s="69" t="str">
        <f aca="false">IF($E10="","",IF($M10,IF(AND($G10&gt;=CV$5,$G10&lt;CV$5+GanttPeriod),"◆",IF(AND($E10&gt;=CV$5,$E10&lt;CV$5+GanttPeriod),"◇","")),IF(AND(CV$5&lt;=$F10,CV$5+GanttPeriod-1&gt;=$E10),"━","")))</f>
        <v/>
      </c>
      <c r="CW10" s="69" t="str">
        <f aca="false">IF($E10="","",IF($M10,IF(AND($G10&gt;=CW$5,$G10&lt;CW$5+GanttPeriod),"◆",IF(AND($E10&gt;=CW$5,$E10&lt;CW$5+GanttPeriod),"◇","")),IF(AND(CW$5&lt;=$F10,CW$5+GanttPeriod-1&gt;=$E10),"━","")))</f>
        <v/>
      </c>
      <c r="CX10" s="69" t="str">
        <f aca="false">IF($E10="","",IF($M10,IF(AND($G10&gt;=CX$5,$G10&lt;CX$5+GanttPeriod),"◆",IF(AND($E10&gt;=CX$5,$E10&lt;CX$5+GanttPeriod),"◇","")),IF(AND(CX$5&lt;=$F10,CX$5+GanttPeriod-1&gt;=$E10),"━","")))</f>
        <v/>
      </c>
      <c r="CY10" s="69" t="str">
        <f aca="false">IF($E10="","",IF($M10,IF(AND($G10&gt;=CY$5,$G10&lt;CY$5+GanttPeriod),"◆",IF(AND($E10&gt;=CY$5,$E10&lt;CY$5+GanttPeriod),"◇","")),IF(AND(CY$5&lt;=$F10,CY$5+GanttPeriod-1&gt;=$E10),"━","")))</f>
        <v/>
      </c>
      <c r="CZ10" s="69" t="str">
        <f aca="false">IF($E10="","",IF($M10,IF(AND($G10&gt;=CZ$5,$G10&lt;CZ$5+GanttPeriod),"◆",IF(AND($E10&gt;=CZ$5,$E10&lt;CZ$5+GanttPeriod),"◇","")),IF(AND(CZ$5&lt;=$F10,CZ$5+GanttPeriod-1&gt;=$E10),"━","")))</f>
        <v/>
      </c>
      <c r="DA10" s="69" t="str">
        <f aca="false">IF($E10="","",IF($M10,IF(AND($G10&gt;=DA$5,$G10&lt;DA$5+GanttPeriod),"◆",IF(AND($E10&gt;=DA$5,$E10&lt;DA$5+GanttPeriod),"◇","")),IF(AND(DA$5&lt;=$F10,DA$5+GanttPeriod-1&gt;=$E10),"━","")))</f>
        <v/>
      </c>
      <c r="DB10" s="69" t="str">
        <f aca="false">IF($E10="","",IF($M10,IF(AND($G10&gt;=DB$5,$G10&lt;DB$5+GanttPeriod),"◆",IF(AND($E10&gt;=DB$5,$E10&lt;DB$5+GanttPeriod),"◇","")),IF(AND(DB$5&lt;=$F10,DB$5+GanttPeriod-1&gt;=$E10),"━","")))</f>
        <v/>
      </c>
      <c r="DC10" s="69" t="str">
        <f aca="false">IF($E10="","",IF($M10,IF(AND($G10&gt;=DC$5,$G10&lt;DC$5+GanttPeriod),"◆",IF(AND($E10&gt;=DC$5,$E10&lt;DC$5+GanttPeriod),"◇","")),IF(AND(DC$5&lt;=$F10,DC$5+GanttPeriod-1&gt;=$E10),"━","")))</f>
        <v/>
      </c>
      <c r="DD10" s="69" t="str">
        <f aca="false">IF($E10="","",IF($M10,IF(AND($G10&gt;=DD$5,$G10&lt;DD$5+GanttPeriod),"◆",IF(AND($E10&gt;=DD$5,$E10&lt;DD$5+GanttPeriod),"◇","")),IF(AND(DD$5&lt;=$F10,DD$5+GanttPeriod-1&gt;=$E10),"━","")))</f>
        <v/>
      </c>
      <c r="DE10" s="69" t="str">
        <f aca="false">IF($E10="","",IF($M10,IF(AND($G10&gt;=DE$5,$G10&lt;DE$5+GanttPeriod),"◆",IF(AND($E10&gt;=DE$5,$E10&lt;DE$5+GanttPeriod),"◇","")),IF(AND(DE$5&lt;=$F10,DE$5+GanttPeriod-1&gt;=$E10),"━","")))</f>
        <v/>
      </c>
      <c r="DF10" s="69" t="str">
        <f aca="false">IF($E10="","",IF($M10,IF(AND($G10&gt;=DF$5,$G10&lt;DF$5+GanttPeriod),"◆",IF(AND($E10&gt;=DF$5,$E10&lt;DF$5+GanttPeriod),"◇","")),IF(AND(DF$5&lt;=$F10,DF$5+GanttPeriod-1&gt;=$E10),"━","")))</f>
        <v/>
      </c>
      <c r="DG10" s="69" t="str">
        <f aca="false">IF($E10="","",IF($M10,IF(AND($G10&gt;=DG$5,$G10&lt;DG$5+GanttPeriod),"◆",IF(AND($E10&gt;=DG$5,$E10&lt;DG$5+GanttPeriod),"◇","")),IF(AND(DG$5&lt;=$F10,DG$5+GanttPeriod-1&gt;=$E10),"━","")))</f>
        <v/>
      </c>
      <c r="DH10" s="69" t="str">
        <f aca="false">IF($E10="","",IF($M10,IF(AND($G10&gt;=DH$5,$G10&lt;DH$5+GanttPeriod),"◆",IF(AND($E10&gt;=DH$5,$E10&lt;DH$5+GanttPeriod),"◇","")),IF(AND(DH$5&lt;=$F10,DH$5+GanttPeriod-1&gt;=$E10),"━","")))</f>
        <v/>
      </c>
      <c r="DI10" s="69" t="str">
        <f aca="false">IF($E10="","",IF($M10,IF(AND($G10&gt;=DI$5,$G10&lt;DI$5+GanttPeriod),"◆",IF(AND($E10&gt;=DI$5,$E10&lt;DI$5+GanttPeriod),"◇","")),IF(AND(DI$5&lt;=$F10,DI$5+GanttPeriod-1&gt;=$E10),"━","")))</f>
        <v/>
      </c>
      <c r="DJ10" s="69" t="str">
        <f aca="false">IF($E10="","",IF($M10,IF(AND($G10&gt;=DJ$5,$G10&lt;DJ$5+GanttPeriod),"◆",IF(AND($E10&gt;=DJ$5,$E10&lt;DJ$5+GanttPeriod),"◇","")),IF(AND(DJ$5&lt;=$F10,DJ$5+GanttPeriod-1&gt;=$E10),"━","")))</f>
        <v/>
      </c>
      <c r="DK10" s="69" t="str">
        <f aca="false">IF($E10="","",IF($M10,IF(AND($G10&gt;=DK$5,$G10&lt;DK$5+GanttPeriod),"◆",IF(AND($E10&gt;=DK$5,$E10&lt;DK$5+GanttPeriod),"◇","")),IF(AND(DK$5&lt;=$F10,DK$5+GanttPeriod-1&gt;=$E10),"━","")))</f>
        <v/>
      </c>
      <c r="DL10" s="69" t="str">
        <f aca="false">IF($E10="","",IF($M10,IF(AND($G10&gt;=DL$5,$G10&lt;DL$5+GanttPeriod),"◆",IF(AND($E10&gt;=DL$5,$E10&lt;DL$5+GanttPeriod),"◇","")),IF(AND(DL$5&lt;=$F10,DL$5+GanttPeriod-1&gt;=$E10),"━","")))</f>
        <v/>
      </c>
      <c r="DM10" s="69" t="str">
        <f aca="false">IF($E10="","",IF($M10,IF(AND($G10&gt;=DM$5,$G10&lt;DM$5+GanttPeriod),"◆",IF(AND($E10&gt;=DM$5,$E10&lt;DM$5+GanttPeriod),"◇","")),IF(AND(DM$5&lt;=$F10,DM$5+GanttPeriod-1&gt;=$E10),"━","")))</f>
        <v/>
      </c>
      <c r="DN10" s="69" t="str">
        <f aca="false">IF($E10="","",IF($M10,IF(AND($G10&gt;=DN$5,$G10&lt;DN$5+GanttPeriod),"◆",IF(AND($E10&gt;=DN$5,$E10&lt;DN$5+GanttPeriod),"◇","")),IF(AND(DN$5&lt;=$F10,DN$5+GanttPeriod-1&gt;=$E10),"━","")))</f>
        <v/>
      </c>
      <c r="DO10" s="69" t="str">
        <f aca="false">IF($E10="","",IF($M10,IF(AND($G10&gt;=DO$5,$G10&lt;DO$5+GanttPeriod),"◆",IF(AND($E10&gt;=DO$5,$E10&lt;DO$5+GanttPeriod),"◇","")),IF(AND(DO$5&lt;=$F10,DO$5+GanttPeriod-1&gt;=$E10),"━","")))</f>
        <v/>
      </c>
      <c r="DP10" s="69" t="str">
        <f aca="false">IF($E10="","",IF($M10,IF(AND($G10&gt;=DP$5,$G10&lt;DP$5+GanttPeriod),"◆",IF(AND($E10&gt;=DP$5,$E10&lt;DP$5+GanttPeriod),"◇","")),IF(AND(DP$5&lt;=$F10,DP$5+GanttPeriod-1&gt;=$E10),"━","")))</f>
        <v/>
      </c>
      <c r="DQ10" s="69" t="str">
        <f aca="false">IF($E10="","",IF($M10,IF(AND($G10&gt;=DQ$5,$G10&lt;DQ$5+GanttPeriod),"◆",IF(AND($E10&gt;=DQ$5,$E10&lt;DQ$5+GanttPeriod),"◇","")),IF(AND(DQ$5&lt;=$F10,DQ$5+GanttPeriod-1&gt;=$E10),"━","")))</f>
        <v/>
      </c>
      <c r="DR10" s="69" t="str">
        <f aca="false">IF($E10="","",IF($M10,IF(AND($G10&gt;=DR$5,$G10&lt;DR$5+GanttPeriod),"◆",IF(AND($E10&gt;=DR$5,$E10&lt;DR$5+GanttPeriod),"◇","")),IF(AND(DR$5&lt;=$F10,DR$5+GanttPeriod-1&gt;=$E10),"━","")))</f>
        <v/>
      </c>
      <c r="DS10" s="69" t="str">
        <f aca="false">IF($E10="","",IF($M10,IF(AND($G10&gt;=DS$5,$G10&lt;DS$5+GanttPeriod),"◆",IF(AND($E10&gt;=DS$5,$E10&lt;DS$5+GanttPeriod),"◇","")),IF(AND(DS$5&lt;=$F10,DS$5+GanttPeriod-1&gt;=$E10),"━","")))</f>
        <v/>
      </c>
      <c r="DT10" s="69" t="str">
        <f aca="false">IF($E10="","",IF($M10,IF(AND($G10&gt;=DT$5,$G10&lt;DT$5+GanttPeriod),"◆",IF(AND($E10&gt;=DT$5,$E10&lt;DT$5+GanttPeriod),"◇","")),IF(AND(DT$5&lt;=$F10,DT$5+GanttPeriod-1&gt;=$E10),"━","")))</f>
        <v/>
      </c>
      <c r="DU10" s="69" t="str">
        <f aca="false">IF($E10="","",IF($M10,IF(AND($G10&gt;=DU$5,$G10&lt;DU$5+GanttPeriod),"◆",IF(AND($E10&gt;=DU$5,$E10&lt;DU$5+GanttPeriod),"◇","")),IF(AND(DU$5&lt;=$F10,DU$5+GanttPeriod-1&gt;=$E10),"━","")))</f>
        <v/>
      </c>
      <c r="DV10" s="69" t="str">
        <f aca="false">IF($E10="","",IF($M10,IF(AND($G10&gt;=DV$5,$G10&lt;DV$5+GanttPeriod),"◆",IF(AND($E10&gt;=DV$5,$E10&lt;DV$5+GanttPeriod),"◇","")),IF(AND(DV$5&lt;=$F10,DV$5+GanttPeriod-1&gt;=$E10),"━","")))</f>
        <v/>
      </c>
      <c r="DW10" s="69" t="str">
        <f aca="false">IF($E10="","",IF($M10,IF(AND($G10&gt;=DW$5,$G10&lt;DW$5+GanttPeriod),"◆",IF(AND($E10&gt;=DW$5,$E10&lt;DW$5+GanttPeriod),"◇","")),IF(AND(DW$5&lt;=$F10,DW$5+GanttPeriod-1&gt;=$E10),"━","")))</f>
        <v/>
      </c>
      <c r="DX10" s="69" t="str">
        <f aca="false">IF($E10="","",IF($M10,IF(AND($G10&gt;=DX$5,$G10&lt;DX$5+GanttPeriod),"◆",IF(AND($E10&gt;=DX$5,$E10&lt;DX$5+GanttPeriod),"◇","")),IF(AND(DX$5&lt;=$F10,DX$5+GanttPeriod-1&gt;=$E10),"━","")))</f>
        <v/>
      </c>
      <c r="DY10" s="69" t="str">
        <f aca="false">IF($E10="","",IF($M10,IF(AND($G10&gt;=DY$5,$G10&lt;DY$5+GanttPeriod),"◆",IF(AND($E10&gt;=DY$5,$E10&lt;DY$5+GanttPeriod),"◇","")),IF(AND(DY$5&lt;=$F10,DY$5+GanttPeriod-1&gt;=$E10),"━","")))</f>
        <v/>
      </c>
      <c r="DZ10" s="69" t="str">
        <f aca="false">IF($E10="","",IF($M10,IF(AND($G10&gt;=DZ$5,$G10&lt;DZ$5+GanttPeriod),"◆",IF(AND($E10&gt;=DZ$5,$E10&lt;DZ$5+GanttPeriod),"◇","")),IF(AND(DZ$5&lt;=$F10,DZ$5+GanttPeriod-1&gt;=$E10),"━","")))</f>
        <v/>
      </c>
      <c r="EA10" s="69" t="str">
        <f aca="false">IF($E10="","",IF($M10,IF(AND($G10&gt;=EA$5,$G10&lt;EA$5+GanttPeriod),"◆",IF(AND($E10&gt;=EA$5,$E10&lt;EA$5+GanttPeriod),"◇","")),IF(AND(EA$5&lt;=$F10,EA$5+GanttPeriod-1&gt;=$E10),"━","")))</f>
        <v/>
      </c>
      <c r="EB10" s="69" t="str">
        <f aca="false">IF($E10="","",IF($M10,IF(AND($G10&gt;=EB$5,$G10&lt;EB$5+GanttPeriod),"◆",IF(AND($E10&gt;=EB$5,$E10&lt;EB$5+GanttPeriod),"◇","")),IF(AND(EB$5&lt;=$F10,EB$5+GanttPeriod-1&gt;=$E10),"━","")))</f>
        <v/>
      </c>
      <c r="EC10" s="69" t="str">
        <f aca="false">IF($E10="","",IF($M10,IF(AND($G10&gt;=EC$5,$G10&lt;EC$5+GanttPeriod),"◆",IF(AND($E10&gt;=EC$5,$E10&lt;EC$5+GanttPeriod),"◇","")),IF(AND(EC$5&lt;=$F10,EC$5+GanttPeriod-1&gt;=$E10),"━","")))</f>
        <v/>
      </c>
      <c r="ED10" s="69" t="str">
        <f aca="false">IF($E10="","",IF($M10,IF(AND($G10&gt;=ED$5,$G10&lt;ED$5+GanttPeriod),"◆",IF(AND($E10&gt;=ED$5,$E10&lt;ED$5+GanttPeriod),"◇","")),IF(AND(ED$5&lt;=$F10,ED$5+GanttPeriod-1&gt;=$E10),"━","")))</f>
        <v/>
      </c>
      <c r="EE10" s="69" t="str">
        <f aca="false">IF($E10="","",IF($M10,IF(AND($G10&gt;=EE$5,$G10&lt;EE$5+GanttPeriod),"◆",IF(AND($E10&gt;=EE$5,$E10&lt;EE$5+GanttPeriod),"◇","")),IF(AND(EE$5&lt;=$F10,EE$5+GanttPeriod-1&gt;=$E10),"━","")))</f>
        <v/>
      </c>
      <c r="EF10" s="69" t="str">
        <f aca="false">IF($E10="","",IF($M10,IF(AND($G10&gt;=EF$5,$G10&lt;EF$5+GanttPeriod),"◆",IF(AND($E10&gt;=EF$5,$E10&lt;EF$5+GanttPeriod),"◇","")),IF(AND(EF$5&lt;=$F10,EF$5+GanttPeriod-1&gt;=$E10),"━","")))</f>
        <v/>
      </c>
      <c r="EG10" s="69" t="str">
        <f aca="false">IF($E10="","",IF($M10,IF(AND($G10&gt;=EG$5,$G10&lt;EG$5+GanttPeriod),"◆",IF(AND($E10&gt;=EG$5,$E10&lt;EG$5+GanttPeriod),"◇","")),IF(AND(EG$5&lt;=$F10,EG$5+GanttPeriod-1&gt;=$E10),"━","")))</f>
        <v/>
      </c>
      <c r="EH10" s="69" t="str">
        <f aca="false">IF($E10="","",IF($M10,IF(AND($G10&gt;=EH$5,$G10&lt;EH$5+GanttPeriod),"◆",IF(AND($E10&gt;=EH$5,$E10&lt;EH$5+GanttPeriod),"◇","")),IF(AND(EH$5&lt;=$F10,EH$5+GanttPeriod-1&gt;=$E10),"━","")))</f>
        <v/>
      </c>
      <c r="EI10" s="69" t="str">
        <f aca="false">IF($E10="","",IF($M10,IF(AND($G10&gt;=EI$5,$G10&lt;EI$5+GanttPeriod),"◆",IF(AND($E10&gt;=EI$5,$E10&lt;EI$5+GanttPeriod),"◇","")),IF(AND(EI$5&lt;=$F10,EI$5+GanttPeriod-1&gt;=$E10),"━","")))</f>
        <v/>
      </c>
      <c r="EJ10" s="69" t="str">
        <f aca="false">IF($E10="","",IF($M10,IF(AND($G10&gt;=EJ$5,$G10&lt;EJ$5+GanttPeriod),"◆",IF(AND($E10&gt;=EJ$5,$E10&lt;EJ$5+GanttPeriod),"◇","")),IF(AND(EJ$5&lt;=$F10,EJ$5+GanttPeriod-1&gt;=$E10),"━","")))</f>
        <v/>
      </c>
      <c r="EK10" s="69" t="str">
        <f aca="false">IF($E10="","",IF($M10,IF(AND($G10&gt;=EK$5,$G10&lt;EK$5+GanttPeriod),"◆",IF(AND($E10&gt;=EK$5,$E10&lt;EK$5+GanttPeriod),"◇","")),IF(AND(EK$5&lt;=$F10,EK$5+GanttPeriod-1&gt;=$E10),"━","")))</f>
        <v/>
      </c>
      <c r="EL10" s="69" t="str">
        <f aca="false">IF($E10="","",IF($M10,IF(AND($G10&gt;=EL$5,$G10&lt;EL$5+GanttPeriod),"◆",IF(AND($E10&gt;=EL$5,$E10&lt;EL$5+GanttPeriod),"◇","")),IF(AND(EL$5&lt;=$F10,EL$5+GanttPeriod-1&gt;=$E10),"━","")))</f>
        <v/>
      </c>
      <c r="EM10" s="69" t="str">
        <f aca="false">IF($E10="","",IF($M10,IF(AND($G10&gt;=EM$5,$G10&lt;EM$5+GanttPeriod),"◆",IF(AND($E10&gt;=EM$5,$E10&lt;EM$5+GanttPeriod),"◇","")),IF(AND(EM$5&lt;=$F10,EM$5+GanttPeriod-1&gt;=$E10),"━","")))</f>
        <v/>
      </c>
      <c r="EN10" s="69" t="str">
        <f aca="false">IF($E10="","",IF($M10,IF(AND($G10&gt;=EN$5,$G10&lt;EN$5+GanttPeriod),"◆",IF(AND($E10&gt;=EN$5,$E10&lt;EN$5+GanttPeriod),"◇","")),IF(AND(EN$5&lt;=$F10,EN$5+GanttPeriod-1&gt;=$E10),"━","")))</f>
        <v/>
      </c>
      <c r="EO10" s="69" t="str">
        <f aca="false">IF($E10="","",IF($M10,IF(AND($G10&gt;=EO$5,$G10&lt;EO$5+GanttPeriod),"◆",IF(AND($E10&gt;=EO$5,$E10&lt;EO$5+GanttPeriod),"◇","")),IF(AND(EO$5&lt;=$F10,EO$5+GanttPeriod-1&gt;=$E10),"━","")))</f>
        <v/>
      </c>
      <c r="EP10" s="69" t="str">
        <f aca="false">IF($E10="","",IF($M10,IF(AND($G10&gt;=EP$5,$G10&lt;EP$5+GanttPeriod),"◆",IF(AND($E10&gt;=EP$5,$E10&lt;EP$5+GanttPeriod),"◇","")),IF(AND(EP$5&lt;=$F10,EP$5+GanttPeriod-1&gt;=$E10),"━","")))</f>
        <v/>
      </c>
      <c r="EQ10" s="69" t="str">
        <f aca="false">IF($E10="","",IF($M10,IF(AND($G10&gt;=EQ$5,$G10&lt;EQ$5+GanttPeriod),"◆",IF(AND($E10&gt;=EQ$5,$E10&lt;EQ$5+GanttPeriod),"◇","")),IF(AND(EQ$5&lt;=$F10,EQ$5+GanttPeriod-1&gt;=$E10),"━","")))</f>
        <v/>
      </c>
      <c r="ER10" s="69" t="str">
        <f aca="false">IF($E10="","",IF($M10,IF(AND($G10&gt;=ER$5,$G10&lt;ER$5+GanttPeriod),"◆",IF(AND($E10&gt;=ER$5,$E10&lt;ER$5+GanttPeriod),"◇","")),IF(AND(ER$5&lt;=$F10,ER$5+GanttPeriod-1&gt;=$E10),"━","")))</f>
        <v/>
      </c>
      <c r="ES10" s="69" t="str">
        <f aca="false">IF($E10="","",IF($M10,IF(AND($G10&gt;=ES$5,$G10&lt;ES$5+GanttPeriod),"◆",IF(AND($E10&gt;=ES$5,$E10&lt;ES$5+GanttPeriod),"◇","")),IF(AND(ES$5&lt;=$F10,ES$5+GanttPeriod-1&gt;=$E10),"━","")))</f>
        <v/>
      </c>
      <c r="ET10" s="69" t="str">
        <f aca="false">IF($E10="","",IF($M10,IF(AND($G10&gt;=ET$5,$G10&lt;ET$5+GanttPeriod),"◆",IF(AND($E10&gt;=ET$5,$E10&lt;ET$5+GanttPeriod),"◇","")),IF(AND(ET$5&lt;=$F10,ET$5+GanttPeriod-1&gt;=$E10),"━","")))</f>
        <v/>
      </c>
      <c r="EU10" s="69" t="str">
        <f aca="false">IF($E10="","",IF($M10,IF(AND($G10&gt;=EU$5,$G10&lt;EU$5+GanttPeriod),"◆",IF(AND($E10&gt;=EU$5,$E10&lt;EU$5+GanttPeriod),"◇","")),IF(AND(EU$5&lt;=$F10,EU$5+GanttPeriod-1&gt;=$E10),"━","")))</f>
        <v/>
      </c>
      <c r="EV10" s="69" t="str">
        <f aca="false">IF($E10="","",IF($M10,IF(AND($G10&gt;=EV$5,$G10&lt;EV$5+GanttPeriod),"◆",IF(AND($E10&gt;=EV$5,$E10&lt;EV$5+GanttPeriod),"◇","")),IF(AND(EV$5&lt;=$F10,EV$5+GanttPeriod-1&gt;=$E10),"━","")))</f>
        <v/>
      </c>
      <c r="EW10" s="69" t="str">
        <f aca="false">IF($E10="","",IF($M10,IF(AND($G10&gt;=EW$5,$G10&lt;EW$5+GanttPeriod),"◆",IF(AND($E10&gt;=EW$5,$E10&lt;EW$5+GanttPeriod),"◇","")),IF(AND(EW$5&lt;=$F10,EW$5+GanttPeriod-1&gt;=$E10),"━","")))</f>
        <v/>
      </c>
      <c r="EX10" s="69" t="str">
        <f aca="false">IF($E10="","",IF($M10,IF(AND($G10&gt;=EX$5,$G10&lt;EX$5+GanttPeriod),"◆",IF(AND($E10&gt;=EX$5,$E10&lt;EX$5+GanttPeriod),"◇","")),IF(AND(EX$5&lt;=$F10,EX$5+GanttPeriod-1&gt;=$E10),"━","")))</f>
        <v/>
      </c>
      <c r="EY10" s="69" t="str">
        <f aca="false">IF($E10="","",IF($M10,IF(AND($G10&gt;=EY$5,$G10&lt;EY$5+GanttPeriod),"◆",IF(AND($E10&gt;=EY$5,$E10&lt;EY$5+GanttPeriod),"◇","")),IF(AND(EY$5&lt;=$F10,EY$5+GanttPeriod-1&gt;=$E10),"━","")))</f>
        <v/>
      </c>
      <c r="EZ10" s="69" t="str">
        <f aca="false">IF($E10="","",IF($M10,IF(AND($G10&gt;=EZ$5,$G10&lt;EZ$5+GanttPeriod),"◆",IF(AND($E10&gt;=EZ$5,$E10&lt;EZ$5+GanttPeriod),"◇","")),IF(AND(EZ$5&lt;=$F10,EZ$5+GanttPeriod-1&gt;=$E10),"━","")))</f>
        <v/>
      </c>
      <c r="FA10" s="69" t="str">
        <f aca="false">IF($E10="","",IF($M10,IF(AND($G10&gt;=FA$5,$G10&lt;FA$5+GanttPeriod),"◆",IF(AND($E10&gt;=FA$5,$E10&lt;FA$5+GanttPeriod),"◇","")),IF(AND(FA$5&lt;=$F10,FA$5+GanttPeriod-1&gt;=$E10),"━","")))</f>
        <v/>
      </c>
      <c r="FB10" s="69" t="str">
        <f aca="false">IF($E10="","",IF($M10,IF(AND($G10&gt;=FB$5,$G10&lt;FB$5+GanttPeriod),"◆",IF(AND($E10&gt;=FB$5,$E10&lt;FB$5+GanttPeriod),"◇","")),IF(AND(FB$5&lt;=$F10,FB$5+GanttPeriod-1&gt;=$E10),"━","")))</f>
        <v/>
      </c>
      <c r="FC10" s="69" t="str">
        <f aca="false">IF($E10="","",IF($M10,IF(AND($G10&gt;=FC$5,$G10&lt;FC$5+GanttPeriod),"◆",IF(AND($E10&gt;=FC$5,$E10&lt;FC$5+GanttPeriod),"◇","")),IF(AND(FC$5&lt;=$F10,FC$5+GanttPeriod-1&gt;=$E10),"━","")))</f>
        <v/>
      </c>
      <c r="FD10" s="69" t="str">
        <f aca="false">IF($E10="","",IF($M10,IF(AND($G10&gt;=FD$5,$G10&lt;FD$5+GanttPeriod),"◆",IF(AND($E10&gt;=FD$5,$E10&lt;FD$5+GanttPeriod),"◇","")),IF(AND(FD$5&lt;=$F10,FD$5+GanttPeriod-1&gt;=$E10),"━","")))</f>
        <v/>
      </c>
      <c r="FE10" s="69" t="str">
        <f aca="false">IF($E10="","",IF($M10,IF(AND($G10&gt;=FE$5,$G10&lt;FE$5+GanttPeriod),"◆",IF(AND($E10&gt;=FE$5,$E10&lt;FE$5+GanttPeriod),"◇","")),IF(AND(FE$5&lt;=$F10,FE$5+GanttPeriod-1&gt;=$E10),"━","")))</f>
        <v/>
      </c>
      <c r="FF10" s="69" t="str">
        <f aca="false">IF($E10="","",IF($M10,IF(AND($G10&gt;=FF$5,$G10&lt;FF$5+GanttPeriod),"◆",IF(AND($E10&gt;=FF$5,$E10&lt;FF$5+GanttPeriod),"◇","")),IF(AND(FF$5&lt;=$F10,FF$5+GanttPeriod-1&gt;=$E10),"━","")))</f>
        <v/>
      </c>
      <c r="FG10" s="69" t="str">
        <f aca="false">IF($E10="","",IF($M10,IF(AND($G10&gt;=FG$5,$G10&lt;FG$5+GanttPeriod),"◆",IF(AND($E10&gt;=FG$5,$E10&lt;FG$5+GanttPeriod),"◇","")),IF(AND(FG$5&lt;=$F10,FG$5+GanttPeriod-1&gt;=$E10),"━","")))</f>
        <v/>
      </c>
      <c r="FH10" s="69" t="str">
        <f aca="false">IF($E10="","",IF($M10,IF(AND($G10&gt;=FH$5,$G10&lt;FH$5+GanttPeriod),"◆",IF(AND($E10&gt;=FH$5,$E10&lt;FH$5+GanttPeriod),"◇","")),IF(AND(FH$5&lt;=$F10,FH$5+GanttPeriod-1&gt;=$E10),"━","")))</f>
        <v/>
      </c>
      <c r="FI10" s="69" t="str">
        <f aca="false">IF($E10="","",IF($M10,IF(AND($G10&gt;=FI$5,$G10&lt;FI$5+GanttPeriod),"◆",IF(AND($E10&gt;=FI$5,$E10&lt;FI$5+GanttPeriod),"◇","")),IF(AND(FI$5&lt;=$F10,FI$5+GanttPeriod-1&gt;=$E10),"━","")))</f>
        <v/>
      </c>
      <c r="FJ10" s="69" t="str">
        <f aca="false">IF($E10="","",IF($M10,IF(AND($G10&gt;=FJ$5,$G10&lt;FJ$5+GanttPeriod),"◆",IF(AND($E10&gt;=FJ$5,$E10&lt;FJ$5+GanttPeriod),"◇","")),IF(AND(FJ$5&lt;=$F10,FJ$5+GanttPeriod-1&gt;=$E10),"━","")))</f>
        <v/>
      </c>
      <c r="FK10" s="69" t="str">
        <f aca="false">IF($E10="","",IF($M10,IF(AND($G10&gt;=FK$5,$G10&lt;FK$5+GanttPeriod),"◆",IF(AND($E10&gt;=FK$5,$E10&lt;FK$5+GanttPeriod),"◇","")),IF(AND(FK$5&lt;=$F10,FK$5+GanttPeriod-1&gt;=$E10),"━","")))</f>
        <v/>
      </c>
      <c r="FL10" s="69" t="str">
        <f aca="false">IF($E10="","",IF($M10,IF(AND($G10&gt;=FL$5,$G10&lt;FL$5+GanttPeriod),"◆",IF(AND($E10&gt;=FL$5,$E10&lt;FL$5+GanttPeriod),"◇","")),IF(AND(FL$5&lt;=$F10,FL$5+GanttPeriod-1&gt;=$E10),"━","")))</f>
        <v/>
      </c>
      <c r="FM10" s="69" t="str">
        <f aca="false">IF($E10="","",IF($M10,IF(AND($G10&gt;=FM$5,$G10&lt;FM$5+GanttPeriod),"◆",IF(AND($E10&gt;=FM$5,$E10&lt;FM$5+GanttPeriod),"◇","")),IF(AND(FM$5&lt;=$F10,FM$5+GanttPeriod-1&gt;=$E10),"━","")))</f>
        <v/>
      </c>
    </row>
    <row r="11" customFormat="false" ht="15" hidden="false" customHeight="false" outlineLevel="0" collapsed="false">
      <c r="A11" s="62" t="n">
        <f aca="false">IF(Tasks!$D11="","",Tasks!$A11)</f>
        <v>6</v>
      </c>
      <c r="B11" s="62" t="str">
        <f aca="false">IF(Tasks!$D11="","",Tasks!$B11)</f>
        <v>2.1</v>
      </c>
      <c r="C11" s="63" t="str">
        <f aca="false">IF(Tasks!$D11="","",REPT("    ",Tasks!$AE11-1)&amp;Tasks!$D11)</f>
        <v>    Requirements gathering</v>
      </c>
      <c r="D11" s="62" t="n">
        <f aca="false">IF(Tasks!$D11="","",IF(Tasks!$AI11,NETWORKDAYS.INTL(Tasks!$R11,Tasks!$S11,WorkWeek,Holidays),N(Tasks!$F11)))</f>
        <v>8</v>
      </c>
      <c r="E11" s="64" t="n">
        <f aca="false">IF(Tasks!$D11="","",Tasks!$N11)</f>
        <v>46279</v>
      </c>
      <c r="F11" s="64" t="n">
        <f aca="false">IF(Tasks!$D11="","",Tasks!$O11)</f>
        <v>46288</v>
      </c>
      <c r="G11" s="64" t="n">
        <f aca="false">IF(Tasks!$D11="","",Tasks!$R11)</f>
        <v>46280</v>
      </c>
      <c r="H11" s="64" t="n">
        <f aca="false">IF(Tasks!$D11="","",Tasks!$S11)</f>
        <v>46290</v>
      </c>
      <c r="I11" s="65" t="n">
        <f aca="false">IF(Tasks!$D11="","",Tasks!$V11)</f>
        <v>1</v>
      </c>
      <c r="J11" s="63" t="str">
        <f aca="false">IF(Tasks!$D11="","",Tasks!$X11&amp;"")</f>
        <v>Morgan Patel</v>
      </c>
      <c r="K11" s="66" t="str">
        <f aca="false">IF(Tasks!$D11="","",Tasks!$W11)</f>
        <v>Complete</v>
      </c>
      <c r="L11" s="67" t="b">
        <f aca="false">IF(Tasks!$D11="",FALSE(),Tasks!$AI11)</f>
        <v>0</v>
      </c>
      <c r="M11" s="67" t="b">
        <f aca="false">AND(Tasks!$AJ11=1,N(Tasks!$F11)=0)</f>
        <v>0</v>
      </c>
      <c r="N11" s="68" t="n">
        <f aca="false">IF(AND(Tasks!$AJ11=1,NOT($M11),N($I11)&gt;0),$G11,0)</f>
        <v>46280</v>
      </c>
      <c r="O11" s="68" t="n">
        <f aca="false">IF($N11=0,0,IF($I11&gt;=1,$H11,MAX($N11,$G11+ROUND(($H11-$G11+1)*$I11,0)-1)))</f>
        <v>46290</v>
      </c>
      <c r="P11" s="68" t="n">
        <f aca="false">IF(OR(Tasks!$AJ11&lt;&gt;1,$M11,N($I11)&gt;=1),0,IF($O11&gt;0,$O11+1,$G11))</f>
        <v>0</v>
      </c>
      <c r="Q11" s="68" t="n">
        <f aca="false">IF($P11=0,0,$H11)</f>
        <v>0</v>
      </c>
      <c r="R11" s="67" t="b">
        <f aca="false">AND(Tasks!$D11&lt;&gt;"",N(Tasks!$T11)&gt;0)</f>
        <v>1</v>
      </c>
      <c r="T11" s="69" t="str">
        <f aca="false">IF($E11="","",IF($M11,IF(AND($G11&gt;=T$5,$G11&lt;T$5+GanttPeriod),"◆",IF(AND($E11&gt;=T$5,$E11&lt;T$5+GanttPeriod),"◇","")),IF(AND(T$5&lt;=$F11,T$5+GanttPeriod-1&gt;=$E11),"━","")))</f>
        <v/>
      </c>
      <c r="U11" s="69" t="str">
        <f aca="false">IF($E11="","",IF($M11,IF(AND($G11&gt;=U$5,$G11&lt;U$5+GanttPeriod),"◆",IF(AND($E11&gt;=U$5,$E11&lt;U$5+GanttPeriod),"◇","")),IF(AND(U$5&lt;=$F11,U$5+GanttPeriod-1&gt;=$E11),"━","")))</f>
        <v/>
      </c>
      <c r="V11" s="69" t="str">
        <f aca="false">IF($E11="","",IF($M11,IF(AND($G11&gt;=V$5,$G11&lt;V$5+GanttPeriod),"◆",IF(AND($E11&gt;=V$5,$E11&lt;V$5+GanttPeriod),"◇","")),IF(AND(V$5&lt;=$F11,V$5+GanttPeriod-1&gt;=$E11),"━","")))</f>
        <v/>
      </c>
      <c r="W11" s="69" t="str">
        <f aca="false">IF($E11="","",IF($M11,IF(AND($G11&gt;=W$5,$G11&lt;W$5+GanttPeriod),"◆",IF(AND($E11&gt;=W$5,$E11&lt;W$5+GanttPeriod),"◇","")),IF(AND(W$5&lt;=$F11,W$5+GanttPeriod-1&gt;=$E11),"━","")))</f>
        <v/>
      </c>
      <c r="X11" s="69" t="str">
        <f aca="false">IF($E11="","",IF($M11,IF(AND($G11&gt;=X$5,$G11&lt;X$5+GanttPeriod),"◆",IF(AND($E11&gt;=X$5,$E11&lt;X$5+GanttPeriod),"◇","")),IF(AND(X$5&lt;=$F11,X$5+GanttPeriod-1&gt;=$E11),"━","")))</f>
        <v/>
      </c>
      <c r="Y11" s="69" t="str">
        <f aca="false">IF($E11="","",IF($M11,IF(AND($G11&gt;=Y$5,$G11&lt;Y$5+GanttPeriod),"◆",IF(AND($E11&gt;=Y$5,$E11&lt;Y$5+GanttPeriod),"◇","")),IF(AND(Y$5&lt;=$F11,Y$5+GanttPeriod-1&gt;=$E11),"━","")))</f>
        <v/>
      </c>
      <c r="Z11" s="69" t="str">
        <f aca="false">IF($E11="","",IF($M11,IF(AND($G11&gt;=Z$5,$G11&lt;Z$5+GanttPeriod),"◆",IF(AND($E11&gt;=Z$5,$E11&lt;Z$5+GanttPeriod),"◇","")),IF(AND(Z$5&lt;=$F11,Z$5+GanttPeriod-1&gt;=$E11),"━","")))</f>
        <v/>
      </c>
      <c r="AA11" s="69" t="str">
        <f aca="false">IF($E11="","",IF($M11,IF(AND($G11&gt;=AA$5,$G11&lt;AA$5+GanttPeriod),"◆",IF(AND($E11&gt;=AA$5,$E11&lt;AA$5+GanttPeriod),"◇","")),IF(AND(AA$5&lt;=$F11,AA$5+GanttPeriod-1&gt;=$E11),"━","")))</f>
        <v>━</v>
      </c>
      <c r="AB11" s="69" t="str">
        <f aca="false">IF($E11="","",IF($M11,IF(AND($G11&gt;=AB$5,$G11&lt;AB$5+GanttPeriod),"◆",IF(AND($E11&gt;=AB$5,$E11&lt;AB$5+GanttPeriod),"◇","")),IF(AND(AB$5&lt;=$F11,AB$5+GanttPeriod-1&gt;=$E11),"━","")))</f>
        <v>━</v>
      </c>
      <c r="AC11" s="69" t="str">
        <f aca="false">IF($E11="","",IF($M11,IF(AND($G11&gt;=AC$5,$G11&lt;AC$5+GanttPeriod),"◆",IF(AND($E11&gt;=AC$5,$E11&lt;AC$5+GanttPeriod),"◇","")),IF(AND(AC$5&lt;=$F11,AC$5+GanttPeriod-1&gt;=$E11),"━","")))</f>
        <v>━</v>
      </c>
      <c r="AD11" s="69" t="str">
        <f aca="false">IF($E11="","",IF($M11,IF(AND($G11&gt;=AD$5,$G11&lt;AD$5+GanttPeriod),"◆",IF(AND($E11&gt;=AD$5,$E11&lt;AD$5+GanttPeriod),"◇","")),IF(AND(AD$5&lt;=$F11,AD$5+GanttPeriod-1&gt;=$E11),"━","")))</f>
        <v>━</v>
      </c>
      <c r="AE11" s="69" t="str">
        <f aca="false">IF($E11="","",IF($M11,IF(AND($G11&gt;=AE$5,$G11&lt;AE$5+GanttPeriod),"◆",IF(AND($E11&gt;=AE$5,$E11&lt;AE$5+GanttPeriod),"◇","")),IF(AND(AE$5&lt;=$F11,AE$5+GanttPeriod-1&gt;=$E11),"━","")))</f>
        <v>━</v>
      </c>
      <c r="AF11" s="69" t="str">
        <f aca="false">IF($E11="","",IF($M11,IF(AND($G11&gt;=AF$5,$G11&lt;AF$5+GanttPeriod),"◆",IF(AND($E11&gt;=AF$5,$E11&lt;AF$5+GanttPeriod),"◇","")),IF(AND(AF$5&lt;=$F11,AF$5+GanttPeriod-1&gt;=$E11),"━","")))</f>
        <v>━</v>
      </c>
      <c r="AG11" s="69" t="str">
        <f aca="false">IF($E11="","",IF($M11,IF(AND($G11&gt;=AG$5,$G11&lt;AG$5+GanttPeriod),"◆",IF(AND($E11&gt;=AG$5,$E11&lt;AG$5+GanttPeriod),"◇","")),IF(AND(AG$5&lt;=$F11,AG$5+GanttPeriod-1&gt;=$E11),"━","")))</f>
        <v>━</v>
      </c>
      <c r="AH11" s="69" t="str">
        <f aca="false">IF($E11="","",IF($M11,IF(AND($G11&gt;=AH$5,$G11&lt;AH$5+GanttPeriod),"◆",IF(AND($E11&gt;=AH$5,$E11&lt;AH$5+GanttPeriod),"◇","")),IF(AND(AH$5&lt;=$F11,AH$5+GanttPeriod-1&gt;=$E11),"━","")))</f>
        <v>━</v>
      </c>
      <c r="AI11" s="69" t="str">
        <f aca="false">IF($E11="","",IF($M11,IF(AND($G11&gt;=AI$5,$G11&lt;AI$5+GanttPeriod),"◆",IF(AND($E11&gt;=AI$5,$E11&lt;AI$5+GanttPeriod),"◇","")),IF(AND(AI$5&lt;=$F11,AI$5+GanttPeriod-1&gt;=$E11),"━","")))</f>
        <v>━</v>
      </c>
      <c r="AJ11" s="69" t="str">
        <f aca="false">IF($E11="","",IF($M11,IF(AND($G11&gt;=AJ$5,$G11&lt;AJ$5+GanttPeriod),"◆",IF(AND($E11&gt;=AJ$5,$E11&lt;AJ$5+GanttPeriod),"◇","")),IF(AND(AJ$5&lt;=$F11,AJ$5+GanttPeriod-1&gt;=$E11),"━","")))</f>
        <v>━</v>
      </c>
      <c r="AK11" s="69" t="str">
        <f aca="false">IF($E11="","",IF($M11,IF(AND($G11&gt;=AK$5,$G11&lt;AK$5+GanttPeriod),"◆",IF(AND($E11&gt;=AK$5,$E11&lt;AK$5+GanttPeriod),"◇","")),IF(AND(AK$5&lt;=$F11,AK$5+GanttPeriod-1&gt;=$E11),"━","")))</f>
        <v/>
      </c>
      <c r="AL11" s="69" t="str">
        <f aca="false">IF($E11="","",IF($M11,IF(AND($G11&gt;=AL$5,$G11&lt;AL$5+GanttPeriod),"◆",IF(AND($E11&gt;=AL$5,$E11&lt;AL$5+GanttPeriod),"◇","")),IF(AND(AL$5&lt;=$F11,AL$5+GanttPeriod-1&gt;=$E11),"━","")))</f>
        <v/>
      </c>
      <c r="AM11" s="69" t="str">
        <f aca="false">IF($E11="","",IF($M11,IF(AND($G11&gt;=AM$5,$G11&lt;AM$5+GanttPeriod),"◆",IF(AND($E11&gt;=AM$5,$E11&lt;AM$5+GanttPeriod),"◇","")),IF(AND(AM$5&lt;=$F11,AM$5+GanttPeriod-1&gt;=$E11),"━","")))</f>
        <v/>
      </c>
      <c r="AN11" s="69" t="str">
        <f aca="false">IF($E11="","",IF($M11,IF(AND($G11&gt;=AN$5,$G11&lt;AN$5+GanttPeriod),"◆",IF(AND($E11&gt;=AN$5,$E11&lt;AN$5+GanttPeriod),"◇","")),IF(AND(AN$5&lt;=$F11,AN$5+GanttPeriod-1&gt;=$E11),"━","")))</f>
        <v/>
      </c>
      <c r="AO11" s="69" t="str">
        <f aca="false">IF($E11="","",IF($M11,IF(AND($G11&gt;=AO$5,$G11&lt;AO$5+GanttPeriod),"◆",IF(AND($E11&gt;=AO$5,$E11&lt;AO$5+GanttPeriod),"◇","")),IF(AND(AO$5&lt;=$F11,AO$5+GanttPeriod-1&gt;=$E11),"━","")))</f>
        <v/>
      </c>
      <c r="AP11" s="69" t="str">
        <f aca="false">IF($E11="","",IF($M11,IF(AND($G11&gt;=AP$5,$G11&lt;AP$5+GanttPeriod),"◆",IF(AND($E11&gt;=AP$5,$E11&lt;AP$5+GanttPeriod),"◇","")),IF(AND(AP$5&lt;=$F11,AP$5+GanttPeriod-1&gt;=$E11),"━","")))</f>
        <v/>
      </c>
      <c r="AQ11" s="69" t="str">
        <f aca="false">IF($E11="","",IF($M11,IF(AND($G11&gt;=AQ$5,$G11&lt;AQ$5+GanttPeriod),"◆",IF(AND($E11&gt;=AQ$5,$E11&lt;AQ$5+GanttPeriod),"◇","")),IF(AND(AQ$5&lt;=$F11,AQ$5+GanttPeriod-1&gt;=$E11),"━","")))</f>
        <v/>
      </c>
      <c r="AR11" s="69" t="str">
        <f aca="false">IF($E11="","",IF($M11,IF(AND($G11&gt;=AR$5,$G11&lt;AR$5+GanttPeriod),"◆",IF(AND($E11&gt;=AR$5,$E11&lt;AR$5+GanttPeriod),"◇","")),IF(AND(AR$5&lt;=$F11,AR$5+GanttPeriod-1&gt;=$E11),"━","")))</f>
        <v/>
      </c>
      <c r="AS11" s="69" t="str">
        <f aca="false">IF($E11="","",IF($M11,IF(AND($G11&gt;=AS$5,$G11&lt;AS$5+GanttPeriod),"◆",IF(AND($E11&gt;=AS$5,$E11&lt;AS$5+GanttPeriod),"◇","")),IF(AND(AS$5&lt;=$F11,AS$5+GanttPeriod-1&gt;=$E11),"━","")))</f>
        <v/>
      </c>
      <c r="AT11" s="69" t="str">
        <f aca="false">IF($E11="","",IF($M11,IF(AND($G11&gt;=AT$5,$G11&lt;AT$5+GanttPeriod),"◆",IF(AND($E11&gt;=AT$5,$E11&lt;AT$5+GanttPeriod),"◇","")),IF(AND(AT$5&lt;=$F11,AT$5+GanttPeriod-1&gt;=$E11),"━","")))</f>
        <v/>
      </c>
      <c r="AU11" s="69" t="str">
        <f aca="false">IF($E11="","",IF($M11,IF(AND($G11&gt;=AU$5,$G11&lt;AU$5+GanttPeriod),"◆",IF(AND($E11&gt;=AU$5,$E11&lt;AU$5+GanttPeriod),"◇","")),IF(AND(AU$5&lt;=$F11,AU$5+GanttPeriod-1&gt;=$E11),"━","")))</f>
        <v/>
      </c>
      <c r="AV11" s="69" t="str">
        <f aca="false">IF($E11="","",IF($M11,IF(AND($G11&gt;=AV$5,$G11&lt;AV$5+GanttPeriod),"◆",IF(AND($E11&gt;=AV$5,$E11&lt;AV$5+GanttPeriod),"◇","")),IF(AND(AV$5&lt;=$F11,AV$5+GanttPeriod-1&gt;=$E11),"━","")))</f>
        <v/>
      </c>
      <c r="AW11" s="69" t="str">
        <f aca="false">IF($E11="","",IF($M11,IF(AND($G11&gt;=AW$5,$G11&lt;AW$5+GanttPeriod),"◆",IF(AND($E11&gt;=AW$5,$E11&lt;AW$5+GanttPeriod),"◇","")),IF(AND(AW$5&lt;=$F11,AW$5+GanttPeriod-1&gt;=$E11),"━","")))</f>
        <v/>
      </c>
      <c r="AX11" s="69" t="str">
        <f aca="false">IF($E11="","",IF($M11,IF(AND($G11&gt;=AX$5,$G11&lt;AX$5+GanttPeriod),"◆",IF(AND($E11&gt;=AX$5,$E11&lt;AX$5+GanttPeriod),"◇","")),IF(AND(AX$5&lt;=$F11,AX$5+GanttPeriod-1&gt;=$E11),"━","")))</f>
        <v/>
      </c>
      <c r="AY11" s="69" t="str">
        <f aca="false">IF($E11="","",IF($M11,IF(AND($G11&gt;=AY$5,$G11&lt;AY$5+GanttPeriod),"◆",IF(AND($E11&gt;=AY$5,$E11&lt;AY$5+GanttPeriod),"◇","")),IF(AND(AY$5&lt;=$F11,AY$5+GanttPeriod-1&gt;=$E11),"━","")))</f>
        <v/>
      </c>
      <c r="AZ11" s="69" t="str">
        <f aca="false">IF($E11="","",IF($M11,IF(AND($G11&gt;=AZ$5,$G11&lt;AZ$5+GanttPeriod),"◆",IF(AND($E11&gt;=AZ$5,$E11&lt;AZ$5+GanttPeriod),"◇","")),IF(AND(AZ$5&lt;=$F11,AZ$5+GanttPeriod-1&gt;=$E11),"━","")))</f>
        <v/>
      </c>
      <c r="BA11" s="69" t="str">
        <f aca="false">IF($E11="","",IF($M11,IF(AND($G11&gt;=BA$5,$G11&lt;BA$5+GanttPeriod),"◆",IF(AND($E11&gt;=BA$5,$E11&lt;BA$5+GanttPeriod),"◇","")),IF(AND(BA$5&lt;=$F11,BA$5+GanttPeriod-1&gt;=$E11),"━","")))</f>
        <v/>
      </c>
      <c r="BB11" s="69" t="str">
        <f aca="false">IF($E11="","",IF($M11,IF(AND($G11&gt;=BB$5,$G11&lt;BB$5+GanttPeriod),"◆",IF(AND($E11&gt;=BB$5,$E11&lt;BB$5+GanttPeriod),"◇","")),IF(AND(BB$5&lt;=$F11,BB$5+GanttPeriod-1&gt;=$E11),"━","")))</f>
        <v/>
      </c>
      <c r="BC11" s="69" t="str">
        <f aca="false">IF($E11="","",IF($M11,IF(AND($G11&gt;=BC$5,$G11&lt;BC$5+GanttPeriod),"◆",IF(AND($E11&gt;=BC$5,$E11&lt;BC$5+GanttPeriod),"◇","")),IF(AND(BC$5&lt;=$F11,BC$5+GanttPeriod-1&gt;=$E11),"━","")))</f>
        <v/>
      </c>
      <c r="BD11" s="69" t="str">
        <f aca="false">IF($E11="","",IF($M11,IF(AND($G11&gt;=BD$5,$G11&lt;BD$5+GanttPeriod),"◆",IF(AND($E11&gt;=BD$5,$E11&lt;BD$5+GanttPeriod),"◇","")),IF(AND(BD$5&lt;=$F11,BD$5+GanttPeriod-1&gt;=$E11),"━","")))</f>
        <v/>
      </c>
      <c r="BE11" s="69" t="str">
        <f aca="false">IF($E11="","",IF($M11,IF(AND($G11&gt;=BE$5,$G11&lt;BE$5+GanttPeriod),"◆",IF(AND($E11&gt;=BE$5,$E11&lt;BE$5+GanttPeriod),"◇","")),IF(AND(BE$5&lt;=$F11,BE$5+GanttPeriod-1&gt;=$E11),"━","")))</f>
        <v/>
      </c>
      <c r="BF11" s="69" t="str">
        <f aca="false">IF($E11="","",IF($M11,IF(AND($G11&gt;=BF$5,$G11&lt;BF$5+GanttPeriod),"◆",IF(AND($E11&gt;=BF$5,$E11&lt;BF$5+GanttPeriod),"◇","")),IF(AND(BF$5&lt;=$F11,BF$5+GanttPeriod-1&gt;=$E11),"━","")))</f>
        <v/>
      </c>
      <c r="BG11" s="69" t="str">
        <f aca="false">IF($E11="","",IF($M11,IF(AND($G11&gt;=BG$5,$G11&lt;BG$5+GanttPeriod),"◆",IF(AND($E11&gt;=BG$5,$E11&lt;BG$5+GanttPeriod),"◇","")),IF(AND(BG$5&lt;=$F11,BG$5+GanttPeriod-1&gt;=$E11),"━","")))</f>
        <v/>
      </c>
      <c r="BH11" s="69" t="str">
        <f aca="false">IF($E11="","",IF($M11,IF(AND($G11&gt;=BH$5,$G11&lt;BH$5+GanttPeriod),"◆",IF(AND($E11&gt;=BH$5,$E11&lt;BH$5+GanttPeriod),"◇","")),IF(AND(BH$5&lt;=$F11,BH$5+GanttPeriod-1&gt;=$E11),"━","")))</f>
        <v/>
      </c>
      <c r="BI11" s="69" t="str">
        <f aca="false">IF($E11="","",IF($M11,IF(AND($G11&gt;=BI$5,$G11&lt;BI$5+GanttPeriod),"◆",IF(AND($E11&gt;=BI$5,$E11&lt;BI$5+GanttPeriod),"◇","")),IF(AND(BI$5&lt;=$F11,BI$5+GanttPeriod-1&gt;=$E11),"━","")))</f>
        <v/>
      </c>
      <c r="BJ11" s="69" t="str">
        <f aca="false">IF($E11="","",IF($M11,IF(AND($G11&gt;=BJ$5,$G11&lt;BJ$5+GanttPeriod),"◆",IF(AND($E11&gt;=BJ$5,$E11&lt;BJ$5+GanttPeriod),"◇","")),IF(AND(BJ$5&lt;=$F11,BJ$5+GanttPeriod-1&gt;=$E11),"━","")))</f>
        <v/>
      </c>
      <c r="BK11" s="69" t="str">
        <f aca="false">IF($E11="","",IF($M11,IF(AND($G11&gt;=BK$5,$G11&lt;BK$5+GanttPeriod),"◆",IF(AND($E11&gt;=BK$5,$E11&lt;BK$5+GanttPeriod),"◇","")),IF(AND(BK$5&lt;=$F11,BK$5+GanttPeriod-1&gt;=$E11),"━","")))</f>
        <v/>
      </c>
      <c r="BL11" s="69" t="str">
        <f aca="false">IF($E11="","",IF($M11,IF(AND($G11&gt;=BL$5,$G11&lt;BL$5+GanttPeriod),"◆",IF(AND($E11&gt;=BL$5,$E11&lt;BL$5+GanttPeriod),"◇","")),IF(AND(BL$5&lt;=$F11,BL$5+GanttPeriod-1&gt;=$E11),"━","")))</f>
        <v/>
      </c>
      <c r="BM11" s="69" t="str">
        <f aca="false">IF($E11="","",IF($M11,IF(AND($G11&gt;=BM$5,$G11&lt;BM$5+GanttPeriod),"◆",IF(AND($E11&gt;=BM$5,$E11&lt;BM$5+GanttPeriod),"◇","")),IF(AND(BM$5&lt;=$F11,BM$5+GanttPeriod-1&gt;=$E11),"━","")))</f>
        <v/>
      </c>
      <c r="BN11" s="69" t="str">
        <f aca="false">IF($E11="","",IF($M11,IF(AND($G11&gt;=BN$5,$G11&lt;BN$5+GanttPeriod),"◆",IF(AND($E11&gt;=BN$5,$E11&lt;BN$5+GanttPeriod),"◇","")),IF(AND(BN$5&lt;=$F11,BN$5+GanttPeriod-1&gt;=$E11),"━","")))</f>
        <v/>
      </c>
      <c r="BO11" s="69" t="str">
        <f aca="false">IF($E11="","",IF($M11,IF(AND($G11&gt;=BO$5,$G11&lt;BO$5+GanttPeriod),"◆",IF(AND($E11&gt;=BO$5,$E11&lt;BO$5+GanttPeriod),"◇","")),IF(AND(BO$5&lt;=$F11,BO$5+GanttPeriod-1&gt;=$E11),"━","")))</f>
        <v/>
      </c>
      <c r="BP11" s="69" t="str">
        <f aca="false">IF($E11="","",IF($M11,IF(AND($G11&gt;=BP$5,$G11&lt;BP$5+GanttPeriod),"◆",IF(AND($E11&gt;=BP$5,$E11&lt;BP$5+GanttPeriod),"◇","")),IF(AND(BP$5&lt;=$F11,BP$5+GanttPeriod-1&gt;=$E11),"━","")))</f>
        <v/>
      </c>
      <c r="BQ11" s="69" t="str">
        <f aca="false">IF($E11="","",IF($M11,IF(AND($G11&gt;=BQ$5,$G11&lt;BQ$5+GanttPeriod),"◆",IF(AND($E11&gt;=BQ$5,$E11&lt;BQ$5+GanttPeriod),"◇","")),IF(AND(BQ$5&lt;=$F11,BQ$5+GanttPeriod-1&gt;=$E11),"━","")))</f>
        <v/>
      </c>
      <c r="BR11" s="69" t="str">
        <f aca="false">IF($E11="","",IF($M11,IF(AND($G11&gt;=BR$5,$G11&lt;BR$5+GanttPeriod),"◆",IF(AND($E11&gt;=BR$5,$E11&lt;BR$5+GanttPeriod),"◇","")),IF(AND(BR$5&lt;=$F11,BR$5+GanttPeriod-1&gt;=$E11),"━","")))</f>
        <v/>
      </c>
      <c r="BS11" s="69" t="str">
        <f aca="false">IF($E11="","",IF($M11,IF(AND($G11&gt;=BS$5,$G11&lt;BS$5+GanttPeriod),"◆",IF(AND($E11&gt;=BS$5,$E11&lt;BS$5+GanttPeriod),"◇","")),IF(AND(BS$5&lt;=$F11,BS$5+GanttPeriod-1&gt;=$E11),"━","")))</f>
        <v/>
      </c>
      <c r="BT11" s="69" t="str">
        <f aca="false">IF($E11="","",IF($M11,IF(AND($G11&gt;=BT$5,$G11&lt;BT$5+GanttPeriod),"◆",IF(AND($E11&gt;=BT$5,$E11&lt;BT$5+GanttPeriod),"◇","")),IF(AND(BT$5&lt;=$F11,BT$5+GanttPeriod-1&gt;=$E11),"━","")))</f>
        <v/>
      </c>
      <c r="BU11" s="69" t="str">
        <f aca="false">IF($E11="","",IF($M11,IF(AND($G11&gt;=BU$5,$G11&lt;BU$5+GanttPeriod),"◆",IF(AND($E11&gt;=BU$5,$E11&lt;BU$5+GanttPeriod),"◇","")),IF(AND(BU$5&lt;=$F11,BU$5+GanttPeriod-1&gt;=$E11),"━","")))</f>
        <v/>
      </c>
      <c r="BV11" s="69" t="str">
        <f aca="false">IF($E11="","",IF($M11,IF(AND($G11&gt;=BV$5,$G11&lt;BV$5+GanttPeriod),"◆",IF(AND($E11&gt;=BV$5,$E11&lt;BV$5+GanttPeriod),"◇","")),IF(AND(BV$5&lt;=$F11,BV$5+GanttPeriod-1&gt;=$E11),"━","")))</f>
        <v/>
      </c>
      <c r="BW11" s="69" t="str">
        <f aca="false">IF($E11="","",IF($M11,IF(AND($G11&gt;=BW$5,$G11&lt;BW$5+GanttPeriod),"◆",IF(AND($E11&gt;=BW$5,$E11&lt;BW$5+GanttPeriod),"◇","")),IF(AND(BW$5&lt;=$F11,BW$5+GanttPeriod-1&gt;=$E11),"━","")))</f>
        <v/>
      </c>
      <c r="BX11" s="69" t="str">
        <f aca="false">IF($E11="","",IF($M11,IF(AND($G11&gt;=BX$5,$G11&lt;BX$5+GanttPeriod),"◆",IF(AND($E11&gt;=BX$5,$E11&lt;BX$5+GanttPeriod),"◇","")),IF(AND(BX$5&lt;=$F11,BX$5+GanttPeriod-1&gt;=$E11),"━","")))</f>
        <v/>
      </c>
      <c r="BY11" s="69" t="str">
        <f aca="false">IF($E11="","",IF($M11,IF(AND($G11&gt;=BY$5,$G11&lt;BY$5+GanttPeriod),"◆",IF(AND($E11&gt;=BY$5,$E11&lt;BY$5+GanttPeriod),"◇","")),IF(AND(BY$5&lt;=$F11,BY$5+GanttPeriod-1&gt;=$E11),"━","")))</f>
        <v/>
      </c>
      <c r="BZ11" s="69" t="str">
        <f aca="false">IF($E11="","",IF($M11,IF(AND($G11&gt;=BZ$5,$G11&lt;BZ$5+GanttPeriod),"◆",IF(AND($E11&gt;=BZ$5,$E11&lt;BZ$5+GanttPeriod),"◇","")),IF(AND(BZ$5&lt;=$F11,BZ$5+GanttPeriod-1&gt;=$E11),"━","")))</f>
        <v/>
      </c>
      <c r="CA11" s="69" t="str">
        <f aca="false">IF($E11="","",IF($M11,IF(AND($G11&gt;=CA$5,$G11&lt;CA$5+GanttPeriod),"◆",IF(AND($E11&gt;=CA$5,$E11&lt;CA$5+GanttPeriod),"◇","")),IF(AND(CA$5&lt;=$F11,CA$5+GanttPeriod-1&gt;=$E11),"━","")))</f>
        <v/>
      </c>
      <c r="CB11" s="69" t="str">
        <f aca="false">IF($E11="","",IF($M11,IF(AND($G11&gt;=CB$5,$G11&lt;CB$5+GanttPeriod),"◆",IF(AND($E11&gt;=CB$5,$E11&lt;CB$5+GanttPeriod),"◇","")),IF(AND(CB$5&lt;=$F11,CB$5+GanttPeriod-1&gt;=$E11),"━","")))</f>
        <v/>
      </c>
      <c r="CC11" s="69" t="str">
        <f aca="false">IF($E11="","",IF($M11,IF(AND($G11&gt;=CC$5,$G11&lt;CC$5+GanttPeriod),"◆",IF(AND($E11&gt;=CC$5,$E11&lt;CC$5+GanttPeriod),"◇","")),IF(AND(CC$5&lt;=$F11,CC$5+GanttPeriod-1&gt;=$E11),"━","")))</f>
        <v/>
      </c>
      <c r="CD11" s="69" t="str">
        <f aca="false">IF($E11="","",IF($M11,IF(AND($G11&gt;=CD$5,$G11&lt;CD$5+GanttPeriod),"◆",IF(AND($E11&gt;=CD$5,$E11&lt;CD$5+GanttPeriod),"◇","")),IF(AND(CD$5&lt;=$F11,CD$5+GanttPeriod-1&gt;=$E11),"━","")))</f>
        <v/>
      </c>
      <c r="CE11" s="69" t="str">
        <f aca="false">IF($E11="","",IF($M11,IF(AND($G11&gt;=CE$5,$G11&lt;CE$5+GanttPeriod),"◆",IF(AND($E11&gt;=CE$5,$E11&lt;CE$5+GanttPeriod),"◇","")),IF(AND(CE$5&lt;=$F11,CE$5+GanttPeriod-1&gt;=$E11),"━","")))</f>
        <v/>
      </c>
      <c r="CF11" s="69" t="str">
        <f aca="false">IF($E11="","",IF($M11,IF(AND($G11&gt;=CF$5,$G11&lt;CF$5+GanttPeriod),"◆",IF(AND($E11&gt;=CF$5,$E11&lt;CF$5+GanttPeriod),"◇","")),IF(AND(CF$5&lt;=$F11,CF$5+GanttPeriod-1&gt;=$E11),"━","")))</f>
        <v/>
      </c>
      <c r="CG11" s="69" t="str">
        <f aca="false">IF($E11="","",IF($M11,IF(AND($G11&gt;=CG$5,$G11&lt;CG$5+GanttPeriod),"◆",IF(AND($E11&gt;=CG$5,$E11&lt;CG$5+GanttPeriod),"◇","")),IF(AND(CG$5&lt;=$F11,CG$5+GanttPeriod-1&gt;=$E11),"━","")))</f>
        <v/>
      </c>
      <c r="CH11" s="69" t="str">
        <f aca="false">IF($E11="","",IF($M11,IF(AND($G11&gt;=CH$5,$G11&lt;CH$5+GanttPeriod),"◆",IF(AND($E11&gt;=CH$5,$E11&lt;CH$5+GanttPeriod),"◇","")),IF(AND(CH$5&lt;=$F11,CH$5+GanttPeriod-1&gt;=$E11),"━","")))</f>
        <v/>
      </c>
      <c r="CI11" s="69" t="str">
        <f aca="false">IF($E11="","",IF($M11,IF(AND($G11&gt;=CI$5,$G11&lt;CI$5+GanttPeriod),"◆",IF(AND($E11&gt;=CI$5,$E11&lt;CI$5+GanttPeriod),"◇","")),IF(AND(CI$5&lt;=$F11,CI$5+GanttPeriod-1&gt;=$E11),"━","")))</f>
        <v/>
      </c>
      <c r="CJ11" s="69" t="str">
        <f aca="false">IF($E11="","",IF($M11,IF(AND($G11&gt;=CJ$5,$G11&lt;CJ$5+GanttPeriod),"◆",IF(AND($E11&gt;=CJ$5,$E11&lt;CJ$5+GanttPeriod),"◇","")),IF(AND(CJ$5&lt;=$F11,CJ$5+GanttPeriod-1&gt;=$E11),"━","")))</f>
        <v/>
      </c>
      <c r="CK11" s="69" t="str">
        <f aca="false">IF($E11="","",IF($M11,IF(AND($G11&gt;=CK$5,$G11&lt;CK$5+GanttPeriod),"◆",IF(AND($E11&gt;=CK$5,$E11&lt;CK$5+GanttPeriod),"◇","")),IF(AND(CK$5&lt;=$F11,CK$5+GanttPeriod-1&gt;=$E11),"━","")))</f>
        <v/>
      </c>
      <c r="CL11" s="69" t="str">
        <f aca="false">IF($E11="","",IF($M11,IF(AND($G11&gt;=CL$5,$G11&lt;CL$5+GanttPeriod),"◆",IF(AND($E11&gt;=CL$5,$E11&lt;CL$5+GanttPeriod),"◇","")),IF(AND(CL$5&lt;=$F11,CL$5+GanttPeriod-1&gt;=$E11),"━","")))</f>
        <v/>
      </c>
      <c r="CM11" s="69" t="str">
        <f aca="false">IF($E11="","",IF($M11,IF(AND($G11&gt;=CM$5,$G11&lt;CM$5+GanttPeriod),"◆",IF(AND($E11&gt;=CM$5,$E11&lt;CM$5+GanttPeriod),"◇","")),IF(AND(CM$5&lt;=$F11,CM$5+GanttPeriod-1&gt;=$E11),"━","")))</f>
        <v/>
      </c>
      <c r="CN11" s="69" t="str">
        <f aca="false">IF($E11="","",IF($M11,IF(AND($G11&gt;=CN$5,$G11&lt;CN$5+GanttPeriod),"◆",IF(AND($E11&gt;=CN$5,$E11&lt;CN$5+GanttPeriod),"◇","")),IF(AND(CN$5&lt;=$F11,CN$5+GanttPeriod-1&gt;=$E11),"━","")))</f>
        <v/>
      </c>
      <c r="CO11" s="69" t="str">
        <f aca="false">IF($E11="","",IF($M11,IF(AND($G11&gt;=CO$5,$G11&lt;CO$5+GanttPeriod),"◆",IF(AND($E11&gt;=CO$5,$E11&lt;CO$5+GanttPeriod),"◇","")),IF(AND(CO$5&lt;=$F11,CO$5+GanttPeriod-1&gt;=$E11),"━","")))</f>
        <v/>
      </c>
      <c r="CP11" s="69" t="str">
        <f aca="false">IF($E11="","",IF($M11,IF(AND($G11&gt;=CP$5,$G11&lt;CP$5+GanttPeriod),"◆",IF(AND($E11&gt;=CP$5,$E11&lt;CP$5+GanttPeriod),"◇","")),IF(AND(CP$5&lt;=$F11,CP$5+GanttPeriod-1&gt;=$E11),"━","")))</f>
        <v/>
      </c>
      <c r="CQ11" s="69" t="str">
        <f aca="false">IF($E11="","",IF($M11,IF(AND($G11&gt;=CQ$5,$G11&lt;CQ$5+GanttPeriod),"◆",IF(AND($E11&gt;=CQ$5,$E11&lt;CQ$5+GanttPeriod),"◇","")),IF(AND(CQ$5&lt;=$F11,CQ$5+GanttPeriod-1&gt;=$E11),"━","")))</f>
        <v/>
      </c>
      <c r="CR11" s="69" t="str">
        <f aca="false">IF($E11="","",IF($M11,IF(AND($G11&gt;=CR$5,$G11&lt;CR$5+GanttPeriod),"◆",IF(AND($E11&gt;=CR$5,$E11&lt;CR$5+GanttPeriod),"◇","")),IF(AND(CR$5&lt;=$F11,CR$5+GanttPeriod-1&gt;=$E11),"━","")))</f>
        <v/>
      </c>
      <c r="CS11" s="69" t="str">
        <f aca="false">IF($E11="","",IF($M11,IF(AND($G11&gt;=CS$5,$G11&lt;CS$5+GanttPeriod),"◆",IF(AND($E11&gt;=CS$5,$E11&lt;CS$5+GanttPeriod),"◇","")),IF(AND(CS$5&lt;=$F11,CS$5+GanttPeriod-1&gt;=$E11),"━","")))</f>
        <v/>
      </c>
      <c r="CT11" s="69" t="str">
        <f aca="false">IF($E11="","",IF($M11,IF(AND($G11&gt;=CT$5,$G11&lt;CT$5+GanttPeriod),"◆",IF(AND($E11&gt;=CT$5,$E11&lt;CT$5+GanttPeriod),"◇","")),IF(AND(CT$5&lt;=$F11,CT$5+GanttPeriod-1&gt;=$E11),"━","")))</f>
        <v/>
      </c>
      <c r="CU11" s="69" t="str">
        <f aca="false">IF($E11="","",IF($M11,IF(AND($G11&gt;=CU$5,$G11&lt;CU$5+GanttPeriod),"◆",IF(AND($E11&gt;=CU$5,$E11&lt;CU$5+GanttPeriod),"◇","")),IF(AND(CU$5&lt;=$F11,CU$5+GanttPeriod-1&gt;=$E11),"━","")))</f>
        <v/>
      </c>
      <c r="CV11" s="69" t="str">
        <f aca="false">IF($E11="","",IF($M11,IF(AND($G11&gt;=CV$5,$G11&lt;CV$5+GanttPeriod),"◆",IF(AND($E11&gt;=CV$5,$E11&lt;CV$5+GanttPeriod),"◇","")),IF(AND(CV$5&lt;=$F11,CV$5+GanttPeriod-1&gt;=$E11),"━","")))</f>
        <v/>
      </c>
      <c r="CW11" s="69" t="str">
        <f aca="false">IF($E11="","",IF($M11,IF(AND($G11&gt;=CW$5,$G11&lt;CW$5+GanttPeriod),"◆",IF(AND($E11&gt;=CW$5,$E11&lt;CW$5+GanttPeriod),"◇","")),IF(AND(CW$5&lt;=$F11,CW$5+GanttPeriod-1&gt;=$E11),"━","")))</f>
        <v/>
      </c>
      <c r="CX11" s="69" t="str">
        <f aca="false">IF($E11="","",IF($M11,IF(AND($G11&gt;=CX$5,$G11&lt;CX$5+GanttPeriod),"◆",IF(AND($E11&gt;=CX$5,$E11&lt;CX$5+GanttPeriod),"◇","")),IF(AND(CX$5&lt;=$F11,CX$5+GanttPeriod-1&gt;=$E11),"━","")))</f>
        <v/>
      </c>
      <c r="CY11" s="69" t="str">
        <f aca="false">IF($E11="","",IF($M11,IF(AND($G11&gt;=CY$5,$G11&lt;CY$5+GanttPeriod),"◆",IF(AND($E11&gt;=CY$5,$E11&lt;CY$5+GanttPeriod),"◇","")),IF(AND(CY$5&lt;=$F11,CY$5+GanttPeriod-1&gt;=$E11),"━","")))</f>
        <v/>
      </c>
      <c r="CZ11" s="69" t="str">
        <f aca="false">IF($E11="","",IF($M11,IF(AND($G11&gt;=CZ$5,$G11&lt;CZ$5+GanttPeriod),"◆",IF(AND($E11&gt;=CZ$5,$E11&lt;CZ$5+GanttPeriod),"◇","")),IF(AND(CZ$5&lt;=$F11,CZ$5+GanttPeriod-1&gt;=$E11),"━","")))</f>
        <v/>
      </c>
      <c r="DA11" s="69" t="str">
        <f aca="false">IF($E11="","",IF($M11,IF(AND($G11&gt;=DA$5,$G11&lt;DA$5+GanttPeriod),"◆",IF(AND($E11&gt;=DA$5,$E11&lt;DA$5+GanttPeriod),"◇","")),IF(AND(DA$5&lt;=$F11,DA$5+GanttPeriod-1&gt;=$E11),"━","")))</f>
        <v/>
      </c>
      <c r="DB11" s="69" t="str">
        <f aca="false">IF($E11="","",IF($M11,IF(AND($G11&gt;=DB$5,$G11&lt;DB$5+GanttPeriod),"◆",IF(AND($E11&gt;=DB$5,$E11&lt;DB$5+GanttPeriod),"◇","")),IF(AND(DB$5&lt;=$F11,DB$5+GanttPeriod-1&gt;=$E11),"━","")))</f>
        <v/>
      </c>
      <c r="DC11" s="69" t="str">
        <f aca="false">IF($E11="","",IF($M11,IF(AND($G11&gt;=DC$5,$G11&lt;DC$5+GanttPeriod),"◆",IF(AND($E11&gt;=DC$5,$E11&lt;DC$5+GanttPeriod),"◇","")),IF(AND(DC$5&lt;=$F11,DC$5+GanttPeriod-1&gt;=$E11),"━","")))</f>
        <v/>
      </c>
      <c r="DD11" s="69" t="str">
        <f aca="false">IF($E11="","",IF($M11,IF(AND($G11&gt;=DD$5,$G11&lt;DD$5+GanttPeriod),"◆",IF(AND($E11&gt;=DD$5,$E11&lt;DD$5+GanttPeriod),"◇","")),IF(AND(DD$5&lt;=$F11,DD$5+GanttPeriod-1&gt;=$E11),"━","")))</f>
        <v/>
      </c>
      <c r="DE11" s="69" t="str">
        <f aca="false">IF($E11="","",IF($M11,IF(AND($G11&gt;=DE$5,$G11&lt;DE$5+GanttPeriod),"◆",IF(AND($E11&gt;=DE$5,$E11&lt;DE$5+GanttPeriod),"◇","")),IF(AND(DE$5&lt;=$F11,DE$5+GanttPeriod-1&gt;=$E11),"━","")))</f>
        <v/>
      </c>
      <c r="DF11" s="69" t="str">
        <f aca="false">IF($E11="","",IF($M11,IF(AND($G11&gt;=DF$5,$G11&lt;DF$5+GanttPeriod),"◆",IF(AND($E11&gt;=DF$5,$E11&lt;DF$5+GanttPeriod),"◇","")),IF(AND(DF$5&lt;=$F11,DF$5+GanttPeriod-1&gt;=$E11),"━","")))</f>
        <v/>
      </c>
      <c r="DG11" s="69" t="str">
        <f aca="false">IF($E11="","",IF($M11,IF(AND($G11&gt;=DG$5,$G11&lt;DG$5+GanttPeriod),"◆",IF(AND($E11&gt;=DG$5,$E11&lt;DG$5+GanttPeriod),"◇","")),IF(AND(DG$5&lt;=$F11,DG$5+GanttPeriod-1&gt;=$E11),"━","")))</f>
        <v/>
      </c>
      <c r="DH11" s="69" t="str">
        <f aca="false">IF($E11="","",IF($M11,IF(AND($G11&gt;=DH$5,$G11&lt;DH$5+GanttPeriod),"◆",IF(AND($E11&gt;=DH$5,$E11&lt;DH$5+GanttPeriod),"◇","")),IF(AND(DH$5&lt;=$F11,DH$5+GanttPeriod-1&gt;=$E11),"━","")))</f>
        <v/>
      </c>
      <c r="DI11" s="69" t="str">
        <f aca="false">IF($E11="","",IF($M11,IF(AND($G11&gt;=DI$5,$G11&lt;DI$5+GanttPeriod),"◆",IF(AND($E11&gt;=DI$5,$E11&lt;DI$5+GanttPeriod),"◇","")),IF(AND(DI$5&lt;=$F11,DI$5+GanttPeriod-1&gt;=$E11),"━","")))</f>
        <v/>
      </c>
      <c r="DJ11" s="69" t="str">
        <f aca="false">IF($E11="","",IF($M11,IF(AND($G11&gt;=DJ$5,$G11&lt;DJ$5+GanttPeriod),"◆",IF(AND($E11&gt;=DJ$5,$E11&lt;DJ$5+GanttPeriod),"◇","")),IF(AND(DJ$5&lt;=$F11,DJ$5+GanttPeriod-1&gt;=$E11),"━","")))</f>
        <v/>
      </c>
      <c r="DK11" s="69" t="str">
        <f aca="false">IF($E11="","",IF($M11,IF(AND($G11&gt;=DK$5,$G11&lt;DK$5+GanttPeriod),"◆",IF(AND($E11&gt;=DK$5,$E11&lt;DK$5+GanttPeriod),"◇","")),IF(AND(DK$5&lt;=$F11,DK$5+GanttPeriod-1&gt;=$E11),"━","")))</f>
        <v/>
      </c>
      <c r="DL11" s="69" t="str">
        <f aca="false">IF($E11="","",IF($M11,IF(AND($G11&gt;=DL$5,$G11&lt;DL$5+GanttPeriod),"◆",IF(AND($E11&gt;=DL$5,$E11&lt;DL$5+GanttPeriod),"◇","")),IF(AND(DL$5&lt;=$F11,DL$5+GanttPeriod-1&gt;=$E11),"━","")))</f>
        <v/>
      </c>
      <c r="DM11" s="69" t="str">
        <f aca="false">IF($E11="","",IF($M11,IF(AND($G11&gt;=DM$5,$G11&lt;DM$5+GanttPeriod),"◆",IF(AND($E11&gt;=DM$5,$E11&lt;DM$5+GanttPeriod),"◇","")),IF(AND(DM$5&lt;=$F11,DM$5+GanttPeriod-1&gt;=$E11),"━","")))</f>
        <v/>
      </c>
      <c r="DN11" s="69" t="str">
        <f aca="false">IF($E11="","",IF($M11,IF(AND($G11&gt;=DN$5,$G11&lt;DN$5+GanttPeriod),"◆",IF(AND($E11&gt;=DN$5,$E11&lt;DN$5+GanttPeriod),"◇","")),IF(AND(DN$5&lt;=$F11,DN$5+GanttPeriod-1&gt;=$E11),"━","")))</f>
        <v/>
      </c>
      <c r="DO11" s="69" t="str">
        <f aca="false">IF($E11="","",IF($M11,IF(AND($G11&gt;=DO$5,$G11&lt;DO$5+GanttPeriod),"◆",IF(AND($E11&gt;=DO$5,$E11&lt;DO$5+GanttPeriod),"◇","")),IF(AND(DO$5&lt;=$F11,DO$5+GanttPeriod-1&gt;=$E11),"━","")))</f>
        <v/>
      </c>
      <c r="DP11" s="69" t="str">
        <f aca="false">IF($E11="","",IF($M11,IF(AND($G11&gt;=DP$5,$G11&lt;DP$5+GanttPeriod),"◆",IF(AND($E11&gt;=DP$5,$E11&lt;DP$5+GanttPeriod),"◇","")),IF(AND(DP$5&lt;=$F11,DP$5+GanttPeriod-1&gt;=$E11),"━","")))</f>
        <v/>
      </c>
      <c r="DQ11" s="69" t="str">
        <f aca="false">IF($E11="","",IF($M11,IF(AND($G11&gt;=DQ$5,$G11&lt;DQ$5+GanttPeriod),"◆",IF(AND($E11&gt;=DQ$5,$E11&lt;DQ$5+GanttPeriod),"◇","")),IF(AND(DQ$5&lt;=$F11,DQ$5+GanttPeriod-1&gt;=$E11),"━","")))</f>
        <v/>
      </c>
      <c r="DR11" s="69" t="str">
        <f aca="false">IF($E11="","",IF($M11,IF(AND($G11&gt;=DR$5,$G11&lt;DR$5+GanttPeriod),"◆",IF(AND($E11&gt;=DR$5,$E11&lt;DR$5+GanttPeriod),"◇","")),IF(AND(DR$5&lt;=$F11,DR$5+GanttPeriod-1&gt;=$E11),"━","")))</f>
        <v/>
      </c>
      <c r="DS11" s="69" t="str">
        <f aca="false">IF($E11="","",IF($M11,IF(AND($G11&gt;=DS$5,$G11&lt;DS$5+GanttPeriod),"◆",IF(AND($E11&gt;=DS$5,$E11&lt;DS$5+GanttPeriod),"◇","")),IF(AND(DS$5&lt;=$F11,DS$5+GanttPeriod-1&gt;=$E11),"━","")))</f>
        <v/>
      </c>
      <c r="DT11" s="69" t="str">
        <f aca="false">IF($E11="","",IF($M11,IF(AND($G11&gt;=DT$5,$G11&lt;DT$5+GanttPeriod),"◆",IF(AND($E11&gt;=DT$5,$E11&lt;DT$5+GanttPeriod),"◇","")),IF(AND(DT$5&lt;=$F11,DT$5+GanttPeriod-1&gt;=$E11),"━","")))</f>
        <v/>
      </c>
      <c r="DU11" s="69" t="str">
        <f aca="false">IF($E11="","",IF($M11,IF(AND($G11&gt;=DU$5,$G11&lt;DU$5+GanttPeriod),"◆",IF(AND($E11&gt;=DU$5,$E11&lt;DU$5+GanttPeriod),"◇","")),IF(AND(DU$5&lt;=$F11,DU$5+GanttPeriod-1&gt;=$E11),"━","")))</f>
        <v/>
      </c>
      <c r="DV11" s="69" t="str">
        <f aca="false">IF($E11="","",IF($M11,IF(AND($G11&gt;=DV$5,$G11&lt;DV$5+GanttPeriod),"◆",IF(AND($E11&gt;=DV$5,$E11&lt;DV$5+GanttPeriod),"◇","")),IF(AND(DV$5&lt;=$F11,DV$5+GanttPeriod-1&gt;=$E11),"━","")))</f>
        <v/>
      </c>
      <c r="DW11" s="69" t="str">
        <f aca="false">IF($E11="","",IF($M11,IF(AND($G11&gt;=DW$5,$G11&lt;DW$5+GanttPeriod),"◆",IF(AND($E11&gt;=DW$5,$E11&lt;DW$5+GanttPeriod),"◇","")),IF(AND(DW$5&lt;=$F11,DW$5+GanttPeriod-1&gt;=$E11),"━","")))</f>
        <v/>
      </c>
      <c r="DX11" s="69" t="str">
        <f aca="false">IF($E11="","",IF($M11,IF(AND($G11&gt;=DX$5,$G11&lt;DX$5+GanttPeriod),"◆",IF(AND($E11&gt;=DX$5,$E11&lt;DX$5+GanttPeriod),"◇","")),IF(AND(DX$5&lt;=$F11,DX$5+GanttPeriod-1&gt;=$E11),"━","")))</f>
        <v/>
      </c>
      <c r="DY11" s="69" t="str">
        <f aca="false">IF($E11="","",IF($M11,IF(AND($G11&gt;=DY$5,$G11&lt;DY$5+GanttPeriod),"◆",IF(AND($E11&gt;=DY$5,$E11&lt;DY$5+GanttPeriod),"◇","")),IF(AND(DY$5&lt;=$F11,DY$5+GanttPeriod-1&gt;=$E11),"━","")))</f>
        <v/>
      </c>
      <c r="DZ11" s="69" t="str">
        <f aca="false">IF($E11="","",IF($M11,IF(AND($G11&gt;=DZ$5,$G11&lt;DZ$5+GanttPeriod),"◆",IF(AND($E11&gt;=DZ$5,$E11&lt;DZ$5+GanttPeriod),"◇","")),IF(AND(DZ$5&lt;=$F11,DZ$5+GanttPeriod-1&gt;=$E11),"━","")))</f>
        <v/>
      </c>
      <c r="EA11" s="69" t="str">
        <f aca="false">IF($E11="","",IF($M11,IF(AND($G11&gt;=EA$5,$G11&lt;EA$5+GanttPeriod),"◆",IF(AND($E11&gt;=EA$5,$E11&lt;EA$5+GanttPeriod),"◇","")),IF(AND(EA$5&lt;=$F11,EA$5+GanttPeriod-1&gt;=$E11),"━","")))</f>
        <v/>
      </c>
      <c r="EB11" s="69" t="str">
        <f aca="false">IF($E11="","",IF($M11,IF(AND($G11&gt;=EB$5,$G11&lt;EB$5+GanttPeriod),"◆",IF(AND($E11&gt;=EB$5,$E11&lt;EB$5+GanttPeriod),"◇","")),IF(AND(EB$5&lt;=$F11,EB$5+GanttPeriod-1&gt;=$E11),"━","")))</f>
        <v/>
      </c>
      <c r="EC11" s="69" t="str">
        <f aca="false">IF($E11="","",IF($M11,IF(AND($G11&gt;=EC$5,$G11&lt;EC$5+GanttPeriod),"◆",IF(AND($E11&gt;=EC$5,$E11&lt;EC$5+GanttPeriod),"◇","")),IF(AND(EC$5&lt;=$F11,EC$5+GanttPeriod-1&gt;=$E11),"━","")))</f>
        <v/>
      </c>
      <c r="ED11" s="69" t="str">
        <f aca="false">IF($E11="","",IF($M11,IF(AND($G11&gt;=ED$5,$G11&lt;ED$5+GanttPeriod),"◆",IF(AND($E11&gt;=ED$5,$E11&lt;ED$5+GanttPeriod),"◇","")),IF(AND(ED$5&lt;=$F11,ED$5+GanttPeriod-1&gt;=$E11),"━","")))</f>
        <v/>
      </c>
      <c r="EE11" s="69" t="str">
        <f aca="false">IF($E11="","",IF($M11,IF(AND($G11&gt;=EE$5,$G11&lt;EE$5+GanttPeriod),"◆",IF(AND($E11&gt;=EE$5,$E11&lt;EE$5+GanttPeriod),"◇","")),IF(AND(EE$5&lt;=$F11,EE$5+GanttPeriod-1&gt;=$E11),"━","")))</f>
        <v/>
      </c>
      <c r="EF11" s="69" t="str">
        <f aca="false">IF($E11="","",IF($M11,IF(AND($G11&gt;=EF$5,$G11&lt;EF$5+GanttPeriod),"◆",IF(AND($E11&gt;=EF$5,$E11&lt;EF$5+GanttPeriod),"◇","")),IF(AND(EF$5&lt;=$F11,EF$5+GanttPeriod-1&gt;=$E11),"━","")))</f>
        <v/>
      </c>
      <c r="EG11" s="69" t="str">
        <f aca="false">IF($E11="","",IF($M11,IF(AND($G11&gt;=EG$5,$G11&lt;EG$5+GanttPeriod),"◆",IF(AND($E11&gt;=EG$5,$E11&lt;EG$5+GanttPeriod),"◇","")),IF(AND(EG$5&lt;=$F11,EG$5+GanttPeriod-1&gt;=$E11),"━","")))</f>
        <v/>
      </c>
      <c r="EH11" s="69" t="str">
        <f aca="false">IF($E11="","",IF($M11,IF(AND($G11&gt;=EH$5,$G11&lt;EH$5+GanttPeriod),"◆",IF(AND($E11&gt;=EH$5,$E11&lt;EH$5+GanttPeriod),"◇","")),IF(AND(EH$5&lt;=$F11,EH$5+GanttPeriod-1&gt;=$E11),"━","")))</f>
        <v/>
      </c>
      <c r="EI11" s="69" t="str">
        <f aca="false">IF($E11="","",IF($M11,IF(AND($G11&gt;=EI$5,$G11&lt;EI$5+GanttPeriod),"◆",IF(AND($E11&gt;=EI$5,$E11&lt;EI$5+GanttPeriod),"◇","")),IF(AND(EI$5&lt;=$F11,EI$5+GanttPeriod-1&gt;=$E11),"━","")))</f>
        <v/>
      </c>
      <c r="EJ11" s="69" t="str">
        <f aca="false">IF($E11="","",IF($M11,IF(AND($G11&gt;=EJ$5,$G11&lt;EJ$5+GanttPeriod),"◆",IF(AND($E11&gt;=EJ$5,$E11&lt;EJ$5+GanttPeriod),"◇","")),IF(AND(EJ$5&lt;=$F11,EJ$5+GanttPeriod-1&gt;=$E11),"━","")))</f>
        <v/>
      </c>
      <c r="EK11" s="69" t="str">
        <f aca="false">IF($E11="","",IF($M11,IF(AND($G11&gt;=EK$5,$G11&lt;EK$5+GanttPeriod),"◆",IF(AND($E11&gt;=EK$5,$E11&lt;EK$5+GanttPeriod),"◇","")),IF(AND(EK$5&lt;=$F11,EK$5+GanttPeriod-1&gt;=$E11),"━","")))</f>
        <v/>
      </c>
      <c r="EL11" s="69" t="str">
        <f aca="false">IF($E11="","",IF($M11,IF(AND($G11&gt;=EL$5,$G11&lt;EL$5+GanttPeriod),"◆",IF(AND($E11&gt;=EL$5,$E11&lt;EL$5+GanttPeriod),"◇","")),IF(AND(EL$5&lt;=$F11,EL$5+GanttPeriod-1&gt;=$E11),"━","")))</f>
        <v/>
      </c>
      <c r="EM11" s="69" t="str">
        <f aca="false">IF($E11="","",IF($M11,IF(AND($G11&gt;=EM$5,$G11&lt;EM$5+GanttPeriod),"◆",IF(AND($E11&gt;=EM$5,$E11&lt;EM$5+GanttPeriod),"◇","")),IF(AND(EM$5&lt;=$F11,EM$5+GanttPeriod-1&gt;=$E11),"━","")))</f>
        <v/>
      </c>
      <c r="EN11" s="69" t="str">
        <f aca="false">IF($E11="","",IF($M11,IF(AND($G11&gt;=EN$5,$G11&lt;EN$5+GanttPeriod),"◆",IF(AND($E11&gt;=EN$5,$E11&lt;EN$5+GanttPeriod),"◇","")),IF(AND(EN$5&lt;=$F11,EN$5+GanttPeriod-1&gt;=$E11),"━","")))</f>
        <v/>
      </c>
      <c r="EO11" s="69" t="str">
        <f aca="false">IF($E11="","",IF($M11,IF(AND($G11&gt;=EO$5,$G11&lt;EO$5+GanttPeriod),"◆",IF(AND($E11&gt;=EO$5,$E11&lt;EO$5+GanttPeriod),"◇","")),IF(AND(EO$5&lt;=$F11,EO$5+GanttPeriod-1&gt;=$E11),"━","")))</f>
        <v/>
      </c>
      <c r="EP11" s="69" t="str">
        <f aca="false">IF($E11="","",IF($M11,IF(AND($G11&gt;=EP$5,$G11&lt;EP$5+GanttPeriod),"◆",IF(AND($E11&gt;=EP$5,$E11&lt;EP$5+GanttPeriod),"◇","")),IF(AND(EP$5&lt;=$F11,EP$5+GanttPeriod-1&gt;=$E11),"━","")))</f>
        <v/>
      </c>
      <c r="EQ11" s="69" t="str">
        <f aca="false">IF($E11="","",IF($M11,IF(AND($G11&gt;=EQ$5,$G11&lt;EQ$5+GanttPeriod),"◆",IF(AND($E11&gt;=EQ$5,$E11&lt;EQ$5+GanttPeriod),"◇","")),IF(AND(EQ$5&lt;=$F11,EQ$5+GanttPeriod-1&gt;=$E11),"━","")))</f>
        <v/>
      </c>
      <c r="ER11" s="69" t="str">
        <f aca="false">IF($E11="","",IF($M11,IF(AND($G11&gt;=ER$5,$G11&lt;ER$5+GanttPeriod),"◆",IF(AND($E11&gt;=ER$5,$E11&lt;ER$5+GanttPeriod),"◇","")),IF(AND(ER$5&lt;=$F11,ER$5+GanttPeriod-1&gt;=$E11),"━","")))</f>
        <v/>
      </c>
      <c r="ES11" s="69" t="str">
        <f aca="false">IF($E11="","",IF($M11,IF(AND($G11&gt;=ES$5,$G11&lt;ES$5+GanttPeriod),"◆",IF(AND($E11&gt;=ES$5,$E11&lt;ES$5+GanttPeriod),"◇","")),IF(AND(ES$5&lt;=$F11,ES$5+GanttPeriod-1&gt;=$E11),"━","")))</f>
        <v/>
      </c>
      <c r="ET11" s="69" t="str">
        <f aca="false">IF($E11="","",IF($M11,IF(AND($G11&gt;=ET$5,$G11&lt;ET$5+GanttPeriod),"◆",IF(AND($E11&gt;=ET$5,$E11&lt;ET$5+GanttPeriod),"◇","")),IF(AND(ET$5&lt;=$F11,ET$5+GanttPeriod-1&gt;=$E11),"━","")))</f>
        <v/>
      </c>
      <c r="EU11" s="69" t="str">
        <f aca="false">IF($E11="","",IF($M11,IF(AND($G11&gt;=EU$5,$G11&lt;EU$5+GanttPeriod),"◆",IF(AND($E11&gt;=EU$5,$E11&lt;EU$5+GanttPeriod),"◇","")),IF(AND(EU$5&lt;=$F11,EU$5+GanttPeriod-1&gt;=$E11),"━","")))</f>
        <v/>
      </c>
      <c r="EV11" s="69" t="str">
        <f aca="false">IF($E11="","",IF($M11,IF(AND($G11&gt;=EV$5,$G11&lt;EV$5+GanttPeriod),"◆",IF(AND($E11&gt;=EV$5,$E11&lt;EV$5+GanttPeriod),"◇","")),IF(AND(EV$5&lt;=$F11,EV$5+GanttPeriod-1&gt;=$E11),"━","")))</f>
        <v/>
      </c>
      <c r="EW11" s="69" t="str">
        <f aca="false">IF($E11="","",IF($M11,IF(AND($G11&gt;=EW$5,$G11&lt;EW$5+GanttPeriod),"◆",IF(AND($E11&gt;=EW$5,$E11&lt;EW$5+GanttPeriod),"◇","")),IF(AND(EW$5&lt;=$F11,EW$5+GanttPeriod-1&gt;=$E11),"━","")))</f>
        <v/>
      </c>
      <c r="EX11" s="69" t="str">
        <f aca="false">IF($E11="","",IF($M11,IF(AND($G11&gt;=EX$5,$G11&lt;EX$5+GanttPeriod),"◆",IF(AND($E11&gt;=EX$5,$E11&lt;EX$5+GanttPeriod),"◇","")),IF(AND(EX$5&lt;=$F11,EX$5+GanttPeriod-1&gt;=$E11),"━","")))</f>
        <v/>
      </c>
      <c r="EY11" s="69" t="str">
        <f aca="false">IF($E11="","",IF($M11,IF(AND($G11&gt;=EY$5,$G11&lt;EY$5+GanttPeriod),"◆",IF(AND($E11&gt;=EY$5,$E11&lt;EY$5+GanttPeriod),"◇","")),IF(AND(EY$5&lt;=$F11,EY$5+GanttPeriod-1&gt;=$E11),"━","")))</f>
        <v/>
      </c>
      <c r="EZ11" s="69" t="str">
        <f aca="false">IF($E11="","",IF($M11,IF(AND($G11&gt;=EZ$5,$G11&lt;EZ$5+GanttPeriod),"◆",IF(AND($E11&gt;=EZ$5,$E11&lt;EZ$5+GanttPeriod),"◇","")),IF(AND(EZ$5&lt;=$F11,EZ$5+GanttPeriod-1&gt;=$E11),"━","")))</f>
        <v/>
      </c>
      <c r="FA11" s="69" t="str">
        <f aca="false">IF($E11="","",IF($M11,IF(AND($G11&gt;=FA$5,$G11&lt;FA$5+GanttPeriod),"◆",IF(AND($E11&gt;=FA$5,$E11&lt;FA$5+GanttPeriod),"◇","")),IF(AND(FA$5&lt;=$F11,FA$5+GanttPeriod-1&gt;=$E11),"━","")))</f>
        <v/>
      </c>
      <c r="FB11" s="69" t="str">
        <f aca="false">IF($E11="","",IF($M11,IF(AND($G11&gt;=FB$5,$G11&lt;FB$5+GanttPeriod),"◆",IF(AND($E11&gt;=FB$5,$E11&lt;FB$5+GanttPeriod),"◇","")),IF(AND(FB$5&lt;=$F11,FB$5+GanttPeriod-1&gt;=$E11),"━","")))</f>
        <v/>
      </c>
      <c r="FC11" s="69" t="str">
        <f aca="false">IF($E11="","",IF($M11,IF(AND($G11&gt;=FC$5,$G11&lt;FC$5+GanttPeriod),"◆",IF(AND($E11&gt;=FC$5,$E11&lt;FC$5+GanttPeriod),"◇","")),IF(AND(FC$5&lt;=$F11,FC$5+GanttPeriod-1&gt;=$E11),"━","")))</f>
        <v/>
      </c>
      <c r="FD11" s="69" t="str">
        <f aca="false">IF($E11="","",IF($M11,IF(AND($G11&gt;=FD$5,$G11&lt;FD$5+GanttPeriod),"◆",IF(AND($E11&gt;=FD$5,$E11&lt;FD$5+GanttPeriod),"◇","")),IF(AND(FD$5&lt;=$F11,FD$5+GanttPeriod-1&gt;=$E11),"━","")))</f>
        <v/>
      </c>
      <c r="FE11" s="69" t="str">
        <f aca="false">IF($E11="","",IF($M11,IF(AND($G11&gt;=FE$5,$G11&lt;FE$5+GanttPeriod),"◆",IF(AND($E11&gt;=FE$5,$E11&lt;FE$5+GanttPeriod),"◇","")),IF(AND(FE$5&lt;=$F11,FE$5+GanttPeriod-1&gt;=$E11),"━","")))</f>
        <v/>
      </c>
      <c r="FF11" s="69" t="str">
        <f aca="false">IF($E11="","",IF($M11,IF(AND($G11&gt;=FF$5,$G11&lt;FF$5+GanttPeriod),"◆",IF(AND($E11&gt;=FF$5,$E11&lt;FF$5+GanttPeriod),"◇","")),IF(AND(FF$5&lt;=$F11,FF$5+GanttPeriod-1&gt;=$E11),"━","")))</f>
        <v/>
      </c>
      <c r="FG11" s="69" t="str">
        <f aca="false">IF($E11="","",IF($M11,IF(AND($G11&gt;=FG$5,$G11&lt;FG$5+GanttPeriod),"◆",IF(AND($E11&gt;=FG$5,$E11&lt;FG$5+GanttPeriod),"◇","")),IF(AND(FG$5&lt;=$F11,FG$5+GanttPeriod-1&gt;=$E11),"━","")))</f>
        <v/>
      </c>
      <c r="FH11" s="69" t="str">
        <f aca="false">IF($E11="","",IF($M11,IF(AND($G11&gt;=FH$5,$G11&lt;FH$5+GanttPeriod),"◆",IF(AND($E11&gt;=FH$5,$E11&lt;FH$5+GanttPeriod),"◇","")),IF(AND(FH$5&lt;=$F11,FH$5+GanttPeriod-1&gt;=$E11),"━","")))</f>
        <v/>
      </c>
      <c r="FI11" s="69" t="str">
        <f aca="false">IF($E11="","",IF($M11,IF(AND($G11&gt;=FI$5,$G11&lt;FI$5+GanttPeriod),"◆",IF(AND($E11&gt;=FI$5,$E11&lt;FI$5+GanttPeriod),"◇","")),IF(AND(FI$5&lt;=$F11,FI$5+GanttPeriod-1&gt;=$E11),"━","")))</f>
        <v/>
      </c>
      <c r="FJ11" s="69" t="str">
        <f aca="false">IF($E11="","",IF($M11,IF(AND($G11&gt;=FJ$5,$G11&lt;FJ$5+GanttPeriod),"◆",IF(AND($E11&gt;=FJ$5,$E11&lt;FJ$5+GanttPeriod),"◇","")),IF(AND(FJ$5&lt;=$F11,FJ$5+GanttPeriod-1&gt;=$E11),"━","")))</f>
        <v/>
      </c>
      <c r="FK11" s="69" t="str">
        <f aca="false">IF($E11="","",IF($M11,IF(AND($G11&gt;=FK$5,$G11&lt;FK$5+GanttPeriod),"◆",IF(AND($E11&gt;=FK$5,$E11&lt;FK$5+GanttPeriod),"◇","")),IF(AND(FK$5&lt;=$F11,FK$5+GanttPeriod-1&gt;=$E11),"━","")))</f>
        <v/>
      </c>
      <c r="FL11" s="69" t="str">
        <f aca="false">IF($E11="","",IF($M11,IF(AND($G11&gt;=FL$5,$G11&lt;FL$5+GanttPeriod),"◆",IF(AND($E11&gt;=FL$5,$E11&lt;FL$5+GanttPeriod),"◇","")),IF(AND(FL$5&lt;=$F11,FL$5+GanttPeriod-1&gt;=$E11),"━","")))</f>
        <v/>
      </c>
      <c r="FM11" s="69" t="str">
        <f aca="false">IF($E11="","",IF($M11,IF(AND($G11&gt;=FM$5,$G11&lt;FM$5+GanttPeriod),"◆",IF(AND($E11&gt;=FM$5,$E11&lt;FM$5+GanttPeriod),"◇","")),IF(AND(FM$5&lt;=$F11,FM$5+GanttPeriod-1&gt;=$E11),"━","")))</f>
        <v/>
      </c>
    </row>
    <row r="12" customFormat="false" ht="15" hidden="false" customHeight="false" outlineLevel="0" collapsed="false">
      <c r="A12" s="62" t="n">
        <f aca="false">IF(Tasks!$D12="","",Tasks!$A12)</f>
        <v>7</v>
      </c>
      <c r="B12" s="62" t="str">
        <f aca="false">IF(Tasks!$D12="","",Tasks!$B12)</f>
        <v>2.2</v>
      </c>
      <c r="C12" s="63" t="str">
        <f aca="false">IF(Tasks!$D12="","",REPT("    ",Tasks!$AE12-1)&amp;Tasks!$D12)</f>
        <v>    Solution architecture</v>
      </c>
      <c r="D12" s="62" t="n">
        <f aca="false">IF(Tasks!$D12="","",IF(Tasks!$AI12,NETWORKDAYS.INTL(Tasks!$R12,Tasks!$S12,WorkWeek,Holidays),N(Tasks!$F12)))</f>
        <v>5</v>
      </c>
      <c r="E12" s="64" t="n">
        <f aca="false">IF(Tasks!$D12="","",Tasks!$N12)</f>
        <v>46282</v>
      </c>
      <c r="F12" s="64" t="n">
        <f aca="false">IF(Tasks!$D12="","",Tasks!$O12)</f>
        <v>46288</v>
      </c>
      <c r="G12" s="64" t="n">
        <f aca="false">IF(Tasks!$D12="","",Tasks!$R12)</f>
        <v>46283</v>
      </c>
      <c r="H12" s="64" t="n">
        <f aca="false">IF(Tasks!$D12="","",Tasks!$S12)</f>
        <v>46290</v>
      </c>
      <c r="I12" s="65" t="n">
        <f aca="false">IF(Tasks!$D12="","",Tasks!$V12)</f>
        <v>1</v>
      </c>
      <c r="J12" s="63" t="str">
        <f aca="false">IF(Tasks!$D12="","",Tasks!$X12&amp;"")</f>
        <v>Alex Chen</v>
      </c>
      <c r="K12" s="66" t="str">
        <f aca="false">IF(Tasks!$D12="","",Tasks!$W12)</f>
        <v>Complete</v>
      </c>
      <c r="L12" s="67" t="b">
        <f aca="false">IF(Tasks!$D12="",FALSE(),Tasks!$AI12)</f>
        <v>0</v>
      </c>
      <c r="M12" s="67" t="b">
        <f aca="false">AND(Tasks!$AJ12=1,N(Tasks!$F12)=0)</f>
        <v>0</v>
      </c>
      <c r="N12" s="68" t="n">
        <f aca="false">IF(AND(Tasks!$AJ12=1,NOT($M12),N($I12)&gt;0),$G12,0)</f>
        <v>46283</v>
      </c>
      <c r="O12" s="68" t="n">
        <f aca="false">IF($N12=0,0,IF($I12&gt;=1,$H12,MAX($N12,$G12+ROUND(($H12-$G12+1)*$I12,0)-1)))</f>
        <v>46290</v>
      </c>
      <c r="P12" s="68" t="n">
        <f aca="false">IF(OR(Tasks!$AJ12&lt;&gt;1,$M12,N($I12)&gt;=1),0,IF($O12&gt;0,$O12+1,$G12))</f>
        <v>0</v>
      </c>
      <c r="Q12" s="68" t="n">
        <f aca="false">IF($P12=0,0,$H12)</f>
        <v>0</v>
      </c>
      <c r="R12" s="67" t="b">
        <f aca="false">AND(Tasks!$D12&lt;&gt;"",N(Tasks!$T12)&gt;0)</f>
        <v>1</v>
      </c>
      <c r="T12" s="69" t="str">
        <f aca="false">IF($E12="","",IF($M12,IF(AND($G12&gt;=T$5,$G12&lt;T$5+GanttPeriod),"◆",IF(AND($E12&gt;=T$5,$E12&lt;T$5+GanttPeriod),"◇","")),IF(AND(T$5&lt;=$F12,T$5+GanttPeriod-1&gt;=$E12),"━","")))</f>
        <v/>
      </c>
      <c r="U12" s="69" t="str">
        <f aca="false">IF($E12="","",IF($M12,IF(AND($G12&gt;=U$5,$G12&lt;U$5+GanttPeriod),"◆",IF(AND($E12&gt;=U$5,$E12&lt;U$5+GanttPeriod),"◇","")),IF(AND(U$5&lt;=$F12,U$5+GanttPeriod-1&gt;=$E12),"━","")))</f>
        <v/>
      </c>
      <c r="V12" s="69" t="str">
        <f aca="false">IF($E12="","",IF($M12,IF(AND($G12&gt;=V$5,$G12&lt;V$5+GanttPeriod),"◆",IF(AND($E12&gt;=V$5,$E12&lt;V$5+GanttPeriod),"◇","")),IF(AND(V$5&lt;=$F12,V$5+GanttPeriod-1&gt;=$E12),"━","")))</f>
        <v/>
      </c>
      <c r="W12" s="69" t="str">
        <f aca="false">IF($E12="","",IF($M12,IF(AND($G12&gt;=W$5,$G12&lt;W$5+GanttPeriod),"◆",IF(AND($E12&gt;=W$5,$E12&lt;W$5+GanttPeriod),"◇","")),IF(AND(W$5&lt;=$F12,W$5+GanttPeriod-1&gt;=$E12),"━","")))</f>
        <v/>
      </c>
      <c r="X12" s="69" t="str">
        <f aca="false">IF($E12="","",IF($M12,IF(AND($G12&gt;=X$5,$G12&lt;X$5+GanttPeriod),"◆",IF(AND($E12&gt;=X$5,$E12&lt;X$5+GanttPeriod),"◇","")),IF(AND(X$5&lt;=$F12,X$5+GanttPeriod-1&gt;=$E12),"━","")))</f>
        <v/>
      </c>
      <c r="Y12" s="69" t="str">
        <f aca="false">IF($E12="","",IF($M12,IF(AND($G12&gt;=Y$5,$G12&lt;Y$5+GanttPeriod),"◆",IF(AND($E12&gt;=Y$5,$E12&lt;Y$5+GanttPeriod),"◇","")),IF(AND(Y$5&lt;=$F12,Y$5+GanttPeriod-1&gt;=$E12),"━","")))</f>
        <v/>
      </c>
      <c r="Z12" s="69" t="str">
        <f aca="false">IF($E12="","",IF($M12,IF(AND($G12&gt;=Z$5,$G12&lt;Z$5+GanttPeriod),"◆",IF(AND($E12&gt;=Z$5,$E12&lt;Z$5+GanttPeriod),"◇","")),IF(AND(Z$5&lt;=$F12,Z$5+GanttPeriod-1&gt;=$E12),"━","")))</f>
        <v/>
      </c>
      <c r="AA12" s="69" t="str">
        <f aca="false">IF($E12="","",IF($M12,IF(AND($G12&gt;=AA$5,$G12&lt;AA$5+GanttPeriod),"◆",IF(AND($E12&gt;=AA$5,$E12&lt;AA$5+GanttPeriod),"◇","")),IF(AND(AA$5&lt;=$F12,AA$5+GanttPeriod-1&gt;=$E12),"━","")))</f>
        <v/>
      </c>
      <c r="AB12" s="69" t="str">
        <f aca="false">IF($E12="","",IF($M12,IF(AND($G12&gt;=AB$5,$G12&lt;AB$5+GanttPeriod),"◆",IF(AND($E12&gt;=AB$5,$E12&lt;AB$5+GanttPeriod),"◇","")),IF(AND(AB$5&lt;=$F12,AB$5+GanttPeriod-1&gt;=$E12),"━","")))</f>
        <v/>
      </c>
      <c r="AC12" s="69" t="str">
        <f aca="false">IF($E12="","",IF($M12,IF(AND($G12&gt;=AC$5,$G12&lt;AC$5+GanttPeriod),"◆",IF(AND($E12&gt;=AC$5,$E12&lt;AC$5+GanttPeriod),"◇","")),IF(AND(AC$5&lt;=$F12,AC$5+GanttPeriod-1&gt;=$E12),"━","")))</f>
        <v/>
      </c>
      <c r="AD12" s="69" t="str">
        <f aca="false">IF($E12="","",IF($M12,IF(AND($G12&gt;=AD$5,$G12&lt;AD$5+GanttPeriod),"◆",IF(AND($E12&gt;=AD$5,$E12&lt;AD$5+GanttPeriod),"◇","")),IF(AND(AD$5&lt;=$F12,AD$5+GanttPeriod-1&gt;=$E12),"━","")))</f>
        <v>━</v>
      </c>
      <c r="AE12" s="69" t="str">
        <f aca="false">IF($E12="","",IF($M12,IF(AND($G12&gt;=AE$5,$G12&lt;AE$5+GanttPeriod),"◆",IF(AND($E12&gt;=AE$5,$E12&lt;AE$5+GanttPeriod),"◇","")),IF(AND(AE$5&lt;=$F12,AE$5+GanttPeriod-1&gt;=$E12),"━","")))</f>
        <v>━</v>
      </c>
      <c r="AF12" s="69" t="str">
        <f aca="false">IF($E12="","",IF($M12,IF(AND($G12&gt;=AF$5,$G12&lt;AF$5+GanttPeriod),"◆",IF(AND($E12&gt;=AF$5,$E12&lt;AF$5+GanttPeriod),"◇","")),IF(AND(AF$5&lt;=$F12,AF$5+GanttPeriod-1&gt;=$E12),"━","")))</f>
        <v>━</v>
      </c>
      <c r="AG12" s="69" t="str">
        <f aca="false">IF($E12="","",IF($M12,IF(AND($G12&gt;=AG$5,$G12&lt;AG$5+GanttPeriod),"◆",IF(AND($E12&gt;=AG$5,$E12&lt;AG$5+GanttPeriod),"◇","")),IF(AND(AG$5&lt;=$F12,AG$5+GanttPeriod-1&gt;=$E12),"━","")))</f>
        <v>━</v>
      </c>
      <c r="AH12" s="69" t="str">
        <f aca="false">IF($E12="","",IF($M12,IF(AND($G12&gt;=AH$5,$G12&lt;AH$5+GanttPeriod),"◆",IF(AND($E12&gt;=AH$5,$E12&lt;AH$5+GanttPeriod),"◇","")),IF(AND(AH$5&lt;=$F12,AH$5+GanttPeriod-1&gt;=$E12),"━","")))</f>
        <v>━</v>
      </c>
      <c r="AI12" s="69" t="str">
        <f aca="false">IF($E12="","",IF($M12,IF(AND($G12&gt;=AI$5,$G12&lt;AI$5+GanttPeriod),"◆",IF(AND($E12&gt;=AI$5,$E12&lt;AI$5+GanttPeriod),"◇","")),IF(AND(AI$5&lt;=$F12,AI$5+GanttPeriod-1&gt;=$E12),"━","")))</f>
        <v>━</v>
      </c>
      <c r="AJ12" s="69" t="str">
        <f aca="false">IF($E12="","",IF($M12,IF(AND($G12&gt;=AJ$5,$G12&lt;AJ$5+GanttPeriod),"◆",IF(AND($E12&gt;=AJ$5,$E12&lt;AJ$5+GanttPeriod),"◇","")),IF(AND(AJ$5&lt;=$F12,AJ$5+GanttPeriod-1&gt;=$E12),"━","")))</f>
        <v>━</v>
      </c>
      <c r="AK12" s="69" t="str">
        <f aca="false">IF($E12="","",IF($M12,IF(AND($G12&gt;=AK$5,$G12&lt;AK$5+GanttPeriod),"◆",IF(AND($E12&gt;=AK$5,$E12&lt;AK$5+GanttPeriod),"◇","")),IF(AND(AK$5&lt;=$F12,AK$5+GanttPeriod-1&gt;=$E12),"━","")))</f>
        <v/>
      </c>
      <c r="AL12" s="69" t="str">
        <f aca="false">IF($E12="","",IF($M12,IF(AND($G12&gt;=AL$5,$G12&lt;AL$5+GanttPeriod),"◆",IF(AND($E12&gt;=AL$5,$E12&lt;AL$5+GanttPeriod),"◇","")),IF(AND(AL$5&lt;=$F12,AL$5+GanttPeriod-1&gt;=$E12),"━","")))</f>
        <v/>
      </c>
      <c r="AM12" s="69" t="str">
        <f aca="false">IF($E12="","",IF($M12,IF(AND($G12&gt;=AM$5,$G12&lt;AM$5+GanttPeriod),"◆",IF(AND($E12&gt;=AM$5,$E12&lt;AM$5+GanttPeriod),"◇","")),IF(AND(AM$5&lt;=$F12,AM$5+GanttPeriod-1&gt;=$E12),"━","")))</f>
        <v/>
      </c>
      <c r="AN12" s="69" t="str">
        <f aca="false">IF($E12="","",IF($M12,IF(AND($G12&gt;=AN$5,$G12&lt;AN$5+GanttPeriod),"◆",IF(AND($E12&gt;=AN$5,$E12&lt;AN$5+GanttPeriod),"◇","")),IF(AND(AN$5&lt;=$F12,AN$5+GanttPeriod-1&gt;=$E12),"━","")))</f>
        <v/>
      </c>
      <c r="AO12" s="69" t="str">
        <f aca="false">IF($E12="","",IF($M12,IF(AND($G12&gt;=AO$5,$G12&lt;AO$5+GanttPeriod),"◆",IF(AND($E12&gt;=AO$5,$E12&lt;AO$5+GanttPeriod),"◇","")),IF(AND(AO$5&lt;=$F12,AO$5+GanttPeriod-1&gt;=$E12),"━","")))</f>
        <v/>
      </c>
      <c r="AP12" s="69" t="str">
        <f aca="false">IF($E12="","",IF($M12,IF(AND($G12&gt;=AP$5,$G12&lt;AP$5+GanttPeriod),"◆",IF(AND($E12&gt;=AP$5,$E12&lt;AP$5+GanttPeriod),"◇","")),IF(AND(AP$5&lt;=$F12,AP$5+GanttPeriod-1&gt;=$E12),"━","")))</f>
        <v/>
      </c>
      <c r="AQ12" s="69" t="str">
        <f aca="false">IF($E12="","",IF($M12,IF(AND($G12&gt;=AQ$5,$G12&lt;AQ$5+GanttPeriod),"◆",IF(AND($E12&gt;=AQ$5,$E12&lt;AQ$5+GanttPeriod),"◇","")),IF(AND(AQ$5&lt;=$F12,AQ$5+GanttPeriod-1&gt;=$E12),"━","")))</f>
        <v/>
      </c>
      <c r="AR12" s="69" t="str">
        <f aca="false">IF($E12="","",IF($M12,IF(AND($G12&gt;=AR$5,$G12&lt;AR$5+GanttPeriod),"◆",IF(AND($E12&gt;=AR$5,$E12&lt;AR$5+GanttPeriod),"◇","")),IF(AND(AR$5&lt;=$F12,AR$5+GanttPeriod-1&gt;=$E12),"━","")))</f>
        <v/>
      </c>
      <c r="AS12" s="69" t="str">
        <f aca="false">IF($E12="","",IF($M12,IF(AND($G12&gt;=AS$5,$G12&lt;AS$5+GanttPeriod),"◆",IF(AND($E12&gt;=AS$5,$E12&lt;AS$5+GanttPeriod),"◇","")),IF(AND(AS$5&lt;=$F12,AS$5+GanttPeriod-1&gt;=$E12),"━","")))</f>
        <v/>
      </c>
      <c r="AT12" s="69" t="str">
        <f aca="false">IF($E12="","",IF($M12,IF(AND($G12&gt;=AT$5,$G12&lt;AT$5+GanttPeriod),"◆",IF(AND($E12&gt;=AT$5,$E12&lt;AT$5+GanttPeriod),"◇","")),IF(AND(AT$5&lt;=$F12,AT$5+GanttPeriod-1&gt;=$E12),"━","")))</f>
        <v/>
      </c>
      <c r="AU12" s="69" t="str">
        <f aca="false">IF($E12="","",IF($M12,IF(AND($G12&gt;=AU$5,$G12&lt;AU$5+GanttPeriod),"◆",IF(AND($E12&gt;=AU$5,$E12&lt;AU$5+GanttPeriod),"◇","")),IF(AND(AU$5&lt;=$F12,AU$5+GanttPeriod-1&gt;=$E12),"━","")))</f>
        <v/>
      </c>
      <c r="AV12" s="69" t="str">
        <f aca="false">IF($E12="","",IF($M12,IF(AND($G12&gt;=AV$5,$G12&lt;AV$5+GanttPeriod),"◆",IF(AND($E12&gt;=AV$5,$E12&lt;AV$5+GanttPeriod),"◇","")),IF(AND(AV$5&lt;=$F12,AV$5+GanttPeriod-1&gt;=$E12),"━","")))</f>
        <v/>
      </c>
      <c r="AW12" s="69" t="str">
        <f aca="false">IF($E12="","",IF($M12,IF(AND($G12&gt;=AW$5,$G12&lt;AW$5+GanttPeriod),"◆",IF(AND($E12&gt;=AW$5,$E12&lt;AW$5+GanttPeriod),"◇","")),IF(AND(AW$5&lt;=$F12,AW$5+GanttPeriod-1&gt;=$E12),"━","")))</f>
        <v/>
      </c>
      <c r="AX12" s="69" t="str">
        <f aca="false">IF($E12="","",IF($M12,IF(AND($G12&gt;=AX$5,$G12&lt;AX$5+GanttPeriod),"◆",IF(AND($E12&gt;=AX$5,$E12&lt;AX$5+GanttPeriod),"◇","")),IF(AND(AX$5&lt;=$F12,AX$5+GanttPeriod-1&gt;=$E12),"━","")))</f>
        <v/>
      </c>
      <c r="AY12" s="69" t="str">
        <f aca="false">IF($E12="","",IF($M12,IF(AND($G12&gt;=AY$5,$G12&lt;AY$5+GanttPeriod),"◆",IF(AND($E12&gt;=AY$5,$E12&lt;AY$5+GanttPeriod),"◇","")),IF(AND(AY$5&lt;=$F12,AY$5+GanttPeriod-1&gt;=$E12),"━","")))</f>
        <v/>
      </c>
      <c r="AZ12" s="69" t="str">
        <f aca="false">IF($E12="","",IF($M12,IF(AND($G12&gt;=AZ$5,$G12&lt;AZ$5+GanttPeriod),"◆",IF(AND($E12&gt;=AZ$5,$E12&lt;AZ$5+GanttPeriod),"◇","")),IF(AND(AZ$5&lt;=$F12,AZ$5+GanttPeriod-1&gt;=$E12),"━","")))</f>
        <v/>
      </c>
      <c r="BA12" s="69" t="str">
        <f aca="false">IF($E12="","",IF($M12,IF(AND($G12&gt;=BA$5,$G12&lt;BA$5+GanttPeriod),"◆",IF(AND($E12&gt;=BA$5,$E12&lt;BA$5+GanttPeriod),"◇","")),IF(AND(BA$5&lt;=$F12,BA$5+GanttPeriod-1&gt;=$E12),"━","")))</f>
        <v/>
      </c>
      <c r="BB12" s="69" t="str">
        <f aca="false">IF($E12="","",IF($M12,IF(AND($G12&gt;=BB$5,$G12&lt;BB$5+GanttPeriod),"◆",IF(AND($E12&gt;=BB$5,$E12&lt;BB$5+GanttPeriod),"◇","")),IF(AND(BB$5&lt;=$F12,BB$5+GanttPeriod-1&gt;=$E12),"━","")))</f>
        <v/>
      </c>
      <c r="BC12" s="69" t="str">
        <f aca="false">IF($E12="","",IF($M12,IF(AND($G12&gt;=BC$5,$G12&lt;BC$5+GanttPeriod),"◆",IF(AND($E12&gt;=BC$5,$E12&lt;BC$5+GanttPeriod),"◇","")),IF(AND(BC$5&lt;=$F12,BC$5+GanttPeriod-1&gt;=$E12),"━","")))</f>
        <v/>
      </c>
      <c r="BD12" s="69" t="str">
        <f aca="false">IF($E12="","",IF($M12,IF(AND($G12&gt;=BD$5,$G12&lt;BD$5+GanttPeriod),"◆",IF(AND($E12&gt;=BD$5,$E12&lt;BD$5+GanttPeriod),"◇","")),IF(AND(BD$5&lt;=$F12,BD$5+GanttPeriod-1&gt;=$E12),"━","")))</f>
        <v/>
      </c>
      <c r="BE12" s="69" t="str">
        <f aca="false">IF($E12="","",IF($M12,IF(AND($G12&gt;=BE$5,$G12&lt;BE$5+GanttPeriod),"◆",IF(AND($E12&gt;=BE$5,$E12&lt;BE$5+GanttPeriod),"◇","")),IF(AND(BE$5&lt;=$F12,BE$5+GanttPeriod-1&gt;=$E12),"━","")))</f>
        <v/>
      </c>
      <c r="BF12" s="69" t="str">
        <f aca="false">IF($E12="","",IF($M12,IF(AND($G12&gt;=BF$5,$G12&lt;BF$5+GanttPeriod),"◆",IF(AND($E12&gt;=BF$5,$E12&lt;BF$5+GanttPeriod),"◇","")),IF(AND(BF$5&lt;=$F12,BF$5+GanttPeriod-1&gt;=$E12),"━","")))</f>
        <v/>
      </c>
      <c r="BG12" s="69" t="str">
        <f aca="false">IF($E12="","",IF($M12,IF(AND($G12&gt;=BG$5,$G12&lt;BG$5+GanttPeriod),"◆",IF(AND($E12&gt;=BG$5,$E12&lt;BG$5+GanttPeriod),"◇","")),IF(AND(BG$5&lt;=$F12,BG$5+GanttPeriod-1&gt;=$E12),"━","")))</f>
        <v/>
      </c>
      <c r="BH12" s="69" t="str">
        <f aca="false">IF($E12="","",IF($M12,IF(AND($G12&gt;=BH$5,$G12&lt;BH$5+GanttPeriod),"◆",IF(AND($E12&gt;=BH$5,$E12&lt;BH$5+GanttPeriod),"◇","")),IF(AND(BH$5&lt;=$F12,BH$5+GanttPeriod-1&gt;=$E12),"━","")))</f>
        <v/>
      </c>
      <c r="BI12" s="69" t="str">
        <f aca="false">IF($E12="","",IF($M12,IF(AND($G12&gt;=BI$5,$G12&lt;BI$5+GanttPeriod),"◆",IF(AND($E12&gt;=BI$5,$E12&lt;BI$5+GanttPeriod),"◇","")),IF(AND(BI$5&lt;=$F12,BI$5+GanttPeriod-1&gt;=$E12),"━","")))</f>
        <v/>
      </c>
      <c r="BJ12" s="69" t="str">
        <f aca="false">IF($E12="","",IF($M12,IF(AND($G12&gt;=BJ$5,$G12&lt;BJ$5+GanttPeriod),"◆",IF(AND($E12&gt;=BJ$5,$E12&lt;BJ$5+GanttPeriod),"◇","")),IF(AND(BJ$5&lt;=$F12,BJ$5+GanttPeriod-1&gt;=$E12),"━","")))</f>
        <v/>
      </c>
      <c r="BK12" s="69" t="str">
        <f aca="false">IF($E12="","",IF($M12,IF(AND($G12&gt;=BK$5,$G12&lt;BK$5+GanttPeriod),"◆",IF(AND($E12&gt;=BK$5,$E12&lt;BK$5+GanttPeriod),"◇","")),IF(AND(BK$5&lt;=$F12,BK$5+GanttPeriod-1&gt;=$E12),"━","")))</f>
        <v/>
      </c>
      <c r="BL12" s="69" t="str">
        <f aca="false">IF($E12="","",IF($M12,IF(AND($G12&gt;=BL$5,$G12&lt;BL$5+GanttPeriod),"◆",IF(AND($E12&gt;=BL$5,$E12&lt;BL$5+GanttPeriod),"◇","")),IF(AND(BL$5&lt;=$F12,BL$5+GanttPeriod-1&gt;=$E12),"━","")))</f>
        <v/>
      </c>
      <c r="BM12" s="69" t="str">
        <f aca="false">IF($E12="","",IF($M12,IF(AND($G12&gt;=BM$5,$G12&lt;BM$5+GanttPeriod),"◆",IF(AND($E12&gt;=BM$5,$E12&lt;BM$5+GanttPeriod),"◇","")),IF(AND(BM$5&lt;=$F12,BM$5+GanttPeriod-1&gt;=$E12),"━","")))</f>
        <v/>
      </c>
      <c r="BN12" s="69" t="str">
        <f aca="false">IF($E12="","",IF($M12,IF(AND($G12&gt;=BN$5,$G12&lt;BN$5+GanttPeriod),"◆",IF(AND($E12&gt;=BN$5,$E12&lt;BN$5+GanttPeriod),"◇","")),IF(AND(BN$5&lt;=$F12,BN$5+GanttPeriod-1&gt;=$E12),"━","")))</f>
        <v/>
      </c>
      <c r="BO12" s="69" t="str">
        <f aca="false">IF($E12="","",IF($M12,IF(AND($G12&gt;=BO$5,$G12&lt;BO$5+GanttPeriod),"◆",IF(AND($E12&gt;=BO$5,$E12&lt;BO$5+GanttPeriod),"◇","")),IF(AND(BO$5&lt;=$F12,BO$5+GanttPeriod-1&gt;=$E12),"━","")))</f>
        <v/>
      </c>
      <c r="BP12" s="69" t="str">
        <f aca="false">IF($E12="","",IF($M12,IF(AND($G12&gt;=BP$5,$G12&lt;BP$5+GanttPeriod),"◆",IF(AND($E12&gt;=BP$5,$E12&lt;BP$5+GanttPeriod),"◇","")),IF(AND(BP$5&lt;=$F12,BP$5+GanttPeriod-1&gt;=$E12),"━","")))</f>
        <v/>
      </c>
      <c r="BQ12" s="69" t="str">
        <f aca="false">IF($E12="","",IF($M12,IF(AND($G12&gt;=BQ$5,$G12&lt;BQ$5+GanttPeriod),"◆",IF(AND($E12&gt;=BQ$5,$E12&lt;BQ$5+GanttPeriod),"◇","")),IF(AND(BQ$5&lt;=$F12,BQ$5+GanttPeriod-1&gt;=$E12),"━","")))</f>
        <v/>
      </c>
      <c r="BR12" s="69" t="str">
        <f aca="false">IF($E12="","",IF($M12,IF(AND($G12&gt;=BR$5,$G12&lt;BR$5+GanttPeriod),"◆",IF(AND($E12&gt;=BR$5,$E12&lt;BR$5+GanttPeriod),"◇","")),IF(AND(BR$5&lt;=$F12,BR$5+GanttPeriod-1&gt;=$E12),"━","")))</f>
        <v/>
      </c>
      <c r="BS12" s="69" t="str">
        <f aca="false">IF($E12="","",IF($M12,IF(AND($G12&gt;=BS$5,$G12&lt;BS$5+GanttPeriod),"◆",IF(AND($E12&gt;=BS$5,$E12&lt;BS$5+GanttPeriod),"◇","")),IF(AND(BS$5&lt;=$F12,BS$5+GanttPeriod-1&gt;=$E12),"━","")))</f>
        <v/>
      </c>
      <c r="BT12" s="69" t="str">
        <f aca="false">IF($E12="","",IF($M12,IF(AND($G12&gt;=BT$5,$G12&lt;BT$5+GanttPeriod),"◆",IF(AND($E12&gt;=BT$5,$E12&lt;BT$5+GanttPeriod),"◇","")),IF(AND(BT$5&lt;=$F12,BT$5+GanttPeriod-1&gt;=$E12),"━","")))</f>
        <v/>
      </c>
      <c r="BU12" s="69" t="str">
        <f aca="false">IF($E12="","",IF($M12,IF(AND($G12&gt;=BU$5,$G12&lt;BU$5+GanttPeriod),"◆",IF(AND($E12&gt;=BU$5,$E12&lt;BU$5+GanttPeriod),"◇","")),IF(AND(BU$5&lt;=$F12,BU$5+GanttPeriod-1&gt;=$E12),"━","")))</f>
        <v/>
      </c>
      <c r="BV12" s="69" t="str">
        <f aca="false">IF($E12="","",IF($M12,IF(AND($G12&gt;=BV$5,$G12&lt;BV$5+GanttPeriod),"◆",IF(AND($E12&gt;=BV$5,$E12&lt;BV$5+GanttPeriod),"◇","")),IF(AND(BV$5&lt;=$F12,BV$5+GanttPeriod-1&gt;=$E12),"━","")))</f>
        <v/>
      </c>
      <c r="BW12" s="69" t="str">
        <f aca="false">IF($E12="","",IF($M12,IF(AND($G12&gt;=BW$5,$G12&lt;BW$5+GanttPeriod),"◆",IF(AND($E12&gt;=BW$5,$E12&lt;BW$5+GanttPeriod),"◇","")),IF(AND(BW$5&lt;=$F12,BW$5+GanttPeriod-1&gt;=$E12),"━","")))</f>
        <v/>
      </c>
      <c r="BX12" s="69" t="str">
        <f aca="false">IF($E12="","",IF($M12,IF(AND($G12&gt;=BX$5,$G12&lt;BX$5+GanttPeriod),"◆",IF(AND($E12&gt;=BX$5,$E12&lt;BX$5+GanttPeriod),"◇","")),IF(AND(BX$5&lt;=$F12,BX$5+GanttPeriod-1&gt;=$E12),"━","")))</f>
        <v/>
      </c>
      <c r="BY12" s="69" t="str">
        <f aca="false">IF($E12="","",IF($M12,IF(AND($G12&gt;=BY$5,$G12&lt;BY$5+GanttPeriod),"◆",IF(AND($E12&gt;=BY$5,$E12&lt;BY$5+GanttPeriod),"◇","")),IF(AND(BY$5&lt;=$F12,BY$5+GanttPeriod-1&gt;=$E12),"━","")))</f>
        <v/>
      </c>
      <c r="BZ12" s="69" t="str">
        <f aca="false">IF($E12="","",IF($M12,IF(AND($G12&gt;=BZ$5,$G12&lt;BZ$5+GanttPeriod),"◆",IF(AND($E12&gt;=BZ$5,$E12&lt;BZ$5+GanttPeriod),"◇","")),IF(AND(BZ$5&lt;=$F12,BZ$5+GanttPeriod-1&gt;=$E12),"━","")))</f>
        <v/>
      </c>
      <c r="CA12" s="69" t="str">
        <f aca="false">IF($E12="","",IF($M12,IF(AND($G12&gt;=CA$5,$G12&lt;CA$5+GanttPeriod),"◆",IF(AND($E12&gt;=CA$5,$E12&lt;CA$5+GanttPeriod),"◇","")),IF(AND(CA$5&lt;=$F12,CA$5+GanttPeriod-1&gt;=$E12),"━","")))</f>
        <v/>
      </c>
      <c r="CB12" s="69" t="str">
        <f aca="false">IF($E12="","",IF($M12,IF(AND($G12&gt;=CB$5,$G12&lt;CB$5+GanttPeriod),"◆",IF(AND($E12&gt;=CB$5,$E12&lt;CB$5+GanttPeriod),"◇","")),IF(AND(CB$5&lt;=$F12,CB$5+GanttPeriod-1&gt;=$E12),"━","")))</f>
        <v/>
      </c>
      <c r="CC12" s="69" t="str">
        <f aca="false">IF($E12="","",IF($M12,IF(AND($G12&gt;=CC$5,$G12&lt;CC$5+GanttPeriod),"◆",IF(AND($E12&gt;=CC$5,$E12&lt;CC$5+GanttPeriod),"◇","")),IF(AND(CC$5&lt;=$F12,CC$5+GanttPeriod-1&gt;=$E12),"━","")))</f>
        <v/>
      </c>
      <c r="CD12" s="69" t="str">
        <f aca="false">IF($E12="","",IF($M12,IF(AND($G12&gt;=CD$5,$G12&lt;CD$5+GanttPeriod),"◆",IF(AND($E12&gt;=CD$5,$E12&lt;CD$5+GanttPeriod),"◇","")),IF(AND(CD$5&lt;=$F12,CD$5+GanttPeriod-1&gt;=$E12),"━","")))</f>
        <v/>
      </c>
      <c r="CE12" s="69" t="str">
        <f aca="false">IF($E12="","",IF($M12,IF(AND($G12&gt;=CE$5,$G12&lt;CE$5+GanttPeriod),"◆",IF(AND($E12&gt;=CE$5,$E12&lt;CE$5+GanttPeriod),"◇","")),IF(AND(CE$5&lt;=$F12,CE$5+GanttPeriod-1&gt;=$E12),"━","")))</f>
        <v/>
      </c>
      <c r="CF12" s="69" t="str">
        <f aca="false">IF($E12="","",IF($M12,IF(AND($G12&gt;=CF$5,$G12&lt;CF$5+GanttPeriod),"◆",IF(AND($E12&gt;=CF$5,$E12&lt;CF$5+GanttPeriod),"◇","")),IF(AND(CF$5&lt;=$F12,CF$5+GanttPeriod-1&gt;=$E12),"━","")))</f>
        <v/>
      </c>
      <c r="CG12" s="69" t="str">
        <f aca="false">IF($E12="","",IF($M12,IF(AND($G12&gt;=CG$5,$G12&lt;CG$5+GanttPeriod),"◆",IF(AND($E12&gt;=CG$5,$E12&lt;CG$5+GanttPeriod),"◇","")),IF(AND(CG$5&lt;=$F12,CG$5+GanttPeriod-1&gt;=$E12),"━","")))</f>
        <v/>
      </c>
      <c r="CH12" s="69" t="str">
        <f aca="false">IF($E12="","",IF($M12,IF(AND($G12&gt;=CH$5,$G12&lt;CH$5+GanttPeriod),"◆",IF(AND($E12&gt;=CH$5,$E12&lt;CH$5+GanttPeriod),"◇","")),IF(AND(CH$5&lt;=$F12,CH$5+GanttPeriod-1&gt;=$E12),"━","")))</f>
        <v/>
      </c>
      <c r="CI12" s="69" t="str">
        <f aca="false">IF($E12="","",IF($M12,IF(AND($G12&gt;=CI$5,$G12&lt;CI$5+GanttPeriod),"◆",IF(AND($E12&gt;=CI$5,$E12&lt;CI$5+GanttPeriod),"◇","")),IF(AND(CI$5&lt;=$F12,CI$5+GanttPeriod-1&gt;=$E12),"━","")))</f>
        <v/>
      </c>
      <c r="CJ12" s="69" t="str">
        <f aca="false">IF($E12="","",IF($M12,IF(AND($G12&gt;=CJ$5,$G12&lt;CJ$5+GanttPeriod),"◆",IF(AND($E12&gt;=CJ$5,$E12&lt;CJ$5+GanttPeriod),"◇","")),IF(AND(CJ$5&lt;=$F12,CJ$5+GanttPeriod-1&gt;=$E12),"━","")))</f>
        <v/>
      </c>
      <c r="CK12" s="69" t="str">
        <f aca="false">IF($E12="","",IF($M12,IF(AND($G12&gt;=CK$5,$G12&lt;CK$5+GanttPeriod),"◆",IF(AND($E12&gt;=CK$5,$E12&lt;CK$5+GanttPeriod),"◇","")),IF(AND(CK$5&lt;=$F12,CK$5+GanttPeriod-1&gt;=$E12),"━","")))</f>
        <v/>
      </c>
      <c r="CL12" s="69" t="str">
        <f aca="false">IF($E12="","",IF($M12,IF(AND($G12&gt;=CL$5,$G12&lt;CL$5+GanttPeriod),"◆",IF(AND($E12&gt;=CL$5,$E12&lt;CL$5+GanttPeriod),"◇","")),IF(AND(CL$5&lt;=$F12,CL$5+GanttPeriod-1&gt;=$E12),"━","")))</f>
        <v/>
      </c>
      <c r="CM12" s="69" t="str">
        <f aca="false">IF($E12="","",IF($M12,IF(AND($G12&gt;=CM$5,$G12&lt;CM$5+GanttPeriod),"◆",IF(AND($E12&gt;=CM$5,$E12&lt;CM$5+GanttPeriod),"◇","")),IF(AND(CM$5&lt;=$F12,CM$5+GanttPeriod-1&gt;=$E12),"━","")))</f>
        <v/>
      </c>
      <c r="CN12" s="69" t="str">
        <f aca="false">IF($E12="","",IF($M12,IF(AND($G12&gt;=CN$5,$G12&lt;CN$5+GanttPeriod),"◆",IF(AND($E12&gt;=CN$5,$E12&lt;CN$5+GanttPeriod),"◇","")),IF(AND(CN$5&lt;=$F12,CN$5+GanttPeriod-1&gt;=$E12),"━","")))</f>
        <v/>
      </c>
      <c r="CO12" s="69" t="str">
        <f aca="false">IF($E12="","",IF($M12,IF(AND($G12&gt;=CO$5,$G12&lt;CO$5+GanttPeriod),"◆",IF(AND($E12&gt;=CO$5,$E12&lt;CO$5+GanttPeriod),"◇","")),IF(AND(CO$5&lt;=$F12,CO$5+GanttPeriod-1&gt;=$E12),"━","")))</f>
        <v/>
      </c>
      <c r="CP12" s="69" t="str">
        <f aca="false">IF($E12="","",IF($M12,IF(AND($G12&gt;=CP$5,$G12&lt;CP$5+GanttPeriod),"◆",IF(AND($E12&gt;=CP$5,$E12&lt;CP$5+GanttPeriod),"◇","")),IF(AND(CP$5&lt;=$F12,CP$5+GanttPeriod-1&gt;=$E12),"━","")))</f>
        <v/>
      </c>
      <c r="CQ12" s="69" t="str">
        <f aca="false">IF($E12="","",IF($M12,IF(AND($G12&gt;=CQ$5,$G12&lt;CQ$5+GanttPeriod),"◆",IF(AND($E12&gt;=CQ$5,$E12&lt;CQ$5+GanttPeriod),"◇","")),IF(AND(CQ$5&lt;=$F12,CQ$5+GanttPeriod-1&gt;=$E12),"━","")))</f>
        <v/>
      </c>
      <c r="CR12" s="69" t="str">
        <f aca="false">IF($E12="","",IF($M12,IF(AND($G12&gt;=CR$5,$G12&lt;CR$5+GanttPeriod),"◆",IF(AND($E12&gt;=CR$5,$E12&lt;CR$5+GanttPeriod),"◇","")),IF(AND(CR$5&lt;=$F12,CR$5+GanttPeriod-1&gt;=$E12),"━","")))</f>
        <v/>
      </c>
      <c r="CS12" s="69" t="str">
        <f aca="false">IF($E12="","",IF($M12,IF(AND($G12&gt;=CS$5,$G12&lt;CS$5+GanttPeriod),"◆",IF(AND($E12&gt;=CS$5,$E12&lt;CS$5+GanttPeriod),"◇","")),IF(AND(CS$5&lt;=$F12,CS$5+GanttPeriod-1&gt;=$E12),"━","")))</f>
        <v/>
      </c>
      <c r="CT12" s="69" t="str">
        <f aca="false">IF($E12="","",IF($M12,IF(AND($G12&gt;=CT$5,$G12&lt;CT$5+GanttPeriod),"◆",IF(AND($E12&gt;=CT$5,$E12&lt;CT$5+GanttPeriod),"◇","")),IF(AND(CT$5&lt;=$F12,CT$5+GanttPeriod-1&gt;=$E12),"━","")))</f>
        <v/>
      </c>
      <c r="CU12" s="69" t="str">
        <f aca="false">IF($E12="","",IF($M12,IF(AND($G12&gt;=CU$5,$G12&lt;CU$5+GanttPeriod),"◆",IF(AND($E12&gt;=CU$5,$E12&lt;CU$5+GanttPeriod),"◇","")),IF(AND(CU$5&lt;=$F12,CU$5+GanttPeriod-1&gt;=$E12),"━","")))</f>
        <v/>
      </c>
      <c r="CV12" s="69" t="str">
        <f aca="false">IF($E12="","",IF($M12,IF(AND($G12&gt;=CV$5,$G12&lt;CV$5+GanttPeriod),"◆",IF(AND($E12&gt;=CV$5,$E12&lt;CV$5+GanttPeriod),"◇","")),IF(AND(CV$5&lt;=$F12,CV$5+GanttPeriod-1&gt;=$E12),"━","")))</f>
        <v/>
      </c>
      <c r="CW12" s="69" t="str">
        <f aca="false">IF($E12="","",IF($M12,IF(AND($G12&gt;=CW$5,$G12&lt;CW$5+GanttPeriod),"◆",IF(AND($E12&gt;=CW$5,$E12&lt;CW$5+GanttPeriod),"◇","")),IF(AND(CW$5&lt;=$F12,CW$5+GanttPeriod-1&gt;=$E12),"━","")))</f>
        <v/>
      </c>
      <c r="CX12" s="69" t="str">
        <f aca="false">IF($E12="","",IF($M12,IF(AND($G12&gt;=CX$5,$G12&lt;CX$5+GanttPeriod),"◆",IF(AND($E12&gt;=CX$5,$E12&lt;CX$5+GanttPeriod),"◇","")),IF(AND(CX$5&lt;=$F12,CX$5+GanttPeriod-1&gt;=$E12),"━","")))</f>
        <v/>
      </c>
      <c r="CY12" s="69" t="str">
        <f aca="false">IF($E12="","",IF($M12,IF(AND($G12&gt;=CY$5,$G12&lt;CY$5+GanttPeriod),"◆",IF(AND($E12&gt;=CY$5,$E12&lt;CY$5+GanttPeriod),"◇","")),IF(AND(CY$5&lt;=$F12,CY$5+GanttPeriod-1&gt;=$E12),"━","")))</f>
        <v/>
      </c>
      <c r="CZ12" s="69" t="str">
        <f aca="false">IF($E12="","",IF($M12,IF(AND($G12&gt;=CZ$5,$G12&lt;CZ$5+GanttPeriod),"◆",IF(AND($E12&gt;=CZ$5,$E12&lt;CZ$5+GanttPeriod),"◇","")),IF(AND(CZ$5&lt;=$F12,CZ$5+GanttPeriod-1&gt;=$E12),"━","")))</f>
        <v/>
      </c>
      <c r="DA12" s="69" t="str">
        <f aca="false">IF($E12="","",IF($M12,IF(AND($G12&gt;=DA$5,$G12&lt;DA$5+GanttPeriod),"◆",IF(AND($E12&gt;=DA$5,$E12&lt;DA$5+GanttPeriod),"◇","")),IF(AND(DA$5&lt;=$F12,DA$5+GanttPeriod-1&gt;=$E12),"━","")))</f>
        <v/>
      </c>
      <c r="DB12" s="69" t="str">
        <f aca="false">IF($E12="","",IF($M12,IF(AND($G12&gt;=DB$5,$G12&lt;DB$5+GanttPeriod),"◆",IF(AND($E12&gt;=DB$5,$E12&lt;DB$5+GanttPeriod),"◇","")),IF(AND(DB$5&lt;=$F12,DB$5+GanttPeriod-1&gt;=$E12),"━","")))</f>
        <v/>
      </c>
      <c r="DC12" s="69" t="str">
        <f aca="false">IF($E12="","",IF($M12,IF(AND($G12&gt;=DC$5,$G12&lt;DC$5+GanttPeriod),"◆",IF(AND($E12&gt;=DC$5,$E12&lt;DC$5+GanttPeriod),"◇","")),IF(AND(DC$5&lt;=$F12,DC$5+GanttPeriod-1&gt;=$E12),"━","")))</f>
        <v/>
      </c>
      <c r="DD12" s="69" t="str">
        <f aca="false">IF($E12="","",IF($M12,IF(AND($G12&gt;=DD$5,$G12&lt;DD$5+GanttPeriod),"◆",IF(AND($E12&gt;=DD$5,$E12&lt;DD$5+GanttPeriod),"◇","")),IF(AND(DD$5&lt;=$F12,DD$5+GanttPeriod-1&gt;=$E12),"━","")))</f>
        <v/>
      </c>
      <c r="DE12" s="69" t="str">
        <f aca="false">IF($E12="","",IF($M12,IF(AND($G12&gt;=DE$5,$G12&lt;DE$5+GanttPeriod),"◆",IF(AND($E12&gt;=DE$5,$E12&lt;DE$5+GanttPeriod),"◇","")),IF(AND(DE$5&lt;=$F12,DE$5+GanttPeriod-1&gt;=$E12),"━","")))</f>
        <v/>
      </c>
      <c r="DF12" s="69" t="str">
        <f aca="false">IF($E12="","",IF($M12,IF(AND($G12&gt;=DF$5,$G12&lt;DF$5+GanttPeriod),"◆",IF(AND($E12&gt;=DF$5,$E12&lt;DF$5+GanttPeriod),"◇","")),IF(AND(DF$5&lt;=$F12,DF$5+GanttPeriod-1&gt;=$E12),"━","")))</f>
        <v/>
      </c>
      <c r="DG12" s="69" t="str">
        <f aca="false">IF($E12="","",IF($M12,IF(AND($G12&gt;=DG$5,$G12&lt;DG$5+GanttPeriod),"◆",IF(AND($E12&gt;=DG$5,$E12&lt;DG$5+GanttPeriod),"◇","")),IF(AND(DG$5&lt;=$F12,DG$5+GanttPeriod-1&gt;=$E12),"━","")))</f>
        <v/>
      </c>
      <c r="DH12" s="69" t="str">
        <f aca="false">IF($E12="","",IF($M12,IF(AND($G12&gt;=DH$5,$G12&lt;DH$5+GanttPeriod),"◆",IF(AND($E12&gt;=DH$5,$E12&lt;DH$5+GanttPeriod),"◇","")),IF(AND(DH$5&lt;=$F12,DH$5+GanttPeriod-1&gt;=$E12),"━","")))</f>
        <v/>
      </c>
      <c r="DI12" s="69" t="str">
        <f aca="false">IF($E12="","",IF($M12,IF(AND($G12&gt;=DI$5,$G12&lt;DI$5+GanttPeriod),"◆",IF(AND($E12&gt;=DI$5,$E12&lt;DI$5+GanttPeriod),"◇","")),IF(AND(DI$5&lt;=$F12,DI$5+GanttPeriod-1&gt;=$E12),"━","")))</f>
        <v/>
      </c>
      <c r="DJ12" s="69" t="str">
        <f aca="false">IF($E12="","",IF($M12,IF(AND($G12&gt;=DJ$5,$G12&lt;DJ$5+GanttPeriod),"◆",IF(AND($E12&gt;=DJ$5,$E12&lt;DJ$5+GanttPeriod),"◇","")),IF(AND(DJ$5&lt;=$F12,DJ$5+GanttPeriod-1&gt;=$E12),"━","")))</f>
        <v/>
      </c>
      <c r="DK12" s="69" t="str">
        <f aca="false">IF($E12="","",IF($M12,IF(AND($G12&gt;=DK$5,$G12&lt;DK$5+GanttPeriod),"◆",IF(AND($E12&gt;=DK$5,$E12&lt;DK$5+GanttPeriod),"◇","")),IF(AND(DK$5&lt;=$F12,DK$5+GanttPeriod-1&gt;=$E12),"━","")))</f>
        <v/>
      </c>
      <c r="DL12" s="69" t="str">
        <f aca="false">IF($E12="","",IF($M12,IF(AND($G12&gt;=DL$5,$G12&lt;DL$5+GanttPeriod),"◆",IF(AND($E12&gt;=DL$5,$E12&lt;DL$5+GanttPeriod),"◇","")),IF(AND(DL$5&lt;=$F12,DL$5+GanttPeriod-1&gt;=$E12),"━","")))</f>
        <v/>
      </c>
      <c r="DM12" s="69" t="str">
        <f aca="false">IF($E12="","",IF($M12,IF(AND($G12&gt;=DM$5,$G12&lt;DM$5+GanttPeriod),"◆",IF(AND($E12&gt;=DM$5,$E12&lt;DM$5+GanttPeriod),"◇","")),IF(AND(DM$5&lt;=$F12,DM$5+GanttPeriod-1&gt;=$E12),"━","")))</f>
        <v/>
      </c>
      <c r="DN12" s="69" t="str">
        <f aca="false">IF($E12="","",IF($M12,IF(AND($G12&gt;=DN$5,$G12&lt;DN$5+GanttPeriod),"◆",IF(AND($E12&gt;=DN$5,$E12&lt;DN$5+GanttPeriod),"◇","")),IF(AND(DN$5&lt;=$F12,DN$5+GanttPeriod-1&gt;=$E12),"━","")))</f>
        <v/>
      </c>
      <c r="DO12" s="69" t="str">
        <f aca="false">IF($E12="","",IF($M12,IF(AND($G12&gt;=DO$5,$G12&lt;DO$5+GanttPeriod),"◆",IF(AND($E12&gt;=DO$5,$E12&lt;DO$5+GanttPeriod),"◇","")),IF(AND(DO$5&lt;=$F12,DO$5+GanttPeriod-1&gt;=$E12),"━","")))</f>
        <v/>
      </c>
      <c r="DP12" s="69" t="str">
        <f aca="false">IF($E12="","",IF($M12,IF(AND($G12&gt;=DP$5,$G12&lt;DP$5+GanttPeriod),"◆",IF(AND($E12&gt;=DP$5,$E12&lt;DP$5+GanttPeriod),"◇","")),IF(AND(DP$5&lt;=$F12,DP$5+GanttPeriod-1&gt;=$E12),"━","")))</f>
        <v/>
      </c>
      <c r="DQ12" s="69" t="str">
        <f aca="false">IF($E12="","",IF($M12,IF(AND($G12&gt;=DQ$5,$G12&lt;DQ$5+GanttPeriod),"◆",IF(AND($E12&gt;=DQ$5,$E12&lt;DQ$5+GanttPeriod),"◇","")),IF(AND(DQ$5&lt;=$F12,DQ$5+GanttPeriod-1&gt;=$E12),"━","")))</f>
        <v/>
      </c>
      <c r="DR12" s="69" t="str">
        <f aca="false">IF($E12="","",IF($M12,IF(AND($G12&gt;=DR$5,$G12&lt;DR$5+GanttPeriod),"◆",IF(AND($E12&gt;=DR$5,$E12&lt;DR$5+GanttPeriod),"◇","")),IF(AND(DR$5&lt;=$F12,DR$5+GanttPeriod-1&gt;=$E12),"━","")))</f>
        <v/>
      </c>
      <c r="DS12" s="69" t="str">
        <f aca="false">IF($E12="","",IF($M12,IF(AND($G12&gt;=DS$5,$G12&lt;DS$5+GanttPeriod),"◆",IF(AND($E12&gt;=DS$5,$E12&lt;DS$5+GanttPeriod),"◇","")),IF(AND(DS$5&lt;=$F12,DS$5+GanttPeriod-1&gt;=$E12),"━","")))</f>
        <v/>
      </c>
      <c r="DT12" s="69" t="str">
        <f aca="false">IF($E12="","",IF($M12,IF(AND($G12&gt;=DT$5,$G12&lt;DT$5+GanttPeriod),"◆",IF(AND($E12&gt;=DT$5,$E12&lt;DT$5+GanttPeriod),"◇","")),IF(AND(DT$5&lt;=$F12,DT$5+GanttPeriod-1&gt;=$E12),"━","")))</f>
        <v/>
      </c>
      <c r="DU12" s="69" t="str">
        <f aca="false">IF($E12="","",IF($M12,IF(AND($G12&gt;=DU$5,$G12&lt;DU$5+GanttPeriod),"◆",IF(AND($E12&gt;=DU$5,$E12&lt;DU$5+GanttPeriod),"◇","")),IF(AND(DU$5&lt;=$F12,DU$5+GanttPeriod-1&gt;=$E12),"━","")))</f>
        <v/>
      </c>
      <c r="DV12" s="69" t="str">
        <f aca="false">IF($E12="","",IF($M12,IF(AND($G12&gt;=DV$5,$G12&lt;DV$5+GanttPeriod),"◆",IF(AND($E12&gt;=DV$5,$E12&lt;DV$5+GanttPeriod),"◇","")),IF(AND(DV$5&lt;=$F12,DV$5+GanttPeriod-1&gt;=$E12),"━","")))</f>
        <v/>
      </c>
      <c r="DW12" s="69" t="str">
        <f aca="false">IF($E12="","",IF($M12,IF(AND($G12&gt;=DW$5,$G12&lt;DW$5+GanttPeriod),"◆",IF(AND($E12&gt;=DW$5,$E12&lt;DW$5+GanttPeriod),"◇","")),IF(AND(DW$5&lt;=$F12,DW$5+GanttPeriod-1&gt;=$E12),"━","")))</f>
        <v/>
      </c>
      <c r="DX12" s="69" t="str">
        <f aca="false">IF($E12="","",IF($M12,IF(AND($G12&gt;=DX$5,$G12&lt;DX$5+GanttPeriod),"◆",IF(AND($E12&gt;=DX$5,$E12&lt;DX$5+GanttPeriod),"◇","")),IF(AND(DX$5&lt;=$F12,DX$5+GanttPeriod-1&gt;=$E12),"━","")))</f>
        <v/>
      </c>
      <c r="DY12" s="69" t="str">
        <f aca="false">IF($E12="","",IF($M12,IF(AND($G12&gt;=DY$5,$G12&lt;DY$5+GanttPeriod),"◆",IF(AND($E12&gt;=DY$5,$E12&lt;DY$5+GanttPeriod),"◇","")),IF(AND(DY$5&lt;=$F12,DY$5+GanttPeriod-1&gt;=$E12),"━","")))</f>
        <v/>
      </c>
      <c r="DZ12" s="69" t="str">
        <f aca="false">IF($E12="","",IF($M12,IF(AND($G12&gt;=DZ$5,$G12&lt;DZ$5+GanttPeriod),"◆",IF(AND($E12&gt;=DZ$5,$E12&lt;DZ$5+GanttPeriod),"◇","")),IF(AND(DZ$5&lt;=$F12,DZ$5+GanttPeriod-1&gt;=$E12),"━","")))</f>
        <v/>
      </c>
      <c r="EA12" s="69" t="str">
        <f aca="false">IF($E12="","",IF($M12,IF(AND($G12&gt;=EA$5,$G12&lt;EA$5+GanttPeriod),"◆",IF(AND($E12&gt;=EA$5,$E12&lt;EA$5+GanttPeriod),"◇","")),IF(AND(EA$5&lt;=$F12,EA$5+GanttPeriod-1&gt;=$E12),"━","")))</f>
        <v/>
      </c>
      <c r="EB12" s="69" t="str">
        <f aca="false">IF($E12="","",IF($M12,IF(AND($G12&gt;=EB$5,$G12&lt;EB$5+GanttPeriod),"◆",IF(AND($E12&gt;=EB$5,$E12&lt;EB$5+GanttPeriod),"◇","")),IF(AND(EB$5&lt;=$F12,EB$5+GanttPeriod-1&gt;=$E12),"━","")))</f>
        <v/>
      </c>
      <c r="EC12" s="69" t="str">
        <f aca="false">IF($E12="","",IF($M12,IF(AND($G12&gt;=EC$5,$G12&lt;EC$5+GanttPeriod),"◆",IF(AND($E12&gt;=EC$5,$E12&lt;EC$5+GanttPeriod),"◇","")),IF(AND(EC$5&lt;=$F12,EC$5+GanttPeriod-1&gt;=$E12),"━","")))</f>
        <v/>
      </c>
      <c r="ED12" s="69" t="str">
        <f aca="false">IF($E12="","",IF($M12,IF(AND($G12&gt;=ED$5,$G12&lt;ED$5+GanttPeriod),"◆",IF(AND($E12&gt;=ED$5,$E12&lt;ED$5+GanttPeriod),"◇","")),IF(AND(ED$5&lt;=$F12,ED$5+GanttPeriod-1&gt;=$E12),"━","")))</f>
        <v/>
      </c>
      <c r="EE12" s="69" t="str">
        <f aca="false">IF($E12="","",IF($M12,IF(AND($G12&gt;=EE$5,$G12&lt;EE$5+GanttPeriod),"◆",IF(AND($E12&gt;=EE$5,$E12&lt;EE$5+GanttPeriod),"◇","")),IF(AND(EE$5&lt;=$F12,EE$5+GanttPeriod-1&gt;=$E12),"━","")))</f>
        <v/>
      </c>
      <c r="EF12" s="69" t="str">
        <f aca="false">IF($E12="","",IF($M12,IF(AND($G12&gt;=EF$5,$G12&lt;EF$5+GanttPeriod),"◆",IF(AND($E12&gt;=EF$5,$E12&lt;EF$5+GanttPeriod),"◇","")),IF(AND(EF$5&lt;=$F12,EF$5+GanttPeriod-1&gt;=$E12),"━","")))</f>
        <v/>
      </c>
      <c r="EG12" s="69" t="str">
        <f aca="false">IF($E12="","",IF($M12,IF(AND($G12&gt;=EG$5,$G12&lt;EG$5+GanttPeriod),"◆",IF(AND($E12&gt;=EG$5,$E12&lt;EG$5+GanttPeriod),"◇","")),IF(AND(EG$5&lt;=$F12,EG$5+GanttPeriod-1&gt;=$E12),"━","")))</f>
        <v/>
      </c>
      <c r="EH12" s="69" t="str">
        <f aca="false">IF($E12="","",IF($M12,IF(AND($G12&gt;=EH$5,$G12&lt;EH$5+GanttPeriod),"◆",IF(AND($E12&gt;=EH$5,$E12&lt;EH$5+GanttPeriod),"◇","")),IF(AND(EH$5&lt;=$F12,EH$5+GanttPeriod-1&gt;=$E12),"━","")))</f>
        <v/>
      </c>
      <c r="EI12" s="69" t="str">
        <f aca="false">IF($E12="","",IF($M12,IF(AND($G12&gt;=EI$5,$G12&lt;EI$5+GanttPeriod),"◆",IF(AND($E12&gt;=EI$5,$E12&lt;EI$5+GanttPeriod),"◇","")),IF(AND(EI$5&lt;=$F12,EI$5+GanttPeriod-1&gt;=$E12),"━","")))</f>
        <v/>
      </c>
      <c r="EJ12" s="69" t="str">
        <f aca="false">IF($E12="","",IF($M12,IF(AND($G12&gt;=EJ$5,$G12&lt;EJ$5+GanttPeriod),"◆",IF(AND($E12&gt;=EJ$5,$E12&lt;EJ$5+GanttPeriod),"◇","")),IF(AND(EJ$5&lt;=$F12,EJ$5+GanttPeriod-1&gt;=$E12),"━","")))</f>
        <v/>
      </c>
      <c r="EK12" s="69" t="str">
        <f aca="false">IF($E12="","",IF($M12,IF(AND($G12&gt;=EK$5,$G12&lt;EK$5+GanttPeriod),"◆",IF(AND($E12&gt;=EK$5,$E12&lt;EK$5+GanttPeriod),"◇","")),IF(AND(EK$5&lt;=$F12,EK$5+GanttPeriod-1&gt;=$E12),"━","")))</f>
        <v/>
      </c>
      <c r="EL12" s="69" t="str">
        <f aca="false">IF($E12="","",IF($M12,IF(AND($G12&gt;=EL$5,$G12&lt;EL$5+GanttPeriod),"◆",IF(AND($E12&gt;=EL$5,$E12&lt;EL$5+GanttPeriod),"◇","")),IF(AND(EL$5&lt;=$F12,EL$5+GanttPeriod-1&gt;=$E12),"━","")))</f>
        <v/>
      </c>
      <c r="EM12" s="69" t="str">
        <f aca="false">IF($E12="","",IF($M12,IF(AND($G12&gt;=EM$5,$G12&lt;EM$5+GanttPeriod),"◆",IF(AND($E12&gt;=EM$5,$E12&lt;EM$5+GanttPeriod),"◇","")),IF(AND(EM$5&lt;=$F12,EM$5+GanttPeriod-1&gt;=$E12),"━","")))</f>
        <v/>
      </c>
      <c r="EN12" s="69" t="str">
        <f aca="false">IF($E12="","",IF($M12,IF(AND($G12&gt;=EN$5,$G12&lt;EN$5+GanttPeriod),"◆",IF(AND($E12&gt;=EN$5,$E12&lt;EN$5+GanttPeriod),"◇","")),IF(AND(EN$5&lt;=$F12,EN$5+GanttPeriod-1&gt;=$E12),"━","")))</f>
        <v/>
      </c>
      <c r="EO12" s="69" t="str">
        <f aca="false">IF($E12="","",IF($M12,IF(AND($G12&gt;=EO$5,$G12&lt;EO$5+GanttPeriod),"◆",IF(AND($E12&gt;=EO$5,$E12&lt;EO$5+GanttPeriod),"◇","")),IF(AND(EO$5&lt;=$F12,EO$5+GanttPeriod-1&gt;=$E12),"━","")))</f>
        <v/>
      </c>
      <c r="EP12" s="69" t="str">
        <f aca="false">IF($E12="","",IF($M12,IF(AND($G12&gt;=EP$5,$G12&lt;EP$5+GanttPeriod),"◆",IF(AND($E12&gt;=EP$5,$E12&lt;EP$5+GanttPeriod),"◇","")),IF(AND(EP$5&lt;=$F12,EP$5+GanttPeriod-1&gt;=$E12),"━","")))</f>
        <v/>
      </c>
      <c r="EQ12" s="69" t="str">
        <f aca="false">IF($E12="","",IF($M12,IF(AND($G12&gt;=EQ$5,$G12&lt;EQ$5+GanttPeriod),"◆",IF(AND($E12&gt;=EQ$5,$E12&lt;EQ$5+GanttPeriod),"◇","")),IF(AND(EQ$5&lt;=$F12,EQ$5+GanttPeriod-1&gt;=$E12),"━","")))</f>
        <v/>
      </c>
      <c r="ER12" s="69" t="str">
        <f aca="false">IF($E12="","",IF($M12,IF(AND($G12&gt;=ER$5,$G12&lt;ER$5+GanttPeriod),"◆",IF(AND($E12&gt;=ER$5,$E12&lt;ER$5+GanttPeriod),"◇","")),IF(AND(ER$5&lt;=$F12,ER$5+GanttPeriod-1&gt;=$E12),"━","")))</f>
        <v/>
      </c>
      <c r="ES12" s="69" t="str">
        <f aca="false">IF($E12="","",IF($M12,IF(AND($G12&gt;=ES$5,$G12&lt;ES$5+GanttPeriod),"◆",IF(AND($E12&gt;=ES$5,$E12&lt;ES$5+GanttPeriod),"◇","")),IF(AND(ES$5&lt;=$F12,ES$5+GanttPeriod-1&gt;=$E12),"━","")))</f>
        <v/>
      </c>
      <c r="ET12" s="69" t="str">
        <f aca="false">IF($E12="","",IF($M12,IF(AND($G12&gt;=ET$5,$G12&lt;ET$5+GanttPeriod),"◆",IF(AND($E12&gt;=ET$5,$E12&lt;ET$5+GanttPeriod),"◇","")),IF(AND(ET$5&lt;=$F12,ET$5+GanttPeriod-1&gt;=$E12),"━","")))</f>
        <v/>
      </c>
      <c r="EU12" s="69" t="str">
        <f aca="false">IF($E12="","",IF($M12,IF(AND($G12&gt;=EU$5,$G12&lt;EU$5+GanttPeriod),"◆",IF(AND($E12&gt;=EU$5,$E12&lt;EU$5+GanttPeriod),"◇","")),IF(AND(EU$5&lt;=$F12,EU$5+GanttPeriod-1&gt;=$E12),"━","")))</f>
        <v/>
      </c>
      <c r="EV12" s="69" t="str">
        <f aca="false">IF($E12="","",IF($M12,IF(AND($G12&gt;=EV$5,$G12&lt;EV$5+GanttPeriod),"◆",IF(AND($E12&gt;=EV$5,$E12&lt;EV$5+GanttPeriod),"◇","")),IF(AND(EV$5&lt;=$F12,EV$5+GanttPeriod-1&gt;=$E12),"━","")))</f>
        <v/>
      </c>
      <c r="EW12" s="69" t="str">
        <f aca="false">IF($E12="","",IF($M12,IF(AND($G12&gt;=EW$5,$G12&lt;EW$5+GanttPeriod),"◆",IF(AND($E12&gt;=EW$5,$E12&lt;EW$5+GanttPeriod),"◇","")),IF(AND(EW$5&lt;=$F12,EW$5+GanttPeriod-1&gt;=$E12),"━","")))</f>
        <v/>
      </c>
      <c r="EX12" s="69" t="str">
        <f aca="false">IF($E12="","",IF($M12,IF(AND($G12&gt;=EX$5,$G12&lt;EX$5+GanttPeriod),"◆",IF(AND($E12&gt;=EX$5,$E12&lt;EX$5+GanttPeriod),"◇","")),IF(AND(EX$5&lt;=$F12,EX$5+GanttPeriod-1&gt;=$E12),"━","")))</f>
        <v/>
      </c>
      <c r="EY12" s="69" t="str">
        <f aca="false">IF($E12="","",IF($M12,IF(AND($G12&gt;=EY$5,$G12&lt;EY$5+GanttPeriod),"◆",IF(AND($E12&gt;=EY$5,$E12&lt;EY$5+GanttPeriod),"◇","")),IF(AND(EY$5&lt;=$F12,EY$5+GanttPeriod-1&gt;=$E12),"━","")))</f>
        <v/>
      </c>
      <c r="EZ12" s="69" t="str">
        <f aca="false">IF($E12="","",IF($M12,IF(AND($G12&gt;=EZ$5,$G12&lt;EZ$5+GanttPeriod),"◆",IF(AND($E12&gt;=EZ$5,$E12&lt;EZ$5+GanttPeriod),"◇","")),IF(AND(EZ$5&lt;=$F12,EZ$5+GanttPeriod-1&gt;=$E12),"━","")))</f>
        <v/>
      </c>
      <c r="FA12" s="69" t="str">
        <f aca="false">IF($E12="","",IF($M12,IF(AND($G12&gt;=FA$5,$G12&lt;FA$5+GanttPeriod),"◆",IF(AND($E12&gt;=FA$5,$E12&lt;FA$5+GanttPeriod),"◇","")),IF(AND(FA$5&lt;=$F12,FA$5+GanttPeriod-1&gt;=$E12),"━","")))</f>
        <v/>
      </c>
      <c r="FB12" s="69" t="str">
        <f aca="false">IF($E12="","",IF($M12,IF(AND($G12&gt;=FB$5,$G12&lt;FB$5+GanttPeriod),"◆",IF(AND($E12&gt;=FB$5,$E12&lt;FB$5+GanttPeriod),"◇","")),IF(AND(FB$5&lt;=$F12,FB$5+GanttPeriod-1&gt;=$E12),"━","")))</f>
        <v/>
      </c>
      <c r="FC12" s="69" t="str">
        <f aca="false">IF($E12="","",IF($M12,IF(AND($G12&gt;=FC$5,$G12&lt;FC$5+GanttPeriod),"◆",IF(AND($E12&gt;=FC$5,$E12&lt;FC$5+GanttPeriod),"◇","")),IF(AND(FC$5&lt;=$F12,FC$5+GanttPeriod-1&gt;=$E12),"━","")))</f>
        <v/>
      </c>
      <c r="FD12" s="69" t="str">
        <f aca="false">IF($E12="","",IF($M12,IF(AND($G12&gt;=FD$5,$G12&lt;FD$5+GanttPeriod),"◆",IF(AND($E12&gt;=FD$5,$E12&lt;FD$5+GanttPeriod),"◇","")),IF(AND(FD$5&lt;=$F12,FD$5+GanttPeriod-1&gt;=$E12),"━","")))</f>
        <v/>
      </c>
      <c r="FE12" s="69" t="str">
        <f aca="false">IF($E12="","",IF($M12,IF(AND($G12&gt;=FE$5,$G12&lt;FE$5+GanttPeriod),"◆",IF(AND($E12&gt;=FE$5,$E12&lt;FE$5+GanttPeriod),"◇","")),IF(AND(FE$5&lt;=$F12,FE$5+GanttPeriod-1&gt;=$E12),"━","")))</f>
        <v/>
      </c>
      <c r="FF12" s="69" t="str">
        <f aca="false">IF($E12="","",IF($M12,IF(AND($G12&gt;=FF$5,$G12&lt;FF$5+GanttPeriod),"◆",IF(AND($E12&gt;=FF$5,$E12&lt;FF$5+GanttPeriod),"◇","")),IF(AND(FF$5&lt;=$F12,FF$5+GanttPeriod-1&gt;=$E12),"━","")))</f>
        <v/>
      </c>
      <c r="FG12" s="69" t="str">
        <f aca="false">IF($E12="","",IF($M12,IF(AND($G12&gt;=FG$5,$G12&lt;FG$5+GanttPeriod),"◆",IF(AND($E12&gt;=FG$5,$E12&lt;FG$5+GanttPeriod),"◇","")),IF(AND(FG$5&lt;=$F12,FG$5+GanttPeriod-1&gt;=$E12),"━","")))</f>
        <v/>
      </c>
      <c r="FH12" s="69" t="str">
        <f aca="false">IF($E12="","",IF($M12,IF(AND($G12&gt;=FH$5,$G12&lt;FH$5+GanttPeriod),"◆",IF(AND($E12&gt;=FH$5,$E12&lt;FH$5+GanttPeriod),"◇","")),IF(AND(FH$5&lt;=$F12,FH$5+GanttPeriod-1&gt;=$E12),"━","")))</f>
        <v/>
      </c>
      <c r="FI12" s="69" t="str">
        <f aca="false">IF($E12="","",IF($M12,IF(AND($G12&gt;=FI$5,$G12&lt;FI$5+GanttPeriod),"◆",IF(AND($E12&gt;=FI$5,$E12&lt;FI$5+GanttPeriod),"◇","")),IF(AND(FI$5&lt;=$F12,FI$5+GanttPeriod-1&gt;=$E12),"━","")))</f>
        <v/>
      </c>
      <c r="FJ12" s="69" t="str">
        <f aca="false">IF($E12="","",IF($M12,IF(AND($G12&gt;=FJ$5,$G12&lt;FJ$5+GanttPeriod),"◆",IF(AND($E12&gt;=FJ$5,$E12&lt;FJ$5+GanttPeriod),"◇","")),IF(AND(FJ$5&lt;=$F12,FJ$5+GanttPeriod-1&gt;=$E12),"━","")))</f>
        <v/>
      </c>
      <c r="FK12" s="69" t="str">
        <f aca="false">IF($E12="","",IF($M12,IF(AND($G12&gt;=FK$5,$G12&lt;FK$5+GanttPeriod),"◆",IF(AND($E12&gt;=FK$5,$E12&lt;FK$5+GanttPeriod),"◇","")),IF(AND(FK$5&lt;=$F12,FK$5+GanttPeriod-1&gt;=$E12),"━","")))</f>
        <v/>
      </c>
      <c r="FL12" s="69" t="str">
        <f aca="false">IF($E12="","",IF($M12,IF(AND($G12&gt;=FL$5,$G12&lt;FL$5+GanttPeriod),"◆",IF(AND($E12&gt;=FL$5,$E12&lt;FL$5+GanttPeriod),"◇","")),IF(AND(FL$5&lt;=$F12,FL$5+GanttPeriod-1&gt;=$E12),"━","")))</f>
        <v/>
      </c>
      <c r="FM12" s="69" t="str">
        <f aca="false">IF($E12="","",IF($M12,IF(AND($G12&gt;=FM$5,$G12&lt;FM$5+GanttPeriod),"◆",IF(AND($E12&gt;=FM$5,$E12&lt;FM$5+GanttPeriod),"◇","")),IF(AND(FM$5&lt;=$F12,FM$5+GanttPeriod-1&gt;=$E12),"━","")))</f>
        <v/>
      </c>
    </row>
    <row r="13" customFormat="false" ht="15" hidden="false" customHeight="false" outlineLevel="0" collapsed="false">
      <c r="A13" s="62" t="n">
        <f aca="false">IF(Tasks!$D13="","",Tasks!$A13)</f>
        <v>8</v>
      </c>
      <c r="B13" s="62" t="str">
        <f aca="false">IF(Tasks!$D13="","",Tasks!$B13)</f>
        <v>2.3</v>
      </c>
      <c r="C13" s="63" t="str">
        <f aca="false">IF(Tasks!$D13="","",REPT("    ",Tasks!$AE13-1)&amp;Tasks!$D13)</f>
        <v>    UX wireframes &amp; prototype</v>
      </c>
      <c r="D13" s="62" t="n">
        <f aca="false">IF(Tasks!$D13="","",IF(Tasks!$AI13,NETWORKDAYS.INTL(Tasks!$R13,Tasks!$S13,WorkWeek,Holidays),N(Tasks!$F13)))</f>
        <v>6</v>
      </c>
      <c r="E13" s="64" t="n">
        <f aca="false">IF(Tasks!$D13="","",Tasks!$N13)</f>
        <v>46289</v>
      </c>
      <c r="F13" s="64" t="n">
        <f aca="false">IF(Tasks!$D13="","",Tasks!$O13)</f>
        <v>46296</v>
      </c>
      <c r="G13" s="64" t="n">
        <f aca="false">IF(Tasks!$D13="","",Tasks!$R13)</f>
        <v>46293</v>
      </c>
      <c r="H13" s="64" t="n">
        <f aca="false">IF(Tasks!$D13="","",Tasks!$S13)</f>
        <v>46301</v>
      </c>
      <c r="I13" s="65" t="n">
        <f aca="false">IF(Tasks!$D13="","",Tasks!$V13)</f>
        <v>1</v>
      </c>
      <c r="J13" s="63" t="str">
        <f aca="false">IF(Tasks!$D13="","",Tasks!$X13&amp;"")</f>
        <v>Casey Kim</v>
      </c>
      <c r="K13" s="66" t="str">
        <f aca="false">IF(Tasks!$D13="","",Tasks!$W13)</f>
        <v>Complete</v>
      </c>
      <c r="L13" s="67" t="b">
        <f aca="false">IF(Tasks!$D13="",FALSE(),Tasks!$AI13)</f>
        <v>0</v>
      </c>
      <c r="M13" s="67" t="b">
        <f aca="false">AND(Tasks!$AJ13=1,N(Tasks!$F13)=0)</f>
        <v>0</v>
      </c>
      <c r="N13" s="68" t="n">
        <f aca="false">IF(AND(Tasks!$AJ13=1,NOT($M13),N($I13)&gt;0),$G13,0)</f>
        <v>46293</v>
      </c>
      <c r="O13" s="68" t="n">
        <f aca="false">IF($N13=0,0,IF($I13&gt;=1,$H13,MAX($N13,$G13+ROUND(($H13-$G13+1)*$I13,0)-1)))</f>
        <v>46301</v>
      </c>
      <c r="P13" s="68" t="n">
        <f aca="false">IF(OR(Tasks!$AJ13&lt;&gt;1,$M13,N($I13)&gt;=1),0,IF($O13&gt;0,$O13+1,$G13))</f>
        <v>0</v>
      </c>
      <c r="Q13" s="68" t="n">
        <f aca="false">IF($P13=0,0,$H13)</f>
        <v>0</v>
      </c>
      <c r="R13" s="67" t="b">
        <f aca="false">AND(Tasks!$D13&lt;&gt;"",N(Tasks!$T13)&gt;0)</f>
        <v>1</v>
      </c>
      <c r="T13" s="69" t="str">
        <f aca="false">IF($E13="","",IF($M13,IF(AND($G13&gt;=T$5,$G13&lt;T$5+GanttPeriod),"◆",IF(AND($E13&gt;=T$5,$E13&lt;T$5+GanttPeriod),"◇","")),IF(AND(T$5&lt;=$F13,T$5+GanttPeriod-1&gt;=$E13),"━","")))</f>
        <v/>
      </c>
      <c r="U13" s="69" t="str">
        <f aca="false">IF($E13="","",IF($M13,IF(AND($G13&gt;=U$5,$G13&lt;U$5+GanttPeriod),"◆",IF(AND($E13&gt;=U$5,$E13&lt;U$5+GanttPeriod),"◇","")),IF(AND(U$5&lt;=$F13,U$5+GanttPeriod-1&gt;=$E13),"━","")))</f>
        <v/>
      </c>
      <c r="V13" s="69" t="str">
        <f aca="false">IF($E13="","",IF($M13,IF(AND($G13&gt;=V$5,$G13&lt;V$5+GanttPeriod),"◆",IF(AND($E13&gt;=V$5,$E13&lt;V$5+GanttPeriod),"◇","")),IF(AND(V$5&lt;=$F13,V$5+GanttPeriod-1&gt;=$E13),"━","")))</f>
        <v/>
      </c>
      <c r="W13" s="69" t="str">
        <f aca="false">IF($E13="","",IF($M13,IF(AND($G13&gt;=W$5,$G13&lt;W$5+GanttPeriod),"◆",IF(AND($E13&gt;=W$5,$E13&lt;W$5+GanttPeriod),"◇","")),IF(AND(W$5&lt;=$F13,W$5+GanttPeriod-1&gt;=$E13),"━","")))</f>
        <v/>
      </c>
      <c r="X13" s="69" t="str">
        <f aca="false">IF($E13="","",IF($M13,IF(AND($G13&gt;=X$5,$G13&lt;X$5+GanttPeriod),"◆",IF(AND($E13&gt;=X$5,$E13&lt;X$5+GanttPeriod),"◇","")),IF(AND(X$5&lt;=$F13,X$5+GanttPeriod-1&gt;=$E13),"━","")))</f>
        <v/>
      </c>
      <c r="Y13" s="69" t="str">
        <f aca="false">IF($E13="","",IF($M13,IF(AND($G13&gt;=Y$5,$G13&lt;Y$5+GanttPeriod),"◆",IF(AND($E13&gt;=Y$5,$E13&lt;Y$5+GanttPeriod),"◇","")),IF(AND(Y$5&lt;=$F13,Y$5+GanttPeriod-1&gt;=$E13),"━","")))</f>
        <v/>
      </c>
      <c r="Z13" s="69" t="str">
        <f aca="false">IF($E13="","",IF($M13,IF(AND($G13&gt;=Z$5,$G13&lt;Z$5+GanttPeriod),"◆",IF(AND($E13&gt;=Z$5,$E13&lt;Z$5+GanttPeriod),"◇","")),IF(AND(Z$5&lt;=$F13,Z$5+GanttPeriod-1&gt;=$E13),"━","")))</f>
        <v/>
      </c>
      <c r="AA13" s="69" t="str">
        <f aca="false">IF($E13="","",IF($M13,IF(AND($G13&gt;=AA$5,$G13&lt;AA$5+GanttPeriod),"◆",IF(AND($E13&gt;=AA$5,$E13&lt;AA$5+GanttPeriod),"◇","")),IF(AND(AA$5&lt;=$F13,AA$5+GanttPeriod-1&gt;=$E13),"━","")))</f>
        <v/>
      </c>
      <c r="AB13" s="69" t="str">
        <f aca="false">IF($E13="","",IF($M13,IF(AND($G13&gt;=AB$5,$G13&lt;AB$5+GanttPeriod),"◆",IF(AND($E13&gt;=AB$5,$E13&lt;AB$5+GanttPeriod),"◇","")),IF(AND(AB$5&lt;=$F13,AB$5+GanttPeriod-1&gt;=$E13),"━","")))</f>
        <v/>
      </c>
      <c r="AC13" s="69" t="str">
        <f aca="false">IF($E13="","",IF($M13,IF(AND($G13&gt;=AC$5,$G13&lt;AC$5+GanttPeriod),"◆",IF(AND($E13&gt;=AC$5,$E13&lt;AC$5+GanttPeriod),"◇","")),IF(AND(AC$5&lt;=$F13,AC$5+GanttPeriod-1&gt;=$E13),"━","")))</f>
        <v/>
      </c>
      <c r="AD13" s="69" t="str">
        <f aca="false">IF($E13="","",IF($M13,IF(AND($G13&gt;=AD$5,$G13&lt;AD$5+GanttPeriod),"◆",IF(AND($E13&gt;=AD$5,$E13&lt;AD$5+GanttPeriod),"◇","")),IF(AND(AD$5&lt;=$F13,AD$5+GanttPeriod-1&gt;=$E13),"━","")))</f>
        <v/>
      </c>
      <c r="AE13" s="69" t="str">
        <f aca="false">IF($E13="","",IF($M13,IF(AND($G13&gt;=AE$5,$G13&lt;AE$5+GanttPeriod),"◆",IF(AND($E13&gt;=AE$5,$E13&lt;AE$5+GanttPeriod),"◇","")),IF(AND(AE$5&lt;=$F13,AE$5+GanttPeriod-1&gt;=$E13),"━","")))</f>
        <v/>
      </c>
      <c r="AF13" s="69" t="str">
        <f aca="false">IF($E13="","",IF($M13,IF(AND($G13&gt;=AF$5,$G13&lt;AF$5+GanttPeriod),"◆",IF(AND($E13&gt;=AF$5,$E13&lt;AF$5+GanttPeriod),"◇","")),IF(AND(AF$5&lt;=$F13,AF$5+GanttPeriod-1&gt;=$E13),"━","")))</f>
        <v/>
      </c>
      <c r="AG13" s="69" t="str">
        <f aca="false">IF($E13="","",IF($M13,IF(AND($G13&gt;=AG$5,$G13&lt;AG$5+GanttPeriod),"◆",IF(AND($E13&gt;=AG$5,$E13&lt;AG$5+GanttPeriod),"◇","")),IF(AND(AG$5&lt;=$F13,AG$5+GanttPeriod-1&gt;=$E13),"━","")))</f>
        <v/>
      </c>
      <c r="AH13" s="69" t="str">
        <f aca="false">IF($E13="","",IF($M13,IF(AND($G13&gt;=AH$5,$G13&lt;AH$5+GanttPeriod),"◆",IF(AND($E13&gt;=AH$5,$E13&lt;AH$5+GanttPeriod),"◇","")),IF(AND(AH$5&lt;=$F13,AH$5+GanttPeriod-1&gt;=$E13),"━","")))</f>
        <v/>
      </c>
      <c r="AI13" s="69" t="str">
        <f aca="false">IF($E13="","",IF($M13,IF(AND($G13&gt;=AI$5,$G13&lt;AI$5+GanttPeriod),"◆",IF(AND($E13&gt;=AI$5,$E13&lt;AI$5+GanttPeriod),"◇","")),IF(AND(AI$5&lt;=$F13,AI$5+GanttPeriod-1&gt;=$E13),"━","")))</f>
        <v/>
      </c>
      <c r="AJ13" s="69" t="str">
        <f aca="false">IF($E13="","",IF($M13,IF(AND($G13&gt;=AJ$5,$G13&lt;AJ$5+GanttPeriod),"◆",IF(AND($E13&gt;=AJ$5,$E13&lt;AJ$5+GanttPeriod),"◇","")),IF(AND(AJ$5&lt;=$F13,AJ$5+GanttPeriod-1&gt;=$E13),"━","")))</f>
        <v/>
      </c>
      <c r="AK13" s="69" t="str">
        <f aca="false">IF($E13="","",IF($M13,IF(AND($G13&gt;=AK$5,$G13&lt;AK$5+GanttPeriod),"◆",IF(AND($E13&gt;=AK$5,$E13&lt;AK$5+GanttPeriod),"◇","")),IF(AND(AK$5&lt;=$F13,AK$5+GanttPeriod-1&gt;=$E13),"━","")))</f>
        <v>━</v>
      </c>
      <c r="AL13" s="69" t="str">
        <f aca="false">IF($E13="","",IF($M13,IF(AND($G13&gt;=AL$5,$G13&lt;AL$5+GanttPeriod),"◆",IF(AND($E13&gt;=AL$5,$E13&lt;AL$5+GanttPeriod),"◇","")),IF(AND(AL$5&lt;=$F13,AL$5+GanttPeriod-1&gt;=$E13),"━","")))</f>
        <v>━</v>
      </c>
      <c r="AM13" s="69" t="str">
        <f aca="false">IF($E13="","",IF($M13,IF(AND($G13&gt;=AM$5,$G13&lt;AM$5+GanttPeriod),"◆",IF(AND($E13&gt;=AM$5,$E13&lt;AM$5+GanttPeriod),"◇","")),IF(AND(AM$5&lt;=$F13,AM$5+GanttPeriod-1&gt;=$E13),"━","")))</f>
        <v>━</v>
      </c>
      <c r="AN13" s="69" t="str">
        <f aca="false">IF($E13="","",IF($M13,IF(AND($G13&gt;=AN$5,$G13&lt;AN$5+GanttPeriod),"◆",IF(AND($E13&gt;=AN$5,$E13&lt;AN$5+GanttPeriod),"◇","")),IF(AND(AN$5&lt;=$F13,AN$5+GanttPeriod-1&gt;=$E13),"━","")))</f>
        <v>━</v>
      </c>
      <c r="AO13" s="69" t="str">
        <f aca="false">IF($E13="","",IF($M13,IF(AND($G13&gt;=AO$5,$G13&lt;AO$5+GanttPeriod),"◆",IF(AND($E13&gt;=AO$5,$E13&lt;AO$5+GanttPeriod),"◇","")),IF(AND(AO$5&lt;=$F13,AO$5+GanttPeriod-1&gt;=$E13),"━","")))</f>
        <v>━</v>
      </c>
      <c r="AP13" s="69" t="str">
        <f aca="false">IF($E13="","",IF($M13,IF(AND($G13&gt;=AP$5,$G13&lt;AP$5+GanttPeriod),"◆",IF(AND($E13&gt;=AP$5,$E13&lt;AP$5+GanttPeriod),"◇","")),IF(AND(AP$5&lt;=$F13,AP$5+GanttPeriod-1&gt;=$E13),"━","")))</f>
        <v>━</v>
      </c>
      <c r="AQ13" s="69" t="str">
        <f aca="false">IF($E13="","",IF($M13,IF(AND($G13&gt;=AQ$5,$G13&lt;AQ$5+GanttPeriod),"◆",IF(AND($E13&gt;=AQ$5,$E13&lt;AQ$5+GanttPeriod),"◇","")),IF(AND(AQ$5&lt;=$F13,AQ$5+GanttPeriod-1&gt;=$E13),"━","")))</f>
        <v>━</v>
      </c>
      <c r="AR13" s="69" t="str">
        <f aca="false">IF($E13="","",IF($M13,IF(AND($G13&gt;=AR$5,$G13&lt;AR$5+GanttPeriod),"◆",IF(AND($E13&gt;=AR$5,$E13&lt;AR$5+GanttPeriod),"◇","")),IF(AND(AR$5&lt;=$F13,AR$5+GanttPeriod-1&gt;=$E13),"━","")))</f>
        <v>━</v>
      </c>
      <c r="AS13" s="69" t="str">
        <f aca="false">IF($E13="","",IF($M13,IF(AND($G13&gt;=AS$5,$G13&lt;AS$5+GanttPeriod),"◆",IF(AND($E13&gt;=AS$5,$E13&lt;AS$5+GanttPeriod),"◇","")),IF(AND(AS$5&lt;=$F13,AS$5+GanttPeriod-1&gt;=$E13),"━","")))</f>
        <v/>
      </c>
      <c r="AT13" s="69" t="str">
        <f aca="false">IF($E13="","",IF($M13,IF(AND($G13&gt;=AT$5,$G13&lt;AT$5+GanttPeriod),"◆",IF(AND($E13&gt;=AT$5,$E13&lt;AT$5+GanttPeriod),"◇","")),IF(AND(AT$5&lt;=$F13,AT$5+GanttPeriod-1&gt;=$E13),"━","")))</f>
        <v/>
      </c>
      <c r="AU13" s="69" t="str">
        <f aca="false">IF($E13="","",IF($M13,IF(AND($G13&gt;=AU$5,$G13&lt;AU$5+GanttPeriod),"◆",IF(AND($E13&gt;=AU$5,$E13&lt;AU$5+GanttPeriod),"◇","")),IF(AND(AU$5&lt;=$F13,AU$5+GanttPeriod-1&gt;=$E13),"━","")))</f>
        <v/>
      </c>
      <c r="AV13" s="69" t="str">
        <f aca="false">IF($E13="","",IF($M13,IF(AND($G13&gt;=AV$5,$G13&lt;AV$5+GanttPeriod),"◆",IF(AND($E13&gt;=AV$5,$E13&lt;AV$5+GanttPeriod),"◇","")),IF(AND(AV$5&lt;=$F13,AV$5+GanttPeriod-1&gt;=$E13),"━","")))</f>
        <v/>
      </c>
      <c r="AW13" s="69" t="str">
        <f aca="false">IF($E13="","",IF($M13,IF(AND($G13&gt;=AW$5,$G13&lt;AW$5+GanttPeriod),"◆",IF(AND($E13&gt;=AW$5,$E13&lt;AW$5+GanttPeriod),"◇","")),IF(AND(AW$5&lt;=$F13,AW$5+GanttPeriod-1&gt;=$E13),"━","")))</f>
        <v/>
      </c>
      <c r="AX13" s="69" t="str">
        <f aca="false">IF($E13="","",IF($M13,IF(AND($G13&gt;=AX$5,$G13&lt;AX$5+GanttPeriod),"◆",IF(AND($E13&gt;=AX$5,$E13&lt;AX$5+GanttPeriod),"◇","")),IF(AND(AX$5&lt;=$F13,AX$5+GanttPeriod-1&gt;=$E13),"━","")))</f>
        <v/>
      </c>
      <c r="AY13" s="69" t="str">
        <f aca="false">IF($E13="","",IF($M13,IF(AND($G13&gt;=AY$5,$G13&lt;AY$5+GanttPeriod),"◆",IF(AND($E13&gt;=AY$5,$E13&lt;AY$5+GanttPeriod),"◇","")),IF(AND(AY$5&lt;=$F13,AY$5+GanttPeriod-1&gt;=$E13),"━","")))</f>
        <v/>
      </c>
      <c r="AZ13" s="69" t="str">
        <f aca="false">IF($E13="","",IF($M13,IF(AND($G13&gt;=AZ$5,$G13&lt;AZ$5+GanttPeriod),"◆",IF(AND($E13&gt;=AZ$5,$E13&lt;AZ$5+GanttPeriod),"◇","")),IF(AND(AZ$5&lt;=$F13,AZ$5+GanttPeriod-1&gt;=$E13),"━","")))</f>
        <v/>
      </c>
      <c r="BA13" s="69" t="str">
        <f aca="false">IF($E13="","",IF($M13,IF(AND($G13&gt;=BA$5,$G13&lt;BA$5+GanttPeriod),"◆",IF(AND($E13&gt;=BA$5,$E13&lt;BA$5+GanttPeriod),"◇","")),IF(AND(BA$5&lt;=$F13,BA$5+GanttPeriod-1&gt;=$E13),"━","")))</f>
        <v/>
      </c>
      <c r="BB13" s="69" t="str">
        <f aca="false">IF($E13="","",IF($M13,IF(AND($G13&gt;=BB$5,$G13&lt;BB$5+GanttPeriod),"◆",IF(AND($E13&gt;=BB$5,$E13&lt;BB$5+GanttPeriod),"◇","")),IF(AND(BB$5&lt;=$F13,BB$5+GanttPeriod-1&gt;=$E13),"━","")))</f>
        <v/>
      </c>
      <c r="BC13" s="69" t="str">
        <f aca="false">IF($E13="","",IF($M13,IF(AND($G13&gt;=BC$5,$G13&lt;BC$5+GanttPeriod),"◆",IF(AND($E13&gt;=BC$5,$E13&lt;BC$5+GanttPeriod),"◇","")),IF(AND(BC$5&lt;=$F13,BC$5+GanttPeriod-1&gt;=$E13),"━","")))</f>
        <v/>
      </c>
      <c r="BD13" s="69" t="str">
        <f aca="false">IF($E13="","",IF($M13,IF(AND($G13&gt;=BD$5,$G13&lt;BD$5+GanttPeriod),"◆",IF(AND($E13&gt;=BD$5,$E13&lt;BD$5+GanttPeriod),"◇","")),IF(AND(BD$5&lt;=$F13,BD$5+GanttPeriod-1&gt;=$E13),"━","")))</f>
        <v/>
      </c>
      <c r="BE13" s="69" t="str">
        <f aca="false">IF($E13="","",IF($M13,IF(AND($G13&gt;=BE$5,$G13&lt;BE$5+GanttPeriod),"◆",IF(AND($E13&gt;=BE$5,$E13&lt;BE$5+GanttPeriod),"◇","")),IF(AND(BE$5&lt;=$F13,BE$5+GanttPeriod-1&gt;=$E13),"━","")))</f>
        <v/>
      </c>
      <c r="BF13" s="69" t="str">
        <f aca="false">IF($E13="","",IF($M13,IF(AND($G13&gt;=BF$5,$G13&lt;BF$5+GanttPeriod),"◆",IF(AND($E13&gt;=BF$5,$E13&lt;BF$5+GanttPeriod),"◇","")),IF(AND(BF$5&lt;=$F13,BF$5+GanttPeriod-1&gt;=$E13),"━","")))</f>
        <v/>
      </c>
      <c r="BG13" s="69" t="str">
        <f aca="false">IF($E13="","",IF($M13,IF(AND($G13&gt;=BG$5,$G13&lt;BG$5+GanttPeriod),"◆",IF(AND($E13&gt;=BG$5,$E13&lt;BG$5+GanttPeriod),"◇","")),IF(AND(BG$5&lt;=$F13,BG$5+GanttPeriod-1&gt;=$E13),"━","")))</f>
        <v/>
      </c>
      <c r="BH13" s="69" t="str">
        <f aca="false">IF($E13="","",IF($M13,IF(AND($G13&gt;=BH$5,$G13&lt;BH$5+GanttPeriod),"◆",IF(AND($E13&gt;=BH$5,$E13&lt;BH$5+GanttPeriod),"◇","")),IF(AND(BH$5&lt;=$F13,BH$5+GanttPeriod-1&gt;=$E13),"━","")))</f>
        <v/>
      </c>
      <c r="BI13" s="69" t="str">
        <f aca="false">IF($E13="","",IF($M13,IF(AND($G13&gt;=BI$5,$G13&lt;BI$5+GanttPeriod),"◆",IF(AND($E13&gt;=BI$5,$E13&lt;BI$5+GanttPeriod),"◇","")),IF(AND(BI$5&lt;=$F13,BI$5+GanttPeriod-1&gt;=$E13),"━","")))</f>
        <v/>
      </c>
      <c r="BJ13" s="69" t="str">
        <f aca="false">IF($E13="","",IF($M13,IF(AND($G13&gt;=BJ$5,$G13&lt;BJ$5+GanttPeriod),"◆",IF(AND($E13&gt;=BJ$5,$E13&lt;BJ$5+GanttPeriod),"◇","")),IF(AND(BJ$5&lt;=$F13,BJ$5+GanttPeriod-1&gt;=$E13),"━","")))</f>
        <v/>
      </c>
      <c r="BK13" s="69" t="str">
        <f aca="false">IF($E13="","",IF($M13,IF(AND($G13&gt;=BK$5,$G13&lt;BK$5+GanttPeriod),"◆",IF(AND($E13&gt;=BK$5,$E13&lt;BK$5+GanttPeriod),"◇","")),IF(AND(BK$5&lt;=$F13,BK$5+GanttPeriod-1&gt;=$E13),"━","")))</f>
        <v/>
      </c>
      <c r="BL13" s="69" t="str">
        <f aca="false">IF($E13="","",IF($M13,IF(AND($G13&gt;=BL$5,$G13&lt;BL$5+GanttPeriod),"◆",IF(AND($E13&gt;=BL$5,$E13&lt;BL$5+GanttPeriod),"◇","")),IF(AND(BL$5&lt;=$F13,BL$5+GanttPeriod-1&gt;=$E13),"━","")))</f>
        <v/>
      </c>
      <c r="BM13" s="69" t="str">
        <f aca="false">IF($E13="","",IF($M13,IF(AND($G13&gt;=BM$5,$G13&lt;BM$5+GanttPeriod),"◆",IF(AND($E13&gt;=BM$5,$E13&lt;BM$5+GanttPeriod),"◇","")),IF(AND(BM$5&lt;=$F13,BM$5+GanttPeriod-1&gt;=$E13),"━","")))</f>
        <v/>
      </c>
      <c r="BN13" s="69" t="str">
        <f aca="false">IF($E13="","",IF($M13,IF(AND($G13&gt;=BN$5,$G13&lt;BN$5+GanttPeriod),"◆",IF(AND($E13&gt;=BN$5,$E13&lt;BN$5+GanttPeriod),"◇","")),IF(AND(BN$5&lt;=$F13,BN$5+GanttPeriod-1&gt;=$E13),"━","")))</f>
        <v/>
      </c>
      <c r="BO13" s="69" t="str">
        <f aca="false">IF($E13="","",IF($M13,IF(AND($G13&gt;=BO$5,$G13&lt;BO$5+GanttPeriod),"◆",IF(AND($E13&gt;=BO$5,$E13&lt;BO$5+GanttPeriod),"◇","")),IF(AND(BO$5&lt;=$F13,BO$5+GanttPeriod-1&gt;=$E13),"━","")))</f>
        <v/>
      </c>
      <c r="BP13" s="69" t="str">
        <f aca="false">IF($E13="","",IF($M13,IF(AND($G13&gt;=BP$5,$G13&lt;BP$5+GanttPeriod),"◆",IF(AND($E13&gt;=BP$5,$E13&lt;BP$5+GanttPeriod),"◇","")),IF(AND(BP$5&lt;=$F13,BP$5+GanttPeriod-1&gt;=$E13),"━","")))</f>
        <v/>
      </c>
      <c r="BQ13" s="69" t="str">
        <f aca="false">IF($E13="","",IF($M13,IF(AND($G13&gt;=BQ$5,$G13&lt;BQ$5+GanttPeriod),"◆",IF(AND($E13&gt;=BQ$5,$E13&lt;BQ$5+GanttPeriod),"◇","")),IF(AND(BQ$5&lt;=$F13,BQ$5+GanttPeriod-1&gt;=$E13),"━","")))</f>
        <v/>
      </c>
      <c r="BR13" s="69" t="str">
        <f aca="false">IF($E13="","",IF($M13,IF(AND($G13&gt;=BR$5,$G13&lt;BR$5+GanttPeriod),"◆",IF(AND($E13&gt;=BR$5,$E13&lt;BR$5+GanttPeriod),"◇","")),IF(AND(BR$5&lt;=$F13,BR$5+GanttPeriod-1&gt;=$E13),"━","")))</f>
        <v/>
      </c>
      <c r="BS13" s="69" t="str">
        <f aca="false">IF($E13="","",IF($M13,IF(AND($G13&gt;=BS$5,$G13&lt;BS$5+GanttPeriod),"◆",IF(AND($E13&gt;=BS$5,$E13&lt;BS$5+GanttPeriod),"◇","")),IF(AND(BS$5&lt;=$F13,BS$5+GanttPeriod-1&gt;=$E13),"━","")))</f>
        <v/>
      </c>
      <c r="BT13" s="69" t="str">
        <f aca="false">IF($E13="","",IF($M13,IF(AND($G13&gt;=BT$5,$G13&lt;BT$5+GanttPeriod),"◆",IF(AND($E13&gt;=BT$5,$E13&lt;BT$5+GanttPeriod),"◇","")),IF(AND(BT$5&lt;=$F13,BT$5+GanttPeriod-1&gt;=$E13),"━","")))</f>
        <v/>
      </c>
      <c r="BU13" s="69" t="str">
        <f aca="false">IF($E13="","",IF($M13,IF(AND($G13&gt;=BU$5,$G13&lt;BU$5+GanttPeriod),"◆",IF(AND($E13&gt;=BU$5,$E13&lt;BU$5+GanttPeriod),"◇","")),IF(AND(BU$5&lt;=$F13,BU$5+GanttPeriod-1&gt;=$E13),"━","")))</f>
        <v/>
      </c>
      <c r="BV13" s="69" t="str">
        <f aca="false">IF($E13="","",IF($M13,IF(AND($G13&gt;=BV$5,$G13&lt;BV$5+GanttPeriod),"◆",IF(AND($E13&gt;=BV$5,$E13&lt;BV$5+GanttPeriod),"◇","")),IF(AND(BV$5&lt;=$F13,BV$5+GanttPeriod-1&gt;=$E13),"━","")))</f>
        <v/>
      </c>
      <c r="BW13" s="69" t="str">
        <f aca="false">IF($E13="","",IF($M13,IF(AND($G13&gt;=BW$5,$G13&lt;BW$5+GanttPeriod),"◆",IF(AND($E13&gt;=BW$5,$E13&lt;BW$5+GanttPeriod),"◇","")),IF(AND(BW$5&lt;=$F13,BW$5+GanttPeriod-1&gt;=$E13),"━","")))</f>
        <v/>
      </c>
      <c r="BX13" s="69" t="str">
        <f aca="false">IF($E13="","",IF($M13,IF(AND($G13&gt;=BX$5,$G13&lt;BX$5+GanttPeriod),"◆",IF(AND($E13&gt;=BX$5,$E13&lt;BX$5+GanttPeriod),"◇","")),IF(AND(BX$5&lt;=$F13,BX$5+GanttPeriod-1&gt;=$E13),"━","")))</f>
        <v/>
      </c>
      <c r="BY13" s="69" t="str">
        <f aca="false">IF($E13="","",IF($M13,IF(AND($G13&gt;=BY$5,$G13&lt;BY$5+GanttPeriod),"◆",IF(AND($E13&gt;=BY$5,$E13&lt;BY$5+GanttPeriod),"◇","")),IF(AND(BY$5&lt;=$F13,BY$5+GanttPeriod-1&gt;=$E13),"━","")))</f>
        <v/>
      </c>
      <c r="BZ13" s="69" t="str">
        <f aca="false">IF($E13="","",IF($M13,IF(AND($G13&gt;=BZ$5,$G13&lt;BZ$5+GanttPeriod),"◆",IF(AND($E13&gt;=BZ$5,$E13&lt;BZ$5+GanttPeriod),"◇","")),IF(AND(BZ$5&lt;=$F13,BZ$5+GanttPeriod-1&gt;=$E13),"━","")))</f>
        <v/>
      </c>
      <c r="CA13" s="69" t="str">
        <f aca="false">IF($E13="","",IF($M13,IF(AND($G13&gt;=CA$5,$G13&lt;CA$5+GanttPeriod),"◆",IF(AND($E13&gt;=CA$5,$E13&lt;CA$5+GanttPeriod),"◇","")),IF(AND(CA$5&lt;=$F13,CA$5+GanttPeriod-1&gt;=$E13),"━","")))</f>
        <v/>
      </c>
      <c r="CB13" s="69" t="str">
        <f aca="false">IF($E13="","",IF($M13,IF(AND($G13&gt;=CB$5,$G13&lt;CB$5+GanttPeriod),"◆",IF(AND($E13&gt;=CB$5,$E13&lt;CB$5+GanttPeriod),"◇","")),IF(AND(CB$5&lt;=$F13,CB$5+GanttPeriod-1&gt;=$E13),"━","")))</f>
        <v/>
      </c>
      <c r="CC13" s="69" t="str">
        <f aca="false">IF($E13="","",IF($M13,IF(AND($G13&gt;=CC$5,$G13&lt;CC$5+GanttPeriod),"◆",IF(AND($E13&gt;=CC$5,$E13&lt;CC$5+GanttPeriod),"◇","")),IF(AND(CC$5&lt;=$F13,CC$5+GanttPeriod-1&gt;=$E13),"━","")))</f>
        <v/>
      </c>
      <c r="CD13" s="69" t="str">
        <f aca="false">IF($E13="","",IF($M13,IF(AND($G13&gt;=CD$5,$G13&lt;CD$5+GanttPeriod),"◆",IF(AND($E13&gt;=CD$5,$E13&lt;CD$5+GanttPeriod),"◇","")),IF(AND(CD$5&lt;=$F13,CD$5+GanttPeriod-1&gt;=$E13),"━","")))</f>
        <v/>
      </c>
      <c r="CE13" s="69" t="str">
        <f aca="false">IF($E13="","",IF($M13,IF(AND($G13&gt;=CE$5,$G13&lt;CE$5+GanttPeriod),"◆",IF(AND($E13&gt;=CE$5,$E13&lt;CE$5+GanttPeriod),"◇","")),IF(AND(CE$5&lt;=$F13,CE$5+GanttPeriod-1&gt;=$E13),"━","")))</f>
        <v/>
      </c>
      <c r="CF13" s="69" t="str">
        <f aca="false">IF($E13="","",IF($M13,IF(AND($G13&gt;=CF$5,$G13&lt;CF$5+GanttPeriod),"◆",IF(AND($E13&gt;=CF$5,$E13&lt;CF$5+GanttPeriod),"◇","")),IF(AND(CF$5&lt;=$F13,CF$5+GanttPeriod-1&gt;=$E13),"━","")))</f>
        <v/>
      </c>
      <c r="CG13" s="69" t="str">
        <f aca="false">IF($E13="","",IF($M13,IF(AND($G13&gt;=CG$5,$G13&lt;CG$5+GanttPeriod),"◆",IF(AND($E13&gt;=CG$5,$E13&lt;CG$5+GanttPeriod),"◇","")),IF(AND(CG$5&lt;=$F13,CG$5+GanttPeriod-1&gt;=$E13),"━","")))</f>
        <v/>
      </c>
      <c r="CH13" s="69" t="str">
        <f aca="false">IF($E13="","",IF($M13,IF(AND($G13&gt;=CH$5,$G13&lt;CH$5+GanttPeriod),"◆",IF(AND($E13&gt;=CH$5,$E13&lt;CH$5+GanttPeriod),"◇","")),IF(AND(CH$5&lt;=$F13,CH$5+GanttPeriod-1&gt;=$E13),"━","")))</f>
        <v/>
      </c>
      <c r="CI13" s="69" t="str">
        <f aca="false">IF($E13="","",IF($M13,IF(AND($G13&gt;=CI$5,$G13&lt;CI$5+GanttPeriod),"◆",IF(AND($E13&gt;=CI$5,$E13&lt;CI$5+GanttPeriod),"◇","")),IF(AND(CI$5&lt;=$F13,CI$5+GanttPeriod-1&gt;=$E13),"━","")))</f>
        <v/>
      </c>
      <c r="CJ13" s="69" t="str">
        <f aca="false">IF($E13="","",IF($M13,IF(AND($G13&gt;=CJ$5,$G13&lt;CJ$5+GanttPeriod),"◆",IF(AND($E13&gt;=CJ$5,$E13&lt;CJ$5+GanttPeriod),"◇","")),IF(AND(CJ$5&lt;=$F13,CJ$5+GanttPeriod-1&gt;=$E13),"━","")))</f>
        <v/>
      </c>
      <c r="CK13" s="69" t="str">
        <f aca="false">IF($E13="","",IF($M13,IF(AND($G13&gt;=CK$5,$G13&lt;CK$5+GanttPeriod),"◆",IF(AND($E13&gt;=CK$5,$E13&lt;CK$5+GanttPeriod),"◇","")),IF(AND(CK$5&lt;=$F13,CK$5+GanttPeriod-1&gt;=$E13),"━","")))</f>
        <v/>
      </c>
      <c r="CL13" s="69" t="str">
        <f aca="false">IF($E13="","",IF($M13,IF(AND($G13&gt;=CL$5,$G13&lt;CL$5+GanttPeriod),"◆",IF(AND($E13&gt;=CL$5,$E13&lt;CL$5+GanttPeriod),"◇","")),IF(AND(CL$5&lt;=$F13,CL$5+GanttPeriod-1&gt;=$E13),"━","")))</f>
        <v/>
      </c>
      <c r="CM13" s="69" t="str">
        <f aca="false">IF($E13="","",IF($M13,IF(AND($G13&gt;=CM$5,$G13&lt;CM$5+GanttPeriod),"◆",IF(AND($E13&gt;=CM$5,$E13&lt;CM$5+GanttPeriod),"◇","")),IF(AND(CM$5&lt;=$F13,CM$5+GanttPeriod-1&gt;=$E13),"━","")))</f>
        <v/>
      </c>
      <c r="CN13" s="69" t="str">
        <f aca="false">IF($E13="","",IF($M13,IF(AND($G13&gt;=CN$5,$G13&lt;CN$5+GanttPeriod),"◆",IF(AND($E13&gt;=CN$5,$E13&lt;CN$5+GanttPeriod),"◇","")),IF(AND(CN$5&lt;=$F13,CN$5+GanttPeriod-1&gt;=$E13),"━","")))</f>
        <v/>
      </c>
      <c r="CO13" s="69" t="str">
        <f aca="false">IF($E13="","",IF($M13,IF(AND($G13&gt;=CO$5,$G13&lt;CO$5+GanttPeriod),"◆",IF(AND($E13&gt;=CO$5,$E13&lt;CO$5+GanttPeriod),"◇","")),IF(AND(CO$5&lt;=$F13,CO$5+GanttPeriod-1&gt;=$E13),"━","")))</f>
        <v/>
      </c>
      <c r="CP13" s="69" t="str">
        <f aca="false">IF($E13="","",IF($M13,IF(AND($G13&gt;=CP$5,$G13&lt;CP$5+GanttPeriod),"◆",IF(AND($E13&gt;=CP$5,$E13&lt;CP$5+GanttPeriod),"◇","")),IF(AND(CP$5&lt;=$F13,CP$5+GanttPeriod-1&gt;=$E13),"━","")))</f>
        <v/>
      </c>
      <c r="CQ13" s="69" t="str">
        <f aca="false">IF($E13="","",IF($M13,IF(AND($G13&gt;=CQ$5,$G13&lt;CQ$5+GanttPeriod),"◆",IF(AND($E13&gt;=CQ$5,$E13&lt;CQ$5+GanttPeriod),"◇","")),IF(AND(CQ$5&lt;=$F13,CQ$5+GanttPeriod-1&gt;=$E13),"━","")))</f>
        <v/>
      </c>
      <c r="CR13" s="69" t="str">
        <f aca="false">IF($E13="","",IF($M13,IF(AND($G13&gt;=CR$5,$G13&lt;CR$5+GanttPeriod),"◆",IF(AND($E13&gt;=CR$5,$E13&lt;CR$5+GanttPeriod),"◇","")),IF(AND(CR$5&lt;=$F13,CR$5+GanttPeriod-1&gt;=$E13),"━","")))</f>
        <v/>
      </c>
      <c r="CS13" s="69" t="str">
        <f aca="false">IF($E13="","",IF($M13,IF(AND($G13&gt;=CS$5,$G13&lt;CS$5+GanttPeriod),"◆",IF(AND($E13&gt;=CS$5,$E13&lt;CS$5+GanttPeriod),"◇","")),IF(AND(CS$5&lt;=$F13,CS$5+GanttPeriod-1&gt;=$E13),"━","")))</f>
        <v/>
      </c>
      <c r="CT13" s="69" t="str">
        <f aca="false">IF($E13="","",IF($M13,IF(AND($G13&gt;=CT$5,$G13&lt;CT$5+GanttPeriod),"◆",IF(AND($E13&gt;=CT$5,$E13&lt;CT$5+GanttPeriod),"◇","")),IF(AND(CT$5&lt;=$F13,CT$5+GanttPeriod-1&gt;=$E13),"━","")))</f>
        <v/>
      </c>
      <c r="CU13" s="69" t="str">
        <f aca="false">IF($E13="","",IF($M13,IF(AND($G13&gt;=CU$5,$G13&lt;CU$5+GanttPeriod),"◆",IF(AND($E13&gt;=CU$5,$E13&lt;CU$5+GanttPeriod),"◇","")),IF(AND(CU$5&lt;=$F13,CU$5+GanttPeriod-1&gt;=$E13),"━","")))</f>
        <v/>
      </c>
      <c r="CV13" s="69" t="str">
        <f aca="false">IF($E13="","",IF($M13,IF(AND($G13&gt;=CV$5,$G13&lt;CV$5+GanttPeriod),"◆",IF(AND($E13&gt;=CV$5,$E13&lt;CV$5+GanttPeriod),"◇","")),IF(AND(CV$5&lt;=$F13,CV$5+GanttPeriod-1&gt;=$E13),"━","")))</f>
        <v/>
      </c>
      <c r="CW13" s="69" t="str">
        <f aca="false">IF($E13="","",IF($M13,IF(AND($G13&gt;=CW$5,$G13&lt;CW$5+GanttPeriod),"◆",IF(AND($E13&gt;=CW$5,$E13&lt;CW$5+GanttPeriod),"◇","")),IF(AND(CW$5&lt;=$F13,CW$5+GanttPeriod-1&gt;=$E13),"━","")))</f>
        <v/>
      </c>
      <c r="CX13" s="69" t="str">
        <f aca="false">IF($E13="","",IF($M13,IF(AND($G13&gt;=CX$5,$G13&lt;CX$5+GanttPeriod),"◆",IF(AND($E13&gt;=CX$5,$E13&lt;CX$5+GanttPeriod),"◇","")),IF(AND(CX$5&lt;=$F13,CX$5+GanttPeriod-1&gt;=$E13),"━","")))</f>
        <v/>
      </c>
      <c r="CY13" s="69" t="str">
        <f aca="false">IF($E13="","",IF($M13,IF(AND($G13&gt;=CY$5,$G13&lt;CY$5+GanttPeriod),"◆",IF(AND($E13&gt;=CY$5,$E13&lt;CY$5+GanttPeriod),"◇","")),IF(AND(CY$5&lt;=$F13,CY$5+GanttPeriod-1&gt;=$E13),"━","")))</f>
        <v/>
      </c>
      <c r="CZ13" s="69" t="str">
        <f aca="false">IF($E13="","",IF($M13,IF(AND($G13&gt;=CZ$5,$G13&lt;CZ$5+GanttPeriod),"◆",IF(AND($E13&gt;=CZ$5,$E13&lt;CZ$5+GanttPeriod),"◇","")),IF(AND(CZ$5&lt;=$F13,CZ$5+GanttPeriod-1&gt;=$E13),"━","")))</f>
        <v/>
      </c>
      <c r="DA13" s="69" t="str">
        <f aca="false">IF($E13="","",IF($M13,IF(AND($G13&gt;=DA$5,$G13&lt;DA$5+GanttPeriod),"◆",IF(AND($E13&gt;=DA$5,$E13&lt;DA$5+GanttPeriod),"◇","")),IF(AND(DA$5&lt;=$F13,DA$5+GanttPeriod-1&gt;=$E13),"━","")))</f>
        <v/>
      </c>
      <c r="DB13" s="69" t="str">
        <f aca="false">IF($E13="","",IF($M13,IF(AND($G13&gt;=DB$5,$G13&lt;DB$5+GanttPeriod),"◆",IF(AND($E13&gt;=DB$5,$E13&lt;DB$5+GanttPeriod),"◇","")),IF(AND(DB$5&lt;=$F13,DB$5+GanttPeriod-1&gt;=$E13),"━","")))</f>
        <v/>
      </c>
      <c r="DC13" s="69" t="str">
        <f aca="false">IF($E13="","",IF($M13,IF(AND($G13&gt;=DC$5,$G13&lt;DC$5+GanttPeriod),"◆",IF(AND($E13&gt;=DC$5,$E13&lt;DC$5+GanttPeriod),"◇","")),IF(AND(DC$5&lt;=$F13,DC$5+GanttPeriod-1&gt;=$E13),"━","")))</f>
        <v/>
      </c>
      <c r="DD13" s="69" t="str">
        <f aca="false">IF($E13="","",IF($M13,IF(AND($G13&gt;=DD$5,$G13&lt;DD$5+GanttPeriod),"◆",IF(AND($E13&gt;=DD$5,$E13&lt;DD$5+GanttPeriod),"◇","")),IF(AND(DD$5&lt;=$F13,DD$5+GanttPeriod-1&gt;=$E13),"━","")))</f>
        <v/>
      </c>
      <c r="DE13" s="69" t="str">
        <f aca="false">IF($E13="","",IF($M13,IF(AND($G13&gt;=DE$5,$G13&lt;DE$5+GanttPeriod),"◆",IF(AND($E13&gt;=DE$5,$E13&lt;DE$5+GanttPeriod),"◇","")),IF(AND(DE$5&lt;=$F13,DE$5+GanttPeriod-1&gt;=$E13),"━","")))</f>
        <v/>
      </c>
      <c r="DF13" s="69" t="str">
        <f aca="false">IF($E13="","",IF($M13,IF(AND($G13&gt;=DF$5,$G13&lt;DF$5+GanttPeriod),"◆",IF(AND($E13&gt;=DF$5,$E13&lt;DF$5+GanttPeriod),"◇","")),IF(AND(DF$5&lt;=$F13,DF$5+GanttPeriod-1&gt;=$E13),"━","")))</f>
        <v/>
      </c>
      <c r="DG13" s="69" t="str">
        <f aca="false">IF($E13="","",IF($M13,IF(AND($G13&gt;=DG$5,$G13&lt;DG$5+GanttPeriod),"◆",IF(AND($E13&gt;=DG$5,$E13&lt;DG$5+GanttPeriod),"◇","")),IF(AND(DG$5&lt;=$F13,DG$5+GanttPeriod-1&gt;=$E13),"━","")))</f>
        <v/>
      </c>
      <c r="DH13" s="69" t="str">
        <f aca="false">IF($E13="","",IF($M13,IF(AND($G13&gt;=DH$5,$G13&lt;DH$5+GanttPeriod),"◆",IF(AND($E13&gt;=DH$5,$E13&lt;DH$5+GanttPeriod),"◇","")),IF(AND(DH$5&lt;=$F13,DH$5+GanttPeriod-1&gt;=$E13),"━","")))</f>
        <v/>
      </c>
      <c r="DI13" s="69" t="str">
        <f aca="false">IF($E13="","",IF($M13,IF(AND($G13&gt;=DI$5,$G13&lt;DI$5+GanttPeriod),"◆",IF(AND($E13&gt;=DI$5,$E13&lt;DI$5+GanttPeriod),"◇","")),IF(AND(DI$5&lt;=$F13,DI$5+GanttPeriod-1&gt;=$E13),"━","")))</f>
        <v/>
      </c>
      <c r="DJ13" s="69" t="str">
        <f aca="false">IF($E13="","",IF($M13,IF(AND($G13&gt;=DJ$5,$G13&lt;DJ$5+GanttPeriod),"◆",IF(AND($E13&gt;=DJ$5,$E13&lt;DJ$5+GanttPeriod),"◇","")),IF(AND(DJ$5&lt;=$F13,DJ$5+GanttPeriod-1&gt;=$E13),"━","")))</f>
        <v/>
      </c>
      <c r="DK13" s="69" t="str">
        <f aca="false">IF($E13="","",IF($M13,IF(AND($G13&gt;=DK$5,$G13&lt;DK$5+GanttPeriod),"◆",IF(AND($E13&gt;=DK$5,$E13&lt;DK$5+GanttPeriod),"◇","")),IF(AND(DK$5&lt;=$F13,DK$5+GanttPeriod-1&gt;=$E13),"━","")))</f>
        <v/>
      </c>
      <c r="DL13" s="69" t="str">
        <f aca="false">IF($E13="","",IF($M13,IF(AND($G13&gt;=DL$5,$G13&lt;DL$5+GanttPeriod),"◆",IF(AND($E13&gt;=DL$5,$E13&lt;DL$5+GanttPeriod),"◇","")),IF(AND(DL$5&lt;=$F13,DL$5+GanttPeriod-1&gt;=$E13),"━","")))</f>
        <v/>
      </c>
      <c r="DM13" s="69" t="str">
        <f aca="false">IF($E13="","",IF($M13,IF(AND($G13&gt;=DM$5,$G13&lt;DM$5+GanttPeriod),"◆",IF(AND($E13&gt;=DM$5,$E13&lt;DM$5+GanttPeriod),"◇","")),IF(AND(DM$5&lt;=$F13,DM$5+GanttPeriod-1&gt;=$E13),"━","")))</f>
        <v/>
      </c>
      <c r="DN13" s="69" t="str">
        <f aca="false">IF($E13="","",IF($M13,IF(AND($G13&gt;=DN$5,$G13&lt;DN$5+GanttPeriod),"◆",IF(AND($E13&gt;=DN$5,$E13&lt;DN$5+GanttPeriod),"◇","")),IF(AND(DN$5&lt;=$F13,DN$5+GanttPeriod-1&gt;=$E13),"━","")))</f>
        <v/>
      </c>
      <c r="DO13" s="69" t="str">
        <f aca="false">IF($E13="","",IF($M13,IF(AND($G13&gt;=DO$5,$G13&lt;DO$5+GanttPeriod),"◆",IF(AND($E13&gt;=DO$5,$E13&lt;DO$5+GanttPeriod),"◇","")),IF(AND(DO$5&lt;=$F13,DO$5+GanttPeriod-1&gt;=$E13),"━","")))</f>
        <v/>
      </c>
      <c r="DP13" s="69" t="str">
        <f aca="false">IF($E13="","",IF($M13,IF(AND($G13&gt;=DP$5,$G13&lt;DP$5+GanttPeriod),"◆",IF(AND($E13&gt;=DP$5,$E13&lt;DP$5+GanttPeriod),"◇","")),IF(AND(DP$5&lt;=$F13,DP$5+GanttPeriod-1&gt;=$E13),"━","")))</f>
        <v/>
      </c>
      <c r="DQ13" s="69" t="str">
        <f aca="false">IF($E13="","",IF($M13,IF(AND($G13&gt;=DQ$5,$G13&lt;DQ$5+GanttPeriod),"◆",IF(AND($E13&gt;=DQ$5,$E13&lt;DQ$5+GanttPeriod),"◇","")),IF(AND(DQ$5&lt;=$F13,DQ$5+GanttPeriod-1&gt;=$E13),"━","")))</f>
        <v/>
      </c>
      <c r="DR13" s="69" t="str">
        <f aca="false">IF($E13="","",IF($M13,IF(AND($G13&gt;=DR$5,$G13&lt;DR$5+GanttPeriod),"◆",IF(AND($E13&gt;=DR$5,$E13&lt;DR$5+GanttPeriod),"◇","")),IF(AND(DR$5&lt;=$F13,DR$5+GanttPeriod-1&gt;=$E13),"━","")))</f>
        <v/>
      </c>
      <c r="DS13" s="69" t="str">
        <f aca="false">IF($E13="","",IF($M13,IF(AND($G13&gt;=DS$5,$G13&lt;DS$5+GanttPeriod),"◆",IF(AND($E13&gt;=DS$5,$E13&lt;DS$5+GanttPeriod),"◇","")),IF(AND(DS$5&lt;=$F13,DS$5+GanttPeriod-1&gt;=$E13),"━","")))</f>
        <v/>
      </c>
      <c r="DT13" s="69" t="str">
        <f aca="false">IF($E13="","",IF($M13,IF(AND($G13&gt;=DT$5,$G13&lt;DT$5+GanttPeriod),"◆",IF(AND($E13&gt;=DT$5,$E13&lt;DT$5+GanttPeriod),"◇","")),IF(AND(DT$5&lt;=$F13,DT$5+GanttPeriod-1&gt;=$E13),"━","")))</f>
        <v/>
      </c>
      <c r="DU13" s="69" t="str">
        <f aca="false">IF($E13="","",IF($M13,IF(AND($G13&gt;=DU$5,$G13&lt;DU$5+GanttPeriod),"◆",IF(AND($E13&gt;=DU$5,$E13&lt;DU$5+GanttPeriod),"◇","")),IF(AND(DU$5&lt;=$F13,DU$5+GanttPeriod-1&gt;=$E13),"━","")))</f>
        <v/>
      </c>
      <c r="DV13" s="69" t="str">
        <f aca="false">IF($E13="","",IF($M13,IF(AND($G13&gt;=DV$5,$G13&lt;DV$5+GanttPeriod),"◆",IF(AND($E13&gt;=DV$5,$E13&lt;DV$5+GanttPeriod),"◇","")),IF(AND(DV$5&lt;=$F13,DV$5+GanttPeriod-1&gt;=$E13),"━","")))</f>
        <v/>
      </c>
      <c r="DW13" s="69" t="str">
        <f aca="false">IF($E13="","",IF($M13,IF(AND($G13&gt;=DW$5,$G13&lt;DW$5+GanttPeriod),"◆",IF(AND($E13&gt;=DW$5,$E13&lt;DW$5+GanttPeriod),"◇","")),IF(AND(DW$5&lt;=$F13,DW$5+GanttPeriod-1&gt;=$E13),"━","")))</f>
        <v/>
      </c>
      <c r="DX13" s="69" t="str">
        <f aca="false">IF($E13="","",IF($M13,IF(AND($G13&gt;=DX$5,$G13&lt;DX$5+GanttPeriod),"◆",IF(AND($E13&gt;=DX$5,$E13&lt;DX$5+GanttPeriod),"◇","")),IF(AND(DX$5&lt;=$F13,DX$5+GanttPeriod-1&gt;=$E13),"━","")))</f>
        <v/>
      </c>
      <c r="DY13" s="69" t="str">
        <f aca="false">IF($E13="","",IF($M13,IF(AND($G13&gt;=DY$5,$G13&lt;DY$5+GanttPeriod),"◆",IF(AND($E13&gt;=DY$5,$E13&lt;DY$5+GanttPeriod),"◇","")),IF(AND(DY$5&lt;=$F13,DY$5+GanttPeriod-1&gt;=$E13),"━","")))</f>
        <v/>
      </c>
      <c r="DZ13" s="69" t="str">
        <f aca="false">IF($E13="","",IF($M13,IF(AND($G13&gt;=DZ$5,$G13&lt;DZ$5+GanttPeriod),"◆",IF(AND($E13&gt;=DZ$5,$E13&lt;DZ$5+GanttPeriod),"◇","")),IF(AND(DZ$5&lt;=$F13,DZ$5+GanttPeriod-1&gt;=$E13),"━","")))</f>
        <v/>
      </c>
      <c r="EA13" s="69" t="str">
        <f aca="false">IF($E13="","",IF($M13,IF(AND($G13&gt;=EA$5,$G13&lt;EA$5+GanttPeriod),"◆",IF(AND($E13&gt;=EA$5,$E13&lt;EA$5+GanttPeriod),"◇","")),IF(AND(EA$5&lt;=$F13,EA$5+GanttPeriod-1&gt;=$E13),"━","")))</f>
        <v/>
      </c>
      <c r="EB13" s="69" t="str">
        <f aca="false">IF($E13="","",IF($M13,IF(AND($G13&gt;=EB$5,$G13&lt;EB$5+GanttPeriod),"◆",IF(AND($E13&gt;=EB$5,$E13&lt;EB$5+GanttPeriod),"◇","")),IF(AND(EB$5&lt;=$F13,EB$5+GanttPeriod-1&gt;=$E13),"━","")))</f>
        <v/>
      </c>
      <c r="EC13" s="69" t="str">
        <f aca="false">IF($E13="","",IF($M13,IF(AND($G13&gt;=EC$5,$G13&lt;EC$5+GanttPeriod),"◆",IF(AND($E13&gt;=EC$5,$E13&lt;EC$5+GanttPeriod),"◇","")),IF(AND(EC$5&lt;=$F13,EC$5+GanttPeriod-1&gt;=$E13),"━","")))</f>
        <v/>
      </c>
      <c r="ED13" s="69" t="str">
        <f aca="false">IF($E13="","",IF($M13,IF(AND($G13&gt;=ED$5,$G13&lt;ED$5+GanttPeriod),"◆",IF(AND($E13&gt;=ED$5,$E13&lt;ED$5+GanttPeriod),"◇","")),IF(AND(ED$5&lt;=$F13,ED$5+GanttPeriod-1&gt;=$E13),"━","")))</f>
        <v/>
      </c>
      <c r="EE13" s="69" t="str">
        <f aca="false">IF($E13="","",IF($M13,IF(AND($G13&gt;=EE$5,$G13&lt;EE$5+GanttPeriod),"◆",IF(AND($E13&gt;=EE$5,$E13&lt;EE$5+GanttPeriod),"◇","")),IF(AND(EE$5&lt;=$F13,EE$5+GanttPeriod-1&gt;=$E13),"━","")))</f>
        <v/>
      </c>
      <c r="EF13" s="69" t="str">
        <f aca="false">IF($E13="","",IF($M13,IF(AND($G13&gt;=EF$5,$G13&lt;EF$5+GanttPeriod),"◆",IF(AND($E13&gt;=EF$5,$E13&lt;EF$5+GanttPeriod),"◇","")),IF(AND(EF$5&lt;=$F13,EF$5+GanttPeriod-1&gt;=$E13),"━","")))</f>
        <v/>
      </c>
      <c r="EG13" s="69" t="str">
        <f aca="false">IF($E13="","",IF($M13,IF(AND($G13&gt;=EG$5,$G13&lt;EG$5+GanttPeriod),"◆",IF(AND($E13&gt;=EG$5,$E13&lt;EG$5+GanttPeriod),"◇","")),IF(AND(EG$5&lt;=$F13,EG$5+GanttPeriod-1&gt;=$E13),"━","")))</f>
        <v/>
      </c>
      <c r="EH13" s="69" t="str">
        <f aca="false">IF($E13="","",IF($M13,IF(AND($G13&gt;=EH$5,$G13&lt;EH$5+GanttPeriod),"◆",IF(AND($E13&gt;=EH$5,$E13&lt;EH$5+GanttPeriod),"◇","")),IF(AND(EH$5&lt;=$F13,EH$5+GanttPeriod-1&gt;=$E13),"━","")))</f>
        <v/>
      </c>
      <c r="EI13" s="69" t="str">
        <f aca="false">IF($E13="","",IF($M13,IF(AND($G13&gt;=EI$5,$G13&lt;EI$5+GanttPeriod),"◆",IF(AND($E13&gt;=EI$5,$E13&lt;EI$5+GanttPeriod),"◇","")),IF(AND(EI$5&lt;=$F13,EI$5+GanttPeriod-1&gt;=$E13),"━","")))</f>
        <v/>
      </c>
      <c r="EJ13" s="69" t="str">
        <f aca="false">IF($E13="","",IF($M13,IF(AND($G13&gt;=EJ$5,$G13&lt;EJ$5+GanttPeriod),"◆",IF(AND($E13&gt;=EJ$5,$E13&lt;EJ$5+GanttPeriod),"◇","")),IF(AND(EJ$5&lt;=$F13,EJ$5+GanttPeriod-1&gt;=$E13),"━","")))</f>
        <v/>
      </c>
      <c r="EK13" s="69" t="str">
        <f aca="false">IF($E13="","",IF($M13,IF(AND($G13&gt;=EK$5,$G13&lt;EK$5+GanttPeriod),"◆",IF(AND($E13&gt;=EK$5,$E13&lt;EK$5+GanttPeriod),"◇","")),IF(AND(EK$5&lt;=$F13,EK$5+GanttPeriod-1&gt;=$E13),"━","")))</f>
        <v/>
      </c>
      <c r="EL13" s="69" t="str">
        <f aca="false">IF($E13="","",IF($M13,IF(AND($G13&gt;=EL$5,$G13&lt;EL$5+GanttPeriod),"◆",IF(AND($E13&gt;=EL$5,$E13&lt;EL$5+GanttPeriod),"◇","")),IF(AND(EL$5&lt;=$F13,EL$5+GanttPeriod-1&gt;=$E13),"━","")))</f>
        <v/>
      </c>
      <c r="EM13" s="69" t="str">
        <f aca="false">IF($E13="","",IF($M13,IF(AND($G13&gt;=EM$5,$G13&lt;EM$5+GanttPeriod),"◆",IF(AND($E13&gt;=EM$5,$E13&lt;EM$5+GanttPeriod),"◇","")),IF(AND(EM$5&lt;=$F13,EM$5+GanttPeriod-1&gt;=$E13),"━","")))</f>
        <v/>
      </c>
      <c r="EN13" s="69" t="str">
        <f aca="false">IF($E13="","",IF($M13,IF(AND($G13&gt;=EN$5,$G13&lt;EN$5+GanttPeriod),"◆",IF(AND($E13&gt;=EN$5,$E13&lt;EN$5+GanttPeriod),"◇","")),IF(AND(EN$5&lt;=$F13,EN$5+GanttPeriod-1&gt;=$E13),"━","")))</f>
        <v/>
      </c>
      <c r="EO13" s="69" t="str">
        <f aca="false">IF($E13="","",IF($M13,IF(AND($G13&gt;=EO$5,$G13&lt;EO$5+GanttPeriod),"◆",IF(AND($E13&gt;=EO$5,$E13&lt;EO$5+GanttPeriod),"◇","")),IF(AND(EO$5&lt;=$F13,EO$5+GanttPeriod-1&gt;=$E13),"━","")))</f>
        <v/>
      </c>
      <c r="EP13" s="69" t="str">
        <f aca="false">IF($E13="","",IF($M13,IF(AND($G13&gt;=EP$5,$G13&lt;EP$5+GanttPeriod),"◆",IF(AND($E13&gt;=EP$5,$E13&lt;EP$5+GanttPeriod),"◇","")),IF(AND(EP$5&lt;=$F13,EP$5+GanttPeriod-1&gt;=$E13),"━","")))</f>
        <v/>
      </c>
      <c r="EQ13" s="69" t="str">
        <f aca="false">IF($E13="","",IF($M13,IF(AND($G13&gt;=EQ$5,$G13&lt;EQ$5+GanttPeriod),"◆",IF(AND($E13&gt;=EQ$5,$E13&lt;EQ$5+GanttPeriod),"◇","")),IF(AND(EQ$5&lt;=$F13,EQ$5+GanttPeriod-1&gt;=$E13),"━","")))</f>
        <v/>
      </c>
      <c r="ER13" s="69" t="str">
        <f aca="false">IF($E13="","",IF($M13,IF(AND($G13&gt;=ER$5,$G13&lt;ER$5+GanttPeriod),"◆",IF(AND($E13&gt;=ER$5,$E13&lt;ER$5+GanttPeriod),"◇","")),IF(AND(ER$5&lt;=$F13,ER$5+GanttPeriod-1&gt;=$E13),"━","")))</f>
        <v/>
      </c>
      <c r="ES13" s="69" t="str">
        <f aca="false">IF($E13="","",IF($M13,IF(AND($G13&gt;=ES$5,$G13&lt;ES$5+GanttPeriod),"◆",IF(AND($E13&gt;=ES$5,$E13&lt;ES$5+GanttPeriod),"◇","")),IF(AND(ES$5&lt;=$F13,ES$5+GanttPeriod-1&gt;=$E13),"━","")))</f>
        <v/>
      </c>
      <c r="ET13" s="69" t="str">
        <f aca="false">IF($E13="","",IF($M13,IF(AND($G13&gt;=ET$5,$G13&lt;ET$5+GanttPeriod),"◆",IF(AND($E13&gt;=ET$5,$E13&lt;ET$5+GanttPeriod),"◇","")),IF(AND(ET$5&lt;=$F13,ET$5+GanttPeriod-1&gt;=$E13),"━","")))</f>
        <v/>
      </c>
      <c r="EU13" s="69" t="str">
        <f aca="false">IF($E13="","",IF($M13,IF(AND($G13&gt;=EU$5,$G13&lt;EU$5+GanttPeriod),"◆",IF(AND($E13&gt;=EU$5,$E13&lt;EU$5+GanttPeriod),"◇","")),IF(AND(EU$5&lt;=$F13,EU$5+GanttPeriod-1&gt;=$E13),"━","")))</f>
        <v/>
      </c>
      <c r="EV13" s="69" t="str">
        <f aca="false">IF($E13="","",IF($M13,IF(AND($G13&gt;=EV$5,$G13&lt;EV$5+GanttPeriod),"◆",IF(AND($E13&gt;=EV$5,$E13&lt;EV$5+GanttPeriod),"◇","")),IF(AND(EV$5&lt;=$F13,EV$5+GanttPeriod-1&gt;=$E13),"━","")))</f>
        <v/>
      </c>
      <c r="EW13" s="69" t="str">
        <f aca="false">IF($E13="","",IF($M13,IF(AND($G13&gt;=EW$5,$G13&lt;EW$5+GanttPeriod),"◆",IF(AND($E13&gt;=EW$5,$E13&lt;EW$5+GanttPeriod),"◇","")),IF(AND(EW$5&lt;=$F13,EW$5+GanttPeriod-1&gt;=$E13),"━","")))</f>
        <v/>
      </c>
      <c r="EX13" s="69" t="str">
        <f aca="false">IF($E13="","",IF($M13,IF(AND($G13&gt;=EX$5,$G13&lt;EX$5+GanttPeriod),"◆",IF(AND($E13&gt;=EX$5,$E13&lt;EX$5+GanttPeriod),"◇","")),IF(AND(EX$5&lt;=$F13,EX$5+GanttPeriod-1&gt;=$E13),"━","")))</f>
        <v/>
      </c>
      <c r="EY13" s="69" t="str">
        <f aca="false">IF($E13="","",IF($M13,IF(AND($G13&gt;=EY$5,$G13&lt;EY$5+GanttPeriod),"◆",IF(AND($E13&gt;=EY$5,$E13&lt;EY$5+GanttPeriod),"◇","")),IF(AND(EY$5&lt;=$F13,EY$5+GanttPeriod-1&gt;=$E13),"━","")))</f>
        <v/>
      </c>
      <c r="EZ13" s="69" t="str">
        <f aca="false">IF($E13="","",IF($M13,IF(AND($G13&gt;=EZ$5,$G13&lt;EZ$5+GanttPeriod),"◆",IF(AND($E13&gt;=EZ$5,$E13&lt;EZ$5+GanttPeriod),"◇","")),IF(AND(EZ$5&lt;=$F13,EZ$5+GanttPeriod-1&gt;=$E13),"━","")))</f>
        <v/>
      </c>
      <c r="FA13" s="69" t="str">
        <f aca="false">IF($E13="","",IF($M13,IF(AND($G13&gt;=FA$5,$G13&lt;FA$5+GanttPeriod),"◆",IF(AND($E13&gt;=FA$5,$E13&lt;FA$5+GanttPeriod),"◇","")),IF(AND(FA$5&lt;=$F13,FA$5+GanttPeriod-1&gt;=$E13),"━","")))</f>
        <v/>
      </c>
      <c r="FB13" s="69" t="str">
        <f aca="false">IF($E13="","",IF($M13,IF(AND($G13&gt;=FB$5,$G13&lt;FB$5+GanttPeriod),"◆",IF(AND($E13&gt;=FB$5,$E13&lt;FB$5+GanttPeriod),"◇","")),IF(AND(FB$5&lt;=$F13,FB$5+GanttPeriod-1&gt;=$E13),"━","")))</f>
        <v/>
      </c>
      <c r="FC13" s="69" t="str">
        <f aca="false">IF($E13="","",IF($M13,IF(AND($G13&gt;=FC$5,$G13&lt;FC$5+GanttPeriod),"◆",IF(AND($E13&gt;=FC$5,$E13&lt;FC$5+GanttPeriod),"◇","")),IF(AND(FC$5&lt;=$F13,FC$5+GanttPeriod-1&gt;=$E13),"━","")))</f>
        <v/>
      </c>
      <c r="FD13" s="69" t="str">
        <f aca="false">IF($E13="","",IF($M13,IF(AND($G13&gt;=FD$5,$G13&lt;FD$5+GanttPeriod),"◆",IF(AND($E13&gt;=FD$5,$E13&lt;FD$5+GanttPeriod),"◇","")),IF(AND(FD$5&lt;=$F13,FD$5+GanttPeriod-1&gt;=$E13),"━","")))</f>
        <v/>
      </c>
      <c r="FE13" s="69" t="str">
        <f aca="false">IF($E13="","",IF($M13,IF(AND($G13&gt;=FE$5,$G13&lt;FE$5+GanttPeriod),"◆",IF(AND($E13&gt;=FE$5,$E13&lt;FE$5+GanttPeriod),"◇","")),IF(AND(FE$5&lt;=$F13,FE$5+GanttPeriod-1&gt;=$E13),"━","")))</f>
        <v/>
      </c>
      <c r="FF13" s="69" t="str">
        <f aca="false">IF($E13="","",IF($M13,IF(AND($G13&gt;=FF$5,$G13&lt;FF$5+GanttPeriod),"◆",IF(AND($E13&gt;=FF$5,$E13&lt;FF$5+GanttPeriod),"◇","")),IF(AND(FF$5&lt;=$F13,FF$5+GanttPeriod-1&gt;=$E13),"━","")))</f>
        <v/>
      </c>
      <c r="FG13" s="69" t="str">
        <f aca="false">IF($E13="","",IF($M13,IF(AND($G13&gt;=FG$5,$G13&lt;FG$5+GanttPeriod),"◆",IF(AND($E13&gt;=FG$5,$E13&lt;FG$5+GanttPeriod),"◇","")),IF(AND(FG$5&lt;=$F13,FG$5+GanttPeriod-1&gt;=$E13),"━","")))</f>
        <v/>
      </c>
      <c r="FH13" s="69" t="str">
        <f aca="false">IF($E13="","",IF($M13,IF(AND($G13&gt;=FH$5,$G13&lt;FH$5+GanttPeriod),"◆",IF(AND($E13&gt;=FH$5,$E13&lt;FH$5+GanttPeriod),"◇","")),IF(AND(FH$5&lt;=$F13,FH$5+GanttPeriod-1&gt;=$E13),"━","")))</f>
        <v/>
      </c>
      <c r="FI13" s="69" t="str">
        <f aca="false">IF($E13="","",IF($M13,IF(AND($G13&gt;=FI$5,$G13&lt;FI$5+GanttPeriod),"◆",IF(AND($E13&gt;=FI$5,$E13&lt;FI$5+GanttPeriod),"◇","")),IF(AND(FI$5&lt;=$F13,FI$5+GanttPeriod-1&gt;=$E13),"━","")))</f>
        <v/>
      </c>
      <c r="FJ13" s="69" t="str">
        <f aca="false">IF($E13="","",IF($M13,IF(AND($G13&gt;=FJ$5,$G13&lt;FJ$5+GanttPeriod),"◆",IF(AND($E13&gt;=FJ$5,$E13&lt;FJ$5+GanttPeriod),"◇","")),IF(AND(FJ$5&lt;=$F13,FJ$5+GanttPeriod-1&gt;=$E13),"━","")))</f>
        <v/>
      </c>
      <c r="FK13" s="69" t="str">
        <f aca="false">IF($E13="","",IF($M13,IF(AND($G13&gt;=FK$5,$G13&lt;FK$5+GanttPeriod),"◆",IF(AND($E13&gt;=FK$5,$E13&lt;FK$5+GanttPeriod),"◇","")),IF(AND(FK$5&lt;=$F13,FK$5+GanttPeriod-1&gt;=$E13),"━","")))</f>
        <v/>
      </c>
      <c r="FL13" s="69" t="str">
        <f aca="false">IF($E13="","",IF($M13,IF(AND($G13&gt;=FL$5,$G13&lt;FL$5+GanttPeriod),"◆",IF(AND($E13&gt;=FL$5,$E13&lt;FL$5+GanttPeriod),"◇","")),IF(AND(FL$5&lt;=$F13,FL$5+GanttPeriod-1&gt;=$E13),"━","")))</f>
        <v/>
      </c>
      <c r="FM13" s="69" t="str">
        <f aca="false">IF($E13="","",IF($M13,IF(AND($G13&gt;=FM$5,$G13&lt;FM$5+GanttPeriod),"◆",IF(AND($E13&gt;=FM$5,$E13&lt;FM$5+GanttPeriod),"◇","")),IF(AND(FM$5&lt;=$F13,FM$5+GanttPeriod-1&gt;=$E13),"━","")))</f>
        <v/>
      </c>
    </row>
    <row r="14" customFormat="false" ht="15" hidden="false" customHeight="false" outlineLevel="0" collapsed="false">
      <c r="A14" s="62" t="n">
        <f aca="false">IF(Tasks!$D14="","",Tasks!$A14)</f>
        <v>9</v>
      </c>
      <c r="B14" s="62" t="str">
        <f aca="false">IF(Tasks!$D14="","",Tasks!$B14)</f>
        <v>2.4</v>
      </c>
      <c r="C14" s="63" t="str">
        <f aca="false">IF(Tasks!$D14="","",REPT("    ",Tasks!$AE14-1)&amp;Tasks!$D14)</f>
        <v>    Design sign-off</v>
      </c>
      <c r="D14" s="62" t="n">
        <f aca="false">IF(Tasks!$D14="","",IF(Tasks!$AI14,NETWORKDAYS.INTL(Tasks!$R14,Tasks!$S14,WorkWeek,Holidays),N(Tasks!$F14)))</f>
        <v>0</v>
      </c>
      <c r="E14" s="64" t="n">
        <f aca="false">IF(Tasks!$D14="","",Tasks!$N14)</f>
        <v>46296</v>
      </c>
      <c r="F14" s="64" t="n">
        <f aca="false">IF(Tasks!$D14="","",Tasks!$O14)</f>
        <v>46296</v>
      </c>
      <c r="G14" s="64" t="n">
        <f aca="false">IF(Tasks!$D14="","",Tasks!$R14)</f>
        <v>46301</v>
      </c>
      <c r="H14" s="64" t="n">
        <f aca="false">IF(Tasks!$D14="","",Tasks!$S14)</f>
        <v>46301</v>
      </c>
      <c r="I14" s="65" t="n">
        <f aca="false">IF(Tasks!$D14="","",Tasks!$V14)</f>
        <v>1</v>
      </c>
      <c r="J14" s="63" t="str">
        <f aca="false">IF(Tasks!$D14="","",Tasks!$X14&amp;"")</f>
        <v/>
      </c>
      <c r="K14" s="66" t="str">
        <f aca="false">IF(Tasks!$D14="","",Tasks!$W14)</f>
        <v>Complete</v>
      </c>
      <c r="L14" s="67" t="b">
        <f aca="false">IF(Tasks!$D14="",FALSE(),Tasks!$AI14)</f>
        <v>0</v>
      </c>
      <c r="M14" s="67" t="b">
        <f aca="false">AND(Tasks!$AJ14=1,N(Tasks!$F14)=0)</f>
        <v>1</v>
      </c>
      <c r="N14" s="68" t="n">
        <f aca="false">IF(AND(Tasks!$AJ14=1,NOT($M14),N($I14)&gt;0),$G14,0)</f>
        <v>0</v>
      </c>
      <c r="O14" s="68" t="n">
        <f aca="false">IF($N14=0,0,IF($I14&gt;=1,$H14,MAX($N14,$G14+ROUND(($H14-$G14+1)*$I14,0)-1)))</f>
        <v>0</v>
      </c>
      <c r="P14" s="68" t="n">
        <f aca="false">IF(OR(Tasks!$AJ14&lt;&gt;1,$M14,N($I14)&gt;=1),0,IF($O14&gt;0,$O14+1,$G14))</f>
        <v>0</v>
      </c>
      <c r="Q14" s="68" t="n">
        <f aca="false">IF($P14=0,0,$H14)</f>
        <v>0</v>
      </c>
      <c r="R14" s="67" t="b">
        <f aca="false">AND(Tasks!$D14&lt;&gt;"",N(Tasks!$T14)&gt;0)</f>
        <v>1</v>
      </c>
      <c r="T14" s="69" t="str">
        <f aca="false">IF($E14="","",IF($M14,IF(AND($G14&gt;=T$5,$G14&lt;T$5+GanttPeriod),"◆",IF(AND($E14&gt;=T$5,$E14&lt;T$5+GanttPeriod),"◇","")),IF(AND(T$5&lt;=$F14,T$5+GanttPeriod-1&gt;=$E14),"━","")))</f>
        <v/>
      </c>
      <c r="U14" s="69" t="str">
        <f aca="false">IF($E14="","",IF($M14,IF(AND($G14&gt;=U$5,$G14&lt;U$5+GanttPeriod),"◆",IF(AND($E14&gt;=U$5,$E14&lt;U$5+GanttPeriod),"◇","")),IF(AND(U$5&lt;=$F14,U$5+GanttPeriod-1&gt;=$E14),"━","")))</f>
        <v/>
      </c>
      <c r="V14" s="69" t="str">
        <f aca="false">IF($E14="","",IF($M14,IF(AND($G14&gt;=V$5,$G14&lt;V$5+GanttPeriod),"◆",IF(AND($E14&gt;=V$5,$E14&lt;V$5+GanttPeriod),"◇","")),IF(AND(V$5&lt;=$F14,V$5+GanttPeriod-1&gt;=$E14),"━","")))</f>
        <v/>
      </c>
      <c r="W14" s="69" t="str">
        <f aca="false">IF($E14="","",IF($M14,IF(AND($G14&gt;=W$5,$G14&lt;W$5+GanttPeriod),"◆",IF(AND($E14&gt;=W$5,$E14&lt;W$5+GanttPeriod),"◇","")),IF(AND(W$5&lt;=$F14,W$5+GanttPeriod-1&gt;=$E14),"━","")))</f>
        <v/>
      </c>
      <c r="X14" s="69" t="str">
        <f aca="false">IF($E14="","",IF($M14,IF(AND($G14&gt;=X$5,$G14&lt;X$5+GanttPeriod),"◆",IF(AND($E14&gt;=X$5,$E14&lt;X$5+GanttPeriod),"◇","")),IF(AND(X$5&lt;=$F14,X$5+GanttPeriod-1&gt;=$E14),"━","")))</f>
        <v/>
      </c>
      <c r="Y14" s="69" t="str">
        <f aca="false">IF($E14="","",IF($M14,IF(AND($G14&gt;=Y$5,$G14&lt;Y$5+GanttPeriod),"◆",IF(AND($E14&gt;=Y$5,$E14&lt;Y$5+GanttPeriod),"◇","")),IF(AND(Y$5&lt;=$F14,Y$5+GanttPeriod-1&gt;=$E14),"━","")))</f>
        <v/>
      </c>
      <c r="Z14" s="69" t="str">
        <f aca="false">IF($E14="","",IF($M14,IF(AND($G14&gt;=Z$5,$G14&lt;Z$5+GanttPeriod),"◆",IF(AND($E14&gt;=Z$5,$E14&lt;Z$5+GanttPeriod),"◇","")),IF(AND(Z$5&lt;=$F14,Z$5+GanttPeriod-1&gt;=$E14),"━","")))</f>
        <v/>
      </c>
      <c r="AA14" s="69" t="str">
        <f aca="false">IF($E14="","",IF($M14,IF(AND($G14&gt;=AA$5,$G14&lt;AA$5+GanttPeriod),"◆",IF(AND($E14&gt;=AA$5,$E14&lt;AA$5+GanttPeriod),"◇","")),IF(AND(AA$5&lt;=$F14,AA$5+GanttPeriod-1&gt;=$E14),"━","")))</f>
        <v/>
      </c>
      <c r="AB14" s="69" t="str">
        <f aca="false">IF($E14="","",IF($M14,IF(AND($G14&gt;=AB$5,$G14&lt;AB$5+GanttPeriod),"◆",IF(AND($E14&gt;=AB$5,$E14&lt;AB$5+GanttPeriod),"◇","")),IF(AND(AB$5&lt;=$F14,AB$5+GanttPeriod-1&gt;=$E14),"━","")))</f>
        <v/>
      </c>
      <c r="AC14" s="69" t="str">
        <f aca="false">IF($E14="","",IF($M14,IF(AND($G14&gt;=AC$5,$G14&lt;AC$5+GanttPeriod),"◆",IF(AND($E14&gt;=AC$5,$E14&lt;AC$5+GanttPeriod),"◇","")),IF(AND(AC$5&lt;=$F14,AC$5+GanttPeriod-1&gt;=$E14),"━","")))</f>
        <v/>
      </c>
      <c r="AD14" s="69" t="str">
        <f aca="false">IF($E14="","",IF($M14,IF(AND($G14&gt;=AD$5,$G14&lt;AD$5+GanttPeriod),"◆",IF(AND($E14&gt;=AD$5,$E14&lt;AD$5+GanttPeriod),"◇","")),IF(AND(AD$5&lt;=$F14,AD$5+GanttPeriod-1&gt;=$E14),"━","")))</f>
        <v/>
      </c>
      <c r="AE14" s="69" t="str">
        <f aca="false">IF($E14="","",IF($M14,IF(AND($G14&gt;=AE$5,$G14&lt;AE$5+GanttPeriod),"◆",IF(AND($E14&gt;=AE$5,$E14&lt;AE$5+GanttPeriod),"◇","")),IF(AND(AE$5&lt;=$F14,AE$5+GanttPeriod-1&gt;=$E14),"━","")))</f>
        <v/>
      </c>
      <c r="AF14" s="69" t="str">
        <f aca="false">IF($E14="","",IF($M14,IF(AND($G14&gt;=AF$5,$G14&lt;AF$5+GanttPeriod),"◆",IF(AND($E14&gt;=AF$5,$E14&lt;AF$5+GanttPeriod),"◇","")),IF(AND(AF$5&lt;=$F14,AF$5+GanttPeriod-1&gt;=$E14),"━","")))</f>
        <v/>
      </c>
      <c r="AG14" s="69" t="str">
        <f aca="false">IF($E14="","",IF($M14,IF(AND($G14&gt;=AG$5,$G14&lt;AG$5+GanttPeriod),"◆",IF(AND($E14&gt;=AG$5,$E14&lt;AG$5+GanttPeriod),"◇","")),IF(AND(AG$5&lt;=$F14,AG$5+GanttPeriod-1&gt;=$E14),"━","")))</f>
        <v/>
      </c>
      <c r="AH14" s="69" t="str">
        <f aca="false">IF($E14="","",IF($M14,IF(AND($G14&gt;=AH$5,$G14&lt;AH$5+GanttPeriod),"◆",IF(AND($E14&gt;=AH$5,$E14&lt;AH$5+GanttPeriod),"◇","")),IF(AND(AH$5&lt;=$F14,AH$5+GanttPeriod-1&gt;=$E14),"━","")))</f>
        <v/>
      </c>
      <c r="AI14" s="69" t="str">
        <f aca="false">IF($E14="","",IF($M14,IF(AND($G14&gt;=AI$5,$G14&lt;AI$5+GanttPeriod),"◆",IF(AND($E14&gt;=AI$5,$E14&lt;AI$5+GanttPeriod),"◇","")),IF(AND(AI$5&lt;=$F14,AI$5+GanttPeriod-1&gt;=$E14),"━","")))</f>
        <v/>
      </c>
      <c r="AJ14" s="69" t="str">
        <f aca="false">IF($E14="","",IF($M14,IF(AND($G14&gt;=AJ$5,$G14&lt;AJ$5+GanttPeriod),"◆",IF(AND($E14&gt;=AJ$5,$E14&lt;AJ$5+GanttPeriod),"◇","")),IF(AND(AJ$5&lt;=$F14,AJ$5+GanttPeriod-1&gt;=$E14),"━","")))</f>
        <v/>
      </c>
      <c r="AK14" s="69" t="str">
        <f aca="false">IF($E14="","",IF($M14,IF(AND($G14&gt;=AK$5,$G14&lt;AK$5+GanttPeriod),"◆",IF(AND($E14&gt;=AK$5,$E14&lt;AK$5+GanttPeriod),"◇","")),IF(AND(AK$5&lt;=$F14,AK$5+GanttPeriod-1&gt;=$E14),"━","")))</f>
        <v/>
      </c>
      <c r="AL14" s="69" t="str">
        <f aca="false">IF($E14="","",IF($M14,IF(AND($G14&gt;=AL$5,$G14&lt;AL$5+GanttPeriod),"◆",IF(AND($E14&gt;=AL$5,$E14&lt;AL$5+GanttPeriod),"◇","")),IF(AND(AL$5&lt;=$F14,AL$5+GanttPeriod-1&gt;=$E14),"━","")))</f>
        <v/>
      </c>
      <c r="AM14" s="69" t="str">
        <f aca="false">IF($E14="","",IF($M14,IF(AND($G14&gt;=AM$5,$G14&lt;AM$5+GanttPeriod),"◆",IF(AND($E14&gt;=AM$5,$E14&lt;AM$5+GanttPeriod),"◇","")),IF(AND(AM$5&lt;=$F14,AM$5+GanttPeriod-1&gt;=$E14),"━","")))</f>
        <v/>
      </c>
      <c r="AN14" s="69" t="str">
        <f aca="false">IF($E14="","",IF($M14,IF(AND($G14&gt;=AN$5,$G14&lt;AN$5+GanttPeriod),"◆",IF(AND($E14&gt;=AN$5,$E14&lt;AN$5+GanttPeriod),"◇","")),IF(AND(AN$5&lt;=$F14,AN$5+GanttPeriod-1&gt;=$E14),"━","")))</f>
        <v/>
      </c>
      <c r="AO14" s="69" t="str">
        <f aca="false">IF($E14="","",IF($M14,IF(AND($G14&gt;=AO$5,$G14&lt;AO$5+GanttPeriod),"◆",IF(AND($E14&gt;=AO$5,$E14&lt;AO$5+GanttPeriod),"◇","")),IF(AND(AO$5&lt;=$F14,AO$5+GanttPeriod-1&gt;=$E14),"━","")))</f>
        <v/>
      </c>
      <c r="AP14" s="69" t="str">
        <f aca="false">IF($E14="","",IF($M14,IF(AND($G14&gt;=AP$5,$G14&lt;AP$5+GanttPeriod),"◆",IF(AND($E14&gt;=AP$5,$E14&lt;AP$5+GanttPeriod),"◇","")),IF(AND(AP$5&lt;=$F14,AP$5+GanttPeriod-1&gt;=$E14),"━","")))</f>
        <v/>
      </c>
      <c r="AQ14" s="69" t="str">
        <f aca="false">IF($E14="","",IF($M14,IF(AND($G14&gt;=AQ$5,$G14&lt;AQ$5+GanttPeriod),"◆",IF(AND($E14&gt;=AQ$5,$E14&lt;AQ$5+GanttPeriod),"◇","")),IF(AND(AQ$5&lt;=$F14,AQ$5+GanttPeriod-1&gt;=$E14),"━","")))</f>
        <v/>
      </c>
      <c r="AR14" s="69" t="str">
        <f aca="false">IF($E14="","",IF($M14,IF(AND($G14&gt;=AR$5,$G14&lt;AR$5+GanttPeriod),"◆",IF(AND($E14&gt;=AR$5,$E14&lt;AR$5+GanttPeriod),"◇","")),IF(AND(AR$5&lt;=$F14,AR$5+GanttPeriod-1&gt;=$E14),"━","")))</f>
        <v>◇</v>
      </c>
      <c r="AS14" s="69" t="str">
        <f aca="false">IF($E14="","",IF($M14,IF(AND($G14&gt;=AS$5,$G14&lt;AS$5+GanttPeriod),"◆",IF(AND($E14&gt;=AS$5,$E14&lt;AS$5+GanttPeriod),"◇","")),IF(AND(AS$5&lt;=$F14,AS$5+GanttPeriod-1&gt;=$E14),"━","")))</f>
        <v/>
      </c>
      <c r="AT14" s="69" t="str">
        <f aca="false">IF($E14="","",IF($M14,IF(AND($G14&gt;=AT$5,$G14&lt;AT$5+GanttPeriod),"◆",IF(AND($E14&gt;=AT$5,$E14&lt;AT$5+GanttPeriod),"◇","")),IF(AND(AT$5&lt;=$F14,AT$5+GanttPeriod-1&gt;=$E14),"━","")))</f>
        <v/>
      </c>
      <c r="AU14" s="69" t="str">
        <f aca="false">IF($E14="","",IF($M14,IF(AND($G14&gt;=AU$5,$G14&lt;AU$5+GanttPeriod),"◆",IF(AND($E14&gt;=AU$5,$E14&lt;AU$5+GanttPeriod),"◇","")),IF(AND(AU$5&lt;=$F14,AU$5+GanttPeriod-1&gt;=$E14),"━","")))</f>
        <v/>
      </c>
      <c r="AV14" s="69" t="str">
        <f aca="false">IF($E14="","",IF($M14,IF(AND($G14&gt;=AV$5,$G14&lt;AV$5+GanttPeriod),"◆",IF(AND($E14&gt;=AV$5,$E14&lt;AV$5+GanttPeriod),"◇","")),IF(AND(AV$5&lt;=$F14,AV$5+GanttPeriod-1&gt;=$E14),"━","")))</f>
        <v/>
      </c>
      <c r="AW14" s="69" t="str">
        <f aca="false">IF($E14="","",IF($M14,IF(AND($G14&gt;=AW$5,$G14&lt;AW$5+GanttPeriod),"◆",IF(AND($E14&gt;=AW$5,$E14&lt;AW$5+GanttPeriod),"◇","")),IF(AND(AW$5&lt;=$F14,AW$5+GanttPeriod-1&gt;=$E14),"━","")))</f>
        <v>◆</v>
      </c>
      <c r="AX14" s="69" t="str">
        <f aca="false">IF($E14="","",IF($M14,IF(AND($G14&gt;=AX$5,$G14&lt;AX$5+GanttPeriod),"◆",IF(AND($E14&gt;=AX$5,$E14&lt;AX$5+GanttPeriod),"◇","")),IF(AND(AX$5&lt;=$F14,AX$5+GanttPeriod-1&gt;=$E14),"━","")))</f>
        <v/>
      </c>
      <c r="AY14" s="69" t="str">
        <f aca="false">IF($E14="","",IF($M14,IF(AND($G14&gt;=AY$5,$G14&lt;AY$5+GanttPeriod),"◆",IF(AND($E14&gt;=AY$5,$E14&lt;AY$5+GanttPeriod),"◇","")),IF(AND(AY$5&lt;=$F14,AY$5+GanttPeriod-1&gt;=$E14),"━","")))</f>
        <v/>
      </c>
      <c r="AZ14" s="69" t="str">
        <f aca="false">IF($E14="","",IF($M14,IF(AND($G14&gt;=AZ$5,$G14&lt;AZ$5+GanttPeriod),"◆",IF(AND($E14&gt;=AZ$5,$E14&lt;AZ$5+GanttPeriod),"◇","")),IF(AND(AZ$5&lt;=$F14,AZ$5+GanttPeriod-1&gt;=$E14),"━","")))</f>
        <v/>
      </c>
      <c r="BA14" s="69" t="str">
        <f aca="false">IF($E14="","",IF($M14,IF(AND($G14&gt;=BA$5,$G14&lt;BA$5+GanttPeriod),"◆",IF(AND($E14&gt;=BA$5,$E14&lt;BA$5+GanttPeriod),"◇","")),IF(AND(BA$5&lt;=$F14,BA$5+GanttPeriod-1&gt;=$E14),"━","")))</f>
        <v/>
      </c>
      <c r="BB14" s="69" t="str">
        <f aca="false">IF($E14="","",IF($M14,IF(AND($G14&gt;=BB$5,$G14&lt;BB$5+GanttPeriod),"◆",IF(AND($E14&gt;=BB$5,$E14&lt;BB$5+GanttPeriod),"◇","")),IF(AND(BB$5&lt;=$F14,BB$5+GanttPeriod-1&gt;=$E14),"━","")))</f>
        <v/>
      </c>
      <c r="BC14" s="69" t="str">
        <f aca="false">IF($E14="","",IF($M14,IF(AND($G14&gt;=BC$5,$G14&lt;BC$5+GanttPeriod),"◆",IF(AND($E14&gt;=BC$5,$E14&lt;BC$5+GanttPeriod),"◇","")),IF(AND(BC$5&lt;=$F14,BC$5+GanttPeriod-1&gt;=$E14),"━","")))</f>
        <v/>
      </c>
      <c r="BD14" s="69" t="str">
        <f aca="false">IF($E14="","",IF($M14,IF(AND($G14&gt;=BD$5,$G14&lt;BD$5+GanttPeriod),"◆",IF(AND($E14&gt;=BD$5,$E14&lt;BD$5+GanttPeriod),"◇","")),IF(AND(BD$5&lt;=$F14,BD$5+GanttPeriod-1&gt;=$E14),"━","")))</f>
        <v/>
      </c>
      <c r="BE14" s="69" t="str">
        <f aca="false">IF($E14="","",IF($M14,IF(AND($G14&gt;=BE$5,$G14&lt;BE$5+GanttPeriod),"◆",IF(AND($E14&gt;=BE$5,$E14&lt;BE$5+GanttPeriod),"◇","")),IF(AND(BE$5&lt;=$F14,BE$5+GanttPeriod-1&gt;=$E14),"━","")))</f>
        <v/>
      </c>
      <c r="BF14" s="69" t="str">
        <f aca="false">IF($E14="","",IF($M14,IF(AND($G14&gt;=BF$5,$G14&lt;BF$5+GanttPeriod),"◆",IF(AND($E14&gt;=BF$5,$E14&lt;BF$5+GanttPeriod),"◇","")),IF(AND(BF$5&lt;=$F14,BF$5+GanttPeriod-1&gt;=$E14),"━","")))</f>
        <v/>
      </c>
      <c r="BG14" s="69" t="str">
        <f aca="false">IF($E14="","",IF($M14,IF(AND($G14&gt;=BG$5,$G14&lt;BG$5+GanttPeriod),"◆",IF(AND($E14&gt;=BG$5,$E14&lt;BG$5+GanttPeriod),"◇","")),IF(AND(BG$5&lt;=$F14,BG$5+GanttPeriod-1&gt;=$E14),"━","")))</f>
        <v/>
      </c>
      <c r="BH14" s="69" t="str">
        <f aca="false">IF($E14="","",IF($M14,IF(AND($G14&gt;=BH$5,$G14&lt;BH$5+GanttPeriod),"◆",IF(AND($E14&gt;=BH$5,$E14&lt;BH$5+GanttPeriod),"◇","")),IF(AND(BH$5&lt;=$F14,BH$5+GanttPeriod-1&gt;=$E14),"━","")))</f>
        <v/>
      </c>
      <c r="BI14" s="69" t="str">
        <f aca="false">IF($E14="","",IF($M14,IF(AND($G14&gt;=BI$5,$G14&lt;BI$5+GanttPeriod),"◆",IF(AND($E14&gt;=BI$5,$E14&lt;BI$5+GanttPeriod),"◇","")),IF(AND(BI$5&lt;=$F14,BI$5+GanttPeriod-1&gt;=$E14),"━","")))</f>
        <v/>
      </c>
      <c r="BJ14" s="69" t="str">
        <f aca="false">IF($E14="","",IF($M14,IF(AND($G14&gt;=BJ$5,$G14&lt;BJ$5+GanttPeriod),"◆",IF(AND($E14&gt;=BJ$5,$E14&lt;BJ$5+GanttPeriod),"◇","")),IF(AND(BJ$5&lt;=$F14,BJ$5+GanttPeriod-1&gt;=$E14),"━","")))</f>
        <v/>
      </c>
      <c r="BK14" s="69" t="str">
        <f aca="false">IF($E14="","",IF($M14,IF(AND($G14&gt;=BK$5,$G14&lt;BK$5+GanttPeriod),"◆",IF(AND($E14&gt;=BK$5,$E14&lt;BK$5+GanttPeriod),"◇","")),IF(AND(BK$5&lt;=$F14,BK$5+GanttPeriod-1&gt;=$E14),"━","")))</f>
        <v/>
      </c>
      <c r="BL14" s="69" t="str">
        <f aca="false">IF($E14="","",IF($M14,IF(AND($G14&gt;=BL$5,$G14&lt;BL$5+GanttPeriod),"◆",IF(AND($E14&gt;=BL$5,$E14&lt;BL$5+GanttPeriod),"◇","")),IF(AND(BL$5&lt;=$F14,BL$5+GanttPeriod-1&gt;=$E14),"━","")))</f>
        <v/>
      </c>
      <c r="BM14" s="69" t="str">
        <f aca="false">IF($E14="","",IF($M14,IF(AND($G14&gt;=BM$5,$G14&lt;BM$5+GanttPeriod),"◆",IF(AND($E14&gt;=BM$5,$E14&lt;BM$5+GanttPeriod),"◇","")),IF(AND(BM$5&lt;=$F14,BM$5+GanttPeriod-1&gt;=$E14),"━","")))</f>
        <v/>
      </c>
      <c r="BN14" s="69" t="str">
        <f aca="false">IF($E14="","",IF($M14,IF(AND($G14&gt;=BN$5,$G14&lt;BN$5+GanttPeriod),"◆",IF(AND($E14&gt;=BN$5,$E14&lt;BN$5+GanttPeriod),"◇","")),IF(AND(BN$5&lt;=$F14,BN$5+GanttPeriod-1&gt;=$E14),"━","")))</f>
        <v/>
      </c>
      <c r="BO14" s="69" t="str">
        <f aca="false">IF($E14="","",IF($M14,IF(AND($G14&gt;=BO$5,$G14&lt;BO$5+GanttPeriod),"◆",IF(AND($E14&gt;=BO$5,$E14&lt;BO$5+GanttPeriod),"◇","")),IF(AND(BO$5&lt;=$F14,BO$5+GanttPeriod-1&gt;=$E14),"━","")))</f>
        <v/>
      </c>
      <c r="BP14" s="69" t="str">
        <f aca="false">IF($E14="","",IF($M14,IF(AND($G14&gt;=BP$5,$G14&lt;BP$5+GanttPeriod),"◆",IF(AND($E14&gt;=BP$5,$E14&lt;BP$5+GanttPeriod),"◇","")),IF(AND(BP$5&lt;=$F14,BP$5+GanttPeriod-1&gt;=$E14),"━","")))</f>
        <v/>
      </c>
      <c r="BQ14" s="69" t="str">
        <f aca="false">IF($E14="","",IF($M14,IF(AND($G14&gt;=BQ$5,$G14&lt;BQ$5+GanttPeriod),"◆",IF(AND($E14&gt;=BQ$5,$E14&lt;BQ$5+GanttPeriod),"◇","")),IF(AND(BQ$5&lt;=$F14,BQ$5+GanttPeriod-1&gt;=$E14),"━","")))</f>
        <v/>
      </c>
      <c r="BR14" s="69" t="str">
        <f aca="false">IF($E14="","",IF($M14,IF(AND($G14&gt;=BR$5,$G14&lt;BR$5+GanttPeriod),"◆",IF(AND($E14&gt;=BR$5,$E14&lt;BR$5+GanttPeriod),"◇","")),IF(AND(BR$5&lt;=$F14,BR$5+GanttPeriod-1&gt;=$E14),"━","")))</f>
        <v/>
      </c>
      <c r="BS14" s="69" t="str">
        <f aca="false">IF($E14="","",IF($M14,IF(AND($G14&gt;=BS$5,$G14&lt;BS$5+GanttPeriod),"◆",IF(AND($E14&gt;=BS$5,$E14&lt;BS$5+GanttPeriod),"◇","")),IF(AND(BS$5&lt;=$F14,BS$5+GanttPeriod-1&gt;=$E14),"━","")))</f>
        <v/>
      </c>
      <c r="BT14" s="69" t="str">
        <f aca="false">IF($E14="","",IF($M14,IF(AND($G14&gt;=BT$5,$G14&lt;BT$5+GanttPeriod),"◆",IF(AND($E14&gt;=BT$5,$E14&lt;BT$5+GanttPeriod),"◇","")),IF(AND(BT$5&lt;=$F14,BT$5+GanttPeriod-1&gt;=$E14),"━","")))</f>
        <v/>
      </c>
      <c r="BU14" s="69" t="str">
        <f aca="false">IF($E14="","",IF($M14,IF(AND($G14&gt;=BU$5,$G14&lt;BU$5+GanttPeriod),"◆",IF(AND($E14&gt;=BU$5,$E14&lt;BU$5+GanttPeriod),"◇","")),IF(AND(BU$5&lt;=$F14,BU$5+GanttPeriod-1&gt;=$E14),"━","")))</f>
        <v/>
      </c>
      <c r="BV14" s="69" t="str">
        <f aca="false">IF($E14="","",IF($M14,IF(AND($G14&gt;=BV$5,$G14&lt;BV$5+GanttPeriod),"◆",IF(AND($E14&gt;=BV$5,$E14&lt;BV$5+GanttPeriod),"◇","")),IF(AND(BV$5&lt;=$F14,BV$5+GanttPeriod-1&gt;=$E14),"━","")))</f>
        <v/>
      </c>
      <c r="BW14" s="69" t="str">
        <f aca="false">IF($E14="","",IF($M14,IF(AND($G14&gt;=BW$5,$G14&lt;BW$5+GanttPeriod),"◆",IF(AND($E14&gt;=BW$5,$E14&lt;BW$5+GanttPeriod),"◇","")),IF(AND(BW$5&lt;=$F14,BW$5+GanttPeriod-1&gt;=$E14),"━","")))</f>
        <v/>
      </c>
      <c r="BX14" s="69" t="str">
        <f aca="false">IF($E14="","",IF($M14,IF(AND($G14&gt;=BX$5,$G14&lt;BX$5+GanttPeriod),"◆",IF(AND($E14&gt;=BX$5,$E14&lt;BX$5+GanttPeriod),"◇","")),IF(AND(BX$5&lt;=$F14,BX$5+GanttPeriod-1&gt;=$E14),"━","")))</f>
        <v/>
      </c>
      <c r="BY14" s="69" t="str">
        <f aca="false">IF($E14="","",IF($M14,IF(AND($G14&gt;=BY$5,$G14&lt;BY$5+GanttPeriod),"◆",IF(AND($E14&gt;=BY$5,$E14&lt;BY$5+GanttPeriod),"◇","")),IF(AND(BY$5&lt;=$F14,BY$5+GanttPeriod-1&gt;=$E14),"━","")))</f>
        <v/>
      </c>
      <c r="BZ14" s="69" t="str">
        <f aca="false">IF($E14="","",IF($M14,IF(AND($G14&gt;=BZ$5,$G14&lt;BZ$5+GanttPeriod),"◆",IF(AND($E14&gt;=BZ$5,$E14&lt;BZ$5+GanttPeriod),"◇","")),IF(AND(BZ$5&lt;=$F14,BZ$5+GanttPeriod-1&gt;=$E14),"━","")))</f>
        <v/>
      </c>
      <c r="CA14" s="69" t="str">
        <f aca="false">IF($E14="","",IF($M14,IF(AND($G14&gt;=CA$5,$G14&lt;CA$5+GanttPeriod),"◆",IF(AND($E14&gt;=CA$5,$E14&lt;CA$5+GanttPeriod),"◇","")),IF(AND(CA$5&lt;=$F14,CA$5+GanttPeriod-1&gt;=$E14),"━","")))</f>
        <v/>
      </c>
      <c r="CB14" s="69" t="str">
        <f aca="false">IF($E14="","",IF($M14,IF(AND($G14&gt;=CB$5,$G14&lt;CB$5+GanttPeriod),"◆",IF(AND($E14&gt;=CB$5,$E14&lt;CB$5+GanttPeriod),"◇","")),IF(AND(CB$5&lt;=$F14,CB$5+GanttPeriod-1&gt;=$E14),"━","")))</f>
        <v/>
      </c>
      <c r="CC14" s="69" t="str">
        <f aca="false">IF($E14="","",IF($M14,IF(AND($G14&gt;=CC$5,$G14&lt;CC$5+GanttPeriod),"◆",IF(AND($E14&gt;=CC$5,$E14&lt;CC$5+GanttPeriod),"◇","")),IF(AND(CC$5&lt;=$F14,CC$5+GanttPeriod-1&gt;=$E14),"━","")))</f>
        <v/>
      </c>
      <c r="CD14" s="69" t="str">
        <f aca="false">IF($E14="","",IF($M14,IF(AND($G14&gt;=CD$5,$G14&lt;CD$5+GanttPeriod),"◆",IF(AND($E14&gt;=CD$5,$E14&lt;CD$5+GanttPeriod),"◇","")),IF(AND(CD$5&lt;=$F14,CD$5+GanttPeriod-1&gt;=$E14),"━","")))</f>
        <v/>
      </c>
      <c r="CE14" s="69" t="str">
        <f aca="false">IF($E14="","",IF($M14,IF(AND($G14&gt;=CE$5,$G14&lt;CE$5+GanttPeriod),"◆",IF(AND($E14&gt;=CE$5,$E14&lt;CE$5+GanttPeriod),"◇","")),IF(AND(CE$5&lt;=$F14,CE$5+GanttPeriod-1&gt;=$E14),"━","")))</f>
        <v/>
      </c>
      <c r="CF14" s="69" t="str">
        <f aca="false">IF($E14="","",IF($M14,IF(AND($G14&gt;=CF$5,$G14&lt;CF$5+GanttPeriod),"◆",IF(AND($E14&gt;=CF$5,$E14&lt;CF$5+GanttPeriod),"◇","")),IF(AND(CF$5&lt;=$F14,CF$5+GanttPeriod-1&gt;=$E14),"━","")))</f>
        <v/>
      </c>
      <c r="CG14" s="69" t="str">
        <f aca="false">IF($E14="","",IF($M14,IF(AND($G14&gt;=CG$5,$G14&lt;CG$5+GanttPeriod),"◆",IF(AND($E14&gt;=CG$5,$E14&lt;CG$5+GanttPeriod),"◇","")),IF(AND(CG$5&lt;=$F14,CG$5+GanttPeriod-1&gt;=$E14),"━","")))</f>
        <v/>
      </c>
      <c r="CH14" s="69" t="str">
        <f aca="false">IF($E14="","",IF($M14,IF(AND($G14&gt;=CH$5,$G14&lt;CH$5+GanttPeriod),"◆",IF(AND($E14&gt;=CH$5,$E14&lt;CH$5+GanttPeriod),"◇","")),IF(AND(CH$5&lt;=$F14,CH$5+GanttPeriod-1&gt;=$E14),"━","")))</f>
        <v/>
      </c>
      <c r="CI14" s="69" t="str">
        <f aca="false">IF($E14="","",IF($M14,IF(AND($G14&gt;=CI$5,$G14&lt;CI$5+GanttPeriod),"◆",IF(AND($E14&gt;=CI$5,$E14&lt;CI$5+GanttPeriod),"◇","")),IF(AND(CI$5&lt;=$F14,CI$5+GanttPeriod-1&gt;=$E14),"━","")))</f>
        <v/>
      </c>
      <c r="CJ14" s="69" t="str">
        <f aca="false">IF($E14="","",IF($M14,IF(AND($G14&gt;=CJ$5,$G14&lt;CJ$5+GanttPeriod),"◆",IF(AND($E14&gt;=CJ$5,$E14&lt;CJ$5+GanttPeriod),"◇","")),IF(AND(CJ$5&lt;=$F14,CJ$5+GanttPeriod-1&gt;=$E14),"━","")))</f>
        <v/>
      </c>
      <c r="CK14" s="69" t="str">
        <f aca="false">IF($E14="","",IF($M14,IF(AND($G14&gt;=CK$5,$G14&lt;CK$5+GanttPeriod),"◆",IF(AND($E14&gt;=CK$5,$E14&lt;CK$5+GanttPeriod),"◇","")),IF(AND(CK$5&lt;=$F14,CK$5+GanttPeriod-1&gt;=$E14),"━","")))</f>
        <v/>
      </c>
      <c r="CL14" s="69" t="str">
        <f aca="false">IF($E14="","",IF($M14,IF(AND($G14&gt;=CL$5,$G14&lt;CL$5+GanttPeriod),"◆",IF(AND($E14&gt;=CL$5,$E14&lt;CL$5+GanttPeriod),"◇","")),IF(AND(CL$5&lt;=$F14,CL$5+GanttPeriod-1&gt;=$E14),"━","")))</f>
        <v/>
      </c>
      <c r="CM14" s="69" t="str">
        <f aca="false">IF($E14="","",IF($M14,IF(AND($G14&gt;=CM$5,$G14&lt;CM$5+GanttPeriod),"◆",IF(AND($E14&gt;=CM$5,$E14&lt;CM$5+GanttPeriod),"◇","")),IF(AND(CM$5&lt;=$F14,CM$5+GanttPeriod-1&gt;=$E14),"━","")))</f>
        <v/>
      </c>
      <c r="CN14" s="69" t="str">
        <f aca="false">IF($E14="","",IF($M14,IF(AND($G14&gt;=CN$5,$G14&lt;CN$5+GanttPeriod),"◆",IF(AND($E14&gt;=CN$5,$E14&lt;CN$5+GanttPeriod),"◇","")),IF(AND(CN$5&lt;=$F14,CN$5+GanttPeriod-1&gt;=$E14),"━","")))</f>
        <v/>
      </c>
      <c r="CO14" s="69" t="str">
        <f aca="false">IF($E14="","",IF($M14,IF(AND($G14&gt;=CO$5,$G14&lt;CO$5+GanttPeriod),"◆",IF(AND($E14&gt;=CO$5,$E14&lt;CO$5+GanttPeriod),"◇","")),IF(AND(CO$5&lt;=$F14,CO$5+GanttPeriod-1&gt;=$E14),"━","")))</f>
        <v/>
      </c>
      <c r="CP14" s="69" t="str">
        <f aca="false">IF($E14="","",IF($M14,IF(AND($G14&gt;=CP$5,$G14&lt;CP$5+GanttPeriod),"◆",IF(AND($E14&gt;=CP$5,$E14&lt;CP$5+GanttPeriod),"◇","")),IF(AND(CP$5&lt;=$F14,CP$5+GanttPeriod-1&gt;=$E14),"━","")))</f>
        <v/>
      </c>
      <c r="CQ14" s="69" t="str">
        <f aca="false">IF($E14="","",IF($M14,IF(AND($G14&gt;=CQ$5,$G14&lt;CQ$5+GanttPeriod),"◆",IF(AND($E14&gt;=CQ$5,$E14&lt;CQ$5+GanttPeriod),"◇","")),IF(AND(CQ$5&lt;=$F14,CQ$5+GanttPeriod-1&gt;=$E14),"━","")))</f>
        <v/>
      </c>
      <c r="CR14" s="69" t="str">
        <f aca="false">IF($E14="","",IF($M14,IF(AND($G14&gt;=CR$5,$G14&lt;CR$5+GanttPeriod),"◆",IF(AND($E14&gt;=CR$5,$E14&lt;CR$5+GanttPeriod),"◇","")),IF(AND(CR$5&lt;=$F14,CR$5+GanttPeriod-1&gt;=$E14),"━","")))</f>
        <v/>
      </c>
      <c r="CS14" s="69" t="str">
        <f aca="false">IF($E14="","",IF($M14,IF(AND($G14&gt;=CS$5,$G14&lt;CS$5+GanttPeriod),"◆",IF(AND($E14&gt;=CS$5,$E14&lt;CS$5+GanttPeriod),"◇","")),IF(AND(CS$5&lt;=$F14,CS$5+GanttPeriod-1&gt;=$E14),"━","")))</f>
        <v/>
      </c>
      <c r="CT14" s="69" t="str">
        <f aca="false">IF($E14="","",IF($M14,IF(AND($G14&gt;=CT$5,$G14&lt;CT$5+GanttPeriod),"◆",IF(AND($E14&gt;=CT$5,$E14&lt;CT$5+GanttPeriod),"◇","")),IF(AND(CT$5&lt;=$F14,CT$5+GanttPeriod-1&gt;=$E14),"━","")))</f>
        <v/>
      </c>
      <c r="CU14" s="69" t="str">
        <f aca="false">IF($E14="","",IF($M14,IF(AND($G14&gt;=CU$5,$G14&lt;CU$5+GanttPeriod),"◆",IF(AND($E14&gt;=CU$5,$E14&lt;CU$5+GanttPeriod),"◇","")),IF(AND(CU$5&lt;=$F14,CU$5+GanttPeriod-1&gt;=$E14),"━","")))</f>
        <v/>
      </c>
      <c r="CV14" s="69" t="str">
        <f aca="false">IF($E14="","",IF($M14,IF(AND($G14&gt;=CV$5,$G14&lt;CV$5+GanttPeriod),"◆",IF(AND($E14&gt;=CV$5,$E14&lt;CV$5+GanttPeriod),"◇","")),IF(AND(CV$5&lt;=$F14,CV$5+GanttPeriod-1&gt;=$E14),"━","")))</f>
        <v/>
      </c>
      <c r="CW14" s="69" t="str">
        <f aca="false">IF($E14="","",IF($M14,IF(AND($G14&gt;=CW$5,$G14&lt;CW$5+GanttPeriod),"◆",IF(AND($E14&gt;=CW$5,$E14&lt;CW$5+GanttPeriod),"◇","")),IF(AND(CW$5&lt;=$F14,CW$5+GanttPeriod-1&gt;=$E14),"━","")))</f>
        <v/>
      </c>
      <c r="CX14" s="69" t="str">
        <f aca="false">IF($E14="","",IF($M14,IF(AND($G14&gt;=CX$5,$G14&lt;CX$5+GanttPeriod),"◆",IF(AND($E14&gt;=CX$5,$E14&lt;CX$5+GanttPeriod),"◇","")),IF(AND(CX$5&lt;=$F14,CX$5+GanttPeriod-1&gt;=$E14),"━","")))</f>
        <v/>
      </c>
      <c r="CY14" s="69" t="str">
        <f aca="false">IF($E14="","",IF($M14,IF(AND($G14&gt;=CY$5,$G14&lt;CY$5+GanttPeriod),"◆",IF(AND($E14&gt;=CY$5,$E14&lt;CY$5+GanttPeriod),"◇","")),IF(AND(CY$5&lt;=$F14,CY$5+GanttPeriod-1&gt;=$E14),"━","")))</f>
        <v/>
      </c>
      <c r="CZ14" s="69" t="str">
        <f aca="false">IF($E14="","",IF($M14,IF(AND($G14&gt;=CZ$5,$G14&lt;CZ$5+GanttPeriod),"◆",IF(AND($E14&gt;=CZ$5,$E14&lt;CZ$5+GanttPeriod),"◇","")),IF(AND(CZ$5&lt;=$F14,CZ$5+GanttPeriod-1&gt;=$E14),"━","")))</f>
        <v/>
      </c>
      <c r="DA14" s="69" t="str">
        <f aca="false">IF($E14="","",IF($M14,IF(AND($G14&gt;=DA$5,$G14&lt;DA$5+GanttPeriod),"◆",IF(AND($E14&gt;=DA$5,$E14&lt;DA$5+GanttPeriod),"◇","")),IF(AND(DA$5&lt;=$F14,DA$5+GanttPeriod-1&gt;=$E14),"━","")))</f>
        <v/>
      </c>
      <c r="DB14" s="69" t="str">
        <f aca="false">IF($E14="","",IF($M14,IF(AND($G14&gt;=DB$5,$G14&lt;DB$5+GanttPeriod),"◆",IF(AND($E14&gt;=DB$5,$E14&lt;DB$5+GanttPeriod),"◇","")),IF(AND(DB$5&lt;=$F14,DB$5+GanttPeriod-1&gt;=$E14),"━","")))</f>
        <v/>
      </c>
      <c r="DC14" s="69" t="str">
        <f aca="false">IF($E14="","",IF($M14,IF(AND($G14&gt;=DC$5,$G14&lt;DC$5+GanttPeriod),"◆",IF(AND($E14&gt;=DC$5,$E14&lt;DC$5+GanttPeriod),"◇","")),IF(AND(DC$5&lt;=$F14,DC$5+GanttPeriod-1&gt;=$E14),"━","")))</f>
        <v/>
      </c>
      <c r="DD14" s="69" t="str">
        <f aca="false">IF($E14="","",IF($M14,IF(AND($G14&gt;=DD$5,$G14&lt;DD$5+GanttPeriod),"◆",IF(AND($E14&gt;=DD$5,$E14&lt;DD$5+GanttPeriod),"◇","")),IF(AND(DD$5&lt;=$F14,DD$5+GanttPeriod-1&gt;=$E14),"━","")))</f>
        <v/>
      </c>
      <c r="DE14" s="69" t="str">
        <f aca="false">IF($E14="","",IF($M14,IF(AND($G14&gt;=DE$5,$G14&lt;DE$5+GanttPeriod),"◆",IF(AND($E14&gt;=DE$5,$E14&lt;DE$5+GanttPeriod),"◇","")),IF(AND(DE$5&lt;=$F14,DE$5+GanttPeriod-1&gt;=$E14),"━","")))</f>
        <v/>
      </c>
      <c r="DF14" s="69" t="str">
        <f aca="false">IF($E14="","",IF($M14,IF(AND($G14&gt;=DF$5,$G14&lt;DF$5+GanttPeriod),"◆",IF(AND($E14&gt;=DF$5,$E14&lt;DF$5+GanttPeriod),"◇","")),IF(AND(DF$5&lt;=$F14,DF$5+GanttPeriod-1&gt;=$E14),"━","")))</f>
        <v/>
      </c>
      <c r="DG14" s="69" t="str">
        <f aca="false">IF($E14="","",IF($M14,IF(AND($G14&gt;=DG$5,$G14&lt;DG$5+GanttPeriod),"◆",IF(AND($E14&gt;=DG$5,$E14&lt;DG$5+GanttPeriod),"◇","")),IF(AND(DG$5&lt;=$F14,DG$5+GanttPeriod-1&gt;=$E14),"━","")))</f>
        <v/>
      </c>
      <c r="DH14" s="69" t="str">
        <f aca="false">IF($E14="","",IF($M14,IF(AND($G14&gt;=DH$5,$G14&lt;DH$5+GanttPeriod),"◆",IF(AND($E14&gt;=DH$5,$E14&lt;DH$5+GanttPeriod),"◇","")),IF(AND(DH$5&lt;=$F14,DH$5+GanttPeriod-1&gt;=$E14),"━","")))</f>
        <v/>
      </c>
      <c r="DI14" s="69" t="str">
        <f aca="false">IF($E14="","",IF($M14,IF(AND($G14&gt;=DI$5,$G14&lt;DI$5+GanttPeriod),"◆",IF(AND($E14&gt;=DI$5,$E14&lt;DI$5+GanttPeriod),"◇","")),IF(AND(DI$5&lt;=$F14,DI$5+GanttPeriod-1&gt;=$E14),"━","")))</f>
        <v/>
      </c>
      <c r="DJ14" s="69" t="str">
        <f aca="false">IF($E14="","",IF($M14,IF(AND($G14&gt;=DJ$5,$G14&lt;DJ$5+GanttPeriod),"◆",IF(AND($E14&gt;=DJ$5,$E14&lt;DJ$5+GanttPeriod),"◇","")),IF(AND(DJ$5&lt;=$F14,DJ$5+GanttPeriod-1&gt;=$E14),"━","")))</f>
        <v/>
      </c>
      <c r="DK14" s="69" t="str">
        <f aca="false">IF($E14="","",IF($M14,IF(AND($G14&gt;=DK$5,$G14&lt;DK$5+GanttPeriod),"◆",IF(AND($E14&gt;=DK$5,$E14&lt;DK$5+GanttPeriod),"◇","")),IF(AND(DK$5&lt;=$F14,DK$5+GanttPeriod-1&gt;=$E14),"━","")))</f>
        <v/>
      </c>
      <c r="DL14" s="69" t="str">
        <f aca="false">IF($E14="","",IF($M14,IF(AND($G14&gt;=DL$5,$G14&lt;DL$5+GanttPeriod),"◆",IF(AND($E14&gt;=DL$5,$E14&lt;DL$5+GanttPeriod),"◇","")),IF(AND(DL$5&lt;=$F14,DL$5+GanttPeriod-1&gt;=$E14),"━","")))</f>
        <v/>
      </c>
      <c r="DM14" s="69" t="str">
        <f aca="false">IF($E14="","",IF($M14,IF(AND($G14&gt;=DM$5,$G14&lt;DM$5+GanttPeriod),"◆",IF(AND($E14&gt;=DM$5,$E14&lt;DM$5+GanttPeriod),"◇","")),IF(AND(DM$5&lt;=$F14,DM$5+GanttPeriod-1&gt;=$E14),"━","")))</f>
        <v/>
      </c>
      <c r="DN14" s="69" t="str">
        <f aca="false">IF($E14="","",IF($M14,IF(AND($G14&gt;=DN$5,$G14&lt;DN$5+GanttPeriod),"◆",IF(AND($E14&gt;=DN$5,$E14&lt;DN$5+GanttPeriod),"◇","")),IF(AND(DN$5&lt;=$F14,DN$5+GanttPeriod-1&gt;=$E14),"━","")))</f>
        <v/>
      </c>
      <c r="DO14" s="69" t="str">
        <f aca="false">IF($E14="","",IF($M14,IF(AND($G14&gt;=DO$5,$G14&lt;DO$5+GanttPeriod),"◆",IF(AND($E14&gt;=DO$5,$E14&lt;DO$5+GanttPeriod),"◇","")),IF(AND(DO$5&lt;=$F14,DO$5+GanttPeriod-1&gt;=$E14),"━","")))</f>
        <v/>
      </c>
      <c r="DP14" s="69" t="str">
        <f aca="false">IF($E14="","",IF($M14,IF(AND($G14&gt;=DP$5,$G14&lt;DP$5+GanttPeriod),"◆",IF(AND($E14&gt;=DP$5,$E14&lt;DP$5+GanttPeriod),"◇","")),IF(AND(DP$5&lt;=$F14,DP$5+GanttPeriod-1&gt;=$E14),"━","")))</f>
        <v/>
      </c>
      <c r="DQ14" s="69" t="str">
        <f aca="false">IF($E14="","",IF($M14,IF(AND($G14&gt;=DQ$5,$G14&lt;DQ$5+GanttPeriod),"◆",IF(AND($E14&gt;=DQ$5,$E14&lt;DQ$5+GanttPeriod),"◇","")),IF(AND(DQ$5&lt;=$F14,DQ$5+GanttPeriod-1&gt;=$E14),"━","")))</f>
        <v/>
      </c>
      <c r="DR14" s="69" t="str">
        <f aca="false">IF($E14="","",IF($M14,IF(AND($G14&gt;=DR$5,$G14&lt;DR$5+GanttPeriod),"◆",IF(AND($E14&gt;=DR$5,$E14&lt;DR$5+GanttPeriod),"◇","")),IF(AND(DR$5&lt;=$F14,DR$5+GanttPeriod-1&gt;=$E14),"━","")))</f>
        <v/>
      </c>
      <c r="DS14" s="69" t="str">
        <f aca="false">IF($E14="","",IF($M14,IF(AND($G14&gt;=DS$5,$G14&lt;DS$5+GanttPeriod),"◆",IF(AND($E14&gt;=DS$5,$E14&lt;DS$5+GanttPeriod),"◇","")),IF(AND(DS$5&lt;=$F14,DS$5+GanttPeriod-1&gt;=$E14),"━","")))</f>
        <v/>
      </c>
      <c r="DT14" s="69" t="str">
        <f aca="false">IF($E14="","",IF($M14,IF(AND($G14&gt;=DT$5,$G14&lt;DT$5+GanttPeriod),"◆",IF(AND($E14&gt;=DT$5,$E14&lt;DT$5+GanttPeriod),"◇","")),IF(AND(DT$5&lt;=$F14,DT$5+GanttPeriod-1&gt;=$E14),"━","")))</f>
        <v/>
      </c>
      <c r="DU14" s="69" t="str">
        <f aca="false">IF($E14="","",IF($M14,IF(AND($G14&gt;=DU$5,$G14&lt;DU$5+GanttPeriod),"◆",IF(AND($E14&gt;=DU$5,$E14&lt;DU$5+GanttPeriod),"◇","")),IF(AND(DU$5&lt;=$F14,DU$5+GanttPeriod-1&gt;=$E14),"━","")))</f>
        <v/>
      </c>
      <c r="DV14" s="69" t="str">
        <f aca="false">IF($E14="","",IF($M14,IF(AND($G14&gt;=DV$5,$G14&lt;DV$5+GanttPeriod),"◆",IF(AND($E14&gt;=DV$5,$E14&lt;DV$5+GanttPeriod),"◇","")),IF(AND(DV$5&lt;=$F14,DV$5+GanttPeriod-1&gt;=$E14),"━","")))</f>
        <v/>
      </c>
      <c r="DW14" s="69" t="str">
        <f aca="false">IF($E14="","",IF($M14,IF(AND($G14&gt;=DW$5,$G14&lt;DW$5+GanttPeriod),"◆",IF(AND($E14&gt;=DW$5,$E14&lt;DW$5+GanttPeriod),"◇","")),IF(AND(DW$5&lt;=$F14,DW$5+GanttPeriod-1&gt;=$E14),"━","")))</f>
        <v/>
      </c>
      <c r="DX14" s="69" t="str">
        <f aca="false">IF($E14="","",IF($M14,IF(AND($G14&gt;=DX$5,$G14&lt;DX$5+GanttPeriod),"◆",IF(AND($E14&gt;=DX$5,$E14&lt;DX$5+GanttPeriod),"◇","")),IF(AND(DX$5&lt;=$F14,DX$5+GanttPeriod-1&gt;=$E14),"━","")))</f>
        <v/>
      </c>
      <c r="DY14" s="69" t="str">
        <f aca="false">IF($E14="","",IF($M14,IF(AND($G14&gt;=DY$5,$G14&lt;DY$5+GanttPeriod),"◆",IF(AND($E14&gt;=DY$5,$E14&lt;DY$5+GanttPeriod),"◇","")),IF(AND(DY$5&lt;=$F14,DY$5+GanttPeriod-1&gt;=$E14),"━","")))</f>
        <v/>
      </c>
      <c r="DZ14" s="69" t="str">
        <f aca="false">IF($E14="","",IF($M14,IF(AND($G14&gt;=DZ$5,$G14&lt;DZ$5+GanttPeriod),"◆",IF(AND($E14&gt;=DZ$5,$E14&lt;DZ$5+GanttPeriod),"◇","")),IF(AND(DZ$5&lt;=$F14,DZ$5+GanttPeriod-1&gt;=$E14),"━","")))</f>
        <v/>
      </c>
      <c r="EA14" s="69" t="str">
        <f aca="false">IF($E14="","",IF($M14,IF(AND($G14&gt;=EA$5,$G14&lt;EA$5+GanttPeriod),"◆",IF(AND($E14&gt;=EA$5,$E14&lt;EA$5+GanttPeriod),"◇","")),IF(AND(EA$5&lt;=$F14,EA$5+GanttPeriod-1&gt;=$E14),"━","")))</f>
        <v/>
      </c>
      <c r="EB14" s="69" t="str">
        <f aca="false">IF($E14="","",IF($M14,IF(AND($G14&gt;=EB$5,$G14&lt;EB$5+GanttPeriod),"◆",IF(AND($E14&gt;=EB$5,$E14&lt;EB$5+GanttPeriod),"◇","")),IF(AND(EB$5&lt;=$F14,EB$5+GanttPeriod-1&gt;=$E14),"━","")))</f>
        <v/>
      </c>
      <c r="EC14" s="69" t="str">
        <f aca="false">IF($E14="","",IF($M14,IF(AND($G14&gt;=EC$5,$G14&lt;EC$5+GanttPeriod),"◆",IF(AND($E14&gt;=EC$5,$E14&lt;EC$5+GanttPeriod),"◇","")),IF(AND(EC$5&lt;=$F14,EC$5+GanttPeriod-1&gt;=$E14),"━","")))</f>
        <v/>
      </c>
      <c r="ED14" s="69" t="str">
        <f aca="false">IF($E14="","",IF($M14,IF(AND($G14&gt;=ED$5,$G14&lt;ED$5+GanttPeriod),"◆",IF(AND($E14&gt;=ED$5,$E14&lt;ED$5+GanttPeriod),"◇","")),IF(AND(ED$5&lt;=$F14,ED$5+GanttPeriod-1&gt;=$E14),"━","")))</f>
        <v/>
      </c>
      <c r="EE14" s="69" t="str">
        <f aca="false">IF($E14="","",IF($M14,IF(AND($G14&gt;=EE$5,$G14&lt;EE$5+GanttPeriod),"◆",IF(AND($E14&gt;=EE$5,$E14&lt;EE$5+GanttPeriod),"◇","")),IF(AND(EE$5&lt;=$F14,EE$5+GanttPeriod-1&gt;=$E14),"━","")))</f>
        <v/>
      </c>
      <c r="EF14" s="69" t="str">
        <f aca="false">IF($E14="","",IF($M14,IF(AND($G14&gt;=EF$5,$G14&lt;EF$5+GanttPeriod),"◆",IF(AND($E14&gt;=EF$5,$E14&lt;EF$5+GanttPeriod),"◇","")),IF(AND(EF$5&lt;=$F14,EF$5+GanttPeriod-1&gt;=$E14),"━","")))</f>
        <v/>
      </c>
      <c r="EG14" s="69" t="str">
        <f aca="false">IF($E14="","",IF($M14,IF(AND($G14&gt;=EG$5,$G14&lt;EG$5+GanttPeriod),"◆",IF(AND($E14&gt;=EG$5,$E14&lt;EG$5+GanttPeriod),"◇","")),IF(AND(EG$5&lt;=$F14,EG$5+GanttPeriod-1&gt;=$E14),"━","")))</f>
        <v/>
      </c>
      <c r="EH14" s="69" t="str">
        <f aca="false">IF($E14="","",IF($M14,IF(AND($G14&gt;=EH$5,$G14&lt;EH$5+GanttPeriod),"◆",IF(AND($E14&gt;=EH$5,$E14&lt;EH$5+GanttPeriod),"◇","")),IF(AND(EH$5&lt;=$F14,EH$5+GanttPeriod-1&gt;=$E14),"━","")))</f>
        <v/>
      </c>
      <c r="EI14" s="69" t="str">
        <f aca="false">IF($E14="","",IF($M14,IF(AND($G14&gt;=EI$5,$G14&lt;EI$5+GanttPeriod),"◆",IF(AND($E14&gt;=EI$5,$E14&lt;EI$5+GanttPeriod),"◇","")),IF(AND(EI$5&lt;=$F14,EI$5+GanttPeriod-1&gt;=$E14),"━","")))</f>
        <v/>
      </c>
      <c r="EJ14" s="69" t="str">
        <f aca="false">IF($E14="","",IF($M14,IF(AND($G14&gt;=EJ$5,$G14&lt;EJ$5+GanttPeriod),"◆",IF(AND($E14&gt;=EJ$5,$E14&lt;EJ$5+GanttPeriod),"◇","")),IF(AND(EJ$5&lt;=$F14,EJ$5+GanttPeriod-1&gt;=$E14),"━","")))</f>
        <v/>
      </c>
      <c r="EK14" s="69" t="str">
        <f aca="false">IF($E14="","",IF($M14,IF(AND($G14&gt;=EK$5,$G14&lt;EK$5+GanttPeriod),"◆",IF(AND($E14&gt;=EK$5,$E14&lt;EK$5+GanttPeriod),"◇","")),IF(AND(EK$5&lt;=$F14,EK$5+GanttPeriod-1&gt;=$E14),"━","")))</f>
        <v/>
      </c>
      <c r="EL14" s="69" t="str">
        <f aca="false">IF($E14="","",IF($M14,IF(AND($G14&gt;=EL$5,$G14&lt;EL$5+GanttPeriod),"◆",IF(AND($E14&gt;=EL$5,$E14&lt;EL$5+GanttPeriod),"◇","")),IF(AND(EL$5&lt;=$F14,EL$5+GanttPeriod-1&gt;=$E14),"━","")))</f>
        <v/>
      </c>
      <c r="EM14" s="69" t="str">
        <f aca="false">IF($E14="","",IF($M14,IF(AND($G14&gt;=EM$5,$G14&lt;EM$5+GanttPeriod),"◆",IF(AND($E14&gt;=EM$5,$E14&lt;EM$5+GanttPeriod),"◇","")),IF(AND(EM$5&lt;=$F14,EM$5+GanttPeriod-1&gt;=$E14),"━","")))</f>
        <v/>
      </c>
      <c r="EN14" s="69" t="str">
        <f aca="false">IF($E14="","",IF($M14,IF(AND($G14&gt;=EN$5,$G14&lt;EN$5+GanttPeriod),"◆",IF(AND($E14&gt;=EN$5,$E14&lt;EN$5+GanttPeriod),"◇","")),IF(AND(EN$5&lt;=$F14,EN$5+GanttPeriod-1&gt;=$E14),"━","")))</f>
        <v/>
      </c>
      <c r="EO14" s="69" t="str">
        <f aca="false">IF($E14="","",IF($M14,IF(AND($G14&gt;=EO$5,$G14&lt;EO$5+GanttPeriod),"◆",IF(AND($E14&gt;=EO$5,$E14&lt;EO$5+GanttPeriod),"◇","")),IF(AND(EO$5&lt;=$F14,EO$5+GanttPeriod-1&gt;=$E14),"━","")))</f>
        <v/>
      </c>
      <c r="EP14" s="69" t="str">
        <f aca="false">IF($E14="","",IF($M14,IF(AND($G14&gt;=EP$5,$G14&lt;EP$5+GanttPeriod),"◆",IF(AND($E14&gt;=EP$5,$E14&lt;EP$5+GanttPeriod),"◇","")),IF(AND(EP$5&lt;=$F14,EP$5+GanttPeriod-1&gt;=$E14),"━","")))</f>
        <v/>
      </c>
      <c r="EQ14" s="69" t="str">
        <f aca="false">IF($E14="","",IF($M14,IF(AND($G14&gt;=EQ$5,$G14&lt;EQ$5+GanttPeriod),"◆",IF(AND($E14&gt;=EQ$5,$E14&lt;EQ$5+GanttPeriod),"◇","")),IF(AND(EQ$5&lt;=$F14,EQ$5+GanttPeriod-1&gt;=$E14),"━","")))</f>
        <v/>
      </c>
      <c r="ER14" s="69" t="str">
        <f aca="false">IF($E14="","",IF($M14,IF(AND($G14&gt;=ER$5,$G14&lt;ER$5+GanttPeriod),"◆",IF(AND($E14&gt;=ER$5,$E14&lt;ER$5+GanttPeriod),"◇","")),IF(AND(ER$5&lt;=$F14,ER$5+GanttPeriod-1&gt;=$E14),"━","")))</f>
        <v/>
      </c>
      <c r="ES14" s="69" t="str">
        <f aca="false">IF($E14="","",IF($M14,IF(AND($G14&gt;=ES$5,$G14&lt;ES$5+GanttPeriod),"◆",IF(AND($E14&gt;=ES$5,$E14&lt;ES$5+GanttPeriod),"◇","")),IF(AND(ES$5&lt;=$F14,ES$5+GanttPeriod-1&gt;=$E14),"━","")))</f>
        <v/>
      </c>
      <c r="ET14" s="69" t="str">
        <f aca="false">IF($E14="","",IF($M14,IF(AND($G14&gt;=ET$5,$G14&lt;ET$5+GanttPeriod),"◆",IF(AND($E14&gt;=ET$5,$E14&lt;ET$5+GanttPeriod),"◇","")),IF(AND(ET$5&lt;=$F14,ET$5+GanttPeriod-1&gt;=$E14),"━","")))</f>
        <v/>
      </c>
      <c r="EU14" s="69" t="str">
        <f aca="false">IF($E14="","",IF($M14,IF(AND($G14&gt;=EU$5,$G14&lt;EU$5+GanttPeriod),"◆",IF(AND($E14&gt;=EU$5,$E14&lt;EU$5+GanttPeriod),"◇","")),IF(AND(EU$5&lt;=$F14,EU$5+GanttPeriod-1&gt;=$E14),"━","")))</f>
        <v/>
      </c>
      <c r="EV14" s="69" t="str">
        <f aca="false">IF($E14="","",IF($M14,IF(AND($G14&gt;=EV$5,$G14&lt;EV$5+GanttPeriod),"◆",IF(AND($E14&gt;=EV$5,$E14&lt;EV$5+GanttPeriod),"◇","")),IF(AND(EV$5&lt;=$F14,EV$5+GanttPeriod-1&gt;=$E14),"━","")))</f>
        <v/>
      </c>
      <c r="EW14" s="69" t="str">
        <f aca="false">IF($E14="","",IF($M14,IF(AND($G14&gt;=EW$5,$G14&lt;EW$5+GanttPeriod),"◆",IF(AND($E14&gt;=EW$5,$E14&lt;EW$5+GanttPeriod),"◇","")),IF(AND(EW$5&lt;=$F14,EW$5+GanttPeriod-1&gt;=$E14),"━","")))</f>
        <v/>
      </c>
      <c r="EX14" s="69" t="str">
        <f aca="false">IF($E14="","",IF($M14,IF(AND($G14&gt;=EX$5,$G14&lt;EX$5+GanttPeriod),"◆",IF(AND($E14&gt;=EX$5,$E14&lt;EX$5+GanttPeriod),"◇","")),IF(AND(EX$5&lt;=$F14,EX$5+GanttPeriod-1&gt;=$E14),"━","")))</f>
        <v/>
      </c>
      <c r="EY14" s="69" t="str">
        <f aca="false">IF($E14="","",IF($M14,IF(AND($G14&gt;=EY$5,$G14&lt;EY$5+GanttPeriod),"◆",IF(AND($E14&gt;=EY$5,$E14&lt;EY$5+GanttPeriod),"◇","")),IF(AND(EY$5&lt;=$F14,EY$5+GanttPeriod-1&gt;=$E14),"━","")))</f>
        <v/>
      </c>
      <c r="EZ14" s="69" t="str">
        <f aca="false">IF($E14="","",IF($M14,IF(AND($G14&gt;=EZ$5,$G14&lt;EZ$5+GanttPeriod),"◆",IF(AND($E14&gt;=EZ$5,$E14&lt;EZ$5+GanttPeriod),"◇","")),IF(AND(EZ$5&lt;=$F14,EZ$5+GanttPeriod-1&gt;=$E14),"━","")))</f>
        <v/>
      </c>
      <c r="FA14" s="69" t="str">
        <f aca="false">IF($E14="","",IF($M14,IF(AND($G14&gt;=FA$5,$G14&lt;FA$5+GanttPeriod),"◆",IF(AND($E14&gt;=FA$5,$E14&lt;FA$5+GanttPeriod),"◇","")),IF(AND(FA$5&lt;=$F14,FA$5+GanttPeriod-1&gt;=$E14),"━","")))</f>
        <v/>
      </c>
      <c r="FB14" s="69" t="str">
        <f aca="false">IF($E14="","",IF($M14,IF(AND($G14&gt;=FB$5,$G14&lt;FB$5+GanttPeriod),"◆",IF(AND($E14&gt;=FB$5,$E14&lt;FB$5+GanttPeriod),"◇","")),IF(AND(FB$5&lt;=$F14,FB$5+GanttPeriod-1&gt;=$E14),"━","")))</f>
        <v/>
      </c>
      <c r="FC14" s="69" t="str">
        <f aca="false">IF($E14="","",IF($M14,IF(AND($G14&gt;=FC$5,$G14&lt;FC$5+GanttPeriod),"◆",IF(AND($E14&gt;=FC$5,$E14&lt;FC$5+GanttPeriod),"◇","")),IF(AND(FC$5&lt;=$F14,FC$5+GanttPeriod-1&gt;=$E14),"━","")))</f>
        <v/>
      </c>
      <c r="FD14" s="69" t="str">
        <f aca="false">IF($E14="","",IF($M14,IF(AND($G14&gt;=FD$5,$G14&lt;FD$5+GanttPeriod),"◆",IF(AND($E14&gt;=FD$5,$E14&lt;FD$5+GanttPeriod),"◇","")),IF(AND(FD$5&lt;=$F14,FD$5+GanttPeriod-1&gt;=$E14),"━","")))</f>
        <v/>
      </c>
      <c r="FE14" s="69" t="str">
        <f aca="false">IF($E14="","",IF($M14,IF(AND($G14&gt;=FE$5,$G14&lt;FE$5+GanttPeriod),"◆",IF(AND($E14&gt;=FE$5,$E14&lt;FE$5+GanttPeriod),"◇","")),IF(AND(FE$5&lt;=$F14,FE$5+GanttPeriod-1&gt;=$E14),"━","")))</f>
        <v/>
      </c>
      <c r="FF14" s="69" t="str">
        <f aca="false">IF($E14="","",IF($M14,IF(AND($G14&gt;=FF$5,$G14&lt;FF$5+GanttPeriod),"◆",IF(AND($E14&gt;=FF$5,$E14&lt;FF$5+GanttPeriod),"◇","")),IF(AND(FF$5&lt;=$F14,FF$5+GanttPeriod-1&gt;=$E14),"━","")))</f>
        <v/>
      </c>
      <c r="FG14" s="69" t="str">
        <f aca="false">IF($E14="","",IF($M14,IF(AND($G14&gt;=FG$5,$G14&lt;FG$5+GanttPeriod),"◆",IF(AND($E14&gt;=FG$5,$E14&lt;FG$5+GanttPeriod),"◇","")),IF(AND(FG$5&lt;=$F14,FG$5+GanttPeriod-1&gt;=$E14),"━","")))</f>
        <v/>
      </c>
      <c r="FH14" s="69" t="str">
        <f aca="false">IF($E14="","",IF($M14,IF(AND($G14&gt;=FH$5,$G14&lt;FH$5+GanttPeriod),"◆",IF(AND($E14&gt;=FH$5,$E14&lt;FH$5+GanttPeriod),"◇","")),IF(AND(FH$5&lt;=$F14,FH$5+GanttPeriod-1&gt;=$E14),"━","")))</f>
        <v/>
      </c>
      <c r="FI14" s="69" t="str">
        <f aca="false">IF($E14="","",IF($M14,IF(AND($G14&gt;=FI$5,$G14&lt;FI$5+GanttPeriod),"◆",IF(AND($E14&gt;=FI$5,$E14&lt;FI$5+GanttPeriod),"◇","")),IF(AND(FI$5&lt;=$F14,FI$5+GanttPeriod-1&gt;=$E14),"━","")))</f>
        <v/>
      </c>
      <c r="FJ14" s="69" t="str">
        <f aca="false">IF($E14="","",IF($M14,IF(AND($G14&gt;=FJ$5,$G14&lt;FJ$5+GanttPeriod),"◆",IF(AND($E14&gt;=FJ$5,$E14&lt;FJ$5+GanttPeriod),"◇","")),IF(AND(FJ$5&lt;=$F14,FJ$5+GanttPeriod-1&gt;=$E14),"━","")))</f>
        <v/>
      </c>
      <c r="FK14" s="69" t="str">
        <f aca="false">IF($E14="","",IF($M14,IF(AND($G14&gt;=FK$5,$G14&lt;FK$5+GanttPeriod),"◆",IF(AND($E14&gt;=FK$5,$E14&lt;FK$5+GanttPeriod),"◇","")),IF(AND(FK$5&lt;=$F14,FK$5+GanttPeriod-1&gt;=$E14),"━","")))</f>
        <v/>
      </c>
      <c r="FL14" s="69" t="str">
        <f aca="false">IF($E14="","",IF($M14,IF(AND($G14&gt;=FL$5,$G14&lt;FL$5+GanttPeriod),"◆",IF(AND($E14&gt;=FL$5,$E14&lt;FL$5+GanttPeriod),"◇","")),IF(AND(FL$5&lt;=$F14,FL$5+GanttPeriod-1&gt;=$E14),"━","")))</f>
        <v/>
      </c>
      <c r="FM14" s="69" t="str">
        <f aca="false">IF($E14="","",IF($M14,IF(AND($G14&gt;=FM$5,$G14&lt;FM$5+GanttPeriod),"◆",IF(AND($E14&gt;=FM$5,$E14&lt;FM$5+GanttPeriod),"◇","")),IF(AND(FM$5&lt;=$F14,FM$5+GanttPeriod-1&gt;=$E14),"━","")))</f>
        <v/>
      </c>
    </row>
    <row r="15" customFormat="false" ht="15" hidden="false" customHeight="false" outlineLevel="0" collapsed="false">
      <c r="A15" s="62" t="n">
        <f aca="false">IF(Tasks!$D15="","",Tasks!$A15)</f>
        <v>10</v>
      </c>
      <c r="B15" s="62" t="str">
        <f aca="false">IF(Tasks!$D15="","",Tasks!$B15)</f>
        <v>3</v>
      </c>
      <c r="C15" s="63" t="str">
        <f aca="false">IF(Tasks!$D15="","",REPT("    ",Tasks!$AE15-1)&amp;Tasks!$D15)</f>
        <v>Build</v>
      </c>
      <c r="D15" s="62" t="n">
        <f aca="false">IF(Tasks!$D15="","",IF(Tasks!$AI15,NETWORKDAYS.INTL(Tasks!$R15,Tasks!$S15,WorkWeek,Holidays),N(Tasks!$F15)))</f>
        <v>24</v>
      </c>
      <c r="E15" s="64" t="n">
        <f aca="false">IF(Tasks!$D15="","",Tasks!$N15)</f>
        <v>46297</v>
      </c>
      <c r="F15" s="64" t="n">
        <f aca="false">IF(Tasks!$D15="","",Tasks!$O15)</f>
        <v>46325</v>
      </c>
      <c r="G15" s="64" t="n">
        <f aca="false">IF(Tasks!$D15="","",Tasks!$R15)</f>
        <v>46302</v>
      </c>
      <c r="H15" s="64" t="n">
        <f aca="false">IF(Tasks!$D15="","",Tasks!$S15)</f>
        <v>46335</v>
      </c>
      <c r="I15" s="65" t="n">
        <f aca="false">IF(Tasks!$D15="","",Tasks!$V15)</f>
        <v>0.451306413301663</v>
      </c>
      <c r="J15" s="63" t="str">
        <f aca="false">IF(Tasks!$D15="","",Tasks!$X15&amp;"")</f>
        <v/>
      </c>
      <c r="K15" s="66" t="str">
        <f aca="false">IF(Tasks!$D15="","",Tasks!$W15)</f>
        <v>Behind</v>
      </c>
      <c r="L15" s="67" t="b">
        <f aca="false">IF(Tasks!$D15="",FALSE(),Tasks!$AI15)</f>
        <v>1</v>
      </c>
      <c r="M15" s="67" t="b">
        <f aca="false">AND(Tasks!$AJ15=1,N(Tasks!$F15)=0)</f>
        <v>0</v>
      </c>
      <c r="N15" s="68" t="n">
        <f aca="false">IF(AND(Tasks!$AJ15=1,NOT($M15),N($I15)&gt;0),$G15,0)</f>
        <v>0</v>
      </c>
      <c r="O15" s="68" t="n">
        <f aca="false">IF($N15=0,0,IF($I15&gt;=1,$H15,MAX($N15,$G15+ROUND(($H15-$G15+1)*$I15,0)-1)))</f>
        <v>0</v>
      </c>
      <c r="P15" s="68" t="n">
        <f aca="false">IF(OR(Tasks!$AJ15&lt;&gt;1,$M15,N($I15)&gt;=1),0,IF($O15&gt;0,$O15+1,$G15))</f>
        <v>0</v>
      </c>
      <c r="Q15" s="68" t="n">
        <f aca="false">IF($P15=0,0,$H15)</f>
        <v>0</v>
      </c>
      <c r="R15" s="67" t="b">
        <f aca="false">AND(Tasks!$D15&lt;&gt;"",N(Tasks!$T15)&gt;0)</f>
        <v>1</v>
      </c>
      <c r="T15" s="69" t="str">
        <f aca="false">IF($E15="","",IF($M15,IF(AND($G15&gt;=T$5,$G15&lt;T$5+GanttPeriod),"◆",IF(AND($E15&gt;=T$5,$E15&lt;T$5+GanttPeriod),"◇","")),IF(AND(T$5&lt;=$F15,T$5+GanttPeriod-1&gt;=$E15),"━","")))</f>
        <v/>
      </c>
      <c r="U15" s="69" t="str">
        <f aca="false">IF($E15="","",IF($M15,IF(AND($G15&gt;=U$5,$G15&lt;U$5+GanttPeriod),"◆",IF(AND($E15&gt;=U$5,$E15&lt;U$5+GanttPeriod),"◇","")),IF(AND(U$5&lt;=$F15,U$5+GanttPeriod-1&gt;=$E15),"━","")))</f>
        <v/>
      </c>
      <c r="V15" s="69" t="str">
        <f aca="false">IF($E15="","",IF($M15,IF(AND($G15&gt;=V$5,$G15&lt;V$5+GanttPeriod),"◆",IF(AND($E15&gt;=V$5,$E15&lt;V$5+GanttPeriod),"◇","")),IF(AND(V$5&lt;=$F15,V$5+GanttPeriod-1&gt;=$E15),"━","")))</f>
        <v/>
      </c>
      <c r="W15" s="69" t="str">
        <f aca="false">IF($E15="","",IF($M15,IF(AND($G15&gt;=W$5,$G15&lt;W$5+GanttPeriod),"◆",IF(AND($E15&gt;=W$5,$E15&lt;W$5+GanttPeriod),"◇","")),IF(AND(W$5&lt;=$F15,W$5+GanttPeriod-1&gt;=$E15),"━","")))</f>
        <v/>
      </c>
      <c r="X15" s="69" t="str">
        <f aca="false">IF($E15="","",IF($M15,IF(AND($G15&gt;=X$5,$G15&lt;X$5+GanttPeriod),"◆",IF(AND($E15&gt;=X$5,$E15&lt;X$5+GanttPeriod),"◇","")),IF(AND(X$5&lt;=$F15,X$5+GanttPeriod-1&gt;=$E15),"━","")))</f>
        <v/>
      </c>
      <c r="Y15" s="69" t="str">
        <f aca="false">IF($E15="","",IF($M15,IF(AND($G15&gt;=Y$5,$G15&lt;Y$5+GanttPeriod),"◆",IF(AND($E15&gt;=Y$5,$E15&lt;Y$5+GanttPeriod),"◇","")),IF(AND(Y$5&lt;=$F15,Y$5+GanttPeriod-1&gt;=$E15),"━","")))</f>
        <v/>
      </c>
      <c r="Z15" s="69" t="str">
        <f aca="false">IF($E15="","",IF($M15,IF(AND($G15&gt;=Z$5,$G15&lt;Z$5+GanttPeriod),"◆",IF(AND($E15&gt;=Z$5,$E15&lt;Z$5+GanttPeriod),"◇","")),IF(AND(Z$5&lt;=$F15,Z$5+GanttPeriod-1&gt;=$E15),"━","")))</f>
        <v/>
      </c>
      <c r="AA15" s="69" t="str">
        <f aca="false">IF($E15="","",IF($M15,IF(AND($G15&gt;=AA$5,$G15&lt;AA$5+GanttPeriod),"◆",IF(AND($E15&gt;=AA$5,$E15&lt;AA$5+GanttPeriod),"◇","")),IF(AND(AA$5&lt;=$F15,AA$5+GanttPeriod-1&gt;=$E15),"━","")))</f>
        <v/>
      </c>
      <c r="AB15" s="69" t="str">
        <f aca="false">IF($E15="","",IF($M15,IF(AND($G15&gt;=AB$5,$G15&lt;AB$5+GanttPeriod),"◆",IF(AND($E15&gt;=AB$5,$E15&lt;AB$5+GanttPeriod),"◇","")),IF(AND(AB$5&lt;=$F15,AB$5+GanttPeriod-1&gt;=$E15),"━","")))</f>
        <v/>
      </c>
      <c r="AC15" s="69" t="str">
        <f aca="false">IF($E15="","",IF($M15,IF(AND($G15&gt;=AC$5,$G15&lt;AC$5+GanttPeriod),"◆",IF(AND($E15&gt;=AC$5,$E15&lt;AC$5+GanttPeriod),"◇","")),IF(AND(AC$5&lt;=$F15,AC$5+GanttPeriod-1&gt;=$E15),"━","")))</f>
        <v/>
      </c>
      <c r="AD15" s="69" t="str">
        <f aca="false">IF($E15="","",IF($M15,IF(AND($G15&gt;=AD$5,$G15&lt;AD$5+GanttPeriod),"◆",IF(AND($E15&gt;=AD$5,$E15&lt;AD$5+GanttPeriod),"◇","")),IF(AND(AD$5&lt;=$F15,AD$5+GanttPeriod-1&gt;=$E15),"━","")))</f>
        <v/>
      </c>
      <c r="AE15" s="69" t="str">
        <f aca="false">IF($E15="","",IF($M15,IF(AND($G15&gt;=AE$5,$G15&lt;AE$5+GanttPeriod),"◆",IF(AND($E15&gt;=AE$5,$E15&lt;AE$5+GanttPeriod),"◇","")),IF(AND(AE$5&lt;=$F15,AE$5+GanttPeriod-1&gt;=$E15),"━","")))</f>
        <v/>
      </c>
      <c r="AF15" s="69" t="str">
        <f aca="false">IF($E15="","",IF($M15,IF(AND($G15&gt;=AF$5,$G15&lt;AF$5+GanttPeriod),"◆",IF(AND($E15&gt;=AF$5,$E15&lt;AF$5+GanttPeriod),"◇","")),IF(AND(AF$5&lt;=$F15,AF$5+GanttPeriod-1&gt;=$E15),"━","")))</f>
        <v/>
      </c>
      <c r="AG15" s="69" t="str">
        <f aca="false">IF($E15="","",IF($M15,IF(AND($G15&gt;=AG$5,$G15&lt;AG$5+GanttPeriod),"◆",IF(AND($E15&gt;=AG$5,$E15&lt;AG$5+GanttPeriod),"◇","")),IF(AND(AG$5&lt;=$F15,AG$5+GanttPeriod-1&gt;=$E15),"━","")))</f>
        <v/>
      </c>
      <c r="AH15" s="69" t="str">
        <f aca="false">IF($E15="","",IF($M15,IF(AND($G15&gt;=AH$5,$G15&lt;AH$5+GanttPeriod),"◆",IF(AND($E15&gt;=AH$5,$E15&lt;AH$5+GanttPeriod),"◇","")),IF(AND(AH$5&lt;=$F15,AH$5+GanttPeriod-1&gt;=$E15),"━","")))</f>
        <v/>
      </c>
      <c r="AI15" s="69" t="str">
        <f aca="false">IF($E15="","",IF($M15,IF(AND($G15&gt;=AI$5,$G15&lt;AI$5+GanttPeriod),"◆",IF(AND($E15&gt;=AI$5,$E15&lt;AI$5+GanttPeriod),"◇","")),IF(AND(AI$5&lt;=$F15,AI$5+GanttPeriod-1&gt;=$E15),"━","")))</f>
        <v/>
      </c>
      <c r="AJ15" s="69" t="str">
        <f aca="false">IF($E15="","",IF($M15,IF(AND($G15&gt;=AJ$5,$G15&lt;AJ$5+GanttPeriod),"◆",IF(AND($E15&gt;=AJ$5,$E15&lt;AJ$5+GanttPeriod),"◇","")),IF(AND(AJ$5&lt;=$F15,AJ$5+GanttPeriod-1&gt;=$E15),"━","")))</f>
        <v/>
      </c>
      <c r="AK15" s="69" t="str">
        <f aca="false">IF($E15="","",IF($M15,IF(AND($G15&gt;=AK$5,$G15&lt;AK$5+GanttPeriod),"◆",IF(AND($E15&gt;=AK$5,$E15&lt;AK$5+GanttPeriod),"◇","")),IF(AND(AK$5&lt;=$F15,AK$5+GanttPeriod-1&gt;=$E15),"━","")))</f>
        <v/>
      </c>
      <c r="AL15" s="69" t="str">
        <f aca="false">IF($E15="","",IF($M15,IF(AND($G15&gt;=AL$5,$G15&lt;AL$5+GanttPeriod),"◆",IF(AND($E15&gt;=AL$5,$E15&lt;AL$5+GanttPeriod),"◇","")),IF(AND(AL$5&lt;=$F15,AL$5+GanttPeriod-1&gt;=$E15),"━","")))</f>
        <v/>
      </c>
      <c r="AM15" s="69" t="str">
        <f aca="false">IF($E15="","",IF($M15,IF(AND($G15&gt;=AM$5,$G15&lt;AM$5+GanttPeriod),"◆",IF(AND($E15&gt;=AM$5,$E15&lt;AM$5+GanttPeriod),"◇","")),IF(AND(AM$5&lt;=$F15,AM$5+GanttPeriod-1&gt;=$E15),"━","")))</f>
        <v/>
      </c>
      <c r="AN15" s="69" t="str">
        <f aca="false">IF($E15="","",IF($M15,IF(AND($G15&gt;=AN$5,$G15&lt;AN$5+GanttPeriod),"◆",IF(AND($E15&gt;=AN$5,$E15&lt;AN$5+GanttPeriod),"◇","")),IF(AND(AN$5&lt;=$F15,AN$5+GanttPeriod-1&gt;=$E15),"━","")))</f>
        <v/>
      </c>
      <c r="AO15" s="69" t="str">
        <f aca="false">IF($E15="","",IF($M15,IF(AND($G15&gt;=AO$5,$G15&lt;AO$5+GanttPeriod),"◆",IF(AND($E15&gt;=AO$5,$E15&lt;AO$5+GanttPeriod),"◇","")),IF(AND(AO$5&lt;=$F15,AO$5+GanttPeriod-1&gt;=$E15),"━","")))</f>
        <v/>
      </c>
      <c r="AP15" s="69" t="str">
        <f aca="false">IF($E15="","",IF($M15,IF(AND($G15&gt;=AP$5,$G15&lt;AP$5+GanttPeriod),"◆",IF(AND($E15&gt;=AP$5,$E15&lt;AP$5+GanttPeriod),"◇","")),IF(AND(AP$5&lt;=$F15,AP$5+GanttPeriod-1&gt;=$E15),"━","")))</f>
        <v/>
      </c>
      <c r="AQ15" s="69" t="str">
        <f aca="false">IF($E15="","",IF($M15,IF(AND($G15&gt;=AQ$5,$G15&lt;AQ$5+GanttPeriod),"◆",IF(AND($E15&gt;=AQ$5,$E15&lt;AQ$5+GanttPeriod),"◇","")),IF(AND(AQ$5&lt;=$F15,AQ$5+GanttPeriod-1&gt;=$E15),"━","")))</f>
        <v/>
      </c>
      <c r="AR15" s="69" t="str">
        <f aca="false">IF($E15="","",IF($M15,IF(AND($G15&gt;=AR$5,$G15&lt;AR$5+GanttPeriod),"◆",IF(AND($E15&gt;=AR$5,$E15&lt;AR$5+GanttPeriod),"◇","")),IF(AND(AR$5&lt;=$F15,AR$5+GanttPeriod-1&gt;=$E15),"━","")))</f>
        <v/>
      </c>
      <c r="AS15" s="69" t="str">
        <f aca="false">IF($E15="","",IF($M15,IF(AND($G15&gt;=AS$5,$G15&lt;AS$5+GanttPeriod),"◆",IF(AND($E15&gt;=AS$5,$E15&lt;AS$5+GanttPeriod),"◇","")),IF(AND(AS$5&lt;=$F15,AS$5+GanttPeriod-1&gt;=$E15),"━","")))</f>
        <v>━</v>
      </c>
      <c r="AT15" s="69" t="str">
        <f aca="false">IF($E15="","",IF($M15,IF(AND($G15&gt;=AT$5,$G15&lt;AT$5+GanttPeriod),"◆",IF(AND($E15&gt;=AT$5,$E15&lt;AT$5+GanttPeriod),"◇","")),IF(AND(AT$5&lt;=$F15,AT$5+GanttPeriod-1&gt;=$E15),"━","")))</f>
        <v>━</v>
      </c>
      <c r="AU15" s="69" t="str">
        <f aca="false">IF($E15="","",IF($M15,IF(AND($G15&gt;=AU$5,$G15&lt;AU$5+GanttPeriod),"◆",IF(AND($E15&gt;=AU$5,$E15&lt;AU$5+GanttPeriod),"◇","")),IF(AND(AU$5&lt;=$F15,AU$5+GanttPeriod-1&gt;=$E15),"━","")))</f>
        <v>━</v>
      </c>
      <c r="AV15" s="69" t="str">
        <f aca="false">IF($E15="","",IF($M15,IF(AND($G15&gt;=AV$5,$G15&lt;AV$5+GanttPeriod),"◆",IF(AND($E15&gt;=AV$5,$E15&lt;AV$5+GanttPeriod),"◇","")),IF(AND(AV$5&lt;=$F15,AV$5+GanttPeriod-1&gt;=$E15),"━","")))</f>
        <v>━</v>
      </c>
      <c r="AW15" s="69" t="str">
        <f aca="false">IF($E15="","",IF($M15,IF(AND($G15&gt;=AW$5,$G15&lt;AW$5+GanttPeriod),"◆",IF(AND($E15&gt;=AW$5,$E15&lt;AW$5+GanttPeriod),"◇","")),IF(AND(AW$5&lt;=$F15,AW$5+GanttPeriod-1&gt;=$E15),"━","")))</f>
        <v>━</v>
      </c>
      <c r="AX15" s="69" t="str">
        <f aca="false">IF($E15="","",IF($M15,IF(AND($G15&gt;=AX$5,$G15&lt;AX$5+GanttPeriod),"◆",IF(AND($E15&gt;=AX$5,$E15&lt;AX$5+GanttPeriod),"◇","")),IF(AND(AX$5&lt;=$F15,AX$5+GanttPeriod-1&gt;=$E15),"━","")))</f>
        <v>━</v>
      </c>
      <c r="AY15" s="69" t="str">
        <f aca="false">IF($E15="","",IF($M15,IF(AND($G15&gt;=AY$5,$G15&lt;AY$5+GanttPeriod),"◆",IF(AND($E15&gt;=AY$5,$E15&lt;AY$5+GanttPeriod),"◇","")),IF(AND(AY$5&lt;=$F15,AY$5+GanttPeriod-1&gt;=$E15),"━","")))</f>
        <v>━</v>
      </c>
      <c r="AZ15" s="69" t="str">
        <f aca="false">IF($E15="","",IF($M15,IF(AND($G15&gt;=AZ$5,$G15&lt;AZ$5+GanttPeriod),"◆",IF(AND($E15&gt;=AZ$5,$E15&lt;AZ$5+GanttPeriod),"◇","")),IF(AND(AZ$5&lt;=$F15,AZ$5+GanttPeriod-1&gt;=$E15),"━","")))</f>
        <v>━</v>
      </c>
      <c r="BA15" s="69" t="str">
        <f aca="false">IF($E15="","",IF($M15,IF(AND($G15&gt;=BA$5,$G15&lt;BA$5+GanttPeriod),"◆",IF(AND($E15&gt;=BA$5,$E15&lt;BA$5+GanttPeriod),"◇","")),IF(AND(BA$5&lt;=$F15,BA$5+GanttPeriod-1&gt;=$E15),"━","")))</f>
        <v>━</v>
      </c>
      <c r="BB15" s="69" t="str">
        <f aca="false">IF($E15="","",IF($M15,IF(AND($G15&gt;=BB$5,$G15&lt;BB$5+GanttPeriod),"◆",IF(AND($E15&gt;=BB$5,$E15&lt;BB$5+GanttPeriod),"◇","")),IF(AND(BB$5&lt;=$F15,BB$5+GanttPeriod-1&gt;=$E15),"━","")))</f>
        <v>━</v>
      </c>
      <c r="BC15" s="69" t="str">
        <f aca="false">IF($E15="","",IF($M15,IF(AND($G15&gt;=BC$5,$G15&lt;BC$5+GanttPeriod),"◆",IF(AND($E15&gt;=BC$5,$E15&lt;BC$5+GanttPeriod),"◇","")),IF(AND(BC$5&lt;=$F15,BC$5+GanttPeriod-1&gt;=$E15),"━","")))</f>
        <v>━</v>
      </c>
      <c r="BD15" s="69" t="str">
        <f aca="false">IF($E15="","",IF($M15,IF(AND($G15&gt;=BD$5,$G15&lt;BD$5+GanttPeriod),"◆",IF(AND($E15&gt;=BD$5,$E15&lt;BD$5+GanttPeriod),"◇","")),IF(AND(BD$5&lt;=$F15,BD$5+GanttPeriod-1&gt;=$E15),"━","")))</f>
        <v>━</v>
      </c>
      <c r="BE15" s="69" t="str">
        <f aca="false">IF($E15="","",IF($M15,IF(AND($G15&gt;=BE$5,$G15&lt;BE$5+GanttPeriod),"◆",IF(AND($E15&gt;=BE$5,$E15&lt;BE$5+GanttPeriod),"◇","")),IF(AND(BE$5&lt;=$F15,BE$5+GanttPeriod-1&gt;=$E15),"━","")))</f>
        <v>━</v>
      </c>
      <c r="BF15" s="69" t="str">
        <f aca="false">IF($E15="","",IF($M15,IF(AND($G15&gt;=BF$5,$G15&lt;BF$5+GanttPeriod),"◆",IF(AND($E15&gt;=BF$5,$E15&lt;BF$5+GanttPeriod),"◇","")),IF(AND(BF$5&lt;=$F15,BF$5+GanttPeriod-1&gt;=$E15),"━","")))</f>
        <v>━</v>
      </c>
      <c r="BG15" s="69" t="str">
        <f aca="false">IF($E15="","",IF($M15,IF(AND($G15&gt;=BG$5,$G15&lt;BG$5+GanttPeriod),"◆",IF(AND($E15&gt;=BG$5,$E15&lt;BG$5+GanttPeriod),"◇","")),IF(AND(BG$5&lt;=$F15,BG$5+GanttPeriod-1&gt;=$E15),"━","")))</f>
        <v>━</v>
      </c>
      <c r="BH15" s="69" t="str">
        <f aca="false">IF($E15="","",IF($M15,IF(AND($G15&gt;=BH$5,$G15&lt;BH$5+GanttPeriod),"◆",IF(AND($E15&gt;=BH$5,$E15&lt;BH$5+GanttPeriod),"◇","")),IF(AND(BH$5&lt;=$F15,BH$5+GanttPeriod-1&gt;=$E15),"━","")))</f>
        <v>━</v>
      </c>
      <c r="BI15" s="69" t="str">
        <f aca="false">IF($E15="","",IF($M15,IF(AND($G15&gt;=BI$5,$G15&lt;BI$5+GanttPeriod),"◆",IF(AND($E15&gt;=BI$5,$E15&lt;BI$5+GanttPeriod),"◇","")),IF(AND(BI$5&lt;=$F15,BI$5+GanttPeriod-1&gt;=$E15),"━","")))</f>
        <v>━</v>
      </c>
      <c r="BJ15" s="69" t="str">
        <f aca="false">IF($E15="","",IF($M15,IF(AND($G15&gt;=BJ$5,$G15&lt;BJ$5+GanttPeriod),"◆",IF(AND($E15&gt;=BJ$5,$E15&lt;BJ$5+GanttPeriod),"◇","")),IF(AND(BJ$5&lt;=$F15,BJ$5+GanttPeriod-1&gt;=$E15),"━","")))</f>
        <v>━</v>
      </c>
      <c r="BK15" s="69" t="str">
        <f aca="false">IF($E15="","",IF($M15,IF(AND($G15&gt;=BK$5,$G15&lt;BK$5+GanttPeriod),"◆",IF(AND($E15&gt;=BK$5,$E15&lt;BK$5+GanttPeriod),"◇","")),IF(AND(BK$5&lt;=$F15,BK$5+GanttPeriod-1&gt;=$E15),"━","")))</f>
        <v>━</v>
      </c>
      <c r="BL15" s="69" t="str">
        <f aca="false">IF($E15="","",IF($M15,IF(AND($G15&gt;=BL$5,$G15&lt;BL$5+GanttPeriod),"◆",IF(AND($E15&gt;=BL$5,$E15&lt;BL$5+GanttPeriod),"◇","")),IF(AND(BL$5&lt;=$F15,BL$5+GanttPeriod-1&gt;=$E15),"━","")))</f>
        <v>━</v>
      </c>
      <c r="BM15" s="69" t="str">
        <f aca="false">IF($E15="","",IF($M15,IF(AND($G15&gt;=BM$5,$G15&lt;BM$5+GanttPeriod),"◆",IF(AND($E15&gt;=BM$5,$E15&lt;BM$5+GanttPeriod),"◇","")),IF(AND(BM$5&lt;=$F15,BM$5+GanttPeriod-1&gt;=$E15),"━","")))</f>
        <v>━</v>
      </c>
      <c r="BN15" s="69" t="str">
        <f aca="false">IF($E15="","",IF($M15,IF(AND($G15&gt;=BN$5,$G15&lt;BN$5+GanttPeriod),"◆",IF(AND($E15&gt;=BN$5,$E15&lt;BN$5+GanttPeriod),"◇","")),IF(AND(BN$5&lt;=$F15,BN$5+GanttPeriod-1&gt;=$E15),"━","")))</f>
        <v>━</v>
      </c>
      <c r="BO15" s="69" t="str">
        <f aca="false">IF($E15="","",IF($M15,IF(AND($G15&gt;=BO$5,$G15&lt;BO$5+GanttPeriod),"◆",IF(AND($E15&gt;=BO$5,$E15&lt;BO$5+GanttPeriod),"◇","")),IF(AND(BO$5&lt;=$F15,BO$5+GanttPeriod-1&gt;=$E15),"━","")))</f>
        <v>━</v>
      </c>
      <c r="BP15" s="69" t="str">
        <f aca="false">IF($E15="","",IF($M15,IF(AND($G15&gt;=BP$5,$G15&lt;BP$5+GanttPeriod),"◆",IF(AND($E15&gt;=BP$5,$E15&lt;BP$5+GanttPeriod),"◇","")),IF(AND(BP$5&lt;=$F15,BP$5+GanttPeriod-1&gt;=$E15),"━","")))</f>
        <v>━</v>
      </c>
      <c r="BQ15" s="69" t="str">
        <f aca="false">IF($E15="","",IF($M15,IF(AND($G15&gt;=BQ$5,$G15&lt;BQ$5+GanttPeriod),"◆",IF(AND($E15&gt;=BQ$5,$E15&lt;BQ$5+GanttPeriod),"◇","")),IF(AND(BQ$5&lt;=$F15,BQ$5+GanttPeriod-1&gt;=$E15),"━","")))</f>
        <v>━</v>
      </c>
      <c r="BR15" s="69" t="str">
        <f aca="false">IF($E15="","",IF($M15,IF(AND($G15&gt;=BR$5,$G15&lt;BR$5+GanttPeriod),"◆",IF(AND($E15&gt;=BR$5,$E15&lt;BR$5+GanttPeriod),"◇","")),IF(AND(BR$5&lt;=$F15,BR$5+GanttPeriod-1&gt;=$E15),"━","")))</f>
        <v>━</v>
      </c>
      <c r="BS15" s="69" t="str">
        <f aca="false">IF($E15="","",IF($M15,IF(AND($G15&gt;=BS$5,$G15&lt;BS$5+GanttPeriod),"◆",IF(AND($E15&gt;=BS$5,$E15&lt;BS$5+GanttPeriod),"◇","")),IF(AND(BS$5&lt;=$F15,BS$5+GanttPeriod-1&gt;=$E15),"━","")))</f>
        <v>━</v>
      </c>
      <c r="BT15" s="69" t="str">
        <f aca="false">IF($E15="","",IF($M15,IF(AND($G15&gt;=BT$5,$G15&lt;BT$5+GanttPeriod),"◆",IF(AND($E15&gt;=BT$5,$E15&lt;BT$5+GanttPeriod),"◇","")),IF(AND(BT$5&lt;=$F15,BT$5+GanttPeriod-1&gt;=$E15),"━","")))</f>
        <v>━</v>
      </c>
      <c r="BU15" s="69" t="str">
        <f aca="false">IF($E15="","",IF($M15,IF(AND($G15&gt;=BU$5,$G15&lt;BU$5+GanttPeriod),"◆",IF(AND($E15&gt;=BU$5,$E15&lt;BU$5+GanttPeriod),"◇","")),IF(AND(BU$5&lt;=$F15,BU$5+GanttPeriod-1&gt;=$E15),"━","")))</f>
        <v>━</v>
      </c>
      <c r="BV15" s="69" t="str">
        <f aca="false">IF($E15="","",IF($M15,IF(AND($G15&gt;=BV$5,$G15&lt;BV$5+GanttPeriod),"◆",IF(AND($E15&gt;=BV$5,$E15&lt;BV$5+GanttPeriod),"◇","")),IF(AND(BV$5&lt;=$F15,BV$5+GanttPeriod-1&gt;=$E15),"━","")))</f>
        <v/>
      </c>
      <c r="BW15" s="69" t="str">
        <f aca="false">IF($E15="","",IF($M15,IF(AND($G15&gt;=BW$5,$G15&lt;BW$5+GanttPeriod),"◆",IF(AND($E15&gt;=BW$5,$E15&lt;BW$5+GanttPeriod),"◇","")),IF(AND(BW$5&lt;=$F15,BW$5+GanttPeriod-1&gt;=$E15),"━","")))</f>
        <v/>
      </c>
      <c r="BX15" s="69" t="str">
        <f aca="false">IF($E15="","",IF($M15,IF(AND($G15&gt;=BX$5,$G15&lt;BX$5+GanttPeriod),"◆",IF(AND($E15&gt;=BX$5,$E15&lt;BX$5+GanttPeriod),"◇","")),IF(AND(BX$5&lt;=$F15,BX$5+GanttPeriod-1&gt;=$E15),"━","")))</f>
        <v/>
      </c>
      <c r="BY15" s="69" t="str">
        <f aca="false">IF($E15="","",IF($M15,IF(AND($G15&gt;=BY$5,$G15&lt;BY$5+GanttPeriod),"◆",IF(AND($E15&gt;=BY$5,$E15&lt;BY$5+GanttPeriod),"◇","")),IF(AND(BY$5&lt;=$F15,BY$5+GanttPeriod-1&gt;=$E15),"━","")))</f>
        <v/>
      </c>
      <c r="BZ15" s="69" t="str">
        <f aca="false">IF($E15="","",IF($M15,IF(AND($G15&gt;=BZ$5,$G15&lt;BZ$5+GanttPeriod),"◆",IF(AND($E15&gt;=BZ$5,$E15&lt;BZ$5+GanttPeriod),"◇","")),IF(AND(BZ$5&lt;=$F15,BZ$5+GanttPeriod-1&gt;=$E15),"━","")))</f>
        <v/>
      </c>
      <c r="CA15" s="69" t="str">
        <f aca="false">IF($E15="","",IF($M15,IF(AND($G15&gt;=CA$5,$G15&lt;CA$5+GanttPeriod),"◆",IF(AND($E15&gt;=CA$5,$E15&lt;CA$5+GanttPeriod),"◇","")),IF(AND(CA$5&lt;=$F15,CA$5+GanttPeriod-1&gt;=$E15),"━","")))</f>
        <v/>
      </c>
      <c r="CB15" s="69" t="str">
        <f aca="false">IF($E15="","",IF($M15,IF(AND($G15&gt;=CB$5,$G15&lt;CB$5+GanttPeriod),"◆",IF(AND($E15&gt;=CB$5,$E15&lt;CB$5+GanttPeriod),"◇","")),IF(AND(CB$5&lt;=$F15,CB$5+GanttPeriod-1&gt;=$E15),"━","")))</f>
        <v/>
      </c>
      <c r="CC15" s="69" t="str">
        <f aca="false">IF($E15="","",IF($M15,IF(AND($G15&gt;=CC$5,$G15&lt;CC$5+GanttPeriod),"◆",IF(AND($E15&gt;=CC$5,$E15&lt;CC$5+GanttPeriod),"◇","")),IF(AND(CC$5&lt;=$F15,CC$5+GanttPeriod-1&gt;=$E15),"━","")))</f>
        <v/>
      </c>
      <c r="CD15" s="69" t="str">
        <f aca="false">IF($E15="","",IF($M15,IF(AND($G15&gt;=CD$5,$G15&lt;CD$5+GanttPeriod),"◆",IF(AND($E15&gt;=CD$5,$E15&lt;CD$5+GanttPeriod),"◇","")),IF(AND(CD$5&lt;=$F15,CD$5+GanttPeriod-1&gt;=$E15),"━","")))</f>
        <v/>
      </c>
      <c r="CE15" s="69" t="str">
        <f aca="false">IF($E15="","",IF($M15,IF(AND($G15&gt;=CE$5,$G15&lt;CE$5+GanttPeriod),"◆",IF(AND($E15&gt;=CE$5,$E15&lt;CE$5+GanttPeriod),"◇","")),IF(AND(CE$5&lt;=$F15,CE$5+GanttPeriod-1&gt;=$E15),"━","")))</f>
        <v/>
      </c>
      <c r="CF15" s="69" t="str">
        <f aca="false">IF($E15="","",IF($M15,IF(AND($G15&gt;=CF$5,$G15&lt;CF$5+GanttPeriod),"◆",IF(AND($E15&gt;=CF$5,$E15&lt;CF$5+GanttPeriod),"◇","")),IF(AND(CF$5&lt;=$F15,CF$5+GanttPeriod-1&gt;=$E15),"━","")))</f>
        <v/>
      </c>
      <c r="CG15" s="69" t="str">
        <f aca="false">IF($E15="","",IF($M15,IF(AND($G15&gt;=CG$5,$G15&lt;CG$5+GanttPeriod),"◆",IF(AND($E15&gt;=CG$5,$E15&lt;CG$5+GanttPeriod),"◇","")),IF(AND(CG$5&lt;=$F15,CG$5+GanttPeriod-1&gt;=$E15),"━","")))</f>
        <v/>
      </c>
      <c r="CH15" s="69" t="str">
        <f aca="false">IF($E15="","",IF($M15,IF(AND($G15&gt;=CH$5,$G15&lt;CH$5+GanttPeriod),"◆",IF(AND($E15&gt;=CH$5,$E15&lt;CH$5+GanttPeriod),"◇","")),IF(AND(CH$5&lt;=$F15,CH$5+GanttPeriod-1&gt;=$E15),"━","")))</f>
        <v/>
      </c>
      <c r="CI15" s="69" t="str">
        <f aca="false">IF($E15="","",IF($M15,IF(AND($G15&gt;=CI$5,$G15&lt;CI$5+GanttPeriod),"◆",IF(AND($E15&gt;=CI$5,$E15&lt;CI$5+GanttPeriod),"◇","")),IF(AND(CI$5&lt;=$F15,CI$5+GanttPeriod-1&gt;=$E15),"━","")))</f>
        <v/>
      </c>
      <c r="CJ15" s="69" t="str">
        <f aca="false">IF($E15="","",IF($M15,IF(AND($G15&gt;=CJ$5,$G15&lt;CJ$5+GanttPeriod),"◆",IF(AND($E15&gt;=CJ$5,$E15&lt;CJ$5+GanttPeriod),"◇","")),IF(AND(CJ$5&lt;=$F15,CJ$5+GanttPeriod-1&gt;=$E15),"━","")))</f>
        <v/>
      </c>
      <c r="CK15" s="69" t="str">
        <f aca="false">IF($E15="","",IF($M15,IF(AND($G15&gt;=CK$5,$G15&lt;CK$5+GanttPeriod),"◆",IF(AND($E15&gt;=CK$5,$E15&lt;CK$5+GanttPeriod),"◇","")),IF(AND(CK$5&lt;=$F15,CK$5+GanttPeriod-1&gt;=$E15),"━","")))</f>
        <v/>
      </c>
      <c r="CL15" s="69" t="str">
        <f aca="false">IF($E15="","",IF($M15,IF(AND($G15&gt;=CL$5,$G15&lt;CL$5+GanttPeriod),"◆",IF(AND($E15&gt;=CL$5,$E15&lt;CL$5+GanttPeriod),"◇","")),IF(AND(CL$5&lt;=$F15,CL$5+GanttPeriod-1&gt;=$E15),"━","")))</f>
        <v/>
      </c>
      <c r="CM15" s="69" t="str">
        <f aca="false">IF($E15="","",IF($M15,IF(AND($G15&gt;=CM$5,$G15&lt;CM$5+GanttPeriod),"◆",IF(AND($E15&gt;=CM$5,$E15&lt;CM$5+GanttPeriod),"◇","")),IF(AND(CM$5&lt;=$F15,CM$5+GanttPeriod-1&gt;=$E15),"━","")))</f>
        <v/>
      </c>
      <c r="CN15" s="69" t="str">
        <f aca="false">IF($E15="","",IF($M15,IF(AND($G15&gt;=CN$5,$G15&lt;CN$5+GanttPeriod),"◆",IF(AND($E15&gt;=CN$5,$E15&lt;CN$5+GanttPeriod),"◇","")),IF(AND(CN$5&lt;=$F15,CN$5+GanttPeriod-1&gt;=$E15),"━","")))</f>
        <v/>
      </c>
      <c r="CO15" s="69" t="str">
        <f aca="false">IF($E15="","",IF($M15,IF(AND($G15&gt;=CO$5,$G15&lt;CO$5+GanttPeriod),"◆",IF(AND($E15&gt;=CO$5,$E15&lt;CO$5+GanttPeriod),"◇","")),IF(AND(CO$5&lt;=$F15,CO$5+GanttPeriod-1&gt;=$E15),"━","")))</f>
        <v/>
      </c>
      <c r="CP15" s="69" t="str">
        <f aca="false">IF($E15="","",IF($M15,IF(AND($G15&gt;=CP$5,$G15&lt;CP$5+GanttPeriod),"◆",IF(AND($E15&gt;=CP$5,$E15&lt;CP$5+GanttPeriod),"◇","")),IF(AND(CP$5&lt;=$F15,CP$5+GanttPeriod-1&gt;=$E15),"━","")))</f>
        <v/>
      </c>
      <c r="CQ15" s="69" t="str">
        <f aca="false">IF($E15="","",IF($M15,IF(AND($G15&gt;=CQ$5,$G15&lt;CQ$5+GanttPeriod),"◆",IF(AND($E15&gt;=CQ$5,$E15&lt;CQ$5+GanttPeriod),"◇","")),IF(AND(CQ$5&lt;=$F15,CQ$5+GanttPeriod-1&gt;=$E15),"━","")))</f>
        <v/>
      </c>
      <c r="CR15" s="69" t="str">
        <f aca="false">IF($E15="","",IF($M15,IF(AND($G15&gt;=CR$5,$G15&lt;CR$5+GanttPeriod),"◆",IF(AND($E15&gt;=CR$5,$E15&lt;CR$5+GanttPeriod),"◇","")),IF(AND(CR$5&lt;=$F15,CR$5+GanttPeriod-1&gt;=$E15),"━","")))</f>
        <v/>
      </c>
      <c r="CS15" s="69" t="str">
        <f aca="false">IF($E15="","",IF($M15,IF(AND($G15&gt;=CS$5,$G15&lt;CS$5+GanttPeriod),"◆",IF(AND($E15&gt;=CS$5,$E15&lt;CS$5+GanttPeriod),"◇","")),IF(AND(CS$5&lt;=$F15,CS$5+GanttPeriod-1&gt;=$E15),"━","")))</f>
        <v/>
      </c>
      <c r="CT15" s="69" t="str">
        <f aca="false">IF($E15="","",IF($M15,IF(AND($G15&gt;=CT$5,$G15&lt;CT$5+GanttPeriod),"◆",IF(AND($E15&gt;=CT$5,$E15&lt;CT$5+GanttPeriod),"◇","")),IF(AND(CT$5&lt;=$F15,CT$5+GanttPeriod-1&gt;=$E15),"━","")))</f>
        <v/>
      </c>
      <c r="CU15" s="69" t="str">
        <f aca="false">IF($E15="","",IF($M15,IF(AND($G15&gt;=CU$5,$G15&lt;CU$5+GanttPeriod),"◆",IF(AND($E15&gt;=CU$5,$E15&lt;CU$5+GanttPeriod),"◇","")),IF(AND(CU$5&lt;=$F15,CU$5+GanttPeriod-1&gt;=$E15),"━","")))</f>
        <v/>
      </c>
      <c r="CV15" s="69" t="str">
        <f aca="false">IF($E15="","",IF($M15,IF(AND($G15&gt;=CV$5,$G15&lt;CV$5+GanttPeriod),"◆",IF(AND($E15&gt;=CV$5,$E15&lt;CV$5+GanttPeriod),"◇","")),IF(AND(CV$5&lt;=$F15,CV$5+GanttPeriod-1&gt;=$E15),"━","")))</f>
        <v/>
      </c>
      <c r="CW15" s="69" t="str">
        <f aca="false">IF($E15="","",IF($M15,IF(AND($G15&gt;=CW$5,$G15&lt;CW$5+GanttPeriod),"◆",IF(AND($E15&gt;=CW$5,$E15&lt;CW$5+GanttPeriod),"◇","")),IF(AND(CW$5&lt;=$F15,CW$5+GanttPeriod-1&gt;=$E15),"━","")))</f>
        <v/>
      </c>
      <c r="CX15" s="69" t="str">
        <f aca="false">IF($E15="","",IF($M15,IF(AND($G15&gt;=CX$5,$G15&lt;CX$5+GanttPeriod),"◆",IF(AND($E15&gt;=CX$5,$E15&lt;CX$5+GanttPeriod),"◇","")),IF(AND(CX$5&lt;=$F15,CX$5+GanttPeriod-1&gt;=$E15),"━","")))</f>
        <v/>
      </c>
      <c r="CY15" s="69" t="str">
        <f aca="false">IF($E15="","",IF($M15,IF(AND($G15&gt;=CY$5,$G15&lt;CY$5+GanttPeriod),"◆",IF(AND($E15&gt;=CY$5,$E15&lt;CY$5+GanttPeriod),"◇","")),IF(AND(CY$5&lt;=$F15,CY$5+GanttPeriod-1&gt;=$E15),"━","")))</f>
        <v/>
      </c>
      <c r="CZ15" s="69" t="str">
        <f aca="false">IF($E15="","",IF($M15,IF(AND($G15&gt;=CZ$5,$G15&lt;CZ$5+GanttPeriod),"◆",IF(AND($E15&gt;=CZ$5,$E15&lt;CZ$5+GanttPeriod),"◇","")),IF(AND(CZ$5&lt;=$F15,CZ$5+GanttPeriod-1&gt;=$E15),"━","")))</f>
        <v/>
      </c>
      <c r="DA15" s="69" t="str">
        <f aca="false">IF($E15="","",IF($M15,IF(AND($G15&gt;=DA$5,$G15&lt;DA$5+GanttPeriod),"◆",IF(AND($E15&gt;=DA$5,$E15&lt;DA$5+GanttPeriod),"◇","")),IF(AND(DA$5&lt;=$F15,DA$5+GanttPeriod-1&gt;=$E15),"━","")))</f>
        <v/>
      </c>
      <c r="DB15" s="69" t="str">
        <f aca="false">IF($E15="","",IF($M15,IF(AND($G15&gt;=DB$5,$G15&lt;DB$5+GanttPeriod),"◆",IF(AND($E15&gt;=DB$5,$E15&lt;DB$5+GanttPeriod),"◇","")),IF(AND(DB$5&lt;=$F15,DB$5+GanttPeriod-1&gt;=$E15),"━","")))</f>
        <v/>
      </c>
      <c r="DC15" s="69" t="str">
        <f aca="false">IF($E15="","",IF($M15,IF(AND($G15&gt;=DC$5,$G15&lt;DC$5+GanttPeriod),"◆",IF(AND($E15&gt;=DC$5,$E15&lt;DC$5+GanttPeriod),"◇","")),IF(AND(DC$5&lt;=$F15,DC$5+GanttPeriod-1&gt;=$E15),"━","")))</f>
        <v/>
      </c>
      <c r="DD15" s="69" t="str">
        <f aca="false">IF($E15="","",IF($M15,IF(AND($G15&gt;=DD$5,$G15&lt;DD$5+GanttPeriod),"◆",IF(AND($E15&gt;=DD$5,$E15&lt;DD$5+GanttPeriod),"◇","")),IF(AND(DD$5&lt;=$F15,DD$5+GanttPeriod-1&gt;=$E15),"━","")))</f>
        <v/>
      </c>
      <c r="DE15" s="69" t="str">
        <f aca="false">IF($E15="","",IF($M15,IF(AND($G15&gt;=DE$5,$G15&lt;DE$5+GanttPeriod),"◆",IF(AND($E15&gt;=DE$5,$E15&lt;DE$5+GanttPeriod),"◇","")),IF(AND(DE$5&lt;=$F15,DE$5+GanttPeriod-1&gt;=$E15),"━","")))</f>
        <v/>
      </c>
      <c r="DF15" s="69" t="str">
        <f aca="false">IF($E15="","",IF($M15,IF(AND($G15&gt;=DF$5,$G15&lt;DF$5+GanttPeriod),"◆",IF(AND($E15&gt;=DF$5,$E15&lt;DF$5+GanttPeriod),"◇","")),IF(AND(DF$5&lt;=$F15,DF$5+GanttPeriod-1&gt;=$E15),"━","")))</f>
        <v/>
      </c>
      <c r="DG15" s="69" t="str">
        <f aca="false">IF($E15="","",IF($M15,IF(AND($G15&gt;=DG$5,$G15&lt;DG$5+GanttPeriod),"◆",IF(AND($E15&gt;=DG$5,$E15&lt;DG$5+GanttPeriod),"◇","")),IF(AND(DG$5&lt;=$F15,DG$5+GanttPeriod-1&gt;=$E15),"━","")))</f>
        <v/>
      </c>
      <c r="DH15" s="69" t="str">
        <f aca="false">IF($E15="","",IF($M15,IF(AND($G15&gt;=DH$5,$G15&lt;DH$5+GanttPeriod),"◆",IF(AND($E15&gt;=DH$5,$E15&lt;DH$5+GanttPeriod),"◇","")),IF(AND(DH$5&lt;=$F15,DH$5+GanttPeriod-1&gt;=$E15),"━","")))</f>
        <v/>
      </c>
      <c r="DI15" s="69" t="str">
        <f aca="false">IF($E15="","",IF($M15,IF(AND($G15&gt;=DI$5,$G15&lt;DI$5+GanttPeriod),"◆",IF(AND($E15&gt;=DI$5,$E15&lt;DI$5+GanttPeriod),"◇","")),IF(AND(DI$5&lt;=$F15,DI$5+GanttPeriod-1&gt;=$E15),"━","")))</f>
        <v/>
      </c>
      <c r="DJ15" s="69" t="str">
        <f aca="false">IF($E15="","",IF($M15,IF(AND($G15&gt;=DJ$5,$G15&lt;DJ$5+GanttPeriod),"◆",IF(AND($E15&gt;=DJ$5,$E15&lt;DJ$5+GanttPeriod),"◇","")),IF(AND(DJ$5&lt;=$F15,DJ$5+GanttPeriod-1&gt;=$E15),"━","")))</f>
        <v/>
      </c>
      <c r="DK15" s="69" t="str">
        <f aca="false">IF($E15="","",IF($M15,IF(AND($G15&gt;=DK$5,$G15&lt;DK$5+GanttPeriod),"◆",IF(AND($E15&gt;=DK$5,$E15&lt;DK$5+GanttPeriod),"◇","")),IF(AND(DK$5&lt;=$F15,DK$5+GanttPeriod-1&gt;=$E15),"━","")))</f>
        <v/>
      </c>
      <c r="DL15" s="69" t="str">
        <f aca="false">IF($E15="","",IF($M15,IF(AND($G15&gt;=DL$5,$G15&lt;DL$5+GanttPeriod),"◆",IF(AND($E15&gt;=DL$5,$E15&lt;DL$5+GanttPeriod),"◇","")),IF(AND(DL$5&lt;=$F15,DL$5+GanttPeriod-1&gt;=$E15),"━","")))</f>
        <v/>
      </c>
      <c r="DM15" s="69" t="str">
        <f aca="false">IF($E15="","",IF($M15,IF(AND($G15&gt;=DM$5,$G15&lt;DM$5+GanttPeriod),"◆",IF(AND($E15&gt;=DM$5,$E15&lt;DM$5+GanttPeriod),"◇","")),IF(AND(DM$5&lt;=$F15,DM$5+GanttPeriod-1&gt;=$E15),"━","")))</f>
        <v/>
      </c>
      <c r="DN15" s="69" t="str">
        <f aca="false">IF($E15="","",IF($M15,IF(AND($G15&gt;=DN$5,$G15&lt;DN$5+GanttPeriod),"◆",IF(AND($E15&gt;=DN$5,$E15&lt;DN$5+GanttPeriod),"◇","")),IF(AND(DN$5&lt;=$F15,DN$5+GanttPeriod-1&gt;=$E15),"━","")))</f>
        <v/>
      </c>
      <c r="DO15" s="69" t="str">
        <f aca="false">IF($E15="","",IF($M15,IF(AND($G15&gt;=DO$5,$G15&lt;DO$5+GanttPeriod),"◆",IF(AND($E15&gt;=DO$5,$E15&lt;DO$5+GanttPeriod),"◇","")),IF(AND(DO$5&lt;=$F15,DO$5+GanttPeriod-1&gt;=$E15),"━","")))</f>
        <v/>
      </c>
      <c r="DP15" s="69" t="str">
        <f aca="false">IF($E15="","",IF($M15,IF(AND($G15&gt;=DP$5,$G15&lt;DP$5+GanttPeriod),"◆",IF(AND($E15&gt;=DP$5,$E15&lt;DP$5+GanttPeriod),"◇","")),IF(AND(DP$5&lt;=$F15,DP$5+GanttPeriod-1&gt;=$E15),"━","")))</f>
        <v/>
      </c>
      <c r="DQ15" s="69" t="str">
        <f aca="false">IF($E15="","",IF($M15,IF(AND($G15&gt;=DQ$5,$G15&lt;DQ$5+GanttPeriod),"◆",IF(AND($E15&gt;=DQ$5,$E15&lt;DQ$5+GanttPeriod),"◇","")),IF(AND(DQ$5&lt;=$F15,DQ$5+GanttPeriod-1&gt;=$E15),"━","")))</f>
        <v/>
      </c>
      <c r="DR15" s="69" t="str">
        <f aca="false">IF($E15="","",IF($M15,IF(AND($G15&gt;=DR$5,$G15&lt;DR$5+GanttPeriod),"◆",IF(AND($E15&gt;=DR$5,$E15&lt;DR$5+GanttPeriod),"◇","")),IF(AND(DR$5&lt;=$F15,DR$5+GanttPeriod-1&gt;=$E15),"━","")))</f>
        <v/>
      </c>
      <c r="DS15" s="69" t="str">
        <f aca="false">IF($E15="","",IF($M15,IF(AND($G15&gt;=DS$5,$G15&lt;DS$5+GanttPeriod),"◆",IF(AND($E15&gt;=DS$5,$E15&lt;DS$5+GanttPeriod),"◇","")),IF(AND(DS$5&lt;=$F15,DS$5+GanttPeriod-1&gt;=$E15),"━","")))</f>
        <v/>
      </c>
      <c r="DT15" s="69" t="str">
        <f aca="false">IF($E15="","",IF($M15,IF(AND($G15&gt;=DT$5,$G15&lt;DT$5+GanttPeriod),"◆",IF(AND($E15&gt;=DT$5,$E15&lt;DT$5+GanttPeriod),"◇","")),IF(AND(DT$5&lt;=$F15,DT$5+GanttPeriod-1&gt;=$E15),"━","")))</f>
        <v/>
      </c>
      <c r="DU15" s="69" t="str">
        <f aca="false">IF($E15="","",IF($M15,IF(AND($G15&gt;=DU$5,$G15&lt;DU$5+GanttPeriod),"◆",IF(AND($E15&gt;=DU$5,$E15&lt;DU$5+GanttPeriod),"◇","")),IF(AND(DU$5&lt;=$F15,DU$5+GanttPeriod-1&gt;=$E15),"━","")))</f>
        <v/>
      </c>
      <c r="DV15" s="69" t="str">
        <f aca="false">IF($E15="","",IF($M15,IF(AND($G15&gt;=DV$5,$G15&lt;DV$5+GanttPeriod),"◆",IF(AND($E15&gt;=DV$5,$E15&lt;DV$5+GanttPeriod),"◇","")),IF(AND(DV$5&lt;=$F15,DV$5+GanttPeriod-1&gt;=$E15),"━","")))</f>
        <v/>
      </c>
      <c r="DW15" s="69" t="str">
        <f aca="false">IF($E15="","",IF($M15,IF(AND($G15&gt;=DW$5,$G15&lt;DW$5+GanttPeriod),"◆",IF(AND($E15&gt;=DW$5,$E15&lt;DW$5+GanttPeriod),"◇","")),IF(AND(DW$5&lt;=$F15,DW$5+GanttPeriod-1&gt;=$E15),"━","")))</f>
        <v/>
      </c>
      <c r="DX15" s="69" t="str">
        <f aca="false">IF($E15="","",IF($M15,IF(AND($G15&gt;=DX$5,$G15&lt;DX$5+GanttPeriod),"◆",IF(AND($E15&gt;=DX$5,$E15&lt;DX$5+GanttPeriod),"◇","")),IF(AND(DX$5&lt;=$F15,DX$5+GanttPeriod-1&gt;=$E15),"━","")))</f>
        <v/>
      </c>
      <c r="DY15" s="69" t="str">
        <f aca="false">IF($E15="","",IF($M15,IF(AND($G15&gt;=DY$5,$G15&lt;DY$5+GanttPeriod),"◆",IF(AND($E15&gt;=DY$5,$E15&lt;DY$5+GanttPeriod),"◇","")),IF(AND(DY$5&lt;=$F15,DY$5+GanttPeriod-1&gt;=$E15),"━","")))</f>
        <v/>
      </c>
      <c r="DZ15" s="69" t="str">
        <f aca="false">IF($E15="","",IF($M15,IF(AND($G15&gt;=DZ$5,$G15&lt;DZ$5+GanttPeriod),"◆",IF(AND($E15&gt;=DZ$5,$E15&lt;DZ$5+GanttPeriod),"◇","")),IF(AND(DZ$5&lt;=$F15,DZ$5+GanttPeriod-1&gt;=$E15),"━","")))</f>
        <v/>
      </c>
      <c r="EA15" s="69" t="str">
        <f aca="false">IF($E15="","",IF($M15,IF(AND($G15&gt;=EA$5,$G15&lt;EA$5+GanttPeriod),"◆",IF(AND($E15&gt;=EA$5,$E15&lt;EA$5+GanttPeriod),"◇","")),IF(AND(EA$5&lt;=$F15,EA$5+GanttPeriod-1&gt;=$E15),"━","")))</f>
        <v/>
      </c>
      <c r="EB15" s="69" t="str">
        <f aca="false">IF($E15="","",IF($M15,IF(AND($G15&gt;=EB$5,$G15&lt;EB$5+GanttPeriod),"◆",IF(AND($E15&gt;=EB$5,$E15&lt;EB$5+GanttPeriod),"◇","")),IF(AND(EB$5&lt;=$F15,EB$5+GanttPeriod-1&gt;=$E15),"━","")))</f>
        <v/>
      </c>
      <c r="EC15" s="69" t="str">
        <f aca="false">IF($E15="","",IF($M15,IF(AND($G15&gt;=EC$5,$G15&lt;EC$5+GanttPeriod),"◆",IF(AND($E15&gt;=EC$5,$E15&lt;EC$5+GanttPeriod),"◇","")),IF(AND(EC$5&lt;=$F15,EC$5+GanttPeriod-1&gt;=$E15),"━","")))</f>
        <v/>
      </c>
      <c r="ED15" s="69" t="str">
        <f aca="false">IF($E15="","",IF($M15,IF(AND($G15&gt;=ED$5,$G15&lt;ED$5+GanttPeriod),"◆",IF(AND($E15&gt;=ED$5,$E15&lt;ED$5+GanttPeriod),"◇","")),IF(AND(ED$5&lt;=$F15,ED$5+GanttPeriod-1&gt;=$E15),"━","")))</f>
        <v/>
      </c>
      <c r="EE15" s="69" t="str">
        <f aca="false">IF($E15="","",IF($M15,IF(AND($G15&gt;=EE$5,$G15&lt;EE$5+GanttPeriod),"◆",IF(AND($E15&gt;=EE$5,$E15&lt;EE$5+GanttPeriod),"◇","")),IF(AND(EE$5&lt;=$F15,EE$5+GanttPeriod-1&gt;=$E15),"━","")))</f>
        <v/>
      </c>
      <c r="EF15" s="69" t="str">
        <f aca="false">IF($E15="","",IF($M15,IF(AND($G15&gt;=EF$5,$G15&lt;EF$5+GanttPeriod),"◆",IF(AND($E15&gt;=EF$5,$E15&lt;EF$5+GanttPeriod),"◇","")),IF(AND(EF$5&lt;=$F15,EF$5+GanttPeriod-1&gt;=$E15),"━","")))</f>
        <v/>
      </c>
      <c r="EG15" s="69" t="str">
        <f aca="false">IF($E15="","",IF($M15,IF(AND($G15&gt;=EG$5,$G15&lt;EG$5+GanttPeriod),"◆",IF(AND($E15&gt;=EG$5,$E15&lt;EG$5+GanttPeriod),"◇","")),IF(AND(EG$5&lt;=$F15,EG$5+GanttPeriod-1&gt;=$E15),"━","")))</f>
        <v/>
      </c>
      <c r="EH15" s="69" t="str">
        <f aca="false">IF($E15="","",IF($M15,IF(AND($G15&gt;=EH$5,$G15&lt;EH$5+GanttPeriod),"◆",IF(AND($E15&gt;=EH$5,$E15&lt;EH$5+GanttPeriod),"◇","")),IF(AND(EH$5&lt;=$F15,EH$5+GanttPeriod-1&gt;=$E15),"━","")))</f>
        <v/>
      </c>
      <c r="EI15" s="69" t="str">
        <f aca="false">IF($E15="","",IF($M15,IF(AND($G15&gt;=EI$5,$G15&lt;EI$5+GanttPeriod),"◆",IF(AND($E15&gt;=EI$5,$E15&lt;EI$5+GanttPeriod),"◇","")),IF(AND(EI$5&lt;=$F15,EI$5+GanttPeriod-1&gt;=$E15),"━","")))</f>
        <v/>
      </c>
      <c r="EJ15" s="69" t="str">
        <f aca="false">IF($E15="","",IF($M15,IF(AND($G15&gt;=EJ$5,$G15&lt;EJ$5+GanttPeriod),"◆",IF(AND($E15&gt;=EJ$5,$E15&lt;EJ$5+GanttPeriod),"◇","")),IF(AND(EJ$5&lt;=$F15,EJ$5+GanttPeriod-1&gt;=$E15),"━","")))</f>
        <v/>
      </c>
      <c r="EK15" s="69" t="str">
        <f aca="false">IF($E15="","",IF($M15,IF(AND($G15&gt;=EK$5,$G15&lt;EK$5+GanttPeriod),"◆",IF(AND($E15&gt;=EK$5,$E15&lt;EK$5+GanttPeriod),"◇","")),IF(AND(EK$5&lt;=$F15,EK$5+GanttPeriod-1&gt;=$E15),"━","")))</f>
        <v/>
      </c>
      <c r="EL15" s="69" t="str">
        <f aca="false">IF($E15="","",IF($M15,IF(AND($G15&gt;=EL$5,$G15&lt;EL$5+GanttPeriod),"◆",IF(AND($E15&gt;=EL$5,$E15&lt;EL$5+GanttPeriod),"◇","")),IF(AND(EL$5&lt;=$F15,EL$5+GanttPeriod-1&gt;=$E15),"━","")))</f>
        <v/>
      </c>
      <c r="EM15" s="69" t="str">
        <f aca="false">IF($E15="","",IF($M15,IF(AND($G15&gt;=EM$5,$G15&lt;EM$5+GanttPeriod),"◆",IF(AND($E15&gt;=EM$5,$E15&lt;EM$5+GanttPeriod),"◇","")),IF(AND(EM$5&lt;=$F15,EM$5+GanttPeriod-1&gt;=$E15),"━","")))</f>
        <v/>
      </c>
      <c r="EN15" s="69" t="str">
        <f aca="false">IF($E15="","",IF($M15,IF(AND($G15&gt;=EN$5,$G15&lt;EN$5+GanttPeriod),"◆",IF(AND($E15&gt;=EN$5,$E15&lt;EN$5+GanttPeriod),"◇","")),IF(AND(EN$5&lt;=$F15,EN$5+GanttPeriod-1&gt;=$E15),"━","")))</f>
        <v/>
      </c>
      <c r="EO15" s="69" t="str">
        <f aca="false">IF($E15="","",IF($M15,IF(AND($G15&gt;=EO$5,$G15&lt;EO$5+GanttPeriod),"◆",IF(AND($E15&gt;=EO$5,$E15&lt;EO$5+GanttPeriod),"◇","")),IF(AND(EO$5&lt;=$F15,EO$5+GanttPeriod-1&gt;=$E15),"━","")))</f>
        <v/>
      </c>
      <c r="EP15" s="69" t="str">
        <f aca="false">IF($E15="","",IF($M15,IF(AND($G15&gt;=EP$5,$G15&lt;EP$5+GanttPeriod),"◆",IF(AND($E15&gt;=EP$5,$E15&lt;EP$5+GanttPeriod),"◇","")),IF(AND(EP$5&lt;=$F15,EP$5+GanttPeriod-1&gt;=$E15),"━","")))</f>
        <v/>
      </c>
      <c r="EQ15" s="69" t="str">
        <f aca="false">IF($E15="","",IF($M15,IF(AND($G15&gt;=EQ$5,$G15&lt;EQ$5+GanttPeriod),"◆",IF(AND($E15&gt;=EQ$5,$E15&lt;EQ$5+GanttPeriod),"◇","")),IF(AND(EQ$5&lt;=$F15,EQ$5+GanttPeriod-1&gt;=$E15),"━","")))</f>
        <v/>
      </c>
      <c r="ER15" s="69" t="str">
        <f aca="false">IF($E15="","",IF($M15,IF(AND($G15&gt;=ER$5,$G15&lt;ER$5+GanttPeriod),"◆",IF(AND($E15&gt;=ER$5,$E15&lt;ER$5+GanttPeriod),"◇","")),IF(AND(ER$5&lt;=$F15,ER$5+GanttPeriod-1&gt;=$E15),"━","")))</f>
        <v/>
      </c>
      <c r="ES15" s="69" t="str">
        <f aca="false">IF($E15="","",IF($M15,IF(AND($G15&gt;=ES$5,$G15&lt;ES$5+GanttPeriod),"◆",IF(AND($E15&gt;=ES$5,$E15&lt;ES$5+GanttPeriod),"◇","")),IF(AND(ES$5&lt;=$F15,ES$5+GanttPeriod-1&gt;=$E15),"━","")))</f>
        <v/>
      </c>
      <c r="ET15" s="69" t="str">
        <f aca="false">IF($E15="","",IF($M15,IF(AND($G15&gt;=ET$5,$G15&lt;ET$5+GanttPeriod),"◆",IF(AND($E15&gt;=ET$5,$E15&lt;ET$5+GanttPeriod),"◇","")),IF(AND(ET$5&lt;=$F15,ET$5+GanttPeriod-1&gt;=$E15),"━","")))</f>
        <v/>
      </c>
      <c r="EU15" s="69" t="str">
        <f aca="false">IF($E15="","",IF($M15,IF(AND($G15&gt;=EU$5,$G15&lt;EU$5+GanttPeriod),"◆",IF(AND($E15&gt;=EU$5,$E15&lt;EU$5+GanttPeriod),"◇","")),IF(AND(EU$5&lt;=$F15,EU$5+GanttPeriod-1&gt;=$E15),"━","")))</f>
        <v/>
      </c>
      <c r="EV15" s="69" t="str">
        <f aca="false">IF($E15="","",IF($M15,IF(AND($G15&gt;=EV$5,$G15&lt;EV$5+GanttPeriod),"◆",IF(AND($E15&gt;=EV$5,$E15&lt;EV$5+GanttPeriod),"◇","")),IF(AND(EV$5&lt;=$F15,EV$5+GanttPeriod-1&gt;=$E15),"━","")))</f>
        <v/>
      </c>
      <c r="EW15" s="69" t="str">
        <f aca="false">IF($E15="","",IF($M15,IF(AND($G15&gt;=EW$5,$G15&lt;EW$5+GanttPeriod),"◆",IF(AND($E15&gt;=EW$5,$E15&lt;EW$5+GanttPeriod),"◇","")),IF(AND(EW$5&lt;=$F15,EW$5+GanttPeriod-1&gt;=$E15),"━","")))</f>
        <v/>
      </c>
      <c r="EX15" s="69" t="str">
        <f aca="false">IF($E15="","",IF($M15,IF(AND($G15&gt;=EX$5,$G15&lt;EX$5+GanttPeriod),"◆",IF(AND($E15&gt;=EX$5,$E15&lt;EX$5+GanttPeriod),"◇","")),IF(AND(EX$5&lt;=$F15,EX$5+GanttPeriod-1&gt;=$E15),"━","")))</f>
        <v/>
      </c>
      <c r="EY15" s="69" t="str">
        <f aca="false">IF($E15="","",IF($M15,IF(AND($G15&gt;=EY$5,$G15&lt;EY$5+GanttPeriod),"◆",IF(AND($E15&gt;=EY$5,$E15&lt;EY$5+GanttPeriod),"◇","")),IF(AND(EY$5&lt;=$F15,EY$5+GanttPeriod-1&gt;=$E15),"━","")))</f>
        <v/>
      </c>
      <c r="EZ15" s="69" t="str">
        <f aca="false">IF($E15="","",IF($M15,IF(AND($G15&gt;=EZ$5,$G15&lt;EZ$5+GanttPeriod),"◆",IF(AND($E15&gt;=EZ$5,$E15&lt;EZ$5+GanttPeriod),"◇","")),IF(AND(EZ$5&lt;=$F15,EZ$5+GanttPeriod-1&gt;=$E15),"━","")))</f>
        <v/>
      </c>
      <c r="FA15" s="69" t="str">
        <f aca="false">IF($E15="","",IF($M15,IF(AND($G15&gt;=FA$5,$G15&lt;FA$5+GanttPeriod),"◆",IF(AND($E15&gt;=FA$5,$E15&lt;FA$5+GanttPeriod),"◇","")),IF(AND(FA$5&lt;=$F15,FA$5+GanttPeriod-1&gt;=$E15),"━","")))</f>
        <v/>
      </c>
      <c r="FB15" s="69" t="str">
        <f aca="false">IF($E15="","",IF($M15,IF(AND($G15&gt;=FB$5,$G15&lt;FB$5+GanttPeriod),"◆",IF(AND($E15&gt;=FB$5,$E15&lt;FB$5+GanttPeriod),"◇","")),IF(AND(FB$5&lt;=$F15,FB$5+GanttPeriod-1&gt;=$E15),"━","")))</f>
        <v/>
      </c>
      <c r="FC15" s="69" t="str">
        <f aca="false">IF($E15="","",IF($M15,IF(AND($G15&gt;=FC$5,$G15&lt;FC$5+GanttPeriod),"◆",IF(AND($E15&gt;=FC$5,$E15&lt;FC$5+GanttPeriod),"◇","")),IF(AND(FC$5&lt;=$F15,FC$5+GanttPeriod-1&gt;=$E15),"━","")))</f>
        <v/>
      </c>
      <c r="FD15" s="69" t="str">
        <f aca="false">IF($E15="","",IF($M15,IF(AND($G15&gt;=FD$5,$G15&lt;FD$5+GanttPeriod),"◆",IF(AND($E15&gt;=FD$5,$E15&lt;FD$5+GanttPeriod),"◇","")),IF(AND(FD$5&lt;=$F15,FD$5+GanttPeriod-1&gt;=$E15),"━","")))</f>
        <v/>
      </c>
      <c r="FE15" s="69" t="str">
        <f aca="false">IF($E15="","",IF($M15,IF(AND($G15&gt;=FE$5,$G15&lt;FE$5+GanttPeriod),"◆",IF(AND($E15&gt;=FE$5,$E15&lt;FE$5+GanttPeriod),"◇","")),IF(AND(FE$5&lt;=$F15,FE$5+GanttPeriod-1&gt;=$E15),"━","")))</f>
        <v/>
      </c>
      <c r="FF15" s="69" t="str">
        <f aca="false">IF($E15="","",IF($M15,IF(AND($G15&gt;=FF$5,$G15&lt;FF$5+GanttPeriod),"◆",IF(AND($E15&gt;=FF$5,$E15&lt;FF$5+GanttPeriod),"◇","")),IF(AND(FF$5&lt;=$F15,FF$5+GanttPeriod-1&gt;=$E15),"━","")))</f>
        <v/>
      </c>
      <c r="FG15" s="69" t="str">
        <f aca="false">IF($E15="","",IF($M15,IF(AND($G15&gt;=FG$5,$G15&lt;FG$5+GanttPeriod),"◆",IF(AND($E15&gt;=FG$5,$E15&lt;FG$5+GanttPeriod),"◇","")),IF(AND(FG$5&lt;=$F15,FG$5+GanttPeriod-1&gt;=$E15),"━","")))</f>
        <v/>
      </c>
      <c r="FH15" s="69" t="str">
        <f aca="false">IF($E15="","",IF($M15,IF(AND($G15&gt;=FH$5,$G15&lt;FH$5+GanttPeriod),"◆",IF(AND($E15&gt;=FH$5,$E15&lt;FH$5+GanttPeriod),"◇","")),IF(AND(FH$5&lt;=$F15,FH$5+GanttPeriod-1&gt;=$E15),"━","")))</f>
        <v/>
      </c>
      <c r="FI15" s="69" t="str">
        <f aca="false">IF($E15="","",IF($M15,IF(AND($G15&gt;=FI$5,$G15&lt;FI$5+GanttPeriod),"◆",IF(AND($E15&gt;=FI$5,$E15&lt;FI$5+GanttPeriod),"◇","")),IF(AND(FI$5&lt;=$F15,FI$5+GanttPeriod-1&gt;=$E15),"━","")))</f>
        <v/>
      </c>
      <c r="FJ15" s="69" t="str">
        <f aca="false">IF($E15="","",IF($M15,IF(AND($G15&gt;=FJ$5,$G15&lt;FJ$5+GanttPeriod),"◆",IF(AND($E15&gt;=FJ$5,$E15&lt;FJ$5+GanttPeriod),"◇","")),IF(AND(FJ$5&lt;=$F15,FJ$5+GanttPeriod-1&gt;=$E15),"━","")))</f>
        <v/>
      </c>
      <c r="FK15" s="69" t="str">
        <f aca="false">IF($E15="","",IF($M15,IF(AND($G15&gt;=FK$5,$G15&lt;FK$5+GanttPeriod),"◆",IF(AND($E15&gt;=FK$5,$E15&lt;FK$5+GanttPeriod),"◇","")),IF(AND(FK$5&lt;=$F15,FK$5+GanttPeriod-1&gt;=$E15),"━","")))</f>
        <v/>
      </c>
      <c r="FL15" s="69" t="str">
        <f aca="false">IF($E15="","",IF($M15,IF(AND($G15&gt;=FL$5,$G15&lt;FL$5+GanttPeriod),"◆",IF(AND($E15&gt;=FL$5,$E15&lt;FL$5+GanttPeriod),"◇","")),IF(AND(FL$5&lt;=$F15,FL$5+GanttPeriod-1&gt;=$E15),"━","")))</f>
        <v/>
      </c>
      <c r="FM15" s="69" t="str">
        <f aca="false">IF($E15="","",IF($M15,IF(AND($G15&gt;=FM$5,$G15&lt;FM$5+GanttPeriod),"◆",IF(AND($E15&gt;=FM$5,$E15&lt;FM$5+GanttPeriod),"◇","")),IF(AND(FM$5&lt;=$F15,FM$5+GanttPeriod-1&gt;=$E15),"━","")))</f>
        <v/>
      </c>
    </row>
    <row r="16" customFormat="false" ht="15" hidden="false" customHeight="false" outlineLevel="0" collapsed="false">
      <c r="A16" s="62" t="n">
        <f aca="false">IF(Tasks!$D16="","",Tasks!$A16)</f>
        <v>11</v>
      </c>
      <c r="B16" s="62" t="str">
        <f aca="false">IF(Tasks!$D16="","",Tasks!$B16)</f>
        <v>3.1</v>
      </c>
      <c r="C16" s="63" t="str">
        <f aca="false">IF(Tasks!$D16="","",REPT("    ",Tasks!$AE16-1)&amp;Tasks!$D16)</f>
        <v>    Backend</v>
      </c>
      <c r="D16" s="62" t="n">
        <f aca="false">IF(Tasks!$D16="","",IF(Tasks!$AI16,NETWORKDAYS.INTL(Tasks!$R16,Tasks!$S16,WorkWeek,Holidays),N(Tasks!$F16)))</f>
        <v>24</v>
      </c>
      <c r="E16" s="64" t="n">
        <f aca="false">IF(Tasks!$D16="","",Tasks!$N16)</f>
        <v>46297</v>
      </c>
      <c r="F16" s="64" t="n">
        <f aca="false">IF(Tasks!$D16="","",Tasks!$O16)</f>
        <v>46325</v>
      </c>
      <c r="G16" s="64" t="n">
        <f aca="false">IF(Tasks!$D16="","",Tasks!$R16)</f>
        <v>46302</v>
      </c>
      <c r="H16" s="64" t="n">
        <f aca="false">IF(Tasks!$D16="","",Tasks!$S16)</f>
        <v>46335</v>
      </c>
      <c r="I16" s="65" t="n">
        <f aca="false">IF(Tasks!$D16="","",Tasks!$V16)</f>
        <v>0.476190476190476</v>
      </c>
      <c r="J16" s="63" t="str">
        <f aca="false">IF(Tasks!$D16="","",Tasks!$X16&amp;"")</f>
        <v/>
      </c>
      <c r="K16" s="66" t="str">
        <f aca="false">IF(Tasks!$D16="","",Tasks!$W16)</f>
        <v>Behind</v>
      </c>
      <c r="L16" s="67" t="b">
        <f aca="false">IF(Tasks!$D16="",FALSE(),Tasks!$AI16)</f>
        <v>1</v>
      </c>
      <c r="M16" s="67" t="b">
        <f aca="false">AND(Tasks!$AJ16=1,N(Tasks!$F16)=0)</f>
        <v>0</v>
      </c>
      <c r="N16" s="68" t="n">
        <f aca="false">IF(AND(Tasks!$AJ16=1,NOT($M16),N($I16)&gt;0),$G16,0)</f>
        <v>0</v>
      </c>
      <c r="O16" s="68" t="n">
        <f aca="false">IF($N16=0,0,IF($I16&gt;=1,$H16,MAX($N16,$G16+ROUND(($H16-$G16+1)*$I16,0)-1)))</f>
        <v>0</v>
      </c>
      <c r="P16" s="68" t="n">
        <f aca="false">IF(OR(Tasks!$AJ16&lt;&gt;1,$M16,N($I16)&gt;=1),0,IF($O16&gt;0,$O16+1,$G16))</f>
        <v>0</v>
      </c>
      <c r="Q16" s="68" t="n">
        <f aca="false">IF($P16=0,0,$H16)</f>
        <v>0</v>
      </c>
      <c r="R16" s="67" t="b">
        <f aca="false">AND(Tasks!$D16&lt;&gt;"",N(Tasks!$T16)&gt;0)</f>
        <v>1</v>
      </c>
      <c r="T16" s="69" t="str">
        <f aca="false">IF($E16="","",IF($M16,IF(AND($G16&gt;=T$5,$G16&lt;T$5+GanttPeriod),"◆",IF(AND($E16&gt;=T$5,$E16&lt;T$5+GanttPeriod),"◇","")),IF(AND(T$5&lt;=$F16,T$5+GanttPeriod-1&gt;=$E16),"━","")))</f>
        <v/>
      </c>
      <c r="U16" s="69" t="str">
        <f aca="false">IF($E16="","",IF($M16,IF(AND($G16&gt;=U$5,$G16&lt;U$5+GanttPeriod),"◆",IF(AND($E16&gt;=U$5,$E16&lt;U$5+GanttPeriod),"◇","")),IF(AND(U$5&lt;=$F16,U$5+GanttPeriod-1&gt;=$E16),"━","")))</f>
        <v/>
      </c>
      <c r="V16" s="69" t="str">
        <f aca="false">IF($E16="","",IF($M16,IF(AND($G16&gt;=V$5,$G16&lt;V$5+GanttPeriod),"◆",IF(AND($E16&gt;=V$5,$E16&lt;V$5+GanttPeriod),"◇","")),IF(AND(V$5&lt;=$F16,V$5+GanttPeriod-1&gt;=$E16),"━","")))</f>
        <v/>
      </c>
      <c r="W16" s="69" t="str">
        <f aca="false">IF($E16="","",IF($M16,IF(AND($G16&gt;=W$5,$G16&lt;W$5+GanttPeriod),"◆",IF(AND($E16&gt;=W$5,$E16&lt;W$5+GanttPeriod),"◇","")),IF(AND(W$5&lt;=$F16,W$5+GanttPeriod-1&gt;=$E16),"━","")))</f>
        <v/>
      </c>
      <c r="X16" s="69" t="str">
        <f aca="false">IF($E16="","",IF($M16,IF(AND($G16&gt;=X$5,$G16&lt;X$5+GanttPeriod),"◆",IF(AND($E16&gt;=X$5,$E16&lt;X$5+GanttPeriod),"◇","")),IF(AND(X$5&lt;=$F16,X$5+GanttPeriod-1&gt;=$E16),"━","")))</f>
        <v/>
      </c>
      <c r="Y16" s="69" t="str">
        <f aca="false">IF($E16="","",IF($M16,IF(AND($G16&gt;=Y$5,$G16&lt;Y$5+GanttPeriod),"◆",IF(AND($E16&gt;=Y$5,$E16&lt;Y$5+GanttPeriod),"◇","")),IF(AND(Y$5&lt;=$F16,Y$5+GanttPeriod-1&gt;=$E16),"━","")))</f>
        <v/>
      </c>
      <c r="Z16" s="69" t="str">
        <f aca="false">IF($E16="","",IF($M16,IF(AND($G16&gt;=Z$5,$G16&lt;Z$5+GanttPeriod),"◆",IF(AND($E16&gt;=Z$5,$E16&lt;Z$5+GanttPeriod),"◇","")),IF(AND(Z$5&lt;=$F16,Z$5+GanttPeriod-1&gt;=$E16),"━","")))</f>
        <v/>
      </c>
      <c r="AA16" s="69" t="str">
        <f aca="false">IF($E16="","",IF($M16,IF(AND($G16&gt;=AA$5,$G16&lt;AA$5+GanttPeriod),"◆",IF(AND($E16&gt;=AA$5,$E16&lt;AA$5+GanttPeriod),"◇","")),IF(AND(AA$5&lt;=$F16,AA$5+GanttPeriod-1&gt;=$E16),"━","")))</f>
        <v/>
      </c>
      <c r="AB16" s="69" t="str">
        <f aca="false">IF($E16="","",IF($M16,IF(AND($G16&gt;=AB$5,$G16&lt;AB$5+GanttPeriod),"◆",IF(AND($E16&gt;=AB$5,$E16&lt;AB$5+GanttPeriod),"◇","")),IF(AND(AB$5&lt;=$F16,AB$5+GanttPeriod-1&gt;=$E16),"━","")))</f>
        <v/>
      </c>
      <c r="AC16" s="69" t="str">
        <f aca="false">IF($E16="","",IF($M16,IF(AND($G16&gt;=AC$5,$G16&lt;AC$5+GanttPeriod),"◆",IF(AND($E16&gt;=AC$5,$E16&lt;AC$5+GanttPeriod),"◇","")),IF(AND(AC$5&lt;=$F16,AC$5+GanttPeriod-1&gt;=$E16),"━","")))</f>
        <v/>
      </c>
      <c r="AD16" s="69" t="str">
        <f aca="false">IF($E16="","",IF($M16,IF(AND($G16&gt;=AD$5,$G16&lt;AD$5+GanttPeriod),"◆",IF(AND($E16&gt;=AD$5,$E16&lt;AD$5+GanttPeriod),"◇","")),IF(AND(AD$5&lt;=$F16,AD$5+GanttPeriod-1&gt;=$E16),"━","")))</f>
        <v/>
      </c>
      <c r="AE16" s="69" t="str">
        <f aca="false">IF($E16="","",IF($M16,IF(AND($G16&gt;=AE$5,$G16&lt;AE$5+GanttPeriod),"◆",IF(AND($E16&gt;=AE$5,$E16&lt;AE$5+GanttPeriod),"◇","")),IF(AND(AE$5&lt;=$F16,AE$5+GanttPeriod-1&gt;=$E16),"━","")))</f>
        <v/>
      </c>
      <c r="AF16" s="69" t="str">
        <f aca="false">IF($E16="","",IF($M16,IF(AND($G16&gt;=AF$5,$G16&lt;AF$5+GanttPeriod),"◆",IF(AND($E16&gt;=AF$5,$E16&lt;AF$5+GanttPeriod),"◇","")),IF(AND(AF$5&lt;=$F16,AF$5+GanttPeriod-1&gt;=$E16),"━","")))</f>
        <v/>
      </c>
      <c r="AG16" s="69" t="str">
        <f aca="false">IF($E16="","",IF($M16,IF(AND($G16&gt;=AG$5,$G16&lt;AG$5+GanttPeriod),"◆",IF(AND($E16&gt;=AG$5,$E16&lt;AG$5+GanttPeriod),"◇","")),IF(AND(AG$5&lt;=$F16,AG$5+GanttPeriod-1&gt;=$E16),"━","")))</f>
        <v/>
      </c>
      <c r="AH16" s="69" t="str">
        <f aca="false">IF($E16="","",IF($M16,IF(AND($G16&gt;=AH$5,$G16&lt;AH$5+GanttPeriod),"◆",IF(AND($E16&gt;=AH$5,$E16&lt;AH$5+GanttPeriod),"◇","")),IF(AND(AH$5&lt;=$F16,AH$5+GanttPeriod-1&gt;=$E16),"━","")))</f>
        <v/>
      </c>
      <c r="AI16" s="69" t="str">
        <f aca="false">IF($E16="","",IF($M16,IF(AND($G16&gt;=AI$5,$G16&lt;AI$5+GanttPeriod),"◆",IF(AND($E16&gt;=AI$5,$E16&lt;AI$5+GanttPeriod),"◇","")),IF(AND(AI$5&lt;=$F16,AI$5+GanttPeriod-1&gt;=$E16),"━","")))</f>
        <v/>
      </c>
      <c r="AJ16" s="69" t="str">
        <f aca="false">IF($E16="","",IF($M16,IF(AND($G16&gt;=AJ$5,$G16&lt;AJ$5+GanttPeriod),"◆",IF(AND($E16&gt;=AJ$5,$E16&lt;AJ$5+GanttPeriod),"◇","")),IF(AND(AJ$5&lt;=$F16,AJ$5+GanttPeriod-1&gt;=$E16),"━","")))</f>
        <v/>
      </c>
      <c r="AK16" s="69" t="str">
        <f aca="false">IF($E16="","",IF($M16,IF(AND($G16&gt;=AK$5,$G16&lt;AK$5+GanttPeriod),"◆",IF(AND($E16&gt;=AK$5,$E16&lt;AK$5+GanttPeriod),"◇","")),IF(AND(AK$5&lt;=$F16,AK$5+GanttPeriod-1&gt;=$E16),"━","")))</f>
        <v/>
      </c>
      <c r="AL16" s="69" t="str">
        <f aca="false">IF($E16="","",IF($M16,IF(AND($G16&gt;=AL$5,$G16&lt;AL$5+GanttPeriod),"◆",IF(AND($E16&gt;=AL$5,$E16&lt;AL$5+GanttPeriod),"◇","")),IF(AND(AL$5&lt;=$F16,AL$5+GanttPeriod-1&gt;=$E16),"━","")))</f>
        <v/>
      </c>
      <c r="AM16" s="69" t="str">
        <f aca="false">IF($E16="","",IF($M16,IF(AND($G16&gt;=AM$5,$G16&lt;AM$5+GanttPeriod),"◆",IF(AND($E16&gt;=AM$5,$E16&lt;AM$5+GanttPeriod),"◇","")),IF(AND(AM$5&lt;=$F16,AM$5+GanttPeriod-1&gt;=$E16),"━","")))</f>
        <v/>
      </c>
      <c r="AN16" s="69" t="str">
        <f aca="false">IF($E16="","",IF($M16,IF(AND($G16&gt;=AN$5,$G16&lt;AN$5+GanttPeriod),"◆",IF(AND($E16&gt;=AN$5,$E16&lt;AN$5+GanttPeriod),"◇","")),IF(AND(AN$5&lt;=$F16,AN$5+GanttPeriod-1&gt;=$E16),"━","")))</f>
        <v/>
      </c>
      <c r="AO16" s="69" t="str">
        <f aca="false">IF($E16="","",IF($M16,IF(AND($G16&gt;=AO$5,$G16&lt;AO$5+GanttPeriod),"◆",IF(AND($E16&gt;=AO$5,$E16&lt;AO$5+GanttPeriod),"◇","")),IF(AND(AO$5&lt;=$F16,AO$5+GanttPeriod-1&gt;=$E16),"━","")))</f>
        <v/>
      </c>
      <c r="AP16" s="69" t="str">
        <f aca="false">IF($E16="","",IF($M16,IF(AND($G16&gt;=AP$5,$G16&lt;AP$5+GanttPeriod),"◆",IF(AND($E16&gt;=AP$5,$E16&lt;AP$5+GanttPeriod),"◇","")),IF(AND(AP$5&lt;=$F16,AP$5+GanttPeriod-1&gt;=$E16),"━","")))</f>
        <v/>
      </c>
      <c r="AQ16" s="69" t="str">
        <f aca="false">IF($E16="","",IF($M16,IF(AND($G16&gt;=AQ$5,$G16&lt;AQ$5+GanttPeriod),"◆",IF(AND($E16&gt;=AQ$5,$E16&lt;AQ$5+GanttPeriod),"◇","")),IF(AND(AQ$5&lt;=$F16,AQ$5+GanttPeriod-1&gt;=$E16),"━","")))</f>
        <v/>
      </c>
      <c r="AR16" s="69" t="str">
        <f aca="false">IF($E16="","",IF($M16,IF(AND($G16&gt;=AR$5,$G16&lt;AR$5+GanttPeriod),"◆",IF(AND($E16&gt;=AR$5,$E16&lt;AR$5+GanttPeriod),"◇","")),IF(AND(AR$5&lt;=$F16,AR$5+GanttPeriod-1&gt;=$E16),"━","")))</f>
        <v/>
      </c>
      <c r="AS16" s="69" t="str">
        <f aca="false">IF($E16="","",IF($M16,IF(AND($G16&gt;=AS$5,$G16&lt;AS$5+GanttPeriod),"◆",IF(AND($E16&gt;=AS$5,$E16&lt;AS$5+GanttPeriod),"◇","")),IF(AND(AS$5&lt;=$F16,AS$5+GanttPeriod-1&gt;=$E16),"━","")))</f>
        <v>━</v>
      </c>
      <c r="AT16" s="69" t="str">
        <f aca="false">IF($E16="","",IF($M16,IF(AND($G16&gt;=AT$5,$G16&lt;AT$5+GanttPeriod),"◆",IF(AND($E16&gt;=AT$5,$E16&lt;AT$5+GanttPeriod),"◇","")),IF(AND(AT$5&lt;=$F16,AT$5+GanttPeriod-1&gt;=$E16),"━","")))</f>
        <v>━</v>
      </c>
      <c r="AU16" s="69" t="str">
        <f aca="false">IF($E16="","",IF($M16,IF(AND($G16&gt;=AU$5,$G16&lt;AU$5+GanttPeriod),"◆",IF(AND($E16&gt;=AU$5,$E16&lt;AU$5+GanttPeriod),"◇","")),IF(AND(AU$5&lt;=$F16,AU$5+GanttPeriod-1&gt;=$E16),"━","")))</f>
        <v>━</v>
      </c>
      <c r="AV16" s="69" t="str">
        <f aca="false">IF($E16="","",IF($M16,IF(AND($G16&gt;=AV$5,$G16&lt;AV$5+GanttPeriod),"◆",IF(AND($E16&gt;=AV$5,$E16&lt;AV$5+GanttPeriod),"◇","")),IF(AND(AV$5&lt;=$F16,AV$5+GanttPeriod-1&gt;=$E16),"━","")))</f>
        <v>━</v>
      </c>
      <c r="AW16" s="69" t="str">
        <f aca="false">IF($E16="","",IF($M16,IF(AND($G16&gt;=AW$5,$G16&lt;AW$5+GanttPeriod),"◆",IF(AND($E16&gt;=AW$5,$E16&lt;AW$5+GanttPeriod),"◇","")),IF(AND(AW$5&lt;=$F16,AW$5+GanttPeriod-1&gt;=$E16),"━","")))</f>
        <v>━</v>
      </c>
      <c r="AX16" s="69" t="str">
        <f aca="false">IF($E16="","",IF($M16,IF(AND($G16&gt;=AX$5,$G16&lt;AX$5+GanttPeriod),"◆",IF(AND($E16&gt;=AX$5,$E16&lt;AX$5+GanttPeriod),"◇","")),IF(AND(AX$5&lt;=$F16,AX$5+GanttPeriod-1&gt;=$E16),"━","")))</f>
        <v>━</v>
      </c>
      <c r="AY16" s="69" t="str">
        <f aca="false">IF($E16="","",IF($M16,IF(AND($G16&gt;=AY$5,$G16&lt;AY$5+GanttPeriod),"◆",IF(AND($E16&gt;=AY$5,$E16&lt;AY$5+GanttPeriod),"◇","")),IF(AND(AY$5&lt;=$F16,AY$5+GanttPeriod-1&gt;=$E16),"━","")))</f>
        <v>━</v>
      </c>
      <c r="AZ16" s="69" t="str">
        <f aca="false">IF($E16="","",IF($M16,IF(AND($G16&gt;=AZ$5,$G16&lt;AZ$5+GanttPeriod),"◆",IF(AND($E16&gt;=AZ$5,$E16&lt;AZ$5+GanttPeriod),"◇","")),IF(AND(AZ$5&lt;=$F16,AZ$5+GanttPeriod-1&gt;=$E16),"━","")))</f>
        <v>━</v>
      </c>
      <c r="BA16" s="69" t="str">
        <f aca="false">IF($E16="","",IF($M16,IF(AND($G16&gt;=BA$5,$G16&lt;BA$5+GanttPeriod),"◆",IF(AND($E16&gt;=BA$5,$E16&lt;BA$5+GanttPeriod),"◇","")),IF(AND(BA$5&lt;=$F16,BA$5+GanttPeriod-1&gt;=$E16),"━","")))</f>
        <v>━</v>
      </c>
      <c r="BB16" s="69" t="str">
        <f aca="false">IF($E16="","",IF($M16,IF(AND($G16&gt;=BB$5,$G16&lt;BB$5+GanttPeriod),"◆",IF(AND($E16&gt;=BB$5,$E16&lt;BB$5+GanttPeriod),"◇","")),IF(AND(BB$5&lt;=$F16,BB$5+GanttPeriod-1&gt;=$E16),"━","")))</f>
        <v>━</v>
      </c>
      <c r="BC16" s="69" t="str">
        <f aca="false">IF($E16="","",IF($M16,IF(AND($G16&gt;=BC$5,$G16&lt;BC$5+GanttPeriod),"◆",IF(AND($E16&gt;=BC$5,$E16&lt;BC$5+GanttPeriod),"◇","")),IF(AND(BC$5&lt;=$F16,BC$5+GanttPeriod-1&gt;=$E16),"━","")))</f>
        <v>━</v>
      </c>
      <c r="BD16" s="69" t="str">
        <f aca="false">IF($E16="","",IF($M16,IF(AND($G16&gt;=BD$5,$G16&lt;BD$5+GanttPeriod),"◆",IF(AND($E16&gt;=BD$5,$E16&lt;BD$5+GanttPeriod),"◇","")),IF(AND(BD$5&lt;=$F16,BD$5+GanttPeriod-1&gt;=$E16),"━","")))</f>
        <v>━</v>
      </c>
      <c r="BE16" s="69" t="str">
        <f aca="false">IF($E16="","",IF($M16,IF(AND($G16&gt;=BE$5,$G16&lt;BE$5+GanttPeriod),"◆",IF(AND($E16&gt;=BE$5,$E16&lt;BE$5+GanttPeriod),"◇","")),IF(AND(BE$5&lt;=$F16,BE$5+GanttPeriod-1&gt;=$E16),"━","")))</f>
        <v>━</v>
      </c>
      <c r="BF16" s="69" t="str">
        <f aca="false">IF($E16="","",IF($M16,IF(AND($G16&gt;=BF$5,$G16&lt;BF$5+GanttPeriod),"◆",IF(AND($E16&gt;=BF$5,$E16&lt;BF$5+GanttPeriod),"◇","")),IF(AND(BF$5&lt;=$F16,BF$5+GanttPeriod-1&gt;=$E16),"━","")))</f>
        <v>━</v>
      </c>
      <c r="BG16" s="69" t="str">
        <f aca="false">IF($E16="","",IF($M16,IF(AND($G16&gt;=BG$5,$G16&lt;BG$5+GanttPeriod),"◆",IF(AND($E16&gt;=BG$5,$E16&lt;BG$5+GanttPeriod),"◇","")),IF(AND(BG$5&lt;=$F16,BG$5+GanttPeriod-1&gt;=$E16),"━","")))</f>
        <v>━</v>
      </c>
      <c r="BH16" s="69" t="str">
        <f aca="false">IF($E16="","",IF($M16,IF(AND($G16&gt;=BH$5,$G16&lt;BH$5+GanttPeriod),"◆",IF(AND($E16&gt;=BH$5,$E16&lt;BH$5+GanttPeriod),"◇","")),IF(AND(BH$5&lt;=$F16,BH$5+GanttPeriod-1&gt;=$E16),"━","")))</f>
        <v>━</v>
      </c>
      <c r="BI16" s="69" t="str">
        <f aca="false">IF($E16="","",IF($M16,IF(AND($G16&gt;=BI$5,$G16&lt;BI$5+GanttPeriod),"◆",IF(AND($E16&gt;=BI$5,$E16&lt;BI$5+GanttPeriod),"◇","")),IF(AND(BI$5&lt;=$F16,BI$5+GanttPeriod-1&gt;=$E16),"━","")))</f>
        <v>━</v>
      </c>
      <c r="BJ16" s="69" t="str">
        <f aca="false">IF($E16="","",IF($M16,IF(AND($G16&gt;=BJ$5,$G16&lt;BJ$5+GanttPeriod),"◆",IF(AND($E16&gt;=BJ$5,$E16&lt;BJ$5+GanttPeriod),"◇","")),IF(AND(BJ$5&lt;=$F16,BJ$5+GanttPeriod-1&gt;=$E16),"━","")))</f>
        <v>━</v>
      </c>
      <c r="BK16" s="69" t="str">
        <f aca="false">IF($E16="","",IF($M16,IF(AND($G16&gt;=BK$5,$G16&lt;BK$5+GanttPeriod),"◆",IF(AND($E16&gt;=BK$5,$E16&lt;BK$5+GanttPeriod),"◇","")),IF(AND(BK$5&lt;=$F16,BK$5+GanttPeriod-1&gt;=$E16),"━","")))</f>
        <v>━</v>
      </c>
      <c r="BL16" s="69" t="str">
        <f aca="false">IF($E16="","",IF($M16,IF(AND($G16&gt;=BL$5,$G16&lt;BL$5+GanttPeriod),"◆",IF(AND($E16&gt;=BL$5,$E16&lt;BL$5+GanttPeriod),"◇","")),IF(AND(BL$5&lt;=$F16,BL$5+GanttPeriod-1&gt;=$E16),"━","")))</f>
        <v>━</v>
      </c>
      <c r="BM16" s="69" t="str">
        <f aca="false">IF($E16="","",IF($M16,IF(AND($G16&gt;=BM$5,$G16&lt;BM$5+GanttPeriod),"◆",IF(AND($E16&gt;=BM$5,$E16&lt;BM$5+GanttPeriod),"◇","")),IF(AND(BM$5&lt;=$F16,BM$5+GanttPeriod-1&gt;=$E16),"━","")))</f>
        <v>━</v>
      </c>
      <c r="BN16" s="69" t="str">
        <f aca="false">IF($E16="","",IF($M16,IF(AND($G16&gt;=BN$5,$G16&lt;BN$5+GanttPeriod),"◆",IF(AND($E16&gt;=BN$5,$E16&lt;BN$5+GanttPeriod),"◇","")),IF(AND(BN$5&lt;=$F16,BN$5+GanttPeriod-1&gt;=$E16),"━","")))</f>
        <v>━</v>
      </c>
      <c r="BO16" s="69" t="str">
        <f aca="false">IF($E16="","",IF($M16,IF(AND($G16&gt;=BO$5,$G16&lt;BO$5+GanttPeriod),"◆",IF(AND($E16&gt;=BO$5,$E16&lt;BO$5+GanttPeriod),"◇","")),IF(AND(BO$5&lt;=$F16,BO$5+GanttPeriod-1&gt;=$E16),"━","")))</f>
        <v>━</v>
      </c>
      <c r="BP16" s="69" t="str">
        <f aca="false">IF($E16="","",IF($M16,IF(AND($G16&gt;=BP$5,$G16&lt;BP$5+GanttPeriod),"◆",IF(AND($E16&gt;=BP$5,$E16&lt;BP$5+GanttPeriod),"◇","")),IF(AND(BP$5&lt;=$F16,BP$5+GanttPeriod-1&gt;=$E16),"━","")))</f>
        <v>━</v>
      </c>
      <c r="BQ16" s="69" t="str">
        <f aca="false">IF($E16="","",IF($M16,IF(AND($G16&gt;=BQ$5,$G16&lt;BQ$5+GanttPeriod),"◆",IF(AND($E16&gt;=BQ$5,$E16&lt;BQ$5+GanttPeriod),"◇","")),IF(AND(BQ$5&lt;=$F16,BQ$5+GanttPeriod-1&gt;=$E16),"━","")))</f>
        <v>━</v>
      </c>
      <c r="BR16" s="69" t="str">
        <f aca="false">IF($E16="","",IF($M16,IF(AND($G16&gt;=BR$5,$G16&lt;BR$5+GanttPeriod),"◆",IF(AND($E16&gt;=BR$5,$E16&lt;BR$5+GanttPeriod),"◇","")),IF(AND(BR$5&lt;=$F16,BR$5+GanttPeriod-1&gt;=$E16),"━","")))</f>
        <v>━</v>
      </c>
      <c r="BS16" s="69" t="str">
        <f aca="false">IF($E16="","",IF($M16,IF(AND($G16&gt;=BS$5,$G16&lt;BS$5+GanttPeriod),"◆",IF(AND($E16&gt;=BS$5,$E16&lt;BS$5+GanttPeriod),"◇","")),IF(AND(BS$5&lt;=$F16,BS$5+GanttPeriod-1&gt;=$E16),"━","")))</f>
        <v>━</v>
      </c>
      <c r="BT16" s="69" t="str">
        <f aca="false">IF($E16="","",IF($M16,IF(AND($G16&gt;=BT$5,$G16&lt;BT$5+GanttPeriod),"◆",IF(AND($E16&gt;=BT$5,$E16&lt;BT$5+GanttPeriod),"◇","")),IF(AND(BT$5&lt;=$F16,BT$5+GanttPeriod-1&gt;=$E16),"━","")))</f>
        <v>━</v>
      </c>
      <c r="BU16" s="69" t="str">
        <f aca="false">IF($E16="","",IF($M16,IF(AND($G16&gt;=BU$5,$G16&lt;BU$5+GanttPeriod),"◆",IF(AND($E16&gt;=BU$5,$E16&lt;BU$5+GanttPeriod),"◇","")),IF(AND(BU$5&lt;=$F16,BU$5+GanttPeriod-1&gt;=$E16),"━","")))</f>
        <v>━</v>
      </c>
      <c r="BV16" s="69" t="str">
        <f aca="false">IF($E16="","",IF($M16,IF(AND($G16&gt;=BV$5,$G16&lt;BV$5+GanttPeriod),"◆",IF(AND($E16&gt;=BV$5,$E16&lt;BV$5+GanttPeriod),"◇","")),IF(AND(BV$5&lt;=$F16,BV$5+GanttPeriod-1&gt;=$E16),"━","")))</f>
        <v/>
      </c>
      <c r="BW16" s="69" t="str">
        <f aca="false">IF($E16="","",IF($M16,IF(AND($G16&gt;=BW$5,$G16&lt;BW$5+GanttPeriod),"◆",IF(AND($E16&gt;=BW$5,$E16&lt;BW$5+GanttPeriod),"◇","")),IF(AND(BW$5&lt;=$F16,BW$5+GanttPeriod-1&gt;=$E16),"━","")))</f>
        <v/>
      </c>
      <c r="BX16" s="69" t="str">
        <f aca="false">IF($E16="","",IF($M16,IF(AND($G16&gt;=BX$5,$G16&lt;BX$5+GanttPeriod),"◆",IF(AND($E16&gt;=BX$5,$E16&lt;BX$5+GanttPeriod),"◇","")),IF(AND(BX$5&lt;=$F16,BX$5+GanttPeriod-1&gt;=$E16),"━","")))</f>
        <v/>
      </c>
      <c r="BY16" s="69" t="str">
        <f aca="false">IF($E16="","",IF($M16,IF(AND($G16&gt;=BY$5,$G16&lt;BY$5+GanttPeriod),"◆",IF(AND($E16&gt;=BY$5,$E16&lt;BY$5+GanttPeriod),"◇","")),IF(AND(BY$5&lt;=$F16,BY$5+GanttPeriod-1&gt;=$E16),"━","")))</f>
        <v/>
      </c>
      <c r="BZ16" s="69" t="str">
        <f aca="false">IF($E16="","",IF($M16,IF(AND($G16&gt;=BZ$5,$G16&lt;BZ$5+GanttPeriod),"◆",IF(AND($E16&gt;=BZ$5,$E16&lt;BZ$5+GanttPeriod),"◇","")),IF(AND(BZ$5&lt;=$F16,BZ$5+GanttPeriod-1&gt;=$E16),"━","")))</f>
        <v/>
      </c>
      <c r="CA16" s="69" t="str">
        <f aca="false">IF($E16="","",IF($M16,IF(AND($G16&gt;=CA$5,$G16&lt;CA$5+GanttPeriod),"◆",IF(AND($E16&gt;=CA$5,$E16&lt;CA$5+GanttPeriod),"◇","")),IF(AND(CA$5&lt;=$F16,CA$5+GanttPeriod-1&gt;=$E16),"━","")))</f>
        <v/>
      </c>
      <c r="CB16" s="69" t="str">
        <f aca="false">IF($E16="","",IF($M16,IF(AND($G16&gt;=CB$5,$G16&lt;CB$5+GanttPeriod),"◆",IF(AND($E16&gt;=CB$5,$E16&lt;CB$5+GanttPeriod),"◇","")),IF(AND(CB$5&lt;=$F16,CB$5+GanttPeriod-1&gt;=$E16),"━","")))</f>
        <v/>
      </c>
      <c r="CC16" s="69" t="str">
        <f aca="false">IF($E16="","",IF($M16,IF(AND($G16&gt;=CC$5,$G16&lt;CC$5+GanttPeriod),"◆",IF(AND($E16&gt;=CC$5,$E16&lt;CC$5+GanttPeriod),"◇","")),IF(AND(CC$5&lt;=$F16,CC$5+GanttPeriod-1&gt;=$E16),"━","")))</f>
        <v/>
      </c>
      <c r="CD16" s="69" t="str">
        <f aca="false">IF($E16="","",IF($M16,IF(AND($G16&gt;=CD$5,$G16&lt;CD$5+GanttPeriod),"◆",IF(AND($E16&gt;=CD$5,$E16&lt;CD$5+GanttPeriod),"◇","")),IF(AND(CD$5&lt;=$F16,CD$5+GanttPeriod-1&gt;=$E16),"━","")))</f>
        <v/>
      </c>
      <c r="CE16" s="69" t="str">
        <f aca="false">IF($E16="","",IF($M16,IF(AND($G16&gt;=CE$5,$G16&lt;CE$5+GanttPeriod),"◆",IF(AND($E16&gt;=CE$5,$E16&lt;CE$5+GanttPeriod),"◇","")),IF(AND(CE$5&lt;=$F16,CE$5+GanttPeriod-1&gt;=$E16),"━","")))</f>
        <v/>
      </c>
      <c r="CF16" s="69" t="str">
        <f aca="false">IF($E16="","",IF($M16,IF(AND($G16&gt;=CF$5,$G16&lt;CF$5+GanttPeriod),"◆",IF(AND($E16&gt;=CF$5,$E16&lt;CF$5+GanttPeriod),"◇","")),IF(AND(CF$5&lt;=$F16,CF$5+GanttPeriod-1&gt;=$E16),"━","")))</f>
        <v/>
      </c>
      <c r="CG16" s="69" t="str">
        <f aca="false">IF($E16="","",IF($M16,IF(AND($G16&gt;=CG$5,$G16&lt;CG$5+GanttPeriod),"◆",IF(AND($E16&gt;=CG$5,$E16&lt;CG$5+GanttPeriod),"◇","")),IF(AND(CG$5&lt;=$F16,CG$5+GanttPeriod-1&gt;=$E16),"━","")))</f>
        <v/>
      </c>
      <c r="CH16" s="69" t="str">
        <f aca="false">IF($E16="","",IF($M16,IF(AND($G16&gt;=CH$5,$G16&lt;CH$5+GanttPeriod),"◆",IF(AND($E16&gt;=CH$5,$E16&lt;CH$5+GanttPeriod),"◇","")),IF(AND(CH$5&lt;=$F16,CH$5+GanttPeriod-1&gt;=$E16),"━","")))</f>
        <v/>
      </c>
      <c r="CI16" s="69" t="str">
        <f aca="false">IF($E16="","",IF($M16,IF(AND($G16&gt;=CI$5,$G16&lt;CI$5+GanttPeriod),"◆",IF(AND($E16&gt;=CI$5,$E16&lt;CI$5+GanttPeriod),"◇","")),IF(AND(CI$5&lt;=$F16,CI$5+GanttPeriod-1&gt;=$E16),"━","")))</f>
        <v/>
      </c>
      <c r="CJ16" s="69" t="str">
        <f aca="false">IF($E16="","",IF($M16,IF(AND($G16&gt;=CJ$5,$G16&lt;CJ$5+GanttPeriod),"◆",IF(AND($E16&gt;=CJ$5,$E16&lt;CJ$5+GanttPeriod),"◇","")),IF(AND(CJ$5&lt;=$F16,CJ$5+GanttPeriod-1&gt;=$E16),"━","")))</f>
        <v/>
      </c>
      <c r="CK16" s="69" t="str">
        <f aca="false">IF($E16="","",IF($M16,IF(AND($G16&gt;=CK$5,$G16&lt;CK$5+GanttPeriod),"◆",IF(AND($E16&gt;=CK$5,$E16&lt;CK$5+GanttPeriod),"◇","")),IF(AND(CK$5&lt;=$F16,CK$5+GanttPeriod-1&gt;=$E16),"━","")))</f>
        <v/>
      </c>
      <c r="CL16" s="69" t="str">
        <f aca="false">IF($E16="","",IF($M16,IF(AND($G16&gt;=CL$5,$G16&lt;CL$5+GanttPeriod),"◆",IF(AND($E16&gt;=CL$5,$E16&lt;CL$5+GanttPeriod),"◇","")),IF(AND(CL$5&lt;=$F16,CL$5+GanttPeriod-1&gt;=$E16),"━","")))</f>
        <v/>
      </c>
      <c r="CM16" s="69" t="str">
        <f aca="false">IF($E16="","",IF($M16,IF(AND($G16&gt;=CM$5,$G16&lt;CM$5+GanttPeriod),"◆",IF(AND($E16&gt;=CM$5,$E16&lt;CM$5+GanttPeriod),"◇","")),IF(AND(CM$5&lt;=$F16,CM$5+GanttPeriod-1&gt;=$E16),"━","")))</f>
        <v/>
      </c>
      <c r="CN16" s="69" t="str">
        <f aca="false">IF($E16="","",IF($M16,IF(AND($G16&gt;=CN$5,$G16&lt;CN$5+GanttPeriod),"◆",IF(AND($E16&gt;=CN$5,$E16&lt;CN$5+GanttPeriod),"◇","")),IF(AND(CN$5&lt;=$F16,CN$5+GanttPeriod-1&gt;=$E16),"━","")))</f>
        <v/>
      </c>
      <c r="CO16" s="69" t="str">
        <f aca="false">IF($E16="","",IF($M16,IF(AND($G16&gt;=CO$5,$G16&lt;CO$5+GanttPeriod),"◆",IF(AND($E16&gt;=CO$5,$E16&lt;CO$5+GanttPeriod),"◇","")),IF(AND(CO$5&lt;=$F16,CO$5+GanttPeriod-1&gt;=$E16),"━","")))</f>
        <v/>
      </c>
      <c r="CP16" s="69" t="str">
        <f aca="false">IF($E16="","",IF($M16,IF(AND($G16&gt;=CP$5,$G16&lt;CP$5+GanttPeriod),"◆",IF(AND($E16&gt;=CP$5,$E16&lt;CP$5+GanttPeriod),"◇","")),IF(AND(CP$5&lt;=$F16,CP$5+GanttPeriod-1&gt;=$E16),"━","")))</f>
        <v/>
      </c>
      <c r="CQ16" s="69" t="str">
        <f aca="false">IF($E16="","",IF($M16,IF(AND($G16&gt;=CQ$5,$G16&lt;CQ$5+GanttPeriod),"◆",IF(AND($E16&gt;=CQ$5,$E16&lt;CQ$5+GanttPeriod),"◇","")),IF(AND(CQ$5&lt;=$F16,CQ$5+GanttPeriod-1&gt;=$E16),"━","")))</f>
        <v/>
      </c>
      <c r="CR16" s="69" t="str">
        <f aca="false">IF($E16="","",IF($M16,IF(AND($G16&gt;=CR$5,$G16&lt;CR$5+GanttPeriod),"◆",IF(AND($E16&gt;=CR$5,$E16&lt;CR$5+GanttPeriod),"◇","")),IF(AND(CR$5&lt;=$F16,CR$5+GanttPeriod-1&gt;=$E16),"━","")))</f>
        <v/>
      </c>
      <c r="CS16" s="69" t="str">
        <f aca="false">IF($E16="","",IF($M16,IF(AND($G16&gt;=CS$5,$G16&lt;CS$5+GanttPeriod),"◆",IF(AND($E16&gt;=CS$5,$E16&lt;CS$5+GanttPeriod),"◇","")),IF(AND(CS$5&lt;=$F16,CS$5+GanttPeriod-1&gt;=$E16),"━","")))</f>
        <v/>
      </c>
      <c r="CT16" s="69" t="str">
        <f aca="false">IF($E16="","",IF($M16,IF(AND($G16&gt;=CT$5,$G16&lt;CT$5+GanttPeriod),"◆",IF(AND($E16&gt;=CT$5,$E16&lt;CT$5+GanttPeriod),"◇","")),IF(AND(CT$5&lt;=$F16,CT$5+GanttPeriod-1&gt;=$E16),"━","")))</f>
        <v/>
      </c>
      <c r="CU16" s="69" t="str">
        <f aca="false">IF($E16="","",IF($M16,IF(AND($G16&gt;=CU$5,$G16&lt;CU$5+GanttPeriod),"◆",IF(AND($E16&gt;=CU$5,$E16&lt;CU$5+GanttPeriod),"◇","")),IF(AND(CU$5&lt;=$F16,CU$5+GanttPeriod-1&gt;=$E16),"━","")))</f>
        <v/>
      </c>
      <c r="CV16" s="69" t="str">
        <f aca="false">IF($E16="","",IF($M16,IF(AND($G16&gt;=CV$5,$G16&lt;CV$5+GanttPeriod),"◆",IF(AND($E16&gt;=CV$5,$E16&lt;CV$5+GanttPeriod),"◇","")),IF(AND(CV$5&lt;=$F16,CV$5+GanttPeriod-1&gt;=$E16),"━","")))</f>
        <v/>
      </c>
      <c r="CW16" s="69" t="str">
        <f aca="false">IF($E16="","",IF($M16,IF(AND($G16&gt;=CW$5,$G16&lt;CW$5+GanttPeriod),"◆",IF(AND($E16&gt;=CW$5,$E16&lt;CW$5+GanttPeriod),"◇","")),IF(AND(CW$5&lt;=$F16,CW$5+GanttPeriod-1&gt;=$E16),"━","")))</f>
        <v/>
      </c>
      <c r="CX16" s="69" t="str">
        <f aca="false">IF($E16="","",IF($M16,IF(AND($G16&gt;=CX$5,$G16&lt;CX$5+GanttPeriod),"◆",IF(AND($E16&gt;=CX$5,$E16&lt;CX$5+GanttPeriod),"◇","")),IF(AND(CX$5&lt;=$F16,CX$5+GanttPeriod-1&gt;=$E16),"━","")))</f>
        <v/>
      </c>
      <c r="CY16" s="69" t="str">
        <f aca="false">IF($E16="","",IF($M16,IF(AND($G16&gt;=CY$5,$G16&lt;CY$5+GanttPeriod),"◆",IF(AND($E16&gt;=CY$5,$E16&lt;CY$5+GanttPeriod),"◇","")),IF(AND(CY$5&lt;=$F16,CY$5+GanttPeriod-1&gt;=$E16),"━","")))</f>
        <v/>
      </c>
      <c r="CZ16" s="69" t="str">
        <f aca="false">IF($E16="","",IF($M16,IF(AND($G16&gt;=CZ$5,$G16&lt;CZ$5+GanttPeriod),"◆",IF(AND($E16&gt;=CZ$5,$E16&lt;CZ$5+GanttPeriod),"◇","")),IF(AND(CZ$5&lt;=$F16,CZ$5+GanttPeriod-1&gt;=$E16),"━","")))</f>
        <v/>
      </c>
      <c r="DA16" s="69" t="str">
        <f aca="false">IF($E16="","",IF($M16,IF(AND($G16&gt;=DA$5,$G16&lt;DA$5+GanttPeriod),"◆",IF(AND($E16&gt;=DA$5,$E16&lt;DA$5+GanttPeriod),"◇","")),IF(AND(DA$5&lt;=$F16,DA$5+GanttPeriod-1&gt;=$E16),"━","")))</f>
        <v/>
      </c>
      <c r="DB16" s="69" t="str">
        <f aca="false">IF($E16="","",IF($M16,IF(AND($G16&gt;=DB$5,$G16&lt;DB$5+GanttPeriod),"◆",IF(AND($E16&gt;=DB$5,$E16&lt;DB$5+GanttPeriod),"◇","")),IF(AND(DB$5&lt;=$F16,DB$5+GanttPeriod-1&gt;=$E16),"━","")))</f>
        <v/>
      </c>
      <c r="DC16" s="69" t="str">
        <f aca="false">IF($E16="","",IF($M16,IF(AND($G16&gt;=DC$5,$G16&lt;DC$5+GanttPeriod),"◆",IF(AND($E16&gt;=DC$5,$E16&lt;DC$5+GanttPeriod),"◇","")),IF(AND(DC$5&lt;=$F16,DC$5+GanttPeriod-1&gt;=$E16),"━","")))</f>
        <v/>
      </c>
      <c r="DD16" s="69" t="str">
        <f aca="false">IF($E16="","",IF($M16,IF(AND($G16&gt;=DD$5,$G16&lt;DD$5+GanttPeriod),"◆",IF(AND($E16&gt;=DD$5,$E16&lt;DD$5+GanttPeriod),"◇","")),IF(AND(DD$5&lt;=$F16,DD$5+GanttPeriod-1&gt;=$E16),"━","")))</f>
        <v/>
      </c>
      <c r="DE16" s="69" t="str">
        <f aca="false">IF($E16="","",IF($M16,IF(AND($G16&gt;=DE$5,$G16&lt;DE$5+GanttPeriod),"◆",IF(AND($E16&gt;=DE$5,$E16&lt;DE$5+GanttPeriod),"◇","")),IF(AND(DE$5&lt;=$F16,DE$5+GanttPeriod-1&gt;=$E16),"━","")))</f>
        <v/>
      </c>
      <c r="DF16" s="69" t="str">
        <f aca="false">IF($E16="","",IF($M16,IF(AND($G16&gt;=DF$5,$G16&lt;DF$5+GanttPeriod),"◆",IF(AND($E16&gt;=DF$5,$E16&lt;DF$5+GanttPeriod),"◇","")),IF(AND(DF$5&lt;=$F16,DF$5+GanttPeriod-1&gt;=$E16),"━","")))</f>
        <v/>
      </c>
      <c r="DG16" s="69" t="str">
        <f aca="false">IF($E16="","",IF($M16,IF(AND($G16&gt;=DG$5,$G16&lt;DG$5+GanttPeriod),"◆",IF(AND($E16&gt;=DG$5,$E16&lt;DG$5+GanttPeriod),"◇","")),IF(AND(DG$5&lt;=$F16,DG$5+GanttPeriod-1&gt;=$E16),"━","")))</f>
        <v/>
      </c>
      <c r="DH16" s="69" t="str">
        <f aca="false">IF($E16="","",IF($M16,IF(AND($G16&gt;=DH$5,$G16&lt;DH$5+GanttPeriod),"◆",IF(AND($E16&gt;=DH$5,$E16&lt;DH$5+GanttPeriod),"◇","")),IF(AND(DH$5&lt;=$F16,DH$5+GanttPeriod-1&gt;=$E16),"━","")))</f>
        <v/>
      </c>
      <c r="DI16" s="69" t="str">
        <f aca="false">IF($E16="","",IF($M16,IF(AND($G16&gt;=DI$5,$G16&lt;DI$5+GanttPeriod),"◆",IF(AND($E16&gt;=DI$5,$E16&lt;DI$5+GanttPeriod),"◇","")),IF(AND(DI$5&lt;=$F16,DI$5+GanttPeriod-1&gt;=$E16),"━","")))</f>
        <v/>
      </c>
      <c r="DJ16" s="69" t="str">
        <f aca="false">IF($E16="","",IF($M16,IF(AND($G16&gt;=DJ$5,$G16&lt;DJ$5+GanttPeriod),"◆",IF(AND($E16&gt;=DJ$5,$E16&lt;DJ$5+GanttPeriod),"◇","")),IF(AND(DJ$5&lt;=$F16,DJ$5+GanttPeriod-1&gt;=$E16),"━","")))</f>
        <v/>
      </c>
      <c r="DK16" s="69" t="str">
        <f aca="false">IF($E16="","",IF($M16,IF(AND($G16&gt;=DK$5,$G16&lt;DK$5+GanttPeriod),"◆",IF(AND($E16&gt;=DK$5,$E16&lt;DK$5+GanttPeriod),"◇","")),IF(AND(DK$5&lt;=$F16,DK$5+GanttPeriod-1&gt;=$E16),"━","")))</f>
        <v/>
      </c>
      <c r="DL16" s="69" t="str">
        <f aca="false">IF($E16="","",IF($M16,IF(AND($G16&gt;=DL$5,$G16&lt;DL$5+GanttPeriod),"◆",IF(AND($E16&gt;=DL$5,$E16&lt;DL$5+GanttPeriod),"◇","")),IF(AND(DL$5&lt;=$F16,DL$5+GanttPeriod-1&gt;=$E16),"━","")))</f>
        <v/>
      </c>
      <c r="DM16" s="69" t="str">
        <f aca="false">IF($E16="","",IF($M16,IF(AND($G16&gt;=DM$5,$G16&lt;DM$5+GanttPeriod),"◆",IF(AND($E16&gt;=DM$5,$E16&lt;DM$5+GanttPeriod),"◇","")),IF(AND(DM$5&lt;=$F16,DM$5+GanttPeriod-1&gt;=$E16),"━","")))</f>
        <v/>
      </c>
      <c r="DN16" s="69" t="str">
        <f aca="false">IF($E16="","",IF($M16,IF(AND($G16&gt;=DN$5,$G16&lt;DN$5+GanttPeriod),"◆",IF(AND($E16&gt;=DN$5,$E16&lt;DN$5+GanttPeriod),"◇","")),IF(AND(DN$5&lt;=$F16,DN$5+GanttPeriod-1&gt;=$E16),"━","")))</f>
        <v/>
      </c>
      <c r="DO16" s="69" t="str">
        <f aca="false">IF($E16="","",IF($M16,IF(AND($G16&gt;=DO$5,$G16&lt;DO$5+GanttPeriod),"◆",IF(AND($E16&gt;=DO$5,$E16&lt;DO$5+GanttPeriod),"◇","")),IF(AND(DO$5&lt;=$F16,DO$5+GanttPeriod-1&gt;=$E16),"━","")))</f>
        <v/>
      </c>
      <c r="DP16" s="69" t="str">
        <f aca="false">IF($E16="","",IF($M16,IF(AND($G16&gt;=DP$5,$G16&lt;DP$5+GanttPeriod),"◆",IF(AND($E16&gt;=DP$5,$E16&lt;DP$5+GanttPeriod),"◇","")),IF(AND(DP$5&lt;=$F16,DP$5+GanttPeriod-1&gt;=$E16),"━","")))</f>
        <v/>
      </c>
      <c r="DQ16" s="69" t="str">
        <f aca="false">IF($E16="","",IF($M16,IF(AND($G16&gt;=DQ$5,$G16&lt;DQ$5+GanttPeriod),"◆",IF(AND($E16&gt;=DQ$5,$E16&lt;DQ$5+GanttPeriod),"◇","")),IF(AND(DQ$5&lt;=$F16,DQ$5+GanttPeriod-1&gt;=$E16),"━","")))</f>
        <v/>
      </c>
      <c r="DR16" s="69" t="str">
        <f aca="false">IF($E16="","",IF($M16,IF(AND($G16&gt;=DR$5,$G16&lt;DR$5+GanttPeriod),"◆",IF(AND($E16&gt;=DR$5,$E16&lt;DR$5+GanttPeriod),"◇","")),IF(AND(DR$5&lt;=$F16,DR$5+GanttPeriod-1&gt;=$E16),"━","")))</f>
        <v/>
      </c>
      <c r="DS16" s="69" t="str">
        <f aca="false">IF($E16="","",IF($M16,IF(AND($G16&gt;=DS$5,$G16&lt;DS$5+GanttPeriod),"◆",IF(AND($E16&gt;=DS$5,$E16&lt;DS$5+GanttPeriod),"◇","")),IF(AND(DS$5&lt;=$F16,DS$5+GanttPeriod-1&gt;=$E16),"━","")))</f>
        <v/>
      </c>
      <c r="DT16" s="69" t="str">
        <f aca="false">IF($E16="","",IF($M16,IF(AND($G16&gt;=DT$5,$G16&lt;DT$5+GanttPeriod),"◆",IF(AND($E16&gt;=DT$5,$E16&lt;DT$5+GanttPeriod),"◇","")),IF(AND(DT$5&lt;=$F16,DT$5+GanttPeriod-1&gt;=$E16),"━","")))</f>
        <v/>
      </c>
      <c r="DU16" s="69" t="str">
        <f aca="false">IF($E16="","",IF($M16,IF(AND($G16&gt;=DU$5,$G16&lt;DU$5+GanttPeriod),"◆",IF(AND($E16&gt;=DU$5,$E16&lt;DU$5+GanttPeriod),"◇","")),IF(AND(DU$5&lt;=$F16,DU$5+GanttPeriod-1&gt;=$E16),"━","")))</f>
        <v/>
      </c>
      <c r="DV16" s="69" t="str">
        <f aca="false">IF($E16="","",IF($M16,IF(AND($G16&gt;=DV$5,$G16&lt;DV$5+GanttPeriod),"◆",IF(AND($E16&gt;=DV$5,$E16&lt;DV$5+GanttPeriod),"◇","")),IF(AND(DV$5&lt;=$F16,DV$5+GanttPeriod-1&gt;=$E16),"━","")))</f>
        <v/>
      </c>
      <c r="DW16" s="69" t="str">
        <f aca="false">IF($E16="","",IF($M16,IF(AND($G16&gt;=DW$5,$G16&lt;DW$5+GanttPeriod),"◆",IF(AND($E16&gt;=DW$5,$E16&lt;DW$5+GanttPeriod),"◇","")),IF(AND(DW$5&lt;=$F16,DW$5+GanttPeriod-1&gt;=$E16),"━","")))</f>
        <v/>
      </c>
      <c r="DX16" s="69" t="str">
        <f aca="false">IF($E16="","",IF($M16,IF(AND($G16&gt;=DX$5,$G16&lt;DX$5+GanttPeriod),"◆",IF(AND($E16&gt;=DX$5,$E16&lt;DX$5+GanttPeriod),"◇","")),IF(AND(DX$5&lt;=$F16,DX$5+GanttPeriod-1&gt;=$E16),"━","")))</f>
        <v/>
      </c>
      <c r="DY16" s="69" t="str">
        <f aca="false">IF($E16="","",IF($M16,IF(AND($G16&gt;=DY$5,$G16&lt;DY$5+GanttPeriod),"◆",IF(AND($E16&gt;=DY$5,$E16&lt;DY$5+GanttPeriod),"◇","")),IF(AND(DY$5&lt;=$F16,DY$5+GanttPeriod-1&gt;=$E16),"━","")))</f>
        <v/>
      </c>
      <c r="DZ16" s="69" t="str">
        <f aca="false">IF($E16="","",IF($M16,IF(AND($G16&gt;=DZ$5,$G16&lt;DZ$5+GanttPeriod),"◆",IF(AND($E16&gt;=DZ$5,$E16&lt;DZ$5+GanttPeriod),"◇","")),IF(AND(DZ$5&lt;=$F16,DZ$5+GanttPeriod-1&gt;=$E16),"━","")))</f>
        <v/>
      </c>
      <c r="EA16" s="69" t="str">
        <f aca="false">IF($E16="","",IF($M16,IF(AND($G16&gt;=EA$5,$G16&lt;EA$5+GanttPeriod),"◆",IF(AND($E16&gt;=EA$5,$E16&lt;EA$5+GanttPeriod),"◇","")),IF(AND(EA$5&lt;=$F16,EA$5+GanttPeriod-1&gt;=$E16),"━","")))</f>
        <v/>
      </c>
      <c r="EB16" s="69" t="str">
        <f aca="false">IF($E16="","",IF($M16,IF(AND($G16&gt;=EB$5,$G16&lt;EB$5+GanttPeriod),"◆",IF(AND($E16&gt;=EB$5,$E16&lt;EB$5+GanttPeriod),"◇","")),IF(AND(EB$5&lt;=$F16,EB$5+GanttPeriod-1&gt;=$E16),"━","")))</f>
        <v/>
      </c>
      <c r="EC16" s="69" t="str">
        <f aca="false">IF($E16="","",IF($M16,IF(AND($G16&gt;=EC$5,$G16&lt;EC$5+GanttPeriod),"◆",IF(AND($E16&gt;=EC$5,$E16&lt;EC$5+GanttPeriod),"◇","")),IF(AND(EC$5&lt;=$F16,EC$5+GanttPeriod-1&gt;=$E16),"━","")))</f>
        <v/>
      </c>
      <c r="ED16" s="69" t="str">
        <f aca="false">IF($E16="","",IF($M16,IF(AND($G16&gt;=ED$5,$G16&lt;ED$5+GanttPeriod),"◆",IF(AND($E16&gt;=ED$5,$E16&lt;ED$5+GanttPeriod),"◇","")),IF(AND(ED$5&lt;=$F16,ED$5+GanttPeriod-1&gt;=$E16),"━","")))</f>
        <v/>
      </c>
      <c r="EE16" s="69" t="str">
        <f aca="false">IF($E16="","",IF($M16,IF(AND($G16&gt;=EE$5,$G16&lt;EE$5+GanttPeriod),"◆",IF(AND($E16&gt;=EE$5,$E16&lt;EE$5+GanttPeriod),"◇","")),IF(AND(EE$5&lt;=$F16,EE$5+GanttPeriod-1&gt;=$E16),"━","")))</f>
        <v/>
      </c>
      <c r="EF16" s="69" t="str">
        <f aca="false">IF($E16="","",IF($M16,IF(AND($G16&gt;=EF$5,$G16&lt;EF$5+GanttPeriod),"◆",IF(AND($E16&gt;=EF$5,$E16&lt;EF$5+GanttPeriod),"◇","")),IF(AND(EF$5&lt;=$F16,EF$5+GanttPeriod-1&gt;=$E16),"━","")))</f>
        <v/>
      </c>
      <c r="EG16" s="69" t="str">
        <f aca="false">IF($E16="","",IF($M16,IF(AND($G16&gt;=EG$5,$G16&lt;EG$5+GanttPeriod),"◆",IF(AND($E16&gt;=EG$5,$E16&lt;EG$5+GanttPeriod),"◇","")),IF(AND(EG$5&lt;=$F16,EG$5+GanttPeriod-1&gt;=$E16),"━","")))</f>
        <v/>
      </c>
      <c r="EH16" s="69" t="str">
        <f aca="false">IF($E16="","",IF($M16,IF(AND($G16&gt;=EH$5,$G16&lt;EH$5+GanttPeriod),"◆",IF(AND($E16&gt;=EH$5,$E16&lt;EH$5+GanttPeriod),"◇","")),IF(AND(EH$5&lt;=$F16,EH$5+GanttPeriod-1&gt;=$E16),"━","")))</f>
        <v/>
      </c>
      <c r="EI16" s="69" t="str">
        <f aca="false">IF($E16="","",IF($M16,IF(AND($G16&gt;=EI$5,$G16&lt;EI$5+GanttPeriod),"◆",IF(AND($E16&gt;=EI$5,$E16&lt;EI$5+GanttPeriod),"◇","")),IF(AND(EI$5&lt;=$F16,EI$5+GanttPeriod-1&gt;=$E16),"━","")))</f>
        <v/>
      </c>
      <c r="EJ16" s="69" t="str">
        <f aca="false">IF($E16="","",IF($M16,IF(AND($G16&gt;=EJ$5,$G16&lt;EJ$5+GanttPeriod),"◆",IF(AND($E16&gt;=EJ$5,$E16&lt;EJ$5+GanttPeriod),"◇","")),IF(AND(EJ$5&lt;=$F16,EJ$5+GanttPeriod-1&gt;=$E16),"━","")))</f>
        <v/>
      </c>
      <c r="EK16" s="69" t="str">
        <f aca="false">IF($E16="","",IF($M16,IF(AND($G16&gt;=EK$5,$G16&lt;EK$5+GanttPeriod),"◆",IF(AND($E16&gt;=EK$5,$E16&lt;EK$5+GanttPeriod),"◇","")),IF(AND(EK$5&lt;=$F16,EK$5+GanttPeriod-1&gt;=$E16),"━","")))</f>
        <v/>
      </c>
      <c r="EL16" s="69" t="str">
        <f aca="false">IF($E16="","",IF($M16,IF(AND($G16&gt;=EL$5,$G16&lt;EL$5+GanttPeriod),"◆",IF(AND($E16&gt;=EL$5,$E16&lt;EL$5+GanttPeriod),"◇","")),IF(AND(EL$5&lt;=$F16,EL$5+GanttPeriod-1&gt;=$E16),"━","")))</f>
        <v/>
      </c>
      <c r="EM16" s="69" t="str">
        <f aca="false">IF($E16="","",IF($M16,IF(AND($G16&gt;=EM$5,$G16&lt;EM$5+GanttPeriod),"◆",IF(AND($E16&gt;=EM$5,$E16&lt;EM$5+GanttPeriod),"◇","")),IF(AND(EM$5&lt;=$F16,EM$5+GanttPeriod-1&gt;=$E16),"━","")))</f>
        <v/>
      </c>
      <c r="EN16" s="69" t="str">
        <f aca="false">IF($E16="","",IF($M16,IF(AND($G16&gt;=EN$5,$G16&lt;EN$5+GanttPeriod),"◆",IF(AND($E16&gt;=EN$5,$E16&lt;EN$5+GanttPeriod),"◇","")),IF(AND(EN$5&lt;=$F16,EN$5+GanttPeriod-1&gt;=$E16),"━","")))</f>
        <v/>
      </c>
      <c r="EO16" s="69" t="str">
        <f aca="false">IF($E16="","",IF($M16,IF(AND($G16&gt;=EO$5,$G16&lt;EO$5+GanttPeriod),"◆",IF(AND($E16&gt;=EO$5,$E16&lt;EO$5+GanttPeriod),"◇","")),IF(AND(EO$5&lt;=$F16,EO$5+GanttPeriod-1&gt;=$E16),"━","")))</f>
        <v/>
      </c>
      <c r="EP16" s="69" t="str">
        <f aca="false">IF($E16="","",IF($M16,IF(AND($G16&gt;=EP$5,$G16&lt;EP$5+GanttPeriod),"◆",IF(AND($E16&gt;=EP$5,$E16&lt;EP$5+GanttPeriod),"◇","")),IF(AND(EP$5&lt;=$F16,EP$5+GanttPeriod-1&gt;=$E16),"━","")))</f>
        <v/>
      </c>
      <c r="EQ16" s="69" t="str">
        <f aca="false">IF($E16="","",IF($M16,IF(AND($G16&gt;=EQ$5,$G16&lt;EQ$5+GanttPeriod),"◆",IF(AND($E16&gt;=EQ$5,$E16&lt;EQ$5+GanttPeriod),"◇","")),IF(AND(EQ$5&lt;=$F16,EQ$5+GanttPeriod-1&gt;=$E16),"━","")))</f>
        <v/>
      </c>
      <c r="ER16" s="69" t="str">
        <f aca="false">IF($E16="","",IF($M16,IF(AND($G16&gt;=ER$5,$G16&lt;ER$5+GanttPeriod),"◆",IF(AND($E16&gt;=ER$5,$E16&lt;ER$5+GanttPeriod),"◇","")),IF(AND(ER$5&lt;=$F16,ER$5+GanttPeriod-1&gt;=$E16),"━","")))</f>
        <v/>
      </c>
      <c r="ES16" s="69" t="str">
        <f aca="false">IF($E16="","",IF($M16,IF(AND($G16&gt;=ES$5,$G16&lt;ES$5+GanttPeriod),"◆",IF(AND($E16&gt;=ES$5,$E16&lt;ES$5+GanttPeriod),"◇","")),IF(AND(ES$5&lt;=$F16,ES$5+GanttPeriod-1&gt;=$E16),"━","")))</f>
        <v/>
      </c>
      <c r="ET16" s="69" t="str">
        <f aca="false">IF($E16="","",IF($M16,IF(AND($G16&gt;=ET$5,$G16&lt;ET$5+GanttPeriod),"◆",IF(AND($E16&gt;=ET$5,$E16&lt;ET$5+GanttPeriod),"◇","")),IF(AND(ET$5&lt;=$F16,ET$5+GanttPeriod-1&gt;=$E16),"━","")))</f>
        <v/>
      </c>
      <c r="EU16" s="69" t="str">
        <f aca="false">IF($E16="","",IF($M16,IF(AND($G16&gt;=EU$5,$G16&lt;EU$5+GanttPeriod),"◆",IF(AND($E16&gt;=EU$5,$E16&lt;EU$5+GanttPeriod),"◇","")),IF(AND(EU$5&lt;=$F16,EU$5+GanttPeriod-1&gt;=$E16),"━","")))</f>
        <v/>
      </c>
      <c r="EV16" s="69" t="str">
        <f aca="false">IF($E16="","",IF($M16,IF(AND($G16&gt;=EV$5,$G16&lt;EV$5+GanttPeriod),"◆",IF(AND($E16&gt;=EV$5,$E16&lt;EV$5+GanttPeriod),"◇","")),IF(AND(EV$5&lt;=$F16,EV$5+GanttPeriod-1&gt;=$E16),"━","")))</f>
        <v/>
      </c>
      <c r="EW16" s="69" t="str">
        <f aca="false">IF($E16="","",IF($M16,IF(AND($G16&gt;=EW$5,$G16&lt;EW$5+GanttPeriod),"◆",IF(AND($E16&gt;=EW$5,$E16&lt;EW$5+GanttPeriod),"◇","")),IF(AND(EW$5&lt;=$F16,EW$5+GanttPeriod-1&gt;=$E16),"━","")))</f>
        <v/>
      </c>
      <c r="EX16" s="69" t="str">
        <f aca="false">IF($E16="","",IF($M16,IF(AND($G16&gt;=EX$5,$G16&lt;EX$5+GanttPeriod),"◆",IF(AND($E16&gt;=EX$5,$E16&lt;EX$5+GanttPeriod),"◇","")),IF(AND(EX$5&lt;=$F16,EX$5+GanttPeriod-1&gt;=$E16),"━","")))</f>
        <v/>
      </c>
      <c r="EY16" s="69" t="str">
        <f aca="false">IF($E16="","",IF($M16,IF(AND($G16&gt;=EY$5,$G16&lt;EY$5+GanttPeriod),"◆",IF(AND($E16&gt;=EY$5,$E16&lt;EY$5+GanttPeriod),"◇","")),IF(AND(EY$5&lt;=$F16,EY$5+GanttPeriod-1&gt;=$E16),"━","")))</f>
        <v/>
      </c>
      <c r="EZ16" s="69" t="str">
        <f aca="false">IF($E16="","",IF($M16,IF(AND($G16&gt;=EZ$5,$G16&lt;EZ$5+GanttPeriod),"◆",IF(AND($E16&gt;=EZ$5,$E16&lt;EZ$5+GanttPeriod),"◇","")),IF(AND(EZ$5&lt;=$F16,EZ$5+GanttPeriod-1&gt;=$E16),"━","")))</f>
        <v/>
      </c>
      <c r="FA16" s="69" t="str">
        <f aca="false">IF($E16="","",IF($M16,IF(AND($G16&gt;=FA$5,$G16&lt;FA$5+GanttPeriod),"◆",IF(AND($E16&gt;=FA$5,$E16&lt;FA$5+GanttPeriod),"◇","")),IF(AND(FA$5&lt;=$F16,FA$5+GanttPeriod-1&gt;=$E16),"━","")))</f>
        <v/>
      </c>
      <c r="FB16" s="69" t="str">
        <f aca="false">IF($E16="","",IF($M16,IF(AND($G16&gt;=FB$5,$G16&lt;FB$5+GanttPeriod),"◆",IF(AND($E16&gt;=FB$5,$E16&lt;FB$5+GanttPeriod),"◇","")),IF(AND(FB$5&lt;=$F16,FB$5+GanttPeriod-1&gt;=$E16),"━","")))</f>
        <v/>
      </c>
      <c r="FC16" s="69" t="str">
        <f aca="false">IF($E16="","",IF($M16,IF(AND($G16&gt;=FC$5,$G16&lt;FC$5+GanttPeriod),"◆",IF(AND($E16&gt;=FC$5,$E16&lt;FC$5+GanttPeriod),"◇","")),IF(AND(FC$5&lt;=$F16,FC$5+GanttPeriod-1&gt;=$E16),"━","")))</f>
        <v/>
      </c>
      <c r="FD16" s="69" t="str">
        <f aca="false">IF($E16="","",IF($M16,IF(AND($G16&gt;=FD$5,$G16&lt;FD$5+GanttPeriod),"◆",IF(AND($E16&gt;=FD$5,$E16&lt;FD$5+GanttPeriod),"◇","")),IF(AND(FD$5&lt;=$F16,FD$5+GanttPeriod-1&gt;=$E16),"━","")))</f>
        <v/>
      </c>
      <c r="FE16" s="69" t="str">
        <f aca="false">IF($E16="","",IF($M16,IF(AND($G16&gt;=FE$5,$G16&lt;FE$5+GanttPeriod),"◆",IF(AND($E16&gt;=FE$5,$E16&lt;FE$5+GanttPeriod),"◇","")),IF(AND(FE$5&lt;=$F16,FE$5+GanttPeriod-1&gt;=$E16),"━","")))</f>
        <v/>
      </c>
      <c r="FF16" s="69" t="str">
        <f aca="false">IF($E16="","",IF($M16,IF(AND($G16&gt;=FF$5,$G16&lt;FF$5+GanttPeriod),"◆",IF(AND($E16&gt;=FF$5,$E16&lt;FF$5+GanttPeriod),"◇","")),IF(AND(FF$5&lt;=$F16,FF$5+GanttPeriod-1&gt;=$E16),"━","")))</f>
        <v/>
      </c>
      <c r="FG16" s="69" t="str">
        <f aca="false">IF($E16="","",IF($M16,IF(AND($G16&gt;=FG$5,$G16&lt;FG$5+GanttPeriod),"◆",IF(AND($E16&gt;=FG$5,$E16&lt;FG$5+GanttPeriod),"◇","")),IF(AND(FG$5&lt;=$F16,FG$5+GanttPeriod-1&gt;=$E16),"━","")))</f>
        <v/>
      </c>
      <c r="FH16" s="69" t="str">
        <f aca="false">IF($E16="","",IF($M16,IF(AND($G16&gt;=FH$5,$G16&lt;FH$5+GanttPeriod),"◆",IF(AND($E16&gt;=FH$5,$E16&lt;FH$5+GanttPeriod),"◇","")),IF(AND(FH$5&lt;=$F16,FH$5+GanttPeriod-1&gt;=$E16),"━","")))</f>
        <v/>
      </c>
      <c r="FI16" s="69" t="str">
        <f aca="false">IF($E16="","",IF($M16,IF(AND($G16&gt;=FI$5,$G16&lt;FI$5+GanttPeriod),"◆",IF(AND($E16&gt;=FI$5,$E16&lt;FI$5+GanttPeriod),"◇","")),IF(AND(FI$5&lt;=$F16,FI$5+GanttPeriod-1&gt;=$E16),"━","")))</f>
        <v/>
      </c>
      <c r="FJ16" s="69" t="str">
        <f aca="false">IF($E16="","",IF($M16,IF(AND($G16&gt;=FJ$5,$G16&lt;FJ$5+GanttPeriod),"◆",IF(AND($E16&gt;=FJ$5,$E16&lt;FJ$5+GanttPeriod),"◇","")),IF(AND(FJ$5&lt;=$F16,FJ$5+GanttPeriod-1&gt;=$E16),"━","")))</f>
        <v/>
      </c>
      <c r="FK16" s="69" t="str">
        <f aca="false">IF($E16="","",IF($M16,IF(AND($G16&gt;=FK$5,$G16&lt;FK$5+GanttPeriod),"◆",IF(AND($E16&gt;=FK$5,$E16&lt;FK$5+GanttPeriod),"◇","")),IF(AND(FK$5&lt;=$F16,FK$5+GanttPeriod-1&gt;=$E16),"━","")))</f>
        <v/>
      </c>
      <c r="FL16" s="69" t="str">
        <f aca="false">IF($E16="","",IF($M16,IF(AND($G16&gt;=FL$5,$G16&lt;FL$5+GanttPeriod),"◆",IF(AND($E16&gt;=FL$5,$E16&lt;FL$5+GanttPeriod),"◇","")),IF(AND(FL$5&lt;=$F16,FL$5+GanttPeriod-1&gt;=$E16),"━","")))</f>
        <v/>
      </c>
      <c r="FM16" s="69" t="str">
        <f aca="false">IF($E16="","",IF($M16,IF(AND($G16&gt;=FM$5,$G16&lt;FM$5+GanttPeriod),"◆",IF(AND($E16&gt;=FM$5,$E16&lt;FM$5+GanttPeriod),"◇","")),IF(AND(FM$5&lt;=$F16,FM$5+GanttPeriod-1&gt;=$E16),"━","")))</f>
        <v/>
      </c>
    </row>
    <row r="17" customFormat="false" ht="15" hidden="false" customHeight="false" outlineLevel="0" collapsed="false">
      <c r="A17" s="62" t="n">
        <f aca="false">IF(Tasks!$D17="","",Tasks!$A17)</f>
        <v>12</v>
      </c>
      <c r="B17" s="62" t="str">
        <f aca="false">IF(Tasks!$D17="","",Tasks!$B17)</f>
        <v>3.1.1</v>
      </c>
      <c r="C17" s="63" t="str">
        <f aca="false">IF(Tasks!$D17="","",REPT("    ",Tasks!$AE17-1)&amp;Tasks!$D17)</f>
        <v>        Data model &amp; database setup</v>
      </c>
      <c r="D17" s="62" t="n">
        <f aca="false">IF(Tasks!$D17="","",IF(Tasks!$AI17,NETWORKDAYS.INTL(Tasks!$R17,Tasks!$S17,WorkWeek,Holidays),N(Tasks!$F17)))</f>
        <v>5</v>
      </c>
      <c r="E17" s="64" t="n">
        <f aca="false">IF(Tasks!$D17="","",Tasks!$N17)</f>
        <v>46297</v>
      </c>
      <c r="F17" s="64" t="n">
        <f aca="false">IF(Tasks!$D17="","",Tasks!$O17)</f>
        <v>46303</v>
      </c>
      <c r="G17" s="64" t="n">
        <f aca="false">IF(Tasks!$D17="","",Tasks!$R17)</f>
        <v>46302</v>
      </c>
      <c r="H17" s="64" t="n">
        <f aca="false">IF(Tasks!$D17="","",Tasks!$S17)</f>
        <v>46309</v>
      </c>
      <c r="I17" s="65" t="n">
        <f aca="false">IF(Tasks!$D17="","",Tasks!$V17)</f>
        <v>1</v>
      </c>
      <c r="J17" s="63" t="str">
        <f aca="false">IF(Tasks!$D17="","",Tasks!$X17&amp;"")</f>
        <v>Jordan Lee</v>
      </c>
      <c r="K17" s="66" t="str">
        <f aca="false">IF(Tasks!$D17="","",Tasks!$W17)</f>
        <v>Complete</v>
      </c>
      <c r="L17" s="67" t="b">
        <f aca="false">IF(Tasks!$D17="",FALSE(),Tasks!$AI17)</f>
        <v>0</v>
      </c>
      <c r="M17" s="67" t="b">
        <f aca="false">AND(Tasks!$AJ17=1,N(Tasks!$F17)=0)</f>
        <v>0</v>
      </c>
      <c r="N17" s="68" t="n">
        <f aca="false">IF(AND(Tasks!$AJ17=1,NOT($M17),N($I17)&gt;0),$G17,0)</f>
        <v>46302</v>
      </c>
      <c r="O17" s="68" t="n">
        <f aca="false">IF($N17=0,0,IF($I17&gt;=1,$H17,MAX($N17,$G17+ROUND(($H17-$G17+1)*$I17,0)-1)))</f>
        <v>46309</v>
      </c>
      <c r="P17" s="68" t="n">
        <f aca="false">IF(OR(Tasks!$AJ17&lt;&gt;1,$M17,N($I17)&gt;=1),0,IF($O17&gt;0,$O17+1,$G17))</f>
        <v>0</v>
      </c>
      <c r="Q17" s="68" t="n">
        <f aca="false">IF($P17=0,0,$H17)</f>
        <v>0</v>
      </c>
      <c r="R17" s="67" t="b">
        <f aca="false">AND(Tasks!$D17&lt;&gt;"",N(Tasks!$T17)&gt;0)</f>
        <v>1</v>
      </c>
      <c r="T17" s="69" t="str">
        <f aca="false">IF($E17="","",IF($M17,IF(AND($G17&gt;=T$5,$G17&lt;T$5+GanttPeriod),"◆",IF(AND($E17&gt;=T$5,$E17&lt;T$5+GanttPeriod),"◇","")),IF(AND(T$5&lt;=$F17,T$5+GanttPeriod-1&gt;=$E17),"━","")))</f>
        <v/>
      </c>
      <c r="U17" s="69" t="str">
        <f aca="false">IF($E17="","",IF($M17,IF(AND($G17&gt;=U$5,$G17&lt;U$5+GanttPeriod),"◆",IF(AND($E17&gt;=U$5,$E17&lt;U$5+GanttPeriod),"◇","")),IF(AND(U$5&lt;=$F17,U$5+GanttPeriod-1&gt;=$E17),"━","")))</f>
        <v/>
      </c>
      <c r="V17" s="69" t="str">
        <f aca="false">IF($E17="","",IF($M17,IF(AND($G17&gt;=V$5,$G17&lt;V$5+GanttPeriod),"◆",IF(AND($E17&gt;=V$5,$E17&lt;V$5+GanttPeriod),"◇","")),IF(AND(V$5&lt;=$F17,V$5+GanttPeriod-1&gt;=$E17),"━","")))</f>
        <v/>
      </c>
      <c r="W17" s="69" t="str">
        <f aca="false">IF($E17="","",IF($M17,IF(AND($G17&gt;=W$5,$G17&lt;W$5+GanttPeriod),"◆",IF(AND($E17&gt;=W$5,$E17&lt;W$5+GanttPeriod),"◇","")),IF(AND(W$5&lt;=$F17,W$5+GanttPeriod-1&gt;=$E17),"━","")))</f>
        <v/>
      </c>
      <c r="X17" s="69" t="str">
        <f aca="false">IF($E17="","",IF($M17,IF(AND($G17&gt;=X$5,$G17&lt;X$5+GanttPeriod),"◆",IF(AND($E17&gt;=X$5,$E17&lt;X$5+GanttPeriod),"◇","")),IF(AND(X$5&lt;=$F17,X$5+GanttPeriod-1&gt;=$E17),"━","")))</f>
        <v/>
      </c>
      <c r="Y17" s="69" t="str">
        <f aca="false">IF($E17="","",IF($M17,IF(AND($G17&gt;=Y$5,$G17&lt;Y$5+GanttPeriod),"◆",IF(AND($E17&gt;=Y$5,$E17&lt;Y$5+GanttPeriod),"◇","")),IF(AND(Y$5&lt;=$F17,Y$5+GanttPeriod-1&gt;=$E17),"━","")))</f>
        <v/>
      </c>
      <c r="Z17" s="69" t="str">
        <f aca="false">IF($E17="","",IF($M17,IF(AND($G17&gt;=Z$5,$G17&lt;Z$5+GanttPeriod),"◆",IF(AND($E17&gt;=Z$5,$E17&lt;Z$5+GanttPeriod),"◇","")),IF(AND(Z$5&lt;=$F17,Z$5+GanttPeriod-1&gt;=$E17),"━","")))</f>
        <v/>
      </c>
      <c r="AA17" s="69" t="str">
        <f aca="false">IF($E17="","",IF($M17,IF(AND($G17&gt;=AA$5,$G17&lt;AA$5+GanttPeriod),"◆",IF(AND($E17&gt;=AA$5,$E17&lt;AA$5+GanttPeriod),"◇","")),IF(AND(AA$5&lt;=$F17,AA$5+GanttPeriod-1&gt;=$E17),"━","")))</f>
        <v/>
      </c>
      <c r="AB17" s="69" t="str">
        <f aca="false">IF($E17="","",IF($M17,IF(AND($G17&gt;=AB$5,$G17&lt;AB$5+GanttPeriod),"◆",IF(AND($E17&gt;=AB$5,$E17&lt;AB$5+GanttPeriod),"◇","")),IF(AND(AB$5&lt;=$F17,AB$5+GanttPeriod-1&gt;=$E17),"━","")))</f>
        <v/>
      </c>
      <c r="AC17" s="69" t="str">
        <f aca="false">IF($E17="","",IF($M17,IF(AND($G17&gt;=AC$5,$G17&lt;AC$5+GanttPeriod),"◆",IF(AND($E17&gt;=AC$5,$E17&lt;AC$5+GanttPeriod),"◇","")),IF(AND(AC$5&lt;=$F17,AC$5+GanttPeriod-1&gt;=$E17),"━","")))</f>
        <v/>
      </c>
      <c r="AD17" s="69" t="str">
        <f aca="false">IF($E17="","",IF($M17,IF(AND($G17&gt;=AD$5,$G17&lt;AD$5+GanttPeriod),"◆",IF(AND($E17&gt;=AD$5,$E17&lt;AD$5+GanttPeriod),"◇","")),IF(AND(AD$5&lt;=$F17,AD$5+GanttPeriod-1&gt;=$E17),"━","")))</f>
        <v/>
      </c>
      <c r="AE17" s="69" t="str">
        <f aca="false">IF($E17="","",IF($M17,IF(AND($G17&gt;=AE$5,$G17&lt;AE$5+GanttPeriod),"◆",IF(AND($E17&gt;=AE$5,$E17&lt;AE$5+GanttPeriod),"◇","")),IF(AND(AE$5&lt;=$F17,AE$5+GanttPeriod-1&gt;=$E17),"━","")))</f>
        <v/>
      </c>
      <c r="AF17" s="69" t="str">
        <f aca="false">IF($E17="","",IF($M17,IF(AND($G17&gt;=AF$5,$G17&lt;AF$5+GanttPeriod),"◆",IF(AND($E17&gt;=AF$5,$E17&lt;AF$5+GanttPeriod),"◇","")),IF(AND(AF$5&lt;=$F17,AF$5+GanttPeriod-1&gt;=$E17),"━","")))</f>
        <v/>
      </c>
      <c r="AG17" s="69" t="str">
        <f aca="false">IF($E17="","",IF($M17,IF(AND($G17&gt;=AG$5,$G17&lt;AG$5+GanttPeriod),"◆",IF(AND($E17&gt;=AG$5,$E17&lt;AG$5+GanttPeriod),"◇","")),IF(AND(AG$5&lt;=$F17,AG$5+GanttPeriod-1&gt;=$E17),"━","")))</f>
        <v/>
      </c>
      <c r="AH17" s="69" t="str">
        <f aca="false">IF($E17="","",IF($M17,IF(AND($G17&gt;=AH$5,$G17&lt;AH$5+GanttPeriod),"◆",IF(AND($E17&gt;=AH$5,$E17&lt;AH$5+GanttPeriod),"◇","")),IF(AND(AH$5&lt;=$F17,AH$5+GanttPeriod-1&gt;=$E17),"━","")))</f>
        <v/>
      </c>
      <c r="AI17" s="69" t="str">
        <f aca="false">IF($E17="","",IF($M17,IF(AND($G17&gt;=AI$5,$G17&lt;AI$5+GanttPeriod),"◆",IF(AND($E17&gt;=AI$5,$E17&lt;AI$5+GanttPeriod),"◇","")),IF(AND(AI$5&lt;=$F17,AI$5+GanttPeriod-1&gt;=$E17),"━","")))</f>
        <v/>
      </c>
      <c r="AJ17" s="69" t="str">
        <f aca="false">IF($E17="","",IF($M17,IF(AND($G17&gt;=AJ$5,$G17&lt;AJ$5+GanttPeriod),"◆",IF(AND($E17&gt;=AJ$5,$E17&lt;AJ$5+GanttPeriod),"◇","")),IF(AND(AJ$5&lt;=$F17,AJ$5+GanttPeriod-1&gt;=$E17),"━","")))</f>
        <v/>
      </c>
      <c r="AK17" s="69" t="str">
        <f aca="false">IF($E17="","",IF($M17,IF(AND($G17&gt;=AK$5,$G17&lt;AK$5+GanttPeriod),"◆",IF(AND($E17&gt;=AK$5,$E17&lt;AK$5+GanttPeriod),"◇","")),IF(AND(AK$5&lt;=$F17,AK$5+GanttPeriod-1&gt;=$E17),"━","")))</f>
        <v/>
      </c>
      <c r="AL17" s="69" t="str">
        <f aca="false">IF($E17="","",IF($M17,IF(AND($G17&gt;=AL$5,$G17&lt;AL$5+GanttPeriod),"◆",IF(AND($E17&gt;=AL$5,$E17&lt;AL$5+GanttPeriod),"◇","")),IF(AND(AL$5&lt;=$F17,AL$5+GanttPeriod-1&gt;=$E17),"━","")))</f>
        <v/>
      </c>
      <c r="AM17" s="69" t="str">
        <f aca="false">IF($E17="","",IF($M17,IF(AND($G17&gt;=AM$5,$G17&lt;AM$5+GanttPeriod),"◆",IF(AND($E17&gt;=AM$5,$E17&lt;AM$5+GanttPeriod),"◇","")),IF(AND(AM$5&lt;=$F17,AM$5+GanttPeriod-1&gt;=$E17),"━","")))</f>
        <v/>
      </c>
      <c r="AN17" s="69" t="str">
        <f aca="false">IF($E17="","",IF($M17,IF(AND($G17&gt;=AN$5,$G17&lt;AN$5+GanttPeriod),"◆",IF(AND($E17&gt;=AN$5,$E17&lt;AN$5+GanttPeriod),"◇","")),IF(AND(AN$5&lt;=$F17,AN$5+GanttPeriod-1&gt;=$E17),"━","")))</f>
        <v/>
      </c>
      <c r="AO17" s="69" t="str">
        <f aca="false">IF($E17="","",IF($M17,IF(AND($G17&gt;=AO$5,$G17&lt;AO$5+GanttPeriod),"◆",IF(AND($E17&gt;=AO$5,$E17&lt;AO$5+GanttPeriod),"◇","")),IF(AND(AO$5&lt;=$F17,AO$5+GanttPeriod-1&gt;=$E17),"━","")))</f>
        <v/>
      </c>
      <c r="AP17" s="69" t="str">
        <f aca="false">IF($E17="","",IF($M17,IF(AND($G17&gt;=AP$5,$G17&lt;AP$5+GanttPeriod),"◆",IF(AND($E17&gt;=AP$5,$E17&lt;AP$5+GanttPeriod),"◇","")),IF(AND(AP$5&lt;=$F17,AP$5+GanttPeriod-1&gt;=$E17),"━","")))</f>
        <v/>
      </c>
      <c r="AQ17" s="69" t="str">
        <f aca="false">IF($E17="","",IF($M17,IF(AND($G17&gt;=AQ$5,$G17&lt;AQ$5+GanttPeriod),"◆",IF(AND($E17&gt;=AQ$5,$E17&lt;AQ$5+GanttPeriod),"◇","")),IF(AND(AQ$5&lt;=$F17,AQ$5+GanttPeriod-1&gt;=$E17),"━","")))</f>
        <v/>
      </c>
      <c r="AR17" s="69" t="str">
        <f aca="false">IF($E17="","",IF($M17,IF(AND($G17&gt;=AR$5,$G17&lt;AR$5+GanttPeriod),"◆",IF(AND($E17&gt;=AR$5,$E17&lt;AR$5+GanttPeriod),"◇","")),IF(AND(AR$5&lt;=$F17,AR$5+GanttPeriod-1&gt;=$E17),"━","")))</f>
        <v/>
      </c>
      <c r="AS17" s="69" t="str">
        <f aca="false">IF($E17="","",IF($M17,IF(AND($G17&gt;=AS$5,$G17&lt;AS$5+GanttPeriod),"◆",IF(AND($E17&gt;=AS$5,$E17&lt;AS$5+GanttPeriod),"◇","")),IF(AND(AS$5&lt;=$F17,AS$5+GanttPeriod-1&gt;=$E17),"━","")))</f>
        <v>━</v>
      </c>
      <c r="AT17" s="69" t="str">
        <f aca="false">IF($E17="","",IF($M17,IF(AND($G17&gt;=AT$5,$G17&lt;AT$5+GanttPeriod),"◆",IF(AND($E17&gt;=AT$5,$E17&lt;AT$5+GanttPeriod),"◇","")),IF(AND(AT$5&lt;=$F17,AT$5+GanttPeriod-1&gt;=$E17),"━","")))</f>
        <v>━</v>
      </c>
      <c r="AU17" s="69" t="str">
        <f aca="false">IF($E17="","",IF($M17,IF(AND($G17&gt;=AU$5,$G17&lt;AU$5+GanttPeriod),"◆",IF(AND($E17&gt;=AU$5,$E17&lt;AU$5+GanttPeriod),"◇","")),IF(AND(AU$5&lt;=$F17,AU$5+GanttPeriod-1&gt;=$E17),"━","")))</f>
        <v>━</v>
      </c>
      <c r="AV17" s="69" t="str">
        <f aca="false">IF($E17="","",IF($M17,IF(AND($G17&gt;=AV$5,$G17&lt;AV$5+GanttPeriod),"◆",IF(AND($E17&gt;=AV$5,$E17&lt;AV$5+GanttPeriod),"◇","")),IF(AND(AV$5&lt;=$F17,AV$5+GanttPeriod-1&gt;=$E17),"━","")))</f>
        <v>━</v>
      </c>
      <c r="AW17" s="69" t="str">
        <f aca="false">IF($E17="","",IF($M17,IF(AND($G17&gt;=AW$5,$G17&lt;AW$5+GanttPeriod),"◆",IF(AND($E17&gt;=AW$5,$E17&lt;AW$5+GanttPeriod),"◇","")),IF(AND(AW$5&lt;=$F17,AW$5+GanttPeriod-1&gt;=$E17),"━","")))</f>
        <v>━</v>
      </c>
      <c r="AX17" s="69" t="str">
        <f aca="false">IF($E17="","",IF($M17,IF(AND($G17&gt;=AX$5,$G17&lt;AX$5+GanttPeriod),"◆",IF(AND($E17&gt;=AX$5,$E17&lt;AX$5+GanttPeriod),"◇","")),IF(AND(AX$5&lt;=$F17,AX$5+GanttPeriod-1&gt;=$E17),"━","")))</f>
        <v>━</v>
      </c>
      <c r="AY17" s="69" t="str">
        <f aca="false">IF($E17="","",IF($M17,IF(AND($G17&gt;=AY$5,$G17&lt;AY$5+GanttPeriod),"◆",IF(AND($E17&gt;=AY$5,$E17&lt;AY$5+GanttPeriod),"◇","")),IF(AND(AY$5&lt;=$F17,AY$5+GanttPeriod-1&gt;=$E17),"━","")))</f>
        <v>━</v>
      </c>
      <c r="AZ17" s="69" t="str">
        <f aca="false">IF($E17="","",IF($M17,IF(AND($G17&gt;=AZ$5,$G17&lt;AZ$5+GanttPeriod),"◆",IF(AND($E17&gt;=AZ$5,$E17&lt;AZ$5+GanttPeriod),"◇","")),IF(AND(AZ$5&lt;=$F17,AZ$5+GanttPeriod-1&gt;=$E17),"━","")))</f>
        <v/>
      </c>
      <c r="BA17" s="69" t="str">
        <f aca="false">IF($E17="","",IF($M17,IF(AND($G17&gt;=BA$5,$G17&lt;BA$5+GanttPeriod),"◆",IF(AND($E17&gt;=BA$5,$E17&lt;BA$5+GanttPeriod),"◇","")),IF(AND(BA$5&lt;=$F17,BA$5+GanttPeriod-1&gt;=$E17),"━","")))</f>
        <v/>
      </c>
      <c r="BB17" s="69" t="str">
        <f aca="false">IF($E17="","",IF($M17,IF(AND($G17&gt;=BB$5,$G17&lt;BB$5+GanttPeriod),"◆",IF(AND($E17&gt;=BB$5,$E17&lt;BB$5+GanttPeriod),"◇","")),IF(AND(BB$5&lt;=$F17,BB$5+GanttPeriod-1&gt;=$E17),"━","")))</f>
        <v/>
      </c>
      <c r="BC17" s="69" t="str">
        <f aca="false">IF($E17="","",IF($M17,IF(AND($G17&gt;=BC$5,$G17&lt;BC$5+GanttPeriod),"◆",IF(AND($E17&gt;=BC$5,$E17&lt;BC$5+GanttPeriod),"◇","")),IF(AND(BC$5&lt;=$F17,BC$5+GanttPeriod-1&gt;=$E17),"━","")))</f>
        <v/>
      </c>
      <c r="BD17" s="69" t="str">
        <f aca="false">IF($E17="","",IF($M17,IF(AND($G17&gt;=BD$5,$G17&lt;BD$5+GanttPeriod),"◆",IF(AND($E17&gt;=BD$5,$E17&lt;BD$5+GanttPeriod),"◇","")),IF(AND(BD$5&lt;=$F17,BD$5+GanttPeriod-1&gt;=$E17),"━","")))</f>
        <v/>
      </c>
      <c r="BE17" s="69" t="str">
        <f aca="false">IF($E17="","",IF($M17,IF(AND($G17&gt;=BE$5,$G17&lt;BE$5+GanttPeriod),"◆",IF(AND($E17&gt;=BE$5,$E17&lt;BE$5+GanttPeriod),"◇","")),IF(AND(BE$5&lt;=$F17,BE$5+GanttPeriod-1&gt;=$E17),"━","")))</f>
        <v/>
      </c>
      <c r="BF17" s="69" t="str">
        <f aca="false">IF($E17="","",IF($M17,IF(AND($G17&gt;=BF$5,$G17&lt;BF$5+GanttPeriod),"◆",IF(AND($E17&gt;=BF$5,$E17&lt;BF$5+GanttPeriod),"◇","")),IF(AND(BF$5&lt;=$F17,BF$5+GanttPeriod-1&gt;=$E17),"━","")))</f>
        <v/>
      </c>
      <c r="BG17" s="69" t="str">
        <f aca="false">IF($E17="","",IF($M17,IF(AND($G17&gt;=BG$5,$G17&lt;BG$5+GanttPeriod),"◆",IF(AND($E17&gt;=BG$5,$E17&lt;BG$5+GanttPeriod),"◇","")),IF(AND(BG$5&lt;=$F17,BG$5+GanttPeriod-1&gt;=$E17),"━","")))</f>
        <v/>
      </c>
      <c r="BH17" s="69" t="str">
        <f aca="false">IF($E17="","",IF($M17,IF(AND($G17&gt;=BH$5,$G17&lt;BH$5+GanttPeriod),"◆",IF(AND($E17&gt;=BH$5,$E17&lt;BH$5+GanttPeriod),"◇","")),IF(AND(BH$5&lt;=$F17,BH$5+GanttPeriod-1&gt;=$E17),"━","")))</f>
        <v/>
      </c>
      <c r="BI17" s="69" t="str">
        <f aca="false">IF($E17="","",IF($M17,IF(AND($G17&gt;=BI$5,$G17&lt;BI$5+GanttPeriod),"◆",IF(AND($E17&gt;=BI$5,$E17&lt;BI$5+GanttPeriod),"◇","")),IF(AND(BI$5&lt;=$F17,BI$5+GanttPeriod-1&gt;=$E17),"━","")))</f>
        <v/>
      </c>
      <c r="BJ17" s="69" t="str">
        <f aca="false">IF($E17="","",IF($M17,IF(AND($G17&gt;=BJ$5,$G17&lt;BJ$5+GanttPeriod),"◆",IF(AND($E17&gt;=BJ$5,$E17&lt;BJ$5+GanttPeriod),"◇","")),IF(AND(BJ$5&lt;=$F17,BJ$5+GanttPeriod-1&gt;=$E17),"━","")))</f>
        <v/>
      </c>
      <c r="BK17" s="69" t="str">
        <f aca="false">IF($E17="","",IF($M17,IF(AND($G17&gt;=BK$5,$G17&lt;BK$5+GanttPeriod),"◆",IF(AND($E17&gt;=BK$5,$E17&lt;BK$5+GanttPeriod),"◇","")),IF(AND(BK$5&lt;=$F17,BK$5+GanttPeriod-1&gt;=$E17),"━","")))</f>
        <v/>
      </c>
      <c r="BL17" s="69" t="str">
        <f aca="false">IF($E17="","",IF($M17,IF(AND($G17&gt;=BL$5,$G17&lt;BL$5+GanttPeriod),"◆",IF(AND($E17&gt;=BL$5,$E17&lt;BL$5+GanttPeriod),"◇","")),IF(AND(BL$5&lt;=$F17,BL$5+GanttPeriod-1&gt;=$E17),"━","")))</f>
        <v/>
      </c>
      <c r="BM17" s="69" t="str">
        <f aca="false">IF($E17="","",IF($M17,IF(AND($G17&gt;=BM$5,$G17&lt;BM$5+GanttPeriod),"◆",IF(AND($E17&gt;=BM$5,$E17&lt;BM$5+GanttPeriod),"◇","")),IF(AND(BM$5&lt;=$F17,BM$5+GanttPeriod-1&gt;=$E17),"━","")))</f>
        <v/>
      </c>
      <c r="BN17" s="69" t="str">
        <f aca="false">IF($E17="","",IF($M17,IF(AND($G17&gt;=BN$5,$G17&lt;BN$5+GanttPeriod),"◆",IF(AND($E17&gt;=BN$5,$E17&lt;BN$5+GanttPeriod),"◇","")),IF(AND(BN$5&lt;=$F17,BN$5+GanttPeriod-1&gt;=$E17),"━","")))</f>
        <v/>
      </c>
      <c r="BO17" s="69" t="str">
        <f aca="false">IF($E17="","",IF($M17,IF(AND($G17&gt;=BO$5,$G17&lt;BO$5+GanttPeriod),"◆",IF(AND($E17&gt;=BO$5,$E17&lt;BO$5+GanttPeriod),"◇","")),IF(AND(BO$5&lt;=$F17,BO$5+GanttPeriod-1&gt;=$E17),"━","")))</f>
        <v/>
      </c>
      <c r="BP17" s="69" t="str">
        <f aca="false">IF($E17="","",IF($M17,IF(AND($G17&gt;=BP$5,$G17&lt;BP$5+GanttPeriod),"◆",IF(AND($E17&gt;=BP$5,$E17&lt;BP$5+GanttPeriod),"◇","")),IF(AND(BP$5&lt;=$F17,BP$5+GanttPeriod-1&gt;=$E17),"━","")))</f>
        <v/>
      </c>
      <c r="BQ17" s="69" t="str">
        <f aca="false">IF($E17="","",IF($M17,IF(AND($G17&gt;=BQ$5,$G17&lt;BQ$5+GanttPeriod),"◆",IF(AND($E17&gt;=BQ$5,$E17&lt;BQ$5+GanttPeriod),"◇","")),IF(AND(BQ$5&lt;=$F17,BQ$5+GanttPeriod-1&gt;=$E17),"━","")))</f>
        <v/>
      </c>
      <c r="BR17" s="69" t="str">
        <f aca="false">IF($E17="","",IF($M17,IF(AND($G17&gt;=BR$5,$G17&lt;BR$5+GanttPeriod),"◆",IF(AND($E17&gt;=BR$5,$E17&lt;BR$5+GanttPeriod),"◇","")),IF(AND(BR$5&lt;=$F17,BR$5+GanttPeriod-1&gt;=$E17),"━","")))</f>
        <v/>
      </c>
      <c r="BS17" s="69" t="str">
        <f aca="false">IF($E17="","",IF($M17,IF(AND($G17&gt;=BS$5,$G17&lt;BS$5+GanttPeriod),"◆",IF(AND($E17&gt;=BS$5,$E17&lt;BS$5+GanttPeriod),"◇","")),IF(AND(BS$5&lt;=$F17,BS$5+GanttPeriod-1&gt;=$E17),"━","")))</f>
        <v/>
      </c>
      <c r="BT17" s="69" t="str">
        <f aca="false">IF($E17="","",IF($M17,IF(AND($G17&gt;=BT$5,$G17&lt;BT$5+GanttPeriod),"◆",IF(AND($E17&gt;=BT$5,$E17&lt;BT$5+GanttPeriod),"◇","")),IF(AND(BT$5&lt;=$F17,BT$5+GanttPeriod-1&gt;=$E17),"━","")))</f>
        <v/>
      </c>
      <c r="BU17" s="69" t="str">
        <f aca="false">IF($E17="","",IF($M17,IF(AND($G17&gt;=BU$5,$G17&lt;BU$5+GanttPeriod),"◆",IF(AND($E17&gt;=BU$5,$E17&lt;BU$5+GanttPeriod),"◇","")),IF(AND(BU$5&lt;=$F17,BU$5+GanttPeriod-1&gt;=$E17),"━","")))</f>
        <v/>
      </c>
      <c r="BV17" s="69" t="str">
        <f aca="false">IF($E17="","",IF($M17,IF(AND($G17&gt;=BV$5,$G17&lt;BV$5+GanttPeriod),"◆",IF(AND($E17&gt;=BV$5,$E17&lt;BV$5+GanttPeriod),"◇","")),IF(AND(BV$5&lt;=$F17,BV$5+GanttPeriod-1&gt;=$E17),"━","")))</f>
        <v/>
      </c>
      <c r="BW17" s="69" t="str">
        <f aca="false">IF($E17="","",IF($M17,IF(AND($G17&gt;=BW$5,$G17&lt;BW$5+GanttPeriod),"◆",IF(AND($E17&gt;=BW$5,$E17&lt;BW$5+GanttPeriod),"◇","")),IF(AND(BW$5&lt;=$F17,BW$5+GanttPeriod-1&gt;=$E17),"━","")))</f>
        <v/>
      </c>
      <c r="BX17" s="69" t="str">
        <f aca="false">IF($E17="","",IF($M17,IF(AND($G17&gt;=BX$5,$G17&lt;BX$5+GanttPeriod),"◆",IF(AND($E17&gt;=BX$5,$E17&lt;BX$5+GanttPeriod),"◇","")),IF(AND(BX$5&lt;=$F17,BX$5+GanttPeriod-1&gt;=$E17),"━","")))</f>
        <v/>
      </c>
      <c r="BY17" s="69" t="str">
        <f aca="false">IF($E17="","",IF($M17,IF(AND($G17&gt;=BY$5,$G17&lt;BY$5+GanttPeriod),"◆",IF(AND($E17&gt;=BY$5,$E17&lt;BY$5+GanttPeriod),"◇","")),IF(AND(BY$5&lt;=$F17,BY$5+GanttPeriod-1&gt;=$E17),"━","")))</f>
        <v/>
      </c>
      <c r="BZ17" s="69" t="str">
        <f aca="false">IF($E17="","",IF($M17,IF(AND($G17&gt;=BZ$5,$G17&lt;BZ$5+GanttPeriod),"◆",IF(AND($E17&gt;=BZ$5,$E17&lt;BZ$5+GanttPeriod),"◇","")),IF(AND(BZ$5&lt;=$F17,BZ$5+GanttPeriod-1&gt;=$E17),"━","")))</f>
        <v/>
      </c>
      <c r="CA17" s="69" t="str">
        <f aca="false">IF($E17="","",IF($M17,IF(AND($G17&gt;=CA$5,$G17&lt;CA$5+GanttPeriod),"◆",IF(AND($E17&gt;=CA$5,$E17&lt;CA$5+GanttPeriod),"◇","")),IF(AND(CA$5&lt;=$F17,CA$5+GanttPeriod-1&gt;=$E17),"━","")))</f>
        <v/>
      </c>
      <c r="CB17" s="69" t="str">
        <f aca="false">IF($E17="","",IF($M17,IF(AND($G17&gt;=CB$5,$G17&lt;CB$5+GanttPeriod),"◆",IF(AND($E17&gt;=CB$5,$E17&lt;CB$5+GanttPeriod),"◇","")),IF(AND(CB$5&lt;=$F17,CB$5+GanttPeriod-1&gt;=$E17),"━","")))</f>
        <v/>
      </c>
      <c r="CC17" s="69" t="str">
        <f aca="false">IF($E17="","",IF($M17,IF(AND($G17&gt;=CC$5,$G17&lt;CC$5+GanttPeriod),"◆",IF(AND($E17&gt;=CC$5,$E17&lt;CC$5+GanttPeriod),"◇","")),IF(AND(CC$5&lt;=$F17,CC$5+GanttPeriod-1&gt;=$E17),"━","")))</f>
        <v/>
      </c>
      <c r="CD17" s="69" t="str">
        <f aca="false">IF($E17="","",IF($M17,IF(AND($G17&gt;=CD$5,$G17&lt;CD$5+GanttPeriod),"◆",IF(AND($E17&gt;=CD$5,$E17&lt;CD$5+GanttPeriod),"◇","")),IF(AND(CD$5&lt;=$F17,CD$5+GanttPeriod-1&gt;=$E17),"━","")))</f>
        <v/>
      </c>
      <c r="CE17" s="69" t="str">
        <f aca="false">IF($E17="","",IF($M17,IF(AND($G17&gt;=CE$5,$G17&lt;CE$5+GanttPeriod),"◆",IF(AND($E17&gt;=CE$5,$E17&lt;CE$5+GanttPeriod),"◇","")),IF(AND(CE$5&lt;=$F17,CE$5+GanttPeriod-1&gt;=$E17),"━","")))</f>
        <v/>
      </c>
      <c r="CF17" s="69" t="str">
        <f aca="false">IF($E17="","",IF($M17,IF(AND($G17&gt;=CF$5,$G17&lt;CF$5+GanttPeriod),"◆",IF(AND($E17&gt;=CF$5,$E17&lt;CF$5+GanttPeriod),"◇","")),IF(AND(CF$5&lt;=$F17,CF$5+GanttPeriod-1&gt;=$E17),"━","")))</f>
        <v/>
      </c>
      <c r="CG17" s="69" t="str">
        <f aca="false">IF($E17="","",IF($M17,IF(AND($G17&gt;=CG$5,$G17&lt;CG$5+GanttPeriod),"◆",IF(AND($E17&gt;=CG$5,$E17&lt;CG$5+GanttPeriod),"◇","")),IF(AND(CG$5&lt;=$F17,CG$5+GanttPeriod-1&gt;=$E17),"━","")))</f>
        <v/>
      </c>
      <c r="CH17" s="69" t="str">
        <f aca="false">IF($E17="","",IF($M17,IF(AND($G17&gt;=CH$5,$G17&lt;CH$5+GanttPeriod),"◆",IF(AND($E17&gt;=CH$5,$E17&lt;CH$5+GanttPeriod),"◇","")),IF(AND(CH$5&lt;=$F17,CH$5+GanttPeriod-1&gt;=$E17),"━","")))</f>
        <v/>
      </c>
      <c r="CI17" s="69" t="str">
        <f aca="false">IF($E17="","",IF($M17,IF(AND($G17&gt;=CI$5,$G17&lt;CI$5+GanttPeriod),"◆",IF(AND($E17&gt;=CI$5,$E17&lt;CI$5+GanttPeriod),"◇","")),IF(AND(CI$5&lt;=$F17,CI$5+GanttPeriod-1&gt;=$E17),"━","")))</f>
        <v/>
      </c>
      <c r="CJ17" s="69" t="str">
        <f aca="false">IF($E17="","",IF($M17,IF(AND($G17&gt;=CJ$5,$G17&lt;CJ$5+GanttPeriod),"◆",IF(AND($E17&gt;=CJ$5,$E17&lt;CJ$5+GanttPeriod),"◇","")),IF(AND(CJ$5&lt;=$F17,CJ$5+GanttPeriod-1&gt;=$E17),"━","")))</f>
        <v/>
      </c>
      <c r="CK17" s="69" t="str">
        <f aca="false">IF($E17="","",IF($M17,IF(AND($G17&gt;=CK$5,$G17&lt;CK$5+GanttPeriod),"◆",IF(AND($E17&gt;=CK$5,$E17&lt;CK$5+GanttPeriod),"◇","")),IF(AND(CK$5&lt;=$F17,CK$5+GanttPeriod-1&gt;=$E17),"━","")))</f>
        <v/>
      </c>
      <c r="CL17" s="69" t="str">
        <f aca="false">IF($E17="","",IF($M17,IF(AND($G17&gt;=CL$5,$G17&lt;CL$5+GanttPeriod),"◆",IF(AND($E17&gt;=CL$5,$E17&lt;CL$5+GanttPeriod),"◇","")),IF(AND(CL$5&lt;=$F17,CL$5+GanttPeriod-1&gt;=$E17),"━","")))</f>
        <v/>
      </c>
      <c r="CM17" s="69" t="str">
        <f aca="false">IF($E17="","",IF($M17,IF(AND($G17&gt;=CM$5,$G17&lt;CM$5+GanttPeriod),"◆",IF(AND($E17&gt;=CM$5,$E17&lt;CM$5+GanttPeriod),"◇","")),IF(AND(CM$5&lt;=$F17,CM$5+GanttPeriod-1&gt;=$E17),"━","")))</f>
        <v/>
      </c>
      <c r="CN17" s="69" t="str">
        <f aca="false">IF($E17="","",IF($M17,IF(AND($G17&gt;=CN$5,$G17&lt;CN$5+GanttPeriod),"◆",IF(AND($E17&gt;=CN$5,$E17&lt;CN$5+GanttPeriod),"◇","")),IF(AND(CN$5&lt;=$F17,CN$5+GanttPeriod-1&gt;=$E17),"━","")))</f>
        <v/>
      </c>
      <c r="CO17" s="69" t="str">
        <f aca="false">IF($E17="","",IF($M17,IF(AND($G17&gt;=CO$5,$G17&lt;CO$5+GanttPeriod),"◆",IF(AND($E17&gt;=CO$5,$E17&lt;CO$5+GanttPeriod),"◇","")),IF(AND(CO$5&lt;=$F17,CO$5+GanttPeriod-1&gt;=$E17),"━","")))</f>
        <v/>
      </c>
      <c r="CP17" s="69" t="str">
        <f aca="false">IF($E17="","",IF($M17,IF(AND($G17&gt;=CP$5,$G17&lt;CP$5+GanttPeriod),"◆",IF(AND($E17&gt;=CP$5,$E17&lt;CP$5+GanttPeriod),"◇","")),IF(AND(CP$5&lt;=$F17,CP$5+GanttPeriod-1&gt;=$E17),"━","")))</f>
        <v/>
      </c>
      <c r="CQ17" s="69" t="str">
        <f aca="false">IF($E17="","",IF($M17,IF(AND($G17&gt;=CQ$5,$G17&lt;CQ$5+GanttPeriod),"◆",IF(AND($E17&gt;=CQ$5,$E17&lt;CQ$5+GanttPeriod),"◇","")),IF(AND(CQ$5&lt;=$F17,CQ$5+GanttPeriod-1&gt;=$E17),"━","")))</f>
        <v/>
      </c>
      <c r="CR17" s="69" t="str">
        <f aca="false">IF($E17="","",IF($M17,IF(AND($G17&gt;=CR$5,$G17&lt;CR$5+GanttPeriod),"◆",IF(AND($E17&gt;=CR$5,$E17&lt;CR$5+GanttPeriod),"◇","")),IF(AND(CR$5&lt;=$F17,CR$5+GanttPeriod-1&gt;=$E17),"━","")))</f>
        <v/>
      </c>
      <c r="CS17" s="69" t="str">
        <f aca="false">IF($E17="","",IF($M17,IF(AND($G17&gt;=CS$5,$G17&lt;CS$5+GanttPeriod),"◆",IF(AND($E17&gt;=CS$5,$E17&lt;CS$5+GanttPeriod),"◇","")),IF(AND(CS$5&lt;=$F17,CS$5+GanttPeriod-1&gt;=$E17),"━","")))</f>
        <v/>
      </c>
      <c r="CT17" s="69" t="str">
        <f aca="false">IF($E17="","",IF($M17,IF(AND($G17&gt;=CT$5,$G17&lt;CT$5+GanttPeriod),"◆",IF(AND($E17&gt;=CT$5,$E17&lt;CT$5+GanttPeriod),"◇","")),IF(AND(CT$5&lt;=$F17,CT$5+GanttPeriod-1&gt;=$E17),"━","")))</f>
        <v/>
      </c>
      <c r="CU17" s="69" t="str">
        <f aca="false">IF($E17="","",IF($M17,IF(AND($G17&gt;=CU$5,$G17&lt;CU$5+GanttPeriod),"◆",IF(AND($E17&gt;=CU$5,$E17&lt;CU$5+GanttPeriod),"◇","")),IF(AND(CU$5&lt;=$F17,CU$5+GanttPeriod-1&gt;=$E17),"━","")))</f>
        <v/>
      </c>
      <c r="CV17" s="69" t="str">
        <f aca="false">IF($E17="","",IF($M17,IF(AND($G17&gt;=CV$5,$G17&lt;CV$5+GanttPeriod),"◆",IF(AND($E17&gt;=CV$5,$E17&lt;CV$5+GanttPeriod),"◇","")),IF(AND(CV$5&lt;=$F17,CV$5+GanttPeriod-1&gt;=$E17),"━","")))</f>
        <v/>
      </c>
      <c r="CW17" s="69" t="str">
        <f aca="false">IF($E17="","",IF($M17,IF(AND($G17&gt;=CW$5,$G17&lt;CW$5+GanttPeriod),"◆",IF(AND($E17&gt;=CW$5,$E17&lt;CW$5+GanttPeriod),"◇","")),IF(AND(CW$5&lt;=$F17,CW$5+GanttPeriod-1&gt;=$E17),"━","")))</f>
        <v/>
      </c>
      <c r="CX17" s="69" t="str">
        <f aca="false">IF($E17="","",IF($M17,IF(AND($G17&gt;=CX$5,$G17&lt;CX$5+GanttPeriod),"◆",IF(AND($E17&gt;=CX$5,$E17&lt;CX$5+GanttPeriod),"◇","")),IF(AND(CX$5&lt;=$F17,CX$5+GanttPeriod-1&gt;=$E17),"━","")))</f>
        <v/>
      </c>
      <c r="CY17" s="69" t="str">
        <f aca="false">IF($E17="","",IF($M17,IF(AND($G17&gt;=CY$5,$G17&lt;CY$5+GanttPeriod),"◆",IF(AND($E17&gt;=CY$5,$E17&lt;CY$5+GanttPeriod),"◇","")),IF(AND(CY$5&lt;=$F17,CY$5+GanttPeriod-1&gt;=$E17),"━","")))</f>
        <v/>
      </c>
      <c r="CZ17" s="69" t="str">
        <f aca="false">IF($E17="","",IF($M17,IF(AND($G17&gt;=CZ$5,$G17&lt;CZ$5+GanttPeriod),"◆",IF(AND($E17&gt;=CZ$5,$E17&lt;CZ$5+GanttPeriod),"◇","")),IF(AND(CZ$5&lt;=$F17,CZ$5+GanttPeriod-1&gt;=$E17),"━","")))</f>
        <v/>
      </c>
      <c r="DA17" s="69" t="str">
        <f aca="false">IF($E17="","",IF($M17,IF(AND($G17&gt;=DA$5,$G17&lt;DA$5+GanttPeriod),"◆",IF(AND($E17&gt;=DA$5,$E17&lt;DA$5+GanttPeriod),"◇","")),IF(AND(DA$5&lt;=$F17,DA$5+GanttPeriod-1&gt;=$E17),"━","")))</f>
        <v/>
      </c>
      <c r="DB17" s="69" t="str">
        <f aca="false">IF($E17="","",IF($M17,IF(AND($G17&gt;=DB$5,$G17&lt;DB$5+GanttPeriod),"◆",IF(AND($E17&gt;=DB$5,$E17&lt;DB$5+GanttPeriod),"◇","")),IF(AND(DB$5&lt;=$F17,DB$5+GanttPeriod-1&gt;=$E17),"━","")))</f>
        <v/>
      </c>
      <c r="DC17" s="69" t="str">
        <f aca="false">IF($E17="","",IF($M17,IF(AND($G17&gt;=DC$5,$G17&lt;DC$5+GanttPeriod),"◆",IF(AND($E17&gt;=DC$5,$E17&lt;DC$5+GanttPeriod),"◇","")),IF(AND(DC$5&lt;=$F17,DC$5+GanttPeriod-1&gt;=$E17),"━","")))</f>
        <v/>
      </c>
      <c r="DD17" s="69" t="str">
        <f aca="false">IF($E17="","",IF($M17,IF(AND($G17&gt;=DD$5,$G17&lt;DD$5+GanttPeriod),"◆",IF(AND($E17&gt;=DD$5,$E17&lt;DD$5+GanttPeriod),"◇","")),IF(AND(DD$5&lt;=$F17,DD$5+GanttPeriod-1&gt;=$E17),"━","")))</f>
        <v/>
      </c>
      <c r="DE17" s="69" t="str">
        <f aca="false">IF($E17="","",IF($M17,IF(AND($G17&gt;=DE$5,$G17&lt;DE$5+GanttPeriod),"◆",IF(AND($E17&gt;=DE$5,$E17&lt;DE$5+GanttPeriod),"◇","")),IF(AND(DE$5&lt;=$F17,DE$5+GanttPeriod-1&gt;=$E17),"━","")))</f>
        <v/>
      </c>
      <c r="DF17" s="69" t="str">
        <f aca="false">IF($E17="","",IF($M17,IF(AND($G17&gt;=DF$5,$G17&lt;DF$5+GanttPeriod),"◆",IF(AND($E17&gt;=DF$5,$E17&lt;DF$5+GanttPeriod),"◇","")),IF(AND(DF$5&lt;=$F17,DF$5+GanttPeriod-1&gt;=$E17),"━","")))</f>
        <v/>
      </c>
      <c r="DG17" s="69" t="str">
        <f aca="false">IF($E17="","",IF($M17,IF(AND($G17&gt;=DG$5,$G17&lt;DG$5+GanttPeriod),"◆",IF(AND($E17&gt;=DG$5,$E17&lt;DG$5+GanttPeriod),"◇","")),IF(AND(DG$5&lt;=$F17,DG$5+GanttPeriod-1&gt;=$E17),"━","")))</f>
        <v/>
      </c>
      <c r="DH17" s="69" t="str">
        <f aca="false">IF($E17="","",IF($M17,IF(AND($G17&gt;=DH$5,$G17&lt;DH$5+GanttPeriod),"◆",IF(AND($E17&gt;=DH$5,$E17&lt;DH$5+GanttPeriod),"◇","")),IF(AND(DH$5&lt;=$F17,DH$5+GanttPeriod-1&gt;=$E17),"━","")))</f>
        <v/>
      </c>
      <c r="DI17" s="69" t="str">
        <f aca="false">IF($E17="","",IF($M17,IF(AND($G17&gt;=DI$5,$G17&lt;DI$5+GanttPeriod),"◆",IF(AND($E17&gt;=DI$5,$E17&lt;DI$5+GanttPeriod),"◇","")),IF(AND(DI$5&lt;=$F17,DI$5+GanttPeriod-1&gt;=$E17),"━","")))</f>
        <v/>
      </c>
      <c r="DJ17" s="69" t="str">
        <f aca="false">IF($E17="","",IF($M17,IF(AND($G17&gt;=DJ$5,$G17&lt;DJ$5+GanttPeriod),"◆",IF(AND($E17&gt;=DJ$5,$E17&lt;DJ$5+GanttPeriod),"◇","")),IF(AND(DJ$5&lt;=$F17,DJ$5+GanttPeriod-1&gt;=$E17),"━","")))</f>
        <v/>
      </c>
      <c r="DK17" s="69" t="str">
        <f aca="false">IF($E17="","",IF($M17,IF(AND($G17&gt;=DK$5,$G17&lt;DK$5+GanttPeriod),"◆",IF(AND($E17&gt;=DK$5,$E17&lt;DK$5+GanttPeriod),"◇","")),IF(AND(DK$5&lt;=$F17,DK$5+GanttPeriod-1&gt;=$E17),"━","")))</f>
        <v/>
      </c>
      <c r="DL17" s="69" t="str">
        <f aca="false">IF($E17="","",IF($M17,IF(AND($G17&gt;=DL$5,$G17&lt;DL$5+GanttPeriod),"◆",IF(AND($E17&gt;=DL$5,$E17&lt;DL$5+GanttPeriod),"◇","")),IF(AND(DL$5&lt;=$F17,DL$5+GanttPeriod-1&gt;=$E17),"━","")))</f>
        <v/>
      </c>
      <c r="DM17" s="69" t="str">
        <f aca="false">IF($E17="","",IF($M17,IF(AND($G17&gt;=DM$5,$G17&lt;DM$5+GanttPeriod),"◆",IF(AND($E17&gt;=DM$5,$E17&lt;DM$5+GanttPeriod),"◇","")),IF(AND(DM$5&lt;=$F17,DM$5+GanttPeriod-1&gt;=$E17),"━","")))</f>
        <v/>
      </c>
      <c r="DN17" s="69" t="str">
        <f aca="false">IF($E17="","",IF($M17,IF(AND($G17&gt;=DN$5,$G17&lt;DN$5+GanttPeriod),"◆",IF(AND($E17&gt;=DN$5,$E17&lt;DN$5+GanttPeriod),"◇","")),IF(AND(DN$5&lt;=$F17,DN$5+GanttPeriod-1&gt;=$E17),"━","")))</f>
        <v/>
      </c>
      <c r="DO17" s="69" t="str">
        <f aca="false">IF($E17="","",IF($M17,IF(AND($G17&gt;=DO$5,$G17&lt;DO$5+GanttPeriod),"◆",IF(AND($E17&gt;=DO$5,$E17&lt;DO$5+GanttPeriod),"◇","")),IF(AND(DO$5&lt;=$F17,DO$5+GanttPeriod-1&gt;=$E17),"━","")))</f>
        <v/>
      </c>
      <c r="DP17" s="69" t="str">
        <f aca="false">IF($E17="","",IF($M17,IF(AND($G17&gt;=DP$5,$G17&lt;DP$5+GanttPeriod),"◆",IF(AND($E17&gt;=DP$5,$E17&lt;DP$5+GanttPeriod),"◇","")),IF(AND(DP$5&lt;=$F17,DP$5+GanttPeriod-1&gt;=$E17),"━","")))</f>
        <v/>
      </c>
      <c r="DQ17" s="69" t="str">
        <f aca="false">IF($E17="","",IF($M17,IF(AND($G17&gt;=DQ$5,$G17&lt;DQ$5+GanttPeriod),"◆",IF(AND($E17&gt;=DQ$5,$E17&lt;DQ$5+GanttPeriod),"◇","")),IF(AND(DQ$5&lt;=$F17,DQ$5+GanttPeriod-1&gt;=$E17),"━","")))</f>
        <v/>
      </c>
      <c r="DR17" s="69" t="str">
        <f aca="false">IF($E17="","",IF($M17,IF(AND($G17&gt;=DR$5,$G17&lt;DR$5+GanttPeriod),"◆",IF(AND($E17&gt;=DR$5,$E17&lt;DR$5+GanttPeriod),"◇","")),IF(AND(DR$5&lt;=$F17,DR$5+GanttPeriod-1&gt;=$E17),"━","")))</f>
        <v/>
      </c>
      <c r="DS17" s="69" t="str">
        <f aca="false">IF($E17="","",IF($M17,IF(AND($G17&gt;=DS$5,$G17&lt;DS$5+GanttPeriod),"◆",IF(AND($E17&gt;=DS$5,$E17&lt;DS$5+GanttPeriod),"◇","")),IF(AND(DS$5&lt;=$F17,DS$5+GanttPeriod-1&gt;=$E17),"━","")))</f>
        <v/>
      </c>
      <c r="DT17" s="69" t="str">
        <f aca="false">IF($E17="","",IF($M17,IF(AND($G17&gt;=DT$5,$G17&lt;DT$5+GanttPeriod),"◆",IF(AND($E17&gt;=DT$5,$E17&lt;DT$5+GanttPeriod),"◇","")),IF(AND(DT$5&lt;=$F17,DT$5+GanttPeriod-1&gt;=$E17),"━","")))</f>
        <v/>
      </c>
      <c r="DU17" s="69" t="str">
        <f aca="false">IF($E17="","",IF($M17,IF(AND($G17&gt;=DU$5,$G17&lt;DU$5+GanttPeriod),"◆",IF(AND($E17&gt;=DU$5,$E17&lt;DU$5+GanttPeriod),"◇","")),IF(AND(DU$5&lt;=$F17,DU$5+GanttPeriod-1&gt;=$E17),"━","")))</f>
        <v/>
      </c>
      <c r="DV17" s="69" t="str">
        <f aca="false">IF($E17="","",IF($M17,IF(AND($G17&gt;=DV$5,$G17&lt;DV$5+GanttPeriod),"◆",IF(AND($E17&gt;=DV$5,$E17&lt;DV$5+GanttPeriod),"◇","")),IF(AND(DV$5&lt;=$F17,DV$5+GanttPeriod-1&gt;=$E17),"━","")))</f>
        <v/>
      </c>
      <c r="DW17" s="69" t="str">
        <f aca="false">IF($E17="","",IF($M17,IF(AND($G17&gt;=DW$5,$G17&lt;DW$5+GanttPeriod),"◆",IF(AND($E17&gt;=DW$5,$E17&lt;DW$5+GanttPeriod),"◇","")),IF(AND(DW$5&lt;=$F17,DW$5+GanttPeriod-1&gt;=$E17),"━","")))</f>
        <v/>
      </c>
      <c r="DX17" s="69" t="str">
        <f aca="false">IF($E17="","",IF($M17,IF(AND($G17&gt;=DX$5,$G17&lt;DX$5+GanttPeriod),"◆",IF(AND($E17&gt;=DX$5,$E17&lt;DX$5+GanttPeriod),"◇","")),IF(AND(DX$5&lt;=$F17,DX$5+GanttPeriod-1&gt;=$E17),"━","")))</f>
        <v/>
      </c>
      <c r="DY17" s="69" t="str">
        <f aca="false">IF($E17="","",IF($M17,IF(AND($G17&gt;=DY$5,$G17&lt;DY$5+GanttPeriod),"◆",IF(AND($E17&gt;=DY$5,$E17&lt;DY$5+GanttPeriod),"◇","")),IF(AND(DY$5&lt;=$F17,DY$5+GanttPeriod-1&gt;=$E17),"━","")))</f>
        <v/>
      </c>
      <c r="DZ17" s="69" t="str">
        <f aca="false">IF($E17="","",IF($M17,IF(AND($G17&gt;=DZ$5,$G17&lt;DZ$5+GanttPeriod),"◆",IF(AND($E17&gt;=DZ$5,$E17&lt;DZ$5+GanttPeriod),"◇","")),IF(AND(DZ$5&lt;=$F17,DZ$5+GanttPeriod-1&gt;=$E17),"━","")))</f>
        <v/>
      </c>
      <c r="EA17" s="69" t="str">
        <f aca="false">IF($E17="","",IF($M17,IF(AND($G17&gt;=EA$5,$G17&lt;EA$5+GanttPeriod),"◆",IF(AND($E17&gt;=EA$5,$E17&lt;EA$5+GanttPeriod),"◇","")),IF(AND(EA$5&lt;=$F17,EA$5+GanttPeriod-1&gt;=$E17),"━","")))</f>
        <v/>
      </c>
      <c r="EB17" s="69" t="str">
        <f aca="false">IF($E17="","",IF($M17,IF(AND($G17&gt;=EB$5,$G17&lt;EB$5+GanttPeriod),"◆",IF(AND($E17&gt;=EB$5,$E17&lt;EB$5+GanttPeriod),"◇","")),IF(AND(EB$5&lt;=$F17,EB$5+GanttPeriod-1&gt;=$E17),"━","")))</f>
        <v/>
      </c>
      <c r="EC17" s="69" t="str">
        <f aca="false">IF($E17="","",IF($M17,IF(AND($G17&gt;=EC$5,$G17&lt;EC$5+GanttPeriod),"◆",IF(AND($E17&gt;=EC$5,$E17&lt;EC$5+GanttPeriod),"◇","")),IF(AND(EC$5&lt;=$F17,EC$5+GanttPeriod-1&gt;=$E17),"━","")))</f>
        <v/>
      </c>
      <c r="ED17" s="69" t="str">
        <f aca="false">IF($E17="","",IF($M17,IF(AND($G17&gt;=ED$5,$G17&lt;ED$5+GanttPeriod),"◆",IF(AND($E17&gt;=ED$5,$E17&lt;ED$5+GanttPeriod),"◇","")),IF(AND(ED$5&lt;=$F17,ED$5+GanttPeriod-1&gt;=$E17),"━","")))</f>
        <v/>
      </c>
      <c r="EE17" s="69" t="str">
        <f aca="false">IF($E17="","",IF($M17,IF(AND($G17&gt;=EE$5,$G17&lt;EE$5+GanttPeriod),"◆",IF(AND($E17&gt;=EE$5,$E17&lt;EE$5+GanttPeriod),"◇","")),IF(AND(EE$5&lt;=$F17,EE$5+GanttPeriod-1&gt;=$E17),"━","")))</f>
        <v/>
      </c>
      <c r="EF17" s="69" t="str">
        <f aca="false">IF($E17="","",IF($M17,IF(AND($G17&gt;=EF$5,$G17&lt;EF$5+GanttPeriod),"◆",IF(AND($E17&gt;=EF$5,$E17&lt;EF$5+GanttPeriod),"◇","")),IF(AND(EF$5&lt;=$F17,EF$5+GanttPeriod-1&gt;=$E17),"━","")))</f>
        <v/>
      </c>
      <c r="EG17" s="69" t="str">
        <f aca="false">IF($E17="","",IF($M17,IF(AND($G17&gt;=EG$5,$G17&lt;EG$5+GanttPeriod),"◆",IF(AND($E17&gt;=EG$5,$E17&lt;EG$5+GanttPeriod),"◇","")),IF(AND(EG$5&lt;=$F17,EG$5+GanttPeriod-1&gt;=$E17),"━","")))</f>
        <v/>
      </c>
      <c r="EH17" s="69" t="str">
        <f aca="false">IF($E17="","",IF($M17,IF(AND($G17&gt;=EH$5,$G17&lt;EH$5+GanttPeriod),"◆",IF(AND($E17&gt;=EH$5,$E17&lt;EH$5+GanttPeriod),"◇","")),IF(AND(EH$5&lt;=$F17,EH$5+GanttPeriod-1&gt;=$E17),"━","")))</f>
        <v/>
      </c>
      <c r="EI17" s="69" t="str">
        <f aca="false">IF($E17="","",IF($M17,IF(AND($G17&gt;=EI$5,$G17&lt;EI$5+GanttPeriod),"◆",IF(AND($E17&gt;=EI$5,$E17&lt;EI$5+GanttPeriod),"◇","")),IF(AND(EI$5&lt;=$F17,EI$5+GanttPeriod-1&gt;=$E17),"━","")))</f>
        <v/>
      </c>
      <c r="EJ17" s="69" t="str">
        <f aca="false">IF($E17="","",IF($M17,IF(AND($G17&gt;=EJ$5,$G17&lt;EJ$5+GanttPeriod),"◆",IF(AND($E17&gt;=EJ$5,$E17&lt;EJ$5+GanttPeriod),"◇","")),IF(AND(EJ$5&lt;=$F17,EJ$5+GanttPeriod-1&gt;=$E17),"━","")))</f>
        <v/>
      </c>
      <c r="EK17" s="69" t="str">
        <f aca="false">IF($E17="","",IF($M17,IF(AND($G17&gt;=EK$5,$G17&lt;EK$5+GanttPeriod),"◆",IF(AND($E17&gt;=EK$5,$E17&lt;EK$5+GanttPeriod),"◇","")),IF(AND(EK$5&lt;=$F17,EK$5+GanttPeriod-1&gt;=$E17),"━","")))</f>
        <v/>
      </c>
      <c r="EL17" s="69" t="str">
        <f aca="false">IF($E17="","",IF($M17,IF(AND($G17&gt;=EL$5,$G17&lt;EL$5+GanttPeriod),"◆",IF(AND($E17&gt;=EL$5,$E17&lt;EL$5+GanttPeriod),"◇","")),IF(AND(EL$5&lt;=$F17,EL$5+GanttPeriod-1&gt;=$E17),"━","")))</f>
        <v/>
      </c>
      <c r="EM17" s="69" t="str">
        <f aca="false">IF($E17="","",IF($M17,IF(AND($G17&gt;=EM$5,$G17&lt;EM$5+GanttPeriod),"◆",IF(AND($E17&gt;=EM$5,$E17&lt;EM$5+GanttPeriod),"◇","")),IF(AND(EM$5&lt;=$F17,EM$5+GanttPeriod-1&gt;=$E17),"━","")))</f>
        <v/>
      </c>
      <c r="EN17" s="69" t="str">
        <f aca="false">IF($E17="","",IF($M17,IF(AND($G17&gt;=EN$5,$G17&lt;EN$5+GanttPeriod),"◆",IF(AND($E17&gt;=EN$5,$E17&lt;EN$5+GanttPeriod),"◇","")),IF(AND(EN$5&lt;=$F17,EN$5+GanttPeriod-1&gt;=$E17),"━","")))</f>
        <v/>
      </c>
      <c r="EO17" s="69" t="str">
        <f aca="false">IF($E17="","",IF($M17,IF(AND($G17&gt;=EO$5,$G17&lt;EO$5+GanttPeriod),"◆",IF(AND($E17&gt;=EO$5,$E17&lt;EO$5+GanttPeriod),"◇","")),IF(AND(EO$5&lt;=$F17,EO$5+GanttPeriod-1&gt;=$E17),"━","")))</f>
        <v/>
      </c>
      <c r="EP17" s="69" t="str">
        <f aca="false">IF($E17="","",IF($M17,IF(AND($G17&gt;=EP$5,$G17&lt;EP$5+GanttPeriod),"◆",IF(AND($E17&gt;=EP$5,$E17&lt;EP$5+GanttPeriod),"◇","")),IF(AND(EP$5&lt;=$F17,EP$5+GanttPeriod-1&gt;=$E17),"━","")))</f>
        <v/>
      </c>
      <c r="EQ17" s="69" t="str">
        <f aca="false">IF($E17="","",IF($M17,IF(AND($G17&gt;=EQ$5,$G17&lt;EQ$5+GanttPeriod),"◆",IF(AND($E17&gt;=EQ$5,$E17&lt;EQ$5+GanttPeriod),"◇","")),IF(AND(EQ$5&lt;=$F17,EQ$5+GanttPeriod-1&gt;=$E17),"━","")))</f>
        <v/>
      </c>
      <c r="ER17" s="69" t="str">
        <f aca="false">IF($E17="","",IF($M17,IF(AND($G17&gt;=ER$5,$G17&lt;ER$5+GanttPeriod),"◆",IF(AND($E17&gt;=ER$5,$E17&lt;ER$5+GanttPeriod),"◇","")),IF(AND(ER$5&lt;=$F17,ER$5+GanttPeriod-1&gt;=$E17),"━","")))</f>
        <v/>
      </c>
      <c r="ES17" s="69" t="str">
        <f aca="false">IF($E17="","",IF($M17,IF(AND($G17&gt;=ES$5,$G17&lt;ES$5+GanttPeriod),"◆",IF(AND($E17&gt;=ES$5,$E17&lt;ES$5+GanttPeriod),"◇","")),IF(AND(ES$5&lt;=$F17,ES$5+GanttPeriod-1&gt;=$E17),"━","")))</f>
        <v/>
      </c>
      <c r="ET17" s="69" t="str">
        <f aca="false">IF($E17="","",IF($M17,IF(AND($G17&gt;=ET$5,$G17&lt;ET$5+GanttPeriod),"◆",IF(AND($E17&gt;=ET$5,$E17&lt;ET$5+GanttPeriod),"◇","")),IF(AND(ET$5&lt;=$F17,ET$5+GanttPeriod-1&gt;=$E17),"━","")))</f>
        <v/>
      </c>
      <c r="EU17" s="69" t="str">
        <f aca="false">IF($E17="","",IF($M17,IF(AND($G17&gt;=EU$5,$G17&lt;EU$5+GanttPeriod),"◆",IF(AND($E17&gt;=EU$5,$E17&lt;EU$5+GanttPeriod),"◇","")),IF(AND(EU$5&lt;=$F17,EU$5+GanttPeriod-1&gt;=$E17),"━","")))</f>
        <v/>
      </c>
      <c r="EV17" s="69" t="str">
        <f aca="false">IF($E17="","",IF($M17,IF(AND($G17&gt;=EV$5,$G17&lt;EV$5+GanttPeriod),"◆",IF(AND($E17&gt;=EV$5,$E17&lt;EV$5+GanttPeriod),"◇","")),IF(AND(EV$5&lt;=$F17,EV$5+GanttPeriod-1&gt;=$E17),"━","")))</f>
        <v/>
      </c>
      <c r="EW17" s="69" t="str">
        <f aca="false">IF($E17="","",IF($M17,IF(AND($G17&gt;=EW$5,$G17&lt;EW$5+GanttPeriod),"◆",IF(AND($E17&gt;=EW$5,$E17&lt;EW$5+GanttPeriod),"◇","")),IF(AND(EW$5&lt;=$F17,EW$5+GanttPeriod-1&gt;=$E17),"━","")))</f>
        <v/>
      </c>
      <c r="EX17" s="69" t="str">
        <f aca="false">IF($E17="","",IF($M17,IF(AND($G17&gt;=EX$5,$G17&lt;EX$5+GanttPeriod),"◆",IF(AND($E17&gt;=EX$5,$E17&lt;EX$5+GanttPeriod),"◇","")),IF(AND(EX$5&lt;=$F17,EX$5+GanttPeriod-1&gt;=$E17),"━","")))</f>
        <v/>
      </c>
      <c r="EY17" s="69" t="str">
        <f aca="false">IF($E17="","",IF($M17,IF(AND($G17&gt;=EY$5,$G17&lt;EY$5+GanttPeriod),"◆",IF(AND($E17&gt;=EY$5,$E17&lt;EY$5+GanttPeriod),"◇","")),IF(AND(EY$5&lt;=$F17,EY$5+GanttPeriod-1&gt;=$E17),"━","")))</f>
        <v/>
      </c>
      <c r="EZ17" s="69" t="str">
        <f aca="false">IF($E17="","",IF($M17,IF(AND($G17&gt;=EZ$5,$G17&lt;EZ$5+GanttPeriod),"◆",IF(AND($E17&gt;=EZ$5,$E17&lt;EZ$5+GanttPeriod),"◇","")),IF(AND(EZ$5&lt;=$F17,EZ$5+GanttPeriod-1&gt;=$E17),"━","")))</f>
        <v/>
      </c>
      <c r="FA17" s="69" t="str">
        <f aca="false">IF($E17="","",IF($M17,IF(AND($G17&gt;=FA$5,$G17&lt;FA$5+GanttPeriod),"◆",IF(AND($E17&gt;=FA$5,$E17&lt;FA$5+GanttPeriod),"◇","")),IF(AND(FA$5&lt;=$F17,FA$5+GanttPeriod-1&gt;=$E17),"━","")))</f>
        <v/>
      </c>
      <c r="FB17" s="69" t="str">
        <f aca="false">IF($E17="","",IF($M17,IF(AND($G17&gt;=FB$5,$G17&lt;FB$5+GanttPeriod),"◆",IF(AND($E17&gt;=FB$5,$E17&lt;FB$5+GanttPeriod),"◇","")),IF(AND(FB$5&lt;=$F17,FB$5+GanttPeriod-1&gt;=$E17),"━","")))</f>
        <v/>
      </c>
      <c r="FC17" s="69" t="str">
        <f aca="false">IF($E17="","",IF($M17,IF(AND($G17&gt;=FC$5,$G17&lt;FC$5+GanttPeriod),"◆",IF(AND($E17&gt;=FC$5,$E17&lt;FC$5+GanttPeriod),"◇","")),IF(AND(FC$5&lt;=$F17,FC$5+GanttPeriod-1&gt;=$E17),"━","")))</f>
        <v/>
      </c>
      <c r="FD17" s="69" t="str">
        <f aca="false">IF($E17="","",IF($M17,IF(AND($G17&gt;=FD$5,$G17&lt;FD$5+GanttPeriod),"◆",IF(AND($E17&gt;=FD$5,$E17&lt;FD$5+GanttPeriod),"◇","")),IF(AND(FD$5&lt;=$F17,FD$5+GanttPeriod-1&gt;=$E17),"━","")))</f>
        <v/>
      </c>
      <c r="FE17" s="69" t="str">
        <f aca="false">IF($E17="","",IF($M17,IF(AND($G17&gt;=FE$5,$G17&lt;FE$5+GanttPeriod),"◆",IF(AND($E17&gt;=FE$5,$E17&lt;FE$5+GanttPeriod),"◇","")),IF(AND(FE$5&lt;=$F17,FE$5+GanttPeriod-1&gt;=$E17),"━","")))</f>
        <v/>
      </c>
      <c r="FF17" s="69" t="str">
        <f aca="false">IF($E17="","",IF($M17,IF(AND($G17&gt;=FF$5,$G17&lt;FF$5+GanttPeriod),"◆",IF(AND($E17&gt;=FF$5,$E17&lt;FF$5+GanttPeriod),"◇","")),IF(AND(FF$5&lt;=$F17,FF$5+GanttPeriod-1&gt;=$E17),"━","")))</f>
        <v/>
      </c>
      <c r="FG17" s="69" t="str">
        <f aca="false">IF($E17="","",IF($M17,IF(AND($G17&gt;=FG$5,$G17&lt;FG$5+GanttPeriod),"◆",IF(AND($E17&gt;=FG$5,$E17&lt;FG$5+GanttPeriod),"◇","")),IF(AND(FG$5&lt;=$F17,FG$5+GanttPeriod-1&gt;=$E17),"━","")))</f>
        <v/>
      </c>
      <c r="FH17" s="69" t="str">
        <f aca="false">IF($E17="","",IF($M17,IF(AND($G17&gt;=FH$5,$G17&lt;FH$5+GanttPeriod),"◆",IF(AND($E17&gt;=FH$5,$E17&lt;FH$5+GanttPeriod),"◇","")),IF(AND(FH$5&lt;=$F17,FH$5+GanttPeriod-1&gt;=$E17),"━","")))</f>
        <v/>
      </c>
      <c r="FI17" s="69" t="str">
        <f aca="false">IF($E17="","",IF($M17,IF(AND($G17&gt;=FI$5,$G17&lt;FI$5+GanttPeriod),"◆",IF(AND($E17&gt;=FI$5,$E17&lt;FI$5+GanttPeriod),"◇","")),IF(AND(FI$5&lt;=$F17,FI$5+GanttPeriod-1&gt;=$E17),"━","")))</f>
        <v/>
      </c>
      <c r="FJ17" s="69" t="str">
        <f aca="false">IF($E17="","",IF($M17,IF(AND($G17&gt;=FJ$5,$G17&lt;FJ$5+GanttPeriod),"◆",IF(AND($E17&gt;=FJ$5,$E17&lt;FJ$5+GanttPeriod),"◇","")),IF(AND(FJ$5&lt;=$F17,FJ$5+GanttPeriod-1&gt;=$E17),"━","")))</f>
        <v/>
      </c>
      <c r="FK17" s="69" t="str">
        <f aca="false">IF($E17="","",IF($M17,IF(AND($G17&gt;=FK$5,$G17&lt;FK$5+GanttPeriod),"◆",IF(AND($E17&gt;=FK$5,$E17&lt;FK$5+GanttPeriod),"◇","")),IF(AND(FK$5&lt;=$F17,FK$5+GanttPeriod-1&gt;=$E17),"━","")))</f>
        <v/>
      </c>
      <c r="FL17" s="69" t="str">
        <f aca="false">IF($E17="","",IF($M17,IF(AND($G17&gt;=FL$5,$G17&lt;FL$5+GanttPeriod),"◆",IF(AND($E17&gt;=FL$5,$E17&lt;FL$5+GanttPeriod),"◇","")),IF(AND(FL$5&lt;=$F17,FL$5+GanttPeriod-1&gt;=$E17),"━","")))</f>
        <v/>
      </c>
      <c r="FM17" s="69" t="str">
        <f aca="false">IF($E17="","",IF($M17,IF(AND($G17&gt;=FM$5,$G17&lt;FM$5+GanttPeriod),"◆",IF(AND($E17&gt;=FM$5,$E17&lt;FM$5+GanttPeriod),"◇","")),IF(AND(FM$5&lt;=$F17,FM$5+GanttPeriod-1&gt;=$E17),"━","")))</f>
        <v/>
      </c>
    </row>
    <row r="18" customFormat="false" ht="15" hidden="false" customHeight="false" outlineLevel="0" collapsed="false">
      <c r="A18" s="62" t="n">
        <f aca="false">IF(Tasks!$D18="","",Tasks!$A18)</f>
        <v>13</v>
      </c>
      <c r="B18" s="62" t="str">
        <f aca="false">IF(Tasks!$D18="","",Tasks!$B18)</f>
        <v>3.1.2</v>
      </c>
      <c r="C18" s="63" t="str">
        <f aca="false">IF(Tasks!$D18="","",REPT("    ",Tasks!$AE18-1)&amp;Tasks!$D18)</f>
        <v>        Core API endpoints</v>
      </c>
      <c r="D18" s="62" t="n">
        <f aca="false">IF(Tasks!$D18="","",IF(Tasks!$AI18,NETWORKDAYS.INTL(Tasks!$R18,Tasks!$S18,WorkWeek,Holidays),N(Tasks!$F18)))</f>
        <v>10</v>
      </c>
      <c r="E18" s="64" t="n">
        <f aca="false">IF(Tasks!$D18="","",Tasks!$N18)</f>
        <v>46304</v>
      </c>
      <c r="F18" s="64" t="n">
        <f aca="false">IF(Tasks!$D18="","",Tasks!$O18)</f>
        <v>46317</v>
      </c>
      <c r="G18" s="64" t="n">
        <f aca="false">IF(Tasks!$D18="","",Tasks!$R18)</f>
        <v>46310</v>
      </c>
      <c r="H18" s="64" t="n">
        <f aca="false">IF(Tasks!$D18="","",Tasks!$S18)</f>
        <v>46325</v>
      </c>
      <c r="I18" s="65" t="n">
        <f aca="false">IF(Tasks!$D18="","",Tasks!$V18)</f>
        <v>0.5</v>
      </c>
      <c r="J18" s="63" t="str">
        <f aca="false">IF(Tasks!$D18="","",Tasks!$X18&amp;"")</f>
        <v>Jordan Lee</v>
      </c>
      <c r="K18" s="66" t="str">
        <f aca="false">IF(Tasks!$D18="","",Tasks!$W18)</f>
        <v>Behind</v>
      </c>
      <c r="L18" s="67" t="b">
        <f aca="false">IF(Tasks!$D18="",FALSE(),Tasks!$AI18)</f>
        <v>0</v>
      </c>
      <c r="M18" s="67" t="b">
        <f aca="false">AND(Tasks!$AJ18=1,N(Tasks!$F18)=0)</f>
        <v>0</v>
      </c>
      <c r="N18" s="68" t="n">
        <f aca="false">IF(AND(Tasks!$AJ18=1,NOT($M18),N($I18)&gt;0),$G18,0)</f>
        <v>46310</v>
      </c>
      <c r="O18" s="68" t="n">
        <f aca="false">IF($N18=0,0,IF($I18&gt;=1,$H18,MAX($N18,$G18+ROUND(($H18-$G18+1)*$I18,0)-1)))</f>
        <v>46317</v>
      </c>
      <c r="P18" s="68" t="n">
        <f aca="false">IF(OR(Tasks!$AJ18&lt;&gt;1,$M18,N($I18)&gt;=1),0,IF($O18&gt;0,$O18+1,$G18))</f>
        <v>46318</v>
      </c>
      <c r="Q18" s="68" t="n">
        <f aca="false">IF($P18=0,0,$H18)</f>
        <v>46325</v>
      </c>
      <c r="R18" s="67" t="b">
        <f aca="false">AND(Tasks!$D18&lt;&gt;"",N(Tasks!$T18)&gt;0)</f>
        <v>1</v>
      </c>
      <c r="T18" s="69" t="str">
        <f aca="false">IF($E18="","",IF($M18,IF(AND($G18&gt;=T$5,$G18&lt;T$5+GanttPeriod),"◆",IF(AND($E18&gt;=T$5,$E18&lt;T$5+GanttPeriod),"◇","")),IF(AND(T$5&lt;=$F18,T$5+GanttPeriod-1&gt;=$E18),"━","")))</f>
        <v/>
      </c>
      <c r="U18" s="69" t="str">
        <f aca="false">IF($E18="","",IF($M18,IF(AND($G18&gt;=U$5,$G18&lt;U$5+GanttPeriod),"◆",IF(AND($E18&gt;=U$5,$E18&lt;U$5+GanttPeriod),"◇","")),IF(AND(U$5&lt;=$F18,U$5+GanttPeriod-1&gt;=$E18),"━","")))</f>
        <v/>
      </c>
      <c r="V18" s="69" t="str">
        <f aca="false">IF($E18="","",IF($M18,IF(AND($G18&gt;=V$5,$G18&lt;V$5+GanttPeriod),"◆",IF(AND($E18&gt;=V$5,$E18&lt;V$5+GanttPeriod),"◇","")),IF(AND(V$5&lt;=$F18,V$5+GanttPeriod-1&gt;=$E18),"━","")))</f>
        <v/>
      </c>
      <c r="W18" s="69" t="str">
        <f aca="false">IF($E18="","",IF($M18,IF(AND($G18&gt;=W$5,$G18&lt;W$5+GanttPeriod),"◆",IF(AND($E18&gt;=W$5,$E18&lt;W$5+GanttPeriod),"◇","")),IF(AND(W$5&lt;=$F18,W$5+GanttPeriod-1&gt;=$E18),"━","")))</f>
        <v/>
      </c>
      <c r="X18" s="69" t="str">
        <f aca="false">IF($E18="","",IF($M18,IF(AND($G18&gt;=X$5,$G18&lt;X$5+GanttPeriod),"◆",IF(AND($E18&gt;=X$5,$E18&lt;X$5+GanttPeriod),"◇","")),IF(AND(X$5&lt;=$F18,X$5+GanttPeriod-1&gt;=$E18),"━","")))</f>
        <v/>
      </c>
      <c r="Y18" s="69" t="str">
        <f aca="false">IF($E18="","",IF($M18,IF(AND($G18&gt;=Y$5,$G18&lt;Y$5+GanttPeriod),"◆",IF(AND($E18&gt;=Y$5,$E18&lt;Y$5+GanttPeriod),"◇","")),IF(AND(Y$5&lt;=$F18,Y$5+GanttPeriod-1&gt;=$E18),"━","")))</f>
        <v/>
      </c>
      <c r="Z18" s="69" t="str">
        <f aca="false">IF($E18="","",IF($M18,IF(AND($G18&gt;=Z$5,$G18&lt;Z$5+GanttPeriod),"◆",IF(AND($E18&gt;=Z$5,$E18&lt;Z$5+GanttPeriod),"◇","")),IF(AND(Z$5&lt;=$F18,Z$5+GanttPeriod-1&gt;=$E18),"━","")))</f>
        <v/>
      </c>
      <c r="AA18" s="69" t="str">
        <f aca="false">IF($E18="","",IF($M18,IF(AND($G18&gt;=AA$5,$G18&lt;AA$5+GanttPeriod),"◆",IF(AND($E18&gt;=AA$5,$E18&lt;AA$5+GanttPeriod),"◇","")),IF(AND(AA$5&lt;=$F18,AA$5+GanttPeriod-1&gt;=$E18),"━","")))</f>
        <v/>
      </c>
      <c r="AB18" s="69" t="str">
        <f aca="false">IF($E18="","",IF($M18,IF(AND($G18&gt;=AB$5,$G18&lt;AB$5+GanttPeriod),"◆",IF(AND($E18&gt;=AB$5,$E18&lt;AB$5+GanttPeriod),"◇","")),IF(AND(AB$5&lt;=$F18,AB$5+GanttPeriod-1&gt;=$E18),"━","")))</f>
        <v/>
      </c>
      <c r="AC18" s="69" t="str">
        <f aca="false">IF($E18="","",IF($M18,IF(AND($G18&gt;=AC$5,$G18&lt;AC$5+GanttPeriod),"◆",IF(AND($E18&gt;=AC$5,$E18&lt;AC$5+GanttPeriod),"◇","")),IF(AND(AC$5&lt;=$F18,AC$5+GanttPeriod-1&gt;=$E18),"━","")))</f>
        <v/>
      </c>
      <c r="AD18" s="69" t="str">
        <f aca="false">IF($E18="","",IF($M18,IF(AND($G18&gt;=AD$5,$G18&lt;AD$5+GanttPeriod),"◆",IF(AND($E18&gt;=AD$5,$E18&lt;AD$5+GanttPeriod),"◇","")),IF(AND(AD$5&lt;=$F18,AD$5+GanttPeriod-1&gt;=$E18),"━","")))</f>
        <v/>
      </c>
      <c r="AE18" s="69" t="str">
        <f aca="false">IF($E18="","",IF($M18,IF(AND($G18&gt;=AE$5,$G18&lt;AE$5+GanttPeriod),"◆",IF(AND($E18&gt;=AE$5,$E18&lt;AE$5+GanttPeriod),"◇","")),IF(AND(AE$5&lt;=$F18,AE$5+GanttPeriod-1&gt;=$E18),"━","")))</f>
        <v/>
      </c>
      <c r="AF18" s="69" t="str">
        <f aca="false">IF($E18="","",IF($M18,IF(AND($G18&gt;=AF$5,$G18&lt;AF$5+GanttPeriod),"◆",IF(AND($E18&gt;=AF$5,$E18&lt;AF$5+GanttPeriod),"◇","")),IF(AND(AF$5&lt;=$F18,AF$5+GanttPeriod-1&gt;=$E18),"━","")))</f>
        <v/>
      </c>
      <c r="AG18" s="69" t="str">
        <f aca="false">IF($E18="","",IF($M18,IF(AND($G18&gt;=AG$5,$G18&lt;AG$5+GanttPeriod),"◆",IF(AND($E18&gt;=AG$5,$E18&lt;AG$5+GanttPeriod),"◇","")),IF(AND(AG$5&lt;=$F18,AG$5+GanttPeriod-1&gt;=$E18),"━","")))</f>
        <v/>
      </c>
      <c r="AH18" s="69" t="str">
        <f aca="false">IF($E18="","",IF($M18,IF(AND($G18&gt;=AH$5,$G18&lt;AH$5+GanttPeriod),"◆",IF(AND($E18&gt;=AH$5,$E18&lt;AH$5+GanttPeriod),"◇","")),IF(AND(AH$5&lt;=$F18,AH$5+GanttPeriod-1&gt;=$E18),"━","")))</f>
        <v/>
      </c>
      <c r="AI18" s="69" t="str">
        <f aca="false">IF($E18="","",IF($M18,IF(AND($G18&gt;=AI$5,$G18&lt;AI$5+GanttPeriod),"◆",IF(AND($E18&gt;=AI$5,$E18&lt;AI$5+GanttPeriod),"◇","")),IF(AND(AI$5&lt;=$F18,AI$5+GanttPeriod-1&gt;=$E18),"━","")))</f>
        <v/>
      </c>
      <c r="AJ18" s="69" t="str">
        <f aca="false">IF($E18="","",IF($M18,IF(AND($G18&gt;=AJ$5,$G18&lt;AJ$5+GanttPeriod),"◆",IF(AND($E18&gt;=AJ$5,$E18&lt;AJ$5+GanttPeriod),"◇","")),IF(AND(AJ$5&lt;=$F18,AJ$5+GanttPeriod-1&gt;=$E18),"━","")))</f>
        <v/>
      </c>
      <c r="AK18" s="69" t="str">
        <f aca="false">IF($E18="","",IF($M18,IF(AND($G18&gt;=AK$5,$G18&lt;AK$5+GanttPeriod),"◆",IF(AND($E18&gt;=AK$5,$E18&lt;AK$5+GanttPeriod),"◇","")),IF(AND(AK$5&lt;=$F18,AK$5+GanttPeriod-1&gt;=$E18),"━","")))</f>
        <v/>
      </c>
      <c r="AL18" s="69" t="str">
        <f aca="false">IF($E18="","",IF($M18,IF(AND($G18&gt;=AL$5,$G18&lt;AL$5+GanttPeriod),"◆",IF(AND($E18&gt;=AL$5,$E18&lt;AL$5+GanttPeriod),"◇","")),IF(AND(AL$5&lt;=$F18,AL$5+GanttPeriod-1&gt;=$E18),"━","")))</f>
        <v/>
      </c>
      <c r="AM18" s="69" t="str">
        <f aca="false">IF($E18="","",IF($M18,IF(AND($G18&gt;=AM$5,$G18&lt;AM$5+GanttPeriod),"◆",IF(AND($E18&gt;=AM$5,$E18&lt;AM$5+GanttPeriod),"◇","")),IF(AND(AM$5&lt;=$F18,AM$5+GanttPeriod-1&gt;=$E18),"━","")))</f>
        <v/>
      </c>
      <c r="AN18" s="69" t="str">
        <f aca="false">IF($E18="","",IF($M18,IF(AND($G18&gt;=AN$5,$G18&lt;AN$5+GanttPeriod),"◆",IF(AND($E18&gt;=AN$5,$E18&lt;AN$5+GanttPeriod),"◇","")),IF(AND(AN$5&lt;=$F18,AN$5+GanttPeriod-1&gt;=$E18),"━","")))</f>
        <v/>
      </c>
      <c r="AO18" s="69" t="str">
        <f aca="false">IF($E18="","",IF($M18,IF(AND($G18&gt;=AO$5,$G18&lt;AO$5+GanttPeriod),"◆",IF(AND($E18&gt;=AO$5,$E18&lt;AO$5+GanttPeriod),"◇","")),IF(AND(AO$5&lt;=$F18,AO$5+GanttPeriod-1&gt;=$E18),"━","")))</f>
        <v/>
      </c>
      <c r="AP18" s="69" t="str">
        <f aca="false">IF($E18="","",IF($M18,IF(AND($G18&gt;=AP$5,$G18&lt;AP$5+GanttPeriod),"◆",IF(AND($E18&gt;=AP$5,$E18&lt;AP$5+GanttPeriod),"◇","")),IF(AND(AP$5&lt;=$F18,AP$5+GanttPeriod-1&gt;=$E18),"━","")))</f>
        <v/>
      </c>
      <c r="AQ18" s="69" t="str">
        <f aca="false">IF($E18="","",IF($M18,IF(AND($G18&gt;=AQ$5,$G18&lt;AQ$5+GanttPeriod),"◆",IF(AND($E18&gt;=AQ$5,$E18&lt;AQ$5+GanttPeriod),"◇","")),IF(AND(AQ$5&lt;=$F18,AQ$5+GanttPeriod-1&gt;=$E18),"━","")))</f>
        <v/>
      </c>
      <c r="AR18" s="69" t="str">
        <f aca="false">IF($E18="","",IF($M18,IF(AND($G18&gt;=AR$5,$G18&lt;AR$5+GanttPeriod),"◆",IF(AND($E18&gt;=AR$5,$E18&lt;AR$5+GanttPeriod),"◇","")),IF(AND(AR$5&lt;=$F18,AR$5+GanttPeriod-1&gt;=$E18),"━","")))</f>
        <v/>
      </c>
      <c r="AS18" s="69" t="str">
        <f aca="false">IF($E18="","",IF($M18,IF(AND($G18&gt;=AS$5,$G18&lt;AS$5+GanttPeriod),"◆",IF(AND($E18&gt;=AS$5,$E18&lt;AS$5+GanttPeriod),"◇","")),IF(AND(AS$5&lt;=$F18,AS$5+GanttPeriod-1&gt;=$E18),"━","")))</f>
        <v/>
      </c>
      <c r="AT18" s="69" t="str">
        <f aca="false">IF($E18="","",IF($M18,IF(AND($G18&gt;=AT$5,$G18&lt;AT$5+GanttPeriod),"◆",IF(AND($E18&gt;=AT$5,$E18&lt;AT$5+GanttPeriod),"◇","")),IF(AND(AT$5&lt;=$F18,AT$5+GanttPeriod-1&gt;=$E18),"━","")))</f>
        <v/>
      </c>
      <c r="AU18" s="69" t="str">
        <f aca="false">IF($E18="","",IF($M18,IF(AND($G18&gt;=AU$5,$G18&lt;AU$5+GanttPeriod),"◆",IF(AND($E18&gt;=AU$5,$E18&lt;AU$5+GanttPeriod),"◇","")),IF(AND(AU$5&lt;=$F18,AU$5+GanttPeriod-1&gt;=$E18),"━","")))</f>
        <v/>
      </c>
      <c r="AV18" s="69" t="str">
        <f aca="false">IF($E18="","",IF($M18,IF(AND($G18&gt;=AV$5,$G18&lt;AV$5+GanttPeriod),"◆",IF(AND($E18&gt;=AV$5,$E18&lt;AV$5+GanttPeriod),"◇","")),IF(AND(AV$5&lt;=$F18,AV$5+GanttPeriod-1&gt;=$E18),"━","")))</f>
        <v/>
      </c>
      <c r="AW18" s="69" t="str">
        <f aca="false">IF($E18="","",IF($M18,IF(AND($G18&gt;=AW$5,$G18&lt;AW$5+GanttPeriod),"◆",IF(AND($E18&gt;=AW$5,$E18&lt;AW$5+GanttPeriod),"◇","")),IF(AND(AW$5&lt;=$F18,AW$5+GanttPeriod-1&gt;=$E18),"━","")))</f>
        <v/>
      </c>
      <c r="AX18" s="69" t="str">
        <f aca="false">IF($E18="","",IF($M18,IF(AND($G18&gt;=AX$5,$G18&lt;AX$5+GanttPeriod),"◆",IF(AND($E18&gt;=AX$5,$E18&lt;AX$5+GanttPeriod),"◇","")),IF(AND(AX$5&lt;=$F18,AX$5+GanttPeriod-1&gt;=$E18),"━","")))</f>
        <v/>
      </c>
      <c r="AY18" s="69" t="str">
        <f aca="false">IF($E18="","",IF($M18,IF(AND($G18&gt;=AY$5,$G18&lt;AY$5+GanttPeriod),"◆",IF(AND($E18&gt;=AY$5,$E18&lt;AY$5+GanttPeriod),"◇","")),IF(AND(AY$5&lt;=$F18,AY$5+GanttPeriod-1&gt;=$E18),"━","")))</f>
        <v/>
      </c>
      <c r="AZ18" s="69" t="str">
        <f aca="false">IF($E18="","",IF($M18,IF(AND($G18&gt;=AZ$5,$G18&lt;AZ$5+GanttPeriod),"◆",IF(AND($E18&gt;=AZ$5,$E18&lt;AZ$5+GanttPeriod),"◇","")),IF(AND(AZ$5&lt;=$F18,AZ$5+GanttPeriod-1&gt;=$E18),"━","")))</f>
        <v>━</v>
      </c>
      <c r="BA18" s="69" t="str">
        <f aca="false">IF($E18="","",IF($M18,IF(AND($G18&gt;=BA$5,$G18&lt;BA$5+GanttPeriod),"◆",IF(AND($E18&gt;=BA$5,$E18&lt;BA$5+GanttPeriod),"◇","")),IF(AND(BA$5&lt;=$F18,BA$5+GanttPeriod-1&gt;=$E18),"━","")))</f>
        <v>━</v>
      </c>
      <c r="BB18" s="69" t="str">
        <f aca="false">IF($E18="","",IF($M18,IF(AND($G18&gt;=BB$5,$G18&lt;BB$5+GanttPeriod),"◆",IF(AND($E18&gt;=BB$5,$E18&lt;BB$5+GanttPeriod),"◇","")),IF(AND(BB$5&lt;=$F18,BB$5+GanttPeriod-1&gt;=$E18),"━","")))</f>
        <v>━</v>
      </c>
      <c r="BC18" s="69" t="str">
        <f aca="false">IF($E18="","",IF($M18,IF(AND($G18&gt;=BC$5,$G18&lt;BC$5+GanttPeriod),"◆",IF(AND($E18&gt;=BC$5,$E18&lt;BC$5+GanttPeriod),"◇","")),IF(AND(BC$5&lt;=$F18,BC$5+GanttPeriod-1&gt;=$E18),"━","")))</f>
        <v>━</v>
      </c>
      <c r="BD18" s="69" t="str">
        <f aca="false">IF($E18="","",IF($M18,IF(AND($G18&gt;=BD$5,$G18&lt;BD$5+GanttPeriod),"◆",IF(AND($E18&gt;=BD$5,$E18&lt;BD$5+GanttPeriod),"◇","")),IF(AND(BD$5&lt;=$F18,BD$5+GanttPeriod-1&gt;=$E18),"━","")))</f>
        <v>━</v>
      </c>
      <c r="BE18" s="69" t="str">
        <f aca="false">IF($E18="","",IF($M18,IF(AND($G18&gt;=BE$5,$G18&lt;BE$5+GanttPeriod),"◆",IF(AND($E18&gt;=BE$5,$E18&lt;BE$5+GanttPeriod),"◇","")),IF(AND(BE$5&lt;=$F18,BE$5+GanttPeriod-1&gt;=$E18),"━","")))</f>
        <v>━</v>
      </c>
      <c r="BF18" s="69" t="str">
        <f aca="false">IF($E18="","",IF($M18,IF(AND($G18&gt;=BF$5,$G18&lt;BF$5+GanttPeriod),"◆",IF(AND($E18&gt;=BF$5,$E18&lt;BF$5+GanttPeriod),"◇","")),IF(AND(BF$5&lt;=$F18,BF$5+GanttPeriod-1&gt;=$E18),"━","")))</f>
        <v>━</v>
      </c>
      <c r="BG18" s="69" t="str">
        <f aca="false">IF($E18="","",IF($M18,IF(AND($G18&gt;=BG$5,$G18&lt;BG$5+GanttPeriod),"◆",IF(AND($E18&gt;=BG$5,$E18&lt;BG$5+GanttPeriod),"◇","")),IF(AND(BG$5&lt;=$F18,BG$5+GanttPeriod-1&gt;=$E18),"━","")))</f>
        <v>━</v>
      </c>
      <c r="BH18" s="69" t="str">
        <f aca="false">IF($E18="","",IF($M18,IF(AND($G18&gt;=BH$5,$G18&lt;BH$5+GanttPeriod),"◆",IF(AND($E18&gt;=BH$5,$E18&lt;BH$5+GanttPeriod),"◇","")),IF(AND(BH$5&lt;=$F18,BH$5+GanttPeriod-1&gt;=$E18),"━","")))</f>
        <v>━</v>
      </c>
      <c r="BI18" s="69" t="str">
        <f aca="false">IF($E18="","",IF($M18,IF(AND($G18&gt;=BI$5,$G18&lt;BI$5+GanttPeriod),"◆",IF(AND($E18&gt;=BI$5,$E18&lt;BI$5+GanttPeriod),"◇","")),IF(AND(BI$5&lt;=$F18,BI$5+GanttPeriod-1&gt;=$E18),"━","")))</f>
        <v>━</v>
      </c>
      <c r="BJ18" s="69" t="str">
        <f aca="false">IF($E18="","",IF($M18,IF(AND($G18&gt;=BJ$5,$G18&lt;BJ$5+GanttPeriod),"◆",IF(AND($E18&gt;=BJ$5,$E18&lt;BJ$5+GanttPeriod),"◇","")),IF(AND(BJ$5&lt;=$F18,BJ$5+GanttPeriod-1&gt;=$E18),"━","")))</f>
        <v>━</v>
      </c>
      <c r="BK18" s="69" t="str">
        <f aca="false">IF($E18="","",IF($M18,IF(AND($G18&gt;=BK$5,$G18&lt;BK$5+GanttPeriod),"◆",IF(AND($E18&gt;=BK$5,$E18&lt;BK$5+GanttPeriod),"◇","")),IF(AND(BK$5&lt;=$F18,BK$5+GanttPeriod-1&gt;=$E18),"━","")))</f>
        <v>━</v>
      </c>
      <c r="BL18" s="69" t="str">
        <f aca="false">IF($E18="","",IF($M18,IF(AND($G18&gt;=BL$5,$G18&lt;BL$5+GanttPeriod),"◆",IF(AND($E18&gt;=BL$5,$E18&lt;BL$5+GanttPeriod),"◇","")),IF(AND(BL$5&lt;=$F18,BL$5+GanttPeriod-1&gt;=$E18),"━","")))</f>
        <v>━</v>
      </c>
      <c r="BM18" s="69" t="str">
        <f aca="false">IF($E18="","",IF($M18,IF(AND($G18&gt;=BM$5,$G18&lt;BM$5+GanttPeriod),"◆",IF(AND($E18&gt;=BM$5,$E18&lt;BM$5+GanttPeriod),"◇","")),IF(AND(BM$5&lt;=$F18,BM$5+GanttPeriod-1&gt;=$E18),"━","")))</f>
        <v>━</v>
      </c>
      <c r="BN18" s="69" t="str">
        <f aca="false">IF($E18="","",IF($M18,IF(AND($G18&gt;=BN$5,$G18&lt;BN$5+GanttPeriod),"◆",IF(AND($E18&gt;=BN$5,$E18&lt;BN$5+GanttPeriod),"◇","")),IF(AND(BN$5&lt;=$F18,BN$5+GanttPeriod-1&gt;=$E18),"━","")))</f>
        <v/>
      </c>
      <c r="BO18" s="69" t="str">
        <f aca="false">IF($E18="","",IF($M18,IF(AND($G18&gt;=BO$5,$G18&lt;BO$5+GanttPeriod),"◆",IF(AND($E18&gt;=BO$5,$E18&lt;BO$5+GanttPeriod),"◇","")),IF(AND(BO$5&lt;=$F18,BO$5+GanttPeriod-1&gt;=$E18),"━","")))</f>
        <v/>
      </c>
      <c r="BP18" s="69" t="str">
        <f aca="false">IF($E18="","",IF($M18,IF(AND($G18&gt;=BP$5,$G18&lt;BP$5+GanttPeriod),"◆",IF(AND($E18&gt;=BP$5,$E18&lt;BP$5+GanttPeriod),"◇","")),IF(AND(BP$5&lt;=$F18,BP$5+GanttPeriod-1&gt;=$E18),"━","")))</f>
        <v/>
      </c>
      <c r="BQ18" s="69" t="str">
        <f aca="false">IF($E18="","",IF($M18,IF(AND($G18&gt;=BQ$5,$G18&lt;BQ$5+GanttPeriod),"◆",IF(AND($E18&gt;=BQ$5,$E18&lt;BQ$5+GanttPeriod),"◇","")),IF(AND(BQ$5&lt;=$F18,BQ$5+GanttPeriod-1&gt;=$E18),"━","")))</f>
        <v/>
      </c>
      <c r="BR18" s="69" t="str">
        <f aca="false">IF($E18="","",IF($M18,IF(AND($G18&gt;=BR$5,$G18&lt;BR$5+GanttPeriod),"◆",IF(AND($E18&gt;=BR$5,$E18&lt;BR$5+GanttPeriod),"◇","")),IF(AND(BR$5&lt;=$F18,BR$5+GanttPeriod-1&gt;=$E18),"━","")))</f>
        <v/>
      </c>
      <c r="BS18" s="69" t="str">
        <f aca="false">IF($E18="","",IF($M18,IF(AND($G18&gt;=BS$5,$G18&lt;BS$5+GanttPeriod),"◆",IF(AND($E18&gt;=BS$5,$E18&lt;BS$5+GanttPeriod),"◇","")),IF(AND(BS$5&lt;=$F18,BS$5+GanttPeriod-1&gt;=$E18),"━","")))</f>
        <v/>
      </c>
      <c r="BT18" s="69" t="str">
        <f aca="false">IF($E18="","",IF($M18,IF(AND($G18&gt;=BT$5,$G18&lt;BT$5+GanttPeriod),"◆",IF(AND($E18&gt;=BT$5,$E18&lt;BT$5+GanttPeriod),"◇","")),IF(AND(BT$5&lt;=$F18,BT$5+GanttPeriod-1&gt;=$E18),"━","")))</f>
        <v/>
      </c>
      <c r="BU18" s="69" t="str">
        <f aca="false">IF($E18="","",IF($M18,IF(AND($G18&gt;=BU$5,$G18&lt;BU$5+GanttPeriod),"◆",IF(AND($E18&gt;=BU$5,$E18&lt;BU$5+GanttPeriod),"◇","")),IF(AND(BU$5&lt;=$F18,BU$5+GanttPeriod-1&gt;=$E18),"━","")))</f>
        <v/>
      </c>
      <c r="BV18" s="69" t="str">
        <f aca="false">IF($E18="","",IF($M18,IF(AND($G18&gt;=BV$5,$G18&lt;BV$5+GanttPeriod),"◆",IF(AND($E18&gt;=BV$5,$E18&lt;BV$5+GanttPeriod),"◇","")),IF(AND(BV$5&lt;=$F18,BV$5+GanttPeriod-1&gt;=$E18),"━","")))</f>
        <v/>
      </c>
      <c r="BW18" s="69" t="str">
        <f aca="false">IF($E18="","",IF($M18,IF(AND($G18&gt;=BW$5,$G18&lt;BW$5+GanttPeriod),"◆",IF(AND($E18&gt;=BW$5,$E18&lt;BW$5+GanttPeriod),"◇","")),IF(AND(BW$5&lt;=$F18,BW$5+GanttPeriod-1&gt;=$E18),"━","")))</f>
        <v/>
      </c>
      <c r="BX18" s="69" t="str">
        <f aca="false">IF($E18="","",IF($M18,IF(AND($G18&gt;=BX$5,$G18&lt;BX$5+GanttPeriod),"◆",IF(AND($E18&gt;=BX$5,$E18&lt;BX$5+GanttPeriod),"◇","")),IF(AND(BX$5&lt;=$F18,BX$5+GanttPeriod-1&gt;=$E18),"━","")))</f>
        <v/>
      </c>
      <c r="BY18" s="69" t="str">
        <f aca="false">IF($E18="","",IF($M18,IF(AND($G18&gt;=BY$5,$G18&lt;BY$5+GanttPeriod),"◆",IF(AND($E18&gt;=BY$5,$E18&lt;BY$5+GanttPeriod),"◇","")),IF(AND(BY$5&lt;=$F18,BY$5+GanttPeriod-1&gt;=$E18),"━","")))</f>
        <v/>
      </c>
      <c r="BZ18" s="69" t="str">
        <f aca="false">IF($E18="","",IF($M18,IF(AND($G18&gt;=BZ$5,$G18&lt;BZ$5+GanttPeriod),"◆",IF(AND($E18&gt;=BZ$5,$E18&lt;BZ$5+GanttPeriod),"◇","")),IF(AND(BZ$5&lt;=$F18,BZ$5+GanttPeriod-1&gt;=$E18),"━","")))</f>
        <v/>
      </c>
      <c r="CA18" s="69" t="str">
        <f aca="false">IF($E18="","",IF($M18,IF(AND($G18&gt;=CA$5,$G18&lt;CA$5+GanttPeriod),"◆",IF(AND($E18&gt;=CA$5,$E18&lt;CA$5+GanttPeriod),"◇","")),IF(AND(CA$5&lt;=$F18,CA$5+GanttPeriod-1&gt;=$E18),"━","")))</f>
        <v/>
      </c>
      <c r="CB18" s="69" t="str">
        <f aca="false">IF($E18="","",IF($M18,IF(AND($G18&gt;=CB$5,$G18&lt;CB$5+GanttPeriod),"◆",IF(AND($E18&gt;=CB$5,$E18&lt;CB$5+GanttPeriod),"◇","")),IF(AND(CB$5&lt;=$F18,CB$5+GanttPeriod-1&gt;=$E18),"━","")))</f>
        <v/>
      </c>
      <c r="CC18" s="69" t="str">
        <f aca="false">IF($E18="","",IF($M18,IF(AND($G18&gt;=CC$5,$G18&lt;CC$5+GanttPeriod),"◆",IF(AND($E18&gt;=CC$5,$E18&lt;CC$5+GanttPeriod),"◇","")),IF(AND(CC$5&lt;=$F18,CC$5+GanttPeriod-1&gt;=$E18),"━","")))</f>
        <v/>
      </c>
      <c r="CD18" s="69" t="str">
        <f aca="false">IF($E18="","",IF($M18,IF(AND($G18&gt;=CD$5,$G18&lt;CD$5+GanttPeriod),"◆",IF(AND($E18&gt;=CD$5,$E18&lt;CD$5+GanttPeriod),"◇","")),IF(AND(CD$5&lt;=$F18,CD$5+GanttPeriod-1&gt;=$E18),"━","")))</f>
        <v/>
      </c>
      <c r="CE18" s="69" t="str">
        <f aca="false">IF($E18="","",IF($M18,IF(AND($G18&gt;=CE$5,$G18&lt;CE$5+GanttPeriod),"◆",IF(AND($E18&gt;=CE$5,$E18&lt;CE$5+GanttPeriod),"◇","")),IF(AND(CE$5&lt;=$F18,CE$5+GanttPeriod-1&gt;=$E18),"━","")))</f>
        <v/>
      </c>
      <c r="CF18" s="69" t="str">
        <f aca="false">IF($E18="","",IF($M18,IF(AND($G18&gt;=CF$5,$G18&lt;CF$5+GanttPeriod),"◆",IF(AND($E18&gt;=CF$5,$E18&lt;CF$5+GanttPeriod),"◇","")),IF(AND(CF$5&lt;=$F18,CF$5+GanttPeriod-1&gt;=$E18),"━","")))</f>
        <v/>
      </c>
      <c r="CG18" s="69" t="str">
        <f aca="false">IF($E18="","",IF($M18,IF(AND($G18&gt;=CG$5,$G18&lt;CG$5+GanttPeriod),"◆",IF(AND($E18&gt;=CG$5,$E18&lt;CG$5+GanttPeriod),"◇","")),IF(AND(CG$5&lt;=$F18,CG$5+GanttPeriod-1&gt;=$E18),"━","")))</f>
        <v/>
      </c>
      <c r="CH18" s="69" t="str">
        <f aca="false">IF($E18="","",IF($M18,IF(AND($G18&gt;=CH$5,$G18&lt;CH$5+GanttPeriod),"◆",IF(AND($E18&gt;=CH$5,$E18&lt;CH$5+GanttPeriod),"◇","")),IF(AND(CH$5&lt;=$F18,CH$5+GanttPeriod-1&gt;=$E18),"━","")))</f>
        <v/>
      </c>
      <c r="CI18" s="69" t="str">
        <f aca="false">IF($E18="","",IF($M18,IF(AND($G18&gt;=CI$5,$G18&lt;CI$5+GanttPeriod),"◆",IF(AND($E18&gt;=CI$5,$E18&lt;CI$5+GanttPeriod),"◇","")),IF(AND(CI$5&lt;=$F18,CI$5+GanttPeriod-1&gt;=$E18),"━","")))</f>
        <v/>
      </c>
      <c r="CJ18" s="69" t="str">
        <f aca="false">IF($E18="","",IF($M18,IF(AND($G18&gt;=CJ$5,$G18&lt;CJ$5+GanttPeriod),"◆",IF(AND($E18&gt;=CJ$5,$E18&lt;CJ$5+GanttPeriod),"◇","")),IF(AND(CJ$5&lt;=$F18,CJ$5+GanttPeriod-1&gt;=$E18),"━","")))</f>
        <v/>
      </c>
      <c r="CK18" s="69" t="str">
        <f aca="false">IF($E18="","",IF($M18,IF(AND($G18&gt;=CK$5,$G18&lt;CK$5+GanttPeriod),"◆",IF(AND($E18&gt;=CK$5,$E18&lt;CK$5+GanttPeriod),"◇","")),IF(AND(CK$5&lt;=$F18,CK$5+GanttPeriod-1&gt;=$E18),"━","")))</f>
        <v/>
      </c>
      <c r="CL18" s="69" t="str">
        <f aca="false">IF($E18="","",IF($M18,IF(AND($G18&gt;=CL$5,$G18&lt;CL$5+GanttPeriod),"◆",IF(AND($E18&gt;=CL$5,$E18&lt;CL$5+GanttPeriod),"◇","")),IF(AND(CL$5&lt;=$F18,CL$5+GanttPeriod-1&gt;=$E18),"━","")))</f>
        <v/>
      </c>
      <c r="CM18" s="69" t="str">
        <f aca="false">IF($E18="","",IF($M18,IF(AND($G18&gt;=CM$5,$G18&lt;CM$5+GanttPeriod),"◆",IF(AND($E18&gt;=CM$5,$E18&lt;CM$5+GanttPeriod),"◇","")),IF(AND(CM$5&lt;=$F18,CM$5+GanttPeriod-1&gt;=$E18),"━","")))</f>
        <v/>
      </c>
      <c r="CN18" s="69" t="str">
        <f aca="false">IF($E18="","",IF($M18,IF(AND($G18&gt;=CN$5,$G18&lt;CN$5+GanttPeriod),"◆",IF(AND($E18&gt;=CN$5,$E18&lt;CN$5+GanttPeriod),"◇","")),IF(AND(CN$5&lt;=$F18,CN$5+GanttPeriod-1&gt;=$E18),"━","")))</f>
        <v/>
      </c>
      <c r="CO18" s="69" t="str">
        <f aca="false">IF($E18="","",IF($M18,IF(AND($G18&gt;=CO$5,$G18&lt;CO$5+GanttPeriod),"◆",IF(AND($E18&gt;=CO$5,$E18&lt;CO$5+GanttPeriod),"◇","")),IF(AND(CO$5&lt;=$F18,CO$5+GanttPeriod-1&gt;=$E18),"━","")))</f>
        <v/>
      </c>
      <c r="CP18" s="69" t="str">
        <f aca="false">IF($E18="","",IF($M18,IF(AND($G18&gt;=CP$5,$G18&lt;CP$5+GanttPeriod),"◆",IF(AND($E18&gt;=CP$5,$E18&lt;CP$5+GanttPeriod),"◇","")),IF(AND(CP$5&lt;=$F18,CP$5+GanttPeriod-1&gt;=$E18),"━","")))</f>
        <v/>
      </c>
      <c r="CQ18" s="69" t="str">
        <f aca="false">IF($E18="","",IF($M18,IF(AND($G18&gt;=CQ$5,$G18&lt;CQ$5+GanttPeriod),"◆",IF(AND($E18&gt;=CQ$5,$E18&lt;CQ$5+GanttPeriod),"◇","")),IF(AND(CQ$5&lt;=$F18,CQ$5+GanttPeriod-1&gt;=$E18),"━","")))</f>
        <v/>
      </c>
      <c r="CR18" s="69" t="str">
        <f aca="false">IF($E18="","",IF($M18,IF(AND($G18&gt;=CR$5,$G18&lt;CR$5+GanttPeriod),"◆",IF(AND($E18&gt;=CR$5,$E18&lt;CR$5+GanttPeriod),"◇","")),IF(AND(CR$5&lt;=$F18,CR$5+GanttPeriod-1&gt;=$E18),"━","")))</f>
        <v/>
      </c>
      <c r="CS18" s="69" t="str">
        <f aca="false">IF($E18="","",IF($M18,IF(AND($G18&gt;=CS$5,$G18&lt;CS$5+GanttPeriod),"◆",IF(AND($E18&gt;=CS$5,$E18&lt;CS$5+GanttPeriod),"◇","")),IF(AND(CS$5&lt;=$F18,CS$5+GanttPeriod-1&gt;=$E18),"━","")))</f>
        <v/>
      </c>
      <c r="CT18" s="69" t="str">
        <f aca="false">IF($E18="","",IF($M18,IF(AND($G18&gt;=CT$5,$G18&lt;CT$5+GanttPeriod),"◆",IF(AND($E18&gt;=CT$5,$E18&lt;CT$5+GanttPeriod),"◇","")),IF(AND(CT$5&lt;=$F18,CT$5+GanttPeriod-1&gt;=$E18),"━","")))</f>
        <v/>
      </c>
      <c r="CU18" s="69" t="str">
        <f aca="false">IF($E18="","",IF($M18,IF(AND($G18&gt;=CU$5,$G18&lt;CU$5+GanttPeriod),"◆",IF(AND($E18&gt;=CU$5,$E18&lt;CU$5+GanttPeriod),"◇","")),IF(AND(CU$5&lt;=$F18,CU$5+GanttPeriod-1&gt;=$E18),"━","")))</f>
        <v/>
      </c>
      <c r="CV18" s="69" t="str">
        <f aca="false">IF($E18="","",IF($M18,IF(AND($G18&gt;=CV$5,$G18&lt;CV$5+GanttPeriod),"◆",IF(AND($E18&gt;=CV$5,$E18&lt;CV$5+GanttPeriod),"◇","")),IF(AND(CV$5&lt;=$F18,CV$5+GanttPeriod-1&gt;=$E18),"━","")))</f>
        <v/>
      </c>
      <c r="CW18" s="69" t="str">
        <f aca="false">IF($E18="","",IF($M18,IF(AND($G18&gt;=CW$5,$G18&lt;CW$5+GanttPeriod),"◆",IF(AND($E18&gt;=CW$5,$E18&lt;CW$5+GanttPeriod),"◇","")),IF(AND(CW$5&lt;=$F18,CW$5+GanttPeriod-1&gt;=$E18),"━","")))</f>
        <v/>
      </c>
      <c r="CX18" s="69" t="str">
        <f aca="false">IF($E18="","",IF($M18,IF(AND($G18&gt;=CX$5,$G18&lt;CX$5+GanttPeriod),"◆",IF(AND($E18&gt;=CX$5,$E18&lt;CX$5+GanttPeriod),"◇","")),IF(AND(CX$5&lt;=$F18,CX$5+GanttPeriod-1&gt;=$E18),"━","")))</f>
        <v/>
      </c>
      <c r="CY18" s="69" t="str">
        <f aca="false">IF($E18="","",IF($M18,IF(AND($G18&gt;=CY$5,$G18&lt;CY$5+GanttPeriod),"◆",IF(AND($E18&gt;=CY$5,$E18&lt;CY$5+GanttPeriod),"◇","")),IF(AND(CY$5&lt;=$F18,CY$5+GanttPeriod-1&gt;=$E18),"━","")))</f>
        <v/>
      </c>
      <c r="CZ18" s="69" t="str">
        <f aca="false">IF($E18="","",IF($M18,IF(AND($G18&gt;=CZ$5,$G18&lt;CZ$5+GanttPeriod),"◆",IF(AND($E18&gt;=CZ$5,$E18&lt;CZ$5+GanttPeriod),"◇","")),IF(AND(CZ$5&lt;=$F18,CZ$5+GanttPeriod-1&gt;=$E18),"━","")))</f>
        <v/>
      </c>
      <c r="DA18" s="69" t="str">
        <f aca="false">IF($E18="","",IF($M18,IF(AND($G18&gt;=DA$5,$G18&lt;DA$5+GanttPeriod),"◆",IF(AND($E18&gt;=DA$5,$E18&lt;DA$5+GanttPeriod),"◇","")),IF(AND(DA$5&lt;=$F18,DA$5+GanttPeriod-1&gt;=$E18),"━","")))</f>
        <v/>
      </c>
      <c r="DB18" s="69" t="str">
        <f aca="false">IF($E18="","",IF($M18,IF(AND($G18&gt;=DB$5,$G18&lt;DB$5+GanttPeriod),"◆",IF(AND($E18&gt;=DB$5,$E18&lt;DB$5+GanttPeriod),"◇","")),IF(AND(DB$5&lt;=$F18,DB$5+GanttPeriod-1&gt;=$E18),"━","")))</f>
        <v/>
      </c>
      <c r="DC18" s="69" t="str">
        <f aca="false">IF($E18="","",IF($M18,IF(AND($G18&gt;=DC$5,$G18&lt;DC$5+GanttPeriod),"◆",IF(AND($E18&gt;=DC$5,$E18&lt;DC$5+GanttPeriod),"◇","")),IF(AND(DC$5&lt;=$F18,DC$5+GanttPeriod-1&gt;=$E18),"━","")))</f>
        <v/>
      </c>
      <c r="DD18" s="69" t="str">
        <f aca="false">IF($E18="","",IF($M18,IF(AND($G18&gt;=DD$5,$G18&lt;DD$5+GanttPeriod),"◆",IF(AND($E18&gt;=DD$5,$E18&lt;DD$5+GanttPeriod),"◇","")),IF(AND(DD$5&lt;=$F18,DD$5+GanttPeriod-1&gt;=$E18),"━","")))</f>
        <v/>
      </c>
      <c r="DE18" s="69" t="str">
        <f aca="false">IF($E18="","",IF($M18,IF(AND($G18&gt;=DE$5,$G18&lt;DE$5+GanttPeriod),"◆",IF(AND($E18&gt;=DE$5,$E18&lt;DE$5+GanttPeriod),"◇","")),IF(AND(DE$5&lt;=$F18,DE$5+GanttPeriod-1&gt;=$E18),"━","")))</f>
        <v/>
      </c>
      <c r="DF18" s="69" t="str">
        <f aca="false">IF($E18="","",IF($M18,IF(AND($G18&gt;=DF$5,$G18&lt;DF$5+GanttPeriod),"◆",IF(AND($E18&gt;=DF$5,$E18&lt;DF$5+GanttPeriod),"◇","")),IF(AND(DF$5&lt;=$F18,DF$5+GanttPeriod-1&gt;=$E18),"━","")))</f>
        <v/>
      </c>
      <c r="DG18" s="69" t="str">
        <f aca="false">IF($E18="","",IF($M18,IF(AND($G18&gt;=DG$5,$G18&lt;DG$5+GanttPeriod),"◆",IF(AND($E18&gt;=DG$5,$E18&lt;DG$5+GanttPeriod),"◇","")),IF(AND(DG$5&lt;=$F18,DG$5+GanttPeriod-1&gt;=$E18),"━","")))</f>
        <v/>
      </c>
      <c r="DH18" s="69" t="str">
        <f aca="false">IF($E18="","",IF($M18,IF(AND($G18&gt;=DH$5,$G18&lt;DH$5+GanttPeriod),"◆",IF(AND($E18&gt;=DH$5,$E18&lt;DH$5+GanttPeriod),"◇","")),IF(AND(DH$5&lt;=$F18,DH$5+GanttPeriod-1&gt;=$E18),"━","")))</f>
        <v/>
      </c>
      <c r="DI18" s="69" t="str">
        <f aca="false">IF($E18="","",IF($M18,IF(AND($G18&gt;=DI$5,$G18&lt;DI$5+GanttPeriod),"◆",IF(AND($E18&gt;=DI$5,$E18&lt;DI$5+GanttPeriod),"◇","")),IF(AND(DI$5&lt;=$F18,DI$5+GanttPeriod-1&gt;=$E18),"━","")))</f>
        <v/>
      </c>
      <c r="DJ18" s="69" t="str">
        <f aca="false">IF($E18="","",IF($M18,IF(AND($G18&gt;=DJ$5,$G18&lt;DJ$5+GanttPeriod),"◆",IF(AND($E18&gt;=DJ$5,$E18&lt;DJ$5+GanttPeriod),"◇","")),IF(AND(DJ$5&lt;=$F18,DJ$5+GanttPeriod-1&gt;=$E18),"━","")))</f>
        <v/>
      </c>
      <c r="DK18" s="69" t="str">
        <f aca="false">IF($E18="","",IF($M18,IF(AND($G18&gt;=DK$5,$G18&lt;DK$5+GanttPeriod),"◆",IF(AND($E18&gt;=DK$5,$E18&lt;DK$5+GanttPeriod),"◇","")),IF(AND(DK$5&lt;=$F18,DK$5+GanttPeriod-1&gt;=$E18),"━","")))</f>
        <v/>
      </c>
      <c r="DL18" s="69" t="str">
        <f aca="false">IF($E18="","",IF($M18,IF(AND($G18&gt;=DL$5,$G18&lt;DL$5+GanttPeriod),"◆",IF(AND($E18&gt;=DL$5,$E18&lt;DL$5+GanttPeriod),"◇","")),IF(AND(DL$5&lt;=$F18,DL$5+GanttPeriod-1&gt;=$E18),"━","")))</f>
        <v/>
      </c>
      <c r="DM18" s="69" t="str">
        <f aca="false">IF($E18="","",IF($M18,IF(AND($G18&gt;=DM$5,$G18&lt;DM$5+GanttPeriod),"◆",IF(AND($E18&gt;=DM$5,$E18&lt;DM$5+GanttPeriod),"◇","")),IF(AND(DM$5&lt;=$F18,DM$5+GanttPeriod-1&gt;=$E18),"━","")))</f>
        <v/>
      </c>
      <c r="DN18" s="69" t="str">
        <f aca="false">IF($E18="","",IF($M18,IF(AND($G18&gt;=DN$5,$G18&lt;DN$5+GanttPeriod),"◆",IF(AND($E18&gt;=DN$5,$E18&lt;DN$5+GanttPeriod),"◇","")),IF(AND(DN$5&lt;=$F18,DN$5+GanttPeriod-1&gt;=$E18),"━","")))</f>
        <v/>
      </c>
      <c r="DO18" s="69" t="str">
        <f aca="false">IF($E18="","",IF($M18,IF(AND($G18&gt;=DO$5,$G18&lt;DO$5+GanttPeriod),"◆",IF(AND($E18&gt;=DO$5,$E18&lt;DO$5+GanttPeriod),"◇","")),IF(AND(DO$5&lt;=$F18,DO$5+GanttPeriod-1&gt;=$E18),"━","")))</f>
        <v/>
      </c>
      <c r="DP18" s="69" t="str">
        <f aca="false">IF($E18="","",IF($M18,IF(AND($G18&gt;=DP$5,$G18&lt;DP$5+GanttPeriod),"◆",IF(AND($E18&gt;=DP$5,$E18&lt;DP$5+GanttPeriod),"◇","")),IF(AND(DP$5&lt;=$F18,DP$5+GanttPeriod-1&gt;=$E18),"━","")))</f>
        <v/>
      </c>
      <c r="DQ18" s="69" t="str">
        <f aca="false">IF($E18="","",IF($M18,IF(AND($G18&gt;=DQ$5,$G18&lt;DQ$5+GanttPeriod),"◆",IF(AND($E18&gt;=DQ$5,$E18&lt;DQ$5+GanttPeriod),"◇","")),IF(AND(DQ$5&lt;=$F18,DQ$5+GanttPeriod-1&gt;=$E18),"━","")))</f>
        <v/>
      </c>
      <c r="DR18" s="69" t="str">
        <f aca="false">IF($E18="","",IF($M18,IF(AND($G18&gt;=DR$5,$G18&lt;DR$5+GanttPeriod),"◆",IF(AND($E18&gt;=DR$5,$E18&lt;DR$5+GanttPeriod),"◇","")),IF(AND(DR$5&lt;=$F18,DR$5+GanttPeriod-1&gt;=$E18),"━","")))</f>
        <v/>
      </c>
      <c r="DS18" s="69" t="str">
        <f aca="false">IF($E18="","",IF($M18,IF(AND($G18&gt;=DS$5,$G18&lt;DS$5+GanttPeriod),"◆",IF(AND($E18&gt;=DS$5,$E18&lt;DS$5+GanttPeriod),"◇","")),IF(AND(DS$5&lt;=$F18,DS$5+GanttPeriod-1&gt;=$E18),"━","")))</f>
        <v/>
      </c>
      <c r="DT18" s="69" t="str">
        <f aca="false">IF($E18="","",IF($M18,IF(AND($G18&gt;=DT$5,$G18&lt;DT$5+GanttPeriod),"◆",IF(AND($E18&gt;=DT$5,$E18&lt;DT$5+GanttPeriod),"◇","")),IF(AND(DT$5&lt;=$F18,DT$5+GanttPeriod-1&gt;=$E18),"━","")))</f>
        <v/>
      </c>
      <c r="DU18" s="69" t="str">
        <f aca="false">IF($E18="","",IF($M18,IF(AND($G18&gt;=DU$5,$G18&lt;DU$5+GanttPeriod),"◆",IF(AND($E18&gt;=DU$5,$E18&lt;DU$5+GanttPeriod),"◇","")),IF(AND(DU$5&lt;=$F18,DU$5+GanttPeriod-1&gt;=$E18),"━","")))</f>
        <v/>
      </c>
      <c r="DV18" s="69" t="str">
        <f aca="false">IF($E18="","",IF($M18,IF(AND($G18&gt;=DV$5,$G18&lt;DV$5+GanttPeriod),"◆",IF(AND($E18&gt;=DV$5,$E18&lt;DV$5+GanttPeriod),"◇","")),IF(AND(DV$5&lt;=$F18,DV$5+GanttPeriod-1&gt;=$E18),"━","")))</f>
        <v/>
      </c>
      <c r="DW18" s="69" t="str">
        <f aca="false">IF($E18="","",IF($M18,IF(AND($G18&gt;=DW$5,$G18&lt;DW$5+GanttPeriod),"◆",IF(AND($E18&gt;=DW$5,$E18&lt;DW$5+GanttPeriod),"◇","")),IF(AND(DW$5&lt;=$F18,DW$5+GanttPeriod-1&gt;=$E18),"━","")))</f>
        <v/>
      </c>
      <c r="DX18" s="69" t="str">
        <f aca="false">IF($E18="","",IF($M18,IF(AND($G18&gt;=DX$5,$G18&lt;DX$5+GanttPeriod),"◆",IF(AND($E18&gt;=DX$5,$E18&lt;DX$5+GanttPeriod),"◇","")),IF(AND(DX$5&lt;=$F18,DX$5+GanttPeriod-1&gt;=$E18),"━","")))</f>
        <v/>
      </c>
      <c r="DY18" s="69" t="str">
        <f aca="false">IF($E18="","",IF($M18,IF(AND($G18&gt;=DY$5,$G18&lt;DY$5+GanttPeriod),"◆",IF(AND($E18&gt;=DY$5,$E18&lt;DY$5+GanttPeriod),"◇","")),IF(AND(DY$5&lt;=$F18,DY$5+GanttPeriod-1&gt;=$E18),"━","")))</f>
        <v/>
      </c>
      <c r="DZ18" s="69" t="str">
        <f aca="false">IF($E18="","",IF($M18,IF(AND($G18&gt;=DZ$5,$G18&lt;DZ$5+GanttPeriod),"◆",IF(AND($E18&gt;=DZ$5,$E18&lt;DZ$5+GanttPeriod),"◇","")),IF(AND(DZ$5&lt;=$F18,DZ$5+GanttPeriod-1&gt;=$E18),"━","")))</f>
        <v/>
      </c>
      <c r="EA18" s="69" t="str">
        <f aca="false">IF($E18="","",IF($M18,IF(AND($G18&gt;=EA$5,$G18&lt;EA$5+GanttPeriod),"◆",IF(AND($E18&gt;=EA$5,$E18&lt;EA$5+GanttPeriod),"◇","")),IF(AND(EA$5&lt;=$F18,EA$5+GanttPeriod-1&gt;=$E18),"━","")))</f>
        <v/>
      </c>
      <c r="EB18" s="69" t="str">
        <f aca="false">IF($E18="","",IF($M18,IF(AND($G18&gt;=EB$5,$G18&lt;EB$5+GanttPeriod),"◆",IF(AND($E18&gt;=EB$5,$E18&lt;EB$5+GanttPeriod),"◇","")),IF(AND(EB$5&lt;=$F18,EB$5+GanttPeriod-1&gt;=$E18),"━","")))</f>
        <v/>
      </c>
      <c r="EC18" s="69" t="str">
        <f aca="false">IF($E18="","",IF($M18,IF(AND($G18&gt;=EC$5,$G18&lt;EC$5+GanttPeriod),"◆",IF(AND($E18&gt;=EC$5,$E18&lt;EC$5+GanttPeriod),"◇","")),IF(AND(EC$5&lt;=$F18,EC$5+GanttPeriod-1&gt;=$E18),"━","")))</f>
        <v/>
      </c>
      <c r="ED18" s="69" t="str">
        <f aca="false">IF($E18="","",IF($M18,IF(AND($G18&gt;=ED$5,$G18&lt;ED$5+GanttPeriod),"◆",IF(AND($E18&gt;=ED$5,$E18&lt;ED$5+GanttPeriod),"◇","")),IF(AND(ED$5&lt;=$F18,ED$5+GanttPeriod-1&gt;=$E18),"━","")))</f>
        <v/>
      </c>
      <c r="EE18" s="69" t="str">
        <f aca="false">IF($E18="","",IF($M18,IF(AND($G18&gt;=EE$5,$G18&lt;EE$5+GanttPeriod),"◆",IF(AND($E18&gt;=EE$5,$E18&lt;EE$5+GanttPeriod),"◇","")),IF(AND(EE$5&lt;=$F18,EE$5+GanttPeriod-1&gt;=$E18),"━","")))</f>
        <v/>
      </c>
      <c r="EF18" s="69" t="str">
        <f aca="false">IF($E18="","",IF($M18,IF(AND($G18&gt;=EF$5,$G18&lt;EF$5+GanttPeriod),"◆",IF(AND($E18&gt;=EF$5,$E18&lt;EF$5+GanttPeriod),"◇","")),IF(AND(EF$5&lt;=$F18,EF$5+GanttPeriod-1&gt;=$E18),"━","")))</f>
        <v/>
      </c>
      <c r="EG18" s="69" t="str">
        <f aca="false">IF($E18="","",IF($M18,IF(AND($G18&gt;=EG$5,$G18&lt;EG$5+GanttPeriod),"◆",IF(AND($E18&gt;=EG$5,$E18&lt;EG$5+GanttPeriod),"◇","")),IF(AND(EG$5&lt;=$F18,EG$5+GanttPeriod-1&gt;=$E18),"━","")))</f>
        <v/>
      </c>
      <c r="EH18" s="69" t="str">
        <f aca="false">IF($E18="","",IF($M18,IF(AND($G18&gt;=EH$5,$G18&lt;EH$5+GanttPeriod),"◆",IF(AND($E18&gt;=EH$5,$E18&lt;EH$5+GanttPeriod),"◇","")),IF(AND(EH$5&lt;=$F18,EH$5+GanttPeriod-1&gt;=$E18),"━","")))</f>
        <v/>
      </c>
      <c r="EI18" s="69" t="str">
        <f aca="false">IF($E18="","",IF($M18,IF(AND($G18&gt;=EI$5,$G18&lt;EI$5+GanttPeriod),"◆",IF(AND($E18&gt;=EI$5,$E18&lt;EI$5+GanttPeriod),"◇","")),IF(AND(EI$5&lt;=$F18,EI$5+GanttPeriod-1&gt;=$E18),"━","")))</f>
        <v/>
      </c>
      <c r="EJ18" s="69" t="str">
        <f aca="false">IF($E18="","",IF($M18,IF(AND($G18&gt;=EJ$5,$G18&lt;EJ$5+GanttPeriod),"◆",IF(AND($E18&gt;=EJ$5,$E18&lt;EJ$5+GanttPeriod),"◇","")),IF(AND(EJ$5&lt;=$F18,EJ$5+GanttPeriod-1&gt;=$E18),"━","")))</f>
        <v/>
      </c>
      <c r="EK18" s="69" t="str">
        <f aca="false">IF($E18="","",IF($M18,IF(AND($G18&gt;=EK$5,$G18&lt;EK$5+GanttPeriod),"◆",IF(AND($E18&gt;=EK$5,$E18&lt;EK$5+GanttPeriod),"◇","")),IF(AND(EK$5&lt;=$F18,EK$5+GanttPeriod-1&gt;=$E18),"━","")))</f>
        <v/>
      </c>
      <c r="EL18" s="69" t="str">
        <f aca="false">IF($E18="","",IF($M18,IF(AND($G18&gt;=EL$5,$G18&lt;EL$5+GanttPeriod),"◆",IF(AND($E18&gt;=EL$5,$E18&lt;EL$5+GanttPeriod),"◇","")),IF(AND(EL$5&lt;=$F18,EL$5+GanttPeriod-1&gt;=$E18),"━","")))</f>
        <v/>
      </c>
      <c r="EM18" s="69" t="str">
        <f aca="false">IF($E18="","",IF($M18,IF(AND($G18&gt;=EM$5,$G18&lt;EM$5+GanttPeriod),"◆",IF(AND($E18&gt;=EM$5,$E18&lt;EM$5+GanttPeriod),"◇","")),IF(AND(EM$5&lt;=$F18,EM$5+GanttPeriod-1&gt;=$E18),"━","")))</f>
        <v/>
      </c>
      <c r="EN18" s="69" t="str">
        <f aca="false">IF($E18="","",IF($M18,IF(AND($G18&gt;=EN$5,$G18&lt;EN$5+GanttPeriod),"◆",IF(AND($E18&gt;=EN$5,$E18&lt;EN$5+GanttPeriod),"◇","")),IF(AND(EN$5&lt;=$F18,EN$5+GanttPeriod-1&gt;=$E18),"━","")))</f>
        <v/>
      </c>
      <c r="EO18" s="69" t="str">
        <f aca="false">IF($E18="","",IF($M18,IF(AND($G18&gt;=EO$5,$G18&lt;EO$5+GanttPeriod),"◆",IF(AND($E18&gt;=EO$5,$E18&lt;EO$5+GanttPeriod),"◇","")),IF(AND(EO$5&lt;=$F18,EO$5+GanttPeriod-1&gt;=$E18),"━","")))</f>
        <v/>
      </c>
      <c r="EP18" s="69" t="str">
        <f aca="false">IF($E18="","",IF($M18,IF(AND($G18&gt;=EP$5,$G18&lt;EP$5+GanttPeriod),"◆",IF(AND($E18&gt;=EP$5,$E18&lt;EP$5+GanttPeriod),"◇","")),IF(AND(EP$5&lt;=$F18,EP$5+GanttPeriod-1&gt;=$E18),"━","")))</f>
        <v/>
      </c>
      <c r="EQ18" s="69" t="str">
        <f aca="false">IF($E18="","",IF($M18,IF(AND($G18&gt;=EQ$5,$G18&lt;EQ$5+GanttPeriod),"◆",IF(AND($E18&gt;=EQ$5,$E18&lt;EQ$5+GanttPeriod),"◇","")),IF(AND(EQ$5&lt;=$F18,EQ$5+GanttPeriod-1&gt;=$E18),"━","")))</f>
        <v/>
      </c>
      <c r="ER18" s="69" t="str">
        <f aca="false">IF($E18="","",IF($M18,IF(AND($G18&gt;=ER$5,$G18&lt;ER$5+GanttPeriod),"◆",IF(AND($E18&gt;=ER$5,$E18&lt;ER$5+GanttPeriod),"◇","")),IF(AND(ER$5&lt;=$F18,ER$5+GanttPeriod-1&gt;=$E18),"━","")))</f>
        <v/>
      </c>
      <c r="ES18" s="69" t="str">
        <f aca="false">IF($E18="","",IF($M18,IF(AND($G18&gt;=ES$5,$G18&lt;ES$5+GanttPeriod),"◆",IF(AND($E18&gt;=ES$5,$E18&lt;ES$5+GanttPeriod),"◇","")),IF(AND(ES$5&lt;=$F18,ES$5+GanttPeriod-1&gt;=$E18),"━","")))</f>
        <v/>
      </c>
      <c r="ET18" s="69" t="str">
        <f aca="false">IF($E18="","",IF($M18,IF(AND($G18&gt;=ET$5,$G18&lt;ET$5+GanttPeriod),"◆",IF(AND($E18&gt;=ET$5,$E18&lt;ET$5+GanttPeriod),"◇","")),IF(AND(ET$5&lt;=$F18,ET$5+GanttPeriod-1&gt;=$E18),"━","")))</f>
        <v/>
      </c>
      <c r="EU18" s="69" t="str">
        <f aca="false">IF($E18="","",IF($M18,IF(AND($G18&gt;=EU$5,$G18&lt;EU$5+GanttPeriod),"◆",IF(AND($E18&gt;=EU$5,$E18&lt;EU$5+GanttPeriod),"◇","")),IF(AND(EU$5&lt;=$F18,EU$5+GanttPeriod-1&gt;=$E18),"━","")))</f>
        <v/>
      </c>
      <c r="EV18" s="69" t="str">
        <f aca="false">IF($E18="","",IF($M18,IF(AND($G18&gt;=EV$5,$G18&lt;EV$5+GanttPeriod),"◆",IF(AND($E18&gt;=EV$5,$E18&lt;EV$5+GanttPeriod),"◇","")),IF(AND(EV$5&lt;=$F18,EV$5+GanttPeriod-1&gt;=$E18),"━","")))</f>
        <v/>
      </c>
      <c r="EW18" s="69" t="str">
        <f aca="false">IF($E18="","",IF($M18,IF(AND($G18&gt;=EW$5,$G18&lt;EW$5+GanttPeriod),"◆",IF(AND($E18&gt;=EW$5,$E18&lt;EW$5+GanttPeriod),"◇","")),IF(AND(EW$5&lt;=$F18,EW$5+GanttPeriod-1&gt;=$E18),"━","")))</f>
        <v/>
      </c>
      <c r="EX18" s="69" t="str">
        <f aca="false">IF($E18="","",IF($M18,IF(AND($G18&gt;=EX$5,$G18&lt;EX$5+GanttPeriod),"◆",IF(AND($E18&gt;=EX$5,$E18&lt;EX$5+GanttPeriod),"◇","")),IF(AND(EX$5&lt;=$F18,EX$5+GanttPeriod-1&gt;=$E18),"━","")))</f>
        <v/>
      </c>
      <c r="EY18" s="69" t="str">
        <f aca="false">IF($E18="","",IF($M18,IF(AND($G18&gt;=EY$5,$G18&lt;EY$5+GanttPeriod),"◆",IF(AND($E18&gt;=EY$5,$E18&lt;EY$5+GanttPeriod),"◇","")),IF(AND(EY$5&lt;=$F18,EY$5+GanttPeriod-1&gt;=$E18),"━","")))</f>
        <v/>
      </c>
      <c r="EZ18" s="69" t="str">
        <f aca="false">IF($E18="","",IF($M18,IF(AND($G18&gt;=EZ$5,$G18&lt;EZ$5+GanttPeriod),"◆",IF(AND($E18&gt;=EZ$5,$E18&lt;EZ$5+GanttPeriod),"◇","")),IF(AND(EZ$5&lt;=$F18,EZ$5+GanttPeriod-1&gt;=$E18),"━","")))</f>
        <v/>
      </c>
      <c r="FA18" s="69" t="str">
        <f aca="false">IF($E18="","",IF($M18,IF(AND($G18&gt;=FA$5,$G18&lt;FA$5+GanttPeriod),"◆",IF(AND($E18&gt;=FA$5,$E18&lt;FA$5+GanttPeriod),"◇","")),IF(AND(FA$5&lt;=$F18,FA$5+GanttPeriod-1&gt;=$E18),"━","")))</f>
        <v/>
      </c>
      <c r="FB18" s="69" t="str">
        <f aca="false">IF($E18="","",IF($M18,IF(AND($G18&gt;=FB$5,$G18&lt;FB$5+GanttPeriod),"◆",IF(AND($E18&gt;=FB$5,$E18&lt;FB$5+GanttPeriod),"◇","")),IF(AND(FB$5&lt;=$F18,FB$5+GanttPeriod-1&gt;=$E18),"━","")))</f>
        <v/>
      </c>
      <c r="FC18" s="69" t="str">
        <f aca="false">IF($E18="","",IF($M18,IF(AND($G18&gt;=FC$5,$G18&lt;FC$5+GanttPeriod),"◆",IF(AND($E18&gt;=FC$5,$E18&lt;FC$5+GanttPeriod),"◇","")),IF(AND(FC$5&lt;=$F18,FC$5+GanttPeriod-1&gt;=$E18),"━","")))</f>
        <v/>
      </c>
      <c r="FD18" s="69" t="str">
        <f aca="false">IF($E18="","",IF($M18,IF(AND($G18&gt;=FD$5,$G18&lt;FD$5+GanttPeriod),"◆",IF(AND($E18&gt;=FD$5,$E18&lt;FD$5+GanttPeriod),"◇","")),IF(AND(FD$5&lt;=$F18,FD$5+GanttPeriod-1&gt;=$E18),"━","")))</f>
        <v/>
      </c>
      <c r="FE18" s="69" t="str">
        <f aca="false">IF($E18="","",IF($M18,IF(AND($G18&gt;=FE$5,$G18&lt;FE$5+GanttPeriod),"◆",IF(AND($E18&gt;=FE$5,$E18&lt;FE$5+GanttPeriod),"◇","")),IF(AND(FE$5&lt;=$F18,FE$5+GanttPeriod-1&gt;=$E18),"━","")))</f>
        <v/>
      </c>
      <c r="FF18" s="69" t="str">
        <f aca="false">IF($E18="","",IF($M18,IF(AND($G18&gt;=FF$5,$G18&lt;FF$5+GanttPeriod),"◆",IF(AND($E18&gt;=FF$5,$E18&lt;FF$5+GanttPeriod),"◇","")),IF(AND(FF$5&lt;=$F18,FF$5+GanttPeriod-1&gt;=$E18),"━","")))</f>
        <v/>
      </c>
      <c r="FG18" s="69" t="str">
        <f aca="false">IF($E18="","",IF($M18,IF(AND($G18&gt;=FG$5,$G18&lt;FG$5+GanttPeriod),"◆",IF(AND($E18&gt;=FG$5,$E18&lt;FG$5+GanttPeriod),"◇","")),IF(AND(FG$5&lt;=$F18,FG$5+GanttPeriod-1&gt;=$E18),"━","")))</f>
        <v/>
      </c>
      <c r="FH18" s="69" t="str">
        <f aca="false">IF($E18="","",IF($M18,IF(AND($G18&gt;=FH$5,$G18&lt;FH$5+GanttPeriod),"◆",IF(AND($E18&gt;=FH$5,$E18&lt;FH$5+GanttPeriod),"◇","")),IF(AND(FH$5&lt;=$F18,FH$5+GanttPeriod-1&gt;=$E18),"━","")))</f>
        <v/>
      </c>
      <c r="FI18" s="69" t="str">
        <f aca="false">IF($E18="","",IF($M18,IF(AND($G18&gt;=FI$5,$G18&lt;FI$5+GanttPeriod),"◆",IF(AND($E18&gt;=FI$5,$E18&lt;FI$5+GanttPeriod),"◇","")),IF(AND(FI$5&lt;=$F18,FI$5+GanttPeriod-1&gt;=$E18),"━","")))</f>
        <v/>
      </c>
      <c r="FJ18" s="69" t="str">
        <f aca="false">IF($E18="","",IF($M18,IF(AND($G18&gt;=FJ$5,$G18&lt;FJ$5+GanttPeriod),"◆",IF(AND($E18&gt;=FJ$5,$E18&lt;FJ$5+GanttPeriod),"◇","")),IF(AND(FJ$5&lt;=$F18,FJ$5+GanttPeriod-1&gt;=$E18),"━","")))</f>
        <v/>
      </c>
      <c r="FK18" s="69" t="str">
        <f aca="false">IF($E18="","",IF($M18,IF(AND($G18&gt;=FK$5,$G18&lt;FK$5+GanttPeriod),"◆",IF(AND($E18&gt;=FK$5,$E18&lt;FK$5+GanttPeriod),"◇","")),IF(AND(FK$5&lt;=$F18,FK$5+GanttPeriod-1&gt;=$E18),"━","")))</f>
        <v/>
      </c>
      <c r="FL18" s="69" t="str">
        <f aca="false">IF($E18="","",IF($M18,IF(AND($G18&gt;=FL$5,$G18&lt;FL$5+GanttPeriod),"◆",IF(AND($E18&gt;=FL$5,$E18&lt;FL$5+GanttPeriod),"◇","")),IF(AND(FL$5&lt;=$F18,FL$5+GanttPeriod-1&gt;=$E18),"━","")))</f>
        <v/>
      </c>
      <c r="FM18" s="69" t="str">
        <f aca="false">IF($E18="","",IF($M18,IF(AND($G18&gt;=FM$5,$G18&lt;FM$5+GanttPeriod),"◆",IF(AND($E18&gt;=FM$5,$E18&lt;FM$5+GanttPeriod),"◇","")),IF(AND(FM$5&lt;=$F18,FM$5+GanttPeriod-1&gt;=$E18),"━","")))</f>
        <v/>
      </c>
    </row>
    <row r="19" customFormat="false" ht="15" hidden="false" customHeight="false" outlineLevel="0" collapsed="false">
      <c r="A19" s="62" t="n">
        <f aca="false">IF(Tasks!$D19="","",Tasks!$A19)</f>
        <v>14</v>
      </c>
      <c r="B19" s="62" t="str">
        <f aca="false">IF(Tasks!$D19="","",Tasks!$B19)</f>
        <v>3.1.3</v>
      </c>
      <c r="C19" s="63" t="str">
        <f aca="false">IF(Tasks!$D19="","",REPT("    ",Tasks!$AE19-1)&amp;Tasks!$D19)</f>
        <v>        Payment gateway integration</v>
      </c>
      <c r="D19" s="62" t="n">
        <f aca="false">IF(Tasks!$D19="","",IF(Tasks!$AI19,NETWORKDAYS.INTL(Tasks!$R19,Tasks!$S19,WorkWeek,Holidays),N(Tasks!$F19)))</f>
        <v>6</v>
      </c>
      <c r="E19" s="64" t="n">
        <f aca="false">IF(Tasks!$D19="","",Tasks!$N19)</f>
        <v>46318</v>
      </c>
      <c r="F19" s="64" t="n">
        <f aca="false">IF(Tasks!$D19="","",Tasks!$O19)</f>
        <v>46325</v>
      </c>
      <c r="G19" s="64" t="n">
        <f aca="false">IF(Tasks!$D19="","",Tasks!$R19)</f>
        <v>46328</v>
      </c>
      <c r="H19" s="64" t="n">
        <f aca="false">IF(Tasks!$D19="","",Tasks!$S19)</f>
        <v>46335</v>
      </c>
      <c r="I19" s="65" t="n">
        <f aca="false">IF(Tasks!$D19="","",Tasks!$V19)</f>
        <v>0</v>
      </c>
      <c r="J19" s="63" t="str">
        <f aca="false">IF(Tasks!$D19="","",Tasks!$X19&amp;"")</f>
        <v>Jordan Lee</v>
      </c>
      <c r="K19" s="66" t="str">
        <f aca="false">IF(Tasks!$D19="","",Tasks!$W19)</f>
        <v>Late Start</v>
      </c>
      <c r="L19" s="67" t="b">
        <f aca="false">IF(Tasks!$D19="",FALSE(),Tasks!$AI19)</f>
        <v>0</v>
      </c>
      <c r="M19" s="67" t="b">
        <f aca="false">AND(Tasks!$AJ19=1,N(Tasks!$F19)=0)</f>
        <v>0</v>
      </c>
      <c r="N19" s="68" t="n">
        <f aca="false">IF(AND(Tasks!$AJ19=1,NOT($M19),N($I19)&gt;0),$G19,0)</f>
        <v>0</v>
      </c>
      <c r="O19" s="68" t="n">
        <f aca="false">IF($N19=0,0,IF($I19&gt;=1,$H19,MAX($N19,$G19+ROUND(($H19-$G19+1)*$I19,0)-1)))</f>
        <v>0</v>
      </c>
      <c r="P19" s="68" t="n">
        <f aca="false">IF(OR(Tasks!$AJ19&lt;&gt;1,$M19,N($I19)&gt;=1),0,IF($O19&gt;0,$O19+1,$G19))</f>
        <v>46328</v>
      </c>
      <c r="Q19" s="68" t="n">
        <f aca="false">IF($P19=0,0,$H19)</f>
        <v>46335</v>
      </c>
      <c r="R19" s="67" t="b">
        <f aca="false">AND(Tasks!$D19&lt;&gt;"",N(Tasks!$T19)&gt;0)</f>
        <v>1</v>
      </c>
      <c r="T19" s="69" t="str">
        <f aca="false">IF($E19="","",IF($M19,IF(AND($G19&gt;=T$5,$G19&lt;T$5+GanttPeriod),"◆",IF(AND($E19&gt;=T$5,$E19&lt;T$5+GanttPeriod),"◇","")),IF(AND(T$5&lt;=$F19,T$5+GanttPeriod-1&gt;=$E19),"━","")))</f>
        <v/>
      </c>
      <c r="U19" s="69" t="str">
        <f aca="false">IF($E19="","",IF($M19,IF(AND($G19&gt;=U$5,$G19&lt;U$5+GanttPeriod),"◆",IF(AND($E19&gt;=U$5,$E19&lt;U$5+GanttPeriod),"◇","")),IF(AND(U$5&lt;=$F19,U$5+GanttPeriod-1&gt;=$E19),"━","")))</f>
        <v/>
      </c>
      <c r="V19" s="69" t="str">
        <f aca="false">IF($E19="","",IF($M19,IF(AND($G19&gt;=V$5,$G19&lt;V$5+GanttPeriod),"◆",IF(AND($E19&gt;=V$5,$E19&lt;V$5+GanttPeriod),"◇","")),IF(AND(V$5&lt;=$F19,V$5+GanttPeriod-1&gt;=$E19),"━","")))</f>
        <v/>
      </c>
      <c r="W19" s="69" t="str">
        <f aca="false">IF($E19="","",IF($M19,IF(AND($G19&gt;=W$5,$G19&lt;W$5+GanttPeriod),"◆",IF(AND($E19&gt;=W$5,$E19&lt;W$5+GanttPeriod),"◇","")),IF(AND(W$5&lt;=$F19,W$5+GanttPeriod-1&gt;=$E19),"━","")))</f>
        <v/>
      </c>
      <c r="X19" s="69" t="str">
        <f aca="false">IF($E19="","",IF($M19,IF(AND($G19&gt;=X$5,$G19&lt;X$5+GanttPeriod),"◆",IF(AND($E19&gt;=X$5,$E19&lt;X$5+GanttPeriod),"◇","")),IF(AND(X$5&lt;=$F19,X$5+GanttPeriod-1&gt;=$E19),"━","")))</f>
        <v/>
      </c>
      <c r="Y19" s="69" t="str">
        <f aca="false">IF($E19="","",IF($M19,IF(AND($G19&gt;=Y$5,$G19&lt;Y$5+GanttPeriod),"◆",IF(AND($E19&gt;=Y$5,$E19&lt;Y$5+GanttPeriod),"◇","")),IF(AND(Y$5&lt;=$F19,Y$5+GanttPeriod-1&gt;=$E19),"━","")))</f>
        <v/>
      </c>
      <c r="Z19" s="69" t="str">
        <f aca="false">IF($E19="","",IF($M19,IF(AND($G19&gt;=Z$5,$G19&lt;Z$5+GanttPeriod),"◆",IF(AND($E19&gt;=Z$5,$E19&lt;Z$5+GanttPeriod),"◇","")),IF(AND(Z$5&lt;=$F19,Z$5+GanttPeriod-1&gt;=$E19),"━","")))</f>
        <v/>
      </c>
      <c r="AA19" s="69" t="str">
        <f aca="false">IF($E19="","",IF($M19,IF(AND($G19&gt;=AA$5,$G19&lt;AA$5+GanttPeriod),"◆",IF(AND($E19&gt;=AA$5,$E19&lt;AA$5+GanttPeriod),"◇","")),IF(AND(AA$5&lt;=$F19,AA$5+GanttPeriod-1&gt;=$E19),"━","")))</f>
        <v/>
      </c>
      <c r="AB19" s="69" t="str">
        <f aca="false">IF($E19="","",IF($M19,IF(AND($G19&gt;=AB$5,$G19&lt;AB$5+GanttPeriod),"◆",IF(AND($E19&gt;=AB$5,$E19&lt;AB$5+GanttPeriod),"◇","")),IF(AND(AB$5&lt;=$F19,AB$5+GanttPeriod-1&gt;=$E19),"━","")))</f>
        <v/>
      </c>
      <c r="AC19" s="69" t="str">
        <f aca="false">IF($E19="","",IF($M19,IF(AND($G19&gt;=AC$5,$G19&lt;AC$5+GanttPeriod),"◆",IF(AND($E19&gt;=AC$5,$E19&lt;AC$5+GanttPeriod),"◇","")),IF(AND(AC$5&lt;=$F19,AC$5+GanttPeriod-1&gt;=$E19),"━","")))</f>
        <v/>
      </c>
      <c r="AD19" s="69" t="str">
        <f aca="false">IF($E19="","",IF($M19,IF(AND($G19&gt;=AD$5,$G19&lt;AD$5+GanttPeriod),"◆",IF(AND($E19&gt;=AD$5,$E19&lt;AD$5+GanttPeriod),"◇","")),IF(AND(AD$5&lt;=$F19,AD$5+GanttPeriod-1&gt;=$E19),"━","")))</f>
        <v/>
      </c>
      <c r="AE19" s="69" t="str">
        <f aca="false">IF($E19="","",IF($M19,IF(AND($G19&gt;=AE$5,$G19&lt;AE$5+GanttPeriod),"◆",IF(AND($E19&gt;=AE$5,$E19&lt;AE$5+GanttPeriod),"◇","")),IF(AND(AE$5&lt;=$F19,AE$5+GanttPeriod-1&gt;=$E19),"━","")))</f>
        <v/>
      </c>
      <c r="AF19" s="69" t="str">
        <f aca="false">IF($E19="","",IF($M19,IF(AND($G19&gt;=AF$5,$G19&lt;AF$5+GanttPeriod),"◆",IF(AND($E19&gt;=AF$5,$E19&lt;AF$5+GanttPeriod),"◇","")),IF(AND(AF$5&lt;=$F19,AF$5+GanttPeriod-1&gt;=$E19),"━","")))</f>
        <v/>
      </c>
      <c r="AG19" s="69" t="str">
        <f aca="false">IF($E19="","",IF($M19,IF(AND($G19&gt;=AG$5,$G19&lt;AG$5+GanttPeriod),"◆",IF(AND($E19&gt;=AG$5,$E19&lt;AG$5+GanttPeriod),"◇","")),IF(AND(AG$5&lt;=$F19,AG$5+GanttPeriod-1&gt;=$E19),"━","")))</f>
        <v/>
      </c>
      <c r="AH19" s="69" t="str">
        <f aca="false">IF($E19="","",IF($M19,IF(AND($G19&gt;=AH$5,$G19&lt;AH$5+GanttPeriod),"◆",IF(AND($E19&gt;=AH$5,$E19&lt;AH$5+GanttPeriod),"◇","")),IF(AND(AH$5&lt;=$F19,AH$5+GanttPeriod-1&gt;=$E19),"━","")))</f>
        <v/>
      </c>
      <c r="AI19" s="69" t="str">
        <f aca="false">IF($E19="","",IF($M19,IF(AND($G19&gt;=AI$5,$G19&lt;AI$5+GanttPeriod),"◆",IF(AND($E19&gt;=AI$5,$E19&lt;AI$5+GanttPeriod),"◇","")),IF(AND(AI$5&lt;=$F19,AI$5+GanttPeriod-1&gt;=$E19),"━","")))</f>
        <v/>
      </c>
      <c r="AJ19" s="69" t="str">
        <f aca="false">IF($E19="","",IF($M19,IF(AND($G19&gt;=AJ$5,$G19&lt;AJ$5+GanttPeriod),"◆",IF(AND($E19&gt;=AJ$5,$E19&lt;AJ$5+GanttPeriod),"◇","")),IF(AND(AJ$5&lt;=$F19,AJ$5+GanttPeriod-1&gt;=$E19),"━","")))</f>
        <v/>
      </c>
      <c r="AK19" s="69" t="str">
        <f aca="false">IF($E19="","",IF($M19,IF(AND($G19&gt;=AK$5,$G19&lt;AK$5+GanttPeriod),"◆",IF(AND($E19&gt;=AK$5,$E19&lt;AK$5+GanttPeriod),"◇","")),IF(AND(AK$5&lt;=$F19,AK$5+GanttPeriod-1&gt;=$E19),"━","")))</f>
        <v/>
      </c>
      <c r="AL19" s="69" t="str">
        <f aca="false">IF($E19="","",IF($M19,IF(AND($G19&gt;=AL$5,$G19&lt;AL$5+GanttPeriod),"◆",IF(AND($E19&gt;=AL$5,$E19&lt;AL$5+GanttPeriod),"◇","")),IF(AND(AL$5&lt;=$F19,AL$5+GanttPeriod-1&gt;=$E19),"━","")))</f>
        <v/>
      </c>
      <c r="AM19" s="69" t="str">
        <f aca="false">IF($E19="","",IF($M19,IF(AND($G19&gt;=AM$5,$G19&lt;AM$5+GanttPeriod),"◆",IF(AND($E19&gt;=AM$5,$E19&lt;AM$5+GanttPeriod),"◇","")),IF(AND(AM$5&lt;=$F19,AM$5+GanttPeriod-1&gt;=$E19),"━","")))</f>
        <v/>
      </c>
      <c r="AN19" s="69" t="str">
        <f aca="false">IF($E19="","",IF($M19,IF(AND($G19&gt;=AN$5,$G19&lt;AN$5+GanttPeriod),"◆",IF(AND($E19&gt;=AN$5,$E19&lt;AN$5+GanttPeriod),"◇","")),IF(AND(AN$5&lt;=$F19,AN$5+GanttPeriod-1&gt;=$E19),"━","")))</f>
        <v/>
      </c>
      <c r="AO19" s="69" t="str">
        <f aca="false">IF($E19="","",IF($M19,IF(AND($G19&gt;=AO$5,$G19&lt;AO$5+GanttPeriod),"◆",IF(AND($E19&gt;=AO$5,$E19&lt;AO$5+GanttPeriod),"◇","")),IF(AND(AO$5&lt;=$F19,AO$5+GanttPeriod-1&gt;=$E19),"━","")))</f>
        <v/>
      </c>
      <c r="AP19" s="69" t="str">
        <f aca="false">IF($E19="","",IF($M19,IF(AND($G19&gt;=AP$5,$G19&lt;AP$5+GanttPeriod),"◆",IF(AND($E19&gt;=AP$5,$E19&lt;AP$5+GanttPeriod),"◇","")),IF(AND(AP$5&lt;=$F19,AP$5+GanttPeriod-1&gt;=$E19),"━","")))</f>
        <v/>
      </c>
      <c r="AQ19" s="69" t="str">
        <f aca="false">IF($E19="","",IF($M19,IF(AND($G19&gt;=AQ$5,$G19&lt;AQ$5+GanttPeriod),"◆",IF(AND($E19&gt;=AQ$5,$E19&lt;AQ$5+GanttPeriod),"◇","")),IF(AND(AQ$5&lt;=$F19,AQ$5+GanttPeriod-1&gt;=$E19),"━","")))</f>
        <v/>
      </c>
      <c r="AR19" s="69" t="str">
        <f aca="false">IF($E19="","",IF($M19,IF(AND($G19&gt;=AR$5,$G19&lt;AR$5+GanttPeriod),"◆",IF(AND($E19&gt;=AR$5,$E19&lt;AR$5+GanttPeriod),"◇","")),IF(AND(AR$5&lt;=$F19,AR$5+GanttPeriod-1&gt;=$E19),"━","")))</f>
        <v/>
      </c>
      <c r="AS19" s="69" t="str">
        <f aca="false">IF($E19="","",IF($M19,IF(AND($G19&gt;=AS$5,$G19&lt;AS$5+GanttPeriod),"◆",IF(AND($E19&gt;=AS$5,$E19&lt;AS$5+GanttPeriod),"◇","")),IF(AND(AS$5&lt;=$F19,AS$5+GanttPeriod-1&gt;=$E19),"━","")))</f>
        <v/>
      </c>
      <c r="AT19" s="69" t="str">
        <f aca="false">IF($E19="","",IF($M19,IF(AND($G19&gt;=AT$5,$G19&lt;AT$5+GanttPeriod),"◆",IF(AND($E19&gt;=AT$5,$E19&lt;AT$5+GanttPeriod),"◇","")),IF(AND(AT$5&lt;=$F19,AT$5+GanttPeriod-1&gt;=$E19),"━","")))</f>
        <v/>
      </c>
      <c r="AU19" s="69" t="str">
        <f aca="false">IF($E19="","",IF($M19,IF(AND($G19&gt;=AU$5,$G19&lt;AU$5+GanttPeriod),"◆",IF(AND($E19&gt;=AU$5,$E19&lt;AU$5+GanttPeriod),"◇","")),IF(AND(AU$5&lt;=$F19,AU$5+GanttPeriod-1&gt;=$E19),"━","")))</f>
        <v/>
      </c>
      <c r="AV19" s="69" t="str">
        <f aca="false">IF($E19="","",IF($M19,IF(AND($G19&gt;=AV$5,$G19&lt;AV$5+GanttPeriod),"◆",IF(AND($E19&gt;=AV$5,$E19&lt;AV$5+GanttPeriod),"◇","")),IF(AND(AV$5&lt;=$F19,AV$5+GanttPeriod-1&gt;=$E19),"━","")))</f>
        <v/>
      </c>
      <c r="AW19" s="69" t="str">
        <f aca="false">IF($E19="","",IF($M19,IF(AND($G19&gt;=AW$5,$G19&lt;AW$5+GanttPeriod),"◆",IF(AND($E19&gt;=AW$5,$E19&lt;AW$5+GanttPeriod),"◇","")),IF(AND(AW$5&lt;=$F19,AW$5+GanttPeriod-1&gt;=$E19),"━","")))</f>
        <v/>
      </c>
      <c r="AX19" s="69" t="str">
        <f aca="false">IF($E19="","",IF($M19,IF(AND($G19&gt;=AX$5,$G19&lt;AX$5+GanttPeriod),"◆",IF(AND($E19&gt;=AX$5,$E19&lt;AX$5+GanttPeriod),"◇","")),IF(AND(AX$5&lt;=$F19,AX$5+GanttPeriod-1&gt;=$E19),"━","")))</f>
        <v/>
      </c>
      <c r="AY19" s="69" t="str">
        <f aca="false">IF($E19="","",IF($M19,IF(AND($G19&gt;=AY$5,$G19&lt;AY$5+GanttPeriod),"◆",IF(AND($E19&gt;=AY$5,$E19&lt;AY$5+GanttPeriod),"◇","")),IF(AND(AY$5&lt;=$F19,AY$5+GanttPeriod-1&gt;=$E19),"━","")))</f>
        <v/>
      </c>
      <c r="AZ19" s="69" t="str">
        <f aca="false">IF($E19="","",IF($M19,IF(AND($G19&gt;=AZ$5,$G19&lt;AZ$5+GanttPeriod),"◆",IF(AND($E19&gt;=AZ$5,$E19&lt;AZ$5+GanttPeriod),"◇","")),IF(AND(AZ$5&lt;=$F19,AZ$5+GanttPeriod-1&gt;=$E19),"━","")))</f>
        <v/>
      </c>
      <c r="BA19" s="69" t="str">
        <f aca="false">IF($E19="","",IF($M19,IF(AND($G19&gt;=BA$5,$G19&lt;BA$5+GanttPeriod),"◆",IF(AND($E19&gt;=BA$5,$E19&lt;BA$5+GanttPeriod),"◇","")),IF(AND(BA$5&lt;=$F19,BA$5+GanttPeriod-1&gt;=$E19),"━","")))</f>
        <v/>
      </c>
      <c r="BB19" s="69" t="str">
        <f aca="false">IF($E19="","",IF($M19,IF(AND($G19&gt;=BB$5,$G19&lt;BB$5+GanttPeriod),"◆",IF(AND($E19&gt;=BB$5,$E19&lt;BB$5+GanttPeriod),"◇","")),IF(AND(BB$5&lt;=$F19,BB$5+GanttPeriod-1&gt;=$E19),"━","")))</f>
        <v/>
      </c>
      <c r="BC19" s="69" t="str">
        <f aca="false">IF($E19="","",IF($M19,IF(AND($G19&gt;=BC$5,$G19&lt;BC$5+GanttPeriod),"◆",IF(AND($E19&gt;=BC$5,$E19&lt;BC$5+GanttPeriod),"◇","")),IF(AND(BC$5&lt;=$F19,BC$5+GanttPeriod-1&gt;=$E19),"━","")))</f>
        <v/>
      </c>
      <c r="BD19" s="69" t="str">
        <f aca="false">IF($E19="","",IF($M19,IF(AND($G19&gt;=BD$5,$G19&lt;BD$5+GanttPeriod),"◆",IF(AND($E19&gt;=BD$5,$E19&lt;BD$5+GanttPeriod),"◇","")),IF(AND(BD$5&lt;=$F19,BD$5+GanttPeriod-1&gt;=$E19),"━","")))</f>
        <v/>
      </c>
      <c r="BE19" s="69" t="str">
        <f aca="false">IF($E19="","",IF($M19,IF(AND($G19&gt;=BE$5,$G19&lt;BE$5+GanttPeriod),"◆",IF(AND($E19&gt;=BE$5,$E19&lt;BE$5+GanttPeriod),"◇","")),IF(AND(BE$5&lt;=$F19,BE$5+GanttPeriod-1&gt;=$E19),"━","")))</f>
        <v/>
      </c>
      <c r="BF19" s="69" t="str">
        <f aca="false">IF($E19="","",IF($M19,IF(AND($G19&gt;=BF$5,$G19&lt;BF$5+GanttPeriod),"◆",IF(AND($E19&gt;=BF$5,$E19&lt;BF$5+GanttPeriod),"◇","")),IF(AND(BF$5&lt;=$F19,BF$5+GanttPeriod-1&gt;=$E19),"━","")))</f>
        <v/>
      </c>
      <c r="BG19" s="69" t="str">
        <f aca="false">IF($E19="","",IF($M19,IF(AND($G19&gt;=BG$5,$G19&lt;BG$5+GanttPeriod),"◆",IF(AND($E19&gt;=BG$5,$E19&lt;BG$5+GanttPeriod),"◇","")),IF(AND(BG$5&lt;=$F19,BG$5+GanttPeriod-1&gt;=$E19),"━","")))</f>
        <v/>
      </c>
      <c r="BH19" s="69" t="str">
        <f aca="false">IF($E19="","",IF($M19,IF(AND($G19&gt;=BH$5,$G19&lt;BH$5+GanttPeriod),"◆",IF(AND($E19&gt;=BH$5,$E19&lt;BH$5+GanttPeriod),"◇","")),IF(AND(BH$5&lt;=$F19,BH$5+GanttPeriod-1&gt;=$E19),"━","")))</f>
        <v/>
      </c>
      <c r="BI19" s="69" t="str">
        <f aca="false">IF($E19="","",IF($M19,IF(AND($G19&gt;=BI$5,$G19&lt;BI$5+GanttPeriod),"◆",IF(AND($E19&gt;=BI$5,$E19&lt;BI$5+GanttPeriod),"◇","")),IF(AND(BI$5&lt;=$F19,BI$5+GanttPeriod-1&gt;=$E19),"━","")))</f>
        <v/>
      </c>
      <c r="BJ19" s="69" t="str">
        <f aca="false">IF($E19="","",IF($M19,IF(AND($G19&gt;=BJ$5,$G19&lt;BJ$5+GanttPeriod),"◆",IF(AND($E19&gt;=BJ$5,$E19&lt;BJ$5+GanttPeriod),"◇","")),IF(AND(BJ$5&lt;=$F19,BJ$5+GanttPeriod-1&gt;=$E19),"━","")))</f>
        <v/>
      </c>
      <c r="BK19" s="69" t="str">
        <f aca="false">IF($E19="","",IF($M19,IF(AND($G19&gt;=BK$5,$G19&lt;BK$5+GanttPeriod),"◆",IF(AND($E19&gt;=BK$5,$E19&lt;BK$5+GanttPeriod),"◇","")),IF(AND(BK$5&lt;=$F19,BK$5+GanttPeriod-1&gt;=$E19),"━","")))</f>
        <v/>
      </c>
      <c r="BL19" s="69" t="str">
        <f aca="false">IF($E19="","",IF($M19,IF(AND($G19&gt;=BL$5,$G19&lt;BL$5+GanttPeriod),"◆",IF(AND($E19&gt;=BL$5,$E19&lt;BL$5+GanttPeriod),"◇","")),IF(AND(BL$5&lt;=$F19,BL$5+GanttPeriod-1&gt;=$E19),"━","")))</f>
        <v/>
      </c>
      <c r="BM19" s="69" t="str">
        <f aca="false">IF($E19="","",IF($M19,IF(AND($G19&gt;=BM$5,$G19&lt;BM$5+GanttPeriod),"◆",IF(AND($E19&gt;=BM$5,$E19&lt;BM$5+GanttPeriod),"◇","")),IF(AND(BM$5&lt;=$F19,BM$5+GanttPeriod-1&gt;=$E19),"━","")))</f>
        <v/>
      </c>
      <c r="BN19" s="69" t="str">
        <f aca="false">IF($E19="","",IF($M19,IF(AND($G19&gt;=BN$5,$G19&lt;BN$5+GanttPeriod),"◆",IF(AND($E19&gt;=BN$5,$E19&lt;BN$5+GanttPeriod),"◇","")),IF(AND(BN$5&lt;=$F19,BN$5+GanttPeriod-1&gt;=$E19),"━","")))</f>
        <v>━</v>
      </c>
      <c r="BO19" s="69" t="str">
        <f aca="false">IF($E19="","",IF($M19,IF(AND($G19&gt;=BO$5,$G19&lt;BO$5+GanttPeriod),"◆",IF(AND($E19&gt;=BO$5,$E19&lt;BO$5+GanttPeriod),"◇","")),IF(AND(BO$5&lt;=$F19,BO$5+GanttPeriod-1&gt;=$E19),"━","")))</f>
        <v>━</v>
      </c>
      <c r="BP19" s="69" t="str">
        <f aca="false">IF($E19="","",IF($M19,IF(AND($G19&gt;=BP$5,$G19&lt;BP$5+GanttPeriod),"◆",IF(AND($E19&gt;=BP$5,$E19&lt;BP$5+GanttPeriod),"◇","")),IF(AND(BP$5&lt;=$F19,BP$5+GanttPeriod-1&gt;=$E19),"━","")))</f>
        <v>━</v>
      </c>
      <c r="BQ19" s="69" t="str">
        <f aca="false">IF($E19="","",IF($M19,IF(AND($G19&gt;=BQ$5,$G19&lt;BQ$5+GanttPeriod),"◆",IF(AND($E19&gt;=BQ$5,$E19&lt;BQ$5+GanttPeriod),"◇","")),IF(AND(BQ$5&lt;=$F19,BQ$5+GanttPeriod-1&gt;=$E19),"━","")))</f>
        <v>━</v>
      </c>
      <c r="BR19" s="69" t="str">
        <f aca="false">IF($E19="","",IF($M19,IF(AND($G19&gt;=BR$5,$G19&lt;BR$5+GanttPeriod),"◆",IF(AND($E19&gt;=BR$5,$E19&lt;BR$5+GanttPeriod),"◇","")),IF(AND(BR$5&lt;=$F19,BR$5+GanttPeriod-1&gt;=$E19),"━","")))</f>
        <v>━</v>
      </c>
      <c r="BS19" s="69" t="str">
        <f aca="false">IF($E19="","",IF($M19,IF(AND($G19&gt;=BS$5,$G19&lt;BS$5+GanttPeriod),"◆",IF(AND($E19&gt;=BS$5,$E19&lt;BS$5+GanttPeriod),"◇","")),IF(AND(BS$5&lt;=$F19,BS$5+GanttPeriod-1&gt;=$E19),"━","")))</f>
        <v>━</v>
      </c>
      <c r="BT19" s="69" t="str">
        <f aca="false">IF($E19="","",IF($M19,IF(AND($G19&gt;=BT$5,$G19&lt;BT$5+GanttPeriod),"◆",IF(AND($E19&gt;=BT$5,$E19&lt;BT$5+GanttPeriod),"◇","")),IF(AND(BT$5&lt;=$F19,BT$5+GanttPeriod-1&gt;=$E19),"━","")))</f>
        <v>━</v>
      </c>
      <c r="BU19" s="69" t="str">
        <f aca="false">IF($E19="","",IF($M19,IF(AND($G19&gt;=BU$5,$G19&lt;BU$5+GanttPeriod),"◆",IF(AND($E19&gt;=BU$5,$E19&lt;BU$5+GanttPeriod),"◇","")),IF(AND(BU$5&lt;=$F19,BU$5+GanttPeriod-1&gt;=$E19),"━","")))</f>
        <v>━</v>
      </c>
      <c r="BV19" s="69" t="str">
        <f aca="false">IF($E19="","",IF($M19,IF(AND($G19&gt;=BV$5,$G19&lt;BV$5+GanttPeriod),"◆",IF(AND($E19&gt;=BV$5,$E19&lt;BV$5+GanttPeriod),"◇","")),IF(AND(BV$5&lt;=$F19,BV$5+GanttPeriod-1&gt;=$E19),"━","")))</f>
        <v/>
      </c>
      <c r="BW19" s="69" t="str">
        <f aca="false">IF($E19="","",IF($M19,IF(AND($G19&gt;=BW$5,$G19&lt;BW$5+GanttPeriod),"◆",IF(AND($E19&gt;=BW$5,$E19&lt;BW$5+GanttPeriod),"◇","")),IF(AND(BW$5&lt;=$F19,BW$5+GanttPeriod-1&gt;=$E19),"━","")))</f>
        <v/>
      </c>
      <c r="BX19" s="69" t="str">
        <f aca="false">IF($E19="","",IF($M19,IF(AND($G19&gt;=BX$5,$G19&lt;BX$5+GanttPeriod),"◆",IF(AND($E19&gt;=BX$5,$E19&lt;BX$5+GanttPeriod),"◇","")),IF(AND(BX$5&lt;=$F19,BX$5+GanttPeriod-1&gt;=$E19),"━","")))</f>
        <v/>
      </c>
      <c r="BY19" s="69" t="str">
        <f aca="false">IF($E19="","",IF($M19,IF(AND($G19&gt;=BY$5,$G19&lt;BY$5+GanttPeriod),"◆",IF(AND($E19&gt;=BY$5,$E19&lt;BY$5+GanttPeriod),"◇","")),IF(AND(BY$5&lt;=$F19,BY$5+GanttPeriod-1&gt;=$E19),"━","")))</f>
        <v/>
      </c>
      <c r="BZ19" s="69" t="str">
        <f aca="false">IF($E19="","",IF($M19,IF(AND($G19&gt;=BZ$5,$G19&lt;BZ$5+GanttPeriod),"◆",IF(AND($E19&gt;=BZ$5,$E19&lt;BZ$5+GanttPeriod),"◇","")),IF(AND(BZ$5&lt;=$F19,BZ$5+GanttPeriod-1&gt;=$E19),"━","")))</f>
        <v/>
      </c>
      <c r="CA19" s="69" t="str">
        <f aca="false">IF($E19="","",IF($M19,IF(AND($G19&gt;=CA$5,$G19&lt;CA$5+GanttPeriod),"◆",IF(AND($E19&gt;=CA$5,$E19&lt;CA$5+GanttPeriod),"◇","")),IF(AND(CA$5&lt;=$F19,CA$5+GanttPeriod-1&gt;=$E19),"━","")))</f>
        <v/>
      </c>
      <c r="CB19" s="69" t="str">
        <f aca="false">IF($E19="","",IF($M19,IF(AND($G19&gt;=CB$5,$G19&lt;CB$5+GanttPeriod),"◆",IF(AND($E19&gt;=CB$5,$E19&lt;CB$5+GanttPeriod),"◇","")),IF(AND(CB$5&lt;=$F19,CB$5+GanttPeriod-1&gt;=$E19),"━","")))</f>
        <v/>
      </c>
      <c r="CC19" s="69" t="str">
        <f aca="false">IF($E19="","",IF($M19,IF(AND($G19&gt;=CC$5,$G19&lt;CC$5+GanttPeriod),"◆",IF(AND($E19&gt;=CC$5,$E19&lt;CC$5+GanttPeriod),"◇","")),IF(AND(CC$5&lt;=$F19,CC$5+GanttPeriod-1&gt;=$E19),"━","")))</f>
        <v/>
      </c>
      <c r="CD19" s="69" t="str">
        <f aca="false">IF($E19="","",IF($M19,IF(AND($G19&gt;=CD$5,$G19&lt;CD$5+GanttPeriod),"◆",IF(AND($E19&gt;=CD$5,$E19&lt;CD$5+GanttPeriod),"◇","")),IF(AND(CD$5&lt;=$F19,CD$5+GanttPeriod-1&gt;=$E19),"━","")))</f>
        <v/>
      </c>
      <c r="CE19" s="69" t="str">
        <f aca="false">IF($E19="","",IF($M19,IF(AND($G19&gt;=CE$5,$G19&lt;CE$5+GanttPeriod),"◆",IF(AND($E19&gt;=CE$5,$E19&lt;CE$5+GanttPeriod),"◇","")),IF(AND(CE$5&lt;=$F19,CE$5+GanttPeriod-1&gt;=$E19),"━","")))</f>
        <v/>
      </c>
      <c r="CF19" s="69" t="str">
        <f aca="false">IF($E19="","",IF($M19,IF(AND($G19&gt;=CF$5,$G19&lt;CF$5+GanttPeriod),"◆",IF(AND($E19&gt;=CF$5,$E19&lt;CF$5+GanttPeriod),"◇","")),IF(AND(CF$5&lt;=$F19,CF$5+GanttPeriod-1&gt;=$E19),"━","")))</f>
        <v/>
      </c>
      <c r="CG19" s="69" t="str">
        <f aca="false">IF($E19="","",IF($M19,IF(AND($G19&gt;=CG$5,$G19&lt;CG$5+GanttPeriod),"◆",IF(AND($E19&gt;=CG$5,$E19&lt;CG$5+GanttPeriod),"◇","")),IF(AND(CG$5&lt;=$F19,CG$5+GanttPeriod-1&gt;=$E19),"━","")))</f>
        <v/>
      </c>
      <c r="CH19" s="69" t="str">
        <f aca="false">IF($E19="","",IF($M19,IF(AND($G19&gt;=CH$5,$G19&lt;CH$5+GanttPeriod),"◆",IF(AND($E19&gt;=CH$5,$E19&lt;CH$5+GanttPeriod),"◇","")),IF(AND(CH$5&lt;=$F19,CH$5+GanttPeriod-1&gt;=$E19),"━","")))</f>
        <v/>
      </c>
      <c r="CI19" s="69" t="str">
        <f aca="false">IF($E19="","",IF($M19,IF(AND($G19&gt;=CI$5,$G19&lt;CI$5+GanttPeriod),"◆",IF(AND($E19&gt;=CI$5,$E19&lt;CI$5+GanttPeriod),"◇","")),IF(AND(CI$5&lt;=$F19,CI$5+GanttPeriod-1&gt;=$E19),"━","")))</f>
        <v/>
      </c>
      <c r="CJ19" s="69" t="str">
        <f aca="false">IF($E19="","",IF($M19,IF(AND($G19&gt;=CJ$5,$G19&lt;CJ$5+GanttPeriod),"◆",IF(AND($E19&gt;=CJ$5,$E19&lt;CJ$5+GanttPeriod),"◇","")),IF(AND(CJ$5&lt;=$F19,CJ$5+GanttPeriod-1&gt;=$E19),"━","")))</f>
        <v/>
      </c>
      <c r="CK19" s="69" t="str">
        <f aca="false">IF($E19="","",IF($M19,IF(AND($G19&gt;=CK$5,$G19&lt;CK$5+GanttPeriod),"◆",IF(AND($E19&gt;=CK$5,$E19&lt;CK$5+GanttPeriod),"◇","")),IF(AND(CK$5&lt;=$F19,CK$5+GanttPeriod-1&gt;=$E19),"━","")))</f>
        <v/>
      </c>
      <c r="CL19" s="69" t="str">
        <f aca="false">IF($E19="","",IF($M19,IF(AND($G19&gt;=CL$5,$G19&lt;CL$5+GanttPeriod),"◆",IF(AND($E19&gt;=CL$5,$E19&lt;CL$5+GanttPeriod),"◇","")),IF(AND(CL$5&lt;=$F19,CL$5+GanttPeriod-1&gt;=$E19),"━","")))</f>
        <v/>
      </c>
      <c r="CM19" s="69" t="str">
        <f aca="false">IF($E19="","",IF($M19,IF(AND($G19&gt;=CM$5,$G19&lt;CM$5+GanttPeriod),"◆",IF(AND($E19&gt;=CM$5,$E19&lt;CM$5+GanttPeriod),"◇","")),IF(AND(CM$5&lt;=$F19,CM$5+GanttPeriod-1&gt;=$E19),"━","")))</f>
        <v/>
      </c>
      <c r="CN19" s="69" t="str">
        <f aca="false">IF($E19="","",IF($M19,IF(AND($G19&gt;=CN$5,$G19&lt;CN$5+GanttPeriod),"◆",IF(AND($E19&gt;=CN$5,$E19&lt;CN$5+GanttPeriod),"◇","")),IF(AND(CN$5&lt;=$F19,CN$5+GanttPeriod-1&gt;=$E19),"━","")))</f>
        <v/>
      </c>
      <c r="CO19" s="69" t="str">
        <f aca="false">IF($E19="","",IF($M19,IF(AND($G19&gt;=CO$5,$G19&lt;CO$5+GanttPeriod),"◆",IF(AND($E19&gt;=CO$5,$E19&lt;CO$5+GanttPeriod),"◇","")),IF(AND(CO$5&lt;=$F19,CO$5+GanttPeriod-1&gt;=$E19),"━","")))</f>
        <v/>
      </c>
      <c r="CP19" s="69" t="str">
        <f aca="false">IF($E19="","",IF($M19,IF(AND($G19&gt;=CP$5,$G19&lt;CP$5+GanttPeriod),"◆",IF(AND($E19&gt;=CP$5,$E19&lt;CP$5+GanttPeriod),"◇","")),IF(AND(CP$5&lt;=$F19,CP$5+GanttPeriod-1&gt;=$E19),"━","")))</f>
        <v/>
      </c>
      <c r="CQ19" s="69" t="str">
        <f aca="false">IF($E19="","",IF($M19,IF(AND($G19&gt;=CQ$5,$G19&lt;CQ$5+GanttPeriod),"◆",IF(AND($E19&gt;=CQ$5,$E19&lt;CQ$5+GanttPeriod),"◇","")),IF(AND(CQ$5&lt;=$F19,CQ$5+GanttPeriod-1&gt;=$E19),"━","")))</f>
        <v/>
      </c>
      <c r="CR19" s="69" t="str">
        <f aca="false">IF($E19="","",IF($M19,IF(AND($G19&gt;=CR$5,$G19&lt;CR$5+GanttPeriod),"◆",IF(AND($E19&gt;=CR$5,$E19&lt;CR$5+GanttPeriod),"◇","")),IF(AND(CR$5&lt;=$F19,CR$5+GanttPeriod-1&gt;=$E19),"━","")))</f>
        <v/>
      </c>
      <c r="CS19" s="69" t="str">
        <f aca="false">IF($E19="","",IF($M19,IF(AND($G19&gt;=CS$5,$G19&lt;CS$5+GanttPeriod),"◆",IF(AND($E19&gt;=CS$5,$E19&lt;CS$5+GanttPeriod),"◇","")),IF(AND(CS$5&lt;=$F19,CS$5+GanttPeriod-1&gt;=$E19),"━","")))</f>
        <v/>
      </c>
      <c r="CT19" s="69" t="str">
        <f aca="false">IF($E19="","",IF($M19,IF(AND($G19&gt;=CT$5,$G19&lt;CT$5+GanttPeriod),"◆",IF(AND($E19&gt;=CT$5,$E19&lt;CT$5+GanttPeriod),"◇","")),IF(AND(CT$5&lt;=$F19,CT$5+GanttPeriod-1&gt;=$E19),"━","")))</f>
        <v/>
      </c>
      <c r="CU19" s="69" t="str">
        <f aca="false">IF($E19="","",IF($M19,IF(AND($G19&gt;=CU$5,$G19&lt;CU$5+GanttPeriod),"◆",IF(AND($E19&gt;=CU$5,$E19&lt;CU$5+GanttPeriod),"◇","")),IF(AND(CU$5&lt;=$F19,CU$5+GanttPeriod-1&gt;=$E19),"━","")))</f>
        <v/>
      </c>
      <c r="CV19" s="69" t="str">
        <f aca="false">IF($E19="","",IF($M19,IF(AND($G19&gt;=CV$5,$G19&lt;CV$5+GanttPeriod),"◆",IF(AND($E19&gt;=CV$5,$E19&lt;CV$5+GanttPeriod),"◇","")),IF(AND(CV$5&lt;=$F19,CV$5+GanttPeriod-1&gt;=$E19),"━","")))</f>
        <v/>
      </c>
      <c r="CW19" s="69" t="str">
        <f aca="false">IF($E19="","",IF($M19,IF(AND($G19&gt;=CW$5,$G19&lt;CW$5+GanttPeriod),"◆",IF(AND($E19&gt;=CW$5,$E19&lt;CW$5+GanttPeriod),"◇","")),IF(AND(CW$5&lt;=$F19,CW$5+GanttPeriod-1&gt;=$E19),"━","")))</f>
        <v/>
      </c>
      <c r="CX19" s="69" t="str">
        <f aca="false">IF($E19="","",IF($M19,IF(AND($G19&gt;=CX$5,$G19&lt;CX$5+GanttPeriod),"◆",IF(AND($E19&gt;=CX$5,$E19&lt;CX$5+GanttPeriod),"◇","")),IF(AND(CX$5&lt;=$F19,CX$5+GanttPeriod-1&gt;=$E19),"━","")))</f>
        <v/>
      </c>
      <c r="CY19" s="69" t="str">
        <f aca="false">IF($E19="","",IF($M19,IF(AND($G19&gt;=CY$5,$G19&lt;CY$5+GanttPeriod),"◆",IF(AND($E19&gt;=CY$5,$E19&lt;CY$5+GanttPeriod),"◇","")),IF(AND(CY$5&lt;=$F19,CY$5+GanttPeriod-1&gt;=$E19),"━","")))</f>
        <v/>
      </c>
      <c r="CZ19" s="69" t="str">
        <f aca="false">IF($E19="","",IF($M19,IF(AND($G19&gt;=CZ$5,$G19&lt;CZ$5+GanttPeriod),"◆",IF(AND($E19&gt;=CZ$5,$E19&lt;CZ$5+GanttPeriod),"◇","")),IF(AND(CZ$5&lt;=$F19,CZ$5+GanttPeriod-1&gt;=$E19),"━","")))</f>
        <v/>
      </c>
      <c r="DA19" s="69" t="str">
        <f aca="false">IF($E19="","",IF($M19,IF(AND($G19&gt;=DA$5,$G19&lt;DA$5+GanttPeriod),"◆",IF(AND($E19&gt;=DA$5,$E19&lt;DA$5+GanttPeriod),"◇","")),IF(AND(DA$5&lt;=$F19,DA$5+GanttPeriod-1&gt;=$E19),"━","")))</f>
        <v/>
      </c>
      <c r="DB19" s="69" t="str">
        <f aca="false">IF($E19="","",IF($M19,IF(AND($G19&gt;=DB$5,$G19&lt;DB$5+GanttPeriod),"◆",IF(AND($E19&gt;=DB$5,$E19&lt;DB$5+GanttPeriod),"◇","")),IF(AND(DB$5&lt;=$F19,DB$5+GanttPeriod-1&gt;=$E19),"━","")))</f>
        <v/>
      </c>
      <c r="DC19" s="69" t="str">
        <f aca="false">IF($E19="","",IF($M19,IF(AND($G19&gt;=DC$5,$G19&lt;DC$5+GanttPeriod),"◆",IF(AND($E19&gt;=DC$5,$E19&lt;DC$5+GanttPeriod),"◇","")),IF(AND(DC$5&lt;=$F19,DC$5+GanttPeriod-1&gt;=$E19),"━","")))</f>
        <v/>
      </c>
      <c r="DD19" s="69" t="str">
        <f aca="false">IF($E19="","",IF($M19,IF(AND($G19&gt;=DD$5,$G19&lt;DD$5+GanttPeriod),"◆",IF(AND($E19&gt;=DD$5,$E19&lt;DD$5+GanttPeriod),"◇","")),IF(AND(DD$5&lt;=$F19,DD$5+GanttPeriod-1&gt;=$E19),"━","")))</f>
        <v/>
      </c>
      <c r="DE19" s="69" t="str">
        <f aca="false">IF($E19="","",IF($M19,IF(AND($G19&gt;=DE$5,$G19&lt;DE$5+GanttPeriod),"◆",IF(AND($E19&gt;=DE$5,$E19&lt;DE$5+GanttPeriod),"◇","")),IF(AND(DE$5&lt;=$F19,DE$5+GanttPeriod-1&gt;=$E19),"━","")))</f>
        <v/>
      </c>
      <c r="DF19" s="69" t="str">
        <f aca="false">IF($E19="","",IF($M19,IF(AND($G19&gt;=DF$5,$G19&lt;DF$5+GanttPeriod),"◆",IF(AND($E19&gt;=DF$5,$E19&lt;DF$5+GanttPeriod),"◇","")),IF(AND(DF$5&lt;=$F19,DF$5+GanttPeriod-1&gt;=$E19),"━","")))</f>
        <v/>
      </c>
      <c r="DG19" s="69" t="str">
        <f aca="false">IF($E19="","",IF($M19,IF(AND($G19&gt;=DG$5,$G19&lt;DG$5+GanttPeriod),"◆",IF(AND($E19&gt;=DG$5,$E19&lt;DG$5+GanttPeriod),"◇","")),IF(AND(DG$5&lt;=$F19,DG$5+GanttPeriod-1&gt;=$E19),"━","")))</f>
        <v/>
      </c>
      <c r="DH19" s="69" t="str">
        <f aca="false">IF($E19="","",IF($M19,IF(AND($G19&gt;=DH$5,$G19&lt;DH$5+GanttPeriod),"◆",IF(AND($E19&gt;=DH$5,$E19&lt;DH$5+GanttPeriod),"◇","")),IF(AND(DH$5&lt;=$F19,DH$5+GanttPeriod-1&gt;=$E19),"━","")))</f>
        <v/>
      </c>
      <c r="DI19" s="69" t="str">
        <f aca="false">IF($E19="","",IF($M19,IF(AND($G19&gt;=DI$5,$G19&lt;DI$5+GanttPeriod),"◆",IF(AND($E19&gt;=DI$5,$E19&lt;DI$5+GanttPeriod),"◇","")),IF(AND(DI$5&lt;=$F19,DI$5+GanttPeriod-1&gt;=$E19),"━","")))</f>
        <v/>
      </c>
      <c r="DJ19" s="69" t="str">
        <f aca="false">IF($E19="","",IF($M19,IF(AND($G19&gt;=DJ$5,$G19&lt;DJ$5+GanttPeriod),"◆",IF(AND($E19&gt;=DJ$5,$E19&lt;DJ$5+GanttPeriod),"◇","")),IF(AND(DJ$5&lt;=$F19,DJ$5+GanttPeriod-1&gt;=$E19),"━","")))</f>
        <v/>
      </c>
      <c r="DK19" s="69" t="str">
        <f aca="false">IF($E19="","",IF($M19,IF(AND($G19&gt;=DK$5,$G19&lt;DK$5+GanttPeriod),"◆",IF(AND($E19&gt;=DK$5,$E19&lt;DK$5+GanttPeriod),"◇","")),IF(AND(DK$5&lt;=$F19,DK$5+GanttPeriod-1&gt;=$E19),"━","")))</f>
        <v/>
      </c>
      <c r="DL19" s="69" t="str">
        <f aca="false">IF($E19="","",IF($M19,IF(AND($G19&gt;=DL$5,$G19&lt;DL$5+GanttPeriod),"◆",IF(AND($E19&gt;=DL$5,$E19&lt;DL$5+GanttPeriod),"◇","")),IF(AND(DL$5&lt;=$F19,DL$5+GanttPeriod-1&gt;=$E19),"━","")))</f>
        <v/>
      </c>
      <c r="DM19" s="69" t="str">
        <f aca="false">IF($E19="","",IF($M19,IF(AND($G19&gt;=DM$5,$G19&lt;DM$5+GanttPeriod),"◆",IF(AND($E19&gt;=DM$5,$E19&lt;DM$5+GanttPeriod),"◇","")),IF(AND(DM$5&lt;=$F19,DM$5+GanttPeriod-1&gt;=$E19),"━","")))</f>
        <v/>
      </c>
      <c r="DN19" s="69" t="str">
        <f aca="false">IF($E19="","",IF($M19,IF(AND($G19&gt;=DN$5,$G19&lt;DN$5+GanttPeriod),"◆",IF(AND($E19&gt;=DN$5,$E19&lt;DN$5+GanttPeriod),"◇","")),IF(AND(DN$5&lt;=$F19,DN$5+GanttPeriod-1&gt;=$E19),"━","")))</f>
        <v/>
      </c>
      <c r="DO19" s="69" t="str">
        <f aca="false">IF($E19="","",IF($M19,IF(AND($G19&gt;=DO$5,$G19&lt;DO$5+GanttPeriod),"◆",IF(AND($E19&gt;=DO$5,$E19&lt;DO$5+GanttPeriod),"◇","")),IF(AND(DO$5&lt;=$F19,DO$5+GanttPeriod-1&gt;=$E19),"━","")))</f>
        <v/>
      </c>
      <c r="DP19" s="69" t="str">
        <f aca="false">IF($E19="","",IF($M19,IF(AND($G19&gt;=DP$5,$G19&lt;DP$5+GanttPeriod),"◆",IF(AND($E19&gt;=DP$5,$E19&lt;DP$5+GanttPeriod),"◇","")),IF(AND(DP$5&lt;=$F19,DP$5+GanttPeriod-1&gt;=$E19),"━","")))</f>
        <v/>
      </c>
      <c r="DQ19" s="69" t="str">
        <f aca="false">IF($E19="","",IF($M19,IF(AND($G19&gt;=DQ$5,$G19&lt;DQ$5+GanttPeriod),"◆",IF(AND($E19&gt;=DQ$5,$E19&lt;DQ$5+GanttPeriod),"◇","")),IF(AND(DQ$5&lt;=$F19,DQ$5+GanttPeriod-1&gt;=$E19),"━","")))</f>
        <v/>
      </c>
      <c r="DR19" s="69" t="str">
        <f aca="false">IF($E19="","",IF($M19,IF(AND($G19&gt;=DR$5,$G19&lt;DR$5+GanttPeriod),"◆",IF(AND($E19&gt;=DR$5,$E19&lt;DR$5+GanttPeriod),"◇","")),IF(AND(DR$5&lt;=$F19,DR$5+GanttPeriod-1&gt;=$E19),"━","")))</f>
        <v/>
      </c>
      <c r="DS19" s="69" t="str">
        <f aca="false">IF($E19="","",IF($M19,IF(AND($G19&gt;=DS$5,$G19&lt;DS$5+GanttPeriod),"◆",IF(AND($E19&gt;=DS$5,$E19&lt;DS$5+GanttPeriod),"◇","")),IF(AND(DS$5&lt;=$F19,DS$5+GanttPeriod-1&gt;=$E19),"━","")))</f>
        <v/>
      </c>
      <c r="DT19" s="69" t="str">
        <f aca="false">IF($E19="","",IF($M19,IF(AND($G19&gt;=DT$5,$G19&lt;DT$5+GanttPeriod),"◆",IF(AND($E19&gt;=DT$5,$E19&lt;DT$5+GanttPeriod),"◇","")),IF(AND(DT$5&lt;=$F19,DT$5+GanttPeriod-1&gt;=$E19),"━","")))</f>
        <v/>
      </c>
      <c r="DU19" s="69" t="str">
        <f aca="false">IF($E19="","",IF($M19,IF(AND($G19&gt;=DU$5,$G19&lt;DU$5+GanttPeriod),"◆",IF(AND($E19&gt;=DU$5,$E19&lt;DU$5+GanttPeriod),"◇","")),IF(AND(DU$5&lt;=$F19,DU$5+GanttPeriod-1&gt;=$E19),"━","")))</f>
        <v/>
      </c>
      <c r="DV19" s="69" t="str">
        <f aca="false">IF($E19="","",IF($M19,IF(AND($G19&gt;=DV$5,$G19&lt;DV$5+GanttPeriod),"◆",IF(AND($E19&gt;=DV$5,$E19&lt;DV$5+GanttPeriod),"◇","")),IF(AND(DV$5&lt;=$F19,DV$5+GanttPeriod-1&gt;=$E19),"━","")))</f>
        <v/>
      </c>
      <c r="DW19" s="69" t="str">
        <f aca="false">IF($E19="","",IF($M19,IF(AND($G19&gt;=DW$5,$G19&lt;DW$5+GanttPeriod),"◆",IF(AND($E19&gt;=DW$5,$E19&lt;DW$5+GanttPeriod),"◇","")),IF(AND(DW$5&lt;=$F19,DW$5+GanttPeriod-1&gt;=$E19),"━","")))</f>
        <v/>
      </c>
      <c r="DX19" s="69" t="str">
        <f aca="false">IF($E19="","",IF($M19,IF(AND($G19&gt;=DX$5,$G19&lt;DX$5+GanttPeriod),"◆",IF(AND($E19&gt;=DX$5,$E19&lt;DX$5+GanttPeriod),"◇","")),IF(AND(DX$5&lt;=$F19,DX$5+GanttPeriod-1&gt;=$E19),"━","")))</f>
        <v/>
      </c>
      <c r="DY19" s="69" t="str">
        <f aca="false">IF($E19="","",IF($M19,IF(AND($G19&gt;=DY$5,$G19&lt;DY$5+GanttPeriod),"◆",IF(AND($E19&gt;=DY$5,$E19&lt;DY$5+GanttPeriod),"◇","")),IF(AND(DY$5&lt;=$F19,DY$5+GanttPeriod-1&gt;=$E19),"━","")))</f>
        <v/>
      </c>
      <c r="DZ19" s="69" t="str">
        <f aca="false">IF($E19="","",IF($M19,IF(AND($G19&gt;=DZ$5,$G19&lt;DZ$5+GanttPeriod),"◆",IF(AND($E19&gt;=DZ$5,$E19&lt;DZ$5+GanttPeriod),"◇","")),IF(AND(DZ$5&lt;=$F19,DZ$5+GanttPeriod-1&gt;=$E19),"━","")))</f>
        <v/>
      </c>
      <c r="EA19" s="69" t="str">
        <f aca="false">IF($E19="","",IF($M19,IF(AND($G19&gt;=EA$5,$G19&lt;EA$5+GanttPeriod),"◆",IF(AND($E19&gt;=EA$5,$E19&lt;EA$5+GanttPeriod),"◇","")),IF(AND(EA$5&lt;=$F19,EA$5+GanttPeriod-1&gt;=$E19),"━","")))</f>
        <v/>
      </c>
      <c r="EB19" s="69" t="str">
        <f aca="false">IF($E19="","",IF($M19,IF(AND($G19&gt;=EB$5,$G19&lt;EB$5+GanttPeriod),"◆",IF(AND($E19&gt;=EB$5,$E19&lt;EB$5+GanttPeriod),"◇","")),IF(AND(EB$5&lt;=$F19,EB$5+GanttPeriod-1&gt;=$E19),"━","")))</f>
        <v/>
      </c>
      <c r="EC19" s="69" t="str">
        <f aca="false">IF($E19="","",IF($M19,IF(AND($G19&gt;=EC$5,$G19&lt;EC$5+GanttPeriod),"◆",IF(AND($E19&gt;=EC$5,$E19&lt;EC$5+GanttPeriod),"◇","")),IF(AND(EC$5&lt;=$F19,EC$5+GanttPeriod-1&gt;=$E19),"━","")))</f>
        <v/>
      </c>
      <c r="ED19" s="69" t="str">
        <f aca="false">IF($E19="","",IF($M19,IF(AND($G19&gt;=ED$5,$G19&lt;ED$5+GanttPeriod),"◆",IF(AND($E19&gt;=ED$5,$E19&lt;ED$5+GanttPeriod),"◇","")),IF(AND(ED$5&lt;=$F19,ED$5+GanttPeriod-1&gt;=$E19),"━","")))</f>
        <v/>
      </c>
      <c r="EE19" s="69" t="str">
        <f aca="false">IF($E19="","",IF($M19,IF(AND($G19&gt;=EE$5,$G19&lt;EE$5+GanttPeriod),"◆",IF(AND($E19&gt;=EE$5,$E19&lt;EE$5+GanttPeriod),"◇","")),IF(AND(EE$5&lt;=$F19,EE$5+GanttPeriod-1&gt;=$E19),"━","")))</f>
        <v/>
      </c>
      <c r="EF19" s="69" t="str">
        <f aca="false">IF($E19="","",IF($M19,IF(AND($G19&gt;=EF$5,$G19&lt;EF$5+GanttPeriod),"◆",IF(AND($E19&gt;=EF$5,$E19&lt;EF$5+GanttPeriod),"◇","")),IF(AND(EF$5&lt;=$F19,EF$5+GanttPeriod-1&gt;=$E19),"━","")))</f>
        <v/>
      </c>
      <c r="EG19" s="69" t="str">
        <f aca="false">IF($E19="","",IF($M19,IF(AND($G19&gt;=EG$5,$G19&lt;EG$5+GanttPeriod),"◆",IF(AND($E19&gt;=EG$5,$E19&lt;EG$5+GanttPeriod),"◇","")),IF(AND(EG$5&lt;=$F19,EG$5+GanttPeriod-1&gt;=$E19),"━","")))</f>
        <v/>
      </c>
      <c r="EH19" s="69" t="str">
        <f aca="false">IF($E19="","",IF($M19,IF(AND($G19&gt;=EH$5,$G19&lt;EH$5+GanttPeriod),"◆",IF(AND($E19&gt;=EH$5,$E19&lt;EH$5+GanttPeriod),"◇","")),IF(AND(EH$5&lt;=$F19,EH$5+GanttPeriod-1&gt;=$E19),"━","")))</f>
        <v/>
      </c>
      <c r="EI19" s="69" t="str">
        <f aca="false">IF($E19="","",IF($M19,IF(AND($G19&gt;=EI$5,$G19&lt;EI$5+GanttPeriod),"◆",IF(AND($E19&gt;=EI$5,$E19&lt;EI$5+GanttPeriod),"◇","")),IF(AND(EI$5&lt;=$F19,EI$5+GanttPeriod-1&gt;=$E19),"━","")))</f>
        <v/>
      </c>
      <c r="EJ19" s="69" t="str">
        <f aca="false">IF($E19="","",IF($M19,IF(AND($G19&gt;=EJ$5,$G19&lt;EJ$5+GanttPeriod),"◆",IF(AND($E19&gt;=EJ$5,$E19&lt;EJ$5+GanttPeriod),"◇","")),IF(AND(EJ$5&lt;=$F19,EJ$5+GanttPeriod-1&gt;=$E19),"━","")))</f>
        <v/>
      </c>
      <c r="EK19" s="69" t="str">
        <f aca="false">IF($E19="","",IF($M19,IF(AND($G19&gt;=EK$5,$G19&lt;EK$5+GanttPeriod),"◆",IF(AND($E19&gt;=EK$5,$E19&lt;EK$5+GanttPeriod),"◇","")),IF(AND(EK$5&lt;=$F19,EK$5+GanttPeriod-1&gt;=$E19),"━","")))</f>
        <v/>
      </c>
      <c r="EL19" s="69" t="str">
        <f aca="false">IF($E19="","",IF($M19,IF(AND($G19&gt;=EL$5,$G19&lt;EL$5+GanttPeriod),"◆",IF(AND($E19&gt;=EL$5,$E19&lt;EL$5+GanttPeriod),"◇","")),IF(AND(EL$5&lt;=$F19,EL$5+GanttPeriod-1&gt;=$E19),"━","")))</f>
        <v/>
      </c>
      <c r="EM19" s="69" t="str">
        <f aca="false">IF($E19="","",IF($M19,IF(AND($G19&gt;=EM$5,$G19&lt;EM$5+GanttPeriod),"◆",IF(AND($E19&gt;=EM$5,$E19&lt;EM$5+GanttPeriod),"◇","")),IF(AND(EM$5&lt;=$F19,EM$5+GanttPeriod-1&gt;=$E19),"━","")))</f>
        <v/>
      </c>
      <c r="EN19" s="69" t="str">
        <f aca="false">IF($E19="","",IF($M19,IF(AND($G19&gt;=EN$5,$G19&lt;EN$5+GanttPeriod),"◆",IF(AND($E19&gt;=EN$5,$E19&lt;EN$5+GanttPeriod),"◇","")),IF(AND(EN$5&lt;=$F19,EN$5+GanttPeriod-1&gt;=$E19),"━","")))</f>
        <v/>
      </c>
      <c r="EO19" s="69" t="str">
        <f aca="false">IF($E19="","",IF($M19,IF(AND($G19&gt;=EO$5,$G19&lt;EO$5+GanttPeriod),"◆",IF(AND($E19&gt;=EO$5,$E19&lt;EO$5+GanttPeriod),"◇","")),IF(AND(EO$5&lt;=$F19,EO$5+GanttPeriod-1&gt;=$E19),"━","")))</f>
        <v/>
      </c>
      <c r="EP19" s="69" t="str">
        <f aca="false">IF($E19="","",IF($M19,IF(AND($G19&gt;=EP$5,$G19&lt;EP$5+GanttPeriod),"◆",IF(AND($E19&gt;=EP$5,$E19&lt;EP$5+GanttPeriod),"◇","")),IF(AND(EP$5&lt;=$F19,EP$5+GanttPeriod-1&gt;=$E19),"━","")))</f>
        <v/>
      </c>
      <c r="EQ19" s="69" t="str">
        <f aca="false">IF($E19="","",IF($M19,IF(AND($G19&gt;=EQ$5,$G19&lt;EQ$5+GanttPeriod),"◆",IF(AND($E19&gt;=EQ$5,$E19&lt;EQ$5+GanttPeriod),"◇","")),IF(AND(EQ$5&lt;=$F19,EQ$5+GanttPeriod-1&gt;=$E19),"━","")))</f>
        <v/>
      </c>
      <c r="ER19" s="69" t="str">
        <f aca="false">IF($E19="","",IF($M19,IF(AND($G19&gt;=ER$5,$G19&lt;ER$5+GanttPeriod),"◆",IF(AND($E19&gt;=ER$5,$E19&lt;ER$5+GanttPeriod),"◇","")),IF(AND(ER$5&lt;=$F19,ER$5+GanttPeriod-1&gt;=$E19),"━","")))</f>
        <v/>
      </c>
      <c r="ES19" s="69" t="str">
        <f aca="false">IF($E19="","",IF($M19,IF(AND($G19&gt;=ES$5,$G19&lt;ES$5+GanttPeriod),"◆",IF(AND($E19&gt;=ES$5,$E19&lt;ES$5+GanttPeriod),"◇","")),IF(AND(ES$5&lt;=$F19,ES$5+GanttPeriod-1&gt;=$E19),"━","")))</f>
        <v/>
      </c>
      <c r="ET19" s="69" t="str">
        <f aca="false">IF($E19="","",IF($M19,IF(AND($G19&gt;=ET$5,$G19&lt;ET$5+GanttPeriod),"◆",IF(AND($E19&gt;=ET$5,$E19&lt;ET$5+GanttPeriod),"◇","")),IF(AND(ET$5&lt;=$F19,ET$5+GanttPeriod-1&gt;=$E19),"━","")))</f>
        <v/>
      </c>
      <c r="EU19" s="69" t="str">
        <f aca="false">IF($E19="","",IF($M19,IF(AND($G19&gt;=EU$5,$G19&lt;EU$5+GanttPeriod),"◆",IF(AND($E19&gt;=EU$5,$E19&lt;EU$5+GanttPeriod),"◇","")),IF(AND(EU$5&lt;=$F19,EU$5+GanttPeriod-1&gt;=$E19),"━","")))</f>
        <v/>
      </c>
      <c r="EV19" s="69" t="str">
        <f aca="false">IF($E19="","",IF($M19,IF(AND($G19&gt;=EV$5,$G19&lt;EV$5+GanttPeriod),"◆",IF(AND($E19&gt;=EV$5,$E19&lt;EV$5+GanttPeriod),"◇","")),IF(AND(EV$5&lt;=$F19,EV$5+GanttPeriod-1&gt;=$E19),"━","")))</f>
        <v/>
      </c>
      <c r="EW19" s="69" t="str">
        <f aca="false">IF($E19="","",IF($M19,IF(AND($G19&gt;=EW$5,$G19&lt;EW$5+GanttPeriod),"◆",IF(AND($E19&gt;=EW$5,$E19&lt;EW$5+GanttPeriod),"◇","")),IF(AND(EW$5&lt;=$F19,EW$5+GanttPeriod-1&gt;=$E19),"━","")))</f>
        <v/>
      </c>
      <c r="EX19" s="69" t="str">
        <f aca="false">IF($E19="","",IF($M19,IF(AND($G19&gt;=EX$5,$G19&lt;EX$5+GanttPeriod),"◆",IF(AND($E19&gt;=EX$5,$E19&lt;EX$5+GanttPeriod),"◇","")),IF(AND(EX$5&lt;=$F19,EX$5+GanttPeriod-1&gt;=$E19),"━","")))</f>
        <v/>
      </c>
      <c r="EY19" s="69" t="str">
        <f aca="false">IF($E19="","",IF($M19,IF(AND($G19&gt;=EY$5,$G19&lt;EY$5+GanttPeriod),"◆",IF(AND($E19&gt;=EY$5,$E19&lt;EY$5+GanttPeriod),"◇","")),IF(AND(EY$5&lt;=$F19,EY$5+GanttPeriod-1&gt;=$E19),"━","")))</f>
        <v/>
      </c>
      <c r="EZ19" s="69" t="str">
        <f aca="false">IF($E19="","",IF($M19,IF(AND($G19&gt;=EZ$5,$G19&lt;EZ$5+GanttPeriod),"◆",IF(AND($E19&gt;=EZ$5,$E19&lt;EZ$5+GanttPeriod),"◇","")),IF(AND(EZ$5&lt;=$F19,EZ$5+GanttPeriod-1&gt;=$E19),"━","")))</f>
        <v/>
      </c>
      <c r="FA19" s="69" t="str">
        <f aca="false">IF($E19="","",IF($M19,IF(AND($G19&gt;=FA$5,$G19&lt;FA$5+GanttPeriod),"◆",IF(AND($E19&gt;=FA$5,$E19&lt;FA$5+GanttPeriod),"◇","")),IF(AND(FA$5&lt;=$F19,FA$5+GanttPeriod-1&gt;=$E19),"━","")))</f>
        <v/>
      </c>
      <c r="FB19" s="69" t="str">
        <f aca="false">IF($E19="","",IF($M19,IF(AND($G19&gt;=FB$5,$G19&lt;FB$5+GanttPeriod),"◆",IF(AND($E19&gt;=FB$5,$E19&lt;FB$5+GanttPeriod),"◇","")),IF(AND(FB$5&lt;=$F19,FB$5+GanttPeriod-1&gt;=$E19),"━","")))</f>
        <v/>
      </c>
      <c r="FC19" s="69" t="str">
        <f aca="false">IF($E19="","",IF($M19,IF(AND($G19&gt;=FC$5,$G19&lt;FC$5+GanttPeriod),"◆",IF(AND($E19&gt;=FC$5,$E19&lt;FC$5+GanttPeriod),"◇","")),IF(AND(FC$5&lt;=$F19,FC$5+GanttPeriod-1&gt;=$E19),"━","")))</f>
        <v/>
      </c>
      <c r="FD19" s="69" t="str">
        <f aca="false">IF($E19="","",IF($M19,IF(AND($G19&gt;=FD$5,$G19&lt;FD$5+GanttPeriod),"◆",IF(AND($E19&gt;=FD$5,$E19&lt;FD$5+GanttPeriod),"◇","")),IF(AND(FD$5&lt;=$F19,FD$5+GanttPeriod-1&gt;=$E19),"━","")))</f>
        <v/>
      </c>
      <c r="FE19" s="69" t="str">
        <f aca="false">IF($E19="","",IF($M19,IF(AND($G19&gt;=FE$5,$G19&lt;FE$5+GanttPeriod),"◆",IF(AND($E19&gt;=FE$5,$E19&lt;FE$5+GanttPeriod),"◇","")),IF(AND(FE$5&lt;=$F19,FE$5+GanttPeriod-1&gt;=$E19),"━","")))</f>
        <v/>
      </c>
      <c r="FF19" s="69" t="str">
        <f aca="false">IF($E19="","",IF($M19,IF(AND($G19&gt;=FF$5,$G19&lt;FF$5+GanttPeriod),"◆",IF(AND($E19&gt;=FF$5,$E19&lt;FF$5+GanttPeriod),"◇","")),IF(AND(FF$5&lt;=$F19,FF$5+GanttPeriod-1&gt;=$E19),"━","")))</f>
        <v/>
      </c>
      <c r="FG19" s="69" t="str">
        <f aca="false">IF($E19="","",IF($M19,IF(AND($G19&gt;=FG$5,$G19&lt;FG$5+GanttPeriod),"◆",IF(AND($E19&gt;=FG$5,$E19&lt;FG$5+GanttPeriod),"◇","")),IF(AND(FG$5&lt;=$F19,FG$5+GanttPeriod-1&gt;=$E19),"━","")))</f>
        <v/>
      </c>
      <c r="FH19" s="69" t="str">
        <f aca="false">IF($E19="","",IF($M19,IF(AND($G19&gt;=FH$5,$G19&lt;FH$5+GanttPeriod),"◆",IF(AND($E19&gt;=FH$5,$E19&lt;FH$5+GanttPeriod),"◇","")),IF(AND(FH$5&lt;=$F19,FH$5+GanttPeriod-1&gt;=$E19),"━","")))</f>
        <v/>
      </c>
      <c r="FI19" s="69" t="str">
        <f aca="false">IF($E19="","",IF($M19,IF(AND($G19&gt;=FI$5,$G19&lt;FI$5+GanttPeriod),"◆",IF(AND($E19&gt;=FI$5,$E19&lt;FI$5+GanttPeriod),"◇","")),IF(AND(FI$5&lt;=$F19,FI$5+GanttPeriod-1&gt;=$E19),"━","")))</f>
        <v/>
      </c>
      <c r="FJ19" s="69" t="str">
        <f aca="false">IF($E19="","",IF($M19,IF(AND($G19&gt;=FJ$5,$G19&lt;FJ$5+GanttPeriod),"◆",IF(AND($E19&gt;=FJ$5,$E19&lt;FJ$5+GanttPeriod),"◇","")),IF(AND(FJ$5&lt;=$F19,FJ$5+GanttPeriod-1&gt;=$E19),"━","")))</f>
        <v/>
      </c>
      <c r="FK19" s="69" t="str">
        <f aca="false">IF($E19="","",IF($M19,IF(AND($G19&gt;=FK$5,$G19&lt;FK$5+GanttPeriod),"◆",IF(AND($E19&gt;=FK$5,$E19&lt;FK$5+GanttPeriod),"◇","")),IF(AND(FK$5&lt;=$F19,FK$5+GanttPeriod-1&gt;=$E19),"━","")))</f>
        <v/>
      </c>
      <c r="FL19" s="69" t="str">
        <f aca="false">IF($E19="","",IF($M19,IF(AND($G19&gt;=FL$5,$G19&lt;FL$5+GanttPeriod),"◆",IF(AND($E19&gt;=FL$5,$E19&lt;FL$5+GanttPeriod),"◇","")),IF(AND(FL$5&lt;=$F19,FL$5+GanttPeriod-1&gt;=$E19),"━","")))</f>
        <v/>
      </c>
      <c r="FM19" s="69" t="str">
        <f aca="false">IF($E19="","",IF($M19,IF(AND($G19&gt;=FM$5,$G19&lt;FM$5+GanttPeriod),"◆",IF(AND($E19&gt;=FM$5,$E19&lt;FM$5+GanttPeriod),"◇","")),IF(AND(FM$5&lt;=$F19,FM$5+GanttPeriod-1&gt;=$E19),"━","")))</f>
        <v/>
      </c>
    </row>
    <row r="20" customFormat="false" ht="15" hidden="false" customHeight="false" outlineLevel="0" collapsed="false">
      <c r="A20" s="62" t="n">
        <f aca="false">IF(Tasks!$D20="","",Tasks!$A20)</f>
        <v>15</v>
      </c>
      <c r="B20" s="62" t="str">
        <f aca="false">IF(Tasks!$D20="","",Tasks!$B20)</f>
        <v>3.2</v>
      </c>
      <c r="C20" s="63" t="str">
        <f aca="false">IF(Tasks!$D20="","",REPT("    ",Tasks!$AE20-1)&amp;Tasks!$D20)</f>
        <v>    Frontend</v>
      </c>
      <c r="D20" s="62" t="n">
        <f aca="false">IF(Tasks!$D20="","",IF(Tasks!$AI20,NETWORKDAYS.INTL(Tasks!$R20,Tasks!$S20,WorkWeek,Holidays),N(Tasks!$F20)))</f>
        <v>23</v>
      </c>
      <c r="E20" s="64" t="n">
        <f aca="false">IF(Tasks!$D20="","",Tasks!$N20)</f>
        <v>46297</v>
      </c>
      <c r="F20" s="64" t="n">
        <f aca="false">IF(Tasks!$D20="","",Tasks!$O20)</f>
        <v>46324</v>
      </c>
      <c r="G20" s="64" t="n">
        <f aca="false">IF(Tasks!$D20="","",Tasks!$R20)</f>
        <v>46302</v>
      </c>
      <c r="H20" s="64" t="n">
        <f aca="false">IF(Tasks!$D20="","",Tasks!$S20)</f>
        <v>46332</v>
      </c>
      <c r="I20" s="65" t="n">
        <f aca="false">IF(Tasks!$D20="","",Tasks!$V20)</f>
        <v>0.428571428571429</v>
      </c>
      <c r="J20" s="63" t="str">
        <f aca="false">IF(Tasks!$D20="","",Tasks!$X20&amp;"")</f>
        <v/>
      </c>
      <c r="K20" s="66" t="str">
        <f aca="false">IF(Tasks!$D20="","",Tasks!$W20)</f>
        <v>Behind</v>
      </c>
      <c r="L20" s="67" t="b">
        <f aca="false">IF(Tasks!$D20="",FALSE(),Tasks!$AI20)</f>
        <v>1</v>
      </c>
      <c r="M20" s="67" t="b">
        <f aca="false">AND(Tasks!$AJ20=1,N(Tasks!$F20)=0)</f>
        <v>0</v>
      </c>
      <c r="N20" s="68" t="n">
        <f aca="false">IF(AND(Tasks!$AJ20=1,NOT($M20),N($I20)&gt;0),$G20,0)</f>
        <v>0</v>
      </c>
      <c r="O20" s="68" t="n">
        <f aca="false">IF($N20=0,0,IF($I20&gt;=1,$H20,MAX($N20,$G20+ROUND(($H20-$G20+1)*$I20,0)-1)))</f>
        <v>0</v>
      </c>
      <c r="P20" s="68" t="n">
        <f aca="false">IF(OR(Tasks!$AJ20&lt;&gt;1,$M20,N($I20)&gt;=1),0,IF($O20&gt;0,$O20+1,$G20))</f>
        <v>0</v>
      </c>
      <c r="Q20" s="68" t="n">
        <f aca="false">IF($P20=0,0,$H20)</f>
        <v>0</v>
      </c>
      <c r="R20" s="67" t="b">
        <f aca="false">AND(Tasks!$D20&lt;&gt;"",N(Tasks!$T20)&gt;0)</f>
        <v>1</v>
      </c>
      <c r="T20" s="69" t="str">
        <f aca="false">IF($E20="","",IF($M20,IF(AND($G20&gt;=T$5,$G20&lt;T$5+GanttPeriod),"◆",IF(AND($E20&gt;=T$5,$E20&lt;T$5+GanttPeriod),"◇","")),IF(AND(T$5&lt;=$F20,T$5+GanttPeriod-1&gt;=$E20),"━","")))</f>
        <v/>
      </c>
      <c r="U20" s="69" t="str">
        <f aca="false">IF($E20="","",IF($M20,IF(AND($G20&gt;=U$5,$G20&lt;U$5+GanttPeriod),"◆",IF(AND($E20&gt;=U$5,$E20&lt;U$5+GanttPeriod),"◇","")),IF(AND(U$5&lt;=$F20,U$5+GanttPeriod-1&gt;=$E20),"━","")))</f>
        <v/>
      </c>
      <c r="V20" s="69" t="str">
        <f aca="false">IF($E20="","",IF($M20,IF(AND($G20&gt;=V$5,$G20&lt;V$5+GanttPeriod),"◆",IF(AND($E20&gt;=V$5,$E20&lt;V$5+GanttPeriod),"◇","")),IF(AND(V$5&lt;=$F20,V$5+GanttPeriod-1&gt;=$E20),"━","")))</f>
        <v/>
      </c>
      <c r="W20" s="69" t="str">
        <f aca="false">IF($E20="","",IF($M20,IF(AND($G20&gt;=W$5,$G20&lt;W$5+GanttPeriod),"◆",IF(AND($E20&gt;=W$5,$E20&lt;W$5+GanttPeriod),"◇","")),IF(AND(W$5&lt;=$F20,W$5+GanttPeriod-1&gt;=$E20),"━","")))</f>
        <v/>
      </c>
      <c r="X20" s="69" t="str">
        <f aca="false">IF($E20="","",IF($M20,IF(AND($G20&gt;=X$5,$G20&lt;X$5+GanttPeriod),"◆",IF(AND($E20&gt;=X$5,$E20&lt;X$5+GanttPeriod),"◇","")),IF(AND(X$5&lt;=$F20,X$5+GanttPeriod-1&gt;=$E20),"━","")))</f>
        <v/>
      </c>
      <c r="Y20" s="69" t="str">
        <f aca="false">IF($E20="","",IF($M20,IF(AND($G20&gt;=Y$5,$G20&lt;Y$5+GanttPeriod),"◆",IF(AND($E20&gt;=Y$5,$E20&lt;Y$5+GanttPeriod),"◇","")),IF(AND(Y$5&lt;=$F20,Y$5+GanttPeriod-1&gt;=$E20),"━","")))</f>
        <v/>
      </c>
      <c r="Z20" s="69" t="str">
        <f aca="false">IF($E20="","",IF($M20,IF(AND($G20&gt;=Z$5,$G20&lt;Z$5+GanttPeriod),"◆",IF(AND($E20&gt;=Z$5,$E20&lt;Z$5+GanttPeriod),"◇","")),IF(AND(Z$5&lt;=$F20,Z$5+GanttPeriod-1&gt;=$E20),"━","")))</f>
        <v/>
      </c>
      <c r="AA20" s="69" t="str">
        <f aca="false">IF($E20="","",IF($M20,IF(AND($G20&gt;=AA$5,$G20&lt;AA$5+GanttPeriod),"◆",IF(AND($E20&gt;=AA$5,$E20&lt;AA$5+GanttPeriod),"◇","")),IF(AND(AA$5&lt;=$F20,AA$5+GanttPeriod-1&gt;=$E20),"━","")))</f>
        <v/>
      </c>
      <c r="AB20" s="69" t="str">
        <f aca="false">IF($E20="","",IF($M20,IF(AND($G20&gt;=AB$5,$G20&lt;AB$5+GanttPeriod),"◆",IF(AND($E20&gt;=AB$5,$E20&lt;AB$5+GanttPeriod),"◇","")),IF(AND(AB$5&lt;=$F20,AB$5+GanttPeriod-1&gt;=$E20),"━","")))</f>
        <v/>
      </c>
      <c r="AC20" s="69" t="str">
        <f aca="false">IF($E20="","",IF($M20,IF(AND($G20&gt;=AC$5,$G20&lt;AC$5+GanttPeriod),"◆",IF(AND($E20&gt;=AC$5,$E20&lt;AC$5+GanttPeriod),"◇","")),IF(AND(AC$5&lt;=$F20,AC$5+GanttPeriod-1&gt;=$E20),"━","")))</f>
        <v/>
      </c>
      <c r="AD20" s="69" t="str">
        <f aca="false">IF($E20="","",IF($M20,IF(AND($G20&gt;=AD$5,$G20&lt;AD$5+GanttPeriod),"◆",IF(AND($E20&gt;=AD$5,$E20&lt;AD$5+GanttPeriod),"◇","")),IF(AND(AD$5&lt;=$F20,AD$5+GanttPeriod-1&gt;=$E20),"━","")))</f>
        <v/>
      </c>
      <c r="AE20" s="69" t="str">
        <f aca="false">IF($E20="","",IF($M20,IF(AND($G20&gt;=AE$5,$G20&lt;AE$5+GanttPeriod),"◆",IF(AND($E20&gt;=AE$5,$E20&lt;AE$5+GanttPeriod),"◇","")),IF(AND(AE$5&lt;=$F20,AE$5+GanttPeriod-1&gt;=$E20),"━","")))</f>
        <v/>
      </c>
      <c r="AF20" s="69" t="str">
        <f aca="false">IF($E20="","",IF($M20,IF(AND($G20&gt;=AF$5,$G20&lt;AF$5+GanttPeriod),"◆",IF(AND($E20&gt;=AF$5,$E20&lt;AF$5+GanttPeriod),"◇","")),IF(AND(AF$5&lt;=$F20,AF$5+GanttPeriod-1&gt;=$E20),"━","")))</f>
        <v/>
      </c>
      <c r="AG20" s="69" t="str">
        <f aca="false">IF($E20="","",IF($M20,IF(AND($G20&gt;=AG$5,$G20&lt;AG$5+GanttPeriod),"◆",IF(AND($E20&gt;=AG$5,$E20&lt;AG$5+GanttPeriod),"◇","")),IF(AND(AG$5&lt;=$F20,AG$5+GanttPeriod-1&gt;=$E20),"━","")))</f>
        <v/>
      </c>
      <c r="AH20" s="69" t="str">
        <f aca="false">IF($E20="","",IF($M20,IF(AND($G20&gt;=AH$5,$G20&lt;AH$5+GanttPeriod),"◆",IF(AND($E20&gt;=AH$5,$E20&lt;AH$5+GanttPeriod),"◇","")),IF(AND(AH$5&lt;=$F20,AH$5+GanttPeriod-1&gt;=$E20),"━","")))</f>
        <v/>
      </c>
      <c r="AI20" s="69" t="str">
        <f aca="false">IF($E20="","",IF($M20,IF(AND($G20&gt;=AI$5,$G20&lt;AI$5+GanttPeriod),"◆",IF(AND($E20&gt;=AI$5,$E20&lt;AI$5+GanttPeriod),"◇","")),IF(AND(AI$5&lt;=$F20,AI$5+GanttPeriod-1&gt;=$E20),"━","")))</f>
        <v/>
      </c>
      <c r="AJ20" s="69" t="str">
        <f aca="false">IF($E20="","",IF($M20,IF(AND($G20&gt;=AJ$5,$G20&lt;AJ$5+GanttPeriod),"◆",IF(AND($E20&gt;=AJ$5,$E20&lt;AJ$5+GanttPeriod),"◇","")),IF(AND(AJ$5&lt;=$F20,AJ$5+GanttPeriod-1&gt;=$E20),"━","")))</f>
        <v/>
      </c>
      <c r="AK20" s="69" t="str">
        <f aca="false">IF($E20="","",IF($M20,IF(AND($G20&gt;=AK$5,$G20&lt;AK$5+GanttPeriod),"◆",IF(AND($E20&gt;=AK$5,$E20&lt;AK$5+GanttPeriod),"◇","")),IF(AND(AK$5&lt;=$F20,AK$5+GanttPeriod-1&gt;=$E20),"━","")))</f>
        <v/>
      </c>
      <c r="AL20" s="69" t="str">
        <f aca="false">IF($E20="","",IF($M20,IF(AND($G20&gt;=AL$5,$G20&lt;AL$5+GanttPeriod),"◆",IF(AND($E20&gt;=AL$5,$E20&lt;AL$5+GanttPeriod),"◇","")),IF(AND(AL$5&lt;=$F20,AL$5+GanttPeriod-1&gt;=$E20),"━","")))</f>
        <v/>
      </c>
      <c r="AM20" s="69" t="str">
        <f aca="false">IF($E20="","",IF($M20,IF(AND($G20&gt;=AM$5,$G20&lt;AM$5+GanttPeriod),"◆",IF(AND($E20&gt;=AM$5,$E20&lt;AM$5+GanttPeriod),"◇","")),IF(AND(AM$5&lt;=$F20,AM$5+GanttPeriod-1&gt;=$E20),"━","")))</f>
        <v/>
      </c>
      <c r="AN20" s="69" t="str">
        <f aca="false">IF($E20="","",IF($M20,IF(AND($G20&gt;=AN$5,$G20&lt;AN$5+GanttPeriod),"◆",IF(AND($E20&gt;=AN$5,$E20&lt;AN$5+GanttPeriod),"◇","")),IF(AND(AN$5&lt;=$F20,AN$5+GanttPeriod-1&gt;=$E20),"━","")))</f>
        <v/>
      </c>
      <c r="AO20" s="69" t="str">
        <f aca="false">IF($E20="","",IF($M20,IF(AND($G20&gt;=AO$5,$G20&lt;AO$5+GanttPeriod),"◆",IF(AND($E20&gt;=AO$5,$E20&lt;AO$5+GanttPeriod),"◇","")),IF(AND(AO$5&lt;=$F20,AO$5+GanttPeriod-1&gt;=$E20),"━","")))</f>
        <v/>
      </c>
      <c r="AP20" s="69" t="str">
        <f aca="false">IF($E20="","",IF($M20,IF(AND($G20&gt;=AP$5,$G20&lt;AP$5+GanttPeriod),"◆",IF(AND($E20&gt;=AP$5,$E20&lt;AP$5+GanttPeriod),"◇","")),IF(AND(AP$5&lt;=$F20,AP$5+GanttPeriod-1&gt;=$E20),"━","")))</f>
        <v/>
      </c>
      <c r="AQ20" s="69" t="str">
        <f aca="false">IF($E20="","",IF($M20,IF(AND($G20&gt;=AQ$5,$G20&lt;AQ$5+GanttPeriod),"◆",IF(AND($E20&gt;=AQ$5,$E20&lt;AQ$5+GanttPeriod),"◇","")),IF(AND(AQ$5&lt;=$F20,AQ$5+GanttPeriod-1&gt;=$E20),"━","")))</f>
        <v/>
      </c>
      <c r="AR20" s="69" t="str">
        <f aca="false">IF($E20="","",IF($M20,IF(AND($G20&gt;=AR$5,$G20&lt;AR$5+GanttPeriod),"◆",IF(AND($E20&gt;=AR$5,$E20&lt;AR$5+GanttPeriod),"◇","")),IF(AND(AR$5&lt;=$F20,AR$5+GanttPeriod-1&gt;=$E20),"━","")))</f>
        <v/>
      </c>
      <c r="AS20" s="69" t="str">
        <f aca="false">IF($E20="","",IF($M20,IF(AND($G20&gt;=AS$5,$G20&lt;AS$5+GanttPeriod),"◆",IF(AND($E20&gt;=AS$5,$E20&lt;AS$5+GanttPeriod),"◇","")),IF(AND(AS$5&lt;=$F20,AS$5+GanttPeriod-1&gt;=$E20),"━","")))</f>
        <v>━</v>
      </c>
      <c r="AT20" s="69" t="str">
        <f aca="false">IF($E20="","",IF($M20,IF(AND($G20&gt;=AT$5,$G20&lt;AT$5+GanttPeriod),"◆",IF(AND($E20&gt;=AT$5,$E20&lt;AT$5+GanttPeriod),"◇","")),IF(AND(AT$5&lt;=$F20,AT$5+GanttPeriod-1&gt;=$E20),"━","")))</f>
        <v>━</v>
      </c>
      <c r="AU20" s="69" t="str">
        <f aca="false">IF($E20="","",IF($M20,IF(AND($G20&gt;=AU$5,$G20&lt;AU$5+GanttPeriod),"◆",IF(AND($E20&gt;=AU$5,$E20&lt;AU$5+GanttPeriod),"◇","")),IF(AND(AU$5&lt;=$F20,AU$5+GanttPeriod-1&gt;=$E20),"━","")))</f>
        <v>━</v>
      </c>
      <c r="AV20" s="69" t="str">
        <f aca="false">IF($E20="","",IF($M20,IF(AND($G20&gt;=AV$5,$G20&lt;AV$5+GanttPeriod),"◆",IF(AND($E20&gt;=AV$5,$E20&lt;AV$5+GanttPeriod),"◇","")),IF(AND(AV$5&lt;=$F20,AV$5+GanttPeriod-1&gt;=$E20),"━","")))</f>
        <v>━</v>
      </c>
      <c r="AW20" s="69" t="str">
        <f aca="false">IF($E20="","",IF($M20,IF(AND($G20&gt;=AW$5,$G20&lt;AW$5+GanttPeriod),"◆",IF(AND($E20&gt;=AW$5,$E20&lt;AW$5+GanttPeriod),"◇","")),IF(AND(AW$5&lt;=$F20,AW$5+GanttPeriod-1&gt;=$E20),"━","")))</f>
        <v>━</v>
      </c>
      <c r="AX20" s="69" t="str">
        <f aca="false">IF($E20="","",IF($M20,IF(AND($G20&gt;=AX$5,$G20&lt;AX$5+GanttPeriod),"◆",IF(AND($E20&gt;=AX$5,$E20&lt;AX$5+GanttPeriod),"◇","")),IF(AND(AX$5&lt;=$F20,AX$5+GanttPeriod-1&gt;=$E20),"━","")))</f>
        <v>━</v>
      </c>
      <c r="AY20" s="69" t="str">
        <f aca="false">IF($E20="","",IF($M20,IF(AND($G20&gt;=AY$5,$G20&lt;AY$5+GanttPeriod),"◆",IF(AND($E20&gt;=AY$5,$E20&lt;AY$5+GanttPeriod),"◇","")),IF(AND(AY$5&lt;=$F20,AY$5+GanttPeriod-1&gt;=$E20),"━","")))</f>
        <v>━</v>
      </c>
      <c r="AZ20" s="69" t="str">
        <f aca="false">IF($E20="","",IF($M20,IF(AND($G20&gt;=AZ$5,$G20&lt;AZ$5+GanttPeriod),"◆",IF(AND($E20&gt;=AZ$5,$E20&lt;AZ$5+GanttPeriod),"◇","")),IF(AND(AZ$5&lt;=$F20,AZ$5+GanttPeriod-1&gt;=$E20),"━","")))</f>
        <v>━</v>
      </c>
      <c r="BA20" s="69" t="str">
        <f aca="false">IF($E20="","",IF($M20,IF(AND($G20&gt;=BA$5,$G20&lt;BA$5+GanttPeriod),"◆",IF(AND($E20&gt;=BA$5,$E20&lt;BA$5+GanttPeriod),"◇","")),IF(AND(BA$5&lt;=$F20,BA$5+GanttPeriod-1&gt;=$E20),"━","")))</f>
        <v>━</v>
      </c>
      <c r="BB20" s="69" t="str">
        <f aca="false">IF($E20="","",IF($M20,IF(AND($G20&gt;=BB$5,$G20&lt;BB$5+GanttPeriod),"◆",IF(AND($E20&gt;=BB$5,$E20&lt;BB$5+GanttPeriod),"◇","")),IF(AND(BB$5&lt;=$F20,BB$5+GanttPeriod-1&gt;=$E20),"━","")))</f>
        <v>━</v>
      </c>
      <c r="BC20" s="69" t="str">
        <f aca="false">IF($E20="","",IF($M20,IF(AND($G20&gt;=BC$5,$G20&lt;BC$5+GanttPeriod),"◆",IF(AND($E20&gt;=BC$5,$E20&lt;BC$5+GanttPeriod),"◇","")),IF(AND(BC$5&lt;=$F20,BC$5+GanttPeriod-1&gt;=$E20),"━","")))</f>
        <v>━</v>
      </c>
      <c r="BD20" s="69" t="str">
        <f aca="false">IF($E20="","",IF($M20,IF(AND($G20&gt;=BD$5,$G20&lt;BD$5+GanttPeriod),"◆",IF(AND($E20&gt;=BD$5,$E20&lt;BD$5+GanttPeriod),"◇","")),IF(AND(BD$5&lt;=$F20,BD$5+GanttPeriod-1&gt;=$E20),"━","")))</f>
        <v>━</v>
      </c>
      <c r="BE20" s="69" t="str">
        <f aca="false">IF($E20="","",IF($M20,IF(AND($G20&gt;=BE$5,$G20&lt;BE$5+GanttPeriod),"◆",IF(AND($E20&gt;=BE$5,$E20&lt;BE$5+GanttPeriod),"◇","")),IF(AND(BE$5&lt;=$F20,BE$5+GanttPeriod-1&gt;=$E20),"━","")))</f>
        <v>━</v>
      </c>
      <c r="BF20" s="69" t="str">
        <f aca="false">IF($E20="","",IF($M20,IF(AND($G20&gt;=BF$5,$G20&lt;BF$5+GanttPeriod),"◆",IF(AND($E20&gt;=BF$5,$E20&lt;BF$5+GanttPeriod),"◇","")),IF(AND(BF$5&lt;=$F20,BF$5+GanttPeriod-1&gt;=$E20),"━","")))</f>
        <v>━</v>
      </c>
      <c r="BG20" s="69" t="str">
        <f aca="false">IF($E20="","",IF($M20,IF(AND($G20&gt;=BG$5,$G20&lt;BG$5+GanttPeriod),"◆",IF(AND($E20&gt;=BG$5,$E20&lt;BG$5+GanttPeriod),"◇","")),IF(AND(BG$5&lt;=$F20,BG$5+GanttPeriod-1&gt;=$E20),"━","")))</f>
        <v>━</v>
      </c>
      <c r="BH20" s="69" t="str">
        <f aca="false">IF($E20="","",IF($M20,IF(AND($G20&gt;=BH$5,$G20&lt;BH$5+GanttPeriod),"◆",IF(AND($E20&gt;=BH$5,$E20&lt;BH$5+GanttPeriod),"◇","")),IF(AND(BH$5&lt;=$F20,BH$5+GanttPeriod-1&gt;=$E20),"━","")))</f>
        <v>━</v>
      </c>
      <c r="BI20" s="69" t="str">
        <f aca="false">IF($E20="","",IF($M20,IF(AND($G20&gt;=BI$5,$G20&lt;BI$5+GanttPeriod),"◆",IF(AND($E20&gt;=BI$5,$E20&lt;BI$5+GanttPeriod),"◇","")),IF(AND(BI$5&lt;=$F20,BI$5+GanttPeriod-1&gt;=$E20),"━","")))</f>
        <v>━</v>
      </c>
      <c r="BJ20" s="69" t="str">
        <f aca="false">IF($E20="","",IF($M20,IF(AND($G20&gt;=BJ$5,$G20&lt;BJ$5+GanttPeriod),"◆",IF(AND($E20&gt;=BJ$5,$E20&lt;BJ$5+GanttPeriod),"◇","")),IF(AND(BJ$5&lt;=$F20,BJ$5+GanttPeriod-1&gt;=$E20),"━","")))</f>
        <v>━</v>
      </c>
      <c r="BK20" s="69" t="str">
        <f aca="false">IF($E20="","",IF($M20,IF(AND($G20&gt;=BK$5,$G20&lt;BK$5+GanttPeriod),"◆",IF(AND($E20&gt;=BK$5,$E20&lt;BK$5+GanttPeriod),"◇","")),IF(AND(BK$5&lt;=$F20,BK$5+GanttPeriod-1&gt;=$E20),"━","")))</f>
        <v>━</v>
      </c>
      <c r="BL20" s="69" t="str">
        <f aca="false">IF($E20="","",IF($M20,IF(AND($G20&gt;=BL$5,$G20&lt;BL$5+GanttPeriod),"◆",IF(AND($E20&gt;=BL$5,$E20&lt;BL$5+GanttPeriod),"◇","")),IF(AND(BL$5&lt;=$F20,BL$5+GanttPeriod-1&gt;=$E20),"━","")))</f>
        <v>━</v>
      </c>
      <c r="BM20" s="69" t="str">
        <f aca="false">IF($E20="","",IF($M20,IF(AND($G20&gt;=BM$5,$G20&lt;BM$5+GanttPeriod),"◆",IF(AND($E20&gt;=BM$5,$E20&lt;BM$5+GanttPeriod),"◇","")),IF(AND(BM$5&lt;=$F20,BM$5+GanttPeriod-1&gt;=$E20),"━","")))</f>
        <v>━</v>
      </c>
      <c r="BN20" s="69" t="str">
        <f aca="false">IF($E20="","",IF($M20,IF(AND($G20&gt;=BN$5,$G20&lt;BN$5+GanttPeriod),"◆",IF(AND($E20&gt;=BN$5,$E20&lt;BN$5+GanttPeriod),"◇","")),IF(AND(BN$5&lt;=$F20,BN$5+GanttPeriod-1&gt;=$E20),"━","")))</f>
        <v>━</v>
      </c>
      <c r="BO20" s="69" t="str">
        <f aca="false">IF($E20="","",IF($M20,IF(AND($G20&gt;=BO$5,$G20&lt;BO$5+GanttPeriod),"◆",IF(AND($E20&gt;=BO$5,$E20&lt;BO$5+GanttPeriod),"◇","")),IF(AND(BO$5&lt;=$F20,BO$5+GanttPeriod-1&gt;=$E20),"━","")))</f>
        <v>━</v>
      </c>
      <c r="BP20" s="69" t="str">
        <f aca="false">IF($E20="","",IF($M20,IF(AND($G20&gt;=BP$5,$G20&lt;BP$5+GanttPeriod),"◆",IF(AND($E20&gt;=BP$5,$E20&lt;BP$5+GanttPeriod),"◇","")),IF(AND(BP$5&lt;=$F20,BP$5+GanttPeriod-1&gt;=$E20),"━","")))</f>
        <v>━</v>
      </c>
      <c r="BQ20" s="69" t="str">
        <f aca="false">IF($E20="","",IF($M20,IF(AND($G20&gt;=BQ$5,$G20&lt;BQ$5+GanttPeriod),"◆",IF(AND($E20&gt;=BQ$5,$E20&lt;BQ$5+GanttPeriod),"◇","")),IF(AND(BQ$5&lt;=$F20,BQ$5+GanttPeriod-1&gt;=$E20),"━","")))</f>
        <v>━</v>
      </c>
      <c r="BR20" s="69" t="str">
        <f aca="false">IF($E20="","",IF($M20,IF(AND($G20&gt;=BR$5,$G20&lt;BR$5+GanttPeriod),"◆",IF(AND($E20&gt;=BR$5,$E20&lt;BR$5+GanttPeriod),"◇","")),IF(AND(BR$5&lt;=$F20,BR$5+GanttPeriod-1&gt;=$E20),"━","")))</f>
        <v>━</v>
      </c>
      <c r="BS20" s="69" t="str">
        <f aca="false">IF($E20="","",IF($M20,IF(AND($G20&gt;=BS$5,$G20&lt;BS$5+GanttPeriod),"◆",IF(AND($E20&gt;=BS$5,$E20&lt;BS$5+GanttPeriod),"◇","")),IF(AND(BS$5&lt;=$F20,BS$5+GanttPeriod-1&gt;=$E20),"━","")))</f>
        <v>━</v>
      </c>
      <c r="BT20" s="69" t="str">
        <f aca="false">IF($E20="","",IF($M20,IF(AND($G20&gt;=BT$5,$G20&lt;BT$5+GanttPeriod),"◆",IF(AND($E20&gt;=BT$5,$E20&lt;BT$5+GanttPeriod),"◇","")),IF(AND(BT$5&lt;=$F20,BT$5+GanttPeriod-1&gt;=$E20),"━","")))</f>
        <v>━</v>
      </c>
      <c r="BU20" s="69" t="str">
        <f aca="false">IF($E20="","",IF($M20,IF(AND($G20&gt;=BU$5,$G20&lt;BU$5+GanttPeriod),"◆",IF(AND($E20&gt;=BU$5,$E20&lt;BU$5+GanttPeriod),"◇","")),IF(AND(BU$5&lt;=$F20,BU$5+GanttPeriod-1&gt;=$E20),"━","")))</f>
        <v/>
      </c>
      <c r="BV20" s="69" t="str">
        <f aca="false">IF($E20="","",IF($M20,IF(AND($G20&gt;=BV$5,$G20&lt;BV$5+GanttPeriod),"◆",IF(AND($E20&gt;=BV$5,$E20&lt;BV$5+GanttPeriod),"◇","")),IF(AND(BV$5&lt;=$F20,BV$5+GanttPeriod-1&gt;=$E20),"━","")))</f>
        <v/>
      </c>
      <c r="BW20" s="69" t="str">
        <f aca="false">IF($E20="","",IF($M20,IF(AND($G20&gt;=BW$5,$G20&lt;BW$5+GanttPeriod),"◆",IF(AND($E20&gt;=BW$5,$E20&lt;BW$5+GanttPeriod),"◇","")),IF(AND(BW$5&lt;=$F20,BW$5+GanttPeriod-1&gt;=$E20),"━","")))</f>
        <v/>
      </c>
      <c r="BX20" s="69" t="str">
        <f aca="false">IF($E20="","",IF($M20,IF(AND($G20&gt;=BX$5,$G20&lt;BX$5+GanttPeriod),"◆",IF(AND($E20&gt;=BX$5,$E20&lt;BX$5+GanttPeriod),"◇","")),IF(AND(BX$5&lt;=$F20,BX$5+GanttPeriod-1&gt;=$E20),"━","")))</f>
        <v/>
      </c>
      <c r="BY20" s="69" t="str">
        <f aca="false">IF($E20="","",IF($M20,IF(AND($G20&gt;=BY$5,$G20&lt;BY$5+GanttPeriod),"◆",IF(AND($E20&gt;=BY$5,$E20&lt;BY$5+GanttPeriod),"◇","")),IF(AND(BY$5&lt;=$F20,BY$5+GanttPeriod-1&gt;=$E20),"━","")))</f>
        <v/>
      </c>
      <c r="BZ20" s="69" t="str">
        <f aca="false">IF($E20="","",IF($M20,IF(AND($G20&gt;=BZ$5,$G20&lt;BZ$5+GanttPeriod),"◆",IF(AND($E20&gt;=BZ$5,$E20&lt;BZ$5+GanttPeriod),"◇","")),IF(AND(BZ$5&lt;=$F20,BZ$5+GanttPeriod-1&gt;=$E20),"━","")))</f>
        <v/>
      </c>
      <c r="CA20" s="69" t="str">
        <f aca="false">IF($E20="","",IF($M20,IF(AND($G20&gt;=CA$5,$G20&lt;CA$5+GanttPeriod),"◆",IF(AND($E20&gt;=CA$5,$E20&lt;CA$5+GanttPeriod),"◇","")),IF(AND(CA$5&lt;=$F20,CA$5+GanttPeriod-1&gt;=$E20),"━","")))</f>
        <v/>
      </c>
      <c r="CB20" s="69" t="str">
        <f aca="false">IF($E20="","",IF($M20,IF(AND($G20&gt;=CB$5,$G20&lt;CB$5+GanttPeriod),"◆",IF(AND($E20&gt;=CB$5,$E20&lt;CB$5+GanttPeriod),"◇","")),IF(AND(CB$5&lt;=$F20,CB$5+GanttPeriod-1&gt;=$E20),"━","")))</f>
        <v/>
      </c>
      <c r="CC20" s="69" t="str">
        <f aca="false">IF($E20="","",IF($M20,IF(AND($G20&gt;=CC$5,$G20&lt;CC$5+GanttPeriod),"◆",IF(AND($E20&gt;=CC$5,$E20&lt;CC$5+GanttPeriod),"◇","")),IF(AND(CC$5&lt;=$F20,CC$5+GanttPeriod-1&gt;=$E20),"━","")))</f>
        <v/>
      </c>
      <c r="CD20" s="69" t="str">
        <f aca="false">IF($E20="","",IF($M20,IF(AND($G20&gt;=CD$5,$G20&lt;CD$5+GanttPeriod),"◆",IF(AND($E20&gt;=CD$5,$E20&lt;CD$5+GanttPeriod),"◇","")),IF(AND(CD$5&lt;=$F20,CD$5+GanttPeriod-1&gt;=$E20),"━","")))</f>
        <v/>
      </c>
      <c r="CE20" s="69" t="str">
        <f aca="false">IF($E20="","",IF($M20,IF(AND($G20&gt;=CE$5,$G20&lt;CE$5+GanttPeriod),"◆",IF(AND($E20&gt;=CE$5,$E20&lt;CE$5+GanttPeriod),"◇","")),IF(AND(CE$5&lt;=$F20,CE$5+GanttPeriod-1&gt;=$E20),"━","")))</f>
        <v/>
      </c>
      <c r="CF20" s="69" t="str">
        <f aca="false">IF($E20="","",IF($M20,IF(AND($G20&gt;=CF$5,$G20&lt;CF$5+GanttPeriod),"◆",IF(AND($E20&gt;=CF$5,$E20&lt;CF$5+GanttPeriod),"◇","")),IF(AND(CF$5&lt;=$F20,CF$5+GanttPeriod-1&gt;=$E20),"━","")))</f>
        <v/>
      </c>
      <c r="CG20" s="69" t="str">
        <f aca="false">IF($E20="","",IF($M20,IF(AND($G20&gt;=CG$5,$G20&lt;CG$5+GanttPeriod),"◆",IF(AND($E20&gt;=CG$5,$E20&lt;CG$5+GanttPeriod),"◇","")),IF(AND(CG$5&lt;=$F20,CG$5+GanttPeriod-1&gt;=$E20),"━","")))</f>
        <v/>
      </c>
      <c r="CH20" s="69" t="str">
        <f aca="false">IF($E20="","",IF($M20,IF(AND($G20&gt;=CH$5,$G20&lt;CH$5+GanttPeriod),"◆",IF(AND($E20&gt;=CH$5,$E20&lt;CH$5+GanttPeriod),"◇","")),IF(AND(CH$5&lt;=$F20,CH$5+GanttPeriod-1&gt;=$E20),"━","")))</f>
        <v/>
      </c>
      <c r="CI20" s="69" t="str">
        <f aca="false">IF($E20="","",IF($M20,IF(AND($G20&gt;=CI$5,$G20&lt;CI$5+GanttPeriod),"◆",IF(AND($E20&gt;=CI$5,$E20&lt;CI$5+GanttPeriod),"◇","")),IF(AND(CI$5&lt;=$F20,CI$5+GanttPeriod-1&gt;=$E20),"━","")))</f>
        <v/>
      </c>
      <c r="CJ20" s="69" t="str">
        <f aca="false">IF($E20="","",IF($M20,IF(AND($G20&gt;=CJ$5,$G20&lt;CJ$5+GanttPeriod),"◆",IF(AND($E20&gt;=CJ$5,$E20&lt;CJ$5+GanttPeriod),"◇","")),IF(AND(CJ$5&lt;=$F20,CJ$5+GanttPeriod-1&gt;=$E20),"━","")))</f>
        <v/>
      </c>
      <c r="CK20" s="69" t="str">
        <f aca="false">IF($E20="","",IF($M20,IF(AND($G20&gt;=CK$5,$G20&lt;CK$5+GanttPeriod),"◆",IF(AND($E20&gt;=CK$5,$E20&lt;CK$5+GanttPeriod),"◇","")),IF(AND(CK$5&lt;=$F20,CK$5+GanttPeriod-1&gt;=$E20),"━","")))</f>
        <v/>
      </c>
      <c r="CL20" s="69" t="str">
        <f aca="false">IF($E20="","",IF($M20,IF(AND($G20&gt;=CL$5,$G20&lt;CL$5+GanttPeriod),"◆",IF(AND($E20&gt;=CL$5,$E20&lt;CL$5+GanttPeriod),"◇","")),IF(AND(CL$5&lt;=$F20,CL$5+GanttPeriod-1&gt;=$E20),"━","")))</f>
        <v/>
      </c>
      <c r="CM20" s="69" t="str">
        <f aca="false">IF($E20="","",IF($M20,IF(AND($G20&gt;=CM$5,$G20&lt;CM$5+GanttPeriod),"◆",IF(AND($E20&gt;=CM$5,$E20&lt;CM$5+GanttPeriod),"◇","")),IF(AND(CM$5&lt;=$F20,CM$5+GanttPeriod-1&gt;=$E20),"━","")))</f>
        <v/>
      </c>
      <c r="CN20" s="69" t="str">
        <f aca="false">IF($E20="","",IF($M20,IF(AND($G20&gt;=CN$5,$G20&lt;CN$5+GanttPeriod),"◆",IF(AND($E20&gt;=CN$5,$E20&lt;CN$5+GanttPeriod),"◇","")),IF(AND(CN$5&lt;=$F20,CN$5+GanttPeriod-1&gt;=$E20),"━","")))</f>
        <v/>
      </c>
      <c r="CO20" s="69" t="str">
        <f aca="false">IF($E20="","",IF($M20,IF(AND($G20&gt;=CO$5,$G20&lt;CO$5+GanttPeriod),"◆",IF(AND($E20&gt;=CO$5,$E20&lt;CO$5+GanttPeriod),"◇","")),IF(AND(CO$5&lt;=$F20,CO$5+GanttPeriod-1&gt;=$E20),"━","")))</f>
        <v/>
      </c>
      <c r="CP20" s="69" t="str">
        <f aca="false">IF($E20="","",IF($M20,IF(AND($G20&gt;=CP$5,$G20&lt;CP$5+GanttPeriod),"◆",IF(AND($E20&gt;=CP$5,$E20&lt;CP$5+GanttPeriod),"◇","")),IF(AND(CP$5&lt;=$F20,CP$5+GanttPeriod-1&gt;=$E20),"━","")))</f>
        <v/>
      </c>
      <c r="CQ20" s="69" t="str">
        <f aca="false">IF($E20="","",IF($M20,IF(AND($G20&gt;=CQ$5,$G20&lt;CQ$5+GanttPeriod),"◆",IF(AND($E20&gt;=CQ$5,$E20&lt;CQ$5+GanttPeriod),"◇","")),IF(AND(CQ$5&lt;=$F20,CQ$5+GanttPeriod-1&gt;=$E20),"━","")))</f>
        <v/>
      </c>
      <c r="CR20" s="69" t="str">
        <f aca="false">IF($E20="","",IF($M20,IF(AND($G20&gt;=CR$5,$G20&lt;CR$5+GanttPeriod),"◆",IF(AND($E20&gt;=CR$5,$E20&lt;CR$5+GanttPeriod),"◇","")),IF(AND(CR$5&lt;=$F20,CR$5+GanttPeriod-1&gt;=$E20),"━","")))</f>
        <v/>
      </c>
      <c r="CS20" s="69" t="str">
        <f aca="false">IF($E20="","",IF($M20,IF(AND($G20&gt;=CS$5,$G20&lt;CS$5+GanttPeriod),"◆",IF(AND($E20&gt;=CS$5,$E20&lt;CS$5+GanttPeriod),"◇","")),IF(AND(CS$5&lt;=$F20,CS$5+GanttPeriod-1&gt;=$E20),"━","")))</f>
        <v/>
      </c>
      <c r="CT20" s="69" t="str">
        <f aca="false">IF($E20="","",IF($M20,IF(AND($G20&gt;=CT$5,$G20&lt;CT$5+GanttPeriod),"◆",IF(AND($E20&gt;=CT$5,$E20&lt;CT$5+GanttPeriod),"◇","")),IF(AND(CT$5&lt;=$F20,CT$5+GanttPeriod-1&gt;=$E20),"━","")))</f>
        <v/>
      </c>
      <c r="CU20" s="69" t="str">
        <f aca="false">IF($E20="","",IF($M20,IF(AND($G20&gt;=CU$5,$G20&lt;CU$5+GanttPeriod),"◆",IF(AND($E20&gt;=CU$5,$E20&lt;CU$5+GanttPeriod),"◇","")),IF(AND(CU$5&lt;=$F20,CU$5+GanttPeriod-1&gt;=$E20),"━","")))</f>
        <v/>
      </c>
      <c r="CV20" s="69" t="str">
        <f aca="false">IF($E20="","",IF($M20,IF(AND($G20&gt;=CV$5,$G20&lt;CV$5+GanttPeriod),"◆",IF(AND($E20&gt;=CV$5,$E20&lt;CV$5+GanttPeriod),"◇","")),IF(AND(CV$5&lt;=$F20,CV$5+GanttPeriod-1&gt;=$E20),"━","")))</f>
        <v/>
      </c>
      <c r="CW20" s="69" t="str">
        <f aca="false">IF($E20="","",IF($M20,IF(AND($G20&gt;=CW$5,$G20&lt;CW$5+GanttPeriod),"◆",IF(AND($E20&gt;=CW$5,$E20&lt;CW$5+GanttPeriod),"◇","")),IF(AND(CW$5&lt;=$F20,CW$5+GanttPeriod-1&gt;=$E20),"━","")))</f>
        <v/>
      </c>
      <c r="CX20" s="69" t="str">
        <f aca="false">IF($E20="","",IF($M20,IF(AND($G20&gt;=CX$5,$G20&lt;CX$5+GanttPeriod),"◆",IF(AND($E20&gt;=CX$5,$E20&lt;CX$5+GanttPeriod),"◇","")),IF(AND(CX$5&lt;=$F20,CX$5+GanttPeriod-1&gt;=$E20),"━","")))</f>
        <v/>
      </c>
      <c r="CY20" s="69" t="str">
        <f aca="false">IF($E20="","",IF($M20,IF(AND($G20&gt;=CY$5,$G20&lt;CY$5+GanttPeriod),"◆",IF(AND($E20&gt;=CY$5,$E20&lt;CY$5+GanttPeriod),"◇","")),IF(AND(CY$5&lt;=$F20,CY$5+GanttPeriod-1&gt;=$E20),"━","")))</f>
        <v/>
      </c>
      <c r="CZ20" s="69" t="str">
        <f aca="false">IF($E20="","",IF($M20,IF(AND($G20&gt;=CZ$5,$G20&lt;CZ$5+GanttPeriod),"◆",IF(AND($E20&gt;=CZ$5,$E20&lt;CZ$5+GanttPeriod),"◇","")),IF(AND(CZ$5&lt;=$F20,CZ$5+GanttPeriod-1&gt;=$E20),"━","")))</f>
        <v/>
      </c>
      <c r="DA20" s="69" t="str">
        <f aca="false">IF($E20="","",IF($M20,IF(AND($G20&gt;=DA$5,$G20&lt;DA$5+GanttPeriod),"◆",IF(AND($E20&gt;=DA$5,$E20&lt;DA$5+GanttPeriod),"◇","")),IF(AND(DA$5&lt;=$F20,DA$5+GanttPeriod-1&gt;=$E20),"━","")))</f>
        <v/>
      </c>
      <c r="DB20" s="69" t="str">
        <f aca="false">IF($E20="","",IF($M20,IF(AND($G20&gt;=DB$5,$G20&lt;DB$5+GanttPeriod),"◆",IF(AND($E20&gt;=DB$5,$E20&lt;DB$5+GanttPeriod),"◇","")),IF(AND(DB$5&lt;=$F20,DB$5+GanttPeriod-1&gt;=$E20),"━","")))</f>
        <v/>
      </c>
      <c r="DC20" s="69" t="str">
        <f aca="false">IF($E20="","",IF($M20,IF(AND($G20&gt;=DC$5,$G20&lt;DC$5+GanttPeriod),"◆",IF(AND($E20&gt;=DC$5,$E20&lt;DC$5+GanttPeriod),"◇","")),IF(AND(DC$5&lt;=$F20,DC$5+GanttPeriod-1&gt;=$E20),"━","")))</f>
        <v/>
      </c>
      <c r="DD20" s="69" t="str">
        <f aca="false">IF($E20="","",IF($M20,IF(AND($G20&gt;=DD$5,$G20&lt;DD$5+GanttPeriod),"◆",IF(AND($E20&gt;=DD$5,$E20&lt;DD$5+GanttPeriod),"◇","")),IF(AND(DD$5&lt;=$F20,DD$5+GanttPeriod-1&gt;=$E20),"━","")))</f>
        <v/>
      </c>
      <c r="DE20" s="69" t="str">
        <f aca="false">IF($E20="","",IF($M20,IF(AND($G20&gt;=DE$5,$G20&lt;DE$5+GanttPeriod),"◆",IF(AND($E20&gt;=DE$5,$E20&lt;DE$5+GanttPeriod),"◇","")),IF(AND(DE$5&lt;=$F20,DE$5+GanttPeriod-1&gt;=$E20),"━","")))</f>
        <v/>
      </c>
      <c r="DF20" s="69" t="str">
        <f aca="false">IF($E20="","",IF($M20,IF(AND($G20&gt;=DF$5,$G20&lt;DF$5+GanttPeriod),"◆",IF(AND($E20&gt;=DF$5,$E20&lt;DF$5+GanttPeriod),"◇","")),IF(AND(DF$5&lt;=$F20,DF$5+GanttPeriod-1&gt;=$E20),"━","")))</f>
        <v/>
      </c>
      <c r="DG20" s="69" t="str">
        <f aca="false">IF($E20="","",IF($M20,IF(AND($G20&gt;=DG$5,$G20&lt;DG$5+GanttPeriod),"◆",IF(AND($E20&gt;=DG$5,$E20&lt;DG$5+GanttPeriod),"◇","")),IF(AND(DG$5&lt;=$F20,DG$5+GanttPeriod-1&gt;=$E20),"━","")))</f>
        <v/>
      </c>
      <c r="DH20" s="69" t="str">
        <f aca="false">IF($E20="","",IF($M20,IF(AND($G20&gt;=DH$5,$G20&lt;DH$5+GanttPeriod),"◆",IF(AND($E20&gt;=DH$5,$E20&lt;DH$5+GanttPeriod),"◇","")),IF(AND(DH$5&lt;=$F20,DH$5+GanttPeriod-1&gt;=$E20),"━","")))</f>
        <v/>
      </c>
      <c r="DI20" s="69" t="str">
        <f aca="false">IF($E20="","",IF($M20,IF(AND($G20&gt;=DI$5,$G20&lt;DI$5+GanttPeriod),"◆",IF(AND($E20&gt;=DI$5,$E20&lt;DI$5+GanttPeriod),"◇","")),IF(AND(DI$5&lt;=$F20,DI$5+GanttPeriod-1&gt;=$E20),"━","")))</f>
        <v/>
      </c>
      <c r="DJ20" s="69" t="str">
        <f aca="false">IF($E20="","",IF($M20,IF(AND($G20&gt;=DJ$5,$G20&lt;DJ$5+GanttPeriod),"◆",IF(AND($E20&gt;=DJ$5,$E20&lt;DJ$5+GanttPeriod),"◇","")),IF(AND(DJ$5&lt;=$F20,DJ$5+GanttPeriod-1&gt;=$E20),"━","")))</f>
        <v/>
      </c>
      <c r="DK20" s="69" t="str">
        <f aca="false">IF($E20="","",IF($M20,IF(AND($G20&gt;=DK$5,$G20&lt;DK$5+GanttPeriod),"◆",IF(AND($E20&gt;=DK$5,$E20&lt;DK$5+GanttPeriod),"◇","")),IF(AND(DK$5&lt;=$F20,DK$5+GanttPeriod-1&gt;=$E20),"━","")))</f>
        <v/>
      </c>
      <c r="DL20" s="69" t="str">
        <f aca="false">IF($E20="","",IF($M20,IF(AND($G20&gt;=DL$5,$G20&lt;DL$5+GanttPeriod),"◆",IF(AND($E20&gt;=DL$5,$E20&lt;DL$5+GanttPeriod),"◇","")),IF(AND(DL$5&lt;=$F20,DL$5+GanttPeriod-1&gt;=$E20),"━","")))</f>
        <v/>
      </c>
      <c r="DM20" s="69" t="str">
        <f aca="false">IF($E20="","",IF($M20,IF(AND($G20&gt;=DM$5,$G20&lt;DM$5+GanttPeriod),"◆",IF(AND($E20&gt;=DM$5,$E20&lt;DM$5+GanttPeriod),"◇","")),IF(AND(DM$5&lt;=$F20,DM$5+GanttPeriod-1&gt;=$E20),"━","")))</f>
        <v/>
      </c>
      <c r="DN20" s="69" t="str">
        <f aca="false">IF($E20="","",IF($M20,IF(AND($G20&gt;=DN$5,$G20&lt;DN$5+GanttPeriod),"◆",IF(AND($E20&gt;=DN$5,$E20&lt;DN$5+GanttPeriod),"◇","")),IF(AND(DN$5&lt;=$F20,DN$5+GanttPeriod-1&gt;=$E20),"━","")))</f>
        <v/>
      </c>
      <c r="DO20" s="69" t="str">
        <f aca="false">IF($E20="","",IF($M20,IF(AND($G20&gt;=DO$5,$G20&lt;DO$5+GanttPeriod),"◆",IF(AND($E20&gt;=DO$5,$E20&lt;DO$5+GanttPeriod),"◇","")),IF(AND(DO$5&lt;=$F20,DO$5+GanttPeriod-1&gt;=$E20),"━","")))</f>
        <v/>
      </c>
      <c r="DP20" s="69" t="str">
        <f aca="false">IF($E20="","",IF($M20,IF(AND($G20&gt;=DP$5,$G20&lt;DP$5+GanttPeriod),"◆",IF(AND($E20&gt;=DP$5,$E20&lt;DP$5+GanttPeriod),"◇","")),IF(AND(DP$5&lt;=$F20,DP$5+GanttPeriod-1&gt;=$E20),"━","")))</f>
        <v/>
      </c>
      <c r="DQ20" s="69" t="str">
        <f aca="false">IF($E20="","",IF($M20,IF(AND($G20&gt;=DQ$5,$G20&lt;DQ$5+GanttPeriod),"◆",IF(AND($E20&gt;=DQ$5,$E20&lt;DQ$5+GanttPeriod),"◇","")),IF(AND(DQ$5&lt;=$F20,DQ$5+GanttPeriod-1&gt;=$E20),"━","")))</f>
        <v/>
      </c>
      <c r="DR20" s="69" t="str">
        <f aca="false">IF($E20="","",IF($M20,IF(AND($G20&gt;=DR$5,$G20&lt;DR$5+GanttPeriod),"◆",IF(AND($E20&gt;=DR$5,$E20&lt;DR$5+GanttPeriod),"◇","")),IF(AND(DR$5&lt;=$F20,DR$5+GanttPeriod-1&gt;=$E20),"━","")))</f>
        <v/>
      </c>
      <c r="DS20" s="69" t="str">
        <f aca="false">IF($E20="","",IF($M20,IF(AND($G20&gt;=DS$5,$G20&lt;DS$5+GanttPeriod),"◆",IF(AND($E20&gt;=DS$5,$E20&lt;DS$5+GanttPeriod),"◇","")),IF(AND(DS$5&lt;=$F20,DS$5+GanttPeriod-1&gt;=$E20),"━","")))</f>
        <v/>
      </c>
      <c r="DT20" s="69" t="str">
        <f aca="false">IF($E20="","",IF($M20,IF(AND($G20&gt;=DT$5,$G20&lt;DT$5+GanttPeriod),"◆",IF(AND($E20&gt;=DT$5,$E20&lt;DT$5+GanttPeriod),"◇","")),IF(AND(DT$5&lt;=$F20,DT$5+GanttPeriod-1&gt;=$E20),"━","")))</f>
        <v/>
      </c>
      <c r="DU20" s="69" t="str">
        <f aca="false">IF($E20="","",IF($M20,IF(AND($G20&gt;=DU$5,$G20&lt;DU$5+GanttPeriod),"◆",IF(AND($E20&gt;=DU$5,$E20&lt;DU$5+GanttPeriod),"◇","")),IF(AND(DU$5&lt;=$F20,DU$5+GanttPeriod-1&gt;=$E20),"━","")))</f>
        <v/>
      </c>
      <c r="DV20" s="69" t="str">
        <f aca="false">IF($E20="","",IF($M20,IF(AND($G20&gt;=DV$5,$G20&lt;DV$5+GanttPeriod),"◆",IF(AND($E20&gt;=DV$5,$E20&lt;DV$5+GanttPeriod),"◇","")),IF(AND(DV$5&lt;=$F20,DV$5+GanttPeriod-1&gt;=$E20),"━","")))</f>
        <v/>
      </c>
      <c r="DW20" s="69" t="str">
        <f aca="false">IF($E20="","",IF($M20,IF(AND($G20&gt;=DW$5,$G20&lt;DW$5+GanttPeriod),"◆",IF(AND($E20&gt;=DW$5,$E20&lt;DW$5+GanttPeriod),"◇","")),IF(AND(DW$5&lt;=$F20,DW$5+GanttPeriod-1&gt;=$E20),"━","")))</f>
        <v/>
      </c>
      <c r="DX20" s="69" t="str">
        <f aca="false">IF($E20="","",IF($M20,IF(AND($G20&gt;=DX$5,$G20&lt;DX$5+GanttPeriod),"◆",IF(AND($E20&gt;=DX$5,$E20&lt;DX$5+GanttPeriod),"◇","")),IF(AND(DX$5&lt;=$F20,DX$5+GanttPeriod-1&gt;=$E20),"━","")))</f>
        <v/>
      </c>
      <c r="DY20" s="69" t="str">
        <f aca="false">IF($E20="","",IF($M20,IF(AND($G20&gt;=DY$5,$G20&lt;DY$5+GanttPeriod),"◆",IF(AND($E20&gt;=DY$5,$E20&lt;DY$5+GanttPeriod),"◇","")),IF(AND(DY$5&lt;=$F20,DY$5+GanttPeriod-1&gt;=$E20),"━","")))</f>
        <v/>
      </c>
      <c r="DZ20" s="69" t="str">
        <f aca="false">IF($E20="","",IF($M20,IF(AND($G20&gt;=DZ$5,$G20&lt;DZ$5+GanttPeriod),"◆",IF(AND($E20&gt;=DZ$5,$E20&lt;DZ$5+GanttPeriod),"◇","")),IF(AND(DZ$5&lt;=$F20,DZ$5+GanttPeriod-1&gt;=$E20),"━","")))</f>
        <v/>
      </c>
      <c r="EA20" s="69" t="str">
        <f aca="false">IF($E20="","",IF($M20,IF(AND($G20&gt;=EA$5,$G20&lt;EA$5+GanttPeriod),"◆",IF(AND($E20&gt;=EA$5,$E20&lt;EA$5+GanttPeriod),"◇","")),IF(AND(EA$5&lt;=$F20,EA$5+GanttPeriod-1&gt;=$E20),"━","")))</f>
        <v/>
      </c>
      <c r="EB20" s="69" t="str">
        <f aca="false">IF($E20="","",IF($M20,IF(AND($G20&gt;=EB$5,$G20&lt;EB$5+GanttPeriod),"◆",IF(AND($E20&gt;=EB$5,$E20&lt;EB$5+GanttPeriod),"◇","")),IF(AND(EB$5&lt;=$F20,EB$5+GanttPeriod-1&gt;=$E20),"━","")))</f>
        <v/>
      </c>
      <c r="EC20" s="69" t="str">
        <f aca="false">IF($E20="","",IF($M20,IF(AND($G20&gt;=EC$5,$G20&lt;EC$5+GanttPeriod),"◆",IF(AND($E20&gt;=EC$5,$E20&lt;EC$5+GanttPeriod),"◇","")),IF(AND(EC$5&lt;=$F20,EC$5+GanttPeriod-1&gt;=$E20),"━","")))</f>
        <v/>
      </c>
      <c r="ED20" s="69" t="str">
        <f aca="false">IF($E20="","",IF($M20,IF(AND($G20&gt;=ED$5,$G20&lt;ED$5+GanttPeriod),"◆",IF(AND($E20&gt;=ED$5,$E20&lt;ED$5+GanttPeriod),"◇","")),IF(AND(ED$5&lt;=$F20,ED$5+GanttPeriod-1&gt;=$E20),"━","")))</f>
        <v/>
      </c>
      <c r="EE20" s="69" t="str">
        <f aca="false">IF($E20="","",IF($M20,IF(AND($G20&gt;=EE$5,$G20&lt;EE$5+GanttPeriod),"◆",IF(AND($E20&gt;=EE$5,$E20&lt;EE$5+GanttPeriod),"◇","")),IF(AND(EE$5&lt;=$F20,EE$5+GanttPeriod-1&gt;=$E20),"━","")))</f>
        <v/>
      </c>
      <c r="EF20" s="69" t="str">
        <f aca="false">IF($E20="","",IF($M20,IF(AND($G20&gt;=EF$5,$G20&lt;EF$5+GanttPeriod),"◆",IF(AND($E20&gt;=EF$5,$E20&lt;EF$5+GanttPeriod),"◇","")),IF(AND(EF$5&lt;=$F20,EF$5+GanttPeriod-1&gt;=$E20),"━","")))</f>
        <v/>
      </c>
      <c r="EG20" s="69" t="str">
        <f aca="false">IF($E20="","",IF($M20,IF(AND($G20&gt;=EG$5,$G20&lt;EG$5+GanttPeriod),"◆",IF(AND($E20&gt;=EG$5,$E20&lt;EG$5+GanttPeriod),"◇","")),IF(AND(EG$5&lt;=$F20,EG$5+GanttPeriod-1&gt;=$E20),"━","")))</f>
        <v/>
      </c>
      <c r="EH20" s="69" t="str">
        <f aca="false">IF($E20="","",IF($M20,IF(AND($G20&gt;=EH$5,$G20&lt;EH$5+GanttPeriod),"◆",IF(AND($E20&gt;=EH$5,$E20&lt;EH$5+GanttPeriod),"◇","")),IF(AND(EH$5&lt;=$F20,EH$5+GanttPeriod-1&gt;=$E20),"━","")))</f>
        <v/>
      </c>
      <c r="EI20" s="69" t="str">
        <f aca="false">IF($E20="","",IF($M20,IF(AND($G20&gt;=EI$5,$G20&lt;EI$5+GanttPeriod),"◆",IF(AND($E20&gt;=EI$5,$E20&lt;EI$5+GanttPeriod),"◇","")),IF(AND(EI$5&lt;=$F20,EI$5+GanttPeriod-1&gt;=$E20),"━","")))</f>
        <v/>
      </c>
      <c r="EJ20" s="69" t="str">
        <f aca="false">IF($E20="","",IF($M20,IF(AND($G20&gt;=EJ$5,$G20&lt;EJ$5+GanttPeriod),"◆",IF(AND($E20&gt;=EJ$5,$E20&lt;EJ$5+GanttPeriod),"◇","")),IF(AND(EJ$5&lt;=$F20,EJ$5+GanttPeriod-1&gt;=$E20),"━","")))</f>
        <v/>
      </c>
      <c r="EK20" s="69" t="str">
        <f aca="false">IF($E20="","",IF($M20,IF(AND($G20&gt;=EK$5,$G20&lt;EK$5+GanttPeriod),"◆",IF(AND($E20&gt;=EK$5,$E20&lt;EK$5+GanttPeriod),"◇","")),IF(AND(EK$5&lt;=$F20,EK$5+GanttPeriod-1&gt;=$E20),"━","")))</f>
        <v/>
      </c>
      <c r="EL20" s="69" t="str">
        <f aca="false">IF($E20="","",IF($M20,IF(AND($G20&gt;=EL$5,$G20&lt;EL$5+GanttPeriod),"◆",IF(AND($E20&gt;=EL$5,$E20&lt;EL$5+GanttPeriod),"◇","")),IF(AND(EL$5&lt;=$F20,EL$5+GanttPeriod-1&gt;=$E20),"━","")))</f>
        <v/>
      </c>
      <c r="EM20" s="69" t="str">
        <f aca="false">IF($E20="","",IF($M20,IF(AND($G20&gt;=EM$5,$G20&lt;EM$5+GanttPeriod),"◆",IF(AND($E20&gt;=EM$5,$E20&lt;EM$5+GanttPeriod),"◇","")),IF(AND(EM$5&lt;=$F20,EM$5+GanttPeriod-1&gt;=$E20),"━","")))</f>
        <v/>
      </c>
      <c r="EN20" s="69" t="str">
        <f aca="false">IF($E20="","",IF($M20,IF(AND($G20&gt;=EN$5,$G20&lt;EN$5+GanttPeriod),"◆",IF(AND($E20&gt;=EN$5,$E20&lt;EN$5+GanttPeriod),"◇","")),IF(AND(EN$5&lt;=$F20,EN$5+GanttPeriod-1&gt;=$E20),"━","")))</f>
        <v/>
      </c>
      <c r="EO20" s="69" t="str">
        <f aca="false">IF($E20="","",IF($M20,IF(AND($G20&gt;=EO$5,$G20&lt;EO$5+GanttPeriod),"◆",IF(AND($E20&gt;=EO$5,$E20&lt;EO$5+GanttPeriod),"◇","")),IF(AND(EO$5&lt;=$F20,EO$5+GanttPeriod-1&gt;=$E20),"━","")))</f>
        <v/>
      </c>
      <c r="EP20" s="69" t="str">
        <f aca="false">IF($E20="","",IF($M20,IF(AND($G20&gt;=EP$5,$G20&lt;EP$5+GanttPeriod),"◆",IF(AND($E20&gt;=EP$5,$E20&lt;EP$5+GanttPeriod),"◇","")),IF(AND(EP$5&lt;=$F20,EP$5+GanttPeriod-1&gt;=$E20),"━","")))</f>
        <v/>
      </c>
      <c r="EQ20" s="69" t="str">
        <f aca="false">IF($E20="","",IF($M20,IF(AND($G20&gt;=EQ$5,$G20&lt;EQ$5+GanttPeriod),"◆",IF(AND($E20&gt;=EQ$5,$E20&lt;EQ$5+GanttPeriod),"◇","")),IF(AND(EQ$5&lt;=$F20,EQ$5+GanttPeriod-1&gt;=$E20),"━","")))</f>
        <v/>
      </c>
      <c r="ER20" s="69" t="str">
        <f aca="false">IF($E20="","",IF($M20,IF(AND($G20&gt;=ER$5,$G20&lt;ER$5+GanttPeriod),"◆",IF(AND($E20&gt;=ER$5,$E20&lt;ER$5+GanttPeriod),"◇","")),IF(AND(ER$5&lt;=$F20,ER$5+GanttPeriod-1&gt;=$E20),"━","")))</f>
        <v/>
      </c>
      <c r="ES20" s="69" t="str">
        <f aca="false">IF($E20="","",IF($M20,IF(AND($G20&gt;=ES$5,$G20&lt;ES$5+GanttPeriod),"◆",IF(AND($E20&gt;=ES$5,$E20&lt;ES$5+GanttPeriod),"◇","")),IF(AND(ES$5&lt;=$F20,ES$5+GanttPeriod-1&gt;=$E20),"━","")))</f>
        <v/>
      </c>
      <c r="ET20" s="69" t="str">
        <f aca="false">IF($E20="","",IF($M20,IF(AND($G20&gt;=ET$5,$G20&lt;ET$5+GanttPeriod),"◆",IF(AND($E20&gt;=ET$5,$E20&lt;ET$5+GanttPeriod),"◇","")),IF(AND(ET$5&lt;=$F20,ET$5+GanttPeriod-1&gt;=$E20),"━","")))</f>
        <v/>
      </c>
      <c r="EU20" s="69" t="str">
        <f aca="false">IF($E20="","",IF($M20,IF(AND($G20&gt;=EU$5,$G20&lt;EU$5+GanttPeriod),"◆",IF(AND($E20&gt;=EU$5,$E20&lt;EU$5+GanttPeriod),"◇","")),IF(AND(EU$5&lt;=$F20,EU$5+GanttPeriod-1&gt;=$E20),"━","")))</f>
        <v/>
      </c>
      <c r="EV20" s="69" t="str">
        <f aca="false">IF($E20="","",IF($M20,IF(AND($G20&gt;=EV$5,$G20&lt;EV$5+GanttPeriod),"◆",IF(AND($E20&gt;=EV$5,$E20&lt;EV$5+GanttPeriod),"◇","")),IF(AND(EV$5&lt;=$F20,EV$5+GanttPeriod-1&gt;=$E20),"━","")))</f>
        <v/>
      </c>
      <c r="EW20" s="69" t="str">
        <f aca="false">IF($E20="","",IF($M20,IF(AND($G20&gt;=EW$5,$G20&lt;EW$5+GanttPeriod),"◆",IF(AND($E20&gt;=EW$5,$E20&lt;EW$5+GanttPeriod),"◇","")),IF(AND(EW$5&lt;=$F20,EW$5+GanttPeriod-1&gt;=$E20),"━","")))</f>
        <v/>
      </c>
      <c r="EX20" s="69" t="str">
        <f aca="false">IF($E20="","",IF($M20,IF(AND($G20&gt;=EX$5,$G20&lt;EX$5+GanttPeriod),"◆",IF(AND($E20&gt;=EX$5,$E20&lt;EX$5+GanttPeriod),"◇","")),IF(AND(EX$5&lt;=$F20,EX$5+GanttPeriod-1&gt;=$E20),"━","")))</f>
        <v/>
      </c>
      <c r="EY20" s="69" t="str">
        <f aca="false">IF($E20="","",IF($M20,IF(AND($G20&gt;=EY$5,$G20&lt;EY$5+GanttPeriod),"◆",IF(AND($E20&gt;=EY$5,$E20&lt;EY$5+GanttPeriod),"◇","")),IF(AND(EY$5&lt;=$F20,EY$5+GanttPeriod-1&gt;=$E20),"━","")))</f>
        <v/>
      </c>
      <c r="EZ20" s="69" t="str">
        <f aca="false">IF($E20="","",IF($M20,IF(AND($G20&gt;=EZ$5,$G20&lt;EZ$5+GanttPeriod),"◆",IF(AND($E20&gt;=EZ$5,$E20&lt;EZ$5+GanttPeriod),"◇","")),IF(AND(EZ$5&lt;=$F20,EZ$5+GanttPeriod-1&gt;=$E20),"━","")))</f>
        <v/>
      </c>
      <c r="FA20" s="69" t="str">
        <f aca="false">IF($E20="","",IF($M20,IF(AND($G20&gt;=FA$5,$G20&lt;FA$5+GanttPeriod),"◆",IF(AND($E20&gt;=FA$5,$E20&lt;FA$5+GanttPeriod),"◇","")),IF(AND(FA$5&lt;=$F20,FA$5+GanttPeriod-1&gt;=$E20),"━","")))</f>
        <v/>
      </c>
      <c r="FB20" s="69" t="str">
        <f aca="false">IF($E20="","",IF($M20,IF(AND($G20&gt;=FB$5,$G20&lt;FB$5+GanttPeriod),"◆",IF(AND($E20&gt;=FB$5,$E20&lt;FB$5+GanttPeriod),"◇","")),IF(AND(FB$5&lt;=$F20,FB$5+GanttPeriod-1&gt;=$E20),"━","")))</f>
        <v/>
      </c>
      <c r="FC20" s="69" t="str">
        <f aca="false">IF($E20="","",IF($M20,IF(AND($G20&gt;=FC$5,$G20&lt;FC$5+GanttPeriod),"◆",IF(AND($E20&gt;=FC$5,$E20&lt;FC$5+GanttPeriod),"◇","")),IF(AND(FC$5&lt;=$F20,FC$5+GanttPeriod-1&gt;=$E20),"━","")))</f>
        <v/>
      </c>
      <c r="FD20" s="69" t="str">
        <f aca="false">IF($E20="","",IF($M20,IF(AND($G20&gt;=FD$5,$G20&lt;FD$5+GanttPeriod),"◆",IF(AND($E20&gt;=FD$5,$E20&lt;FD$5+GanttPeriod),"◇","")),IF(AND(FD$5&lt;=$F20,FD$5+GanttPeriod-1&gt;=$E20),"━","")))</f>
        <v/>
      </c>
      <c r="FE20" s="69" t="str">
        <f aca="false">IF($E20="","",IF($M20,IF(AND($G20&gt;=FE$5,$G20&lt;FE$5+GanttPeriod),"◆",IF(AND($E20&gt;=FE$5,$E20&lt;FE$5+GanttPeriod),"◇","")),IF(AND(FE$5&lt;=$F20,FE$5+GanttPeriod-1&gt;=$E20),"━","")))</f>
        <v/>
      </c>
      <c r="FF20" s="69" t="str">
        <f aca="false">IF($E20="","",IF($M20,IF(AND($G20&gt;=FF$5,$G20&lt;FF$5+GanttPeriod),"◆",IF(AND($E20&gt;=FF$5,$E20&lt;FF$5+GanttPeriod),"◇","")),IF(AND(FF$5&lt;=$F20,FF$5+GanttPeriod-1&gt;=$E20),"━","")))</f>
        <v/>
      </c>
      <c r="FG20" s="69" t="str">
        <f aca="false">IF($E20="","",IF($M20,IF(AND($G20&gt;=FG$5,$G20&lt;FG$5+GanttPeriod),"◆",IF(AND($E20&gt;=FG$5,$E20&lt;FG$5+GanttPeriod),"◇","")),IF(AND(FG$5&lt;=$F20,FG$5+GanttPeriod-1&gt;=$E20),"━","")))</f>
        <v/>
      </c>
      <c r="FH20" s="69" t="str">
        <f aca="false">IF($E20="","",IF($M20,IF(AND($G20&gt;=FH$5,$G20&lt;FH$5+GanttPeriod),"◆",IF(AND($E20&gt;=FH$5,$E20&lt;FH$5+GanttPeriod),"◇","")),IF(AND(FH$5&lt;=$F20,FH$5+GanttPeriod-1&gt;=$E20),"━","")))</f>
        <v/>
      </c>
      <c r="FI20" s="69" t="str">
        <f aca="false">IF($E20="","",IF($M20,IF(AND($G20&gt;=FI$5,$G20&lt;FI$5+GanttPeriod),"◆",IF(AND($E20&gt;=FI$5,$E20&lt;FI$5+GanttPeriod),"◇","")),IF(AND(FI$5&lt;=$F20,FI$5+GanttPeriod-1&gt;=$E20),"━","")))</f>
        <v/>
      </c>
      <c r="FJ20" s="69" t="str">
        <f aca="false">IF($E20="","",IF($M20,IF(AND($G20&gt;=FJ$5,$G20&lt;FJ$5+GanttPeriod),"◆",IF(AND($E20&gt;=FJ$5,$E20&lt;FJ$5+GanttPeriod),"◇","")),IF(AND(FJ$5&lt;=$F20,FJ$5+GanttPeriod-1&gt;=$E20),"━","")))</f>
        <v/>
      </c>
      <c r="FK20" s="69" t="str">
        <f aca="false">IF($E20="","",IF($M20,IF(AND($G20&gt;=FK$5,$G20&lt;FK$5+GanttPeriod),"◆",IF(AND($E20&gt;=FK$5,$E20&lt;FK$5+GanttPeriod),"◇","")),IF(AND(FK$5&lt;=$F20,FK$5+GanttPeriod-1&gt;=$E20),"━","")))</f>
        <v/>
      </c>
      <c r="FL20" s="69" t="str">
        <f aca="false">IF($E20="","",IF($M20,IF(AND($G20&gt;=FL$5,$G20&lt;FL$5+GanttPeriod),"◆",IF(AND($E20&gt;=FL$5,$E20&lt;FL$5+GanttPeriod),"◇","")),IF(AND(FL$5&lt;=$F20,FL$5+GanttPeriod-1&gt;=$E20),"━","")))</f>
        <v/>
      </c>
      <c r="FM20" s="69" t="str">
        <f aca="false">IF($E20="","",IF($M20,IF(AND($G20&gt;=FM$5,$G20&lt;FM$5+GanttPeriod),"◆",IF(AND($E20&gt;=FM$5,$E20&lt;FM$5+GanttPeriod),"◇","")),IF(AND(FM$5&lt;=$F20,FM$5+GanttPeriod-1&gt;=$E20),"━","")))</f>
        <v/>
      </c>
    </row>
    <row r="21" customFormat="false" ht="15" hidden="false" customHeight="false" outlineLevel="0" collapsed="false">
      <c r="A21" s="62" t="n">
        <f aca="false">IF(Tasks!$D21="","",Tasks!$A21)</f>
        <v>16</v>
      </c>
      <c r="B21" s="62" t="str">
        <f aca="false">IF(Tasks!$D21="","",Tasks!$B21)</f>
        <v>3.2.1</v>
      </c>
      <c r="C21" s="63" t="str">
        <f aca="false">IF(Tasks!$D21="","",REPT("    ",Tasks!$AE21-1)&amp;Tasks!$D21)</f>
        <v>        UI component library</v>
      </c>
      <c r="D21" s="62" t="n">
        <f aca="false">IF(Tasks!$D21="","",IF(Tasks!$AI21,NETWORKDAYS.INTL(Tasks!$R21,Tasks!$S21,WorkWeek,Holidays),N(Tasks!$F21)))</f>
        <v>6</v>
      </c>
      <c r="E21" s="64" t="n">
        <f aca="false">IF(Tasks!$D21="","",Tasks!$N21)</f>
        <v>46297</v>
      </c>
      <c r="F21" s="64" t="n">
        <f aca="false">IF(Tasks!$D21="","",Tasks!$O21)</f>
        <v>46304</v>
      </c>
      <c r="G21" s="64" t="n">
        <f aca="false">IF(Tasks!$D21="","",Tasks!$R21)</f>
        <v>46302</v>
      </c>
      <c r="H21" s="64" t="n">
        <f aca="false">IF(Tasks!$D21="","",Tasks!$S21)</f>
        <v>46311</v>
      </c>
      <c r="I21" s="65" t="n">
        <f aca="false">IF(Tasks!$D21="","",Tasks!$V21)</f>
        <v>1</v>
      </c>
      <c r="J21" s="63" t="str">
        <f aca="false">IF(Tasks!$D21="","",Tasks!$X21&amp;"")</f>
        <v>Sam Rivera</v>
      </c>
      <c r="K21" s="66" t="str">
        <f aca="false">IF(Tasks!$D21="","",Tasks!$W21)</f>
        <v>Complete</v>
      </c>
      <c r="L21" s="67" t="b">
        <f aca="false">IF(Tasks!$D21="",FALSE(),Tasks!$AI21)</f>
        <v>0</v>
      </c>
      <c r="M21" s="67" t="b">
        <f aca="false">AND(Tasks!$AJ21=1,N(Tasks!$F21)=0)</f>
        <v>0</v>
      </c>
      <c r="N21" s="68" t="n">
        <f aca="false">IF(AND(Tasks!$AJ21=1,NOT($M21),N($I21)&gt;0),$G21,0)</f>
        <v>46302</v>
      </c>
      <c r="O21" s="68" t="n">
        <f aca="false">IF($N21=0,0,IF($I21&gt;=1,$H21,MAX($N21,$G21+ROUND(($H21-$G21+1)*$I21,0)-1)))</f>
        <v>46311</v>
      </c>
      <c r="P21" s="68" t="n">
        <f aca="false">IF(OR(Tasks!$AJ21&lt;&gt;1,$M21,N($I21)&gt;=1),0,IF($O21&gt;0,$O21+1,$G21))</f>
        <v>0</v>
      </c>
      <c r="Q21" s="68" t="n">
        <f aca="false">IF($P21=0,0,$H21)</f>
        <v>0</v>
      </c>
      <c r="R21" s="67" t="b">
        <f aca="false">AND(Tasks!$D21&lt;&gt;"",N(Tasks!$T21)&gt;0)</f>
        <v>1</v>
      </c>
      <c r="T21" s="69" t="str">
        <f aca="false">IF($E21="","",IF($M21,IF(AND($G21&gt;=T$5,$G21&lt;T$5+GanttPeriod),"◆",IF(AND($E21&gt;=T$5,$E21&lt;T$5+GanttPeriod),"◇","")),IF(AND(T$5&lt;=$F21,T$5+GanttPeriod-1&gt;=$E21),"━","")))</f>
        <v/>
      </c>
      <c r="U21" s="69" t="str">
        <f aca="false">IF($E21="","",IF($M21,IF(AND($G21&gt;=U$5,$G21&lt;U$5+GanttPeriod),"◆",IF(AND($E21&gt;=U$5,$E21&lt;U$5+GanttPeriod),"◇","")),IF(AND(U$5&lt;=$F21,U$5+GanttPeriod-1&gt;=$E21),"━","")))</f>
        <v/>
      </c>
      <c r="V21" s="69" t="str">
        <f aca="false">IF($E21="","",IF($M21,IF(AND($G21&gt;=V$5,$G21&lt;V$5+GanttPeriod),"◆",IF(AND($E21&gt;=V$5,$E21&lt;V$5+GanttPeriod),"◇","")),IF(AND(V$5&lt;=$F21,V$5+GanttPeriod-1&gt;=$E21),"━","")))</f>
        <v/>
      </c>
      <c r="W21" s="69" t="str">
        <f aca="false">IF($E21="","",IF($M21,IF(AND($G21&gt;=W$5,$G21&lt;W$5+GanttPeriod),"◆",IF(AND($E21&gt;=W$5,$E21&lt;W$5+GanttPeriod),"◇","")),IF(AND(W$5&lt;=$F21,W$5+GanttPeriod-1&gt;=$E21),"━","")))</f>
        <v/>
      </c>
      <c r="X21" s="69" t="str">
        <f aca="false">IF($E21="","",IF($M21,IF(AND($G21&gt;=X$5,$G21&lt;X$5+GanttPeriod),"◆",IF(AND($E21&gt;=X$5,$E21&lt;X$5+GanttPeriod),"◇","")),IF(AND(X$5&lt;=$F21,X$5+GanttPeriod-1&gt;=$E21),"━","")))</f>
        <v/>
      </c>
      <c r="Y21" s="69" t="str">
        <f aca="false">IF($E21="","",IF($M21,IF(AND($G21&gt;=Y$5,$G21&lt;Y$5+GanttPeriod),"◆",IF(AND($E21&gt;=Y$5,$E21&lt;Y$5+GanttPeriod),"◇","")),IF(AND(Y$5&lt;=$F21,Y$5+GanttPeriod-1&gt;=$E21),"━","")))</f>
        <v/>
      </c>
      <c r="Z21" s="69" t="str">
        <f aca="false">IF($E21="","",IF($M21,IF(AND($G21&gt;=Z$5,$G21&lt;Z$5+GanttPeriod),"◆",IF(AND($E21&gt;=Z$5,$E21&lt;Z$5+GanttPeriod),"◇","")),IF(AND(Z$5&lt;=$F21,Z$5+GanttPeriod-1&gt;=$E21),"━","")))</f>
        <v/>
      </c>
      <c r="AA21" s="69" t="str">
        <f aca="false">IF($E21="","",IF($M21,IF(AND($G21&gt;=AA$5,$G21&lt;AA$5+GanttPeriod),"◆",IF(AND($E21&gt;=AA$5,$E21&lt;AA$5+GanttPeriod),"◇","")),IF(AND(AA$5&lt;=$F21,AA$5+GanttPeriod-1&gt;=$E21),"━","")))</f>
        <v/>
      </c>
      <c r="AB21" s="69" t="str">
        <f aca="false">IF($E21="","",IF($M21,IF(AND($G21&gt;=AB$5,$G21&lt;AB$5+GanttPeriod),"◆",IF(AND($E21&gt;=AB$5,$E21&lt;AB$5+GanttPeriod),"◇","")),IF(AND(AB$5&lt;=$F21,AB$5+GanttPeriod-1&gt;=$E21),"━","")))</f>
        <v/>
      </c>
      <c r="AC21" s="69" t="str">
        <f aca="false">IF($E21="","",IF($M21,IF(AND($G21&gt;=AC$5,$G21&lt;AC$5+GanttPeriod),"◆",IF(AND($E21&gt;=AC$5,$E21&lt;AC$5+GanttPeriod),"◇","")),IF(AND(AC$5&lt;=$F21,AC$5+GanttPeriod-1&gt;=$E21),"━","")))</f>
        <v/>
      </c>
      <c r="AD21" s="69" t="str">
        <f aca="false">IF($E21="","",IF($M21,IF(AND($G21&gt;=AD$5,$G21&lt;AD$5+GanttPeriod),"◆",IF(AND($E21&gt;=AD$5,$E21&lt;AD$5+GanttPeriod),"◇","")),IF(AND(AD$5&lt;=$F21,AD$5+GanttPeriod-1&gt;=$E21),"━","")))</f>
        <v/>
      </c>
      <c r="AE21" s="69" t="str">
        <f aca="false">IF($E21="","",IF($M21,IF(AND($G21&gt;=AE$5,$G21&lt;AE$5+GanttPeriod),"◆",IF(AND($E21&gt;=AE$5,$E21&lt;AE$5+GanttPeriod),"◇","")),IF(AND(AE$5&lt;=$F21,AE$5+GanttPeriod-1&gt;=$E21),"━","")))</f>
        <v/>
      </c>
      <c r="AF21" s="69" t="str">
        <f aca="false">IF($E21="","",IF($M21,IF(AND($G21&gt;=AF$5,$G21&lt;AF$5+GanttPeriod),"◆",IF(AND($E21&gt;=AF$5,$E21&lt;AF$5+GanttPeriod),"◇","")),IF(AND(AF$5&lt;=$F21,AF$5+GanttPeriod-1&gt;=$E21),"━","")))</f>
        <v/>
      </c>
      <c r="AG21" s="69" t="str">
        <f aca="false">IF($E21="","",IF($M21,IF(AND($G21&gt;=AG$5,$G21&lt;AG$5+GanttPeriod),"◆",IF(AND($E21&gt;=AG$5,$E21&lt;AG$5+GanttPeriod),"◇","")),IF(AND(AG$5&lt;=$F21,AG$5+GanttPeriod-1&gt;=$E21),"━","")))</f>
        <v/>
      </c>
      <c r="AH21" s="69" t="str">
        <f aca="false">IF($E21="","",IF($M21,IF(AND($G21&gt;=AH$5,$G21&lt;AH$5+GanttPeriod),"◆",IF(AND($E21&gt;=AH$5,$E21&lt;AH$5+GanttPeriod),"◇","")),IF(AND(AH$5&lt;=$F21,AH$5+GanttPeriod-1&gt;=$E21),"━","")))</f>
        <v/>
      </c>
      <c r="AI21" s="69" t="str">
        <f aca="false">IF($E21="","",IF($M21,IF(AND($G21&gt;=AI$5,$G21&lt;AI$5+GanttPeriod),"◆",IF(AND($E21&gt;=AI$5,$E21&lt;AI$5+GanttPeriod),"◇","")),IF(AND(AI$5&lt;=$F21,AI$5+GanttPeriod-1&gt;=$E21),"━","")))</f>
        <v/>
      </c>
      <c r="AJ21" s="69" t="str">
        <f aca="false">IF($E21="","",IF($M21,IF(AND($G21&gt;=AJ$5,$G21&lt;AJ$5+GanttPeriod),"◆",IF(AND($E21&gt;=AJ$5,$E21&lt;AJ$5+GanttPeriod),"◇","")),IF(AND(AJ$5&lt;=$F21,AJ$5+GanttPeriod-1&gt;=$E21),"━","")))</f>
        <v/>
      </c>
      <c r="AK21" s="69" t="str">
        <f aca="false">IF($E21="","",IF($M21,IF(AND($G21&gt;=AK$5,$G21&lt;AK$5+GanttPeriod),"◆",IF(AND($E21&gt;=AK$5,$E21&lt;AK$5+GanttPeriod),"◇","")),IF(AND(AK$5&lt;=$F21,AK$5+GanttPeriod-1&gt;=$E21),"━","")))</f>
        <v/>
      </c>
      <c r="AL21" s="69" t="str">
        <f aca="false">IF($E21="","",IF($M21,IF(AND($G21&gt;=AL$5,$G21&lt;AL$5+GanttPeriod),"◆",IF(AND($E21&gt;=AL$5,$E21&lt;AL$5+GanttPeriod),"◇","")),IF(AND(AL$5&lt;=$F21,AL$5+GanttPeriod-1&gt;=$E21),"━","")))</f>
        <v/>
      </c>
      <c r="AM21" s="69" t="str">
        <f aca="false">IF($E21="","",IF($M21,IF(AND($G21&gt;=AM$5,$G21&lt;AM$5+GanttPeriod),"◆",IF(AND($E21&gt;=AM$5,$E21&lt;AM$5+GanttPeriod),"◇","")),IF(AND(AM$5&lt;=$F21,AM$5+GanttPeriod-1&gt;=$E21),"━","")))</f>
        <v/>
      </c>
      <c r="AN21" s="69" t="str">
        <f aca="false">IF($E21="","",IF($M21,IF(AND($G21&gt;=AN$5,$G21&lt;AN$5+GanttPeriod),"◆",IF(AND($E21&gt;=AN$5,$E21&lt;AN$5+GanttPeriod),"◇","")),IF(AND(AN$5&lt;=$F21,AN$5+GanttPeriod-1&gt;=$E21),"━","")))</f>
        <v/>
      </c>
      <c r="AO21" s="69" t="str">
        <f aca="false">IF($E21="","",IF($M21,IF(AND($G21&gt;=AO$5,$G21&lt;AO$5+GanttPeriod),"◆",IF(AND($E21&gt;=AO$5,$E21&lt;AO$5+GanttPeriod),"◇","")),IF(AND(AO$5&lt;=$F21,AO$5+GanttPeriod-1&gt;=$E21),"━","")))</f>
        <v/>
      </c>
      <c r="AP21" s="69" t="str">
        <f aca="false">IF($E21="","",IF($M21,IF(AND($G21&gt;=AP$5,$G21&lt;AP$5+GanttPeriod),"◆",IF(AND($E21&gt;=AP$5,$E21&lt;AP$5+GanttPeriod),"◇","")),IF(AND(AP$5&lt;=$F21,AP$5+GanttPeriod-1&gt;=$E21),"━","")))</f>
        <v/>
      </c>
      <c r="AQ21" s="69" t="str">
        <f aca="false">IF($E21="","",IF($M21,IF(AND($G21&gt;=AQ$5,$G21&lt;AQ$5+GanttPeriod),"◆",IF(AND($E21&gt;=AQ$5,$E21&lt;AQ$5+GanttPeriod),"◇","")),IF(AND(AQ$5&lt;=$F21,AQ$5+GanttPeriod-1&gt;=$E21),"━","")))</f>
        <v/>
      </c>
      <c r="AR21" s="69" t="str">
        <f aca="false">IF($E21="","",IF($M21,IF(AND($G21&gt;=AR$5,$G21&lt;AR$5+GanttPeriod),"◆",IF(AND($E21&gt;=AR$5,$E21&lt;AR$5+GanttPeriod),"◇","")),IF(AND(AR$5&lt;=$F21,AR$5+GanttPeriod-1&gt;=$E21),"━","")))</f>
        <v/>
      </c>
      <c r="AS21" s="69" t="str">
        <f aca="false">IF($E21="","",IF($M21,IF(AND($G21&gt;=AS$5,$G21&lt;AS$5+GanttPeriod),"◆",IF(AND($E21&gt;=AS$5,$E21&lt;AS$5+GanttPeriod),"◇","")),IF(AND(AS$5&lt;=$F21,AS$5+GanttPeriod-1&gt;=$E21),"━","")))</f>
        <v>━</v>
      </c>
      <c r="AT21" s="69" t="str">
        <f aca="false">IF($E21="","",IF($M21,IF(AND($G21&gt;=AT$5,$G21&lt;AT$5+GanttPeriod),"◆",IF(AND($E21&gt;=AT$5,$E21&lt;AT$5+GanttPeriod),"◇","")),IF(AND(AT$5&lt;=$F21,AT$5+GanttPeriod-1&gt;=$E21),"━","")))</f>
        <v>━</v>
      </c>
      <c r="AU21" s="69" t="str">
        <f aca="false">IF($E21="","",IF($M21,IF(AND($G21&gt;=AU$5,$G21&lt;AU$5+GanttPeriod),"◆",IF(AND($E21&gt;=AU$5,$E21&lt;AU$5+GanttPeriod),"◇","")),IF(AND(AU$5&lt;=$F21,AU$5+GanttPeriod-1&gt;=$E21),"━","")))</f>
        <v>━</v>
      </c>
      <c r="AV21" s="69" t="str">
        <f aca="false">IF($E21="","",IF($M21,IF(AND($G21&gt;=AV$5,$G21&lt;AV$5+GanttPeriod),"◆",IF(AND($E21&gt;=AV$5,$E21&lt;AV$5+GanttPeriod),"◇","")),IF(AND(AV$5&lt;=$F21,AV$5+GanttPeriod-1&gt;=$E21),"━","")))</f>
        <v>━</v>
      </c>
      <c r="AW21" s="69" t="str">
        <f aca="false">IF($E21="","",IF($M21,IF(AND($G21&gt;=AW$5,$G21&lt;AW$5+GanttPeriod),"◆",IF(AND($E21&gt;=AW$5,$E21&lt;AW$5+GanttPeriod),"◇","")),IF(AND(AW$5&lt;=$F21,AW$5+GanttPeriod-1&gt;=$E21),"━","")))</f>
        <v>━</v>
      </c>
      <c r="AX21" s="69" t="str">
        <f aca="false">IF($E21="","",IF($M21,IF(AND($G21&gt;=AX$5,$G21&lt;AX$5+GanttPeriod),"◆",IF(AND($E21&gt;=AX$5,$E21&lt;AX$5+GanttPeriod),"◇","")),IF(AND(AX$5&lt;=$F21,AX$5+GanttPeriod-1&gt;=$E21),"━","")))</f>
        <v>━</v>
      </c>
      <c r="AY21" s="69" t="str">
        <f aca="false">IF($E21="","",IF($M21,IF(AND($G21&gt;=AY$5,$G21&lt;AY$5+GanttPeriod),"◆",IF(AND($E21&gt;=AY$5,$E21&lt;AY$5+GanttPeriod),"◇","")),IF(AND(AY$5&lt;=$F21,AY$5+GanttPeriod-1&gt;=$E21),"━","")))</f>
        <v>━</v>
      </c>
      <c r="AZ21" s="69" t="str">
        <f aca="false">IF($E21="","",IF($M21,IF(AND($G21&gt;=AZ$5,$G21&lt;AZ$5+GanttPeriod),"◆",IF(AND($E21&gt;=AZ$5,$E21&lt;AZ$5+GanttPeriod),"◇","")),IF(AND(AZ$5&lt;=$F21,AZ$5+GanttPeriod-1&gt;=$E21),"━","")))</f>
        <v>━</v>
      </c>
      <c r="BA21" s="69" t="str">
        <f aca="false">IF($E21="","",IF($M21,IF(AND($G21&gt;=BA$5,$G21&lt;BA$5+GanttPeriod),"◆",IF(AND($E21&gt;=BA$5,$E21&lt;BA$5+GanttPeriod),"◇","")),IF(AND(BA$5&lt;=$F21,BA$5+GanttPeriod-1&gt;=$E21),"━","")))</f>
        <v/>
      </c>
      <c r="BB21" s="69" t="str">
        <f aca="false">IF($E21="","",IF($M21,IF(AND($G21&gt;=BB$5,$G21&lt;BB$5+GanttPeriod),"◆",IF(AND($E21&gt;=BB$5,$E21&lt;BB$5+GanttPeriod),"◇","")),IF(AND(BB$5&lt;=$F21,BB$5+GanttPeriod-1&gt;=$E21),"━","")))</f>
        <v/>
      </c>
      <c r="BC21" s="69" t="str">
        <f aca="false">IF($E21="","",IF($M21,IF(AND($G21&gt;=BC$5,$G21&lt;BC$5+GanttPeriod),"◆",IF(AND($E21&gt;=BC$5,$E21&lt;BC$5+GanttPeriod),"◇","")),IF(AND(BC$5&lt;=$F21,BC$5+GanttPeriod-1&gt;=$E21),"━","")))</f>
        <v/>
      </c>
      <c r="BD21" s="69" t="str">
        <f aca="false">IF($E21="","",IF($M21,IF(AND($G21&gt;=BD$5,$G21&lt;BD$5+GanttPeriod),"◆",IF(AND($E21&gt;=BD$5,$E21&lt;BD$5+GanttPeriod),"◇","")),IF(AND(BD$5&lt;=$F21,BD$5+GanttPeriod-1&gt;=$E21),"━","")))</f>
        <v/>
      </c>
      <c r="BE21" s="69" t="str">
        <f aca="false">IF($E21="","",IF($M21,IF(AND($G21&gt;=BE$5,$G21&lt;BE$5+GanttPeriod),"◆",IF(AND($E21&gt;=BE$5,$E21&lt;BE$5+GanttPeriod),"◇","")),IF(AND(BE$5&lt;=$F21,BE$5+GanttPeriod-1&gt;=$E21),"━","")))</f>
        <v/>
      </c>
      <c r="BF21" s="69" t="str">
        <f aca="false">IF($E21="","",IF($M21,IF(AND($G21&gt;=BF$5,$G21&lt;BF$5+GanttPeriod),"◆",IF(AND($E21&gt;=BF$5,$E21&lt;BF$5+GanttPeriod),"◇","")),IF(AND(BF$5&lt;=$F21,BF$5+GanttPeriod-1&gt;=$E21),"━","")))</f>
        <v/>
      </c>
      <c r="BG21" s="69" t="str">
        <f aca="false">IF($E21="","",IF($M21,IF(AND($G21&gt;=BG$5,$G21&lt;BG$5+GanttPeriod),"◆",IF(AND($E21&gt;=BG$5,$E21&lt;BG$5+GanttPeriod),"◇","")),IF(AND(BG$5&lt;=$F21,BG$5+GanttPeriod-1&gt;=$E21),"━","")))</f>
        <v/>
      </c>
      <c r="BH21" s="69" t="str">
        <f aca="false">IF($E21="","",IF($M21,IF(AND($G21&gt;=BH$5,$G21&lt;BH$5+GanttPeriod),"◆",IF(AND($E21&gt;=BH$5,$E21&lt;BH$5+GanttPeriod),"◇","")),IF(AND(BH$5&lt;=$F21,BH$5+GanttPeriod-1&gt;=$E21),"━","")))</f>
        <v/>
      </c>
      <c r="BI21" s="69" t="str">
        <f aca="false">IF($E21="","",IF($M21,IF(AND($G21&gt;=BI$5,$G21&lt;BI$5+GanttPeriod),"◆",IF(AND($E21&gt;=BI$5,$E21&lt;BI$5+GanttPeriod),"◇","")),IF(AND(BI$5&lt;=$F21,BI$5+GanttPeriod-1&gt;=$E21),"━","")))</f>
        <v/>
      </c>
      <c r="BJ21" s="69" t="str">
        <f aca="false">IF($E21="","",IF($M21,IF(AND($G21&gt;=BJ$5,$G21&lt;BJ$5+GanttPeriod),"◆",IF(AND($E21&gt;=BJ$5,$E21&lt;BJ$5+GanttPeriod),"◇","")),IF(AND(BJ$5&lt;=$F21,BJ$5+GanttPeriod-1&gt;=$E21),"━","")))</f>
        <v/>
      </c>
      <c r="BK21" s="69" t="str">
        <f aca="false">IF($E21="","",IF($M21,IF(AND($G21&gt;=BK$5,$G21&lt;BK$5+GanttPeriod),"◆",IF(AND($E21&gt;=BK$5,$E21&lt;BK$5+GanttPeriod),"◇","")),IF(AND(BK$5&lt;=$F21,BK$5+GanttPeriod-1&gt;=$E21),"━","")))</f>
        <v/>
      </c>
      <c r="BL21" s="69" t="str">
        <f aca="false">IF($E21="","",IF($M21,IF(AND($G21&gt;=BL$5,$G21&lt;BL$5+GanttPeriod),"◆",IF(AND($E21&gt;=BL$5,$E21&lt;BL$5+GanttPeriod),"◇","")),IF(AND(BL$5&lt;=$F21,BL$5+GanttPeriod-1&gt;=$E21),"━","")))</f>
        <v/>
      </c>
      <c r="BM21" s="69" t="str">
        <f aca="false">IF($E21="","",IF($M21,IF(AND($G21&gt;=BM$5,$G21&lt;BM$5+GanttPeriod),"◆",IF(AND($E21&gt;=BM$5,$E21&lt;BM$5+GanttPeriod),"◇","")),IF(AND(BM$5&lt;=$F21,BM$5+GanttPeriod-1&gt;=$E21),"━","")))</f>
        <v/>
      </c>
      <c r="BN21" s="69" t="str">
        <f aca="false">IF($E21="","",IF($M21,IF(AND($G21&gt;=BN$5,$G21&lt;BN$5+GanttPeriod),"◆",IF(AND($E21&gt;=BN$5,$E21&lt;BN$5+GanttPeriod),"◇","")),IF(AND(BN$5&lt;=$F21,BN$5+GanttPeriod-1&gt;=$E21),"━","")))</f>
        <v/>
      </c>
      <c r="BO21" s="69" t="str">
        <f aca="false">IF($E21="","",IF($M21,IF(AND($G21&gt;=BO$5,$G21&lt;BO$5+GanttPeriod),"◆",IF(AND($E21&gt;=BO$5,$E21&lt;BO$5+GanttPeriod),"◇","")),IF(AND(BO$5&lt;=$F21,BO$5+GanttPeriod-1&gt;=$E21),"━","")))</f>
        <v/>
      </c>
      <c r="BP21" s="69" t="str">
        <f aca="false">IF($E21="","",IF($M21,IF(AND($G21&gt;=BP$5,$G21&lt;BP$5+GanttPeriod),"◆",IF(AND($E21&gt;=BP$5,$E21&lt;BP$5+GanttPeriod),"◇","")),IF(AND(BP$5&lt;=$F21,BP$5+GanttPeriod-1&gt;=$E21),"━","")))</f>
        <v/>
      </c>
      <c r="BQ21" s="69" t="str">
        <f aca="false">IF($E21="","",IF($M21,IF(AND($G21&gt;=BQ$5,$G21&lt;BQ$5+GanttPeriod),"◆",IF(AND($E21&gt;=BQ$5,$E21&lt;BQ$5+GanttPeriod),"◇","")),IF(AND(BQ$5&lt;=$F21,BQ$5+GanttPeriod-1&gt;=$E21),"━","")))</f>
        <v/>
      </c>
      <c r="BR21" s="69" t="str">
        <f aca="false">IF($E21="","",IF($M21,IF(AND($G21&gt;=BR$5,$G21&lt;BR$5+GanttPeriod),"◆",IF(AND($E21&gt;=BR$5,$E21&lt;BR$5+GanttPeriod),"◇","")),IF(AND(BR$5&lt;=$F21,BR$5+GanttPeriod-1&gt;=$E21),"━","")))</f>
        <v/>
      </c>
      <c r="BS21" s="69" t="str">
        <f aca="false">IF($E21="","",IF($M21,IF(AND($G21&gt;=BS$5,$G21&lt;BS$5+GanttPeriod),"◆",IF(AND($E21&gt;=BS$5,$E21&lt;BS$5+GanttPeriod),"◇","")),IF(AND(BS$5&lt;=$F21,BS$5+GanttPeriod-1&gt;=$E21),"━","")))</f>
        <v/>
      </c>
      <c r="BT21" s="69" t="str">
        <f aca="false">IF($E21="","",IF($M21,IF(AND($G21&gt;=BT$5,$G21&lt;BT$5+GanttPeriod),"◆",IF(AND($E21&gt;=BT$5,$E21&lt;BT$5+GanttPeriod),"◇","")),IF(AND(BT$5&lt;=$F21,BT$5+GanttPeriod-1&gt;=$E21),"━","")))</f>
        <v/>
      </c>
      <c r="BU21" s="69" t="str">
        <f aca="false">IF($E21="","",IF($M21,IF(AND($G21&gt;=BU$5,$G21&lt;BU$5+GanttPeriod),"◆",IF(AND($E21&gt;=BU$5,$E21&lt;BU$5+GanttPeriod),"◇","")),IF(AND(BU$5&lt;=$F21,BU$5+GanttPeriod-1&gt;=$E21),"━","")))</f>
        <v/>
      </c>
      <c r="BV21" s="69" t="str">
        <f aca="false">IF($E21="","",IF($M21,IF(AND($G21&gt;=BV$5,$G21&lt;BV$5+GanttPeriod),"◆",IF(AND($E21&gt;=BV$5,$E21&lt;BV$5+GanttPeriod),"◇","")),IF(AND(BV$5&lt;=$F21,BV$5+GanttPeriod-1&gt;=$E21),"━","")))</f>
        <v/>
      </c>
      <c r="BW21" s="69" t="str">
        <f aca="false">IF($E21="","",IF($M21,IF(AND($G21&gt;=BW$5,$G21&lt;BW$5+GanttPeriod),"◆",IF(AND($E21&gt;=BW$5,$E21&lt;BW$5+GanttPeriod),"◇","")),IF(AND(BW$5&lt;=$F21,BW$5+GanttPeriod-1&gt;=$E21),"━","")))</f>
        <v/>
      </c>
      <c r="BX21" s="69" t="str">
        <f aca="false">IF($E21="","",IF($M21,IF(AND($G21&gt;=BX$5,$G21&lt;BX$5+GanttPeriod),"◆",IF(AND($E21&gt;=BX$5,$E21&lt;BX$5+GanttPeriod),"◇","")),IF(AND(BX$5&lt;=$F21,BX$5+GanttPeriod-1&gt;=$E21),"━","")))</f>
        <v/>
      </c>
      <c r="BY21" s="69" t="str">
        <f aca="false">IF($E21="","",IF($M21,IF(AND($G21&gt;=BY$5,$G21&lt;BY$5+GanttPeriod),"◆",IF(AND($E21&gt;=BY$5,$E21&lt;BY$5+GanttPeriod),"◇","")),IF(AND(BY$5&lt;=$F21,BY$5+GanttPeriod-1&gt;=$E21),"━","")))</f>
        <v/>
      </c>
      <c r="BZ21" s="69" t="str">
        <f aca="false">IF($E21="","",IF($M21,IF(AND($G21&gt;=BZ$5,$G21&lt;BZ$5+GanttPeriod),"◆",IF(AND($E21&gt;=BZ$5,$E21&lt;BZ$5+GanttPeriod),"◇","")),IF(AND(BZ$5&lt;=$F21,BZ$5+GanttPeriod-1&gt;=$E21),"━","")))</f>
        <v/>
      </c>
      <c r="CA21" s="69" t="str">
        <f aca="false">IF($E21="","",IF($M21,IF(AND($G21&gt;=CA$5,$G21&lt;CA$5+GanttPeriod),"◆",IF(AND($E21&gt;=CA$5,$E21&lt;CA$5+GanttPeriod),"◇","")),IF(AND(CA$5&lt;=$F21,CA$5+GanttPeriod-1&gt;=$E21),"━","")))</f>
        <v/>
      </c>
      <c r="CB21" s="69" t="str">
        <f aca="false">IF($E21="","",IF($M21,IF(AND($G21&gt;=CB$5,$G21&lt;CB$5+GanttPeriod),"◆",IF(AND($E21&gt;=CB$5,$E21&lt;CB$5+GanttPeriod),"◇","")),IF(AND(CB$5&lt;=$F21,CB$5+GanttPeriod-1&gt;=$E21),"━","")))</f>
        <v/>
      </c>
      <c r="CC21" s="69" t="str">
        <f aca="false">IF($E21="","",IF($M21,IF(AND($G21&gt;=CC$5,$G21&lt;CC$5+GanttPeriod),"◆",IF(AND($E21&gt;=CC$5,$E21&lt;CC$5+GanttPeriod),"◇","")),IF(AND(CC$5&lt;=$F21,CC$5+GanttPeriod-1&gt;=$E21),"━","")))</f>
        <v/>
      </c>
      <c r="CD21" s="69" t="str">
        <f aca="false">IF($E21="","",IF($M21,IF(AND($G21&gt;=CD$5,$G21&lt;CD$5+GanttPeriod),"◆",IF(AND($E21&gt;=CD$5,$E21&lt;CD$5+GanttPeriod),"◇","")),IF(AND(CD$5&lt;=$F21,CD$5+GanttPeriod-1&gt;=$E21),"━","")))</f>
        <v/>
      </c>
      <c r="CE21" s="69" t="str">
        <f aca="false">IF($E21="","",IF($M21,IF(AND($G21&gt;=CE$5,$G21&lt;CE$5+GanttPeriod),"◆",IF(AND($E21&gt;=CE$5,$E21&lt;CE$5+GanttPeriod),"◇","")),IF(AND(CE$5&lt;=$F21,CE$5+GanttPeriod-1&gt;=$E21),"━","")))</f>
        <v/>
      </c>
      <c r="CF21" s="69" t="str">
        <f aca="false">IF($E21="","",IF($M21,IF(AND($G21&gt;=CF$5,$G21&lt;CF$5+GanttPeriod),"◆",IF(AND($E21&gt;=CF$5,$E21&lt;CF$5+GanttPeriod),"◇","")),IF(AND(CF$5&lt;=$F21,CF$5+GanttPeriod-1&gt;=$E21),"━","")))</f>
        <v/>
      </c>
      <c r="CG21" s="69" t="str">
        <f aca="false">IF($E21="","",IF($M21,IF(AND($G21&gt;=CG$5,$G21&lt;CG$5+GanttPeriod),"◆",IF(AND($E21&gt;=CG$5,$E21&lt;CG$5+GanttPeriod),"◇","")),IF(AND(CG$5&lt;=$F21,CG$5+GanttPeriod-1&gt;=$E21),"━","")))</f>
        <v/>
      </c>
      <c r="CH21" s="69" t="str">
        <f aca="false">IF($E21="","",IF($M21,IF(AND($G21&gt;=CH$5,$G21&lt;CH$5+GanttPeriod),"◆",IF(AND($E21&gt;=CH$5,$E21&lt;CH$5+GanttPeriod),"◇","")),IF(AND(CH$5&lt;=$F21,CH$5+GanttPeriod-1&gt;=$E21),"━","")))</f>
        <v/>
      </c>
      <c r="CI21" s="69" t="str">
        <f aca="false">IF($E21="","",IF($M21,IF(AND($G21&gt;=CI$5,$G21&lt;CI$5+GanttPeriod),"◆",IF(AND($E21&gt;=CI$5,$E21&lt;CI$5+GanttPeriod),"◇","")),IF(AND(CI$5&lt;=$F21,CI$5+GanttPeriod-1&gt;=$E21),"━","")))</f>
        <v/>
      </c>
      <c r="CJ21" s="69" t="str">
        <f aca="false">IF($E21="","",IF($M21,IF(AND($G21&gt;=CJ$5,$G21&lt;CJ$5+GanttPeriod),"◆",IF(AND($E21&gt;=CJ$5,$E21&lt;CJ$5+GanttPeriod),"◇","")),IF(AND(CJ$5&lt;=$F21,CJ$5+GanttPeriod-1&gt;=$E21),"━","")))</f>
        <v/>
      </c>
      <c r="CK21" s="69" t="str">
        <f aca="false">IF($E21="","",IF($M21,IF(AND($G21&gt;=CK$5,$G21&lt;CK$5+GanttPeriod),"◆",IF(AND($E21&gt;=CK$5,$E21&lt;CK$5+GanttPeriod),"◇","")),IF(AND(CK$5&lt;=$F21,CK$5+GanttPeriod-1&gt;=$E21),"━","")))</f>
        <v/>
      </c>
      <c r="CL21" s="69" t="str">
        <f aca="false">IF($E21="","",IF($M21,IF(AND($G21&gt;=CL$5,$G21&lt;CL$5+GanttPeriod),"◆",IF(AND($E21&gt;=CL$5,$E21&lt;CL$5+GanttPeriod),"◇","")),IF(AND(CL$5&lt;=$F21,CL$5+GanttPeriod-1&gt;=$E21),"━","")))</f>
        <v/>
      </c>
      <c r="CM21" s="69" t="str">
        <f aca="false">IF($E21="","",IF($M21,IF(AND($G21&gt;=CM$5,$G21&lt;CM$5+GanttPeriod),"◆",IF(AND($E21&gt;=CM$5,$E21&lt;CM$5+GanttPeriod),"◇","")),IF(AND(CM$5&lt;=$F21,CM$5+GanttPeriod-1&gt;=$E21),"━","")))</f>
        <v/>
      </c>
      <c r="CN21" s="69" t="str">
        <f aca="false">IF($E21="","",IF($M21,IF(AND($G21&gt;=CN$5,$G21&lt;CN$5+GanttPeriod),"◆",IF(AND($E21&gt;=CN$5,$E21&lt;CN$5+GanttPeriod),"◇","")),IF(AND(CN$5&lt;=$F21,CN$5+GanttPeriod-1&gt;=$E21),"━","")))</f>
        <v/>
      </c>
      <c r="CO21" s="69" t="str">
        <f aca="false">IF($E21="","",IF($M21,IF(AND($G21&gt;=CO$5,$G21&lt;CO$5+GanttPeriod),"◆",IF(AND($E21&gt;=CO$5,$E21&lt;CO$5+GanttPeriod),"◇","")),IF(AND(CO$5&lt;=$F21,CO$5+GanttPeriod-1&gt;=$E21),"━","")))</f>
        <v/>
      </c>
      <c r="CP21" s="69" t="str">
        <f aca="false">IF($E21="","",IF($M21,IF(AND($G21&gt;=CP$5,$G21&lt;CP$5+GanttPeriod),"◆",IF(AND($E21&gt;=CP$5,$E21&lt;CP$5+GanttPeriod),"◇","")),IF(AND(CP$5&lt;=$F21,CP$5+GanttPeriod-1&gt;=$E21),"━","")))</f>
        <v/>
      </c>
      <c r="CQ21" s="69" t="str">
        <f aca="false">IF($E21="","",IF($M21,IF(AND($G21&gt;=CQ$5,$G21&lt;CQ$5+GanttPeriod),"◆",IF(AND($E21&gt;=CQ$5,$E21&lt;CQ$5+GanttPeriod),"◇","")),IF(AND(CQ$5&lt;=$F21,CQ$5+GanttPeriod-1&gt;=$E21),"━","")))</f>
        <v/>
      </c>
      <c r="CR21" s="69" t="str">
        <f aca="false">IF($E21="","",IF($M21,IF(AND($G21&gt;=CR$5,$G21&lt;CR$5+GanttPeriod),"◆",IF(AND($E21&gt;=CR$5,$E21&lt;CR$5+GanttPeriod),"◇","")),IF(AND(CR$5&lt;=$F21,CR$5+GanttPeriod-1&gt;=$E21),"━","")))</f>
        <v/>
      </c>
      <c r="CS21" s="69" t="str">
        <f aca="false">IF($E21="","",IF($M21,IF(AND($G21&gt;=CS$5,$G21&lt;CS$5+GanttPeriod),"◆",IF(AND($E21&gt;=CS$5,$E21&lt;CS$5+GanttPeriod),"◇","")),IF(AND(CS$5&lt;=$F21,CS$5+GanttPeriod-1&gt;=$E21),"━","")))</f>
        <v/>
      </c>
      <c r="CT21" s="69" t="str">
        <f aca="false">IF($E21="","",IF($M21,IF(AND($G21&gt;=CT$5,$G21&lt;CT$5+GanttPeriod),"◆",IF(AND($E21&gt;=CT$5,$E21&lt;CT$5+GanttPeriod),"◇","")),IF(AND(CT$5&lt;=$F21,CT$5+GanttPeriod-1&gt;=$E21),"━","")))</f>
        <v/>
      </c>
      <c r="CU21" s="69" t="str">
        <f aca="false">IF($E21="","",IF($M21,IF(AND($G21&gt;=CU$5,$G21&lt;CU$5+GanttPeriod),"◆",IF(AND($E21&gt;=CU$5,$E21&lt;CU$5+GanttPeriod),"◇","")),IF(AND(CU$5&lt;=$F21,CU$5+GanttPeriod-1&gt;=$E21),"━","")))</f>
        <v/>
      </c>
      <c r="CV21" s="69" t="str">
        <f aca="false">IF($E21="","",IF($M21,IF(AND($G21&gt;=CV$5,$G21&lt;CV$5+GanttPeriod),"◆",IF(AND($E21&gt;=CV$5,$E21&lt;CV$5+GanttPeriod),"◇","")),IF(AND(CV$5&lt;=$F21,CV$5+GanttPeriod-1&gt;=$E21),"━","")))</f>
        <v/>
      </c>
      <c r="CW21" s="69" t="str">
        <f aca="false">IF($E21="","",IF($M21,IF(AND($G21&gt;=CW$5,$G21&lt;CW$5+GanttPeriod),"◆",IF(AND($E21&gt;=CW$5,$E21&lt;CW$5+GanttPeriod),"◇","")),IF(AND(CW$5&lt;=$F21,CW$5+GanttPeriod-1&gt;=$E21),"━","")))</f>
        <v/>
      </c>
      <c r="CX21" s="69" t="str">
        <f aca="false">IF($E21="","",IF($M21,IF(AND($G21&gt;=CX$5,$G21&lt;CX$5+GanttPeriod),"◆",IF(AND($E21&gt;=CX$5,$E21&lt;CX$5+GanttPeriod),"◇","")),IF(AND(CX$5&lt;=$F21,CX$5+GanttPeriod-1&gt;=$E21),"━","")))</f>
        <v/>
      </c>
      <c r="CY21" s="69" t="str">
        <f aca="false">IF($E21="","",IF($M21,IF(AND($G21&gt;=CY$5,$G21&lt;CY$5+GanttPeriod),"◆",IF(AND($E21&gt;=CY$5,$E21&lt;CY$5+GanttPeriod),"◇","")),IF(AND(CY$5&lt;=$F21,CY$5+GanttPeriod-1&gt;=$E21),"━","")))</f>
        <v/>
      </c>
      <c r="CZ21" s="69" t="str">
        <f aca="false">IF($E21="","",IF($M21,IF(AND($G21&gt;=CZ$5,$G21&lt;CZ$5+GanttPeriod),"◆",IF(AND($E21&gt;=CZ$5,$E21&lt;CZ$5+GanttPeriod),"◇","")),IF(AND(CZ$5&lt;=$F21,CZ$5+GanttPeriod-1&gt;=$E21),"━","")))</f>
        <v/>
      </c>
      <c r="DA21" s="69" t="str">
        <f aca="false">IF($E21="","",IF($M21,IF(AND($G21&gt;=DA$5,$G21&lt;DA$5+GanttPeriod),"◆",IF(AND($E21&gt;=DA$5,$E21&lt;DA$5+GanttPeriod),"◇","")),IF(AND(DA$5&lt;=$F21,DA$5+GanttPeriod-1&gt;=$E21),"━","")))</f>
        <v/>
      </c>
      <c r="DB21" s="69" t="str">
        <f aca="false">IF($E21="","",IF($M21,IF(AND($G21&gt;=DB$5,$G21&lt;DB$5+GanttPeriod),"◆",IF(AND($E21&gt;=DB$5,$E21&lt;DB$5+GanttPeriod),"◇","")),IF(AND(DB$5&lt;=$F21,DB$5+GanttPeriod-1&gt;=$E21),"━","")))</f>
        <v/>
      </c>
      <c r="DC21" s="69" t="str">
        <f aca="false">IF($E21="","",IF($M21,IF(AND($G21&gt;=DC$5,$G21&lt;DC$5+GanttPeriod),"◆",IF(AND($E21&gt;=DC$5,$E21&lt;DC$5+GanttPeriod),"◇","")),IF(AND(DC$5&lt;=$F21,DC$5+GanttPeriod-1&gt;=$E21),"━","")))</f>
        <v/>
      </c>
      <c r="DD21" s="69" t="str">
        <f aca="false">IF($E21="","",IF($M21,IF(AND($G21&gt;=DD$5,$G21&lt;DD$5+GanttPeriod),"◆",IF(AND($E21&gt;=DD$5,$E21&lt;DD$5+GanttPeriod),"◇","")),IF(AND(DD$5&lt;=$F21,DD$5+GanttPeriod-1&gt;=$E21),"━","")))</f>
        <v/>
      </c>
      <c r="DE21" s="69" t="str">
        <f aca="false">IF($E21="","",IF($M21,IF(AND($G21&gt;=DE$5,$G21&lt;DE$5+GanttPeriod),"◆",IF(AND($E21&gt;=DE$5,$E21&lt;DE$5+GanttPeriod),"◇","")),IF(AND(DE$5&lt;=$F21,DE$5+GanttPeriod-1&gt;=$E21),"━","")))</f>
        <v/>
      </c>
      <c r="DF21" s="69" t="str">
        <f aca="false">IF($E21="","",IF($M21,IF(AND($G21&gt;=DF$5,$G21&lt;DF$5+GanttPeriod),"◆",IF(AND($E21&gt;=DF$5,$E21&lt;DF$5+GanttPeriod),"◇","")),IF(AND(DF$5&lt;=$F21,DF$5+GanttPeriod-1&gt;=$E21),"━","")))</f>
        <v/>
      </c>
      <c r="DG21" s="69" t="str">
        <f aca="false">IF($E21="","",IF($M21,IF(AND($G21&gt;=DG$5,$G21&lt;DG$5+GanttPeriod),"◆",IF(AND($E21&gt;=DG$5,$E21&lt;DG$5+GanttPeriod),"◇","")),IF(AND(DG$5&lt;=$F21,DG$5+GanttPeriod-1&gt;=$E21),"━","")))</f>
        <v/>
      </c>
      <c r="DH21" s="69" t="str">
        <f aca="false">IF($E21="","",IF($M21,IF(AND($G21&gt;=DH$5,$G21&lt;DH$5+GanttPeriod),"◆",IF(AND($E21&gt;=DH$5,$E21&lt;DH$5+GanttPeriod),"◇","")),IF(AND(DH$5&lt;=$F21,DH$5+GanttPeriod-1&gt;=$E21),"━","")))</f>
        <v/>
      </c>
      <c r="DI21" s="69" t="str">
        <f aca="false">IF($E21="","",IF($M21,IF(AND($G21&gt;=DI$5,$G21&lt;DI$5+GanttPeriod),"◆",IF(AND($E21&gt;=DI$5,$E21&lt;DI$5+GanttPeriod),"◇","")),IF(AND(DI$5&lt;=$F21,DI$5+GanttPeriod-1&gt;=$E21),"━","")))</f>
        <v/>
      </c>
      <c r="DJ21" s="69" t="str">
        <f aca="false">IF($E21="","",IF($M21,IF(AND($G21&gt;=DJ$5,$G21&lt;DJ$5+GanttPeriod),"◆",IF(AND($E21&gt;=DJ$5,$E21&lt;DJ$5+GanttPeriod),"◇","")),IF(AND(DJ$5&lt;=$F21,DJ$5+GanttPeriod-1&gt;=$E21),"━","")))</f>
        <v/>
      </c>
      <c r="DK21" s="69" t="str">
        <f aca="false">IF($E21="","",IF($M21,IF(AND($G21&gt;=DK$5,$G21&lt;DK$5+GanttPeriod),"◆",IF(AND($E21&gt;=DK$5,$E21&lt;DK$5+GanttPeriod),"◇","")),IF(AND(DK$5&lt;=$F21,DK$5+GanttPeriod-1&gt;=$E21),"━","")))</f>
        <v/>
      </c>
      <c r="DL21" s="69" t="str">
        <f aca="false">IF($E21="","",IF($M21,IF(AND($G21&gt;=DL$5,$G21&lt;DL$5+GanttPeriod),"◆",IF(AND($E21&gt;=DL$5,$E21&lt;DL$5+GanttPeriod),"◇","")),IF(AND(DL$5&lt;=$F21,DL$5+GanttPeriod-1&gt;=$E21),"━","")))</f>
        <v/>
      </c>
      <c r="DM21" s="69" t="str">
        <f aca="false">IF($E21="","",IF($M21,IF(AND($G21&gt;=DM$5,$G21&lt;DM$5+GanttPeriod),"◆",IF(AND($E21&gt;=DM$5,$E21&lt;DM$5+GanttPeriod),"◇","")),IF(AND(DM$5&lt;=$F21,DM$5+GanttPeriod-1&gt;=$E21),"━","")))</f>
        <v/>
      </c>
      <c r="DN21" s="69" t="str">
        <f aca="false">IF($E21="","",IF($M21,IF(AND($G21&gt;=DN$5,$G21&lt;DN$5+GanttPeriod),"◆",IF(AND($E21&gt;=DN$5,$E21&lt;DN$5+GanttPeriod),"◇","")),IF(AND(DN$5&lt;=$F21,DN$5+GanttPeriod-1&gt;=$E21),"━","")))</f>
        <v/>
      </c>
      <c r="DO21" s="69" t="str">
        <f aca="false">IF($E21="","",IF($M21,IF(AND($G21&gt;=DO$5,$G21&lt;DO$5+GanttPeriod),"◆",IF(AND($E21&gt;=DO$5,$E21&lt;DO$5+GanttPeriod),"◇","")),IF(AND(DO$5&lt;=$F21,DO$5+GanttPeriod-1&gt;=$E21),"━","")))</f>
        <v/>
      </c>
      <c r="DP21" s="69" t="str">
        <f aca="false">IF($E21="","",IF($M21,IF(AND($G21&gt;=DP$5,$G21&lt;DP$5+GanttPeriod),"◆",IF(AND($E21&gt;=DP$5,$E21&lt;DP$5+GanttPeriod),"◇","")),IF(AND(DP$5&lt;=$F21,DP$5+GanttPeriod-1&gt;=$E21),"━","")))</f>
        <v/>
      </c>
      <c r="DQ21" s="69" t="str">
        <f aca="false">IF($E21="","",IF($M21,IF(AND($G21&gt;=DQ$5,$G21&lt;DQ$5+GanttPeriod),"◆",IF(AND($E21&gt;=DQ$5,$E21&lt;DQ$5+GanttPeriod),"◇","")),IF(AND(DQ$5&lt;=$F21,DQ$5+GanttPeriod-1&gt;=$E21),"━","")))</f>
        <v/>
      </c>
      <c r="DR21" s="69" t="str">
        <f aca="false">IF($E21="","",IF($M21,IF(AND($G21&gt;=DR$5,$G21&lt;DR$5+GanttPeriod),"◆",IF(AND($E21&gt;=DR$5,$E21&lt;DR$5+GanttPeriod),"◇","")),IF(AND(DR$5&lt;=$F21,DR$5+GanttPeriod-1&gt;=$E21),"━","")))</f>
        <v/>
      </c>
      <c r="DS21" s="69" t="str">
        <f aca="false">IF($E21="","",IF($M21,IF(AND($G21&gt;=DS$5,$G21&lt;DS$5+GanttPeriod),"◆",IF(AND($E21&gt;=DS$5,$E21&lt;DS$5+GanttPeriod),"◇","")),IF(AND(DS$5&lt;=$F21,DS$5+GanttPeriod-1&gt;=$E21),"━","")))</f>
        <v/>
      </c>
      <c r="DT21" s="69" t="str">
        <f aca="false">IF($E21="","",IF($M21,IF(AND($G21&gt;=DT$5,$G21&lt;DT$5+GanttPeriod),"◆",IF(AND($E21&gt;=DT$5,$E21&lt;DT$5+GanttPeriod),"◇","")),IF(AND(DT$5&lt;=$F21,DT$5+GanttPeriod-1&gt;=$E21),"━","")))</f>
        <v/>
      </c>
      <c r="DU21" s="69" t="str">
        <f aca="false">IF($E21="","",IF($M21,IF(AND($G21&gt;=DU$5,$G21&lt;DU$5+GanttPeriod),"◆",IF(AND($E21&gt;=DU$5,$E21&lt;DU$5+GanttPeriod),"◇","")),IF(AND(DU$5&lt;=$F21,DU$5+GanttPeriod-1&gt;=$E21),"━","")))</f>
        <v/>
      </c>
      <c r="DV21" s="69" t="str">
        <f aca="false">IF($E21="","",IF($M21,IF(AND($G21&gt;=DV$5,$G21&lt;DV$5+GanttPeriod),"◆",IF(AND($E21&gt;=DV$5,$E21&lt;DV$5+GanttPeriod),"◇","")),IF(AND(DV$5&lt;=$F21,DV$5+GanttPeriod-1&gt;=$E21),"━","")))</f>
        <v/>
      </c>
      <c r="DW21" s="69" t="str">
        <f aca="false">IF($E21="","",IF($M21,IF(AND($G21&gt;=DW$5,$G21&lt;DW$5+GanttPeriod),"◆",IF(AND($E21&gt;=DW$5,$E21&lt;DW$5+GanttPeriod),"◇","")),IF(AND(DW$5&lt;=$F21,DW$5+GanttPeriod-1&gt;=$E21),"━","")))</f>
        <v/>
      </c>
      <c r="DX21" s="69" t="str">
        <f aca="false">IF($E21="","",IF($M21,IF(AND($G21&gt;=DX$5,$G21&lt;DX$5+GanttPeriod),"◆",IF(AND($E21&gt;=DX$5,$E21&lt;DX$5+GanttPeriod),"◇","")),IF(AND(DX$5&lt;=$F21,DX$5+GanttPeriod-1&gt;=$E21),"━","")))</f>
        <v/>
      </c>
      <c r="DY21" s="69" t="str">
        <f aca="false">IF($E21="","",IF($M21,IF(AND($G21&gt;=DY$5,$G21&lt;DY$5+GanttPeriod),"◆",IF(AND($E21&gt;=DY$5,$E21&lt;DY$5+GanttPeriod),"◇","")),IF(AND(DY$5&lt;=$F21,DY$5+GanttPeriod-1&gt;=$E21),"━","")))</f>
        <v/>
      </c>
      <c r="DZ21" s="69" t="str">
        <f aca="false">IF($E21="","",IF($M21,IF(AND($G21&gt;=DZ$5,$G21&lt;DZ$5+GanttPeriod),"◆",IF(AND($E21&gt;=DZ$5,$E21&lt;DZ$5+GanttPeriod),"◇","")),IF(AND(DZ$5&lt;=$F21,DZ$5+GanttPeriod-1&gt;=$E21),"━","")))</f>
        <v/>
      </c>
      <c r="EA21" s="69" t="str">
        <f aca="false">IF($E21="","",IF($M21,IF(AND($G21&gt;=EA$5,$G21&lt;EA$5+GanttPeriod),"◆",IF(AND($E21&gt;=EA$5,$E21&lt;EA$5+GanttPeriod),"◇","")),IF(AND(EA$5&lt;=$F21,EA$5+GanttPeriod-1&gt;=$E21),"━","")))</f>
        <v/>
      </c>
      <c r="EB21" s="69" t="str">
        <f aca="false">IF($E21="","",IF($M21,IF(AND($G21&gt;=EB$5,$G21&lt;EB$5+GanttPeriod),"◆",IF(AND($E21&gt;=EB$5,$E21&lt;EB$5+GanttPeriod),"◇","")),IF(AND(EB$5&lt;=$F21,EB$5+GanttPeriod-1&gt;=$E21),"━","")))</f>
        <v/>
      </c>
      <c r="EC21" s="69" t="str">
        <f aca="false">IF($E21="","",IF($M21,IF(AND($G21&gt;=EC$5,$G21&lt;EC$5+GanttPeriod),"◆",IF(AND($E21&gt;=EC$5,$E21&lt;EC$5+GanttPeriod),"◇","")),IF(AND(EC$5&lt;=$F21,EC$5+GanttPeriod-1&gt;=$E21),"━","")))</f>
        <v/>
      </c>
      <c r="ED21" s="69" t="str">
        <f aca="false">IF($E21="","",IF($M21,IF(AND($G21&gt;=ED$5,$G21&lt;ED$5+GanttPeriod),"◆",IF(AND($E21&gt;=ED$5,$E21&lt;ED$5+GanttPeriod),"◇","")),IF(AND(ED$5&lt;=$F21,ED$5+GanttPeriod-1&gt;=$E21),"━","")))</f>
        <v/>
      </c>
      <c r="EE21" s="69" t="str">
        <f aca="false">IF($E21="","",IF($M21,IF(AND($G21&gt;=EE$5,$G21&lt;EE$5+GanttPeriod),"◆",IF(AND($E21&gt;=EE$5,$E21&lt;EE$5+GanttPeriod),"◇","")),IF(AND(EE$5&lt;=$F21,EE$5+GanttPeriod-1&gt;=$E21),"━","")))</f>
        <v/>
      </c>
      <c r="EF21" s="69" t="str">
        <f aca="false">IF($E21="","",IF($M21,IF(AND($G21&gt;=EF$5,$G21&lt;EF$5+GanttPeriod),"◆",IF(AND($E21&gt;=EF$5,$E21&lt;EF$5+GanttPeriod),"◇","")),IF(AND(EF$5&lt;=$F21,EF$5+GanttPeriod-1&gt;=$E21),"━","")))</f>
        <v/>
      </c>
      <c r="EG21" s="69" t="str">
        <f aca="false">IF($E21="","",IF($M21,IF(AND($G21&gt;=EG$5,$G21&lt;EG$5+GanttPeriod),"◆",IF(AND($E21&gt;=EG$5,$E21&lt;EG$5+GanttPeriod),"◇","")),IF(AND(EG$5&lt;=$F21,EG$5+GanttPeriod-1&gt;=$E21),"━","")))</f>
        <v/>
      </c>
      <c r="EH21" s="69" t="str">
        <f aca="false">IF($E21="","",IF($M21,IF(AND($G21&gt;=EH$5,$G21&lt;EH$5+GanttPeriod),"◆",IF(AND($E21&gt;=EH$5,$E21&lt;EH$5+GanttPeriod),"◇","")),IF(AND(EH$5&lt;=$F21,EH$5+GanttPeriod-1&gt;=$E21),"━","")))</f>
        <v/>
      </c>
      <c r="EI21" s="69" t="str">
        <f aca="false">IF($E21="","",IF($M21,IF(AND($G21&gt;=EI$5,$G21&lt;EI$5+GanttPeriod),"◆",IF(AND($E21&gt;=EI$5,$E21&lt;EI$5+GanttPeriod),"◇","")),IF(AND(EI$5&lt;=$F21,EI$5+GanttPeriod-1&gt;=$E21),"━","")))</f>
        <v/>
      </c>
      <c r="EJ21" s="69" t="str">
        <f aca="false">IF($E21="","",IF($M21,IF(AND($G21&gt;=EJ$5,$G21&lt;EJ$5+GanttPeriod),"◆",IF(AND($E21&gt;=EJ$5,$E21&lt;EJ$5+GanttPeriod),"◇","")),IF(AND(EJ$5&lt;=$F21,EJ$5+GanttPeriod-1&gt;=$E21),"━","")))</f>
        <v/>
      </c>
      <c r="EK21" s="69" t="str">
        <f aca="false">IF($E21="","",IF($M21,IF(AND($G21&gt;=EK$5,$G21&lt;EK$5+GanttPeriod),"◆",IF(AND($E21&gt;=EK$5,$E21&lt;EK$5+GanttPeriod),"◇","")),IF(AND(EK$5&lt;=$F21,EK$5+GanttPeriod-1&gt;=$E21),"━","")))</f>
        <v/>
      </c>
      <c r="EL21" s="69" t="str">
        <f aca="false">IF($E21="","",IF($M21,IF(AND($G21&gt;=EL$5,$G21&lt;EL$5+GanttPeriod),"◆",IF(AND($E21&gt;=EL$5,$E21&lt;EL$5+GanttPeriod),"◇","")),IF(AND(EL$5&lt;=$F21,EL$5+GanttPeriod-1&gt;=$E21),"━","")))</f>
        <v/>
      </c>
      <c r="EM21" s="69" t="str">
        <f aca="false">IF($E21="","",IF($M21,IF(AND($G21&gt;=EM$5,$G21&lt;EM$5+GanttPeriod),"◆",IF(AND($E21&gt;=EM$5,$E21&lt;EM$5+GanttPeriod),"◇","")),IF(AND(EM$5&lt;=$F21,EM$5+GanttPeriod-1&gt;=$E21),"━","")))</f>
        <v/>
      </c>
      <c r="EN21" s="69" t="str">
        <f aca="false">IF($E21="","",IF($M21,IF(AND($G21&gt;=EN$5,$G21&lt;EN$5+GanttPeriod),"◆",IF(AND($E21&gt;=EN$5,$E21&lt;EN$5+GanttPeriod),"◇","")),IF(AND(EN$5&lt;=$F21,EN$5+GanttPeriod-1&gt;=$E21),"━","")))</f>
        <v/>
      </c>
      <c r="EO21" s="69" t="str">
        <f aca="false">IF($E21="","",IF($M21,IF(AND($G21&gt;=EO$5,$G21&lt;EO$5+GanttPeriod),"◆",IF(AND($E21&gt;=EO$5,$E21&lt;EO$5+GanttPeriod),"◇","")),IF(AND(EO$5&lt;=$F21,EO$5+GanttPeriod-1&gt;=$E21),"━","")))</f>
        <v/>
      </c>
      <c r="EP21" s="69" t="str">
        <f aca="false">IF($E21="","",IF($M21,IF(AND($G21&gt;=EP$5,$G21&lt;EP$5+GanttPeriod),"◆",IF(AND($E21&gt;=EP$5,$E21&lt;EP$5+GanttPeriod),"◇","")),IF(AND(EP$5&lt;=$F21,EP$5+GanttPeriod-1&gt;=$E21),"━","")))</f>
        <v/>
      </c>
      <c r="EQ21" s="69" t="str">
        <f aca="false">IF($E21="","",IF($M21,IF(AND($G21&gt;=EQ$5,$G21&lt;EQ$5+GanttPeriod),"◆",IF(AND($E21&gt;=EQ$5,$E21&lt;EQ$5+GanttPeriod),"◇","")),IF(AND(EQ$5&lt;=$F21,EQ$5+GanttPeriod-1&gt;=$E21),"━","")))</f>
        <v/>
      </c>
      <c r="ER21" s="69" t="str">
        <f aca="false">IF($E21="","",IF($M21,IF(AND($G21&gt;=ER$5,$G21&lt;ER$5+GanttPeriod),"◆",IF(AND($E21&gt;=ER$5,$E21&lt;ER$5+GanttPeriod),"◇","")),IF(AND(ER$5&lt;=$F21,ER$5+GanttPeriod-1&gt;=$E21),"━","")))</f>
        <v/>
      </c>
      <c r="ES21" s="69" t="str">
        <f aca="false">IF($E21="","",IF($M21,IF(AND($G21&gt;=ES$5,$G21&lt;ES$5+GanttPeriod),"◆",IF(AND($E21&gt;=ES$5,$E21&lt;ES$5+GanttPeriod),"◇","")),IF(AND(ES$5&lt;=$F21,ES$5+GanttPeriod-1&gt;=$E21),"━","")))</f>
        <v/>
      </c>
      <c r="ET21" s="69" t="str">
        <f aca="false">IF($E21="","",IF($M21,IF(AND($G21&gt;=ET$5,$G21&lt;ET$5+GanttPeriod),"◆",IF(AND($E21&gt;=ET$5,$E21&lt;ET$5+GanttPeriod),"◇","")),IF(AND(ET$5&lt;=$F21,ET$5+GanttPeriod-1&gt;=$E21),"━","")))</f>
        <v/>
      </c>
      <c r="EU21" s="69" t="str">
        <f aca="false">IF($E21="","",IF($M21,IF(AND($G21&gt;=EU$5,$G21&lt;EU$5+GanttPeriod),"◆",IF(AND($E21&gt;=EU$5,$E21&lt;EU$5+GanttPeriod),"◇","")),IF(AND(EU$5&lt;=$F21,EU$5+GanttPeriod-1&gt;=$E21),"━","")))</f>
        <v/>
      </c>
      <c r="EV21" s="69" t="str">
        <f aca="false">IF($E21="","",IF($M21,IF(AND($G21&gt;=EV$5,$G21&lt;EV$5+GanttPeriod),"◆",IF(AND($E21&gt;=EV$5,$E21&lt;EV$5+GanttPeriod),"◇","")),IF(AND(EV$5&lt;=$F21,EV$5+GanttPeriod-1&gt;=$E21),"━","")))</f>
        <v/>
      </c>
      <c r="EW21" s="69" t="str">
        <f aca="false">IF($E21="","",IF($M21,IF(AND($G21&gt;=EW$5,$G21&lt;EW$5+GanttPeriod),"◆",IF(AND($E21&gt;=EW$5,$E21&lt;EW$5+GanttPeriod),"◇","")),IF(AND(EW$5&lt;=$F21,EW$5+GanttPeriod-1&gt;=$E21),"━","")))</f>
        <v/>
      </c>
      <c r="EX21" s="69" t="str">
        <f aca="false">IF($E21="","",IF($M21,IF(AND($G21&gt;=EX$5,$G21&lt;EX$5+GanttPeriod),"◆",IF(AND($E21&gt;=EX$5,$E21&lt;EX$5+GanttPeriod),"◇","")),IF(AND(EX$5&lt;=$F21,EX$5+GanttPeriod-1&gt;=$E21),"━","")))</f>
        <v/>
      </c>
      <c r="EY21" s="69" t="str">
        <f aca="false">IF($E21="","",IF($M21,IF(AND($G21&gt;=EY$5,$G21&lt;EY$5+GanttPeriod),"◆",IF(AND($E21&gt;=EY$5,$E21&lt;EY$5+GanttPeriod),"◇","")),IF(AND(EY$5&lt;=$F21,EY$5+GanttPeriod-1&gt;=$E21),"━","")))</f>
        <v/>
      </c>
      <c r="EZ21" s="69" t="str">
        <f aca="false">IF($E21="","",IF($M21,IF(AND($G21&gt;=EZ$5,$G21&lt;EZ$5+GanttPeriod),"◆",IF(AND($E21&gt;=EZ$5,$E21&lt;EZ$5+GanttPeriod),"◇","")),IF(AND(EZ$5&lt;=$F21,EZ$5+GanttPeriod-1&gt;=$E21),"━","")))</f>
        <v/>
      </c>
      <c r="FA21" s="69" t="str">
        <f aca="false">IF($E21="","",IF($M21,IF(AND($G21&gt;=FA$5,$G21&lt;FA$5+GanttPeriod),"◆",IF(AND($E21&gt;=FA$5,$E21&lt;FA$5+GanttPeriod),"◇","")),IF(AND(FA$5&lt;=$F21,FA$5+GanttPeriod-1&gt;=$E21),"━","")))</f>
        <v/>
      </c>
      <c r="FB21" s="69" t="str">
        <f aca="false">IF($E21="","",IF($M21,IF(AND($G21&gt;=FB$5,$G21&lt;FB$5+GanttPeriod),"◆",IF(AND($E21&gt;=FB$5,$E21&lt;FB$5+GanttPeriod),"◇","")),IF(AND(FB$5&lt;=$F21,FB$5+GanttPeriod-1&gt;=$E21),"━","")))</f>
        <v/>
      </c>
      <c r="FC21" s="69" t="str">
        <f aca="false">IF($E21="","",IF($M21,IF(AND($G21&gt;=FC$5,$G21&lt;FC$5+GanttPeriod),"◆",IF(AND($E21&gt;=FC$5,$E21&lt;FC$5+GanttPeriod),"◇","")),IF(AND(FC$5&lt;=$F21,FC$5+GanttPeriod-1&gt;=$E21),"━","")))</f>
        <v/>
      </c>
      <c r="FD21" s="69" t="str">
        <f aca="false">IF($E21="","",IF($M21,IF(AND($G21&gt;=FD$5,$G21&lt;FD$5+GanttPeriod),"◆",IF(AND($E21&gt;=FD$5,$E21&lt;FD$5+GanttPeriod),"◇","")),IF(AND(FD$5&lt;=$F21,FD$5+GanttPeriod-1&gt;=$E21),"━","")))</f>
        <v/>
      </c>
      <c r="FE21" s="69" t="str">
        <f aca="false">IF($E21="","",IF($M21,IF(AND($G21&gt;=FE$5,$G21&lt;FE$5+GanttPeriod),"◆",IF(AND($E21&gt;=FE$5,$E21&lt;FE$5+GanttPeriod),"◇","")),IF(AND(FE$5&lt;=$F21,FE$5+GanttPeriod-1&gt;=$E21),"━","")))</f>
        <v/>
      </c>
      <c r="FF21" s="69" t="str">
        <f aca="false">IF($E21="","",IF($M21,IF(AND($G21&gt;=FF$5,$G21&lt;FF$5+GanttPeriod),"◆",IF(AND($E21&gt;=FF$5,$E21&lt;FF$5+GanttPeriod),"◇","")),IF(AND(FF$5&lt;=$F21,FF$5+GanttPeriod-1&gt;=$E21),"━","")))</f>
        <v/>
      </c>
      <c r="FG21" s="69" t="str">
        <f aca="false">IF($E21="","",IF($M21,IF(AND($G21&gt;=FG$5,$G21&lt;FG$5+GanttPeriod),"◆",IF(AND($E21&gt;=FG$5,$E21&lt;FG$5+GanttPeriod),"◇","")),IF(AND(FG$5&lt;=$F21,FG$5+GanttPeriod-1&gt;=$E21),"━","")))</f>
        <v/>
      </c>
      <c r="FH21" s="69" t="str">
        <f aca="false">IF($E21="","",IF($M21,IF(AND($G21&gt;=FH$5,$G21&lt;FH$5+GanttPeriod),"◆",IF(AND($E21&gt;=FH$5,$E21&lt;FH$5+GanttPeriod),"◇","")),IF(AND(FH$5&lt;=$F21,FH$5+GanttPeriod-1&gt;=$E21),"━","")))</f>
        <v/>
      </c>
      <c r="FI21" s="69" t="str">
        <f aca="false">IF($E21="","",IF($M21,IF(AND($G21&gt;=FI$5,$G21&lt;FI$5+GanttPeriod),"◆",IF(AND($E21&gt;=FI$5,$E21&lt;FI$5+GanttPeriod),"◇","")),IF(AND(FI$5&lt;=$F21,FI$5+GanttPeriod-1&gt;=$E21),"━","")))</f>
        <v/>
      </c>
      <c r="FJ21" s="69" t="str">
        <f aca="false">IF($E21="","",IF($M21,IF(AND($G21&gt;=FJ$5,$G21&lt;FJ$5+GanttPeriod),"◆",IF(AND($E21&gt;=FJ$5,$E21&lt;FJ$5+GanttPeriod),"◇","")),IF(AND(FJ$5&lt;=$F21,FJ$5+GanttPeriod-1&gt;=$E21),"━","")))</f>
        <v/>
      </c>
      <c r="FK21" s="69" t="str">
        <f aca="false">IF($E21="","",IF($M21,IF(AND($G21&gt;=FK$5,$G21&lt;FK$5+GanttPeriod),"◆",IF(AND($E21&gt;=FK$5,$E21&lt;FK$5+GanttPeriod),"◇","")),IF(AND(FK$5&lt;=$F21,FK$5+GanttPeriod-1&gt;=$E21),"━","")))</f>
        <v/>
      </c>
      <c r="FL21" s="69" t="str">
        <f aca="false">IF($E21="","",IF($M21,IF(AND($G21&gt;=FL$5,$G21&lt;FL$5+GanttPeriod),"◆",IF(AND($E21&gt;=FL$5,$E21&lt;FL$5+GanttPeriod),"◇","")),IF(AND(FL$5&lt;=$F21,FL$5+GanttPeriod-1&gt;=$E21),"━","")))</f>
        <v/>
      </c>
      <c r="FM21" s="69" t="str">
        <f aca="false">IF($E21="","",IF($M21,IF(AND($G21&gt;=FM$5,$G21&lt;FM$5+GanttPeriod),"◆",IF(AND($E21&gt;=FM$5,$E21&lt;FM$5+GanttPeriod),"◇","")),IF(AND(FM$5&lt;=$F21,FM$5+GanttPeriod-1&gt;=$E21),"━","")))</f>
        <v/>
      </c>
    </row>
    <row r="22" customFormat="false" ht="15" hidden="false" customHeight="false" outlineLevel="0" collapsed="false">
      <c r="A22" s="62" t="n">
        <f aca="false">IF(Tasks!$D22="","",Tasks!$A22)</f>
        <v>17</v>
      </c>
      <c r="B22" s="62" t="str">
        <f aca="false">IF(Tasks!$D22="","",Tasks!$B22)</f>
        <v>3.2.2</v>
      </c>
      <c r="C22" s="63" t="str">
        <f aca="false">IF(Tasks!$D22="","",REPT("    ",Tasks!$AE22-1)&amp;Tasks!$D22)</f>
        <v>        Feature screens</v>
      </c>
      <c r="D22" s="62" t="n">
        <f aca="false">IF(Tasks!$D22="","",IF(Tasks!$AI22,NETWORKDAYS.INTL(Tasks!$R22,Tasks!$S22,WorkWeek,Holidays),N(Tasks!$F22)))</f>
        <v>12</v>
      </c>
      <c r="E22" s="64" t="n">
        <f aca="false">IF(Tasks!$D22="","",Tasks!$N22)</f>
        <v>46308</v>
      </c>
      <c r="F22" s="64" t="n">
        <f aca="false">IF(Tasks!$D22="","",Tasks!$O22)</f>
        <v>46323</v>
      </c>
      <c r="G22" s="64" t="n">
        <f aca="false">IF(Tasks!$D22="","",Tasks!$R22)</f>
        <v>46314</v>
      </c>
      <c r="H22" s="64" t="n">
        <f aca="false">IF(Tasks!$D22="","",Tasks!$S22)</f>
        <v>46331</v>
      </c>
      <c r="I22" s="65" t="n">
        <f aca="false">IF(Tasks!$D22="","",Tasks!$V22)</f>
        <v>0.25</v>
      </c>
      <c r="J22" s="63" t="str">
        <f aca="false">IF(Tasks!$D22="","",Tasks!$X22&amp;"")</f>
        <v>Sam Rivera</v>
      </c>
      <c r="K22" s="66" t="str">
        <f aca="false">IF(Tasks!$D22="","",Tasks!$W22)</f>
        <v>Behind</v>
      </c>
      <c r="L22" s="67" t="b">
        <f aca="false">IF(Tasks!$D22="",FALSE(),Tasks!$AI22)</f>
        <v>0</v>
      </c>
      <c r="M22" s="67" t="b">
        <f aca="false">AND(Tasks!$AJ22=1,N(Tasks!$F22)=0)</f>
        <v>0</v>
      </c>
      <c r="N22" s="68" t="n">
        <f aca="false">IF(AND(Tasks!$AJ22=1,NOT($M22),N($I22)&gt;0),$G22,0)</f>
        <v>46314</v>
      </c>
      <c r="O22" s="68" t="n">
        <f aca="false">IF($N22=0,0,IF($I22&gt;=1,$H22,MAX($N22,$G22+ROUND(($H22-$G22+1)*$I22,0)-1)))</f>
        <v>46318</v>
      </c>
      <c r="P22" s="68" t="n">
        <f aca="false">IF(OR(Tasks!$AJ22&lt;&gt;1,$M22,N($I22)&gt;=1),0,IF($O22&gt;0,$O22+1,$G22))</f>
        <v>46319</v>
      </c>
      <c r="Q22" s="68" t="n">
        <f aca="false">IF($P22=0,0,$H22)</f>
        <v>46331</v>
      </c>
      <c r="R22" s="67" t="b">
        <f aca="false">AND(Tasks!$D22&lt;&gt;"",N(Tasks!$T22)&gt;0)</f>
        <v>1</v>
      </c>
      <c r="T22" s="69" t="str">
        <f aca="false">IF($E22="","",IF($M22,IF(AND($G22&gt;=T$5,$G22&lt;T$5+GanttPeriod),"◆",IF(AND($E22&gt;=T$5,$E22&lt;T$5+GanttPeriod),"◇","")),IF(AND(T$5&lt;=$F22,T$5+GanttPeriod-1&gt;=$E22),"━","")))</f>
        <v/>
      </c>
      <c r="U22" s="69" t="str">
        <f aca="false">IF($E22="","",IF($M22,IF(AND($G22&gt;=U$5,$G22&lt;U$5+GanttPeriod),"◆",IF(AND($E22&gt;=U$5,$E22&lt;U$5+GanttPeriod),"◇","")),IF(AND(U$5&lt;=$F22,U$5+GanttPeriod-1&gt;=$E22),"━","")))</f>
        <v/>
      </c>
      <c r="V22" s="69" t="str">
        <f aca="false">IF($E22="","",IF($M22,IF(AND($G22&gt;=V$5,$G22&lt;V$5+GanttPeriod),"◆",IF(AND($E22&gt;=V$5,$E22&lt;V$5+GanttPeriod),"◇","")),IF(AND(V$5&lt;=$F22,V$5+GanttPeriod-1&gt;=$E22),"━","")))</f>
        <v/>
      </c>
      <c r="W22" s="69" t="str">
        <f aca="false">IF($E22="","",IF($M22,IF(AND($G22&gt;=W$5,$G22&lt;W$5+GanttPeriod),"◆",IF(AND($E22&gt;=W$5,$E22&lt;W$5+GanttPeriod),"◇","")),IF(AND(W$5&lt;=$F22,W$5+GanttPeriod-1&gt;=$E22),"━","")))</f>
        <v/>
      </c>
      <c r="X22" s="69" t="str">
        <f aca="false">IF($E22="","",IF($M22,IF(AND($G22&gt;=X$5,$G22&lt;X$5+GanttPeriod),"◆",IF(AND($E22&gt;=X$5,$E22&lt;X$5+GanttPeriod),"◇","")),IF(AND(X$5&lt;=$F22,X$5+GanttPeriod-1&gt;=$E22),"━","")))</f>
        <v/>
      </c>
      <c r="Y22" s="69" t="str">
        <f aca="false">IF($E22="","",IF($M22,IF(AND($G22&gt;=Y$5,$G22&lt;Y$5+GanttPeriod),"◆",IF(AND($E22&gt;=Y$5,$E22&lt;Y$5+GanttPeriod),"◇","")),IF(AND(Y$5&lt;=$F22,Y$5+GanttPeriod-1&gt;=$E22),"━","")))</f>
        <v/>
      </c>
      <c r="Z22" s="69" t="str">
        <f aca="false">IF($E22="","",IF($M22,IF(AND($G22&gt;=Z$5,$G22&lt;Z$5+GanttPeriod),"◆",IF(AND($E22&gt;=Z$5,$E22&lt;Z$5+GanttPeriod),"◇","")),IF(AND(Z$5&lt;=$F22,Z$5+GanttPeriod-1&gt;=$E22),"━","")))</f>
        <v/>
      </c>
      <c r="AA22" s="69" t="str">
        <f aca="false">IF($E22="","",IF($M22,IF(AND($G22&gt;=AA$5,$G22&lt;AA$5+GanttPeriod),"◆",IF(AND($E22&gt;=AA$5,$E22&lt;AA$5+GanttPeriod),"◇","")),IF(AND(AA$5&lt;=$F22,AA$5+GanttPeriod-1&gt;=$E22),"━","")))</f>
        <v/>
      </c>
      <c r="AB22" s="69" t="str">
        <f aca="false">IF($E22="","",IF($M22,IF(AND($G22&gt;=AB$5,$G22&lt;AB$5+GanttPeriod),"◆",IF(AND($E22&gt;=AB$5,$E22&lt;AB$5+GanttPeriod),"◇","")),IF(AND(AB$5&lt;=$F22,AB$5+GanttPeriod-1&gt;=$E22),"━","")))</f>
        <v/>
      </c>
      <c r="AC22" s="69" t="str">
        <f aca="false">IF($E22="","",IF($M22,IF(AND($G22&gt;=AC$5,$G22&lt;AC$5+GanttPeriod),"◆",IF(AND($E22&gt;=AC$5,$E22&lt;AC$5+GanttPeriod),"◇","")),IF(AND(AC$5&lt;=$F22,AC$5+GanttPeriod-1&gt;=$E22),"━","")))</f>
        <v/>
      </c>
      <c r="AD22" s="69" t="str">
        <f aca="false">IF($E22="","",IF($M22,IF(AND($G22&gt;=AD$5,$G22&lt;AD$5+GanttPeriod),"◆",IF(AND($E22&gt;=AD$5,$E22&lt;AD$5+GanttPeriod),"◇","")),IF(AND(AD$5&lt;=$F22,AD$5+GanttPeriod-1&gt;=$E22),"━","")))</f>
        <v/>
      </c>
      <c r="AE22" s="69" t="str">
        <f aca="false">IF($E22="","",IF($M22,IF(AND($G22&gt;=AE$5,$G22&lt;AE$5+GanttPeriod),"◆",IF(AND($E22&gt;=AE$5,$E22&lt;AE$5+GanttPeriod),"◇","")),IF(AND(AE$5&lt;=$F22,AE$5+GanttPeriod-1&gt;=$E22),"━","")))</f>
        <v/>
      </c>
      <c r="AF22" s="69" t="str">
        <f aca="false">IF($E22="","",IF($M22,IF(AND($G22&gt;=AF$5,$G22&lt;AF$5+GanttPeriod),"◆",IF(AND($E22&gt;=AF$5,$E22&lt;AF$5+GanttPeriod),"◇","")),IF(AND(AF$5&lt;=$F22,AF$5+GanttPeriod-1&gt;=$E22),"━","")))</f>
        <v/>
      </c>
      <c r="AG22" s="69" t="str">
        <f aca="false">IF($E22="","",IF($M22,IF(AND($G22&gt;=AG$5,$G22&lt;AG$5+GanttPeriod),"◆",IF(AND($E22&gt;=AG$5,$E22&lt;AG$5+GanttPeriod),"◇","")),IF(AND(AG$5&lt;=$F22,AG$5+GanttPeriod-1&gt;=$E22),"━","")))</f>
        <v/>
      </c>
      <c r="AH22" s="69" t="str">
        <f aca="false">IF($E22="","",IF($M22,IF(AND($G22&gt;=AH$5,$G22&lt;AH$5+GanttPeriod),"◆",IF(AND($E22&gt;=AH$5,$E22&lt;AH$5+GanttPeriod),"◇","")),IF(AND(AH$5&lt;=$F22,AH$5+GanttPeriod-1&gt;=$E22),"━","")))</f>
        <v/>
      </c>
      <c r="AI22" s="69" t="str">
        <f aca="false">IF($E22="","",IF($M22,IF(AND($G22&gt;=AI$5,$G22&lt;AI$5+GanttPeriod),"◆",IF(AND($E22&gt;=AI$5,$E22&lt;AI$5+GanttPeriod),"◇","")),IF(AND(AI$5&lt;=$F22,AI$5+GanttPeriod-1&gt;=$E22),"━","")))</f>
        <v/>
      </c>
      <c r="AJ22" s="69" t="str">
        <f aca="false">IF($E22="","",IF($M22,IF(AND($G22&gt;=AJ$5,$G22&lt;AJ$5+GanttPeriod),"◆",IF(AND($E22&gt;=AJ$5,$E22&lt;AJ$5+GanttPeriod),"◇","")),IF(AND(AJ$5&lt;=$F22,AJ$5+GanttPeriod-1&gt;=$E22),"━","")))</f>
        <v/>
      </c>
      <c r="AK22" s="69" t="str">
        <f aca="false">IF($E22="","",IF($M22,IF(AND($G22&gt;=AK$5,$G22&lt;AK$5+GanttPeriod),"◆",IF(AND($E22&gt;=AK$5,$E22&lt;AK$5+GanttPeriod),"◇","")),IF(AND(AK$5&lt;=$F22,AK$5+GanttPeriod-1&gt;=$E22),"━","")))</f>
        <v/>
      </c>
      <c r="AL22" s="69" t="str">
        <f aca="false">IF($E22="","",IF($M22,IF(AND($G22&gt;=AL$5,$G22&lt;AL$5+GanttPeriod),"◆",IF(AND($E22&gt;=AL$5,$E22&lt;AL$5+GanttPeriod),"◇","")),IF(AND(AL$5&lt;=$F22,AL$5+GanttPeriod-1&gt;=$E22),"━","")))</f>
        <v/>
      </c>
      <c r="AM22" s="69" t="str">
        <f aca="false">IF($E22="","",IF($M22,IF(AND($G22&gt;=AM$5,$G22&lt;AM$5+GanttPeriod),"◆",IF(AND($E22&gt;=AM$5,$E22&lt;AM$5+GanttPeriod),"◇","")),IF(AND(AM$5&lt;=$F22,AM$5+GanttPeriod-1&gt;=$E22),"━","")))</f>
        <v/>
      </c>
      <c r="AN22" s="69" t="str">
        <f aca="false">IF($E22="","",IF($M22,IF(AND($G22&gt;=AN$5,$G22&lt;AN$5+GanttPeriod),"◆",IF(AND($E22&gt;=AN$5,$E22&lt;AN$5+GanttPeriod),"◇","")),IF(AND(AN$5&lt;=$F22,AN$5+GanttPeriod-1&gt;=$E22),"━","")))</f>
        <v/>
      </c>
      <c r="AO22" s="69" t="str">
        <f aca="false">IF($E22="","",IF($M22,IF(AND($G22&gt;=AO$5,$G22&lt;AO$5+GanttPeriod),"◆",IF(AND($E22&gt;=AO$5,$E22&lt;AO$5+GanttPeriod),"◇","")),IF(AND(AO$5&lt;=$F22,AO$5+GanttPeriod-1&gt;=$E22),"━","")))</f>
        <v/>
      </c>
      <c r="AP22" s="69" t="str">
        <f aca="false">IF($E22="","",IF($M22,IF(AND($G22&gt;=AP$5,$G22&lt;AP$5+GanttPeriod),"◆",IF(AND($E22&gt;=AP$5,$E22&lt;AP$5+GanttPeriod),"◇","")),IF(AND(AP$5&lt;=$F22,AP$5+GanttPeriod-1&gt;=$E22),"━","")))</f>
        <v/>
      </c>
      <c r="AQ22" s="69" t="str">
        <f aca="false">IF($E22="","",IF($M22,IF(AND($G22&gt;=AQ$5,$G22&lt;AQ$5+GanttPeriod),"◆",IF(AND($E22&gt;=AQ$5,$E22&lt;AQ$5+GanttPeriod),"◇","")),IF(AND(AQ$5&lt;=$F22,AQ$5+GanttPeriod-1&gt;=$E22),"━","")))</f>
        <v/>
      </c>
      <c r="AR22" s="69" t="str">
        <f aca="false">IF($E22="","",IF($M22,IF(AND($G22&gt;=AR$5,$G22&lt;AR$5+GanttPeriod),"◆",IF(AND($E22&gt;=AR$5,$E22&lt;AR$5+GanttPeriod),"◇","")),IF(AND(AR$5&lt;=$F22,AR$5+GanttPeriod-1&gt;=$E22),"━","")))</f>
        <v/>
      </c>
      <c r="AS22" s="69" t="str">
        <f aca="false">IF($E22="","",IF($M22,IF(AND($G22&gt;=AS$5,$G22&lt;AS$5+GanttPeriod),"◆",IF(AND($E22&gt;=AS$5,$E22&lt;AS$5+GanttPeriod),"◇","")),IF(AND(AS$5&lt;=$F22,AS$5+GanttPeriod-1&gt;=$E22),"━","")))</f>
        <v/>
      </c>
      <c r="AT22" s="69" t="str">
        <f aca="false">IF($E22="","",IF($M22,IF(AND($G22&gt;=AT$5,$G22&lt;AT$5+GanttPeriod),"◆",IF(AND($E22&gt;=AT$5,$E22&lt;AT$5+GanttPeriod),"◇","")),IF(AND(AT$5&lt;=$F22,AT$5+GanttPeriod-1&gt;=$E22),"━","")))</f>
        <v/>
      </c>
      <c r="AU22" s="69" t="str">
        <f aca="false">IF($E22="","",IF($M22,IF(AND($G22&gt;=AU$5,$G22&lt;AU$5+GanttPeriod),"◆",IF(AND($E22&gt;=AU$5,$E22&lt;AU$5+GanttPeriod),"◇","")),IF(AND(AU$5&lt;=$F22,AU$5+GanttPeriod-1&gt;=$E22),"━","")))</f>
        <v/>
      </c>
      <c r="AV22" s="69" t="str">
        <f aca="false">IF($E22="","",IF($M22,IF(AND($G22&gt;=AV$5,$G22&lt;AV$5+GanttPeriod),"◆",IF(AND($E22&gt;=AV$5,$E22&lt;AV$5+GanttPeriod),"◇","")),IF(AND(AV$5&lt;=$F22,AV$5+GanttPeriod-1&gt;=$E22),"━","")))</f>
        <v/>
      </c>
      <c r="AW22" s="69" t="str">
        <f aca="false">IF($E22="","",IF($M22,IF(AND($G22&gt;=AW$5,$G22&lt;AW$5+GanttPeriod),"◆",IF(AND($E22&gt;=AW$5,$E22&lt;AW$5+GanttPeriod),"◇","")),IF(AND(AW$5&lt;=$F22,AW$5+GanttPeriod-1&gt;=$E22),"━","")))</f>
        <v/>
      </c>
      <c r="AX22" s="69" t="str">
        <f aca="false">IF($E22="","",IF($M22,IF(AND($G22&gt;=AX$5,$G22&lt;AX$5+GanttPeriod),"◆",IF(AND($E22&gt;=AX$5,$E22&lt;AX$5+GanttPeriod),"◇","")),IF(AND(AX$5&lt;=$F22,AX$5+GanttPeriod-1&gt;=$E22),"━","")))</f>
        <v/>
      </c>
      <c r="AY22" s="69" t="str">
        <f aca="false">IF($E22="","",IF($M22,IF(AND($G22&gt;=AY$5,$G22&lt;AY$5+GanttPeriod),"◆",IF(AND($E22&gt;=AY$5,$E22&lt;AY$5+GanttPeriod),"◇","")),IF(AND(AY$5&lt;=$F22,AY$5+GanttPeriod-1&gt;=$E22),"━","")))</f>
        <v/>
      </c>
      <c r="AZ22" s="69" t="str">
        <f aca="false">IF($E22="","",IF($M22,IF(AND($G22&gt;=AZ$5,$G22&lt;AZ$5+GanttPeriod),"◆",IF(AND($E22&gt;=AZ$5,$E22&lt;AZ$5+GanttPeriod),"◇","")),IF(AND(AZ$5&lt;=$F22,AZ$5+GanttPeriod-1&gt;=$E22),"━","")))</f>
        <v/>
      </c>
      <c r="BA22" s="69" t="str">
        <f aca="false">IF($E22="","",IF($M22,IF(AND($G22&gt;=BA$5,$G22&lt;BA$5+GanttPeriod),"◆",IF(AND($E22&gt;=BA$5,$E22&lt;BA$5+GanttPeriod),"◇","")),IF(AND(BA$5&lt;=$F22,BA$5+GanttPeriod-1&gt;=$E22),"━","")))</f>
        <v/>
      </c>
      <c r="BB22" s="69" t="str">
        <f aca="false">IF($E22="","",IF($M22,IF(AND($G22&gt;=BB$5,$G22&lt;BB$5+GanttPeriod),"◆",IF(AND($E22&gt;=BB$5,$E22&lt;BB$5+GanttPeriod),"◇","")),IF(AND(BB$5&lt;=$F22,BB$5+GanttPeriod-1&gt;=$E22),"━","")))</f>
        <v/>
      </c>
      <c r="BC22" s="69" t="str">
        <f aca="false">IF($E22="","",IF($M22,IF(AND($G22&gt;=BC$5,$G22&lt;BC$5+GanttPeriod),"◆",IF(AND($E22&gt;=BC$5,$E22&lt;BC$5+GanttPeriod),"◇","")),IF(AND(BC$5&lt;=$F22,BC$5+GanttPeriod-1&gt;=$E22),"━","")))</f>
        <v/>
      </c>
      <c r="BD22" s="69" t="str">
        <f aca="false">IF($E22="","",IF($M22,IF(AND($G22&gt;=BD$5,$G22&lt;BD$5+GanttPeriod),"◆",IF(AND($E22&gt;=BD$5,$E22&lt;BD$5+GanttPeriod),"◇","")),IF(AND(BD$5&lt;=$F22,BD$5+GanttPeriod-1&gt;=$E22),"━","")))</f>
        <v>━</v>
      </c>
      <c r="BE22" s="69" t="str">
        <f aca="false">IF($E22="","",IF($M22,IF(AND($G22&gt;=BE$5,$G22&lt;BE$5+GanttPeriod),"◆",IF(AND($E22&gt;=BE$5,$E22&lt;BE$5+GanttPeriod),"◇","")),IF(AND(BE$5&lt;=$F22,BE$5+GanttPeriod-1&gt;=$E22),"━","")))</f>
        <v>━</v>
      </c>
      <c r="BF22" s="69" t="str">
        <f aca="false">IF($E22="","",IF($M22,IF(AND($G22&gt;=BF$5,$G22&lt;BF$5+GanttPeriod),"◆",IF(AND($E22&gt;=BF$5,$E22&lt;BF$5+GanttPeriod),"◇","")),IF(AND(BF$5&lt;=$F22,BF$5+GanttPeriod-1&gt;=$E22),"━","")))</f>
        <v>━</v>
      </c>
      <c r="BG22" s="69" t="str">
        <f aca="false">IF($E22="","",IF($M22,IF(AND($G22&gt;=BG$5,$G22&lt;BG$5+GanttPeriod),"◆",IF(AND($E22&gt;=BG$5,$E22&lt;BG$5+GanttPeriod),"◇","")),IF(AND(BG$5&lt;=$F22,BG$5+GanttPeriod-1&gt;=$E22),"━","")))</f>
        <v>━</v>
      </c>
      <c r="BH22" s="69" t="str">
        <f aca="false">IF($E22="","",IF($M22,IF(AND($G22&gt;=BH$5,$G22&lt;BH$5+GanttPeriod),"◆",IF(AND($E22&gt;=BH$5,$E22&lt;BH$5+GanttPeriod),"◇","")),IF(AND(BH$5&lt;=$F22,BH$5+GanttPeriod-1&gt;=$E22),"━","")))</f>
        <v>━</v>
      </c>
      <c r="BI22" s="69" t="str">
        <f aca="false">IF($E22="","",IF($M22,IF(AND($G22&gt;=BI$5,$G22&lt;BI$5+GanttPeriod),"◆",IF(AND($E22&gt;=BI$5,$E22&lt;BI$5+GanttPeriod),"◇","")),IF(AND(BI$5&lt;=$F22,BI$5+GanttPeriod-1&gt;=$E22),"━","")))</f>
        <v>━</v>
      </c>
      <c r="BJ22" s="69" t="str">
        <f aca="false">IF($E22="","",IF($M22,IF(AND($G22&gt;=BJ$5,$G22&lt;BJ$5+GanttPeriod),"◆",IF(AND($E22&gt;=BJ$5,$E22&lt;BJ$5+GanttPeriod),"◇","")),IF(AND(BJ$5&lt;=$F22,BJ$5+GanttPeriod-1&gt;=$E22),"━","")))</f>
        <v>━</v>
      </c>
      <c r="BK22" s="69" t="str">
        <f aca="false">IF($E22="","",IF($M22,IF(AND($G22&gt;=BK$5,$G22&lt;BK$5+GanttPeriod),"◆",IF(AND($E22&gt;=BK$5,$E22&lt;BK$5+GanttPeriod),"◇","")),IF(AND(BK$5&lt;=$F22,BK$5+GanttPeriod-1&gt;=$E22),"━","")))</f>
        <v>━</v>
      </c>
      <c r="BL22" s="69" t="str">
        <f aca="false">IF($E22="","",IF($M22,IF(AND($G22&gt;=BL$5,$G22&lt;BL$5+GanttPeriod),"◆",IF(AND($E22&gt;=BL$5,$E22&lt;BL$5+GanttPeriod),"◇","")),IF(AND(BL$5&lt;=$F22,BL$5+GanttPeriod-1&gt;=$E22),"━","")))</f>
        <v>━</v>
      </c>
      <c r="BM22" s="69" t="str">
        <f aca="false">IF($E22="","",IF($M22,IF(AND($G22&gt;=BM$5,$G22&lt;BM$5+GanttPeriod),"◆",IF(AND($E22&gt;=BM$5,$E22&lt;BM$5+GanttPeriod),"◇","")),IF(AND(BM$5&lt;=$F22,BM$5+GanttPeriod-1&gt;=$E22),"━","")))</f>
        <v>━</v>
      </c>
      <c r="BN22" s="69" t="str">
        <f aca="false">IF($E22="","",IF($M22,IF(AND($G22&gt;=BN$5,$G22&lt;BN$5+GanttPeriod),"◆",IF(AND($E22&gt;=BN$5,$E22&lt;BN$5+GanttPeriod),"◇","")),IF(AND(BN$5&lt;=$F22,BN$5+GanttPeriod-1&gt;=$E22),"━","")))</f>
        <v>━</v>
      </c>
      <c r="BO22" s="69" t="str">
        <f aca="false">IF($E22="","",IF($M22,IF(AND($G22&gt;=BO$5,$G22&lt;BO$5+GanttPeriod),"◆",IF(AND($E22&gt;=BO$5,$E22&lt;BO$5+GanttPeriod),"◇","")),IF(AND(BO$5&lt;=$F22,BO$5+GanttPeriod-1&gt;=$E22),"━","")))</f>
        <v>━</v>
      </c>
      <c r="BP22" s="69" t="str">
        <f aca="false">IF($E22="","",IF($M22,IF(AND($G22&gt;=BP$5,$G22&lt;BP$5+GanttPeriod),"◆",IF(AND($E22&gt;=BP$5,$E22&lt;BP$5+GanttPeriod),"◇","")),IF(AND(BP$5&lt;=$F22,BP$5+GanttPeriod-1&gt;=$E22),"━","")))</f>
        <v>━</v>
      </c>
      <c r="BQ22" s="69" t="str">
        <f aca="false">IF($E22="","",IF($M22,IF(AND($G22&gt;=BQ$5,$G22&lt;BQ$5+GanttPeriod),"◆",IF(AND($E22&gt;=BQ$5,$E22&lt;BQ$5+GanttPeriod),"◇","")),IF(AND(BQ$5&lt;=$F22,BQ$5+GanttPeriod-1&gt;=$E22),"━","")))</f>
        <v>━</v>
      </c>
      <c r="BR22" s="69" t="str">
        <f aca="false">IF($E22="","",IF($M22,IF(AND($G22&gt;=BR$5,$G22&lt;BR$5+GanttPeriod),"◆",IF(AND($E22&gt;=BR$5,$E22&lt;BR$5+GanttPeriod),"◇","")),IF(AND(BR$5&lt;=$F22,BR$5+GanttPeriod-1&gt;=$E22),"━","")))</f>
        <v>━</v>
      </c>
      <c r="BS22" s="69" t="str">
        <f aca="false">IF($E22="","",IF($M22,IF(AND($G22&gt;=BS$5,$G22&lt;BS$5+GanttPeriod),"◆",IF(AND($E22&gt;=BS$5,$E22&lt;BS$5+GanttPeriod),"◇","")),IF(AND(BS$5&lt;=$F22,BS$5+GanttPeriod-1&gt;=$E22),"━","")))</f>
        <v>━</v>
      </c>
      <c r="BT22" s="69" t="str">
        <f aca="false">IF($E22="","",IF($M22,IF(AND($G22&gt;=BT$5,$G22&lt;BT$5+GanttPeriod),"◆",IF(AND($E22&gt;=BT$5,$E22&lt;BT$5+GanttPeriod),"◇","")),IF(AND(BT$5&lt;=$F22,BT$5+GanttPeriod-1&gt;=$E22),"━","")))</f>
        <v/>
      </c>
      <c r="BU22" s="69" t="str">
        <f aca="false">IF($E22="","",IF($M22,IF(AND($G22&gt;=BU$5,$G22&lt;BU$5+GanttPeriod),"◆",IF(AND($E22&gt;=BU$5,$E22&lt;BU$5+GanttPeriod),"◇","")),IF(AND(BU$5&lt;=$F22,BU$5+GanttPeriod-1&gt;=$E22),"━","")))</f>
        <v/>
      </c>
      <c r="BV22" s="69" t="str">
        <f aca="false">IF($E22="","",IF($M22,IF(AND($G22&gt;=BV$5,$G22&lt;BV$5+GanttPeriod),"◆",IF(AND($E22&gt;=BV$5,$E22&lt;BV$5+GanttPeriod),"◇","")),IF(AND(BV$5&lt;=$F22,BV$5+GanttPeriod-1&gt;=$E22),"━","")))</f>
        <v/>
      </c>
      <c r="BW22" s="69" t="str">
        <f aca="false">IF($E22="","",IF($M22,IF(AND($G22&gt;=BW$5,$G22&lt;BW$5+GanttPeriod),"◆",IF(AND($E22&gt;=BW$5,$E22&lt;BW$5+GanttPeriod),"◇","")),IF(AND(BW$5&lt;=$F22,BW$5+GanttPeriod-1&gt;=$E22),"━","")))</f>
        <v/>
      </c>
      <c r="BX22" s="69" t="str">
        <f aca="false">IF($E22="","",IF($M22,IF(AND($G22&gt;=BX$5,$G22&lt;BX$5+GanttPeriod),"◆",IF(AND($E22&gt;=BX$5,$E22&lt;BX$5+GanttPeriod),"◇","")),IF(AND(BX$5&lt;=$F22,BX$5+GanttPeriod-1&gt;=$E22),"━","")))</f>
        <v/>
      </c>
      <c r="BY22" s="69" t="str">
        <f aca="false">IF($E22="","",IF($M22,IF(AND($G22&gt;=BY$5,$G22&lt;BY$5+GanttPeriod),"◆",IF(AND($E22&gt;=BY$5,$E22&lt;BY$5+GanttPeriod),"◇","")),IF(AND(BY$5&lt;=$F22,BY$5+GanttPeriod-1&gt;=$E22),"━","")))</f>
        <v/>
      </c>
      <c r="BZ22" s="69" t="str">
        <f aca="false">IF($E22="","",IF($M22,IF(AND($G22&gt;=BZ$5,$G22&lt;BZ$5+GanttPeriod),"◆",IF(AND($E22&gt;=BZ$5,$E22&lt;BZ$5+GanttPeriod),"◇","")),IF(AND(BZ$5&lt;=$F22,BZ$5+GanttPeriod-1&gt;=$E22),"━","")))</f>
        <v/>
      </c>
      <c r="CA22" s="69" t="str">
        <f aca="false">IF($E22="","",IF($M22,IF(AND($G22&gt;=CA$5,$G22&lt;CA$5+GanttPeriod),"◆",IF(AND($E22&gt;=CA$5,$E22&lt;CA$5+GanttPeriod),"◇","")),IF(AND(CA$5&lt;=$F22,CA$5+GanttPeriod-1&gt;=$E22),"━","")))</f>
        <v/>
      </c>
      <c r="CB22" s="69" t="str">
        <f aca="false">IF($E22="","",IF($M22,IF(AND($G22&gt;=CB$5,$G22&lt;CB$5+GanttPeriod),"◆",IF(AND($E22&gt;=CB$5,$E22&lt;CB$5+GanttPeriod),"◇","")),IF(AND(CB$5&lt;=$F22,CB$5+GanttPeriod-1&gt;=$E22),"━","")))</f>
        <v/>
      </c>
      <c r="CC22" s="69" t="str">
        <f aca="false">IF($E22="","",IF($M22,IF(AND($G22&gt;=CC$5,$G22&lt;CC$5+GanttPeriod),"◆",IF(AND($E22&gt;=CC$5,$E22&lt;CC$5+GanttPeriod),"◇","")),IF(AND(CC$5&lt;=$F22,CC$5+GanttPeriod-1&gt;=$E22),"━","")))</f>
        <v/>
      </c>
      <c r="CD22" s="69" t="str">
        <f aca="false">IF($E22="","",IF($M22,IF(AND($G22&gt;=CD$5,$G22&lt;CD$5+GanttPeriod),"◆",IF(AND($E22&gt;=CD$5,$E22&lt;CD$5+GanttPeriod),"◇","")),IF(AND(CD$5&lt;=$F22,CD$5+GanttPeriod-1&gt;=$E22),"━","")))</f>
        <v/>
      </c>
      <c r="CE22" s="69" t="str">
        <f aca="false">IF($E22="","",IF($M22,IF(AND($G22&gt;=CE$5,$G22&lt;CE$5+GanttPeriod),"◆",IF(AND($E22&gt;=CE$5,$E22&lt;CE$5+GanttPeriod),"◇","")),IF(AND(CE$5&lt;=$F22,CE$5+GanttPeriod-1&gt;=$E22),"━","")))</f>
        <v/>
      </c>
      <c r="CF22" s="69" t="str">
        <f aca="false">IF($E22="","",IF($M22,IF(AND($G22&gt;=CF$5,$G22&lt;CF$5+GanttPeriod),"◆",IF(AND($E22&gt;=CF$5,$E22&lt;CF$5+GanttPeriod),"◇","")),IF(AND(CF$5&lt;=$F22,CF$5+GanttPeriod-1&gt;=$E22),"━","")))</f>
        <v/>
      </c>
      <c r="CG22" s="69" t="str">
        <f aca="false">IF($E22="","",IF($M22,IF(AND($G22&gt;=CG$5,$G22&lt;CG$5+GanttPeriod),"◆",IF(AND($E22&gt;=CG$5,$E22&lt;CG$5+GanttPeriod),"◇","")),IF(AND(CG$5&lt;=$F22,CG$5+GanttPeriod-1&gt;=$E22),"━","")))</f>
        <v/>
      </c>
      <c r="CH22" s="69" t="str">
        <f aca="false">IF($E22="","",IF($M22,IF(AND($G22&gt;=CH$5,$G22&lt;CH$5+GanttPeriod),"◆",IF(AND($E22&gt;=CH$5,$E22&lt;CH$5+GanttPeriod),"◇","")),IF(AND(CH$5&lt;=$F22,CH$5+GanttPeriod-1&gt;=$E22),"━","")))</f>
        <v/>
      </c>
      <c r="CI22" s="69" t="str">
        <f aca="false">IF($E22="","",IF($M22,IF(AND($G22&gt;=CI$5,$G22&lt;CI$5+GanttPeriod),"◆",IF(AND($E22&gt;=CI$5,$E22&lt;CI$5+GanttPeriod),"◇","")),IF(AND(CI$5&lt;=$F22,CI$5+GanttPeriod-1&gt;=$E22),"━","")))</f>
        <v/>
      </c>
      <c r="CJ22" s="69" t="str">
        <f aca="false">IF($E22="","",IF($M22,IF(AND($G22&gt;=CJ$5,$G22&lt;CJ$5+GanttPeriod),"◆",IF(AND($E22&gt;=CJ$5,$E22&lt;CJ$5+GanttPeriod),"◇","")),IF(AND(CJ$5&lt;=$F22,CJ$5+GanttPeriod-1&gt;=$E22),"━","")))</f>
        <v/>
      </c>
      <c r="CK22" s="69" t="str">
        <f aca="false">IF($E22="","",IF($M22,IF(AND($G22&gt;=CK$5,$G22&lt;CK$5+GanttPeriod),"◆",IF(AND($E22&gt;=CK$5,$E22&lt;CK$5+GanttPeriod),"◇","")),IF(AND(CK$5&lt;=$F22,CK$5+GanttPeriod-1&gt;=$E22),"━","")))</f>
        <v/>
      </c>
      <c r="CL22" s="69" t="str">
        <f aca="false">IF($E22="","",IF($M22,IF(AND($G22&gt;=CL$5,$G22&lt;CL$5+GanttPeriod),"◆",IF(AND($E22&gt;=CL$5,$E22&lt;CL$5+GanttPeriod),"◇","")),IF(AND(CL$5&lt;=$F22,CL$5+GanttPeriod-1&gt;=$E22),"━","")))</f>
        <v/>
      </c>
      <c r="CM22" s="69" t="str">
        <f aca="false">IF($E22="","",IF($M22,IF(AND($G22&gt;=CM$5,$G22&lt;CM$5+GanttPeriod),"◆",IF(AND($E22&gt;=CM$5,$E22&lt;CM$5+GanttPeriod),"◇","")),IF(AND(CM$5&lt;=$F22,CM$5+GanttPeriod-1&gt;=$E22),"━","")))</f>
        <v/>
      </c>
      <c r="CN22" s="69" t="str">
        <f aca="false">IF($E22="","",IF($M22,IF(AND($G22&gt;=CN$5,$G22&lt;CN$5+GanttPeriod),"◆",IF(AND($E22&gt;=CN$5,$E22&lt;CN$5+GanttPeriod),"◇","")),IF(AND(CN$5&lt;=$F22,CN$5+GanttPeriod-1&gt;=$E22),"━","")))</f>
        <v/>
      </c>
      <c r="CO22" s="69" t="str">
        <f aca="false">IF($E22="","",IF($M22,IF(AND($G22&gt;=CO$5,$G22&lt;CO$5+GanttPeriod),"◆",IF(AND($E22&gt;=CO$5,$E22&lt;CO$5+GanttPeriod),"◇","")),IF(AND(CO$5&lt;=$F22,CO$5+GanttPeriod-1&gt;=$E22),"━","")))</f>
        <v/>
      </c>
      <c r="CP22" s="69" t="str">
        <f aca="false">IF($E22="","",IF($M22,IF(AND($G22&gt;=CP$5,$G22&lt;CP$5+GanttPeriod),"◆",IF(AND($E22&gt;=CP$5,$E22&lt;CP$5+GanttPeriod),"◇","")),IF(AND(CP$5&lt;=$F22,CP$5+GanttPeriod-1&gt;=$E22),"━","")))</f>
        <v/>
      </c>
      <c r="CQ22" s="69" t="str">
        <f aca="false">IF($E22="","",IF($M22,IF(AND($G22&gt;=CQ$5,$G22&lt;CQ$5+GanttPeriod),"◆",IF(AND($E22&gt;=CQ$5,$E22&lt;CQ$5+GanttPeriod),"◇","")),IF(AND(CQ$5&lt;=$F22,CQ$5+GanttPeriod-1&gt;=$E22),"━","")))</f>
        <v/>
      </c>
      <c r="CR22" s="69" t="str">
        <f aca="false">IF($E22="","",IF($M22,IF(AND($G22&gt;=CR$5,$G22&lt;CR$5+GanttPeriod),"◆",IF(AND($E22&gt;=CR$5,$E22&lt;CR$5+GanttPeriod),"◇","")),IF(AND(CR$5&lt;=$F22,CR$5+GanttPeriod-1&gt;=$E22),"━","")))</f>
        <v/>
      </c>
      <c r="CS22" s="69" t="str">
        <f aca="false">IF($E22="","",IF($M22,IF(AND($G22&gt;=CS$5,$G22&lt;CS$5+GanttPeriod),"◆",IF(AND($E22&gt;=CS$5,$E22&lt;CS$5+GanttPeriod),"◇","")),IF(AND(CS$5&lt;=$F22,CS$5+GanttPeriod-1&gt;=$E22),"━","")))</f>
        <v/>
      </c>
      <c r="CT22" s="69" t="str">
        <f aca="false">IF($E22="","",IF($M22,IF(AND($G22&gt;=CT$5,$G22&lt;CT$5+GanttPeriod),"◆",IF(AND($E22&gt;=CT$5,$E22&lt;CT$5+GanttPeriod),"◇","")),IF(AND(CT$5&lt;=$F22,CT$5+GanttPeriod-1&gt;=$E22),"━","")))</f>
        <v/>
      </c>
      <c r="CU22" s="69" t="str">
        <f aca="false">IF($E22="","",IF($M22,IF(AND($G22&gt;=CU$5,$G22&lt;CU$5+GanttPeriod),"◆",IF(AND($E22&gt;=CU$5,$E22&lt;CU$5+GanttPeriod),"◇","")),IF(AND(CU$5&lt;=$F22,CU$5+GanttPeriod-1&gt;=$E22),"━","")))</f>
        <v/>
      </c>
      <c r="CV22" s="69" t="str">
        <f aca="false">IF($E22="","",IF($M22,IF(AND($G22&gt;=CV$5,$G22&lt;CV$5+GanttPeriod),"◆",IF(AND($E22&gt;=CV$5,$E22&lt;CV$5+GanttPeriod),"◇","")),IF(AND(CV$5&lt;=$F22,CV$5+GanttPeriod-1&gt;=$E22),"━","")))</f>
        <v/>
      </c>
      <c r="CW22" s="69" t="str">
        <f aca="false">IF($E22="","",IF($M22,IF(AND($G22&gt;=CW$5,$G22&lt;CW$5+GanttPeriod),"◆",IF(AND($E22&gt;=CW$5,$E22&lt;CW$5+GanttPeriod),"◇","")),IF(AND(CW$5&lt;=$F22,CW$5+GanttPeriod-1&gt;=$E22),"━","")))</f>
        <v/>
      </c>
      <c r="CX22" s="69" t="str">
        <f aca="false">IF($E22="","",IF($M22,IF(AND($G22&gt;=CX$5,$G22&lt;CX$5+GanttPeriod),"◆",IF(AND($E22&gt;=CX$5,$E22&lt;CX$5+GanttPeriod),"◇","")),IF(AND(CX$5&lt;=$F22,CX$5+GanttPeriod-1&gt;=$E22),"━","")))</f>
        <v/>
      </c>
      <c r="CY22" s="69" t="str">
        <f aca="false">IF($E22="","",IF($M22,IF(AND($G22&gt;=CY$5,$G22&lt;CY$5+GanttPeriod),"◆",IF(AND($E22&gt;=CY$5,$E22&lt;CY$5+GanttPeriod),"◇","")),IF(AND(CY$5&lt;=$F22,CY$5+GanttPeriod-1&gt;=$E22),"━","")))</f>
        <v/>
      </c>
      <c r="CZ22" s="69" t="str">
        <f aca="false">IF($E22="","",IF($M22,IF(AND($G22&gt;=CZ$5,$G22&lt;CZ$5+GanttPeriod),"◆",IF(AND($E22&gt;=CZ$5,$E22&lt;CZ$5+GanttPeriod),"◇","")),IF(AND(CZ$5&lt;=$F22,CZ$5+GanttPeriod-1&gt;=$E22),"━","")))</f>
        <v/>
      </c>
      <c r="DA22" s="69" t="str">
        <f aca="false">IF($E22="","",IF($M22,IF(AND($G22&gt;=DA$5,$G22&lt;DA$5+GanttPeriod),"◆",IF(AND($E22&gt;=DA$5,$E22&lt;DA$5+GanttPeriod),"◇","")),IF(AND(DA$5&lt;=$F22,DA$5+GanttPeriod-1&gt;=$E22),"━","")))</f>
        <v/>
      </c>
      <c r="DB22" s="69" t="str">
        <f aca="false">IF($E22="","",IF($M22,IF(AND($G22&gt;=DB$5,$G22&lt;DB$5+GanttPeriod),"◆",IF(AND($E22&gt;=DB$5,$E22&lt;DB$5+GanttPeriod),"◇","")),IF(AND(DB$5&lt;=$F22,DB$5+GanttPeriod-1&gt;=$E22),"━","")))</f>
        <v/>
      </c>
      <c r="DC22" s="69" t="str">
        <f aca="false">IF($E22="","",IF($M22,IF(AND($G22&gt;=DC$5,$G22&lt;DC$5+GanttPeriod),"◆",IF(AND($E22&gt;=DC$5,$E22&lt;DC$5+GanttPeriod),"◇","")),IF(AND(DC$5&lt;=$F22,DC$5+GanttPeriod-1&gt;=$E22),"━","")))</f>
        <v/>
      </c>
      <c r="DD22" s="69" t="str">
        <f aca="false">IF($E22="","",IF($M22,IF(AND($G22&gt;=DD$5,$G22&lt;DD$5+GanttPeriod),"◆",IF(AND($E22&gt;=DD$5,$E22&lt;DD$5+GanttPeriod),"◇","")),IF(AND(DD$5&lt;=$F22,DD$5+GanttPeriod-1&gt;=$E22),"━","")))</f>
        <v/>
      </c>
      <c r="DE22" s="69" t="str">
        <f aca="false">IF($E22="","",IF($M22,IF(AND($G22&gt;=DE$5,$G22&lt;DE$5+GanttPeriod),"◆",IF(AND($E22&gt;=DE$5,$E22&lt;DE$5+GanttPeriod),"◇","")),IF(AND(DE$5&lt;=$F22,DE$5+GanttPeriod-1&gt;=$E22),"━","")))</f>
        <v/>
      </c>
      <c r="DF22" s="69" t="str">
        <f aca="false">IF($E22="","",IF($M22,IF(AND($G22&gt;=DF$5,$G22&lt;DF$5+GanttPeriod),"◆",IF(AND($E22&gt;=DF$5,$E22&lt;DF$5+GanttPeriod),"◇","")),IF(AND(DF$5&lt;=$F22,DF$5+GanttPeriod-1&gt;=$E22),"━","")))</f>
        <v/>
      </c>
      <c r="DG22" s="69" t="str">
        <f aca="false">IF($E22="","",IF($M22,IF(AND($G22&gt;=DG$5,$G22&lt;DG$5+GanttPeriod),"◆",IF(AND($E22&gt;=DG$5,$E22&lt;DG$5+GanttPeriod),"◇","")),IF(AND(DG$5&lt;=$F22,DG$5+GanttPeriod-1&gt;=$E22),"━","")))</f>
        <v/>
      </c>
      <c r="DH22" s="69" t="str">
        <f aca="false">IF($E22="","",IF($M22,IF(AND($G22&gt;=DH$5,$G22&lt;DH$5+GanttPeriod),"◆",IF(AND($E22&gt;=DH$5,$E22&lt;DH$5+GanttPeriod),"◇","")),IF(AND(DH$5&lt;=$F22,DH$5+GanttPeriod-1&gt;=$E22),"━","")))</f>
        <v/>
      </c>
      <c r="DI22" s="69" t="str">
        <f aca="false">IF($E22="","",IF($M22,IF(AND($G22&gt;=DI$5,$G22&lt;DI$5+GanttPeriod),"◆",IF(AND($E22&gt;=DI$5,$E22&lt;DI$5+GanttPeriod),"◇","")),IF(AND(DI$5&lt;=$F22,DI$5+GanttPeriod-1&gt;=$E22),"━","")))</f>
        <v/>
      </c>
      <c r="DJ22" s="69" t="str">
        <f aca="false">IF($E22="","",IF($M22,IF(AND($G22&gt;=DJ$5,$G22&lt;DJ$5+GanttPeriod),"◆",IF(AND($E22&gt;=DJ$5,$E22&lt;DJ$5+GanttPeriod),"◇","")),IF(AND(DJ$5&lt;=$F22,DJ$5+GanttPeriod-1&gt;=$E22),"━","")))</f>
        <v/>
      </c>
      <c r="DK22" s="69" t="str">
        <f aca="false">IF($E22="","",IF($M22,IF(AND($G22&gt;=DK$5,$G22&lt;DK$5+GanttPeriod),"◆",IF(AND($E22&gt;=DK$5,$E22&lt;DK$5+GanttPeriod),"◇","")),IF(AND(DK$5&lt;=$F22,DK$5+GanttPeriod-1&gt;=$E22),"━","")))</f>
        <v/>
      </c>
      <c r="DL22" s="69" t="str">
        <f aca="false">IF($E22="","",IF($M22,IF(AND($G22&gt;=DL$5,$G22&lt;DL$5+GanttPeriod),"◆",IF(AND($E22&gt;=DL$5,$E22&lt;DL$5+GanttPeriod),"◇","")),IF(AND(DL$5&lt;=$F22,DL$5+GanttPeriod-1&gt;=$E22),"━","")))</f>
        <v/>
      </c>
      <c r="DM22" s="69" t="str">
        <f aca="false">IF($E22="","",IF($M22,IF(AND($G22&gt;=DM$5,$G22&lt;DM$5+GanttPeriod),"◆",IF(AND($E22&gt;=DM$5,$E22&lt;DM$5+GanttPeriod),"◇","")),IF(AND(DM$5&lt;=$F22,DM$5+GanttPeriod-1&gt;=$E22),"━","")))</f>
        <v/>
      </c>
      <c r="DN22" s="69" t="str">
        <f aca="false">IF($E22="","",IF($M22,IF(AND($G22&gt;=DN$5,$G22&lt;DN$5+GanttPeriod),"◆",IF(AND($E22&gt;=DN$5,$E22&lt;DN$5+GanttPeriod),"◇","")),IF(AND(DN$5&lt;=$F22,DN$5+GanttPeriod-1&gt;=$E22),"━","")))</f>
        <v/>
      </c>
      <c r="DO22" s="69" t="str">
        <f aca="false">IF($E22="","",IF($M22,IF(AND($G22&gt;=DO$5,$G22&lt;DO$5+GanttPeriod),"◆",IF(AND($E22&gt;=DO$5,$E22&lt;DO$5+GanttPeriod),"◇","")),IF(AND(DO$5&lt;=$F22,DO$5+GanttPeriod-1&gt;=$E22),"━","")))</f>
        <v/>
      </c>
      <c r="DP22" s="69" t="str">
        <f aca="false">IF($E22="","",IF($M22,IF(AND($G22&gt;=DP$5,$G22&lt;DP$5+GanttPeriod),"◆",IF(AND($E22&gt;=DP$5,$E22&lt;DP$5+GanttPeriod),"◇","")),IF(AND(DP$5&lt;=$F22,DP$5+GanttPeriod-1&gt;=$E22),"━","")))</f>
        <v/>
      </c>
      <c r="DQ22" s="69" t="str">
        <f aca="false">IF($E22="","",IF($M22,IF(AND($G22&gt;=DQ$5,$G22&lt;DQ$5+GanttPeriod),"◆",IF(AND($E22&gt;=DQ$5,$E22&lt;DQ$5+GanttPeriod),"◇","")),IF(AND(DQ$5&lt;=$F22,DQ$5+GanttPeriod-1&gt;=$E22),"━","")))</f>
        <v/>
      </c>
      <c r="DR22" s="69" t="str">
        <f aca="false">IF($E22="","",IF($M22,IF(AND($G22&gt;=DR$5,$G22&lt;DR$5+GanttPeriod),"◆",IF(AND($E22&gt;=DR$5,$E22&lt;DR$5+GanttPeriod),"◇","")),IF(AND(DR$5&lt;=$F22,DR$5+GanttPeriod-1&gt;=$E22),"━","")))</f>
        <v/>
      </c>
      <c r="DS22" s="69" t="str">
        <f aca="false">IF($E22="","",IF($M22,IF(AND($G22&gt;=DS$5,$G22&lt;DS$5+GanttPeriod),"◆",IF(AND($E22&gt;=DS$5,$E22&lt;DS$5+GanttPeriod),"◇","")),IF(AND(DS$5&lt;=$F22,DS$5+GanttPeriod-1&gt;=$E22),"━","")))</f>
        <v/>
      </c>
      <c r="DT22" s="69" t="str">
        <f aca="false">IF($E22="","",IF($M22,IF(AND($G22&gt;=DT$5,$G22&lt;DT$5+GanttPeriod),"◆",IF(AND($E22&gt;=DT$5,$E22&lt;DT$5+GanttPeriod),"◇","")),IF(AND(DT$5&lt;=$F22,DT$5+GanttPeriod-1&gt;=$E22),"━","")))</f>
        <v/>
      </c>
      <c r="DU22" s="69" t="str">
        <f aca="false">IF($E22="","",IF($M22,IF(AND($G22&gt;=DU$5,$G22&lt;DU$5+GanttPeriod),"◆",IF(AND($E22&gt;=DU$5,$E22&lt;DU$5+GanttPeriod),"◇","")),IF(AND(DU$5&lt;=$F22,DU$5+GanttPeriod-1&gt;=$E22),"━","")))</f>
        <v/>
      </c>
      <c r="DV22" s="69" t="str">
        <f aca="false">IF($E22="","",IF($M22,IF(AND($G22&gt;=DV$5,$G22&lt;DV$5+GanttPeriod),"◆",IF(AND($E22&gt;=DV$5,$E22&lt;DV$5+GanttPeriod),"◇","")),IF(AND(DV$5&lt;=$F22,DV$5+GanttPeriod-1&gt;=$E22),"━","")))</f>
        <v/>
      </c>
      <c r="DW22" s="69" t="str">
        <f aca="false">IF($E22="","",IF($M22,IF(AND($G22&gt;=DW$5,$G22&lt;DW$5+GanttPeriod),"◆",IF(AND($E22&gt;=DW$5,$E22&lt;DW$5+GanttPeriod),"◇","")),IF(AND(DW$5&lt;=$F22,DW$5+GanttPeriod-1&gt;=$E22),"━","")))</f>
        <v/>
      </c>
      <c r="DX22" s="69" t="str">
        <f aca="false">IF($E22="","",IF($M22,IF(AND($G22&gt;=DX$5,$G22&lt;DX$5+GanttPeriod),"◆",IF(AND($E22&gt;=DX$5,$E22&lt;DX$5+GanttPeriod),"◇","")),IF(AND(DX$5&lt;=$F22,DX$5+GanttPeriod-1&gt;=$E22),"━","")))</f>
        <v/>
      </c>
      <c r="DY22" s="69" t="str">
        <f aca="false">IF($E22="","",IF($M22,IF(AND($G22&gt;=DY$5,$G22&lt;DY$5+GanttPeriod),"◆",IF(AND($E22&gt;=DY$5,$E22&lt;DY$5+GanttPeriod),"◇","")),IF(AND(DY$5&lt;=$F22,DY$5+GanttPeriod-1&gt;=$E22),"━","")))</f>
        <v/>
      </c>
      <c r="DZ22" s="69" t="str">
        <f aca="false">IF($E22="","",IF($M22,IF(AND($G22&gt;=DZ$5,$G22&lt;DZ$5+GanttPeriod),"◆",IF(AND($E22&gt;=DZ$5,$E22&lt;DZ$5+GanttPeriod),"◇","")),IF(AND(DZ$5&lt;=$F22,DZ$5+GanttPeriod-1&gt;=$E22),"━","")))</f>
        <v/>
      </c>
      <c r="EA22" s="69" t="str">
        <f aca="false">IF($E22="","",IF($M22,IF(AND($G22&gt;=EA$5,$G22&lt;EA$5+GanttPeriod),"◆",IF(AND($E22&gt;=EA$5,$E22&lt;EA$5+GanttPeriod),"◇","")),IF(AND(EA$5&lt;=$F22,EA$5+GanttPeriod-1&gt;=$E22),"━","")))</f>
        <v/>
      </c>
      <c r="EB22" s="69" t="str">
        <f aca="false">IF($E22="","",IF($M22,IF(AND($G22&gt;=EB$5,$G22&lt;EB$5+GanttPeriod),"◆",IF(AND($E22&gt;=EB$5,$E22&lt;EB$5+GanttPeriod),"◇","")),IF(AND(EB$5&lt;=$F22,EB$5+GanttPeriod-1&gt;=$E22),"━","")))</f>
        <v/>
      </c>
      <c r="EC22" s="69" t="str">
        <f aca="false">IF($E22="","",IF($M22,IF(AND($G22&gt;=EC$5,$G22&lt;EC$5+GanttPeriod),"◆",IF(AND($E22&gt;=EC$5,$E22&lt;EC$5+GanttPeriod),"◇","")),IF(AND(EC$5&lt;=$F22,EC$5+GanttPeriod-1&gt;=$E22),"━","")))</f>
        <v/>
      </c>
      <c r="ED22" s="69" t="str">
        <f aca="false">IF($E22="","",IF($M22,IF(AND($G22&gt;=ED$5,$G22&lt;ED$5+GanttPeriod),"◆",IF(AND($E22&gt;=ED$5,$E22&lt;ED$5+GanttPeriod),"◇","")),IF(AND(ED$5&lt;=$F22,ED$5+GanttPeriod-1&gt;=$E22),"━","")))</f>
        <v/>
      </c>
      <c r="EE22" s="69" t="str">
        <f aca="false">IF($E22="","",IF($M22,IF(AND($G22&gt;=EE$5,$G22&lt;EE$5+GanttPeriod),"◆",IF(AND($E22&gt;=EE$5,$E22&lt;EE$5+GanttPeriod),"◇","")),IF(AND(EE$5&lt;=$F22,EE$5+GanttPeriod-1&gt;=$E22),"━","")))</f>
        <v/>
      </c>
      <c r="EF22" s="69" t="str">
        <f aca="false">IF($E22="","",IF($M22,IF(AND($G22&gt;=EF$5,$G22&lt;EF$5+GanttPeriod),"◆",IF(AND($E22&gt;=EF$5,$E22&lt;EF$5+GanttPeriod),"◇","")),IF(AND(EF$5&lt;=$F22,EF$5+GanttPeriod-1&gt;=$E22),"━","")))</f>
        <v/>
      </c>
      <c r="EG22" s="69" t="str">
        <f aca="false">IF($E22="","",IF($M22,IF(AND($G22&gt;=EG$5,$G22&lt;EG$5+GanttPeriod),"◆",IF(AND($E22&gt;=EG$5,$E22&lt;EG$5+GanttPeriod),"◇","")),IF(AND(EG$5&lt;=$F22,EG$5+GanttPeriod-1&gt;=$E22),"━","")))</f>
        <v/>
      </c>
      <c r="EH22" s="69" t="str">
        <f aca="false">IF($E22="","",IF($M22,IF(AND($G22&gt;=EH$5,$G22&lt;EH$5+GanttPeriod),"◆",IF(AND($E22&gt;=EH$5,$E22&lt;EH$5+GanttPeriod),"◇","")),IF(AND(EH$5&lt;=$F22,EH$5+GanttPeriod-1&gt;=$E22),"━","")))</f>
        <v/>
      </c>
      <c r="EI22" s="69" t="str">
        <f aca="false">IF($E22="","",IF($M22,IF(AND($G22&gt;=EI$5,$G22&lt;EI$5+GanttPeriod),"◆",IF(AND($E22&gt;=EI$5,$E22&lt;EI$5+GanttPeriod),"◇","")),IF(AND(EI$5&lt;=$F22,EI$5+GanttPeriod-1&gt;=$E22),"━","")))</f>
        <v/>
      </c>
      <c r="EJ22" s="69" t="str">
        <f aca="false">IF($E22="","",IF($M22,IF(AND($G22&gt;=EJ$5,$G22&lt;EJ$5+GanttPeriod),"◆",IF(AND($E22&gt;=EJ$5,$E22&lt;EJ$5+GanttPeriod),"◇","")),IF(AND(EJ$5&lt;=$F22,EJ$5+GanttPeriod-1&gt;=$E22),"━","")))</f>
        <v/>
      </c>
      <c r="EK22" s="69" t="str">
        <f aca="false">IF($E22="","",IF($M22,IF(AND($G22&gt;=EK$5,$G22&lt;EK$5+GanttPeriod),"◆",IF(AND($E22&gt;=EK$5,$E22&lt;EK$5+GanttPeriod),"◇","")),IF(AND(EK$5&lt;=$F22,EK$5+GanttPeriod-1&gt;=$E22),"━","")))</f>
        <v/>
      </c>
      <c r="EL22" s="69" t="str">
        <f aca="false">IF($E22="","",IF($M22,IF(AND($G22&gt;=EL$5,$G22&lt;EL$5+GanttPeriod),"◆",IF(AND($E22&gt;=EL$5,$E22&lt;EL$5+GanttPeriod),"◇","")),IF(AND(EL$5&lt;=$F22,EL$5+GanttPeriod-1&gt;=$E22),"━","")))</f>
        <v/>
      </c>
      <c r="EM22" s="69" t="str">
        <f aca="false">IF($E22="","",IF($M22,IF(AND($G22&gt;=EM$5,$G22&lt;EM$5+GanttPeriod),"◆",IF(AND($E22&gt;=EM$5,$E22&lt;EM$5+GanttPeriod),"◇","")),IF(AND(EM$5&lt;=$F22,EM$5+GanttPeriod-1&gt;=$E22),"━","")))</f>
        <v/>
      </c>
      <c r="EN22" s="69" t="str">
        <f aca="false">IF($E22="","",IF($M22,IF(AND($G22&gt;=EN$5,$G22&lt;EN$5+GanttPeriod),"◆",IF(AND($E22&gt;=EN$5,$E22&lt;EN$5+GanttPeriod),"◇","")),IF(AND(EN$5&lt;=$F22,EN$5+GanttPeriod-1&gt;=$E22),"━","")))</f>
        <v/>
      </c>
      <c r="EO22" s="69" t="str">
        <f aca="false">IF($E22="","",IF($M22,IF(AND($G22&gt;=EO$5,$G22&lt;EO$5+GanttPeriod),"◆",IF(AND($E22&gt;=EO$5,$E22&lt;EO$5+GanttPeriod),"◇","")),IF(AND(EO$5&lt;=$F22,EO$5+GanttPeriod-1&gt;=$E22),"━","")))</f>
        <v/>
      </c>
      <c r="EP22" s="69" t="str">
        <f aca="false">IF($E22="","",IF($M22,IF(AND($G22&gt;=EP$5,$G22&lt;EP$5+GanttPeriod),"◆",IF(AND($E22&gt;=EP$5,$E22&lt;EP$5+GanttPeriod),"◇","")),IF(AND(EP$5&lt;=$F22,EP$5+GanttPeriod-1&gt;=$E22),"━","")))</f>
        <v/>
      </c>
      <c r="EQ22" s="69" t="str">
        <f aca="false">IF($E22="","",IF($M22,IF(AND($G22&gt;=EQ$5,$G22&lt;EQ$5+GanttPeriod),"◆",IF(AND($E22&gt;=EQ$5,$E22&lt;EQ$5+GanttPeriod),"◇","")),IF(AND(EQ$5&lt;=$F22,EQ$5+GanttPeriod-1&gt;=$E22),"━","")))</f>
        <v/>
      </c>
      <c r="ER22" s="69" t="str">
        <f aca="false">IF($E22="","",IF($M22,IF(AND($G22&gt;=ER$5,$G22&lt;ER$5+GanttPeriod),"◆",IF(AND($E22&gt;=ER$5,$E22&lt;ER$5+GanttPeriod),"◇","")),IF(AND(ER$5&lt;=$F22,ER$5+GanttPeriod-1&gt;=$E22),"━","")))</f>
        <v/>
      </c>
      <c r="ES22" s="69" t="str">
        <f aca="false">IF($E22="","",IF($M22,IF(AND($G22&gt;=ES$5,$G22&lt;ES$5+GanttPeriod),"◆",IF(AND($E22&gt;=ES$5,$E22&lt;ES$5+GanttPeriod),"◇","")),IF(AND(ES$5&lt;=$F22,ES$5+GanttPeriod-1&gt;=$E22),"━","")))</f>
        <v/>
      </c>
      <c r="ET22" s="69" t="str">
        <f aca="false">IF($E22="","",IF($M22,IF(AND($G22&gt;=ET$5,$G22&lt;ET$5+GanttPeriod),"◆",IF(AND($E22&gt;=ET$5,$E22&lt;ET$5+GanttPeriod),"◇","")),IF(AND(ET$5&lt;=$F22,ET$5+GanttPeriod-1&gt;=$E22),"━","")))</f>
        <v/>
      </c>
      <c r="EU22" s="69" t="str">
        <f aca="false">IF($E22="","",IF($M22,IF(AND($G22&gt;=EU$5,$G22&lt;EU$5+GanttPeriod),"◆",IF(AND($E22&gt;=EU$5,$E22&lt;EU$5+GanttPeriod),"◇","")),IF(AND(EU$5&lt;=$F22,EU$5+GanttPeriod-1&gt;=$E22),"━","")))</f>
        <v/>
      </c>
      <c r="EV22" s="69" t="str">
        <f aca="false">IF($E22="","",IF($M22,IF(AND($G22&gt;=EV$5,$G22&lt;EV$5+GanttPeriod),"◆",IF(AND($E22&gt;=EV$5,$E22&lt;EV$5+GanttPeriod),"◇","")),IF(AND(EV$5&lt;=$F22,EV$5+GanttPeriod-1&gt;=$E22),"━","")))</f>
        <v/>
      </c>
      <c r="EW22" s="69" t="str">
        <f aca="false">IF($E22="","",IF($M22,IF(AND($G22&gt;=EW$5,$G22&lt;EW$5+GanttPeriod),"◆",IF(AND($E22&gt;=EW$5,$E22&lt;EW$5+GanttPeriod),"◇","")),IF(AND(EW$5&lt;=$F22,EW$5+GanttPeriod-1&gt;=$E22),"━","")))</f>
        <v/>
      </c>
      <c r="EX22" s="69" t="str">
        <f aca="false">IF($E22="","",IF($M22,IF(AND($G22&gt;=EX$5,$G22&lt;EX$5+GanttPeriod),"◆",IF(AND($E22&gt;=EX$5,$E22&lt;EX$5+GanttPeriod),"◇","")),IF(AND(EX$5&lt;=$F22,EX$5+GanttPeriod-1&gt;=$E22),"━","")))</f>
        <v/>
      </c>
      <c r="EY22" s="69" t="str">
        <f aca="false">IF($E22="","",IF($M22,IF(AND($G22&gt;=EY$5,$G22&lt;EY$5+GanttPeriod),"◆",IF(AND($E22&gt;=EY$5,$E22&lt;EY$5+GanttPeriod),"◇","")),IF(AND(EY$5&lt;=$F22,EY$5+GanttPeriod-1&gt;=$E22),"━","")))</f>
        <v/>
      </c>
      <c r="EZ22" s="69" t="str">
        <f aca="false">IF($E22="","",IF($M22,IF(AND($G22&gt;=EZ$5,$G22&lt;EZ$5+GanttPeriod),"◆",IF(AND($E22&gt;=EZ$5,$E22&lt;EZ$5+GanttPeriod),"◇","")),IF(AND(EZ$5&lt;=$F22,EZ$5+GanttPeriod-1&gt;=$E22),"━","")))</f>
        <v/>
      </c>
      <c r="FA22" s="69" t="str">
        <f aca="false">IF($E22="","",IF($M22,IF(AND($G22&gt;=FA$5,$G22&lt;FA$5+GanttPeriod),"◆",IF(AND($E22&gt;=FA$5,$E22&lt;FA$5+GanttPeriod),"◇","")),IF(AND(FA$5&lt;=$F22,FA$5+GanttPeriod-1&gt;=$E22),"━","")))</f>
        <v/>
      </c>
      <c r="FB22" s="69" t="str">
        <f aca="false">IF($E22="","",IF($M22,IF(AND($G22&gt;=FB$5,$G22&lt;FB$5+GanttPeriod),"◆",IF(AND($E22&gt;=FB$5,$E22&lt;FB$5+GanttPeriod),"◇","")),IF(AND(FB$5&lt;=$F22,FB$5+GanttPeriod-1&gt;=$E22),"━","")))</f>
        <v/>
      </c>
      <c r="FC22" s="69" t="str">
        <f aca="false">IF($E22="","",IF($M22,IF(AND($G22&gt;=FC$5,$G22&lt;FC$5+GanttPeriod),"◆",IF(AND($E22&gt;=FC$5,$E22&lt;FC$5+GanttPeriod),"◇","")),IF(AND(FC$5&lt;=$F22,FC$5+GanttPeriod-1&gt;=$E22),"━","")))</f>
        <v/>
      </c>
      <c r="FD22" s="69" t="str">
        <f aca="false">IF($E22="","",IF($M22,IF(AND($G22&gt;=FD$5,$G22&lt;FD$5+GanttPeriod),"◆",IF(AND($E22&gt;=FD$5,$E22&lt;FD$5+GanttPeriod),"◇","")),IF(AND(FD$5&lt;=$F22,FD$5+GanttPeriod-1&gt;=$E22),"━","")))</f>
        <v/>
      </c>
      <c r="FE22" s="69" t="str">
        <f aca="false">IF($E22="","",IF($M22,IF(AND($G22&gt;=FE$5,$G22&lt;FE$5+GanttPeriod),"◆",IF(AND($E22&gt;=FE$5,$E22&lt;FE$5+GanttPeriod),"◇","")),IF(AND(FE$5&lt;=$F22,FE$5+GanttPeriod-1&gt;=$E22),"━","")))</f>
        <v/>
      </c>
      <c r="FF22" s="69" t="str">
        <f aca="false">IF($E22="","",IF($M22,IF(AND($G22&gt;=FF$5,$G22&lt;FF$5+GanttPeriod),"◆",IF(AND($E22&gt;=FF$5,$E22&lt;FF$5+GanttPeriod),"◇","")),IF(AND(FF$5&lt;=$F22,FF$5+GanttPeriod-1&gt;=$E22),"━","")))</f>
        <v/>
      </c>
      <c r="FG22" s="69" t="str">
        <f aca="false">IF($E22="","",IF($M22,IF(AND($G22&gt;=FG$5,$G22&lt;FG$5+GanttPeriod),"◆",IF(AND($E22&gt;=FG$5,$E22&lt;FG$5+GanttPeriod),"◇","")),IF(AND(FG$5&lt;=$F22,FG$5+GanttPeriod-1&gt;=$E22),"━","")))</f>
        <v/>
      </c>
      <c r="FH22" s="69" t="str">
        <f aca="false">IF($E22="","",IF($M22,IF(AND($G22&gt;=FH$5,$G22&lt;FH$5+GanttPeriod),"◆",IF(AND($E22&gt;=FH$5,$E22&lt;FH$5+GanttPeriod),"◇","")),IF(AND(FH$5&lt;=$F22,FH$5+GanttPeriod-1&gt;=$E22),"━","")))</f>
        <v/>
      </c>
      <c r="FI22" s="69" t="str">
        <f aca="false">IF($E22="","",IF($M22,IF(AND($G22&gt;=FI$5,$G22&lt;FI$5+GanttPeriod),"◆",IF(AND($E22&gt;=FI$5,$E22&lt;FI$5+GanttPeriod),"◇","")),IF(AND(FI$5&lt;=$F22,FI$5+GanttPeriod-1&gt;=$E22),"━","")))</f>
        <v/>
      </c>
      <c r="FJ22" s="69" t="str">
        <f aca="false">IF($E22="","",IF($M22,IF(AND($G22&gt;=FJ$5,$G22&lt;FJ$5+GanttPeriod),"◆",IF(AND($E22&gt;=FJ$5,$E22&lt;FJ$5+GanttPeriod),"◇","")),IF(AND(FJ$5&lt;=$F22,FJ$5+GanttPeriod-1&gt;=$E22),"━","")))</f>
        <v/>
      </c>
      <c r="FK22" s="69" t="str">
        <f aca="false">IF($E22="","",IF($M22,IF(AND($G22&gt;=FK$5,$G22&lt;FK$5+GanttPeriod),"◆",IF(AND($E22&gt;=FK$5,$E22&lt;FK$5+GanttPeriod),"◇","")),IF(AND(FK$5&lt;=$F22,FK$5+GanttPeriod-1&gt;=$E22),"━","")))</f>
        <v/>
      </c>
      <c r="FL22" s="69" t="str">
        <f aca="false">IF($E22="","",IF($M22,IF(AND($G22&gt;=FL$5,$G22&lt;FL$5+GanttPeriod),"◆",IF(AND($E22&gt;=FL$5,$E22&lt;FL$5+GanttPeriod),"◇","")),IF(AND(FL$5&lt;=$F22,FL$5+GanttPeriod-1&gt;=$E22),"━","")))</f>
        <v/>
      </c>
      <c r="FM22" s="69" t="str">
        <f aca="false">IF($E22="","",IF($M22,IF(AND($G22&gt;=FM$5,$G22&lt;FM$5+GanttPeriod),"◆",IF(AND($E22&gt;=FM$5,$E22&lt;FM$5+GanttPeriod),"◇","")),IF(AND(FM$5&lt;=$F22,FM$5+GanttPeriod-1&gt;=$E22),"━","")))</f>
        <v/>
      </c>
    </row>
    <row r="23" customFormat="false" ht="15" hidden="false" customHeight="false" outlineLevel="0" collapsed="false">
      <c r="A23" s="62" t="n">
        <f aca="false">IF(Tasks!$D23="","",Tasks!$A23)</f>
        <v>18</v>
      </c>
      <c r="B23" s="62" t="str">
        <f aca="false">IF(Tasks!$D23="","",Tasks!$B23)</f>
        <v>3.2.3</v>
      </c>
      <c r="C23" s="63" t="str">
        <f aca="false">IF(Tasks!$D23="","",REPT("    ",Tasks!$AE23-1)&amp;Tasks!$D23)</f>
        <v>        Accessibility review</v>
      </c>
      <c r="D23" s="62" t="n">
        <f aca="false">IF(Tasks!$D23="","",IF(Tasks!$AI23,NETWORKDAYS.INTL(Tasks!$R23,Tasks!$S23,WorkWeek,Holidays),N(Tasks!$F23)))</f>
        <v>3</v>
      </c>
      <c r="E23" s="64" t="n">
        <f aca="false">IF(Tasks!$D23="","",Tasks!$N23)</f>
        <v>46322</v>
      </c>
      <c r="F23" s="64" t="n">
        <f aca="false">IF(Tasks!$D23="","",Tasks!$O23)</f>
        <v>46324</v>
      </c>
      <c r="G23" s="64" t="n">
        <f aca="false">IF(Tasks!$D23="","",Tasks!$R23)</f>
        <v>46330</v>
      </c>
      <c r="H23" s="64" t="n">
        <f aca="false">IF(Tasks!$D23="","",Tasks!$S23)</f>
        <v>46332</v>
      </c>
      <c r="I23" s="65" t="n">
        <f aca="false">IF(Tasks!$D23="","",Tasks!$V23)</f>
        <v>0</v>
      </c>
      <c r="J23" s="63" t="str">
        <f aca="false">IF(Tasks!$D23="","",Tasks!$X23&amp;"")</f>
        <v>Casey Kim</v>
      </c>
      <c r="K23" s="66" t="str">
        <f aca="false">IF(Tasks!$D23="","",Tasks!$W23)</f>
        <v>Not Started</v>
      </c>
      <c r="L23" s="67" t="b">
        <f aca="false">IF(Tasks!$D23="",FALSE(),Tasks!$AI23)</f>
        <v>0</v>
      </c>
      <c r="M23" s="67" t="b">
        <f aca="false">AND(Tasks!$AJ23=1,N(Tasks!$F23)=0)</f>
        <v>0</v>
      </c>
      <c r="N23" s="68" t="n">
        <f aca="false">IF(AND(Tasks!$AJ23=1,NOT($M23),N($I23)&gt;0),$G23,0)</f>
        <v>0</v>
      </c>
      <c r="O23" s="68" t="n">
        <f aca="false">IF($N23=0,0,IF($I23&gt;=1,$H23,MAX($N23,$G23+ROUND(($H23-$G23+1)*$I23,0)-1)))</f>
        <v>0</v>
      </c>
      <c r="P23" s="68" t="n">
        <f aca="false">IF(OR(Tasks!$AJ23&lt;&gt;1,$M23,N($I23)&gt;=1),0,IF($O23&gt;0,$O23+1,$G23))</f>
        <v>46330</v>
      </c>
      <c r="Q23" s="68" t="n">
        <f aca="false">IF($P23=0,0,$H23)</f>
        <v>46332</v>
      </c>
      <c r="R23" s="67" t="b">
        <f aca="false">AND(Tasks!$D23&lt;&gt;"",N(Tasks!$T23)&gt;0)</f>
        <v>1</v>
      </c>
      <c r="T23" s="69" t="str">
        <f aca="false">IF($E23="","",IF($M23,IF(AND($G23&gt;=T$5,$G23&lt;T$5+GanttPeriod),"◆",IF(AND($E23&gt;=T$5,$E23&lt;T$5+GanttPeriod),"◇","")),IF(AND(T$5&lt;=$F23,T$5+GanttPeriod-1&gt;=$E23),"━","")))</f>
        <v/>
      </c>
      <c r="U23" s="69" t="str">
        <f aca="false">IF($E23="","",IF($M23,IF(AND($G23&gt;=U$5,$G23&lt;U$5+GanttPeriod),"◆",IF(AND($E23&gt;=U$5,$E23&lt;U$5+GanttPeriod),"◇","")),IF(AND(U$5&lt;=$F23,U$5+GanttPeriod-1&gt;=$E23),"━","")))</f>
        <v/>
      </c>
      <c r="V23" s="69" t="str">
        <f aca="false">IF($E23="","",IF($M23,IF(AND($G23&gt;=V$5,$G23&lt;V$5+GanttPeriod),"◆",IF(AND($E23&gt;=V$5,$E23&lt;V$5+GanttPeriod),"◇","")),IF(AND(V$5&lt;=$F23,V$5+GanttPeriod-1&gt;=$E23),"━","")))</f>
        <v/>
      </c>
      <c r="W23" s="69" t="str">
        <f aca="false">IF($E23="","",IF($M23,IF(AND($G23&gt;=W$5,$G23&lt;W$5+GanttPeriod),"◆",IF(AND($E23&gt;=W$5,$E23&lt;W$5+GanttPeriod),"◇","")),IF(AND(W$5&lt;=$F23,W$5+GanttPeriod-1&gt;=$E23),"━","")))</f>
        <v/>
      </c>
      <c r="X23" s="69" t="str">
        <f aca="false">IF($E23="","",IF($M23,IF(AND($G23&gt;=X$5,$G23&lt;X$5+GanttPeriod),"◆",IF(AND($E23&gt;=X$5,$E23&lt;X$5+GanttPeriod),"◇","")),IF(AND(X$5&lt;=$F23,X$5+GanttPeriod-1&gt;=$E23),"━","")))</f>
        <v/>
      </c>
      <c r="Y23" s="69" t="str">
        <f aca="false">IF($E23="","",IF($M23,IF(AND($G23&gt;=Y$5,$G23&lt;Y$5+GanttPeriod),"◆",IF(AND($E23&gt;=Y$5,$E23&lt;Y$5+GanttPeriod),"◇","")),IF(AND(Y$5&lt;=$F23,Y$5+GanttPeriod-1&gt;=$E23),"━","")))</f>
        <v/>
      </c>
      <c r="Z23" s="69" t="str">
        <f aca="false">IF($E23="","",IF($M23,IF(AND($G23&gt;=Z$5,$G23&lt;Z$5+GanttPeriod),"◆",IF(AND($E23&gt;=Z$5,$E23&lt;Z$5+GanttPeriod),"◇","")),IF(AND(Z$5&lt;=$F23,Z$5+GanttPeriod-1&gt;=$E23),"━","")))</f>
        <v/>
      </c>
      <c r="AA23" s="69" t="str">
        <f aca="false">IF($E23="","",IF($M23,IF(AND($G23&gt;=AA$5,$G23&lt;AA$5+GanttPeriod),"◆",IF(AND($E23&gt;=AA$5,$E23&lt;AA$5+GanttPeriod),"◇","")),IF(AND(AA$5&lt;=$F23,AA$5+GanttPeriod-1&gt;=$E23),"━","")))</f>
        <v/>
      </c>
      <c r="AB23" s="69" t="str">
        <f aca="false">IF($E23="","",IF($M23,IF(AND($G23&gt;=AB$5,$G23&lt;AB$5+GanttPeriod),"◆",IF(AND($E23&gt;=AB$5,$E23&lt;AB$5+GanttPeriod),"◇","")),IF(AND(AB$5&lt;=$F23,AB$5+GanttPeriod-1&gt;=$E23),"━","")))</f>
        <v/>
      </c>
      <c r="AC23" s="69" t="str">
        <f aca="false">IF($E23="","",IF($M23,IF(AND($G23&gt;=AC$5,$G23&lt;AC$5+GanttPeriod),"◆",IF(AND($E23&gt;=AC$5,$E23&lt;AC$5+GanttPeriod),"◇","")),IF(AND(AC$5&lt;=$F23,AC$5+GanttPeriod-1&gt;=$E23),"━","")))</f>
        <v/>
      </c>
      <c r="AD23" s="69" t="str">
        <f aca="false">IF($E23="","",IF($M23,IF(AND($G23&gt;=AD$5,$G23&lt;AD$5+GanttPeriod),"◆",IF(AND($E23&gt;=AD$5,$E23&lt;AD$5+GanttPeriod),"◇","")),IF(AND(AD$5&lt;=$F23,AD$5+GanttPeriod-1&gt;=$E23),"━","")))</f>
        <v/>
      </c>
      <c r="AE23" s="69" t="str">
        <f aca="false">IF($E23="","",IF($M23,IF(AND($G23&gt;=AE$5,$G23&lt;AE$5+GanttPeriod),"◆",IF(AND($E23&gt;=AE$5,$E23&lt;AE$5+GanttPeriod),"◇","")),IF(AND(AE$5&lt;=$F23,AE$5+GanttPeriod-1&gt;=$E23),"━","")))</f>
        <v/>
      </c>
      <c r="AF23" s="69" t="str">
        <f aca="false">IF($E23="","",IF($M23,IF(AND($G23&gt;=AF$5,$G23&lt;AF$5+GanttPeriod),"◆",IF(AND($E23&gt;=AF$5,$E23&lt;AF$5+GanttPeriod),"◇","")),IF(AND(AF$5&lt;=$F23,AF$5+GanttPeriod-1&gt;=$E23),"━","")))</f>
        <v/>
      </c>
      <c r="AG23" s="69" t="str">
        <f aca="false">IF($E23="","",IF($M23,IF(AND($G23&gt;=AG$5,$G23&lt;AG$5+GanttPeriod),"◆",IF(AND($E23&gt;=AG$5,$E23&lt;AG$5+GanttPeriod),"◇","")),IF(AND(AG$5&lt;=$F23,AG$5+GanttPeriod-1&gt;=$E23),"━","")))</f>
        <v/>
      </c>
      <c r="AH23" s="69" t="str">
        <f aca="false">IF($E23="","",IF($M23,IF(AND($G23&gt;=AH$5,$G23&lt;AH$5+GanttPeriod),"◆",IF(AND($E23&gt;=AH$5,$E23&lt;AH$5+GanttPeriod),"◇","")),IF(AND(AH$5&lt;=$F23,AH$5+GanttPeriod-1&gt;=$E23),"━","")))</f>
        <v/>
      </c>
      <c r="AI23" s="69" t="str">
        <f aca="false">IF($E23="","",IF($M23,IF(AND($G23&gt;=AI$5,$G23&lt;AI$5+GanttPeriod),"◆",IF(AND($E23&gt;=AI$5,$E23&lt;AI$5+GanttPeriod),"◇","")),IF(AND(AI$5&lt;=$F23,AI$5+GanttPeriod-1&gt;=$E23),"━","")))</f>
        <v/>
      </c>
      <c r="AJ23" s="69" t="str">
        <f aca="false">IF($E23="","",IF($M23,IF(AND($G23&gt;=AJ$5,$G23&lt;AJ$5+GanttPeriod),"◆",IF(AND($E23&gt;=AJ$5,$E23&lt;AJ$5+GanttPeriod),"◇","")),IF(AND(AJ$5&lt;=$F23,AJ$5+GanttPeriod-1&gt;=$E23),"━","")))</f>
        <v/>
      </c>
      <c r="AK23" s="69" t="str">
        <f aca="false">IF($E23="","",IF($M23,IF(AND($G23&gt;=AK$5,$G23&lt;AK$5+GanttPeriod),"◆",IF(AND($E23&gt;=AK$5,$E23&lt;AK$5+GanttPeriod),"◇","")),IF(AND(AK$5&lt;=$F23,AK$5+GanttPeriod-1&gt;=$E23),"━","")))</f>
        <v/>
      </c>
      <c r="AL23" s="69" t="str">
        <f aca="false">IF($E23="","",IF($M23,IF(AND($G23&gt;=AL$5,$G23&lt;AL$5+GanttPeriod),"◆",IF(AND($E23&gt;=AL$5,$E23&lt;AL$5+GanttPeriod),"◇","")),IF(AND(AL$5&lt;=$F23,AL$5+GanttPeriod-1&gt;=$E23),"━","")))</f>
        <v/>
      </c>
      <c r="AM23" s="69" t="str">
        <f aca="false">IF($E23="","",IF($M23,IF(AND($G23&gt;=AM$5,$G23&lt;AM$5+GanttPeriod),"◆",IF(AND($E23&gt;=AM$5,$E23&lt;AM$5+GanttPeriod),"◇","")),IF(AND(AM$5&lt;=$F23,AM$5+GanttPeriod-1&gt;=$E23),"━","")))</f>
        <v/>
      </c>
      <c r="AN23" s="69" t="str">
        <f aca="false">IF($E23="","",IF($M23,IF(AND($G23&gt;=AN$5,$G23&lt;AN$5+GanttPeriod),"◆",IF(AND($E23&gt;=AN$5,$E23&lt;AN$5+GanttPeriod),"◇","")),IF(AND(AN$5&lt;=$F23,AN$5+GanttPeriod-1&gt;=$E23),"━","")))</f>
        <v/>
      </c>
      <c r="AO23" s="69" t="str">
        <f aca="false">IF($E23="","",IF($M23,IF(AND($G23&gt;=AO$5,$G23&lt;AO$5+GanttPeriod),"◆",IF(AND($E23&gt;=AO$5,$E23&lt;AO$5+GanttPeriod),"◇","")),IF(AND(AO$5&lt;=$F23,AO$5+GanttPeriod-1&gt;=$E23),"━","")))</f>
        <v/>
      </c>
      <c r="AP23" s="69" t="str">
        <f aca="false">IF($E23="","",IF($M23,IF(AND($G23&gt;=AP$5,$G23&lt;AP$5+GanttPeriod),"◆",IF(AND($E23&gt;=AP$5,$E23&lt;AP$5+GanttPeriod),"◇","")),IF(AND(AP$5&lt;=$F23,AP$5+GanttPeriod-1&gt;=$E23),"━","")))</f>
        <v/>
      </c>
      <c r="AQ23" s="69" t="str">
        <f aca="false">IF($E23="","",IF($M23,IF(AND($G23&gt;=AQ$5,$G23&lt;AQ$5+GanttPeriod),"◆",IF(AND($E23&gt;=AQ$5,$E23&lt;AQ$5+GanttPeriod),"◇","")),IF(AND(AQ$5&lt;=$F23,AQ$5+GanttPeriod-1&gt;=$E23),"━","")))</f>
        <v/>
      </c>
      <c r="AR23" s="69" t="str">
        <f aca="false">IF($E23="","",IF($M23,IF(AND($G23&gt;=AR$5,$G23&lt;AR$5+GanttPeriod),"◆",IF(AND($E23&gt;=AR$5,$E23&lt;AR$5+GanttPeriod),"◇","")),IF(AND(AR$5&lt;=$F23,AR$5+GanttPeriod-1&gt;=$E23),"━","")))</f>
        <v/>
      </c>
      <c r="AS23" s="69" t="str">
        <f aca="false">IF($E23="","",IF($M23,IF(AND($G23&gt;=AS$5,$G23&lt;AS$5+GanttPeriod),"◆",IF(AND($E23&gt;=AS$5,$E23&lt;AS$5+GanttPeriod),"◇","")),IF(AND(AS$5&lt;=$F23,AS$5+GanttPeriod-1&gt;=$E23),"━","")))</f>
        <v/>
      </c>
      <c r="AT23" s="69" t="str">
        <f aca="false">IF($E23="","",IF($M23,IF(AND($G23&gt;=AT$5,$G23&lt;AT$5+GanttPeriod),"◆",IF(AND($E23&gt;=AT$5,$E23&lt;AT$5+GanttPeriod),"◇","")),IF(AND(AT$5&lt;=$F23,AT$5+GanttPeriod-1&gt;=$E23),"━","")))</f>
        <v/>
      </c>
      <c r="AU23" s="69" t="str">
        <f aca="false">IF($E23="","",IF($M23,IF(AND($G23&gt;=AU$5,$G23&lt;AU$5+GanttPeriod),"◆",IF(AND($E23&gt;=AU$5,$E23&lt;AU$5+GanttPeriod),"◇","")),IF(AND(AU$5&lt;=$F23,AU$5+GanttPeriod-1&gt;=$E23),"━","")))</f>
        <v/>
      </c>
      <c r="AV23" s="69" t="str">
        <f aca="false">IF($E23="","",IF($M23,IF(AND($G23&gt;=AV$5,$G23&lt;AV$5+GanttPeriod),"◆",IF(AND($E23&gt;=AV$5,$E23&lt;AV$5+GanttPeriod),"◇","")),IF(AND(AV$5&lt;=$F23,AV$5+GanttPeriod-1&gt;=$E23),"━","")))</f>
        <v/>
      </c>
      <c r="AW23" s="69" t="str">
        <f aca="false">IF($E23="","",IF($M23,IF(AND($G23&gt;=AW$5,$G23&lt;AW$5+GanttPeriod),"◆",IF(AND($E23&gt;=AW$5,$E23&lt;AW$5+GanttPeriod),"◇","")),IF(AND(AW$5&lt;=$F23,AW$5+GanttPeriod-1&gt;=$E23),"━","")))</f>
        <v/>
      </c>
      <c r="AX23" s="69" t="str">
        <f aca="false">IF($E23="","",IF($M23,IF(AND($G23&gt;=AX$5,$G23&lt;AX$5+GanttPeriod),"◆",IF(AND($E23&gt;=AX$5,$E23&lt;AX$5+GanttPeriod),"◇","")),IF(AND(AX$5&lt;=$F23,AX$5+GanttPeriod-1&gt;=$E23),"━","")))</f>
        <v/>
      </c>
      <c r="AY23" s="69" t="str">
        <f aca="false">IF($E23="","",IF($M23,IF(AND($G23&gt;=AY$5,$G23&lt;AY$5+GanttPeriod),"◆",IF(AND($E23&gt;=AY$5,$E23&lt;AY$5+GanttPeriod),"◇","")),IF(AND(AY$5&lt;=$F23,AY$5+GanttPeriod-1&gt;=$E23),"━","")))</f>
        <v/>
      </c>
      <c r="AZ23" s="69" t="str">
        <f aca="false">IF($E23="","",IF($M23,IF(AND($G23&gt;=AZ$5,$G23&lt;AZ$5+GanttPeriod),"◆",IF(AND($E23&gt;=AZ$5,$E23&lt;AZ$5+GanttPeriod),"◇","")),IF(AND(AZ$5&lt;=$F23,AZ$5+GanttPeriod-1&gt;=$E23),"━","")))</f>
        <v/>
      </c>
      <c r="BA23" s="69" t="str">
        <f aca="false">IF($E23="","",IF($M23,IF(AND($G23&gt;=BA$5,$G23&lt;BA$5+GanttPeriod),"◆",IF(AND($E23&gt;=BA$5,$E23&lt;BA$5+GanttPeriod),"◇","")),IF(AND(BA$5&lt;=$F23,BA$5+GanttPeriod-1&gt;=$E23),"━","")))</f>
        <v/>
      </c>
      <c r="BB23" s="69" t="str">
        <f aca="false">IF($E23="","",IF($M23,IF(AND($G23&gt;=BB$5,$G23&lt;BB$5+GanttPeriod),"◆",IF(AND($E23&gt;=BB$5,$E23&lt;BB$5+GanttPeriod),"◇","")),IF(AND(BB$5&lt;=$F23,BB$5+GanttPeriod-1&gt;=$E23),"━","")))</f>
        <v/>
      </c>
      <c r="BC23" s="69" t="str">
        <f aca="false">IF($E23="","",IF($M23,IF(AND($G23&gt;=BC$5,$G23&lt;BC$5+GanttPeriod),"◆",IF(AND($E23&gt;=BC$5,$E23&lt;BC$5+GanttPeriod),"◇","")),IF(AND(BC$5&lt;=$F23,BC$5+GanttPeriod-1&gt;=$E23),"━","")))</f>
        <v/>
      </c>
      <c r="BD23" s="69" t="str">
        <f aca="false">IF($E23="","",IF($M23,IF(AND($G23&gt;=BD$5,$G23&lt;BD$5+GanttPeriod),"◆",IF(AND($E23&gt;=BD$5,$E23&lt;BD$5+GanttPeriod),"◇","")),IF(AND(BD$5&lt;=$F23,BD$5+GanttPeriod-1&gt;=$E23),"━","")))</f>
        <v/>
      </c>
      <c r="BE23" s="69" t="str">
        <f aca="false">IF($E23="","",IF($M23,IF(AND($G23&gt;=BE$5,$G23&lt;BE$5+GanttPeriod),"◆",IF(AND($E23&gt;=BE$5,$E23&lt;BE$5+GanttPeriod),"◇","")),IF(AND(BE$5&lt;=$F23,BE$5+GanttPeriod-1&gt;=$E23),"━","")))</f>
        <v/>
      </c>
      <c r="BF23" s="69" t="str">
        <f aca="false">IF($E23="","",IF($M23,IF(AND($G23&gt;=BF$5,$G23&lt;BF$5+GanttPeriod),"◆",IF(AND($E23&gt;=BF$5,$E23&lt;BF$5+GanttPeriod),"◇","")),IF(AND(BF$5&lt;=$F23,BF$5+GanttPeriod-1&gt;=$E23),"━","")))</f>
        <v/>
      </c>
      <c r="BG23" s="69" t="str">
        <f aca="false">IF($E23="","",IF($M23,IF(AND($G23&gt;=BG$5,$G23&lt;BG$5+GanttPeriod),"◆",IF(AND($E23&gt;=BG$5,$E23&lt;BG$5+GanttPeriod),"◇","")),IF(AND(BG$5&lt;=$F23,BG$5+GanttPeriod-1&gt;=$E23),"━","")))</f>
        <v/>
      </c>
      <c r="BH23" s="69" t="str">
        <f aca="false">IF($E23="","",IF($M23,IF(AND($G23&gt;=BH$5,$G23&lt;BH$5+GanttPeriod),"◆",IF(AND($E23&gt;=BH$5,$E23&lt;BH$5+GanttPeriod),"◇","")),IF(AND(BH$5&lt;=$F23,BH$5+GanttPeriod-1&gt;=$E23),"━","")))</f>
        <v/>
      </c>
      <c r="BI23" s="69" t="str">
        <f aca="false">IF($E23="","",IF($M23,IF(AND($G23&gt;=BI$5,$G23&lt;BI$5+GanttPeriod),"◆",IF(AND($E23&gt;=BI$5,$E23&lt;BI$5+GanttPeriod),"◇","")),IF(AND(BI$5&lt;=$F23,BI$5+GanttPeriod-1&gt;=$E23),"━","")))</f>
        <v/>
      </c>
      <c r="BJ23" s="69" t="str">
        <f aca="false">IF($E23="","",IF($M23,IF(AND($G23&gt;=BJ$5,$G23&lt;BJ$5+GanttPeriod),"◆",IF(AND($E23&gt;=BJ$5,$E23&lt;BJ$5+GanttPeriod),"◇","")),IF(AND(BJ$5&lt;=$F23,BJ$5+GanttPeriod-1&gt;=$E23),"━","")))</f>
        <v/>
      </c>
      <c r="BK23" s="69" t="str">
        <f aca="false">IF($E23="","",IF($M23,IF(AND($G23&gt;=BK$5,$G23&lt;BK$5+GanttPeriod),"◆",IF(AND($E23&gt;=BK$5,$E23&lt;BK$5+GanttPeriod),"◇","")),IF(AND(BK$5&lt;=$F23,BK$5+GanttPeriod-1&gt;=$E23),"━","")))</f>
        <v/>
      </c>
      <c r="BL23" s="69" t="str">
        <f aca="false">IF($E23="","",IF($M23,IF(AND($G23&gt;=BL$5,$G23&lt;BL$5+GanttPeriod),"◆",IF(AND($E23&gt;=BL$5,$E23&lt;BL$5+GanttPeriod),"◇","")),IF(AND(BL$5&lt;=$F23,BL$5+GanttPeriod-1&gt;=$E23),"━","")))</f>
        <v/>
      </c>
      <c r="BM23" s="69" t="str">
        <f aca="false">IF($E23="","",IF($M23,IF(AND($G23&gt;=BM$5,$G23&lt;BM$5+GanttPeriod),"◆",IF(AND($E23&gt;=BM$5,$E23&lt;BM$5+GanttPeriod),"◇","")),IF(AND(BM$5&lt;=$F23,BM$5+GanttPeriod-1&gt;=$E23),"━","")))</f>
        <v/>
      </c>
      <c r="BN23" s="69" t="str">
        <f aca="false">IF($E23="","",IF($M23,IF(AND($G23&gt;=BN$5,$G23&lt;BN$5+GanttPeriod),"◆",IF(AND($E23&gt;=BN$5,$E23&lt;BN$5+GanttPeriod),"◇","")),IF(AND(BN$5&lt;=$F23,BN$5+GanttPeriod-1&gt;=$E23),"━","")))</f>
        <v/>
      </c>
      <c r="BO23" s="69" t="str">
        <f aca="false">IF($E23="","",IF($M23,IF(AND($G23&gt;=BO$5,$G23&lt;BO$5+GanttPeriod),"◆",IF(AND($E23&gt;=BO$5,$E23&lt;BO$5+GanttPeriod),"◇","")),IF(AND(BO$5&lt;=$F23,BO$5+GanttPeriod-1&gt;=$E23),"━","")))</f>
        <v/>
      </c>
      <c r="BP23" s="69" t="str">
        <f aca="false">IF($E23="","",IF($M23,IF(AND($G23&gt;=BP$5,$G23&lt;BP$5+GanttPeriod),"◆",IF(AND($E23&gt;=BP$5,$E23&lt;BP$5+GanttPeriod),"◇","")),IF(AND(BP$5&lt;=$F23,BP$5+GanttPeriod-1&gt;=$E23),"━","")))</f>
        <v/>
      </c>
      <c r="BQ23" s="69" t="str">
        <f aca="false">IF($E23="","",IF($M23,IF(AND($G23&gt;=BQ$5,$G23&lt;BQ$5+GanttPeriod),"◆",IF(AND($E23&gt;=BQ$5,$E23&lt;BQ$5+GanttPeriod),"◇","")),IF(AND(BQ$5&lt;=$F23,BQ$5+GanttPeriod-1&gt;=$E23),"━","")))</f>
        <v/>
      </c>
      <c r="BR23" s="69" t="str">
        <f aca="false">IF($E23="","",IF($M23,IF(AND($G23&gt;=BR$5,$G23&lt;BR$5+GanttPeriod),"◆",IF(AND($E23&gt;=BR$5,$E23&lt;BR$5+GanttPeriod),"◇","")),IF(AND(BR$5&lt;=$F23,BR$5+GanttPeriod-1&gt;=$E23),"━","")))</f>
        <v>━</v>
      </c>
      <c r="BS23" s="69" t="str">
        <f aca="false">IF($E23="","",IF($M23,IF(AND($G23&gt;=BS$5,$G23&lt;BS$5+GanttPeriod),"◆",IF(AND($E23&gt;=BS$5,$E23&lt;BS$5+GanttPeriod),"◇","")),IF(AND(BS$5&lt;=$F23,BS$5+GanttPeriod-1&gt;=$E23),"━","")))</f>
        <v>━</v>
      </c>
      <c r="BT23" s="69" t="str">
        <f aca="false">IF($E23="","",IF($M23,IF(AND($G23&gt;=BT$5,$G23&lt;BT$5+GanttPeriod),"◆",IF(AND($E23&gt;=BT$5,$E23&lt;BT$5+GanttPeriod),"◇","")),IF(AND(BT$5&lt;=$F23,BT$5+GanttPeriod-1&gt;=$E23),"━","")))</f>
        <v>━</v>
      </c>
      <c r="BU23" s="69" t="str">
        <f aca="false">IF($E23="","",IF($M23,IF(AND($G23&gt;=BU$5,$G23&lt;BU$5+GanttPeriod),"◆",IF(AND($E23&gt;=BU$5,$E23&lt;BU$5+GanttPeriod),"◇","")),IF(AND(BU$5&lt;=$F23,BU$5+GanttPeriod-1&gt;=$E23),"━","")))</f>
        <v/>
      </c>
      <c r="BV23" s="69" t="str">
        <f aca="false">IF($E23="","",IF($M23,IF(AND($G23&gt;=BV$5,$G23&lt;BV$5+GanttPeriod),"◆",IF(AND($E23&gt;=BV$5,$E23&lt;BV$5+GanttPeriod),"◇","")),IF(AND(BV$5&lt;=$F23,BV$5+GanttPeriod-1&gt;=$E23),"━","")))</f>
        <v/>
      </c>
      <c r="BW23" s="69" t="str">
        <f aca="false">IF($E23="","",IF($M23,IF(AND($G23&gt;=BW$5,$G23&lt;BW$5+GanttPeriod),"◆",IF(AND($E23&gt;=BW$5,$E23&lt;BW$5+GanttPeriod),"◇","")),IF(AND(BW$5&lt;=$F23,BW$5+GanttPeriod-1&gt;=$E23),"━","")))</f>
        <v/>
      </c>
      <c r="BX23" s="69" t="str">
        <f aca="false">IF($E23="","",IF($M23,IF(AND($G23&gt;=BX$5,$G23&lt;BX$5+GanttPeriod),"◆",IF(AND($E23&gt;=BX$5,$E23&lt;BX$5+GanttPeriod),"◇","")),IF(AND(BX$5&lt;=$F23,BX$5+GanttPeriod-1&gt;=$E23),"━","")))</f>
        <v/>
      </c>
      <c r="BY23" s="69" t="str">
        <f aca="false">IF($E23="","",IF($M23,IF(AND($G23&gt;=BY$5,$G23&lt;BY$5+GanttPeriod),"◆",IF(AND($E23&gt;=BY$5,$E23&lt;BY$5+GanttPeriod),"◇","")),IF(AND(BY$5&lt;=$F23,BY$5+GanttPeriod-1&gt;=$E23),"━","")))</f>
        <v/>
      </c>
      <c r="BZ23" s="69" t="str">
        <f aca="false">IF($E23="","",IF($M23,IF(AND($G23&gt;=BZ$5,$G23&lt;BZ$5+GanttPeriod),"◆",IF(AND($E23&gt;=BZ$5,$E23&lt;BZ$5+GanttPeriod),"◇","")),IF(AND(BZ$5&lt;=$F23,BZ$5+GanttPeriod-1&gt;=$E23),"━","")))</f>
        <v/>
      </c>
      <c r="CA23" s="69" t="str">
        <f aca="false">IF($E23="","",IF($M23,IF(AND($G23&gt;=CA$5,$G23&lt;CA$5+GanttPeriod),"◆",IF(AND($E23&gt;=CA$5,$E23&lt;CA$5+GanttPeriod),"◇","")),IF(AND(CA$5&lt;=$F23,CA$5+GanttPeriod-1&gt;=$E23),"━","")))</f>
        <v/>
      </c>
      <c r="CB23" s="69" t="str">
        <f aca="false">IF($E23="","",IF($M23,IF(AND($G23&gt;=CB$5,$G23&lt;CB$5+GanttPeriod),"◆",IF(AND($E23&gt;=CB$5,$E23&lt;CB$5+GanttPeriod),"◇","")),IF(AND(CB$5&lt;=$F23,CB$5+GanttPeriod-1&gt;=$E23),"━","")))</f>
        <v/>
      </c>
      <c r="CC23" s="69" t="str">
        <f aca="false">IF($E23="","",IF($M23,IF(AND($G23&gt;=CC$5,$G23&lt;CC$5+GanttPeriod),"◆",IF(AND($E23&gt;=CC$5,$E23&lt;CC$5+GanttPeriod),"◇","")),IF(AND(CC$5&lt;=$F23,CC$5+GanttPeriod-1&gt;=$E23),"━","")))</f>
        <v/>
      </c>
      <c r="CD23" s="69" t="str">
        <f aca="false">IF($E23="","",IF($M23,IF(AND($G23&gt;=CD$5,$G23&lt;CD$5+GanttPeriod),"◆",IF(AND($E23&gt;=CD$5,$E23&lt;CD$5+GanttPeriod),"◇","")),IF(AND(CD$5&lt;=$F23,CD$5+GanttPeriod-1&gt;=$E23),"━","")))</f>
        <v/>
      </c>
      <c r="CE23" s="69" t="str">
        <f aca="false">IF($E23="","",IF($M23,IF(AND($G23&gt;=CE$5,$G23&lt;CE$5+GanttPeriod),"◆",IF(AND($E23&gt;=CE$5,$E23&lt;CE$5+GanttPeriod),"◇","")),IF(AND(CE$5&lt;=$F23,CE$5+GanttPeriod-1&gt;=$E23),"━","")))</f>
        <v/>
      </c>
      <c r="CF23" s="69" t="str">
        <f aca="false">IF($E23="","",IF($M23,IF(AND($G23&gt;=CF$5,$G23&lt;CF$5+GanttPeriod),"◆",IF(AND($E23&gt;=CF$5,$E23&lt;CF$5+GanttPeriod),"◇","")),IF(AND(CF$5&lt;=$F23,CF$5+GanttPeriod-1&gt;=$E23),"━","")))</f>
        <v/>
      </c>
      <c r="CG23" s="69" t="str">
        <f aca="false">IF($E23="","",IF($M23,IF(AND($G23&gt;=CG$5,$G23&lt;CG$5+GanttPeriod),"◆",IF(AND($E23&gt;=CG$5,$E23&lt;CG$5+GanttPeriod),"◇","")),IF(AND(CG$5&lt;=$F23,CG$5+GanttPeriod-1&gt;=$E23),"━","")))</f>
        <v/>
      </c>
      <c r="CH23" s="69" t="str">
        <f aca="false">IF($E23="","",IF($M23,IF(AND($G23&gt;=CH$5,$G23&lt;CH$5+GanttPeriod),"◆",IF(AND($E23&gt;=CH$5,$E23&lt;CH$5+GanttPeriod),"◇","")),IF(AND(CH$5&lt;=$F23,CH$5+GanttPeriod-1&gt;=$E23),"━","")))</f>
        <v/>
      </c>
      <c r="CI23" s="69" t="str">
        <f aca="false">IF($E23="","",IF($M23,IF(AND($G23&gt;=CI$5,$G23&lt;CI$5+GanttPeriod),"◆",IF(AND($E23&gt;=CI$5,$E23&lt;CI$5+GanttPeriod),"◇","")),IF(AND(CI$5&lt;=$F23,CI$5+GanttPeriod-1&gt;=$E23),"━","")))</f>
        <v/>
      </c>
      <c r="CJ23" s="69" t="str">
        <f aca="false">IF($E23="","",IF($M23,IF(AND($G23&gt;=CJ$5,$G23&lt;CJ$5+GanttPeriod),"◆",IF(AND($E23&gt;=CJ$5,$E23&lt;CJ$5+GanttPeriod),"◇","")),IF(AND(CJ$5&lt;=$F23,CJ$5+GanttPeriod-1&gt;=$E23),"━","")))</f>
        <v/>
      </c>
      <c r="CK23" s="69" t="str">
        <f aca="false">IF($E23="","",IF($M23,IF(AND($G23&gt;=CK$5,$G23&lt;CK$5+GanttPeriod),"◆",IF(AND($E23&gt;=CK$5,$E23&lt;CK$5+GanttPeriod),"◇","")),IF(AND(CK$5&lt;=$F23,CK$5+GanttPeriod-1&gt;=$E23),"━","")))</f>
        <v/>
      </c>
      <c r="CL23" s="69" t="str">
        <f aca="false">IF($E23="","",IF($M23,IF(AND($G23&gt;=CL$5,$G23&lt;CL$5+GanttPeriod),"◆",IF(AND($E23&gt;=CL$5,$E23&lt;CL$5+GanttPeriod),"◇","")),IF(AND(CL$5&lt;=$F23,CL$5+GanttPeriod-1&gt;=$E23),"━","")))</f>
        <v/>
      </c>
      <c r="CM23" s="69" t="str">
        <f aca="false">IF($E23="","",IF($M23,IF(AND($G23&gt;=CM$5,$G23&lt;CM$5+GanttPeriod),"◆",IF(AND($E23&gt;=CM$5,$E23&lt;CM$5+GanttPeriod),"◇","")),IF(AND(CM$5&lt;=$F23,CM$5+GanttPeriod-1&gt;=$E23),"━","")))</f>
        <v/>
      </c>
      <c r="CN23" s="69" t="str">
        <f aca="false">IF($E23="","",IF($M23,IF(AND($G23&gt;=CN$5,$G23&lt;CN$5+GanttPeriod),"◆",IF(AND($E23&gt;=CN$5,$E23&lt;CN$5+GanttPeriod),"◇","")),IF(AND(CN$5&lt;=$F23,CN$5+GanttPeriod-1&gt;=$E23),"━","")))</f>
        <v/>
      </c>
      <c r="CO23" s="69" t="str">
        <f aca="false">IF($E23="","",IF($M23,IF(AND($G23&gt;=CO$5,$G23&lt;CO$5+GanttPeriod),"◆",IF(AND($E23&gt;=CO$5,$E23&lt;CO$5+GanttPeriod),"◇","")),IF(AND(CO$5&lt;=$F23,CO$5+GanttPeriod-1&gt;=$E23),"━","")))</f>
        <v/>
      </c>
      <c r="CP23" s="69" t="str">
        <f aca="false">IF($E23="","",IF($M23,IF(AND($G23&gt;=CP$5,$G23&lt;CP$5+GanttPeriod),"◆",IF(AND($E23&gt;=CP$5,$E23&lt;CP$5+GanttPeriod),"◇","")),IF(AND(CP$5&lt;=$F23,CP$5+GanttPeriod-1&gt;=$E23),"━","")))</f>
        <v/>
      </c>
      <c r="CQ23" s="69" t="str">
        <f aca="false">IF($E23="","",IF($M23,IF(AND($G23&gt;=CQ$5,$G23&lt;CQ$5+GanttPeriod),"◆",IF(AND($E23&gt;=CQ$5,$E23&lt;CQ$5+GanttPeriod),"◇","")),IF(AND(CQ$5&lt;=$F23,CQ$5+GanttPeriod-1&gt;=$E23),"━","")))</f>
        <v/>
      </c>
      <c r="CR23" s="69" t="str">
        <f aca="false">IF($E23="","",IF($M23,IF(AND($G23&gt;=CR$5,$G23&lt;CR$5+GanttPeriod),"◆",IF(AND($E23&gt;=CR$5,$E23&lt;CR$5+GanttPeriod),"◇","")),IF(AND(CR$5&lt;=$F23,CR$5+GanttPeriod-1&gt;=$E23),"━","")))</f>
        <v/>
      </c>
      <c r="CS23" s="69" t="str">
        <f aca="false">IF($E23="","",IF($M23,IF(AND($G23&gt;=CS$5,$G23&lt;CS$5+GanttPeriod),"◆",IF(AND($E23&gt;=CS$5,$E23&lt;CS$5+GanttPeriod),"◇","")),IF(AND(CS$5&lt;=$F23,CS$5+GanttPeriod-1&gt;=$E23),"━","")))</f>
        <v/>
      </c>
      <c r="CT23" s="69" t="str">
        <f aca="false">IF($E23="","",IF($M23,IF(AND($G23&gt;=CT$5,$G23&lt;CT$5+GanttPeriod),"◆",IF(AND($E23&gt;=CT$5,$E23&lt;CT$5+GanttPeriod),"◇","")),IF(AND(CT$5&lt;=$F23,CT$5+GanttPeriod-1&gt;=$E23),"━","")))</f>
        <v/>
      </c>
      <c r="CU23" s="69" t="str">
        <f aca="false">IF($E23="","",IF($M23,IF(AND($G23&gt;=CU$5,$G23&lt;CU$5+GanttPeriod),"◆",IF(AND($E23&gt;=CU$5,$E23&lt;CU$5+GanttPeriod),"◇","")),IF(AND(CU$5&lt;=$F23,CU$5+GanttPeriod-1&gt;=$E23),"━","")))</f>
        <v/>
      </c>
      <c r="CV23" s="69" t="str">
        <f aca="false">IF($E23="","",IF($M23,IF(AND($G23&gt;=CV$5,$G23&lt;CV$5+GanttPeriod),"◆",IF(AND($E23&gt;=CV$5,$E23&lt;CV$5+GanttPeriod),"◇","")),IF(AND(CV$5&lt;=$F23,CV$5+GanttPeriod-1&gt;=$E23),"━","")))</f>
        <v/>
      </c>
      <c r="CW23" s="69" t="str">
        <f aca="false">IF($E23="","",IF($M23,IF(AND($G23&gt;=CW$5,$G23&lt;CW$5+GanttPeriod),"◆",IF(AND($E23&gt;=CW$5,$E23&lt;CW$5+GanttPeriod),"◇","")),IF(AND(CW$5&lt;=$F23,CW$5+GanttPeriod-1&gt;=$E23),"━","")))</f>
        <v/>
      </c>
      <c r="CX23" s="69" t="str">
        <f aca="false">IF($E23="","",IF($M23,IF(AND($G23&gt;=CX$5,$G23&lt;CX$5+GanttPeriod),"◆",IF(AND($E23&gt;=CX$5,$E23&lt;CX$5+GanttPeriod),"◇","")),IF(AND(CX$5&lt;=$F23,CX$5+GanttPeriod-1&gt;=$E23),"━","")))</f>
        <v/>
      </c>
      <c r="CY23" s="69" t="str">
        <f aca="false">IF($E23="","",IF($M23,IF(AND($G23&gt;=CY$5,$G23&lt;CY$5+GanttPeriod),"◆",IF(AND($E23&gt;=CY$5,$E23&lt;CY$5+GanttPeriod),"◇","")),IF(AND(CY$5&lt;=$F23,CY$5+GanttPeriod-1&gt;=$E23),"━","")))</f>
        <v/>
      </c>
      <c r="CZ23" s="69" t="str">
        <f aca="false">IF($E23="","",IF($M23,IF(AND($G23&gt;=CZ$5,$G23&lt;CZ$5+GanttPeriod),"◆",IF(AND($E23&gt;=CZ$5,$E23&lt;CZ$5+GanttPeriod),"◇","")),IF(AND(CZ$5&lt;=$F23,CZ$5+GanttPeriod-1&gt;=$E23),"━","")))</f>
        <v/>
      </c>
      <c r="DA23" s="69" t="str">
        <f aca="false">IF($E23="","",IF($M23,IF(AND($G23&gt;=DA$5,$G23&lt;DA$5+GanttPeriod),"◆",IF(AND($E23&gt;=DA$5,$E23&lt;DA$5+GanttPeriod),"◇","")),IF(AND(DA$5&lt;=$F23,DA$5+GanttPeriod-1&gt;=$E23),"━","")))</f>
        <v/>
      </c>
      <c r="DB23" s="69" t="str">
        <f aca="false">IF($E23="","",IF($M23,IF(AND($G23&gt;=DB$5,$G23&lt;DB$5+GanttPeriod),"◆",IF(AND($E23&gt;=DB$5,$E23&lt;DB$5+GanttPeriod),"◇","")),IF(AND(DB$5&lt;=$F23,DB$5+GanttPeriod-1&gt;=$E23),"━","")))</f>
        <v/>
      </c>
      <c r="DC23" s="69" t="str">
        <f aca="false">IF($E23="","",IF($M23,IF(AND($G23&gt;=DC$5,$G23&lt;DC$5+GanttPeriod),"◆",IF(AND($E23&gt;=DC$5,$E23&lt;DC$5+GanttPeriod),"◇","")),IF(AND(DC$5&lt;=$F23,DC$5+GanttPeriod-1&gt;=$E23),"━","")))</f>
        <v/>
      </c>
      <c r="DD23" s="69" t="str">
        <f aca="false">IF($E23="","",IF($M23,IF(AND($G23&gt;=DD$5,$G23&lt;DD$5+GanttPeriod),"◆",IF(AND($E23&gt;=DD$5,$E23&lt;DD$5+GanttPeriod),"◇","")),IF(AND(DD$5&lt;=$F23,DD$5+GanttPeriod-1&gt;=$E23),"━","")))</f>
        <v/>
      </c>
      <c r="DE23" s="69" t="str">
        <f aca="false">IF($E23="","",IF($M23,IF(AND($G23&gt;=DE$5,$G23&lt;DE$5+GanttPeriod),"◆",IF(AND($E23&gt;=DE$5,$E23&lt;DE$5+GanttPeriod),"◇","")),IF(AND(DE$5&lt;=$F23,DE$5+GanttPeriod-1&gt;=$E23),"━","")))</f>
        <v/>
      </c>
      <c r="DF23" s="69" t="str">
        <f aca="false">IF($E23="","",IF($M23,IF(AND($G23&gt;=DF$5,$G23&lt;DF$5+GanttPeriod),"◆",IF(AND($E23&gt;=DF$5,$E23&lt;DF$5+GanttPeriod),"◇","")),IF(AND(DF$5&lt;=$F23,DF$5+GanttPeriod-1&gt;=$E23),"━","")))</f>
        <v/>
      </c>
      <c r="DG23" s="69" t="str">
        <f aca="false">IF($E23="","",IF($M23,IF(AND($G23&gt;=DG$5,$G23&lt;DG$5+GanttPeriod),"◆",IF(AND($E23&gt;=DG$5,$E23&lt;DG$5+GanttPeriod),"◇","")),IF(AND(DG$5&lt;=$F23,DG$5+GanttPeriod-1&gt;=$E23),"━","")))</f>
        <v/>
      </c>
      <c r="DH23" s="69" t="str">
        <f aca="false">IF($E23="","",IF($M23,IF(AND($G23&gt;=DH$5,$G23&lt;DH$5+GanttPeriod),"◆",IF(AND($E23&gt;=DH$5,$E23&lt;DH$5+GanttPeriod),"◇","")),IF(AND(DH$5&lt;=$F23,DH$5+GanttPeriod-1&gt;=$E23),"━","")))</f>
        <v/>
      </c>
      <c r="DI23" s="69" t="str">
        <f aca="false">IF($E23="","",IF($M23,IF(AND($G23&gt;=DI$5,$G23&lt;DI$5+GanttPeriod),"◆",IF(AND($E23&gt;=DI$5,$E23&lt;DI$5+GanttPeriod),"◇","")),IF(AND(DI$5&lt;=$F23,DI$5+GanttPeriod-1&gt;=$E23),"━","")))</f>
        <v/>
      </c>
      <c r="DJ23" s="69" t="str">
        <f aca="false">IF($E23="","",IF($M23,IF(AND($G23&gt;=DJ$5,$G23&lt;DJ$5+GanttPeriod),"◆",IF(AND($E23&gt;=DJ$5,$E23&lt;DJ$5+GanttPeriod),"◇","")),IF(AND(DJ$5&lt;=$F23,DJ$5+GanttPeriod-1&gt;=$E23),"━","")))</f>
        <v/>
      </c>
      <c r="DK23" s="69" t="str">
        <f aca="false">IF($E23="","",IF($M23,IF(AND($G23&gt;=DK$5,$G23&lt;DK$5+GanttPeriod),"◆",IF(AND($E23&gt;=DK$5,$E23&lt;DK$5+GanttPeriod),"◇","")),IF(AND(DK$5&lt;=$F23,DK$5+GanttPeriod-1&gt;=$E23),"━","")))</f>
        <v/>
      </c>
      <c r="DL23" s="69" t="str">
        <f aca="false">IF($E23="","",IF($M23,IF(AND($G23&gt;=DL$5,$G23&lt;DL$5+GanttPeriod),"◆",IF(AND($E23&gt;=DL$5,$E23&lt;DL$5+GanttPeriod),"◇","")),IF(AND(DL$5&lt;=$F23,DL$5+GanttPeriod-1&gt;=$E23),"━","")))</f>
        <v/>
      </c>
      <c r="DM23" s="69" t="str">
        <f aca="false">IF($E23="","",IF($M23,IF(AND($G23&gt;=DM$5,$G23&lt;DM$5+GanttPeriod),"◆",IF(AND($E23&gt;=DM$5,$E23&lt;DM$5+GanttPeriod),"◇","")),IF(AND(DM$5&lt;=$F23,DM$5+GanttPeriod-1&gt;=$E23),"━","")))</f>
        <v/>
      </c>
      <c r="DN23" s="69" t="str">
        <f aca="false">IF($E23="","",IF($M23,IF(AND($G23&gt;=DN$5,$G23&lt;DN$5+GanttPeriod),"◆",IF(AND($E23&gt;=DN$5,$E23&lt;DN$5+GanttPeriod),"◇","")),IF(AND(DN$5&lt;=$F23,DN$5+GanttPeriod-1&gt;=$E23),"━","")))</f>
        <v/>
      </c>
      <c r="DO23" s="69" t="str">
        <f aca="false">IF($E23="","",IF($M23,IF(AND($G23&gt;=DO$5,$G23&lt;DO$5+GanttPeriod),"◆",IF(AND($E23&gt;=DO$5,$E23&lt;DO$5+GanttPeriod),"◇","")),IF(AND(DO$5&lt;=$F23,DO$5+GanttPeriod-1&gt;=$E23),"━","")))</f>
        <v/>
      </c>
      <c r="DP23" s="69" t="str">
        <f aca="false">IF($E23="","",IF($M23,IF(AND($G23&gt;=DP$5,$G23&lt;DP$5+GanttPeriod),"◆",IF(AND($E23&gt;=DP$5,$E23&lt;DP$5+GanttPeriod),"◇","")),IF(AND(DP$5&lt;=$F23,DP$5+GanttPeriod-1&gt;=$E23),"━","")))</f>
        <v/>
      </c>
      <c r="DQ23" s="69" t="str">
        <f aca="false">IF($E23="","",IF($M23,IF(AND($G23&gt;=DQ$5,$G23&lt;DQ$5+GanttPeriod),"◆",IF(AND($E23&gt;=DQ$5,$E23&lt;DQ$5+GanttPeriod),"◇","")),IF(AND(DQ$5&lt;=$F23,DQ$5+GanttPeriod-1&gt;=$E23),"━","")))</f>
        <v/>
      </c>
      <c r="DR23" s="69" t="str">
        <f aca="false">IF($E23="","",IF($M23,IF(AND($G23&gt;=DR$5,$G23&lt;DR$5+GanttPeriod),"◆",IF(AND($E23&gt;=DR$5,$E23&lt;DR$5+GanttPeriod),"◇","")),IF(AND(DR$5&lt;=$F23,DR$5+GanttPeriod-1&gt;=$E23),"━","")))</f>
        <v/>
      </c>
      <c r="DS23" s="69" t="str">
        <f aca="false">IF($E23="","",IF($M23,IF(AND($G23&gt;=DS$5,$G23&lt;DS$5+GanttPeriod),"◆",IF(AND($E23&gt;=DS$5,$E23&lt;DS$5+GanttPeriod),"◇","")),IF(AND(DS$5&lt;=$F23,DS$5+GanttPeriod-1&gt;=$E23),"━","")))</f>
        <v/>
      </c>
      <c r="DT23" s="69" t="str">
        <f aca="false">IF($E23="","",IF($M23,IF(AND($G23&gt;=DT$5,$G23&lt;DT$5+GanttPeriod),"◆",IF(AND($E23&gt;=DT$5,$E23&lt;DT$5+GanttPeriod),"◇","")),IF(AND(DT$5&lt;=$F23,DT$5+GanttPeriod-1&gt;=$E23),"━","")))</f>
        <v/>
      </c>
      <c r="DU23" s="69" t="str">
        <f aca="false">IF($E23="","",IF($M23,IF(AND($G23&gt;=DU$5,$G23&lt;DU$5+GanttPeriod),"◆",IF(AND($E23&gt;=DU$5,$E23&lt;DU$5+GanttPeriod),"◇","")),IF(AND(DU$5&lt;=$F23,DU$5+GanttPeriod-1&gt;=$E23),"━","")))</f>
        <v/>
      </c>
      <c r="DV23" s="69" t="str">
        <f aca="false">IF($E23="","",IF($M23,IF(AND($G23&gt;=DV$5,$G23&lt;DV$5+GanttPeriod),"◆",IF(AND($E23&gt;=DV$5,$E23&lt;DV$5+GanttPeriod),"◇","")),IF(AND(DV$5&lt;=$F23,DV$5+GanttPeriod-1&gt;=$E23),"━","")))</f>
        <v/>
      </c>
      <c r="DW23" s="69" t="str">
        <f aca="false">IF($E23="","",IF($M23,IF(AND($G23&gt;=DW$5,$G23&lt;DW$5+GanttPeriod),"◆",IF(AND($E23&gt;=DW$5,$E23&lt;DW$5+GanttPeriod),"◇","")),IF(AND(DW$5&lt;=$F23,DW$5+GanttPeriod-1&gt;=$E23),"━","")))</f>
        <v/>
      </c>
      <c r="DX23" s="69" t="str">
        <f aca="false">IF($E23="","",IF($M23,IF(AND($G23&gt;=DX$5,$G23&lt;DX$5+GanttPeriod),"◆",IF(AND($E23&gt;=DX$5,$E23&lt;DX$5+GanttPeriod),"◇","")),IF(AND(DX$5&lt;=$F23,DX$5+GanttPeriod-1&gt;=$E23),"━","")))</f>
        <v/>
      </c>
      <c r="DY23" s="69" t="str">
        <f aca="false">IF($E23="","",IF($M23,IF(AND($G23&gt;=DY$5,$G23&lt;DY$5+GanttPeriod),"◆",IF(AND($E23&gt;=DY$5,$E23&lt;DY$5+GanttPeriod),"◇","")),IF(AND(DY$5&lt;=$F23,DY$5+GanttPeriod-1&gt;=$E23),"━","")))</f>
        <v/>
      </c>
      <c r="DZ23" s="69" t="str">
        <f aca="false">IF($E23="","",IF($M23,IF(AND($G23&gt;=DZ$5,$G23&lt;DZ$5+GanttPeriod),"◆",IF(AND($E23&gt;=DZ$5,$E23&lt;DZ$5+GanttPeriod),"◇","")),IF(AND(DZ$5&lt;=$F23,DZ$5+GanttPeriod-1&gt;=$E23),"━","")))</f>
        <v/>
      </c>
      <c r="EA23" s="69" t="str">
        <f aca="false">IF($E23="","",IF($M23,IF(AND($G23&gt;=EA$5,$G23&lt;EA$5+GanttPeriod),"◆",IF(AND($E23&gt;=EA$5,$E23&lt;EA$5+GanttPeriod),"◇","")),IF(AND(EA$5&lt;=$F23,EA$5+GanttPeriod-1&gt;=$E23),"━","")))</f>
        <v/>
      </c>
      <c r="EB23" s="69" t="str">
        <f aca="false">IF($E23="","",IF($M23,IF(AND($G23&gt;=EB$5,$G23&lt;EB$5+GanttPeriod),"◆",IF(AND($E23&gt;=EB$5,$E23&lt;EB$5+GanttPeriod),"◇","")),IF(AND(EB$5&lt;=$F23,EB$5+GanttPeriod-1&gt;=$E23),"━","")))</f>
        <v/>
      </c>
      <c r="EC23" s="69" t="str">
        <f aca="false">IF($E23="","",IF($M23,IF(AND($G23&gt;=EC$5,$G23&lt;EC$5+GanttPeriod),"◆",IF(AND($E23&gt;=EC$5,$E23&lt;EC$5+GanttPeriod),"◇","")),IF(AND(EC$5&lt;=$F23,EC$5+GanttPeriod-1&gt;=$E23),"━","")))</f>
        <v/>
      </c>
      <c r="ED23" s="69" t="str">
        <f aca="false">IF($E23="","",IF($M23,IF(AND($G23&gt;=ED$5,$G23&lt;ED$5+GanttPeriod),"◆",IF(AND($E23&gt;=ED$5,$E23&lt;ED$5+GanttPeriod),"◇","")),IF(AND(ED$5&lt;=$F23,ED$5+GanttPeriod-1&gt;=$E23),"━","")))</f>
        <v/>
      </c>
      <c r="EE23" s="69" t="str">
        <f aca="false">IF($E23="","",IF($M23,IF(AND($G23&gt;=EE$5,$G23&lt;EE$5+GanttPeriod),"◆",IF(AND($E23&gt;=EE$5,$E23&lt;EE$5+GanttPeriod),"◇","")),IF(AND(EE$5&lt;=$F23,EE$5+GanttPeriod-1&gt;=$E23),"━","")))</f>
        <v/>
      </c>
      <c r="EF23" s="69" t="str">
        <f aca="false">IF($E23="","",IF($M23,IF(AND($G23&gt;=EF$5,$G23&lt;EF$5+GanttPeriod),"◆",IF(AND($E23&gt;=EF$5,$E23&lt;EF$5+GanttPeriod),"◇","")),IF(AND(EF$5&lt;=$F23,EF$5+GanttPeriod-1&gt;=$E23),"━","")))</f>
        <v/>
      </c>
      <c r="EG23" s="69" t="str">
        <f aca="false">IF($E23="","",IF($M23,IF(AND($G23&gt;=EG$5,$G23&lt;EG$5+GanttPeriod),"◆",IF(AND($E23&gt;=EG$5,$E23&lt;EG$5+GanttPeriod),"◇","")),IF(AND(EG$5&lt;=$F23,EG$5+GanttPeriod-1&gt;=$E23),"━","")))</f>
        <v/>
      </c>
      <c r="EH23" s="69" t="str">
        <f aca="false">IF($E23="","",IF($M23,IF(AND($G23&gt;=EH$5,$G23&lt;EH$5+GanttPeriod),"◆",IF(AND($E23&gt;=EH$5,$E23&lt;EH$5+GanttPeriod),"◇","")),IF(AND(EH$5&lt;=$F23,EH$5+GanttPeriod-1&gt;=$E23),"━","")))</f>
        <v/>
      </c>
      <c r="EI23" s="69" t="str">
        <f aca="false">IF($E23="","",IF($M23,IF(AND($G23&gt;=EI$5,$G23&lt;EI$5+GanttPeriod),"◆",IF(AND($E23&gt;=EI$5,$E23&lt;EI$5+GanttPeriod),"◇","")),IF(AND(EI$5&lt;=$F23,EI$5+GanttPeriod-1&gt;=$E23),"━","")))</f>
        <v/>
      </c>
      <c r="EJ23" s="69" t="str">
        <f aca="false">IF($E23="","",IF($M23,IF(AND($G23&gt;=EJ$5,$G23&lt;EJ$5+GanttPeriod),"◆",IF(AND($E23&gt;=EJ$5,$E23&lt;EJ$5+GanttPeriod),"◇","")),IF(AND(EJ$5&lt;=$F23,EJ$5+GanttPeriod-1&gt;=$E23),"━","")))</f>
        <v/>
      </c>
      <c r="EK23" s="69" t="str">
        <f aca="false">IF($E23="","",IF($M23,IF(AND($G23&gt;=EK$5,$G23&lt;EK$5+GanttPeriod),"◆",IF(AND($E23&gt;=EK$5,$E23&lt;EK$5+GanttPeriod),"◇","")),IF(AND(EK$5&lt;=$F23,EK$5+GanttPeriod-1&gt;=$E23),"━","")))</f>
        <v/>
      </c>
      <c r="EL23" s="69" t="str">
        <f aca="false">IF($E23="","",IF($M23,IF(AND($G23&gt;=EL$5,$G23&lt;EL$5+GanttPeriod),"◆",IF(AND($E23&gt;=EL$5,$E23&lt;EL$5+GanttPeriod),"◇","")),IF(AND(EL$5&lt;=$F23,EL$5+GanttPeriod-1&gt;=$E23),"━","")))</f>
        <v/>
      </c>
      <c r="EM23" s="69" t="str">
        <f aca="false">IF($E23="","",IF($M23,IF(AND($G23&gt;=EM$5,$G23&lt;EM$5+GanttPeriod),"◆",IF(AND($E23&gt;=EM$5,$E23&lt;EM$5+GanttPeriod),"◇","")),IF(AND(EM$5&lt;=$F23,EM$5+GanttPeriod-1&gt;=$E23),"━","")))</f>
        <v/>
      </c>
      <c r="EN23" s="69" t="str">
        <f aca="false">IF($E23="","",IF($M23,IF(AND($G23&gt;=EN$5,$G23&lt;EN$5+GanttPeriod),"◆",IF(AND($E23&gt;=EN$5,$E23&lt;EN$5+GanttPeriod),"◇","")),IF(AND(EN$5&lt;=$F23,EN$5+GanttPeriod-1&gt;=$E23),"━","")))</f>
        <v/>
      </c>
      <c r="EO23" s="69" t="str">
        <f aca="false">IF($E23="","",IF($M23,IF(AND($G23&gt;=EO$5,$G23&lt;EO$5+GanttPeriod),"◆",IF(AND($E23&gt;=EO$5,$E23&lt;EO$5+GanttPeriod),"◇","")),IF(AND(EO$5&lt;=$F23,EO$5+GanttPeriod-1&gt;=$E23),"━","")))</f>
        <v/>
      </c>
      <c r="EP23" s="69" t="str">
        <f aca="false">IF($E23="","",IF($M23,IF(AND($G23&gt;=EP$5,$G23&lt;EP$5+GanttPeriod),"◆",IF(AND($E23&gt;=EP$5,$E23&lt;EP$5+GanttPeriod),"◇","")),IF(AND(EP$5&lt;=$F23,EP$5+GanttPeriod-1&gt;=$E23),"━","")))</f>
        <v/>
      </c>
      <c r="EQ23" s="69" t="str">
        <f aca="false">IF($E23="","",IF($M23,IF(AND($G23&gt;=EQ$5,$G23&lt;EQ$5+GanttPeriod),"◆",IF(AND($E23&gt;=EQ$5,$E23&lt;EQ$5+GanttPeriod),"◇","")),IF(AND(EQ$5&lt;=$F23,EQ$5+GanttPeriod-1&gt;=$E23),"━","")))</f>
        <v/>
      </c>
      <c r="ER23" s="69" t="str">
        <f aca="false">IF($E23="","",IF($M23,IF(AND($G23&gt;=ER$5,$G23&lt;ER$5+GanttPeriod),"◆",IF(AND($E23&gt;=ER$5,$E23&lt;ER$5+GanttPeriod),"◇","")),IF(AND(ER$5&lt;=$F23,ER$5+GanttPeriod-1&gt;=$E23),"━","")))</f>
        <v/>
      </c>
      <c r="ES23" s="69" t="str">
        <f aca="false">IF($E23="","",IF($M23,IF(AND($G23&gt;=ES$5,$G23&lt;ES$5+GanttPeriod),"◆",IF(AND($E23&gt;=ES$5,$E23&lt;ES$5+GanttPeriod),"◇","")),IF(AND(ES$5&lt;=$F23,ES$5+GanttPeriod-1&gt;=$E23),"━","")))</f>
        <v/>
      </c>
      <c r="ET23" s="69" t="str">
        <f aca="false">IF($E23="","",IF($M23,IF(AND($G23&gt;=ET$5,$G23&lt;ET$5+GanttPeriod),"◆",IF(AND($E23&gt;=ET$5,$E23&lt;ET$5+GanttPeriod),"◇","")),IF(AND(ET$5&lt;=$F23,ET$5+GanttPeriod-1&gt;=$E23),"━","")))</f>
        <v/>
      </c>
      <c r="EU23" s="69" t="str">
        <f aca="false">IF($E23="","",IF($M23,IF(AND($G23&gt;=EU$5,$G23&lt;EU$5+GanttPeriod),"◆",IF(AND($E23&gt;=EU$5,$E23&lt;EU$5+GanttPeriod),"◇","")),IF(AND(EU$5&lt;=$F23,EU$5+GanttPeriod-1&gt;=$E23),"━","")))</f>
        <v/>
      </c>
      <c r="EV23" s="69" t="str">
        <f aca="false">IF($E23="","",IF($M23,IF(AND($G23&gt;=EV$5,$G23&lt;EV$5+GanttPeriod),"◆",IF(AND($E23&gt;=EV$5,$E23&lt;EV$5+GanttPeriod),"◇","")),IF(AND(EV$5&lt;=$F23,EV$5+GanttPeriod-1&gt;=$E23),"━","")))</f>
        <v/>
      </c>
      <c r="EW23" s="69" t="str">
        <f aca="false">IF($E23="","",IF($M23,IF(AND($G23&gt;=EW$5,$G23&lt;EW$5+GanttPeriod),"◆",IF(AND($E23&gt;=EW$5,$E23&lt;EW$5+GanttPeriod),"◇","")),IF(AND(EW$5&lt;=$F23,EW$5+GanttPeriod-1&gt;=$E23),"━","")))</f>
        <v/>
      </c>
      <c r="EX23" s="69" t="str">
        <f aca="false">IF($E23="","",IF($M23,IF(AND($G23&gt;=EX$5,$G23&lt;EX$5+GanttPeriod),"◆",IF(AND($E23&gt;=EX$5,$E23&lt;EX$5+GanttPeriod),"◇","")),IF(AND(EX$5&lt;=$F23,EX$5+GanttPeriod-1&gt;=$E23),"━","")))</f>
        <v/>
      </c>
      <c r="EY23" s="69" t="str">
        <f aca="false">IF($E23="","",IF($M23,IF(AND($G23&gt;=EY$5,$G23&lt;EY$5+GanttPeriod),"◆",IF(AND($E23&gt;=EY$5,$E23&lt;EY$5+GanttPeriod),"◇","")),IF(AND(EY$5&lt;=$F23,EY$5+GanttPeriod-1&gt;=$E23),"━","")))</f>
        <v/>
      </c>
      <c r="EZ23" s="69" t="str">
        <f aca="false">IF($E23="","",IF($M23,IF(AND($G23&gt;=EZ$5,$G23&lt;EZ$5+GanttPeriod),"◆",IF(AND($E23&gt;=EZ$5,$E23&lt;EZ$5+GanttPeriod),"◇","")),IF(AND(EZ$5&lt;=$F23,EZ$5+GanttPeriod-1&gt;=$E23),"━","")))</f>
        <v/>
      </c>
      <c r="FA23" s="69" t="str">
        <f aca="false">IF($E23="","",IF($M23,IF(AND($G23&gt;=FA$5,$G23&lt;FA$5+GanttPeriod),"◆",IF(AND($E23&gt;=FA$5,$E23&lt;FA$5+GanttPeriod),"◇","")),IF(AND(FA$5&lt;=$F23,FA$5+GanttPeriod-1&gt;=$E23),"━","")))</f>
        <v/>
      </c>
      <c r="FB23" s="69" t="str">
        <f aca="false">IF($E23="","",IF($M23,IF(AND($G23&gt;=FB$5,$G23&lt;FB$5+GanttPeriod),"◆",IF(AND($E23&gt;=FB$5,$E23&lt;FB$5+GanttPeriod),"◇","")),IF(AND(FB$5&lt;=$F23,FB$5+GanttPeriod-1&gt;=$E23),"━","")))</f>
        <v/>
      </c>
      <c r="FC23" s="69" t="str">
        <f aca="false">IF($E23="","",IF($M23,IF(AND($G23&gt;=FC$5,$G23&lt;FC$5+GanttPeriod),"◆",IF(AND($E23&gt;=FC$5,$E23&lt;FC$5+GanttPeriod),"◇","")),IF(AND(FC$5&lt;=$F23,FC$5+GanttPeriod-1&gt;=$E23),"━","")))</f>
        <v/>
      </c>
      <c r="FD23" s="69" t="str">
        <f aca="false">IF($E23="","",IF($M23,IF(AND($G23&gt;=FD$5,$G23&lt;FD$5+GanttPeriod),"◆",IF(AND($E23&gt;=FD$5,$E23&lt;FD$5+GanttPeriod),"◇","")),IF(AND(FD$5&lt;=$F23,FD$5+GanttPeriod-1&gt;=$E23),"━","")))</f>
        <v/>
      </c>
      <c r="FE23" s="69" t="str">
        <f aca="false">IF($E23="","",IF($M23,IF(AND($G23&gt;=FE$5,$G23&lt;FE$5+GanttPeriod),"◆",IF(AND($E23&gt;=FE$5,$E23&lt;FE$5+GanttPeriod),"◇","")),IF(AND(FE$5&lt;=$F23,FE$5+GanttPeriod-1&gt;=$E23),"━","")))</f>
        <v/>
      </c>
      <c r="FF23" s="69" t="str">
        <f aca="false">IF($E23="","",IF($M23,IF(AND($G23&gt;=FF$5,$G23&lt;FF$5+GanttPeriod),"◆",IF(AND($E23&gt;=FF$5,$E23&lt;FF$5+GanttPeriod),"◇","")),IF(AND(FF$5&lt;=$F23,FF$5+GanttPeriod-1&gt;=$E23),"━","")))</f>
        <v/>
      </c>
      <c r="FG23" s="69" t="str">
        <f aca="false">IF($E23="","",IF($M23,IF(AND($G23&gt;=FG$5,$G23&lt;FG$5+GanttPeriod),"◆",IF(AND($E23&gt;=FG$5,$E23&lt;FG$5+GanttPeriod),"◇","")),IF(AND(FG$5&lt;=$F23,FG$5+GanttPeriod-1&gt;=$E23),"━","")))</f>
        <v/>
      </c>
      <c r="FH23" s="69" t="str">
        <f aca="false">IF($E23="","",IF($M23,IF(AND($G23&gt;=FH$5,$G23&lt;FH$5+GanttPeriod),"◆",IF(AND($E23&gt;=FH$5,$E23&lt;FH$5+GanttPeriod),"◇","")),IF(AND(FH$5&lt;=$F23,FH$5+GanttPeriod-1&gt;=$E23),"━","")))</f>
        <v/>
      </c>
      <c r="FI23" s="69" t="str">
        <f aca="false">IF($E23="","",IF($M23,IF(AND($G23&gt;=FI$5,$G23&lt;FI$5+GanttPeriod),"◆",IF(AND($E23&gt;=FI$5,$E23&lt;FI$5+GanttPeriod),"◇","")),IF(AND(FI$5&lt;=$F23,FI$5+GanttPeriod-1&gt;=$E23),"━","")))</f>
        <v/>
      </c>
      <c r="FJ23" s="69" t="str">
        <f aca="false">IF($E23="","",IF($M23,IF(AND($G23&gt;=FJ$5,$G23&lt;FJ$5+GanttPeriod),"◆",IF(AND($E23&gt;=FJ$5,$E23&lt;FJ$5+GanttPeriod),"◇","")),IF(AND(FJ$5&lt;=$F23,FJ$5+GanttPeriod-1&gt;=$E23),"━","")))</f>
        <v/>
      </c>
      <c r="FK23" s="69" t="str">
        <f aca="false">IF($E23="","",IF($M23,IF(AND($G23&gt;=FK$5,$G23&lt;FK$5+GanttPeriod),"◆",IF(AND($E23&gt;=FK$5,$E23&lt;FK$5+GanttPeriod),"◇","")),IF(AND(FK$5&lt;=$F23,FK$5+GanttPeriod-1&gt;=$E23),"━","")))</f>
        <v/>
      </c>
      <c r="FL23" s="69" t="str">
        <f aca="false">IF($E23="","",IF($M23,IF(AND($G23&gt;=FL$5,$G23&lt;FL$5+GanttPeriod),"◆",IF(AND($E23&gt;=FL$5,$E23&lt;FL$5+GanttPeriod),"◇","")),IF(AND(FL$5&lt;=$F23,FL$5+GanttPeriod-1&gt;=$E23),"━","")))</f>
        <v/>
      </c>
      <c r="FM23" s="69" t="str">
        <f aca="false">IF($E23="","",IF($M23,IF(AND($G23&gt;=FM$5,$G23&lt;FM$5+GanttPeriod),"◆",IF(AND($E23&gt;=FM$5,$E23&lt;FM$5+GanttPeriod),"◇","")),IF(AND(FM$5&lt;=$F23,FM$5+GanttPeriod-1&gt;=$E23),"━","")))</f>
        <v/>
      </c>
    </row>
    <row r="24" customFormat="false" ht="15" hidden="false" customHeight="false" outlineLevel="0" collapsed="false">
      <c r="A24" s="62" t="n">
        <f aca="false">IF(Tasks!$D24="","",Tasks!$A24)</f>
        <v>19</v>
      </c>
      <c r="B24" s="62" t="str">
        <f aca="false">IF(Tasks!$D24="","",Tasks!$B24)</f>
        <v>3.3</v>
      </c>
      <c r="C24" s="63" t="str">
        <f aca="false">IF(Tasks!$D24="","",REPT("    ",Tasks!$AE24-1)&amp;Tasks!$D24)</f>
        <v>    Build complete</v>
      </c>
      <c r="D24" s="62" t="n">
        <f aca="false">IF(Tasks!$D24="","",IF(Tasks!$AI24,NETWORKDAYS.INTL(Tasks!$R24,Tasks!$S24,WorkWeek,Holidays),N(Tasks!$F24)))</f>
        <v>0</v>
      </c>
      <c r="E24" s="64" t="n">
        <f aca="false">IF(Tasks!$D24="","",Tasks!$N24)</f>
        <v>46325</v>
      </c>
      <c r="F24" s="64" t="n">
        <f aca="false">IF(Tasks!$D24="","",Tasks!$O24)</f>
        <v>46325</v>
      </c>
      <c r="G24" s="64" t="n">
        <f aca="false">IF(Tasks!$D24="","",Tasks!$R24)</f>
        <v>46335</v>
      </c>
      <c r="H24" s="64" t="n">
        <f aca="false">IF(Tasks!$D24="","",Tasks!$S24)</f>
        <v>46335</v>
      </c>
      <c r="I24" s="65" t="n">
        <f aca="false">IF(Tasks!$D24="","",Tasks!$V24)</f>
        <v>0</v>
      </c>
      <c r="J24" s="63" t="str">
        <f aca="false">IF(Tasks!$D24="","",Tasks!$X24&amp;"")</f>
        <v/>
      </c>
      <c r="K24" s="66" t="str">
        <f aca="false">IF(Tasks!$D24="","",Tasks!$W24)</f>
        <v>Not Started</v>
      </c>
      <c r="L24" s="67" t="b">
        <f aca="false">IF(Tasks!$D24="",FALSE(),Tasks!$AI24)</f>
        <v>0</v>
      </c>
      <c r="M24" s="67" t="b">
        <f aca="false">AND(Tasks!$AJ24=1,N(Tasks!$F24)=0)</f>
        <v>1</v>
      </c>
      <c r="N24" s="68" t="n">
        <f aca="false">IF(AND(Tasks!$AJ24=1,NOT($M24),N($I24)&gt;0),$G24,0)</f>
        <v>0</v>
      </c>
      <c r="O24" s="68" t="n">
        <f aca="false">IF($N24=0,0,IF($I24&gt;=1,$H24,MAX($N24,$G24+ROUND(($H24-$G24+1)*$I24,0)-1)))</f>
        <v>0</v>
      </c>
      <c r="P24" s="68" t="n">
        <f aca="false">IF(OR(Tasks!$AJ24&lt;&gt;1,$M24,N($I24)&gt;=1),0,IF($O24&gt;0,$O24+1,$G24))</f>
        <v>0</v>
      </c>
      <c r="Q24" s="68" t="n">
        <f aca="false">IF($P24=0,0,$H24)</f>
        <v>0</v>
      </c>
      <c r="R24" s="67" t="b">
        <f aca="false">AND(Tasks!$D24&lt;&gt;"",N(Tasks!$T24)&gt;0)</f>
        <v>1</v>
      </c>
      <c r="T24" s="69" t="str">
        <f aca="false">IF($E24="","",IF($M24,IF(AND($G24&gt;=T$5,$G24&lt;T$5+GanttPeriod),"◆",IF(AND($E24&gt;=T$5,$E24&lt;T$5+GanttPeriod),"◇","")),IF(AND(T$5&lt;=$F24,T$5+GanttPeriod-1&gt;=$E24),"━","")))</f>
        <v/>
      </c>
      <c r="U24" s="69" t="str">
        <f aca="false">IF($E24="","",IF($M24,IF(AND($G24&gt;=U$5,$G24&lt;U$5+GanttPeriod),"◆",IF(AND($E24&gt;=U$5,$E24&lt;U$5+GanttPeriod),"◇","")),IF(AND(U$5&lt;=$F24,U$5+GanttPeriod-1&gt;=$E24),"━","")))</f>
        <v/>
      </c>
      <c r="V24" s="69" t="str">
        <f aca="false">IF($E24="","",IF($M24,IF(AND($G24&gt;=V$5,$G24&lt;V$5+GanttPeriod),"◆",IF(AND($E24&gt;=V$5,$E24&lt;V$5+GanttPeriod),"◇","")),IF(AND(V$5&lt;=$F24,V$5+GanttPeriod-1&gt;=$E24),"━","")))</f>
        <v/>
      </c>
      <c r="W24" s="69" t="str">
        <f aca="false">IF($E24="","",IF($M24,IF(AND($G24&gt;=W$5,$G24&lt;W$5+GanttPeriod),"◆",IF(AND($E24&gt;=W$5,$E24&lt;W$5+GanttPeriod),"◇","")),IF(AND(W$5&lt;=$F24,W$5+GanttPeriod-1&gt;=$E24),"━","")))</f>
        <v/>
      </c>
      <c r="X24" s="69" t="str">
        <f aca="false">IF($E24="","",IF($M24,IF(AND($G24&gt;=X$5,$G24&lt;X$5+GanttPeriod),"◆",IF(AND($E24&gt;=X$5,$E24&lt;X$5+GanttPeriod),"◇","")),IF(AND(X$5&lt;=$F24,X$5+GanttPeriod-1&gt;=$E24),"━","")))</f>
        <v/>
      </c>
      <c r="Y24" s="69" t="str">
        <f aca="false">IF($E24="","",IF($M24,IF(AND($G24&gt;=Y$5,$G24&lt;Y$5+GanttPeriod),"◆",IF(AND($E24&gt;=Y$5,$E24&lt;Y$5+GanttPeriod),"◇","")),IF(AND(Y$5&lt;=$F24,Y$5+GanttPeriod-1&gt;=$E24),"━","")))</f>
        <v/>
      </c>
      <c r="Z24" s="69" t="str">
        <f aca="false">IF($E24="","",IF($M24,IF(AND($G24&gt;=Z$5,$G24&lt;Z$5+GanttPeriod),"◆",IF(AND($E24&gt;=Z$5,$E24&lt;Z$5+GanttPeriod),"◇","")),IF(AND(Z$5&lt;=$F24,Z$5+GanttPeriod-1&gt;=$E24),"━","")))</f>
        <v/>
      </c>
      <c r="AA24" s="69" t="str">
        <f aca="false">IF($E24="","",IF($M24,IF(AND($G24&gt;=AA$5,$G24&lt;AA$5+GanttPeriod),"◆",IF(AND($E24&gt;=AA$5,$E24&lt;AA$5+GanttPeriod),"◇","")),IF(AND(AA$5&lt;=$F24,AA$5+GanttPeriod-1&gt;=$E24),"━","")))</f>
        <v/>
      </c>
      <c r="AB24" s="69" t="str">
        <f aca="false">IF($E24="","",IF($M24,IF(AND($G24&gt;=AB$5,$G24&lt;AB$5+GanttPeriod),"◆",IF(AND($E24&gt;=AB$5,$E24&lt;AB$5+GanttPeriod),"◇","")),IF(AND(AB$5&lt;=$F24,AB$5+GanttPeriod-1&gt;=$E24),"━","")))</f>
        <v/>
      </c>
      <c r="AC24" s="69" t="str">
        <f aca="false">IF($E24="","",IF($M24,IF(AND($G24&gt;=AC$5,$G24&lt;AC$5+GanttPeriod),"◆",IF(AND($E24&gt;=AC$5,$E24&lt;AC$5+GanttPeriod),"◇","")),IF(AND(AC$5&lt;=$F24,AC$5+GanttPeriod-1&gt;=$E24),"━","")))</f>
        <v/>
      </c>
      <c r="AD24" s="69" t="str">
        <f aca="false">IF($E24="","",IF($M24,IF(AND($G24&gt;=AD$5,$G24&lt;AD$5+GanttPeriod),"◆",IF(AND($E24&gt;=AD$5,$E24&lt;AD$5+GanttPeriod),"◇","")),IF(AND(AD$5&lt;=$F24,AD$5+GanttPeriod-1&gt;=$E24),"━","")))</f>
        <v/>
      </c>
      <c r="AE24" s="69" t="str">
        <f aca="false">IF($E24="","",IF($M24,IF(AND($G24&gt;=AE$5,$G24&lt;AE$5+GanttPeriod),"◆",IF(AND($E24&gt;=AE$5,$E24&lt;AE$5+GanttPeriod),"◇","")),IF(AND(AE$5&lt;=$F24,AE$5+GanttPeriod-1&gt;=$E24),"━","")))</f>
        <v/>
      </c>
      <c r="AF24" s="69" t="str">
        <f aca="false">IF($E24="","",IF($M24,IF(AND($G24&gt;=AF$5,$G24&lt;AF$5+GanttPeriod),"◆",IF(AND($E24&gt;=AF$5,$E24&lt;AF$5+GanttPeriod),"◇","")),IF(AND(AF$5&lt;=$F24,AF$5+GanttPeriod-1&gt;=$E24),"━","")))</f>
        <v/>
      </c>
      <c r="AG24" s="69" t="str">
        <f aca="false">IF($E24="","",IF($M24,IF(AND($G24&gt;=AG$5,$G24&lt;AG$5+GanttPeriod),"◆",IF(AND($E24&gt;=AG$5,$E24&lt;AG$5+GanttPeriod),"◇","")),IF(AND(AG$5&lt;=$F24,AG$5+GanttPeriod-1&gt;=$E24),"━","")))</f>
        <v/>
      </c>
      <c r="AH24" s="69" t="str">
        <f aca="false">IF($E24="","",IF($M24,IF(AND($G24&gt;=AH$5,$G24&lt;AH$5+GanttPeriod),"◆",IF(AND($E24&gt;=AH$5,$E24&lt;AH$5+GanttPeriod),"◇","")),IF(AND(AH$5&lt;=$F24,AH$5+GanttPeriod-1&gt;=$E24),"━","")))</f>
        <v/>
      </c>
      <c r="AI24" s="69" t="str">
        <f aca="false">IF($E24="","",IF($M24,IF(AND($G24&gt;=AI$5,$G24&lt;AI$5+GanttPeriod),"◆",IF(AND($E24&gt;=AI$5,$E24&lt;AI$5+GanttPeriod),"◇","")),IF(AND(AI$5&lt;=$F24,AI$5+GanttPeriod-1&gt;=$E24),"━","")))</f>
        <v/>
      </c>
      <c r="AJ24" s="69" t="str">
        <f aca="false">IF($E24="","",IF($M24,IF(AND($G24&gt;=AJ$5,$G24&lt;AJ$5+GanttPeriod),"◆",IF(AND($E24&gt;=AJ$5,$E24&lt;AJ$5+GanttPeriod),"◇","")),IF(AND(AJ$5&lt;=$F24,AJ$5+GanttPeriod-1&gt;=$E24),"━","")))</f>
        <v/>
      </c>
      <c r="AK24" s="69" t="str">
        <f aca="false">IF($E24="","",IF($M24,IF(AND($G24&gt;=AK$5,$G24&lt;AK$5+GanttPeriod),"◆",IF(AND($E24&gt;=AK$5,$E24&lt;AK$5+GanttPeriod),"◇","")),IF(AND(AK$5&lt;=$F24,AK$5+GanttPeriod-1&gt;=$E24),"━","")))</f>
        <v/>
      </c>
      <c r="AL24" s="69" t="str">
        <f aca="false">IF($E24="","",IF($M24,IF(AND($G24&gt;=AL$5,$G24&lt;AL$5+GanttPeriod),"◆",IF(AND($E24&gt;=AL$5,$E24&lt;AL$5+GanttPeriod),"◇","")),IF(AND(AL$5&lt;=$F24,AL$5+GanttPeriod-1&gt;=$E24),"━","")))</f>
        <v/>
      </c>
      <c r="AM24" s="69" t="str">
        <f aca="false">IF($E24="","",IF($M24,IF(AND($G24&gt;=AM$5,$G24&lt;AM$5+GanttPeriod),"◆",IF(AND($E24&gt;=AM$5,$E24&lt;AM$5+GanttPeriod),"◇","")),IF(AND(AM$5&lt;=$F24,AM$5+GanttPeriod-1&gt;=$E24),"━","")))</f>
        <v/>
      </c>
      <c r="AN24" s="69" t="str">
        <f aca="false">IF($E24="","",IF($M24,IF(AND($G24&gt;=AN$5,$G24&lt;AN$5+GanttPeriod),"◆",IF(AND($E24&gt;=AN$5,$E24&lt;AN$5+GanttPeriod),"◇","")),IF(AND(AN$5&lt;=$F24,AN$5+GanttPeriod-1&gt;=$E24),"━","")))</f>
        <v/>
      </c>
      <c r="AO24" s="69" t="str">
        <f aca="false">IF($E24="","",IF($M24,IF(AND($G24&gt;=AO$5,$G24&lt;AO$5+GanttPeriod),"◆",IF(AND($E24&gt;=AO$5,$E24&lt;AO$5+GanttPeriod),"◇","")),IF(AND(AO$5&lt;=$F24,AO$5+GanttPeriod-1&gt;=$E24),"━","")))</f>
        <v/>
      </c>
      <c r="AP24" s="69" t="str">
        <f aca="false">IF($E24="","",IF($M24,IF(AND($G24&gt;=AP$5,$G24&lt;AP$5+GanttPeriod),"◆",IF(AND($E24&gt;=AP$5,$E24&lt;AP$5+GanttPeriod),"◇","")),IF(AND(AP$5&lt;=$F24,AP$5+GanttPeriod-1&gt;=$E24),"━","")))</f>
        <v/>
      </c>
      <c r="AQ24" s="69" t="str">
        <f aca="false">IF($E24="","",IF($M24,IF(AND($G24&gt;=AQ$5,$G24&lt;AQ$5+GanttPeriod),"◆",IF(AND($E24&gt;=AQ$5,$E24&lt;AQ$5+GanttPeriod),"◇","")),IF(AND(AQ$5&lt;=$F24,AQ$5+GanttPeriod-1&gt;=$E24),"━","")))</f>
        <v/>
      </c>
      <c r="AR24" s="69" t="str">
        <f aca="false">IF($E24="","",IF($M24,IF(AND($G24&gt;=AR$5,$G24&lt;AR$5+GanttPeriod),"◆",IF(AND($E24&gt;=AR$5,$E24&lt;AR$5+GanttPeriod),"◇","")),IF(AND(AR$5&lt;=$F24,AR$5+GanttPeriod-1&gt;=$E24),"━","")))</f>
        <v/>
      </c>
      <c r="AS24" s="69" t="str">
        <f aca="false">IF($E24="","",IF($M24,IF(AND($G24&gt;=AS$5,$G24&lt;AS$5+GanttPeriod),"◆",IF(AND($E24&gt;=AS$5,$E24&lt;AS$5+GanttPeriod),"◇","")),IF(AND(AS$5&lt;=$F24,AS$5+GanttPeriod-1&gt;=$E24),"━","")))</f>
        <v/>
      </c>
      <c r="AT24" s="69" t="str">
        <f aca="false">IF($E24="","",IF($M24,IF(AND($G24&gt;=AT$5,$G24&lt;AT$5+GanttPeriod),"◆",IF(AND($E24&gt;=AT$5,$E24&lt;AT$5+GanttPeriod),"◇","")),IF(AND(AT$5&lt;=$F24,AT$5+GanttPeriod-1&gt;=$E24),"━","")))</f>
        <v/>
      </c>
      <c r="AU24" s="69" t="str">
        <f aca="false">IF($E24="","",IF($M24,IF(AND($G24&gt;=AU$5,$G24&lt;AU$5+GanttPeriod),"◆",IF(AND($E24&gt;=AU$5,$E24&lt;AU$5+GanttPeriod),"◇","")),IF(AND(AU$5&lt;=$F24,AU$5+GanttPeriod-1&gt;=$E24),"━","")))</f>
        <v/>
      </c>
      <c r="AV24" s="69" t="str">
        <f aca="false">IF($E24="","",IF($M24,IF(AND($G24&gt;=AV$5,$G24&lt;AV$5+GanttPeriod),"◆",IF(AND($E24&gt;=AV$5,$E24&lt;AV$5+GanttPeriod),"◇","")),IF(AND(AV$5&lt;=$F24,AV$5+GanttPeriod-1&gt;=$E24),"━","")))</f>
        <v/>
      </c>
      <c r="AW24" s="69" t="str">
        <f aca="false">IF($E24="","",IF($M24,IF(AND($G24&gt;=AW$5,$G24&lt;AW$5+GanttPeriod),"◆",IF(AND($E24&gt;=AW$5,$E24&lt;AW$5+GanttPeriod),"◇","")),IF(AND(AW$5&lt;=$F24,AW$5+GanttPeriod-1&gt;=$E24),"━","")))</f>
        <v/>
      </c>
      <c r="AX24" s="69" t="str">
        <f aca="false">IF($E24="","",IF($M24,IF(AND($G24&gt;=AX$5,$G24&lt;AX$5+GanttPeriod),"◆",IF(AND($E24&gt;=AX$5,$E24&lt;AX$5+GanttPeriod),"◇","")),IF(AND(AX$5&lt;=$F24,AX$5+GanttPeriod-1&gt;=$E24),"━","")))</f>
        <v/>
      </c>
      <c r="AY24" s="69" t="str">
        <f aca="false">IF($E24="","",IF($M24,IF(AND($G24&gt;=AY$5,$G24&lt;AY$5+GanttPeriod),"◆",IF(AND($E24&gt;=AY$5,$E24&lt;AY$5+GanttPeriod),"◇","")),IF(AND(AY$5&lt;=$F24,AY$5+GanttPeriod-1&gt;=$E24),"━","")))</f>
        <v/>
      </c>
      <c r="AZ24" s="69" t="str">
        <f aca="false">IF($E24="","",IF($M24,IF(AND($G24&gt;=AZ$5,$G24&lt;AZ$5+GanttPeriod),"◆",IF(AND($E24&gt;=AZ$5,$E24&lt;AZ$5+GanttPeriod),"◇","")),IF(AND(AZ$5&lt;=$F24,AZ$5+GanttPeriod-1&gt;=$E24),"━","")))</f>
        <v/>
      </c>
      <c r="BA24" s="69" t="str">
        <f aca="false">IF($E24="","",IF($M24,IF(AND($G24&gt;=BA$5,$G24&lt;BA$5+GanttPeriod),"◆",IF(AND($E24&gt;=BA$5,$E24&lt;BA$5+GanttPeriod),"◇","")),IF(AND(BA$5&lt;=$F24,BA$5+GanttPeriod-1&gt;=$E24),"━","")))</f>
        <v/>
      </c>
      <c r="BB24" s="69" t="str">
        <f aca="false">IF($E24="","",IF($M24,IF(AND($G24&gt;=BB$5,$G24&lt;BB$5+GanttPeriod),"◆",IF(AND($E24&gt;=BB$5,$E24&lt;BB$5+GanttPeriod),"◇","")),IF(AND(BB$5&lt;=$F24,BB$5+GanttPeriod-1&gt;=$E24),"━","")))</f>
        <v/>
      </c>
      <c r="BC24" s="69" t="str">
        <f aca="false">IF($E24="","",IF($M24,IF(AND($G24&gt;=BC$5,$G24&lt;BC$5+GanttPeriod),"◆",IF(AND($E24&gt;=BC$5,$E24&lt;BC$5+GanttPeriod),"◇","")),IF(AND(BC$5&lt;=$F24,BC$5+GanttPeriod-1&gt;=$E24),"━","")))</f>
        <v/>
      </c>
      <c r="BD24" s="69" t="str">
        <f aca="false">IF($E24="","",IF($M24,IF(AND($G24&gt;=BD$5,$G24&lt;BD$5+GanttPeriod),"◆",IF(AND($E24&gt;=BD$5,$E24&lt;BD$5+GanttPeriod),"◇","")),IF(AND(BD$5&lt;=$F24,BD$5+GanttPeriod-1&gt;=$E24),"━","")))</f>
        <v/>
      </c>
      <c r="BE24" s="69" t="str">
        <f aca="false">IF($E24="","",IF($M24,IF(AND($G24&gt;=BE$5,$G24&lt;BE$5+GanttPeriod),"◆",IF(AND($E24&gt;=BE$5,$E24&lt;BE$5+GanttPeriod),"◇","")),IF(AND(BE$5&lt;=$F24,BE$5+GanttPeriod-1&gt;=$E24),"━","")))</f>
        <v/>
      </c>
      <c r="BF24" s="69" t="str">
        <f aca="false">IF($E24="","",IF($M24,IF(AND($G24&gt;=BF$5,$G24&lt;BF$5+GanttPeriod),"◆",IF(AND($E24&gt;=BF$5,$E24&lt;BF$5+GanttPeriod),"◇","")),IF(AND(BF$5&lt;=$F24,BF$5+GanttPeriod-1&gt;=$E24),"━","")))</f>
        <v/>
      </c>
      <c r="BG24" s="69" t="str">
        <f aca="false">IF($E24="","",IF($M24,IF(AND($G24&gt;=BG$5,$G24&lt;BG$5+GanttPeriod),"◆",IF(AND($E24&gt;=BG$5,$E24&lt;BG$5+GanttPeriod),"◇","")),IF(AND(BG$5&lt;=$F24,BG$5+GanttPeriod-1&gt;=$E24),"━","")))</f>
        <v/>
      </c>
      <c r="BH24" s="69" t="str">
        <f aca="false">IF($E24="","",IF($M24,IF(AND($G24&gt;=BH$5,$G24&lt;BH$5+GanttPeriod),"◆",IF(AND($E24&gt;=BH$5,$E24&lt;BH$5+GanttPeriod),"◇","")),IF(AND(BH$5&lt;=$F24,BH$5+GanttPeriod-1&gt;=$E24),"━","")))</f>
        <v/>
      </c>
      <c r="BI24" s="69" t="str">
        <f aca="false">IF($E24="","",IF($M24,IF(AND($G24&gt;=BI$5,$G24&lt;BI$5+GanttPeriod),"◆",IF(AND($E24&gt;=BI$5,$E24&lt;BI$5+GanttPeriod),"◇","")),IF(AND(BI$5&lt;=$F24,BI$5+GanttPeriod-1&gt;=$E24),"━","")))</f>
        <v/>
      </c>
      <c r="BJ24" s="69" t="str">
        <f aca="false">IF($E24="","",IF($M24,IF(AND($G24&gt;=BJ$5,$G24&lt;BJ$5+GanttPeriod),"◆",IF(AND($E24&gt;=BJ$5,$E24&lt;BJ$5+GanttPeriod),"◇","")),IF(AND(BJ$5&lt;=$F24,BJ$5+GanttPeriod-1&gt;=$E24),"━","")))</f>
        <v/>
      </c>
      <c r="BK24" s="69" t="str">
        <f aca="false">IF($E24="","",IF($M24,IF(AND($G24&gt;=BK$5,$G24&lt;BK$5+GanttPeriod),"◆",IF(AND($E24&gt;=BK$5,$E24&lt;BK$5+GanttPeriod),"◇","")),IF(AND(BK$5&lt;=$F24,BK$5+GanttPeriod-1&gt;=$E24),"━","")))</f>
        <v/>
      </c>
      <c r="BL24" s="69" t="str">
        <f aca="false">IF($E24="","",IF($M24,IF(AND($G24&gt;=BL$5,$G24&lt;BL$5+GanttPeriod),"◆",IF(AND($E24&gt;=BL$5,$E24&lt;BL$5+GanttPeriod),"◇","")),IF(AND(BL$5&lt;=$F24,BL$5+GanttPeriod-1&gt;=$E24),"━","")))</f>
        <v/>
      </c>
      <c r="BM24" s="69" t="str">
        <f aca="false">IF($E24="","",IF($M24,IF(AND($G24&gt;=BM$5,$G24&lt;BM$5+GanttPeriod),"◆",IF(AND($E24&gt;=BM$5,$E24&lt;BM$5+GanttPeriod),"◇","")),IF(AND(BM$5&lt;=$F24,BM$5+GanttPeriod-1&gt;=$E24),"━","")))</f>
        <v/>
      </c>
      <c r="BN24" s="69" t="str">
        <f aca="false">IF($E24="","",IF($M24,IF(AND($G24&gt;=BN$5,$G24&lt;BN$5+GanttPeriod),"◆",IF(AND($E24&gt;=BN$5,$E24&lt;BN$5+GanttPeriod),"◇","")),IF(AND(BN$5&lt;=$F24,BN$5+GanttPeriod-1&gt;=$E24),"━","")))</f>
        <v/>
      </c>
      <c r="BO24" s="69" t="str">
        <f aca="false">IF($E24="","",IF($M24,IF(AND($G24&gt;=BO$5,$G24&lt;BO$5+GanttPeriod),"◆",IF(AND($E24&gt;=BO$5,$E24&lt;BO$5+GanttPeriod),"◇","")),IF(AND(BO$5&lt;=$F24,BO$5+GanttPeriod-1&gt;=$E24),"━","")))</f>
        <v/>
      </c>
      <c r="BP24" s="69" t="str">
        <f aca="false">IF($E24="","",IF($M24,IF(AND($G24&gt;=BP$5,$G24&lt;BP$5+GanttPeriod),"◆",IF(AND($E24&gt;=BP$5,$E24&lt;BP$5+GanttPeriod),"◇","")),IF(AND(BP$5&lt;=$F24,BP$5+GanttPeriod-1&gt;=$E24),"━","")))</f>
        <v/>
      </c>
      <c r="BQ24" s="69" t="str">
        <f aca="false">IF($E24="","",IF($M24,IF(AND($G24&gt;=BQ$5,$G24&lt;BQ$5+GanttPeriod),"◆",IF(AND($E24&gt;=BQ$5,$E24&lt;BQ$5+GanttPeriod),"◇","")),IF(AND(BQ$5&lt;=$F24,BQ$5+GanttPeriod-1&gt;=$E24),"━","")))</f>
        <v/>
      </c>
      <c r="BR24" s="69" t="str">
        <f aca="false">IF($E24="","",IF($M24,IF(AND($G24&gt;=BR$5,$G24&lt;BR$5+GanttPeriod),"◆",IF(AND($E24&gt;=BR$5,$E24&lt;BR$5+GanttPeriod),"◇","")),IF(AND(BR$5&lt;=$F24,BR$5+GanttPeriod-1&gt;=$E24),"━","")))</f>
        <v/>
      </c>
      <c r="BS24" s="69" t="str">
        <f aca="false">IF($E24="","",IF($M24,IF(AND($G24&gt;=BS$5,$G24&lt;BS$5+GanttPeriod),"◆",IF(AND($E24&gt;=BS$5,$E24&lt;BS$5+GanttPeriod),"◇","")),IF(AND(BS$5&lt;=$F24,BS$5+GanttPeriod-1&gt;=$E24),"━","")))</f>
        <v/>
      </c>
      <c r="BT24" s="69" t="str">
        <f aca="false">IF($E24="","",IF($M24,IF(AND($G24&gt;=BT$5,$G24&lt;BT$5+GanttPeriod),"◆",IF(AND($E24&gt;=BT$5,$E24&lt;BT$5+GanttPeriod),"◇","")),IF(AND(BT$5&lt;=$F24,BT$5+GanttPeriod-1&gt;=$E24),"━","")))</f>
        <v/>
      </c>
      <c r="BU24" s="69" t="str">
        <f aca="false">IF($E24="","",IF($M24,IF(AND($G24&gt;=BU$5,$G24&lt;BU$5+GanttPeriod),"◆",IF(AND($E24&gt;=BU$5,$E24&lt;BU$5+GanttPeriod),"◇","")),IF(AND(BU$5&lt;=$F24,BU$5+GanttPeriod-1&gt;=$E24),"━","")))</f>
        <v>◇</v>
      </c>
      <c r="BV24" s="69" t="str">
        <f aca="false">IF($E24="","",IF($M24,IF(AND($G24&gt;=BV$5,$G24&lt;BV$5+GanttPeriod),"◆",IF(AND($E24&gt;=BV$5,$E24&lt;BV$5+GanttPeriod),"◇","")),IF(AND(BV$5&lt;=$F24,BV$5+GanttPeriod-1&gt;=$E24),"━","")))</f>
        <v/>
      </c>
      <c r="BW24" s="69" t="str">
        <f aca="false">IF($E24="","",IF($M24,IF(AND($G24&gt;=BW$5,$G24&lt;BW$5+GanttPeriod),"◆",IF(AND($E24&gt;=BW$5,$E24&lt;BW$5+GanttPeriod),"◇","")),IF(AND(BW$5&lt;=$F24,BW$5+GanttPeriod-1&gt;=$E24),"━","")))</f>
        <v/>
      </c>
      <c r="BX24" s="69" t="str">
        <f aca="false">IF($E24="","",IF($M24,IF(AND($G24&gt;=BX$5,$G24&lt;BX$5+GanttPeriod),"◆",IF(AND($E24&gt;=BX$5,$E24&lt;BX$5+GanttPeriod),"◇","")),IF(AND(BX$5&lt;=$F24,BX$5+GanttPeriod-1&gt;=$E24),"━","")))</f>
        <v/>
      </c>
      <c r="BY24" s="69" t="str">
        <f aca="false">IF($E24="","",IF($M24,IF(AND($G24&gt;=BY$5,$G24&lt;BY$5+GanttPeriod),"◆",IF(AND($E24&gt;=BY$5,$E24&lt;BY$5+GanttPeriod),"◇","")),IF(AND(BY$5&lt;=$F24,BY$5+GanttPeriod-1&gt;=$E24),"━","")))</f>
        <v/>
      </c>
      <c r="BZ24" s="69" t="str">
        <f aca="false">IF($E24="","",IF($M24,IF(AND($G24&gt;=BZ$5,$G24&lt;BZ$5+GanttPeriod),"◆",IF(AND($E24&gt;=BZ$5,$E24&lt;BZ$5+GanttPeriod),"◇","")),IF(AND(BZ$5&lt;=$F24,BZ$5+GanttPeriod-1&gt;=$E24),"━","")))</f>
        <v/>
      </c>
      <c r="CA24" s="69" t="str">
        <f aca="false">IF($E24="","",IF($M24,IF(AND($G24&gt;=CA$5,$G24&lt;CA$5+GanttPeriod),"◆",IF(AND($E24&gt;=CA$5,$E24&lt;CA$5+GanttPeriod),"◇","")),IF(AND(CA$5&lt;=$F24,CA$5+GanttPeriod-1&gt;=$E24),"━","")))</f>
        <v/>
      </c>
      <c r="CB24" s="69" t="str">
        <f aca="false">IF($E24="","",IF($M24,IF(AND($G24&gt;=CB$5,$G24&lt;CB$5+GanttPeriod),"◆",IF(AND($E24&gt;=CB$5,$E24&lt;CB$5+GanttPeriod),"◇","")),IF(AND(CB$5&lt;=$F24,CB$5+GanttPeriod-1&gt;=$E24),"━","")))</f>
        <v/>
      </c>
      <c r="CC24" s="69" t="str">
        <f aca="false">IF($E24="","",IF($M24,IF(AND($G24&gt;=CC$5,$G24&lt;CC$5+GanttPeriod),"◆",IF(AND($E24&gt;=CC$5,$E24&lt;CC$5+GanttPeriod),"◇","")),IF(AND(CC$5&lt;=$F24,CC$5+GanttPeriod-1&gt;=$E24),"━","")))</f>
        <v/>
      </c>
      <c r="CD24" s="69" t="str">
        <f aca="false">IF($E24="","",IF($M24,IF(AND($G24&gt;=CD$5,$G24&lt;CD$5+GanttPeriod),"◆",IF(AND($E24&gt;=CD$5,$E24&lt;CD$5+GanttPeriod),"◇","")),IF(AND(CD$5&lt;=$F24,CD$5+GanttPeriod-1&gt;=$E24),"━","")))</f>
        <v/>
      </c>
      <c r="CE24" s="69" t="str">
        <f aca="false">IF($E24="","",IF($M24,IF(AND($G24&gt;=CE$5,$G24&lt;CE$5+GanttPeriod),"◆",IF(AND($E24&gt;=CE$5,$E24&lt;CE$5+GanttPeriod),"◇","")),IF(AND(CE$5&lt;=$F24,CE$5+GanttPeriod-1&gt;=$E24),"━","")))</f>
        <v>◆</v>
      </c>
      <c r="CF24" s="69" t="str">
        <f aca="false">IF($E24="","",IF($M24,IF(AND($G24&gt;=CF$5,$G24&lt;CF$5+GanttPeriod),"◆",IF(AND($E24&gt;=CF$5,$E24&lt;CF$5+GanttPeriod),"◇","")),IF(AND(CF$5&lt;=$F24,CF$5+GanttPeriod-1&gt;=$E24),"━","")))</f>
        <v/>
      </c>
      <c r="CG24" s="69" t="str">
        <f aca="false">IF($E24="","",IF($M24,IF(AND($G24&gt;=CG$5,$G24&lt;CG$5+GanttPeriod),"◆",IF(AND($E24&gt;=CG$5,$E24&lt;CG$5+GanttPeriod),"◇","")),IF(AND(CG$5&lt;=$F24,CG$5+GanttPeriod-1&gt;=$E24),"━","")))</f>
        <v/>
      </c>
      <c r="CH24" s="69" t="str">
        <f aca="false">IF($E24="","",IF($M24,IF(AND($G24&gt;=CH$5,$G24&lt;CH$5+GanttPeriod),"◆",IF(AND($E24&gt;=CH$5,$E24&lt;CH$5+GanttPeriod),"◇","")),IF(AND(CH$5&lt;=$F24,CH$5+GanttPeriod-1&gt;=$E24),"━","")))</f>
        <v/>
      </c>
      <c r="CI24" s="69" t="str">
        <f aca="false">IF($E24="","",IF($M24,IF(AND($G24&gt;=CI$5,$G24&lt;CI$5+GanttPeriod),"◆",IF(AND($E24&gt;=CI$5,$E24&lt;CI$5+GanttPeriod),"◇","")),IF(AND(CI$5&lt;=$F24,CI$5+GanttPeriod-1&gt;=$E24),"━","")))</f>
        <v/>
      </c>
      <c r="CJ24" s="69" t="str">
        <f aca="false">IF($E24="","",IF($M24,IF(AND($G24&gt;=CJ$5,$G24&lt;CJ$5+GanttPeriod),"◆",IF(AND($E24&gt;=CJ$5,$E24&lt;CJ$5+GanttPeriod),"◇","")),IF(AND(CJ$5&lt;=$F24,CJ$5+GanttPeriod-1&gt;=$E24),"━","")))</f>
        <v/>
      </c>
      <c r="CK24" s="69" t="str">
        <f aca="false">IF($E24="","",IF($M24,IF(AND($G24&gt;=CK$5,$G24&lt;CK$5+GanttPeriod),"◆",IF(AND($E24&gt;=CK$5,$E24&lt;CK$5+GanttPeriod),"◇","")),IF(AND(CK$5&lt;=$F24,CK$5+GanttPeriod-1&gt;=$E24),"━","")))</f>
        <v/>
      </c>
      <c r="CL24" s="69" t="str">
        <f aca="false">IF($E24="","",IF($M24,IF(AND($G24&gt;=CL$5,$G24&lt;CL$5+GanttPeriod),"◆",IF(AND($E24&gt;=CL$5,$E24&lt;CL$5+GanttPeriod),"◇","")),IF(AND(CL$5&lt;=$F24,CL$5+GanttPeriod-1&gt;=$E24),"━","")))</f>
        <v/>
      </c>
      <c r="CM24" s="69" t="str">
        <f aca="false">IF($E24="","",IF($M24,IF(AND($G24&gt;=CM$5,$G24&lt;CM$5+GanttPeriod),"◆",IF(AND($E24&gt;=CM$5,$E24&lt;CM$5+GanttPeriod),"◇","")),IF(AND(CM$5&lt;=$F24,CM$5+GanttPeriod-1&gt;=$E24),"━","")))</f>
        <v/>
      </c>
      <c r="CN24" s="69" t="str">
        <f aca="false">IF($E24="","",IF($M24,IF(AND($G24&gt;=CN$5,$G24&lt;CN$5+GanttPeriod),"◆",IF(AND($E24&gt;=CN$5,$E24&lt;CN$5+GanttPeriod),"◇","")),IF(AND(CN$5&lt;=$F24,CN$5+GanttPeriod-1&gt;=$E24),"━","")))</f>
        <v/>
      </c>
      <c r="CO24" s="69" t="str">
        <f aca="false">IF($E24="","",IF($M24,IF(AND($G24&gt;=CO$5,$G24&lt;CO$5+GanttPeriod),"◆",IF(AND($E24&gt;=CO$5,$E24&lt;CO$5+GanttPeriod),"◇","")),IF(AND(CO$5&lt;=$F24,CO$5+GanttPeriod-1&gt;=$E24),"━","")))</f>
        <v/>
      </c>
      <c r="CP24" s="69" t="str">
        <f aca="false">IF($E24="","",IF($M24,IF(AND($G24&gt;=CP$5,$G24&lt;CP$5+GanttPeriod),"◆",IF(AND($E24&gt;=CP$5,$E24&lt;CP$5+GanttPeriod),"◇","")),IF(AND(CP$5&lt;=$F24,CP$5+GanttPeriod-1&gt;=$E24),"━","")))</f>
        <v/>
      </c>
      <c r="CQ24" s="69" t="str">
        <f aca="false">IF($E24="","",IF($M24,IF(AND($G24&gt;=CQ$5,$G24&lt;CQ$5+GanttPeriod),"◆",IF(AND($E24&gt;=CQ$5,$E24&lt;CQ$5+GanttPeriod),"◇","")),IF(AND(CQ$5&lt;=$F24,CQ$5+GanttPeriod-1&gt;=$E24),"━","")))</f>
        <v/>
      </c>
      <c r="CR24" s="69" t="str">
        <f aca="false">IF($E24="","",IF($M24,IF(AND($G24&gt;=CR$5,$G24&lt;CR$5+GanttPeriod),"◆",IF(AND($E24&gt;=CR$5,$E24&lt;CR$5+GanttPeriod),"◇","")),IF(AND(CR$5&lt;=$F24,CR$5+GanttPeriod-1&gt;=$E24),"━","")))</f>
        <v/>
      </c>
      <c r="CS24" s="69" t="str">
        <f aca="false">IF($E24="","",IF($M24,IF(AND($G24&gt;=CS$5,$G24&lt;CS$5+GanttPeriod),"◆",IF(AND($E24&gt;=CS$5,$E24&lt;CS$5+GanttPeriod),"◇","")),IF(AND(CS$5&lt;=$F24,CS$5+GanttPeriod-1&gt;=$E24),"━","")))</f>
        <v/>
      </c>
      <c r="CT24" s="69" t="str">
        <f aca="false">IF($E24="","",IF($M24,IF(AND($G24&gt;=CT$5,$G24&lt;CT$5+GanttPeriod),"◆",IF(AND($E24&gt;=CT$5,$E24&lt;CT$5+GanttPeriod),"◇","")),IF(AND(CT$5&lt;=$F24,CT$5+GanttPeriod-1&gt;=$E24),"━","")))</f>
        <v/>
      </c>
      <c r="CU24" s="69" t="str">
        <f aca="false">IF($E24="","",IF($M24,IF(AND($G24&gt;=CU$5,$G24&lt;CU$5+GanttPeriod),"◆",IF(AND($E24&gt;=CU$5,$E24&lt;CU$5+GanttPeriod),"◇","")),IF(AND(CU$5&lt;=$F24,CU$5+GanttPeriod-1&gt;=$E24),"━","")))</f>
        <v/>
      </c>
      <c r="CV24" s="69" t="str">
        <f aca="false">IF($E24="","",IF($M24,IF(AND($G24&gt;=CV$5,$G24&lt;CV$5+GanttPeriod),"◆",IF(AND($E24&gt;=CV$5,$E24&lt;CV$5+GanttPeriod),"◇","")),IF(AND(CV$5&lt;=$F24,CV$5+GanttPeriod-1&gt;=$E24),"━","")))</f>
        <v/>
      </c>
      <c r="CW24" s="69" t="str">
        <f aca="false">IF($E24="","",IF($M24,IF(AND($G24&gt;=CW$5,$G24&lt;CW$5+GanttPeriod),"◆",IF(AND($E24&gt;=CW$5,$E24&lt;CW$5+GanttPeriod),"◇","")),IF(AND(CW$5&lt;=$F24,CW$5+GanttPeriod-1&gt;=$E24),"━","")))</f>
        <v/>
      </c>
      <c r="CX24" s="69" t="str">
        <f aca="false">IF($E24="","",IF($M24,IF(AND($G24&gt;=CX$5,$G24&lt;CX$5+GanttPeriod),"◆",IF(AND($E24&gt;=CX$5,$E24&lt;CX$5+GanttPeriod),"◇","")),IF(AND(CX$5&lt;=$F24,CX$5+GanttPeriod-1&gt;=$E24),"━","")))</f>
        <v/>
      </c>
      <c r="CY24" s="69" t="str">
        <f aca="false">IF($E24="","",IF($M24,IF(AND($G24&gt;=CY$5,$G24&lt;CY$5+GanttPeriod),"◆",IF(AND($E24&gt;=CY$5,$E24&lt;CY$5+GanttPeriod),"◇","")),IF(AND(CY$5&lt;=$F24,CY$5+GanttPeriod-1&gt;=$E24),"━","")))</f>
        <v/>
      </c>
      <c r="CZ24" s="69" t="str">
        <f aca="false">IF($E24="","",IF($M24,IF(AND($G24&gt;=CZ$5,$G24&lt;CZ$5+GanttPeriod),"◆",IF(AND($E24&gt;=CZ$5,$E24&lt;CZ$5+GanttPeriod),"◇","")),IF(AND(CZ$5&lt;=$F24,CZ$5+GanttPeriod-1&gt;=$E24),"━","")))</f>
        <v/>
      </c>
      <c r="DA24" s="69" t="str">
        <f aca="false">IF($E24="","",IF($M24,IF(AND($G24&gt;=DA$5,$G24&lt;DA$5+GanttPeriod),"◆",IF(AND($E24&gt;=DA$5,$E24&lt;DA$5+GanttPeriod),"◇","")),IF(AND(DA$5&lt;=$F24,DA$5+GanttPeriod-1&gt;=$E24),"━","")))</f>
        <v/>
      </c>
      <c r="DB24" s="69" t="str">
        <f aca="false">IF($E24="","",IF($M24,IF(AND($G24&gt;=DB$5,$G24&lt;DB$5+GanttPeriod),"◆",IF(AND($E24&gt;=DB$5,$E24&lt;DB$5+GanttPeriod),"◇","")),IF(AND(DB$5&lt;=$F24,DB$5+GanttPeriod-1&gt;=$E24),"━","")))</f>
        <v/>
      </c>
      <c r="DC24" s="69" t="str">
        <f aca="false">IF($E24="","",IF($M24,IF(AND($G24&gt;=DC$5,$G24&lt;DC$5+GanttPeriod),"◆",IF(AND($E24&gt;=DC$5,$E24&lt;DC$5+GanttPeriod),"◇","")),IF(AND(DC$5&lt;=$F24,DC$5+GanttPeriod-1&gt;=$E24),"━","")))</f>
        <v/>
      </c>
      <c r="DD24" s="69" t="str">
        <f aca="false">IF($E24="","",IF($M24,IF(AND($G24&gt;=DD$5,$G24&lt;DD$5+GanttPeriod),"◆",IF(AND($E24&gt;=DD$5,$E24&lt;DD$5+GanttPeriod),"◇","")),IF(AND(DD$5&lt;=$F24,DD$5+GanttPeriod-1&gt;=$E24),"━","")))</f>
        <v/>
      </c>
      <c r="DE24" s="69" t="str">
        <f aca="false">IF($E24="","",IF($M24,IF(AND($G24&gt;=DE$5,$G24&lt;DE$5+GanttPeriod),"◆",IF(AND($E24&gt;=DE$5,$E24&lt;DE$5+GanttPeriod),"◇","")),IF(AND(DE$5&lt;=$F24,DE$5+GanttPeriod-1&gt;=$E24),"━","")))</f>
        <v/>
      </c>
      <c r="DF24" s="69" t="str">
        <f aca="false">IF($E24="","",IF($M24,IF(AND($G24&gt;=DF$5,$G24&lt;DF$5+GanttPeriod),"◆",IF(AND($E24&gt;=DF$5,$E24&lt;DF$5+GanttPeriod),"◇","")),IF(AND(DF$5&lt;=$F24,DF$5+GanttPeriod-1&gt;=$E24),"━","")))</f>
        <v/>
      </c>
      <c r="DG24" s="69" t="str">
        <f aca="false">IF($E24="","",IF($M24,IF(AND($G24&gt;=DG$5,$G24&lt;DG$5+GanttPeriod),"◆",IF(AND($E24&gt;=DG$5,$E24&lt;DG$5+GanttPeriod),"◇","")),IF(AND(DG$5&lt;=$F24,DG$5+GanttPeriod-1&gt;=$E24),"━","")))</f>
        <v/>
      </c>
      <c r="DH24" s="69" t="str">
        <f aca="false">IF($E24="","",IF($M24,IF(AND($G24&gt;=DH$5,$G24&lt;DH$5+GanttPeriod),"◆",IF(AND($E24&gt;=DH$5,$E24&lt;DH$5+GanttPeriod),"◇","")),IF(AND(DH$5&lt;=$F24,DH$5+GanttPeriod-1&gt;=$E24),"━","")))</f>
        <v/>
      </c>
      <c r="DI24" s="69" t="str">
        <f aca="false">IF($E24="","",IF($M24,IF(AND($G24&gt;=DI$5,$G24&lt;DI$5+GanttPeriod),"◆",IF(AND($E24&gt;=DI$5,$E24&lt;DI$5+GanttPeriod),"◇","")),IF(AND(DI$5&lt;=$F24,DI$5+GanttPeriod-1&gt;=$E24),"━","")))</f>
        <v/>
      </c>
      <c r="DJ24" s="69" t="str">
        <f aca="false">IF($E24="","",IF($M24,IF(AND($G24&gt;=DJ$5,$G24&lt;DJ$5+GanttPeriod),"◆",IF(AND($E24&gt;=DJ$5,$E24&lt;DJ$5+GanttPeriod),"◇","")),IF(AND(DJ$5&lt;=$F24,DJ$5+GanttPeriod-1&gt;=$E24),"━","")))</f>
        <v/>
      </c>
      <c r="DK24" s="69" t="str">
        <f aca="false">IF($E24="","",IF($M24,IF(AND($G24&gt;=DK$5,$G24&lt;DK$5+GanttPeriod),"◆",IF(AND($E24&gt;=DK$5,$E24&lt;DK$5+GanttPeriod),"◇","")),IF(AND(DK$5&lt;=$F24,DK$5+GanttPeriod-1&gt;=$E24),"━","")))</f>
        <v/>
      </c>
      <c r="DL24" s="69" t="str">
        <f aca="false">IF($E24="","",IF($M24,IF(AND($G24&gt;=DL$5,$G24&lt;DL$5+GanttPeriod),"◆",IF(AND($E24&gt;=DL$5,$E24&lt;DL$5+GanttPeriod),"◇","")),IF(AND(DL$5&lt;=$F24,DL$5+GanttPeriod-1&gt;=$E24),"━","")))</f>
        <v/>
      </c>
      <c r="DM24" s="69" t="str">
        <f aca="false">IF($E24="","",IF($M24,IF(AND($G24&gt;=DM$5,$G24&lt;DM$5+GanttPeriod),"◆",IF(AND($E24&gt;=DM$5,$E24&lt;DM$5+GanttPeriod),"◇","")),IF(AND(DM$5&lt;=$F24,DM$5+GanttPeriod-1&gt;=$E24),"━","")))</f>
        <v/>
      </c>
      <c r="DN24" s="69" t="str">
        <f aca="false">IF($E24="","",IF($M24,IF(AND($G24&gt;=DN$5,$G24&lt;DN$5+GanttPeriod),"◆",IF(AND($E24&gt;=DN$5,$E24&lt;DN$5+GanttPeriod),"◇","")),IF(AND(DN$5&lt;=$F24,DN$5+GanttPeriod-1&gt;=$E24),"━","")))</f>
        <v/>
      </c>
      <c r="DO24" s="69" t="str">
        <f aca="false">IF($E24="","",IF($M24,IF(AND($G24&gt;=DO$5,$G24&lt;DO$5+GanttPeriod),"◆",IF(AND($E24&gt;=DO$5,$E24&lt;DO$5+GanttPeriod),"◇","")),IF(AND(DO$5&lt;=$F24,DO$5+GanttPeriod-1&gt;=$E24),"━","")))</f>
        <v/>
      </c>
      <c r="DP24" s="69" t="str">
        <f aca="false">IF($E24="","",IF($M24,IF(AND($G24&gt;=DP$5,$G24&lt;DP$5+GanttPeriod),"◆",IF(AND($E24&gt;=DP$5,$E24&lt;DP$5+GanttPeriod),"◇","")),IF(AND(DP$5&lt;=$F24,DP$5+GanttPeriod-1&gt;=$E24),"━","")))</f>
        <v/>
      </c>
      <c r="DQ24" s="69" t="str">
        <f aca="false">IF($E24="","",IF($M24,IF(AND($G24&gt;=DQ$5,$G24&lt;DQ$5+GanttPeriod),"◆",IF(AND($E24&gt;=DQ$5,$E24&lt;DQ$5+GanttPeriod),"◇","")),IF(AND(DQ$5&lt;=$F24,DQ$5+GanttPeriod-1&gt;=$E24),"━","")))</f>
        <v/>
      </c>
      <c r="DR24" s="69" t="str">
        <f aca="false">IF($E24="","",IF($M24,IF(AND($G24&gt;=DR$5,$G24&lt;DR$5+GanttPeriod),"◆",IF(AND($E24&gt;=DR$5,$E24&lt;DR$5+GanttPeriod),"◇","")),IF(AND(DR$5&lt;=$F24,DR$5+GanttPeriod-1&gt;=$E24),"━","")))</f>
        <v/>
      </c>
      <c r="DS24" s="69" t="str">
        <f aca="false">IF($E24="","",IF($M24,IF(AND($G24&gt;=DS$5,$G24&lt;DS$5+GanttPeriod),"◆",IF(AND($E24&gt;=DS$5,$E24&lt;DS$5+GanttPeriod),"◇","")),IF(AND(DS$5&lt;=$F24,DS$5+GanttPeriod-1&gt;=$E24),"━","")))</f>
        <v/>
      </c>
      <c r="DT24" s="69" t="str">
        <f aca="false">IF($E24="","",IF($M24,IF(AND($G24&gt;=DT$5,$G24&lt;DT$5+GanttPeriod),"◆",IF(AND($E24&gt;=DT$5,$E24&lt;DT$5+GanttPeriod),"◇","")),IF(AND(DT$5&lt;=$F24,DT$5+GanttPeriod-1&gt;=$E24),"━","")))</f>
        <v/>
      </c>
      <c r="DU24" s="69" t="str">
        <f aca="false">IF($E24="","",IF($M24,IF(AND($G24&gt;=DU$5,$G24&lt;DU$5+GanttPeriod),"◆",IF(AND($E24&gt;=DU$5,$E24&lt;DU$5+GanttPeriod),"◇","")),IF(AND(DU$5&lt;=$F24,DU$5+GanttPeriod-1&gt;=$E24),"━","")))</f>
        <v/>
      </c>
      <c r="DV24" s="69" t="str">
        <f aca="false">IF($E24="","",IF($M24,IF(AND($G24&gt;=DV$5,$G24&lt;DV$5+GanttPeriod),"◆",IF(AND($E24&gt;=DV$5,$E24&lt;DV$5+GanttPeriod),"◇","")),IF(AND(DV$5&lt;=$F24,DV$5+GanttPeriod-1&gt;=$E24),"━","")))</f>
        <v/>
      </c>
      <c r="DW24" s="69" t="str">
        <f aca="false">IF($E24="","",IF($M24,IF(AND($G24&gt;=DW$5,$G24&lt;DW$5+GanttPeriod),"◆",IF(AND($E24&gt;=DW$5,$E24&lt;DW$5+GanttPeriod),"◇","")),IF(AND(DW$5&lt;=$F24,DW$5+GanttPeriod-1&gt;=$E24),"━","")))</f>
        <v/>
      </c>
      <c r="DX24" s="69" t="str">
        <f aca="false">IF($E24="","",IF($M24,IF(AND($G24&gt;=DX$5,$G24&lt;DX$5+GanttPeriod),"◆",IF(AND($E24&gt;=DX$5,$E24&lt;DX$5+GanttPeriod),"◇","")),IF(AND(DX$5&lt;=$F24,DX$5+GanttPeriod-1&gt;=$E24),"━","")))</f>
        <v/>
      </c>
      <c r="DY24" s="69" t="str">
        <f aca="false">IF($E24="","",IF($M24,IF(AND($G24&gt;=DY$5,$G24&lt;DY$5+GanttPeriod),"◆",IF(AND($E24&gt;=DY$5,$E24&lt;DY$5+GanttPeriod),"◇","")),IF(AND(DY$5&lt;=$F24,DY$5+GanttPeriod-1&gt;=$E24),"━","")))</f>
        <v/>
      </c>
      <c r="DZ24" s="69" t="str">
        <f aca="false">IF($E24="","",IF($M24,IF(AND($G24&gt;=DZ$5,$G24&lt;DZ$5+GanttPeriod),"◆",IF(AND($E24&gt;=DZ$5,$E24&lt;DZ$5+GanttPeriod),"◇","")),IF(AND(DZ$5&lt;=$F24,DZ$5+GanttPeriod-1&gt;=$E24),"━","")))</f>
        <v/>
      </c>
      <c r="EA24" s="69" t="str">
        <f aca="false">IF($E24="","",IF($M24,IF(AND($G24&gt;=EA$5,$G24&lt;EA$5+GanttPeriod),"◆",IF(AND($E24&gt;=EA$5,$E24&lt;EA$5+GanttPeriod),"◇","")),IF(AND(EA$5&lt;=$F24,EA$5+GanttPeriod-1&gt;=$E24),"━","")))</f>
        <v/>
      </c>
      <c r="EB24" s="69" t="str">
        <f aca="false">IF($E24="","",IF($M24,IF(AND($G24&gt;=EB$5,$G24&lt;EB$5+GanttPeriod),"◆",IF(AND($E24&gt;=EB$5,$E24&lt;EB$5+GanttPeriod),"◇","")),IF(AND(EB$5&lt;=$F24,EB$5+GanttPeriod-1&gt;=$E24),"━","")))</f>
        <v/>
      </c>
      <c r="EC24" s="69" t="str">
        <f aca="false">IF($E24="","",IF($M24,IF(AND($G24&gt;=EC$5,$G24&lt;EC$5+GanttPeriod),"◆",IF(AND($E24&gt;=EC$5,$E24&lt;EC$5+GanttPeriod),"◇","")),IF(AND(EC$5&lt;=$F24,EC$5+GanttPeriod-1&gt;=$E24),"━","")))</f>
        <v/>
      </c>
      <c r="ED24" s="69" t="str">
        <f aca="false">IF($E24="","",IF($M24,IF(AND($G24&gt;=ED$5,$G24&lt;ED$5+GanttPeriod),"◆",IF(AND($E24&gt;=ED$5,$E24&lt;ED$5+GanttPeriod),"◇","")),IF(AND(ED$5&lt;=$F24,ED$5+GanttPeriod-1&gt;=$E24),"━","")))</f>
        <v/>
      </c>
      <c r="EE24" s="69" t="str">
        <f aca="false">IF($E24="","",IF($M24,IF(AND($G24&gt;=EE$5,$G24&lt;EE$5+GanttPeriod),"◆",IF(AND($E24&gt;=EE$5,$E24&lt;EE$5+GanttPeriod),"◇","")),IF(AND(EE$5&lt;=$F24,EE$5+GanttPeriod-1&gt;=$E24),"━","")))</f>
        <v/>
      </c>
      <c r="EF24" s="69" t="str">
        <f aca="false">IF($E24="","",IF($M24,IF(AND($G24&gt;=EF$5,$G24&lt;EF$5+GanttPeriod),"◆",IF(AND($E24&gt;=EF$5,$E24&lt;EF$5+GanttPeriod),"◇","")),IF(AND(EF$5&lt;=$F24,EF$5+GanttPeriod-1&gt;=$E24),"━","")))</f>
        <v/>
      </c>
      <c r="EG24" s="69" t="str">
        <f aca="false">IF($E24="","",IF($M24,IF(AND($G24&gt;=EG$5,$G24&lt;EG$5+GanttPeriod),"◆",IF(AND($E24&gt;=EG$5,$E24&lt;EG$5+GanttPeriod),"◇","")),IF(AND(EG$5&lt;=$F24,EG$5+GanttPeriod-1&gt;=$E24),"━","")))</f>
        <v/>
      </c>
      <c r="EH24" s="69" t="str">
        <f aca="false">IF($E24="","",IF($M24,IF(AND($G24&gt;=EH$5,$G24&lt;EH$5+GanttPeriod),"◆",IF(AND($E24&gt;=EH$5,$E24&lt;EH$5+GanttPeriod),"◇","")),IF(AND(EH$5&lt;=$F24,EH$5+GanttPeriod-1&gt;=$E24),"━","")))</f>
        <v/>
      </c>
      <c r="EI24" s="69" t="str">
        <f aca="false">IF($E24="","",IF($M24,IF(AND($G24&gt;=EI$5,$G24&lt;EI$5+GanttPeriod),"◆",IF(AND($E24&gt;=EI$5,$E24&lt;EI$5+GanttPeriod),"◇","")),IF(AND(EI$5&lt;=$F24,EI$5+GanttPeriod-1&gt;=$E24),"━","")))</f>
        <v/>
      </c>
      <c r="EJ24" s="69" t="str">
        <f aca="false">IF($E24="","",IF($M24,IF(AND($G24&gt;=EJ$5,$G24&lt;EJ$5+GanttPeriod),"◆",IF(AND($E24&gt;=EJ$5,$E24&lt;EJ$5+GanttPeriod),"◇","")),IF(AND(EJ$5&lt;=$F24,EJ$5+GanttPeriod-1&gt;=$E24),"━","")))</f>
        <v/>
      </c>
      <c r="EK24" s="69" t="str">
        <f aca="false">IF($E24="","",IF($M24,IF(AND($G24&gt;=EK$5,$G24&lt;EK$5+GanttPeriod),"◆",IF(AND($E24&gt;=EK$5,$E24&lt;EK$5+GanttPeriod),"◇","")),IF(AND(EK$5&lt;=$F24,EK$5+GanttPeriod-1&gt;=$E24),"━","")))</f>
        <v/>
      </c>
      <c r="EL24" s="69" t="str">
        <f aca="false">IF($E24="","",IF($M24,IF(AND($G24&gt;=EL$5,$G24&lt;EL$5+GanttPeriod),"◆",IF(AND($E24&gt;=EL$5,$E24&lt;EL$5+GanttPeriod),"◇","")),IF(AND(EL$5&lt;=$F24,EL$5+GanttPeriod-1&gt;=$E24),"━","")))</f>
        <v/>
      </c>
      <c r="EM24" s="69" t="str">
        <f aca="false">IF($E24="","",IF($M24,IF(AND($G24&gt;=EM$5,$G24&lt;EM$5+GanttPeriod),"◆",IF(AND($E24&gt;=EM$5,$E24&lt;EM$5+GanttPeriod),"◇","")),IF(AND(EM$5&lt;=$F24,EM$5+GanttPeriod-1&gt;=$E24),"━","")))</f>
        <v/>
      </c>
      <c r="EN24" s="69" t="str">
        <f aca="false">IF($E24="","",IF($M24,IF(AND($G24&gt;=EN$5,$G24&lt;EN$5+GanttPeriod),"◆",IF(AND($E24&gt;=EN$5,$E24&lt;EN$5+GanttPeriod),"◇","")),IF(AND(EN$5&lt;=$F24,EN$5+GanttPeriod-1&gt;=$E24),"━","")))</f>
        <v/>
      </c>
      <c r="EO24" s="69" t="str">
        <f aca="false">IF($E24="","",IF($M24,IF(AND($G24&gt;=EO$5,$G24&lt;EO$5+GanttPeriod),"◆",IF(AND($E24&gt;=EO$5,$E24&lt;EO$5+GanttPeriod),"◇","")),IF(AND(EO$5&lt;=$F24,EO$5+GanttPeriod-1&gt;=$E24),"━","")))</f>
        <v/>
      </c>
      <c r="EP24" s="69" t="str">
        <f aca="false">IF($E24="","",IF($M24,IF(AND($G24&gt;=EP$5,$G24&lt;EP$5+GanttPeriod),"◆",IF(AND($E24&gt;=EP$5,$E24&lt;EP$5+GanttPeriod),"◇","")),IF(AND(EP$5&lt;=$F24,EP$5+GanttPeriod-1&gt;=$E24),"━","")))</f>
        <v/>
      </c>
      <c r="EQ24" s="69" t="str">
        <f aca="false">IF($E24="","",IF($M24,IF(AND($G24&gt;=EQ$5,$G24&lt;EQ$5+GanttPeriod),"◆",IF(AND($E24&gt;=EQ$5,$E24&lt;EQ$5+GanttPeriod),"◇","")),IF(AND(EQ$5&lt;=$F24,EQ$5+GanttPeriod-1&gt;=$E24),"━","")))</f>
        <v/>
      </c>
      <c r="ER24" s="69" t="str">
        <f aca="false">IF($E24="","",IF($M24,IF(AND($G24&gt;=ER$5,$G24&lt;ER$5+GanttPeriod),"◆",IF(AND($E24&gt;=ER$5,$E24&lt;ER$5+GanttPeriod),"◇","")),IF(AND(ER$5&lt;=$F24,ER$5+GanttPeriod-1&gt;=$E24),"━","")))</f>
        <v/>
      </c>
      <c r="ES24" s="69" t="str">
        <f aca="false">IF($E24="","",IF($M24,IF(AND($G24&gt;=ES$5,$G24&lt;ES$5+GanttPeriod),"◆",IF(AND($E24&gt;=ES$5,$E24&lt;ES$5+GanttPeriod),"◇","")),IF(AND(ES$5&lt;=$F24,ES$5+GanttPeriod-1&gt;=$E24),"━","")))</f>
        <v/>
      </c>
      <c r="ET24" s="69" t="str">
        <f aca="false">IF($E24="","",IF($M24,IF(AND($G24&gt;=ET$5,$G24&lt;ET$5+GanttPeriod),"◆",IF(AND($E24&gt;=ET$5,$E24&lt;ET$5+GanttPeriod),"◇","")),IF(AND(ET$5&lt;=$F24,ET$5+GanttPeriod-1&gt;=$E24),"━","")))</f>
        <v/>
      </c>
      <c r="EU24" s="69" t="str">
        <f aca="false">IF($E24="","",IF($M24,IF(AND($G24&gt;=EU$5,$G24&lt;EU$5+GanttPeriod),"◆",IF(AND($E24&gt;=EU$5,$E24&lt;EU$5+GanttPeriod),"◇","")),IF(AND(EU$5&lt;=$F24,EU$5+GanttPeriod-1&gt;=$E24),"━","")))</f>
        <v/>
      </c>
      <c r="EV24" s="69" t="str">
        <f aca="false">IF($E24="","",IF($M24,IF(AND($G24&gt;=EV$5,$G24&lt;EV$5+GanttPeriod),"◆",IF(AND($E24&gt;=EV$5,$E24&lt;EV$5+GanttPeriod),"◇","")),IF(AND(EV$5&lt;=$F24,EV$5+GanttPeriod-1&gt;=$E24),"━","")))</f>
        <v/>
      </c>
      <c r="EW24" s="69" t="str">
        <f aca="false">IF($E24="","",IF($M24,IF(AND($G24&gt;=EW$5,$G24&lt;EW$5+GanttPeriod),"◆",IF(AND($E24&gt;=EW$5,$E24&lt;EW$5+GanttPeriod),"◇","")),IF(AND(EW$5&lt;=$F24,EW$5+GanttPeriod-1&gt;=$E24),"━","")))</f>
        <v/>
      </c>
      <c r="EX24" s="69" t="str">
        <f aca="false">IF($E24="","",IF($M24,IF(AND($G24&gt;=EX$5,$G24&lt;EX$5+GanttPeriod),"◆",IF(AND($E24&gt;=EX$5,$E24&lt;EX$5+GanttPeriod),"◇","")),IF(AND(EX$5&lt;=$F24,EX$5+GanttPeriod-1&gt;=$E24),"━","")))</f>
        <v/>
      </c>
      <c r="EY24" s="69" t="str">
        <f aca="false">IF($E24="","",IF($M24,IF(AND($G24&gt;=EY$5,$G24&lt;EY$5+GanttPeriod),"◆",IF(AND($E24&gt;=EY$5,$E24&lt;EY$5+GanttPeriod),"◇","")),IF(AND(EY$5&lt;=$F24,EY$5+GanttPeriod-1&gt;=$E24),"━","")))</f>
        <v/>
      </c>
      <c r="EZ24" s="69" t="str">
        <f aca="false">IF($E24="","",IF($M24,IF(AND($G24&gt;=EZ$5,$G24&lt;EZ$5+GanttPeriod),"◆",IF(AND($E24&gt;=EZ$5,$E24&lt;EZ$5+GanttPeriod),"◇","")),IF(AND(EZ$5&lt;=$F24,EZ$5+GanttPeriod-1&gt;=$E24),"━","")))</f>
        <v/>
      </c>
      <c r="FA24" s="69" t="str">
        <f aca="false">IF($E24="","",IF($M24,IF(AND($G24&gt;=FA$5,$G24&lt;FA$5+GanttPeriod),"◆",IF(AND($E24&gt;=FA$5,$E24&lt;FA$5+GanttPeriod),"◇","")),IF(AND(FA$5&lt;=$F24,FA$5+GanttPeriod-1&gt;=$E24),"━","")))</f>
        <v/>
      </c>
      <c r="FB24" s="69" t="str">
        <f aca="false">IF($E24="","",IF($M24,IF(AND($G24&gt;=FB$5,$G24&lt;FB$5+GanttPeriod),"◆",IF(AND($E24&gt;=FB$5,$E24&lt;FB$5+GanttPeriod),"◇","")),IF(AND(FB$5&lt;=$F24,FB$5+GanttPeriod-1&gt;=$E24),"━","")))</f>
        <v/>
      </c>
      <c r="FC24" s="69" t="str">
        <f aca="false">IF($E24="","",IF($M24,IF(AND($G24&gt;=FC$5,$G24&lt;FC$5+GanttPeriod),"◆",IF(AND($E24&gt;=FC$5,$E24&lt;FC$5+GanttPeriod),"◇","")),IF(AND(FC$5&lt;=$F24,FC$5+GanttPeriod-1&gt;=$E24),"━","")))</f>
        <v/>
      </c>
      <c r="FD24" s="69" t="str">
        <f aca="false">IF($E24="","",IF($M24,IF(AND($G24&gt;=FD$5,$G24&lt;FD$5+GanttPeriod),"◆",IF(AND($E24&gt;=FD$5,$E24&lt;FD$5+GanttPeriod),"◇","")),IF(AND(FD$5&lt;=$F24,FD$5+GanttPeriod-1&gt;=$E24),"━","")))</f>
        <v/>
      </c>
      <c r="FE24" s="69" t="str">
        <f aca="false">IF($E24="","",IF($M24,IF(AND($G24&gt;=FE$5,$G24&lt;FE$5+GanttPeriod),"◆",IF(AND($E24&gt;=FE$5,$E24&lt;FE$5+GanttPeriod),"◇","")),IF(AND(FE$5&lt;=$F24,FE$5+GanttPeriod-1&gt;=$E24),"━","")))</f>
        <v/>
      </c>
      <c r="FF24" s="69" t="str">
        <f aca="false">IF($E24="","",IF($M24,IF(AND($G24&gt;=FF$5,$G24&lt;FF$5+GanttPeriod),"◆",IF(AND($E24&gt;=FF$5,$E24&lt;FF$5+GanttPeriod),"◇","")),IF(AND(FF$5&lt;=$F24,FF$5+GanttPeriod-1&gt;=$E24),"━","")))</f>
        <v/>
      </c>
      <c r="FG24" s="69" t="str">
        <f aca="false">IF($E24="","",IF($M24,IF(AND($G24&gt;=FG$5,$G24&lt;FG$5+GanttPeriod),"◆",IF(AND($E24&gt;=FG$5,$E24&lt;FG$5+GanttPeriod),"◇","")),IF(AND(FG$5&lt;=$F24,FG$5+GanttPeriod-1&gt;=$E24),"━","")))</f>
        <v/>
      </c>
      <c r="FH24" s="69" t="str">
        <f aca="false">IF($E24="","",IF($M24,IF(AND($G24&gt;=FH$5,$G24&lt;FH$5+GanttPeriod),"◆",IF(AND($E24&gt;=FH$5,$E24&lt;FH$5+GanttPeriod),"◇","")),IF(AND(FH$5&lt;=$F24,FH$5+GanttPeriod-1&gt;=$E24),"━","")))</f>
        <v/>
      </c>
      <c r="FI24" s="69" t="str">
        <f aca="false">IF($E24="","",IF($M24,IF(AND($G24&gt;=FI$5,$G24&lt;FI$5+GanttPeriod),"◆",IF(AND($E24&gt;=FI$5,$E24&lt;FI$5+GanttPeriod),"◇","")),IF(AND(FI$5&lt;=$F24,FI$5+GanttPeriod-1&gt;=$E24),"━","")))</f>
        <v/>
      </c>
      <c r="FJ24" s="69" t="str">
        <f aca="false">IF($E24="","",IF($M24,IF(AND($G24&gt;=FJ$5,$G24&lt;FJ$5+GanttPeriod),"◆",IF(AND($E24&gt;=FJ$5,$E24&lt;FJ$5+GanttPeriod),"◇","")),IF(AND(FJ$5&lt;=$F24,FJ$5+GanttPeriod-1&gt;=$E24),"━","")))</f>
        <v/>
      </c>
      <c r="FK24" s="69" t="str">
        <f aca="false">IF($E24="","",IF($M24,IF(AND($G24&gt;=FK$5,$G24&lt;FK$5+GanttPeriod),"◆",IF(AND($E24&gt;=FK$5,$E24&lt;FK$5+GanttPeriod),"◇","")),IF(AND(FK$5&lt;=$F24,FK$5+GanttPeriod-1&gt;=$E24),"━","")))</f>
        <v/>
      </c>
      <c r="FL24" s="69" t="str">
        <f aca="false">IF($E24="","",IF($M24,IF(AND($G24&gt;=FL$5,$G24&lt;FL$5+GanttPeriod),"◆",IF(AND($E24&gt;=FL$5,$E24&lt;FL$5+GanttPeriod),"◇","")),IF(AND(FL$5&lt;=$F24,FL$5+GanttPeriod-1&gt;=$E24),"━","")))</f>
        <v/>
      </c>
      <c r="FM24" s="69" t="str">
        <f aca="false">IF($E24="","",IF($M24,IF(AND($G24&gt;=FM$5,$G24&lt;FM$5+GanttPeriod),"◆",IF(AND($E24&gt;=FM$5,$E24&lt;FM$5+GanttPeriod),"◇","")),IF(AND(FM$5&lt;=$F24,FM$5+GanttPeriod-1&gt;=$E24),"━","")))</f>
        <v/>
      </c>
    </row>
    <row r="25" customFormat="false" ht="15" hidden="false" customHeight="false" outlineLevel="0" collapsed="false">
      <c r="A25" s="62" t="n">
        <f aca="false">IF(Tasks!$D25="","",Tasks!$A25)</f>
        <v>20</v>
      </c>
      <c r="B25" s="62" t="str">
        <f aca="false">IF(Tasks!$D25="","",Tasks!$B25)</f>
        <v>4</v>
      </c>
      <c r="C25" s="63" t="str">
        <f aca="false">IF(Tasks!$D25="","",REPT("    ",Tasks!$AE25-1)&amp;Tasks!$D25)</f>
        <v>Test &amp; Release</v>
      </c>
      <c r="D25" s="62" t="n">
        <f aca="false">IF(Tasks!$D25="","",IF(Tasks!$AI25,NETWORKDAYS.INTL(Tasks!$R25,Tasks!$S25,WorkWeek,Holidays),N(Tasks!$F25)))</f>
        <v>36</v>
      </c>
      <c r="E25" s="64" t="n">
        <f aca="false">IF(Tasks!$D25="","",Tasks!$N25)</f>
        <v>46328</v>
      </c>
      <c r="F25" s="64" t="n">
        <f aca="false">IF(Tasks!$D25="","",Tasks!$O25)</f>
        <v>46391</v>
      </c>
      <c r="G25" s="64" t="n">
        <f aca="false">IF(Tasks!$D25="","",Tasks!$R25)</f>
        <v>46336</v>
      </c>
      <c r="H25" s="64" t="n">
        <f aca="false">IF(Tasks!$D25="","",Tasks!$S25)</f>
        <v>46391</v>
      </c>
      <c r="I25" s="65" t="n">
        <f aca="false">IF(Tasks!$D25="","",Tasks!$V25)</f>
        <v>0</v>
      </c>
      <c r="J25" s="63" t="str">
        <f aca="false">IF(Tasks!$D25="","",Tasks!$X25&amp;"")</f>
        <v/>
      </c>
      <c r="K25" s="66" t="str">
        <f aca="false">IF(Tasks!$D25="","",Tasks!$W25)</f>
        <v>Not Started</v>
      </c>
      <c r="L25" s="67" t="b">
        <f aca="false">IF(Tasks!$D25="",FALSE(),Tasks!$AI25)</f>
        <v>1</v>
      </c>
      <c r="M25" s="67" t="b">
        <f aca="false">AND(Tasks!$AJ25=1,N(Tasks!$F25)=0)</f>
        <v>0</v>
      </c>
      <c r="N25" s="68" t="n">
        <f aca="false">IF(AND(Tasks!$AJ25=1,NOT($M25),N($I25)&gt;0),$G25,0)</f>
        <v>0</v>
      </c>
      <c r="O25" s="68" t="n">
        <f aca="false">IF($N25=0,0,IF($I25&gt;=1,$H25,MAX($N25,$G25+ROUND(($H25-$G25+1)*$I25,0)-1)))</f>
        <v>0</v>
      </c>
      <c r="P25" s="68" t="n">
        <f aca="false">IF(OR(Tasks!$AJ25&lt;&gt;1,$M25,N($I25)&gt;=1),0,IF($O25&gt;0,$O25+1,$G25))</f>
        <v>0</v>
      </c>
      <c r="Q25" s="68" t="n">
        <f aca="false">IF($P25=0,0,$H25)</f>
        <v>0</v>
      </c>
      <c r="R25" s="67" t="b">
        <f aca="false">AND(Tasks!$D25&lt;&gt;"",N(Tasks!$T25)&gt;0)</f>
        <v>0</v>
      </c>
      <c r="T25" s="69" t="str">
        <f aca="false">IF($E25="","",IF($M25,IF(AND($G25&gt;=T$5,$G25&lt;T$5+GanttPeriod),"◆",IF(AND($E25&gt;=T$5,$E25&lt;T$5+GanttPeriod),"◇","")),IF(AND(T$5&lt;=$F25,T$5+GanttPeriod-1&gt;=$E25),"━","")))</f>
        <v/>
      </c>
      <c r="U25" s="69" t="str">
        <f aca="false">IF($E25="","",IF($M25,IF(AND($G25&gt;=U$5,$G25&lt;U$5+GanttPeriod),"◆",IF(AND($E25&gt;=U$5,$E25&lt;U$5+GanttPeriod),"◇","")),IF(AND(U$5&lt;=$F25,U$5+GanttPeriod-1&gt;=$E25),"━","")))</f>
        <v/>
      </c>
      <c r="V25" s="69" t="str">
        <f aca="false">IF($E25="","",IF($M25,IF(AND($G25&gt;=V$5,$G25&lt;V$5+GanttPeriod),"◆",IF(AND($E25&gt;=V$5,$E25&lt;V$5+GanttPeriod),"◇","")),IF(AND(V$5&lt;=$F25,V$5+GanttPeriod-1&gt;=$E25),"━","")))</f>
        <v/>
      </c>
      <c r="W25" s="69" t="str">
        <f aca="false">IF($E25="","",IF($M25,IF(AND($G25&gt;=W$5,$G25&lt;W$5+GanttPeriod),"◆",IF(AND($E25&gt;=W$5,$E25&lt;W$5+GanttPeriod),"◇","")),IF(AND(W$5&lt;=$F25,W$5+GanttPeriod-1&gt;=$E25),"━","")))</f>
        <v/>
      </c>
      <c r="X25" s="69" t="str">
        <f aca="false">IF($E25="","",IF($M25,IF(AND($G25&gt;=X$5,$G25&lt;X$5+GanttPeriod),"◆",IF(AND($E25&gt;=X$5,$E25&lt;X$5+GanttPeriod),"◇","")),IF(AND(X$5&lt;=$F25,X$5+GanttPeriod-1&gt;=$E25),"━","")))</f>
        <v/>
      </c>
      <c r="Y25" s="69" t="str">
        <f aca="false">IF($E25="","",IF($M25,IF(AND($G25&gt;=Y$5,$G25&lt;Y$5+GanttPeriod),"◆",IF(AND($E25&gt;=Y$5,$E25&lt;Y$5+GanttPeriod),"◇","")),IF(AND(Y$5&lt;=$F25,Y$5+GanttPeriod-1&gt;=$E25),"━","")))</f>
        <v/>
      </c>
      <c r="Z25" s="69" t="str">
        <f aca="false">IF($E25="","",IF($M25,IF(AND($G25&gt;=Z$5,$G25&lt;Z$5+GanttPeriod),"◆",IF(AND($E25&gt;=Z$5,$E25&lt;Z$5+GanttPeriod),"◇","")),IF(AND(Z$5&lt;=$F25,Z$5+GanttPeriod-1&gt;=$E25),"━","")))</f>
        <v/>
      </c>
      <c r="AA25" s="69" t="str">
        <f aca="false">IF($E25="","",IF($M25,IF(AND($G25&gt;=AA$5,$G25&lt;AA$5+GanttPeriod),"◆",IF(AND($E25&gt;=AA$5,$E25&lt;AA$5+GanttPeriod),"◇","")),IF(AND(AA$5&lt;=$F25,AA$5+GanttPeriod-1&gt;=$E25),"━","")))</f>
        <v/>
      </c>
      <c r="AB25" s="69" t="str">
        <f aca="false">IF($E25="","",IF($M25,IF(AND($G25&gt;=AB$5,$G25&lt;AB$5+GanttPeriod),"◆",IF(AND($E25&gt;=AB$5,$E25&lt;AB$5+GanttPeriod),"◇","")),IF(AND(AB$5&lt;=$F25,AB$5+GanttPeriod-1&gt;=$E25),"━","")))</f>
        <v/>
      </c>
      <c r="AC25" s="69" t="str">
        <f aca="false">IF($E25="","",IF($M25,IF(AND($G25&gt;=AC$5,$G25&lt;AC$5+GanttPeriod),"◆",IF(AND($E25&gt;=AC$5,$E25&lt;AC$5+GanttPeriod),"◇","")),IF(AND(AC$5&lt;=$F25,AC$5+GanttPeriod-1&gt;=$E25),"━","")))</f>
        <v/>
      </c>
      <c r="AD25" s="69" t="str">
        <f aca="false">IF($E25="","",IF($M25,IF(AND($G25&gt;=AD$5,$G25&lt;AD$5+GanttPeriod),"◆",IF(AND($E25&gt;=AD$5,$E25&lt;AD$5+GanttPeriod),"◇","")),IF(AND(AD$5&lt;=$F25,AD$5+GanttPeriod-1&gt;=$E25),"━","")))</f>
        <v/>
      </c>
      <c r="AE25" s="69" t="str">
        <f aca="false">IF($E25="","",IF($M25,IF(AND($G25&gt;=AE$5,$G25&lt;AE$5+GanttPeriod),"◆",IF(AND($E25&gt;=AE$5,$E25&lt;AE$5+GanttPeriod),"◇","")),IF(AND(AE$5&lt;=$F25,AE$5+GanttPeriod-1&gt;=$E25),"━","")))</f>
        <v/>
      </c>
      <c r="AF25" s="69" t="str">
        <f aca="false">IF($E25="","",IF($M25,IF(AND($G25&gt;=AF$5,$G25&lt;AF$5+GanttPeriod),"◆",IF(AND($E25&gt;=AF$5,$E25&lt;AF$5+GanttPeriod),"◇","")),IF(AND(AF$5&lt;=$F25,AF$5+GanttPeriod-1&gt;=$E25),"━","")))</f>
        <v/>
      </c>
      <c r="AG25" s="69" t="str">
        <f aca="false">IF($E25="","",IF($M25,IF(AND($G25&gt;=AG$5,$G25&lt;AG$5+GanttPeriod),"◆",IF(AND($E25&gt;=AG$5,$E25&lt;AG$5+GanttPeriod),"◇","")),IF(AND(AG$5&lt;=$F25,AG$5+GanttPeriod-1&gt;=$E25),"━","")))</f>
        <v/>
      </c>
      <c r="AH25" s="69" t="str">
        <f aca="false">IF($E25="","",IF($M25,IF(AND($G25&gt;=AH$5,$G25&lt;AH$5+GanttPeriod),"◆",IF(AND($E25&gt;=AH$5,$E25&lt;AH$5+GanttPeriod),"◇","")),IF(AND(AH$5&lt;=$F25,AH$5+GanttPeriod-1&gt;=$E25),"━","")))</f>
        <v/>
      </c>
      <c r="AI25" s="69" t="str">
        <f aca="false">IF($E25="","",IF($M25,IF(AND($G25&gt;=AI$5,$G25&lt;AI$5+GanttPeriod),"◆",IF(AND($E25&gt;=AI$5,$E25&lt;AI$5+GanttPeriod),"◇","")),IF(AND(AI$5&lt;=$F25,AI$5+GanttPeriod-1&gt;=$E25),"━","")))</f>
        <v/>
      </c>
      <c r="AJ25" s="69" t="str">
        <f aca="false">IF($E25="","",IF($M25,IF(AND($G25&gt;=AJ$5,$G25&lt;AJ$5+GanttPeriod),"◆",IF(AND($E25&gt;=AJ$5,$E25&lt;AJ$5+GanttPeriod),"◇","")),IF(AND(AJ$5&lt;=$F25,AJ$5+GanttPeriod-1&gt;=$E25),"━","")))</f>
        <v/>
      </c>
      <c r="AK25" s="69" t="str">
        <f aca="false">IF($E25="","",IF($M25,IF(AND($G25&gt;=AK$5,$G25&lt;AK$5+GanttPeriod),"◆",IF(AND($E25&gt;=AK$5,$E25&lt;AK$5+GanttPeriod),"◇","")),IF(AND(AK$5&lt;=$F25,AK$5+GanttPeriod-1&gt;=$E25),"━","")))</f>
        <v/>
      </c>
      <c r="AL25" s="69" t="str">
        <f aca="false">IF($E25="","",IF($M25,IF(AND($G25&gt;=AL$5,$G25&lt;AL$5+GanttPeriod),"◆",IF(AND($E25&gt;=AL$5,$E25&lt;AL$5+GanttPeriod),"◇","")),IF(AND(AL$5&lt;=$F25,AL$5+GanttPeriod-1&gt;=$E25),"━","")))</f>
        <v/>
      </c>
      <c r="AM25" s="69" t="str">
        <f aca="false">IF($E25="","",IF($M25,IF(AND($G25&gt;=AM$5,$G25&lt;AM$5+GanttPeriod),"◆",IF(AND($E25&gt;=AM$5,$E25&lt;AM$5+GanttPeriod),"◇","")),IF(AND(AM$5&lt;=$F25,AM$5+GanttPeriod-1&gt;=$E25),"━","")))</f>
        <v/>
      </c>
      <c r="AN25" s="69" t="str">
        <f aca="false">IF($E25="","",IF($M25,IF(AND($G25&gt;=AN$5,$G25&lt;AN$5+GanttPeriod),"◆",IF(AND($E25&gt;=AN$5,$E25&lt;AN$5+GanttPeriod),"◇","")),IF(AND(AN$5&lt;=$F25,AN$5+GanttPeriod-1&gt;=$E25),"━","")))</f>
        <v/>
      </c>
      <c r="AO25" s="69" t="str">
        <f aca="false">IF($E25="","",IF($M25,IF(AND($G25&gt;=AO$5,$G25&lt;AO$5+GanttPeriod),"◆",IF(AND($E25&gt;=AO$5,$E25&lt;AO$5+GanttPeriod),"◇","")),IF(AND(AO$5&lt;=$F25,AO$5+GanttPeriod-1&gt;=$E25),"━","")))</f>
        <v/>
      </c>
      <c r="AP25" s="69" t="str">
        <f aca="false">IF($E25="","",IF($M25,IF(AND($G25&gt;=AP$5,$G25&lt;AP$5+GanttPeriod),"◆",IF(AND($E25&gt;=AP$5,$E25&lt;AP$5+GanttPeriod),"◇","")),IF(AND(AP$5&lt;=$F25,AP$5+GanttPeriod-1&gt;=$E25),"━","")))</f>
        <v/>
      </c>
      <c r="AQ25" s="69" t="str">
        <f aca="false">IF($E25="","",IF($M25,IF(AND($G25&gt;=AQ$5,$G25&lt;AQ$5+GanttPeriod),"◆",IF(AND($E25&gt;=AQ$5,$E25&lt;AQ$5+GanttPeriod),"◇","")),IF(AND(AQ$5&lt;=$F25,AQ$5+GanttPeriod-1&gt;=$E25),"━","")))</f>
        <v/>
      </c>
      <c r="AR25" s="69" t="str">
        <f aca="false">IF($E25="","",IF($M25,IF(AND($G25&gt;=AR$5,$G25&lt;AR$5+GanttPeriod),"◆",IF(AND($E25&gt;=AR$5,$E25&lt;AR$5+GanttPeriod),"◇","")),IF(AND(AR$5&lt;=$F25,AR$5+GanttPeriod-1&gt;=$E25),"━","")))</f>
        <v/>
      </c>
      <c r="AS25" s="69" t="str">
        <f aca="false">IF($E25="","",IF($M25,IF(AND($G25&gt;=AS$5,$G25&lt;AS$5+GanttPeriod),"◆",IF(AND($E25&gt;=AS$5,$E25&lt;AS$5+GanttPeriod),"◇","")),IF(AND(AS$5&lt;=$F25,AS$5+GanttPeriod-1&gt;=$E25),"━","")))</f>
        <v/>
      </c>
      <c r="AT25" s="69" t="str">
        <f aca="false">IF($E25="","",IF($M25,IF(AND($G25&gt;=AT$5,$G25&lt;AT$5+GanttPeriod),"◆",IF(AND($E25&gt;=AT$5,$E25&lt;AT$5+GanttPeriod),"◇","")),IF(AND(AT$5&lt;=$F25,AT$5+GanttPeriod-1&gt;=$E25),"━","")))</f>
        <v/>
      </c>
      <c r="AU25" s="69" t="str">
        <f aca="false">IF($E25="","",IF($M25,IF(AND($G25&gt;=AU$5,$G25&lt;AU$5+GanttPeriod),"◆",IF(AND($E25&gt;=AU$5,$E25&lt;AU$5+GanttPeriod),"◇","")),IF(AND(AU$5&lt;=$F25,AU$5+GanttPeriod-1&gt;=$E25),"━","")))</f>
        <v/>
      </c>
      <c r="AV25" s="69" t="str">
        <f aca="false">IF($E25="","",IF($M25,IF(AND($G25&gt;=AV$5,$G25&lt;AV$5+GanttPeriod),"◆",IF(AND($E25&gt;=AV$5,$E25&lt;AV$5+GanttPeriod),"◇","")),IF(AND(AV$5&lt;=$F25,AV$5+GanttPeriod-1&gt;=$E25),"━","")))</f>
        <v/>
      </c>
      <c r="AW25" s="69" t="str">
        <f aca="false">IF($E25="","",IF($M25,IF(AND($G25&gt;=AW$5,$G25&lt;AW$5+GanttPeriod),"◆",IF(AND($E25&gt;=AW$5,$E25&lt;AW$5+GanttPeriod),"◇","")),IF(AND(AW$5&lt;=$F25,AW$5+GanttPeriod-1&gt;=$E25),"━","")))</f>
        <v/>
      </c>
      <c r="AX25" s="69" t="str">
        <f aca="false">IF($E25="","",IF($M25,IF(AND($G25&gt;=AX$5,$G25&lt;AX$5+GanttPeriod),"◆",IF(AND($E25&gt;=AX$5,$E25&lt;AX$5+GanttPeriod),"◇","")),IF(AND(AX$5&lt;=$F25,AX$5+GanttPeriod-1&gt;=$E25),"━","")))</f>
        <v/>
      </c>
      <c r="AY25" s="69" t="str">
        <f aca="false">IF($E25="","",IF($M25,IF(AND($G25&gt;=AY$5,$G25&lt;AY$5+GanttPeriod),"◆",IF(AND($E25&gt;=AY$5,$E25&lt;AY$5+GanttPeriod),"◇","")),IF(AND(AY$5&lt;=$F25,AY$5+GanttPeriod-1&gt;=$E25),"━","")))</f>
        <v/>
      </c>
      <c r="AZ25" s="69" t="str">
        <f aca="false">IF($E25="","",IF($M25,IF(AND($G25&gt;=AZ$5,$G25&lt;AZ$5+GanttPeriod),"◆",IF(AND($E25&gt;=AZ$5,$E25&lt;AZ$5+GanttPeriod),"◇","")),IF(AND(AZ$5&lt;=$F25,AZ$5+GanttPeriod-1&gt;=$E25),"━","")))</f>
        <v/>
      </c>
      <c r="BA25" s="69" t="str">
        <f aca="false">IF($E25="","",IF($M25,IF(AND($G25&gt;=BA$5,$G25&lt;BA$5+GanttPeriod),"◆",IF(AND($E25&gt;=BA$5,$E25&lt;BA$5+GanttPeriod),"◇","")),IF(AND(BA$5&lt;=$F25,BA$5+GanttPeriod-1&gt;=$E25),"━","")))</f>
        <v/>
      </c>
      <c r="BB25" s="69" t="str">
        <f aca="false">IF($E25="","",IF($M25,IF(AND($G25&gt;=BB$5,$G25&lt;BB$5+GanttPeriod),"◆",IF(AND($E25&gt;=BB$5,$E25&lt;BB$5+GanttPeriod),"◇","")),IF(AND(BB$5&lt;=$F25,BB$5+GanttPeriod-1&gt;=$E25),"━","")))</f>
        <v/>
      </c>
      <c r="BC25" s="69" t="str">
        <f aca="false">IF($E25="","",IF($M25,IF(AND($G25&gt;=BC$5,$G25&lt;BC$5+GanttPeriod),"◆",IF(AND($E25&gt;=BC$5,$E25&lt;BC$5+GanttPeriod),"◇","")),IF(AND(BC$5&lt;=$F25,BC$5+GanttPeriod-1&gt;=$E25),"━","")))</f>
        <v/>
      </c>
      <c r="BD25" s="69" t="str">
        <f aca="false">IF($E25="","",IF($M25,IF(AND($G25&gt;=BD$5,$G25&lt;BD$5+GanttPeriod),"◆",IF(AND($E25&gt;=BD$5,$E25&lt;BD$5+GanttPeriod),"◇","")),IF(AND(BD$5&lt;=$F25,BD$5+GanttPeriod-1&gt;=$E25),"━","")))</f>
        <v/>
      </c>
      <c r="BE25" s="69" t="str">
        <f aca="false">IF($E25="","",IF($M25,IF(AND($G25&gt;=BE$5,$G25&lt;BE$5+GanttPeriod),"◆",IF(AND($E25&gt;=BE$5,$E25&lt;BE$5+GanttPeriod),"◇","")),IF(AND(BE$5&lt;=$F25,BE$5+GanttPeriod-1&gt;=$E25),"━","")))</f>
        <v/>
      </c>
      <c r="BF25" s="69" t="str">
        <f aca="false">IF($E25="","",IF($M25,IF(AND($G25&gt;=BF$5,$G25&lt;BF$5+GanttPeriod),"◆",IF(AND($E25&gt;=BF$5,$E25&lt;BF$5+GanttPeriod),"◇","")),IF(AND(BF$5&lt;=$F25,BF$5+GanttPeriod-1&gt;=$E25),"━","")))</f>
        <v/>
      </c>
      <c r="BG25" s="69" t="str">
        <f aca="false">IF($E25="","",IF($M25,IF(AND($G25&gt;=BG$5,$G25&lt;BG$5+GanttPeriod),"◆",IF(AND($E25&gt;=BG$5,$E25&lt;BG$5+GanttPeriod),"◇","")),IF(AND(BG$5&lt;=$F25,BG$5+GanttPeriod-1&gt;=$E25),"━","")))</f>
        <v/>
      </c>
      <c r="BH25" s="69" t="str">
        <f aca="false">IF($E25="","",IF($M25,IF(AND($G25&gt;=BH$5,$G25&lt;BH$5+GanttPeriod),"◆",IF(AND($E25&gt;=BH$5,$E25&lt;BH$5+GanttPeriod),"◇","")),IF(AND(BH$5&lt;=$F25,BH$5+GanttPeriod-1&gt;=$E25),"━","")))</f>
        <v/>
      </c>
      <c r="BI25" s="69" t="str">
        <f aca="false">IF($E25="","",IF($M25,IF(AND($G25&gt;=BI$5,$G25&lt;BI$5+GanttPeriod),"◆",IF(AND($E25&gt;=BI$5,$E25&lt;BI$5+GanttPeriod),"◇","")),IF(AND(BI$5&lt;=$F25,BI$5+GanttPeriod-1&gt;=$E25),"━","")))</f>
        <v/>
      </c>
      <c r="BJ25" s="69" t="str">
        <f aca="false">IF($E25="","",IF($M25,IF(AND($G25&gt;=BJ$5,$G25&lt;BJ$5+GanttPeriod),"◆",IF(AND($E25&gt;=BJ$5,$E25&lt;BJ$5+GanttPeriod),"◇","")),IF(AND(BJ$5&lt;=$F25,BJ$5+GanttPeriod-1&gt;=$E25),"━","")))</f>
        <v/>
      </c>
      <c r="BK25" s="69" t="str">
        <f aca="false">IF($E25="","",IF($M25,IF(AND($G25&gt;=BK$5,$G25&lt;BK$5+GanttPeriod),"◆",IF(AND($E25&gt;=BK$5,$E25&lt;BK$5+GanttPeriod),"◇","")),IF(AND(BK$5&lt;=$F25,BK$5+GanttPeriod-1&gt;=$E25),"━","")))</f>
        <v/>
      </c>
      <c r="BL25" s="69" t="str">
        <f aca="false">IF($E25="","",IF($M25,IF(AND($G25&gt;=BL$5,$G25&lt;BL$5+GanttPeriod),"◆",IF(AND($E25&gt;=BL$5,$E25&lt;BL$5+GanttPeriod),"◇","")),IF(AND(BL$5&lt;=$F25,BL$5+GanttPeriod-1&gt;=$E25),"━","")))</f>
        <v/>
      </c>
      <c r="BM25" s="69" t="str">
        <f aca="false">IF($E25="","",IF($M25,IF(AND($G25&gt;=BM$5,$G25&lt;BM$5+GanttPeriod),"◆",IF(AND($E25&gt;=BM$5,$E25&lt;BM$5+GanttPeriod),"◇","")),IF(AND(BM$5&lt;=$F25,BM$5+GanttPeriod-1&gt;=$E25),"━","")))</f>
        <v/>
      </c>
      <c r="BN25" s="69" t="str">
        <f aca="false">IF($E25="","",IF($M25,IF(AND($G25&gt;=BN$5,$G25&lt;BN$5+GanttPeriod),"◆",IF(AND($E25&gt;=BN$5,$E25&lt;BN$5+GanttPeriod),"◇","")),IF(AND(BN$5&lt;=$F25,BN$5+GanttPeriod-1&gt;=$E25),"━","")))</f>
        <v/>
      </c>
      <c r="BO25" s="69" t="str">
        <f aca="false">IF($E25="","",IF($M25,IF(AND($G25&gt;=BO$5,$G25&lt;BO$5+GanttPeriod),"◆",IF(AND($E25&gt;=BO$5,$E25&lt;BO$5+GanttPeriod),"◇","")),IF(AND(BO$5&lt;=$F25,BO$5+GanttPeriod-1&gt;=$E25),"━","")))</f>
        <v/>
      </c>
      <c r="BP25" s="69" t="str">
        <f aca="false">IF($E25="","",IF($M25,IF(AND($G25&gt;=BP$5,$G25&lt;BP$5+GanttPeriod),"◆",IF(AND($E25&gt;=BP$5,$E25&lt;BP$5+GanttPeriod),"◇","")),IF(AND(BP$5&lt;=$F25,BP$5+GanttPeriod-1&gt;=$E25),"━","")))</f>
        <v/>
      </c>
      <c r="BQ25" s="69" t="str">
        <f aca="false">IF($E25="","",IF($M25,IF(AND($G25&gt;=BQ$5,$G25&lt;BQ$5+GanttPeriod),"◆",IF(AND($E25&gt;=BQ$5,$E25&lt;BQ$5+GanttPeriod),"◇","")),IF(AND(BQ$5&lt;=$F25,BQ$5+GanttPeriod-1&gt;=$E25),"━","")))</f>
        <v/>
      </c>
      <c r="BR25" s="69" t="str">
        <f aca="false">IF($E25="","",IF($M25,IF(AND($G25&gt;=BR$5,$G25&lt;BR$5+GanttPeriod),"◆",IF(AND($E25&gt;=BR$5,$E25&lt;BR$5+GanttPeriod),"◇","")),IF(AND(BR$5&lt;=$F25,BR$5+GanttPeriod-1&gt;=$E25),"━","")))</f>
        <v/>
      </c>
      <c r="BS25" s="69" t="str">
        <f aca="false">IF($E25="","",IF($M25,IF(AND($G25&gt;=BS$5,$G25&lt;BS$5+GanttPeriod),"◆",IF(AND($E25&gt;=BS$5,$E25&lt;BS$5+GanttPeriod),"◇","")),IF(AND(BS$5&lt;=$F25,BS$5+GanttPeriod-1&gt;=$E25),"━","")))</f>
        <v/>
      </c>
      <c r="BT25" s="69" t="str">
        <f aca="false">IF($E25="","",IF($M25,IF(AND($G25&gt;=BT$5,$G25&lt;BT$5+GanttPeriod),"◆",IF(AND($E25&gt;=BT$5,$E25&lt;BT$5+GanttPeriod),"◇","")),IF(AND(BT$5&lt;=$F25,BT$5+GanttPeriod-1&gt;=$E25),"━","")))</f>
        <v/>
      </c>
      <c r="BU25" s="69" t="str">
        <f aca="false">IF($E25="","",IF($M25,IF(AND($G25&gt;=BU$5,$G25&lt;BU$5+GanttPeriod),"◆",IF(AND($E25&gt;=BU$5,$E25&lt;BU$5+GanttPeriod),"◇","")),IF(AND(BU$5&lt;=$F25,BU$5+GanttPeriod-1&gt;=$E25),"━","")))</f>
        <v/>
      </c>
      <c r="BV25" s="69" t="str">
        <f aca="false">IF($E25="","",IF($M25,IF(AND($G25&gt;=BV$5,$G25&lt;BV$5+GanttPeriod),"◆",IF(AND($E25&gt;=BV$5,$E25&lt;BV$5+GanttPeriod),"◇","")),IF(AND(BV$5&lt;=$F25,BV$5+GanttPeriod-1&gt;=$E25),"━","")))</f>
        <v/>
      </c>
      <c r="BW25" s="69" t="str">
        <f aca="false">IF($E25="","",IF($M25,IF(AND($G25&gt;=BW$5,$G25&lt;BW$5+GanttPeriod),"◆",IF(AND($E25&gt;=BW$5,$E25&lt;BW$5+GanttPeriod),"◇","")),IF(AND(BW$5&lt;=$F25,BW$5+GanttPeriod-1&gt;=$E25),"━","")))</f>
        <v/>
      </c>
      <c r="BX25" s="69" t="str">
        <f aca="false">IF($E25="","",IF($M25,IF(AND($G25&gt;=BX$5,$G25&lt;BX$5+GanttPeriod),"◆",IF(AND($E25&gt;=BX$5,$E25&lt;BX$5+GanttPeriod),"◇","")),IF(AND(BX$5&lt;=$F25,BX$5+GanttPeriod-1&gt;=$E25),"━","")))</f>
        <v>━</v>
      </c>
      <c r="BY25" s="69" t="str">
        <f aca="false">IF($E25="","",IF($M25,IF(AND($G25&gt;=BY$5,$G25&lt;BY$5+GanttPeriod),"◆",IF(AND($E25&gt;=BY$5,$E25&lt;BY$5+GanttPeriod),"◇","")),IF(AND(BY$5&lt;=$F25,BY$5+GanttPeriod-1&gt;=$E25),"━","")))</f>
        <v>━</v>
      </c>
      <c r="BZ25" s="69" t="str">
        <f aca="false">IF($E25="","",IF($M25,IF(AND($G25&gt;=BZ$5,$G25&lt;BZ$5+GanttPeriod),"◆",IF(AND($E25&gt;=BZ$5,$E25&lt;BZ$5+GanttPeriod),"◇","")),IF(AND(BZ$5&lt;=$F25,BZ$5+GanttPeriod-1&gt;=$E25),"━","")))</f>
        <v>━</v>
      </c>
      <c r="CA25" s="69" t="str">
        <f aca="false">IF($E25="","",IF($M25,IF(AND($G25&gt;=CA$5,$G25&lt;CA$5+GanttPeriod),"◆",IF(AND($E25&gt;=CA$5,$E25&lt;CA$5+GanttPeriod),"◇","")),IF(AND(CA$5&lt;=$F25,CA$5+GanttPeriod-1&gt;=$E25),"━","")))</f>
        <v>━</v>
      </c>
      <c r="CB25" s="69" t="str">
        <f aca="false">IF($E25="","",IF($M25,IF(AND($G25&gt;=CB$5,$G25&lt;CB$5+GanttPeriod),"◆",IF(AND($E25&gt;=CB$5,$E25&lt;CB$5+GanttPeriod),"◇","")),IF(AND(CB$5&lt;=$F25,CB$5+GanttPeriod-1&gt;=$E25),"━","")))</f>
        <v>━</v>
      </c>
      <c r="CC25" s="69" t="str">
        <f aca="false">IF($E25="","",IF($M25,IF(AND($G25&gt;=CC$5,$G25&lt;CC$5+GanttPeriod),"◆",IF(AND($E25&gt;=CC$5,$E25&lt;CC$5+GanttPeriod),"◇","")),IF(AND(CC$5&lt;=$F25,CC$5+GanttPeriod-1&gt;=$E25),"━","")))</f>
        <v>━</v>
      </c>
      <c r="CD25" s="69" t="str">
        <f aca="false">IF($E25="","",IF($M25,IF(AND($G25&gt;=CD$5,$G25&lt;CD$5+GanttPeriod),"◆",IF(AND($E25&gt;=CD$5,$E25&lt;CD$5+GanttPeriod),"◇","")),IF(AND(CD$5&lt;=$F25,CD$5+GanttPeriod-1&gt;=$E25),"━","")))</f>
        <v>━</v>
      </c>
      <c r="CE25" s="69" t="str">
        <f aca="false">IF($E25="","",IF($M25,IF(AND($G25&gt;=CE$5,$G25&lt;CE$5+GanttPeriod),"◆",IF(AND($E25&gt;=CE$5,$E25&lt;CE$5+GanttPeriod),"◇","")),IF(AND(CE$5&lt;=$F25,CE$5+GanttPeriod-1&gt;=$E25),"━","")))</f>
        <v>━</v>
      </c>
      <c r="CF25" s="69" t="str">
        <f aca="false">IF($E25="","",IF($M25,IF(AND($G25&gt;=CF$5,$G25&lt;CF$5+GanttPeriod),"◆",IF(AND($E25&gt;=CF$5,$E25&lt;CF$5+GanttPeriod),"◇","")),IF(AND(CF$5&lt;=$F25,CF$5+GanttPeriod-1&gt;=$E25),"━","")))</f>
        <v>━</v>
      </c>
      <c r="CG25" s="69" t="str">
        <f aca="false">IF($E25="","",IF($M25,IF(AND($G25&gt;=CG$5,$G25&lt;CG$5+GanttPeriod),"◆",IF(AND($E25&gt;=CG$5,$E25&lt;CG$5+GanttPeriod),"◇","")),IF(AND(CG$5&lt;=$F25,CG$5+GanttPeriod-1&gt;=$E25),"━","")))</f>
        <v>━</v>
      </c>
      <c r="CH25" s="69" t="str">
        <f aca="false">IF($E25="","",IF($M25,IF(AND($G25&gt;=CH$5,$G25&lt;CH$5+GanttPeriod),"◆",IF(AND($E25&gt;=CH$5,$E25&lt;CH$5+GanttPeriod),"◇","")),IF(AND(CH$5&lt;=$F25,CH$5+GanttPeriod-1&gt;=$E25),"━","")))</f>
        <v>━</v>
      </c>
      <c r="CI25" s="69" t="str">
        <f aca="false">IF($E25="","",IF($M25,IF(AND($G25&gt;=CI$5,$G25&lt;CI$5+GanttPeriod),"◆",IF(AND($E25&gt;=CI$5,$E25&lt;CI$5+GanttPeriod),"◇","")),IF(AND(CI$5&lt;=$F25,CI$5+GanttPeriod-1&gt;=$E25),"━","")))</f>
        <v>━</v>
      </c>
      <c r="CJ25" s="69" t="str">
        <f aca="false">IF($E25="","",IF($M25,IF(AND($G25&gt;=CJ$5,$G25&lt;CJ$5+GanttPeriod),"◆",IF(AND($E25&gt;=CJ$5,$E25&lt;CJ$5+GanttPeriod),"◇","")),IF(AND(CJ$5&lt;=$F25,CJ$5+GanttPeriod-1&gt;=$E25),"━","")))</f>
        <v>━</v>
      </c>
      <c r="CK25" s="69" t="str">
        <f aca="false">IF($E25="","",IF($M25,IF(AND($G25&gt;=CK$5,$G25&lt;CK$5+GanttPeriod),"◆",IF(AND($E25&gt;=CK$5,$E25&lt;CK$5+GanttPeriod),"◇","")),IF(AND(CK$5&lt;=$F25,CK$5+GanttPeriod-1&gt;=$E25),"━","")))</f>
        <v>━</v>
      </c>
      <c r="CL25" s="69" t="str">
        <f aca="false">IF($E25="","",IF($M25,IF(AND($G25&gt;=CL$5,$G25&lt;CL$5+GanttPeriod),"◆",IF(AND($E25&gt;=CL$5,$E25&lt;CL$5+GanttPeriod),"◇","")),IF(AND(CL$5&lt;=$F25,CL$5+GanttPeriod-1&gt;=$E25),"━","")))</f>
        <v>━</v>
      </c>
      <c r="CM25" s="69" t="str">
        <f aca="false">IF($E25="","",IF($M25,IF(AND($G25&gt;=CM$5,$G25&lt;CM$5+GanttPeriod),"◆",IF(AND($E25&gt;=CM$5,$E25&lt;CM$5+GanttPeriod),"◇","")),IF(AND(CM$5&lt;=$F25,CM$5+GanttPeriod-1&gt;=$E25),"━","")))</f>
        <v>━</v>
      </c>
      <c r="CN25" s="69" t="str">
        <f aca="false">IF($E25="","",IF($M25,IF(AND($G25&gt;=CN$5,$G25&lt;CN$5+GanttPeriod),"◆",IF(AND($E25&gt;=CN$5,$E25&lt;CN$5+GanttPeriod),"◇","")),IF(AND(CN$5&lt;=$F25,CN$5+GanttPeriod-1&gt;=$E25),"━","")))</f>
        <v>━</v>
      </c>
      <c r="CO25" s="69" t="str">
        <f aca="false">IF($E25="","",IF($M25,IF(AND($G25&gt;=CO$5,$G25&lt;CO$5+GanttPeriod),"◆",IF(AND($E25&gt;=CO$5,$E25&lt;CO$5+GanttPeriod),"◇","")),IF(AND(CO$5&lt;=$F25,CO$5+GanttPeriod-1&gt;=$E25),"━","")))</f>
        <v>━</v>
      </c>
      <c r="CP25" s="69" t="str">
        <f aca="false">IF($E25="","",IF($M25,IF(AND($G25&gt;=CP$5,$G25&lt;CP$5+GanttPeriod),"◆",IF(AND($E25&gt;=CP$5,$E25&lt;CP$5+GanttPeriod),"◇","")),IF(AND(CP$5&lt;=$F25,CP$5+GanttPeriod-1&gt;=$E25),"━","")))</f>
        <v>━</v>
      </c>
      <c r="CQ25" s="69" t="str">
        <f aca="false">IF($E25="","",IF($M25,IF(AND($G25&gt;=CQ$5,$G25&lt;CQ$5+GanttPeriod),"◆",IF(AND($E25&gt;=CQ$5,$E25&lt;CQ$5+GanttPeriod),"◇","")),IF(AND(CQ$5&lt;=$F25,CQ$5+GanttPeriod-1&gt;=$E25),"━","")))</f>
        <v>━</v>
      </c>
      <c r="CR25" s="69" t="str">
        <f aca="false">IF($E25="","",IF($M25,IF(AND($G25&gt;=CR$5,$G25&lt;CR$5+GanttPeriod),"◆",IF(AND($E25&gt;=CR$5,$E25&lt;CR$5+GanttPeriod),"◇","")),IF(AND(CR$5&lt;=$F25,CR$5+GanttPeriod-1&gt;=$E25),"━","")))</f>
        <v>━</v>
      </c>
      <c r="CS25" s="69" t="str">
        <f aca="false">IF($E25="","",IF($M25,IF(AND($G25&gt;=CS$5,$G25&lt;CS$5+GanttPeriod),"◆",IF(AND($E25&gt;=CS$5,$E25&lt;CS$5+GanttPeriod),"◇","")),IF(AND(CS$5&lt;=$F25,CS$5+GanttPeriod-1&gt;=$E25),"━","")))</f>
        <v>━</v>
      </c>
      <c r="CT25" s="69" t="str">
        <f aca="false">IF($E25="","",IF($M25,IF(AND($G25&gt;=CT$5,$G25&lt;CT$5+GanttPeriod),"◆",IF(AND($E25&gt;=CT$5,$E25&lt;CT$5+GanttPeriod),"◇","")),IF(AND(CT$5&lt;=$F25,CT$5+GanttPeriod-1&gt;=$E25),"━","")))</f>
        <v>━</v>
      </c>
      <c r="CU25" s="69" t="str">
        <f aca="false">IF($E25="","",IF($M25,IF(AND($G25&gt;=CU$5,$G25&lt;CU$5+GanttPeriod),"◆",IF(AND($E25&gt;=CU$5,$E25&lt;CU$5+GanttPeriod),"◇","")),IF(AND(CU$5&lt;=$F25,CU$5+GanttPeriod-1&gt;=$E25),"━","")))</f>
        <v>━</v>
      </c>
      <c r="CV25" s="69" t="str">
        <f aca="false">IF($E25="","",IF($M25,IF(AND($G25&gt;=CV$5,$G25&lt;CV$5+GanttPeriod),"◆",IF(AND($E25&gt;=CV$5,$E25&lt;CV$5+GanttPeriod),"◇","")),IF(AND(CV$5&lt;=$F25,CV$5+GanttPeriod-1&gt;=$E25),"━","")))</f>
        <v>━</v>
      </c>
      <c r="CW25" s="69" t="str">
        <f aca="false">IF($E25="","",IF($M25,IF(AND($G25&gt;=CW$5,$G25&lt;CW$5+GanttPeriod),"◆",IF(AND($E25&gt;=CW$5,$E25&lt;CW$5+GanttPeriod),"◇","")),IF(AND(CW$5&lt;=$F25,CW$5+GanttPeriod-1&gt;=$E25),"━","")))</f>
        <v>━</v>
      </c>
      <c r="CX25" s="69" t="str">
        <f aca="false">IF($E25="","",IF($M25,IF(AND($G25&gt;=CX$5,$G25&lt;CX$5+GanttPeriod),"◆",IF(AND($E25&gt;=CX$5,$E25&lt;CX$5+GanttPeriod),"◇","")),IF(AND(CX$5&lt;=$F25,CX$5+GanttPeriod-1&gt;=$E25),"━","")))</f>
        <v>━</v>
      </c>
      <c r="CY25" s="69" t="str">
        <f aca="false">IF($E25="","",IF($M25,IF(AND($G25&gt;=CY$5,$G25&lt;CY$5+GanttPeriod),"◆",IF(AND($E25&gt;=CY$5,$E25&lt;CY$5+GanttPeriod),"◇","")),IF(AND(CY$5&lt;=$F25,CY$5+GanttPeriod-1&gt;=$E25),"━","")))</f>
        <v>━</v>
      </c>
      <c r="CZ25" s="69" t="str">
        <f aca="false">IF($E25="","",IF($M25,IF(AND($G25&gt;=CZ$5,$G25&lt;CZ$5+GanttPeriod),"◆",IF(AND($E25&gt;=CZ$5,$E25&lt;CZ$5+GanttPeriod),"◇","")),IF(AND(CZ$5&lt;=$F25,CZ$5+GanttPeriod-1&gt;=$E25),"━","")))</f>
        <v>━</v>
      </c>
      <c r="DA25" s="69" t="str">
        <f aca="false">IF($E25="","",IF($M25,IF(AND($G25&gt;=DA$5,$G25&lt;DA$5+GanttPeriod),"◆",IF(AND($E25&gt;=DA$5,$E25&lt;DA$5+GanttPeriod),"◇","")),IF(AND(DA$5&lt;=$F25,DA$5+GanttPeriod-1&gt;=$E25),"━","")))</f>
        <v>━</v>
      </c>
      <c r="DB25" s="69" t="str">
        <f aca="false">IF($E25="","",IF($M25,IF(AND($G25&gt;=DB$5,$G25&lt;DB$5+GanttPeriod),"◆",IF(AND($E25&gt;=DB$5,$E25&lt;DB$5+GanttPeriod),"◇","")),IF(AND(DB$5&lt;=$F25,DB$5+GanttPeriod-1&gt;=$E25),"━","")))</f>
        <v>━</v>
      </c>
      <c r="DC25" s="69" t="str">
        <f aca="false">IF($E25="","",IF($M25,IF(AND($G25&gt;=DC$5,$G25&lt;DC$5+GanttPeriod),"◆",IF(AND($E25&gt;=DC$5,$E25&lt;DC$5+GanttPeriod),"◇","")),IF(AND(DC$5&lt;=$F25,DC$5+GanttPeriod-1&gt;=$E25),"━","")))</f>
        <v>━</v>
      </c>
      <c r="DD25" s="69" t="str">
        <f aca="false">IF($E25="","",IF($M25,IF(AND($G25&gt;=DD$5,$G25&lt;DD$5+GanttPeriod),"◆",IF(AND($E25&gt;=DD$5,$E25&lt;DD$5+GanttPeriod),"◇","")),IF(AND(DD$5&lt;=$F25,DD$5+GanttPeriod-1&gt;=$E25),"━","")))</f>
        <v>━</v>
      </c>
      <c r="DE25" s="69" t="str">
        <f aca="false">IF($E25="","",IF($M25,IF(AND($G25&gt;=DE$5,$G25&lt;DE$5+GanttPeriod),"◆",IF(AND($E25&gt;=DE$5,$E25&lt;DE$5+GanttPeriod),"◇","")),IF(AND(DE$5&lt;=$F25,DE$5+GanttPeriod-1&gt;=$E25),"━","")))</f>
        <v>━</v>
      </c>
      <c r="DF25" s="69" t="str">
        <f aca="false">IF($E25="","",IF($M25,IF(AND($G25&gt;=DF$5,$G25&lt;DF$5+GanttPeriod),"◆",IF(AND($E25&gt;=DF$5,$E25&lt;DF$5+GanttPeriod),"◇","")),IF(AND(DF$5&lt;=$F25,DF$5+GanttPeriod-1&gt;=$E25),"━","")))</f>
        <v>━</v>
      </c>
      <c r="DG25" s="69" t="str">
        <f aca="false">IF($E25="","",IF($M25,IF(AND($G25&gt;=DG$5,$G25&lt;DG$5+GanttPeriod),"◆",IF(AND($E25&gt;=DG$5,$E25&lt;DG$5+GanttPeriod),"◇","")),IF(AND(DG$5&lt;=$F25,DG$5+GanttPeriod-1&gt;=$E25),"━","")))</f>
        <v>━</v>
      </c>
      <c r="DH25" s="69" t="str">
        <f aca="false">IF($E25="","",IF($M25,IF(AND($G25&gt;=DH$5,$G25&lt;DH$5+GanttPeriod),"◆",IF(AND($E25&gt;=DH$5,$E25&lt;DH$5+GanttPeriod),"◇","")),IF(AND(DH$5&lt;=$F25,DH$5+GanttPeriod-1&gt;=$E25),"━","")))</f>
        <v>━</v>
      </c>
      <c r="DI25" s="69" t="str">
        <f aca="false">IF($E25="","",IF($M25,IF(AND($G25&gt;=DI$5,$G25&lt;DI$5+GanttPeriod),"◆",IF(AND($E25&gt;=DI$5,$E25&lt;DI$5+GanttPeriod),"◇","")),IF(AND(DI$5&lt;=$F25,DI$5+GanttPeriod-1&gt;=$E25),"━","")))</f>
        <v>━</v>
      </c>
      <c r="DJ25" s="69" t="str">
        <f aca="false">IF($E25="","",IF($M25,IF(AND($G25&gt;=DJ$5,$G25&lt;DJ$5+GanttPeriod),"◆",IF(AND($E25&gt;=DJ$5,$E25&lt;DJ$5+GanttPeriod),"◇","")),IF(AND(DJ$5&lt;=$F25,DJ$5+GanttPeriod-1&gt;=$E25),"━","")))</f>
        <v>━</v>
      </c>
      <c r="DK25" s="69" t="str">
        <f aca="false">IF($E25="","",IF($M25,IF(AND($G25&gt;=DK$5,$G25&lt;DK$5+GanttPeriod),"◆",IF(AND($E25&gt;=DK$5,$E25&lt;DK$5+GanttPeriod),"◇","")),IF(AND(DK$5&lt;=$F25,DK$5+GanttPeriod-1&gt;=$E25),"━","")))</f>
        <v>━</v>
      </c>
      <c r="DL25" s="69" t="str">
        <f aca="false">IF($E25="","",IF($M25,IF(AND($G25&gt;=DL$5,$G25&lt;DL$5+GanttPeriod),"◆",IF(AND($E25&gt;=DL$5,$E25&lt;DL$5+GanttPeriod),"◇","")),IF(AND(DL$5&lt;=$F25,DL$5+GanttPeriod-1&gt;=$E25),"━","")))</f>
        <v>━</v>
      </c>
      <c r="DM25" s="69" t="str">
        <f aca="false">IF($E25="","",IF($M25,IF(AND($G25&gt;=DM$5,$G25&lt;DM$5+GanttPeriod),"◆",IF(AND($E25&gt;=DM$5,$E25&lt;DM$5+GanttPeriod),"◇","")),IF(AND(DM$5&lt;=$F25,DM$5+GanttPeriod-1&gt;=$E25),"━","")))</f>
        <v>━</v>
      </c>
      <c r="DN25" s="69" t="str">
        <f aca="false">IF($E25="","",IF($M25,IF(AND($G25&gt;=DN$5,$G25&lt;DN$5+GanttPeriod),"◆",IF(AND($E25&gt;=DN$5,$E25&lt;DN$5+GanttPeriod),"◇","")),IF(AND(DN$5&lt;=$F25,DN$5+GanttPeriod-1&gt;=$E25),"━","")))</f>
        <v>━</v>
      </c>
      <c r="DO25" s="69" t="str">
        <f aca="false">IF($E25="","",IF($M25,IF(AND($G25&gt;=DO$5,$G25&lt;DO$5+GanttPeriod),"◆",IF(AND($E25&gt;=DO$5,$E25&lt;DO$5+GanttPeriod),"◇","")),IF(AND(DO$5&lt;=$F25,DO$5+GanttPeriod-1&gt;=$E25),"━","")))</f>
        <v>━</v>
      </c>
      <c r="DP25" s="69" t="str">
        <f aca="false">IF($E25="","",IF($M25,IF(AND($G25&gt;=DP$5,$G25&lt;DP$5+GanttPeriod),"◆",IF(AND($E25&gt;=DP$5,$E25&lt;DP$5+GanttPeriod),"◇","")),IF(AND(DP$5&lt;=$F25,DP$5+GanttPeriod-1&gt;=$E25),"━","")))</f>
        <v>━</v>
      </c>
      <c r="DQ25" s="69" t="str">
        <f aca="false">IF($E25="","",IF($M25,IF(AND($G25&gt;=DQ$5,$G25&lt;DQ$5+GanttPeriod),"◆",IF(AND($E25&gt;=DQ$5,$E25&lt;DQ$5+GanttPeriod),"◇","")),IF(AND(DQ$5&lt;=$F25,DQ$5+GanttPeriod-1&gt;=$E25),"━","")))</f>
        <v>━</v>
      </c>
      <c r="DR25" s="69" t="str">
        <f aca="false">IF($E25="","",IF($M25,IF(AND($G25&gt;=DR$5,$G25&lt;DR$5+GanttPeriod),"◆",IF(AND($E25&gt;=DR$5,$E25&lt;DR$5+GanttPeriod),"◇","")),IF(AND(DR$5&lt;=$F25,DR$5+GanttPeriod-1&gt;=$E25),"━","")))</f>
        <v>━</v>
      </c>
      <c r="DS25" s="69" t="str">
        <f aca="false">IF($E25="","",IF($M25,IF(AND($G25&gt;=DS$5,$G25&lt;DS$5+GanttPeriod),"◆",IF(AND($E25&gt;=DS$5,$E25&lt;DS$5+GanttPeriod),"◇","")),IF(AND(DS$5&lt;=$F25,DS$5+GanttPeriod-1&gt;=$E25),"━","")))</f>
        <v>━</v>
      </c>
      <c r="DT25" s="69" t="str">
        <f aca="false">IF($E25="","",IF($M25,IF(AND($G25&gt;=DT$5,$G25&lt;DT$5+GanttPeriod),"◆",IF(AND($E25&gt;=DT$5,$E25&lt;DT$5+GanttPeriod),"◇","")),IF(AND(DT$5&lt;=$F25,DT$5+GanttPeriod-1&gt;=$E25),"━","")))</f>
        <v>━</v>
      </c>
      <c r="DU25" s="69" t="str">
        <f aca="false">IF($E25="","",IF($M25,IF(AND($G25&gt;=DU$5,$G25&lt;DU$5+GanttPeriod),"◆",IF(AND($E25&gt;=DU$5,$E25&lt;DU$5+GanttPeriod),"◇","")),IF(AND(DU$5&lt;=$F25,DU$5+GanttPeriod-1&gt;=$E25),"━","")))</f>
        <v>━</v>
      </c>
      <c r="DV25" s="69" t="str">
        <f aca="false">IF($E25="","",IF($M25,IF(AND($G25&gt;=DV$5,$G25&lt;DV$5+GanttPeriod),"◆",IF(AND($E25&gt;=DV$5,$E25&lt;DV$5+GanttPeriod),"◇","")),IF(AND(DV$5&lt;=$F25,DV$5+GanttPeriod-1&gt;=$E25),"━","")))</f>
        <v>━</v>
      </c>
      <c r="DW25" s="69" t="str">
        <f aca="false">IF($E25="","",IF($M25,IF(AND($G25&gt;=DW$5,$G25&lt;DW$5+GanttPeriod),"◆",IF(AND($E25&gt;=DW$5,$E25&lt;DW$5+GanttPeriod),"◇","")),IF(AND(DW$5&lt;=$F25,DW$5+GanttPeriod-1&gt;=$E25),"━","")))</f>
        <v>━</v>
      </c>
      <c r="DX25" s="69" t="str">
        <f aca="false">IF($E25="","",IF($M25,IF(AND($G25&gt;=DX$5,$G25&lt;DX$5+GanttPeriod),"◆",IF(AND($E25&gt;=DX$5,$E25&lt;DX$5+GanttPeriod),"◇","")),IF(AND(DX$5&lt;=$F25,DX$5+GanttPeriod-1&gt;=$E25),"━","")))</f>
        <v>━</v>
      </c>
      <c r="DY25" s="69" t="str">
        <f aca="false">IF($E25="","",IF($M25,IF(AND($G25&gt;=DY$5,$G25&lt;DY$5+GanttPeriod),"◆",IF(AND($E25&gt;=DY$5,$E25&lt;DY$5+GanttPeriod),"◇","")),IF(AND(DY$5&lt;=$F25,DY$5+GanttPeriod-1&gt;=$E25),"━","")))</f>
        <v>━</v>
      </c>
      <c r="DZ25" s="69" t="str">
        <f aca="false">IF($E25="","",IF($M25,IF(AND($G25&gt;=DZ$5,$G25&lt;DZ$5+GanttPeriod),"◆",IF(AND($E25&gt;=DZ$5,$E25&lt;DZ$5+GanttPeriod),"◇","")),IF(AND(DZ$5&lt;=$F25,DZ$5+GanttPeriod-1&gt;=$E25),"━","")))</f>
        <v>━</v>
      </c>
      <c r="EA25" s="69" t="str">
        <f aca="false">IF($E25="","",IF($M25,IF(AND($G25&gt;=EA$5,$G25&lt;EA$5+GanttPeriod),"◆",IF(AND($E25&gt;=EA$5,$E25&lt;EA$5+GanttPeriod),"◇","")),IF(AND(EA$5&lt;=$F25,EA$5+GanttPeriod-1&gt;=$E25),"━","")))</f>
        <v>━</v>
      </c>
      <c r="EB25" s="69" t="str">
        <f aca="false">IF($E25="","",IF($M25,IF(AND($G25&gt;=EB$5,$G25&lt;EB$5+GanttPeriod),"◆",IF(AND($E25&gt;=EB$5,$E25&lt;EB$5+GanttPeriod),"◇","")),IF(AND(EB$5&lt;=$F25,EB$5+GanttPeriod-1&gt;=$E25),"━","")))</f>
        <v>━</v>
      </c>
      <c r="EC25" s="69" t="str">
        <f aca="false">IF($E25="","",IF($M25,IF(AND($G25&gt;=EC$5,$G25&lt;EC$5+GanttPeriod),"◆",IF(AND($E25&gt;=EC$5,$E25&lt;EC$5+GanttPeriod),"◇","")),IF(AND(EC$5&lt;=$F25,EC$5+GanttPeriod-1&gt;=$E25),"━","")))</f>
        <v>━</v>
      </c>
      <c r="ED25" s="69" t="str">
        <f aca="false">IF($E25="","",IF($M25,IF(AND($G25&gt;=ED$5,$G25&lt;ED$5+GanttPeriod),"◆",IF(AND($E25&gt;=ED$5,$E25&lt;ED$5+GanttPeriod),"◇","")),IF(AND(ED$5&lt;=$F25,ED$5+GanttPeriod-1&gt;=$E25),"━","")))</f>
        <v>━</v>
      </c>
      <c r="EE25" s="69" t="str">
        <f aca="false">IF($E25="","",IF($M25,IF(AND($G25&gt;=EE$5,$G25&lt;EE$5+GanttPeriod),"◆",IF(AND($E25&gt;=EE$5,$E25&lt;EE$5+GanttPeriod),"◇","")),IF(AND(EE$5&lt;=$F25,EE$5+GanttPeriod-1&gt;=$E25),"━","")))</f>
        <v>━</v>
      </c>
      <c r="EF25" s="69" t="str">
        <f aca="false">IF($E25="","",IF($M25,IF(AND($G25&gt;=EF$5,$G25&lt;EF$5+GanttPeriod),"◆",IF(AND($E25&gt;=EF$5,$E25&lt;EF$5+GanttPeriod),"◇","")),IF(AND(EF$5&lt;=$F25,EF$5+GanttPeriod-1&gt;=$E25),"━","")))</f>
        <v>━</v>
      </c>
      <c r="EG25" s="69" t="str">
        <f aca="false">IF($E25="","",IF($M25,IF(AND($G25&gt;=EG$5,$G25&lt;EG$5+GanttPeriod),"◆",IF(AND($E25&gt;=EG$5,$E25&lt;EG$5+GanttPeriod),"◇","")),IF(AND(EG$5&lt;=$F25,EG$5+GanttPeriod-1&gt;=$E25),"━","")))</f>
        <v>━</v>
      </c>
      <c r="EH25" s="69" t="str">
        <f aca="false">IF($E25="","",IF($M25,IF(AND($G25&gt;=EH$5,$G25&lt;EH$5+GanttPeriod),"◆",IF(AND($E25&gt;=EH$5,$E25&lt;EH$5+GanttPeriod),"◇","")),IF(AND(EH$5&lt;=$F25,EH$5+GanttPeriod-1&gt;=$E25),"━","")))</f>
        <v>━</v>
      </c>
      <c r="EI25" s="69" t="str">
        <f aca="false">IF($E25="","",IF($M25,IF(AND($G25&gt;=EI$5,$G25&lt;EI$5+GanttPeriod),"◆",IF(AND($E25&gt;=EI$5,$E25&lt;EI$5+GanttPeriod),"◇","")),IF(AND(EI$5&lt;=$F25,EI$5+GanttPeriod-1&gt;=$E25),"━","")))</f>
        <v>━</v>
      </c>
      <c r="EJ25" s="69" t="str">
        <f aca="false">IF($E25="","",IF($M25,IF(AND($G25&gt;=EJ$5,$G25&lt;EJ$5+GanttPeriod),"◆",IF(AND($E25&gt;=EJ$5,$E25&lt;EJ$5+GanttPeriod),"◇","")),IF(AND(EJ$5&lt;=$F25,EJ$5+GanttPeriod-1&gt;=$E25),"━","")))</f>
        <v/>
      </c>
      <c r="EK25" s="69" t="str">
        <f aca="false">IF($E25="","",IF($M25,IF(AND($G25&gt;=EK$5,$G25&lt;EK$5+GanttPeriod),"◆",IF(AND($E25&gt;=EK$5,$E25&lt;EK$5+GanttPeriod),"◇","")),IF(AND(EK$5&lt;=$F25,EK$5+GanttPeriod-1&gt;=$E25),"━","")))</f>
        <v/>
      </c>
      <c r="EL25" s="69" t="str">
        <f aca="false">IF($E25="","",IF($M25,IF(AND($G25&gt;=EL$5,$G25&lt;EL$5+GanttPeriod),"◆",IF(AND($E25&gt;=EL$5,$E25&lt;EL$5+GanttPeriod),"◇","")),IF(AND(EL$5&lt;=$F25,EL$5+GanttPeriod-1&gt;=$E25),"━","")))</f>
        <v/>
      </c>
      <c r="EM25" s="69" t="str">
        <f aca="false">IF($E25="","",IF($M25,IF(AND($G25&gt;=EM$5,$G25&lt;EM$5+GanttPeriod),"◆",IF(AND($E25&gt;=EM$5,$E25&lt;EM$5+GanttPeriod),"◇","")),IF(AND(EM$5&lt;=$F25,EM$5+GanttPeriod-1&gt;=$E25),"━","")))</f>
        <v/>
      </c>
      <c r="EN25" s="69" t="str">
        <f aca="false">IF($E25="","",IF($M25,IF(AND($G25&gt;=EN$5,$G25&lt;EN$5+GanttPeriod),"◆",IF(AND($E25&gt;=EN$5,$E25&lt;EN$5+GanttPeriod),"◇","")),IF(AND(EN$5&lt;=$F25,EN$5+GanttPeriod-1&gt;=$E25),"━","")))</f>
        <v/>
      </c>
      <c r="EO25" s="69" t="str">
        <f aca="false">IF($E25="","",IF($M25,IF(AND($G25&gt;=EO$5,$G25&lt;EO$5+GanttPeriod),"◆",IF(AND($E25&gt;=EO$5,$E25&lt;EO$5+GanttPeriod),"◇","")),IF(AND(EO$5&lt;=$F25,EO$5+GanttPeriod-1&gt;=$E25),"━","")))</f>
        <v/>
      </c>
      <c r="EP25" s="69" t="str">
        <f aca="false">IF($E25="","",IF($M25,IF(AND($G25&gt;=EP$5,$G25&lt;EP$5+GanttPeriod),"◆",IF(AND($E25&gt;=EP$5,$E25&lt;EP$5+GanttPeriod),"◇","")),IF(AND(EP$5&lt;=$F25,EP$5+GanttPeriod-1&gt;=$E25),"━","")))</f>
        <v/>
      </c>
      <c r="EQ25" s="69" t="str">
        <f aca="false">IF($E25="","",IF($M25,IF(AND($G25&gt;=EQ$5,$G25&lt;EQ$5+GanttPeriod),"◆",IF(AND($E25&gt;=EQ$5,$E25&lt;EQ$5+GanttPeriod),"◇","")),IF(AND(EQ$5&lt;=$F25,EQ$5+GanttPeriod-1&gt;=$E25),"━","")))</f>
        <v/>
      </c>
      <c r="ER25" s="69" t="str">
        <f aca="false">IF($E25="","",IF($M25,IF(AND($G25&gt;=ER$5,$G25&lt;ER$5+GanttPeriod),"◆",IF(AND($E25&gt;=ER$5,$E25&lt;ER$5+GanttPeriod),"◇","")),IF(AND(ER$5&lt;=$F25,ER$5+GanttPeriod-1&gt;=$E25),"━","")))</f>
        <v/>
      </c>
      <c r="ES25" s="69" t="str">
        <f aca="false">IF($E25="","",IF($M25,IF(AND($G25&gt;=ES$5,$G25&lt;ES$5+GanttPeriod),"◆",IF(AND($E25&gt;=ES$5,$E25&lt;ES$5+GanttPeriod),"◇","")),IF(AND(ES$5&lt;=$F25,ES$5+GanttPeriod-1&gt;=$E25),"━","")))</f>
        <v/>
      </c>
      <c r="ET25" s="69" t="str">
        <f aca="false">IF($E25="","",IF($M25,IF(AND($G25&gt;=ET$5,$G25&lt;ET$5+GanttPeriod),"◆",IF(AND($E25&gt;=ET$5,$E25&lt;ET$5+GanttPeriod),"◇","")),IF(AND(ET$5&lt;=$F25,ET$5+GanttPeriod-1&gt;=$E25),"━","")))</f>
        <v/>
      </c>
      <c r="EU25" s="69" t="str">
        <f aca="false">IF($E25="","",IF($M25,IF(AND($G25&gt;=EU$5,$G25&lt;EU$5+GanttPeriod),"◆",IF(AND($E25&gt;=EU$5,$E25&lt;EU$5+GanttPeriod),"◇","")),IF(AND(EU$5&lt;=$F25,EU$5+GanttPeriod-1&gt;=$E25),"━","")))</f>
        <v/>
      </c>
      <c r="EV25" s="69" t="str">
        <f aca="false">IF($E25="","",IF($M25,IF(AND($G25&gt;=EV$5,$G25&lt;EV$5+GanttPeriod),"◆",IF(AND($E25&gt;=EV$5,$E25&lt;EV$5+GanttPeriod),"◇","")),IF(AND(EV$5&lt;=$F25,EV$5+GanttPeriod-1&gt;=$E25),"━","")))</f>
        <v/>
      </c>
      <c r="EW25" s="69" t="str">
        <f aca="false">IF($E25="","",IF($M25,IF(AND($G25&gt;=EW$5,$G25&lt;EW$5+GanttPeriod),"◆",IF(AND($E25&gt;=EW$5,$E25&lt;EW$5+GanttPeriod),"◇","")),IF(AND(EW$5&lt;=$F25,EW$5+GanttPeriod-1&gt;=$E25),"━","")))</f>
        <v/>
      </c>
      <c r="EX25" s="69" t="str">
        <f aca="false">IF($E25="","",IF($M25,IF(AND($G25&gt;=EX$5,$G25&lt;EX$5+GanttPeriod),"◆",IF(AND($E25&gt;=EX$5,$E25&lt;EX$5+GanttPeriod),"◇","")),IF(AND(EX$5&lt;=$F25,EX$5+GanttPeriod-1&gt;=$E25),"━","")))</f>
        <v/>
      </c>
      <c r="EY25" s="69" t="str">
        <f aca="false">IF($E25="","",IF($M25,IF(AND($G25&gt;=EY$5,$G25&lt;EY$5+GanttPeriod),"◆",IF(AND($E25&gt;=EY$5,$E25&lt;EY$5+GanttPeriod),"◇","")),IF(AND(EY$5&lt;=$F25,EY$5+GanttPeriod-1&gt;=$E25),"━","")))</f>
        <v/>
      </c>
      <c r="EZ25" s="69" t="str">
        <f aca="false">IF($E25="","",IF($M25,IF(AND($G25&gt;=EZ$5,$G25&lt;EZ$5+GanttPeriod),"◆",IF(AND($E25&gt;=EZ$5,$E25&lt;EZ$5+GanttPeriod),"◇","")),IF(AND(EZ$5&lt;=$F25,EZ$5+GanttPeriod-1&gt;=$E25),"━","")))</f>
        <v/>
      </c>
      <c r="FA25" s="69" t="str">
        <f aca="false">IF($E25="","",IF($M25,IF(AND($G25&gt;=FA$5,$G25&lt;FA$5+GanttPeriod),"◆",IF(AND($E25&gt;=FA$5,$E25&lt;FA$5+GanttPeriod),"◇","")),IF(AND(FA$5&lt;=$F25,FA$5+GanttPeriod-1&gt;=$E25),"━","")))</f>
        <v/>
      </c>
      <c r="FB25" s="69" t="str">
        <f aca="false">IF($E25="","",IF($M25,IF(AND($G25&gt;=FB$5,$G25&lt;FB$5+GanttPeriod),"◆",IF(AND($E25&gt;=FB$5,$E25&lt;FB$5+GanttPeriod),"◇","")),IF(AND(FB$5&lt;=$F25,FB$5+GanttPeriod-1&gt;=$E25),"━","")))</f>
        <v/>
      </c>
      <c r="FC25" s="69" t="str">
        <f aca="false">IF($E25="","",IF($M25,IF(AND($G25&gt;=FC$5,$G25&lt;FC$5+GanttPeriod),"◆",IF(AND($E25&gt;=FC$5,$E25&lt;FC$5+GanttPeriod),"◇","")),IF(AND(FC$5&lt;=$F25,FC$5+GanttPeriod-1&gt;=$E25),"━","")))</f>
        <v/>
      </c>
      <c r="FD25" s="69" t="str">
        <f aca="false">IF($E25="","",IF($M25,IF(AND($G25&gt;=FD$5,$G25&lt;FD$5+GanttPeriod),"◆",IF(AND($E25&gt;=FD$5,$E25&lt;FD$5+GanttPeriod),"◇","")),IF(AND(FD$5&lt;=$F25,FD$5+GanttPeriod-1&gt;=$E25),"━","")))</f>
        <v/>
      </c>
      <c r="FE25" s="69" t="str">
        <f aca="false">IF($E25="","",IF($M25,IF(AND($G25&gt;=FE$5,$G25&lt;FE$5+GanttPeriod),"◆",IF(AND($E25&gt;=FE$5,$E25&lt;FE$5+GanttPeriod),"◇","")),IF(AND(FE$5&lt;=$F25,FE$5+GanttPeriod-1&gt;=$E25),"━","")))</f>
        <v/>
      </c>
      <c r="FF25" s="69" t="str">
        <f aca="false">IF($E25="","",IF($M25,IF(AND($G25&gt;=FF$5,$G25&lt;FF$5+GanttPeriod),"◆",IF(AND($E25&gt;=FF$5,$E25&lt;FF$5+GanttPeriod),"◇","")),IF(AND(FF$5&lt;=$F25,FF$5+GanttPeriod-1&gt;=$E25),"━","")))</f>
        <v/>
      </c>
      <c r="FG25" s="69" t="str">
        <f aca="false">IF($E25="","",IF($M25,IF(AND($G25&gt;=FG$5,$G25&lt;FG$5+GanttPeriod),"◆",IF(AND($E25&gt;=FG$5,$E25&lt;FG$5+GanttPeriod),"◇","")),IF(AND(FG$5&lt;=$F25,FG$5+GanttPeriod-1&gt;=$E25),"━","")))</f>
        <v/>
      </c>
      <c r="FH25" s="69" t="str">
        <f aca="false">IF($E25="","",IF($M25,IF(AND($G25&gt;=FH$5,$G25&lt;FH$5+GanttPeriod),"◆",IF(AND($E25&gt;=FH$5,$E25&lt;FH$5+GanttPeriod),"◇","")),IF(AND(FH$5&lt;=$F25,FH$5+GanttPeriod-1&gt;=$E25),"━","")))</f>
        <v/>
      </c>
      <c r="FI25" s="69" t="str">
        <f aca="false">IF($E25="","",IF($M25,IF(AND($G25&gt;=FI$5,$G25&lt;FI$5+GanttPeriod),"◆",IF(AND($E25&gt;=FI$5,$E25&lt;FI$5+GanttPeriod),"◇","")),IF(AND(FI$5&lt;=$F25,FI$5+GanttPeriod-1&gt;=$E25),"━","")))</f>
        <v/>
      </c>
      <c r="FJ25" s="69" t="str">
        <f aca="false">IF($E25="","",IF($M25,IF(AND($G25&gt;=FJ$5,$G25&lt;FJ$5+GanttPeriod),"◆",IF(AND($E25&gt;=FJ$5,$E25&lt;FJ$5+GanttPeriod),"◇","")),IF(AND(FJ$5&lt;=$F25,FJ$5+GanttPeriod-1&gt;=$E25),"━","")))</f>
        <v/>
      </c>
      <c r="FK25" s="69" t="str">
        <f aca="false">IF($E25="","",IF($M25,IF(AND($G25&gt;=FK$5,$G25&lt;FK$5+GanttPeriod),"◆",IF(AND($E25&gt;=FK$5,$E25&lt;FK$5+GanttPeriod),"◇","")),IF(AND(FK$5&lt;=$F25,FK$5+GanttPeriod-1&gt;=$E25),"━","")))</f>
        <v/>
      </c>
      <c r="FL25" s="69" t="str">
        <f aca="false">IF($E25="","",IF($M25,IF(AND($G25&gt;=FL$5,$G25&lt;FL$5+GanttPeriod),"◆",IF(AND($E25&gt;=FL$5,$E25&lt;FL$5+GanttPeriod),"◇","")),IF(AND(FL$5&lt;=$F25,FL$5+GanttPeriod-1&gt;=$E25),"━","")))</f>
        <v/>
      </c>
      <c r="FM25" s="69" t="str">
        <f aca="false">IF($E25="","",IF($M25,IF(AND($G25&gt;=FM$5,$G25&lt;FM$5+GanttPeriod),"◆",IF(AND($E25&gt;=FM$5,$E25&lt;FM$5+GanttPeriod),"◇","")),IF(AND(FM$5&lt;=$F25,FM$5+GanttPeriod-1&gt;=$E25),"━","")))</f>
        <v/>
      </c>
    </row>
    <row r="26" customFormat="false" ht="15" hidden="false" customHeight="false" outlineLevel="0" collapsed="false">
      <c r="A26" s="62" t="n">
        <f aca="false">IF(Tasks!$D26="","",Tasks!$A26)</f>
        <v>21</v>
      </c>
      <c r="B26" s="62" t="str">
        <f aca="false">IF(Tasks!$D26="","",Tasks!$B26)</f>
        <v>4.1</v>
      </c>
      <c r="C26" s="63" t="str">
        <f aca="false">IF(Tasks!$D26="","",REPT("    ",Tasks!$AE26-1)&amp;Tasks!$D26)</f>
        <v>    System integration testing</v>
      </c>
      <c r="D26" s="62" t="n">
        <f aca="false">IF(Tasks!$D26="","",IF(Tasks!$AI26,NETWORKDAYS.INTL(Tasks!$R26,Tasks!$S26,WorkWeek,Holidays),N(Tasks!$F26)))</f>
        <v>8</v>
      </c>
      <c r="E26" s="64" t="n">
        <f aca="false">IF(Tasks!$D26="","",Tasks!$N26)</f>
        <v>46328</v>
      </c>
      <c r="F26" s="64" t="n">
        <f aca="false">IF(Tasks!$D26="","",Tasks!$O26)</f>
        <v>46337</v>
      </c>
      <c r="G26" s="64" t="n">
        <f aca="false">IF(Tasks!$D26="","",Tasks!$R26)</f>
        <v>46336</v>
      </c>
      <c r="H26" s="64" t="n">
        <f aca="false">IF(Tasks!$D26="","",Tasks!$S26)</f>
        <v>46345</v>
      </c>
      <c r="I26" s="65" t="n">
        <f aca="false">IF(Tasks!$D26="","",Tasks!$V26)</f>
        <v>0</v>
      </c>
      <c r="J26" s="63" t="str">
        <f aca="false">IF(Tasks!$D26="","",Tasks!$X26&amp;"")</f>
        <v>Taylor Morgan</v>
      </c>
      <c r="K26" s="66" t="str">
        <f aca="false">IF(Tasks!$D26="","",Tasks!$W26)</f>
        <v>Not Started</v>
      </c>
      <c r="L26" s="67" t="b">
        <f aca="false">IF(Tasks!$D26="",FALSE(),Tasks!$AI26)</f>
        <v>0</v>
      </c>
      <c r="M26" s="67" t="b">
        <f aca="false">AND(Tasks!$AJ26=1,N(Tasks!$F26)=0)</f>
        <v>0</v>
      </c>
      <c r="N26" s="68" t="n">
        <f aca="false">IF(AND(Tasks!$AJ26=1,NOT($M26),N($I26)&gt;0),$G26,0)</f>
        <v>0</v>
      </c>
      <c r="O26" s="68" t="n">
        <f aca="false">IF($N26=0,0,IF($I26&gt;=1,$H26,MAX($N26,$G26+ROUND(($H26-$G26+1)*$I26,0)-1)))</f>
        <v>0</v>
      </c>
      <c r="P26" s="68" t="n">
        <f aca="false">IF(OR(Tasks!$AJ26&lt;&gt;1,$M26,N($I26)&gt;=1),0,IF($O26&gt;0,$O26+1,$G26))</f>
        <v>46336</v>
      </c>
      <c r="Q26" s="68" t="n">
        <f aca="false">IF($P26=0,0,$H26)</f>
        <v>46345</v>
      </c>
      <c r="R26" s="67" t="b">
        <f aca="false">AND(Tasks!$D26&lt;&gt;"",N(Tasks!$T26)&gt;0)</f>
        <v>1</v>
      </c>
      <c r="T26" s="69" t="str">
        <f aca="false">IF($E26="","",IF($M26,IF(AND($G26&gt;=T$5,$G26&lt;T$5+GanttPeriod),"◆",IF(AND($E26&gt;=T$5,$E26&lt;T$5+GanttPeriod),"◇","")),IF(AND(T$5&lt;=$F26,T$5+GanttPeriod-1&gt;=$E26),"━","")))</f>
        <v/>
      </c>
      <c r="U26" s="69" t="str">
        <f aca="false">IF($E26="","",IF($M26,IF(AND($G26&gt;=U$5,$G26&lt;U$5+GanttPeriod),"◆",IF(AND($E26&gt;=U$5,$E26&lt;U$5+GanttPeriod),"◇","")),IF(AND(U$5&lt;=$F26,U$5+GanttPeriod-1&gt;=$E26),"━","")))</f>
        <v/>
      </c>
      <c r="V26" s="69" t="str">
        <f aca="false">IF($E26="","",IF($M26,IF(AND($G26&gt;=V$5,$G26&lt;V$5+GanttPeriod),"◆",IF(AND($E26&gt;=V$5,$E26&lt;V$5+GanttPeriod),"◇","")),IF(AND(V$5&lt;=$F26,V$5+GanttPeriod-1&gt;=$E26),"━","")))</f>
        <v/>
      </c>
      <c r="W26" s="69" t="str">
        <f aca="false">IF($E26="","",IF($M26,IF(AND($G26&gt;=W$5,$G26&lt;W$5+GanttPeriod),"◆",IF(AND($E26&gt;=W$5,$E26&lt;W$5+GanttPeriod),"◇","")),IF(AND(W$5&lt;=$F26,W$5+GanttPeriod-1&gt;=$E26),"━","")))</f>
        <v/>
      </c>
      <c r="X26" s="69" t="str">
        <f aca="false">IF($E26="","",IF($M26,IF(AND($G26&gt;=X$5,$G26&lt;X$5+GanttPeriod),"◆",IF(AND($E26&gt;=X$5,$E26&lt;X$5+GanttPeriod),"◇","")),IF(AND(X$5&lt;=$F26,X$5+GanttPeriod-1&gt;=$E26),"━","")))</f>
        <v/>
      </c>
      <c r="Y26" s="69" t="str">
        <f aca="false">IF($E26="","",IF($M26,IF(AND($G26&gt;=Y$5,$G26&lt;Y$5+GanttPeriod),"◆",IF(AND($E26&gt;=Y$5,$E26&lt;Y$5+GanttPeriod),"◇","")),IF(AND(Y$5&lt;=$F26,Y$5+GanttPeriod-1&gt;=$E26),"━","")))</f>
        <v/>
      </c>
      <c r="Z26" s="69" t="str">
        <f aca="false">IF($E26="","",IF($M26,IF(AND($G26&gt;=Z$5,$G26&lt;Z$5+GanttPeriod),"◆",IF(AND($E26&gt;=Z$5,$E26&lt;Z$5+GanttPeriod),"◇","")),IF(AND(Z$5&lt;=$F26,Z$5+GanttPeriod-1&gt;=$E26),"━","")))</f>
        <v/>
      </c>
      <c r="AA26" s="69" t="str">
        <f aca="false">IF($E26="","",IF($M26,IF(AND($G26&gt;=AA$5,$G26&lt;AA$5+GanttPeriod),"◆",IF(AND($E26&gt;=AA$5,$E26&lt;AA$5+GanttPeriod),"◇","")),IF(AND(AA$5&lt;=$F26,AA$5+GanttPeriod-1&gt;=$E26),"━","")))</f>
        <v/>
      </c>
      <c r="AB26" s="69" t="str">
        <f aca="false">IF($E26="","",IF($M26,IF(AND($G26&gt;=AB$5,$G26&lt;AB$5+GanttPeriod),"◆",IF(AND($E26&gt;=AB$5,$E26&lt;AB$5+GanttPeriod),"◇","")),IF(AND(AB$5&lt;=$F26,AB$5+GanttPeriod-1&gt;=$E26),"━","")))</f>
        <v/>
      </c>
      <c r="AC26" s="69" t="str">
        <f aca="false">IF($E26="","",IF($M26,IF(AND($G26&gt;=AC$5,$G26&lt;AC$5+GanttPeriod),"◆",IF(AND($E26&gt;=AC$5,$E26&lt;AC$5+GanttPeriod),"◇","")),IF(AND(AC$5&lt;=$F26,AC$5+GanttPeriod-1&gt;=$E26),"━","")))</f>
        <v/>
      </c>
      <c r="AD26" s="69" t="str">
        <f aca="false">IF($E26="","",IF($M26,IF(AND($G26&gt;=AD$5,$G26&lt;AD$5+GanttPeriod),"◆",IF(AND($E26&gt;=AD$5,$E26&lt;AD$5+GanttPeriod),"◇","")),IF(AND(AD$5&lt;=$F26,AD$5+GanttPeriod-1&gt;=$E26),"━","")))</f>
        <v/>
      </c>
      <c r="AE26" s="69" t="str">
        <f aca="false">IF($E26="","",IF($M26,IF(AND($G26&gt;=AE$5,$G26&lt;AE$5+GanttPeriod),"◆",IF(AND($E26&gt;=AE$5,$E26&lt;AE$5+GanttPeriod),"◇","")),IF(AND(AE$5&lt;=$F26,AE$5+GanttPeriod-1&gt;=$E26),"━","")))</f>
        <v/>
      </c>
      <c r="AF26" s="69" t="str">
        <f aca="false">IF($E26="","",IF($M26,IF(AND($G26&gt;=AF$5,$G26&lt;AF$5+GanttPeriod),"◆",IF(AND($E26&gt;=AF$5,$E26&lt;AF$5+GanttPeriod),"◇","")),IF(AND(AF$5&lt;=$F26,AF$5+GanttPeriod-1&gt;=$E26),"━","")))</f>
        <v/>
      </c>
      <c r="AG26" s="69" t="str">
        <f aca="false">IF($E26="","",IF($M26,IF(AND($G26&gt;=AG$5,$G26&lt;AG$5+GanttPeriod),"◆",IF(AND($E26&gt;=AG$5,$E26&lt;AG$5+GanttPeriod),"◇","")),IF(AND(AG$5&lt;=$F26,AG$5+GanttPeriod-1&gt;=$E26),"━","")))</f>
        <v/>
      </c>
      <c r="AH26" s="69" t="str">
        <f aca="false">IF($E26="","",IF($M26,IF(AND($G26&gt;=AH$5,$G26&lt;AH$5+GanttPeriod),"◆",IF(AND($E26&gt;=AH$5,$E26&lt;AH$5+GanttPeriod),"◇","")),IF(AND(AH$5&lt;=$F26,AH$5+GanttPeriod-1&gt;=$E26),"━","")))</f>
        <v/>
      </c>
      <c r="AI26" s="69" t="str">
        <f aca="false">IF($E26="","",IF($M26,IF(AND($G26&gt;=AI$5,$G26&lt;AI$5+GanttPeriod),"◆",IF(AND($E26&gt;=AI$5,$E26&lt;AI$5+GanttPeriod),"◇","")),IF(AND(AI$5&lt;=$F26,AI$5+GanttPeriod-1&gt;=$E26),"━","")))</f>
        <v/>
      </c>
      <c r="AJ26" s="69" t="str">
        <f aca="false">IF($E26="","",IF($M26,IF(AND($G26&gt;=AJ$5,$G26&lt;AJ$5+GanttPeriod),"◆",IF(AND($E26&gt;=AJ$5,$E26&lt;AJ$5+GanttPeriod),"◇","")),IF(AND(AJ$5&lt;=$F26,AJ$5+GanttPeriod-1&gt;=$E26),"━","")))</f>
        <v/>
      </c>
      <c r="AK26" s="69" t="str">
        <f aca="false">IF($E26="","",IF($M26,IF(AND($G26&gt;=AK$5,$G26&lt;AK$5+GanttPeriod),"◆",IF(AND($E26&gt;=AK$5,$E26&lt;AK$5+GanttPeriod),"◇","")),IF(AND(AK$5&lt;=$F26,AK$5+GanttPeriod-1&gt;=$E26),"━","")))</f>
        <v/>
      </c>
      <c r="AL26" s="69" t="str">
        <f aca="false">IF($E26="","",IF($M26,IF(AND($G26&gt;=AL$5,$G26&lt;AL$5+GanttPeriod),"◆",IF(AND($E26&gt;=AL$5,$E26&lt;AL$5+GanttPeriod),"◇","")),IF(AND(AL$5&lt;=$F26,AL$5+GanttPeriod-1&gt;=$E26),"━","")))</f>
        <v/>
      </c>
      <c r="AM26" s="69" t="str">
        <f aca="false">IF($E26="","",IF($M26,IF(AND($G26&gt;=AM$5,$G26&lt;AM$5+GanttPeriod),"◆",IF(AND($E26&gt;=AM$5,$E26&lt;AM$5+GanttPeriod),"◇","")),IF(AND(AM$5&lt;=$F26,AM$5+GanttPeriod-1&gt;=$E26),"━","")))</f>
        <v/>
      </c>
      <c r="AN26" s="69" t="str">
        <f aca="false">IF($E26="","",IF($M26,IF(AND($G26&gt;=AN$5,$G26&lt;AN$5+GanttPeriod),"◆",IF(AND($E26&gt;=AN$5,$E26&lt;AN$5+GanttPeriod),"◇","")),IF(AND(AN$5&lt;=$F26,AN$5+GanttPeriod-1&gt;=$E26),"━","")))</f>
        <v/>
      </c>
      <c r="AO26" s="69" t="str">
        <f aca="false">IF($E26="","",IF($M26,IF(AND($G26&gt;=AO$5,$G26&lt;AO$5+GanttPeriod),"◆",IF(AND($E26&gt;=AO$5,$E26&lt;AO$5+GanttPeriod),"◇","")),IF(AND(AO$5&lt;=$F26,AO$5+GanttPeriod-1&gt;=$E26),"━","")))</f>
        <v/>
      </c>
      <c r="AP26" s="69" t="str">
        <f aca="false">IF($E26="","",IF($M26,IF(AND($G26&gt;=AP$5,$G26&lt;AP$5+GanttPeriod),"◆",IF(AND($E26&gt;=AP$5,$E26&lt;AP$5+GanttPeriod),"◇","")),IF(AND(AP$5&lt;=$F26,AP$5+GanttPeriod-1&gt;=$E26),"━","")))</f>
        <v/>
      </c>
      <c r="AQ26" s="69" t="str">
        <f aca="false">IF($E26="","",IF($M26,IF(AND($G26&gt;=AQ$5,$G26&lt;AQ$5+GanttPeriod),"◆",IF(AND($E26&gt;=AQ$5,$E26&lt;AQ$5+GanttPeriod),"◇","")),IF(AND(AQ$5&lt;=$F26,AQ$5+GanttPeriod-1&gt;=$E26),"━","")))</f>
        <v/>
      </c>
      <c r="AR26" s="69" t="str">
        <f aca="false">IF($E26="","",IF($M26,IF(AND($G26&gt;=AR$5,$G26&lt;AR$5+GanttPeriod),"◆",IF(AND($E26&gt;=AR$5,$E26&lt;AR$5+GanttPeriod),"◇","")),IF(AND(AR$5&lt;=$F26,AR$5+GanttPeriod-1&gt;=$E26),"━","")))</f>
        <v/>
      </c>
      <c r="AS26" s="69" t="str">
        <f aca="false">IF($E26="","",IF($M26,IF(AND($G26&gt;=AS$5,$G26&lt;AS$5+GanttPeriod),"◆",IF(AND($E26&gt;=AS$5,$E26&lt;AS$5+GanttPeriod),"◇","")),IF(AND(AS$5&lt;=$F26,AS$5+GanttPeriod-1&gt;=$E26),"━","")))</f>
        <v/>
      </c>
      <c r="AT26" s="69" t="str">
        <f aca="false">IF($E26="","",IF($M26,IF(AND($G26&gt;=AT$5,$G26&lt;AT$5+GanttPeriod),"◆",IF(AND($E26&gt;=AT$5,$E26&lt;AT$5+GanttPeriod),"◇","")),IF(AND(AT$5&lt;=$F26,AT$5+GanttPeriod-1&gt;=$E26),"━","")))</f>
        <v/>
      </c>
      <c r="AU26" s="69" t="str">
        <f aca="false">IF($E26="","",IF($M26,IF(AND($G26&gt;=AU$5,$G26&lt;AU$5+GanttPeriod),"◆",IF(AND($E26&gt;=AU$5,$E26&lt;AU$5+GanttPeriod),"◇","")),IF(AND(AU$5&lt;=$F26,AU$5+GanttPeriod-1&gt;=$E26),"━","")))</f>
        <v/>
      </c>
      <c r="AV26" s="69" t="str">
        <f aca="false">IF($E26="","",IF($M26,IF(AND($G26&gt;=AV$5,$G26&lt;AV$5+GanttPeriod),"◆",IF(AND($E26&gt;=AV$5,$E26&lt;AV$5+GanttPeriod),"◇","")),IF(AND(AV$5&lt;=$F26,AV$5+GanttPeriod-1&gt;=$E26),"━","")))</f>
        <v/>
      </c>
      <c r="AW26" s="69" t="str">
        <f aca="false">IF($E26="","",IF($M26,IF(AND($G26&gt;=AW$5,$G26&lt;AW$5+GanttPeriod),"◆",IF(AND($E26&gt;=AW$5,$E26&lt;AW$5+GanttPeriod),"◇","")),IF(AND(AW$5&lt;=$F26,AW$5+GanttPeriod-1&gt;=$E26),"━","")))</f>
        <v/>
      </c>
      <c r="AX26" s="69" t="str">
        <f aca="false">IF($E26="","",IF($M26,IF(AND($G26&gt;=AX$5,$G26&lt;AX$5+GanttPeriod),"◆",IF(AND($E26&gt;=AX$5,$E26&lt;AX$5+GanttPeriod),"◇","")),IF(AND(AX$5&lt;=$F26,AX$5+GanttPeriod-1&gt;=$E26),"━","")))</f>
        <v/>
      </c>
      <c r="AY26" s="69" t="str">
        <f aca="false">IF($E26="","",IF($M26,IF(AND($G26&gt;=AY$5,$G26&lt;AY$5+GanttPeriod),"◆",IF(AND($E26&gt;=AY$5,$E26&lt;AY$5+GanttPeriod),"◇","")),IF(AND(AY$5&lt;=$F26,AY$5+GanttPeriod-1&gt;=$E26),"━","")))</f>
        <v/>
      </c>
      <c r="AZ26" s="69" t="str">
        <f aca="false">IF($E26="","",IF($M26,IF(AND($G26&gt;=AZ$5,$G26&lt;AZ$5+GanttPeriod),"◆",IF(AND($E26&gt;=AZ$5,$E26&lt;AZ$5+GanttPeriod),"◇","")),IF(AND(AZ$5&lt;=$F26,AZ$5+GanttPeriod-1&gt;=$E26),"━","")))</f>
        <v/>
      </c>
      <c r="BA26" s="69" t="str">
        <f aca="false">IF($E26="","",IF($M26,IF(AND($G26&gt;=BA$5,$G26&lt;BA$5+GanttPeriod),"◆",IF(AND($E26&gt;=BA$5,$E26&lt;BA$5+GanttPeriod),"◇","")),IF(AND(BA$5&lt;=$F26,BA$5+GanttPeriod-1&gt;=$E26),"━","")))</f>
        <v/>
      </c>
      <c r="BB26" s="69" t="str">
        <f aca="false">IF($E26="","",IF($M26,IF(AND($G26&gt;=BB$5,$G26&lt;BB$5+GanttPeriod),"◆",IF(AND($E26&gt;=BB$5,$E26&lt;BB$5+GanttPeriod),"◇","")),IF(AND(BB$5&lt;=$F26,BB$5+GanttPeriod-1&gt;=$E26),"━","")))</f>
        <v/>
      </c>
      <c r="BC26" s="69" t="str">
        <f aca="false">IF($E26="","",IF($M26,IF(AND($G26&gt;=BC$5,$G26&lt;BC$5+GanttPeriod),"◆",IF(AND($E26&gt;=BC$5,$E26&lt;BC$5+GanttPeriod),"◇","")),IF(AND(BC$5&lt;=$F26,BC$5+GanttPeriod-1&gt;=$E26),"━","")))</f>
        <v/>
      </c>
      <c r="BD26" s="69" t="str">
        <f aca="false">IF($E26="","",IF($M26,IF(AND($G26&gt;=BD$5,$G26&lt;BD$5+GanttPeriod),"◆",IF(AND($E26&gt;=BD$5,$E26&lt;BD$5+GanttPeriod),"◇","")),IF(AND(BD$5&lt;=$F26,BD$5+GanttPeriod-1&gt;=$E26),"━","")))</f>
        <v/>
      </c>
      <c r="BE26" s="69" t="str">
        <f aca="false">IF($E26="","",IF($M26,IF(AND($G26&gt;=BE$5,$G26&lt;BE$5+GanttPeriod),"◆",IF(AND($E26&gt;=BE$5,$E26&lt;BE$5+GanttPeriod),"◇","")),IF(AND(BE$5&lt;=$F26,BE$5+GanttPeriod-1&gt;=$E26),"━","")))</f>
        <v/>
      </c>
      <c r="BF26" s="69" t="str">
        <f aca="false">IF($E26="","",IF($M26,IF(AND($G26&gt;=BF$5,$G26&lt;BF$5+GanttPeriod),"◆",IF(AND($E26&gt;=BF$5,$E26&lt;BF$5+GanttPeriod),"◇","")),IF(AND(BF$5&lt;=$F26,BF$5+GanttPeriod-1&gt;=$E26),"━","")))</f>
        <v/>
      </c>
      <c r="BG26" s="69" t="str">
        <f aca="false">IF($E26="","",IF($M26,IF(AND($G26&gt;=BG$5,$G26&lt;BG$5+GanttPeriod),"◆",IF(AND($E26&gt;=BG$5,$E26&lt;BG$5+GanttPeriod),"◇","")),IF(AND(BG$5&lt;=$F26,BG$5+GanttPeriod-1&gt;=$E26),"━","")))</f>
        <v/>
      </c>
      <c r="BH26" s="69" t="str">
        <f aca="false">IF($E26="","",IF($M26,IF(AND($G26&gt;=BH$5,$G26&lt;BH$5+GanttPeriod),"◆",IF(AND($E26&gt;=BH$5,$E26&lt;BH$5+GanttPeriod),"◇","")),IF(AND(BH$5&lt;=$F26,BH$5+GanttPeriod-1&gt;=$E26),"━","")))</f>
        <v/>
      </c>
      <c r="BI26" s="69" t="str">
        <f aca="false">IF($E26="","",IF($M26,IF(AND($G26&gt;=BI$5,$G26&lt;BI$5+GanttPeriod),"◆",IF(AND($E26&gt;=BI$5,$E26&lt;BI$5+GanttPeriod),"◇","")),IF(AND(BI$5&lt;=$F26,BI$5+GanttPeriod-1&gt;=$E26),"━","")))</f>
        <v/>
      </c>
      <c r="BJ26" s="69" t="str">
        <f aca="false">IF($E26="","",IF($M26,IF(AND($G26&gt;=BJ$5,$G26&lt;BJ$5+GanttPeriod),"◆",IF(AND($E26&gt;=BJ$5,$E26&lt;BJ$5+GanttPeriod),"◇","")),IF(AND(BJ$5&lt;=$F26,BJ$5+GanttPeriod-1&gt;=$E26),"━","")))</f>
        <v/>
      </c>
      <c r="BK26" s="69" t="str">
        <f aca="false">IF($E26="","",IF($M26,IF(AND($G26&gt;=BK$5,$G26&lt;BK$5+GanttPeriod),"◆",IF(AND($E26&gt;=BK$5,$E26&lt;BK$5+GanttPeriod),"◇","")),IF(AND(BK$5&lt;=$F26,BK$5+GanttPeriod-1&gt;=$E26),"━","")))</f>
        <v/>
      </c>
      <c r="BL26" s="69" t="str">
        <f aca="false">IF($E26="","",IF($M26,IF(AND($G26&gt;=BL$5,$G26&lt;BL$5+GanttPeriod),"◆",IF(AND($E26&gt;=BL$5,$E26&lt;BL$5+GanttPeriod),"◇","")),IF(AND(BL$5&lt;=$F26,BL$5+GanttPeriod-1&gt;=$E26),"━","")))</f>
        <v/>
      </c>
      <c r="BM26" s="69" t="str">
        <f aca="false">IF($E26="","",IF($M26,IF(AND($G26&gt;=BM$5,$G26&lt;BM$5+GanttPeriod),"◆",IF(AND($E26&gt;=BM$5,$E26&lt;BM$5+GanttPeriod),"◇","")),IF(AND(BM$5&lt;=$F26,BM$5+GanttPeriod-1&gt;=$E26),"━","")))</f>
        <v/>
      </c>
      <c r="BN26" s="69" t="str">
        <f aca="false">IF($E26="","",IF($M26,IF(AND($G26&gt;=BN$5,$G26&lt;BN$5+GanttPeriod),"◆",IF(AND($E26&gt;=BN$5,$E26&lt;BN$5+GanttPeriod),"◇","")),IF(AND(BN$5&lt;=$F26,BN$5+GanttPeriod-1&gt;=$E26),"━","")))</f>
        <v/>
      </c>
      <c r="BO26" s="69" t="str">
        <f aca="false">IF($E26="","",IF($M26,IF(AND($G26&gt;=BO$5,$G26&lt;BO$5+GanttPeriod),"◆",IF(AND($E26&gt;=BO$5,$E26&lt;BO$5+GanttPeriod),"◇","")),IF(AND(BO$5&lt;=$F26,BO$5+GanttPeriod-1&gt;=$E26),"━","")))</f>
        <v/>
      </c>
      <c r="BP26" s="69" t="str">
        <f aca="false">IF($E26="","",IF($M26,IF(AND($G26&gt;=BP$5,$G26&lt;BP$5+GanttPeriod),"◆",IF(AND($E26&gt;=BP$5,$E26&lt;BP$5+GanttPeriod),"◇","")),IF(AND(BP$5&lt;=$F26,BP$5+GanttPeriod-1&gt;=$E26),"━","")))</f>
        <v/>
      </c>
      <c r="BQ26" s="69" t="str">
        <f aca="false">IF($E26="","",IF($M26,IF(AND($G26&gt;=BQ$5,$G26&lt;BQ$5+GanttPeriod),"◆",IF(AND($E26&gt;=BQ$5,$E26&lt;BQ$5+GanttPeriod),"◇","")),IF(AND(BQ$5&lt;=$F26,BQ$5+GanttPeriod-1&gt;=$E26),"━","")))</f>
        <v/>
      </c>
      <c r="BR26" s="69" t="str">
        <f aca="false">IF($E26="","",IF($M26,IF(AND($G26&gt;=BR$5,$G26&lt;BR$5+GanttPeriod),"◆",IF(AND($E26&gt;=BR$5,$E26&lt;BR$5+GanttPeriod),"◇","")),IF(AND(BR$5&lt;=$F26,BR$5+GanttPeriod-1&gt;=$E26),"━","")))</f>
        <v/>
      </c>
      <c r="BS26" s="69" t="str">
        <f aca="false">IF($E26="","",IF($M26,IF(AND($G26&gt;=BS$5,$G26&lt;BS$5+GanttPeriod),"◆",IF(AND($E26&gt;=BS$5,$E26&lt;BS$5+GanttPeriod),"◇","")),IF(AND(BS$5&lt;=$F26,BS$5+GanttPeriod-1&gt;=$E26),"━","")))</f>
        <v/>
      </c>
      <c r="BT26" s="69" t="str">
        <f aca="false">IF($E26="","",IF($M26,IF(AND($G26&gt;=BT$5,$G26&lt;BT$5+GanttPeriod),"◆",IF(AND($E26&gt;=BT$5,$E26&lt;BT$5+GanttPeriod),"◇","")),IF(AND(BT$5&lt;=$F26,BT$5+GanttPeriod-1&gt;=$E26),"━","")))</f>
        <v/>
      </c>
      <c r="BU26" s="69" t="str">
        <f aca="false">IF($E26="","",IF($M26,IF(AND($G26&gt;=BU$5,$G26&lt;BU$5+GanttPeriod),"◆",IF(AND($E26&gt;=BU$5,$E26&lt;BU$5+GanttPeriod),"◇","")),IF(AND(BU$5&lt;=$F26,BU$5+GanttPeriod-1&gt;=$E26),"━","")))</f>
        <v/>
      </c>
      <c r="BV26" s="69" t="str">
        <f aca="false">IF($E26="","",IF($M26,IF(AND($G26&gt;=BV$5,$G26&lt;BV$5+GanttPeriod),"◆",IF(AND($E26&gt;=BV$5,$E26&lt;BV$5+GanttPeriod),"◇","")),IF(AND(BV$5&lt;=$F26,BV$5+GanttPeriod-1&gt;=$E26),"━","")))</f>
        <v/>
      </c>
      <c r="BW26" s="69" t="str">
        <f aca="false">IF($E26="","",IF($M26,IF(AND($G26&gt;=BW$5,$G26&lt;BW$5+GanttPeriod),"◆",IF(AND($E26&gt;=BW$5,$E26&lt;BW$5+GanttPeriod),"◇","")),IF(AND(BW$5&lt;=$F26,BW$5+GanttPeriod-1&gt;=$E26),"━","")))</f>
        <v/>
      </c>
      <c r="BX26" s="69" t="str">
        <f aca="false">IF($E26="","",IF($M26,IF(AND($G26&gt;=BX$5,$G26&lt;BX$5+GanttPeriod),"◆",IF(AND($E26&gt;=BX$5,$E26&lt;BX$5+GanttPeriod),"◇","")),IF(AND(BX$5&lt;=$F26,BX$5+GanttPeriod-1&gt;=$E26),"━","")))</f>
        <v>━</v>
      </c>
      <c r="BY26" s="69" t="str">
        <f aca="false">IF($E26="","",IF($M26,IF(AND($G26&gt;=BY$5,$G26&lt;BY$5+GanttPeriod),"◆",IF(AND($E26&gt;=BY$5,$E26&lt;BY$5+GanttPeriod),"◇","")),IF(AND(BY$5&lt;=$F26,BY$5+GanttPeriod-1&gt;=$E26),"━","")))</f>
        <v>━</v>
      </c>
      <c r="BZ26" s="69" t="str">
        <f aca="false">IF($E26="","",IF($M26,IF(AND($G26&gt;=BZ$5,$G26&lt;BZ$5+GanttPeriod),"◆",IF(AND($E26&gt;=BZ$5,$E26&lt;BZ$5+GanttPeriod),"◇","")),IF(AND(BZ$5&lt;=$F26,BZ$5+GanttPeriod-1&gt;=$E26),"━","")))</f>
        <v>━</v>
      </c>
      <c r="CA26" s="69" t="str">
        <f aca="false">IF($E26="","",IF($M26,IF(AND($G26&gt;=CA$5,$G26&lt;CA$5+GanttPeriod),"◆",IF(AND($E26&gt;=CA$5,$E26&lt;CA$5+GanttPeriod),"◇","")),IF(AND(CA$5&lt;=$F26,CA$5+GanttPeriod-1&gt;=$E26),"━","")))</f>
        <v>━</v>
      </c>
      <c r="CB26" s="69" t="str">
        <f aca="false">IF($E26="","",IF($M26,IF(AND($G26&gt;=CB$5,$G26&lt;CB$5+GanttPeriod),"◆",IF(AND($E26&gt;=CB$5,$E26&lt;CB$5+GanttPeriod),"◇","")),IF(AND(CB$5&lt;=$F26,CB$5+GanttPeriod-1&gt;=$E26),"━","")))</f>
        <v>━</v>
      </c>
      <c r="CC26" s="69" t="str">
        <f aca="false">IF($E26="","",IF($M26,IF(AND($G26&gt;=CC$5,$G26&lt;CC$5+GanttPeriod),"◆",IF(AND($E26&gt;=CC$5,$E26&lt;CC$5+GanttPeriod),"◇","")),IF(AND(CC$5&lt;=$F26,CC$5+GanttPeriod-1&gt;=$E26),"━","")))</f>
        <v>━</v>
      </c>
      <c r="CD26" s="69" t="str">
        <f aca="false">IF($E26="","",IF($M26,IF(AND($G26&gt;=CD$5,$G26&lt;CD$5+GanttPeriod),"◆",IF(AND($E26&gt;=CD$5,$E26&lt;CD$5+GanttPeriod),"◇","")),IF(AND(CD$5&lt;=$F26,CD$5+GanttPeriod-1&gt;=$E26),"━","")))</f>
        <v>━</v>
      </c>
      <c r="CE26" s="69" t="str">
        <f aca="false">IF($E26="","",IF($M26,IF(AND($G26&gt;=CE$5,$G26&lt;CE$5+GanttPeriod),"◆",IF(AND($E26&gt;=CE$5,$E26&lt;CE$5+GanttPeriod),"◇","")),IF(AND(CE$5&lt;=$F26,CE$5+GanttPeriod-1&gt;=$E26),"━","")))</f>
        <v>━</v>
      </c>
      <c r="CF26" s="69" t="str">
        <f aca="false">IF($E26="","",IF($M26,IF(AND($G26&gt;=CF$5,$G26&lt;CF$5+GanttPeriod),"◆",IF(AND($E26&gt;=CF$5,$E26&lt;CF$5+GanttPeriod),"◇","")),IF(AND(CF$5&lt;=$F26,CF$5+GanttPeriod-1&gt;=$E26),"━","")))</f>
        <v>━</v>
      </c>
      <c r="CG26" s="69" t="str">
        <f aca="false">IF($E26="","",IF($M26,IF(AND($G26&gt;=CG$5,$G26&lt;CG$5+GanttPeriod),"◆",IF(AND($E26&gt;=CG$5,$E26&lt;CG$5+GanttPeriod),"◇","")),IF(AND(CG$5&lt;=$F26,CG$5+GanttPeriod-1&gt;=$E26),"━","")))</f>
        <v>━</v>
      </c>
      <c r="CH26" s="69" t="str">
        <f aca="false">IF($E26="","",IF($M26,IF(AND($G26&gt;=CH$5,$G26&lt;CH$5+GanttPeriod),"◆",IF(AND($E26&gt;=CH$5,$E26&lt;CH$5+GanttPeriod),"◇","")),IF(AND(CH$5&lt;=$F26,CH$5+GanttPeriod-1&gt;=$E26),"━","")))</f>
        <v/>
      </c>
      <c r="CI26" s="69" t="str">
        <f aca="false">IF($E26="","",IF($M26,IF(AND($G26&gt;=CI$5,$G26&lt;CI$5+GanttPeriod),"◆",IF(AND($E26&gt;=CI$5,$E26&lt;CI$5+GanttPeriod),"◇","")),IF(AND(CI$5&lt;=$F26,CI$5+GanttPeriod-1&gt;=$E26),"━","")))</f>
        <v/>
      </c>
      <c r="CJ26" s="69" t="str">
        <f aca="false">IF($E26="","",IF($M26,IF(AND($G26&gt;=CJ$5,$G26&lt;CJ$5+GanttPeriod),"◆",IF(AND($E26&gt;=CJ$5,$E26&lt;CJ$5+GanttPeriod),"◇","")),IF(AND(CJ$5&lt;=$F26,CJ$5+GanttPeriod-1&gt;=$E26),"━","")))</f>
        <v/>
      </c>
      <c r="CK26" s="69" t="str">
        <f aca="false">IF($E26="","",IF($M26,IF(AND($G26&gt;=CK$5,$G26&lt;CK$5+GanttPeriod),"◆",IF(AND($E26&gt;=CK$5,$E26&lt;CK$5+GanttPeriod),"◇","")),IF(AND(CK$5&lt;=$F26,CK$5+GanttPeriod-1&gt;=$E26),"━","")))</f>
        <v/>
      </c>
      <c r="CL26" s="69" t="str">
        <f aca="false">IF($E26="","",IF($M26,IF(AND($G26&gt;=CL$5,$G26&lt;CL$5+GanttPeriod),"◆",IF(AND($E26&gt;=CL$5,$E26&lt;CL$5+GanttPeriod),"◇","")),IF(AND(CL$5&lt;=$F26,CL$5+GanttPeriod-1&gt;=$E26),"━","")))</f>
        <v/>
      </c>
      <c r="CM26" s="69" t="str">
        <f aca="false">IF($E26="","",IF($M26,IF(AND($G26&gt;=CM$5,$G26&lt;CM$5+GanttPeriod),"◆",IF(AND($E26&gt;=CM$5,$E26&lt;CM$5+GanttPeriod),"◇","")),IF(AND(CM$5&lt;=$F26,CM$5+GanttPeriod-1&gt;=$E26),"━","")))</f>
        <v/>
      </c>
      <c r="CN26" s="69" t="str">
        <f aca="false">IF($E26="","",IF($M26,IF(AND($G26&gt;=CN$5,$G26&lt;CN$5+GanttPeriod),"◆",IF(AND($E26&gt;=CN$5,$E26&lt;CN$5+GanttPeriod),"◇","")),IF(AND(CN$5&lt;=$F26,CN$5+GanttPeriod-1&gt;=$E26),"━","")))</f>
        <v/>
      </c>
      <c r="CO26" s="69" t="str">
        <f aca="false">IF($E26="","",IF($M26,IF(AND($G26&gt;=CO$5,$G26&lt;CO$5+GanttPeriod),"◆",IF(AND($E26&gt;=CO$5,$E26&lt;CO$5+GanttPeriod),"◇","")),IF(AND(CO$5&lt;=$F26,CO$5+GanttPeriod-1&gt;=$E26),"━","")))</f>
        <v/>
      </c>
      <c r="CP26" s="69" t="str">
        <f aca="false">IF($E26="","",IF($M26,IF(AND($G26&gt;=CP$5,$G26&lt;CP$5+GanttPeriod),"◆",IF(AND($E26&gt;=CP$5,$E26&lt;CP$5+GanttPeriod),"◇","")),IF(AND(CP$5&lt;=$F26,CP$5+GanttPeriod-1&gt;=$E26),"━","")))</f>
        <v/>
      </c>
      <c r="CQ26" s="69" t="str">
        <f aca="false">IF($E26="","",IF($M26,IF(AND($G26&gt;=CQ$5,$G26&lt;CQ$5+GanttPeriod),"◆",IF(AND($E26&gt;=CQ$5,$E26&lt;CQ$5+GanttPeriod),"◇","")),IF(AND(CQ$5&lt;=$F26,CQ$5+GanttPeriod-1&gt;=$E26),"━","")))</f>
        <v/>
      </c>
      <c r="CR26" s="69" t="str">
        <f aca="false">IF($E26="","",IF($M26,IF(AND($G26&gt;=CR$5,$G26&lt;CR$5+GanttPeriod),"◆",IF(AND($E26&gt;=CR$5,$E26&lt;CR$5+GanttPeriod),"◇","")),IF(AND(CR$5&lt;=$F26,CR$5+GanttPeriod-1&gt;=$E26),"━","")))</f>
        <v/>
      </c>
      <c r="CS26" s="69" t="str">
        <f aca="false">IF($E26="","",IF($M26,IF(AND($G26&gt;=CS$5,$G26&lt;CS$5+GanttPeriod),"◆",IF(AND($E26&gt;=CS$5,$E26&lt;CS$5+GanttPeriod),"◇","")),IF(AND(CS$5&lt;=$F26,CS$5+GanttPeriod-1&gt;=$E26),"━","")))</f>
        <v/>
      </c>
      <c r="CT26" s="69" t="str">
        <f aca="false">IF($E26="","",IF($M26,IF(AND($G26&gt;=CT$5,$G26&lt;CT$5+GanttPeriod),"◆",IF(AND($E26&gt;=CT$5,$E26&lt;CT$5+GanttPeriod),"◇","")),IF(AND(CT$5&lt;=$F26,CT$5+GanttPeriod-1&gt;=$E26),"━","")))</f>
        <v/>
      </c>
      <c r="CU26" s="69" t="str">
        <f aca="false">IF($E26="","",IF($M26,IF(AND($G26&gt;=CU$5,$G26&lt;CU$5+GanttPeriod),"◆",IF(AND($E26&gt;=CU$5,$E26&lt;CU$5+GanttPeriod),"◇","")),IF(AND(CU$5&lt;=$F26,CU$5+GanttPeriod-1&gt;=$E26),"━","")))</f>
        <v/>
      </c>
      <c r="CV26" s="69" t="str">
        <f aca="false">IF($E26="","",IF($M26,IF(AND($G26&gt;=CV$5,$G26&lt;CV$5+GanttPeriod),"◆",IF(AND($E26&gt;=CV$5,$E26&lt;CV$5+GanttPeriod),"◇","")),IF(AND(CV$5&lt;=$F26,CV$5+GanttPeriod-1&gt;=$E26),"━","")))</f>
        <v/>
      </c>
      <c r="CW26" s="69" t="str">
        <f aca="false">IF($E26="","",IF($M26,IF(AND($G26&gt;=CW$5,$G26&lt;CW$5+GanttPeriod),"◆",IF(AND($E26&gt;=CW$5,$E26&lt;CW$5+GanttPeriod),"◇","")),IF(AND(CW$5&lt;=$F26,CW$5+GanttPeriod-1&gt;=$E26),"━","")))</f>
        <v/>
      </c>
      <c r="CX26" s="69" t="str">
        <f aca="false">IF($E26="","",IF($M26,IF(AND($G26&gt;=CX$5,$G26&lt;CX$5+GanttPeriod),"◆",IF(AND($E26&gt;=CX$5,$E26&lt;CX$5+GanttPeriod),"◇","")),IF(AND(CX$5&lt;=$F26,CX$5+GanttPeriod-1&gt;=$E26),"━","")))</f>
        <v/>
      </c>
      <c r="CY26" s="69" t="str">
        <f aca="false">IF($E26="","",IF($M26,IF(AND($G26&gt;=CY$5,$G26&lt;CY$5+GanttPeriod),"◆",IF(AND($E26&gt;=CY$5,$E26&lt;CY$5+GanttPeriod),"◇","")),IF(AND(CY$5&lt;=$F26,CY$5+GanttPeriod-1&gt;=$E26),"━","")))</f>
        <v/>
      </c>
      <c r="CZ26" s="69" t="str">
        <f aca="false">IF($E26="","",IF($M26,IF(AND($G26&gt;=CZ$5,$G26&lt;CZ$5+GanttPeriod),"◆",IF(AND($E26&gt;=CZ$5,$E26&lt;CZ$5+GanttPeriod),"◇","")),IF(AND(CZ$5&lt;=$F26,CZ$5+GanttPeriod-1&gt;=$E26),"━","")))</f>
        <v/>
      </c>
      <c r="DA26" s="69" t="str">
        <f aca="false">IF($E26="","",IF($M26,IF(AND($G26&gt;=DA$5,$G26&lt;DA$5+GanttPeriod),"◆",IF(AND($E26&gt;=DA$5,$E26&lt;DA$5+GanttPeriod),"◇","")),IF(AND(DA$5&lt;=$F26,DA$5+GanttPeriod-1&gt;=$E26),"━","")))</f>
        <v/>
      </c>
      <c r="DB26" s="69" t="str">
        <f aca="false">IF($E26="","",IF($M26,IF(AND($G26&gt;=DB$5,$G26&lt;DB$5+GanttPeriod),"◆",IF(AND($E26&gt;=DB$5,$E26&lt;DB$5+GanttPeriod),"◇","")),IF(AND(DB$5&lt;=$F26,DB$5+GanttPeriod-1&gt;=$E26),"━","")))</f>
        <v/>
      </c>
      <c r="DC26" s="69" t="str">
        <f aca="false">IF($E26="","",IF($M26,IF(AND($G26&gt;=DC$5,$G26&lt;DC$5+GanttPeriod),"◆",IF(AND($E26&gt;=DC$5,$E26&lt;DC$5+GanttPeriod),"◇","")),IF(AND(DC$5&lt;=$F26,DC$5+GanttPeriod-1&gt;=$E26),"━","")))</f>
        <v/>
      </c>
      <c r="DD26" s="69" t="str">
        <f aca="false">IF($E26="","",IF($M26,IF(AND($G26&gt;=DD$5,$G26&lt;DD$5+GanttPeriod),"◆",IF(AND($E26&gt;=DD$5,$E26&lt;DD$5+GanttPeriod),"◇","")),IF(AND(DD$5&lt;=$F26,DD$5+GanttPeriod-1&gt;=$E26),"━","")))</f>
        <v/>
      </c>
      <c r="DE26" s="69" t="str">
        <f aca="false">IF($E26="","",IF($M26,IF(AND($G26&gt;=DE$5,$G26&lt;DE$5+GanttPeriod),"◆",IF(AND($E26&gt;=DE$5,$E26&lt;DE$5+GanttPeriod),"◇","")),IF(AND(DE$5&lt;=$F26,DE$5+GanttPeriod-1&gt;=$E26),"━","")))</f>
        <v/>
      </c>
      <c r="DF26" s="69" t="str">
        <f aca="false">IF($E26="","",IF($M26,IF(AND($G26&gt;=DF$5,$G26&lt;DF$5+GanttPeriod),"◆",IF(AND($E26&gt;=DF$5,$E26&lt;DF$5+GanttPeriod),"◇","")),IF(AND(DF$5&lt;=$F26,DF$5+GanttPeriod-1&gt;=$E26),"━","")))</f>
        <v/>
      </c>
      <c r="DG26" s="69" t="str">
        <f aca="false">IF($E26="","",IF($M26,IF(AND($G26&gt;=DG$5,$G26&lt;DG$5+GanttPeriod),"◆",IF(AND($E26&gt;=DG$5,$E26&lt;DG$5+GanttPeriod),"◇","")),IF(AND(DG$5&lt;=$F26,DG$5+GanttPeriod-1&gt;=$E26),"━","")))</f>
        <v/>
      </c>
      <c r="DH26" s="69" t="str">
        <f aca="false">IF($E26="","",IF($M26,IF(AND($G26&gt;=DH$5,$G26&lt;DH$5+GanttPeriod),"◆",IF(AND($E26&gt;=DH$5,$E26&lt;DH$5+GanttPeriod),"◇","")),IF(AND(DH$5&lt;=$F26,DH$5+GanttPeriod-1&gt;=$E26),"━","")))</f>
        <v/>
      </c>
      <c r="DI26" s="69" t="str">
        <f aca="false">IF($E26="","",IF($M26,IF(AND($G26&gt;=DI$5,$G26&lt;DI$5+GanttPeriod),"◆",IF(AND($E26&gt;=DI$5,$E26&lt;DI$5+GanttPeriod),"◇","")),IF(AND(DI$5&lt;=$F26,DI$5+GanttPeriod-1&gt;=$E26),"━","")))</f>
        <v/>
      </c>
      <c r="DJ26" s="69" t="str">
        <f aca="false">IF($E26="","",IF($M26,IF(AND($G26&gt;=DJ$5,$G26&lt;DJ$5+GanttPeriod),"◆",IF(AND($E26&gt;=DJ$5,$E26&lt;DJ$5+GanttPeriod),"◇","")),IF(AND(DJ$5&lt;=$F26,DJ$5+GanttPeriod-1&gt;=$E26),"━","")))</f>
        <v/>
      </c>
      <c r="DK26" s="69" t="str">
        <f aca="false">IF($E26="","",IF($M26,IF(AND($G26&gt;=DK$5,$G26&lt;DK$5+GanttPeriod),"◆",IF(AND($E26&gt;=DK$5,$E26&lt;DK$5+GanttPeriod),"◇","")),IF(AND(DK$5&lt;=$F26,DK$5+GanttPeriod-1&gt;=$E26),"━","")))</f>
        <v/>
      </c>
      <c r="DL26" s="69" t="str">
        <f aca="false">IF($E26="","",IF($M26,IF(AND($G26&gt;=DL$5,$G26&lt;DL$5+GanttPeriod),"◆",IF(AND($E26&gt;=DL$5,$E26&lt;DL$5+GanttPeriod),"◇","")),IF(AND(DL$5&lt;=$F26,DL$5+GanttPeriod-1&gt;=$E26),"━","")))</f>
        <v/>
      </c>
      <c r="DM26" s="69" t="str">
        <f aca="false">IF($E26="","",IF($M26,IF(AND($G26&gt;=DM$5,$G26&lt;DM$5+GanttPeriod),"◆",IF(AND($E26&gt;=DM$5,$E26&lt;DM$5+GanttPeriod),"◇","")),IF(AND(DM$5&lt;=$F26,DM$5+GanttPeriod-1&gt;=$E26),"━","")))</f>
        <v/>
      </c>
      <c r="DN26" s="69" t="str">
        <f aca="false">IF($E26="","",IF($M26,IF(AND($G26&gt;=DN$5,$G26&lt;DN$5+GanttPeriod),"◆",IF(AND($E26&gt;=DN$5,$E26&lt;DN$5+GanttPeriod),"◇","")),IF(AND(DN$5&lt;=$F26,DN$5+GanttPeriod-1&gt;=$E26),"━","")))</f>
        <v/>
      </c>
      <c r="DO26" s="69" t="str">
        <f aca="false">IF($E26="","",IF($M26,IF(AND($G26&gt;=DO$5,$G26&lt;DO$5+GanttPeriod),"◆",IF(AND($E26&gt;=DO$5,$E26&lt;DO$5+GanttPeriod),"◇","")),IF(AND(DO$5&lt;=$F26,DO$5+GanttPeriod-1&gt;=$E26),"━","")))</f>
        <v/>
      </c>
      <c r="DP26" s="69" t="str">
        <f aca="false">IF($E26="","",IF($M26,IF(AND($G26&gt;=DP$5,$G26&lt;DP$5+GanttPeriod),"◆",IF(AND($E26&gt;=DP$5,$E26&lt;DP$5+GanttPeriod),"◇","")),IF(AND(DP$5&lt;=$F26,DP$5+GanttPeriod-1&gt;=$E26),"━","")))</f>
        <v/>
      </c>
      <c r="DQ26" s="69" t="str">
        <f aca="false">IF($E26="","",IF($M26,IF(AND($G26&gt;=DQ$5,$G26&lt;DQ$5+GanttPeriod),"◆",IF(AND($E26&gt;=DQ$5,$E26&lt;DQ$5+GanttPeriod),"◇","")),IF(AND(DQ$5&lt;=$F26,DQ$5+GanttPeriod-1&gt;=$E26),"━","")))</f>
        <v/>
      </c>
      <c r="DR26" s="69" t="str">
        <f aca="false">IF($E26="","",IF($M26,IF(AND($G26&gt;=DR$5,$G26&lt;DR$5+GanttPeriod),"◆",IF(AND($E26&gt;=DR$5,$E26&lt;DR$5+GanttPeriod),"◇","")),IF(AND(DR$5&lt;=$F26,DR$5+GanttPeriod-1&gt;=$E26),"━","")))</f>
        <v/>
      </c>
      <c r="DS26" s="69" t="str">
        <f aca="false">IF($E26="","",IF($M26,IF(AND($G26&gt;=DS$5,$G26&lt;DS$5+GanttPeriod),"◆",IF(AND($E26&gt;=DS$5,$E26&lt;DS$5+GanttPeriod),"◇","")),IF(AND(DS$5&lt;=$F26,DS$5+GanttPeriod-1&gt;=$E26),"━","")))</f>
        <v/>
      </c>
      <c r="DT26" s="69" t="str">
        <f aca="false">IF($E26="","",IF($M26,IF(AND($G26&gt;=DT$5,$G26&lt;DT$5+GanttPeriod),"◆",IF(AND($E26&gt;=DT$5,$E26&lt;DT$5+GanttPeriod),"◇","")),IF(AND(DT$5&lt;=$F26,DT$5+GanttPeriod-1&gt;=$E26),"━","")))</f>
        <v/>
      </c>
      <c r="DU26" s="69" t="str">
        <f aca="false">IF($E26="","",IF($M26,IF(AND($G26&gt;=DU$5,$G26&lt;DU$5+GanttPeriod),"◆",IF(AND($E26&gt;=DU$5,$E26&lt;DU$5+GanttPeriod),"◇","")),IF(AND(DU$5&lt;=$F26,DU$5+GanttPeriod-1&gt;=$E26),"━","")))</f>
        <v/>
      </c>
      <c r="DV26" s="69" t="str">
        <f aca="false">IF($E26="","",IF($M26,IF(AND($G26&gt;=DV$5,$G26&lt;DV$5+GanttPeriod),"◆",IF(AND($E26&gt;=DV$5,$E26&lt;DV$5+GanttPeriod),"◇","")),IF(AND(DV$5&lt;=$F26,DV$5+GanttPeriod-1&gt;=$E26),"━","")))</f>
        <v/>
      </c>
      <c r="DW26" s="69" t="str">
        <f aca="false">IF($E26="","",IF($M26,IF(AND($G26&gt;=DW$5,$G26&lt;DW$5+GanttPeriod),"◆",IF(AND($E26&gt;=DW$5,$E26&lt;DW$5+GanttPeriod),"◇","")),IF(AND(DW$5&lt;=$F26,DW$5+GanttPeriod-1&gt;=$E26),"━","")))</f>
        <v/>
      </c>
      <c r="DX26" s="69" t="str">
        <f aca="false">IF($E26="","",IF($M26,IF(AND($G26&gt;=DX$5,$G26&lt;DX$5+GanttPeriod),"◆",IF(AND($E26&gt;=DX$5,$E26&lt;DX$5+GanttPeriod),"◇","")),IF(AND(DX$5&lt;=$F26,DX$5+GanttPeriod-1&gt;=$E26),"━","")))</f>
        <v/>
      </c>
      <c r="DY26" s="69" t="str">
        <f aca="false">IF($E26="","",IF($M26,IF(AND($G26&gt;=DY$5,$G26&lt;DY$5+GanttPeriod),"◆",IF(AND($E26&gt;=DY$5,$E26&lt;DY$5+GanttPeriod),"◇","")),IF(AND(DY$5&lt;=$F26,DY$5+GanttPeriod-1&gt;=$E26),"━","")))</f>
        <v/>
      </c>
      <c r="DZ26" s="69" t="str">
        <f aca="false">IF($E26="","",IF($M26,IF(AND($G26&gt;=DZ$5,$G26&lt;DZ$5+GanttPeriod),"◆",IF(AND($E26&gt;=DZ$5,$E26&lt;DZ$5+GanttPeriod),"◇","")),IF(AND(DZ$5&lt;=$F26,DZ$5+GanttPeriod-1&gt;=$E26),"━","")))</f>
        <v/>
      </c>
      <c r="EA26" s="69" t="str">
        <f aca="false">IF($E26="","",IF($M26,IF(AND($G26&gt;=EA$5,$G26&lt;EA$5+GanttPeriod),"◆",IF(AND($E26&gt;=EA$5,$E26&lt;EA$5+GanttPeriod),"◇","")),IF(AND(EA$5&lt;=$F26,EA$5+GanttPeriod-1&gt;=$E26),"━","")))</f>
        <v/>
      </c>
      <c r="EB26" s="69" t="str">
        <f aca="false">IF($E26="","",IF($M26,IF(AND($G26&gt;=EB$5,$G26&lt;EB$5+GanttPeriod),"◆",IF(AND($E26&gt;=EB$5,$E26&lt;EB$5+GanttPeriod),"◇","")),IF(AND(EB$5&lt;=$F26,EB$5+GanttPeriod-1&gt;=$E26),"━","")))</f>
        <v/>
      </c>
      <c r="EC26" s="69" t="str">
        <f aca="false">IF($E26="","",IF($M26,IF(AND($G26&gt;=EC$5,$G26&lt;EC$5+GanttPeriod),"◆",IF(AND($E26&gt;=EC$5,$E26&lt;EC$5+GanttPeriod),"◇","")),IF(AND(EC$5&lt;=$F26,EC$5+GanttPeriod-1&gt;=$E26),"━","")))</f>
        <v/>
      </c>
      <c r="ED26" s="69" t="str">
        <f aca="false">IF($E26="","",IF($M26,IF(AND($G26&gt;=ED$5,$G26&lt;ED$5+GanttPeriod),"◆",IF(AND($E26&gt;=ED$5,$E26&lt;ED$5+GanttPeriod),"◇","")),IF(AND(ED$5&lt;=$F26,ED$5+GanttPeriod-1&gt;=$E26),"━","")))</f>
        <v/>
      </c>
      <c r="EE26" s="69" t="str">
        <f aca="false">IF($E26="","",IF($M26,IF(AND($G26&gt;=EE$5,$G26&lt;EE$5+GanttPeriod),"◆",IF(AND($E26&gt;=EE$5,$E26&lt;EE$5+GanttPeriod),"◇","")),IF(AND(EE$5&lt;=$F26,EE$5+GanttPeriod-1&gt;=$E26),"━","")))</f>
        <v/>
      </c>
      <c r="EF26" s="69" t="str">
        <f aca="false">IF($E26="","",IF($M26,IF(AND($G26&gt;=EF$5,$G26&lt;EF$5+GanttPeriod),"◆",IF(AND($E26&gt;=EF$5,$E26&lt;EF$5+GanttPeriod),"◇","")),IF(AND(EF$5&lt;=$F26,EF$5+GanttPeriod-1&gt;=$E26),"━","")))</f>
        <v/>
      </c>
      <c r="EG26" s="69" t="str">
        <f aca="false">IF($E26="","",IF($M26,IF(AND($G26&gt;=EG$5,$G26&lt;EG$5+GanttPeriod),"◆",IF(AND($E26&gt;=EG$5,$E26&lt;EG$5+GanttPeriod),"◇","")),IF(AND(EG$5&lt;=$F26,EG$5+GanttPeriod-1&gt;=$E26),"━","")))</f>
        <v/>
      </c>
      <c r="EH26" s="69" t="str">
        <f aca="false">IF($E26="","",IF($M26,IF(AND($G26&gt;=EH$5,$G26&lt;EH$5+GanttPeriod),"◆",IF(AND($E26&gt;=EH$5,$E26&lt;EH$5+GanttPeriod),"◇","")),IF(AND(EH$5&lt;=$F26,EH$5+GanttPeriod-1&gt;=$E26),"━","")))</f>
        <v/>
      </c>
      <c r="EI26" s="69" t="str">
        <f aca="false">IF($E26="","",IF($M26,IF(AND($G26&gt;=EI$5,$G26&lt;EI$5+GanttPeriod),"◆",IF(AND($E26&gt;=EI$5,$E26&lt;EI$5+GanttPeriod),"◇","")),IF(AND(EI$5&lt;=$F26,EI$5+GanttPeriod-1&gt;=$E26),"━","")))</f>
        <v/>
      </c>
      <c r="EJ26" s="69" t="str">
        <f aca="false">IF($E26="","",IF($M26,IF(AND($G26&gt;=EJ$5,$G26&lt;EJ$5+GanttPeriod),"◆",IF(AND($E26&gt;=EJ$5,$E26&lt;EJ$5+GanttPeriod),"◇","")),IF(AND(EJ$5&lt;=$F26,EJ$5+GanttPeriod-1&gt;=$E26),"━","")))</f>
        <v/>
      </c>
      <c r="EK26" s="69" t="str">
        <f aca="false">IF($E26="","",IF($M26,IF(AND($G26&gt;=EK$5,$G26&lt;EK$5+GanttPeriod),"◆",IF(AND($E26&gt;=EK$5,$E26&lt;EK$5+GanttPeriod),"◇","")),IF(AND(EK$5&lt;=$F26,EK$5+GanttPeriod-1&gt;=$E26),"━","")))</f>
        <v/>
      </c>
      <c r="EL26" s="69" t="str">
        <f aca="false">IF($E26="","",IF($M26,IF(AND($G26&gt;=EL$5,$G26&lt;EL$5+GanttPeriod),"◆",IF(AND($E26&gt;=EL$5,$E26&lt;EL$5+GanttPeriod),"◇","")),IF(AND(EL$5&lt;=$F26,EL$5+GanttPeriod-1&gt;=$E26),"━","")))</f>
        <v/>
      </c>
      <c r="EM26" s="69" t="str">
        <f aca="false">IF($E26="","",IF($M26,IF(AND($G26&gt;=EM$5,$G26&lt;EM$5+GanttPeriod),"◆",IF(AND($E26&gt;=EM$5,$E26&lt;EM$5+GanttPeriod),"◇","")),IF(AND(EM$5&lt;=$F26,EM$5+GanttPeriod-1&gt;=$E26),"━","")))</f>
        <v/>
      </c>
      <c r="EN26" s="69" t="str">
        <f aca="false">IF($E26="","",IF($M26,IF(AND($G26&gt;=EN$5,$G26&lt;EN$5+GanttPeriod),"◆",IF(AND($E26&gt;=EN$5,$E26&lt;EN$5+GanttPeriod),"◇","")),IF(AND(EN$5&lt;=$F26,EN$5+GanttPeriod-1&gt;=$E26),"━","")))</f>
        <v/>
      </c>
      <c r="EO26" s="69" t="str">
        <f aca="false">IF($E26="","",IF($M26,IF(AND($G26&gt;=EO$5,$G26&lt;EO$5+GanttPeriod),"◆",IF(AND($E26&gt;=EO$5,$E26&lt;EO$5+GanttPeriod),"◇","")),IF(AND(EO$5&lt;=$F26,EO$5+GanttPeriod-1&gt;=$E26),"━","")))</f>
        <v/>
      </c>
      <c r="EP26" s="69" t="str">
        <f aca="false">IF($E26="","",IF($M26,IF(AND($G26&gt;=EP$5,$G26&lt;EP$5+GanttPeriod),"◆",IF(AND($E26&gt;=EP$5,$E26&lt;EP$5+GanttPeriod),"◇","")),IF(AND(EP$5&lt;=$F26,EP$5+GanttPeriod-1&gt;=$E26),"━","")))</f>
        <v/>
      </c>
      <c r="EQ26" s="69" t="str">
        <f aca="false">IF($E26="","",IF($M26,IF(AND($G26&gt;=EQ$5,$G26&lt;EQ$5+GanttPeriod),"◆",IF(AND($E26&gt;=EQ$5,$E26&lt;EQ$5+GanttPeriod),"◇","")),IF(AND(EQ$5&lt;=$F26,EQ$5+GanttPeriod-1&gt;=$E26),"━","")))</f>
        <v/>
      </c>
      <c r="ER26" s="69" t="str">
        <f aca="false">IF($E26="","",IF($M26,IF(AND($G26&gt;=ER$5,$G26&lt;ER$5+GanttPeriod),"◆",IF(AND($E26&gt;=ER$5,$E26&lt;ER$5+GanttPeriod),"◇","")),IF(AND(ER$5&lt;=$F26,ER$5+GanttPeriod-1&gt;=$E26),"━","")))</f>
        <v/>
      </c>
      <c r="ES26" s="69" t="str">
        <f aca="false">IF($E26="","",IF($M26,IF(AND($G26&gt;=ES$5,$G26&lt;ES$5+GanttPeriod),"◆",IF(AND($E26&gt;=ES$5,$E26&lt;ES$5+GanttPeriod),"◇","")),IF(AND(ES$5&lt;=$F26,ES$5+GanttPeriod-1&gt;=$E26),"━","")))</f>
        <v/>
      </c>
      <c r="ET26" s="69" t="str">
        <f aca="false">IF($E26="","",IF($M26,IF(AND($G26&gt;=ET$5,$G26&lt;ET$5+GanttPeriod),"◆",IF(AND($E26&gt;=ET$5,$E26&lt;ET$5+GanttPeriod),"◇","")),IF(AND(ET$5&lt;=$F26,ET$5+GanttPeriod-1&gt;=$E26),"━","")))</f>
        <v/>
      </c>
      <c r="EU26" s="69" t="str">
        <f aca="false">IF($E26="","",IF($M26,IF(AND($G26&gt;=EU$5,$G26&lt;EU$5+GanttPeriod),"◆",IF(AND($E26&gt;=EU$5,$E26&lt;EU$5+GanttPeriod),"◇","")),IF(AND(EU$5&lt;=$F26,EU$5+GanttPeriod-1&gt;=$E26),"━","")))</f>
        <v/>
      </c>
      <c r="EV26" s="69" t="str">
        <f aca="false">IF($E26="","",IF($M26,IF(AND($G26&gt;=EV$5,$G26&lt;EV$5+GanttPeriod),"◆",IF(AND($E26&gt;=EV$5,$E26&lt;EV$5+GanttPeriod),"◇","")),IF(AND(EV$5&lt;=$F26,EV$5+GanttPeriod-1&gt;=$E26),"━","")))</f>
        <v/>
      </c>
      <c r="EW26" s="69" t="str">
        <f aca="false">IF($E26="","",IF($M26,IF(AND($G26&gt;=EW$5,$G26&lt;EW$5+GanttPeriod),"◆",IF(AND($E26&gt;=EW$5,$E26&lt;EW$5+GanttPeriod),"◇","")),IF(AND(EW$5&lt;=$F26,EW$5+GanttPeriod-1&gt;=$E26),"━","")))</f>
        <v/>
      </c>
      <c r="EX26" s="69" t="str">
        <f aca="false">IF($E26="","",IF($M26,IF(AND($G26&gt;=EX$5,$G26&lt;EX$5+GanttPeriod),"◆",IF(AND($E26&gt;=EX$5,$E26&lt;EX$5+GanttPeriod),"◇","")),IF(AND(EX$5&lt;=$F26,EX$5+GanttPeriod-1&gt;=$E26),"━","")))</f>
        <v/>
      </c>
      <c r="EY26" s="69" t="str">
        <f aca="false">IF($E26="","",IF($M26,IF(AND($G26&gt;=EY$5,$G26&lt;EY$5+GanttPeriod),"◆",IF(AND($E26&gt;=EY$5,$E26&lt;EY$5+GanttPeriod),"◇","")),IF(AND(EY$5&lt;=$F26,EY$5+GanttPeriod-1&gt;=$E26),"━","")))</f>
        <v/>
      </c>
      <c r="EZ26" s="69" t="str">
        <f aca="false">IF($E26="","",IF($M26,IF(AND($G26&gt;=EZ$5,$G26&lt;EZ$5+GanttPeriod),"◆",IF(AND($E26&gt;=EZ$5,$E26&lt;EZ$5+GanttPeriod),"◇","")),IF(AND(EZ$5&lt;=$F26,EZ$5+GanttPeriod-1&gt;=$E26),"━","")))</f>
        <v/>
      </c>
      <c r="FA26" s="69" t="str">
        <f aca="false">IF($E26="","",IF($M26,IF(AND($G26&gt;=FA$5,$G26&lt;FA$5+GanttPeriod),"◆",IF(AND($E26&gt;=FA$5,$E26&lt;FA$5+GanttPeriod),"◇","")),IF(AND(FA$5&lt;=$F26,FA$5+GanttPeriod-1&gt;=$E26),"━","")))</f>
        <v/>
      </c>
      <c r="FB26" s="69" t="str">
        <f aca="false">IF($E26="","",IF($M26,IF(AND($G26&gt;=FB$5,$G26&lt;FB$5+GanttPeriod),"◆",IF(AND($E26&gt;=FB$5,$E26&lt;FB$5+GanttPeriod),"◇","")),IF(AND(FB$5&lt;=$F26,FB$5+GanttPeriod-1&gt;=$E26),"━","")))</f>
        <v/>
      </c>
      <c r="FC26" s="69" t="str">
        <f aca="false">IF($E26="","",IF($M26,IF(AND($G26&gt;=FC$5,$G26&lt;FC$5+GanttPeriod),"◆",IF(AND($E26&gt;=FC$5,$E26&lt;FC$5+GanttPeriod),"◇","")),IF(AND(FC$5&lt;=$F26,FC$5+GanttPeriod-1&gt;=$E26),"━","")))</f>
        <v/>
      </c>
      <c r="FD26" s="69" t="str">
        <f aca="false">IF($E26="","",IF($M26,IF(AND($G26&gt;=FD$5,$G26&lt;FD$5+GanttPeriod),"◆",IF(AND($E26&gt;=FD$5,$E26&lt;FD$5+GanttPeriod),"◇","")),IF(AND(FD$5&lt;=$F26,FD$5+GanttPeriod-1&gt;=$E26),"━","")))</f>
        <v/>
      </c>
      <c r="FE26" s="69" t="str">
        <f aca="false">IF($E26="","",IF($M26,IF(AND($G26&gt;=FE$5,$G26&lt;FE$5+GanttPeriod),"◆",IF(AND($E26&gt;=FE$5,$E26&lt;FE$5+GanttPeriod),"◇","")),IF(AND(FE$5&lt;=$F26,FE$5+GanttPeriod-1&gt;=$E26),"━","")))</f>
        <v/>
      </c>
      <c r="FF26" s="69" t="str">
        <f aca="false">IF($E26="","",IF($M26,IF(AND($G26&gt;=FF$5,$G26&lt;FF$5+GanttPeriod),"◆",IF(AND($E26&gt;=FF$5,$E26&lt;FF$5+GanttPeriod),"◇","")),IF(AND(FF$5&lt;=$F26,FF$5+GanttPeriod-1&gt;=$E26),"━","")))</f>
        <v/>
      </c>
      <c r="FG26" s="69" t="str">
        <f aca="false">IF($E26="","",IF($M26,IF(AND($G26&gt;=FG$5,$G26&lt;FG$5+GanttPeriod),"◆",IF(AND($E26&gt;=FG$5,$E26&lt;FG$5+GanttPeriod),"◇","")),IF(AND(FG$5&lt;=$F26,FG$5+GanttPeriod-1&gt;=$E26),"━","")))</f>
        <v/>
      </c>
      <c r="FH26" s="69" t="str">
        <f aca="false">IF($E26="","",IF($M26,IF(AND($G26&gt;=FH$5,$G26&lt;FH$5+GanttPeriod),"◆",IF(AND($E26&gt;=FH$5,$E26&lt;FH$5+GanttPeriod),"◇","")),IF(AND(FH$5&lt;=$F26,FH$5+GanttPeriod-1&gt;=$E26),"━","")))</f>
        <v/>
      </c>
      <c r="FI26" s="69" t="str">
        <f aca="false">IF($E26="","",IF($M26,IF(AND($G26&gt;=FI$5,$G26&lt;FI$5+GanttPeriod),"◆",IF(AND($E26&gt;=FI$5,$E26&lt;FI$5+GanttPeriod),"◇","")),IF(AND(FI$5&lt;=$F26,FI$5+GanttPeriod-1&gt;=$E26),"━","")))</f>
        <v/>
      </c>
      <c r="FJ26" s="69" t="str">
        <f aca="false">IF($E26="","",IF($M26,IF(AND($G26&gt;=FJ$5,$G26&lt;FJ$5+GanttPeriod),"◆",IF(AND($E26&gt;=FJ$5,$E26&lt;FJ$5+GanttPeriod),"◇","")),IF(AND(FJ$5&lt;=$F26,FJ$5+GanttPeriod-1&gt;=$E26),"━","")))</f>
        <v/>
      </c>
      <c r="FK26" s="69" t="str">
        <f aca="false">IF($E26="","",IF($M26,IF(AND($G26&gt;=FK$5,$G26&lt;FK$5+GanttPeriod),"◆",IF(AND($E26&gt;=FK$5,$E26&lt;FK$5+GanttPeriod),"◇","")),IF(AND(FK$5&lt;=$F26,FK$5+GanttPeriod-1&gt;=$E26),"━","")))</f>
        <v/>
      </c>
      <c r="FL26" s="69" t="str">
        <f aca="false">IF($E26="","",IF($M26,IF(AND($G26&gt;=FL$5,$G26&lt;FL$5+GanttPeriod),"◆",IF(AND($E26&gt;=FL$5,$E26&lt;FL$5+GanttPeriod),"◇","")),IF(AND(FL$5&lt;=$F26,FL$5+GanttPeriod-1&gt;=$E26),"━","")))</f>
        <v/>
      </c>
      <c r="FM26" s="69" t="str">
        <f aca="false">IF($E26="","",IF($M26,IF(AND($G26&gt;=FM$5,$G26&lt;FM$5+GanttPeriod),"◆",IF(AND($E26&gt;=FM$5,$E26&lt;FM$5+GanttPeriod),"◇","")),IF(AND(FM$5&lt;=$F26,FM$5+GanttPeriod-1&gt;=$E26),"━","")))</f>
        <v/>
      </c>
    </row>
    <row r="27" customFormat="false" ht="15" hidden="false" customHeight="false" outlineLevel="0" collapsed="false">
      <c r="A27" s="62" t="n">
        <f aca="false">IF(Tasks!$D27="","",Tasks!$A27)</f>
        <v>22</v>
      </c>
      <c r="B27" s="62" t="str">
        <f aca="false">IF(Tasks!$D27="","",Tasks!$B27)</f>
        <v>4.2</v>
      </c>
      <c r="C27" s="63" t="str">
        <f aca="false">IF(Tasks!$D27="","",REPT("    ",Tasks!$AE27-1)&amp;Tasks!$D27)</f>
        <v>    User acceptance testing</v>
      </c>
      <c r="D27" s="62" t="n">
        <f aca="false">IF(Tasks!$D27="","",IF(Tasks!$AI27,NETWORKDAYS.INTL(Tasks!$R27,Tasks!$S27,WorkWeek,Holidays),N(Tasks!$F27)))</f>
        <v>6</v>
      </c>
      <c r="E27" s="64" t="n">
        <f aca="false">IF(Tasks!$D27="","",Tasks!$N27)</f>
        <v>46363</v>
      </c>
      <c r="F27" s="64" t="n">
        <f aca="false">IF(Tasks!$D27="","",Tasks!$O27)</f>
        <v>46370</v>
      </c>
      <c r="G27" s="64" t="n">
        <f aca="false">IF(Tasks!$D27="","",Tasks!$R27)</f>
        <v>46363</v>
      </c>
      <c r="H27" s="64" t="n">
        <f aca="false">IF(Tasks!$D27="","",Tasks!$S27)</f>
        <v>46370</v>
      </c>
      <c r="I27" s="65" t="n">
        <f aca="false">IF(Tasks!$D27="","",Tasks!$V27)</f>
        <v>0</v>
      </c>
      <c r="J27" s="63" t="str">
        <f aca="false">IF(Tasks!$D27="","",Tasks!$X27&amp;"")</f>
        <v>Morgan Patel</v>
      </c>
      <c r="K27" s="66" t="str">
        <f aca="false">IF(Tasks!$D27="","",Tasks!$W27)</f>
        <v>Not Started</v>
      </c>
      <c r="L27" s="67" t="b">
        <f aca="false">IF(Tasks!$D27="",FALSE(),Tasks!$AI27)</f>
        <v>0</v>
      </c>
      <c r="M27" s="67" t="b">
        <f aca="false">AND(Tasks!$AJ27=1,N(Tasks!$F27)=0)</f>
        <v>0</v>
      </c>
      <c r="N27" s="68" t="n">
        <f aca="false">IF(AND(Tasks!$AJ27=1,NOT($M27),N($I27)&gt;0),$G27,0)</f>
        <v>0</v>
      </c>
      <c r="O27" s="68" t="n">
        <f aca="false">IF($N27=0,0,IF($I27&gt;=1,$H27,MAX($N27,$G27+ROUND(($H27-$G27+1)*$I27,0)-1)))</f>
        <v>0</v>
      </c>
      <c r="P27" s="68" t="n">
        <f aca="false">IF(OR(Tasks!$AJ27&lt;&gt;1,$M27,N($I27)&gt;=1),0,IF($O27&gt;0,$O27+1,$G27))</f>
        <v>46363</v>
      </c>
      <c r="Q27" s="68" t="n">
        <f aca="false">IF($P27=0,0,$H27)</f>
        <v>46370</v>
      </c>
      <c r="R27" s="67" t="b">
        <f aca="false">AND(Tasks!$D27&lt;&gt;"",N(Tasks!$T27)&gt;0)</f>
        <v>0</v>
      </c>
      <c r="T27" s="69" t="str">
        <f aca="false">IF($E27="","",IF($M27,IF(AND($G27&gt;=T$5,$G27&lt;T$5+GanttPeriod),"◆",IF(AND($E27&gt;=T$5,$E27&lt;T$5+GanttPeriod),"◇","")),IF(AND(T$5&lt;=$F27,T$5+GanttPeriod-1&gt;=$E27),"━","")))</f>
        <v/>
      </c>
      <c r="U27" s="69" t="str">
        <f aca="false">IF($E27="","",IF($M27,IF(AND($G27&gt;=U$5,$G27&lt;U$5+GanttPeriod),"◆",IF(AND($E27&gt;=U$5,$E27&lt;U$5+GanttPeriod),"◇","")),IF(AND(U$5&lt;=$F27,U$5+GanttPeriod-1&gt;=$E27),"━","")))</f>
        <v/>
      </c>
      <c r="V27" s="69" t="str">
        <f aca="false">IF($E27="","",IF($M27,IF(AND($G27&gt;=V$5,$G27&lt;V$5+GanttPeriod),"◆",IF(AND($E27&gt;=V$5,$E27&lt;V$5+GanttPeriod),"◇","")),IF(AND(V$5&lt;=$F27,V$5+GanttPeriod-1&gt;=$E27),"━","")))</f>
        <v/>
      </c>
      <c r="W27" s="69" t="str">
        <f aca="false">IF($E27="","",IF($M27,IF(AND($G27&gt;=W$5,$G27&lt;W$5+GanttPeriod),"◆",IF(AND($E27&gt;=W$5,$E27&lt;W$5+GanttPeriod),"◇","")),IF(AND(W$5&lt;=$F27,W$5+GanttPeriod-1&gt;=$E27),"━","")))</f>
        <v/>
      </c>
      <c r="X27" s="69" t="str">
        <f aca="false">IF($E27="","",IF($M27,IF(AND($G27&gt;=X$5,$G27&lt;X$5+GanttPeriod),"◆",IF(AND($E27&gt;=X$5,$E27&lt;X$5+GanttPeriod),"◇","")),IF(AND(X$5&lt;=$F27,X$5+GanttPeriod-1&gt;=$E27),"━","")))</f>
        <v/>
      </c>
      <c r="Y27" s="69" t="str">
        <f aca="false">IF($E27="","",IF($M27,IF(AND($G27&gt;=Y$5,$G27&lt;Y$5+GanttPeriod),"◆",IF(AND($E27&gt;=Y$5,$E27&lt;Y$5+GanttPeriod),"◇","")),IF(AND(Y$5&lt;=$F27,Y$5+GanttPeriod-1&gt;=$E27),"━","")))</f>
        <v/>
      </c>
      <c r="Z27" s="69" t="str">
        <f aca="false">IF($E27="","",IF($M27,IF(AND($G27&gt;=Z$5,$G27&lt;Z$5+GanttPeriod),"◆",IF(AND($E27&gt;=Z$5,$E27&lt;Z$5+GanttPeriod),"◇","")),IF(AND(Z$5&lt;=$F27,Z$5+GanttPeriod-1&gt;=$E27),"━","")))</f>
        <v/>
      </c>
      <c r="AA27" s="69" t="str">
        <f aca="false">IF($E27="","",IF($M27,IF(AND($G27&gt;=AA$5,$G27&lt;AA$5+GanttPeriod),"◆",IF(AND($E27&gt;=AA$5,$E27&lt;AA$5+GanttPeriod),"◇","")),IF(AND(AA$5&lt;=$F27,AA$5+GanttPeriod-1&gt;=$E27),"━","")))</f>
        <v/>
      </c>
      <c r="AB27" s="69" t="str">
        <f aca="false">IF($E27="","",IF($M27,IF(AND($G27&gt;=AB$5,$G27&lt;AB$5+GanttPeriod),"◆",IF(AND($E27&gt;=AB$5,$E27&lt;AB$5+GanttPeriod),"◇","")),IF(AND(AB$5&lt;=$F27,AB$5+GanttPeriod-1&gt;=$E27),"━","")))</f>
        <v/>
      </c>
      <c r="AC27" s="69" t="str">
        <f aca="false">IF($E27="","",IF($M27,IF(AND($G27&gt;=AC$5,$G27&lt;AC$5+GanttPeriod),"◆",IF(AND($E27&gt;=AC$5,$E27&lt;AC$5+GanttPeriod),"◇","")),IF(AND(AC$5&lt;=$F27,AC$5+GanttPeriod-1&gt;=$E27),"━","")))</f>
        <v/>
      </c>
      <c r="AD27" s="69" t="str">
        <f aca="false">IF($E27="","",IF($M27,IF(AND($G27&gt;=AD$5,$G27&lt;AD$5+GanttPeriod),"◆",IF(AND($E27&gt;=AD$5,$E27&lt;AD$5+GanttPeriod),"◇","")),IF(AND(AD$5&lt;=$F27,AD$5+GanttPeriod-1&gt;=$E27),"━","")))</f>
        <v/>
      </c>
      <c r="AE27" s="69" t="str">
        <f aca="false">IF($E27="","",IF($M27,IF(AND($G27&gt;=AE$5,$G27&lt;AE$5+GanttPeriod),"◆",IF(AND($E27&gt;=AE$5,$E27&lt;AE$5+GanttPeriod),"◇","")),IF(AND(AE$5&lt;=$F27,AE$5+GanttPeriod-1&gt;=$E27),"━","")))</f>
        <v/>
      </c>
      <c r="AF27" s="69" t="str">
        <f aca="false">IF($E27="","",IF($M27,IF(AND($G27&gt;=AF$5,$G27&lt;AF$5+GanttPeriod),"◆",IF(AND($E27&gt;=AF$5,$E27&lt;AF$5+GanttPeriod),"◇","")),IF(AND(AF$5&lt;=$F27,AF$5+GanttPeriod-1&gt;=$E27),"━","")))</f>
        <v/>
      </c>
      <c r="AG27" s="69" t="str">
        <f aca="false">IF($E27="","",IF($M27,IF(AND($G27&gt;=AG$5,$G27&lt;AG$5+GanttPeriod),"◆",IF(AND($E27&gt;=AG$5,$E27&lt;AG$5+GanttPeriod),"◇","")),IF(AND(AG$5&lt;=$F27,AG$5+GanttPeriod-1&gt;=$E27),"━","")))</f>
        <v/>
      </c>
      <c r="AH27" s="69" t="str">
        <f aca="false">IF($E27="","",IF($M27,IF(AND($G27&gt;=AH$5,$G27&lt;AH$5+GanttPeriod),"◆",IF(AND($E27&gt;=AH$5,$E27&lt;AH$5+GanttPeriod),"◇","")),IF(AND(AH$5&lt;=$F27,AH$5+GanttPeriod-1&gt;=$E27),"━","")))</f>
        <v/>
      </c>
      <c r="AI27" s="69" t="str">
        <f aca="false">IF($E27="","",IF($M27,IF(AND($G27&gt;=AI$5,$G27&lt;AI$5+GanttPeriod),"◆",IF(AND($E27&gt;=AI$5,$E27&lt;AI$5+GanttPeriod),"◇","")),IF(AND(AI$5&lt;=$F27,AI$5+GanttPeriod-1&gt;=$E27),"━","")))</f>
        <v/>
      </c>
      <c r="AJ27" s="69" t="str">
        <f aca="false">IF($E27="","",IF($M27,IF(AND($G27&gt;=AJ$5,$G27&lt;AJ$5+GanttPeriod),"◆",IF(AND($E27&gt;=AJ$5,$E27&lt;AJ$5+GanttPeriod),"◇","")),IF(AND(AJ$5&lt;=$F27,AJ$5+GanttPeriod-1&gt;=$E27),"━","")))</f>
        <v/>
      </c>
      <c r="AK27" s="69" t="str">
        <f aca="false">IF($E27="","",IF($M27,IF(AND($G27&gt;=AK$5,$G27&lt;AK$5+GanttPeriod),"◆",IF(AND($E27&gt;=AK$5,$E27&lt;AK$5+GanttPeriod),"◇","")),IF(AND(AK$5&lt;=$F27,AK$5+GanttPeriod-1&gt;=$E27),"━","")))</f>
        <v/>
      </c>
      <c r="AL27" s="69" t="str">
        <f aca="false">IF($E27="","",IF($M27,IF(AND($G27&gt;=AL$5,$G27&lt;AL$5+GanttPeriod),"◆",IF(AND($E27&gt;=AL$5,$E27&lt;AL$5+GanttPeriod),"◇","")),IF(AND(AL$5&lt;=$F27,AL$5+GanttPeriod-1&gt;=$E27),"━","")))</f>
        <v/>
      </c>
      <c r="AM27" s="69" t="str">
        <f aca="false">IF($E27="","",IF($M27,IF(AND($G27&gt;=AM$5,$G27&lt;AM$5+GanttPeriod),"◆",IF(AND($E27&gt;=AM$5,$E27&lt;AM$5+GanttPeriod),"◇","")),IF(AND(AM$5&lt;=$F27,AM$5+GanttPeriod-1&gt;=$E27),"━","")))</f>
        <v/>
      </c>
      <c r="AN27" s="69" t="str">
        <f aca="false">IF($E27="","",IF($M27,IF(AND($G27&gt;=AN$5,$G27&lt;AN$5+GanttPeriod),"◆",IF(AND($E27&gt;=AN$5,$E27&lt;AN$5+GanttPeriod),"◇","")),IF(AND(AN$5&lt;=$F27,AN$5+GanttPeriod-1&gt;=$E27),"━","")))</f>
        <v/>
      </c>
      <c r="AO27" s="69" t="str">
        <f aca="false">IF($E27="","",IF($M27,IF(AND($G27&gt;=AO$5,$G27&lt;AO$5+GanttPeriod),"◆",IF(AND($E27&gt;=AO$5,$E27&lt;AO$5+GanttPeriod),"◇","")),IF(AND(AO$5&lt;=$F27,AO$5+GanttPeriod-1&gt;=$E27),"━","")))</f>
        <v/>
      </c>
      <c r="AP27" s="69" t="str">
        <f aca="false">IF($E27="","",IF($M27,IF(AND($G27&gt;=AP$5,$G27&lt;AP$5+GanttPeriod),"◆",IF(AND($E27&gt;=AP$5,$E27&lt;AP$5+GanttPeriod),"◇","")),IF(AND(AP$5&lt;=$F27,AP$5+GanttPeriod-1&gt;=$E27),"━","")))</f>
        <v/>
      </c>
      <c r="AQ27" s="69" t="str">
        <f aca="false">IF($E27="","",IF($M27,IF(AND($G27&gt;=AQ$5,$G27&lt;AQ$5+GanttPeriod),"◆",IF(AND($E27&gt;=AQ$5,$E27&lt;AQ$5+GanttPeriod),"◇","")),IF(AND(AQ$5&lt;=$F27,AQ$5+GanttPeriod-1&gt;=$E27),"━","")))</f>
        <v/>
      </c>
      <c r="AR27" s="69" t="str">
        <f aca="false">IF($E27="","",IF($M27,IF(AND($G27&gt;=AR$5,$G27&lt;AR$5+GanttPeriod),"◆",IF(AND($E27&gt;=AR$5,$E27&lt;AR$5+GanttPeriod),"◇","")),IF(AND(AR$5&lt;=$F27,AR$5+GanttPeriod-1&gt;=$E27),"━","")))</f>
        <v/>
      </c>
      <c r="AS27" s="69" t="str">
        <f aca="false">IF($E27="","",IF($M27,IF(AND($G27&gt;=AS$5,$G27&lt;AS$5+GanttPeriod),"◆",IF(AND($E27&gt;=AS$5,$E27&lt;AS$5+GanttPeriod),"◇","")),IF(AND(AS$5&lt;=$F27,AS$5+GanttPeriod-1&gt;=$E27),"━","")))</f>
        <v/>
      </c>
      <c r="AT27" s="69" t="str">
        <f aca="false">IF($E27="","",IF($M27,IF(AND($G27&gt;=AT$5,$G27&lt;AT$5+GanttPeriod),"◆",IF(AND($E27&gt;=AT$5,$E27&lt;AT$5+GanttPeriod),"◇","")),IF(AND(AT$5&lt;=$F27,AT$5+GanttPeriod-1&gt;=$E27),"━","")))</f>
        <v/>
      </c>
      <c r="AU27" s="69" t="str">
        <f aca="false">IF($E27="","",IF($M27,IF(AND($G27&gt;=AU$5,$G27&lt;AU$5+GanttPeriod),"◆",IF(AND($E27&gt;=AU$5,$E27&lt;AU$5+GanttPeriod),"◇","")),IF(AND(AU$5&lt;=$F27,AU$5+GanttPeriod-1&gt;=$E27),"━","")))</f>
        <v/>
      </c>
      <c r="AV27" s="69" t="str">
        <f aca="false">IF($E27="","",IF($M27,IF(AND($G27&gt;=AV$5,$G27&lt;AV$5+GanttPeriod),"◆",IF(AND($E27&gt;=AV$5,$E27&lt;AV$5+GanttPeriod),"◇","")),IF(AND(AV$5&lt;=$F27,AV$5+GanttPeriod-1&gt;=$E27),"━","")))</f>
        <v/>
      </c>
      <c r="AW27" s="69" t="str">
        <f aca="false">IF($E27="","",IF($M27,IF(AND($G27&gt;=AW$5,$G27&lt;AW$5+GanttPeriod),"◆",IF(AND($E27&gt;=AW$5,$E27&lt;AW$5+GanttPeriod),"◇","")),IF(AND(AW$5&lt;=$F27,AW$5+GanttPeriod-1&gt;=$E27),"━","")))</f>
        <v/>
      </c>
      <c r="AX27" s="69" t="str">
        <f aca="false">IF($E27="","",IF($M27,IF(AND($G27&gt;=AX$5,$G27&lt;AX$5+GanttPeriod),"◆",IF(AND($E27&gt;=AX$5,$E27&lt;AX$5+GanttPeriod),"◇","")),IF(AND(AX$5&lt;=$F27,AX$5+GanttPeriod-1&gt;=$E27),"━","")))</f>
        <v/>
      </c>
      <c r="AY27" s="69" t="str">
        <f aca="false">IF($E27="","",IF($M27,IF(AND($G27&gt;=AY$5,$G27&lt;AY$5+GanttPeriod),"◆",IF(AND($E27&gt;=AY$5,$E27&lt;AY$5+GanttPeriod),"◇","")),IF(AND(AY$5&lt;=$F27,AY$5+GanttPeriod-1&gt;=$E27),"━","")))</f>
        <v/>
      </c>
      <c r="AZ27" s="69" t="str">
        <f aca="false">IF($E27="","",IF($M27,IF(AND($G27&gt;=AZ$5,$G27&lt;AZ$5+GanttPeriod),"◆",IF(AND($E27&gt;=AZ$5,$E27&lt;AZ$5+GanttPeriod),"◇","")),IF(AND(AZ$5&lt;=$F27,AZ$5+GanttPeriod-1&gt;=$E27),"━","")))</f>
        <v/>
      </c>
      <c r="BA27" s="69" t="str">
        <f aca="false">IF($E27="","",IF($M27,IF(AND($G27&gt;=BA$5,$G27&lt;BA$5+GanttPeriod),"◆",IF(AND($E27&gt;=BA$5,$E27&lt;BA$5+GanttPeriod),"◇","")),IF(AND(BA$5&lt;=$F27,BA$5+GanttPeriod-1&gt;=$E27),"━","")))</f>
        <v/>
      </c>
      <c r="BB27" s="69" t="str">
        <f aca="false">IF($E27="","",IF($M27,IF(AND($G27&gt;=BB$5,$G27&lt;BB$5+GanttPeriod),"◆",IF(AND($E27&gt;=BB$5,$E27&lt;BB$5+GanttPeriod),"◇","")),IF(AND(BB$5&lt;=$F27,BB$5+GanttPeriod-1&gt;=$E27),"━","")))</f>
        <v/>
      </c>
      <c r="BC27" s="69" t="str">
        <f aca="false">IF($E27="","",IF($M27,IF(AND($G27&gt;=BC$5,$G27&lt;BC$5+GanttPeriod),"◆",IF(AND($E27&gt;=BC$5,$E27&lt;BC$5+GanttPeriod),"◇","")),IF(AND(BC$5&lt;=$F27,BC$5+GanttPeriod-1&gt;=$E27),"━","")))</f>
        <v/>
      </c>
      <c r="BD27" s="69" t="str">
        <f aca="false">IF($E27="","",IF($M27,IF(AND($G27&gt;=BD$5,$G27&lt;BD$5+GanttPeriod),"◆",IF(AND($E27&gt;=BD$5,$E27&lt;BD$5+GanttPeriod),"◇","")),IF(AND(BD$5&lt;=$F27,BD$5+GanttPeriod-1&gt;=$E27),"━","")))</f>
        <v/>
      </c>
      <c r="BE27" s="69" t="str">
        <f aca="false">IF($E27="","",IF($M27,IF(AND($G27&gt;=BE$5,$G27&lt;BE$5+GanttPeriod),"◆",IF(AND($E27&gt;=BE$5,$E27&lt;BE$5+GanttPeriod),"◇","")),IF(AND(BE$5&lt;=$F27,BE$5+GanttPeriod-1&gt;=$E27),"━","")))</f>
        <v/>
      </c>
      <c r="BF27" s="69" t="str">
        <f aca="false">IF($E27="","",IF($M27,IF(AND($G27&gt;=BF$5,$G27&lt;BF$5+GanttPeriod),"◆",IF(AND($E27&gt;=BF$5,$E27&lt;BF$5+GanttPeriod),"◇","")),IF(AND(BF$5&lt;=$F27,BF$5+GanttPeriod-1&gt;=$E27),"━","")))</f>
        <v/>
      </c>
      <c r="BG27" s="69" t="str">
        <f aca="false">IF($E27="","",IF($M27,IF(AND($G27&gt;=BG$5,$G27&lt;BG$5+GanttPeriod),"◆",IF(AND($E27&gt;=BG$5,$E27&lt;BG$5+GanttPeriod),"◇","")),IF(AND(BG$5&lt;=$F27,BG$5+GanttPeriod-1&gt;=$E27),"━","")))</f>
        <v/>
      </c>
      <c r="BH27" s="69" t="str">
        <f aca="false">IF($E27="","",IF($M27,IF(AND($G27&gt;=BH$5,$G27&lt;BH$5+GanttPeriod),"◆",IF(AND($E27&gt;=BH$5,$E27&lt;BH$5+GanttPeriod),"◇","")),IF(AND(BH$5&lt;=$F27,BH$5+GanttPeriod-1&gt;=$E27),"━","")))</f>
        <v/>
      </c>
      <c r="BI27" s="69" t="str">
        <f aca="false">IF($E27="","",IF($M27,IF(AND($G27&gt;=BI$5,$G27&lt;BI$5+GanttPeriod),"◆",IF(AND($E27&gt;=BI$5,$E27&lt;BI$5+GanttPeriod),"◇","")),IF(AND(BI$5&lt;=$F27,BI$5+GanttPeriod-1&gt;=$E27),"━","")))</f>
        <v/>
      </c>
      <c r="BJ27" s="69" t="str">
        <f aca="false">IF($E27="","",IF($M27,IF(AND($G27&gt;=BJ$5,$G27&lt;BJ$5+GanttPeriod),"◆",IF(AND($E27&gt;=BJ$5,$E27&lt;BJ$5+GanttPeriod),"◇","")),IF(AND(BJ$5&lt;=$F27,BJ$5+GanttPeriod-1&gt;=$E27),"━","")))</f>
        <v/>
      </c>
      <c r="BK27" s="69" t="str">
        <f aca="false">IF($E27="","",IF($M27,IF(AND($G27&gt;=BK$5,$G27&lt;BK$5+GanttPeriod),"◆",IF(AND($E27&gt;=BK$5,$E27&lt;BK$5+GanttPeriod),"◇","")),IF(AND(BK$5&lt;=$F27,BK$5+GanttPeriod-1&gt;=$E27),"━","")))</f>
        <v/>
      </c>
      <c r="BL27" s="69" t="str">
        <f aca="false">IF($E27="","",IF($M27,IF(AND($G27&gt;=BL$5,$G27&lt;BL$5+GanttPeriod),"◆",IF(AND($E27&gt;=BL$5,$E27&lt;BL$5+GanttPeriod),"◇","")),IF(AND(BL$5&lt;=$F27,BL$5+GanttPeriod-1&gt;=$E27),"━","")))</f>
        <v/>
      </c>
      <c r="BM27" s="69" t="str">
        <f aca="false">IF($E27="","",IF($M27,IF(AND($G27&gt;=BM$5,$G27&lt;BM$5+GanttPeriod),"◆",IF(AND($E27&gt;=BM$5,$E27&lt;BM$5+GanttPeriod),"◇","")),IF(AND(BM$5&lt;=$F27,BM$5+GanttPeriod-1&gt;=$E27),"━","")))</f>
        <v/>
      </c>
      <c r="BN27" s="69" t="str">
        <f aca="false">IF($E27="","",IF($M27,IF(AND($G27&gt;=BN$5,$G27&lt;BN$5+GanttPeriod),"◆",IF(AND($E27&gt;=BN$5,$E27&lt;BN$5+GanttPeriod),"◇","")),IF(AND(BN$5&lt;=$F27,BN$5+GanttPeriod-1&gt;=$E27),"━","")))</f>
        <v/>
      </c>
      <c r="BO27" s="69" t="str">
        <f aca="false">IF($E27="","",IF($M27,IF(AND($G27&gt;=BO$5,$G27&lt;BO$5+GanttPeriod),"◆",IF(AND($E27&gt;=BO$5,$E27&lt;BO$5+GanttPeriod),"◇","")),IF(AND(BO$5&lt;=$F27,BO$5+GanttPeriod-1&gt;=$E27),"━","")))</f>
        <v/>
      </c>
      <c r="BP27" s="69" t="str">
        <f aca="false">IF($E27="","",IF($M27,IF(AND($G27&gt;=BP$5,$G27&lt;BP$5+GanttPeriod),"◆",IF(AND($E27&gt;=BP$5,$E27&lt;BP$5+GanttPeriod),"◇","")),IF(AND(BP$5&lt;=$F27,BP$5+GanttPeriod-1&gt;=$E27),"━","")))</f>
        <v/>
      </c>
      <c r="BQ27" s="69" t="str">
        <f aca="false">IF($E27="","",IF($M27,IF(AND($G27&gt;=BQ$5,$G27&lt;BQ$5+GanttPeriod),"◆",IF(AND($E27&gt;=BQ$5,$E27&lt;BQ$5+GanttPeriod),"◇","")),IF(AND(BQ$5&lt;=$F27,BQ$5+GanttPeriod-1&gt;=$E27),"━","")))</f>
        <v/>
      </c>
      <c r="BR27" s="69" t="str">
        <f aca="false">IF($E27="","",IF($M27,IF(AND($G27&gt;=BR$5,$G27&lt;BR$5+GanttPeriod),"◆",IF(AND($E27&gt;=BR$5,$E27&lt;BR$5+GanttPeriod),"◇","")),IF(AND(BR$5&lt;=$F27,BR$5+GanttPeriod-1&gt;=$E27),"━","")))</f>
        <v/>
      </c>
      <c r="BS27" s="69" t="str">
        <f aca="false">IF($E27="","",IF($M27,IF(AND($G27&gt;=BS$5,$G27&lt;BS$5+GanttPeriod),"◆",IF(AND($E27&gt;=BS$5,$E27&lt;BS$5+GanttPeriod),"◇","")),IF(AND(BS$5&lt;=$F27,BS$5+GanttPeriod-1&gt;=$E27),"━","")))</f>
        <v/>
      </c>
      <c r="BT27" s="69" t="str">
        <f aca="false">IF($E27="","",IF($M27,IF(AND($G27&gt;=BT$5,$G27&lt;BT$5+GanttPeriod),"◆",IF(AND($E27&gt;=BT$5,$E27&lt;BT$5+GanttPeriod),"◇","")),IF(AND(BT$5&lt;=$F27,BT$5+GanttPeriod-1&gt;=$E27),"━","")))</f>
        <v/>
      </c>
      <c r="BU27" s="69" t="str">
        <f aca="false">IF($E27="","",IF($M27,IF(AND($G27&gt;=BU$5,$G27&lt;BU$5+GanttPeriod),"◆",IF(AND($E27&gt;=BU$5,$E27&lt;BU$5+GanttPeriod),"◇","")),IF(AND(BU$5&lt;=$F27,BU$5+GanttPeriod-1&gt;=$E27),"━","")))</f>
        <v/>
      </c>
      <c r="BV27" s="69" t="str">
        <f aca="false">IF($E27="","",IF($M27,IF(AND($G27&gt;=BV$5,$G27&lt;BV$5+GanttPeriod),"◆",IF(AND($E27&gt;=BV$5,$E27&lt;BV$5+GanttPeriod),"◇","")),IF(AND(BV$5&lt;=$F27,BV$5+GanttPeriod-1&gt;=$E27),"━","")))</f>
        <v/>
      </c>
      <c r="BW27" s="69" t="str">
        <f aca="false">IF($E27="","",IF($M27,IF(AND($G27&gt;=BW$5,$G27&lt;BW$5+GanttPeriod),"◆",IF(AND($E27&gt;=BW$5,$E27&lt;BW$5+GanttPeriod),"◇","")),IF(AND(BW$5&lt;=$F27,BW$5+GanttPeriod-1&gt;=$E27),"━","")))</f>
        <v/>
      </c>
      <c r="BX27" s="69" t="str">
        <f aca="false">IF($E27="","",IF($M27,IF(AND($G27&gt;=BX$5,$G27&lt;BX$5+GanttPeriod),"◆",IF(AND($E27&gt;=BX$5,$E27&lt;BX$5+GanttPeriod),"◇","")),IF(AND(BX$5&lt;=$F27,BX$5+GanttPeriod-1&gt;=$E27),"━","")))</f>
        <v/>
      </c>
      <c r="BY27" s="69" t="str">
        <f aca="false">IF($E27="","",IF($M27,IF(AND($G27&gt;=BY$5,$G27&lt;BY$5+GanttPeriod),"◆",IF(AND($E27&gt;=BY$5,$E27&lt;BY$5+GanttPeriod),"◇","")),IF(AND(BY$5&lt;=$F27,BY$5+GanttPeriod-1&gt;=$E27),"━","")))</f>
        <v/>
      </c>
      <c r="BZ27" s="69" t="str">
        <f aca="false">IF($E27="","",IF($M27,IF(AND($G27&gt;=BZ$5,$G27&lt;BZ$5+GanttPeriod),"◆",IF(AND($E27&gt;=BZ$5,$E27&lt;BZ$5+GanttPeriod),"◇","")),IF(AND(BZ$5&lt;=$F27,BZ$5+GanttPeriod-1&gt;=$E27),"━","")))</f>
        <v/>
      </c>
      <c r="CA27" s="69" t="str">
        <f aca="false">IF($E27="","",IF($M27,IF(AND($G27&gt;=CA$5,$G27&lt;CA$5+GanttPeriod),"◆",IF(AND($E27&gt;=CA$5,$E27&lt;CA$5+GanttPeriod),"◇","")),IF(AND(CA$5&lt;=$F27,CA$5+GanttPeriod-1&gt;=$E27),"━","")))</f>
        <v/>
      </c>
      <c r="CB27" s="69" t="str">
        <f aca="false">IF($E27="","",IF($M27,IF(AND($G27&gt;=CB$5,$G27&lt;CB$5+GanttPeriod),"◆",IF(AND($E27&gt;=CB$5,$E27&lt;CB$5+GanttPeriod),"◇","")),IF(AND(CB$5&lt;=$F27,CB$5+GanttPeriod-1&gt;=$E27),"━","")))</f>
        <v/>
      </c>
      <c r="CC27" s="69" t="str">
        <f aca="false">IF($E27="","",IF($M27,IF(AND($G27&gt;=CC$5,$G27&lt;CC$5+GanttPeriod),"◆",IF(AND($E27&gt;=CC$5,$E27&lt;CC$5+GanttPeriod),"◇","")),IF(AND(CC$5&lt;=$F27,CC$5+GanttPeriod-1&gt;=$E27),"━","")))</f>
        <v/>
      </c>
      <c r="CD27" s="69" t="str">
        <f aca="false">IF($E27="","",IF($M27,IF(AND($G27&gt;=CD$5,$G27&lt;CD$5+GanttPeriod),"◆",IF(AND($E27&gt;=CD$5,$E27&lt;CD$5+GanttPeriod),"◇","")),IF(AND(CD$5&lt;=$F27,CD$5+GanttPeriod-1&gt;=$E27),"━","")))</f>
        <v/>
      </c>
      <c r="CE27" s="69" t="str">
        <f aca="false">IF($E27="","",IF($M27,IF(AND($G27&gt;=CE$5,$G27&lt;CE$5+GanttPeriod),"◆",IF(AND($E27&gt;=CE$5,$E27&lt;CE$5+GanttPeriod),"◇","")),IF(AND(CE$5&lt;=$F27,CE$5+GanttPeriod-1&gt;=$E27),"━","")))</f>
        <v/>
      </c>
      <c r="CF27" s="69" t="str">
        <f aca="false">IF($E27="","",IF($M27,IF(AND($G27&gt;=CF$5,$G27&lt;CF$5+GanttPeriod),"◆",IF(AND($E27&gt;=CF$5,$E27&lt;CF$5+GanttPeriod),"◇","")),IF(AND(CF$5&lt;=$F27,CF$5+GanttPeriod-1&gt;=$E27),"━","")))</f>
        <v/>
      </c>
      <c r="CG27" s="69" t="str">
        <f aca="false">IF($E27="","",IF($M27,IF(AND($G27&gt;=CG$5,$G27&lt;CG$5+GanttPeriod),"◆",IF(AND($E27&gt;=CG$5,$E27&lt;CG$5+GanttPeriod),"◇","")),IF(AND(CG$5&lt;=$F27,CG$5+GanttPeriod-1&gt;=$E27),"━","")))</f>
        <v/>
      </c>
      <c r="CH27" s="69" t="str">
        <f aca="false">IF($E27="","",IF($M27,IF(AND($G27&gt;=CH$5,$G27&lt;CH$5+GanttPeriod),"◆",IF(AND($E27&gt;=CH$5,$E27&lt;CH$5+GanttPeriod),"◇","")),IF(AND(CH$5&lt;=$F27,CH$5+GanttPeriod-1&gt;=$E27),"━","")))</f>
        <v/>
      </c>
      <c r="CI27" s="69" t="str">
        <f aca="false">IF($E27="","",IF($M27,IF(AND($G27&gt;=CI$5,$G27&lt;CI$5+GanttPeriod),"◆",IF(AND($E27&gt;=CI$5,$E27&lt;CI$5+GanttPeriod),"◇","")),IF(AND(CI$5&lt;=$F27,CI$5+GanttPeriod-1&gt;=$E27),"━","")))</f>
        <v/>
      </c>
      <c r="CJ27" s="69" t="str">
        <f aca="false">IF($E27="","",IF($M27,IF(AND($G27&gt;=CJ$5,$G27&lt;CJ$5+GanttPeriod),"◆",IF(AND($E27&gt;=CJ$5,$E27&lt;CJ$5+GanttPeriod),"◇","")),IF(AND(CJ$5&lt;=$F27,CJ$5+GanttPeriod-1&gt;=$E27),"━","")))</f>
        <v/>
      </c>
      <c r="CK27" s="69" t="str">
        <f aca="false">IF($E27="","",IF($M27,IF(AND($G27&gt;=CK$5,$G27&lt;CK$5+GanttPeriod),"◆",IF(AND($E27&gt;=CK$5,$E27&lt;CK$5+GanttPeriod),"◇","")),IF(AND(CK$5&lt;=$F27,CK$5+GanttPeriod-1&gt;=$E27),"━","")))</f>
        <v/>
      </c>
      <c r="CL27" s="69" t="str">
        <f aca="false">IF($E27="","",IF($M27,IF(AND($G27&gt;=CL$5,$G27&lt;CL$5+GanttPeriod),"◆",IF(AND($E27&gt;=CL$5,$E27&lt;CL$5+GanttPeriod),"◇","")),IF(AND(CL$5&lt;=$F27,CL$5+GanttPeriod-1&gt;=$E27),"━","")))</f>
        <v/>
      </c>
      <c r="CM27" s="69" t="str">
        <f aca="false">IF($E27="","",IF($M27,IF(AND($G27&gt;=CM$5,$G27&lt;CM$5+GanttPeriod),"◆",IF(AND($E27&gt;=CM$5,$E27&lt;CM$5+GanttPeriod),"◇","")),IF(AND(CM$5&lt;=$F27,CM$5+GanttPeriod-1&gt;=$E27),"━","")))</f>
        <v/>
      </c>
      <c r="CN27" s="69" t="str">
        <f aca="false">IF($E27="","",IF($M27,IF(AND($G27&gt;=CN$5,$G27&lt;CN$5+GanttPeriod),"◆",IF(AND($E27&gt;=CN$5,$E27&lt;CN$5+GanttPeriod),"◇","")),IF(AND(CN$5&lt;=$F27,CN$5+GanttPeriod-1&gt;=$E27),"━","")))</f>
        <v/>
      </c>
      <c r="CO27" s="69" t="str">
        <f aca="false">IF($E27="","",IF($M27,IF(AND($G27&gt;=CO$5,$G27&lt;CO$5+GanttPeriod),"◆",IF(AND($E27&gt;=CO$5,$E27&lt;CO$5+GanttPeriod),"◇","")),IF(AND(CO$5&lt;=$F27,CO$5+GanttPeriod-1&gt;=$E27),"━","")))</f>
        <v/>
      </c>
      <c r="CP27" s="69" t="str">
        <f aca="false">IF($E27="","",IF($M27,IF(AND($G27&gt;=CP$5,$G27&lt;CP$5+GanttPeriod),"◆",IF(AND($E27&gt;=CP$5,$E27&lt;CP$5+GanttPeriod),"◇","")),IF(AND(CP$5&lt;=$F27,CP$5+GanttPeriod-1&gt;=$E27),"━","")))</f>
        <v/>
      </c>
      <c r="CQ27" s="69" t="str">
        <f aca="false">IF($E27="","",IF($M27,IF(AND($G27&gt;=CQ$5,$G27&lt;CQ$5+GanttPeriod),"◆",IF(AND($E27&gt;=CQ$5,$E27&lt;CQ$5+GanttPeriod),"◇","")),IF(AND(CQ$5&lt;=$F27,CQ$5+GanttPeriod-1&gt;=$E27),"━","")))</f>
        <v/>
      </c>
      <c r="CR27" s="69" t="str">
        <f aca="false">IF($E27="","",IF($M27,IF(AND($G27&gt;=CR$5,$G27&lt;CR$5+GanttPeriod),"◆",IF(AND($E27&gt;=CR$5,$E27&lt;CR$5+GanttPeriod),"◇","")),IF(AND(CR$5&lt;=$F27,CR$5+GanttPeriod-1&gt;=$E27),"━","")))</f>
        <v/>
      </c>
      <c r="CS27" s="69" t="str">
        <f aca="false">IF($E27="","",IF($M27,IF(AND($G27&gt;=CS$5,$G27&lt;CS$5+GanttPeriod),"◆",IF(AND($E27&gt;=CS$5,$E27&lt;CS$5+GanttPeriod),"◇","")),IF(AND(CS$5&lt;=$F27,CS$5+GanttPeriod-1&gt;=$E27),"━","")))</f>
        <v/>
      </c>
      <c r="CT27" s="69" t="str">
        <f aca="false">IF($E27="","",IF($M27,IF(AND($G27&gt;=CT$5,$G27&lt;CT$5+GanttPeriod),"◆",IF(AND($E27&gt;=CT$5,$E27&lt;CT$5+GanttPeriod),"◇","")),IF(AND(CT$5&lt;=$F27,CT$5+GanttPeriod-1&gt;=$E27),"━","")))</f>
        <v/>
      </c>
      <c r="CU27" s="69" t="str">
        <f aca="false">IF($E27="","",IF($M27,IF(AND($G27&gt;=CU$5,$G27&lt;CU$5+GanttPeriod),"◆",IF(AND($E27&gt;=CU$5,$E27&lt;CU$5+GanttPeriod),"◇","")),IF(AND(CU$5&lt;=$F27,CU$5+GanttPeriod-1&gt;=$E27),"━","")))</f>
        <v/>
      </c>
      <c r="CV27" s="69" t="str">
        <f aca="false">IF($E27="","",IF($M27,IF(AND($G27&gt;=CV$5,$G27&lt;CV$5+GanttPeriod),"◆",IF(AND($E27&gt;=CV$5,$E27&lt;CV$5+GanttPeriod),"◇","")),IF(AND(CV$5&lt;=$F27,CV$5+GanttPeriod-1&gt;=$E27),"━","")))</f>
        <v/>
      </c>
      <c r="CW27" s="69" t="str">
        <f aca="false">IF($E27="","",IF($M27,IF(AND($G27&gt;=CW$5,$G27&lt;CW$5+GanttPeriod),"◆",IF(AND($E27&gt;=CW$5,$E27&lt;CW$5+GanttPeriod),"◇","")),IF(AND(CW$5&lt;=$F27,CW$5+GanttPeriod-1&gt;=$E27),"━","")))</f>
        <v/>
      </c>
      <c r="CX27" s="69" t="str">
        <f aca="false">IF($E27="","",IF($M27,IF(AND($G27&gt;=CX$5,$G27&lt;CX$5+GanttPeriod),"◆",IF(AND($E27&gt;=CX$5,$E27&lt;CX$5+GanttPeriod),"◇","")),IF(AND(CX$5&lt;=$F27,CX$5+GanttPeriod-1&gt;=$E27),"━","")))</f>
        <v/>
      </c>
      <c r="CY27" s="69" t="str">
        <f aca="false">IF($E27="","",IF($M27,IF(AND($G27&gt;=CY$5,$G27&lt;CY$5+GanttPeriod),"◆",IF(AND($E27&gt;=CY$5,$E27&lt;CY$5+GanttPeriod),"◇","")),IF(AND(CY$5&lt;=$F27,CY$5+GanttPeriod-1&gt;=$E27),"━","")))</f>
        <v/>
      </c>
      <c r="CZ27" s="69" t="str">
        <f aca="false">IF($E27="","",IF($M27,IF(AND($G27&gt;=CZ$5,$G27&lt;CZ$5+GanttPeriod),"◆",IF(AND($E27&gt;=CZ$5,$E27&lt;CZ$5+GanttPeriod),"◇","")),IF(AND(CZ$5&lt;=$F27,CZ$5+GanttPeriod-1&gt;=$E27),"━","")))</f>
        <v/>
      </c>
      <c r="DA27" s="69" t="str">
        <f aca="false">IF($E27="","",IF($M27,IF(AND($G27&gt;=DA$5,$G27&lt;DA$5+GanttPeriod),"◆",IF(AND($E27&gt;=DA$5,$E27&lt;DA$5+GanttPeriod),"◇","")),IF(AND(DA$5&lt;=$F27,DA$5+GanttPeriod-1&gt;=$E27),"━","")))</f>
        <v/>
      </c>
      <c r="DB27" s="69" t="str">
        <f aca="false">IF($E27="","",IF($M27,IF(AND($G27&gt;=DB$5,$G27&lt;DB$5+GanttPeriod),"◆",IF(AND($E27&gt;=DB$5,$E27&lt;DB$5+GanttPeriod),"◇","")),IF(AND(DB$5&lt;=$F27,DB$5+GanttPeriod-1&gt;=$E27),"━","")))</f>
        <v/>
      </c>
      <c r="DC27" s="69" t="str">
        <f aca="false">IF($E27="","",IF($M27,IF(AND($G27&gt;=DC$5,$G27&lt;DC$5+GanttPeriod),"◆",IF(AND($E27&gt;=DC$5,$E27&lt;DC$5+GanttPeriod),"◇","")),IF(AND(DC$5&lt;=$F27,DC$5+GanttPeriod-1&gt;=$E27),"━","")))</f>
        <v/>
      </c>
      <c r="DD27" s="69" t="str">
        <f aca="false">IF($E27="","",IF($M27,IF(AND($G27&gt;=DD$5,$G27&lt;DD$5+GanttPeriod),"◆",IF(AND($E27&gt;=DD$5,$E27&lt;DD$5+GanttPeriod),"◇","")),IF(AND(DD$5&lt;=$F27,DD$5+GanttPeriod-1&gt;=$E27),"━","")))</f>
        <v/>
      </c>
      <c r="DE27" s="69" t="str">
        <f aca="false">IF($E27="","",IF($M27,IF(AND($G27&gt;=DE$5,$G27&lt;DE$5+GanttPeriod),"◆",IF(AND($E27&gt;=DE$5,$E27&lt;DE$5+GanttPeriod),"◇","")),IF(AND(DE$5&lt;=$F27,DE$5+GanttPeriod-1&gt;=$E27),"━","")))</f>
        <v/>
      </c>
      <c r="DF27" s="69" t="str">
        <f aca="false">IF($E27="","",IF($M27,IF(AND($G27&gt;=DF$5,$G27&lt;DF$5+GanttPeriod),"◆",IF(AND($E27&gt;=DF$5,$E27&lt;DF$5+GanttPeriod),"◇","")),IF(AND(DF$5&lt;=$F27,DF$5+GanttPeriod-1&gt;=$E27),"━","")))</f>
        <v/>
      </c>
      <c r="DG27" s="69" t="str">
        <f aca="false">IF($E27="","",IF($M27,IF(AND($G27&gt;=DG$5,$G27&lt;DG$5+GanttPeriod),"◆",IF(AND($E27&gt;=DG$5,$E27&lt;DG$5+GanttPeriod),"◇","")),IF(AND(DG$5&lt;=$F27,DG$5+GanttPeriod-1&gt;=$E27),"━","")))</f>
        <v>━</v>
      </c>
      <c r="DH27" s="69" t="str">
        <f aca="false">IF($E27="","",IF($M27,IF(AND($G27&gt;=DH$5,$G27&lt;DH$5+GanttPeriod),"◆",IF(AND($E27&gt;=DH$5,$E27&lt;DH$5+GanttPeriod),"◇","")),IF(AND(DH$5&lt;=$F27,DH$5+GanttPeriod-1&gt;=$E27),"━","")))</f>
        <v>━</v>
      </c>
      <c r="DI27" s="69" t="str">
        <f aca="false">IF($E27="","",IF($M27,IF(AND($G27&gt;=DI$5,$G27&lt;DI$5+GanttPeriod),"◆",IF(AND($E27&gt;=DI$5,$E27&lt;DI$5+GanttPeriod),"◇","")),IF(AND(DI$5&lt;=$F27,DI$5+GanttPeriod-1&gt;=$E27),"━","")))</f>
        <v>━</v>
      </c>
      <c r="DJ27" s="69" t="str">
        <f aca="false">IF($E27="","",IF($M27,IF(AND($G27&gt;=DJ$5,$G27&lt;DJ$5+GanttPeriod),"◆",IF(AND($E27&gt;=DJ$5,$E27&lt;DJ$5+GanttPeriod),"◇","")),IF(AND(DJ$5&lt;=$F27,DJ$5+GanttPeriod-1&gt;=$E27),"━","")))</f>
        <v>━</v>
      </c>
      <c r="DK27" s="69" t="str">
        <f aca="false">IF($E27="","",IF($M27,IF(AND($G27&gt;=DK$5,$G27&lt;DK$5+GanttPeriod),"◆",IF(AND($E27&gt;=DK$5,$E27&lt;DK$5+GanttPeriod),"◇","")),IF(AND(DK$5&lt;=$F27,DK$5+GanttPeriod-1&gt;=$E27),"━","")))</f>
        <v>━</v>
      </c>
      <c r="DL27" s="69" t="str">
        <f aca="false">IF($E27="","",IF($M27,IF(AND($G27&gt;=DL$5,$G27&lt;DL$5+GanttPeriod),"◆",IF(AND($E27&gt;=DL$5,$E27&lt;DL$5+GanttPeriod),"◇","")),IF(AND(DL$5&lt;=$F27,DL$5+GanttPeriod-1&gt;=$E27),"━","")))</f>
        <v>━</v>
      </c>
      <c r="DM27" s="69" t="str">
        <f aca="false">IF($E27="","",IF($M27,IF(AND($G27&gt;=DM$5,$G27&lt;DM$5+GanttPeriod),"◆",IF(AND($E27&gt;=DM$5,$E27&lt;DM$5+GanttPeriod),"◇","")),IF(AND(DM$5&lt;=$F27,DM$5+GanttPeriod-1&gt;=$E27),"━","")))</f>
        <v>━</v>
      </c>
      <c r="DN27" s="69" t="str">
        <f aca="false">IF($E27="","",IF($M27,IF(AND($G27&gt;=DN$5,$G27&lt;DN$5+GanttPeriod),"◆",IF(AND($E27&gt;=DN$5,$E27&lt;DN$5+GanttPeriod),"◇","")),IF(AND(DN$5&lt;=$F27,DN$5+GanttPeriod-1&gt;=$E27),"━","")))</f>
        <v>━</v>
      </c>
      <c r="DO27" s="69" t="str">
        <f aca="false">IF($E27="","",IF($M27,IF(AND($G27&gt;=DO$5,$G27&lt;DO$5+GanttPeriod),"◆",IF(AND($E27&gt;=DO$5,$E27&lt;DO$5+GanttPeriod),"◇","")),IF(AND(DO$5&lt;=$F27,DO$5+GanttPeriod-1&gt;=$E27),"━","")))</f>
        <v/>
      </c>
      <c r="DP27" s="69" t="str">
        <f aca="false">IF($E27="","",IF($M27,IF(AND($G27&gt;=DP$5,$G27&lt;DP$5+GanttPeriod),"◆",IF(AND($E27&gt;=DP$5,$E27&lt;DP$5+GanttPeriod),"◇","")),IF(AND(DP$5&lt;=$F27,DP$5+GanttPeriod-1&gt;=$E27),"━","")))</f>
        <v/>
      </c>
      <c r="DQ27" s="69" t="str">
        <f aca="false">IF($E27="","",IF($M27,IF(AND($G27&gt;=DQ$5,$G27&lt;DQ$5+GanttPeriod),"◆",IF(AND($E27&gt;=DQ$5,$E27&lt;DQ$5+GanttPeriod),"◇","")),IF(AND(DQ$5&lt;=$F27,DQ$5+GanttPeriod-1&gt;=$E27),"━","")))</f>
        <v/>
      </c>
      <c r="DR27" s="69" t="str">
        <f aca="false">IF($E27="","",IF($M27,IF(AND($G27&gt;=DR$5,$G27&lt;DR$5+GanttPeriod),"◆",IF(AND($E27&gt;=DR$5,$E27&lt;DR$5+GanttPeriod),"◇","")),IF(AND(DR$5&lt;=$F27,DR$5+GanttPeriod-1&gt;=$E27),"━","")))</f>
        <v/>
      </c>
      <c r="DS27" s="69" t="str">
        <f aca="false">IF($E27="","",IF($M27,IF(AND($G27&gt;=DS$5,$G27&lt;DS$5+GanttPeriod),"◆",IF(AND($E27&gt;=DS$5,$E27&lt;DS$5+GanttPeriod),"◇","")),IF(AND(DS$5&lt;=$F27,DS$5+GanttPeriod-1&gt;=$E27),"━","")))</f>
        <v/>
      </c>
      <c r="DT27" s="69" t="str">
        <f aca="false">IF($E27="","",IF($M27,IF(AND($G27&gt;=DT$5,$G27&lt;DT$5+GanttPeriod),"◆",IF(AND($E27&gt;=DT$5,$E27&lt;DT$5+GanttPeriod),"◇","")),IF(AND(DT$5&lt;=$F27,DT$5+GanttPeriod-1&gt;=$E27),"━","")))</f>
        <v/>
      </c>
      <c r="DU27" s="69" t="str">
        <f aca="false">IF($E27="","",IF($M27,IF(AND($G27&gt;=DU$5,$G27&lt;DU$5+GanttPeriod),"◆",IF(AND($E27&gt;=DU$5,$E27&lt;DU$5+GanttPeriod),"◇","")),IF(AND(DU$5&lt;=$F27,DU$5+GanttPeriod-1&gt;=$E27),"━","")))</f>
        <v/>
      </c>
      <c r="DV27" s="69" t="str">
        <f aca="false">IF($E27="","",IF($M27,IF(AND($G27&gt;=DV$5,$G27&lt;DV$5+GanttPeriod),"◆",IF(AND($E27&gt;=DV$5,$E27&lt;DV$5+GanttPeriod),"◇","")),IF(AND(DV$5&lt;=$F27,DV$5+GanttPeriod-1&gt;=$E27),"━","")))</f>
        <v/>
      </c>
      <c r="DW27" s="69" t="str">
        <f aca="false">IF($E27="","",IF($M27,IF(AND($G27&gt;=DW$5,$G27&lt;DW$5+GanttPeriod),"◆",IF(AND($E27&gt;=DW$5,$E27&lt;DW$5+GanttPeriod),"◇","")),IF(AND(DW$5&lt;=$F27,DW$5+GanttPeriod-1&gt;=$E27),"━","")))</f>
        <v/>
      </c>
      <c r="DX27" s="69" t="str">
        <f aca="false">IF($E27="","",IF($M27,IF(AND($G27&gt;=DX$5,$G27&lt;DX$5+GanttPeriod),"◆",IF(AND($E27&gt;=DX$5,$E27&lt;DX$5+GanttPeriod),"◇","")),IF(AND(DX$5&lt;=$F27,DX$5+GanttPeriod-1&gt;=$E27),"━","")))</f>
        <v/>
      </c>
      <c r="DY27" s="69" t="str">
        <f aca="false">IF($E27="","",IF($M27,IF(AND($G27&gt;=DY$5,$G27&lt;DY$5+GanttPeriod),"◆",IF(AND($E27&gt;=DY$5,$E27&lt;DY$5+GanttPeriod),"◇","")),IF(AND(DY$5&lt;=$F27,DY$5+GanttPeriod-1&gt;=$E27),"━","")))</f>
        <v/>
      </c>
      <c r="DZ27" s="69" t="str">
        <f aca="false">IF($E27="","",IF($M27,IF(AND($G27&gt;=DZ$5,$G27&lt;DZ$5+GanttPeriod),"◆",IF(AND($E27&gt;=DZ$5,$E27&lt;DZ$5+GanttPeriod),"◇","")),IF(AND(DZ$5&lt;=$F27,DZ$5+GanttPeriod-1&gt;=$E27),"━","")))</f>
        <v/>
      </c>
      <c r="EA27" s="69" t="str">
        <f aca="false">IF($E27="","",IF($M27,IF(AND($G27&gt;=EA$5,$G27&lt;EA$5+GanttPeriod),"◆",IF(AND($E27&gt;=EA$5,$E27&lt;EA$5+GanttPeriod),"◇","")),IF(AND(EA$5&lt;=$F27,EA$5+GanttPeriod-1&gt;=$E27),"━","")))</f>
        <v/>
      </c>
      <c r="EB27" s="69" t="str">
        <f aca="false">IF($E27="","",IF($M27,IF(AND($G27&gt;=EB$5,$G27&lt;EB$5+GanttPeriod),"◆",IF(AND($E27&gt;=EB$5,$E27&lt;EB$5+GanttPeriod),"◇","")),IF(AND(EB$5&lt;=$F27,EB$5+GanttPeriod-1&gt;=$E27),"━","")))</f>
        <v/>
      </c>
      <c r="EC27" s="69" t="str">
        <f aca="false">IF($E27="","",IF($M27,IF(AND($G27&gt;=EC$5,$G27&lt;EC$5+GanttPeriod),"◆",IF(AND($E27&gt;=EC$5,$E27&lt;EC$5+GanttPeriod),"◇","")),IF(AND(EC$5&lt;=$F27,EC$5+GanttPeriod-1&gt;=$E27),"━","")))</f>
        <v/>
      </c>
      <c r="ED27" s="69" t="str">
        <f aca="false">IF($E27="","",IF($M27,IF(AND($G27&gt;=ED$5,$G27&lt;ED$5+GanttPeriod),"◆",IF(AND($E27&gt;=ED$5,$E27&lt;ED$5+GanttPeriod),"◇","")),IF(AND(ED$5&lt;=$F27,ED$5+GanttPeriod-1&gt;=$E27),"━","")))</f>
        <v/>
      </c>
      <c r="EE27" s="69" t="str">
        <f aca="false">IF($E27="","",IF($M27,IF(AND($G27&gt;=EE$5,$G27&lt;EE$5+GanttPeriod),"◆",IF(AND($E27&gt;=EE$5,$E27&lt;EE$5+GanttPeriod),"◇","")),IF(AND(EE$5&lt;=$F27,EE$5+GanttPeriod-1&gt;=$E27),"━","")))</f>
        <v/>
      </c>
      <c r="EF27" s="69" t="str">
        <f aca="false">IF($E27="","",IF($M27,IF(AND($G27&gt;=EF$5,$G27&lt;EF$5+GanttPeriod),"◆",IF(AND($E27&gt;=EF$5,$E27&lt;EF$5+GanttPeriod),"◇","")),IF(AND(EF$5&lt;=$F27,EF$5+GanttPeriod-1&gt;=$E27),"━","")))</f>
        <v/>
      </c>
      <c r="EG27" s="69" t="str">
        <f aca="false">IF($E27="","",IF($M27,IF(AND($G27&gt;=EG$5,$G27&lt;EG$5+GanttPeriod),"◆",IF(AND($E27&gt;=EG$5,$E27&lt;EG$5+GanttPeriod),"◇","")),IF(AND(EG$5&lt;=$F27,EG$5+GanttPeriod-1&gt;=$E27),"━","")))</f>
        <v/>
      </c>
      <c r="EH27" s="69" t="str">
        <f aca="false">IF($E27="","",IF($M27,IF(AND($G27&gt;=EH$5,$G27&lt;EH$5+GanttPeriod),"◆",IF(AND($E27&gt;=EH$5,$E27&lt;EH$5+GanttPeriod),"◇","")),IF(AND(EH$5&lt;=$F27,EH$5+GanttPeriod-1&gt;=$E27),"━","")))</f>
        <v/>
      </c>
      <c r="EI27" s="69" t="str">
        <f aca="false">IF($E27="","",IF($M27,IF(AND($G27&gt;=EI$5,$G27&lt;EI$5+GanttPeriod),"◆",IF(AND($E27&gt;=EI$5,$E27&lt;EI$5+GanttPeriod),"◇","")),IF(AND(EI$5&lt;=$F27,EI$5+GanttPeriod-1&gt;=$E27),"━","")))</f>
        <v/>
      </c>
      <c r="EJ27" s="69" t="str">
        <f aca="false">IF($E27="","",IF($M27,IF(AND($G27&gt;=EJ$5,$G27&lt;EJ$5+GanttPeriod),"◆",IF(AND($E27&gt;=EJ$5,$E27&lt;EJ$5+GanttPeriod),"◇","")),IF(AND(EJ$5&lt;=$F27,EJ$5+GanttPeriod-1&gt;=$E27),"━","")))</f>
        <v/>
      </c>
      <c r="EK27" s="69" t="str">
        <f aca="false">IF($E27="","",IF($M27,IF(AND($G27&gt;=EK$5,$G27&lt;EK$5+GanttPeriod),"◆",IF(AND($E27&gt;=EK$5,$E27&lt;EK$5+GanttPeriod),"◇","")),IF(AND(EK$5&lt;=$F27,EK$5+GanttPeriod-1&gt;=$E27),"━","")))</f>
        <v/>
      </c>
      <c r="EL27" s="69" t="str">
        <f aca="false">IF($E27="","",IF($M27,IF(AND($G27&gt;=EL$5,$G27&lt;EL$5+GanttPeriod),"◆",IF(AND($E27&gt;=EL$5,$E27&lt;EL$5+GanttPeriod),"◇","")),IF(AND(EL$5&lt;=$F27,EL$5+GanttPeriod-1&gt;=$E27),"━","")))</f>
        <v/>
      </c>
      <c r="EM27" s="69" t="str">
        <f aca="false">IF($E27="","",IF($M27,IF(AND($G27&gt;=EM$5,$G27&lt;EM$5+GanttPeriod),"◆",IF(AND($E27&gt;=EM$5,$E27&lt;EM$5+GanttPeriod),"◇","")),IF(AND(EM$5&lt;=$F27,EM$5+GanttPeriod-1&gt;=$E27),"━","")))</f>
        <v/>
      </c>
      <c r="EN27" s="69" t="str">
        <f aca="false">IF($E27="","",IF($M27,IF(AND($G27&gt;=EN$5,$G27&lt;EN$5+GanttPeriod),"◆",IF(AND($E27&gt;=EN$5,$E27&lt;EN$5+GanttPeriod),"◇","")),IF(AND(EN$5&lt;=$F27,EN$5+GanttPeriod-1&gt;=$E27),"━","")))</f>
        <v/>
      </c>
      <c r="EO27" s="69" t="str">
        <f aca="false">IF($E27="","",IF($M27,IF(AND($G27&gt;=EO$5,$G27&lt;EO$5+GanttPeriod),"◆",IF(AND($E27&gt;=EO$5,$E27&lt;EO$5+GanttPeriod),"◇","")),IF(AND(EO$5&lt;=$F27,EO$5+GanttPeriod-1&gt;=$E27),"━","")))</f>
        <v/>
      </c>
      <c r="EP27" s="69" t="str">
        <f aca="false">IF($E27="","",IF($M27,IF(AND($G27&gt;=EP$5,$G27&lt;EP$5+GanttPeriod),"◆",IF(AND($E27&gt;=EP$5,$E27&lt;EP$5+GanttPeriod),"◇","")),IF(AND(EP$5&lt;=$F27,EP$5+GanttPeriod-1&gt;=$E27),"━","")))</f>
        <v/>
      </c>
      <c r="EQ27" s="69" t="str">
        <f aca="false">IF($E27="","",IF($M27,IF(AND($G27&gt;=EQ$5,$G27&lt;EQ$5+GanttPeriod),"◆",IF(AND($E27&gt;=EQ$5,$E27&lt;EQ$5+GanttPeriod),"◇","")),IF(AND(EQ$5&lt;=$F27,EQ$5+GanttPeriod-1&gt;=$E27),"━","")))</f>
        <v/>
      </c>
      <c r="ER27" s="69" t="str">
        <f aca="false">IF($E27="","",IF($M27,IF(AND($G27&gt;=ER$5,$G27&lt;ER$5+GanttPeriod),"◆",IF(AND($E27&gt;=ER$5,$E27&lt;ER$5+GanttPeriod),"◇","")),IF(AND(ER$5&lt;=$F27,ER$5+GanttPeriod-1&gt;=$E27),"━","")))</f>
        <v/>
      </c>
      <c r="ES27" s="69" t="str">
        <f aca="false">IF($E27="","",IF($M27,IF(AND($G27&gt;=ES$5,$G27&lt;ES$5+GanttPeriod),"◆",IF(AND($E27&gt;=ES$5,$E27&lt;ES$5+GanttPeriod),"◇","")),IF(AND(ES$5&lt;=$F27,ES$5+GanttPeriod-1&gt;=$E27),"━","")))</f>
        <v/>
      </c>
      <c r="ET27" s="69" t="str">
        <f aca="false">IF($E27="","",IF($M27,IF(AND($G27&gt;=ET$5,$G27&lt;ET$5+GanttPeriod),"◆",IF(AND($E27&gt;=ET$5,$E27&lt;ET$5+GanttPeriod),"◇","")),IF(AND(ET$5&lt;=$F27,ET$5+GanttPeriod-1&gt;=$E27),"━","")))</f>
        <v/>
      </c>
      <c r="EU27" s="69" t="str">
        <f aca="false">IF($E27="","",IF($M27,IF(AND($G27&gt;=EU$5,$G27&lt;EU$5+GanttPeriod),"◆",IF(AND($E27&gt;=EU$5,$E27&lt;EU$5+GanttPeriod),"◇","")),IF(AND(EU$5&lt;=$F27,EU$5+GanttPeriod-1&gt;=$E27),"━","")))</f>
        <v/>
      </c>
      <c r="EV27" s="69" t="str">
        <f aca="false">IF($E27="","",IF($M27,IF(AND($G27&gt;=EV$5,$G27&lt;EV$5+GanttPeriod),"◆",IF(AND($E27&gt;=EV$5,$E27&lt;EV$5+GanttPeriod),"◇","")),IF(AND(EV$5&lt;=$F27,EV$5+GanttPeriod-1&gt;=$E27),"━","")))</f>
        <v/>
      </c>
      <c r="EW27" s="69" t="str">
        <f aca="false">IF($E27="","",IF($M27,IF(AND($G27&gt;=EW$5,$G27&lt;EW$5+GanttPeriod),"◆",IF(AND($E27&gt;=EW$5,$E27&lt;EW$5+GanttPeriod),"◇","")),IF(AND(EW$5&lt;=$F27,EW$5+GanttPeriod-1&gt;=$E27),"━","")))</f>
        <v/>
      </c>
      <c r="EX27" s="69" t="str">
        <f aca="false">IF($E27="","",IF($M27,IF(AND($G27&gt;=EX$5,$G27&lt;EX$5+GanttPeriod),"◆",IF(AND($E27&gt;=EX$5,$E27&lt;EX$5+GanttPeriod),"◇","")),IF(AND(EX$5&lt;=$F27,EX$5+GanttPeriod-1&gt;=$E27),"━","")))</f>
        <v/>
      </c>
      <c r="EY27" s="69" t="str">
        <f aca="false">IF($E27="","",IF($M27,IF(AND($G27&gt;=EY$5,$G27&lt;EY$5+GanttPeriod),"◆",IF(AND($E27&gt;=EY$5,$E27&lt;EY$5+GanttPeriod),"◇","")),IF(AND(EY$5&lt;=$F27,EY$5+GanttPeriod-1&gt;=$E27),"━","")))</f>
        <v/>
      </c>
      <c r="EZ27" s="69" t="str">
        <f aca="false">IF($E27="","",IF($M27,IF(AND($G27&gt;=EZ$5,$G27&lt;EZ$5+GanttPeriod),"◆",IF(AND($E27&gt;=EZ$5,$E27&lt;EZ$5+GanttPeriod),"◇","")),IF(AND(EZ$5&lt;=$F27,EZ$5+GanttPeriod-1&gt;=$E27),"━","")))</f>
        <v/>
      </c>
      <c r="FA27" s="69" t="str">
        <f aca="false">IF($E27="","",IF($M27,IF(AND($G27&gt;=FA$5,$G27&lt;FA$5+GanttPeriod),"◆",IF(AND($E27&gt;=FA$5,$E27&lt;FA$5+GanttPeriod),"◇","")),IF(AND(FA$5&lt;=$F27,FA$5+GanttPeriod-1&gt;=$E27),"━","")))</f>
        <v/>
      </c>
      <c r="FB27" s="69" t="str">
        <f aca="false">IF($E27="","",IF($M27,IF(AND($G27&gt;=FB$5,$G27&lt;FB$5+GanttPeriod),"◆",IF(AND($E27&gt;=FB$5,$E27&lt;FB$5+GanttPeriod),"◇","")),IF(AND(FB$5&lt;=$F27,FB$5+GanttPeriod-1&gt;=$E27),"━","")))</f>
        <v/>
      </c>
      <c r="FC27" s="69" t="str">
        <f aca="false">IF($E27="","",IF($M27,IF(AND($G27&gt;=FC$5,$G27&lt;FC$5+GanttPeriod),"◆",IF(AND($E27&gt;=FC$5,$E27&lt;FC$5+GanttPeriod),"◇","")),IF(AND(FC$5&lt;=$F27,FC$5+GanttPeriod-1&gt;=$E27),"━","")))</f>
        <v/>
      </c>
      <c r="FD27" s="69" t="str">
        <f aca="false">IF($E27="","",IF($M27,IF(AND($G27&gt;=FD$5,$G27&lt;FD$5+GanttPeriod),"◆",IF(AND($E27&gt;=FD$5,$E27&lt;FD$5+GanttPeriod),"◇","")),IF(AND(FD$5&lt;=$F27,FD$5+GanttPeriod-1&gt;=$E27),"━","")))</f>
        <v/>
      </c>
      <c r="FE27" s="69" t="str">
        <f aca="false">IF($E27="","",IF($M27,IF(AND($G27&gt;=FE$5,$G27&lt;FE$5+GanttPeriod),"◆",IF(AND($E27&gt;=FE$5,$E27&lt;FE$5+GanttPeriod),"◇","")),IF(AND(FE$5&lt;=$F27,FE$5+GanttPeriod-1&gt;=$E27),"━","")))</f>
        <v/>
      </c>
      <c r="FF27" s="69" t="str">
        <f aca="false">IF($E27="","",IF($M27,IF(AND($G27&gt;=FF$5,$G27&lt;FF$5+GanttPeriod),"◆",IF(AND($E27&gt;=FF$5,$E27&lt;FF$5+GanttPeriod),"◇","")),IF(AND(FF$5&lt;=$F27,FF$5+GanttPeriod-1&gt;=$E27),"━","")))</f>
        <v/>
      </c>
      <c r="FG27" s="69" t="str">
        <f aca="false">IF($E27="","",IF($M27,IF(AND($G27&gt;=FG$5,$G27&lt;FG$5+GanttPeriod),"◆",IF(AND($E27&gt;=FG$5,$E27&lt;FG$5+GanttPeriod),"◇","")),IF(AND(FG$5&lt;=$F27,FG$5+GanttPeriod-1&gt;=$E27),"━","")))</f>
        <v/>
      </c>
      <c r="FH27" s="69" t="str">
        <f aca="false">IF($E27="","",IF($M27,IF(AND($G27&gt;=FH$5,$G27&lt;FH$5+GanttPeriod),"◆",IF(AND($E27&gt;=FH$5,$E27&lt;FH$5+GanttPeriod),"◇","")),IF(AND(FH$5&lt;=$F27,FH$5+GanttPeriod-1&gt;=$E27),"━","")))</f>
        <v/>
      </c>
      <c r="FI27" s="69" t="str">
        <f aca="false">IF($E27="","",IF($M27,IF(AND($G27&gt;=FI$5,$G27&lt;FI$5+GanttPeriod),"◆",IF(AND($E27&gt;=FI$5,$E27&lt;FI$5+GanttPeriod),"◇","")),IF(AND(FI$5&lt;=$F27,FI$5+GanttPeriod-1&gt;=$E27),"━","")))</f>
        <v/>
      </c>
      <c r="FJ27" s="69" t="str">
        <f aca="false">IF($E27="","",IF($M27,IF(AND($G27&gt;=FJ$5,$G27&lt;FJ$5+GanttPeriod),"◆",IF(AND($E27&gt;=FJ$5,$E27&lt;FJ$5+GanttPeriod),"◇","")),IF(AND(FJ$5&lt;=$F27,FJ$5+GanttPeriod-1&gt;=$E27),"━","")))</f>
        <v/>
      </c>
      <c r="FK27" s="69" t="str">
        <f aca="false">IF($E27="","",IF($M27,IF(AND($G27&gt;=FK$5,$G27&lt;FK$5+GanttPeriod),"◆",IF(AND($E27&gt;=FK$5,$E27&lt;FK$5+GanttPeriod),"◇","")),IF(AND(FK$5&lt;=$F27,FK$5+GanttPeriod-1&gt;=$E27),"━","")))</f>
        <v/>
      </c>
      <c r="FL27" s="69" t="str">
        <f aca="false">IF($E27="","",IF($M27,IF(AND($G27&gt;=FL$5,$G27&lt;FL$5+GanttPeriod),"◆",IF(AND($E27&gt;=FL$5,$E27&lt;FL$5+GanttPeriod),"◇","")),IF(AND(FL$5&lt;=$F27,FL$5+GanttPeriod-1&gt;=$E27),"━","")))</f>
        <v/>
      </c>
      <c r="FM27" s="69" t="str">
        <f aca="false">IF($E27="","",IF($M27,IF(AND($G27&gt;=FM$5,$G27&lt;FM$5+GanttPeriod),"◆",IF(AND($E27&gt;=FM$5,$E27&lt;FM$5+GanttPeriod),"◇","")),IF(AND(FM$5&lt;=$F27,FM$5+GanttPeriod-1&gt;=$E27),"━","")))</f>
        <v/>
      </c>
    </row>
    <row r="28" customFormat="false" ht="15" hidden="false" customHeight="false" outlineLevel="0" collapsed="false">
      <c r="A28" s="62" t="n">
        <f aca="false">IF(Tasks!$D28="","",Tasks!$A28)</f>
        <v>23</v>
      </c>
      <c r="B28" s="62" t="str">
        <f aca="false">IF(Tasks!$D28="","",Tasks!$B28)</f>
        <v>4.3</v>
      </c>
      <c r="C28" s="63" t="str">
        <f aca="false">IF(Tasks!$D28="","",REPT("    ",Tasks!$AE28-1)&amp;Tasks!$D28)</f>
        <v>    Training &amp; user guides</v>
      </c>
      <c r="D28" s="62" t="n">
        <f aca="false">IF(Tasks!$D28="","",IF(Tasks!$AI28,NETWORKDAYS.INTL(Tasks!$R28,Tasks!$S28,WorkWeek,Holidays),N(Tasks!$F28)))</f>
        <v>5</v>
      </c>
      <c r="E28" s="64" t="n">
        <f aca="false">IF(Tasks!$D28="","",Tasks!$N28)</f>
        <v>46330</v>
      </c>
      <c r="F28" s="64" t="n">
        <f aca="false">IF(Tasks!$D28="","",Tasks!$O28)</f>
        <v>46336</v>
      </c>
      <c r="G28" s="64" t="n">
        <f aca="false">IF(Tasks!$D28="","",Tasks!$R28)</f>
        <v>46338</v>
      </c>
      <c r="H28" s="64" t="n">
        <f aca="false">IF(Tasks!$D28="","",Tasks!$S28)</f>
        <v>46344</v>
      </c>
      <c r="I28" s="65" t="n">
        <f aca="false">IF(Tasks!$D28="","",Tasks!$V28)</f>
        <v>0</v>
      </c>
      <c r="J28" s="63" t="str">
        <f aca="false">IF(Tasks!$D28="","",Tasks!$X28&amp;"")</f>
        <v>Casey Kim</v>
      </c>
      <c r="K28" s="66" t="str">
        <f aca="false">IF(Tasks!$D28="","",Tasks!$W28)</f>
        <v>Not Started</v>
      </c>
      <c r="L28" s="67" t="b">
        <f aca="false">IF(Tasks!$D28="",FALSE(),Tasks!$AI28)</f>
        <v>0</v>
      </c>
      <c r="M28" s="67" t="b">
        <f aca="false">AND(Tasks!$AJ28=1,N(Tasks!$F28)=0)</f>
        <v>0</v>
      </c>
      <c r="N28" s="68" t="n">
        <f aca="false">IF(AND(Tasks!$AJ28=1,NOT($M28),N($I28)&gt;0),$G28,0)</f>
        <v>0</v>
      </c>
      <c r="O28" s="68" t="n">
        <f aca="false">IF($N28=0,0,IF($I28&gt;=1,$H28,MAX($N28,$G28+ROUND(($H28-$G28+1)*$I28,0)-1)))</f>
        <v>0</v>
      </c>
      <c r="P28" s="68" t="n">
        <f aca="false">IF(OR(Tasks!$AJ28&lt;&gt;1,$M28,N($I28)&gt;=1),0,IF($O28&gt;0,$O28+1,$G28))</f>
        <v>46338</v>
      </c>
      <c r="Q28" s="68" t="n">
        <f aca="false">IF($P28=0,0,$H28)</f>
        <v>46344</v>
      </c>
      <c r="R28" s="67" t="b">
        <f aca="false">AND(Tasks!$D28&lt;&gt;"",N(Tasks!$T28)&gt;0)</f>
        <v>1</v>
      </c>
      <c r="T28" s="69" t="str">
        <f aca="false">IF($E28="","",IF($M28,IF(AND($G28&gt;=T$5,$G28&lt;T$5+GanttPeriod),"◆",IF(AND($E28&gt;=T$5,$E28&lt;T$5+GanttPeriod),"◇","")),IF(AND(T$5&lt;=$F28,T$5+GanttPeriod-1&gt;=$E28),"━","")))</f>
        <v/>
      </c>
      <c r="U28" s="69" t="str">
        <f aca="false">IF($E28="","",IF($M28,IF(AND($G28&gt;=U$5,$G28&lt;U$5+GanttPeriod),"◆",IF(AND($E28&gt;=U$5,$E28&lt;U$5+GanttPeriod),"◇","")),IF(AND(U$5&lt;=$F28,U$5+GanttPeriod-1&gt;=$E28),"━","")))</f>
        <v/>
      </c>
      <c r="V28" s="69" t="str">
        <f aca="false">IF($E28="","",IF($M28,IF(AND($G28&gt;=V$5,$G28&lt;V$5+GanttPeriod),"◆",IF(AND($E28&gt;=V$5,$E28&lt;V$5+GanttPeriod),"◇","")),IF(AND(V$5&lt;=$F28,V$5+GanttPeriod-1&gt;=$E28),"━","")))</f>
        <v/>
      </c>
      <c r="W28" s="69" t="str">
        <f aca="false">IF($E28="","",IF($M28,IF(AND($G28&gt;=W$5,$G28&lt;W$5+GanttPeriod),"◆",IF(AND($E28&gt;=W$5,$E28&lt;W$5+GanttPeriod),"◇","")),IF(AND(W$5&lt;=$F28,W$5+GanttPeriod-1&gt;=$E28),"━","")))</f>
        <v/>
      </c>
      <c r="X28" s="69" t="str">
        <f aca="false">IF($E28="","",IF($M28,IF(AND($G28&gt;=X$5,$G28&lt;X$5+GanttPeriod),"◆",IF(AND($E28&gt;=X$5,$E28&lt;X$5+GanttPeriod),"◇","")),IF(AND(X$5&lt;=$F28,X$5+GanttPeriod-1&gt;=$E28),"━","")))</f>
        <v/>
      </c>
      <c r="Y28" s="69" t="str">
        <f aca="false">IF($E28="","",IF($M28,IF(AND($G28&gt;=Y$5,$G28&lt;Y$5+GanttPeriod),"◆",IF(AND($E28&gt;=Y$5,$E28&lt;Y$5+GanttPeriod),"◇","")),IF(AND(Y$5&lt;=$F28,Y$5+GanttPeriod-1&gt;=$E28),"━","")))</f>
        <v/>
      </c>
      <c r="Z28" s="69" t="str">
        <f aca="false">IF($E28="","",IF($M28,IF(AND($G28&gt;=Z$5,$G28&lt;Z$5+GanttPeriod),"◆",IF(AND($E28&gt;=Z$5,$E28&lt;Z$5+GanttPeriod),"◇","")),IF(AND(Z$5&lt;=$F28,Z$5+GanttPeriod-1&gt;=$E28),"━","")))</f>
        <v/>
      </c>
      <c r="AA28" s="69" t="str">
        <f aca="false">IF($E28="","",IF($M28,IF(AND($G28&gt;=AA$5,$G28&lt;AA$5+GanttPeriod),"◆",IF(AND($E28&gt;=AA$5,$E28&lt;AA$5+GanttPeriod),"◇","")),IF(AND(AA$5&lt;=$F28,AA$5+GanttPeriod-1&gt;=$E28),"━","")))</f>
        <v/>
      </c>
      <c r="AB28" s="69" t="str">
        <f aca="false">IF($E28="","",IF($M28,IF(AND($G28&gt;=AB$5,$G28&lt;AB$5+GanttPeriod),"◆",IF(AND($E28&gt;=AB$5,$E28&lt;AB$5+GanttPeriod),"◇","")),IF(AND(AB$5&lt;=$F28,AB$5+GanttPeriod-1&gt;=$E28),"━","")))</f>
        <v/>
      </c>
      <c r="AC28" s="69" t="str">
        <f aca="false">IF($E28="","",IF($M28,IF(AND($G28&gt;=AC$5,$G28&lt;AC$5+GanttPeriod),"◆",IF(AND($E28&gt;=AC$5,$E28&lt;AC$5+GanttPeriod),"◇","")),IF(AND(AC$5&lt;=$F28,AC$5+GanttPeriod-1&gt;=$E28),"━","")))</f>
        <v/>
      </c>
      <c r="AD28" s="69" t="str">
        <f aca="false">IF($E28="","",IF($M28,IF(AND($G28&gt;=AD$5,$G28&lt;AD$5+GanttPeriod),"◆",IF(AND($E28&gt;=AD$5,$E28&lt;AD$5+GanttPeriod),"◇","")),IF(AND(AD$5&lt;=$F28,AD$5+GanttPeriod-1&gt;=$E28),"━","")))</f>
        <v/>
      </c>
      <c r="AE28" s="69" t="str">
        <f aca="false">IF($E28="","",IF($M28,IF(AND($G28&gt;=AE$5,$G28&lt;AE$5+GanttPeriod),"◆",IF(AND($E28&gt;=AE$5,$E28&lt;AE$5+GanttPeriod),"◇","")),IF(AND(AE$5&lt;=$F28,AE$5+GanttPeriod-1&gt;=$E28),"━","")))</f>
        <v/>
      </c>
      <c r="AF28" s="69" t="str">
        <f aca="false">IF($E28="","",IF($M28,IF(AND($G28&gt;=AF$5,$G28&lt;AF$5+GanttPeriod),"◆",IF(AND($E28&gt;=AF$5,$E28&lt;AF$5+GanttPeriod),"◇","")),IF(AND(AF$5&lt;=$F28,AF$5+GanttPeriod-1&gt;=$E28),"━","")))</f>
        <v/>
      </c>
      <c r="AG28" s="69" t="str">
        <f aca="false">IF($E28="","",IF($M28,IF(AND($G28&gt;=AG$5,$G28&lt;AG$5+GanttPeriod),"◆",IF(AND($E28&gt;=AG$5,$E28&lt;AG$5+GanttPeriod),"◇","")),IF(AND(AG$5&lt;=$F28,AG$5+GanttPeriod-1&gt;=$E28),"━","")))</f>
        <v/>
      </c>
      <c r="AH28" s="69" t="str">
        <f aca="false">IF($E28="","",IF($M28,IF(AND($G28&gt;=AH$5,$G28&lt;AH$5+GanttPeriod),"◆",IF(AND($E28&gt;=AH$5,$E28&lt;AH$5+GanttPeriod),"◇","")),IF(AND(AH$5&lt;=$F28,AH$5+GanttPeriod-1&gt;=$E28),"━","")))</f>
        <v/>
      </c>
      <c r="AI28" s="69" t="str">
        <f aca="false">IF($E28="","",IF($M28,IF(AND($G28&gt;=AI$5,$G28&lt;AI$5+GanttPeriod),"◆",IF(AND($E28&gt;=AI$5,$E28&lt;AI$5+GanttPeriod),"◇","")),IF(AND(AI$5&lt;=$F28,AI$5+GanttPeriod-1&gt;=$E28),"━","")))</f>
        <v/>
      </c>
      <c r="AJ28" s="69" t="str">
        <f aca="false">IF($E28="","",IF($M28,IF(AND($G28&gt;=AJ$5,$G28&lt;AJ$5+GanttPeriod),"◆",IF(AND($E28&gt;=AJ$5,$E28&lt;AJ$5+GanttPeriod),"◇","")),IF(AND(AJ$5&lt;=$F28,AJ$5+GanttPeriod-1&gt;=$E28),"━","")))</f>
        <v/>
      </c>
      <c r="AK28" s="69" t="str">
        <f aca="false">IF($E28="","",IF($M28,IF(AND($G28&gt;=AK$5,$G28&lt;AK$5+GanttPeriod),"◆",IF(AND($E28&gt;=AK$5,$E28&lt;AK$5+GanttPeriod),"◇","")),IF(AND(AK$5&lt;=$F28,AK$5+GanttPeriod-1&gt;=$E28),"━","")))</f>
        <v/>
      </c>
      <c r="AL28" s="69" t="str">
        <f aca="false">IF($E28="","",IF($M28,IF(AND($G28&gt;=AL$5,$G28&lt;AL$5+GanttPeriod),"◆",IF(AND($E28&gt;=AL$5,$E28&lt;AL$5+GanttPeriod),"◇","")),IF(AND(AL$5&lt;=$F28,AL$5+GanttPeriod-1&gt;=$E28),"━","")))</f>
        <v/>
      </c>
      <c r="AM28" s="69" t="str">
        <f aca="false">IF($E28="","",IF($M28,IF(AND($G28&gt;=AM$5,$G28&lt;AM$5+GanttPeriod),"◆",IF(AND($E28&gt;=AM$5,$E28&lt;AM$5+GanttPeriod),"◇","")),IF(AND(AM$5&lt;=$F28,AM$5+GanttPeriod-1&gt;=$E28),"━","")))</f>
        <v/>
      </c>
      <c r="AN28" s="69" t="str">
        <f aca="false">IF($E28="","",IF($M28,IF(AND($G28&gt;=AN$5,$G28&lt;AN$5+GanttPeriod),"◆",IF(AND($E28&gt;=AN$5,$E28&lt;AN$5+GanttPeriod),"◇","")),IF(AND(AN$5&lt;=$F28,AN$5+GanttPeriod-1&gt;=$E28),"━","")))</f>
        <v/>
      </c>
      <c r="AO28" s="69" t="str">
        <f aca="false">IF($E28="","",IF($M28,IF(AND($G28&gt;=AO$5,$G28&lt;AO$5+GanttPeriod),"◆",IF(AND($E28&gt;=AO$5,$E28&lt;AO$5+GanttPeriod),"◇","")),IF(AND(AO$5&lt;=$F28,AO$5+GanttPeriod-1&gt;=$E28),"━","")))</f>
        <v/>
      </c>
      <c r="AP28" s="69" t="str">
        <f aca="false">IF($E28="","",IF($M28,IF(AND($G28&gt;=AP$5,$G28&lt;AP$5+GanttPeriod),"◆",IF(AND($E28&gt;=AP$5,$E28&lt;AP$5+GanttPeriod),"◇","")),IF(AND(AP$5&lt;=$F28,AP$5+GanttPeriod-1&gt;=$E28),"━","")))</f>
        <v/>
      </c>
      <c r="AQ28" s="69" t="str">
        <f aca="false">IF($E28="","",IF($M28,IF(AND($G28&gt;=AQ$5,$G28&lt;AQ$5+GanttPeriod),"◆",IF(AND($E28&gt;=AQ$5,$E28&lt;AQ$5+GanttPeriod),"◇","")),IF(AND(AQ$5&lt;=$F28,AQ$5+GanttPeriod-1&gt;=$E28),"━","")))</f>
        <v/>
      </c>
      <c r="AR28" s="69" t="str">
        <f aca="false">IF($E28="","",IF($M28,IF(AND($G28&gt;=AR$5,$G28&lt;AR$5+GanttPeriod),"◆",IF(AND($E28&gt;=AR$5,$E28&lt;AR$5+GanttPeriod),"◇","")),IF(AND(AR$5&lt;=$F28,AR$5+GanttPeriod-1&gt;=$E28),"━","")))</f>
        <v/>
      </c>
      <c r="AS28" s="69" t="str">
        <f aca="false">IF($E28="","",IF($M28,IF(AND($G28&gt;=AS$5,$G28&lt;AS$5+GanttPeriod),"◆",IF(AND($E28&gt;=AS$5,$E28&lt;AS$5+GanttPeriod),"◇","")),IF(AND(AS$5&lt;=$F28,AS$5+GanttPeriod-1&gt;=$E28),"━","")))</f>
        <v/>
      </c>
      <c r="AT28" s="69" t="str">
        <f aca="false">IF($E28="","",IF($M28,IF(AND($G28&gt;=AT$5,$G28&lt;AT$5+GanttPeriod),"◆",IF(AND($E28&gt;=AT$5,$E28&lt;AT$5+GanttPeriod),"◇","")),IF(AND(AT$5&lt;=$F28,AT$5+GanttPeriod-1&gt;=$E28),"━","")))</f>
        <v/>
      </c>
      <c r="AU28" s="69" t="str">
        <f aca="false">IF($E28="","",IF($M28,IF(AND($G28&gt;=AU$5,$G28&lt;AU$5+GanttPeriod),"◆",IF(AND($E28&gt;=AU$5,$E28&lt;AU$5+GanttPeriod),"◇","")),IF(AND(AU$5&lt;=$F28,AU$5+GanttPeriod-1&gt;=$E28),"━","")))</f>
        <v/>
      </c>
      <c r="AV28" s="69" t="str">
        <f aca="false">IF($E28="","",IF($M28,IF(AND($G28&gt;=AV$5,$G28&lt;AV$5+GanttPeriod),"◆",IF(AND($E28&gt;=AV$5,$E28&lt;AV$5+GanttPeriod),"◇","")),IF(AND(AV$5&lt;=$F28,AV$5+GanttPeriod-1&gt;=$E28),"━","")))</f>
        <v/>
      </c>
      <c r="AW28" s="69" t="str">
        <f aca="false">IF($E28="","",IF($M28,IF(AND($G28&gt;=AW$5,$G28&lt;AW$5+GanttPeriod),"◆",IF(AND($E28&gt;=AW$5,$E28&lt;AW$5+GanttPeriod),"◇","")),IF(AND(AW$5&lt;=$F28,AW$5+GanttPeriod-1&gt;=$E28),"━","")))</f>
        <v/>
      </c>
      <c r="AX28" s="69" t="str">
        <f aca="false">IF($E28="","",IF($M28,IF(AND($G28&gt;=AX$5,$G28&lt;AX$5+GanttPeriod),"◆",IF(AND($E28&gt;=AX$5,$E28&lt;AX$5+GanttPeriod),"◇","")),IF(AND(AX$5&lt;=$F28,AX$5+GanttPeriod-1&gt;=$E28),"━","")))</f>
        <v/>
      </c>
      <c r="AY28" s="69" t="str">
        <f aca="false">IF($E28="","",IF($M28,IF(AND($G28&gt;=AY$5,$G28&lt;AY$5+GanttPeriod),"◆",IF(AND($E28&gt;=AY$5,$E28&lt;AY$5+GanttPeriod),"◇","")),IF(AND(AY$5&lt;=$F28,AY$5+GanttPeriod-1&gt;=$E28),"━","")))</f>
        <v/>
      </c>
      <c r="AZ28" s="69" t="str">
        <f aca="false">IF($E28="","",IF($M28,IF(AND($G28&gt;=AZ$5,$G28&lt;AZ$5+GanttPeriod),"◆",IF(AND($E28&gt;=AZ$5,$E28&lt;AZ$5+GanttPeriod),"◇","")),IF(AND(AZ$5&lt;=$F28,AZ$5+GanttPeriod-1&gt;=$E28),"━","")))</f>
        <v/>
      </c>
      <c r="BA28" s="69" t="str">
        <f aca="false">IF($E28="","",IF($M28,IF(AND($G28&gt;=BA$5,$G28&lt;BA$5+GanttPeriod),"◆",IF(AND($E28&gt;=BA$5,$E28&lt;BA$5+GanttPeriod),"◇","")),IF(AND(BA$5&lt;=$F28,BA$5+GanttPeriod-1&gt;=$E28),"━","")))</f>
        <v/>
      </c>
      <c r="BB28" s="69" t="str">
        <f aca="false">IF($E28="","",IF($M28,IF(AND($G28&gt;=BB$5,$G28&lt;BB$5+GanttPeriod),"◆",IF(AND($E28&gt;=BB$5,$E28&lt;BB$5+GanttPeriod),"◇","")),IF(AND(BB$5&lt;=$F28,BB$5+GanttPeriod-1&gt;=$E28),"━","")))</f>
        <v/>
      </c>
      <c r="BC28" s="69" t="str">
        <f aca="false">IF($E28="","",IF($M28,IF(AND($G28&gt;=BC$5,$G28&lt;BC$5+GanttPeriod),"◆",IF(AND($E28&gt;=BC$5,$E28&lt;BC$5+GanttPeriod),"◇","")),IF(AND(BC$5&lt;=$F28,BC$5+GanttPeriod-1&gt;=$E28),"━","")))</f>
        <v/>
      </c>
      <c r="BD28" s="69" t="str">
        <f aca="false">IF($E28="","",IF($M28,IF(AND($G28&gt;=BD$5,$G28&lt;BD$5+GanttPeriod),"◆",IF(AND($E28&gt;=BD$5,$E28&lt;BD$5+GanttPeriod),"◇","")),IF(AND(BD$5&lt;=$F28,BD$5+GanttPeriod-1&gt;=$E28),"━","")))</f>
        <v/>
      </c>
      <c r="BE28" s="69" t="str">
        <f aca="false">IF($E28="","",IF($M28,IF(AND($G28&gt;=BE$5,$G28&lt;BE$5+GanttPeriod),"◆",IF(AND($E28&gt;=BE$5,$E28&lt;BE$5+GanttPeriod),"◇","")),IF(AND(BE$5&lt;=$F28,BE$5+GanttPeriod-1&gt;=$E28),"━","")))</f>
        <v/>
      </c>
      <c r="BF28" s="69" t="str">
        <f aca="false">IF($E28="","",IF($M28,IF(AND($G28&gt;=BF$5,$G28&lt;BF$5+GanttPeriod),"◆",IF(AND($E28&gt;=BF$5,$E28&lt;BF$5+GanttPeriod),"◇","")),IF(AND(BF$5&lt;=$F28,BF$5+GanttPeriod-1&gt;=$E28),"━","")))</f>
        <v/>
      </c>
      <c r="BG28" s="69" t="str">
        <f aca="false">IF($E28="","",IF($M28,IF(AND($G28&gt;=BG$5,$G28&lt;BG$5+GanttPeriod),"◆",IF(AND($E28&gt;=BG$5,$E28&lt;BG$5+GanttPeriod),"◇","")),IF(AND(BG$5&lt;=$F28,BG$5+GanttPeriod-1&gt;=$E28),"━","")))</f>
        <v/>
      </c>
      <c r="BH28" s="69" t="str">
        <f aca="false">IF($E28="","",IF($M28,IF(AND($G28&gt;=BH$5,$G28&lt;BH$5+GanttPeriod),"◆",IF(AND($E28&gt;=BH$5,$E28&lt;BH$5+GanttPeriod),"◇","")),IF(AND(BH$5&lt;=$F28,BH$5+GanttPeriod-1&gt;=$E28),"━","")))</f>
        <v/>
      </c>
      <c r="BI28" s="69" t="str">
        <f aca="false">IF($E28="","",IF($M28,IF(AND($G28&gt;=BI$5,$G28&lt;BI$5+GanttPeriod),"◆",IF(AND($E28&gt;=BI$5,$E28&lt;BI$5+GanttPeriod),"◇","")),IF(AND(BI$5&lt;=$F28,BI$5+GanttPeriod-1&gt;=$E28),"━","")))</f>
        <v/>
      </c>
      <c r="BJ28" s="69" t="str">
        <f aca="false">IF($E28="","",IF($M28,IF(AND($G28&gt;=BJ$5,$G28&lt;BJ$5+GanttPeriod),"◆",IF(AND($E28&gt;=BJ$5,$E28&lt;BJ$5+GanttPeriod),"◇","")),IF(AND(BJ$5&lt;=$F28,BJ$5+GanttPeriod-1&gt;=$E28),"━","")))</f>
        <v/>
      </c>
      <c r="BK28" s="69" t="str">
        <f aca="false">IF($E28="","",IF($M28,IF(AND($G28&gt;=BK$5,$G28&lt;BK$5+GanttPeriod),"◆",IF(AND($E28&gt;=BK$5,$E28&lt;BK$5+GanttPeriod),"◇","")),IF(AND(BK$5&lt;=$F28,BK$5+GanttPeriod-1&gt;=$E28),"━","")))</f>
        <v/>
      </c>
      <c r="BL28" s="69" t="str">
        <f aca="false">IF($E28="","",IF($M28,IF(AND($G28&gt;=BL$5,$G28&lt;BL$5+GanttPeriod),"◆",IF(AND($E28&gt;=BL$5,$E28&lt;BL$5+GanttPeriod),"◇","")),IF(AND(BL$5&lt;=$F28,BL$5+GanttPeriod-1&gt;=$E28),"━","")))</f>
        <v/>
      </c>
      <c r="BM28" s="69" t="str">
        <f aca="false">IF($E28="","",IF($M28,IF(AND($G28&gt;=BM$5,$G28&lt;BM$5+GanttPeriod),"◆",IF(AND($E28&gt;=BM$5,$E28&lt;BM$5+GanttPeriod),"◇","")),IF(AND(BM$5&lt;=$F28,BM$5+GanttPeriod-1&gt;=$E28),"━","")))</f>
        <v/>
      </c>
      <c r="BN28" s="69" t="str">
        <f aca="false">IF($E28="","",IF($M28,IF(AND($G28&gt;=BN$5,$G28&lt;BN$5+GanttPeriod),"◆",IF(AND($E28&gt;=BN$5,$E28&lt;BN$5+GanttPeriod),"◇","")),IF(AND(BN$5&lt;=$F28,BN$5+GanttPeriod-1&gt;=$E28),"━","")))</f>
        <v/>
      </c>
      <c r="BO28" s="69" t="str">
        <f aca="false">IF($E28="","",IF($M28,IF(AND($G28&gt;=BO$5,$G28&lt;BO$5+GanttPeriod),"◆",IF(AND($E28&gt;=BO$5,$E28&lt;BO$5+GanttPeriod),"◇","")),IF(AND(BO$5&lt;=$F28,BO$5+GanttPeriod-1&gt;=$E28),"━","")))</f>
        <v/>
      </c>
      <c r="BP28" s="69" t="str">
        <f aca="false">IF($E28="","",IF($M28,IF(AND($G28&gt;=BP$5,$G28&lt;BP$5+GanttPeriod),"◆",IF(AND($E28&gt;=BP$5,$E28&lt;BP$5+GanttPeriod),"◇","")),IF(AND(BP$5&lt;=$F28,BP$5+GanttPeriod-1&gt;=$E28),"━","")))</f>
        <v/>
      </c>
      <c r="BQ28" s="69" t="str">
        <f aca="false">IF($E28="","",IF($M28,IF(AND($G28&gt;=BQ$5,$G28&lt;BQ$5+GanttPeriod),"◆",IF(AND($E28&gt;=BQ$5,$E28&lt;BQ$5+GanttPeriod),"◇","")),IF(AND(BQ$5&lt;=$F28,BQ$5+GanttPeriod-1&gt;=$E28),"━","")))</f>
        <v/>
      </c>
      <c r="BR28" s="69" t="str">
        <f aca="false">IF($E28="","",IF($M28,IF(AND($G28&gt;=BR$5,$G28&lt;BR$5+GanttPeriod),"◆",IF(AND($E28&gt;=BR$5,$E28&lt;BR$5+GanttPeriod),"◇","")),IF(AND(BR$5&lt;=$F28,BR$5+GanttPeriod-1&gt;=$E28),"━","")))</f>
        <v/>
      </c>
      <c r="BS28" s="69" t="str">
        <f aca="false">IF($E28="","",IF($M28,IF(AND($G28&gt;=BS$5,$G28&lt;BS$5+GanttPeriod),"◆",IF(AND($E28&gt;=BS$5,$E28&lt;BS$5+GanttPeriod),"◇","")),IF(AND(BS$5&lt;=$F28,BS$5+GanttPeriod-1&gt;=$E28),"━","")))</f>
        <v/>
      </c>
      <c r="BT28" s="69" t="str">
        <f aca="false">IF($E28="","",IF($M28,IF(AND($G28&gt;=BT$5,$G28&lt;BT$5+GanttPeriod),"◆",IF(AND($E28&gt;=BT$5,$E28&lt;BT$5+GanttPeriod),"◇","")),IF(AND(BT$5&lt;=$F28,BT$5+GanttPeriod-1&gt;=$E28),"━","")))</f>
        <v/>
      </c>
      <c r="BU28" s="69" t="str">
        <f aca="false">IF($E28="","",IF($M28,IF(AND($G28&gt;=BU$5,$G28&lt;BU$5+GanttPeriod),"◆",IF(AND($E28&gt;=BU$5,$E28&lt;BU$5+GanttPeriod),"◇","")),IF(AND(BU$5&lt;=$F28,BU$5+GanttPeriod-1&gt;=$E28),"━","")))</f>
        <v/>
      </c>
      <c r="BV28" s="69" t="str">
        <f aca="false">IF($E28="","",IF($M28,IF(AND($G28&gt;=BV$5,$G28&lt;BV$5+GanttPeriod),"◆",IF(AND($E28&gt;=BV$5,$E28&lt;BV$5+GanttPeriod),"◇","")),IF(AND(BV$5&lt;=$F28,BV$5+GanttPeriod-1&gt;=$E28),"━","")))</f>
        <v/>
      </c>
      <c r="BW28" s="69" t="str">
        <f aca="false">IF($E28="","",IF($M28,IF(AND($G28&gt;=BW$5,$G28&lt;BW$5+GanttPeriod),"◆",IF(AND($E28&gt;=BW$5,$E28&lt;BW$5+GanttPeriod),"◇","")),IF(AND(BW$5&lt;=$F28,BW$5+GanttPeriod-1&gt;=$E28),"━","")))</f>
        <v/>
      </c>
      <c r="BX28" s="69" t="str">
        <f aca="false">IF($E28="","",IF($M28,IF(AND($G28&gt;=BX$5,$G28&lt;BX$5+GanttPeriod),"◆",IF(AND($E28&gt;=BX$5,$E28&lt;BX$5+GanttPeriod),"◇","")),IF(AND(BX$5&lt;=$F28,BX$5+GanttPeriod-1&gt;=$E28),"━","")))</f>
        <v/>
      </c>
      <c r="BY28" s="69" t="str">
        <f aca="false">IF($E28="","",IF($M28,IF(AND($G28&gt;=BY$5,$G28&lt;BY$5+GanttPeriod),"◆",IF(AND($E28&gt;=BY$5,$E28&lt;BY$5+GanttPeriod),"◇","")),IF(AND(BY$5&lt;=$F28,BY$5+GanttPeriod-1&gt;=$E28),"━","")))</f>
        <v/>
      </c>
      <c r="BZ28" s="69" t="str">
        <f aca="false">IF($E28="","",IF($M28,IF(AND($G28&gt;=BZ$5,$G28&lt;BZ$5+GanttPeriod),"◆",IF(AND($E28&gt;=BZ$5,$E28&lt;BZ$5+GanttPeriod),"◇","")),IF(AND(BZ$5&lt;=$F28,BZ$5+GanttPeriod-1&gt;=$E28),"━","")))</f>
        <v>━</v>
      </c>
      <c r="CA28" s="69" t="str">
        <f aca="false">IF($E28="","",IF($M28,IF(AND($G28&gt;=CA$5,$G28&lt;CA$5+GanttPeriod),"◆",IF(AND($E28&gt;=CA$5,$E28&lt;CA$5+GanttPeriod),"◇","")),IF(AND(CA$5&lt;=$F28,CA$5+GanttPeriod-1&gt;=$E28),"━","")))</f>
        <v>━</v>
      </c>
      <c r="CB28" s="69" t="str">
        <f aca="false">IF($E28="","",IF($M28,IF(AND($G28&gt;=CB$5,$G28&lt;CB$5+GanttPeriod),"◆",IF(AND($E28&gt;=CB$5,$E28&lt;CB$5+GanttPeriod),"◇","")),IF(AND(CB$5&lt;=$F28,CB$5+GanttPeriod-1&gt;=$E28),"━","")))</f>
        <v>━</v>
      </c>
      <c r="CC28" s="69" t="str">
        <f aca="false">IF($E28="","",IF($M28,IF(AND($G28&gt;=CC$5,$G28&lt;CC$5+GanttPeriod),"◆",IF(AND($E28&gt;=CC$5,$E28&lt;CC$5+GanttPeriod),"◇","")),IF(AND(CC$5&lt;=$F28,CC$5+GanttPeriod-1&gt;=$E28),"━","")))</f>
        <v>━</v>
      </c>
      <c r="CD28" s="69" t="str">
        <f aca="false">IF($E28="","",IF($M28,IF(AND($G28&gt;=CD$5,$G28&lt;CD$5+GanttPeriod),"◆",IF(AND($E28&gt;=CD$5,$E28&lt;CD$5+GanttPeriod),"◇","")),IF(AND(CD$5&lt;=$F28,CD$5+GanttPeriod-1&gt;=$E28),"━","")))</f>
        <v>━</v>
      </c>
      <c r="CE28" s="69" t="str">
        <f aca="false">IF($E28="","",IF($M28,IF(AND($G28&gt;=CE$5,$G28&lt;CE$5+GanttPeriod),"◆",IF(AND($E28&gt;=CE$5,$E28&lt;CE$5+GanttPeriod),"◇","")),IF(AND(CE$5&lt;=$F28,CE$5+GanttPeriod-1&gt;=$E28),"━","")))</f>
        <v>━</v>
      </c>
      <c r="CF28" s="69" t="str">
        <f aca="false">IF($E28="","",IF($M28,IF(AND($G28&gt;=CF$5,$G28&lt;CF$5+GanttPeriod),"◆",IF(AND($E28&gt;=CF$5,$E28&lt;CF$5+GanttPeriod),"◇","")),IF(AND(CF$5&lt;=$F28,CF$5+GanttPeriod-1&gt;=$E28),"━","")))</f>
        <v>━</v>
      </c>
      <c r="CG28" s="69" t="str">
        <f aca="false">IF($E28="","",IF($M28,IF(AND($G28&gt;=CG$5,$G28&lt;CG$5+GanttPeriod),"◆",IF(AND($E28&gt;=CG$5,$E28&lt;CG$5+GanttPeriod),"◇","")),IF(AND(CG$5&lt;=$F28,CG$5+GanttPeriod-1&gt;=$E28),"━","")))</f>
        <v/>
      </c>
      <c r="CH28" s="69" t="str">
        <f aca="false">IF($E28="","",IF($M28,IF(AND($G28&gt;=CH$5,$G28&lt;CH$5+GanttPeriod),"◆",IF(AND($E28&gt;=CH$5,$E28&lt;CH$5+GanttPeriod),"◇","")),IF(AND(CH$5&lt;=$F28,CH$5+GanttPeriod-1&gt;=$E28),"━","")))</f>
        <v/>
      </c>
      <c r="CI28" s="69" t="str">
        <f aca="false">IF($E28="","",IF($M28,IF(AND($G28&gt;=CI$5,$G28&lt;CI$5+GanttPeriod),"◆",IF(AND($E28&gt;=CI$5,$E28&lt;CI$5+GanttPeriod),"◇","")),IF(AND(CI$5&lt;=$F28,CI$5+GanttPeriod-1&gt;=$E28),"━","")))</f>
        <v/>
      </c>
      <c r="CJ28" s="69" t="str">
        <f aca="false">IF($E28="","",IF($M28,IF(AND($G28&gt;=CJ$5,$G28&lt;CJ$5+GanttPeriod),"◆",IF(AND($E28&gt;=CJ$5,$E28&lt;CJ$5+GanttPeriod),"◇","")),IF(AND(CJ$5&lt;=$F28,CJ$5+GanttPeriod-1&gt;=$E28),"━","")))</f>
        <v/>
      </c>
      <c r="CK28" s="69" t="str">
        <f aca="false">IF($E28="","",IF($M28,IF(AND($G28&gt;=CK$5,$G28&lt;CK$5+GanttPeriod),"◆",IF(AND($E28&gt;=CK$5,$E28&lt;CK$5+GanttPeriod),"◇","")),IF(AND(CK$5&lt;=$F28,CK$5+GanttPeriod-1&gt;=$E28),"━","")))</f>
        <v/>
      </c>
      <c r="CL28" s="69" t="str">
        <f aca="false">IF($E28="","",IF($M28,IF(AND($G28&gt;=CL$5,$G28&lt;CL$5+GanttPeriod),"◆",IF(AND($E28&gt;=CL$5,$E28&lt;CL$5+GanttPeriod),"◇","")),IF(AND(CL$5&lt;=$F28,CL$5+GanttPeriod-1&gt;=$E28),"━","")))</f>
        <v/>
      </c>
      <c r="CM28" s="69" t="str">
        <f aca="false">IF($E28="","",IF($M28,IF(AND($G28&gt;=CM$5,$G28&lt;CM$5+GanttPeriod),"◆",IF(AND($E28&gt;=CM$5,$E28&lt;CM$5+GanttPeriod),"◇","")),IF(AND(CM$5&lt;=$F28,CM$5+GanttPeriod-1&gt;=$E28),"━","")))</f>
        <v/>
      </c>
      <c r="CN28" s="69" t="str">
        <f aca="false">IF($E28="","",IF($M28,IF(AND($G28&gt;=CN$5,$G28&lt;CN$5+GanttPeriod),"◆",IF(AND($E28&gt;=CN$5,$E28&lt;CN$5+GanttPeriod),"◇","")),IF(AND(CN$5&lt;=$F28,CN$5+GanttPeriod-1&gt;=$E28),"━","")))</f>
        <v/>
      </c>
      <c r="CO28" s="69" t="str">
        <f aca="false">IF($E28="","",IF($M28,IF(AND($G28&gt;=CO$5,$G28&lt;CO$5+GanttPeriod),"◆",IF(AND($E28&gt;=CO$5,$E28&lt;CO$5+GanttPeriod),"◇","")),IF(AND(CO$5&lt;=$F28,CO$5+GanttPeriod-1&gt;=$E28),"━","")))</f>
        <v/>
      </c>
      <c r="CP28" s="69" t="str">
        <f aca="false">IF($E28="","",IF($M28,IF(AND($G28&gt;=CP$5,$G28&lt;CP$5+GanttPeriod),"◆",IF(AND($E28&gt;=CP$5,$E28&lt;CP$5+GanttPeriod),"◇","")),IF(AND(CP$5&lt;=$F28,CP$5+GanttPeriod-1&gt;=$E28),"━","")))</f>
        <v/>
      </c>
      <c r="CQ28" s="69" t="str">
        <f aca="false">IF($E28="","",IF($M28,IF(AND($G28&gt;=CQ$5,$G28&lt;CQ$5+GanttPeriod),"◆",IF(AND($E28&gt;=CQ$5,$E28&lt;CQ$5+GanttPeriod),"◇","")),IF(AND(CQ$5&lt;=$F28,CQ$5+GanttPeriod-1&gt;=$E28),"━","")))</f>
        <v/>
      </c>
      <c r="CR28" s="69" t="str">
        <f aca="false">IF($E28="","",IF($M28,IF(AND($G28&gt;=CR$5,$G28&lt;CR$5+GanttPeriod),"◆",IF(AND($E28&gt;=CR$5,$E28&lt;CR$5+GanttPeriod),"◇","")),IF(AND(CR$5&lt;=$F28,CR$5+GanttPeriod-1&gt;=$E28),"━","")))</f>
        <v/>
      </c>
      <c r="CS28" s="69" t="str">
        <f aca="false">IF($E28="","",IF($M28,IF(AND($G28&gt;=CS$5,$G28&lt;CS$5+GanttPeriod),"◆",IF(AND($E28&gt;=CS$5,$E28&lt;CS$5+GanttPeriod),"◇","")),IF(AND(CS$5&lt;=$F28,CS$5+GanttPeriod-1&gt;=$E28),"━","")))</f>
        <v/>
      </c>
      <c r="CT28" s="69" t="str">
        <f aca="false">IF($E28="","",IF($M28,IF(AND($G28&gt;=CT$5,$G28&lt;CT$5+GanttPeriod),"◆",IF(AND($E28&gt;=CT$5,$E28&lt;CT$5+GanttPeriod),"◇","")),IF(AND(CT$5&lt;=$F28,CT$5+GanttPeriod-1&gt;=$E28),"━","")))</f>
        <v/>
      </c>
      <c r="CU28" s="69" t="str">
        <f aca="false">IF($E28="","",IF($M28,IF(AND($G28&gt;=CU$5,$G28&lt;CU$5+GanttPeriod),"◆",IF(AND($E28&gt;=CU$5,$E28&lt;CU$5+GanttPeriod),"◇","")),IF(AND(CU$5&lt;=$F28,CU$5+GanttPeriod-1&gt;=$E28),"━","")))</f>
        <v/>
      </c>
      <c r="CV28" s="69" t="str">
        <f aca="false">IF($E28="","",IF($M28,IF(AND($G28&gt;=CV$5,$G28&lt;CV$5+GanttPeriod),"◆",IF(AND($E28&gt;=CV$5,$E28&lt;CV$5+GanttPeriod),"◇","")),IF(AND(CV$5&lt;=$F28,CV$5+GanttPeriod-1&gt;=$E28),"━","")))</f>
        <v/>
      </c>
      <c r="CW28" s="69" t="str">
        <f aca="false">IF($E28="","",IF($M28,IF(AND($G28&gt;=CW$5,$G28&lt;CW$5+GanttPeriod),"◆",IF(AND($E28&gt;=CW$5,$E28&lt;CW$5+GanttPeriod),"◇","")),IF(AND(CW$5&lt;=$F28,CW$5+GanttPeriod-1&gt;=$E28),"━","")))</f>
        <v/>
      </c>
      <c r="CX28" s="69" t="str">
        <f aca="false">IF($E28="","",IF($M28,IF(AND($G28&gt;=CX$5,$G28&lt;CX$5+GanttPeriod),"◆",IF(AND($E28&gt;=CX$5,$E28&lt;CX$5+GanttPeriod),"◇","")),IF(AND(CX$5&lt;=$F28,CX$5+GanttPeriod-1&gt;=$E28),"━","")))</f>
        <v/>
      </c>
      <c r="CY28" s="69" t="str">
        <f aca="false">IF($E28="","",IF($M28,IF(AND($G28&gt;=CY$5,$G28&lt;CY$5+GanttPeriod),"◆",IF(AND($E28&gt;=CY$5,$E28&lt;CY$5+GanttPeriod),"◇","")),IF(AND(CY$5&lt;=$F28,CY$5+GanttPeriod-1&gt;=$E28),"━","")))</f>
        <v/>
      </c>
      <c r="CZ28" s="69" t="str">
        <f aca="false">IF($E28="","",IF($M28,IF(AND($G28&gt;=CZ$5,$G28&lt;CZ$5+GanttPeriod),"◆",IF(AND($E28&gt;=CZ$5,$E28&lt;CZ$5+GanttPeriod),"◇","")),IF(AND(CZ$5&lt;=$F28,CZ$5+GanttPeriod-1&gt;=$E28),"━","")))</f>
        <v/>
      </c>
      <c r="DA28" s="69" t="str">
        <f aca="false">IF($E28="","",IF($M28,IF(AND($G28&gt;=DA$5,$G28&lt;DA$5+GanttPeriod),"◆",IF(AND($E28&gt;=DA$5,$E28&lt;DA$5+GanttPeriod),"◇","")),IF(AND(DA$5&lt;=$F28,DA$5+GanttPeriod-1&gt;=$E28),"━","")))</f>
        <v/>
      </c>
      <c r="DB28" s="69" t="str">
        <f aca="false">IF($E28="","",IF($M28,IF(AND($G28&gt;=DB$5,$G28&lt;DB$5+GanttPeriod),"◆",IF(AND($E28&gt;=DB$5,$E28&lt;DB$5+GanttPeriod),"◇","")),IF(AND(DB$5&lt;=$F28,DB$5+GanttPeriod-1&gt;=$E28),"━","")))</f>
        <v/>
      </c>
      <c r="DC28" s="69" t="str">
        <f aca="false">IF($E28="","",IF($M28,IF(AND($G28&gt;=DC$5,$G28&lt;DC$5+GanttPeriod),"◆",IF(AND($E28&gt;=DC$5,$E28&lt;DC$5+GanttPeriod),"◇","")),IF(AND(DC$5&lt;=$F28,DC$5+GanttPeriod-1&gt;=$E28),"━","")))</f>
        <v/>
      </c>
      <c r="DD28" s="69" t="str">
        <f aca="false">IF($E28="","",IF($M28,IF(AND($G28&gt;=DD$5,$G28&lt;DD$5+GanttPeriod),"◆",IF(AND($E28&gt;=DD$5,$E28&lt;DD$5+GanttPeriod),"◇","")),IF(AND(DD$5&lt;=$F28,DD$5+GanttPeriod-1&gt;=$E28),"━","")))</f>
        <v/>
      </c>
      <c r="DE28" s="69" t="str">
        <f aca="false">IF($E28="","",IF($M28,IF(AND($G28&gt;=DE$5,$G28&lt;DE$5+GanttPeriod),"◆",IF(AND($E28&gt;=DE$5,$E28&lt;DE$5+GanttPeriod),"◇","")),IF(AND(DE$5&lt;=$F28,DE$5+GanttPeriod-1&gt;=$E28),"━","")))</f>
        <v/>
      </c>
      <c r="DF28" s="69" t="str">
        <f aca="false">IF($E28="","",IF($M28,IF(AND($G28&gt;=DF$5,$G28&lt;DF$5+GanttPeriod),"◆",IF(AND($E28&gt;=DF$5,$E28&lt;DF$5+GanttPeriod),"◇","")),IF(AND(DF$5&lt;=$F28,DF$5+GanttPeriod-1&gt;=$E28),"━","")))</f>
        <v/>
      </c>
      <c r="DG28" s="69" t="str">
        <f aca="false">IF($E28="","",IF($M28,IF(AND($G28&gt;=DG$5,$G28&lt;DG$5+GanttPeriod),"◆",IF(AND($E28&gt;=DG$5,$E28&lt;DG$5+GanttPeriod),"◇","")),IF(AND(DG$5&lt;=$F28,DG$5+GanttPeriod-1&gt;=$E28),"━","")))</f>
        <v/>
      </c>
      <c r="DH28" s="69" t="str">
        <f aca="false">IF($E28="","",IF($M28,IF(AND($G28&gt;=DH$5,$G28&lt;DH$5+GanttPeriod),"◆",IF(AND($E28&gt;=DH$5,$E28&lt;DH$5+GanttPeriod),"◇","")),IF(AND(DH$5&lt;=$F28,DH$5+GanttPeriod-1&gt;=$E28),"━","")))</f>
        <v/>
      </c>
      <c r="DI28" s="69" t="str">
        <f aca="false">IF($E28="","",IF($M28,IF(AND($G28&gt;=DI$5,$G28&lt;DI$5+GanttPeriod),"◆",IF(AND($E28&gt;=DI$5,$E28&lt;DI$5+GanttPeriod),"◇","")),IF(AND(DI$5&lt;=$F28,DI$5+GanttPeriod-1&gt;=$E28),"━","")))</f>
        <v/>
      </c>
      <c r="DJ28" s="69" t="str">
        <f aca="false">IF($E28="","",IF($M28,IF(AND($G28&gt;=DJ$5,$G28&lt;DJ$5+GanttPeriod),"◆",IF(AND($E28&gt;=DJ$5,$E28&lt;DJ$5+GanttPeriod),"◇","")),IF(AND(DJ$5&lt;=$F28,DJ$5+GanttPeriod-1&gt;=$E28),"━","")))</f>
        <v/>
      </c>
      <c r="DK28" s="69" t="str">
        <f aca="false">IF($E28="","",IF($M28,IF(AND($G28&gt;=DK$5,$G28&lt;DK$5+GanttPeriod),"◆",IF(AND($E28&gt;=DK$5,$E28&lt;DK$5+GanttPeriod),"◇","")),IF(AND(DK$5&lt;=$F28,DK$5+GanttPeriod-1&gt;=$E28),"━","")))</f>
        <v/>
      </c>
      <c r="DL28" s="69" t="str">
        <f aca="false">IF($E28="","",IF($M28,IF(AND($G28&gt;=DL$5,$G28&lt;DL$5+GanttPeriod),"◆",IF(AND($E28&gt;=DL$5,$E28&lt;DL$5+GanttPeriod),"◇","")),IF(AND(DL$5&lt;=$F28,DL$5+GanttPeriod-1&gt;=$E28),"━","")))</f>
        <v/>
      </c>
      <c r="DM28" s="69" t="str">
        <f aca="false">IF($E28="","",IF($M28,IF(AND($G28&gt;=DM$5,$G28&lt;DM$5+GanttPeriod),"◆",IF(AND($E28&gt;=DM$5,$E28&lt;DM$5+GanttPeriod),"◇","")),IF(AND(DM$5&lt;=$F28,DM$5+GanttPeriod-1&gt;=$E28),"━","")))</f>
        <v/>
      </c>
      <c r="DN28" s="69" t="str">
        <f aca="false">IF($E28="","",IF($M28,IF(AND($G28&gt;=DN$5,$G28&lt;DN$5+GanttPeriod),"◆",IF(AND($E28&gt;=DN$5,$E28&lt;DN$5+GanttPeriod),"◇","")),IF(AND(DN$5&lt;=$F28,DN$5+GanttPeriod-1&gt;=$E28),"━","")))</f>
        <v/>
      </c>
      <c r="DO28" s="69" t="str">
        <f aca="false">IF($E28="","",IF($M28,IF(AND($G28&gt;=DO$5,$G28&lt;DO$5+GanttPeriod),"◆",IF(AND($E28&gt;=DO$5,$E28&lt;DO$5+GanttPeriod),"◇","")),IF(AND(DO$5&lt;=$F28,DO$5+GanttPeriod-1&gt;=$E28),"━","")))</f>
        <v/>
      </c>
      <c r="DP28" s="69" t="str">
        <f aca="false">IF($E28="","",IF($M28,IF(AND($G28&gt;=DP$5,$G28&lt;DP$5+GanttPeriod),"◆",IF(AND($E28&gt;=DP$5,$E28&lt;DP$5+GanttPeriod),"◇","")),IF(AND(DP$5&lt;=$F28,DP$5+GanttPeriod-1&gt;=$E28),"━","")))</f>
        <v/>
      </c>
      <c r="DQ28" s="69" t="str">
        <f aca="false">IF($E28="","",IF($M28,IF(AND($G28&gt;=DQ$5,$G28&lt;DQ$5+GanttPeriod),"◆",IF(AND($E28&gt;=DQ$5,$E28&lt;DQ$5+GanttPeriod),"◇","")),IF(AND(DQ$5&lt;=$F28,DQ$5+GanttPeriod-1&gt;=$E28),"━","")))</f>
        <v/>
      </c>
      <c r="DR28" s="69" t="str">
        <f aca="false">IF($E28="","",IF($M28,IF(AND($G28&gt;=DR$5,$G28&lt;DR$5+GanttPeriod),"◆",IF(AND($E28&gt;=DR$5,$E28&lt;DR$5+GanttPeriod),"◇","")),IF(AND(DR$5&lt;=$F28,DR$5+GanttPeriod-1&gt;=$E28),"━","")))</f>
        <v/>
      </c>
      <c r="DS28" s="69" t="str">
        <f aca="false">IF($E28="","",IF($M28,IF(AND($G28&gt;=DS$5,$G28&lt;DS$5+GanttPeriod),"◆",IF(AND($E28&gt;=DS$5,$E28&lt;DS$5+GanttPeriod),"◇","")),IF(AND(DS$5&lt;=$F28,DS$5+GanttPeriod-1&gt;=$E28),"━","")))</f>
        <v/>
      </c>
      <c r="DT28" s="69" t="str">
        <f aca="false">IF($E28="","",IF($M28,IF(AND($G28&gt;=DT$5,$G28&lt;DT$5+GanttPeriod),"◆",IF(AND($E28&gt;=DT$5,$E28&lt;DT$5+GanttPeriod),"◇","")),IF(AND(DT$5&lt;=$F28,DT$5+GanttPeriod-1&gt;=$E28),"━","")))</f>
        <v/>
      </c>
      <c r="DU28" s="69" t="str">
        <f aca="false">IF($E28="","",IF($M28,IF(AND($G28&gt;=DU$5,$G28&lt;DU$5+GanttPeriod),"◆",IF(AND($E28&gt;=DU$5,$E28&lt;DU$5+GanttPeriod),"◇","")),IF(AND(DU$5&lt;=$F28,DU$5+GanttPeriod-1&gt;=$E28),"━","")))</f>
        <v/>
      </c>
      <c r="DV28" s="69" t="str">
        <f aca="false">IF($E28="","",IF($M28,IF(AND($G28&gt;=DV$5,$G28&lt;DV$5+GanttPeriod),"◆",IF(AND($E28&gt;=DV$5,$E28&lt;DV$5+GanttPeriod),"◇","")),IF(AND(DV$5&lt;=$F28,DV$5+GanttPeriod-1&gt;=$E28),"━","")))</f>
        <v/>
      </c>
      <c r="DW28" s="69" t="str">
        <f aca="false">IF($E28="","",IF($M28,IF(AND($G28&gt;=DW$5,$G28&lt;DW$5+GanttPeriod),"◆",IF(AND($E28&gt;=DW$5,$E28&lt;DW$5+GanttPeriod),"◇","")),IF(AND(DW$5&lt;=$F28,DW$5+GanttPeriod-1&gt;=$E28),"━","")))</f>
        <v/>
      </c>
      <c r="DX28" s="69" t="str">
        <f aca="false">IF($E28="","",IF($M28,IF(AND($G28&gt;=DX$5,$G28&lt;DX$5+GanttPeriod),"◆",IF(AND($E28&gt;=DX$5,$E28&lt;DX$5+GanttPeriod),"◇","")),IF(AND(DX$5&lt;=$F28,DX$5+GanttPeriod-1&gt;=$E28),"━","")))</f>
        <v/>
      </c>
      <c r="DY28" s="69" t="str">
        <f aca="false">IF($E28="","",IF($M28,IF(AND($G28&gt;=DY$5,$G28&lt;DY$5+GanttPeriod),"◆",IF(AND($E28&gt;=DY$5,$E28&lt;DY$5+GanttPeriod),"◇","")),IF(AND(DY$5&lt;=$F28,DY$5+GanttPeriod-1&gt;=$E28),"━","")))</f>
        <v/>
      </c>
      <c r="DZ28" s="69" t="str">
        <f aca="false">IF($E28="","",IF($M28,IF(AND($G28&gt;=DZ$5,$G28&lt;DZ$5+GanttPeriod),"◆",IF(AND($E28&gt;=DZ$5,$E28&lt;DZ$5+GanttPeriod),"◇","")),IF(AND(DZ$5&lt;=$F28,DZ$5+GanttPeriod-1&gt;=$E28),"━","")))</f>
        <v/>
      </c>
      <c r="EA28" s="69" t="str">
        <f aca="false">IF($E28="","",IF($M28,IF(AND($G28&gt;=EA$5,$G28&lt;EA$5+GanttPeriod),"◆",IF(AND($E28&gt;=EA$5,$E28&lt;EA$5+GanttPeriod),"◇","")),IF(AND(EA$5&lt;=$F28,EA$5+GanttPeriod-1&gt;=$E28),"━","")))</f>
        <v/>
      </c>
      <c r="EB28" s="69" t="str">
        <f aca="false">IF($E28="","",IF($M28,IF(AND($G28&gt;=EB$5,$G28&lt;EB$5+GanttPeriod),"◆",IF(AND($E28&gt;=EB$5,$E28&lt;EB$5+GanttPeriod),"◇","")),IF(AND(EB$5&lt;=$F28,EB$5+GanttPeriod-1&gt;=$E28),"━","")))</f>
        <v/>
      </c>
      <c r="EC28" s="69" t="str">
        <f aca="false">IF($E28="","",IF($M28,IF(AND($G28&gt;=EC$5,$G28&lt;EC$5+GanttPeriod),"◆",IF(AND($E28&gt;=EC$5,$E28&lt;EC$5+GanttPeriod),"◇","")),IF(AND(EC$5&lt;=$F28,EC$5+GanttPeriod-1&gt;=$E28),"━","")))</f>
        <v/>
      </c>
      <c r="ED28" s="69" t="str">
        <f aca="false">IF($E28="","",IF($M28,IF(AND($G28&gt;=ED$5,$G28&lt;ED$5+GanttPeriod),"◆",IF(AND($E28&gt;=ED$5,$E28&lt;ED$5+GanttPeriod),"◇","")),IF(AND(ED$5&lt;=$F28,ED$5+GanttPeriod-1&gt;=$E28),"━","")))</f>
        <v/>
      </c>
      <c r="EE28" s="69" t="str">
        <f aca="false">IF($E28="","",IF($M28,IF(AND($G28&gt;=EE$5,$G28&lt;EE$5+GanttPeriod),"◆",IF(AND($E28&gt;=EE$5,$E28&lt;EE$5+GanttPeriod),"◇","")),IF(AND(EE$5&lt;=$F28,EE$5+GanttPeriod-1&gt;=$E28),"━","")))</f>
        <v/>
      </c>
      <c r="EF28" s="69" t="str">
        <f aca="false">IF($E28="","",IF($M28,IF(AND($G28&gt;=EF$5,$G28&lt;EF$5+GanttPeriod),"◆",IF(AND($E28&gt;=EF$5,$E28&lt;EF$5+GanttPeriod),"◇","")),IF(AND(EF$5&lt;=$F28,EF$5+GanttPeriod-1&gt;=$E28),"━","")))</f>
        <v/>
      </c>
      <c r="EG28" s="69" t="str">
        <f aca="false">IF($E28="","",IF($M28,IF(AND($G28&gt;=EG$5,$G28&lt;EG$5+GanttPeriod),"◆",IF(AND($E28&gt;=EG$5,$E28&lt;EG$5+GanttPeriod),"◇","")),IF(AND(EG$5&lt;=$F28,EG$5+GanttPeriod-1&gt;=$E28),"━","")))</f>
        <v/>
      </c>
      <c r="EH28" s="69" t="str">
        <f aca="false">IF($E28="","",IF($M28,IF(AND($G28&gt;=EH$5,$G28&lt;EH$5+GanttPeriod),"◆",IF(AND($E28&gt;=EH$5,$E28&lt;EH$5+GanttPeriod),"◇","")),IF(AND(EH$5&lt;=$F28,EH$5+GanttPeriod-1&gt;=$E28),"━","")))</f>
        <v/>
      </c>
      <c r="EI28" s="69" t="str">
        <f aca="false">IF($E28="","",IF($M28,IF(AND($G28&gt;=EI$5,$G28&lt;EI$5+GanttPeriod),"◆",IF(AND($E28&gt;=EI$5,$E28&lt;EI$5+GanttPeriod),"◇","")),IF(AND(EI$5&lt;=$F28,EI$5+GanttPeriod-1&gt;=$E28),"━","")))</f>
        <v/>
      </c>
      <c r="EJ28" s="69" t="str">
        <f aca="false">IF($E28="","",IF($M28,IF(AND($G28&gt;=EJ$5,$G28&lt;EJ$5+GanttPeriod),"◆",IF(AND($E28&gt;=EJ$5,$E28&lt;EJ$5+GanttPeriod),"◇","")),IF(AND(EJ$5&lt;=$F28,EJ$5+GanttPeriod-1&gt;=$E28),"━","")))</f>
        <v/>
      </c>
      <c r="EK28" s="69" t="str">
        <f aca="false">IF($E28="","",IF($M28,IF(AND($G28&gt;=EK$5,$G28&lt;EK$5+GanttPeriod),"◆",IF(AND($E28&gt;=EK$5,$E28&lt;EK$5+GanttPeriod),"◇","")),IF(AND(EK$5&lt;=$F28,EK$5+GanttPeriod-1&gt;=$E28),"━","")))</f>
        <v/>
      </c>
      <c r="EL28" s="69" t="str">
        <f aca="false">IF($E28="","",IF($M28,IF(AND($G28&gt;=EL$5,$G28&lt;EL$5+GanttPeriod),"◆",IF(AND($E28&gt;=EL$5,$E28&lt;EL$5+GanttPeriod),"◇","")),IF(AND(EL$5&lt;=$F28,EL$5+GanttPeriod-1&gt;=$E28),"━","")))</f>
        <v/>
      </c>
      <c r="EM28" s="69" t="str">
        <f aca="false">IF($E28="","",IF($M28,IF(AND($G28&gt;=EM$5,$G28&lt;EM$5+GanttPeriod),"◆",IF(AND($E28&gt;=EM$5,$E28&lt;EM$5+GanttPeriod),"◇","")),IF(AND(EM$5&lt;=$F28,EM$5+GanttPeriod-1&gt;=$E28),"━","")))</f>
        <v/>
      </c>
      <c r="EN28" s="69" t="str">
        <f aca="false">IF($E28="","",IF($M28,IF(AND($G28&gt;=EN$5,$G28&lt;EN$5+GanttPeriod),"◆",IF(AND($E28&gt;=EN$5,$E28&lt;EN$5+GanttPeriod),"◇","")),IF(AND(EN$5&lt;=$F28,EN$5+GanttPeriod-1&gt;=$E28),"━","")))</f>
        <v/>
      </c>
      <c r="EO28" s="69" t="str">
        <f aca="false">IF($E28="","",IF($M28,IF(AND($G28&gt;=EO$5,$G28&lt;EO$5+GanttPeriod),"◆",IF(AND($E28&gt;=EO$5,$E28&lt;EO$5+GanttPeriod),"◇","")),IF(AND(EO$5&lt;=$F28,EO$5+GanttPeriod-1&gt;=$E28),"━","")))</f>
        <v/>
      </c>
      <c r="EP28" s="69" t="str">
        <f aca="false">IF($E28="","",IF($M28,IF(AND($G28&gt;=EP$5,$G28&lt;EP$5+GanttPeriod),"◆",IF(AND($E28&gt;=EP$5,$E28&lt;EP$5+GanttPeriod),"◇","")),IF(AND(EP$5&lt;=$F28,EP$5+GanttPeriod-1&gt;=$E28),"━","")))</f>
        <v/>
      </c>
      <c r="EQ28" s="69" t="str">
        <f aca="false">IF($E28="","",IF($M28,IF(AND($G28&gt;=EQ$5,$G28&lt;EQ$5+GanttPeriod),"◆",IF(AND($E28&gt;=EQ$5,$E28&lt;EQ$5+GanttPeriod),"◇","")),IF(AND(EQ$5&lt;=$F28,EQ$5+GanttPeriod-1&gt;=$E28),"━","")))</f>
        <v/>
      </c>
      <c r="ER28" s="69" t="str">
        <f aca="false">IF($E28="","",IF($M28,IF(AND($G28&gt;=ER$5,$G28&lt;ER$5+GanttPeriod),"◆",IF(AND($E28&gt;=ER$5,$E28&lt;ER$5+GanttPeriod),"◇","")),IF(AND(ER$5&lt;=$F28,ER$5+GanttPeriod-1&gt;=$E28),"━","")))</f>
        <v/>
      </c>
      <c r="ES28" s="69" t="str">
        <f aca="false">IF($E28="","",IF($M28,IF(AND($G28&gt;=ES$5,$G28&lt;ES$5+GanttPeriod),"◆",IF(AND($E28&gt;=ES$5,$E28&lt;ES$5+GanttPeriod),"◇","")),IF(AND(ES$5&lt;=$F28,ES$5+GanttPeriod-1&gt;=$E28),"━","")))</f>
        <v/>
      </c>
      <c r="ET28" s="69" t="str">
        <f aca="false">IF($E28="","",IF($M28,IF(AND($G28&gt;=ET$5,$G28&lt;ET$5+GanttPeriod),"◆",IF(AND($E28&gt;=ET$5,$E28&lt;ET$5+GanttPeriod),"◇","")),IF(AND(ET$5&lt;=$F28,ET$5+GanttPeriod-1&gt;=$E28),"━","")))</f>
        <v/>
      </c>
      <c r="EU28" s="69" t="str">
        <f aca="false">IF($E28="","",IF($M28,IF(AND($G28&gt;=EU$5,$G28&lt;EU$5+GanttPeriod),"◆",IF(AND($E28&gt;=EU$5,$E28&lt;EU$5+GanttPeriod),"◇","")),IF(AND(EU$5&lt;=$F28,EU$5+GanttPeriod-1&gt;=$E28),"━","")))</f>
        <v/>
      </c>
      <c r="EV28" s="69" t="str">
        <f aca="false">IF($E28="","",IF($M28,IF(AND($G28&gt;=EV$5,$G28&lt;EV$5+GanttPeriod),"◆",IF(AND($E28&gt;=EV$5,$E28&lt;EV$5+GanttPeriod),"◇","")),IF(AND(EV$5&lt;=$F28,EV$5+GanttPeriod-1&gt;=$E28),"━","")))</f>
        <v/>
      </c>
      <c r="EW28" s="69" t="str">
        <f aca="false">IF($E28="","",IF($M28,IF(AND($G28&gt;=EW$5,$G28&lt;EW$5+GanttPeriod),"◆",IF(AND($E28&gt;=EW$5,$E28&lt;EW$5+GanttPeriod),"◇","")),IF(AND(EW$5&lt;=$F28,EW$5+GanttPeriod-1&gt;=$E28),"━","")))</f>
        <v/>
      </c>
      <c r="EX28" s="69" t="str">
        <f aca="false">IF($E28="","",IF($M28,IF(AND($G28&gt;=EX$5,$G28&lt;EX$5+GanttPeriod),"◆",IF(AND($E28&gt;=EX$5,$E28&lt;EX$5+GanttPeriod),"◇","")),IF(AND(EX$5&lt;=$F28,EX$5+GanttPeriod-1&gt;=$E28),"━","")))</f>
        <v/>
      </c>
      <c r="EY28" s="69" t="str">
        <f aca="false">IF($E28="","",IF($M28,IF(AND($G28&gt;=EY$5,$G28&lt;EY$5+GanttPeriod),"◆",IF(AND($E28&gt;=EY$5,$E28&lt;EY$5+GanttPeriod),"◇","")),IF(AND(EY$5&lt;=$F28,EY$5+GanttPeriod-1&gt;=$E28),"━","")))</f>
        <v/>
      </c>
      <c r="EZ28" s="69" t="str">
        <f aca="false">IF($E28="","",IF($M28,IF(AND($G28&gt;=EZ$5,$G28&lt;EZ$5+GanttPeriod),"◆",IF(AND($E28&gt;=EZ$5,$E28&lt;EZ$5+GanttPeriod),"◇","")),IF(AND(EZ$5&lt;=$F28,EZ$5+GanttPeriod-1&gt;=$E28),"━","")))</f>
        <v/>
      </c>
      <c r="FA28" s="69" t="str">
        <f aca="false">IF($E28="","",IF($M28,IF(AND($G28&gt;=FA$5,$G28&lt;FA$5+GanttPeriod),"◆",IF(AND($E28&gt;=FA$5,$E28&lt;FA$5+GanttPeriod),"◇","")),IF(AND(FA$5&lt;=$F28,FA$5+GanttPeriod-1&gt;=$E28),"━","")))</f>
        <v/>
      </c>
      <c r="FB28" s="69" t="str">
        <f aca="false">IF($E28="","",IF($M28,IF(AND($G28&gt;=FB$5,$G28&lt;FB$5+GanttPeriod),"◆",IF(AND($E28&gt;=FB$5,$E28&lt;FB$5+GanttPeriod),"◇","")),IF(AND(FB$5&lt;=$F28,FB$5+GanttPeriod-1&gt;=$E28),"━","")))</f>
        <v/>
      </c>
      <c r="FC28" s="69" t="str">
        <f aca="false">IF($E28="","",IF($M28,IF(AND($G28&gt;=FC$5,$G28&lt;FC$5+GanttPeriod),"◆",IF(AND($E28&gt;=FC$5,$E28&lt;FC$5+GanttPeriod),"◇","")),IF(AND(FC$5&lt;=$F28,FC$5+GanttPeriod-1&gt;=$E28),"━","")))</f>
        <v/>
      </c>
      <c r="FD28" s="69" t="str">
        <f aca="false">IF($E28="","",IF($M28,IF(AND($G28&gt;=FD$5,$G28&lt;FD$5+GanttPeriod),"◆",IF(AND($E28&gt;=FD$5,$E28&lt;FD$5+GanttPeriod),"◇","")),IF(AND(FD$5&lt;=$F28,FD$5+GanttPeriod-1&gt;=$E28),"━","")))</f>
        <v/>
      </c>
      <c r="FE28" s="69" t="str">
        <f aca="false">IF($E28="","",IF($M28,IF(AND($G28&gt;=FE$5,$G28&lt;FE$5+GanttPeriod),"◆",IF(AND($E28&gt;=FE$5,$E28&lt;FE$5+GanttPeriod),"◇","")),IF(AND(FE$5&lt;=$F28,FE$5+GanttPeriod-1&gt;=$E28),"━","")))</f>
        <v/>
      </c>
      <c r="FF28" s="69" t="str">
        <f aca="false">IF($E28="","",IF($M28,IF(AND($G28&gt;=FF$5,$G28&lt;FF$5+GanttPeriod),"◆",IF(AND($E28&gt;=FF$5,$E28&lt;FF$5+GanttPeriod),"◇","")),IF(AND(FF$5&lt;=$F28,FF$5+GanttPeriod-1&gt;=$E28),"━","")))</f>
        <v/>
      </c>
      <c r="FG28" s="69" t="str">
        <f aca="false">IF($E28="","",IF($M28,IF(AND($G28&gt;=FG$5,$G28&lt;FG$5+GanttPeriod),"◆",IF(AND($E28&gt;=FG$5,$E28&lt;FG$5+GanttPeriod),"◇","")),IF(AND(FG$5&lt;=$F28,FG$5+GanttPeriod-1&gt;=$E28),"━","")))</f>
        <v/>
      </c>
      <c r="FH28" s="69" t="str">
        <f aca="false">IF($E28="","",IF($M28,IF(AND($G28&gt;=FH$5,$G28&lt;FH$5+GanttPeriod),"◆",IF(AND($E28&gt;=FH$5,$E28&lt;FH$5+GanttPeriod),"◇","")),IF(AND(FH$5&lt;=$F28,FH$5+GanttPeriod-1&gt;=$E28),"━","")))</f>
        <v/>
      </c>
      <c r="FI28" s="69" t="str">
        <f aca="false">IF($E28="","",IF($M28,IF(AND($G28&gt;=FI$5,$G28&lt;FI$5+GanttPeriod),"◆",IF(AND($E28&gt;=FI$5,$E28&lt;FI$5+GanttPeriod),"◇","")),IF(AND(FI$5&lt;=$F28,FI$5+GanttPeriod-1&gt;=$E28),"━","")))</f>
        <v/>
      </c>
      <c r="FJ28" s="69" t="str">
        <f aca="false">IF($E28="","",IF($M28,IF(AND($G28&gt;=FJ$5,$G28&lt;FJ$5+GanttPeriod),"◆",IF(AND($E28&gt;=FJ$5,$E28&lt;FJ$5+GanttPeriod),"◇","")),IF(AND(FJ$5&lt;=$F28,FJ$5+GanttPeriod-1&gt;=$E28),"━","")))</f>
        <v/>
      </c>
      <c r="FK28" s="69" t="str">
        <f aca="false">IF($E28="","",IF($M28,IF(AND($G28&gt;=FK$5,$G28&lt;FK$5+GanttPeriod),"◆",IF(AND($E28&gt;=FK$5,$E28&lt;FK$5+GanttPeriod),"◇","")),IF(AND(FK$5&lt;=$F28,FK$5+GanttPeriod-1&gt;=$E28),"━","")))</f>
        <v/>
      </c>
      <c r="FL28" s="69" t="str">
        <f aca="false">IF($E28="","",IF($M28,IF(AND($G28&gt;=FL$5,$G28&lt;FL$5+GanttPeriod),"◆",IF(AND($E28&gt;=FL$5,$E28&lt;FL$5+GanttPeriod),"◇","")),IF(AND(FL$5&lt;=$F28,FL$5+GanttPeriod-1&gt;=$E28),"━","")))</f>
        <v/>
      </c>
      <c r="FM28" s="69" t="str">
        <f aca="false">IF($E28="","",IF($M28,IF(AND($G28&gt;=FM$5,$G28&lt;FM$5+GanttPeriod),"◆",IF(AND($E28&gt;=FM$5,$E28&lt;FM$5+GanttPeriod),"◇","")),IF(AND(FM$5&lt;=$F28,FM$5+GanttPeriod-1&gt;=$E28),"━","")))</f>
        <v/>
      </c>
    </row>
    <row r="29" customFormat="false" ht="15" hidden="false" customHeight="false" outlineLevel="0" collapsed="false">
      <c r="A29" s="62" t="n">
        <f aca="false">IF(Tasks!$D29="","",Tasks!$A29)</f>
        <v>24</v>
      </c>
      <c r="B29" s="62" t="str">
        <f aca="false">IF(Tasks!$D29="","",Tasks!$B29)</f>
        <v>4.4</v>
      </c>
      <c r="C29" s="63" t="str">
        <f aca="false">IF(Tasks!$D29="","",REPT("    ",Tasks!$AE29-1)&amp;Tasks!$D29)</f>
        <v>    Go-live readiness review</v>
      </c>
      <c r="D29" s="62" t="n">
        <f aca="false">IF(Tasks!$D29="","",IF(Tasks!$AI29,NETWORKDAYS.INTL(Tasks!$R29,Tasks!$S29,WorkWeek,Holidays),N(Tasks!$F29)))</f>
        <v>1</v>
      </c>
      <c r="E29" s="64" t="n">
        <f aca="false">IF(Tasks!$D29="","",Tasks!$N29)</f>
        <v>46371</v>
      </c>
      <c r="F29" s="64" t="n">
        <f aca="false">IF(Tasks!$D29="","",Tasks!$O29)</f>
        <v>46371</v>
      </c>
      <c r="G29" s="64" t="n">
        <f aca="false">IF(Tasks!$D29="","",Tasks!$R29)</f>
        <v>46371</v>
      </c>
      <c r="H29" s="64" t="n">
        <f aca="false">IF(Tasks!$D29="","",Tasks!$S29)</f>
        <v>46371</v>
      </c>
      <c r="I29" s="65" t="n">
        <f aca="false">IF(Tasks!$D29="","",Tasks!$V29)</f>
        <v>0</v>
      </c>
      <c r="J29" s="63" t="str">
        <f aca="false">IF(Tasks!$D29="","",Tasks!$X29&amp;"")</f>
        <v>Priya Sharma</v>
      </c>
      <c r="K29" s="66" t="str">
        <f aca="false">IF(Tasks!$D29="","",Tasks!$W29)</f>
        <v>Not Started</v>
      </c>
      <c r="L29" s="67" t="b">
        <f aca="false">IF(Tasks!$D29="",FALSE(),Tasks!$AI29)</f>
        <v>0</v>
      </c>
      <c r="M29" s="67" t="b">
        <f aca="false">AND(Tasks!$AJ29=1,N(Tasks!$F29)=0)</f>
        <v>0</v>
      </c>
      <c r="N29" s="68" t="n">
        <f aca="false">IF(AND(Tasks!$AJ29=1,NOT($M29),N($I29)&gt;0),$G29,0)</f>
        <v>0</v>
      </c>
      <c r="O29" s="68" t="n">
        <f aca="false">IF($N29=0,0,IF($I29&gt;=1,$H29,MAX($N29,$G29+ROUND(($H29-$G29+1)*$I29,0)-1)))</f>
        <v>0</v>
      </c>
      <c r="P29" s="68" t="n">
        <f aca="false">IF(OR(Tasks!$AJ29&lt;&gt;1,$M29,N($I29)&gt;=1),0,IF($O29&gt;0,$O29+1,$G29))</f>
        <v>46371</v>
      </c>
      <c r="Q29" s="68" t="n">
        <f aca="false">IF($P29=0,0,$H29)</f>
        <v>46371</v>
      </c>
      <c r="R29" s="67" t="b">
        <f aca="false">AND(Tasks!$D29&lt;&gt;"",N(Tasks!$T29)&gt;0)</f>
        <v>0</v>
      </c>
      <c r="T29" s="69" t="str">
        <f aca="false">IF($E29="","",IF($M29,IF(AND($G29&gt;=T$5,$G29&lt;T$5+GanttPeriod),"◆",IF(AND($E29&gt;=T$5,$E29&lt;T$5+GanttPeriod),"◇","")),IF(AND(T$5&lt;=$F29,T$5+GanttPeriod-1&gt;=$E29),"━","")))</f>
        <v/>
      </c>
      <c r="U29" s="69" t="str">
        <f aca="false">IF($E29="","",IF($M29,IF(AND($G29&gt;=U$5,$G29&lt;U$5+GanttPeriod),"◆",IF(AND($E29&gt;=U$5,$E29&lt;U$5+GanttPeriod),"◇","")),IF(AND(U$5&lt;=$F29,U$5+GanttPeriod-1&gt;=$E29),"━","")))</f>
        <v/>
      </c>
      <c r="V29" s="69" t="str">
        <f aca="false">IF($E29="","",IF($M29,IF(AND($G29&gt;=V$5,$G29&lt;V$5+GanttPeriod),"◆",IF(AND($E29&gt;=V$5,$E29&lt;V$5+GanttPeriod),"◇","")),IF(AND(V$5&lt;=$F29,V$5+GanttPeriod-1&gt;=$E29),"━","")))</f>
        <v/>
      </c>
      <c r="W29" s="69" t="str">
        <f aca="false">IF($E29="","",IF($M29,IF(AND($G29&gt;=W$5,$G29&lt;W$5+GanttPeriod),"◆",IF(AND($E29&gt;=W$5,$E29&lt;W$5+GanttPeriod),"◇","")),IF(AND(W$5&lt;=$F29,W$5+GanttPeriod-1&gt;=$E29),"━","")))</f>
        <v/>
      </c>
      <c r="X29" s="69" t="str">
        <f aca="false">IF($E29="","",IF($M29,IF(AND($G29&gt;=X$5,$G29&lt;X$5+GanttPeriod),"◆",IF(AND($E29&gt;=X$5,$E29&lt;X$5+GanttPeriod),"◇","")),IF(AND(X$5&lt;=$F29,X$5+GanttPeriod-1&gt;=$E29),"━","")))</f>
        <v/>
      </c>
      <c r="Y29" s="69" t="str">
        <f aca="false">IF($E29="","",IF($M29,IF(AND($G29&gt;=Y$5,$G29&lt;Y$5+GanttPeriod),"◆",IF(AND($E29&gt;=Y$5,$E29&lt;Y$5+GanttPeriod),"◇","")),IF(AND(Y$5&lt;=$F29,Y$5+GanttPeriod-1&gt;=$E29),"━","")))</f>
        <v/>
      </c>
      <c r="Z29" s="69" t="str">
        <f aca="false">IF($E29="","",IF($M29,IF(AND($G29&gt;=Z$5,$G29&lt;Z$5+GanttPeriod),"◆",IF(AND($E29&gt;=Z$5,$E29&lt;Z$5+GanttPeriod),"◇","")),IF(AND(Z$5&lt;=$F29,Z$5+GanttPeriod-1&gt;=$E29),"━","")))</f>
        <v/>
      </c>
      <c r="AA29" s="69" t="str">
        <f aca="false">IF($E29="","",IF($M29,IF(AND($G29&gt;=AA$5,$G29&lt;AA$5+GanttPeriod),"◆",IF(AND($E29&gt;=AA$5,$E29&lt;AA$5+GanttPeriod),"◇","")),IF(AND(AA$5&lt;=$F29,AA$5+GanttPeriod-1&gt;=$E29),"━","")))</f>
        <v/>
      </c>
      <c r="AB29" s="69" t="str">
        <f aca="false">IF($E29="","",IF($M29,IF(AND($G29&gt;=AB$5,$G29&lt;AB$5+GanttPeriod),"◆",IF(AND($E29&gt;=AB$5,$E29&lt;AB$5+GanttPeriod),"◇","")),IF(AND(AB$5&lt;=$F29,AB$5+GanttPeriod-1&gt;=$E29),"━","")))</f>
        <v/>
      </c>
      <c r="AC29" s="69" t="str">
        <f aca="false">IF($E29="","",IF($M29,IF(AND($G29&gt;=AC$5,$G29&lt;AC$5+GanttPeriod),"◆",IF(AND($E29&gt;=AC$5,$E29&lt;AC$5+GanttPeriod),"◇","")),IF(AND(AC$5&lt;=$F29,AC$5+GanttPeriod-1&gt;=$E29),"━","")))</f>
        <v/>
      </c>
      <c r="AD29" s="69" t="str">
        <f aca="false">IF($E29="","",IF($M29,IF(AND($G29&gt;=AD$5,$G29&lt;AD$5+GanttPeriod),"◆",IF(AND($E29&gt;=AD$5,$E29&lt;AD$5+GanttPeriod),"◇","")),IF(AND(AD$5&lt;=$F29,AD$5+GanttPeriod-1&gt;=$E29),"━","")))</f>
        <v/>
      </c>
      <c r="AE29" s="69" t="str">
        <f aca="false">IF($E29="","",IF($M29,IF(AND($G29&gt;=AE$5,$G29&lt;AE$5+GanttPeriod),"◆",IF(AND($E29&gt;=AE$5,$E29&lt;AE$5+GanttPeriod),"◇","")),IF(AND(AE$5&lt;=$F29,AE$5+GanttPeriod-1&gt;=$E29),"━","")))</f>
        <v/>
      </c>
      <c r="AF29" s="69" t="str">
        <f aca="false">IF($E29="","",IF($M29,IF(AND($G29&gt;=AF$5,$G29&lt;AF$5+GanttPeriod),"◆",IF(AND($E29&gt;=AF$5,$E29&lt;AF$5+GanttPeriod),"◇","")),IF(AND(AF$5&lt;=$F29,AF$5+GanttPeriod-1&gt;=$E29),"━","")))</f>
        <v/>
      </c>
      <c r="AG29" s="69" t="str">
        <f aca="false">IF($E29="","",IF($M29,IF(AND($G29&gt;=AG$5,$G29&lt;AG$5+GanttPeriod),"◆",IF(AND($E29&gt;=AG$5,$E29&lt;AG$5+GanttPeriod),"◇","")),IF(AND(AG$5&lt;=$F29,AG$5+GanttPeriod-1&gt;=$E29),"━","")))</f>
        <v/>
      </c>
      <c r="AH29" s="69" t="str">
        <f aca="false">IF($E29="","",IF($M29,IF(AND($G29&gt;=AH$5,$G29&lt;AH$5+GanttPeriod),"◆",IF(AND($E29&gt;=AH$5,$E29&lt;AH$5+GanttPeriod),"◇","")),IF(AND(AH$5&lt;=$F29,AH$5+GanttPeriod-1&gt;=$E29),"━","")))</f>
        <v/>
      </c>
      <c r="AI29" s="69" t="str">
        <f aca="false">IF($E29="","",IF($M29,IF(AND($G29&gt;=AI$5,$G29&lt;AI$5+GanttPeriod),"◆",IF(AND($E29&gt;=AI$5,$E29&lt;AI$5+GanttPeriod),"◇","")),IF(AND(AI$5&lt;=$F29,AI$5+GanttPeriod-1&gt;=$E29),"━","")))</f>
        <v/>
      </c>
      <c r="AJ29" s="69" t="str">
        <f aca="false">IF($E29="","",IF($M29,IF(AND($G29&gt;=AJ$5,$G29&lt;AJ$5+GanttPeriod),"◆",IF(AND($E29&gt;=AJ$5,$E29&lt;AJ$5+GanttPeriod),"◇","")),IF(AND(AJ$5&lt;=$F29,AJ$5+GanttPeriod-1&gt;=$E29),"━","")))</f>
        <v/>
      </c>
      <c r="AK29" s="69" t="str">
        <f aca="false">IF($E29="","",IF($M29,IF(AND($G29&gt;=AK$5,$G29&lt;AK$5+GanttPeriod),"◆",IF(AND($E29&gt;=AK$5,$E29&lt;AK$5+GanttPeriod),"◇","")),IF(AND(AK$5&lt;=$F29,AK$5+GanttPeriod-1&gt;=$E29),"━","")))</f>
        <v/>
      </c>
      <c r="AL29" s="69" t="str">
        <f aca="false">IF($E29="","",IF($M29,IF(AND($G29&gt;=AL$5,$G29&lt;AL$5+GanttPeriod),"◆",IF(AND($E29&gt;=AL$5,$E29&lt;AL$5+GanttPeriod),"◇","")),IF(AND(AL$5&lt;=$F29,AL$5+GanttPeriod-1&gt;=$E29),"━","")))</f>
        <v/>
      </c>
      <c r="AM29" s="69" t="str">
        <f aca="false">IF($E29="","",IF($M29,IF(AND($G29&gt;=AM$5,$G29&lt;AM$5+GanttPeriod),"◆",IF(AND($E29&gt;=AM$5,$E29&lt;AM$5+GanttPeriod),"◇","")),IF(AND(AM$5&lt;=$F29,AM$5+GanttPeriod-1&gt;=$E29),"━","")))</f>
        <v/>
      </c>
      <c r="AN29" s="69" t="str">
        <f aca="false">IF($E29="","",IF($M29,IF(AND($G29&gt;=AN$5,$G29&lt;AN$5+GanttPeriod),"◆",IF(AND($E29&gt;=AN$5,$E29&lt;AN$5+GanttPeriod),"◇","")),IF(AND(AN$5&lt;=$F29,AN$5+GanttPeriod-1&gt;=$E29),"━","")))</f>
        <v/>
      </c>
      <c r="AO29" s="69" t="str">
        <f aca="false">IF($E29="","",IF($M29,IF(AND($G29&gt;=AO$5,$G29&lt;AO$5+GanttPeriod),"◆",IF(AND($E29&gt;=AO$5,$E29&lt;AO$5+GanttPeriod),"◇","")),IF(AND(AO$5&lt;=$F29,AO$5+GanttPeriod-1&gt;=$E29),"━","")))</f>
        <v/>
      </c>
      <c r="AP29" s="69" t="str">
        <f aca="false">IF($E29="","",IF($M29,IF(AND($G29&gt;=AP$5,$G29&lt;AP$5+GanttPeriod),"◆",IF(AND($E29&gt;=AP$5,$E29&lt;AP$5+GanttPeriod),"◇","")),IF(AND(AP$5&lt;=$F29,AP$5+GanttPeriod-1&gt;=$E29),"━","")))</f>
        <v/>
      </c>
      <c r="AQ29" s="69" t="str">
        <f aca="false">IF($E29="","",IF($M29,IF(AND($G29&gt;=AQ$5,$G29&lt;AQ$5+GanttPeriod),"◆",IF(AND($E29&gt;=AQ$5,$E29&lt;AQ$5+GanttPeriod),"◇","")),IF(AND(AQ$5&lt;=$F29,AQ$5+GanttPeriod-1&gt;=$E29),"━","")))</f>
        <v/>
      </c>
      <c r="AR29" s="69" t="str">
        <f aca="false">IF($E29="","",IF($M29,IF(AND($G29&gt;=AR$5,$G29&lt;AR$5+GanttPeriod),"◆",IF(AND($E29&gt;=AR$5,$E29&lt;AR$5+GanttPeriod),"◇","")),IF(AND(AR$5&lt;=$F29,AR$5+GanttPeriod-1&gt;=$E29),"━","")))</f>
        <v/>
      </c>
      <c r="AS29" s="69" t="str">
        <f aca="false">IF($E29="","",IF($M29,IF(AND($G29&gt;=AS$5,$G29&lt;AS$5+GanttPeriod),"◆",IF(AND($E29&gt;=AS$5,$E29&lt;AS$5+GanttPeriod),"◇","")),IF(AND(AS$5&lt;=$F29,AS$5+GanttPeriod-1&gt;=$E29),"━","")))</f>
        <v/>
      </c>
      <c r="AT29" s="69" t="str">
        <f aca="false">IF($E29="","",IF($M29,IF(AND($G29&gt;=AT$5,$G29&lt;AT$5+GanttPeriod),"◆",IF(AND($E29&gt;=AT$5,$E29&lt;AT$5+GanttPeriod),"◇","")),IF(AND(AT$5&lt;=$F29,AT$5+GanttPeriod-1&gt;=$E29),"━","")))</f>
        <v/>
      </c>
      <c r="AU29" s="69" t="str">
        <f aca="false">IF($E29="","",IF($M29,IF(AND($G29&gt;=AU$5,$G29&lt;AU$5+GanttPeriod),"◆",IF(AND($E29&gt;=AU$5,$E29&lt;AU$5+GanttPeriod),"◇","")),IF(AND(AU$5&lt;=$F29,AU$5+GanttPeriod-1&gt;=$E29),"━","")))</f>
        <v/>
      </c>
      <c r="AV29" s="69" t="str">
        <f aca="false">IF($E29="","",IF($M29,IF(AND($G29&gt;=AV$5,$G29&lt;AV$5+GanttPeriod),"◆",IF(AND($E29&gt;=AV$5,$E29&lt;AV$5+GanttPeriod),"◇","")),IF(AND(AV$5&lt;=$F29,AV$5+GanttPeriod-1&gt;=$E29),"━","")))</f>
        <v/>
      </c>
      <c r="AW29" s="69" t="str">
        <f aca="false">IF($E29="","",IF($M29,IF(AND($G29&gt;=AW$5,$G29&lt;AW$5+GanttPeriod),"◆",IF(AND($E29&gt;=AW$5,$E29&lt;AW$5+GanttPeriod),"◇","")),IF(AND(AW$5&lt;=$F29,AW$5+GanttPeriod-1&gt;=$E29),"━","")))</f>
        <v/>
      </c>
      <c r="AX29" s="69" t="str">
        <f aca="false">IF($E29="","",IF($M29,IF(AND($G29&gt;=AX$5,$G29&lt;AX$5+GanttPeriod),"◆",IF(AND($E29&gt;=AX$5,$E29&lt;AX$5+GanttPeriod),"◇","")),IF(AND(AX$5&lt;=$F29,AX$5+GanttPeriod-1&gt;=$E29),"━","")))</f>
        <v/>
      </c>
      <c r="AY29" s="69" t="str">
        <f aca="false">IF($E29="","",IF($M29,IF(AND($G29&gt;=AY$5,$G29&lt;AY$5+GanttPeriod),"◆",IF(AND($E29&gt;=AY$5,$E29&lt;AY$5+GanttPeriod),"◇","")),IF(AND(AY$5&lt;=$F29,AY$5+GanttPeriod-1&gt;=$E29),"━","")))</f>
        <v/>
      </c>
      <c r="AZ29" s="69" t="str">
        <f aca="false">IF($E29="","",IF($M29,IF(AND($G29&gt;=AZ$5,$G29&lt;AZ$5+GanttPeriod),"◆",IF(AND($E29&gt;=AZ$5,$E29&lt;AZ$5+GanttPeriod),"◇","")),IF(AND(AZ$5&lt;=$F29,AZ$5+GanttPeriod-1&gt;=$E29),"━","")))</f>
        <v/>
      </c>
      <c r="BA29" s="69" t="str">
        <f aca="false">IF($E29="","",IF($M29,IF(AND($G29&gt;=BA$5,$G29&lt;BA$5+GanttPeriod),"◆",IF(AND($E29&gt;=BA$5,$E29&lt;BA$5+GanttPeriod),"◇","")),IF(AND(BA$5&lt;=$F29,BA$5+GanttPeriod-1&gt;=$E29),"━","")))</f>
        <v/>
      </c>
      <c r="BB29" s="69" t="str">
        <f aca="false">IF($E29="","",IF($M29,IF(AND($G29&gt;=BB$5,$G29&lt;BB$5+GanttPeriod),"◆",IF(AND($E29&gt;=BB$5,$E29&lt;BB$5+GanttPeriod),"◇","")),IF(AND(BB$5&lt;=$F29,BB$5+GanttPeriod-1&gt;=$E29),"━","")))</f>
        <v/>
      </c>
      <c r="BC29" s="69" t="str">
        <f aca="false">IF($E29="","",IF($M29,IF(AND($G29&gt;=BC$5,$G29&lt;BC$5+GanttPeriod),"◆",IF(AND($E29&gt;=BC$5,$E29&lt;BC$5+GanttPeriod),"◇","")),IF(AND(BC$5&lt;=$F29,BC$5+GanttPeriod-1&gt;=$E29),"━","")))</f>
        <v/>
      </c>
      <c r="BD29" s="69" t="str">
        <f aca="false">IF($E29="","",IF($M29,IF(AND($G29&gt;=BD$5,$G29&lt;BD$5+GanttPeriod),"◆",IF(AND($E29&gt;=BD$5,$E29&lt;BD$5+GanttPeriod),"◇","")),IF(AND(BD$5&lt;=$F29,BD$5+GanttPeriod-1&gt;=$E29),"━","")))</f>
        <v/>
      </c>
      <c r="BE29" s="69" t="str">
        <f aca="false">IF($E29="","",IF($M29,IF(AND($G29&gt;=BE$5,$G29&lt;BE$5+GanttPeriod),"◆",IF(AND($E29&gt;=BE$5,$E29&lt;BE$5+GanttPeriod),"◇","")),IF(AND(BE$5&lt;=$F29,BE$5+GanttPeriod-1&gt;=$E29),"━","")))</f>
        <v/>
      </c>
      <c r="BF29" s="69" t="str">
        <f aca="false">IF($E29="","",IF($M29,IF(AND($G29&gt;=BF$5,$G29&lt;BF$5+GanttPeriod),"◆",IF(AND($E29&gt;=BF$5,$E29&lt;BF$5+GanttPeriod),"◇","")),IF(AND(BF$5&lt;=$F29,BF$5+GanttPeriod-1&gt;=$E29),"━","")))</f>
        <v/>
      </c>
      <c r="BG29" s="69" t="str">
        <f aca="false">IF($E29="","",IF($M29,IF(AND($G29&gt;=BG$5,$G29&lt;BG$5+GanttPeriod),"◆",IF(AND($E29&gt;=BG$5,$E29&lt;BG$5+GanttPeriod),"◇","")),IF(AND(BG$5&lt;=$F29,BG$5+GanttPeriod-1&gt;=$E29),"━","")))</f>
        <v/>
      </c>
      <c r="BH29" s="69" t="str">
        <f aca="false">IF($E29="","",IF($M29,IF(AND($G29&gt;=BH$5,$G29&lt;BH$5+GanttPeriod),"◆",IF(AND($E29&gt;=BH$5,$E29&lt;BH$5+GanttPeriod),"◇","")),IF(AND(BH$5&lt;=$F29,BH$5+GanttPeriod-1&gt;=$E29),"━","")))</f>
        <v/>
      </c>
      <c r="BI29" s="69" t="str">
        <f aca="false">IF($E29="","",IF($M29,IF(AND($G29&gt;=BI$5,$G29&lt;BI$5+GanttPeriod),"◆",IF(AND($E29&gt;=BI$5,$E29&lt;BI$5+GanttPeriod),"◇","")),IF(AND(BI$5&lt;=$F29,BI$5+GanttPeriod-1&gt;=$E29),"━","")))</f>
        <v/>
      </c>
      <c r="BJ29" s="69" t="str">
        <f aca="false">IF($E29="","",IF($M29,IF(AND($G29&gt;=BJ$5,$G29&lt;BJ$5+GanttPeriod),"◆",IF(AND($E29&gt;=BJ$5,$E29&lt;BJ$5+GanttPeriod),"◇","")),IF(AND(BJ$5&lt;=$F29,BJ$5+GanttPeriod-1&gt;=$E29),"━","")))</f>
        <v/>
      </c>
      <c r="BK29" s="69" t="str">
        <f aca="false">IF($E29="","",IF($M29,IF(AND($G29&gt;=BK$5,$G29&lt;BK$5+GanttPeriod),"◆",IF(AND($E29&gt;=BK$5,$E29&lt;BK$5+GanttPeriod),"◇","")),IF(AND(BK$5&lt;=$F29,BK$5+GanttPeriod-1&gt;=$E29),"━","")))</f>
        <v/>
      </c>
      <c r="BL29" s="69" t="str">
        <f aca="false">IF($E29="","",IF($M29,IF(AND($G29&gt;=BL$5,$G29&lt;BL$5+GanttPeriod),"◆",IF(AND($E29&gt;=BL$5,$E29&lt;BL$5+GanttPeriod),"◇","")),IF(AND(BL$5&lt;=$F29,BL$5+GanttPeriod-1&gt;=$E29),"━","")))</f>
        <v/>
      </c>
      <c r="BM29" s="69" t="str">
        <f aca="false">IF($E29="","",IF($M29,IF(AND($G29&gt;=BM$5,$G29&lt;BM$5+GanttPeriod),"◆",IF(AND($E29&gt;=BM$5,$E29&lt;BM$5+GanttPeriod),"◇","")),IF(AND(BM$5&lt;=$F29,BM$5+GanttPeriod-1&gt;=$E29),"━","")))</f>
        <v/>
      </c>
      <c r="BN29" s="69" t="str">
        <f aca="false">IF($E29="","",IF($M29,IF(AND($G29&gt;=BN$5,$G29&lt;BN$5+GanttPeriod),"◆",IF(AND($E29&gt;=BN$5,$E29&lt;BN$5+GanttPeriod),"◇","")),IF(AND(BN$5&lt;=$F29,BN$5+GanttPeriod-1&gt;=$E29),"━","")))</f>
        <v/>
      </c>
      <c r="BO29" s="69" t="str">
        <f aca="false">IF($E29="","",IF($M29,IF(AND($G29&gt;=BO$5,$G29&lt;BO$5+GanttPeriod),"◆",IF(AND($E29&gt;=BO$5,$E29&lt;BO$5+GanttPeriod),"◇","")),IF(AND(BO$5&lt;=$F29,BO$5+GanttPeriod-1&gt;=$E29),"━","")))</f>
        <v/>
      </c>
      <c r="BP29" s="69" t="str">
        <f aca="false">IF($E29="","",IF($M29,IF(AND($G29&gt;=BP$5,$G29&lt;BP$5+GanttPeriod),"◆",IF(AND($E29&gt;=BP$5,$E29&lt;BP$5+GanttPeriod),"◇","")),IF(AND(BP$5&lt;=$F29,BP$5+GanttPeriod-1&gt;=$E29),"━","")))</f>
        <v/>
      </c>
      <c r="BQ29" s="69" t="str">
        <f aca="false">IF($E29="","",IF($M29,IF(AND($G29&gt;=BQ$5,$G29&lt;BQ$5+GanttPeriod),"◆",IF(AND($E29&gt;=BQ$5,$E29&lt;BQ$5+GanttPeriod),"◇","")),IF(AND(BQ$5&lt;=$F29,BQ$5+GanttPeriod-1&gt;=$E29),"━","")))</f>
        <v/>
      </c>
      <c r="BR29" s="69" t="str">
        <f aca="false">IF($E29="","",IF($M29,IF(AND($G29&gt;=BR$5,$G29&lt;BR$5+GanttPeriod),"◆",IF(AND($E29&gt;=BR$5,$E29&lt;BR$5+GanttPeriod),"◇","")),IF(AND(BR$5&lt;=$F29,BR$5+GanttPeriod-1&gt;=$E29),"━","")))</f>
        <v/>
      </c>
      <c r="BS29" s="69" t="str">
        <f aca="false">IF($E29="","",IF($M29,IF(AND($G29&gt;=BS$5,$G29&lt;BS$5+GanttPeriod),"◆",IF(AND($E29&gt;=BS$5,$E29&lt;BS$5+GanttPeriod),"◇","")),IF(AND(BS$5&lt;=$F29,BS$5+GanttPeriod-1&gt;=$E29),"━","")))</f>
        <v/>
      </c>
      <c r="BT29" s="69" t="str">
        <f aca="false">IF($E29="","",IF($M29,IF(AND($G29&gt;=BT$5,$G29&lt;BT$5+GanttPeriod),"◆",IF(AND($E29&gt;=BT$5,$E29&lt;BT$5+GanttPeriod),"◇","")),IF(AND(BT$5&lt;=$F29,BT$5+GanttPeriod-1&gt;=$E29),"━","")))</f>
        <v/>
      </c>
      <c r="BU29" s="69" t="str">
        <f aca="false">IF($E29="","",IF($M29,IF(AND($G29&gt;=BU$5,$G29&lt;BU$5+GanttPeriod),"◆",IF(AND($E29&gt;=BU$5,$E29&lt;BU$5+GanttPeriod),"◇","")),IF(AND(BU$5&lt;=$F29,BU$5+GanttPeriod-1&gt;=$E29),"━","")))</f>
        <v/>
      </c>
      <c r="BV29" s="69" t="str">
        <f aca="false">IF($E29="","",IF($M29,IF(AND($G29&gt;=BV$5,$G29&lt;BV$5+GanttPeriod),"◆",IF(AND($E29&gt;=BV$5,$E29&lt;BV$5+GanttPeriod),"◇","")),IF(AND(BV$5&lt;=$F29,BV$5+GanttPeriod-1&gt;=$E29),"━","")))</f>
        <v/>
      </c>
      <c r="BW29" s="69" t="str">
        <f aca="false">IF($E29="","",IF($M29,IF(AND($G29&gt;=BW$5,$G29&lt;BW$5+GanttPeriod),"◆",IF(AND($E29&gt;=BW$5,$E29&lt;BW$5+GanttPeriod),"◇","")),IF(AND(BW$5&lt;=$F29,BW$5+GanttPeriod-1&gt;=$E29),"━","")))</f>
        <v/>
      </c>
      <c r="BX29" s="69" t="str">
        <f aca="false">IF($E29="","",IF($M29,IF(AND($G29&gt;=BX$5,$G29&lt;BX$5+GanttPeriod),"◆",IF(AND($E29&gt;=BX$5,$E29&lt;BX$5+GanttPeriod),"◇","")),IF(AND(BX$5&lt;=$F29,BX$5+GanttPeriod-1&gt;=$E29),"━","")))</f>
        <v/>
      </c>
      <c r="BY29" s="69" t="str">
        <f aca="false">IF($E29="","",IF($M29,IF(AND($G29&gt;=BY$5,$G29&lt;BY$5+GanttPeriod),"◆",IF(AND($E29&gt;=BY$5,$E29&lt;BY$5+GanttPeriod),"◇","")),IF(AND(BY$5&lt;=$F29,BY$5+GanttPeriod-1&gt;=$E29),"━","")))</f>
        <v/>
      </c>
      <c r="BZ29" s="69" t="str">
        <f aca="false">IF($E29="","",IF($M29,IF(AND($G29&gt;=BZ$5,$G29&lt;BZ$5+GanttPeriod),"◆",IF(AND($E29&gt;=BZ$5,$E29&lt;BZ$5+GanttPeriod),"◇","")),IF(AND(BZ$5&lt;=$F29,BZ$5+GanttPeriod-1&gt;=$E29),"━","")))</f>
        <v/>
      </c>
      <c r="CA29" s="69" t="str">
        <f aca="false">IF($E29="","",IF($M29,IF(AND($G29&gt;=CA$5,$G29&lt;CA$5+GanttPeriod),"◆",IF(AND($E29&gt;=CA$5,$E29&lt;CA$5+GanttPeriod),"◇","")),IF(AND(CA$5&lt;=$F29,CA$5+GanttPeriod-1&gt;=$E29),"━","")))</f>
        <v/>
      </c>
      <c r="CB29" s="69" t="str">
        <f aca="false">IF($E29="","",IF($M29,IF(AND($G29&gt;=CB$5,$G29&lt;CB$5+GanttPeriod),"◆",IF(AND($E29&gt;=CB$5,$E29&lt;CB$5+GanttPeriod),"◇","")),IF(AND(CB$5&lt;=$F29,CB$5+GanttPeriod-1&gt;=$E29),"━","")))</f>
        <v/>
      </c>
      <c r="CC29" s="69" t="str">
        <f aca="false">IF($E29="","",IF($M29,IF(AND($G29&gt;=CC$5,$G29&lt;CC$5+GanttPeriod),"◆",IF(AND($E29&gt;=CC$5,$E29&lt;CC$5+GanttPeriod),"◇","")),IF(AND(CC$5&lt;=$F29,CC$5+GanttPeriod-1&gt;=$E29),"━","")))</f>
        <v/>
      </c>
      <c r="CD29" s="69" t="str">
        <f aca="false">IF($E29="","",IF($M29,IF(AND($G29&gt;=CD$5,$G29&lt;CD$5+GanttPeriod),"◆",IF(AND($E29&gt;=CD$5,$E29&lt;CD$5+GanttPeriod),"◇","")),IF(AND(CD$5&lt;=$F29,CD$5+GanttPeriod-1&gt;=$E29),"━","")))</f>
        <v/>
      </c>
      <c r="CE29" s="69" t="str">
        <f aca="false">IF($E29="","",IF($M29,IF(AND($G29&gt;=CE$5,$G29&lt;CE$5+GanttPeriod),"◆",IF(AND($E29&gt;=CE$5,$E29&lt;CE$5+GanttPeriod),"◇","")),IF(AND(CE$5&lt;=$F29,CE$5+GanttPeriod-1&gt;=$E29),"━","")))</f>
        <v/>
      </c>
      <c r="CF29" s="69" t="str">
        <f aca="false">IF($E29="","",IF($M29,IF(AND($G29&gt;=CF$5,$G29&lt;CF$5+GanttPeriod),"◆",IF(AND($E29&gt;=CF$5,$E29&lt;CF$5+GanttPeriod),"◇","")),IF(AND(CF$5&lt;=$F29,CF$5+GanttPeriod-1&gt;=$E29),"━","")))</f>
        <v/>
      </c>
      <c r="CG29" s="69" t="str">
        <f aca="false">IF($E29="","",IF($M29,IF(AND($G29&gt;=CG$5,$G29&lt;CG$5+GanttPeriod),"◆",IF(AND($E29&gt;=CG$5,$E29&lt;CG$5+GanttPeriod),"◇","")),IF(AND(CG$5&lt;=$F29,CG$5+GanttPeriod-1&gt;=$E29),"━","")))</f>
        <v/>
      </c>
      <c r="CH29" s="69" t="str">
        <f aca="false">IF($E29="","",IF($M29,IF(AND($G29&gt;=CH$5,$G29&lt;CH$5+GanttPeriod),"◆",IF(AND($E29&gt;=CH$5,$E29&lt;CH$5+GanttPeriod),"◇","")),IF(AND(CH$5&lt;=$F29,CH$5+GanttPeriod-1&gt;=$E29),"━","")))</f>
        <v/>
      </c>
      <c r="CI29" s="69" t="str">
        <f aca="false">IF($E29="","",IF($M29,IF(AND($G29&gt;=CI$5,$G29&lt;CI$5+GanttPeriod),"◆",IF(AND($E29&gt;=CI$5,$E29&lt;CI$5+GanttPeriod),"◇","")),IF(AND(CI$5&lt;=$F29,CI$5+GanttPeriod-1&gt;=$E29),"━","")))</f>
        <v/>
      </c>
      <c r="CJ29" s="69" t="str">
        <f aca="false">IF($E29="","",IF($M29,IF(AND($G29&gt;=CJ$5,$G29&lt;CJ$5+GanttPeriod),"◆",IF(AND($E29&gt;=CJ$5,$E29&lt;CJ$5+GanttPeriod),"◇","")),IF(AND(CJ$5&lt;=$F29,CJ$5+GanttPeriod-1&gt;=$E29),"━","")))</f>
        <v/>
      </c>
      <c r="CK29" s="69" t="str">
        <f aca="false">IF($E29="","",IF($M29,IF(AND($G29&gt;=CK$5,$G29&lt;CK$5+GanttPeriod),"◆",IF(AND($E29&gt;=CK$5,$E29&lt;CK$5+GanttPeriod),"◇","")),IF(AND(CK$5&lt;=$F29,CK$5+GanttPeriod-1&gt;=$E29),"━","")))</f>
        <v/>
      </c>
      <c r="CL29" s="69" t="str">
        <f aca="false">IF($E29="","",IF($M29,IF(AND($G29&gt;=CL$5,$G29&lt;CL$5+GanttPeriod),"◆",IF(AND($E29&gt;=CL$5,$E29&lt;CL$5+GanttPeriod),"◇","")),IF(AND(CL$5&lt;=$F29,CL$5+GanttPeriod-1&gt;=$E29),"━","")))</f>
        <v/>
      </c>
      <c r="CM29" s="69" t="str">
        <f aca="false">IF($E29="","",IF($M29,IF(AND($G29&gt;=CM$5,$G29&lt;CM$5+GanttPeriod),"◆",IF(AND($E29&gt;=CM$5,$E29&lt;CM$5+GanttPeriod),"◇","")),IF(AND(CM$5&lt;=$F29,CM$5+GanttPeriod-1&gt;=$E29),"━","")))</f>
        <v/>
      </c>
      <c r="CN29" s="69" t="str">
        <f aca="false">IF($E29="","",IF($M29,IF(AND($G29&gt;=CN$5,$G29&lt;CN$5+GanttPeriod),"◆",IF(AND($E29&gt;=CN$5,$E29&lt;CN$5+GanttPeriod),"◇","")),IF(AND(CN$5&lt;=$F29,CN$5+GanttPeriod-1&gt;=$E29),"━","")))</f>
        <v/>
      </c>
      <c r="CO29" s="69" t="str">
        <f aca="false">IF($E29="","",IF($M29,IF(AND($G29&gt;=CO$5,$G29&lt;CO$5+GanttPeriod),"◆",IF(AND($E29&gt;=CO$5,$E29&lt;CO$5+GanttPeriod),"◇","")),IF(AND(CO$5&lt;=$F29,CO$5+GanttPeriod-1&gt;=$E29),"━","")))</f>
        <v/>
      </c>
      <c r="CP29" s="69" t="str">
        <f aca="false">IF($E29="","",IF($M29,IF(AND($G29&gt;=CP$5,$G29&lt;CP$5+GanttPeriod),"◆",IF(AND($E29&gt;=CP$5,$E29&lt;CP$5+GanttPeriod),"◇","")),IF(AND(CP$5&lt;=$F29,CP$5+GanttPeriod-1&gt;=$E29),"━","")))</f>
        <v/>
      </c>
      <c r="CQ29" s="69" t="str">
        <f aca="false">IF($E29="","",IF($M29,IF(AND($G29&gt;=CQ$5,$G29&lt;CQ$5+GanttPeriod),"◆",IF(AND($E29&gt;=CQ$5,$E29&lt;CQ$5+GanttPeriod),"◇","")),IF(AND(CQ$5&lt;=$F29,CQ$5+GanttPeriod-1&gt;=$E29),"━","")))</f>
        <v/>
      </c>
      <c r="CR29" s="69" t="str">
        <f aca="false">IF($E29="","",IF($M29,IF(AND($G29&gt;=CR$5,$G29&lt;CR$5+GanttPeriod),"◆",IF(AND($E29&gt;=CR$5,$E29&lt;CR$5+GanttPeriod),"◇","")),IF(AND(CR$5&lt;=$F29,CR$5+GanttPeriod-1&gt;=$E29),"━","")))</f>
        <v/>
      </c>
      <c r="CS29" s="69" t="str">
        <f aca="false">IF($E29="","",IF($M29,IF(AND($G29&gt;=CS$5,$G29&lt;CS$5+GanttPeriod),"◆",IF(AND($E29&gt;=CS$5,$E29&lt;CS$5+GanttPeriod),"◇","")),IF(AND(CS$5&lt;=$F29,CS$5+GanttPeriod-1&gt;=$E29),"━","")))</f>
        <v/>
      </c>
      <c r="CT29" s="69" t="str">
        <f aca="false">IF($E29="","",IF($M29,IF(AND($G29&gt;=CT$5,$G29&lt;CT$5+GanttPeriod),"◆",IF(AND($E29&gt;=CT$5,$E29&lt;CT$5+GanttPeriod),"◇","")),IF(AND(CT$5&lt;=$F29,CT$5+GanttPeriod-1&gt;=$E29),"━","")))</f>
        <v/>
      </c>
      <c r="CU29" s="69" t="str">
        <f aca="false">IF($E29="","",IF($M29,IF(AND($G29&gt;=CU$5,$G29&lt;CU$5+GanttPeriod),"◆",IF(AND($E29&gt;=CU$5,$E29&lt;CU$5+GanttPeriod),"◇","")),IF(AND(CU$5&lt;=$F29,CU$5+GanttPeriod-1&gt;=$E29),"━","")))</f>
        <v/>
      </c>
      <c r="CV29" s="69" t="str">
        <f aca="false">IF($E29="","",IF($M29,IF(AND($G29&gt;=CV$5,$G29&lt;CV$5+GanttPeriod),"◆",IF(AND($E29&gt;=CV$5,$E29&lt;CV$5+GanttPeriod),"◇","")),IF(AND(CV$5&lt;=$F29,CV$5+GanttPeriod-1&gt;=$E29),"━","")))</f>
        <v/>
      </c>
      <c r="CW29" s="69" t="str">
        <f aca="false">IF($E29="","",IF($M29,IF(AND($G29&gt;=CW$5,$G29&lt;CW$5+GanttPeriod),"◆",IF(AND($E29&gt;=CW$5,$E29&lt;CW$5+GanttPeriod),"◇","")),IF(AND(CW$5&lt;=$F29,CW$5+GanttPeriod-1&gt;=$E29),"━","")))</f>
        <v/>
      </c>
      <c r="CX29" s="69" t="str">
        <f aca="false">IF($E29="","",IF($M29,IF(AND($G29&gt;=CX$5,$G29&lt;CX$5+GanttPeriod),"◆",IF(AND($E29&gt;=CX$5,$E29&lt;CX$5+GanttPeriod),"◇","")),IF(AND(CX$5&lt;=$F29,CX$5+GanttPeriod-1&gt;=$E29),"━","")))</f>
        <v/>
      </c>
      <c r="CY29" s="69" t="str">
        <f aca="false">IF($E29="","",IF($M29,IF(AND($G29&gt;=CY$5,$G29&lt;CY$5+GanttPeriod),"◆",IF(AND($E29&gt;=CY$5,$E29&lt;CY$5+GanttPeriod),"◇","")),IF(AND(CY$5&lt;=$F29,CY$5+GanttPeriod-1&gt;=$E29),"━","")))</f>
        <v/>
      </c>
      <c r="CZ29" s="69" t="str">
        <f aca="false">IF($E29="","",IF($M29,IF(AND($G29&gt;=CZ$5,$G29&lt;CZ$5+GanttPeriod),"◆",IF(AND($E29&gt;=CZ$5,$E29&lt;CZ$5+GanttPeriod),"◇","")),IF(AND(CZ$5&lt;=$F29,CZ$5+GanttPeriod-1&gt;=$E29),"━","")))</f>
        <v/>
      </c>
      <c r="DA29" s="69" t="str">
        <f aca="false">IF($E29="","",IF($M29,IF(AND($G29&gt;=DA$5,$G29&lt;DA$5+GanttPeriod),"◆",IF(AND($E29&gt;=DA$5,$E29&lt;DA$5+GanttPeriod),"◇","")),IF(AND(DA$5&lt;=$F29,DA$5+GanttPeriod-1&gt;=$E29),"━","")))</f>
        <v/>
      </c>
      <c r="DB29" s="69" t="str">
        <f aca="false">IF($E29="","",IF($M29,IF(AND($G29&gt;=DB$5,$G29&lt;DB$5+GanttPeriod),"◆",IF(AND($E29&gt;=DB$5,$E29&lt;DB$5+GanttPeriod),"◇","")),IF(AND(DB$5&lt;=$F29,DB$5+GanttPeriod-1&gt;=$E29),"━","")))</f>
        <v/>
      </c>
      <c r="DC29" s="69" t="str">
        <f aca="false">IF($E29="","",IF($M29,IF(AND($G29&gt;=DC$5,$G29&lt;DC$5+GanttPeriod),"◆",IF(AND($E29&gt;=DC$5,$E29&lt;DC$5+GanttPeriod),"◇","")),IF(AND(DC$5&lt;=$F29,DC$5+GanttPeriod-1&gt;=$E29),"━","")))</f>
        <v/>
      </c>
      <c r="DD29" s="69" t="str">
        <f aca="false">IF($E29="","",IF($M29,IF(AND($G29&gt;=DD$5,$G29&lt;DD$5+GanttPeriod),"◆",IF(AND($E29&gt;=DD$5,$E29&lt;DD$5+GanttPeriod),"◇","")),IF(AND(DD$5&lt;=$F29,DD$5+GanttPeriod-1&gt;=$E29),"━","")))</f>
        <v/>
      </c>
      <c r="DE29" s="69" t="str">
        <f aca="false">IF($E29="","",IF($M29,IF(AND($G29&gt;=DE$5,$G29&lt;DE$5+GanttPeriod),"◆",IF(AND($E29&gt;=DE$5,$E29&lt;DE$5+GanttPeriod),"◇","")),IF(AND(DE$5&lt;=$F29,DE$5+GanttPeriod-1&gt;=$E29),"━","")))</f>
        <v/>
      </c>
      <c r="DF29" s="69" t="str">
        <f aca="false">IF($E29="","",IF($M29,IF(AND($G29&gt;=DF$5,$G29&lt;DF$5+GanttPeriod),"◆",IF(AND($E29&gt;=DF$5,$E29&lt;DF$5+GanttPeriod),"◇","")),IF(AND(DF$5&lt;=$F29,DF$5+GanttPeriod-1&gt;=$E29),"━","")))</f>
        <v/>
      </c>
      <c r="DG29" s="69" t="str">
        <f aca="false">IF($E29="","",IF($M29,IF(AND($G29&gt;=DG$5,$G29&lt;DG$5+GanttPeriod),"◆",IF(AND($E29&gt;=DG$5,$E29&lt;DG$5+GanttPeriod),"◇","")),IF(AND(DG$5&lt;=$F29,DG$5+GanttPeriod-1&gt;=$E29),"━","")))</f>
        <v/>
      </c>
      <c r="DH29" s="69" t="str">
        <f aca="false">IF($E29="","",IF($M29,IF(AND($G29&gt;=DH$5,$G29&lt;DH$5+GanttPeriod),"◆",IF(AND($E29&gt;=DH$5,$E29&lt;DH$5+GanttPeriod),"◇","")),IF(AND(DH$5&lt;=$F29,DH$5+GanttPeriod-1&gt;=$E29),"━","")))</f>
        <v/>
      </c>
      <c r="DI29" s="69" t="str">
        <f aca="false">IF($E29="","",IF($M29,IF(AND($G29&gt;=DI$5,$G29&lt;DI$5+GanttPeriod),"◆",IF(AND($E29&gt;=DI$5,$E29&lt;DI$5+GanttPeriod),"◇","")),IF(AND(DI$5&lt;=$F29,DI$5+GanttPeriod-1&gt;=$E29),"━","")))</f>
        <v/>
      </c>
      <c r="DJ29" s="69" t="str">
        <f aca="false">IF($E29="","",IF($M29,IF(AND($G29&gt;=DJ$5,$G29&lt;DJ$5+GanttPeriod),"◆",IF(AND($E29&gt;=DJ$5,$E29&lt;DJ$5+GanttPeriod),"◇","")),IF(AND(DJ$5&lt;=$F29,DJ$5+GanttPeriod-1&gt;=$E29),"━","")))</f>
        <v/>
      </c>
      <c r="DK29" s="69" t="str">
        <f aca="false">IF($E29="","",IF($M29,IF(AND($G29&gt;=DK$5,$G29&lt;DK$5+GanttPeriod),"◆",IF(AND($E29&gt;=DK$5,$E29&lt;DK$5+GanttPeriod),"◇","")),IF(AND(DK$5&lt;=$F29,DK$5+GanttPeriod-1&gt;=$E29),"━","")))</f>
        <v/>
      </c>
      <c r="DL29" s="69" t="str">
        <f aca="false">IF($E29="","",IF($M29,IF(AND($G29&gt;=DL$5,$G29&lt;DL$5+GanttPeriod),"◆",IF(AND($E29&gt;=DL$5,$E29&lt;DL$5+GanttPeriod),"◇","")),IF(AND(DL$5&lt;=$F29,DL$5+GanttPeriod-1&gt;=$E29),"━","")))</f>
        <v/>
      </c>
      <c r="DM29" s="69" t="str">
        <f aca="false">IF($E29="","",IF($M29,IF(AND($G29&gt;=DM$5,$G29&lt;DM$5+GanttPeriod),"◆",IF(AND($E29&gt;=DM$5,$E29&lt;DM$5+GanttPeriod),"◇","")),IF(AND(DM$5&lt;=$F29,DM$5+GanttPeriod-1&gt;=$E29),"━","")))</f>
        <v/>
      </c>
      <c r="DN29" s="69" t="str">
        <f aca="false">IF($E29="","",IF($M29,IF(AND($G29&gt;=DN$5,$G29&lt;DN$5+GanttPeriod),"◆",IF(AND($E29&gt;=DN$5,$E29&lt;DN$5+GanttPeriod),"◇","")),IF(AND(DN$5&lt;=$F29,DN$5+GanttPeriod-1&gt;=$E29),"━","")))</f>
        <v/>
      </c>
      <c r="DO29" s="69" t="str">
        <f aca="false">IF($E29="","",IF($M29,IF(AND($G29&gt;=DO$5,$G29&lt;DO$5+GanttPeriod),"◆",IF(AND($E29&gt;=DO$5,$E29&lt;DO$5+GanttPeriod),"◇","")),IF(AND(DO$5&lt;=$F29,DO$5+GanttPeriod-1&gt;=$E29),"━","")))</f>
        <v>━</v>
      </c>
      <c r="DP29" s="69" t="str">
        <f aca="false">IF($E29="","",IF($M29,IF(AND($G29&gt;=DP$5,$G29&lt;DP$5+GanttPeriod),"◆",IF(AND($E29&gt;=DP$5,$E29&lt;DP$5+GanttPeriod),"◇","")),IF(AND(DP$5&lt;=$F29,DP$5+GanttPeriod-1&gt;=$E29),"━","")))</f>
        <v/>
      </c>
      <c r="DQ29" s="69" t="str">
        <f aca="false">IF($E29="","",IF($M29,IF(AND($G29&gt;=DQ$5,$G29&lt;DQ$5+GanttPeriod),"◆",IF(AND($E29&gt;=DQ$5,$E29&lt;DQ$5+GanttPeriod),"◇","")),IF(AND(DQ$5&lt;=$F29,DQ$5+GanttPeriod-1&gt;=$E29),"━","")))</f>
        <v/>
      </c>
      <c r="DR29" s="69" t="str">
        <f aca="false">IF($E29="","",IF($M29,IF(AND($G29&gt;=DR$5,$G29&lt;DR$5+GanttPeriod),"◆",IF(AND($E29&gt;=DR$5,$E29&lt;DR$5+GanttPeriod),"◇","")),IF(AND(DR$5&lt;=$F29,DR$5+GanttPeriod-1&gt;=$E29),"━","")))</f>
        <v/>
      </c>
      <c r="DS29" s="69" t="str">
        <f aca="false">IF($E29="","",IF($M29,IF(AND($G29&gt;=DS$5,$G29&lt;DS$5+GanttPeriod),"◆",IF(AND($E29&gt;=DS$5,$E29&lt;DS$5+GanttPeriod),"◇","")),IF(AND(DS$5&lt;=$F29,DS$5+GanttPeriod-1&gt;=$E29),"━","")))</f>
        <v/>
      </c>
      <c r="DT29" s="69" t="str">
        <f aca="false">IF($E29="","",IF($M29,IF(AND($G29&gt;=DT$5,$G29&lt;DT$5+GanttPeriod),"◆",IF(AND($E29&gt;=DT$5,$E29&lt;DT$5+GanttPeriod),"◇","")),IF(AND(DT$5&lt;=$F29,DT$5+GanttPeriod-1&gt;=$E29),"━","")))</f>
        <v/>
      </c>
      <c r="DU29" s="69" t="str">
        <f aca="false">IF($E29="","",IF($M29,IF(AND($G29&gt;=DU$5,$G29&lt;DU$5+GanttPeriod),"◆",IF(AND($E29&gt;=DU$5,$E29&lt;DU$5+GanttPeriod),"◇","")),IF(AND(DU$5&lt;=$F29,DU$5+GanttPeriod-1&gt;=$E29),"━","")))</f>
        <v/>
      </c>
      <c r="DV29" s="69" t="str">
        <f aca="false">IF($E29="","",IF($M29,IF(AND($G29&gt;=DV$5,$G29&lt;DV$5+GanttPeriod),"◆",IF(AND($E29&gt;=DV$5,$E29&lt;DV$5+GanttPeriod),"◇","")),IF(AND(DV$5&lt;=$F29,DV$5+GanttPeriod-1&gt;=$E29),"━","")))</f>
        <v/>
      </c>
      <c r="DW29" s="69" t="str">
        <f aca="false">IF($E29="","",IF($M29,IF(AND($G29&gt;=DW$5,$G29&lt;DW$5+GanttPeriod),"◆",IF(AND($E29&gt;=DW$5,$E29&lt;DW$5+GanttPeriod),"◇","")),IF(AND(DW$5&lt;=$F29,DW$5+GanttPeriod-1&gt;=$E29),"━","")))</f>
        <v/>
      </c>
      <c r="DX29" s="69" t="str">
        <f aca="false">IF($E29="","",IF($M29,IF(AND($G29&gt;=DX$5,$G29&lt;DX$5+GanttPeriod),"◆",IF(AND($E29&gt;=DX$5,$E29&lt;DX$5+GanttPeriod),"◇","")),IF(AND(DX$5&lt;=$F29,DX$5+GanttPeriod-1&gt;=$E29),"━","")))</f>
        <v/>
      </c>
      <c r="DY29" s="69" t="str">
        <f aca="false">IF($E29="","",IF($M29,IF(AND($G29&gt;=DY$5,$G29&lt;DY$5+GanttPeriod),"◆",IF(AND($E29&gt;=DY$5,$E29&lt;DY$5+GanttPeriod),"◇","")),IF(AND(DY$5&lt;=$F29,DY$5+GanttPeriod-1&gt;=$E29),"━","")))</f>
        <v/>
      </c>
      <c r="DZ29" s="69" t="str">
        <f aca="false">IF($E29="","",IF($M29,IF(AND($G29&gt;=DZ$5,$G29&lt;DZ$5+GanttPeriod),"◆",IF(AND($E29&gt;=DZ$5,$E29&lt;DZ$5+GanttPeriod),"◇","")),IF(AND(DZ$5&lt;=$F29,DZ$5+GanttPeriod-1&gt;=$E29),"━","")))</f>
        <v/>
      </c>
      <c r="EA29" s="69" t="str">
        <f aca="false">IF($E29="","",IF($M29,IF(AND($G29&gt;=EA$5,$G29&lt;EA$5+GanttPeriod),"◆",IF(AND($E29&gt;=EA$5,$E29&lt;EA$5+GanttPeriod),"◇","")),IF(AND(EA$5&lt;=$F29,EA$5+GanttPeriod-1&gt;=$E29),"━","")))</f>
        <v/>
      </c>
      <c r="EB29" s="69" t="str">
        <f aca="false">IF($E29="","",IF($M29,IF(AND($G29&gt;=EB$5,$G29&lt;EB$5+GanttPeriod),"◆",IF(AND($E29&gt;=EB$5,$E29&lt;EB$5+GanttPeriod),"◇","")),IF(AND(EB$5&lt;=$F29,EB$5+GanttPeriod-1&gt;=$E29),"━","")))</f>
        <v/>
      </c>
      <c r="EC29" s="69" t="str">
        <f aca="false">IF($E29="","",IF($M29,IF(AND($G29&gt;=EC$5,$G29&lt;EC$5+GanttPeriod),"◆",IF(AND($E29&gt;=EC$5,$E29&lt;EC$5+GanttPeriod),"◇","")),IF(AND(EC$5&lt;=$F29,EC$5+GanttPeriod-1&gt;=$E29),"━","")))</f>
        <v/>
      </c>
      <c r="ED29" s="69" t="str">
        <f aca="false">IF($E29="","",IF($M29,IF(AND($G29&gt;=ED$5,$G29&lt;ED$5+GanttPeriod),"◆",IF(AND($E29&gt;=ED$5,$E29&lt;ED$5+GanttPeriod),"◇","")),IF(AND(ED$5&lt;=$F29,ED$5+GanttPeriod-1&gt;=$E29),"━","")))</f>
        <v/>
      </c>
      <c r="EE29" s="69" t="str">
        <f aca="false">IF($E29="","",IF($M29,IF(AND($G29&gt;=EE$5,$G29&lt;EE$5+GanttPeriod),"◆",IF(AND($E29&gt;=EE$5,$E29&lt;EE$5+GanttPeriod),"◇","")),IF(AND(EE$5&lt;=$F29,EE$5+GanttPeriod-1&gt;=$E29),"━","")))</f>
        <v/>
      </c>
      <c r="EF29" s="69" t="str">
        <f aca="false">IF($E29="","",IF($M29,IF(AND($G29&gt;=EF$5,$G29&lt;EF$5+GanttPeriod),"◆",IF(AND($E29&gt;=EF$5,$E29&lt;EF$5+GanttPeriod),"◇","")),IF(AND(EF$5&lt;=$F29,EF$5+GanttPeriod-1&gt;=$E29),"━","")))</f>
        <v/>
      </c>
      <c r="EG29" s="69" t="str">
        <f aca="false">IF($E29="","",IF($M29,IF(AND($G29&gt;=EG$5,$G29&lt;EG$5+GanttPeriod),"◆",IF(AND($E29&gt;=EG$5,$E29&lt;EG$5+GanttPeriod),"◇","")),IF(AND(EG$5&lt;=$F29,EG$5+GanttPeriod-1&gt;=$E29),"━","")))</f>
        <v/>
      </c>
      <c r="EH29" s="69" t="str">
        <f aca="false">IF($E29="","",IF($M29,IF(AND($G29&gt;=EH$5,$G29&lt;EH$5+GanttPeriod),"◆",IF(AND($E29&gt;=EH$5,$E29&lt;EH$5+GanttPeriod),"◇","")),IF(AND(EH$5&lt;=$F29,EH$5+GanttPeriod-1&gt;=$E29),"━","")))</f>
        <v/>
      </c>
      <c r="EI29" s="69" t="str">
        <f aca="false">IF($E29="","",IF($M29,IF(AND($G29&gt;=EI$5,$G29&lt;EI$5+GanttPeriod),"◆",IF(AND($E29&gt;=EI$5,$E29&lt;EI$5+GanttPeriod),"◇","")),IF(AND(EI$5&lt;=$F29,EI$5+GanttPeriod-1&gt;=$E29),"━","")))</f>
        <v/>
      </c>
      <c r="EJ29" s="69" t="str">
        <f aca="false">IF($E29="","",IF($M29,IF(AND($G29&gt;=EJ$5,$G29&lt;EJ$5+GanttPeriod),"◆",IF(AND($E29&gt;=EJ$5,$E29&lt;EJ$5+GanttPeriod),"◇","")),IF(AND(EJ$5&lt;=$F29,EJ$5+GanttPeriod-1&gt;=$E29),"━","")))</f>
        <v/>
      </c>
      <c r="EK29" s="69" t="str">
        <f aca="false">IF($E29="","",IF($M29,IF(AND($G29&gt;=EK$5,$G29&lt;EK$5+GanttPeriod),"◆",IF(AND($E29&gt;=EK$5,$E29&lt;EK$5+GanttPeriod),"◇","")),IF(AND(EK$5&lt;=$F29,EK$5+GanttPeriod-1&gt;=$E29),"━","")))</f>
        <v/>
      </c>
      <c r="EL29" s="69" t="str">
        <f aca="false">IF($E29="","",IF($M29,IF(AND($G29&gt;=EL$5,$G29&lt;EL$5+GanttPeriod),"◆",IF(AND($E29&gt;=EL$5,$E29&lt;EL$5+GanttPeriod),"◇","")),IF(AND(EL$5&lt;=$F29,EL$5+GanttPeriod-1&gt;=$E29),"━","")))</f>
        <v/>
      </c>
      <c r="EM29" s="69" t="str">
        <f aca="false">IF($E29="","",IF($M29,IF(AND($G29&gt;=EM$5,$G29&lt;EM$5+GanttPeriod),"◆",IF(AND($E29&gt;=EM$5,$E29&lt;EM$5+GanttPeriod),"◇","")),IF(AND(EM$5&lt;=$F29,EM$5+GanttPeriod-1&gt;=$E29),"━","")))</f>
        <v/>
      </c>
      <c r="EN29" s="69" t="str">
        <f aca="false">IF($E29="","",IF($M29,IF(AND($G29&gt;=EN$5,$G29&lt;EN$5+GanttPeriod),"◆",IF(AND($E29&gt;=EN$5,$E29&lt;EN$5+GanttPeriod),"◇","")),IF(AND(EN$5&lt;=$F29,EN$5+GanttPeriod-1&gt;=$E29),"━","")))</f>
        <v/>
      </c>
      <c r="EO29" s="69" t="str">
        <f aca="false">IF($E29="","",IF($M29,IF(AND($G29&gt;=EO$5,$G29&lt;EO$5+GanttPeriod),"◆",IF(AND($E29&gt;=EO$5,$E29&lt;EO$5+GanttPeriod),"◇","")),IF(AND(EO$5&lt;=$F29,EO$5+GanttPeriod-1&gt;=$E29),"━","")))</f>
        <v/>
      </c>
      <c r="EP29" s="69" t="str">
        <f aca="false">IF($E29="","",IF($M29,IF(AND($G29&gt;=EP$5,$G29&lt;EP$5+GanttPeriod),"◆",IF(AND($E29&gt;=EP$5,$E29&lt;EP$5+GanttPeriod),"◇","")),IF(AND(EP$5&lt;=$F29,EP$5+GanttPeriod-1&gt;=$E29),"━","")))</f>
        <v/>
      </c>
      <c r="EQ29" s="69" t="str">
        <f aca="false">IF($E29="","",IF($M29,IF(AND($G29&gt;=EQ$5,$G29&lt;EQ$5+GanttPeriod),"◆",IF(AND($E29&gt;=EQ$5,$E29&lt;EQ$5+GanttPeriod),"◇","")),IF(AND(EQ$5&lt;=$F29,EQ$5+GanttPeriod-1&gt;=$E29),"━","")))</f>
        <v/>
      </c>
      <c r="ER29" s="69" t="str">
        <f aca="false">IF($E29="","",IF($M29,IF(AND($G29&gt;=ER$5,$G29&lt;ER$5+GanttPeriod),"◆",IF(AND($E29&gt;=ER$5,$E29&lt;ER$5+GanttPeriod),"◇","")),IF(AND(ER$5&lt;=$F29,ER$5+GanttPeriod-1&gt;=$E29),"━","")))</f>
        <v/>
      </c>
      <c r="ES29" s="69" t="str">
        <f aca="false">IF($E29="","",IF($M29,IF(AND($G29&gt;=ES$5,$G29&lt;ES$5+GanttPeriod),"◆",IF(AND($E29&gt;=ES$5,$E29&lt;ES$5+GanttPeriod),"◇","")),IF(AND(ES$5&lt;=$F29,ES$5+GanttPeriod-1&gt;=$E29),"━","")))</f>
        <v/>
      </c>
      <c r="ET29" s="69" t="str">
        <f aca="false">IF($E29="","",IF($M29,IF(AND($G29&gt;=ET$5,$G29&lt;ET$5+GanttPeriod),"◆",IF(AND($E29&gt;=ET$5,$E29&lt;ET$5+GanttPeriod),"◇","")),IF(AND(ET$5&lt;=$F29,ET$5+GanttPeriod-1&gt;=$E29),"━","")))</f>
        <v/>
      </c>
      <c r="EU29" s="69" t="str">
        <f aca="false">IF($E29="","",IF($M29,IF(AND($G29&gt;=EU$5,$G29&lt;EU$5+GanttPeriod),"◆",IF(AND($E29&gt;=EU$5,$E29&lt;EU$5+GanttPeriod),"◇","")),IF(AND(EU$5&lt;=$F29,EU$5+GanttPeriod-1&gt;=$E29),"━","")))</f>
        <v/>
      </c>
      <c r="EV29" s="69" t="str">
        <f aca="false">IF($E29="","",IF($M29,IF(AND($G29&gt;=EV$5,$G29&lt;EV$5+GanttPeriod),"◆",IF(AND($E29&gt;=EV$5,$E29&lt;EV$5+GanttPeriod),"◇","")),IF(AND(EV$5&lt;=$F29,EV$5+GanttPeriod-1&gt;=$E29),"━","")))</f>
        <v/>
      </c>
      <c r="EW29" s="69" t="str">
        <f aca="false">IF($E29="","",IF($M29,IF(AND($G29&gt;=EW$5,$G29&lt;EW$5+GanttPeriod),"◆",IF(AND($E29&gt;=EW$5,$E29&lt;EW$5+GanttPeriod),"◇","")),IF(AND(EW$5&lt;=$F29,EW$5+GanttPeriod-1&gt;=$E29),"━","")))</f>
        <v/>
      </c>
      <c r="EX29" s="69" t="str">
        <f aca="false">IF($E29="","",IF($M29,IF(AND($G29&gt;=EX$5,$G29&lt;EX$5+GanttPeriod),"◆",IF(AND($E29&gt;=EX$5,$E29&lt;EX$5+GanttPeriod),"◇","")),IF(AND(EX$5&lt;=$F29,EX$5+GanttPeriod-1&gt;=$E29),"━","")))</f>
        <v/>
      </c>
      <c r="EY29" s="69" t="str">
        <f aca="false">IF($E29="","",IF($M29,IF(AND($G29&gt;=EY$5,$G29&lt;EY$5+GanttPeriod),"◆",IF(AND($E29&gt;=EY$5,$E29&lt;EY$5+GanttPeriod),"◇","")),IF(AND(EY$5&lt;=$F29,EY$5+GanttPeriod-1&gt;=$E29),"━","")))</f>
        <v/>
      </c>
      <c r="EZ29" s="69" t="str">
        <f aca="false">IF($E29="","",IF($M29,IF(AND($G29&gt;=EZ$5,$G29&lt;EZ$5+GanttPeriod),"◆",IF(AND($E29&gt;=EZ$5,$E29&lt;EZ$5+GanttPeriod),"◇","")),IF(AND(EZ$5&lt;=$F29,EZ$5+GanttPeriod-1&gt;=$E29),"━","")))</f>
        <v/>
      </c>
      <c r="FA29" s="69" t="str">
        <f aca="false">IF($E29="","",IF($M29,IF(AND($G29&gt;=FA$5,$G29&lt;FA$5+GanttPeriod),"◆",IF(AND($E29&gt;=FA$5,$E29&lt;FA$5+GanttPeriod),"◇","")),IF(AND(FA$5&lt;=$F29,FA$5+GanttPeriod-1&gt;=$E29),"━","")))</f>
        <v/>
      </c>
      <c r="FB29" s="69" t="str">
        <f aca="false">IF($E29="","",IF($M29,IF(AND($G29&gt;=FB$5,$G29&lt;FB$5+GanttPeriod),"◆",IF(AND($E29&gt;=FB$5,$E29&lt;FB$5+GanttPeriod),"◇","")),IF(AND(FB$5&lt;=$F29,FB$5+GanttPeriod-1&gt;=$E29),"━","")))</f>
        <v/>
      </c>
      <c r="FC29" s="69" t="str">
        <f aca="false">IF($E29="","",IF($M29,IF(AND($G29&gt;=FC$5,$G29&lt;FC$5+GanttPeriod),"◆",IF(AND($E29&gt;=FC$5,$E29&lt;FC$5+GanttPeriod),"◇","")),IF(AND(FC$5&lt;=$F29,FC$5+GanttPeriod-1&gt;=$E29),"━","")))</f>
        <v/>
      </c>
      <c r="FD29" s="69" t="str">
        <f aca="false">IF($E29="","",IF($M29,IF(AND($G29&gt;=FD$5,$G29&lt;FD$5+GanttPeriod),"◆",IF(AND($E29&gt;=FD$5,$E29&lt;FD$5+GanttPeriod),"◇","")),IF(AND(FD$5&lt;=$F29,FD$5+GanttPeriod-1&gt;=$E29),"━","")))</f>
        <v/>
      </c>
      <c r="FE29" s="69" t="str">
        <f aca="false">IF($E29="","",IF($M29,IF(AND($G29&gt;=FE$5,$G29&lt;FE$5+GanttPeriod),"◆",IF(AND($E29&gt;=FE$5,$E29&lt;FE$5+GanttPeriod),"◇","")),IF(AND(FE$5&lt;=$F29,FE$5+GanttPeriod-1&gt;=$E29),"━","")))</f>
        <v/>
      </c>
      <c r="FF29" s="69" t="str">
        <f aca="false">IF($E29="","",IF($M29,IF(AND($G29&gt;=FF$5,$G29&lt;FF$5+GanttPeriod),"◆",IF(AND($E29&gt;=FF$5,$E29&lt;FF$5+GanttPeriod),"◇","")),IF(AND(FF$5&lt;=$F29,FF$5+GanttPeriod-1&gt;=$E29),"━","")))</f>
        <v/>
      </c>
      <c r="FG29" s="69" t="str">
        <f aca="false">IF($E29="","",IF($M29,IF(AND($G29&gt;=FG$5,$G29&lt;FG$5+GanttPeriod),"◆",IF(AND($E29&gt;=FG$5,$E29&lt;FG$5+GanttPeriod),"◇","")),IF(AND(FG$5&lt;=$F29,FG$5+GanttPeriod-1&gt;=$E29),"━","")))</f>
        <v/>
      </c>
      <c r="FH29" s="69" t="str">
        <f aca="false">IF($E29="","",IF($M29,IF(AND($G29&gt;=FH$5,$G29&lt;FH$5+GanttPeriod),"◆",IF(AND($E29&gt;=FH$5,$E29&lt;FH$5+GanttPeriod),"◇","")),IF(AND(FH$5&lt;=$F29,FH$5+GanttPeriod-1&gt;=$E29),"━","")))</f>
        <v/>
      </c>
      <c r="FI29" s="69" t="str">
        <f aca="false">IF($E29="","",IF($M29,IF(AND($G29&gt;=FI$5,$G29&lt;FI$5+GanttPeriod),"◆",IF(AND($E29&gt;=FI$5,$E29&lt;FI$5+GanttPeriod),"◇","")),IF(AND(FI$5&lt;=$F29,FI$5+GanttPeriod-1&gt;=$E29),"━","")))</f>
        <v/>
      </c>
      <c r="FJ29" s="69" t="str">
        <f aca="false">IF($E29="","",IF($M29,IF(AND($G29&gt;=FJ$5,$G29&lt;FJ$5+GanttPeriod),"◆",IF(AND($E29&gt;=FJ$5,$E29&lt;FJ$5+GanttPeriod),"◇","")),IF(AND(FJ$5&lt;=$F29,FJ$5+GanttPeriod-1&gt;=$E29),"━","")))</f>
        <v/>
      </c>
      <c r="FK29" s="69" t="str">
        <f aca="false">IF($E29="","",IF($M29,IF(AND($G29&gt;=FK$5,$G29&lt;FK$5+GanttPeriod),"◆",IF(AND($E29&gt;=FK$5,$E29&lt;FK$5+GanttPeriod),"◇","")),IF(AND(FK$5&lt;=$F29,FK$5+GanttPeriod-1&gt;=$E29),"━","")))</f>
        <v/>
      </c>
      <c r="FL29" s="69" t="str">
        <f aca="false">IF($E29="","",IF($M29,IF(AND($G29&gt;=FL$5,$G29&lt;FL$5+GanttPeriod),"◆",IF(AND($E29&gt;=FL$5,$E29&lt;FL$5+GanttPeriod),"◇","")),IF(AND(FL$5&lt;=$F29,FL$5+GanttPeriod-1&gt;=$E29),"━","")))</f>
        <v/>
      </c>
      <c r="FM29" s="69" t="str">
        <f aca="false">IF($E29="","",IF($M29,IF(AND($G29&gt;=FM$5,$G29&lt;FM$5+GanttPeriod),"◆",IF(AND($E29&gt;=FM$5,$E29&lt;FM$5+GanttPeriod),"◇","")),IF(AND(FM$5&lt;=$F29,FM$5+GanttPeriod-1&gt;=$E29),"━","")))</f>
        <v/>
      </c>
    </row>
    <row r="30" customFormat="false" ht="15" hidden="false" customHeight="false" outlineLevel="0" collapsed="false">
      <c r="A30" s="62" t="n">
        <f aca="false">IF(Tasks!$D30="","",Tasks!$A30)</f>
        <v>25</v>
      </c>
      <c r="B30" s="62" t="str">
        <f aca="false">IF(Tasks!$D30="","",Tasks!$B30)</f>
        <v>4.5</v>
      </c>
      <c r="C30" s="63" t="str">
        <f aca="false">IF(Tasks!$D30="","",REPT("    ",Tasks!$AE30-1)&amp;Tasks!$D30)</f>
        <v>    Go-live</v>
      </c>
      <c r="D30" s="62" t="n">
        <f aca="false">IF(Tasks!$D30="","",IF(Tasks!$AI30,NETWORKDAYS.INTL(Tasks!$R30,Tasks!$S30,WorkWeek,Holidays),N(Tasks!$F30)))</f>
        <v>0</v>
      </c>
      <c r="E30" s="64" t="n">
        <f aca="false">IF(Tasks!$D30="","",Tasks!$N30)</f>
        <v>46371</v>
      </c>
      <c r="F30" s="64" t="n">
        <f aca="false">IF(Tasks!$D30="","",Tasks!$O30)</f>
        <v>46371</v>
      </c>
      <c r="G30" s="64" t="n">
        <f aca="false">IF(Tasks!$D30="","",Tasks!$R30)</f>
        <v>46371</v>
      </c>
      <c r="H30" s="64" t="n">
        <f aca="false">IF(Tasks!$D30="","",Tasks!$S30)</f>
        <v>46371</v>
      </c>
      <c r="I30" s="65" t="n">
        <f aca="false">IF(Tasks!$D30="","",Tasks!$V30)</f>
        <v>0</v>
      </c>
      <c r="J30" s="63" t="str">
        <f aca="false">IF(Tasks!$D30="","",Tasks!$X30&amp;"")</f>
        <v/>
      </c>
      <c r="K30" s="66" t="str">
        <f aca="false">IF(Tasks!$D30="","",Tasks!$W30)</f>
        <v>Not Started</v>
      </c>
      <c r="L30" s="67" t="b">
        <f aca="false">IF(Tasks!$D30="",FALSE(),Tasks!$AI30)</f>
        <v>0</v>
      </c>
      <c r="M30" s="67" t="b">
        <f aca="false">AND(Tasks!$AJ30=1,N(Tasks!$F30)=0)</f>
        <v>1</v>
      </c>
      <c r="N30" s="68" t="n">
        <f aca="false">IF(AND(Tasks!$AJ30=1,NOT($M30),N($I30)&gt;0),$G30,0)</f>
        <v>0</v>
      </c>
      <c r="O30" s="68" t="n">
        <f aca="false">IF($N30=0,0,IF($I30&gt;=1,$H30,MAX($N30,$G30+ROUND(($H30-$G30+1)*$I30,0)-1)))</f>
        <v>0</v>
      </c>
      <c r="P30" s="68" t="n">
        <f aca="false">IF(OR(Tasks!$AJ30&lt;&gt;1,$M30,N($I30)&gt;=1),0,IF($O30&gt;0,$O30+1,$G30))</f>
        <v>0</v>
      </c>
      <c r="Q30" s="68" t="n">
        <f aca="false">IF($P30=0,0,$H30)</f>
        <v>0</v>
      </c>
      <c r="R30" s="67" t="b">
        <f aca="false">AND(Tasks!$D30&lt;&gt;"",N(Tasks!$T30)&gt;0)</f>
        <v>0</v>
      </c>
      <c r="T30" s="69" t="str">
        <f aca="false">IF($E30="","",IF($M30,IF(AND($G30&gt;=T$5,$G30&lt;T$5+GanttPeriod),"◆",IF(AND($E30&gt;=T$5,$E30&lt;T$5+GanttPeriod),"◇","")),IF(AND(T$5&lt;=$F30,T$5+GanttPeriod-1&gt;=$E30),"━","")))</f>
        <v/>
      </c>
      <c r="U30" s="69" t="str">
        <f aca="false">IF($E30="","",IF($M30,IF(AND($G30&gt;=U$5,$G30&lt;U$5+GanttPeriod),"◆",IF(AND($E30&gt;=U$5,$E30&lt;U$5+GanttPeriod),"◇","")),IF(AND(U$5&lt;=$F30,U$5+GanttPeriod-1&gt;=$E30),"━","")))</f>
        <v/>
      </c>
      <c r="V30" s="69" t="str">
        <f aca="false">IF($E30="","",IF($M30,IF(AND($G30&gt;=V$5,$G30&lt;V$5+GanttPeriod),"◆",IF(AND($E30&gt;=V$5,$E30&lt;V$5+GanttPeriod),"◇","")),IF(AND(V$5&lt;=$F30,V$5+GanttPeriod-1&gt;=$E30),"━","")))</f>
        <v/>
      </c>
      <c r="W30" s="69" t="str">
        <f aca="false">IF($E30="","",IF($M30,IF(AND($G30&gt;=W$5,$G30&lt;W$5+GanttPeriod),"◆",IF(AND($E30&gt;=W$5,$E30&lt;W$5+GanttPeriod),"◇","")),IF(AND(W$5&lt;=$F30,W$5+GanttPeriod-1&gt;=$E30),"━","")))</f>
        <v/>
      </c>
      <c r="X30" s="69" t="str">
        <f aca="false">IF($E30="","",IF($M30,IF(AND($G30&gt;=X$5,$G30&lt;X$5+GanttPeriod),"◆",IF(AND($E30&gt;=X$5,$E30&lt;X$5+GanttPeriod),"◇","")),IF(AND(X$5&lt;=$F30,X$5+GanttPeriod-1&gt;=$E30),"━","")))</f>
        <v/>
      </c>
      <c r="Y30" s="69" t="str">
        <f aca="false">IF($E30="","",IF($M30,IF(AND($G30&gt;=Y$5,$G30&lt;Y$5+GanttPeriod),"◆",IF(AND($E30&gt;=Y$5,$E30&lt;Y$5+GanttPeriod),"◇","")),IF(AND(Y$5&lt;=$F30,Y$5+GanttPeriod-1&gt;=$E30),"━","")))</f>
        <v/>
      </c>
      <c r="Z30" s="69" t="str">
        <f aca="false">IF($E30="","",IF($M30,IF(AND($G30&gt;=Z$5,$G30&lt;Z$5+GanttPeriod),"◆",IF(AND($E30&gt;=Z$5,$E30&lt;Z$5+GanttPeriod),"◇","")),IF(AND(Z$5&lt;=$F30,Z$5+GanttPeriod-1&gt;=$E30),"━","")))</f>
        <v/>
      </c>
      <c r="AA30" s="69" t="str">
        <f aca="false">IF($E30="","",IF($M30,IF(AND($G30&gt;=AA$5,$G30&lt;AA$5+GanttPeriod),"◆",IF(AND($E30&gt;=AA$5,$E30&lt;AA$5+GanttPeriod),"◇","")),IF(AND(AA$5&lt;=$F30,AA$5+GanttPeriod-1&gt;=$E30),"━","")))</f>
        <v/>
      </c>
      <c r="AB30" s="69" t="str">
        <f aca="false">IF($E30="","",IF($M30,IF(AND($G30&gt;=AB$5,$G30&lt;AB$5+GanttPeriod),"◆",IF(AND($E30&gt;=AB$5,$E30&lt;AB$5+GanttPeriod),"◇","")),IF(AND(AB$5&lt;=$F30,AB$5+GanttPeriod-1&gt;=$E30),"━","")))</f>
        <v/>
      </c>
      <c r="AC30" s="69" t="str">
        <f aca="false">IF($E30="","",IF($M30,IF(AND($G30&gt;=AC$5,$G30&lt;AC$5+GanttPeriod),"◆",IF(AND($E30&gt;=AC$5,$E30&lt;AC$5+GanttPeriod),"◇","")),IF(AND(AC$5&lt;=$F30,AC$5+GanttPeriod-1&gt;=$E30),"━","")))</f>
        <v/>
      </c>
      <c r="AD30" s="69" t="str">
        <f aca="false">IF($E30="","",IF($M30,IF(AND($G30&gt;=AD$5,$G30&lt;AD$5+GanttPeriod),"◆",IF(AND($E30&gt;=AD$5,$E30&lt;AD$5+GanttPeriod),"◇","")),IF(AND(AD$5&lt;=$F30,AD$5+GanttPeriod-1&gt;=$E30),"━","")))</f>
        <v/>
      </c>
      <c r="AE30" s="69" t="str">
        <f aca="false">IF($E30="","",IF($M30,IF(AND($G30&gt;=AE$5,$G30&lt;AE$5+GanttPeriod),"◆",IF(AND($E30&gt;=AE$5,$E30&lt;AE$5+GanttPeriod),"◇","")),IF(AND(AE$5&lt;=$F30,AE$5+GanttPeriod-1&gt;=$E30),"━","")))</f>
        <v/>
      </c>
      <c r="AF30" s="69" t="str">
        <f aca="false">IF($E30="","",IF($M30,IF(AND($G30&gt;=AF$5,$G30&lt;AF$5+GanttPeriod),"◆",IF(AND($E30&gt;=AF$5,$E30&lt;AF$5+GanttPeriod),"◇","")),IF(AND(AF$5&lt;=$F30,AF$5+GanttPeriod-1&gt;=$E30),"━","")))</f>
        <v/>
      </c>
      <c r="AG30" s="69" t="str">
        <f aca="false">IF($E30="","",IF($M30,IF(AND($G30&gt;=AG$5,$G30&lt;AG$5+GanttPeriod),"◆",IF(AND($E30&gt;=AG$5,$E30&lt;AG$5+GanttPeriod),"◇","")),IF(AND(AG$5&lt;=$F30,AG$5+GanttPeriod-1&gt;=$E30),"━","")))</f>
        <v/>
      </c>
      <c r="AH30" s="69" t="str">
        <f aca="false">IF($E30="","",IF($M30,IF(AND($G30&gt;=AH$5,$G30&lt;AH$5+GanttPeriod),"◆",IF(AND($E30&gt;=AH$5,$E30&lt;AH$5+GanttPeriod),"◇","")),IF(AND(AH$5&lt;=$F30,AH$5+GanttPeriod-1&gt;=$E30),"━","")))</f>
        <v/>
      </c>
      <c r="AI30" s="69" t="str">
        <f aca="false">IF($E30="","",IF($M30,IF(AND($G30&gt;=AI$5,$G30&lt;AI$5+GanttPeriod),"◆",IF(AND($E30&gt;=AI$5,$E30&lt;AI$5+GanttPeriod),"◇","")),IF(AND(AI$5&lt;=$F30,AI$5+GanttPeriod-1&gt;=$E30),"━","")))</f>
        <v/>
      </c>
      <c r="AJ30" s="69" t="str">
        <f aca="false">IF($E30="","",IF($M30,IF(AND($G30&gt;=AJ$5,$G30&lt;AJ$5+GanttPeriod),"◆",IF(AND($E30&gt;=AJ$5,$E30&lt;AJ$5+GanttPeriod),"◇","")),IF(AND(AJ$5&lt;=$F30,AJ$5+GanttPeriod-1&gt;=$E30),"━","")))</f>
        <v/>
      </c>
      <c r="AK30" s="69" t="str">
        <f aca="false">IF($E30="","",IF($M30,IF(AND($G30&gt;=AK$5,$G30&lt;AK$5+GanttPeriod),"◆",IF(AND($E30&gt;=AK$5,$E30&lt;AK$5+GanttPeriod),"◇","")),IF(AND(AK$5&lt;=$F30,AK$5+GanttPeriod-1&gt;=$E30),"━","")))</f>
        <v/>
      </c>
      <c r="AL30" s="69" t="str">
        <f aca="false">IF($E30="","",IF($M30,IF(AND($G30&gt;=AL$5,$G30&lt;AL$5+GanttPeriod),"◆",IF(AND($E30&gt;=AL$5,$E30&lt;AL$5+GanttPeriod),"◇","")),IF(AND(AL$5&lt;=$F30,AL$5+GanttPeriod-1&gt;=$E30),"━","")))</f>
        <v/>
      </c>
      <c r="AM30" s="69" t="str">
        <f aca="false">IF($E30="","",IF($M30,IF(AND($G30&gt;=AM$5,$G30&lt;AM$5+GanttPeriod),"◆",IF(AND($E30&gt;=AM$5,$E30&lt;AM$5+GanttPeriod),"◇","")),IF(AND(AM$5&lt;=$F30,AM$5+GanttPeriod-1&gt;=$E30),"━","")))</f>
        <v/>
      </c>
      <c r="AN30" s="69" t="str">
        <f aca="false">IF($E30="","",IF($M30,IF(AND($G30&gt;=AN$5,$G30&lt;AN$5+GanttPeriod),"◆",IF(AND($E30&gt;=AN$5,$E30&lt;AN$5+GanttPeriod),"◇","")),IF(AND(AN$5&lt;=$F30,AN$5+GanttPeriod-1&gt;=$E30),"━","")))</f>
        <v/>
      </c>
      <c r="AO30" s="69" t="str">
        <f aca="false">IF($E30="","",IF($M30,IF(AND($G30&gt;=AO$5,$G30&lt;AO$5+GanttPeriod),"◆",IF(AND($E30&gt;=AO$5,$E30&lt;AO$5+GanttPeriod),"◇","")),IF(AND(AO$5&lt;=$F30,AO$5+GanttPeriod-1&gt;=$E30),"━","")))</f>
        <v/>
      </c>
      <c r="AP30" s="69" t="str">
        <f aca="false">IF($E30="","",IF($M30,IF(AND($G30&gt;=AP$5,$G30&lt;AP$5+GanttPeriod),"◆",IF(AND($E30&gt;=AP$5,$E30&lt;AP$5+GanttPeriod),"◇","")),IF(AND(AP$5&lt;=$F30,AP$5+GanttPeriod-1&gt;=$E30),"━","")))</f>
        <v/>
      </c>
      <c r="AQ30" s="69" t="str">
        <f aca="false">IF($E30="","",IF($M30,IF(AND($G30&gt;=AQ$5,$G30&lt;AQ$5+GanttPeriod),"◆",IF(AND($E30&gt;=AQ$5,$E30&lt;AQ$5+GanttPeriod),"◇","")),IF(AND(AQ$5&lt;=$F30,AQ$5+GanttPeriod-1&gt;=$E30),"━","")))</f>
        <v/>
      </c>
      <c r="AR30" s="69" t="str">
        <f aca="false">IF($E30="","",IF($M30,IF(AND($G30&gt;=AR$5,$G30&lt;AR$5+GanttPeriod),"◆",IF(AND($E30&gt;=AR$5,$E30&lt;AR$5+GanttPeriod),"◇","")),IF(AND(AR$5&lt;=$F30,AR$5+GanttPeriod-1&gt;=$E30),"━","")))</f>
        <v/>
      </c>
      <c r="AS30" s="69" t="str">
        <f aca="false">IF($E30="","",IF($M30,IF(AND($G30&gt;=AS$5,$G30&lt;AS$5+GanttPeriod),"◆",IF(AND($E30&gt;=AS$5,$E30&lt;AS$5+GanttPeriod),"◇","")),IF(AND(AS$5&lt;=$F30,AS$5+GanttPeriod-1&gt;=$E30),"━","")))</f>
        <v/>
      </c>
      <c r="AT30" s="69" t="str">
        <f aca="false">IF($E30="","",IF($M30,IF(AND($G30&gt;=AT$5,$G30&lt;AT$5+GanttPeriod),"◆",IF(AND($E30&gt;=AT$5,$E30&lt;AT$5+GanttPeriod),"◇","")),IF(AND(AT$5&lt;=$F30,AT$5+GanttPeriod-1&gt;=$E30),"━","")))</f>
        <v/>
      </c>
      <c r="AU30" s="69" t="str">
        <f aca="false">IF($E30="","",IF($M30,IF(AND($G30&gt;=AU$5,$G30&lt;AU$5+GanttPeriod),"◆",IF(AND($E30&gt;=AU$5,$E30&lt;AU$5+GanttPeriod),"◇","")),IF(AND(AU$5&lt;=$F30,AU$5+GanttPeriod-1&gt;=$E30),"━","")))</f>
        <v/>
      </c>
      <c r="AV30" s="69" t="str">
        <f aca="false">IF($E30="","",IF($M30,IF(AND($G30&gt;=AV$5,$G30&lt;AV$5+GanttPeriod),"◆",IF(AND($E30&gt;=AV$5,$E30&lt;AV$5+GanttPeriod),"◇","")),IF(AND(AV$5&lt;=$F30,AV$5+GanttPeriod-1&gt;=$E30),"━","")))</f>
        <v/>
      </c>
      <c r="AW30" s="69" t="str">
        <f aca="false">IF($E30="","",IF($M30,IF(AND($G30&gt;=AW$5,$G30&lt;AW$5+GanttPeriod),"◆",IF(AND($E30&gt;=AW$5,$E30&lt;AW$5+GanttPeriod),"◇","")),IF(AND(AW$5&lt;=$F30,AW$5+GanttPeriod-1&gt;=$E30),"━","")))</f>
        <v/>
      </c>
      <c r="AX30" s="69" t="str">
        <f aca="false">IF($E30="","",IF($M30,IF(AND($G30&gt;=AX$5,$G30&lt;AX$5+GanttPeriod),"◆",IF(AND($E30&gt;=AX$5,$E30&lt;AX$5+GanttPeriod),"◇","")),IF(AND(AX$5&lt;=$F30,AX$5+GanttPeriod-1&gt;=$E30),"━","")))</f>
        <v/>
      </c>
      <c r="AY30" s="69" t="str">
        <f aca="false">IF($E30="","",IF($M30,IF(AND($G30&gt;=AY$5,$G30&lt;AY$5+GanttPeriod),"◆",IF(AND($E30&gt;=AY$5,$E30&lt;AY$5+GanttPeriod),"◇","")),IF(AND(AY$5&lt;=$F30,AY$5+GanttPeriod-1&gt;=$E30),"━","")))</f>
        <v/>
      </c>
      <c r="AZ30" s="69" t="str">
        <f aca="false">IF($E30="","",IF($M30,IF(AND($G30&gt;=AZ$5,$G30&lt;AZ$5+GanttPeriod),"◆",IF(AND($E30&gt;=AZ$5,$E30&lt;AZ$5+GanttPeriod),"◇","")),IF(AND(AZ$5&lt;=$F30,AZ$5+GanttPeriod-1&gt;=$E30),"━","")))</f>
        <v/>
      </c>
      <c r="BA30" s="69" t="str">
        <f aca="false">IF($E30="","",IF($M30,IF(AND($G30&gt;=BA$5,$G30&lt;BA$5+GanttPeriod),"◆",IF(AND($E30&gt;=BA$5,$E30&lt;BA$5+GanttPeriod),"◇","")),IF(AND(BA$5&lt;=$F30,BA$5+GanttPeriod-1&gt;=$E30),"━","")))</f>
        <v/>
      </c>
      <c r="BB30" s="69" t="str">
        <f aca="false">IF($E30="","",IF($M30,IF(AND($G30&gt;=BB$5,$G30&lt;BB$5+GanttPeriod),"◆",IF(AND($E30&gt;=BB$5,$E30&lt;BB$5+GanttPeriod),"◇","")),IF(AND(BB$5&lt;=$F30,BB$5+GanttPeriod-1&gt;=$E30),"━","")))</f>
        <v/>
      </c>
      <c r="BC30" s="69" t="str">
        <f aca="false">IF($E30="","",IF($M30,IF(AND($G30&gt;=BC$5,$G30&lt;BC$5+GanttPeriod),"◆",IF(AND($E30&gt;=BC$5,$E30&lt;BC$5+GanttPeriod),"◇","")),IF(AND(BC$5&lt;=$F30,BC$5+GanttPeriod-1&gt;=$E30),"━","")))</f>
        <v/>
      </c>
      <c r="BD30" s="69" t="str">
        <f aca="false">IF($E30="","",IF($M30,IF(AND($G30&gt;=BD$5,$G30&lt;BD$5+GanttPeriod),"◆",IF(AND($E30&gt;=BD$5,$E30&lt;BD$5+GanttPeriod),"◇","")),IF(AND(BD$5&lt;=$F30,BD$5+GanttPeriod-1&gt;=$E30),"━","")))</f>
        <v/>
      </c>
      <c r="BE30" s="69" t="str">
        <f aca="false">IF($E30="","",IF($M30,IF(AND($G30&gt;=BE$5,$G30&lt;BE$5+GanttPeriod),"◆",IF(AND($E30&gt;=BE$5,$E30&lt;BE$5+GanttPeriod),"◇","")),IF(AND(BE$5&lt;=$F30,BE$5+GanttPeriod-1&gt;=$E30),"━","")))</f>
        <v/>
      </c>
      <c r="BF30" s="69" t="str">
        <f aca="false">IF($E30="","",IF($M30,IF(AND($G30&gt;=BF$5,$G30&lt;BF$5+GanttPeriod),"◆",IF(AND($E30&gt;=BF$5,$E30&lt;BF$5+GanttPeriod),"◇","")),IF(AND(BF$5&lt;=$F30,BF$5+GanttPeriod-1&gt;=$E30),"━","")))</f>
        <v/>
      </c>
      <c r="BG30" s="69" t="str">
        <f aca="false">IF($E30="","",IF($M30,IF(AND($G30&gt;=BG$5,$G30&lt;BG$5+GanttPeriod),"◆",IF(AND($E30&gt;=BG$5,$E30&lt;BG$5+GanttPeriod),"◇","")),IF(AND(BG$5&lt;=$F30,BG$5+GanttPeriod-1&gt;=$E30),"━","")))</f>
        <v/>
      </c>
      <c r="BH30" s="69" t="str">
        <f aca="false">IF($E30="","",IF($M30,IF(AND($G30&gt;=BH$5,$G30&lt;BH$5+GanttPeriod),"◆",IF(AND($E30&gt;=BH$5,$E30&lt;BH$5+GanttPeriod),"◇","")),IF(AND(BH$5&lt;=$F30,BH$5+GanttPeriod-1&gt;=$E30),"━","")))</f>
        <v/>
      </c>
      <c r="BI30" s="69" t="str">
        <f aca="false">IF($E30="","",IF($M30,IF(AND($G30&gt;=BI$5,$G30&lt;BI$5+GanttPeriod),"◆",IF(AND($E30&gt;=BI$5,$E30&lt;BI$5+GanttPeriod),"◇","")),IF(AND(BI$5&lt;=$F30,BI$5+GanttPeriod-1&gt;=$E30),"━","")))</f>
        <v/>
      </c>
      <c r="BJ30" s="69" t="str">
        <f aca="false">IF($E30="","",IF($M30,IF(AND($G30&gt;=BJ$5,$G30&lt;BJ$5+GanttPeriod),"◆",IF(AND($E30&gt;=BJ$5,$E30&lt;BJ$5+GanttPeriod),"◇","")),IF(AND(BJ$5&lt;=$F30,BJ$5+GanttPeriod-1&gt;=$E30),"━","")))</f>
        <v/>
      </c>
      <c r="BK30" s="69" t="str">
        <f aca="false">IF($E30="","",IF($M30,IF(AND($G30&gt;=BK$5,$G30&lt;BK$5+GanttPeriod),"◆",IF(AND($E30&gt;=BK$5,$E30&lt;BK$5+GanttPeriod),"◇","")),IF(AND(BK$5&lt;=$F30,BK$5+GanttPeriod-1&gt;=$E30),"━","")))</f>
        <v/>
      </c>
      <c r="BL30" s="69" t="str">
        <f aca="false">IF($E30="","",IF($M30,IF(AND($G30&gt;=BL$5,$G30&lt;BL$5+GanttPeriod),"◆",IF(AND($E30&gt;=BL$5,$E30&lt;BL$5+GanttPeriod),"◇","")),IF(AND(BL$5&lt;=$F30,BL$5+GanttPeriod-1&gt;=$E30),"━","")))</f>
        <v/>
      </c>
      <c r="BM30" s="69" t="str">
        <f aca="false">IF($E30="","",IF($M30,IF(AND($G30&gt;=BM$5,$G30&lt;BM$5+GanttPeriod),"◆",IF(AND($E30&gt;=BM$5,$E30&lt;BM$5+GanttPeriod),"◇","")),IF(AND(BM$5&lt;=$F30,BM$5+GanttPeriod-1&gt;=$E30),"━","")))</f>
        <v/>
      </c>
      <c r="BN30" s="69" t="str">
        <f aca="false">IF($E30="","",IF($M30,IF(AND($G30&gt;=BN$5,$G30&lt;BN$5+GanttPeriod),"◆",IF(AND($E30&gt;=BN$5,$E30&lt;BN$5+GanttPeriod),"◇","")),IF(AND(BN$5&lt;=$F30,BN$5+GanttPeriod-1&gt;=$E30),"━","")))</f>
        <v/>
      </c>
      <c r="BO30" s="69" t="str">
        <f aca="false">IF($E30="","",IF($M30,IF(AND($G30&gt;=BO$5,$G30&lt;BO$5+GanttPeriod),"◆",IF(AND($E30&gt;=BO$5,$E30&lt;BO$5+GanttPeriod),"◇","")),IF(AND(BO$5&lt;=$F30,BO$5+GanttPeriod-1&gt;=$E30),"━","")))</f>
        <v/>
      </c>
      <c r="BP30" s="69" t="str">
        <f aca="false">IF($E30="","",IF($M30,IF(AND($G30&gt;=BP$5,$G30&lt;BP$5+GanttPeriod),"◆",IF(AND($E30&gt;=BP$5,$E30&lt;BP$5+GanttPeriod),"◇","")),IF(AND(BP$5&lt;=$F30,BP$5+GanttPeriod-1&gt;=$E30),"━","")))</f>
        <v/>
      </c>
      <c r="BQ30" s="69" t="str">
        <f aca="false">IF($E30="","",IF($M30,IF(AND($G30&gt;=BQ$5,$G30&lt;BQ$5+GanttPeriod),"◆",IF(AND($E30&gt;=BQ$5,$E30&lt;BQ$5+GanttPeriod),"◇","")),IF(AND(BQ$5&lt;=$F30,BQ$5+GanttPeriod-1&gt;=$E30),"━","")))</f>
        <v/>
      </c>
      <c r="BR30" s="69" t="str">
        <f aca="false">IF($E30="","",IF($M30,IF(AND($G30&gt;=BR$5,$G30&lt;BR$5+GanttPeriod),"◆",IF(AND($E30&gt;=BR$5,$E30&lt;BR$5+GanttPeriod),"◇","")),IF(AND(BR$5&lt;=$F30,BR$5+GanttPeriod-1&gt;=$E30),"━","")))</f>
        <v/>
      </c>
      <c r="BS30" s="69" t="str">
        <f aca="false">IF($E30="","",IF($M30,IF(AND($G30&gt;=BS$5,$G30&lt;BS$5+GanttPeriod),"◆",IF(AND($E30&gt;=BS$5,$E30&lt;BS$5+GanttPeriod),"◇","")),IF(AND(BS$5&lt;=$F30,BS$5+GanttPeriod-1&gt;=$E30),"━","")))</f>
        <v/>
      </c>
      <c r="BT30" s="69" t="str">
        <f aca="false">IF($E30="","",IF($M30,IF(AND($G30&gt;=BT$5,$G30&lt;BT$5+GanttPeriod),"◆",IF(AND($E30&gt;=BT$5,$E30&lt;BT$5+GanttPeriod),"◇","")),IF(AND(BT$5&lt;=$F30,BT$5+GanttPeriod-1&gt;=$E30),"━","")))</f>
        <v/>
      </c>
      <c r="BU30" s="69" t="str">
        <f aca="false">IF($E30="","",IF($M30,IF(AND($G30&gt;=BU$5,$G30&lt;BU$5+GanttPeriod),"◆",IF(AND($E30&gt;=BU$5,$E30&lt;BU$5+GanttPeriod),"◇","")),IF(AND(BU$5&lt;=$F30,BU$5+GanttPeriod-1&gt;=$E30),"━","")))</f>
        <v/>
      </c>
      <c r="BV30" s="69" t="str">
        <f aca="false">IF($E30="","",IF($M30,IF(AND($G30&gt;=BV$5,$G30&lt;BV$5+GanttPeriod),"◆",IF(AND($E30&gt;=BV$5,$E30&lt;BV$5+GanttPeriod),"◇","")),IF(AND(BV$5&lt;=$F30,BV$5+GanttPeriod-1&gt;=$E30),"━","")))</f>
        <v/>
      </c>
      <c r="BW30" s="69" t="str">
        <f aca="false">IF($E30="","",IF($M30,IF(AND($G30&gt;=BW$5,$G30&lt;BW$5+GanttPeriod),"◆",IF(AND($E30&gt;=BW$5,$E30&lt;BW$5+GanttPeriod),"◇","")),IF(AND(BW$5&lt;=$F30,BW$5+GanttPeriod-1&gt;=$E30),"━","")))</f>
        <v/>
      </c>
      <c r="BX30" s="69" t="str">
        <f aca="false">IF($E30="","",IF($M30,IF(AND($G30&gt;=BX$5,$G30&lt;BX$5+GanttPeriod),"◆",IF(AND($E30&gt;=BX$5,$E30&lt;BX$5+GanttPeriod),"◇","")),IF(AND(BX$5&lt;=$F30,BX$5+GanttPeriod-1&gt;=$E30),"━","")))</f>
        <v/>
      </c>
      <c r="BY30" s="69" t="str">
        <f aca="false">IF($E30="","",IF($M30,IF(AND($G30&gt;=BY$5,$G30&lt;BY$5+GanttPeriod),"◆",IF(AND($E30&gt;=BY$5,$E30&lt;BY$5+GanttPeriod),"◇","")),IF(AND(BY$5&lt;=$F30,BY$5+GanttPeriod-1&gt;=$E30),"━","")))</f>
        <v/>
      </c>
      <c r="BZ30" s="69" t="str">
        <f aca="false">IF($E30="","",IF($M30,IF(AND($G30&gt;=BZ$5,$G30&lt;BZ$5+GanttPeriod),"◆",IF(AND($E30&gt;=BZ$5,$E30&lt;BZ$5+GanttPeriod),"◇","")),IF(AND(BZ$5&lt;=$F30,BZ$5+GanttPeriod-1&gt;=$E30),"━","")))</f>
        <v/>
      </c>
      <c r="CA30" s="69" t="str">
        <f aca="false">IF($E30="","",IF($M30,IF(AND($G30&gt;=CA$5,$G30&lt;CA$5+GanttPeriod),"◆",IF(AND($E30&gt;=CA$5,$E30&lt;CA$5+GanttPeriod),"◇","")),IF(AND(CA$5&lt;=$F30,CA$5+GanttPeriod-1&gt;=$E30),"━","")))</f>
        <v/>
      </c>
      <c r="CB30" s="69" t="str">
        <f aca="false">IF($E30="","",IF($M30,IF(AND($G30&gt;=CB$5,$G30&lt;CB$5+GanttPeriod),"◆",IF(AND($E30&gt;=CB$5,$E30&lt;CB$5+GanttPeriod),"◇","")),IF(AND(CB$5&lt;=$F30,CB$5+GanttPeriod-1&gt;=$E30),"━","")))</f>
        <v/>
      </c>
      <c r="CC30" s="69" t="str">
        <f aca="false">IF($E30="","",IF($M30,IF(AND($G30&gt;=CC$5,$G30&lt;CC$5+GanttPeriod),"◆",IF(AND($E30&gt;=CC$5,$E30&lt;CC$5+GanttPeriod),"◇","")),IF(AND(CC$5&lt;=$F30,CC$5+GanttPeriod-1&gt;=$E30),"━","")))</f>
        <v/>
      </c>
      <c r="CD30" s="69" t="str">
        <f aca="false">IF($E30="","",IF($M30,IF(AND($G30&gt;=CD$5,$G30&lt;CD$5+GanttPeriod),"◆",IF(AND($E30&gt;=CD$5,$E30&lt;CD$5+GanttPeriod),"◇","")),IF(AND(CD$5&lt;=$F30,CD$5+GanttPeriod-1&gt;=$E30),"━","")))</f>
        <v/>
      </c>
      <c r="CE30" s="69" t="str">
        <f aca="false">IF($E30="","",IF($M30,IF(AND($G30&gt;=CE$5,$G30&lt;CE$5+GanttPeriod),"◆",IF(AND($E30&gt;=CE$5,$E30&lt;CE$5+GanttPeriod),"◇","")),IF(AND(CE$5&lt;=$F30,CE$5+GanttPeriod-1&gt;=$E30),"━","")))</f>
        <v/>
      </c>
      <c r="CF30" s="69" t="str">
        <f aca="false">IF($E30="","",IF($M30,IF(AND($G30&gt;=CF$5,$G30&lt;CF$5+GanttPeriod),"◆",IF(AND($E30&gt;=CF$5,$E30&lt;CF$5+GanttPeriod),"◇","")),IF(AND(CF$5&lt;=$F30,CF$5+GanttPeriod-1&gt;=$E30),"━","")))</f>
        <v/>
      </c>
      <c r="CG30" s="69" t="str">
        <f aca="false">IF($E30="","",IF($M30,IF(AND($G30&gt;=CG$5,$G30&lt;CG$5+GanttPeriod),"◆",IF(AND($E30&gt;=CG$5,$E30&lt;CG$5+GanttPeriod),"◇","")),IF(AND(CG$5&lt;=$F30,CG$5+GanttPeriod-1&gt;=$E30),"━","")))</f>
        <v/>
      </c>
      <c r="CH30" s="69" t="str">
        <f aca="false">IF($E30="","",IF($M30,IF(AND($G30&gt;=CH$5,$G30&lt;CH$5+GanttPeriod),"◆",IF(AND($E30&gt;=CH$5,$E30&lt;CH$5+GanttPeriod),"◇","")),IF(AND(CH$5&lt;=$F30,CH$5+GanttPeriod-1&gt;=$E30),"━","")))</f>
        <v/>
      </c>
      <c r="CI30" s="69" t="str">
        <f aca="false">IF($E30="","",IF($M30,IF(AND($G30&gt;=CI$5,$G30&lt;CI$5+GanttPeriod),"◆",IF(AND($E30&gt;=CI$5,$E30&lt;CI$5+GanttPeriod),"◇","")),IF(AND(CI$5&lt;=$F30,CI$5+GanttPeriod-1&gt;=$E30),"━","")))</f>
        <v/>
      </c>
      <c r="CJ30" s="69" t="str">
        <f aca="false">IF($E30="","",IF($M30,IF(AND($G30&gt;=CJ$5,$G30&lt;CJ$5+GanttPeriod),"◆",IF(AND($E30&gt;=CJ$5,$E30&lt;CJ$5+GanttPeriod),"◇","")),IF(AND(CJ$5&lt;=$F30,CJ$5+GanttPeriod-1&gt;=$E30),"━","")))</f>
        <v/>
      </c>
      <c r="CK30" s="69" t="str">
        <f aca="false">IF($E30="","",IF($M30,IF(AND($G30&gt;=CK$5,$G30&lt;CK$5+GanttPeriod),"◆",IF(AND($E30&gt;=CK$5,$E30&lt;CK$5+GanttPeriod),"◇","")),IF(AND(CK$5&lt;=$F30,CK$5+GanttPeriod-1&gt;=$E30),"━","")))</f>
        <v/>
      </c>
      <c r="CL30" s="69" t="str">
        <f aca="false">IF($E30="","",IF($M30,IF(AND($G30&gt;=CL$5,$G30&lt;CL$5+GanttPeriod),"◆",IF(AND($E30&gt;=CL$5,$E30&lt;CL$5+GanttPeriod),"◇","")),IF(AND(CL$5&lt;=$F30,CL$5+GanttPeriod-1&gt;=$E30),"━","")))</f>
        <v/>
      </c>
      <c r="CM30" s="69" t="str">
        <f aca="false">IF($E30="","",IF($M30,IF(AND($G30&gt;=CM$5,$G30&lt;CM$5+GanttPeriod),"◆",IF(AND($E30&gt;=CM$5,$E30&lt;CM$5+GanttPeriod),"◇","")),IF(AND(CM$5&lt;=$F30,CM$5+GanttPeriod-1&gt;=$E30),"━","")))</f>
        <v/>
      </c>
      <c r="CN30" s="69" t="str">
        <f aca="false">IF($E30="","",IF($M30,IF(AND($G30&gt;=CN$5,$G30&lt;CN$5+GanttPeriod),"◆",IF(AND($E30&gt;=CN$5,$E30&lt;CN$5+GanttPeriod),"◇","")),IF(AND(CN$5&lt;=$F30,CN$5+GanttPeriod-1&gt;=$E30),"━","")))</f>
        <v/>
      </c>
      <c r="CO30" s="69" t="str">
        <f aca="false">IF($E30="","",IF($M30,IF(AND($G30&gt;=CO$5,$G30&lt;CO$5+GanttPeriod),"◆",IF(AND($E30&gt;=CO$5,$E30&lt;CO$5+GanttPeriod),"◇","")),IF(AND(CO$5&lt;=$F30,CO$5+GanttPeriod-1&gt;=$E30),"━","")))</f>
        <v/>
      </c>
      <c r="CP30" s="69" t="str">
        <f aca="false">IF($E30="","",IF($M30,IF(AND($G30&gt;=CP$5,$G30&lt;CP$5+GanttPeriod),"◆",IF(AND($E30&gt;=CP$5,$E30&lt;CP$5+GanttPeriod),"◇","")),IF(AND(CP$5&lt;=$F30,CP$5+GanttPeriod-1&gt;=$E30),"━","")))</f>
        <v/>
      </c>
      <c r="CQ30" s="69" t="str">
        <f aca="false">IF($E30="","",IF($M30,IF(AND($G30&gt;=CQ$5,$G30&lt;CQ$5+GanttPeriod),"◆",IF(AND($E30&gt;=CQ$5,$E30&lt;CQ$5+GanttPeriod),"◇","")),IF(AND(CQ$5&lt;=$F30,CQ$5+GanttPeriod-1&gt;=$E30),"━","")))</f>
        <v/>
      </c>
      <c r="CR30" s="69" t="str">
        <f aca="false">IF($E30="","",IF($M30,IF(AND($G30&gt;=CR$5,$G30&lt;CR$5+GanttPeriod),"◆",IF(AND($E30&gt;=CR$5,$E30&lt;CR$5+GanttPeriod),"◇","")),IF(AND(CR$5&lt;=$F30,CR$5+GanttPeriod-1&gt;=$E30),"━","")))</f>
        <v/>
      </c>
      <c r="CS30" s="69" t="str">
        <f aca="false">IF($E30="","",IF($M30,IF(AND($G30&gt;=CS$5,$G30&lt;CS$5+GanttPeriod),"◆",IF(AND($E30&gt;=CS$5,$E30&lt;CS$5+GanttPeriod),"◇","")),IF(AND(CS$5&lt;=$F30,CS$5+GanttPeriod-1&gt;=$E30),"━","")))</f>
        <v/>
      </c>
      <c r="CT30" s="69" t="str">
        <f aca="false">IF($E30="","",IF($M30,IF(AND($G30&gt;=CT$5,$G30&lt;CT$5+GanttPeriod),"◆",IF(AND($E30&gt;=CT$5,$E30&lt;CT$5+GanttPeriod),"◇","")),IF(AND(CT$5&lt;=$F30,CT$5+GanttPeriod-1&gt;=$E30),"━","")))</f>
        <v/>
      </c>
      <c r="CU30" s="69" t="str">
        <f aca="false">IF($E30="","",IF($M30,IF(AND($G30&gt;=CU$5,$G30&lt;CU$5+GanttPeriod),"◆",IF(AND($E30&gt;=CU$5,$E30&lt;CU$5+GanttPeriod),"◇","")),IF(AND(CU$5&lt;=$F30,CU$5+GanttPeriod-1&gt;=$E30),"━","")))</f>
        <v/>
      </c>
      <c r="CV30" s="69" t="str">
        <f aca="false">IF($E30="","",IF($M30,IF(AND($G30&gt;=CV$5,$G30&lt;CV$5+GanttPeriod),"◆",IF(AND($E30&gt;=CV$5,$E30&lt;CV$5+GanttPeriod),"◇","")),IF(AND(CV$5&lt;=$F30,CV$5+GanttPeriod-1&gt;=$E30),"━","")))</f>
        <v/>
      </c>
      <c r="CW30" s="69" t="str">
        <f aca="false">IF($E30="","",IF($M30,IF(AND($G30&gt;=CW$5,$G30&lt;CW$5+GanttPeriod),"◆",IF(AND($E30&gt;=CW$5,$E30&lt;CW$5+GanttPeriod),"◇","")),IF(AND(CW$5&lt;=$F30,CW$5+GanttPeriod-1&gt;=$E30),"━","")))</f>
        <v/>
      </c>
      <c r="CX30" s="69" t="str">
        <f aca="false">IF($E30="","",IF($M30,IF(AND($G30&gt;=CX$5,$G30&lt;CX$5+GanttPeriod),"◆",IF(AND($E30&gt;=CX$5,$E30&lt;CX$5+GanttPeriod),"◇","")),IF(AND(CX$5&lt;=$F30,CX$5+GanttPeriod-1&gt;=$E30),"━","")))</f>
        <v/>
      </c>
      <c r="CY30" s="69" t="str">
        <f aca="false">IF($E30="","",IF($M30,IF(AND($G30&gt;=CY$5,$G30&lt;CY$5+GanttPeriod),"◆",IF(AND($E30&gt;=CY$5,$E30&lt;CY$5+GanttPeriod),"◇","")),IF(AND(CY$5&lt;=$F30,CY$5+GanttPeriod-1&gt;=$E30),"━","")))</f>
        <v/>
      </c>
      <c r="CZ30" s="69" t="str">
        <f aca="false">IF($E30="","",IF($M30,IF(AND($G30&gt;=CZ$5,$G30&lt;CZ$5+GanttPeriod),"◆",IF(AND($E30&gt;=CZ$5,$E30&lt;CZ$5+GanttPeriod),"◇","")),IF(AND(CZ$5&lt;=$F30,CZ$5+GanttPeriod-1&gt;=$E30),"━","")))</f>
        <v/>
      </c>
      <c r="DA30" s="69" t="str">
        <f aca="false">IF($E30="","",IF($M30,IF(AND($G30&gt;=DA$5,$G30&lt;DA$5+GanttPeriod),"◆",IF(AND($E30&gt;=DA$5,$E30&lt;DA$5+GanttPeriod),"◇","")),IF(AND(DA$5&lt;=$F30,DA$5+GanttPeriod-1&gt;=$E30),"━","")))</f>
        <v/>
      </c>
      <c r="DB30" s="69" t="str">
        <f aca="false">IF($E30="","",IF($M30,IF(AND($G30&gt;=DB$5,$G30&lt;DB$5+GanttPeriod),"◆",IF(AND($E30&gt;=DB$5,$E30&lt;DB$5+GanttPeriod),"◇","")),IF(AND(DB$5&lt;=$F30,DB$5+GanttPeriod-1&gt;=$E30),"━","")))</f>
        <v/>
      </c>
      <c r="DC30" s="69" t="str">
        <f aca="false">IF($E30="","",IF($M30,IF(AND($G30&gt;=DC$5,$G30&lt;DC$5+GanttPeriod),"◆",IF(AND($E30&gt;=DC$5,$E30&lt;DC$5+GanttPeriod),"◇","")),IF(AND(DC$5&lt;=$F30,DC$5+GanttPeriod-1&gt;=$E30),"━","")))</f>
        <v/>
      </c>
      <c r="DD30" s="69" t="str">
        <f aca="false">IF($E30="","",IF($M30,IF(AND($G30&gt;=DD$5,$G30&lt;DD$5+GanttPeriod),"◆",IF(AND($E30&gt;=DD$5,$E30&lt;DD$5+GanttPeriod),"◇","")),IF(AND(DD$5&lt;=$F30,DD$5+GanttPeriod-1&gt;=$E30),"━","")))</f>
        <v/>
      </c>
      <c r="DE30" s="69" t="str">
        <f aca="false">IF($E30="","",IF($M30,IF(AND($G30&gt;=DE$5,$G30&lt;DE$5+GanttPeriod),"◆",IF(AND($E30&gt;=DE$5,$E30&lt;DE$5+GanttPeriod),"◇","")),IF(AND(DE$5&lt;=$F30,DE$5+GanttPeriod-1&gt;=$E30),"━","")))</f>
        <v/>
      </c>
      <c r="DF30" s="69" t="str">
        <f aca="false">IF($E30="","",IF($M30,IF(AND($G30&gt;=DF$5,$G30&lt;DF$5+GanttPeriod),"◆",IF(AND($E30&gt;=DF$5,$E30&lt;DF$5+GanttPeriod),"◇","")),IF(AND(DF$5&lt;=$F30,DF$5+GanttPeriod-1&gt;=$E30),"━","")))</f>
        <v/>
      </c>
      <c r="DG30" s="69" t="str">
        <f aca="false">IF($E30="","",IF($M30,IF(AND($G30&gt;=DG$5,$G30&lt;DG$5+GanttPeriod),"◆",IF(AND($E30&gt;=DG$5,$E30&lt;DG$5+GanttPeriod),"◇","")),IF(AND(DG$5&lt;=$F30,DG$5+GanttPeriod-1&gt;=$E30),"━","")))</f>
        <v/>
      </c>
      <c r="DH30" s="69" t="str">
        <f aca="false">IF($E30="","",IF($M30,IF(AND($G30&gt;=DH$5,$G30&lt;DH$5+GanttPeriod),"◆",IF(AND($E30&gt;=DH$5,$E30&lt;DH$5+GanttPeriod),"◇","")),IF(AND(DH$5&lt;=$F30,DH$5+GanttPeriod-1&gt;=$E30),"━","")))</f>
        <v/>
      </c>
      <c r="DI30" s="69" t="str">
        <f aca="false">IF($E30="","",IF($M30,IF(AND($G30&gt;=DI$5,$G30&lt;DI$5+GanttPeriod),"◆",IF(AND($E30&gt;=DI$5,$E30&lt;DI$5+GanttPeriod),"◇","")),IF(AND(DI$5&lt;=$F30,DI$5+GanttPeriod-1&gt;=$E30),"━","")))</f>
        <v/>
      </c>
      <c r="DJ30" s="69" t="str">
        <f aca="false">IF($E30="","",IF($M30,IF(AND($G30&gt;=DJ$5,$G30&lt;DJ$5+GanttPeriod),"◆",IF(AND($E30&gt;=DJ$5,$E30&lt;DJ$5+GanttPeriod),"◇","")),IF(AND(DJ$5&lt;=$F30,DJ$5+GanttPeriod-1&gt;=$E30),"━","")))</f>
        <v/>
      </c>
      <c r="DK30" s="69" t="str">
        <f aca="false">IF($E30="","",IF($M30,IF(AND($G30&gt;=DK$5,$G30&lt;DK$5+GanttPeriod),"◆",IF(AND($E30&gt;=DK$5,$E30&lt;DK$5+GanttPeriod),"◇","")),IF(AND(DK$5&lt;=$F30,DK$5+GanttPeriod-1&gt;=$E30),"━","")))</f>
        <v/>
      </c>
      <c r="DL30" s="69" t="str">
        <f aca="false">IF($E30="","",IF($M30,IF(AND($G30&gt;=DL$5,$G30&lt;DL$5+GanttPeriod),"◆",IF(AND($E30&gt;=DL$5,$E30&lt;DL$5+GanttPeriod),"◇","")),IF(AND(DL$5&lt;=$F30,DL$5+GanttPeriod-1&gt;=$E30),"━","")))</f>
        <v/>
      </c>
      <c r="DM30" s="69" t="str">
        <f aca="false">IF($E30="","",IF($M30,IF(AND($G30&gt;=DM$5,$G30&lt;DM$5+GanttPeriod),"◆",IF(AND($E30&gt;=DM$5,$E30&lt;DM$5+GanttPeriod),"◇","")),IF(AND(DM$5&lt;=$F30,DM$5+GanttPeriod-1&gt;=$E30),"━","")))</f>
        <v/>
      </c>
      <c r="DN30" s="69" t="str">
        <f aca="false">IF($E30="","",IF($M30,IF(AND($G30&gt;=DN$5,$G30&lt;DN$5+GanttPeriod),"◆",IF(AND($E30&gt;=DN$5,$E30&lt;DN$5+GanttPeriod),"◇","")),IF(AND(DN$5&lt;=$F30,DN$5+GanttPeriod-1&gt;=$E30),"━","")))</f>
        <v/>
      </c>
      <c r="DO30" s="69" t="str">
        <f aca="false">IF($E30="","",IF($M30,IF(AND($G30&gt;=DO$5,$G30&lt;DO$5+GanttPeriod),"◆",IF(AND($E30&gt;=DO$5,$E30&lt;DO$5+GanttPeriod),"◇","")),IF(AND(DO$5&lt;=$F30,DO$5+GanttPeriod-1&gt;=$E30),"━","")))</f>
        <v>◆</v>
      </c>
      <c r="DP30" s="69" t="str">
        <f aca="false">IF($E30="","",IF($M30,IF(AND($G30&gt;=DP$5,$G30&lt;DP$5+GanttPeriod),"◆",IF(AND($E30&gt;=DP$5,$E30&lt;DP$5+GanttPeriod),"◇","")),IF(AND(DP$5&lt;=$F30,DP$5+GanttPeriod-1&gt;=$E30),"━","")))</f>
        <v/>
      </c>
      <c r="DQ30" s="69" t="str">
        <f aca="false">IF($E30="","",IF($M30,IF(AND($G30&gt;=DQ$5,$G30&lt;DQ$5+GanttPeriod),"◆",IF(AND($E30&gt;=DQ$5,$E30&lt;DQ$5+GanttPeriod),"◇","")),IF(AND(DQ$5&lt;=$F30,DQ$5+GanttPeriod-1&gt;=$E30),"━","")))</f>
        <v/>
      </c>
      <c r="DR30" s="69" t="str">
        <f aca="false">IF($E30="","",IF($M30,IF(AND($G30&gt;=DR$5,$G30&lt;DR$5+GanttPeriod),"◆",IF(AND($E30&gt;=DR$5,$E30&lt;DR$5+GanttPeriod),"◇","")),IF(AND(DR$5&lt;=$F30,DR$5+GanttPeriod-1&gt;=$E30),"━","")))</f>
        <v/>
      </c>
      <c r="DS30" s="69" t="str">
        <f aca="false">IF($E30="","",IF($M30,IF(AND($G30&gt;=DS$5,$G30&lt;DS$5+GanttPeriod),"◆",IF(AND($E30&gt;=DS$5,$E30&lt;DS$5+GanttPeriod),"◇","")),IF(AND(DS$5&lt;=$F30,DS$5+GanttPeriod-1&gt;=$E30),"━","")))</f>
        <v/>
      </c>
      <c r="DT30" s="69" t="str">
        <f aca="false">IF($E30="","",IF($M30,IF(AND($G30&gt;=DT$5,$G30&lt;DT$5+GanttPeriod),"◆",IF(AND($E30&gt;=DT$5,$E30&lt;DT$5+GanttPeriod),"◇","")),IF(AND(DT$5&lt;=$F30,DT$5+GanttPeriod-1&gt;=$E30),"━","")))</f>
        <v/>
      </c>
      <c r="DU30" s="69" t="str">
        <f aca="false">IF($E30="","",IF($M30,IF(AND($G30&gt;=DU$5,$G30&lt;DU$5+GanttPeriod),"◆",IF(AND($E30&gt;=DU$5,$E30&lt;DU$5+GanttPeriod),"◇","")),IF(AND(DU$5&lt;=$F30,DU$5+GanttPeriod-1&gt;=$E30),"━","")))</f>
        <v/>
      </c>
      <c r="DV30" s="69" t="str">
        <f aca="false">IF($E30="","",IF($M30,IF(AND($G30&gt;=DV$5,$G30&lt;DV$5+GanttPeriod),"◆",IF(AND($E30&gt;=DV$5,$E30&lt;DV$5+GanttPeriod),"◇","")),IF(AND(DV$5&lt;=$F30,DV$5+GanttPeriod-1&gt;=$E30),"━","")))</f>
        <v/>
      </c>
      <c r="DW30" s="69" t="str">
        <f aca="false">IF($E30="","",IF($M30,IF(AND($G30&gt;=DW$5,$G30&lt;DW$5+GanttPeriod),"◆",IF(AND($E30&gt;=DW$5,$E30&lt;DW$5+GanttPeriod),"◇","")),IF(AND(DW$5&lt;=$F30,DW$5+GanttPeriod-1&gt;=$E30),"━","")))</f>
        <v/>
      </c>
      <c r="DX30" s="69" t="str">
        <f aca="false">IF($E30="","",IF($M30,IF(AND($G30&gt;=DX$5,$G30&lt;DX$5+GanttPeriod),"◆",IF(AND($E30&gt;=DX$5,$E30&lt;DX$5+GanttPeriod),"◇","")),IF(AND(DX$5&lt;=$F30,DX$5+GanttPeriod-1&gt;=$E30),"━","")))</f>
        <v/>
      </c>
      <c r="DY30" s="69" t="str">
        <f aca="false">IF($E30="","",IF($M30,IF(AND($G30&gt;=DY$5,$G30&lt;DY$5+GanttPeriod),"◆",IF(AND($E30&gt;=DY$5,$E30&lt;DY$5+GanttPeriod),"◇","")),IF(AND(DY$5&lt;=$F30,DY$5+GanttPeriod-1&gt;=$E30),"━","")))</f>
        <v/>
      </c>
      <c r="DZ30" s="69" t="str">
        <f aca="false">IF($E30="","",IF($M30,IF(AND($G30&gt;=DZ$5,$G30&lt;DZ$5+GanttPeriod),"◆",IF(AND($E30&gt;=DZ$5,$E30&lt;DZ$5+GanttPeriod),"◇","")),IF(AND(DZ$5&lt;=$F30,DZ$5+GanttPeriod-1&gt;=$E30),"━","")))</f>
        <v/>
      </c>
      <c r="EA30" s="69" t="str">
        <f aca="false">IF($E30="","",IF($M30,IF(AND($G30&gt;=EA$5,$G30&lt;EA$5+GanttPeriod),"◆",IF(AND($E30&gt;=EA$5,$E30&lt;EA$5+GanttPeriod),"◇","")),IF(AND(EA$5&lt;=$F30,EA$5+GanttPeriod-1&gt;=$E30),"━","")))</f>
        <v/>
      </c>
      <c r="EB30" s="69" t="str">
        <f aca="false">IF($E30="","",IF($M30,IF(AND($G30&gt;=EB$5,$G30&lt;EB$5+GanttPeriod),"◆",IF(AND($E30&gt;=EB$5,$E30&lt;EB$5+GanttPeriod),"◇","")),IF(AND(EB$5&lt;=$F30,EB$5+GanttPeriod-1&gt;=$E30),"━","")))</f>
        <v/>
      </c>
      <c r="EC30" s="69" t="str">
        <f aca="false">IF($E30="","",IF($M30,IF(AND($G30&gt;=EC$5,$G30&lt;EC$5+GanttPeriod),"◆",IF(AND($E30&gt;=EC$5,$E30&lt;EC$5+GanttPeriod),"◇","")),IF(AND(EC$5&lt;=$F30,EC$5+GanttPeriod-1&gt;=$E30),"━","")))</f>
        <v/>
      </c>
      <c r="ED30" s="69" t="str">
        <f aca="false">IF($E30="","",IF($M30,IF(AND($G30&gt;=ED$5,$G30&lt;ED$5+GanttPeriod),"◆",IF(AND($E30&gt;=ED$5,$E30&lt;ED$5+GanttPeriod),"◇","")),IF(AND(ED$5&lt;=$F30,ED$5+GanttPeriod-1&gt;=$E30),"━","")))</f>
        <v/>
      </c>
      <c r="EE30" s="69" t="str">
        <f aca="false">IF($E30="","",IF($M30,IF(AND($G30&gt;=EE$5,$G30&lt;EE$5+GanttPeriod),"◆",IF(AND($E30&gt;=EE$5,$E30&lt;EE$5+GanttPeriod),"◇","")),IF(AND(EE$5&lt;=$F30,EE$5+GanttPeriod-1&gt;=$E30),"━","")))</f>
        <v/>
      </c>
      <c r="EF30" s="69" t="str">
        <f aca="false">IF($E30="","",IF($M30,IF(AND($G30&gt;=EF$5,$G30&lt;EF$5+GanttPeriod),"◆",IF(AND($E30&gt;=EF$5,$E30&lt;EF$5+GanttPeriod),"◇","")),IF(AND(EF$5&lt;=$F30,EF$5+GanttPeriod-1&gt;=$E30),"━","")))</f>
        <v/>
      </c>
      <c r="EG30" s="69" t="str">
        <f aca="false">IF($E30="","",IF($M30,IF(AND($G30&gt;=EG$5,$G30&lt;EG$5+GanttPeriod),"◆",IF(AND($E30&gt;=EG$5,$E30&lt;EG$5+GanttPeriod),"◇","")),IF(AND(EG$5&lt;=$F30,EG$5+GanttPeriod-1&gt;=$E30),"━","")))</f>
        <v/>
      </c>
      <c r="EH30" s="69" t="str">
        <f aca="false">IF($E30="","",IF($M30,IF(AND($G30&gt;=EH$5,$G30&lt;EH$5+GanttPeriod),"◆",IF(AND($E30&gt;=EH$5,$E30&lt;EH$5+GanttPeriod),"◇","")),IF(AND(EH$5&lt;=$F30,EH$5+GanttPeriod-1&gt;=$E30),"━","")))</f>
        <v/>
      </c>
      <c r="EI30" s="69" t="str">
        <f aca="false">IF($E30="","",IF($M30,IF(AND($G30&gt;=EI$5,$G30&lt;EI$5+GanttPeriod),"◆",IF(AND($E30&gt;=EI$5,$E30&lt;EI$5+GanttPeriod),"◇","")),IF(AND(EI$5&lt;=$F30,EI$5+GanttPeriod-1&gt;=$E30),"━","")))</f>
        <v/>
      </c>
      <c r="EJ30" s="69" t="str">
        <f aca="false">IF($E30="","",IF($M30,IF(AND($G30&gt;=EJ$5,$G30&lt;EJ$5+GanttPeriod),"◆",IF(AND($E30&gt;=EJ$5,$E30&lt;EJ$5+GanttPeriod),"◇","")),IF(AND(EJ$5&lt;=$F30,EJ$5+GanttPeriod-1&gt;=$E30),"━","")))</f>
        <v/>
      </c>
      <c r="EK30" s="69" t="str">
        <f aca="false">IF($E30="","",IF($M30,IF(AND($G30&gt;=EK$5,$G30&lt;EK$5+GanttPeriod),"◆",IF(AND($E30&gt;=EK$5,$E30&lt;EK$5+GanttPeriod),"◇","")),IF(AND(EK$5&lt;=$F30,EK$5+GanttPeriod-1&gt;=$E30),"━","")))</f>
        <v/>
      </c>
      <c r="EL30" s="69" t="str">
        <f aca="false">IF($E30="","",IF($M30,IF(AND($G30&gt;=EL$5,$G30&lt;EL$5+GanttPeriod),"◆",IF(AND($E30&gt;=EL$5,$E30&lt;EL$5+GanttPeriod),"◇","")),IF(AND(EL$5&lt;=$F30,EL$5+GanttPeriod-1&gt;=$E30),"━","")))</f>
        <v/>
      </c>
      <c r="EM30" s="69" t="str">
        <f aca="false">IF($E30="","",IF($M30,IF(AND($G30&gt;=EM$5,$G30&lt;EM$5+GanttPeriod),"◆",IF(AND($E30&gt;=EM$5,$E30&lt;EM$5+GanttPeriod),"◇","")),IF(AND(EM$5&lt;=$F30,EM$5+GanttPeriod-1&gt;=$E30),"━","")))</f>
        <v/>
      </c>
      <c r="EN30" s="69" t="str">
        <f aca="false">IF($E30="","",IF($M30,IF(AND($G30&gt;=EN$5,$G30&lt;EN$5+GanttPeriod),"◆",IF(AND($E30&gt;=EN$5,$E30&lt;EN$5+GanttPeriod),"◇","")),IF(AND(EN$5&lt;=$F30,EN$5+GanttPeriod-1&gt;=$E30),"━","")))</f>
        <v/>
      </c>
      <c r="EO30" s="69" t="str">
        <f aca="false">IF($E30="","",IF($M30,IF(AND($G30&gt;=EO$5,$G30&lt;EO$5+GanttPeriod),"◆",IF(AND($E30&gt;=EO$5,$E30&lt;EO$5+GanttPeriod),"◇","")),IF(AND(EO$5&lt;=$F30,EO$5+GanttPeriod-1&gt;=$E30),"━","")))</f>
        <v/>
      </c>
      <c r="EP30" s="69" t="str">
        <f aca="false">IF($E30="","",IF($M30,IF(AND($G30&gt;=EP$5,$G30&lt;EP$5+GanttPeriod),"◆",IF(AND($E30&gt;=EP$5,$E30&lt;EP$5+GanttPeriod),"◇","")),IF(AND(EP$5&lt;=$F30,EP$5+GanttPeriod-1&gt;=$E30),"━","")))</f>
        <v/>
      </c>
      <c r="EQ30" s="69" t="str">
        <f aca="false">IF($E30="","",IF($M30,IF(AND($G30&gt;=EQ$5,$G30&lt;EQ$5+GanttPeriod),"◆",IF(AND($E30&gt;=EQ$5,$E30&lt;EQ$5+GanttPeriod),"◇","")),IF(AND(EQ$5&lt;=$F30,EQ$5+GanttPeriod-1&gt;=$E30),"━","")))</f>
        <v/>
      </c>
      <c r="ER30" s="69" t="str">
        <f aca="false">IF($E30="","",IF($M30,IF(AND($G30&gt;=ER$5,$G30&lt;ER$5+GanttPeriod),"◆",IF(AND($E30&gt;=ER$5,$E30&lt;ER$5+GanttPeriod),"◇","")),IF(AND(ER$5&lt;=$F30,ER$5+GanttPeriod-1&gt;=$E30),"━","")))</f>
        <v/>
      </c>
      <c r="ES30" s="69" t="str">
        <f aca="false">IF($E30="","",IF($M30,IF(AND($G30&gt;=ES$5,$G30&lt;ES$5+GanttPeriod),"◆",IF(AND($E30&gt;=ES$5,$E30&lt;ES$5+GanttPeriod),"◇","")),IF(AND(ES$5&lt;=$F30,ES$5+GanttPeriod-1&gt;=$E30),"━","")))</f>
        <v/>
      </c>
      <c r="ET30" s="69" t="str">
        <f aca="false">IF($E30="","",IF($M30,IF(AND($G30&gt;=ET$5,$G30&lt;ET$5+GanttPeriod),"◆",IF(AND($E30&gt;=ET$5,$E30&lt;ET$5+GanttPeriod),"◇","")),IF(AND(ET$5&lt;=$F30,ET$5+GanttPeriod-1&gt;=$E30),"━","")))</f>
        <v/>
      </c>
      <c r="EU30" s="69" t="str">
        <f aca="false">IF($E30="","",IF($M30,IF(AND($G30&gt;=EU$5,$G30&lt;EU$5+GanttPeriod),"◆",IF(AND($E30&gt;=EU$5,$E30&lt;EU$5+GanttPeriod),"◇","")),IF(AND(EU$5&lt;=$F30,EU$5+GanttPeriod-1&gt;=$E30),"━","")))</f>
        <v/>
      </c>
      <c r="EV30" s="69" t="str">
        <f aca="false">IF($E30="","",IF($M30,IF(AND($G30&gt;=EV$5,$G30&lt;EV$5+GanttPeriod),"◆",IF(AND($E30&gt;=EV$5,$E30&lt;EV$5+GanttPeriod),"◇","")),IF(AND(EV$5&lt;=$F30,EV$5+GanttPeriod-1&gt;=$E30),"━","")))</f>
        <v/>
      </c>
      <c r="EW30" s="69" t="str">
        <f aca="false">IF($E30="","",IF($M30,IF(AND($G30&gt;=EW$5,$G30&lt;EW$5+GanttPeriod),"◆",IF(AND($E30&gt;=EW$5,$E30&lt;EW$5+GanttPeriod),"◇","")),IF(AND(EW$5&lt;=$F30,EW$5+GanttPeriod-1&gt;=$E30),"━","")))</f>
        <v/>
      </c>
      <c r="EX30" s="69" t="str">
        <f aca="false">IF($E30="","",IF($M30,IF(AND($G30&gt;=EX$5,$G30&lt;EX$5+GanttPeriod),"◆",IF(AND($E30&gt;=EX$5,$E30&lt;EX$5+GanttPeriod),"◇","")),IF(AND(EX$5&lt;=$F30,EX$5+GanttPeriod-1&gt;=$E30),"━","")))</f>
        <v/>
      </c>
      <c r="EY30" s="69" t="str">
        <f aca="false">IF($E30="","",IF($M30,IF(AND($G30&gt;=EY$5,$G30&lt;EY$5+GanttPeriod),"◆",IF(AND($E30&gt;=EY$5,$E30&lt;EY$5+GanttPeriod),"◇","")),IF(AND(EY$5&lt;=$F30,EY$5+GanttPeriod-1&gt;=$E30),"━","")))</f>
        <v/>
      </c>
      <c r="EZ30" s="69" t="str">
        <f aca="false">IF($E30="","",IF($M30,IF(AND($G30&gt;=EZ$5,$G30&lt;EZ$5+GanttPeriod),"◆",IF(AND($E30&gt;=EZ$5,$E30&lt;EZ$5+GanttPeriod),"◇","")),IF(AND(EZ$5&lt;=$F30,EZ$5+GanttPeriod-1&gt;=$E30),"━","")))</f>
        <v/>
      </c>
      <c r="FA30" s="69" t="str">
        <f aca="false">IF($E30="","",IF($M30,IF(AND($G30&gt;=FA$5,$G30&lt;FA$5+GanttPeriod),"◆",IF(AND($E30&gt;=FA$5,$E30&lt;FA$5+GanttPeriod),"◇","")),IF(AND(FA$5&lt;=$F30,FA$5+GanttPeriod-1&gt;=$E30),"━","")))</f>
        <v/>
      </c>
      <c r="FB30" s="69" t="str">
        <f aca="false">IF($E30="","",IF($M30,IF(AND($G30&gt;=FB$5,$G30&lt;FB$5+GanttPeriod),"◆",IF(AND($E30&gt;=FB$5,$E30&lt;FB$5+GanttPeriod),"◇","")),IF(AND(FB$5&lt;=$F30,FB$5+GanttPeriod-1&gt;=$E30),"━","")))</f>
        <v/>
      </c>
      <c r="FC30" s="69" t="str">
        <f aca="false">IF($E30="","",IF($M30,IF(AND($G30&gt;=FC$5,$G30&lt;FC$5+GanttPeriod),"◆",IF(AND($E30&gt;=FC$5,$E30&lt;FC$5+GanttPeriod),"◇","")),IF(AND(FC$5&lt;=$F30,FC$5+GanttPeriod-1&gt;=$E30),"━","")))</f>
        <v/>
      </c>
      <c r="FD30" s="69" t="str">
        <f aca="false">IF($E30="","",IF($M30,IF(AND($G30&gt;=FD$5,$G30&lt;FD$5+GanttPeriod),"◆",IF(AND($E30&gt;=FD$5,$E30&lt;FD$5+GanttPeriod),"◇","")),IF(AND(FD$5&lt;=$F30,FD$5+GanttPeriod-1&gt;=$E30),"━","")))</f>
        <v/>
      </c>
      <c r="FE30" s="69" t="str">
        <f aca="false">IF($E30="","",IF($M30,IF(AND($G30&gt;=FE$5,$G30&lt;FE$5+GanttPeriod),"◆",IF(AND($E30&gt;=FE$5,$E30&lt;FE$5+GanttPeriod),"◇","")),IF(AND(FE$5&lt;=$F30,FE$5+GanttPeriod-1&gt;=$E30),"━","")))</f>
        <v/>
      </c>
      <c r="FF30" s="69" t="str">
        <f aca="false">IF($E30="","",IF($M30,IF(AND($G30&gt;=FF$5,$G30&lt;FF$5+GanttPeriod),"◆",IF(AND($E30&gt;=FF$5,$E30&lt;FF$5+GanttPeriod),"◇","")),IF(AND(FF$5&lt;=$F30,FF$5+GanttPeriod-1&gt;=$E30),"━","")))</f>
        <v/>
      </c>
      <c r="FG30" s="69" t="str">
        <f aca="false">IF($E30="","",IF($M30,IF(AND($G30&gt;=FG$5,$G30&lt;FG$5+GanttPeriod),"◆",IF(AND($E30&gt;=FG$5,$E30&lt;FG$5+GanttPeriod),"◇","")),IF(AND(FG$5&lt;=$F30,FG$5+GanttPeriod-1&gt;=$E30),"━","")))</f>
        <v/>
      </c>
      <c r="FH30" s="69" t="str">
        <f aca="false">IF($E30="","",IF($M30,IF(AND($G30&gt;=FH$5,$G30&lt;FH$5+GanttPeriod),"◆",IF(AND($E30&gt;=FH$5,$E30&lt;FH$5+GanttPeriod),"◇","")),IF(AND(FH$5&lt;=$F30,FH$5+GanttPeriod-1&gt;=$E30),"━","")))</f>
        <v/>
      </c>
      <c r="FI30" s="69" t="str">
        <f aca="false">IF($E30="","",IF($M30,IF(AND($G30&gt;=FI$5,$G30&lt;FI$5+GanttPeriod),"◆",IF(AND($E30&gt;=FI$5,$E30&lt;FI$5+GanttPeriod),"◇","")),IF(AND(FI$5&lt;=$F30,FI$5+GanttPeriod-1&gt;=$E30),"━","")))</f>
        <v/>
      </c>
      <c r="FJ30" s="69" t="str">
        <f aca="false">IF($E30="","",IF($M30,IF(AND($G30&gt;=FJ$5,$G30&lt;FJ$5+GanttPeriod),"◆",IF(AND($E30&gt;=FJ$5,$E30&lt;FJ$5+GanttPeriod),"◇","")),IF(AND(FJ$5&lt;=$F30,FJ$5+GanttPeriod-1&gt;=$E30),"━","")))</f>
        <v/>
      </c>
      <c r="FK30" s="69" t="str">
        <f aca="false">IF($E30="","",IF($M30,IF(AND($G30&gt;=FK$5,$G30&lt;FK$5+GanttPeriod),"◆",IF(AND($E30&gt;=FK$5,$E30&lt;FK$5+GanttPeriod),"◇","")),IF(AND(FK$5&lt;=$F30,FK$5+GanttPeriod-1&gt;=$E30),"━","")))</f>
        <v/>
      </c>
      <c r="FL30" s="69" t="str">
        <f aca="false">IF($E30="","",IF($M30,IF(AND($G30&gt;=FL$5,$G30&lt;FL$5+GanttPeriod),"◆",IF(AND($E30&gt;=FL$5,$E30&lt;FL$5+GanttPeriod),"◇","")),IF(AND(FL$5&lt;=$F30,FL$5+GanttPeriod-1&gt;=$E30),"━","")))</f>
        <v/>
      </c>
      <c r="FM30" s="69" t="str">
        <f aca="false">IF($E30="","",IF($M30,IF(AND($G30&gt;=FM$5,$G30&lt;FM$5+GanttPeriod),"◆",IF(AND($E30&gt;=FM$5,$E30&lt;FM$5+GanttPeriod),"◇","")),IF(AND(FM$5&lt;=$F30,FM$5+GanttPeriod-1&gt;=$E30),"━","")))</f>
        <v/>
      </c>
    </row>
    <row r="31" customFormat="false" ht="15" hidden="false" customHeight="false" outlineLevel="0" collapsed="false">
      <c r="A31" s="62" t="n">
        <f aca="false">IF(Tasks!$D31="","",Tasks!$A31)</f>
        <v>26</v>
      </c>
      <c r="B31" s="62" t="str">
        <f aca="false">IF(Tasks!$D31="","",Tasks!$B31)</f>
        <v>4.6</v>
      </c>
      <c r="C31" s="63" t="str">
        <f aca="false">IF(Tasks!$D31="","",REPT("    ",Tasks!$AE31-1)&amp;Tasks!$D31)</f>
        <v>    Hypercare support</v>
      </c>
      <c r="D31" s="62" t="n">
        <f aca="false">IF(Tasks!$D31="","",IF(Tasks!$AI31,NETWORKDAYS.INTL(Tasks!$R31,Tasks!$S31,WorkWeek,Holidays),N(Tasks!$F31)))</f>
        <v>10</v>
      </c>
      <c r="E31" s="64" t="n">
        <f aca="false">IF(Tasks!$D31="","",Tasks!$N31)</f>
        <v>46372</v>
      </c>
      <c r="F31" s="64" t="n">
        <f aca="false">IF(Tasks!$D31="","",Tasks!$O31)</f>
        <v>46391</v>
      </c>
      <c r="G31" s="64" t="n">
        <f aca="false">IF(Tasks!$D31="","",Tasks!$R31)</f>
        <v>46372</v>
      </c>
      <c r="H31" s="64" t="n">
        <f aca="false">IF(Tasks!$D31="","",Tasks!$S31)</f>
        <v>46391</v>
      </c>
      <c r="I31" s="65" t="n">
        <f aca="false">IF(Tasks!$D31="","",Tasks!$V31)</f>
        <v>0</v>
      </c>
      <c r="J31" s="63" t="str">
        <f aca="false">IF(Tasks!$D31="","",Tasks!$X31&amp;"")</f>
        <v>Jordan Lee</v>
      </c>
      <c r="K31" s="66" t="str">
        <f aca="false">IF(Tasks!$D31="","",Tasks!$W31)</f>
        <v>Not Started</v>
      </c>
      <c r="L31" s="67" t="b">
        <f aca="false">IF(Tasks!$D31="",FALSE(),Tasks!$AI31)</f>
        <v>0</v>
      </c>
      <c r="M31" s="67" t="b">
        <f aca="false">AND(Tasks!$AJ31=1,N(Tasks!$F31)=0)</f>
        <v>0</v>
      </c>
      <c r="N31" s="68" t="n">
        <f aca="false">IF(AND(Tasks!$AJ31=1,NOT($M31),N($I31)&gt;0),$G31,0)</f>
        <v>0</v>
      </c>
      <c r="O31" s="68" t="n">
        <f aca="false">IF($N31=0,0,IF($I31&gt;=1,$H31,MAX($N31,$G31+ROUND(($H31-$G31+1)*$I31,0)-1)))</f>
        <v>0</v>
      </c>
      <c r="P31" s="68" t="n">
        <f aca="false">IF(OR(Tasks!$AJ31&lt;&gt;1,$M31,N($I31)&gt;=1),0,IF($O31&gt;0,$O31+1,$G31))</f>
        <v>46372</v>
      </c>
      <c r="Q31" s="68" t="n">
        <f aca="false">IF($P31=0,0,$H31)</f>
        <v>46391</v>
      </c>
      <c r="R31" s="67" t="b">
        <f aca="false">AND(Tasks!$D31&lt;&gt;"",N(Tasks!$T31)&gt;0)</f>
        <v>0</v>
      </c>
      <c r="T31" s="69" t="str">
        <f aca="false">IF($E31="","",IF($M31,IF(AND($G31&gt;=T$5,$G31&lt;T$5+GanttPeriod),"◆",IF(AND($E31&gt;=T$5,$E31&lt;T$5+GanttPeriod),"◇","")),IF(AND(T$5&lt;=$F31,T$5+GanttPeriod-1&gt;=$E31),"━","")))</f>
        <v/>
      </c>
      <c r="U31" s="69" t="str">
        <f aca="false">IF($E31="","",IF($M31,IF(AND($G31&gt;=U$5,$G31&lt;U$5+GanttPeriod),"◆",IF(AND($E31&gt;=U$5,$E31&lt;U$5+GanttPeriod),"◇","")),IF(AND(U$5&lt;=$F31,U$5+GanttPeriod-1&gt;=$E31),"━","")))</f>
        <v/>
      </c>
      <c r="V31" s="69" t="str">
        <f aca="false">IF($E31="","",IF($M31,IF(AND($G31&gt;=V$5,$G31&lt;V$5+GanttPeriod),"◆",IF(AND($E31&gt;=V$5,$E31&lt;V$5+GanttPeriod),"◇","")),IF(AND(V$5&lt;=$F31,V$5+GanttPeriod-1&gt;=$E31),"━","")))</f>
        <v/>
      </c>
      <c r="W31" s="69" t="str">
        <f aca="false">IF($E31="","",IF($M31,IF(AND($G31&gt;=W$5,$G31&lt;W$5+GanttPeriod),"◆",IF(AND($E31&gt;=W$5,$E31&lt;W$5+GanttPeriod),"◇","")),IF(AND(W$5&lt;=$F31,W$5+GanttPeriod-1&gt;=$E31),"━","")))</f>
        <v/>
      </c>
      <c r="X31" s="69" t="str">
        <f aca="false">IF($E31="","",IF($M31,IF(AND($G31&gt;=X$5,$G31&lt;X$5+GanttPeriod),"◆",IF(AND($E31&gt;=X$5,$E31&lt;X$5+GanttPeriod),"◇","")),IF(AND(X$5&lt;=$F31,X$5+GanttPeriod-1&gt;=$E31),"━","")))</f>
        <v/>
      </c>
      <c r="Y31" s="69" t="str">
        <f aca="false">IF($E31="","",IF($M31,IF(AND($G31&gt;=Y$5,$G31&lt;Y$5+GanttPeriod),"◆",IF(AND($E31&gt;=Y$5,$E31&lt;Y$5+GanttPeriod),"◇","")),IF(AND(Y$5&lt;=$F31,Y$5+GanttPeriod-1&gt;=$E31),"━","")))</f>
        <v/>
      </c>
      <c r="Z31" s="69" t="str">
        <f aca="false">IF($E31="","",IF($M31,IF(AND($G31&gt;=Z$5,$G31&lt;Z$5+GanttPeriod),"◆",IF(AND($E31&gt;=Z$5,$E31&lt;Z$5+GanttPeriod),"◇","")),IF(AND(Z$5&lt;=$F31,Z$5+GanttPeriod-1&gt;=$E31),"━","")))</f>
        <v/>
      </c>
      <c r="AA31" s="69" t="str">
        <f aca="false">IF($E31="","",IF($M31,IF(AND($G31&gt;=AA$5,$G31&lt;AA$5+GanttPeriod),"◆",IF(AND($E31&gt;=AA$5,$E31&lt;AA$5+GanttPeriod),"◇","")),IF(AND(AA$5&lt;=$F31,AA$5+GanttPeriod-1&gt;=$E31),"━","")))</f>
        <v/>
      </c>
      <c r="AB31" s="69" t="str">
        <f aca="false">IF($E31="","",IF($M31,IF(AND($G31&gt;=AB$5,$G31&lt;AB$5+GanttPeriod),"◆",IF(AND($E31&gt;=AB$5,$E31&lt;AB$5+GanttPeriod),"◇","")),IF(AND(AB$5&lt;=$F31,AB$5+GanttPeriod-1&gt;=$E31),"━","")))</f>
        <v/>
      </c>
      <c r="AC31" s="69" t="str">
        <f aca="false">IF($E31="","",IF($M31,IF(AND($G31&gt;=AC$5,$G31&lt;AC$5+GanttPeriod),"◆",IF(AND($E31&gt;=AC$5,$E31&lt;AC$5+GanttPeriod),"◇","")),IF(AND(AC$5&lt;=$F31,AC$5+GanttPeriod-1&gt;=$E31),"━","")))</f>
        <v/>
      </c>
      <c r="AD31" s="69" t="str">
        <f aca="false">IF($E31="","",IF($M31,IF(AND($G31&gt;=AD$5,$G31&lt;AD$5+GanttPeriod),"◆",IF(AND($E31&gt;=AD$5,$E31&lt;AD$5+GanttPeriod),"◇","")),IF(AND(AD$5&lt;=$F31,AD$5+GanttPeriod-1&gt;=$E31),"━","")))</f>
        <v/>
      </c>
      <c r="AE31" s="69" t="str">
        <f aca="false">IF($E31="","",IF($M31,IF(AND($G31&gt;=AE$5,$G31&lt;AE$5+GanttPeriod),"◆",IF(AND($E31&gt;=AE$5,$E31&lt;AE$5+GanttPeriod),"◇","")),IF(AND(AE$5&lt;=$F31,AE$5+GanttPeriod-1&gt;=$E31),"━","")))</f>
        <v/>
      </c>
      <c r="AF31" s="69" t="str">
        <f aca="false">IF($E31="","",IF($M31,IF(AND($G31&gt;=AF$5,$G31&lt;AF$5+GanttPeriod),"◆",IF(AND($E31&gt;=AF$5,$E31&lt;AF$5+GanttPeriod),"◇","")),IF(AND(AF$5&lt;=$F31,AF$5+GanttPeriod-1&gt;=$E31),"━","")))</f>
        <v/>
      </c>
      <c r="AG31" s="69" t="str">
        <f aca="false">IF($E31="","",IF($M31,IF(AND($G31&gt;=AG$5,$G31&lt;AG$5+GanttPeriod),"◆",IF(AND($E31&gt;=AG$5,$E31&lt;AG$5+GanttPeriod),"◇","")),IF(AND(AG$5&lt;=$F31,AG$5+GanttPeriod-1&gt;=$E31),"━","")))</f>
        <v/>
      </c>
      <c r="AH31" s="69" t="str">
        <f aca="false">IF($E31="","",IF($M31,IF(AND($G31&gt;=AH$5,$G31&lt;AH$5+GanttPeriod),"◆",IF(AND($E31&gt;=AH$5,$E31&lt;AH$5+GanttPeriod),"◇","")),IF(AND(AH$5&lt;=$F31,AH$5+GanttPeriod-1&gt;=$E31),"━","")))</f>
        <v/>
      </c>
      <c r="AI31" s="69" t="str">
        <f aca="false">IF($E31="","",IF($M31,IF(AND($G31&gt;=AI$5,$G31&lt;AI$5+GanttPeriod),"◆",IF(AND($E31&gt;=AI$5,$E31&lt;AI$5+GanttPeriod),"◇","")),IF(AND(AI$5&lt;=$F31,AI$5+GanttPeriod-1&gt;=$E31),"━","")))</f>
        <v/>
      </c>
      <c r="AJ31" s="69" t="str">
        <f aca="false">IF($E31="","",IF($M31,IF(AND($G31&gt;=AJ$5,$G31&lt;AJ$5+GanttPeriod),"◆",IF(AND($E31&gt;=AJ$5,$E31&lt;AJ$5+GanttPeriod),"◇","")),IF(AND(AJ$5&lt;=$F31,AJ$5+GanttPeriod-1&gt;=$E31),"━","")))</f>
        <v/>
      </c>
      <c r="AK31" s="69" t="str">
        <f aca="false">IF($E31="","",IF($M31,IF(AND($G31&gt;=AK$5,$G31&lt;AK$5+GanttPeriod),"◆",IF(AND($E31&gt;=AK$5,$E31&lt;AK$5+GanttPeriod),"◇","")),IF(AND(AK$5&lt;=$F31,AK$5+GanttPeriod-1&gt;=$E31),"━","")))</f>
        <v/>
      </c>
      <c r="AL31" s="69" t="str">
        <f aca="false">IF($E31="","",IF($M31,IF(AND($G31&gt;=AL$5,$G31&lt;AL$5+GanttPeriod),"◆",IF(AND($E31&gt;=AL$5,$E31&lt;AL$5+GanttPeriod),"◇","")),IF(AND(AL$5&lt;=$F31,AL$5+GanttPeriod-1&gt;=$E31),"━","")))</f>
        <v/>
      </c>
      <c r="AM31" s="69" t="str">
        <f aca="false">IF($E31="","",IF($M31,IF(AND($G31&gt;=AM$5,$G31&lt;AM$5+GanttPeriod),"◆",IF(AND($E31&gt;=AM$5,$E31&lt;AM$5+GanttPeriod),"◇","")),IF(AND(AM$5&lt;=$F31,AM$5+GanttPeriod-1&gt;=$E31),"━","")))</f>
        <v/>
      </c>
      <c r="AN31" s="69" t="str">
        <f aca="false">IF($E31="","",IF($M31,IF(AND($G31&gt;=AN$5,$G31&lt;AN$5+GanttPeriod),"◆",IF(AND($E31&gt;=AN$5,$E31&lt;AN$5+GanttPeriod),"◇","")),IF(AND(AN$5&lt;=$F31,AN$5+GanttPeriod-1&gt;=$E31),"━","")))</f>
        <v/>
      </c>
      <c r="AO31" s="69" t="str">
        <f aca="false">IF($E31="","",IF($M31,IF(AND($G31&gt;=AO$5,$G31&lt;AO$5+GanttPeriod),"◆",IF(AND($E31&gt;=AO$5,$E31&lt;AO$5+GanttPeriod),"◇","")),IF(AND(AO$5&lt;=$F31,AO$5+GanttPeriod-1&gt;=$E31),"━","")))</f>
        <v/>
      </c>
      <c r="AP31" s="69" t="str">
        <f aca="false">IF($E31="","",IF($M31,IF(AND($G31&gt;=AP$5,$G31&lt;AP$5+GanttPeriod),"◆",IF(AND($E31&gt;=AP$5,$E31&lt;AP$5+GanttPeriod),"◇","")),IF(AND(AP$5&lt;=$F31,AP$5+GanttPeriod-1&gt;=$E31),"━","")))</f>
        <v/>
      </c>
      <c r="AQ31" s="69" t="str">
        <f aca="false">IF($E31="","",IF($M31,IF(AND($G31&gt;=AQ$5,$G31&lt;AQ$5+GanttPeriod),"◆",IF(AND($E31&gt;=AQ$5,$E31&lt;AQ$5+GanttPeriod),"◇","")),IF(AND(AQ$5&lt;=$F31,AQ$5+GanttPeriod-1&gt;=$E31),"━","")))</f>
        <v/>
      </c>
      <c r="AR31" s="69" t="str">
        <f aca="false">IF($E31="","",IF($M31,IF(AND($G31&gt;=AR$5,$G31&lt;AR$5+GanttPeriod),"◆",IF(AND($E31&gt;=AR$5,$E31&lt;AR$5+GanttPeriod),"◇","")),IF(AND(AR$5&lt;=$F31,AR$5+GanttPeriod-1&gt;=$E31),"━","")))</f>
        <v/>
      </c>
      <c r="AS31" s="69" t="str">
        <f aca="false">IF($E31="","",IF($M31,IF(AND($G31&gt;=AS$5,$G31&lt;AS$5+GanttPeriod),"◆",IF(AND($E31&gt;=AS$5,$E31&lt;AS$5+GanttPeriod),"◇","")),IF(AND(AS$5&lt;=$F31,AS$5+GanttPeriod-1&gt;=$E31),"━","")))</f>
        <v/>
      </c>
      <c r="AT31" s="69" t="str">
        <f aca="false">IF($E31="","",IF($M31,IF(AND($G31&gt;=AT$5,$G31&lt;AT$5+GanttPeriod),"◆",IF(AND($E31&gt;=AT$5,$E31&lt;AT$5+GanttPeriod),"◇","")),IF(AND(AT$5&lt;=$F31,AT$5+GanttPeriod-1&gt;=$E31),"━","")))</f>
        <v/>
      </c>
      <c r="AU31" s="69" t="str">
        <f aca="false">IF($E31="","",IF($M31,IF(AND($G31&gt;=AU$5,$G31&lt;AU$5+GanttPeriod),"◆",IF(AND($E31&gt;=AU$5,$E31&lt;AU$5+GanttPeriod),"◇","")),IF(AND(AU$5&lt;=$F31,AU$5+GanttPeriod-1&gt;=$E31),"━","")))</f>
        <v/>
      </c>
      <c r="AV31" s="69" t="str">
        <f aca="false">IF($E31="","",IF($M31,IF(AND($G31&gt;=AV$5,$G31&lt;AV$5+GanttPeriod),"◆",IF(AND($E31&gt;=AV$5,$E31&lt;AV$5+GanttPeriod),"◇","")),IF(AND(AV$5&lt;=$F31,AV$5+GanttPeriod-1&gt;=$E31),"━","")))</f>
        <v/>
      </c>
      <c r="AW31" s="69" t="str">
        <f aca="false">IF($E31="","",IF($M31,IF(AND($G31&gt;=AW$5,$G31&lt;AW$5+GanttPeriod),"◆",IF(AND($E31&gt;=AW$5,$E31&lt;AW$5+GanttPeriod),"◇","")),IF(AND(AW$5&lt;=$F31,AW$5+GanttPeriod-1&gt;=$E31),"━","")))</f>
        <v/>
      </c>
      <c r="AX31" s="69" t="str">
        <f aca="false">IF($E31="","",IF($M31,IF(AND($G31&gt;=AX$5,$G31&lt;AX$5+GanttPeriod),"◆",IF(AND($E31&gt;=AX$5,$E31&lt;AX$5+GanttPeriod),"◇","")),IF(AND(AX$5&lt;=$F31,AX$5+GanttPeriod-1&gt;=$E31),"━","")))</f>
        <v/>
      </c>
      <c r="AY31" s="69" t="str">
        <f aca="false">IF($E31="","",IF($M31,IF(AND($G31&gt;=AY$5,$G31&lt;AY$5+GanttPeriod),"◆",IF(AND($E31&gt;=AY$5,$E31&lt;AY$5+GanttPeriod),"◇","")),IF(AND(AY$5&lt;=$F31,AY$5+GanttPeriod-1&gt;=$E31),"━","")))</f>
        <v/>
      </c>
      <c r="AZ31" s="69" t="str">
        <f aca="false">IF($E31="","",IF($M31,IF(AND($G31&gt;=AZ$5,$G31&lt;AZ$5+GanttPeriod),"◆",IF(AND($E31&gt;=AZ$5,$E31&lt;AZ$5+GanttPeriod),"◇","")),IF(AND(AZ$5&lt;=$F31,AZ$5+GanttPeriod-1&gt;=$E31),"━","")))</f>
        <v/>
      </c>
      <c r="BA31" s="69" t="str">
        <f aca="false">IF($E31="","",IF($M31,IF(AND($G31&gt;=BA$5,$G31&lt;BA$5+GanttPeriod),"◆",IF(AND($E31&gt;=BA$5,$E31&lt;BA$5+GanttPeriod),"◇","")),IF(AND(BA$5&lt;=$F31,BA$5+GanttPeriod-1&gt;=$E31),"━","")))</f>
        <v/>
      </c>
      <c r="BB31" s="69" t="str">
        <f aca="false">IF($E31="","",IF($M31,IF(AND($G31&gt;=BB$5,$G31&lt;BB$5+GanttPeriod),"◆",IF(AND($E31&gt;=BB$5,$E31&lt;BB$5+GanttPeriod),"◇","")),IF(AND(BB$5&lt;=$F31,BB$5+GanttPeriod-1&gt;=$E31),"━","")))</f>
        <v/>
      </c>
      <c r="BC31" s="69" t="str">
        <f aca="false">IF($E31="","",IF($M31,IF(AND($G31&gt;=BC$5,$G31&lt;BC$5+GanttPeriod),"◆",IF(AND($E31&gt;=BC$5,$E31&lt;BC$5+GanttPeriod),"◇","")),IF(AND(BC$5&lt;=$F31,BC$5+GanttPeriod-1&gt;=$E31),"━","")))</f>
        <v/>
      </c>
      <c r="BD31" s="69" t="str">
        <f aca="false">IF($E31="","",IF($M31,IF(AND($G31&gt;=BD$5,$G31&lt;BD$5+GanttPeriod),"◆",IF(AND($E31&gt;=BD$5,$E31&lt;BD$5+GanttPeriod),"◇","")),IF(AND(BD$5&lt;=$F31,BD$5+GanttPeriod-1&gt;=$E31),"━","")))</f>
        <v/>
      </c>
      <c r="BE31" s="69" t="str">
        <f aca="false">IF($E31="","",IF($M31,IF(AND($G31&gt;=BE$5,$G31&lt;BE$5+GanttPeriod),"◆",IF(AND($E31&gt;=BE$5,$E31&lt;BE$5+GanttPeriod),"◇","")),IF(AND(BE$5&lt;=$F31,BE$5+GanttPeriod-1&gt;=$E31),"━","")))</f>
        <v/>
      </c>
      <c r="BF31" s="69" t="str">
        <f aca="false">IF($E31="","",IF($M31,IF(AND($G31&gt;=BF$5,$G31&lt;BF$5+GanttPeriod),"◆",IF(AND($E31&gt;=BF$5,$E31&lt;BF$5+GanttPeriod),"◇","")),IF(AND(BF$5&lt;=$F31,BF$5+GanttPeriod-1&gt;=$E31),"━","")))</f>
        <v/>
      </c>
      <c r="BG31" s="69" t="str">
        <f aca="false">IF($E31="","",IF($M31,IF(AND($G31&gt;=BG$5,$G31&lt;BG$5+GanttPeriod),"◆",IF(AND($E31&gt;=BG$5,$E31&lt;BG$5+GanttPeriod),"◇","")),IF(AND(BG$5&lt;=$F31,BG$5+GanttPeriod-1&gt;=$E31),"━","")))</f>
        <v/>
      </c>
      <c r="BH31" s="69" t="str">
        <f aca="false">IF($E31="","",IF($M31,IF(AND($G31&gt;=BH$5,$G31&lt;BH$5+GanttPeriod),"◆",IF(AND($E31&gt;=BH$5,$E31&lt;BH$5+GanttPeriod),"◇","")),IF(AND(BH$5&lt;=$F31,BH$5+GanttPeriod-1&gt;=$E31),"━","")))</f>
        <v/>
      </c>
      <c r="BI31" s="69" t="str">
        <f aca="false">IF($E31="","",IF($M31,IF(AND($G31&gt;=BI$5,$G31&lt;BI$5+GanttPeriod),"◆",IF(AND($E31&gt;=BI$5,$E31&lt;BI$5+GanttPeriod),"◇","")),IF(AND(BI$5&lt;=$F31,BI$5+GanttPeriod-1&gt;=$E31),"━","")))</f>
        <v/>
      </c>
      <c r="BJ31" s="69" t="str">
        <f aca="false">IF($E31="","",IF($M31,IF(AND($G31&gt;=BJ$5,$G31&lt;BJ$5+GanttPeriod),"◆",IF(AND($E31&gt;=BJ$5,$E31&lt;BJ$5+GanttPeriod),"◇","")),IF(AND(BJ$5&lt;=$F31,BJ$5+GanttPeriod-1&gt;=$E31),"━","")))</f>
        <v/>
      </c>
      <c r="BK31" s="69" t="str">
        <f aca="false">IF($E31="","",IF($M31,IF(AND($G31&gt;=BK$5,$G31&lt;BK$5+GanttPeriod),"◆",IF(AND($E31&gt;=BK$5,$E31&lt;BK$5+GanttPeriod),"◇","")),IF(AND(BK$5&lt;=$F31,BK$5+GanttPeriod-1&gt;=$E31),"━","")))</f>
        <v/>
      </c>
      <c r="BL31" s="69" t="str">
        <f aca="false">IF($E31="","",IF($M31,IF(AND($G31&gt;=BL$5,$G31&lt;BL$5+GanttPeriod),"◆",IF(AND($E31&gt;=BL$5,$E31&lt;BL$5+GanttPeriod),"◇","")),IF(AND(BL$5&lt;=$F31,BL$5+GanttPeriod-1&gt;=$E31),"━","")))</f>
        <v/>
      </c>
      <c r="BM31" s="69" t="str">
        <f aca="false">IF($E31="","",IF($M31,IF(AND($G31&gt;=BM$5,$G31&lt;BM$5+GanttPeriod),"◆",IF(AND($E31&gt;=BM$5,$E31&lt;BM$5+GanttPeriod),"◇","")),IF(AND(BM$5&lt;=$F31,BM$5+GanttPeriod-1&gt;=$E31),"━","")))</f>
        <v/>
      </c>
      <c r="BN31" s="69" t="str">
        <f aca="false">IF($E31="","",IF($M31,IF(AND($G31&gt;=BN$5,$G31&lt;BN$5+GanttPeriod),"◆",IF(AND($E31&gt;=BN$5,$E31&lt;BN$5+GanttPeriod),"◇","")),IF(AND(BN$5&lt;=$F31,BN$5+GanttPeriod-1&gt;=$E31),"━","")))</f>
        <v/>
      </c>
      <c r="BO31" s="69" t="str">
        <f aca="false">IF($E31="","",IF($M31,IF(AND($G31&gt;=BO$5,$G31&lt;BO$5+GanttPeriod),"◆",IF(AND($E31&gt;=BO$5,$E31&lt;BO$5+GanttPeriod),"◇","")),IF(AND(BO$5&lt;=$F31,BO$5+GanttPeriod-1&gt;=$E31),"━","")))</f>
        <v/>
      </c>
      <c r="BP31" s="69" t="str">
        <f aca="false">IF($E31="","",IF($M31,IF(AND($G31&gt;=BP$5,$G31&lt;BP$5+GanttPeriod),"◆",IF(AND($E31&gt;=BP$5,$E31&lt;BP$5+GanttPeriod),"◇","")),IF(AND(BP$5&lt;=$F31,BP$5+GanttPeriod-1&gt;=$E31),"━","")))</f>
        <v/>
      </c>
      <c r="BQ31" s="69" t="str">
        <f aca="false">IF($E31="","",IF($M31,IF(AND($G31&gt;=BQ$5,$G31&lt;BQ$5+GanttPeriod),"◆",IF(AND($E31&gt;=BQ$5,$E31&lt;BQ$5+GanttPeriod),"◇","")),IF(AND(BQ$5&lt;=$F31,BQ$5+GanttPeriod-1&gt;=$E31),"━","")))</f>
        <v/>
      </c>
      <c r="BR31" s="69" t="str">
        <f aca="false">IF($E31="","",IF($M31,IF(AND($G31&gt;=BR$5,$G31&lt;BR$5+GanttPeriod),"◆",IF(AND($E31&gt;=BR$5,$E31&lt;BR$5+GanttPeriod),"◇","")),IF(AND(BR$5&lt;=$F31,BR$5+GanttPeriod-1&gt;=$E31),"━","")))</f>
        <v/>
      </c>
      <c r="BS31" s="69" t="str">
        <f aca="false">IF($E31="","",IF($M31,IF(AND($G31&gt;=BS$5,$G31&lt;BS$5+GanttPeriod),"◆",IF(AND($E31&gt;=BS$5,$E31&lt;BS$5+GanttPeriod),"◇","")),IF(AND(BS$5&lt;=$F31,BS$5+GanttPeriod-1&gt;=$E31),"━","")))</f>
        <v/>
      </c>
      <c r="BT31" s="69" t="str">
        <f aca="false">IF($E31="","",IF($M31,IF(AND($G31&gt;=BT$5,$G31&lt;BT$5+GanttPeriod),"◆",IF(AND($E31&gt;=BT$5,$E31&lt;BT$5+GanttPeriod),"◇","")),IF(AND(BT$5&lt;=$F31,BT$5+GanttPeriod-1&gt;=$E31),"━","")))</f>
        <v/>
      </c>
      <c r="BU31" s="69" t="str">
        <f aca="false">IF($E31="","",IF($M31,IF(AND($G31&gt;=BU$5,$G31&lt;BU$5+GanttPeriod),"◆",IF(AND($E31&gt;=BU$5,$E31&lt;BU$5+GanttPeriod),"◇","")),IF(AND(BU$5&lt;=$F31,BU$5+GanttPeriod-1&gt;=$E31),"━","")))</f>
        <v/>
      </c>
      <c r="BV31" s="69" t="str">
        <f aca="false">IF($E31="","",IF($M31,IF(AND($G31&gt;=BV$5,$G31&lt;BV$5+GanttPeriod),"◆",IF(AND($E31&gt;=BV$5,$E31&lt;BV$5+GanttPeriod),"◇","")),IF(AND(BV$5&lt;=$F31,BV$5+GanttPeriod-1&gt;=$E31),"━","")))</f>
        <v/>
      </c>
      <c r="BW31" s="69" t="str">
        <f aca="false">IF($E31="","",IF($M31,IF(AND($G31&gt;=BW$5,$G31&lt;BW$5+GanttPeriod),"◆",IF(AND($E31&gt;=BW$5,$E31&lt;BW$5+GanttPeriod),"◇","")),IF(AND(BW$5&lt;=$F31,BW$5+GanttPeriod-1&gt;=$E31),"━","")))</f>
        <v/>
      </c>
      <c r="BX31" s="69" t="str">
        <f aca="false">IF($E31="","",IF($M31,IF(AND($G31&gt;=BX$5,$G31&lt;BX$5+GanttPeriod),"◆",IF(AND($E31&gt;=BX$5,$E31&lt;BX$5+GanttPeriod),"◇","")),IF(AND(BX$5&lt;=$F31,BX$5+GanttPeriod-1&gt;=$E31),"━","")))</f>
        <v/>
      </c>
      <c r="BY31" s="69" t="str">
        <f aca="false">IF($E31="","",IF($M31,IF(AND($G31&gt;=BY$5,$G31&lt;BY$5+GanttPeriod),"◆",IF(AND($E31&gt;=BY$5,$E31&lt;BY$5+GanttPeriod),"◇","")),IF(AND(BY$5&lt;=$F31,BY$5+GanttPeriod-1&gt;=$E31),"━","")))</f>
        <v/>
      </c>
      <c r="BZ31" s="69" t="str">
        <f aca="false">IF($E31="","",IF($M31,IF(AND($G31&gt;=BZ$5,$G31&lt;BZ$5+GanttPeriod),"◆",IF(AND($E31&gt;=BZ$5,$E31&lt;BZ$5+GanttPeriod),"◇","")),IF(AND(BZ$5&lt;=$F31,BZ$5+GanttPeriod-1&gt;=$E31),"━","")))</f>
        <v/>
      </c>
      <c r="CA31" s="69" t="str">
        <f aca="false">IF($E31="","",IF($M31,IF(AND($G31&gt;=CA$5,$G31&lt;CA$5+GanttPeriod),"◆",IF(AND($E31&gt;=CA$5,$E31&lt;CA$5+GanttPeriod),"◇","")),IF(AND(CA$5&lt;=$F31,CA$5+GanttPeriod-1&gt;=$E31),"━","")))</f>
        <v/>
      </c>
      <c r="CB31" s="69" t="str">
        <f aca="false">IF($E31="","",IF($M31,IF(AND($G31&gt;=CB$5,$G31&lt;CB$5+GanttPeriod),"◆",IF(AND($E31&gt;=CB$5,$E31&lt;CB$5+GanttPeriod),"◇","")),IF(AND(CB$5&lt;=$F31,CB$5+GanttPeriod-1&gt;=$E31),"━","")))</f>
        <v/>
      </c>
      <c r="CC31" s="69" t="str">
        <f aca="false">IF($E31="","",IF($M31,IF(AND($G31&gt;=CC$5,$G31&lt;CC$5+GanttPeriod),"◆",IF(AND($E31&gt;=CC$5,$E31&lt;CC$5+GanttPeriod),"◇","")),IF(AND(CC$5&lt;=$F31,CC$5+GanttPeriod-1&gt;=$E31),"━","")))</f>
        <v/>
      </c>
      <c r="CD31" s="69" t="str">
        <f aca="false">IF($E31="","",IF($M31,IF(AND($G31&gt;=CD$5,$G31&lt;CD$5+GanttPeriod),"◆",IF(AND($E31&gt;=CD$5,$E31&lt;CD$5+GanttPeriod),"◇","")),IF(AND(CD$5&lt;=$F31,CD$5+GanttPeriod-1&gt;=$E31),"━","")))</f>
        <v/>
      </c>
      <c r="CE31" s="69" t="str">
        <f aca="false">IF($E31="","",IF($M31,IF(AND($G31&gt;=CE$5,$G31&lt;CE$5+GanttPeriod),"◆",IF(AND($E31&gt;=CE$5,$E31&lt;CE$5+GanttPeriod),"◇","")),IF(AND(CE$5&lt;=$F31,CE$5+GanttPeriod-1&gt;=$E31),"━","")))</f>
        <v/>
      </c>
      <c r="CF31" s="69" t="str">
        <f aca="false">IF($E31="","",IF($M31,IF(AND($G31&gt;=CF$5,$G31&lt;CF$5+GanttPeriod),"◆",IF(AND($E31&gt;=CF$5,$E31&lt;CF$5+GanttPeriod),"◇","")),IF(AND(CF$5&lt;=$F31,CF$5+GanttPeriod-1&gt;=$E31),"━","")))</f>
        <v/>
      </c>
      <c r="CG31" s="69" t="str">
        <f aca="false">IF($E31="","",IF($M31,IF(AND($G31&gt;=CG$5,$G31&lt;CG$5+GanttPeriod),"◆",IF(AND($E31&gt;=CG$5,$E31&lt;CG$5+GanttPeriod),"◇","")),IF(AND(CG$5&lt;=$F31,CG$5+GanttPeriod-1&gt;=$E31),"━","")))</f>
        <v/>
      </c>
      <c r="CH31" s="69" t="str">
        <f aca="false">IF($E31="","",IF($M31,IF(AND($G31&gt;=CH$5,$G31&lt;CH$5+GanttPeriod),"◆",IF(AND($E31&gt;=CH$5,$E31&lt;CH$5+GanttPeriod),"◇","")),IF(AND(CH$5&lt;=$F31,CH$5+GanttPeriod-1&gt;=$E31),"━","")))</f>
        <v/>
      </c>
      <c r="CI31" s="69" t="str">
        <f aca="false">IF($E31="","",IF($M31,IF(AND($G31&gt;=CI$5,$G31&lt;CI$5+GanttPeriod),"◆",IF(AND($E31&gt;=CI$5,$E31&lt;CI$5+GanttPeriod),"◇","")),IF(AND(CI$5&lt;=$F31,CI$5+GanttPeriod-1&gt;=$E31),"━","")))</f>
        <v/>
      </c>
      <c r="CJ31" s="69" t="str">
        <f aca="false">IF($E31="","",IF($M31,IF(AND($G31&gt;=CJ$5,$G31&lt;CJ$5+GanttPeriod),"◆",IF(AND($E31&gt;=CJ$5,$E31&lt;CJ$5+GanttPeriod),"◇","")),IF(AND(CJ$5&lt;=$F31,CJ$5+GanttPeriod-1&gt;=$E31),"━","")))</f>
        <v/>
      </c>
      <c r="CK31" s="69" t="str">
        <f aca="false">IF($E31="","",IF($M31,IF(AND($G31&gt;=CK$5,$G31&lt;CK$5+GanttPeriod),"◆",IF(AND($E31&gt;=CK$5,$E31&lt;CK$5+GanttPeriod),"◇","")),IF(AND(CK$5&lt;=$F31,CK$5+GanttPeriod-1&gt;=$E31),"━","")))</f>
        <v/>
      </c>
      <c r="CL31" s="69" t="str">
        <f aca="false">IF($E31="","",IF($M31,IF(AND($G31&gt;=CL$5,$G31&lt;CL$5+GanttPeriod),"◆",IF(AND($E31&gt;=CL$5,$E31&lt;CL$5+GanttPeriod),"◇","")),IF(AND(CL$5&lt;=$F31,CL$5+GanttPeriod-1&gt;=$E31),"━","")))</f>
        <v/>
      </c>
      <c r="CM31" s="69" t="str">
        <f aca="false">IF($E31="","",IF($M31,IF(AND($G31&gt;=CM$5,$G31&lt;CM$5+GanttPeriod),"◆",IF(AND($E31&gt;=CM$5,$E31&lt;CM$5+GanttPeriod),"◇","")),IF(AND(CM$5&lt;=$F31,CM$5+GanttPeriod-1&gt;=$E31),"━","")))</f>
        <v/>
      </c>
      <c r="CN31" s="69" t="str">
        <f aca="false">IF($E31="","",IF($M31,IF(AND($G31&gt;=CN$5,$G31&lt;CN$5+GanttPeriod),"◆",IF(AND($E31&gt;=CN$5,$E31&lt;CN$5+GanttPeriod),"◇","")),IF(AND(CN$5&lt;=$F31,CN$5+GanttPeriod-1&gt;=$E31),"━","")))</f>
        <v/>
      </c>
      <c r="CO31" s="69" t="str">
        <f aca="false">IF($E31="","",IF($M31,IF(AND($G31&gt;=CO$5,$G31&lt;CO$5+GanttPeriod),"◆",IF(AND($E31&gt;=CO$5,$E31&lt;CO$5+GanttPeriod),"◇","")),IF(AND(CO$5&lt;=$F31,CO$5+GanttPeriod-1&gt;=$E31),"━","")))</f>
        <v/>
      </c>
      <c r="CP31" s="69" t="str">
        <f aca="false">IF($E31="","",IF($M31,IF(AND($G31&gt;=CP$5,$G31&lt;CP$5+GanttPeriod),"◆",IF(AND($E31&gt;=CP$5,$E31&lt;CP$5+GanttPeriod),"◇","")),IF(AND(CP$5&lt;=$F31,CP$5+GanttPeriod-1&gt;=$E31),"━","")))</f>
        <v/>
      </c>
      <c r="CQ31" s="69" t="str">
        <f aca="false">IF($E31="","",IF($M31,IF(AND($G31&gt;=CQ$5,$G31&lt;CQ$5+GanttPeriod),"◆",IF(AND($E31&gt;=CQ$5,$E31&lt;CQ$5+GanttPeriod),"◇","")),IF(AND(CQ$5&lt;=$F31,CQ$5+GanttPeriod-1&gt;=$E31),"━","")))</f>
        <v/>
      </c>
      <c r="CR31" s="69" t="str">
        <f aca="false">IF($E31="","",IF($M31,IF(AND($G31&gt;=CR$5,$G31&lt;CR$5+GanttPeriod),"◆",IF(AND($E31&gt;=CR$5,$E31&lt;CR$5+GanttPeriod),"◇","")),IF(AND(CR$5&lt;=$F31,CR$5+GanttPeriod-1&gt;=$E31),"━","")))</f>
        <v/>
      </c>
      <c r="CS31" s="69" t="str">
        <f aca="false">IF($E31="","",IF($M31,IF(AND($G31&gt;=CS$5,$G31&lt;CS$5+GanttPeriod),"◆",IF(AND($E31&gt;=CS$5,$E31&lt;CS$5+GanttPeriod),"◇","")),IF(AND(CS$5&lt;=$F31,CS$5+GanttPeriod-1&gt;=$E31),"━","")))</f>
        <v/>
      </c>
      <c r="CT31" s="69" t="str">
        <f aca="false">IF($E31="","",IF($M31,IF(AND($G31&gt;=CT$5,$G31&lt;CT$5+GanttPeriod),"◆",IF(AND($E31&gt;=CT$5,$E31&lt;CT$5+GanttPeriod),"◇","")),IF(AND(CT$5&lt;=$F31,CT$5+GanttPeriod-1&gt;=$E31),"━","")))</f>
        <v/>
      </c>
      <c r="CU31" s="69" t="str">
        <f aca="false">IF($E31="","",IF($M31,IF(AND($G31&gt;=CU$5,$G31&lt;CU$5+GanttPeriod),"◆",IF(AND($E31&gt;=CU$5,$E31&lt;CU$5+GanttPeriod),"◇","")),IF(AND(CU$5&lt;=$F31,CU$5+GanttPeriod-1&gt;=$E31),"━","")))</f>
        <v/>
      </c>
      <c r="CV31" s="69" t="str">
        <f aca="false">IF($E31="","",IF($M31,IF(AND($G31&gt;=CV$5,$G31&lt;CV$5+GanttPeriod),"◆",IF(AND($E31&gt;=CV$5,$E31&lt;CV$5+GanttPeriod),"◇","")),IF(AND(CV$5&lt;=$F31,CV$5+GanttPeriod-1&gt;=$E31),"━","")))</f>
        <v/>
      </c>
      <c r="CW31" s="69" t="str">
        <f aca="false">IF($E31="","",IF($M31,IF(AND($G31&gt;=CW$5,$G31&lt;CW$5+GanttPeriod),"◆",IF(AND($E31&gt;=CW$5,$E31&lt;CW$5+GanttPeriod),"◇","")),IF(AND(CW$5&lt;=$F31,CW$5+GanttPeriod-1&gt;=$E31),"━","")))</f>
        <v/>
      </c>
      <c r="CX31" s="69" t="str">
        <f aca="false">IF($E31="","",IF($M31,IF(AND($G31&gt;=CX$5,$G31&lt;CX$5+GanttPeriod),"◆",IF(AND($E31&gt;=CX$5,$E31&lt;CX$5+GanttPeriod),"◇","")),IF(AND(CX$5&lt;=$F31,CX$5+GanttPeriod-1&gt;=$E31),"━","")))</f>
        <v/>
      </c>
      <c r="CY31" s="69" t="str">
        <f aca="false">IF($E31="","",IF($M31,IF(AND($G31&gt;=CY$5,$G31&lt;CY$5+GanttPeriod),"◆",IF(AND($E31&gt;=CY$5,$E31&lt;CY$5+GanttPeriod),"◇","")),IF(AND(CY$5&lt;=$F31,CY$5+GanttPeriod-1&gt;=$E31),"━","")))</f>
        <v/>
      </c>
      <c r="CZ31" s="69" t="str">
        <f aca="false">IF($E31="","",IF($M31,IF(AND($G31&gt;=CZ$5,$G31&lt;CZ$5+GanttPeriod),"◆",IF(AND($E31&gt;=CZ$5,$E31&lt;CZ$5+GanttPeriod),"◇","")),IF(AND(CZ$5&lt;=$F31,CZ$5+GanttPeriod-1&gt;=$E31),"━","")))</f>
        <v/>
      </c>
      <c r="DA31" s="69" t="str">
        <f aca="false">IF($E31="","",IF($M31,IF(AND($G31&gt;=DA$5,$G31&lt;DA$5+GanttPeriod),"◆",IF(AND($E31&gt;=DA$5,$E31&lt;DA$5+GanttPeriod),"◇","")),IF(AND(DA$5&lt;=$F31,DA$5+GanttPeriod-1&gt;=$E31),"━","")))</f>
        <v/>
      </c>
      <c r="DB31" s="69" t="str">
        <f aca="false">IF($E31="","",IF($M31,IF(AND($G31&gt;=DB$5,$G31&lt;DB$5+GanttPeriod),"◆",IF(AND($E31&gt;=DB$5,$E31&lt;DB$5+GanttPeriod),"◇","")),IF(AND(DB$5&lt;=$F31,DB$5+GanttPeriod-1&gt;=$E31),"━","")))</f>
        <v/>
      </c>
      <c r="DC31" s="69" t="str">
        <f aca="false">IF($E31="","",IF($M31,IF(AND($G31&gt;=DC$5,$G31&lt;DC$5+GanttPeriod),"◆",IF(AND($E31&gt;=DC$5,$E31&lt;DC$5+GanttPeriod),"◇","")),IF(AND(DC$5&lt;=$F31,DC$5+GanttPeriod-1&gt;=$E31),"━","")))</f>
        <v/>
      </c>
      <c r="DD31" s="69" t="str">
        <f aca="false">IF($E31="","",IF($M31,IF(AND($G31&gt;=DD$5,$G31&lt;DD$5+GanttPeriod),"◆",IF(AND($E31&gt;=DD$5,$E31&lt;DD$5+GanttPeriod),"◇","")),IF(AND(DD$5&lt;=$F31,DD$5+GanttPeriod-1&gt;=$E31),"━","")))</f>
        <v/>
      </c>
      <c r="DE31" s="69" t="str">
        <f aca="false">IF($E31="","",IF($M31,IF(AND($G31&gt;=DE$5,$G31&lt;DE$5+GanttPeriod),"◆",IF(AND($E31&gt;=DE$5,$E31&lt;DE$5+GanttPeriod),"◇","")),IF(AND(DE$5&lt;=$F31,DE$5+GanttPeriod-1&gt;=$E31),"━","")))</f>
        <v/>
      </c>
      <c r="DF31" s="69" t="str">
        <f aca="false">IF($E31="","",IF($M31,IF(AND($G31&gt;=DF$5,$G31&lt;DF$5+GanttPeriod),"◆",IF(AND($E31&gt;=DF$5,$E31&lt;DF$5+GanttPeriod),"◇","")),IF(AND(DF$5&lt;=$F31,DF$5+GanttPeriod-1&gt;=$E31),"━","")))</f>
        <v/>
      </c>
      <c r="DG31" s="69" t="str">
        <f aca="false">IF($E31="","",IF($M31,IF(AND($G31&gt;=DG$5,$G31&lt;DG$5+GanttPeriod),"◆",IF(AND($E31&gt;=DG$5,$E31&lt;DG$5+GanttPeriod),"◇","")),IF(AND(DG$5&lt;=$F31,DG$5+GanttPeriod-1&gt;=$E31),"━","")))</f>
        <v/>
      </c>
      <c r="DH31" s="69" t="str">
        <f aca="false">IF($E31="","",IF($M31,IF(AND($G31&gt;=DH$5,$G31&lt;DH$5+GanttPeriod),"◆",IF(AND($E31&gt;=DH$5,$E31&lt;DH$5+GanttPeriod),"◇","")),IF(AND(DH$5&lt;=$F31,DH$5+GanttPeriod-1&gt;=$E31),"━","")))</f>
        <v/>
      </c>
      <c r="DI31" s="69" t="str">
        <f aca="false">IF($E31="","",IF($M31,IF(AND($G31&gt;=DI$5,$G31&lt;DI$5+GanttPeriod),"◆",IF(AND($E31&gt;=DI$5,$E31&lt;DI$5+GanttPeriod),"◇","")),IF(AND(DI$5&lt;=$F31,DI$5+GanttPeriod-1&gt;=$E31),"━","")))</f>
        <v/>
      </c>
      <c r="DJ31" s="69" t="str">
        <f aca="false">IF($E31="","",IF($M31,IF(AND($G31&gt;=DJ$5,$G31&lt;DJ$5+GanttPeriod),"◆",IF(AND($E31&gt;=DJ$5,$E31&lt;DJ$5+GanttPeriod),"◇","")),IF(AND(DJ$5&lt;=$F31,DJ$5+GanttPeriod-1&gt;=$E31),"━","")))</f>
        <v/>
      </c>
      <c r="DK31" s="69" t="str">
        <f aca="false">IF($E31="","",IF($M31,IF(AND($G31&gt;=DK$5,$G31&lt;DK$5+GanttPeriod),"◆",IF(AND($E31&gt;=DK$5,$E31&lt;DK$5+GanttPeriod),"◇","")),IF(AND(DK$5&lt;=$F31,DK$5+GanttPeriod-1&gt;=$E31),"━","")))</f>
        <v/>
      </c>
      <c r="DL31" s="69" t="str">
        <f aca="false">IF($E31="","",IF($M31,IF(AND($G31&gt;=DL$5,$G31&lt;DL$5+GanttPeriod),"◆",IF(AND($E31&gt;=DL$5,$E31&lt;DL$5+GanttPeriod),"◇","")),IF(AND(DL$5&lt;=$F31,DL$5+GanttPeriod-1&gt;=$E31),"━","")))</f>
        <v/>
      </c>
      <c r="DM31" s="69" t="str">
        <f aca="false">IF($E31="","",IF($M31,IF(AND($G31&gt;=DM$5,$G31&lt;DM$5+GanttPeriod),"◆",IF(AND($E31&gt;=DM$5,$E31&lt;DM$5+GanttPeriod),"◇","")),IF(AND(DM$5&lt;=$F31,DM$5+GanttPeriod-1&gt;=$E31),"━","")))</f>
        <v/>
      </c>
      <c r="DN31" s="69" t="str">
        <f aca="false">IF($E31="","",IF($M31,IF(AND($G31&gt;=DN$5,$G31&lt;DN$5+GanttPeriod),"◆",IF(AND($E31&gt;=DN$5,$E31&lt;DN$5+GanttPeriod),"◇","")),IF(AND(DN$5&lt;=$F31,DN$5+GanttPeriod-1&gt;=$E31),"━","")))</f>
        <v/>
      </c>
      <c r="DO31" s="69" t="str">
        <f aca="false">IF($E31="","",IF($M31,IF(AND($G31&gt;=DO$5,$G31&lt;DO$5+GanttPeriod),"◆",IF(AND($E31&gt;=DO$5,$E31&lt;DO$5+GanttPeriod),"◇","")),IF(AND(DO$5&lt;=$F31,DO$5+GanttPeriod-1&gt;=$E31),"━","")))</f>
        <v/>
      </c>
      <c r="DP31" s="69" t="str">
        <f aca="false">IF($E31="","",IF($M31,IF(AND($G31&gt;=DP$5,$G31&lt;DP$5+GanttPeriod),"◆",IF(AND($E31&gt;=DP$5,$E31&lt;DP$5+GanttPeriod),"◇","")),IF(AND(DP$5&lt;=$F31,DP$5+GanttPeriod-1&gt;=$E31),"━","")))</f>
        <v>━</v>
      </c>
      <c r="DQ31" s="69" t="str">
        <f aca="false">IF($E31="","",IF($M31,IF(AND($G31&gt;=DQ$5,$G31&lt;DQ$5+GanttPeriod),"◆",IF(AND($E31&gt;=DQ$5,$E31&lt;DQ$5+GanttPeriod),"◇","")),IF(AND(DQ$5&lt;=$F31,DQ$5+GanttPeriod-1&gt;=$E31),"━","")))</f>
        <v>━</v>
      </c>
      <c r="DR31" s="69" t="str">
        <f aca="false">IF($E31="","",IF($M31,IF(AND($G31&gt;=DR$5,$G31&lt;DR$5+GanttPeriod),"◆",IF(AND($E31&gt;=DR$5,$E31&lt;DR$5+GanttPeriod),"◇","")),IF(AND(DR$5&lt;=$F31,DR$5+GanttPeriod-1&gt;=$E31),"━","")))</f>
        <v>━</v>
      </c>
      <c r="DS31" s="69" t="str">
        <f aca="false">IF($E31="","",IF($M31,IF(AND($G31&gt;=DS$5,$G31&lt;DS$5+GanttPeriod),"◆",IF(AND($E31&gt;=DS$5,$E31&lt;DS$5+GanttPeriod),"◇","")),IF(AND(DS$5&lt;=$F31,DS$5+GanttPeriod-1&gt;=$E31),"━","")))</f>
        <v>━</v>
      </c>
      <c r="DT31" s="69" t="str">
        <f aca="false">IF($E31="","",IF($M31,IF(AND($G31&gt;=DT$5,$G31&lt;DT$5+GanttPeriod),"◆",IF(AND($E31&gt;=DT$5,$E31&lt;DT$5+GanttPeriod),"◇","")),IF(AND(DT$5&lt;=$F31,DT$5+GanttPeriod-1&gt;=$E31),"━","")))</f>
        <v>━</v>
      </c>
      <c r="DU31" s="69" t="str">
        <f aca="false">IF($E31="","",IF($M31,IF(AND($G31&gt;=DU$5,$G31&lt;DU$5+GanttPeriod),"◆",IF(AND($E31&gt;=DU$5,$E31&lt;DU$5+GanttPeriod),"◇","")),IF(AND(DU$5&lt;=$F31,DU$5+GanttPeriod-1&gt;=$E31),"━","")))</f>
        <v>━</v>
      </c>
      <c r="DV31" s="69" t="str">
        <f aca="false">IF($E31="","",IF($M31,IF(AND($G31&gt;=DV$5,$G31&lt;DV$5+GanttPeriod),"◆",IF(AND($E31&gt;=DV$5,$E31&lt;DV$5+GanttPeriod),"◇","")),IF(AND(DV$5&lt;=$F31,DV$5+GanttPeriod-1&gt;=$E31),"━","")))</f>
        <v>━</v>
      </c>
      <c r="DW31" s="69" t="str">
        <f aca="false">IF($E31="","",IF($M31,IF(AND($G31&gt;=DW$5,$G31&lt;DW$5+GanttPeriod),"◆",IF(AND($E31&gt;=DW$5,$E31&lt;DW$5+GanttPeriod),"◇","")),IF(AND(DW$5&lt;=$F31,DW$5+GanttPeriod-1&gt;=$E31),"━","")))</f>
        <v>━</v>
      </c>
      <c r="DX31" s="69" t="str">
        <f aca="false">IF($E31="","",IF($M31,IF(AND($G31&gt;=DX$5,$G31&lt;DX$5+GanttPeriod),"◆",IF(AND($E31&gt;=DX$5,$E31&lt;DX$5+GanttPeriod),"◇","")),IF(AND(DX$5&lt;=$F31,DX$5+GanttPeriod-1&gt;=$E31),"━","")))</f>
        <v>━</v>
      </c>
      <c r="DY31" s="69" t="str">
        <f aca="false">IF($E31="","",IF($M31,IF(AND($G31&gt;=DY$5,$G31&lt;DY$5+GanttPeriod),"◆",IF(AND($E31&gt;=DY$5,$E31&lt;DY$5+GanttPeriod),"◇","")),IF(AND(DY$5&lt;=$F31,DY$5+GanttPeriod-1&gt;=$E31),"━","")))</f>
        <v>━</v>
      </c>
      <c r="DZ31" s="69" t="str">
        <f aca="false">IF($E31="","",IF($M31,IF(AND($G31&gt;=DZ$5,$G31&lt;DZ$5+GanttPeriod),"◆",IF(AND($E31&gt;=DZ$5,$E31&lt;DZ$5+GanttPeriod),"◇","")),IF(AND(DZ$5&lt;=$F31,DZ$5+GanttPeriod-1&gt;=$E31),"━","")))</f>
        <v>━</v>
      </c>
      <c r="EA31" s="69" t="str">
        <f aca="false">IF($E31="","",IF($M31,IF(AND($G31&gt;=EA$5,$G31&lt;EA$5+GanttPeriod),"◆",IF(AND($E31&gt;=EA$5,$E31&lt;EA$5+GanttPeriod),"◇","")),IF(AND(EA$5&lt;=$F31,EA$5+GanttPeriod-1&gt;=$E31),"━","")))</f>
        <v>━</v>
      </c>
      <c r="EB31" s="69" t="str">
        <f aca="false">IF($E31="","",IF($M31,IF(AND($G31&gt;=EB$5,$G31&lt;EB$5+GanttPeriod),"◆",IF(AND($E31&gt;=EB$5,$E31&lt;EB$5+GanttPeriod),"◇","")),IF(AND(EB$5&lt;=$F31,EB$5+GanttPeriod-1&gt;=$E31),"━","")))</f>
        <v>━</v>
      </c>
      <c r="EC31" s="69" t="str">
        <f aca="false">IF($E31="","",IF($M31,IF(AND($G31&gt;=EC$5,$G31&lt;EC$5+GanttPeriod),"◆",IF(AND($E31&gt;=EC$5,$E31&lt;EC$5+GanttPeriod),"◇","")),IF(AND(EC$5&lt;=$F31,EC$5+GanttPeriod-1&gt;=$E31),"━","")))</f>
        <v>━</v>
      </c>
      <c r="ED31" s="69" t="str">
        <f aca="false">IF($E31="","",IF($M31,IF(AND($G31&gt;=ED$5,$G31&lt;ED$5+GanttPeriod),"◆",IF(AND($E31&gt;=ED$5,$E31&lt;ED$5+GanttPeriod),"◇","")),IF(AND(ED$5&lt;=$F31,ED$5+GanttPeriod-1&gt;=$E31),"━","")))</f>
        <v>━</v>
      </c>
      <c r="EE31" s="69" t="str">
        <f aca="false">IF($E31="","",IF($M31,IF(AND($G31&gt;=EE$5,$G31&lt;EE$5+GanttPeriod),"◆",IF(AND($E31&gt;=EE$5,$E31&lt;EE$5+GanttPeriod),"◇","")),IF(AND(EE$5&lt;=$F31,EE$5+GanttPeriod-1&gt;=$E31),"━","")))</f>
        <v>━</v>
      </c>
      <c r="EF31" s="69" t="str">
        <f aca="false">IF($E31="","",IF($M31,IF(AND($G31&gt;=EF$5,$G31&lt;EF$5+GanttPeriod),"◆",IF(AND($E31&gt;=EF$5,$E31&lt;EF$5+GanttPeriod),"◇","")),IF(AND(EF$5&lt;=$F31,EF$5+GanttPeriod-1&gt;=$E31),"━","")))</f>
        <v>━</v>
      </c>
      <c r="EG31" s="69" t="str">
        <f aca="false">IF($E31="","",IF($M31,IF(AND($G31&gt;=EG$5,$G31&lt;EG$5+GanttPeriod),"◆",IF(AND($E31&gt;=EG$5,$E31&lt;EG$5+GanttPeriod),"◇","")),IF(AND(EG$5&lt;=$F31,EG$5+GanttPeriod-1&gt;=$E31),"━","")))</f>
        <v>━</v>
      </c>
      <c r="EH31" s="69" t="str">
        <f aca="false">IF($E31="","",IF($M31,IF(AND($G31&gt;=EH$5,$G31&lt;EH$5+GanttPeriod),"◆",IF(AND($E31&gt;=EH$5,$E31&lt;EH$5+GanttPeriod),"◇","")),IF(AND(EH$5&lt;=$F31,EH$5+GanttPeriod-1&gt;=$E31),"━","")))</f>
        <v>━</v>
      </c>
      <c r="EI31" s="69" t="str">
        <f aca="false">IF($E31="","",IF($M31,IF(AND($G31&gt;=EI$5,$G31&lt;EI$5+GanttPeriod),"◆",IF(AND($E31&gt;=EI$5,$E31&lt;EI$5+GanttPeriod),"◇","")),IF(AND(EI$5&lt;=$F31,EI$5+GanttPeriod-1&gt;=$E31),"━","")))</f>
        <v>━</v>
      </c>
      <c r="EJ31" s="69" t="str">
        <f aca="false">IF($E31="","",IF($M31,IF(AND($G31&gt;=EJ$5,$G31&lt;EJ$5+GanttPeriod),"◆",IF(AND($E31&gt;=EJ$5,$E31&lt;EJ$5+GanttPeriod),"◇","")),IF(AND(EJ$5&lt;=$F31,EJ$5+GanttPeriod-1&gt;=$E31),"━","")))</f>
        <v/>
      </c>
      <c r="EK31" s="69" t="str">
        <f aca="false">IF($E31="","",IF($M31,IF(AND($G31&gt;=EK$5,$G31&lt;EK$5+GanttPeriod),"◆",IF(AND($E31&gt;=EK$5,$E31&lt;EK$5+GanttPeriod),"◇","")),IF(AND(EK$5&lt;=$F31,EK$5+GanttPeriod-1&gt;=$E31),"━","")))</f>
        <v/>
      </c>
      <c r="EL31" s="69" t="str">
        <f aca="false">IF($E31="","",IF($M31,IF(AND($G31&gt;=EL$5,$G31&lt;EL$5+GanttPeriod),"◆",IF(AND($E31&gt;=EL$5,$E31&lt;EL$5+GanttPeriod),"◇","")),IF(AND(EL$5&lt;=$F31,EL$5+GanttPeriod-1&gt;=$E31),"━","")))</f>
        <v/>
      </c>
      <c r="EM31" s="69" t="str">
        <f aca="false">IF($E31="","",IF($M31,IF(AND($G31&gt;=EM$5,$G31&lt;EM$5+GanttPeriod),"◆",IF(AND($E31&gt;=EM$5,$E31&lt;EM$5+GanttPeriod),"◇","")),IF(AND(EM$5&lt;=$F31,EM$5+GanttPeriod-1&gt;=$E31),"━","")))</f>
        <v/>
      </c>
      <c r="EN31" s="69" t="str">
        <f aca="false">IF($E31="","",IF($M31,IF(AND($G31&gt;=EN$5,$G31&lt;EN$5+GanttPeriod),"◆",IF(AND($E31&gt;=EN$5,$E31&lt;EN$5+GanttPeriod),"◇","")),IF(AND(EN$5&lt;=$F31,EN$5+GanttPeriod-1&gt;=$E31),"━","")))</f>
        <v/>
      </c>
      <c r="EO31" s="69" t="str">
        <f aca="false">IF($E31="","",IF($M31,IF(AND($G31&gt;=EO$5,$G31&lt;EO$5+GanttPeriod),"◆",IF(AND($E31&gt;=EO$5,$E31&lt;EO$5+GanttPeriod),"◇","")),IF(AND(EO$5&lt;=$F31,EO$5+GanttPeriod-1&gt;=$E31),"━","")))</f>
        <v/>
      </c>
      <c r="EP31" s="69" t="str">
        <f aca="false">IF($E31="","",IF($M31,IF(AND($G31&gt;=EP$5,$G31&lt;EP$5+GanttPeriod),"◆",IF(AND($E31&gt;=EP$5,$E31&lt;EP$5+GanttPeriod),"◇","")),IF(AND(EP$5&lt;=$F31,EP$5+GanttPeriod-1&gt;=$E31),"━","")))</f>
        <v/>
      </c>
      <c r="EQ31" s="69" t="str">
        <f aca="false">IF($E31="","",IF($M31,IF(AND($G31&gt;=EQ$5,$G31&lt;EQ$5+GanttPeriod),"◆",IF(AND($E31&gt;=EQ$5,$E31&lt;EQ$5+GanttPeriod),"◇","")),IF(AND(EQ$5&lt;=$F31,EQ$5+GanttPeriod-1&gt;=$E31),"━","")))</f>
        <v/>
      </c>
      <c r="ER31" s="69" t="str">
        <f aca="false">IF($E31="","",IF($M31,IF(AND($G31&gt;=ER$5,$G31&lt;ER$5+GanttPeriod),"◆",IF(AND($E31&gt;=ER$5,$E31&lt;ER$5+GanttPeriod),"◇","")),IF(AND(ER$5&lt;=$F31,ER$5+GanttPeriod-1&gt;=$E31),"━","")))</f>
        <v/>
      </c>
      <c r="ES31" s="69" t="str">
        <f aca="false">IF($E31="","",IF($M31,IF(AND($G31&gt;=ES$5,$G31&lt;ES$5+GanttPeriod),"◆",IF(AND($E31&gt;=ES$5,$E31&lt;ES$5+GanttPeriod),"◇","")),IF(AND(ES$5&lt;=$F31,ES$5+GanttPeriod-1&gt;=$E31),"━","")))</f>
        <v/>
      </c>
      <c r="ET31" s="69" t="str">
        <f aca="false">IF($E31="","",IF($M31,IF(AND($G31&gt;=ET$5,$G31&lt;ET$5+GanttPeriod),"◆",IF(AND($E31&gt;=ET$5,$E31&lt;ET$5+GanttPeriod),"◇","")),IF(AND(ET$5&lt;=$F31,ET$5+GanttPeriod-1&gt;=$E31),"━","")))</f>
        <v/>
      </c>
      <c r="EU31" s="69" t="str">
        <f aca="false">IF($E31="","",IF($M31,IF(AND($G31&gt;=EU$5,$G31&lt;EU$5+GanttPeriod),"◆",IF(AND($E31&gt;=EU$5,$E31&lt;EU$5+GanttPeriod),"◇","")),IF(AND(EU$5&lt;=$F31,EU$5+GanttPeriod-1&gt;=$E31),"━","")))</f>
        <v/>
      </c>
      <c r="EV31" s="69" t="str">
        <f aca="false">IF($E31="","",IF($M31,IF(AND($G31&gt;=EV$5,$G31&lt;EV$5+GanttPeriod),"◆",IF(AND($E31&gt;=EV$5,$E31&lt;EV$5+GanttPeriod),"◇","")),IF(AND(EV$5&lt;=$F31,EV$5+GanttPeriod-1&gt;=$E31),"━","")))</f>
        <v/>
      </c>
      <c r="EW31" s="69" t="str">
        <f aca="false">IF($E31="","",IF($M31,IF(AND($G31&gt;=EW$5,$G31&lt;EW$5+GanttPeriod),"◆",IF(AND($E31&gt;=EW$5,$E31&lt;EW$5+GanttPeriod),"◇","")),IF(AND(EW$5&lt;=$F31,EW$5+GanttPeriod-1&gt;=$E31),"━","")))</f>
        <v/>
      </c>
      <c r="EX31" s="69" t="str">
        <f aca="false">IF($E31="","",IF($M31,IF(AND($G31&gt;=EX$5,$G31&lt;EX$5+GanttPeriod),"◆",IF(AND($E31&gt;=EX$5,$E31&lt;EX$5+GanttPeriod),"◇","")),IF(AND(EX$5&lt;=$F31,EX$5+GanttPeriod-1&gt;=$E31),"━","")))</f>
        <v/>
      </c>
      <c r="EY31" s="69" t="str">
        <f aca="false">IF($E31="","",IF($M31,IF(AND($G31&gt;=EY$5,$G31&lt;EY$5+GanttPeriod),"◆",IF(AND($E31&gt;=EY$5,$E31&lt;EY$5+GanttPeriod),"◇","")),IF(AND(EY$5&lt;=$F31,EY$5+GanttPeriod-1&gt;=$E31),"━","")))</f>
        <v/>
      </c>
      <c r="EZ31" s="69" t="str">
        <f aca="false">IF($E31="","",IF($M31,IF(AND($G31&gt;=EZ$5,$G31&lt;EZ$5+GanttPeriod),"◆",IF(AND($E31&gt;=EZ$5,$E31&lt;EZ$5+GanttPeriod),"◇","")),IF(AND(EZ$5&lt;=$F31,EZ$5+GanttPeriod-1&gt;=$E31),"━","")))</f>
        <v/>
      </c>
      <c r="FA31" s="69" t="str">
        <f aca="false">IF($E31="","",IF($M31,IF(AND($G31&gt;=FA$5,$G31&lt;FA$5+GanttPeriod),"◆",IF(AND($E31&gt;=FA$5,$E31&lt;FA$5+GanttPeriod),"◇","")),IF(AND(FA$5&lt;=$F31,FA$5+GanttPeriod-1&gt;=$E31),"━","")))</f>
        <v/>
      </c>
      <c r="FB31" s="69" t="str">
        <f aca="false">IF($E31="","",IF($M31,IF(AND($G31&gt;=FB$5,$G31&lt;FB$5+GanttPeriod),"◆",IF(AND($E31&gt;=FB$5,$E31&lt;FB$5+GanttPeriod),"◇","")),IF(AND(FB$5&lt;=$F31,FB$5+GanttPeriod-1&gt;=$E31),"━","")))</f>
        <v/>
      </c>
      <c r="FC31" s="69" t="str">
        <f aca="false">IF($E31="","",IF($M31,IF(AND($G31&gt;=FC$5,$G31&lt;FC$5+GanttPeriod),"◆",IF(AND($E31&gt;=FC$5,$E31&lt;FC$5+GanttPeriod),"◇","")),IF(AND(FC$5&lt;=$F31,FC$5+GanttPeriod-1&gt;=$E31),"━","")))</f>
        <v/>
      </c>
      <c r="FD31" s="69" t="str">
        <f aca="false">IF($E31="","",IF($M31,IF(AND($G31&gt;=FD$5,$G31&lt;FD$5+GanttPeriod),"◆",IF(AND($E31&gt;=FD$5,$E31&lt;FD$5+GanttPeriod),"◇","")),IF(AND(FD$5&lt;=$F31,FD$5+GanttPeriod-1&gt;=$E31),"━","")))</f>
        <v/>
      </c>
      <c r="FE31" s="69" t="str">
        <f aca="false">IF($E31="","",IF($M31,IF(AND($G31&gt;=FE$5,$G31&lt;FE$5+GanttPeriod),"◆",IF(AND($E31&gt;=FE$5,$E31&lt;FE$5+GanttPeriod),"◇","")),IF(AND(FE$5&lt;=$F31,FE$5+GanttPeriod-1&gt;=$E31),"━","")))</f>
        <v/>
      </c>
      <c r="FF31" s="69" t="str">
        <f aca="false">IF($E31="","",IF($M31,IF(AND($G31&gt;=FF$5,$G31&lt;FF$5+GanttPeriod),"◆",IF(AND($E31&gt;=FF$5,$E31&lt;FF$5+GanttPeriod),"◇","")),IF(AND(FF$5&lt;=$F31,FF$5+GanttPeriod-1&gt;=$E31),"━","")))</f>
        <v/>
      </c>
      <c r="FG31" s="69" t="str">
        <f aca="false">IF($E31="","",IF($M31,IF(AND($G31&gt;=FG$5,$G31&lt;FG$5+GanttPeriod),"◆",IF(AND($E31&gt;=FG$5,$E31&lt;FG$5+GanttPeriod),"◇","")),IF(AND(FG$5&lt;=$F31,FG$5+GanttPeriod-1&gt;=$E31),"━","")))</f>
        <v/>
      </c>
      <c r="FH31" s="69" t="str">
        <f aca="false">IF($E31="","",IF($M31,IF(AND($G31&gt;=FH$5,$G31&lt;FH$5+GanttPeriod),"◆",IF(AND($E31&gt;=FH$5,$E31&lt;FH$5+GanttPeriod),"◇","")),IF(AND(FH$5&lt;=$F31,FH$5+GanttPeriod-1&gt;=$E31),"━","")))</f>
        <v/>
      </c>
      <c r="FI31" s="69" t="str">
        <f aca="false">IF($E31="","",IF($M31,IF(AND($G31&gt;=FI$5,$G31&lt;FI$5+GanttPeriod),"◆",IF(AND($E31&gt;=FI$5,$E31&lt;FI$5+GanttPeriod),"◇","")),IF(AND(FI$5&lt;=$F31,FI$5+GanttPeriod-1&gt;=$E31),"━","")))</f>
        <v/>
      </c>
      <c r="FJ31" s="69" t="str">
        <f aca="false">IF($E31="","",IF($M31,IF(AND($G31&gt;=FJ$5,$G31&lt;FJ$5+GanttPeriod),"◆",IF(AND($E31&gt;=FJ$5,$E31&lt;FJ$5+GanttPeriod),"◇","")),IF(AND(FJ$5&lt;=$F31,FJ$5+GanttPeriod-1&gt;=$E31),"━","")))</f>
        <v/>
      </c>
      <c r="FK31" s="69" t="str">
        <f aca="false">IF($E31="","",IF($M31,IF(AND($G31&gt;=FK$5,$G31&lt;FK$5+GanttPeriod),"◆",IF(AND($E31&gt;=FK$5,$E31&lt;FK$5+GanttPeriod),"◇","")),IF(AND(FK$5&lt;=$F31,FK$5+GanttPeriod-1&gt;=$E31),"━","")))</f>
        <v/>
      </c>
      <c r="FL31" s="69" t="str">
        <f aca="false">IF($E31="","",IF($M31,IF(AND($G31&gt;=FL$5,$G31&lt;FL$5+GanttPeriod),"◆",IF(AND($E31&gt;=FL$5,$E31&lt;FL$5+GanttPeriod),"◇","")),IF(AND(FL$5&lt;=$F31,FL$5+GanttPeriod-1&gt;=$E31),"━","")))</f>
        <v/>
      </c>
      <c r="FM31" s="69" t="str">
        <f aca="false">IF($E31="","",IF($M31,IF(AND($G31&gt;=FM$5,$G31&lt;FM$5+GanttPeriod),"◆",IF(AND($E31&gt;=FM$5,$E31&lt;FM$5+GanttPeriod),"◇","")),IF(AND(FM$5&lt;=$F31,FM$5+GanttPeriod-1&gt;=$E31),"━","")))</f>
        <v/>
      </c>
    </row>
    <row r="32" customFormat="false" ht="15" hidden="false" customHeight="false" outlineLevel="0" collapsed="false">
      <c r="A32" s="62" t="n">
        <f aca="false">IF(Tasks!$D32="","",Tasks!$A32)</f>
        <v>27</v>
      </c>
      <c r="B32" s="62" t="str">
        <f aca="false">IF(Tasks!$D32="","",Tasks!$B32)</f>
        <v>5</v>
      </c>
      <c r="C32" s="63" t="str">
        <f aca="false">IF(Tasks!$D32="","",REPT("    ",Tasks!$AE32-1)&amp;Tasks!$D32)</f>
        <v>Project Close</v>
      </c>
      <c r="D32" s="62" t="n">
        <f aca="false">IF(Tasks!$D32="","",IF(Tasks!$AI32,NETWORKDAYS.INTL(Tasks!$R32,Tasks!$S32,WorkWeek,Holidays),N(Tasks!$F32)))</f>
        <v>34</v>
      </c>
      <c r="E32" s="64" t="n">
        <f aca="false">IF(Tasks!$D32="","",Tasks!$N32)</f>
        <v>46342</v>
      </c>
      <c r="F32" s="64" t="n">
        <f aca="false">IF(Tasks!$D32="","",Tasks!$O32)</f>
        <v>46393</v>
      </c>
      <c r="G32" s="64" t="n">
        <f aca="false">IF(Tasks!$D32="","",Tasks!$R32)</f>
        <v>46342</v>
      </c>
      <c r="H32" s="64" t="n">
        <f aca="false">IF(Tasks!$D32="","",Tasks!$S32)</f>
        <v>46393</v>
      </c>
      <c r="I32" s="65" t="n">
        <f aca="false">IF(Tasks!$D32="","",Tasks!$V32)</f>
        <v>0</v>
      </c>
      <c r="J32" s="63" t="str">
        <f aca="false">IF(Tasks!$D32="","",Tasks!$X32&amp;"")</f>
        <v/>
      </c>
      <c r="K32" s="66" t="str">
        <f aca="false">IF(Tasks!$D32="","",Tasks!$W32)</f>
        <v>Not Started</v>
      </c>
      <c r="L32" s="67" t="b">
        <f aca="false">IF(Tasks!$D32="",FALSE(),Tasks!$AI32)</f>
        <v>1</v>
      </c>
      <c r="M32" s="67" t="b">
        <f aca="false">AND(Tasks!$AJ32=1,N(Tasks!$F32)=0)</f>
        <v>0</v>
      </c>
      <c r="N32" s="68" t="n">
        <f aca="false">IF(AND(Tasks!$AJ32=1,NOT($M32),N($I32)&gt;0),$G32,0)</f>
        <v>0</v>
      </c>
      <c r="O32" s="68" t="n">
        <f aca="false">IF($N32=0,0,IF($I32&gt;=1,$H32,MAX($N32,$G32+ROUND(($H32-$G32+1)*$I32,0)-1)))</f>
        <v>0</v>
      </c>
      <c r="P32" s="68" t="n">
        <f aca="false">IF(OR(Tasks!$AJ32&lt;&gt;1,$M32,N($I32)&gt;=1),0,IF($O32&gt;0,$O32+1,$G32))</f>
        <v>0</v>
      </c>
      <c r="Q32" s="68" t="n">
        <f aca="false">IF($P32=0,0,$H32)</f>
        <v>0</v>
      </c>
      <c r="R32" s="67" t="b">
        <f aca="false">AND(Tasks!$D32&lt;&gt;"",N(Tasks!$T32)&gt;0)</f>
        <v>0</v>
      </c>
      <c r="T32" s="69" t="str">
        <f aca="false">IF($E32="","",IF($M32,IF(AND($G32&gt;=T$5,$G32&lt;T$5+GanttPeriod),"◆",IF(AND($E32&gt;=T$5,$E32&lt;T$5+GanttPeriod),"◇","")),IF(AND(T$5&lt;=$F32,T$5+GanttPeriod-1&gt;=$E32),"━","")))</f>
        <v/>
      </c>
      <c r="U32" s="69" t="str">
        <f aca="false">IF($E32="","",IF($M32,IF(AND($G32&gt;=U$5,$G32&lt;U$5+GanttPeriod),"◆",IF(AND($E32&gt;=U$5,$E32&lt;U$5+GanttPeriod),"◇","")),IF(AND(U$5&lt;=$F32,U$5+GanttPeriod-1&gt;=$E32),"━","")))</f>
        <v/>
      </c>
      <c r="V32" s="69" t="str">
        <f aca="false">IF($E32="","",IF($M32,IF(AND($G32&gt;=V$5,$G32&lt;V$5+GanttPeriod),"◆",IF(AND($E32&gt;=V$5,$E32&lt;V$5+GanttPeriod),"◇","")),IF(AND(V$5&lt;=$F32,V$5+GanttPeriod-1&gt;=$E32),"━","")))</f>
        <v/>
      </c>
      <c r="W32" s="69" t="str">
        <f aca="false">IF($E32="","",IF($M32,IF(AND($G32&gt;=W$5,$G32&lt;W$5+GanttPeriod),"◆",IF(AND($E32&gt;=W$5,$E32&lt;W$5+GanttPeriod),"◇","")),IF(AND(W$5&lt;=$F32,W$5+GanttPeriod-1&gt;=$E32),"━","")))</f>
        <v/>
      </c>
      <c r="X32" s="69" t="str">
        <f aca="false">IF($E32="","",IF($M32,IF(AND($G32&gt;=X$5,$G32&lt;X$5+GanttPeriod),"◆",IF(AND($E32&gt;=X$5,$E32&lt;X$5+GanttPeriod),"◇","")),IF(AND(X$5&lt;=$F32,X$5+GanttPeriod-1&gt;=$E32),"━","")))</f>
        <v/>
      </c>
      <c r="Y32" s="69" t="str">
        <f aca="false">IF($E32="","",IF($M32,IF(AND($G32&gt;=Y$5,$G32&lt;Y$5+GanttPeriod),"◆",IF(AND($E32&gt;=Y$5,$E32&lt;Y$5+GanttPeriod),"◇","")),IF(AND(Y$5&lt;=$F32,Y$5+GanttPeriod-1&gt;=$E32),"━","")))</f>
        <v/>
      </c>
      <c r="Z32" s="69" t="str">
        <f aca="false">IF($E32="","",IF($M32,IF(AND($G32&gt;=Z$5,$G32&lt;Z$5+GanttPeriod),"◆",IF(AND($E32&gt;=Z$5,$E32&lt;Z$5+GanttPeriod),"◇","")),IF(AND(Z$5&lt;=$F32,Z$5+GanttPeriod-1&gt;=$E32),"━","")))</f>
        <v/>
      </c>
      <c r="AA32" s="69" t="str">
        <f aca="false">IF($E32="","",IF($M32,IF(AND($G32&gt;=AA$5,$G32&lt;AA$5+GanttPeriod),"◆",IF(AND($E32&gt;=AA$5,$E32&lt;AA$5+GanttPeriod),"◇","")),IF(AND(AA$5&lt;=$F32,AA$5+GanttPeriod-1&gt;=$E32),"━","")))</f>
        <v/>
      </c>
      <c r="AB32" s="69" t="str">
        <f aca="false">IF($E32="","",IF($M32,IF(AND($G32&gt;=AB$5,$G32&lt;AB$5+GanttPeriod),"◆",IF(AND($E32&gt;=AB$5,$E32&lt;AB$5+GanttPeriod),"◇","")),IF(AND(AB$5&lt;=$F32,AB$5+GanttPeriod-1&gt;=$E32),"━","")))</f>
        <v/>
      </c>
      <c r="AC32" s="69" t="str">
        <f aca="false">IF($E32="","",IF($M32,IF(AND($G32&gt;=AC$5,$G32&lt;AC$5+GanttPeriod),"◆",IF(AND($E32&gt;=AC$5,$E32&lt;AC$5+GanttPeriod),"◇","")),IF(AND(AC$5&lt;=$F32,AC$5+GanttPeriod-1&gt;=$E32),"━","")))</f>
        <v/>
      </c>
      <c r="AD32" s="69" t="str">
        <f aca="false">IF($E32="","",IF($M32,IF(AND($G32&gt;=AD$5,$G32&lt;AD$5+GanttPeriod),"◆",IF(AND($E32&gt;=AD$5,$E32&lt;AD$5+GanttPeriod),"◇","")),IF(AND(AD$5&lt;=$F32,AD$5+GanttPeriod-1&gt;=$E32),"━","")))</f>
        <v/>
      </c>
      <c r="AE32" s="69" t="str">
        <f aca="false">IF($E32="","",IF($M32,IF(AND($G32&gt;=AE$5,$G32&lt;AE$5+GanttPeriod),"◆",IF(AND($E32&gt;=AE$5,$E32&lt;AE$5+GanttPeriod),"◇","")),IF(AND(AE$5&lt;=$F32,AE$5+GanttPeriod-1&gt;=$E32),"━","")))</f>
        <v/>
      </c>
      <c r="AF32" s="69" t="str">
        <f aca="false">IF($E32="","",IF($M32,IF(AND($G32&gt;=AF$5,$G32&lt;AF$5+GanttPeriod),"◆",IF(AND($E32&gt;=AF$5,$E32&lt;AF$5+GanttPeriod),"◇","")),IF(AND(AF$5&lt;=$F32,AF$5+GanttPeriod-1&gt;=$E32),"━","")))</f>
        <v/>
      </c>
      <c r="AG32" s="69" t="str">
        <f aca="false">IF($E32="","",IF($M32,IF(AND($G32&gt;=AG$5,$G32&lt;AG$5+GanttPeriod),"◆",IF(AND($E32&gt;=AG$5,$E32&lt;AG$5+GanttPeriod),"◇","")),IF(AND(AG$5&lt;=$F32,AG$5+GanttPeriod-1&gt;=$E32),"━","")))</f>
        <v/>
      </c>
      <c r="AH32" s="69" t="str">
        <f aca="false">IF($E32="","",IF($M32,IF(AND($G32&gt;=AH$5,$G32&lt;AH$5+GanttPeriod),"◆",IF(AND($E32&gt;=AH$5,$E32&lt;AH$5+GanttPeriod),"◇","")),IF(AND(AH$5&lt;=$F32,AH$5+GanttPeriod-1&gt;=$E32),"━","")))</f>
        <v/>
      </c>
      <c r="AI32" s="69" t="str">
        <f aca="false">IF($E32="","",IF($M32,IF(AND($G32&gt;=AI$5,$G32&lt;AI$5+GanttPeriod),"◆",IF(AND($E32&gt;=AI$5,$E32&lt;AI$5+GanttPeriod),"◇","")),IF(AND(AI$5&lt;=$F32,AI$5+GanttPeriod-1&gt;=$E32),"━","")))</f>
        <v/>
      </c>
      <c r="AJ32" s="69" t="str">
        <f aca="false">IF($E32="","",IF($M32,IF(AND($G32&gt;=AJ$5,$G32&lt;AJ$5+GanttPeriod),"◆",IF(AND($E32&gt;=AJ$5,$E32&lt;AJ$5+GanttPeriod),"◇","")),IF(AND(AJ$5&lt;=$F32,AJ$5+GanttPeriod-1&gt;=$E32),"━","")))</f>
        <v/>
      </c>
      <c r="AK32" s="69" t="str">
        <f aca="false">IF($E32="","",IF($M32,IF(AND($G32&gt;=AK$5,$G32&lt;AK$5+GanttPeriod),"◆",IF(AND($E32&gt;=AK$5,$E32&lt;AK$5+GanttPeriod),"◇","")),IF(AND(AK$5&lt;=$F32,AK$5+GanttPeriod-1&gt;=$E32),"━","")))</f>
        <v/>
      </c>
      <c r="AL32" s="69" t="str">
        <f aca="false">IF($E32="","",IF($M32,IF(AND($G32&gt;=AL$5,$G32&lt;AL$5+GanttPeriod),"◆",IF(AND($E32&gt;=AL$5,$E32&lt;AL$5+GanttPeriod),"◇","")),IF(AND(AL$5&lt;=$F32,AL$5+GanttPeriod-1&gt;=$E32),"━","")))</f>
        <v/>
      </c>
      <c r="AM32" s="69" t="str">
        <f aca="false">IF($E32="","",IF($M32,IF(AND($G32&gt;=AM$5,$G32&lt;AM$5+GanttPeriod),"◆",IF(AND($E32&gt;=AM$5,$E32&lt;AM$5+GanttPeriod),"◇","")),IF(AND(AM$5&lt;=$F32,AM$5+GanttPeriod-1&gt;=$E32),"━","")))</f>
        <v/>
      </c>
      <c r="AN32" s="69" t="str">
        <f aca="false">IF($E32="","",IF($M32,IF(AND($G32&gt;=AN$5,$G32&lt;AN$5+GanttPeriod),"◆",IF(AND($E32&gt;=AN$5,$E32&lt;AN$5+GanttPeriod),"◇","")),IF(AND(AN$5&lt;=$F32,AN$5+GanttPeriod-1&gt;=$E32),"━","")))</f>
        <v/>
      </c>
      <c r="AO32" s="69" t="str">
        <f aca="false">IF($E32="","",IF($M32,IF(AND($G32&gt;=AO$5,$G32&lt;AO$5+GanttPeriod),"◆",IF(AND($E32&gt;=AO$5,$E32&lt;AO$5+GanttPeriod),"◇","")),IF(AND(AO$5&lt;=$F32,AO$5+GanttPeriod-1&gt;=$E32),"━","")))</f>
        <v/>
      </c>
      <c r="AP32" s="69" t="str">
        <f aca="false">IF($E32="","",IF($M32,IF(AND($G32&gt;=AP$5,$G32&lt;AP$5+GanttPeriod),"◆",IF(AND($E32&gt;=AP$5,$E32&lt;AP$5+GanttPeriod),"◇","")),IF(AND(AP$5&lt;=$F32,AP$5+GanttPeriod-1&gt;=$E32),"━","")))</f>
        <v/>
      </c>
      <c r="AQ32" s="69" t="str">
        <f aca="false">IF($E32="","",IF($M32,IF(AND($G32&gt;=AQ$5,$G32&lt;AQ$5+GanttPeriod),"◆",IF(AND($E32&gt;=AQ$5,$E32&lt;AQ$5+GanttPeriod),"◇","")),IF(AND(AQ$5&lt;=$F32,AQ$5+GanttPeriod-1&gt;=$E32),"━","")))</f>
        <v/>
      </c>
      <c r="AR32" s="69" t="str">
        <f aca="false">IF($E32="","",IF($M32,IF(AND($G32&gt;=AR$5,$G32&lt;AR$5+GanttPeriod),"◆",IF(AND($E32&gt;=AR$5,$E32&lt;AR$5+GanttPeriod),"◇","")),IF(AND(AR$5&lt;=$F32,AR$5+GanttPeriod-1&gt;=$E32),"━","")))</f>
        <v/>
      </c>
      <c r="AS32" s="69" t="str">
        <f aca="false">IF($E32="","",IF($M32,IF(AND($G32&gt;=AS$5,$G32&lt;AS$5+GanttPeriod),"◆",IF(AND($E32&gt;=AS$5,$E32&lt;AS$5+GanttPeriod),"◇","")),IF(AND(AS$5&lt;=$F32,AS$5+GanttPeriod-1&gt;=$E32),"━","")))</f>
        <v/>
      </c>
      <c r="AT32" s="69" t="str">
        <f aca="false">IF($E32="","",IF($M32,IF(AND($G32&gt;=AT$5,$G32&lt;AT$5+GanttPeriod),"◆",IF(AND($E32&gt;=AT$5,$E32&lt;AT$5+GanttPeriod),"◇","")),IF(AND(AT$5&lt;=$F32,AT$5+GanttPeriod-1&gt;=$E32),"━","")))</f>
        <v/>
      </c>
      <c r="AU32" s="69" t="str">
        <f aca="false">IF($E32="","",IF($M32,IF(AND($G32&gt;=AU$5,$G32&lt;AU$5+GanttPeriod),"◆",IF(AND($E32&gt;=AU$5,$E32&lt;AU$5+GanttPeriod),"◇","")),IF(AND(AU$5&lt;=$F32,AU$5+GanttPeriod-1&gt;=$E32),"━","")))</f>
        <v/>
      </c>
      <c r="AV32" s="69" t="str">
        <f aca="false">IF($E32="","",IF($M32,IF(AND($G32&gt;=AV$5,$G32&lt;AV$5+GanttPeriod),"◆",IF(AND($E32&gt;=AV$5,$E32&lt;AV$5+GanttPeriod),"◇","")),IF(AND(AV$5&lt;=$F32,AV$5+GanttPeriod-1&gt;=$E32),"━","")))</f>
        <v/>
      </c>
      <c r="AW32" s="69" t="str">
        <f aca="false">IF($E32="","",IF($M32,IF(AND($G32&gt;=AW$5,$G32&lt;AW$5+GanttPeriod),"◆",IF(AND($E32&gt;=AW$5,$E32&lt;AW$5+GanttPeriod),"◇","")),IF(AND(AW$5&lt;=$F32,AW$5+GanttPeriod-1&gt;=$E32),"━","")))</f>
        <v/>
      </c>
      <c r="AX32" s="69" t="str">
        <f aca="false">IF($E32="","",IF($M32,IF(AND($G32&gt;=AX$5,$G32&lt;AX$5+GanttPeriod),"◆",IF(AND($E32&gt;=AX$5,$E32&lt;AX$5+GanttPeriod),"◇","")),IF(AND(AX$5&lt;=$F32,AX$5+GanttPeriod-1&gt;=$E32),"━","")))</f>
        <v/>
      </c>
      <c r="AY32" s="69" t="str">
        <f aca="false">IF($E32="","",IF($M32,IF(AND($G32&gt;=AY$5,$G32&lt;AY$5+GanttPeriod),"◆",IF(AND($E32&gt;=AY$5,$E32&lt;AY$5+GanttPeriod),"◇","")),IF(AND(AY$5&lt;=$F32,AY$5+GanttPeriod-1&gt;=$E32),"━","")))</f>
        <v/>
      </c>
      <c r="AZ32" s="69" t="str">
        <f aca="false">IF($E32="","",IF($M32,IF(AND($G32&gt;=AZ$5,$G32&lt;AZ$5+GanttPeriod),"◆",IF(AND($E32&gt;=AZ$5,$E32&lt;AZ$5+GanttPeriod),"◇","")),IF(AND(AZ$5&lt;=$F32,AZ$5+GanttPeriod-1&gt;=$E32),"━","")))</f>
        <v/>
      </c>
      <c r="BA32" s="69" t="str">
        <f aca="false">IF($E32="","",IF($M32,IF(AND($G32&gt;=BA$5,$G32&lt;BA$5+GanttPeriod),"◆",IF(AND($E32&gt;=BA$5,$E32&lt;BA$5+GanttPeriod),"◇","")),IF(AND(BA$5&lt;=$F32,BA$5+GanttPeriod-1&gt;=$E32),"━","")))</f>
        <v/>
      </c>
      <c r="BB32" s="69" t="str">
        <f aca="false">IF($E32="","",IF($M32,IF(AND($G32&gt;=BB$5,$G32&lt;BB$5+GanttPeriod),"◆",IF(AND($E32&gt;=BB$5,$E32&lt;BB$5+GanttPeriod),"◇","")),IF(AND(BB$5&lt;=$F32,BB$5+GanttPeriod-1&gt;=$E32),"━","")))</f>
        <v/>
      </c>
      <c r="BC32" s="69" t="str">
        <f aca="false">IF($E32="","",IF($M32,IF(AND($G32&gt;=BC$5,$G32&lt;BC$5+GanttPeriod),"◆",IF(AND($E32&gt;=BC$5,$E32&lt;BC$5+GanttPeriod),"◇","")),IF(AND(BC$5&lt;=$F32,BC$5+GanttPeriod-1&gt;=$E32),"━","")))</f>
        <v/>
      </c>
      <c r="BD32" s="69" t="str">
        <f aca="false">IF($E32="","",IF($M32,IF(AND($G32&gt;=BD$5,$G32&lt;BD$5+GanttPeriod),"◆",IF(AND($E32&gt;=BD$5,$E32&lt;BD$5+GanttPeriod),"◇","")),IF(AND(BD$5&lt;=$F32,BD$5+GanttPeriod-1&gt;=$E32),"━","")))</f>
        <v/>
      </c>
      <c r="BE32" s="69" t="str">
        <f aca="false">IF($E32="","",IF($M32,IF(AND($G32&gt;=BE$5,$G32&lt;BE$5+GanttPeriod),"◆",IF(AND($E32&gt;=BE$5,$E32&lt;BE$5+GanttPeriod),"◇","")),IF(AND(BE$5&lt;=$F32,BE$5+GanttPeriod-1&gt;=$E32),"━","")))</f>
        <v/>
      </c>
      <c r="BF32" s="69" t="str">
        <f aca="false">IF($E32="","",IF($M32,IF(AND($G32&gt;=BF$5,$G32&lt;BF$5+GanttPeriod),"◆",IF(AND($E32&gt;=BF$5,$E32&lt;BF$5+GanttPeriod),"◇","")),IF(AND(BF$5&lt;=$F32,BF$5+GanttPeriod-1&gt;=$E32),"━","")))</f>
        <v/>
      </c>
      <c r="BG32" s="69" t="str">
        <f aca="false">IF($E32="","",IF($M32,IF(AND($G32&gt;=BG$5,$G32&lt;BG$5+GanttPeriod),"◆",IF(AND($E32&gt;=BG$5,$E32&lt;BG$5+GanttPeriod),"◇","")),IF(AND(BG$5&lt;=$F32,BG$5+GanttPeriod-1&gt;=$E32),"━","")))</f>
        <v/>
      </c>
      <c r="BH32" s="69" t="str">
        <f aca="false">IF($E32="","",IF($M32,IF(AND($G32&gt;=BH$5,$G32&lt;BH$5+GanttPeriod),"◆",IF(AND($E32&gt;=BH$5,$E32&lt;BH$5+GanttPeriod),"◇","")),IF(AND(BH$5&lt;=$F32,BH$5+GanttPeriod-1&gt;=$E32),"━","")))</f>
        <v/>
      </c>
      <c r="BI32" s="69" t="str">
        <f aca="false">IF($E32="","",IF($M32,IF(AND($G32&gt;=BI$5,$G32&lt;BI$5+GanttPeriod),"◆",IF(AND($E32&gt;=BI$5,$E32&lt;BI$5+GanttPeriod),"◇","")),IF(AND(BI$5&lt;=$F32,BI$5+GanttPeriod-1&gt;=$E32),"━","")))</f>
        <v/>
      </c>
      <c r="BJ32" s="69" t="str">
        <f aca="false">IF($E32="","",IF($M32,IF(AND($G32&gt;=BJ$5,$G32&lt;BJ$5+GanttPeriod),"◆",IF(AND($E32&gt;=BJ$5,$E32&lt;BJ$5+GanttPeriod),"◇","")),IF(AND(BJ$5&lt;=$F32,BJ$5+GanttPeriod-1&gt;=$E32),"━","")))</f>
        <v/>
      </c>
      <c r="BK32" s="69" t="str">
        <f aca="false">IF($E32="","",IF($M32,IF(AND($G32&gt;=BK$5,$G32&lt;BK$5+GanttPeriod),"◆",IF(AND($E32&gt;=BK$5,$E32&lt;BK$5+GanttPeriod),"◇","")),IF(AND(BK$5&lt;=$F32,BK$5+GanttPeriod-1&gt;=$E32),"━","")))</f>
        <v/>
      </c>
      <c r="BL32" s="69" t="str">
        <f aca="false">IF($E32="","",IF($M32,IF(AND($G32&gt;=BL$5,$G32&lt;BL$5+GanttPeriod),"◆",IF(AND($E32&gt;=BL$5,$E32&lt;BL$5+GanttPeriod),"◇","")),IF(AND(BL$5&lt;=$F32,BL$5+GanttPeriod-1&gt;=$E32),"━","")))</f>
        <v/>
      </c>
      <c r="BM32" s="69" t="str">
        <f aca="false">IF($E32="","",IF($M32,IF(AND($G32&gt;=BM$5,$G32&lt;BM$5+GanttPeriod),"◆",IF(AND($E32&gt;=BM$5,$E32&lt;BM$5+GanttPeriod),"◇","")),IF(AND(BM$5&lt;=$F32,BM$5+GanttPeriod-1&gt;=$E32),"━","")))</f>
        <v/>
      </c>
      <c r="BN32" s="69" t="str">
        <f aca="false">IF($E32="","",IF($M32,IF(AND($G32&gt;=BN$5,$G32&lt;BN$5+GanttPeriod),"◆",IF(AND($E32&gt;=BN$5,$E32&lt;BN$5+GanttPeriod),"◇","")),IF(AND(BN$5&lt;=$F32,BN$5+GanttPeriod-1&gt;=$E32),"━","")))</f>
        <v/>
      </c>
      <c r="BO32" s="69" t="str">
        <f aca="false">IF($E32="","",IF($M32,IF(AND($G32&gt;=BO$5,$G32&lt;BO$5+GanttPeriod),"◆",IF(AND($E32&gt;=BO$5,$E32&lt;BO$5+GanttPeriod),"◇","")),IF(AND(BO$5&lt;=$F32,BO$5+GanttPeriod-1&gt;=$E32),"━","")))</f>
        <v/>
      </c>
      <c r="BP32" s="69" t="str">
        <f aca="false">IF($E32="","",IF($M32,IF(AND($G32&gt;=BP$5,$G32&lt;BP$5+GanttPeriod),"◆",IF(AND($E32&gt;=BP$5,$E32&lt;BP$5+GanttPeriod),"◇","")),IF(AND(BP$5&lt;=$F32,BP$5+GanttPeriod-1&gt;=$E32),"━","")))</f>
        <v/>
      </c>
      <c r="BQ32" s="69" t="str">
        <f aca="false">IF($E32="","",IF($M32,IF(AND($G32&gt;=BQ$5,$G32&lt;BQ$5+GanttPeriod),"◆",IF(AND($E32&gt;=BQ$5,$E32&lt;BQ$5+GanttPeriod),"◇","")),IF(AND(BQ$5&lt;=$F32,BQ$5+GanttPeriod-1&gt;=$E32),"━","")))</f>
        <v/>
      </c>
      <c r="BR32" s="69" t="str">
        <f aca="false">IF($E32="","",IF($M32,IF(AND($G32&gt;=BR$5,$G32&lt;BR$5+GanttPeriod),"◆",IF(AND($E32&gt;=BR$5,$E32&lt;BR$5+GanttPeriod),"◇","")),IF(AND(BR$5&lt;=$F32,BR$5+GanttPeriod-1&gt;=$E32),"━","")))</f>
        <v/>
      </c>
      <c r="BS32" s="69" t="str">
        <f aca="false">IF($E32="","",IF($M32,IF(AND($G32&gt;=BS$5,$G32&lt;BS$5+GanttPeriod),"◆",IF(AND($E32&gt;=BS$5,$E32&lt;BS$5+GanttPeriod),"◇","")),IF(AND(BS$5&lt;=$F32,BS$5+GanttPeriod-1&gt;=$E32),"━","")))</f>
        <v/>
      </c>
      <c r="BT32" s="69" t="str">
        <f aca="false">IF($E32="","",IF($M32,IF(AND($G32&gt;=BT$5,$G32&lt;BT$5+GanttPeriod),"◆",IF(AND($E32&gt;=BT$5,$E32&lt;BT$5+GanttPeriod),"◇","")),IF(AND(BT$5&lt;=$F32,BT$5+GanttPeriod-1&gt;=$E32),"━","")))</f>
        <v/>
      </c>
      <c r="BU32" s="69" t="str">
        <f aca="false">IF($E32="","",IF($M32,IF(AND($G32&gt;=BU$5,$G32&lt;BU$5+GanttPeriod),"◆",IF(AND($E32&gt;=BU$5,$E32&lt;BU$5+GanttPeriod),"◇","")),IF(AND(BU$5&lt;=$F32,BU$5+GanttPeriod-1&gt;=$E32),"━","")))</f>
        <v/>
      </c>
      <c r="BV32" s="69" t="str">
        <f aca="false">IF($E32="","",IF($M32,IF(AND($G32&gt;=BV$5,$G32&lt;BV$5+GanttPeriod),"◆",IF(AND($E32&gt;=BV$5,$E32&lt;BV$5+GanttPeriod),"◇","")),IF(AND(BV$5&lt;=$F32,BV$5+GanttPeriod-1&gt;=$E32),"━","")))</f>
        <v/>
      </c>
      <c r="BW32" s="69" t="str">
        <f aca="false">IF($E32="","",IF($M32,IF(AND($G32&gt;=BW$5,$G32&lt;BW$5+GanttPeriod),"◆",IF(AND($E32&gt;=BW$5,$E32&lt;BW$5+GanttPeriod),"◇","")),IF(AND(BW$5&lt;=$F32,BW$5+GanttPeriod-1&gt;=$E32),"━","")))</f>
        <v/>
      </c>
      <c r="BX32" s="69" t="str">
        <f aca="false">IF($E32="","",IF($M32,IF(AND($G32&gt;=BX$5,$G32&lt;BX$5+GanttPeriod),"◆",IF(AND($E32&gt;=BX$5,$E32&lt;BX$5+GanttPeriod),"◇","")),IF(AND(BX$5&lt;=$F32,BX$5+GanttPeriod-1&gt;=$E32),"━","")))</f>
        <v/>
      </c>
      <c r="BY32" s="69" t="str">
        <f aca="false">IF($E32="","",IF($M32,IF(AND($G32&gt;=BY$5,$G32&lt;BY$5+GanttPeriod),"◆",IF(AND($E32&gt;=BY$5,$E32&lt;BY$5+GanttPeriod),"◇","")),IF(AND(BY$5&lt;=$F32,BY$5+GanttPeriod-1&gt;=$E32),"━","")))</f>
        <v/>
      </c>
      <c r="BZ32" s="69" t="str">
        <f aca="false">IF($E32="","",IF($M32,IF(AND($G32&gt;=BZ$5,$G32&lt;BZ$5+GanttPeriod),"◆",IF(AND($E32&gt;=BZ$5,$E32&lt;BZ$5+GanttPeriod),"◇","")),IF(AND(BZ$5&lt;=$F32,BZ$5+GanttPeriod-1&gt;=$E32),"━","")))</f>
        <v/>
      </c>
      <c r="CA32" s="69" t="str">
        <f aca="false">IF($E32="","",IF($M32,IF(AND($G32&gt;=CA$5,$G32&lt;CA$5+GanttPeriod),"◆",IF(AND($E32&gt;=CA$5,$E32&lt;CA$5+GanttPeriod),"◇","")),IF(AND(CA$5&lt;=$F32,CA$5+GanttPeriod-1&gt;=$E32),"━","")))</f>
        <v/>
      </c>
      <c r="CB32" s="69" t="str">
        <f aca="false">IF($E32="","",IF($M32,IF(AND($G32&gt;=CB$5,$G32&lt;CB$5+GanttPeriod),"◆",IF(AND($E32&gt;=CB$5,$E32&lt;CB$5+GanttPeriod),"◇","")),IF(AND(CB$5&lt;=$F32,CB$5+GanttPeriod-1&gt;=$E32),"━","")))</f>
        <v/>
      </c>
      <c r="CC32" s="69" t="str">
        <f aca="false">IF($E32="","",IF($M32,IF(AND($G32&gt;=CC$5,$G32&lt;CC$5+GanttPeriod),"◆",IF(AND($E32&gt;=CC$5,$E32&lt;CC$5+GanttPeriod),"◇","")),IF(AND(CC$5&lt;=$F32,CC$5+GanttPeriod-1&gt;=$E32),"━","")))</f>
        <v/>
      </c>
      <c r="CD32" s="69" t="str">
        <f aca="false">IF($E32="","",IF($M32,IF(AND($G32&gt;=CD$5,$G32&lt;CD$5+GanttPeriod),"◆",IF(AND($E32&gt;=CD$5,$E32&lt;CD$5+GanttPeriod),"◇","")),IF(AND(CD$5&lt;=$F32,CD$5+GanttPeriod-1&gt;=$E32),"━","")))</f>
        <v/>
      </c>
      <c r="CE32" s="69" t="str">
        <f aca="false">IF($E32="","",IF($M32,IF(AND($G32&gt;=CE$5,$G32&lt;CE$5+GanttPeriod),"◆",IF(AND($E32&gt;=CE$5,$E32&lt;CE$5+GanttPeriod),"◇","")),IF(AND(CE$5&lt;=$F32,CE$5+GanttPeriod-1&gt;=$E32),"━","")))</f>
        <v/>
      </c>
      <c r="CF32" s="69" t="str">
        <f aca="false">IF($E32="","",IF($M32,IF(AND($G32&gt;=CF$5,$G32&lt;CF$5+GanttPeriod),"◆",IF(AND($E32&gt;=CF$5,$E32&lt;CF$5+GanttPeriod),"◇","")),IF(AND(CF$5&lt;=$F32,CF$5+GanttPeriod-1&gt;=$E32),"━","")))</f>
        <v/>
      </c>
      <c r="CG32" s="69" t="str">
        <f aca="false">IF($E32="","",IF($M32,IF(AND($G32&gt;=CG$5,$G32&lt;CG$5+GanttPeriod),"◆",IF(AND($E32&gt;=CG$5,$E32&lt;CG$5+GanttPeriod),"◇","")),IF(AND(CG$5&lt;=$F32,CG$5+GanttPeriod-1&gt;=$E32),"━","")))</f>
        <v/>
      </c>
      <c r="CH32" s="69" t="str">
        <f aca="false">IF($E32="","",IF($M32,IF(AND($G32&gt;=CH$5,$G32&lt;CH$5+GanttPeriod),"◆",IF(AND($E32&gt;=CH$5,$E32&lt;CH$5+GanttPeriod),"◇","")),IF(AND(CH$5&lt;=$F32,CH$5+GanttPeriod-1&gt;=$E32),"━","")))</f>
        <v/>
      </c>
      <c r="CI32" s="69" t="str">
        <f aca="false">IF($E32="","",IF($M32,IF(AND($G32&gt;=CI$5,$G32&lt;CI$5+GanttPeriod),"◆",IF(AND($E32&gt;=CI$5,$E32&lt;CI$5+GanttPeriod),"◇","")),IF(AND(CI$5&lt;=$F32,CI$5+GanttPeriod-1&gt;=$E32),"━","")))</f>
        <v/>
      </c>
      <c r="CJ32" s="69" t="str">
        <f aca="false">IF($E32="","",IF($M32,IF(AND($G32&gt;=CJ$5,$G32&lt;CJ$5+GanttPeriod),"◆",IF(AND($E32&gt;=CJ$5,$E32&lt;CJ$5+GanttPeriod),"◇","")),IF(AND(CJ$5&lt;=$F32,CJ$5+GanttPeriod-1&gt;=$E32),"━","")))</f>
        <v/>
      </c>
      <c r="CK32" s="69" t="str">
        <f aca="false">IF($E32="","",IF($M32,IF(AND($G32&gt;=CK$5,$G32&lt;CK$5+GanttPeriod),"◆",IF(AND($E32&gt;=CK$5,$E32&lt;CK$5+GanttPeriod),"◇","")),IF(AND(CK$5&lt;=$F32,CK$5+GanttPeriod-1&gt;=$E32),"━","")))</f>
        <v/>
      </c>
      <c r="CL32" s="69" t="str">
        <f aca="false">IF($E32="","",IF($M32,IF(AND($G32&gt;=CL$5,$G32&lt;CL$5+GanttPeriod),"◆",IF(AND($E32&gt;=CL$5,$E32&lt;CL$5+GanttPeriod),"◇","")),IF(AND(CL$5&lt;=$F32,CL$5+GanttPeriod-1&gt;=$E32),"━","")))</f>
        <v>━</v>
      </c>
      <c r="CM32" s="69" t="str">
        <f aca="false">IF($E32="","",IF($M32,IF(AND($G32&gt;=CM$5,$G32&lt;CM$5+GanttPeriod),"◆",IF(AND($E32&gt;=CM$5,$E32&lt;CM$5+GanttPeriod),"◇","")),IF(AND(CM$5&lt;=$F32,CM$5+GanttPeriod-1&gt;=$E32),"━","")))</f>
        <v>━</v>
      </c>
      <c r="CN32" s="69" t="str">
        <f aca="false">IF($E32="","",IF($M32,IF(AND($G32&gt;=CN$5,$G32&lt;CN$5+GanttPeriod),"◆",IF(AND($E32&gt;=CN$5,$E32&lt;CN$5+GanttPeriod),"◇","")),IF(AND(CN$5&lt;=$F32,CN$5+GanttPeriod-1&gt;=$E32),"━","")))</f>
        <v>━</v>
      </c>
      <c r="CO32" s="69" t="str">
        <f aca="false">IF($E32="","",IF($M32,IF(AND($G32&gt;=CO$5,$G32&lt;CO$5+GanttPeriod),"◆",IF(AND($E32&gt;=CO$5,$E32&lt;CO$5+GanttPeriod),"◇","")),IF(AND(CO$5&lt;=$F32,CO$5+GanttPeriod-1&gt;=$E32),"━","")))</f>
        <v>━</v>
      </c>
      <c r="CP32" s="69" t="str">
        <f aca="false">IF($E32="","",IF($M32,IF(AND($G32&gt;=CP$5,$G32&lt;CP$5+GanttPeriod),"◆",IF(AND($E32&gt;=CP$5,$E32&lt;CP$5+GanttPeriod),"◇","")),IF(AND(CP$5&lt;=$F32,CP$5+GanttPeriod-1&gt;=$E32),"━","")))</f>
        <v>━</v>
      </c>
      <c r="CQ32" s="69" t="str">
        <f aca="false">IF($E32="","",IF($M32,IF(AND($G32&gt;=CQ$5,$G32&lt;CQ$5+GanttPeriod),"◆",IF(AND($E32&gt;=CQ$5,$E32&lt;CQ$5+GanttPeriod),"◇","")),IF(AND(CQ$5&lt;=$F32,CQ$5+GanttPeriod-1&gt;=$E32),"━","")))</f>
        <v>━</v>
      </c>
      <c r="CR32" s="69" t="str">
        <f aca="false">IF($E32="","",IF($M32,IF(AND($G32&gt;=CR$5,$G32&lt;CR$5+GanttPeriod),"◆",IF(AND($E32&gt;=CR$5,$E32&lt;CR$5+GanttPeriod),"◇","")),IF(AND(CR$5&lt;=$F32,CR$5+GanttPeriod-1&gt;=$E32),"━","")))</f>
        <v>━</v>
      </c>
      <c r="CS32" s="69" t="str">
        <f aca="false">IF($E32="","",IF($M32,IF(AND($G32&gt;=CS$5,$G32&lt;CS$5+GanttPeriod),"◆",IF(AND($E32&gt;=CS$5,$E32&lt;CS$5+GanttPeriod),"◇","")),IF(AND(CS$5&lt;=$F32,CS$5+GanttPeriod-1&gt;=$E32),"━","")))</f>
        <v>━</v>
      </c>
      <c r="CT32" s="69" t="str">
        <f aca="false">IF($E32="","",IF($M32,IF(AND($G32&gt;=CT$5,$G32&lt;CT$5+GanttPeriod),"◆",IF(AND($E32&gt;=CT$5,$E32&lt;CT$5+GanttPeriod),"◇","")),IF(AND(CT$5&lt;=$F32,CT$5+GanttPeriod-1&gt;=$E32),"━","")))</f>
        <v>━</v>
      </c>
      <c r="CU32" s="69" t="str">
        <f aca="false">IF($E32="","",IF($M32,IF(AND($G32&gt;=CU$5,$G32&lt;CU$5+GanttPeriod),"◆",IF(AND($E32&gt;=CU$5,$E32&lt;CU$5+GanttPeriod),"◇","")),IF(AND(CU$5&lt;=$F32,CU$5+GanttPeriod-1&gt;=$E32),"━","")))</f>
        <v>━</v>
      </c>
      <c r="CV32" s="69" t="str">
        <f aca="false">IF($E32="","",IF($M32,IF(AND($G32&gt;=CV$5,$G32&lt;CV$5+GanttPeriod),"◆",IF(AND($E32&gt;=CV$5,$E32&lt;CV$5+GanttPeriod),"◇","")),IF(AND(CV$5&lt;=$F32,CV$5+GanttPeriod-1&gt;=$E32),"━","")))</f>
        <v>━</v>
      </c>
      <c r="CW32" s="69" t="str">
        <f aca="false">IF($E32="","",IF($M32,IF(AND($G32&gt;=CW$5,$G32&lt;CW$5+GanttPeriod),"◆",IF(AND($E32&gt;=CW$5,$E32&lt;CW$5+GanttPeriod),"◇","")),IF(AND(CW$5&lt;=$F32,CW$5+GanttPeriod-1&gt;=$E32),"━","")))</f>
        <v>━</v>
      </c>
      <c r="CX32" s="69" t="str">
        <f aca="false">IF($E32="","",IF($M32,IF(AND($G32&gt;=CX$5,$G32&lt;CX$5+GanttPeriod),"◆",IF(AND($E32&gt;=CX$5,$E32&lt;CX$5+GanttPeriod),"◇","")),IF(AND(CX$5&lt;=$F32,CX$5+GanttPeriod-1&gt;=$E32),"━","")))</f>
        <v>━</v>
      </c>
      <c r="CY32" s="69" t="str">
        <f aca="false">IF($E32="","",IF($M32,IF(AND($G32&gt;=CY$5,$G32&lt;CY$5+GanttPeriod),"◆",IF(AND($E32&gt;=CY$5,$E32&lt;CY$5+GanttPeriod),"◇","")),IF(AND(CY$5&lt;=$F32,CY$5+GanttPeriod-1&gt;=$E32),"━","")))</f>
        <v>━</v>
      </c>
      <c r="CZ32" s="69" t="str">
        <f aca="false">IF($E32="","",IF($M32,IF(AND($G32&gt;=CZ$5,$G32&lt;CZ$5+GanttPeriod),"◆",IF(AND($E32&gt;=CZ$5,$E32&lt;CZ$5+GanttPeriod),"◇","")),IF(AND(CZ$5&lt;=$F32,CZ$5+GanttPeriod-1&gt;=$E32),"━","")))</f>
        <v>━</v>
      </c>
      <c r="DA32" s="69" t="str">
        <f aca="false">IF($E32="","",IF($M32,IF(AND($G32&gt;=DA$5,$G32&lt;DA$5+GanttPeriod),"◆",IF(AND($E32&gt;=DA$5,$E32&lt;DA$5+GanttPeriod),"◇","")),IF(AND(DA$5&lt;=$F32,DA$5+GanttPeriod-1&gt;=$E32),"━","")))</f>
        <v>━</v>
      </c>
      <c r="DB32" s="69" t="str">
        <f aca="false">IF($E32="","",IF($M32,IF(AND($G32&gt;=DB$5,$G32&lt;DB$5+GanttPeriod),"◆",IF(AND($E32&gt;=DB$5,$E32&lt;DB$5+GanttPeriod),"◇","")),IF(AND(DB$5&lt;=$F32,DB$5+GanttPeriod-1&gt;=$E32),"━","")))</f>
        <v>━</v>
      </c>
      <c r="DC32" s="69" t="str">
        <f aca="false">IF($E32="","",IF($M32,IF(AND($G32&gt;=DC$5,$G32&lt;DC$5+GanttPeriod),"◆",IF(AND($E32&gt;=DC$5,$E32&lt;DC$5+GanttPeriod),"◇","")),IF(AND(DC$5&lt;=$F32,DC$5+GanttPeriod-1&gt;=$E32),"━","")))</f>
        <v>━</v>
      </c>
      <c r="DD32" s="69" t="str">
        <f aca="false">IF($E32="","",IF($M32,IF(AND($G32&gt;=DD$5,$G32&lt;DD$5+GanttPeriod),"◆",IF(AND($E32&gt;=DD$5,$E32&lt;DD$5+GanttPeriod),"◇","")),IF(AND(DD$5&lt;=$F32,DD$5+GanttPeriod-1&gt;=$E32),"━","")))</f>
        <v>━</v>
      </c>
      <c r="DE32" s="69" t="str">
        <f aca="false">IF($E32="","",IF($M32,IF(AND($G32&gt;=DE$5,$G32&lt;DE$5+GanttPeriod),"◆",IF(AND($E32&gt;=DE$5,$E32&lt;DE$5+GanttPeriod),"◇","")),IF(AND(DE$5&lt;=$F32,DE$5+GanttPeriod-1&gt;=$E32),"━","")))</f>
        <v>━</v>
      </c>
      <c r="DF32" s="69" t="str">
        <f aca="false">IF($E32="","",IF($M32,IF(AND($G32&gt;=DF$5,$G32&lt;DF$5+GanttPeriod),"◆",IF(AND($E32&gt;=DF$5,$E32&lt;DF$5+GanttPeriod),"◇","")),IF(AND(DF$5&lt;=$F32,DF$5+GanttPeriod-1&gt;=$E32),"━","")))</f>
        <v>━</v>
      </c>
      <c r="DG32" s="69" t="str">
        <f aca="false">IF($E32="","",IF($M32,IF(AND($G32&gt;=DG$5,$G32&lt;DG$5+GanttPeriod),"◆",IF(AND($E32&gt;=DG$5,$E32&lt;DG$5+GanttPeriod),"◇","")),IF(AND(DG$5&lt;=$F32,DG$5+GanttPeriod-1&gt;=$E32),"━","")))</f>
        <v>━</v>
      </c>
      <c r="DH32" s="69" t="str">
        <f aca="false">IF($E32="","",IF($M32,IF(AND($G32&gt;=DH$5,$G32&lt;DH$5+GanttPeriod),"◆",IF(AND($E32&gt;=DH$5,$E32&lt;DH$5+GanttPeriod),"◇","")),IF(AND(DH$5&lt;=$F32,DH$5+GanttPeriod-1&gt;=$E32),"━","")))</f>
        <v>━</v>
      </c>
      <c r="DI32" s="69" t="str">
        <f aca="false">IF($E32="","",IF($M32,IF(AND($G32&gt;=DI$5,$G32&lt;DI$5+GanttPeriod),"◆",IF(AND($E32&gt;=DI$5,$E32&lt;DI$5+GanttPeriod),"◇","")),IF(AND(DI$5&lt;=$F32,DI$5+GanttPeriod-1&gt;=$E32),"━","")))</f>
        <v>━</v>
      </c>
      <c r="DJ32" s="69" t="str">
        <f aca="false">IF($E32="","",IF($M32,IF(AND($G32&gt;=DJ$5,$G32&lt;DJ$5+GanttPeriod),"◆",IF(AND($E32&gt;=DJ$5,$E32&lt;DJ$5+GanttPeriod),"◇","")),IF(AND(DJ$5&lt;=$F32,DJ$5+GanttPeriod-1&gt;=$E32),"━","")))</f>
        <v>━</v>
      </c>
      <c r="DK32" s="69" t="str">
        <f aca="false">IF($E32="","",IF($M32,IF(AND($G32&gt;=DK$5,$G32&lt;DK$5+GanttPeriod),"◆",IF(AND($E32&gt;=DK$5,$E32&lt;DK$5+GanttPeriod),"◇","")),IF(AND(DK$5&lt;=$F32,DK$5+GanttPeriod-1&gt;=$E32),"━","")))</f>
        <v>━</v>
      </c>
      <c r="DL32" s="69" t="str">
        <f aca="false">IF($E32="","",IF($M32,IF(AND($G32&gt;=DL$5,$G32&lt;DL$5+GanttPeriod),"◆",IF(AND($E32&gt;=DL$5,$E32&lt;DL$5+GanttPeriod),"◇","")),IF(AND(DL$5&lt;=$F32,DL$5+GanttPeriod-1&gt;=$E32),"━","")))</f>
        <v>━</v>
      </c>
      <c r="DM32" s="69" t="str">
        <f aca="false">IF($E32="","",IF($M32,IF(AND($G32&gt;=DM$5,$G32&lt;DM$5+GanttPeriod),"◆",IF(AND($E32&gt;=DM$5,$E32&lt;DM$5+GanttPeriod),"◇","")),IF(AND(DM$5&lt;=$F32,DM$5+GanttPeriod-1&gt;=$E32),"━","")))</f>
        <v>━</v>
      </c>
      <c r="DN32" s="69" t="str">
        <f aca="false">IF($E32="","",IF($M32,IF(AND($G32&gt;=DN$5,$G32&lt;DN$5+GanttPeriod),"◆",IF(AND($E32&gt;=DN$5,$E32&lt;DN$5+GanttPeriod),"◇","")),IF(AND(DN$5&lt;=$F32,DN$5+GanttPeriod-1&gt;=$E32),"━","")))</f>
        <v>━</v>
      </c>
      <c r="DO32" s="69" t="str">
        <f aca="false">IF($E32="","",IF($M32,IF(AND($G32&gt;=DO$5,$G32&lt;DO$5+GanttPeriod),"◆",IF(AND($E32&gt;=DO$5,$E32&lt;DO$5+GanttPeriod),"◇","")),IF(AND(DO$5&lt;=$F32,DO$5+GanttPeriod-1&gt;=$E32),"━","")))</f>
        <v>━</v>
      </c>
      <c r="DP32" s="69" t="str">
        <f aca="false">IF($E32="","",IF($M32,IF(AND($G32&gt;=DP$5,$G32&lt;DP$5+GanttPeriod),"◆",IF(AND($E32&gt;=DP$5,$E32&lt;DP$5+GanttPeriod),"◇","")),IF(AND(DP$5&lt;=$F32,DP$5+GanttPeriod-1&gt;=$E32),"━","")))</f>
        <v>━</v>
      </c>
      <c r="DQ32" s="69" t="str">
        <f aca="false">IF($E32="","",IF($M32,IF(AND($G32&gt;=DQ$5,$G32&lt;DQ$5+GanttPeriod),"◆",IF(AND($E32&gt;=DQ$5,$E32&lt;DQ$5+GanttPeriod),"◇","")),IF(AND(DQ$5&lt;=$F32,DQ$5+GanttPeriod-1&gt;=$E32),"━","")))</f>
        <v>━</v>
      </c>
      <c r="DR32" s="69" t="str">
        <f aca="false">IF($E32="","",IF($M32,IF(AND($G32&gt;=DR$5,$G32&lt;DR$5+GanttPeriod),"◆",IF(AND($E32&gt;=DR$5,$E32&lt;DR$5+GanttPeriod),"◇","")),IF(AND(DR$5&lt;=$F32,DR$5+GanttPeriod-1&gt;=$E32),"━","")))</f>
        <v>━</v>
      </c>
      <c r="DS32" s="69" t="str">
        <f aca="false">IF($E32="","",IF($M32,IF(AND($G32&gt;=DS$5,$G32&lt;DS$5+GanttPeriod),"◆",IF(AND($E32&gt;=DS$5,$E32&lt;DS$5+GanttPeriod),"◇","")),IF(AND(DS$5&lt;=$F32,DS$5+GanttPeriod-1&gt;=$E32),"━","")))</f>
        <v>━</v>
      </c>
      <c r="DT32" s="69" t="str">
        <f aca="false">IF($E32="","",IF($M32,IF(AND($G32&gt;=DT$5,$G32&lt;DT$5+GanttPeriod),"◆",IF(AND($E32&gt;=DT$5,$E32&lt;DT$5+GanttPeriod),"◇","")),IF(AND(DT$5&lt;=$F32,DT$5+GanttPeriod-1&gt;=$E32),"━","")))</f>
        <v>━</v>
      </c>
      <c r="DU32" s="69" t="str">
        <f aca="false">IF($E32="","",IF($M32,IF(AND($G32&gt;=DU$5,$G32&lt;DU$5+GanttPeriod),"◆",IF(AND($E32&gt;=DU$5,$E32&lt;DU$5+GanttPeriod),"◇","")),IF(AND(DU$5&lt;=$F32,DU$5+GanttPeriod-1&gt;=$E32),"━","")))</f>
        <v>━</v>
      </c>
      <c r="DV32" s="69" t="str">
        <f aca="false">IF($E32="","",IF($M32,IF(AND($G32&gt;=DV$5,$G32&lt;DV$5+GanttPeriod),"◆",IF(AND($E32&gt;=DV$5,$E32&lt;DV$5+GanttPeriod),"◇","")),IF(AND(DV$5&lt;=$F32,DV$5+GanttPeriod-1&gt;=$E32),"━","")))</f>
        <v>━</v>
      </c>
      <c r="DW32" s="69" t="str">
        <f aca="false">IF($E32="","",IF($M32,IF(AND($G32&gt;=DW$5,$G32&lt;DW$5+GanttPeriod),"◆",IF(AND($E32&gt;=DW$5,$E32&lt;DW$5+GanttPeriod),"◇","")),IF(AND(DW$5&lt;=$F32,DW$5+GanttPeriod-1&gt;=$E32),"━","")))</f>
        <v>━</v>
      </c>
      <c r="DX32" s="69" t="str">
        <f aca="false">IF($E32="","",IF($M32,IF(AND($G32&gt;=DX$5,$G32&lt;DX$5+GanttPeriod),"◆",IF(AND($E32&gt;=DX$5,$E32&lt;DX$5+GanttPeriod),"◇","")),IF(AND(DX$5&lt;=$F32,DX$5+GanttPeriod-1&gt;=$E32),"━","")))</f>
        <v>━</v>
      </c>
      <c r="DY32" s="69" t="str">
        <f aca="false">IF($E32="","",IF($M32,IF(AND($G32&gt;=DY$5,$G32&lt;DY$5+GanttPeriod),"◆",IF(AND($E32&gt;=DY$5,$E32&lt;DY$5+GanttPeriod),"◇","")),IF(AND(DY$5&lt;=$F32,DY$5+GanttPeriod-1&gt;=$E32),"━","")))</f>
        <v>━</v>
      </c>
      <c r="DZ32" s="69" t="str">
        <f aca="false">IF($E32="","",IF($M32,IF(AND($G32&gt;=DZ$5,$G32&lt;DZ$5+GanttPeriod),"◆",IF(AND($E32&gt;=DZ$5,$E32&lt;DZ$5+GanttPeriod),"◇","")),IF(AND(DZ$5&lt;=$F32,DZ$5+GanttPeriod-1&gt;=$E32),"━","")))</f>
        <v>━</v>
      </c>
      <c r="EA32" s="69" t="str">
        <f aca="false">IF($E32="","",IF($M32,IF(AND($G32&gt;=EA$5,$G32&lt;EA$5+GanttPeriod),"◆",IF(AND($E32&gt;=EA$5,$E32&lt;EA$5+GanttPeriod),"◇","")),IF(AND(EA$5&lt;=$F32,EA$5+GanttPeriod-1&gt;=$E32),"━","")))</f>
        <v>━</v>
      </c>
      <c r="EB32" s="69" t="str">
        <f aca="false">IF($E32="","",IF($M32,IF(AND($G32&gt;=EB$5,$G32&lt;EB$5+GanttPeriod),"◆",IF(AND($E32&gt;=EB$5,$E32&lt;EB$5+GanttPeriod),"◇","")),IF(AND(EB$5&lt;=$F32,EB$5+GanttPeriod-1&gt;=$E32),"━","")))</f>
        <v>━</v>
      </c>
      <c r="EC32" s="69" t="str">
        <f aca="false">IF($E32="","",IF($M32,IF(AND($G32&gt;=EC$5,$G32&lt;EC$5+GanttPeriod),"◆",IF(AND($E32&gt;=EC$5,$E32&lt;EC$5+GanttPeriod),"◇","")),IF(AND(EC$5&lt;=$F32,EC$5+GanttPeriod-1&gt;=$E32),"━","")))</f>
        <v>━</v>
      </c>
      <c r="ED32" s="69" t="str">
        <f aca="false">IF($E32="","",IF($M32,IF(AND($G32&gt;=ED$5,$G32&lt;ED$5+GanttPeriod),"◆",IF(AND($E32&gt;=ED$5,$E32&lt;ED$5+GanttPeriod),"◇","")),IF(AND(ED$5&lt;=$F32,ED$5+GanttPeriod-1&gt;=$E32),"━","")))</f>
        <v>━</v>
      </c>
      <c r="EE32" s="69" t="str">
        <f aca="false">IF($E32="","",IF($M32,IF(AND($G32&gt;=EE$5,$G32&lt;EE$5+GanttPeriod),"◆",IF(AND($E32&gt;=EE$5,$E32&lt;EE$5+GanttPeriod),"◇","")),IF(AND(EE$5&lt;=$F32,EE$5+GanttPeriod-1&gt;=$E32),"━","")))</f>
        <v>━</v>
      </c>
      <c r="EF32" s="69" t="str">
        <f aca="false">IF($E32="","",IF($M32,IF(AND($G32&gt;=EF$5,$G32&lt;EF$5+GanttPeriod),"◆",IF(AND($E32&gt;=EF$5,$E32&lt;EF$5+GanttPeriod),"◇","")),IF(AND(EF$5&lt;=$F32,EF$5+GanttPeriod-1&gt;=$E32),"━","")))</f>
        <v>━</v>
      </c>
      <c r="EG32" s="69" t="str">
        <f aca="false">IF($E32="","",IF($M32,IF(AND($G32&gt;=EG$5,$G32&lt;EG$5+GanttPeriod),"◆",IF(AND($E32&gt;=EG$5,$E32&lt;EG$5+GanttPeriod),"◇","")),IF(AND(EG$5&lt;=$F32,EG$5+GanttPeriod-1&gt;=$E32),"━","")))</f>
        <v>━</v>
      </c>
      <c r="EH32" s="69" t="str">
        <f aca="false">IF($E32="","",IF($M32,IF(AND($G32&gt;=EH$5,$G32&lt;EH$5+GanttPeriod),"◆",IF(AND($E32&gt;=EH$5,$E32&lt;EH$5+GanttPeriod),"◇","")),IF(AND(EH$5&lt;=$F32,EH$5+GanttPeriod-1&gt;=$E32),"━","")))</f>
        <v>━</v>
      </c>
      <c r="EI32" s="69" t="str">
        <f aca="false">IF($E32="","",IF($M32,IF(AND($G32&gt;=EI$5,$G32&lt;EI$5+GanttPeriod),"◆",IF(AND($E32&gt;=EI$5,$E32&lt;EI$5+GanttPeriod),"◇","")),IF(AND(EI$5&lt;=$F32,EI$5+GanttPeriod-1&gt;=$E32),"━","")))</f>
        <v>━</v>
      </c>
      <c r="EJ32" s="69" t="str">
        <f aca="false">IF($E32="","",IF($M32,IF(AND($G32&gt;=EJ$5,$G32&lt;EJ$5+GanttPeriod),"◆",IF(AND($E32&gt;=EJ$5,$E32&lt;EJ$5+GanttPeriod),"◇","")),IF(AND(EJ$5&lt;=$F32,EJ$5+GanttPeriod-1&gt;=$E32),"━","")))</f>
        <v>━</v>
      </c>
      <c r="EK32" s="69" t="str">
        <f aca="false">IF($E32="","",IF($M32,IF(AND($G32&gt;=EK$5,$G32&lt;EK$5+GanttPeriod),"◆",IF(AND($E32&gt;=EK$5,$E32&lt;EK$5+GanttPeriod),"◇","")),IF(AND(EK$5&lt;=$F32,EK$5+GanttPeriod-1&gt;=$E32),"━","")))</f>
        <v>━</v>
      </c>
      <c r="EL32" s="69" t="str">
        <f aca="false">IF($E32="","",IF($M32,IF(AND($G32&gt;=EL$5,$G32&lt;EL$5+GanttPeriod),"◆",IF(AND($E32&gt;=EL$5,$E32&lt;EL$5+GanttPeriod),"◇","")),IF(AND(EL$5&lt;=$F32,EL$5+GanttPeriod-1&gt;=$E32),"━","")))</f>
        <v/>
      </c>
      <c r="EM32" s="69" t="str">
        <f aca="false">IF($E32="","",IF($M32,IF(AND($G32&gt;=EM$5,$G32&lt;EM$5+GanttPeriod),"◆",IF(AND($E32&gt;=EM$5,$E32&lt;EM$5+GanttPeriod),"◇","")),IF(AND(EM$5&lt;=$F32,EM$5+GanttPeriod-1&gt;=$E32),"━","")))</f>
        <v/>
      </c>
      <c r="EN32" s="69" t="str">
        <f aca="false">IF($E32="","",IF($M32,IF(AND($G32&gt;=EN$5,$G32&lt;EN$5+GanttPeriod),"◆",IF(AND($E32&gt;=EN$5,$E32&lt;EN$5+GanttPeriod),"◇","")),IF(AND(EN$5&lt;=$F32,EN$5+GanttPeriod-1&gt;=$E32),"━","")))</f>
        <v/>
      </c>
      <c r="EO32" s="69" t="str">
        <f aca="false">IF($E32="","",IF($M32,IF(AND($G32&gt;=EO$5,$G32&lt;EO$5+GanttPeriod),"◆",IF(AND($E32&gt;=EO$5,$E32&lt;EO$5+GanttPeriod),"◇","")),IF(AND(EO$5&lt;=$F32,EO$5+GanttPeriod-1&gt;=$E32),"━","")))</f>
        <v/>
      </c>
      <c r="EP32" s="69" t="str">
        <f aca="false">IF($E32="","",IF($M32,IF(AND($G32&gt;=EP$5,$G32&lt;EP$5+GanttPeriod),"◆",IF(AND($E32&gt;=EP$5,$E32&lt;EP$5+GanttPeriod),"◇","")),IF(AND(EP$5&lt;=$F32,EP$5+GanttPeriod-1&gt;=$E32),"━","")))</f>
        <v/>
      </c>
      <c r="EQ32" s="69" t="str">
        <f aca="false">IF($E32="","",IF($M32,IF(AND($G32&gt;=EQ$5,$G32&lt;EQ$5+GanttPeriod),"◆",IF(AND($E32&gt;=EQ$5,$E32&lt;EQ$5+GanttPeriod),"◇","")),IF(AND(EQ$5&lt;=$F32,EQ$5+GanttPeriod-1&gt;=$E32),"━","")))</f>
        <v/>
      </c>
      <c r="ER32" s="69" t="str">
        <f aca="false">IF($E32="","",IF($M32,IF(AND($G32&gt;=ER$5,$G32&lt;ER$5+GanttPeriod),"◆",IF(AND($E32&gt;=ER$5,$E32&lt;ER$5+GanttPeriod),"◇","")),IF(AND(ER$5&lt;=$F32,ER$5+GanttPeriod-1&gt;=$E32),"━","")))</f>
        <v/>
      </c>
      <c r="ES32" s="69" t="str">
        <f aca="false">IF($E32="","",IF($M32,IF(AND($G32&gt;=ES$5,$G32&lt;ES$5+GanttPeriod),"◆",IF(AND($E32&gt;=ES$5,$E32&lt;ES$5+GanttPeriod),"◇","")),IF(AND(ES$5&lt;=$F32,ES$5+GanttPeriod-1&gt;=$E32),"━","")))</f>
        <v/>
      </c>
      <c r="ET32" s="69" t="str">
        <f aca="false">IF($E32="","",IF($M32,IF(AND($G32&gt;=ET$5,$G32&lt;ET$5+GanttPeriod),"◆",IF(AND($E32&gt;=ET$5,$E32&lt;ET$5+GanttPeriod),"◇","")),IF(AND(ET$5&lt;=$F32,ET$5+GanttPeriod-1&gt;=$E32),"━","")))</f>
        <v/>
      </c>
      <c r="EU32" s="69" t="str">
        <f aca="false">IF($E32="","",IF($M32,IF(AND($G32&gt;=EU$5,$G32&lt;EU$5+GanttPeriod),"◆",IF(AND($E32&gt;=EU$5,$E32&lt;EU$5+GanttPeriod),"◇","")),IF(AND(EU$5&lt;=$F32,EU$5+GanttPeriod-1&gt;=$E32),"━","")))</f>
        <v/>
      </c>
      <c r="EV32" s="69" t="str">
        <f aca="false">IF($E32="","",IF($M32,IF(AND($G32&gt;=EV$5,$G32&lt;EV$5+GanttPeriod),"◆",IF(AND($E32&gt;=EV$5,$E32&lt;EV$5+GanttPeriod),"◇","")),IF(AND(EV$5&lt;=$F32,EV$5+GanttPeriod-1&gt;=$E32),"━","")))</f>
        <v/>
      </c>
      <c r="EW32" s="69" t="str">
        <f aca="false">IF($E32="","",IF($M32,IF(AND($G32&gt;=EW$5,$G32&lt;EW$5+GanttPeriod),"◆",IF(AND($E32&gt;=EW$5,$E32&lt;EW$5+GanttPeriod),"◇","")),IF(AND(EW$5&lt;=$F32,EW$5+GanttPeriod-1&gt;=$E32),"━","")))</f>
        <v/>
      </c>
      <c r="EX32" s="69" t="str">
        <f aca="false">IF($E32="","",IF($M32,IF(AND($G32&gt;=EX$5,$G32&lt;EX$5+GanttPeriod),"◆",IF(AND($E32&gt;=EX$5,$E32&lt;EX$5+GanttPeriod),"◇","")),IF(AND(EX$5&lt;=$F32,EX$5+GanttPeriod-1&gt;=$E32),"━","")))</f>
        <v/>
      </c>
      <c r="EY32" s="69" t="str">
        <f aca="false">IF($E32="","",IF($M32,IF(AND($G32&gt;=EY$5,$G32&lt;EY$5+GanttPeriod),"◆",IF(AND($E32&gt;=EY$5,$E32&lt;EY$5+GanttPeriod),"◇","")),IF(AND(EY$5&lt;=$F32,EY$5+GanttPeriod-1&gt;=$E32),"━","")))</f>
        <v/>
      </c>
      <c r="EZ32" s="69" t="str">
        <f aca="false">IF($E32="","",IF($M32,IF(AND($G32&gt;=EZ$5,$G32&lt;EZ$5+GanttPeriod),"◆",IF(AND($E32&gt;=EZ$5,$E32&lt;EZ$5+GanttPeriod),"◇","")),IF(AND(EZ$5&lt;=$F32,EZ$5+GanttPeriod-1&gt;=$E32),"━","")))</f>
        <v/>
      </c>
      <c r="FA32" s="69" t="str">
        <f aca="false">IF($E32="","",IF($M32,IF(AND($G32&gt;=FA$5,$G32&lt;FA$5+GanttPeriod),"◆",IF(AND($E32&gt;=FA$5,$E32&lt;FA$5+GanttPeriod),"◇","")),IF(AND(FA$5&lt;=$F32,FA$5+GanttPeriod-1&gt;=$E32),"━","")))</f>
        <v/>
      </c>
      <c r="FB32" s="69" t="str">
        <f aca="false">IF($E32="","",IF($M32,IF(AND($G32&gt;=FB$5,$G32&lt;FB$5+GanttPeriod),"◆",IF(AND($E32&gt;=FB$5,$E32&lt;FB$5+GanttPeriod),"◇","")),IF(AND(FB$5&lt;=$F32,FB$5+GanttPeriod-1&gt;=$E32),"━","")))</f>
        <v/>
      </c>
      <c r="FC32" s="69" t="str">
        <f aca="false">IF($E32="","",IF($M32,IF(AND($G32&gt;=FC$5,$G32&lt;FC$5+GanttPeriod),"◆",IF(AND($E32&gt;=FC$5,$E32&lt;FC$5+GanttPeriod),"◇","")),IF(AND(FC$5&lt;=$F32,FC$5+GanttPeriod-1&gt;=$E32),"━","")))</f>
        <v/>
      </c>
      <c r="FD32" s="69" t="str">
        <f aca="false">IF($E32="","",IF($M32,IF(AND($G32&gt;=FD$5,$G32&lt;FD$5+GanttPeriod),"◆",IF(AND($E32&gt;=FD$5,$E32&lt;FD$5+GanttPeriod),"◇","")),IF(AND(FD$5&lt;=$F32,FD$5+GanttPeriod-1&gt;=$E32),"━","")))</f>
        <v/>
      </c>
      <c r="FE32" s="69" t="str">
        <f aca="false">IF($E32="","",IF($M32,IF(AND($G32&gt;=FE$5,$G32&lt;FE$5+GanttPeriod),"◆",IF(AND($E32&gt;=FE$5,$E32&lt;FE$5+GanttPeriod),"◇","")),IF(AND(FE$5&lt;=$F32,FE$5+GanttPeriod-1&gt;=$E32),"━","")))</f>
        <v/>
      </c>
      <c r="FF32" s="69" t="str">
        <f aca="false">IF($E32="","",IF($M32,IF(AND($G32&gt;=FF$5,$G32&lt;FF$5+GanttPeriod),"◆",IF(AND($E32&gt;=FF$5,$E32&lt;FF$5+GanttPeriod),"◇","")),IF(AND(FF$5&lt;=$F32,FF$5+GanttPeriod-1&gt;=$E32),"━","")))</f>
        <v/>
      </c>
      <c r="FG32" s="69" t="str">
        <f aca="false">IF($E32="","",IF($M32,IF(AND($G32&gt;=FG$5,$G32&lt;FG$5+GanttPeriod),"◆",IF(AND($E32&gt;=FG$5,$E32&lt;FG$5+GanttPeriod),"◇","")),IF(AND(FG$5&lt;=$F32,FG$5+GanttPeriod-1&gt;=$E32),"━","")))</f>
        <v/>
      </c>
      <c r="FH32" s="69" t="str">
        <f aca="false">IF($E32="","",IF($M32,IF(AND($G32&gt;=FH$5,$G32&lt;FH$5+GanttPeriod),"◆",IF(AND($E32&gt;=FH$5,$E32&lt;FH$5+GanttPeriod),"◇","")),IF(AND(FH$5&lt;=$F32,FH$5+GanttPeriod-1&gt;=$E32),"━","")))</f>
        <v/>
      </c>
      <c r="FI32" s="69" t="str">
        <f aca="false">IF($E32="","",IF($M32,IF(AND($G32&gt;=FI$5,$G32&lt;FI$5+GanttPeriod),"◆",IF(AND($E32&gt;=FI$5,$E32&lt;FI$5+GanttPeriod),"◇","")),IF(AND(FI$5&lt;=$F32,FI$5+GanttPeriod-1&gt;=$E32),"━","")))</f>
        <v/>
      </c>
      <c r="FJ32" s="69" t="str">
        <f aca="false">IF($E32="","",IF($M32,IF(AND($G32&gt;=FJ$5,$G32&lt;FJ$5+GanttPeriod),"◆",IF(AND($E32&gt;=FJ$5,$E32&lt;FJ$5+GanttPeriod),"◇","")),IF(AND(FJ$5&lt;=$F32,FJ$5+GanttPeriod-1&gt;=$E32),"━","")))</f>
        <v/>
      </c>
      <c r="FK32" s="69" t="str">
        <f aca="false">IF($E32="","",IF($M32,IF(AND($G32&gt;=FK$5,$G32&lt;FK$5+GanttPeriod),"◆",IF(AND($E32&gt;=FK$5,$E32&lt;FK$5+GanttPeriod),"◇","")),IF(AND(FK$5&lt;=$F32,FK$5+GanttPeriod-1&gt;=$E32),"━","")))</f>
        <v/>
      </c>
      <c r="FL32" s="69" t="str">
        <f aca="false">IF($E32="","",IF($M32,IF(AND($G32&gt;=FL$5,$G32&lt;FL$5+GanttPeriod),"◆",IF(AND($E32&gt;=FL$5,$E32&lt;FL$5+GanttPeriod),"◇","")),IF(AND(FL$5&lt;=$F32,FL$5+GanttPeriod-1&gt;=$E32),"━","")))</f>
        <v/>
      </c>
      <c r="FM32" s="69" t="str">
        <f aca="false">IF($E32="","",IF($M32,IF(AND($G32&gt;=FM$5,$G32&lt;FM$5+GanttPeriod),"◆",IF(AND($E32&gt;=FM$5,$E32&lt;FM$5+GanttPeriod),"◇","")),IF(AND(FM$5&lt;=$F32,FM$5+GanttPeriod-1&gt;=$E32),"━","")))</f>
        <v/>
      </c>
    </row>
    <row r="33" customFormat="false" ht="15" hidden="false" customHeight="false" outlineLevel="0" collapsed="false">
      <c r="A33" s="62" t="n">
        <f aca="false">IF(Tasks!$D33="","",Tasks!$A33)</f>
        <v>28</v>
      </c>
      <c r="B33" s="62" t="str">
        <f aca="false">IF(Tasks!$D33="","",Tasks!$B33)</f>
        <v>5.1</v>
      </c>
      <c r="C33" s="63" t="str">
        <f aca="false">IF(Tasks!$D33="","",REPT("    ",Tasks!$AE33-1)&amp;Tasks!$D33)</f>
        <v>    Steering committee update</v>
      </c>
      <c r="D33" s="62" t="n">
        <f aca="false">IF(Tasks!$D33="","",IF(Tasks!$AI33,NETWORKDAYS.INTL(Tasks!$R33,Tasks!$S33,WorkWeek,Holidays),N(Tasks!$F33)))</f>
        <v>1</v>
      </c>
      <c r="E33" s="64" t="n">
        <f aca="false">IF(Tasks!$D33="","",Tasks!$N33)</f>
        <v>46342</v>
      </c>
      <c r="F33" s="64" t="n">
        <f aca="false">IF(Tasks!$D33="","",Tasks!$O33)</f>
        <v>46342</v>
      </c>
      <c r="G33" s="64" t="n">
        <f aca="false">IF(Tasks!$D33="","",Tasks!$R33)</f>
        <v>46342</v>
      </c>
      <c r="H33" s="64" t="n">
        <f aca="false">IF(Tasks!$D33="","",Tasks!$S33)</f>
        <v>46342</v>
      </c>
      <c r="I33" s="65" t="n">
        <f aca="false">IF(Tasks!$D33="","",Tasks!$V33)</f>
        <v>0</v>
      </c>
      <c r="J33" s="63" t="str">
        <f aca="false">IF(Tasks!$D33="","",Tasks!$X33&amp;"")</f>
        <v>Priya Sharma</v>
      </c>
      <c r="K33" s="66" t="str">
        <f aca="false">IF(Tasks!$D33="","",Tasks!$W33)</f>
        <v>Not Started</v>
      </c>
      <c r="L33" s="67" t="b">
        <f aca="false">IF(Tasks!$D33="",FALSE(),Tasks!$AI33)</f>
        <v>0</v>
      </c>
      <c r="M33" s="67" t="b">
        <f aca="false">AND(Tasks!$AJ33=1,N(Tasks!$F33)=0)</f>
        <v>0</v>
      </c>
      <c r="N33" s="68" t="n">
        <f aca="false">IF(AND(Tasks!$AJ33=1,NOT($M33),N($I33)&gt;0),$G33,0)</f>
        <v>0</v>
      </c>
      <c r="O33" s="68" t="n">
        <f aca="false">IF($N33=0,0,IF($I33&gt;=1,$H33,MAX($N33,$G33+ROUND(($H33-$G33+1)*$I33,0)-1)))</f>
        <v>0</v>
      </c>
      <c r="P33" s="68" t="n">
        <f aca="false">IF(OR(Tasks!$AJ33&lt;&gt;1,$M33,N($I33)&gt;=1),0,IF($O33&gt;0,$O33+1,$G33))</f>
        <v>46342</v>
      </c>
      <c r="Q33" s="68" t="n">
        <f aca="false">IF($P33=0,0,$H33)</f>
        <v>46342</v>
      </c>
      <c r="R33" s="67" t="b">
        <f aca="false">AND(Tasks!$D33&lt;&gt;"",N(Tasks!$T33)&gt;0)</f>
        <v>0</v>
      </c>
      <c r="T33" s="69" t="str">
        <f aca="false">IF($E33="","",IF($M33,IF(AND($G33&gt;=T$5,$G33&lt;T$5+GanttPeriod),"◆",IF(AND($E33&gt;=T$5,$E33&lt;T$5+GanttPeriod),"◇","")),IF(AND(T$5&lt;=$F33,T$5+GanttPeriod-1&gt;=$E33),"━","")))</f>
        <v/>
      </c>
      <c r="U33" s="69" t="str">
        <f aca="false">IF($E33="","",IF($M33,IF(AND($G33&gt;=U$5,$G33&lt;U$5+GanttPeriod),"◆",IF(AND($E33&gt;=U$5,$E33&lt;U$5+GanttPeriod),"◇","")),IF(AND(U$5&lt;=$F33,U$5+GanttPeriod-1&gt;=$E33),"━","")))</f>
        <v/>
      </c>
      <c r="V33" s="69" t="str">
        <f aca="false">IF($E33="","",IF($M33,IF(AND($G33&gt;=V$5,$G33&lt;V$5+GanttPeriod),"◆",IF(AND($E33&gt;=V$5,$E33&lt;V$5+GanttPeriod),"◇","")),IF(AND(V$5&lt;=$F33,V$5+GanttPeriod-1&gt;=$E33),"━","")))</f>
        <v/>
      </c>
      <c r="W33" s="69" t="str">
        <f aca="false">IF($E33="","",IF($M33,IF(AND($G33&gt;=W$5,$G33&lt;W$5+GanttPeriod),"◆",IF(AND($E33&gt;=W$5,$E33&lt;W$5+GanttPeriod),"◇","")),IF(AND(W$5&lt;=$F33,W$5+GanttPeriod-1&gt;=$E33),"━","")))</f>
        <v/>
      </c>
      <c r="X33" s="69" t="str">
        <f aca="false">IF($E33="","",IF($M33,IF(AND($G33&gt;=X$5,$G33&lt;X$5+GanttPeriod),"◆",IF(AND($E33&gt;=X$5,$E33&lt;X$5+GanttPeriod),"◇","")),IF(AND(X$5&lt;=$F33,X$5+GanttPeriod-1&gt;=$E33),"━","")))</f>
        <v/>
      </c>
      <c r="Y33" s="69" t="str">
        <f aca="false">IF($E33="","",IF($M33,IF(AND($G33&gt;=Y$5,$G33&lt;Y$5+GanttPeriod),"◆",IF(AND($E33&gt;=Y$5,$E33&lt;Y$5+GanttPeriod),"◇","")),IF(AND(Y$5&lt;=$F33,Y$5+GanttPeriod-1&gt;=$E33),"━","")))</f>
        <v/>
      </c>
      <c r="Z33" s="69" t="str">
        <f aca="false">IF($E33="","",IF($M33,IF(AND($G33&gt;=Z$5,$G33&lt;Z$5+GanttPeriod),"◆",IF(AND($E33&gt;=Z$5,$E33&lt;Z$5+GanttPeriod),"◇","")),IF(AND(Z$5&lt;=$F33,Z$5+GanttPeriod-1&gt;=$E33),"━","")))</f>
        <v/>
      </c>
      <c r="AA33" s="69" t="str">
        <f aca="false">IF($E33="","",IF($M33,IF(AND($G33&gt;=AA$5,$G33&lt;AA$5+GanttPeriod),"◆",IF(AND($E33&gt;=AA$5,$E33&lt;AA$5+GanttPeriod),"◇","")),IF(AND(AA$5&lt;=$F33,AA$5+GanttPeriod-1&gt;=$E33),"━","")))</f>
        <v/>
      </c>
      <c r="AB33" s="69" t="str">
        <f aca="false">IF($E33="","",IF($M33,IF(AND($G33&gt;=AB$5,$G33&lt;AB$5+GanttPeriod),"◆",IF(AND($E33&gt;=AB$5,$E33&lt;AB$5+GanttPeriod),"◇","")),IF(AND(AB$5&lt;=$F33,AB$5+GanttPeriod-1&gt;=$E33),"━","")))</f>
        <v/>
      </c>
      <c r="AC33" s="69" t="str">
        <f aca="false">IF($E33="","",IF($M33,IF(AND($G33&gt;=AC$5,$G33&lt;AC$5+GanttPeriod),"◆",IF(AND($E33&gt;=AC$5,$E33&lt;AC$5+GanttPeriod),"◇","")),IF(AND(AC$5&lt;=$F33,AC$5+GanttPeriod-1&gt;=$E33),"━","")))</f>
        <v/>
      </c>
      <c r="AD33" s="69" t="str">
        <f aca="false">IF($E33="","",IF($M33,IF(AND($G33&gt;=AD$5,$G33&lt;AD$5+GanttPeriod),"◆",IF(AND($E33&gt;=AD$5,$E33&lt;AD$5+GanttPeriod),"◇","")),IF(AND(AD$5&lt;=$F33,AD$5+GanttPeriod-1&gt;=$E33),"━","")))</f>
        <v/>
      </c>
      <c r="AE33" s="69" t="str">
        <f aca="false">IF($E33="","",IF($M33,IF(AND($G33&gt;=AE$5,$G33&lt;AE$5+GanttPeriod),"◆",IF(AND($E33&gt;=AE$5,$E33&lt;AE$5+GanttPeriod),"◇","")),IF(AND(AE$5&lt;=$F33,AE$5+GanttPeriod-1&gt;=$E33),"━","")))</f>
        <v/>
      </c>
      <c r="AF33" s="69" t="str">
        <f aca="false">IF($E33="","",IF($M33,IF(AND($G33&gt;=AF$5,$G33&lt;AF$5+GanttPeriod),"◆",IF(AND($E33&gt;=AF$5,$E33&lt;AF$5+GanttPeriod),"◇","")),IF(AND(AF$5&lt;=$F33,AF$5+GanttPeriod-1&gt;=$E33),"━","")))</f>
        <v/>
      </c>
      <c r="AG33" s="69" t="str">
        <f aca="false">IF($E33="","",IF($M33,IF(AND($G33&gt;=AG$5,$G33&lt;AG$5+GanttPeriod),"◆",IF(AND($E33&gt;=AG$5,$E33&lt;AG$5+GanttPeriod),"◇","")),IF(AND(AG$5&lt;=$F33,AG$5+GanttPeriod-1&gt;=$E33),"━","")))</f>
        <v/>
      </c>
      <c r="AH33" s="69" t="str">
        <f aca="false">IF($E33="","",IF($M33,IF(AND($G33&gt;=AH$5,$G33&lt;AH$5+GanttPeriod),"◆",IF(AND($E33&gt;=AH$5,$E33&lt;AH$5+GanttPeriod),"◇","")),IF(AND(AH$5&lt;=$F33,AH$5+GanttPeriod-1&gt;=$E33),"━","")))</f>
        <v/>
      </c>
      <c r="AI33" s="69" t="str">
        <f aca="false">IF($E33="","",IF($M33,IF(AND($G33&gt;=AI$5,$G33&lt;AI$5+GanttPeriod),"◆",IF(AND($E33&gt;=AI$5,$E33&lt;AI$5+GanttPeriod),"◇","")),IF(AND(AI$5&lt;=$F33,AI$5+GanttPeriod-1&gt;=$E33),"━","")))</f>
        <v/>
      </c>
      <c r="AJ33" s="69" t="str">
        <f aca="false">IF($E33="","",IF($M33,IF(AND($G33&gt;=AJ$5,$G33&lt;AJ$5+GanttPeriod),"◆",IF(AND($E33&gt;=AJ$5,$E33&lt;AJ$5+GanttPeriod),"◇","")),IF(AND(AJ$5&lt;=$F33,AJ$5+GanttPeriod-1&gt;=$E33),"━","")))</f>
        <v/>
      </c>
      <c r="AK33" s="69" t="str">
        <f aca="false">IF($E33="","",IF($M33,IF(AND($G33&gt;=AK$5,$G33&lt;AK$5+GanttPeriod),"◆",IF(AND($E33&gt;=AK$5,$E33&lt;AK$5+GanttPeriod),"◇","")),IF(AND(AK$5&lt;=$F33,AK$5+GanttPeriod-1&gt;=$E33),"━","")))</f>
        <v/>
      </c>
      <c r="AL33" s="69" t="str">
        <f aca="false">IF($E33="","",IF($M33,IF(AND($G33&gt;=AL$5,$G33&lt;AL$5+GanttPeriod),"◆",IF(AND($E33&gt;=AL$5,$E33&lt;AL$5+GanttPeriod),"◇","")),IF(AND(AL$5&lt;=$F33,AL$5+GanttPeriod-1&gt;=$E33),"━","")))</f>
        <v/>
      </c>
      <c r="AM33" s="69" t="str">
        <f aca="false">IF($E33="","",IF($M33,IF(AND($G33&gt;=AM$5,$G33&lt;AM$5+GanttPeriod),"◆",IF(AND($E33&gt;=AM$5,$E33&lt;AM$5+GanttPeriod),"◇","")),IF(AND(AM$5&lt;=$F33,AM$5+GanttPeriod-1&gt;=$E33),"━","")))</f>
        <v/>
      </c>
      <c r="AN33" s="69" t="str">
        <f aca="false">IF($E33="","",IF($M33,IF(AND($G33&gt;=AN$5,$G33&lt;AN$5+GanttPeriod),"◆",IF(AND($E33&gt;=AN$5,$E33&lt;AN$5+GanttPeriod),"◇","")),IF(AND(AN$5&lt;=$F33,AN$5+GanttPeriod-1&gt;=$E33),"━","")))</f>
        <v/>
      </c>
      <c r="AO33" s="69" t="str">
        <f aca="false">IF($E33="","",IF($M33,IF(AND($G33&gt;=AO$5,$G33&lt;AO$5+GanttPeriod),"◆",IF(AND($E33&gt;=AO$5,$E33&lt;AO$5+GanttPeriod),"◇","")),IF(AND(AO$5&lt;=$F33,AO$5+GanttPeriod-1&gt;=$E33),"━","")))</f>
        <v/>
      </c>
      <c r="AP33" s="69" t="str">
        <f aca="false">IF($E33="","",IF($M33,IF(AND($G33&gt;=AP$5,$G33&lt;AP$5+GanttPeriod),"◆",IF(AND($E33&gt;=AP$5,$E33&lt;AP$5+GanttPeriod),"◇","")),IF(AND(AP$5&lt;=$F33,AP$5+GanttPeriod-1&gt;=$E33),"━","")))</f>
        <v/>
      </c>
      <c r="AQ33" s="69" t="str">
        <f aca="false">IF($E33="","",IF($M33,IF(AND($G33&gt;=AQ$5,$G33&lt;AQ$5+GanttPeriod),"◆",IF(AND($E33&gt;=AQ$5,$E33&lt;AQ$5+GanttPeriod),"◇","")),IF(AND(AQ$5&lt;=$F33,AQ$5+GanttPeriod-1&gt;=$E33),"━","")))</f>
        <v/>
      </c>
      <c r="AR33" s="69" t="str">
        <f aca="false">IF($E33="","",IF($M33,IF(AND($G33&gt;=AR$5,$G33&lt;AR$5+GanttPeriod),"◆",IF(AND($E33&gt;=AR$5,$E33&lt;AR$5+GanttPeriod),"◇","")),IF(AND(AR$5&lt;=$F33,AR$5+GanttPeriod-1&gt;=$E33),"━","")))</f>
        <v/>
      </c>
      <c r="AS33" s="69" t="str">
        <f aca="false">IF($E33="","",IF($M33,IF(AND($G33&gt;=AS$5,$G33&lt;AS$5+GanttPeriod),"◆",IF(AND($E33&gt;=AS$5,$E33&lt;AS$5+GanttPeriod),"◇","")),IF(AND(AS$5&lt;=$F33,AS$5+GanttPeriod-1&gt;=$E33),"━","")))</f>
        <v/>
      </c>
      <c r="AT33" s="69" t="str">
        <f aca="false">IF($E33="","",IF($M33,IF(AND($G33&gt;=AT$5,$G33&lt;AT$5+GanttPeriod),"◆",IF(AND($E33&gt;=AT$5,$E33&lt;AT$5+GanttPeriod),"◇","")),IF(AND(AT$5&lt;=$F33,AT$5+GanttPeriod-1&gt;=$E33),"━","")))</f>
        <v/>
      </c>
      <c r="AU33" s="69" t="str">
        <f aca="false">IF($E33="","",IF($M33,IF(AND($G33&gt;=AU$5,$G33&lt;AU$5+GanttPeriod),"◆",IF(AND($E33&gt;=AU$5,$E33&lt;AU$5+GanttPeriod),"◇","")),IF(AND(AU$5&lt;=$F33,AU$5+GanttPeriod-1&gt;=$E33),"━","")))</f>
        <v/>
      </c>
      <c r="AV33" s="69" t="str">
        <f aca="false">IF($E33="","",IF($M33,IF(AND($G33&gt;=AV$5,$G33&lt;AV$5+GanttPeriod),"◆",IF(AND($E33&gt;=AV$5,$E33&lt;AV$5+GanttPeriod),"◇","")),IF(AND(AV$5&lt;=$F33,AV$5+GanttPeriod-1&gt;=$E33),"━","")))</f>
        <v/>
      </c>
      <c r="AW33" s="69" t="str">
        <f aca="false">IF($E33="","",IF($M33,IF(AND($G33&gt;=AW$5,$G33&lt;AW$5+GanttPeriod),"◆",IF(AND($E33&gt;=AW$5,$E33&lt;AW$5+GanttPeriod),"◇","")),IF(AND(AW$5&lt;=$F33,AW$5+GanttPeriod-1&gt;=$E33),"━","")))</f>
        <v/>
      </c>
      <c r="AX33" s="69" t="str">
        <f aca="false">IF($E33="","",IF($M33,IF(AND($G33&gt;=AX$5,$G33&lt;AX$5+GanttPeriod),"◆",IF(AND($E33&gt;=AX$5,$E33&lt;AX$5+GanttPeriod),"◇","")),IF(AND(AX$5&lt;=$F33,AX$5+GanttPeriod-1&gt;=$E33),"━","")))</f>
        <v/>
      </c>
      <c r="AY33" s="69" t="str">
        <f aca="false">IF($E33="","",IF($M33,IF(AND($G33&gt;=AY$5,$G33&lt;AY$5+GanttPeriod),"◆",IF(AND($E33&gt;=AY$5,$E33&lt;AY$5+GanttPeriod),"◇","")),IF(AND(AY$5&lt;=$F33,AY$5+GanttPeriod-1&gt;=$E33),"━","")))</f>
        <v/>
      </c>
      <c r="AZ33" s="69" t="str">
        <f aca="false">IF($E33="","",IF($M33,IF(AND($G33&gt;=AZ$5,$G33&lt;AZ$5+GanttPeriod),"◆",IF(AND($E33&gt;=AZ$5,$E33&lt;AZ$5+GanttPeriod),"◇","")),IF(AND(AZ$5&lt;=$F33,AZ$5+GanttPeriod-1&gt;=$E33),"━","")))</f>
        <v/>
      </c>
      <c r="BA33" s="69" t="str">
        <f aca="false">IF($E33="","",IF($M33,IF(AND($G33&gt;=BA$5,$G33&lt;BA$5+GanttPeriod),"◆",IF(AND($E33&gt;=BA$5,$E33&lt;BA$5+GanttPeriod),"◇","")),IF(AND(BA$5&lt;=$F33,BA$5+GanttPeriod-1&gt;=$E33),"━","")))</f>
        <v/>
      </c>
      <c r="BB33" s="69" t="str">
        <f aca="false">IF($E33="","",IF($M33,IF(AND($G33&gt;=BB$5,$G33&lt;BB$5+GanttPeriod),"◆",IF(AND($E33&gt;=BB$5,$E33&lt;BB$5+GanttPeriod),"◇","")),IF(AND(BB$5&lt;=$F33,BB$5+GanttPeriod-1&gt;=$E33),"━","")))</f>
        <v/>
      </c>
      <c r="BC33" s="69" t="str">
        <f aca="false">IF($E33="","",IF($M33,IF(AND($G33&gt;=BC$5,$G33&lt;BC$5+GanttPeriod),"◆",IF(AND($E33&gt;=BC$5,$E33&lt;BC$5+GanttPeriod),"◇","")),IF(AND(BC$5&lt;=$F33,BC$5+GanttPeriod-1&gt;=$E33),"━","")))</f>
        <v/>
      </c>
      <c r="BD33" s="69" t="str">
        <f aca="false">IF($E33="","",IF($M33,IF(AND($G33&gt;=BD$5,$G33&lt;BD$5+GanttPeriod),"◆",IF(AND($E33&gt;=BD$5,$E33&lt;BD$5+GanttPeriod),"◇","")),IF(AND(BD$5&lt;=$F33,BD$5+GanttPeriod-1&gt;=$E33),"━","")))</f>
        <v/>
      </c>
      <c r="BE33" s="69" t="str">
        <f aca="false">IF($E33="","",IF($M33,IF(AND($G33&gt;=BE$5,$G33&lt;BE$5+GanttPeriod),"◆",IF(AND($E33&gt;=BE$5,$E33&lt;BE$5+GanttPeriod),"◇","")),IF(AND(BE$5&lt;=$F33,BE$5+GanttPeriod-1&gt;=$E33),"━","")))</f>
        <v/>
      </c>
      <c r="BF33" s="69" t="str">
        <f aca="false">IF($E33="","",IF($M33,IF(AND($G33&gt;=BF$5,$G33&lt;BF$5+GanttPeriod),"◆",IF(AND($E33&gt;=BF$5,$E33&lt;BF$5+GanttPeriod),"◇","")),IF(AND(BF$5&lt;=$F33,BF$5+GanttPeriod-1&gt;=$E33),"━","")))</f>
        <v/>
      </c>
      <c r="BG33" s="69" t="str">
        <f aca="false">IF($E33="","",IF($M33,IF(AND($G33&gt;=BG$5,$G33&lt;BG$5+GanttPeriod),"◆",IF(AND($E33&gt;=BG$5,$E33&lt;BG$5+GanttPeriod),"◇","")),IF(AND(BG$5&lt;=$F33,BG$5+GanttPeriod-1&gt;=$E33),"━","")))</f>
        <v/>
      </c>
      <c r="BH33" s="69" t="str">
        <f aca="false">IF($E33="","",IF($M33,IF(AND($G33&gt;=BH$5,$G33&lt;BH$5+GanttPeriod),"◆",IF(AND($E33&gt;=BH$5,$E33&lt;BH$5+GanttPeriod),"◇","")),IF(AND(BH$5&lt;=$F33,BH$5+GanttPeriod-1&gt;=$E33),"━","")))</f>
        <v/>
      </c>
      <c r="BI33" s="69" t="str">
        <f aca="false">IF($E33="","",IF($M33,IF(AND($G33&gt;=BI$5,$G33&lt;BI$5+GanttPeriod),"◆",IF(AND($E33&gt;=BI$5,$E33&lt;BI$5+GanttPeriod),"◇","")),IF(AND(BI$5&lt;=$F33,BI$5+GanttPeriod-1&gt;=$E33),"━","")))</f>
        <v/>
      </c>
      <c r="BJ33" s="69" t="str">
        <f aca="false">IF($E33="","",IF($M33,IF(AND($G33&gt;=BJ$5,$G33&lt;BJ$5+GanttPeriod),"◆",IF(AND($E33&gt;=BJ$5,$E33&lt;BJ$5+GanttPeriod),"◇","")),IF(AND(BJ$5&lt;=$F33,BJ$5+GanttPeriod-1&gt;=$E33),"━","")))</f>
        <v/>
      </c>
      <c r="BK33" s="69" t="str">
        <f aca="false">IF($E33="","",IF($M33,IF(AND($G33&gt;=BK$5,$G33&lt;BK$5+GanttPeriod),"◆",IF(AND($E33&gt;=BK$5,$E33&lt;BK$5+GanttPeriod),"◇","")),IF(AND(BK$5&lt;=$F33,BK$5+GanttPeriod-1&gt;=$E33),"━","")))</f>
        <v/>
      </c>
      <c r="BL33" s="69" t="str">
        <f aca="false">IF($E33="","",IF($M33,IF(AND($G33&gt;=BL$5,$G33&lt;BL$5+GanttPeriod),"◆",IF(AND($E33&gt;=BL$5,$E33&lt;BL$5+GanttPeriod),"◇","")),IF(AND(BL$5&lt;=$F33,BL$5+GanttPeriod-1&gt;=$E33),"━","")))</f>
        <v/>
      </c>
      <c r="BM33" s="69" t="str">
        <f aca="false">IF($E33="","",IF($M33,IF(AND($G33&gt;=BM$5,$G33&lt;BM$5+GanttPeriod),"◆",IF(AND($E33&gt;=BM$5,$E33&lt;BM$5+GanttPeriod),"◇","")),IF(AND(BM$5&lt;=$F33,BM$5+GanttPeriod-1&gt;=$E33),"━","")))</f>
        <v/>
      </c>
      <c r="BN33" s="69" t="str">
        <f aca="false">IF($E33="","",IF($M33,IF(AND($G33&gt;=BN$5,$G33&lt;BN$5+GanttPeriod),"◆",IF(AND($E33&gt;=BN$5,$E33&lt;BN$5+GanttPeriod),"◇","")),IF(AND(BN$5&lt;=$F33,BN$5+GanttPeriod-1&gt;=$E33),"━","")))</f>
        <v/>
      </c>
      <c r="BO33" s="69" t="str">
        <f aca="false">IF($E33="","",IF($M33,IF(AND($G33&gt;=BO$5,$G33&lt;BO$5+GanttPeriod),"◆",IF(AND($E33&gt;=BO$5,$E33&lt;BO$5+GanttPeriod),"◇","")),IF(AND(BO$5&lt;=$F33,BO$5+GanttPeriod-1&gt;=$E33),"━","")))</f>
        <v/>
      </c>
      <c r="BP33" s="69" t="str">
        <f aca="false">IF($E33="","",IF($M33,IF(AND($G33&gt;=BP$5,$G33&lt;BP$5+GanttPeriod),"◆",IF(AND($E33&gt;=BP$5,$E33&lt;BP$5+GanttPeriod),"◇","")),IF(AND(BP$5&lt;=$F33,BP$5+GanttPeriod-1&gt;=$E33),"━","")))</f>
        <v/>
      </c>
      <c r="BQ33" s="69" t="str">
        <f aca="false">IF($E33="","",IF($M33,IF(AND($G33&gt;=BQ$5,$G33&lt;BQ$5+GanttPeriod),"◆",IF(AND($E33&gt;=BQ$5,$E33&lt;BQ$5+GanttPeriod),"◇","")),IF(AND(BQ$5&lt;=$F33,BQ$5+GanttPeriod-1&gt;=$E33),"━","")))</f>
        <v/>
      </c>
      <c r="BR33" s="69" t="str">
        <f aca="false">IF($E33="","",IF($M33,IF(AND($G33&gt;=BR$5,$G33&lt;BR$5+GanttPeriod),"◆",IF(AND($E33&gt;=BR$5,$E33&lt;BR$5+GanttPeriod),"◇","")),IF(AND(BR$5&lt;=$F33,BR$5+GanttPeriod-1&gt;=$E33),"━","")))</f>
        <v/>
      </c>
      <c r="BS33" s="69" t="str">
        <f aca="false">IF($E33="","",IF($M33,IF(AND($G33&gt;=BS$5,$G33&lt;BS$5+GanttPeriod),"◆",IF(AND($E33&gt;=BS$5,$E33&lt;BS$5+GanttPeriod),"◇","")),IF(AND(BS$5&lt;=$F33,BS$5+GanttPeriod-1&gt;=$E33),"━","")))</f>
        <v/>
      </c>
      <c r="BT33" s="69" t="str">
        <f aca="false">IF($E33="","",IF($M33,IF(AND($G33&gt;=BT$5,$G33&lt;BT$5+GanttPeriod),"◆",IF(AND($E33&gt;=BT$5,$E33&lt;BT$5+GanttPeriod),"◇","")),IF(AND(BT$5&lt;=$F33,BT$5+GanttPeriod-1&gt;=$E33),"━","")))</f>
        <v/>
      </c>
      <c r="BU33" s="69" t="str">
        <f aca="false">IF($E33="","",IF($M33,IF(AND($G33&gt;=BU$5,$G33&lt;BU$5+GanttPeriod),"◆",IF(AND($E33&gt;=BU$5,$E33&lt;BU$5+GanttPeriod),"◇","")),IF(AND(BU$5&lt;=$F33,BU$5+GanttPeriod-1&gt;=$E33),"━","")))</f>
        <v/>
      </c>
      <c r="BV33" s="69" t="str">
        <f aca="false">IF($E33="","",IF($M33,IF(AND($G33&gt;=BV$5,$G33&lt;BV$5+GanttPeriod),"◆",IF(AND($E33&gt;=BV$5,$E33&lt;BV$5+GanttPeriod),"◇","")),IF(AND(BV$5&lt;=$F33,BV$5+GanttPeriod-1&gt;=$E33),"━","")))</f>
        <v/>
      </c>
      <c r="BW33" s="69" t="str">
        <f aca="false">IF($E33="","",IF($M33,IF(AND($G33&gt;=BW$5,$G33&lt;BW$5+GanttPeriod),"◆",IF(AND($E33&gt;=BW$5,$E33&lt;BW$5+GanttPeriod),"◇","")),IF(AND(BW$5&lt;=$F33,BW$5+GanttPeriod-1&gt;=$E33),"━","")))</f>
        <v/>
      </c>
      <c r="BX33" s="69" t="str">
        <f aca="false">IF($E33="","",IF($M33,IF(AND($G33&gt;=BX$5,$G33&lt;BX$5+GanttPeriod),"◆",IF(AND($E33&gt;=BX$5,$E33&lt;BX$5+GanttPeriod),"◇","")),IF(AND(BX$5&lt;=$F33,BX$5+GanttPeriod-1&gt;=$E33),"━","")))</f>
        <v/>
      </c>
      <c r="BY33" s="69" t="str">
        <f aca="false">IF($E33="","",IF($M33,IF(AND($G33&gt;=BY$5,$G33&lt;BY$5+GanttPeriod),"◆",IF(AND($E33&gt;=BY$5,$E33&lt;BY$5+GanttPeriod),"◇","")),IF(AND(BY$5&lt;=$F33,BY$5+GanttPeriod-1&gt;=$E33),"━","")))</f>
        <v/>
      </c>
      <c r="BZ33" s="69" t="str">
        <f aca="false">IF($E33="","",IF($M33,IF(AND($G33&gt;=BZ$5,$G33&lt;BZ$5+GanttPeriod),"◆",IF(AND($E33&gt;=BZ$5,$E33&lt;BZ$5+GanttPeriod),"◇","")),IF(AND(BZ$5&lt;=$F33,BZ$5+GanttPeriod-1&gt;=$E33),"━","")))</f>
        <v/>
      </c>
      <c r="CA33" s="69" t="str">
        <f aca="false">IF($E33="","",IF($M33,IF(AND($G33&gt;=CA$5,$G33&lt;CA$5+GanttPeriod),"◆",IF(AND($E33&gt;=CA$5,$E33&lt;CA$5+GanttPeriod),"◇","")),IF(AND(CA$5&lt;=$F33,CA$5+GanttPeriod-1&gt;=$E33),"━","")))</f>
        <v/>
      </c>
      <c r="CB33" s="69" t="str">
        <f aca="false">IF($E33="","",IF($M33,IF(AND($G33&gt;=CB$5,$G33&lt;CB$5+GanttPeriod),"◆",IF(AND($E33&gt;=CB$5,$E33&lt;CB$5+GanttPeriod),"◇","")),IF(AND(CB$5&lt;=$F33,CB$5+GanttPeriod-1&gt;=$E33),"━","")))</f>
        <v/>
      </c>
      <c r="CC33" s="69" t="str">
        <f aca="false">IF($E33="","",IF($M33,IF(AND($G33&gt;=CC$5,$G33&lt;CC$5+GanttPeriod),"◆",IF(AND($E33&gt;=CC$5,$E33&lt;CC$5+GanttPeriod),"◇","")),IF(AND(CC$5&lt;=$F33,CC$5+GanttPeriod-1&gt;=$E33),"━","")))</f>
        <v/>
      </c>
      <c r="CD33" s="69" t="str">
        <f aca="false">IF($E33="","",IF($M33,IF(AND($G33&gt;=CD$5,$G33&lt;CD$5+GanttPeriod),"◆",IF(AND($E33&gt;=CD$5,$E33&lt;CD$5+GanttPeriod),"◇","")),IF(AND(CD$5&lt;=$F33,CD$5+GanttPeriod-1&gt;=$E33),"━","")))</f>
        <v/>
      </c>
      <c r="CE33" s="69" t="str">
        <f aca="false">IF($E33="","",IF($M33,IF(AND($G33&gt;=CE$5,$G33&lt;CE$5+GanttPeriod),"◆",IF(AND($E33&gt;=CE$5,$E33&lt;CE$5+GanttPeriod),"◇","")),IF(AND(CE$5&lt;=$F33,CE$5+GanttPeriod-1&gt;=$E33),"━","")))</f>
        <v/>
      </c>
      <c r="CF33" s="69" t="str">
        <f aca="false">IF($E33="","",IF($M33,IF(AND($G33&gt;=CF$5,$G33&lt;CF$5+GanttPeriod),"◆",IF(AND($E33&gt;=CF$5,$E33&lt;CF$5+GanttPeriod),"◇","")),IF(AND(CF$5&lt;=$F33,CF$5+GanttPeriod-1&gt;=$E33),"━","")))</f>
        <v/>
      </c>
      <c r="CG33" s="69" t="str">
        <f aca="false">IF($E33="","",IF($M33,IF(AND($G33&gt;=CG$5,$G33&lt;CG$5+GanttPeriod),"◆",IF(AND($E33&gt;=CG$5,$E33&lt;CG$5+GanttPeriod),"◇","")),IF(AND(CG$5&lt;=$F33,CG$5+GanttPeriod-1&gt;=$E33),"━","")))</f>
        <v/>
      </c>
      <c r="CH33" s="69" t="str">
        <f aca="false">IF($E33="","",IF($M33,IF(AND($G33&gt;=CH$5,$G33&lt;CH$5+GanttPeriod),"◆",IF(AND($E33&gt;=CH$5,$E33&lt;CH$5+GanttPeriod),"◇","")),IF(AND(CH$5&lt;=$F33,CH$5+GanttPeriod-1&gt;=$E33),"━","")))</f>
        <v/>
      </c>
      <c r="CI33" s="69" t="str">
        <f aca="false">IF($E33="","",IF($M33,IF(AND($G33&gt;=CI$5,$G33&lt;CI$5+GanttPeriod),"◆",IF(AND($E33&gt;=CI$5,$E33&lt;CI$5+GanttPeriod),"◇","")),IF(AND(CI$5&lt;=$F33,CI$5+GanttPeriod-1&gt;=$E33),"━","")))</f>
        <v/>
      </c>
      <c r="CJ33" s="69" t="str">
        <f aca="false">IF($E33="","",IF($M33,IF(AND($G33&gt;=CJ$5,$G33&lt;CJ$5+GanttPeriod),"◆",IF(AND($E33&gt;=CJ$5,$E33&lt;CJ$5+GanttPeriod),"◇","")),IF(AND(CJ$5&lt;=$F33,CJ$5+GanttPeriod-1&gt;=$E33),"━","")))</f>
        <v/>
      </c>
      <c r="CK33" s="69" t="str">
        <f aca="false">IF($E33="","",IF($M33,IF(AND($G33&gt;=CK$5,$G33&lt;CK$5+GanttPeriod),"◆",IF(AND($E33&gt;=CK$5,$E33&lt;CK$5+GanttPeriod),"◇","")),IF(AND(CK$5&lt;=$F33,CK$5+GanttPeriod-1&gt;=$E33),"━","")))</f>
        <v/>
      </c>
      <c r="CL33" s="69" t="str">
        <f aca="false">IF($E33="","",IF($M33,IF(AND($G33&gt;=CL$5,$G33&lt;CL$5+GanttPeriod),"◆",IF(AND($E33&gt;=CL$5,$E33&lt;CL$5+GanttPeriod),"◇","")),IF(AND(CL$5&lt;=$F33,CL$5+GanttPeriod-1&gt;=$E33),"━","")))</f>
        <v>━</v>
      </c>
      <c r="CM33" s="69" t="str">
        <f aca="false">IF($E33="","",IF($M33,IF(AND($G33&gt;=CM$5,$G33&lt;CM$5+GanttPeriod),"◆",IF(AND($E33&gt;=CM$5,$E33&lt;CM$5+GanttPeriod),"◇","")),IF(AND(CM$5&lt;=$F33,CM$5+GanttPeriod-1&gt;=$E33),"━","")))</f>
        <v/>
      </c>
      <c r="CN33" s="69" t="str">
        <f aca="false">IF($E33="","",IF($M33,IF(AND($G33&gt;=CN$5,$G33&lt;CN$5+GanttPeriod),"◆",IF(AND($E33&gt;=CN$5,$E33&lt;CN$5+GanttPeriod),"◇","")),IF(AND(CN$5&lt;=$F33,CN$5+GanttPeriod-1&gt;=$E33),"━","")))</f>
        <v/>
      </c>
      <c r="CO33" s="69" t="str">
        <f aca="false">IF($E33="","",IF($M33,IF(AND($G33&gt;=CO$5,$G33&lt;CO$5+GanttPeriod),"◆",IF(AND($E33&gt;=CO$5,$E33&lt;CO$5+GanttPeriod),"◇","")),IF(AND(CO$5&lt;=$F33,CO$5+GanttPeriod-1&gt;=$E33),"━","")))</f>
        <v/>
      </c>
      <c r="CP33" s="69" t="str">
        <f aca="false">IF($E33="","",IF($M33,IF(AND($G33&gt;=CP$5,$G33&lt;CP$5+GanttPeriod),"◆",IF(AND($E33&gt;=CP$5,$E33&lt;CP$5+GanttPeriod),"◇","")),IF(AND(CP$5&lt;=$F33,CP$5+GanttPeriod-1&gt;=$E33),"━","")))</f>
        <v/>
      </c>
      <c r="CQ33" s="69" t="str">
        <f aca="false">IF($E33="","",IF($M33,IF(AND($G33&gt;=CQ$5,$G33&lt;CQ$5+GanttPeriod),"◆",IF(AND($E33&gt;=CQ$5,$E33&lt;CQ$5+GanttPeriod),"◇","")),IF(AND(CQ$5&lt;=$F33,CQ$5+GanttPeriod-1&gt;=$E33),"━","")))</f>
        <v/>
      </c>
      <c r="CR33" s="69" t="str">
        <f aca="false">IF($E33="","",IF($M33,IF(AND($G33&gt;=CR$5,$G33&lt;CR$5+GanttPeriod),"◆",IF(AND($E33&gt;=CR$5,$E33&lt;CR$5+GanttPeriod),"◇","")),IF(AND(CR$5&lt;=$F33,CR$5+GanttPeriod-1&gt;=$E33),"━","")))</f>
        <v/>
      </c>
      <c r="CS33" s="69" t="str">
        <f aca="false">IF($E33="","",IF($M33,IF(AND($G33&gt;=CS$5,$G33&lt;CS$5+GanttPeriod),"◆",IF(AND($E33&gt;=CS$5,$E33&lt;CS$5+GanttPeriod),"◇","")),IF(AND(CS$5&lt;=$F33,CS$5+GanttPeriod-1&gt;=$E33),"━","")))</f>
        <v/>
      </c>
      <c r="CT33" s="69" t="str">
        <f aca="false">IF($E33="","",IF($M33,IF(AND($G33&gt;=CT$5,$G33&lt;CT$5+GanttPeriod),"◆",IF(AND($E33&gt;=CT$5,$E33&lt;CT$5+GanttPeriod),"◇","")),IF(AND(CT$5&lt;=$F33,CT$5+GanttPeriod-1&gt;=$E33),"━","")))</f>
        <v/>
      </c>
      <c r="CU33" s="69" t="str">
        <f aca="false">IF($E33="","",IF($M33,IF(AND($G33&gt;=CU$5,$G33&lt;CU$5+GanttPeriod),"◆",IF(AND($E33&gt;=CU$5,$E33&lt;CU$5+GanttPeriod),"◇","")),IF(AND(CU$5&lt;=$F33,CU$5+GanttPeriod-1&gt;=$E33),"━","")))</f>
        <v/>
      </c>
      <c r="CV33" s="69" t="str">
        <f aca="false">IF($E33="","",IF($M33,IF(AND($G33&gt;=CV$5,$G33&lt;CV$5+GanttPeriod),"◆",IF(AND($E33&gt;=CV$5,$E33&lt;CV$5+GanttPeriod),"◇","")),IF(AND(CV$5&lt;=$F33,CV$5+GanttPeriod-1&gt;=$E33),"━","")))</f>
        <v/>
      </c>
      <c r="CW33" s="69" t="str">
        <f aca="false">IF($E33="","",IF($M33,IF(AND($G33&gt;=CW$5,$G33&lt;CW$5+GanttPeriod),"◆",IF(AND($E33&gt;=CW$5,$E33&lt;CW$5+GanttPeriod),"◇","")),IF(AND(CW$5&lt;=$F33,CW$5+GanttPeriod-1&gt;=$E33),"━","")))</f>
        <v/>
      </c>
      <c r="CX33" s="69" t="str">
        <f aca="false">IF($E33="","",IF($M33,IF(AND($G33&gt;=CX$5,$G33&lt;CX$5+GanttPeriod),"◆",IF(AND($E33&gt;=CX$5,$E33&lt;CX$5+GanttPeriod),"◇","")),IF(AND(CX$5&lt;=$F33,CX$5+GanttPeriod-1&gt;=$E33),"━","")))</f>
        <v/>
      </c>
      <c r="CY33" s="69" t="str">
        <f aca="false">IF($E33="","",IF($M33,IF(AND($G33&gt;=CY$5,$G33&lt;CY$5+GanttPeriod),"◆",IF(AND($E33&gt;=CY$5,$E33&lt;CY$5+GanttPeriod),"◇","")),IF(AND(CY$5&lt;=$F33,CY$5+GanttPeriod-1&gt;=$E33),"━","")))</f>
        <v/>
      </c>
      <c r="CZ33" s="69" t="str">
        <f aca="false">IF($E33="","",IF($M33,IF(AND($G33&gt;=CZ$5,$G33&lt;CZ$5+GanttPeriod),"◆",IF(AND($E33&gt;=CZ$5,$E33&lt;CZ$5+GanttPeriod),"◇","")),IF(AND(CZ$5&lt;=$F33,CZ$5+GanttPeriod-1&gt;=$E33),"━","")))</f>
        <v/>
      </c>
      <c r="DA33" s="69" t="str">
        <f aca="false">IF($E33="","",IF($M33,IF(AND($G33&gt;=DA$5,$G33&lt;DA$5+GanttPeriod),"◆",IF(AND($E33&gt;=DA$5,$E33&lt;DA$5+GanttPeriod),"◇","")),IF(AND(DA$5&lt;=$F33,DA$5+GanttPeriod-1&gt;=$E33),"━","")))</f>
        <v/>
      </c>
      <c r="DB33" s="69" t="str">
        <f aca="false">IF($E33="","",IF($M33,IF(AND($G33&gt;=DB$5,$G33&lt;DB$5+GanttPeriod),"◆",IF(AND($E33&gt;=DB$5,$E33&lt;DB$5+GanttPeriod),"◇","")),IF(AND(DB$5&lt;=$F33,DB$5+GanttPeriod-1&gt;=$E33),"━","")))</f>
        <v/>
      </c>
      <c r="DC33" s="69" t="str">
        <f aca="false">IF($E33="","",IF($M33,IF(AND($G33&gt;=DC$5,$G33&lt;DC$5+GanttPeriod),"◆",IF(AND($E33&gt;=DC$5,$E33&lt;DC$5+GanttPeriod),"◇","")),IF(AND(DC$5&lt;=$F33,DC$5+GanttPeriod-1&gt;=$E33),"━","")))</f>
        <v/>
      </c>
      <c r="DD33" s="69" t="str">
        <f aca="false">IF($E33="","",IF($M33,IF(AND($G33&gt;=DD$5,$G33&lt;DD$5+GanttPeriod),"◆",IF(AND($E33&gt;=DD$5,$E33&lt;DD$5+GanttPeriod),"◇","")),IF(AND(DD$5&lt;=$F33,DD$5+GanttPeriod-1&gt;=$E33),"━","")))</f>
        <v/>
      </c>
      <c r="DE33" s="69" t="str">
        <f aca="false">IF($E33="","",IF($M33,IF(AND($G33&gt;=DE$5,$G33&lt;DE$5+GanttPeriod),"◆",IF(AND($E33&gt;=DE$5,$E33&lt;DE$5+GanttPeriod),"◇","")),IF(AND(DE$5&lt;=$F33,DE$5+GanttPeriod-1&gt;=$E33),"━","")))</f>
        <v/>
      </c>
      <c r="DF33" s="69" t="str">
        <f aca="false">IF($E33="","",IF($M33,IF(AND($G33&gt;=DF$5,$G33&lt;DF$5+GanttPeriod),"◆",IF(AND($E33&gt;=DF$5,$E33&lt;DF$5+GanttPeriod),"◇","")),IF(AND(DF$5&lt;=$F33,DF$5+GanttPeriod-1&gt;=$E33),"━","")))</f>
        <v/>
      </c>
      <c r="DG33" s="69" t="str">
        <f aca="false">IF($E33="","",IF($M33,IF(AND($G33&gt;=DG$5,$G33&lt;DG$5+GanttPeriod),"◆",IF(AND($E33&gt;=DG$5,$E33&lt;DG$5+GanttPeriod),"◇","")),IF(AND(DG$5&lt;=$F33,DG$5+GanttPeriod-1&gt;=$E33),"━","")))</f>
        <v/>
      </c>
      <c r="DH33" s="69" t="str">
        <f aca="false">IF($E33="","",IF($M33,IF(AND($G33&gt;=DH$5,$G33&lt;DH$5+GanttPeriod),"◆",IF(AND($E33&gt;=DH$5,$E33&lt;DH$5+GanttPeriod),"◇","")),IF(AND(DH$5&lt;=$F33,DH$5+GanttPeriod-1&gt;=$E33),"━","")))</f>
        <v/>
      </c>
      <c r="DI33" s="69" t="str">
        <f aca="false">IF($E33="","",IF($M33,IF(AND($G33&gt;=DI$5,$G33&lt;DI$5+GanttPeriod),"◆",IF(AND($E33&gt;=DI$5,$E33&lt;DI$5+GanttPeriod),"◇","")),IF(AND(DI$5&lt;=$F33,DI$5+GanttPeriod-1&gt;=$E33),"━","")))</f>
        <v/>
      </c>
      <c r="DJ33" s="69" t="str">
        <f aca="false">IF($E33="","",IF($M33,IF(AND($G33&gt;=DJ$5,$G33&lt;DJ$5+GanttPeriod),"◆",IF(AND($E33&gt;=DJ$5,$E33&lt;DJ$5+GanttPeriod),"◇","")),IF(AND(DJ$5&lt;=$F33,DJ$5+GanttPeriod-1&gt;=$E33),"━","")))</f>
        <v/>
      </c>
      <c r="DK33" s="69" t="str">
        <f aca="false">IF($E33="","",IF($M33,IF(AND($G33&gt;=DK$5,$G33&lt;DK$5+GanttPeriod),"◆",IF(AND($E33&gt;=DK$5,$E33&lt;DK$5+GanttPeriod),"◇","")),IF(AND(DK$5&lt;=$F33,DK$5+GanttPeriod-1&gt;=$E33),"━","")))</f>
        <v/>
      </c>
      <c r="DL33" s="69" t="str">
        <f aca="false">IF($E33="","",IF($M33,IF(AND($G33&gt;=DL$5,$G33&lt;DL$5+GanttPeriod),"◆",IF(AND($E33&gt;=DL$5,$E33&lt;DL$5+GanttPeriod),"◇","")),IF(AND(DL$5&lt;=$F33,DL$5+GanttPeriod-1&gt;=$E33),"━","")))</f>
        <v/>
      </c>
      <c r="DM33" s="69" t="str">
        <f aca="false">IF($E33="","",IF($M33,IF(AND($G33&gt;=DM$5,$G33&lt;DM$5+GanttPeriod),"◆",IF(AND($E33&gt;=DM$5,$E33&lt;DM$5+GanttPeriod),"◇","")),IF(AND(DM$5&lt;=$F33,DM$5+GanttPeriod-1&gt;=$E33),"━","")))</f>
        <v/>
      </c>
      <c r="DN33" s="69" t="str">
        <f aca="false">IF($E33="","",IF($M33,IF(AND($G33&gt;=DN$5,$G33&lt;DN$5+GanttPeriod),"◆",IF(AND($E33&gt;=DN$5,$E33&lt;DN$5+GanttPeriod),"◇","")),IF(AND(DN$5&lt;=$F33,DN$5+GanttPeriod-1&gt;=$E33),"━","")))</f>
        <v/>
      </c>
      <c r="DO33" s="69" t="str">
        <f aca="false">IF($E33="","",IF($M33,IF(AND($G33&gt;=DO$5,$G33&lt;DO$5+GanttPeriod),"◆",IF(AND($E33&gt;=DO$5,$E33&lt;DO$5+GanttPeriod),"◇","")),IF(AND(DO$5&lt;=$F33,DO$5+GanttPeriod-1&gt;=$E33),"━","")))</f>
        <v/>
      </c>
      <c r="DP33" s="69" t="str">
        <f aca="false">IF($E33="","",IF($M33,IF(AND($G33&gt;=DP$5,$G33&lt;DP$5+GanttPeriod),"◆",IF(AND($E33&gt;=DP$5,$E33&lt;DP$5+GanttPeriod),"◇","")),IF(AND(DP$5&lt;=$F33,DP$5+GanttPeriod-1&gt;=$E33),"━","")))</f>
        <v/>
      </c>
      <c r="DQ33" s="69" t="str">
        <f aca="false">IF($E33="","",IF($M33,IF(AND($G33&gt;=DQ$5,$G33&lt;DQ$5+GanttPeriod),"◆",IF(AND($E33&gt;=DQ$5,$E33&lt;DQ$5+GanttPeriod),"◇","")),IF(AND(DQ$5&lt;=$F33,DQ$5+GanttPeriod-1&gt;=$E33),"━","")))</f>
        <v/>
      </c>
      <c r="DR33" s="69" t="str">
        <f aca="false">IF($E33="","",IF($M33,IF(AND($G33&gt;=DR$5,$G33&lt;DR$5+GanttPeriod),"◆",IF(AND($E33&gt;=DR$5,$E33&lt;DR$5+GanttPeriod),"◇","")),IF(AND(DR$5&lt;=$F33,DR$5+GanttPeriod-1&gt;=$E33),"━","")))</f>
        <v/>
      </c>
      <c r="DS33" s="69" t="str">
        <f aca="false">IF($E33="","",IF($M33,IF(AND($G33&gt;=DS$5,$G33&lt;DS$5+GanttPeriod),"◆",IF(AND($E33&gt;=DS$5,$E33&lt;DS$5+GanttPeriod),"◇","")),IF(AND(DS$5&lt;=$F33,DS$5+GanttPeriod-1&gt;=$E33),"━","")))</f>
        <v/>
      </c>
      <c r="DT33" s="69" t="str">
        <f aca="false">IF($E33="","",IF($M33,IF(AND($G33&gt;=DT$5,$G33&lt;DT$5+GanttPeriod),"◆",IF(AND($E33&gt;=DT$5,$E33&lt;DT$5+GanttPeriod),"◇","")),IF(AND(DT$5&lt;=$F33,DT$5+GanttPeriod-1&gt;=$E33),"━","")))</f>
        <v/>
      </c>
      <c r="DU33" s="69" t="str">
        <f aca="false">IF($E33="","",IF($M33,IF(AND($G33&gt;=DU$5,$G33&lt;DU$5+GanttPeriod),"◆",IF(AND($E33&gt;=DU$5,$E33&lt;DU$5+GanttPeriod),"◇","")),IF(AND(DU$5&lt;=$F33,DU$5+GanttPeriod-1&gt;=$E33),"━","")))</f>
        <v/>
      </c>
      <c r="DV33" s="69" t="str">
        <f aca="false">IF($E33="","",IF($M33,IF(AND($G33&gt;=DV$5,$G33&lt;DV$5+GanttPeriod),"◆",IF(AND($E33&gt;=DV$5,$E33&lt;DV$5+GanttPeriod),"◇","")),IF(AND(DV$5&lt;=$F33,DV$5+GanttPeriod-1&gt;=$E33),"━","")))</f>
        <v/>
      </c>
      <c r="DW33" s="69" t="str">
        <f aca="false">IF($E33="","",IF($M33,IF(AND($G33&gt;=DW$5,$G33&lt;DW$5+GanttPeriod),"◆",IF(AND($E33&gt;=DW$5,$E33&lt;DW$5+GanttPeriod),"◇","")),IF(AND(DW$5&lt;=$F33,DW$5+GanttPeriod-1&gt;=$E33),"━","")))</f>
        <v/>
      </c>
      <c r="DX33" s="69" t="str">
        <f aca="false">IF($E33="","",IF($M33,IF(AND($G33&gt;=DX$5,$G33&lt;DX$5+GanttPeriod),"◆",IF(AND($E33&gt;=DX$5,$E33&lt;DX$5+GanttPeriod),"◇","")),IF(AND(DX$5&lt;=$F33,DX$5+GanttPeriod-1&gt;=$E33),"━","")))</f>
        <v/>
      </c>
      <c r="DY33" s="69" t="str">
        <f aca="false">IF($E33="","",IF($M33,IF(AND($G33&gt;=DY$5,$G33&lt;DY$5+GanttPeriod),"◆",IF(AND($E33&gt;=DY$5,$E33&lt;DY$5+GanttPeriod),"◇","")),IF(AND(DY$5&lt;=$F33,DY$5+GanttPeriod-1&gt;=$E33),"━","")))</f>
        <v/>
      </c>
      <c r="DZ33" s="69" t="str">
        <f aca="false">IF($E33="","",IF($M33,IF(AND($G33&gt;=DZ$5,$G33&lt;DZ$5+GanttPeriod),"◆",IF(AND($E33&gt;=DZ$5,$E33&lt;DZ$5+GanttPeriod),"◇","")),IF(AND(DZ$5&lt;=$F33,DZ$5+GanttPeriod-1&gt;=$E33),"━","")))</f>
        <v/>
      </c>
      <c r="EA33" s="69" t="str">
        <f aca="false">IF($E33="","",IF($M33,IF(AND($G33&gt;=EA$5,$G33&lt;EA$5+GanttPeriod),"◆",IF(AND($E33&gt;=EA$5,$E33&lt;EA$5+GanttPeriod),"◇","")),IF(AND(EA$5&lt;=$F33,EA$5+GanttPeriod-1&gt;=$E33),"━","")))</f>
        <v/>
      </c>
      <c r="EB33" s="69" t="str">
        <f aca="false">IF($E33="","",IF($M33,IF(AND($G33&gt;=EB$5,$G33&lt;EB$5+GanttPeriod),"◆",IF(AND($E33&gt;=EB$5,$E33&lt;EB$5+GanttPeriod),"◇","")),IF(AND(EB$5&lt;=$F33,EB$5+GanttPeriod-1&gt;=$E33),"━","")))</f>
        <v/>
      </c>
      <c r="EC33" s="69" t="str">
        <f aca="false">IF($E33="","",IF($M33,IF(AND($G33&gt;=EC$5,$G33&lt;EC$5+GanttPeriod),"◆",IF(AND($E33&gt;=EC$5,$E33&lt;EC$5+GanttPeriod),"◇","")),IF(AND(EC$5&lt;=$F33,EC$5+GanttPeriod-1&gt;=$E33),"━","")))</f>
        <v/>
      </c>
      <c r="ED33" s="69" t="str">
        <f aca="false">IF($E33="","",IF($M33,IF(AND($G33&gt;=ED$5,$G33&lt;ED$5+GanttPeriod),"◆",IF(AND($E33&gt;=ED$5,$E33&lt;ED$5+GanttPeriod),"◇","")),IF(AND(ED$5&lt;=$F33,ED$5+GanttPeriod-1&gt;=$E33),"━","")))</f>
        <v/>
      </c>
      <c r="EE33" s="69" t="str">
        <f aca="false">IF($E33="","",IF($M33,IF(AND($G33&gt;=EE$5,$G33&lt;EE$5+GanttPeriod),"◆",IF(AND($E33&gt;=EE$5,$E33&lt;EE$5+GanttPeriod),"◇","")),IF(AND(EE$5&lt;=$F33,EE$5+GanttPeriod-1&gt;=$E33),"━","")))</f>
        <v/>
      </c>
      <c r="EF33" s="69" t="str">
        <f aca="false">IF($E33="","",IF($M33,IF(AND($G33&gt;=EF$5,$G33&lt;EF$5+GanttPeriod),"◆",IF(AND($E33&gt;=EF$5,$E33&lt;EF$5+GanttPeriod),"◇","")),IF(AND(EF$5&lt;=$F33,EF$5+GanttPeriod-1&gt;=$E33),"━","")))</f>
        <v/>
      </c>
      <c r="EG33" s="69" t="str">
        <f aca="false">IF($E33="","",IF($M33,IF(AND($G33&gt;=EG$5,$G33&lt;EG$5+GanttPeriod),"◆",IF(AND($E33&gt;=EG$5,$E33&lt;EG$5+GanttPeriod),"◇","")),IF(AND(EG$5&lt;=$F33,EG$5+GanttPeriod-1&gt;=$E33),"━","")))</f>
        <v/>
      </c>
      <c r="EH33" s="69" t="str">
        <f aca="false">IF($E33="","",IF($M33,IF(AND($G33&gt;=EH$5,$G33&lt;EH$5+GanttPeriod),"◆",IF(AND($E33&gt;=EH$5,$E33&lt;EH$5+GanttPeriod),"◇","")),IF(AND(EH$5&lt;=$F33,EH$5+GanttPeriod-1&gt;=$E33),"━","")))</f>
        <v/>
      </c>
      <c r="EI33" s="69" t="str">
        <f aca="false">IF($E33="","",IF($M33,IF(AND($G33&gt;=EI$5,$G33&lt;EI$5+GanttPeriod),"◆",IF(AND($E33&gt;=EI$5,$E33&lt;EI$5+GanttPeriod),"◇","")),IF(AND(EI$5&lt;=$F33,EI$5+GanttPeriod-1&gt;=$E33),"━","")))</f>
        <v/>
      </c>
      <c r="EJ33" s="69" t="str">
        <f aca="false">IF($E33="","",IF($M33,IF(AND($G33&gt;=EJ$5,$G33&lt;EJ$5+GanttPeriod),"◆",IF(AND($E33&gt;=EJ$5,$E33&lt;EJ$5+GanttPeriod),"◇","")),IF(AND(EJ$5&lt;=$F33,EJ$5+GanttPeriod-1&gt;=$E33),"━","")))</f>
        <v/>
      </c>
      <c r="EK33" s="69" t="str">
        <f aca="false">IF($E33="","",IF($M33,IF(AND($G33&gt;=EK$5,$G33&lt;EK$5+GanttPeriod),"◆",IF(AND($E33&gt;=EK$5,$E33&lt;EK$5+GanttPeriod),"◇","")),IF(AND(EK$5&lt;=$F33,EK$5+GanttPeriod-1&gt;=$E33),"━","")))</f>
        <v/>
      </c>
      <c r="EL33" s="69" t="str">
        <f aca="false">IF($E33="","",IF($M33,IF(AND($G33&gt;=EL$5,$G33&lt;EL$5+GanttPeriod),"◆",IF(AND($E33&gt;=EL$5,$E33&lt;EL$5+GanttPeriod),"◇","")),IF(AND(EL$5&lt;=$F33,EL$5+GanttPeriod-1&gt;=$E33),"━","")))</f>
        <v/>
      </c>
      <c r="EM33" s="69" t="str">
        <f aca="false">IF($E33="","",IF($M33,IF(AND($G33&gt;=EM$5,$G33&lt;EM$5+GanttPeriod),"◆",IF(AND($E33&gt;=EM$5,$E33&lt;EM$5+GanttPeriod),"◇","")),IF(AND(EM$5&lt;=$F33,EM$5+GanttPeriod-1&gt;=$E33),"━","")))</f>
        <v/>
      </c>
      <c r="EN33" s="69" t="str">
        <f aca="false">IF($E33="","",IF($M33,IF(AND($G33&gt;=EN$5,$G33&lt;EN$5+GanttPeriod),"◆",IF(AND($E33&gt;=EN$5,$E33&lt;EN$5+GanttPeriod),"◇","")),IF(AND(EN$5&lt;=$F33,EN$5+GanttPeriod-1&gt;=$E33),"━","")))</f>
        <v/>
      </c>
      <c r="EO33" s="69" t="str">
        <f aca="false">IF($E33="","",IF($M33,IF(AND($G33&gt;=EO$5,$G33&lt;EO$5+GanttPeriod),"◆",IF(AND($E33&gt;=EO$5,$E33&lt;EO$5+GanttPeriod),"◇","")),IF(AND(EO$5&lt;=$F33,EO$5+GanttPeriod-1&gt;=$E33),"━","")))</f>
        <v/>
      </c>
      <c r="EP33" s="69" t="str">
        <f aca="false">IF($E33="","",IF($M33,IF(AND($G33&gt;=EP$5,$G33&lt;EP$5+GanttPeriod),"◆",IF(AND($E33&gt;=EP$5,$E33&lt;EP$5+GanttPeriod),"◇","")),IF(AND(EP$5&lt;=$F33,EP$5+GanttPeriod-1&gt;=$E33),"━","")))</f>
        <v/>
      </c>
      <c r="EQ33" s="69" t="str">
        <f aca="false">IF($E33="","",IF($M33,IF(AND($G33&gt;=EQ$5,$G33&lt;EQ$5+GanttPeriod),"◆",IF(AND($E33&gt;=EQ$5,$E33&lt;EQ$5+GanttPeriod),"◇","")),IF(AND(EQ$5&lt;=$F33,EQ$5+GanttPeriod-1&gt;=$E33),"━","")))</f>
        <v/>
      </c>
      <c r="ER33" s="69" t="str">
        <f aca="false">IF($E33="","",IF($M33,IF(AND($G33&gt;=ER$5,$G33&lt;ER$5+GanttPeriod),"◆",IF(AND($E33&gt;=ER$5,$E33&lt;ER$5+GanttPeriod),"◇","")),IF(AND(ER$5&lt;=$F33,ER$5+GanttPeriod-1&gt;=$E33),"━","")))</f>
        <v/>
      </c>
      <c r="ES33" s="69" t="str">
        <f aca="false">IF($E33="","",IF($M33,IF(AND($G33&gt;=ES$5,$G33&lt;ES$5+GanttPeriod),"◆",IF(AND($E33&gt;=ES$5,$E33&lt;ES$5+GanttPeriod),"◇","")),IF(AND(ES$5&lt;=$F33,ES$5+GanttPeriod-1&gt;=$E33),"━","")))</f>
        <v/>
      </c>
      <c r="ET33" s="69" t="str">
        <f aca="false">IF($E33="","",IF($M33,IF(AND($G33&gt;=ET$5,$G33&lt;ET$5+GanttPeriod),"◆",IF(AND($E33&gt;=ET$5,$E33&lt;ET$5+GanttPeriod),"◇","")),IF(AND(ET$5&lt;=$F33,ET$5+GanttPeriod-1&gt;=$E33),"━","")))</f>
        <v/>
      </c>
      <c r="EU33" s="69" t="str">
        <f aca="false">IF($E33="","",IF($M33,IF(AND($G33&gt;=EU$5,$G33&lt;EU$5+GanttPeriod),"◆",IF(AND($E33&gt;=EU$5,$E33&lt;EU$5+GanttPeriod),"◇","")),IF(AND(EU$5&lt;=$F33,EU$5+GanttPeriod-1&gt;=$E33),"━","")))</f>
        <v/>
      </c>
      <c r="EV33" s="69" t="str">
        <f aca="false">IF($E33="","",IF($M33,IF(AND($G33&gt;=EV$5,$G33&lt;EV$5+GanttPeriod),"◆",IF(AND($E33&gt;=EV$5,$E33&lt;EV$5+GanttPeriod),"◇","")),IF(AND(EV$5&lt;=$F33,EV$5+GanttPeriod-1&gt;=$E33),"━","")))</f>
        <v/>
      </c>
      <c r="EW33" s="69" t="str">
        <f aca="false">IF($E33="","",IF($M33,IF(AND($G33&gt;=EW$5,$G33&lt;EW$5+GanttPeriod),"◆",IF(AND($E33&gt;=EW$5,$E33&lt;EW$5+GanttPeriod),"◇","")),IF(AND(EW$5&lt;=$F33,EW$5+GanttPeriod-1&gt;=$E33),"━","")))</f>
        <v/>
      </c>
      <c r="EX33" s="69" t="str">
        <f aca="false">IF($E33="","",IF($M33,IF(AND($G33&gt;=EX$5,$G33&lt;EX$5+GanttPeriod),"◆",IF(AND($E33&gt;=EX$5,$E33&lt;EX$5+GanttPeriod),"◇","")),IF(AND(EX$5&lt;=$F33,EX$5+GanttPeriod-1&gt;=$E33),"━","")))</f>
        <v/>
      </c>
      <c r="EY33" s="69" t="str">
        <f aca="false">IF($E33="","",IF($M33,IF(AND($G33&gt;=EY$5,$G33&lt;EY$5+GanttPeriod),"◆",IF(AND($E33&gt;=EY$5,$E33&lt;EY$5+GanttPeriod),"◇","")),IF(AND(EY$5&lt;=$F33,EY$5+GanttPeriod-1&gt;=$E33),"━","")))</f>
        <v/>
      </c>
      <c r="EZ33" s="69" t="str">
        <f aca="false">IF($E33="","",IF($M33,IF(AND($G33&gt;=EZ$5,$G33&lt;EZ$5+GanttPeriod),"◆",IF(AND($E33&gt;=EZ$5,$E33&lt;EZ$5+GanttPeriod),"◇","")),IF(AND(EZ$5&lt;=$F33,EZ$5+GanttPeriod-1&gt;=$E33),"━","")))</f>
        <v/>
      </c>
      <c r="FA33" s="69" t="str">
        <f aca="false">IF($E33="","",IF($M33,IF(AND($G33&gt;=FA$5,$G33&lt;FA$5+GanttPeriod),"◆",IF(AND($E33&gt;=FA$5,$E33&lt;FA$5+GanttPeriod),"◇","")),IF(AND(FA$5&lt;=$F33,FA$5+GanttPeriod-1&gt;=$E33),"━","")))</f>
        <v/>
      </c>
      <c r="FB33" s="69" t="str">
        <f aca="false">IF($E33="","",IF($M33,IF(AND($G33&gt;=FB$5,$G33&lt;FB$5+GanttPeriod),"◆",IF(AND($E33&gt;=FB$5,$E33&lt;FB$5+GanttPeriod),"◇","")),IF(AND(FB$5&lt;=$F33,FB$5+GanttPeriod-1&gt;=$E33),"━","")))</f>
        <v/>
      </c>
      <c r="FC33" s="69" t="str">
        <f aca="false">IF($E33="","",IF($M33,IF(AND($G33&gt;=FC$5,$G33&lt;FC$5+GanttPeriod),"◆",IF(AND($E33&gt;=FC$5,$E33&lt;FC$5+GanttPeriod),"◇","")),IF(AND(FC$5&lt;=$F33,FC$5+GanttPeriod-1&gt;=$E33),"━","")))</f>
        <v/>
      </c>
      <c r="FD33" s="69" t="str">
        <f aca="false">IF($E33="","",IF($M33,IF(AND($G33&gt;=FD$5,$G33&lt;FD$5+GanttPeriod),"◆",IF(AND($E33&gt;=FD$5,$E33&lt;FD$5+GanttPeriod),"◇","")),IF(AND(FD$5&lt;=$F33,FD$5+GanttPeriod-1&gt;=$E33),"━","")))</f>
        <v/>
      </c>
      <c r="FE33" s="69" t="str">
        <f aca="false">IF($E33="","",IF($M33,IF(AND($G33&gt;=FE$5,$G33&lt;FE$5+GanttPeriod),"◆",IF(AND($E33&gt;=FE$5,$E33&lt;FE$5+GanttPeriod),"◇","")),IF(AND(FE$5&lt;=$F33,FE$5+GanttPeriod-1&gt;=$E33),"━","")))</f>
        <v/>
      </c>
      <c r="FF33" s="69" t="str">
        <f aca="false">IF($E33="","",IF($M33,IF(AND($G33&gt;=FF$5,$G33&lt;FF$5+GanttPeriod),"◆",IF(AND($E33&gt;=FF$5,$E33&lt;FF$5+GanttPeriod),"◇","")),IF(AND(FF$5&lt;=$F33,FF$5+GanttPeriod-1&gt;=$E33),"━","")))</f>
        <v/>
      </c>
      <c r="FG33" s="69" t="str">
        <f aca="false">IF($E33="","",IF($M33,IF(AND($G33&gt;=FG$5,$G33&lt;FG$5+GanttPeriod),"◆",IF(AND($E33&gt;=FG$5,$E33&lt;FG$5+GanttPeriod),"◇","")),IF(AND(FG$5&lt;=$F33,FG$5+GanttPeriod-1&gt;=$E33),"━","")))</f>
        <v/>
      </c>
      <c r="FH33" s="69" t="str">
        <f aca="false">IF($E33="","",IF($M33,IF(AND($G33&gt;=FH$5,$G33&lt;FH$5+GanttPeriod),"◆",IF(AND($E33&gt;=FH$5,$E33&lt;FH$5+GanttPeriod),"◇","")),IF(AND(FH$5&lt;=$F33,FH$5+GanttPeriod-1&gt;=$E33),"━","")))</f>
        <v/>
      </c>
      <c r="FI33" s="69" t="str">
        <f aca="false">IF($E33="","",IF($M33,IF(AND($G33&gt;=FI$5,$G33&lt;FI$5+GanttPeriod),"◆",IF(AND($E33&gt;=FI$5,$E33&lt;FI$5+GanttPeriod),"◇","")),IF(AND(FI$5&lt;=$F33,FI$5+GanttPeriod-1&gt;=$E33),"━","")))</f>
        <v/>
      </c>
      <c r="FJ33" s="69" t="str">
        <f aca="false">IF($E33="","",IF($M33,IF(AND($G33&gt;=FJ$5,$G33&lt;FJ$5+GanttPeriod),"◆",IF(AND($E33&gt;=FJ$5,$E33&lt;FJ$5+GanttPeriod),"◇","")),IF(AND(FJ$5&lt;=$F33,FJ$5+GanttPeriod-1&gt;=$E33),"━","")))</f>
        <v/>
      </c>
      <c r="FK33" s="69" t="str">
        <f aca="false">IF($E33="","",IF($M33,IF(AND($G33&gt;=FK$5,$G33&lt;FK$5+GanttPeriod),"◆",IF(AND($E33&gt;=FK$5,$E33&lt;FK$5+GanttPeriod),"◇","")),IF(AND(FK$5&lt;=$F33,FK$5+GanttPeriod-1&gt;=$E33),"━","")))</f>
        <v/>
      </c>
      <c r="FL33" s="69" t="str">
        <f aca="false">IF($E33="","",IF($M33,IF(AND($G33&gt;=FL$5,$G33&lt;FL$5+GanttPeriod),"◆",IF(AND($E33&gt;=FL$5,$E33&lt;FL$5+GanttPeriod),"◇","")),IF(AND(FL$5&lt;=$F33,FL$5+GanttPeriod-1&gt;=$E33),"━","")))</f>
        <v/>
      </c>
      <c r="FM33" s="69" t="str">
        <f aca="false">IF($E33="","",IF($M33,IF(AND($G33&gt;=FM$5,$G33&lt;FM$5+GanttPeriod),"◆",IF(AND($E33&gt;=FM$5,$E33&lt;FM$5+GanttPeriod),"◇","")),IF(AND(FM$5&lt;=$F33,FM$5+GanttPeriod-1&gt;=$E33),"━","")))</f>
        <v/>
      </c>
    </row>
    <row r="34" customFormat="false" ht="15" hidden="false" customHeight="false" outlineLevel="0" collapsed="false">
      <c r="A34" s="62" t="n">
        <f aca="false">IF(Tasks!$D34="","",Tasks!$A34)</f>
        <v>29</v>
      </c>
      <c r="B34" s="62" t="str">
        <f aca="false">IF(Tasks!$D34="","",Tasks!$B34)</f>
        <v>5.2</v>
      </c>
      <c r="C34" s="63" t="str">
        <f aca="false">IF(Tasks!$D34="","",REPT("    ",Tasks!$AE34-1)&amp;Tasks!$D34)</f>
        <v>    Lessons learned</v>
      </c>
      <c r="D34" s="62" t="n">
        <f aca="false">IF(Tasks!$D34="","",IF(Tasks!$AI34,NETWORKDAYS.INTL(Tasks!$R34,Tasks!$S34,WorkWeek,Holidays),N(Tasks!$F34)))</f>
        <v>2</v>
      </c>
      <c r="E34" s="64" t="n">
        <f aca="false">IF(Tasks!$D34="","",Tasks!$N34)</f>
        <v>46392</v>
      </c>
      <c r="F34" s="64" t="n">
        <f aca="false">IF(Tasks!$D34="","",Tasks!$O34)</f>
        <v>46393</v>
      </c>
      <c r="G34" s="64" t="n">
        <f aca="false">IF(Tasks!$D34="","",Tasks!$R34)</f>
        <v>46392</v>
      </c>
      <c r="H34" s="64" t="n">
        <f aca="false">IF(Tasks!$D34="","",Tasks!$S34)</f>
        <v>46393</v>
      </c>
      <c r="I34" s="65" t="n">
        <f aca="false">IF(Tasks!$D34="","",Tasks!$V34)</f>
        <v>0</v>
      </c>
      <c r="J34" s="63" t="str">
        <f aca="false">IF(Tasks!$D34="","",Tasks!$X34&amp;"")</f>
        <v>Priya Sharma</v>
      </c>
      <c r="K34" s="66" t="str">
        <f aca="false">IF(Tasks!$D34="","",Tasks!$W34)</f>
        <v>Not Started</v>
      </c>
      <c r="L34" s="67" t="b">
        <f aca="false">IF(Tasks!$D34="",FALSE(),Tasks!$AI34)</f>
        <v>0</v>
      </c>
      <c r="M34" s="67" t="b">
        <f aca="false">AND(Tasks!$AJ34=1,N(Tasks!$F34)=0)</f>
        <v>0</v>
      </c>
      <c r="N34" s="68" t="n">
        <f aca="false">IF(AND(Tasks!$AJ34=1,NOT($M34),N($I34)&gt;0),$G34,0)</f>
        <v>0</v>
      </c>
      <c r="O34" s="68" t="n">
        <f aca="false">IF($N34=0,0,IF($I34&gt;=1,$H34,MAX($N34,$G34+ROUND(($H34-$G34+1)*$I34,0)-1)))</f>
        <v>0</v>
      </c>
      <c r="P34" s="68" t="n">
        <f aca="false">IF(OR(Tasks!$AJ34&lt;&gt;1,$M34,N($I34)&gt;=1),0,IF($O34&gt;0,$O34+1,$G34))</f>
        <v>46392</v>
      </c>
      <c r="Q34" s="68" t="n">
        <f aca="false">IF($P34=0,0,$H34)</f>
        <v>46393</v>
      </c>
      <c r="R34" s="67" t="b">
        <f aca="false">AND(Tasks!$D34&lt;&gt;"",N(Tasks!$T34)&gt;0)</f>
        <v>0</v>
      </c>
      <c r="T34" s="69" t="str">
        <f aca="false">IF($E34="","",IF($M34,IF(AND($G34&gt;=T$5,$G34&lt;T$5+GanttPeriod),"◆",IF(AND($E34&gt;=T$5,$E34&lt;T$5+GanttPeriod),"◇","")),IF(AND(T$5&lt;=$F34,T$5+GanttPeriod-1&gt;=$E34),"━","")))</f>
        <v/>
      </c>
      <c r="U34" s="69" t="str">
        <f aca="false">IF($E34="","",IF($M34,IF(AND($G34&gt;=U$5,$G34&lt;U$5+GanttPeriod),"◆",IF(AND($E34&gt;=U$5,$E34&lt;U$5+GanttPeriod),"◇","")),IF(AND(U$5&lt;=$F34,U$5+GanttPeriod-1&gt;=$E34),"━","")))</f>
        <v/>
      </c>
      <c r="V34" s="69" t="str">
        <f aca="false">IF($E34="","",IF($M34,IF(AND($G34&gt;=V$5,$G34&lt;V$5+GanttPeriod),"◆",IF(AND($E34&gt;=V$5,$E34&lt;V$5+GanttPeriod),"◇","")),IF(AND(V$5&lt;=$F34,V$5+GanttPeriod-1&gt;=$E34),"━","")))</f>
        <v/>
      </c>
      <c r="W34" s="69" t="str">
        <f aca="false">IF($E34="","",IF($M34,IF(AND($G34&gt;=W$5,$G34&lt;W$5+GanttPeriod),"◆",IF(AND($E34&gt;=W$5,$E34&lt;W$5+GanttPeriod),"◇","")),IF(AND(W$5&lt;=$F34,W$5+GanttPeriod-1&gt;=$E34),"━","")))</f>
        <v/>
      </c>
      <c r="X34" s="69" t="str">
        <f aca="false">IF($E34="","",IF($M34,IF(AND($G34&gt;=X$5,$G34&lt;X$5+GanttPeriod),"◆",IF(AND($E34&gt;=X$5,$E34&lt;X$5+GanttPeriod),"◇","")),IF(AND(X$5&lt;=$F34,X$5+GanttPeriod-1&gt;=$E34),"━","")))</f>
        <v/>
      </c>
      <c r="Y34" s="69" t="str">
        <f aca="false">IF($E34="","",IF($M34,IF(AND($G34&gt;=Y$5,$G34&lt;Y$5+GanttPeriod),"◆",IF(AND($E34&gt;=Y$5,$E34&lt;Y$5+GanttPeriod),"◇","")),IF(AND(Y$5&lt;=$F34,Y$5+GanttPeriod-1&gt;=$E34),"━","")))</f>
        <v/>
      </c>
      <c r="Z34" s="69" t="str">
        <f aca="false">IF($E34="","",IF($M34,IF(AND($G34&gt;=Z$5,$G34&lt;Z$5+GanttPeriod),"◆",IF(AND($E34&gt;=Z$5,$E34&lt;Z$5+GanttPeriod),"◇","")),IF(AND(Z$5&lt;=$F34,Z$5+GanttPeriod-1&gt;=$E34),"━","")))</f>
        <v/>
      </c>
      <c r="AA34" s="69" t="str">
        <f aca="false">IF($E34="","",IF($M34,IF(AND($G34&gt;=AA$5,$G34&lt;AA$5+GanttPeriod),"◆",IF(AND($E34&gt;=AA$5,$E34&lt;AA$5+GanttPeriod),"◇","")),IF(AND(AA$5&lt;=$F34,AA$5+GanttPeriod-1&gt;=$E34),"━","")))</f>
        <v/>
      </c>
      <c r="AB34" s="69" t="str">
        <f aca="false">IF($E34="","",IF($M34,IF(AND($G34&gt;=AB$5,$G34&lt;AB$5+GanttPeriod),"◆",IF(AND($E34&gt;=AB$5,$E34&lt;AB$5+GanttPeriod),"◇","")),IF(AND(AB$5&lt;=$F34,AB$5+GanttPeriod-1&gt;=$E34),"━","")))</f>
        <v/>
      </c>
      <c r="AC34" s="69" t="str">
        <f aca="false">IF($E34="","",IF($M34,IF(AND($G34&gt;=AC$5,$G34&lt;AC$5+GanttPeriod),"◆",IF(AND($E34&gt;=AC$5,$E34&lt;AC$5+GanttPeriod),"◇","")),IF(AND(AC$5&lt;=$F34,AC$5+GanttPeriod-1&gt;=$E34),"━","")))</f>
        <v/>
      </c>
      <c r="AD34" s="69" t="str">
        <f aca="false">IF($E34="","",IF($M34,IF(AND($G34&gt;=AD$5,$G34&lt;AD$5+GanttPeriod),"◆",IF(AND($E34&gt;=AD$5,$E34&lt;AD$5+GanttPeriod),"◇","")),IF(AND(AD$5&lt;=$F34,AD$5+GanttPeriod-1&gt;=$E34),"━","")))</f>
        <v/>
      </c>
      <c r="AE34" s="69" t="str">
        <f aca="false">IF($E34="","",IF($M34,IF(AND($G34&gt;=AE$5,$G34&lt;AE$5+GanttPeriod),"◆",IF(AND($E34&gt;=AE$5,$E34&lt;AE$5+GanttPeriod),"◇","")),IF(AND(AE$5&lt;=$F34,AE$5+GanttPeriod-1&gt;=$E34),"━","")))</f>
        <v/>
      </c>
      <c r="AF34" s="69" t="str">
        <f aca="false">IF($E34="","",IF($M34,IF(AND($G34&gt;=AF$5,$G34&lt;AF$5+GanttPeriod),"◆",IF(AND($E34&gt;=AF$5,$E34&lt;AF$5+GanttPeriod),"◇","")),IF(AND(AF$5&lt;=$F34,AF$5+GanttPeriod-1&gt;=$E34),"━","")))</f>
        <v/>
      </c>
      <c r="AG34" s="69" t="str">
        <f aca="false">IF($E34="","",IF($M34,IF(AND($G34&gt;=AG$5,$G34&lt;AG$5+GanttPeriod),"◆",IF(AND($E34&gt;=AG$5,$E34&lt;AG$5+GanttPeriod),"◇","")),IF(AND(AG$5&lt;=$F34,AG$5+GanttPeriod-1&gt;=$E34),"━","")))</f>
        <v/>
      </c>
      <c r="AH34" s="69" t="str">
        <f aca="false">IF($E34="","",IF($M34,IF(AND($G34&gt;=AH$5,$G34&lt;AH$5+GanttPeriod),"◆",IF(AND($E34&gt;=AH$5,$E34&lt;AH$5+GanttPeriod),"◇","")),IF(AND(AH$5&lt;=$F34,AH$5+GanttPeriod-1&gt;=$E34),"━","")))</f>
        <v/>
      </c>
      <c r="AI34" s="69" t="str">
        <f aca="false">IF($E34="","",IF($M34,IF(AND($G34&gt;=AI$5,$G34&lt;AI$5+GanttPeriod),"◆",IF(AND($E34&gt;=AI$5,$E34&lt;AI$5+GanttPeriod),"◇","")),IF(AND(AI$5&lt;=$F34,AI$5+GanttPeriod-1&gt;=$E34),"━","")))</f>
        <v/>
      </c>
      <c r="AJ34" s="69" t="str">
        <f aca="false">IF($E34="","",IF($M34,IF(AND($G34&gt;=AJ$5,$G34&lt;AJ$5+GanttPeriod),"◆",IF(AND($E34&gt;=AJ$5,$E34&lt;AJ$5+GanttPeriod),"◇","")),IF(AND(AJ$5&lt;=$F34,AJ$5+GanttPeriod-1&gt;=$E34),"━","")))</f>
        <v/>
      </c>
      <c r="AK34" s="69" t="str">
        <f aca="false">IF($E34="","",IF($M34,IF(AND($G34&gt;=AK$5,$G34&lt;AK$5+GanttPeriod),"◆",IF(AND($E34&gt;=AK$5,$E34&lt;AK$5+GanttPeriod),"◇","")),IF(AND(AK$5&lt;=$F34,AK$5+GanttPeriod-1&gt;=$E34),"━","")))</f>
        <v/>
      </c>
      <c r="AL34" s="69" t="str">
        <f aca="false">IF($E34="","",IF($M34,IF(AND($G34&gt;=AL$5,$G34&lt;AL$5+GanttPeriod),"◆",IF(AND($E34&gt;=AL$5,$E34&lt;AL$5+GanttPeriod),"◇","")),IF(AND(AL$5&lt;=$F34,AL$5+GanttPeriod-1&gt;=$E34),"━","")))</f>
        <v/>
      </c>
      <c r="AM34" s="69" t="str">
        <f aca="false">IF($E34="","",IF($M34,IF(AND($G34&gt;=AM$5,$G34&lt;AM$5+GanttPeriod),"◆",IF(AND($E34&gt;=AM$5,$E34&lt;AM$5+GanttPeriod),"◇","")),IF(AND(AM$5&lt;=$F34,AM$5+GanttPeriod-1&gt;=$E34),"━","")))</f>
        <v/>
      </c>
      <c r="AN34" s="69" t="str">
        <f aca="false">IF($E34="","",IF($M34,IF(AND($G34&gt;=AN$5,$G34&lt;AN$5+GanttPeriod),"◆",IF(AND($E34&gt;=AN$5,$E34&lt;AN$5+GanttPeriod),"◇","")),IF(AND(AN$5&lt;=$F34,AN$5+GanttPeriod-1&gt;=$E34),"━","")))</f>
        <v/>
      </c>
      <c r="AO34" s="69" t="str">
        <f aca="false">IF($E34="","",IF($M34,IF(AND($G34&gt;=AO$5,$G34&lt;AO$5+GanttPeriod),"◆",IF(AND($E34&gt;=AO$5,$E34&lt;AO$5+GanttPeriod),"◇","")),IF(AND(AO$5&lt;=$F34,AO$5+GanttPeriod-1&gt;=$E34),"━","")))</f>
        <v/>
      </c>
      <c r="AP34" s="69" t="str">
        <f aca="false">IF($E34="","",IF($M34,IF(AND($G34&gt;=AP$5,$G34&lt;AP$5+GanttPeriod),"◆",IF(AND($E34&gt;=AP$5,$E34&lt;AP$5+GanttPeriod),"◇","")),IF(AND(AP$5&lt;=$F34,AP$5+GanttPeriod-1&gt;=$E34),"━","")))</f>
        <v/>
      </c>
      <c r="AQ34" s="69" t="str">
        <f aca="false">IF($E34="","",IF($M34,IF(AND($G34&gt;=AQ$5,$G34&lt;AQ$5+GanttPeriod),"◆",IF(AND($E34&gt;=AQ$5,$E34&lt;AQ$5+GanttPeriod),"◇","")),IF(AND(AQ$5&lt;=$F34,AQ$5+GanttPeriod-1&gt;=$E34),"━","")))</f>
        <v/>
      </c>
      <c r="AR34" s="69" t="str">
        <f aca="false">IF($E34="","",IF($M34,IF(AND($G34&gt;=AR$5,$G34&lt;AR$5+GanttPeriod),"◆",IF(AND($E34&gt;=AR$5,$E34&lt;AR$5+GanttPeriod),"◇","")),IF(AND(AR$5&lt;=$F34,AR$5+GanttPeriod-1&gt;=$E34),"━","")))</f>
        <v/>
      </c>
      <c r="AS34" s="69" t="str">
        <f aca="false">IF($E34="","",IF($M34,IF(AND($G34&gt;=AS$5,$G34&lt;AS$5+GanttPeriod),"◆",IF(AND($E34&gt;=AS$5,$E34&lt;AS$5+GanttPeriod),"◇","")),IF(AND(AS$5&lt;=$F34,AS$5+GanttPeriod-1&gt;=$E34),"━","")))</f>
        <v/>
      </c>
      <c r="AT34" s="69" t="str">
        <f aca="false">IF($E34="","",IF($M34,IF(AND($G34&gt;=AT$5,$G34&lt;AT$5+GanttPeriod),"◆",IF(AND($E34&gt;=AT$5,$E34&lt;AT$5+GanttPeriod),"◇","")),IF(AND(AT$5&lt;=$F34,AT$5+GanttPeriod-1&gt;=$E34),"━","")))</f>
        <v/>
      </c>
      <c r="AU34" s="69" t="str">
        <f aca="false">IF($E34="","",IF($M34,IF(AND($G34&gt;=AU$5,$G34&lt;AU$5+GanttPeriod),"◆",IF(AND($E34&gt;=AU$5,$E34&lt;AU$5+GanttPeriod),"◇","")),IF(AND(AU$5&lt;=$F34,AU$5+GanttPeriod-1&gt;=$E34),"━","")))</f>
        <v/>
      </c>
      <c r="AV34" s="69" t="str">
        <f aca="false">IF($E34="","",IF($M34,IF(AND($G34&gt;=AV$5,$G34&lt;AV$5+GanttPeriod),"◆",IF(AND($E34&gt;=AV$5,$E34&lt;AV$5+GanttPeriod),"◇","")),IF(AND(AV$5&lt;=$F34,AV$5+GanttPeriod-1&gt;=$E34),"━","")))</f>
        <v/>
      </c>
      <c r="AW34" s="69" t="str">
        <f aca="false">IF($E34="","",IF($M34,IF(AND($G34&gt;=AW$5,$G34&lt;AW$5+GanttPeriod),"◆",IF(AND($E34&gt;=AW$5,$E34&lt;AW$5+GanttPeriod),"◇","")),IF(AND(AW$5&lt;=$F34,AW$5+GanttPeriod-1&gt;=$E34),"━","")))</f>
        <v/>
      </c>
      <c r="AX34" s="69" t="str">
        <f aca="false">IF($E34="","",IF($M34,IF(AND($G34&gt;=AX$5,$G34&lt;AX$5+GanttPeriod),"◆",IF(AND($E34&gt;=AX$5,$E34&lt;AX$5+GanttPeriod),"◇","")),IF(AND(AX$5&lt;=$F34,AX$5+GanttPeriod-1&gt;=$E34),"━","")))</f>
        <v/>
      </c>
      <c r="AY34" s="69" t="str">
        <f aca="false">IF($E34="","",IF($M34,IF(AND($G34&gt;=AY$5,$G34&lt;AY$5+GanttPeriod),"◆",IF(AND($E34&gt;=AY$5,$E34&lt;AY$5+GanttPeriod),"◇","")),IF(AND(AY$5&lt;=$F34,AY$5+GanttPeriod-1&gt;=$E34),"━","")))</f>
        <v/>
      </c>
      <c r="AZ34" s="69" t="str">
        <f aca="false">IF($E34="","",IF($M34,IF(AND($G34&gt;=AZ$5,$G34&lt;AZ$5+GanttPeriod),"◆",IF(AND($E34&gt;=AZ$5,$E34&lt;AZ$5+GanttPeriod),"◇","")),IF(AND(AZ$5&lt;=$F34,AZ$5+GanttPeriod-1&gt;=$E34),"━","")))</f>
        <v/>
      </c>
      <c r="BA34" s="69" t="str">
        <f aca="false">IF($E34="","",IF($M34,IF(AND($G34&gt;=BA$5,$G34&lt;BA$5+GanttPeriod),"◆",IF(AND($E34&gt;=BA$5,$E34&lt;BA$5+GanttPeriod),"◇","")),IF(AND(BA$5&lt;=$F34,BA$5+GanttPeriod-1&gt;=$E34),"━","")))</f>
        <v/>
      </c>
      <c r="BB34" s="69" t="str">
        <f aca="false">IF($E34="","",IF($M34,IF(AND($G34&gt;=BB$5,$G34&lt;BB$5+GanttPeriod),"◆",IF(AND($E34&gt;=BB$5,$E34&lt;BB$5+GanttPeriod),"◇","")),IF(AND(BB$5&lt;=$F34,BB$5+GanttPeriod-1&gt;=$E34),"━","")))</f>
        <v/>
      </c>
      <c r="BC34" s="69" t="str">
        <f aca="false">IF($E34="","",IF($M34,IF(AND($G34&gt;=BC$5,$G34&lt;BC$5+GanttPeriod),"◆",IF(AND($E34&gt;=BC$5,$E34&lt;BC$5+GanttPeriod),"◇","")),IF(AND(BC$5&lt;=$F34,BC$5+GanttPeriod-1&gt;=$E34),"━","")))</f>
        <v/>
      </c>
      <c r="BD34" s="69" t="str">
        <f aca="false">IF($E34="","",IF($M34,IF(AND($G34&gt;=BD$5,$G34&lt;BD$5+GanttPeriod),"◆",IF(AND($E34&gt;=BD$5,$E34&lt;BD$5+GanttPeriod),"◇","")),IF(AND(BD$5&lt;=$F34,BD$5+GanttPeriod-1&gt;=$E34),"━","")))</f>
        <v/>
      </c>
      <c r="BE34" s="69" t="str">
        <f aca="false">IF($E34="","",IF($M34,IF(AND($G34&gt;=BE$5,$G34&lt;BE$5+GanttPeriod),"◆",IF(AND($E34&gt;=BE$5,$E34&lt;BE$5+GanttPeriod),"◇","")),IF(AND(BE$5&lt;=$F34,BE$5+GanttPeriod-1&gt;=$E34),"━","")))</f>
        <v/>
      </c>
      <c r="BF34" s="69" t="str">
        <f aca="false">IF($E34="","",IF($M34,IF(AND($G34&gt;=BF$5,$G34&lt;BF$5+GanttPeriod),"◆",IF(AND($E34&gt;=BF$5,$E34&lt;BF$5+GanttPeriod),"◇","")),IF(AND(BF$5&lt;=$F34,BF$5+GanttPeriod-1&gt;=$E34),"━","")))</f>
        <v/>
      </c>
      <c r="BG34" s="69" t="str">
        <f aca="false">IF($E34="","",IF($M34,IF(AND($G34&gt;=BG$5,$G34&lt;BG$5+GanttPeriod),"◆",IF(AND($E34&gt;=BG$5,$E34&lt;BG$5+GanttPeriod),"◇","")),IF(AND(BG$5&lt;=$F34,BG$5+GanttPeriod-1&gt;=$E34),"━","")))</f>
        <v/>
      </c>
      <c r="BH34" s="69" t="str">
        <f aca="false">IF($E34="","",IF($M34,IF(AND($G34&gt;=BH$5,$G34&lt;BH$5+GanttPeriod),"◆",IF(AND($E34&gt;=BH$5,$E34&lt;BH$5+GanttPeriod),"◇","")),IF(AND(BH$5&lt;=$F34,BH$5+GanttPeriod-1&gt;=$E34),"━","")))</f>
        <v/>
      </c>
      <c r="BI34" s="69" t="str">
        <f aca="false">IF($E34="","",IF($M34,IF(AND($G34&gt;=BI$5,$G34&lt;BI$5+GanttPeriod),"◆",IF(AND($E34&gt;=BI$5,$E34&lt;BI$5+GanttPeriod),"◇","")),IF(AND(BI$5&lt;=$F34,BI$5+GanttPeriod-1&gt;=$E34),"━","")))</f>
        <v/>
      </c>
      <c r="BJ34" s="69" t="str">
        <f aca="false">IF($E34="","",IF($M34,IF(AND($G34&gt;=BJ$5,$G34&lt;BJ$5+GanttPeriod),"◆",IF(AND($E34&gt;=BJ$5,$E34&lt;BJ$5+GanttPeriod),"◇","")),IF(AND(BJ$5&lt;=$F34,BJ$5+GanttPeriod-1&gt;=$E34),"━","")))</f>
        <v/>
      </c>
      <c r="BK34" s="69" t="str">
        <f aca="false">IF($E34="","",IF($M34,IF(AND($G34&gt;=BK$5,$G34&lt;BK$5+GanttPeriod),"◆",IF(AND($E34&gt;=BK$5,$E34&lt;BK$5+GanttPeriod),"◇","")),IF(AND(BK$5&lt;=$F34,BK$5+GanttPeriod-1&gt;=$E34),"━","")))</f>
        <v/>
      </c>
      <c r="BL34" s="69" t="str">
        <f aca="false">IF($E34="","",IF($M34,IF(AND($G34&gt;=BL$5,$G34&lt;BL$5+GanttPeriod),"◆",IF(AND($E34&gt;=BL$5,$E34&lt;BL$5+GanttPeriod),"◇","")),IF(AND(BL$5&lt;=$F34,BL$5+GanttPeriod-1&gt;=$E34),"━","")))</f>
        <v/>
      </c>
      <c r="BM34" s="69" t="str">
        <f aca="false">IF($E34="","",IF($M34,IF(AND($G34&gt;=BM$5,$G34&lt;BM$5+GanttPeriod),"◆",IF(AND($E34&gt;=BM$5,$E34&lt;BM$5+GanttPeriod),"◇","")),IF(AND(BM$5&lt;=$F34,BM$5+GanttPeriod-1&gt;=$E34),"━","")))</f>
        <v/>
      </c>
      <c r="BN34" s="69" t="str">
        <f aca="false">IF($E34="","",IF($M34,IF(AND($G34&gt;=BN$5,$G34&lt;BN$5+GanttPeriod),"◆",IF(AND($E34&gt;=BN$5,$E34&lt;BN$5+GanttPeriod),"◇","")),IF(AND(BN$5&lt;=$F34,BN$5+GanttPeriod-1&gt;=$E34),"━","")))</f>
        <v/>
      </c>
      <c r="BO34" s="69" t="str">
        <f aca="false">IF($E34="","",IF($M34,IF(AND($G34&gt;=BO$5,$G34&lt;BO$5+GanttPeriod),"◆",IF(AND($E34&gt;=BO$5,$E34&lt;BO$5+GanttPeriod),"◇","")),IF(AND(BO$5&lt;=$F34,BO$5+GanttPeriod-1&gt;=$E34),"━","")))</f>
        <v/>
      </c>
      <c r="BP34" s="69" t="str">
        <f aca="false">IF($E34="","",IF($M34,IF(AND($G34&gt;=BP$5,$G34&lt;BP$5+GanttPeriod),"◆",IF(AND($E34&gt;=BP$5,$E34&lt;BP$5+GanttPeriod),"◇","")),IF(AND(BP$5&lt;=$F34,BP$5+GanttPeriod-1&gt;=$E34),"━","")))</f>
        <v/>
      </c>
      <c r="BQ34" s="69" t="str">
        <f aca="false">IF($E34="","",IF($M34,IF(AND($G34&gt;=BQ$5,$G34&lt;BQ$5+GanttPeriod),"◆",IF(AND($E34&gt;=BQ$5,$E34&lt;BQ$5+GanttPeriod),"◇","")),IF(AND(BQ$5&lt;=$F34,BQ$5+GanttPeriod-1&gt;=$E34),"━","")))</f>
        <v/>
      </c>
      <c r="BR34" s="69" t="str">
        <f aca="false">IF($E34="","",IF($M34,IF(AND($G34&gt;=BR$5,$G34&lt;BR$5+GanttPeriod),"◆",IF(AND($E34&gt;=BR$5,$E34&lt;BR$5+GanttPeriod),"◇","")),IF(AND(BR$5&lt;=$F34,BR$5+GanttPeriod-1&gt;=$E34),"━","")))</f>
        <v/>
      </c>
      <c r="BS34" s="69" t="str">
        <f aca="false">IF($E34="","",IF($M34,IF(AND($G34&gt;=BS$5,$G34&lt;BS$5+GanttPeriod),"◆",IF(AND($E34&gt;=BS$5,$E34&lt;BS$5+GanttPeriod),"◇","")),IF(AND(BS$5&lt;=$F34,BS$5+GanttPeriod-1&gt;=$E34),"━","")))</f>
        <v/>
      </c>
      <c r="BT34" s="69" t="str">
        <f aca="false">IF($E34="","",IF($M34,IF(AND($G34&gt;=BT$5,$G34&lt;BT$5+GanttPeriod),"◆",IF(AND($E34&gt;=BT$5,$E34&lt;BT$5+GanttPeriod),"◇","")),IF(AND(BT$5&lt;=$F34,BT$5+GanttPeriod-1&gt;=$E34),"━","")))</f>
        <v/>
      </c>
      <c r="BU34" s="69" t="str">
        <f aca="false">IF($E34="","",IF($M34,IF(AND($G34&gt;=BU$5,$G34&lt;BU$5+GanttPeriod),"◆",IF(AND($E34&gt;=BU$5,$E34&lt;BU$5+GanttPeriod),"◇","")),IF(AND(BU$5&lt;=$F34,BU$5+GanttPeriod-1&gt;=$E34),"━","")))</f>
        <v/>
      </c>
      <c r="BV34" s="69" t="str">
        <f aca="false">IF($E34="","",IF($M34,IF(AND($G34&gt;=BV$5,$G34&lt;BV$5+GanttPeriod),"◆",IF(AND($E34&gt;=BV$5,$E34&lt;BV$5+GanttPeriod),"◇","")),IF(AND(BV$5&lt;=$F34,BV$5+GanttPeriod-1&gt;=$E34),"━","")))</f>
        <v/>
      </c>
      <c r="BW34" s="69" t="str">
        <f aca="false">IF($E34="","",IF($M34,IF(AND($G34&gt;=BW$5,$G34&lt;BW$5+GanttPeriod),"◆",IF(AND($E34&gt;=BW$5,$E34&lt;BW$5+GanttPeriod),"◇","")),IF(AND(BW$5&lt;=$F34,BW$5+GanttPeriod-1&gt;=$E34),"━","")))</f>
        <v/>
      </c>
      <c r="BX34" s="69" t="str">
        <f aca="false">IF($E34="","",IF($M34,IF(AND($G34&gt;=BX$5,$G34&lt;BX$5+GanttPeriod),"◆",IF(AND($E34&gt;=BX$5,$E34&lt;BX$5+GanttPeriod),"◇","")),IF(AND(BX$5&lt;=$F34,BX$5+GanttPeriod-1&gt;=$E34),"━","")))</f>
        <v/>
      </c>
      <c r="BY34" s="69" t="str">
        <f aca="false">IF($E34="","",IF($M34,IF(AND($G34&gt;=BY$5,$G34&lt;BY$5+GanttPeriod),"◆",IF(AND($E34&gt;=BY$5,$E34&lt;BY$5+GanttPeriod),"◇","")),IF(AND(BY$5&lt;=$F34,BY$5+GanttPeriod-1&gt;=$E34),"━","")))</f>
        <v/>
      </c>
      <c r="BZ34" s="69" t="str">
        <f aca="false">IF($E34="","",IF($M34,IF(AND($G34&gt;=BZ$5,$G34&lt;BZ$5+GanttPeriod),"◆",IF(AND($E34&gt;=BZ$5,$E34&lt;BZ$5+GanttPeriod),"◇","")),IF(AND(BZ$5&lt;=$F34,BZ$5+GanttPeriod-1&gt;=$E34),"━","")))</f>
        <v/>
      </c>
      <c r="CA34" s="69" t="str">
        <f aca="false">IF($E34="","",IF($M34,IF(AND($G34&gt;=CA$5,$G34&lt;CA$5+GanttPeriod),"◆",IF(AND($E34&gt;=CA$5,$E34&lt;CA$5+GanttPeriod),"◇","")),IF(AND(CA$5&lt;=$F34,CA$5+GanttPeriod-1&gt;=$E34),"━","")))</f>
        <v/>
      </c>
      <c r="CB34" s="69" t="str">
        <f aca="false">IF($E34="","",IF($M34,IF(AND($G34&gt;=CB$5,$G34&lt;CB$5+GanttPeriod),"◆",IF(AND($E34&gt;=CB$5,$E34&lt;CB$5+GanttPeriod),"◇","")),IF(AND(CB$5&lt;=$F34,CB$5+GanttPeriod-1&gt;=$E34),"━","")))</f>
        <v/>
      </c>
      <c r="CC34" s="69" t="str">
        <f aca="false">IF($E34="","",IF($M34,IF(AND($G34&gt;=CC$5,$G34&lt;CC$5+GanttPeriod),"◆",IF(AND($E34&gt;=CC$5,$E34&lt;CC$5+GanttPeriod),"◇","")),IF(AND(CC$5&lt;=$F34,CC$5+GanttPeriod-1&gt;=$E34),"━","")))</f>
        <v/>
      </c>
      <c r="CD34" s="69" t="str">
        <f aca="false">IF($E34="","",IF($M34,IF(AND($G34&gt;=CD$5,$G34&lt;CD$5+GanttPeriod),"◆",IF(AND($E34&gt;=CD$5,$E34&lt;CD$5+GanttPeriod),"◇","")),IF(AND(CD$5&lt;=$F34,CD$5+GanttPeriod-1&gt;=$E34),"━","")))</f>
        <v/>
      </c>
      <c r="CE34" s="69" t="str">
        <f aca="false">IF($E34="","",IF($M34,IF(AND($G34&gt;=CE$5,$G34&lt;CE$5+GanttPeriod),"◆",IF(AND($E34&gt;=CE$5,$E34&lt;CE$5+GanttPeriod),"◇","")),IF(AND(CE$5&lt;=$F34,CE$5+GanttPeriod-1&gt;=$E34),"━","")))</f>
        <v/>
      </c>
      <c r="CF34" s="69" t="str">
        <f aca="false">IF($E34="","",IF($M34,IF(AND($G34&gt;=CF$5,$G34&lt;CF$5+GanttPeriod),"◆",IF(AND($E34&gt;=CF$5,$E34&lt;CF$5+GanttPeriod),"◇","")),IF(AND(CF$5&lt;=$F34,CF$5+GanttPeriod-1&gt;=$E34),"━","")))</f>
        <v/>
      </c>
      <c r="CG34" s="69" t="str">
        <f aca="false">IF($E34="","",IF($M34,IF(AND($G34&gt;=CG$5,$G34&lt;CG$5+GanttPeriod),"◆",IF(AND($E34&gt;=CG$5,$E34&lt;CG$5+GanttPeriod),"◇","")),IF(AND(CG$5&lt;=$F34,CG$5+GanttPeriod-1&gt;=$E34),"━","")))</f>
        <v/>
      </c>
      <c r="CH34" s="69" t="str">
        <f aca="false">IF($E34="","",IF($M34,IF(AND($G34&gt;=CH$5,$G34&lt;CH$5+GanttPeriod),"◆",IF(AND($E34&gt;=CH$5,$E34&lt;CH$5+GanttPeriod),"◇","")),IF(AND(CH$5&lt;=$F34,CH$5+GanttPeriod-1&gt;=$E34),"━","")))</f>
        <v/>
      </c>
      <c r="CI34" s="69" t="str">
        <f aca="false">IF($E34="","",IF($M34,IF(AND($G34&gt;=CI$5,$G34&lt;CI$5+GanttPeriod),"◆",IF(AND($E34&gt;=CI$5,$E34&lt;CI$5+GanttPeriod),"◇","")),IF(AND(CI$5&lt;=$F34,CI$5+GanttPeriod-1&gt;=$E34),"━","")))</f>
        <v/>
      </c>
      <c r="CJ34" s="69" t="str">
        <f aca="false">IF($E34="","",IF($M34,IF(AND($G34&gt;=CJ$5,$G34&lt;CJ$5+GanttPeriod),"◆",IF(AND($E34&gt;=CJ$5,$E34&lt;CJ$5+GanttPeriod),"◇","")),IF(AND(CJ$5&lt;=$F34,CJ$5+GanttPeriod-1&gt;=$E34),"━","")))</f>
        <v/>
      </c>
      <c r="CK34" s="69" t="str">
        <f aca="false">IF($E34="","",IF($M34,IF(AND($G34&gt;=CK$5,$G34&lt;CK$5+GanttPeriod),"◆",IF(AND($E34&gt;=CK$5,$E34&lt;CK$5+GanttPeriod),"◇","")),IF(AND(CK$5&lt;=$F34,CK$5+GanttPeriod-1&gt;=$E34),"━","")))</f>
        <v/>
      </c>
      <c r="CL34" s="69" t="str">
        <f aca="false">IF($E34="","",IF($M34,IF(AND($G34&gt;=CL$5,$G34&lt;CL$5+GanttPeriod),"◆",IF(AND($E34&gt;=CL$5,$E34&lt;CL$5+GanttPeriod),"◇","")),IF(AND(CL$5&lt;=$F34,CL$5+GanttPeriod-1&gt;=$E34),"━","")))</f>
        <v/>
      </c>
      <c r="CM34" s="69" t="str">
        <f aca="false">IF($E34="","",IF($M34,IF(AND($G34&gt;=CM$5,$G34&lt;CM$5+GanttPeriod),"◆",IF(AND($E34&gt;=CM$5,$E34&lt;CM$5+GanttPeriod),"◇","")),IF(AND(CM$5&lt;=$F34,CM$5+GanttPeriod-1&gt;=$E34),"━","")))</f>
        <v/>
      </c>
      <c r="CN34" s="69" t="str">
        <f aca="false">IF($E34="","",IF($M34,IF(AND($G34&gt;=CN$5,$G34&lt;CN$5+GanttPeriod),"◆",IF(AND($E34&gt;=CN$5,$E34&lt;CN$5+GanttPeriod),"◇","")),IF(AND(CN$5&lt;=$F34,CN$5+GanttPeriod-1&gt;=$E34),"━","")))</f>
        <v/>
      </c>
      <c r="CO34" s="69" t="str">
        <f aca="false">IF($E34="","",IF($M34,IF(AND($G34&gt;=CO$5,$G34&lt;CO$5+GanttPeriod),"◆",IF(AND($E34&gt;=CO$5,$E34&lt;CO$5+GanttPeriod),"◇","")),IF(AND(CO$5&lt;=$F34,CO$5+GanttPeriod-1&gt;=$E34),"━","")))</f>
        <v/>
      </c>
      <c r="CP34" s="69" t="str">
        <f aca="false">IF($E34="","",IF($M34,IF(AND($G34&gt;=CP$5,$G34&lt;CP$5+GanttPeriod),"◆",IF(AND($E34&gt;=CP$5,$E34&lt;CP$5+GanttPeriod),"◇","")),IF(AND(CP$5&lt;=$F34,CP$5+GanttPeriod-1&gt;=$E34),"━","")))</f>
        <v/>
      </c>
      <c r="CQ34" s="69" t="str">
        <f aca="false">IF($E34="","",IF($M34,IF(AND($G34&gt;=CQ$5,$G34&lt;CQ$5+GanttPeriod),"◆",IF(AND($E34&gt;=CQ$5,$E34&lt;CQ$5+GanttPeriod),"◇","")),IF(AND(CQ$5&lt;=$F34,CQ$5+GanttPeriod-1&gt;=$E34),"━","")))</f>
        <v/>
      </c>
      <c r="CR34" s="69" t="str">
        <f aca="false">IF($E34="","",IF($M34,IF(AND($G34&gt;=CR$5,$G34&lt;CR$5+GanttPeriod),"◆",IF(AND($E34&gt;=CR$5,$E34&lt;CR$5+GanttPeriod),"◇","")),IF(AND(CR$5&lt;=$F34,CR$5+GanttPeriod-1&gt;=$E34),"━","")))</f>
        <v/>
      </c>
      <c r="CS34" s="69" t="str">
        <f aca="false">IF($E34="","",IF($M34,IF(AND($G34&gt;=CS$5,$G34&lt;CS$5+GanttPeriod),"◆",IF(AND($E34&gt;=CS$5,$E34&lt;CS$5+GanttPeriod),"◇","")),IF(AND(CS$5&lt;=$F34,CS$5+GanttPeriod-1&gt;=$E34),"━","")))</f>
        <v/>
      </c>
      <c r="CT34" s="69" t="str">
        <f aca="false">IF($E34="","",IF($M34,IF(AND($G34&gt;=CT$5,$G34&lt;CT$5+GanttPeriod),"◆",IF(AND($E34&gt;=CT$5,$E34&lt;CT$5+GanttPeriod),"◇","")),IF(AND(CT$5&lt;=$F34,CT$5+GanttPeriod-1&gt;=$E34),"━","")))</f>
        <v/>
      </c>
      <c r="CU34" s="69" t="str">
        <f aca="false">IF($E34="","",IF($M34,IF(AND($G34&gt;=CU$5,$G34&lt;CU$5+GanttPeriod),"◆",IF(AND($E34&gt;=CU$5,$E34&lt;CU$5+GanttPeriod),"◇","")),IF(AND(CU$5&lt;=$F34,CU$5+GanttPeriod-1&gt;=$E34),"━","")))</f>
        <v/>
      </c>
      <c r="CV34" s="69" t="str">
        <f aca="false">IF($E34="","",IF($M34,IF(AND($G34&gt;=CV$5,$G34&lt;CV$5+GanttPeriod),"◆",IF(AND($E34&gt;=CV$5,$E34&lt;CV$5+GanttPeriod),"◇","")),IF(AND(CV$5&lt;=$F34,CV$5+GanttPeriod-1&gt;=$E34),"━","")))</f>
        <v/>
      </c>
      <c r="CW34" s="69" t="str">
        <f aca="false">IF($E34="","",IF($M34,IF(AND($G34&gt;=CW$5,$G34&lt;CW$5+GanttPeriod),"◆",IF(AND($E34&gt;=CW$5,$E34&lt;CW$5+GanttPeriod),"◇","")),IF(AND(CW$5&lt;=$F34,CW$5+GanttPeriod-1&gt;=$E34),"━","")))</f>
        <v/>
      </c>
      <c r="CX34" s="69" t="str">
        <f aca="false">IF($E34="","",IF($M34,IF(AND($G34&gt;=CX$5,$G34&lt;CX$5+GanttPeriod),"◆",IF(AND($E34&gt;=CX$5,$E34&lt;CX$5+GanttPeriod),"◇","")),IF(AND(CX$5&lt;=$F34,CX$5+GanttPeriod-1&gt;=$E34),"━","")))</f>
        <v/>
      </c>
      <c r="CY34" s="69" t="str">
        <f aca="false">IF($E34="","",IF($M34,IF(AND($G34&gt;=CY$5,$G34&lt;CY$5+GanttPeriod),"◆",IF(AND($E34&gt;=CY$5,$E34&lt;CY$5+GanttPeriod),"◇","")),IF(AND(CY$5&lt;=$F34,CY$5+GanttPeriod-1&gt;=$E34),"━","")))</f>
        <v/>
      </c>
      <c r="CZ34" s="69" t="str">
        <f aca="false">IF($E34="","",IF($M34,IF(AND($G34&gt;=CZ$5,$G34&lt;CZ$5+GanttPeriod),"◆",IF(AND($E34&gt;=CZ$5,$E34&lt;CZ$5+GanttPeriod),"◇","")),IF(AND(CZ$5&lt;=$F34,CZ$5+GanttPeriod-1&gt;=$E34),"━","")))</f>
        <v/>
      </c>
      <c r="DA34" s="69" t="str">
        <f aca="false">IF($E34="","",IF($M34,IF(AND($G34&gt;=DA$5,$G34&lt;DA$5+GanttPeriod),"◆",IF(AND($E34&gt;=DA$5,$E34&lt;DA$5+GanttPeriod),"◇","")),IF(AND(DA$5&lt;=$F34,DA$5+GanttPeriod-1&gt;=$E34),"━","")))</f>
        <v/>
      </c>
      <c r="DB34" s="69" t="str">
        <f aca="false">IF($E34="","",IF($M34,IF(AND($G34&gt;=DB$5,$G34&lt;DB$5+GanttPeriod),"◆",IF(AND($E34&gt;=DB$5,$E34&lt;DB$5+GanttPeriod),"◇","")),IF(AND(DB$5&lt;=$F34,DB$5+GanttPeriod-1&gt;=$E34),"━","")))</f>
        <v/>
      </c>
      <c r="DC34" s="69" t="str">
        <f aca="false">IF($E34="","",IF($M34,IF(AND($G34&gt;=DC$5,$G34&lt;DC$5+GanttPeriod),"◆",IF(AND($E34&gt;=DC$5,$E34&lt;DC$5+GanttPeriod),"◇","")),IF(AND(DC$5&lt;=$F34,DC$5+GanttPeriod-1&gt;=$E34),"━","")))</f>
        <v/>
      </c>
      <c r="DD34" s="69" t="str">
        <f aca="false">IF($E34="","",IF($M34,IF(AND($G34&gt;=DD$5,$G34&lt;DD$5+GanttPeriod),"◆",IF(AND($E34&gt;=DD$5,$E34&lt;DD$5+GanttPeriod),"◇","")),IF(AND(DD$5&lt;=$F34,DD$5+GanttPeriod-1&gt;=$E34),"━","")))</f>
        <v/>
      </c>
      <c r="DE34" s="69" t="str">
        <f aca="false">IF($E34="","",IF($M34,IF(AND($G34&gt;=DE$5,$G34&lt;DE$5+GanttPeriod),"◆",IF(AND($E34&gt;=DE$5,$E34&lt;DE$5+GanttPeriod),"◇","")),IF(AND(DE$5&lt;=$F34,DE$5+GanttPeriod-1&gt;=$E34),"━","")))</f>
        <v/>
      </c>
      <c r="DF34" s="69" t="str">
        <f aca="false">IF($E34="","",IF($M34,IF(AND($G34&gt;=DF$5,$G34&lt;DF$5+GanttPeriod),"◆",IF(AND($E34&gt;=DF$5,$E34&lt;DF$5+GanttPeriod),"◇","")),IF(AND(DF$5&lt;=$F34,DF$5+GanttPeriod-1&gt;=$E34),"━","")))</f>
        <v/>
      </c>
      <c r="DG34" s="69" t="str">
        <f aca="false">IF($E34="","",IF($M34,IF(AND($G34&gt;=DG$5,$G34&lt;DG$5+GanttPeriod),"◆",IF(AND($E34&gt;=DG$5,$E34&lt;DG$5+GanttPeriod),"◇","")),IF(AND(DG$5&lt;=$F34,DG$5+GanttPeriod-1&gt;=$E34),"━","")))</f>
        <v/>
      </c>
      <c r="DH34" s="69" t="str">
        <f aca="false">IF($E34="","",IF($M34,IF(AND($G34&gt;=DH$5,$G34&lt;DH$5+GanttPeriod),"◆",IF(AND($E34&gt;=DH$5,$E34&lt;DH$5+GanttPeriod),"◇","")),IF(AND(DH$5&lt;=$F34,DH$5+GanttPeriod-1&gt;=$E34),"━","")))</f>
        <v/>
      </c>
      <c r="DI34" s="69" t="str">
        <f aca="false">IF($E34="","",IF($M34,IF(AND($G34&gt;=DI$5,$G34&lt;DI$5+GanttPeriod),"◆",IF(AND($E34&gt;=DI$5,$E34&lt;DI$5+GanttPeriod),"◇","")),IF(AND(DI$5&lt;=$F34,DI$5+GanttPeriod-1&gt;=$E34),"━","")))</f>
        <v/>
      </c>
      <c r="DJ34" s="69" t="str">
        <f aca="false">IF($E34="","",IF($M34,IF(AND($G34&gt;=DJ$5,$G34&lt;DJ$5+GanttPeriod),"◆",IF(AND($E34&gt;=DJ$5,$E34&lt;DJ$5+GanttPeriod),"◇","")),IF(AND(DJ$5&lt;=$F34,DJ$5+GanttPeriod-1&gt;=$E34),"━","")))</f>
        <v/>
      </c>
      <c r="DK34" s="69" t="str">
        <f aca="false">IF($E34="","",IF($M34,IF(AND($G34&gt;=DK$5,$G34&lt;DK$5+GanttPeriod),"◆",IF(AND($E34&gt;=DK$5,$E34&lt;DK$5+GanttPeriod),"◇","")),IF(AND(DK$5&lt;=$F34,DK$5+GanttPeriod-1&gt;=$E34),"━","")))</f>
        <v/>
      </c>
      <c r="DL34" s="69" t="str">
        <f aca="false">IF($E34="","",IF($M34,IF(AND($G34&gt;=DL$5,$G34&lt;DL$5+GanttPeriod),"◆",IF(AND($E34&gt;=DL$5,$E34&lt;DL$5+GanttPeriod),"◇","")),IF(AND(DL$5&lt;=$F34,DL$5+GanttPeriod-1&gt;=$E34),"━","")))</f>
        <v/>
      </c>
      <c r="DM34" s="69" t="str">
        <f aca="false">IF($E34="","",IF($M34,IF(AND($G34&gt;=DM$5,$G34&lt;DM$5+GanttPeriod),"◆",IF(AND($E34&gt;=DM$5,$E34&lt;DM$5+GanttPeriod),"◇","")),IF(AND(DM$5&lt;=$F34,DM$5+GanttPeriod-1&gt;=$E34),"━","")))</f>
        <v/>
      </c>
      <c r="DN34" s="69" t="str">
        <f aca="false">IF($E34="","",IF($M34,IF(AND($G34&gt;=DN$5,$G34&lt;DN$5+GanttPeriod),"◆",IF(AND($E34&gt;=DN$5,$E34&lt;DN$5+GanttPeriod),"◇","")),IF(AND(DN$5&lt;=$F34,DN$5+GanttPeriod-1&gt;=$E34),"━","")))</f>
        <v/>
      </c>
      <c r="DO34" s="69" t="str">
        <f aca="false">IF($E34="","",IF($M34,IF(AND($G34&gt;=DO$5,$G34&lt;DO$5+GanttPeriod),"◆",IF(AND($E34&gt;=DO$5,$E34&lt;DO$5+GanttPeriod),"◇","")),IF(AND(DO$5&lt;=$F34,DO$5+GanttPeriod-1&gt;=$E34),"━","")))</f>
        <v/>
      </c>
      <c r="DP34" s="69" t="str">
        <f aca="false">IF($E34="","",IF($M34,IF(AND($G34&gt;=DP$5,$G34&lt;DP$5+GanttPeriod),"◆",IF(AND($E34&gt;=DP$5,$E34&lt;DP$5+GanttPeriod),"◇","")),IF(AND(DP$5&lt;=$F34,DP$5+GanttPeriod-1&gt;=$E34),"━","")))</f>
        <v/>
      </c>
      <c r="DQ34" s="69" t="str">
        <f aca="false">IF($E34="","",IF($M34,IF(AND($G34&gt;=DQ$5,$G34&lt;DQ$5+GanttPeriod),"◆",IF(AND($E34&gt;=DQ$5,$E34&lt;DQ$5+GanttPeriod),"◇","")),IF(AND(DQ$5&lt;=$F34,DQ$5+GanttPeriod-1&gt;=$E34),"━","")))</f>
        <v/>
      </c>
      <c r="DR34" s="69" t="str">
        <f aca="false">IF($E34="","",IF($M34,IF(AND($G34&gt;=DR$5,$G34&lt;DR$5+GanttPeriod),"◆",IF(AND($E34&gt;=DR$5,$E34&lt;DR$5+GanttPeriod),"◇","")),IF(AND(DR$5&lt;=$F34,DR$5+GanttPeriod-1&gt;=$E34),"━","")))</f>
        <v/>
      </c>
      <c r="DS34" s="69" t="str">
        <f aca="false">IF($E34="","",IF($M34,IF(AND($G34&gt;=DS$5,$G34&lt;DS$5+GanttPeriod),"◆",IF(AND($E34&gt;=DS$5,$E34&lt;DS$5+GanttPeriod),"◇","")),IF(AND(DS$5&lt;=$F34,DS$5+GanttPeriod-1&gt;=$E34),"━","")))</f>
        <v/>
      </c>
      <c r="DT34" s="69" t="str">
        <f aca="false">IF($E34="","",IF($M34,IF(AND($G34&gt;=DT$5,$G34&lt;DT$5+GanttPeriod),"◆",IF(AND($E34&gt;=DT$5,$E34&lt;DT$5+GanttPeriod),"◇","")),IF(AND(DT$5&lt;=$F34,DT$5+GanttPeriod-1&gt;=$E34),"━","")))</f>
        <v/>
      </c>
      <c r="DU34" s="69" t="str">
        <f aca="false">IF($E34="","",IF($M34,IF(AND($G34&gt;=DU$5,$G34&lt;DU$5+GanttPeriod),"◆",IF(AND($E34&gt;=DU$5,$E34&lt;DU$5+GanttPeriod),"◇","")),IF(AND(DU$5&lt;=$F34,DU$5+GanttPeriod-1&gt;=$E34),"━","")))</f>
        <v/>
      </c>
      <c r="DV34" s="69" t="str">
        <f aca="false">IF($E34="","",IF($M34,IF(AND($G34&gt;=DV$5,$G34&lt;DV$5+GanttPeriod),"◆",IF(AND($E34&gt;=DV$5,$E34&lt;DV$5+GanttPeriod),"◇","")),IF(AND(DV$5&lt;=$F34,DV$5+GanttPeriod-1&gt;=$E34),"━","")))</f>
        <v/>
      </c>
      <c r="DW34" s="69" t="str">
        <f aca="false">IF($E34="","",IF($M34,IF(AND($G34&gt;=DW$5,$G34&lt;DW$5+GanttPeriod),"◆",IF(AND($E34&gt;=DW$5,$E34&lt;DW$5+GanttPeriod),"◇","")),IF(AND(DW$5&lt;=$F34,DW$5+GanttPeriod-1&gt;=$E34),"━","")))</f>
        <v/>
      </c>
      <c r="DX34" s="69" t="str">
        <f aca="false">IF($E34="","",IF($M34,IF(AND($G34&gt;=DX$5,$G34&lt;DX$5+GanttPeriod),"◆",IF(AND($E34&gt;=DX$5,$E34&lt;DX$5+GanttPeriod),"◇","")),IF(AND(DX$5&lt;=$F34,DX$5+GanttPeriod-1&gt;=$E34),"━","")))</f>
        <v/>
      </c>
      <c r="DY34" s="69" t="str">
        <f aca="false">IF($E34="","",IF($M34,IF(AND($G34&gt;=DY$5,$G34&lt;DY$5+GanttPeriod),"◆",IF(AND($E34&gt;=DY$5,$E34&lt;DY$5+GanttPeriod),"◇","")),IF(AND(DY$5&lt;=$F34,DY$5+GanttPeriod-1&gt;=$E34),"━","")))</f>
        <v/>
      </c>
      <c r="DZ34" s="69" t="str">
        <f aca="false">IF($E34="","",IF($M34,IF(AND($G34&gt;=DZ$5,$G34&lt;DZ$5+GanttPeriod),"◆",IF(AND($E34&gt;=DZ$5,$E34&lt;DZ$5+GanttPeriod),"◇","")),IF(AND(DZ$5&lt;=$F34,DZ$5+GanttPeriod-1&gt;=$E34),"━","")))</f>
        <v/>
      </c>
      <c r="EA34" s="69" t="str">
        <f aca="false">IF($E34="","",IF($M34,IF(AND($G34&gt;=EA$5,$G34&lt;EA$5+GanttPeriod),"◆",IF(AND($E34&gt;=EA$5,$E34&lt;EA$5+GanttPeriod),"◇","")),IF(AND(EA$5&lt;=$F34,EA$5+GanttPeriod-1&gt;=$E34),"━","")))</f>
        <v/>
      </c>
      <c r="EB34" s="69" t="str">
        <f aca="false">IF($E34="","",IF($M34,IF(AND($G34&gt;=EB$5,$G34&lt;EB$5+GanttPeriod),"◆",IF(AND($E34&gt;=EB$5,$E34&lt;EB$5+GanttPeriod),"◇","")),IF(AND(EB$5&lt;=$F34,EB$5+GanttPeriod-1&gt;=$E34),"━","")))</f>
        <v/>
      </c>
      <c r="EC34" s="69" t="str">
        <f aca="false">IF($E34="","",IF($M34,IF(AND($G34&gt;=EC$5,$G34&lt;EC$5+GanttPeriod),"◆",IF(AND($E34&gt;=EC$5,$E34&lt;EC$5+GanttPeriod),"◇","")),IF(AND(EC$5&lt;=$F34,EC$5+GanttPeriod-1&gt;=$E34),"━","")))</f>
        <v/>
      </c>
      <c r="ED34" s="69" t="str">
        <f aca="false">IF($E34="","",IF($M34,IF(AND($G34&gt;=ED$5,$G34&lt;ED$5+GanttPeriod),"◆",IF(AND($E34&gt;=ED$5,$E34&lt;ED$5+GanttPeriod),"◇","")),IF(AND(ED$5&lt;=$F34,ED$5+GanttPeriod-1&gt;=$E34),"━","")))</f>
        <v/>
      </c>
      <c r="EE34" s="69" t="str">
        <f aca="false">IF($E34="","",IF($M34,IF(AND($G34&gt;=EE$5,$G34&lt;EE$5+GanttPeriod),"◆",IF(AND($E34&gt;=EE$5,$E34&lt;EE$5+GanttPeriod),"◇","")),IF(AND(EE$5&lt;=$F34,EE$5+GanttPeriod-1&gt;=$E34),"━","")))</f>
        <v/>
      </c>
      <c r="EF34" s="69" t="str">
        <f aca="false">IF($E34="","",IF($M34,IF(AND($G34&gt;=EF$5,$G34&lt;EF$5+GanttPeriod),"◆",IF(AND($E34&gt;=EF$5,$E34&lt;EF$5+GanttPeriod),"◇","")),IF(AND(EF$5&lt;=$F34,EF$5+GanttPeriod-1&gt;=$E34),"━","")))</f>
        <v/>
      </c>
      <c r="EG34" s="69" t="str">
        <f aca="false">IF($E34="","",IF($M34,IF(AND($G34&gt;=EG$5,$G34&lt;EG$5+GanttPeriod),"◆",IF(AND($E34&gt;=EG$5,$E34&lt;EG$5+GanttPeriod),"◇","")),IF(AND(EG$5&lt;=$F34,EG$5+GanttPeriod-1&gt;=$E34),"━","")))</f>
        <v/>
      </c>
      <c r="EH34" s="69" t="str">
        <f aca="false">IF($E34="","",IF($M34,IF(AND($G34&gt;=EH$5,$G34&lt;EH$5+GanttPeriod),"◆",IF(AND($E34&gt;=EH$5,$E34&lt;EH$5+GanttPeriod),"◇","")),IF(AND(EH$5&lt;=$F34,EH$5+GanttPeriod-1&gt;=$E34),"━","")))</f>
        <v/>
      </c>
      <c r="EI34" s="69" t="str">
        <f aca="false">IF($E34="","",IF($M34,IF(AND($G34&gt;=EI$5,$G34&lt;EI$5+GanttPeriod),"◆",IF(AND($E34&gt;=EI$5,$E34&lt;EI$5+GanttPeriod),"◇","")),IF(AND(EI$5&lt;=$F34,EI$5+GanttPeriod-1&gt;=$E34),"━","")))</f>
        <v/>
      </c>
      <c r="EJ34" s="69" t="str">
        <f aca="false">IF($E34="","",IF($M34,IF(AND($G34&gt;=EJ$5,$G34&lt;EJ$5+GanttPeriod),"◆",IF(AND($E34&gt;=EJ$5,$E34&lt;EJ$5+GanttPeriod),"◇","")),IF(AND(EJ$5&lt;=$F34,EJ$5+GanttPeriod-1&gt;=$E34),"━","")))</f>
        <v>━</v>
      </c>
      <c r="EK34" s="69" t="str">
        <f aca="false">IF($E34="","",IF($M34,IF(AND($G34&gt;=EK$5,$G34&lt;EK$5+GanttPeriod),"◆",IF(AND($E34&gt;=EK$5,$E34&lt;EK$5+GanttPeriod),"◇","")),IF(AND(EK$5&lt;=$F34,EK$5+GanttPeriod-1&gt;=$E34),"━","")))</f>
        <v>━</v>
      </c>
      <c r="EL34" s="69" t="str">
        <f aca="false">IF($E34="","",IF($M34,IF(AND($G34&gt;=EL$5,$G34&lt;EL$5+GanttPeriod),"◆",IF(AND($E34&gt;=EL$5,$E34&lt;EL$5+GanttPeriod),"◇","")),IF(AND(EL$5&lt;=$F34,EL$5+GanttPeriod-1&gt;=$E34),"━","")))</f>
        <v/>
      </c>
      <c r="EM34" s="69" t="str">
        <f aca="false">IF($E34="","",IF($M34,IF(AND($G34&gt;=EM$5,$G34&lt;EM$5+GanttPeriod),"◆",IF(AND($E34&gt;=EM$5,$E34&lt;EM$5+GanttPeriod),"◇","")),IF(AND(EM$5&lt;=$F34,EM$5+GanttPeriod-1&gt;=$E34),"━","")))</f>
        <v/>
      </c>
      <c r="EN34" s="69" t="str">
        <f aca="false">IF($E34="","",IF($M34,IF(AND($G34&gt;=EN$5,$G34&lt;EN$5+GanttPeriod),"◆",IF(AND($E34&gt;=EN$5,$E34&lt;EN$5+GanttPeriod),"◇","")),IF(AND(EN$5&lt;=$F34,EN$5+GanttPeriod-1&gt;=$E34),"━","")))</f>
        <v/>
      </c>
      <c r="EO34" s="69" t="str">
        <f aca="false">IF($E34="","",IF($M34,IF(AND($G34&gt;=EO$5,$G34&lt;EO$5+GanttPeriod),"◆",IF(AND($E34&gt;=EO$5,$E34&lt;EO$5+GanttPeriod),"◇","")),IF(AND(EO$5&lt;=$F34,EO$5+GanttPeriod-1&gt;=$E34),"━","")))</f>
        <v/>
      </c>
      <c r="EP34" s="69" t="str">
        <f aca="false">IF($E34="","",IF($M34,IF(AND($G34&gt;=EP$5,$G34&lt;EP$5+GanttPeriod),"◆",IF(AND($E34&gt;=EP$5,$E34&lt;EP$5+GanttPeriod),"◇","")),IF(AND(EP$5&lt;=$F34,EP$5+GanttPeriod-1&gt;=$E34),"━","")))</f>
        <v/>
      </c>
      <c r="EQ34" s="69" t="str">
        <f aca="false">IF($E34="","",IF($M34,IF(AND($G34&gt;=EQ$5,$G34&lt;EQ$5+GanttPeriod),"◆",IF(AND($E34&gt;=EQ$5,$E34&lt;EQ$5+GanttPeriod),"◇","")),IF(AND(EQ$5&lt;=$F34,EQ$5+GanttPeriod-1&gt;=$E34),"━","")))</f>
        <v/>
      </c>
      <c r="ER34" s="69" t="str">
        <f aca="false">IF($E34="","",IF($M34,IF(AND($G34&gt;=ER$5,$G34&lt;ER$5+GanttPeriod),"◆",IF(AND($E34&gt;=ER$5,$E34&lt;ER$5+GanttPeriod),"◇","")),IF(AND(ER$5&lt;=$F34,ER$5+GanttPeriod-1&gt;=$E34),"━","")))</f>
        <v/>
      </c>
      <c r="ES34" s="69" t="str">
        <f aca="false">IF($E34="","",IF($M34,IF(AND($G34&gt;=ES$5,$G34&lt;ES$5+GanttPeriod),"◆",IF(AND($E34&gt;=ES$5,$E34&lt;ES$5+GanttPeriod),"◇","")),IF(AND(ES$5&lt;=$F34,ES$5+GanttPeriod-1&gt;=$E34),"━","")))</f>
        <v/>
      </c>
      <c r="ET34" s="69" t="str">
        <f aca="false">IF($E34="","",IF($M34,IF(AND($G34&gt;=ET$5,$G34&lt;ET$5+GanttPeriod),"◆",IF(AND($E34&gt;=ET$5,$E34&lt;ET$5+GanttPeriod),"◇","")),IF(AND(ET$5&lt;=$F34,ET$5+GanttPeriod-1&gt;=$E34),"━","")))</f>
        <v/>
      </c>
      <c r="EU34" s="69" t="str">
        <f aca="false">IF($E34="","",IF($M34,IF(AND($G34&gt;=EU$5,$G34&lt;EU$5+GanttPeriod),"◆",IF(AND($E34&gt;=EU$5,$E34&lt;EU$5+GanttPeriod),"◇","")),IF(AND(EU$5&lt;=$F34,EU$5+GanttPeriod-1&gt;=$E34),"━","")))</f>
        <v/>
      </c>
      <c r="EV34" s="69" t="str">
        <f aca="false">IF($E34="","",IF($M34,IF(AND($G34&gt;=EV$5,$G34&lt;EV$5+GanttPeriod),"◆",IF(AND($E34&gt;=EV$5,$E34&lt;EV$5+GanttPeriod),"◇","")),IF(AND(EV$5&lt;=$F34,EV$5+GanttPeriod-1&gt;=$E34),"━","")))</f>
        <v/>
      </c>
      <c r="EW34" s="69" t="str">
        <f aca="false">IF($E34="","",IF($M34,IF(AND($G34&gt;=EW$5,$G34&lt;EW$5+GanttPeriod),"◆",IF(AND($E34&gt;=EW$5,$E34&lt;EW$5+GanttPeriod),"◇","")),IF(AND(EW$5&lt;=$F34,EW$5+GanttPeriod-1&gt;=$E34),"━","")))</f>
        <v/>
      </c>
      <c r="EX34" s="69" t="str">
        <f aca="false">IF($E34="","",IF($M34,IF(AND($G34&gt;=EX$5,$G34&lt;EX$5+GanttPeriod),"◆",IF(AND($E34&gt;=EX$5,$E34&lt;EX$5+GanttPeriod),"◇","")),IF(AND(EX$5&lt;=$F34,EX$5+GanttPeriod-1&gt;=$E34),"━","")))</f>
        <v/>
      </c>
      <c r="EY34" s="69" t="str">
        <f aca="false">IF($E34="","",IF($M34,IF(AND($G34&gt;=EY$5,$G34&lt;EY$5+GanttPeriod),"◆",IF(AND($E34&gt;=EY$5,$E34&lt;EY$5+GanttPeriod),"◇","")),IF(AND(EY$5&lt;=$F34,EY$5+GanttPeriod-1&gt;=$E34),"━","")))</f>
        <v/>
      </c>
      <c r="EZ34" s="69" t="str">
        <f aca="false">IF($E34="","",IF($M34,IF(AND($G34&gt;=EZ$5,$G34&lt;EZ$5+GanttPeriod),"◆",IF(AND($E34&gt;=EZ$5,$E34&lt;EZ$5+GanttPeriod),"◇","")),IF(AND(EZ$5&lt;=$F34,EZ$5+GanttPeriod-1&gt;=$E34),"━","")))</f>
        <v/>
      </c>
      <c r="FA34" s="69" t="str">
        <f aca="false">IF($E34="","",IF($M34,IF(AND($G34&gt;=FA$5,$G34&lt;FA$5+GanttPeriod),"◆",IF(AND($E34&gt;=FA$5,$E34&lt;FA$5+GanttPeriod),"◇","")),IF(AND(FA$5&lt;=$F34,FA$5+GanttPeriod-1&gt;=$E34),"━","")))</f>
        <v/>
      </c>
      <c r="FB34" s="69" t="str">
        <f aca="false">IF($E34="","",IF($M34,IF(AND($G34&gt;=FB$5,$G34&lt;FB$5+GanttPeriod),"◆",IF(AND($E34&gt;=FB$5,$E34&lt;FB$5+GanttPeriod),"◇","")),IF(AND(FB$5&lt;=$F34,FB$5+GanttPeriod-1&gt;=$E34),"━","")))</f>
        <v/>
      </c>
      <c r="FC34" s="69" t="str">
        <f aca="false">IF($E34="","",IF($M34,IF(AND($G34&gt;=FC$5,$G34&lt;FC$5+GanttPeriod),"◆",IF(AND($E34&gt;=FC$5,$E34&lt;FC$5+GanttPeriod),"◇","")),IF(AND(FC$5&lt;=$F34,FC$5+GanttPeriod-1&gt;=$E34),"━","")))</f>
        <v/>
      </c>
      <c r="FD34" s="69" t="str">
        <f aca="false">IF($E34="","",IF($M34,IF(AND($G34&gt;=FD$5,$G34&lt;FD$5+GanttPeriod),"◆",IF(AND($E34&gt;=FD$5,$E34&lt;FD$5+GanttPeriod),"◇","")),IF(AND(FD$5&lt;=$F34,FD$5+GanttPeriod-1&gt;=$E34),"━","")))</f>
        <v/>
      </c>
      <c r="FE34" s="69" t="str">
        <f aca="false">IF($E34="","",IF($M34,IF(AND($G34&gt;=FE$5,$G34&lt;FE$5+GanttPeriod),"◆",IF(AND($E34&gt;=FE$5,$E34&lt;FE$5+GanttPeriod),"◇","")),IF(AND(FE$5&lt;=$F34,FE$5+GanttPeriod-1&gt;=$E34),"━","")))</f>
        <v/>
      </c>
      <c r="FF34" s="69" t="str">
        <f aca="false">IF($E34="","",IF($M34,IF(AND($G34&gt;=FF$5,$G34&lt;FF$5+GanttPeriod),"◆",IF(AND($E34&gt;=FF$5,$E34&lt;FF$5+GanttPeriod),"◇","")),IF(AND(FF$5&lt;=$F34,FF$5+GanttPeriod-1&gt;=$E34),"━","")))</f>
        <v/>
      </c>
      <c r="FG34" s="69" t="str">
        <f aca="false">IF($E34="","",IF($M34,IF(AND($G34&gt;=FG$5,$G34&lt;FG$5+GanttPeriod),"◆",IF(AND($E34&gt;=FG$5,$E34&lt;FG$5+GanttPeriod),"◇","")),IF(AND(FG$5&lt;=$F34,FG$5+GanttPeriod-1&gt;=$E34),"━","")))</f>
        <v/>
      </c>
      <c r="FH34" s="69" t="str">
        <f aca="false">IF($E34="","",IF($M34,IF(AND($G34&gt;=FH$5,$G34&lt;FH$5+GanttPeriod),"◆",IF(AND($E34&gt;=FH$5,$E34&lt;FH$5+GanttPeriod),"◇","")),IF(AND(FH$5&lt;=$F34,FH$5+GanttPeriod-1&gt;=$E34),"━","")))</f>
        <v/>
      </c>
      <c r="FI34" s="69" t="str">
        <f aca="false">IF($E34="","",IF($M34,IF(AND($G34&gt;=FI$5,$G34&lt;FI$5+GanttPeriod),"◆",IF(AND($E34&gt;=FI$5,$E34&lt;FI$5+GanttPeriod),"◇","")),IF(AND(FI$5&lt;=$F34,FI$5+GanttPeriod-1&gt;=$E34),"━","")))</f>
        <v/>
      </c>
      <c r="FJ34" s="69" t="str">
        <f aca="false">IF($E34="","",IF($M34,IF(AND($G34&gt;=FJ$5,$G34&lt;FJ$5+GanttPeriod),"◆",IF(AND($E34&gt;=FJ$5,$E34&lt;FJ$5+GanttPeriod),"◇","")),IF(AND(FJ$5&lt;=$F34,FJ$5+GanttPeriod-1&gt;=$E34),"━","")))</f>
        <v/>
      </c>
      <c r="FK34" s="69" t="str">
        <f aca="false">IF($E34="","",IF($M34,IF(AND($G34&gt;=FK$5,$G34&lt;FK$5+GanttPeriod),"◆",IF(AND($E34&gt;=FK$5,$E34&lt;FK$5+GanttPeriod),"◇","")),IF(AND(FK$5&lt;=$F34,FK$5+GanttPeriod-1&gt;=$E34),"━","")))</f>
        <v/>
      </c>
      <c r="FL34" s="69" t="str">
        <f aca="false">IF($E34="","",IF($M34,IF(AND($G34&gt;=FL$5,$G34&lt;FL$5+GanttPeriod),"◆",IF(AND($E34&gt;=FL$5,$E34&lt;FL$5+GanttPeriod),"◇","")),IF(AND(FL$5&lt;=$F34,FL$5+GanttPeriod-1&gt;=$E34),"━","")))</f>
        <v/>
      </c>
      <c r="FM34" s="69" t="str">
        <f aca="false">IF($E34="","",IF($M34,IF(AND($G34&gt;=FM$5,$G34&lt;FM$5+GanttPeriod),"◆",IF(AND($E34&gt;=FM$5,$E34&lt;FM$5+GanttPeriod),"◇","")),IF(AND(FM$5&lt;=$F34,FM$5+GanttPeriod-1&gt;=$E34),"━","")))</f>
        <v/>
      </c>
    </row>
    <row r="35" customFormat="false" ht="15" hidden="false" customHeight="false" outlineLevel="0" collapsed="false">
      <c r="A35" s="62" t="n">
        <f aca="false">IF(Tasks!$D35="","",Tasks!$A35)</f>
        <v>30</v>
      </c>
      <c r="B35" s="62" t="str">
        <f aca="false">IF(Tasks!$D35="","",Tasks!$B35)</f>
        <v>5.3</v>
      </c>
      <c r="C35" s="63" t="str">
        <f aca="false">IF(Tasks!$D35="","",REPT("    ",Tasks!$AE35-1)&amp;Tasks!$D35)</f>
        <v>    Project closed</v>
      </c>
      <c r="D35" s="62" t="n">
        <f aca="false">IF(Tasks!$D35="","",IF(Tasks!$AI35,NETWORKDAYS.INTL(Tasks!$R35,Tasks!$S35,WorkWeek,Holidays),N(Tasks!$F35)))</f>
        <v>0</v>
      </c>
      <c r="E35" s="64" t="n">
        <f aca="false">IF(Tasks!$D35="","",Tasks!$N35)</f>
        <v>46393</v>
      </c>
      <c r="F35" s="64" t="n">
        <f aca="false">IF(Tasks!$D35="","",Tasks!$O35)</f>
        <v>46393</v>
      </c>
      <c r="G35" s="64" t="n">
        <f aca="false">IF(Tasks!$D35="","",Tasks!$R35)</f>
        <v>46393</v>
      </c>
      <c r="H35" s="64" t="n">
        <f aca="false">IF(Tasks!$D35="","",Tasks!$S35)</f>
        <v>46393</v>
      </c>
      <c r="I35" s="65" t="n">
        <f aca="false">IF(Tasks!$D35="","",Tasks!$V35)</f>
        <v>0</v>
      </c>
      <c r="J35" s="63" t="str">
        <f aca="false">IF(Tasks!$D35="","",Tasks!$X35&amp;"")</f>
        <v/>
      </c>
      <c r="K35" s="66" t="str">
        <f aca="false">IF(Tasks!$D35="","",Tasks!$W35)</f>
        <v>Not Started</v>
      </c>
      <c r="L35" s="67" t="b">
        <f aca="false">IF(Tasks!$D35="",FALSE(),Tasks!$AI35)</f>
        <v>0</v>
      </c>
      <c r="M35" s="67" t="b">
        <f aca="false">AND(Tasks!$AJ35=1,N(Tasks!$F35)=0)</f>
        <v>1</v>
      </c>
      <c r="N35" s="68" t="n">
        <f aca="false">IF(AND(Tasks!$AJ35=1,NOT($M35),N($I35)&gt;0),$G35,0)</f>
        <v>0</v>
      </c>
      <c r="O35" s="68" t="n">
        <f aca="false">IF($N35=0,0,IF($I35&gt;=1,$H35,MAX($N35,$G35+ROUND(($H35-$G35+1)*$I35,0)-1)))</f>
        <v>0</v>
      </c>
      <c r="P35" s="68" t="n">
        <f aca="false">IF(OR(Tasks!$AJ35&lt;&gt;1,$M35,N($I35)&gt;=1),0,IF($O35&gt;0,$O35+1,$G35))</f>
        <v>0</v>
      </c>
      <c r="Q35" s="68" t="n">
        <f aca="false">IF($P35=0,0,$H35)</f>
        <v>0</v>
      </c>
      <c r="R35" s="67" t="b">
        <f aca="false">AND(Tasks!$D35&lt;&gt;"",N(Tasks!$T35)&gt;0)</f>
        <v>0</v>
      </c>
      <c r="T35" s="69" t="str">
        <f aca="false">IF($E35="","",IF($M35,IF(AND($G35&gt;=T$5,$G35&lt;T$5+GanttPeriod),"◆",IF(AND($E35&gt;=T$5,$E35&lt;T$5+GanttPeriod),"◇","")),IF(AND(T$5&lt;=$F35,T$5+GanttPeriod-1&gt;=$E35),"━","")))</f>
        <v/>
      </c>
      <c r="U35" s="69" t="str">
        <f aca="false">IF($E35="","",IF($M35,IF(AND($G35&gt;=U$5,$G35&lt;U$5+GanttPeriod),"◆",IF(AND($E35&gt;=U$5,$E35&lt;U$5+GanttPeriod),"◇","")),IF(AND(U$5&lt;=$F35,U$5+GanttPeriod-1&gt;=$E35),"━","")))</f>
        <v/>
      </c>
      <c r="V35" s="69" t="str">
        <f aca="false">IF($E35="","",IF($M35,IF(AND($G35&gt;=V$5,$G35&lt;V$5+GanttPeriod),"◆",IF(AND($E35&gt;=V$5,$E35&lt;V$5+GanttPeriod),"◇","")),IF(AND(V$5&lt;=$F35,V$5+GanttPeriod-1&gt;=$E35),"━","")))</f>
        <v/>
      </c>
      <c r="W35" s="69" t="str">
        <f aca="false">IF($E35="","",IF($M35,IF(AND($G35&gt;=W$5,$G35&lt;W$5+GanttPeriod),"◆",IF(AND($E35&gt;=W$5,$E35&lt;W$5+GanttPeriod),"◇","")),IF(AND(W$5&lt;=$F35,W$5+GanttPeriod-1&gt;=$E35),"━","")))</f>
        <v/>
      </c>
      <c r="X35" s="69" t="str">
        <f aca="false">IF($E35="","",IF($M35,IF(AND($G35&gt;=X$5,$G35&lt;X$5+GanttPeriod),"◆",IF(AND($E35&gt;=X$5,$E35&lt;X$5+GanttPeriod),"◇","")),IF(AND(X$5&lt;=$F35,X$5+GanttPeriod-1&gt;=$E35),"━","")))</f>
        <v/>
      </c>
      <c r="Y35" s="69" t="str">
        <f aca="false">IF($E35="","",IF($M35,IF(AND($G35&gt;=Y$5,$G35&lt;Y$5+GanttPeriod),"◆",IF(AND($E35&gt;=Y$5,$E35&lt;Y$5+GanttPeriod),"◇","")),IF(AND(Y$5&lt;=$F35,Y$5+GanttPeriod-1&gt;=$E35),"━","")))</f>
        <v/>
      </c>
      <c r="Z35" s="69" t="str">
        <f aca="false">IF($E35="","",IF($M35,IF(AND($G35&gt;=Z$5,$G35&lt;Z$5+GanttPeriod),"◆",IF(AND($E35&gt;=Z$5,$E35&lt;Z$5+GanttPeriod),"◇","")),IF(AND(Z$5&lt;=$F35,Z$5+GanttPeriod-1&gt;=$E35),"━","")))</f>
        <v/>
      </c>
      <c r="AA35" s="69" t="str">
        <f aca="false">IF($E35="","",IF($M35,IF(AND($G35&gt;=AA$5,$G35&lt;AA$5+GanttPeriod),"◆",IF(AND($E35&gt;=AA$5,$E35&lt;AA$5+GanttPeriod),"◇","")),IF(AND(AA$5&lt;=$F35,AA$5+GanttPeriod-1&gt;=$E35),"━","")))</f>
        <v/>
      </c>
      <c r="AB35" s="69" t="str">
        <f aca="false">IF($E35="","",IF($M35,IF(AND($G35&gt;=AB$5,$G35&lt;AB$5+GanttPeriod),"◆",IF(AND($E35&gt;=AB$5,$E35&lt;AB$5+GanttPeriod),"◇","")),IF(AND(AB$5&lt;=$F35,AB$5+GanttPeriod-1&gt;=$E35),"━","")))</f>
        <v/>
      </c>
      <c r="AC35" s="69" t="str">
        <f aca="false">IF($E35="","",IF($M35,IF(AND($G35&gt;=AC$5,$G35&lt;AC$5+GanttPeriod),"◆",IF(AND($E35&gt;=AC$5,$E35&lt;AC$5+GanttPeriod),"◇","")),IF(AND(AC$5&lt;=$F35,AC$5+GanttPeriod-1&gt;=$E35),"━","")))</f>
        <v/>
      </c>
      <c r="AD35" s="69" t="str">
        <f aca="false">IF($E35="","",IF($M35,IF(AND($G35&gt;=AD$5,$G35&lt;AD$5+GanttPeriod),"◆",IF(AND($E35&gt;=AD$5,$E35&lt;AD$5+GanttPeriod),"◇","")),IF(AND(AD$5&lt;=$F35,AD$5+GanttPeriod-1&gt;=$E35),"━","")))</f>
        <v/>
      </c>
      <c r="AE35" s="69" t="str">
        <f aca="false">IF($E35="","",IF($M35,IF(AND($G35&gt;=AE$5,$G35&lt;AE$5+GanttPeriod),"◆",IF(AND($E35&gt;=AE$5,$E35&lt;AE$5+GanttPeriod),"◇","")),IF(AND(AE$5&lt;=$F35,AE$5+GanttPeriod-1&gt;=$E35),"━","")))</f>
        <v/>
      </c>
      <c r="AF35" s="69" t="str">
        <f aca="false">IF($E35="","",IF($M35,IF(AND($G35&gt;=AF$5,$G35&lt;AF$5+GanttPeriod),"◆",IF(AND($E35&gt;=AF$5,$E35&lt;AF$5+GanttPeriod),"◇","")),IF(AND(AF$5&lt;=$F35,AF$5+GanttPeriod-1&gt;=$E35),"━","")))</f>
        <v/>
      </c>
      <c r="AG35" s="69" t="str">
        <f aca="false">IF($E35="","",IF($M35,IF(AND($G35&gt;=AG$5,$G35&lt;AG$5+GanttPeriod),"◆",IF(AND($E35&gt;=AG$5,$E35&lt;AG$5+GanttPeriod),"◇","")),IF(AND(AG$5&lt;=$F35,AG$5+GanttPeriod-1&gt;=$E35),"━","")))</f>
        <v/>
      </c>
      <c r="AH35" s="69" t="str">
        <f aca="false">IF($E35="","",IF($M35,IF(AND($G35&gt;=AH$5,$G35&lt;AH$5+GanttPeriod),"◆",IF(AND($E35&gt;=AH$5,$E35&lt;AH$5+GanttPeriod),"◇","")),IF(AND(AH$5&lt;=$F35,AH$5+GanttPeriod-1&gt;=$E35),"━","")))</f>
        <v/>
      </c>
      <c r="AI35" s="69" t="str">
        <f aca="false">IF($E35="","",IF($M35,IF(AND($G35&gt;=AI$5,$G35&lt;AI$5+GanttPeriod),"◆",IF(AND($E35&gt;=AI$5,$E35&lt;AI$5+GanttPeriod),"◇","")),IF(AND(AI$5&lt;=$F35,AI$5+GanttPeriod-1&gt;=$E35),"━","")))</f>
        <v/>
      </c>
      <c r="AJ35" s="69" t="str">
        <f aca="false">IF($E35="","",IF($M35,IF(AND($G35&gt;=AJ$5,$G35&lt;AJ$5+GanttPeriod),"◆",IF(AND($E35&gt;=AJ$5,$E35&lt;AJ$5+GanttPeriod),"◇","")),IF(AND(AJ$5&lt;=$F35,AJ$5+GanttPeriod-1&gt;=$E35),"━","")))</f>
        <v/>
      </c>
      <c r="AK35" s="69" t="str">
        <f aca="false">IF($E35="","",IF($M35,IF(AND($G35&gt;=AK$5,$G35&lt;AK$5+GanttPeriod),"◆",IF(AND($E35&gt;=AK$5,$E35&lt;AK$5+GanttPeriod),"◇","")),IF(AND(AK$5&lt;=$F35,AK$5+GanttPeriod-1&gt;=$E35),"━","")))</f>
        <v/>
      </c>
      <c r="AL35" s="69" t="str">
        <f aca="false">IF($E35="","",IF($M35,IF(AND($G35&gt;=AL$5,$G35&lt;AL$5+GanttPeriod),"◆",IF(AND($E35&gt;=AL$5,$E35&lt;AL$5+GanttPeriod),"◇","")),IF(AND(AL$5&lt;=$F35,AL$5+GanttPeriod-1&gt;=$E35),"━","")))</f>
        <v/>
      </c>
      <c r="AM35" s="69" t="str">
        <f aca="false">IF($E35="","",IF($M35,IF(AND($G35&gt;=AM$5,$G35&lt;AM$5+GanttPeriod),"◆",IF(AND($E35&gt;=AM$5,$E35&lt;AM$5+GanttPeriod),"◇","")),IF(AND(AM$5&lt;=$F35,AM$5+GanttPeriod-1&gt;=$E35),"━","")))</f>
        <v/>
      </c>
      <c r="AN35" s="69" t="str">
        <f aca="false">IF($E35="","",IF($M35,IF(AND($G35&gt;=AN$5,$G35&lt;AN$5+GanttPeriod),"◆",IF(AND($E35&gt;=AN$5,$E35&lt;AN$5+GanttPeriod),"◇","")),IF(AND(AN$5&lt;=$F35,AN$5+GanttPeriod-1&gt;=$E35),"━","")))</f>
        <v/>
      </c>
      <c r="AO35" s="69" t="str">
        <f aca="false">IF($E35="","",IF($M35,IF(AND($G35&gt;=AO$5,$G35&lt;AO$5+GanttPeriod),"◆",IF(AND($E35&gt;=AO$5,$E35&lt;AO$5+GanttPeriod),"◇","")),IF(AND(AO$5&lt;=$F35,AO$5+GanttPeriod-1&gt;=$E35),"━","")))</f>
        <v/>
      </c>
      <c r="AP35" s="69" t="str">
        <f aca="false">IF($E35="","",IF($M35,IF(AND($G35&gt;=AP$5,$G35&lt;AP$5+GanttPeriod),"◆",IF(AND($E35&gt;=AP$5,$E35&lt;AP$5+GanttPeriod),"◇","")),IF(AND(AP$5&lt;=$F35,AP$5+GanttPeriod-1&gt;=$E35),"━","")))</f>
        <v/>
      </c>
      <c r="AQ35" s="69" t="str">
        <f aca="false">IF($E35="","",IF($M35,IF(AND($G35&gt;=AQ$5,$G35&lt;AQ$5+GanttPeriod),"◆",IF(AND($E35&gt;=AQ$5,$E35&lt;AQ$5+GanttPeriod),"◇","")),IF(AND(AQ$5&lt;=$F35,AQ$5+GanttPeriod-1&gt;=$E35),"━","")))</f>
        <v/>
      </c>
      <c r="AR35" s="69" t="str">
        <f aca="false">IF($E35="","",IF($M35,IF(AND($G35&gt;=AR$5,$G35&lt;AR$5+GanttPeriod),"◆",IF(AND($E35&gt;=AR$5,$E35&lt;AR$5+GanttPeriod),"◇","")),IF(AND(AR$5&lt;=$F35,AR$5+GanttPeriod-1&gt;=$E35),"━","")))</f>
        <v/>
      </c>
      <c r="AS35" s="69" t="str">
        <f aca="false">IF($E35="","",IF($M35,IF(AND($G35&gt;=AS$5,$G35&lt;AS$5+GanttPeriod),"◆",IF(AND($E35&gt;=AS$5,$E35&lt;AS$5+GanttPeriod),"◇","")),IF(AND(AS$5&lt;=$F35,AS$5+GanttPeriod-1&gt;=$E35),"━","")))</f>
        <v/>
      </c>
      <c r="AT35" s="69" t="str">
        <f aca="false">IF($E35="","",IF($M35,IF(AND($G35&gt;=AT$5,$G35&lt;AT$5+GanttPeriod),"◆",IF(AND($E35&gt;=AT$5,$E35&lt;AT$5+GanttPeriod),"◇","")),IF(AND(AT$5&lt;=$F35,AT$5+GanttPeriod-1&gt;=$E35),"━","")))</f>
        <v/>
      </c>
      <c r="AU35" s="69" t="str">
        <f aca="false">IF($E35="","",IF($M35,IF(AND($G35&gt;=AU$5,$G35&lt;AU$5+GanttPeriod),"◆",IF(AND($E35&gt;=AU$5,$E35&lt;AU$5+GanttPeriod),"◇","")),IF(AND(AU$5&lt;=$F35,AU$5+GanttPeriod-1&gt;=$E35),"━","")))</f>
        <v/>
      </c>
      <c r="AV35" s="69" t="str">
        <f aca="false">IF($E35="","",IF($M35,IF(AND($G35&gt;=AV$5,$G35&lt;AV$5+GanttPeriod),"◆",IF(AND($E35&gt;=AV$5,$E35&lt;AV$5+GanttPeriod),"◇","")),IF(AND(AV$5&lt;=$F35,AV$5+GanttPeriod-1&gt;=$E35),"━","")))</f>
        <v/>
      </c>
      <c r="AW35" s="69" t="str">
        <f aca="false">IF($E35="","",IF($M35,IF(AND($G35&gt;=AW$5,$G35&lt;AW$5+GanttPeriod),"◆",IF(AND($E35&gt;=AW$5,$E35&lt;AW$5+GanttPeriod),"◇","")),IF(AND(AW$5&lt;=$F35,AW$5+GanttPeriod-1&gt;=$E35),"━","")))</f>
        <v/>
      </c>
      <c r="AX35" s="69" t="str">
        <f aca="false">IF($E35="","",IF($M35,IF(AND($G35&gt;=AX$5,$G35&lt;AX$5+GanttPeriod),"◆",IF(AND($E35&gt;=AX$5,$E35&lt;AX$5+GanttPeriod),"◇","")),IF(AND(AX$5&lt;=$F35,AX$5+GanttPeriod-1&gt;=$E35),"━","")))</f>
        <v/>
      </c>
      <c r="AY35" s="69" t="str">
        <f aca="false">IF($E35="","",IF($M35,IF(AND($G35&gt;=AY$5,$G35&lt;AY$5+GanttPeriod),"◆",IF(AND($E35&gt;=AY$5,$E35&lt;AY$5+GanttPeriod),"◇","")),IF(AND(AY$5&lt;=$F35,AY$5+GanttPeriod-1&gt;=$E35),"━","")))</f>
        <v/>
      </c>
      <c r="AZ35" s="69" t="str">
        <f aca="false">IF($E35="","",IF($M35,IF(AND($G35&gt;=AZ$5,$G35&lt;AZ$5+GanttPeriod),"◆",IF(AND($E35&gt;=AZ$5,$E35&lt;AZ$5+GanttPeriod),"◇","")),IF(AND(AZ$5&lt;=$F35,AZ$5+GanttPeriod-1&gt;=$E35),"━","")))</f>
        <v/>
      </c>
      <c r="BA35" s="69" t="str">
        <f aca="false">IF($E35="","",IF($M35,IF(AND($G35&gt;=BA$5,$G35&lt;BA$5+GanttPeriod),"◆",IF(AND($E35&gt;=BA$5,$E35&lt;BA$5+GanttPeriod),"◇","")),IF(AND(BA$5&lt;=$F35,BA$5+GanttPeriod-1&gt;=$E35),"━","")))</f>
        <v/>
      </c>
      <c r="BB35" s="69" t="str">
        <f aca="false">IF($E35="","",IF($M35,IF(AND($G35&gt;=BB$5,$G35&lt;BB$5+GanttPeriod),"◆",IF(AND($E35&gt;=BB$5,$E35&lt;BB$5+GanttPeriod),"◇","")),IF(AND(BB$5&lt;=$F35,BB$5+GanttPeriod-1&gt;=$E35),"━","")))</f>
        <v/>
      </c>
      <c r="BC35" s="69" t="str">
        <f aca="false">IF($E35="","",IF($M35,IF(AND($G35&gt;=BC$5,$G35&lt;BC$5+GanttPeriod),"◆",IF(AND($E35&gt;=BC$5,$E35&lt;BC$5+GanttPeriod),"◇","")),IF(AND(BC$5&lt;=$F35,BC$5+GanttPeriod-1&gt;=$E35),"━","")))</f>
        <v/>
      </c>
      <c r="BD35" s="69" t="str">
        <f aca="false">IF($E35="","",IF($M35,IF(AND($G35&gt;=BD$5,$G35&lt;BD$5+GanttPeriod),"◆",IF(AND($E35&gt;=BD$5,$E35&lt;BD$5+GanttPeriod),"◇","")),IF(AND(BD$5&lt;=$F35,BD$5+GanttPeriod-1&gt;=$E35),"━","")))</f>
        <v/>
      </c>
      <c r="BE35" s="69" t="str">
        <f aca="false">IF($E35="","",IF($M35,IF(AND($G35&gt;=BE$5,$G35&lt;BE$5+GanttPeriod),"◆",IF(AND($E35&gt;=BE$5,$E35&lt;BE$5+GanttPeriod),"◇","")),IF(AND(BE$5&lt;=$F35,BE$5+GanttPeriod-1&gt;=$E35),"━","")))</f>
        <v/>
      </c>
      <c r="BF35" s="69" t="str">
        <f aca="false">IF($E35="","",IF($M35,IF(AND($G35&gt;=BF$5,$G35&lt;BF$5+GanttPeriod),"◆",IF(AND($E35&gt;=BF$5,$E35&lt;BF$5+GanttPeriod),"◇","")),IF(AND(BF$5&lt;=$F35,BF$5+GanttPeriod-1&gt;=$E35),"━","")))</f>
        <v/>
      </c>
      <c r="BG35" s="69" t="str">
        <f aca="false">IF($E35="","",IF($M35,IF(AND($G35&gt;=BG$5,$G35&lt;BG$5+GanttPeriod),"◆",IF(AND($E35&gt;=BG$5,$E35&lt;BG$5+GanttPeriod),"◇","")),IF(AND(BG$5&lt;=$F35,BG$5+GanttPeriod-1&gt;=$E35),"━","")))</f>
        <v/>
      </c>
      <c r="BH35" s="69" t="str">
        <f aca="false">IF($E35="","",IF($M35,IF(AND($G35&gt;=BH$5,$G35&lt;BH$5+GanttPeriod),"◆",IF(AND($E35&gt;=BH$5,$E35&lt;BH$5+GanttPeriod),"◇","")),IF(AND(BH$5&lt;=$F35,BH$5+GanttPeriod-1&gt;=$E35),"━","")))</f>
        <v/>
      </c>
      <c r="BI35" s="69" t="str">
        <f aca="false">IF($E35="","",IF($M35,IF(AND($G35&gt;=BI$5,$G35&lt;BI$5+GanttPeriod),"◆",IF(AND($E35&gt;=BI$5,$E35&lt;BI$5+GanttPeriod),"◇","")),IF(AND(BI$5&lt;=$F35,BI$5+GanttPeriod-1&gt;=$E35),"━","")))</f>
        <v/>
      </c>
      <c r="BJ35" s="69" t="str">
        <f aca="false">IF($E35="","",IF($M35,IF(AND($G35&gt;=BJ$5,$G35&lt;BJ$5+GanttPeriod),"◆",IF(AND($E35&gt;=BJ$5,$E35&lt;BJ$5+GanttPeriod),"◇","")),IF(AND(BJ$5&lt;=$F35,BJ$5+GanttPeriod-1&gt;=$E35),"━","")))</f>
        <v/>
      </c>
      <c r="BK35" s="69" t="str">
        <f aca="false">IF($E35="","",IF($M35,IF(AND($G35&gt;=BK$5,$G35&lt;BK$5+GanttPeriod),"◆",IF(AND($E35&gt;=BK$5,$E35&lt;BK$5+GanttPeriod),"◇","")),IF(AND(BK$5&lt;=$F35,BK$5+GanttPeriod-1&gt;=$E35),"━","")))</f>
        <v/>
      </c>
      <c r="BL35" s="69" t="str">
        <f aca="false">IF($E35="","",IF($M35,IF(AND($G35&gt;=BL$5,$G35&lt;BL$5+GanttPeriod),"◆",IF(AND($E35&gt;=BL$5,$E35&lt;BL$5+GanttPeriod),"◇","")),IF(AND(BL$5&lt;=$F35,BL$5+GanttPeriod-1&gt;=$E35),"━","")))</f>
        <v/>
      </c>
      <c r="BM35" s="69" t="str">
        <f aca="false">IF($E35="","",IF($M35,IF(AND($G35&gt;=BM$5,$G35&lt;BM$5+GanttPeriod),"◆",IF(AND($E35&gt;=BM$5,$E35&lt;BM$5+GanttPeriod),"◇","")),IF(AND(BM$5&lt;=$F35,BM$5+GanttPeriod-1&gt;=$E35),"━","")))</f>
        <v/>
      </c>
      <c r="BN35" s="69" t="str">
        <f aca="false">IF($E35="","",IF($M35,IF(AND($G35&gt;=BN$5,$G35&lt;BN$5+GanttPeriod),"◆",IF(AND($E35&gt;=BN$5,$E35&lt;BN$5+GanttPeriod),"◇","")),IF(AND(BN$5&lt;=$F35,BN$5+GanttPeriod-1&gt;=$E35),"━","")))</f>
        <v/>
      </c>
      <c r="BO35" s="69" t="str">
        <f aca="false">IF($E35="","",IF($M35,IF(AND($G35&gt;=BO$5,$G35&lt;BO$5+GanttPeriod),"◆",IF(AND($E35&gt;=BO$5,$E35&lt;BO$5+GanttPeriod),"◇","")),IF(AND(BO$5&lt;=$F35,BO$5+GanttPeriod-1&gt;=$E35),"━","")))</f>
        <v/>
      </c>
      <c r="BP35" s="69" t="str">
        <f aca="false">IF($E35="","",IF($M35,IF(AND($G35&gt;=BP$5,$G35&lt;BP$5+GanttPeriod),"◆",IF(AND($E35&gt;=BP$5,$E35&lt;BP$5+GanttPeriod),"◇","")),IF(AND(BP$5&lt;=$F35,BP$5+GanttPeriod-1&gt;=$E35),"━","")))</f>
        <v/>
      </c>
      <c r="BQ35" s="69" t="str">
        <f aca="false">IF($E35="","",IF($M35,IF(AND($G35&gt;=BQ$5,$G35&lt;BQ$5+GanttPeriod),"◆",IF(AND($E35&gt;=BQ$5,$E35&lt;BQ$5+GanttPeriod),"◇","")),IF(AND(BQ$5&lt;=$F35,BQ$5+GanttPeriod-1&gt;=$E35),"━","")))</f>
        <v/>
      </c>
      <c r="BR35" s="69" t="str">
        <f aca="false">IF($E35="","",IF($M35,IF(AND($G35&gt;=BR$5,$G35&lt;BR$5+GanttPeriod),"◆",IF(AND($E35&gt;=BR$5,$E35&lt;BR$5+GanttPeriod),"◇","")),IF(AND(BR$5&lt;=$F35,BR$5+GanttPeriod-1&gt;=$E35),"━","")))</f>
        <v/>
      </c>
      <c r="BS35" s="69" t="str">
        <f aca="false">IF($E35="","",IF($M35,IF(AND($G35&gt;=BS$5,$G35&lt;BS$5+GanttPeriod),"◆",IF(AND($E35&gt;=BS$5,$E35&lt;BS$5+GanttPeriod),"◇","")),IF(AND(BS$5&lt;=$F35,BS$5+GanttPeriod-1&gt;=$E35),"━","")))</f>
        <v/>
      </c>
      <c r="BT35" s="69" t="str">
        <f aca="false">IF($E35="","",IF($M35,IF(AND($G35&gt;=BT$5,$G35&lt;BT$5+GanttPeriod),"◆",IF(AND($E35&gt;=BT$5,$E35&lt;BT$5+GanttPeriod),"◇","")),IF(AND(BT$5&lt;=$F35,BT$5+GanttPeriod-1&gt;=$E35),"━","")))</f>
        <v/>
      </c>
      <c r="BU35" s="69" t="str">
        <f aca="false">IF($E35="","",IF($M35,IF(AND($G35&gt;=BU$5,$G35&lt;BU$5+GanttPeriod),"◆",IF(AND($E35&gt;=BU$5,$E35&lt;BU$5+GanttPeriod),"◇","")),IF(AND(BU$5&lt;=$F35,BU$5+GanttPeriod-1&gt;=$E35),"━","")))</f>
        <v/>
      </c>
      <c r="BV35" s="69" t="str">
        <f aca="false">IF($E35="","",IF($M35,IF(AND($G35&gt;=BV$5,$G35&lt;BV$5+GanttPeriod),"◆",IF(AND($E35&gt;=BV$5,$E35&lt;BV$5+GanttPeriod),"◇","")),IF(AND(BV$5&lt;=$F35,BV$5+GanttPeriod-1&gt;=$E35),"━","")))</f>
        <v/>
      </c>
      <c r="BW35" s="69" t="str">
        <f aca="false">IF($E35="","",IF($M35,IF(AND($G35&gt;=BW$5,$G35&lt;BW$5+GanttPeriod),"◆",IF(AND($E35&gt;=BW$5,$E35&lt;BW$5+GanttPeriod),"◇","")),IF(AND(BW$5&lt;=$F35,BW$5+GanttPeriod-1&gt;=$E35),"━","")))</f>
        <v/>
      </c>
      <c r="BX35" s="69" t="str">
        <f aca="false">IF($E35="","",IF($M35,IF(AND($G35&gt;=BX$5,$G35&lt;BX$5+GanttPeriod),"◆",IF(AND($E35&gt;=BX$5,$E35&lt;BX$5+GanttPeriod),"◇","")),IF(AND(BX$5&lt;=$F35,BX$5+GanttPeriod-1&gt;=$E35),"━","")))</f>
        <v/>
      </c>
      <c r="BY35" s="69" t="str">
        <f aca="false">IF($E35="","",IF($M35,IF(AND($G35&gt;=BY$5,$G35&lt;BY$5+GanttPeriod),"◆",IF(AND($E35&gt;=BY$5,$E35&lt;BY$5+GanttPeriod),"◇","")),IF(AND(BY$5&lt;=$F35,BY$5+GanttPeriod-1&gt;=$E35),"━","")))</f>
        <v/>
      </c>
      <c r="BZ35" s="69" t="str">
        <f aca="false">IF($E35="","",IF($M35,IF(AND($G35&gt;=BZ$5,$G35&lt;BZ$5+GanttPeriod),"◆",IF(AND($E35&gt;=BZ$5,$E35&lt;BZ$5+GanttPeriod),"◇","")),IF(AND(BZ$5&lt;=$F35,BZ$5+GanttPeriod-1&gt;=$E35),"━","")))</f>
        <v/>
      </c>
      <c r="CA35" s="69" t="str">
        <f aca="false">IF($E35="","",IF($M35,IF(AND($G35&gt;=CA$5,$G35&lt;CA$5+GanttPeriod),"◆",IF(AND($E35&gt;=CA$5,$E35&lt;CA$5+GanttPeriod),"◇","")),IF(AND(CA$5&lt;=$F35,CA$5+GanttPeriod-1&gt;=$E35),"━","")))</f>
        <v/>
      </c>
      <c r="CB35" s="69" t="str">
        <f aca="false">IF($E35="","",IF($M35,IF(AND($G35&gt;=CB$5,$G35&lt;CB$5+GanttPeriod),"◆",IF(AND($E35&gt;=CB$5,$E35&lt;CB$5+GanttPeriod),"◇","")),IF(AND(CB$5&lt;=$F35,CB$5+GanttPeriod-1&gt;=$E35),"━","")))</f>
        <v/>
      </c>
      <c r="CC35" s="69" t="str">
        <f aca="false">IF($E35="","",IF($M35,IF(AND($G35&gt;=CC$5,$G35&lt;CC$5+GanttPeriod),"◆",IF(AND($E35&gt;=CC$5,$E35&lt;CC$5+GanttPeriod),"◇","")),IF(AND(CC$5&lt;=$F35,CC$5+GanttPeriod-1&gt;=$E35),"━","")))</f>
        <v/>
      </c>
      <c r="CD35" s="69" t="str">
        <f aca="false">IF($E35="","",IF($M35,IF(AND($G35&gt;=CD$5,$G35&lt;CD$5+GanttPeriod),"◆",IF(AND($E35&gt;=CD$5,$E35&lt;CD$5+GanttPeriod),"◇","")),IF(AND(CD$5&lt;=$F35,CD$5+GanttPeriod-1&gt;=$E35),"━","")))</f>
        <v/>
      </c>
      <c r="CE35" s="69" t="str">
        <f aca="false">IF($E35="","",IF($M35,IF(AND($G35&gt;=CE$5,$G35&lt;CE$5+GanttPeriod),"◆",IF(AND($E35&gt;=CE$5,$E35&lt;CE$5+GanttPeriod),"◇","")),IF(AND(CE$5&lt;=$F35,CE$5+GanttPeriod-1&gt;=$E35),"━","")))</f>
        <v/>
      </c>
      <c r="CF35" s="69" t="str">
        <f aca="false">IF($E35="","",IF($M35,IF(AND($G35&gt;=CF$5,$G35&lt;CF$5+GanttPeriod),"◆",IF(AND($E35&gt;=CF$5,$E35&lt;CF$5+GanttPeriod),"◇","")),IF(AND(CF$5&lt;=$F35,CF$5+GanttPeriod-1&gt;=$E35),"━","")))</f>
        <v/>
      </c>
      <c r="CG35" s="69" t="str">
        <f aca="false">IF($E35="","",IF($M35,IF(AND($G35&gt;=CG$5,$G35&lt;CG$5+GanttPeriod),"◆",IF(AND($E35&gt;=CG$5,$E35&lt;CG$5+GanttPeriod),"◇","")),IF(AND(CG$5&lt;=$F35,CG$5+GanttPeriod-1&gt;=$E35),"━","")))</f>
        <v/>
      </c>
      <c r="CH35" s="69" t="str">
        <f aca="false">IF($E35="","",IF($M35,IF(AND($G35&gt;=CH$5,$G35&lt;CH$5+GanttPeriod),"◆",IF(AND($E35&gt;=CH$5,$E35&lt;CH$5+GanttPeriod),"◇","")),IF(AND(CH$5&lt;=$F35,CH$5+GanttPeriod-1&gt;=$E35),"━","")))</f>
        <v/>
      </c>
      <c r="CI35" s="69" t="str">
        <f aca="false">IF($E35="","",IF($M35,IF(AND($G35&gt;=CI$5,$G35&lt;CI$5+GanttPeriod),"◆",IF(AND($E35&gt;=CI$5,$E35&lt;CI$5+GanttPeriod),"◇","")),IF(AND(CI$5&lt;=$F35,CI$5+GanttPeriod-1&gt;=$E35),"━","")))</f>
        <v/>
      </c>
      <c r="CJ35" s="69" t="str">
        <f aca="false">IF($E35="","",IF($M35,IF(AND($G35&gt;=CJ$5,$G35&lt;CJ$5+GanttPeriod),"◆",IF(AND($E35&gt;=CJ$5,$E35&lt;CJ$5+GanttPeriod),"◇","")),IF(AND(CJ$5&lt;=$F35,CJ$5+GanttPeriod-1&gt;=$E35),"━","")))</f>
        <v/>
      </c>
      <c r="CK35" s="69" t="str">
        <f aca="false">IF($E35="","",IF($M35,IF(AND($G35&gt;=CK$5,$G35&lt;CK$5+GanttPeriod),"◆",IF(AND($E35&gt;=CK$5,$E35&lt;CK$5+GanttPeriod),"◇","")),IF(AND(CK$5&lt;=$F35,CK$5+GanttPeriod-1&gt;=$E35),"━","")))</f>
        <v/>
      </c>
      <c r="CL35" s="69" t="str">
        <f aca="false">IF($E35="","",IF($M35,IF(AND($G35&gt;=CL$5,$G35&lt;CL$5+GanttPeriod),"◆",IF(AND($E35&gt;=CL$5,$E35&lt;CL$5+GanttPeriod),"◇","")),IF(AND(CL$5&lt;=$F35,CL$5+GanttPeriod-1&gt;=$E35),"━","")))</f>
        <v/>
      </c>
      <c r="CM35" s="69" t="str">
        <f aca="false">IF($E35="","",IF($M35,IF(AND($G35&gt;=CM$5,$G35&lt;CM$5+GanttPeriod),"◆",IF(AND($E35&gt;=CM$5,$E35&lt;CM$5+GanttPeriod),"◇","")),IF(AND(CM$5&lt;=$F35,CM$5+GanttPeriod-1&gt;=$E35),"━","")))</f>
        <v/>
      </c>
      <c r="CN35" s="69" t="str">
        <f aca="false">IF($E35="","",IF($M35,IF(AND($G35&gt;=CN$5,$G35&lt;CN$5+GanttPeriod),"◆",IF(AND($E35&gt;=CN$5,$E35&lt;CN$5+GanttPeriod),"◇","")),IF(AND(CN$5&lt;=$F35,CN$5+GanttPeriod-1&gt;=$E35),"━","")))</f>
        <v/>
      </c>
      <c r="CO35" s="69" t="str">
        <f aca="false">IF($E35="","",IF($M35,IF(AND($G35&gt;=CO$5,$G35&lt;CO$5+GanttPeriod),"◆",IF(AND($E35&gt;=CO$5,$E35&lt;CO$5+GanttPeriod),"◇","")),IF(AND(CO$5&lt;=$F35,CO$5+GanttPeriod-1&gt;=$E35),"━","")))</f>
        <v/>
      </c>
      <c r="CP35" s="69" t="str">
        <f aca="false">IF($E35="","",IF($M35,IF(AND($G35&gt;=CP$5,$G35&lt;CP$5+GanttPeriod),"◆",IF(AND($E35&gt;=CP$5,$E35&lt;CP$5+GanttPeriod),"◇","")),IF(AND(CP$5&lt;=$F35,CP$5+GanttPeriod-1&gt;=$E35),"━","")))</f>
        <v/>
      </c>
      <c r="CQ35" s="69" t="str">
        <f aca="false">IF($E35="","",IF($M35,IF(AND($G35&gt;=CQ$5,$G35&lt;CQ$5+GanttPeriod),"◆",IF(AND($E35&gt;=CQ$5,$E35&lt;CQ$5+GanttPeriod),"◇","")),IF(AND(CQ$5&lt;=$F35,CQ$5+GanttPeriod-1&gt;=$E35),"━","")))</f>
        <v/>
      </c>
      <c r="CR35" s="69" t="str">
        <f aca="false">IF($E35="","",IF($M35,IF(AND($G35&gt;=CR$5,$G35&lt;CR$5+GanttPeriod),"◆",IF(AND($E35&gt;=CR$5,$E35&lt;CR$5+GanttPeriod),"◇","")),IF(AND(CR$5&lt;=$F35,CR$5+GanttPeriod-1&gt;=$E35),"━","")))</f>
        <v/>
      </c>
      <c r="CS35" s="69" t="str">
        <f aca="false">IF($E35="","",IF($M35,IF(AND($G35&gt;=CS$5,$G35&lt;CS$5+GanttPeriod),"◆",IF(AND($E35&gt;=CS$5,$E35&lt;CS$5+GanttPeriod),"◇","")),IF(AND(CS$5&lt;=$F35,CS$5+GanttPeriod-1&gt;=$E35),"━","")))</f>
        <v/>
      </c>
      <c r="CT35" s="69" t="str">
        <f aca="false">IF($E35="","",IF($M35,IF(AND($G35&gt;=CT$5,$G35&lt;CT$5+GanttPeriod),"◆",IF(AND($E35&gt;=CT$5,$E35&lt;CT$5+GanttPeriod),"◇","")),IF(AND(CT$5&lt;=$F35,CT$5+GanttPeriod-1&gt;=$E35),"━","")))</f>
        <v/>
      </c>
      <c r="CU35" s="69" t="str">
        <f aca="false">IF($E35="","",IF($M35,IF(AND($G35&gt;=CU$5,$G35&lt;CU$5+GanttPeriod),"◆",IF(AND($E35&gt;=CU$5,$E35&lt;CU$5+GanttPeriod),"◇","")),IF(AND(CU$5&lt;=$F35,CU$5+GanttPeriod-1&gt;=$E35),"━","")))</f>
        <v/>
      </c>
      <c r="CV35" s="69" t="str">
        <f aca="false">IF($E35="","",IF($M35,IF(AND($G35&gt;=CV$5,$G35&lt;CV$5+GanttPeriod),"◆",IF(AND($E35&gt;=CV$5,$E35&lt;CV$5+GanttPeriod),"◇","")),IF(AND(CV$5&lt;=$F35,CV$5+GanttPeriod-1&gt;=$E35),"━","")))</f>
        <v/>
      </c>
      <c r="CW35" s="69" t="str">
        <f aca="false">IF($E35="","",IF($M35,IF(AND($G35&gt;=CW$5,$G35&lt;CW$5+GanttPeriod),"◆",IF(AND($E35&gt;=CW$5,$E35&lt;CW$5+GanttPeriod),"◇","")),IF(AND(CW$5&lt;=$F35,CW$5+GanttPeriod-1&gt;=$E35),"━","")))</f>
        <v/>
      </c>
      <c r="CX35" s="69" t="str">
        <f aca="false">IF($E35="","",IF($M35,IF(AND($G35&gt;=CX$5,$G35&lt;CX$5+GanttPeriod),"◆",IF(AND($E35&gt;=CX$5,$E35&lt;CX$5+GanttPeriod),"◇","")),IF(AND(CX$5&lt;=$F35,CX$5+GanttPeriod-1&gt;=$E35),"━","")))</f>
        <v/>
      </c>
      <c r="CY35" s="69" t="str">
        <f aca="false">IF($E35="","",IF($M35,IF(AND($G35&gt;=CY$5,$G35&lt;CY$5+GanttPeriod),"◆",IF(AND($E35&gt;=CY$5,$E35&lt;CY$5+GanttPeriod),"◇","")),IF(AND(CY$5&lt;=$F35,CY$5+GanttPeriod-1&gt;=$E35),"━","")))</f>
        <v/>
      </c>
      <c r="CZ35" s="69" t="str">
        <f aca="false">IF($E35="","",IF($M35,IF(AND($G35&gt;=CZ$5,$G35&lt;CZ$5+GanttPeriod),"◆",IF(AND($E35&gt;=CZ$5,$E35&lt;CZ$5+GanttPeriod),"◇","")),IF(AND(CZ$5&lt;=$F35,CZ$5+GanttPeriod-1&gt;=$E35),"━","")))</f>
        <v/>
      </c>
      <c r="DA35" s="69" t="str">
        <f aca="false">IF($E35="","",IF($M35,IF(AND($G35&gt;=DA$5,$G35&lt;DA$5+GanttPeriod),"◆",IF(AND($E35&gt;=DA$5,$E35&lt;DA$5+GanttPeriod),"◇","")),IF(AND(DA$5&lt;=$F35,DA$5+GanttPeriod-1&gt;=$E35),"━","")))</f>
        <v/>
      </c>
      <c r="DB35" s="69" t="str">
        <f aca="false">IF($E35="","",IF($M35,IF(AND($G35&gt;=DB$5,$G35&lt;DB$5+GanttPeriod),"◆",IF(AND($E35&gt;=DB$5,$E35&lt;DB$5+GanttPeriod),"◇","")),IF(AND(DB$5&lt;=$F35,DB$5+GanttPeriod-1&gt;=$E35),"━","")))</f>
        <v/>
      </c>
      <c r="DC35" s="69" t="str">
        <f aca="false">IF($E35="","",IF($M35,IF(AND($G35&gt;=DC$5,$G35&lt;DC$5+GanttPeriod),"◆",IF(AND($E35&gt;=DC$5,$E35&lt;DC$5+GanttPeriod),"◇","")),IF(AND(DC$5&lt;=$F35,DC$5+GanttPeriod-1&gt;=$E35),"━","")))</f>
        <v/>
      </c>
      <c r="DD35" s="69" t="str">
        <f aca="false">IF($E35="","",IF($M35,IF(AND($G35&gt;=DD$5,$G35&lt;DD$5+GanttPeriod),"◆",IF(AND($E35&gt;=DD$5,$E35&lt;DD$5+GanttPeriod),"◇","")),IF(AND(DD$5&lt;=$F35,DD$5+GanttPeriod-1&gt;=$E35),"━","")))</f>
        <v/>
      </c>
      <c r="DE35" s="69" t="str">
        <f aca="false">IF($E35="","",IF($M35,IF(AND($G35&gt;=DE$5,$G35&lt;DE$5+GanttPeriod),"◆",IF(AND($E35&gt;=DE$5,$E35&lt;DE$5+GanttPeriod),"◇","")),IF(AND(DE$5&lt;=$F35,DE$5+GanttPeriod-1&gt;=$E35),"━","")))</f>
        <v/>
      </c>
      <c r="DF35" s="69" t="str">
        <f aca="false">IF($E35="","",IF($M35,IF(AND($G35&gt;=DF$5,$G35&lt;DF$5+GanttPeriod),"◆",IF(AND($E35&gt;=DF$5,$E35&lt;DF$5+GanttPeriod),"◇","")),IF(AND(DF$5&lt;=$F35,DF$5+GanttPeriod-1&gt;=$E35),"━","")))</f>
        <v/>
      </c>
      <c r="DG35" s="69" t="str">
        <f aca="false">IF($E35="","",IF($M35,IF(AND($G35&gt;=DG$5,$G35&lt;DG$5+GanttPeriod),"◆",IF(AND($E35&gt;=DG$5,$E35&lt;DG$5+GanttPeriod),"◇","")),IF(AND(DG$5&lt;=$F35,DG$5+GanttPeriod-1&gt;=$E35),"━","")))</f>
        <v/>
      </c>
      <c r="DH35" s="69" t="str">
        <f aca="false">IF($E35="","",IF($M35,IF(AND($G35&gt;=DH$5,$G35&lt;DH$5+GanttPeriod),"◆",IF(AND($E35&gt;=DH$5,$E35&lt;DH$5+GanttPeriod),"◇","")),IF(AND(DH$5&lt;=$F35,DH$5+GanttPeriod-1&gt;=$E35),"━","")))</f>
        <v/>
      </c>
      <c r="DI35" s="69" t="str">
        <f aca="false">IF($E35="","",IF($M35,IF(AND($G35&gt;=DI$5,$G35&lt;DI$5+GanttPeriod),"◆",IF(AND($E35&gt;=DI$5,$E35&lt;DI$5+GanttPeriod),"◇","")),IF(AND(DI$5&lt;=$F35,DI$5+GanttPeriod-1&gt;=$E35),"━","")))</f>
        <v/>
      </c>
      <c r="DJ35" s="69" t="str">
        <f aca="false">IF($E35="","",IF($M35,IF(AND($G35&gt;=DJ$5,$G35&lt;DJ$5+GanttPeriod),"◆",IF(AND($E35&gt;=DJ$5,$E35&lt;DJ$5+GanttPeriod),"◇","")),IF(AND(DJ$5&lt;=$F35,DJ$5+GanttPeriod-1&gt;=$E35),"━","")))</f>
        <v/>
      </c>
      <c r="DK35" s="69" t="str">
        <f aca="false">IF($E35="","",IF($M35,IF(AND($G35&gt;=DK$5,$G35&lt;DK$5+GanttPeriod),"◆",IF(AND($E35&gt;=DK$5,$E35&lt;DK$5+GanttPeriod),"◇","")),IF(AND(DK$5&lt;=$F35,DK$5+GanttPeriod-1&gt;=$E35),"━","")))</f>
        <v/>
      </c>
      <c r="DL35" s="69" t="str">
        <f aca="false">IF($E35="","",IF($M35,IF(AND($G35&gt;=DL$5,$G35&lt;DL$5+GanttPeriod),"◆",IF(AND($E35&gt;=DL$5,$E35&lt;DL$5+GanttPeriod),"◇","")),IF(AND(DL$5&lt;=$F35,DL$5+GanttPeriod-1&gt;=$E35),"━","")))</f>
        <v/>
      </c>
      <c r="DM35" s="69" t="str">
        <f aca="false">IF($E35="","",IF($M35,IF(AND($G35&gt;=DM$5,$G35&lt;DM$5+GanttPeriod),"◆",IF(AND($E35&gt;=DM$5,$E35&lt;DM$5+GanttPeriod),"◇","")),IF(AND(DM$5&lt;=$F35,DM$5+GanttPeriod-1&gt;=$E35),"━","")))</f>
        <v/>
      </c>
      <c r="DN35" s="69" t="str">
        <f aca="false">IF($E35="","",IF($M35,IF(AND($G35&gt;=DN$5,$G35&lt;DN$5+GanttPeriod),"◆",IF(AND($E35&gt;=DN$5,$E35&lt;DN$5+GanttPeriod),"◇","")),IF(AND(DN$5&lt;=$F35,DN$5+GanttPeriod-1&gt;=$E35),"━","")))</f>
        <v/>
      </c>
      <c r="DO35" s="69" t="str">
        <f aca="false">IF($E35="","",IF($M35,IF(AND($G35&gt;=DO$5,$G35&lt;DO$5+GanttPeriod),"◆",IF(AND($E35&gt;=DO$5,$E35&lt;DO$5+GanttPeriod),"◇","")),IF(AND(DO$5&lt;=$F35,DO$5+GanttPeriod-1&gt;=$E35),"━","")))</f>
        <v/>
      </c>
      <c r="DP35" s="69" t="str">
        <f aca="false">IF($E35="","",IF($M35,IF(AND($G35&gt;=DP$5,$G35&lt;DP$5+GanttPeriod),"◆",IF(AND($E35&gt;=DP$5,$E35&lt;DP$5+GanttPeriod),"◇","")),IF(AND(DP$5&lt;=$F35,DP$5+GanttPeriod-1&gt;=$E35),"━","")))</f>
        <v/>
      </c>
      <c r="DQ35" s="69" t="str">
        <f aca="false">IF($E35="","",IF($M35,IF(AND($G35&gt;=DQ$5,$G35&lt;DQ$5+GanttPeriod),"◆",IF(AND($E35&gt;=DQ$5,$E35&lt;DQ$5+GanttPeriod),"◇","")),IF(AND(DQ$5&lt;=$F35,DQ$5+GanttPeriod-1&gt;=$E35),"━","")))</f>
        <v/>
      </c>
      <c r="DR35" s="69" t="str">
        <f aca="false">IF($E35="","",IF($M35,IF(AND($G35&gt;=DR$5,$G35&lt;DR$5+GanttPeriod),"◆",IF(AND($E35&gt;=DR$5,$E35&lt;DR$5+GanttPeriod),"◇","")),IF(AND(DR$5&lt;=$F35,DR$5+GanttPeriod-1&gt;=$E35),"━","")))</f>
        <v/>
      </c>
      <c r="DS35" s="69" t="str">
        <f aca="false">IF($E35="","",IF($M35,IF(AND($G35&gt;=DS$5,$G35&lt;DS$5+GanttPeriod),"◆",IF(AND($E35&gt;=DS$5,$E35&lt;DS$5+GanttPeriod),"◇","")),IF(AND(DS$5&lt;=$F35,DS$5+GanttPeriod-1&gt;=$E35),"━","")))</f>
        <v/>
      </c>
      <c r="DT35" s="69" t="str">
        <f aca="false">IF($E35="","",IF($M35,IF(AND($G35&gt;=DT$5,$G35&lt;DT$5+GanttPeriod),"◆",IF(AND($E35&gt;=DT$5,$E35&lt;DT$5+GanttPeriod),"◇","")),IF(AND(DT$5&lt;=$F35,DT$5+GanttPeriod-1&gt;=$E35),"━","")))</f>
        <v/>
      </c>
      <c r="DU35" s="69" t="str">
        <f aca="false">IF($E35="","",IF($M35,IF(AND($G35&gt;=DU$5,$G35&lt;DU$5+GanttPeriod),"◆",IF(AND($E35&gt;=DU$5,$E35&lt;DU$5+GanttPeriod),"◇","")),IF(AND(DU$5&lt;=$F35,DU$5+GanttPeriod-1&gt;=$E35),"━","")))</f>
        <v/>
      </c>
      <c r="DV35" s="69" t="str">
        <f aca="false">IF($E35="","",IF($M35,IF(AND($G35&gt;=DV$5,$G35&lt;DV$5+GanttPeriod),"◆",IF(AND($E35&gt;=DV$5,$E35&lt;DV$5+GanttPeriod),"◇","")),IF(AND(DV$5&lt;=$F35,DV$5+GanttPeriod-1&gt;=$E35),"━","")))</f>
        <v/>
      </c>
      <c r="DW35" s="69" t="str">
        <f aca="false">IF($E35="","",IF($M35,IF(AND($G35&gt;=DW$5,$G35&lt;DW$5+GanttPeriod),"◆",IF(AND($E35&gt;=DW$5,$E35&lt;DW$5+GanttPeriod),"◇","")),IF(AND(DW$5&lt;=$F35,DW$5+GanttPeriod-1&gt;=$E35),"━","")))</f>
        <v/>
      </c>
      <c r="DX35" s="69" t="str">
        <f aca="false">IF($E35="","",IF($M35,IF(AND($G35&gt;=DX$5,$G35&lt;DX$5+GanttPeriod),"◆",IF(AND($E35&gt;=DX$5,$E35&lt;DX$5+GanttPeriod),"◇","")),IF(AND(DX$5&lt;=$F35,DX$5+GanttPeriod-1&gt;=$E35),"━","")))</f>
        <v/>
      </c>
      <c r="DY35" s="69" t="str">
        <f aca="false">IF($E35="","",IF($M35,IF(AND($G35&gt;=DY$5,$G35&lt;DY$5+GanttPeriod),"◆",IF(AND($E35&gt;=DY$5,$E35&lt;DY$5+GanttPeriod),"◇","")),IF(AND(DY$5&lt;=$F35,DY$5+GanttPeriod-1&gt;=$E35),"━","")))</f>
        <v/>
      </c>
      <c r="DZ35" s="69" t="str">
        <f aca="false">IF($E35="","",IF($M35,IF(AND($G35&gt;=DZ$5,$G35&lt;DZ$5+GanttPeriod),"◆",IF(AND($E35&gt;=DZ$5,$E35&lt;DZ$5+GanttPeriod),"◇","")),IF(AND(DZ$5&lt;=$F35,DZ$5+GanttPeriod-1&gt;=$E35),"━","")))</f>
        <v/>
      </c>
      <c r="EA35" s="69" t="str">
        <f aca="false">IF($E35="","",IF($M35,IF(AND($G35&gt;=EA$5,$G35&lt;EA$5+GanttPeriod),"◆",IF(AND($E35&gt;=EA$5,$E35&lt;EA$5+GanttPeriod),"◇","")),IF(AND(EA$5&lt;=$F35,EA$5+GanttPeriod-1&gt;=$E35),"━","")))</f>
        <v/>
      </c>
      <c r="EB35" s="69" t="str">
        <f aca="false">IF($E35="","",IF($M35,IF(AND($G35&gt;=EB$5,$G35&lt;EB$5+GanttPeriod),"◆",IF(AND($E35&gt;=EB$5,$E35&lt;EB$5+GanttPeriod),"◇","")),IF(AND(EB$5&lt;=$F35,EB$5+GanttPeriod-1&gt;=$E35),"━","")))</f>
        <v/>
      </c>
      <c r="EC35" s="69" t="str">
        <f aca="false">IF($E35="","",IF($M35,IF(AND($G35&gt;=EC$5,$G35&lt;EC$5+GanttPeriod),"◆",IF(AND($E35&gt;=EC$5,$E35&lt;EC$5+GanttPeriod),"◇","")),IF(AND(EC$5&lt;=$F35,EC$5+GanttPeriod-1&gt;=$E35),"━","")))</f>
        <v/>
      </c>
      <c r="ED35" s="69" t="str">
        <f aca="false">IF($E35="","",IF($M35,IF(AND($G35&gt;=ED$5,$G35&lt;ED$5+GanttPeriod),"◆",IF(AND($E35&gt;=ED$5,$E35&lt;ED$5+GanttPeriod),"◇","")),IF(AND(ED$5&lt;=$F35,ED$5+GanttPeriod-1&gt;=$E35),"━","")))</f>
        <v/>
      </c>
      <c r="EE35" s="69" t="str">
        <f aca="false">IF($E35="","",IF($M35,IF(AND($G35&gt;=EE$5,$G35&lt;EE$5+GanttPeriod),"◆",IF(AND($E35&gt;=EE$5,$E35&lt;EE$5+GanttPeriod),"◇","")),IF(AND(EE$5&lt;=$F35,EE$5+GanttPeriod-1&gt;=$E35),"━","")))</f>
        <v/>
      </c>
      <c r="EF35" s="69" t="str">
        <f aca="false">IF($E35="","",IF($M35,IF(AND($G35&gt;=EF$5,$G35&lt;EF$5+GanttPeriod),"◆",IF(AND($E35&gt;=EF$5,$E35&lt;EF$5+GanttPeriod),"◇","")),IF(AND(EF$5&lt;=$F35,EF$5+GanttPeriod-1&gt;=$E35),"━","")))</f>
        <v/>
      </c>
      <c r="EG35" s="69" t="str">
        <f aca="false">IF($E35="","",IF($M35,IF(AND($G35&gt;=EG$5,$G35&lt;EG$5+GanttPeriod),"◆",IF(AND($E35&gt;=EG$5,$E35&lt;EG$5+GanttPeriod),"◇","")),IF(AND(EG$5&lt;=$F35,EG$5+GanttPeriod-1&gt;=$E35),"━","")))</f>
        <v/>
      </c>
      <c r="EH35" s="69" t="str">
        <f aca="false">IF($E35="","",IF($M35,IF(AND($G35&gt;=EH$5,$G35&lt;EH$5+GanttPeriod),"◆",IF(AND($E35&gt;=EH$5,$E35&lt;EH$5+GanttPeriod),"◇","")),IF(AND(EH$5&lt;=$F35,EH$5+GanttPeriod-1&gt;=$E35),"━","")))</f>
        <v/>
      </c>
      <c r="EI35" s="69" t="str">
        <f aca="false">IF($E35="","",IF($M35,IF(AND($G35&gt;=EI$5,$G35&lt;EI$5+GanttPeriod),"◆",IF(AND($E35&gt;=EI$5,$E35&lt;EI$5+GanttPeriod),"◇","")),IF(AND(EI$5&lt;=$F35,EI$5+GanttPeriod-1&gt;=$E35),"━","")))</f>
        <v/>
      </c>
      <c r="EJ35" s="69" t="str">
        <f aca="false">IF($E35="","",IF($M35,IF(AND($G35&gt;=EJ$5,$G35&lt;EJ$5+GanttPeriod),"◆",IF(AND($E35&gt;=EJ$5,$E35&lt;EJ$5+GanttPeriod),"◇","")),IF(AND(EJ$5&lt;=$F35,EJ$5+GanttPeriod-1&gt;=$E35),"━","")))</f>
        <v/>
      </c>
      <c r="EK35" s="69" t="str">
        <f aca="false">IF($E35="","",IF($M35,IF(AND($G35&gt;=EK$5,$G35&lt;EK$5+GanttPeriod),"◆",IF(AND($E35&gt;=EK$5,$E35&lt;EK$5+GanttPeriod),"◇","")),IF(AND(EK$5&lt;=$F35,EK$5+GanttPeriod-1&gt;=$E35),"━","")))</f>
        <v>◆</v>
      </c>
      <c r="EL35" s="69" t="str">
        <f aca="false">IF($E35="","",IF($M35,IF(AND($G35&gt;=EL$5,$G35&lt;EL$5+GanttPeriod),"◆",IF(AND($E35&gt;=EL$5,$E35&lt;EL$5+GanttPeriod),"◇","")),IF(AND(EL$5&lt;=$F35,EL$5+GanttPeriod-1&gt;=$E35),"━","")))</f>
        <v/>
      </c>
      <c r="EM35" s="69" t="str">
        <f aca="false">IF($E35="","",IF($M35,IF(AND($G35&gt;=EM$5,$G35&lt;EM$5+GanttPeriod),"◆",IF(AND($E35&gt;=EM$5,$E35&lt;EM$5+GanttPeriod),"◇","")),IF(AND(EM$5&lt;=$F35,EM$5+GanttPeriod-1&gt;=$E35),"━","")))</f>
        <v/>
      </c>
      <c r="EN35" s="69" t="str">
        <f aca="false">IF($E35="","",IF($M35,IF(AND($G35&gt;=EN$5,$G35&lt;EN$5+GanttPeriod),"◆",IF(AND($E35&gt;=EN$5,$E35&lt;EN$5+GanttPeriod),"◇","")),IF(AND(EN$5&lt;=$F35,EN$5+GanttPeriod-1&gt;=$E35),"━","")))</f>
        <v/>
      </c>
      <c r="EO35" s="69" t="str">
        <f aca="false">IF($E35="","",IF($M35,IF(AND($G35&gt;=EO$5,$G35&lt;EO$5+GanttPeriod),"◆",IF(AND($E35&gt;=EO$5,$E35&lt;EO$5+GanttPeriod),"◇","")),IF(AND(EO$5&lt;=$F35,EO$5+GanttPeriod-1&gt;=$E35),"━","")))</f>
        <v/>
      </c>
      <c r="EP35" s="69" t="str">
        <f aca="false">IF($E35="","",IF($M35,IF(AND($G35&gt;=EP$5,$G35&lt;EP$5+GanttPeriod),"◆",IF(AND($E35&gt;=EP$5,$E35&lt;EP$5+GanttPeriod),"◇","")),IF(AND(EP$5&lt;=$F35,EP$5+GanttPeriod-1&gt;=$E35),"━","")))</f>
        <v/>
      </c>
      <c r="EQ35" s="69" t="str">
        <f aca="false">IF($E35="","",IF($M35,IF(AND($G35&gt;=EQ$5,$G35&lt;EQ$5+GanttPeriod),"◆",IF(AND($E35&gt;=EQ$5,$E35&lt;EQ$5+GanttPeriod),"◇","")),IF(AND(EQ$5&lt;=$F35,EQ$5+GanttPeriod-1&gt;=$E35),"━","")))</f>
        <v/>
      </c>
      <c r="ER35" s="69" t="str">
        <f aca="false">IF($E35="","",IF($M35,IF(AND($G35&gt;=ER$5,$G35&lt;ER$5+GanttPeriod),"◆",IF(AND($E35&gt;=ER$5,$E35&lt;ER$5+GanttPeriod),"◇","")),IF(AND(ER$5&lt;=$F35,ER$5+GanttPeriod-1&gt;=$E35),"━","")))</f>
        <v/>
      </c>
      <c r="ES35" s="69" t="str">
        <f aca="false">IF($E35="","",IF($M35,IF(AND($G35&gt;=ES$5,$G35&lt;ES$5+GanttPeriod),"◆",IF(AND($E35&gt;=ES$5,$E35&lt;ES$5+GanttPeriod),"◇","")),IF(AND(ES$5&lt;=$F35,ES$5+GanttPeriod-1&gt;=$E35),"━","")))</f>
        <v/>
      </c>
      <c r="ET35" s="69" t="str">
        <f aca="false">IF($E35="","",IF($M35,IF(AND($G35&gt;=ET$5,$G35&lt;ET$5+GanttPeriod),"◆",IF(AND($E35&gt;=ET$5,$E35&lt;ET$5+GanttPeriod),"◇","")),IF(AND(ET$5&lt;=$F35,ET$5+GanttPeriod-1&gt;=$E35),"━","")))</f>
        <v/>
      </c>
      <c r="EU35" s="69" t="str">
        <f aca="false">IF($E35="","",IF($M35,IF(AND($G35&gt;=EU$5,$G35&lt;EU$5+GanttPeriod),"◆",IF(AND($E35&gt;=EU$5,$E35&lt;EU$5+GanttPeriod),"◇","")),IF(AND(EU$5&lt;=$F35,EU$5+GanttPeriod-1&gt;=$E35),"━","")))</f>
        <v/>
      </c>
      <c r="EV35" s="69" t="str">
        <f aca="false">IF($E35="","",IF($M35,IF(AND($G35&gt;=EV$5,$G35&lt;EV$5+GanttPeriod),"◆",IF(AND($E35&gt;=EV$5,$E35&lt;EV$5+GanttPeriod),"◇","")),IF(AND(EV$5&lt;=$F35,EV$5+GanttPeriod-1&gt;=$E35),"━","")))</f>
        <v/>
      </c>
      <c r="EW35" s="69" t="str">
        <f aca="false">IF($E35="","",IF($M35,IF(AND($G35&gt;=EW$5,$G35&lt;EW$5+GanttPeriod),"◆",IF(AND($E35&gt;=EW$5,$E35&lt;EW$5+GanttPeriod),"◇","")),IF(AND(EW$5&lt;=$F35,EW$5+GanttPeriod-1&gt;=$E35),"━","")))</f>
        <v/>
      </c>
      <c r="EX35" s="69" t="str">
        <f aca="false">IF($E35="","",IF($M35,IF(AND($G35&gt;=EX$5,$G35&lt;EX$5+GanttPeriod),"◆",IF(AND($E35&gt;=EX$5,$E35&lt;EX$5+GanttPeriod),"◇","")),IF(AND(EX$5&lt;=$F35,EX$5+GanttPeriod-1&gt;=$E35),"━","")))</f>
        <v/>
      </c>
      <c r="EY35" s="69" t="str">
        <f aca="false">IF($E35="","",IF($M35,IF(AND($G35&gt;=EY$5,$G35&lt;EY$5+GanttPeriod),"◆",IF(AND($E35&gt;=EY$5,$E35&lt;EY$5+GanttPeriod),"◇","")),IF(AND(EY$5&lt;=$F35,EY$5+GanttPeriod-1&gt;=$E35),"━","")))</f>
        <v/>
      </c>
      <c r="EZ35" s="69" t="str">
        <f aca="false">IF($E35="","",IF($M35,IF(AND($G35&gt;=EZ$5,$G35&lt;EZ$5+GanttPeriod),"◆",IF(AND($E35&gt;=EZ$5,$E35&lt;EZ$5+GanttPeriod),"◇","")),IF(AND(EZ$5&lt;=$F35,EZ$5+GanttPeriod-1&gt;=$E35),"━","")))</f>
        <v/>
      </c>
      <c r="FA35" s="69" t="str">
        <f aca="false">IF($E35="","",IF($M35,IF(AND($G35&gt;=FA$5,$G35&lt;FA$5+GanttPeriod),"◆",IF(AND($E35&gt;=FA$5,$E35&lt;FA$5+GanttPeriod),"◇","")),IF(AND(FA$5&lt;=$F35,FA$5+GanttPeriod-1&gt;=$E35),"━","")))</f>
        <v/>
      </c>
      <c r="FB35" s="69" t="str">
        <f aca="false">IF($E35="","",IF($M35,IF(AND($G35&gt;=FB$5,$G35&lt;FB$5+GanttPeriod),"◆",IF(AND($E35&gt;=FB$5,$E35&lt;FB$5+GanttPeriod),"◇","")),IF(AND(FB$5&lt;=$F35,FB$5+GanttPeriod-1&gt;=$E35),"━","")))</f>
        <v/>
      </c>
      <c r="FC35" s="69" t="str">
        <f aca="false">IF($E35="","",IF($M35,IF(AND($G35&gt;=FC$5,$G35&lt;FC$5+GanttPeriod),"◆",IF(AND($E35&gt;=FC$5,$E35&lt;FC$5+GanttPeriod),"◇","")),IF(AND(FC$5&lt;=$F35,FC$5+GanttPeriod-1&gt;=$E35),"━","")))</f>
        <v/>
      </c>
      <c r="FD35" s="69" t="str">
        <f aca="false">IF($E35="","",IF($M35,IF(AND($G35&gt;=FD$5,$G35&lt;FD$5+GanttPeriod),"◆",IF(AND($E35&gt;=FD$5,$E35&lt;FD$5+GanttPeriod),"◇","")),IF(AND(FD$5&lt;=$F35,FD$5+GanttPeriod-1&gt;=$E35),"━","")))</f>
        <v/>
      </c>
      <c r="FE35" s="69" t="str">
        <f aca="false">IF($E35="","",IF($M35,IF(AND($G35&gt;=FE$5,$G35&lt;FE$5+GanttPeriod),"◆",IF(AND($E35&gt;=FE$5,$E35&lt;FE$5+GanttPeriod),"◇","")),IF(AND(FE$5&lt;=$F35,FE$5+GanttPeriod-1&gt;=$E35),"━","")))</f>
        <v/>
      </c>
      <c r="FF35" s="69" t="str">
        <f aca="false">IF($E35="","",IF($M35,IF(AND($G35&gt;=FF$5,$G35&lt;FF$5+GanttPeriod),"◆",IF(AND($E35&gt;=FF$5,$E35&lt;FF$5+GanttPeriod),"◇","")),IF(AND(FF$5&lt;=$F35,FF$5+GanttPeriod-1&gt;=$E35),"━","")))</f>
        <v/>
      </c>
      <c r="FG35" s="69" t="str">
        <f aca="false">IF($E35="","",IF($M35,IF(AND($G35&gt;=FG$5,$G35&lt;FG$5+GanttPeriod),"◆",IF(AND($E35&gt;=FG$5,$E35&lt;FG$5+GanttPeriod),"◇","")),IF(AND(FG$5&lt;=$F35,FG$5+GanttPeriod-1&gt;=$E35),"━","")))</f>
        <v/>
      </c>
      <c r="FH35" s="69" t="str">
        <f aca="false">IF($E35="","",IF($M35,IF(AND($G35&gt;=FH$5,$G35&lt;FH$5+GanttPeriod),"◆",IF(AND($E35&gt;=FH$5,$E35&lt;FH$5+GanttPeriod),"◇","")),IF(AND(FH$5&lt;=$F35,FH$5+GanttPeriod-1&gt;=$E35),"━","")))</f>
        <v/>
      </c>
      <c r="FI35" s="69" t="str">
        <f aca="false">IF($E35="","",IF($M35,IF(AND($G35&gt;=FI$5,$G35&lt;FI$5+GanttPeriod),"◆",IF(AND($E35&gt;=FI$5,$E35&lt;FI$5+GanttPeriod),"◇","")),IF(AND(FI$5&lt;=$F35,FI$5+GanttPeriod-1&gt;=$E35),"━","")))</f>
        <v/>
      </c>
      <c r="FJ35" s="69" t="str">
        <f aca="false">IF($E35="","",IF($M35,IF(AND($G35&gt;=FJ$5,$G35&lt;FJ$5+GanttPeriod),"◆",IF(AND($E35&gt;=FJ$5,$E35&lt;FJ$5+GanttPeriod),"◇","")),IF(AND(FJ$5&lt;=$F35,FJ$5+GanttPeriod-1&gt;=$E35),"━","")))</f>
        <v/>
      </c>
      <c r="FK35" s="69" t="str">
        <f aca="false">IF($E35="","",IF($M35,IF(AND($G35&gt;=FK$5,$G35&lt;FK$5+GanttPeriod),"◆",IF(AND($E35&gt;=FK$5,$E35&lt;FK$5+GanttPeriod),"◇","")),IF(AND(FK$5&lt;=$F35,FK$5+GanttPeriod-1&gt;=$E35),"━","")))</f>
        <v/>
      </c>
      <c r="FL35" s="69" t="str">
        <f aca="false">IF($E35="","",IF($M35,IF(AND($G35&gt;=FL$5,$G35&lt;FL$5+GanttPeriod),"◆",IF(AND($E35&gt;=FL$5,$E35&lt;FL$5+GanttPeriod),"◇","")),IF(AND(FL$5&lt;=$F35,FL$5+GanttPeriod-1&gt;=$E35),"━","")))</f>
        <v/>
      </c>
      <c r="FM35" s="69" t="str">
        <f aca="false">IF($E35="","",IF($M35,IF(AND($G35&gt;=FM$5,$G35&lt;FM$5+GanttPeriod),"◆",IF(AND($E35&gt;=FM$5,$E35&lt;FM$5+GanttPeriod),"◇","")),IF(AND(FM$5&lt;=$F35,FM$5+GanttPeriod-1&gt;=$E35),"━","")))</f>
        <v/>
      </c>
    </row>
    <row r="36" customFormat="false" ht="15" hidden="false" customHeight="false" outlineLevel="0" collapsed="false">
      <c r="A36" s="62" t="str">
        <f aca="false">IF(Tasks!$D36="","",Tasks!$A36)</f>
        <v/>
      </c>
      <c r="B36" s="62" t="str">
        <f aca="false">IF(Tasks!$D36="","",Tasks!$B36)</f>
        <v/>
      </c>
      <c r="C36" s="63" t="str">
        <f aca="false">IF(Tasks!$D36="","",REPT("    ",Tasks!$AE36-1)&amp;Tasks!$D36)</f>
        <v/>
      </c>
      <c r="D36" s="62" t="str">
        <f aca="false">IF(Tasks!$D36="","",IF(Tasks!$AI36,NETWORKDAYS.INTL(Tasks!$R36,Tasks!$S36,WorkWeek,Holidays),N(Tasks!$F36)))</f>
        <v/>
      </c>
      <c r="E36" s="64" t="str">
        <f aca="false">IF(Tasks!$D36="","",Tasks!$N36)</f>
        <v/>
      </c>
      <c r="F36" s="64" t="str">
        <f aca="false">IF(Tasks!$D36="","",Tasks!$O36)</f>
        <v/>
      </c>
      <c r="G36" s="64" t="str">
        <f aca="false">IF(Tasks!$D36="","",Tasks!$R36)</f>
        <v/>
      </c>
      <c r="H36" s="64" t="str">
        <f aca="false">IF(Tasks!$D36="","",Tasks!$S36)</f>
        <v/>
      </c>
      <c r="I36" s="65" t="str">
        <f aca="false">IF(Tasks!$D36="","",Tasks!$V36)</f>
        <v/>
      </c>
      <c r="J36" s="63" t="str">
        <f aca="false">IF(Tasks!$D36="","",Tasks!$X36&amp;"")</f>
        <v/>
      </c>
      <c r="K36" s="66" t="str">
        <f aca="false">IF(Tasks!$D36="","",Tasks!$W36)</f>
        <v/>
      </c>
      <c r="L36" s="67" t="b">
        <f aca="false">IF(Tasks!$D36="",FALSE(),Tasks!$AI36)</f>
        <v>0</v>
      </c>
      <c r="M36" s="67" t="b">
        <f aca="false">AND(Tasks!$AJ36=1,N(Tasks!$F36)=0)</f>
        <v>0</v>
      </c>
      <c r="N36" s="68" t="n">
        <f aca="false">IF(AND(Tasks!$AJ36=1,NOT($M36),N($I36)&gt;0),$G36,0)</f>
        <v>0</v>
      </c>
      <c r="O36" s="68" t="n">
        <f aca="false">IF($N36=0,0,IF($I36&gt;=1,$H36,MAX($N36,$G36+ROUND(($H36-$G36+1)*$I36,0)-1)))</f>
        <v>0</v>
      </c>
      <c r="P36" s="68" t="n">
        <f aca="false">IF(OR(Tasks!$AJ36&lt;&gt;1,$M36,N($I36)&gt;=1),0,IF($O36&gt;0,$O36+1,$G36))</f>
        <v>0</v>
      </c>
      <c r="Q36" s="68" t="n">
        <f aca="false">IF($P36=0,0,$H36)</f>
        <v>0</v>
      </c>
      <c r="R36" s="67" t="b">
        <f aca="false">AND(Tasks!$D36&lt;&gt;"",N(Tasks!$T36)&gt;0)</f>
        <v>0</v>
      </c>
      <c r="T36" s="69" t="str">
        <f aca="false">IF($E36="","",IF($M36,IF(AND($G36&gt;=T$5,$G36&lt;T$5+GanttPeriod),"◆",IF(AND($E36&gt;=T$5,$E36&lt;T$5+GanttPeriod),"◇","")),IF(AND(T$5&lt;=$F36,T$5+GanttPeriod-1&gt;=$E36),"━","")))</f>
        <v/>
      </c>
      <c r="U36" s="69" t="str">
        <f aca="false">IF($E36="","",IF($M36,IF(AND($G36&gt;=U$5,$G36&lt;U$5+GanttPeriod),"◆",IF(AND($E36&gt;=U$5,$E36&lt;U$5+GanttPeriod),"◇","")),IF(AND(U$5&lt;=$F36,U$5+GanttPeriod-1&gt;=$E36),"━","")))</f>
        <v/>
      </c>
      <c r="V36" s="69" t="str">
        <f aca="false">IF($E36="","",IF($M36,IF(AND($G36&gt;=V$5,$G36&lt;V$5+GanttPeriod),"◆",IF(AND($E36&gt;=V$5,$E36&lt;V$5+GanttPeriod),"◇","")),IF(AND(V$5&lt;=$F36,V$5+GanttPeriod-1&gt;=$E36),"━","")))</f>
        <v/>
      </c>
      <c r="W36" s="69" t="str">
        <f aca="false">IF($E36="","",IF($M36,IF(AND($G36&gt;=W$5,$G36&lt;W$5+GanttPeriod),"◆",IF(AND($E36&gt;=W$5,$E36&lt;W$5+GanttPeriod),"◇","")),IF(AND(W$5&lt;=$F36,W$5+GanttPeriod-1&gt;=$E36),"━","")))</f>
        <v/>
      </c>
      <c r="X36" s="69" t="str">
        <f aca="false">IF($E36="","",IF($M36,IF(AND($G36&gt;=X$5,$G36&lt;X$5+GanttPeriod),"◆",IF(AND($E36&gt;=X$5,$E36&lt;X$5+GanttPeriod),"◇","")),IF(AND(X$5&lt;=$F36,X$5+GanttPeriod-1&gt;=$E36),"━","")))</f>
        <v/>
      </c>
      <c r="Y36" s="69" t="str">
        <f aca="false">IF($E36="","",IF($M36,IF(AND($G36&gt;=Y$5,$G36&lt;Y$5+GanttPeriod),"◆",IF(AND($E36&gt;=Y$5,$E36&lt;Y$5+GanttPeriod),"◇","")),IF(AND(Y$5&lt;=$F36,Y$5+GanttPeriod-1&gt;=$E36),"━","")))</f>
        <v/>
      </c>
      <c r="Z36" s="69" t="str">
        <f aca="false">IF($E36="","",IF($M36,IF(AND($G36&gt;=Z$5,$G36&lt;Z$5+GanttPeriod),"◆",IF(AND($E36&gt;=Z$5,$E36&lt;Z$5+GanttPeriod),"◇","")),IF(AND(Z$5&lt;=$F36,Z$5+GanttPeriod-1&gt;=$E36),"━","")))</f>
        <v/>
      </c>
      <c r="AA36" s="69" t="str">
        <f aca="false">IF($E36="","",IF($M36,IF(AND($G36&gt;=AA$5,$G36&lt;AA$5+GanttPeriod),"◆",IF(AND($E36&gt;=AA$5,$E36&lt;AA$5+GanttPeriod),"◇","")),IF(AND(AA$5&lt;=$F36,AA$5+GanttPeriod-1&gt;=$E36),"━","")))</f>
        <v/>
      </c>
      <c r="AB36" s="69" t="str">
        <f aca="false">IF($E36="","",IF($M36,IF(AND($G36&gt;=AB$5,$G36&lt;AB$5+GanttPeriod),"◆",IF(AND($E36&gt;=AB$5,$E36&lt;AB$5+GanttPeriod),"◇","")),IF(AND(AB$5&lt;=$F36,AB$5+GanttPeriod-1&gt;=$E36),"━","")))</f>
        <v/>
      </c>
      <c r="AC36" s="69" t="str">
        <f aca="false">IF($E36="","",IF($M36,IF(AND($G36&gt;=AC$5,$G36&lt;AC$5+GanttPeriod),"◆",IF(AND($E36&gt;=AC$5,$E36&lt;AC$5+GanttPeriod),"◇","")),IF(AND(AC$5&lt;=$F36,AC$5+GanttPeriod-1&gt;=$E36),"━","")))</f>
        <v/>
      </c>
      <c r="AD36" s="69" t="str">
        <f aca="false">IF($E36="","",IF($M36,IF(AND($G36&gt;=AD$5,$G36&lt;AD$5+GanttPeriod),"◆",IF(AND($E36&gt;=AD$5,$E36&lt;AD$5+GanttPeriod),"◇","")),IF(AND(AD$5&lt;=$F36,AD$5+GanttPeriod-1&gt;=$E36),"━","")))</f>
        <v/>
      </c>
      <c r="AE36" s="69" t="str">
        <f aca="false">IF($E36="","",IF($M36,IF(AND($G36&gt;=AE$5,$G36&lt;AE$5+GanttPeriod),"◆",IF(AND($E36&gt;=AE$5,$E36&lt;AE$5+GanttPeriod),"◇","")),IF(AND(AE$5&lt;=$F36,AE$5+GanttPeriod-1&gt;=$E36),"━","")))</f>
        <v/>
      </c>
      <c r="AF36" s="69" t="str">
        <f aca="false">IF($E36="","",IF($M36,IF(AND($G36&gt;=AF$5,$G36&lt;AF$5+GanttPeriod),"◆",IF(AND($E36&gt;=AF$5,$E36&lt;AF$5+GanttPeriod),"◇","")),IF(AND(AF$5&lt;=$F36,AF$5+GanttPeriod-1&gt;=$E36),"━","")))</f>
        <v/>
      </c>
      <c r="AG36" s="69" t="str">
        <f aca="false">IF($E36="","",IF($M36,IF(AND($G36&gt;=AG$5,$G36&lt;AG$5+GanttPeriod),"◆",IF(AND($E36&gt;=AG$5,$E36&lt;AG$5+GanttPeriod),"◇","")),IF(AND(AG$5&lt;=$F36,AG$5+GanttPeriod-1&gt;=$E36),"━","")))</f>
        <v/>
      </c>
      <c r="AH36" s="69" t="str">
        <f aca="false">IF($E36="","",IF($M36,IF(AND($G36&gt;=AH$5,$G36&lt;AH$5+GanttPeriod),"◆",IF(AND($E36&gt;=AH$5,$E36&lt;AH$5+GanttPeriod),"◇","")),IF(AND(AH$5&lt;=$F36,AH$5+GanttPeriod-1&gt;=$E36),"━","")))</f>
        <v/>
      </c>
      <c r="AI36" s="69" t="str">
        <f aca="false">IF($E36="","",IF($M36,IF(AND($G36&gt;=AI$5,$G36&lt;AI$5+GanttPeriod),"◆",IF(AND($E36&gt;=AI$5,$E36&lt;AI$5+GanttPeriod),"◇","")),IF(AND(AI$5&lt;=$F36,AI$5+GanttPeriod-1&gt;=$E36),"━","")))</f>
        <v/>
      </c>
      <c r="AJ36" s="69" t="str">
        <f aca="false">IF($E36="","",IF($M36,IF(AND($G36&gt;=AJ$5,$G36&lt;AJ$5+GanttPeriod),"◆",IF(AND($E36&gt;=AJ$5,$E36&lt;AJ$5+GanttPeriod),"◇","")),IF(AND(AJ$5&lt;=$F36,AJ$5+GanttPeriod-1&gt;=$E36),"━","")))</f>
        <v/>
      </c>
      <c r="AK36" s="69" t="str">
        <f aca="false">IF($E36="","",IF($M36,IF(AND($G36&gt;=AK$5,$G36&lt;AK$5+GanttPeriod),"◆",IF(AND($E36&gt;=AK$5,$E36&lt;AK$5+GanttPeriod),"◇","")),IF(AND(AK$5&lt;=$F36,AK$5+GanttPeriod-1&gt;=$E36),"━","")))</f>
        <v/>
      </c>
      <c r="AL36" s="69" t="str">
        <f aca="false">IF($E36="","",IF($M36,IF(AND($G36&gt;=AL$5,$G36&lt;AL$5+GanttPeriod),"◆",IF(AND($E36&gt;=AL$5,$E36&lt;AL$5+GanttPeriod),"◇","")),IF(AND(AL$5&lt;=$F36,AL$5+GanttPeriod-1&gt;=$E36),"━","")))</f>
        <v/>
      </c>
      <c r="AM36" s="69" t="str">
        <f aca="false">IF($E36="","",IF($M36,IF(AND($G36&gt;=AM$5,$G36&lt;AM$5+GanttPeriod),"◆",IF(AND($E36&gt;=AM$5,$E36&lt;AM$5+GanttPeriod),"◇","")),IF(AND(AM$5&lt;=$F36,AM$5+GanttPeriod-1&gt;=$E36),"━","")))</f>
        <v/>
      </c>
      <c r="AN36" s="69" t="str">
        <f aca="false">IF($E36="","",IF($M36,IF(AND($G36&gt;=AN$5,$G36&lt;AN$5+GanttPeriod),"◆",IF(AND($E36&gt;=AN$5,$E36&lt;AN$5+GanttPeriod),"◇","")),IF(AND(AN$5&lt;=$F36,AN$5+GanttPeriod-1&gt;=$E36),"━","")))</f>
        <v/>
      </c>
      <c r="AO36" s="69" t="str">
        <f aca="false">IF($E36="","",IF($M36,IF(AND($G36&gt;=AO$5,$G36&lt;AO$5+GanttPeriod),"◆",IF(AND($E36&gt;=AO$5,$E36&lt;AO$5+GanttPeriod),"◇","")),IF(AND(AO$5&lt;=$F36,AO$5+GanttPeriod-1&gt;=$E36),"━","")))</f>
        <v/>
      </c>
      <c r="AP36" s="69" t="str">
        <f aca="false">IF($E36="","",IF($M36,IF(AND($G36&gt;=AP$5,$G36&lt;AP$5+GanttPeriod),"◆",IF(AND($E36&gt;=AP$5,$E36&lt;AP$5+GanttPeriod),"◇","")),IF(AND(AP$5&lt;=$F36,AP$5+GanttPeriod-1&gt;=$E36),"━","")))</f>
        <v/>
      </c>
      <c r="AQ36" s="69" t="str">
        <f aca="false">IF($E36="","",IF($M36,IF(AND($G36&gt;=AQ$5,$G36&lt;AQ$5+GanttPeriod),"◆",IF(AND($E36&gt;=AQ$5,$E36&lt;AQ$5+GanttPeriod),"◇","")),IF(AND(AQ$5&lt;=$F36,AQ$5+GanttPeriod-1&gt;=$E36),"━","")))</f>
        <v/>
      </c>
      <c r="AR36" s="69" t="str">
        <f aca="false">IF($E36="","",IF($M36,IF(AND($G36&gt;=AR$5,$G36&lt;AR$5+GanttPeriod),"◆",IF(AND($E36&gt;=AR$5,$E36&lt;AR$5+GanttPeriod),"◇","")),IF(AND(AR$5&lt;=$F36,AR$5+GanttPeriod-1&gt;=$E36),"━","")))</f>
        <v/>
      </c>
      <c r="AS36" s="69" t="str">
        <f aca="false">IF($E36="","",IF($M36,IF(AND($G36&gt;=AS$5,$G36&lt;AS$5+GanttPeriod),"◆",IF(AND($E36&gt;=AS$5,$E36&lt;AS$5+GanttPeriod),"◇","")),IF(AND(AS$5&lt;=$F36,AS$5+GanttPeriod-1&gt;=$E36),"━","")))</f>
        <v/>
      </c>
      <c r="AT36" s="69" t="str">
        <f aca="false">IF($E36="","",IF($M36,IF(AND($G36&gt;=AT$5,$G36&lt;AT$5+GanttPeriod),"◆",IF(AND($E36&gt;=AT$5,$E36&lt;AT$5+GanttPeriod),"◇","")),IF(AND(AT$5&lt;=$F36,AT$5+GanttPeriod-1&gt;=$E36),"━","")))</f>
        <v/>
      </c>
      <c r="AU36" s="69" t="str">
        <f aca="false">IF($E36="","",IF($M36,IF(AND($G36&gt;=AU$5,$G36&lt;AU$5+GanttPeriod),"◆",IF(AND($E36&gt;=AU$5,$E36&lt;AU$5+GanttPeriod),"◇","")),IF(AND(AU$5&lt;=$F36,AU$5+GanttPeriod-1&gt;=$E36),"━","")))</f>
        <v/>
      </c>
      <c r="AV36" s="69" t="str">
        <f aca="false">IF($E36="","",IF($M36,IF(AND($G36&gt;=AV$5,$G36&lt;AV$5+GanttPeriod),"◆",IF(AND($E36&gt;=AV$5,$E36&lt;AV$5+GanttPeriod),"◇","")),IF(AND(AV$5&lt;=$F36,AV$5+GanttPeriod-1&gt;=$E36),"━","")))</f>
        <v/>
      </c>
      <c r="AW36" s="69" t="str">
        <f aca="false">IF($E36="","",IF($M36,IF(AND($G36&gt;=AW$5,$G36&lt;AW$5+GanttPeriod),"◆",IF(AND($E36&gt;=AW$5,$E36&lt;AW$5+GanttPeriod),"◇","")),IF(AND(AW$5&lt;=$F36,AW$5+GanttPeriod-1&gt;=$E36),"━","")))</f>
        <v/>
      </c>
      <c r="AX36" s="69" t="str">
        <f aca="false">IF($E36="","",IF($M36,IF(AND($G36&gt;=AX$5,$G36&lt;AX$5+GanttPeriod),"◆",IF(AND($E36&gt;=AX$5,$E36&lt;AX$5+GanttPeriod),"◇","")),IF(AND(AX$5&lt;=$F36,AX$5+GanttPeriod-1&gt;=$E36),"━","")))</f>
        <v/>
      </c>
      <c r="AY36" s="69" t="str">
        <f aca="false">IF($E36="","",IF($M36,IF(AND($G36&gt;=AY$5,$G36&lt;AY$5+GanttPeriod),"◆",IF(AND($E36&gt;=AY$5,$E36&lt;AY$5+GanttPeriod),"◇","")),IF(AND(AY$5&lt;=$F36,AY$5+GanttPeriod-1&gt;=$E36),"━","")))</f>
        <v/>
      </c>
      <c r="AZ36" s="69" t="str">
        <f aca="false">IF($E36="","",IF($M36,IF(AND($G36&gt;=AZ$5,$G36&lt;AZ$5+GanttPeriod),"◆",IF(AND($E36&gt;=AZ$5,$E36&lt;AZ$5+GanttPeriod),"◇","")),IF(AND(AZ$5&lt;=$F36,AZ$5+GanttPeriod-1&gt;=$E36),"━","")))</f>
        <v/>
      </c>
      <c r="BA36" s="69" t="str">
        <f aca="false">IF($E36="","",IF($M36,IF(AND($G36&gt;=BA$5,$G36&lt;BA$5+GanttPeriod),"◆",IF(AND($E36&gt;=BA$5,$E36&lt;BA$5+GanttPeriod),"◇","")),IF(AND(BA$5&lt;=$F36,BA$5+GanttPeriod-1&gt;=$E36),"━","")))</f>
        <v/>
      </c>
      <c r="BB36" s="69" t="str">
        <f aca="false">IF($E36="","",IF($M36,IF(AND($G36&gt;=BB$5,$G36&lt;BB$5+GanttPeriod),"◆",IF(AND($E36&gt;=BB$5,$E36&lt;BB$5+GanttPeriod),"◇","")),IF(AND(BB$5&lt;=$F36,BB$5+GanttPeriod-1&gt;=$E36),"━","")))</f>
        <v/>
      </c>
      <c r="BC36" s="69" t="str">
        <f aca="false">IF($E36="","",IF($M36,IF(AND($G36&gt;=BC$5,$G36&lt;BC$5+GanttPeriod),"◆",IF(AND($E36&gt;=BC$5,$E36&lt;BC$5+GanttPeriod),"◇","")),IF(AND(BC$5&lt;=$F36,BC$5+GanttPeriod-1&gt;=$E36),"━","")))</f>
        <v/>
      </c>
      <c r="BD36" s="69" t="str">
        <f aca="false">IF($E36="","",IF($M36,IF(AND($G36&gt;=BD$5,$G36&lt;BD$5+GanttPeriod),"◆",IF(AND($E36&gt;=BD$5,$E36&lt;BD$5+GanttPeriod),"◇","")),IF(AND(BD$5&lt;=$F36,BD$5+GanttPeriod-1&gt;=$E36),"━","")))</f>
        <v/>
      </c>
      <c r="BE36" s="69" t="str">
        <f aca="false">IF($E36="","",IF($M36,IF(AND($G36&gt;=BE$5,$G36&lt;BE$5+GanttPeriod),"◆",IF(AND($E36&gt;=BE$5,$E36&lt;BE$5+GanttPeriod),"◇","")),IF(AND(BE$5&lt;=$F36,BE$5+GanttPeriod-1&gt;=$E36),"━","")))</f>
        <v/>
      </c>
      <c r="BF36" s="69" t="str">
        <f aca="false">IF($E36="","",IF($M36,IF(AND($G36&gt;=BF$5,$G36&lt;BF$5+GanttPeriod),"◆",IF(AND($E36&gt;=BF$5,$E36&lt;BF$5+GanttPeriod),"◇","")),IF(AND(BF$5&lt;=$F36,BF$5+GanttPeriod-1&gt;=$E36),"━","")))</f>
        <v/>
      </c>
      <c r="BG36" s="69" t="str">
        <f aca="false">IF($E36="","",IF($M36,IF(AND($G36&gt;=BG$5,$G36&lt;BG$5+GanttPeriod),"◆",IF(AND($E36&gt;=BG$5,$E36&lt;BG$5+GanttPeriod),"◇","")),IF(AND(BG$5&lt;=$F36,BG$5+GanttPeriod-1&gt;=$E36),"━","")))</f>
        <v/>
      </c>
      <c r="BH36" s="69" t="str">
        <f aca="false">IF($E36="","",IF($M36,IF(AND($G36&gt;=BH$5,$G36&lt;BH$5+GanttPeriod),"◆",IF(AND($E36&gt;=BH$5,$E36&lt;BH$5+GanttPeriod),"◇","")),IF(AND(BH$5&lt;=$F36,BH$5+GanttPeriod-1&gt;=$E36),"━","")))</f>
        <v/>
      </c>
      <c r="BI36" s="69" t="str">
        <f aca="false">IF($E36="","",IF($M36,IF(AND($G36&gt;=BI$5,$G36&lt;BI$5+GanttPeriod),"◆",IF(AND($E36&gt;=BI$5,$E36&lt;BI$5+GanttPeriod),"◇","")),IF(AND(BI$5&lt;=$F36,BI$5+GanttPeriod-1&gt;=$E36),"━","")))</f>
        <v/>
      </c>
      <c r="BJ36" s="69" t="str">
        <f aca="false">IF($E36="","",IF($M36,IF(AND($G36&gt;=BJ$5,$G36&lt;BJ$5+GanttPeriod),"◆",IF(AND($E36&gt;=BJ$5,$E36&lt;BJ$5+GanttPeriod),"◇","")),IF(AND(BJ$5&lt;=$F36,BJ$5+GanttPeriod-1&gt;=$E36),"━","")))</f>
        <v/>
      </c>
      <c r="BK36" s="69" t="str">
        <f aca="false">IF($E36="","",IF($M36,IF(AND($G36&gt;=BK$5,$G36&lt;BK$5+GanttPeriod),"◆",IF(AND($E36&gt;=BK$5,$E36&lt;BK$5+GanttPeriod),"◇","")),IF(AND(BK$5&lt;=$F36,BK$5+GanttPeriod-1&gt;=$E36),"━","")))</f>
        <v/>
      </c>
      <c r="BL36" s="69" t="str">
        <f aca="false">IF($E36="","",IF($M36,IF(AND($G36&gt;=BL$5,$G36&lt;BL$5+GanttPeriod),"◆",IF(AND($E36&gt;=BL$5,$E36&lt;BL$5+GanttPeriod),"◇","")),IF(AND(BL$5&lt;=$F36,BL$5+GanttPeriod-1&gt;=$E36),"━","")))</f>
        <v/>
      </c>
      <c r="BM36" s="69" t="str">
        <f aca="false">IF($E36="","",IF($M36,IF(AND($G36&gt;=BM$5,$G36&lt;BM$5+GanttPeriod),"◆",IF(AND($E36&gt;=BM$5,$E36&lt;BM$5+GanttPeriod),"◇","")),IF(AND(BM$5&lt;=$F36,BM$5+GanttPeriod-1&gt;=$E36),"━","")))</f>
        <v/>
      </c>
      <c r="BN36" s="69" t="str">
        <f aca="false">IF($E36="","",IF($M36,IF(AND($G36&gt;=BN$5,$G36&lt;BN$5+GanttPeriod),"◆",IF(AND($E36&gt;=BN$5,$E36&lt;BN$5+GanttPeriod),"◇","")),IF(AND(BN$5&lt;=$F36,BN$5+GanttPeriod-1&gt;=$E36),"━","")))</f>
        <v/>
      </c>
      <c r="BO36" s="69" t="str">
        <f aca="false">IF($E36="","",IF($M36,IF(AND($G36&gt;=BO$5,$G36&lt;BO$5+GanttPeriod),"◆",IF(AND($E36&gt;=BO$5,$E36&lt;BO$5+GanttPeriod),"◇","")),IF(AND(BO$5&lt;=$F36,BO$5+GanttPeriod-1&gt;=$E36),"━","")))</f>
        <v/>
      </c>
      <c r="BP36" s="69" t="str">
        <f aca="false">IF($E36="","",IF($M36,IF(AND($G36&gt;=BP$5,$G36&lt;BP$5+GanttPeriod),"◆",IF(AND($E36&gt;=BP$5,$E36&lt;BP$5+GanttPeriod),"◇","")),IF(AND(BP$5&lt;=$F36,BP$5+GanttPeriod-1&gt;=$E36),"━","")))</f>
        <v/>
      </c>
      <c r="BQ36" s="69" t="str">
        <f aca="false">IF($E36="","",IF($M36,IF(AND($G36&gt;=BQ$5,$G36&lt;BQ$5+GanttPeriod),"◆",IF(AND($E36&gt;=BQ$5,$E36&lt;BQ$5+GanttPeriod),"◇","")),IF(AND(BQ$5&lt;=$F36,BQ$5+GanttPeriod-1&gt;=$E36),"━","")))</f>
        <v/>
      </c>
      <c r="BR36" s="69" t="str">
        <f aca="false">IF($E36="","",IF($M36,IF(AND($G36&gt;=BR$5,$G36&lt;BR$5+GanttPeriod),"◆",IF(AND($E36&gt;=BR$5,$E36&lt;BR$5+GanttPeriod),"◇","")),IF(AND(BR$5&lt;=$F36,BR$5+GanttPeriod-1&gt;=$E36),"━","")))</f>
        <v/>
      </c>
      <c r="BS36" s="69" t="str">
        <f aca="false">IF($E36="","",IF($M36,IF(AND($G36&gt;=BS$5,$G36&lt;BS$5+GanttPeriod),"◆",IF(AND($E36&gt;=BS$5,$E36&lt;BS$5+GanttPeriod),"◇","")),IF(AND(BS$5&lt;=$F36,BS$5+GanttPeriod-1&gt;=$E36),"━","")))</f>
        <v/>
      </c>
      <c r="BT36" s="69" t="str">
        <f aca="false">IF($E36="","",IF($M36,IF(AND($G36&gt;=BT$5,$G36&lt;BT$5+GanttPeriod),"◆",IF(AND($E36&gt;=BT$5,$E36&lt;BT$5+GanttPeriod),"◇","")),IF(AND(BT$5&lt;=$F36,BT$5+GanttPeriod-1&gt;=$E36),"━","")))</f>
        <v/>
      </c>
      <c r="BU36" s="69" t="str">
        <f aca="false">IF($E36="","",IF($M36,IF(AND($G36&gt;=BU$5,$G36&lt;BU$5+GanttPeriod),"◆",IF(AND($E36&gt;=BU$5,$E36&lt;BU$5+GanttPeriod),"◇","")),IF(AND(BU$5&lt;=$F36,BU$5+GanttPeriod-1&gt;=$E36),"━","")))</f>
        <v/>
      </c>
      <c r="BV36" s="69" t="str">
        <f aca="false">IF($E36="","",IF($M36,IF(AND($G36&gt;=BV$5,$G36&lt;BV$5+GanttPeriod),"◆",IF(AND($E36&gt;=BV$5,$E36&lt;BV$5+GanttPeriod),"◇","")),IF(AND(BV$5&lt;=$F36,BV$5+GanttPeriod-1&gt;=$E36),"━","")))</f>
        <v/>
      </c>
      <c r="BW36" s="69" t="str">
        <f aca="false">IF($E36="","",IF($M36,IF(AND($G36&gt;=BW$5,$G36&lt;BW$5+GanttPeriod),"◆",IF(AND($E36&gt;=BW$5,$E36&lt;BW$5+GanttPeriod),"◇","")),IF(AND(BW$5&lt;=$F36,BW$5+GanttPeriod-1&gt;=$E36),"━","")))</f>
        <v/>
      </c>
      <c r="BX36" s="69" t="str">
        <f aca="false">IF($E36="","",IF($M36,IF(AND($G36&gt;=BX$5,$G36&lt;BX$5+GanttPeriod),"◆",IF(AND($E36&gt;=BX$5,$E36&lt;BX$5+GanttPeriod),"◇","")),IF(AND(BX$5&lt;=$F36,BX$5+GanttPeriod-1&gt;=$E36),"━","")))</f>
        <v/>
      </c>
      <c r="BY36" s="69" t="str">
        <f aca="false">IF($E36="","",IF($M36,IF(AND($G36&gt;=BY$5,$G36&lt;BY$5+GanttPeriod),"◆",IF(AND($E36&gt;=BY$5,$E36&lt;BY$5+GanttPeriod),"◇","")),IF(AND(BY$5&lt;=$F36,BY$5+GanttPeriod-1&gt;=$E36),"━","")))</f>
        <v/>
      </c>
      <c r="BZ36" s="69" t="str">
        <f aca="false">IF($E36="","",IF($M36,IF(AND($G36&gt;=BZ$5,$G36&lt;BZ$5+GanttPeriod),"◆",IF(AND($E36&gt;=BZ$5,$E36&lt;BZ$5+GanttPeriod),"◇","")),IF(AND(BZ$5&lt;=$F36,BZ$5+GanttPeriod-1&gt;=$E36),"━","")))</f>
        <v/>
      </c>
      <c r="CA36" s="69" t="str">
        <f aca="false">IF($E36="","",IF($M36,IF(AND($G36&gt;=CA$5,$G36&lt;CA$5+GanttPeriod),"◆",IF(AND($E36&gt;=CA$5,$E36&lt;CA$5+GanttPeriod),"◇","")),IF(AND(CA$5&lt;=$F36,CA$5+GanttPeriod-1&gt;=$E36),"━","")))</f>
        <v/>
      </c>
      <c r="CB36" s="69" t="str">
        <f aca="false">IF($E36="","",IF($M36,IF(AND($G36&gt;=CB$5,$G36&lt;CB$5+GanttPeriod),"◆",IF(AND($E36&gt;=CB$5,$E36&lt;CB$5+GanttPeriod),"◇","")),IF(AND(CB$5&lt;=$F36,CB$5+GanttPeriod-1&gt;=$E36),"━","")))</f>
        <v/>
      </c>
      <c r="CC36" s="69" t="str">
        <f aca="false">IF($E36="","",IF($M36,IF(AND($G36&gt;=CC$5,$G36&lt;CC$5+GanttPeriod),"◆",IF(AND($E36&gt;=CC$5,$E36&lt;CC$5+GanttPeriod),"◇","")),IF(AND(CC$5&lt;=$F36,CC$5+GanttPeriod-1&gt;=$E36),"━","")))</f>
        <v/>
      </c>
      <c r="CD36" s="69" t="str">
        <f aca="false">IF($E36="","",IF($M36,IF(AND($G36&gt;=CD$5,$G36&lt;CD$5+GanttPeriod),"◆",IF(AND($E36&gt;=CD$5,$E36&lt;CD$5+GanttPeriod),"◇","")),IF(AND(CD$5&lt;=$F36,CD$5+GanttPeriod-1&gt;=$E36),"━","")))</f>
        <v/>
      </c>
      <c r="CE36" s="69" t="str">
        <f aca="false">IF($E36="","",IF($M36,IF(AND($G36&gt;=CE$5,$G36&lt;CE$5+GanttPeriod),"◆",IF(AND($E36&gt;=CE$5,$E36&lt;CE$5+GanttPeriod),"◇","")),IF(AND(CE$5&lt;=$F36,CE$5+GanttPeriod-1&gt;=$E36),"━","")))</f>
        <v/>
      </c>
      <c r="CF36" s="69" t="str">
        <f aca="false">IF($E36="","",IF($M36,IF(AND($G36&gt;=CF$5,$G36&lt;CF$5+GanttPeriod),"◆",IF(AND($E36&gt;=CF$5,$E36&lt;CF$5+GanttPeriod),"◇","")),IF(AND(CF$5&lt;=$F36,CF$5+GanttPeriod-1&gt;=$E36),"━","")))</f>
        <v/>
      </c>
      <c r="CG36" s="69" t="str">
        <f aca="false">IF($E36="","",IF($M36,IF(AND($G36&gt;=CG$5,$G36&lt;CG$5+GanttPeriod),"◆",IF(AND($E36&gt;=CG$5,$E36&lt;CG$5+GanttPeriod),"◇","")),IF(AND(CG$5&lt;=$F36,CG$5+GanttPeriod-1&gt;=$E36),"━","")))</f>
        <v/>
      </c>
      <c r="CH36" s="69" t="str">
        <f aca="false">IF($E36="","",IF($M36,IF(AND($G36&gt;=CH$5,$G36&lt;CH$5+GanttPeriod),"◆",IF(AND($E36&gt;=CH$5,$E36&lt;CH$5+GanttPeriod),"◇","")),IF(AND(CH$5&lt;=$F36,CH$5+GanttPeriod-1&gt;=$E36),"━","")))</f>
        <v/>
      </c>
      <c r="CI36" s="69" t="str">
        <f aca="false">IF($E36="","",IF($M36,IF(AND($G36&gt;=CI$5,$G36&lt;CI$5+GanttPeriod),"◆",IF(AND($E36&gt;=CI$5,$E36&lt;CI$5+GanttPeriod),"◇","")),IF(AND(CI$5&lt;=$F36,CI$5+GanttPeriod-1&gt;=$E36),"━","")))</f>
        <v/>
      </c>
      <c r="CJ36" s="69" t="str">
        <f aca="false">IF($E36="","",IF($M36,IF(AND($G36&gt;=CJ$5,$G36&lt;CJ$5+GanttPeriod),"◆",IF(AND($E36&gt;=CJ$5,$E36&lt;CJ$5+GanttPeriod),"◇","")),IF(AND(CJ$5&lt;=$F36,CJ$5+GanttPeriod-1&gt;=$E36),"━","")))</f>
        <v/>
      </c>
      <c r="CK36" s="69" t="str">
        <f aca="false">IF($E36="","",IF($M36,IF(AND($G36&gt;=CK$5,$G36&lt;CK$5+GanttPeriod),"◆",IF(AND($E36&gt;=CK$5,$E36&lt;CK$5+GanttPeriod),"◇","")),IF(AND(CK$5&lt;=$F36,CK$5+GanttPeriod-1&gt;=$E36),"━","")))</f>
        <v/>
      </c>
      <c r="CL36" s="69" t="str">
        <f aca="false">IF($E36="","",IF($M36,IF(AND($G36&gt;=CL$5,$G36&lt;CL$5+GanttPeriod),"◆",IF(AND($E36&gt;=CL$5,$E36&lt;CL$5+GanttPeriod),"◇","")),IF(AND(CL$5&lt;=$F36,CL$5+GanttPeriod-1&gt;=$E36),"━","")))</f>
        <v/>
      </c>
      <c r="CM36" s="69" t="str">
        <f aca="false">IF($E36="","",IF($M36,IF(AND($G36&gt;=CM$5,$G36&lt;CM$5+GanttPeriod),"◆",IF(AND($E36&gt;=CM$5,$E36&lt;CM$5+GanttPeriod),"◇","")),IF(AND(CM$5&lt;=$F36,CM$5+GanttPeriod-1&gt;=$E36),"━","")))</f>
        <v/>
      </c>
      <c r="CN36" s="69" t="str">
        <f aca="false">IF($E36="","",IF($M36,IF(AND($G36&gt;=CN$5,$G36&lt;CN$5+GanttPeriod),"◆",IF(AND($E36&gt;=CN$5,$E36&lt;CN$5+GanttPeriod),"◇","")),IF(AND(CN$5&lt;=$F36,CN$5+GanttPeriod-1&gt;=$E36),"━","")))</f>
        <v/>
      </c>
      <c r="CO36" s="69" t="str">
        <f aca="false">IF($E36="","",IF($M36,IF(AND($G36&gt;=CO$5,$G36&lt;CO$5+GanttPeriod),"◆",IF(AND($E36&gt;=CO$5,$E36&lt;CO$5+GanttPeriod),"◇","")),IF(AND(CO$5&lt;=$F36,CO$5+GanttPeriod-1&gt;=$E36),"━","")))</f>
        <v/>
      </c>
      <c r="CP36" s="69" t="str">
        <f aca="false">IF($E36="","",IF($M36,IF(AND($G36&gt;=CP$5,$G36&lt;CP$5+GanttPeriod),"◆",IF(AND($E36&gt;=CP$5,$E36&lt;CP$5+GanttPeriod),"◇","")),IF(AND(CP$5&lt;=$F36,CP$5+GanttPeriod-1&gt;=$E36),"━","")))</f>
        <v/>
      </c>
      <c r="CQ36" s="69" t="str">
        <f aca="false">IF($E36="","",IF($M36,IF(AND($G36&gt;=CQ$5,$G36&lt;CQ$5+GanttPeriod),"◆",IF(AND($E36&gt;=CQ$5,$E36&lt;CQ$5+GanttPeriod),"◇","")),IF(AND(CQ$5&lt;=$F36,CQ$5+GanttPeriod-1&gt;=$E36),"━","")))</f>
        <v/>
      </c>
      <c r="CR36" s="69" t="str">
        <f aca="false">IF($E36="","",IF($M36,IF(AND($G36&gt;=CR$5,$G36&lt;CR$5+GanttPeriod),"◆",IF(AND($E36&gt;=CR$5,$E36&lt;CR$5+GanttPeriod),"◇","")),IF(AND(CR$5&lt;=$F36,CR$5+GanttPeriod-1&gt;=$E36),"━","")))</f>
        <v/>
      </c>
      <c r="CS36" s="69" t="str">
        <f aca="false">IF($E36="","",IF($M36,IF(AND($G36&gt;=CS$5,$G36&lt;CS$5+GanttPeriod),"◆",IF(AND($E36&gt;=CS$5,$E36&lt;CS$5+GanttPeriod),"◇","")),IF(AND(CS$5&lt;=$F36,CS$5+GanttPeriod-1&gt;=$E36),"━","")))</f>
        <v/>
      </c>
      <c r="CT36" s="69" t="str">
        <f aca="false">IF($E36="","",IF($M36,IF(AND($G36&gt;=CT$5,$G36&lt;CT$5+GanttPeriod),"◆",IF(AND($E36&gt;=CT$5,$E36&lt;CT$5+GanttPeriod),"◇","")),IF(AND(CT$5&lt;=$F36,CT$5+GanttPeriod-1&gt;=$E36),"━","")))</f>
        <v/>
      </c>
      <c r="CU36" s="69" t="str">
        <f aca="false">IF($E36="","",IF($M36,IF(AND($G36&gt;=CU$5,$G36&lt;CU$5+GanttPeriod),"◆",IF(AND($E36&gt;=CU$5,$E36&lt;CU$5+GanttPeriod),"◇","")),IF(AND(CU$5&lt;=$F36,CU$5+GanttPeriod-1&gt;=$E36),"━","")))</f>
        <v/>
      </c>
      <c r="CV36" s="69" t="str">
        <f aca="false">IF($E36="","",IF($M36,IF(AND($G36&gt;=CV$5,$G36&lt;CV$5+GanttPeriod),"◆",IF(AND($E36&gt;=CV$5,$E36&lt;CV$5+GanttPeriod),"◇","")),IF(AND(CV$5&lt;=$F36,CV$5+GanttPeriod-1&gt;=$E36),"━","")))</f>
        <v/>
      </c>
      <c r="CW36" s="69" t="str">
        <f aca="false">IF($E36="","",IF($M36,IF(AND($G36&gt;=CW$5,$G36&lt;CW$5+GanttPeriod),"◆",IF(AND($E36&gt;=CW$5,$E36&lt;CW$5+GanttPeriod),"◇","")),IF(AND(CW$5&lt;=$F36,CW$5+GanttPeriod-1&gt;=$E36),"━","")))</f>
        <v/>
      </c>
      <c r="CX36" s="69" t="str">
        <f aca="false">IF($E36="","",IF($M36,IF(AND($G36&gt;=CX$5,$G36&lt;CX$5+GanttPeriod),"◆",IF(AND($E36&gt;=CX$5,$E36&lt;CX$5+GanttPeriod),"◇","")),IF(AND(CX$5&lt;=$F36,CX$5+GanttPeriod-1&gt;=$E36),"━","")))</f>
        <v/>
      </c>
      <c r="CY36" s="69" t="str">
        <f aca="false">IF($E36="","",IF($M36,IF(AND($G36&gt;=CY$5,$G36&lt;CY$5+GanttPeriod),"◆",IF(AND($E36&gt;=CY$5,$E36&lt;CY$5+GanttPeriod),"◇","")),IF(AND(CY$5&lt;=$F36,CY$5+GanttPeriod-1&gt;=$E36),"━","")))</f>
        <v/>
      </c>
      <c r="CZ36" s="69" t="str">
        <f aca="false">IF($E36="","",IF($M36,IF(AND($G36&gt;=CZ$5,$G36&lt;CZ$5+GanttPeriod),"◆",IF(AND($E36&gt;=CZ$5,$E36&lt;CZ$5+GanttPeriod),"◇","")),IF(AND(CZ$5&lt;=$F36,CZ$5+GanttPeriod-1&gt;=$E36),"━","")))</f>
        <v/>
      </c>
      <c r="DA36" s="69" t="str">
        <f aca="false">IF($E36="","",IF($M36,IF(AND($G36&gt;=DA$5,$G36&lt;DA$5+GanttPeriod),"◆",IF(AND($E36&gt;=DA$5,$E36&lt;DA$5+GanttPeriod),"◇","")),IF(AND(DA$5&lt;=$F36,DA$5+GanttPeriod-1&gt;=$E36),"━","")))</f>
        <v/>
      </c>
      <c r="DB36" s="69" t="str">
        <f aca="false">IF($E36="","",IF($M36,IF(AND($G36&gt;=DB$5,$G36&lt;DB$5+GanttPeriod),"◆",IF(AND($E36&gt;=DB$5,$E36&lt;DB$5+GanttPeriod),"◇","")),IF(AND(DB$5&lt;=$F36,DB$5+GanttPeriod-1&gt;=$E36),"━","")))</f>
        <v/>
      </c>
      <c r="DC36" s="69" t="str">
        <f aca="false">IF($E36="","",IF($M36,IF(AND($G36&gt;=DC$5,$G36&lt;DC$5+GanttPeriod),"◆",IF(AND($E36&gt;=DC$5,$E36&lt;DC$5+GanttPeriod),"◇","")),IF(AND(DC$5&lt;=$F36,DC$5+GanttPeriod-1&gt;=$E36),"━","")))</f>
        <v/>
      </c>
      <c r="DD36" s="69" t="str">
        <f aca="false">IF($E36="","",IF($M36,IF(AND($G36&gt;=DD$5,$G36&lt;DD$5+GanttPeriod),"◆",IF(AND($E36&gt;=DD$5,$E36&lt;DD$5+GanttPeriod),"◇","")),IF(AND(DD$5&lt;=$F36,DD$5+GanttPeriod-1&gt;=$E36),"━","")))</f>
        <v/>
      </c>
      <c r="DE36" s="69" t="str">
        <f aca="false">IF($E36="","",IF($M36,IF(AND($G36&gt;=DE$5,$G36&lt;DE$5+GanttPeriod),"◆",IF(AND($E36&gt;=DE$5,$E36&lt;DE$5+GanttPeriod),"◇","")),IF(AND(DE$5&lt;=$F36,DE$5+GanttPeriod-1&gt;=$E36),"━","")))</f>
        <v/>
      </c>
      <c r="DF36" s="69" t="str">
        <f aca="false">IF($E36="","",IF($M36,IF(AND($G36&gt;=DF$5,$G36&lt;DF$5+GanttPeriod),"◆",IF(AND($E36&gt;=DF$5,$E36&lt;DF$5+GanttPeriod),"◇","")),IF(AND(DF$5&lt;=$F36,DF$5+GanttPeriod-1&gt;=$E36),"━","")))</f>
        <v/>
      </c>
      <c r="DG36" s="69" t="str">
        <f aca="false">IF($E36="","",IF($M36,IF(AND($G36&gt;=DG$5,$G36&lt;DG$5+GanttPeriod),"◆",IF(AND($E36&gt;=DG$5,$E36&lt;DG$5+GanttPeriod),"◇","")),IF(AND(DG$5&lt;=$F36,DG$5+GanttPeriod-1&gt;=$E36),"━","")))</f>
        <v/>
      </c>
      <c r="DH36" s="69" t="str">
        <f aca="false">IF($E36="","",IF($M36,IF(AND($G36&gt;=DH$5,$G36&lt;DH$5+GanttPeriod),"◆",IF(AND($E36&gt;=DH$5,$E36&lt;DH$5+GanttPeriod),"◇","")),IF(AND(DH$5&lt;=$F36,DH$5+GanttPeriod-1&gt;=$E36),"━","")))</f>
        <v/>
      </c>
      <c r="DI36" s="69" t="str">
        <f aca="false">IF($E36="","",IF($M36,IF(AND($G36&gt;=DI$5,$G36&lt;DI$5+GanttPeriod),"◆",IF(AND($E36&gt;=DI$5,$E36&lt;DI$5+GanttPeriod),"◇","")),IF(AND(DI$5&lt;=$F36,DI$5+GanttPeriod-1&gt;=$E36),"━","")))</f>
        <v/>
      </c>
      <c r="DJ36" s="69" t="str">
        <f aca="false">IF($E36="","",IF($M36,IF(AND($G36&gt;=DJ$5,$G36&lt;DJ$5+GanttPeriod),"◆",IF(AND($E36&gt;=DJ$5,$E36&lt;DJ$5+GanttPeriod),"◇","")),IF(AND(DJ$5&lt;=$F36,DJ$5+GanttPeriod-1&gt;=$E36),"━","")))</f>
        <v/>
      </c>
      <c r="DK36" s="69" t="str">
        <f aca="false">IF($E36="","",IF($M36,IF(AND($G36&gt;=DK$5,$G36&lt;DK$5+GanttPeriod),"◆",IF(AND($E36&gt;=DK$5,$E36&lt;DK$5+GanttPeriod),"◇","")),IF(AND(DK$5&lt;=$F36,DK$5+GanttPeriod-1&gt;=$E36),"━","")))</f>
        <v/>
      </c>
      <c r="DL36" s="69" t="str">
        <f aca="false">IF($E36="","",IF($M36,IF(AND($G36&gt;=DL$5,$G36&lt;DL$5+GanttPeriod),"◆",IF(AND($E36&gt;=DL$5,$E36&lt;DL$5+GanttPeriod),"◇","")),IF(AND(DL$5&lt;=$F36,DL$5+GanttPeriod-1&gt;=$E36),"━","")))</f>
        <v/>
      </c>
      <c r="DM36" s="69" t="str">
        <f aca="false">IF($E36="","",IF($M36,IF(AND($G36&gt;=DM$5,$G36&lt;DM$5+GanttPeriod),"◆",IF(AND($E36&gt;=DM$5,$E36&lt;DM$5+GanttPeriod),"◇","")),IF(AND(DM$5&lt;=$F36,DM$5+GanttPeriod-1&gt;=$E36),"━","")))</f>
        <v/>
      </c>
      <c r="DN36" s="69" t="str">
        <f aca="false">IF($E36="","",IF($M36,IF(AND($G36&gt;=DN$5,$G36&lt;DN$5+GanttPeriod),"◆",IF(AND($E36&gt;=DN$5,$E36&lt;DN$5+GanttPeriod),"◇","")),IF(AND(DN$5&lt;=$F36,DN$5+GanttPeriod-1&gt;=$E36),"━","")))</f>
        <v/>
      </c>
      <c r="DO36" s="69" t="str">
        <f aca="false">IF($E36="","",IF($M36,IF(AND($G36&gt;=DO$5,$G36&lt;DO$5+GanttPeriod),"◆",IF(AND($E36&gt;=DO$5,$E36&lt;DO$5+GanttPeriod),"◇","")),IF(AND(DO$5&lt;=$F36,DO$5+GanttPeriod-1&gt;=$E36),"━","")))</f>
        <v/>
      </c>
      <c r="DP36" s="69" t="str">
        <f aca="false">IF($E36="","",IF($M36,IF(AND($G36&gt;=DP$5,$G36&lt;DP$5+GanttPeriod),"◆",IF(AND($E36&gt;=DP$5,$E36&lt;DP$5+GanttPeriod),"◇","")),IF(AND(DP$5&lt;=$F36,DP$5+GanttPeriod-1&gt;=$E36),"━","")))</f>
        <v/>
      </c>
      <c r="DQ36" s="69" t="str">
        <f aca="false">IF($E36="","",IF($M36,IF(AND($G36&gt;=DQ$5,$G36&lt;DQ$5+GanttPeriod),"◆",IF(AND($E36&gt;=DQ$5,$E36&lt;DQ$5+GanttPeriod),"◇","")),IF(AND(DQ$5&lt;=$F36,DQ$5+GanttPeriod-1&gt;=$E36),"━","")))</f>
        <v/>
      </c>
      <c r="DR36" s="69" t="str">
        <f aca="false">IF($E36="","",IF($M36,IF(AND($G36&gt;=DR$5,$G36&lt;DR$5+GanttPeriod),"◆",IF(AND($E36&gt;=DR$5,$E36&lt;DR$5+GanttPeriod),"◇","")),IF(AND(DR$5&lt;=$F36,DR$5+GanttPeriod-1&gt;=$E36),"━","")))</f>
        <v/>
      </c>
      <c r="DS36" s="69" t="str">
        <f aca="false">IF($E36="","",IF($M36,IF(AND($G36&gt;=DS$5,$G36&lt;DS$5+GanttPeriod),"◆",IF(AND($E36&gt;=DS$5,$E36&lt;DS$5+GanttPeriod),"◇","")),IF(AND(DS$5&lt;=$F36,DS$5+GanttPeriod-1&gt;=$E36),"━","")))</f>
        <v/>
      </c>
      <c r="DT36" s="69" t="str">
        <f aca="false">IF($E36="","",IF($M36,IF(AND($G36&gt;=DT$5,$G36&lt;DT$5+GanttPeriod),"◆",IF(AND($E36&gt;=DT$5,$E36&lt;DT$5+GanttPeriod),"◇","")),IF(AND(DT$5&lt;=$F36,DT$5+GanttPeriod-1&gt;=$E36),"━","")))</f>
        <v/>
      </c>
      <c r="DU36" s="69" t="str">
        <f aca="false">IF($E36="","",IF($M36,IF(AND($G36&gt;=DU$5,$G36&lt;DU$5+GanttPeriod),"◆",IF(AND($E36&gt;=DU$5,$E36&lt;DU$5+GanttPeriod),"◇","")),IF(AND(DU$5&lt;=$F36,DU$5+GanttPeriod-1&gt;=$E36),"━","")))</f>
        <v/>
      </c>
      <c r="DV36" s="69" t="str">
        <f aca="false">IF($E36="","",IF($M36,IF(AND($G36&gt;=DV$5,$G36&lt;DV$5+GanttPeriod),"◆",IF(AND($E36&gt;=DV$5,$E36&lt;DV$5+GanttPeriod),"◇","")),IF(AND(DV$5&lt;=$F36,DV$5+GanttPeriod-1&gt;=$E36),"━","")))</f>
        <v/>
      </c>
      <c r="DW36" s="69" t="str">
        <f aca="false">IF($E36="","",IF($M36,IF(AND($G36&gt;=DW$5,$G36&lt;DW$5+GanttPeriod),"◆",IF(AND($E36&gt;=DW$5,$E36&lt;DW$5+GanttPeriod),"◇","")),IF(AND(DW$5&lt;=$F36,DW$5+GanttPeriod-1&gt;=$E36),"━","")))</f>
        <v/>
      </c>
      <c r="DX36" s="69" t="str">
        <f aca="false">IF($E36="","",IF($M36,IF(AND($G36&gt;=DX$5,$G36&lt;DX$5+GanttPeriod),"◆",IF(AND($E36&gt;=DX$5,$E36&lt;DX$5+GanttPeriod),"◇","")),IF(AND(DX$5&lt;=$F36,DX$5+GanttPeriod-1&gt;=$E36),"━","")))</f>
        <v/>
      </c>
      <c r="DY36" s="69" t="str">
        <f aca="false">IF($E36="","",IF($M36,IF(AND($G36&gt;=DY$5,$G36&lt;DY$5+GanttPeriod),"◆",IF(AND($E36&gt;=DY$5,$E36&lt;DY$5+GanttPeriod),"◇","")),IF(AND(DY$5&lt;=$F36,DY$5+GanttPeriod-1&gt;=$E36),"━","")))</f>
        <v/>
      </c>
      <c r="DZ36" s="69" t="str">
        <f aca="false">IF($E36="","",IF($M36,IF(AND($G36&gt;=DZ$5,$G36&lt;DZ$5+GanttPeriod),"◆",IF(AND($E36&gt;=DZ$5,$E36&lt;DZ$5+GanttPeriod),"◇","")),IF(AND(DZ$5&lt;=$F36,DZ$5+GanttPeriod-1&gt;=$E36),"━","")))</f>
        <v/>
      </c>
      <c r="EA36" s="69" t="str">
        <f aca="false">IF($E36="","",IF($M36,IF(AND($G36&gt;=EA$5,$G36&lt;EA$5+GanttPeriod),"◆",IF(AND($E36&gt;=EA$5,$E36&lt;EA$5+GanttPeriod),"◇","")),IF(AND(EA$5&lt;=$F36,EA$5+GanttPeriod-1&gt;=$E36),"━","")))</f>
        <v/>
      </c>
      <c r="EB36" s="69" t="str">
        <f aca="false">IF($E36="","",IF($M36,IF(AND($G36&gt;=EB$5,$G36&lt;EB$5+GanttPeriod),"◆",IF(AND($E36&gt;=EB$5,$E36&lt;EB$5+GanttPeriod),"◇","")),IF(AND(EB$5&lt;=$F36,EB$5+GanttPeriod-1&gt;=$E36),"━","")))</f>
        <v/>
      </c>
      <c r="EC36" s="69" t="str">
        <f aca="false">IF($E36="","",IF($M36,IF(AND($G36&gt;=EC$5,$G36&lt;EC$5+GanttPeriod),"◆",IF(AND($E36&gt;=EC$5,$E36&lt;EC$5+GanttPeriod),"◇","")),IF(AND(EC$5&lt;=$F36,EC$5+GanttPeriod-1&gt;=$E36),"━","")))</f>
        <v/>
      </c>
      <c r="ED36" s="69" t="str">
        <f aca="false">IF($E36="","",IF($M36,IF(AND($G36&gt;=ED$5,$G36&lt;ED$5+GanttPeriod),"◆",IF(AND($E36&gt;=ED$5,$E36&lt;ED$5+GanttPeriod),"◇","")),IF(AND(ED$5&lt;=$F36,ED$5+GanttPeriod-1&gt;=$E36),"━","")))</f>
        <v/>
      </c>
      <c r="EE36" s="69" t="str">
        <f aca="false">IF($E36="","",IF($M36,IF(AND($G36&gt;=EE$5,$G36&lt;EE$5+GanttPeriod),"◆",IF(AND($E36&gt;=EE$5,$E36&lt;EE$5+GanttPeriod),"◇","")),IF(AND(EE$5&lt;=$F36,EE$5+GanttPeriod-1&gt;=$E36),"━","")))</f>
        <v/>
      </c>
      <c r="EF36" s="69" t="str">
        <f aca="false">IF($E36="","",IF($M36,IF(AND($G36&gt;=EF$5,$G36&lt;EF$5+GanttPeriod),"◆",IF(AND($E36&gt;=EF$5,$E36&lt;EF$5+GanttPeriod),"◇","")),IF(AND(EF$5&lt;=$F36,EF$5+GanttPeriod-1&gt;=$E36),"━","")))</f>
        <v/>
      </c>
      <c r="EG36" s="69" t="str">
        <f aca="false">IF($E36="","",IF($M36,IF(AND($G36&gt;=EG$5,$G36&lt;EG$5+GanttPeriod),"◆",IF(AND($E36&gt;=EG$5,$E36&lt;EG$5+GanttPeriod),"◇","")),IF(AND(EG$5&lt;=$F36,EG$5+GanttPeriod-1&gt;=$E36),"━","")))</f>
        <v/>
      </c>
      <c r="EH36" s="69" t="str">
        <f aca="false">IF($E36="","",IF($M36,IF(AND($G36&gt;=EH$5,$G36&lt;EH$5+GanttPeriod),"◆",IF(AND($E36&gt;=EH$5,$E36&lt;EH$5+GanttPeriod),"◇","")),IF(AND(EH$5&lt;=$F36,EH$5+GanttPeriod-1&gt;=$E36),"━","")))</f>
        <v/>
      </c>
      <c r="EI36" s="69" t="str">
        <f aca="false">IF($E36="","",IF($M36,IF(AND($G36&gt;=EI$5,$G36&lt;EI$5+GanttPeriod),"◆",IF(AND($E36&gt;=EI$5,$E36&lt;EI$5+GanttPeriod),"◇","")),IF(AND(EI$5&lt;=$F36,EI$5+GanttPeriod-1&gt;=$E36),"━","")))</f>
        <v/>
      </c>
      <c r="EJ36" s="69" t="str">
        <f aca="false">IF($E36="","",IF($M36,IF(AND($G36&gt;=EJ$5,$G36&lt;EJ$5+GanttPeriod),"◆",IF(AND($E36&gt;=EJ$5,$E36&lt;EJ$5+GanttPeriod),"◇","")),IF(AND(EJ$5&lt;=$F36,EJ$5+GanttPeriod-1&gt;=$E36),"━","")))</f>
        <v/>
      </c>
      <c r="EK36" s="69" t="str">
        <f aca="false">IF($E36="","",IF($M36,IF(AND($G36&gt;=EK$5,$G36&lt;EK$5+GanttPeriod),"◆",IF(AND($E36&gt;=EK$5,$E36&lt;EK$5+GanttPeriod),"◇","")),IF(AND(EK$5&lt;=$F36,EK$5+GanttPeriod-1&gt;=$E36),"━","")))</f>
        <v/>
      </c>
      <c r="EL36" s="69" t="str">
        <f aca="false">IF($E36="","",IF($M36,IF(AND($G36&gt;=EL$5,$G36&lt;EL$5+GanttPeriod),"◆",IF(AND($E36&gt;=EL$5,$E36&lt;EL$5+GanttPeriod),"◇","")),IF(AND(EL$5&lt;=$F36,EL$5+GanttPeriod-1&gt;=$E36),"━","")))</f>
        <v/>
      </c>
      <c r="EM36" s="69" t="str">
        <f aca="false">IF($E36="","",IF($M36,IF(AND($G36&gt;=EM$5,$G36&lt;EM$5+GanttPeriod),"◆",IF(AND($E36&gt;=EM$5,$E36&lt;EM$5+GanttPeriod),"◇","")),IF(AND(EM$5&lt;=$F36,EM$5+GanttPeriod-1&gt;=$E36),"━","")))</f>
        <v/>
      </c>
      <c r="EN36" s="69" t="str">
        <f aca="false">IF($E36="","",IF($M36,IF(AND($G36&gt;=EN$5,$G36&lt;EN$5+GanttPeriod),"◆",IF(AND($E36&gt;=EN$5,$E36&lt;EN$5+GanttPeriod),"◇","")),IF(AND(EN$5&lt;=$F36,EN$5+GanttPeriod-1&gt;=$E36),"━","")))</f>
        <v/>
      </c>
      <c r="EO36" s="69" t="str">
        <f aca="false">IF($E36="","",IF($M36,IF(AND($G36&gt;=EO$5,$G36&lt;EO$5+GanttPeriod),"◆",IF(AND($E36&gt;=EO$5,$E36&lt;EO$5+GanttPeriod),"◇","")),IF(AND(EO$5&lt;=$F36,EO$5+GanttPeriod-1&gt;=$E36),"━","")))</f>
        <v/>
      </c>
      <c r="EP36" s="69" t="str">
        <f aca="false">IF($E36="","",IF($M36,IF(AND($G36&gt;=EP$5,$G36&lt;EP$5+GanttPeriod),"◆",IF(AND($E36&gt;=EP$5,$E36&lt;EP$5+GanttPeriod),"◇","")),IF(AND(EP$5&lt;=$F36,EP$5+GanttPeriod-1&gt;=$E36),"━","")))</f>
        <v/>
      </c>
      <c r="EQ36" s="69" t="str">
        <f aca="false">IF($E36="","",IF($M36,IF(AND($G36&gt;=EQ$5,$G36&lt;EQ$5+GanttPeriod),"◆",IF(AND($E36&gt;=EQ$5,$E36&lt;EQ$5+GanttPeriod),"◇","")),IF(AND(EQ$5&lt;=$F36,EQ$5+GanttPeriod-1&gt;=$E36),"━","")))</f>
        <v/>
      </c>
      <c r="ER36" s="69" t="str">
        <f aca="false">IF($E36="","",IF($M36,IF(AND($G36&gt;=ER$5,$G36&lt;ER$5+GanttPeriod),"◆",IF(AND($E36&gt;=ER$5,$E36&lt;ER$5+GanttPeriod),"◇","")),IF(AND(ER$5&lt;=$F36,ER$5+GanttPeriod-1&gt;=$E36),"━","")))</f>
        <v/>
      </c>
      <c r="ES36" s="69" t="str">
        <f aca="false">IF($E36="","",IF($M36,IF(AND($G36&gt;=ES$5,$G36&lt;ES$5+GanttPeriod),"◆",IF(AND($E36&gt;=ES$5,$E36&lt;ES$5+GanttPeriod),"◇","")),IF(AND(ES$5&lt;=$F36,ES$5+GanttPeriod-1&gt;=$E36),"━","")))</f>
        <v/>
      </c>
      <c r="ET36" s="69" t="str">
        <f aca="false">IF($E36="","",IF($M36,IF(AND($G36&gt;=ET$5,$G36&lt;ET$5+GanttPeriod),"◆",IF(AND($E36&gt;=ET$5,$E36&lt;ET$5+GanttPeriod),"◇","")),IF(AND(ET$5&lt;=$F36,ET$5+GanttPeriod-1&gt;=$E36),"━","")))</f>
        <v/>
      </c>
      <c r="EU36" s="69" t="str">
        <f aca="false">IF($E36="","",IF($M36,IF(AND($G36&gt;=EU$5,$G36&lt;EU$5+GanttPeriod),"◆",IF(AND($E36&gt;=EU$5,$E36&lt;EU$5+GanttPeriod),"◇","")),IF(AND(EU$5&lt;=$F36,EU$5+GanttPeriod-1&gt;=$E36),"━","")))</f>
        <v/>
      </c>
      <c r="EV36" s="69" t="str">
        <f aca="false">IF($E36="","",IF($M36,IF(AND($G36&gt;=EV$5,$G36&lt;EV$5+GanttPeriod),"◆",IF(AND($E36&gt;=EV$5,$E36&lt;EV$5+GanttPeriod),"◇","")),IF(AND(EV$5&lt;=$F36,EV$5+GanttPeriod-1&gt;=$E36),"━","")))</f>
        <v/>
      </c>
      <c r="EW36" s="69" t="str">
        <f aca="false">IF($E36="","",IF($M36,IF(AND($G36&gt;=EW$5,$G36&lt;EW$5+GanttPeriod),"◆",IF(AND($E36&gt;=EW$5,$E36&lt;EW$5+GanttPeriod),"◇","")),IF(AND(EW$5&lt;=$F36,EW$5+GanttPeriod-1&gt;=$E36),"━","")))</f>
        <v/>
      </c>
      <c r="EX36" s="69" t="str">
        <f aca="false">IF($E36="","",IF($M36,IF(AND($G36&gt;=EX$5,$G36&lt;EX$5+GanttPeriod),"◆",IF(AND($E36&gt;=EX$5,$E36&lt;EX$5+GanttPeriod),"◇","")),IF(AND(EX$5&lt;=$F36,EX$5+GanttPeriod-1&gt;=$E36),"━","")))</f>
        <v/>
      </c>
      <c r="EY36" s="69" t="str">
        <f aca="false">IF($E36="","",IF($M36,IF(AND($G36&gt;=EY$5,$G36&lt;EY$5+GanttPeriod),"◆",IF(AND($E36&gt;=EY$5,$E36&lt;EY$5+GanttPeriod),"◇","")),IF(AND(EY$5&lt;=$F36,EY$5+GanttPeriod-1&gt;=$E36),"━","")))</f>
        <v/>
      </c>
      <c r="EZ36" s="69" t="str">
        <f aca="false">IF($E36="","",IF($M36,IF(AND($G36&gt;=EZ$5,$G36&lt;EZ$5+GanttPeriod),"◆",IF(AND($E36&gt;=EZ$5,$E36&lt;EZ$5+GanttPeriod),"◇","")),IF(AND(EZ$5&lt;=$F36,EZ$5+GanttPeriod-1&gt;=$E36),"━","")))</f>
        <v/>
      </c>
      <c r="FA36" s="69" t="str">
        <f aca="false">IF($E36="","",IF($M36,IF(AND($G36&gt;=FA$5,$G36&lt;FA$5+GanttPeriod),"◆",IF(AND($E36&gt;=FA$5,$E36&lt;FA$5+GanttPeriod),"◇","")),IF(AND(FA$5&lt;=$F36,FA$5+GanttPeriod-1&gt;=$E36),"━","")))</f>
        <v/>
      </c>
      <c r="FB36" s="69" t="str">
        <f aca="false">IF($E36="","",IF($M36,IF(AND($G36&gt;=FB$5,$G36&lt;FB$5+GanttPeriod),"◆",IF(AND($E36&gt;=FB$5,$E36&lt;FB$5+GanttPeriod),"◇","")),IF(AND(FB$5&lt;=$F36,FB$5+GanttPeriod-1&gt;=$E36),"━","")))</f>
        <v/>
      </c>
      <c r="FC36" s="69" t="str">
        <f aca="false">IF($E36="","",IF($M36,IF(AND($G36&gt;=FC$5,$G36&lt;FC$5+GanttPeriod),"◆",IF(AND($E36&gt;=FC$5,$E36&lt;FC$5+GanttPeriod),"◇","")),IF(AND(FC$5&lt;=$F36,FC$5+GanttPeriod-1&gt;=$E36),"━","")))</f>
        <v/>
      </c>
      <c r="FD36" s="69" t="str">
        <f aca="false">IF($E36="","",IF($M36,IF(AND($G36&gt;=FD$5,$G36&lt;FD$5+GanttPeriod),"◆",IF(AND($E36&gt;=FD$5,$E36&lt;FD$5+GanttPeriod),"◇","")),IF(AND(FD$5&lt;=$F36,FD$5+GanttPeriod-1&gt;=$E36),"━","")))</f>
        <v/>
      </c>
      <c r="FE36" s="69" t="str">
        <f aca="false">IF($E36="","",IF($M36,IF(AND($G36&gt;=FE$5,$G36&lt;FE$5+GanttPeriod),"◆",IF(AND($E36&gt;=FE$5,$E36&lt;FE$5+GanttPeriod),"◇","")),IF(AND(FE$5&lt;=$F36,FE$5+GanttPeriod-1&gt;=$E36),"━","")))</f>
        <v/>
      </c>
      <c r="FF36" s="69" t="str">
        <f aca="false">IF($E36="","",IF($M36,IF(AND($G36&gt;=FF$5,$G36&lt;FF$5+GanttPeriod),"◆",IF(AND($E36&gt;=FF$5,$E36&lt;FF$5+GanttPeriod),"◇","")),IF(AND(FF$5&lt;=$F36,FF$5+GanttPeriod-1&gt;=$E36),"━","")))</f>
        <v/>
      </c>
      <c r="FG36" s="69" t="str">
        <f aca="false">IF($E36="","",IF($M36,IF(AND($G36&gt;=FG$5,$G36&lt;FG$5+GanttPeriod),"◆",IF(AND($E36&gt;=FG$5,$E36&lt;FG$5+GanttPeriod),"◇","")),IF(AND(FG$5&lt;=$F36,FG$5+GanttPeriod-1&gt;=$E36),"━","")))</f>
        <v/>
      </c>
      <c r="FH36" s="69" t="str">
        <f aca="false">IF($E36="","",IF($M36,IF(AND($G36&gt;=FH$5,$G36&lt;FH$5+GanttPeriod),"◆",IF(AND($E36&gt;=FH$5,$E36&lt;FH$5+GanttPeriod),"◇","")),IF(AND(FH$5&lt;=$F36,FH$5+GanttPeriod-1&gt;=$E36),"━","")))</f>
        <v/>
      </c>
      <c r="FI36" s="69" t="str">
        <f aca="false">IF($E36="","",IF($M36,IF(AND($G36&gt;=FI$5,$G36&lt;FI$5+GanttPeriod),"◆",IF(AND($E36&gt;=FI$5,$E36&lt;FI$5+GanttPeriod),"◇","")),IF(AND(FI$5&lt;=$F36,FI$5+GanttPeriod-1&gt;=$E36),"━","")))</f>
        <v/>
      </c>
      <c r="FJ36" s="69" t="str">
        <f aca="false">IF($E36="","",IF($M36,IF(AND($G36&gt;=FJ$5,$G36&lt;FJ$5+GanttPeriod),"◆",IF(AND($E36&gt;=FJ$5,$E36&lt;FJ$5+GanttPeriod),"◇","")),IF(AND(FJ$5&lt;=$F36,FJ$5+GanttPeriod-1&gt;=$E36),"━","")))</f>
        <v/>
      </c>
      <c r="FK36" s="69" t="str">
        <f aca="false">IF($E36="","",IF($M36,IF(AND($G36&gt;=FK$5,$G36&lt;FK$5+GanttPeriod),"◆",IF(AND($E36&gt;=FK$5,$E36&lt;FK$5+GanttPeriod),"◇","")),IF(AND(FK$5&lt;=$F36,FK$5+GanttPeriod-1&gt;=$E36),"━","")))</f>
        <v/>
      </c>
      <c r="FL36" s="69" t="str">
        <f aca="false">IF($E36="","",IF($M36,IF(AND($G36&gt;=FL$5,$G36&lt;FL$5+GanttPeriod),"◆",IF(AND($E36&gt;=FL$5,$E36&lt;FL$5+GanttPeriod),"◇","")),IF(AND(FL$5&lt;=$F36,FL$5+GanttPeriod-1&gt;=$E36),"━","")))</f>
        <v/>
      </c>
      <c r="FM36" s="69" t="str">
        <f aca="false">IF($E36="","",IF($M36,IF(AND($G36&gt;=FM$5,$G36&lt;FM$5+GanttPeriod),"◆",IF(AND($E36&gt;=FM$5,$E36&lt;FM$5+GanttPeriod),"◇","")),IF(AND(FM$5&lt;=$F36,FM$5+GanttPeriod-1&gt;=$E36),"━","")))</f>
        <v/>
      </c>
    </row>
    <row r="37" customFormat="false" ht="15" hidden="false" customHeight="false" outlineLevel="0" collapsed="false">
      <c r="A37" s="62" t="str">
        <f aca="false">IF(Tasks!$D37="","",Tasks!$A37)</f>
        <v/>
      </c>
      <c r="B37" s="62" t="str">
        <f aca="false">IF(Tasks!$D37="","",Tasks!$B37)</f>
        <v/>
      </c>
      <c r="C37" s="63" t="str">
        <f aca="false">IF(Tasks!$D37="","",REPT("    ",Tasks!$AE37-1)&amp;Tasks!$D37)</f>
        <v/>
      </c>
      <c r="D37" s="62" t="str">
        <f aca="false">IF(Tasks!$D37="","",IF(Tasks!$AI37,NETWORKDAYS.INTL(Tasks!$R37,Tasks!$S37,WorkWeek,Holidays),N(Tasks!$F37)))</f>
        <v/>
      </c>
      <c r="E37" s="64" t="str">
        <f aca="false">IF(Tasks!$D37="","",Tasks!$N37)</f>
        <v/>
      </c>
      <c r="F37" s="64" t="str">
        <f aca="false">IF(Tasks!$D37="","",Tasks!$O37)</f>
        <v/>
      </c>
      <c r="G37" s="64" t="str">
        <f aca="false">IF(Tasks!$D37="","",Tasks!$R37)</f>
        <v/>
      </c>
      <c r="H37" s="64" t="str">
        <f aca="false">IF(Tasks!$D37="","",Tasks!$S37)</f>
        <v/>
      </c>
      <c r="I37" s="65" t="str">
        <f aca="false">IF(Tasks!$D37="","",Tasks!$V37)</f>
        <v/>
      </c>
      <c r="J37" s="63" t="str">
        <f aca="false">IF(Tasks!$D37="","",Tasks!$X37&amp;"")</f>
        <v/>
      </c>
      <c r="K37" s="66" t="str">
        <f aca="false">IF(Tasks!$D37="","",Tasks!$W37)</f>
        <v/>
      </c>
      <c r="L37" s="67" t="b">
        <f aca="false">IF(Tasks!$D37="",FALSE(),Tasks!$AI37)</f>
        <v>0</v>
      </c>
      <c r="M37" s="67" t="b">
        <f aca="false">AND(Tasks!$AJ37=1,N(Tasks!$F37)=0)</f>
        <v>0</v>
      </c>
      <c r="N37" s="68" t="n">
        <f aca="false">IF(AND(Tasks!$AJ37=1,NOT($M37),N($I37)&gt;0),$G37,0)</f>
        <v>0</v>
      </c>
      <c r="O37" s="68" t="n">
        <f aca="false">IF($N37=0,0,IF($I37&gt;=1,$H37,MAX($N37,$G37+ROUND(($H37-$G37+1)*$I37,0)-1)))</f>
        <v>0</v>
      </c>
      <c r="P37" s="68" t="n">
        <f aca="false">IF(OR(Tasks!$AJ37&lt;&gt;1,$M37,N($I37)&gt;=1),0,IF($O37&gt;0,$O37+1,$G37))</f>
        <v>0</v>
      </c>
      <c r="Q37" s="68" t="n">
        <f aca="false">IF($P37=0,0,$H37)</f>
        <v>0</v>
      </c>
      <c r="R37" s="67" t="b">
        <f aca="false">AND(Tasks!$D37&lt;&gt;"",N(Tasks!$T37)&gt;0)</f>
        <v>0</v>
      </c>
      <c r="T37" s="69" t="str">
        <f aca="false">IF($E37="","",IF($M37,IF(AND($G37&gt;=T$5,$G37&lt;T$5+GanttPeriod),"◆",IF(AND($E37&gt;=T$5,$E37&lt;T$5+GanttPeriod),"◇","")),IF(AND(T$5&lt;=$F37,T$5+GanttPeriod-1&gt;=$E37),"━","")))</f>
        <v/>
      </c>
      <c r="U37" s="69" t="str">
        <f aca="false">IF($E37="","",IF($M37,IF(AND($G37&gt;=U$5,$G37&lt;U$5+GanttPeriod),"◆",IF(AND($E37&gt;=U$5,$E37&lt;U$5+GanttPeriod),"◇","")),IF(AND(U$5&lt;=$F37,U$5+GanttPeriod-1&gt;=$E37),"━","")))</f>
        <v/>
      </c>
      <c r="V37" s="69" t="str">
        <f aca="false">IF($E37="","",IF($M37,IF(AND($G37&gt;=V$5,$G37&lt;V$5+GanttPeriod),"◆",IF(AND($E37&gt;=V$5,$E37&lt;V$5+GanttPeriod),"◇","")),IF(AND(V$5&lt;=$F37,V$5+GanttPeriod-1&gt;=$E37),"━","")))</f>
        <v/>
      </c>
      <c r="W37" s="69" t="str">
        <f aca="false">IF($E37="","",IF($M37,IF(AND($G37&gt;=W$5,$G37&lt;W$5+GanttPeriod),"◆",IF(AND($E37&gt;=W$5,$E37&lt;W$5+GanttPeriod),"◇","")),IF(AND(W$5&lt;=$F37,W$5+GanttPeriod-1&gt;=$E37),"━","")))</f>
        <v/>
      </c>
      <c r="X37" s="69" t="str">
        <f aca="false">IF($E37="","",IF($M37,IF(AND($G37&gt;=X$5,$G37&lt;X$5+GanttPeriod),"◆",IF(AND($E37&gt;=X$5,$E37&lt;X$5+GanttPeriod),"◇","")),IF(AND(X$5&lt;=$F37,X$5+GanttPeriod-1&gt;=$E37),"━","")))</f>
        <v/>
      </c>
      <c r="Y37" s="69" t="str">
        <f aca="false">IF($E37="","",IF($M37,IF(AND($G37&gt;=Y$5,$G37&lt;Y$5+GanttPeriod),"◆",IF(AND($E37&gt;=Y$5,$E37&lt;Y$5+GanttPeriod),"◇","")),IF(AND(Y$5&lt;=$F37,Y$5+GanttPeriod-1&gt;=$E37),"━","")))</f>
        <v/>
      </c>
      <c r="Z37" s="69" t="str">
        <f aca="false">IF($E37="","",IF($M37,IF(AND($G37&gt;=Z$5,$G37&lt;Z$5+GanttPeriod),"◆",IF(AND($E37&gt;=Z$5,$E37&lt;Z$5+GanttPeriod),"◇","")),IF(AND(Z$5&lt;=$F37,Z$5+GanttPeriod-1&gt;=$E37),"━","")))</f>
        <v/>
      </c>
      <c r="AA37" s="69" t="str">
        <f aca="false">IF($E37="","",IF($M37,IF(AND($G37&gt;=AA$5,$G37&lt;AA$5+GanttPeriod),"◆",IF(AND($E37&gt;=AA$5,$E37&lt;AA$5+GanttPeriod),"◇","")),IF(AND(AA$5&lt;=$F37,AA$5+GanttPeriod-1&gt;=$E37),"━","")))</f>
        <v/>
      </c>
      <c r="AB37" s="69" t="str">
        <f aca="false">IF($E37="","",IF($M37,IF(AND($G37&gt;=AB$5,$G37&lt;AB$5+GanttPeriod),"◆",IF(AND($E37&gt;=AB$5,$E37&lt;AB$5+GanttPeriod),"◇","")),IF(AND(AB$5&lt;=$F37,AB$5+GanttPeriod-1&gt;=$E37),"━","")))</f>
        <v/>
      </c>
      <c r="AC37" s="69" t="str">
        <f aca="false">IF($E37="","",IF($M37,IF(AND($G37&gt;=AC$5,$G37&lt;AC$5+GanttPeriod),"◆",IF(AND($E37&gt;=AC$5,$E37&lt;AC$5+GanttPeriod),"◇","")),IF(AND(AC$5&lt;=$F37,AC$5+GanttPeriod-1&gt;=$E37),"━","")))</f>
        <v/>
      </c>
      <c r="AD37" s="69" t="str">
        <f aca="false">IF($E37="","",IF($M37,IF(AND($G37&gt;=AD$5,$G37&lt;AD$5+GanttPeriod),"◆",IF(AND($E37&gt;=AD$5,$E37&lt;AD$5+GanttPeriod),"◇","")),IF(AND(AD$5&lt;=$F37,AD$5+GanttPeriod-1&gt;=$E37),"━","")))</f>
        <v/>
      </c>
      <c r="AE37" s="69" t="str">
        <f aca="false">IF($E37="","",IF($M37,IF(AND($G37&gt;=AE$5,$G37&lt;AE$5+GanttPeriod),"◆",IF(AND($E37&gt;=AE$5,$E37&lt;AE$5+GanttPeriod),"◇","")),IF(AND(AE$5&lt;=$F37,AE$5+GanttPeriod-1&gt;=$E37),"━","")))</f>
        <v/>
      </c>
      <c r="AF37" s="69" t="str">
        <f aca="false">IF($E37="","",IF($M37,IF(AND($G37&gt;=AF$5,$G37&lt;AF$5+GanttPeriod),"◆",IF(AND($E37&gt;=AF$5,$E37&lt;AF$5+GanttPeriod),"◇","")),IF(AND(AF$5&lt;=$F37,AF$5+GanttPeriod-1&gt;=$E37),"━","")))</f>
        <v/>
      </c>
      <c r="AG37" s="69" t="str">
        <f aca="false">IF($E37="","",IF($M37,IF(AND($G37&gt;=AG$5,$G37&lt;AG$5+GanttPeriod),"◆",IF(AND($E37&gt;=AG$5,$E37&lt;AG$5+GanttPeriod),"◇","")),IF(AND(AG$5&lt;=$F37,AG$5+GanttPeriod-1&gt;=$E37),"━","")))</f>
        <v/>
      </c>
      <c r="AH37" s="69" t="str">
        <f aca="false">IF($E37="","",IF($M37,IF(AND($G37&gt;=AH$5,$G37&lt;AH$5+GanttPeriod),"◆",IF(AND($E37&gt;=AH$5,$E37&lt;AH$5+GanttPeriod),"◇","")),IF(AND(AH$5&lt;=$F37,AH$5+GanttPeriod-1&gt;=$E37),"━","")))</f>
        <v/>
      </c>
      <c r="AI37" s="69" t="str">
        <f aca="false">IF($E37="","",IF($M37,IF(AND($G37&gt;=AI$5,$G37&lt;AI$5+GanttPeriod),"◆",IF(AND($E37&gt;=AI$5,$E37&lt;AI$5+GanttPeriod),"◇","")),IF(AND(AI$5&lt;=$F37,AI$5+GanttPeriod-1&gt;=$E37),"━","")))</f>
        <v/>
      </c>
      <c r="AJ37" s="69" t="str">
        <f aca="false">IF($E37="","",IF($M37,IF(AND($G37&gt;=AJ$5,$G37&lt;AJ$5+GanttPeriod),"◆",IF(AND($E37&gt;=AJ$5,$E37&lt;AJ$5+GanttPeriod),"◇","")),IF(AND(AJ$5&lt;=$F37,AJ$5+GanttPeriod-1&gt;=$E37),"━","")))</f>
        <v/>
      </c>
      <c r="AK37" s="69" t="str">
        <f aca="false">IF($E37="","",IF($M37,IF(AND($G37&gt;=AK$5,$G37&lt;AK$5+GanttPeriod),"◆",IF(AND($E37&gt;=AK$5,$E37&lt;AK$5+GanttPeriod),"◇","")),IF(AND(AK$5&lt;=$F37,AK$5+GanttPeriod-1&gt;=$E37),"━","")))</f>
        <v/>
      </c>
      <c r="AL37" s="69" t="str">
        <f aca="false">IF($E37="","",IF($M37,IF(AND($G37&gt;=AL$5,$G37&lt;AL$5+GanttPeriod),"◆",IF(AND($E37&gt;=AL$5,$E37&lt;AL$5+GanttPeriod),"◇","")),IF(AND(AL$5&lt;=$F37,AL$5+GanttPeriod-1&gt;=$E37),"━","")))</f>
        <v/>
      </c>
      <c r="AM37" s="69" t="str">
        <f aca="false">IF($E37="","",IF($M37,IF(AND($G37&gt;=AM$5,$G37&lt;AM$5+GanttPeriod),"◆",IF(AND($E37&gt;=AM$5,$E37&lt;AM$5+GanttPeriod),"◇","")),IF(AND(AM$5&lt;=$F37,AM$5+GanttPeriod-1&gt;=$E37),"━","")))</f>
        <v/>
      </c>
      <c r="AN37" s="69" t="str">
        <f aca="false">IF($E37="","",IF($M37,IF(AND($G37&gt;=AN$5,$G37&lt;AN$5+GanttPeriod),"◆",IF(AND($E37&gt;=AN$5,$E37&lt;AN$5+GanttPeriod),"◇","")),IF(AND(AN$5&lt;=$F37,AN$5+GanttPeriod-1&gt;=$E37),"━","")))</f>
        <v/>
      </c>
      <c r="AO37" s="69" t="str">
        <f aca="false">IF($E37="","",IF($M37,IF(AND($G37&gt;=AO$5,$G37&lt;AO$5+GanttPeriod),"◆",IF(AND($E37&gt;=AO$5,$E37&lt;AO$5+GanttPeriod),"◇","")),IF(AND(AO$5&lt;=$F37,AO$5+GanttPeriod-1&gt;=$E37),"━","")))</f>
        <v/>
      </c>
      <c r="AP37" s="69" t="str">
        <f aca="false">IF($E37="","",IF($M37,IF(AND($G37&gt;=AP$5,$G37&lt;AP$5+GanttPeriod),"◆",IF(AND($E37&gt;=AP$5,$E37&lt;AP$5+GanttPeriod),"◇","")),IF(AND(AP$5&lt;=$F37,AP$5+GanttPeriod-1&gt;=$E37),"━","")))</f>
        <v/>
      </c>
      <c r="AQ37" s="69" t="str">
        <f aca="false">IF($E37="","",IF($M37,IF(AND($G37&gt;=AQ$5,$G37&lt;AQ$5+GanttPeriod),"◆",IF(AND($E37&gt;=AQ$5,$E37&lt;AQ$5+GanttPeriod),"◇","")),IF(AND(AQ$5&lt;=$F37,AQ$5+GanttPeriod-1&gt;=$E37),"━","")))</f>
        <v/>
      </c>
      <c r="AR37" s="69" t="str">
        <f aca="false">IF($E37="","",IF($M37,IF(AND($G37&gt;=AR$5,$G37&lt;AR$5+GanttPeriod),"◆",IF(AND($E37&gt;=AR$5,$E37&lt;AR$5+GanttPeriod),"◇","")),IF(AND(AR$5&lt;=$F37,AR$5+GanttPeriod-1&gt;=$E37),"━","")))</f>
        <v/>
      </c>
      <c r="AS37" s="69" t="str">
        <f aca="false">IF($E37="","",IF($M37,IF(AND($G37&gt;=AS$5,$G37&lt;AS$5+GanttPeriod),"◆",IF(AND($E37&gt;=AS$5,$E37&lt;AS$5+GanttPeriod),"◇","")),IF(AND(AS$5&lt;=$F37,AS$5+GanttPeriod-1&gt;=$E37),"━","")))</f>
        <v/>
      </c>
      <c r="AT37" s="69" t="str">
        <f aca="false">IF($E37="","",IF($M37,IF(AND($G37&gt;=AT$5,$G37&lt;AT$5+GanttPeriod),"◆",IF(AND($E37&gt;=AT$5,$E37&lt;AT$5+GanttPeriod),"◇","")),IF(AND(AT$5&lt;=$F37,AT$5+GanttPeriod-1&gt;=$E37),"━","")))</f>
        <v/>
      </c>
      <c r="AU37" s="69" t="str">
        <f aca="false">IF($E37="","",IF($M37,IF(AND($G37&gt;=AU$5,$G37&lt;AU$5+GanttPeriod),"◆",IF(AND($E37&gt;=AU$5,$E37&lt;AU$5+GanttPeriod),"◇","")),IF(AND(AU$5&lt;=$F37,AU$5+GanttPeriod-1&gt;=$E37),"━","")))</f>
        <v/>
      </c>
      <c r="AV37" s="69" t="str">
        <f aca="false">IF($E37="","",IF($M37,IF(AND($G37&gt;=AV$5,$G37&lt;AV$5+GanttPeriod),"◆",IF(AND($E37&gt;=AV$5,$E37&lt;AV$5+GanttPeriod),"◇","")),IF(AND(AV$5&lt;=$F37,AV$5+GanttPeriod-1&gt;=$E37),"━","")))</f>
        <v/>
      </c>
      <c r="AW37" s="69" t="str">
        <f aca="false">IF($E37="","",IF($M37,IF(AND($G37&gt;=AW$5,$G37&lt;AW$5+GanttPeriod),"◆",IF(AND($E37&gt;=AW$5,$E37&lt;AW$5+GanttPeriod),"◇","")),IF(AND(AW$5&lt;=$F37,AW$5+GanttPeriod-1&gt;=$E37),"━","")))</f>
        <v/>
      </c>
      <c r="AX37" s="69" t="str">
        <f aca="false">IF($E37="","",IF($M37,IF(AND($G37&gt;=AX$5,$G37&lt;AX$5+GanttPeriod),"◆",IF(AND($E37&gt;=AX$5,$E37&lt;AX$5+GanttPeriod),"◇","")),IF(AND(AX$5&lt;=$F37,AX$5+GanttPeriod-1&gt;=$E37),"━","")))</f>
        <v/>
      </c>
      <c r="AY37" s="69" t="str">
        <f aca="false">IF($E37="","",IF($M37,IF(AND($G37&gt;=AY$5,$G37&lt;AY$5+GanttPeriod),"◆",IF(AND($E37&gt;=AY$5,$E37&lt;AY$5+GanttPeriod),"◇","")),IF(AND(AY$5&lt;=$F37,AY$5+GanttPeriod-1&gt;=$E37),"━","")))</f>
        <v/>
      </c>
      <c r="AZ37" s="69" t="str">
        <f aca="false">IF($E37="","",IF($M37,IF(AND($G37&gt;=AZ$5,$G37&lt;AZ$5+GanttPeriod),"◆",IF(AND($E37&gt;=AZ$5,$E37&lt;AZ$5+GanttPeriod),"◇","")),IF(AND(AZ$5&lt;=$F37,AZ$5+GanttPeriod-1&gt;=$E37),"━","")))</f>
        <v/>
      </c>
      <c r="BA37" s="69" t="str">
        <f aca="false">IF($E37="","",IF($M37,IF(AND($G37&gt;=BA$5,$G37&lt;BA$5+GanttPeriod),"◆",IF(AND($E37&gt;=BA$5,$E37&lt;BA$5+GanttPeriod),"◇","")),IF(AND(BA$5&lt;=$F37,BA$5+GanttPeriod-1&gt;=$E37),"━","")))</f>
        <v/>
      </c>
      <c r="BB37" s="69" t="str">
        <f aca="false">IF($E37="","",IF($M37,IF(AND($G37&gt;=BB$5,$G37&lt;BB$5+GanttPeriod),"◆",IF(AND($E37&gt;=BB$5,$E37&lt;BB$5+GanttPeriod),"◇","")),IF(AND(BB$5&lt;=$F37,BB$5+GanttPeriod-1&gt;=$E37),"━","")))</f>
        <v/>
      </c>
      <c r="BC37" s="69" t="str">
        <f aca="false">IF($E37="","",IF($M37,IF(AND($G37&gt;=BC$5,$G37&lt;BC$5+GanttPeriod),"◆",IF(AND($E37&gt;=BC$5,$E37&lt;BC$5+GanttPeriod),"◇","")),IF(AND(BC$5&lt;=$F37,BC$5+GanttPeriod-1&gt;=$E37),"━","")))</f>
        <v/>
      </c>
      <c r="BD37" s="69" t="str">
        <f aca="false">IF($E37="","",IF($M37,IF(AND($G37&gt;=BD$5,$G37&lt;BD$5+GanttPeriod),"◆",IF(AND($E37&gt;=BD$5,$E37&lt;BD$5+GanttPeriod),"◇","")),IF(AND(BD$5&lt;=$F37,BD$5+GanttPeriod-1&gt;=$E37),"━","")))</f>
        <v/>
      </c>
      <c r="BE37" s="69" t="str">
        <f aca="false">IF($E37="","",IF($M37,IF(AND($G37&gt;=BE$5,$G37&lt;BE$5+GanttPeriod),"◆",IF(AND($E37&gt;=BE$5,$E37&lt;BE$5+GanttPeriod),"◇","")),IF(AND(BE$5&lt;=$F37,BE$5+GanttPeriod-1&gt;=$E37),"━","")))</f>
        <v/>
      </c>
      <c r="BF37" s="69" t="str">
        <f aca="false">IF($E37="","",IF($M37,IF(AND($G37&gt;=BF$5,$G37&lt;BF$5+GanttPeriod),"◆",IF(AND($E37&gt;=BF$5,$E37&lt;BF$5+GanttPeriod),"◇","")),IF(AND(BF$5&lt;=$F37,BF$5+GanttPeriod-1&gt;=$E37),"━","")))</f>
        <v/>
      </c>
      <c r="BG37" s="69" t="str">
        <f aca="false">IF($E37="","",IF($M37,IF(AND($G37&gt;=BG$5,$G37&lt;BG$5+GanttPeriod),"◆",IF(AND($E37&gt;=BG$5,$E37&lt;BG$5+GanttPeriod),"◇","")),IF(AND(BG$5&lt;=$F37,BG$5+GanttPeriod-1&gt;=$E37),"━","")))</f>
        <v/>
      </c>
      <c r="BH37" s="69" t="str">
        <f aca="false">IF($E37="","",IF($M37,IF(AND($G37&gt;=BH$5,$G37&lt;BH$5+GanttPeriod),"◆",IF(AND($E37&gt;=BH$5,$E37&lt;BH$5+GanttPeriod),"◇","")),IF(AND(BH$5&lt;=$F37,BH$5+GanttPeriod-1&gt;=$E37),"━","")))</f>
        <v/>
      </c>
      <c r="BI37" s="69" t="str">
        <f aca="false">IF($E37="","",IF($M37,IF(AND($G37&gt;=BI$5,$G37&lt;BI$5+GanttPeriod),"◆",IF(AND($E37&gt;=BI$5,$E37&lt;BI$5+GanttPeriod),"◇","")),IF(AND(BI$5&lt;=$F37,BI$5+GanttPeriod-1&gt;=$E37),"━","")))</f>
        <v/>
      </c>
      <c r="BJ37" s="69" t="str">
        <f aca="false">IF($E37="","",IF($M37,IF(AND($G37&gt;=BJ$5,$G37&lt;BJ$5+GanttPeriod),"◆",IF(AND($E37&gt;=BJ$5,$E37&lt;BJ$5+GanttPeriod),"◇","")),IF(AND(BJ$5&lt;=$F37,BJ$5+GanttPeriod-1&gt;=$E37),"━","")))</f>
        <v/>
      </c>
      <c r="BK37" s="69" t="str">
        <f aca="false">IF($E37="","",IF($M37,IF(AND($G37&gt;=BK$5,$G37&lt;BK$5+GanttPeriod),"◆",IF(AND($E37&gt;=BK$5,$E37&lt;BK$5+GanttPeriod),"◇","")),IF(AND(BK$5&lt;=$F37,BK$5+GanttPeriod-1&gt;=$E37),"━","")))</f>
        <v/>
      </c>
      <c r="BL37" s="69" t="str">
        <f aca="false">IF($E37="","",IF($M37,IF(AND($G37&gt;=BL$5,$G37&lt;BL$5+GanttPeriod),"◆",IF(AND($E37&gt;=BL$5,$E37&lt;BL$5+GanttPeriod),"◇","")),IF(AND(BL$5&lt;=$F37,BL$5+GanttPeriod-1&gt;=$E37),"━","")))</f>
        <v/>
      </c>
      <c r="BM37" s="69" t="str">
        <f aca="false">IF($E37="","",IF($M37,IF(AND($G37&gt;=BM$5,$G37&lt;BM$5+GanttPeriod),"◆",IF(AND($E37&gt;=BM$5,$E37&lt;BM$5+GanttPeriod),"◇","")),IF(AND(BM$5&lt;=$F37,BM$5+GanttPeriod-1&gt;=$E37),"━","")))</f>
        <v/>
      </c>
      <c r="BN37" s="69" t="str">
        <f aca="false">IF($E37="","",IF($M37,IF(AND($G37&gt;=BN$5,$G37&lt;BN$5+GanttPeriod),"◆",IF(AND($E37&gt;=BN$5,$E37&lt;BN$5+GanttPeriod),"◇","")),IF(AND(BN$5&lt;=$F37,BN$5+GanttPeriod-1&gt;=$E37),"━","")))</f>
        <v/>
      </c>
      <c r="BO37" s="69" t="str">
        <f aca="false">IF($E37="","",IF($M37,IF(AND($G37&gt;=BO$5,$G37&lt;BO$5+GanttPeriod),"◆",IF(AND($E37&gt;=BO$5,$E37&lt;BO$5+GanttPeriod),"◇","")),IF(AND(BO$5&lt;=$F37,BO$5+GanttPeriod-1&gt;=$E37),"━","")))</f>
        <v/>
      </c>
      <c r="BP37" s="69" t="str">
        <f aca="false">IF($E37="","",IF($M37,IF(AND($G37&gt;=BP$5,$G37&lt;BP$5+GanttPeriod),"◆",IF(AND($E37&gt;=BP$5,$E37&lt;BP$5+GanttPeriod),"◇","")),IF(AND(BP$5&lt;=$F37,BP$5+GanttPeriod-1&gt;=$E37),"━","")))</f>
        <v/>
      </c>
      <c r="BQ37" s="69" t="str">
        <f aca="false">IF($E37="","",IF($M37,IF(AND($G37&gt;=BQ$5,$G37&lt;BQ$5+GanttPeriod),"◆",IF(AND($E37&gt;=BQ$5,$E37&lt;BQ$5+GanttPeriod),"◇","")),IF(AND(BQ$5&lt;=$F37,BQ$5+GanttPeriod-1&gt;=$E37),"━","")))</f>
        <v/>
      </c>
      <c r="BR37" s="69" t="str">
        <f aca="false">IF($E37="","",IF($M37,IF(AND($G37&gt;=BR$5,$G37&lt;BR$5+GanttPeriod),"◆",IF(AND($E37&gt;=BR$5,$E37&lt;BR$5+GanttPeriod),"◇","")),IF(AND(BR$5&lt;=$F37,BR$5+GanttPeriod-1&gt;=$E37),"━","")))</f>
        <v/>
      </c>
      <c r="BS37" s="69" t="str">
        <f aca="false">IF($E37="","",IF($M37,IF(AND($G37&gt;=BS$5,$G37&lt;BS$5+GanttPeriod),"◆",IF(AND($E37&gt;=BS$5,$E37&lt;BS$5+GanttPeriod),"◇","")),IF(AND(BS$5&lt;=$F37,BS$5+GanttPeriod-1&gt;=$E37),"━","")))</f>
        <v/>
      </c>
      <c r="BT37" s="69" t="str">
        <f aca="false">IF($E37="","",IF($M37,IF(AND($G37&gt;=BT$5,$G37&lt;BT$5+GanttPeriod),"◆",IF(AND($E37&gt;=BT$5,$E37&lt;BT$5+GanttPeriod),"◇","")),IF(AND(BT$5&lt;=$F37,BT$5+GanttPeriod-1&gt;=$E37),"━","")))</f>
        <v/>
      </c>
      <c r="BU37" s="69" t="str">
        <f aca="false">IF($E37="","",IF($M37,IF(AND($G37&gt;=BU$5,$G37&lt;BU$5+GanttPeriod),"◆",IF(AND($E37&gt;=BU$5,$E37&lt;BU$5+GanttPeriod),"◇","")),IF(AND(BU$5&lt;=$F37,BU$5+GanttPeriod-1&gt;=$E37),"━","")))</f>
        <v/>
      </c>
      <c r="BV37" s="69" t="str">
        <f aca="false">IF($E37="","",IF($M37,IF(AND($G37&gt;=BV$5,$G37&lt;BV$5+GanttPeriod),"◆",IF(AND($E37&gt;=BV$5,$E37&lt;BV$5+GanttPeriod),"◇","")),IF(AND(BV$5&lt;=$F37,BV$5+GanttPeriod-1&gt;=$E37),"━","")))</f>
        <v/>
      </c>
      <c r="BW37" s="69" t="str">
        <f aca="false">IF($E37="","",IF($M37,IF(AND($G37&gt;=BW$5,$G37&lt;BW$5+GanttPeriod),"◆",IF(AND($E37&gt;=BW$5,$E37&lt;BW$5+GanttPeriod),"◇","")),IF(AND(BW$5&lt;=$F37,BW$5+GanttPeriod-1&gt;=$E37),"━","")))</f>
        <v/>
      </c>
      <c r="BX37" s="69" t="str">
        <f aca="false">IF($E37="","",IF($M37,IF(AND($G37&gt;=BX$5,$G37&lt;BX$5+GanttPeriod),"◆",IF(AND($E37&gt;=BX$5,$E37&lt;BX$5+GanttPeriod),"◇","")),IF(AND(BX$5&lt;=$F37,BX$5+GanttPeriod-1&gt;=$E37),"━","")))</f>
        <v/>
      </c>
      <c r="BY37" s="69" t="str">
        <f aca="false">IF($E37="","",IF($M37,IF(AND($G37&gt;=BY$5,$G37&lt;BY$5+GanttPeriod),"◆",IF(AND($E37&gt;=BY$5,$E37&lt;BY$5+GanttPeriod),"◇","")),IF(AND(BY$5&lt;=$F37,BY$5+GanttPeriod-1&gt;=$E37),"━","")))</f>
        <v/>
      </c>
      <c r="BZ37" s="69" t="str">
        <f aca="false">IF($E37="","",IF($M37,IF(AND($G37&gt;=BZ$5,$G37&lt;BZ$5+GanttPeriod),"◆",IF(AND($E37&gt;=BZ$5,$E37&lt;BZ$5+GanttPeriod),"◇","")),IF(AND(BZ$5&lt;=$F37,BZ$5+GanttPeriod-1&gt;=$E37),"━","")))</f>
        <v/>
      </c>
      <c r="CA37" s="69" t="str">
        <f aca="false">IF($E37="","",IF($M37,IF(AND($G37&gt;=CA$5,$G37&lt;CA$5+GanttPeriod),"◆",IF(AND($E37&gt;=CA$5,$E37&lt;CA$5+GanttPeriod),"◇","")),IF(AND(CA$5&lt;=$F37,CA$5+GanttPeriod-1&gt;=$E37),"━","")))</f>
        <v/>
      </c>
      <c r="CB37" s="69" t="str">
        <f aca="false">IF($E37="","",IF($M37,IF(AND($G37&gt;=CB$5,$G37&lt;CB$5+GanttPeriod),"◆",IF(AND($E37&gt;=CB$5,$E37&lt;CB$5+GanttPeriod),"◇","")),IF(AND(CB$5&lt;=$F37,CB$5+GanttPeriod-1&gt;=$E37),"━","")))</f>
        <v/>
      </c>
      <c r="CC37" s="69" t="str">
        <f aca="false">IF($E37="","",IF($M37,IF(AND($G37&gt;=CC$5,$G37&lt;CC$5+GanttPeriod),"◆",IF(AND($E37&gt;=CC$5,$E37&lt;CC$5+GanttPeriod),"◇","")),IF(AND(CC$5&lt;=$F37,CC$5+GanttPeriod-1&gt;=$E37),"━","")))</f>
        <v/>
      </c>
      <c r="CD37" s="69" t="str">
        <f aca="false">IF($E37="","",IF($M37,IF(AND($G37&gt;=CD$5,$G37&lt;CD$5+GanttPeriod),"◆",IF(AND($E37&gt;=CD$5,$E37&lt;CD$5+GanttPeriod),"◇","")),IF(AND(CD$5&lt;=$F37,CD$5+GanttPeriod-1&gt;=$E37),"━","")))</f>
        <v/>
      </c>
      <c r="CE37" s="69" t="str">
        <f aca="false">IF($E37="","",IF($M37,IF(AND($G37&gt;=CE$5,$G37&lt;CE$5+GanttPeriod),"◆",IF(AND($E37&gt;=CE$5,$E37&lt;CE$5+GanttPeriod),"◇","")),IF(AND(CE$5&lt;=$F37,CE$5+GanttPeriod-1&gt;=$E37),"━","")))</f>
        <v/>
      </c>
      <c r="CF37" s="69" t="str">
        <f aca="false">IF($E37="","",IF($M37,IF(AND($G37&gt;=CF$5,$G37&lt;CF$5+GanttPeriod),"◆",IF(AND($E37&gt;=CF$5,$E37&lt;CF$5+GanttPeriod),"◇","")),IF(AND(CF$5&lt;=$F37,CF$5+GanttPeriod-1&gt;=$E37),"━","")))</f>
        <v/>
      </c>
      <c r="CG37" s="69" t="str">
        <f aca="false">IF($E37="","",IF($M37,IF(AND($G37&gt;=CG$5,$G37&lt;CG$5+GanttPeriod),"◆",IF(AND($E37&gt;=CG$5,$E37&lt;CG$5+GanttPeriod),"◇","")),IF(AND(CG$5&lt;=$F37,CG$5+GanttPeriod-1&gt;=$E37),"━","")))</f>
        <v/>
      </c>
      <c r="CH37" s="69" t="str">
        <f aca="false">IF($E37="","",IF($M37,IF(AND($G37&gt;=CH$5,$G37&lt;CH$5+GanttPeriod),"◆",IF(AND($E37&gt;=CH$5,$E37&lt;CH$5+GanttPeriod),"◇","")),IF(AND(CH$5&lt;=$F37,CH$5+GanttPeriod-1&gt;=$E37),"━","")))</f>
        <v/>
      </c>
      <c r="CI37" s="69" t="str">
        <f aca="false">IF($E37="","",IF($M37,IF(AND($G37&gt;=CI$5,$G37&lt;CI$5+GanttPeriod),"◆",IF(AND($E37&gt;=CI$5,$E37&lt;CI$5+GanttPeriod),"◇","")),IF(AND(CI$5&lt;=$F37,CI$5+GanttPeriod-1&gt;=$E37),"━","")))</f>
        <v/>
      </c>
      <c r="CJ37" s="69" t="str">
        <f aca="false">IF($E37="","",IF($M37,IF(AND($G37&gt;=CJ$5,$G37&lt;CJ$5+GanttPeriod),"◆",IF(AND($E37&gt;=CJ$5,$E37&lt;CJ$5+GanttPeriod),"◇","")),IF(AND(CJ$5&lt;=$F37,CJ$5+GanttPeriod-1&gt;=$E37),"━","")))</f>
        <v/>
      </c>
      <c r="CK37" s="69" t="str">
        <f aca="false">IF($E37="","",IF($M37,IF(AND($G37&gt;=CK$5,$G37&lt;CK$5+GanttPeriod),"◆",IF(AND($E37&gt;=CK$5,$E37&lt;CK$5+GanttPeriod),"◇","")),IF(AND(CK$5&lt;=$F37,CK$5+GanttPeriod-1&gt;=$E37),"━","")))</f>
        <v/>
      </c>
      <c r="CL37" s="69" t="str">
        <f aca="false">IF($E37="","",IF($M37,IF(AND($G37&gt;=CL$5,$G37&lt;CL$5+GanttPeriod),"◆",IF(AND($E37&gt;=CL$5,$E37&lt;CL$5+GanttPeriod),"◇","")),IF(AND(CL$5&lt;=$F37,CL$5+GanttPeriod-1&gt;=$E37),"━","")))</f>
        <v/>
      </c>
      <c r="CM37" s="69" t="str">
        <f aca="false">IF($E37="","",IF($M37,IF(AND($G37&gt;=CM$5,$G37&lt;CM$5+GanttPeriod),"◆",IF(AND($E37&gt;=CM$5,$E37&lt;CM$5+GanttPeriod),"◇","")),IF(AND(CM$5&lt;=$F37,CM$5+GanttPeriod-1&gt;=$E37),"━","")))</f>
        <v/>
      </c>
      <c r="CN37" s="69" t="str">
        <f aca="false">IF($E37="","",IF($M37,IF(AND($G37&gt;=CN$5,$G37&lt;CN$5+GanttPeriod),"◆",IF(AND($E37&gt;=CN$5,$E37&lt;CN$5+GanttPeriod),"◇","")),IF(AND(CN$5&lt;=$F37,CN$5+GanttPeriod-1&gt;=$E37),"━","")))</f>
        <v/>
      </c>
      <c r="CO37" s="69" t="str">
        <f aca="false">IF($E37="","",IF($M37,IF(AND($G37&gt;=CO$5,$G37&lt;CO$5+GanttPeriod),"◆",IF(AND($E37&gt;=CO$5,$E37&lt;CO$5+GanttPeriod),"◇","")),IF(AND(CO$5&lt;=$F37,CO$5+GanttPeriod-1&gt;=$E37),"━","")))</f>
        <v/>
      </c>
      <c r="CP37" s="69" t="str">
        <f aca="false">IF($E37="","",IF($M37,IF(AND($G37&gt;=CP$5,$G37&lt;CP$5+GanttPeriod),"◆",IF(AND($E37&gt;=CP$5,$E37&lt;CP$5+GanttPeriod),"◇","")),IF(AND(CP$5&lt;=$F37,CP$5+GanttPeriod-1&gt;=$E37),"━","")))</f>
        <v/>
      </c>
      <c r="CQ37" s="69" t="str">
        <f aca="false">IF($E37="","",IF($M37,IF(AND($G37&gt;=CQ$5,$G37&lt;CQ$5+GanttPeriod),"◆",IF(AND($E37&gt;=CQ$5,$E37&lt;CQ$5+GanttPeriod),"◇","")),IF(AND(CQ$5&lt;=$F37,CQ$5+GanttPeriod-1&gt;=$E37),"━","")))</f>
        <v/>
      </c>
      <c r="CR37" s="69" t="str">
        <f aca="false">IF($E37="","",IF($M37,IF(AND($G37&gt;=CR$5,$G37&lt;CR$5+GanttPeriod),"◆",IF(AND($E37&gt;=CR$5,$E37&lt;CR$5+GanttPeriod),"◇","")),IF(AND(CR$5&lt;=$F37,CR$5+GanttPeriod-1&gt;=$E37),"━","")))</f>
        <v/>
      </c>
      <c r="CS37" s="69" t="str">
        <f aca="false">IF($E37="","",IF($M37,IF(AND($G37&gt;=CS$5,$G37&lt;CS$5+GanttPeriod),"◆",IF(AND($E37&gt;=CS$5,$E37&lt;CS$5+GanttPeriod),"◇","")),IF(AND(CS$5&lt;=$F37,CS$5+GanttPeriod-1&gt;=$E37),"━","")))</f>
        <v/>
      </c>
      <c r="CT37" s="69" t="str">
        <f aca="false">IF($E37="","",IF($M37,IF(AND($G37&gt;=CT$5,$G37&lt;CT$5+GanttPeriod),"◆",IF(AND($E37&gt;=CT$5,$E37&lt;CT$5+GanttPeriod),"◇","")),IF(AND(CT$5&lt;=$F37,CT$5+GanttPeriod-1&gt;=$E37),"━","")))</f>
        <v/>
      </c>
      <c r="CU37" s="69" t="str">
        <f aca="false">IF($E37="","",IF($M37,IF(AND($G37&gt;=CU$5,$G37&lt;CU$5+GanttPeriod),"◆",IF(AND($E37&gt;=CU$5,$E37&lt;CU$5+GanttPeriod),"◇","")),IF(AND(CU$5&lt;=$F37,CU$5+GanttPeriod-1&gt;=$E37),"━","")))</f>
        <v/>
      </c>
      <c r="CV37" s="69" t="str">
        <f aca="false">IF($E37="","",IF($M37,IF(AND($G37&gt;=CV$5,$G37&lt;CV$5+GanttPeriod),"◆",IF(AND($E37&gt;=CV$5,$E37&lt;CV$5+GanttPeriod),"◇","")),IF(AND(CV$5&lt;=$F37,CV$5+GanttPeriod-1&gt;=$E37),"━","")))</f>
        <v/>
      </c>
      <c r="CW37" s="69" t="str">
        <f aca="false">IF($E37="","",IF($M37,IF(AND($G37&gt;=CW$5,$G37&lt;CW$5+GanttPeriod),"◆",IF(AND($E37&gt;=CW$5,$E37&lt;CW$5+GanttPeriod),"◇","")),IF(AND(CW$5&lt;=$F37,CW$5+GanttPeriod-1&gt;=$E37),"━","")))</f>
        <v/>
      </c>
      <c r="CX37" s="69" t="str">
        <f aca="false">IF($E37="","",IF($M37,IF(AND($G37&gt;=CX$5,$G37&lt;CX$5+GanttPeriod),"◆",IF(AND($E37&gt;=CX$5,$E37&lt;CX$5+GanttPeriod),"◇","")),IF(AND(CX$5&lt;=$F37,CX$5+GanttPeriod-1&gt;=$E37),"━","")))</f>
        <v/>
      </c>
      <c r="CY37" s="69" t="str">
        <f aca="false">IF($E37="","",IF($M37,IF(AND($G37&gt;=CY$5,$G37&lt;CY$5+GanttPeriod),"◆",IF(AND($E37&gt;=CY$5,$E37&lt;CY$5+GanttPeriod),"◇","")),IF(AND(CY$5&lt;=$F37,CY$5+GanttPeriod-1&gt;=$E37),"━","")))</f>
        <v/>
      </c>
      <c r="CZ37" s="69" t="str">
        <f aca="false">IF($E37="","",IF($M37,IF(AND($G37&gt;=CZ$5,$G37&lt;CZ$5+GanttPeriod),"◆",IF(AND($E37&gt;=CZ$5,$E37&lt;CZ$5+GanttPeriod),"◇","")),IF(AND(CZ$5&lt;=$F37,CZ$5+GanttPeriod-1&gt;=$E37),"━","")))</f>
        <v/>
      </c>
      <c r="DA37" s="69" t="str">
        <f aca="false">IF($E37="","",IF($M37,IF(AND($G37&gt;=DA$5,$G37&lt;DA$5+GanttPeriod),"◆",IF(AND($E37&gt;=DA$5,$E37&lt;DA$5+GanttPeriod),"◇","")),IF(AND(DA$5&lt;=$F37,DA$5+GanttPeriod-1&gt;=$E37),"━","")))</f>
        <v/>
      </c>
      <c r="DB37" s="69" t="str">
        <f aca="false">IF($E37="","",IF($M37,IF(AND($G37&gt;=DB$5,$G37&lt;DB$5+GanttPeriod),"◆",IF(AND($E37&gt;=DB$5,$E37&lt;DB$5+GanttPeriod),"◇","")),IF(AND(DB$5&lt;=$F37,DB$5+GanttPeriod-1&gt;=$E37),"━","")))</f>
        <v/>
      </c>
      <c r="DC37" s="69" t="str">
        <f aca="false">IF($E37="","",IF($M37,IF(AND($G37&gt;=DC$5,$G37&lt;DC$5+GanttPeriod),"◆",IF(AND($E37&gt;=DC$5,$E37&lt;DC$5+GanttPeriod),"◇","")),IF(AND(DC$5&lt;=$F37,DC$5+GanttPeriod-1&gt;=$E37),"━","")))</f>
        <v/>
      </c>
      <c r="DD37" s="69" t="str">
        <f aca="false">IF($E37="","",IF($M37,IF(AND($G37&gt;=DD$5,$G37&lt;DD$5+GanttPeriod),"◆",IF(AND($E37&gt;=DD$5,$E37&lt;DD$5+GanttPeriod),"◇","")),IF(AND(DD$5&lt;=$F37,DD$5+GanttPeriod-1&gt;=$E37),"━","")))</f>
        <v/>
      </c>
      <c r="DE37" s="69" t="str">
        <f aca="false">IF($E37="","",IF($M37,IF(AND($G37&gt;=DE$5,$G37&lt;DE$5+GanttPeriod),"◆",IF(AND($E37&gt;=DE$5,$E37&lt;DE$5+GanttPeriod),"◇","")),IF(AND(DE$5&lt;=$F37,DE$5+GanttPeriod-1&gt;=$E37),"━","")))</f>
        <v/>
      </c>
      <c r="DF37" s="69" t="str">
        <f aca="false">IF($E37="","",IF($M37,IF(AND($G37&gt;=DF$5,$G37&lt;DF$5+GanttPeriod),"◆",IF(AND($E37&gt;=DF$5,$E37&lt;DF$5+GanttPeriod),"◇","")),IF(AND(DF$5&lt;=$F37,DF$5+GanttPeriod-1&gt;=$E37),"━","")))</f>
        <v/>
      </c>
      <c r="DG37" s="69" t="str">
        <f aca="false">IF($E37="","",IF($M37,IF(AND($G37&gt;=DG$5,$G37&lt;DG$5+GanttPeriod),"◆",IF(AND($E37&gt;=DG$5,$E37&lt;DG$5+GanttPeriod),"◇","")),IF(AND(DG$5&lt;=$F37,DG$5+GanttPeriod-1&gt;=$E37),"━","")))</f>
        <v/>
      </c>
      <c r="DH37" s="69" t="str">
        <f aca="false">IF($E37="","",IF($M37,IF(AND($G37&gt;=DH$5,$G37&lt;DH$5+GanttPeriod),"◆",IF(AND($E37&gt;=DH$5,$E37&lt;DH$5+GanttPeriod),"◇","")),IF(AND(DH$5&lt;=$F37,DH$5+GanttPeriod-1&gt;=$E37),"━","")))</f>
        <v/>
      </c>
      <c r="DI37" s="69" t="str">
        <f aca="false">IF($E37="","",IF($M37,IF(AND($G37&gt;=DI$5,$G37&lt;DI$5+GanttPeriod),"◆",IF(AND($E37&gt;=DI$5,$E37&lt;DI$5+GanttPeriod),"◇","")),IF(AND(DI$5&lt;=$F37,DI$5+GanttPeriod-1&gt;=$E37),"━","")))</f>
        <v/>
      </c>
      <c r="DJ37" s="69" t="str">
        <f aca="false">IF($E37="","",IF($M37,IF(AND($G37&gt;=DJ$5,$G37&lt;DJ$5+GanttPeriod),"◆",IF(AND($E37&gt;=DJ$5,$E37&lt;DJ$5+GanttPeriod),"◇","")),IF(AND(DJ$5&lt;=$F37,DJ$5+GanttPeriod-1&gt;=$E37),"━","")))</f>
        <v/>
      </c>
      <c r="DK37" s="69" t="str">
        <f aca="false">IF($E37="","",IF($M37,IF(AND($G37&gt;=DK$5,$G37&lt;DK$5+GanttPeriod),"◆",IF(AND($E37&gt;=DK$5,$E37&lt;DK$5+GanttPeriod),"◇","")),IF(AND(DK$5&lt;=$F37,DK$5+GanttPeriod-1&gt;=$E37),"━","")))</f>
        <v/>
      </c>
      <c r="DL37" s="69" t="str">
        <f aca="false">IF($E37="","",IF($M37,IF(AND($G37&gt;=DL$5,$G37&lt;DL$5+GanttPeriod),"◆",IF(AND($E37&gt;=DL$5,$E37&lt;DL$5+GanttPeriod),"◇","")),IF(AND(DL$5&lt;=$F37,DL$5+GanttPeriod-1&gt;=$E37),"━","")))</f>
        <v/>
      </c>
      <c r="DM37" s="69" t="str">
        <f aca="false">IF($E37="","",IF($M37,IF(AND($G37&gt;=DM$5,$G37&lt;DM$5+GanttPeriod),"◆",IF(AND($E37&gt;=DM$5,$E37&lt;DM$5+GanttPeriod),"◇","")),IF(AND(DM$5&lt;=$F37,DM$5+GanttPeriod-1&gt;=$E37),"━","")))</f>
        <v/>
      </c>
      <c r="DN37" s="69" t="str">
        <f aca="false">IF($E37="","",IF($M37,IF(AND($G37&gt;=DN$5,$G37&lt;DN$5+GanttPeriod),"◆",IF(AND($E37&gt;=DN$5,$E37&lt;DN$5+GanttPeriod),"◇","")),IF(AND(DN$5&lt;=$F37,DN$5+GanttPeriod-1&gt;=$E37),"━","")))</f>
        <v/>
      </c>
      <c r="DO37" s="69" t="str">
        <f aca="false">IF($E37="","",IF($M37,IF(AND($G37&gt;=DO$5,$G37&lt;DO$5+GanttPeriod),"◆",IF(AND($E37&gt;=DO$5,$E37&lt;DO$5+GanttPeriod),"◇","")),IF(AND(DO$5&lt;=$F37,DO$5+GanttPeriod-1&gt;=$E37),"━","")))</f>
        <v/>
      </c>
      <c r="DP37" s="69" t="str">
        <f aca="false">IF($E37="","",IF($M37,IF(AND($G37&gt;=DP$5,$G37&lt;DP$5+GanttPeriod),"◆",IF(AND($E37&gt;=DP$5,$E37&lt;DP$5+GanttPeriod),"◇","")),IF(AND(DP$5&lt;=$F37,DP$5+GanttPeriod-1&gt;=$E37),"━","")))</f>
        <v/>
      </c>
      <c r="DQ37" s="69" t="str">
        <f aca="false">IF($E37="","",IF($M37,IF(AND($G37&gt;=DQ$5,$G37&lt;DQ$5+GanttPeriod),"◆",IF(AND($E37&gt;=DQ$5,$E37&lt;DQ$5+GanttPeriod),"◇","")),IF(AND(DQ$5&lt;=$F37,DQ$5+GanttPeriod-1&gt;=$E37),"━","")))</f>
        <v/>
      </c>
      <c r="DR37" s="69" t="str">
        <f aca="false">IF($E37="","",IF($M37,IF(AND($G37&gt;=DR$5,$G37&lt;DR$5+GanttPeriod),"◆",IF(AND($E37&gt;=DR$5,$E37&lt;DR$5+GanttPeriod),"◇","")),IF(AND(DR$5&lt;=$F37,DR$5+GanttPeriod-1&gt;=$E37),"━","")))</f>
        <v/>
      </c>
      <c r="DS37" s="69" t="str">
        <f aca="false">IF($E37="","",IF($M37,IF(AND($G37&gt;=DS$5,$G37&lt;DS$5+GanttPeriod),"◆",IF(AND($E37&gt;=DS$5,$E37&lt;DS$5+GanttPeriod),"◇","")),IF(AND(DS$5&lt;=$F37,DS$5+GanttPeriod-1&gt;=$E37),"━","")))</f>
        <v/>
      </c>
      <c r="DT37" s="69" t="str">
        <f aca="false">IF($E37="","",IF($M37,IF(AND($G37&gt;=DT$5,$G37&lt;DT$5+GanttPeriod),"◆",IF(AND($E37&gt;=DT$5,$E37&lt;DT$5+GanttPeriod),"◇","")),IF(AND(DT$5&lt;=$F37,DT$5+GanttPeriod-1&gt;=$E37),"━","")))</f>
        <v/>
      </c>
      <c r="DU37" s="69" t="str">
        <f aca="false">IF($E37="","",IF($M37,IF(AND($G37&gt;=DU$5,$G37&lt;DU$5+GanttPeriod),"◆",IF(AND($E37&gt;=DU$5,$E37&lt;DU$5+GanttPeriod),"◇","")),IF(AND(DU$5&lt;=$F37,DU$5+GanttPeriod-1&gt;=$E37),"━","")))</f>
        <v/>
      </c>
      <c r="DV37" s="69" t="str">
        <f aca="false">IF($E37="","",IF($M37,IF(AND($G37&gt;=DV$5,$G37&lt;DV$5+GanttPeriod),"◆",IF(AND($E37&gt;=DV$5,$E37&lt;DV$5+GanttPeriod),"◇","")),IF(AND(DV$5&lt;=$F37,DV$5+GanttPeriod-1&gt;=$E37),"━","")))</f>
        <v/>
      </c>
      <c r="DW37" s="69" t="str">
        <f aca="false">IF($E37="","",IF($M37,IF(AND($G37&gt;=DW$5,$G37&lt;DW$5+GanttPeriod),"◆",IF(AND($E37&gt;=DW$5,$E37&lt;DW$5+GanttPeriod),"◇","")),IF(AND(DW$5&lt;=$F37,DW$5+GanttPeriod-1&gt;=$E37),"━","")))</f>
        <v/>
      </c>
      <c r="DX37" s="69" t="str">
        <f aca="false">IF($E37="","",IF($M37,IF(AND($G37&gt;=DX$5,$G37&lt;DX$5+GanttPeriod),"◆",IF(AND($E37&gt;=DX$5,$E37&lt;DX$5+GanttPeriod),"◇","")),IF(AND(DX$5&lt;=$F37,DX$5+GanttPeriod-1&gt;=$E37),"━","")))</f>
        <v/>
      </c>
      <c r="DY37" s="69" t="str">
        <f aca="false">IF($E37="","",IF($M37,IF(AND($G37&gt;=DY$5,$G37&lt;DY$5+GanttPeriod),"◆",IF(AND($E37&gt;=DY$5,$E37&lt;DY$5+GanttPeriod),"◇","")),IF(AND(DY$5&lt;=$F37,DY$5+GanttPeriod-1&gt;=$E37),"━","")))</f>
        <v/>
      </c>
      <c r="DZ37" s="69" t="str">
        <f aca="false">IF($E37="","",IF($M37,IF(AND($G37&gt;=DZ$5,$G37&lt;DZ$5+GanttPeriod),"◆",IF(AND($E37&gt;=DZ$5,$E37&lt;DZ$5+GanttPeriod),"◇","")),IF(AND(DZ$5&lt;=$F37,DZ$5+GanttPeriod-1&gt;=$E37),"━","")))</f>
        <v/>
      </c>
      <c r="EA37" s="69" t="str">
        <f aca="false">IF($E37="","",IF($M37,IF(AND($G37&gt;=EA$5,$G37&lt;EA$5+GanttPeriod),"◆",IF(AND($E37&gt;=EA$5,$E37&lt;EA$5+GanttPeriod),"◇","")),IF(AND(EA$5&lt;=$F37,EA$5+GanttPeriod-1&gt;=$E37),"━","")))</f>
        <v/>
      </c>
      <c r="EB37" s="69" t="str">
        <f aca="false">IF($E37="","",IF($M37,IF(AND($G37&gt;=EB$5,$G37&lt;EB$5+GanttPeriod),"◆",IF(AND($E37&gt;=EB$5,$E37&lt;EB$5+GanttPeriod),"◇","")),IF(AND(EB$5&lt;=$F37,EB$5+GanttPeriod-1&gt;=$E37),"━","")))</f>
        <v/>
      </c>
      <c r="EC37" s="69" t="str">
        <f aca="false">IF($E37="","",IF($M37,IF(AND($G37&gt;=EC$5,$G37&lt;EC$5+GanttPeriod),"◆",IF(AND($E37&gt;=EC$5,$E37&lt;EC$5+GanttPeriod),"◇","")),IF(AND(EC$5&lt;=$F37,EC$5+GanttPeriod-1&gt;=$E37),"━","")))</f>
        <v/>
      </c>
      <c r="ED37" s="69" t="str">
        <f aca="false">IF($E37="","",IF($M37,IF(AND($G37&gt;=ED$5,$G37&lt;ED$5+GanttPeriod),"◆",IF(AND($E37&gt;=ED$5,$E37&lt;ED$5+GanttPeriod),"◇","")),IF(AND(ED$5&lt;=$F37,ED$5+GanttPeriod-1&gt;=$E37),"━","")))</f>
        <v/>
      </c>
      <c r="EE37" s="69" t="str">
        <f aca="false">IF($E37="","",IF($M37,IF(AND($G37&gt;=EE$5,$G37&lt;EE$5+GanttPeriod),"◆",IF(AND($E37&gt;=EE$5,$E37&lt;EE$5+GanttPeriod),"◇","")),IF(AND(EE$5&lt;=$F37,EE$5+GanttPeriod-1&gt;=$E37),"━","")))</f>
        <v/>
      </c>
      <c r="EF37" s="69" t="str">
        <f aca="false">IF($E37="","",IF($M37,IF(AND($G37&gt;=EF$5,$G37&lt;EF$5+GanttPeriod),"◆",IF(AND($E37&gt;=EF$5,$E37&lt;EF$5+GanttPeriod),"◇","")),IF(AND(EF$5&lt;=$F37,EF$5+GanttPeriod-1&gt;=$E37),"━","")))</f>
        <v/>
      </c>
      <c r="EG37" s="69" t="str">
        <f aca="false">IF($E37="","",IF($M37,IF(AND($G37&gt;=EG$5,$G37&lt;EG$5+GanttPeriod),"◆",IF(AND($E37&gt;=EG$5,$E37&lt;EG$5+GanttPeriod),"◇","")),IF(AND(EG$5&lt;=$F37,EG$5+GanttPeriod-1&gt;=$E37),"━","")))</f>
        <v/>
      </c>
      <c r="EH37" s="69" t="str">
        <f aca="false">IF($E37="","",IF($M37,IF(AND($G37&gt;=EH$5,$G37&lt;EH$5+GanttPeriod),"◆",IF(AND($E37&gt;=EH$5,$E37&lt;EH$5+GanttPeriod),"◇","")),IF(AND(EH$5&lt;=$F37,EH$5+GanttPeriod-1&gt;=$E37),"━","")))</f>
        <v/>
      </c>
      <c r="EI37" s="69" t="str">
        <f aca="false">IF($E37="","",IF($M37,IF(AND($G37&gt;=EI$5,$G37&lt;EI$5+GanttPeriod),"◆",IF(AND($E37&gt;=EI$5,$E37&lt;EI$5+GanttPeriod),"◇","")),IF(AND(EI$5&lt;=$F37,EI$5+GanttPeriod-1&gt;=$E37),"━","")))</f>
        <v/>
      </c>
      <c r="EJ37" s="69" t="str">
        <f aca="false">IF($E37="","",IF($M37,IF(AND($G37&gt;=EJ$5,$G37&lt;EJ$5+GanttPeriod),"◆",IF(AND($E37&gt;=EJ$5,$E37&lt;EJ$5+GanttPeriod),"◇","")),IF(AND(EJ$5&lt;=$F37,EJ$5+GanttPeriod-1&gt;=$E37),"━","")))</f>
        <v/>
      </c>
      <c r="EK37" s="69" t="str">
        <f aca="false">IF($E37="","",IF($M37,IF(AND($G37&gt;=EK$5,$G37&lt;EK$5+GanttPeriod),"◆",IF(AND($E37&gt;=EK$5,$E37&lt;EK$5+GanttPeriod),"◇","")),IF(AND(EK$5&lt;=$F37,EK$5+GanttPeriod-1&gt;=$E37),"━","")))</f>
        <v/>
      </c>
      <c r="EL37" s="69" t="str">
        <f aca="false">IF($E37="","",IF($M37,IF(AND($G37&gt;=EL$5,$G37&lt;EL$5+GanttPeriod),"◆",IF(AND($E37&gt;=EL$5,$E37&lt;EL$5+GanttPeriod),"◇","")),IF(AND(EL$5&lt;=$F37,EL$5+GanttPeriod-1&gt;=$E37),"━","")))</f>
        <v/>
      </c>
      <c r="EM37" s="69" t="str">
        <f aca="false">IF($E37="","",IF($M37,IF(AND($G37&gt;=EM$5,$G37&lt;EM$5+GanttPeriod),"◆",IF(AND($E37&gt;=EM$5,$E37&lt;EM$5+GanttPeriod),"◇","")),IF(AND(EM$5&lt;=$F37,EM$5+GanttPeriod-1&gt;=$E37),"━","")))</f>
        <v/>
      </c>
      <c r="EN37" s="69" t="str">
        <f aca="false">IF($E37="","",IF($M37,IF(AND($G37&gt;=EN$5,$G37&lt;EN$5+GanttPeriod),"◆",IF(AND($E37&gt;=EN$5,$E37&lt;EN$5+GanttPeriod),"◇","")),IF(AND(EN$5&lt;=$F37,EN$5+GanttPeriod-1&gt;=$E37),"━","")))</f>
        <v/>
      </c>
      <c r="EO37" s="69" t="str">
        <f aca="false">IF($E37="","",IF($M37,IF(AND($G37&gt;=EO$5,$G37&lt;EO$5+GanttPeriod),"◆",IF(AND($E37&gt;=EO$5,$E37&lt;EO$5+GanttPeriod),"◇","")),IF(AND(EO$5&lt;=$F37,EO$5+GanttPeriod-1&gt;=$E37),"━","")))</f>
        <v/>
      </c>
      <c r="EP37" s="69" t="str">
        <f aca="false">IF($E37="","",IF($M37,IF(AND($G37&gt;=EP$5,$G37&lt;EP$5+GanttPeriod),"◆",IF(AND($E37&gt;=EP$5,$E37&lt;EP$5+GanttPeriod),"◇","")),IF(AND(EP$5&lt;=$F37,EP$5+GanttPeriod-1&gt;=$E37),"━","")))</f>
        <v/>
      </c>
      <c r="EQ37" s="69" t="str">
        <f aca="false">IF($E37="","",IF($M37,IF(AND($G37&gt;=EQ$5,$G37&lt;EQ$5+GanttPeriod),"◆",IF(AND($E37&gt;=EQ$5,$E37&lt;EQ$5+GanttPeriod),"◇","")),IF(AND(EQ$5&lt;=$F37,EQ$5+GanttPeriod-1&gt;=$E37),"━","")))</f>
        <v/>
      </c>
      <c r="ER37" s="69" t="str">
        <f aca="false">IF($E37="","",IF($M37,IF(AND($G37&gt;=ER$5,$G37&lt;ER$5+GanttPeriod),"◆",IF(AND($E37&gt;=ER$5,$E37&lt;ER$5+GanttPeriod),"◇","")),IF(AND(ER$5&lt;=$F37,ER$5+GanttPeriod-1&gt;=$E37),"━","")))</f>
        <v/>
      </c>
      <c r="ES37" s="69" t="str">
        <f aca="false">IF($E37="","",IF($M37,IF(AND($G37&gt;=ES$5,$G37&lt;ES$5+GanttPeriod),"◆",IF(AND($E37&gt;=ES$5,$E37&lt;ES$5+GanttPeriod),"◇","")),IF(AND(ES$5&lt;=$F37,ES$5+GanttPeriod-1&gt;=$E37),"━","")))</f>
        <v/>
      </c>
      <c r="ET37" s="69" t="str">
        <f aca="false">IF($E37="","",IF($M37,IF(AND($G37&gt;=ET$5,$G37&lt;ET$5+GanttPeriod),"◆",IF(AND($E37&gt;=ET$5,$E37&lt;ET$5+GanttPeriod),"◇","")),IF(AND(ET$5&lt;=$F37,ET$5+GanttPeriod-1&gt;=$E37),"━","")))</f>
        <v/>
      </c>
      <c r="EU37" s="69" t="str">
        <f aca="false">IF($E37="","",IF($M37,IF(AND($G37&gt;=EU$5,$G37&lt;EU$5+GanttPeriod),"◆",IF(AND($E37&gt;=EU$5,$E37&lt;EU$5+GanttPeriod),"◇","")),IF(AND(EU$5&lt;=$F37,EU$5+GanttPeriod-1&gt;=$E37),"━","")))</f>
        <v/>
      </c>
      <c r="EV37" s="69" t="str">
        <f aca="false">IF($E37="","",IF($M37,IF(AND($G37&gt;=EV$5,$G37&lt;EV$5+GanttPeriod),"◆",IF(AND($E37&gt;=EV$5,$E37&lt;EV$5+GanttPeriod),"◇","")),IF(AND(EV$5&lt;=$F37,EV$5+GanttPeriod-1&gt;=$E37),"━","")))</f>
        <v/>
      </c>
      <c r="EW37" s="69" t="str">
        <f aca="false">IF($E37="","",IF($M37,IF(AND($G37&gt;=EW$5,$G37&lt;EW$5+GanttPeriod),"◆",IF(AND($E37&gt;=EW$5,$E37&lt;EW$5+GanttPeriod),"◇","")),IF(AND(EW$5&lt;=$F37,EW$5+GanttPeriod-1&gt;=$E37),"━","")))</f>
        <v/>
      </c>
      <c r="EX37" s="69" t="str">
        <f aca="false">IF($E37="","",IF($M37,IF(AND($G37&gt;=EX$5,$G37&lt;EX$5+GanttPeriod),"◆",IF(AND($E37&gt;=EX$5,$E37&lt;EX$5+GanttPeriod),"◇","")),IF(AND(EX$5&lt;=$F37,EX$5+GanttPeriod-1&gt;=$E37),"━","")))</f>
        <v/>
      </c>
      <c r="EY37" s="69" t="str">
        <f aca="false">IF($E37="","",IF($M37,IF(AND($G37&gt;=EY$5,$G37&lt;EY$5+GanttPeriod),"◆",IF(AND($E37&gt;=EY$5,$E37&lt;EY$5+GanttPeriod),"◇","")),IF(AND(EY$5&lt;=$F37,EY$5+GanttPeriod-1&gt;=$E37),"━","")))</f>
        <v/>
      </c>
      <c r="EZ37" s="69" t="str">
        <f aca="false">IF($E37="","",IF($M37,IF(AND($G37&gt;=EZ$5,$G37&lt;EZ$5+GanttPeriod),"◆",IF(AND($E37&gt;=EZ$5,$E37&lt;EZ$5+GanttPeriod),"◇","")),IF(AND(EZ$5&lt;=$F37,EZ$5+GanttPeriod-1&gt;=$E37),"━","")))</f>
        <v/>
      </c>
      <c r="FA37" s="69" t="str">
        <f aca="false">IF($E37="","",IF($M37,IF(AND($G37&gt;=FA$5,$G37&lt;FA$5+GanttPeriod),"◆",IF(AND($E37&gt;=FA$5,$E37&lt;FA$5+GanttPeriod),"◇","")),IF(AND(FA$5&lt;=$F37,FA$5+GanttPeriod-1&gt;=$E37),"━","")))</f>
        <v/>
      </c>
      <c r="FB37" s="69" t="str">
        <f aca="false">IF($E37="","",IF($M37,IF(AND($G37&gt;=FB$5,$G37&lt;FB$5+GanttPeriod),"◆",IF(AND($E37&gt;=FB$5,$E37&lt;FB$5+GanttPeriod),"◇","")),IF(AND(FB$5&lt;=$F37,FB$5+GanttPeriod-1&gt;=$E37),"━","")))</f>
        <v/>
      </c>
      <c r="FC37" s="69" t="str">
        <f aca="false">IF($E37="","",IF($M37,IF(AND($G37&gt;=FC$5,$G37&lt;FC$5+GanttPeriod),"◆",IF(AND($E37&gt;=FC$5,$E37&lt;FC$5+GanttPeriod),"◇","")),IF(AND(FC$5&lt;=$F37,FC$5+GanttPeriod-1&gt;=$E37),"━","")))</f>
        <v/>
      </c>
      <c r="FD37" s="69" t="str">
        <f aca="false">IF($E37="","",IF($M37,IF(AND($G37&gt;=FD$5,$G37&lt;FD$5+GanttPeriod),"◆",IF(AND($E37&gt;=FD$5,$E37&lt;FD$5+GanttPeriod),"◇","")),IF(AND(FD$5&lt;=$F37,FD$5+GanttPeriod-1&gt;=$E37),"━","")))</f>
        <v/>
      </c>
      <c r="FE37" s="69" t="str">
        <f aca="false">IF($E37="","",IF($M37,IF(AND($G37&gt;=FE$5,$G37&lt;FE$5+GanttPeriod),"◆",IF(AND($E37&gt;=FE$5,$E37&lt;FE$5+GanttPeriod),"◇","")),IF(AND(FE$5&lt;=$F37,FE$5+GanttPeriod-1&gt;=$E37),"━","")))</f>
        <v/>
      </c>
      <c r="FF37" s="69" t="str">
        <f aca="false">IF($E37="","",IF($M37,IF(AND($G37&gt;=FF$5,$G37&lt;FF$5+GanttPeriod),"◆",IF(AND($E37&gt;=FF$5,$E37&lt;FF$5+GanttPeriod),"◇","")),IF(AND(FF$5&lt;=$F37,FF$5+GanttPeriod-1&gt;=$E37),"━","")))</f>
        <v/>
      </c>
      <c r="FG37" s="69" t="str">
        <f aca="false">IF($E37="","",IF($M37,IF(AND($G37&gt;=FG$5,$G37&lt;FG$5+GanttPeriod),"◆",IF(AND($E37&gt;=FG$5,$E37&lt;FG$5+GanttPeriod),"◇","")),IF(AND(FG$5&lt;=$F37,FG$5+GanttPeriod-1&gt;=$E37),"━","")))</f>
        <v/>
      </c>
      <c r="FH37" s="69" t="str">
        <f aca="false">IF($E37="","",IF($M37,IF(AND($G37&gt;=FH$5,$G37&lt;FH$5+GanttPeriod),"◆",IF(AND($E37&gt;=FH$5,$E37&lt;FH$5+GanttPeriod),"◇","")),IF(AND(FH$5&lt;=$F37,FH$5+GanttPeriod-1&gt;=$E37),"━","")))</f>
        <v/>
      </c>
      <c r="FI37" s="69" t="str">
        <f aca="false">IF($E37="","",IF($M37,IF(AND($G37&gt;=FI$5,$G37&lt;FI$5+GanttPeriod),"◆",IF(AND($E37&gt;=FI$5,$E37&lt;FI$5+GanttPeriod),"◇","")),IF(AND(FI$5&lt;=$F37,FI$5+GanttPeriod-1&gt;=$E37),"━","")))</f>
        <v/>
      </c>
      <c r="FJ37" s="69" t="str">
        <f aca="false">IF($E37="","",IF($M37,IF(AND($G37&gt;=FJ$5,$G37&lt;FJ$5+GanttPeriod),"◆",IF(AND($E37&gt;=FJ$5,$E37&lt;FJ$5+GanttPeriod),"◇","")),IF(AND(FJ$5&lt;=$F37,FJ$5+GanttPeriod-1&gt;=$E37),"━","")))</f>
        <v/>
      </c>
      <c r="FK37" s="69" t="str">
        <f aca="false">IF($E37="","",IF($M37,IF(AND($G37&gt;=FK$5,$G37&lt;FK$5+GanttPeriod),"◆",IF(AND($E37&gt;=FK$5,$E37&lt;FK$5+GanttPeriod),"◇","")),IF(AND(FK$5&lt;=$F37,FK$5+GanttPeriod-1&gt;=$E37),"━","")))</f>
        <v/>
      </c>
      <c r="FL37" s="69" t="str">
        <f aca="false">IF($E37="","",IF($M37,IF(AND($G37&gt;=FL$5,$G37&lt;FL$5+GanttPeriod),"◆",IF(AND($E37&gt;=FL$5,$E37&lt;FL$5+GanttPeriod),"◇","")),IF(AND(FL$5&lt;=$F37,FL$5+GanttPeriod-1&gt;=$E37),"━","")))</f>
        <v/>
      </c>
      <c r="FM37" s="69" t="str">
        <f aca="false">IF($E37="","",IF($M37,IF(AND($G37&gt;=FM$5,$G37&lt;FM$5+GanttPeriod),"◆",IF(AND($E37&gt;=FM$5,$E37&lt;FM$5+GanttPeriod),"◇","")),IF(AND(FM$5&lt;=$F37,FM$5+GanttPeriod-1&gt;=$E37),"━","")))</f>
        <v/>
      </c>
    </row>
    <row r="38" customFormat="false" ht="15" hidden="false" customHeight="false" outlineLevel="0" collapsed="false">
      <c r="A38" s="62" t="str">
        <f aca="false">IF(Tasks!$D38="","",Tasks!$A38)</f>
        <v/>
      </c>
      <c r="B38" s="62" t="str">
        <f aca="false">IF(Tasks!$D38="","",Tasks!$B38)</f>
        <v/>
      </c>
      <c r="C38" s="63" t="str">
        <f aca="false">IF(Tasks!$D38="","",REPT("    ",Tasks!$AE38-1)&amp;Tasks!$D38)</f>
        <v/>
      </c>
      <c r="D38" s="62" t="str">
        <f aca="false">IF(Tasks!$D38="","",IF(Tasks!$AI38,NETWORKDAYS.INTL(Tasks!$R38,Tasks!$S38,WorkWeek,Holidays),N(Tasks!$F38)))</f>
        <v/>
      </c>
      <c r="E38" s="64" t="str">
        <f aca="false">IF(Tasks!$D38="","",Tasks!$N38)</f>
        <v/>
      </c>
      <c r="F38" s="64" t="str">
        <f aca="false">IF(Tasks!$D38="","",Tasks!$O38)</f>
        <v/>
      </c>
      <c r="G38" s="64" t="str">
        <f aca="false">IF(Tasks!$D38="","",Tasks!$R38)</f>
        <v/>
      </c>
      <c r="H38" s="64" t="str">
        <f aca="false">IF(Tasks!$D38="","",Tasks!$S38)</f>
        <v/>
      </c>
      <c r="I38" s="65" t="str">
        <f aca="false">IF(Tasks!$D38="","",Tasks!$V38)</f>
        <v/>
      </c>
      <c r="J38" s="63" t="str">
        <f aca="false">IF(Tasks!$D38="","",Tasks!$X38&amp;"")</f>
        <v/>
      </c>
      <c r="K38" s="66" t="str">
        <f aca="false">IF(Tasks!$D38="","",Tasks!$W38)</f>
        <v/>
      </c>
      <c r="L38" s="67" t="b">
        <f aca="false">IF(Tasks!$D38="",FALSE(),Tasks!$AI38)</f>
        <v>0</v>
      </c>
      <c r="M38" s="67" t="b">
        <f aca="false">AND(Tasks!$AJ38=1,N(Tasks!$F38)=0)</f>
        <v>0</v>
      </c>
      <c r="N38" s="68" t="n">
        <f aca="false">IF(AND(Tasks!$AJ38=1,NOT($M38),N($I38)&gt;0),$G38,0)</f>
        <v>0</v>
      </c>
      <c r="O38" s="68" t="n">
        <f aca="false">IF($N38=0,0,IF($I38&gt;=1,$H38,MAX($N38,$G38+ROUND(($H38-$G38+1)*$I38,0)-1)))</f>
        <v>0</v>
      </c>
      <c r="P38" s="68" t="n">
        <f aca="false">IF(OR(Tasks!$AJ38&lt;&gt;1,$M38,N($I38)&gt;=1),0,IF($O38&gt;0,$O38+1,$G38))</f>
        <v>0</v>
      </c>
      <c r="Q38" s="68" t="n">
        <f aca="false">IF($P38=0,0,$H38)</f>
        <v>0</v>
      </c>
      <c r="R38" s="67" t="b">
        <f aca="false">AND(Tasks!$D38&lt;&gt;"",N(Tasks!$T38)&gt;0)</f>
        <v>0</v>
      </c>
      <c r="T38" s="69" t="str">
        <f aca="false">IF($E38="","",IF($M38,IF(AND($G38&gt;=T$5,$G38&lt;T$5+GanttPeriod),"◆",IF(AND($E38&gt;=T$5,$E38&lt;T$5+GanttPeriod),"◇","")),IF(AND(T$5&lt;=$F38,T$5+GanttPeriod-1&gt;=$E38),"━","")))</f>
        <v/>
      </c>
      <c r="U38" s="69" t="str">
        <f aca="false">IF($E38="","",IF($M38,IF(AND($G38&gt;=U$5,$G38&lt;U$5+GanttPeriod),"◆",IF(AND($E38&gt;=U$5,$E38&lt;U$5+GanttPeriod),"◇","")),IF(AND(U$5&lt;=$F38,U$5+GanttPeriod-1&gt;=$E38),"━","")))</f>
        <v/>
      </c>
      <c r="V38" s="69" t="str">
        <f aca="false">IF($E38="","",IF($M38,IF(AND($G38&gt;=V$5,$G38&lt;V$5+GanttPeriod),"◆",IF(AND($E38&gt;=V$5,$E38&lt;V$5+GanttPeriod),"◇","")),IF(AND(V$5&lt;=$F38,V$5+GanttPeriod-1&gt;=$E38),"━","")))</f>
        <v/>
      </c>
      <c r="W38" s="69" t="str">
        <f aca="false">IF($E38="","",IF($M38,IF(AND($G38&gt;=W$5,$G38&lt;W$5+GanttPeriod),"◆",IF(AND($E38&gt;=W$5,$E38&lt;W$5+GanttPeriod),"◇","")),IF(AND(W$5&lt;=$F38,W$5+GanttPeriod-1&gt;=$E38),"━","")))</f>
        <v/>
      </c>
      <c r="X38" s="69" t="str">
        <f aca="false">IF($E38="","",IF($M38,IF(AND($G38&gt;=X$5,$G38&lt;X$5+GanttPeriod),"◆",IF(AND($E38&gt;=X$5,$E38&lt;X$5+GanttPeriod),"◇","")),IF(AND(X$5&lt;=$F38,X$5+GanttPeriod-1&gt;=$E38),"━","")))</f>
        <v/>
      </c>
      <c r="Y38" s="69" t="str">
        <f aca="false">IF($E38="","",IF($M38,IF(AND($G38&gt;=Y$5,$G38&lt;Y$5+GanttPeriod),"◆",IF(AND($E38&gt;=Y$5,$E38&lt;Y$5+GanttPeriod),"◇","")),IF(AND(Y$5&lt;=$F38,Y$5+GanttPeriod-1&gt;=$E38),"━","")))</f>
        <v/>
      </c>
      <c r="Z38" s="69" t="str">
        <f aca="false">IF($E38="","",IF($M38,IF(AND($G38&gt;=Z$5,$G38&lt;Z$5+GanttPeriod),"◆",IF(AND($E38&gt;=Z$5,$E38&lt;Z$5+GanttPeriod),"◇","")),IF(AND(Z$5&lt;=$F38,Z$5+GanttPeriod-1&gt;=$E38),"━","")))</f>
        <v/>
      </c>
      <c r="AA38" s="69" t="str">
        <f aca="false">IF($E38="","",IF($M38,IF(AND($G38&gt;=AA$5,$G38&lt;AA$5+GanttPeriod),"◆",IF(AND($E38&gt;=AA$5,$E38&lt;AA$5+GanttPeriod),"◇","")),IF(AND(AA$5&lt;=$F38,AA$5+GanttPeriod-1&gt;=$E38),"━","")))</f>
        <v/>
      </c>
      <c r="AB38" s="69" t="str">
        <f aca="false">IF($E38="","",IF($M38,IF(AND($G38&gt;=AB$5,$G38&lt;AB$5+GanttPeriod),"◆",IF(AND($E38&gt;=AB$5,$E38&lt;AB$5+GanttPeriod),"◇","")),IF(AND(AB$5&lt;=$F38,AB$5+GanttPeriod-1&gt;=$E38),"━","")))</f>
        <v/>
      </c>
      <c r="AC38" s="69" t="str">
        <f aca="false">IF($E38="","",IF($M38,IF(AND($G38&gt;=AC$5,$G38&lt;AC$5+GanttPeriod),"◆",IF(AND($E38&gt;=AC$5,$E38&lt;AC$5+GanttPeriod),"◇","")),IF(AND(AC$5&lt;=$F38,AC$5+GanttPeriod-1&gt;=$E38),"━","")))</f>
        <v/>
      </c>
      <c r="AD38" s="69" t="str">
        <f aca="false">IF($E38="","",IF($M38,IF(AND($G38&gt;=AD$5,$G38&lt;AD$5+GanttPeriod),"◆",IF(AND($E38&gt;=AD$5,$E38&lt;AD$5+GanttPeriod),"◇","")),IF(AND(AD$5&lt;=$F38,AD$5+GanttPeriod-1&gt;=$E38),"━","")))</f>
        <v/>
      </c>
      <c r="AE38" s="69" t="str">
        <f aca="false">IF($E38="","",IF($M38,IF(AND($G38&gt;=AE$5,$G38&lt;AE$5+GanttPeriod),"◆",IF(AND($E38&gt;=AE$5,$E38&lt;AE$5+GanttPeriod),"◇","")),IF(AND(AE$5&lt;=$F38,AE$5+GanttPeriod-1&gt;=$E38),"━","")))</f>
        <v/>
      </c>
      <c r="AF38" s="69" t="str">
        <f aca="false">IF($E38="","",IF($M38,IF(AND($G38&gt;=AF$5,$G38&lt;AF$5+GanttPeriod),"◆",IF(AND($E38&gt;=AF$5,$E38&lt;AF$5+GanttPeriod),"◇","")),IF(AND(AF$5&lt;=$F38,AF$5+GanttPeriod-1&gt;=$E38),"━","")))</f>
        <v/>
      </c>
      <c r="AG38" s="69" t="str">
        <f aca="false">IF($E38="","",IF($M38,IF(AND($G38&gt;=AG$5,$G38&lt;AG$5+GanttPeriod),"◆",IF(AND($E38&gt;=AG$5,$E38&lt;AG$5+GanttPeriod),"◇","")),IF(AND(AG$5&lt;=$F38,AG$5+GanttPeriod-1&gt;=$E38),"━","")))</f>
        <v/>
      </c>
      <c r="AH38" s="69" t="str">
        <f aca="false">IF($E38="","",IF($M38,IF(AND($G38&gt;=AH$5,$G38&lt;AH$5+GanttPeriod),"◆",IF(AND($E38&gt;=AH$5,$E38&lt;AH$5+GanttPeriod),"◇","")),IF(AND(AH$5&lt;=$F38,AH$5+GanttPeriod-1&gt;=$E38),"━","")))</f>
        <v/>
      </c>
      <c r="AI38" s="69" t="str">
        <f aca="false">IF($E38="","",IF($M38,IF(AND($G38&gt;=AI$5,$G38&lt;AI$5+GanttPeriod),"◆",IF(AND($E38&gt;=AI$5,$E38&lt;AI$5+GanttPeriod),"◇","")),IF(AND(AI$5&lt;=$F38,AI$5+GanttPeriod-1&gt;=$E38),"━","")))</f>
        <v/>
      </c>
      <c r="AJ38" s="69" t="str">
        <f aca="false">IF($E38="","",IF($M38,IF(AND($G38&gt;=AJ$5,$G38&lt;AJ$5+GanttPeriod),"◆",IF(AND($E38&gt;=AJ$5,$E38&lt;AJ$5+GanttPeriod),"◇","")),IF(AND(AJ$5&lt;=$F38,AJ$5+GanttPeriod-1&gt;=$E38),"━","")))</f>
        <v/>
      </c>
      <c r="AK38" s="69" t="str">
        <f aca="false">IF($E38="","",IF($M38,IF(AND($G38&gt;=AK$5,$G38&lt;AK$5+GanttPeriod),"◆",IF(AND($E38&gt;=AK$5,$E38&lt;AK$5+GanttPeriod),"◇","")),IF(AND(AK$5&lt;=$F38,AK$5+GanttPeriod-1&gt;=$E38),"━","")))</f>
        <v/>
      </c>
      <c r="AL38" s="69" t="str">
        <f aca="false">IF($E38="","",IF($M38,IF(AND($G38&gt;=AL$5,$G38&lt;AL$5+GanttPeriod),"◆",IF(AND($E38&gt;=AL$5,$E38&lt;AL$5+GanttPeriod),"◇","")),IF(AND(AL$5&lt;=$F38,AL$5+GanttPeriod-1&gt;=$E38),"━","")))</f>
        <v/>
      </c>
      <c r="AM38" s="69" t="str">
        <f aca="false">IF($E38="","",IF($M38,IF(AND($G38&gt;=AM$5,$G38&lt;AM$5+GanttPeriod),"◆",IF(AND($E38&gt;=AM$5,$E38&lt;AM$5+GanttPeriod),"◇","")),IF(AND(AM$5&lt;=$F38,AM$5+GanttPeriod-1&gt;=$E38),"━","")))</f>
        <v/>
      </c>
      <c r="AN38" s="69" t="str">
        <f aca="false">IF($E38="","",IF($M38,IF(AND($G38&gt;=AN$5,$G38&lt;AN$5+GanttPeriod),"◆",IF(AND($E38&gt;=AN$5,$E38&lt;AN$5+GanttPeriod),"◇","")),IF(AND(AN$5&lt;=$F38,AN$5+GanttPeriod-1&gt;=$E38),"━","")))</f>
        <v/>
      </c>
      <c r="AO38" s="69" t="str">
        <f aca="false">IF($E38="","",IF($M38,IF(AND($G38&gt;=AO$5,$G38&lt;AO$5+GanttPeriod),"◆",IF(AND($E38&gt;=AO$5,$E38&lt;AO$5+GanttPeriod),"◇","")),IF(AND(AO$5&lt;=$F38,AO$5+GanttPeriod-1&gt;=$E38),"━","")))</f>
        <v/>
      </c>
      <c r="AP38" s="69" t="str">
        <f aca="false">IF($E38="","",IF($M38,IF(AND($G38&gt;=AP$5,$G38&lt;AP$5+GanttPeriod),"◆",IF(AND($E38&gt;=AP$5,$E38&lt;AP$5+GanttPeriod),"◇","")),IF(AND(AP$5&lt;=$F38,AP$5+GanttPeriod-1&gt;=$E38),"━","")))</f>
        <v/>
      </c>
      <c r="AQ38" s="69" t="str">
        <f aca="false">IF($E38="","",IF($M38,IF(AND($G38&gt;=AQ$5,$G38&lt;AQ$5+GanttPeriod),"◆",IF(AND($E38&gt;=AQ$5,$E38&lt;AQ$5+GanttPeriod),"◇","")),IF(AND(AQ$5&lt;=$F38,AQ$5+GanttPeriod-1&gt;=$E38),"━","")))</f>
        <v/>
      </c>
      <c r="AR38" s="69" t="str">
        <f aca="false">IF($E38="","",IF($M38,IF(AND($G38&gt;=AR$5,$G38&lt;AR$5+GanttPeriod),"◆",IF(AND($E38&gt;=AR$5,$E38&lt;AR$5+GanttPeriod),"◇","")),IF(AND(AR$5&lt;=$F38,AR$5+GanttPeriod-1&gt;=$E38),"━","")))</f>
        <v/>
      </c>
      <c r="AS38" s="69" t="str">
        <f aca="false">IF($E38="","",IF($M38,IF(AND($G38&gt;=AS$5,$G38&lt;AS$5+GanttPeriod),"◆",IF(AND($E38&gt;=AS$5,$E38&lt;AS$5+GanttPeriod),"◇","")),IF(AND(AS$5&lt;=$F38,AS$5+GanttPeriod-1&gt;=$E38),"━","")))</f>
        <v/>
      </c>
      <c r="AT38" s="69" t="str">
        <f aca="false">IF($E38="","",IF($M38,IF(AND($G38&gt;=AT$5,$G38&lt;AT$5+GanttPeriod),"◆",IF(AND($E38&gt;=AT$5,$E38&lt;AT$5+GanttPeriod),"◇","")),IF(AND(AT$5&lt;=$F38,AT$5+GanttPeriod-1&gt;=$E38),"━","")))</f>
        <v/>
      </c>
      <c r="AU38" s="69" t="str">
        <f aca="false">IF($E38="","",IF($M38,IF(AND($G38&gt;=AU$5,$G38&lt;AU$5+GanttPeriod),"◆",IF(AND($E38&gt;=AU$5,$E38&lt;AU$5+GanttPeriod),"◇","")),IF(AND(AU$5&lt;=$F38,AU$5+GanttPeriod-1&gt;=$E38),"━","")))</f>
        <v/>
      </c>
      <c r="AV38" s="69" t="str">
        <f aca="false">IF($E38="","",IF($M38,IF(AND($G38&gt;=AV$5,$G38&lt;AV$5+GanttPeriod),"◆",IF(AND($E38&gt;=AV$5,$E38&lt;AV$5+GanttPeriod),"◇","")),IF(AND(AV$5&lt;=$F38,AV$5+GanttPeriod-1&gt;=$E38),"━","")))</f>
        <v/>
      </c>
      <c r="AW38" s="69" t="str">
        <f aca="false">IF($E38="","",IF($M38,IF(AND($G38&gt;=AW$5,$G38&lt;AW$5+GanttPeriod),"◆",IF(AND($E38&gt;=AW$5,$E38&lt;AW$5+GanttPeriod),"◇","")),IF(AND(AW$5&lt;=$F38,AW$5+GanttPeriod-1&gt;=$E38),"━","")))</f>
        <v/>
      </c>
      <c r="AX38" s="69" t="str">
        <f aca="false">IF($E38="","",IF($M38,IF(AND($G38&gt;=AX$5,$G38&lt;AX$5+GanttPeriod),"◆",IF(AND($E38&gt;=AX$5,$E38&lt;AX$5+GanttPeriod),"◇","")),IF(AND(AX$5&lt;=$F38,AX$5+GanttPeriod-1&gt;=$E38),"━","")))</f>
        <v/>
      </c>
      <c r="AY38" s="69" t="str">
        <f aca="false">IF($E38="","",IF($M38,IF(AND($G38&gt;=AY$5,$G38&lt;AY$5+GanttPeriod),"◆",IF(AND($E38&gt;=AY$5,$E38&lt;AY$5+GanttPeriod),"◇","")),IF(AND(AY$5&lt;=$F38,AY$5+GanttPeriod-1&gt;=$E38),"━","")))</f>
        <v/>
      </c>
      <c r="AZ38" s="69" t="str">
        <f aca="false">IF($E38="","",IF($M38,IF(AND($G38&gt;=AZ$5,$G38&lt;AZ$5+GanttPeriod),"◆",IF(AND($E38&gt;=AZ$5,$E38&lt;AZ$5+GanttPeriod),"◇","")),IF(AND(AZ$5&lt;=$F38,AZ$5+GanttPeriod-1&gt;=$E38),"━","")))</f>
        <v/>
      </c>
      <c r="BA38" s="69" t="str">
        <f aca="false">IF($E38="","",IF($M38,IF(AND($G38&gt;=BA$5,$G38&lt;BA$5+GanttPeriod),"◆",IF(AND($E38&gt;=BA$5,$E38&lt;BA$5+GanttPeriod),"◇","")),IF(AND(BA$5&lt;=$F38,BA$5+GanttPeriod-1&gt;=$E38),"━","")))</f>
        <v/>
      </c>
      <c r="BB38" s="69" t="str">
        <f aca="false">IF($E38="","",IF($M38,IF(AND($G38&gt;=BB$5,$G38&lt;BB$5+GanttPeriod),"◆",IF(AND($E38&gt;=BB$5,$E38&lt;BB$5+GanttPeriod),"◇","")),IF(AND(BB$5&lt;=$F38,BB$5+GanttPeriod-1&gt;=$E38),"━","")))</f>
        <v/>
      </c>
      <c r="BC38" s="69" t="str">
        <f aca="false">IF($E38="","",IF($M38,IF(AND($G38&gt;=BC$5,$G38&lt;BC$5+GanttPeriod),"◆",IF(AND($E38&gt;=BC$5,$E38&lt;BC$5+GanttPeriod),"◇","")),IF(AND(BC$5&lt;=$F38,BC$5+GanttPeriod-1&gt;=$E38),"━","")))</f>
        <v/>
      </c>
      <c r="BD38" s="69" t="str">
        <f aca="false">IF($E38="","",IF($M38,IF(AND($G38&gt;=BD$5,$G38&lt;BD$5+GanttPeriod),"◆",IF(AND($E38&gt;=BD$5,$E38&lt;BD$5+GanttPeriod),"◇","")),IF(AND(BD$5&lt;=$F38,BD$5+GanttPeriod-1&gt;=$E38),"━","")))</f>
        <v/>
      </c>
      <c r="BE38" s="69" t="str">
        <f aca="false">IF($E38="","",IF($M38,IF(AND($G38&gt;=BE$5,$G38&lt;BE$5+GanttPeriod),"◆",IF(AND($E38&gt;=BE$5,$E38&lt;BE$5+GanttPeriod),"◇","")),IF(AND(BE$5&lt;=$F38,BE$5+GanttPeriod-1&gt;=$E38),"━","")))</f>
        <v/>
      </c>
      <c r="BF38" s="69" t="str">
        <f aca="false">IF($E38="","",IF($M38,IF(AND($G38&gt;=BF$5,$G38&lt;BF$5+GanttPeriod),"◆",IF(AND($E38&gt;=BF$5,$E38&lt;BF$5+GanttPeriod),"◇","")),IF(AND(BF$5&lt;=$F38,BF$5+GanttPeriod-1&gt;=$E38),"━","")))</f>
        <v/>
      </c>
      <c r="BG38" s="69" t="str">
        <f aca="false">IF($E38="","",IF($M38,IF(AND($G38&gt;=BG$5,$G38&lt;BG$5+GanttPeriod),"◆",IF(AND($E38&gt;=BG$5,$E38&lt;BG$5+GanttPeriod),"◇","")),IF(AND(BG$5&lt;=$F38,BG$5+GanttPeriod-1&gt;=$E38),"━","")))</f>
        <v/>
      </c>
      <c r="BH38" s="69" t="str">
        <f aca="false">IF($E38="","",IF($M38,IF(AND($G38&gt;=BH$5,$G38&lt;BH$5+GanttPeriod),"◆",IF(AND($E38&gt;=BH$5,$E38&lt;BH$5+GanttPeriod),"◇","")),IF(AND(BH$5&lt;=$F38,BH$5+GanttPeriod-1&gt;=$E38),"━","")))</f>
        <v/>
      </c>
      <c r="BI38" s="69" t="str">
        <f aca="false">IF($E38="","",IF($M38,IF(AND($G38&gt;=BI$5,$G38&lt;BI$5+GanttPeriod),"◆",IF(AND($E38&gt;=BI$5,$E38&lt;BI$5+GanttPeriod),"◇","")),IF(AND(BI$5&lt;=$F38,BI$5+GanttPeriod-1&gt;=$E38),"━","")))</f>
        <v/>
      </c>
      <c r="BJ38" s="69" t="str">
        <f aca="false">IF($E38="","",IF($M38,IF(AND($G38&gt;=BJ$5,$G38&lt;BJ$5+GanttPeriod),"◆",IF(AND($E38&gt;=BJ$5,$E38&lt;BJ$5+GanttPeriod),"◇","")),IF(AND(BJ$5&lt;=$F38,BJ$5+GanttPeriod-1&gt;=$E38),"━","")))</f>
        <v/>
      </c>
      <c r="BK38" s="69" t="str">
        <f aca="false">IF($E38="","",IF($M38,IF(AND($G38&gt;=BK$5,$G38&lt;BK$5+GanttPeriod),"◆",IF(AND($E38&gt;=BK$5,$E38&lt;BK$5+GanttPeriod),"◇","")),IF(AND(BK$5&lt;=$F38,BK$5+GanttPeriod-1&gt;=$E38),"━","")))</f>
        <v/>
      </c>
      <c r="BL38" s="69" t="str">
        <f aca="false">IF($E38="","",IF($M38,IF(AND($G38&gt;=BL$5,$G38&lt;BL$5+GanttPeriod),"◆",IF(AND($E38&gt;=BL$5,$E38&lt;BL$5+GanttPeriod),"◇","")),IF(AND(BL$5&lt;=$F38,BL$5+GanttPeriod-1&gt;=$E38),"━","")))</f>
        <v/>
      </c>
      <c r="BM38" s="69" t="str">
        <f aca="false">IF($E38="","",IF($M38,IF(AND($G38&gt;=BM$5,$G38&lt;BM$5+GanttPeriod),"◆",IF(AND($E38&gt;=BM$5,$E38&lt;BM$5+GanttPeriod),"◇","")),IF(AND(BM$5&lt;=$F38,BM$5+GanttPeriod-1&gt;=$E38),"━","")))</f>
        <v/>
      </c>
      <c r="BN38" s="69" t="str">
        <f aca="false">IF($E38="","",IF($M38,IF(AND($G38&gt;=BN$5,$G38&lt;BN$5+GanttPeriod),"◆",IF(AND($E38&gt;=BN$5,$E38&lt;BN$5+GanttPeriod),"◇","")),IF(AND(BN$5&lt;=$F38,BN$5+GanttPeriod-1&gt;=$E38),"━","")))</f>
        <v/>
      </c>
      <c r="BO38" s="69" t="str">
        <f aca="false">IF($E38="","",IF($M38,IF(AND($G38&gt;=BO$5,$G38&lt;BO$5+GanttPeriod),"◆",IF(AND($E38&gt;=BO$5,$E38&lt;BO$5+GanttPeriod),"◇","")),IF(AND(BO$5&lt;=$F38,BO$5+GanttPeriod-1&gt;=$E38),"━","")))</f>
        <v/>
      </c>
      <c r="BP38" s="69" t="str">
        <f aca="false">IF($E38="","",IF($M38,IF(AND($G38&gt;=BP$5,$G38&lt;BP$5+GanttPeriod),"◆",IF(AND($E38&gt;=BP$5,$E38&lt;BP$5+GanttPeriod),"◇","")),IF(AND(BP$5&lt;=$F38,BP$5+GanttPeriod-1&gt;=$E38),"━","")))</f>
        <v/>
      </c>
      <c r="BQ38" s="69" t="str">
        <f aca="false">IF($E38="","",IF($M38,IF(AND($G38&gt;=BQ$5,$G38&lt;BQ$5+GanttPeriod),"◆",IF(AND($E38&gt;=BQ$5,$E38&lt;BQ$5+GanttPeriod),"◇","")),IF(AND(BQ$5&lt;=$F38,BQ$5+GanttPeriod-1&gt;=$E38),"━","")))</f>
        <v/>
      </c>
      <c r="BR38" s="69" t="str">
        <f aca="false">IF($E38="","",IF($M38,IF(AND($G38&gt;=BR$5,$G38&lt;BR$5+GanttPeriod),"◆",IF(AND($E38&gt;=BR$5,$E38&lt;BR$5+GanttPeriod),"◇","")),IF(AND(BR$5&lt;=$F38,BR$5+GanttPeriod-1&gt;=$E38),"━","")))</f>
        <v/>
      </c>
      <c r="BS38" s="69" t="str">
        <f aca="false">IF($E38="","",IF($M38,IF(AND($G38&gt;=BS$5,$G38&lt;BS$5+GanttPeriod),"◆",IF(AND($E38&gt;=BS$5,$E38&lt;BS$5+GanttPeriod),"◇","")),IF(AND(BS$5&lt;=$F38,BS$5+GanttPeriod-1&gt;=$E38),"━","")))</f>
        <v/>
      </c>
      <c r="BT38" s="69" t="str">
        <f aca="false">IF($E38="","",IF($M38,IF(AND($G38&gt;=BT$5,$G38&lt;BT$5+GanttPeriod),"◆",IF(AND($E38&gt;=BT$5,$E38&lt;BT$5+GanttPeriod),"◇","")),IF(AND(BT$5&lt;=$F38,BT$5+GanttPeriod-1&gt;=$E38),"━","")))</f>
        <v/>
      </c>
      <c r="BU38" s="69" t="str">
        <f aca="false">IF($E38="","",IF($M38,IF(AND($G38&gt;=BU$5,$G38&lt;BU$5+GanttPeriod),"◆",IF(AND($E38&gt;=BU$5,$E38&lt;BU$5+GanttPeriod),"◇","")),IF(AND(BU$5&lt;=$F38,BU$5+GanttPeriod-1&gt;=$E38),"━","")))</f>
        <v/>
      </c>
      <c r="BV38" s="69" t="str">
        <f aca="false">IF($E38="","",IF($M38,IF(AND($G38&gt;=BV$5,$G38&lt;BV$5+GanttPeriod),"◆",IF(AND($E38&gt;=BV$5,$E38&lt;BV$5+GanttPeriod),"◇","")),IF(AND(BV$5&lt;=$F38,BV$5+GanttPeriod-1&gt;=$E38),"━","")))</f>
        <v/>
      </c>
      <c r="BW38" s="69" t="str">
        <f aca="false">IF($E38="","",IF($M38,IF(AND($G38&gt;=BW$5,$G38&lt;BW$5+GanttPeriod),"◆",IF(AND($E38&gt;=BW$5,$E38&lt;BW$5+GanttPeriod),"◇","")),IF(AND(BW$5&lt;=$F38,BW$5+GanttPeriod-1&gt;=$E38),"━","")))</f>
        <v/>
      </c>
      <c r="BX38" s="69" t="str">
        <f aca="false">IF($E38="","",IF($M38,IF(AND($G38&gt;=BX$5,$G38&lt;BX$5+GanttPeriod),"◆",IF(AND($E38&gt;=BX$5,$E38&lt;BX$5+GanttPeriod),"◇","")),IF(AND(BX$5&lt;=$F38,BX$5+GanttPeriod-1&gt;=$E38),"━","")))</f>
        <v/>
      </c>
      <c r="BY38" s="69" t="str">
        <f aca="false">IF($E38="","",IF($M38,IF(AND($G38&gt;=BY$5,$G38&lt;BY$5+GanttPeriod),"◆",IF(AND($E38&gt;=BY$5,$E38&lt;BY$5+GanttPeriod),"◇","")),IF(AND(BY$5&lt;=$F38,BY$5+GanttPeriod-1&gt;=$E38),"━","")))</f>
        <v/>
      </c>
      <c r="BZ38" s="69" t="str">
        <f aca="false">IF($E38="","",IF($M38,IF(AND($G38&gt;=BZ$5,$G38&lt;BZ$5+GanttPeriod),"◆",IF(AND($E38&gt;=BZ$5,$E38&lt;BZ$5+GanttPeriod),"◇","")),IF(AND(BZ$5&lt;=$F38,BZ$5+GanttPeriod-1&gt;=$E38),"━","")))</f>
        <v/>
      </c>
      <c r="CA38" s="69" t="str">
        <f aca="false">IF($E38="","",IF($M38,IF(AND($G38&gt;=CA$5,$G38&lt;CA$5+GanttPeriod),"◆",IF(AND($E38&gt;=CA$5,$E38&lt;CA$5+GanttPeriod),"◇","")),IF(AND(CA$5&lt;=$F38,CA$5+GanttPeriod-1&gt;=$E38),"━","")))</f>
        <v/>
      </c>
      <c r="CB38" s="69" t="str">
        <f aca="false">IF($E38="","",IF($M38,IF(AND($G38&gt;=CB$5,$G38&lt;CB$5+GanttPeriod),"◆",IF(AND($E38&gt;=CB$5,$E38&lt;CB$5+GanttPeriod),"◇","")),IF(AND(CB$5&lt;=$F38,CB$5+GanttPeriod-1&gt;=$E38),"━","")))</f>
        <v/>
      </c>
      <c r="CC38" s="69" t="str">
        <f aca="false">IF($E38="","",IF($M38,IF(AND($G38&gt;=CC$5,$G38&lt;CC$5+GanttPeriod),"◆",IF(AND($E38&gt;=CC$5,$E38&lt;CC$5+GanttPeriod),"◇","")),IF(AND(CC$5&lt;=$F38,CC$5+GanttPeriod-1&gt;=$E38),"━","")))</f>
        <v/>
      </c>
      <c r="CD38" s="69" t="str">
        <f aca="false">IF($E38="","",IF($M38,IF(AND($G38&gt;=CD$5,$G38&lt;CD$5+GanttPeriod),"◆",IF(AND($E38&gt;=CD$5,$E38&lt;CD$5+GanttPeriod),"◇","")),IF(AND(CD$5&lt;=$F38,CD$5+GanttPeriod-1&gt;=$E38),"━","")))</f>
        <v/>
      </c>
      <c r="CE38" s="69" t="str">
        <f aca="false">IF($E38="","",IF($M38,IF(AND($G38&gt;=CE$5,$G38&lt;CE$5+GanttPeriod),"◆",IF(AND($E38&gt;=CE$5,$E38&lt;CE$5+GanttPeriod),"◇","")),IF(AND(CE$5&lt;=$F38,CE$5+GanttPeriod-1&gt;=$E38),"━","")))</f>
        <v/>
      </c>
      <c r="CF38" s="69" t="str">
        <f aca="false">IF($E38="","",IF($M38,IF(AND($G38&gt;=CF$5,$G38&lt;CF$5+GanttPeriod),"◆",IF(AND($E38&gt;=CF$5,$E38&lt;CF$5+GanttPeriod),"◇","")),IF(AND(CF$5&lt;=$F38,CF$5+GanttPeriod-1&gt;=$E38),"━","")))</f>
        <v/>
      </c>
      <c r="CG38" s="69" t="str">
        <f aca="false">IF($E38="","",IF($M38,IF(AND($G38&gt;=CG$5,$G38&lt;CG$5+GanttPeriod),"◆",IF(AND($E38&gt;=CG$5,$E38&lt;CG$5+GanttPeriod),"◇","")),IF(AND(CG$5&lt;=$F38,CG$5+GanttPeriod-1&gt;=$E38),"━","")))</f>
        <v/>
      </c>
      <c r="CH38" s="69" t="str">
        <f aca="false">IF($E38="","",IF($M38,IF(AND($G38&gt;=CH$5,$G38&lt;CH$5+GanttPeriod),"◆",IF(AND($E38&gt;=CH$5,$E38&lt;CH$5+GanttPeriod),"◇","")),IF(AND(CH$5&lt;=$F38,CH$5+GanttPeriod-1&gt;=$E38),"━","")))</f>
        <v/>
      </c>
      <c r="CI38" s="69" t="str">
        <f aca="false">IF($E38="","",IF($M38,IF(AND($G38&gt;=CI$5,$G38&lt;CI$5+GanttPeriod),"◆",IF(AND($E38&gt;=CI$5,$E38&lt;CI$5+GanttPeriod),"◇","")),IF(AND(CI$5&lt;=$F38,CI$5+GanttPeriod-1&gt;=$E38),"━","")))</f>
        <v/>
      </c>
      <c r="CJ38" s="69" t="str">
        <f aca="false">IF($E38="","",IF($M38,IF(AND($G38&gt;=CJ$5,$G38&lt;CJ$5+GanttPeriod),"◆",IF(AND($E38&gt;=CJ$5,$E38&lt;CJ$5+GanttPeriod),"◇","")),IF(AND(CJ$5&lt;=$F38,CJ$5+GanttPeriod-1&gt;=$E38),"━","")))</f>
        <v/>
      </c>
      <c r="CK38" s="69" t="str">
        <f aca="false">IF($E38="","",IF($M38,IF(AND($G38&gt;=CK$5,$G38&lt;CK$5+GanttPeriod),"◆",IF(AND($E38&gt;=CK$5,$E38&lt;CK$5+GanttPeriod),"◇","")),IF(AND(CK$5&lt;=$F38,CK$5+GanttPeriod-1&gt;=$E38),"━","")))</f>
        <v/>
      </c>
      <c r="CL38" s="69" t="str">
        <f aca="false">IF($E38="","",IF($M38,IF(AND($G38&gt;=CL$5,$G38&lt;CL$5+GanttPeriod),"◆",IF(AND($E38&gt;=CL$5,$E38&lt;CL$5+GanttPeriod),"◇","")),IF(AND(CL$5&lt;=$F38,CL$5+GanttPeriod-1&gt;=$E38),"━","")))</f>
        <v/>
      </c>
      <c r="CM38" s="69" t="str">
        <f aca="false">IF($E38="","",IF($M38,IF(AND($G38&gt;=CM$5,$G38&lt;CM$5+GanttPeriod),"◆",IF(AND($E38&gt;=CM$5,$E38&lt;CM$5+GanttPeriod),"◇","")),IF(AND(CM$5&lt;=$F38,CM$5+GanttPeriod-1&gt;=$E38),"━","")))</f>
        <v/>
      </c>
      <c r="CN38" s="69" t="str">
        <f aca="false">IF($E38="","",IF($M38,IF(AND($G38&gt;=CN$5,$G38&lt;CN$5+GanttPeriod),"◆",IF(AND($E38&gt;=CN$5,$E38&lt;CN$5+GanttPeriod),"◇","")),IF(AND(CN$5&lt;=$F38,CN$5+GanttPeriod-1&gt;=$E38),"━","")))</f>
        <v/>
      </c>
      <c r="CO38" s="69" t="str">
        <f aca="false">IF($E38="","",IF($M38,IF(AND($G38&gt;=CO$5,$G38&lt;CO$5+GanttPeriod),"◆",IF(AND($E38&gt;=CO$5,$E38&lt;CO$5+GanttPeriod),"◇","")),IF(AND(CO$5&lt;=$F38,CO$5+GanttPeriod-1&gt;=$E38),"━","")))</f>
        <v/>
      </c>
      <c r="CP38" s="69" t="str">
        <f aca="false">IF($E38="","",IF($M38,IF(AND($G38&gt;=CP$5,$G38&lt;CP$5+GanttPeriod),"◆",IF(AND($E38&gt;=CP$5,$E38&lt;CP$5+GanttPeriod),"◇","")),IF(AND(CP$5&lt;=$F38,CP$5+GanttPeriod-1&gt;=$E38),"━","")))</f>
        <v/>
      </c>
      <c r="CQ38" s="69" t="str">
        <f aca="false">IF($E38="","",IF($M38,IF(AND($G38&gt;=CQ$5,$G38&lt;CQ$5+GanttPeriod),"◆",IF(AND($E38&gt;=CQ$5,$E38&lt;CQ$5+GanttPeriod),"◇","")),IF(AND(CQ$5&lt;=$F38,CQ$5+GanttPeriod-1&gt;=$E38),"━","")))</f>
        <v/>
      </c>
      <c r="CR38" s="69" t="str">
        <f aca="false">IF($E38="","",IF($M38,IF(AND($G38&gt;=CR$5,$G38&lt;CR$5+GanttPeriod),"◆",IF(AND($E38&gt;=CR$5,$E38&lt;CR$5+GanttPeriod),"◇","")),IF(AND(CR$5&lt;=$F38,CR$5+GanttPeriod-1&gt;=$E38),"━","")))</f>
        <v/>
      </c>
      <c r="CS38" s="69" t="str">
        <f aca="false">IF($E38="","",IF($M38,IF(AND($G38&gt;=CS$5,$G38&lt;CS$5+GanttPeriod),"◆",IF(AND($E38&gt;=CS$5,$E38&lt;CS$5+GanttPeriod),"◇","")),IF(AND(CS$5&lt;=$F38,CS$5+GanttPeriod-1&gt;=$E38),"━","")))</f>
        <v/>
      </c>
      <c r="CT38" s="69" t="str">
        <f aca="false">IF($E38="","",IF($M38,IF(AND($G38&gt;=CT$5,$G38&lt;CT$5+GanttPeriod),"◆",IF(AND($E38&gt;=CT$5,$E38&lt;CT$5+GanttPeriod),"◇","")),IF(AND(CT$5&lt;=$F38,CT$5+GanttPeriod-1&gt;=$E38),"━","")))</f>
        <v/>
      </c>
      <c r="CU38" s="69" t="str">
        <f aca="false">IF($E38="","",IF($M38,IF(AND($G38&gt;=CU$5,$G38&lt;CU$5+GanttPeriod),"◆",IF(AND($E38&gt;=CU$5,$E38&lt;CU$5+GanttPeriod),"◇","")),IF(AND(CU$5&lt;=$F38,CU$5+GanttPeriod-1&gt;=$E38),"━","")))</f>
        <v/>
      </c>
      <c r="CV38" s="69" t="str">
        <f aca="false">IF($E38="","",IF($M38,IF(AND($G38&gt;=CV$5,$G38&lt;CV$5+GanttPeriod),"◆",IF(AND($E38&gt;=CV$5,$E38&lt;CV$5+GanttPeriod),"◇","")),IF(AND(CV$5&lt;=$F38,CV$5+GanttPeriod-1&gt;=$E38),"━","")))</f>
        <v/>
      </c>
      <c r="CW38" s="69" t="str">
        <f aca="false">IF($E38="","",IF($M38,IF(AND($G38&gt;=CW$5,$G38&lt;CW$5+GanttPeriod),"◆",IF(AND($E38&gt;=CW$5,$E38&lt;CW$5+GanttPeriod),"◇","")),IF(AND(CW$5&lt;=$F38,CW$5+GanttPeriod-1&gt;=$E38),"━","")))</f>
        <v/>
      </c>
      <c r="CX38" s="69" t="str">
        <f aca="false">IF($E38="","",IF($M38,IF(AND($G38&gt;=CX$5,$G38&lt;CX$5+GanttPeriod),"◆",IF(AND($E38&gt;=CX$5,$E38&lt;CX$5+GanttPeriod),"◇","")),IF(AND(CX$5&lt;=$F38,CX$5+GanttPeriod-1&gt;=$E38),"━","")))</f>
        <v/>
      </c>
      <c r="CY38" s="69" t="str">
        <f aca="false">IF($E38="","",IF($M38,IF(AND($G38&gt;=CY$5,$G38&lt;CY$5+GanttPeriod),"◆",IF(AND($E38&gt;=CY$5,$E38&lt;CY$5+GanttPeriod),"◇","")),IF(AND(CY$5&lt;=$F38,CY$5+GanttPeriod-1&gt;=$E38),"━","")))</f>
        <v/>
      </c>
      <c r="CZ38" s="69" t="str">
        <f aca="false">IF($E38="","",IF($M38,IF(AND($G38&gt;=CZ$5,$G38&lt;CZ$5+GanttPeriod),"◆",IF(AND($E38&gt;=CZ$5,$E38&lt;CZ$5+GanttPeriod),"◇","")),IF(AND(CZ$5&lt;=$F38,CZ$5+GanttPeriod-1&gt;=$E38),"━","")))</f>
        <v/>
      </c>
      <c r="DA38" s="69" t="str">
        <f aca="false">IF($E38="","",IF($M38,IF(AND($G38&gt;=DA$5,$G38&lt;DA$5+GanttPeriod),"◆",IF(AND($E38&gt;=DA$5,$E38&lt;DA$5+GanttPeriod),"◇","")),IF(AND(DA$5&lt;=$F38,DA$5+GanttPeriod-1&gt;=$E38),"━","")))</f>
        <v/>
      </c>
      <c r="DB38" s="69" t="str">
        <f aca="false">IF($E38="","",IF($M38,IF(AND($G38&gt;=DB$5,$G38&lt;DB$5+GanttPeriod),"◆",IF(AND($E38&gt;=DB$5,$E38&lt;DB$5+GanttPeriod),"◇","")),IF(AND(DB$5&lt;=$F38,DB$5+GanttPeriod-1&gt;=$E38),"━","")))</f>
        <v/>
      </c>
      <c r="DC38" s="69" t="str">
        <f aca="false">IF($E38="","",IF($M38,IF(AND($G38&gt;=DC$5,$G38&lt;DC$5+GanttPeriod),"◆",IF(AND($E38&gt;=DC$5,$E38&lt;DC$5+GanttPeriod),"◇","")),IF(AND(DC$5&lt;=$F38,DC$5+GanttPeriod-1&gt;=$E38),"━","")))</f>
        <v/>
      </c>
      <c r="DD38" s="69" t="str">
        <f aca="false">IF($E38="","",IF($M38,IF(AND($G38&gt;=DD$5,$G38&lt;DD$5+GanttPeriod),"◆",IF(AND($E38&gt;=DD$5,$E38&lt;DD$5+GanttPeriod),"◇","")),IF(AND(DD$5&lt;=$F38,DD$5+GanttPeriod-1&gt;=$E38),"━","")))</f>
        <v/>
      </c>
      <c r="DE38" s="69" t="str">
        <f aca="false">IF($E38="","",IF($M38,IF(AND($G38&gt;=DE$5,$G38&lt;DE$5+GanttPeriod),"◆",IF(AND($E38&gt;=DE$5,$E38&lt;DE$5+GanttPeriod),"◇","")),IF(AND(DE$5&lt;=$F38,DE$5+GanttPeriod-1&gt;=$E38),"━","")))</f>
        <v/>
      </c>
      <c r="DF38" s="69" t="str">
        <f aca="false">IF($E38="","",IF($M38,IF(AND($G38&gt;=DF$5,$G38&lt;DF$5+GanttPeriod),"◆",IF(AND($E38&gt;=DF$5,$E38&lt;DF$5+GanttPeriod),"◇","")),IF(AND(DF$5&lt;=$F38,DF$5+GanttPeriod-1&gt;=$E38),"━","")))</f>
        <v/>
      </c>
      <c r="DG38" s="69" t="str">
        <f aca="false">IF($E38="","",IF($M38,IF(AND($G38&gt;=DG$5,$G38&lt;DG$5+GanttPeriod),"◆",IF(AND($E38&gt;=DG$5,$E38&lt;DG$5+GanttPeriod),"◇","")),IF(AND(DG$5&lt;=$F38,DG$5+GanttPeriod-1&gt;=$E38),"━","")))</f>
        <v/>
      </c>
      <c r="DH38" s="69" t="str">
        <f aca="false">IF($E38="","",IF($M38,IF(AND($G38&gt;=DH$5,$G38&lt;DH$5+GanttPeriod),"◆",IF(AND($E38&gt;=DH$5,$E38&lt;DH$5+GanttPeriod),"◇","")),IF(AND(DH$5&lt;=$F38,DH$5+GanttPeriod-1&gt;=$E38),"━","")))</f>
        <v/>
      </c>
      <c r="DI38" s="69" t="str">
        <f aca="false">IF($E38="","",IF($M38,IF(AND($G38&gt;=DI$5,$G38&lt;DI$5+GanttPeriod),"◆",IF(AND($E38&gt;=DI$5,$E38&lt;DI$5+GanttPeriod),"◇","")),IF(AND(DI$5&lt;=$F38,DI$5+GanttPeriod-1&gt;=$E38),"━","")))</f>
        <v/>
      </c>
      <c r="DJ38" s="69" t="str">
        <f aca="false">IF($E38="","",IF($M38,IF(AND($G38&gt;=DJ$5,$G38&lt;DJ$5+GanttPeriod),"◆",IF(AND($E38&gt;=DJ$5,$E38&lt;DJ$5+GanttPeriod),"◇","")),IF(AND(DJ$5&lt;=$F38,DJ$5+GanttPeriod-1&gt;=$E38),"━","")))</f>
        <v/>
      </c>
      <c r="DK38" s="69" t="str">
        <f aca="false">IF($E38="","",IF($M38,IF(AND($G38&gt;=DK$5,$G38&lt;DK$5+GanttPeriod),"◆",IF(AND($E38&gt;=DK$5,$E38&lt;DK$5+GanttPeriod),"◇","")),IF(AND(DK$5&lt;=$F38,DK$5+GanttPeriod-1&gt;=$E38),"━","")))</f>
        <v/>
      </c>
      <c r="DL38" s="69" t="str">
        <f aca="false">IF($E38="","",IF($M38,IF(AND($G38&gt;=DL$5,$G38&lt;DL$5+GanttPeriod),"◆",IF(AND($E38&gt;=DL$5,$E38&lt;DL$5+GanttPeriod),"◇","")),IF(AND(DL$5&lt;=$F38,DL$5+GanttPeriod-1&gt;=$E38),"━","")))</f>
        <v/>
      </c>
      <c r="DM38" s="69" t="str">
        <f aca="false">IF($E38="","",IF($M38,IF(AND($G38&gt;=DM$5,$G38&lt;DM$5+GanttPeriod),"◆",IF(AND($E38&gt;=DM$5,$E38&lt;DM$5+GanttPeriod),"◇","")),IF(AND(DM$5&lt;=$F38,DM$5+GanttPeriod-1&gt;=$E38),"━","")))</f>
        <v/>
      </c>
      <c r="DN38" s="69" t="str">
        <f aca="false">IF($E38="","",IF($M38,IF(AND($G38&gt;=DN$5,$G38&lt;DN$5+GanttPeriod),"◆",IF(AND($E38&gt;=DN$5,$E38&lt;DN$5+GanttPeriod),"◇","")),IF(AND(DN$5&lt;=$F38,DN$5+GanttPeriod-1&gt;=$E38),"━","")))</f>
        <v/>
      </c>
      <c r="DO38" s="69" t="str">
        <f aca="false">IF($E38="","",IF($M38,IF(AND($G38&gt;=DO$5,$G38&lt;DO$5+GanttPeriod),"◆",IF(AND($E38&gt;=DO$5,$E38&lt;DO$5+GanttPeriod),"◇","")),IF(AND(DO$5&lt;=$F38,DO$5+GanttPeriod-1&gt;=$E38),"━","")))</f>
        <v/>
      </c>
      <c r="DP38" s="69" t="str">
        <f aca="false">IF($E38="","",IF($M38,IF(AND($G38&gt;=DP$5,$G38&lt;DP$5+GanttPeriod),"◆",IF(AND($E38&gt;=DP$5,$E38&lt;DP$5+GanttPeriod),"◇","")),IF(AND(DP$5&lt;=$F38,DP$5+GanttPeriod-1&gt;=$E38),"━","")))</f>
        <v/>
      </c>
      <c r="DQ38" s="69" t="str">
        <f aca="false">IF($E38="","",IF($M38,IF(AND($G38&gt;=DQ$5,$G38&lt;DQ$5+GanttPeriod),"◆",IF(AND($E38&gt;=DQ$5,$E38&lt;DQ$5+GanttPeriod),"◇","")),IF(AND(DQ$5&lt;=$F38,DQ$5+GanttPeriod-1&gt;=$E38),"━","")))</f>
        <v/>
      </c>
      <c r="DR38" s="69" t="str">
        <f aca="false">IF($E38="","",IF($M38,IF(AND($G38&gt;=DR$5,$G38&lt;DR$5+GanttPeriod),"◆",IF(AND($E38&gt;=DR$5,$E38&lt;DR$5+GanttPeriod),"◇","")),IF(AND(DR$5&lt;=$F38,DR$5+GanttPeriod-1&gt;=$E38),"━","")))</f>
        <v/>
      </c>
      <c r="DS38" s="69" t="str">
        <f aca="false">IF($E38="","",IF($M38,IF(AND($G38&gt;=DS$5,$G38&lt;DS$5+GanttPeriod),"◆",IF(AND($E38&gt;=DS$5,$E38&lt;DS$5+GanttPeriod),"◇","")),IF(AND(DS$5&lt;=$F38,DS$5+GanttPeriod-1&gt;=$E38),"━","")))</f>
        <v/>
      </c>
      <c r="DT38" s="69" t="str">
        <f aca="false">IF($E38="","",IF($M38,IF(AND($G38&gt;=DT$5,$G38&lt;DT$5+GanttPeriod),"◆",IF(AND($E38&gt;=DT$5,$E38&lt;DT$5+GanttPeriod),"◇","")),IF(AND(DT$5&lt;=$F38,DT$5+GanttPeriod-1&gt;=$E38),"━","")))</f>
        <v/>
      </c>
      <c r="DU38" s="69" t="str">
        <f aca="false">IF($E38="","",IF($M38,IF(AND($G38&gt;=DU$5,$G38&lt;DU$5+GanttPeriod),"◆",IF(AND($E38&gt;=DU$5,$E38&lt;DU$5+GanttPeriod),"◇","")),IF(AND(DU$5&lt;=$F38,DU$5+GanttPeriod-1&gt;=$E38),"━","")))</f>
        <v/>
      </c>
      <c r="DV38" s="69" t="str">
        <f aca="false">IF($E38="","",IF($M38,IF(AND($G38&gt;=DV$5,$G38&lt;DV$5+GanttPeriod),"◆",IF(AND($E38&gt;=DV$5,$E38&lt;DV$5+GanttPeriod),"◇","")),IF(AND(DV$5&lt;=$F38,DV$5+GanttPeriod-1&gt;=$E38),"━","")))</f>
        <v/>
      </c>
      <c r="DW38" s="69" t="str">
        <f aca="false">IF($E38="","",IF($M38,IF(AND($G38&gt;=DW$5,$G38&lt;DW$5+GanttPeriod),"◆",IF(AND($E38&gt;=DW$5,$E38&lt;DW$5+GanttPeriod),"◇","")),IF(AND(DW$5&lt;=$F38,DW$5+GanttPeriod-1&gt;=$E38),"━","")))</f>
        <v/>
      </c>
      <c r="DX38" s="69" t="str">
        <f aca="false">IF($E38="","",IF($M38,IF(AND($G38&gt;=DX$5,$G38&lt;DX$5+GanttPeriod),"◆",IF(AND($E38&gt;=DX$5,$E38&lt;DX$5+GanttPeriod),"◇","")),IF(AND(DX$5&lt;=$F38,DX$5+GanttPeriod-1&gt;=$E38),"━","")))</f>
        <v/>
      </c>
      <c r="DY38" s="69" t="str">
        <f aca="false">IF($E38="","",IF($M38,IF(AND($G38&gt;=DY$5,$G38&lt;DY$5+GanttPeriod),"◆",IF(AND($E38&gt;=DY$5,$E38&lt;DY$5+GanttPeriod),"◇","")),IF(AND(DY$5&lt;=$F38,DY$5+GanttPeriod-1&gt;=$E38),"━","")))</f>
        <v/>
      </c>
      <c r="DZ38" s="69" t="str">
        <f aca="false">IF($E38="","",IF($M38,IF(AND($G38&gt;=DZ$5,$G38&lt;DZ$5+GanttPeriod),"◆",IF(AND($E38&gt;=DZ$5,$E38&lt;DZ$5+GanttPeriod),"◇","")),IF(AND(DZ$5&lt;=$F38,DZ$5+GanttPeriod-1&gt;=$E38),"━","")))</f>
        <v/>
      </c>
      <c r="EA38" s="69" t="str">
        <f aca="false">IF($E38="","",IF($M38,IF(AND($G38&gt;=EA$5,$G38&lt;EA$5+GanttPeriod),"◆",IF(AND($E38&gt;=EA$5,$E38&lt;EA$5+GanttPeriod),"◇","")),IF(AND(EA$5&lt;=$F38,EA$5+GanttPeriod-1&gt;=$E38),"━","")))</f>
        <v/>
      </c>
      <c r="EB38" s="69" t="str">
        <f aca="false">IF($E38="","",IF($M38,IF(AND($G38&gt;=EB$5,$G38&lt;EB$5+GanttPeriod),"◆",IF(AND($E38&gt;=EB$5,$E38&lt;EB$5+GanttPeriod),"◇","")),IF(AND(EB$5&lt;=$F38,EB$5+GanttPeriod-1&gt;=$E38),"━","")))</f>
        <v/>
      </c>
      <c r="EC38" s="69" t="str">
        <f aca="false">IF($E38="","",IF($M38,IF(AND($G38&gt;=EC$5,$G38&lt;EC$5+GanttPeriod),"◆",IF(AND($E38&gt;=EC$5,$E38&lt;EC$5+GanttPeriod),"◇","")),IF(AND(EC$5&lt;=$F38,EC$5+GanttPeriod-1&gt;=$E38),"━","")))</f>
        <v/>
      </c>
      <c r="ED38" s="69" t="str">
        <f aca="false">IF($E38="","",IF($M38,IF(AND($G38&gt;=ED$5,$G38&lt;ED$5+GanttPeriod),"◆",IF(AND($E38&gt;=ED$5,$E38&lt;ED$5+GanttPeriod),"◇","")),IF(AND(ED$5&lt;=$F38,ED$5+GanttPeriod-1&gt;=$E38),"━","")))</f>
        <v/>
      </c>
      <c r="EE38" s="69" t="str">
        <f aca="false">IF($E38="","",IF($M38,IF(AND($G38&gt;=EE$5,$G38&lt;EE$5+GanttPeriod),"◆",IF(AND($E38&gt;=EE$5,$E38&lt;EE$5+GanttPeriod),"◇","")),IF(AND(EE$5&lt;=$F38,EE$5+GanttPeriod-1&gt;=$E38),"━","")))</f>
        <v/>
      </c>
      <c r="EF38" s="69" t="str">
        <f aca="false">IF($E38="","",IF($M38,IF(AND($G38&gt;=EF$5,$G38&lt;EF$5+GanttPeriod),"◆",IF(AND($E38&gt;=EF$5,$E38&lt;EF$5+GanttPeriod),"◇","")),IF(AND(EF$5&lt;=$F38,EF$5+GanttPeriod-1&gt;=$E38),"━","")))</f>
        <v/>
      </c>
      <c r="EG38" s="69" t="str">
        <f aca="false">IF($E38="","",IF($M38,IF(AND($G38&gt;=EG$5,$G38&lt;EG$5+GanttPeriod),"◆",IF(AND($E38&gt;=EG$5,$E38&lt;EG$5+GanttPeriod),"◇","")),IF(AND(EG$5&lt;=$F38,EG$5+GanttPeriod-1&gt;=$E38),"━","")))</f>
        <v/>
      </c>
      <c r="EH38" s="69" t="str">
        <f aca="false">IF($E38="","",IF($M38,IF(AND($G38&gt;=EH$5,$G38&lt;EH$5+GanttPeriod),"◆",IF(AND($E38&gt;=EH$5,$E38&lt;EH$5+GanttPeriod),"◇","")),IF(AND(EH$5&lt;=$F38,EH$5+GanttPeriod-1&gt;=$E38),"━","")))</f>
        <v/>
      </c>
      <c r="EI38" s="69" t="str">
        <f aca="false">IF($E38="","",IF($M38,IF(AND($G38&gt;=EI$5,$G38&lt;EI$5+GanttPeriod),"◆",IF(AND($E38&gt;=EI$5,$E38&lt;EI$5+GanttPeriod),"◇","")),IF(AND(EI$5&lt;=$F38,EI$5+GanttPeriod-1&gt;=$E38),"━","")))</f>
        <v/>
      </c>
      <c r="EJ38" s="69" t="str">
        <f aca="false">IF($E38="","",IF($M38,IF(AND($G38&gt;=EJ$5,$G38&lt;EJ$5+GanttPeriod),"◆",IF(AND($E38&gt;=EJ$5,$E38&lt;EJ$5+GanttPeriod),"◇","")),IF(AND(EJ$5&lt;=$F38,EJ$5+GanttPeriod-1&gt;=$E38),"━","")))</f>
        <v/>
      </c>
      <c r="EK38" s="69" t="str">
        <f aca="false">IF($E38="","",IF($M38,IF(AND($G38&gt;=EK$5,$G38&lt;EK$5+GanttPeriod),"◆",IF(AND($E38&gt;=EK$5,$E38&lt;EK$5+GanttPeriod),"◇","")),IF(AND(EK$5&lt;=$F38,EK$5+GanttPeriod-1&gt;=$E38),"━","")))</f>
        <v/>
      </c>
      <c r="EL38" s="69" t="str">
        <f aca="false">IF($E38="","",IF($M38,IF(AND($G38&gt;=EL$5,$G38&lt;EL$5+GanttPeriod),"◆",IF(AND($E38&gt;=EL$5,$E38&lt;EL$5+GanttPeriod),"◇","")),IF(AND(EL$5&lt;=$F38,EL$5+GanttPeriod-1&gt;=$E38),"━","")))</f>
        <v/>
      </c>
      <c r="EM38" s="69" t="str">
        <f aca="false">IF($E38="","",IF($M38,IF(AND($G38&gt;=EM$5,$G38&lt;EM$5+GanttPeriod),"◆",IF(AND($E38&gt;=EM$5,$E38&lt;EM$5+GanttPeriod),"◇","")),IF(AND(EM$5&lt;=$F38,EM$5+GanttPeriod-1&gt;=$E38),"━","")))</f>
        <v/>
      </c>
      <c r="EN38" s="69" t="str">
        <f aca="false">IF($E38="","",IF($M38,IF(AND($G38&gt;=EN$5,$G38&lt;EN$5+GanttPeriod),"◆",IF(AND($E38&gt;=EN$5,$E38&lt;EN$5+GanttPeriod),"◇","")),IF(AND(EN$5&lt;=$F38,EN$5+GanttPeriod-1&gt;=$E38),"━","")))</f>
        <v/>
      </c>
      <c r="EO38" s="69" t="str">
        <f aca="false">IF($E38="","",IF($M38,IF(AND($G38&gt;=EO$5,$G38&lt;EO$5+GanttPeriod),"◆",IF(AND($E38&gt;=EO$5,$E38&lt;EO$5+GanttPeriod),"◇","")),IF(AND(EO$5&lt;=$F38,EO$5+GanttPeriod-1&gt;=$E38),"━","")))</f>
        <v/>
      </c>
      <c r="EP38" s="69" t="str">
        <f aca="false">IF($E38="","",IF($M38,IF(AND($G38&gt;=EP$5,$G38&lt;EP$5+GanttPeriod),"◆",IF(AND($E38&gt;=EP$5,$E38&lt;EP$5+GanttPeriod),"◇","")),IF(AND(EP$5&lt;=$F38,EP$5+GanttPeriod-1&gt;=$E38),"━","")))</f>
        <v/>
      </c>
      <c r="EQ38" s="69" t="str">
        <f aca="false">IF($E38="","",IF($M38,IF(AND($G38&gt;=EQ$5,$G38&lt;EQ$5+GanttPeriod),"◆",IF(AND($E38&gt;=EQ$5,$E38&lt;EQ$5+GanttPeriod),"◇","")),IF(AND(EQ$5&lt;=$F38,EQ$5+GanttPeriod-1&gt;=$E38),"━","")))</f>
        <v/>
      </c>
      <c r="ER38" s="69" t="str">
        <f aca="false">IF($E38="","",IF($M38,IF(AND($G38&gt;=ER$5,$G38&lt;ER$5+GanttPeriod),"◆",IF(AND($E38&gt;=ER$5,$E38&lt;ER$5+GanttPeriod),"◇","")),IF(AND(ER$5&lt;=$F38,ER$5+GanttPeriod-1&gt;=$E38),"━","")))</f>
        <v/>
      </c>
      <c r="ES38" s="69" t="str">
        <f aca="false">IF($E38="","",IF($M38,IF(AND($G38&gt;=ES$5,$G38&lt;ES$5+GanttPeriod),"◆",IF(AND($E38&gt;=ES$5,$E38&lt;ES$5+GanttPeriod),"◇","")),IF(AND(ES$5&lt;=$F38,ES$5+GanttPeriod-1&gt;=$E38),"━","")))</f>
        <v/>
      </c>
      <c r="ET38" s="69" t="str">
        <f aca="false">IF($E38="","",IF($M38,IF(AND($G38&gt;=ET$5,$G38&lt;ET$5+GanttPeriod),"◆",IF(AND($E38&gt;=ET$5,$E38&lt;ET$5+GanttPeriod),"◇","")),IF(AND(ET$5&lt;=$F38,ET$5+GanttPeriod-1&gt;=$E38),"━","")))</f>
        <v/>
      </c>
      <c r="EU38" s="69" t="str">
        <f aca="false">IF($E38="","",IF($M38,IF(AND($G38&gt;=EU$5,$G38&lt;EU$5+GanttPeriod),"◆",IF(AND($E38&gt;=EU$5,$E38&lt;EU$5+GanttPeriod),"◇","")),IF(AND(EU$5&lt;=$F38,EU$5+GanttPeriod-1&gt;=$E38),"━","")))</f>
        <v/>
      </c>
      <c r="EV38" s="69" t="str">
        <f aca="false">IF($E38="","",IF($M38,IF(AND($G38&gt;=EV$5,$G38&lt;EV$5+GanttPeriod),"◆",IF(AND($E38&gt;=EV$5,$E38&lt;EV$5+GanttPeriod),"◇","")),IF(AND(EV$5&lt;=$F38,EV$5+GanttPeriod-1&gt;=$E38),"━","")))</f>
        <v/>
      </c>
      <c r="EW38" s="69" t="str">
        <f aca="false">IF($E38="","",IF($M38,IF(AND($G38&gt;=EW$5,$G38&lt;EW$5+GanttPeriod),"◆",IF(AND($E38&gt;=EW$5,$E38&lt;EW$5+GanttPeriod),"◇","")),IF(AND(EW$5&lt;=$F38,EW$5+GanttPeriod-1&gt;=$E38),"━","")))</f>
        <v/>
      </c>
      <c r="EX38" s="69" t="str">
        <f aca="false">IF($E38="","",IF($M38,IF(AND($G38&gt;=EX$5,$G38&lt;EX$5+GanttPeriod),"◆",IF(AND($E38&gt;=EX$5,$E38&lt;EX$5+GanttPeriod),"◇","")),IF(AND(EX$5&lt;=$F38,EX$5+GanttPeriod-1&gt;=$E38),"━","")))</f>
        <v/>
      </c>
      <c r="EY38" s="69" t="str">
        <f aca="false">IF($E38="","",IF($M38,IF(AND($G38&gt;=EY$5,$G38&lt;EY$5+GanttPeriod),"◆",IF(AND($E38&gt;=EY$5,$E38&lt;EY$5+GanttPeriod),"◇","")),IF(AND(EY$5&lt;=$F38,EY$5+GanttPeriod-1&gt;=$E38),"━","")))</f>
        <v/>
      </c>
      <c r="EZ38" s="69" t="str">
        <f aca="false">IF($E38="","",IF($M38,IF(AND($G38&gt;=EZ$5,$G38&lt;EZ$5+GanttPeriod),"◆",IF(AND($E38&gt;=EZ$5,$E38&lt;EZ$5+GanttPeriod),"◇","")),IF(AND(EZ$5&lt;=$F38,EZ$5+GanttPeriod-1&gt;=$E38),"━","")))</f>
        <v/>
      </c>
      <c r="FA38" s="69" t="str">
        <f aca="false">IF($E38="","",IF($M38,IF(AND($G38&gt;=FA$5,$G38&lt;FA$5+GanttPeriod),"◆",IF(AND($E38&gt;=FA$5,$E38&lt;FA$5+GanttPeriod),"◇","")),IF(AND(FA$5&lt;=$F38,FA$5+GanttPeriod-1&gt;=$E38),"━","")))</f>
        <v/>
      </c>
      <c r="FB38" s="69" t="str">
        <f aca="false">IF($E38="","",IF($M38,IF(AND($G38&gt;=FB$5,$G38&lt;FB$5+GanttPeriod),"◆",IF(AND($E38&gt;=FB$5,$E38&lt;FB$5+GanttPeriod),"◇","")),IF(AND(FB$5&lt;=$F38,FB$5+GanttPeriod-1&gt;=$E38),"━","")))</f>
        <v/>
      </c>
      <c r="FC38" s="69" t="str">
        <f aca="false">IF($E38="","",IF($M38,IF(AND($G38&gt;=FC$5,$G38&lt;FC$5+GanttPeriod),"◆",IF(AND($E38&gt;=FC$5,$E38&lt;FC$5+GanttPeriod),"◇","")),IF(AND(FC$5&lt;=$F38,FC$5+GanttPeriod-1&gt;=$E38),"━","")))</f>
        <v/>
      </c>
      <c r="FD38" s="69" t="str">
        <f aca="false">IF($E38="","",IF($M38,IF(AND($G38&gt;=FD$5,$G38&lt;FD$5+GanttPeriod),"◆",IF(AND($E38&gt;=FD$5,$E38&lt;FD$5+GanttPeriod),"◇","")),IF(AND(FD$5&lt;=$F38,FD$5+GanttPeriod-1&gt;=$E38),"━","")))</f>
        <v/>
      </c>
      <c r="FE38" s="69" t="str">
        <f aca="false">IF($E38="","",IF($M38,IF(AND($G38&gt;=FE$5,$G38&lt;FE$5+GanttPeriod),"◆",IF(AND($E38&gt;=FE$5,$E38&lt;FE$5+GanttPeriod),"◇","")),IF(AND(FE$5&lt;=$F38,FE$5+GanttPeriod-1&gt;=$E38),"━","")))</f>
        <v/>
      </c>
      <c r="FF38" s="69" t="str">
        <f aca="false">IF($E38="","",IF($M38,IF(AND($G38&gt;=FF$5,$G38&lt;FF$5+GanttPeriod),"◆",IF(AND($E38&gt;=FF$5,$E38&lt;FF$5+GanttPeriod),"◇","")),IF(AND(FF$5&lt;=$F38,FF$5+GanttPeriod-1&gt;=$E38),"━","")))</f>
        <v/>
      </c>
      <c r="FG38" s="69" t="str">
        <f aca="false">IF($E38="","",IF($M38,IF(AND($G38&gt;=FG$5,$G38&lt;FG$5+GanttPeriod),"◆",IF(AND($E38&gt;=FG$5,$E38&lt;FG$5+GanttPeriod),"◇","")),IF(AND(FG$5&lt;=$F38,FG$5+GanttPeriod-1&gt;=$E38),"━","")))</f>
        <v/>
      </c>
      <c r="FH38" s="69" t="str">
        <f aca="false">IF($E38="","",IF($M38,IF(AND($G38&gt;=FH$5,$G38&lt;FH$5+GanttPeriod),"◆",IF(AND($E38&gt;=FH$5,$E38&lt;FH$5+GanttPeriod),"◇","")),IF(AND(FH$5&lt;=$F38,FH$5+GanttPeriod-1&gt;=$E38),"━","")))</f>
        <v/>
      </c>
      <c r="FI38" s="69" t="str">
        <f aca="false">IF($E38="","",IF($M38,IF(AND($G38&gt;=FI$5,$G38&lt;FI$5+GanttPeriod),"◆",IF(AND($E38&gt;=FI$5,$E38&lt;FI$5+GanttPeriod),"◇","")),IF(AND(FI$5&lt;=$F38,FI$5+GanttPeriod-1&gt;=$E38),"━","")))</f>
        <v/>
      </c>
      <c r="FJ38" s="69" t="str">
        <f aca="false">IF($E38="","",IF($M38,IF(AND($G38&gt;=FJ$5,$G38&lt;FJ$5+GanttPeriod),"◆",IF(AND($E38&gt;=FJ$5,$E38&lt;FJ$5+GanttPeriod),"◇","")),IF(AND(FJ$5&lt;=$F38,FJ$5+GanttPeriod-1&gt;=$E38),"━","")))</f>
        <v/>
      </c>
      <c r="FK38" s="69" t="str">
        <f aca="false">IF($E38="","",IF($M38,IF(AND($G38&gt;=FK$5,$G38&lt;FK$5+GanttPeriod),"◆",IF(AND($E38&gt;=FK$5,$E38&lt;FK$5+GanttPeriod),"◇","")),IF(AND(FK$5&lt;=$F38,FK$5+GanttPeriod-1&gt;=$E38),"━","")))</f>
        <v/>
      </c>
      <c r="FL38" s="69" t="str">
        <f aca="false">IF($E38="","",IF($M38,IF(AND($G38&gt;=FL$5,$G38&lt;FL$5+GanttPeriod),"◆",IF(AND($E38&gt;=FL$5,$E38&lt;FL$5+GanttPeriod),"◇","")),IF(AND(FL$5&lt;=$F38,FL$5+GanttPeriod-1&gt;=$E38),"━","")))</f>
        <v/>
      </c>
      <c r="FM38" s="69" t="str">
        <f aca="false">IF($E38="","",IF($M38,IF(AND($G38&gt;=FM$5,$G38&lt;FM$5+GanttPeriod),"◆",IF(AND($E38&gt;=FM$5,$E38&lt;FM$5+GanttPeriod),"◇","")),IF(AND(FM$5&lt;=$F38,FM$5+GanttPeriod-1&gt;=$E38),"━","")))</f>
        <v/>
      </c>
    </row>
    <row r="39" customFormat="false" ht="15" hidden="false" customHeight="false" outlineLevel="0" collapsed="false">
      <c r="A39" s="62" t="str">
        <f aca="false">IF(Tasks!$D39="","",Tasks!$A39)</f>
        <v/>
      </c>
      <c r="B39" s="62" t="str">
        <f aca="false">IF(Tasks!$D39="","",Tasks!$B39)</f>
        <v/>
      </c>
      <c r="C39" s="63" t="str">
        <f aca="false">IF(Tasks!$D39="","",REPT("    ",Tasks!$AE39-1)&amp;Tasks!$D39)</f>
        <v/>
      </c>
      <c r="D39" s="62" t="str">
        <f aca="false">IF(Tasks!$D39="","",IF(Tasks!$AI39,NETWORKDAYS.INTL(Tasks!$R39,Tasks!$S39,WorkWeek,Holidays),N(Tasks!$F39)))</f>
        <v/>
      </c>
      <c r="E39" s="64" t="str">
        <f aca="false">IF(Tasks!$D39="","",Tasks!$N39)</f>
        <v/>
      </c>
      <c r="F39" s="64" t="str">
        <f aca="false">IF(Tasks!$D39="","",Tasks!$O39)</f>
        <v/>
      </c>
      <c r="G39" s="64" t="str">
        <f aca="false">IF(Tasks!$D39="","",Tasks!$R39)</f>
        <v/>
      </c>
      <c r="H39" s="64" t="str">
        <f aca="false">IF(Tasks!$D39="","",Tasks!$S39)</f>
        <v/>
      </c>
      <c r="I39" s="65" t="str">
        <f aca="false">IF(Tasks!$D39="","",Tasks!$V39)</f>
        <v/>
      </c>
      <c r="J39" s="63" t="str">
        <f aca="false">IF(Tasks!$D39="","",Tasks!$X39&amp;"")</f>
        <v/>
      </c>
      <c r="K39" s="66" t="str">
        <f aca="false">IF(Tasks!$D39="","",Tasks!$W39)</f>
        <v/>
      </c>
      <c r="L39" s="67" t="b">
        <f aca="false">IF(Tasks!$D39="",FALSE(),Tasks!$AI39)</f>
        <v>0</v>
      </c>
      <c r="M39" s="67" t="b">
        <f aca="false">AND(Tasks!$AJ39=1,N(Tasks!$F39)=0)</f>
        <v>0</v>
      </c>
      <c r="N39" s="68" t="n">
        <f aca="false">IF(AND(Tasks!$AJ39=1,NOT($M39),N($I39)&gt;0),$G39,0)</f>
        <v>0</v>
      </c>
      <c r="O39" s="68" t="n">
        <f aca="false">IF($N39=0,0,IF($I39&gt;=1,$H39,MAX($N39,$G39+ROUND(($H39-$G39+1)*$I39,0)-1)))</f>
        <v>0</v>
      </c>
      <c r="P39" s="68" t="n">
        <f aca="false">IF(OR(Tasks!$AJ39&lt;&gt;1,$M39,N($I39)&gt;=1),0,IF($O39&gt;0,$O39+1,$G39))</f>
        <v>0</v>
      </c>
      <c r="Q39" s="68" t="n">
        <f aca="false">IF($P39=0,0,$H39)</f>
        <v>0</v>
      </c>
      <c r="R39" s="67" t="b">
        <f aca="false">AND(Tasks!$D39&lt;&gt;"",N(Tasks!$T39)&gt;0)</f>
        <v>0</v>
      </c>
      <c r="T39" s="69" t="str">
        <f aca="false">IF($E39="","",IF($M39,IF(AND($G39&gt;=T$5,$G39&lt;T$5+GanttPeriod),"◆",IF(AND($E39&gt;=T$5,$E39&lt;T$5+GanttPeriod),"◇","")),IF(AND(T$5&lt;=$F39,T$5+GanttPeriod-1&gt;=$E39),"━","")))</f>
        <v/>
      </c>
      <c r="U39" s="69" t="str">
        <f aca="false">IF($E39="","",IF($M39,IF(AND($G39&gt;=U$5,$G39&lt;U$5+GanttPeriod),"◆",IF(AND($E39&gt;=U$5,$E39&lt;U$5+GanttPeriod),"◇","")),IF(AND(U$5&lt;=$F39,U$5+GanttPeriod-1&gt;=$E39),"━","")))</f>
        <v/>
      </c>
      <c r="V39" s="69" t="str">
        <f aca="false">IF($E39="","",IF($M39,IF(AND($G39&gt;=V$5,$G39&lt;V$5+GanttPeriod),"◆",IF(AND($E39&gt;=V$5,$E39&lt;V$5+GanttPeriod),"◇","")),IF(AND(V$5&lt;=$F39,V$5+GanttPeriod-1&gt;=$E39),"━","")))</f>
        <v/>
      </c>
      <c r="W39" s="69" t="str">
        <f aca="false">IF($E39="","",IF($M39,IF(AND($G39&gt;=W$5,$G39&lt;W$5+GanttPeriod),"◆",IF(AND($E39&gt;=W$5,$E39&lt;W$5+GanttPeriod),"◇","")),IF(AND(W$5&lt;=$F39,W$5+GanttPeriod-1&gt;=$E39),"━","")))</f>
        <v/>
      </c>
      <c r="X39" s="69" t="str">
        <f aca="false">IF($E39="","",IF($M39,IF(AND($G39&gt;=X$5,$G39&lt;X$5+GanttPeriod),"◆",IF(AND($E39&gt;=X$5,$E39&lt;X$5+GanttPeriod),"◇","")),IF(AND(X$5&lt;=$F39,X$5+GanttPeriod-1&gt;=$E39),"━","")))</f>
        <v/>
      </c>
      <c r="Y39" s="69" t="str">
        <f aca="false">IF($E39="","",IF($M39,IF(AND($G39&gt;=Y$5,$G39&lt;Y$5+GanttPeriod),"◆",IF(AND($E39&gt;=Y$5,$E39&lt;Y$5+GanttPeriod),"◇","")),IF(AND(Y$5&lt;=$F39,Y$5+GanttPeriod-1&gt;=$E39),"━","")))</f>
        <v/>
      </c>
      <c r="Z39" s="69" t="str">
        <f aca="false">IF($E39="","",IF($M39,IF(AND($G39&gt;=Z$5,$G39&lt;Z$5+GanttPeriod),"◆",IF(AND($E39&gt;=Z$5,$E39&lt;Z$5+GanttPeriod),"◇","")),IF(AND(Z$5&lt;=$F39,Z$5+GanttPeriod-1&gt;=$E39),"━","")))</f>
        <v/>
      </c>
      <c r="AA39" s="69" t="str">
        <f aca="false">IF($E39="","",IF($M39,IF(AND($G39&gt;=AA$5,$G39&lt;AA$5+GanttPeriod),"◆",IF(AND($E39&gt;=AA$5,$E39&lt;AA$5+GanttPeriod),"◇","")),IF(AND(AA$5&lt;=$F39,AA$5+GanttPeriod-1&gt;=$E39),"━","")))</f>
        <v/>
      </c>
      <c r="AB39" s="69" t="str">
        <f aca="false">IF($E39="","",IF($M39,IF(AND($G39&gt;=AB$5,$G39&lt;AB$5+GanttPeriod),"◆",IF(AND($E39&gt;=AB$5,$E39&lt;AB$5+GanttPeriod),"◇","")),IF(AND(AB$5&lt;=$F39,AB$5+GanttPeriod-1&gt;=$E39),"━","")))</f>
        <v/>
      </c>
      <c r="AC39" s="69" t="str">
        <f aca="false">IF($E39="","",IF($M39,IF(AND($G39&gt;=AC$5,$G39&lt;AC$5+GanttPeriod),"◆",IF(AND($E39&gt;=AC$5,$E39&lt;AC$5+GanttPeriod),"◇","")),IF(AND(AC$5&lt;=$F39,AC$5+GanttPeriod-1&gt;=$E39),"━","")))</f>
        <v/>
      </c>
      <c r="AD39" s="69" t="str">
        <f aca="false">IF($E39="","",IF($M39,IF(AND($G39&gt;=AD$5,$G39&lt;AD$5+GanttPeriod),"◆",IF(AND($E39&gt;=AD$5,$E39&lt;AD$5+GanttPeriod),"◇","")),IF(AND(AD$5&lt;=$F39,AD$5+GanttPeriod-1&gt;=$E39),"━","")))</f>
        <v/>
      </c>
      <c r="AE39" s="69" t="str">
        <f aca="false">IF($E39="","",IF($M39,IF(AND($G39&gt;=AE$5,$G39&lt;AE$5+GanttPeriod),"◆",IF(AND($E39&gt;=AE$5,$E39&lt;AE$5+GanttPeriod),"◇","")),IF(AND(AE$5&lt;=$F39,AE$5+GanttPeriod-1&gt;=$E39),"━","")))</f>
        <v/>
      </c>
      <c r="AF39" s="69" t="str">
        <f aca="false">IF($E39="","",IF($M39,IF(AND($G39&gt;=AF$5,$G39&lt;AF$5+GanttPeriod),"◆",IF(AND($E39&gt;=AF$5,$E39&lt;AF$5+GanttPeriod),"◇","")),IF(AND(AF$5&lt;=$F39,AF$5+GanttPeriod-1&gt;=$E39),"━","")))</f>
        <v/>
      </c>
      <c r="AG39" s="69" t="str">
        <f aca="false">IF($E39="","",IF($M39,IF(AND($G39&gt;=AG$5,$G39&lt;AG$5+GanttPeriod),"◆",IF(AND($E39&gt;=AG$5,$E39&lt;AG$5+GanttPeriod),"◇","")),IF(AND(AG$5&lt;=$F39,AG$5+GanttPeriod-1&gt;=$E39),"━","")))</f>
        <v/>
      </c>
      <c r="AH39" s="69" t="str">
        <f aca="false">IF($E39="","",IF($M39,IF(AND($G39&gt;=AH$5,$G39&lt;AH$5+GanttPeriod),"◆",IF(AND($E39&gt;=AH$5,$E39&lt;AH$5+GanttPeriod),"◇","")),IF(AND(AH$5&lt;=$F39,AH$5+GanttPeriod-1&gt;=$E39),"━","")))</f>
        <v/>
      </c>
      <c r="AI39" s="69" t="str">
        <f aca="false">IF($E39="","",IF($M39,IF(AND($G39&gt;=AI$5,$G39&lt;AI$5+GanttPeriod),"◆",IF(AND($E39&gt;=AI$5,$E39&lt;AI$5+GanttPeriod),"◇","")),IF(AND(AI$5&lt;=$F39,AI$5+GanttPeriod-1&gt;=$E39),"━","")))</f>
        <v/>
      </c>
      <c r="AJ39" s="69" t="str">
        <f aca="false">IF($E39="","",IF($M39,IF(AND($G39&gt;=AJ$5,$G39&lt;AJ$5+GanttPeriod),"◆",IF(AND($E39&gt;=AJ$5,$E39&lt;AJ$5+GanttPeriod),"◇","")),IF(AND(AJ$5&lt;=$F39,AJ$5+GanttPeriod-1&gt;=$E39),"━","")))</f>
        <v/>
      </c>
      <c r="AK39" s="69" t="str">
        <f aca="false">IF($E39="","",IF($M39,IF(AND($G39&gt;=AK$5,$G39&lt;AK$5+GanttPeriod),"◆",IF(AND($E39&gt;=AK$5,$E39&lt;AK$5+GanttPeriod),"◇","")),IF(AND(AK$5&lt;=$F39,AK$5+GanttPeriod-1&gt;=$E39),"━","")))</f>
        <v/>
      </c>
      <c r="AL39" s="69" t="str">
        <f aca="false">IF($E39="","",IF($M39,IF(AND($G39&gt;=AL$5,$G39&lt;AL$5+GanttPeriod),"◆",IF(AND($E39&gt;=AL$5,$E39&lt;AL$5+GanttPeriod),"◇","")),IF(AND(AL$5&lt;=$F39,AL$5+GanttPeriod-1&gt;=$E39),"━","")))</f>
        <v/>
      </c>
      <c r="AM39" s="69" t="str">
        <f aca="false">IF($E39="","",IF($M39,IF(AND($G39&gt;=AM$5,$G39&lt;AM$5+GanttPeriod),"◆",IF(AND($E39&gt;=AM$5,$E39&lt;AM$5+GanttPeriod),"◇","")),IF(AND(AM$5&lt;=$F39,AM$5+GanttPeriod-1&gt;=$E39),"━","")))</f>
        <v/>
      </c>
      <c r="AN39" s="69" t="str">
        <f aca="false">IF($E39="","",IF($M39,IF(AND($G39&gt;=AN$5,$G39&lt;AN$5+GanttPeriod),"◆",IF(AND($E39&gt;=AN$5,$E39&lt;AN$5+GanttPeriod),"◇","")),IF(AND(AN$5&lt;=$F39,AN$5+GanttPeriod-1&gt;=$E39),"━","")))</f>
        <v/>
      </c>
      <c r="AO39" s="69" t="str">
        <f aca="false">IF($E39="","",IF($M39,IF(AND($G39&gt;=AO$5,$G39&lt;AO$5+GanttPeriod),"◆",IF(AND($E39&gt;=AO$5,$E39&lt;AO$5+GanttPeriod),"◇","")),IF(AND(AO$5&lt;=$F39,AO$5+GanttPeriod-1&gt;=$E39),"━","")))</f>
        <v/>
      </c>
      <c r="AP39" s="69" t="str">
        <f aca="false">IF($E39="","",IF($M39,IF(AND($G39&gt;=AP$5,$G39&lt;AP$5+GanttPeriod),"◆",IF(AND($E39&gt;=AP$5,$E39&lt;AP$5+GanttPeriod),"◇","")),IF(AND(AP$5&lt;=$F39,AP$5+GanttPeriod-1&gt;=$E39),"━","")))</f>
        <v/>
      </c>
      <c r="AQ39" s="69" t="str">
        <f aca="false">IF($E39="","",IF($M39,IF(AND($G39&gt;=AQ$5,$G39&lt;AQ$5+GanttPeriod),"◆",IF(AND($E39&gt;=AQ$5,$E39&lt;AQ$5+GanttPeriod),"◇","")),IF(AND(AQ$5&lt;=$F39,AQ$5+GanttPeriod-1&gt;=$E39),"━","")))</f>
        <v/>
      </c>
      <c r="AR39" s="69" t="str">
        <f aca="false">IF($E39="","",IF($M39,IF(AND($G39&gt;=AR$5,$G39&lt;AR$5+GanttPeriod),"◆",IF(AND($E39&gt;=AR$5,$E39&lt;AR$5+GanttPeriod),"◇","")),IF(AND(AR$5&lt;=$F39,AR$5+GanttPeriod-1&gt;=$E39),"━","")))</f>
        <v/>
      </c>
      <c r="AS39" s="69" t="str">
        <f aca="false">IF($E39="","",IF($M39,IF(AND($G39&gt;=AS$5,$G39&lt;AS$5+GanttPeriod),"◆",IF(AND($E39&gt;=AS$5,$E39&lt;AS$5+GanttPeriod),"◇","")),IF(AND(AS$5&lt;=$F39,AS$5+GanttPeriod-1&gt;=$E39),"━","")))</f>
        <v/>
      </c>
      <c r="AT39" s="69" t="str">
        <f aca="false">IF($E39="","",IF($M39,IF(AND($G39&gt;=AT$5,$G39&lt;AT$5+GanttPeriod),"◆",IF(AND($E39&gt;=AT$5,$E39&lt;AT$5+GanttPeriod),"◇","")),IF(AND(AT$5&lt;=$F39,AT$5+GanttPeriod-1&gt;=$E39),"━","")))</f>
        <v/>
      </c>
      <c r="AU39" s="69" t="str">
        <f aca="false">IF($E39="","",IF($M39,IF(AND($G39&gt;=AU$5,$G39&lt;AU$5+GanttPeriod),"◆",IF(AND($E39&gt;=AU$5,$E39&lt;AU$5+GanttPeriod),"◇","")),IF(AND(AU$5&lt;=$F39,AU$5+GanttPeriod-1&gt;=$E39),"━","")))</f>
        <v/>
      </c>
      <c r="AV39" s="69" t="str">
        <f aca="false">IF($E39="","",IF($M39,IF(AND($G39&gt;=AV$5,$G39&lt;AV$5+GanttPeriod),"◆",IF(AND($E39&gt;=AV$5,$E39&lt;AV$5+GanttPeriod),"◇","")),IF(AND(AV$5&lt;=$F39,AV$5+GanttPeriod-1&gt;=$E39),"━","")))</f>
        <v/>
      </c>
      <c r="AW39" s="69" t="str">
        <f aca="false">IF($E39="","",IF($M39,IF(AND($G39&gt;=AW$5,$G39&lt;AW$5+GanttPeriod),"◆",IF(AND($E39&gt;=AW$5,$E39&lt;AW$5+GanttPeriod),"◇","")),IF(AND(AW$5&lt;=$F39,AW$5+GanttPeriod-1&gt;=$E39),"━","")))</f>
        <v/>
      </c>
      <c r="AX39" s="69" t="str">
        <f aca="false">IF($E39="","",IF($M39,IF(AND($G39&gt;=AX$5,$G39&lt;AX$5+GanttPeriod),"◆",IF(AND($E39&gt;=AX$5,$E39&lt;AX$5+GanttPeriod),"◇","")),IF(AND(AX$5&lt;=$F39,AX$5+GanttPeriod-1&gt;=$E39),"━","")))</f>
        <v/>
      </c>
      <c r="AY39" s="69" t="str">
        <f aca="false">IF($E39="","",IF($M39,IF(AND($G39&gt;=AY$5,$G39&lt;AY$5+GanttPeriod),"◆",IF(AND($E39&gt;=AY$5,$E39&lt;AY$5+GanttPeriod),"◇","")),IF(AND(AY$5&lt;=$F39,AY$5+GanttPeriod-1&gt;=$E39),"━","")))</f>
        <v/>
      </c>
      <c r="AZ39" s="69" t="str">
        <f aca="false">IF($E39="","",IF($M39,IF(AND($G39&gt;=AZ$5,$G39&lt;AZ$5+GanttPeriod),"◆",IF(AND($E39&gt;=AZ$5,$E39&lt;AZ$5+GanttPeriod),"◇","")),IF(AND(AZ$5&lt;=$F39,AZ$5+GanttPeriod-1&gt;=$E39),"━","")))</f>
        <v/>
      </c>
      <c r="BA39" s="69" t="str">
        <f aca="false">IF($E39="","",IF($M39,IF(AND($G39&gt;=BA$5,$G39&lt;BA$5+GanttPeriod),"◆",IF(AND($E39&gt;=BA$5,$E39&lt;BA$5+GanttPeriod),"◇","")),IF(AND(BA$5&lt;=$F39,BA$5+GanttPeriod-1&gt;=$E39),"━","")))</f>
        <v/>
      </c>
      <c r="BB39" s="69" t="str">
        <f aca="false">IF($E39="","",IF($M39,IF(AND($G39&gt;=BB$5,$G39&lt;BB$5+GanttPeriod),"◆",IF(AND($E39&gt;=BB$5,$E39&lt;BB$5+GanttPeriod),"◇","")),IF(AND(BB$5&lt;=$F39,BB$5+GanttPeriod-1&gt;=$E39),"━","")))</f>
        <v/>
      </c>
      <c r="BC39" s="69" t="str">
        <f aca="false">IF($E39="","",IF($M39,IF(AND($G39&gt;=BC$5,$G39&lt;BC$5+GanttPeriod),"◆",IF(AND($E39&gt;=BC$5,$E39&lt;BC$5+GanttPeriod),"◇","")),IF(AND(BC$5&lt;=$F39,BC$5+GanttPeriod-1&gt;=$E39),"━","")))</f>
        <v/>
      </c>
      <c r="BD39" s="69" t="str">
        <f aca="false">IF($E39="","",IF($M39,IF(AND($G39&gt;=BD$5,$G39&lt;BD$5+GanttPeriod),"◆",IF(AND($E39&gt;=BD$5,$E39&lt;BD$5+GanttPeriod),"◇","")),IF(AND(BD$5&lt;=$F39,BD$5+GanttPeriod-1&gt;=$E39),"━","")))</f>
        <v/>
      </c>
      <c r="BE39" s="69" t="str">
        <f aca="false">IF($E39="","",IF($M39,IF(AND($G39&gt;=BE$5,$G39&lt;BE$5+GanttPeriod),"◆",IF(AND($E39&gt;=BE$5,$E39&lt;BE$5+GanttPeriod),"◇","")),IF(AND(BE$5&lt;=$F39,BE$5+GanttPeriod-1&gt;=$E39),"━","")))</f>
        <v/>
      </c>
      <c r="BF39" s="69" t="str">
        <f aca="false">IF($E39="","",IF($M39,IF(AND($G39&gt;=BF$5,$G39&lt;BF$5+GanttPeriod),"◆",IF(AND($E39&gt;=BF$5,$E39&lt;BF$5+GanttPeriod),"◇","")),IF(AND(BF$5&lt;=$F39,BF$5+GanttPeriod-1&gt;=$E39),"━","")))</f>
        <v/>
      </c>
      <c r="BG39" s="69" t="str">
        <f aca="false">IF($E39="","",IF($M39,IF(AND($G39&gt;=BG$5,$G39&lt;BG$5+GanttPeriod),"◆",IF(AND($E39&gt;=BG$5,$E39&lt;BG$5+GanttPeriod),"◇","")),IF(AND(BG$5&lt;=$F39,BG$5+GanttPeriod-1&gt;=$E39),"━","")))</f>
        <v/>
      </c>
      <c r="BH39" s="69" t="str">
        <f aca="false">IF($E39="","",IF($M39,IF(AND($G39&gt;=BH$5,$G39&lt;BH$5+GanttPeriod),"◆",IF(AND($E39&gt;=BH$5,$E39&lt;BH$5+GanttPeriod),"◇","")),IF(AND(BH$5&lt;=$F39,BH$5+GanttPeriod-1&gt;=$E39),"━","")))</f>
        <v/>
      </c>
      <c r="BI39" s="69" t="str">
        <f aca="false">IF($E39="","",IF($M39,IF(AND($G39&gt;=BI$5,$G39&lt;BI$5+GanttPeriod),"◆",IF(AND($E39&gt;=BI$5,$E39&lt;BI$5+GanttPeriod),"◇","")),IF(AND(BI$5&lt;=$F39,BI$5+GanttPeriod-1&gt;=$E39),"━","")))</f>
        <v/>
      </c>
      <c r="BJ39" s="69" t="str">
        <f aca="false">IF($E39="","",IF($M39,IF(AND($G39&gt;=BJ$5,$G39&lt;BJ$5+GanttPeriod),"◆",IF(AND($E39&gt;=BJ$5,$E39&lt;BJ$5+GanttPeriod),"◇","")),IF(AND(BJ$5&lt;=$F39,BJ$5+GanttPeriod-1&gt;=$E39),"━","")))</f>
        <v/>
      </c>
      <c r="BK39" s="69" t="str">
        <f aca="false">IF($E39="","",IF($M39,IF(AND($G39&gt;=BK$5,$G39&lt;BK$5+GanttPeriod),"◆",IF(AND($E39&gt;=BK$5,$E39&lt;BK$5+GanttPeriod),"◇","")),IF(AND(BK$5&lt;=$F39,BK$5+GanttPeriod-1&gt;=$E39),"━","")))</f>
        <v/>
      </c>
      <c r="BL39" s="69" t="str">
        <f aca="false">IF($E39="","",IF($M39,IF(AND($G39&gt;=BL$5,$G39&lt;BL$5+GanttPeriod),"◆",IF(AND($E39&gt;=BL$5,$E39&lt;BL$5+GanttPeriod),"◇","")),IF(AND(BL$5&lt;=$F39,BL$5+GanttPeriod-1&gt;=$E39),"━","")))</f>
        <v/>
      </c>
      <c r="BM39" s="69" t="str">
        <f aca="false">IF($E39="","",IF($M39,IF(AND($G39&gt;=BM$5,$G39&lt;BM$5+GanttPeriod),"◆",IF(AND($E39&gt;=BM$5,$E39&lt;BM$5+GanttPeriod),"◇","")),IF(AND(BM$5&lt;=$F39,BM$5+GanttPeriod-1&gt;=$E39),"━","")))</f>
        <v/>
      </c>
      <c r="BN39" s="69" t="str">
        <f aca="false">IF($E39="","",IF($M39,IF(AND($G39&gt;=BN$5,$G39&lt;BN$5+GanttPeriod),"◆",IF(AND($E39&gt;=BN$5,$E39&lt;BN$5+GanttPeriod),"◇","")),IF(AND(BN$5&lt;=$F39,BN$5+GanttPeriod-1&gt;=$E39),"━","")))</f>
        <v/>
      </c>
      <c r="BO39" s="69" t="str">
        <f aca="false">IF($E39="","",IF($M39,IF(AND($G39&gt;=BO$5,$G39&lt;BO$5+GanttPeriod),"◆",IF(AND($E39&gt;=BO$5,$E39&lt;BO$5+GanttPeriod),"◇","")),IF(AND(BO$5&lt;=$F39,BO$5+GanttPeriod-1&gt;=$E39),"━","")))</f>
        <v/>
      </c>
      <c r="BP39" s="69" t="str">
        <f aca="false">IF($E39="","",IF($M39,IF(AND($G39&gt;=BP$5,$G39&lt;BP$5+GanttPeriod),"◆",IF(AND($E39&gt;=BP$5,$E39&lt;BP$5+GanttPeriod),"◇","")),IF(AND(BP$5&lt;=$F39,BP$5+GanttPeriod-1&gt;=$E39),"━","")))</f>
        <v/>
      </c>
      <c r="BQ39" s="69" t="str">
        <f aca="false">IF($E39="","",IF($M39,IF(AND($G39&gt;=BQ$5,$G39&lt;BQ$5+GanttPeriod),"◆",IF(AND($E39&gt;=BQ$5,$E39&lt;BQ$5+GanttPeriod),"◇","")),IF(AND(BQ$5&lt;=$F39,BQ$5+GanttPeriod-1&gt;=$E39),"━","")))</f>
        <v/>
      </c>
      <c r="BR39" s="69" t="str">
        <f aca="false">IF($E39="","",IF($M39,IF(AND($G39&gt;=BR$5,$G39&lt;BR$5+GanttPeriod),"◆",IF(AND($E39&gt;=BR$5,$E39&lt;BR$5+GanttPeriod),"◇","")),IF(AND(BR$5&lt;=$F39,BR$5+GanttPeriod-1&gt;=$E39),"━","")))</f>
        <v/>
      </c>
      <c r="BS39" s="69" t="str">
        <f aca="false">IF($E39="","",IF($M39,IF(AND($G39&gt;=BS$5,$G39&lt;BS$5+GanttPeriod),"◆",IF(AND($E39&gt;=BS$5,$E39&lt;BS$5+GanttPeriod),"◇","")),IF(AND(BS$5&lt;=$F39,BS$5+GanttPeriod-1&gt;=$E39),"━","")))</f>
        <v/>
      </c>
      <c r="BT39" s="69" t="str">
        <f aca="false">IF($E39="","",IF($M39,IF(AND($G39&gt;=BT$5,$G39&lt;BT$5+GanttPeriod),"◆",IF(AND($E39&gt;=BT$5,$E39&lt;BT$5+GanttPeriod),"◇","")),IF(AND(BT$5&lt;=$F39,BT$5+GanttPeriod-1&gt;=$E39),"━","")))</f>
        <v/>
      </c>
      <c r="BU39" s="69" t="str">
        <f aca="false">IF($E39="","",IF($M39,IF(AND($G39&gt;=BU$5,$G39&lt;BU$5+GanttPeriod),"◆",IF(AND($E39&gt;=BU$5,$E39&lt;BU$5+GanttPeriod),"◇","")),IF(AND(BU$5&lt;=$F39,BU$5+GanttPeriod-1&gt;=$E39),"━","")))</f>
        <v/>
      </c>
      <c r="BV39" s="69" t="str">
        <f aca="false">IF($E39="","",IF($M39,IF(AND($G39&gt;=BV$5,$G39&lt;BV$5+GanttPeriod),"◆",IF(AND($E39&gt;=BV$5,$E39&lt;BV$5+GanttPeriod),"◇","")),IF(AND(BV$5&lt;=$F39,BV$5+GanttPeriod-1&gt;=$E39),"━","")))</f>
        <v/>
      </c>
      <c r="BW39" s="69" t="str">
        <f aca="false">IF($E39="","",IF($M39,IF(AND($G39&gt;=BW$5,$G39&lt;BW$5+GanttPeriod),"◆",IF(AND($E39&gt;=BW$5,$E39&lt;BW$5+GanttPeriod),"◇","")),IF(AND(BW$5&lt;=$F39,BW$5+GanttPeriod-1&gt;=$E39),"━","")))</f>
        <v/>
      </c>
      <c r="BX39" s="69" t="str">
        <f aca="false">IF($E39="","",IF($M39,IF(AND($G39&gt;=BX$5,$G39&lt;BX$5+GanttPeriod),"◆",IF(AND($E39&gt;=BX$5,$E39&lt;BX$5+GanttPeriod),"◇","")),IF(AND(BX$5&lt;=$F39,BX$5+GanttPeriod-1&gt;=$E39),"━","")))</f>
        <v/>
      </c>
      <c r="BY39" s="69" t="str">
        <f aca="false">IF($E39="","",IF($M39,IF(AND($G39&gt;=BY$5,$G39&lt;BY$5+GanttPeriod),"◆",IF(AND($E39&gt;=BY$5,$E39&lt;BY$5+GanttPeriod),"◇","")),IF(AND(BY$5&lt;=$F39,BY$5+GanttPeriod-1&gt;=$E39),"━","")))</f>
        <v/>
      </c>
      <c r="BZ39" s="69" t="str">
        <f aca="false">IF($E39="","",IF($M39,IF(AND($G39&gt;=BZ$5,$G39&lt;BZ$5+GanttPeriod),"◆",IF(AND($E39&gt;=BZ$5,$E39&lt;BZ$5+GanttPeriod),"◇","")),IF(AND(BZ$5&lt;=$F39,BZ$5+GanttPeriod-1&gt;=$E39),"━","")))</f>
        <v/>
      </c>
      <c r="CA39" s="69" t="str">
        <f aca="false">IF($E39="","",IF($M39,IF(AND($G39&gt;=CA$5,$G39&lt;CA$5+GanttPeriod),"◆",IF(AND($E39&gt;=CA$5,$E39&lt;CA$5+GanttPeriod),"◇","")),IF(AND(CA$5&lt;=$F39,CA$5+GanttPeriod-1&gt;=$E39),"━","")))</f>
        <v/>
      </c>
      <c r="CB39" s="69" t="str">
        <f aca="false">IF($E39="","",IF($M39,IF(AND($G39&gt;=CB$5,$G39&lt;CB$5+GanttPeriod),"◆",IF(AND($E39&gt;=CB$5,$E39&lt;CB$5+GanttPeriod),"◇","")),IF(AND(CB$5&lt;=$F39,CB$5+GanttPeriod-1&gt;=$E39),"━","")))</f>
        <v/>
      </c>
      <c r="CC39" s="69" t="str">
        <f aca="false">IF($E39="","",IF($M39,IF(AND($G39&gt;=CC$5,$G39&lt;CC$5+GanttPeriod),"◆",IF(AND($E39&gt;=CC$5,$E39&lt;CC$5+GanttPeriod),"◇","")),IF(AND(CC$5&lt;=$F39,CC$5+GanttPeriod-1&gt;=$E39),"━","")))</f>
        <v/>
      </c>
      <c r="CD39" s="69" t="str">
        <f aca="false">IF($E39="","",IF($M39,IF(AND($G39&gt;=CD$5,$G39&lt;CD$5+GanttPeriod),"◆",IF(AND($E39&gt;=CD$5,$E39&lt;CD$5+GanttPeriod),"◇","")),IF(AND(CD$5&lt;=$F39,CD$5+GanttPeriod-1&gt;=$E39),"━","")))</f>
        <v/>
      </c>
      <c r="CE39" s="69" t="str">
        <f aca="false">IF($E39="","",IF($M39,IF(AND($G39&gt;=CE$5,$G39&lt;CE$5+GanttPeriod),"◆",IF(AND($E39&gt;=CE$5,$E39&lt;CE$5+GanttPeriod),"◇","")),IF(AND(CE$5&lt;=$F39,CE$5+GanttPeriod-1&gt;=$E39),"━","")))</f>
        <v/>
      </c>
      <c r="CF39" s="69" t="str">
        <f aca="false">IF($E39="","",IF($M39,IF(AND($G39&gt;=CF$5,$G39&lt;CF$5+GanttPeriod),"◆",IF(AND($E39&gt;=CF$5,$E39&lt;CF$5+GanttPeriod),"◇","")),IF(AND(CF$5&lt;=$F39,CF$5+GanttPeriod-1&gt;=$E39),"━","")))</f>
        <v/>
      </c>
      <c r="CG39" s="69" t="str">
        <f aca="false">IF($E39="","",IF($M39,IF(AND($G39&gt;=CG$5,$G39&lt;CG$5+GanttPeriod),"◆",IF(AND($E39&gt;=CG$5,$E39&lt;CG$5+GanttPeriod),"◇","")),IF(AND(CG$5&lt;=$F39,CG$5+GanttPeriod-1&gt;=$E39),"━","")))</f>
        <v/>
      </c>
      <c r="CH39" s="69" t="str">
        <f aca="false">IF($E39="","",IF($M39,IF(AND($G39&gt;=CH$5,$G39&lt;CH$5+GanttPeriod),"◆",IF(AND($E39&gt;=CH$5,$E39&lt;CH$5+GanttPeriod),"◇","")),IF(AND(CH$5&lt;=$F39,CH$5+GanttPeriod-1&gt;=$E39),"━","")))</f>
        <v/>
      </c>
      <c r="CI39" s="69" t="str">
        <f aca="false">IF($E39="","",IF($M39,IF(AND($G39&gt;=CI$5,$G39&lt;CI$5+GanttPeriod),"◆",IF(AND($E39&gt;=CI$5,$E39&lt;CI$5+GanttPeriod),"◇","")),IF(AND(CI$5&lt;=$F39,CI$5+GanttPeriod-1&gt;=$E39),"━","")))</f>
        <v/>
      </c>
      <c r="CJ39" s="69" t="str">
        <f aca="false">IF($E39="","",IF($M39,IF(AND($G39&gt;=CJ$5,$G39&lt;CJ$5+GanttPeriod),"◆",IF(AND($E39&gt;=CJ$5,$E39&lt;CJ$5+GanttPeriod),"◇","")),IF(AND(CJ$5&lt;=$F39,CJ$5+GanttPeriod-1&gt;=$E39),"━","")))</f>
        <v/>
      </c>
      <c r="CK39" s="69" t="str">
        <f aca="false">IF($E39="","",IF($M39,IF(AND($G39&gt;=CK$5,$G39&lt;CK$5+GanttPeriod),"◆",IF(AND($E39&gt;=CK$5,$E39&lt;CK$5+GanttPeriod),"◇","")),IF(AND(CK$5&lt;=$F39,CK$5+GanttPeriod-1&gt;=$E39),"━","")))</f>
        <v/>
      </c>
      <c r="CL39" s="69" t="str">
        <f aca="false">IF($E39="","",IF($M39,IF(AND($G39&gt;=CL$5,$G39&lt;CL$5+GanttPeriod),"◆",IF(AND($E39&gt;=CL$5,$E39&lt;CL$5+GanttPeriod),"◇","")),IF(AND(CL$5&lt;=$F39,CL$5+GanttPeriod-1&gt;=$E39),"━","")))</f>
        <v/>
      </c>
      <c r="CM39" s="69" t="str">
        <f aca="false">IF($E39="","",IF($M39,IF(AND($G39&gt;=CM$5,$G39&lt;CM$5+GanttPeriod),"◆",IF(AND($E39&gt;=CM$5,$E39&lt;CM$5+GanttPeriod),"◇","")),IF(AND(CM$5&lt;=$F39,CM$5+GanttPeriod-1&gt;=$E39),"━","")))</f>
        <v/>
      </c>
      <c r="CN39" s="69" t="str">
        <f aca="false">IF($E39="","",IF($M39,IF(AND($G39&gt;=CN$5,$G39&lt;CN$5+GanttPeriod),"◆",IF(AND($E39&gt;=CN$5,$E39&lt;CN$5+GanttPeriod),"◇","")),IF(AND(CN$5&lt;=$F39,CN$5+GanttPeriod-1&gt;=$E39),"━","")))</f>
        <v/>
      </c>
      <c r="CO39" s="69" t="str">
        <f aca="false">IF($E39="","",IF($M39,IF(AND($G39&gt;=CO$5,$G39&lt;CO$5+GanttPeriod),"◆",IF(AND($E39&gt;=CO$5,$E39&lt;CO$5+GanttPeriod),"◇","")),IF(AND(CO$5&lt;=$F39,CO$5+GanttPeriod-1&gt;=$E39),"━","")))</f>
        <v/>
      </c>
      <c r="CP39" s="69" t="str">
        <f aca="false">IF($E39="","",IF($M39,IF(AND($G39&gt;=CP$5,$G39&lt;CP$5+GanttPeriod),"◆",IF(AND($E39&gt;=CP$5,$E39&lt;CP$5+GanttPeriod),"◇","")),IF(AND(CP$5&lt;=$F39,CP$5+GanttPeriod-1&gt;=$E39),"━","")))</f>
        <v/>
      </c>
      <c r="CQ39" s="69" t="str">
        <f aca="false">IF($E39="","",IF($M39,IF(AND($G39&gt;=CQ$5,$G39&lt;CQ$5+GanttPeriod),"◆",IF(AND($E39&gt;=CQ$5,$E39&lt;CQ$5+GanttPeriod),"◇","")),IF(AND(CQ$5&lt;=$F39,CQ$5+GanttPeriod-1&gt;=$E39),"━","")))</f>
        <v/>
      </c>
      <c r="CR39" s="69" t="str">
        <f aca="false">IF($E39="","",IF($M39,IF(AND($G39&gt;=CR$5,$G39&lt;CR$5+GanttPeriod),"◆",IF(AND($E39&gt;=CR$5,$E39&lt;CR$5+GanttPeriod),"◇","")),IF(AND(CR$5&lt;=$F39,CR$5+GanttPeriod-1&gt;=$E39),"━","")))</f>
        <v/>
      </c>
      <c r="CS39" s="69" t="str">
        <f aca="false">IF($E39="","",IF($M39,IF(AND($G39&gt;=CS$5,$G39&lt;CS$5+GanttPeriod),"◆",IF(AND($E39&gt;=CS$5,$E39&lt;CS$5+GanttPeriod),"◇","")),IF(AND(CS$5&lt;=$F39,CS$5+GanttPeriod-1&gt;=$E39),"━","")))</f>
        <v/>
      </c>
      <c r="CT39" s="69" t="str">
        <f aca="false">IF($E39="","",IF($M39,IF(AND($G39&gt;=CT$5,$G39&lt;CT$5+GanttPeriod),"◆",IF(AND($E39&gt;=CT$5,$E39&lt;CT$5+GanttPeriod),"◇","")),IF(AND(CT$5&lt;=$F39,CT$5+GanttPeriod-1&gt;=$E39),"━","")))</f>
        <v/>
      </c>
      <c r="CU39" s="69" t="str">
        <f aca="false">IF($E39="","",IF($M39,IF(AND($G39&gt;=CU$5,$G39&lt;CU$5+GanttPeriod),"◆",IF(AND($E39&gt;=CU$5,$E39&lt;CU$5+GanttPeriod),"◇","")),IF(AND(CU$5&lt;=$F39,CU$5+GanttPeriod-1&gt;=$E39),"━","")))</f>
        <v/>
      </c>
      <c r="CV39" s="69" t="str">
        <f aca="false">IF($E39="","",IF($M39,IF(AND($G39&gt;=CV$5,$G39&lt;CV$5+GanttPeriod),"◆",IF(AND($E39&gt;=CV$5,$E39&lt;CV$5+GanttPeriod),"◇","")),IF(AND(CV$5&lt;=$F39,CV$5+GanttPeriod-1&gt;=$E39),"━","")))</f>
        <v/>
      </c>
      <c r="CW39" s="69" t="str">
        <f aca="false">IF($E39="","",IF($M39,IF(AND($G39&gt;=CW$5,$G39&lt;CW$5+GanttPeriod),"◆",IF(AND($E39&gt;=CW$5,$E39&lt;CW$5+GanttPeriod),"◇","")),IF(AND(CW$5&lt;=$F39,CW$5+GanttPeriod-1&gt;=$E39),"━","")))</f>
        <v/>
      </c>
      <c r="CX39" s="69" t="str">
        <f aca="false">IF($E39="","",IF($M39,IF(AND($G39&gt;=CX$5,$G39&lt;CX$5+GanttPeriod),"◆",IF(AND($E39&gt;=CX$5,$E39&lt;CX$5+GanttPeriod),"◇","")),IF(AND(CX$5&lt;=$F39,CX$5+GanttPeriod-1&gt;=$E39),"━","")))</f>
        <v/>
      </c>
      <c r="CY39" s="69" t="str">
        <f aca="false">IF($E39="","",IF($M39,IF(AND($G39&gt;=CY$5,$G39&lt;CY$5+GanttPeriod),"◆",IF(AND($E39&gt;=CY$5,$E39&lt;CY$5+GanttPeriod),"◇","")),IF(AND(CY$5&lt;=$F39,CY$5+GanttPeriod-1&gt;=$E39),"━","")))</f>
        <v/>
      </c>
      <c r="CZ39" s="69" t="str">
        <f aca="false">IF($E39="","",IF($M39,IF(AND($G39&gt;=CZ$5,$G39&lt;CZ$5+GanttPeriod),"◆",IF(AND($E39&gt;=CZ$5,$E39&lt;CZ$5+GanttPeriod),"◇","")),IF(AND(CZ$5&lt;=$F39,CZ$5+GanttPeriod-1&gt;=$E39),"━","")))</f>
        <v/>
      </c>
      <c r="DA39" s="69" t="str">
        <f aca="false">IF($E39="","",IF($M39,IF(AND($G39&gt;=DA$5,$G39&lt;DA$5+GanttPeriod),"◆",IF(AND($E39&gt;=DA$5,$E39&lt;DA$5+GanttPeriod),"◇","")),IF(AND(DA$5&lt;=$F39,DA$5+GanttPeriod-1&gt;=$E39),"━","")))</f>
        <v/>
      </c>
      <c r="DB39" s="69" t="str">
        <f aca="false">IF($E39="","",IF($M39,IF(AND($G39&gt;=DB$5,$G39&lt;DB$5+GanttPeriod),"◆",IF(AND($E39&gt;=DB$5,$E39&lt;DB$5+GanttPeriod),"◇","")),IF(AND(DB$5&lt;=$F39,DB$5+GanttPeriod-1&gt;=$E39),"━","")))</f>
        <v/>
      </c>
      <c r="DC39" s="69" t="str">
        <f aca="false">IF($E39="","",IF($M39,IF(AND($G39&gt;=DC$5,$G39&lt;DC$5+GanttPeriod),"◆",IF(AND($E39&gt;=DC$5,$E39&lt;DC$5+GanttPeriod),"◇","")),IF(AND(DC$5&lt;=$F39,DC$5+GanttPeriod-1&gt;=$E39),"━","")))</f>
        <v/>
      </c>
      <c r="DD39" s="69" t="str">
        <f aca="false">IF($E39="","",IF($M39,IF(AND($G39&gt;=DD$5,$G39&lt;DD$5+GanttPeriod),"◆",IF(AND($E39&gt;=DD$5,$E39&lt;DD$5+GanttPeriod),"◇","")),IF(AND(DD$5&lt;=$F39,DD$5+GanttPeriod-1&gt;=$E39),"━","")))</f>
        <v/>
      </c>
      <c r="DE39" s="69" t="str">
        <f aca="false">IF($E39="","",IF($M39,IF(AND($G39&gt;=DE$5,$G39&lt;DE$5+GanttPeriod),"◆",IF(AND($E39&gt;=DE$5,$E39&lt;DE$5+GanttPeriod),"◇","")),IF(AND(DE$5&lt;=$F39,DE$5+GanttPeriod-1&gt;=$E39),"━","")))</f>
        <v/>
      </c>
      <c r="DF39" s="69" t="str">
        <f aca="false">IF($E39="","",IF($M39,IF(AND($G39&gt;=DF$5,$G39&lt;DF$5+GanttPeriod),"◆",IF(AND($E39&gt;=DF$5,$E39&lt;DF$5+GanttPeriod),"◇","")),IF(AND(DF$5&lt;=$F39,DF$5+GanttPeriod-1&gt;=$E39),"━","")))</f>
        <v/>
      </c>
      <c r="DG39" s="69" t="str">
        <f aca="false">IF($E39="","",IF($M39,IF(AND($G39&gt;=DG$5,$G39&lt;DG$5+GanttPeriod),"◆",IF(AND($E39&gt;=DG$5,$E39&lt;DG$5+GanttPeriod),"◇","")),IF(AND(DG$5&lt;=$F39,DG$5+GanttPeriod-1&gt;=$E39),"━","")))</f>
        <v/>
      </c>
      <c r="DH39" s="69" t="str">
        <f aca="false">IF($E39="","",IF($M39,IF(AND($G39&gt;=DH$5,$G39&lt;DH$5+GanttPeriod),"◆",IF(AND($E39&gt;=DH$5,$E39&lt;DH$5+GanttPeriod),"◇","")),IF(AND(DH$5&lt;=$F39,DH$5+GanttPeriod-1&gt;=$E39),"━","")))</f>
        <v/>
      </c>
      <c r="DI39" s="69" t="str">
        <f aca="false">IF($E39="","",IF($M39,IF(AND($G39&gt;=DI$5,$G39&lt;DI$5+GanttPeriod),"◆",IF(AND($E39&gt;=DI$5,$E39&lt;DI$5+GanttPeriod),"◇","")),IF(AND(DI$5&lt;=$F39,DI$5+GanttPeriod-1&gt;=$E39),"━","")))</f>
        <v/>
      </c>
      <c r="DJ39" s="69" t="str">
        <f aca="false">IF($E39="","",IF($M39,IF(AND($G39&gt;=DJ$5,$G39&lt;DJ$5+GanttPeriod),"◆",IF(AND($E39&gt;=DJ$5,$E39&lt;DJ$5+GanttPeriod),"◇","")),IF(AND(DJ$5&lt;=$F39,DJ$5+GanttPeriod-1&gt;=$E39),"━","")))</f>
        <v/>
      </c>
      <c r="DK39" s="69" t="str">
        <f aca="false">IF($E39="","",IF($M39,IF(AND($G39&gt;=DK$5,$G39&lt;DK$5+GanttPeriod),"◆",IF(AND($E39&gt;=DK$5,$E39&lt;DK$5+GanttPeriod),"◇","")),IF(AND(DK$5&lt;=$F39,DK$5+GanttPeriod-1&gt;=$E39),"━","")))</f>
        <v/>
      </c>
      <c r="DL39" s="69" t="str">
        <f aca="false">IF($E39="","",IF($M39,IF(AND($G39&gt;=DL$5,$G39&lt;DL$5+GanttPeriod),"◆",IF(AND($E39&gt;=DL$5,$E39&lt;DL$5+GanttPeriod),"◇","")),IF(AND(DL$5&lt;=$F39,DL$5+GanttPeriod-1&gt;=$E39),"━","")))</f>
        <v/>
      </c>
      <c r="DM39" s="69" t="str">
        <f aca="false">IF($E39="","",IF($M39,IF(AND($G39&gt;=DM$5,$G39&lt;DM$5+GanttPeriod),"◆",IF(AND($E39&gt;=DM$5,$E39&lt;DM$5+GanttPeriod),"◇","")),IF(AND(DM$5&lt;=$F39,DM$5+GanttPeriod-1&gt;=$E39),"━","")))</f>
        <v/>
      </c>
      <c r="DN39" s="69" t="str">
        <f aca="false">IF($E39="","",IF($M39,IF(AND($G39&gt;=DN$5,$G39&lt;DN$5+GanttPeriod),"◆",IF(AND($E39&gt;=DN$5,$E39&lt;DN$5+GanttPeriod),"◇","")),IF(AND(DN$5&lt;=$F39,DN$5+GanttPeriod-1&gt;=$E39),"━","")))</f>
        <v/>
      </c>
      <c r="DO39" s="69" t="str">
        <f aca="false">IF($E39="","",IF($M39,IF(AND($G39&gt;=DO$5,$G39&lt;DO$5+GanttPeriod),"◆",IF(AND($E39&gt;=DO$5,$E39&lt;DO$5+GanttPeriod),"◇","")),IF(AND(DO$5&lt;=$F39,DO$5+GanttPeriod-1&gt;=$E39),"━","")))</f>
        <v/>
      </c>
      <c r="DP39" s="69" t="str">
        <f aca="false">IF($E39="","",IF($M39,IF(AND($G39&gt;=DP$5,$G39&lt;DP$5+GanttPeriod),"◆",IF(AND($E39&gt;=DP$5,$E39&lt;DP$5+GanttPeriod),"◇","")),IF(AND(DP$5&lt;=$F39,DP$5+GanttPeriod-1&gt;=$E39),"━","")))</f>
        <v/>
      </c>
      <c r="DQ39" s="69" t="str">
        <f aca="false">IF($E39="","",IF($M39,IF(AND($G39&gt;=DQ$5,$G39&lt;DQ$5+GanttPeriod),"◆",IF(AND($E39&gt;=DQ$5,$E39&lt;DQ$5+GanttPeriod),"◇","")),IF(AND(DQ$5&lt;=$F39,DQ$5+GanttPeriod-1&gt;=$E39),"━","")))</f>
        <v/>
      </c>
      <c r="DR39" s="69" t="str">
        <f aca="false">IF($E39="","",IF($M39,IF(AND($G39&gt;=DR$5,$G39&lt;DR$5+GanttPeriod),"◆",IF(AND($E39&gt;=DR$5,$E39&lt;DR$5+GanttPeriod),"◇","")),IF(AND(DR$5&lt;=$F39,DR$5+GanttPeriod-1&gt;=$E39),"━","")))</f>
        <v/>
      </c>
      <c r="DS39" s="69" t="str">
        <f aca="false">IF($E39="","",IF($M39,IF(AND($G39&gt;=DS$5,$G39&lt;DS$5+GanttPeriod),"◆",IF(AND($E39&gt;=DS$5,$E39&lt;DS$5+GanttPeriod),"◇","")),IF(AND(DS$5&lt;=$F39,DS$5+GanttPeriod-1&gt;=$E39),"━","")))</f>
        <v/>
      </c>
      <c r="DT39" s="69" t="str">
        <f aca="false">IF($E39="","",IF($M39,IF(AND($G39&gt;=DT$5,$G39&lt;DT$5+GanttPeriod),"◆",IF(AND($E39&gt;=DT$5,$E39&lt;DT$5+GanttPeriod),"◇","")),IF(AND(DT$5&lt;=$F39,DT$5+GanttPeriod-1&gt;=$E39),"━","")))</f>
        <v/>
      </c>
      <c r="DU39" s="69" t="str">
        <f aca="false">IF($E39="","",IF($M39,IF(AND($G39&gt;=DU$5,$G39&lt;DU$5+GanttPeriod),"◆",IF(AND($E39&gt;=DU$5,$E39&lt;DU$5+GanttPeriod),"◇","")),IF(AND(DU$5&lt;=$F39,DU$5+GanttPeriod-1&gt;=$E39),"━","")))</f>
        <v/>
      </c>
      <c r="DV39" s="69" t="str">
        <f aca="false">IF($E39="","",IF($M39,IF(AND($G39&gt;=DV$5,$G39&lt;DV$5+GanttPeriod),"◆",IF(AND($E39&gt;=DV$5,$E39&lt;DV$5+GanttPeriod),"◇","")),IF(AND(DV$5&lt;=$F39,DV$5+GanttPeriod-1&gt;=$E39),"━","")))</f>
        <v/>
      </c>
      <c r="DW39" s="69" t="str">
        <f aca="false">IF($E39="","",IF($M39,IF(AND($G39&gt;=DW$5,$G39&lt;DW$5+GanttPeriod),"◆",IF(AND($E39&gt;=DW$5,$E39&lt;DW$5+GanttPeriod),"◇","")),IF(AND(DW$5&lt;=$F39,DW$5+GanttPeriod-1&gt;=$E39),"━","")))</f>
        <v/>
      </c>
      <c r="DX39" s="69" t="str">
        <f aca="false">IF($E39="","",IF($M39,IF(AND($G39&gt;=DX$5,$G39&lt;DX$5+GanttPeriod),"◆",IF(AND($E39&gt;=DX$5,$E39&lt;DX$5+GanttPeriod),"◇","")),IF(AND(DX$5&lt;=$F39,DX$5+GanttPeriod-1&gt;=$E39),"━","")))</f>
        <v/>
      </c>
      <c r="DY39" s="69" t="str">
        <f aca="false">IF($E39="","",IF($M39,IF(AND($G39&gt;=DY$5,$G39&lt;DY$5+GanttPeriod),"◆",IF(AND($E39&gt;=DY$5,$E39&lt;DY$5+GanttPeriod),"◇","")),IF(AND(DY$5&lt;=$F39,DY$5+GanttPeriod-1&gt;=$E39),"━","")))</f>
        <v/>
      </c>
      <c r="DZ39" s="69" t="str">
        <f aca="false">IF($E39="","",IF($M39,IF(AND($G39&gt;=DZ$5,$G39&lt;DZ$5+GanttPeriod),"◆",IF(AND($E39&gt;=DZ$5,$E39&lt;DZ$5+GanttPeriod),"◇","")),IF(AND(DZ$5&lt;=$F39,DZ$5+GanttPeriod-1&gt;=$E39),"━","")))</f>
        <v/>
      </c>
      <c r="EA39" s="69" t="str">
        <f aca="false">IF($E39="","",IF($M39,IF(AND($G39&gt;=EA$5,$G39&lt;EA$5+GanttPeriod),"◆",IF(AND($E39&gt;=EA$5,$E39&lt;EA$5+GanttPeriod),"◇","")),IF(AND(EA$5&lt;=$F39,EA$5+GanttPeriod-1&gt;=$E39),"━","")))</f>
        <v/>
      </c>
      <c r="EB39" s="69" t="str">
        <f aca="false">IF($E39="","",IF($M39,IF(AND($G39&gt;=EB$5,$G39&lt;EB$5+GanttPeriod),"◆",IF(AND($E39&gt;=EB$5,$E39&lt;EB$5+GanttPeriod),"◇","")),IF(AND(EB$5&lt;=$F39,EB$5+GanttPeriod-1&gt;=$E39),"━","")))</f>
        <v/>
      </c>
      <c r="EC39" s="69" t="str">
        <f aca="false">IF($E39="","",IF($M39,IF(AND($G39&gt;=EC$5,$G39&lt;EC$5+GanttPeriod),"◆",IF(AND($E39&gt;=EC$5,$E39&lt;EC$5+GanttPeriod),"◇","")),IF(AND(EC$5&lt;=$F39,EC$5+GanttPeriod-1&gt;=$E39),"━","")))</f>
        <v/>
      </c>
      <c r="ED39" s="69" t="str">
        <f aca="false">IF($E39="","",IF($M39,IF(AND($G39&gt;=ED$5,$G39&lt;ED$5+GanttPeriod),"◆",IF(AND($E39&gt;=ED$5,$E39&lt;ED$5+GanttPeriod),"◇","")),IF(AND(ED$5&lt;=$F39,ED$5+GanttPeriod-1&gt;=$E39),"━","")))</f>
        <v/>
      </c>
      <c r="EE39" s="69" t="str">
        <f aca="false">IF($E39="","",IF($M39,IF(AND($G39&gt;=EE$5,$G39&lt;EE$5+GanttPeriod),"◆",IF(AND($E39&gt;=EE$5,$E39&lt;EE$5+GanttPeriod),"◇","")),IF(AND(EE$5&lt;=$F39,EE$5+GanttPeriod-1&gt;=$E39),"━","")))</f>
        <v/>
      </c>
      <c r="EF39" s="69" t="str">
        <f aca="false">IF($E39="","",IF($M39,IF(AND($G39&gt;=EF$5,$G39&lt;EF$5+GanttPeriod),"◆",IF(AND($E39&gt;=EF$5,$E39&lt;EF$5+GanttPeriod),"◇","")),IF(AND(EF$5&lt;=$F39,EF$5+GanttPeriod-1&gt;=$E39),"━","")))</f>
        <v/>
      </c>
      <c r="EG39" s="69" t="str">
        <f aca="false">IF($E39="","",IF($M39,IF(AND($G39&gt;=EG$5,$G39&lt;EG$5+GanttPeriod),"◆",IF(AND($E39&gt;=EG$5,$E39&lt;EG$5+GanttPeriod),"◇","")),IF(AND(EG$5&lt;=$F39,EG$5+GanttPeriod-1&gt;=$E39),"━","")))</f>
        <v/>
      </c>
      <c r="EH39" s="69" t="str">
        <f aca="false">IF($E39="","",IF($M39,IF(AND($G39&gt;=EH$5,$G39&lt;EH$5+GanttPeriod),"◆",IF(AND($E39&gt;=EH$5,$E39&lt;EH$5+GanttPeriod),"◇","")),IF(AND(EH$5&lt;=$F39,EH$5+GanttPeriod-1&gt;=$E39),"━","")))</f>
        <v/>
      </c>
      <c r="EI39" s="69" t="str">
        <f aca="false">IF($E39="","",IF($M39,IF(AND($G39&gt;=EI$5,$G39&lt;EI$5+GanttPeriod),"◆",IF(AND($E39&gt;=EI$5,$E39&lt;EI$5+GanttPeriod),"◇","")),IF(AND(EI$5&lt;=$F39,EI$5+GanttPeriod-1&gt;=$E39),"━","")))</f>
        <v/>
      </c>
      <c r="EJ39" s="69" t="str">
        <f aca="false">IF($E39="","",IF($M39,IF(AND($G39&gt;=EJ$5,$G39&lt;EJ$5+GanttPeriod),"◆",IF(AND($E39&gt;=EJ$5,$E39&lt;EJ$5+GanttPeriod),"◇","")),IF(AND(EJ$5&lt;=$F39,EJ$5+GanttPeriod-1&gt;=$E39),"━","")))</f>
        <v/>
      </c>
      <c r="EK39" s="69" t="str">
        <f aca="false">IF($E39="","",IF($M39,IF(AND($G39&gt;=EK$5,$G39&lt;EK$5+GanttPeriod),"◆",IF(AND($E39&gt;=EK$5,$E39&lt;EK$5+GanttPeriod),"◇","")),IF(AND(EK$5&lt;=$F39,EK$5+GanttPeriod-1&gt;=$E39),"━","")))</f>
        <v/>
      </c>
      <c r="EL39" s="69" t="str">
        <f aca="false">IF($E39="","",IF($M39,IF(AND($G39&gt;=EL$5,$G39&lt;EL$5+GanttPeriod),"◆",IF(AND($E39&gt;=EL$5,$E39&lt;EL$5+GanttPeriod),"◇","")),IF(AND(EL$5&lt;=$F39,EL$5+GanttPeriod-1&gt;=$E39),"━","")))</f>
        <v/>
      </c>
      <c r="EM39" s="69" t="str">
        <f aca="false">IF($E39="","",IF($M39,IF(AND($G39&gt;=EM$5,$G39&lt;EM$5+GanttPeriod),"◆",IF(AND($E39&gt;=EM$5,$E39&lt;EM$5+GanttPeriod),"◇","")),IF(AND(EM$5&lt;=$F39,EM$5+GanttPeriod-1&gt;=$E39),"━","")))</f>
        <v/>
      </c>
      <c r="EN39" s="69" t="str">
        <f aca="false">IF($E39="","",IF($M39,IF(AND($G39&gt;=EN$5,$G39&lt;EN$5+GanttPeriod),"◆",IF(AND($E39&gt;=EN$5,$E39&lt;EN$5+GanttPeriod),"◇","")),IF(AND(EN$5&lt;=$F39,EN$5+GanttPeriod-1&gt;=$E39),"━","")))</f>
        <v/>
      </c>
      <c r="EO39" s="69" t="str">
        <f aca="false">IF($E39="","",IF($M39,IF(AND($G39&gt;=EO$5,$G39&lt;EO$5+GanttPeriod),"◆",IF(AND($E39&gt;=EO$5,$E39&lt;EO$5+GanttPeriod),"◇","")),IF(AND(EO$5&lt;=$F39,EO$5+GanttPeriod-1&gt;=$E39),"━","")))</f>
        <v/>
      </c>
      <c r="EP39" s="69" t="str">
        <f aca="false">IF($E39="","",IF($M39,IF(AND($G39&gt;=EP$5,$G39&lt;EP$5+GanttPeriod),"◆",IF(AND($E39&gt;=EP$5,$E39&lt;EP$5+GanttPeriod),"◇","")),IF(AND(EP$5&lt;=$F39,EP$5+GanttPeriod-1&gt;=$E39),"━","")))</f>
        <v/>
      </c>
      <c r="EQ39" s="69" t="str">
        <f aca="false">IF($E39="","",IF($M39,IF(AND($G39&gt;=EQ$5,$G39&lt;EQ$5+GanttPeriod),"◆",IF(AND($E39&gt;=EQ$5,$E39&lt;EQ$5+GanttPeriod),"◇","")),IF(AND(EQ$5&lt;=$F39,EQ$5+GanttPeriod-1&gt;=$E39),"━","")))</f>
        <v/>
      </c>
      <c r="ER39" s="69" t="str">
        <f aca="false">IF($E39="","",IF($M39,IF(AND($G39&gt;=ER$5,$G39&lt;ER$5+GanttPeriod),"◆",IF(AND($E39&gt;=ER$5,$E39&lt;ER$5+GanttPeriod),"◇","")),IF(AND(ER$5&lt;=$F39,ER$5+GanttPeriod-1&gt;=$E39),"━","")))</f>
        <v/>
      </c>
      <c r="ES39" s="69" t="str">
        <f aca="false">IF($E39="","",IF($M39,IF(AND($G39&gt;=ES$5,$G39&lt;ES$5+GanttPeriod),"◆",IF(AND($E39&gt;=ES$5,$E39&lt;ES$5+GanttPeriod),"◇","")),IF(AND(ES$5&lt;=$F39,ES$5+GanttPeriod-1&gt;=$E39),"━","")))</f>
        <v/>
      </c>
      <c r="ET39" s="69" t="str">
        <f aca="false">IF($E39="","",IF($M39,IF(AND($G39&gt;=ET$5,$G39&lt;ET$5+GanttPeriod),"◆",IF(AND($E39&gt;=ET$5,$E39&lt;ET$5+GanttPeriod),"◇","")),IF(AND(ET$5&lt;=$F39,ET$5+GanttPeriod-1&gt;=$E39),"━","")))</f>
        <v/>
      </c>
      <c r="EU39" s="69" t="str">
        <f aca="false">IF($E39="","",IF($M39,IF(AND($G39&gt;=EU$5,$G39&lt;EU$5+GanttPeriod),"◆",IF(AND($E39&gt;=EU$5,$E39&lt;EU$5+GanttPeriod),"◇","")),IF(AND(EU$5&lt;=$F39,EU$5+GanttPeriod-1&gt;=$E39),"━","")))</f>
        <v/>
      </c>
      <c r="EV39" s="69" t="str">
        <f aca="false">IF($E39="","",IF($M39,IF(AND($G39&gt;=EV$5,$G39&lt;EV$5+GanttPeriod),"◆",IF(AND($E39&gt;=EV$5,$E39&lt;EV$5+GanttPeriod),"◇","")),IF(AND(EV$5&lt;=$F39,EV$5+GanttPeriod-1&gt;=$E39),"━","")))</f>
        <v/>
      </c>
      <c r="EW39" s="69" t="str">
        <f aca="false">IF($E39="","",IF($M39,IF(AND($G39&gt;=EW$5,$G39&lt;EW$5+GanttPeriod),"◆",IF(AND($E39&gt;=EW$5,$E39&lt;EW$5+GanttPeriod),"◇","")),IF(AND(EW$5&lt;=$F39,EW$5+GanttPeriod-1&gt;=$E39),"━","")))</f>
        <v/>
      </c>
      <c r="EX39" s="69" t="str">
        <f aca="false">IF($E39="","",IF($M39,IF(AND($G39&gt;=EX$5,$G39&lt;EX$5+GanttPeriod),"◆",IF(AND($E39&gt;=EX$5,$E39&lt;EX$5+GanttPeriod),"◇","")),IF(AND(EX$5&lt;=$F39,EX$5+GanttPeriod-1&gt;=$E39),"━","")))</f>
        <v/>
      </c>
      <c r="EY39" s="69" t="str">
        <f aca="false">IF($E39="","",IF($M39,IF(AND($G39&gt;=EY$5,$G39&lt;EY$5+GanttPeriod),"◆",IF(AND($E39&gt;=EY$5,$E39&lt;EY$5+GanttPeriod),"◇","")),IF(AND(EY$5&lt;=$F39,EY$5+GanttPeriod-1&gt;=$E39),"━","")))</f>
        <v/>
      </c>
      <c r="EZ39" s="69" t="str">
        <f aca="false">IF($E39="","",IF($M39,IF(AND($G39&gt;=EZ$5,$G39&lt;EZ$5+GanttPeriod),"◆",IF(AND($E39&gt;=EZ$5,$E39&lt;EZ$5+GanttPeriod),"◇","")),IF(AND(EZ$5&lt;=$F39,EZ$5+GanttPeriod-1&gt;=$E39),"━","")))</f>
        <v/>
      </c>
      <c r="FA39" s="69" t="str">
        <f aca="false">IF($E39="","",IF($M39,IF(AND($G39&gt;=FA$5,$G39&lt;FA$5+GanttPeriod),"◆",IF(AND($E39&gt;=FA$5,$E39&lt;FA$5+GanttPeriod),"◇","")),IF(AND(FA$5&lt;=$F39,FA$5+GanttPeriod-1&gt;=$E39),"━","")))</f>
        <v/>
      </c>
      <c r="FB39" s="69" t="str">
        <f aca="false">IF($E39="","",IF($M39,IF(AND($G39&gt;=FB$5,$G39&lt;FB$5+GanttPeriod),"◆",IF(AND($E39&gt;=FB$5,$E39&lt;FB$5+GanttPeriod),"◇","")),IF(AND(FB$5&lt;=$F39,FB$5+GanttPeriod-1&gt;=$E39),"━","")))</f>
        <v/>
      </c>
      <c r="FC39" s="69" t="str">
        <f aca="false">IF($E39="","",IF($M39,IF(AND($G39&gt;=FC$5,$G39&lt;FC$5+GanttPeriod),"◆",IF(AND($E39&gt;=FC$5,$E39&lt;FC$5+GanttPeriod),"◇","")),IF(AND(FC$5&lt;=$F39,FC$5+GanttPeriod-1&gt;=$E39),"━","")))</f>
        <v/>
      </c>
      <c r="FD39" s="69" t="str">
        <f aca="false">IF($E39="","",IF($M39,IF(AND($G39&gt;=FD$5,$G39&lt;FD$5+GanttPeriod),"◆",IF(AND($E39&gt;=FD$5,$E39&lt;FD$5+GanttPeriod),"◇","")),IF(AND(FD$5&lt;=$F39,FD$5+GanttPeriod-1&gt;=$E39),"━","")))</f>
        <v/>
      </c>
      <c r="FE39" s="69" t="str">
        <f aca="false">IF($E39="","",IF($M39,IF(AND($G39&gt;=FE$5,$G39&lt;FE$5+GanttPeriod),"◆",IF(AND($E39&gt;=FE$5,$E39&lt;FE$5+GanttPeriod),"◇","")),IF(AND(FE$5&lt;=$F39,FE$5+GanttPeriod-1&gt;=$E39),"━","")))</f>
        <v/>
      </c>
      <c r="FF39" s="69" t="str">
        <f aca="false">IF($E39="","",IF($M39,IF(AND($G39&gt;=FF$5,$G39&lt;FF$5+GanttPeriod),"◆",IF(AND($E39&gt;=FF$5,$E39&lt;FF$5+GanttPeriod),"◇","")),IF(AND(FF$5&lt;=$F39,FF$5+GanttPeriod-1&gt;=$E39),"━","")))</f>
        <v/>
      </c>
      <c r="FG39" s="69" t="str">
        <f aca="false">IF($E39="","",IF($M39,IF(AND($G39&gt;=FG$5,$G39&lt;FG$5+GanttPeriod),"◆",IF(AND($E39&gt;=FG$5,$E39&lt;FG$5+GanttPeriod),"◇","")),IF(AND(FG$5&lt;=$F39,FG$5+GanttPeriod-1&gt;=$E39),"━","")))</f>
        <v/>
      </c>
      <c r="FH39" s="69" t="str">
        <f aca="false">IF($E39="","",IF($M39,IF(AND($G39&gt;=FH$5,$G39&lt;FH$5+GanttPeriod),"◆",IF(AND($E39&gt;=FH$5,$E39&lt;FH$5+GanttPeriod),"◇","")),IF(AND(FH$5&lt;=$F39,FH$5+GanttPeriod-1&gt;=$E39),"━","")))</f>
        <v/>
      </c>
      <c r="FI39" s="69" t="str">
        <f aca="false">IF($E39="","",IF($M39,IF(AND($G39&gt;=FI$5,$G39&lt;FI$5+GanttPeriod),"◆",IF(AND($E39&gt;=FI$5,$E39&lt;FI$5+GanttPeriod),"◇","")),IF(AND(FI$5&lt;=$F39,FI$5+GanttPeriod-1&gt;=$E39),"━","")))</f>
        <v/>
      </c>
      <c r="FJ39" s="69" t="str">
        <f aca="false">IF($E39="","",IF($M39,IF(AND($G39&gt;=FJ$5,$G39&lt;FJ$5+GanttPeriod),"◆",IF(AND($E39&gt;=FJ$5,$E39&lt;FJ$5+GanttPeriod),"◇","")),IF(AND(FJ$5&lt;=$F39,FJ$5+GanttPeriod-1&gt;=$E39),"━","")))</f>
        <v/>
      </c>
      <c r="FK39" s="69" t="str">
        <f aca="false">IF($E39="","",IF($M39,IF(AND($G39&gt;=FK$5,$G39&lt;FK$5+GanttPeriod),"◆",IF(AND($E39&gt;=FK$5,$E39&lt;FK$5+GanttPeriod),"◇","")),IF(AND(FK$5&lt;=$F39,FK$5+GanttPeriod-1&gt;=$E39),"━","")))</f>
        <v/>
      </c>
      <c r="FL39" s="69" t="str">
        <f aca="false">IF($E39="","",IF($M39,IF(AND($G39&gt;=FL$5,$G39&lt;FL$5+GanttPeriod),"◆",IF(AND($E39&gt;=FL$5,$E39&lt;FL$5+GanttPeriod),"◇","")),IF(AND(FL$5&lt;=$F39,FL$5+GanttPeriod-1&gt;=$E39),"━","")))</f>
        <v/>
      </c>
      <c r="FM39" s="69" t="str">
        <f aca="false">IF($E39="","",IF($M39,IF(AND($G39&gt;=FM$5,$G39&lt;FM$5+GanttPeriod),"◆",IF(AND($E39&gt;=FM$5,$E39&lt;FM$5+GanttPeriod),"◇","")),IF(AND(FM$5&lt;=$F39,FM$5+GanttPeriod-1&gt;=$E39),"━","")))</f>
        <v/>
      </c>
    </row>
    <row r="40" customFormat="false" ht="15" hidden="false" customHeight="false" outlineLevel="0" collapsed="false">
      <c r="A40" s="62" t="str">
        <f aca="false">IF(Tasks!$D40="","",Tasks!$A40)</f>
        <v/>
      </c>
      <c r="B40" s="62" t="str">
        <f aca="false">IF(Tasks!$D40="","",Tasks!$B40)</f>
        <v/>
      </c>
      <c r="C40" s="63" t="str">
        <f aca="false">IF(Tasks!$D40="","",REPT("    ",Tasks!$AE40-1)&amp;Tasks!$D40)</f>
        <v/>
      </c>
      <c r="D40" s="62" t="str">
        <f aca="false">IF(Tasks!$D40="","",IF(Tasks!$AI40,NETWORKDAYS.INTL(Tasks!$R40,Tasks!$S40,WorkWeek,Holidays),N(Tasks!$F40)))</f>
        <v/>
      </c>
      <c r="E40" s="64" t="str">
        <f aca="false">IF(Tasks!$D40="","",Tasks!$N40)</f>
        <v/>
      </c>
      <c r="F40" s="64" t="str">
        <f aca="false">IF(Tasks!$D40="","",Tasks!$O40)</f>
        <v/>
      </c>
      <c r="G40" s="64" t="str">
        <f aca="false">IF(Tasks!$D40="","",Tasks!$R40)</f>
        <v/>
      </c>
      <c r="H40" s="64" t="str">
        <f aca="false">IF(Tasks!$D40="","",Tasks!$S40)</f>
        <v/>
      </c>
      <c r="I40" s="65" t="str">
        <f aca="false">IF(Tasks!$D40="","",Tasks!$V40)</f>
        <v/>
      </c>
      <c r="J40" s="63" t="str">
        <f aca="false">IF(Tasks!$D40="","",Tasks!$X40&amp;"")</f>
        <v/>
      </c>
      <c r="K40" s="66" t="str">
        <f aca="false">IF(Tasks!$D40="","",Tasks!$W40)</f>
        <v/>
      </c>
      <c r="L40" s="67" t="b">
        <f aca="false">IF(Tasks!$D40="",FALSE(),Tasks!$AI40)</f>
        <v>0</v>
      </c>
      <c r="M40" s="67" t="b">
        <f aca="false">AND(Tasks!$AJ40=1,N(Tasks!$F40)=0)</f>
        <v>0</v>
      </c>
      <c r="N40" s="68" t="n">
        <f aca="false">IF(AND(Tasks!$AJ40=1,NOT($M40),N($I40)&gt;0),$G40,0)</f>
        <v>0</v>
      </c>
      <c r="O40" s="68" t="n">
        <f aca="false">IF($N40=0,0,IF($I40&gt;=1,$H40,MAX($N40,$G40+ROUND(($H40-$G40+1)*$I40,0)-1)))</f>
        <v>0</v>
      </c>
      <c r="P40" s="68" t="n">
        <f aca="false">IF(OR(Tasks!$AJ40&lt;&gt;1,$M40,N($I40)&gt;=1),0,IF($O40&gt;0,$O40+1,$G40))</f>
        <v>0</v>
      </c>
      <c r="Q40" s="68" t="n">
        <f aca="false">IF($P40=0,0,$H40)</f>
        <v>0</v>
      </c>
      <c r="R40" s="67" t="b">
        <f aca="false">AND(Tasks!$D40&lt;&gt;"",N(Tasks!$T40)&gt;0)</f>
        <v>0</v>
      </c>
      <c r="T40" s="69" t="str">
        <f aca="false">IF($E40="","",IF($M40,IF(AND($G40&gt;=T$5,$G40&lt;T$5+GanttPeriod),"◆",IF(AND($E40&gt;=T$5,$E40&lt;T$5+GanttPeriod),"◇","")),IF(AND(T$5&lt;=$F40,T$5+GanttPeriod-1&gt;=$E40),"━","")))</f>
        <v/>
      </c>
      <c r="U40" s="69" t="str">
        <f aca="false">IF($E40="","",IF($M40,IF(AND($G40&gt;=U$5,$G40&lt;U$5+GanttPeriod),"◆",IF(AND($E40&gt;=U$5,$E40&lt;U$5+GanttPeriod),"◇","")),IF(AND(U$5&lt;=$F40,U$5+GanttPeriod-1&gt;=$E40),"━","")))</f>
        <v/>
      </c>
      <c r="V40" s="69" t="str">
        <f aca="false">IF($E40="","",IF($M40,IF(AND($G40&gt;=V$5,$G40&lt;V$5+GanttPeriod),"◆",IF(AND($E40&gt;=V$5,$E40&lt;V$5+GanttPeriod),"◇","")),IF(AND(V$5&lt;=$F40,V$5+GanttPeriod-1&gt;=$E40),"━","")))</f>
        <v/>
      </c>
      <c r="W40" s="69" t="str">
        <f aca="false">IF($E40="","",IF($M40,IF(AND($G40&gt;=W$5,$G40&lt;W$5+GanttPeriod),"◆",IF(AND($E40&gt;=W$5,$E40&lt;W$5+GanttPeriod),"◇","")),IF(AND(W$5&lt;=$F40,W$5+GanttPeriod-1&gt;=$E40),"━","")))</f>
        <v/>
      </c>
      <c r="X40" s="69" t="str">
        <f aca="false">IF($E40="","",IF($M40,IF(AND($G40&gt;=X$5,$G40&lt;X$5+GanttPeriod),"◆",IF(AND($E40&gt;=X$5,$E40&lt;X$5+GanttPeriod),"◇","")),IF(AND(X$5&lt;=$F40,X$5+GanttPeriod-1&gt;=$E40),"━","")))</f>
        <v/>
      </c>
      <c r="Y40" s="69" t="str">
        <f aca="false">IF($E40="","",IF($M40,IF(AND($G40&gt;=Y$5,$G40&lt;Y$5+GanttPeriod),"◆",IF(AND($E40&gt;=Y$5,$E40&lt;Y$5+GanttPeriod),"◇","")),IF(AND(Y$5&lt;=$F40,Y$5+GanttPeriod-1&gt;=$E40),"━","")))</f>
        <v/>
      </c>
      <c r="Z40" s="69" t="str">
        <f aca="false">IF($E40="","",IF($M40,IF(AND($G40&gt;=Z$5,$G40&lt;Z$5+GanttPeriod),"◆",IF(AND($E40&gt;=Z$5,$E40&lt;Z$5+GanttPeriod),"◇","")),IF(AND(Z$5&lt;=$F40,Z$5+GanttPeriod-1&gt;=$E40),"━","")))</f>
        <v/>
      </c>
      <c r="AA40" s="69" t="str">
        <f aca="false">IF($E40="","",IF($M40,IF(AND($G40&gt;=AA$5,$G40&lt;AA$5+GanttPeriod),"◆",IF(AND($E40&gt;=AA$5,$E40&lt;AA$5+GanttPeriod),"◇","")),IF(AND(AA$5&lt;=$F40,AA$5+GanttPeriod-1&gt;=$E40),"━","")))</f>
        <v/>
      </c>
      <c r="AB40" s="69" t="str">
        <f aca="false">IF($E40="","",IF($M40,IF(AND($G40&gt;=AB$5,$G40&lt;AB$5+GanttPeriod),"◆",IF(AND($E40&gt;=AB$5,$E40&lt;AB$5+GanttPeriod),"◇","")),IF(AND(AB$5&lt;=$F40,AB$5+GanttPeriod-1&gt;=$E40),"━","")))</f>
        <v/>
      </c>
      <c r="AC40" s="69" t="str">
        <f aca="false">IF($E40="","",IF($M40,IF(AND($G40&gt;=AC$5,$G40&lt;AC$5+GanttPeriod),"◆",IF(AND($E40&gt;=AC$5,$E40&lt;AC$5+GanttPeriod),"◇","")),IF(AND(AC$5&lt;=$F40,AC$5+GanttPeriod-1&gt;=$E40),"━","")))</f>
        <v/>
      </c>
      <c r="AD40" s="69" t="str">
        <f aca="false">IF($E40="","",IF($M40,IF(AND($G40&gt;=AD$5,$G40&lt;AD$5+GanttPeriod),"◆",IF(AND($E40&gt;=AD$5,$E40&lt;AD$5+GanttPeriod),"◇","")),IF(AND(AD$5&lt;=$F40,AD$5+GanttPeriod-1&gt;=$E40),"━","")))</f>
        <v/>
      </c>
      <c r="AE40" s="69" t="str">
        <f aca="false">IF($E40="","",IF($M40,IF(AND($G40&gt;=AE$5,$G40&lt;AE$5+GanttPeriod),"◆",IF(AND($E40&gt;=AE$5,$E40&lt;AE$5+GanttPeriod),"◇","")),IF(AND(AE$5&lt;=$F40,AE$5+GanttPeriod-1&gt;=$E40),"━","")))</f>
        <v/>
      </c>
      <c r="AF40" s="69" t="str">
        <f aca="false">IF($E40="","",IF($M40,IF(AND($G40&gt;=AF$5,$G40&lt;AF$5+GanttPeriod),"◆",IF(AND($E40&gt;=AF$5,$E40&lt;AF$5+GanttPeriod),"◇","")),IF(AND(AF$5&lt;=$F40,AF$5+GanttPeriod-1&gt;=$E40),"━","")))</f>
        <v/>
      </c>
      <c r="AG40" s="69" t="str">
        <f aca="false">IF($E40="","",IF($M40,IF(AND($G40&gt;=AG$5,$G40&lt;AG$5+GanttPeriod),"◆",IF(AND($E40&gt;=AG$5,$E40&lt;AG$5+GanttPeriod),"◇","")),IF(AND(AG$5&lt;=$F40,AG$5+GanttPeriod-1&gt;=$E40),"━","")))</f>
        <v/>
      </c>
      <c r="AH40" s="69" t="str">
        <f aca="false">IF($E40="","",IF($M40,IF(AND($G40&gt;=AH$5,$G40&lt;AH$5+GanttPeriod),"◆",IF(AND($E40&gt;=AH$5,$E40&lt;AH$5+GanttPeriod),"◇","")),IF(AND(AH$5&lt;=$F40,AH$5+GanttPeriod-1&gt;=$E40),"━","")))</f>
        <v/>
      </c>
      <c r="AI40" s="69" t="str">
        <f aca="false">IF($E40="","",IF($M40,IF(AND($G40&gt;=AI$5,$G40&lt;AI$5+GanttPeriod),"◆",IF(AND($E40&gt;=AI$5,$E40&lt;AI$5+GanttPeriod),"◇","")),IF(AND(AI$5&lt;=$F40,AI$5+GanttPeriod-1&gt;=$E40),"━","")))</f>
        <v/>
      </c>
      <c r="AJ40" s="69" t="str">
        <f aca="false">IF($E40="","",IF($M40,IF(AND($G40&gt;=AJ$5,$G40&lt;AJ$5+GanttPeriod),"◆",IF(AND($E40&gt;=AJ$5,$E40&lt;AJ$5+GanttPeriod),"◇","")),IF(AND(AJ$5&lt;=$F40,AJ$5+GanttPeriod-1&gt;=$E40),"━","")))</f>
        <v/>
      </c>
      <c r="AK40" s="69" t="str">
        <f aca="false">IF($E40="","",IF($M40,IF(AND($G40&gt;=AK$5,$G40&lt;AK$5+GanttPeriod),"◆",IF(AND($E40&gt;=AK$5,$E40&lt;AK$5+GanttPeriod),"◇","")),IF(AND(AK$5&lt;=$F40,AK$5+GanttPeriod-1&gt;=$E40),"━","")))</f>
        <v/>
      </c>
      <c r="AL40" s="69" t="str">
        <f aca="false">IF($E40="","",IF($M40,IF(AND($G40&gt;=AL$5,$G40&lt;AL$5+GanttPeriod),"◆",IF(AND($E40&gt;=AL$5,$E40&lt;AL$5+GanttPeriod),"◇","")),IF(AND(AL$5&lt;=$F40,AL$5+GanttPeriod-1&gt;=$E40),"━","")))</f>
        <v/>
      </c>
      <c r="AM40" s="69" t="str">
        <f aca="false">IF($E40="","",IF($M40,IF(AND($G40&gt;=AM$5,$G40&lt;AM$5+GanttPeriod),"◆",IF(AND($E40&gt;=AM$5,$E40&lt;AM$5+GanttPeriod),"◇","")),IF(AND(AM$5&lt;=$F40,AM$5+GanttPeriod-1&gt;=$E40),"━","")))</f>
        <v/>
      </c>
      <c r="AN40" s="69" t="str">
        <f aca="false">IF($E40="","",IF($M40,IF(AND($G40&gt;=AN$5,$G40&lt;AN$5+GanttPeriod),"◆",IF(AND($E40&gt;=AN$5,$E40&lt;AN$5+GanttPeriod),"◇","")),IF(AND(AN$5&lt;=$F40,AN$5+GanttPeriod-1&gt;=$E40),"━","")))</f>
        <v/>
      </c>
      <c r="AO40" s="69" t="str">
        <f aca="false">IF($E40="","",IF($M40,IF(AND($G40&gt;=AO$5,$G40&lt;AO$5+GanttPeriod),"◆",IF(AND($E40&gt;=AO$5,$E40&lt;AO$5+GanttPeriod),"◇","")),IF(AND(AO$5&lt;=$F40,AO$5+GanttPeriod-1&gt;=$E40),"━","")))</f>
        <v/>
      </c>
      <c r="AP40" s="69" t="str">
        <f aca="false">IF($E40="","",IF($M40,IF(AND($G40&gt;=AP$5,$G40&lt;AP$5+GanttPeriod),"◆",IF(AND($E40&gt;=AP$5,$E40&lt;AP$5+GanttPeriod),"◇","")),IF(AND(AP$5&lt;=$F40,AP$5+GanttPeriod-1&gt;=$E40),"━","")))</f>
        <v/>
      </c>
      <c r="AQ40" s="69" t="str">
        <f aca="false">IF($E40="","",IF($M40,IF(AND($G40&gt;=AQ$5,$G40&lt;AQ$5+GanttPeriod),"◆",IF(AND($E40&gt;=AQ$5,$E40&lt;AQ$5+GanttPeriod),"◇","")),IF(AND(AQ$5&lt;=$F40,AQ$5+GanttPeriod-1&gt;=$E40),"━","")))</f>
        <v/>
      </c>
      <c r="AR40" s="69" t="str">
        <f aca="false">IF($E40="","",IF($M40,IF(AND($G40&gt;=AR$5,$G40&lt;AR$5+GanttPeriod),"◆",IF(AND($E40&gt;=AR$5,$E40&lt;AR$5+GanttPeriod),"◇","")),IF(AND(AR$5&lt;=$F40,AR$5+GanttPeriod-1&gt;=$E40),"━","")))</f>
        <v/>
      </c>
      <c r="AS40" s="69" t="str">
        <f aca="false">IF($E40="","",IF($M40,IF(AND($G40&gt;=AS$5,$G40&lt;AS$5+GanttPeriod),"◆",IF(AND($E40&gt;=AS$5,$E40&lt;AS$5+GanttPeriod),"◇","")),IF(AND(AS$5&lt;=$F40,AS$5+GanttPeriod-1&gt;=$E40),"━","")))</f>
        <v/>
      </c>
      <c r="AT40" s="69" t="str">
        <f aca="false">IF($E40="","",IF($M40,IF(AND($G40&gt;=AT$5,$G40&lt;AT$5+GanttPeriod),"◆",IF(AND($E40&gt;=AT$5,$E40&lt;AT$5+GanttPeriod),"◇","")),IF(AND(AT$5&lt;=$F40,AT$5+GanttPeriod-1&gt;=$E40),"━","")))</f>
        <v/>
      </c>
      <c r="AU40" s="69" t="str">
        <f aca="false">IF($E40="","",IF($M40,IF(AND($G40&gt;=AU$5,$G40&lt;AU$5+GanttPeriod),"◆",IF(AND($E40&gt;=AU$5,$E40&lt;AU$5+GanttPeriod),"◇","")),IF(AND(AU$5&lt;=$F40,AU$5+GanttPeriod-1&gt;=$E40),"━","")))</f>
        <v/>
      </c>
      <c r="AV40" s="69" t="str">
        <f aca="false">IF($E40="","",IF($M40,IF(AND($G40&gt;=AV$5,$G40&lt;AV$5+GanttPeriod),"◆",IF(AND($E40&gt;=AV$5,$E40&lt;AV$5+GanttPeriod),"◇","")),IF(AND(AV$5&lt;=$F40,AV$5+GanttPeriod-1&gt;=$E40),"━","")))</f>
        <v/>
      </c>
      <c r="AW40" s="69" t="str">
        <f aca="false">IF($E40="","",IF($M40,IF(AND($G40&gt;=AW$5,$G40&lt;AW$5+GanttPeriod),"◆",IF(AND($E40&gt;=AW$5,$E40&lt;AW$5+GanttPeriod),"◇","")),IF(AND(AW$5&lt;=$F40,AW$5+GanttPeriod-1&gt;=$E40),"━","")))</f>
        <v/>
      </c>
      <c r="AX40" s="69" t="str">
        <f aca="false">IF($E40="","",IF($M40,IF(AND($G40&gt;=AX$5,$G40&lt;AX$5+GanttPeriod),"◆",IF(AND($E40&gt;=AX$5,$E40&lt;AX$5+GanttPeriod),"◇","")),IF(AND(AX$5&lt;=$F40,AX$5+GanttPeriod-1&gt;=$E40),"━","")))</f>
        <v/>
      </c>
      <c r="AY40" s="69" t="str">
        <f aca="false">IF($E40="","",IF($M40,IF(AND($G40&gt;=AY$5,$G40&lt;AY$5+GanttPeriod),"◆",IF(AND($E40&gt;=AY$5,$E40&lt;AY$5+GanttPeriod),"◇","")),IF(AND(AY$5&lt;=$F40,AY$5+GanttPeriod-1&gt;=$E40),"━","")))</f>
        <v/>
      </c>
      <c r="AZ40" s="69" t="str">
        <f aca="false">IF($E40="","",IF($M40,IF(AND($G40&gt;=AZ$5,$G40&lt;AZ$5+GanttPeriod),"◆",IF(AND($E40&gt;=AZ$5,$E40&lt;AZ$5+GanttPeriod),"◇","")),IF(AND(AZ$5&lt;=$F40,AZ$5+GanttPeriod-1&gt;=$E40),"━","")))</f>
        <v/>
      </c>
      <c r="BA40" s="69" t="str">
        <f aca="false">IF($E40="","",IF($M40,IF(AND($G40&gt;=BA$5,$G40&lt;BA$5+GanttPeriod),"◆",IF(AND($E40&gt;=BA$5,$E40&lt;BA$5+GanttPeriod),"◇","")),IF(AND(BA$5&lt;=$F40,BA$5+GanttPeriod-1&gt;=$E40),"━","")))</f>
        <v/>
      </c>
      <c r="BB40" s="69" t="str">
        <f aca="false">IF($E40="","",IF($M40,IF(AND($G40&gt;=BB$5,$G40&lt;BB$5+GanttPeriod),"◆",IF(AND($E40&gt;=BB$5,$E40&lt;BB$5+GanttPeriod),"◇","")),IF(AND(BB$5&lt;=$F40,BB$5+GanttPeriod-1&gt;=$E40),"━","")))</f>
        <v/>
      </c>
      <c r="BC40" s="69" t="str">
        <f aca="false">IF($E40="","",IF($M40,IF(AND($G40&gt;=BC$5,$G40&lt;BC$5+GanttPeriod),"◆",IF(AND($E40&gt;=BC$5,$E40&lt;BC$5+GanttPeriod),"◇","")),IF(AND(BC$5&lt;=$F40,BC$5+GanttPeriod-1&gt;=$E40),"━","")))</f>
        <v/>
      </c>
      <c r="BD40" s="69" t="str">
        <f aca="false">IF($E40="","",IF($M40,IF(AND($G40&gt;=BD$5,$G40&lt;BD$5+GanttPeriod),"◆",IF(AND($E40&gt;=BD$5,$E40&lt;BD$5+GanttPeriod),"◇","")),IF(AND(BD$5&lt;=$F40,BD$5+GanttPeriod-1&gt;=$E40),"━","")))</f>
        <v/>
      </c>
      <c r="BE40" s="69" t="str">
        <f aca="false">IF($E40="","",IF($M40,IF(AND($G40&gt;=BE$5,$G40&lt;BE$5+GanttPeriod),"◆",IF(AND($E40&gt;=BE$5,$E40&lt;BE$5+GanttPeriod),"◇","")),IF(AND(BE$5&lt;=$F40,BE$5+GanttPeriod-1&gt;=$E40),"━","")))</f>
        <v/>
      </c>
      <c r="BF40" s="69" t="str">
        <f aca="false">IF($E40="","",IF($M40,IF(AND($G40&gt;=BF$5,$G40&lt;BF$5+GanttPeriod),"◆",IF(AND($E40&gt;=BF$5,$E40&lt;BF$5+GanttPeriod),"◇","")),IF(AND(BF$5&lt;=$F40,BF$5+GanttPeriod-1&gt;=$E40),"━","")))</f>
        <v/>
      </c>
      <c r="BG40" s="69" t="str">
        <f aca="false">IF($E40="","",IF($M40,IF(AND($G40&gt;=BG$5,$G40&lt;BG$5+GanttPeriod),"◆",IF(AND($E40&gt;=BG$5,$E40&lt;BG$5+GanttPeriod),"◇","")),IF(AND(BG$5&lt;=$F40,BG$5+GanttPeriod-1&gt;=$E40),"━","")))</f>
        <v/>
      </c>
      <c r="BH40" s="69" t="str">
        <f aca="false">IF($E40="","",IF($M40,IF(AND($G40&gt;=BH$5,$G40&lt;BH$5+GanttPeriod),"◆",IF(AND($E40&gt;=BH$5,$E40&lt;BH$5+GanttPeriod),"◇","")),IF(AND(BH$5&lt;=$F40,BH$5+GanttPeriod-1&gt;=$E40),"━","")))</f>
        <v/>
      </c>
      <c r="BI40" s="69" t="str">
        <f aca="false">IF($E40="","",IF($M40,IF(AND($G40&gt;=BI$5,$G40&lt;BI$5+GanttPeriod),"◆",IF(AND($E40&gt;=BI$5,$E40&lt;BI$5+GanttPeriod),"◇","")),IF(AND(BI$5&lt;=$F40,BI$5+GanttPeriod-1&gt;=$E40),"━","")))</f>
        <v/>
      </c>
      <c r="BJ40" s="69" t="str">
        <f aca="false">IF($E40="","",IF($M40,IF(AND($G40&gt;=BJ$5,$G40&lt;BJ$5+GanttPeriod),"◆",IF(AND($E40&gt;=BJ$5,$E40&lt;BJ$5+GanttPeriod),"◇","")),IF(AND(BJ$5&lt;=$F40,BJ$5+GanttPeriod-1&gt;=$E40),"━","")))</f>
        <v/>
      </c>
      <c r="BK40" s="69" t="str">
        <f aca="false">IF($E40="","",IF($M40,IF(AND($G40&gt;=BK$5,$G40&lt;BK$5+GanttPeriod),"◆",IF(AND($E40&gt;=BK$5,$E40&lt;BK$5+GanttPeriod),"◇","")),IF(AND(BK$5&lt;=$F40,BK$5+GanttPeriod-1&gt;=$E40),"━","")))</f>
        <v/>
      </c>
      <c r="BL40" s="69" t="str">
        <f aca="false">IF($E40="","",IF($M40,IF(AND($G40&gt;=BL$5,$G40&lt;BL$5+GanttPeriod),"◆",IF(AND($E40&gt;=BL$5,$E40&lt;BL$5+GanttPeriod),"◇","")),IF(AND(BL$5&lt;=$F40,BL$5+GanttPeriod-1&gt;=$E40),"━","")))</f>
        <v/>
      </c>
      <c r="BM40" s="69" t="str">
        <f aca="false">IF($E40="","",IF($M40,IF(AND($G40&gt;=BM$5,$G40&lt;BM$5+GanttPeriod),"◆",IF(AND($E40&gt;=BM$5,$E40&lt;BM$5+GanttPeriod),"◇","")),IF(AND(BM$5&lt;=$F40,BM$5+GanttPeriod-1&gt;=$E40),"━","")))</f>
        <v/>
      </c>
      <c r="BN40" s="69" t="str">
        <f aca="false">IF($E40="","",IF($M40,IF(AND($G40&gt;=BN$5,$G40&lt;BN$5+GanttPeriod),"◆",IF(AND($E40&gt;=BN$5,$E40&lt;BN$5+GanttPeriod),"◇","")),IF(AND(BN$5&lt;=$F40,BN$5+GanttPeriod-1&gt;=$E40),"━","")))</f>
        <v/>
      </c>
      <c r="BO40" s="69" t="str">
        <f aca="false">IF($E40="","",IF($M40,IF(AND($G40&gt;=BO$5,$G40&lt;BO$5+GanttPeriod),"◆",IF(AND($E40&gt;=BO$5,$E40&lt;BO$5+GanttPeriod),"◇","")),IF(AND(BO$5&lt;=$F40,BO$5+GanttPeriod-1&gt;=$E40),"━","")))</f>
        <v/>
      </c>
      <c r="BP40" s="69" t="str">
        <f aca="false">IF($E40="","",IF($M40,IF(AND($G40&gt;=BP$5,$G40&lt;BP$5+GanttPeriod),"◆",IF(AND($E40&gt;=BP$5,$E40&lt;BP$5+GanttPeriod),"◇","")),IF(AND(BP$5&lt;=$F40,BP$5+GanttPeriod-1&gt;=$E40),"━","")))</f>
        <v/>
      </c>
      <c r="BQ40" s="69" t="str">
        <f aca="false">IF($E40="","",IF($M40,IF(AND($G40&gt;=BQ$5,$G40&lt;BQ$5+GanttPeriod),"◆",IF(AND($E40&gt;=BQ$5,$E40&lt;BQ$5+GanttPeriod),"◇","")),IF(AND(BQ$5&lt;=$F40,BQ$5+GanttPeriod-1&gt;=$E40),"━","")))</f>
        <v/>
      </c>
      <c r="BR40" s="69" t="str">
        <f aca="false">IF($E40="","",IF($M40,IF(AND($G40&gt;=BR$5,$G40&lt;BR$5+GanttPeriod),"◆",IF(AND($E40&gt;=BR$5,$E40&lt;BR$5+GanttPeriod),"◇","")),IF(AND(BR$5&lt;=$F40,BR$5+GanttPeriod-1&gt;=$E40),"━","")))</f>
        <v/>
      </c>
      <c r="BS40" s="69" t="str">
        <f aca="false">IF($E40="","",IF($M40,IF(AND($G40&gt;=BS$5,$G40&lt;BS$5+GanttPeriod),"◆",IF(AND($E40&gt;=BS$5,$E40&lt;BS$5+GanttPeriod),"◇","")),IF(AND(BS$5&lt;=$F40,BS$5+GanttPeriod-1&gt;=$E40),"━","")))</f>
        <v/>
      </c>
      <c r="BT40" s="69" t="str">
        <f aca="false">IF($E40="","",IF($M40,IF(AND($G40&gt;=BT$5,$G40&lt;BT$5+GanttPeriod),"◆",IF(AND($E40&gt;=BT$5,$E40&lt;BT$5+GanttPeriod),"◇","")),IF(AND(BT$5&lt;=$F40,BT$5+GanttPeriod-1&gt;=$E40),"━","")))</f>
        <v/>
      </c>
      <c r="BU40" s="69" t="str">
        <f aca="false">IF($E40="","",IF($M40,IF(AND($G40&gt;=BU$5,$G40&lt;BU$5+GanttPeriod),"◆",IF(AND($E40&gt;=BU$5,$E40&lt;BU$5+GanttPeriod),"◇","")),IF(AND(BU$5&lt;=$F40,BU$5+GanttPeriod-1&gt;=$E40),"━","")))</f>
        <v/>
      </c>
      <c r="BV40" s="69" t="str">
        <f aca="false">IF($E40="","",IF($M40,IF(AND($G40&gt;=BV$5,$G40&lt;BV$5+GanttPeriod),"◆",IF(AND($E40&gt;=BV$5,$E40&lt;BV$5+GanttPeriod),"◇","")),IF(AND(BV$5&lt;=$F40,BV$5+GanttPeriod-1&gt;=$E40),"━","")))</f>
        <v/>
      </c>
      <c r="BW40" s="69" t="str">
        <f aca="false">IF($E40="","",IF($M40,IF(AND($G40&gt;=BW$5,$G40&lt;BW$5+GanttPeriod),"◆",IF(AND($E40&gt;=BW$5,$E40&lt;BW$5+GanttPeriod),"◇","")),IF(AND(BW$5&lt;=$F40,BW$5+GanttPeriod-1&gt;=$E40),"━","")))</f>
        <v/>
      </c>
      <c r="BX40" s="69" t="str">
        <f aca="false">IF($E40="","",IF($M40,IF(AND($G40&gt;=BX$5,$G40&lt;BX$5+GanttPeriod),"◆",IF(AND($E40&gt;=BX$5,$E40&lt;BX$5+GanttPeriod),"◇","")),IF(AND(BX$5&lt;=$F40,BX$5+GanttPeriod-1&gt;=$E40),"━","")))</f>
        <v/>
      </c>
      <c r="BY40" s="69" t="str">
        <f aca="false">IF($E40="","",IF($M40,IF(AND($G40&gt;=BY$5,$G40&lt;BY$5+GanttPeriod),"◆",IF(AND($E40&gt;=BY$5,$E40&lt;BY$5+GanttPeriod),"◇","")),IF(AND(BY$5&lt;=$F40,BY$5+GanttPeriod-1&gt;=$E40),"━","")))</f>
        <v/>
      </c>
      <c r="BZ40" s="69" t="str">
        <f aca="false">IF($E40="","",IF($M40,IF(AND($G40&gt;=BZ$5,$G40&lt;BZ$5+GanttPeriod),"◆",IF(AND($E40&gt;=BZ$5,$E40&lt;BZ$5+GanttPeriod),"◇","")),IF(AND(BZ$5&lt;=$F40,BZ$5+GanttPeriod-1&gt;=$E40),"━","")))</f>
        <v/>
      </c>
      <c r="CA40" s="69" t="str">
        <f aca="false">IF($E40="","",IF($M40,IF(AND($G40&gt;=CA$5,$G40&lt;CA$5+GanttPeriod),"◆",IF(AND($E40&gt;=CA$5,$E40&lt;CA$5+GanttPeriod),"◇","")),IF(AND(CA$5&lt;=$F40,CA$5+GanttPeriod-1&gt;=$E40),"━","")))</f>
        <v/>
      </c>
      <c r="CB40" s="69" t="str">
        <f aca="false">IF($E40="","",IF($M40,IF(AND($G40&gt;=CB$5,$G40&lt;CB$5+GanttPeriod),"◆",IF(AND($E40&gt;=CB$5,$E40&lt;CB$5+GanttPeriod),"◇","")),IF(AND(CB$5&lt;=$F40,CB$5+GanttPeriod-1&gt;=$E40),"━","")))</f>
        <v/>
      </c>
      <c r="CC40" s="69" t="str">
        <f aca="false">IF($E40="","",IF($M40,IF(AND($G40&gt;=CC$5,$G40&lt;CC$5+GanttPeriod),"◆",IF(AND($E40&gt;=CC$5,$E40&lt;CC$5+GanttPeriod),"◇","")),IF(AND(CC$5&lt;=$F40,CC$5+GanttPeriod-1&gt;=$E40),"━","")))</f>
        <v/>
      </c>
      <c r="CD40" s="69" t="str">
        <f aca="false">IF($E40="","",IF($M40,IF(AND($G40&gt;=CD$5,$G40&lt;CD$5+GanttPeriod),"◆",IF(AND($E40&gt;=CD$5,$E40&lt;CD$5+GanttPeriod),"◇","")),IF(AND(CD$5&lt;=$F40,CD$5+GanttPeriod-1&gt;=$E40),"━","")))</f>
        <v/>
      </c>
      <c r="CE40" s="69" t="str">
        <f aca="false">IF($E40="","",IF($M40,IF(AND($G40&gt;=CE$5,$G40&lt;CE$5+GanttPeriod),"◆",IF(AND($E40&gt;=CE$5,$E40&lt;CE$5+GanttPeriod),"◇","")),IF(AND(CE$5&lt;=$F40,CE$5+GanttPeriod-1&gt;=$E40),"━","")))</f>
        <v/>
      </c>
      <c r="CF40" s="69" t="str">
        <f aca="false">IF($E40="","",IF($M40,IF(AND($G40&gt;=CF$5,$G40&lt;CF$5+GanttPeriod),"◆",IF(AND($E40&gt;=CF$5,$E40&lt;CF$5+GanttPeriod),"◇","")),IF(AND(CF$5&lt;=$F40,CF$5+GanttPeriod-1&gt;=$E40),"━","")))</f>
        <v/>
      </c>
      <c r="CG40" s="69" t="str">
        <f aca="false">IF($E40="","",IF($M40,IF(AND($G40&gt;=CG$5,$G40&lt;CG$5+GanttPeriod),"◆",IF(AND($E40&gt;=CG$5,$E40&lt;CG$5+GanttPeriod),"◇","")),IF(AND(CG$5&lt;=$F40,CG$5+GanttPeriod-1&gt;=$E40),"━","")))</f>
        <v/>
      </c>
      <c r="CH40" s="69" t="str">
        <f aca="false">IF($E40="","",IF($M40,IF(AND($G40&gt;=CH$5,$G40&lt;CH$5+GanttPeriod),"◆",IF(AND($E40&gt;=CH$5,$E40&lt;CH$5+GanttPeriod),"◇","")),IF(AND(CH$5&lt;=$F40,CH$5+GanttPeriod-1&gt;=$E40),"━","")))</f>
        <v/>
      </c>
      <c r="CI40" s="69" t="str">
        <f aca="false">IF($E40="","",IF($M40,IF(AND($G40&gt;=CI$5,$G40&lt;CI$5+GanttPeriod),"◆",IF(AND($E40&gt;=CI$5,$E40&lt;CI$5+GanttPeriod),"◇","")),IF(AND(CI$5&lt;=$F40,CI$5+GanttPeriod-1&gt;=$E40),"━","")))</f>
        <v/>
      </c>
      <c r="CJ40" s="69" t="str">
        <f aca="false">IF($E40="","",IF($M40,IF(AND($G40&gt;=CJ$5,$G40&lt;CJ$5+GanttPeriod),"◆",IF(AND($E40&gt;=CJ$5,$E40&lt;CJ$5+GanttPeriod),"◇","")),IF(AND(CJ$5&lt;=$F40,CJ$5+GanttPeriod-1&gt;=$E40),"━","")))</f>
        <v/>
      </c>
      <c r="CK40" s="69" t="str">
        <f aca="false">IF($E40="","",IF($M40,IF(AND($G40&gt;=CK$5,$G40&lt;CK$5+GanttPeriod),"◆",IF(AND($E40&gt;=CK$5,$E40&lt;CK$5+GanttPeriod),"◇","")),IF(AND(CK$5&lt;=$F40,CK$5+GanttPeriod-1&gt;=$E40),"━","")))</f>
        <v/>
      </c>
      <c r="CL40" s="69" t="str">
        <f aca="false">IF($E40="","",IF($M40,IF(AND($G40&gt;=CL$5,$G40&lt;CL$5+GanttPeriod),"◆",IF(AND($E40&gt;=CL$5,$E40&lt;CL$5+GanttPeriod),"◇","")),IF(AND(CL$5&lt;=$F40,CL$5+GanttPeriod-1&gt;=$E40),"━","")))</f>
        <v/>
      </c>
      <c r="CM40" s="69" t="str">
        <f aca="false">IF($E40="","",IF($M40,IF(AND($G40&gt;=CM$5,$G40&lt;CM$5+GanttPeriod),"◆",IF(AND($E40&gt;=CM$5,$E40&lt;CM$5+GanttPeriod),"◇","")),IF(AND(CM$5&lt;=$F40,CM$5+GanttPeriod-1&gt;=$E40),"━","")))</f>
        <v/>
      </c>
      <c r="CN40" s="69" t="str">
        <f aca="false">IF($E40="","",IF($M40,IF(AND($G40&gt;=CN$5,$G40&lt;CN$5+GanttPeriod),"◆",IF(AND($E40&gt;=CN$5,$E40&lt;CN$5+GanttPeriod),"◇","")),IF(AND(CN$5&lt;=$F40,CN$5+GanttPeriod-1&gt;=$E40),"━","")))</f>
        <v/>
      </c>
      <c r="CO40" s="69" t="str">
        <f aca="false">IF($E40="","",IF($M40,IF(AND($G40&gt;=CO$5,$G40&lt;CO$5+GanttPeriod),"◆",IF(AND($E40&gt;=CO$5,$E40&lt;CO$5+GanttPeriod),"◇","")),IF(AND(CO$5&lt;=$F40,CO$5+GanttPeriod-1&gt;=$E40),"━","")))</f>
        <v/>
      </c>
      <c r="CP40" s="69" t="str">
        <f aca="false">IF($E40="","",IF($M40,IF(AND($G40&gt;=CP$5,$G40&lt;CP$5+GanttPeriod),"◆",IF(AND($E40&gt;=CP$5,$E40&lt;CP$5+GanttPeriod),"◇","")),IF(AND(CP$5&lt;=$F40,CP$5+GanttPeriod-1&gt;=$E40),"━","")))</f>
        <v/>
      </c>
      <c r="CQ40" s="69" t="str">
        <f aca="false">IF($E40="","",IF($M40,IF(AND($G40&gt;=CQ$5,$G40&lt;CQ$5+GanttPeriod),"◆",IF(AND($E40&gt;=CQ$5,$E40&lt;CQ$5+GanttPeriod),"◇","")),IF(AND(CQ$5&lt;=$F40,CQ$5+GanttPeriod-1&gt;=$E40),"━","")))</f>
        <v/>
      </c>
      <c r="CR40" s="69" t="str">
        <f aca="false">IF($E40="","",IF($M40,IF(AND($G40&gt;=CR$5,$G40&lt;CR$5+GanttPeriod),"◆",IF(AND($E40&gt;=CR$5,$E40&lt;CR$5+GanttPeriod),"◇","")),IF(AND(CR$5&lt;=$F40,CR$5+GanttPeriod-1&gt;=$E40),"━","")))</f>
        <v/>
      </c>
      <c r="CS40" s="69" t="str">
        <f aca="false">IF($E40="","",IF($M40,IF(AND($G40&gt;=CS$5,$G40&lt;CS$5+GanttPeriod),"◆",IF(AND($E40&gt;=CS$5,$E40&lt;CS$5+GanttPeriod),"◇","")),IF(AND(CS$5&lt;=$F40,CS$5+GanttPeriod-1&gt;=$E40),"━","")))</f>
        <v/>
      </c>
      <c r="CT40" s="69" t="str">
        <f aca="false">IF($E40="","",IF($M40,IF(AND($G40&gt;=CT$5,$G40&lt;CT$5+GanttPeriod),"◆",IF(AND($E40&gt;=CT$5,$E40&lt;CT$5+GanttPeriod),"◇","")),IF(AND(CT$5&lt;=$F40,CT$5+GanttPeriod-1&gt;=$E40),"━","")))</f>
        <v/>
      </c>
      <c r="CU40" s="69" t="str">
        <f aca="false">IF($E40="","",IF($M40,IF(AND($G40&gt;=CU$5,$G40&lt;CU$5+GanttPeriod),"◆",IF(AND($E40&gt;=CU$5,$E40&lt;CU$5+GanttPeriod),"◇","")),IF(AND(CU$5&lt;=$F40,CU$5+GanttPeriod-1&gt;=$E40),"━","")))</f>
        <v/>
      </c>
      <c r="CV40" s="69" t="str">
        <f aca="false">IF($E40="","",IF($M40,IF(AND($G40&gt;=CV$5,$G40&lt;CV$5+GanttPeriod),"◆",IF(AND($E40&gt;=CV$5,$E40&lt;CV$5+GanttPeriod),"◇","")),IF(AND(CV$5&lt;=$F40,CV$5+GanttPeriod-1&gt;=$E40),"━","")))</f>
        <v/>
      </c>
      <c r="CW40" s="69" t="str">
        <f aca="false">IF($E40="","",IF($M40,IF(AND($G40&gt;=CW$5,$G40&lt;CW$5+GanttPeriod),"◆",IF(AND($E40&gt;=CW$5,$E40&lt;CW$5+GanttPeriod),"◇","")),IF(AND(CW$5&lt;=$F40,CW$5+GanttPeriod-1&gt;=$E40),"━","")))</f>
        <v/>
      </c>
      <c r="CX40" s="69" t="str">
        <f aca="false">IF($E40="","",IF($M40,IF(AND($G40&gt;=CX$5,$G40&lt;CX$5+GanttPeriod),"◆",IF(AND($E40&gt;=CX$5,$E40&lt;CX$5+GanttPeriod),"◇","")),IF(AND(CX$5&lt;=$F40,CX$5+GanttPeriod-1&gt;=$E40),"━","")))</f>
        <v/>
      </c>
      <c r="CY40" s="69" t="str">
        <f aca="false">IF($E40="","",IF($M40,IF(AND($G40&gt;=CY$5,$G40&lt;CY$5+GanttPeriod),"◆",IF(AND($E40&gt;=CY$5,$E40&lt;CY$5+GanttPeriod),"◇","")),IF(AND(CY$5&lt;=$F40,CY$5+GanttPeriod-1&gt;=$E40),"━","")))</f>
        <v/>
      </c>
      <c r="CZ40" s="69" t="str">
        <f aca="false">IF($E40="","",IF($M40,IF(AND($G40&gt;=CZ$5,$G40&lt;CZ$5+GanttPeriod),"◆",IF(AND($E40&gt;=CZ$5,$E40&lt;CZ$5+GanttPeriod),"◇","")),IF(AND(CZ$5&lt;=$F40,CZ$5+GanttPeriod-1&gt;=$E40),"━","")))</f>
        <v/>
      </c>
      <c r="DA40" s="69" t="str">
        <f aca="false">IF($E40="","",IF($M40,IF(AND($G40&gt;=DA$5,$G40&lt;DA$5+GanttPeriod),"◆",IF(AND($E40&gt;=DA$5,$E40&lt;DA$5+GanttPeriod),"◇","")),IF(AND(DA$5&lt;=$F40,DA$5+GanttPeriod-1&gt;=$E40),"━","")))</f>
        <v/>
      </c>
      <c r="DB40" s="69" t="str">
        <f aca="false">IF($E40="","",IF($M40,IF(AND($G40&gt;=DB$5,$G40&lt;DB$5+GanttPeriod),"◆",IF(AND($E40&gt;=DB$5,$E40&lt;DB$5+GanttPeriod),"◇","")),IF(AND(DB$5&lt;=$F40,DB$5+GanttPeriod-1&gt;=$E40),"━","")))</f>
        <v/>
      </c>
      <c r="DC40" s="69" t="str">
        <f aca="false">IF($E40="","",IF($M40,IF(AND($G40&gt;=DC$5,$G40&lt;DC$5+GanttPeriod),"◆",IF(AND($E40&gt;=DC$5,$E40&lt;DC$5+GanttPeriod),"◇","")),IF(AND(DC$5&lt;=$F40,DC$5+GanttPeriod-1&gt;=$E40),"━","")))</f>
        <v/>
      </c>
      <c r="DD40" s="69" t="str">
        <f aca="false">IF($E40="","",IF($M40,IF(AND($G40&gt;=DD$5,$G40&lt;DD$5+GanttPeriod),"◆",IF(AND($E40&gt;=DD$5,$E40&lt;DD$5+GanttPeriod),"◇","")),IF(AND(DD$5&lt;=$F40,DD$5+GanttPeriod-1&gt;=$E40),"━","")))</f>
        <v/>
      </c>
      <c r="DE40" s="69" t="str">
        <f aca="false">IF($E40="","",IF($M40,IF(AND($G40&gt;=DE$5,$G40&lt;DE$5+GanttPeriod),"◆",IF(AND($E40&gt;=DE$5,$E40&lt;DE$5+GanttPeriod),"◇","")),IF(AND(DE$5&lt;=$F40,DE$5+GanttPeriod-1&gt;=$E40),"━","")))</f>
        <v/>
      </c>
      <c r="DF40" s="69" t="str">
        <f aca="false">IF($E40="","",IF($M40,IF(AND($G40&gt;=DF$5,$G40&lt;DF$5+GanttPeriod),"◆",IF(AND($E40&gt;=DF$5,$E40&lt;DF$5+GanttPeriod),"◇","")),IF(AND(DF$5&lt;=$F40,DF$5+GanttPeriod-1&gt;=$E40),"━","")))</f>
        <v/>
      </c>
      <c r="DG40" s="69" t="str">
        <f aca="false">IF($E40="","",IF($M40,IF(AND($G40&gt;=DG$5,$G40&lt;DG$5+GanttPeriod),"◆",IF(AND($E40&gt;=DG$5,$E40&lt;DG$5+GanttPeriod),"◇","")),IF(AND(DG$5&lt;=$F40,DG$5+GanttPeriod-1&gt;=$E40),"━","")))</f>
        <v/>
      </c>
      <c r="DH40" s="69" t="str">
        <f aca="false">IF($E40="","",IF($M40,IF(AND($G40&gt;=DH$5,$G40&lt;DH$5+GanttPeriod),"◆",IF(AND($E40&gt;=DH$5,$E40&lt;DH$5+GanttPeriod),"◇","")),IF(AND(DH$5&lt;=$F40,DH$5+GanttPeriod-1&gt;=$E40),"━","")))</f>
        <v/>
      </c>
      <c r="DI40" s="69" t="str">
        <f aca="false">IF($E40="","",IF($M40,IF(AND($G40&gt;=DI$5,$G40&lt;DI$5+GanttPeriod),"◆",IF(AND($E40&gt;=DI$5,$E40&lt;DI$5+GanttPeriod),"◇","")),IF(AND(DI$5&lt;=$F40,DI$5+GanttPeriod-1&gt;=$E40),"━","")))</f>
        <v/>
      </c>
      <c r="DJ40" s="69" t="str">
        <f aca="false">IF($E40="","",IF($M40,IF(AND($G40&gt;=DJ$5,$G40&lt;DJ$5+GanttPeriod),"◆",IF(AND($E40&gt;=DJ$5,$E40&lt;DJ$5+GanttPeriod),"◇","")),IF(AND(DJ$5&lt;=$F40,DJ$5+GanttPeriod-1&gt;=$E40),"━","")))</f>
        <v/>
      </c>
      <c r="DK40" s="69" t="str">
        <f aca="false">IF($E40="","",IF($M40,IF(AND($G40&gt;=DK$5,$G40&lt;DK$5+GanttPeriod),"◆",IF(AND($E40&gt;=DK$5,$E40&lt;DK$5+GanttPeriod),"◇","")),IF(AND(DK$5&lt;=$F40,DK$5+GanttPeriod-1&gt;=$E40),"━","")))</f>
        <v/>
      </c>
      <c r="DL40" s="69" t="str">
        <f aca="false">IF($E40="","",IF($M40,IF(AND($G40&gt;=DL$5,$G40&lt;DL$5+GanttPeriod),"◆",IF(AND($E40&gt;=DL$5,$E40&lt;DL$5+GanttPeriod),"◇","")),IF(AND(DL$5&lt;=$F40,DL$5+GanttPeriod-1&gt;=$E40),"━","")))</f>
        <v/>
      </c>
      <c r="DM40" s="69" t="str">
        <f aca="false">IF($E40="","",IF($M40,IF(AND($G40&gt;=DM$5,$G40&lt;DM$5+GanttPeriod),"◆",IF(AND($E40&gt;=DM$5,$E40&lt;DM$5+GanttPeriod),"◇","")),IF(AND(DM$5&lt;=$F40,DM$5+GanttPeriod-1&gt;=$E40),"━","")))</f>
        <v/>
      </c>
      <c r="DN40" s="69" t="str">
        <f aca="false">IF($E40="","",IF($M40,IF(AND($G40&gt;=DN$5,$G40&lt;DN$5+GanttPeriod),"◆",IF(AND($E40&gt;=DN$5,$E40&lt;DN$5+GanttPeriod),"◇","")),IF(AND(DN$5&lt;=$F40,DN$5+GanttPeriod-1&gt;=$E40),"━","")))</f>
        <v/>
      </c>
      <c r="DO40" s="69" t="str">
        <f aca="false">IF($E40="","",IF($M40,IF(AND($G40&gt;=DO$5,$G40&lt;DO$5+GanttPeriod),"◆",IF(AND($E40&gt;=DO$5,$E40&lt;DO$5+GanttPeriod),"◇","")),IF(AND(DO$5&lt;=$F40,DO$5+GanttPeriod-1&gt;=$E40),"━","")))</f>
        <v/>
      </c>
      <c r="DP40" s="69" t="str">
        <f aca="false">IF($E40="","",IF($M40,IF(AND($G40&gt;=DP$5,$G40&lt;DP$5+GanttPeriod),"◆",IF(AND($E40&gt;=DP$5,$E40&lt;DP$5+GanttPeriod),"◇","")),IF(AND(DP$5&lt;=$F40,DP$5+GanttPeriod-1&gt;=$E40),"━","")))</f>
        <v/>
      </c>
      <c r="DQ40" s="69" t="str">
        <f aca="false">IF($E40="","",IF($M40,IF(AND($G40&gt;=DQ$5,$G40&lt;DQ$5+GanttPeriod),"◆",IF(AND($E40&gt;=DQ$5,$E40&lt;DQ$5+GanttPeriod),"◇","")),IF(AND(DQ$5&lt;=$F40,DQ$5+GanttPeriod-1&gt;=$E40),"━","")))</f>
        <v/>
      </c>
      <c r="DR40" s="69" t="str">
        <f aca="false">IF($E40="","",IF($M40,IF(AND($G40&gt;=DR$5,$G40&lt;DR$5+GanttPeriod),"◆",IF(AND($E40&gt;=DR$5,$E40&lt;DR$5+GanttPeriod),"◇","")),IF(AND(DR$5&lt;=$F40,DR$5+GanttPeriod-1&gt;=$E40),"━","")))</f>
        <v/>
      </c>
      <c r="DS40" s="69" t="str">
        <f aca="false">IF($E40="","",IF($M40,IF(AND($G40&gt;=DS$5,$G40&lt;DS$5+GanttPeriod),"◆",IF(AND($E40&gt;=DS$5,$E40&lt;DS$5+GanttPeriod),"◇","")),IF(AND(DS$5&lt;=$F40,DS$5+GanttPeriod-1&gt;=$E40),"━","")))</f>
        <v/>
      </c>
      <c r="DT40" s="69" t="str">
        <f aca="false">IF($E40="","",IF($M40,IF(AND($G40&gt;=DT$5,$G40&lt;DT$5+GanttPeriod),"◆",IF(AND($E40&gt;=DT$5,$E40&lt;DT$5+GanttPeriod),"◇","")),IF(AND(DT$5&lt;=$F40,DT$5+GanttPeriod-1&gt;=$E40),"━","")))</f>
        <v/>
      </c>
      <c r="DU40" s="69" t="str">
        <f aca="false">IF($E40="","",IF($M40,IF(AND($G40&gt;=DU$5,$G40&lt;DU$5+GanttPeriod),"◆",IF(AND($E40&gt;=DU$5,$E40&lt;DU$5+GanttPeriod),"◇","")),IF(AND(DU$5&lt;=$F40,DU$5+GanttPeriod-1&gt;=$E40),"━","")))</f>
        <v/>
      </c>
      <c r="DV40" s="69" t="str">
        <f aca="false">IF($E40="","",IF($M40,IF(AND($G40&gt;=DV$5,$G40&lt;DV$5+GanttPeriod),"◆",IF(AND($E40&gt;=DV$5,$E40&lt;DV$5+GanttPeriod),"◇","")),IF(AND(DV$5&lt;=$F40,DV$5+GanttPeriod-1&gt;=$E40),"━","")))</f>
        <v/>
      </c>
      <c r="DW40" s="69" t="str">
        <f aca="false">IF($E40="","",IF($M40,IF(AND($G40&gt;=DW$5,$G40&lt;DW$5+GanttPeriod),"◆",IF(AND($E40&gt;=DW$5,$E40&lt;DW$5+GanttPeriod),"◇","")),IF(AND(DW$5&lt;=$F40,DW$5+GanttPeriod-1&gt;=$E40),"━","")))</f>
        <v/>
      </c>
      <c r="DX40" s="69" t="str">
        <f aca="false">IF($E40="","",IF($M40,IF(AND($G40&gt;=DX$5,$G40&lt;DX$5+GanttPeriod),"◆",IF(AND($E40&gt;=DX$5,$E40&lt;DX$5+GanttPeriod),"◇","")),IF(AND(DX$5&lt;=$F40,DX$5+GanttPeriod-1&gt;=$E40),"━","")))</f>
        <v/>
      </c>
      <c r="DY40" s="69" t="str">
        <f aca="false">IF($E40="","",IF($M40,IF(AND($G40&gt;=DY$5,$G40&lt;DY$5+GanttPeriod),"◆",IF(AND($E40&gt;=DY$5,$E40&lt;DY$5+GanttPeriod),"◇","")),IF(AND(DY$5&lt;=$F40,DY$5+GanttPeriod-1&gt;=$E40),"━","")))</f>
        <v/>
      </c>
      <c r="DZ40" s="69" t="str">
        <f aca="false">IF($E40="","",IF($M40,IF(AND($G40&gt;=DZ$5,$G40&lt;DZ$5+GanttPeriod),"◆",IF(AND($E40&gt;=DZ$5,$E40&lt;DZ$5+GanttPeriod),"◇","")),IF(AND(DZ$5&lt;=$F40,DZ$5+GanttPeriod-1&gt;=$E40),"━","")))</f>
        <v/>
      </c>
      <c r="EA40" s="69" t="str">
        <f aca="false">IF($E40="","",IF($M40,IF(AND($G40&gt;=EA$5,$G40&lt;EA$5+GanttPeriod),"◆",IF(AND($E40&gt;=EA$5,$E40&lt;EA$5+GanttPeriod),"◇","")),IF(AND(EA$5&lt;=$F40,EA$5+GanttPeriod-1&gt;=$E40),"━","")))</f>
        <v/>
      </c>
      <c r="EB40" s="69" t="str">
        <f aca="false">IF($E40="","",IF($M40,IF(AND($G40&gt;=EB$5,$G40&lt;EB$5+GanttPeriod),"◆",IF(AND($E40&gt;=EB$5,$E40&lt;EB$5+GanttPeriod),"◇","")),IF(AND(EB$5&lt;=$F40,EB$5+GanttPeriod-1&gt;=$E40),"━","")))</f>
        <v/>
      </c>
      <c r="EC40" s="69" t="str">
        <f aca="false">IF($E40="","",IF($M40,IF(AND($G40&gt;=EC$5,$G40&lt;EC$5+GanttPeriod),"◆",IF(AND($E40&gt;=EC$5,$E40&lt;EC$5+GanttPeriod),"◇","")),IF(AND(EC$5&lt;=$F40,EC$5+GanttPeriod-1&gt;=$E40),"━","")))</f>
        <v/>
      </c>
      <c r="ED40" s="69" t="str">
        <f aca="false">IF($E40="","",IF($M40,IF(AND($G40&gt;=ED$5,$G40&lt;ED$5+GanttPeriod),"◆",IF(AND($E40&gt;=ED$5,$E40&lt;ED$5+GanttPeriod),"◇","")),IF(AND(ED$5&lt;=$F40,ED$5+GanttPeriod-1&gt;=$E40),"━","")))</f>
        <v/>
      </c>
      <c r="EE40" s="69" t="str">
        <f aca="false">IF($E40="","",IF($M40,IF(AND($G40&gt;=EE$5,$G40&lt;EE$5+GanttPeriod),"◆",IF(AND($E40&gt;=EE$5,$E40&lt;EE$5+GanttPeriod),"◇","")),IF(AND(EE$5&lt;=$F40,EE$5+GanttPeriod-1&gt;=$E40),"━","")))</f>
        <v/>
      </c>
      <c r="EF40" s="69" t="str">
        <f aca="false">IF($E40="","",IF($M40,IF(AND($G40&gt;=EF$5,$G40&lt;EF$5+GanttPeriod),"◆",IF(AND($E40&gt;=EF$5,$E40&lt;EF$5+GanttPeriod),"◇","")),IF(AND(EF$5&lt;=$F40,EF$5+GanttPeriod-1&gt;=$E40),"━","")))</f>
        <v/>
      </c>
      <c r="EG40" s="69" t="str">
        <f aca="false">IF($E40="","",IF($M40,IF(AND($G40&gt;=EG$5,$G40&lt;EG$5+GanttPeriod),"◆",IF(AND($E40&gt;=EG$5,$E40&lt;EG$5+GanttPeriod),"◇","")),IF(AND(EG$5&lt;=$F40,EG$5+GanttPeriod-1&gt;=$E40),"━","")))</f>
        <v/>
      </c>
      <c r="EH40" s="69" t="str">
        <f aca="false">IF($E40="","",IF($M40,IF(AND($G40&gt;=EH$5,$G40&lt;EH$5+GanttPeriod),"◆",IF(AND($E40&gt;=EH$5,$E40&lt;EH$5+GanttPeriod),"◇","")),IF(AND(EH$5&lt;=$F40,EH$5+GanttPeriod-1&gt;=$E40),"━","")))</f>
        <v/>
      </c>
      <c r="EI40" s="69" t="str">
        <f aca="false">IF($E40="","",IF($M40,IF(AND($G40&gt;=EI$5,$G40&lt;EI$5+GanttPeriod),"◆",IF(AND($E40&gt;=EI$5,$E40&lt;EI$5+GanttPeriod),"◇","")),IF(AND(EI$5&lt;=$F40,EI$5+GanttPeriod-1&gt;=$E40),"━","")))</f>
        <v/>
      </c>
      <c r="EJ40" s="69" t="str">
        <f aca="false">IF($E40="","",IF($M40,IF(AND($G40&gt;=EJ$5,$G40&lt;EJ$5+GanttPeriod),"◆",IF(AND($E40&gt;=EJ$5,$E40&lt;EJ$5+GanttPeriod),"◇","")),IF(AND(EJ$5&lt;=$F40,EJ$5+GanttPeriod-1&gt;=$E40),"━","")))</f>
        <v/>
      </c>
      <c r="EK40" s="69" t="str">
        <f aca="false">IF($E40="","",IF($M40,IF(AND($G40&gt;=EK$5,$G40&lt;EK$5+GanttPeriod),"◆",IF(AND($E40&gt;=EK$5,$E40&lt;EK$5+GanttPeriod),"◇","")),IF(AND(EK$5&lt;=$F40,EK$5+GanttPeriod-1&gt;=$E40),"━","")))</f>
        <v/>
      </c>
      <c r="EL40" s="69" t="str">
        <f aca="false">IF($E40="","",IF($M40,IF(AND($G40&gt;=EL$5,$G40&lt;EL$5+GanttPeriod),"◆",IF(AND($E40&gt;=EL$5,$E40&lt;EL$5+GanttPeriod),"◇","")),IF(AND(EL$5&lt;=$F40,EL$5+GanttPeriod-1&gt;=$E40),"━","")))</f>
        <v/>
      </c>
      <c r="EM40" s="69" t="str">
        <f aca="false">IF($E40="","",IF($M40,IF(AND($G40&gt;=EM$5,$G40&lt;EM$5+GanttPeriod),"◆",IF(AND($E40&gt;=EM$5,$E40&lt;EM$5+GanttPeriod),"◇","")),IF(AND(EM$5&lt;=$F40,EM$5+GanttPeriod-1&gt;=$E40),"━","")))</f>
        <v/>
      </c>
      <c r="EN40" s="69" t="str">
        <f aca="false">IF($E40="","",IF($M40,IF(AND($G40&gt;=EN$5,$G40&lt;EN$5+GanttPeriod),"◆",IF(AND($E40&gt;=EN$5,$E40&lt;EN$5+GanttPeriod),"◇","")),IF(AND(EN$5&lt;=$F40,EN$5+GanttPeriod-1&gt;=$E40),"━","")))</f>
        <v/>
      </c>
      <c r="EO40" s="69" t="str">
        <f aca="false">IF($E40="","",IF($M40,IF(AND($G40&gt;=EO$5,$G40&lt;EO$5+GanttPeriod),"◆",IF(AND($E40&gt;=EO$5,$E40&lt;EO$5+GanttPeriod),"◇","")),IF(AND(EO$5&lt;=$F40,EO$5+GanttPeriod-1&gt;=$E40),"━","")))</f>
        <v/>
      </c>
      <c r="EP40" s="69" t="str">
        <f aca="false">IF($E40="","",IF($M40,IF(AND($G40&gt;=EP$5,$G40&lt;EP$5+GanttPeriod),"◆",IF(AND($E40&gt;=EP$5,$E40&lt;EP$5+GanttPeriod),"◇","")),IF(AND(EP$5&lt;=$F40,EP$5+GanttPeriod-1&gt;=$E40),"━","")))</f>
        <v/>
      </c>
      <c r="EQ40" s="69" t="str">
        <f aca="false">IF($E40="","",IF($M40,IF(AND($G40&gt;=EQ$5,$G40&lt;EQ$5+GanttPeriod),"◆",IF(AND($E40&gt;=EQ$5,$E40&lt;EQ$5+GanttPeriod),"◇","")),IF(AND(EQ$5&lt;=$F40,EQ$5+GanttPeriod-1&gt;=$E40),"━","")))</f>
        <v/>
      </c>
      <c r="ER40" s="69" t="str">
        <f aca="false">IF($E40="","",IF($M40,IF(AND($G40&gt;=ER$5,$G40&lt;ER$5+GanttPeriod),"◆",IF(AND($E40&gt;=ER$5,$E40&lt;ER$5+GanttPeriod),"◇","")),IF(AND(ER$5&lt;=$F40,ER$5+GanttPeriod-1&gt;=$E40),"━","")))</f>
        <v/>
      </c>
      <c r="ES40" s="69" t="str">
        <f aca="false">IF($E40="","",IF($M40,IF(AND($G40&gt;=ES$5,$G40&lt;ES$5+GanttPeriod),"◆",IF(AND($E40&gt;=ES$5,$E40&lt;ES$5+GanttPeriod),"◇","")),IF(AND(ES$5&lt;=$F40,ES$5+GanttPeriod-1&gt;=$E40),"━","")))</f>
        <v/>
      </c>
      <c r="ET40" s="69" t="str">
        <f aca="false">IF($E40="","",IF($M40,IF(AND($G40&gt;=ET$5,$G40&lt;ET$5+GanttPeriod),"◆",IF(AND($E40&gt;=ET$5,$E40&lt;ET$5+GanttPeriod),"◇","")),IF(AND(ET$5&lt;=$F40,ET$5+GanttPeriod-1&gt;=$E40),"━","")))</f>
        <v/>
      </c>
      <c r="EU40" s="69" t="str">
        <f aca="false">IF($E40="","",IF($M40,IF(AND($G40&gt;=EU$5,$G40&lt;EU$5+GanttPeriod),"◆",IF(AND($E40&gt;=EU$5,$E40&lt;EU$5+GanttPeriod),"◇","")),IF(AND(EU$5&lt;=$F40,EU$5+GanttPeriod-1&gt;=$E40),"━","")))</f>
        <v/>
      </c>
      <c r="EV40" s="69" t="str">
        <f aca="false">IF($E40="","",IF($M40,IF(AND($G40&gt;=EV$5,$G40&lt;EV$5+GanttPeriod),"◆",IF(AND($E40&gt;=EV$5,$E40&lt;EV$5+GanttPeriod),"◇","")),IF(AND(EV$5&lt;=$F40,EV$5+GanttPeriod-1&gt;=$E40),"━","")))</f>
        <v/>
      </c>
      <c r="EW40" s="69" t="str">
        <f aca="false">IF($E40="","",IF($M40,IF(AND($G40&gt;=EW$5,$G40&lt;EW$5+GanttPeriod),"◆",IF(AND($E40&gt;=EW$5,$E40&lt;EW$5+GanttPeriod),"◇","")),IF(AND(EW$5&lt;=$F40,EW$5+GanttPeriod-1&gt;=$E40),"━","")))</f>
        <v/>
      </c>
      <c r="EX40" s="69" t="str">
        <f aca="false">IF($E40="","",IF($M40,IF(AND($G40&gt;=EX$5,$G40&lt;EX$5+GanttPeriod),"◆",IF(AND($E40&gt;=EX$5,$E40&lt;EX$5+GanttPeriod),"◇","")),IF(AND(EX$5&lt;=$F40,EX$5+GanttPeriod-1&gt;=$E40),"━","")))</f>
        <v/>
      </c>
      <c r="EY40" s="69" t="str">
        <f aca="false">IF($E40="","",IF($M40,IF(AND($G40&gt;=EY$5,$G40&lt;EY$5+GanttPeriod),"◆",IF(AND($E40&gt;=EY$5,$E40&lt;EY$5+GanttPeriod),"◇","")),IF(AND(EY$5&lt;=$F40,EY$5+GanttPeriod-1&gt;=$E40),"━","")))</f>
        <v/>
      </c>
      <c r="EZ40" s="69" t="str">
        <f aca="false">IF($E40="","",IF($M40,IF(AND($G40&gt;=EZ$5,$G40&lt;EZ$5+GanttPeriod),"◆",IF(AND($E40&gt;=EZ$5,$E40&lt;EZ$5+GanttPeriod),"◇","")),IF(AND(EZ$5&lt;=$F40,EZ$5+GanttPeriod-1&gt;=$E40),"━","")))</f>
        <v/>
      </c>
      <c r="FA40" s="69" t="str">
        <f aca="false">IF($E40="","",IF($M40,IF(AND($G40&gt;=FA$5,$G40&lt;FA$5+GanttPeriod),"◆",IF(AND($E40&gt;=FA$5,$E40&lt;FA$5+GanttPeriod),"◇","")),IF(AND(FA$5&lt;=$F40,FA$5+GanttPeriod-1&gt;=$E40),"━","")))</f>
        <v/>
      </c>
      <c r="FB40" s="69" t="str">
        <f aca="false">IF($E40="","",IF($M40,IF(AND($G40&gt;=FB$5,$G40&lt;FB$5+GanttPeriod),"◆",IF(AND($E40&gt;=FB$5,$E40&lt;FB$5+GanttPeriod),"◇","")),IF(AND(FB$5&lt;=$F40,FB$5+GanttPeriod-1&gt;=$E40),"━","")))</f>
        <v/>
      </c>
      <c r="FC40" s="69" t="str">
        <f aca="false">IF($E40="","",IF($M40,IF(AND($G40&gt;=FC$5,$G40&lt;FC$5+GanttPeriod),"◆",IF(AND($E40&gt;=FC$5,$E40&lt;FC$5+GanttPeriod),"◇","")),IF(AND(FC$5&lt;=$F40,FC$5+GanttPeriod-1&gt;=$E40),"━","")))</f>
        <v/>
      </c>
      <c r="FD40" s="69" t="str">
        <f aca="false">IF($E40="","",IF($M40,IF(AND($G40&gt;=FD$5,$G40&lt;FD$5+GanttPeriod),"◆",IF(AND($E40&gt;=FD$5,$E40&lt;FD$5+GanttPeriod),"◇","")),IF(AND(FD$5&lt;=$F40,FD$5+GanttPeriod-1&gt;=$E40),"━","")))</f>
        <v/>
      </c>
      <c r="FE40" s="69" t="str">
        <f aca="false">IF($E40="","",IF($M40,IF(AND($G40&gt;=FE$5,$G40&lt;FE$5+GanttPeriod),"◆",IF(AND($E40&gt;=FE$5,$E40&lt;FE$5+GanttPeriod),"◇","")),IF(AND(FE$5&lt;=$F40,FE$5+GanttPeriod-1&gt;=$E40),"━","")))</f>
        <v/>
      </c>
      <c r="FF40" s="69" t="str">
        <f aca="false">IF($E40="","",IF($M40,IF(AND($G40&gt;=FF$5,$G40&lt;FF$5+GanttPeriod),"◆",IF(AND($E40&gt;=FF$5,$E40&lt;FF$5+GanttPeriod),"◇","")),IF(AND(FF$5&lt;=$F40,FF$5+GanttPeriod-1&gt;=$E40),"━","")))</f>
        <v/>
      </c>
      <c r="FG40" s="69" t="str">
        <f aca="false">IF($E40="","",IF($M40,IF(AND($G40&gt;=FG$5,$G40&lt;FG$5+GanttPeriod),"◆",IF(AND($E40&gt;=FG$5,$E40&lt;FG$5+GanttPeriod),"◇","")),IF(AND(FG$5&lt;=$F40,FG$5+GanttPeriod-1&gt;=$E40),"━","")))</f>
        <v/>
      </c>
      <c r="FH40" s="69" t="str">
        <f aca="false">IF($E40="","",IF($M40,IF(AND($G40&gt;=FH$5,$G40&lt;FH$5+GanttPeriod),"◆",IF(AND($E40&gt;=FH$5,$E40&lt;FH$5+GanttPeriod),"◇","")),IF(AND(FH$5&lt;=$F40,FH$5+GanttPeriod-1&gt;=$E40),"━","")))</f>
        <v/>
      </c>
      <c r="FI40" s="69" t="str">
        <f aca="false">IF($E40="","",IF($M40,IF(AND($G40&gt;=FI$5,$G40&lt;FI$5+GanttPeriod),"◆",IF(AND($E40&gt;=FI$5,$E40&lt;FI$5+GanttPeriod),"◇","")),IF(AND(FI$5&lt;=$F40,FI$5+GanttPeriod-1&gt;=$E40),"━","")))</f>
        <v/>
      </c>
      <c r="FJ40" s="69" t="str">
        <f aca="false">IF($E40="","",IF($M40,IF(AND($G40&gt;=FJ$5,$G40&lt;FJ$5+GanttPeriod),"◆",IF(AND($E40&gt;=FJ$5,$E40&lt;FJ$5+GanttPeriod),"◇","")),IF(AND(FJ$5&lt;=$F40,FJ$5+GanttPeriod-1&gt;=$E40),"━","")))</f>
        <v/>
      </c>
      <c r="FK40" s="69" t="str">
        <f aca="false">IF($E40="","",IF($M40,IF(AND($G40&gt;=FK$5,$G40&lt;FK$5+GanttPeriod),"◆",IF(AND($E40&gt;=FK$5,$E40&lt;FK$5+GanttPeriod),"◇","")),IF(AND(FK$5&lt;=$F40,FK$5+GanttPeriod-1&gt;=$E40),"━","")))</f>
        <v/>
      </c>
      <c r="FL40" s="69" t="str">
        <f aca="false">IF($E40="","",IF($M40,IF(AND($G40&gt;=FL$5,$G40&lt;FL$5+GanttPeriod),"◆",IF(AND($E40&gt;=FL$5,$E40&lt;FL$5+GanttPeriod),"◇","")),IF(AND(FL$5&lt;=$F40,FL$5+GanttPeriod-1&gt;=$E40),"━","")))</f>
        <v/>
      </c>
      <c r="FM40" s="69" t="str">
        <f aca="false">IF($E40="","",IF($M40,IF(AND($G40&gt;=FM$5,$G40&lt;FM$5+GanttPeriod),"◆",IF(AND($E40&gt;=FM$5,$E40&lt;FM$5+GanttPeriod),"◇","")),IF(AND(FM$5&lt;=$F40,FM$5+GanttPeriod-1&gt;=$E40),"━","")))</f>
        <v/>
      </c>
    </row>
    <row r="41" customFormat="false" ht="15" hidden="false" customHeight="false" outlineLevel="0" collapsed="false">
      <c r="A41" s="62" t="str">
        <f aca="false">IF(Tasks!$D41="","",Tasks!$A41)</f>
        <v/>
      </c>
      <c r="B41" s="62" t="str">
        <f aca="false">IF(Tasks!$D41="","",Tasks!$B41)</f>
        <v/>
      </c>
      <c r="C41" s="63" t="str">
        <f aca="false">IF(Tasks!$D41="","",REPT("    ",Tasks!$AE41-1)&amp;Tasks!$D41)</f>
        <v/>
      </c>
      <c r="D41" s="62" t="str">
        <f aca="false">IF(Tasks!$D41="","",IF(Tasks!$AI41,NETWORKDAYS.INTL(Tasks!$R41,Tasks!$S41,WorkWeek,Holidays),N(Tasks!$F41)))</f>
        <v/>
      </c>
      <c r="E41" s="64" t="str">
        <f aca="false">IF(Tasks!$D41="","",Tasks!$N41)</f>
        <v/>
      </c>
      <c r="F41" s="64" t="str">
        <f aca="false">IF(Tasks!$D41="","",Tasks!$O41)</f>
        <v/>
      </c>
      <c r="G41" s="64" t="str">
        <f aca="false">IF(Tasks!$D41="","",Tasks!$R41)</f>
        <v/>
      </c>
      <c r="H41" s="64" t="str">
        <f aca="false">IF(Tasks!$D41="","",Tasks!$S41)</f>
        <v/>
      </c>
      <c r="I41" s="65" t="str">
        <f aca="false">IF(Tasks!$D41="","",Tasks!$V41)</f>
        <v/>
      </c>
      <c r="J41" s="63" t="str">
        <f aca="false">IF(Tasks!$D41="","",Tasks!$X41&amp;"")</f>
        <v/>
      </c>
      <c r="K41" s="66" t="str">
        <f aca="false">IF(Tasks!$D41="","",Tasks!$W41)</f>
        <v/>
      </c>
      <c r="L41" s="67" t="b">
        <f aca="false">IF(Tasks!$D41="",FALSE(),Tasks!$AI41)</f>
        <v>0</v>
      </c>
      <c r="M41" s="67" t="b">
        <f aca="false">AND(Tasks!$AJ41=1,N(Tasks!$F41)=0)</f>
        <v>0</v>
      </c>
      <c r="N41" s="68" t="n">
        <f aca="false">IF(AND(Tasks!$AJ41=1,NOT($M41),N($I41)&gt;0),$G41,0)</f>
        <v>0</v>
      </c>
      <c r="O41" s="68" t="n">
        <f aca="false">IF($N41=0,0,IF($I41&gt;=1,$H41,MAX($N41,$G41+ROUND(($H41-$G41+1)*$I41,0)-1)))</f>
        <v>0</v>
      </c>
      <c r="P41" s="68" t="n">
        <f aca="false">IF(OR(Tasks!$AJ41&lt;&gt;1,$M41,N($I41)&gt;=1),0,IF($O41&gt;0,$O41+1,$G41))</f>
        <v>0</v>
      </c>
      <c r="Q41" s="68" t="n">
        <f aca="false">IF($P41=0,0,$H41)</f>
        <v>0</v>
      </c>
      <c r="R41" s="67" t="b">
        <f aca="false">AND(Tasks!$D41&lt;&gt;"",N(Tasks!$T41)&gt;0)</f>
        <v>0</v>
      </c>
      <c r="T41" s="69" t="str">
        <f aca="false">IF($E41="","",IF($M41,IF(AND($G41&gt;=T$5,$G41&lt;T$5+GanttPeriod),"◆",IF(AND($E41&gt;=T$5,$E41&lt;T$5+GanttPeriod),"◇","")),IF(AND(T$5&lt;=$F41,T$5+GanttPeriod-1&gt;=$E41),"━","")))</f>
        <v/>
      </c>
      <c r="U41" s="69" t="str">
        <f aca="false">IF($E41="","",IF($M41,IF(AND($G41&gt;=U$5,$G41&lt;U$5+GanttPeriod),"◆",IF(AND($E41&gt;=U$5,$E41&lt;U$5+GanttPeriod),"◇","")),IF(AND(U$5&lt;=$F41,U$5+GanttPeriod-1&gt;=$E41),"━","")))</f>
        <v/>
      </c>
      <c r="V41" s="69" t="str">
        <f aca="false">IF($E41="","",IF($M41,IF(AND($G41&gt;=V$5,$G41&lt;V$5+GanttPeriod),"◆",IF(AND($E41&gt;=V$5,$E41&lt;V$5+GanttPeriod),"◇","")),IF(AND(V$5&lt;=$F41,V$5+GanttPeriod-1&gt;=$E41),"━","")))</f>
        <v/>
      </c>
      <c r="W41" s="69" t="str">
        <f aca="false">IF($E41="","",IF($M41,IF(AND($G41&gt;=W$5,$G41&lt;W$5+GanttPeriod),"◆",IF(AND($E41&gt;=W$5,$E41&lt;W$5+GanttPeriod),"◇","")),IF(AND(W$5&lt;=$F41,W$5+GanttPeriod-1&gt;=$E41),"━","")))</f>
        <v/>
      </c>
      <c r="X41" s="69" t="str">
        <f aca="false">IF($E41="","",IF($M41,IF(AND($G41&gt;=X$5,$G41&lt;X$5+GanttPeriod),"◆",IF(AND($E41&gt;=X$5,$E41&lt;X$5+GanttPeriod),"◇","")),IF(AND(X$5&lt;=$F41,X$5+GanttPeriod-1&gt;=$E41),"━","")))</f>
        <v/>
      </c>
      <c r="Y41" s="69" t="str">
        <f aca="false">IF($E41="","",IF($M41,IF(AND($G41&gt;=Y$5,$G41&lt;Y$5+GanttPeriod),"◆",IF(AND($E41&gt;=Y$5,$E41&lt;Y$5+GanttPeriod),"◇","")),IF(AND(Y$5&lt;=$F41,Y$5+GanttPeriod-1&gt;=$E41),"━","")))</f>
        <v/>
      </c>
      <c r="Z41" s="69" t="str">
        <f aca="false">IF($E41="","",IF($M41,IF(AND($G41&gt;=Z$5,$G41&lt;Z$5+GanttPeriod),"◆",IF(AND($E41&gt;=Z$5,$E41&lt;Z$5+GanttPeriod),"◇","")),IF(AND(Z$5&lt;=$F41,Z$5+GanttPeriod-1&gt;=$E41),"━","")))</f>
        <v/>
      </c>
      <c r="AA41" s="69" t="str">
        <f aca="false">IF($E41="","",IF($M41,IF(AND($G41&gt;=AA$5,$G41&lt;AA$5+GanttPeriod),"◆",IF(AND($E41&gt;=AA$5,$E41&lt;AA$5+GanttPeriod),"◇","")),IF(AND(AA$5&lt;=$F41,AA$5+GanttPeriod-1&gt;=$E41),"━","")))</f>
        <v/>
      </c>
      <c r="AB41" s="69" t="str">
        <f aca="false">IF($E41="","",IF($M41,IF(AND($G41&gt;=AB$5,$G41&lt;AB$5+GanttPeriod),"◆",IF(AND($E41&gt;=AB$5,$E41&lt;AB$5+GanttPeriod),"◇","")),IF(AND(AB$5&lt;=$F41,AB$5+GanttPeriod-1&gt;=$E41),"━","")))</f>
        <v/>
      </c>
      <c r="AC41" s="69" t="str">
        <f aca="false">IF($E41="","",IF($M41,IF(AND($G41&gt;=AC$5,$G41&lt;AC$5+GanttPeriod),"◆",IF(AND($E41&gt;=AC$5,$E41&lt;AC$5+GanttPeriod),"◇","")),IF(AND(AC$5&lt;=$F41,AC$5+GanttPeriod-1&gt;=$E41),"━","")))</f>
        <v/>
      </c>
      <c r="AD41" s="69" t="str">
        <f aca="false">IF($E41="","",IF($M41,IF(AND($G41&gt;=AD$5,$G41&lt;AD$5+GanttPeriod),"◆",IF(AND($E41&gt;=AD$5,$E41&lt;AD$5+GanttPeriod),"◇","")),IF(AND(AD$5&lt;=$F41,AD$5+GanttPeriod-1&gt;=$E41),"━","")))</f>
        <v/>
      </c>
      <c r="AE41" s="69" t="str">
        <f aca="false">IF($E41="","",IF($M41,IF(AND($G41&gt;=AE$5,$G41&lt;AE$5+GanttPeriod),"◆",IF(AND($E41&gt;=AE$5,$E41&lt;AE$5+GanttPeriod),"◇","")),IF(AND(AE$5&lt;=$F41,AE$5+GanttPeriod-1&gt;=$E41),"━","")))</f>
        <v/>
      </c>
      <c r="AF41" s="69" t="str">
        <f aca="false">IF($E41="","",IF($M41,IF(AND($G41&gt;=AF$5,$G41&lt;AF$5+GanttPeriod),"◆",IF(AND($E41&gt;=AF$5,$E41&lt;AF$5+GanttPeriod),"◇","")),IF(AND(AF$5&lt;=$F41,AF$5+GanttPeriod-1&gt;=$E41),"━","")))</f>
        <v/>
      </c>
      <c r="AG41" s="69" t="str">
        <f aca="false">IF($E41="","",IF($M41,IF(AND($G41&gt;=AG$5,$G41&lt;AG$5+GanttPeriod),"◆",IF(AND($E41&gt;=AG$5,$E41&lt;AG$5+GanttPeriod),"◇","")),IF(AND(AG$5&lt;=$F41,AG$5+GanttPeriod-1&gt;=$E41),"━","")))</f>
        <v/>
      </c>
      <c r="AH41" s="69" t="str">
        <f aca="false">IF($E41="","",IF($M41,IF(AND($G41&gt;=AH$5,$G41&lt;AH$5+GanttPeriod),"◆",IF(AND($E41&gt;=AH$5,$E41&lt;AH$5+GanttPeriod),"◇","")),IF(AND(AH$5&lt;=$F41,AH$5+GanttPeriod-1&gt;=$E41),"━","")))</f>
        <v/>
      </c>
      <c r="AI41" s="69" t="str">
        <f aca="false">IF($E41="","",IF($M41,IF(AND($G41&gt;=AI$5,$G41&lt;AI$5+GanttPeriod),"◆",IF(AND($E41&gt;=AI$5,$E41&lt;AI$5+GanttPeriod),"◇","")),IF(AND(AI$5&lt;=$F41,AI$5+GanttPeriod-1&gt;=$E41),"━","")))</f>
        <v/>
      </c>
      <c r="AJ41" s="69" t="str">
        <f aca="false">IF($E41="","",IF($M41,IF(AND($G41&gt;=AJ$5,$G41&lt;AJ$5+GanttPeriod),"◆",IF(AND($E41&gt;=AJ$5,$E41&lt;AJ$5+GanttPeriod),"◇","")),IF(AND(AJ$5&lt;=$F41,AJ$5+GanttPeriod-1&gt;=$E41),"━","")))</f>
        <v/>
      </c>
      <c r="AK41" s="69" t="str">
        <f aca="false">IF($E41="","",IF($M41,IF(AND($G41&gt;=AK$5,$G41&lt;AK$5+GanttPeriod),"◆",IF(AND($E41&gt;=AK$5,$E41&lt;AK$5+GanttPeriod),"◇","")),IF(AND(AK$5&lt;=$F41,AK$5+GanttPeriod-1&gt;=$E41),"━","")))</f>
        <v/>
      </c>
      <c r="AL41" s="69" t="str">
        <f aca="false">IF($E41="","",IF($M41,IF(AND($G41&gt;=AL$5,$G41&lt;AL$5+GanttPeriod),"◆",IF(AND($E41&gt;=AL$5,$E41&lt;AL$5+GanttPeriod),"◇","")),IF(AND(AL$5&lt;=$F41,AL$5+GanttPeriod-1&gt;=$E41),"━","")))</f>
        <v/>
      </c>
      <c r="AM41" s="69" t="str">
        <f aca="false">IF($E41="","",IF($M41,IF(AND($G41&gt;=AM$5,$G41&lt;AM$5+GanttPeriod),"◆",IF(AND($E41&gt;=AM$5,$E41&lt;AM$5+GanttPeriod),"◇","")),IF(AND(AM$5&lt;=$F41,AM$5+GanttPeriod-1&gt;=$E41),"━","")))</f>
        <v/>
      </c>
      <c r="AN41" s="69" t="str">
        <f aca="false">IF($E41="","",IF($M41,IF(AND($G41&gt;=AN$5,$G41&lt;AN$5+GanttPeriod),"◆",IF(AND($E41&gt;=AN$5,$E41&lt;AN$5+GanttPeriod),"◇","")),IF(AND(AN$5&lt;=$F41,AN$5+GanttPeriod-1&gt;=$E41),"━","")))</f>
        <v/>
      </c>
      <c r="AO41" s="69" t="str">
        <f aca="false">IF($E41="","",IF($M41,IF(AND($G41&gt;=AO$5,$G41&lt;AO$5+GanttPeriod),"◆",IF(AND($E41&gt;=AO$5,$E41&lt;AO$5+GanttPeriod),"◇","")),IF(AND(AO$5&lt;=$F41,AO$5+GanttPeriod-1&gt;=$E41),"━","")))</f>
        <v/>
      </c>
      <c r="AP41" s="69" t="str">
        <f aca="false">IF($E41="","",IF($M41,IF(AND($G41&gt;=AP$5,$G41&lt;AP$5+GanttPeriod),"◆",IF(AND($E41&gt;=AP$5,$E41&lt;AP$5+GanttPeriod),"◇","")),IF(AND(AP$5&lt;=$F41,AP$5+GanttPeriod-1&gt;=$E41),"━","")))</f>
        <v/>
      </c>
      <c r="AQ41" s="69" t="str">
        <f aca="false">IF($E41="","",IF($M41,IF(AND($G41&gt;=AQ$5,$G41&lt;AQ$5+GanttPeriod),"◆",IF(AND($E41&gt;=AQ$5,$E41&lt;AQ$5+GanttPeriod),"◇","")),IF(AND(AQ$5&lt;=$F41,AQ$5+GanttPeriod-1&gt;=$E41),"━","")))</f>
        <v/>
      </c>
      <c r="AR41" s="69" t="str">
        <f aca="false">IF($E41="","",IF($M41,IF(AND($G41&gt;=AR$5,$G41&lt;AR$5+GanttPeriod),"◆",IF(AND($E41&gt;=AR$5,$E41&lt;AR$5+GanttPeriod),"◇","")),IF(AND(AR$5&lt;=$F41,AR$5+GanttPeriod-1&gt;=$E41),"━","")))</f>
        <v/>
      </c>
      <c r="AS41" s="69" t="str">
        <f aca="false">IF($E41="","",IF($M41,IF(AND($G41&gt;=AS$5,$G41&lt;AS$5+GanttPeriod),"◆",IF(AND($E41&gt;=AS$5,$E41&lt;AS$5+GanttPeriod),"◇","")),IF(AND(AS$5&lt;=$F41,AS$5+GanttPeriod-1&gt;=$E41),"━","")))</f>
        <v/>
      </c>
      <c r="AT41" s="69" t="str">
        <f aca="false">IF($E41="","",IF($M41,IF(AND($G41&gt;=AT$5,$G41&lt;AT$5+GanttPeriod),"◆",IF(AND($E41&gt;=AT$5,$E41&lt;AT$5+GanttPeriod),"◇","")),IF(AND(AT$5&lt;=$F41,AT$5+GanttPeriod-1&gt;=$E41),"━","")))</f>
        <v/>
      </c>
      <c r="AU41" s="69" t="str">
        <f aca="false">IF($E41="","",IF($M41,IF(AND($G41&gt;=AU$5,$G41&lt;AU$5+GanttPeriod),"◆",IF(AND($E41&gt;=AU$5,$E41&lt;AU$5+GanttPeriod),"◇","")),IF(AND(AU$5&lt;=$F41,AU$5+GanttPeriod-1&gt;=$E41),"━","")))</f>
        <v/>
      </c>
      <c r="AV41" s="69" t="str">
        <f aca="false">IF($E41="","",IF($M41,IF(AND($G41&gt;=AV$5,$G41&lt;AV$5+GanttPeriod),"◆",IF(AND($E41&gt;=AV$5,$E41&lt;AV$5+GanttPeriod),"◇","")),IF(AND(AV$5&lt;=$F41,AV$5+GanttPeriod-1&gt;=$E41),"━","")))</f>
        <v/>
      </c>
      <c r="AW41" s="69" t="str">
        <f aca="false">IF($E41="","",IF($M41,IF(AND($G41&gt;=AW$5,$G41&lt;AW$5+GanttPeriod),"◆",IF(AND($E41&gt;=AW$5,$E41&lt;AW$5+GanttPeriod),"◇","")),IF(AND(AW$5&lt;=$F41,AW$5+GanttPeriod-1&gt;=$E41),"━","")))</f>
        <v/>
      </c>
      <c r="AX41" s="69" t="str">
        <f aca="false">IF($E41="","",IF($M41,IF(AND($G41&gt;=AX$5,$G41&lt;AX$5+GanttPeriod),"◆",IF(AND($E41&gt;=AX$5,$E41&lt;AX$5+GanttPeriod),"◇","")),IF(AND(AX$5&lt;=$F41,AX$5+GanttPeriod-1&gt;=$E41),"━","")))</f>
        <v/>
      </c>
      <c r="AY41" s="69" t="str">
        <f aca="false">IF($E41="","",IF($M41,IF(AND($G41&gt;=AY$5,$G41&lt;AY$5+GanttPeriod),"◆",IF(AND($E41&gt;=AY$5,$E41&lt;AY$5+GanttPeriod),"◇","")),IF(AND(AY$5&lt;=$F41,AY$5+GanttPeriod-1&gt;=$E41),"━","")))</f>
        <v/>
      </c>
      <c r="AZ41" s="69" t="str">
        <f aca="false">IF($E41="","",IF($M41,IF(AND($G41&gt;=AZ$5,$G41&lt;AZ$5+GanttPeriod),"◆",IF(AND($E41&gt;=AZ$5,$E41&lt;AZ$5+GanttPeriod),"◇","")),IF(AND(AZ$5&lt;=$F41,AZ$5+GanttPeriod-1&gt;=$E41),"━","")))</f>
        <v/>
      </c>
      <c r="BA41" s="69" t="str">
        <f aca="false">IF($E41="","",IF($M41,IF(AND($G41&gt;=BA$5,$G41&lt;BA$5+GanttPeriod),"◆",IF(AND($E41&gt;=BA$5,$E41&lt;BA$5+GanttPeriod),"◇","")),IF(AND(BA$5&lt;=$F41,BA$5+GanttPeriod-1&gt;=$E41),"━","")))</f>
        <v/>
      </c>
      <c r="BB41" s="69" t="str">
        <f aca="false">IF($E41="","",IF($M41,IF(AND($G41&gt;=BB$5,$G41&lt;BB$5+GanttPeriod),"◆",IF(AND($E41&gt;=BB$5,$E41&lt;BB$5+GanttPeriod),"◇","")),IF(AND(BB$5&lt;=$F41,BB$5+GanttPeriod-1&gt;=$E41),"━","")))</f>
        <v/>
      </c>
      <c r="BC41" s="69" t="str">
        <f aca="false">IF($E41="","",IF($M41,IF(AND($G41&gt;=BC$5,$G41&lt;BC$5+GanttPeriod),"◆",IF(AND($E41&gt;=BC$5,$E41&lt;BC$5+GanttPeriod),"◇","")),IF(AND(BC$5&lt;=$F41,BC$5+GanttPeriod-1&gt;=$E41),"━","")))</f>
        <v/>
      </c>
      <c r="BD41" s="69" t="str">
        <f aca="false">IF($E41="","",IF($M41,IF(AND($G41&gt;=BD$5,$G41&lt;BD$5+GanttPeriod),"◆",IF(AND($E41&gt;=BD$5,$E41&lt;BD$5+GanttPeriod),"◇","")),IF(AND(BD$5&lt;=$F41,BD$5+GanttPeriod-1&gt;=$E41),"━","")))</f>
        <v/>
      </c>
      <c r="BE41" s="69" t="str">
        <f aca="false">IF($E41="","",IF($M41,IF(AND($G41&gt;=BE$5,$G41&lt;BE$5+GanttPeriod),"◆",IF(AND($E41&gt;=BE$5,$E41&lt;BE$5+GanttPeriod),"◇","")),IF(AND(BE$5&lt;=$F41,BE$5+GanttPeriod-1&gt;=$E41),"━","")))</f>
        <v/>
      </c>
      <c r="BF41" s="69" t="str">
        <f aca="false">IF($E41="","",IF($M41,IF(AND($G41&gt;=BF$5,$G41&lt;BF$5+GanttPeriod),"◆",IF(AND($E41&gt;=BF$5,$E41&lt;BF$5+GanttPeriod),"◇","")),IF(AND(BF$5&lt;=$F41,BF$5+GanttPeriod-1&gt;=$E41),"━","")))</f>
        <v/>
      </c>
      <c r="BG41" s="69" t="str">
        <f aca="false">IF($E41="","",IF($M41,IF(AND($G41&gt;=BG$5,$G41&lt;BG$5+GanttPeriod),"◆",IF(AND($E41&gt;=BG$5,$E41&lt;BG$5+GanttPeriod),"◇","")),IF(AND(BG$5&lt;=$F41,BG$5+GanttPeriod-1&gt;=$E41),"━","")))</f>
        <v/>
      </c>
      <c r="BH41" s="69" t="str">
        <f aca="false">IF($E41="","",IF($M41,IF(AND($G41&gt;=BH$5,$G41&lt;BH$5+GanttPeriod),"◆",IF(AND($E41&gt;=BH$5,$E41&lt;BH$5+GanttPeriod),"◇","")),IF(AND(BH$5&lt;=$F41,BH$5+GanttPeriod-1&gt;=$E41),"━","")))</f>
        <v/>
      </c>
      <c r="BI41" s="69" t="str">
        <f aca="false">IF($E41="","",IF($M41,IF(AND($G41&gt;=BI$5,$G41&lt;BI$5+GanttPeriod),"◆",IF(AND($E41&gt;=BI$5,$E41&lt;BI$5+GanttPeriod),"◇","")),IF(AND(BI$5&lt;=$F41,BI$5+GanttPeriod-1&gt;=$E41),"━","")))</f>
        <v/>
      </c>
      <c r="BJ41" s="69" t="str">
        <f aca="false">IF($E41="","",IF($M41,IF(AND($G41&gt;=BJ$5,$G41&lt;BJ$5+GanttPeriod),"◆",IF(AND($E41&gt;=BJ$5,$E41&lt;BJ$5+GanttPeriod),"◇","")),IF(AND(BJ$5&lt;=$F41,BJ$5+GanttPeriod-1&gt;=$E41),"━","")))</f>
        <v/>
      </c>
      <c r="BK41" s="69" t="str">
        <f aca="false">IF($E41="","",IF($M41,IF(AND($G41&gt;=BK$5,$G41&lt;BK$5+GanttPeriod),"◆",IF(AND($E41&gt;=BK$5,$E41&lt;BK$5+GanttPeriod),"◇","")),IF(AND(BK$5&lt;=$F41,BK$5+GanttPeriod-1&gt;=$E41),"━","")))</f>
        <v/>
      </c>
      <c r="BL41" s="69" t="str">
        <f aca="false">IF($E41="","",IF($M41,IF(AND($G41&gt;=BL$5,$G41&lt;BL$5+GanttPeriod),"◆",IF(AND($E41&gt;=BL$5,$E41&lt;BL$5+GanttPeriod),"◇","")),IF(AND(BL$5&lt;=$F41,BL$5+GanttPeriod-1&gt;=$E41),"━","")))</f>
        <v/>
      </c>
      <c r="BM41" s="69" t="str">
        <f aca="false">IF($E41="","",IF($M41,IF(AND($G41&gt;=BM$5,$G41&lt;BM$5+GanttPeriod),"◆",IF(AND($E41&gt;=BM$5,$E41&lt;BM$5+GanttPeriod),"◇","")),IF(AND(BM$5&lt;=$F41,BM$5+GanttPeriod-1&gt;=$E41),"━","")))</f>
        <v/>
      </c>
      <c r="BN41" s="69" t="str">
        <f aca="false">IF($E41="","",IF($M41,IF(AND($G41&gt;=BN$5,$G41&lt;BN$5+GanttPeriod),"◆",IF(AND($E41&gt;=BN$5,$E41&lt;BN$5+GanttPeriod),"◇","")),IF(AND(BN$5&lt;=$F41,BN$5+GanttPeriod-1&gt;=$E41),"━","")))</f>
        <v/>
      </c>
      <c r="BO41" s="69" t="str">
        <f aca="false">IF($E41="","",IF($M41,IF(AND($G41&gt;=BO$5,$G41&lt;BO$5+GanttPeriod),"◆",IF(AND($E41&gt;=BO$5,$E41&lt;BO$5+GanttPeriod),"◇","")),IF(AND(BO$5&lt;=$F41,BO$5+GanttPeriod-1&gt;=$E41),"━","")))</f>
        <v/>
      </c>
      <c r="BP41" s="69" t="str">
        <f aca="false">IF($E41="","",IF($M41,IF(AND($G41&gt;=BP$5,$G41&lt;BP$5+GanttPeriod),"◆",IF(AND($E41&gt;=BP$5,$E41&lt;BP$5+GanttPeriod),"◇","")),IF(AND(BP$5&lt;=$F41,BP$5+GanttPeriod-1&gt;=$E41),"━","")))</f>
        <v/>
      </c>
      <c r="BQ41" s="69" t="str">
        <f aca="false">IF($E41="","",IF($M41,IF(AND($G41&gt;=BQ$5,$G41&lt;BQ$5+GanttPeriod),"◆",IF(AND($E41&gt;=BQ$5,$E41&lt;BQ$5+GanttPeriod),"◇","")),IF(AND(BQ$5&lt;=$F41,BQ$5+GanttPeriod-1&gt;=$E41),"━","")))</f>
        <v/>
      </c>
      <c r="BR41" s="69" t="str">
        <f aca="false">IF($E41="","",IF($M41,IF(AND($G41&gt;=BR$5,$G41&lt;BR$5+GanttPeriod),"◆",IF(AND($E41&gt;=BR$5,$E41&lt;BR$5+GanttPeriod),"◇","")),IF(AND(BR$5&lt;=$F41,BR$5+GanttPeriod-1&gt;=$E41),"━","")))</f>
        <v/>
      </c>
      <c r="BS41" s="69" t="str">
        <f aca="false">IF($E41="","",IF($M41,IF(AND($G41&gt;=BS$5,$G41&lt;BS$5+GanttPeriod),"◆",IF(AND($E41&gt;=BS$5,$E41&lt;BS$5+GanttPeriod),"◇","")),IF(AND(BS$5&lt;=$F41,BS$5+GanttPeriod-1&gt;=$E41),"━","")))</f>
        <v/>
      </c>
      <c r="BT41" s="69" t="str">
        <f aca="false">IF($E41="","",IF($M41,IF(AND($G41&gt;=BT$5,$G41&lt;BT$5+GanttPeriod),"◆",IF(AND($E41&gt;=BT$5,$E41&lt;BT$5+GanttPeriod),"◇","")),IF(AND(BT$5&lt;=$F41,BT$5+GanttPeriod-1&gt;=$E41),"━","")))</f>
        <v/>
      </c>
      <c r="BU41" s="69" t="str">
        <f aca="false">IF($E41="","",IF($M41,IF(AND($G41&gt;=BU$5,$G41&lt;BU$5+GanttPeriod),"◆",IF(AND($E41&gt;=BU$5,$E41&lt;BU$5+GanttPeriod),"◇","")),IF(AND(BU$5&lt;=$F41,BU$5+GanttPeriod-1&gt;=$E41),"━","")))</f>
        <v/>
      </c>
      <c r="BV41" s="69" t="str">
        <f aca="false">IF($E41="","",IF($M41,IF(AND($G41&gt;=BV$5,$G41&lt;BV$5+GanttPeriod),"◆",IF(AND($E41&gt;=BV$5,$E41&lt;BV$5+GanttPeriod),"◇","")),IF(AND(BV$5&lt;=$F41,BV$5+GanttPeriod-1&gt;=$E41),"━","")))</f>
        <v/>
      </c>
      <c r="BW41" s="69" t="str">
        <f aca="false">IF($E41="","",IF($M41,IF(AND($G41&gt;=BW$5,$G41&lt;BW$5+GanttPeriod),"◆",IF(AND($E41&gt;=BW$5,$E41&lt;BW$5+GanttPeriod),"◇","")),IF(AND(BW$5&lt;=$F41,BW$5+GanttPeriod-1&gt;=$E41),"━","")))</f>
        <v/>
      </c>
      <c r="BX41" s="69" t="str">
        <f aca="false">IF($E41="","",IF($M41,IF(AND($G41&gt;=BX$5,$G41&lt;BX$5+GanttPeriod),"◆",IF(AND($E41&gt;=BX$5,$E41&lt;BX$5+GanttPeriod),"◇","")),IF(AND(BX$5&lt;=$F41,BX$5+GanttPeriod-1&gt;=$E41),"━","")))</f>
        <v/>
      </c>
      <c r="BY41" s="69" t="str">
        <f aca="false">IF($E41="","",IF($M41,IF(AND($G41&gt;=BY$5,$G41&lt;BY$5+GanttPeriod),"◆",IF(AND($E41&gt;=BY$5,$E41&lt;BY$5+GanttPeriod),"◇","")),IF(AND(BY$5&lt;=$F41,BY$5+GanttPeriod-1&gt;=$E41),"━","")))</f>
        <v/>
      </c>
      <c r="BZ41" s="69" t="str">
        <f aca="false">IF($E41="","",IF($M41,IF(AND($G41&gt;=BZ$5,$G41&lt;BZ$5+GanttPeriod),"◆",IF(AND($E41&gt;=BZ$5,$E41&lt;BZ$5+GanttPeriod),"◇","")),IF(AND(BZ$5&lt;=$F41,BZ$5+GanttPeriod-1&gt;=$E41),"━","")))</f>
        <v/>
      </c>
      <c r="CA41" s="69" t="str">
        <f aca="false">IF($E41="","",IF($M41,IF(AND($G41&gt;=CA$5,$G41&lt;CA$5+GanttPeriod),"◆",IF(AND($E41&gt;=CA$5,$E41&lt;CA$5+GanttPeriod),"◇","")),IF(AND(CA$5&lt;=$F41,CA$5+GanttPeriod-1&gt;=$E41),"━","")))</f>
        <v/>
      </c>
      <c r="CB41" s="69" t="str">
        <f aca="false">IF($E41="","",IF($M41,IF(AND($G41&gt;=CB$5,$G41&lt;CB$5+GanttPeriod),"◆",IF(AND($E41&gt;=CB$5,$E41&lt;CB$5+GanttPeriod),"◇","")),IF(AND(CB$5&lt;=$F41,CB$5+GanttPeriod-1&gt;=$E41),"━","")))</f>
        <v/>
      </c>
      <c r="CC41" s="69" t="str">
        <f aca="false">IF($E41="","",IF($M41,IF(AND($G41&gt;=CC$5,$G41&lt;CC$5+GanttPeriod),"◆",IF(AND($E41&gt;=CC$5,$E41&lt;CC$5+GanttPeriod),"◇","")),IF(AND(CC$5&lt;=$F41,CC$5+GanttPeriod-1&gt;=$E41),"━","")))</f>
        <v/>
      </c>
      <c r="CD41" s="69" t="str">
        <f aca="false">IF($E41="","",IF($M41,IF(AND($G41&gt;=CD$5,$G41&lt;CD$5+GanttPeriod),"◆",IF(AND($E41&gt;=CD$5,$E41&lt;CD$5+GanttPeriod),"◇","")),IF(AND(CD$5&lt;=$F41,CD$5+GanttPeriod-1&gt;=$E41),"━","")))</f>
        <v/>
      </c>
      <c r="CE41" s="69" t="str">
        <f aca="false">IF($E41="","",IF($M41,IF(AND($G41&gt;=CE$5,$G41&lt;CE$5+GanttPeriod),"◆",IF(AND($E41&gt;=CE$5,$E41&lt;CE$5+GanttPeriod),"◇","")),IF(AND(CE$5&lt;=$F41,CE$5+GanttPeriod-1&gt;=$E41),"━","")))</f>
        <v/>
      </c>
      <c r="CF41" s="69" t="str">
        <f aca="false">IF($E41="","",IF($M41,IF(AND($G41&gt;=CF$5,$G41&lt;CF$5+GanttPeriod),"◆",IF(AND($E41&gt;=CF$5,$E41&lt;CF$5+GanttPeriod),"◇","")),IF(AND(CF$5&lt;=$F41,CF$5+GanttPeriod-1&gt;=$E41),"━","")))</f>
        <v/>
      </c>
      <c r="CG41" s="69" t="str">
        <f aca="false">IF($E41="","",IF($M41,IF(AND($G41&gt;=CG$5,$G41&lt;CG$5+GanttPeriod),"◆",IF(AND($E41&gt;=CG$5,$E41&lt;CG$5+GanttPeriod),"◇","")),IF(AND(CG$5&lt;=$F41,CG$5+GanttPeriod-1&gt;=$E41),"━","")))</f>
        <v/>
      </c>
      <c r="CH41" s="69" t="str">
        <f aca="false">IF($E41="","",IF($M41,IF(AND($G41&gt;=CH$5,$G41&lt;CH$5+GanttPeriod),"◆",IF(AND($E41&gt;=CH$5,$E41&lt;CH$5+GanttPeriod),"◇","")),IF(AND(CH$5&lt;=$F41,CH$5+GanttPeriod-1&gt;=$E41),"━","")))</f>
        <v/>
      </c>
      <c r="CI41" s="69" t="str">
        <f aca="false">IF($E41="","",IF($M41,IF(AND($G41&gt;=CI$5,$G41&lt;CI$5+GanttPeriod),"◆",IF(AND($E41&gt;=CI$5,$E41&lt;CI$5+GanttPeriod),"◇","")),IF(AND(CI$5&lt;=$F41,CI$5+GanttPeriod-1&gt;=$E41),"━","")))</f>
        <v/>
      </c>
      <c r="CJ41" s="69" t="str">
        <f aca="false">IF($E41="","",IF($M41,IF(AND($G41&gt;=CJ$5,$G41&lt;CJ$5+GanttPeriod),"◆",IF(AND($E41&gt;=CJ$5,$E41&lt;CJ$5+GanttPeriod),"◇","")),IF(AND(CJ$5&lt;=$F41,CJ$5+GanttPeriod-1&gt;=$E41),"━","")))</f>
        <v/>
      </c>
      <c r="CK41" s="69" t="str">
        <f aca="false">IF($E41="","",IF($M41,IF(AND($G41&gt;=CK$5,$G41&lt;CK$5+GanttPeriod),"◆",IF(AND($E41&gt;=CK$5,$E41&lt;CK$5+GanttPeriod),"◇","")),IF(AND(CK$5&lt;=$F41,CK$5+GanttPeriod-1&gt;=$E41),"━","")))</f>
        <v/>
      </c>
      <c r="CL41" s="69" t="str">
        <f aca="false">IF($E41="","",IF($M41,IF(AND($G41&gt;=CL$5,$G41&lt;CL$5+GanttPeriod),"◆",IF(AND($E41&gt;=CL$5,$E41&lt;CL$5+GanttPeriod),"◇","")),IF(AND(CL$5&lt;=$F41,CL$5+GanttPeriod-1&gt;=$E41),"━","")))</f>
        <v/>
      </c>
      <c r="CM41" s="69" t="str">
        <f aca="false">IF($E41="","",IF($M41,IF(AND($G41&gt;=CM$5,$G41&lt;CM$5+GanttPeriod),"◆",IF(AND($E41&gt;=CM$5,$E41&lt;CM$5+GanttPeriod),"◇","")),IF(AND(CM$5&lt;=$F41,CM$5+GanttPeriod-1&gt;=$E41),"━","")))</f>
        <v/>
      </c>
      <c r="CN41" s="69" t="str">
        <f aca="false">IF($E41="","",IF($M41,IF(AND($G41&gt;=CN$5,$G41&lt;CN$5+GanttPeriod),"◆",IF(AND($E41&gt;=CN$5,$E41&lt;CN$5+GanttPeriod),"◇","")),IF(AND(CN$5&lt;=$F41,CN$5+GanttPeriod-1&gt;=$E41),"━","")))</f>
        <v/>
      </c>
      <c r="CO41" s="69" t="str">
        <f aca="false">IF($E41="","",IF($M41,IF(AND($G41&gt;=CO$5,$G41&lt;CO$5+GanttPeriod),"◆",IF(AND($E41&gt;=CO$5,$E41&lt;CO$5+GanttPeriod),"◇","")),IF(AND(CO$5&lt;=$F41,CO$5+GanttPeriod-1&gt;=$E41),"━","")))</f>
        <v/>
      </c>
      <c r="CP41" s="69" t="str">
        <f aca="false">IF($E41="","",IF($M41,IF(AND($G41&gt;=CP$5,$G41&lt;CP$5+GanttPeriod),"◆",IF(AND($E41&gt;=CP$5,$E41&lt;CP$5+GanttPeriod),"◇","")),IF(AND(CP$5&lt;=$F41,CP$5+GanttPeriod-1&gt;=$E41),"━","")))</f>
        <v/>
      </c>
      <c r="CQ41" s="69" t="str">
        <f aca="false">IF($E41="","",IF($M41,IF(AND($G41&gt;=CQ$5,$G41&lt;CQ$5+GanttPeriod),"◆",IF(AND($E41&gt;=CQ$5,$E41&lt;CQ$5+GanttPeriod),"◇","")),IF(AND(CQ$5&lt;=$F41,CQ$5+GanttPeriod-1&gt;=$E41),"━","")))</f>
        <v/>
      </c>
      <c r="CR41" s="69" t="str">
        <f aca="false">IF($E41="","",IF($M41,IF(AND($G41&gt;=CR$5,$G41&lt;CR$5+GanttPeriod),"◆",IF(AND($E41&gt;=CR$5,$E41&lt;CR$5+GanttPeriod),"◇","")),IF(AND(CR$5&lt;=$F41,CR$5+GanttPeriod-1&gt;=$E41),"━","")))</f>
        <v/>
      </c>
      <c r="CS41" s="69" t="str">
        <f aca="false">IF($E41="","",IF($M41,IF(AND($G41&gt;=CS$5,$G41&lt;CS$5+GanttPeriod),"◆",IF(AND($E41&gt;=CS$5,$E41&lt;CS$5+GanttPeriod),"◇","")),IF(AND(CS$5&lt;=$F41,CS$5+GanttPeriod-1&gt;=$E41),"━","")))</f>
        <v/>
      </c>
      <c r="CT41" s="69" t="str">
        <f aca="false">IF($E41="","",IF($M41,IF(AND($G41&gt;=CT$5,$G41&lt;CT$5+GanttPeriod),"◆",IF(AND($E41&gt;=CT$5,$E41&lt;CT$5+GanttPeriod),"◇","")),IF(AND(CT$5&lt;=$F41,CT$5+GanttPeriod-1&gt;=$E41),"━","")))</f>
        <v/>
      </c>
      <c r="CU41" s="69" t="str">
        <f aca="false">IF($E41="","",IF($M41,IF(AND($G41&gt;=CU$5,$G41&lt;CU$5+GanttPeriod),"◆",IF(AND($E41&gt;=CU$5,$E41&lt;CU$5+GanttPeriod),"◇","")),IF(AND(CU$5&lt;=$F41,CU$5+GanttPeriod-1&gt;=$E41),"━","")))</f>
        <v/>
      </c>
      <c r="CV41" s="69" t="str">
        <f aca="false">IF($E41="","",IF($M41,IF(AND($G41&gt;=CV$5,$G41&lt;CV$5+GanttPeriod),"◆",IF(AND($E41&gt;=CV$5,$E41&lt;CV$5+GanttPeriod),"◇","")),IF(AND(CV$5&lt;=$F41,CV$5+GanttPeriod-1&gt;=$E41),"━","")))</f>
        <v/>
      </c>
      <c r="CW41" s="69" t="str">
        <f aca="false">IF($E41="","",IF($M41,IF(AND($G41&gt;=CW$5,$G41&lt;CW$5+GanttPeriod),"◆",IF(AND($E41&gt;=CW$5,$E41&lt;CW$5+GanttPeriod),"◇","")),IF(AND(CW$5&lt;=$F41,CW$5+GanttPeriod-1&gt;=$E41),"━","")))</f>
        <v/>
      </c>
      <c r="CX41" s="69" t="str">
        <f aca="false">IF($E41="","",IF($M41,IF(AND($G41&gt;=CX$5,$G41&lt;CX$5+GanttPeriod),"◆",IF(AND($E41&gt;=CX$5,$E41&lt;CX$5+GanttPeriod),"◇","")),IF(AND(CX$5&lt;=$F41,CX$5+GanttPeriod-1&gt;=$E41),"━","")))</f>
        <v/>
      </c>
      <c r="CY41" s="69" t="str">
        <f aca="false">IF($E41="","",IF($M41,IF(AND($G41&gt;=CY$5,$G41&lt;CY$5+GanttPeriod),"◆",IF(AND($E41&gt;=CY$5,$E41&lt;CY$5+GanttPeriod),"◇","")),IF(AND(CY$5&lt;=$F41,CY$5+GanttPeriod-1&gt;=$E41),"━","")))</f>
        <v/>
      </c>
      <c r="CZ41" s="69" t="str">
        <f aca="false">IF($E41="","",IF($M41,IF(AND($G41&gt;=CZ$5,$G41&lt;CZ$5+GanttPeriod),"◆",IF(AND($E41&gt;=CZ$5,$E41&lt;CZ$5+GanttPeriod),"◇","")),IF(AND(CZ$5&lt;=$F41,CZ$5+GanttPeriod-1&gt;=$E41),"━","")))</f>
        <v/>
      </c>
      <c r="DA41" s="69" t="str">
        <f aca="false">IF($E41="","",IF($M41,IF(AND($G41&gt;=DA$5,$G41&lt;DA$5+GanttPeriod),"◆",IF(AND($E41&gt;=DA$5,$E41&lt;DA$5+GanttPeriod),"◇","")),IF(AND(DA$5&lt;=$F41,DA$5+GanttPeriod-1&gt;=$E41),"━","")))</f>
        <v/>
      </c>
      <c r="DB41" s="69" t="str">
        <f aca="false">IF($E41="","",IF($M41,IF(AND($G41&gt;=DB$5,$G41&lt;DB$5+GanttPeriod),"◆",IF(AND($E41&gt;=DB$5,$E41&lt;DB$5+GanttPeriod),"◇","")),IF(AND(DB$5&lt;=$F41,DB$5+GanttPeriod-1&gt;=$E41),"━","")))</f>
        <v/>
      </c>
      <c r="DC41" s="69" t="str">
        <f aca="false">IF($E41="","",IF($M41,IF(AND($G41&gt;=DC$5,$G41&lt;DC$5+GanttPeriod),"◆",IF(AND($E41&gt;=DC$5,$E41&lt;DC$5+GanttPeriod),"◇","")),IF(AND(DC$5&lt;=$F41,DC$5+GanttPeriod-1&gt;=$E41),"━","")))</f>
        <v/>
      </c>
      <c r="DD41" s="69" t="str">
        <f aca="false">IF($E41="","",IF($M41,IF(AND($G41&gt;=DD$5,$G41&lt;DD$5+GanttPeriod),"◆",IF(AND($E41&gt;=DD$5,$E41&lt;DD$5+GanttPeriod),"◇","")),IF(AND(DD$5&lt;=$F41,DD$5+GanttPeriod-1&gt;=$E41),"━","")))</f>
        <v/>
      </c>
      <c r="DE41" s="69" t="str">
        <f aca="false">IF($E41="","",IF($M41,IF(AND($G41&gt;=DE$5,$G41&lt;DE$5+GanttPeriod),"◆",IF(AND($E41&gt;=DE$5,$E41&lt;DE$5+GanttPeriod),"◇","")),IF(AND(DE$5&lt;=$F41,DE$5+GanttPeriod-1&gt;=$E41),"━","")))</f>
        <v/>
      </c>
      <c r="DF41" s="69" t="str">
        <f aca="false">IF($E41="","",IF($M41,IF(AND($G41&gt;=DF$5,$G41&lt;DF$5+GanttPeriod),"◆",IF(AND($E41&gt;=DF$5,$E41&lt;DF$5+GanttPeriod),"◇","")),IF(AND(DF$5&lt;=$F41,DF$5+GanttPeriod-1&gt;=$E41),"━","")))</f>
        <v/>
      </c>
      <c r="DG41" s="69" t="str">
        <f aca="false">IF($E41="","",IF($M41,IF(AND($G41&gt;=DG$5,$G41&lt;DG$5+GanttPeriod),"◆",IF(AND($E41&gt;=DG$5,$E41&lt;DG$5+GanttPeriod),"◇","")),IF(AND(DG$5&lt;=$F41,DG$5+GanttPeriod-1&gt;=$E41),"━","")))</f>
        <v/>
      </c>
      <c r="DH41" s="69" t="str">
        <f aca="false">IF($E41="","",IF($M41,IF(AND($G41&gt;=DH$5,$G41&lt;DH$5+GanttPeriod),"◆",IF(AND($E41&gt;=DH$5,$E41&lt;DH$5+GanttPeriod),"◇","")),IF(AND(DH$5&lt;=$F41,DH$5+GanttPeriod-1&gt;=$E41),"━","")))</f>
        <v/>
      </c>
      <c r="DI41" s="69" t="str">
        <f aca="false">IF($E41="","",IF($M41,IF(AND($G41&gt;=DI$5,$G41&lt;DI$5+GanttPeriod),"◆",IF(AND($E41&gt;=DI$5,$E41&lt;DI$5+GanttPeriod),"◇","")),IF(AND(DI$5&lt;=$F41,DI$5+GanttPeriod-1&gt;=$E41),"━","")))</f>
        <v/>
      </c>
      <c r="DJ41" s="69" t="str">
        <f aca="false">IF($E41="","",IF($M41,IF(AND($G41&gt;=DJ$5,$G41&lt;DJ$5+GanttPeriod),"◆",IF(AND($E41&gt;=DJ$5,$E41&lt;DJ$5+GanttPeriod),"◇","")),IF(AND(DJ$5&lt;=$F41,DJ$5+GanttPeriod-1&gt;=$E41),"━","")))</f>
        <v/>
      </c>
      <c r="DK41" s="69" t="str">
        <f aca="false">IF($E41="","",IF($M41,IF(AND($G41&gt;=DK$5,$G41&lt;DK$5+GanttPeriod),"◆",IF(AND($E41&gt;=DK$5,$E41&lt;DK$5+GanttPeriod),"◇","")),IF(AND(DK$5&lt;=$F41,DK$5+GanttPeriod-1&gt;=$E41),"━","")))</f>
        <v/>
      </c>
      <c r="DL41" s="69" t="str">
        <f aca="false">IF($E41="","",IF($M41,IF(AND($G41&gt;=DL$5,$G41&lt;DL$5+GanttPeriod),"◆",IF(AND($E41&gt;=DL$5,$E41&lt;DL$5+GanttPeriod),"◇","")),IF(AND(DL$5&lt;=$F41,DL$5+GanttPeriod-1&gt;=$E41),"━","")))</f>
        <v/>
      </c>
      <c r="DM41" s="69" t="str">
        <f aca="false">IF($E41="","",IF($M41,IF(AND($G41&gt;=DM$5,$G41&lt;DM$5+GanttPeriod),"◆",IF(AND($E41&gt;=DM$5,$E41&lt;DM$5+GanttPeriod),"◇","")),IF(AND(DM$5&lt;=$F41,DM$5+GanttPeriod-1&gt;=$E41),"━","")))</f>
        <v/>
      </c>
      <c r="DN41" s="69" t="str">
        <f aca="false">IF($E41="","",IF($M41,IF(AND($G41&gt;=DN$5,$G41&lt;DN$5+GanttPeriod),"◆",IF(AND($E41&gt;=DN$5,$E41&lt;DN$5+GanttPeriod),"◇","")),IF(AND(DN$5&lt;=$F41,DN$5+GanttPeriod-1&gt;=$E41),"━","")))</f>
        <v/>
      </c>
      <c r="DO41" s="69" t="str">
        <f aca="false">IF($E41="","",IF($M41,IF(AND($G41&gt;=DO$5,$G41&lt;DO$5+GanttPeriod),"◆",IF(AND($E41&gt;=DO$5,$E41&lt;DO$5+GanttPeriod),"◇","")),IF(AND(DO$5&lt;=$F41,DO$5+GanttPeriod-1&gt;=$E41),"━","")))</f>
        <v/>
      </c>
      <c r="DP41" s="69" t="str">
        <f aca="false">IF($E41="","",IF($M41,IF(AND($G41&gt;=DP$5,$G41&lt;DP$5+GanttPeriod),"◆",IF(AND($E41&gt;=DP$5,$E41&lt;DP$5+GanttPeriod),"◇","")),IF(AND(DP$5&lt;=$F41,DP$5+GanttPeriod-1&gt;=$E41),"━","")))</f>
        <v/>
      </c>
      <c r="DQ41" s="69" t="str">
        <f aca="false">IF($E41="","",IF($M41,IF(AND($G41&gt;=DQ$5,$G41&lt;DQ$5+GanttPeriod),"◆",IF(AND($E41&gt;=DQ$5,$E41&lt;DQ$5+GanttPeriod),"◇","")),IF(AND(DQ$5&lt;=$F41,DQ$5+GanttPeriod-1&gt;=$E41),"━","")))</f>
        <v/>
      </c>
      <c r="DR41" s="69" t="str">
        <f aca="false">IF($E41="","",IF($M41,IF(AND($G41&gt;=DR$5,$G41&lt;DR$5+GanttPeriod),"◆",IF(AND($E41&gt;=DR$5,$E41&lt;DR$5+GanttPeriod),"◇","")),IF(AND(DR$5&lt;=$F41,DR$5+GanttPeriod-1&gt;=$E41),"━","")))</f>
        <v/>
      </c>
      <c r="DS41" s="69" t="str">
        <f aca="false">IF($E41="","",IF($M41,IF(AND($G41&gt;=DS$5,$G41&lt;DS$5+GanttPeriod),"◆",IF(AND($E41&gt;=DS$5,$E41&lt;DS$5+GanttPeriod),"◇","")),IF(AND(DS$5&lt;=$F41,DS$5+GanttPeriod-1&gt;=$E41),"━","")))</f>
        <v/>
      </c>
      <c r="DT41" s="69" t="str">
        <f aca="false">IF($E41="","",IF($M41,IF(AND($G41&gt;=DT$5,$G41&lt;DT$5+GanttPeriod),"◆",IF(AND($E41&gt;=DT$5,$E41&lt;DT$5+GanttPeriod),"◇","")),IF(AND(DT$5&lt;=$F41,DT$5+GanttPeriod-1&gt;=$E41),"━","")))</f>
        <v/>
      </c>
      <c r="DU41" s="69" t="str">
        <f aca="false">IF($E41="","",IF($M41,IF(AND($G41&gt;=DU$5,$G41&lt;DU$5+GanttPeriod),"◆",IF(AND($E41&gt;=DU$5,$E41&lt;DU$5+GanttPeriod),"◇","")),IF(AND(DU$5&lt;=$F41,DU$5+GanttPeriod-1&gt;=$E41),"━","")))</f>
        <v/>
      </c>
      <c r="DV41" s="69" t="str">
        <f aca="false">IF($E41="","",IF($M41,IF(AND($G41&gt;=DV$5,$G41&lt;DV$5+GanttPeriod),"◆",IF(AND($E41&gt;=DV$5,$E41&lt;DV$5+GanttPeriod),"◇","")),IF(AND(DV$5&lt;=$F41,DV$5+GanttPeriod-1&gt;=$E41),"━","")))</f>
        <v/>
      </c>
      <c r="DW41" s="69" t="str">
        <f aca="false">IF($E41="","",IF($M41,IF(AND($G41&gt;=DW$5,$G41&lt;DW$5+GanttPeriod),"◆",IF(AND($E41&gt;=DW$5,$E41&lt;DW$5+GanttPeriod),"◇","")),IF(AND(DW$5&lt;=$F41,DW$5+GanttPeriod-1&gt;=$E41),"━","")))</f>
        <v/>
      </c>
      <c r="DX41" s="69" t="str">
        <f aca="false">IF($E41="","",IF($M41,IF(AND($G41&gt;=DX$5,$G41&lt;DX$5+GanttPeriod),"◆",IF(AND($E41&gt;=DX$5,$E41&lt;DX$5+GanttPeriod),"◇","")),IF(AND(DX$5&lt;=$F41,DX$5+GanttPeriod-1&gt;=$E41),"━","")))</f>
        <v/>
      </c>
      <c r="DY41" s="69" t="str">
        <f aca="false">IF($E41="","",IF($M41,IF(AND($G41&gt;=DY$5,$G41&lt;DY$5+GanttPeriod),"◆",IF(AND($E41&gt;=DY$5,$E41&lt;DY$5+GanttPeriod),"◇","")),IF(AND(DY$5&lt;=$F41,DY$5+GanttPeriod-1&gt;=$E41),"━","")))</f>
        <v/>
      </c>
      <c r="DZ41" s="69" t="str">
        <f aca="false">IF($E41="","",IF($M41,IF(AND($G41&gt;=DZ$5,$G41&lt;DZ$5+GanttPeriod),"◆",IF(AND($E41&gt;=DZ$5,$E41&lt;DZ$5+GanttPeriod),"◇","")),IF(AND(DZ$5&lt;=$F41,DZ$5+GanttPeriod-1&gt;=$E41),"━","")))</f>
        <v/>
      </c>
      <c r="EA41" s="69" t="str">
        <f aca="false">IF($E41="","",IF($M41,IF(AND($G41&gt;=EA$5,$G41&lt;EA$5+GanttPeriod),"◆",IF(AND($E41&gt;=EA$5,$E41&lt;EA$5+GanttPeriod),"◇","")),IF(AND(EA$5&lt;=$F41,EA$5+GanttPeriod-1&gt;=$E41),"━","")))</f>
        <v/>
      </c>
      <c r="EB41" s="69" t="str">
        <f aca="false">IF($E41="","",IF($M41,IF(AND($G41&gt;=EB$5,$G41&lt;EB$5+GanttPeriod),"◆",IF(AND($E41&gt;=EB$5,$E41&lt;EB$5+GanttPeriod),"◇","")),IF(AND(EB$5&lt;=$F41,EB$5+GanttPeriod-1&gt;=$E41),"━","")))</f>
        <v/>
      </c>
      <c r="EC41" s="69" t="str">
        <f aca="false">IF($E41="","",IF($M41,IF(AND($G41&gt;=EC$5,$G41&lt;EC$5+GanttPeriod),"◆",IF(AND($E41&gt;=EC$5,$E41&lt;EC$5+GanttPeriod),"◇","")),IF(AND(EC$5&lt;=$F41,EC$5+GanttPeriod-1&gt;=$E41),"━","")))</f>
        <v/>
      </c>
      <c r="ED41" s="69" t="str">
        <f aca="false">IF($E41="","",IF($M41,IF(AND($G41&gt;=ED$5,$G41&lt;ED$5+GanttPeriod),"◆",IF(AND($E41&gt;=ED$5,$E41&lt;ED$5+GanttPeriod),"◇","")),IF(AND(ED$5&lt;=$F41,ED$5+GanttPeriod-1&gt;=$E41),"━","")))</f>
        <v/>
      </c>
      <c r="EE41" s="69" t="str">
        <f aca="false">IF($E41="","",IF($M41,IF(AND($G41&gt;=EE$5,$G41&lt;EE$5+GanttPeriod),"◆",IF(AND($E41&gt;=EE$5,$E41&lt;EE$5+GanttPeriod),"◇","")),IF(AND(EE$5&lt;=$F41,EE$5+GanttPeriod-1&gt;=$E41),"━","")))</f>
        <v/>
      </c>
      <c r="EF41" s="69" t="str">
        <f aca="false">IF($E41="","",IF($M41,IF(AND($G41&gt;=EF$5,$G41&lt;EF$5+GanttPeriod),"◆",IF(AND($E41&gt;=EF$5,$E41&lt;EF$5+GanttPeriod),"◇","")),IF(AND(EF$5&lt;=$F41,EF$5+GanttPeriod-1&gt;=$E41),"━","")))</f>
        <v/>
      </c>
      <c r="EG41" s="69" t="str">
        <f aca="false">IF($E41="","",IF($M41,IF(AND($G41&gt;=EG$5,$G41&lt;EG$5+GanttPeriod),"◆",IF(AND($E41&gt;=EG$5,$E41&lt;EG$5+GanttPeriod),"◇","")),IF(AND(EG$5&lt;=$F41,EG$5+GanttPeriod-1&gt;=$E41),"━","")))</f>
        <v/>
      </c>
      <c r="EH41" s="69" t="str">
        <f aca="false">IF($E41="","",IF($M41,IF(AND($G41&gt;=EH$5,$G41&lt;EH$5+GanttPeriod),"◆",IF(AND($E41&gt;=EH$5,$E41&lt;EH$5+GanttPeriod),"◇","")),IF(AND(EH$5&lt;=$F41,EH$5+GanttPeriod-1&gt;=$E41),"━","")))</f>
        <v/>
      </c>
      <c r="EI41" s="69" t="str">
        <f aca="false">IF($E41="","",IF($M41,IF(AND($G41&gt;=EI$5,$G41&lt;EI$5+GanttPeriod),"◆",IF(AND($E41&gt;=EI$5,$E41&lt;EI$5+GanttPeriod),"◇","")),IF(AND(EI$5&lt;=$F41,EI$5+GanttPeriod-1&gt;=$E41),"━","")))</f>
        <v/>
      </c>
      <c r="EJ41" s="69" t="str">
        <f aca="false">IF($E41="","",IF($M41,IF(AND($G41&gt;=EJ$5,$G41&lt;EJ$5+GanttPeriod),"◆",IF(AND($E41&gt;=EJ$5,$E41&lt;EJ$5+GanttPeriod),"◇","")),IF(AND(EJ$5&lt;=$F41,EJ$5+GanttPeriod-1&gt;=$E41),"━","")))</f>
        <v/>
      </c>
      <c r="EK41" s="69" t="str">
        <f aca="false">IF($E41="","",IF($M41,IF(AND($G41&gt;=EK$5,$G41&lt;EK$5+GanttPeriod),"◆",IF(AND($E41&gt;=EK$5,$E41&lt;EK$5+GanttPeriod),"◇","")),IF(AND(EK$5&lt;=$F41,EK$5+GanttPeriod-1&gt;=$E41),"━","")))</f>
        <v/>
      </c>
      <c r="EL41" s="69" t="str">
        <f aca="false">IF($E41="","",IF($M41,IF(AND($G41&gt;=EL$5,$G41&lt;EL$5+GanttPeriod),"◆",IF(AND($E41&gt;=EL$5,$E41&lt;EL$5+GanttPeriod),"◇","")),IF(AND(EL$5&lt;=$F41,EL$5+GanttPeriod-1&gt;=$E41),"━","")))</f>
        <v/>
      </c>
      <c r="EM41" s="69" t="str">
        <f aca="false">IF($E41="","",IF($M41,IF(AND($G41&gt;=EM$5,$G41&lt;EM$5+GanttPeriod),"◆",IF(AND($E41&gt;=EM$5,$E41&lt;EM$5+GanttPeriod),"◇","")),IF(AND(EM$5&lt;=$F41,EM$5+GanttPeriod-1&gt;=$E41),"━","")))</f>
        <v/>
      </c>
      <c r="EN41" s="69" t="str">
        <f aca="false">IF($E41="","",IF($M41,IF(AND($G41&gt;=EN$5,$G41&lt;EN$5+GanttPeriod),"◆",IF(AND($E41&gt;=EN$5,$E41&lt;EN$5+GanttPeriod),"◇","")),IF(AND(EN$5&lt;=$F41,EN$5+GanttPeriod-1&gt;=$E41),"━","")))</f>
        <v/>
      </c>
      <c r="EO41" s="69" t="str">
        <f aca="false">IF($E41="","",IF($M41,IF(AND($G41&gt;=EO$5,$G41&lt;EO$5+GanttPeriod),"◆",IF(AND($E41&gt;=EO$5,$E41&lt;EO$5+GanttPeriod),"◇","")),IF(AND(EO$5&lt;=$F41,EO$5+GanttPeriod-1&gt;=$E41),"━","")))</f>
        <v/>
      </c>
      <c r="EP41" s="69" t="str">
        <f aca="false">IF($E41="","",IF($M41,IF(AND($G41&gt;=EP$5,$G41&lt;EP$5+GanttPeriod),"◆",IF(AND($E41&gt;=EP$5,$E41&lt;EP$5+GanttPeriod),"◇","")),IF(AND(EP$5&lt;=$F41,EP$5+GanttPeriod-1&gt;=$E41),"━","")))</f>
        <v/>
      </c>
      <c r="EQ41" s="69" t="str">
        <f aca="false">IF($E41="","",IF($M41,IF(AND($G41&gt;=EQ$5,$G41&lt;EQ$5+GanttPeriod),"◆",IF(AND($E41&gt;=EQ$5,$E41&lt;EQ$5+GanttPeriod),"◇","")),IF(AND(EQ$5&lt;=$F41,EQ$5+GanttPeriod-1&gt;=$E41),"━","")))</f>
        <v/>
      </c>
      <c r="ER41" s="69" t="str">
        <f aca="false">IF($E41="","",IF($M41,IF(AND($G41&gt;=ER$5,$G41&lt;ER$5+GanttPeriod),"◆",IF(AND($E41&gt;=ER$5,$E41&lt;ER$5+GanttPeriod),"◇","")),IF(AND(ER$5&lt;=$F41,ER$5+GanttPeriod-1&gt;=$E41),"━","")))</f>
        <v/>
      </c>
      <c r="ES41" s="69" t="str">
        <f aca="false">IF($E41="","",IF($M41,IF(AND($G41&gt;=ES$5,$G41&lt;ES$5+GanttPeriod),"◆",IF(AND($E41&gt;=ES$5,$E41&lt;ES$5+GanttPeriod),"◇","")),IF(AND(ES$5&lt;=$F41,ES$5+GanttPeriod-1&gt;=$E41),"━","")))</f>
        <v/>
      </c>
      <c r="ET41" s="69" t="str">
        <f aca="false">IF($E41="","",IF($M41,IF(AND($G41&gt;=ET$5,$G41&lt;ET$5+GanttPeriod),"◆",IF(AND($E41&gt;=ET$5,$E41&lt;ET$5+GanttPeriod),"◇","")),IF(AND(ET$5&lt;=$F41,ET$5+GanttPeriod-1&gt;=$E41),"━","")))</f>
        <v/>
      </c>
      <c r="EU41" s="69" t="str">
        <f aca="false">IF($E41="","",IF($M41,IF(AND($G41&gt;=EU$5,$G41&lt;EU$5+GanttPeriod),"◆",IF(AND($E41&gt;=EU$5,$E41&lt;EU$5+GanttPeriod),"◇","")),IF(AND(EU$5&lt;=$F41,EU$5+GanttPeriod-1&gt;=$E41),"━","")))</f>
        <v/>
      </c>
      <c r="EV41" s="69" t="str">
        <f aca="false">IF($E41="","",IF($M41,IF(AND($G41&gt;=EV$5,$G41&lt;EV$5+GanttPeriod),"◆",IF(AND($E41&gt;=EV$5,$E41&lt;EV$5+GanttPeriod),"◇","")),IF(AND(EV$5&lt;=$F41,EV$5+GanttPeriod-1&gt;=$E41),"━","")))</f>
        <v/>
      </c>
      <c r="EW41" s="69" t="str">
        <f aca="false">IF($E41="","",IF($M41,IF(AND($G41&gt;=EW$5,$G41&lt;EW$5+GanttPeriod),"◆",IF(AND($E41&gt;=EW$5,$E41&lt;EW$5+GanttPeriod),"◇","")),IF(AND(EW$5&lt;=$F41,EW$5+GanttPeriod-1&gt;=$E41),"━","")))</f>
        <v/>
      </c>
      <c r="EX41" s="69" t="str">
        <f aca="false">IF($E41="","",IF($M41,IF(AND($G41&gt;=EX$5,$G41&lt;EX$5+GanttPeriod),"◆",IF(AND($E41&gt;=EX$5,$E41&lt;EX$5+GanttPeriod),"◇","")),IF(AND(EX$5&lt;=$F41,EX$5+GanttPeriod-1&gt;=$E41),"━","")))</f>
        <v/>
      </c>
      <c r="EY41" s="69" t="str">
        <f aca="false">IF($E41="","",IF($M41,IF(AND($G41&gt;=EY$5,$G41&lt;EY$5+GanttPeriod),"◆",IF(AND($E41&gt;=EY$5,$E41&lt;EY$5+GanttPeriod),"◇","")),IF(AND(EY$5&lt;=$F41,EY$5+GanttPeriod-1&gt;=$E41),"━","")))</f>
        <v/>
      </c>
      <c r="EZ41" s="69" t="str">
        <f aca="false">IF($E41="","",IF($M41,IF(AND($G41&gt;=EZ$5,$G41&lt;EZ$5+GanttPeriod),"◆",IF(AND($E41&gt;=EZ$5,$E41&lt;EZ$5+GanttPeriod),"◇","")),IF(AND(EZ$5&lt;=$F41,EZ$5+GanttPeriod-1&gt;=$E41),"━","")))</f>
        <v/>
      </c>
      <c r="FA41" s="69" t="str">
        <f aca="false">IF($E41="","",IF($M41,IF(AND($G41&gt;=FA$5,$G41&lt;FA$5+GanttPeriod),"◆",IF(AND($E41&gt;=FA$5,$E41&lt;FA$5+GanttPeriod),"◇","")),IF(AND(FA$5&lt;=$F41,FA$5+GanttPeriod-1&gt;=$E41),"━","")))</f>
        <v/>
      </c>
      <c r="FB41" s="69" t="str">
        <f aca="false">IF($E41="","",IF($M41,IF(AND($G41&gt;=FB$5,$G41&lt;FB$5+GanttPeriod),"◆",IF(AND($E41&gt;=FB$5,$E41&lt;FB$5+GanttPeriod),"◇","")),IF(AND(FB$5&lt;=$F41,FB$5+GanttPeriod-1&gt;=$E41),"━","")))</f>
        <v/>
      </c>
      <c r="FC41" s="69" t="str">
        <f aca="false">IF($E41="","",IF($M41,IF(AND($G41&gt;=FC$5,$G41&lt;FC$5+GanttPeriod),"◆",IF(AND($E41&gt;=FC$5,$E41&lt;FC$5+GanttPeriod),"◇","")),IF(AND(FC$5&lt;=$F41,FC$5+GanttPeriod-1&gt;=$E41),"━","")))</f>
        <v/>
      </c>
      <c r="FD41" s="69" t="str">
        <f aca="false">IF($E41="","",IF($M41,IF(AND($G41&gt;=FD$5,$G41&lt;FD$5+GanttPeriod),"◆",IF(AND($E41&gt;=FD$5,$E41&lt;FD$5+GanttPeriod),"◇","")),IF(AND(FD$5&lt;=$F41,FD$5+GanttPeriod-1&gt;=$E41),"━","")))</f>
        <v/>
      </c>
      <c r="FE41" s="69" t="str">
        <f aca="false">IF($E41="","",IF($M41,IF(AND($G41&gt;=FE$5,$G41&lt;FE$5+GanttPeriod),"◆",IF(AND($E41&gt;=FE$5,$E41&lt;FE$5+GanttPeriod),"◇","")),IF(AND(FE$5&lt;=$F41,FE$5+GanttPeriod-1&gt;=$E41),"━","")))</f>
        <v/>
      </c>
      <c r="FF41" s="69" t="str">
        <f aca="false">IF($E41="","",IF($M41,IF(AND($G41&gt;=FF$5,$G41&lt;FF$5+GanttPeriod),"◆",IF(AND($E41&gt;=FF$5,$E41&lt;FF$5+GanttPeriod),"◇","")),IF(AND(FF$5&lt;=$F41,FF$5+GanttPeriod-1&gt;=$E41),"━","")))</f>
        <v/>
      </c>
      <c r="FG41" s="69" t="str">
        <f aca="false">IF($E41="","",IF($M41,IF(AND($G41&gt;=FG$5,$G41&lt;FG$5+GanttPeriod),"◆",IF(AND($E41&gt;=FG$5,$E41&lt;FG$5+GanttPeriod),"◇","")),IF(AND(FG$5&lt;=$F41,FG$5+GanttPeriod-1&gt;=$E41),"━","")))</f>
        <v/>
      </c>
      <c r="FH41" s="69" t="str">
        <f aca="false">IF($E41="","",IF($M41,IF(AND($G41&gt;=FH$5,$G41&lt;FH$5+GanttPeriod),"◆",IF(AND($E41&gt;=FH$5,$E41&lt;FH$5+GanttPeriod),"◇","")),IF(AND(FH$5&lt;=$F41,FH$5+GanttPeriod-1&gt;=$E41),"━","")))</f>
        <v/>
      </c>
      <c r="FI41" s="69" t="str">
        <f aca="false">IF($E41="","",IF($M41,IF(AND($G41&gt;=FI$5,$G41&lt;FI$5+GanttPeriod),"◆",IF(AND($E41&gt;=FI$5,$E41&lt;FI$5+GanttPeriod),"◇","")),IF(AND(FI$5&lt;=$F41,FI$5+GanttPeriod-1&gt;=$E41),"━","")))</f>
        <v/>
      </c>
      <c r="FJ41" s="69" t="str">
        <f aca="false">IF($E41="","",IF($M41,IF(AND($G41&gt;=FJ$5,$G41&lt;FJ$5+GanttPeriod),"◆",IF(AND($E41&gt;=FJ$5,$E41&lt;FJ$5+GanttPeriod),"◇","")),IF(AND(FJ$5&lt;=$F41,FJ$5+GanttPeriod-1&gt;=$E41),"━","")))</f>
        <v/>
      </c>
      <c r="FK41" s="69" t="str">
        <f aca="false">IF($E41="","",IF($M41,IF(AND($G41&gt;=FK$5,$G41&lt;FK$5+GanttPeriod),"◆",IF(AND($E41&gt;=FK$5,$E41&lt;FK$5+GanttPeriod),"◇","")),IF(AND(FK$5&lt;=$F41,FK$5+GanttPeriod-1&gt;=$E41),"━","")))</f>
        <v/>
      </c>
      <c r="FL41" s="69" t="str">
        <f aca="false">IF($E41="","",IF($M41,IF(AND($G41&gt;=FL$5,$G41&lt;FL$5+GanttPeriod),"◆",IF(AND($E41&gt;=FL$5,$E41&lt;FL$5+GanttPeriod),"◇","")),IF(AND(FL$5&lt;=$F41,FL$5+GanttPeriod-1&gt;=$E41),"━","")))</f>
        <v/>
      </c>
      <c r="FM41" s="69" t="str">
        <f aca="false">IF($E41="","",IF($M41,IF(AND($G41&gt;=FM$5,$G41&lt;FM$5+GanttPeriod),"◆",IF(AND($E41&gt;=FM$5,$E41&lt;FM$5+GanttPeriod),"◇","")),IF(AND(FM$5&lt;=$F41,FM$5+GanttPeriod-1&gt;=$E41),"━","")))</f>
        <v/>
      </c>
    </row>
    <row r="42" customFormat="false" ht="15" hidden="false" customHeight="false" outlineLevel="0" collapsed="false">
      <c r="A42" s="62" t="str">
        <f aca="false">IF(Tasks!$D42="","",Tasks!$A42)</f>
        <v/>
      </c>
      <c r="B42" s="62" t="str">
        <f aca="false">IF(Tasks!$D42="","",Tasks!$B42)</f>
        <v/>
      </c>
      <c r="C42" s="63" t="str">
        <f aca="false">IF(Tasks!$D42="","",REPT("    ",Tasks!$AE42-1)&amp;Tasks!$D42)</f>
        <v/>
      </c>
      <c r="D42" s="62" t="str">
        <f aca="false">IF(Tasks!$D42="","",IF(Tasks!$AI42,NETWORKDAYS.INTL(Tasks!$R42,Tasks!$S42,WorkWeek,Holidays),N(Tasks!$F42)))</f>
        <v/>
      </c>
      <c r="E42" s="64" t="str">
        <f aca="false">IF(Tasks!$D42="","",Tasks!$N42)</f>
        <v/>
      </c>
      <c r="F42" s="64" t="str">
        <f aca="false">IF(Tasks!$D42="","",Tasks!$O42)</f>
        <v/>
      </c>
      <c r="G42" s="64" t="str">
        <f aca="false">IF(Tasks!$D42="","",Tasks!$R42)</f>
        <v/>
      </c>
      <c r="H42" s="64" t="str">
        <f aca="false">IF(Tasks!$D42="","",Tasks!$S42)</f>
        <v/>
      </c>
      <c r="I42" s="65" t="str">
        <f aca="false">IF(Tasks!$D42="","",Tasks!$V42)</f>
        <v/>
      </c>
      <c r="J42" s="63" t="str">
        <f aca="false">IF(Tasks!$D42="","",Tasks!$X42&amp;"")</f>
        <v/>
      </c>
      <c r="K42" s="66" t="str">
        <f aca="false">IF(Tasks!$D42="","",Tasks!$W42)</f>
        <v/>
      </c>
      <c r="L42" s="67" t="b">
        <f aca="false">IF(Tasks!$D42="",FALSE(),Tasks!$AI42)</f>
        <v>0</v>
      </c>
      <c r="M42" s="67" t="b">
        <f aca="false">AND(Tasks!$AJ42=1,N(Tasks!$F42)=0)</f>
        <v>0</v>
      </c>
      <c r="N42" s="68" t="n">
        <f aca="false">IF(AND(Tasks!$AJ42=1,NOT($M42),N($I42)&gt;0),$G42,0)</f>
        <v>0</v>
      </c>
      <c r="O42" s="68" t="n">
        <f aca="false">IF($N42=0,0,IF($I42&gt;=1,$H42,MAX($N42,$G42+ROUND(($H42-$G42+1)*$I42,0)-1)))</f>
        <v>0</v>
      </c>
      <c r="P42" s="68" t="n">
        <f aca="false">IF(OR(Tasks!$AJ42&lt;&gt;1,$M42,N($I42)&gt;=1),0,IF($O42&gt;0,$O42+1,$G42))</f>
        <v>0</v>
      </c>
      <c r="Q42" s="68" t="n">
        <f aca="false">IF($P42=0,0,$H42)</f>
        <v>0</v>
      </c>
      <c r="R42" s="67" t="b">
        <f aca="false">AND(Tasks!$D42&lt;&gt;"",N(Tasks!$T42)&gt;0)</f>
        <v>0</v>
      </c>
      <c r="T42" s="69" t="str">
        <f aca="false">IF($E42="","",IF($M42,IF(AND($G42&gt;=T$5,$G42&lt;T$5+GanttPeriod),"◆",IF(AND($E42&gt;=T$5,$E42&lt;T$5+GanttPeriod),"◇","")),IF(AND(T$5&lt;=$F42,T$5+GanttPeriod-1&gt;=$E42),"━","")))</f>
        <v/>
      </c>
      <c r="U42" s="69" t="str">
        <f aca="false">IF($E42="","",IF($M42,IF(AND($G42&gt;=U$5,$G42&lt;U$5+GanttPeriod),"◆",IF(AND($E42&gt;=U$5,$E42&lt;U$5+GanttPeriod),"◇","")),IF(AND(U$5&lt;=$F42,U$5+GanttPeriod-1&gt;=$E42),"━","")))</f>
        <v/>
      </c>
      <c r="V42" s="69" t="str">
        <f aca="false">IF($E42="","",IF($M42,IF(AND($G42&gt;=V$5,$G42&lt;V$5+GanttPeriod),"◆",IF(AND($E42&gt;=V$5,$E42&lt;V$5+GanttPeriod),"◇","")),IF(AND(V$5&lt;=$F42,V$5+GanttPeriod-1&gt;=$E42),"━","")))</f>
        <v/>
      </c>
      <c r="W42" s="69" t="str">
        <f aca="false">IF($E42="","",IF($M42,IF(AND($G42&gt;=W$5,$G42&lt;W$5+GanttPeriod),"◆",IF(AND($E42&gt;=W$5,$E42&lt;W$5+GanttPeriod),"◇","")),IF(AND(W$5&lt;=$F42,W$5+GanttPeriod-1&gt;=$E42),"━","")))</f>
        <v/>
      </c>
      <c r="X42" s="69" t="str">
        <f aca="false">IF($E42="","",IF($M42,IF(AND($G42&gt;=X$5,$G42&lt;X$5+GanttPeriod),"◆",IF(AND($E42&gt;=X$5,$E42&lt;X$5+GanttPeriod),"◇","")),IF(AND(X$5&lt;=$F42,X$5+GanttPeriod-1&gt;=$E42),"━","")))</f>
        <v/>
      </c>
      <c r="Y42" s="69" t="str">
        <f aca="false">IF($E42="","",IF($M42,IF(AND($G42&gt;=Y$5,$G42&lt;Y$5+GanttPeriod),"◆",IF(AND($E42&gt;=Y$5,$E42&lt;Y$5+GanttPeriod),"◇","")),IF(AND(Y$5&lt;=$F42,Y$5+GanttPeriod-1&gt;=$E42),"━","")))</f>
        <v/>
      </c>
      <c r="Z42" s="69" t="str">
        <f aca="false">IF($E42="","",IF($M42,IF(AND($G42&gt;=Z$5,$G42&lt;Z$5+GanttPeriod),"◆",IF(AND($E42&gt;=Z$5,$E42&lt;Z$5+GanttPeriod),"◇","")),IF(AND(Z$5&lt;=$F42,Z$5+GanttPeriod-1&gt;=$E42),"━","")))</f>
        <v/>
      </c>
      <c r="AA42" s="69" t="str">
        <f aca="false">IF($E42="","",IF($M42,IF(AND($G42&gt;=AA$5,$G42&lt;AA$5+GanttPeriod),"◆",IF(AND($E42&gt;=AA$5,$E42&lt;AA$5+GanttPeriod),"◇","")),IF(AND(AA$5&lt;=$F42,AA$5+GanttPeriod-1&gt;=$E42),"━","")))</f>
        <v/>
      </c>
      <c r="AB42" s="69" t="str">
        <f aca="false">IF($E42="","",IF($M42,IF(AND($G42&gt;=AB$5,$G42&lt;AB$5+GanttPeriod),"◆",IF(AND($E42&gt;=AB$5,$E42&lt;AB$5+GanttPeriod),"◇","")),IF(AND(AB$5&lt;=$F42,AB$5+GanttPeriod-1&gt;=$E42),"━","")))</f>
        <v/>
      </c>
      <c r="AC42" s="69" t="str">
        <f aca="false">IF($E42="","",IF($M42,IF(AND($G42&gt;=AC$5,$G42&lt;AC$5+GanttPeriod),"◆",IF(AND($E42&gt;=AC$5,$E42&lt;AC$5+GanttPeriod),"◇","")),IF(AND(AC$5&lt;=$F42,AC$5+GanttPeriod-1&gt;=$E42),"━","")))</f>
        <v/>
      </c>
      <c r="AD42" s="69" t="str">
        <f aca="false">IF($E42="","",IF($M42,IF(AND($G42&gt;=AD$5,$G42&lt;AD$5+GanttPeriod),"◆",IF(AND($E42&gt;=AD$5,$E42&lt;AD$5+GanttPeriod),"◇","")),IF(AND(AD$5&lt;=$F42,AD$5+GanttPeriod-1&gt;=$E42),"━","")))</f>
        <v/>
      </c>
      <c r="AE42" s="69" t="str">
        <f aca="false">IF($E42="","",IF($M42,IF(AND($G42&gt;=AE$5,$G42&lt;AE$5+GanttPeriod),"◆",IF(AND($E42&gt;=AE$5,$E42&lt;AE$5+GanttPeriod),"◇","")),IF(AND(AE$5&lt;=$F42,AE$5+GanttPeriod-1&gt;=$E42),"━","")))</f>
        <v/>
      </c>
      <c r="AF42" s="69" t="str">
        <f aca="false">IF($E42="","",IF($M42,IF(AND($G42&gt;=AF$5,$G42&lt;AF$5+GanttPeriod),"◆",IF(AND($E42&gt;=AF$5,$E42&lt;AF$5+GanttPeriod),"◇","")),IF(AND(AF$5&lt;=$F42,AF$5+GanttPeriod-1&gt;=$E42),"━","")))</f>
        <v/>
      </c>
      <c r="AG42" s="69" t="str">
        <f aca="false">IF($E42="","",IF($M42,IF(AND($G42&gt;=AG$5,$G42&lt;AG$5+GanttPeriod),"◆",IF(AND($E42&gt;=AG$5,$E42&lt;AG$5+GanttPeriod),"◇","")),IF(AND(AG$5&lt;=$F42,AG$5+GanttPeriod-1&gt;=$E42),"━","")))</f>
        <v/>
      </c>
      <c r="AH42" s="69" t="str">
        <f aca="false">IF($E42="","",IF($M42,IF(AND($G42&gt;=AH$5,$G42&lt;AH$5+GanttPeriod),"◆",IF(AND($E42&gt;=AH$5,$E42&lt;AH$5+GanttPeriod),"◇","")),IF(AND(AH$5&lt;=$F42,AH$5+GanttPeriod-1&gt;=$E42),"━","")))</f>
        <v/>
      </c>
      <c r="AI42" s="69" t="str">
        <f aca="false">IF($E42="","",IF($M42,IF(AND($G42&gt;=AI$5,$G42&lt;AI$5+GanttPeriod),"◆",IF(AND($E42&gt;=AI$5,$E42&lt;AI$5+GanttPeriod),"◇","")),IF(AND(AI$5&lt;=$F42,AI$5+GanttPeriod-1&gt;=$E42),"━","")))</f>
        <v/>
      </c>
      <c r="AJ42" s="69" t="str">
        <f aca="false">IF($E42="","",IF($M42,IF(AND($G42&gt;=AJ$5,$G42&lt;AJ$5+GanttPeriod),"◆",IF(AND($E42&gt;=AJ$5,$E42&lt;AJ$5+GanttPeriod),"◇","")),IF(AND(AJ$5&lt;=$F42,AJ$5+GanttPeriod-1&gt;=$E42),"━","")))</f>
        <v/>
      </c>
      <c r="AK42" s="69" t="str">
        <f aca="false">IF($E42="","",IF($M42,IF(AND($G42&gt;=AK$5,$G42&lt;AK$5+GanttPeriod),"◆",IF(AND($E42&gt;=AK$5,$E42&lt;AK$5+GanttPeriod),"◇","")),IF(AND(AK$5&lt;=$F42,AK$5+GanttPeriod-1&gt;=$E42),"━","")))</f>
        <v/>
      </c>
      <c r="AL42" s="69" t="str">
        <f aca="false">IF($E42="","",IF($M42,IF(AND($G42&gt;=AL$5,$G42&lt;AL$5+GanttPeriod),"◆",IF(AND($E42&gt;=AL$5,$E42&lt;AL$5+GanttPeriod),"◇","")),IF(AND(AL$5&lt;=$F42,AL$5+GanttPeriod-1&gt;=$E42),"━","")))</f>
        <v/>
      </c>
      <c r="AM42" s="69" t="str">
        <f aca="false">IF($E42="","",IF($M42,IF(AND($G42&gt;=AM$5,$G42&lt;AM$5+GanttPeriod),"◆",IF(AND($E42&gt;=AM$5,$E42&lt;AM$5+GanttPeriod),"◇","")),IF(AND(AM$5&lt;=$F42,AM$5+GanttPeriod-1&gt;=$E42),"━","")))</f>
        <v/>
      </c>
      <c r="AN42" s="69" t="str">
        <f aca="false">IF($E42="","",IF($M42,IF(AND($G42&gt;=AN$5,$G42&lt;AN$5+GanttPeriod),"◆",IF(AND($E42&gt;=AN$5,$E42&lt;AN$5+GanttPeriod),"◇","")),IF(AND(AN$5&lt;=$F42,AN$5+GanttPeriod-1&gt;=$E42),"━","")))</f>
        <v/>
      </c>
      <c r="AO42" s="69" t="str">
        <f aca="false">IF($E42="","",IF($M42,IF(AND($G42&gt;=AO$5,$G42&lt;AO$5+GanttPeriod),"◆",IF(AND($E42&gt;=AO$5,$E42&lt;AO$5+GanttPeriod),"◇","")),IF(AND(AO$5&lt;=$F42,AO$5+GanttPeriod-1&gt;=$E42),"━","")))</f>
        <v/>
      </c>
      <c r="AP42" s="69" t="str">
        <f aca="false">IF($E42="","",IF($M42,IF(AND($G42&gt;=AP$5,$G42&lt;AP$5+GanttPeriod),"◆",IF(AND($E42&gt;=AP$5,$E42&lt;AP$5+GanttPeriod),"◇","")),IF(AND(AP$5&lt;=$F42,AP$5+GanttPeriod-1&gt;=$E42),"━","")))</f>
        <v/>
      </c>
      <c r="AQ42" s="69" t="str">
        <f aca="false">IF($E42="","",IF($M42,IF(AND($G42&gt;=AQ$5,$G42&lt;AQ$5+GanttPeriod),"◆",IF(AND($E42&gt;=AQ$5,$E42&lt;AQ$5+GanttPeriod),"◇","")),IF(AND(AQ$5&lt;=$F42,AQ$5+GanttPeriod-1&gt;=$E42),"━","")))</f>
        <v/>
      </c>
      <c r="AR42" s="69" t="str">
        <f aca="false">IF($E42="","",IF($M42,IF(AND($G42&gt;=AR$5,$G42&lt;AR$5+GanttPeriod),"◆",IF(AND($E42&gt;=AR$5,$E42&lt;AR$5+GanttPeriod),"◇","")),IF(AND(AR$5&lt;=$F42,AR$5+GanttPeriod-1&gt;=$E42),"━","")))</f>
        <v/>
      </c>
      <c r="AS42" s="69" t="str">
        <f aca="false">IF($E42="","",IF($M42,IF(AND($G42&gt;=AS$5,$G42&lt;AS$5+GanttPeriod),"◆",IF(AND($E42&gt;=AS$5,$E42&lt;AS$5+GanttPeriod),"◇","")),IF(AND(AS$5&lt;=$F42,AS$5+GanttPeriod-1&gt;=$E42),"━","")))</f>
        <v/>
      </c>
      <c r="AT42" s="69" t="str">
        <f aca="false">IF($E42="","",IF($M42,IF(AND($G42&gt;=AT$5,$G42&lt;AT$5+GanttPeriod),"◆",IF(AND($E42&gt;=AT$5,$E42&lt;AT$5+GanttPeriod),"◇","")),IF(AND(AT$5&lt;=$F42,AT$5+GanttPeriod-1&gt;=$E42),"━","")))</f>
        <v/>
      </c>
      <c r="AU42" s="69" t="str">
        <f aca="false">IF($E42="","",IF($M42,IF(AND($G42&gt;=AU$5,$G42&lt;AU$5+GanttPeriod),"◆",IF(AND($E42&gt;=AU$5,$E42&lt;AU$5+GanttPeriod),"◇","")),IF(AND(AU$5&lt;=$F42,AU$5+GanttPeriod-1&gt;=$E42),"━","")))</f>
        <v/>
      </c>
      <c r="AV42" s="69" t="str">
        <f aca="false">IF($E42="","",IF($M42,IF(AND($G42&gt;=AV$5,$G42&lt;AV$5+GanttPeriod),"◆",IF(AND($E42&gt;=AV$5,$E42&lt;AV$5+GanttPeriod),"◇","")),IF(AND(AV$5&lt;=$F42,AV$5+GanttPeriod-1&gt;=$E42),"━","")))</f>
        <v/>
      </c>
      <c r="AW42" s="69" t="str">
        <f aca="false">IF($E42="","",IF($M42,IF(AND($G42&gt;=AW$5,$G42&lt;AW$5+GanttPeriod),"◆",IF(AND($E42&gt;=AW$5,$E42&lt;AW$5+GanttPeriod),"◇","")),IF(AND(AW$5&lt;=$F42,AW$5+GanttPeriod-1&gt;=$E42),"━","")))</f>
        <v/>
      </c>
      <c r="AX42" s="69" t="str">
        <f aca="false">IF($E42="","",IF($M42,IF(AND($G42&gt;=AX$5,$G42&lt;AX$5+GanttPeriod),"◆",IF(AND($E42&gt;=AX$5,$E42&lt;AX$5+GanttPeriod),"◇","")),IF(AND(AX$5&lt;=$F42,AX$5+GanttPeriod-1&gt;=$E42),"━","")))</f>
        <v/>
      </c>
      <c r="AY42" s="69" t="str">
        <f aca="false">IF($E42="","",IF($M42,IF(AND($G42&gt;=AY$5,$G42&lt;AY$5+GanttPeriod),"◆",IF(AND($E42&gt;=AY$5,$E42&lt;AY$5+GanttPeriod),"◇","")),IF(AND(AY$5&lt;=$F42,AY$5+GanttPeriod-1&gt;=$E42),"━","")))</f>
        <v/>
      </c>
      <c r="AZ42" s="69" t="str">
        <f aca="false">IF($E42="","",IF($M42,IF(AND($G42&gt;=AZ$5,$G42&lt;AZ$5+GanttPeriod),"◆",IF(AND($E42&gt;=AZ$5,$E42&lt;AZ$5+GanttPeriod),"◇","")),IF(AND(AZ$5&lt;=$F42,AZ$5+GanttPeriod-1&gt;=$E42),"━","")))</f>
        <v/>
      </c>
      <c r="BA42" s="69" t="str">
        <f aca="false">IF($E42="","",IF($M42,IF(AND($G42&gt;=BA$5,$G42&lt;BA$5+GanttPeriod),"◆",IF(AND($E42&gt;=BA$5,$E42&lt;BA$5+GanttPeriod),"◇","")),IF(AND(BA$5&lt;=$F42,BA$5+GanttPeriod-1&gt;=$E42),"━","")))</f>
        <v/>
      </c>
      <c r="BB42" s="69" t="str">
        <f aca="false">IF($E42="","",IF($M42,IF(AND($G42&gt;=BB$5,$G42&lt;BB$5+GanttPeriod),"◆",IF(AND($E42&gt;=BB$5,$E42&lt;BB$5+GanttPeriod),"◇","")),IF(AND(BB$5&lt;=$F42,BB$5+GanttPeriod-1&gt;=$E42),"━","")))</f>
        <v/>
      </c>
      <c r="BC42" s="69" t="str">
        <f aca="false">IF($E42="","",IF($M42,IF(AND($G42&gt;=BC$5,$G42&lt;BC$5+GanttPeriod),"◆",IF(AND($E42&gt;=BC$5,$E42&lt;BC$5+GanttPeriod),"◇","")),IF(AND(BC$5&lt;=$F42,BC$5+GanttPeriod-1&gt;=$E42),"━","")))</f>
        <v/>
      </c>
      <c r="BD42" s="69" t="str">
        <f aca="false">IF($E42="","",IF($M42,IF(AND($G42&gt;=BD$5,$G42&lt;BD$5+GanttPeriod),"◆",IF(AND($E42&gt;=BD$5,$E42&lt;BD$5+GanttPeriod),"◇","")),IF(AND(BD$5&lt;=$F42,BD$5+GanttPeriod-1&gt;=$E42),"━","")))</f>
        <v/>
      </c>
      <c r="BE42" s="69" t="str">
        <f aca="false">IF($E42="","",IF($M42,IF(AND($G42&gt;=BE$5,$G42&lt;BE$5+GanttPeriod),"◆",IF(AND($E42&gt;=BE$5,$E42&lt;BE$5+GanttPeriod),"◇","")),IF(AND(BE$5&lt;=$F42,BE$5+GanttPeriod-1&gt;=$E42),"━","")))</f>
        <v/>
      </c>
      <c r="BF42" s="69" t="str">
        <f aca="false">IF($E42="","",IF($M42,IF(AND($G42&gt;=BF$5,$G42&lt;BF$5+GanttPeriod),"◆",IF(AND($E42&gt;=BF$5,$E42&lt;BF$5+GanttPeriod),"◇","")),IF(AND(BF$5&lt;=$F42,BF$5+GanttPeriod-1&gt;=$E42),"━","")))</f>
        <v/>
      </c>
      <c r="BG42" s="69" t="str">
        <f aca="false">IF($E42="","",IF($M42,IF(AND($G42&gt;=BG$5,$G42&lt;BG$5+GanttPeriod),"◆",IF(AND($E42&gt;=BG$5,$E42&lt;BG$5+GanttPeriod),"◇","")),IF(AND(BG$5&lt;=$F42,BG$5+GanttPeriod-1&gt;=$E42),"━","")))</f>
        <v/>
      </c>
      <c r="BH42" s="69" t="str">
        <f aca="false">IF($E42="","",IF($M42,IF(AND($G42&gt;=BH$5,$G42&lt;BH$5+GanttPeriod),"◆",IF(AND($E42&gt;=BH$5,$E42&lt;BH$5+GanttPeriod),"◇","")),IF(AND(BH$5&lt;=$F42,BH$5+GanttPeriod-1&gt;=$E42),"━","")))</f>
        <v/>
      </c>
      <c r="BI42" s="69" t="str">
        <f aca="false">IF($E42="","",IF($M42,IF(AND($G42&gt;=BI$5,$G42&lt;BI$5+GanttPeriod),"◆",IF(AND($E42&gt;=BI$5,$E42&lt;BI$5+GanttPeriod),"◇","")),IF(AND(BI$5&lt;=$F42,BI$5+GanttPeriod-1&gt;=$E42),"━","")))</f>
        <v/>
      </c>
      <c r="BJ42" s="69" t="str">
        <f aca="false">IF($E42="","",IF($M42,IF(AND($G42&gt;=BJ$5,$G42&lt;BJ$5+GanttPeriod),"◆",IF(AND($E42&gt;=BJ$5,$E42&lt;BJ$5+GanttPeriod),"◇","")),IF(AND(BJ$5&lt;=$F42,BJ$5+GanttPeriod-1&gt;=$E42),"━","")))</f>
        <v/>
      </c>
      <c r="BK42" s="69" t="str">
        <f aca="false">IF($E42="","",IF($M42,IF(AND($G42&gt;=BK$5,$G42&lt;BK$5+GanttPeriod),"◆",IF(AND($E42&gt;=BK$5,$E42&lt;BK$5+GanttPeriod),"◇","")),IF(AND(BK$5&lt;=$F42,BK$5+GanttPeriod-1&gt;=$E42),"━","")))</f>
        <v/>
      </c>
      <c r="BL42" s="69" t="str">
        <f aca="false">IF($E42="","",IF($M42,IF(AND($G42&gt;=BL$5,$G42&lt;BL$5+GanttPeriod),"◆",IF(AND($E42&gt;=BL$5,$E42&lt;BL$5+GanttPeriod),"◇","")),IF(AND(BL$5&lt;=$F42,BL$5+GanttPeriod-1&gt;=$E42),"━","")))</f>
        <v/>
      </c>
      <c r="BM42" s="69" t="str">
        <f aca="false">IF($E42="","",IF($M42,IF(AND($G42&gt;=BM$5,$G42&lt;BM$5+GanttPeriod),"◆",IF(AND($E42&gt;=BM$5,$E42&lt;BM$5+GanttPeriod),"◇","")),IF(AND(BM$5&lt;=$F42,BM$5+GanttPeriod-1&gt;=$E42),"━","")))</f>
        <v/>
      </c>
      <c r="BN42" s="69" t="str">
        <f aca="false">IF($E42="","",IF($M42,IF(AND($G42&gt;=BN$5,$G42&lt;BN$5+GanttPeriod),"◆",IF(AND($E42&gt;=BN$5,$E42&lt;BN$5+GanttPeriod),"◇","")),IF(AND(BN$5&lt;=$F42,BN$5+GanttPeriod-1&gt;=$E42),"━","")))</f>
        <v/>
      </c>
      <c r="BO42" s="69" t="str">
        <f aca="false">IF($E42="","",IF($M42,IF(AND($G42&gt;=BO$5,$G42&lt;BO$5+GanttPeriod),"◆",IF(AND($E42&gt;=BO$5,$E42&lt;BO$5+GanttPeriod),"◇","")),IF(AND(BO$5&lt;=$F42,BO$5+GanttPeriod-1&gt;=$E42),"━","")))</f>
        <v/>
      </c>
      <c r="BP42" s="69" t="str">
        <f aca="false">IF($E42="","",IF($M42,IF(AND($G42&gt;=BP$5,$G42&lt;BP$5+GanttPeriod),"◆",IF(AND($E42&gt;=BP$5,$E42&lt;BP$5+GanttPeriod),"◇","")),IF(AND(BP$5&lt;=$F42,BP$5+GanttPeriod-1&gt;=$E42),"━","")))</f>
        <v/>
      </c>
      <c r="BQ42" s="69" t="str">
        <f aca="false">IF($E42="","",IF($M42,IF(AND($G42&gt;=BQ$5,$G42&lt;BQ$5+GanttPeriod),"◆",IF(AND($E42&gt;=BQ$5,$E42&lt;BQ$5+GanttPeriod),"◇","")),IF(AND(BQ$5&lt;=$F42,BQ$5+GanttPeriod-1&gt;=$E42),"━","")))</f>
        <v/>
      </c>
      <c r="BR42" s="69" t="str">
        <f aca="false">IF($E42="","",IF($M42,IF(AND($G42&gt;=BR$5,$G42&lt;BR$5+GanttPeriod),"◆",IF(AND($E42&gt;=BR$5,$E42&lt;BR$5+GanttPeriod),"◇","")),IF(AND(BR$5&lt;=$F42,BR$5+GanttPeriod-1&gt;=$E42),"━","")))</f>
        <v/>
      </c>
      <c r="BS42" s="69" t="str">
        <f aca="false">IF($E42="","",IF($M42,IF(AND($G42&gt;=BS$5,$G42&lt;BS$5+GanttPeriod),"◆",IF(AND($E42&gt;=BS$5,$E42&lt;BS$5+GanttPeriod),"◇","")),IF(AND(BS$5&lt;=$F42,BS$5+GanttPeriod-1&gt;=$E42),"━","")))</f>
        <v/>
      </c>
      <c r="BT42" s="69" t="str">
        <f aca="false">IF($E42="","",IF($M42,IF(AND($G42&gt;=BT$5,$G42&lt;BT$5+GanttPeriod),"◆",IF(AND($E42&gt;=BT$5,$E42&lt;BT$5+GanttPeriod),"◇","")),IF(AND(BT$5&lt;=$F42,BT$5+GanttPeriod-1&gt;=$E42),"━","")))</f>
        <v/>
      </c>
      <c r="BU42" s="69" t="str">
        <f aca="false">IF($E42="","",IF($M42,IF(AND($G42&gt;=BU$5,$G42&lt;BU$5+GanttPeriod),"◆",IF(AND($E42&gt;=BU$5,$E42&lt;BU$5+GanttPeriod),"◇","")),IF(AND(BU$5&lt;=$F42,BU$5+GanttPeriod-1&gt;=$E42),"━","")))</f>
        <v/>
      </c>
      <c r="BV42" s="69" t="str">
        <f aca="false">IF($E42="","",IF($M42,IF(AND($G42&gt;=BV$5,$G42&lt;BV$5+GanttPeriod),"◆",IF(AND($E42&gt;=BV$5,$E42&lt;BV$5+GanttPeriod),"◇","")),IF(AND(BV$5&lt;=$F42,BV$5+GanttPeriod-1&gt;=$E42),"━","")))</f>
        <v/>
      </c>
      <c r="BW42" s="69" t="str">
        <f aca="false">IF($E42="","",IF($M42,IF(AND($G42&gt;=BW$5,$G42&lt;BW$5+GanttPeriod),"◆",IF(AND($E42&gt;=BW$5,$E42&lt;BW$5+GanttPeriod),"◇","")),IF(AND(BW$5&lt;=$F42,BW$5+GanttPeriod-1&gt;=$E42),"━","")))</f>
        <v/>
      </c>
      <c r="BX42" s="69" t="str">
        <f aca="false">IF($E42="","",IF($M42,IF(AND($G42&gt;=BX$5,$G42&lt;BX$5+GanttPeriod),"◆",IF(AND($E42&gt;=BX$5,$E42&lt;BX$5+GanttPeriod),"◇","")),IF(AND(BX$5&lt;=$F42,BX$5+GanttPeriod-1&gt;=$E42),"━","")))</f>
        <v/>
      </c>
      <c r="BY42" s="69" t="str">
        <f aca="false">IF($E42="","",IF($M42,IF(AND($G42&gt;=BY$5,$G42&lt;BY$5+GanttPeriod),"◆",IF(AND($E42&gt;=BY$5,$E42&lt;BY$5+GanttPeriod),"◇","")),IF(AND(BY$5&lt;=$F42,BY$5+GanttPeriod-1&gt;=$E42),"━","")))</f>
        <v/>
      </c>
      <c r="BZ42" s="69" t="str">
        <f aca="false">IF($E42="","",IF($M42,IF(AND($G42&gt;=BZ$5,$G42&lt;BZ$5+GanttPeriod),"◆",IF(AND($E42&gt;=BZ$5,$E42&lt;BZ$5+GanttPeriod),"◇","")),IF(AND(BZ$5&lt;=$F42,BZ$5+GanttPeriod-1&gt;=$E42),"━","")))</f>
        <v/>
      </c>
      <c r="CA42" s="69" t="str">
        <f aca="false">IF($E42="","",IF($M42,IF(AND($G42&gt;=CA$5,$G42&lt;CA$5+GanttPeriod),"◆",IF(AND($E42&gt;=CA$5,$E42&lt;CA$5+GanttPeriod),"◇","")),IF(AND(CA$5&lt;=$F42,CA$5+GanttPeriod-1&gt;=$E42),"━","")))</f>
        <v/>
      </c>
      <c r="CB42" s="69" t="str">
        <f aca="false">IF($E42="","",IF($M42,IF(AND($G42&gt;=CB$5,$G42&lt;CB$5+GanttPeriod),"◆",IF(AND($E42&gt;=CB$5,$E42&lt;CB$5+GanttPeriod),"◇","")),IF(AND(CB$5&lt;=$F42,CB$5+GanttPeriod-1&gt;=$E42),"━","")))</f>
        <v/>
      </c>
      <c r="CC42" s="69" t="str">
        <f aca="false">IF($E42="","",IF($M42,IF(AND($G42&gt;=CC$5,$G42&lt;CC$5+GanttPeriod),"◆",IF(AND($E42&gt;=CC$5,$E42&lt;CC$5+GanttPeriod),"◇","")),IF(AND(CC$5&lt;=$F42,CC$5+GanttPeriod-1&gt;=$E42),"━","")))</f>
        <v/>
      </c>
      <c r="CD42" s="69" t="str">
        <f aca="false">IF($E42="","",IF($M42,IF(AND($G42&gt;=CD$5,$G42&lt;CD$5+GanttPeriod),"◆",IF(AND($E42&gt;=CD$5,$E42&lt;CD$5+GanttPeriod),"◇","")),IF(AND(CD$5&lt;=$F42,CD$5+GanttPeriod-1&gt;=$E42),"━","")))</f>
        <v/>
      </c>
      <c r="CE42" s="69" t="str">
        <f aca="false">IF($E42="","",IF($M42,IF(AND($G42&gt;=CE$5,$G42&lt;CE$5+GanttPeriod),"◆",IF(AND($E42&gt;=CE$5,$E42&lt;CE$5+GanttPeriod),"◇","")),IF(AND(CE$5&lt;=$F42,CE$5+GanttPeriod-1&gt;=$E42),"━","")))</f>
        <v/>
      </c>
      <c r="CF42" s="69" t="str">
        <f aca="false">IF($E42="","",IF($M42,IF(AND($G42&gt;=CF$5,$G42&lt;CF$5+GanttPeriod),"◆",IF(AND($E42&gt;=CF$5,$E42&lt;CF$5+GanttPeriod),"◇","")),IF(AND(CF$5&lt;=$F42,CF$5+GanttPeriod-1&gt;=$E42),"━","")))</f>
        <v/>
      </c>
      <c r="CG42" s="69" t="str">
        <f aca="false">IF($E42="","",IF($M42,IF(AND($G42&gt;=CG$5,$G42&lt;CG$5+GanttPeriod),"◆",IF(AND($E42&gt;=CG$5,$E42&lt;CG$5+GanttPeriod),"◇","")),IF(AND(CG$5&lt;=$F42,CG$5+GanttPeriod-1&gt;=$E42),"━","")))</f>
        <v/>
      </c>
      <c r="CH42" s="69" t="str">
        <f aca="false">IF($E42="","",IF($M42,IF(AND($G42&gt;=CH$5,$G42&lt;CH$5+GanttPeriod),"◆",IF(AND($E42&gt;=CH$5,$E42&lt;CH$5+GanttPeriod),"◇","")),IF(AND(CH$5&lt;=$F42,CH$5+GanttPeriod-1&gt;=$E42),"━","")))</f>
        <v/>
      </c>
      <c r="CI42" s="69" t="str">
        <f aca="false">IF($E42="","",IF($M42,IF(AND($G42&gt;=CI$5,$G42&lt;CI$5+GanttPeriod),"◆",IF(AND($E42&gt;=CI$5,$E42&lt;CI$5+GanttPeriod),"◇","")),IF(AND(CI$5&lt;=$F42,CI$5+GanttPeriod-1&gt;=$E42),"━","")))</f>
        <v/>
      </c>
      <c r="CJ42" s="69" t="str">
        <f aca="false">IF($E42="","",IF($M42,IF(AND($G42&gt;=CJ$5,$G42&lt;CJ$5+GanttPeriod),"◆",IF(AND($E42&gt;=CJ$5,$E42&lt;CJ$5+GanttPeriod),"◇","")),IF(AND(CJ$5&lt;=$F42,CJ$5+GanttPeriod-1&gt;=$E42),"━","")))</f>
        <v/>
      </c>
      <c r="CK42" s="69" t="str">
        <f aca="false">IF($E42="","",IF($M42,IF(AND($G42&gt;=CK$5,$G42&lt;CK$5+GanttPeriod),"◆",IF(AND($E42&gt;=CK$5,$E42&lt;CK$5+GanttPeriod),"◇","")),IF(AND(CK$5&lt;=$F42,CK$5+GanttPeriod-1&gt;=$E42),"━","")))</f>
        <v/>
      </c>
      <c r="CL42" s="69" t="str">
        <f aca="false">IF($E42="","",IF($M42,IF(AND($G42&gt;=CL$5,$G42&lt;CL$5+GanttPeriod),"◆",IF(AND($E42&gt;=CL$5,$E42&lt;CL$5+GanttPeriod),"◇","")),IF(AND(CL$5&lt;=$F42,CL$5+GanttPeriod-1&gt;=$E42),"━","")))</f>
        <v/>
      </c>
      <c r="CM42" s="69" t="str">
        <f aca="false">IF($E42="","",IF($M42,IF(AND($G42&gt;=CM$5,$G42&lt;CM$5+GanttPeriod),"◆",IF(AND($E42&gt;=CM$5,$E42&lt;CM$5+GanttPeriod),"◇","")),IF(AND(CM$5&lt;=$F42,CM$5+GanttPeriod-1&gt;=$E42),"━","")))</f>
        <v/>
      </c>
      <c r="CN42" s="69" t="str">
        <f aca="false">IF($E42="","",IF($M42,IF(AND($G42&gt;=CN$5,$G42&lt;CN$5+GanttPeriod),"◆",IF(AND($E42&gt;=CN$5,$E42&lt;CN$5+GanttPeriod),"◇","")),IF(AND(CN$5&lt;=$F42,CN$5+GanttPeriod-1&gt;=$E42),"━","")))</f>
        <v/>
      </c>
      <c r="CO42" s="69" t="str">
        <f aca="false">IF($E42="","",IF($M42,IF(AND($G42&gt;=CO$5,$G42&lt;CO$5+GanttPeriod),"◆",IF(AND($E42&gt;=CO$5,$E42&lt;CO$5+GanttPeriod),"◇","")),IF(AND(CO$5&lt;=$F42,CO$5+GanttPeriod-1&gt;=$E42),"━","")))</f>
        <v/>
      </c>
      <c r="CP42" s="69" t="str">
        <f aca="false">IF($E42="","",IF($M42,IF(AND($G42&gt;=CP$5,$G42&lt;CP$5+GanttPeriod),"◆",IF(AND($E42&gt;=CP$5,$E42&lt;CP$5+GanttPeriod),"◇","")),IF(AND(CP$5&lt;=$F42,CP$5+GanttPeriod-1&gt;=$E42),"━","")))</f>
        <v/>
      </c>
      <c r="CQ42" s="69" t="str">
        <f aca="false">IF($E42="","",IF($M42,IF(AND($G42&gt;=CQ$5,$G42&lt;CQ$5+GanttPeriod),"◆",IF(AND($E42&gt;=CQ$5,$E42&lt;CQ$5+GanttPeriod),"◇","")),IF(AND(CQ$5&lt;=$F42,CQ$5+GanttPeriod-1&gt;=$E42),"━","")))</f>
        <v/>
      </c>
      <c r="CR42" s="69" t="str">
        <f aca="false">IF($E42="","",IF($M42,IF(AND($G42&gt;=CR$5,$G42&lt;CR$5+GanttPeriod),"◆",IF(AND($E42&gt;=CR$5,$E42&lt;CR$5+GanttPeriod),"◇","")),IF(AND(CR$5&lt;=$F42,CR$5+GanttPeriod-1&gt;=$E42),"━","")))</f>
        <v/>
      </c>
      <c r="CS42" s="69" t="str">
        <f aca="false">IF($E42="","",IF($M42,IF(AND($G42&gt;=CS$5,$G42&lt;CS$5+GanttPeriod),"◆",IF(AND($E42&gt;=CS$5,$E42&lt;CS$5+GanttPeriod),"◇","")),IF(AND(CS$5&lt;=$F42,CS$5+GanttPeriod-1&gt;=$E42),"━","")))</f>
        <v/>
      </c>
      <c r="CT42" s="69" t="str">
        <f aca="false">IF($E42="","",IF($M42,IF(AND($G42&gt;=CT$5,$G42&lt;CT$5+GanttPeriod),"◆",IF(AND($E42&gt;=CT$5,$E42&lt;CT$5+GanttPeriod),"◇","")),IF(AND(CT$5&lt;=$F42,CT$5+GanttPeriod-1&gt;=$E42),"━","")))</f>
        <v/>
      </c>
      <c r="CU42" s="69" t="str">
        <f aca="false">IF($E42="","",IF($M42,IF(AND($G42&gt;=CU$5,$G42&lt;CU$5+GanttPeriod),"◆",IF(AND($E42&gt;=CU$5,$E42&lt;CU$5+GanttPeriod),"◇","")),IF(AND(CU$5&lt;=$F42,CU$5+GanttPeriod-1&gt;=$E42),"━","")))</f>
        <v/>
      </c>
      <c r="CV42" s="69" t="str">
        <f aca="false">IF($E42="","",IF($M42,IF(AND($G42&gt;=CV$5,$G42&lt;CV$5+GanttPeriod),"◆",IF(AND($E42&gt;=CV$5,$E42&lt;CV$5+GanttPeriod),"◇","")),IF(AND(CV$5&lt;=$F42,CV$5+GanttPeriod-1&gt;=$E42),"━","")))</f>
        <v/>
      </c>
      <c r="CW42" s="69" t="str">
        <f aca="false">IF($E42="","",IF($M42,IF(AND($G42&gt;=CW$5,$G42&lt;CW$5+GanttPeriod),"◆",IF(AND($E42&gt;=CW$5,$E42&lt;CW$5+GanttPeriod),"◇","")),IF(AND(CW$5&lt;=$F42,CW$5+GanttPeriod-1&gt;=$E42),"━","")))</f>
        <v/>
      </c>
      <c r="CX42" s="69" t="str">
        <f aca="false">IF($E42="","",IF($M42,IF(AND($G42&gt;=CX$5,$G42&lt;CX$5+GanttPeriod),"◆",IF(AND($E42&gt;=CX$5,$E42&lt;CX$5+GanttPeriod),"◇","")),IF(AND(CX$5&lt;=$F42,CX$5+GanttPeriod-1&gt;=$E42),"━","")))</f>
        <v/>
      </c>
      <c r="CY42" s="69" t="str">
        <f aca="false">IF($E42="","",IF($M42,IF(AND($G42&gt;=CY$5,$G42&lt;CY$5+GanttPeriod),"◆",IF(AND($E42&gt;=CY$5,$E42&lt;CY$5+GanttPeriod),"◇","")),IF(AND(CY$5&lt;=$F42,CY$5+GanttPeriod-1&gt;=$E42),"━","")))</f>
        <v/>
      </c>
      <c r="CZ42" s="69" t="str">
        <f aca="false">IF($E42="","",IF($M42,IF(AND($G42&gt;=CZ$5,$G42&lt;CZ$5+GanttPeriod),"◆",IF(AND($E42&gt;=CZ$5,$E42&lt;CZ$5+GanttPeriod),"◇","")),IF(AND(CZ$5&lt;=$F42,CZ$5+GanttPeriod-1&gt;=$E42),"━","")))</f>
        <v/>
      </c>
      <c r="DA42" s="69" t="str">
        <f aca="false">IF($E42="","",IF($M42,IF(AND($G42&gt;=DA$5,$G42&lt;DA$5+GanttPeriod),"◆",IF(AND($E42&gt;=DA$5,$E42&lt;DA$5+GanttPeriod),"◇","")),IF(AND(DA$5&lt;=$F42,DA$5+GanttPeriod-1&gt;=$E42),"━","")))</f>
        <v/>
      </c>
      <c r="DB42" s="69" t="str">
        <f aca="false">IF($E42="","",IF($M42,IF(AND($G42&gt;=DB$5,$G42&lt;DB$5+GanttPeriod),"◆",IF(AND($E42&gt;=DB$5,$E42&lt;DB$5+GanttPeriod),"◇","")),IF(AND(DB$5&lt;=$F42,DB$5+GanttPeriod-1&gt;=$E42),"━","")))</f>
        <v/>
      </c>
      <c r="DC42" s="69" t="str">
        <f aca="false">IF($E42="","",IF($M42,IF(AND($G42&gt;=DC$5,$G42&lt;DC$5+GanttPeriod),"◆",IF(AND($E42&gt;=DC$5,$E42&lt;DC$5+GanttPeriod),"◇","")),IF(AND(DC$5&lt;=$F42,DC$5+GanttPeriod-1&gt;=$E42),"━","")))</f>
        <v/>
      </c>
      <c r="DD42" s="69" t="str">
        <f aca="false">IF($E42="","",IF($M42,IF(AND($G42&gt;=DD$5,$G42&lt;DD$5+GanttPeriod),"◆",IF(AND($E42&gt;=DD$5,$E42&lt;DD$5+GanttPeriod),"◇","")),IF(AND(DD$5&lt;=$F42,DD$5+GanttPeriod-1&gt;=$E42),"━","")))</f>
        <v/>
      </c>
      <c r="DE42" s="69" t="str">
        <f aca="false">IF($E42="","",IF($M42,IF(AND($G42&gt;=DE$5,$G42&lt;DE$5+GanttPeriod),"◆",IF(AND($E42&gt;=DE$5,$E42&lt;DE$5+GanttPeriod),"◇","")),IF(AND(DE$5&lt;=$F42,DE$5+GanttPeriod-1&gt;=$E42),"━","")))</f>
        <v/>
      </c>
      <c r="DF42" s="69" t="str">
        <f aca="false">IF($E42="","",IF($M42,IF(AND($G42&gt;=DF$5,$G42&lt;DF$5+GanttPeriod),"◆",IF(AND($E42&gt;=DF$5,$E42&lt;DF$5+GanttPeriod),"◇","")),IF(AND(DF$5&lt;=$F42,DF$5+GanttPeriod-1&gt;=$E42),"━","")))</f>
        <v/>
      </c>
      <c r="DG42" s="69" t="str">
        <f aca="false">IF($E42="","",IF($M42,IF(AND($G42&gt;=DG$5,$G42&lt;DG$5+GanttPeriod),"◆",IF(AND($E42&gt;=DG$5,$E42&lt;DG$5+GanttPeriod),"◇","")),IF(AND(DG$5&lt;=$F42,DG$5+GanttPeriod-1&gt;=$E42),"━","")))</f>
        <v/>
      </c>
      <c r="DH42" s="69" t="str">
        <f aca="false">IF($E42="","",IF($M42,IF(AND($G42&gt;=DH$5,$G42&lt;DH$5+GanttPeriod),"◆",IF(AND($E42&gt;=DH$5,$E42&lt;DH$5+GanttPeriod),"◇","")),IF(AND(DH$5&lt;=$F42,DH$5+GanttPeriod-1&gt;=$E42),"━","")))</f>
        <v/>
      </c>
      <c r="DI42" s="69" t="str">
        <f aca="false">IF($E42="","",IF($M42,IF(AND($G42&gt;=DI$5,$G42&lt;DI$5+GanttPeriod),"◆",IF(AND($E42&gt;=DI$5,$E42&lt;DI$5+GanttPeriod),"◇","")),IF(AND(DI$5&lt;=$F42,DI$5+GanttPeriod-1&gt;=$E42),"━","")))</f>
        <v/>
      </c>
      <c r="DJ42" s="69" t="str">
        <f aca="false">IF($E42="","",IF($M42,IF(AND($G42&gt;=DJ$5,$G42&lt;DJ$5+GanttPeriod),"◆",IF(AND($E42&gt;=DJ$5,$E42&lt;DJ$5+GanttPeriod),"◇","")),IF(AND(DJ$5&lt;=$F42,DJ$5+GanttPeriod-1&gt;=$E42),"━","")))</f>
        <v/>
      </c>
      <c r="DK42" s="69" t="str">
        <f aca="false">IF($E42="","",IF($M42,IF(AND($G42&gt;=DK$5,$G42&lt;DK$5+GanttPeriod),"◆",IF(AND($E42&gt;=DK$5,$E42&lt;DK$5+GanttPeriod),"◇","")),IF(AND(DK$5&lt;=$F42,DK$5+GanttPeriod-1&gt;=$E42),"━","")))</f>
        <v/>
      </c>
      <c r="DL42" s="69" t="str">
        <f aca="false">IF($E42="","",IF($M42,IF(AND($G42&gt;=DL$5,$G42&lt;DL$5+GanttPeriod),"◆",IF(AND($E42&gt;=DL$5,$E42&lt;DL$5+GanttPeriod),"◇","")),IF(AND(DL$5&lt;=$F42,DL$5+GanttPeriod-1&gt;=$E42),"━","")))</f>
        <v/>
      </c>
      <c r="DM42" s="69" t="str">
        <f aca="false">IF($E42="","",IF($M42,IF(AND($G42&gt;=DM$5,$G42&lt;DM$5+GanttPeriod),"◆",IF(AND($E42&gt;=DM$5,$E42&lt;DM$5+GanttPeriod),"◇","")),IF(AND(DM$5&lt;=$F42,DM$5+GanttPeriod-1&gt;=$E42),"━","")))</f>
        <v/>
      </c>
      <c r="DN42" s="69" t="str">
        <f aca="false">IF($E42="","",IF($M42,IF(AND($G42&gt;=DN$5,$G42&lt;DN$5+GanttPeriod),"◆",IF(AND($E42&gt;=DN$5,$E42&lt;DN$5+GanttPeriod),"◇","")),IF(AND(DN$5&lt;=$F42,DN$5+GanttPeriod-1&gt;=$E42),"━","")))</f>
        <v/>
      </c>
      <c r="DO42" s="69" t="str">
        <f aca="false">IF($E42="","",IF($M42,IF(AND($G42&gt;=DO$5,$G42&lt;DO$5+GanttPeriod),"◆",IF(AND($E42&gt;=DO$5,$E42&lt;DO$5+GanttPeriod),"◇","")),IF(AND(DO$5&lt;=$F42,DO$5+GanttPeriod-1&gt;=$E42),"━","")))</f>
        <v/>
      </c>
      <c r="DP42" s="69" t="str">
        <f aca="false">IF($E42="","",IF($M42,IF(AND($G42&gt;=DP$5,$G42&lt;DP$5+GanttPeriod),"◆",IF(AND($E42&gt;=DP$5,$E42&lt;DP$5+GanttPeriod),"◇","")),IF(AND(DP$5&lt;=$F42,DP$5+GanttPeriod-1&gt;=$E42),"━","")))</f>
        <v/>
      </c>
      <c r="DQ42" s="69" t="str">
        <f aca="false">IF($E42="","",IF($M42,IF(AND($G42&gt;=DQ$5,$G42&lt;DQ$5+GanttPeriod),"◆",IF(AND($E42&gt;=DQ$5,$E42&lt;DQ$5+GanttPeriod),"◇","")),IF(AND(DQ$5&lt;=$F42,DQ$5+GanttPeriod-1&gt;=$E42),"━","")))</f>
        <v/>
      </c>
      <c r="DR42" s="69" t="str">
        <f aca="false">IF($E42="","",IF($M42,IF(AND($G42&gt;=DR$5,$G42&lt;DR$5+GanttPeriod),"◆",IF(AND($E42&gt;=DR$5,$E42&lt;DR$5+GanttPeriod),"◇","")),IF(AND(DR$5&lt;=$F42,DR$5+GanttPeriod-1&gt;=$E42),"━","")))</f>
        <v/>
      </c>
      <c r="DS42" s="69" t="str">
        <f aca="false">IF($E42="","",IF($M42,IF(AND($G42&gt;=DS$5,$G42&lt;DS$5+GanttPeriod),"◆",IF(AND($E42&gt;=DS$5,$E42&lt;DS$5+GanttPeriod),"◇","")),IF(AND(DS$5&lt;=$F42,DS$5+GanttPeriod-1&gt;=$E42),"━","")))</f>
        <v/>
      </c>
      <c r="DT42" s="69" t="str">
        <f aca="false">IF($E42="","",IF($M42,IF(AND($G42&gt;=DT$5,$G42&lt;DT$5+GanttPeriod),"◆",IF(AND($E42&gt;=DT$5,$E42&lt;DT$5+GanttPeriod),"◇","")),IF(AND(DT$5&lt;=$F42,DT$5+GanttPeriod-1&gt;=$E42),"━","")))</f>
        <v/>
      </c>
      <c r="DU42" s="69" t="str">
        <f aca="false">IF($E42="","",IF($M42,IF(AND($G42&gt;=DU$5,$G42&lt;DU$5+GanttPeriod),"◆",IF(AND($E42&gt;=DU$5,$E42&lt;DU$5+GanttPeriod),"◇","")),IF(AND(DU$5&lt;=$F42,DU$5+GanttPeriod-1&gt;=$E42),"━","")))</f>
        <v/>
      </c>
      <c r="DV42" s="69" t="str">
        <f aca="false">IF($E42="","",IF($M42,IF(AND($G42&gt;=DV$5,$G42&lt;DV$5+GanttPeriod),"◆",IF(AND($E42&gt;=DV$5,$E42&lt;DV$5+GanttPeriod),"◇","")),IF(AND(DV$5&lt;=$F42,DV$5+GanttPeriod-1&gt;=$E42),"━","")))</f>
        <v/>
      </c>
      <c r="DW42" s="69" t="str">
        <f aca="false">IF($E42="","",IF($M42,IF(AND($G42&gt;=DW$5,$G42&lt;DW$5+GanttPeriod),"◆",IF(AND($E42&gt;=DW$5,$E42&lt;DW$5+GanttPeriod),"◇","")),IF(AND(DW$5&lt;=$F42,DW$5+GanttPeriod-1&gt;=$E42),"━","")))</f>
        <v/>
      </c>
      <c r="DX42" s="69" t="str">
        <f aca="false">IF($E42="","",IF($M42,IF(AND($G42&gt;=DX$5,$G42&lt;DX$5+GanttPeriod),"◆",IF(AND($E42&gt;=DX$5,$E42&lt;DX$5+GanttPeriod),"◇","")),IF(AND(DX$5&lt;=$F42,DX$5+GanttPeriod-1&gt;=$E42),"━","")))</f>
        <v/>
      </c>
      <c r="DY42" s="69" t="str">
        <f aca="false">IF($E42="","",IF($M42,IF(AND($G42&gt;=DY$5,$G42&lt;DY$5+GanttPeriod),"◆",IF(AND($E42&gt;=DY$5,$E42&lt;DY$5+GanttPeriod),"◇","")),IF(AND(DY$5&lt;=$F42,DY$5+GanttPeriod-1&gt;=$E42),"━","")))</f>
        <v/>
      </c>
      <c r="DZ42" s="69" t="str">
        <f aca="false">IF($E42="","",IF($M42,IF(AND($G42&gt;=DZ$5,$G42&lt;DZ$5+GanttPeriod),"◆",IF(AND($E42&gt;=DZ$5,$E42&lt;DZ$5+GanttPeriod),"◇","")),IF(AND(DZ$5&lt;=$F42,DZ$5+GanttPeriod-1&gt;=$E42),"━","")))</f>
        <v/>
      </c>
      <c r="EA42" s="69" t="str">
        <f aca="false">IF($E42="","",IF($M42,IF(AND($G42&gt;=EA$5,$G42&lt;EA$5+GanttPeriod),"◆",IF(AND($E42&gt;=EA$5,$E42&lt;EA$5+GanttPeriod),"◇","")),IF(AND(EA$5&lt;=$F42,EA$5+GanttPeriod-1&gt;=$E42),"━","")))</f>
        <v/>
      </c>
      <c r="EB42" s="69" t="str">
        <f aca="false">IF($E42="","",IF($M42,IF(AND($G42&gt;=EB$5,$G42&lt;EB$5+GanttPeriod),"◆",IF(AND($E42&gt;=EB$5,$E42&lt;EB$5+GanttPeriod),"◇","")),IF(AND(EB$5&lt;=$F42,EB$5+GanttPeriod-1&gt;=$E42),"━","")))</f>
        <v/>
      </c>
      <c r="EC42" s="69" t="str">
        <f aca="false">IF($E42="","",IF($M42,IF(AND($G42&gt;=EC$5,$G42&lt;EC$5+GanttPeriod),"◆",IF(AND($E42&gt;=EC$5,$E42&lt;EC$5+GanttPeriod),"◇","")),IF(AND(EC$5&lt;=$F42,EC$5+GanttPeriod-1&gt;=$E42),"━","")))</f>
        <v/>
      </c>
      <c r="ED42" s="69" t="str">
        <f aca="false">IF($E42="","",IF($M42,IF(AND($G42&gt;=ED$5,$G42&lt;ED$5+GanttPeriod),"◆",IF(AND($E42&gt;=ED$5,$E42&lt;ED$5+GanttPeriod),"◇","")),IF(AND(ED$5&lt;=$F42,ED$5+GanttPeriod-1&gt;=$E42),"━","")))</f>
        <v/>
      </c>
      <c r="EE42" s="69" t="str">
        <f aca="false">IF($E42="","",IF($M42,IF(AND($G42&gt;=EE$5,$G42&lt;EE$5+GanttPeriod),"◆",IF(AND($E42&gt;=EE$5,$E42&lt;EE$5+GanttPeriod),"◇","")),IF(AND(EE$5&lt;=$F42,EE$5+GanttPeriod-1&gt;=$E42),"━","")))</f>
        <v/>
      </c>
      <c r="EF42" s="69" t="str">
        <f aca="false">IF($E42="","",IF($M42,IF(AND($G42&gt;=EF$5,$G42&lt;EF$5+GanttPeriod),"◆",IF(AND($E42&gt;=EF$5,$E42&lt;EF$5+GanttPeriod),"◇","")),IF(AND(EF$5&lt;=$F42,EF$5+GanttPeriod-1&gt;=$E42),"━","")))</f>
        <v/>
      </c>
      <c r="EG42" s="69" t="str">
        <f aca="false">IF($E42="","",IF($M42,IF(AND($G42&gt;=EG$5,$G42&lt;EG$5+GanttPeriod),"◆",IF(AND($E42&gt;=EG$5,$E42&lt;EG$5+GanttPeriod),"◇","")),IF(AND(EG$5&lt;=$F42,EG$5+GanttPeriod-1&gt;=$E42),"━","")))</f>
        <v/>
      </c>
      <c r="EH42" s="69" t="str">
        <f aca="false">IF($E42="","",IF($M42,IF(AND($G42&gt;=EH$5,$G42&lt;EH$5+GanttPeriod),"◆",IF(AND($E42&gt;=EH$5,$E42&lt;EH$5+GanttPeriod),"◇","")),IF(AND(EH$5&lt;=$F42,EH$5+GanttPeriod-1&gt;=$E42),"━","")))</f>
        <v/>
      </c>
      <c r="EI42" s="69" t="str">
        <f aca="false">IF($E42="","",IF($M42,IF(AND($G42&gt;=EI$5,$G42&lt;EI$5+GanttPeriod),"◆",IF(AND($E42&gt;=EI$5,$E42&lt;EI$5+GanttPeriod),"◇","")),IF(AND(EI$5&lt;=$F42,EI$5+GanttPeriod-1&gt;=$E42),"━","")))</f>
        <v/>
      </c>
      <c r="EJ42" s="69" t="str">
        <f aca="false">IF($E42="","",IF($M42,IF(AND($G42&gt;=EJ$5,$G42&lt;EJ$5+GanttPeriod),"◆",IF(AND($E42&gt;=EJ$5,$E42&lt;EJ$5+GanttPeriod),"◇","")),IF(AND(EJ$5&lt;=$F42,EJ$5+GanttPeriod-1&gt;=$E42),"━","")))</f>
        <v/>
      </c>
      <c r="EK42" s="69" t="str">
        <f aca="false">IF($E42="","",IF($M42,IF(AND($G42&gt;=EK$5,$G42&lt;EK$5+GanttPeriod),"◆",IF(AND($E42&gt;=EK$5,$E42&lt;EK$5+GanttPeriod),"◇","")),IF(AND(EK$5&lt;=$F42,EK$5+GanttPeriod-1&gt;=$E42),"━","")))</f>
        <v/>
      </c>
      <c r="EL42" s="69" t="str">
        <f aca="false">IF($E42="","",IF($M42,IF(AND($G42&gt;=EL$5,$G42&lt;EL$5+GanttPeriod),"◆",IF(AND($E42&gt;=EL$5,$E42&lt;EL$5+GanttPeriod),"◇","")),IF(AND(EL$5&lt;=$F42,EL$5+GanttPeriod-1&gt;=$E42),"━","")))</f>
        <v/>
      </c>
      <c r="EM42" s="69" t="str">
        <f aca="false">IF($E42="","",IF($M42,IF(AND($G42&gt;=EM$5,$G42&lt;EM$5+GanttPeriod),"◆",IF(AND($E42&gt;=EM$5,$E42&lt;EM$5+GanttPeriod),"◇","")),IF(AND(EM$5&lt;=$F42,EM$5+GanttPeriod-1&gt;=$E42),"━","")))</f>
        <v/>
      </c>
      <c r="EN42" s="69" t="str">
        <f aca="false">IF($E42="","",IF($M42,IF(AND($G42&gt;=EN$5,$G42&lt;EN$5+GanttPeriod),"◆",IF(AND($E42&gt;=EN$5,$E42&lt;EN$5+GanttPeriod),"◇","")),IF(AND(EN$5&lt;=$F42,EN$5+GanttPeriod-1&gt;=$E42),"━","")))</f>
        <v/>
      </c>
      <c r="EO42" s="69" t="str">
        <f aca="false">IF($E42="","",IF($M42,IF(AND($G42&gt;=EO$5,$G42&lt;EO$5+GanttPeriod),"◆",IF(AND($E42&gt;=EO$5,$E42&lt;EO$5+GanttPeriod),"◇","")),IF(AND(EO$5&lt;=$F42,EO$5+GanttPeriod-1&gt;=$E42),"━","")))</f>
        <v/>
      </c>
      <c r="EP42" s="69" t="str">
        <f aca="false">IF($E42="","",IF($M42,IF(AND($G42&gt;=EP$5,$G42&lt;EP$5+GanttPeriod),"◆",IF(AND($E42&gt;=EP$5,$E42&lt;EP$5+GanttPeriod),"◇","")),IF(AND(EP$5&lt;=$F42,EP$5+GanttPeriod-1&gt;=$E42),"━","")))</f>
        <v/>
      </c>
      <c r="EQ42" s="69" t="str">
        <f aca="false">IF($E42="","",IF($M42,IF(AND($G42&gt;=EQ$5,$G42&lt;EQ$5+GanttPeriod),"◆",IF(AND($E42&gt;=EQ$5,$E42&lt;EQ$5+GanttPeriod),"◇","")),IF(AND(EQ$5&lt;=$F42,EQ$5+GanttPeriod-1&gt;=$E42),"━","")))</f>
        <v/>
      </c>
      <c r="ER42" s="69" t="str">
        <f aca="false">IF($E42="","",IF($M42,IF(AND($G42&gt;=ER$5,$G42&lt;ER$5+GanttPeriod),"◆",IF(AND($E42&gt;=ER$5,$E42&lt;ER$5+GanttPeriod),"◇","")),IF(AND(ER$5&lt;=$F42,ER$5+GanttPeriod-1&gt;=$E42),"━","")))</f>
        <v/>
      </c>
      <c r="ES42" s="69" t="str">
        <f aca="false">IF($E42="","",IF($M42,IF(AND($G42&gt;=ES$5,$G42&lt;ES$5+GanttPeriod),"◆",IF(AND($E42&gt;=ES$5,$E42&lt;ES$5+GanttPeriod),"◇","")),IF(AND(ES$5&lt;=$F42,ES$5+GanttPeriod-1&gt;=$E42),"━","")))</f>
        <v/>
      </c>
      <c r="ET42" s="69" t="str">
        <f aca="false">IF($E42="","",IF($M42,IF(AND($G42&gt;=ET$5,$G42&lt;ET$5+GanttPeriod),"◆",IF(AND($E42&gt;=ET$5,$E42&lt;ET$5+GanttPeriod),"◇","")),IF(AND(ET$5&lt;=$F42,ET$5+GanttPeriod-1&gt;=$E42),"━","")))</f>
        <v/>
      </c>
      <c r="EU42" s="69" t="str">
        <f aca="false">IF($E42="","",IF($M42,IF(AND($G42&gt;=EU$5,$G42&lt;EU$5+GanttPeriod),"◆",IF(AND($E42&gt;=EU$5,$E42&lt;EU$5+GanttPeriod),"◇","")),IF(AND(EU$5&lt;=$F42,EU$5+GanttPeriod-1&gt;=$E42),"━","")))</f>
        <v/>
      </c>
      <c r="EV42" s="69" t="str">
        <f aca="false">IF($E42="","",IF($M42,IF(AND($G42&gt;=EV$5,$G42&lt;EV$5+GanttPeriod),"◆",IF(AND($E42&gt;=EV$5,$E42&lt;EV$5+GanttPeriod),"◇","")),IF(AND(EV$5&lt;=$F42,EV$5+GanttPeriod-1&gt;=$E42),"━","")))</f>
        <v/>
      </c>
      <c r="EW42" s="69" t="str">
        <f aca="false">IF($E42="","",IF($M42,IF(AND($G42&gt;=EW$5,$G42&lt;EW$5+GanttPeriod),"◆",IF(AND($E42&gt;=EW$5,$E42&lt;EW$5+GanttPeriod),"◇","")),IF(AND(EW$5&lt;=$F42,EW$5+GanttPeriod-1&gt;=$E42),"━","")))</f>
        <v/>
      </c>
      <c r="EX42" s="69" t="str">
        <f aca="false">IF($E42="","",IF($M42,IF(AND($G42&gt;=EX$5,$G42&lt;EX$5+GanttPeriod),"◆",IF(AND($E42&gt;=EX$5,$E42&lt;EX$5+GanttPeriod),"◇","")),IF(AND(EX$5&lt;=$F42,EX$5+GanttPeriod-1&gt;=$E42),"━","")))</f>
        <v/>
      </c>
      <c r="EY42" s="69" t="str">
        <f aca="false">IF($E42="","",IF($M42,IF(AND($G42&gt;=EY$5,$G42&lt;EY$5+GanttPeriod),"◆",IF(AND($E42&gt;=EY$5,$E42&lt;EY$5+GanttPeriod),"◇","")),IF(AND(EY$5&lt;=$F42,EY$5+GanttPeriod-1&gt;=$E42),"━","")))</f>
        <v/>
      </c>
      <c r="EZ42" s="69" t="str">
        <f aca="false">IF($E42="","",IF($M42,IF(AND($G42&gt;=EZ$5,$G42&lt;EZ$5+GanttPeriod),"◆",IF(AND($E42&gt;=EZ$5,$E42&lt;EZ$5+GanttPeriod),"◇","")),IF(AND(EZ$5&lt;=$F42,EZ$5+GanttPeriod-1&gt;=$E42),"━","")))</f>
        <v/>
      </c>
      <c r="FA42" s="69" t="str">
        <f aca="false">IF($E42="","",IF($M42,IF(AND($G42&gt;=FA$5,$G42&lt;FA$5+GanttPeriod),"◆",IF(AND($E42&gt;=FA$5,$E42&lt;FA$5+GanttPeriod),"◇","")),IF(AND(FA$5&lt;=$F42,FA$5+GanttPeriod-1&gt;=$E42),"━","")))</f>
        <v/>
      </c>
      <c r="FB42" s="69" t="str">
        <f aca="false">IF($E42="","",IF($M42,IF(AND($G42&gt;=FB$5,$G42&lt;FB$5+GanttPeriod),"◆",IF(AND($E42&gt;=FB$5,$E42&lt;FB$5+GanttPeriod),"◇","")),IF(AND(FB$5&lt;=$F42,FB$5+GanttPeriod-1&gt;=$E42),"━","")))</f>
        <v/>
      </c>
      <c r="FC42" s="69" t="str">
        <f aca="false">IF($E42="","",IF($M42,IF(AND($G42&gt;=FC$5,$G42&lt;FC$5+GanttPeriod),"◆",IF(AND($E42&gt;=FC$5,$E42&lt;FC$5+GanttPeriod),"◇","")),IF(AND(FC$5&lt;=$F42,FC$5+GanttPeriod-1&gt;=$E42),"━","")))</f>
        <v/>
      </c>
      <c r="FD42" s="69" t="str">
        <f aca="false">IF($E42="","",IF($M42,IF(AND($G42&gt;=FD$5,$G42&lt;FD$5+GanttPeriod),"◆",IF(AND($E42&gt;=FD$5,$E42&lt;FD$5+GanttPeriod),"◇","")),IF(AND(FD$5&lt;=$F42,FD$5+GanttPeriod-1&gt;=$E42),"━","")))</f>
        <v/>
      </c>
      <c r="FE42" s="69" t="str">
        <f aca="false">IF($E42="","",IF($M42,IF(AND($G42&gt;=FE$5,$G42&lt;FE$5+GanttPeriod),"◆",IF(AND($E42&gt;=FE$5,$E42&lt;FE$5+GanttPeriod),"◇","")),IF(AND(FE$5&lt;=$F42,FE$5+GanttPeriod-1&gt;=$E42),"━","")))</f>
        <v/>
      </c>
      <c r="FF42" s="69" t="str">
        <f aca="false">IF($E42="","",IF($M42,IF(AND($G42&gt;=FF$5,$G42&lt;FF$5+GanttPeriod),"◆",IF(AND($E42&gt;=FF$5,$E42&lt;FF$5+GanttPeriod),"◇","")),IF(AND(FF$5&lt;=$F42,FF$5+GanttPeriod-1&gt;=$E42),"━","")))</f>
        <v/>
      </c>
      <c r="FG42" s="69" t="str">
        <f aca="false">IF($E42="","",IF($M42,IF(AND($G42&gt;=FG$5,$G42&lt;FG$5+GanttPeriod),"◆",IF(AND($E42&gt;=FG$5,$E42&lt;FG$5+GanttPeriod),"◇","")),IF(AND(FG$5&lt;=$F42,FG$5+GanttPeriod-1&gt;=$E42),"━","")))</f>
        <v/>
      </c>
      <c r="FH42" s="69" t="str">
        <f aca="false">IF($E42="","",IF($M42,IF(AND($G42&gt;=FH$5,$G42&lt;FH$5+GanttPeriod),"◆",IF(AND($E42&gt;=FH$5,$E42&lt;FH$5+GanttPeriod),"◇","")),IF(AND(FH$5&lt;=$F42,FH$5+GanttPeriod-1&gt;=$E42),"━","")))</f>
        <v/>
      </c>
      <c r="FI42" s="69" t="str">
        <f aca="false">IF($E42="","",IF($M42,IF(AND($G42&gt;=FI$5,$G42&lt;FI$5+GanttPeriod),"◆",IF(AND($E42&gt;=FI$5,$E42&lt;FI$5+GanttPeriod),"◇","")),IF(AND(FI$5&lt;=$F42,FI$5+GanttPeriod-1&gt;=$E42),"━","")))</f>
        <v/>
      </c>
      <c r="FJ42" s="69" t="str">
        <f aca="false">IF($E42="","",IF($M42,IF(AND($G42&gt;=FJ$5,$G42&lt;FJ$5+GanttPeriod),"◆",IF(AND($E42&gt;=FJ$5,$E42&lt;FJ$5+GanttPeriod),"◇","")),IF(AND(FJ$5&lt;=$F42,FJ$5+GanttPeriod-1&gt;=$E42),"━","")))</f>
        <v/>
      </c>
      <c r="FK42" s="69" t="str">
        <f aca="false">IF($E42="","",IF($M42,IF(AND($G42&gt;=FK$5,$G42&lt;FK$5+GanttPeriod),"◆",IF(AND($E42&gt;=FK$5,$E42&lt;FK$5+GanttPeriod),"◇","")),IF(AND(FK$5&lt;=$F42,FK$5+GanttPeriod-1&gt;=$E42),"━","")))</f>
        <v/>
      </c>
      <c r="FL42" s="69" t="str">
        <f aca="false">IF($E42="","",IF($M42,IF(AND($G42&gt;=FL$5,$G42&lt;FL$5+GanttPeriod),"◆",IF(AND($E42&gt;=FL$5,$E42&lt;FL$5+GanttPeriod),"◇","")),IF(AND(FL$5&lt;=$F42,FL$5+GanttPeriod-1&gt;=$E42),"━","")))</f>
        <v/>
      </c>
      <c r="FM42" s="69" t="str">
        <f aca="false">IF($E42="","",IF($M42,IF(AND($G42&gt;=FM$5,$G42&lt;FM$5+GanttPeriod),"◆",IF(AND($E42&gt;=FM$5,$E42&lt;FM$5+GanttPeriod),"◇","")),IF(AND(FM$5&lt;=$F42,FM$5+GanttPeriod-1&gt;=$E42),"━","")))</f>
        <v/>
      </c>
    </row>
    <row r="43" customFormat="false" ht="15" hidden="false" customHeight="false" outlineLevel="0" collapsed="false">
      <c r="A43" s="62" t="str">
        <f aca="false">IF(Tasks!$D43="","",Tasks!$A43)</f>
        <v/>
      </c>
      <c r="B43" s="62" t="str">
        <f aca="false">IF(Tasks!$D43="","",Tasks!$B43)</f>
        <v/>
      </c>
      <c r="C43" s="63" t="str">
        <f aca="false">IF(Tasks!$D43="","",REPT("    ",Tasks!$AE43-1)&amp;Tasks!$D43)</f>
        <v/>
      </c>
      <c r="D43" s="62" t="str">
        <f aca="false">IF(Tasks!$D43="","",IF(Tasks!$AI43,NETWORKDAYS.INTL(Tasks!$R43,Tasks!$S43,WorkWeek,Holidays),N(Tasks!$F43)))</f>
        <v/>
      </c>
      <c r="E43" s="64" t="str">
        <f aca="false">IF(Tasks!$D43="","",Tasks!$N43)</f>
        <v/>
      </c>
      <c r="F43" s="64" t="str">
        <f aca="false">IF(Tasks!$D43="","",Tasks!$O43)</f>
        <v/>
      </c>
      <c r="G43" s="64" t="str">
        <f aca="false">IF(Tasks!$D43="","",Tasks!$R43)</f>
        <v/>
      </c>
      <c r="H43" s="64" t="str">
        <f aca="false">IF(Tasks!$D43="","",Tasks!$S43)</f>
        <v/>
      </c>
      <c r="I43" s="65" t="str">
        <f aca="false">IF(Tasks!$D43="","",Tasks!$V43)</f>
        <v/>
      </c>
      <c r="J43" s="63" t="str">
        <f aca="false">IF(Tasks!$D43="","",Tasks!$X43&amp;"")</f>
        <v/>
      </c>
      <c r="K43" s="66" t="str">
        <f aca="false">IF(Tasks!$D43="","",Tasks!$W43)</f>
        <v/>
      </c>
      <c r="L43" s="67" t="b">
        <f aca="false">IF(Tasks!$D43="",FALSE(),Tasks!$AI43)</f>
        <v>0</v>
      </c>
      <c r="M43" s="67" t="b">
        <f aca="false">AND(Tasks!$AJ43=1,N(Tasks!$F43)=0)</f>
        <v>0</v>
      </c>
      <c r="N43" s="68" t="n">
        <f aca="false">IF(AND(Tasks!$AJ43=1,NOT($M43),N($I43)&gt;0),$G43,0)</f>
        <v>0</v>
      </c>
      <c r="O43" s="68" t="n">
        <f aca="false">IF($N43=0,0,IF($I43&gt;=1,$H43,MAX($N43,$G43+ROUND(($H43-$G43+1)*$I43,0)-1)))</f>
        <v>0</v>
      </c>
      <c r="P43" s="68" t="n">
        <f aca="false">IF(OR(Tasks!$AJ43&lt;&gt;1,$M43,N($I43)&gt;=1),0,IF($O43&gt;0,$O43+1,$G43))</f>
        <v>0</v>
      </c>
      <c r="Q43" s="68" t="n">
        <f aca="false">IF($P43=0,0,$H43)</f>
        <v>0</v>
      </c>
      <c r="R43" s="67" t="b">
        <f aca="false">AND(Tasks!$D43&lt;&gt;"",N(Tasks!$T43)&gt;0)</f>
        <v>0</v>
      </c>
      <c r="T43" s="69" t="str">
        <f aca="false">IF($E43="","",IF($M43,IF(AND($G43&gt;=T$5,$G43&lt;T$5+GanttPeriod),"◆",IF(AND($E43&gt;=T$5,$E43&lt;T$5+GanttPeriod),"◇","")),IF(AND(T$5&lt;=$F43,T$5+GanttPeriod-1&gt;=$E43),"━","")))</f>
        <v/>
      </c>
      <c r="U43" s="69" t="str">
        <f aca="false">IF($E43="","",IF($M43,IF(AND($G43&gt;=U$5,$G43&lt;U$5+GanttPeriod),"◆",IF(AND($E43&gt;=U$5,$E43&lt;U$5+GanttPeriod),"◇","")),IF(AND(U$5&lt;=$F43,U$5+GanttPeriod-1&gt;=$E43),"━","")))</f>
        <v/>
      </c>
      <c r="V43" s="69" t="str">
        <f aca="false">IF($E43="","",IF($M43,IF(AND($G43&gt;=V$5,$G43&lt;V$5+GanttPeriod),"◆",IF(AND($E43&gt;=V$5,$E43&lt;V$5+GanttPeriod),"◇","")),IF(AND(V$5&lt;=$F43,V$5+GanttPeriod-1&gt;=$E43),"━","")))</f>
        <v/>
      </c>
      <c r="W43" s="69" t="str">
        <f aca="false">IF($E43="","",IF($M43,IF(AND($G43&gt;=W$5,$G43&lt;W$5+GanttPeriod),"◆",IF(AND($E43&gt;=W$5,$E43&lt;W$5+GanttPeriod),"◇","")),IF(AND(W$5&lt;=$F43,W$5+GanttPeriod-1&gt;=$E43),"━","")))</f>
        <v/>
      </c>
      <c r="X43" s="69" t="str">
        <f aca="false">IF($E43="","",IF($M43,IF(AND($G43&gt;=X$5,$G43&lt;X$5+GanttPeriod),"◆",IF(AND($E43&gt;=X$5,$E43&lt;X$5+GanttPeriod),"◇","")),IF(AND(X$5&lt;=$F43,X$5+GanttPeriod-1&gt;=$E43),"━","")))</f>
        <v/>
      </c>
      <c r="Y43" s="69" t="str">
        <f aca="false">IF($E43="","",IF($M43,IF(AND($G43&gt;=Y$5,$G43&lt;Y$5+GanttPeriod),"◆",IF(AND($E43&gt;=Y$5,$E43&lt;Y$5+GanttPeriod),"◇","")),IF(AND(Y$5&lt;=$F43,Y$5+GanttPeriod-1&gt;=$E43),"━","")))</f>
        <v/>
      </c>
      <c r="Z43" s="69" t="str">
        <f aca="false">IF($E43="","",IF($M43,IF(AND($G43&gt;=Z$5,$G43&lt;Z$5+GanttPeriod),"◆",IF(AND($E43&gt;=Z$5,$E43&lt;Z$5+GanttPeriod),"◇","")),IF(AND(Z$5&lt;=$F43,Z$5+GanttPeriod-1&gt;=$E43),"━","")))</f>
        <v/>
      </c>
      <c r="AA43" s="69" t="str">
        <f aca="false">IF($E43="","",IF($M43,IF(AND($G43&gt;=AA$5,$G43&lt;AA$5+GanttPeriod),"◆",IF(AND($E43&gt;=AA$5,$E43&lt;AA$5+GanttPeriod),"◇","")),IF(AND(AA$5&lt;=$F43,AA$5+GanttPeriod-1&gt;=$E43),"━","")))</f>
        <v/>
      </c>
      <c r="AB43" s="69" t="str">
        <f aca="false">IF($E43="","",IF($M43,IF(AND($G43&gt;=AB$5,$G43&lt;AB$5+GanttPeriod),"◆",IF(AND($E43&gt;=AB$5,$E43&lt;AB$5+GanttPeriod),"◇","")),IF(AND(AB$5&lt;=$F43,AB$5+GanttPeriod-1&gt;=$E43),"━","")))</f>
        <v/>
      </c>
      <c r="AC43" s="69" t="str">
        <f aca="false">IF($E43="","",IF($M43,IF(AND($G43&gt;=AC$5,$G43&lt;AC$5+GanttPeriod),"◆",IF(AND($E43&gt;=AC$5,$E43&lt;AC$5+GanttPeriod),"◇","")),IF(AND(AC$5&lt;=$F43,AC$5+GanttPeriod-1&gt;=$E43),"━","")))</f>
        <v/>
      </c>
      <c r="AD43" s="69" t="str">
        <f aca="false">IF($E43="","",IF($M43,IF(AND($G43&gt;=AD$5,$G43&lt;AD$5+GanttPeriod),"◆",IF(AND($E43&gt;=AD$5,$E43&lt;AD$5+GanttPeriod),"◇","")),IF(AND(AD$5&lt;=$F43,AD$5+GanttPeriod-1&gt;=$E43),"━","")))</f>
        <v/>
      </c>
      <c r="AE43" s="69" t="str">
        <f aca="false">IF($E43="","",IF($M43,IF(AND($G43&gt;=AE$5,$G43&lt;AE$5+GanttPeriod),"◆",IF(AND($E43&gt;=AE$5,$E43&lt;AE$5+GanttPeriod),"◇","")),IF(AND(AE$5&lt;=$F43,AE$5+GanttPeriod-1&gt;=$E43),"━","")))</f>
        <v/>
      </c>
      <c r="AF43" s="69" t="str">
        <f aca="false">IF($E43="","",IF($M43,IF(AND($G43&gt;=AF$5,$G43&lt;AF$5+GanttPeriod),"◆",IF(AND($E43&gt;=AF$5,$E43&lt;AF$5+GanttPeriod),"◇","")),IF(AND(AF$5&lt;=$F43,AF$5+GanttPeriod-1&gt;=$E43),"━","")))</f>
        <v/>
      </c>
      <c r="AG43" s="69" t="str">
        <f aca="false">IF($E43="","",IF($M43,IF(AND($G43&gt;=AG$5,$G43&lt;AG$5+GanttPeriod),"◆",IF(AND($E43&gt;=AG$5,$E43&lt;AG$5+GanttPeriod),"◇","")),IF(AND(AG$5&lt;=$F43,AG$5+GanttPeriod-1&gt;=$E43),"━","")))</f>
        <v/>
      </c>
      <c r="AH43" s="69" t="str">
        <f aca="false">IF($E43="","",IF($M43,IF(AND($G43&gt;=AH$5,$G43&lt;AH$5+GanttPeriod),"◆",IF(AND($E43&gt;=AH$5,$E43&lt;AH$5+GanttPeriod),"◇","")),IF(AND(AH$5&lt;=$F43,AH$5+GanttPeriod-1&gt;=$E43),"━","")))</f>
        <v/>
      </c>
      <c r="AI43" s="69" t="str">
        <f aca="false">IF($E43="","",IF($M43,IF(AND($G43&gt;=AI$5,$G43&lt;AI$5+GanttPeriod),"◆",IF(AND($E43&gt;=AI$5,$E43&lt;AI$5+GanttPeriod),"◇","")),IF(AND(AI$5&lt;=$F43,AI$5+GanttPeriod-1&gt;=$E43),"━","")))</f>
        <v/>
      </c>
      <c r="AJ43" s="69" t="str">
        <f aca="false">IF($E43="","",IF($M43,IF(AND($G43&gt;=AJ$5,$G43&lt;AJ$5+GanttPeriod),"◆",IF(AND($E43&gt;=AJ$5,$E43&lt;AJ$5+GanttPeriod),"◇","")),IF(AND(AJ$5&lt;=$F43,AJ$5+GanttPeriod-1&gt;=$E43),"━","")))</f>
        <v/>
      </c>
      <c r="AK43" s="69" t="str">
        <f aca="false">IF($E43="","",IF($M43,IF(AND($G43&gt;=AK$5,$G43&lt;AK$5+GanttPeriod),"◆",IF(AND($E43&gt;=AK$5,$E43&lt;AK$5+GanttPeriod),"◇","")),IF(AND(AK$5&lt;=$F43,AK$5+GanttPeriod-1&gt;=$E43),"━","")))</f>
        <v/>
      </c>
      <c r="AL43" s="69" t="str">
        <f aca="false">IF($E43="","",IF($M43,IF(AND($G43&gt;=AL$5,$G43&lt;AL$5+GanttPeriod),"◆",IF(AND($E43&gt;=AL$5,$E43&lt;AL$5+GanttPeriod),"◇","")),IF(AND(AL$5&lt;=$F43,AL$5+GanttPeriod-1&gt;=$E43),"━","")))</f>
        <v/>
      </c>
      <c r="AM43" s="69" t="str">
        <f aca="false">IF($E43="","",IF($M43,IF(AND($G43&gt;=AM$5,$G43&lt;AM$5+GanttPeriod),"◆",IF(AND($E43&gt;=AM$5,$E43&lt;AM$5+GanttPeriod),"◇","")),IF(AND(AM$5&lt;=$F43,AM$5+GanttPeriod-1&gt;=$E43),"━","")))</f>
        <v/>
      </c>
      <c r="AN43" s="69" t="str">
        <f aca="false">IF($E43="","",IF($M43,IF(AND($G43&gt;=AN$5,$G43&lt;AN$5+GanttPeriod),"◆",IF(AND($E43&gt;=AN$5,$E43&lt;AN$5+GanttPeriod),"◇","")),IF(AND(AN$5&lt;=$F43,AN$5+GanttPeriod-1&gt;=$E43),"━","")))</f>
        <v/>
      </c>
      <c r="AO43" s="69" t="str">
        <f aca="false">IF($E43="","",IF($M43,IF(AND($G43&gt;=AO$5,$G43&lt;AO$5+GanttPeriod),"◆",IF(AND($E43&gt;=AO$5,$E43&lt;AO$5+GanttPeriod),"◇","")),IF(AND(AO$5&lt;=$F43,AO$5+GanttPeriod-1&gt;=$E43),"━","")))</f>
        <v/>
      </c>
      <c r="AP43" s="69" t="str">
        <f aca="false">IF($E43="","",IF($M43,IF(AND($G43&gt;=AP$5,$G43&lt;AP$5+GanttPeriod),"◆",IF(AND($E43&gt;=AP$5,$E43&lt;AP$5+GanttPeriod),"◇","")),IF(AND(AP$5&lt;=$F43,AP$5+GanttPeriod-1&gt;=$E43),"━","")))</f>
        <v/>
      </c>
      <c r="AQ43" s="69" t="str">
        <f aca="false">IF($E43="","",IF($M43,IF(AND($G43&gt;=AQ$5,$G43&lt;AQ$5+GanttPeriod),"◆",IF(AND($E43&gt;=AQ$5,$E43&lt;AQ$5+GanttPeriod),"◇","")),IF(AND(AQ$5&lt;=$F43,AQ$5+GanttPeriod-1&gt;=$E43),"━","")))</f>
        <v/>
      </c>
      <c r="AR43" s="69" t="str">
        <f aca="false">IF($E43="","",IF($M43,IF(AND($G43&gt;=AR$5,$G43&lt;AR$5+GanttPeriod),"◆",IF(AND($E43&gt;=AR$5,$E43&lt;AR$5+GanttPeriod),"◇","")),IF(AND(AR$5&lt;=$F43,AR$5+GanttPeriod-1&gt;=$E43),"━","")))</f>
        <v/>
      </c>
      <c r="AS43" s="69" t="str">
        <f aca="false">IF($E43="","",IF($M43,IF(AND($G43&gt;=AS$5,$G43&lt;AS$5+GanttPeriod),"◆",IF(AND($E43&gt;=AS$5,$E43&lt;AS$5+GanttPeriod),"◇","")),IF(AND(AS$5&lt;=$F43,AS$5+GanttPeriod-1&gt;=$E43),"━","")))</f>
        <v/>
      </c>
      <c r="AT43" s="69" t="str">
        <f aca="false">IF($E43="","",IF($M43,IF(AND($G43&gt;=AT$5,$G43&lt;AT$5+GanttPeriod),"◆",IF(AND($E43&gt;=AT$5,$E43&lt;AT$5+GanttPeriod),"◇","")),IF(AND(AT$5&lt;=$F43,AT$5+GanttPeriod-1&gt;=$E43),"━","")))</f>
        <v/>
      </c>
      <c r="AU43" s="69" t="str">
        <f aca="false">IF($E43="","",IF($M43,IF(AND($G43&gt;=AU$5,$G43&lt;AU$5+GanttPeriod),"◆",IF(AND($E43&gt;=AU$5,$E43&lt;AU$5+GanttPeriod),"◇","")),IF(AND(AU$5&lt;=$F43,AU$5+GanttPeriod-1&gt;=$E43),"━","")))</f>
        <v/>
      </c>
      <c r="AV43" s="69" t="str">
        <f aca="false">IF($E43="","",IF($M43,IF(AND($G43&gt;=AV$5,$G43&lt;AV$5+GanttPeriod),"◆",IF(AND($E43&gt;=AV$5,$E43&lt;AV$5+GanttPeriod),"◇","")),IF(AND(AV$5&lt;=$F43,AV$5+GanttPeriod-1&gt;=$E43),"━","")))</f>
        <v/>
      </c>
      <c r="AW43" s="69" t="str">
        <f aca="false">IF($E43="","",IF($M43,IF(AND($G43&gt;=AW$5,$G43&lt;AW$5+GanttPeriod),"◆",IF(AND($E43&gt;=AW$5,$E43&lt;AW$5+GanttPeriod),"◇","")),IF(AND(AW$5&lt;=$F43,AW$5+GanttPeriod-1&gt;=$E43),"━","")))</f>
        <v/>
      </c>
      <c r="AX43" s="69" t="str">
        <f aca="false">IF($E43="","",IF($M43,IF(AND($G43&gt;=AX$5,$G43&lt;AX$5+GanttPeriod),"◆",IF(AND($E43&gt;=AX$5,$E43&lt;AX$5+GanttPeriod),"◇","")),IF(AND(AX$5&lt;=$F43,AX$5+GanttPeriod-1&gt;=$E43),"━","")))</f>
        <v/>
      </c>
      <c r="AY43" s="69" t="str">
        <f aca="false">IF($E43="","",IF($M43,IF(AND($G43&gt;=AY$5,$G43&lt;AY$5+GanttPeriod),"◆",IF(AND($E43&gt;=AY$5,$E43&lt;AY$5+GanttPeriod),"◇","")),IF(AND(AY$5&lt;=$F43,AY$5+GanttPeriod-1&gt;=$E43),"━","")))</f>
        <v/>
      </c>
      <c r="AZ43" s="69" t="str">
        <f aca="false">IF($E43="","",IF($M43,IF(AND($G43&gt;=AZ$5,$G43&lt;AZ$5+GanttPeriod),"◆",IF(AND($E43&gt;=AZ$5,$E43&lt;AZ$5+GanttPeriod),"◇","")),IF(AND(AZ$5&lt;=$F43,AZ$5+GanttPeriod-1&gt;=$E43),"━","")))</f>
        <v/>
      </c>
      <c r="BA43" s="69" t="str">
        <f aca="false">IF($E43="","",IF($M43,IF(AND($G43&gt;=BA$5,$G43&lt;BA$5+GanttPeriod),"◆",IF(AND($E43&gt;=BA$5,$E43&lt;BA$5+GanttPeriod),"◇","")),IF(AND(BA$5&lt;=$F43,BA$5+GanttPeriod-1&gt;=$E43),"━","")))</f>
        <v/>
      </c>
      <c r="BB43" s="69" t="str">
        <f aca="false">IF($E43="","",IF($M43,IF(AND($G43&gt;=BB$5,$G43&lt;BB$5+GanttPeriod),"◆",IF(AND($E43&gt;=BB$5,$E43&lt;BB$5+GanttPeriod),"◇","")),IF(AND(BB$5&lt;=$F43,BB$5+GanttPeriod-1&gt;=$E43),"━","")))</f>
        <v/>
      </c>
      <c r="BC43" s="69" t="str">
        <f aca="false">IF($E43="","",IF($M43,IF(AND($G43&gt;=BC$5,$G43&lt;BC$5+GanttPeriod),"◆",IF(AND($E43&gt;=BC$5,$E43&lt;BC$5+GanttPeriod),"◇","")),IF(AND(BC$5&lt;=$F43,BC$5+GanttPeriod-1&gt;=$E43),"━","")))</f>
        <v/>
      </c>
      <c r="BD43" s="69" t="str">
        <f aca="false">IF($E43="","",IF($M43,IF(AND($G43&gt;=BD$5,$G43&lt;BD$5+GanttPeriod),"◆",IF(AND($E43&gt;=BD$5,$E43&lt;BD$5+GanttPeriod),"◇","")),IF(AND(BD$5&lt;=$F43,BD$5+GanttPeriod-1&gt;=$E43),"━","")))</f>
        <v/>
      </c>
      <c r="BE43" s="69" t="str">
        <f aca="false">IF($E43="","",IF($M43,IF(AND($G43&gt;=BE$5,$G43&lt;BE$5+GanttPeriod),"◆",IF(AND($E43&gt;=BE$5,$E43&lt;BE$5+GanttPeriod),"◇","")),IF(AND(BE$5&lt;=$F43,BE$5+GanttPeriod-1&gt;=$E43),"━","")))</f>
        <v/>
      </c>
      <c r="BF43" s="69" t="str">
        <f aca="false">IF($E43="","",IF($M43,IF(AND($G43&gt;=BF$5,$G43&lt;BF$5+GanttPeriod),"◆",IF(AND($E43&gt;=BF$5,$E43&lt;BF$5+GanttPeriod),"◇","")),IF(AND(BF$5&lt;=$F43,BF$5+GanttPeriod-1&gt;=$E43),"━","")))</f>
        <v/>
      </c>
      <c r="BG43" s="69" t="str">
        <f aca="false">IF($E43="","",IF($M43,IF(AND($G43&gt;=BG$5,$G43&lt;BG$5+GanttPeriod),"◆",IF(AND($E43&gt;=BG$5,$E43&lt;BG$5+GanttPeriod),"◇","")),IF(AND(BG$5&lt;=$F43,BG$5+GanttPeriod-1&gt;=$E43),"━","")))</f>
        <v/>
      </c>
      <c r="BH43" s="69" t="str">
        <f aca="false">IF($E43="","",IF($M43,IF(AND($G43&gt;=BH$5,$G43&lt;BH$5+GanttPeriod),"◆",IF(AND($E43&gt;=BH$5,$E43&lt;BH$5+GanttPeriod),"◇","")),IF(AND(BH$5&lt;=$F43,BH$5+GanttPeriod-1&gt;=$E43),"━","")))</f>
        <v/>
      </c>
      <c r="BI43" s="69" t="str">
        <f aca="false">IF($E43="","",IF($M43,IF(AND($G43&gt;=BI$5,$G43&lt;BI$5+GanttPeriod),"◆",IF(AND($E43&gt;=BI$5,$E43&lt;BI$5+GanttPeriod),"◇","")),IF(AND(BI$5&lt;=$F43,BI$5+GanttPeriod-1&gt;=$E43),"━","")))</f>
        <v/>
      </c>
      <c r="BJ43" s="69" t="str">
        <f aca="false">IF($E43="","",IF($M43,IF(AND($G43&gt;=BJ$5,$G43&lt;BJ$5+GanttPeriod),"◆",IF(AND($E43&gt;=BJ$5,$E43&lt;BJ$5+GanttPeriod),"◇","")),IF(AND(BJ$5&lt;=$F43,BJ$5+GanttPeriod-1&gt;=$E43),"━","")))</f>
        <v/>
      </c>
      <c r="BK43" s="69" t="str">
        <f aca="false">IF($E43="","",IF($M43,IF(AND($G43&gt;=BK$5,$G43&lt;BK$5+GanttPeriod),"◆",IF(AND($E43&gt;=BK$5,$E43&lt;BK$5+GanttPeriod),"◇","")),IF(AND(BK$5&lt;=$F43,BK$5+GanttPeriod-1&gt;=$E43),"━","")))</f>
        <v/>
      </c>
      <c r="BL43" s="69" t="str">
        <f aca="false">IF($E43="","",IF($M43,IF(AND($G43&gt;=BL$5,$G43&lt;BL$5+GanttPeriod),"◆",IF(AND($E43&gt;=BL$5,$E43&lt;BL$5+GanttPeriod),"◇","")),IF(AND(BL$5&lt;=$F43,BL$5+GanttPeriod-1&gt;=$E43),"━","")))</f>
        <v/>
      </c>
      <c r="BM43" s="69" t="str">
        <f aca="false">IF($E43="","",IF($M43,IF(AND($G43&gt;=BM$5,$G43&lt;BM$5+GanttPeriod),"◆",IF(AND($E43&gt;=BM$5,$E43&lt;BM$5+GanttPeriod),"◇","")),IF(AND(BM$5&lt;=$F43,BM$5+GanttPeriod-1&gt;=$E43),"━","")))</f>
        <v/>
      </c>
      <c r="BN43" s="69" t="str">
        <f aca="false">IF($E43="","",IF($M43,IF(AND($G43&gt;=BN$5,$G43&lt;BN$5+GanttPeriod),"◆",IF(AND($E43&gt;=BN$5,$E43&lt;BN$5+GanttPeriod),"◇","")),IF(AND(BN$5&lt;=$F43,BN$5+GanttPeriod-1&gt;=$E43),"━","")))</f>
        <v/>
      </c>
      <c r="BO43" s="69" t="str">
        <f aca="false">IF($E43="","",IF($M43,IF(AND($G43&gt;=BO$5,$G43&lt;BO$5+GanttPeriod),"◆",IF(AND($E43&gt;=BO$5,$E43&lt;BO$5+GanttPeriod),"◇","")),IF(AND(BO$5&lt;=$F43,BO$5+GanttPeriod-1&gt;=$E43),"━","")))</f>
        <v/>
      </c>
      <c r="BP43" s="69" t="str">
        <f aca="false">IF($E43="","",IF($M43,IF(AND($G43&gt;=BP$5,$G43&lt;BP$5+GanttPeriod),"◆",IF(AND($E43&gt;=BP$5,$E43&lt;BP$5+GanttPeriod),"◇","")),IF(AND(BP$5&lt;=$F43,BP$5+GanttPeriod-1&gt;=$E43),"━","")))</f>
        <v/>
      </c>
      <c r="BQ43" s="69" t="str">
        <f aca="false">IF($E43="","",IF($M43,IF(AND($G43&gt;=BQ$5,$G43&lt;BQ$5+GanttPeriod),"◆",IF(AND($E43&gt;=BQ$5,$E43&lt;BQ$5+GanttPeriod),"◇","")),IF(AND(BQ$5&lt;=$F43,BQ$5+GanttPeriod-1&gt;=$E43),"━","")))</f>
        <v/>
      </c>
      <c r="BR43" s="69" t="str">
        <f aca="false">IF($E43="","",IF($M43,IF(AND($G43&gt;=BR$5,$G43&lt;BR$5+GanttPeriod),"◆",IF(AND($E43&gt;=BR$5,$E43&lt;BR$5+GanttPeriod),"◇","")),IF(AND(BR$5&lt;=$F43,BR$5+GanttPeriod-1&gt;=$E43),"━","")))</f>
        <v/>
      </c>
      <c r="BS43" s="69" t="str">
        <f aca="false">IF($E43="","",IF($M43,IF(AND($G43&gt;=BS$5,$G43&lt;BS$5+GanttPeriod),"◆",IF(AND($E43&gt;=BS$5,$E43&lt;BS$5+GanttPeriod),"◇","")),IF(AND(BS$5&lt;=$F43,BS$5+GanttPeriod-1&gt;=$E43),"━","")))</f>
        <v/>
      </c>
      <c r="BT43" s="69" t="str">
        <f aca="false">IF($E43="","",IF($M43,IF(AND($G43&gt;=BT$5,$G43&lt;BT$5+GanttPeriod),"◆",IF(AND($E43&gt;=BT$5,$E43&lt;BT$5+GanttPeriod),"◇","")),IF(AND(BT$5&lt;=$F43,BT$5+GanttPeriod-1&gt;=$E43),"━","")))</f>
        <v/>
      </c>
      <c r="BU43" s="69" t="str">
        <f aca="false">IF($E43="","",IF($M43,IF(AND($G43&gt;=BU$5,$G43&lt;BU$5+GanttPeriod),"◆",IF(AND($E43&gt;=BU$5,$E43&lt;BU$5+GanttPeriod),"◇","")),IF(AND(BU$5&lt;=$F43,BU$5+GanttPeriod-1&gt;=$E43),"━","")))</f>
        <v/>
      </c>
      <c r="BV43" s="69" t="str">
        <f aca="false">IF($E43="","",IF($M43,IF(AND($G43&gt;=BV$5,$G43&lt;BV$5+GanttPeriod),"◆",IF(AND($E43&gt;=BV$5,$E43&lt;BV$5+GanttPeriod),"◇","")),IF(AND(BV$5&lt;=$F43,BV$5+GanttPeriod-1&gt;=$E43),"━","")))</f>
        <v/>
      </c>
      <c r="BW43" s="69" t="str">
        <f aca="false">IF($E43="","",IF($M43,IF(AND($G43&gt;=BW$5,$G43&lt;BW$5+GanttPeriod),"◆",IF(AND($E43&gt;=BW$5,$E43&lt;BW$5+GanttPeriod),"◇","")),IF(AND(BW$5&lt;=$F43,BW$5+GanttPeriod-1&gt;=$E43),"━","")))</f>
        <v/>
      </c>
      <c r="BX43" s="69" t="str">
        <f aca="false">IF($E43="","",IF($M43,IF(AND($G43&gt;=BX$5,$G43&lt;BX$5+GanttPeriod),"◆",IF(AND($E43&gt;=BX$5,$E43&lt;BX$5+GanttPeriod),"◇","")),IF(AND(BX$5&lt;=$F43,BX$5+GanttPeriod-1&gt;=$E43),"━","")))</f>
        <v/>
      </c>
      <c r="BY43" s="69" t="str">
        <f aca="false">IF($E43="","",IF($M43,IF(AND($G43&gt;=BY$5,$G43&lt;BY$5+GanttPeriod),"◆",IF(AND($E43&gt;=BY$5,$E43&lt;BY$5+GanttPeriod),"◇","")),IF(AND(BY$5&lt;=$F43,BY$5+GanttPeriod-1&gt;=$E43),"━","")))</f>
        <v/>
      </c>
      <c r="BZ43" s="69" t="str">
        <f aca="false">IF($E43="","",IF($M43,IF(AND($G43&gt;=BZ$5,$G43&lt;BZ$5+GanttPeriod),"◆",IF(AND($E43&gt;=BZ$5,$E43&lt;BZ$5+GanttPeriod),"◇","")),IF(AND(BZ$5&lt;=$F43,BZ$5+GanttPeriod-1&gt;=$E43),"━","")))</f>
        <v/>
      </c>
      <c r="CA43" s="69" t="str">
        <f aca="false">IF($E43="","",IF($M43,IF(AND($G43&gt;=CA$5,$G43&lt;CA$5+GanttPeriod),"◆",IF(AND($E43&gt;=CA$5,$E43&lt;CA$5+GanttPeriod),"◇","")),IF(AND(CA$5&lt;=$F43,CA$5+GanttPeriod-1&gt;=$E43),"━","")))</f>
        <v/>
      </c>
      <c r="CB43" s="69" t="str">
        <f aca="false">IF($E43="","",IF($M43,IF(AND($G43&gt;=CB$5,$G43&lt;CB$5+GanttPeriod),"◆",IF(AND($E43&gt;=CB$5,$E43&lt;CB$5+GanttPeriod),"◇","")),IF(AND(CB$5&lt;=$F43,CB$5+GanttPeriod-1&gt;=$E43),"━","")))</f>
        <v/>
      </c>
      <c r="CC43" s="69" t="str">
        <f aca="false">IF($E43="","",IF($M43,IF(AND($G43&gt;=CC$5,$G43&lt;CC$5+GanttPeriod),"◆",IF(AND($E43&gt;=CC$5,$E43&lt;CC$5+GanttPeriod),"◇","")),IF(AND(CC$5&lt;=$F43,CC$5+GanttPeriod-1&gt;=$E43),"━","")))</f>
        <v/>
      </c>
      <c r="CD43" s="69" t="str">
        <f aca="false">IF($E43="","",IF($M43,IF(AND($G43&gt;=CD$5,$G43&lt;CD$5+GanttPeriod),"◆",IF(AND($E43&gt;=CD$5,$E43&lt;CD$5+GanttPeriod),"◇","")),IF(AND(CD$5&lt;=$F43,CD$5+GanttPeriod-1&gt;=$E43),"━","")))</f>
        <v/>
      </c>
      <c r="CE43" s="69" t="str">
        <f aca="false">IF($E43="","",IF($M43,IF(AND($G43&gt;=CE$5,$G43&lt;CE$5+GanttPeriod),"◆",IF(AND($E43&gt;=CE$5,$E43&lt;CE$5+GanttPeriod),"◇","")),IF(AND(CE$5&lt;=$F43,CE$5+GanttPeriod-1&gt;=$E43),"━","")))</f>
        <v/>
      </c>
      <c r="CF43" s="69" t="str">
        <f aca="false">IF($E43="","",IF($M43,IF(AND($G43&gt;=CF$5,$G43&lt;CF$5+GanttPeriod),"◆",IF(AND($E43&gt;=CF$5,$E43&lt;CF$5+GanttPeriod),"◇","")),IF(AND(CF$5&lt;=$F43,CF$5+GanttPeriod-1&gt;=$E43),"━","")))</f>
        <v/>
      </c>
      <c r="CG43" s="69" t="str">
        <f aca="false">IF($E43="","",IF($M43,IF(AND($G43&gt;=CG$5,$G43&lt;CG$5+GanttPeriod),"◆",IF(AND($E43&gt;=CG$5,$E43&lt;CG$5+GanttPeriod),"◇","")),IF(AND(CG$5&lt;=$F43,CG$5+GanttPeriod-1&gt;=$E43),"━","")))</f>
        <v/>
      </c>
      <c r="CH43" s="69" t="str">
        <f aca="false">IF($E43="","",IF($M43,IF(AND($G43&gt;=CH$5,$G43&lt;CH$5+GanttPeriod),"◆",IF(AND($E43&gt;=CH$5,$E43&lt;CH$5+GanttPeriod),"◇","")),IF(AND(CH$5&lt;=$F43,CH$5+GanttPeriod-1&gt;=$E43),"━","")))</f>
        <v/>
      </c>
      <c r="CI43" s="69" t="str">
        <f aca="false">IF($E43="","",IF($M43,IF(AND($G43&gt;=CI$5,$G43&lt;CI$5+GanttPeriod),"◆",IF(AND($E43&gt;=CI$5,$E43&lt;CI$5+GanttPeriod),"◇","")),IF(AND(CI$5&lt;=$F43,CI$5+GanttPeriod-1&gt;=$E43),"━","")))</f>
        <v/>
      </c>
      <c r="CJ43" s="69" t="str">
        <f aca="false">IF($E43="","",IF($M43,IF(AND($G43&gt;=CJ$5,$G43&lt;CJ$5+GanttPeriod),"◆",IF(AND($E43&gt;=CJ$5,$E43&lt;CJ$5+GanttPeriod),"◇","")),IF(AND(CJ$5&lt;=$F43,CJ$5+GanttPeriod-1&gt;=$E43),"━","")))</f>
        <v/>
      </c>
      <c r="CK43" s="69" t="str">
        <f aca="false">IF($E43="","",IF($M43,IF(AND($G43&gt;=CK$5,$G43&lt;CK$5+GanttPeriod),"◆",IF(AND($E43&gt;=CK$5,$E43&lt;CK$5+GanttPeriod),"◇","")),IF(AND(CK$5&lt;=$F43,CK$5+GanttPeriod-1&gt;=$E43),"━","")))</f>
        <v/>
      </c>
      <c r="CL43" s="69" t="str">
        <f aca="false">IF($E43="","",IF($M43,IF(AND($G43&gt;=CL$5,$G43&lt;CL$5+GanttPeriod),"◆",IF(AND($E43&gt;=CL$5,$E43&lt;CL$5+GanttPeriod),"◇","")),IF(AND(CL$5&lt;=$F43,CL$5+GanttPeriod-1&gt;=$E43),"━","")))</f>
        <v/>
      </c>
      <c r="CM43" s="69" t="str">
        <f aca="false">IF($E43="","",IF($M43,IF(AND($G43&gt;=CM$5,$G43&lt;CM$5+GanttPeriod),"◆",IF(AND($E43&gt;=CM$5,$E43&lt;CM$5+GanttPeriod),"◇","")),IF(AND(CM$5&lt;=$F43,CM$5+GanttPeriod-1&gt;=$E43),"━","")))</f>
        <v/>
      </c>
      <c r="CN43" s="69" t="str">
        <f aca="false">IF($E43="","",IF($M43,IF(AND($G43&gt;=CN$5,$G43&lt;CN$5+GanttPeriod),"◆",IF(AND($E43&gt;=CN$5,$E43&lt;CN$5+GanttPeriod),"◇","")),IF(AND(CN$5&lt;=$F43,CN$5+GanttPeriod-1&gt;=$E43),"━","")))</f>
        <v/>
      </c>
      <c r="CO43" s="69" t="str">
        <f aca="false">IF($E43="","",IF($M43,IF(AND($G43&gt;=CO$5,$G43&lt;CO$5+GanttPeriod),"◆",IF(AND($E43&gt;=CO$5,$E43&lt;CO$5+GanttPeriod),"◇","")),IF(AND(CO$5&lt;=$F43,CO$5+GanttPeriod-1&gt;=$E43),"━","")))</f>
        <v/>
      </c>
      <c r="CP43" s="69" t="str">
        <f aca="false">IF($E43="","",IF($M43,IF(AND($G43&gt;=CP$5,$G43&lt;CP$5+GanttPeriod),"◆",IF(AND($E43&gt;=CP$5,$E43&lt;CP$5+GanttPeriod),"◇","")),IF(AND(CP$5&lt;=$F43,CP$5+GanttPeriod-1&gt;=$E43),"━","")))</f>
        <v/>
      </c>
      <c r="CQ43" s="69" t="str">
        <f aca="false">IF($E43="","",IF($M43,IF(AND($G43&gt;=CQ$5,$G43&lt;CQ$5+GanttPeriod),"◆",IF(AND($E43&gt;=CQ$5,$E43&lt;CQ$5+GanttPeriod),"◇","")),IF(AND(CQ$5&lt;=$F43,CQ$5+GanttPeriod-1&gt;=$E43),"━","")))</f>
        <v/>
      </c>
      <c r="CR43" s="69" t="str">
        <f aca="false">IF($E43="","",IF($M43,IF(AND($G43&gt;=CR$5,$G43&lt;CR$5+GanttPeriod),"◆",IF(AND($E43&gt;=CR$5,$E43&lt;CR$5+GanttPeriod),"◇","")),IF(AND(CR$5&lt;=$F43,CR$5+GanttPeriod-1&gt;=$E43),"━","")))</f>
        <v/>
      </c>
      <c r="CS43" s="69" t="str">
        <f aca="false">IF($E43="","",IF($M43,IF(AND($G43&gt;=CS$5,$G43&lt;CS$5+GanttPeriod),"◆",IF(AND($E43&gt;=CS$5,$E43&lt;CS$5+GanttPeriod),"◇","")),IF(AND(CS$5&lt;=$F43,CS$5+GanttPeriod-1&gt;=$E43),"━","")))</f>
        <v/>
      </c>
      <c r="CT43" s="69" t="str">
        <f aca="false">IF($E43="","",IF($M43,IF(AND($G43&gt;=CT$5,$G43&lt;CT$5+GanttPeriod),"◆",IF(AND($E43&gt;=CT$5,$E43&lt;CT$5+GanttPeriod),"◇","")),IF(AND(CT$5&lt;=$F43,CT$5+GanttPeriod-1&gt;=$E43),"━","")))</f>
        <v/>
      </c>
      <c r="CU43" s="69" t="str">
        <f aca="false">IF($E43="","",IF($M43,IF(AND($G43&gt;=CU$5,$G43&lt;CU$5+GanttPeriod),"◆",IF(AND($E43&gt;=CU$5,$E43&lt;CU$5+GanttPeriod),"◇","")),IF(AND(CU$5&lt;=$F43,CU$5+GanttPeriod-1&gt;=$E43),"━","")))</f>
        <v/>
      </c>
      <c r="CV43" s="69" t="str">
        <f aca="false">IF($E43="","",IF($M43,IF(AND($G43&gt;=CV$5,$G43&lt;CV$5+GanttPeriod),"◆",IF(AND($E43&gt;=CV$5,$E43&lt;CV$5+GanttPeriod),"◇","")),IF(AND(CV$5&lt;=$F43,CV$5+GanttPeriod-1&gt;=$E43),"━","")))</f>
        <v/>
      </c>
      <c r="CW43" s="69" t="str">
        <f aca="false">IF($E43="","",IF($M43,IF(AND($G43&gt;=CW$5,$G43&lt;CW$5+GanttPeriod),"◆",IF(AND($E43&gt;=CW$5,$E43&lt;CW$5+GanttPeriod),"◇","")),IF(AND(CW$5&lt;=$F43,CW$5+GanttPeriod-1&gt;=$E43),"━","")))</f>
        <v/>
      </c>
      <c r="CX43" s="69" t="str">
        <f aca="false">IF($E43="","",IF($M43,IF(AND($G43&gt;=CX$5,$G43&lt;CX$5+GanttPeriod),"◆",IF(AND($E43&gt;=CX$5,$E43&lt;CX$5+GanttPeriod),"◇","")),IF(AND(CX$5&lt;=$F43,CX$5+GanttPeriod-1&gt;=$E43),"━","")))</f>
        <v/>
      </c>
      <c r="CY43" s="69" t="str">
        <f aca="false">IF($E43="","",IF($M43,IF(AND($G43&gt;=CY$5,$G43&lt;CY$5+GanttPeriod),"◆",IF(AND($E43&gt;=CY$5,$E43&lt;CY$5+GanttPeriod),"◇","")),IF(AND(CY$5&lt;=$F43,CY$5+GanttPeriod-1&gt;=$E43),"━","")))</f>
        <v/>
      </c>
      <c r="CZ43" s="69" t="str">
        <f aca="false">IF($E43="","",IF($M43,IF(AND($G43&gt;=CZ$5,$G43&lt;CZ$5+GanttPeriod),"◆",IF(AND($E43&gt;=CZ$5,$E43&lt;CZ$5+GanttPeriod),"◇","")),IF(AND(CZ$5&lt;=$F43,CZ$5+GanttPeriod-1&gt;=$E43),"━","")))</f>
        <v/>
      </c>
      <c r="DA43" s="69" t="str">
        <f aca="false">IF($E43="","",IF($M43,IF(AND($G43&gt;=DA$5,$G43&lt;DA$5+GanttPeriod),"◆",IF(AND($E43&gt;=DA$5,$E43&lt;DA$5+GanttPeriod),"◇","")),IF(AND(DA$5&lt;=$F43,DA$5+GanttPeriod-1&gt;=$E43),"━","")))</f>
        <v/>
      </c>
      <c r="DB43" s="69" t="str">
        <f aca="false">IF($E43="","",IF($M43,IF(AND($G43&gt;=DB$5,$G43&lt;DB$5+GanttPeriod),"◆",IF(AND($E43&gt;=DB$5,$E43&lt;DB$5+GanttPeriod),"◇","")),IF(AND(DB$5&lt;=$F43,DB$5+GanttPeriod-1&gt;=$E43),"━","")))</f>
        <v/>
      </c>
      <c r="DC43" s="69" t="str">
        <f aca="false">IF($E43="","",IF($M43,IF(AND($G43&gt;=DC$5,$G43&lt;DC$5+GanttPeriod),"◆",IF(AND($E43&gt;=DC$5,$E43&lt;DC$5+GanttPeriod),"◇","")),IF(AND(DC$5&lt;=$F43,DC$5+GanttPeriod-1&gt;=$E43),"━","")))</f>
        <v/>
      </c>
      <c r="DD43" s="69" t="str">
        <f aca="false">IF($E43="","",IF($M43,IF(AND($G43&gt;=DD$5,$G43&lt;DD$5+GanttPeriod),"◆",IF(AND($E43&gt;=DD$5,$E43&lt;DD$5+GanttPeriod),"◇","")),IF(AND(DD$5&lt;=$F43,DD$5+GanttPeriod-1&gt;=$E43),"━","")))</f>
        <v/>
      </c>
      <c r="DE43" s="69" t="str">
        <f aca="false">IF($E43="","",IF($M43,IF(AND($G43&gt;=DE$5,$G43&lt;DE$5+GanttPeriod),"◆",IF(AND($E43&gt;=DE$5,$E43&lt;DE$5+GanttPeriod),"◇","")),IF(AND(DE$5&lt;=$F43,DE$5+GanttPeriod-1&gt;=$E43),"━","")))</f>
        <v/>
      </c>
      <c r="DF43" s="69" t="str">
        <f aca="false">IF($E43="","",IF($M43,IF(AND($G43&gt;=DF$5,$G43&lt;DF$5+GanttPeriod),"◆",IF(AND($E43&gt;=DF$5,$E43&lt;DF$5+GanttPeriod),"◇","")),IF(AND(DF$5&lt;=$F43,DF$5+GanttPeriod-1&gt;=$E43),"━","")))</f>
        <v/>
      </c>
      <c r="DG43" s="69" t="str">
        <f aca="false">IF($E43="","",IF($M43,IF(AND($G43&gt;=DG$5,$G43&lt;DG$5+GanttPeriod),"◆",IF(AND($E43&gt;=DG$5,$E43&lt;DG$5+GanttPeriod),"◇","")),IF(AND(DG$5&lt;=$F43,DG$5+GanttPeriod-1&gt;=$E43),"━","")))</f>
        <v/>
      </c>
      <c r="DH43" s="69" t="str">
        <f aca="false">IF($E43="","",IF($M43,IF(AND($G43&gt;=DH$5,$G43&lt;DH$5+GanttPeriod),"◆",IF(AND($E43&gt;=DH$5,$E43&lt;DH$5+GanttPeriod),"◇","")),IF(AND(DH$5&lt;=$F43,DH$5+GanttPeriod-1&gt;=$E43),"━","")))</f>
        <v/>
      </c>
      <c r="DI43" s="69" t="str">
        <f aca="false">IF($E43="","",IF($M43,IF(AND($G43&gt;=DI$5,$G43&lt;DI$5+GanttPeriod),"◆",IF(AND($E43&gt;=DI$5,$E43&lt;DI$5+GanttPeriod),"◇","")),IF(AND(DI$5&lt;=$F43,DI$5+GanttPeriod-1&gt;=$E43),"━","")))</f>
        <v/>
      </c>
      <c r="DJ43" s="69" t="str">
        <f aca="false">IF($E43="","",IF($M43,IF(AND($G43&gt;=DJ$5,$G43&lt;DJ$5+GanttPeriod),"◆",IF(AND($E43&gt;=DJ$5,$E43&lt;DJ$5+GanttPeriod),"◇","")),IF(AND(DJ$5&lt;=$F43,DJ$5+GanttPeriod-1&gt;=$E43),"━","")))</f>
        <v/>
      </c>
      <c r="DK43" s="69" t="str">
        <f aca="false">IF($E43="","",IF($M43,IF(AND($G43&gt;=DK$5,$G43&lt;DK$5+GanttPeriod),"◆",IF(AND($E43&gt;=DK$5,$E43&lt;DK$5+GanttPeriod),"◇","")),IF(AND(DK$5&lt;=$F43,DK$5+GanttPeriod-1&gt;=$E43),"━","")))</f>
        <v/>
      </c>
      <c r="DL43" s="69" t="str">
        <f aca="false">IF($E43="","",IF($M43,IF(AND($G43&gt;=DL$5,$G43&lt;DL$5+GanttPeriod),"◆",IF(AND($E43&gt;=DL$5,$E43&lt;DL$5+GanttPeriod),"◇","")),IF(AND(DL$5&lt;=$F43,DL$5+GanttPeriod-1&gt;=$E43),"━","")))</f>
        <v/>
      </c>
      <c r="DM43" s="69" t="str">
        <f aca="false">IF($E43="","",IF($M43,IF(AND($G43&gt;=DM$5,$G43&lt;DM$5+GanttPeriod),"◆",IF(AND($E43&gt;=DM$5,$E43&lt;DM$5+GanttPeriod),"◇","")),IF(AND(DM$5&lt;=$F43,DM$5+GanttPeriod-1&gt;=$E43),"━","")))</f>
        <v/>
      </c>
      <c r="DN43" s="69" t="str">
        <f aca="false">IF($E43="","",IF($M43,IF(AND($G43&gt;=DN$5,$G43&lt;DN$5+GanttPeriod),"◆",IF(AND($E43&gt;=DN$5,$E43&lt;DN$5+GanttPeriod),"◇","")),IF(AND(DN$5&lt;=$F43,DN$5+GanttPeriod-1&gt;=$E43),"━","")))</f>
        <v/>
      </c>
      <c r="DO43" s="69" t="str">
        <f aca="false">IF($E43="","",IF($M43,IF(AND($G43&gt;=DO$5,$G43&lt;DO$5+GanttPeriod),"◆",IF(AND($E43&gt;=DO$5,$E43&lt;DO$5+GanttPeriod),"◇","")),IF(AND(DO$5&lt;=$F43,DO$5+GanttPeriod-1&gt;=$E43),"━","")))</f>
        <v/>
      </c>
      <c r="DP43" s="69" t="str">
        <f aca="false">IF($E43="","",IF($M43,IF(AND($G43&gt;=DP$5,$G43&lt;DP$5+GanttPeriod),"◆",IF(AND($E43&gt;=DP$5,$E43&lt;DP$5+GanttPeriod),"◇","")),IF(AND(DP$5&lt;=$F43,DP$5+GanttPeriod-1&gt;=$E43),"━","")))</f>
        <v/>
      </c>
      <c r="DQ43" s="69" t="str">
        <f aca="false">IF($E43="","",IF($M43,IF(AND($G43&gt;=DQ$5,$G43&lt;DQ$5+GanttPeriod),"◆",IF(AND($E43&gt;=DQ$5,$E43&lt;DQ$5+GanttPeriod),"◇","")),IF(AND(DQ$5&lt;=$F43,DQ$5+GanttPeriod-1&gt;=$E43),"━","")))</f>
        <v/>
      </c>
      <c r="DR43" s="69" t="str">
        <f aca="false">IF($E43="","",IF($M43,IF(AND($G43&gt;=DR$5,$G43&lt;DR$5+GanttPeriod),"◆",IF(AND($E43&gt;=DR$5,$E43&lt;DR$5+GanttPeriod),"◇","")),IF(AND(DR$5&lt;=$F43,DR$5+GanttPeriod-1&gt;=$E43),"━","")))</f>
        <v/>
      </c>
      <c r="DS43" s="69" t="str">
        <f aca="false">IF($E43="","",IF($M43,IF(AND($G43&gt;=DS$5,$G43&lt;DS$5+GanttPeriod),"◆",IF(AND($E43&gt;=DS$5,$E43&lt;DS$5+GanttPeriod),"◇","")),IF(AND(DS$5&lt;=$F43,DS$5+GanttPeriod-1&gt;=$E43),"━","")))</f>
        <v/>
      </c>
      <c r="DT43" s="69" t="str">
        <f aca="false">IF($E43="","",IF($M43,IF(AND($G43&gt;=DT$5,$G43&lt;DT$5+GanttPeriod),"◆",IF(AND($E43&gt;=DT$5,$E43&lt;DT$5+GanttPeriod),"◇","")),IF(AND(DT$5&lt;=$F43,DT$5+GanttPeriod-1&gt;=$E43),"━","")))</f>
        <v/>
      </c>
      <c r="DU43" s="69" t="str">
        <f aca="false">IF($E43="","",IF($M43,IF(AND($G43&gt;=DU$5,$G43&lt;DU$5+GanttPeriod),"◆",IF(AND($E43&gt;=DU$5,$E43&lt;DU$5+GanttPeriod),"◇","")),IF(AND(DU$5&lt;=$F43,DU$5+GanttPeriod-1&gt;=$E43),"━","")))</f>
        <v/>
      </c>
      <c r="DV43" s="69" t="str">
        <f aca="false">IF($E43="","",IF($M43,IF(AND($G43&gt;=DV$5,$G43&lt;DV$5+GanttPeriod),"◆",IF(AND($E43&gt;=DV$5,$E43&lt;DV$5+GanttPeriod),"◇","")),IF(AND(DV$5&lt;=$F43,DV$5+GanttPeriod-1&gt;=$E43),"━","")))</f>
        <v/>
      </c>
      <c r="DW43" s="69" t="str">
        <f aca="false">IF($E43="","",IF($M43,IF(AND($G43&gt;=DW$5,$G43&lt;DW$5+GanttPeriod),"◆",IF(AND($E43&gt;=DW$5,$E43&lt;DW$5+GanttPeriod),"◇","")),IF(AND(DW$5&lt;=$F43,DW$5+GanttPeriod-1&gt;=$E43),"━","")))</f>
        <v/>
      </c>
      <c r="DX43" s="69" t="str">
        <f aca="false">IF($E43="","",IF($M43,IF(AND($G43&gt;=DX$5,$G43&lt;DX$5+GanttPeriod),"◆",IF(AND($E43&gt;=DX$5,$E43&lt;DX$5+GanttPeriod),"◇","")),IF(AND(DX$5&lt;=$F43,DX$5+GanttPeriod-1&gt;=$E43),"━","")))</f>
        <v/>
      </c>
      <c r="DY43" s="69" t="str">
        <f aca="false">IF($E43="","",IF($M43,IF(AND($G43&gt;=DY$5,$G43&lt;DY$5+GanttPeriod),"◆",IF(AND($E43&gt;=DY$5,$E43&lt;DY$5+GanttPeriod),"◇","")),IF(AND(DY$5&lt;=$F43,DY$5+GanttPeriod-1&gt;=$E43),"━","")))</f>
        <v/>
      </c>
      <c r="DZ43" s="69" t="str">
        <f aca="false">IF($E43="","",IF($M43,IF(AND($G43&gt;=DZ$5,$G43&lt;DZ$5+GanttPeriod),"◆",IF(AND($E43&gt;=DZ$5,$E43&lt;DZ$5+GanttPeriod),"◇","")),IF(AND(DZ$5&lt;=$F43,DZ$5+GanttPeriod-1&gt;=$E43),"━","")))</f>
        <v/>
      </c>
      <c r="EA43" s="69" t="str">
        <f aca="false">IF($E43="","",IF($M43,IF(AND($G43&gt;=EA$5,$G43&lt;EA$5+GanttPeriod),"◆",IF(AND($E43&gt;=EA$5,$E43&lt;EA$5+GanttPeriod),"◇","")),IF(AND(EA$5&lt;=$F43,EA$5+GanttPeriod-1&gt;=$E43),"━","")))</f>
        <v/>
      </c>
      <c r="EB43" s="69" t="str">
        <f aca="false">IF($E43="","",IF($M43,IF(AND($G43&gt;=EB$5,$G43&lt;EB$5+GanttPeriod),"◆",IF(AND($E43&gt;=EB$5,$E43&lt;EB$5+GanttPeriod),"◇","")),IF(AND(EB$5&lt;=$F43,EB$5+GanttPeriod-1&gt;=$E43),"━","")))</f>
        <v/>
      </c>
      <c r="EC43" s="69" t="str">
        <f aca="false">IF($E43="","",IF($M43,IF(AND($G43&gt;=EC$5,$G43&lt;EC$5+GanttPeriod),"◆",IF(AND($E43&gt;=EC$5,$E43&lt;EC$5+GanttPeriod),"◇","")),IF(AND(EC$5&lt;=$F43,EC$5+GanttPeriod-1&gt;=$E43),"━","")))</f>
        <v/>
      </c>
      <c r="ED43" s="69" t="str">
        <f aca="false">IF($E43="","",IF($M43,IF(AND($G43&gt;=ED$5,$G43&lt;ED$5+GanttPeriod),"◆",IF(AND($E43&gt;=ED$5,$E43&lt;ED$5+GanttPeriod),"◇","")),IF(AND(ED$5&lt;=$F43,ED$5+GanttPeriod-1&gt;=$E43),"━","")))</f>
        <v/>
      </c>
      <c r="EE43" s="69" t="str">
        <f aca="false">IF($E43="","",IF($M43,IF(AND($G43&gt;=EE$5,$G43&lt;EE$5+GanttPeriod),"◆",IF(AND($E43&gt;=EE$5,$E43&lt;EE$5+GanttPeriod),"◇","")),IF(AND(EE$5&lt;=$F43,EE$5+GanttPeriod-1&gt;=$E43),"━","")))</f>
        <v/>
      </c>
      <c r="EF43" s="69" t="str">
        <f aca="false">IF($E43="","",IF($M43,IF(AND($G43&gt;=EF$5,$G43&lt;EF$5+GanttPeriod),"◆",IF(AND($E43&gt;=EF$5,$E43&lt;EF$5+GanttPeriod),"◇","")),IF(AND(EF$5&lt;=$F43,EF$5+GanttPeriod-1&gt;=$E43),"━","")))</f>
        <v/>
      </c>
      <c r="EG43" s="69" t="str">
        <f aca="false">IF($E43="","",IF($M43,IF(AND($G43&gt;=EG$5,$G43&lt;EG$5+GanttPeriod),"◆",IF(AND($E43&gt;=EG$5,$E43&lt;EG$5+GanttPeriod),"◇","")),IF(AND(EG$5&lt;=$F43,EG$5+GanttPeriod-1&gt;=$E43),"━","")))</f>
        <v/>
      </c>
      <c r="EH43" s="69" t="str">
        <f aca="false">IF($E43="","",IF($M43,IF(AND($G43&gt;=EH$5,$G43&lt;EH$5+GanttPeriod),"◆",IF(AND($E43&gt;=EH$5,$E43&lt;EH$5+GanttPeriod),"◇","")),IF(AND(EH$5&lt;=$F43,EH$5+GanttPeriod-1&gt;=$E43),"━","")))</f>
        <v/>
      </c>
      <c r="EI43" s="69" t="str">
        <f aca="false">IF($E43="","",IF($M43,IF(AND($G43&gt;=EI$5,$G43&lt;EI$5+GanttPeriod),"◆",IF(AND($E43&gt;=EI$5,$E43&lt;EI$5+GanttPeriod),"◇","")),IF(AND(EI$5&lt;=$F43,EI$5+GanttPeriod-1&gt;=$E43),"━","")))</f>
        <v/>
      </c>
      <c r="EJ43" s="69" t="str">
        <f aca="false">IF($E43="","",IF($M43,IF(AND($G43&gt;=EJ$5,$G43&lt;EJ$5+GanttPeriod),"◆",IF(AND($E43&gt;=EJ$5,$E43&lt;EJ$5+GanttPeriod),"◇","")),IF(AND(EJ$5&lt;=$F43,EJ$5+GanttPeriod-1&gt;=$E43),"━","")))</f>
        <v/>
      </c>
      <c r="EK43" s="69" t="str">
        <f aca="false">IF($E43="","",IF($M43,IF(AND($G43&gt;=EK$5,$G43&lt;EK$5+GanttPeriod),"◆",IF(AND($E43&gt;=EK$5,$E43&lt;EK$5+GanttPeriod),"◇","")),IF(AND(EK$5&lt;=$F43,EK$5+GanttPeriod-1&gt;=$E43),"━","")))</f>
        <v/>
      </c>
      <c r="EL43" s="69" t="str">
        <f aca="false">IF($E43="","",IF($M43,IF(AND($G43&gt;=EL$5,$G43&lt;EL$5+GanttPeriod),"◆",IF(AND($E43&gt;=EL$5,$E43&lt;EL$5+GanttPeriod),"◇","")),IF(AND(EL$5&lt;=$F43,EL$5+GanttPeriod-1&gt;=$E43),"━","")))</f>
        <v/>
      </c>
      <c r="EM43" s="69" t="str">
        <f aca="false">IF($E43="","",IF($M43,IF(AND($G43&gt;=EM$5,$G43&lt;EM$5+GanttPeriod),"◆",IF(AND($E43&gt;=EM$5,$E43&lt;EM$5+GanttPeriod),"◇","")),IF(AND(EM$5&lt;=$F43,EM$5+GanttPeriod-1&gt;=$E43),"━","")))</f>
        <v/>
      </c>
      <c r="EN43" s="69" t="str">
        <f aca="false">IF($E43="","",IF($M43,IF(AND($G43&gt;=EN$5,$G43&lt;EN$5+GanttPeriod),"◆",IF(AND($E43&gt;=EN$5,$E43&lt;EN$5+GanttPeriod),"◇","")),IF(AND(EN$5&lt;=$F43,EN$5+GanttPeriod-1&gt;=$E43),"━","")))</f>
        <v/>
      </c>
      <c r="EO43" s="69" t="str">
        <f aca="false">IF($E43="","",IF($M43,IF(AND($G43&gt;=EO$5,$G43&lt;EO$5+GanttPeriod),"◆",IF(AND($E43&gt;=EO$5,$E43&lt;EO$5+GanttPeriod),"◇","")),IF(AND(EO$5&lt;=$F43,EO$5+GanttPeriod-1&gt;=$E43),"━","")))</f>
        <v/>
      </c>
      <c r="EP43" s="69" t="str">
        <f aca="false">IF($E43="","",IF($M43,IF(AND($G43&gt;=EP$5,$G43&lt;EP$5+GanttPeriod),"◆",IF(AND($E43&gt;=EP$5,$E43&lt;EP$5+GanttPeriod),"◇","")),IF(AND(EP$5&lt;=$F43,EP$5+GanttPeriod-1&gt;=$E43),"━","")))</f>
        <v/>
      </c>
      <c r="EQ43" s="69" t="str">
        <f aca="false">IF($E43="","",IF($M43,IF(AND($G43&gt;=EQ$5,$G43&lt;EQ$5+GanttPeriod),"◆",IF(AND($E43&gt;=EQ$5,$E43&lt;EQ$5+GanttPeriod),"◇","")),IF(AND(EQ$5&lt;=$F43,EQ$5+GanttPeriod-1&gt;=$E43),"━","")))</f>
        <v/>
      </c>
      <c r="ER43" s="69" t="str">
        <f aca="false">IF($E43="","",IF($M43,IF(AND($G43&gt;=ER$5,$G43&lt;ER$5+GanttPeriod),"◆",IF(AND($E43&gt;=ER$5,$E43&lt;ER$5+GanttPeriod),"◇","")),IF(AND(ER$5&lt;=$F43,ER$5+GanttPeriod-1&gt;=$E43),"━","")))</f>
        <v/>
      </c>
      <c r="ES43" s="69" t="str">
        <f aca="false">IF($E43="","",IF($M43,IF(AND($G43&gt;=ES$5,$G43&lt;ES$5+GanttPeriod),"◆",IF(AND($E43&gt;=ES$5,$E43&lt;ES$5+GanttPeriod),"◇","")),IF(AND(ES$5&lt;=$F43,ES$5+GanttPeriod-1&gt;=$E43),"━","")))</f>
        <v/>
      </c>
      <c r="ET43" s="69" t="str">
        <f aca="false">IF($E43="","",IF($M43,IF(AND($G43&gt;=ET$5,$G43&lt;ET$5+GanttPeriod),"◆",IF(AND($E43&gt;=ET$5,$E43&lt;ET$5+GanttPeriod),"◇","")),IF(AND(ET$5&lt;=$F43,ET$5+GanttPeriod-1&gt;=$E43),"━","")))</f>
        <v/>
      </c>
      <c r="EU43" s="69" t="str">
        <f aca="false">IF($E43="","",IF($M43,IF(AND($G43&gt;=EU$5,$G43&lt;EU$5+GanttPeriod),"◆",IF(AND($E43&gt;=EU$5,$E43&lt;EU$5+GanttPeriod),"◇","")),IF(AND(EU$5&lt;=$F43,EU$5+GanttPeriod-1&gt;=$E43),"━","")))</f>
        <v/>
      </c>
      <c r="EV43" s="69" t="str">
        <f aca="false">IF($E43="","",IF($M43,IF(AND($G43&gt;=EV$5,$G43&lt;EV$5+GanttPeriod),"◆",IF(AND($E43&gt;=EV$5,$E43&lt;EV$5+GanttPeriod),"◇","")),IF(AND(EV$5&lt;=$F43,EV$5+GanttPeriod-1&gt;=$E43),"━","")))</f>
        <v/>
      </c>
      <c r="EW43" s="69" t="str">
        <f aca="false">IF($E43="","",IF($M43,IF(AND($G43&gt;=EW$5,$G43&lt;EW$5+GanttPeriod),"◆",IF(AND($E43&gt;=EW$5,$E43&lt;EW$5+GanttPeriod),"◇","")),IF(AND(EW$5&lt;=$F43,EW$5+GanttPeriod-1&gt;=$E43),"━","")))</f>
        <v/>
      </c>
      <c r="EX43" s="69" t="str">
        <f aca="false">IF($E43="","",IF($M43,IF(AND($G43&gt;=EX$5,$G43&lt;EX$5+GanttPeriod),"◆",IF(AND($E43&gt;=EX$5,$E43&lt;EX$5+GanttPeriod),"◇","")),IF(AND(EX$5&lt;=$F43,EX$5+GanttPeriod-1&gt;=$E43),"━","")))</f>
        <v/>
      </c>
      <c r="EY43" s="69" t="str">
        <f aca="false">IF($E43="","",IF($M43,IF(AND($G43&gt;=EY$5,$G43&lt;EY$5+GanttPeriod),"◆",IF(AND($E43&gt;=EY$5,$E43&lt;EY$5+GanttPeriod),"◇","")),IF(AND(EY$5&lt;=$F43,EY$5+GanttPeriod-1&gt;=$E43),"━","")))</f>
        <v/>
      </c>
      <c r="EZ43" s="69" t="str">
        <f aca="false">IF($E43="","",IF($M43,IF(AND($G43&gt;=EZ$5,$G43&lt;EZ$5+GanttPeriod),"◆",IF(AND($E43&gt;=EZ$5,$E43&lt;EZ$5+GanttPeriod),"◇","")),IF(AND(EZ$5&lt;=$F43,EZ$5+GanttPeriod-1&gt;=$E43),"━","")))</f>
        <v/>
      </c>
      <c r="FA43" s="69" t="str">
        <f aca="false">IF($E43="","",IF($M43,IF(AND($G43&gt;=FA$5,$G43&lt;FA$5+GanttPeriod),"◆",IF(AND($E43&gt;=FA$5,$E43&lt;FA$5+GanttPeriod),"◇","")),IF(AND(FA$5&lt;=$F43,FA$5+GanttPeriod-1&gt;=$E43),"━","")))</f>
        <v/>
      </c>
      <c r="FB43" s="69" t="str">
        <f aca="false">IF($E43="","",IF($M43,IF(AND($G43&gt;=FB$5,$G43&lt;FB$5+GanttPeriod),"◆",IF(AND($E43&gt;=FB$5,$E43&lt;FB$5+GanttPeriod),"◇","")),IF(AND(FB$5&lt;=$F43,FB$5+GanttPeriod-1&gt;=$E43),"━","")))</f>
        <v/>
      </c>
      <c r="FC43" s="69" t="str">
        <f aca="false">IF($E43="","",IF($M43,IF(AND($G43&gt;=FC$5,$G43&lt;FC$5+GanttPeriod),"◆",IF(AND($E43&gt;=FC$5,$E43&lt;FC$5+GanttPeriod),"◇","")),IF(AND(FC$5&lt;=$F43,FC$5+GanttPeriod-1&gt;=$E43),"━","")))</f>
        <v/>
      </c>
      <c r="FD43" s="69" t="str">
        <f aca="false">IF($E43="","",IF($M43,IF(AND($G43&gt;=FD$5,$G43&lt;FD$5+GanttPeriod),"◆",IF(AND($E43&gt;=FD$5,$E43&lt;FD$5+GanttPeriod),"◇","")),IF(AND(FD$5&lt;=$F43,FD$5+GanttPeriod-1&gt;=$E43),"━","")))</f>
        <v/>
      </c>
      <c r="FE43" s="69" t="str">
        <f aca="false">IF($E43="","",IF($M43,IF(AND($G43&gt;=FE$5,$G43&lt;FE$5+GanttPeriod),"◆",IF(AND($E43&gt;=FE$5,$E43&lt;FE$5+GanttPeriod),"◇","")),IF(AND(FE$5&lt;=$F43,FE$5+GanttPeriod-1&gt;=$E43),"━","")))</f>
        <v/>
      </c>
      <c r="FF43" s="69" t="str">
        <f aca="false">IF($E43="","",IF($M43,IF(AND($G43&gt;=FF$5,$G43&lt;FF$5+GanttPeriod),"◆",IF(AND($E43&gt;=FF$5,$E43&lt;FF$5+GanttPeriod),"◇","")),IF(AND(FF$5&lt;=$F43,FF$5+GanttPeriod-1&gt;=$E43),"━","")))</f>
        <v/>
      </c>
      <c r="FG43" s="69" t="str">
        <f aca="false">IF($E43="","",IF($M43,IF(AND($G43&gt;=FG$5,$G43&lt;FG$5+GanttPeriod),"◆",IF(AND($E43&gt;=FG$5,$E43&lt;FG$5+GanttPeriod),"◇","")),IF(AND(FG$5&lt;=$F43,FG$5+GanttPeriod-1&gt;=$E43),"━","")))</f>
        <v/>
      </c>
      <c r="FH43" s="69" t="str">
        <f aca="false">IF($E43="","",IF($M43,IF(AND($G43&gt;=FH$5,$G43&lt;FH$5+GanttPeriod),"◆",IF(AND($E43&gt;=FH$5,$E43&lt;FH$5+GanttPeriod),"◇","")),IF(AND(FH$5&lt;=$F43,FH$5+GanttPeriod-1&gt;=$E43),"━","")))</f>
        <v/>
      </c>
      <c r="FI43" s="69" t="str">
        <f aca="false">IF($E43="","",IF($M43,IF(AND($G43&gt;=FI$5,$G43&lt;FI$5+GanttPeriod),"◆",IF(AND($E43&gt;=FI$5,$E43&lt;FI$5+GanttPeriod),"◇","")),IF(AND(FI$5&lt;=$F43,FI$5+GanttPeriod-1&gt;=$E43),"━","")))</f>
        <v/>
      </c>
      <c r="FJ43" s="69" t="str">
        <f aca="false">IF($E43="","",IF($M43,IF(AND($G43&gt;=FJ$5,$G43&lt;FJ$5+GanttPeriod),"◆",IF(AND($E43&gt;=FJ$5,$E43&lt;FJ$5+GanttPeriod),"◇","")),IF(AND(FJ$5&lt;=$F43,FJ$5+GanttPeriod-1&gt;=$E43),"━","")))</f>
        <v/>
      </c>
      <c r="FK43" s="69" t="str">
        <f aca="false">IF($E43="","",IF($M43,IF(AND($G43&gt;=FK$5,$G43&lt;FK$5+GanttPeriod),"◆",IF(AND($E43&gt;=FK$5,$E43&lt;FK$5+GanttPeriod),"◇","")),IF(AND(FK$5&lt;=$F43,FK$5+GanttPeriod-1&gt;=$E43),"━","")))</f>
        <v/>
      </c>
      <c r="FL43" s="69" t="str">
        <f aca="false">IF($E43="","",IF($M43,IF(AND($G43&gt;=FL$5,$G43&lt;FL$5+GanttPeriod),"◆",IF(AND($E43&gt;=FL$5,$E43&lt;FL$5+GanttPeriod),"◇","")),IF(AND(FL$5&lt;=$F43,FL$5+GanttPeriod-1&gt;=$E43),"━","")))</f>
        <v/>
      </c>
      <c r="FM43" s="69" t="str">
        <f aca="false">IF($E43="","",IF($M43,IF(AND($G43&gt;=FM$5,$G43&lt;FM$5+GanttPeriod),"◆",IF(AND($E43&gt;=FM$5,$E43&lt;FM$5+GanttPeriod),"◇","")),IF(AND(FM$5&lt;=$F43,FM$5+GanttPeriod-1&gt;=$E43),"━","")))</f>
        <v/>
      </c>
    </row>
    <row r="44" customFormat="false" ht="15" hidden="false" customHeight="false" outlineLevel="0" collapsed="false">
      <c r="A44" s="62" t="str">
        <f aca="false">IF(Tasks!$D44="","",Tasks!$A44)</f>
        <v/>
      </c>
      <c r="B44" s="62" t="str">
        <f aca="false">IF(Tasks!$D44="","",Tasks!$B44)</f>
        <v/>
      </c>
      <c r="C44" s="63" t="str">
        <f aca="false">IF(Tasks!$D44="","",REPT("    ",Tasks!$AE44-1)&amp;Tasks!$D44)</f>
        <v/>
      </c>
      <c r="D44" s="62" t="str">
        <f aca="false">IF(Tasks!$D44="","",IF(Tasks!$AI44,NETWORKDAYS.INTL(Tasks!$R44,Tasks!$S44,WorkWeek,Holidays),N(Tasks!$F44)))</f>
        <v/>
      </c>
      <c r="E44" s="64" t="str">
        <f aca="false">IF(Tasks!$D44="","",Tasks!$N44)</f>
        <v/>
      </c>
      <c r="F44" s="64" t="str">
        <f aca="false">IF(Tasks!$D44="","",Tasks!$O44)</f>
        <v/>
      </c>
      <c r="G44" s="64" t="str">
        <f aca="false">IF(Tasks!$D44="","",Tasks!$R44)</f>
        <v/>
      </c>
      <c r="H44" s="64" t="str">
        <f aca="false">IF(Tasks!$D44="","",Tasks!$S44)</f>
        <v/>
      </c>
      <c r="I44" s="65" t="str">
        <f aca="false">IF(Tasks!$D44="","",Tasks!$V44)</f>
        <v/>
      </c>
      <c r="J44" s="63" t="str">
        <f aca="false">IF(Tasks!$D44="","",Tasks!$X44&amp;"")</f>
        <v/>
      </c>
      <c r="K44" s="66" t="str">
        <f aca="false">IF(Tasks!$D44="","",Tasks!$W44)</f>
        <v/>
      </c>
      <c r="L44" s="67" t="b">
        <f aca="false">IF(Tasks!$D44="",FALSE(),Tasks!$AI44)</f>
        <v>0</v>
      </c>
      <c r="M44" s="67" t="b">
        <f aca="false">AND(Tasks!$AJ44=1,N(Tasks!$F44)=0)</f>
        <v>0</v>
      </c>
      <c r="N44" s="68" t="n">
        <f aca="false">IF(AND(Tasks!$AJ44=1,NOT($M44),N($I44)&gt;0),$G44,0)</f>
        <v>0</v>
      </c>
      <c r="O44" s="68" t="n">
        <f aca="false">IF($N44=0,0,IF($I44&gt;=1,$H44,MAX($N44,$G44+ROUND(($H44-$G44+1)*$I44,0)-1)))</f>
        <v>0</v>
      </c>
      <c r="P44" s="68" t="n">
        <f aca="false">IF(OR(Tasks!$AJ44&lt;&gt;1,$M44,N($I44)&gt;=1),0,IF($O44&gt;0,$O44+1,$G44))</f>
        <v>0</v>
      </c>
      <c r="Q44" s="68" t="n">
        <f aca="false">IF($P44=0,0,$H44)</f>
        <v>0</v>
      </c>
      <c r="R44" s="67" t="b">
        <f aca="false">AND(Tasks!$D44&lt;&gt;"",N(Tasks!$T44)&gt;0)</f>
        <v>0</v>
      </c>
      <c r="T44" s="69" t="str">
        <f aca="false">IF($E44="","",IF($M44,IF(AND($G44&gt;=T$5,$G44&lt;T$5+GanttPeriod),"◆",IF(AND($E44&gt;=T$5,$E44&lt;T$5+GanttPeriod),"◇","")),IF(AND(T$5&lt;=$F44,T$5+GanttPeriod-1&gt;=$E44),"━","")))</f>
        <v/>
      </c>
      <c r="U44" s="69" t="str">
        <f aca="false">IF($E44="","",IF($M44,IF(AND($G44&gt;=U$5,$G44&lt;U$5+GanttPeriod),"◆",IF(AND($E44&gt;=U$5,$E44&lt;U$5+GanttPeriod),"◇","")),IF(AND(U$5&lt;=$F44,U$5+GanttPeriod-1&gt;=$E44),"━","")))</f>
        <v/>
      </c>
      <c r="V44" s="69" t="str">
        <f aca="false">IF($E44="","",IF($M44,IF(AND($G44&gt;=V$5,$G44&lt;V$5+GanttPeriod),"◆",IF(AND($E44&gt;=V$5,$E44&lt;V$5+GanttPeriod),"◇","")),IF(AND(V$5&lt;=$F44,V$5+GanttPeriod-1&gt;=$E44),"━","")))</f>
        <v/>
      </c>
      <c r="W44" s="69" t="str">
        <f aca="false">IF($E44="","",IF($M44,IF(AND($G44&gt;=W$5,$G44&lt;W$5+GanttPeriod),"◆",IF(AND($E44&gt;=W$5,$E44&lt;W$5+GanttPeriod),"◇","")),IF(AND(W$5&lt;=$F44,W$5+GanttPeriod-1&gt;=$E44),"━","")))</f>
        <v/>
      </c>
      <c r="X44" s="69" t="str">
        <f aca="false">IF($E44="","",IF($M44,IF(AND($G44&gt;=X$5,$G44&lt;X$5+GanttPeriod),"◆",IF(AND($E44&gt;=X$5,$E44&lt;X$5+GanttPeriod),"◇","")),IF(AND(X$5&lt;=$F44,X$5+GanttPeriod-1&gt;=$E44),"━","")))</f>
        <v/>
      </c>
      <c r="Y44" s="69" t="str">
        <f aca="false">IF($E44="","",IF($M44,IF(AND($G44&gt;=Y$5,$G44&lt;Y$5+GanttPeriod),"◆",IF(AND($E44&gt;=Y$5,$E44&lt;Y$5+GanttPeriod),"◇","")),IF(AND(Y$5&lt;=$F44,Y$5+GanttPeriod-1&gt;=$E44),"━","")))</f>
        <v/>
      </c>
      <c r="Z44" s="69" t="str">
        <f aca="false">IF($E44="","",IF($M44,IF(AND($G44&gt;=Z$5,$G44&lt;Z$5+GanttPeriod),"◆",IF(AND($E44&gt;=Z$5,$E44&lt;Z$5+GanttPeriod),"◇","")),IF(AND(Z$5&lt;=$F44,Z$5+GanttPeriod-1&gt;=$E44),"━","")))</f>
        <v/>
      </c>
      <c r="AA44" s="69" t="str">
        <f aca="false">IF($E44="","",IF($M44,IF(AND($G44&gt;=AA$5,$G44&lt;AA$5+GanttPeriod),"◆",IF(AND($E44&gt;=AA$5,$E44&lt;AA$5+GanttPeriod),"◇","")),IF(AND(AA$5&lt;=$F44,AA$5+GanttPeriod-1&gt;=$E44),"━","")))</f>
        <v/>
      </c>
      <c r="AB44" s="69" t="str">
        <f aca="false">IF($E44="","",IF($M44,IF(AND($G44&gt;=AB$5,$G44&lt;AB$5+GanttPeriod),"◆",IF(AND($E44&gt;=AB$5,$E44&lt;AB$5+GanttPeriod),"◇","")),IF(AND(AB$5&lt;=$F44,AB$5+GanttPeriod-1&gt;=$E44),"━","")))</f>
        <v/>
      </c>
      <c r="AC44" s="69" t="str">
        <f aca="false">IF($E44="","",IF($M44,IF(AND($G44&gt;=AC$5,$G44&lt;AC$5+GanttPeriod),"◆",IF(AND($E44&gt;=AC$5,$E44&lt;AC$5+GanttPeriod),"◇","")),IF(AND(AC$5&lt;=$F44,AC$5+GanttPeriod-1&gt;=$E44),"━","")))</f>
        <v/>
      </c>
      <c r="AD44" s="69" t="str">
        <f aca="false">IF($E44="","",IF($M44,IF(AND($G44&gt;=AD$5,$G44&lt;AD$5+GanttPeriod),"◆",IF(AND($E44&gt;=AD$5,$E44&lt;AD$5+GanttPeriod),"◇","")),IF(AND(AD$5&lt;=$F44,AD$5+GanttPeriod-1&gt;=$E44),"━","")))</f>
        <v/>
      </c>
      <c r="AE44" s="69" t="str">
        <f aca="false">IF($E44="","",IF($M44,IF(AND($G44&gt;=AE$5,$G44&lt;AE$5+GanttPeriod),"◆",IF(AND($E44&gt;=AE$5,$E44&lt;AE$5+GanttPeriod),"◇","")),IF(AND(AE$5&lt;=$F44,AE$5+GanttPeriod-1&gt;=$E44),"━","")))</f>
        <v/>
      </c>
      <c r="AF44" s="69" t="str">
        <f aca="false">IF($E44="","",IF($M44,IF(AND($G44&gt;=AF$5,$G44&lt;AF$5+GanttPeriod),"◆",IF(AND($E44&gt;=AF$5,$E44&lt;AF$5+GanttPeriod),"◇","")),IF(AND(AF$5&lt;=$F44,AF$5+GanttPeriod-1&gt;=$E44),"━","")))</f>
        <v/>
      </c>
      <c r="AG44" s="69" t="str">
        <f aca="false">IF($E44="","",IF($M44,IF(AND($G44&gt;=AG$5,$G44&lt;AG$5+GanttPeriod),"◆",IF(AND($E44&gt;=AG$5,$E44&lt;AG$5+GanttPeriod),"◇","")),IF(AND(AG$5&lt;=$F44,AG$5+GanttPeriod-1&gt;=$E44),"━","")))</f>
        <v/>
      </c>
      <c r="AH44" s="69" t="str">
        <f aca="false">IF($E44="","",IF($M44,IF(AND($G44&gt;=AH$5,$G44&lt;AH$5+GanttPeriod),"◆",IF(AND($E44&gt;=AH$5,$E44&lt;AH$5+GanttPeriod),"◇","")),IF(AND(AH$5&lt;=$F44,AH$5+GanttPeriod-1&gt;=$E44),"━","")))</f>
        <v/>
      </c>
      <c r="AI44" s="69" t="str">
        <f aca="false">IF($E44="","",IF($M44,IF(AND($G44&gt;=AI$5,$G44&lt;AI$5+GanttPeriod),"◆",IF(AND($E44&gt;=AI$5,$E44&lt;AI$5+GanttPeriod),"◇","")),IF(AND(AI$5&lt;=$F44,AI$5+GanttPeriod-1&gt;=$E44),"━","")))</f>
        <v/>
      </c>
      <c r="AJ44" s="69" t="str">
        <f aca="false">IF($E44="","",IF($M44,IF(AND($G44&gt;=AJ$5,$G44&lt;AJ$5+GanttPeriod),"◆",IF(AND($E44&gt;=AJ$5,$E44&lt;AJ$5+GanttPeriod),"◇","")),IF(AND(AJ$5&lt;=$F44,AJ$5+GanttPeriod-1&gt;=$E44),"━","")))</f>
        <v/>
      </c>
      <c r="AK44" s="69" t="str">
        <f aca="false">IF($E44="","",IF($M44,IF(AND($G44&gt;=AK$5,$G44&lt;AK$5+GanttPeriod),"◆",IF(AND($E44&gt;=AK$5,$E44&lt;AK$5+GanttPeriod),"◇","")),IF(AND(AK$5&lt;=$F44,AK$5+GanttPeriod-1&gt;=$E44),"━","")))</f>
        <v/>
      </c>
      <c r="AL44" s="69" t="str">
        <f aca="false">IF($E44="","",IF($M44,IF(AND($G44&gt;=AL$5,$G44&lt;AL$5+GanttPeriod),"◆",IF(AND($E44&gt;=AL$5,$E44&lt;AL$5+GanttPeriod),"◇","")),IF(AND(AL$5&lt;=$F44,AL$5+GanttPeriod-1&gt;=$E44),"━","")))</f>
        <v/>
      </c>
      <c r="AM44" s="69" t="str">
        <f aca="false">IF($E44="","",IF($M44,IF(AND($G44&gt;=AM$5,$G44&lt;AM$5+GanttPeriod),"◆",IF(AND($E44&gt;=AM$5,$E44&lt;AM$5+GanttPeriod),"◇","")),IF(AND(AM$5&lt;=$F44,AM$5+GanttPeriod-1&gt;=$E44),"━","")))</f>
        <v/>
      </c>
      <c r="AN44" s="69" t="str">
        <f aca="false">IF($E44="","",IF($M44,IF(AND($G44&gt;=AN$5,$G44&lt;AN$5+GanttPeriod),"◆",IF(AND($E44&gt;=AN$5,$E44&lt;AN$5+GanttPeriod),"◇","")),IF(AND(AN$5&lt;=$F44,AN$5+GanttPeriod-1&gt;=$E44),"━","")))</f>
        <v/>
      </c>
      <c r="AO44" s="69" t="str">
        <f aca="false">IF($E44="","",IF($M44,IF(AND($G44&gt;=AO$5,$G44&lt;AO$5+GanttPeriod),"◆",IF(AND($E44&gt;=AO$5,$E44&lt;AO$5+GanttPeriod),"◇","")),IF(AND(AO$5&lt;=$F44,AO$5+GanttPeriod-1&gt;=$E44),"━","")))</f>
        <v/>
      </c>
      <c r="AP44" s="69" t="str">
        <f aca="false">IF($E44="","",IF($M44,IF(AND($G44&gt;=AP$5,$G44&lt;AP$5+GanttPeriod),"◆",IF(AND($E44&gt;=AP$5,$E44&lt;AP$5+GanttPeriod),"◇","")),IF(AND(AP$5&lt;=$F44,AP$5+GanttPeriod-1&gt;=$E44),"━","")))</f>
        <v/>
      </c>
      <c r="AQ44" s="69" t="str">
        <f aca="false">IF($E44="","",IF($M44,IF(AND($G44&gt;=AQ$5,$G44&lt;AQ$5+GanttPeriod),"◆",IF(AND($E44&gt;=AQ$5,$E44&lt;AQ$5+GanttPeriod),"◇","")),IF(AND(AQ$5&lt;=$F44,AQ$5+GanttPeriod-1&gt;=$E44),"━","")))</f>
        <v/>
      </c>
      <c r="AR44" s="69" t="str">
        <f aca="false">IF($E44="","",IF($M44,IF(AND($G44&gt;=AR$5,$G44&lt;AR$5+GanttPeriod),"◆",IF(AND($E44&gt;=AR$5,$E44&lt;AR$5+GanttPeriod),"◇","")),IF(AND(AR$5&lt;=$F44,AR$5+GanttPeriod-1&gt;=$E44),"━","")))</f>
        <v/>
      </c>
      <c r="AS44" s="69" t="str">
        <f aca="false">IF($E44="","",IF($M44,IF(AND($G44&gt;=AS$5,$G44&lt;AS$5+GanttPeriod),"◆",IF(AND($E44&gt;=AS$5,$E44&lt;AS$5+GanttPeriod),"◇","")),IF(AND(AS$5&lt;=$F44,AS$5+GanttPeriod-1&gt;=$E44),"━","")))</f>
        <v/>
      </c>
      <c r="AT44" s="69" t="str">
        <f aca="false">IF($E44="","",IF($M44,IF(AND($G44&gt;=AT$5,$G44&lt;AT$5+GanttPeriod),"◆",IF(AND($E44&gt;=AT$5,$E44&lt;AT$5+GanttPeriod),"◇","")),IF(AND(AT$5&lt;=$F44,AT$5+GanttPeriod-1&gt;=$E44),"━","")))</f>
        <v/>
      </c>
      <c r="AU44" s="69" t="str">
        <f aca="false">IF($E44="","",IF($M44,IF(AND($G44&gt;=AU$5,$G44&lt;AU$5+GanttPeriod),"◆",IF(AND($E44&gt;=AU$5,$E44&lt;AU$5+GanttPeriod),"◇","")),IF(AND(AU$5&lt;=$F44,AU$5+GanttPeriod-1&gt;=$E44),"━","")))</f>
        <v/>
      </c>
      <c r="AV44" s="69" t="str">
        <f aca="false">IF($E44="","",IF($M44,IF(AND($G44&gt;=AV$5,$G44&lt;AV$5+GanttPeriod),"◆",IF(AND($E44&gt;=AV$5,$E44&lt;AV$5+GanttPeriod),"◇","")),IF(AND(AV$5&lt;=$F44,AV$5+GanttPeriod-1&gt;=$E44),"━","")))</f>
        <v/>
      </c>
      <c r="AW44" s="69" t="str">
        <f aca="false">IF($E44="","",IF($M44,IF(AND($G44&gt;=AW$5,$G44&lt;AW$5+GanttPeriod),"◆",IF(AND($E44&gt;=AW$5,$E44&lt;AW$5+GanttPeriod),"◇","")),IF(AND(AW$5&lt;=$F44,AW$5+GanttPeriod-1&gt;=$E44),"━","")))</f>
        <v/>
      </c>
      <c r="AX44" s="69" t="str">
        <f aca="false">IF($E44="","",IF($M44,IF(AND($G44&gt;=AX$5,$G44&lt;AX$5+GanttPeriod),"◆",IF(AND($E44&gt;=AX$5,$E44&lt;AX$5+GanttPeriod),"◇","")),IF(AND(AX$5&lt;=$F44,AX$5+GanttPeriod-1&gt;=$E44),"━","")))</f>
        <v/>
      </c>
      <c r="AY44" s="69" t="str">
        <f aca="false">IF($E44="","",IF($M44,IF(AND($G44&gt;=AY$5,$G44&lt;AY$5+GanttPeriod),"◆",IF(AND($E44&gt;=AY$5,$E44&lt;AY$5+GanttPeriod),"◇","")),IF(AND(AY$5&lt;=$F44,AY$5+GanttPeriod-1&gt;=$E44),"━","")))</f>
        <v/>
      </c>
      <c r="AZ44" s="69" t="str">
        <f aca="false">IF($E44="","",IF($M44,IF(AND($G44&gt;=AZ$5,$G44&lt;AZ$5+GanttPeriod),"◆",IF(AND($E44&gt;=AZ$5,$E44&lt;AZ$5+GanttPeriod),"◇","")),IF(AND(AZ$5&lt;=$F44,AZ$5+GanttPeriod-1&gt;=$E44),"━","")))</f>
        <v/>
      </c>
      <c r="BA44" s="69" t="str">
        <f aca="false">IF($E44="","",IF($M44,IF(AND($G44&gt;=BA$5,$G44&lt;BA$5+GanttPeriod),"◆",IF(AND($E44&gt;=BA$5,$E44&lt;BA$5+GanttPeriod),"◇","")),IF(AND(BA$5&lt;=$F44,BA$5+GanttPeriod-1&gt;=$E44),"━","")))</f>
        <v/>
      </c>
      <c r="BB44" s="69" t="str">
        <f aca="false">IF($E44="","",IF($M44,IF(AND($G44&gt;=BB$5,$G44&lt;BB$5+GanttPeriod),"◆",IF(AND($E44&gt;=BB$5,$E44&lt;BB$5+GanttPeriod),"◇","")),IF(AND(BB$5&lt;=$F44,BB$5+GanttPeriod-1&gt;=$E44),"━","")))</f>
        <v/>
      </c>
      <c r="BC44" s="69" t="str">
        <f aca="false">IF($E44="","",IF($M44,IF(AND($G44&gt;=BC$5,$G44&lt;BC$5+GanttPeriod),"◆",IF(AND($E44&gt;=BC$5,$E44&lt;BC$5+GanttPeriod),"◇","")),IF(AND(BC$5&lt;=$F44,BC$5+GanttPeriod-1&gt;=$E44),"━","")))</f>
        <v/>
      </c>
      <c r="BD44" s="69" t="str">
        <f aca="false">IF($E44="","",IF($M44,IF(AND($G44&gt;=BD$5,$G44&lt;BD$5+GanttPeriod),"◆",IF(AND($E44&gt;=BD$5,$E44&lt;BD$5+GanttPeriod),"◇","")),IF(AND(BD$5&lt;=$F44,BD$5+GanttPeriod-1&gt;=$E44),"━","")))</f>
        <v/>
      </c>
      <c r="BE44" s="69" t="str">
        <f aca="false">IF($E44="","",IF($M44,IF(AND($G44&gt;=BE$5,$G44&lt;BE$5+GanttPeriod),"◆",IF(AND($E44&gt;=BE$5,$E44&lt;BE$5+GanttPeriod),"◇","")),IF(AND(BE$5&lt;=$F44,BE$5+GanttPeriod-1&gt;=$E44),"━","")))</f>
        <v/>
      </c>
      <c r="BF44" s="69" t="str">
        <f aca="false">IF($E44="","",IF($M44,IF(AND($G44&gt;=BF$5,$G44&lt;BF$5+GanttPeriod),"◆",IF(AND($E44&gt;=BF$5,$E44&lt;BF$5+GanttPeriod),"◇","")),IF(AND(BF$5&lt;=$F44,BF$5+GanttPeriod-1&gt;=$E44),"━","")))</f>
        <v/>
      </c>
      <c r="BG44" s="69" t="str">
        <f aca="false">IF($E44="","",IF($M44,IF(AND($G44&gt;=BG$5,$G44&lt;BG$5+GanttPeriod),"◆",IF(AND($E44&gt;=BG$5,$E44&lt;BG$5+GanttPeriod),"◇","")),IF(AND(BG$5&lt;=$F44,BG$5+GanttPeriod-1&gt;=$E44),"━","")))</f>
        <v/>
      </c>
      <c r="BH44" s="69" t="str">
        <f aca="false">IF($E44="","",IF($M44,IF(AND($G44&gt;=BH$5,$G44&lt;BH$5+GanttPeriod),"◆",IF(AND($E44&gt;=BH$5,$E44&lt;BH$5+GanttPeriod),"◇","")),IF(AND(BH$5&lt;=$F44,BH$5+GanttPeriod-1&gt;=$E44),"━","")))</f>
        <v/>
      </c>
      <c r="BI44" s="69" t="str">
        <f aca="false">IF($E44="","",IF($M44,IF(AND($G44&gt;=BI$5,$G44&lt;BI$5+GanttPeriod),"◆",IF(AND($E44&gt;=BI$5,$E44&lt;BI$5+GanttPeriod),"◇","")),IF(AND(BI$5&lt;=$F44,BI$5+GanttPeriod-1&gt;=$E44),"━","")))</f>
        <v/>
      </c>
      <c r="BJ44" s="69" t="str">
        <f aca="false">IF($E44="","",IF($M44,IF(AND($G44&gt;=BJ$5,$G44&lt;BJ$5+GanttPeriod),"◆",IF(AND($E44&gt;=BJ$5,$E44&lt;BJ$5+GanttPeriod),"◇","")),IF(AND(BJ$5&lt;=$F44,BJ$5+GanttPeriod-1&gt;=$E44),"━","")))</f>
        <v/>
      </c>
      <c r="BK44" s="69" t="str">
        <f aca="false">IF($E44="","",IF($M44,IF(AND($G44&gt;=BK$5,$G44&lt;BK$5+GanttPeriod),"◆",IF(AND($E44&gt;=BK$5,$E44&lt;BK$5+GanttPeriod),"◇","")),IF(AND(BK$5&lt;=$F44,BK$5+GanttPeriod-1&gt;=$E44),"━","")))</f>
        <v/>
      </c>
      <c r="BL44" s="69" t="str">
        <f aca="false">IF($E44="","",IF($M44,IF(AND($G44&gt;=BL$5,$G44&lt;BL$5+GanttPeriod),"◆",IF(AND($E44&gt;=BL$5,$E44&lt;BL$5+GanttPeriod),"◇","")),IF(AND(BL$5&lt;=$F44,BL$5+GanttPeriod-1&gt;=$E44),"━","")))</f>
        <v/>
      </c>
      <c r="BM44" s="69" t="str">
        <f aca="false">IF($E44="","",IF($M44,IF(AND($G44&gt;=BM$5,$G44&lt;BM$5+GanttPeriod),"◆",IF(AND($E44&gt;=BM$5,$E44&lt;BM$5+GanttPeriod),"◇","")),IF(AND(BM$5&lt;=$F44,BM$5+GanttPeriod-1&gt;=$E44),"━","")))</f>
        <v/>
      </c>
      <c r="BN44" s="69" t="str">
        <f aca="false">IF($E44="","",IF($M44,IF(AND($G44&gt;=BN$5,$G44&lt;BN$5+GanttPeriod),"◆",IF(AND($E44&gt;=BN$5,$E44&lt;BN$5+GanttPeriod),"◇","")),IF(AND(BN$5&lt;=$F44,BN$5+GanttPeriod-1&gt;=$E44),"━","")))</f>
        <v/>
      </c>
      <c r="BO44" s="69" t="str">
        <f aca="false">IF($E44="","",IF($M44,IF(AND($G44&gt;=BO$5,$G44&lt;BO$5+GanttPeriod),"◆",IF(AND($E44&gt;=BO$5,$E44&lt;BO$5+GanttPeriod),"◇","")),IF(AND(BO$5&lt;=$F44,BO$5+GanttPeriod-1&gt;=$E44),"━","")))</f>
        <v/>
      </c>
      <c r="BP44" s="69" t="str">
        <f aca="false">IF($E44="","",IF($M44,IF(AND($G44&gt;=BP$5,$G44&lt;BP$5+GanttPeriod),"◆",IF(AND($E44&gt;=BP$5,$E44&lt;BP$5+GanttPeriod),"◇","")),IF(AND(BP$5&lt;=$F44,BP$5+GanttPeriod-1&gt;=$E44),"━","")))</f>
        <v/>
      </c>
      <c r="BQ44" s="69" t="str">
        <f aca="false">IF($E44="","",IF($M44,IF(AND($G44&gt;=BQ$5,$G44&lt;BQ$5+GanttPeriod),"◆",IF(AND($E44&gt;=BQ$5,$E44&lt;BQ$5+GanttPeriod),"◇","")),IF(AND(BQ$5&lt;=$F44,BQ$5+GanttPeriod-1&gt;=$E44),"━","")))</f>
        <v/>
      </c>
      <c r="BR44" s="69" t="str">
        <f aca="false">IF($E44="","",IF($M44,IF(AND($G44&gt;=BR$5,$G44&lt;BR$5+GanttPeriod),"◆",IF(AND($E44&gt;=BR$5,$E44&lt;BR$5+GanttPeriod),"◇","")),IF(AND(BR$5&lt;=$F44,BR$5+GanttPeriod-1&gt;=$E44),"━","")))</f>
        <v/>
      </c>
      <c r="BS44" s="69" t="str">
        <f aca="false">IF($E44="","",IF($M44,IF(AND($G44&gt;=BS$5,$G44&lt;BS$5+GanttPeriod),"◆",IF(AND($E44&gt;=BS$5,$E44&lt;BS$5+GanttPeriod),"◇","")),IF(AND(BS$5&lt;=$F44,BS$5+GanttPeriod-1&gt;=$E44),"━","")))</f>
        <v/>
      </c>
      <c r="BT44" s="69" t="str">
        <f aca="false">IF($E44="","",IF($M44,IF(AND($G44&gt;=BT$5,$G44&lt;BT$5+GanttPeriod),"◆",IF(AND($E44&gt;=BT$5,$E44&lt;BT$5+GanttPeriod),"◇","")),IF(AND(BT$5&lt;=$F44,BT$5+GanttPeriod-1&gt;=$E44),"━","")))</f>
        <v/>
      </c>
      <c r="BU44" s="69" t="str">
        <f aca="false">IF($E44="","",IF($M44,IF(AND($G44&gt;=BU$5,$G44&lt;BU$5+GanttPeriod),"◆",IF(AND($E44&gt;=BU$5,$E44&lt;BU$5+GanttPeriod),"◇","")),IF(AND(BU$5&lt;=$F44,BU$5+GanttPeriod-1&gt;=$E44),"━","")))</f>
        <v/>
      </c>
      <c r="BV44" s="69" t="str">
        <f aca="false">IF($E44="","",IF($M44,IF(AND($G44&gt;=BV$5,$G44&lt;BV$5+GanttPeriod),"◆",IF(AND($E44&gt;=BV$5,$E44&lt;BV$5+GanttPeriod),"◇","")),IF(AND(BV$5&lt;=$F44,BV$5+GanttPeriod-1&gt;=$E44),"━","")))</f>
        <v/>
      </c>
      <c r="BW44" s="69" t="str">
        <f aca="false">IF($E44="","",IF($M44,IF(AND($G44&gt;=BW$5,$G44&lt;BW$5+GanttPeriod),"◆",IF(AND($E44&gt;=BW$5,$E44&lt;BW$5+GanttPeriod),"◇","")),IF(AND(BW$5&lt;=$F44,BW$5+GanttPeriod-1&gt;=$E44),"━","")))</f>
        <v/>
      </c>
      <c r="BX44" s="69" t="str">
        <f aca="false">IF($E44="","",IF($M44,IF(AND($G44&gt;=BX$5,$G44&lt;BX$5+GanttPeriod),"◆",IF(AND($E44&gt;=BX$5,$E44&lt;BX$5+GanttPeriod),"◇","")),IF(AND(BX$5&lt;=$F44,BX$5+GanttPeriod-1&gt;=$E44),"━","")))</f>
        <v/>
      </c>
      <c r="BY44" s="69" t="str">
        <f aca="false">IF($E44="","",IF($M44,IF(AND($G44&gt;=BY$5,$G44&lt;BY$5+GanttPeriod),"◆",IF(AND($E44&gt;=BY$5,$E44&lt;BY$5+GanttPeriod),"◇","")),IF(AND(BY$5&lt;=$F44,BY$5+GanttPeriod-1&gt;=$E44),"━","")))</f>
        <v/>
      </c>
      <c r="BZ44" s="69" t="str">
        <f aca="false">IF($E44="","",IF($M44,IF(AND($G44&gt;=BZ$5,$G44&lt;BZ$5+GanttPeriod),"◆",IF(AND($E44&gt;=BZ$5,$E44&lt;BZ$5+GanttPeriod),"◇","")),IF(AND(BZ$5&lt;=$F44,BZ$5+GanttPeriod-1&gt;=$E44),"━","")))</f>
        <v/>
      </c>
      <c r="CA44" s="69" t="str">
        <f aca="false">IF($E44="","",IF($M44,IF(AND($G44&gt;=CA$5,$G44&lt;CA$5+GanttPeriod),"◆",IF(AND($E44&gt;=CA$5,$E44&lt;CA$5+GanttPeriod),"◇","")),IF(AND(CA$5&lt;=$F44,CA$5+GanttPeriod-1&gt;=$E44),"━","")))</f>
        <v/>
      </c>
      <c r="CB44" s="69" t="str">
        <f aca="false">IF($E44="","",IF($M44,IF(AND($G44&gt;=CB$5,$G44&lt;CB$5+GanttPeriod),"◆",IF(AND($E44&gt;=CB$5,$E44&lt;CB$5+GanttPeriod),"◇","")),IF(AND(CB$5&lt;=$F44,CB$5+GanttPeriod-1&gt;=$E44),"━","")))</f>
        <v/>
      </c>
      <c r="CC44" s="69" t="str">
        <f aca="false">IF($E44="","",IF($M44,IF(AND($G44&gt;=CC$5,$G44&lt;CC$5+GanttPeriod),"◆",IF(AND($E44&gt;=CC$5,$E44&lt;CC$5+GanttPeriod),"◇","")),IF(AND(CC$5&lt;=$F44,CC$5+GanttPeriod-1&gt;=$E44),"━","")))</f>
        <v/>
      </c>
      <c r="CD44" s="69" t="str">
        <f aca="false">IF($E44="","",IF($M44,IF(AND($G44&gt;=CD$5,$G44&lt;CD$5+GanttPeriod),"◆",IF(AND($E44&gt;=CD$5,$E44&lt;CD$5+GanttPeriod),"◇","")),IF(AND(CD$5&lt;=$F44,CD$5+GanttPeriod-1&gt;=$E44),"━","")))</f>
        <v/>
      </c>
      <c r="CE44" s="69" t="str">
        <f aca="false">IF($E44="","",IF($M44,IF(AND($G44&gt;=CE$5,$G44&lt;CE$5+GanttPeriod),"◆",IF(AND($E44&gt;=CE$5,$E44&lt;CE$5+GanttPeriod),"◇","")),IF(AND(CE$5&lt;=$F44,CE$5+GanttPeriod-1&gt;=$E44),"━","")))</f>
        <v/>
      </c>
      <c r="CF44" s="69" t="str">
        <f aca="false">IF($E44="","",IF($M44,IF(AND($G44&gt;=CF$5,$G44&lt;CF$5+GanttPeriod),"◆",IF(AND($E44&gt;=CF$5,$E44&lt;CF$5+GanttPeriod),"◇","")),IF(AND(CF$5&lt;=$F44,CF$5+GanttPeriod-1&gt;=$E44),"━","")))</f>
        <v/>
      </c>
      <c r="CG44" s="69" t="str">
        <f aca="false">IF($E44="","",IF($M44,IF(AND($G44&gt;=CG$5,$G44&lt;CG$5+GanttPeriod),"◆",IF(AND($E44&gt;=CG$5,$E44&lt;CG$5+GanttPeriod),"◇","")),IF(AND(CG$5&lt;=$F44,CG$5+GanttPeriod-1&gt;=$E44),"━","")))</f>
        <v/>
      </c>
      <c r="CH44" s="69" t="str">
        <f aca="false">IF($E44="","",IF($M44,IF(AND($G44&gt;=CH$5,$G44&lt;CH$5+GanttPeriod),"◆",IF(AND($E44&gt;=CH$5,$E44&lt;CH$5+GanttPeriod),"◇","")),IF(AND(CH$5&lt;=$F44,CH$5+GanttPeriod-1&gt;=$E44),"━","")))</f>
        <v/>
      </c>
      <c r="CI44" s="69" t="str">
        <f aca="false">IF($E44="","",IF($M44,IF(AND($G44&gt;=CI$5,$G44&lt;CI$5+GanttPeriod),"◆",IF(AND($E44&gt;=CI$5,$E44&lt;CI$5+GanttPeriod),"◇","")),IF(AND(CI$5&lt;=$F44,CI$5+GanttPeriod-1&gt;=$E44),"━","")))</f>
        <v/>
      </c>
      <c r="CJ44" s="69" t="str">
        <f aca="false">IF($E44="","",IF($M44,IF(AND($G44&gt;=CJ$5,$G44&lt;CJ$5+GanttPeriod),"◆",IF(AND($E44&gt;=CJ$5,$E44&lt;CJ$5+GanttPeriod),"◇","")),IF(AND(CJ$5&lt;=$F44,CJ$5+GanttPeriod-1&gt;=$E44),"━","")))</f>
        <v/>
      </c>
      <c r="CK44" s="69" t="str">
        <f aca="false">IF($E44="","",IF($M44,IF(AND($G44&gt;=CK$5,$G44&lt;CK$5+GanttPeriod),"◆",IF(AND($E44&gt;=CK$5,$E44&lt;CK$5+GanttPeriod),"◇","")),IF(AND(CK$5&lt;=$F44,CK$5+GanttPeriod-1&gt;=$E44),"━","")))</f>
        <v/>
      </c>
      <c r="CL44" s="69" t="str">
        <f aca="false">IF($E44="","",IF($M44,IF(AND($G44&gt;=CL$5,$G44&lt;CL$5+GanttPeriod),"◆",IF(AND($E44&gt;=CL$5,$E44&lt;CL$5+GanttPeriod),"◇","")),IF(AND(CL$5&lt;=$F44,CL$5+GanttPeriod-1&gt;=$E44),"━","")))</f>
        <v/>
      </c>
      <c r="CM44" s="69" t="str">
        <f aca="false">IF($E44="","",IF($M44,IF(AND($G44&gt;=CM$5,$G44&lt;CM$5+GanttPeriod),"◆",IF(AND($E44&gt;=CM$5,$E44&lt;CM$5+GanttPeriod),"◇","")),IF(AND(CM$5&lt;=$F44,CM$5+GanttPeriod-1&gt;=$E44),"━","")))</f>
        <v/>
      </c>
      <c r="CN44" s="69" t="str">
        <f aca="false">IF($E44="","",IF($M44,IF(AND($G44&gt;=CN$5,$G44&lt;CN$5+GanttPeriod),"◆",IF(AND($E44&gt;=CN$5,$E44&lt;CN$5+GanttPeriod),"◇","")),IF(AND(CN$5&lt;=$F44,CN$5+GanttPeriod-1&gt;=$E44),"━","")))</f>
        <v/>
      </c>
      <c r="CO44" s="69" t="str">
        <f aca="false">IF($E44="","",IF($M44,IF(AND($G44&gt;=CO$5,$G44&lt;CO$5+GanttPeriod),"◆",IF(AND($E44&gt;=CO$5,$E44&lt;CO$5+GanttPeriod),"◇","")),IF(AND(CO$5&lt;=$F44,CO$5+GanttPeriod-1&gt;=$E44),"━","")))</f>
        <v/>
      </c>
      <c r="CP44" s="69" t="str">
        <f aca="false">IF($E44="","",IF($M44,IF(AND($G44&gt;=CP$5,$G44&lt;CP$5+GanttPeriod),"◆",IF(AND($E44&gt;=CP$5,$E44&lt;CP$5+GanttPeriod),"◇","")),IF(AND(CP$5&lt;=$F44,CP$5+GanttPeriod-1&gt;=$E44),"━","")))</f>
        <v/>
      </c>
      <c r="CQ44" s="69" t="str">
        <f aca="false">IF($E44="","",IF($M44,IF(AND($G44&gt;=CQ$5,$G44&lt;CQ$5+GanttPeriod),"◆",IF(AND($E44&gt;=CQ$5,$E44&lt;CQ$5+GanttPeriod),"◇","")),IF(AND(CQ$5&lt;=$F44,CQ$5+GanttPeriod-1&gt;=$E44),"━","")))</f>
        <v/>
      </c>
      <c r="CR44" s="69" t="str">
        <f aca="false">IF($E44="","",IF($M44,IF(AND($G44&gt;=CR$5,$G44&lt;CR$5+GanttPeriod),"◆",IF(AND($E44&gt;=CR$5,$E44&lt;CR$5+GanttPeriod),"◇","")),IF(AND(CR$5&lt;=$F44,CR$5+GanttPeriod-1&gt;=$E44),"━","")))</f>
        <v/>
      </c>
      <c r="CS44" s="69" t="str">
        <f aca="false">IF($E44="","",IF($M44,IF(AND($G44&gt;=CS$5,$G44&lt;CS$5+GanttPeriod),"◆",IF(AND($E44&gt;=CS$5,$E44&lt;CS$5+GanttPeriod),"◇","")),IF(AND(CS$5&lt;=$F44,CS$5+GanttPeriod-1&gt;=$E44),"━","")))</f>
        <v/>
      </c>
      <c r="CT44" s="69" t="str">
        <f aca="false">IF($E44="","",IF($M44,IF(AND($G44&gt;=CT$5,$G44&lt;CT$5+GanttPeriod),"◆",IF(AND($E44&gt;=CT$5,$E44&lt;CT$5+GanttPeriod),"◇","")),IF(AND(CT$5&lt;=$F44,CT$5+GanttPeriod-1&gt;=$E44),"━","")))</f>
        <v/>
      </c>
      <c r="CU44" s="69" t="str">
        <f aca="false">IF($E44="","",IF($M44,IF(AND($G44&gt;=CU$5,$G44&lt;CU$5+GanttPeriod),"◆",IF(AND($E44&gt;=CU$5,$E44&lt;CU$5+GanttPeriod),"◇","")),IF(AND(CU$5&lt;=$F44,CU$5+GanttPeriod-1&gt;=$E44),"━","")))</f>
        <v/>
      </c>
      <c r="CV44" s="69" t="str">
        <f aca="false">IF($E44="","",IF($M44,IF(AND($G44&gt;=CV$5,$G44&lt;CV$5+GanttPeriod),"◆",IF(AND($E44&gt;=CV$5,$E44&lt;CV$5+GanttPeriod),"◇","")),IF(AND(CV$5&lt;=$F44,CV$5+GanttPeriod-1&gt;=$E44),"━","")))</f>
        <v/>
      </c>
      <c r="CW44" s="69" t="str">
        <f aca="false">IF($E44="","",IF($M44,IF(AND($G44&gt;=CW$5,$G44&lt;CW$5+GanttPeriod),"◆",IF(AND($E44&gt;=CW$5,$E44&lt;CW$5+GanttPeriod),"◇","")),IF(AND(CW$5&lt;=$F44,CW$5+GanttPeriod-1&gt;=$E44),"━","")))</f>
        <v/>
      </c>
      <c r="CX44" s="69" t="str">
        <f aca="false">IF($E44="","",IF($M44,IF(AND($G44&gt;=CX$5,$G44&lt;CX$5+GanttPeriod),"◆",IF(AND($E44&gt;=CX$5,$E44&lt;CX$5+GanttPeriod),"◇","")),IF(AND(CX$5&lt;=$F44,CX$5+GanttPeriod-1&gt;=$E44),"━","")))</f>
        <v/>
      </c>
      <c r="CY44" s="69" t="str">
        <f aca="false">IF($E44="","",IF($M44,IF(AND($G44&gt;=CY$5,$G44&lt;CY$5+GanttPeriod),"◆",IF(AND($E44&gt;=CY$5,$E44&lt;CY$5+GanttPeriod),"◇","")),IF(AND(CY$5&lt;=$F44,CY$5+GanttPeriod-1&gt;=$E44),"━","")))</f>
        <v/>
      </c>
      <c r="CZ44" s="69" t="str">
        <f aca="false">IF($E44="","",IF($M44,IF(AND($G44&gt;=CZ$5,$G44&lt;CZ$5+GanttPeriod),"◆",IF(AND($E44&gt;=CZ$5,$E44&lt;CZ$5+GanttPeriod),"◇","")),IF(AND(CZ$5&lt;=$F44,CZ$5+GanttPeriod-1&gt;=$E44),"━","")))</f>
        <v/>
      </c>
      <c r="DA44" s="69" t="str">
        <f aca="false">IF($E44="","",IF($M44,IF(AND($G44&gt;=DA$5,$G44&lt;DA$5+GanttPeriod),"◆",IF(AND($E44&gt;=DA$5,$E44&lt;DA$5+GanttPeriod),"◇","")),IF(AND(DA$5&lt;=$F44,DA$5+GanttPeriod-1&gt;=$E44),"━","")))</f>
        <v/>
      </c>
      <c r="DB44" s="69" t="str">
        <f aca="false">IF($E44="","",IF($M44,IF(AND($G44&gt;=DB$5,$G44&lt;DB$5+GanttPeriod),"◆",IF(AND($E44&gt;=DB$5,$E44&lt;DB$5+GanttPeriod),"◇","")),IF(AND(DB$5&lt;=$F44,DB$5+GanttPeriod-1&gt;=$E44),"━","")))</f>
        <v/>
      </c>
      <c r="DC44" s="69" t="str">
        <f aca="false">IF($E44="","",IF($M44,IF(AND($G44&gt;=DC$5,$G44&lt;DC$5+GanttPeriod),"◆",IF(AND($E44&gt;=DC$5,$E44&lt;DC$5+GanttPeriod),"◇","")),IF(AND(DC$5&lt;=$F44,DC$5+GanttPeriod-1&gt;=$E44),"━","")))</f>
        <v/>
      </c>
      <c r="DD44" s="69" t="str">
        <f aca="false">IF($E44="","",IF($M44,IF(AND($G44&gt;=DD$5,$G44&lt;DD$5+GanttPeriod),"◆",IF(AND($E44&gt;=DD$5,$E44&lt;DD$5+GanttPeriod),"◇","")),IF(AND(DD$5&lt;=$F44,DD$5+GanttPeriod-1&gt;=$E44),"━","")))</f>
        <v/>
      </c>
      <c r="DE44" s="69" t="str">
        <f aca="false">IF($E44="","",IF($M44,IF(AND($G44&gt;=DE$5,$G44&lt;DE$5+GanttPeriod),"◆",IF(AND($E44&gt;=DE$5,$E44&lt;DE$5+GanttPeriod),"◇","")),IF(AND(DE$5&lt;=$F44,DE$5+GanttPeriod-1&gt;=$E44),"━","")))</f>
        <v/>
      </c>
      <c r="DF44" s="69" t="str">
        <f aca="false">IF($E44="","",IF($M44,IF(AND($G44&gt;=DF$5,$G44&lt;DF$5+GanttPeriod),"◆",IF(AND($E44&gt;=DF$5,$E44&lt;DF$5+GanttPeriod),"◇","")),IF(AND(DF$5&lt;=$F44,DF$5+GanttPeriod-1&gt;=$E44),"━","")))</f>
        <v/>
      </c>
      <c r="DG44" s="69" t="str">
        <f aca="false">IF($E44="","",IF($M44,IF(AND($G44&gt;=DG$5,$G44&lt;DG$5+GanttPeriod),"◆",IF(AND($E44&gt;=DG$5,$E44&lt;DG$5+GanttPeriod),"◇","")),IF(AND(DG$5&lt;=$F44,DG$5+GanttPeriod-1&gt;=$E44),"━","")))</f>
        <v/>
      </c>
      <c r="DH44" s="69" t="str">
        <f aca="false">IF($E44="","",IF($M44,IF(AND($G44&gt;=DH$5,$G44&lt;DH$5+GanttPeriod),"◆",IF(AND($E44&gt;=DH$5,$E44&lt;DH$5+GanttPeriod),"◇","")),IF(AND(DH$5&lt;=$F44,DH$5+GanttPeriod-1&gt;=$E44),"━","")))</f>
        <v/>
      </c>
      <c r="DI44" s="69" t="str">
        <f aca="false">IF($E44="","",IF($M44,IF(AND($G44&gt;=DI$5,$G44&lt;DI$5+GanttPeriod),"◆",IF(AND($E44&gt;=DI$5,$E44&lt;DI$5+GanttPeriod),"◇","")),IF(AND(DI$5&lt;=$F44,DI$5+GanttPeriod-1&gt;=$E44),"━","")))</f>
        <v/>
      </c>
      <c r="DJ44" s="69" t="str">
        <f aca="false">IF($E44="","",IF($M44,IF(AND($G44&gt;=DJ$5,$G44&lt;DJ$5+GanttPeriod),"◆",IF(AND($E44&gt;=DJ$5,$E44&lt;DJ$5+GanttPeriod),"◇","")),IF(AND(DJ$5&lt;=$F44,DJ$5+GanttPeriod-1&gt;=$E44),"━","")))</f>
        <v/>
      </c>
      <c r="DK44" s="69" t="str">
        <f aca="false">IF($E44="","",IF($M44,IF(AND($G44&gt;=DK$5,$G44&lt;DK$5+GanttPeriod),"◆",IF(AND($E44&gt;=DK$5,$E44&lt;DK$5+GanttPeriod),"◇","")),IF(AND(DK$5&lt;=$F44,DK$5+GanttPeriod-1&gt;=$E44),"━","")))</f>
        <v/>
      </c>
      <c r="DL44" s="69" t="str">
        <f aca="false">IF($E44="","",IF($M44,IF(AND($G44&gt;=DL$5,$G44&lt;DL$5+GanttPeriod),"◆",IF(AND($E44&gt;=DL$5,$E44&lt;DL$5+GanttPeriod),"◇","")),IF(AND(DL$5&lt;=$F44,DL$5+GanttPeriod-1&gt;=$E44),"━","")))</f>
        <v/>
      </c>
      <c r="DM44" s="69" t="str">
        <f aca="false">IF($E44="","",IF($M44,IF(AND($G44&gt;=DM$5,$G44&lt;DM$5+GanttPeriod),"◆",IF(AND($E44&gt;=DM$5,$E44&lt;DM$5+GanttPeriod),"◇","")),IF(AND(DM$5&lt;=$F44,DM$5+GanttPeriod-1&gt;=$E44),"━","")))</f>
        <v/>
      </c>
      <c r="DN44" s="69" t="str">
        <f aca="false">IF($E44="","",IF($M44,IF(AND($G44&gt;=DN$5,$G44&lt;DN$5+GanttPeriod),"◆",IF(AND($E44&gt;=DN$5,$E44&lt;DN$5+GanttPeriod),"◇","")),IF(AND(DN$5&lt;=$F44,DN$5+GanttPeriod-1&gt;=$E44),"━","")))</f>
        <v/>
      </c>
      <c r="DO44" s="69" t="str">
        <f aca="false">IF($E44="","",IF($M44,IF(AND($G44&gt;=DO$5,$G44&lt;DO$5+GanttPeriod),"◆",IF(AND($E44&gt;=DO$5,$E44&lt;DO$5+GanttPeriod),"◇","")),IF(AND(DO$5&lt;=$F44,DO$5+GanttPeriod-1&gt;=$E44),"━","")))</f>
        <v/>
      </c>
      <c r="DP44" s="69" t="str">
        <f aca="false">IF($E44="","",IF($M44,IF(AND($G44&gt;=DP$5,$G44&lt;DP$5+GanttPeriod),"◆",IF(AND($E44&gt;=DP$5,$E44&lt;DP$5+GanttPeriod),"◇","")),IF(AND(DP$5&lt;=$F44,DP$5+GanttPeriod-1&gt;=$E44),"━","")))</f>
        <v/>
      </c>
      <c r="DQ44" s="69" t="str">
        <f aca="false">IF($E44="","",IF($M44,IF(AND($G44&gt;=DQ$5,$G44&lt;DQ$5+GanttPeriod),"◆",IF(AND($E44&gt;=DQ$5,$E44&lt;DQ$5+GanttPeriod),"◇","")),IF(AND(DQ$5&lt;=$F44,DQ$5+GanttPeriod-1&gt;=$E44),"━","")))</f>
        <v/>
      </c>
      <c r="DR44" s="69" t="str">
        <f aca="false">IF($E44="","",IF($M44,IF(AND($G44&gt;=DR$5,$G44&lt;DR$5+GanttPeriod),"◆",IF(AND($E44&gt;=DR$5,$E44&lt;DR$5+GanttPeriod),"◇","")),IF(AND(DR$5&lt;=$F44,DR$5+GanttPeriod-1&gt;=$E44),"━","")))</f>
        <v/>
      </c>
      <c r="DS44" s="69" t="str">
        <f aca="false">IF($E44="","",IF($M44,IF(AND($G44&gt;=DS$5,$G44&lt;DS$5+GanttPeriod),"◆",IF(AND($E44&gt;=DS$5,$E44&lt;DS$5+GanttPeriod),"◇","")),IF(AND(DS$5&lt;=$F44,DS$5+GanttPeriod-1&gt;=$E44),"━","")))</f>
        <v/>
      </c>
      <c r="DT44" s="69" t="str">
        <f aca="false">IF($E44="","",IF($M44,IF(AND($G44&gt;=DT$5,$G44&lt;DT$5+GanttPeriod),"◆",IF(AND($E44&gt;=DT$5,$E44&lt;DT$5+GanttPeriod),"◇","")),IF(AND(DT$5&lt;=$F44,DT$5+GanttPeriod-1&gt;=$E44),"━","")))</f>
        <v/>
      </c>
      <c r="DU44" s="69" t="str">
        <f aca="false">IF($E44="","",IF($M44,IF(AND($G44&gt;=DU$5,$G44&lt;DU$5+GanttPeriod),"◆",IF(AND($E44&gt;=DU$5,$E44&lt;DU$5+GanttPeriod),"◇","")),IF(AND(DU$5&lt;=$F44,DU$5+GanttPeriod-1&gt;=$E44),"━","")))</f>
        <v/>
      </c>
      <c r="DV44" s="69" t="str">
        <f aca="false">IF($E44="","",IF($M44,IF(AND($G44&gt;=DV$5,$G44&lt;DV$5+GanttPeriod),"◆",IF(AND($E44&gt;=DV$5,$E44&lt;DV$5+GanttPeriod),"◇","")),IF(AND(DV$5&lt;=$F44,DV$5+GanttPeriod-1&gt;=$E44),"━","")))</f>
        <v/>
      </c>
      <c r="DW44" s="69" t="str">
        <f aca="false">IF($E44="","",IF($M44,IF(AND($G44&gt;=DW$5,$G44&lt;DW$5+GanttPeriod),"◆",IF(AND($E44&gt;=DW$5,$E44&lt;DW$5+GanttPeriod),"◇","")),IF(AND(DW$5&lt;=$F44,DW$5+GanttPeriod-1&gt;=$E44),"━","")))</f>
        <v/>
      </c>
      <c r="DX44" s="69" t="str">
        <f aca="false">IF($E44="","",IF($M44,IF(AND($G44&gt;=DX$5,$G44&lt;DX$5+GanttPeriod),"◆",IF(AND($E44&gt;=DX$5,$E44&lt;DX$5+GanttPeriod),"◇","")),IF(AND(DX$5&lt;=$F44,DX$5+GanttPeriod-1&gt;=$E44),"━","")))</f>
        <v/>
      </c>
      <c r="DY44" s="69" t="str">
        <f aca="false">IF($E44="","",IF($M44,IF(AND($G44&gt;=DY$5,$G44&lt;DY$5+GanttPeriod),"◆",IF(AND($E44&gt;=DY$5,$E44&lt;DY$5+GanttPeriod),"◇","")),IF(AND(DY$5&lt;=$F44,DY$5+GanttPeriod-1&gt;=$E44),"━","")))</f>
        <v/>
      </c>
      <c r="DZ44" s="69" t="str">
        <f aca="false">IF($E44="","",IF($M44,IF(AND($G44&gt;=DZ$5,$G44&lt;DZ$5+GanttPeriod),"◆",IF(AND($E44&gt;=DZ$5,$E44&lt;DZ$5+GanttPeriod),"◇","")),IF(AND(DZ$5&lt;=$F44,DZ$5+GanttPeriod-1&gt;=$E44),"━","")))</f>
        <v/>
      </c>
      <c r="EA44" s="69" t="str">
        <f aca="false">IF($E44="","",IF($M44,IF(AND($G44&gt;=EA$5,$G44&lt;EA$5+GanttPeriod),"◆",IF(AND($E44&gt;=EA$5,$E44&lt;EA$5+GanttPeriod),"◇","")),IF(AND(EA$5&lt;=$F44,EA$5+GanttPeriod-1&gt;=$E44),"━","")))</f>
        <v/>
      </c>
      <c r="EB44" s="69" t="str">
        <f aca="false">IF($E44="","",IF($M44,IF(AND($G44&gt;=EB$5,$G44&lt;EB$5+GanttPeriod),"◆",IF(AND($E44&gt;=EB$5,$E44&lt;EB$5+GanttPeriod),"◇","")),IF(AND(EB$5&lt;=$F44,EB$5+GanttPeriod-1&gt;=$E44),"━","")))</f>
        <v/>
      </c>
      <c r="EC44" s="69" t="str">
        <f aca="false">IF($E44="","",IF($M44,IF(AND($G44&gt;=EC$5,$G44&lt;EC$5+GanttPeriod),"◆",IF(AND($E44&gt;=EC$5,$E44&lt;EC$5+GanttPeriod),"◇","")),IF(AND(EC$5&lt;=$F44,EC$5+GanttPeriod-1&gt;=$E44),"━","")))</f>
        <v/>
      </c>
      <c r="ED44" s="69" t="str">
        <f aca="false">IF($E44="","",IF($M44,IF(AND($G44&gt;=ED$5,$G44&lt;ED$5+GanttPeriod),"◆",IF(AND($E44&gt;=ED$5,$E44&lt;ED$5+GanttPeriod),"◇","")),IF(AND(ED$5&lt;=$F44,ED$5+GanttPeriod-1&gt;=$E44),"━","")))</f>
        <v/>
      </c>
      <c r="EE44" s="69" t="str">
        <f aca="false">IF($E44="","",IF($M44,IF(AND($G44&gt;=EE$5,$G44&lt;EE$5+GanttPeriod),"◆",IF(AND($E44&gt;=EE$5,$E44&lt;EE$5+GanttPeriod),"◇","")),IF(AND(EE$5&lt;=$F44,EE$5+GanttPeriod-1&gt;=$E44),"━","")))</f>
        <v/>
      </c>
      <c r="EF44" s="69" t="str">
        <f aca="false">IF($E44="","",IF($M44,IF(AND($G44&gt;=EF$5,$G44&lt;EF$5+GanttPeriod),"◆",IF(AND($E44&gt;=EF$5,$E44&lt;EF$5+GanttPeriod),"◇","")),IF(AND(EF$5&lt;=$F44,EF$5+GanttPeriod-1&gt;=$E44),"━","")))</f>
        <v/>
      </c>
      <c r="EG44" s="69" t="str">
        <f aca="false">IF($E44="","",IF($M44,IF(AND($G44&gt;=EG$5,$G44&lt;EG$5+GanttPeriod),"◆",IF(AND($E44&gt;=EG$5,$E44&lt;EG$5+GanttPeriod),"◇","")),IF(AND(EG$5&lt;=$F44,EG$5+GanttPeriod-1&gt;=$E44),"━","")))</f>
        <v/>
      </c>
      <c r="EH44" s="69" t="str">
        <f aca="false">IF($E44="","",IF($M44,IF(AND($G44&gt;=EH$5,$G44&lt;EH$5+GanttPeriod),"◆",IF(AND($E44&gt;=EH$5,$E44&lt;EH$5+GanttPeriod),"◇","")),IF(AND(EH$5&lt;=$F44,EH$5+GanttPeriod-1&gt;=$E44),"━","")))</f>
        <v/>
      </c>
      <c r="EI44" s="69" t="str">
        <f aca="false">IF($E44="","",IF($M44,IF(AND($G44&gt;=EI$5,$G44&lt;EI$5+GanttPeriod),"◆",IF(AND($E44&gt;=EI$5,$E44&lt;EI$5+GanttPeriod),"◇","")),IF(AND(EI$5&lt;=$F44,EI$5+GanttPeriod-1&gt;=$E44),"━","")))</f>
        <v/>
      </c>
      <c r="EJ44" s="69" t="str">
        <f aca="false">IF($E44="","",IF($M44,IF(AND($G44&gt;=EJ$5,$G44&lt;EJ$5+GanttPeriod),"◆",IF(AND($E44&gt;=EJ$5,$E44&lt;EJ$5+GanttPeriod),"◇","")),IF(AND(EJ$5&lt;=$F44,EJ$5+GanttPeriod-1&gt;=$E44),"━","")))</f>
        <v/>
      </c>
      <c r="EK44" s="69" t="str">
        <f aca="false">IF($E44="","",IF($M44,IF(AND($G44&gt;=EK$5,$G44&lt;EK$5+GanttPeriod),"◆",IF(AND($E44&gt;=EK$5,$E44&lt;EK$5+GanttPeriod),"◇","")),IF(AND(EK$5&lt;=$F44,EK$5+GanttPeriod-1&gt;=$E44),"━","")))</f>
        <v/>
      </c>
      <c r="EL44" s="69" t="str">
        <f aca="false">IF($E44="","",IF($M44,IF(AND($G44&gt;=EL$5,$G44&lt;EL$5+GanttPeriod),"◆",IF(AND($E44&gt;=EL$5,$E44&lt;EL$5+GanttPeriod),"◇","")),IF(AND(EL$5&lt;=$F44,EL$5+GanttPeriod-1&gt;=$E44),"━","")))</f>
        <v/>
      </c>
      <c r="EM44" s="69" t="str">
        <f aca="false">IF($E44="","",IF($M44,IF(AND($G44&gt;=EM$5,$G44&lt;EM$5+GanttPeriod),"◆",IF(AND($E44&gt;=EM$5,$E44&lt;EM$5+GanttPeriod),"◇","")),IF(AND(EM$5&lt;=$F44,EM$5+GanttPeriod-1&gt;=$E44),"━","")))</f>
        <v/>
      </c>
      <c r="EN44" s="69" t="str">
        <f aca="false">IF($E44="","",IF($M44,IF(AND($G44&gt;=EN$5,$G44&lt;EN$5+GanttPeriod),"◆",IF(AND($E44&gt;=EN$5,$E44&lt;EN$5+GanttPeriod),"◇","")),IF(AND(EN$5&lt;=$F44,EN$5+GanttPeriod-1&gt;=$E44),"━","")))</f>
        <v/>
      </c>
      <c r="EO44" s="69" t="str">
        <f aca="false">IF($E44="","",IF($M44,IF(AND($G44&gt;=EO$5,$G44&lt;EO$5+GanttPeriod),"◆",IF(AND($E44&gt;=EO$5,$E44&lt;EO$5+GanttPeriod),"◇","")),IF(AND(EO$5&lt;=$F44,EO$5+GanttPeriod-1&gt;=$E44),"━","")))</f>
        <v/>
      </c>
      <c r="EP44" s="69" t="str">
        <f aca="false">IF($E44="","",IF($M44,IF(AND($G44&gt;=EP$5,$G44&lt;EP$5+GanttPeriod),"◆",IF(AND($E44&gt;=EP$5,$E44&lt;EP$5+GanttPeriod),"◇","")),IF(AND(EP$5&lt;=$F44,EP$5+GanttPeriod-1&gt;=$E44),"━","")))</f>
        <v/>
      </c>
      <c r="EQ44" s="69" t="str">
        <f aca="false">IF($E44="","",IF($M44,IF(AND($G44&gt;=EQ$5,$G44&lt;EQ$5+GanttPeriod),"◆",IF(AND($E44&gt;=EQ$5,$E44&lt;EQ$5+GanttPeriod),"◇","")),IF(AND(EQ$5&lt;=$F44,EQ$5+GanttPeriod-1&gt;=$E44),"━","")))</f>
        <v/>
      </c>
      <c r="ER44" s="69" t="str">
        <f aca="false">IF($E44="","",IF($M44,IF(AND($G44&gt;=ER$5,$G44&lt;ER$5+GanttPeriod),"◆",IF(AND($E44&gt;=ER$5,$E44&lt;ER$5+GanttPeriod),"◇","")),IF(AND(ER$5&lt;=$F44,ER$5+GanttPeriod-1&gt;=$E44),"━","")))</f>
        <v/>
      </c>
      <c r="ES44" s="69" t="str">
        <f aca="false">IF($E44="","",IF($M44,IF(AND($G44&gt;=ES$5,$G44&lt;ES$5+GanttPeriod),"◆",IF(AND($E44&gt;=ES$5,$E44&lt;ES$5+GanttPeriod),"◇","")),IF(AND(ES$5&lt;=$F44,ES$5+GanttPeriod-1&gt;=$E44),"━","")))</f>
        <v/>
      </c>
      <c r="ET44" s="69" t="str">
        <f aca="false">IF($E44="","",IF($M44,IF(AND($G44&gt;=ET$5,$G44&lt;ET$5+GanttPeriod),"◆",IF(AND($E44&gt;=ET$5,$E44&lt;ET$5+GanttPeriod),"◇","")),IF(AND(ET$5&lt;=$F44,ET$5+GanttPeriod-1&gt;=$E44),"━","")))</f>
        <v/>
      </c>
      <c r="EU44" s="69" t="str">
        <f aca="false">IF($E44="","",IF($M44,IF(AND($G44&gt;=EU$5,$G44&lt;EU$5+GanttPeriod),"◆",IF(AND($E44&gt;=EU$5,$E44&lt;EU$5+GanttPeriod),"◇","")),IF(AND(EU$5&lt;=$F44,EU$5+GanttPeriod-1&gt;=$E44),"━","")))</f>
        <v/>
      </c>
      <c r="EV44" s="69" t="str">
        <f aca="false">IF($E44="","",IF($M44,IF(AND($G44&gt;=EV$5,$G44&lt;EV$5+GanttPeriod),"◆",IF(AND($E44&gt;=EV$5,$E44&lt;EV$5+GanttPeriod),"◇","")),IF(AND(EV$5&lt;=$F44,EV$5+GanttPeriod-1&gt;=$E44),"━","")))</f>
        <v/>
      </c>
      <c r="EW44" s="69" t="str">
        <f aca="false">IF($E44="","",IF($M44,IF(AND($G44&gt;=EW$5,$G44&lt;EW$5+GanttPeriod),"◆",IF(AND($E44&gt;=EW$5,$E44&lt;EW$5+GanttPeriod),"◇","")),IF(AND(EW$5&lt;=$F44,EW$5+GanttPeriod-1&gt;=$E44),"━","")))</f>
        <v/>
      </c>
      <c r="EX44" s="69" t="str">
        <f aca="false">IF($E44="","",IF($M44,IF(AND($G44&gt;=EX$5,$G44&lt;EX$5+GanttPeriod),"◆",IF(AND($E44&gt;=EX$5,$E44&lt;EX$5+GanttPeriod),"◇","")),IF(AND(EX$5&lt;=$F44,EX$5+GanttPeriod-1&gt;=$E44),"━","")))</f>
        <v/>
      </c>
      <c r="EY44" s="69" t="str">
        <f aca="false">IF($E44="","",IF($M44,IF(AND($G44&gt;=EY$5,$G44&lt;EY$5+GanttPeriod),"◆",IF(AND($E44&gt;=EY$5,$E44&lt;EY$5+GanttPeriod),"◇","")),IF(AND(EY$5&lt;=$F44,EY$5+GanttPeriod-1&gt;=$E44),"━","")))</f>
        <v/>
      </c>
      <c r="EZ44" s="69" t="str">
        <f aca="false">IF($E44="","",IF($M44,IF(AND($G44&gt;=EZ$5,$G44&lt;EZ$5+GanttPeriod),"◆",IF(AND($E44&gt;=EZ$5,$E44&lt;EZ$5+GanttPeriod),"◇","")),IF(AND(EZ$5&lt;=$F44,EZ$5+GanttPeriod-1&gt;=$E44),"━","")))</f>
        <v/>
      </c>
      <c r="FA44" s="69" t="str">
        <f aca="false">IF($E44="","",IF($M44,IF(AND($G44&gt;=FA$5,$G44&lt;FA$5+GanttPeriod),"◆",IF(AND($E44&gt;=FA$5,$E44&lt;FA$5+GanttPeriod),"◇","")),IF(AND(FA$5&lt;=$F44,FA$5+GanttPeriod-1&gt;=$E44),"━","")))</f>
        <v/>
      </c>
      <c r="FB44" s="69" t="str">
        <f aca="false">IF($E44="","",IF($M44,IF(AND($G44&gt;=FB$5,$G44&lt;FB$5+GanttPeriod),"◆",IF(AND($E44&gt;=FB$5,$E44&lt;FB$5+GanttPeriod),"◇","")),IF(AND(FB$5&lt;=$F44,FB$5+GanttPeriod-1&gt;=$E44),"━","")))</f>
        <v/>
      </c>
      <c r="FC44" s="69" t="str">
        <f aca="false">IF($E44="","",IF($M44,IF(AND($G44&gt;=FC$5,$G44&lt;FC$5+GanttPeriod),"◆",IF(AND($E44&gt;=FC$5,$E44&lt;FC$5+GanttPeriod),"◇","")),IF(AND(FC$5&lt;=$F44,FC$5+GanttPeriod-1&gt;=$E44),"━","")))</f>
        <v/>
      </c>
      <c r="FD44" s="69" t="str">
        <f aca="false">IF($E44="","",IF($M44,IF(AND($G44&gt;=FD$5,$G44&lt;FD$5+GanttPeriod),"◆",IF(AND($E44&gt;=FD$5,$E44&lt;FD$5+GanttPeriod),"◇","")),IF(AND(FD$5&lt;=$F44,FD$5+GanttPeriod-1&gt;=$E44),"━","")))</f>
        <v/>
      </c>
      <c r="FE44" s="69" t="str">
        <f aca="false">IF($E44="","",IF($M44,IF(AND($G44&gt;=FE$5,$G44&lt;FE$5+GanttPeriod),"◆",IF(AND($E44&gt;=FE$5,$E44&lt;FE$5+GanttPeriod),"◇","")),IF(AND(FE$5&lt;=$F44,FE$5+GanttPeriod-1&gt;=$E44),"━","")))</f>
        <v/>
      </c>
      <c r="FF44" s="69" t="str">
        <f aca="false">IF($E44="","",IF($M44,IF(AND($G44&gt;=FF$5,$G44&lt;FF$5+GanttPeriod),"◆",IF(AND($E44&gt;=FF$5,$E44&lt;FF$5+GanttPeriod),"◇","")),IF(AND(FF$5&lt;=$F44,FF$5+GanttPeriod-1&gt;=$E44),"━","")))</f>
        <v/>
      </c>
      <c r="FG44" s="69" t="str">
        <f aca="false">IF($E44="","",IF($M44,IF(AND($G44&gt;=FG$5,$G44&lt;FG$5+GanttPeriod),"◆",IF(AND($E44&gt;=FG$5,$E44&lt;FG$5+GanttPeriod),"◇","")),IF(AND(FG$5&lt;=$F44,FG$5+GanttPeriod-1&gt;=$E44),"━","")))</f>
        <v/>
      </c>
      <c r="FH44" s="69" t="str">
        <f aca="false">IF($E44="","",IF($M44,IF(AND($G44&gt;=FH$5,$G44&lt;FH$5+GanttPeriod),"◆",IF(AND($E44&gt;=FH$5,$E44&lt;FH$5+GanttPeriod),"◇","")),IF(AND(FH$5&lt;=$F44,FH$5+GanttPeriod-1&gt;=$E44),"━","")))</f>
        <v/>
      </c>
      <c r="FI44" s="69" t="str">
        <f aca="false">IF($E44="","",IF($M44,IF(AND($G44&gt;=FI$5,$G44&lt;FI$5+GanttPeriod),"◆",IF(AND($E44&gt;=FI$5,$E44&lt;FI$5+GanttPeriod),"◇","")),IF(AND(FI$5&lt;=$F44,FI$5+GanttPeriod-1&gt;=$E44),"━","")))</f>
        <v/>
      </c>
      <c r="FJ44" s="69" t="str">
        <f aca="false">IF($E44="","",IF($M44,IF(AND($G44&gt;=FJ$5,$G44&lt;FJ$5+GanttPeriod),"◆",IF(AND($E44&gt;=FJ$5,$E44&lt;FJ$5+GanttPeriod),"◇","")),IF(AND(FJ$5&lt;=$F44,FJ$5+GanttPeriod-1&gt;=$E44),"━","")))</f>
        <v/>
      </c>
      <c r="FK44" s="69" t="str">
        <f aca="false">IF($E44="","",IF($M44,IF(AND($G44&gt;=FK$5,$G44&lt;FK$5+GanttPeriod),"◆",IF(AND($E44&gt;=FK$5,$E44&lt;FK$5+GanttPeriod),"◇","")),IF(AND(FK$5&lt;=$F44,FK$5+GanttPeriod-1&gt;=$E44),"━","")))</f>
        <v/>
      </c>
      <c r="FL44" s="69" t="str">
        <f aca="false">IF($E44="","",IF($M44,IF(AND($G44&gt;=FL$5,$G44&lt;FL$5+GanttPeriod),"◆",IF(AND($E44&gt;=FL$5,$E44&lt;FL$5+GanttPeriod),"◇","")),IF(AND(FL$5&lt;=$F44,FL$5+GanttPeriod-1&gt;=$E44),"━","")))</f>
        <v/>
      </c>
      <c r="FM44" s="69" t="str">
        <f aca="false">IF($E44="","",IF($M44,IF(AND($G44&gt;=FM$5,$G44&lt;FM$5+GanttPeriod),"◆",IF(AND($E44&gt;=FM$5,$E44&lt;FM$5+GanttPeriod),"◇","")),IF(AND(FM$5&lt;=$F44,FM$5+GanttPeriod-1&gt;=$E44),"━","")))</f>
        <v/>
      </c>
    </row>
    <row r="45" customFormat="false" ht="15" hidden="false" customHeight="false" outlineLevel="0" collapsed="false">
      <c r="A45" s="62" t="str">
        <f aca="false">IF(Tasks!$D45="","",Tasks!$A45)</f>
        <v/>
      </c>
      <c r="B45" s="62" t="str">
        <f aca="false">IF(Tasks!$D45="","",Tasks!$B45)</f>
        <v/>
      </c>
      <c r="C45" s="63" t="str">
        <f aca="false">IF(Tasks!$D45="","",REPT("    ",Tasks!$AE45-1)&amp;Tasks!$D45)</f>
        <v/>
      </c>
      <c r="D45" s="62" t="str">
        <f aca="false">IF(Tasks!$D45="","",IF(Tasks!$AI45,NETWORKDAYS.INTL(Tasks!$R45,Tasks!$S45,WorkWeek,Holidays),N(Tasks!$F45)))</f>
        <v/>
      </c>
      <c r="E45" s="64" t="str">
        <f aca="false">IF(Tasks!$D45="","",Tasks!$N45)</f>
        <v/>
      </c>
      <c r="F45" s="64" t="str">
        <f aca="false">IF(Tasks!$D45="","",Tasks!$O45)</f>
        <v/>
      </c>
      <c r="G45" s="64" t="str">
        <f aca="false">IF(Tasks!$D45="","",Tasks!$R45)</f>
        <v/>
      </c>
      <c r="H45" s="64" t="str">
        <f aca="false">IF(Tasks!$D45="","",Tasks!$S45)</f>
        <v/>
      </c>
      <c r="I45" s="65" t="str">
        <f aca="false">IF(Tasks!$D45="","",Tasks!$V45)</f>
        <v/>
      </c>
      <c r="J45" s="63" t="str">
        <f aca="false">IF(Tasks!$D45="","",Tasks!$X45&amp;"")</f>
        <v/>
      </c>
      <c r="K45" s="66" t="str">
        <f aca="false">IF(Tasks!$D45="","",Tasks!$W45)</f>
        <v/>
      </c>
      <c r="L45" s="67" t="b">
        <f aca="false">IF(Tasks!$D45="",FALSE(),Tasks!$AI45)</f>
        <v>0</v>
      </c>
      <c r="M45" s="67" t="b">
        <f aca="false">AND(Tasks!$AJ45=1,N(Tasks!$F45)=0)</f>
        <v>0</v>
      </c>
      <c r="N45" s="68" t="n">
        <f aca="false">IF(AND(Tasks!$AJ45=1,NOT($M45),N($I45)&gt;0),$G45,0)</f>
        <v>0</v>
      </c>
      <c r="O45" s="68" t="n">
        <f aca="false">IF($N45=0,0,IF($I45&gt;=1,$H45,MAX($N45,$G45+ROUND(($H45-$G45+1)*$I45,0)-1)))</f>
        <v>0</v>
      </c>
      <c r="P45" s="68" t="n">
        <f aca="false">IF(OR(Tasks!$AJ45&lt;&gt;1,$M45,N($I45)&gt;=1),0,IF($O45&gt;0,$O45+1,$G45))</f>
        <v>0</v>
      </c>
      <c r="Q45" s="68" t="n">
        <f aca="false">IF($P45=0,0,$H45)</f>
        <v>0</v>
      </c>
      <c r="R45" s="67" t="b">
        <f aca="false">AND(Tasks!$D45&lt;&gt;"",N(Tasks!$T45)&gt;0)</f>
        <v>0</v>
      </c>
      <c r="T45" s="69" t="str">
        <f aca="false">IF($E45="","",IF($M45,IF(AND($G45&gt;=T$5,$G45&lt;T$5+GanttPeriod),"◆",IF(AND($E45&gt;=T$5,$E45&lt;T$5+GanttPeriod),"◇","")),IF(AND(T$5&lt;=$F45,T$5+GanttPeriod-1&gt;=$E45),"━","")))</f>
        <v/>
      </c>
      <c r="U45" s="69" t="str">
        <f aca="false">IF($E45="","",IF($M45,IF(AND($G45&gt;=U$5,$G45&lt;U$5+GanttPeriod),"◆",IF(AND($E45&gt;=U$5,$E45&lt;U$5+GanttPeriod),"◇","")),IF(AND(U$5&lt;=$F45,U$5+GanttPeriod-1&gt;=$E45),"━","")))</f>
        <v/>
      </c>
      <c r="V45" s="69" t="str">
        <f aca="false">IF($E45="","",IF($M45,IF(AND($G45&gt;=V$5,$G45&lt;V$5+GanttPeriod),"◆",IF(AND($E45&gt;=V$5,$E45&lt;V$5+GanttPeriod),"◇","")),IF(AND(V$5&lt;=$F45,V$5+GanttPeriod-1&gt;=$E45),"━","")))</f>
        <v/>
      </c>
      <c r="W45" s="69" t="str">
        <f aca="false">IF($E45="","",IF($M45,IF(AND($G45&gt;=W$5,$G45&lt;W$5+GanttPeriod),"◆",IF(AND($E45&gt;=W$5,$E45&lt;W$5+GanttPeriod),"◇","")),IF(AND(W$5&lt;=$F45,W$5+GanttPeriod-1&gt;=$E45),"━","")))</f>
        <v/>
      </c>
      <c r="X45" s="69" t="str">
        <f aca="false">IF($E45="","",IF($M45,IF(AND($G45&gt;=X$5,$G45&lt;X$5+GanttPeriod),"◆",IF(AND($E45&gt;=X$5,$E45&lt;X$5+GanttPeriod),"◇","")),IF(AND(X$5&lt;=$F45,X$5+GanttPeriod-1&gt;=$E45),"━","")))</f>
        <v/>
      </c>
      <c r="Y45" s="69" t="str">
        <f aca="false">IF($E45="","",IF($M45,IF(AND($G45&gt;=Y$5,$G45&lt;Y$5+GanttPeriod),"◆",IF(AND($E45&gt;=Y$5,$E45&lt;Y$5+GanttPeriod),"◇","")),IF(AND(Y$5&lt;=$F45,Y$5+GanttPeriod-1&gt;=$E45),"━","")))</f>
        <v/>
      </c>
      <c r="Z45" s="69" t="str">
        <f aca="false">IF($E45="","",IF($M45,IF(AND($G45&gt;=Z$5,$G45&lt;Z$5+GanttPeriod),"◆",IF(AND($E45&gt;=Z$5,$E45&lt;Z$5+GanttPeriod),"◇","")),IF(AND(Z$5&lt;=$F45,Z$5+GanttPeriod-1&gt;=$E45),"━","")))</f>
        <v/>
      </c>
      <c r="AA45" s="69" t="str">
        <f aca="false">IF($E45="","",IF($M45,IF(AND($G45&gt;=AA$5,$G45&lt;AA$5+GanttPeriod),"◆",IF(AND($E45&gt;=AA$5,$E45&lt;AA$5+GanttPeriod),"◇","")),IF(AND(AA$5&lt;=$F45,AA$5+GanttPeriod-1&gt;=$E45),"━","")))</f>
        <v/>
      </c>
      <c r="AB45" s="69" t="str">
        <f aca="false">IF($E45="","",IF($M45,IF(AND($G45&gt;=AB$5,$G45&lt;AB$5+GanttPeriod),"◆",IF(AND($E45&gt;=AB$5,$E45&lt;AB$5+GanttPeriod),"◇","")),IF(AND(AB$5&lt;=$F45,AB$5+GanttPeriod-1&gt;=$E45),"━","")))</f>
        <v/>
      </c>
      <c r="AC45" s="69" t="str">
        <f aca="false">IF($E45="","",IF($M45,IF(AND($G45&gt;=AC$5,$G45&lt;AC$5+GanttPeriod),"◆",IF(AND($E45&gt;=AC$5,$E45&lt;AC$5+GanttPeriod),"◇","")),IF(AND(AC$5&lt;=$F45,AC$5+GanttPeriod-1&gt;=$E45),"━","")))</f>
        <v/>
      </c>
      <c r="AD45" s="69" t="str">
        <f aca="false">IF($E45="","",IF($M45,IF(AND($G45&gt;=AD$5,$G45&lt;AD$5+GanttPeriod),"◆",IF(AND($E45&gt;=AD$5,$E45&lt;AD$5+GanttPeriod),"◇","")),IF(AND(AD$5&lt;=$F45,AD$5+GanttPeriod-1&gt;=$E45),"━","")))</f>
        <v/>
      </c>
      <c r="AE45" s="69" t="str">
        <f aca="false">IF($E45="","",IF($M45,IF(AND($G45&gt;=AE$5,$G45&lt;AE$5+GanttPeriod),"◆",IF(AND($E45&gt;=AE$5,$E45&lt;AE$5+GanttPeriod),"◇","")),IF(AND(AE$5&lt;=$F45,AE$5+GanttPeriod-1&gt;=$E45),"━","")))</f>
        <v/>
      </c>
      <c r="AF45" s="69" t="str">
        <f aca="false">IF($E45="","",IF($M45,IF(AND($G45&gt;=AF$5,$G45&lt;AF$5+GanttPeriod),"◆",IF(AND($E45&gt;=AF$5,$E45&lt;AF$5+GanttPeriod),"◇","")),IF(AND(AF$5&lt;=$F45,AF$5+GanttPeriod-1&gt;=$E45),"━","")))</f>
        <v/>
      </c>
      <c r="AG45" s="69" t="str">
        <f aca="false">IF($E45="","",IF($M45,IF(AND($G45&gt;=AG$5,$G45&lt;AG$5+GanttPeriod),"◆",IF(AND($E45&gt;=AG$5,$E45&lt;AG$5+GanttPeriod),"◇","")),IF(AND(AG$5&lt;=$F45,AG$5+GanttPeriod-1&gt;=$E45),"━","")))</f>
        <v/>
      </c>
      <c r="AH45" s="69" t="str">
        <f aca="false">IF($E45="","",IF($M45,IF(AND($G45&gt;=AH$5,$G45&lt;AH$5+GanttPeriod),"◆",IF(AND($E45&gt;=AH$5,$E45&lt;AH$5+GanttPeriod),"◇","")),IF(AND(AH$5&lt;=$F45,AH$5+GanttPeriod-1&gt;=$E45),"━","")))</f>
        <v/>
      </c>
      <c r="AI45" s="69" t="str">
        <f aca="false">IF($E45="","",IF($M45,IF(AND($G45&gt;=AI$5,$G45&lt;AI$5+GanttPeriod),"◆",IF(AND($E45&gt;=AI$5,$E45&lt;AI$5+GanttPeriod),"◇","")),IF(AND(AI$5&lt;=$F45,AI$5+GanttPeriod-1&gt;=$E45),"━","")))</f>
        <v/>
      </c>
      <c r="AJ45" s="69" t="str">
        <f aca="false">IF($E45="","",IF($M45,IF(AND($G45&gt;=AJ$5,$G45&lt;AJ$5+GanttPeriod),"◆",IF(AND($E45&gt;=AJ$5,$E45&lt;AJ$5+GanttPeriod),"◇","")),IF(AND(AJ$5&lt;=$F45,AJ$5+GanttPeriod-1&gt;=$E45),"━","")))</f>
        <v/>
      </c>
      <c r="AK45" s="69" t="str">
        <f aca="false">IF($E45="","",IF($M45,IF(AND($G45&gt;=AK$5,$G45&lt;AK$5+GanttPeriod),"◆",IF(AND($E45&gt;=AK$5,$E45&lt;AK$5+GanttPeriod),"◇","")),IF(AND(AK$5&lt;=$F45,AK$5+GanttPeriod-1&gt;=$E45),"━","")))</f>
        <v/>
      </c>
      <c r="AL45" s="69" t="str">
        <f aca="false">IF($E45="","",IF($M45,IF(AND($G45&gt;=AL$5,$G45&lt;AL$5+GanttPeriod),"◆",IF(AND($E45&gt;=AL$5,$E45&lt;AL$5+GanttPeriod),"◇","")),IF(AND(AL$5&lt;=$F45,AL$5+GanttPeriod-1&gt;=$E45),"━","")))</f>
        <v/>
      </c>
      <c r="AM45" s="69" t="str">
        <f aca="false">IF($E45="","",IF($M45,IF(AND($G45&gt;=AM$5,$G45&lt;AM$5+GanttPeriod),"◆",IF(AND($E45&gt;=AM$5,$E45&lt;AM$5+GanttPeriod),"◇","")),IF(AND(AM$5&lt;=$F45,AM$5+GanttPeriod-1&gt;=$E45),"━","")))</f>
        <v/>
      </c>
      <c r="AN45" s="69" t="str">
        <f aca="false">IF($E45="","",IF($M45,IF(AND($G45&gt;=AN$5,$G45&lt;AN$5+GanttPeriod),"◆",IF(AND($E45&gt;=AN$5,$E45&lt;AN$5+GanttPeriod),"◇","")),IF(AND(AN$5&lt;=$F45,AN$5+GanttPeriod-1&gt;=$E45),"━","")))</f>
        <v/>
      </c>
      <c r="AO45" s="69" t="str">
        <f aca="false">IF($E45="","",IF($M45,IF(AND($G45&gt;=AO$5,$G45&lt;AO$5+GanttPeriod),"◆",IF(AND($E45&gt;=AO$5,$E45&lt;AO$5+GanttPeriod),"◇","")),IF(AND(AO$5&lt;=$F45,AO$5+GanttPeriod-1&gt;=$E45),"━","")))</f>
        <v/>
      </c>
      <c r="AP45" s="69" t="str">
        <f aca="false">IF($E45="","",IF($M45,IF(AND($G45&gt;=AP$5,$G45&lt;AP$5+GanttPeriod),"◆",IF(AND($E45&gt;=AP$5,$E45&lt;AP$5+GanttPeriod),"◇","")),IF(AND(AP$5&lt;=$F45,AP$5+GanttPeriod-1&gt;=$E45),"━","")))</f>
        <v/>
      </c>
      <c r="AQ45" s="69" t="str">
        <f aca="false">IF($E45="","",IF($M45,IF(AND($G45&gt;=AQ$5,$G45&lt;AQ$5+GanttPeriod),"◆",IF(AND($E45&gt;=AQ$5,$E45&lt;AQ$5+GanttPeriod),"◇","")),IF(AND(AQ$5&lt;=$F45,AQ$5+GanttPeriod-1&gt;=$E45),"━","")))</f>
        <v/>
      </c>
      <c r="AR45" s="69" t="str">
        <f aca="false">IF($E45="","",IF($M45,IF(AND($G45&gt;=AR$5,$G45&lt;AR$5+GanttPeriod),"◆",IF(AND($E45&gt;=AR$5,$E45&lt;AR$5+GanttPeriod),"◇","")),IF(AND(AR$5&lt;=$F45,AR$5+GanttPeriod-1&gt;=$E45),"━","")))</f>
        <v/>
      </c>
      <c r="AS45" s="69" t="str">
        <f aca="false">IF($E45="","",IF($M45,IF(AND($G45&gt;=AS$5,$G45&lt;AS$5+GanttPeriod),"◆",IF(AND($E45&gt;=AS$5,$E45&lt;AS$5+GanttPeriod),"◇","")),IF(AND(AS$5&lt;=$F45,AS$5+GanttPeriod-1&gt;=$E45),"━","")))</f>
        <v/>
      </c>
      <c r="AT45" s="69" t="str">
        <f aca="false">IF($E45="","",IF($M45,IF(AND($G45&gt;=AT$5,$G45&lt;AT$5+GanttPeriod),"◆",IF(AND($E45&gt;=AT$5,$E45&lt;AT$5+GanttPeriod),"◇","")),IF(AND(AT$5&lt;=$F45,AT$5+GanttPeriod-1&gt;=$E45),"━","")))</f>
        <v/>
      </c>
      <c r="AU45" s="69" t="str">
        <f aca="false">IF($E45="","",IF($M45,IF(AND($G45&gt;=AU$5,$G45&lt;AU$5+GanttPeriod),"◆",IF(AND($E45&gt;=AU$5,$E45&lt;AU$5+GanttPeriod),"◇","")),IF(AND(AU$5&lt;=$F45,AU$5+GanttPeriod-1&gt;=$E45),"━","")))</f>
        <v/>
      </c>
      <c r="AV45" s="69" t="str">
        <f aca="false">IF($E45="","",IF($M45,IF(AND($G45&gt;=AV$5,$G45&lt;AV$5+GanttPeriod),"◆",IF(AND($E45&gt;=AV$5,$E45&lt;AV$5+GanttPeriod),"◇","")),IF(AND(AV$5&lt;=$F45,AV$5+GanttPeriod-1&gt;=$E45),"━","")))</f>
        <v/>
      </c>
      <c r="AW45" s="69" t="str">
        <f aca="false">IF($E45="","",IF($M45,IF(AND($G45&gt;=AW$5,$G45&lt;AW$5+GanttPeriod),"◆",IF(AND($E45&gt;=AW$5,$E45&lt;AW$5+GanttPeriod),"◇","")),IF(AND(AW$5&lt;=$F45,AW$5+GanttPeriod-1&gt;=$E45),"━","")))</f>
        <v/>
      </c>
      <c r="AX45" s="69" t="str">
        <f aca="false">IF($E45="","",IF($M45,IF(AND($G45&gt;=AX$5,$G45&lt;AX$5+GanttPeriod),"◆",IF(AND($E45&gt;=AX$5,$E45&lt;AX$5+GanttPeriod),"◇","")),IF(AND(AX$5&lt;=$F45,AX$5+GanttPeriod-1&gt;=$E45),"━","")))</f>
        <v/>
      </c>
      <c r="AY45" s="69" t="str">
        <f aca="false">IF($E45="","",IF($M45,IF(AND($G45&gt;=AY$5,$G45&lt;AY$5+GanttPeriod),"◆",IF(AND($E45&gt;=AY$5,$E45&lt;AY$5+GanttPeriod),"◇","")),IF(AND(AY$5&lt;=$F45,AY$5+GanttPeriod-1&gt;=$E45),"━","")))</f>
        <v/>
      </c>
      <c r="AZ45" s="69" t="str">
        <f aca="false">IF($E45="","",IF($M45,IF(AND($G45&gt;=AZ$5,$G45&lt;AZ$5+GanttPeriod),"◆",IF(AND($E45&gt;=AZ$5,$E45&lt;AZ$5+GanttPeriod),"◇","")),IF(AND(AZ$5&lt;=$F45,AZ$5+GanttPeriod-1&gt;=$E45),"━","")))</f>
        <v/>
      </c>
      <c r="BA45" s="69" t="str">
        <f aca="false">IF($E45="","",IF($M45,IF(AND($G45&gt;=BA$5,$G45&lt;BA$5+GanttPeriod),"◆",IF(AND($E45&gt;=BA$5,$E45&lt;BA$5+GanttPeriod),"◇","")),IF(AND(BA$5&lt;=$F45,BA$5+GanttPeriod-1&gt;=$E45),"━","")))</f>
        <v/>
      </c>
      <c r="BB45" s="69" t="str">
        <f aca="false">IF($E45="","",IF($M45,IF(AND($G45&gt;=BB$5,$G45&lt;BB$5+GanttPeriod),"◆",IF(AND($E45&gt;=BB$5,$E45&lt;BB$5+GanttPeriod),"◇","")),IF(AND(BB$5&lt;=$F45,BB$5+GanttPeriod-1&gt;=$E45),"━","")))</f>
        <v/>
      </c>
      <c r="BC45" s="69" t="str">
        <f aca="false">IF($E45="","",IF($M45,IF(AND($G45&gt;=BC$5,$G45&lt;BC$5+GanttPeriod),"◆",IF(AND($E45&gt;=BC$5,$E45&lt;BC$5+GanttPeriod),"◇","")),IF(AND(BC$5&lt;=$F45,BC$5+GanttPeriod-1&gt;=$E45),"━","")))</f>
        <v/>
      </c>
      <c r="BD45" s="69" t="str">
        <f aca="false">IF($E45="","",IF($M45,IF(AND($G45&gt;=BD$5,$G45&lt;BD$5+GanttPeriod),"◆",IF(AND($E45&gt;=BD$5,$E45&lt;BD$5+GanttPeriod),"◇","")),IF(AND(BD$5&lt;=$F45,BD$5+GanttPeriod-1&gt;=$E45),"━","")))</f>
        <v/>
      </c>
      <c r="BE45" s="69" t="str">
        <f aca="false">IF($E45="","",IF($M45,IF(AND($G45&gt;=BE$5,$G45&lt;BE$5+GanttPeriod),"◆",IF(AND($E45&gt;=BE$5,$E45&lt;BE$5+GanttPeriod),"◇","")),IF(AND(BE$5&lt;=$F45,BE$5+GanttPeriod-1&gt;=$E45),"━","")))</f>
        <v/>
      </c>
      <c r="BF45" s="69" t="str">
        <f aca="false">IF($E45="","",IF($M45,IF(AND($G45&gt;=BF$5,$G45&lt;BF$5+GanttPeriod),"◆",IF(AND($E45&gt;=BF$5,$E45&lt;BF$5+GanttPeriod),"◇","")),IF(AND(BF$5&lt;=$F45,BF$5+GanttPeriod-1&gt;=$E45),"━","")))</f>
        <v/>
      </c>
      <c r="BG45" s="69" t="str">
        <f aca="false">IF($E45="","",IF($M45,IF(AND($G45&gt;=BG$5,$G45&lt;BG$5+GanttPeriod),"◆",IF(AND($E45&gt;=BG$5,$E45&lt;BG$5+GanttPeriod),"◇","")),IF(AND(BG$5&lt;=$F45,BG$5+GanttPeriod-1&gt;=$E45),"━","")))</f>
        <v/>
      </c>
      <c r="BH45" s="69" t="str">
        <f aca="false">IF($E45="","",IF($M45,IF(AND($G45&gt;=BH$5,$G45&lt;BH$5+GanttPeriod),"◆",IF(AND($E45&gt;=BH$5,$E45&lt;BH$5+GanttPeriod),"◇","")),IF(AND(BH$5&lt;=$F45,BH$5+GanttPeriod-1&gt;=$E45),"━","")))</f>
        <v/>
      </c>
      <c r="BI45" s="69" t="str">
        <f aca="false">IF($E45="","",IF($M45,IF(AND($G45&gt;=BI$5,$G45&lt;BI$5+GanttPeriod),"◆",IF(AND($E45&gt;=BI$5,$E45&lt;BI$5+GanttPeriod),"◇","")),IF(AND(BI$5&lt;=$F45,BI$5+GanttPeriod-1&gt;=$E45),"━","")))</f>
        <v/>
      </c>
      <c r="BJ45" s="69" t="str">
        <f aca="false">IF($E45="","",IF($M45,IF(AND($G45&gt;=BJ$5,$G45&lt;BJ$5+GanttPeriod),"◆",IF(AND($E45&gt;=BJ$5,$E45&lt;BJ$5+GanttPeriod),"◇","")),IF(AND(BJ$5&lt;=$F45,BJ$5+GanttPeriod-1&gt;=$E45),"━","")))</f>
        <v/>
      </c>
      <c r="BK45" s="69" t="str">
        <f aca="false">IF($E45="","",IF($M45,IF(AND($G45&gt;=BK$5,$G45&lt;BK$5+GanttPeriod),"◆",IF(AND($E45&gt;=BK$5,$E45&lt;BK$5+GanttPeriod),"◇","")),IF(AND(BK$5&lt;=$F45,BK$5+GanttPeriod-1&gt;=$E45),"━","")))</f>
        <v/>
      </c>
      <c r="BL45" s="69" t="str">
        <f aca="false">IF($E45="","",IF($M45,IF(AND($G45&gt;=BL$5,$G45&lt;BL$5+GanttPeriod),"◆",IF(AND($E45&gt;=BL$5,$E45&lt;BL$5+GanttPeriod),"◇","")),IF(AND(BL$5&lt;=$F45,BL$5+GanttPeriod-1&gt;=$E45),"━","")))</f>
        <v/>
      </c>
      <c r="BM45" s="69" t="str">
        <f aca="false">IF($E45="","",IF($M45,IF(AND($G45&gt;=BM$5,$G45&lt;BM$5+GanttPeriod),"◆",IF(AND($E45&gt;=BM$5,$E45&lt;BM$5+GanttPeriod),"◇","")),IF(AND(BM$5&lt;=$F45,BM$5+GanttPeriod-1&gt;=$E45),"━","")))</f>
        <v/>
      </c>
      <c r="BN45" s="69" t="str">
        <f aca="false">IF($E45="","",IF($M45,IF(AND($G45&gt;=BN$5,$G45&lt;BN$5+GanttPeriod),"◆",IF(AND($E45&gt;=BN$5,$E45&lt;BN$5+GanttPeriod),"◇","")),IF(AND(BN$5&lt;=$F45,BN$5+GanttPeriod-1&gt;=$E45),"━","")))</f>
        <v/>
      </c>
      <c r="BO45" s="69" t="str">
        <f aca="false">IF($E45="","",IF($M45,IF(AND($G45&gt;=BO$5,$G45&lt;BO$5+GanttPeriod),"◆",IF(AND($E45&gt;=BO$5,$E45&lt;BO$5+GanttPeriod),"◇","")),IF(AND(BO$5&lt;=$F45,BO$5+GanttPeriod-1&gt;=$E45),"━","")))</f>
        <v/>
      </c>
      <c r="BP45" s="69" t="str">
        <f aca="false">IF($E45="","",IF($M45,IF(AND($G45&gt;=BP$5,$G45&lt;BP$5+GanttPeriod),"◆",IF(AND($E45&gt;=BP$5,$E45&lt;BP$5+GanttPeriod),"◇","")),IF(AND(BP$5&lt;=$F45,BP$5+GanttPeriod-1&gt;=$E45),"━","")))</f>
        <v/>
      </c>
      <c r="BQ45" s="69" t="str">
        <f aca="false">IF($E45="","",IF($M45,IF(AND($G45&gt;=BQ$5,$G45&lt;BQ$5+GanttPeriod),"◆",IF(AND($E45&gt;=BQ$5,$E45&lt;BQ$5+GanttPeriod),"◇","")),IF(AND(BQ$5&lt;=$F45,BQ$5+GanttPeriod-1&gt;=$E45),"━","")))</f>
        <v/>
      </c>
      <c r="BR45" s="69" t="str">
        <f aca="false">IF($E45="","",IF($M45,IF(AND($G45&gt;=BR$5,$G45&lt;BR$5+GanttPeriod),"◆",IF(AND($E45&gt;=BR$5,$E45&lt;BR$5+GanttPeriod),"◇","")),IF(AND(BR$5&lt;=$F45,BR$5+GanttPeriod-1&gt;=$E45),"━","")))</f>
        <v/>
      </c>
      <c r="BS45" s="69" t="str">
        <f aca="false">IF($E45="","",IF($M45,IF(AND($G45&gt;=BS$5,$G45&lt;BS$5+GanttPeriod),"◆",IF(AND($E45&gt;=BS$5,$E45&lt;BS$5+GanttPeriod),"◇","")),IF(AND(BS$5&lt;=$F45,BS$5+GanttPeriod-1&gt;=$E45),"━","")))</f>
        <v/>
      </c>
      <c r="BT45" s="69" t="str">
        <f aca="false">IF($E45="","",IF($M45,IF(AND($G45&gt;=BT$5,$G45&lt;BT$5+GanttPeriod),"◆",IF(AND($E45&gt;=BT$5,$E45&lt;BT$5+GanttPeriod),"◇","")),IF(AND(BT$5&lt;=$F45,BT$5+GanttPeriod-1&gt;=$E45),"━","")))</f>
        <v/>
      </c>
      <c r="BU45" s="69" t="str">
        <f aca="false">IF($E45="","",IF($M45,IF(AND($G45&gt;=BU$5,$G45&lt;BU$5+GanttPeriod),"◆",IF(AND($E45&gt;=BU$5,$E45&lt;BU$5+GanttPeriod),"◇","")),IF(AND(BU$5&lt;=$F45,BU$5+GanttPeriod-1&gt;=$E45),"━","")))</f>
        <v/>
      </c>
      <c r="BV45" s="69" t="str">
        <f aca="false">IF($E45="","",IF($M45,IF(AND($G45&gt;=BV$5,$G45&lt;BV$5+GanttPeriod),"◆",IF(AND($E45&gt;=BV$5,$E45&lt;BV$5+GanttPeriod),"◇","")),IF(AND(BV$5&lt;=$F45,BV$5+GanttPeriod-1&gt;=$E45),"━","")))</f>
        <v/>
      </c>
      <c r="BW45" s="69" t="str">
        <f aca="false">IF($E45="","",IF($M45,IF(AND($G45&gt;=BW$5,$G45&lt;BW$5+GanttPeriod),"◆",IF(AND($E45&gt;=BW$5,$E45&lt;BW$5+GanttPeriod),"◇","")),IF(AND(BW$5&lt;=$F45,BW$5+GanttPeriod-1&gt;=$E45),"━","")))</f>
        <v/>
      </c>
      <c r="BX45" s="69" t="str">
        <f aca="false">IF($E45="","",IF($M45,IF(AND($G45&gt;=BX$5,$G45&lt;BX$5+GanttPeriod),"◆",IF(AND($E45&gt;=BX$5,$E45&lt;BX$5+GanttPeriod),"◇","")),IF(AND(BX$5&lt;=$F45,BX$5+GanttPeriod-1&gt;=$E45),"━","")))</f>
        <v/>
      </c>
      <c r="BY45" s="69" t="str">
        <f aca="false">IF($E45="","",IF($M45,IF(AND($G45&gt;=BY$5,$G45&lt;BY$5+GanttPeriod),"◆",IF(AND($E45&gt;=BY$5,$E45&lt;BY$5+GanttPeriod),"◇","")),IF(AND(BY$5&lt;=$F45,BY$5+GanttPeriod-1&gt;=$E45),"━","")))</f>
        <v/>
      </c>
      <c r="BZ45" s="69" t="str">
        <f aca="false">IF($E45="","",IF($M45,IF(AND($G45&gt;=BZ$5,$G45&lt;BZ$5+GanttPeriod),"◆",IF(AND($E45&gt;=BZ$5,$E45&lt;BZ$5+GanttPeriod),"◇","")),IF(AND(BZ$5&lt;=$F45,BZ$5+GanttPeriod-1&gt;=$E45),"━","")))</f>
        <v/>
      </c>
      <c r="CA45" s="69" t="str">
        <f aca="false">IF($E45="","",IF($M45,IF(AND($G45&gt;=CA$5,$G45&lt;CA$5+GanttPeriod),"◆",IF(AND($E45&gt;=CA$5,$E45&lt;CA$5+GanttPeriod),"◇","")),IF(AND(CA$5&lt;=$F45,CA$5+GanttPeriod-1&gt;=$E45),"━","")))</f>
        <v/>
      </c>
      <c r="CB45" s="69" t="str">
        <f aca="false">IF($E45="","",IF($M45,IF(AND($G45&gt;=CB$5,$G45&lt;CB$5+GanttPeriod),"◆",IF(AND($E45&gt;=CB$5,$E45&lt;CB$5+GanttPeriod),"◇","")),IF(AND(CB$5&lt;=$F45,CB$5+GanttPeriod-1&gt;=$E45),"━","")))</f>
        <v/>
      </c>
      <c r="CC45" s="69" t="str">
        <f aca="false">IF($E45="","",IF($M45,IF(AND($G45&gt;=CC$5,$G45&lt;CC$5+GanttPeriod),"◆",IF(AND($E45&gt;=CC$5,$E45&lt;CC$5+GanttPeriod),"◇","")),IF(AND(CC$5&lt;=$F45,CC$5+GanttPeriod-1&gt;=$E45),"━","")))</f>
        <v/>
      </c>
      <c r="CD45" s="69" t="str">
        <f aca="false">IF($E45="","",IF($M45,IF(AND($G45&gt;=CD$5,$G45&lt;CD$5+GanttPeriod),"◆",IF(AND($E45&gt;=CD$5,$E45&lt;CD$5+GanttPeriod),"◇","")),IF(AND(CD$5&lt;=$F45,CD$5+GanttPeriod-1&gt;=$E45),"━","")))</f>
        <v/>
      </c>
      <c r="CE45" s="69" t="str">
        <f aca="false">IF($E45="","",IF($M45,IF(AND($G45&gt;=CE$5,$G45&lt;CE$5+GanttPeriod),"◆",IF(AND($E45&gt;=CE$5,$E45&lt;CE$5+GanttPeriod),"◇","")),IF(AND(CE$5&lt;=$F45,CE$5+GanttPeriod-1&gt;=$E45),"━","")))</f>
        <v/>
      </c>
      <c r="CF45" s="69" t="str">
        <f aca="false">IF($E45="","",IF($M45,IF(AND($G45&gt;=CF$5,$G45&lt;CF$5+GanttPeriod),"◆",IF(AND($E45&gt;=CF$5,$E45&lt;CF$5+GanttPeriod),"◇","")),IF(AND(CF$5&lt;=$F45,CF$5+GanttPeriod-1&gt;=$E45),"━","")))</f>
        <v/>
      </c>
      <c r="CG45" s="69" t="str">
        <f aca="false">IF($E45="","",IF($M45,IF(AND($G45&gt;=CG$5,$G45&lt;CG$5+GanttPeriod),"◆",IF(AND($E45&gt;=CG$5,$E45&lt;CG$5+GanttPeriod),"◇","")),IF(AND(CG$5&lt;=$F45,CG$5+GanttPeriod-1&gt;=$E45),"━","")))</f>
        <v/>
      </c>
      <c r="CH45" s="69" t="str">
        <f aca="false">IF($E45="","",IF($M45,IF(AND($G45&gt;=CH$5,$G45&lt;CH$5+GanttPeriod),"◆",IF(AND($E45&gt;=CH$5,$E45&lt;CH$5+GanttPeriod),"◇","")),IF(AND(CH$5&lt;=$F45,CH$5+GanttPeriod-1&gt;=$E45),"━","")))</f>
        <v/>
      </c>
      <c r="CI45" s="69" t="str">
        <f aca="false">IF($E45="","",IF($M45,IF(AND($G45&gt;=CI$5,$G45&lt;CI$5+GanttPeriod),"◆",IF(AND($E45&gt;=CI$5,$E45&lt;CI$5+GanttPeriod),"◇","")),IF(AND(CI$5&lt;=$F45,CI$5+GanttPeriod-1&gt;=$E45),"━","")))</f>
        <v/>
      </c>
      <c r="CJ45" s="69" t="str">
        <f aca="false">IF($E45="","",IF($M45,IF(AND($G45&gt;=CJ$5,$G45&lt;CJ$5+GanttPeriod),"◆",IF(AND($E45&gt;=CJ$5,$E45&lt;CJ$5+GanttPeriod),"◇","")),IF(AND(CJ$5&lt;=$F45,CJ$5+GanttPeriod-1&gt;=$E45),"━","")))</f>
        <v/>
      </c>
      <c r="CK45" s="69" t="str">
        <f aca="false">IF($E45="","",IF($M45,IF(AND($G45&gt;=CK$5,$G45&lt;CK$5+GanttPeriod),"◆",IF(AND($E45&gt;=CK$5,$E45&lt;CK$5+GanttPeriod),"◇","")),IF(AND(CK$5&lt;=$F45,CK$5+GanttPeriod-1&gt;=$E45),"━","")))</f>
        <v/>
      </c>
      <c r="CL45" s="69" t="str">
        <f aca="false">IF($E45="","",IF($M45,IF(AND($G45&gt;=CL$5,$G45&lt;CL$5+GanttPeriod),"◆",IF(AND($E45&gt;=CL$5,$E45&lt;CL$5+GanttPeriod),"◇","")),IF(AND(CL$5&lt;=$F45,CL$5+GanttPeriod-1&gt;=$E45),"━","")))</f>
        <v/>
      </c>
      <c r="CM45" s="69" t="str">
        <f aca="false">IF($E45="","",IF($M45,IF(AND($G45&gt;=CM$5,$G45&lt;CM$5+GanttPeriod),"◆",IF(AND($E45&gt;=CM$5,$E45&lt;CM$5+GanttPeriod),"◇","")),IF(AND(CM$5&lt;=$F45,CM$5+GanttPeriod-1&gt;=$E45),"━","")))</f>
        <v/>
      </c>
      <c r="CN45" s="69" t="str">
        <f aca="false">IF($E45="","",IF($M45,IF(AND($G45&gt;=CN$5,$G45&lt;CN$5+GanttPeriod),"◆",IF(AND($E45&gt;=CN$5,$E45&lt;CN$5+GanttPeriod),"◇","")),IF(AND(CN$5&lt;=$F45,CN$5+GanttPeriod-1&gt;=$E45),"━","")))</f>
        <v/>
      </c>
      <c r="CO45" s="69" t="str">
        <f aca="false">IF($E45="","",IF($M45,IF(AND($G45&gt;=CO$5,$G45&lt;CO$5+GanttPeriod),"◆",IF(AND($E45&gt;=CO$5,$E45&lt;CO$5+GanttPeriod),"◇","")),IF(AND(CO$5&lt;=$F45,CO$5+GanttPeriod-1&gt;=$E45),"━","")))</f>
        <v/>
      </c>
      <c r="CP45" s="69" t="str">
        <f aca="false">IF($E45="","",IF($M45,IF(AND($G45&gt;=CP$5,$G45&lt;CP$5+GanttPeriod),"◆",IF(AND($E45&gt;=CP$5,$E45&lt;CP$5+GanttPeriod),"◇","")),IF(AND(CP$5&lt;=$F45,CP$5+GanttPeriod-1&gt;=$E45),"━","")))</f>
        <v/>
      </c>
      <c r="CQ45" s="69" t="str">
        <f aca="false">IF($E45="","",IF($M45,IF(AND($G45&gt;=CQ$5,$G45&lt;CQ$5+GanttPeriod),"◆",IF(AND($E45&gt;=CQ$5,$E45&lt;CQ$5+GanttPeriod),"◇","")),IF(AND(CQ$5&lt;=$F45,CQ$5+GanttPeriod-1&gt;=$E45),"━","")))</f>
        <v/>
      </c>
      <c r="CR45" s="69" t="str">
        <f aca="false">IF($E45="","",IF($M45,IF(AND($G45&gt;=CR$5,$G45&lt;CR$5+GanttPeriod),"◆",IF(AND($E45&gt;=CR$5,$E45&lt;CR$5+GanttPeriod),"◇","")),IF(AND(CR$5&lt;=$F45,CR$5+GanttPeriod-1&gt;=$E45),"━","")))</f>
        <v/>
      </c>
      <c r="CS45" s="69" t="str">
        <f aca="false">IF($E45="","",IF($M45,IF(AND($G45&gt;=CS$5,$G45&lt;CS$5+GanttPeriod),"◆",IF(AND($E45&gt;=CS$5,$E45&lt;CS$5+GanttPeriod),"◇","")),IF(AND(CS$5&lt;=$F45,CS$5+GanttPeriod-1&gt;=$E45),"━","")))</f>
        <v/>
      </c>
      <c r="CT45" s="69" t="str">
        <f aca="false">IF($E45="","",IF($M45,IF(AND($G45&gt;=CT$5,$G45&lt;CT$5+GanttPeriod),"◆",IF(AND($E45&gt;=CT$5,$E45&lt;CT$5+GanttPeriod),"◇","")),IF(AND(CT$5&lt;=$F45,CT$5+GanttPeriod-1&gt;=$E45),"━","")))</f>
        <v/>
      </c>
      <c r="CU45" s="69" t="str">
        <f aca="false">IF($E45="","",IF($M45,IF(AND($G45&gt;=CU$5,$G45&lt;CU$5+GanttPeriod),"◆",IF(AND($E45&gt;=CU$5,$E45&lt;CU$5+GanttPeriod),"◇","")),IF(AND(CU$5&lt;=$F45,CU$5+GanttPeriod-1&gt;=$E45),"━","")))</f>
        <v/>
      </c>
      <c r="CV45" s="69" t="str">
        <f aca="false">IF($E45="","",IF($M45,IF(AND($G45&gt;=CV$5,$G45&lt;CV$5+GanttPeriod),"◆",IF(AND($E45&gt;=CV$5,$E45&lt;CV$5+GanttPeriod),"◇","")),IF(AND(CV$5&lt;=$F45,CV$5+GanttPeriod-1&gt;=$E45),"━","")))</f>
        <v/>
      </c>
      <c r="CW45" s="69" t="str">
        <f aca="false">IF($E45="","",IF($M45,IF(AND($G45&gt;=CW$5,$G45&lt;CW$5+GanttPeriod),"◆",IF(AND($E45&gt;=CW$5,$E45&lt;CW$5+GanttPeriod),"◇","")),IF(AND(CW$5&lt;=$F45,CW$5+GanttPeriod-1&gt;=$E45),"━","")))</f>
        <v/>
      </c>
      <c r="CX45" s="69" t="str">
        <f aca="false">IF($E45="","",IF($M45,IF(AND($G45&gt;=CX$5,$G45&lt;CX$5+GanttPeriod),"◆",IF(AND($E45&gt;=CX$5,$E45&lt;CX$5+GanttPeriod),"◇","")),IF(AND(CX$5&lt;=$F45,CX$5+GanttPeriod-1&gt;=$E45),"━","")))</f>
        <v/>
      </c>
      <c r="CY45" s="69" t="str">
        <f aca="false">IF($E45="","",IF($M45,IF(AND($G45&gt;=CY$5,$G45&lt;CY$5+GanttPeriod),"◆",IF(AND($E45&gt;=CY$5,$E45&lt;CY$5+GanttPeriod),"◇","")),IF(AND(CY$5&lt;=$F45,CY$5+GanttPeriod-1&gt;=$E45),"━","")))</f>
        <v/>
      </c>
      <c r="CZ45" s="69" t="str">
        <f aca="false">IF($E45="","",IF($M45,IF(AND($G45&gt;=CZ$5,$G45&lt;CZ$5+GanttPeriod),"◆",IF(AND($E45&gt;=CZ$5,$E45&lt;CZ$5+GanttPeriod),"◇","")),IF(AND(CZ$5&lt;=$F45,CZ$5+GanttPeriod-1&gt;=$E45),"━","")))</f>
        <v/>
      </c>
      <c r="DA45" s="69" t="str">
        <f aca="false">IF($E45="","",IF($M45,IF(AND($G45&gt;=DA$5,$G45&lt;DA$5+GanttPeriod),"◆",IF(AND($E45&gt;=DA$5,$E45&lt;DA$5+GanttPeriod),"◇","")),IF(AND(DA$5&lt;=$F45,DA$5+GanttPeriod-1&gt;=$E45),"━","")))</f>
        <v/>
      </c>
      <c r="DB45" s="69" t="str">
        <f aca="false">IF($E45="","",IF($M45,IF(AND($G45&gt;=DB$5,$G45&lt;DB$5+GanttPeriod),"◆",IF(AND($E45&gt;=DB$5,$E45&lt;DB$5+GanttPeriod),"◇","")),IF(AND(DB$5&lt;=$F45,DB$5+GanttPeriod-1&gt;=$E45),"━","")))</f>
        <v/>
      </c>
      <c r="DC45" s="69" t="str">
        <f aca="false">IF($E45="","",IF($M45,IF(AND($G45&gt;=DC$5,$G45&lt;DC$5+GanttPeriod),"◆",IF(AND($E45&gt;=DC$5,$E45&lt;DC$5+GanttPeriod),"◇","")),IF(AND(DC$5&lt;=$F45,DC$5+GanttPeriod-1&gt;=$E45),"━","")))</f>
        <v/>
      </c>
      <c r="DD45" s="69" t="str">
        <f aca="false">IF($E45="","",IF($M45,IF(AND($G45&gt;=DD$5,$G45&lt;DD$5+GanttPeriod),"◆",IF(AND($E45&gt;=DD$5,$E45&lt;DD$5+GanttPeriod),"◇","")),IF(AND(DD$5&lt;=$F45,DD$5+GanttPeriod-1&gt;=$E45),"━","")))</f>
        <v/>
      </c>
      <c r="DE45" s="69" t="str">
        <f aca="false">IF($E45="","",IF($M45,IF(AND($G45&gt;=DE$5,$G45&lt;DE$5+GanttPeriod),"◆",IF(AND($E45&gt;=DE$5,$E45&lt;DE$5+GanttPeriod),"◇","")),IF(AND(DE$5&lt;=$F45,DE$5+GanttPeriod-1&gt;=$E45),"━","")))</f>
        <v/>
      </c>
      <c r="DF45" s="69" t="str">
        <f aca="false">IF($E45="","",IF($M45,IF(AND($G45&gt;=DF$5,$G45&lt;DF$5+GanttPeriod),"◆",IF(AND($E45&gt;=DF$5,$E45&lt;DF$5+GanttPeriod),"◇","")),IF(AND(DF$5&lt;=$F45,DF$5+GanttPeriod-1&gt;=$E45),"━","")))</f>
        <v/>
      </c>
      <c r="DG45" s="69" t="str">
        <f aca="false">IF($E45="","",IF($M45,IF(AND($G45&gt;=DG$5,$G45&lt;DG$5+GanttPeriod),"◆",IF(AND($E45&gt;=DG$5,$E45&lt;DG$5+GanttPeriod),"◇","")),IF(AND(DG$5&lt;=$F45,DG$5+GanttPeriod-1&gt;=$E45),"━","")))</f>
        <v/>
      </c>
      <c r="DH45" s="69" t="str">
        <f aca="false">IF($E45="","",IF($M45,IF(AND($G45&gt;=DH$5,$G45&lt;DH$5+GanttPeriod),"◆",IF(AND($E45&gt;=DH$5,$E45&lt;DH$5+GanttPeriod),"◇","")),IF(AND(DH$5&lt;=$F45,DH$5+GanttPeriod-1&gt;=$E45),"━","")))</f>
        <v/>
      </c>
      <c r="DI45" s="69" t="str">
        <f aca="false">IF($E45="","",IF($M45,IF(AND($G45&gt;=DI$5,$G45&lt;DI$5+GanttPeriod),"◆",IF(AND($E45&gt;=DI$5,$E45&lt;DI$5+GanttPeriod),"◇","")),IF(AND(DI$5&lt;=$F45,DI$5+GanttPeriod-1&gt;=$E45),"━","")))</f>
        <v/>
      </c>
      <c r="DJ45" s="69" t="str">
        <f aca="false">IF($E45="","",IF($M45,IF(AND($G45&gt;=DJ$5,$G45&lt;DJ$5+GanttPeriod),"◆",IF(AND($E45&gt;=DJ$5,$E45&lt;DJ$5+GanttPeriod),"◇","")),IF(AND(DJ$5&lt;=$F45,DJ$5+GanttPeriod-1&gt;=$E45),"━","")))</f>
        <v/>
      </c>
      <c r="DK45" s="69" t="str">
        <f aca="false">IF($E45="","",IF($M45,IF(AND($G45&gt;=DK$5,$G45&lt;DK$5+GanttPeriod),"◆",IF(AND($E45&gt;=DK$5,$E45&lt;DK$5+GanttPeriod),"◇","")),IF(AND(DK$5&lt;=$F45,DK$5+GanttPeriod-1&gt;=$E45),"━","")))</f>
        <v/>
      </c>
      <c r="DL45" s="69" t="str">
        <f aca="false">IF($E45="","",IF($M45,IF(AND($G45&gt;=DL$5,$G45&lt;DL$5+GanttPeriod),"◆",IF(AND($E45&gt;=DL$5,$E45&lt;DL$5+GanttPeriod),"◇","")),IF(AND(DL$5&lt;=$F45,DL$5+GanttPeriod-1&gt;=$E45),"━","")))</f>
        <v/>
      </c>
      <c r="DM45" s="69" t="str">
        <f aca="false">IF($E45="","",IF($M45,IF(AND($G45&gt;=DM$5,$G45&lt;DM$5+GanttPeriod),"◆",IF(AND($E45&gt;=DM$5,$E45&lt;DM$5+GanttPeriod),"◇","")),IF(AND(DM$5&lt;=$F45,DM$5+GanttPeriod-1&gt;=$E45),"━","")))</f>
        <v/>
      </c>
      <c r="DN45" s="69" t="str">
        <f aca="false">IF($E45="","",IF($M45,IF(AND($G45&gt;=DN$5,$G45&lt;DN$5+GanttPeriod),"◆",IF(AND($E45&gt;=DN$5,$E45&lt;DN$5+GanttPeriod),"◇","")),IF(AND(DN$5&lt;=$F45,DN$5+GanttPeriod-1&gt;=$E45),"━","")))</f>
        <v/>
      </c>
      <c r="DO45" s="69" t="str">
        <f aca="false">IF($E45="","",IF($M45,IF(AND($G45&gt;=DO$5,$G45&lt;DO$5+GanttPeriod),"◆",IF(AND($E45&gt;=DO$5,$E45&lt;DO$5+GanttPeriod),"◇","")),IF(AND(DO$5&lt;=$F45,DO$5+GanttPeriod-1&gt;=$E45),"━","")))</f>
        <v/>
      </c>
      <c r="DP45" s="69" t="str">
        <f aca="false">IF($E45="","",IF($M45,IF(AND($G45&gt;=DP$5,$G45&lt;DP$5+GanttPeriod),"◆",IF(AND($E45&gt;=DP$5,$E45&lt;DP$5+GanttPeriod),"◇","")),IF(AND(DP$5&lt;=$F45,DP$5+GanttPeriod-1&gt;=$E45),"━","")))</f>
        <v/>
      </c>
      <c r="DQ45" s="69" t="str">
        <f aca="false">IF($E45="","",IF($M45,IF(AND($G45&gt;=DQ$5,$G45&lt;DQ$5+GanttPeriod),"◆",IF(AND($E45&gt;=DQ$5,$E45&lt;DQ$5+GanttPeriod),"◇","")),IF(AND(DQ$5&lt;=$F45,DQ$5+GanttPeriod-1&gt;=$E45),"━","")))</f>
        <v/>
      </c>
      <c r="DR45" s="69" t="str">
        <f aca="false">IF($E45="","",IF($M45,IF(AND($G45&gt;=DR$5,$G45&lt;DR$5+GanttPeriod),"◆",IF(AND($E45&gt;=DR$5,$E45&lt;DR$5+GanttPeriod),"◇","")),IF(AND(DR$5&lt;=$F45,DR$5+GanttPeriod-1&gt;=$E45),"━","")))</f>
        <v/>
      </c>
      <c r="DS45" s="69" t="str">
        <f aca="false">IF($E45="","",IF($M45,IF(AND($G45&gt;=DS$5,$G45&lt;DS$5+GanttPeriod),"◆",IF(AND($E45&gt;=DS$5,$E45&lt;DS$5+GanttPeriod),"◇","")),IF(AND(DS$5&lt;=$F45,DS$5+GanttPeriod-1&gt;=$E45),"━","")))</f>
        <v/>
      </c>
      <c r="DT45" s="69" t="str">
        <f aca="false">IF($E45="","",IF($M45,IF(AND($G45&gt;=DT$5,$G45&lt;DT$5+GanttPeriod),"◆",IF(AND($E45&gt;=DT$5,$E45&lt;DT$5+GanttPeriod),"◇","")),IF(AND(DT$5&lt;=$F45,DT$5+GanttPeriod-1&gt;=$E45),"━","")))</f>
        <v/>
      </c>
      <c r="DU45" s="69" t="str">
        <f aca="false">IF($E45="","",IF($M45,IF(AND($G45&gt;=DU$5,$G45&lt;DU$5+GanttPeriod),"◆",IF(AND($E45&gt;=DU$5,$E45&lt;DU$5+GanttPeriod),"◇","")),IF(AND(DU$5&lt;=$F45,DU$5+GanttPeriod-1&gt;=$E45),"━","")))</f>
        <v/>
      </c>
      <c r="DV45" s="69" t="str">
        <f aca="false">IF($E45="","",IF($M45,IF(AND($G45&gt;=DV$5,$G45&lt;DV$5+GanttPeriod),"◆",IF(AND($E45&gt;=DV$5,$E45&lt;DV$5+GanttPeriod),"◇","")),IF(AND(DV$5&lt;=$F45,DV$5+GanttPeriod-1&gt;=$E45),"━","")))</f>
        <v/>
      </c>
      <c r="DW45" s="69" t="str">
        <f aca="false">IF($E45="","",IF($M45,IF(AND($G45&gt;=DW$5,$G45&lt;DW$5+GanttPeriod),"◆",IF(AND($E45&gt;=DW$5,$E45&lt;DW$5+GanttPeriod),"◇","")),IF(AND(DW$5&lt;=$F45,DW$5+GanttPeriod-1&gt;=$E45),"━","")))</f>
        <v/>
      </c>
      <c r="DX45" s="69" t="str">
        <f aca="false">IF($E45="","",IF($M45,IF(AND($G45&gt;=DX$5,$G45&lt;DX$5+GanttPeriod),"◆",IF(AND($E45&gt;=DX$5,$E45&lt;DX$5+GanttPeriod),"◇","")),IF(AND(DX$5&lt;=$F45,DX$5+GanttPeriod-1&gt;=$E45),"━","")))</f>
        <v/>
      </c>
      <c r="DY45" s="69" t="str">
        <f aca="false">IF($E45="","",IF($M45,IF(AND($G45&gt;=DY$5,$G45&lt;DY$5+GanttPeriod),"◆",IF(AND($E45&gt;=DY$5,$E45&lt;DY$5+GanttPeriod),"◇","")),IF(AND(DY$5&lt;=$F45,DY$5+GanttPeriod-1&gt;=$E45),"━","")))</f>
        <v/>
      </c>
      <c r="DZ45" s="69" t="str">
        <f aca="false">IF($E45="","",IF($M45,IF(AND($G45&gt;=DZ$5,$G45&lt;DZ$5+GanttPeriod),"◆",IF(AND($E45&gt;=DZ$5,$E45&lt;DZ$5+GanttPeriod),"◇","")),IF(AND(DZ$5&lt;=$F45,DZ$5+GanttPeriod-1&gt;=$E45),"━","")))</f>
        <v/>
      </c>
      <c r="EA45" s="69" t="str">
        <f aca="false">IF($E45="","",IF($M45,IF(AND($G45&gt;=EA$5,$G45&lt;EA$5+GanttPeriod),"◆",IF(AND($E45&gt;=EA$5,$E45&lt;EA$5+GanttPeriod),"◇","")),IF(AND(EA$5&lt;=$F45,EA$5+GanttPeriod-1&gt;=$E45),"━","")))</f>
        <v/>
      </c>
      <c r="EB45" s="69" t="str">
        <f aca="false">IF($E45="","",IF($M45,IF(AND($G45&gt;=EB$5,$G45&lt;EB$5+GanttPeriod),"◆",IF(AND($E45&gt;=EB$5,$E45&lt;EB$5+GanttPeriod),"◇","")),IF(AND(EB$5&lt;=$F45,EB$5+GanttPeriod-1&gt;=$E45),"━","")))</f>
        <v/>
      </c>
      <c r="EC45" s="69" t="str">
        <f aca="false">IF($E45="","",IF($M45,IF(AND($G45&gt;=EC$5,$G45&lt;EC$5+GanttPeriod),"◆",IF(AND($E45&gt;=EC$5,$E45&lt;EC$5+GanttPeriod),"◇","")),IF(AND(EC$5&lt;=$F45,EC$5+GanttPeriod-1&gt;=$E45),"━","")))</f>
        <v/>
      </c>
      <c r="ED45" s="69" t="str">
        <f aca="false">IF($E45="","",IF($M45,IF(AND($G45&gt;=ED$5,$G45&lt;ED$5+GanttPeriod),"◆",IF(AND($E45&gt;=ED$5,$E45&lt;ED$5+GanttPeriod),"◇","")),IF(AND(ED$5&lt;=$F45,ED$5+GanttPeriod-1&gt;=$E45),"━","")))</f>
        <v/>
      </c>
      <c r="EE45" s="69" t="str">
        <f aca="false">IF($E45="","",IF($M45,IF(AND($G45&gt;=EE$5,$G45&lt;EE$5+GanttPeriod),"◆",IF(AND($E45&gt;=EE$5,$E45&lt;EE$5+GanttPeriod),"◇","")),IF(AND(EE$5&lt;=$F45,EE$5+GanttPeriod-1&gt;=$E45),"━","")))</f>
        <v/>
      </c>
      <c r="EF45" s="69" t="str">
        <f aca="false">IF($E45="","",IF($M45,IF(AND($G45&gt;=EF$5,$G45&lt;EF$5+GanttPeriod),"◆",IF(AND($E45&gt;=EF$5,$E45&lt;EF$5+GanttPeriod),"◇","")),IF(AND(EF$5&lt;=$F45,EF$5+GanttPeriod-1&gt;=$E45),"━","")))</f>
        <v/>
      </c>
      <c r="EG45" s="69" t="str">
        <f aca="false">IF($E45="","",IF($M45,IF(AND($G45&gt;=EG$5,$G45&lt;EG$5+GanttPeriod),"◆",IF(AND($E45&gt;=EG$5,$E45&lt;EG$5+GanttPeriod),"◇","")),IF(AND(EG$5&lt;=$F45,EG$5+GanttPeriod-1&gt;=$E45),"━","")))</f>
        <v/>
      </c>
      <c r="EH45" s="69" t="str">
        <f aca="false">IF($E45="","",IF($M45,IF(AND($G45&gt;=EH$5,$G45&lt;EH$5+GanttPeriod),"◆",IF(AND($E45&gt;=EH$5,$E45&lt;EH$5+GanttPeriod),"◇","")),IF(AND(EH$5&lt;=$F45,EH$5+GanttPeriod-1&gt;=$E45),"━","")))</f>
        <v/>
      </c>
      <c r="EI45" s="69" t="str">
        <f aca="false">IF($E45="","",IF($M45,IF(AND($G45&gt;=EI$5,$G45&lt;EI$5+GanttPeriod),"◆",IF(AND($E45&gt;=EI$5,$E45&lt;EI$5+GanttPeriod),"◇","")),IF(AND(EI$5&lt;=$F45,EI$5+GanttPeriod-1&gt;=$E45),"━","")))</f>
        <v/>
      </c>
      <c r="EJ45" s="69" t="str">
        <f aca="false">IF($E45="","",IF($M45,IF(AND($G45&gt;=EJ$5,$G45&lt;EJ$5+GanttPeriod),"◆",IF(AND($E45&gt;=EJ$5,$E45&lt;EJ$5+GanttPeriod),"◇","")),IF(AND(EJ$5&lt;=$F45,EJ$5+GanttPeriod-1&gt;=$E45),"━","")))</f>
        <v/>
      </c>
      <c r="EK45" s="69" t="str">
        <f aca="false">IF($E45="","",IF($M45,IF(AND($G45&gt;=EK$5,$G45&lt;EK$5+GanttPeriod),"◆",IF(AND($E45&gt;=EK$5,$E45&lt;EK$5+GanttPeriod),"◇","")),IF(AND(EK$5&lt;=$F45,EK$5+GanttPeriod-1&gt;=$E45),"━","")))</f>
        <v/>
      </c>
      <c r="EL45" s="69" t="str">
        <f aca="false">IF($E45="","",IF($M45,IF(AND($G45&gt;=EL$5,$G45&lt;EL$5+GanttPeriod),"◆",IF(AND($E45&gt;=EL$5,$E45&lt;EL$5+GanttPeriod),"◇","")),IF(AND(EL$5&lt;=$F45,EL$5+GanttPeriod-1&gt;=$E45),"━","")))</f>
        <v/>
      </c>
      <c r="EM45" s="69" t="str">
        <f aca="false">IF($E45="","",IF($M45,IF(AND($G45&gt;=EM$5,$G45&lt;EM$5+GanttPeriod),"◆",IF(AND($E45&gt;=EM$5,$E45&lt;EM$5+GanttPeriod),"◇","")),IF(AND(EM$5&lt;=$F45,EM$5+GanttPeriod-1&gt;=$E45),"━","")))</f>
        <v/>
      </c>
      <c r="EN45" s="69" t="str">
        <f aca="false">IF($E45="","",IF($M45,IF(AND($G45&gt;=EN$5,$G45&lt;EN$5+GanttPeriod),"◆",IF(AND($E45&gt;=EN$5,$E45&lt;EN$5+GanttPeriod),"◇","")),IF(AND(EN$5&lt;=$F45,EN$5+GanttPeriod-1&gt;=$E45),"━","")))</f>
        <v/>
      </c>
      <c r="EO45" s="69" t="str">
        <f aca="false">IF($E45="","",IF($M45,IF(AND($G45&gt;=EO$5,$G45&lt;EO$5+GanttPeriod),"◆",IF(AND($E45&gt;=EO$5,$E45&lt;EO$5+GanttPeriod),"◇","")),IF(AND(EO$5&lt;=$F45,EO$5+GanttPeriod-1&gt;=$E45),"━","")))</f>
        <v/>
      </c>
      <c r="EP45" s="69" t="str">
        <f aca="false">IF($E45="","",IF($M45,IF(AND($G45&gt;=EP$5,$G45&lt;EP$5+GanttPeriod),"◆",IF(AND($E45&gt;=EP$5,$E45&lt;EP$5+GanttPeriod),"◇","")),IF(AND(EP$5&lt;=$F45,EP$5+GanttPeriod-1&gt;=$E45),"━","")))</f>
        <v/>
      </c>
      <c r="EQ45" s="69" t="str">
        <f aca="false">IF($E45="","",IF($M45,IF(AND($G45&gt;=EQ$5,$G45&lt;EQ$5+GanttPeriod),"◆",IF(AND($E45&gt;=EQ$5,$E45&lt;EQ$5+GanttPeriod),"◇","")),IF(AND(EQ$5&lt;=$F45,EQ$5+GanttPeriod-1&gt;=$E45),"━","")))</f>
        <v/>
      </c>
      <c r="ER45" s="69" t="str">
        <f aca="false">IF($E45="","",IF($M45,IF(AND($G45&gt;=ER$5,$G45&lt;ER$5+GanttPeriod),"◆",IF(AND($E45&gt;=ER$5,$E45&lt;ER$5+GanttPeriod),"◇","")),IF(AND(ER$5&lt;=$F45,ER$5+GanttPeriod-1&gt;=$E45),"━","")))</f>
        <v/>
      </c>
      <c r="ES45" s="69" t="str">
        <f aca="false">IF($E45="","",IF($M45,IF(AND($G45&gt;=ES$5,$G45&lt;ES$5+GanttPeriod),"◆",IF(AND($E45&gt;=ES$5,$E45&lt;ES$5+GanttPeriod),"◇","")),IF(AND(ES$5&lt;=$F45,ES$5+GanttPeriod-1&gt;=$E45),"━","")))</f>
        <v/>
      </c>
      <c r="ET45" s="69" t="str">
        <f aca="false">IF($E45="","",IF($M45,IF(AND($G45&gt;=ET$5,$G45&lt;ET$5+GanttPeriod),"◆",IF(AND($E45&gt;=ET$5,$E45&lt;ET$5+GanttPeriod),"◇","")),IF(AND(ET$5&lt;=$F45,ET$5+GanttPeriod-1&gt;=$E45),"━","")))</f>
        <v/>
      </c>
      <c r="EU45" s="69" t="str">
        <f aca="false">IF($E45="","",IF($M45,IF(AND($G45&gt;=EU$5,$G45&lt;EU$5+GanttPeriod),"◆",IF(AND($E45&gt;=EU$5,$E45&lt;EU$5+GanttPeriod),"◇","")),IF(AND(EU$5&lt;=$F45,EU$5+GanttPeriod-1&gt;=$E45),"━","")))</f>
        <v/>
      </c>
      <c r="EV45" s="69" t="str">
        <f aca="false">IF($E45="","",IF($M45,IF(AND($G45&gt;=EV$5,$G45&lt;EV$5+GanttPeriod),"◆",IF(AND($E45&gt;=EV$5,$E45&lt;EV$5+GanttPeriod),"◇","")),IF(AND(EV$5&lt;=$F45,EV$5+GanttPeriod-1&gt;=$E45),"━","")))</f>
        <v/>
      </c>
      <c r="EW45" s="69" t="str">
        <f aca="false">IF($E45="","",IF($M45,IF(AND($G45&gt;=EW$5,$G45&lt;EW$5+GanttPeriod),"◆",IF(AND($E45&gt;=EW$5,$E45&lt;EW$5+GanttPeriod),"◇","")),IF(AND(EW$5&lt;=$F45,EW$5+GanttPeriod-1&gt;=$E45),"━","")))</f>
        <v/>
      </c>
      <c r="EX45" s="69" t="str">
        <f aca="false">IF($E45="","",IF($M45,IF(AND($G45&gt;=EX$5,$G45&lt;EX$5+GanttPeriod),"◆",IF(AND($E45&gt;=EX$5,$E45&lt;EX$5+GanttPeriod),"◇","")),IF(AND(EX$5&lt;=$F45,EX$5+GanttPeriod-1&gt;=$E45),"━","")))</f>
        <v/>
      </c>
      <c r="EY45" s="69" t="str">
        <f aca="false">IF($E45="","",IF($M45,IF(AND($G45&gt;=EY$5,$G45&lt;EY$5+GanttPeriod),"◆",IF(AND($E45&gt;=EY$5,$E45&lt;EY$5+GanttPeriod),"◇","")),IF(AND(EY$5&lt;=$F45,EY$5+GanttPeriod-1&gt;=$E45),"━","")))</f>
        <v/>
      </c>
      <c r="EZ45" s="69" t="str">
        <f aca="false">IF($E45="","",IF($M45,IF(AND($G45&gt;=EZ$5,$G45&lt;EZ$5+GanttPeriod),"◆",IF(AND($E45&gt;=EZ$5,$E45&lt;EZ$5+GanttPeriod),"◇","")),IF(AND(EZ$5&lt;=$F45,EZ$5+GanttPeriod-1&gt;=$E45),"━","")))</f>
        <v/>
      </c>
      <c r="FA45" s="69" t="str">
        <f aca="false">IF($E45="","",IF($M45,IF(AND($G45&gt;=FA$5,$G45&lt;FA$5+GanttPeriod),"◆",IF(AND($E45&gt;=FA$5,$E45&lt;FA$5+GanttPeriod),"◇","")),IF(AND(FA$5&lt;=$F45,FA$5+GanttPeriod-1&gt;=$E45),"━","")))</f>
        <v/>
      </c>
      <c r="FB45" s="69" t="str">
        <f aca="false">IF($E45="","",IF($M45,IF(AND($G45&gt;=FB$5,$G45&lt;FB$5+GanttPeriod),"◆",IF(AND($E45&gt;=FB$5,$E45&lt;FB$5+GanttPeriod),"◇","")),IF(AND(FB$5&lt;=$F45,FB$5+GanttPeriod-1&gt;=$E45),"━","")))</f>
        <v/>
      </c>
      <c r="FC45" s="69" t="str">
        <f aca="false">IF($E45="","",IF($M45,IF(AND($G45&gt;=FC$5,$G45&lt;FC$5+GanttPeriod),"◆",IF(AND($E45&gt;=FC$5,$E45&lt;FC$5+GanttPeriod),"◇","")),IF(AND(FC$5&lt;=$F45,FC$5+GanttPeriod-1&gt;=$E45),"━","")))</f>
        <v/>
      </c>
      <c r="FD45" s="69" t="str">
        <f aca="false">IF($E45="","",IF($M45,IF(AND($G45&gt;=FD$5,$G45&lt;FD$5+GanttPeriod),"◆",IF(AND($E45&gt;=FD$5,$E45&lt;FD$5+GanttPeriod),"◇","")),IF(AND(FD$5&lt;=$F45,FD$5+GanttPeriod-1&gt;=$E45),"━","")))</f>
        <v/>
      </c>
      <c r="FE45" s="69" t="str">
        <f aca="false">IF($E45="","",IF($M45,IF(AND($G45&gt;=FE$5,$G45&lt;FE$5+GanttPeriod),"◆",IF(AND($E45&gt;=FE$5,$E45&lt;FE$5+GanttPeriod),"◇","")),IF(AND(FE$5&lt;=$F45,FE$5+GanttPeriod-1&gt;=$E45),"━","")))</f>
        <v/>
      </c>
      <c r="FF45" s="69" t="str">
        <f aca="false">IF($E45="","",IF($M45,IF(AND($G45&gt;=FF$5,$G45&lt;FF$5+GanttPeriod),"◆",IF(AND($E45&gt;=FF$5,$E45&lt;FF$5+GanttPeriod),"◇","")),IF(AND(FF$5&lt;=$F45,FF$5+GanttPeriod-1&gt;=$E45),"━","")))</f>
        <v/>
      </c>
      <c r="FG45" s="69" t="str">
        <f aca="false">IF($E45="","",IF($M45,IF(AND($G45&gt;=FG$5,$G45&lt;FG$5+GanttPeriod),"◆",IF(AND($E45&gt;=FG$5,$E45&lt;FG$5+GanttPeriod),"◇","")),IF(AND(FG$5&lt;=$F45,FG$5+GanttPeriod-1&gt;=$E45),"━","")))</f>
        <v/>
      </c>
      <c r="FH45" s="69" t="str">
        <f aca="false">IF($E45="","",IF($M45,IF(AND($G45&gt;=FH$5,$G45&lt;FH$5+GanttPeriod),"◆",IF(AND($E45&gt;=FH$5,$E45&lt;FH$5+GanttPeriod),"◇","")),IF(AND(FH$5&lt;=$F45,FH$5+GanttPeriod-1&gt;=$E45),"━","")))</f>
        <v/>
      </c>
      <c r="FI45" s="69" t="str">
        <f aca="false">IF($E45="","",IF($M45,IF(AND($G45&gt;=FI$5,$G45&lt;FI$5+GanttPeriod),"◆",IF(AND($E45&gt;=FI$5,$E45&lt;FI$5+GanttPeriod),"◇","")),IF(AND(FI$5&lt;=$F45,FI$5+GanttPeriod-1&gt;=$E45),"━","")))</f>
        <v/>
      </c>
      <c r="FJ45" s="69" t="str">
        <f aca="false">IF($E45="","",IF($M45,IF(AND($G45&gt;=FJ$5,$G45&lt;FJ$5+GanttPeriod),"◆",IF(AND($E45&gt;=FJ$5,$E45&lt;FJ$5+GanttPeriod),"◇","")),IF(AND(FJ$5&lt;=$F45,FJ$5+GanttPeriod-1&gt;=$E45),"━","")))</f>
        <v/>
      </c>
      <c r="FK45" s="69" t="str">
        <f aca="false">IF($E45="","",IF($M45,IF(AND($G45&gt;=FK$5,$G45&lt;FK$5+GanttPeriod),"◆",IF(AND($E45&gt;=FK$5,$E45&lt;FK$5+GanttPeriod),"◇","")),IF(AND(FK$5&lt;=$F45,FK$5+GanttPeriod-1&gt;=$E45),"━","")))</f>
        <v/>
      </c>
      <c r="FL45" s="69" t="str">
        <f aca="false">IF($E45="","",IF($M45,IF(AND($G45&gt;=FL$5,$G45&lt;FL$5+GanttPeriod),"◆",IF(AND($E45&gt;=FL$5,$E45&lt;FL$5+GanttPeriod),"◇","")),IF(AND(FL$5&lt;=$F45,FL$5+GanttPeriod-1&gt;=$E45),"━","")))</f>
        <v/>
      </c>
      <c r="FM45" s="69" t="str">
        <f aca="false">IF($E45="","",IF($M45,IF(AND($G45&gt;=FM$5,$G45&lt;FM$5+GanttPeriod),"◆",IF(AND($E45&gt;=FM$5,$E45&lt;FM$5+GanttPeriod),"◇","")),IF(AND(FM$5&lt;=$F45,FM$5+GanttPeriod-1&gt;=$E45),"━","")))</f>
        <v/>
      </c>
    </row>
    <row r="46" customFormat="false" ht="15" hidden="false" customHeight="false" outlineLevel="0" collapsed="false">
      <c r="A46" s="62" t="str">
        <f aca="false">IF(Tasks!$D46="","",Tasks!$A46)</f>
        <v/>
      </c>
      <c r="B46" s="62" t="str">
        <f aca="false">IF(Tasks!$D46="","",Tasks!$B46)</f>
        <v/>
      </c>
      <c r="C46" s="63" t="str">
        <f aca="false">IF(Tasks!$D46="","",REPT("    ",Tasks!$AE46-1)&amp;Tasks!$D46)</f>
        <v/>
      </c>
      <c r="D46" s="62" t="str">
        <f aca="false">IF(Tasks!$D46="","",IF(Tasks!$AI46,NETWORKDAYS.INTL(Tasks!$R46,Tasks!$S46,WorkWeek,Holidays),N(Tasks!$F46)))</f>
        <v/>
      </c>
      <c r="E46" s="64" t="str">
        <f aca="false">IF(Tasks!$D46="","",Tasks!$N46)</f>
        <v/>
      </c>
      <c r="F46" s="64" t="str">
        <f aca="false">IF(Tasks!$D46="","",Tasks!$O46)</f>
        <v/>
      </c>
      <c r="G46" s="64" t="str">
        <f aca="false">IF(Tasks!$D46="","",Tasks!$R46)</f>
        <v/>
      </c>
      <c r="H46" s="64" t="str">
        <f aca="false">IF(Tasks!$D46="","",Tasks!$S46)</f>
        <v/>
      </c>
      <c r="I46" s="65" t="str">
        <f aca="false">IF(Tasks!$D46="","",Tasks!$V46)</f>
        <v/>
      </c>
      <c r="J46" s="63" t="str">
        <f aca="false">IF(Tasks!$D46="","",Tasks!$X46&amp;"")</f>
        <v/>
      </c>
      <c r="K46" s="66" t="str">
        <f aca="false">IF(Tasks!$D46="","",Tasks!$W46)</f>
        <v/>
      </c>
      <c r="L46" s="67" t="b">
        <f aca="false">IF(Tasks!$D46="",FALSE(),Tasks!$AI46)</f>
        <v>0</v>
      </c>
      <c r="M46" s="67" t="b">
        <f aca="false">AND(Tasks!$AJ46=1,N(Tasks!$F46)=0)</f>
        <v>0</v>
      </c>
      <c r="N46" s="68" t="n">
        <f aca="false">IF(AND(Tasks!$AJ46=1,NOT($M46),N($I46)&gt;0),$G46,0)</f>
        <v>0</v>
      </c>
      <c r="O46" s="68" t="n">
        <f aca="false">IF($N46=0,0,IF($I46&gt;=1,$H46,MAX($N46,$G46+ROUND(($H46-$G46+1)*$I46,0)-1)))</f>
        <v>0</v>
      </c>
      <c r="P46" s="68" t="n">
        <f aca="false">IF(OR(Tasks!$AJ46&lt;&gt;1,$M46,N($I46)&gt;=1),0,IF($O46&gt;0,$O46+1,$G46))</f>
        <v>0</v>
      </c>
      <c r="Q46" s="68" t="n">
        <f aca="false">IF($P46=0,0,$H46)</f>
        <v>0</v>
      </c>
      <c r="R46" s="67" t="b">
        <f aca="false">AND(Tasks!$D46&lt;&gt;"",N(Tasks!$T46)&gt;0)</f>
        <v>0</v>
      </c>
      <c r="T46" s="69" t="str">
        <f aca="false">IF($E46="","",IF($M46,IF(AND($G46&gt;=T$5,$G46&lt;T$5+GanttPeriod),"◆",IF(AND($E46&gt;=T$5,$E46&lt;T$5+GanttPeriod),"◇","")),IF(AND(T$5&lt;=$F46,T$5+GanttPeriod-1&gt;=$E46),"━","")))</f>
        <v/>
      </c>
      <c r="U46" s="69" t="str">
        <f aca="false">IF($E46="","",IF($M46,IF(AND($G46&gt;=U$5,$G46&lt;U$5+GanttPeriod),"◆",IF(AND($E46&gt;=U$5,$E46&lt;U$5+GanttPeriod),"◇","")),IF(AND(U$5&lt;=$F46,U$5+GanttPeriod-1&gt;=$E46),"━","")))</f>
        <v/>
      </c>
      <c r="V46" s="69" t="str">
        <f aca="false">IF($E46="","",IF($M46,IF(AND($G46&gt;=V$5,$G46&lt;V$5+GanttPeriod),"◆",IF(AND($E46&gt;=V$5,$E46&lt;V$5+GanttPeriod),"◇","")),IF(AND(V$5&lt;=$F46,V$5+GanttPeriod-1&gt;=$E46),"━","")))</f>
        <v/>
      </c>
      <c r="W46" s="69" t="str">
        <f aca="false">IF($E46="","",IF($M46,IF(AND($G46&gt;=W$5,$G46&lt;W$5+GanttPeriod),"◆",IF(AND($E46&gt;=W$5,$E46&lt;W$5+GanttPeriod),"◇","")),IF(AND(W$5&lt;=$F46,W$5+GanttPeriod-1&gt;=$E46),"━","")))</f>
        <v/>
      </c>
      <c r="X46" s="69" t="str">
        <f aca="false">IF($E46="","",IF($M46,IF(AND($G46&gt;=X$5,$G46&lt;X$5+GanttPeriod),"◆",IF(AND($E46&gt;=X$5,$E46&lt;X$5+GanttPeriod),"◇","")),IF(AND(X$5&lt;=$F46,X$5+GanttPeriod-1&gt;=$E46),"━","")))</f>
        <v/>
      </c>
      <c r="Y46" s="69" t="str">
        <f aca="false">IF($E46="","",IF($M46,IF(AND($G46&gt;=Y$5,$G46&lt;Y$5+GanttPeriod),"◆",IF(AND($E46&gt;=Y$5,$E46&lt;Y$5+GanttPeriod),"◇","")),IF(AND(Y$5&lt;=$F46,Y$5+GanttPeriod-1&gt;=$E46),"━","")))</f>
        <v/>
      </c>
      <c r="Z46" s="69" t="str">
        <f aca="false">IF($E46="","",IF($M46,IF(AND($G46&gt;=Z$5,$G46&lt;Z$5+GanttPeriod),"◆",IF(AND($E46&gt;=Z$5,$E46&lt;Z$5+GanttPeriod),"◇","")),IF(AND(Z$5&lt;=$F46,Z$5+GanttPeriod-1&gt;=$E46),"━","")))</f>
        <v/>
      </c>
      <c r="AA46" s="69" t="str">
        <f aca="false">IF($E46="","",IF($M46,IF(AND($G46&gt;=AA$5,$G46&lt;AA$5+GanttPeriod),"◆",IF(AND($E46&gt;=AA$5,$E46&lt;AA$5+GanttPeriod),"◇","")),IF(AND(AA$5&lt;=$F46,AA$5+GanttPeriod-1&gt;=$E46),"━","")))</f>
        <v/>
      </c>
      <c r="AB46" s="69" t="str">
        <f aca="false">IF($E46="","",IF($M46,IF(AND($G46&gt;=AB$5,$G46&lt;AB$5+GanttPeriod),"◆",IF(AND($E46&gt;=AB$5,$E46&lt;AB$5+GanttPeriod),"◇","")),IF(AND(AB$5&lt;=$F46,AB$5+GanttPeriod-1&gt;=$E46),"━","")))</f>
        <v/>
      </c>
      <c r="AC46" s="69" t="str">
        <f aca="false">IF($E46="","",IF($M46,IF(AND($G46&gt;=AC$5,$G46&lt;AC$5+GanttPeriod),"◆",IF(AND($E46&gt;=AC$5,$E46&lt;AC$5+GanttPeriod),"◇","")),IF(AND(AC$5&lt;=$F46,AC$5+GanttPeriod-1&gt;=$E46),"━","")))</f>
        <v/>
      </c>
      <c r="AD46" s="69" t="str">
        <f aca="false">IF($E46="","",IF($M46,IF(AND($G46&gt;=AD$5,$G46&lt;AD$5+GanttPeriod),"◆",IF(AND($E46&gt;=AD$5,$E46&lt;AD$5+GanttPeriod),"◇","")),IF(AND(AD$5&lt;=$F46,AD$5+GanttPeriod-1&gt;=$E46),"━","")))</f>
        <v/>
      </c>
      <c r="AE46" s="69" t="str">
        <f aca="false">IF($E46="","",IF($M46,IF(AND($G46&gt;=AE$5,$G46&lt;AE$5+GanttPeriod),"◆",IF(AND($E46&gt;=AE$5,$E46&lt;AE$5+GanttPeriod),"◇","")),IF(AND(AE$5&lt;=$F46,AE$5+GanttPeriod-1&gt;=$E46),"━","")))</f>
        <v/>
      </c>
      <c r="AF46" s="69" t="str">
        <f aca="false">IF($E46="","",IF($M46,IF(AND($G46&gt;=AF$5,$G46&lt;AF$5+GanttPeriod),"◆",IF(AND($E46&gt;=AF$5,$E46&lt;AF$5+GanttPeriod),"◇","")),IF(AND(AF$5&lt;=$F46,AF$5+GanttPeriod-1&gt;=$E46),"━","")))</f>
        <v/>
      </c>
      <c r="AG46" s="69" t="str">
        <f aca="false">IF($E46="","",IF($M46,IF(AND($G46&gt;=AG$5,$G46&lt;AG$5+GanttPeriod),"◆",IF(AND($E46&gt;=AG$5,$E46&lt;AG$5+GanttPeriod),"◇","")),IF(AND(AG$5&lt;=$F46,AG$5+GanttPeriod-1&gt;=$E46),"━","")))</f>
        <v/>
      </c>
      <c r="AH46" s="69" t="str">
        <f aca="false">IF($E46="","",IF($M46,IF(AND($G46&gt;=AH$5,$G46&lt;AH$5+GanttPeriod),"◆",IF(AND($E46&gt;=AH$5,$E46&lt;AH$5+GanttPeriod),"◇","")),IF(AND(AH$5&lt;=$F46,AH$5+GanttPeriod-1&gt;=$E46),"━","")))</f>
        <v/>
      </c>
      <c r="AI46" s="69" t="str">
        <f aca="false">IF($E46="","",IF($M46,IF(AND($G46&gt;=AI$5,$G46&lt;AI$5+GanttPeriod),"◆",IF(AND($E46&gt;=AI$5,$E46&lt;AI$5+GanttPeriod),"◇","")),IF(AND(AI$5&lt;=$F46,AI$5+GanttPeriod-1&gt;=$E46),"━","")))</f>
        <v/>
      </c>
      <c r="AJ46" s="69" t="str">
        <f aca="false">IF($E46="","",IF($M46,IF(AND($G46&gt;=AJ$5,$G46&lt;AJ$5+GanttPeriod),"◆",IF(AND($E46&gt;=AJ$5,$E46&lt;AJ$5+GanttPeriod),"◇","")),IF(AND(AJ$5&lt;=$F46,AJ$5+GanttPeriod-1&gt;=$E46),"━","")))</f>
        <v/>
      </c>
      <c r="AK46" s="69" t="str">
        <f aca="false">IF($E46="","",IF($M46,IF(AND($G46&gt;=AK$5,$G46&lt;AK$5+GanttPeriod),"◆",IF(AND($E46&gt;=AK$5,$E46&lt;AK$5+GanttPeriod),"◇","")),IF(AND(AK$5&lt;=$F46,AK$5+GanttPeriod-1&gt;=$E46),"━","")))</f>
        <v/>
      </c>
      <c r="AL46" s="69" t="str">
        <f aca="false">IF($E46="","",IF($M46,IF(AND($G46&gt;=AL$5,$G46&lt;AL$5+GanttPeriod),"◆",IF(AND($E46&gt;=AL$5,$E46&lt;AL$5+GanttPeriod),"◇","")),IF(AND(AL$5&lt;=$F46,AL$5+GanttPeriod-1&gt;=$E46),"━","")))</f>
        <v/>
      </c>
      <c r="AM46" s="69" t="str">
        <f aca="false">IF($E46="","",IF($M46,IF(AND($G46&gt;=AM$5,$G46&lt;AM$5+GanttPeriod),"◆",IF(AND($E46&gt;=AM$5,$E46&lt;AM$5+GanttPeriod),"◇","")),IF(AND(AM$5&lt;=$F46,AM$5+GanttPeriod-1&gt;=$E46),"━","")))</f>
        <v/>
      </c>
      <c r="AN46" s="69" t="str">
        <f aca="false">IF($E46="","",IF($M46,IF(AND($G46&gt;=AN$5,$G46&lt;AN$5+GanttPeriod),"◆",IF(AND($E46&gt;=AN$5,$E46&lt;AN$5+GanttPeriod),"◇","")),IF(AND(AN$5&lt;=$F46,AN$5+GanttPeriod-1&gt;=$E46),"━","")))</f>
        <v/>
      </c>
      <c r="AO46" s="69" t="str">
        <f aca="false">IF($E46="","",IF($M46,IF(AND($G46&gt;=AO$5,$G46&lt;AO$5+GanttPeriod),"◆",IF(AND($E46&gt;=AO$5,$E46&lt;AO$5+GanttPeriod),"◇","")),IF(AND(AO$5&lt;=$F46,AO$5+GanttPeriod-1&gt;=$E46),"━","")))</f>
        <v/>
      </c>
      <c r="AP46" s="69" t="str">
        <f aca="false">IF($E46="","",IF($M46,IF(AND($G46&gt;=AP$5,$G46&lt;AP$5+GanttPeriod),"◆",IF(AND($E46&gt;=AP$5,$E46&lt;AP$5+GanttPeriod),"◇","")),IF(AND(AP$5&lt;=$F46,AP$5+GanttPeriod-1&gt;=$E46),"━","")))</f>
        <v/>
      </c>
      <c r="AQ46" s="69" t="str">
        <f aca="false">IF($E46="","",IF($M46,IF(AND($G46&gt;=AQ$5,$G46&lt;AQ$5+GanttPeriod),"◆",IF(AND($E46&gt;=AQ$5,$E46&lt;AQ$5+GanttPeriod),"◇","")),IF(AND(AQ$5&lt;=$F46,AQ$5+GanttPeriod-1&gt;=$E46),"━","")))</f>
        <v/>
      </c>
      <c r="AR46" s="69" t="str">
        <f aca="false">IF($E46="","",IF($M46,IF(AND($G46&gt;=AR$5,$G46&lt;AR$5+GanttPeriod),"◆",IF(AND($E46&gt;=AR$5,$E46&lt;AR$5+GanttPeriod),"◇","")),IF(AND(AR$5&lt;=$F46,AR$5+GanttPeriod-1&gt;=$E46),"━","")))</f>
        <v/>
      </c>
      <c r="AS46" s="69" t="str">
        <f aca="false">IF($E46="","",IF($M46,IF(AND($G46&gt;=AS$5,$G46&lt;AS$5+GanttPeriod),"◆",IF(AND($E46&gt;=AS$5,$E46&lt;AS$5+GanttPeriod),"◇","")),IF(AND(AS$5&lt;=$F46,AS$5+GanttPeriod-1&gt;=$E46),"━","")))</f>
        <v/>
      </c>
      <c r="AT46" s="69" t="str">
        <f aca="false">IF($E46="","",IF($M46,IF(AND($G46&gt;=AT$5,$G46&lt;AT$5+GanttPeriod),"◆",IF(AND($E46&gt;=AT$5,$E46&lt;AT$5+GanttPeriod),"◇","")),IF(AND(AT$5&lt;=$F46,AT$5+GanttPeriod-1&gt;=$E46),"━","")))</f>
        <v/>
      </c>
      <c r="AU46" s="69" t="str">
        <f aca="false">IF($E46="","",IF($M46,IF(AND($G46&gt;=AU$5,$G46&lt;AU$5+GanttPeriod),"◆",IF(AND($E46&gt;=AU$5,$E46&lt;AU$5+GanttPeriod),"◇","")),IF(AND(AU$5&lt;=$F46,AU$5+GanttPeriod-1&gt;=$E46),"━","")))</f>
        <v/>
      </c>
      <c r="AV46" s="69" t="str">
        <f aca="false">IF($E46="","",IF($M46,IF(AND($G46&gt;=AV$5,$G46&lt;AV$5+GanttPeriod),"◆",IF(AND($E46&gt;=AV$5,$E46&lt;AV$5+GanttPeriod),"◇","")),IF(AND(AV$5&lt;=$F46,AV$5+GanttPeriod-1&gt;=$E46),"━","")))</f>
        <v/>
      </c>
      <c r="AW46" s="69" t="str">
        <f aca="false">IF($E46="","",IF($M46,IF(AND($G46&gt;=AW$5,$G46&lt;AW$5+GanttPeriod),"◆",IF(AND($E46&gt;=AW$5,$E46&lt;AW$5+GanttPeriod),"◇","")),IF(AND(AW$5&lt;=$F46,AW$5+GanttPeriod-1&gt;=$E46),"━","")))</f>
        <v/>
      </c>
      <c r="AX46" s="69" t="str">
        <f aca="false">IF($E46="","",IF($M46,IF(AND($G46&gt;=AX$5,$G46&lt;AX$5+GanttPeriod),"◆",IF(AND($E46&gt;=AX$5,$E46&lt;AX$5+GanttPeriod),"◇","")),IF(AND(AX$5&lt;=$F46,AX$5+GanttPeriod-1&gt;=$E46),"━","")))</f>
        <v/>
      </c>
      <c r="AY46" s="69" t="str">
        <f aca="false">IF($E46="","",IF($M46,IF(AND($G46&gt;=AY$5,$G46&lt;AY$5+GanttPeriod),"◆",IF(AND($E46&gt;=AY$5,$E46&lt;AY$5+GanttPeriod),"◇","")),IF(AND(AY$5&lt;=$F46,AY$5+GanttPeriod-1&gt;=$E46),"━","")))</f>
        <v/>
      </c>
      <c r="AZ46" s="69" t="str">
        <f aca="false">IF($E46="","",IF($M46,IF(AND($G46&gt;=AZ$5,$G46&lt;AZ$5+GanttPeriod),"◆",IF(AND($E46&gt;=AZ$5,$E46&lt;AZ$5+GanttPeriod),"◇","")),IF(AND(AZ$5&lt;=$F46,AZ$5+GanttPeriod-1&gt;=$E46),"━","")))</f>
        <v/>
      </c>
      <c r="BA46" s="69" t="str">
        <f aca="false">IF($E46="","",IF($M46,IF(AND($G46&gt;=BA$5,$G46&lt;BA$5+GanttPeriod),"◆",IF(AND($E46&gt;=BA$5,$E46&lt;BA$5+GanttPeriod),"◇","")),IF(AND(BA$5&lt;=$F46,BA$5+GanttPeriod-1&gt;=$E46),"━","")))</f>
        <v/>
      </c>
      <c r="BB46" s="69" t="str">
        <f aca="false">IF($E46="","",IF($M46,IF(AND($G46&gt;=BB$5,$G46&lt;BB$5+GanttPeriod),"◆",IF(AND($E46&gt;=BB$5,$E46&lt;BB$5+GanttPeriod),"◇","")),IF(AND(BB$5&lt;=$F46,BB$5+GanttPeriod-1&gt;=$E46),"━","")))</f>
        <v/>
      </c>
      <c r="BC46" s="69" t="str">
        <f aca="false">IF($E46="","",IF($M46,IF(AND($G46&gt;=BC$5,$G46&lt;BC$5+GanttPeriod),"◆",IF(AND($E46&gt;=BC$5,$E46&lt;BC$5+GanttPeriod),"◇","")),IF(AND(BC$5&lt;=$F46,BC$5+GanttPeriod-1&gt;=$E46),"━","")))</f>
        <v/>
      </c>
      <c r="BD46" s="69" t="str">
        <f aca="false">IF($E46="","",IF($M46,IF(AND($G46&gt;=BD$5,$G46&lt;BD$5+GanttPeriod),"◆",IF(AND($E46&gt;=BD$5,$E46&lt;BD$5+GanttPeriod),"◇","")),IF(AND(BD$5&lt;=$F46,BD$5+GanttPeriod-1&gt;=$E46),"━","")))</f>
        <v/>
      </c>
      <c r="BE46" s="69" t="str">
        <f aca="false">IF($E46="","",IF($M46,IF(AND($G46&gt;=BE$5,$G46&lt;BE$5+GanttPeriod),"◆",IF(AND($E46&gt;=BE$5,$E46&lt;BE$5+GanttPeriod),"◇","")),IF(AND(BE$5&lt;=$F46,BE$5+GanttPeriod-1&gt;=$E46),"━","")))</f>
        <v/>
      </c>
      <c r="BF46" s="69" t="str">
        <f aca="false">IF($E46="","",IF($M46,IF(AND($G46&gt;=BF$5,$G46&lt;BF$5+GanttPeriod),"◆",IF(AND($E46&gt;=BF$5,$E46&lt;BF$5+GanttPeriod),"◇","")),IF(AND(BF$5&lt;=$F46,BF$5+GanttPeriod-1&gt;=$E46),"━","")))</f>
        <v/>
      </c>
      <c r="BG46" s="69" t="str">
        <f aca="false">IF($E46="","",IF($M46,IF(AND($G46&gt;=BG$5,$G46&lt;BG$5+GanttPeriod),"◆",IF(AND($E46&gt;=BG$5,$E46&lt;BG$5+GanttPeriod),"◇","")),IF(AND(BG$5&lt;=$F46,BG$5+GanttPeriod-1&gt;=$E46),"━","")))</f>
        <v/>
      </c>
      <c r="BH46" s="69" t="str">
        <f aca="false">IF($E46="","",IF($M46,IF(AND($G46&gt;=BH$5,$G46&lt;BH$5+GanttPeriod),"◆",IF(AND($E46&gt;=BH$5,$E46&lt;BH$5+GanttPeriod),"◇","")),IF(AND(BH$5&lt;=$F46,BH$5+GanttPeriod-1&gt;=$E46),"━","")))</f>
        <v/>
      </c>
      <c r="BI46" s="69" t="str">
        <f aca="false">IF($E46="","",IF($M46,IF(AND($G46&gt;=BI$5,$G46&lt;BI$5+GanttPeriod),"◆",IF(AND($E46&gt;=BI$5,$E46&lt;BI$5+GanttPeriod),"◇","")),IF(AND(BI$5&lt;=$F46,BI$5+GanttPeriod-1&gt;=$E46),"━","")))</f>
        <v/>
      </c>
      <c r="BJ46" s="69" t="str">
        <f aca="false">IF($E46="","",IF($M46,IF(AND($G46&gt;=BJ$5,$G46&lt;BJ$5+GanttPeriod),"◆",IF(AND($E46&gt;=BJ$5,$E46&lt;BJ$5+GanttPeriod),"◇","")),IF(AND(BJ$5&lt;=$F46,BJ$5+GanttPeriod-1&gt;=$E46),"━","")))</f>
        <v/>
      </c>
      <c r="BK46" s="69" t="str">
        <f aca="false">IF($E46="","",IF($M46,IF(AND($G46&gt;=BK$5,$G46&lt;BK$5+GanttPeriod),"◆",IF(AND($E46&gt;=BK$5,$E46&lt;BK$5+GanttPeriod),"◇","")),IF(AND(BK$5&lt;=$F46,BK$5+GanttPeriod-1&gt;=$E46),"━","")))</f>
        <v/>
      </c>
      <c r="BL46" s="69" t="str">
        <f aca="false">IF($E46="","",IF($M46,IF(AND($G46&gt;=BL$5,$G46&lt;BL$5+GanttPeriod),"◆",IF(AND($E46&gt;=BL$5,$E46&lt;BL$5+GanttPeriod),"◇","")),IF(AND(BL$5&lt;=$F46,BL$5+GanttPeriod-1&gt;=$E46),"━","")))</f>
        <v/>
      </c>
      <c r="BM46" s="69" t="str">
        <f aca="false">IF($E46="","",IF($M46,IF(AND($G46&gt;=BM$5,$G46&lt;BM$5+GanttPeriod),"◆",IF(AND($E46&gt;=BM$5,$E46&lt;BM$5+GanttPeriod),"◇","")),IF(AND(BM$5&lt;=$F46,BM$5+GanttPeriod-1&gt;=$E46),"━","")))</f>
        <v/>
      </c>
      <c r="BN46" s="69" t="str">
        <f aca="false">IF($E46="","",IF($M46,IF(AND($G46&gt;=BN$5,$G46&lt;BN$5+GanttPeriod),"◆",IF(AND($E46&gt;=BN$5,$E46&lt;BN$5+GanttPeriod),"◇","")),IF(AND(BN$5&lt;=$F46,BN$5+GanttPeriod-1&gt;=$E46),"━","")))</f>
        <v/>
      </c>
      <c r="BO46" s="69" t="str">
        <f aca="false">IF($E46="","",IF($M46,IF(AND($G46&gt;=BO$5,$G46&lt;BO$5+GanttPeriod),"◆",IF(AND($E46&gt;=BO$5,$E46&lt;BO$5+GanttPeriod),"◇","")),IF(AND(BO$5&lt;=$F46,BO$5+GanttPeriod-1&gt;=$E46),"━","")))</f>
        <v/>
      </c>
      <c r="BP46" s="69" t="str">
        <f aca="false">IF($E46="","",IF($M46,IF(AND($G46&gt;=BP$5,$G46&lt;BP$5+GanttPeriod),"◆",IF(AND($E46&gt;=BP$5,$E46&lt;BP$5+GanttPeriod),"◇","")),IF(AND(BP$5&lt;=$F46,BP$5+GanttPeriod-1&gt;=$E46),"━","")))</f>
        <v/>
      </c>
      <c r="BQ46" s="69" t="str">
        <f aca="false">IF($E46="","",IF($M46,IF(AND($G46&gt;=BQ$5,$G46&lt;BQ$5+GanttPeriod),"◆",IF(AND($E46&gt;=BQ$5,$E46&lt;BQ$5+GanttPeriod),"◇","")),IF(AND(BQ$5&lt;=$F46,BQ$5+GanttPeriod-1&gt;=$E46),"━","")))</f>
        <v/>
      </c>
      <c r="BR46" s="69" t="str">
        <f aca="false">IF($E46="","",IF($M46,IF(AND($G46&gt;=BR$5,$G46&lt;BR$5+GanttPeriod),"◆",IF(AND($E46&gt;=BR$5,$E46&lt;BR$5+GanttPeriod),"◇","")),IF(AND(BR$5&lt;=$F46,BR$5+GanttPeriod-1&gt;=$E46),"━","")))</f>
        <v/>
      </c>
      <c r="BS46" s="69" t="str">
        <f aca="false">IF($E46="","",IF($M46,IF(AND($G46&gt;=BS$5,$G46&lt;BS$5+GanttPeriod),"◆",IF(AND($E46&gt;=BS$5,$E46&lt;BS$5+GanttPeriod),"◇","")),IF(AND(BS$5&lt;=$F46,BS$5+GanttPeriod-1&gt;=$E46),"━","")))</f>
        <v/>
      </c>
      <c r="BT46" s="69" t="str">
        <f aca="false">IF($E46="","",IF($M46,IF(AND($G46&gt;=BT$5,$G46&lt;BT$5+GanttPeriod),"◆",IF(AND($E46&gt;=BT$5,$E46&lt;BT$5+GanttPeriod),"◇","")),IF(AND(BT$5&lt;=$F46,BT$5+GanttPeriod-1&gt;=$E46),"━","")))</f>
        <v/>
      </c>
      <c r="BU46" s="69" t="str">
        <f aca="false">IF($E46="","",IF($M46,IF(AND($G46&gt;=BU$5,$G46&lt;BU$5+GanttPeriod),"◆",IF(AND($E46&gt;=BU$5,$E46&lt;BU$5+GanttPeriod),"◇","")),IF(AND(BU$5&lt;=$F46,BU$5+GanttPeriod-1&gt;=$E46),"━","")))</f>
        <v/>
      </c>
      <c r="BV46" s="69" t="str">
        <f aca="false">IF($E46="","",IF($M46,IF(AND($G46&gt;=BV$5,$G46&lt;BV$5+GanttPeriod),"◆",IF(AND($E46&gt;=BV$5,$E46&lt;BV$5+GanttPeriod),"◇","")),IF(AND(BV$5&lt;=$F46,BV$5+GanttPeriod-1&gt;=$E46),"━","")))</f>
        <v/>
      </c>
      <c r="BW46" s="69" t="str">
        <f aca="false">IF($E46="","",IF($M46,IF(AND($G46&gt;=BW$5,$G46&lt;BW$5+GanttPeriod),"◆",IF(AND($E46&gt;=BW$5,$E46&lt;BW$5+GanttPeriod),"◇","")),IF(AND(BW$5&lt;=$F46,BW$5+GanttPeriod-1&gt;=$E46),"━","")))</f>
        <v/>
      </c>
      <c r="BX46" s="69" t="str">
        <f aca="false">IF($E46="","",IF($M46,IF(AND($G46&gt;=BX$5,$G46&lt;BX$5+GanttPeriod),"◆",IF(AND($E46&gt;=BX$5,$E46&lt;BX$5+GanttPeriod),"◇","")),IF(AND(BX$5&lt;=$F46,BX$5+GanttPeriod-1&gt;=$E46),"━","")))</f>
        <v/>
      </c>
      <c r="BY46" s="69" t="str">
        <f aca="false">IF($E46="","",IF($M46,IF(AND($G46&gt;=BY$5,$G46&lt;BY$5+GanttPeriod),"◆",IF(AND($E46&gt;=BY$5,$E46&lt;BY$5+GanttPeriod),"◇","")),IF(AND(BY$5&lt;=$F46,BY$5+GanttPeriod-1&gt;=$E46),"━","")))</f>
        <v/>
      </c>
      <c r="BZ46" s="69" t="str">
        <f aca="false">IF($E46="","",IF($M46,IF(AND($G46&gt;=BZ$5,$G46&lt;BZ$5+GanttPeriod),"◆",IF(AND($E46&gt;=BZ$5,$E46&lt;BZ$5+GanttPeriod),"◇","")),IF(AND(BZ$5&lt;=$F46,BZ$5+GanttPeriod-1&gt;=$E46),"━","")))</f>
        <v/>
      </c>
      <c r="CA46" s="69" t="str">
        <f aca="false">IF($E46="","",IF($M46,IF(AND($G46&gt;=CA$5,$G46&lt;CA$5+GanttPeriod),"◆",IF(AND($E46&gt;=CA$5,$E46&lt;CA$5+GanttPeriod),"◇","")),IF(AND(CA$5&lt;=$F46,CA$5+GanttPeriod-1&gt;=$E46),"━","")))</f>
        <v/>
      </c>
      <c r="CB46" s="69" t="str">
        <f aca="false">IF($E46="","",IF($M46,IF(AND($G46&gt;=CB$5,$G46&lt;CB$5+GanttPeriod),"◆",IF(AND($E46&gt;=CB$5,$E46&lt;CB$5+GanttPeriod),"◇","")),IF(AND(CB$5&lt;=$F46,CB$5+GanttPeriod-1&gt;=$E46),"━","")))</f>
        <v/>
      </c>
      <c r="CC46" s="69" t="str">
        <f aca="false">IF($E46="","",IF($M46,IF(AND($G46&gt;=CC$5,$G46&lt;CC$5+GanttPeriod),"◆",IF(AND($E46&gt;=CC$5,$E46&lt;CC$5+GanttPeriod),"◇","")),IF(AND(CC$5&lt;=$F46,CC$5+GanttPeriod-1&gt;=$E46),"━","")))</f>
        <v/>
      </c>
      <c r="CD46" s="69" t="str">
        <f aca="false">IF($E46="","",IF($M46,IF(AND($G46&gt;=CD$5,$G46&lt;CD$5+GanttPeriod),"◆",IF(AND($E46&gt;=CD$5,$E46&lt;CD$5+GanttPeriod),"◇","")),IF(AND(CD$5&lt;=$F46,CD$5+GanttPeriod-1&gt;=$E46),"━","")))</f>
        <v/>
      </c>
      <c r="CE46" s="69" t="str">
        <f aca="false">IF($E46="","",IF($M46,IF(AND($G46&gt;=CE$5,$G46&lt;CE$5+GanttPeriod),"◆",IF(AND($E46&gt;=CE$5,$E46&lt;CE$5+GanttPeriod),"◇","")),IF(AND(CE$5&lt;=$F46,CE$5+GanttPeriod-1&gt;=$E46),"━","")))</f>
        <v/>
      </c>
      <c r="CF46" s="69" t="str">
        <f aca="false">IF($E46="","",IF($M46,IF(AND($G46&gt;=CF$5,$G46&lt;CF$5+GanttPeriod),"◆",IF(AND($E46&gt;=CF$5,$E46&lt;CF$5+GanttPeriod),"◇","")),IF(AND(CF$5&lt;=$F46,CF$5+GanttPeriod-1&gt;=$E46),"━","")))</f>
        <v/>
      </c>
      <c r="CG46" s="69" t="str">
        <f aca="false">IF($E46="","",IF($M46,IF(AND($G46&gt;=CG$5,$G46&lt;CG$5+GanttPeriod),"◆",IF(AND($E46&gt;=CG$5,$E46&lt;CG$5+GanttPeriod),"◇","")),IF(AND(CG$5&lt;=$F46,CG$5+GanttPeriod-1&gt;=$E46),"━","")))</f>
        <v/>
      </c>
      <c r="CH46" s="69" t="str">
        <f aca="false">IF($E46="","",IF($M46,IF(AND($G46&gt;=CH$5,$G46&lt;CH$5+GanttPeriod),"◆",IF(AND($E46&gt;=CH$5,$E46&lt;CH$5+GanttPeriod),"◇","")),IF(AND(CH$5&lt;=$F46,CH$5+GanttPeriod-1&gt;=$E46),"━","")))</f>
        <v/>
      </c>
      <c r="CI46" s="69" t="str">
        <f aca="false">IF($E46="","",IF($M46,IF(AND($G46&gt;=CI$5,$G46&lt;CI$5+GanttPeriod),"◆",IF(AND($E46&gt;=CI$5,$E46&lt;CI$5+GanttPeriod),"◇","")),IF(AND(CI$5&lt;=$F46,CI$5+GanttPeriod-1&gt;=$E46),"━","")))</f>
        <v/>
      </c>
      <c r="CJ46" s="69" t="str">
        <f aca="false">IF($E46="","",IF($M46,IF(AND($G46&gt;=CJ$5,$G46&lt;CJ$5+GanttPeriod),"◆",IF(AND($E46&gt;=CJ$5,$E46&lt;CJ$5+GanttPeriod),"◇","")),IF(AND(CJ$5&lt;=$F46,CJ$5+GanttPeriod-1&gt;=$E46),"━","")))</f>
        <v/>
      </c>
      <c r="CK46" s="69" t="str">
        <f aca="false">IF($E46="","",IF($M46,IF(AND($G46&gt;=CK$5,$G46&lt;CK$5+GanttPeriod),"◆",IF(AND($E46&gt;=CK$5,$E46&lt;CK$5+GanttPeriod),"◇","")),IF(AND(CK$5&lt;=$F46,CK$5+GanttPeriod-1&gt;=$E46),"━","")))</f>
        <v/>
      </c>
      <c r="CL46" s="69" t="str">
        <f aca="false">IF($E46="","",IF($M46,IF(AND($G46&gt;=CL$5,$G46&lt;CL$5+GanttPeriod),"◆",IF(AND($E46&gt;=CL$5,$E46&lt;CL$5+GanttPeriod),"◇","")),IF(AND(CL$5&lt;=$F46,CL$5+GanttPeriod-1&gt;=$E46),"━","")))</f>
        <v/>
      </c>
      <c r="CM46" s="69" t="str">
        <f aca="false">IF($E46="","",IF($M46,IF(AND($G46&gt;=CM$5,$G46&lt;CM$5+GanttPeriod),"◆",IF(AND($E46&gt;=CM$5,$E46&lt;CM$5+GanttPeriod),"◇","")),IF(AND(CM$5&lt;=$F46,CM$5+GanttPeriod-1&gt;=$E46),"━","")))</f>
        <v/>
      </c>
      <c r="CN46" s="69" t="str">
        <f aca="false">IF($E46="","",IF($M46,IF(AND($G46&gt;=CN$5,$G46&lt;CN$5+GanttPeriod),"◆",IF(AND($E46&gt;=CN$5,$E46&lt;CN$5+GanttPeriod),"◇","")),IF(AND(CN$5&lt;=$F46,CN$5+GanttPeriod-1&gt;=$E46),"━","")))</f>
        <v/>
      </c>
      <c r="CO46" s="69" t="str">
        <f aca="false">IF($E46="","",IF($M46,IF(AND($G46&gt;=CO$5,$G46&lt;CO$5+GanttPeriod),"◆",IF(AND($E46&gt;=CO$5,$E46&lt;CO$5+GanttPeriod),"◇","")),IF(AND(CO$5&lt;=$F46,CO$5+GanttPeriod-1&gt;=$E46),"━","")))</f>
        <v/>
      </c>
      <c r="CP46" s="69" t="str">
        <f aca="false">IF($E46="","",IF($M46,IF(AND($G46&gt;=CP$5,$G46&lt;CP$5+GanttPeriod),"◆",IF(AND($E46&gt;=CP$5,$E46&lt;CP$5+GanttPeriod),"◇","")),IF(AND(CP$5&lt;=$F46,CP$5+GanttPeriod-1&gt;=$E46),"━","")))</f>
        <v/>
      </c>
      <c r="CQ46" s="69" t="str">
        <f aca="false">IF($E46="","",IF($M46,IF(AND($G46&gt;=CQ$5,$G46&lt;CQ$5+GanttPeriod),"◆",IF(AND($E46&gt;=CQ$5,$E46&lt;CQ$5+GanttPeriod),"◇","")),IF(AND(CQ$5&lt;=$F46,CQ$5+GanttPeriod-1&gt;=$E46),"━","")))</f>
        <v/>
      </c>
      <c r="CR46" s="69" t="str">
        <f aca="false">IF($E46="","",IF($M46,IF(AND($G46&gt;=CR$5,$G46&lt;CR$5+GanttPeriod),"◆",IF(AND($E46&gt;=CR$5,$E46&lt;CR$5+GanttPeriod),"◇","")),IF(AND(CR$5&lt;=$F46,CR$5+GanttPeriod-1&gt;=$E46),"━","")))</f>
        <v/>
      </c>
      <c r="CS46" s="69" t="str">
        <f aca="false">IF($E46="","",IF($M46,IF(AND($G46&gt;=CS$5,$G46&lt;CS$5+GanttPeriod),"◆",IF(AND($E46&gt;=CS$5,$E46&lt;CS$5+GanttPeriod),"◇","")),IF(AND(CS$5&lt;=$F46,CS$5+GanttPeriod-1&gt;=$E46),"━","")))</f>
        <v/>
      </c>
      <c r="CT46" s="69" t="str">
        <f aca="false">IF($E46="","",IF($M46,IF(AND($G46&gt;=CT$5,$G46&lt;CT$5+GanttPeriod),"◆",IF(AND($E46&gt;=CT$5,$E46&lt;CT$5+GanttPeriod),"◇","")),IF(AND(CT$5&lt;=$F46,CT$5+GanttPeriod-1&gt;=$E46),"━","")))</f>
        <v/>
      </c>
      <c r="CU46" s="69" t="str">
        <f aca="false">IF($E46="","",IF($M46,IF(AND($G46&gt;=CU$5,$G46&lt;CU$5+GanttPeriod),"◆",IF(AND($E46&gt;=CU$5,$E46&lt;CU$5+GanttPeriod),"◇","")),IF(AND(CU$5&lt;=$F46,CU$5+GanttPeriod-1&gt;=$E46),"━","")))</f>
        <v/>
      </c>
      <c r="CV46" s="69" t="str">
        <f aca="false">IF($E46="","",IF($M46,IF(AND($G46&gt;=CV$5,$G46&lt;CV$5+GanttPeriod),"◆",IF(AND($E46&gt;=CV$5,$E46&lt;CV$5+GanttPeriod),"◇","")),IF(AND(CV$5&lt;=$F46,CV$5+GanttPeriod-1&gt;=$E46),"━","")))</f>
        <v/>
      </c>
      <c r="CW46" s="69" t="str">
        <f aca="false">IF($E46="","",IF($M46,IF(AND($G46&gt;=CW$5,$G46&lt;CW$5+GanttPeriod),"◆",IF(AND($E46&gt;=CW$5,$E46&lt;CW$5+GanttPeriod),"◇","")),IF(AND(CW$5&lt;=$F46,CW$5+GanttPeriod-1&gt;=$E46),"━","")))</f>
        <v/>
      </c>
      <c r="CX46" s="69" t="str">
        <f aca="false">IF($E46="","",IF($M46,IF(AND($G46&gt;=CX$5,$G46&lt;CX$5+GanttPeriod),"◆",IF(AND($E46&gt;=CX$5,$E46&lt;CX$5+GanttPeriod),"◇","")),IF(AND(CX$5&lt;=$F46,CX$5+GanttPeriod-1&gt;=$E46),"━","")))</f>
        <v/>
      </c>
      <c r="CY46" s="69" t="str">
        <f aca="false">IF($E46="","",IF($M46,IF(AND($G46&gt;=CY$5,$G46&lt;CY$5+GanttPeriod),"◆",IF(AND($E46&gt;=CY$5,$E46&lt;CY$5+GanttPeriod),"◇","")),IF(AND(CY$5&lt;=$F46,CY$5+GanttPeriod-1&gt;=$E46),"━","")))</f>
        <v/>
      </c>
      <c r="CZ46" s="69" t="str">
        <f aca="false">IF($E46="","",IF($M46,IF(AND($G46&gt;=CZ$5,$G46&lt;CZ$5+GanttPeriod),"◆",IF(AND($E46&gt;=CZ$5,$E46&lt;CZ$5+GanttPeriod),"◇","")),IF(AND(CZ$5&lt;=$F46,CZ$5+GanttPeriod-1&gt;=$E46),"━","")))</f>
        <v/>
      </c>
      <c r="DA46" s="69" t="str">
        <f aca="false">IF($E46="","",IF($M46,IF(AND($G46&gt;=DA$5,$G46&lt;DA$5+GanttPeriod),"◆",IF(AND($E46&gt;=DA$5,$E46&lt;DA$5+GanttPeriod),"◇","")),IF(AND(DA$5&lt;=$F46,DA$5+GanttPeriod-1&gt;=$E46),"━","")))</f>
        <v/>
      </c>
      <c r="DB46" s="69" t="str">
        <f aca="false">IF($E46="","",IF($M46,IF(AND($G46&gt;=DB$5,$G46&lt;DB$5+GanttPeriod),"◆",IF(AND($E46&gt;=DB$5,$E46&lt;DB$5+GanttPeriod),"◇","")),IF(AND(DB$5&lt;=$F46,DB$5+GanttPeriod-1&gt;=$E46),"━","")))</f>
        <v/>
      </c>
      <c r="DC46" s="69" t="str">
        <f aca="false">IF($E46="","",IF($M46,IF(AND($G46&gt;=DC$5,$G46&lt;DC$5+GanttPeriod),"◆",IF(AND($E46&gt;=DC$5,$E46&lt;DC$5+GanttPeriod),"◇","")),IF(AND(DC$5&lt;=$F46,DC$5+GanttPeriod-1&gt;=$E46),"━","")))</f>
        <v/>
      </c>
      <c r="DD46" s="69" t="str">
        <f aca="false">IF($E46="","",IF($M46,IF(AND($G46&gt;=DD$5,$G46&lt;DD$5+GanttPeriod),"◆",IF(AND($E46&gt;=DD$5,$E46&lt;DD$5+GanttPeriod),"◇","")),IF(AND(DD$5&lt;=$F46,DD$5+GanttPeriod-1&gt;=$E46),"━","")))</f>
        <v/>
      </c>
      <c r="DE46" s="69" t="str">
        <f aca="false">IF($E46="","",IF($M46,IF(AND($G46&gt;=DE$5,$G46&lt;DE$5+GanttPeriod),"◆",IF(AND($E46&gt;=DE$5,$E46&lt;DE$5+GanttPeriod),"◇","")),IF(AND(DE$5&lt;=$F46,DE$5+GanttPeriod-1&gt;=$E46),"━","")))</f>
        <v/>
      </c>
      <c r="DF46" s="69" t="str">
        <f aca="false">IF($E46="","",IF($M46,IF(AND($G46&gt;=DF$5,$G46&lt;DF$5+GanttPeriod),"◆",IF(AND($E46&gt;=DF$5,$E46&lt;DF$5+GanttPeriod),"◇","")),IF(AND(DF$5&lt;=$F46,DF$5+GanttPeriod-1&gt;=$E46),"━","")))</f>
        <v/>
      </c>
      <c r="DG46" s="69" t="str">
        <f aca="false">IF($E46="","",IF($M46,IF(AND($G46&gt;=DG$5,$G46&lt;DG$5+GanttPeriod),"◆",IF(AND($E46&gt;=DG$5,$E46&lt;DG$5+GanttPeriod),"◇","")),IF(AND(DG$5&lt;=$F46,DG$5+GanttPeriod-1&gt;=$E46),"━","")))</f>
        <v/>
      </c>
      <c r="DH46" s="69" t="str">
        <f aca="false">IF($E46="","",IF($M46,IF(AND($G46&gt;=DH$5,$G46&lt;DH$5+GanttPeriod),"◆",IF(AND($E46&gt;=DH$5,$E46&lt;DH$5+GanttPeriod),"◇","")),IF(AND(DH$5&lt;=$F46,DH$5+GanttPeriod-1&gt;=$E46),"━","")))</f>
        <v/>
      </c>
      <c r="DI46" s="69" t="str">
        <f aca="false">IF($E46="","",IF($M46,IF(AND($G46&gt;=DI$5,$G46&lt;DI$5+GanttPeriod),"◆",IF(AND($E46&gt;=DI$5,$E46&lt;DI$5+GanttPeriod),"◇","")),IF(AND(DI$5&lt;=$F46,DI$5+GanttPeriod-1&gt;=$E46),"━","")))</f>
        <v/>
      </c>
      <c r="DJ46" s="69" t="str">
        <f aca="false">IF($E46="","",IF($M46,IF(AND($G46&gt;=DJ$5,$G46&lt;DJ$5+GanttPeriod),"◆",IF(AND($E46&gt;=DJ$5,$E46&lt;DJ$5+GanttPeriod),"◇","")),IF(AND(DJ$5&lt;=$F46,DJ$5+GanttPeriod-1&gt;=$E46),"━","")))</f>
        <v/>
      </c>
      <c r="DK46" s="69" t="str">
        <f aca="false">IF($E46="","",IF($M46,IF(AND($G46&gt;=DK$5,$G46&lt;DK$5+GanttPeriod),"◆",IF(AND($E46&gt;=DK$5,$E46&lt;DK$5+GanttPeriod),"◇","")),IF(AND(DK$5&lt;=$F46,DK$5+GanttPeriod-1&gt;=$E46),"━","")))</f>
        <v/>
      </c>
      <c r="DL46" s="69" t="str">
        <f aca="false">IF($E46="","",IF($M46,IF(AND($G46&gt;=DL$5,$G46&lt;DL$5+GanttPeriod),"◆",IF(AND($E46&gt;=DL$5,$E46&lt;DL$5+GanttPeriod),"◇","")),IF(AND(DL$5&lt;=$F46,DL$5+GanttPeriod-1&gt;=$E46),"━","")))</f>
        <v/>
      </c>
      <c r="DM46" s="69" t="str">
        <f aca="false">IF($E46="","",IF($M46,IF(AND($G46&gt;=DM$5,$G46&lt;DM$5+GanttPeriod),"◆",IF(AND($E46&gt;=DM$5,$E46&lt;DM$5+GanttPeriod),"◇","")),IF(AND(DM$5&lt;=$F46,DM$5+GanttPeriod-1&gt;=$E46),"━","")))</f>
        <v/>
      </c>
      <c r="DN46" s="69" t="str">
        <f aca="false">IF($E46="","",IF($M46,IF(AND($G46&gt;=DN$5,$G46&lt;DN$5+GanttPeriod),"◆",IF(AND($E46&gt;=DN$5,$E46&lt;DN$5+GanttPeriod),"◇","")),IF(AND(DN$5&lt;=$F46,DN$5+GanttPeriod-1&gt;=$E46),"━","")))</f>
        <v/>
      </c>
      <c r="DO46" s="69" t="str">
        <f aca="false">IF($E46="","",IF($M46,IF(AND($G46&gt;=DO$5,$G46&lt;DO$5+GanttPeriod),"◆",IF(AND($E46&gt;=DO$5,$E46&lt;DO$5+GanttPeriod),"◇","")),IF(AND(DO$5&lt;=$F46,DO$5+GanttPeriod-1&gt;=$E46),"━","")))</f>
        <v/>
      </c>
      <c r="DP46" s="69" t="str">
        <f aca="false">IF($E46="","",IF($M46,IF(AND($G46&gt;=DP$5,$G46&lt;DP$5+GanttPeriod),"◆",IF(AND($E46&gt;=DP$5,$E46&lt;DP$5+GanttPeriod),"◇","")),IF(AND(DP$5&lt;=$F46,DP$5+GanttPeriod-1&gt;=$E46),"━","")))</f>
        <v/>
      </c>
      <c r="DQ46" s="69" t="str">
        <f aca="false">IF($E46="","",IF($M46,IF(AND($G46&gt;=DQ$5,$G46&lt;DQ$5+GanttPeriod),"◆",IF(AND($E46&gt;=DQ$5,$E46&lt;DQ$5+GanttPeriod),"◇","")),IF(AND(DQ$5&lt;=$F46,DQ$5+GanttPeriod-1&gt;=$E46),"━","")))</f>
        <v/>
      </c>
      <c r="DR46" s="69" t="str">
        <f aca="false">IF($E46="","",IF($M46,IF(AND($G46&gt;=DR$5,$G46&lt;DR$5+GanttPeriod),"◆",IF(AND($E46&gt;=DR$5,$E46&lt;DR$5+GanttPeriod),"◇","")),IF(AND(DR$5&lt;=$F46,DR$5+GanttPeriod-1&gt;=$E46),"━","")))</f>
        <v/>
      </c>
      <c r="DS46" s="69" t="str">
        <f aca="false">IF($E46="","",IF($M46,IF(AND($G46&gt;=DS$5,$G46&lt;DS$5+GanttPeriod),"◆",IF(AND($E46&gt;=DS$5,$E46&lt;DS$5+GanttPeriod),"◇","")),IF(AND(DS$5&lt;=$F46,DS$5+GanttPeriod-1&gt;=$E46),"━","")))</f>
        <v/>
      </c>
      <c r="DT46" s="69" t="str">
        <f aca="false">IF($E46="","",IF($M46,IF(AND($G46&gt;=DT$5,$G46&lt;DT$5+GanttPeriod),"◆",IF(AND($E46&gt;=DT$5,$E46&lt;DT$5+GanttPeriod),"◇","")),IF(AND(DT$5&lt;=$F46,DT$5+GanttPeriod-1&gt;=$E46),"━","")))</f>
        <v/>
      </c>
      <c r="DU46" s="69" t="str">
        <f aca="false">IF($E46="","",IF($M46,IF(AND($G46&gt;=DU$5,$G46&lt;DU$5+GanttPeriod),"◆",IF(AND($E46&gt;=DU$5,$E46&lt;DU$5+GanttPeriod),"◇","")),IF(AND(DU$5&lt;=$F46,DU$5+GanttPeriod-1&gt;=$E46),"━","")))</f>
        <v/>
      </c>
      <c r="DV46" s="69" t="str">
        <f aca="false">IF($E46="","",IF($M46,IF(AND($G46&gt;=DV$5,$G46&lt;DV$5+GanttPeriod),"◆",IF(AND($E46&gt;=DV$5,$E46&lt;DV$5+GanttPeriod),"◇","")),IF(AND(DV$5&lt;=$F46,DV$5+GanttPeriod-1&gt;=$E46),"━","")))</f>
        <v/>
      </c>
      <c r="DW46" s="69" t="str">
        <f aca="false">IF($E46="","",IF($M46,IF(AND($G46&gt;=DW$5,$G46&lt;DW$5+GanttPeriod),"◆",IF(AND($E46&gt;=DW$5,$E46&lt;DW$5+GanttPeriod),"◇","")),IF(AND(DW$5&lt;=$F46,DW$5+GanttPeriod-1&gt;=$E46),"━","")))</f>
        <v/>
      </c>
      <c r="DX46" s="69" t="str">
        <f aca="false">IF($E46="","",IF($M46,IF(AND($G46&gt;=DX$5,$G46&lt;DX$5+GanttPeriod),"◆",IF(AND($E46&gt;=DX$5,$E46&lt;DX$5+GanttPeriod),"◇","")),IF(AND(DX$5&lt;=$F46,DX$5+GanttPeriod-1&gt;=$E46),"━","")))</f>
        <v/>
      </c>
      <c r="DY46" s="69" t="str">
        <f aca="false">IF($E46="","",IF($M46,IF(AND($G46&gt;=DY$5,$G46&lt;DY$5+GanttPeriod),"◆",IF(AND($E46&gt;=DY$5,$E46&lt;DY$5+GanttPeriod),"◇","")),IF(AND(DY$5&lt;=$F46,DY$5+GanttPeriod-1&gt;=$E46),"━","")))</f>
        <v/>
      </c>
      <c r="DZ46" s="69" t="str">
        <f aca="false">IF($E46="","",IF($M46,IF(AND($G46&gt;=DZ$5,$G46&lt;DZ$5+GanttPeriod),"◆",IF(AND($E46&gt;=DZ$5,$E46&lt;DZ$5+GanttPeriod),"◇","")),IF(AND(DZ$5&lt;=$F46,DZ$5+GanttPeriod-1&gt;=$E46),"━","")))</f>
        <v/>
      </c>
      <c r="EA46" s="69" t="str">
        <f aca="false">IF($E46="","",IF($M46,IF(AND($G46&gt;=EA$5,$G46&lt;EA$5+GanttPeriod),"◆",IF(AND($E46&gt;=EA$5,$E46&lt;EA$5+GanttPeriod),"◇","")),IF(AND(EA$5&lt;=$F46,EA$5+GanttPeriod-1&gt;=$E46),"━","")))</f>
        <v/>
      </c>
      <c r="EB46" s="69" t="str">
        <f aca="false">IF($E46="","",IF($M46,IF(AND($G46&gt;=EB$5,$G46&lt;EB$5+GanttPeriod),"◆",IF(AND($E46&gt;=EB$5,$E46&lt;EB$5+GanttPeriod),"◇","")),IF(AND(EB$5&lt;=$F46,EB$5+GanttPeriod-1&gt;=$E46),"━","")))</f>
        <v/>
      </c>
      <c r="EC46" s="69" t="str">
        <f aca="false">IF($E46="","",IF($M46,IF(AND($G46&gt;=EC$5,$G46&lt;EC$5+GanttPeriod),"◆",IF(AND($E46&gt;=EC$5,$E46&lt;EC$5+GanttPeriod),"◇","")),IF(AND(EC$5&lt;=$F46,EC$5+GanttPeriod-1&gt;=$E46),"━","")))</f>
        <v/>
      </c>
      <c r="ED46" s="69" t="str">
        <f aca="false">IF($E46="","",IF($M46,IF(AND($G46&gt;=ED$5,$G46&lt;ED$5+GanttPeriod),"◆",IF(AND($E46&gt;=ED$5,$E46&lt;ED$5+GanttPeriod),"◇","")),IF(AND(ED$5&lt;=$F46,ED$5+GanttPeriod-1&gt;=$E46),"━","")))</f>
        <v/>
      </c>
      <c r="EE46" s="69" t="str">
        <f aca="false">IF($E46="","",IF($M46,IF(AND($G46&gt;=EE$5,$G46&lt;EE$5+GanttPeriod),"◆",IF(AND($E46&gt;=EE$5,$E46&lt;EE$5+GanttPeriod),"◇","")),IF(AND(EE$5&lt;=$F46,EE$5+GanttPeriod-1&gt;=$E46),"━","")))</f>
        <v/>
      </c>
      <c r="EF46" s="69" t="str">
        <f aca="false">IF($E46="","",IF($M46,IF(AND($G46&gt;=EF$5,$G46&lt;EF$5+GanttPeriod),"◆",IF(AND($E46&gt;=EF$5,$E46&lt;EF$5+GanttPeriod),"◇","")),IF(AND(EF$5&lt;=$F46,EF$5+GanttPeriod-1&gt;=$E46),"━","")))</f>
        <v/>
      </c>
      <c r="EG46" s="69" t="str">
        <f aca="false">IF($E46="","",IF($M46,IF(AND($G46&gt;=EG$5,$G46&lt;EG$5+GanttPeriod),"◆",IF(AND($E46&gt;=EG$5,$E46&lt;EG$5+GanttPeriod),"◇","")),IF(AND(EG$5&lt;=$F46,EG$5+GanttPeriod-1&gt;=$E46),"━","")))</f>
        <v/>
      </c>
      <c r="EH46" s="69" t="str">
        <f aca="false">IF($E46="","",IF($M46,IF(AND($G46&gt;=EH$5,$G46&lt;EH$5+GanttPeriod),"◆",IF(AND($E46&gt;=EH$5,$E46&lt;EH$5+GanttPeriod),"◇","")),IF(AND(EH$5&lt;=$F46,EH$5+GanttPeriod-1&gt;=$E46),"━","")))</f>
        <v/>
      </c>
      <c r="EI46" s="69" t="str">
        <f aca="false">IF($E46="","",IF($M46,IF(AND($G46&gt;=EI$5,$G46&lt;EI$5+GanttPeriod),"◆",IF(AND($E46&gt;=EI$5,$E46&lt;EI$5+GanttPeriod),"◇","")),IF(AND(EI$5&lt;=$F46,EI$5+GanttPeriod-1&gt;=$E46),"━","")))</f>
        <v/>
      </c>
      <c r="EJ46" s="69" t="str">
        <f aca="false">IF($E46="","",IF($M46,IF(AND($G46&gt;=EJ$5,$G46&lt;EJ$5+GanttPeriod),"◆",IF(AND($E46&gt;=EJ$5,$E46&lt;EJ$5+GanttPeriod),"◇","")),IF(AND(EJ$5&lt;=$F46,EJ$5+GanttPeriod-1&gt;=$E46),"━","")))</f>
        <v/>
      </c>
      <c r="EK46" s="69" t="str">
        <f aca="false">IF($E46="","",IF($M46,IF(AND($G46&gt;=EK$5,$G46&lt;EK$5+GanttPeriod),"◆",IF(AND($E46&gt;=EK$5,$E46&lt;EK$5+GanttPeriod),"◇","")),IF(AND(EK$5&lt;=$F46,EK$5+GanttPeriod-1&gt;=$E46),"━","")))</f>
        <v/>
      </c>
      <c r="EL46" s="69" t="str">
        <f aca="false">IF($E46="","",IF($M46,IF(AND($G46&gt;=EL$5,$G46&lt;EL$5+GanttPeriod),"◆",IF(AND($E46&gt;=EL$5,$E46&lt;EL$5+GanttPeriod),"◇","")),IF(AND(EL$5&lt;=$F46,EL$5+GanttPeriod-1&gt;=$E46),"━","")))</f>
        <v/>
      </c>
      <c r="EM46" s="69" t="str">
        <f aca="false">IF($E46="","",IF($M46,IF(AND($G46&gt;=EM$5,$G46&lt;EM$5+GanttPeriod),"◆",IF(AND($E46&gt;=EM$5,$E46&lt;EM$5+GanttPeriod),"◇","")),IF(AND(EM$5&lt;=$F46,EM$5+GanttPeriod-1&gt;=$E46),"━","")))</f>
        <v/>
      </c>
      <c r="EN46" s="69" t="str">
        <f aca="false">IF($E46="","",IF($M46,IF(AND($G46&gt;=EN$5,$G46&lt;EN$5+GanttPeriod),"◆",IF(AND($E46&gt;=EN$5,$E46&lt;EN$5+GanttPeriod),"◇","")),IF(AND(EN$5&lt;=$F46,EN$5+GanttPeriod-1&gt;=$E46),"━","")))</f>
        <v/>
      </c>
      <c r="EO46" s="69" t="str">
        <f aca="false">IF($E46="","",IF($M46,IF(AND($G46&gt;=EO$5,$G46&lt;EO$5+GanttPeriod),"◆",IF(AND($E46&gt;=EO$5,$E46&lt;EO$5+GanttPeriod),"◇","")),IF(AND(EO$5&lt;=$F46,EO$5+GanttPeriod-1&gt;=$E46),"━","")))</f>
        <v/>
      </c>
      <c r="EP46" s="69" t="str">
        <f aca="false">IF($E46="","",IF($M46,IF(AND($G46&gt;=EP$5,$G46&lt;EP$5+GanttPeriod),"◆",IF(AND($E46&gt;=EP$5,$E46&lt;EP$5+GanttPeriod),"◇","")),IF(AND(EP$5&lt;=$F46,EP$5+GanttPeriod-1&gt;=$E46),"━","")))</f>
        <v/>
      </c>
      <c r="EQ46" s="69" t="str">
        <f aca="false">IF($E46="","",IF($M46,IF(AND($G46&gt;=EQ$5,$G46&lt;EQ$5+GanttPeriod),"◆",IF(AND($E46&gt;=EQ$5,$E46&lt;EQ$5+GanttPeriod),"◇","")),IF(AND(EQ$5&lt;=$F46,EQ$5+GanttPeriod-1&gt;=$E46),"━","")))</f>
        <v/>
      </c>
      <c r="ER46" s="69" t="str">
        <f aca="false">IF($E46="","",IF($M46,IF(AND($G46&gt;=ER$5,$G46&lt;ER$5+GanttPeriod),"◆",IF(AND($E46&gt;=ER$5,$E46&lt;ER$5+GanttPeriod),"◇","")),IF(AND(ER$5&lt;=$F46,ER$5+GanttPeriod-1&gt;=$E46),"━","")))</f>
        <v/>
      </c>
      <c r="ES46" s="69" t="str">
        <f aca="false">IF($E46="","",IF($M46,IF(AND($G46&gt;=ES$5,$G46&lt;ES$5+GanttPeriod),"◆",IF(AND($E46&gt;=ES$5,$E46&lt;ES$5+GanttPeriod),"◇","")),IF(AND(ES$5&lt;=$F46,ES$5+GanttPeriod-1&gt;=$E46),"━","")))</f>
        <v/>
      </c>
      <c r="ET46" s="69" t="str">
        <f aca="false">IF($E46="","",IF($M46,IF(AND($G46&gt;=ET$5,$G46&lt;ET$5+GanttPeriod),"◆",IF(AND($E46&gt;=ET$5,$E46&lt;ET$5+GanttPeriod),"◇","")),IF(AND(ET$5&lt;=$F46,ET$5+GanttPeriod-1&gt;=$E46),"━","")))</f>
        <v/>
      </c>
      <c r="EU46" s="69" t="str">
        <f aca="false">IF($E46="","",IF($M46,IF(AND($G46&gt;=EU$5,$G46&lt;EU$5+GanttPeriod),"◆",IF(AND($E46&gt;=EU$5,$E46&lt;EU$5+GanttPeriod),"◇","")),IF(AND(EU$5&lt;=$F46,EU$5+GanttPeriod-1&gt;=$E46),"━","")))</f>
        <v/>
      </c>
      <c r="EV46" s="69" t="str">
        <f aca="false">IF($E46="","",IF($M46,IF(AND($G46&gt;=EV$5,$G46&lt;EV$5+GanttPeriod),"◆",IF(AND($E46&gt;=EV$5,$E46&lt;EV$5+GanttPeriod),"◇","")),IF(AND(EV$5&lt;=$F46,EV$5+GanttPeriod-1&gt;=$E46),"━","")))</f>
        <v/>
      </c>
      <c r="EW46" s="69" t="str">
        <f aca="false">IF($E46="","",IF($M46,IF(AND($G46&gt;=EW$5,$G46&lt;EW$5+GanttPeriod),"◆",IF(AND($E46&gt;=EW$5,$E46&lt;EW$5+GanttPeriod),"◇","")),IF(AND(EW$5&lt;=$F46,EW$5+GanttPeriod-1&gt;=$E46),"━","")))</f>
        <v/>
      </c>
      <c r="EX46" s="69" t="str">
        <f aca="false">IF($E46="","",IF($M46,IF(AND($G46&gt;=EX$5,$G46&lt;EX$5+GanttPeriod),"◆",IF(AND($E46&gt;=EX$5,$E46&lt;EX$5+GanttPeriod),"◇","")),IF(AND(EX$5&lt;=$F46,EX$5+GanttPeriod-1&gt;=$E46),"━","")))</f>
        <v/>
      </c>
      <c r="EY46" s="69" t="str">
        <f aca="false">IF($E46="","",IF($M46,IF(AND($G46&gt;=EY$5,$G46&lt;EY$5+GanttPeriod),"◆",IF(AND($E46&gt;=EY$5,$E46&lt;EY$5+GanttPeriod),"◇","")),IF(AND(EY$5&lt;=$F46,EY$5+GanttPeriod-1&gt;=$E46),"━","")))</f>
        <v/>
      </c>
      <c r="EZ46" s="69" t="str">
        <f aca="false">IF($E46="","",IF($M46,IF(AND($G46&gt;=EZ$5,$G46&lt;EZ$5+GanttPeriod),"◆",IF(AND($E46&gt;=EZ$5,$E46&lt;EZ$5+GanttPeriod),"◇","")),IF(AND(EZ$5&lt;=$F46,EZ$5+GanttPeriod-1&gt;=$E46),"━","")))</f>
        <v/>
      </c>
      <c r="FA46" s="69" t="str">
        <f aca="false">IF($E46="","",IF($M46,IF(AND($G46&gt;=FA$5,$G46&lt;FA$5+GanttPeriod),"◆",IF(AND($E46&gt;=FA$5,$E46&lt;FA$5+GanttPeriod),"◇","")),IF(AND(FA$5&lt;=$F46,FA$5+GanttPeriod-1&gt;=$E46),"━","")))</f>
        <v/>
      </c>
      <c r="FB46" s="69" t="str">
        <f aca="false">IF($E46="","",IF($M46,IF(AND($G46&gt;=FB$5,$G46&lt;FB$5+GanttPeriod),"◆",IF(AND($E46&gt;=FB$5,$E46&lt;FB$5+GanttPeriod),"◇","")),IF(AND(FB$5&lt;=$F46,FB$5+GanttPeriod-1&gt;=$E46),"━","")))</f>
        <v/>
      </c>
      <c r="FC46" s="69" t="str">
        <f aca="false">IF($E46="","",IF($M46,IF(AND($G46&gt;=FC$5,$G46&lt;FC$5+GanttPeriod),"◆",IF(AND($E46&gt;=FC$5,$E46&lt;FC$5+GanttPeriod),"◇","")),IF(AND(FC$5&lt;=$F46,FC$5+GanttPeriod-1&gt;=$E46),"━","")))</f>
        <v/>
      </c>
      <c r="FD46" s="69" t="str">
        <f aca="false">IF($E46="","",IF($M46,IF(AND($G46&gt;=FD$5,$G46&lt;FD$5+GanttPeriod),"◆",IF(AND($E46&gt;=FD$5,$E46&lt;FD$5+GanttPeriod),"◇","")),IF(AND(FD$5&lt;=$F46,FD$5+GanttPeriod-1&gt;=$E46),"━","")))</f>
        <v/>
      </c>
      <c r="FE46" s="69" t="str">
        <f aca="false">IF($E46="","",IF($M46,IF(AND($G46&gt;=FE$5,$G46&lt;FE$5+GanttPeriod),"◆",IF(AND($E46&gt;=FE$5,$E46&lt;FE$5+GanttPeriod),"◇","")),IF(AND(FE$5&lt;=$F46,FE$5+GanttPeriod-1&gt;=$E46),"━","")))</f>
        <v/>
      </c>
      <c r="FF46" s="69" t="str">
        <f aca="false">IF($E46="","",IF($M46,IF(AND($G46&gt;=FF$5,$G46&lt;FF$5+GanttPeriod),"◆",IF(AND($E46&gt;=FF$5,$E46&lt;FF$5+GanttPeriod),"◇","")),IF(AND(FF$5&lt;=$F46,FF$5+GanttPeriod-1&gt;=$E46),"━","")))</f>
        <v/>
      </c>
      <c r="FG46" s="69" t="str">
        <f aca="false">IF($E46="","",IF($M46,IF(AND($G46&gt;=FG$5,$G46&lt;FG$5+GanttPeriod),"◆",IF(AND($E46&gt;=FG$5,$E46&lt;FG$5+GanttPeriod),"◇","")),IF(AND(FG$5&lt;=$F46,FG$5+GanttPeriod-1&gt;=$E46),"━","")))</f>
        <v/>
      </c>
      <c r="FH46" s="69" t="str">
        <f aca="false">IF($E46="","",IF($M46,IF(AND($G46&gt;=FH$5,$G46&lt;FH$5+GanttPeriod),"◆",IF(AND($E46&gt;=FH$5,$E46&lt;FH$5+GanttPeriod),"◇","")),IF(AND(FH$5&lt;=$F46,FH$5+GanttPeriod-1&gt;=$E46),"━","")))</f>
        <v/>
      </c>
      <c r="FI46" s="69" t="str">
        <f aca="false">IF($E46="","",IF($M46,IF(AND($G46&gt;=FI$5,$G46&lt;FI$5+GanttPeriod),"◆",IF(AND($E46&gt;=FI$5,$E46&lt;FI$5+GanttPeriod),"◇","")),IF(AND(FI$5&lt;=$F46,FI$5+GanttPeriod-1&gt;=$E46),"━","")))</f>
        <v/>
      </c>
      <c r="FJ46" s="69" t="str">
        <f aca="false">IF($E46="","",IF($M46,IF(AND($G46&gt;=FJ$5,$G46&lt;FJ$5+GanttPeriod),"◆",IF(AND($E46&gt;=FJ$5,$E46&lt;FJ$5+GanttPeriod),"◇","")),IF(AND(FJ$5&lt;=$F46,FJ$5+GanttPeriod-1&gt;=$E46),"━","")))</f>
        <v/>
      </c>
      <c r="FK46" s="69" t="str">
        <f aca="false">IF($E46="","",IF($M46,IF(AND($G46&gt;=FK$5,$G46&lt;FK$5+GanttPeriod),"◆",IF(AND($E46&gt;=FK$5,$E46&lt;FK$5+GanttPeriod),"◇","")),IF(AND(FK$5&lt;=$F46,FK$5+GanttPeriod-1&gt;=$E46),"━","")))</f>
        <v/>
      </c>
      <c r="FL46" s="69" t="str">
        <f aca="false">IF($E46="","",IF($M46,IF(AND($G46&gt;=FL$5,$G46&lt;FL$5+GanttPeriod),"◆",IF(AND($E46&gt;=FL$5,$E46&lt;FL$5+GanttPeriod),"◇","")),IF(AND(FL$5&lt;=$F46,FL$5+GanttPeriod-1&gt;=$E46),"━","")))</f>
        <v/>
      </c>
      <c r="FM46" s="69" t="str">
        <f aca="false">IF($E46="","",IF($M46,IF(AND($G46&gt;=FM$5,$G46&lt;FM$5+GanttPeriod),"◆",IF(AND($E46&gt;=FM$5,$E46&lt;FM$5+GanttPeriod),"◇","")),IF(AND(FM$5&lt;=$F46,FM$5+GanttPeriod-1&gt;=$E46),"━","")))</f>
        <v/>
      </c>
    </row>
    <row r="47" customFormat="false" ht="15" hidden="false" customHeight="false" outlineLevel="0" collapsed="false">
      <c r="A47" s="62" t="str">
        <f aca="false">IF(Tasks!$D47="","",Tasks!$A47)</f>
        <v/>
      </c>
      <c r="B47" s="62" t="str">
        <f aca="false">IF(Tasks!$D47="","",Tasks!$B47)</f>
        <v/>
      </c>
      <c r="C47" s="63" t="str">
        <f aca="false">IF(Tasks!$D47="","",REPT("    ",Tasks!$AE47-1)&amp;Tasks!$D47)</f>
        <v/>
      </c>
      <c r="D47" s="62" t="str">
        <f aca="false">IF(Tasks!$D47="","",IF(Tasks!$AI47,NETWORKDAYS.INTL(Tasks!$R47,Tasks!$S47,WorkWeek,Holidays),N(Tasks!$F47)))</f>
        <v/>
      </c>
      <c r="E47" s="64" t="str">
        <f aca="false">IF(Tasks!$D47="","",Tasks!$N47)</f>
        <v/>
      </c>
      <c r="F47" s="64" t="str">
        <f aca="false">IF(Tasks!$D47="","",Tasks!$O47)</f>
        <v/>
      </c>
      <c r="G47" s="64" t="str">
        <f aca="false">IF(Tasks!$D47="","",Tasks!$R47)</f>
        <v/>
      </c>
      <c r="H47" s="64" t="str">
        <f aca="false">IF(Tasks!$D47="","",Tasks!$S47)</f>
        <v/>
      </c>
      <c r="I47" s="65" t="str">
        <f aca="false">IF(Tasks!$D47="","",Tasks!$V47)</f>
        <v/>
      </c>
      <c r="J47" s="63" t="str">
        <f aca="false">IF(Tasks!$D47="","",Tasks!$X47&amp;"")</f>
        <v/>
      </c>
      <c r="K47" s="66" t="str">
        <f aca="false">IF(Tasks!$D47="","",Tasks!$W47)</f>
        <v/>
      </c>
      <c r="L47" s="67" t="b">
        <f aca="false">IF(Tasks!$D47="",FALSE(),Tasks!$AI47)</f>
        <v>0</v>
      </c>
      <c r="M47" s="67" t="b">
        <f aca="false">AND(Tasks!$AJ47=1,N(Tasks!$F47)=0)</f>
        <v>0</v>
      </c>
      <c r="N47" s="68" t="n">
        <f aca="false">IF(AND(Tasks!$AJ47=1,NOT($M47),N($I47)&gt;0),$G47,0)</f>
        <v>0</v>
      </c>
      <c r="O47" s="68" t="n">
        <f aca="false">IF($N47=0,0,IF($I47&gt;=1,$H47,MAX($N47,$G47+ROUND(($H47-$G47+1)*$I47,0)-1)))</f>
        <v>0</v>
      </c>
      <c r="P47" s="68" t="n">
        <f aca="false">IF(OR(Tasks!$AJ47&lt;&gt;1,$M47,N($I47)&gt;=1),0,IF($O47&gt;0,$O47+1,$G47))</f>
        <v>0</v>
      </c>
      <c r="Q47" s="68" t="n">
        <f aca="false">IF($P47=0,0,$H47)</f>
        <v>0</v>
      </c>
      <c r="R47" s="67" t="b">
        <f aca="false">AND(Tasks!$D47&lt;&gt;"",N(Tasks!$T47)&gt;0)</f>
        <v>0</v>
      </c>
      <c r="T47" s="69" t="str">
        <f aca="false">IF($E47="","",IF($M47,IF(AND($G47&gt;=T$5,$G47&lt;T$5+GanttPeriod),"◆",IF(AND($E47&gt;=T$5,$E47&lt;T$5+GanttPeriod),"◇","")),IF(AND(T$5&lt;=$F47,T$5+GanttPeriod-1&gt;=$E47),"━","")))</f>
        <v/>
      </c>
      <c r="U47" s="69" t="str">
        <f aca="false">IF($E47="","",IF($M47,IF(AND($G47&gt;=U$5,$G47&lt;U$5+GanttPeriod),"◆",IF(AND($E47&gt;=U$5,$E47&lt;U$5+GanttPeriod),"◇","")),IF(AND(U$5&lt;=$F47,U$5+GanttPeriod-1&gt;=$E47),"━","")))</f>
        <v/>
      </c>
      <c r="V47" s="69" t="str">
        <f aca="false">IF($E47="","",IF($M47,IF(AND($G47&gt;=V$5,$G47&lt;V$5+GanttPeriod),"◆",IF(AND($E47&gt;=V$5,$E47&lt;V$5+GanttPeriod),"◇","")),IF(AND(V$5&lt;=$F47,V$5+GanttPeriod-1&gt;=$E47),"━","")))</f>
        <v/>
      </c>
      <c r="W47" s="69" t="str">
        <f aca="false">IF($E47="","",IF($M47,IF(AND($G47&gt;=W$5,$G47&lt;W$5+GanttPeriod),"◆",IF(AND($E47&gt;=W$5,$E47&lt;W$5+GanttPeriod),"◇","")),IF(AND(W$5&lt;=$F47,W$5+GanttPeriod-1&gt;=$E47),"━","")))</f>
        <v/>
      </c>
      <c r="X47" s="69" t="str">
        <f aca="false">IF($E47="","",IF($M47,IF(AND($G47&gt;=X$5,$G47&lt;X$5+GanttPeriod),"◆",IF(AND($E47&gt;=X$5,$E47&lt;X$5+GanttPeriod),"◇","")),IF(AND(X$5&lt;=$F47,X$5+GanttPeriod-1&gt;=$E47),"━","")))</f>
        <v/>
      </c>
      <c r="Y47" s="69" t="str">
        <f aca="false">IF($E47="","",IF($M47,IF(AND($G47&gt;=Y$5,$G47&lt;Y$5+GanttPeriod),"◆",IF(AND($E47&gt;=Y$5,$E47&lt;Y$5+GanttPeriod),"◇","")),IF(AND(Y$5&lt;=$F47,Y$5+GanttPeriod-1&gt;=$E47),"━","")))</f>
        <v/>
      </c>
      <c r="Z47" s="69" t="str">
        <f aca="false">IF($E47="","",IF($M47,IF(AND($G47&gt;=Z$5,$G47&lt;Z$5+GanttPeriod),"◆",IF(AND($E47&gt;=Z$5,$E47&lt;Z$5+GanttPeriod),"◇","")),IF(AND(Z$5&lt;=$F47,Z$5+GanttPeriod-1&gt;=$E47),"━","")))</f>
        <v/>
      </c>
      <c r="AA47" s="69" t="str">
        <f aca="false">IF($E47="","",IF($M47,IF(AND($G47&gt;=AA$5,$G47&lt;AA$5+GanttPeriod),"◆",IF(AND($E47&gt;=AA$5,$E47&lt;AA$5+GanttPeriod),"◇","")),IF(AND(AA$5&lt;=$F47,AA$5+GanttPeriod-1&gt;=$E47),"━","")))</f>
        <v/>
      </c>
      <c r="AB47" s="69" t="str">
        <f aca="false">IF($E47="","",IF($M47,IF(AND($G47&gt;=AB$5,$G47&lt;AB$5+GanttPeriod),"◆",IF(AND($E47&gt;=AB$5,$E47&lt;AB$5+GanttPeriod),"◇","")),IF(AND(AB$5&lt;=$F47,AB$5+GanttPeriod-1&gt;=$E47),"━","")))</f>
        <v/>
      </c>
      <c r="AC47" s="69" t="str">
        <f aca="false">IF($E47="","",IF($M47,IF(AND($G47&gt;=AC$5,$G47&lt;AC$5+GanttPeriod),"◆",IF(AND($E47&gt;=AC$5,$E47&lt;AC$5+GanttPeriod),"◇","")),IF(AND(AC$5&lt;=$F47,AC$5+GanttPeriod-1&gt;=$E47),"━","")))</f>
        <v/>
      </c>
      <c r="AD47" s="69" t="str">
        <f aca="false">IF($E47="","",IF($M47,IF(AND($G47&gt;=AD$5,$G47&lt;AD$5+GanttPeriod),"◆",IF(AND($E47&gt;=AD$5,$E47&lt;AD$5+GanttPeriod),"◇","")),IF(AND(AD$5&lt;=$F47,AD$5+GanttPeriod-1&gt;=$E47),"━","")))</f>
        <v/>
      </c>
      <c r="AE47" s="69" t="str">
        <f aca="false">IF($E47="","",IF($M47,IF(AND($G47&gt;=AE$5,$G47&lt;AE$5+GanttPeriod),"◆",IF(AND($E47&gt;=AE$5,$E47&lt;AE$5+GanttPeriod),"◇","")),IF(AND(AE$5&lt;=$F47,AE$5+GanttPeriod-1&gt;=$E47),"━","")))</f>
        <v/>
      </c>
      <c r="AF47" s="69" t="str">
        <f aca="false">IF($E47="","",IF($M47,IF(AND($G47&gt;=AF$5,$G47&lt;AF$5+GanttPeriod),"◆",IF(AND($E47&gt;=AF$5,$E47&lt;AF$5+GanttPeriod),"◇","")),IF(AND(AF$5&lt;=$F47,AF$5+GanttPeriod-1&gt;=$E47),"━","")))</f>
        <v/>
      </c>
      <c r="AG47" s="69" t="str">
        <f aca="false">IF($E47="","",IF($M47,IF(AND($G47&gt;=AG$5,$G47&lt;AG$5+GanttPeriod),"◆",IF(AND($E47&gt;=AG$5,$E47&lt;AG$5+GanttPeriod),"◇","")),IF(AND(AG$5&lt;=$F47,AG$5+GanttPeriod-1&gt;=$E47),"━","")))</f>
        <v/>
      </c>
      <c r="AH47" s="69" t="str">
        <f aca="false">IF($E47="","",IF($M47,IF(AND($G47&gt;=AH$5,$G47&lt;AH$5+GanttPeriod),"◆",IF(AND($E47&gt;=AH$5,$E47&lt;AH$5+GanttPeriod),"◇","")),IF(AND(AH$5&lt;=$F47,AH$5+GanttPeriod-1&gt;=$E47),"━","")))</f>
        <v/>
      </c>
      <c r="AI47" s="69" t="str">
        <f aca="false">IF($E47="","",IF($M47,IF(AND($G47&gt;=AI$5,$G47&lt;AI$5+GanttPeriod),"◆",IF(AND($E47&gt;=AI$5,$E47&lt;AI$5+GanttPeriod),"◇","")),IF(AND(AI$5&lt;=$F47,AI$5+GanttPeriod-1&gt;=$E47),"━","")))</f>
        <v/>
      </c>
      <c r="AJ47" s="69" t="str">
        <f aca="false">IF($E47="","",IF($M47,IF(AND($G47&gt;=AJ$5,$G47&lt;AJ$5+GanttPeriod),"◆",IF(AND($E47&gt;=AJ$5,$E47&lt;AJ$5+GanttPeriod),"◇","")),IF(AND(AJ$5&lt;=$F47,AJ$5+GanttPeriod-1&gt;=$E47),"━","")))</f>
        <v/>
      </c>
      <c r="AK47" s="69" t="str">
        <f aca="false">IF($E47="","",IF($M47,IF(AND($G47&gt;=AK$5,$G47&lt;AK$5+GanttPeriod),"◆",IF(AND($E47&gt;=AK$5,$E47&lt;AK$5+GanttPeriod),"◇","")),IF(AND(AK$5&lt;=$F47,AK$5+GanttPeriod-1&gt;=$E47),"━","")))</f>
        <v/>
      </c>
      <c r="AL47" s="69" t="str">
        <f aca="false">IF($E47="","",IF($M47,IF(AND($G47&gt;=AL$5,$G47&lt;AL$5+GanttPeriod),"◆",IF(AND($E47&gt;=AL$5,$E47&lt;AL$5+GanttPeriod),"◇","")),IF(AND(AL$5&lt;=$F47,AL$5+GanttPeriod-1&gt;=$E47),"━","")))</f>
        <v/>
      </c>
      <c r="AM47" s="69" t="str">
        <f aca="false">IF($E47="","",IF($M47,IF(AND($G47&gt;=AM$5,$G47&lt;AM$5+GanttPeriod),"◆",IF(AND($E47&gt;=AM$5,$E47&lt;AM$5+GanttPeriod),"◇","")),IF(AND(AM$5&lt;=$F47,AM$5+GanttPeriod-1&gt;=$E47),"━","")))</f>
        <v/>
      </c>
      <c r="AN47" s="69" t="str">
        <f aca="false">IF($E47="","",IF($M47,IF(AND($G47&gt;=AN$5,$G47&lt;AN$5+GanttPeriod),"◆",IF(AND($E47&gt;=AN$5,$E47&lt;AN$5+GanttPeriod),"◇","")),IF(AND(AN$5&lt;=$F47,AN$5+GanttPeriod-1&gt;=$E47),"━","")))</f>
        <v/>
      </c>
      <c r="AO47" s="69" t="str">
        <f aca="false">IF($E47="","",IF($M47,IF(AND($G47&gt;=AO$5,$G47&lt;AO$5+GanttPeriod),"◆",IF(AND($E47&gt;=AO$5,$E47&lt;AO$5+GanttPeriod),"◇","")),IF(AND(AO$5&lt;=$F47,AO$5+GanttPeriod-1&gt;=$E47),"━","")))</f>
        <v/>
      </c>
      <c r="AP47" s="69" t="str">
        <f aca="false">IF($E47="","",IF($M47,IF(AND($G47&gt;=AP$5,$G47&lt;AP$5+GanttPeriod),"◆",IF(AND($E47&gt;=AP$5,$E47&lt;AP$5+GanttPeriod),"◇","")),IF(AND(AP$5&lt;=$F47,AP$5+GanttPeriod-1&gt;=$E47),"━","")))</f>
        <v/>
      </c>
      <c r="AQ47" s="69" t="str">
        <f aca="false">IF($E47="","",IF($M47,IF(AND($G47&gt;=AQ$5,$G47&lt;AQ$5+GanttPeriod),"◆",IF(AND($E47&gt;=AQ$5,$E47&lt;AQ$5+GanttPeriod),"◇","")),IF(AND(AQ$5&lt;=$F47,AQ$5+GanttPeriod-1&gt;=$E47),"━","")))</f>
        <v/>
      </c>
      <c r="AR47" s="69" t="str">
        <f aca="false">IF($E47="","",IF($M47,IF(AND($G47&gt;=AR$5,$G47&lt;AR$5+GanttPeriod),"◆",IF(AND($E47&gt;=AR$5,$E47&lt;AR$5+GanttPeriod),"◇","")),IF(AND(AR$5&lt;=$F47,AR$5+GanttPeriod-1&gt;=$E47),"━","")))</f>
        <v/>
      </c>
      <c r="AS47" s="69" t="str">
        <f aca="false">IF($E47="","",IF($M47,IF(AND($G47&gt;=AS$5,$G47&lt;AS$5+GanttPeriod),"◆",IF(AND($E47&gt;=AS$5,$E47&lt;AS$5+GanttPeriod),"◇","")),IF(AND(AS$5&lt;=$F47,AS$5+GanttPeriod-1&gt;=$E47),"━","")))</f>
        <v/>
      </c>
      <c r="AT47" s="69" t="str">
        <f aca="false">IF($E47="","",IF($M47,IF(AND($G47&gt;=AT$5,$G47&lt;AT$5+GanttPeriod),"◆",IF(AND($E47&gt;=AT$5,$E47&lt;AT$5+GanttPeriod),"◇","")),IF(AND(AT$5&lt;=$F47,AT$5+GanttPeriod-1&gt;=$E47),"━","")))</f>
        <v/>
      </c>
      <c r="AU47" s="69" t="str">
        <f aca="false">IF($E47="","",IF($M47,IF(AND($G47&gt;=AU$5,$G47&lt;AU$5+GanttPeriod),"◆",IF(AND($E47&gt;=AU$5,$E47&lt;AU$5+GanttPeriod),"◇","")),IF(AND(AU$5&lt;=$F47,AU$5+GanttPeriod-1&gt;=$E47),"━","")))</f>
        <v/>
      </c>
      <c r="AV47" s="69" t="str">
        <f aca="false">IF($E47="","",IF($M47,IF(AND($G47&gt;=AV$5,$G47&lt;AV$5+GanttPeriod),"◆",IF(AND($E47&gt;=AV$5,$E47&lt;AV$5+GanttPeriod),"◇","")),IF(AND(AV$5&lt;=$F47,AV$5+GanttPeriod-1&gt;=$E47),"━","")))</f>
        <v/>
      </c>
      <c r="AW47" s="69" t="str">
        <f aca="false">IF($E47="","",IF($M47,IF(AND($G47&gt;=AW$5,$G47&lt;AW$5+GanttPeriod),"◆",IF(AND($E47&gt;=AW$5,$E47&lt;AW$5+GanttPeriod),"◇","")),IF(AND(AW$5&lt;=$F47,AW$5+GanttPeriod-1&gt;=$E47),"━","")))</f>
        <v/>
      </c>
      <c r="AX47" s="69" t="str">
        <f aca="false">IF($E47="","",IF($M47,IF(AND($G47&gt;=AX$5,$G47&lt;AX$5+GanttPeriod),"◆",IF(AND($E47&gt;=AX$5,$E47&lt;AX$5+GanttPeriod),"◇","")),IF(AND(AX$5&lt;=$F47,AX$5+GanttPeriod-1&gt;=$E47),"━","")))</f>
        <v/>
      </c>
      <c r="AY47" s="69" t="str">
        <f aca="false">IF($E47="","",IF($M47,IF(AND($G47&gt;=AY$5,$G47&lt;AY$5+GanttPeriod),"◆",IF(AND($E47&gt;=AY$5,$E47&lt;AY$5+GanttPeriod),"◇","")),IF(AND(AY$5&lt;=$F47,AY$5+GanttPeriod-1&gt;=$E47),"━","")))</f>
        <v/>
      </c>
      <c r="AZ47" s="69" t="str">
        <f aca="false">IF($E47="","",IF($M47,IF(AND($G47&gt;=AZ$5,$G47&lt;AZ$5+GanttPeriod),"◆",IF(AND($E47&gt;=AZ$5,$E47&lt;AZ$5+GanttPeriod),"◇","")),IF(AND(AZ$5&lt;=$F47,AZ$5+GanttPeriod-1&gt;=$E47),"━","")))</f>
        <v/>
      </c>
      <c r="BA47" s="69" t="str">
        <f aca="false">IF($E47="","",IF($M47,IF(AND($G47&gt;=BA$5,$G47&lt;BA$5+GanttPeriod),"◆",IF(AND($E47&gt;=BA$5,$E47&lt;BA$5+GanttPeriod),"◇","")),IF(AND(BA$5&lt;=$F47,BA$5+GanttPeriod-1&gt;=$E47),"━","")))</f>
        <v/>
      </c>
      <c r="BB47" s="69" t="str">
        <f aca="false">IF($E47="","",IF($M47,IF(AND($G47&gt;=BB$5,$G47&lt;BB$5+GanttPeriod),"◆",IF(AND($E47&gt;=BB$5,$E47&lt;BB$5+GanttPeriod),"◇","")),IF(AND(BB$5&lt;=$F47,BB$5+GanttPeriod-1&gt;=$E47),"━","")))</f>
        <v/>
      </c>
      <c r="BC47" s="69" t="str">
        <f aca="false">IF($E47="","",IF($M47,IF(AND($G47&gt;=BC$5,$G47&lt;BC$5+GanttPeriod),"◆",IF(AND($E47&gt;=BC$5,$E47&lt;BC$5+GanttPeriod),"◇","")),IF(AND(BC$5&lt;=$F47,BC$5+GanttPeriod-1&gt;=$E47),"━","")))</f>
        <v/>
      </c>
      <c r="BD47" s="69" t="str">
        <f aca="false">IF($E47="","",IF($M47,IF(AND($G47&gt;=BD$5,$G47&lt;BD$5+GanttPeriod),"◆",IF(AND($E47&gt;=BD$5,$E47&lt;BD$5+GanttPeriod),"◇","")),IF(AND(BD$5&lt;=$F47,BD$5+GanttPeriod-1&gt;=$E47),"━","")))</f>
        <v/>
      </c>
      <c r="BE47" s="69" t="str">
        <f aca="false">IF($E47="","",IF($M47,IF(AND($G47&gt;=BE$5,$G47&lt;BE$5+GanttPeriod),"◆",IF(AND($E47&gt;=BE$5,$E47&lt;BE$5+GanttPeriod),"◇","")),IF(AND(BE$5&lt;=$F47,BE$5+GanttPeriod-1&gt;=$E47),"━","")))</f>
        <v/>
      </c>
      <c r="BF47" s="69" t="str">
        <f aca="false">IF($E47="","",IF($M47,IF(AND($G47&gt;=BF$5,$G47&lt;BF$5+GanttPeriod),"◆",IF(AND($E47&gt;=BF$5,$E47&lt;BF$5+GanttPeriod),"◇","")),IF(AND(BF$5&lt;=$F47,BF$5+GanttPeriod-1&gt;=$E47),"━","")))</f>
        <v/>
      </c>
      <c r="BG47" s="69" t="str">
        <f aca="false">IF($E47="","",IF($M47,IF(AND($G47&gt;=BG$5,$G47&lt;BG$5+GanttPeriod),"◆",IF(AND($E47&gt;=BG$5,$E47&lt;BG$5+GanttPeriod),"◇","")),IF(AND(BG$5&lt;=$F47,BG$5+GanttPeriod-1&gt;=$E47),"━","")))</f>
        <v/>
      </c>
      <c r="BH47" s="69" t="str">
        <f aca="false">IF($E47="","",IF($M47,IF(AND($G47&gt;=BH$5,$G47&lt;BH$5+GanttPeriod),"◆",IF(AND($E47&gt;=BH$5,$E47&lt;BH$5+GanttPeriod),"◇","")),IF(AND(BH$5&lt;=$F47,BH$5+GanttPeriod-1&gt;=$E47),"━","")))</f>
        <v/>
      </c>
      <c r="BI47" s="69" t="str">
        <f aca="false">IF($E47="","",IF($M47,IF(AND($G47&gt;=BI$5,$G47&lt;BI$5+GanttPeriod),"◆",IF(AND($E47&gt;=BI$5,$E47&lt;BI$5+GanttPeriod),"◇","")),IF(AND(BI$5&lt;=$F47,BI$5+GanttPeriod-1&gt;=$E47),"━","")))</f>
        <v/>
      </c>
      <c r="BJ47" s="69" t="str">
        <f aca="false">IF($E47="","",IF($M47,IF(AND($G47&gt;=BJ$5,$G47&lt;BJ$5+GanttPeriod),"◆",IF(AND($E47&gt;=BJ$5,$E47&lt;BJ$5+GanttPeriod),"◇","")),IF(AND(BJ$5&lt;=$F47,BJ$5+GanttPeriod-1&gt;=$E47),"━","")))</f>
        <v/>
      </c>
      <c r="BK47" s="69" t="str">
        <f aca="false">IF($E47="","",IF($M47,IF(AND($G47&gt;=BK$5,$G47&lt;BK$5+GanttPeriod),"◆",IF(AND($E47&gt;=BK$5,$E47&lt;BK$5+GanttPeriod),"◇","")),IF(AND(BK$5&lt;=$F47,BK$5+GanttPeriod-1&gt;=$E47),"━","")))</f>
        <v/>
      </c>
      <c r="BL47" s="69" t="str">
        <f aca="false">IF($E47="","",IF($M47,IF(AND($G47&gt;=BL$5,$G47&lt;BL$5+GanttPeriod),"◆",IF(AND($E47&gt;=BL$5,$E47&lt;BL$5+GanttPeriod),"◇","")),IF(AND(BL$5&lt;=$F47,BL$5+GanttPeriod-1&gt;=$E47),"━","")))</f>
        <v/>
      </c>
      <c r="BM47" s="69" t="str">
        <f aca="false">IF($E47="","",IF($M47,IF(AND($G47&gt;=BM$5,$G47&lt;BM$5+GanttPeriod),"◆",IF(AND($E47&gt;=BM$5,$E47&lt;BM$5+GanttPeriod),"◇","")),IF(AND(BM$5&lt;=$F47,BM$5+GanttPeriod-1&gt;=$E47),"━","")))</f>
        <v/>
      </c>
      <c r="BN47" s="69" t="str">
        <f aca="false">IF($E47="","",IF($M47,IF(AND($G47&gt;=BN$5,$G47&lt;BN$5+GanttPeriod),"◆",IF(AND($E47&gt;=BN$5,$E47&lt;BN$5+GanttPeriod),"◇","")),IF(AND(BN$5&lt;=$F47,BN$5+GanttPeriod-1&gt;=$E47),"━","")))</f>
        <v/>
      </c>
      <c r="BO47" s="69" t="str">
        <f aca="false">IF($E47="","",IF($M47,IF(AND($G47&gt;=BO$5,$G47&lt;BO$5+GanttPeriod),"◆",IF(AND($E47&gt;=BO$5,$E47&lt;BO$5+GanttPeriod),"◇","")),IF(AND(BO$5&lt;=$F47,BO$5+GanttPeriod-1&gt;=$E47),"━","")))</f>
        <v/>
      </c>
      <c r="BP47" s="69" t="str">
        <f aca="false">IF($E47="","",IF($M47,IF(AND($G47&gt;=BP$5,$G47&lt;BP$5+GanttPeriod),"◆",IF(AND($E47&gt;=BP$5,$E47&lt;BP$5+GanttPeriod),"◇","")),IF(AND(BP$5&lt;=$F47,BP$5+GanttPeriod-1&gt;=$E47),"━","")))</f>
        <v/>
      </c>
      <c r="BQ47" s="69" t="str">
        <f aca="false">IF($E47="","",IF($M47,IF(AND($G47&gt;=BQ$5,$G47&lt;BQ$5+GanttPeriod),"◆",IF(AND($E47&gt;=BQ$5,$E47&lt;BQ$5+GanttPeriod),"◇","")),IF(AND(BQ$5&lt;=$F47,BQ$5+GanttPeriod-1&gt;=$E47),"━","")))</f>
        <v/>
      </c>
      <c r="BR47" s="69" t="str">
        <f aca="false">IF($E47="","",IF($M47,IF(AND($G47&gt;=BR$5,$G47&lt;BR$5+GanttPeriod),"◆",IF(AND($E47&gt;=BR$5,$E47&lt;BR$5+GanttPeriod),"◇","")),IF(AND(BR$5&lt;=$F47,BR$5+GanttPeriod-1&gt;=$E47),"━","")))</f>
        <v/>
      </c>
      <c r="BS47" s="69" t="str">
        <f aca="false">IF($E47="","",IF($M47,IF(AND($G47&gt;=BS$5,$G47&lt;BS$5+GanttPeriod),"◆",IF(AND($E47&gt;=BS$5,$E47&lt;BS$5+GanttPeriod),"◇","")),IF(AND(BS$5&lt;=$F47,BS$5+GanttPeriod-1&gt;=$E47),"━","")))</f>
        <v/>
      </c>
      <c r="BT47" s="69" t="str">
        <f aca="false">IF($E47="","",IF($M47,IF(AND($G47&gt;=BT$5,$G47&lt;BT$5+GanttPeriod),"◆",IF(AND($E47&gt;=BT$5,$E47&lt;BT$5+GanttPeriod),"◇","")),IF(AND(BT$5&lt;=$F47,BT$5+GanttPeriod-1&gt;=$E47),"━","")))</f>
        <v/>
      </c>
      <c r="BU47" s="69" t="str">
        <f aca="false">IF($E47="","",IF($M47,IF(AND($G47&gt;=BU$5,$G47&lt;BU$5+GanttPeriod),"◆",IF(AND($E47&gt;=BU$5,$E47&lt;BU$5+GanttPeriod),"◇","")),IF(AND(BU$5&lt;=$F47,BU$5+GanttPeriod-1&gt;=$E47),"━","")))</f>
        <v/>
      </c>
      <c r="BV47" s="69" t="str">
        <f aca="false">IF($E47="","",IF($M47,IF(AND($G47&gt;=BV$5,$G47&lt;BV$5+GanttPeriod),"◆",IF(AND($E47&gt;=BV$5,$E47&lt;BV$5+GanttPeriod),"◇","")),IF(AND(BV$5&lt;=$F47,BV$5+GanttPeriod-1&gt;=$E47),"━","")))</f>
        <v/>
      </c>
      <c r="BW47" s="69" t="str">
        <f aca="false">IF($E47="","",IF($M47,IF(AND($G47&gt;=BW$5,$G47&lt;BW$5+GanttPeriod),"◆",IF(AND($E47&gt;=BW$5,$E47&lt;BW$5+GanttPeriod),"◇","")),IF(AND(BW$5&lt;=$F47,BW$5+GanttPeriod-1&gt;=$E47),"━","")))</f>
        <v/>
      </c>
      <c r="BX47" s="69" t="str">
        <f aca="false">IF($E47="","",IF($M47,IF(AND($G47&gt;=BX$5,$G47&lt;BX$5+GanttPeriod),"◆",IF(AND($E47&gt;=BX$5,$E47&lt;BX$5+GanttPeriod),"◇","")),IF(AND(BX$5&lt;=$F47,BX$5+GanttPeriod-1&gt;=$E47),"━","")))</f>
        <v/>
      </c>
      <c r="BY47" s="69" t="str">
        <f aca="false">IF($E47="","",IF($M47,IF(AND($G47&gt;=BY$5,$G47&lt;BY$5+GanttPeriod),"◆",IF(AND($E47&gt;=BY$5,$E47&lt;BY$5+GanttPeriod),"◇","")),IF(AND(BY$5&lt;=$F47,BY$5+GanttPeriod-1&gt;=$E47),"━","")))</f>
        <v/>
      </c>
      <c r="BZ47" s="69" t="str">
        <f aca="false">IF($E47="","",IF($M47,IF(AND($G47&gt;=BZ$5,$G47&lt;BZ$5+GanttPeriod),"◆",IF(AND($E47&gt;=BZ$5,$E47&lt;BZ$5+GanttPeriod),"◇","")),IF(AND(BZ$5&lt;=$F47,BZ$5+GanttPeriod-1&gt;=$E47),"━","")))</f>
        <v/>
      </c>
      <c r="CA47" s="69" t="str">
        <f aca="false">IF($E47="","",IF($M47,IF(AND($G47&gt;=CA$5,$G47&lt;CA$5+GanttPeriod),"◆",IF(AND($E47&gt;=CA$5,$E47&lt;CA$5+GanttPeriod),"◇","")),IF(AND(CA$5&lt;=$F47,CA$5+GanttPeriod-1&gt;=$E47),"━","")))</f>
        <v/>
      </c>
      <c r="CB47" s="69" t="str">
        <f aca="false">IF($E47="","",IF($M47,IF(AND($G47&gt;=CB$5,$G47&lt;CB$5+GanttPeriod),"◆",IF(AND($E47&gt;=CB$5,$E47&lt;CB$5+GanttPeriod),"◇","")),IF(AND(CB$5&lt;=$F47,CB$5+GanttPeriod-1&gt;=$E47),"━","")))</f>
        <v/>
      </c>
      <c r="CC47" s="69" t="str">
        <f aca="false">IF($E47="","",IF($M47,IF(AND($G47&gt;=CC$5,$G47&lt;CC$5+GanttPeriod),"◆",IF(AND($E47&gt;=CC$5,$E47&lt;CC$5+GanttPeriod),"◇","")),IF(AND(CC$5&lt;=$F47,CC$5+GanttPeriod-1&gt;=$E47),"━","")))</f>
        <v/>
      </c>
      <c r="CD47" s="69" t="str">
        <f aca="false">IF($E47="","",IF($M47,IF(AND($G47&gt;=CD$5,$G47&lt;CD$5+GanttPeriod),"◆",IF(AND($E47&gt;=CD$5,$E47&lt;CD$5+GanttPeriod),"◇","")),IF(AND(CD$5&lt;=$F47,CD$5+GanttPeriod-1&gt;=$E47),"━","")))</f>
        <v/>
      </c>
      <c r="CE47" s="69" t="str">
        <f aca="false">IF($E47="","",IF($M47,IF(AND($G47&gt;=CE$5,$G47&lt;CE$5+GanttPeriod),"◆",IF(AND($E47&gt;=CE$5,$E47&lt;CE$5+GanttPeriod),"◇","")),IF(AND(CE$5&lt;=$F47,CE$5+GanttPeriod-1&gt;=$E47),"━","")))</f>
        <v/>
      </c>
      <c r="CF47" s="69" t="str">
        <f aca="false">IF($E47="","",IF($M47,IF(AND($G47&gt;=CF$5,$G47&lt;CF$5+GanttPeriod),"◆",IF(AND($E47&gt;=CF$5,$E47&lt;CF$5+GanttPeriod),"◇","")),IF(AND(CF$5&lt;=$F47,CF$5+GanttPeriod-1&gt;=$E47),"━","")))</f>
        <v/>
      </c>
      <c r="CG47" s="69" t="str">
        <f aca="false">IF($E47="","",IF($M47,IF(AND($G47&gt;=CG$5,$G47&lt;CG$5+GanttPeriod),"◆",IF(AND($E47&gt;=CG$5,$E47&lt;CG$5+GanttPeriod),"◇","")),IF(AND(CG$5&lt;=$F47,CG$5+GanttPeriod-1&gt;=$E47),"━","")))</f>
        <v/>
      </c>
      <c r="CH47" s="69" t="str">
        <f aca="false">IF($E47="","",IF($M47,IF(AND($G47&gt;=CH$5,$G47&lt;CH$5+GanttPeriod),"◆",IF(AND($E47&gt;=CH$5,$E47&lt;CH$5+GanttPeriod),"◇","")),IF(AND(CH$5&lt;=$F47,CH$5+GanttPeriod-1&gt;=$E47),"━","")))</f>
        <v/>
      </c>
      <c r="CI47" s="69" t="str">
        <f aca="false">IF($E47="","",IF($M47,IF(AND($G47&gt;=CI$5,$G47&lt;CI$5+GanttPeriod),"◆",IF(AND($E47&gt;=CI$5,$E47&lt;CI$5+GanttPeriod),"◇","")),IF(AND(CI$5&lt;=$F47,CI$5+GanttPeriod-1&gt;=$E47),"━","")))</f>
        <v/>
      </c>
      <c r="CJ47" s="69" t="str">
        <f aca="false">IF($E47="","",IF($M47,IF(AND($G47&gt;=CJ$5,$G47&lt;CJ$5+GanttPeriod),"◆",IF(AND($E47&gt;=CJ$5,$E47&lt;CJ$5+GanttPeriod),"◇","")),IF(AND(CJ$5&lt;=$F47,CJ$5+GanttPeriod-1&gt;=$E47),"━","")))</f>
        <v/>
      </c>
      <c r="CK47" s="69" t="str">
        <f aca="false">IF($E47="","",IF($M47,IF(AND($G47&gt;=CK$5,$G47&lt;CK$5+GanttPeriod),"◆",IF(AND($E47&gt;=CK$5,$E47&lt;CK$5+GanttPeriod),"◇","")),IF(AND(CK$5&lt;=$F47,CK$5+GanttPeriod-1&gt;=$E47),"━","")))</f>
        <v/>
      </c>
      <c r="CL47" s="69" t="str">
        <f aca="false">IF($E47="","",IF($M47,IF(AND($G47&gt;=CL$5,$G47&lt;CL$5+GanttPeriod),"◆",IF(AND($E47&gt;=CL$5,$E47&lt;CL$5+GanttPeriod),"◇","")),IF(AND(CL$5&lt;=$F47,CL$5+GanttPeriod-1&gt;=$E47),"━","")))</f>
        <v/>
      </c>
      <c r="CM47" s="69" t="str">
        <f aca="false">IF($E47="","",IF($M47,IF(AND($G47&gt;=CM$5,$G47&lt;CM$5+GanttPeriod),"◆",IF(AND($E47&gt;=CM$5,$E47&lt;CM$5+GanttPeriod),"◇","")),IF(AND(CM$5&lt;=$F47,CM$5+GanttPeriod-1&gt;=$E47),"━","")))</f>
        <v/>
      </c>
      <c r="CN47" s="69" t="str">
        <f aca="false">IF($E47="","",IF($M47,IF(AND($G47&gt;=CN$5,$G47&lt;CN$5+GanttPeriod),"◆",IF(AND($E47&gt;=CN$5,$E47&lt;CN$5+GanttPeriod),"◇","")),IF(AND(CN$5&lt;=$F47,CN$5+GanttPeriod-1&gt;=$E47),"━","")))</f>
        <v/>
      </c>
      <c r="CO47" s="69" t="str">
        <f aca="false">IF($E47="","",IF($M47,IF(AND($G47&gt;=CO$5,$G47&lt;CO$5+GanttPeriod),"◆",IF(AND($E47&gt;=CO$5,$E47&lt;CO$5+GanttPeriod),"◇","")),IF(AND(CO$5&lt;=$F47,CO$5+GanttPeriod-1&gt;=$E47),"━","")))</f>
        <v/>
      </c>
      <c r="CP47" s="69" t="str">
        <f aca="false">IF($E47="","",IF($M47,IF(AND($G47&gt;=CP$5,$G47&lt;CP$5+GanttPeriod),"◆",IF(AND($E47&gt;=CP$5,$E47&lt;CP$5+GanttPeriod),"◇","")),IF(AND(CP$5&lt;=$F47,CP$5+GanttPeriod-1&gt;=$E47),"━","")))</f>
        <v/>
      </c>
      <c r="CQ47" s="69" t="str">
        <f aca="false">IF($E47="","",IF($M47,IF(AND($G47&gt;=CQ$5,$G47&lt;CQ$5+GanttPeriod),"◆",IF(AND($E47&gt;=CQ$5,$E47&lt;CQ$5+GanttPeriod),"◇","")),IF(AND(CQ$5&lt;=$F47,CQ$5+GanttPeriod-1&gt;=$E47),"━","")))</f>
        <v/>
      </c>
      <c r="CR47" s="69" t="str">
        <f aca="false">IF($E47="","",IF($M47,IF(AND($G47&gt;=CR$5,$G47&lt;CR$5+GanttPeriod),"◆",IF(AND($E47&gt;=CR$5,$E47&lt;CR$5+GanttPeriod),"◇","")),IF(AND(CR$5&lt;=$F47,CR$5+GanttPeriod-1&gt;=$E47),"━","")))</f>
        <v/>
      </c>
      <c r="CS47" s="69" t="str">
        <f aca="false">IF($E47="","",IF($M47,IF(AND($G47&gt;=CS$5,$G47&lt;CS$5+GanttPeriod),"◆",IF(AND($E47&gt;=CS$5,$E47&lt;CS$5+GanttPeriod),"◇","")),IF(AND(CS$5&lt;=$F47,CS$5+GanttPeriod-1&gt;=$E47),"━","")))</f>
        <v/>
      </c>
      <c r="CT47" s="69" t="str">
        <f aca="false">IF($E47="","",IF($M47,IF(AND($G47&gt;=CT$5,$G47&lt;CT$5+GanttPeriod),"◆",IF(AND($E47&gt;=CT$5,$E47&lt;CT$5+GanttPeriod),"◇","")),IF(AND(CT$5&lt;=$F47,CT$5+GanttPeriod-1&gt;=$E47),"━","")))</f>
        <v/>
      </c>
      <c r="CU47" s="69" t="str">
        <f aca="false">IF($E47="","",IF($M47,IF(AND($G47&gt;=CU$5,$G47&lt;CU$5+GanttPeriod),"◆",IF(AND($E47&gt;=CU$5,$E47&lt;CU$5+GanttPeriod),"◇","")),IF(AND(CU$5&lt;=$F47,CU$5+GanttPeriod-1&gt;=$E47),"━","")))</f>
        <v/>
      </c>
      <c r="CV47" s="69" t="str">
        <f aca="false">IF($E47="","",IF($M47,IF(AND($G47&gt;=CV$5,$G47&lt;CV$5+GanttPeriod),"◆",IF(AND($E47&gt;=CV$5,$E47&lt;CV$5+GanttPeriod),"◇","")),IF(AND(CV$5&lt;=$F47,CV$5+GanttPeriod-1&gt;=$E47),"━","")))</f>
        <v/>
      </c>
      <c r="CW47" s="69" t="str">
        <f aca="false">IF($E47="","",IF($M47,IF(AND($G47&gt;=CW$5,$G47&lt;CW$5+GanttPeriod),"◆",IF(AND($E47&gt;=CW$5,$E47&lt;CW$5+GanttPeriod),"◇","")),IF(AND(CW$5&lt;=$F47,CW$5+GanttPeriod-1&gt;=$E47),"━","")))</f>
        <v/>
      </c>
      <c r="CX47" s="69" t="str">
        <f aca="false">IF($E47="","",IF($M47,IF(AND($G47&gt;=CX$5,$G47&lt;CX$5+GanttPeriod),"◆",IF(AND($E47&gt;=CX$5,$E47&lt;CX$5+GanttPeriod),"◇","")),IF(AND(CX$5&lt;=$F47,CX$5+GanttPeriod-1&gt;=$E47),"━","")))</f>
        <v/>
      </c>
      <c r="CY47" s="69" t="str">
        <f aca="false">IF($E47="","",IF($M47,IF(AND($G47&gt;=CY$5,$G47&lt;CY$5+GanttPeriod),"◆",IF(AND($E47&gt;=CY$5,$E47&lt;CY$5+GanttPeriod),"◇","")),IF(AND(CY$5&lt;=$F47,CY$5+GanttPeriod-1&gt;=$E47),"━","")))</f>
        <v/>
      </c>
      <c r="CZ47" s="69" t="str">
        <f aca="false">IF($E47="","",IF($M47,IF(AND($G47&gt;=CZ$5,$G47&lt;CZ$5+GanttPeriod),"◆",IF(AND($E47&gt;=CZ$5,$E47&lt;CZ$5+GanttPeriod),"◇","")),IF(AND(CZ$5&lt;=$F47,CZ$5+GanttPeriod-1&gt;=$E47),"━","")))</f>
        <v/>
      </c>
      <c r="DA47" s="69" t="str">
        <f aca="false">IF($E47="","",IF($M47,IF(AND($G47&gt;=DA$5,$G47&lt;DA$5+GanttPeriod),"◆",IF(AND($E47&gt;=DA$5,$E47&lt;DA$5+GanttPeriod),"◇","")),IF(AND(DA$5&lt;=$F47,DA$5+GanttPeriod-1&gt;=$E47),"━","")))</f>
        <v/>
      </c>
      <c r="DB47" s="69" t="str">
        <f aca="false">IF($E47="","",IF($M47,IF(AND($G47&gt;=DB$5,$G47&lt;DB$5+GanttPeriod),"◆",IF(AND($E47&gt;=DB$5,$E47&lt;DB$5+GanttPeriod),"◇","")),IF(AND(DB$5&lt;=$F47,DB$5+GanttPeriod-1&gt;=$E47),"━","")))</f>
        <v/>
      </c>
      <c r="DC47" s="69" t="str">
        <f aca="false">IF($E47="","",IF($M47,IF(AND($G47&gt;=DC$5,$G47&lt;DC$5+GanttPeriod),"◆",IF(AND($E47&gt;=DC$5,$E47&lt;DC$5+GanttPeriod),"◇","")),IF(AND(DC$5&lt;=$F47,DC$5+GanttPeriod-1&gt;=$E47),"━","")))</f>
        <v/>
      </c>
      <c r="DD47" s="69" t="str">
        <f aca="false">IF($E47="","",IF($M47,IF(AND($G47&gt;=DD$5,$G47&lt;DD$5+GanttPeriod),"◆",IF(AND($E47&gt;=DD$5,$E47&lt;DD$5+GanttPeriod),"◇","")),IF(AND(DD$5&lt;=$F47,DD$5+GanttPeriod-1&gt;=$E47),"━","")))</f>
        <v/>
      </c>
      <c r="DE47" s="69" t="str">
        <f aca="false">IF($E47="","",IF($M47,IF(AND($G47&gt;=DE$5,$G47&lt;DE$5+GanttPeriod),"◆",IF(AND($E47&gt;=DE$5,$E47&lt;DE$5+GanttPeriod),"◇","")),IF(AND(DE$5&lt;=$F47,DE$5+GanttPeriod-1&gt;=$E47),"━","")))</f>
        <v/>
      </c>
      <c r="DF47" s="69" t="str">
        <f aca="false">IF($E47="","",IF($M47,IF(AND($G47&gt;=DF$5,$G47&lt;DF$5+GanttPeriod),"◆",IF(AND($E47&gt;=DF$5,$E47&lt;DF$5+GanttPeriod),"◇","")),IF(AND(DF$5&lt;=$F47,DF$5+GanttPeriod-1&gt;=$E47),"━","")))</f>
        <v/>
      </c>
      <c r="DG47" s="69" t="str">
        <f aca="false">IF($E47="","",IF($M47,IF(AND($G47&gt;=DG$5,$G47&lt;DG$5+GanttPeriod),"◆",IF(AND($E47&gt;=DG$5,$E47&lt;DG$5+GanttPeriod),"◇","")),IF(AND(DG$5&lt;=$F47,DG$5+GanttPeriod-1&gt;=$E47),"━","")))</f>
        <v/>
      </c>
      <c r="DH47" s="69" t="str">
        <f aca="false">IF($E47="","",IF($M47,IF(AND($G47&gt;=DH$5,$G47&lt;DH$5+GanttPeriod),"◆",IF(AND($E47&gt;=DH$5,$E47&lt;DH$5+GanttPeriod),"◇","")),IF(AND(DH$5&lt;=$F47,DH$5+GanttPeriod-1&gt;=$E47),"━","")))</f>
        <v/>
      </c>
      <c r="DI47" s="69" t="str">
        <f aca="false">IF($E47="","",IF($M47,IF(AND($G47&gt;=DI$5,$G47&lt;DI$5+GanttPeriod),"◆",IF(AND($E47&gt;=DI$5,$E47&lt;DI$5+GanttPeriod),"◇","")),IF(AND(DI$5&lt;=$F47,DI$5+GanttPeriod-1&gt;=$E47),"━","")))</f>
        <v/>
      </c>
      <c r="DJ47" s="69" t="str">
        <f aca="false">IF($E47="","",IF($M47,IF(AND($G47&gt;=DJ$5,$G47&lt;DJ$5+GanttPeriod),"◆",IF(AND($E47&gt;=DJ$5,$E47&lt;DJ$5+GanttPeriod),"◇","")),IF(AND(DJ$5&lt;=$F47,DJ$5+GanttPeriod-1&gt;=$E47),"━","")))</f>
        <v/>
      </c>
      <c r="DK47" s="69" t="str">
        <f aca="false">IF($E47="","",IF($M47,IF(AND($G47&gt;=DK$5,$G47&lt;DK$5+GanttPeriod),"◆",IF(AND($E47&gt;=DK$5,$E47&lt;DK$5+GanttPeriod),"◇","")),IF(AND(DK$5&lt;=$F47,DK$5+GanttPeriod-1&gt;=$E47),"━","")))</f>
        <v/>
      </c>
      <c r="DL47" s="69" t="str">
        <f aca="false">IF($E47="","",IF($M47,IF(AND($G47&gt;=DL$5,$G47&lt;DL$5+GanttPeriod),"◆",IF(AND($E47&gt;=DL$5,$E47&lt;DL$5+GanttPeriod),"◇","")),IF(AND(DL$5&lt;=$F47,DL$5+GanttPeriod-1&gt;=$E47),"━","")))</f>
        <v/>
      </c>
      <c r="DM47" s="69" t="str">
        <f aca="false">IF($E47="","",IF($M47,IF(AND($G47&gt;=DM$5,$G47&lt;DM$5+GanttPeriod),"◆",IF(AND($E47&gt;=DM$5,$E47&lt;DM$5+GanttPeriod),"◇","")),IF(AND(DM$5&lt;=$F47,DM$5+GanttPeriod-1&gt;=$E47),"━","")))</f>
        <v/>
      </c>
      <c r="DN47" s="69" t="str">
        <f aca="false">IF($E47="","",IF($M47,IF(AND($G47&gt;=DN$5,$G47&lt;DN$5+GanttPeriod),"◆",IF(AND($E47&gt;=DN$5,$E47&lt;DN$5+GanttPeriod),"◇","")),IF(AND(DN$5&lt;=$F47,DN$5+GanttPeriod-1&gt;=$E47),"━","")))</f>
        <v/>
      </c>
      <c r="DO47" s="69" t="str">
        <f aca="false">IF($E47="","",IF($M47,IF(AND($G47&gt;=DO$5,$G47&lt;DO$5+GanttPeriod),"◆",IF(AND($E47&gt;=DO$5,$E47&lt;DO$5+GanttPeriod),"◇","")),IF(AND(DO$5&lt;=$F47,DO$5+GanttPeriod-1&gt;=$E47),"━","")))</f>
        <v/>
      </c>
      <c r="DP47" s="69" t="str">
        <f aca="false">IF($E47="","",IF($M47,IF(AND($G47&gt;=DP$5,$G47&lt;DP$5+GanttPeriod),"◆",IF(AND($E47&gt;=DP$5,$E47&lt;DP$5+GanttPeriod),"◇","")),IF(AND(DP$5&lt;=$F47,DP$5+GanttPeriod-1&gt;=$E47),"━","")))</f>
        <v/>
      </c>
      <c r="DQ47" s="69" t="str">
        <f aca="false">IF($E47="","",IF($M47,IF(AND($G47&gt;=DQ$5,$G47&lt;DQ$5+GanttPeriod),"◆",IF(AND($E47&gt;=DQ$5,$E47&lt;DQ$5+GanttPeriod),"◇","")),IF(AND(DQ$5&lt;=$F47,DQ$5+GanttPeriod-1&gt;=$E47),"━","")))</f>
        <v/>
      </c>
      <c r="DR47" s="69" t="str">
        <f aca="false">IF($E47="","",IF($M47,IF(AND($G47&gt;=DR$5,$G47&lt;DR$5+GanttPeriod),"◆",IF(AND($E47&gt;=DR$5,$E47&lt;DR$5+GanttPeriod),"◇","")),IF(AND(DR$5&lt;=$F47,DR$5+GanttPeriod-1&gt;=$E47),"━","")))</f>
        <v/>
      </c>
      <c r="DS47" s="69" t="str">
        <f aca="false">IF($E47="","",IF($M47,IF(AND($G47&gt;=DS$5,$G47&lt;DS$5+GanttPeriod),"◆",IF(AND($E47&gt;=DS$5,$E47&lt;DS$5+GanttPeriod),"◇","")),IF(AND(DS$5&lt;=$F47,DS$5+GanttPeriod-1&gt;=$E47),"━","")))</f>
        <v/>
      </c>
      <c r="DT47" s="69" t="str">
        <f aca="false">IF($E47="","",IF($M47,IF(AND($G47&gt;=DT$5,$G47&lt;DT$5+GanttPeriod),"◆",IF(AND($E47&gt;=DT$5,$E47&lt;DT$5+GanttPeriod),"◇","")),IF(AND(DT$5&lt;=$F47,DT$5+GanttPeriod-1&gt;=$E47),"━","")))</f>
        <v/>
      </c>
      <c r="DU47" s="69" t="str">
        <f aca="false">IF($E47="","",IF($M47,IF(AND($G47&gt;=DU$5,$G47&lt;DU$5+GanttPeriod),"◆",IF(AND($E47&gt;=DU$5,$E47&lt;DU$5+GanttPeriod),"◇","")),IF(AND(DU$5&lt;=$F47,DU$5+GanttPeriod-1&gt;=$E47),"━","")))</f>
        <v/>
      </c>
      <c r="DV47" s="69" t="str">
        <f aca="false">IF($E47="","",IF($M47,IF(AND($G47&gt;=DV$5,$G47&lt;DV$5+GanttPeriod),"◆",IF(AND($E47&gt;=DV$5,$E47&lt;DV$5+GanttPeriod),"◇","")),IF(AND(DV$5&lt;=$F47,DV$5+GanttPeriod-1&gt;=$E47),"━","")))</f>
        <v/>
      </c>
      <c r="DW47" s="69" t="str">
        <f aca="false">IF($E47="","",IF($M47,IF(AND($G47&gt;=DW$5,$G47&lt;DW$5+GanttPeriod),"◆",IF(AND($E47&gt;=DW$5,$E47&lt;DW$5+GanttPeriod),"◇","")),IF(AND(DW$5&lt;=$F47,DW$5+GanttPeriod-1&gt;=$E47),"━","")))</f>
        <v/>
      </c>
      <c r="DX47" s="69" t="str">
        <f aca="false">IF($E47="","",IF($M47,IF(AND($G47&gt;=DX$5,$G47&lt;DX$5+GanttPeriod),"◆",IF(AND($E47&gt;=DX$5,$E47&lt;DX$5+GanttPeriod),"◇","")),IF(AND(DX$5&lt;=$F47,DX$5+GanttPeriod-1&gt;=$E47),"━","")))</f>
        <v/>
      </c>
      <c r="DY47" s="69" t="str">
        <f aca="false">IF($E47="","",IF($M47,IF(AND($G47&gt;=DY$5,$G47&lt;DY$5+GanttPeriod),"◆",IF(AND($E47&gt;=DY$5,$E47&lt;DY$5+GanttPeriod),"◇","")),IF(AND(DY$5&lt;=$F47,DY$5+GanttPeriod-1&gt;=$E47),"━","")))</f>
        <v/>
      </c>
      <c r="DZ47" s="69" t="str">
        <f aca="false">IF($E47="","",IF($M47,IF(AND($G47&gt;=DZ$5,$G47&lt;DZ$5+GanttPeriod),"◆",IF(AND($E47&gt;=DZ$5,$E47&lt;DZ$5+GanttPeriod),"◇","")),IF(AND(DZ$5&lt;=$F47,DZ$5+GanttPeriod-1&gt;=$E47),"━","")))</f>
        <v/>
      </c>
      <c r="EA47" s="69" t="str">
        <f aca="false">IF($E47="","",IF($M47,IF(AND($G47&gt;=EA$5,$G47&lt;EA$5+GanttPeriod),"◆",IF(AND($E47&gt;=EA$5,$E47&lt;EA$5+GanttPeriod),"◇","")),IF(AND(EA$5&lt;=$F47,EA$5+GanttPeriod-1&gt;=$E47),"━","")))</f>
        <v/>
      </c>
      <c r="EB47" s="69" t="str">
        <f aca="false">IF($E47="","",IF($M47,IF(AND($G47&gt;=EB$5,$G47&lt;EB$5+GanttPeriod),"◆",IF(AND($E47&gt;=EB$5,$E47&lt;EB$5+GanttPeriod),"◇","")),IF(AND(EB$5&lt;=$F47,EB$5+GanttPeriod-1&gt;=$E47),"━","")))</f>
        <v/>
      </c>
      <c r="EC47" s="69" t="str">
        <f aca="false">IF($E47="","",IF($M47,IF(AND($G47&gt;=EC$5,$G47&lt;EC$5+GanttPeriod),"◆",IF(AND($E47&gt;=EC$5,$E47&lt;EC$5+GanttPeriod),"◇","")),IF(AND(EC$5&lt;=$F47,EC$5+GanttPeriod-1&gt;=$E47),"━","")))</f>
        <v/>
      </c>
      <c r="ED47" s="69" t="str">
        <f aca="false">IF($E47="","",IF($M47,IF(AND($G47&gt;=ED$5,$G47&lt;ED$5+GanttPeriod),"◆",IF(AND($E47&gt;=ED$5,$E47&lt;ED$5+GanttPeriod),"◇","")),IF(AND(ED$5&lt;=$F47,ED$5+GanttPeriod-1&gt;=$E47),"━","")))</f>
        <v/>
      </c>
      <c r="EE47" s="69" t="str">
        <f aca="false">IF($E47="","",IF($M47,IF(AND($G47&gt;=EE$5,$G47&lt;EE$5+GanttPeriod),"◆",IF(AND($E47&gt;=EE$5,$E47&lt;EE$5+GanttPeriod),"◇","")),IF(AND(EE$5&lt;=$F47,EE$5+GanttPeriod-1&gt;=$E47),"━","")))</f>
        <v/>
      </c>
      <c r="EF47" s="69" t="str">
        <f aca="false">IF($E47="","",IF($M47,IF(AND($G47&gt;=EF$5,$G47&lt;EF$5+GanttPeriod),"◆",IF(AND($E47&gt;=EF$5,$E47&lt;EF$5+GanttPeriod),"◇","")),IF(AND(EF$5&lt;=$F47,EF$5+GanttPeriod-1&gt;=$E47),"━","")))</f>
        <v/>
      </c>
      <c r="EG47" s="69" t="str">
        <f aca="false">IF($E47="","",IF($M47,IF(AND($G47&gt;=EG$5,$G47&lt;EG$5+GanttPeriod),"◆",IF(AND($E47&gt;=EG$5,$E47&lt;EG$5+GanttPeriod),"◇","")),IF(AND(EG$5&lt;=$F47,EG$5+GanttPeriod-1&gt;=$E47),"━","")))</f>
        <v/>
      </c>
      <c r="EH47" s="69" t="str">
        <f aca="false">IF($E47="","",IF($M47,IF(AND($G47&gt;=EH$5,$G47&lt;EH$5+GanttPeriod),"◆",IF(AND($E47&gt;=EH$5,$E47&lt;EH$5+GanttPeriod),"◇","")),IF(AND(EH$5&lt;=$F47,EH$5+GanttPeriod-1&gt;=$E47),"━","")))</f>
        <v/>
      </c>
      <c r="EI47" s="69" t="str">
        <f aca="false">IF($E47="","",IF($M47,IF(AND($G47&gt;=EI$5,$G47&lt;EI$5+GanttPeriod),"◆",IF(AND($E47&gt;=EI$5,$E47&lt;EI$5+GanttPeriod),"◇","")),IF(AND(EI$5&lt;=$F47,EI$5+GanttPeriod-1&gt;=$E47),"━","")))</f>
        <v/>
      </c>
      <c r="EJ47" s="69" t="str">
        <f aca="false">IF($E47="","",IF($M47,IF(AND($G47&gt;=EJ$5,$G47&lt;EJ$5+GanttPeriod),"◆",IF(AND($E47&gt;=EJ$5,$E47&lt;EJ$5+GanttPeriod),"◇","")),IF(AND(EJ$5&lt;=$F47,EJ$5+GanttPeriod-1&gt;=$E47),"━","")))</f>
        <v/>
      </c>
      <c r="EK47" s="69" t="str">
        <f aca="false">IF($E47="","",IF($M47,IF(AND($G47&gt;=EK$5,$G47&lt;EK$5+GanttPeriod),"◆",IF(AND($E47&gt;=EK$5,$E47&lt;EK$5+GanttPeriod),"◇","")),IF(AND(EK$5&lt;=$F47,EK$5+GanttPeriod-1&gt;=$E47),"━","")))</f>
        <v/>
      </c>
      <c r="EL47" s="69" t="str">
        <f aca="false">IF($E47="","",IF($M47,IF(AND($G47&gt;=EL$5,$G47&lt;EL$5+GanttPeriod),"◆",IF(AND($E47&gt;=EL$5,$E47&lt;EL$5+GanttPeriod),"◇","")),IF(AND(EL$5&lt;=$F47,EL$5+GanttPeriod-1&gt;=$E47),"━","")))</f>
        <v/>
      </c>
      <c r="EM47" s="69" t="str">
        <f aca="false">IF($E47="","",IF($M47,IF(AND($G47&gt;=EM$5,$G47&lt;EM$5+GanttPeriod),"◆",IF(AND($E47&gt;=EM$5,$E47&lt;EM$5+GanttPeriod),"◇","")),IF(AND(EM$5&lt;=$F47,EM$5+GanttPeriod-1&gt;=$E47),"━","")))</f>
        <v/>
      </c>
      <c r="EN47" s="69" t="str">
        <f aca="false">IF($E47="","",IF($M47,IF(AND($G47&gt;=EN$5,$G47&lt;EN$5+GanttPeriod),"◆",IF(AND($E47&gt;=EN$5,$E47&lt;EN$5+GanttPeriod),"◇","")),IF(AND(EN$5&lt;=$F47,EN$5+GanttPeriod-1&gt;=$E47),"━","")))</f>
        <v/>
      </c>
      <c r="EO47" s="69" t="str">
        <f aca="false">IF($E47="","",IF($M47,IF(AND($G47&gt;=EO$5,$G47&lt;EO$5+GanttPeriod),"◆",IF(AND($E47&gt;=EO$5,$E47&lt;EO$5+GanttPeriod),"◇","")),IF(AND(EO$5&lt;=$F47,EO$5+GanttPeriod-1&gt;=$E47),"━","")))</f>
        <v/>
      </c>
      <c r="EP47" s="69" t="str">
        <f aca="false">IF($E47="","",IF($M47,IF(AND($G47&gt;=EP$5,$G47&lt;EP$5+GanttPeriod),"◆",IF(AND($E47&gt;=EP$5,$E47&lt;EP$5+GanttPeriod),"◇","")),IF(AND(EP$5&lt;=$F47,EP$5+GanttPeriod-1&gt;=$E47),"━","")))</f>
        <v/>
      </c>
      <c r="EQ47" s="69" t="str">
        <f aca="false">IF($E47="","",IF($M47,IF(AND($G47&gt;=EQ$5,$G47&lt;EQ$5+GanttPeriod),"◆",IF(AND($E47&gt;=EQ$5,$E47&lt;EQ$5+GanttPeriod),"◇","")),IF(AND(EQ$5&lt;=$F47,EQ$5+GanttPeriod-1&gt;=$E47),"━","")))</f>
        <v/>
      </c>
      <c r="ER47" s="69" t="str">
        <f aca="false">IF($E47="","",IF($M47,IF(AND($G47&gt;=ER$5,$G47&lt;ER$5+GanttPeriod),"◆",IF(AND($E47&gt;=ER$5,$E47&lt;ER$5+GanttPeriod),"◇","")),IF(AND(ER$5&lt;=$F47,ER$5+GanttPeriod-1&gt;=$E47),"━","")))</f>
        <v/>
      </c>
      <c r="ES47" s="69" t="str">
        <f aca="false">IF($E47="","",IF($M47,IF(AND($G47&gt;=ES$5,$G47&lt;ES$5+GanttPeriod),"◆",IF(AND($E47&gt;=ES$5,$E47&lt;ES$5+GanttPeriod),"◇","")),IF(AND(ES$5&lt;=$F47,ES$5+GanttPeriod-1&gt;=$E47),"━","")))</f>
        <v/>
      </c>
      <c r="ET47" s="69" t="str">
        <f aca="false">IF($E47="","",IF($M47,IF(AND($G47&gt;=ET$5,$G47&lt;ET$5+GanttPeriod),"◆",IF(AND($E47&gt;=ET$5,$E47&lt;ET$5+GanttPeriod),"◇","")),IF(AND(ET$5&lt;=$F47,ET$5+GanttPeriod-1&gt;=$E47),"━","")))</f>
        <v/>
      </c>
      <c r="EU47" s="69" t="str">
        <f aca="false">IF($E47="","",IF($M47,IF(AND($G47&gt;=EU$5,$G47&lt;EU$5+GanttPeriod),"◆",IF(AND($E47&gt;=EU$5,$E47&lt;EU$5+GanttPeriod),"◇","")),IF(AND(EU$5&lt;=$F47,EU$5+GanttPeriod-1&gt;=$E47),"━","")))</f>
        <v/>
      </c>
      <c r="EV47" s="69" t="str">
        <f aca="false">IF($E47="","",IF($M47,IF(AND($G47&gt;=EV$5,$G47&lt;EV$5+GanttPeriod),"◆",IF(AND($E47&gt;=EV$5,$E47&lt;EV$5+GanttPeriod),"◇","")),IF(AND(EV$5&lt;=$F47,EV$5+GanttPeriod-1&gt;=$E47),"━","")))</f>
        <v/>
      </c>
      <c r="EW47" s="69" t="str">
        <f aca="false">IF($E47="","",IF($M47,IF(AND($G47&gt;=EW$5,$G47&lt;EW$5+GanttPeriod),"◆",IF(AND($E47&gt;=EW$5,$E47&lt;EW$5+GanttPeriod),"◇","")),IF(AND(EW$5&lt;=$F47,EW$5+GanttPeriod-1&gt;=$E47),"━","")))</f>
        <v/>
      </c>
      <c r="EX47" s="69" t="str">
        <f aca="false">IF($E47="","",IF($M47,IF(AND($G47&gt;=EX$5,$G47&lt;EX$5+GanttPeriod),"◆",IF(AND($E47&gt;=EX$5,$E47&lt;EX$5+GanttPeriod),"◇","")),IF(AND(EX$5&lt;=$F47,EX$5+GanttPeriod-1&gt;=$E47),"━","")))</f>
        <v/>
      </c>
      <c r="EY47" s="69" t="str">
        <f aca="false">IF($E47="","",IF($M47,IF(AND($G47&gt;=EY$5,$G47&lt;EY$5+GanttPeriod),"◆",IF(AND($E47&gt;=EY$5,$E47&lt;EY$5+GanttPeriod),"◇","")),IF(AND(EY$5&lt;=$F47,EY$5+GanttPeriod-1&gt;=$E47),"━","")))</f>
        <v/>
      </c>
      <c r="EZ47" s="69" t="str">
        <f aca="false">IF($E47="","",IF($M47,IF(AND($G47&gt;=EZ$5,$G47&lt;EZ$5+GanttPeriod),"◆",IF(AND($E47&gt;=EZ$5,$E47&lt;EZ$5+GanttPeriod),"◇","")),IF(AND(EZ$5&lt;=$F47,EZ$5+GanttPeriod-1&gt;=$E47),"━","")))</f>
        <v/>
      </c>
      <c r="FA47" s="69" t="str">
        <f aca="false">IF($E47="","",IF($M47,IF(AND($G47&gt;=FA$5,$G47&lt;FA$5+GanttPeriod),"◆",IF(AND($E47&gt;=FA$5,$E47&lt;FA$5+GanttPeriod),"◇","")),IF(AND(FA$5&lt;=$F47,FA$5+GanttPeriod-1&gt;=$E47),"━","")))</f>
        <v/>
      </c>
      <c r="FB47" s="69" t="str">
        <f aca="false">IF($E47="","",IF($M47,IF(AND($G47&gt;=FB$5,$G47&lt;FB$5+GanttPeriod),"◆",IF(AND($E47&gt;=FB$5,$E47&lt;FB$5+GanttPeriod),"◇","")),IF(AND(FB$5&lt;=$F47,FB$5+GanttPeriod-1&gt;=$E47),"━","")))</f>
        <v/>
      </c>
      <c r="FC47" s="69" t="str">
        <f aca="false">IF($E47="","",IF($M47,IF(AND($G47&gt;=FC$5,$G47&lt;FC$5+GanttPeriod),"◆",IF(AND($E47&gt;=FC$5,$E47&lt;FC$5+GanttPeriod),"◇","")),IF(AND(FC$5&lt;=$F47,FC$5+GanttPeriod-1&gt;=$E47),"━","")))</f>
        <v/>
      </c>
      <c r="FD47" s="69" t="str">
        <f aca="false">IF($E47="","",IF($M47,IF(AND($G47&gt;=FD$5,$G47&lt;FD$5+GanttPeriod),"◆",IF(AND($E47&gt;=FD$5,$E47&lt;FD$5+GanttPeriod),"◇","")),IF(AND(FD$5&lt;=$F47,FD$5+GanttPeriod-1&gt;=$E47),"━","")))</f>
        <v/>
      </c>
      <c r="FE47" s="69" t="str">
        <f aca="false">IF($E47="","",IF($M47,IF(AND($G47&gt;=FE$5,$G47&lt;FE$5+GanttPeriod),"◆",IF(AND($E47&gt;=FE$5,$E47&lt;FE$5+GanttPeriod),"◇","")),IF(AND(FE$5&lt;=$F47,FE$5+GanttPeriod-1&gt;=$E47),"━","")))</f>
        <v/>
      </c>
      <c r="FF47" s="69" t="str">
        <f aca="false">IF($E47="","",IF($M47,IF(AND($G47&gt;=FF$5,$G47&lt;FF$5+GanttPeriod),"◆",IF(AND($E47&gt;=FF$5,$E47&lt;FF$5+GanttPeriod),"◇","")),IF(AND(FF$5&lt;=$F47,FF$5+GanttPeriod-1&gt;=$E47),"━","")))</f>
        <v/>
      </c>
      <c r="FG47" s="69" t="str">
        <f aca="false">IF($E47="","",IF($M47,IF(AND($G47&gt;=FG$5,$G47&lt;FG$5+GanttPeriod),"◆",IF(AND($E47&gt;=FG$5,$E47&lt;FG$5+GanttPeriod),"◇","")),IF(AND(FG$5&lt;=$F47,FG$5+GanttPeriod-1&gt;=$E47),"━","")))</f>
        <v/>
      </c>
      <c r="FH47" s="69" t="str">
        <f aca="false">IF($E47="","",IF($M47,IF(AND($G47&gt;=FH$5,$G47&lt;FH$5+GanttPeriod),"◆",IF(AND($E47&gt;=FH$5,$E47&lt;FH$5+GanttPeriod),"◇","")),IF(AND(FH$5&lt;=$F47,FH$5+GanttPeriod-1&gt;=$E47),"━","")))</f>
        <v/>
      </c>
      <c r="FI47" s="69" t="str">
        <f aca="false">IF($E47="","",IF($M47,IF(AND($G47&gt;=FI$5,$G47&lt;FI$5+GanttPeriod),"◆",IF(AND($E47&gt;=FI$5,$E47&lt;FI$5+GanttPeriod),"◇","")),IF(AND(FI$5&lt;=$F47,FI$5+GanttPeriod-1&gt;=$E47),"━","")))</f>
        <v/>
      </c>
      <c r="FJ47" s="69" t="str">
        <f aca="false">IF($E47="","",IF($M47,IF(AND($G47&gt;=FJ$5,$G47&lt;FJ$5+GanttPeriod),"◆",IF(AND($E47&gt;=FJ$5,$E47&lt;FJ$5+GanttPeriod),"◇","")),IF(AND(FJ$5&lt;=$F47,FJ$5+GanttPeriod-1&gt;=$E47),"━","")))</f>
        <v/>
      </c>
      <c r="FK47" s="69" t="str">
        <f aca="false">IF($E47="","",IF($M47,IF(AND($G47&gt;=FK$5,$G47&lt;FK$5+GanttPeriod),"◆",IF(AND($E47&gt;=FK$5,$E47&lt;FK$5+GanttPeriod),"◇","")),IF(AND(FK$5&lt;=$F47,FK$5+GanttPeriod-1&gt;=$E47),"━","")))</f>
        <v/>
      </c>
      <c r="FL47" s="69" t="str">
        <f aca="false">IF($E47="","",IF($M47,IF(AND($G47&gt;=FL$5,$G47&lt;FL$5+GanttPeriod),"◆",IF(AND($E47&gt;=FL$5,$E47&lt;FL$5+GanttPeriod),"◇","")),IF(AND(FL$5&lt;=$F47,FL$5+GanttPeriod-1&gt;=$E47),"━","")))</f>
        <v/>
      </c>
      <c r="FM47" s="69" t="str">
        <f aca="false">IF($E47="","",IF($M47,IF(AND($G47&gt;=FM$5,$G47&lt;FM$5+GanttPeriod),"◆",IF(AND($E47&gt;=FM$5,$E47&lt;FM$5+GanttPeriod),"◇","")),IF(AND(FM$5&lt;=$F47,FM$5+GanttPeriod-1&gt;=$E47),"━","")))</f>
        <v/>
      </c>
    </row>
    <row r="48" customFormat="false" ht="15" hidden="false" customHeight="false" outlineLevel="0" collapsed="false">
      <c r="A48" s="62" t="str">
        <f aca="false">IF(Tasks!$D48="","",Tasks!$A48)</f>
        <v/>
      </c>
      <c r="B48" s="62" t="str">
        <f aca="false">IF(Tasks!$D48="","",Tasks!$B48)</f>
        <v/>
      </c>
      <c r="C48" s="63" t="str">
        <f aca="false">IF(Tasks!$D48="","",REPT("    ",Tasks!$AE48-1)&amp;Tasks!$D48)</f>
        <v/>
      </c>
      <c r="D48" s="62" t="str">
        <f aca="false">IF(Tasks!$D48="","",IF(Tasks!$AI48,NETWORKDAYS.INTL(Tasks!$R48,Tasks!$S48,WorkWeek,Holidays),N(Tasks!$F48)))</f>
        <v/>
      </c>
      <c r="E48" s="64" t="str">
        <f aca="false">IF(Tasks!$D48="","",Tasks!$N48)</f>
        <v/>
      </c>
      <c r="F48" s="64" t="str">
        <f aca="false">IF(Tasks!$D48="","",Tasks!$O48)</f>
        <v/>
      </c>
      <c r="G48" s="64" t="str">
        <f aca="false">IF(Tasks!$D48="","",Tasks!$R48)</f>
        <v/>
      </c>
      <c r="H48" s="64" t="str">
        <f aca="false">IF(Tasks!$D48="","",Tasks!$S48)</f>
        <v/>
      </c>
      <c r="I48" s="65" t="str">
        <f aca="false">IF(Tasks!$D48="","",Tasks!$V48)</f>
        <v/>
      </c>
      <c r="J48" s="63" t="str">
        <f aca="false">IF(Tasks!$D48="","",Tasks!$X48&amp;"")</f>
        <v/>
      </c>
      <c r="K48" s="66" t="str">
        <f aca="false">IF(Tasks!$D48="","",Tasks!$W48)</f>
        <v/>
      </c>
      <c r="L48" s="67" t="b">
        <f aca="false">IF(Tasks!$D48="",FALSE(),Tasks!$AI48)</f>
        <v>0</v>
      </c>
      <c r="M48" s="67" t="b">
        <f aca="false">AND(Tasks!$AJ48=1,N(Tasks!$F48)=0)</f>
        <v>0</v>
      </c>
      <c r="N48" s="68" t="n">
        <f aca="false">IF(AND(Tasks!$AJ48=1,NOT($M48),N($I48)&gt;0),$G48,0)</f>
        <v>0</v>
      </c>
      <c r="O48" s="68" t="n">
        <f aca="false">IF($N48=0,0,IF($I48&gt;=1,$H48,MAX($N48,$G48+ROUND(($H48-$G48+1)*$I48,0)-1)))</f>
        <v>0</v>
      </c>
      <c r="P48" s="68" t="n">
        <f aca="false">IF(OR(Tasks!$AJ48&lt;&gt;1,$M48,N($I48)&gt;=1),0,IF($O48&gt;0,$O48+1,$G48))</f>
        <v>0</v>
      </c>
      <c r="Q48" s="68" t="n">
        <f aca="false">IF($P48=0,0,$H48)</f>
        <v>0</v>
      </c>
      <c r="R48" s="67" t="b">
        <f aca="false">AND(Tasks!$D48&lt;&gt;"",N(Tasks!$T48)&gt;0)</f>
        <v>0</v>
      </c>
      <c r="T48" s="69" t="str">
        <f aca="false">IF($E48="","",IF($M48,IF(AND($G48&gt;=T$5,$G48&lt;T$5+GanttPeriod),"◆",IF(AND($E48&gt;=T$5,$E48&lt;T$5+GanttPeriod),"◇","")),IF(AND(T$5&lt;=$F48,T$5+GanttPeriod-1&gt;=$E48),"━","")))</f>
        <v/>
      </c>
      <c r="U48" s="69" t="str">
        <f aca="false">IF($E48="","",IF($M48,IF(AND($G48&gt;=U$5,$G48&lt;U$5+GanttPeriod),"◆",IF(AND($E48&gt;=U$5,$E48&lt;U$5+GanttPeriod),"◇","")),IF(AND(U$5&lt;=$F48,U$5+GanttPeriod-1&gt;=$E48),"━","")))</f>
        <v/>
      </c>
      <c r="V48" s="69" t="str">
        <f aca="false">IF($E48="","",IF($M48,IF(AND($G48&gt;=V$5,$G48&lt;V$5+GanttPeriod),"◆",IF(AND($E48&gt;=V$5,$E48&lt;V$5+GanttPeriod),"◇","")),IF(AND(V$5&lt;=$F48,V$5+GanttPeriod-1&gt;=$E48),"━","")))</f>
        <v/>
      </c>
      <c r="W48" s="69" t="str">
        <f aca="false">IF($E48="","",IF($M48,IF(AND($G48&gt;=W$5,$G48&lt;W$5+GanttPeriod),"◆",IF(AND($E48&gt;=W$5,$E48&lt;W$5+GanttPeriod),"◇","")),IF(AND(W$5&lt;=$F48,W$5+GanttPeriod-1&gt;=$E48),"━","")))</f>
        <v/>
      </c>
      <c r="X48" s="69" t="str">
        <f aca="false">IF($E48="","",IF($M48,IF(AND($G48&gt;=X$5,$G48&lt;X$5+GanttPeriod),"◆",IF(AND($E48&gt;=X$5,$E48&lt;X$5+GanttPeriod),"◇","")),IF(AND(X$5&lt;=$F48,X$5+GanttPeriod-1&gt;=$E48),"━","")))</f>
        <v/>
      </c>
      <c r="Y48" s="69" t="str">
        <f aca="false">IF($E48="","",IF($M48,IF(AND($G48&gt;=Y$5,$G48&lt;Y$5+GanttPeriod),"◆",IF(AND($E48&gt;=Y$5,$E48&lt;Y$5+GanttPeriod),"◇","")),IF(AND(Y$5&lt;=$F48,Y$5+GanttPeriod-1&gt;=$E48),"━","")))</f>
        <v/>
      </c>
      <c r="Z48" s="69" t="str">
        <f aca="false">IF($E48="","",IF($M48,IF(AND($G48&gt;=Z$5,$G48&lt;Z$5+GanttPeriod),"◆",IF(AND($E48&gt;=Z$5,$E48&lt;Z$5+GanttPeriod),"◇","")),IF(AND(Z$5&lt;=$F48,Z$5+GanttPeriod-1&gt;=$E48),"━","")))</f>
        <v/>
      </c>
      <c r="AA48" s="69" t="str">
        <f aca="false">IF($E48="","",IF($M48,IF(AND($G48&gt;=AA$5,$G48&lt;AA$5+GanttPeriod),"◆",IF(AND($E48&gt;=AA$5,$E48&lt;AA$5+GanttPeriod),"◇","")),IF(AND(AA$5&lt;=$F48,AA$5+GanttPeriod-1&gt;=$E48),"━","")))</f>
        <v/>
      </c>
      <c r="AB48" s="69" t="str">
        <f aca="false">IF($E48="","",IF($M48,IF(AND($G48&gt;=AB$5,$G48&lt;AB$5+GanttPeriod),"◆",IF(AND($E48&gt;=AB$5,$E48&lt;AB$5+GanttPeriod),"◇","")),IF(AND(AB$5&lt;=$F48,AB$5+GanttPeriod-1&gt;=$E48),"━","")))</f>
        <v/>
      </c>
      <c r="AC48" s="69" t="str">
        <f aca="false">IF($E48="","",IF($M48,IF(AND($G48&gt;=AC$5,$G48&lt;AC$5+GanttPeriod),"◆",IF(AND($E48&gt;=AC$5,$E48&lt;AC$5+GanttPeriod),"◇","")),IF(AND(AC$5&lt;=$F48,AC$5+GanttPeriod-1&gt;=$E48),"━","")))</f>
        <v/>
      </c>
      <c r="AD48" s="69" t="str">
        <f aca="false">IF($E48="","",IF($M48,IF(AND($G48&gt;=AD$5,$G48&lt;AD$5+GanttPeriod),"◆",IF(AND($E48&gt;=AD$5,$E48&lt;AD$5+GanttPeriod),"◇","")),IF(AND(AD$5&lt;=$F48,AD$5+GanttPeriod-1&gt;=$E48),"━","")))</f>
        <v/>
      </c>
      <c r="AE48" s="69" t="str">
        <f aca="false">IF($E48="","",IF($M48,IF(AND($G48&gt;=AE$5,$G48&lt;AE$5+GanttPeriod),"◆",IF(AND($E48&gt;=AE$5,$E48&lt;AE$5+GanttPeriod),"◇","")),IF(AND(AE$5&lt;=$F48,AE$5+GanttPeriod-1&gt;=$E48),"━","")))</f>
        <v/>
      </c>
      <c r="AF48" s="69" t="str">
        <f aca="false">IF($E48="","",IF($M48,IF(AND($G48&gt;=AF$5,$G48&lt;AF$5+GanttPeriod),"◆",IF(AND($E48&gt;=AF$5,$E48&lt;AF$5+GanttPeriod),"◇","")),IF(AND(AF$5&lt;=$F48,AF$5+GanttPeriod-1&gt;=$E48),"━","")))</f>
        <v/>
      </c>
      <c r="AG48" s="69" t="str">
        <f aca="false">IF($E48="","",IF($M48,IF(AND($G48&gt;=AG$5,$G48&lt;AG$5+GanttPeriod),"◆",IF(AND($E48&gt;=AG$5,$E48&lt;AG$5+GanttPeriod),"◇","")),IF(AND(AG$5&lt;=$F48,AG$5+GanttPeriod-1&gt;=$E48),"━","")))</f>
        <v/>
      </c>
      <c r="AH48" s="69" t="str">
        <f aca="false">IF($E48="","",IF($M48,IF(AND($G48&gt;=AH$5,$G48&lt;AH$5+GanttPeriod),"◆",IF(AND($E48&gt;=AH$5,$E48&lt;AH$5+GanttPeriod),"◇","")),IF(AND(AH$5&lt;=$F48,AH$5+GanttPeriod-1&gt;=$E48),"━","")))</f>
        <v/>
      </c>
      <c r="AI48" s="69" t="str">
        <f aca="false">IF($E48="","",IF($M48,IF(AND($G48&gt;=AI$5,$G48&lt;AI$5+GanttPeriod),"◆",IF(AND($E48&gt;=AI$5,$E48&lt;AI$5+GanttPeriod),"◇","")),IF(AND(AI$5&lt;=$F48,AI$5+GanttPeriod-1&gt;=$E48),"━","")))</f>
        <v/>
      </c>
      <c r="AJ48" s="69" t="str">
        <f aca="false">IF($E48="","",IF($M48,IF(AND($G48&gt;=AJ$5,$G48&lt;AJ$5+GanttPeriod),"◆",IF(AND($E48&gt;=AJ$5,$E48&lt;AJ$5+GanttPeriod),"◇","")),IF(AND(AJ$5&lt;=$F48,AJ$5+GanttPeriod-1&gt;=$E48),"━","")))</f>
        <v/>
      </c>
      <c r="AK48" s="69" t="str">
        <f aca="false">IF($E48="","",IF($M48,IF(AND($G48&gt;=AK$5,$G48&lt;AK$5+GanttPeriod),"◆",IF(AND($E48&gt;=AK$5,$E48&lt;AK$5+GanttPeriod),"◇","")),IF(AND(AK$5&lt;=$F48,AK$5+GanttPeriod-1&gt;=$E48),"━","")))</f>
        <v/>
      </c>
      <c r="AL48" s="69" t="str">
        <f aca="false">IF($E48="","",IF($M48,IF(AND($G48&gt;=AL$5,$G48&lt;AL$5+GanttPeriod),"◆",IF(AND($E48&gt;=AL$5,$E48&lt;AL$5+GanttPeriod),"◇","")),IF(AND(AL$5&lt;=$F48,AL$5+GanttPeriod-1&gt;=$E48),"━","")))</f>
        <v/>
      </c>
      <c r="AM48" s="69" t="str">
        <f aca="false">IF($E48="","",IF($M48,IF(AND($G48&gt;=AM$5,$G48&lt;AM$5+GanttPeriod),"◆",IF(AND($E48&gt;=AM$5,$E48&lt;AM$5+GanttPeriod),"◇","")),IF(AND(AM$5&lt;=$F48,AM$5+GanttPeriod-1&gt;=$E48),"━","")))</f>
        <v/>
      </c>
      <c r="AN48" s="69" t="str">
        <f aca="false">IF($E48="","",IF($M48,IF(AND($G48&gt;=AN$5,$G48&lt;AN$5+GanttPeriod),"◆",IF(AND($E48&gt;=AN$5,$E48&lt;AN$5+GanttPeriod),"◇","")),IF(AND(AN$5&lt;=$F48,AN$5+GanttPeriod-1&gt;=$E48),"━","")))</f>
        <v/>
      </c>
      <c r="AO48" s="69" t="str">
        <f aca="false">IF($E48="","",IF($M48,IF(AND($G48&gt;=AO$5,$G48&lt;AO$5+GanttPeriod),"◆",IF(AND($E48&gt;=AO$5,$E48&lt;AO$5+GanttPeriod),"◇","")),IF(AND(AO$5&lt;=$F48,AO$5+GanttPeriod-1&gt;=$E48),"━","")))</f>
        <v/>
      </c>
      <c r="AP48" s="69" t="str">
        <f aca="false">IF($E48="","",IF($M48,IF(AND($G48&gt;=AP$5,$G48&lt;AP$5+GanttPeriod),"◆",IF(AND($E48&gt;=AP$5,$E48&lt;AP$5+GanttPeriod),"◇","")),IF(AND(AP$5&lt;=$F48,AP$5+GanttPeriod-1&gt;=$E48),"━","")))</f>
        <v/>
      </c>
      <c r="AQ48" s="69" t="str">
        <f aca="false">IF($E48="","",IF($M48,IF(AND($G48&gt;=AQ$5,$G48&lt;AQ$5+GanttPeriod),"◆",IF(AND($E48&gt;=AQ$5,$E48&lt;AQ$5+GanttPeriod),"◇","")),IF(AND(AQ$5&lt;=$F48,AQ$5+GanttPeriod-1&gt;=$E48),"━","")))</f>
        <v/>
      </c>
      <c r="AR48" s="69" t="str">
        <f aca="false">IF($E48="","",IF($M48,IF(AND($G48&gt;=AR$5,$G48&lt;AR$5+GanttPeriod),"◆",IF(AND($E48&gt;=AR$5,$E48&lt;AR$5+GanttPeriod),"◇","")),IF(AND(AR$5&lt;=$F48,AR$5+GanttPeriod-1&gt;=$E48),"━","")))</f>
        <v/>
      </c>
      <c r="AS48" s="69" t="str">
        <f aca="false">IF($E48="","",IF($M48,IF(AND($G48&gt;=AS$5,$G48&lt;AS$5+GanttPeriod),"◆",IF(AND($E48&gt;=AS$5,$E48&lt;AS$5+GanttPeriod),"◇","")),IF(AND(AS$5&lt;=$F48,AS$5+GanttPeriod-1&gt;=$E48),"━","")))</f>
        <v/>
      </c>
      <c r="AT48" s="69" t="str">
        <f aca="false">IF($E48="","",IF($M48,IF(AND($G48&gt;=AT$5,$G48&lt;AT$5+GanttPeriod),"◆",IF(AND($E48&gt;=AT$5,$E48&lt;AT$5+GanttPeriod),"◇","")),IF(AND(AT$5&lt;=$F48,AT$5+GanttPeriod-1&gt;=$E48),"━","")))</f>
        <v/>
      </c>
      <c r="AU48" s="69" t="str">
        <f aca="false">IF($E48="","",IF($M48,IF(AND($G48&gt;=AU$5,$G48&lt;AU$5+GanttPeriod),"◆",IF(AND($E48&gt;=AU$5,$E48&lt;AU$5+GanttPeriod),"◇","")),IF(AND(AU$5&lt;=$F48,AU$5+GanttPeriod-1&gt;=$E48),"━","")))</f>
        <v/>
      </c>
      <c r="AV48" s="69" t="str">
        <f aca="false">IF($E48="","",IF($M48,IF(AND($G48&gt;=AV$5,$G48&lt;AV$5+GanttPeriod),"◆",IF(AND($E48&gt;=AV$5,$E48&lt;AV$5+GanttPeriod),"◇","")),IF(AND(AV$5&lt;=$F48,AV$5+GanttPeriod-1&gt;=$E48),"━","")))</f>
        <v/>
      </c>
      <c r="AW48" s="69" t="str">
        <f aca="false">IF($E48="","",IF($M48,IF(AND($G48&gt;=AW$5,$G48&lt;AW$5+GanttPeriod),"◆",IF(AND($E48&gt;=AW$5,$E48&lt;AW$5+GanttPeriod),"◇","")),IF(AND(AW$5&lt;=$F48,AW$5+GanttPeriod-1&gt;=$E48),"━","")))</f>
        <v/>
      </c>
      <c r="AX48" s="69" t="str">
        <f aca="false">IF($E48="","",IF($M48,IF(AND($G48&gt;=AX$5,$G48&lt;AX$5+GanttPeriod),"◆",IF(AND($E48&gt;=AX$5,$E48&lt;AX$5+GanttPeriod),"◇","")),IF(AND(AX$5&lt;=$F48,AX$5+GanttPeriod-1&gt;=$E48),"━","")))</f>
        <v/>
      </c>
      <c r="AY48" s="69" t="str">
        <f aca="false">IF($E48="","",IF($M48,IF(AND($G48&gt;=AY$5,$G48&lt;AY$5+GanttPeriod),"◆",IF(AND($E48&gt;=AY$5,$E48&lt;AY$5+GanttPeriod),"◇","")),IF(AND(AY$5&lt;=$F48,AY$5+GanttPeriod-1&gt;=$E48),"━","")))</f>
        <v/>
      </c>
      <c r="AZ48" s="69" t="str">
        <f aca="false">IF($E48="","",IF($M48,IF(AND($G48&gt;=AZ$5,$G48&lt;AZ$5+GanttPeriod),"◆",IF(AND($E48&gt;=AZ$5,$E48&lt;AZ$5+GanttPeriod),"◇","")),IF(AND(AZ$5&lt;=$F48,AZ$5+GanttPeriod-1&gt;=$E48),"━","")))</f>
        <v/>
      </c>
      <c r="BA48" s="69" t="str">
        <f aca="false">IF($E48="","",IF($M48,IF(AND($G48&gt;=BA$5,$G48&lt;BA$5+GanttPeriod),"◆",IF(AND($E48&gt;=BA$5,$E48&lt;BA$5+GanttPeriod),"◇","")),IF(AND(BA$5&lt;=$F48,BA$5+GanttPeriod-1&gt;=$E48),"━","")))</f>
        <v/>
      </c>
      <c r="BB48" s="69" t="str">
        <f aca="false">IF($E48="","",IF($M48,IF(AND($G48&gt;=BB$5,$G48&lt;BB$5+GanttPeriod),"◆",IF(AND($E48&gt;=BB$5,$E48&lt;BB$5+GanttPeriod),"◇","")),IF(AND(BB$5&lt;=$F48,BB$5+GanttPeriod-1&gt;=$E48),"━","")))</f>
        <v/>
      </c>
      <c r="BC48" s="69" t="str">
        <f aca="false">IF($E48="","",IF($M48,IF(AND($G48&gt;=BC$5,$G48&lt;BC$5+GanttPeriod),"◆",IF(AND($E48&gt;=BC$5,$E48&lt;BC$5+GanttPeriod),"◇","")),IF(AND(BC$5&lt;=$F48,BC$5+GanttPeriod-1&gt;=$E48),"━","")))</f>
        <v/>
      </c>
      <c r="BD48" s="69" t="str">
        <f aca="false">IF($E48="","",IF($M48,IF(AND($G48&gt;=BD$5,$G48&lt;BD$5+GanttPeriod),"◆",IF(AND($E48&gt;=BD$5,$E48&lt;BD$5+GanttPeriod),"◇","")),IF(AND(BD$5&lt;=$F48,BD$5+GanttPeriod-1&gt;=$E48),"━","")))</f>
        <v/>
      </c>
      <c r="BE48" s="69" t="str">
        <f aca="false">IF($E48="","",IF($M48,IF(AND($G48&gt;=BE$5,$G48&lt;BE$5+GanttPeriod),"◆",IF(AND($E48&gt;=BE$5,$E48&lt;BE$5+GanttPeriod),"◇","")),IF(AND(BE$5&lt;=$F48,BE$5+GanttPeriod-1&gt;=$E48),"━","")))</f>
        <v/>
      </c>
      <c r="BF48" s="69" t="str">
        <f aca="false">IF($E48="","",IF($M48,IF(AND($G48&gt;=BF$5,$G48&lt;BF$5+GanttPeriod),"◆",IF(AND($E48&gt;=BF$5,$E48&lt;BF$5+GanttPeriod),"◇","")),IF(AND(BF$5&lt;=$F48,BF$5+GanttPeriod-1&gt;=$E48),"━","")))</f>
        <v/>
      </c>
      <c r="BG48" s="69" t="str">
        <f aca="false">IF($E48="","",IF($M48,IF(AND($G48&gt;=BG$5,$G48&lt;BG$5+GanttPeriod),"◆",IF(AND($E48&gt;=BG$5,$E48&lt;BG$5+GanttPeriod),"◇","")),IF(AND(BG$5&lt;=$F48,BG$5+GanttPeriod-1&gt;=$E48),"━","")))</f>
        <v/>
      </c>
      <c r="BH48" s="69" t="str">
        <f aca="false">IF($E48="","",IF($M48,IF(AND($G48&gt;=BH$5,$G48&lt;BH$5+GanttPeriod),"◆",IF(AND($E48&gt;=BH$5,$E48&lt;BH$5+GanttPeriod),"◇","")),IF(AND(BH$5&lt;=$F48,BH$5+GanttPeriod-1&gt;=$E48),"━","")))</f>
        <v/>
      </c>
      <c r="BI48" s="69" t="str">
        <f aca="false">IF($E48="","",IF($M48,IF(AND($G48&gt;=BI$5,$G48&lt;BI$5+GanttPeriod),"◆",IF(AND($E48&gt;=BI$5,$E48&lt;BI$5+GanttPeriod),"◇","")),IF(AND(BI$5&lt;=$F48,BI$5+GanttPeriod-1&gt;=$E48),"━","")))</f>
        <v/>
      </c>
      <c r="BJ48" s="69" t="str">
        <f aca="false">IF($E48="","",IF($M48,IF(AND($G48&gt;=BJ$5,$G48&lt;BJ$5+GanttPeriod),"◆",IF(AND($E48&gt;=BJ$5,$E48&lt;BJ$5+GanttPeriod),"◇","")),IF(AND(BJ$5&lt;=$F48,BJ$5+GanttPeriod-1&gt;=$E48),"━","")))</f>
        <v/>
      </c>
      <c r="BK48" s="69" t="str">
        <f aca="false">IF($E48="","",IF($M48,IF(AND($G48&gt;=BK$5,$G48&lt;BK$5+GanttPeriod),"◆",IF(AND($E48&gt;=BK$5,$E48&lt;BK$5+GanttPeriod),"◇","")),IF(AND(BK$5&lt;=$F48,BK$5+GanttPeriod-1&gt;=$E48),"━","")))</f>
        <v/>
      </c>
      <c r="BL48" s="69" t="str">
        <f aca="false">IF($E48="","",IF($M48,IF(AND($G48&gt;=BL$5,$G48&lt;BL$5+GanttPeriod),"◆",IF(AND($E48&gt;=BL$5,$E48&lt;BL$5+GanttPeriod),"◇","")),IF(AND(BL$5&lt;=$F48,BL$5+GanttPeriod-1&gt;=$E48),"━","")))</f>
        <v/>
      </c>
      <c r="BM48" s="69" t="str">
        <f aca="false">IF($E48="","",IF($M48,IF(AND($G48&gt;=BM$5,$G48&lt;BM$5+GanttPeriod),"◆",IF(AND($E48&gt;=BM$5,$E48&lt;BM$5+GanttPeriod),"◇","")),IF(AND(BM$5&lt;=$F48,BM$5+GanttPeriod-1&gt;=$E48),"━","")))</f>
        <v/>
      </c>
      <c r="BN48" s="69" t="str">
        <f aca="false">IF($E48="","",IF($M48,IF(AND($G48&gt;=BN$5,$G48&lt;BN$5+GanttPeriod),"◆",IF(AND($E48&gt;=BN$5,$E48&lt;BN$5+GanttPeriod),"◇","")),IF(AND(BN$5&lt;=$F48,BN$5+GanttPeriod-1&gt;=$E48),"━","")))</f>
        <v/>
      </c>
      <c r="BO48" s="69" t="str">
        <f aca="false">IF($E48="","",IF($M48,IF(AND($G48&gt;=BO$5,$G48&lt;BO$5+GanttPeriod),"◆",IF(AND($E48&gt;=BO$5,$E48&lt;BO$5+GanttPeriod),"◇","")),IF(AND(BO$5&lt;=$F48,BO$5+GanttPeriod-1&gt;=$E48),"━","")))</f>
        <v/>
      </c>
      <c r="BP48" s="69" t="str">
        <f aca="false">IF($E48="","",IF($M48,IF(AND($G48&gt;=BP$5,$G48&lt;BP$5+GanttPeriod),"◆",IF(AND($E48&gt;=BP$5,$E48&lt;BP$5+GanttPeriod),"◇","")),IF(AND(BP$5&lt;=$F48,BP$5+GanttPeriod-1&gt;=$E48),"━","")))</f>
        <v/>
      </c>
      <c r="BQ48" s="69" t="str">
        <f aca="false">IF($E48="","",IF($M48,IF(AND($G48&gt;=BQ$5,$G48&lt;BQ$5+GanttPeriod),"◆",IF(AND($E48&gt;=BQ$5,$E48&lt;BQ$5+GanttPeriod),"◇","")),IF(AND(BQ$5&lt;=$F48,BQ$5+GanttPeriod-1&gt;=$E48),"━","")))</f>
        <v/>
      </c>
      <c r="BR48" s="69" t="str">
        <f aca="false">IF($E48="","",IF($M48,IF(AND($G48&gt;=BR$5,$G48&lt;BR$5+GanttPeriod),"◆",IF(AND($E48&gt;=BR$5,$E48&lt;BR$5+GanttPeriod),"◇","")),IF(AND(BR$5&lt;=$F48,BR$5+GanttPeriod-1&gt;=$E48),"━","")))</f>
        <v/>
      </c>
      <c r="BS48" s="69" t="str">
        <f aca="false">IF($E48="","",IF($M48,IF(AND($G48&gt;=BS$5,$G48&lt;BS$5+GanttPeriod),"◆",IF(AND($E48&gt;=BS$5,$E48&lt;BS$5+GanttPeriod),"◇","")),IF(AND(BS$5&lt;=$F48,BS$5+GanttPeriod-1&gt;=$E48),"━","")))</f>
        <v/>
      </c>
      <c r="BT48" s="69" t="str">
        <f aca="false">IF($E48="","",IF($M48,IF(AND($G48&gt;=BT$5,$G48&lt;BT$5+GanttPeriod),"◆",IF(AND($E48&gt;=BT$5,$E48&lt;BT$5+GanttPeriod),"◇","")),IF(AND(BT$5&lt;=$F48,BT$5+GanttPeriod-1&gt;=$E48),"━","")))</f>
        <v/>
      </c>
      <c r="BU48" s="69" t="str">
        <f aca="false">IF($E48="","",IF($M48,IF(AND($G48&gt;=BU$5,$G48&lt;BU$5+GanttPeriod),"◆",IF(AND($E48&gt;=BU$5,$E48&lt;BU$5+GanttPeriod),"◇","")),IF(AND(BU$5&lt;=$F48,BU$5+GanttPeriod-1&gt;=$E48),"━","")))</f>
        <v/>
      </c>
      <c r="BV48" s="69" t="str">
        <f aca="false">IF($E48="","",IF($M48,IF(AND($G48&gt;=BV$5,$G48&lt;BV$5+GanttPeriod),"◆",IF(AND($E48&gt;=BV$5,$E48&lt;BV$5+GanttPeriod),"◇","")),IF(AND(BV$5&lt;=$F48,BV$5+GanttPeriod-1&gt;=$E48),"━","")))</f>
        <v/>
      </c>
      <c r="BW48" s="69" t="str">
        <f aca="false">IF($E48="","",IF($M48,IF(AND($G48&gt;=BW$5,$G48&lt;BW$5+GanttPeriod),"◆",IF(AND($E48&gt;=BW$5,$E48&lt;BW$5+GanttPeriod),"◇","")),IF(AND(BW$5&lt;=$F48,BW$5+GanttPeriod-1&gt;=$E48),"━","")))</f>
        <v/>
      </c>
      <c r="BX48" s="69" t="str">
        <f aca="false">IF($E48="","",IF($M48,IF(AND($G48&gt;=BX$5,$G48&lt;BX$5+GanttPeriod),"◆",IF(AND($E48&gt;=BX$5,$E48&lt;BX$5+GanttPeriod),"◇","")),IF(AND(BX$5&lt;=$F48,BX$5+GanttPeriod-1&gt;=$E48),"━","")))</f>
        <v/>
      </c>
      <c r="BY48" s="69" t="str">
        <f aca="false">IF($E48="","",IF($M48,IF(AND($G48&gt;=BY$5,$G48&lt;BY$5+GanttPeriod),"◆",IF(AND($E48&gt;=BY$5,$E48&lt;BY$5+GanttPeriod),"◇","")),IF(AND(BY$5&lt;=$F48,BY$5+GanttPeriod-1&gt;=$E48),"━","")))</f>
        <v/>
      </c>
      <c r="BZ48" s="69" t="str">
        <f aca="false">IF($E48="","",IF($M48,IF(AND($G48&gt;=BZ$5,$G48&lt;BZ$5+GanttPeriod),"◆",IF(AND($E48&gt;=BZ$5,$E48&lt;BZ$5+GanttPeriod),"◇","")),IF(AND(BZ$5&lt;=$F48,BZ$5+GanttPeriod-1&gt;=$E48),"━","")))</f>
        <v/>
      </c>
      <c r="CA48" s="69" t="str">
        <f aca="false">IF($E48="","",IF($M48,IF(AND($G48&gt;=CA$5,$G48&lt;CA$5+GanttPeriod),"◆",IF(AND($E48&gt;=CA$5,$E48&lt;CA$5+GanttPeriod),"◇","")),IF(AND(CA$5&lt;=$F48,CA$5+GanttPeriod-1&gt;=$E48),"━","")))</f>
        <v/>
      </c>
      <c r="CB48" s="69" t="str">
        <f aca="false">IF($E48="","",IF($M48,IF(AND($G48&gt;=CB$5,$G48&lt;CB$5+GanttPeriod),"◆",IF(AND($E48&gt;=CB$5,$E48&lt;CB$5+GanttPeriod),"◇","")),IF(AND(CB$5&lt;=$F48,CB$5+GanttPeriod-1&gt;=$E48),"━","")))</f>
        <v/>
      </c>
      <c r="CC48" s="69" t="str">
        <f aca="false">IF($E48="","",IF($M48,IF(AND($G48&gt;=CC$5,$G48&lt;CC$5+GanttPeriod),"◆",IF(AND($E48&gt;=CC$5,$E48&lt;CC$5+GanttPeriod),"◇","")),IF(AND(CC$5&lt;=$F48,CC$5+GanttPeriod-1&gt;=$E48),"━","")))</f>
        <v/>
      </c>
      <c r="CD48" s="69" t="str">
        <f aca="false">IF($E48="","",IF($M48,IF(AND($G48&gt;=CD$5,$G48&lt;CD$5+GanttPeriod),"◆",IF(AND($E48&gt;=CD$5,$E48&lt;CD$5+GanttPeriod),"◇","")),IF(AND(CD$5&lt;=$F48,CD$5+GanttPeriod-1&gt;=$E48),"━","")))</f>
        <v/>
      </c>
      <c r="CE48" s="69" t="str">
        <f aca="false">IF($E48="","",IF($M48,IF(AND($G48&gt;=CE$5,$G48&lt;CE$5+GanttPeriod),"◆",IF(AND($E48&gt;=CE$5,$E48&lt;CE$5+GanttPeriod),"◇","")),IF(AND(CE$5&lt;=$F48,CE$5+GanttPeriod-1&gt;=$E48),"━","")))</f>
        <v/>
      </c>
      <c r="CF48" s="69" t="str">
        <f aca="false">IF($E48="","",IF($M48,IF(AND($G48&gt;=CF$5,$G48&lt;CF$5+GanttPeriod),"◆",IF(AND($E48&gt;=CF$5,$E48&lt;CF$5+GanttPeriod),"◇","")),IF(AND(CF$5&lt;=$F48,CF$5+GanttPeriod-1&gt;=$E48),"━","")))</f>
        <v/>
      </c>
      <c r="CG48" s="69" t="str">
        <f aca="false">IF($E48="","",IF($M48,IF(AND($G48&gt;=CG$5,$G48&lt;CG$5+GanttPeriod),"◆",IF(AND($E48&gt;=CG$5,$E48&lt;CG$5+GanttPeriod),"◇","")),IF(AND(CG$5&lt;=$F48,CG$5+GanttPeriod-1&gt;=$E48),"━","")))</f>
        <v/>
      </c>
      <c r="CH48" s="69" t="str">
        <f aca="false">IF($E48="","",IF($M48,IF(AND($G48&gt;=CH$5,$G48&lt;CH$5+GanttPeriod),"◆",IF(AND($E48&gt;=CH$5,$E48&lt;CH$5+GanttPeriod),"◇","")),IF(AND(CH$5&lt;=$F48,CH$5+GanttPeriod-1&gt;=$E48),"━","")))</f>
        <v/>
      </c>
      <c r="CI48" s="69" t="str">
        <f aca="false">IF($E48="","",IF($M48,IF(AND($G48&gt;=CI$5,$G48&lt;CI$5+GanttPeriod),"◆",IF(AND($E48&gt;=CI$5,$E48&lt;CI$5+GanttPeriod),"◇","")),IF(AND(CI$5&lt;=$F48,CI$5+GanttPeriod-1&gt;=$E48),"━","")))</f>
        <v/>
      </c>
      <c r="CJ48" s="69" t="str">
        <f aca="false">IF($E48="","",IF($M48,IF(AND($G48&gt;=CJ$5,$G48&lt;CJ$5+GanttPeriod),"◆",IF(AND($E48&gt;=CJ$5,$E48&lt;CJ$5+GanttPeriod),"◇","")),IF(AND(CJ$5&lt;=$F48,CJ$5+GanttPeriod-1&gt;=$E48),"━","")))</f>
        <v/>
      </c>
      <c r="CK48" s="69" t="str">
        <f aca="false">IF($E48="","",IF($M48,IF(AND($G48&gt;=CK$5,$G48&lt;CK$5+GanttPeriod),"◆",IF(AND($E48&gt;=CK$5,$E48&lt;CK$5+GanttPeriod),"◇","")),IF(AND(CK$5&lt;=$F48,CK$5+GanttPeriod-1&gt;=$E48),"━","")))</f>
        <v/>
      </c>
      <c r="CL48" s="69" t="str">
        <f aca="false">IF($E48="","",IF($M48,IF(AND($G48&gt;=CL$5,$G48&lt;CL$5+GanttPeriod),"◆",IF(AND($E48&gt;=CL$5,$E48&lt;CL$5+GanttPeriod),"◇","")),IF(AND(CL$5&lt;=$F48,CL$5+GanttPeriod-1&gt;=$E48),"━","")))</f>
        <v/>
      </c>
      <c r="CM48" s="69" t="str">
        <f aca="false">IF($E48="","",IF($M48,IF(AND($G48&gt;=CM$5,$G48&lt;CM$5+GanttPeriod),"◆",IF(AND($E48&gt;=CM$5,$E48&lt;CM$5+GanttPeriod),"◇","")),IF(AND(CM$5&lt;=$F48,CM$5+GanttPeriod-1&gt;=$E48),"━","")))</f>
        <v/>
      </c>
      <c r="CN48" s="69" t="str">
        <f aca="false">IF($E48="","",IF($M48,IF(AND($G48&gt;=CN$5,$G48&lt;CN$5+GanttPeriod),"◆",IF(AND($E48&gt;=CN$5,$E48&lt;CN$5+GanttPeriod),"◇","")),IF(AND(CN$5&lt;=$F48,CN$5+GanttPeriod-1&gt;=$E48),"━","")))</f>
        <v/>
      </c>
      <c r="CO48" s="69" t="str">
        <f aca="false">IF($E48="","",IF($M48,IF(AND($G48&gt;=CO$5,$G48&lt;CO$5+GanttPeriod),"◆",IF(AND($E48&gt;=CO$5,$E48&lt;CO$5+GanttPeriod),"◇","")),IF(AND(CO$5&lt;=$F48,CO$5+GanttPeriod-1&gt;=$E48),"━","")))</f>
        <v/>
      </c>
      <c r="CP48" s="69" t="str">
        <f aca="false">IF($E48="","",IF($M48,IF(AND($G48&gt;=CP$5,$G48&lt;CP$5+GanttPeriod),"◆",IF(AND($E48&gt;=CP$5,$E48&lt;CP$5+GanttPeriod),"◇","")),IF(AND(CP$5&lt;=$F48,CP$5+GanttPeriod-1&gt;=$E48),"━","")))</f>
        <v/>
      </c>
      <c r="CQ48" s="69" t="str">
        <f aca="false">IF($E48="","",IF($M48,IF(AND($G48&gt;=CQ$5,$G48&lt;CQ$5+GanttPeriod),"◆",IF(AND($E48&gt;=CQ$5,$E48&lt;CQ$5+GanttPeriod),"◇","")),IF(AND(CQ$5&lt;=$F48,CQ$5+GanttPeriod-1&gt;=$E48),"━","")))</f>
        <v/>
      </c>
      <c r="CR48" s="69" t="str">
        <f aca="false">IF($E48="","",IF($M48,IF(AND($G48&gt;=CR$5,$G48&lt;CR$5+GanttPeriod),"◆",IF(AND($E48&gt;=CR$5,$E48&lt;CR$5+GanttPeriod),"◇","")),IF(AND(CR$5&lt;=$F48,CR$5+GanttPeriod-1&gt;=$E48),"━","")))</f>
        <v/>
      </c>
      <c r="CS48" s="69" t="str">
        <f aca="false">IF($E48="","",IF($M48,IF(AND($G48&gt;=CS$5,$G48&lt;CS$5+GanttPeriod),"◆",IF(AND($E48&gt;=CS$5,$E48&lt;CS$5+GanttPeriod),"◇","")),IF(AND(CS$5&lt;=$F48,CS$5+GanttPeriod-1&gt;=$E48),"━","")))</f>
        <v/>
      </c>
      <c r="CT48" s="69" t="str">
        <f aca="false">IF($E48="","",IF($M48,IF(AND($G48&gt;=CT$5,$G48&lt;CT$5+GanttPeriod),"◆",IF(AND($E48&gt;=CT$5,$E48&lt;CT$5+GanttPeriod),"◇","")),IF(AND(CT$5&lt;=$F48,CT$5+GanttPeriod-1&gt;=$E48),"━","")))</f>
        <v/>
      </c>
      <c r="CU48" s="69" t="str">
        <f aca="false">IF($E48="","",IF($M48,IF(AND($G48&gt;=CU$5,$G48&lt;CU$5+GanttPeriod),"◆",IF(AND($E48&gt;=CU$5,$E48&lt;CU$5+GanttPeriod),"◇","")),IF(AND(CU$5&lt;=$F48,CU$5+GanttPeriod-1&gt;=$E48),"━","")))</f>
        <v/>
      </c>
      <c r="CV48" s="69" t="str">
        <f aca="false">IF($E48="","",IF($M48,IF(AND($G48&gt;=CV$5,$G48&lt;CV$5+GanttPeriod),"◆",IF(AND($E48&gt;=CV$5,$E48&lt;CV$5+GanttPeriod),"◇","")),IF(AND(CV$5&lt;=$F48,CV$5+GanttPeriod-1&gt;=$E48),"━","")))</f>
        <v/>
      </c>
      <c r="CW48" s="69" t="str">
        <f aca="false">IF($E48="","",IF($M48,IF(AND($G48&gt;=CW$5,$G48&lt;CW$5+GanttPeriod),"◆",IF(AND($E48&gt;=CW$5,$E48&lt;CW$5+GanttPeriod),"◇","")),IF(AND(CW$5&lt;=$F48,CW$5+GanttPeriod-1&gt;=$E48),"━","")))</f>
        <v/>
      </c>
      <c r="CX48" s="69" t="str">
        <f aca="false">IF($E48="","",IF($M48,IF(AND($G48&gt;=CX$5,$G48&lt;CX$5+GanttPeriod),"◆",IF(AND($E48&gt;=CX$5,$E48&lt;CX$5+GanttPeriod),"◇","")),IF(AND(CX$5&lt;=$F48,CX$5+GanttPeriod-1&gt;=$E48),"━","")))</f>
        <v/>
      </c>
      <c r="CY48" s="69" t="str">
        <f aca="false">IF($E48="","",IF($M48,IF(AND($G48&gt;=CY$5,$G48&lt;CY$5+GanttPeriod),"◆",IF(AND($E48&gt;=CY$5,$E48&lt;CY$5+GanttPeriod),"◇","")),IF(AND(CY$5&lt;=$F48,CY$5+GanttPeriod-1&gt;=$E48),"━","")))</f>
        <v/>
      </c>
      <c r="CZ48" s="69" t="str">
        <f aca="false">IF($E48="","",IF($M48,IF(AND($G48&gt;=CZ$5,$G48&lt;CZ$5+GanttPeriod),"◆",IF(AND($E48&gt;=CZ$5,$E48&lt;CZ$5+GanttPeriod),"◇","")),IF(AND(CZ$5&lt;=$F48,CZ$5+GanttPeriod-1&gt;=$E48),"━","")))</f>
        <v/>
      </c>
      <c r="DA48" s="69" t="str">
        <f aca="false">IF($E48="","",IF($M48,IF(AND($G48&gt;=DA$5,$G48&lt;DA$5+GanttPeriod),"◆",IF(AND($E48&gt;=DA$5,$E48&lt;DA$5+GanttPeriod),"◇","")),IF(AND(DA$5&lt;=$F48,DA$5+GanttPeriod-1&gt;=$E48),"━","")))</f>
        <v/>
      </c>
      <c r="DB48" s="69" t="str">
        <f aca="false">IF($E48="","",IF($M48,IF(AND($G48&gt;=DB$5,$G48&lt;DB$5+GanttPeriod),"◆",IF(AND($E48&gt;=DB$5,$E48&lt;DB$5+GanttPeriod),"◇","")),IF(AND(DB$5&lt;=$F48,DB$5+GanttPeriod-1&gt;=$E48),"━","")))</f>
        <v/>
      </c>
      <c r="DC48" s="69" t="str">
        <f aca="false">IF($E48="","",IF($M48,IF(AND($G48&gt;=DC$5,$G48&lt;DC$5+GanttPeriod),"◆",IF(AND($E48&gt;=DC$5,$E48&lt;DC$5+GanttPeriod),"◇","")),IF(AND(DC$5&lt;=$F48,DC$5+GanttPeriod-1&gt;=$E48),"━","")))</f>
        <v/>
      </c>
      <c r="DD48" s="69" t="str">
        <f aca="false">IF($E48="","",IF($M48,IF(AND($G48&gt;=DD$5,$G48&lt;DD$5+GanttPeriod),"◆",IF(AND($E48&gt;=DD$5,$E48&lt;DD$5+GanttPeriod),"◇","")),IF(AND(DD$5&lt;=$F48,DD$5+GanttPeriod-1&gt;=$E48),"━","")))</f>
        <v/>
      </c>
      <c r="DE48" s="69" t="str">
        <f aca="false">IF($E48="","",IF($M48,IF(AND($G48&gt;=DE$5,$G48&lt;DE$5+GanttPeriod),"◆",IF(AND($E48&gt;=DE$5,$E48&lt;DE$5+GanttPeriod),"◇","")),IF(AND(DE$5&lt;=$F48,DE$5+GanttPeriod-1&gt;=$E48),"━","")))</f>
        <v/>
      </c>
      <c r="DF48" s="69" t="str">
        <f aca="false">IF($E48="","",IF($M48,IF(AND($G48&gt;=DF$5,$G48&lt;DF$5+GanttPeriod),"◆",IF(AND($E48&gt;=DF$5,$E48&lt;DF$5+GanttPeriod),"◇","")),IF(AND(DF$5&lt;=$F48,DF$5+GanttPeriod-1&gt;=$E48),"━","")))</f>
        <v/>
      </c>
      <c r="DG48" s="69" t="str">
        <f aca="false">IF($E48="","",IF($M48,IF(AND($G48&gt;=DG$5,$G48&lt;DG$5+GanttPeriod),"◆",IF(AND($E48&gt;=DG$5,$E48&lt;DG$5+GanttPeriod),"◇","")),IF(AND(DG$5&lt;=$F48,DG$5+GanttPeriod-1&gt;=$E48),"━","")))</f>
        <v/>
      </c>
      <c r="DH48" s="69" t="str">
        <f aca="false">IF($E48="","",IF($M48,IF(AND($G48&gt;=DH$5,$G48&lt;DH$5+GanttPeriod),"◆",IF(AND($E48&gt;=DH$5,$E48&lt;DH$5+GanttPeriod),"◇","")),IF(AND(DH$5&lt;=$F48,DH$5+GanttPeriod-1&gt;=$E48),"━","")))</f>
        <v/>
      </c>
      <c r="DI48" s="69" t="str">
        <f aca="false">IF($E48="","",IF($M48,IF(AND($G48&gt;=DI$5,$G48&lt;DI$5+GanttPeriod),"◆",IF(AND($E48&gt;=DI$5,$E48&lt;DI$5+GanttPeriod),"◇","")),IF(AND(DI$5&lt;=$F48,DI$5+GanttPeriod-1&gt;=$E48),"━","")))</f>
        <v/>
      </c>
      <c r="DJ48" s="69" t="str">
        <f aca="false">IF($E48="","",IF($M48,IF(AND($G48&gt;=DJ$5,$G48&lt;DJ$5+GanttPeriod),"◆",IF(AND($E48&gt;=DJ$5,$E48&lt;DJ$5+GanttPeriod),"◇","")),IF(AND(DJ$5&lt;=$F48,DJ$5+GanttPeriod-1&gt;=$E48),"━","")))</f>
        <v/>
      </c>
      <c r="DK48" s="69" t="str">
        <f aca="false">IF($E48="","",IF($M48,IF(AND($G48&gt;=DK$5,$G48&lt;DK$5+GanttPeriod),"◆",IF(AND($E48&gt;=DK$5,$E48&lt;DK$5+GanttPeriod),"◇","")),IF(AND(DK$5&lt;=$F48,DK$5+GanttPeriod-1&gt;=$E48),"━","")))</f>
        <v/>
      </c>
      <c r="DL48" s="69" t="str">
        <f aca="false">IF($E48="","",IF($M48,IF(AND($G48&gt;=DL$5,$G48&lt;DL$5+GanttPeriod),"◆",IF(AND($E48&gt;=DL$5,$E48&lt;DL$5+GanttPeriod),"◇","")),IF(AND(DL$5&lt;=$F48,DL$5+GanttPeriod-1&gt;=$E48),"━","")))</f>
        <v/>
      </c>
      <c r="DM48" s="69" t="str">
        <f aca="false">IF($E48="","",IF($M48,IF(AND($G48&gt;=DM$5,$G48&lt;DM$5+GanttPeriod),"◆",IF(AND($E48&gt;=DM$5,$E48&lt;DM$5+GanttPeriod),"◇","")),IF(AND(DM$5&lt;=$F48,DM$5+GanttPeriod-1&gt;=$E48),"━","")))</f>
        <v/>
      </c>
      <c r="DN48" s="69" t="str">
        <f aca="false">IF($E48="","",IF($M48,IF(AND($G48&gt;=DN$5,$G48&lt;DN$5+GanttPeriod),"◆",IF(AND($E48&gt;=DN$5,$E48&lt;DN$5+GanttPeriod),"◇","")),IF(AND(DN$5&lt;=$F48,DN$5+GanttPeriod-1&gt;=$E48),"━","")))</f>
        <v/>
      </c>
      <c r="DO48" s="69" t="str">
        <f aca="false">IF($E48="","",IF($M48,IF(AND($G48&gt;=DO$5,$G48&lt;DO$5+GanttPeriod),"◆",IF(AND($E48&gt;=DO$5,$E48&lt;DO$5+GanttPeriod),"◇","")),IF(AND(DO$5&lt;=$F48,DO$5+GanttPeriod-1&gt;=$E48),"━","")))</f>
        <v/>
      </c>
      <c r="DP48" s="69" t="str">
        <f aca="false">IF($E48="","",IF($M48,IF(AND($G48&gt;=DP$5,$G48&lt;DP$5+GanttPeriod),"◆",IF(AND($E48&gt;=DP$5,$E48&lt;DP$5+GanttPeriod),"◇","")),IF(AND(DP$5&lt;=$F48,DP$5+GanttPeriod-1&gt;=$E48),"━","")))</f>
        <v/>
      </c>
      <c r="DQ48" s="69" t="str">
        <f aca="false">IF($E48="","",IF($M48,IF(AND($G48&gt;=DQ$5,$G48&lt;DQ$5+GanttPeriod),"◆",IF(AND($E48&gt;=DQ$5,$E48&lt;DQ$5+GanttPeriod),"◇","")),IF(AND(DQ$5&lt;=$F48,DQ$5+GanttPeriod-1&gt;=$E48),"━","")))</f>
        <v/>
      </c>
      <c r="DR48" s="69" t="str">
        <f aca="false">IF($E48="","",IF($M48,IF(AND($G48&gt;=DR$5,$G48&lt;DR$5+GanttPeriod),"◆",IF(AND($E48&gt;=DR$5,$E48&lt;DR$5+GanttPeriod),"◇","")),IF(AND(DR$5&lt;=$F48,DR$5+GanttPeriod-1&gt;=$E48),"━","")))</f>
        <v/>
      </c>
      <c r="DS48" s="69" t="str">
        <f aca="false">IF($E48="","",IF($M48,IF(AND($G48&gt;=DS$5,$G48&lt;DS$5+GanttPeriod),"◆",IF(AND($E48&gt;=DS$5,$E48&lt;DS$5+GanttPeriod),"◇","")),IF(AND(DS$5&lt;=$F48,DS$5+GanttPeriod-1&gt;=$E48),"━","")))</f>
        <v/>
      </c>
      <c r="DT48" s="69" t="str">
        <f aca="false">IF($E48="","",IF($M48,IF(AND($G48&gt;=DT$5,$G48&lt;DT$5+GanttPeriod),"◆",IF(AND($E48&gt;=DT$5,$E48&lt;DT$5+GanttPeriod),"◇","")),IF(AND(DT$5&lt;=$F48,DT$5+GanttPeriod-1&gt;=$E48),"━","")))</f>
        <v/>
      </c>
      <c r="DU48" s="69" t="str">
        <f aca="false">IF($E48="","",IF($M48,IF(AND($G48&gt;=DU$5,$G48&lt;DU$5+GanttPeriod),"◆",IF(AND($E48&gt;=DU$5,$E48&lt;DU$5+GanttPeriod),"◇","")),IF(AND(DU$5&lt;=$F48,DU$5+GanttPeriod-1&gt;=$E48),"━","")))</f>
        <v/>
      </c>
      <c r="DV48" s="69" t="str">
        <f aca="false">IF($E48="","",IF($M48,IF(AND($G48&gt;=DV$5,$G48&lt;DV$5+GanttPeriod),"◆",IF(AND($E48&gt;=DV$5,$E48&lt;DV$5+GanttPeriod),"◇","")),IF(AND(DV$5&lt;=$F48,DV$5+GanttPeriod-1&gt;=$E48),"━","")))</f>
        <v/>
      </c>
      <c r="DW48" s="69" t="str">
        <f aca="false">IF($E48="","",IF($M48,IF(AND($G48&gt;=DW$5,$G48&lt;DW$5+GanttPeriod),"◆",IF(AND($E48&gt;=DW$5,$E48&lt;DW$5+GanttPeriod),"◇","")),IF(AND(DW$5&lt;=$F48,DW$5+GanttPeriod-1&gt;=$E48),"━","")))</f>
        <v/>
      </c>
      <c r="DX48" s="69" t="str">
        <f aca="false">IF($E48="","",IF($M48,IF(AND($G48&gt;=DX$5,$G48&lt;DX$5+GanttPeriod),"◆",IF(AND($E48&gt;=DX$5,$E48&lt;DX$5+GanttPeriod),"◇","")),IF(AND(DX$5&lt;=$F48,DX$5+GanttPeriod-1&gt;=$E48),"━","")))</f>
        <v/>
      </c>
      <c r="DY48" s="69" t="str">
        <f aca="false">IF($E48="","",IF($M48,IF(AND($G48&gt;=DY$5,$G48&lt;DY$5+GanttPeriod),"◆",IF(AND($E48&gt;=DY$5,$E48&lt;DY$5+GanttPeriod),"◇","")),IF(AND(DY$5&lt;=$F48,DY$5+GanttPeriod-1&gt;=$E48),"━","")))</f>
        <v/>
      </c>
      <c r="DZ48" s="69" t="str">
        <f aca="false">IF($E48="","",IF($M48,IF(AND($G48&gt;=DZ$5,$G48&lt;DZ$5+GanttPeriod),"◆",IF(AND($E48&gt;=DZ$5,$E48&lt;DZ$5+GanttPeriod),"◇","")),IF(AND(DZ$5&lt;=$F48,DZ$5+GanttPeriod-1&gt;=$E48),"━","")))</f>
        <v/>
      </c>
      <c r="EA48" s="69" t="str">
        <f aca="false">IF($E48="","",IF($M48,IF(AND($G48&gt;=EA$5,$G48&lt;EA$5+GanttPeriod),"◆",IF(AND($E48&gt;=EA$5,$E48&lt;EA$5+GanttPeriod),"◇","")),IF(AND(EA$5&lt;=$F48,EA$5+GanttPeriod-1&gt;=$E48),"━","")))</f>
        <v/>
      </c>
      <c r="EB48" s="69" t="str">
        <f aca="false">IF($E48="","",IF($M48,IF(AND($G48&gt;=EB$5,$G48&lt;EB$5+GanttPeriod),"◆",IF(AND($E48&gt;=EB$5,$E48&lt;EB$5+GanttPeriod),"◇","")),IF(AND(EB$5&lt;=$F48,EB$5+GanttPeriod-1&gt;=$E48),"━","")))</f>
        <v/>
      </c>
      <c r="EC48" s="69" t="str">
        <f aca="false">IF($E48="","",IF($M48,IF(AND($G48&gt;=EC$5,$G48&lt;EC$5+GanttPeriod),"◆",IF(AND($E48&gt;=EC$5,$E48&lt;EC$5+GanttPeriod),"◇","")),IF(AND(EC$5&lt;=$F48,EC$5+GanttPeriod-1&gt;=$E48),"━","")))</f>
        <v/>
      </c>
      <c r="ED48" s="69" t="str">
        <f aca="false">IF($E48="","",IF($M48,IF(AND($G48&gt;=ED$5,$G48&lt;ED$5+GanttPeriod),"◆",IF(AND($E48&gt;=ED$5,$E48&lt;ED$5+GanttPeriod),"◇","")),IF(AND(ED$5&lt;=$F48,ED$5+GanttPeriod-1&gt;=$E48),"━","")))</f>
        <v/>
      </c>
      <c r="EE48" s="69" t="str">
        <f aca="false">IF($E48="","",IF($M48,IF(AND($G48&gt;=EE$5,$G48&lt;EE$5+GanttPeriod),"◆",IF(AND($E48&gt;=EE$5,$E48&lt;EE$5+GanttPeriod),"◇","")),IF(AND(EE$5&lt;=$F48,EE$5+GanttPeriod-1&gt;=$E48),"━","")))</f>
        <v/>
      </c>
      <c r="EF48" s="69" t="str">
        <f aca="false">IF($E48="","",IF($M48,IF(AND($G48&gt;=EF$5,$G48&lt;EF$5+GanttPeriod),"◆",IF(AND($E48&gt;=EF$5,$E48&lt;EF$5+GanttPeriod),"◇","")),IF(AND(EF$5&lt;=$F48,EF$5+GanttPeriod-1&gt;=$E48),"━","")))</f>
        <v/>
      </c>
      <c r="EG48" s="69" t="str">
        <f aca="false">IF($E48="","",IF($M48,IF(AND($G48&gt;=EG$5,$G48&lt;EG$5+GanttPeriod),"◆",IF(AND($E48&gt;=EG$5,$E48&lt;EG$5+GanttPeriod),"◇","")),IF(AND(EG$5&lt;=$F48,EG$5+GanttPeriod-1&gt;=$E48),"━","")))</f>
        <v/>
      </c>
      <c r="EH48" s="69" t="str">
        <f aca="false">IF($E48="","",IF($M48,IF(AND($G48&gt;=EH$5,$G48&lt;EH$5+GanttPeriod),"◆",IF(AND($E48&gt;=EH$5,$E48&lt;EH$5+GanttPeriod),"◇","")),IF(AND(EH$5&lt;=$F48,EH$5+GanttPeriod-1&gt;=$E48),"━","")))</f>
        <v/>
      </c>
      <c r="EI48" s="69" t="str">
        <f aca="false">IF($E48="","",IF($M48,IF(AND($G48&gt;=EI$5,$G48&lt;EI$5+GanttPeriod),"◆",IF(AND($E48&gt;=EI$5,$E48&lt;EI$5+GanttPeriod),"◇","")),IF(AND(EI$5&lt;=$F48,EI$5+GanttPeriod-1&gt;=$E48),"━","")))</f>
        <v/>
      </c>
      <c r="EJ48" s="69" t="str">
        <f aca="false">IF($E48="","",IF($M48,IF(AND($G48&gt;=EJ$5,$G48&lt;EJ$5+GanttPeriod),"◆",IF(AND($E48&gt;=EJ$5,$E48&lt;EJ$5+GanttPeriod),"◇","")),IF(AND(EJ$5&lt;=$F48,EJ$5+GanttPeriod-1&gt;=$E48),"━","")))</f>
        <v/>
      </c>
      <c r="EK48" s="69" t="str">
        <f aca="false">IF($E48="","",IF($M48,IF(AND($G48&gt;=EK$5,$G48&lt;EK$5+GanttPeriod),"◆",IF(AND($E48&gt;=EK$5,$E48&lt;EK$5+GanttPeriod),"◇","")),IF(AND(EK$5&lt;=$F48,EK$5+GanttPeriod-1&gt;=$E48),"━","")))</f>
        <v/>
      </c>
      <c r="EL48" s="69" t="str">
        <f aca="false">IF($E48="","",IF($M48,IF(AND($G48&gt;=EL$5,$G48&lt;EL$5+GanttPeriod),"◆",IF(AND($E48&gt;=EL$5,$E48&lt;EL$5+GanttPeriod),"◇","")),IF(AND(EL$5&lt;=$F48,EL$5+GanttPeriod-1&gt;=$E48),"━","")))</f>
        <v/>
      </c>
      <c r="EM48" s="69" t="str">
        <f aca="false">IF($E48="","",IF($M48,IF(AND($G48&gt;=EM$5,$G48&lt;EM$5+GanttPeriod),"◆",IF(AND($E48&gt;=EM$5,$E48&lt;EM$5+GanttPeriod),"◇","")),IF(AND(EM$5&lt;=$F48,EM$5+GanttPeriod-1&gt;=$E48),"━","")))</f>
        <v/>
      </c>
      <c r="EN48" s="69" t="str">
        <f aca="false">IF($E48="","",IF($M48,IF(AND($G48&gt;=EN$5,$G48&lt;EN$5+GanttPeriod),"◆",IF(AND($E48&gt;=EN$5,$E48&lt;EN$5+GanttPeriod),"◇","")),IF(AND(EN$5&lt;=$F48,EN$5+GanttPeriod-1&gt;=$E48),"━","")))</f>
        <v/>
      </c>
      <c r="EO48" s="69" t="str">
        <f aca="false">IF($E48="","",IF($M48,IF(AND($G48&gt;=EO$5,$G48&lt;EO$5+GanttPeriod),"◆",IF(AND($E48&gt;=EO$5,$E48&lt;EO$5+GanttPeriod),"◇","")),IF(AND(EO$5&lt;=$F48,EO$5+GanttPeriod-1&gt;=$E48),"━","")))</f>
        <v/>
      </c>
      <c r="EP48" s="69" t="str">
        <f aca="false">IF($E48="","",IF($M48,IF(AND($G48&gt;=EP$5,$G48&lt;EP$5+GanttPeriod),"◆",IF(AND($E48&gt;=EP$5,$E48&lt;EP$5+GanttPeriod),"◇","")),IF(AND(EP$5&lt;=$F48,EP$5+GanttPeriod-1&gt;=$E48),"━","")))</f>
        <v/>
      </c>
      <c r="EQ48" s="69" t="str">
        <f aca="false">IF($E48="","",IF($M48,IF(AND($G48&gt;=EQ$5,$G48&lt;EQ$5+GanttPeriod),"◆",IF(AND($E48&gt;=EQ$5,$E48&lt;EQ$5+GanttPeriod),"◇","")),IF(AND(EQ$5&lt;=$F48,EQ$5+GanttPeriod-1&gt;=$E48),"━","")))</f>
        <v/>
      </c>
      <c r="ER48" s="69" t="str">
        <f aca="false">IF($E48="","",IF($M48,IF(AND($G48&gt;=ER$5,$G48&lt;ER$5+GanttPeriod),"◆",IF(AND($E48&gt;=ER$5,$E48&lt;ER$5+GanttPeriod),"◇","")),IF(AND(ER$5&lt;=$F48,ER$5+GanttPeriod-1&gt;=$E48),"━","")))</f>
        <v/>
      </c>
      <c r="ES48" s="69" t="str">
        <f aca="false">IF($E48="","",IF($M48,IF(AND($G48&gt;=ES$5,$G48&lt;ES$5+GanttPeriod),"◆",IF(AND($E48&gt;=ES$5,$E48&lt;ES$5+GanttPeriod),"◇","")),IF(AND(ES$5&lt;=$F48,ES$5+GanttPeriod-1&gt;=$E48),"━","")))</f>
        <v/>
      </c>
      <c r="ET48" s="69" t="str">
        <f aca="false">IF($E48="","",IF($M48,IF(AND($G48&gt;=ET$5,$G48&lt;ET$5+GanttPeriod),"◆",IF(AND($E48&gt;=ET$5,$E48&lt;ET$5+GanttPeriod),"◇","")),IF(AND(ET$5&lt;=$F48,ET$5+GanttPeriod-1&gt;=$E48),"━","")))</f>
        <v/>
      </c>
      <c r="EU48" s="69" t="str">
        <f aca="false">IF($E48="","",IF($M48,IF(AND($G48&gt;=EU$5,$G48&lt;EU$5+GanttPeriod),"◆",IF(AND($E48&gt;=EU$5,$E48&lt;EU$5+GanttPeriod),"◇","")),IF(AND(EU$5&lt;=$F48,EU$5+GanttPeriod-1&gt;=$E48),"━","")))</f>
        <v/>
      </c>
      <c r="EV48" s="69" t="str">
        <f aca="false">IF($E48="","",IF($M48,IF(AND($G48&gt;=EV$5,$G48&lt;EV$5+GanttPeriod),"◆",IF(AND($E48&gt;=EV$5,$E48&lt;EV$5+GanttPeriod),"◇","")),IF(AND(EV$5&lt;=$F48,EV$5+GanttPeriod-1&gt;=$E48),"━","")))</f>
        <v/>
      </c>
      <c r="EW48" s="69" t="str">
        <f aca="false">IF($E48="","",IF($M48,IF(AND($G48&gt;=EW$5,$G48&lt;EW$5+GanttPeriod),"◆",IF(AND($E48&gt;=EW$5,$E48&lt;EW$5+GanttPeriod),"◇","")),IF(AND(EW$5&lt;=$F48,EW$5+GanttPeriod-1&gt;=$E48),"━","")))</f>
        <v/>
      </c>
      <c r="EX48" s="69" t="str">
        <f aca="false">IF($E48="","",IF($M48,IF(AND($G48&gt;=EX$5,$G48&lt;EX$5+GanttPeriod),"◆",IF(AND($E48&gt;=EX$5,$E48&lt;EX$5+GanttPeriod),"◇","")),IF(AND(EX$5&lt;=$F48,EX$5+GanttPeriod-1&gt;=$E48),"━","")))</f>
        <v/>
      </c>
      <c r="EY48" s="69" t="str">
        <f aca="false">IF($E48="","",IF($M48,IF(AND($G48&gt;=EY$5,$G48&lt;EY$5+GanttPeriod),"◆",IF(AND($E48&gt;=EY$5,$E48&lt;EY$5+GanttPeriod),"◇","")),IF(AND(EY$5&lt;=$F48,EY$5+GanttPeriod-1&gt;=$E48),"━","")))</f>
        <v/>
      </c>
      <c r="EZ48" s="69" t="str">
        <f aca="false">IF($E48="","",IF($M48,IF(AND($G48&gt;=EZ$5,$G48&lt;EZ$5+GanttPeriod),"◆",IF(AND($E48&gt;=EZ$5,$E48&lt;EZ$5+GanttPeriod),"◇","")),IF(AND(EZ$5&lt;=$F48,EZ$5+GanttPeriod-1&gt;=$E48),"━","")))</f>
        <v/>
      </c>
      <c r="FA48" s="69" t="str">
        <f aca="false">IF($E48="","",IF($M48,IF(AND($G48&gt;=FA$5,$G48&lt;FA$5+GanttPeriod),"◆",IF(AND($E48&gt;=FA$5,$E48&lt;FA$5+GanttPeriod),"◇","")),IF(AND(FA$5&lt;=$F48,FA$5+GanttPeriod-1&gt;=$E48),"━","")))</f>
        <v/>
      </c>
      <c r="FB48" s="69" t="str">
        <f aca="false">IF($E48="","",IF($M48,IF(AND($G48&gt;=FB$5,$G48&lt;FB$5+GanttPeriod),"◆",IF(AND($E48&gt;=FB$5,$E48&lt;FB$5+GanttPeriod),"◇","")),IF(AND(FB$5&lt;=$F48,FB$5+GanttPeriod-1&gt;=$E48),"━","")))</f>
        <v/>
      </c>
      <c r="FC48" s="69" t="str">
        <f aca="false">IF($E48="","",IF($M48,IF(AND($G48&gt;=FC$5,$G48&lt;FC$5+GanttPeriod),"◆",IF(AND($E48&gt;=FC$5,$E48&lt;FC$5+GanttPeriod),"◇","")),IF(AND(FC$5&lt;=$F48,FC$5+GanttPeriod-1&gt;=$E48),"━","")))</f>
        <v/>
      </c>
      <c r="FD48" s="69" t="str">
        <f aca="false">IF($E48="","",IF($M48,IF(AND($G48&gt;=FD$5,$G48&lt;FD$5+GanttPeriod),"◆",IF(AND($E48&gt;=FD$5,$E48&lt;FD$5+GanttPeriod),"◇","")),IF(AND(FD$5&lt;=$F48,FD$5+GanttPeriod-1&gt;=$E48),"━","")))</f>
        <v/>
      </c>
      <c r="FE48" s="69" t="str">
        <f aca="false">IF($E48="","",IF($M48,IF(AND($G48&gt;=FE$5,$G48&lt;FE$5+GanttPeriod),"◆",IF(AND($E48&gt;=FE$5,$E48&lt;FE$5+GanttPeriod),"◇","")),IF(AND(FE$5&lt;=$F48,FE$5+GanttPeriod-1&gt;=$E48),"━","")))</f>
        <v/>
      </c>
      <c r="FF48" s="69" t="str">
        <f aca="false">IF($E48="","",IF($M48,IF(AND($G48&gt;=FF$5,$G48&lt;FF$5+GanttPeriod),"◆",IF(AND($E48&gt;=FF$5,$E48&lt;FF$5+GanttPeriod),"◇","")),IF(AND(FF$5&lt;=$F48,FF$5+GanttPeriod-1&gt;=$E48),"━","")))</f>
        <v/>
      </c>
      <c r="FG48" s="69" t="str">
        <f aca="false">IF($E48="","",IF($M48,IF(AND($G48&gt;=FG$5,$G48&lt;FG$5+GanttPeriod),"◆",IF(AND($E48&gt;=FG$5,$E48&lt;FG$5+GanttPeriod),"◇","")),IF(AND(FG$5&lt;=$F48,FG$5+GanttPeriod-1&gt;=$E48),"━","")))</f>
        <v/>
      </c>
      <c r="FH48" s="69" t="str">
        <f aca="false">IF($E48="","",IF($M48,IF(AND($G48&gt;=FH$5,$G48&lt;FH$5+GanttPeriod),"◆",IF(AND($E48&gt;=FH$5,$E48&lt;FH$5+GanttPeriod),"◇","")),IF(AND(FH$5&lt;=$F48,FH$5+GanttPeriod-1&gt;=$E48),"━","")))</f>
        <v/>
      </c>
      <c r="FI48" s="69" t="str">
        <f aca="false">IF($E48="","",IF($M48,IF(AND($G48&gt;=FI$5,$G48&lt;FI$5+GanttPeriod),"◆",IF(AND($E48&gt;=FI$5,$E48&lt;FI$5+GanttPeriod),"◇","")),IF(AND(FI$5&lt;=$F48,FI$5+GanttPeriod-1&gt;=$E48),"━","")))</f>
        <v/>
      </c>
      <c r="FJ48" s="69" t="str">
        <f aca="false">IF($E48="","",IF($M48,IF(AND($G48&gt;=FJ$5,$G48&lt;FJ$5+GanttPeriod),"◆",IF(AND($E48&gt;=FJ$5,$E48&lt;FJ$5+GanttPeriod),"◇","")),IF(AND(FJ$5&lt;=$F48,FJ$5+GanttPeriod-1&gt;=$E48),"━","")))</f>
        <v/>
      </c>
      <c r="FK48" s="69" t="str">
        <f aca="false">IF($E48="","",IF($M48,IF(AND($G48&gt;=FK$5,$G48&lt;FK$5+GanttPeriod),"◆",IF(AND($E48&gt;=FK$5,$E48&lt;FK$5+GanttPeriod),"◇","")),IF(AND(FK$5&lt;=$F48,FK$5+GanttPeriod-1&gt;=$E48),"━","")))</f>
        <v/>
      </c>
      <c r="FL48" s="69" t="str">
        <f aca="false">IF($E48="","",IF($M48,IF(AND($G48&gt;=FL$5,$G48&lt;FL$5+GanttPeriod),"◆",IF(AND($E48&gt;=FL$5,$E48&lt;FL$5+GanttPeriod),"◇","")),IF(AND(FL$5&lt;=$F48,FL$5+GanttPeriod-1&gt;=$E48),"━","")))</f>
        <v/>
      </c>
      <c r="FM48" s="69" t="str">
        <f aca="false">IF($E48="","",IF($M48,IF(AND($G48&gt;=FM$5,$G48&lt;FM$5+GanttPeriod),"◆",IF(AND($E48&gt;=FM$5,$E48&lt;FM$5+GanttPeriod),"◇","")),IF(AND(FM$5&lt;=$F48,FM$5+GanttPeriod-1&gt;=$E48),"━","")))</f>
        <v/>
      </c>
    </row>
    <row r="49" customFormat="false" ht="15" hidden="false" customHeight="false" outlineLevel="0" collapsed="false">
      <c r="A49" s="62" t="str">
        <f aca="false">IF(Tasks!$D49="","",Tasks!$A49)</f>
        <v/>
      </c>
      <c r="B49" s="62" t="str">
        <f aca="false">IF(Tasks!$D49="","",Tasks!$B49)</f>
        <v/>
      </c>
      <c r="C49" s="63" t="str">
        <f aca="false">IF(Tasks!$D49="","",REPT("    ",Tasks!$AE49-1)&amp;Tasks!$D49)</f>
        <v/>
      </c>
      <c r="D49" s="62" t="str">
        <f aca="false">IF(Tasks!$D49="","",IF(Tasks!$AI49,NETWORKDAYS.INTL(Tasks!$R49,Tasks!$S49,WorkWeek,Holidays),N(Tasks!$F49)))</f>
        <v/>
      </c>
      <c r="E49" s="64" t="str">
        <f aca="false">IF(Tasks!$D49="","",Tasks!$N49)</f>
        <v/>
      </c>
      <c r="F49" s="64" t="str">
        <f aca="false">IF(Tasks!$D49="","",Tasks!$O49)</f>
        <v/>
      </c>
      <c r="G49" s="64" t="str">
        <f aca="false">IF(Tasks!$D49="","",Tasks!$R49)</f>
        <v/>
      </c>
      <c r="H49" s="64" t="str">
        <f aca="false">IF(Tasks!$D49="","",Tasks!$S49)</f>
        <v/>
      </c>
      <c r="I49" s="65" t="str">
        <f aca="false">IF(Tasks!$D49="","",Tasks!$V49)</f>
        <v/>
      </c>
      <c r="J49" s="63" t="str">
        <f aca="false">IF(Tasks!$D49="","",Tasks!$X49&amp;"")</f>
        <v/>
      </c>
      <c r="K49" s="66" t="str">
        <f aca="false">IF(Tasks!$D49="","",Tasks!$W49)</f>
        <v/>
      </c>
      <c r="L49" s="67" t="b">
        <f aca="false">IF(Tasks!$D49="",FALSE(),Tasks!$AI49)</f>
        <v>0</v>
      </c>
      <c r="M49" s="67" t="b">
        <f aca="false">AND(Tasks!$AJ49=1,N(Tasks!$F49)=0)</f>
        <v>0</v>
      </c>
      <c r="N49" s="68" t="n">
        <f aca="false">IF(AND(Tasks!$AJ49=1,NOT($M49),N($I49)&gt;0),$G49,0)</f>
        <v>0</v>
      </c>
      <c r="O49" s="68" t="n">
        <f aca="false">IF($N49=0,0,IF($I49&gt;=1,$H49,MAX($N49,$G49+ROUND(($H49-$G49+1)*$I49,0)-1)))</f>
        <v>0</v>
      </c>
      <c r="P49" s="68" t="n">
        <f aca="false">IF(OR(Tasks!$AJ49&lt;&gt;1,$M49,N($I49)&gt;=1),0,IF($O49&gt;0,$O49+1,$G49))</f>
        <v>0</v>
      </c>
      <c r="Q49" s="68" t="n">
        <f aca="false">IF($P49=0,0,$H49)</f>
        <v>0</v>
      </c>
      <c r="R49" s="67" t="b">
        <f aca="false">AND(Tasks!$D49&lt;&gt;"",N(Tasks!$T49)&gt;0)</f>
        <v>0</v>
      </c>
      <c r="T49" s="69" t="str">
        <f aca="false">IF($E49="","",IF($M49,IF(AND($G49&gt;=T$5,$G49&lt;T$5+GanttPeriod),"◆",IF(AND($E49&gt;=T$5,$E49&lt;T$5+GanttPeriod),"◇","")),IF(AND(T$5&lt;=$F49,T$5+GanttPeriod-1&gt;=$E49),"━","")))</f>
        <v/>
      </c>
      <c r="U49" s="69" t="str">
        <f aca="false">IF($E49="","",IF($M49,IF(AND($G49&gt;=U$5,$G49&lt;U$5+GanttPeriod),"◆",IF(AND($E49&gt;=U$5,$E49&lt;U$5+GanttPeriod),"◇","")),IF(AND(U$5&lt;=$F49,U$5+GanttPeriod-1&gt;=$E49),"━","")))</f>
        <v/>
      </c>
      <c r="V49" s="69" t="str">
        <f aca="false">IF($E49="","",IF($M49,IF(AND($G49&gt;=V$5,$G49&lt;V$5+GanttPeriod),"◆",IF(AND($E49&gt;=V$5,$E49&lt;V$5+GanttPeriod),"◇","")),IF(AND(V$5&lt;=$F49,V$5+GanttPeriod-1&gt;=$E49),"━","")))</f>
        <v/>
      </c>
      <c r="W49" s="69" t="str">
        <f aca="false">IF($E49="","",IF($M49,IF(AND($G49&gt;=W$5,$G49&lt;W$5+GanttPeriod),"◆",IF(AND($E49&gt;=W$5,$E49&lt;W$5+GanttPeriod),"◇","")),IF(AND(W$5&lt;=$F49,W$5+GanttPeriod-1&gt;=$E49),"━","")))</f>
        <v/>
      </c>
      <c r="X49" s="69" t="str">
        <f aca="false">IF($E49="","",IF($M49,IF(AND($G49&gt;=X$5,$G49&lt;X$5+GanttPeriod),"◆",IF(AND($E49&gt;=X$5,$E49&lt;X$5+GanttPeriod),"◇","")),IF(AND(X$5&lt;=$F49,X$5+GanttPeriod-1&gt;=$E49),"━","")))</f>
        <v/>
      </c>
      <c r="Y49" s="69" t="str">
        <f aca="false">IF($E49="","",IF($M49,IF(AND($G49&gt;=Y$5,$G49&lt;Y$5+GanttPeriod),"◆",IF(AND($E49&gt;=Y$5,$E49&lt;Y$5+GanttPeriod),"◇","")),IF(AND(Y$5&lt;=$F49,Y$5+GanttPeriod-1&gt;=$E49),"━","")))</f>
        <v/>
      </c>
      <c r="Z49" s="69" t="str">
        <f aca="false">IF($E49="","",IF($M49,IF(AND($G49&gt;=Z$5,$G49&lt;Z$5+GanttPeriod),"◆",IF(AND($E49&gt;=Z$5,$E49&lt;Z$5+GanttPeriod),"◇","")),IF(AND(Z$5&lt;=$F49,Z$5+GanttPeriod-1&gt;=$E49),"━","")))</f>
        <v/>
      </c>
      <c r="AA49" s="69" t="str">
        <f aca="false">IF($E49="","",IF($M49,IF(AND($G49&gt;=AA$5,$G49&lt;AA$5+GanttPeriod),"◆",IF(AND($E49&gt;=AA$5,$E49&lt;AA$5+GanttPeriod),"◇","")),IF(AND(AA$5&lt;=$F49,AA$5+GanttPeriod-1&gt;=$E49),"━","")))</f>
        <v/>
      </c>
      <c r="AB49" s="69" t="str">
        <f aca="false">IF($E49="","",IF($M49,IF(AND($G49&gt;=AB$5,$G49&lt;AB$5+GanttPeriod),"◆",IF(AND($E49&gt;=AB$5,$E49&lt;AB$5+GanttPeriod),"◇","")),IF(AND(AB$5&lt;=$F49,AB$5+GanttPeriod-1&gt;=$E49),"━","")))</f>
        <v/>
      </c>
      <c r="AC49" s="69" t="str">
        <f aca="false">IF($E49="","",IF($M49,IF(AND($G49&gt;=AC$5,$G49&lt;AC$5+GanttPeriod),"◆",IF(AND($E49&gt;=AC$5,$E49&lt;AC$5+GanttPeriod),"◇","")),IF(AND(AC$5&lt;=$F49,AC$5+GanttPeriod-1&gt;=$E49),"━","")))</f>
        <v/>
      </c>
      <c r="AD49" s="69" t="str">
        <f aca="false">IF($E49="","",IF($M49,IF(AND($G49&gt;=AD$5,$G49&lt;AD$5+GanttPeriod),"◆",IF(AND($E49&gt;=AD$5,$E49&lt;AD$5+GanttPeriod),"◇","")),IF(AND(AD$5&lt;=$F49,AD$5+GanttPeriod-1&gt;=$E49),"━","")))</f>
        <v/>
      </c>
      <c r="AE49" s="69" t="str">
        <f aca="false">IF($E49="","",IF($M49,IF(AND($G49&gt;=AE$5,$G49&lt;AE$5+GanttPeriod),"◆",IF(AND($E49&gt;=AE$5,$E49&lt;AE$5+GanttPeriod),"◇","")),IF(AND(AE$5&lt;=$F49,AE$5+GanttPeriod-1&gt;=$E49),"━","")))</f>
        <v/>
      </c>
      <c r="AF49" s="69" t="str">
        <f aca="false">IF($E49="","",IF($M49,IF(AND($G49&gt;=AF$5,$G49&lt;AF$5+GanttPeriod),"◆",IF(AND($E49&gt;=AF$5,$E49&lt;AF$5+GanttPeriod),"◇","")),IF(AND(AF$5&lt;=$F49,AF$5+GanttPeriod-1&gt;=$E49),"━","")))</f>
        <v/>
      </c>
      <c r="AG49" s="69" t="str">
        <f aca="false">IF($E49="","",IF($M49,IF(AND($G49&gt;=AG$5,$G49&lt;AG$5+GanttPeriod),"◆",IF(AND($E49&gt;=AG$5,$E49&lt;AG$5+GanttPeriod),"◇","")),IF(AND(AG$5&lt;=$F49,AG$5+GanttPeriod-1&gt;=$E49),"━","")))</f>
        <v/>
      </c>
      <c r="AH49" s="69" t="str">
        <f aca="false">IF($E49="","",IF($M49,IF(AND($G49&gt;=AH$5,$G49&lt;AH$5+GanttPeriod),"◆",IF(AND($E49&gt;=AH$5,$E49&lt;AH$5+GanttPeriod),"◇","")),IF(AND(AH$5&lt;=$F49,AH$5+GanttPeriod-1&gt;=$E49),"━","")))</f>
        <v/>
      </c>
      <c r="AI49" s="69" t="str">
        <f aca="false">IF($E49="","",IF($M49,IF(AND($G49&gt;=AI$5,$G49&lt;AI$5+GanttPeriod),"◆",IF(AND($E49&gt;=AI$5,$E49&lt;AI$5+GanttPeriod),"◇","")),IF(AND(AI$5&lt;=$F49,AI$5+GanttPeriod-1&gt;=$E49),"━","")))</f>
        <v/>
      </c>
      <c r="AJ49" s="69" t="str">
        <f aca="false">IF($E49="","",IF($M49,IF(AND($G49&gt;=AJ$5,$G49&lt;AJ$5+GanttPeriod),"◆",IF(AND($E49&gt;=AJ$5,$E49&lt;AJ$5+GanttPeriod),"◇","")),IF(AND(AJ$5&lt;=$F49,AJ$5+GanttPeriod-1&gt;=$E49),"━","")))</f>
        <v/>
      </c>
      <c r="AK49" s="69" t="str">
        <f aca="false">IF($E49="","",IF($M49,IF(AND($G49&gt;=AK$5,$G49&lt;AK$5+GanttPeriod),"◆",IF(AND($E49&gt;=AK$5,$E49&lt;AK$5+GanttPeriod),"◇","")),IF(AND(AK$5&lt;=$F49,AK$5+GanttPeriod-1&gt;=$E49),"━","")))</f>
        <v/>
      </c>
      <c r="AL49" s="69" t="str">
        <f aca="false">IF($E49="","",IF($M49,IF(AND($G49&gt;=AL$5,$G49&lt;AL$5+GanttPeriod),"◆",IF(AND($E49&gt;=AL$5,$E49&lt;AL$5+GanttPeriod),"◇","")),IF(AND(AL$5&lt;=$F49,AL$5+GanttPeriod-1&gt;=$E49),"━","")))</f>
        <v/>
      </c>
      <c r="AM49" s="69" t="str">
        <f aca="false">IF($E49="","",IF($M49,IF(AND($G49&gt;=AM$5,$G49&lt;AM$5+GanttPeriod),"◆",IF(AND($E49&gt;=AM$5,$E49&lt;AM$5+GanttPeriod),"◇","")),IF(AND(AM$5&lt;=$F49,AM$5+GanttPeriod-1&gt;=$E49),"━","")))</f>
        <v/>
      </c>
      <c r="AN49" s="69" t="str">
        <f aca="false">IF($E49="","",IF($M49,IF(AND($G49&gt;=AN$5,$G49&lt;AN$5+GanttPeriod),"◆",IF(AND($E49&gt;=AN$5,$E49&lt;AN$5+GanttPeriod),"◇","")),IF(AND(AN$5&lt;=$F49,AN$5+GanttPeriod-1&gt;=$E49),"━","")))</f>
        <v/>
      </c>
      <c r="AO49" s="69" t="str">
        <f aca="false">IF($E49="","",IF($M49,IF(AND($G49&gt;=AO$5,$G49&lt;AO$5+GanttPeriod),"◆",IF(AND($E49&gt;=AO$5,$E49&lt;AO$5+GanttPeriod),"◇","")),IF(AND(AO$5&lt;=$F49,AO$5+GanttPeriod-1&gt;=$E49),"━","")))</f>
        <v/>
      </c>
      <c r="AP49" s="69" t="str">
        <f aca="false">IF($E49="","",IF($M49,IF(AND($G49&gt;=AP$5,$G49&lt;AP$5+GanttPeriod),"◆",IF(AND($E49&gt;=AP$5,$E49&lt;AP$5+GanttPeriod),"◇","")),IF(AND(AP$5&lt;=$F49,AP$5+GanttPeriod-1&gt;=$E49),"━","")))</f>
        <v/>
      </c>
      <c r="AQ49" s="69" t="str">
        <f aca="false">IF($E49="","",IF($M49,IF(AND($G49&gt;=AQ$5,$G49&lt;AQ$5+GanttPeriod),"◆",IF(AND($E49&gt;=AQ$5,$E49&lt;AQ$5+GanttPeriod),"◇","")),IF(AND(AQ$5&lt;=$F49,AQ$5+GanttPeriod-1&gt;=$E49),"━","")))</f>
        <v/>
      </c>
      <c r="AR49" s="69" t="str">
        <f aca="false">IF($E49="","",IF($M49,IF(AND($G49&gt;=AR$5,$G49&lt;AR$5+GanttPeriod),"◆",IF(AND($E49&gt;=AR$5,$E49&lt;AR$5+GanttPeriod),"◇","")),IF(AND(AR$5&lt;=$F49,AR$5+GanttPeriod-1&gt;=$E49),"━","")))</f>
        <v/>
      </c>
      <c r="AS49" s="69" t="str">
        <f aca="false">IF($E49="","",IF($M49,IF(AND($G49&gt;=AS$5,$G49&lt;AS$5+GanttPeriod),"◆",IF(AND($E49&gt;=AS$5,$E49&lt;AS$5+GanttPeriod),"◇","")),IF(AND(AS$5&lt;=$F49,AS$5+GanttPeriod-1&gt;=$E49),"━","")))</f>
        <v/>
      </c>
      <c r="AT49" s="69" t="str">
        <f aca="false">IF($E49="","",IF($M49,IF(AND($G49&gt;=AT$5,$G49&lt;AT$5+GanttPeriod),"◆",IF(AND($E49&gt;=AT$5,$E49&lt;AT$5+GanttPeriod),"◇","")),IF(AND(AT$5&lt;=$F49,AT$5+GanttPeriod-1&gt;=$E49),"━","")))</f>
        <v/>
      </c>
      <c r="AU49" s="69" t="str">
        <f aca="false">IF($E49="","",IF($M49,IF(AND($G49&gt;=AU$5,$G49&lt;AU$5+GanttPeriod),"◆",IF(AND($E49&gt;=AU$5,$E49&lt;AU$5+GanttPeriod),"◇","")),IF(AND(AU$5&lt;=$F49,AU$5+GanttPeriod-1&gt;=$E49),"━","")))</f>
        <v/>
      </c>
      <c r="AV49" s="69" t="str">
        <f aca="false">IF($E49="","",IF($M49,IF(AND($G49&gt;=AV$5,$G49&lt;AV$5+GanttPeriod),"◆",IF(AND($E49&gt;=AV$5,$E49&lt;AV$5+GanttPeriod),"◇","")),IF(AND(AV$5&lt;=$F49,AV$5+GanttPeriod-1&gt;=$E49),"━","")))</f>
        <v/>
      </c>
      <c r="AW49" s="69" t="str">
        <f aca="false">IF($E49="","",IF($M49,IF(AND($G49&gt;=AW$5,$G49&lt;AW$5+GanttPeriod),"◆",IF(AND($E49&gt;=AW$5,$E49&lt;AW$5+GanttPeriod),"◇","")),IF(AND(AW$5&lt;=$F49,AW$5+GanttPeriod-1&gt;=$E49),"━","")))</f>
        <v/>
      </c>
      <c r="AX49" s="69" t="str">
        <f aca="false">IF($E49="","",IF($M49,IF(AND($G49&gt;=AX$5,$G49&lt;AX$5+GanttPeriod),"◆",IF(AND($E49&gt;=AX$5,$E49&lt;AX$5+GanttPeriod),"◇","")),IF(AND(AX$5&lt;=$F49,AX$5+GanttPeriod-1&gt;=$E49),"━","")))</f>
        <v/>
      </c>
      <c r="AY49" s="69" t="str">
        <f aca="false">IF($E49="","",IF($M49,IF(AND($G49&gt;=AY$5,$G49&lt;AY$5+GanttPeriod),"◆",IF(AND($E49&gt;=AY$5,$E49&lt;AY$5+GanttPeriod),"◇","")),IF(AND(AY$5&lt;=$F49,AY$5+GanttPeriod-1&gt;=$E49),"━","")))</f>
        <v/>
      </c>
      <c r="AZ49" s="69" t="str">
        <f aca="false">IF($E49="","",IF($M49,IF(AND($G49&gt;=AZ$5,$G49&lt;AZ$5+GanttPeriod),"◆",IF(AND($E49&gt;=AZ$5,$E49&lt;AZ$5+GanttPeriod),"◇","")),IF(AND(AZ$5&lt;=$F49,AZ$5+GanttPeriod-1&gt;=$E49),"━","")))</f>
        <v/>
      </c>
      <c r="BA49" s="69" t="str">
        <f aca="false">IF($E49="","",IF($M49,IF(AND($G49&gt;=BA$5,$G49&lt;BA$5+GanttPeriod),"◆",IF(AND($E49&gt;=BA$5,$E49&lt;BA$5+GanttPeriod),"◇","")),IF(AND(BA$5&lt;=$F49,BA$5+GanttPeriod-1&gt;=$E49),"━","")))</f>
        <v/>
      </c>
      <c r="BB49" s="69" t="str">
        <f aca="false">IF($E49="","",IF($M49,IF(AND($G49&gt;=BB$5,$G49&lt;BB$5+GanttPeriod),"◆",IF(AND($E49&gt;=BB$5,$E49&lt;BB$5+GanttPeriod),"◇","")),IF(AND(BB$5&lt;=$F49,BB$5+GanttPeriod-1&gt;=$E49),"━","")))</f>
        <v/>
      </c>
      <c r="BC49" s="69" t="str">
        <f aca="false">IF($E49="","",IF($M49,IF(AND($G49&gt;=BC$5,$G49&lt;BC$5+GanttPeriod),"◆",IF(AND($E49&gt;=BC$5,$E49&lt;BC$5+GanttPeriod),"◇","")),IF(AND(BC$5&lt;=$F49,BC$5+GanttPeriod-1&gt;=$E49),"━","")))</f>
        <v/>
      </c>
      <c r="BD49" s="69" t="str">
        <f aca="false">IF($E49="","",IF($M49,IF(AND($G49&gt;=BD$5,$G49&lt;BD$5+GanttPeriod),"◆",IF(AND($E49&gt;=BD$5,$E49&lt;BD$5+GanttPeriod),"◇","")),IF(AND(BD$5&lt;=$F49,BD$5+GanttPeriod-1&gt;=$E49),"━","")))</f>
        <v/>
      </c>
      <c r="BE49" s="69" t="str">
        <f aca="false">IF($E49="","",IF($M49,IF(AND($G49&gt;=BE$5,$G49&lt;BE$5+GanttPeriod),"◆",IF(AND($E49&gt;=BE$5,$E49&lt;BE$5+GanttPeriod),"◇","")),IF(AND(BE$5&lt;=$F49,BE$5+GanttPeriod-1&gt;=$E49),"━","")))</f>
        <v/>
      </c>
      <c r="BF49" s="69" t="str">
        <f aca="false">IF($E49="","",IF($M49,IF(AND($G49&gt;=BF$5,$G49&lt;BF$5+GanttPeriod),"◆",IF(AND($E49&gt;=BF$5,$E49&lt;BF$5+GanttPeriod),"◇","")),IF(AND(BF$5&lt;=$F49,BF$5+GanttPeriod-1&gt;=$E49),"━","")))</f>
        <v/>
      </c>
      <c r="BG49" s="69" t="str">
        <f aca="false">IF($E49="","",IF($M49,IF(AND($G49&gt;=BG$5,$G49&lt;BG$5+GanttPeriod),"◆",IF(AND($E49&gt;=BG$5,$E49&lt;BG$5+GanttPeriod),"◇","")),IF(AND(BG$5&lt;=$F49,BG$5+GanttPeriod-1&gt;=$E49),"━","")))</f>
        <v/>
      </c>
      <c r="BH49" s="69" t="str">
        <f aca="false">IF($E49="","",IF($M49,IF(AND($G49&gt;=BH$5,$G49&lt;BH$5+GanttPeriod),"◆",IF(AND($E49&gt;=BH$5,$E49&lt;BH$5+GanttPeriod),"◇","")),IF(AND(BH$5&lt;=$F49,BH$5+GanttPeriod-1&gt;=$E49),"━","")))</f>
        <v/>
      </c>
      <c r="BI49" s="69" t="str">
        <f aca="false">IF($E49="","",IF($M49,IF(AND($G49&gt;=BI$5,$G49&lt;BI$5+GanttPeriod),"◆",IF(AND($E49&gt;=BI$5,$E49&lt;BI$5+GanttPeriod),"◇","")),IF(AND(BI$5&lt;=$F49,BI$5+GanttPeriod-1&gt;=$E49),"━","")))</f>
        <v/>
      </c>
      <c r="BJ49" s="69" t="str">
        <f aca="false">IF($E49="","",IF($M49,IF(AND($G49&gt;=BJ$5,$G49&lt;BJ$5+GanttPeriod),"◆",IF(AND($E49&gt;=BJ$5,$E49&lt;BJ$5+GanttPeriod),"◇","")),IF(AND(BJ$5&lt;=$F49,BJ$5+GanttPeriod-1&gt;=$E49),"━","")))</f>
        <v/>
      </c>
      <c r="BK49" s="69" t="str">
        <f aca="false">IF($E49="","",IF($M49,IF(AND($G49&gt;=BK$5,$G49&lt;BK$5+GanttPeriod),"◆",IF(AND($E49&gt;=BK$5,$E49&lt;BK$5+GanttPeriod),"◇","")),IF(AND(BK$5&lt;=$F49,BK$5+GanttPeriod-1&gt;=$E49),"━","")))</f>
        <v/>
      </c>
      <c r="BL49" s="69" t="str">
        <f aca="false">IF($E49="","",IF($M49,IF(AND($G49&gt;=BL$5,$G49&lt;BL$5+GanttPeriod),"◆",IF(AND($E49&gt;=BL$5,$E49&lt;BL$5+GanttPeriod),"◇","")),IF(AND(BL$5&lt;=$F49,BL$5+GanttPeriod-1&gt;=$E49),"━","")))</f>
        <v/>
      </c>
      <c r="BM49" s="69" t="str">
        <f aca="false">IF($E49="","",IF($M49,IF(AND($G49&gt;=BM$5,$G49&lt;BM$5+GanttPeriod),"◆",IF(AND($E49&gt;=BM$5,$E49&lt;BM$5+GanttPeriod),"◇","")),IF(AND(BM$5&lt;=$F49,BM$5+GanttPeriod-1&gt;=$E49),"━","")))</f>
        <v/>
      </c>
      <c r="BN49" s="69" t="str">
        <f aca="false">IF($E49="","",IF($M49,IF(AND($G49&gt;=BN$5,$G49&lt;BN$5+GanttPeriod),"◆",IF(AND($E49&gt;=BN$5,$E49&lt;BN$5+GanttPeriod),"◇","")),IF(AND(BN$5&lt;=$F49,BN$5+GanttPeriod-1&gt;=$E49),"━","")))</f>
        <v/>
      </c>
      <c r="BO49" s="69" t="str">
        <f aca="false">IF($E49="","",IF($M49,IF(AND($G49&gt;=BO$5,$G49&lt;BO$5+GanttPeriod),"◆",IF(AND($E49&gt;=BO$5,$E49&lt;BO$5+GanttPeriod),"◇","")),IF(AND(BO$5&lt;=$F49,BO$5+GanttPeriod-1&gt;=$E49),"━","")))</f>
        <v/>
      </c>
      <c r="BP49" s="69" t="str">
        <f aca="false">IF($E49="","",IF($M49,IF(AND($G49&gt;=BP$5,$G49&lt;BP$5+GanttPeriod),"◆",IF(AND($E49&gt;=BP$5,$E49&lt;BP$5+GanttPeriod),"◇","")),IF(AND(BP$5&lt;=$F49,BP$5+GanttPeriod-1&gt;=$E49),"━","")))</f>
        <v/>
      </c>
      <c r="BQ49" s="69" t="str">
        <f aca="false">IF($E49="","",IF($M49,IF(AND($G49&gt;=BQ$5,$G49&lt;BQ$5+GanttPeriod),"◆",IF(AND($E49&gt;=BQ$5,$E49&lt;BQ$5+GanttPeriod),"◇","")),IF(AND(BQ$5&lt;=$F49,BQ$5+GanttPeriod-1&gt;=$E49),"━","")))</f>
        <v/>
      </c>
      <c r="BR49" s="69" t="str">
        <f aca="false">IF($E49="","",IF($M49,IF(AND($G49&gt;=BR$5,$G49&lt;BR$5+GanttPeriod),"◆",IF(AND($E49&gt;=BR$5,$E49&lt;BR$5+GanttPeriod),"◇","")),IF(AND(BR$5&lt;=$F49,BR$5+GanttPeriod-1&gt;=$E49),"━","")))</f>
        <v/>
      </c>
      <c r="BS49" s="69" t="str">
        <f aca="false">IF($E49="","",IF($M49,IF(AND($G49&gt;=BS$5,$G49&lt;BS$5+GanttPeriod),"◆",IF(AND($E49&gt;=BS$5,$E49&lt;BS$5+GanttPeriod),"◇","")),IF(AND(BS$5&lt;=$F49,BS$5+GanttPeriod-1&gt;=$E49),"━","")))</f>
        <v/>
      </c>
      <c r="BT49" s="69" t="str">
        <f aca="false">IF($E49="","",IF($M49,IF(AND($G49&gt;=BT$5,$G49&lt;BT$5+GanttPeriod),"◆",IF(AND($E49&gt;=BT$5,$E49&lt;BT$5+GanttPeriod),"◇","")),IF(AND(BT$5&lt;=$F49,BT$5+GanttPeriod-1&gt;=$E49),"━","")))</f>
        <v/>
      </c>
      <c r="BU49" s="69" t="str">
        <f aca="false">IF($E49="","",IF($M49,IF(AND($G49&gt;=BU$5,$G49&lt;BU$5+GanttPeriod),"◆",IF(AND($E49&gt;=BU$5,$E49&lt;BU$5+GanttPeriod),"◇","")),IF(AND(BU$5&lt;=$F49,BU$5+GanttPeriod-1&gt;=$E49),"━","")))</f>
        <v/>
      </c>
      <c r="BV49" s="69" t="str">
        <f aca="false">IF($E49="","",IF($M49,IF(AND($G49&gt;=BV$5,$G49&lt;BV$5+GanttPeriod),"◆",IF(AND($E49&gt;=BV$5,$E49&lt;BV$5+GanttPeriod),"◇","")),IF(AND(BV$5&lt;=$F49,BV$5+GanttPeriod-1&gt;=$E49),"━","")))</f>
        <v/>
      </c>
      <c r="BW49" s="69" t="str">
        <f aca="false">IF($E49="","",IF($M49,IF(AND($G49&gt;=BW$5,$G49&lt;BW$5+GanttPeriod),"◆",IF(AND($E49&gt;=BW$5,$E49&lt;BW$5+GanttPeriod),"◇","")),IF(AND(BW$5&lt;=$F49,BW$5+GanttPeriod-1&gt;=$E49),"━","")))</f>
        <v/>
      </c>
      <c r="BX49" s="69" t="str">
        <f aca="false">IF($E49="","",IF($M49,IF(AND($G49&gt;=BX$5,$G49&lt;BX$5+GanttPeriod),"◆",IF(AND($E49&gt;=BX$5,$E49&lt;BX$5+GanttPeriod),"◇","")),IF(AND(BX$5&lt;=$F49,BX$5+GanttPeriod-1&gt;=$E49),"━","")))</f>
        <v/>
      </c>
      <c r="BY49" s="69" t="str">
        <f aca="false">IF($E49="","",IF($M49,IF(AND($G49&gt;=BY$5,$G49&lt;BY$5+GanttPeriod),"◆",IF(AND($E49&gt;=BY$5,$E49&lt;BY$5+GanttPeriod),"◇","")),IF(AND(BY$5&lt;=$F49,BY$5+GanttPeriod-1&gt;=$E49),"━","")))</f>
        <v/>
      </c>
      <c r="BZ49" s="69" t="str">
        <f aca="false">IF($E49="","",IF($M49,IF(AND($G49&gt;=BZ$5,$G49&lt;BZ$5+GanttPeriod),"◆",IF(AND($E49&gt;=BZ$5,$E49&lt;BZ$5+GanttPeriod),"◇","")),IF(AND(BZ$5&lt;=$F49,BZ$5+GanttPeriod-1&gt;=$E49),"━","")))</f>
        <v/>
      </c>
      <c r="CA49" s="69" t="str">
        <f aca="false">IF($E49="","",IF($M49,IF(AND($G49&gt;=CA$5,$G49&lt;CA$5+GanttPeriod),"◆",IF(AND($E49&gt;=CA$5,$E49&lt;CA$5+GanttPeriod),"◇","")),IF(AND(CA$5&lt;=$F49,CA$5+GanttPeriod-1&gt;=$E49),"━","")))</f>
        <v/>
      </c>
      <c r="CB49" s="69" t="str">
        <f aca="false">IF($E49="","",IF($M49,IF(AND($G49&gt;=CB$5,$G49&lt;CB$5+GanttPeriod),"◆",IF(AND($E49&gt;=CB$5,$E49&lt;CB$5+GanttPeriod),"◇","")),IF(AND(CB$5&lt;=$F49,CB$5+GanttPeriod-1&gt;=$E49),"━","")))</f>
        <v/>
      </c>
      <c r="CC49" s="69" t="str">
        <f aca="false">IF($E49="","",IF($M49,IF(AND($G49&gt;=CC$5,$G49&lt;CC$5+GanttPeriod),"◆",IF(AND($E49&gt;=CC$5,$E49&lt;CC$5+GanttPeriod),"◇","")),IF(AND(CC$5&lt;=$F49,CC$5+GanttPeriod-1&gt;=$E49),"━","")))</f>
        <v/>
      </c>
      <c r="CD49" s="69" t="str">
        <f aca="false">IF($E49="","",IF($M49,IF(AND($G49&gt;=CD$5,$G49&lt;CD$5+GanttPeriod),"◆",IF(AND($E49&gt;=CD$5,$E49&lt;CD$5+GanttPeriod),"◇","")),IF(AND(CD$5&lt;=$F49,CD$5+GanttPeriod-1&gt;=$E49),"━","")))</f>
        <v/>
      </c>
      <c r="CE49" s="69" t="str">
        <f aca="false">IF($E49="","",IF($M49,IF(AND($G49&gt;=CE$5,$G49&lt;CE$5+GanttPeriod),"◆",IF(AND($E49&gt;=CE$5,$E49&lt;CE$5+GanttPeriod),"◇","")),IF(AND(CE$5&lt;=$F49,CE$5+GanttPeriod-1&gt;=$E49),"━","")))</f>
        <v/>
      </c>
      <c r="CF49" s="69" t="str">
        <f aca="false">IF($E49="","",IF($M49,IF(AND($G49&gt;=CF$5,$G49&lt;CF$5+GanttPeriod),"◆",IF(AND($E49&gt;=CF$5,$E49&lt;CF$5+GanttPeriod),"◇","")),IF(AND(CF$5&lt;=$F49,CF$5+GanttPeriod-1&gt;=$E49),"━","")))</f>
        <v/>
      </c>
      <c r="CG49" s="69" t="str">
        <f aca="false">IF($E49="","",IF($M49,IF(AND($G49&gt;=CG$5,$G49&lt;CG$5+GanttPeriod),"◆",IF(AND($E49&gt;=CG$5,$E49&lt;CG$5+GanttPeriod),"◇","")),IF(AND(CG$5&lt;=$F49,CG$5+GanttPeriod-1&gt;=$E49),"━","")))</f>
        <v/>
      </c>
      <c r="CH49" s="69" t="str">
        <f aca="false">IF($E49="","",IF($M49,IF(AND($G49&gt;=CH$5,$G49&lt;CH$5+GanttPeriod),"◆",IF(AND($E49&gt;=CH$5,$E49&lt;CH$5+GanttPeriod),"◇","")),IF(AND(CH$5&lt;=$F49,CH$5+GanttPeriod-1&gt;=$E49),"━","")))</f>
        <v/>
      </c>
      <c r="CI49" s="69" t="str">
        <f aca="false">IF($E49="","",IF($M49,IF(AND($G49&gt;=CI$5,$G49&lt;CI$5+GanttPeriod),"◆",IF(AND($E49&gt;=CI$5,$E49&lt;CI$5+GanttPeriod),"◇","")),IF(AND(CI$5&lt;=$F49,CI$5+GanttPeriod-1&gt;=$E49),"━","")))</f>
        <v/>
      </c>
      <c r="CJ49" s="69" t="str">
        <f aca="false">IF($E49="","",IF($M49,IF(AND($G49&gt;=CJ$5,$G49&lt;CJ$5+GanttPeriod),"◆",IF(AND($E49&gt;=CJ$5,$E49&lt;CJ$5+GanttPeriod),"◇","")),IF(AND(CJ$5&lt;=$F49,CJ$5+GanttPeriod-1&gt;=$E49),"━","")))</f>
        <v/>
      </c>
      <c r="CK49" s="69" t="str">
        <f aca="false">IF($E49="","",IF($M49,IF(AND($G49&gt;=CK$5,$G49&lt;CK$5+GanttPeriod),"◆",IF(AND($E49&gt;=CK$5,$E49&lt;CK$5+GanttPeriod),"◇","")),IF(AND(CK$5&lt;=$F49,CK$5+GanttPeriod-1&gt;=$E49),"━","")))</f>
        <v/>
      </c>
      <c r="CL49" s="69" t="str">
        <f aca="false">IF($E49="","",IF($M49,IF(AND($G49&gt;=CL$5,$G49&lt;CL$5+GanttPeriod),"◆",IF(AND($E49&gt;=CL$5,$E49&lt;CL$5+GanttPeriod),"◇","")),IF(AND(CL$5&lt;=$F49,CL$5+GanttPeriod-1&gt;=$E49),"━","")))</f>
        <v/>
      </c>
      <c r="CM49" s="69" t="str">
        <f aca="false">IF($E49="","",IF($M49,IF(AND($G49&gt;=CM$5,$G49&lt;CM$5+GanttPeriod),"◆",IF(AND($E49&gt;=CM$5,$E49&lt;CM$5+GanttPeriod),"◇","")),IF(AND(CM$5&lt;=$F49,CM$5+GanttPeriod-1&gt;=$E49),"━","")))</f>
        <v/>
      </c>
      <c r="CN49" s="69" t="str">
        <f aca="false">IF($E49="","",IF($M49,IF(AND($G49&gt;=CN$5,$G49&lt;CN$5+GanttPeriod),"◆",IF(AND($E49&gt;=CN$5,$E49&lt;CN$5+GanttPeriod),"◇","")),IF(AND(CN$5&lt;=$F49,CN$5+GanttPeriod-1&gt;=$E49),"━","")))</f>
        <v/>
      </c>
      <c r="CO49" s="69" t="str">
        <f aca="false">IF($E49="","",IF($M49,IF(AND($G49&gt;=CO$5,$G49&lt;CO$5+GanttPeriod),"◆",IF(AND($E49&gt;=CO$5,$E49&lt;CO$5+GanttPeriod),"◇","")),IF(AND(CO$5&lt;=$F49,CO$5+GanttPeriod-1&gt;=$E49),"━","")))</f>
        <v/>
      </c>
      <c r="CP49" s="69" t="str">
        <f aca="false">IF($E49="","",IF($M49,IF(AND($G49&gt;=CP$5,$G49&lt;CP$5+GanttPeriod),"◆",IF(AND($E49&gt;=CP$5,$E49&lt;CP$5+GanttPeriod),"◇","")),IF(AND(CP$5&lt;=$F49,CP$5+GanttPeriod-1&gt;=$E49),"━","")))</f>
        <v/>
      </c>
      <c r="CQ49" s="69" t="str">
        <f aca="false">IF($E49="","",IF($M49,IF(AND($G49&gt;=CQ$5,$G49&lt;CQ$5+GanttPeriod),"◆",IF(AND($E49&gt;=CQ$5,$E49&lt;CQ$5+GanttPeriod),"◇","")),IF(AND(CQ$5&lt;=$F49,CQ$5+GanttPeriod-1&gt;=$E49),"━","")))</f>
        <v/>
      </c>
      <c r="CR49" s="69" t="str">
        <f aca="false">IF($E49="","",IF($M49,IF(AND($G49&gt;=CR$5,$G49&lt;CR$5+GanttPeriod),"◆",IF(AND($E49&gt;=CR$5,$E49&lt;CR$5+GanttPeriod),"◇","")),IF(AND(CR$5&lt;=$F49,CR$5+GanttPeriod-1&gt;=$E49),"━","")))</f>
        <v/>
      </c>
      <c r="CS49" s="69" t="str">
        <f aca="false">IF($E49="","",IF($M49,IF(AND($G49&gt;=CS$5,$G49&lt;CS$5+GanttPeriod),"◆",IF(AND($E49&gt;=CS$5,$E49&lt;CS$5+GanttPeriod),"◇","")),IF(AND(CS$5&lt;=$F49,CS$5+GanttPeriod-1&gt;=$E49),"━","")))</f>
        <v/>
      </c>
      <c r="CT49" s="69" t="str">
        <f aca="false">IF($E49="","",IF($M49,IF(AND($G49&gt;=CT$5,$G49&lt;CT$5+GanttPeriod),"◆",IF(AND($E49&gt;=CT$5,$E49&lt;CT$5+GanttPeriod),"◇","")),IF(AND(CT$5&lt;=$F49,CT$5+GanttPeriod-1&gt;=$E49),"━","")))</f>
        <v/>
      </c>
      <c r="CU49" s="69" t="str">
        <f aca="false">IF($E49="","",IF($M49,IF(AND($G49&gt;=CU$5,$G49&lt;CU$5+GanttPeriod),"◆",IF(AND($E49&gt;=CU$5,$E49&lt;CU$5+GanttPeriod),"◇","")),IF(AND(CU$5&lt;=$F49,CU$5+GanttPeriod-1&gt;=$E49),"━","")))</f>
        <v/>
      </c>
      <c r="CV49" s="69" t="str">
        <f aca="false">IF($E49="","",IF($M49,IF(AND($G49&gt;=CV$5,$G49&lt;CV$5+GanttPeriod),"◆",IF(AND($E49&gt;=CV$5,$E49&lt;CV$5+GanttPeriod),"◇","")),IF(AND(CV$5&lt;=$F49,CV$5+GanttPeriod-1&gt;=$E49),"━","")))</f>
        <v/>
      </c>
      <c r="CW49" s="69" t="str">
        <f aca="false">IF($E49="","",IF($M49,IF(AND($G49&gt;=CW$5,$G49&lt;CW$5+GanttPeriod),"◆",IF(AND($E49&gt;=CW$5,$E49&lt;CW$5+GanttPeriod),"◇","")),IF(AND(CW$5&lt;=$F49,CW$5+GanttPeriod-1&gt;=$E49),"━","")))</f>
        <v/>
      </c>
      <c r="CX49" s="69" t="str">
        <f aca="false">IF($E49="","",IF($M49,IF(AND($G49&gt;=CX$5,$G49&lt;CX$5+GanttPeriod),"◆",IF(AND($E49&gt;=CX$5,$E49&lt;CX$5+GanttPeriod),"◇","")),IF(AND(CX$5&lt;=$F49,CX$5+GanttPeriod-1&gt;=$E49),"━","")))</f>
        <v/>
      </c>
      <c r="CY49" s="69" t="str">
        <f aca="false">IF($E49="","",IF($M49,IF(AND($G49&gt;=CY$5,$G49&lt;CY$5+GanttPeriod),"◆",IF(AND($E49&gt;=CY$5,$E49&lt;CY$5+GanttPeriod),"◇","")),IF(AND(CY$5&lt;=$F49,CY$5+GanttPeriod-1&gt;=$E49),"━","")))</f>
        <v/>
      </c>
      <c r="CZ49" s="69" t="str">
        <f aca="false">IF($E49="","",IF($M49,IF(AND($G49&gt;=CZ$5,$G49&lt;CZ$5+GanttPeriod),"◆",IF(AND($E49&gt;=CZ$5,$E49&lt;CZ$5+GanttPeriod),"◇","")),IF(AND(CZ$5&lt;=$F49,CZ$5+GanttPeriod-1&gt;=$E49),"━","")))</f>
        <v/>
      </c>
      <c r="DA49" s="69" t="str">
        <f aca="false">IF($E49="","",IF($M49,IF(AND($G49&gt;=DA$5,$G49&lt;DA$5+GanttPeriod),"◆",IF(AND($E49&gt;=DA$5,$E49&lt;DA$5+GanttPeriod),"◇","")),IF(AND(DA$5&lt;=$F49,DA$5+GanttPeriod-1&gt;=$E49),"━","")))</f>
        <v/>
      </c>
      <c r="DB49" s="69" t="str">
        <f aca="false">IF($E49="","",IF($M49,IF(AND($G49&gt;=DB$5,$G49&lt;DB$5+GanttPeriod),"◆",IF(AND($E49&gt;=DB$5,$E49&lt;DB$5+GanttPeriod),"◇","")),IF(AND(DB$5&lt;=$F49,DB$5+GanttPeriod-1&gt;=$E49),"━","")))</f>
        <v/>
      </c>
      <c r="DC49" s="69" t="str">
        <f aca="false">IF($E49="","",IF($M49,IF(AND($G49&gt;=DC$5,$G49&lt;DC$5+GanttPeriod),"◆",IF(AND($E49&gt;=DC$5,$E49&lt;DC$5+GanttPeriod),"◇","")),IF(AND(DC$5&lt;=$F49,DC$5+GanttPeriod-1&gt;=$E49),"━","")))</f>
        <v/>
      </c>
      <c r="DD49" s="69" t="str">
        <f aca="false">IF($E49="","",IF($M49,IF(AND($G49&gt;=DD$5,$G49&lt;DD$5+GanttPeriod),"◆",IF(AND($E49&gt;=DD$5,$E49&lt;DD$5+GanttPeriod),"◇","")),IF(AND(DD$5&lt;=$F49,DD$5+GanttPeriod-1&gt;=$E49),"━","")))</f>
        <v/>
      </c>
      <c r="DE49" s="69" t="str">
        <f aca="false">IF($E49="","",IF($M49,IF(AND($G49&gt;=DE$5,$G49&lt;DE$5+GanttPeriod),"◆",IF(AND($E49&gt;=DE$5,$E49&lt;DE$5+GanttPeriod),"◇","")),IF(AND(DE$5&lt;=$F49,DE$5+GanttPeriod-1&gt;=$E49),"━","")))</f>
        <v/>
      </c>
      <c r="DF49" s="69" t="str">
        <f aca="false">IF($E49="","",IF($M49,IF(AND($G49&gt;=DF$5,$G49&lt;DF$5+GanttPeriod),"◆",IF(AND($E49&gt;=DF$5,$E49&lt;DF$5+GanttPeriod),"◇","")),IF(AND(DF$5&lt;=$F49,DF$5+GanttPeriod-1&gt;=$E49),"━","")))</f>
        <v/>
      </c>
      <c r="DG49" s="69" t="str">
        <f aca="false">IF($E49="","",IF($M49,IF(AND($G49&gt;=DG$5,$G49&lt;DG$5+GanttPeriod),"◆",IF(AND($E49&gt;=DG$5,$E49&lt;DG$5+GanttPeriod),"◇","")),IF(AND(DG$5&lt;=$F49,DG$5+GanttPeriod-1&gt;=$E49),"━","")))</f>
        <v/>
      </c>
      <c r="DH49" s="69" t="str">
        <f aca="false">IF($E49="","",IF($M49,IF(AND($G49&gt;=DH$5,$G49&lt;DH$5+GanttPeriod),"◆",IF(AND($E49&gt;=DH$5,$E49&lt;DH$5+GanttPeriod),"◇","")),IF(AND(DH$5&lt;=$F49,DH$5+GanttPeriod-1&gt;=$E49),"━","")))</f>
        <v/>
      </c>
      <c r="DI49" s="69" t="str">
        <f aca="false">IF($E49="","",IF($M49,IF(AND($G49&gt;=DI$5,$G49&lt;DI$5+GanttPeriod),"◆",IF(AND($E49&gt;=DI$5,$E49&lt;DI$5+GanttPeriod),"◇","")),IF(AND(DI$5&lt;=$F49,DI$5+GanttPeriod-1&gt;=$E49),"━","")))</f>
        <v/>
      </c>
      <c r="DJ49" s="69" t="str">
        <f aca="false">IF($E49="","",IF($M49,IF(AND($G49&gt;=DJ$5,$G49&lt;DJ$5+GanttPeriod),"◆",IF(AND($E49&gt;=DJ$5,$E49&lt;DJ$5+GanttPeriod),"◇","")),IF(AND(DJ$5&lt;=$F49,DJ$5+GanttPeriod-1&gt;=$E49),"━","")))</f>
        <v/>
      </c>
      <c r="DK49" s="69" t="str">
        <f aca="false">IF($E49="","",IF($M49,IF(AND($G49&gt;=DK$5,$G49&lt;DK$5+GanttPeriod),"◆",IF(AND($E49&gt;=DK$5,$E49&lt;DK$5+GanttPeriod),"◇","")),IF(AND(DK$5&lt;=$F49,DK$5+GanttPeriod-1&gt;=$E49),"━","")))</f>
        <v/>
      </c>
      <c r="DL49" s="69" t="str">
        <f aca="false">IF($E49="","",IF($M49,IF(AND($G49&gt;=DL$5,$G49&lt;DL$5+GanttPeriod),"◆",IF(AND($E49&gt;=DL$5,$E49&lt;DL$5+GanttPeriod),"◇","")),IF(AND(DL$5&lt;=$F49,DL$5+GanttPeriod-1&gt;=$E49),"━","")))</f>
        <v/>
      </c>
      <c r="DM49" s="69" t="str">
        <f aca="false">IF($E49="","",IF($M49,IF(AND($G49&gt;=DM$5,$G49&lt;DM$5+GanttPeriod),"◆",IF(AND($E49&gt;=DM$5,$E49&lt;DM$5+GanttPeriod),"◇","")),IF(AND(DM$5&lt;=$F49,DM$5+GanttPeriod-1&gt;=$E49),"━","")))</f>
        <v/>
      </c>
      <c r="DN49" s="69" t="str">
        <f aca="false">IF($E49="","",IF($M49,IF(AND($G49&gt;=DN$5,$G49&lt;DN$5+GanttPeriod),"◆",IF(AND($E49&gt;=DN$5,$E49&lt;DN$5+GanttPeriod),"◇","")),IF(AND(DN$5&lt;=$F49,DN$5+GanttPeriod-1&gt;=$E49),"━","")))</f>
        <v/>
      </c>
      <c r="DO49" s="69" t="str">
        <f aca="false">IF($E49="","",IF($M49,IF(AND($G49&gt;=DO$5,$G49&lt;DO$5+GanttPeriod),"◆",IF(AND($E49&gt;=DO$5,$E49&lt;DO$5+GanttPeriod),"◇","")),IF(AND(DO$5&lt;=$F49,DO$5+GanttPeriod-1&gt;=$E49),"━","")))</f>
        <v/>
      </c>
      <c r="DP49" s="69" t="str">
        <f aca="false">IF($E49="","",IF($M49,IF(AND($G49&gt;=DP$5,$G49&lt;DP$5+GanttPeriod),"◆",IF(AND($E49&gt;=DP$5,$E49&lt;DP$5+GanttPeriod),"◇","")),IF(AND(DP$5&lt;=$F49,DP$5+GanttPeriod-1&gt;=$E49),"━","")))</f>
        <v/>
      </c>
      <c r="DQ49" s="69" t="str">
        <f aca="false">IF($E49="","",IF($M49,IF(AND($G49&gt;=DQ$5,$G49&lt;DQ$5+GanttPeriod),"◆",IF(AND($E49&gt;=DQ$5,$E49&lt;DQ$5+GanttPeriod),"◇","")),IF(AND(DQ$5&lt;=$F49,DQ$5+GanttPeriod-1&gt;=$E49),"━","")))</f>
        <v/>
      </c>
      <c r="DR49" s="69" t="str">
        <f aca="false">IF($E49="","",IF($M49,IF(AND($G49&gt;=DR$5,$G49&lt;DR$5+GanttPeriod),"◆",IF(AND($E49&gt;=DR$5,$E49&lt;DR$5+GanttPeriod),"◇","")),IF(AND(DR$5&lt;=$F49,DR$5+GanttPeriod-1&gt;=$E49),"━","")))</f>
        <v/>
      </c>
      <c r="DS49" s="69" t="str">
        <f aca="false">IF($E49="","",IF($M49,IF(AND($G49&gt;=DS$5,$G49&lt;DS$5+GanttPeriod),"◆",IF(AND($E49&gt;=DS$5,$E49&lt;DS$5+GanttPeriod),"◇","")),IF(AND(DS$5&lt;=$F49,DS$5+GanttPeriod-1&gt;=$E49),"━","")))</f>
        <v/>
      </c>
      <c r="DT49" s="69" t="str">
        <f aca="false">IF($E49="","",IF($M49,IF(AND($G49&gt;=DT$5,$G49&lt;DT$5+GanttPeriod),"◆",IF(AND($E49&gt;=DT$5,$E49&lt;DT$5+GanttPeriod),"◇","")),IF(AND(DT$5&lt;=$F49,DT$5+GanttPeriod-1&gt;=$E49),"━","")))</f>
        <v/>
      </c>
      <c r="DU49" s="69" t="str">
        <f aca="false">IF($E49="","",IF($M49,IF(AND($G49&gt;=DU$5,$G49&lt;DU$5+GanttPeriod),"◆",IF(AND($E49&gt;=DU$5,$E49&lt;DU$5+GanttPeriod),"◇","")),IF(AND(DU$5&lt;=$F49,DU$5+GanttPeriod-1&gt;=$E49),"━","")))</f>
        <v/>
      </c>
      <c r="DV49" s="69" t="str">
        <f aca="false">IF($E49="","",IF($M49,IF(AND($G49&gt;=DV$5,$G49&lt;DV$5+GanttPeriod),"◆",IF(AND($E49&gt;=DV$5,$E49&lt;DV$5+GanttPeriod),"◇","")),IF(AND(DV$5&lt;=$F49,DV$5+GanttPeriod-1&gt;=$E49),"━","")))</f>
        <v/>
      </c>
      <c r="DW49" s="69" t="str">
        <f aca="false">IF($E49="","",IF($M49,IF(AND($G49&gt;=DW$5,$G49&lt;DW$5+GanttPeriod),"◆",IF(AND($E49&gt;=DW$5,$E49&lt;DW$5+GanttPeriod),"◇","")),IF(AND(DW$5&lt;=$F49,DW$5+GanttPeriod-1&gt;=$E49),"━","")))</f>
        <v/>
      </c>
      <c r="DX49" s="69" t="str">
        <f aca="false">IF($E49="","",IF($M49,IF(AND($G49&gt;=DX$5,$G49&lt;DX$5+GanttPeriod),"◆",IF(AND($E49&gt;=DX$5,$E49&lt;DX$5+GanttPeriod),"◇","")),IF(AND(DX$5&lt;=$F49,DX$5+GanttPeriod-1&gt;=$E49),"━","")))</f>
        <v/>
      </c>
      <c r="DY49" s="69" t="str">
        <f aca="false">IF($E49="","",IF($M49,IF(AND($G49&gt;=DY$5,$G49&lt;DY$5+GanttPeriod),"◆",IF(AND($E49&gt;=DY$5,$E49&lt;DY$5+GanttPeriod),"◇","")),IF(AND(DY$5&lt;=$F49,DY$5+GanttPeriod-1&gt;=$E49),"━","")))</f>
        <v/>
      </c>
      <c r="DZ49" s="69" t="str">
        <f aca="false">IF($E49="","",IF($M49,IF(AND($G49&gt;=DZ$5,$G49&lt;DZ$5+GanttPeriod),"◆",IF(AND($E49&gt;=DZ$5,$E49&lt;DZ$5+GanttPeriod),"◇","")),IF(AND(DZ$5&lt;=$F49,DZ$5+GanttPeriod-1&gt;=$E49),"━","")))</f>
        <v/>
      </c>
      <c r="EA49" s="69" t="str">
        <f aca="false">IF($E49="","",IF($M49,IF(AND($G49&gt;=EA$5,$G49&lt;EA$5+GanttPeriod),"◆",IF(AND($E49&gt;=EA$5,$E49&lt;EA$5+GanttPeriod),"◇","")),IF(AND(EA$5&lt;=$F49,EA$5+GanttPeriod-1&gt;=$E49),"━","")))</f>
        <v/>
      </c>
      <c r="EB49" s="69" t="str">
        <f aca="false">IF($E49="","",IF($M49,IF(AND($G49&gt;=EB$5,$G49&lt;EB$5+GanttPeriod),"◆",IF(AND($E49&gt;=EB$5,$E49&lt;EB$5+GanttPeriod),"◇","")),IF(AND(EB$5&lt;=$F49,EB$5+GanttPeriod-1&gt;=$E49),"━","")))</f>
        <v/>
      </c>
      <c r="EC49" s="69" t="str">
        <f aca="false">IF($E49="","",IF($M49,IF(AND($G49&gt;=EC$5,$G49&lt;EC$5+GanttPeriod),"◆",IF(AND($E49&gt;=EC$5,$E49&lt;EC$5+GanttPeriod),"◇","")),IF(AND(EC$5&lt;=$F49,EC$5+GanttPeriod-1&gt;=$E49),"━","")))</f>
        <v/>
      </c>
      <c r="ED49" s="69" t="str">
        <f aca="false">IF($E49="","",IF($M49,IF(AND($G49&gt;=ED$5,$G49&lt;ED$5+GanttPeriod),"◆",IF(AND($E49&gt;=ED$5,$E49&lt;ED$5+GanttPeriod),"◇","")),IF(AND(ED$5&lt;=$F49,ED$5+GanttPeriod-1&gt;=$E49),"━","")))</f>
        <v/>
      </c>
      <c r="EE49" s="69" t="str">
        <f aca="false">IF($E49="","",IF($M49,IF(AND($G49&gt;=EE$5,$G49&lt;EE$5+GanttPeriod),"◆",IF(AND($E49&gt;=EE$5,$E49&lt;EE$5+GanttPeriod),"◇","")),IF(AND(EE$5&lt;=$F49,EE$5+GanttPeriod-1&gt;=$E49),"━","")))</f>
        <v/>
      </c>
      <c r="EF49" s="69" t="str">
        <f aca="false">IF($E49="","",IF($M49,IF(AND($G49&gt;=EF$5,$G49&lt;EF$5+GanttPeriod),"◆",IF(AND($E49&gt;=EF$5,$E49&lt;EF$5+GanttPeriod),"◇","")),IF(AND(EF$5&lt;=$F49,EF$5+GanttPeriod-1&gt;=$E49),"━","")))</f>
        <v/>
      </c>
      <c r="EG49" s="69" t="str">
        <f aca="false">IF($E49="","",IF($M49,IF(AND($G49&gt;=EG$5,$G49&lt;EG$5+GanttPeriod),"◆",IF(AND($E49&gt;=EG$5,$E49&lt;EG$5+GanttPeriod),"◇","")),IF(AND(EG$5&lt;=$F49,EG$5+GanttPeriod-1&gt;=$E49),"━","")))</f>
        <v/>
      </c>
      <c r="EH49" s="69" t="str">
        <f aca="false">IF($E49="","",IF($M49,IF(AND($G49&gt;=EH$5,$G49&lt;EH$5+GanttPeriod),"◆",IF(AND($E49&gt;=EH$5,$E49&lt;EH$5+GanttPeriod),"◇","")),IF(AND(EH$5&lt;=$F49,EH$5+GanttPeriod-1&gt;=$E49),"━","")))</f>
        <v/>
      </c>
      <c r="EI49" s="69" t="str">
        <f aca="false">IF($E49="","",IF($M49,IF(AND($G49&gt;=EI$5,$G49&lt;EI$5+GanttPeriod),"◆",IF(AND($E49&gt;=EI$5,$E49&lt;EI$5+GanttPeriod),"◇","")),IF(AND(EI$5&lt;=$F49,EI$5+GanttPeriod-1&gt;=$E49),"━","")))</f>
        <v/>
      </c>
      <c r="EJ49" s="69" t="str">
        <f aca="false">IF($E49="","",IF($M49,IF(AND($G49&gt;=EJ$5,$G49&lt;EJ$5+GanttPeriod),"◆",IF(AND($E49&gt;=EJ$5,$E49&lt;EJ$5+GanttPeriod),"◇","")),IF(AND(EJ$5&lt;=$F49,EJ$5+GanttPeriod-1&gt;=$E49),"━","")))</f>
        <v/>
      </c>
      <c r="EK49" s="69" t="str">
        <f aca="false">IF($E49="","",IF($M49,IF(AND($G49&gt;=EK$5,$G49&lt;EK$5+GanttPeriod),"◆",IF(AND($E49&gt;=EK$5,$E49&lt;EK$5+GanttPeriod),"◇","")),IF(AND(EK$5&lt;=$F49,EK$5+GanttPeriod-1&gt;=$E49),"━","")))</f>
        <v/>
      </c>
      <c r="EL49" s="69" t="str">
        <f aca="false">IF($E49="","",IF($M49,IF(AND($G49&gt;=EL$5,$G49&lt;EL$5+GanttPeriod),"◆",IF(AND($E49&gt;=EL$5,$E49&lt;EL$5+GanttPeriod),"◇","")),IF(AND(EL$5&lt;=$F49,EL$5+GanttPeriod-1&gt;=$E49),"━","")))</f>
        <v/>
      </c>
      <c r="EM49" s="69" t="str">
        <f aca="false">IF($E49="","",IF($M49,IF(AND($G49&gt;=EM$5,$G49&lt;EM$5+GanttPeriod),"◆",IF(AND($E49&gt;=EM$5,$E49&lt;EM$5+GanttPeriod),"◇","")),IF(AND(EM$5&lt;=$F49,EM$5+GanttPeriod-1&gt;=$E49),"━","")))</f>
        <v/>
      </c>
      <c r="EN49" s="69" t="str">
        <f aca="false">IF($E49="","",IF($M49,IF(AND($G49&gt;=EN$5,$G49&lt;EN$5+GanttPeriod),"◆",IF(AND($E49&gt;=EN$5,$E49&lt;EN$5+GanttPeriod),"◇","")),IF(AND(EN$5&lt;=$F49,EN$5+GanttPeriod-1&gt;=$E49),"━","")))</f>
        <v/>
      </c>
      <c r="EO49" s="69" t="str">
        <f aca="false">IF($E49="","",IF($M49,IF(AND($G49&gt;=EO$5,$G49&lt;EO$5+GanttPeriod),"◆",IF(AND($E49&gt;=EO$5,$E49&lt;EO$5+GanttPeriod),"◇","")),IF(AND(EO$5&lt;=$F49,EO$5+GanttPeriod-1&gt;=$E49),"━","")))</f>
        <v/>
      </c>
      <c r="EP49" s="69" t="str">
        <f aca="false">IF($E49="","",IF($M49,IF(AND($G49&gt;=EP$5,$G49&lt;EP$5+GanttPeriod),"◆",IF(AND($E49&gt;=EP$5,$E49&lt;EP$5+GanttPeriod),"◇","")),IF(AND(EP$5&lt;=$F49,EP$5+GanttPeriod-1&gt;=$E49),"━","")))</f>
        <v/>
      </c>
      <c r="EQ49" s="69" t="str">
        <f aca="false">IF($E49="","",IF($M49,IF(AND($G49&gt;=EQ$5,$G49&lt;EQ$5+GanttPeriod),"◆",IF(AND($E49&gt;=EQ$5,$E49&lt;EQ$5+GanttPeriod),"◇","")),IF(AND(EQ$5&lt;=$F49,EQ$5+GanttPeriod-1&gt;=$E49),"━","")))</f>
        <v/>
      </c>
      <c r="ER49" s="69" t="str">
        <f aca="false">IF($E49="","",IF($M49,IF(AND($G49&gt;=ER$5,$G49&lt;ER$5+GanttPeriod),"◆",IF(AND($E49&gt;=ER$5,$E49&lt;ER$5+GanttPeriod),"◇","")),IF(AND(ER$5&lt;=$F49,ER$5+GanttPeriod-1&gt;=$E49),"━","")))</f>
        <v/>
      </c>
      <c r="ES49" s="69" t="str">
        <f aca="false">IF($E49="","",IF($M49,IF(AND($G49&gt;=ES$5,$G49&lt;ES$5+GanttPeriod),"◆",IF(AND($E49&gt;=ES$5,$E49&lt;ES$5+GanttPeriod),"◇","")),IF(AND(ES$5&lt;=$F49,ES$5+GanttPeriod-1&gt;=$E49),"━","")))</f>
        <v/>
      </c>
      <c r="ET49" s="69" t="str">
        <f aca="false">IF($E49="","",IF($M49,IF(AND($G49&gt;=ET$5,$G49&lt;ET$5+GanttPeriod),"◆",IF(AND($E49&gt;=ET$5,$E49&lt;ET$5+GanttPeriod),"◇","")),IF(AND(ET$5&lt;=$F49,ET$5+GanttPeriod-1&gt;=$E49),"━","")))</f>
        <v/>
      </c>
      <c r="EU49" s="69" t="str">
        <f aca="false">IF($E49="","",IF($M49,IF(AND($G49&gt;=EU$5,$G49&lt;EU$5+GanttPeriod),"◆",IF(AND($E49&gt;=EU$5,$E49&lt;EU$5+GanttPeriod),"◇","")),IF(AND(EU$5&lt;=$F49,EU$5+GanttPeriod-1&gt;=$E49),"━","")))</f>
        <v/>
      </c>
      <c r="EV49" s="69" t="str">
        <f aca="false">IF($E49="","",IF($M49,IF(AND($G49&gt;=EV$5,$G49&lt;EV$5+GanttPeriod),"◆",IF(AND($E49&gt;=EV$5,$E49&lt;EV$5+GanttPeriod),"◇","")),IF(AND(EV$5&lt;=$F49,EV$5+GanttPeriod-1&gt;=$E49),"━","")))</f>
        <v/>
      </c>
      <c r="EW49" s="69" t="str">
        <f aca="false">IF($E49="","",IF($M49,IF(AND($G49&gt;=EW$5,$G49&lt;EW$5+GanttPeriod),"◆",IF(AND($E49&gt;=EW$5,$E49&lt;EW$5+GanttPeriod),"◇","")),IF(AND(EW$5&lt;=$F49,EW$5+GanttPeriod-1&gt;=$E49),"━","")))</f>
        <v/>
      </c>
      <c r="EX49" s="69" t="str">
        <f aca="false">IF($E49="","",IF($M49,IF(AND($G49&gt;=EX$5,$G49&lt;EX$5+GanttPeriod),"◆",IF(AND($E49&gt;=EX$5,$E49&lt;EX$5+GanttPeriod),"◇","")),IF(AND(EX$5&lt;=$F49,EX$5+GanttPeriod-1&gt;=$E49),"━","")))</f>
        <v/>
      </c>
      <c r="EY49" s="69" t="str">
        <f aca="false">IF($E49="","",IF($M49,IF(AND($G49&gt;=EY$5,$G49&lt;EY$5+GanttPeriod),"◆",IF(AND($E49&gt;=EY$5,$E49&lt;EY$5+GanttPeriod),"◇","")),IF(AND(EY$5&lt;=$F49,EY$5+GanttPeriod-1&gt;=$E49),"━","")))</f>
        <v/>
      </c>
      <c r="EZ49" s="69" t="str">
        <f aca="false">IF($E49="","",IF($M49,IF(AND($G49&gt;=EZ$5,$G49&lt;EZ$5+GanttPeriod),"◆",IF(AND($E49&gt;=EZ$5,$E49&lt;EZ$5+GanttPeriod),"◇","")),IF(AND(EZ$5&lt;=$F49,EZ$5+GanttPeriod-1&gt;=$E49),"━","")))</f>
        <v/>
      </c>
      <c r="FA49" s="69" t="str">
        <f aca="false">IF($E49="","",IF($M49,IF(AND($G49&gt;=FA$5,$G49&lt;FA$5+GanttPeriod),"◆",IF(AND($E49&gt;=FA$5,$E49&lt;FA$5+GanttPeriod),"◇","")),IF(AND(FA$5&lt;=$F49,FA$5+GanttPeriod-1&gt;=$E49),"━","")))</f>
        <v/>
      </c>
      <c r="FB49" s="69" t="str">
        <f aca="false">IF($E49="","",IF($M49,IF(AND($G49&gt;=FB$5,$G49&lt;FB$5+GanttPeriod),"◆",IF(AND($E49&gt;=FB$5,$E49&lt;FB$5+GanttPeriod),"◇","")),IF(AND(FB$5&lt;=$F49,FB$5+GanttPeriod-1&gt;=$E49),"━","")))</f>
        <v/>
      </c>
      <c r="FC49" s="69" t="str">
        <f aca="false">IF($E49="","",IF($M49,IF(AND($G49&gt;=FC$5,$G49&lt;FC$5+GanttPeriod),"◆",IF(AND($E49&gt;=FC$5,$E49&lt;FC$5+GanttPeriod),"◇","")),IF(AND(FC$5&lt;=$F49,FC$5+GanttPeriod-1&gt;=$E49),"━","")))</f>
        <v/>
      </c>
      <c r="FD49" s="69" t="str">
        <f aca="false">IF($E49="","",IF($M49,IF(AND($G49&gt;=FD$5,$G49&lt;FD$5+GanttPeriod),"◆",IF(AND($E49&gt;=FD$5,$E49&lt;FD$5+GanttPeriod),"◇","")),IF(AND(FD$5&lt;=$F49,FD$5+GanttPeriod-1&gt;=$E49),"━","")))</f>
        <v/>
      </c>
      <c r="FE49" s="69" t="str">
        <f aca="false">IF($E49="","",IF($M49,IF(AND($G49&gt;=FE$5,$G49&lt;FE$5+GanttPeriod),"◆",IF(AND($E49&gt;=FE$5,$E49&lt;FE$5+GanttPeriod),"◇","")),IF(AND(FE$5&lt;=$F49,FE$5+GanttPeriod-1&gt;=$E49),"━","")))</f>
        <v/>
      </c>
      <c r="FF49" s="69" t="str">
        <f aca="false">IF($E49="","",IF($M49,IF(AND($G49&gt;=FF$5,$G49&lt;FF$5+GanttPeriod),"◆",IF(AND($E49&gt;=FF$5,$E49&lt;FF$5+GanttPeriod),"◇","")),IF(AND(FF$5&lt;=$F49,FF$5+GanttPeriod-1&gt;=$E49),"━","")))</f>
        <v/>
      </c>
      <c r="FG49" s="69" t="str">
        <f aca="false">IF($E49="","",IF($M49,IF(AND($G49&gt;=FG$5,$G49&lt;FG$5+GanttPeriod),"◆",IF(AND($E49&gt;=FG$5,$E49&lt;FG$5+GanttPeriod),"◇","")),IF(AND(FG$5&lt;=$F49,FG$5+GanttPeriod-1&gt;=$E49),"━","")))</f>
        <v/>
      </c>
      <c r="FH49" s="69" t="str">
        <f aca="false">IF($E49="","",IF($M49,IF(AND($G49&gt;=FH$5,$G49&lt;FH$5+GanttPeriod),"◆",IF(AND($E49&gt;=FH$5,$E49&lt;FH$5+GanttPeriod),"◇","")),IF(AND(FH$5&lt;=$F49,FH$5+GanttPeriod-1&gt;=$E49),"━","")))</f>
        <v/>
      </c>
      <c r="FI49" s="69" t="str">
        <f aca="false">IF($E49="","",IF($M49,IF(AND($G49&gt;=FI$5,$G49&lt;FI$5+GanttPeriod),"◆",IF(AND($E49&gt;=FI$5,$E49&lt;FI$5+GanttPeriod),"◇","")),IF(AND(FI$5&lt;=$F49,FI$5+GanttPeriod-1&gt;=$E49),"━","")))</f>
        <v/>
      </c>
      <c r="FJ49" s="69" t="str">
        <f aca="false">IF($E49="","",IF($M49,IF(AND($G49&gt;=FJ$5,$G49&lt;FJ$5+GanttPeriod),"◆",IF(AND($E49&gt;=FJ$5,$E49&lt;FJ$5+GanttPeriod),"◇","")),IF(AND(FJ$5&lt;=$F49,FJ$5+GanttPeriod-1&gt;=$E49),"━","")))</f>
        <v/>
      </c>
      <c r="FK49" s="69" t="str">
        <f aca="false">IF($E49="","",IF($M49,IF(AND($G49&gt;=FK$5,$G49&lt;FK$5+GanttPeriod),"◆",IF(AND($E49&gt;=FK$5,$E49&lt;FK$5+GanttPeriod),"◇","")),IF(AND(FK$5&lt;=$F49,FK$5+GanttPeriod-1&gt;=$E49),"━","")))</f>
        <v/>
      </c>
      <c r="FL49" s="69" t="str">
        <f aca="false">IF($E49="","",IF($M49,IF(AND($G49&gt;=FL$5,$G49&lt;FL$5+GanttPeriod),"◆",IF(AND($E49&gt;=FL$5,$E49&lt;FL$5+GanttPeriod),"◇","")),IF(AND(FL$5&lt;=$F49,FL$5+GanttPeriod-1&gt;=$E49),"━","")))</f>
        <v/>
      </c>
      <c r="FM49" s="69" t="str">
        <f aca="false">IF($E49="","",IF($M49,IF(AND($G49&gt;=FM$5,$G49&lt;FM$5+GanttPeriod),"◆",IF(AND($E49&gt;=FM$5,$E49&lt;FM$5+GanttPeriod),"◇","")),IF(AND(FM$5&lt;=$F49,FM$5+GanttPeriod-1&gt;=$E49),"━","")))</f>
        <v/>
      </c>
    </row>
    <row r="50" customFormat="false" ht="15" hidden="false" customHeight="false" outlineLevel="0" collapsed="false">
      <c r="A50" s="62" t="str">
        <f aca="false">IF(Tasks!$D50="","",Tasks!$A50)</f>
        <v/>
      </c>
      <c r="B50" s="62" t="str">
        <f aca="false">IF(Tasks!$D50="","",Tasks!$B50)</f>
        <v/>
      </c>
      <c r="C50" s="63" t="str">
        <f aca="false">IF(Tasks!$D50="","",REPT("    ",Tasks!$AE50-1)&amp;Tasks!$D50)</f>
        <v/>
      </c>
      <c r="D50" s="62" t="str">
        <f aca="false">IF(Tasks!$D50="","",IF(Tasks!$AI50,NETWORKDAYS.INTL(Tasks!$R50,Tasks!$S50,WorkWeek,Holidays),N(Tasks!$F50)))</f>
        <v/>
      </c>
      <c r="E50" s="64" t="str">
        <f aca="false">IF(Tasks!$D50="","",Tasks!$N50)</f>
        <v/>
      </c>
      <c r="F50" s="64" t="str">
        <f aca="false">IF(Tasks!$D50="","",Tasks!$O50)</f>
        <v/>
      </c>
      <c r="G50" s="64" t="str">
        <f aca="false">IF(Tasks!$D50="","",Tasks!$R50)</f>
        <v/>
      </c>
      <c r="H50" s="64" t="str">
        <f aca="false">IF(Tasks!$D50="","",Tasks!$S50)</f>
        <v/>
      </c>
      <c r="I50" s="65" t="str">
        <f aca="false">IF(Tasks!$D50="","",Tasks!$V50)</f>
        <v/>
      </c>
      <c r="J50" s="63" t="str">
        <f aca="false">IF(Tasks!$D50="","",Tasks!$X50&amp;"")</f>
        <v/>
      </c>
      <c r="K50" s="66" t="str">
        <f aca="false">IF(Tasks!$D50="","",Tasks!$W50)</f>
        <v/>
      </c>
      <c r="L50" s="67" t="b">
        <f aca="false">IF(Tasks!$D50="",FALSE(),Tasks!$AI50)</f>
        <v>0</v>
      </c>
      <c r="M50" s="67" t="b">
        <f aca="false">AND(Tasks!$AJ50=1,N(Tasks!$F50)=0)</f>
        <v>0</v>
      </c>
      <c r="N50" s="68" t="n">
        <f aca="false">IF(AND(Tasks!$AJ50=1,NOT($M50),N($I50)&gt;0),$G50,0)</f>
        <v>0</v>
      </c>
      <c r="O50" s="68" t="n">
        <f aca="false">IF($N50=0,0,IF($I50&gt;=1,$H50,MAX($N50,$G50+ROUND(($H50-$G50+1)*$I50,0)-1)))</f>
        <v>0</v>
      </c>
      <c r="P50" s="68" t="n">
        <f aca="false">IF(OR(Tasks!$AJ50&lt;&gt;1,$M50,N($I50)&gt;=1),0,IF($O50&gt;0,$O50+1,$G50))</f>
        <v>0</v>
      </c>
      <c r="Q50" s="68" t="n">
        <f aca="false">IF($P50=0,0,$H50)</f>
        <v>0</v>
      </c>
      <c r="R50" s="67" t="b">
        <f aca="false">AND(Tasks!$D50&lt;&gt;"",N(Tasks!$T50)&gt;0)</f>
        <v>0</v>
      </c>
      <c r="T50" s="69" t="str">
        <f aca="false">IF($E50="","",IF($M50,IF(AND($G50&gt;=T$5,$G50&lt;T$5+GanttPeriod),"◆",IF(AND($E50&gt;=T$5,$E50&lt;T$5+GanttPeriod),"◇","")),IF(AND(T$5&lt;=$F50,T$5+GanttPeriod-1&gt;=$E50),"━","")))</f>
        <v/>
      </c>
      <c r="U50" s="69" t="str">
        <f aca="false">IF($E50="","",IF($M50,IF(AND($G50&gt;=U$5,$G50&lt;U$5+GanttPeriod),"◆",IF(AND($E50&gt;=U$5,$E50&lt;U$5+GanttPeriod),"◇","")),IF(AND(U$5&lt;=$F50,U$5+GanttPeriod-1&gt;=$E50),"━","")))</f>
        <v/>
      </c>
      <c r="V50" s="69" t="str">
        <f aca="false">IF($E50="","",IF($M50,IF(AND($G50&gt;=V$5,$G50&lt;V$5+GanttPeriod),"◆",IF(AND($E50&gt;=V$5,$E50&lt;V$5+GanttPeriod),"◇","")),IF(AND(V$5&lt;=$F50,V$5+GanttPeriod-1&gt;=$E50),"━","")))</f>
        <v/>
      </c>
      <c r="W50" s="69" t="str">
        <f aca="false">IF($E50="","",IF($M50,IF(AND($G50&gt;=W$5,$G50&lt;W$5+GanttPeriod),"◆",IF(AND($E50&gt;=W$5,$E50&lt;W$5+GanttPeriod),"◇","")),IF(AND(W$5&lt;=$F50,W$5+GanttPeriod-1&gt;=$E50),"━","")))</f>
        <v/>
      </c>
      <c r="X50" s="69" t="str">
        <f aca="false">IF($E50="","",IF($M50,IF(AND($G50&gt;=X$5,$G50&lt;X$5+GanttPeriod),"◆",IF(AND($E50&gt;=X$5,$E50&lt;X$5+GanttPeriod),"◇","")),IF(AND(X$5&lt;=$F50,X$5+GanttPeriod-1&gt;=$E50),"━","")))</f>
        <v/>
      </c>
      <c r="Y50" s="69" t="str">
        <f aca="false">IF($E50="","",IF($M50,IF(AND($G50&gt;=Y$5,$G50&lt;Y$5+GanttPeriod),"◆",IF(AND($E50&gt;=Y$5,$E50&lt;Y$5+GanttPeriod),"◇","")),IF(AND(Y$5&lt;=$F50,Y$5+GanttPeriod-1&gt;=$E50),"━","")))</f>
        <v/>
      </c>
      <c r="Z50" s="69" t="str">
        <f aca="false">IF($E50="","",IF($M50,IF(AND($G50&gt;=Z$5,$G50&lt;Z$5+GanttPeriod),"◆",IF(AND($E50&gt;=Z$5,$E50&lt;Z$5+GanttPeriod),"◇","")),IF(AND(Z$5&lt;=$F50,Z$5+GanttPeriod-1&gt;=$E50),"━","")))</f>
        <v/>
      </c>
      <c r="AA50" s="69" t="str">
        <f aca="false">IF($E50="","",IF($M50,IF(AND($G50&gt;=AA$5,$G50&lt;AA$5+GanttPeriod),"◆",IF(AND($E50&gt;=AA$5,$E50&lt;AA$5+GanttPeriod),"◇","")),IF(AND(AA$5&lt;=$F50,AA$5+GanttPeriod-1&gt;=$E50),"━","")))</f>
        <v/>
      </c>
      <c r="AB50" s="69" t="str">
        <f aca="false">IF($E50="","",IF($M50,IF(AND($G50&gt;=AB$5,$G50&lt;AB$5+GanttPeriod),"◆",IF(AND($E50&gt;=AB$5,$E50&lt;AB$5+GanttPeriod),"◇","")),IF(AND(AB$5&lt;=$F50,AB$5+GanttPeriod-1&gt;=$E50),"━","")))</f>
        <v/>
      </c>
      <c r="AC50" s="69" t="str">
        <f aca="false">IF($E50="","",IF($M50,IF(AND($G50&gt;=AC$5,$G50&lt;AC$5+GanttPeriod),"◆",IF(AND($E50&gt;=AC$5,$E50&lt;AC$5+GanttPeriod),"◇","")),IF(AND(AC$5&lt;=$F50,AC$5+GanttPeriod-1&gt;=$E50),"━","")))</f>
        <v/>
      </c>
      <c r="AD50" s="69" t="str">
        <f aca="false">IF($E50="","",IF($M50,IF(AND($G50&gt;=AD$5,$G50&lt;AD$5+GanttPeriod),"◆",IF(AND($E50&gt;=AD$5,$E50&lt;AD$5+GanttPeriod),"◇","")),IF(AND(AD$5&lt;=$F50,AD$5+GanttPeriod-1&gt;=$E50),"━","")))</f>
        <v/>
      </c>
      <c r="AE50" s="69" t="str">
        <f aca="false">IF($E50="","",IF($M50,IF(AND($G50&gt;=AE$5,$G50&lt;AE$5+GanttPeriod),"◆",IF(AND($E50&gt;=AE$5,$E50&lt;AE$5+GanttPeriod),"◇","")),IF(AND(AE$5&lt;=$F50,AE$5+GanttPeriod-1&gt;=$E50),"━","")))</f>
        <v/>
      </c>
      <c r="AF50" s="69" t="str">
        <f aca="false">IF($E50="","",IF($M50,IF(AND($G50&gt;=AF$5,$G50&lt;AF$5+GanttPeriod),"◆",IF(AND($E50&gt;=AF$5,$E50&lt;AF$5+GanttPeriod),"◇","")),IF(AND(AF$5&lt;=$F50,AF$5+GanttPeriod-1&gt;=$E50),"━","")))</f>
        <v/>
      </c>
      <c r="AG50" s="69" t="str">
        <f aca="false">IF($E50="","",IF($M50,IF(AND($G50&gt;=AG$5,$G50&lt;AG$5+GanttPeriod),"◆",IF(AND($E50&gt;=AG$5,$E50&lt;AG$5+GanttPeriod),"◇","")),IF(AND(AG$5&lt;=$F50,AG$5+GanttPeriod-1&gt;=$E50),"━","")))</f>
        <v/>
      </c>
      <c r="AH50" s="69" t="str">
        <f aca="false">IF($E50="","",IF($M50,IF(AND($G50&gt;=AH$5,$G50&lt;AH$5+GanttPeriod),"◆",IF(AND($E50&gt;=AH$5,$E50&lt;AH$5+GanttPeriod),"◇","")),IF(AND(AH$5&lt;=$F50,AH$5+GanttPeriod-1&gt;=$E50),"━","")))</f>
        <v/>
      </c>
      <c r="AI50" s="69" t="str">
        <f aca="false">IF($E50="","",IF($M50,IF(AND($G50&gt;=AI$5,$G50&lt;AI$5+GanttPeriod),"◆",IF(AND($E50&gt;=AI$5,$E50&lt;AI$5+GanttPeriod),"◇","")),IF(AND(AI$5&lt;=$F50,AI$5+GanttPeriod-1&gt;=$E50),"━","")))</f>
        <v/>
      </c>
      <c r="AJ50" s="69" t="str">
        <f aca="false">IF($E50="","",IF($M50,IF(AND($G50&gt;=AJ$5,$G50&lt;AJ$5+GanttPeriod),"◆",IF(AND($E50&gt;=AJ$5,$E50&lt;AJ$5+GanttPeriod),"◇","")),IF(AND(AJ$5&lt;=$F50,AJ$5+GanttPeriod-1&gt;=$E50),"━","")))</f>
        <v/>
      </c>
      <c r="AK50" s="69" t="str">
        <f aca="false">IF($E50="","",IF($M50,IF(AND($G50&gt;=AK$5,$G50&lt;AK$5+GanttPeriod),"◆",IF(AND($E50&gt;=AK$5,$E50&lt;AK$5+GanttPeriod),"◇","")),IF(AND(AK$5&lt;=$F50,AK$5+GanttPeriod-1&gt;=$E50),"━","")))</f>
        <v/>
      </c>
      <c r="AL50" s="69" t="str">
        <f aca="false">IF($E50="","",IF($M50,IF(AND($G50&gt;=AL$5,$G50&lt;AL$5+GanttPeriod),"◆",IF(AND($E50&gt;=AL$5,$E50&lt;AL$5+GanttPeriod),"◇","")),IF(AND(AL$5&lt;=$F50,AL$5+GanttPeriod-1&gt;=$E50),"━","")))</f>
        <v/>
      </c>
      <c r="AM50" s="69" t="str">
        <f aca="false">IF($E50="","",IF($M50,IF(AND($G50&gt;=AM$5,$G50&lt;AM$5+GanttPeriod),"◆",IF(AND($E50&gt;=AM$5,$E50&lt;AM$5+GanttPeriod),"◇","")),IF(AND(AM$5&lt;=$F50,AM$5+GanttPeriod-1&gt;=$E50),"━","")))</f>
        <v/>
      </c>
      <c r="AN50" s="69" t="str">
        <f aca="false">IF($E50="","",IF($M50,IF(AND($G50&gt;=AN$5,$G50&lt;AN$5+GanttPeriod),"◆",IF(AND($E50&gt;=AN$5,$E50&lt;AN$5+GanttPeriod),"◇","")),IF(AND(AN$5&lt;=$F50,AN$5+GanttPeriod-1&gt;=$E50),"━","")))</f>
        <v/>
      </c>
      <c r="AO50" s="69" t="str">
        <f aca="false">IF($E50="","",IF($M50,IF(AND($G50&gt;=AO$5,$G50&lt;AO$5+GanttPeriod),"◆",IF(AND($E50&gt;=AO$5,$E50&lt;AO$5+GanttPeriod),"◇","")),IF(AND(AO$5&lt;=$F50,AO$5+GanttPeriod-1&gt;=$E50),"━","")))</f>
        <v/>
      </c>
      <c r="AP50" s="69" t="str">
        <f aca="false">IF($E50="","",IF($M50,IF(AND($G50&gt;=AP$5,$G50&lt;AP$5+GanttPeriod),"◆",IF(AND($E50&gt;=AP$5,$E50&lt;AP$5+GanttPeriod),"◇","")),IF(AND(AP$5&lt;=$F50,AP$5+GanttPeriod-1&gt;=$E50),"━","")))</f>
        <v/>
      </c>
      <c r="AQ50" s="69" t="str">
        <f aca="false">IF($E50="","",IF($M50,IF(AND($G50&gt;=AQ$5,$G50&lt;AQ$5+GanttPeriod),"◆",IF(AND($E50&gt;=AQ$5,$E50&lt;AQ$5+GanttPeriod),"◇","")),IF(AND(AQ$5&lt;=$F50,AQ$5+GanttPeriod-1&gt;=$E50),"━","")))</f>
        <v/>
      </c>
      <c r="AR50" s="69" t="str">
        <f aca="false">IF($E50="","",IF($M50,IF(AND($G50&gt;=AR$5,$G50&lt;AR$5+GanttPeriod),"◆",IF(AND($E50&gt;=AR$5,$E50&lt;AR$5+GanttPeriod),"◇","")),IF(AND(AR$5&lt;=$F50,AR$5+GanttPeriod-1&gt;=$E50),"━","")))</f>
        <v/>
      </c>
      <c r="AS50" s="69" t="str">
        <f aca="false">IF($E50="","",IF($M50,IF(AND($G50&gt;=AS$5,$G50&lt;AS$5+GanttPeriod),"◆",IF(AND($E50&gt;=AS$5,$E50&lt;AS$5+GanttPeriod),"◇","")),IF(AND(AS$5&lt;=$F50,AS$5+GanttPeriod-1&gt;=$E50),"━","")))</f>
        <v/>
      </c>
      <c r="AT50" s="69" t="str">
        <f aca="false">IF($E50="","",IF($M50,IF(AND($G50&gt;=AT$5,$G50&lt;AT$5+GanttPeriod),"◆",IF(AND($E50&gt;=AT$5,$E50&lt;AT$5+GanttPeriod),"◇","")),IF(AND(AT$5&lt;=$F50,AT$5+GanttPeriod-1&gt;=$E50),"━","")))</f>
        <v/>
      </c>
      <c r="AU50" s="69" t="str">
        <f aca="false">IF($E50="","",IF($M50,IF(AND($G50&gt;=AU$5,$G50&lt;AU$5+GanttPeriod),"◆",IF(AND($E50&gt;=AU$5,$E50&lt;AU$5+GanttPeriod),"◇","")),IF(AND(AU$5&lt;=$F50,AU$5+GanttPeriod-1&gt;=$E50),"━","")))</f>
        <v/>
      </c>
      <c r="AV50" s="69" t="str">
        <f aca="false">IF($E50="","",IF($M50,IF(AND($G50&gt;=AV$5,$G50&lt;AV$5+GanttPeriod),"◆",IF(AND($E50&gt;=AV$5,$E50&lt;AV$5+GanttPeriod),"◇","")),IF(AND(AV$5&lt;=$F50,AV$5+GanttPeriod-1&gt;=$E50),"━","")))</f>
        <v/>
      </c>
      <c r="AW50" s="69" t="str">
        <f aca="false">IF($E50="","",IF($M50,IF(AND($G50&gt;=AW$5,$G50&lt;AW$5+GanttPeriod),"◆",IF(AND($E50&gt;=AW$5,$E50&lt;AW$5+GanttPeriod),"◇","")),IF(AND(AW$5&lt;=$F50,AW$5+GanttPeriod-1&gt;=$E50),"━","")))</f>
        <v/>
      </c>
      <c r="AX50" s="69" t="str">
        <f aca="false">IF($E50="","",IF($M50,IF(AND($G50&gt;=AX$5,$G50&lt;AX$5+GanttPeriod),"◆",IF(AND($E50&gt;=AX$5,$E50&lt;AX$5+GanttPeriod),"◇","")),IF(AND(AX$5&lt;=$F50,AX$5+GanttPeriod-1&gt;=$E50),"━","")))</f>
        <v/>
      </c>
      <c r="AY50" s="69" t="str">
        <f aca="false">IF($E50="","",IF($M50,IF(AND($G50&gt;=AY$5,$G50&lt;AY$5+GanttPeriod),"◆",IF(AND($E50&gt;=AY$5,$E50&lt;AY$5+GanttPeriod),"◇","")),IF(AND(AY$5&lt;=$F50,AY$5+GanttPeriod-1&gt;=$E50),"━","")))</f>
        <v/>
      </c>
      <c r="AZ50" s="69" t="str">
        <f aca="false">IF($E50="","",IF($M50,IF(AND($G50&gt;=AZ$5,$G50&lt;AZ$5+GanttPeriod),"◆",IF(AND($E50&gt;=AZ$5,$E50&lt;AZ$5+GanttPeriod),"◇","")),IF(AND(AZ$5&lt;=$F50,AZ$5+GanttPeriod-1&gt;=$E50),"━","")))</f>
        <v/>
      </c>
      <c r="BA50" s="69" t="str">
        <f aca="false">IF($E50="","",IF($M50,IF(AND($G50&gt;=BA$5,$G50&lt;BA$5+GanttPeriod),"◆",IF(AND($E50&gt;=BA$5,$E50&lt;BA$5+GanttPeriod),"◇","")),IF(AND(BA$5&lt;=$F50,BA$5+GanttPeriod-1&gt;=$E50),"━","")))</f>
        <v/>
      </c>
      <c r="BB50" s="69" t="str">
        <f aca="false">IF($E50="","",IF($M50,IF(AND($G50&gt;=BB$5,$G50&lt;BB$5+GanttPeriod),"◆",IF(AND($E50&gt;=BB$5,$E50&lt;BB$5+GanttPeriod),"◇","")),IF(AND(BB$5&lt;=$F50,BB$5+GanttPeriod-1&gt;=$E50),"━","")))</f>
        <v/>
      </c>
      <c r="BC50" s="69" t="str">
        <f aca="false">IF($E50="","",IF($M50,IF(AND($G50&gt;=BC$5,$G50&lt;BC$5+GanttPeriod),"◆",IF(AND($E50&gt;=BC$5,$E50&lt;BC$5+GanttPeriod),"◇","")),IF(AND(BC$5&lt;=$F50,BC$5+GanttPeriod-1&gt;=$E50),"━","")))</f>
        <v/>
      </c>
      <c r="BD50" s="69" t="str">
        <f aca="false">IF($E50="","",IF($M50,IF(AND($G50&gt;=BD$5,$G50&lt;BD$5+GanttPeriod),"◆",IF(AND($E50&gt;=BD$5,$E50&lt;BD$5+GanttPeriod),"◇","")),IF(AND(BD$5&lt;=$F50,BD$5+GanttPeriod-1&gt;=$E50),"━","")))</f>
        <v/>
      </c>
      <c r="BE50" s="69" t="str">
        <f aca="false">IF($E50="","",IF($M50,IF(AND($G50&gt;=BE$5,$G50&lt;BE$5+GanttPeriod),"◆",IF(AND($E50&gt;=BE$5,$E50&lt;BE$5+GanttPeriod),"◇","")),IF(AND(BE$5&lt;=$F50,BE$5+GanttPeriod-1&gt;=$E50),"━","")))</f>
        <v/>
      </c>
      <c r="BF50" s="69" t="str">
        <f aca="false">IF($E50="","",IF($M50,IF(AND($G50&gt;=BF$5,$G50&lt;BF$5+GanttPeriod),"◆",IF(AND($E50&gt;=BF$5,$E50&lt;BF$5+GanttPeriod),"◇","")),IF(AND(BF$5&lt;=$F50,BF$5+GanttPeriod-1&gt;=$E50),"━","")))</f>
        <v/>
      </c>
      <c r="BG50" s="69" t="str">
        <f aca="false">IF($E50="","",IF($M50,IF(AND($G50&gt;=BG$5,$G50&lt;BG$5+GanttPeriod),"◆",IF(AND($E50&gt;=BG$5,$E50&lt;BG$5+GanttPeriod),"◇","")),IF(AND(BG$5&lt;=$F50,BG$5+GanttPeriod-1&gt;=$E50),"━","")))</f>
        <v/>
      </c>
      <c r="BH50" s="69" t="str">
        <f aca="false">IF($E50="","",IF($M50,IF(AND($G50&gt;=BH$5,$G50&lt;BH$5+GanttPeriod),"◆",IF(AND($E50&gt;=BH$5,$E50&lt;BH$5+GanttPeriod),"◇","")),IF(AND(BH$5&lt;=$F50,BH$5+GanttPeriod-1&gt;=$E50),"━","")))</f>
        <v/>
      </c>
      <c r="BI50" s="69" t="str">
        <f aca="false">IF($E50="","",IF($M50,IF(AND($G50&gt;=BI$5,$G50&lt;BI$5+GanttPeriod),"◆",IF(AND($E50&gt;=BI$5,$E50&lt;BI$5+GanttPeriod),"◇","")),IF(AND(BI$5&lt;=$F50,BI$5+GanttPeriod-1&gt;=$E50),"━","")))</f>
        <v/>
      </c>
      <c r="BJ50" s="69" t="str">
        <f aca="false">IF($E50="","",IF($M50,IF(AND($G50&gt;=BJ$5,$G50&lt;BJ$5+GanttPeriod),"◆",IF(AND($E50&gt;=BJ$5,$E50&lt;BJ$5+GanttPeriod),"◇","")),IF(AND(BJ$5&lt;=$F50,BJ$5+GanttPeriod-1&gt;=$E50),"━","")))</f>
        <v/>
      </c>
      <c r="BK50" s="69" t="str">
        <f aca="false">IF($E50="","",IF($M50,IF(AND($G50&gt;=BK$5,$G50&lt;BK$5+GanttPeriod),"◆",IF(AND($E50&gt;=BK$5,$E50&lt;BK$5+GanttPeriod),"◇","")),IF(AND(BK$5&lt;=$F50,BK$5+GanttPeriod-1&gt;=$E50),"━","")))</f>
        <v/>
      </c>
      <c r="BL50" s="69" t="str">
        <f aca="false">IF($E50="","",IF($M50,IF(AND($G50&gt;=BL$5,$G50&lt;BL$5+GanttPeriod),"◆",IF(AND($E50&gt;=BL$5,$E50&lt;BL$5+GanttPeriod),"◇","")),IF(AND(BL$5&lt;=$F50,BL$5+GanttPeriod-1&gt;=$E50),"━","")))</f>
        <v/>
      </c>
      <c r="BM50" s="69" t="str">
        <f aca="false">IF($E50="","",IF($M50,IF(AND($G50&gt;=BM$5,$G50&lt;BM$5+GanttPeriod),"◆",IF(AND($E50&gt;=BM$5,$E50&lt;BM$5+GanttPeriod),"◇","")),IF(AND(BM$5&lt;=$F50,BM$5+GanttPeriod-1&gt;=$E50),"━","")))</f>
        <v/>
      </c>
      <c r="BN50" s="69" t="str">
        <f aca="false">IF($E50="","",IF($M50,IF(AND($G50&gt;=BN$5,$G50&lt;BN$5+GanttPeriod),"◆",IF(AND($E50&gt;=BN$5,$E50&lt;BN$5+GanttPeriod),"◇","")),IF(AND(BN$5&lt;=$F50,BN$5+GanttPeriod-1&gt;=$E50),"━","")))</f>
        <v/>
      </c>
      <c r="BO50" s="69" t="str">
        <f aca="false">IF($E50="","",IF($M50,IF(AND($G50&gt;=BO$5,$G50&lt;BO$5+GanttPeriod),"◆",IF(AND($E50&gt;=BO$5,$E50&lt;BO$5+GanttPeriod),"◇","")),IF(AND(BO$5&lt;=$F50,BO$5+GanttPeriod-1&gt;=$E50),"━","")))</f>
        <v/>
      </c>
      <c r="BP50" s="69" t="str">
        <f aca="false">IF($E50="","",IF($M50,IF(AND($G50&gt;=BP$5,$G50&lt;BP$5+GanttPeriod),"◆",IF(AND($E50&gt;=BP$5,$E50&lt;BP$5+GanttPeriod),"◇","")),IF(AND(BP$5&lt;=$F50,BP$5+GanttPeriod-1&gt;=$E50),"━","")))</f>
        <v/>
      </c>
      <c r="BQ50" s="69" t="str">
        <f aca="false">IF($E50="","",IF($M50,IF(AND($G50&gt;=BQ$5,$G50&lt;BQ$5+GanttPeriod),"◆",IF(AND($E50&gt;=BQ$5,$E50&lt;BQ$5+GanttPeriod),"◇","")),IF(AND(BQ$5&lt;=$F50,BQ$5+GanttPeriod-1&gt;=$E50),"━","")))</f>
        <v/>
      </c>
      <c r="BR50" s="69" t="str">
        <f aca="false">IF($E50="","",IF($M50,IF(AND($G50&gt;=BR$5,$G50&lt;BR$5+GanttPeriod),"◆",IF(AND($E50&gt;=BR$5,$E50&lt;BR$5+GanttPeriod),"◇","")),IF(AND(BR$5&lt;=$F50,BR$5+GanttPeriod-1&gt;=$E50),"━","")))</f>
        <v/>
      </c>
      <c r="BS50" s="69" t="str">
        <f aca="false">IF($E50="","",IF($M50,IF(AND($G50&gt;=BS$5,$G50&lt;BS$5+GanttPeriod),"◆",IF(AND($E50&gt;=BS$5,$E50&lt;BS$5+GanttPeriod),"◇","")),IF(AND(BS$5&lt;=$F50,BS$5+GanttPeriod-1&gt;=$E50),"━","")))</f>
        <v/>
      </c>
      <c r="BT50" s="69" t="str">
        <f aca="false">IF($E50="","",IF($M50,IF(AND($G50&gt;=BT$5,$G50&lt;BT$5+GanttPeriod),"◆",IF(AND($E50&gt;=BT$5,$E50&lt;BT$5+GanttPeriod),"◇","")),IF(AND(BT$5&lt;=$F50,BT$5+GanttPeriod-1&gt;=$E50),"━","")))</f>
        <v/>
      </c>
      <c r="BU50" s="69" t="str">
        <f aca="false">IF($E50="","",IF($M50,IF(AND($G50&gt;=BU$5,$G50&lt;BU$5+GanttPeriod),"◆",IF(AND($E50&gt;=BU$5,$E50&lt;BU$5+GanttPeriod),"◇","")),IF(AND(BU$5&lt;=$F50,BU$5+GanttPeriod-1&gt;=$E50),"━","")))</f>
        <v/>
      </c>
      <c r="BV50" s="69" t="str">
        <f aca="false">IF($E50="","",IF($M50,IF(AND($G50&gt;=BV$5,$G50&lt;BV$5+GanttPeriod),"◆",IF(AND($E50&gt;=BV$5,$E50&lt;BV$5+GanttPeriod),"◇","")),IF(AND(BV$5&lt;=$F50,BV$5+GanttPeriod-1&gt;=$E50),"━","")))</f>
        <v/>
      </c>
      <c r="BW50" s="69" t="str">
        <f aca="false">IF($E50="","",IF($M50,IF(AND($G50&gt;=BW$5,$G50&lt;BW$5+GanttPeriod),"◆",IF(AND($E50&gt;=BW$5,$E50&lt;BW$5+GanttPeriod),"◇","")),IF(AND(BW$5&lt;=$F50,BW$5+GanttPeriod-1&gt;=$E50),"━","")))</f>
        <v/>
      </c>
      <c r="BX50" s="69" t="str">
        <f aca="false">IF($E50="","",IF($M50,IF(AND($G50&gt;=BX$5,$G50&lt;BX$5+GanttPeriod),"◆",IF(AND($E50&gt;=BX$5,$E50&lt;BX$5+GanttPeriod),"◇","")),IF(AND(BX$5&lt;=$F50,BX$5+GanttPeriod-1&gt;=$E50),"━","")))</f>
        <v/>
      </c>
      <c r="BY50" s="69" t="str">
        <f aca="false">IF($E50="","",IF($M50,IF(AND($G50&gt;=BY$5,$G50&lt;BY$5+GanttPeriod),"◆",IF(AND($E50&gt;=BY$5,$E50&lt;BY$5+GanttPeriod),"◇","")),IF(AND(BY$5&lt;=$F50,BY$5+GanttPeriod-1&gt;=$E50),"━","")))</f>
        <v/>
      </c>
      <c r="BZ50" s="69" t="str">
        <f aca="false">IF($E50="","",IF($M50,IF(AND($G50&gt;=BZ$5,$G50&lt;BZ$5+GanttPeriod),"◆",IF(AND($E50&gt;=BZ$5,$E50&lt;BZ$5+GanttPeriod),"◇","")),IF(AND(BZ$5&lt;=$F50,BZ$5+GanttPeriod-1&gt;=$E50),"━","")))</f>
        <v/>
      </c>
      <c r="CA50" s="69" t="str">
        <f aca="false">IF($E50="","",IF($M50,IF(AND($G50&gt;=CA$5,$G50&lt;CA$5+GanttPeriod),"◆",IF(AND($E50&gt;=CA$5,$E50&lt;CA$5+GanttPeriod),"◇","")),IF(AND(CA$5&lt;=$F50,CA$5+GanttPeriod-1&gt;=$E50),"━","")))</f>
        <v/>
      </c>
      <c r="CB50" s="69" t="str">
        <f aca="false">IF($E50="","",IF($M50,IF(AND($G50&gt;=CB$5,$G50&lt;CB$5+GanttPeriod),"◆",IF(AND($E50&gt;=CB$5,$E50&lt;CB$5+GanttPeriod),"◇","")),IF(AND(CB$5&lt;=$F50,CB$5+GanttPeriod-1&gt;=$E50),"━","")))</f>
        <v/>
      </c>
      <c r="CC50" s="69" t="str">
        <f aca="false">IF($E50="","",IF($M50,IF(AND($G50&gt;=CC$5,$G50&lt;CC$5+GanttPeriod),"◆",IF(AND($E50&gt;=CC$5,$E50&lt;CC$5+GanttPeriod),"◇","")),IF(AND(CC$5&lt;=$F50,CC$5+GanttPeriod-1&gt;=$E50),"━","")))</f>
        <v/>
      </c>
      <c r="CD50" s="69" t="str">
        <f aca="false">IF($E50="","",IF($M50,IF(AND($G50&gt;=CD$5,$G50&lt;CD$5+GanttPeriod),"◆",IF(AND($E50&gt;=CD$5,$E50&lt;CD$5+GanttPeriod),"◇","")),IF(AND(CD$5&lt;=$F50,CD$5+GanttPeriod-1&gt;=$E50),"━","")))</f>
        <v/>
      </c>
      <c r="CE50" s="69" t="str">
        <f aca="false">IF($E50="","",IF($M50,IF(AND($G50&gt;=CE$5,$G50&lt;CE$5+GanttPeriod),"◆",IF(AND($E50&gt;=CE$5,$E50&lt;CE$5+GanttPeriod),"◇","")),IF(AND(CE$5&lt;=$F50,CE$5+GanttPeriod-1&gt;=$E50),"━","")))</f>
        <v/>
      </c>
      <c r="CF50" s="69" t="str">
        <f aca="false">IF($E50="","",IF($M50,IF(AND($G50&gt;=CF$5,$G50&lt;CF$5+GanttPeriod),"◆",IF(AND($E50&gt;=CF$5,$E50&lt;CF$5+GanttPeriod),"◇","")),IF(AND(CF$5&lt;=$F50,CF$5+GanttPeriod-1&gt;=$E50),"━","")))</f>
        <v/>
      </c>
      <c r="CG50" s="69" t="str">
        <f aca="false">IF($E50="","",IF($M50,IF(AND($G50&gt;=CG$5,$G50&lt;CG$5+GanttPeriod),"◆",IF(AND($E50&gt;=CG$5,$E50&lt;CG$5+GanttPeriod),"◇","")),IF(AND(CG$5&lt;=$F50,CG$5+GanttPeriod-1&gt;=$E50),"━","")))</f>
        <v/>
      </c>
      <c r="CH50" s="69" t="str">
        <f aca="false">IF($E50="","",IF($M50,IF(AND($G50&gt;=CH$5,$G50&lt;CH$5+GanttPeriod),"◆",IF(AND($E50&gt;=CH$5,$E50&lt;CH$5+GanttPeriod),"◇","")),IF(AND(CH$5&lt;=$F50,CH$5+GanttPeriod-1&gt;=$E50),"━","")))</f>
        <v/>
      </c>
      <c r="CI50" s="69" t="str">
        <f aca="false">IF($E50="","",IF($M50,IF(AND($G50&gt;=CI$5,$G50&lt;CI$5+GanttPeriod),"◆",IF(AND($E50&gt;=CI$5,$E50&lt;CI$5+GanttPeriod),"◇","")),IF(AND(CI$5&lt;=$F50,CI$5+GanttPeriod-1&gt;=$E50),"━","")))</f>
        <v/>
      </c>
      <c r="CJ50" s="69" t="str">
        <f aca="false">IF($E50="","",IF($M50,IF(AND($G50&gt;=CJ$5,$G50&lt;CJ$5+GanttPeriod),"◆",IF(AND($E50&gt;=CJ$5,$E50&lt;CJ$5+GanttPeriod),"◇","")),IF(AND(CJ$5&lt;=$F50,CJ$5+GanttPeriod-1&gt;=$E50),"━","")))</f>
        <v/>
      </c>
      <c r="CK50" s="69" t="str">
        <f aca="false">IF($E50="","",IF($M50,IF(AND($G50&gt;=CK$5,$G50&lt;CK$5+GanttPeriod),"◆",IF(AND($E50&gt;=CK$5,$E50&lt;CK$5+GanttPeriod),"◇","")),IF(AND(CK$5&lt;=$F50,CK$5+GanttPeriod-1&gt;=$E50),"━","")))</f>
        <v/>
      </c>
      <c r="CL50" s="69" t="str">
        <f aca="false">IF($E50="","",IF($M50,IF(AND($G50&gt;=CL$5,$G50&lt;CL$5+GanttPeriod),"◆",IF(AND($E50&gt;=CL$5,$E50&lt;CL$5+GanttPeriod),"◇","")),IF(AND(CL$5&lt;=$F50,CL$5+GanttPeriod-1&gt;=$E50),"━","")))</f>
        <v/>
      </c>
      <c r="CM50" s="69" t="str">
        <f aca="false">IF($E50="","",IF($M50,IF(AND($G50&gt;=CM$5,$G50&lt;CM$5+GanttPeriod),"◆",IF(AND($E50&gt;=CM$5,$E50&lt;CM$5+GanttPeriod),"◇","")),IF(AND(CM$5&lt;=$F50,CM$5+GanttPeriod-1&gt;=$E50),"━","")))</f>
        <v/>
      </c>
      <c r="CN50" s="69" t="str">
        <f aca="false">IF($E50="","",IF($M50,IF(AND($G50&gt;=CN$5,$G50&lt;CN$5+GanttPeriod),"◆",IF(AND($E50&gt;=CN$5,$E50&lt;CN$5+GanttPeriod),"◇","")),IF(AND(CN$5&lt;=$F50,CN$5+GanttPeriod-1&gt;=$E50),"━","")))</f>
        <v/>
      </c>
      <c r="CO50" s="69" t="str">
        <f aca="false">IF($E50="","",IF($M50,IF(AND($G50&gt;=CO$5,$G50&lt;CO$5+GanttPeriod),"◆",IF(AND($E50&gt;=CO$5,$E50&lt;CO$5+GanttPeriod),"◇","")),IF(AND(CO$5&lt;=$F50,CO$5+GanttPeriod-1&gt;=$E50),"━","")))</f>
        <v/>
      </c>
      <c r="CP50" s="69" t="str">
        <f aca="false">IF($E50="","",IF($M50,IF(AND($G50&gt;=CP$5,$G50&lt;CP$5+GanttPeriod),"◆",IF(AND($E50&gt;=CP$5,$E50&lt;CP$5+GanttPeriod),"◇","")),IF(AND(CP$5&lt;=$F50,CP$5+GanttPeriod-1&gt;=$E50),"━","")))</f>
        <v/>
      </c>
      <c r="CQ50" s="69" t="str">
        <f aca="false">IF($E50="","",IF($M50,IF(AND($G50&gt;=CQ$5,$G50&lt;CQ$5+GanttPeriod),"◆",IF(AND($E50&gt;=CQ$5,$E50&lt;CQ$5+GanttPeriod),"◇","")),IF(AND(CQ$5&lt;=$F50,CQ$5+GanttPeriod-1&gt;=$E50),"━","")))</f>
        <v/>
      </c>
      <c r="CR50" s="69" t="str">
        <f aca="false">IF($E50="","",IF($M50,IF(AND($G50&gt;=CR$5,$G50&lt;CR$5+GanttPeriod),"◆",IF(AND($E50&gt;=CR$5,$E50&lt;CR$5+GanttPeriod),"◇","")),IF(AND(CR$5&lt;=$F50,CR$5+GanttPeriod-1&gt;=$E50),"━","")))</f>
        <v/>
      </c>
      <c r="CS50" s="69" t="str">
        <f aca="false">IF($E50="","",IF($M50,IF(AND($G50&gt;=CS$5,$G50&lt;CS$5+GanttPeriod),"◆",IF(AND($E50&gt;=CS$5,$E50&lt;CS$5+GanttPeriod),"◇","")),IF(AND(CS$5&lt;=$F50,CS$5+GanttPeriod-1&gt;=$E50),"━","")))</f>
        <v/>
      </c>
      <c r="CT50" s="69" t="str">
        <f aca="false">IF($E50="","",IF($M50,IF(AND($G50&gt;=CT$5,$G50&lt;CT$5+GanttPeriod),"◆",IF(AND($E50&gt;=CT$5,$E50&lt;CT$5+GanttPeriod),"◇","")),IF(AND(CT$5&lt;=$F50,CT$5+GanttPeriod-1&gt;=$E50),"━","")))</f>
        <v/>
      </c>
      <c r="CU50" s="69" t="str">
        <f aca="false">IF($E50="","",IF($M50,IF(AND($G50&gt;=CU$5,$G50&lt;CU$5+GanttPeriod),"◆",IF(AND($E50&gt;=CU$5,$E50&lt;CU$5+GanttPeriod),"◇","")),IF(AND(CU$5&lt;=$F50,CU$5+GanttPeriod-1&gt;=$E50),"━","")))</f>
        <v/>
      </c>
      <c r="CV50" s="69" t="str">
        <f aca="false">IF($E50="","",IF($M50,IF(AND($G50&gt;=CV$5,$G50&lt;CV$5+GanttPeriod),"◆",IF(AND($E50&gt;=CV$5,$E50&lt;CV$5+GanttPeriod),"◇","")),IF(AND(CV$5&lt;=$F50,CV$5+GanttPeriod-1&gt;=$E50),"━","")))</f>
        <v/>
      </c>
      <c r="CW50" s="69" t="str">
        <f aca="false">IF($E50="","",IF($M50,IF(AND($G50&gt;=CW$5,$G50&lt;CW$5+GanttPeriod),"◆",IF(AND($E50&gt;=CW$5,$E50&lt;CW$5+GanttPeriod),"◇","")),IF(AND(CW$5&lt;=$F50,CW$5+GanttPeriod-1&gt;=$E50),"━","")))</f>
        <v/>
      </c>
      <c r="CX50" s="69" t="str">
        <f aca="false">IF($E50="","",IF($M50,IF(AND($G50&gt;=CX$5,$G50&lt;CX$5+GanttPeriod),"◆",IF(AND($E50&gt;=CX$5,$E50&lt;CX$5+GanttPeriod),"◇","")),IF(AND(CX$5&lt;=$F50,CX$5+GanttPeriod-1&gt;=$E50),"━","")))</f>
        <v/>
      </c>
      <c r="CY50" s="69" t="str">
        <f aca="false">IF($E50="","",IF($M50,IF(AND($G50&gt;=CY$5,$G50&lt;CY$5+GanttPeriod),"◆",IF(AND($E50&gt;=CY$5,$E50&lt;CY$5+GanttPeriod),"◇","")),IF(AND(CY$5&lt;=$F50,CY$5+GanttPeriod-1&gt;=$E50),"━","")))</f>
        <v/>
      </c>
      <c r="CZ50" s="69" t="str">
        <f aca="false">IF($E50="","",IF($M50,IF(AND($G50&gt;=CZ$5,$G50&lt;CZ$5+GanttPeriod),"◆",IF(AND($E50&gt;=CZ$5,$E50&lt;CZ$5+GanttPeriod),"◇","")),IF(AND(CZ$5&lt;=$F50,CZ$5+GanttPeriod-1&gt;=$E50),"━","")))</f>
        <v/>
      </c>
      <c r="DA50" s="69" t="str">
        <f aca="false">IF($E50="","",IF($M50,IF(AND($G50&gt;=DA$5,$G50&lt;DA$5+GanttPeriod),"◆",IF(AND($E50&gt;=DA$5,$E50&lt;DA$5+GanttPeriod),"◇","")),IF(AND(DA$5&lt;=$F50,DA$5+GanttPeriod-1&gt;=$E50),"━","")))</f>
        <v/>
      </c>
      <c r="DB50" s="69" t="str">
        <f aca="false">IF($E50="","",IF($M50,IF(AND($G50&gt;=DB$5,$G50&lt;DB$5+GanttPeriod),"◆",IF(AND($E50&gt;=DB$5,$E50&lt;DB$5+GanttPeriod),"◇","")),IF(AND(DB$5&lt;=$F50,DB$5+GanttPeriod-1&gt;=$E50),"━","")))</f>
        <v/>
      </c>
      <c r="DC50" s="69" t="str">
        <f aca="false">IF($E50="","",IF($M50,IF(AND($G50&gt;=DC$5,$G50&lt;DC$5+GanttPeriod),"◆",IF(AND($E50&gt;=DC$5,$E50&lt;DC$5+GanttPeriod),"◇","")),IF(AND(DC$5&lt;=$F50,DC$5+GanttPeriod-1&gt;=$E50),"━","")))</f>
        <v/>
      </c>
      <c r="DD50" s="69" t="str">
        <f aca="false">IF($E50="","",IF($M50,IF(AND($G50&gt;=DD$5,$G50&lt;DD$5+GanttPeriod),"◆",IF(AND($E50&gt;=DD$5,$E50&lt;DD$5+GanttPeriod),"◇","")),IF(AND(DD$5&lt;=$F50,DD$5+GanttPeriod-1&gt;=$E50),"━","")))</f>
        <v/>
      </c>
      <c r="DE50" s="69" t="str">
        <f aca="false">IF($E50="","",IF($M50,IF(AND($G50&gt;=DE$5,$G50&lt;DE$5+GanttPeriod),"◆",IF(AND($E50&gt;=DE$5,$E50&lt;DE$5+GanttPeriod),"◇","")),IF(AND(DE$5&lt;=$F50,DE$5+GanttPeriod-1&gt;=$E50),"━","")))</f>
        <v/>
      </c>
      <c r="DF50" s="69" t="str">
        <f aca="false">IF($E50="","",IF($M50,IF(AND($G50&gt;=DF$5,$G50&lt;DF$5+GanttPeriod),"◆",IF(AND($E50&gt;=DF$5,$E50&lt;DF$5+GanttPeriod),"◇","")),IF(AND(DF$5&lt;=$F50,DF$5+GanttPeriod-1&gt;=$E50),"━","")))</f>
        <v/>
      </c>
      <c r="DG50" s="69" t="str">
        <f aca="false">IF($E50="","",IF($M50,IF(AND($G50&gt;=DG$5,$G50&lt;DG$5+GanttPeriod),"◆",IF(AND($E50&gt;=DG$5,$E50&lt;DG$5+GanttPeriod),"◇","")),IF(AND(DG$5&lt;=$F50,DG$5+GanttPeriod-1&gt;=$E50),"━","")))</f>
        <v/>
      </c>
      <c r="DH50" s="69" t="str">
        <f aca="false">IF($E50="","",IF($M50,IF(AND($G50&gt;=DH$5,$G50&lt;DH$5+GanttPeriod),"◆",IF(AND($E50&gt;=DH$5,$E50&lt;DH$5+GanttPeriod),"◇","")),IF(AND(DH$5&lt;=$F50,DH$5+GanttPeriod-1&gt;=$E50),"━","")))</f>
        <v/>
      </c>
      <c r="DI50" s="69" t="str">
        <f aca="false">IF($E50="","",IF($M50,IF(AND($G50&gt;=DI$5,$G50&lt;DI$5+GanttPeriod),"◆",IF(AND($E50&gt;=DI$5,$E50&lt;DI$5+GanttPeriod),"◇","")),IF(AND(DI$5&lt;=$F50,DI$5+GanttPeriod-1&gt;=$E50),"━","")))</f>
        <v/>
      </c>
      <c r="DJ50" s="69" t="str">
        <f aca="false">IF($E50="","",IF($M50,IF(AND($G50&gt;=DJ$5,$G50&lt;DJ$5+GanttPeriod),"◆",IF(AND($E50&gt;=DJ$5,$E50&lt;DJ$5+GanttPeriod),"◇","")),IF(AND(DJ$5&lt;=$F50,DJ$5+GanttPeriod-1&gt;=$E50),"━","")))</f>
        <v/>
      </c>
      <c r="DK50" s="69" t="str">
        <f aca="false">IF($E50="","",IF($M50,IF(AND($G50&gt;=DK$5,$G50&lt;DK$5+GanttPeriod),"◆",IF(AND($E50&gt;=DK$5,$E50&lt;DK$5+GanttPeriod),"◇","")),IF(AND(DK$5&lt;=$F50,DK$5+GanttPeriod-1&gt;=$E50),"━","")))</f>
        <v/>
      </c>
      <c r="DL50" s="69" t="str">
        <f aca="false">IF($E50="","",IF($M50,IF(AND($G50&gt;=DL$5,$G50&lt;DL$5+GanttPeriod),"◆",IF(AND($E50&gt;=DL$5,$E50&lt;DL$5+GanttPeriod),"◇","")),IF(AND(DL$5&lt;=$F50,DL$5+GanttPeriod-1&gt;=$E50),"━","")))</f>
        <v/>
      </c>
      <c r="DM50" s="69" t="str">
        <f aca="false">IF($E50="","",IF($M50,IF(AND($G50&gt;=DM$5,$G50&lt;DM$5+GanttPeriod),"◆",IF(AND($E50&gt;=DM$5,$E50&lt;DM$5+GanttPeriod),"◇","")),IF(AND(DM$5&lt;=$F50,DM$5+GanttPeriod-1&gt;=$E50),"━","")))</f>
        <v/>
      </c>
      <c r="DN50" s="69" t="str">
        <f aca="false">IF($E50="","",IF($M50,IF(AND($G50&gt;=DN$5,$G50&lt;DN$5+GanttPeriod),"◆",IF(AND($E50&gt;=DN$5,$E50&lt;DN$5+GanttPeriod),"◇","")),IF(AND(DN$5&lt;=$F50,DN$5+GanttPeriod-1&gt;=$E50),"━","")))</f>
        <v/>
      </c>
      <c r="DO50" s="69" t="str">
        <f aca="false">IF($E50="","",IF($M50,IF(AND($G50&gt;=DO$5,$G50&lt;DO$5+GanttPeriod),"◆",IF(AND($E50&gt;=DO$5,$E50&lt;DO$5+GanttPeriod),"◇","")),IF(AND(DO$5&lt;=$F50,DO$5+GanttPeriod-1&gt;=$E50),"━","")))</f>
        <v/>
      </c>
      <c r="DP50" s="69" t="str">
        <f aca="false">IF($E50="","",IF($M50,IF(AND($G50&gt;=DP$5,$G50&lt;DP$5+GanttPeriod),"◆",IF(AND($E50&gt;=DP$5,$E50&lt;DP$5+GanttPeriod),"◇","")),IF(AND(DP$5&lt;=$F50,DP$5+GanttPeriod-1&gt;=$E50),"━","")))</f>
        <v/>
      </c>
      <c r="DQ50" s="69" t="str">
        <f aca="false">IF($E50="","",IF($M50,IF(AND($G50&gt;=DQ$5,$G50&lt;DQ$5+GanttPeriod),"◆",IF(AND($E50&gt;=DQ$5,$E50&lt;DQ$5+GanttPeriod),"◇","")),IF(AND(DQ$5&lt;=$F50,DQ$5+GanttPeriod-1&gt;=$E50),"━","")))</f>
        <v/>
      </c>
      <c r="DR50" s="69" t="str">
        <f aca="false">IF($E50="","",IF($M50,IF(AND($G50&gt;=DR$5,$G50&lt;DR$5+GanttPeriod),"◆",IF(AND($E50&gt;=DR$5,$E50&lt;DR$5+GanttPeriod),"◇","")),IF(AND(DR$5&lt;=$F50,DR$5+GanttPeriod-1&gt;=$E50),"━","")))</f>
        <v/>
      </c>
      <c r="DS50" s="69" t="str">
        <f aca="false">IF($E50="","",IF($M50,IF(AND($G50&gt;=DS$5,$G50&lt;DS$5+GanttPeriod),"◆",IF(AND($E50&gt;=DS$5,$E50&lt;DS$5+GanttPeriod),"◇","")),IF(AND(DS$5&lt;=$F50,DS$5+GanttPeriod-1&gt;=$E50),"━","")))</f>
        <v/>
      </c>
      <c r="DT50" s="69" t="str">
        <f aca="false">IF($E50="","",IF($M50,IF(AND($G50&gt;=DT$5,$G50&lt;DT$5+GanttPeriod),"◆",IF(AND($E50&gt;=DT$5,$E50&lt;DT$5+GanttPeriod),"◇","")),IF(AND(DT$5&lt;=$F50,DT$5+GanttPeriod-1&gt;=$E50),"━","")))</f>
        <v/>
      </c>
      <c r="DU50" s="69" t="str">
        <f aca="false">IF($E50="","",IF($M50,IF(AND($G50&gt;=DU$5,$G50&lt;DU$5+GanttPeriod),"◆",IF(AND($E50&gt;=DU$5,$E50&lt;DU$5+GanttPeriod),"◇","")),IF(AND(DU$5&lt;=$F50,DU$5+GanttPeriod-1&gt;=$E50),"━","")))</f>
        <v/>
      </c>
      <c r="DV50" s="69" t="str">
        <f aca="false">IF($E50="","",IF($M50,IF(AND($G50&gt;=DV$5,$G50&lt;DV$5+GanttPeriod),"◆",IF(AND($E50&gt;=DV$5,$E50&lt;DV$5+GanttPeriod),"◇","")),IF(AND(DV$5&lt;=$F50,DV$5+GanttPeriod-1&gt;=$E50),"━","")))</f>
        <v/>
      </c>
      <c r="DW50" s="69" t="str">
        <f aca="false">IF($E50="","",IF($M50,IF(AND($G50&gt;=DW$5,$G50&lt;DW$5+GanttPeriod),"◆",IF(AND($E50&gt;=DW$5,$E50&lt;DW$5+GanttPeriod),"◇","")),IF(AND(DW$5&lt;=$F50,DW$5+GanttPeriod-1&gt;=$E50),"━","")))</f>
        <v/>
      </c>
      <c r="DX50" s="69" t="str">
        <f aca="false">IF($E50="","",IF($M50,IF(AND($G50&gt;=DX$5,$G50&lt;DX$5+GanttPeriod),"◆",IF(AND($E50&gt;=DX$5,$E50&lt;DX$5+GanttPeriod),"◇","")),IF(AND(DX$5&lt;=$F50,DX$5+GanttPeriod-1&gt;=$E50),"━","")))</f>
        <v/>
      </c>
      <c r="DY50" s="69" t="str">
        <f aca="false">IF($E50="","",IF($M50,IF(AND($G50&gt;=DY$5,$G50&lt;DY$5+GanttPeriod),"◆",IF(AND($E50&gt;=DY$5,$E50&lt;DY$5+GanttPeriod),"◇","")),IF(AND(DY$5&lt;=$F50,DY$5+GanttPeriod-1&gt;=$E50),"━","")))</f>
        <v/>
      </c>
      <c r="DZ50" s="69" t="str">
        <f aca="false">IF($E50="","",IF($M50,IF(AND($G50&gt;=DZ$5,$G50&lt;DZ$5+GanttPeriod),"◆",IF(AND($E50&gt;=DZ$5,$E50&lt;DZ$5+GanttPeriod),"◇","")),IF(AND(DZ$5&lt;=$F50,DZ$5+GanttPeriod-1&gt;=$E50),"━","")))</f>
        <v/>
      </c>
      <c r="EA50" s="69" t="str">
        <f aca="false">IF($E50="","",IF($M50,IF(AND($G50&gt;=EA$5,$G50&lt;EA$5+GanttPeriod),"◆",IF(AND($E50&gt;=EA$5,$E50&lt;EA$5+GanttPeriod),"◇","")),IF(AND(EA$5&lt;=$F50,EA$5+GanttPeriod-1&gt;=$E50),"━","")))</f>
        <v/>
      </c>
      <c r="EB50" s="69" t="str">
        <f aca="false">IF($E50="","",IF($M50,IF(AND($G50&gt;=EB$5,$G50&lt;EB$5+GanttPeriod),"◆",IF(AND($E50&gt;=EB$5,$E50&lt;EB$5+GanttPeriod),"◇","")),IF(AND(EB$5&lt;=$F50,EB$5+GanttPeriod-1&gt;=$E50),"━","")))</f>
        <v/>
      </c>
      <c r="EC50" s="69" t="str">
        <f aca="false">IF($E50="","",IF($M50,IF(AND($G50&gt;=EC$5,$G50&lt;EC$5+GanttPeriod),"◆",IF(AND($E50&gt;=EC$5,$E50&lt;EC$5+GanttPeriod),"◇","")),IF(AND(EC$5&lt;=$F50,EC$5+GanttPeriod-1&gt;=$E50),"━","")))</f>
        <v/>
      </c>
      <c r="ED50" s="69" t="str">
        <f aca="false">IF($E50="","",IF($M50,IF(AND($G50&gt;=ED$5,$G50&lt;ED$5+GanttPeriod),"◆",IF(AND($E50&gt;=ED$5,$E50&lt;ED$5+GanttPeriod),"◇","")),IF(AND(ED$5&lt;=$F50,ED$5+GanttPeriod-1&gt;=$E50),"━","")))</f>
        <v/>
      </c>
      <c r="EE50" s="69" t="str">
        <f aca="false">IF($E50="","",IF($M50,IF(AND($G50&gt;=EE$5,$G50&lt;EE$5+GanttPeriod),"◆",IF(AND($E50&gt;=EE$5,$E50&lt;EE$5+GanttPeriod),"◇","")),IF(AND(EE$5&lt;=$F50,EE$5+GanttPeriod-1&gt;=$E50),"━","")))</f>
        <v/>
      </c>
      <c r="EF50" s="69" t="str">
        <f aca="false">IF($E50="","",IF($M50,IF(AND($G50&gt;=EF$5,$G50&lt;EF$5+GanttPeriod),"◆",IF(AND($E50&gt;=EF$5,$E50&lt;EF$5+GanttPeriod),"◇","")),IF(AND(EF$5&lt;=$F50,EF$5+GanttPeriod-1&gt;=$E50),"━","")))</f>
        <v/>
      </c>
      <c r="EG50" s="69" t="str">
        <f aca="false">IF($E50="","",IF($M50,IF(AND($G50&gt;=EG$5,$G50&lt;EG$5+GanttPeriod),"◆",IF(AND($E50&gt;=EG$5,$E50&lt;EG$5+GanttPeriod),"◇","")),IF(AND(EG$5&lt;=$F50,EG$5+GanttPeriod-1&gt;=$E50),"━","")))</f>
        <v/>
      </c>
      <c r="EH50" s="69" t="str">
        <f aca="false">IF($E50="","",IF($M50,IF(AND($G50&gt;=EH$5,$G50&lt;EH$5+GanttPeriod),"◆",IF(AND($E50&gt;=EH$5,$E50&lt;EH$5+GanttPeriod),"◇","")),IF(AND(EH$5&lt;=$F50,EH$5+GanttPeriod-1&gt;=$E50),"━","")))</f>
        <v/>
      </c>
      <c r="EI50" s="69" t="str">
        <f aca="false">IF($E50="","",IF($M50,IF(AND($G50&gt;=EI$5,$G50&lt;EI$5+GanttPeriod),"◆",IF(AND($E50&gt;=EI$5,$E50&lt;EI$5+GanttPeriod),"◇","")),IF(AND(EI$5&lt;=$F50,EI$5+GanttPeriod-1&gt;=$E50),"━","")))</f>
        <v/>
      </c>
      <c r="EJ50" s="69" t="str">
        <f aca="false">IF($E50="","",IF($M50,IF(AND($G50&gt;=EJ$5,$G50&lt;EJ$5+GanttPeriod),"◆",IF(AND($E50&gt;=EJ$5,$E50&lt;EJ$5+GanttPeriod),"◇","")),IF(AND(EJ$5&lt;=$F50,EJ$5+GanttPeriod-1&gt;=$E50),"━","")))</f>
        <v/>
      </c>
      <c r="EK50" s="69" t="str">
        <f aca="false">IF($E50="","",IF($M50,IF(AND($G50&gt;=EK$5,$G50&lt;EK$5+GanttPeriod),"◆",IF(AND($E50&gt;=EK$5,$E50&lt;EK$5+GanttPeriod),"◇","")),IF(AND(EK$5&lt;=$F50,EK$5+GanttPeriod-1&gt;=$E50),"━","")))</f>
        <v/>
      </c>
      <c r="EL50" s="69" t="str">
        <f aca="false">IF($E50="","",IF($M50,IF(AND($G50&gt;=EL$5,$G50&lt;EL$5+GanttPeriod),"◆",IF(AND($E50&gt;=EL$5,$E50&lt;EL$5+GanttPeriod),"◇","")),IF(AND(EL$5&lt;=$F50,EL$5+GanttPeriod-1&gt;=$E50),"━","")))</f>
        <v/>
      </c>
      <c r="EM50" s="69" t="str">
        <f aca="false">IF($E50="","",IF($M50,IF(AND($G50&gt;=EM$5,$G50&lt;EM$5+GanttPeriod),"◆",IF(AND($E50&gt;=EM$5,$E50&lt;EM$5+GanttPeriod),"◇","")),IF(AND(EM$5&lt;=$F50,EM$5+GanttPeriod-1&gt;=$E50),"━","")))</f>
        <v/>
      </c>
      <c r="EN50" s="69" t="str">
        <f aca="false">IF($E50="","",IF($M50,IF(AND($G50&gt;=EN$5,$G50&lt;EN$5+GanttPeriod),"◆",IF(AND($E50&gt;=EN$5,$E50&lt;EN$5+GanttPeriod),"◇","")),IF(AND(EN$5&lt;=$F50,EN$5+GanttPeriod-1&gt;=$E50),"━","")))</f>
        <v/>
      </c>
      <c r="EO50" s="69" t="str">
        <f aca="false">IF($E50="","",IF($M50,IF(AND($G50&gt;=EO$5,$G50&lt;EO$5+GanttPeriod),"◆",IF(AND($E50&gt;=EO$5,$E50&lt;EO$5+GanttPeriod),"◇","")),IF(AND(EO$5&lt;=$F50,EO$5+GanttPeriod-1&gt;=$E50),"━","")))</f>
        <v/>
      </c>
      <c r="EP50" s="69" t="str">
        <f aca="false">IF($E50="","",IF($M50,IF(AND($G50&gt;=EP$5,$G50&lt;EP$5+GanttPeriod),"◆",IF(AND($E50&gt;=EP$5,$E50&lt;EP$5+GanttPeriod),"◇","")),IF(AND(EP$5&lt;=$F50,EP$5+GanttPeriod-1&gt;=$E50),"━","")))</f>
        <v/>
      </c>
      <c r="EQ50" s="69" t="str">
        <f aca="false">IF($E50="","",IF($M50,IF(AND($G50&gt;=EQ$5,$G50&lt;EQ$5+GanttPeriod),"◆",IF(AND($E50&gt;=EQ$5,$E50&lt;EQ$5+GanttPeriod),"◇","")),IF(AND(EQ$5&lt;=$F50,EQ$5+GanttPeriod-1&gt;=$E50),"━","")))</f>
        <v/>
      </c>
      <c r="ER50" s="69" t="str">
        <f aca="false">IF($E50="","",IF($M50,IF(AND($G50&gt;=ER$5,$G50&lt;ER$5+GanttPeriod),"◆",IF(AND($E50&gt;=ER$5,$E50&lt;ER$5+GanttPeriod),"◇","")),IF(AND(ER$5&lt;=$F50,ER$5+GanttPeriod-1&gt;=$E50),"━","")))</f>
        <v/>
      </c>
      <c r="ES50" s="69" t="str">
        <f aca="false">IF($E50="","",IF($M50,IF(AND($G50&gt;=ES$5,$G50&lt;ES$5+GanttPeriod),"◆",IF(AND($E50&gt;=ES$5,$E50&lt;ES$5+GanttPeriod),"◇","")),IF(AND(ES$5&lt;=$F50,ES$5+GanttPeriod-1&gt;=$E50),"━","")))</f>
        <v/>
      </c>
      <c r="ET50" s="69" t="str">
        <f aca="false">IF($E50="","",IF($M50,IF(AND($G50&gt;=ET$5,$G50&lt;ET$5+GanttPeriod),"◆",IF(AND($E50&gt;=ET$5,$E50&lt;ET$5+GanttPeriod),"◇","")),IF(AND(ET$5&lt;=$F50,ET$5+GanttPeriod-1&gt;=$E50),"━","")))</f>
        <v/>
      </c>
      <c r="EU50" s="69" t="str">
        <f aca="false">IF($E50="","",IF($M50,IF(AND($G50&gt;=EU$5,$G50&lt;EU$5+GanttPeriod),"◆",IF(AND($E50&gt;=EU$5,$E50&lt;EU$5+GanttPeriod),"◇","")),IF(AND(EU$5&lt;=$F50,EU$5+GanttPeriod-1&gt;=$E50),"━","")))</f>
        <v/>
      </c>
      <c r="EV50" s="69" t="str">
        <f aca="false">IF($E50="","",IF($M50,IF(AND($G50&gt;=EV$5,$G50&lt;EV$5+GanttPeriod),"◆",IF(AND($E50&gt;=EV$5,$E50&lt;EV$5+GanttPeriod),"◇","")),IF(AND(EV$5&lt;=$F50,EV$5+GanttPeriod-1&gt;=$E50),"━","")))</f>
        <v/>
      </c>
      <c r="EW50" s="69" t="str">
        <f aca="false">IF($E50="","",IF($M50,IF(AND($G50&gt;=EW$5,$G50&lt;EW$5+GanttPeriod),"◆",IF(AND($E50&gt;=EW$5,$E50&lt;EW$5+GanttPeriod),"◇","")),IF(AND(EW$5&lt;=$F50,EW$5+GanttPeriod-1&gt;=$E50),"━","")))</f>
        <v/>
      </c>
      <c r="EX50" s="69" t="str">
        <f aca="false">IF($E50="","",IF($M50,IF(AND($G50&gt;=EX$5,$G50&lt;EX$5+GanttPeriod),"◆",IF(AND($E50&gt;=EX$5,$E50&lt;EX$5+GanttPeriod),"◇","")),IF(AND(EX$5&lt;=$F50,EX$5+GanttPeriod-1&gt;=$E50),"━","")))</f>
        <v/>
      </c>
      <c r="EY50" s="69" t="str">
        <f aca="false">IF($E50="","",IF($M50,IF(AND($G50&gt;=EY$5,$G50&lt;EY$5+GanttPeriod),"◆",IF(AND($E50&gt;=EY$5,$E50&lt;EY$5+GanttPeriod),"◇","")),IF(AND(EY$5&lt;=$F50,EY$5+GanttPeriod-1&gt;=$E50),"━","")))</f>
        <v/>
      </c>
      <c r="EZ50" s="69" t="str">
        <f aca="false">IF($E50="","",IF($M50,IF(AND($G50&gt;=EZ$5,$G50&lt;EZ$5+GanttPeriod),"◆",IF(AND($E50&gt;=EZ$5,$E50&lt;EZ$5+GanttPeriod),"◇","")),IF(AND(EZ$5&lt;=$F50,EZ$5+GanttPeriod-1&gt;=$E50),"━","")))</f>
        <v/>
      </c>
      <c r="FA50" s="69" t="str">
        <f aca="false">IF($E50="","",IF($M50,IF(AND($G50&gt;=FA$5,$G50&lt;FA$5+GanttPeriod),"◆",IF(AND($E50&gt;=FA$5,$E50&lt;FA$5+GanttPeriod),"◇","")),IF(AND(FA$5&lt;=$F50,FA$5+GanttPeriod-1&gt;=$E50),"━","")))</f>
        <v/>
      </c>
      <c r="FB50" s="69" t="str">
        <f aca="false">IF($E50="","",IF($M50,IF(AND($G50&gt;=FB$5,$G50&lt;FB$5+GanttPeriod),"◆",IF(AND($E50&gt;=FB$5,$E50&lt;FB$5+GanttPeriod),"◇","")),IF(AND(FB$5&lt;=$F50,FB$5+GanttPeriod-1&gt;=$E50),"━","")))</f>
        <v/>
      </c>
      <c r="FC50" s="69" t="str">
        <f aca="false">IF($E50="","",IF($M50,IF(AND($G50&gt;=FC$5,$G50&lt;FC$5+GanttPeriod),"◆",IF(AND($E50&gt;=FC$5,$E50&lt;FC$5+GanttPeriod),"◇","")),IF(AND(FC$5&lt;=$F50,FC$5+GanttPeriod-1&gt;=$E50),"━","")))</f>
        <v/>
      </c>
      <c r="FD50" s="69" t="str">
        <f aca="false">IF($E50="","",IF($M50,IF(AND($G50&gt;=FD$5,$G50&lt;FD$5+GanttPeriod),"◆",IF(AND($E50&gt;=FD$5,$E50&lt;FD$5+GanttPeriod),"◇","")),IF(AND(FD$5&lt;=$F50,FD$5+GanttPeriod-1&gt;=$E50),"━","")))</f>
        <v/>
      </c>
      <c r="FE50" s="69" t="str">
        <f aca="false">IF($E50="","",IF($M50,IF(AND($G50&gt;=FE$5,$G50&lt;FE$5+GanttPeriod),"◆",IF(AND($E50&gt;=FE$5,$E50&lt;FE$5+GanttPeriod),"◇","")),IF(AND(FE$5&lt;=$F50,FE$5+GanttPeriod-1&gt;=$E50),"━","")))</f>
        <v/>
      </c>
      <c r="FF50" s="69" t="str">
        <f aca="false">IF($E50="","",IF($M50,IF(AND($G50&gt;=FF$5,$G50&lt;FF$5+GanttPeriod),"◆",IF(AND($E50&gt;=FF$5,$E50&lt;FF$5+GanttPeriod),"◇","")),IF(AND(FF$5&lt;=$F50,FF$5+GanttPeriod-1&gt;=$E50),"━","")))</f>
        <v/>
      </c>
      <c r="FG50" s="69" t="str">
        <f aca="false">IF($E50="","",IF($M50,IF(AND($G50&gt;=FG$5,$G50&lt;FG$5+GanttPeriod),"◆",IF(AND($E50&gt;=FG$5,$E50&lt;FG$5+GanttPeriod),"◇","")),IF(AND(FG$5&lt;=$F50,FG$5+GanttPeriod-1&gt;=$E50),"━","")))</f>
        <v/>
      </c>
      <c r="FH50" s="69" t="str">
        <f aca="false">IF($E50="","",IF($M50,IF(AND($G50&gt;=FH$5,$G50&lt;FH$5+GanttPeriod),"◆",IF(AND($E50&gt;=FH$5,$E50&lt;FH$5+GanttPeriod),"◇","")),IF(AND(FH$5&lt;=$F50,FH$5+GanttPeriod-1&gt;=$E50),"━","")))</f>
        <v/>
      </c>
      <c r="FI50" s="69" t="str">
        <f aca="false">IF($E50="","",IF($M50,IF(AND($G50&gt;=FI$5,$G50&lt;FI$5+GanttPeriod),"◆",IF(AND($E50&gt;=FI$5,$E50&lt;FI$5+GanttPeriod),"◇","")),IF(AND(FI$5&lt;=$F50,FI$5+GanttPeriod-1&gt;=$E50),"━","")))</f>
        <v/>
      </c>
      <c r="FJ50" s="69" t="str">
        <f aca="false">IF($E50="","",IF($M50,IF(AND($G50&gt;=FJ$5,$G50&lt;FJ$5+GanttPeriod),"◆",IF(AND($E50&gt;=FJ$5,$E50&lt;FJ$5+GanttPeriod),"◇","")),IF(AND(FJ$5&lt;=$F50,FJ$5+GanttPeriod-1&gt;=$E50),"━","")))</f>
        <v/>
      </c>
      <c r="FK50" s="69" t="str">
        <f aca="false">IF($E50="","",IF($M50,IF(AND($G50&gt;=FK$5,$G50&lt;FK$5+GanttPeriod),"◆",IF(AND($E50&gt;=FK$5,$E50&lt;FK$5+GanttPeriod),"◇","")),IF(AND(FK$5&lt;=$F50,FK$5+GanttPeriod-1&gt;=$E50),"━","")))</f>
        <v/>
      </c>
      <c r="FL50" s="69" t="str">
        <f aca="false">IF($E50="","",IF($M50,IF(AND($G50&gt;=FL$5,$G50&lt;FL$5+GanttPeriod),"◆",IF(AND($E50&gt;=FL$5,$E50&lt;FL$5+GanttPeriod),"◇","")),IF(AND(FL$5&lt;=$F50,FL$5+GanttPeriod-1&gt;=$E50),"━","")))</f>
        <v/>
      </c>
      <c r="FM50" s="69" t="str">
        <f aca="false">IF($E50="","",IF($M50,IF(AND($G50&gt;=FM$5,$G50&lt;FM$5+GanttPeriod),"◆",IF(AND($E50&gt;=FM$5,$E50&lt;FM$5+GanttPeriod),"◇","")),IF(AND(FM$5&lt;=$F50,FM$5+GanttPeriod-1&gt;=$E50),"━","")))</f>
        <v/>
      </c>
    </row>
    <row r="51" customFormat="false" ht="15" hidden="false" customHeight="false" outlineLevel="0" collapsed="false">
      <c r="A51" s="62" t="str">
        <f aca="false">IF(Tasks!$D51="","",Tasks!$A51)</f>
        <v/>
      </c>
      <c r="B51" s="62" t="str">
        <f aca="false">IF(Tasks!$D51="","",Tasks!$B51)</f>
        <v/>
      </c>
      <c r="C51" s="63" t="str">
        <f aca="false">IF(Tasks!$D51="","",REPT("    ",Tasks!$AE51-1)&amp;Tasks!$D51)</f>
        <v/>
      </c>
      <c r="D51" s="62" t="str">
        <f aca="false">IF(Tasks!$D51="","",IF(Tasks!$AI51,NETWORKDAYS.INTL(Tasks!$R51,Tasks!$S51,WorkWeek,Holidays),N(Tasks!$F51)))</f>
        <v/>
      </c>
      <c r="E51" s="64" t="str">
        <f aca="false">IF(Tasks!$D51="","",Tasks!$N51)</f>
        <v/>
      </c>
      <c r="F51" s="64" t="str">
        <f aca="false">IF(Tasks!$D51="","",Tasks!$O51)</f>
        <v/>
      </c>
      <c r="G51" s="64" t="str">
        <f aca="false">IF(Tasks!$D51="","",Tasks!$R51)</f>
        <v/>
      </c>
      <c r="H51" s="64" t="str">
        <f aca="false">IF(Tasks!$D51="","",Tasks!$S51)</f>
        <v/>
      </c>
      <c r="I51" s="65" t="str">
        <f aca="false">IF(Tasks!$D51="","",Tasks!$V51)</f>
        <v/>
      </c>
      <c r="J51" s="63" t="str">
        <f aca="false">IF(Tasks!$D51="","",Tasks!$X51&amp;"")</f>
        <v/>
      </c>
      <c r="K51" s="66" t="str">
        <f aca="false">IF(Tasks!$D51="","",Tasks!$W51)</f>
        <v/>
      </c>
      <c r="L51" s="67" t="b">
        <f aca="false">IF(Tasks!$D51="",FALSE(),Tasks!$AI51)</f>
        <v>0</v>
      </c>
      <c r="M51" s="67" t="b">
        <f aca="false">AND(Tasks!$AJ51=1,N(Tasks!$F51)=0)</f>
        <v>0</v>
      </c>
      <c r="N51" s="68" t="n">
        <f aca="false">IF(AND(Tasks!$AJ51=1,NOT($M51),N($I51)&gt;0),$G51,0)</f>
        <v>0</v>
      </c>
      <c r="O51" s="68" t="n">
        <f aca="false">IF($N51=0,0,IF($I51&gt;=1,$H51,MAX($N51,$G51+ROUND(($H51-$G51+1)*$I51,0)-1)))</f>
        <v>0</v>
      </c>
      <c r="P51" s="68" t="n">
        <f aca="false">IF(OR(Tasks!$AJ51&lt;&gt;1,$M51,N($I51)&gt;=1),0,IF($O51&gt;0,$O51+1,$G51))</f>
        <v>0</v>
      </c>
      <c r="Q51" s="68" t="n">
        <f aca="false">IF($P51=0,0,$H51)</f>
        <v>0</v>
      </c>
      <c r="R51" s="67" t="b">
        <f aca="false">AND(Tasks!$D51&lt;&gt;"",N(Tasks!$T51)&gt;0)</f>
        <v>0</v>
      </c>
      <c r="T51" s="69" t="str">
        <f aca="false">IF($E51="","",IF($M51,IF(AND($G51&gt;=T$5,$G51&lt;T$5+GanttPeriod),"◆",IF(AND($E51&gt;=T$5,$E51&lt;T$5+GanttPeriod),"◇","")),IF(AND(T$5&lt;=$F51,T$5+GanttPeriod-1&gt;=$E51),"━","")))</f>
        <v/>
      </c>
      <c r="U51" s="69" t="str">
        <f aca="false">IF($E51="","",IF($M51,IF(AND($G51&gt;=U$5,$G51&lt;U$5+GanttPeriod),"◆",IF(AND($E51&gt;=U$5,$E51&lt;U$5+GanttPeriod),"◇","")),IF(AND(U$5&lt;=$F51,U$5+GanttPeriod-1&gt;=$E51),"━","")))</f>
        <v/>
      </c>
      <c r="V51" s="69" t="str">
        <f aca="false">IF($E51="","",IF($M51,IF(AND($G51&gt;=V$5,$G51&lt;V$5+GanttPeriod),"◆",IF(AND($E51&gt;=V$5,$E51&lt;V$5+GanttPeriod),"◇","")),IF(AND(V$5&lt;=$F51,V$5+GanttPeriod-1&gt;=$E51),"━","")))</f>
        <v/>
      </c>
      <c r="W51" s="69" t="str">
        <f aca="false">IF($E51="","",IF($M51,IF(AND($G51&gt;=W$5,$G51&lt;W$5+GanttPeriod),"◆",IF(AND($E51&gt;=W$5,$E51&lt;W$5+GanttPeriod),"◇","")),IF(AND(W$5&lt;=$F51,W$5+GanttPeriod-1&gt;=$E51),"━","")))</f>
        <v/>
      </c>
      <c r="X51" s="69" t="str">
        <f aca="false">IF($E51="","",IF($M51,IF(AND($G51&gt;=X$5,$G51&lt;X$5+GanttPeriod),"◆",IF(AND($E51&gt;=X$5,$E51&lt;X$5+GanttPeriod),"◇","")),IF(AND(X$5&lt;=$F51,X$5+GanttPeriod-1&gt;=$E51),"━","")))</f>
        <v/>
      </c>
      <c r="Y51" s="69" t="str">
        <f aca="false">IF($E51="","",IF($M51,IF(AND($G51&gt;=Y$5,$G51&lt;Y$5+GanttPeriod),"◆",IF(AND($E51&gt;=Y$5,$E51&lt;Y$5+GanttPeriod),"◇","")),IF(AND(Y$5&lt;=$F51,Y$5+GanttPeriod-1&gt;=$E51),"━","")))</f>
        <v/>
      </c>
      <c r="Z51" s="69" t="str">
        <f aca="false">IF($E51="","",IF($M51,IF(AND($G51&gt;=Z$5,$G51&lt;Z$5+GanttPeriod),"◆",IF(AND($E51&gt;=Z$5,$E51&lt;Z$5+GanttPeriod),"◇","")),IF(AND(Z$5&lt;=$F51,Z$5+GanttPeriod-1&gt;=$E51),"━","")))</f>
        <v/>
      </c>
      <c r="AA51" s="69" t="str">
        <f aca="false">IF($E51="","",IF($M51,IF(AND($G51&gt;=AA$5,$G51&lt;AA$5+GanttPeriod),"◆",IF(AND($E51&gt;=AA$5,$E51&lt;AA$5+GanttPeriod),"◇","")),IF(AND(AA$5&lt;=$F51,AA$5+GanttPeriod-1&gt;=$E51),"━","")))</f>
        <v/>
      </c>
      <c r="AB51" s="69" t="str">
        <f aca="false">IF($E51="","",IF($M51,IF(AND($G51&gt;=AB$5,$G51&lt;AB$5+GanttPeriod),"◆",IF(AND($E51&gt;=AB$5,$E51&lt;AB$5+GanttPeriod),"◇","")),IF(AND(AB$5&lt;=$F51,AB$5+GanttPeriod-1&gt;=$E51),"━","")))</f>
        <v/>
      </c>
      <c r="AC51" s="69" t="str">
        <f aca="false">IF($E51="","",IF($M51,IF(AND($G51&gt;=AC$5,$G51&lt;AC$5+GanttPeriod),"◆",IF(AND($E51&gt;=AC$5,$E51&lt;AC$5+GanttPeriod),"◇","")),IF(AND(AC$5&lt;=$F51,AC$5+GanttPeriod-1&gt;=$E51),"━","")))</f>
        <v/>
      </c>
      <c r="AD51" s="69" t="str">
        <f aca="false">IF($E51="","",IF($M51,IF(AND($G51&gt;=AD$5,$G51&lt;AD$5+GanttPeriod),"◆",IF(AND($E51&gt;=AD$5,$E51&lt;AD$5+GanttPeriod),"◇","")),IF(AND(AD$5&lt;=$F51,AD$5+GanttPeriod-1&gt;=$E51),"━","")))</f>
        <v/>
      </c>
      <c r="AE51" s="69" t="str">
        <f aca="false">IF($E51="","",IF($M51,IF(AND($G51&gt;=AE$5,$G51&lt;AE$5+GanttPeriod),"◆",IF(AND($E51&gt;=AE$5,$E51&lt;AE$5+GanttPeriod),"◇","")),IF(AND(AE$5&lt;=$F51,AE$5+GanttPeriod-1&gt;=$E51),"━","")))</f>
        <v/>
      </c>
      <c r="AF51" s="69" t="str">
        <f aca="false">IF($E51="","",IF($M51,IF(AND($G51&gt;=AF$5,$G51&lt;AF$5+GanttPeriod),"◆",IF(AND($E51&gt;=AF$5,$E51&lt;AF$5+GanttPeriod),"◇","")),IF(AND(AF$5&lt;=$F51,AF$5+GanttPeriod-1&gt;=$E51),"━","")))</f>
        <v/>
      </c>
      <c r="AG51" s="69" t="str">
        <f aca="false">IF($E51="","",IF($M51,IF(AND($G51&gt;=AG$5,$G51&lt;AG$5+GanttPeriod),"◆",IF(AND($E51&gt;=AG$5,$E51&lt;AG$5+GanttPeriod),"◇","")),IF(AND(AG$5&lt;=$F51,AG$5+GanttPeriod-1&gt;=$E51),"━","")))</f>
        <v/>
      </c>
      <c r="AH51" s="69" t="str">
        <f aca="false">IF($E51="","",IF($M51,IF(AND($G51&gt;=AH$5,$G51&lt;AH$5+GanttPeriod),"◆",IF(AND($E51&gt;=AH$5,$E51&lt;AH$5+GanttPeriod),"◇","")),IF(AND(AH$5&lt;=$F51,AH$5+GanttPeriod-1&gt;=$E51),"━","")))</f>
        <v/>
      </c>
      <c r="AI51" s="69" t="str">
        <f aca="false">IF($E51="","",IF($M51,IF(AND($G51&gt;=AI$5,$G51&lt;AI$5+GanttPeriod),"◆",IF(AND($E51&gt;=AI$5,$E51&lt;AI$5+GanttPeriod),"◇","")),IF(AND(AI$5&lt;=$F51,AI$5+GanttPeriod-1&gt;=$E51),"━","")))</f>
        <v/>
      </c>
      <c r="AJ51" s="69" t="str">
        <f aca="false">IF($E51="","",IF($M51,IF(AND($G51&gt;=AJ$5,$G51&lt;AJ$5+GanttPeriod),"◆",IF(AND($E51&gt;=AJ$5,$E51&lt;AJ$5+GanttPeriod),"◇","")),IF(AND(AJ$5&lt;=$F51,AJ$5+GanttPeriod-1&gt;=$E51),"━","")))</f>
        <v/>
      </c>
      <c r="AK51" s="69" t="str">
        <f aca="false">IF($E51="","",IF($M51,IF(AND($G51&gt;=AK$5,$G51&lt;AK$5+GanttPeriod),"◆",IF(AND($E51&gt;=AK$5,$E51&lt;AK$5+GanttPeriod),"◇","")),IF(AND(AK$5&lt;=$F51,AK$5+GanttPeriod-1&gt;=$E51),"━","")))</f>
        <v/>
      </c>
      <c r="AL51" s="69" t="str">
        <f aca="false">IF($E51="","",IF($M51,IF(AND($G51&gt;=AL$5,$G51&lt;AL$5+GanttPeriod),"◆",IF(AND($E51&gt;=AL$5,$E51&lt;AL$5+GanttPeriod),"◇","")),IF(AND(AL$5&lt;=$F51,AL$5+GanttPeriod-1&gt;=$E51),"━","")))</f>
        <v/>
      </c>
      <c r="AM51" s="69" t="str">
        <f aca="false">IF($E51="","",IF($M51,IF(AND($G51&gt;=AM$5,$G51&lt;AM$5+GanttPeriod),"◆",IF(AND($E51&gt;=AM$5,$E51&lt;AM$5+GanttPeriod),"◇","")),IF(AND(AM$5&lt;=$F51,AM$5+GanttPeriod-1&gt;=$E51),"━","")))</f>
        <v/>
      </c>
      <c r="AN51" s="69" t="str">
        <f aca="false">IF($E51="","",IF($M51,IF(AND($G51&gt;=AN$5,$G51&lt;AN$5+GanttPeriod),"◆",IF(AND($E51&gt;=AN$5,$E51&lt;AN$5+GanttPeriod),"◇","")),IF(AND(AN$5&lt;=$F51,AN$5+GanttPeriod-1&gt;=$E51),"━","")))</f>
        <v/>
      </c>
      <c r="AO51" s="69" t="str">
        <f aca="false">IF($E51="","",IF($M51,IF(AND($G51&gt;=AO$5,$G51&lt;AO$5+GanttPeriod),"◆",IF(AND($E51&gt;=AO$5,$E51&lt;AO$5+GanttPeriod),"◇","")),IF(AND(AO$5&lt;=$F51,AO$5+GanttPeriod-1&gt;=$E51),"━","")))</f>
        <v/>
      </c>
      <c r="AP51" s="69" t="str">
        <f aca="false">IF($E51="","",IF($M51,IF(AND($G51&gt;=AP$5,$G51&lt;AP$5+GanttPeriod),"◆",IF(AND($E51&gt;=AP$5,$E51&lt;AP$5+GanttPeriod),"◇","")),IF(AND(AP$5&lt;=$F51,AP$5+GanttPeriod-1&gt;=$E51),"━","")))</f>
        <v/>
      </c>
      <c r="AQ51" s="69" t="str">
        <f aca="false">IF($E51="","",IF($M51,IF(AND($G51&gt;=AQ$5,$G51&lt;AQ$5+GanttPeriod),"◆",IF(AND($E51&gt;=AQ$5,$E51&lt;AQ$5+GanttPeriod),"◇","")),IF(AND(AQ$5&lt;=$F51,AQ$5+GanttPeriod-1&gt;=$E51),"━","")))</f>
        <v/>
      </c>
      <c r="AR51" s="69" t="str">
        <f aca="false">IF($E51="","",IF($M51,IF(AND($G51&gt;=AR$5,$G51&lt;AR$5+GanttPeriod),"◆",IF(AND($E51&gt;=AR$5,$E51&lt;AR$5+GanttPeriod),"◇","")),IF(AND(AR$5&lt;=$F51,AR$5+GanttPeriod-1&gt;=$E51),"━","")))</f>
        <v/>
      </c>
      <c r="AS51" s="69" t="str">
        <f aca="false">IF($E51="","",IF($M51,IF(AND($G51&gt;=AS$5,$G51&lt;AS$5+GanttPeriod),"◆",IF(AND($E51&gt;=AS$5,$E51&lt;AS$5+GanttPeriod),"◇","")),IF(AND(AS$5&lt;=$F51,AS$5+GanttPeriod-1&gt;=$E51),"━","")))</f>
        <v/>
      </c>
      <c r="AT51" s="69" t="str">
        <f aca="false">IF($E51="","",IF($M51,IF(AND($G51&gt;=AT$5,$G51&lt;AT$5+GanttPeriod),"◆",IF(AND($E51&gt;=AT$5,$E51&lt;AT$5+GanttPeriod),"◇","")),IF(AND(AT$5&lt;=$F51,AT$5+GanttPeriod-1&gt;=$E51),"━","")))</f>
        <v/>
      </c>
      <c r="AU51" s="69" t="str">
        <f aca="false">IF($E51="","",IF($M51,IF(AND($G51&gt;=AU$5,$G51&lt;AU$5+GanttPeriod),"◆",IF(AND($E51&gt;=AU$5,$E51&lt;AU$5+GanttPeriod),"◇","")),IF(AND(AU$5&lt;=$F51,AU$5+GanttPeriod-1&gt;=$E51),"━","")))</f>
        <v/>
      </c>
      <c r="AV51" s="69" t="str">
        <f aca="false">IF($E51="","",IF($M51,IF(AND($G51&gt;=AV$5,$G51&lt;AV$5+GanttPeriod),"◆",IF(AND($E51&gt;=AV$5,$E51&lt;AV$5+GanttPeriod),"◇","")),IF(AND(AV$5&lt;=$F51,AV$5+GanttPeriod-1&gt;=$E51),"━","")))</f>
        <v/>
      </c>
      <c r="AW51" s="69" t="str">
        <f aca="false">IF($E51="","",IF($M51,IF(AND($G51&gt;=AW$5,$G51&lt;AW$5+GanttPeriod),"◆",IF(AND($E51&gt;=AW$5,$E51&lt;AW$5+GanttPeriod),"◇","")),IF(AND(AW$5&lt;=$F51,AW$5+GanttPeriod-1&gt;=$E51),"━","")))</f>
        <v/>
      </c>
      <c r="AX51" s="69" t="str">
        <f aca="false">IF($E51="","",IF($M51,IF(AND($G51&gt;=AX$5,$G51&lt;AX$5+GanttPeriod),"◆",IF(AND($E51&gt;=AX$5,$E51&lt;AX$5+GanttPeriod),"◇","")),IF(AND(AX$5&lt;=$F51,AX$5+GanttPeriod-1&gt;=$E51),"━","")))</f>
        <v/>
      </c>
      <c r="AY51" s="69" t="str">
        <f aca="false">IF($E51="","",IF($M51,IF(AND($G51&gt;=AY$5,$G51&lt;AY$5+GanttPeriod),"◆",IF(AND($E51&gt;=AY$5,$E51&lt;AY$5+GanttPeriod),"◇","")),IF(AND(AY$5&lt;=$F51,AY$5+GanttPeriod-1&gt;=$E51),"━","")))</f>
        <v/>
      </c>
      <c r="AZ51" s="69" t="str">
        <f aca="false">IF($E51="","",IF($M51,IF(AND($G51&gt;=AZ$5,$G51&lt;AZ$5+GanttPeriod),"◆",IF(AND($E51&gt;=AZ$5,$E51&lt;AZ$5+GanttPeriod),"◇","")),IF(AND(AZ$5&lt;=$F51,AZ$5+GanttPeriod-1&gt;=$E51),"━","")))</f>
        <v/>
      </c>
      <c r="BA51" s="69" t="str">
        <f aca="false">IF($E51="","",IF($M51,IF(AND($G51&gt;=BA$5,$G51&lt;BA$5+GanttPeriod),"◆",IF(AND($E51&gt;=BA$5,$E51&lt;BA$5+GanttPeriod),"◇","")),IF(AND(BA$5&lt;=$F51,BA$5+GanttPeriod-1&gt;=$E51),"━","")))</f>
        <v/>
      </c>
      <c r="BB51" s="69" t="str">
        <f aca="false">IF($E51="","",IF($M51,IF(AND($G51&gt;=BB$5,$G51&lt;BB$5+GanttPeriod),"◆",IF(AND($E51&gt;=BB$5,$E51&lt;BB$5+GanttPeriod),"◇","")),IF(AND(BB$5&lt;=$F51,BB$5+GanttPeriod-1&gt;=$E51),"━","")))</f>
        <v/>
      </c>
      <c r="BC51" s="69" t="str">
        <f aca="false">IF($E51="","",IF($M51,IF(AND($G51&gt;=BC$5,$G51&lt;BC$5+GanttPeriod),"◆",IF(AND($E51&gt;=BC$5,$E51&lt;BC$5+GanttPeriod),"◇","")),IF(AND(BC$5&lt;=$F51,BC$5+GanttPeriod-1&gt;=$E51),"━","")))</f>
        <v/>
      </c>
      <c r="BD51" s="69" t="str">
        <f aca="false">IF($E51="","",IF($M51,IF(AND($G51&gt;=BD$5,$G51&lt;BD$5+GanttPeriod),"◆",IF(AND($E51&gt;=BD$5,$E51&lt;BD$5+GanttPeriod),"◇","")),IF(AND(BD$5&lt;=$F51,BD$5+GanttPeriod-1&gt;=$E51),"━","")))</f>
        <v/>
      </c>
      <c r="BE51" s="69" t="str">
        <f aca="false">IF($E51="","",IF($M51,IF(AND($G51&gt;=BE$5,$G51&lt;BE$5+GanttPeriod),"◆",IF(AND($E51&gt;=BE$5,$E51&lt;BE$5+GanttPeriod),"◇","")),IF(AND(BE$5&lt;=$F51,BE$5+GanttPeriod-1&gt;=$E51),"━","")))</f>
        <v/>
      </c>
      <c r="BF51" s="69" t="str">
        <f aca="false">IF($E51="","",IF($M51,IF(AND($G51&gt;=BF$5,$G51&lt;BF$5+GanttPeriod),"◆",IF(AND($E51&gt;=BF$5,$E51&lt;BF$5+GanttPeriod),"◇","")),IF(AND(BF$5&lt;=$F51,BF$5+GanttPeriod-1&gt;=$E51),"━","")))</f>
        <v/>
      </c>
      <c r="BG51" s="69" t="str">
        <f aca="false">IF($E51="","",IF($M51,IF(AND($G51&gt;=BG$5,$G51&lt;BG$5+GanttPeriod),"◆",IF(AND($E51&gt;=BG$5,$E51&lt;BG$5+GanttPeriod),"◇","")),IF(AND(BG$5&lt;=$F51,BG$5+GanttPeriod-1&gt;=$E51),"━","")))</f>
        <v/>
      </c>
      <c r="BH51" s="69" t="str">
        <f aca="false">IF($E51="","",IF($M51,IF(AND($G51&gt;=BH$5,$G51&lt;BH$5+GanttPeriod),"◆",IF(AND($E51&gt;=BH$5,$E51&lt;BH$5+GanttPeriod),"◇","")),IF(AND(BH$5&lt;=$F51,BH$5+GanttPeriod-1&gt;=$E51),"━","")))</f>
        <v/>
      </c>
      <c r="BI51" s="69" t="str">
        <f aca="false">IF($E51="","",IF($M51,IF(AND($G51&gt;=BI$5,$G51&lt;BI$5+GanttPeriod),"◆",IF(AND($E51&gt;=BI$5,$E51&lt;BI$5+GanttPeriod),"◇","")),IF(AND(BI$5&lt;=$F51,BI$5+GanttPeriod-1&gt;=$E51),"━","")))</f>
        <v/>
      </c>
      <c r="BJ51" s="69" t="str">
        <f aca="false">IF($E51="","",IF($M51,IF(AND($G51&gt;=BJ$5,$G51&lt;BJ$5+GanttPeriod),"◆",IF(AND($E51&gt;=BJ$5,$E51&lt;BJ$5+GanttPeriod),"◇","")),IF(AND(BJ$5&lt;=$F51,BJ$5+GanttPeriod-1&gt;=$E51),"━","")))</f>
        <v/>
      </c>
      <c r="BK51" s="69" t="str">
        <f aca="false">IF($E51="","",IF($M51,IF(AND($G51&gt;=BK$5,$G51&lt;BK$5+GanttPeriod),"◆",IF(AND($E51&gt;=BK$5,$E51&lt;BK$5+GanttPeriod),"◇","")),IF(AND(BK$5&lt;=$F51,BK$5+GanttPeriod-1&gt;=$E51),"━","")))</f>
        <v/>
      </c>
      <c r="BL51" s="69" t="str">
        <f aca="false">IF($E51="","",IF($M51,IF(AND($G51&gt;=BL$5,$G51&lt;BL$5+GanttPeriod),"◆",IF(AND($E51&gt;=BL$5,$E51&lt;BL$5+GanttPeriod),"◇","")),IF(AND(BL$5&lt;=$F51,BL$5+GanttPeriod-1&gt;=$E51),"━","")))</f>
        <v/>
      </c>
      <c r="BM51" s="69" t="str">
        <f aca="false">IF($E51="","",IF($M51,IF(AND($G51&gt;=BM$5,$G51&lt;BM$5+GanttPeriod),"◆",IF(AND($E51&gt;=BM$5,$E51&lt;BM$5+GanttPeriod),"◇","")),IF(AND(BM$5&lt;=$F51,BM$5+GanttPeriod-1&gt;=$E51),"━","")))</f>
        <v/>
      </c>
      <c r="BN51" s="69" t="str">
        <f aca="false">IF($E51="","",IF($M51,IF(AND($G51&gt;=BN$5,$G51&lt;BN$5+GanttPeriod),"◆",IF(AND($E51&gt;=BN$5,$E51&lt;BN$5+GanttPeriod),"◇","")),IF(AND(BN$5&lt;=$F51,BN$5+GanttPeriod-1&gt;=$E51),"━","")))</f>
        <v/>
      </c>
      <c r="BO51" s="69" t="str">
        <f aca="false">IF($E51="","",IF($M51,IF(AND($G51&gt;=BO$5,$G51&lt;BO$5+GanttPeriod),"◆",IF(AND($E51&gt;=BO$5,$E51&lt;BO$5+GanttPeriod),"◇","")),IF(AND(BO$5&lt;=$F51,BO$5+GanttPeriod-1&gt;=$E51),"━","")))</f>
        <v/>
      </c>
      <c r="BP51" s="69" t="str">
        <f aca="false">IF($E51="","",IF($M51,IF(AND($G51&gt;=BP$5,$G51&lt;BP$5+GanttPeriod),"◆",IF(AND($E51&gt;=BP$5,$E51&lt;BP$5+GanttPeriod),"◇","")),IF(AND(BP$5&lt;=$F51,BP$5+GanttPeriod-1&gt;=$E51),"━","")))</f>
        <v/>
      </c>
      <c r="BQ51" s="69" t="str">
        <f aca="false">IF($E51="","",IF($M51,IF(AND($G51&gt;=BQ$5,$G51&lt;BQ$5+GanttPeriod),"◆",IF(AND($E51&gt;=BQ$5,$E51&lt;BQ$5+GanttPeriod),"◇","")),IF(AND(BQ$5&lt;=$F51,BQ$5+GanttPeriod-1&gt;=$E51),"━","")))</f>
        <v/>
      </c>
      <c r="BR51" s="69" t="str">
        <f aca="false">IF($E51="","",IF($M51,IF(AND($G51&gt;=BR$5,$G51&lt;BR$5+GanttPeriod),"◆",IF(AND($E51&gt;=BR$5,$E51&lt;BR$5+GanttPeriod),"◇","")),IF(AND(BR$5&lt;=$F51,BR$5+GanttPeriod-1&gt;=$E51),"━","")))</f>
        <v/>
      </c>
      <c r="BS51" s="69" t="str">
        <f aca="false">IF($E51="","",IF($M51,IF(AND($G51&gt;=BS$5,$G51&lt;BS$5+GanttPeriod),"◆",IF(AND($E51&gt;=BS$5,$E51&lt;BS$5+GanttPeriod),"◇","")),IF(AND(BS$5&lt;=$F51,BS$5+GanttPeriod-1&gt;=$E51),"━","")))</f>
        <v/>
      </c>
      <c r="BT51" s="69" t="str">
        <f aca="false">IF($E51="","",IF($M51,IF(AND($G51&gt;=BT$5,$G51&lt;BT$5+GanttPeriod),"◆",IF(AND($E51&gt;=BT$5,$E51&lt;BT$5+GanttPeriod),"◇","")),IF(AND(BT$5&lt;=$F51,BT$5+GanttPeriod-1&gt;=$E51),"━","")))</f>
        <v/>
      </c>
      <c r="BU51" s="69" t="str">
        <f aca="false">IF($E51="","",IF($M51,IF(AND($G51&gt;=BU$5,$G51&lt;BU$5+GanttPeriod),"◆",IF(AND($E51&gt;=BU$5,$E51&lt;BU$5+GanttPeriod),"◇","")),IF(AND(BU$5&lt;=$F51,BU$5+GanttPeriod-1&gt;=$E51),"━","")))</f>
        <v/>
      </c>
      <c r="BV51" s="69" t="str">
        <f aca="false">IF($E51="","",IF($M51,IF(AND($G51&gt;=BV$5,$G51&lt;BV$5+GanttPeriod),"◆",IF(AND($E51&gt;=BV$5,$E51&lt;BV$5+GanttPeriod),"◇","")),IF(AND(BV$5&lt;=$F51,BV$5+GanttPeriod-1&gt;=$E51),"━","")))</f>
        <v/>
      </c>
      <c r="BW51" s="69" t="str">
        <f aca="false">IF($E51="","",IF($M51,IF(AND($G51&gt;=BW$5,$G51&lt;BW$5+GanttPeriod),"◆",IF(AND($E51&gt;=BW$5,$E51&lt;BW$5+GanttPeriod),"◇","")),IF(AND(BW$5&lt;=$F51,BW$5+GanttPeriod-1&gt;=$E51),"━","")))</f>
        <v/>
      </c>
      <c r="BX51" s="69" t="str">
        <f aca="false">IF($E51="","",IF($M51,IF(AND($G51&gt;=BX$5,$G51&lt;BX$5+GanttPeriod),"◆",IF(AND($E51&gt;=BX$5,$E51&lt;BX$5+GanttPeriod),"◇","")),IF(AND(BX$5&lt;=$F51,BX$5+GanttPeriod-1&gt;=$E51),"━","")))</f>
        <v/>
      </c>
      <c r="BY51" s="69" t="str">
        <f aca="false">IF($E51="","",IF($M51,IF(AND($G51&gt;=BY$5,$G51&lt;BY$5+GanttPeriod),"◆",IF(AND($E51&gt;=BY$5,$E51&lt;BY$5+GanttPeriod),"◇","")),IF(AND(BY$5&lt;=$F51,BY$5+GanttPeriod-1&gt;=$E51),"━","")))</f>
        <v/>
      </c>
      <c r="BZ51" s="69" t="str">
        <f aca="false">IF($E51="","",IF($M51,IF(AND($G51&gt;=BZ$5,$G51&lt;BZ$5+GanttPeriod),"◆",IF(AND($E51&gt;=BZ$5,$E51&lt;BZ$5+GanttPeriod),"◇","")),IF(AND(BZ$5&lt;=$F51,BZ$5+GanttPeriod-1&gt;=$E51),"━","")))</f>
        <v/>
      </c>
      <c r="CA51" s="69" t="str">
        <f aca="false">IF($E51="","",IF($M51,IF(AND($G51&gt;=CA$5,$G51&lt;CA$5+GanttPeriod),"◆",IF(AND($E51&gt;=CA$5,$E51&lt;CA$5+GanttPeriod),"◇","")),IF(AND(CA$5&lt;=$F51,CA$5+GanttPeriod-1&gt;=$E51),"━","")))</f>
        <v/>
      </c>
      <c r="CB51" s="69" t="str">
        <f aca="false">IF($E51="","",IF($M51,IF(AND($G51&gt;=CB$5,$G51&lt;CB$5+GanttPeriod),"◆",IF(AND($E51&gt;=CB$5,$E51&lt;CB$5+GanttPeriod),"◇","")),IF(AND(CB$5&lt;=$F51,CB$5+GanttPeriod-1&gt;=$E51),"━","")))</f>
        <v/>
      </c>
      <c r="CC51" s="69" t="str">
        <f aca="false">IF($E51="","",IF($M51,IF(AND($G51&gt;=CC$5,$G51&lt;CC$5+GanttPeriod),"◆",IF(AND($E51&gt;=CC$5,$E51&lt;CC$5+GanttPeriod),"◇","")),IF(AND(CC$5&lt;=$F51,CC$5+GanttPeriod-1&gt;=$E51),"━","")))</f>
        <v/>
      </c>
      <c r="CD51" s="69" t="str">
        <f aca="false">IF($E51="","",IF($M51,IF(AND($G51&gt;=CD$5,$G51&lt;CD$5+GanttPeriod),"◆",IF(AND($E51&gt;=CD$5,$E51&lt;CD$5+GanttPeriod),"◇","")),IF(AND(CD$5&lt;=$F51,CD$5+GanttPeriod-1&gt;=$E51),"━","")))</f>
        <v/>
      </c>
      <c r="CE51" s="69" t="str">
        <f aca="false">IF($E51="","",IF($M51,IF(AND($G51&gt;=CE$5,$G51&lt;CE$5+GanttPeriod),"◆",IF(AND($E51&gt;=CE$5,$E51&lt;CE$5+GanttPeriod),"◇","")),IF(AND(CE$5&lt;=$F51,CE$5+GanttPeriod-1&gt;=$E51),"━","")))</f>
        <v/>
      </c>
      <c r="CF51" s="69" t="str">
        <f aca="false">IF($E51="","",IF($M51,IF(AND($G51&gt;=CF$5,$G51&lt;CF$5+GanttPeriod),"◆",IF(AND($E51&gt;=CF$5,$E51&lt;CF$5+GanttPeriod),"◇","")),IF(AND(CF$5&lt;=$F51,CF$5+GanttPeriod-1&gt;=$E51),"━","")))</f>
        <v/>
      </c>
      <c r="CG51" s="69" t="str">
        <f aca="false">IF($E51="","",IF($M51,IF(AND($G51&gt;=CG$5,$G51&lt;CG$5+GanttPeriod),"◆",IF(AND($E51&gt;=CG$5,$E51&lt;CG$5+GanttPeriod),"◇","")),IF(AND(CG$5&lt;=$F51,CG$5+GanttPeriod-1&gt;=$E51),"━","")))</f>
        <v/>
      </c>
      <c r="CH51" s="69" t="str">
        <f aca="false">IF($E51="","",IF($M51,IF(AND($G51&gt;=CH$5,$G51&lt;CH$5+GanttPeriod),"◆",IF(AND($E51&gt;=CH$5,$E51&lt;CH$5+GanttPeriod),"◇","")),IF(AND(CH$5&lt;=$F51,CH$5+GanttPeriod-1&gt;=$E51),"━","")))</f>
        <v/>
      </c>
      <c r="CI51" s="69" t="str">
        <f aca="false">IF($E51="","",IF($M51,IF(AND($G51&gt;=CI$5,$G51&lt;CI$5+GanttPeriod),"◆",IF(AND($E51&gt;=CI$5,$E51&lt;CI$5+GanttPeriod),"◇","")),IF(AND(CI$5&lt;=$F51,CI$5+GanttPeriod-1&gt;=$E51),"━","")))</f>
        <v/>
      </c>
      <c r="CJ51" s="69" t="str">
        <f aca="false">IF($E51="","",IF($M51,IF(AND($G51&gt;=CJ$5,$G51&lt;CJ$5+GanttPeriod),"◆",IF(AND($E51&gt;=CJ$5,$E51&lt;CJ$5+GanttPeriod),"◇","")),IF(AND(CJ$5&lt;=$F51,CJ$5+GanttPeriod-1&gt;=$E51),"━","")))</f>
        <v/>
      </c>
      <c r="CK51" s="69" t="str">
        <f aca="false">IF($E51="","",IF($M51,IF(AND($G51&gt;=CK$5,$G51&lt;CK$5+GanttPeriod),"◆",IF(AND($E51&gt;=CK$5,$E51&lt;CK$5+GanttPeriod),"◇","")),IF(AND(CK$5&lt;=$F51,CK$5+GanttPeriod-1&gt;=$E51),"━","")))</f>
        <v/>
      </c>
      <c r="CL51" s="69" t="str">
        <f aca="false">IF($E51="","",IF($M51,IF(AND($G51&gt;=CL$5,$G51&lt;CL$5+GanttPeriod),"◆",IF(AND($E51&gt;=CL$5,$E51&lt;CL$5+GanttPeriod),"◇","")),IF(AND(CL$5&lt;=$F51,CL$5+GanttPeriod-1&gt;=$E51),"━","")))</f>
        <v/>
      </c>
      <c r="CM51" s="69" t="str">
        <f aca="false">IF($E51="","",IF($M51,IF(AND($G51&gt;=CM$5,$G51&lt;CM$5+GanttPeriod),"◆",IF(AND($E51&gt;=CM$5,$E51&lt;CM$5+GanttPeriod),"◇","")),IF(AND(CM$5&lt;=$F51,CM$5+GanttPeriod-1&gt;=$E51),"━","")))</f>
        <v/>
      </c>
      <c r="CN51" s="69" t="str">
        <f aca="false">IF($E51="","",IF($M51,IF(AND($G51&gt;=CN$5,$G51&lt;CN$5+GanttPeriod),"◆",IF(AND($E51&gt;=CN$5,$E51&lt;CN$5+GanttPeriod),"◇","")),IF(AND(CN$5&lt;=$F51,CN$5+GanttPeriod-1&gt;=$E51),"━","")))</f>
        <v/>
      </c>
      <c r="CO51" s="69" t="str">
        <f aca="false">IF($E51="","",IF($M51,IF(AND($G51&gt;=CO$5,$G51&lt;CO$5+GanttPeriod),"◆",IF(AND($E51&gt;=CO$5,$E51&lt;CO$5+GanttPeriod),"◇","")),IF(AND(CO$5&lt;=$F51,CO$5+GanttPeriod-1&gt;=$E51),"━","")))</f>
        <v/>
      </c>
      <c r="CP51" s="69" t="str">
        <f aca="false">IF($E51="","",IF($M51,IF(AND($G51&gt;=CP$5,$G51&lt;CP$5+GanttPeriod),"◆",IF(AND($E51&gt;=CP$5,$E51&lt;CP$5+GanttPeriod),"◇","")),IF(AND(CP$5&lt;=$F51,CP$5+GanttPeriod-1&gt;=$E51),"━","")))</f>
        <v/>
      </c>
      <c r="CQ51" s="69" t="str">
        <f aca="false">IF($E51="","",IF($M51,IF(AND($G51&gt;=CQ$5,$G51&lt;CQ$5+GanttPeriod),"◆",IF(AND($E51&gt;=CQ$5,$E51&lt;CQ$5+GanttPeriod),"◇","")),IF(AND(CQ$5&lt;=$F51,CQ$5+GanttPeriod-1&gt;=$E51),"━","")))</f>
        <v/>
      </c>
      <c r="CR51" s="69" t="str">
        <f aca="false">IF($E51="","",IF($M51,IF(AND($G51&gt;=CR$5,$G51&lt;CR$5+GanttPeriod),"◆",IF(AND($E51&gt;=CR$5,$E51&lt;CR$5+GanttPeriod),"◇","")),IF(AND(CR$5&lt;=$F51,CR$5+GanttPeriod-1&gt;=$E51),"━","")))</f>
        <v/>
      </c>
      <c r="CS51" s="69" t="str">
        <f aca="false">IF($E51="","",IF($M51,IF(AND($G51&gt;=CS$5,$G51&lt;CS$5+GanttPeriod),"◆",IF(AND($E51&gt;=CS$5,$E51&lt;CS$5+GanttPeriod),"◇","")),IF(AND(CS$5&lt;=$F51,CS$5+GanttPeriod-1&gt;=$E51),"━","")))</f>
        <v/>
      </c>
      <c r="CT51" s="69" t="str">
        <f aca="false">IF($E51="","",IF($M51,IF(AND($G51&gt;=CT$5,$G51&lt;CT$5+GanttPeriod),"◆",IF(AND($E51&gt;=CT$5,$E51&lt;CT$5+GanttPeriod),"◇","")),IF(AND(CT$5&lt;=$F51,CT$5+GanttPeriod-1&gt;=$E51),"━","")))</f>
        <v/>
      </c>
      <c r="CU51" s="69" t="str">
        <f aca="false">IF($E51="","",IF($M51,IF(AND($G51&gt;=CU$5,$G51&lt;CU$5+GanttPeriod),"◆",IF(AND($E51&gt;=CU$5,$E51&lt;CU$5+GanttPeriod),"◇","")),IF(AND(CU$5&lt;=$F51,CU$5+GanttPeriod-1&gt;=$E51),"━","")))</f>
        <v/>
      </c>
      <c r="CV51" s="69" t="str">
        <f aca="false">IF($E51="","",IF($M51,IF(AND($G51&gt;=CV$5,$G51&lt;CV$5+GanttPeriod),"◆",IF(AND($E51&gt;=CV$5,$E51&lt;CV$5+GanttPeriod),"◇","")),IF(AND(CV$5&lt;=$F51,CV$5+GanttPeriod-1&gt;=$E51),"━","")))</f>
        <v/>
      </c>
      <c r="CW51" s="69" t="str">
        <f aca="false">IF($E51="","",IF($M51,IF(AND($G51&gt;=CW$5,$G51&lt;CW$5+GanttPeriod),"◆",IF(AND($E51&gt;=CW$5,$E51&lt;CW$5+GanttPeriod),"◇","")),IF(AND(CW$5&lt;=$F51,CW$5+GanttPeriod-1&gt;=$E51),"━","")))</f>
        <v/>
      </c>
      <c r="CX51" s="69" t="str">
        <f aca="false">IF($E51="","",IF($M51,IF(AND($G51&gt;=CX$5,$G51&lt;CX$5+GanttPeriod),"◆",IF(AND($E51&gt;=CX$5,$E51&lt;CX$5+GanttPeriod),"◇","")),IF(AND(CX$5&lt;=$F51,CX$5+GanttPeriod-1&gt;=$E51),"━","")))</f>
        <v/>
      </c>
      <c r="CY51" s="69" t="str">
        <f aca="false">IF($E51="","",IF($M51,IF(AND($G51&gt;=CY$5,$G51&lt;CY$5+GanttPeriod),"◆",IF(AND($E51&gt;=CY$5,$E51&lt;CY$5+GanttPeriod),"◇","")),IF(AND(CY$5&lt;=$F51,CY$5+GanttPeriod-1&gt;=$E51),"━","")))</f>
        <v/>
      </c>
      <c r="CZ51" s="69" t="str">
        <f aca="false">IF($E51="","",IF($M51,IF(AND($G51&gt;=CZ$5,$G51&lt;CZ$5+GanttPeriod),"◆",IF(AND($E51&gt;=CZ$5,$E51&lt;CZ$5+GanttPeriod),"◇","")),IF(AND(CZ$5&lt;=$F51,CZ$5+GanttPeriod-1&gt;=$E51),"━","")))</f>
        <v/>
      </c>
      <c r="DA51" s="69" t="str">
        <f aca="false">IF($E51="","",IF($M51,IF(AND($G51&gt;=DA$5,$G51&lt;DA$5+GanttPeriod),"◆",IF(AND($E51&gt;=DA$5,$E51&lt;DA$5+GanttPeriod),"◇","")),IF(AND(DA$5&lt;=$F51,DA$5+GanttPeriod-1&gt;=$E51),"━","")))</f>
        <v/>
      </c>
      <c r="DB51" s="69" t="str">
        <f aca="false">IF($E51="","",IF($M51,IF(AND($G51&gt;=DB$5,$G51&lt;DB$5+GanttPeriod),"◆",IF(AND($E51&gt;=DB$5,$E51&lt;DB$5+GanttPeriod),"◇","")),IF(AND(DB$5&lt;=$F51,DB$5+GanttPeriod-1&gt;=$E51),"━","")))</f>
        <v/>
      </c>
      <c r="DC51" s="69" t="str">
        <f aca="false">IF($E51="","",IF($M51,IF(AND($G51&gt;=DC$5,$G51&lt;DC$5+GanttPeriod),"◆",IF(AND($E51&gt;=DC$5,$E51&lt;DC$5+GanttPeriod),"◇","")),IF(AND(DC$5&lt;=$F51,DC$5+GanttPeriod-1&gt;=$E51),"━","")))</f>
        <v/>
      </c>
      <c r="DD51" s="69" t="str">
        <f aca="false">IF($E51="","",IF($M51,IF(AND($G51&gt;=DD$5,$G51&lt;DD$5+GanttPeriod),"◆",IF(AND($E51&gt;=DD$5,$E51&lt;DD$5+GanttPeriod),"◇","")),IF(AND(DD$5&lt;=$F51,DD$5+GanttPeriod-1&gt;=$E51),"━","")))</f>
        <v/>
      </c>
      <c r="DE51" s="69" t="str">
        <f aca="false">IF($E51="","",IF($M51,IF(AND($G51&gt;=DE$5,$G51&lt;DE$5+GanttPeriod),"◆",IF(AND($E51&gt;=DE$5,$E51&lt;DE$5+GanttPeriod),"◇","")),IF(AND(DE$5&lt;=$F51,DE$5+GanttPeriod-1&gt;=$E51),"━","")))</f>
        <v/>
      </c>
      <c r="DF51" s="69" t="str">
        <f aca="false">IF($E51="","",IF($M51,IF(AND($G51&gt;=DF$5,$G51&lt;DF$5+GanttPeriod),"◆",IF(AND($E51&gt;=DF$5,$E51&lt;DF$5+GanttPeriod),"◇","")),IF(AND(DF$5&lt;=$F51,DF$5+GanttPeriod-1&gt;=$E51),"━","")))</f>
        <v/>
      </c>
      <c r="DG51" s="69" t="str">
        <f aca="false">IF($E51="","",IF($M51,IF(AND($G51&gt;=DG$5,$G51&lt;DG$5+GanttPeriod),"◆",IF(AND($E51&gt;=DG$5,$E51&lt;DG$5+GanttPeriod),"◇","")),IF(AND(DG$5&lt;=$F51,DG$5+GanttPeriod-1&gt;=$E51),"━","")))</f>
        <v/>
      </c>
      <c r="DH51" s="69" t="str">
        <f aca="false">IF($E51="","",IF($M51,IF(AND($G51&gt;=DH$5,$G51&lt;DH$5+GanttPeriod),"◆",IF(AND($E51&gt;=DH$5,$E51&lt;DH$5+GanttPeriod),"◇","")),IF(AND(DH$5&lt;=$F51,DH$5+GanttPeriod-1&gt;=$E51),"━","")))</f>
        <v/>
      </c>
      <c r="DI51" s="69" t="str">
        <f aca="false">IF($E51="","",IF($M51,IF(AND($G51&gt;=DI$5,$G51&lt;DI$5+GanttPeriod),"◆",IF(AND($E51&gt;=DI$5,$E51&lt;DI$5+GanttPeriod),"◇","")),IF(AND(DI$5&lt;=$F51,DI$5+GanttPeriod-1&gt;=$E51),"━","")))</f>
        <v/>
      </c>
      <c r="DJ51" s="69" t="str">
        <f aca="false">IF($E51="","",IF($M51,IF(AND($G51&gt;=DJ$5,$G51&lt;DJ$5+GanttPeriod),"◆",IF(AND($E51&gt;=DJ$5,$E51&lt;DJ$5+GanttPeriod),"◇","")),IF(AND(DJ$5&lt;=$F51,DJ$5+GanttPeriod-1&gt;=$E51),"━","")))</f>
        <v/>
      </c>
      <c r="DK51" s="69" t="str">
        <f aca="false">IF($E51="","",IF($M51,IF(AND($G51&gt;=DK$5,$G51&lt;DK$5+GanttPeriod),"◆",IF(AND($E51&gt;=DK$5,$E51&lt;DK$5+GanttPeriod),"◇","")),IF(AND(DK$5&lt;=$F51,DK$5+GanttPeriod-1&gt;=$E51),"━","")))</f>
        <v/>
      </c>
      <c r="DL51" s="69" t="str">
        <f aca="false">IF($E51="","",IF($M51,IF(AND($G51&gt;=DL$5,$G51&lt;DL$5+GanttPeriod),"◆",IF(AND($E51&gt;=DL$5,$E51&lt;DL$5+GanttPeriod),"◇","")),IF(AND(DL$5&lt;=$F51,DL$5+GanttPeriod-1&gt;=$E51),"━","")))</f>
        <v/>
      </c>
      <c r="DM51" s="69" t="str">
        <f aca="false">IF($E51="","",IF($M51,IF(AND($G51&gt;=DM$5,$G51&lt;DM$5+GanttPeriod),"◆",IF(AND($E51&gt;=DM$5,$E51&lt;DM$5+GanttPeriod),"◇","")),IF(AND(DM$5&lt;=$F51,DM$5+GanttPeriod-1&gt;=$E51),"━","")))</f>
        <v/>
      </c>
      <c r="DN51" s="69" t="str">
        <f aca="false">IF($E51="","",IF($M51,IF(AND($G51&gt;=DN$5,$G51&lt;DN$5+GanttPeriod),"◆",IF(AND($E51&gt;=DN$5,$E51&lt;DN$5+GanttPeriod),"◇","")),IF(AND(DN$5&lt;=$F51,DN$5+GanttPeriod-1&gt;=$E51),"━","")))</f>
        <v/>
      </c>
      <c r="DO51" s="69" t="str">
        <f aca="false">IF($E51="","",IF($M51,IF(AND($G51&gt;=DO$5,$G51&lt;DO$5+GanttPeriod),"◆",IF(AND($E51&gt;=DO$5,$E51&lt;DO$5+GanttPeriod),"◇","")),IF(AND(DO$5&lt;=$F51,DO$5+GanttPeriod-1&gt;=$E51),"━","")))</f>
        <v/>
      </c>
      <c r="DP51" s="69" t="str">
        <f aca="false">IF($E51="","",IF($M51,IF(AND($G51&gt;=DP$5,$G51&lt;DP$5+GanttPeriod),"◆",IF(AND($E51&gt;=DP$5,$E51&lt;DP$5+GanttPeriod),"◇","")),IF(AND(DP$5&lt;=$F51,DP$5+GanttPeriod-1&gt;=$E51),"━","")))</f>
        <v/>
      </c>
      <c r="DQ51" s="69" t="str">
        <f aca="false">IF($E51="","",IF($M51,IF(AND($G51&gt;=DQ$5,$G51&lt;DQ$5+GanttPeriod),"◆",IF(AND($E51&gt;=DQ$5,$E51&lt;DQ$5+GanttPeriod),"◇","")),IF(AND(DQ$5&lt;=$F51,DQ$5+GanttPeriod-1&gt;=$E51),"━","")))</f>
        <v/>
      </c>
      <c r="DR51" s="69" t="str">
        <f aca="false">IF($E51="","",IF($M51,IF(AND($G51&gt;=DR$5,$G51&lt;DR$5+GanttPeriod),"◆",IF(AND($E51&gt;=DR$5,$E51&lt;DR$5+GanttPeriod),"◇","")),IF(AND(DR$5&lt;=$F51,DR$5+GanttPeriod-1&gt;=$E51),"━","")))</f>
        <v/>
      </c>
      <c r="DS51" s="69" t="str">
        <f aca="false">IF($E51="","",IF($M51,IF(AND($G51&gt;=DS$5,$G51&lt;DS$5+GanttPeriod),"◆",IF(AND($E51&gt;=DS$5,$E51&lt;DS$5+GanttPeriod),"◇","")),IF(AND(DS$5&lt;=$F51,DS$5+GanttPeriod-1&gt;=$E51),"━","")))</f>
        <v/>
      </c>
      <c r="DT51" s="69" t="str">
        <f aca="false">IF($E51="","",IF($M51,IF(AND($G51&gt;=DT$5,$G51&lt;DT$5+GanttPeriod),"◆",IF(AND($E51&gt;=DT$5,$E51&lt;DT$5+GanttPeriod),"◇","")),IF(AND(DT$5&lt;=$F51,DT$5+GanttPeriod-1&gt;=$E51),"━","")))</f>
        <v/>
      </c>
      <c r="DU51" s="69" t="str">
        <f aca="false">IF($E51="","",IF($M51,IF(AND($G51&gt;=DU$5,$G51&lt;DU$5+GanttPeriod),"◆",IF(AND($E51&gt;=DU$5,$E51&lt;DU$5+GanttPeriod),"◇","")),IF(AND(DU$5&lt;=$F51,DU$5+GanttPeriod-1&gt;=$E51),"━","")))</f>
        <v/>
      </c>
      <c r="DV51" s="69" t="str">
        <f aca="false">IF($E51="","",IF($M51,IF(AND($G51&gt;=DV$5,$G51&lt;DV$5+GanttPeriod),"◆",IF(AND($E51&gt;=DV$5,$E51&lt;DV$5+GanttPeriod),"◇","")),IF(AND(DV$5&lt;=$F51,DV$5+GanttPeriod-1&gt;=$E51),"━","")))</f>
        <v/>
      </c>
      <c r="DW51" s="69" t="str">
        <f aca="false">IF($E51="","",IF($M51,IF(AND($G51&gt;=DW$5,$G51&lt;DW$5+GanttPeriod),"◆",IF(AND($E51&gt;=DW$5,$E51&lt;DW$5+GanttPeriod),"◇","")),IF(AND(DW$5&lt;=$F51,DW$5+GanttPeriod-1&gt;=$E51),"━","")))</f>
        <v/>
      </c>
      <c r="DX51" s="69" t="str">
        <f aca="false">IF($E51="","",IF($M51,IF(AND($G51&gt;=DX$5,$G51&lt;DX$5+GanttPeriod),"◆",IF(AND($E51&gt;=DX$5,$E51&lt;DX$5+GanttPeriod),"◇","")),IF(AND(DX$5&lt;=$F51,DX$5+GanttPeriod-1&gt;=$E51),"━","")))</f>
        <v/>
      </c>
      <c r="DY51" s="69" t="str">
        <f aca="false">IF($E51="","",IF($M51,IF(AND($G51&gt;=DY$5,$G51&lt;DY$5+GanttPeriod),"◆",IF(AND($E51&gt;=DY$5,$E51&lt;DY$5+GanttPeriod),"◇","")),IF(AND(DY$5&lt;=$F51,DY$5+GanttPeriod-1&gt;=$E51),"━","")))</f>
        <v/>
      </c>
      <c r="DZ51" s="69" t="str">
        <f aca="false">IF($E51="","",IF($M51,IF(AND($G51&gt;=DZ$5,$G51&lt;DZ$5+GanttPeriod),"◆",IF(AND($E51&gt;=DZ$5,$E51&lt;DZ$5+GanttPeriod),"◇","")),IF(AND(DZ$5&lt;=$F51,DZ$5+GanttPeriod-1&gt;=$E51),"━","")))</f>
        <v/>
      </c>
      <c r="EA51" s="69" t="str">
        <f aca="false">IF($E51="","",IF($M51,IF(AND($G51&gt;=EA$5,$G51&lt;EA$5+GanttPeriod),"◆",IF(AND($E51&gt;=EA$5,$E51&lt;EA$5+GanttPeriod),"◇","")),IF(AND(EA$5&lt;=$F51,EA$5+GanttPeriod-1&gt;=$E51),"━","")))</f>
        <v/>
      </c>
      <c r="EB51" s="69" t="str">
        <f aca="false">IF($E51="","",IF($M51,IF(AND($G51&gt;=EB$5,$G51&lt;EB$5+GanttPeriod),"◆",IF(AND($E51&gt;=EB$5,$E51&lt;EB$5+GanttPeriod),"◇","")),IF(AND(EB$5&lt;=$F51,EB$5+GanttPeriod-1&gt;=$E51),"━","")))</f>
        <v/>
      </c>
      <c r="EC51" s="69" t="str">
        <f aca="false">IF($E51="","",IF($M51,IF(AND($G51&gt;=EC$5,$G51&lt;EC$5+GanttPeriod),"◆",IF(AND($E51&gt;=EC$5,$E51&lt;EC$5+GanttPeriod),"◇","")),IF(AND(EC$5&lt;=$F51,EC$5+GanttPeriod-1&gt;=$E51),"━","")))</f>
        <v/>
      </c>
      <c r="ED51" s="69" t="str">
        <f aca="false">IF($E51="","",IF($M51,IF(AND($G51&gt;=ED$5,$G51&lt;ED$5+GanttPeriod),"◆",IF(AND($E51&gt;=ED$5,$E51&lt;ED$5+GanttPeriod),"◇","")),IF(AND(ED$5&lt;=$F51,ED$5+GanttPeriod-1&gt;=$E51),"━","")))</f>
        <v/>
      </c>
      <c r="EE51" s="69" t="str">
        <f aca="false">IF($E51="","",IF($M51,IF(AND($G51&gt;=EE$5,$G51&lt;EE$5+GanttPeriod),"◆",IF(AND($E51&gt;=EE$5,$E51&lt;EE$5+GanttPeriod),"◇","")),IF(AND(EE$5&lt;=$F51,EE$5+GanttPeriod-1&gt;=$E51),"━","")))</f>
        <v/>
      </c>
      <c r="EF51" s="69" t="str">
        <f aca="false">IF($E51="","",IF($M51,IF(AND($G51&gt;=EF$5,$G51&lt;EF$5+GanttPeriod),"◆",IF(AND($E51&gt;=EF$5,$E51&lt;EF$5+GanttPeriod),"◇","")),IF(AND(EF$5&lt;=$F51,EF$5+GanttPeriod-1&gt;=$E51),"━","")))</f>
        <v/>
      </c>
      <c r="EG51" s="69" t="str">
        <f aca="false">IF($E51="","",IF($M51,IF(AND($G51&gt;=EG$5,$G51&lt;EG$5+GanttPeriod),"◆",IF(AND($E51&gt;=EG$5,$E51&lt;EG$5+GanttPeriod),"◇","")),IF(AND(EG$5&lt;=$F51,EG$5+GanttPeriod-1&gt;=$E51),"━","")))</f>
        <v/>
      </c>
      <c r="EH51" s="69" t="str">
        <f aca="false">IF($E51="","",IF($M51,IF(AND($G51&gt;=EH$5,$G51&lt;EH$5+GanttPeriod),"◆",IF(AND($E51&gt;=EH$5,$E51&lt;EH$5+GanttPeriod),"◇","")),IF(AND(EH$5&lt;=$F51,EH$5+GanttPeriod-1&gt;=$E51),"━","")))</f>
        <v/>
      </c>
      <c r="EI51" s="69" t="str">
        <f aca="false">IF($E51="","",IF($M51,IF(AND($G51&gt;=EI$5,$G51&lt;EI$5+GanttPeriod),"◆",IF(AND($E51&gt;=EI$5,$E51&lt;EI$5+GanttPeriod),"◇","")),IF(AND(EI$5&lt;=$F51,EI$5+GanttPeriod-1&gt;=$E51),"━","")))</f>
        <v/>
      </c>
      <c r="EJ51" s="69" t="str">
        <f aca="false">IF($E51="","",IF($M51,IF(AND($G51&gt;=EJ$5,$G51&lt;EJ$5+GanttPeriod),"◆",IF(AND($E51&gt;=EJ$5,$E51&lt;EJ$5+GanttPeriod),"◇","")),IF(AND(EJ$5&lt;=$F51,EJ$5+GanttPeriod-1&gt;=$E51),"━","")))</f>
        <v/>
      </c>
      <c r="EK51" s="69" t="str">
        <f aca="false">IF($E51="","",IF($M51,IF(AND($G51&gt;=EK$5,$G51&lt;EK$5+GanttPeriod),"◆",IF(AND($E51&gt;=EK$5,$E51&lt;EK$5+GanttPeriod),"◇","")),IF(AND(EK$5&lt;=$F51,EK$5+GanttPeriod-1&gt;=$E51),"━","")))</f>
        <v/>
      </c>
      <c r="EL51" s="69" t="str">
        <f aca="false">IF($E51="","",IF($M51,IF(AND($G51&gt;=EL$5,$G51&lt;EL$5+GanttPeriod),"◆",IF(AND($E51&gt;=EL$5,$E51&lt;EL$5+GanttPeriod),"◇","")),IF(AND(EL$5&lt;=$F51,EL$5+GanttPeriod-1&gt;=$E51),"━","")))</f>
        <v/>
      </c>
      <c r="EM51" s="69" t="str">
        <f aca="false">IF($E51="","",IF($M51,IF(AND($G51&gt;=EM$5,$G51&lt;EM$5+GanttPeriod),"◆",IF(AND($E51&gt;=EM$5,$E51&lt;EM$5+GanttPeriod),"◇","")),IF(AND(EM$5&lt;=$F51,EM$5+GanttPeriod-1&gt;=$E51),"━","")))</f>
        <v/>
      </c>
      <c r="EN51" s="69" t="str">
        <f aca="false">IF($E51="","",IF($M51,IF(AND($G51&gt;=EN$5,$G51&lt;EN$5+GanttPeriod),"◆",IF(AND($E51&gt;=EN$5,$E51&lt;EN$5+GanttPeriod),"◇","")),IF(AND(EN$5&lt;=$F51,EN$5+GanttPeriod-1&gt;=$E51),"━","")))</f>
        <v/>
      </c>
      <c r="EO51" s="69" t="str">
        <f aca="false">IF($E51="","",IF($M51,IF(AND($G51&gt;=EO$5,$G51&lt;EO$5+GanttPeriod),"◆",IF(AND($E51&gt;=EO$5,$E51&lt;EO$5+GanttPeriod),"◇","")),IF(AND(EO$5&lt;=$F51,EO$5+GanttPeriod-1&gt;=$E51),"━","")))</f>
        <v/>
      </c>
      <c r="EP51" s="69" t="str">
        <f aca="false">IF($E51="","",IF($M51,IF(AND($G51&gt;=EP$5,$G51&lt;EP$5+GanttPeriod),"◆",IF(AND($E51&gt;=EP$5,$E51&lt;EP$5+GanttPeriod),"◇","")),IF(AND(EP$5&lt;=$F51,EP$5+GanttPeriod-1&gt;=$E51),"━","")))</f>
        <v/>
      </c>
      <c r="EQ51" s="69" t="str">
        <f aca="false">IF($E51="","",IF($M51,IF(AND($G51&gt;=EQ$5,$G51&lt;EQ$5+GanttPeriod),"◆",IF(AND($E51&gt;=EQ$5,$E51&lt;EQ$5+GanttPeriod),"◇","")),IF(AND(EQ$5&lt;=$F51,EQ$5+GanttPeriod-1&gt;=$E51),"━","")))</f>
        <v/>
      </c>
      <c r="ER51" s="69" t="str">
        <f aca="false">IF($E51="","",IF($M51,IF(AND($G51&gt;=ER$5,$G51&lt;ER$5+GanttPeriod),"◆",IF(AND($E51&gt;=ER$5,$E51&lt;ER$5+GanttPeriod),"◇","")),IF(AND(ER$5&lt;=$F51,ER$5+GanttPeriod-1&gt;=$E51),"━","")))</f>
        <v/>
      </c>
      <c r="ES51" s="69" t="str">
        <f aca="false">IF($E51="","",IF($M51,IF(AND($G51&gt;=ES$5,$G51&lt;ES$5+GanttPeriod),"◆",IF(AND($E51&gt;=ES$5,$E51&lt;ES$5+GanttPeriod),"◇","")),IF(AND(ES$5&lt;=$F51,ES$5+GanttPeriod-1&gt;=$E51),"━","")))</f>
        <v/>
      </c>
      <c r="ET51" s="69" t="str">
        <f aca="false">IF($E51="","",IF($M51,IF(AND($G51&gt;=ET$5,$G51&lt;ET$5+GanttPeriod),"◆",IF(AND($E51&gt;=ET$5,$E51&lt;ET$5+GanttPeriod),"◇","")),IF(AND(ET$5&lt;=$F51,ET$5+GanttPeriod-1&gt;=$E51),"━","")))</f>
        <v/>
      </c>
      <c r="EU51" s="69" t="str">
        <f aca="false">IF($E51="","",IF($M51,IF(AND($G51&gt;=EU$5,$G51&lt;EU$5+GanttPeriod),"◆",IF(AND($E51&gt;=EU$5,$E51&lt;EU$5+GanttPeriod),"◇","")),IF(AND(EU$5&lt;=$F51,EU$5+GanttPeriod-1&gt;=$E51),"━","")))</f>
        <v/>
      </c>
      <c r="EV51" s="69" t="str">
        <f aca="false">IF($E51="","",IF($M51,IF(AND($G51&gt;=EV$5,$G51&lt;EV$5+GanttPeriod),"◆",IF(AND($E51&gt;=EV$5,$E51&lt;EV$5+GanttPeriod),"◇","")),IF(AND(EV$5&lt;=$F51,EV$5+GanttPeriod-1&gt;=$E51),"━","")))</f>
        <v/>
      </c>
      <c r="EW51" s="69" t="str">
        <f aca="false">IF($E51="","",IF($M51,IF(AND($G51&gt;=EW$5,$G51&lt;EW$5+GanttPeriod),"◆",IF(AND($E51&gt;=EW$5,$E51&lt;EW$5+GanttPeriod),"◇","")),IF(AND(EW$5&lt;=$F51,EW$5+GanttPeriod-1&gt;=$E51),"━","")))</f>
        <v/>
      </c>
      <c r="EX51" s="69" t="str">
        <f aca="false">IF($E51="","",IF($M51,IF(AND($G51&gt;=EX$5,$G51&lt;EX$5+GanttPeriod),"◆",IF(AND($E51&gt;=EX$5,$E51&lt;EX$5+GanttPeriod),"◇","")),IF(AND(EX$5&lt;=$F51,EX$5+GanttPeriod-1&gt;=$E51),"━","")))</f>
        <v/>
      </c>
      <c r="EY51" s="69" t="str">
        <f aca="false">IF($E51="","",IF($M51,IF(AND($G51&gt;=EY$5,$G51&lt;EY$5+GanttPeriod),"◆",IF(AND($E51&gt;=EY$5,$E51&lt;EY$5+GanttPeriod),"◇","")),IF(AND(EY$5&lt;=$F51,EY$5+GanttPeriod-1&gt;=$E51),"━","")))</f>
        <v/>
      </c>
      <c r="EZ51" s="69" t="str">
        <f aca="false">IF($E51="","",IF($M51,IF(AND($G51&gt;=EZ$5,$G51&lt;EZ$5+GanttPeriod),"◆",IF(AND($E51&gt;=EZ$5,$E51&lt;EZ$5+GanttPeriod),"◇","")),IF(AND(EZ$5&lt;=$F51,EZ$5+GanttPeriod-1&gt;=$E51),"━","")))</f>
        <v/>
      </c>
      <c r="FA51" s="69" t="str">
        <f aca="false">IF($E51="","",IF($M51,IF(AND($G51&gt;=FA$5,$G51&lt;FA$5+GanttPeriod),"◆",IF(AND($E51&gt;=FA$5,$E51&lt;FA$5+GanttPeriod),"◇","")),IF(AND(FA$5&lt;=$F51,FA$5+GanttPeriod-1&gt;=$E51),"━","")))</f>
        <v/>
      </c>
      <c r="FB51" s="69" t="str">
        <f aca="false">IF($E51="","",IF($M51,IF(AND($G51&gt;=FB$5,$G51&lt;FB$5+GanttPeriod),"◆",IF(AND($E51&gt;=FB$5,$E51&lt;FB$5+GanttPeriod),"◇","")),IF(AND(FB$5&lt;=$F51,FB$5+GanttPeriod-1&gt;=$E51),"━","")))</f>
        <v/>
      </c>
      <c r="FC51" s="69" t="str">
        <f aca="false">IF($E51="","",IF($M51,IF(AND($G51&gt;=FC$5,$G51&lt;FC$5+GanttPeriod),"◆",IF(AND($E51&gt;=FC$5,$E51&lt;FC$5+GanttPeriod),"◇","")),IF(AND(FC$5&lt;=$F51,FC$5+GanttPeriod-1&gt;=$E51),"━","")))</f>
        <v/>
      </c>
      <c r="FD51" s="69" t="str">
        <f aca="false">IF($E51="","",IF($M51,IF(AND($G51&gt;=FD$5,$G51&lt;FD$5+GanttPeriod),"◆",IF(AND($E51&gt;=FD$5,$E51&lt;FD$5+GanttPeriod),"◇","")),IF(AND(FD$5&lt;=$F51,FD$5+GanttPeriod-1&gt;=$E51),"━","")))</f>
        <v/>
      </c>
      <c r="FE51" s="69" t="str">
        <f aca="false">IF($E51="","",IF($M51,IF(AND($G51&gt;=FE$5,$G51&lt;FE$5+GanttPeriod),"◆",IF(AND($E51&gt;=FE$5,$E51&lt;FE$5+GanttPeriod),"◇","")),IF(AND(FE$5&lt;=$F51,FE$5+GanttPeriod-1&gt;=$E51),"━","")))</f>
        <v/>
      </c>
      <c r="FF51" s="69" t="str">
        <f aca="false">IF($E51="","",IF($M51,IF(AND($G51&gt;=FF$5,$G51&lt;FF$5+GanttPeriod),"◆",IF(AND($E51&gt;=FF$5,$E51&lt;FF$5+GanttPeriod),"◇","")),IF(AND(FF$5&lt;=$F51,FF$5+GanttPeriod-1&gt;=$E51),"━","")))</f>
        <v/>
      </c>
      <c r="FG51" s="69" t="str">
        <f aca="false">IF($E51="","",IF($M51,IF(AND($G51&gt;=FG$5,$G51&lt;FG$5+GanttPeriod),"◆",IF(AND($E51&gt;=FG$5,$E51&lt;FG$5+GanttPeriod),"◇","")),IF(AND(FG$5&lt;=$F51,FG$5+GanttPeriod-1&gt;=$E51),"━","")))</f>
        <v/>
      </c>
      <c r="FH51" s="69" t="str">
        <f aca="false">IF($E51="","",IF($M51,IF(AND($G51&gt;=FH$5,$G51&lt;FH$5+GanttPeriod),"◆",IF(AND($E51&gt;=FH$5,$E51&lt;FH$5+GanttPeriod),"◇","")),IF(AND(FH$5&lt;=$F51,FH$5+GanttPeriod-1&gt;=$E51),"━","")))</f>
        <v/>
      </c>
      <c r="FI51" s="69" t="str">
        <f aca="false">IF($E51="","",IF($M51,IF(AND($G51&gt;=FI$5,$G51&lt;FI$5+GanttPeriod),"◆",IF(AND($E51&gt;=FI$5,$E51&lt;FI$5+GanttPeriod),"◇","")),IF(AND(FI$5&lt;=$F51,FI$5+GanttPeriod-1&gt;=$E51),"━","")))</f>
        <v/>
      </c>
      <c r="FJ51" s="69" t="str">
        <f aca="false">IF($E51="","",IF($M51,IF(AND($G51&gt;=FJ$5,$G51&lt;FJ$5+GanttPeriod),"◆",IF(AND($E51&gt;=FJ$5,$E51&lt;FJ$5+GanttPeriod),"◇","")),IF(AND(FJ$5&lt;=$F51,FJ$5+GanttPeriod-1&gt;=$E51),"━","")))</f>
        <v/>
      </c>
      <c r="FK51" s="69" t="str">
        <f aca="false">IF($E51="","",IF($M51,IF(AND($G51&gt;=FK$5,$G51&lt;FK$5+GanttPeriod),"◆",IF(AND($E51&gt;=FK$5,$E51&lt;FK$5+GanttPeriod),"◇","")),IF(AND(FK$5&lt;=$F51,FK$5+GanttPeriod-1&gt;=$E51),"━","")))</f>
        <v/>
      </c>
      <c r="FL51" s="69" t="str">
        <f aca="false">IF($E51="","",IF($M51,IF(AND($G51&gt;=FL$5,$G51&lt;FL$5+GanttPeriod),"◆",IF(AND($E51&gt;=FL$5,$E51&lt;FL$5+GanttPeriod),"◇","")),IF(AND(FL$5&lt;=$F51,FL$5+GanttPeriod-1&gt;=$E51),"━","")))</f>
        <v/>
      </c>
      <c r="FM51" s="69" t="str">
        <f aca="false">IF($E51="","",IF($M51,IF(AND($G51&gt;=FM$5,$G51&lt;FM$5+GanttPeriod),"◆",IF(AND($E51&gt;=FM$5,$E51&lt;FM$5+GanttPeriod),"◇","")),IF(AND(FM$5&lt;=$F51,FM$5+GanttPeriod-1&gt;=$E51),"━","")))</f>
        <v/>
      </c>
    </row>
    <row r="52" customFormat="false" ht="15" hidden="false" customHeight="false" outlineLevel="0" collapsed="false">
      <c r="A52" s="62" t="str">
        <f aca="false">IF(Tasks!$D52="","",Tasks!$A52)</f>
        <v/>
      </c>
      <c r="B52" s="62" t="str">
        <f aca="false">IF(Tasks!$D52="","",Tasks!$B52)</f>
        <v/>
      </c>
      <c r="C52" s="63" t="str">
        <f aca="false">IF(Tasks!$D52="","",REPT("    ",Tasks!$AE52-1)&amp;Tasks!$D52)</f>
        <v/>
      </c>
      <c r="D52" s="62" t="str">
        <f aca="false">IF(Tasks!$D52="","",IF(Tasks!$AI52,NETWORKDAYS.INTL(Tasks!$R52,Tasks!$S52,WorkWeek,Holidays),N(Tasks!$F52)))</f>
        <v/>
      </c>
      <c r="E52" s="64" t="str">
        <f aca="false">IF(Tasks!$D52="","",Tasks!$N52)</f>
        <v/>
      </c>
      <c r="F52" s="64" t="str">
        <f aca="false">IF(Tasks!$D52="","",Tasks!$O52)</f>
        <v/>
      </c>
      <c r="G52" s="64" t="str">
        <f aca="false">IF(Tasks!$D52="","",Tasks!$R52)</f>
        <v/>
      </c>
      <c r="H52" s="64" t="str">
        <f aca="false">IF(Tasks!$D52="","",Tasks!$S52)</f>
        <v/>
      </c>
      <c r="I52" s="65" t="str">
        <f aca="false">IF(Tasks!$D52="","",Tasks!$V52)</f>
        <v/>
      </c>
      <c r="J52" s="63" t="str">
        <f aca="false">IF(Tasks!$D52="","",Tasks!$X52&amp;"")</f>
        <v/>
      </c>
      <c r="K52" s="66" t="str">
        <f aca="false">IF(Tasks!$D52="","",Tasks!$W52)</f>
        <v/>
      </c>
      <c r="L52" s="67" t="b">
        <f aca="false">IF(Tasks!$D52="",FALSE(),Tasks!$AI52)</f>
        <v>0</v>
      </c>
      <c r="M52" s="67" t="b">
        <f aca="false">AND(Tasks!$AJ52=1,N(Tasks!$F52)=0)</f>
        <v>0</v>
      </c>
      <c r="N52" s="68" t="n">
        <f aca="false">IF(AND(Tasks!$AJ52=1,NOT($M52),N($I52)&gt;0),$G52,0)</f>
        <v>0</v>
      </c>
      <c r="O52" s="68" t="n">
        <f aca="false">IF($N52=0,0,IF($I52&gt;=1,$H52,MAX($N52,$G52+ROUND(($H52-$G52+1)*$I52,0)-1)))</f>
        <v>0</v>
      </c>
      <c r="P52" s="68" t="n">
        <f aca="false">IF(OR(Tasks!$AJ52&lt;&gt;1,$M52,N($I52)&gt;=1),0,IF($O52&gt;0,$O52+1,$G52))</f>
        <v>0</v>
      </c>
      <c r="Q52" s="68" t="n">
        <f aca="false">IF($P52=0,0,$H52)</f>
        <v>0</v>
      </c>
      <c r="R52" s="67" t="b">
        <f aca="false">AND(Tasks!$D52&lt;&gt;"",N(Tasks!$T52)&gt;0)</f>
        <v>0</v>
      </c>
      <c r="T52" s="69" t="str">
        <f aca="false">IF($E52="","",IF($M52,IF(AND($G52&gt;=T$5,$G52&lt;T$5+GanttPeriod),"◆",IF(AND($E52&gt;=T$5,$E52&lt;T$5+GanttPeriod),"◇","")),IF(AND(T$5&lt;=$F52,T$5+GanttPeriod-1&gt;=$E52),"━","")))</f>
        <v/>
      </c>
      <c r="U52" s="69" t="str">
        <f aca="false">IF($E52="","",IF($M52,IF(AND($G52&gt;=U$5,$G52&lt;U$5+GanttPeriod),"◆",IF(AND($E52&gt;=U$5,$E52&lt;U$5+GanttPeriod),"◇","")),IF(AND(U$5&lt;=$F52,U$5+GanttPeriod-1&gt;=$E52),"━","")))</f>
        <v/>
      </c>
      <c r="V52" s="69" t="str">
        <f aca="false">IF($E52="","",IF($M52,IF(AND($G52&gt;=V$5,$G52&lt;V$5+GanttPeriod),"◆",IF(AND($E52&gt;=V$5,$E52&lt;V$5+GanttPeriod),"◇","")),IF(AND(V$5&lt;=$F52,V$5+GanttPeriod-1&gt;=$E52),"━","")))</f>
        <v/>
      </c>
      <c r="W52" s="69" t="str">
        <f aca="false">IF($E52="","",IF($M52,IF(AND($G52&gt;=W$5,$G52&lt;W$5+GanttPeriod),"◆",IF(AND($E52&gt;=W$5,$E52&lt;W$5+GanttPeriod),"◇","")),IF(AND(W$5&lt;=$F52,W$5+GanttPeriod-1&gt;=$E52),"━","")))</f>
        <v/>
      </c>
      <c r="X52" s="69" t="str">
        <f aca="false">IF($E52="","",IF($M52,IF(AND($G52&gt;=X$5,$G52&lt;X$5+GanttPeriod),"◆",IF(AND($E52&gt;=X$5,$E52&lt;X$5+GanttPeriod),"◇","")),IF(AND(X$5&lt;=$F52,X$5+GanttPeriod-1&gt;=$E52),"━","")))</f>
        <v/>
      </c>
      <c r="Y52" s="69" t="str">
        <f aca="false">IF($E52="","",IF($M52,IF(AND($G52&gt;=Y$5,$G52&lt;Y$5+GanttPeriod),"◆",IF(AND($E52&gt;=Y$5,$E52&lt;Y$5+GanttPeriod),"◇","")),IF(AND(Y$5&lt;=$F52,Y$5+GanttPeriod-1&gt;=$E52),"━","")))</f>
        <v/>
      </c>
      <c r="Z52" s="69" t="str">
        <f aca="false">IF($E52="","",IF($M52,IF(AND($G52&gt;=Z$5,$G52&lt;Z$5+GanttPeriod),"◆",IF(AND($E52&gt;=Z$5,$E52&lt;Z$5+GanttPeriod),"◇","")),IF(AND(Z$5&lt;=$F52,Z$5+GanttPeriod-1&gt;=$E52),"━","")))</f>
        <v/>
      </c>
      <c r="AA52" s="69" t="str">
        <f aca="false">IF($E52="","",IF($M52,IF(AND($G52&gt;=AA$5,$G52&lt;AA$5+GanttPeriod),"◆",IF(AND($E52&gt;=AA$5,$E52&lt;AA$5+GanttPeriod),"◇","")),IF(AND(AA$5&lt;=$F52,AA$5+GanttPeriod-1&gt;=$E52),"━","")))</f>
        <v/>
      </c>
      <c r="AB52" s="69" t="str">
        <f aca="false">IF($E52="","",IF($M52,IF(AND($G52&gt;=AB$5,$G52&lt;AB$5+GanttPeriod),"◆",IF(AND($E52&gt;=AB$5,$E52&lt;AB$5+GanttPeriod),"◇","")),IF(AND(AB$5&lt;=$F52,AB$5+GanttPeriod-1&gt;=$E52),"━","")))</f>
        <v/>
      </c>
      <c r="AC52" s="69" t="str">
        <f aca="false">IF($E52="","",IF($M52,IF(AND($G52&gt;=AC$5,$G52&lt;AC$5+GanttPeriod),"◆",IF(AND($E52&gt;=AC$5,$E52&lt;AC$5+GanttPeriod),"◇","")),IF(AND(AC$5&lt;=$F52,AC$5+GanttPeriod-1&gt;=$E52),"━","")))</f>
        <v/>
      </c>
      <c r="AD52" s="69" t="str">
        <f aca="false">IF($E52="","",IF($M52,IF(AND($G52&gt;=AD$5,$G52&lt;AD$5+GanttPeriod),"◆",IF(AND($E52&gt;=AD$5,$E52&lt;AD$5+GanttPeriod),"◇","")),IF(AND(AD$5&lt;=$F52,AD$5+GanttPeriod-1&gt;=$E52),"━","")))</f>
        <v/>
      </c>
      <c r="AE52" s="69" t="str">
        <f aca="false">IF($E52="","",IF($M52,IF(AND($G52&gt;=AE$5,$G52&lt;AE$5+GanttPeriod),"◆",IF(AND($E52&gt;=AE$5,$E52&lt;AE$5+GanttPeriod),"◇","")),IF(AND(AE$5&lt;=$F52,AE$5+GanttPeriod-1&gt;=$E52),"━","")))</f>
        <v/>
      </c>
      <c r="AF52" s="69" t="str">
        <f aca="false">IF($E52="","",IF($M52,IF(AND($G52&gt;=AF$5,$G52&lt;AF$5+GanttPeriod),"◆",IF(AND($E52&gt;=AF$5,$E52&lt;AF$5+GanttPeriod),"◇","")),IF(AND(AF$5&lt;=$F52,AF$5+GanttPeriod-1&gt;=$E52),"━","")))</f>
        <v/>
      </c>
      <c r="AG52" s="69" t="str">
        <f aca="false">IF($E52="","",IF($M52,IF(AND($G52&gt;=AG$5,$G52&lt;AG$5+GanttPeriod),"◆",IF(AND($E52&gt;=AG$5,$E52&lt;AG$5+GanttPeriod),"◇","")),IF(AND(AG$5&lt;=$F52,AG$5+GanttPeriod-1&gt;=$E52),"━","")))</f>
        <v/>
      </c>
      <c r="AH52" s="69" t="str">
        <f aca="false">IF($E52="","",IF($M52,IF(AND($G52&gt;=AH$5,$G52&lt;AH$5+GanttPeriod),"◆",IF(AND($E52&gt;=AH$5,$E52&lt;AH$5+GanttPeriod),"◇","")),IF(AND(AH$5&lt;=$F52,AH$5+GanttPeriod-1&gt;=$E52),"━","")))</f>
        <v/>
      </c>
      <c r="AI52" s="69" t="str">
        <f aca="false">IF($E52="","",IF($M52,IF(AND($G52&gt;=AI$5,$G52&lt;AI$5+GanttPeriod),"◆",IF(AND($E52&gt;=AI$5,$E52&lt;AI$5+GanttPeriod),"◇","")),IF(AND(AI$5&lt;=$F52,AI$5+GanttPeriod-1&gt;=$E52),"━","")))</f>
        <v/>
      </c>
      <c r="AJ52" s="69" t="str">
        <f aca="false">IF($E52="","",IF($M52,IF(AND($G52&gt;=AJ$5,$G52&lt;AJ$5+GanttPeriod),"◆",IF(AND($E52&gt;=AJ$5,$E52&lt;AJ$5+GanttPeriod),"◇","")),IF(AND(AJ$5&lt;=$F52,AJ$5+GanttPeriod-1&gt;=$E52),"━","")))</f>
        <v/>
      </c>
      <c r="AK52" s="69" t="str">
        <f aca="false">IF($E52="","",IF($M52,IF(AND($G52&gt;=AK$5,$G52&lt;AK$5+GanttPeriod),"◆",IF(AND($E52&gt;=AK$5,$E52&lt;AK$5+GanttPeriod),"◇","")),IF(AND(AK$5&lt;=$F52,AK$5+GanttPeriod-1&gt;=$E52),"━","")))</f>
        <v/>
      </c>
      <c r="AL52" s="69" t="str">
        <f aca="false">IF($E52="","",IF($M52,IF(AND($G52&gt;=AL$5,$G52&lt;AL$5+GanttPeriod),"◆",IF(AND($E52&gt;=AL$5,$E52&lt;AL$5+GanttPeriod),"◇","")),IF(AND(AL$5&lt;=$F52,AL$5+GanttPeriod-1&gt;=$E52),"━","")))</f>
        <v/>
      </c>
      <c r="AM52" s="69" t="str">
        <f aca="false">IF($E52="","",IF($M52,IF(AND($G52&gt;=AM$5,$G52&lt;AM$5+GanttPeriod),"◆",IF(AND($E52&gt;=AM$5,$E52&lt;AM$5+GanttPeriod),"◇","")),IF(AND(AM$5&lt;=$F52,AM$5+GanttPeriod-1&gt;=$E52),"━","")))</f>
        <v/>
      </c>
      <c r="AN52" s="69" t="str">
        <f aca="false">IF($E52="","",IF($M52,IF(AND($G52&gt;=AN$5,$G52&lt;AN$5+GanttPeriod),"◆",IF(AND($E52&gt;=AN$5,$E52&lt;AN$5+GanttPeriod),"◇","")),IF(AND(AN$5&lt;=$F52,AN$5+GanttPeriod-1&gt;=$E52),"━","")))</f>
        <v/>
      </c>
      <c r="AO52" s="69" t="str">
        <f aca="false">IF($E52="","",IF($M52,IF(AND($G52&gt;=AO$5,$G52&lt;AO$5+GanttPeriod),"◆",IF(AND($E52&gt;=AO$5,$E52&lt;AO$5+GanttPeriod),"◇","")),IF(AND(AO$5&lt;=$F52,AO$5+GanttPeriod-1&gt;=$E52),"━","")))</f>
        <v/>
      </c>
      <c r="AP52" s="69" t="str">
        <f aca="false">IF($E52="","",IF($M52,IF(AND($G52&gt;=AP$5,$G52&lt;AP$5+GanttPeriod),"◆",IF(AND($E52&gt;=AP$5,$E52&lt;AP$5+GanttPeriod),"◇","")),IF(AND(AP$5&lt;=$F52,AP$5+GanttPeriod-1&gt;=$E52),"━","")))</f>
        <v/>
      </c>
      <c r="AQ52" s="69" t="str">
        <f aca="false">IF($E52="","",IF($M52,IF(AND($G52&gt;=AQ$5,$G52&lt;AQ$5+GanttPeriod),"◆",IF(AND($E52&gt;=AQ$5,$E52&lt;AQ$5+GanttPeriod),"◇","")),IF(AND(AQ$5&lt;=$F52,AQ$5+GanttPeriod-1&gt;=$E52),"━","")))</f>
        <v/>
      </c>
      <c r="AR52" s="69" t="str">
        <f aca="false">IF($E52="","",IF($M52,IF(AND($G52&gt;=AR$5,$G52&lt;AR$5+GanttPeriod),"◆",IF(AND($E52&gt;=AR$5,$E52&lt;AR$5+GanttPeriod),"◇","")),IF(AND(AR$5&lt;=$F52,AR$5+GanttPeriod-1&gt;=$E52),"━","")))</f>
        <v/>
      </c>
      <c r="AS52" s="69" t="str">
        <f aca="false">IF($E52="","",IF($M52,IF(AND($G52&gt;=AS$5,$G52&lt;AS$5+GanttPeriod),"◆",IF(AND($E52&gt;=AS$5,$E52&lt;AS$5+GanttPeriod),"◇","")),IF(AND(AS$5&lt;=$F52,AS$5+GanttPeriod-1&gt;=$E52),"━","")))</f>
        <v/>
      </c>
      <c r="AT52" s="69" t="str">
        <f aca="false">IF($E52="","",IF($M52,IF(AND($G52&gt;=AT$5,$G52&lt;AT$5+GanttPeriod),"◆",IF(AND($E52&gt;=AT$5,$E52&lt;AT$5+GanttPeriod),"◇","")),IF(AND(AT$5&lt;=$F52,AT$5+GanttPeriod-1&gt;=$E52),"━","")))</f>
        <v/>
      </c>
      <c r="AU52" s="69" t="str">
        <f aca="false">IF($E52="","",IF($M52,IF(AND($G52&gt;=AU$5,$G52&lt;AU$5+GanttPeriod),"◆",IF(AND($E52&gt;=AU$5,$E52&lt;AU$5+GanttPeriod),"◇","")),IF(AND(AU$5&lt;=$F52,AU$5+GanttPeriod-1&gt;=$E52),"━","")))</f>
        <v/>
      </c>
      <c r="AV52" s="69" t="str">
        <f aca="false">IF($E52="","",IF($M52,IF(AND($G52&gt;=AV$5,$G52&lt;AV$5+GanttPeriod),"◆",IF(AND($E52&gt;=AV$5,$E52&lt;AV$5+GanttPeriod),"◇","")),IF(AND(AV$5&lt;=$F52,AV$5+GanttPeriod-1&gt;=$E52),"━","")))</f>
        <v/>
      </c>
      <c r="AW52" s="69" t="str">
        <f aca="false">IF($E52="","",IF($M52,IF(AND($G52&gt;=AW$5,$G52&lt;AW$5+GanttPeriod),"◆",IF(AND($E52&gt;=AW$5,$E52&lt;AW$5+GanttPeriod),"◇","")),IF(AND(AW$5&lt;=$F52,AW$5+GanttPeriod-1&gt;=$E52),"━","")))</f>
        <v/>
      </c>
      <c r="AX52" s="69" t="str">
        <f aca="false">IF($E52="","",IF($M52,IF(AND($G52&gt;=AX$5,$G52&lt;AX$5+GanttPeriod),"◆",IF(AND($E52&gt;=AX$5,$E52&lt;AX$5+GanttPeriod),"◇","")),IF(AND(AX$5&lt;=$F52,AX$5+GanttPeriod-1&gt;=$E52),"━","")))</f>
        <v/>
      </c>
      <c r="AY52" s="69" t="str">
        <f aca="false">IF($E52="","",IF($M52,IF(AND($G52&gt;=AY$5,$G52&lt;AY$5+GanttPeriod),"◆",IF(AND($E52&gt;=AY$5,$E52&lt;AY$5+GanttPeriod),"◇","")),IF(AND(AY$5&lt;=$F52,AY$5+GanttPeriod-1&gt;=$E52),"━","")))</f>
        <v/>
      </c>
      <c r="AZ52" s="69" t="str">
        <f aca="false">IF($E52="","",IF($M52,IF(AND($G52&gt;=AZ$5,$G52&lt;AZ$5+GanttPeriod),"◆",IF(AND($E52&gt;=AZ$5,$E52&lt;AZ$5+GanttPeriod),"◇","")),IF(AND(AZ$5&lt;=$F52,AZ$5+GanttPeriod-1&gt;=$E52),"━","")))</f>
        <v/>
      </c>
      <c r="BA52" s="69" t="str">
        <f aca="false">IF($E52="","",IF($M52,IF(AND($G52&gt;=BA$5,$G52&lt;BA$5+GanttPeriod),"◆",IF(AND($E52&gt;=BA$5,$E52&lt;BA$5+GanttPeriod),"◇","")),IF(AND(BA$5&lt;=$F52,BA$5+GanttPeriod-1&gt;=$E52),"━","")))</f>
        <v/>
      </c>
      <c r="BB52" s="69" t="str">
        <f aca="false">IF($E52="","",IF($M52,IF(AND($G52&gt;=BB$5,$G52&lt;BB$5+GanttPeriod),"◆",IF(AND($E52&gt;=BB$5,$E52&lt;BB$5+GanttPeriod),"◇","")),IF(AND(BB$5&lt;=$F52,BB$5+GanttPeriod-1&gt;=$E52),"━","")))</f>
        <v/>
      </c>
      <c r="BC52" s="69" t="str">
        <f aca="false">IF($E52="","",IF($M52,IF(AND($G52&gt;=BC$5,$G52&lt;BC$5+GanttPeriod),"◆",IF(AND($E52&gt;=BC$5,$E52&lt;BC$5+GanttPeriod),"◇","")),IF(AND(BC$5&lt;=$F52,BC$5+GanttPeriod-1&gt;=$E52),"━","")))</f>
        <v/>
      </c>
      <c r="BD52" s="69" t="str">
        <f aca="false">IF($E52="","",IF($M52,IF(AND($G52&gt;=BD$5,$G52&lt;BD$5+GanttPeriod),"◆",IF(AND($E52&gt;=BD$5,$E52&lt;BD$5+GanttPeriod),"◇","")),IF(AND(BD$5&lt;=$F52,BD$5+GanttPeriod-1&gt;=$E52),"━","")))</f>
        <v/>
      </c>
      <c r="BE52" s="69" t="str">
        <f aca="false">IF($E52="","",IF($M52,IF(AND($G52&gt;=BE$5,$G52&lt;BE$5+GanttPeriod),"◆",IF(AND($E52&gt;=BE$5,$E52&lt;BE$5+GanttPeriod),"◇","")),IF(AND(BE$5&lt;=$F52,BE$5+GanttPeriod-1&gt;=$E52),"━","")))</f>
        <v/>
      </c>
      <c r="BF52" s="69" t="str">
        <f aca="false">IF($E52="","",IF($M52,IF(AND($G52&gt;=BF$5,$G52&lt;BF$5+GanttPeriod),"◆",IF(AND($E52&gt;=BF$5,$E52&lt;BF$5+GanttPeriod),"◇","")),IF(AND(BF$5&lt;=$F52,BF$5+GanttPeriod-1&gt;=$E52),"━","")))</f>
        <v/>
      </c>
      <c r="BG52" s="69" t="str">
        <f aca="false">IF($E52="","",IF($M52,IF(AND($G52&gt;=BG$5,$G52&lt;BG$5+GanttPeriod),"◆",IF(AND($E52&gt;=BG$5,$E52&lt;BG$5+GanttPeriod),"◇","")),IF(AND(BG$5&lt;=$F52,BG$5+GanttPeriod-1&gt;=$E52),"━","")))</f>
        <v/>
      </c>
      <c r="BH52" s="69" t="str">
        <f aca="false">IF($E52="","",IF($M52,IF(AND($G52&gt;=BH$5,$G52&lt;BH$5+GanttPeriod),"◆",IF(AND($E52&gt;=BH$5,$E52&lt;BH$5+GanttPeriod),"◇","")),IF(AND(BH$5&lt;=$F52,BH$5+GanttPeriod-1&gt;=$E52),"━","")))</f>
        <v/>
      </c>
      <c r="BI52" s="69" t="str">
        <f aca="false">IF($E52="","",IF($M52,IF(AND($G52&gt;=BI$5,$G52&lt;BI$5+GanttPeriod),"◆",IF(AND($E52&gt;=BI$5,$E52&lt;BI$5+GanttPeriod),"◇","")),IF(AND(BI$5&lt;=$F52,BI$5+GanttPeriod-1&gt;=$E52),"━","")))</f>
        <v/>
      </c>
      <c r="BJ52" s="69" t="str">
        <f aca="false">IF($E52="","",IF($M52,IF(AND($G52&gt;=BJ$5,$G52&lt;BJ$5+GanttPeriod),"◆",IF(AND($E52&gt;=BJ$5,$E52&lt;BJ$5+GanttPeriod),"◇","")),IF(AND(BJ$5&lt;=$F52,BJ$5+GanttPeriod-1&gt;=$E52),"━","")))</f>
        <v/>
      </c>
      <c r="BK52" s="69" t="str">
        <f aca="false">IF($E52="","",IF($M52,IF(AND($G52&gt;=BK$5,$G52&lt;BK$5+GanttPeriod),"◆",IF(AND($E52&gt;=BK$5,$E52&lt;BK$5+GanttPeriod),"◇","")),IF(AND(BK$5&lt;=$F52,BK$5+GanttPeriod-1&gt;=$E52),"━","")))</f>
        <v/>
      </c>
      <c r="BL52" s="69" t="str">
        <f aca="false">IF($E52="","",IF($M52,IF(AND($G52&gt;=BL$5,$G52&lt;BL$5+GanttPeriod),"◆",IF(AND($E52&gt;=BL$5,$E52&lt;BL$5+GanttPeriod),"◇","")),IF(AND(BL$5&lt;=$F52,BL$5+GanttPeriod-1&gt;=$E52),"━","")))</f>
        <v/>
      </c>
      <c r="BM52" s="69" t="str">
        <f aca="false">IF($E52="","",IF($M52,IF(AND($G52&gt;=BM$5,$G52&lt;BM$5+GanttPeriod),"◆",IF(AND($E52&gt;=BM$5,$E52&lt;BM$5+GanttPeriod),"◇","")),IF(AND(BM$5&lt;=$F52,BM$5+GanttPeriod-1&gt;=$E52),"━","")))</f>
        <v/>
      </c>
      <c r="BN52" s="69" t="str">
        <f aca="false">IF($E52="","",IF($M52,IF(AND($G52&gt;=BN$5,$G52&lt;BN$5+GanttPeriod),"◆",IF(AND($E52&gt;=BN$5,$E52&lt;BN$5+GanttPeriod),"◇","")),IF(AND(BN$5&lt;=$F52,BN$5+GanttPeriod-1&gt;=$E52),"━","")))</f>
        <v/>
      </c>
      <c r="BO52" s="69" t="str">
        <f aca="false">IF($E52="","",IF($M52,IF(AND($G52&gt;=BO$5,$G52&lt;BO$5+GanttPeriod),"◆",IF(AND($E52&gt;=BO$5,$E52&lt;BO$5+GanttPeriod),"◇","")),IF(AND(BO$5&lt;=$F52,BO$5+GanttPeriod-1&gt;=$E52),"━","")))</f>
        <v/>
      </c>
      <c r="BP52" s="69" t="str">
        <f aca="false">IF($E52="","",IF($M52,IF(AND($G52&gt;=BP$5,$G52&lt;BP$5+GanttPeriod),"◆",IF(AND($E52&gt;=BP$5,$E52&lt;BP$5+GanttPeriod),"◇","")),IF(AND(BP$5&lt;=$F52,BP$5+GanttPeriod-1&gt;=$E52),"━","")))</f>
        <v/>
      </c>
      <c r="BQ52" s="69" t="str">
        <f aca="false">IF($E52="","",IF($M52,IF(AND($G52&gt;=BQ$5,$G52&lt;BQ$5+GanttPeriod),"◆",IF(AND($E52&gt;=BQ$5,$E52&lt;BQ$5+GanttPeriod),"◇","")),IF(AND(BQ$5&lt;=$F52,BQ$5+GanttPeriod-1&gt;=$E52),"━","")))</f>
        <v/>
      </c>
      <c r="BR52" s="69" t="str">
        <f aca="false">IF($E52="","",IF($M52,IF(AND($G52&gt;=BR$5,$G52&lt;BR$5+GanttPeriod),"◆",IF(AND($E52&gt;=BR$5,$E52&lt;BR$5+GanttPeriod),"◇","")),IF(AND(BR$5&lt;=$F52,BR$5+GanttPeriod-1&gt;=$E52),"━","")))</f>
        <v/>
      </c>
      <c r="BS52" s="69" t="str">
        <f aca="false">IF($E52="","",IF($M52,IF(AND($G52&gt;=BS$5,$G52&lt;BS$5+GanttPeriod),"◆",IF(AND($E52&gt;=BS$5,$E52&lt;BS$5+GanttPeriod),"◇","")),IF(AND(BS$5&lt;=$F52,BS$5+GanttPeriod-1&gt;=$E52),"━","")))</f>
        <v/>
      </c>
      <c r="BT52" s="69" t="str">
        <f aca="false">IF($E52="","",IF($M52,IF(AND($G52&gt;=BT$5,$G52&lt;BT$5+GanttPeriod),"◆",IF(AND($E52&gt;=BT$5,$E52&lt;BT$5+GanttPeriod),"◇","")),IF(AND(BT$5&lt;=$F52,BT$5+GanttPeriod-1&gt;=$E52),"━","")))</f>
        <v/>
      </c>
      <c r="BU52" s="69" t="str">
        <f aca="false">IF($E52="","",IF($M52,IF(AND($G52&gt;=BU$5,$G52&lt;BU$5+GanttPeriod),"◆",IF(AND($E52&gt;=BU$5,$E52&lt;BU$5+GanttPeriod),"◇","")),IF(AND(BU$5&lt;=$F52,BU$5+GanttPeriod-1&gt;=$E52),"━","")))</f>
        <v/>
      </c>
      <c r="BV52" s="69" t="str">
        <f aca="false">IF($E52="","",IF($M52,IF(AND($G52&gt;=BV$5,$G52&lt;BV$5+GanttPeriod),"◆",IF(AND($E52&gt;=BV$5,$E52&lt;BV$5+GanttPeriod),"◇","")),IF(AND(BV$5&lt;=$F52,BV$5+GanttPeriod-1&gt;=$E52),"━","")))</f>
        <v/>
      </c>
      <c r="BW52" s="69" t="str">
        <f aca="false">IF($E52="","",IF($M52,IF(AND($G52&gt;=BW$5,$G52&lt;BW$5+GanttPeriod),"◆",IF(AND($E52&gt;=BW$5,$E52&lt;BW$5+GanttPeriod),"◇","")),IF(AND(BW$5&lt;=$F52,BW$5+GanttPeriod-1&gt;=$E52),"━","")))</f>
        <v/>
      </c>
      <c r="BX52" s="69" t="str">
        <f aca="false">IF($E52="","",IF($M52,IF(AND($G52&gt;=BX$5,$G52&lt;BX$5+GanttPeriod),"◆",IF(AND($E52&gt;=BX$5,$E52&lt;BX$5+GanttPeriod),"◇","")),IF(AND(BX$5&lt;=$F52,BX$5+GanttPeriod-1&gt;=$E52),"━","")))</f>
        <v/>
      </c>
      <c r="BY52" s="69" t="str">
        <f aca="false">IF($E52="","",IF($M52,IF(AND($G52&gt;=BY$5,$G52&lt;BY$5+GanttPeriod),"◆",IF(AND($E52&gt;=BY$5,$E52&lt;BY$5+GanttPeriod),"◇","")),IF(AND(BY$5&lt;=$F52,BY$5+GanttPeriod-1&gt;=$E52),"━","")))</f>
        <v/>
      </c>
      <c r="BZ52" s="69" t="str">
        <f aca="false">IF($E52="","",IF($M52,IF(AND($G52&gt;=BZ$5,$G52&lt;BZ$5+GanttPeriod),"◆",IF(AND($E52&gt;=BZ$5,$E52&lt;BZ$5+GanttPeriod),"◇","")),IF(AND(BZ$5&lt;=$F52,BZ$5+GanttPeriod-1&gt;=$E52),"━","")))</f>
        <v/>
      </c>
      <c r="CA52" s="69" t="str">
        <f aca="false">IF($E52="","",IF($M52,IF(AND($G52&gt;=CA$5,$G52&lt;CA$5+GanttPeriod),"◆",IF(AND($E52&gt;=CA$5,$E52&lt;CA$5+GanttPeriod),"◇","")),IF(AND(CA$5&lt;=$F52,CA$5+GanttPeriod-1&gt;=$E52),"━","")))</f>
        <v/>
      </c>
      <c r="CB52" s="69" t="str">
        <f aca="false">IF($E52="","",IF($M52,IF(AND($G52&gt;=CB$5,$G52&lt;CB$5+GanttPeriod),"◆",IF(AND($E52&gt;=CB$5,$E52&lt;CB$5+GanttPeriod),"◇","")),IF(AND(CB$5&lt;=$F52,CB$5+GanttPeriod-1&gt;=$E52),"━","")))</f>
        <v/>
      </c>
      <c r="CC52" s="69" t="str">
        <f aca="false">IF($E52="","",IF($M52,IF(AND($G52&gt;=CC$5,$G52&lt;CC$5+GanttPeriod),"◆",IF(AND($E52&gt;=CC$5,$E52&lt;CC$5+GanttPeriod),"◇","")),IF(AND(CC$5&lt;=$F52,CC$5+GanttPeriod-1&gt;=$E52),"━","")))</f>
        <v/>
      </c>
      <c r="CD52" s="69" t="str">
        <f aca="false">IF($E52="","",IF($M52,IF(AND($G52&gt;=CD$5,$G52&lt;CD$5+GanttPeriod),"◆",IF(AND($E52&gt;=CD$5,$E52&lt;CD$5+GanttPeriod),"◇","")),IF(AND(CD$5&lt;=$F52,CD$5+GanttPeriod-1&gt;=$E52),"━","")))</f>
        <v/>
      </c>
      <c r="CE52" s="69" t="str">
        <f aca="false">IF($E52="","",IF($M52,IF(AND($G52&gt;=CE$5,$G52&lt;CE$5+GanttPeriod),"◆",IF(AND($E52&gt;=CE$5,$E52&lt;CE$5+GanttPeriod),"◇","")),IF(AND(CE$5&lt;=$F52,CE$5+GanttPeriod-1&gt;=$E52),"━","")))</f>
        <v/>
      </c>
      <c r="CF52" s="69" t="str">
        <f aca="false">IF($E52="","",IF($M52,IF(AND($G52&gt;=CF$5,$G52&lt;CF$5+GanttPeriod),"◆",IF(AND($E52&gt;=CF$5,$E52&lt;CF$5+GanttPeriod),"◇","")),IF(AND(CF$5&lt;=$F52,CF$5+GanttPeriod-1&gt;=$E52),"━","")))</f>
        <v/>
      </c>
      <c r="CG52" s="69" t="str">
        <f aca="false">IF($E52="","",IF($M52,IF(AND($G52&gt;=CG$5,$G52&lt;CG$5+GanttPeriod),"◆",IF(AND($E52&gt;=CG$5,$E52&lt;CG$5+GanttPeriod),"◇","")),IF(AND(CG$5&lt;=$F52,CG$5+GanttPeriod-1&gt;=$E52),"━","")))</f>
        <v/>
      </c>
      <c r="CH52" s="69" t="str">
        <f aca="false">IF($E52="","",IF($M52,IF(AND($G52&gt;=CH$5,$G52&lt;CH$5+GanttPeriod),"◆",IF(AND($E52&gt;=CH$5,$E52&lt;CH$5+GanttPeriod),"◇","")),IF(AND(CH$5&lt;=$F52,CH$5+GanttPeriod-1&gt;=$E52),"━","")))</f>
        <v/>
      </c>
      <c r="CI52" s="69" t="str">
        <f aca="false">IF($E52="","",IF($M52,IF(AND($G52&gt;=CI$5,$G52&lt;CI$5+GanttPeriod),"◆",IF(AND($E52&gt;=CI$5,$E52&lt;CI$5+GanttPeriod),"◇","")),IF(AND(CI$5&lt;=$F52,CI$5+GanttPeriod-1&gt;=$E52),"━","")))</f>
        <v/>
      </c>
      <c r="CJ52" s="69" t="str">
        <f aca="false">IF($E52="","",IF($M52,IF(AND($G52&gt;=CJ$5,$G52&lt;CJ$5+GanttPeriod),"◆",IF(AND($E52&gt;=CJ$5,$E52&lt;CJ$5+GanttPeriod),"◇","")),IF(AND(CJ$5&lt;=$F52,CJ$5+GanttPeriod-1&gt;=$E52),"━","")))</f>
        <v/>
      </c>
      <c r="CK52" s="69" t="str">
        <f aca="false">IF($E52="","",IF($M52,IF(AND($G52&gt;=CK$5,$G52&lt;CK$5+GanttPeriod),"◆",IF(AND($E52&gt;=CK$5,$E52&lt;CK$5+GanttPeriod),"◇","")),IF(AND(CK$5&lt;=$F52,CK$5+GanttPeriod-1&gt;=$E52),"━","")))</f>
        <v/>
      </c>
      <c r="CL52" s="69" t="str">
        <f aca="false">IF($E52="","",IF($M52,IF(AND($G52&gt;=CL$5,$G52&lt;CL$5+GanttPeriod),"◆",IF(AND($E52&gt;=CL$5,$E52&lt;CL$5+GanttPeriod),"◇","")),IF(AND(CL$5&lt;=$F52,CL$5+GanttPeriod-1&gt;=$E52),"━","")))</f>
        <v/>
      </c>
      <c r="CM52" s="69" t="str">
        <f aca="false">IF($E52="","",IF($M52,IF(AND($G52&gt;=CM$5,$G52&lt;CM$5+GanttPeriod),"◆",IF(AND($E52&gt;=CM$5,$E52&lt;CM$5+GanttPeriod),"◇","")),IF(AND(CM$5&lt;=$F52,CM$5+GanttPeriod-1&gt;=$E52),"━","")))</f>
        <v/>
      </c>
      <c r="CN52" s="69" t="str">
        <f aca="false">IF($E52="","",IF($M52,IF(AND($G52&gt;=CN$5,$G52&lt;CN$5+GanttPeriod),"◆",IF(AND($E52&gt;=CN$5,$E52&lt;CN$5+GanttPeriod),"◇","")),IF(AND(CN$5&lt;=$F52,CN$5+GanttPeriod-1&gt;=$E52),"━","")))</f>
        <v/>
      </c>
      <c r="CO52" s="69" t="str">
        <f aca="false">IF($E52="","",IF($M52,IF(AND($G52&gt;=CO$5,$G52&lt;CO$5+GanttPeriod),"◆",IF(AND($E52&gt;=CO$5,$E52&lt;CO$5+GanttPeriod),"◇","")),IF(AND(CO$5&lt;=$F52,CO$5+GanttPeriod-1&gt;=$E52),"━","")))</f>
        <v/>
      </c>
      <c r="CP52" s="69" t="str">
        <f aca="false">IF($E52="","",IF($M52,IF(AND($G52&gt;=CP$5,$G52&lt;CP$5+GanttPeriod),"◆",IF(AND($E52&gt;=CP$5,$E52&lt;CP$5+GanttPeriod),"◇","")),IF(AND(CP$5&lt;=$F52,CP$5+GanttPeriod-1&gt;=$E52),"━","")))</f>
        <v/>
      </c>
      <c r="CQ52" s="69" t="str">
        <f aca="false">IF($E52="","",IF($M52,IF(AND($G52&gt;=CQ$5,$G52&lt;CQ$5+GanttPeriod),"◆",IF(AND($E52&gt;=CQ$5,$E52&lt;CQ$5+GanttPeriod),"◇","")),IF(AND(CQ$5&lt;=$F52,CQ$5+GanttPeriod-1&gt;=$E52),"━","")))</f>
        <v/>
      </c>
      <c r="CR52" s="69" t="str">
        <f aca="false">IF($E52="","",IF($M52,IF(AND($G52&gt;=CR$5,$G52&lt;CR$5+GanttPeriod),"◆",IF(AND($E52&gt;=CR$5,$E52&lt;CR$5+GanttPeriod),"◇","")),IF(AND(CR$5&lt;=$F52,CR$5+GanttPeriod-1&gt;=$E52),"━","")))</f>
        <v/>
      </c>
      <c r="CS52" s="69" t="str">
        <f aca="false">IF($E52="","",IF($M52,IF(AND($G52&gt;=CS$5,$G52&lt;CS$5+GanttPeriod),"◆",IF(AND($E52&gt;=CS$5,$E52&lt;CS$5+GanttPeriod),"◇","")),IF(AND(CS$5&lt;=$F52,CS$5+GanttPeriod-1&gt;=$E52),"━","")))</f>
        <v/>
      </c>
      <c r="CT52" s="69" t="str">
        <f aca="false">IF($E52="","",IF($M52,IF(AND($G52&gt;=CT$5,$G52&lt;CT$5+GanttPeriod),"◆",IF(AND($E52&gt;=CT$5,$E52&lt;CT$5+GanttPeriod),"◇","")),IF(AND(CT$5&lt;=$F52,CT$5+GanttPeriod-1&gt;=$E52),"━","")))</f>
        <v/>
      </c>
      <c r="CU52" s="69" t="str">
        <f aca="false">IF($E52="","",IF($M52,IF(AND($G52&gt;=CU$5,$G52&lt;CU$5+GanttPeriod),"◆",IF(AND($E52&gt;=CU$5,$E52&lt;CU$5+GanttPeriod),"◇","")),IF(AND(CU$5&lt;=$F52,CU$5+GanttPeriod-1&gt;=$E52),"━","")))</f>
        <v/>
      </c>
      <c r="CV52" s="69" t="str">
        <f aca="false">IF($E52="","",IF($M52,IF(AND($G52&gt;=CV$5,$G52&lt;CV$5+GanttPeriod),"◆",IF(AND($E52&gt;=CV$5,$E52&lt;CV$5+GanttPeriod),"◇","")),IF(AND(CV$5&lt;=$F52,CV$5+GanttPeriod-1&gt;=$E52),"━","")))</f>
        <v/>
      </c>
      <c r="CW52" s="69" t="str">
        <f aca="false">IF($E52="","",IF($M52,IF(AND($G52&gt;=CW$5,$G52&lt;CW$5+GanttPeriod),"◆",IF(AND($E52&gt;=CW$5,$E52&lt;CW$5+GanttPeriod),"◇","")),IF(AND(CW$5&lt;=$F52,CW$5+GanttPeriod-1&gt;=$E52),"━","")))</f>
        <v/>
      </c>
      <c r="CX52" s="69" t="str">
        <f aca="false">IF($E52="","",IF($M52,IF(AND($G52&gt;=CX$5,$G52&lt;CX$5+GanttPeriod),"◆",IF(AND($E52&gt;=CX$5,$E52&lt;CX$5+GanttPeriod),"◇","")),IF(AND(CX$5&lt;=$F52,CX$5+GanttPeriod-1&gt;=$E52),"━","")))</f>
        <v/>
      </c>
      <c r="CY52" s="69" t="str">
        <f aca="false">IF($E52="","",IF($M52,IF(AND($G52&gt;=CY$5,$G52&lt;CY$5+GanttPeriod),"◆",IF(AND($E52&gt;=CY$5,$E52&lt;CY$5+GanttPeriod),"◇","")),IF(AND(CY$5&lt;=$F52,CY$5+GanttPeriod-1&gt;=$E52),"━","")))</f>
        <v/>
      </c>
      <c r="CZ52" s="69" t="str">
        <f aca="false">IF($E52="","",IF($M52,IF(AND($G52&gt;=CZ$5,$G52&lt;CZ$5+GanttPeriod),"◆",IF(AND($E52&gt;=CZ$5,$E52&lt;CZ$5+GanttPeriod),"◇","")),IF(AND(CZ$5&lt;=$F52,CZ$5+GanttPeriod-1&gt;=$E52),"━","")))</f>
        <v/>
      </c>
      <c r="DA52" s="69" t="str">
        <f aca="false">IF($E52="","",IF($M52,IF(AND($G52&gt;=DA$5,$G52&lt;DA$5+GanttPeriod),"◆",IF(AND($E52&gt;=DA$5,$E52&lt;DA$5+GanttPeriod),"◇","")),IF(AND(DA$5&lt;=$F52,DA$5+GanttPeriod-1&gt;=$E52),"━","")))</f>
        <v/>
      </c>
      <c r="DB52" s="69" t="str">
        <f aca="false">IF($E52="","",IF($M52,IF(AND($G52&gt;=DB$5,$G52&lt;DB$5+GanttPeriod),"◆",IF(AND($E52&gt;=DB$5,$E52&lt;DB$5+GanttPeriod),"◇","")),IF(AND(DB$5&lt;=$F52,DB$5+GanttPeriod-1&gt;=$E52),"━","")))</f>
        <v/>
      </c>
      <c r="DC52" s="69" t="str">
        <f aca="false">IF($E52="","",IF($M52,IF(AND($G52&gt;=DC$5,$G52&lt;DC$5+GanttPeriod),"◆",IF(AND($E52&gt;=DC$5,$E52&lt;DC$5+GanttPeriod),"◇","")),IF(AND(DC$5&lt;=$F52,DC$5+GanttPeriod-1&gt;=$E52),"━","")))</f>
        <v/>
      </c>
      <c r="DD52" s="69" t="str">
        <f aca="false">IF($E52="","",IF($M52,IF(AND($G52&gt;=DD$5,$G52&lt;DD$5+GanttPeriod),"◆",IF(AND($E52&gt;=DD$5,$E52&lt;DD$5+GanttPeriod),"◇","")),IF(AND(DD$5&lt;=$F52,DD$5+GanttPeriod-1&gt;=$E52),"━","")))</f>
        <v/>
      </c>
      <c r="DE52" s="69" t="str">
        <f aca="false">IF($E52="","",IF($M52,IF(AND($G52&gt;=DE$5,$G52&lt;DE$5+GanttPeriod),"◆",IF(AND($E52&gt;=DE$5,$E52&lt;DE$5+GanttPeriod),"◇","")),IF(AND(DE$5&lt;=$F52,DE$5+GanttPeriod-1&gt;=$E52),"━","")))</f>
        <v/>
      </c>
      <c r="DF52" s="69" t="str">
        <f aca="false">IF($E52="","",IF($M52,IF(AND($G52&gt;=DF$5,$G52&lt;DF$5+GanttPeriod),"◆",IF(AND($E52&gt;=DF$5,$E52&lt;DF$5+GanttPeriod),"◇","")),IF(AND(DF$5&lt;=$F52,DF$5+GanttPeriod-1&gt;=$E52),"━","")))</f>
        <v/>
      </c>
      <c r="DG52" s="69" t="str">
        <f aca="false">IF($E52="","",IF($M52,IF(AND($G52&gt;=DG$5,$G52&lt;DG$5+GanttPeriod),"◆",IF(AND($E52&gt;=DG$5,$E52&lt;DG$5+GanttPeriod),"◇","")),IF(AND(DG$5&lt;=$F52,DG$5+GanttPeriod-1&gt;=$E52),"━","")))</f>
        <v/>
      </c>
      <c r="DH52" s="69" t="str">
        <f aca="false">IF($E52="","",IF($M52,IF(AND($G52&gt;=DH$5,$G52&lt;DH$5+GanttPeriod),"◆",IF(AND($E52&gt;=DH$5,$E52&lt;DH$5+GanttPeriod),"◇","")),IF(AND(DH$5&lt;=$F52,DH$5+GanttPeriod-1&gt;=$E52),"━","")))</f>
        <v/>
      </c>
      <c r="DI52" s="69" t="str">
        <f aca="false">IF($E52="","",IF($M52,IF(AND($G52&gt;=DI$5,$G52&lt;DI$5+GanttPeriod),"◆",IF(AND($E52&gt;=DI$5,$E52&lt;DI$5+GanttPeriod),"◇","")),IF(AND(DI$5&lt;=$F52,DI$5+GanttPeriod-1&gt;=$E52),"━","")))</f>
        <v/>
      </c>
      <c r="DJ52" s="69" t="str">
        <f aca="false">IF($E52="","",IF($M52,IF(AND($G52&gt;=DJ$5,$G52&lt;DJ$5+GanttPeriod),"◆",IF(AND($E52&gt;=DJ$5,$E52&lt;DJ$5+GanttPeriod),"◇","")),IF(AND(DJ$5&lt;=$F52,DJ$5+GanttPeriod-1&gt;=$E52),"━","")))</f>
        <v/>
      </c>
      <c r="DK52" s="69" t="str">
        <f aca="false">IF($E52="","",IF($M52,IF(AND($G52&gt;=DK$5,$G52&lt;DK$5+GanttPeriod),"◆",IF(AND($E52&gt;=DK$5,$E52&lt;DK$5+GanttPeriod),"◇","")),IF(AND(DK$5&lt;=$F52,DK$5+GanttPeriod-1&gt;=$E52),"━","")))</f>
        <v/>
      </c>
      <c r="DL52" s="69" t="str">
        <f aca="false">IF($E52="","",IF($M52,IF(AND($G52&gt;=DL$5,$G52&lt;DL$5+GanttPeriod),"◆",IF(AND($E52&gt;=DL$5,$E52&lt;DL$5+GanttPeriod),"◇","")),IF(AND(DL$5&lt;=$F52,DL$5+GanttPeriod-1&gt;=$E52),"━","")))</f>
        <v/>
      </c>
      <c r="DM52" s="69" t="str">
        <f aca="false">IF($E52="","",IF($M52,IF(AND($G52&gt;=DM$5,$G52&lt;DM$5+GanttPeriod),"◆",IF(AND($E52&gt;=DM$5,$E52&lt;DM$5+GanttPeriod),"◇","")),IF(AND(DM$5&lt;=$F52,DM$5+GanttPeriod-1&gt;=$E52),"━","")))</f>
        <v/>
      </c>
      <c r="DN52" s="69" t="str">
        <f aca="false">IF($E52="","",IF($M52,IF(AND($G52&gt;=DN$5,$G52&lt;DN$5+GanttPeriod),"◆",IF(AND($E52&gt;=DN$5,$E52&lt;DN$5+GanttPeriod),"◇","")),IF(AND(DN$5&lt;=$F52,DN$5+GanttPeriod-1&gt;=$E52),"━","")))</f>
        <v/>
      </c>
      <c r="DO52" s="69" t="str">
        <f aca="false">IF($E52="","",IF($M52,IF(AND($G52&gt;=DO$5,$G52&lt;DO$5+GanttPeriod),"◆",IF(AND($E52&gt;=DO$5,$E52&lt;DO$5+GanttPeriod),"◇","")),IF(AND(DO$5&lt;=$F52,DO$5+GanttPeriod-1&gt;=$E52),"━","")))</f>
        <v/>
      </c>
      <c r="DP52" s="69" t="str">
        <f aca="false">IF($E52="","",IF($M52,IF(AND($G52&gt;=DP$5,$G52&lt;DP$5+GanttPeriod),"◆",IF(AND($E52&gt;=DP$5,$E52&lt;DP$5+GanttPeriod),"◇","")),IF(AND(DP$5&lt;=$F52,DP$5+GanttPeriod-1&gt;=$E52),"━","")))</f>
        <v/>
      </c>
      <c r="DQ52" s="69" t="str">
        <f aca="false">IF($E52="","",IF($M52,IF(AND($G52&gt;=DQ$5,$G52&lt;DQ$5+GanttPeriod),"◆",IF(AND($E52&gt;=DQ$5,$E52&lt;DQ$5+GanttPeriod),"◇","")),IF(AND(DQ$5&lt;=$F52,DQ$5+GanttPeriod-1&gt;=$E52),"━","")))</f>
        <v/>
      </c>
      <c r="DR52" s="69" t="str">
        <f aca="false">IF($E52="","",IF($M52,IF(AND($G52&gt;=DR$5,$G52&lt;DR$5+GanttPeriod),"◆",IF(AND($E52&gt;=DR$5,$E52&lt;DR$5+GanttPeriod),"◇","")),IF(AND(DR$5&lt;=$F52,DR$5+GanttPeriod-1&gt;=$E52),"━","")))</f>
        <v/>
      </c>
      <c r="DS52" s="69" t="str">
        <f aca="false">IF($E52="","",IF($M52,IF(AND($G52&gt;=DS$5,$G52&lt;DS$5+GanttPeriod),"◆",IF(AND($E52&gt;=DS$5,$E52&lt;DS$5+GanttPeriod),"◇","")),IF(AND(DS$5&lt;=$F52,DS$5+GanttPeriod-1&gt;=$E52),"━","")))</f>
        <v/>
      </c>
      <c r="DT52" s="69" t="str">
        <f aca="false">IF($E52="","",IF($M52,IF(AND($G52&gt;=DT$5,$G52&lt;DT$5+GanttPeriod),"◆",IF(AND($E52&gt;=DT$5,$E52&lt;DT$5+GanttPeriod),"◇","")),IF(AND(DT$5&lt;=$F52,DT$5+GanttPeriod-1&gt;=$E52),"━","")))</f>
        <v/>
      </c>
      <c r="DU52" s="69" t="str">
        <f aca="false">IF($E52="","",IF($M52,IF(AND($G52&gt;=DU$5,$G52&lt;DU$5+GanttPeriod),"◆",IF(AND($E52&gt;=DU$5,$E52&lt;DU$5+GanttPeriod),"◇","")),IF(AND(DU$5&lt;=$F52,DU$5+GanttPeriod-1&gt;=$E52),"━","")))</f>
        <v/>
      </c>
      <c r="DV52" s="69" t="str">
        <f aca="false">IF($E52="","",IF($M52,IF(AND($G52&gt;=DV$5,$G52&lt;DV$5+GanttPeriod),"◆",IF(AND($E52&gt;=DV$5,$E52&lt;DV$5+GanttPeriod),"◇","")),IF(AND(DV$5&lt;=$F52,DV$5+GanttPeriod-1&gt;=$E52),"━","")))</f>
        <v/>
      </c>
      <c r="DW52" s="69" t="str">
        <f aca="false">IF($E52="","",IF($M52,IF(AND($G52&gt;=DW$5,$G52&lt;DW$5+GanttPeriod),"◆",IF(AND($E52&gt;=DW$5,$E52&lt;DW$5+GanttPeriod),"◇","")),IF(AND(DW$5&lt;=$F52,DW$5+GanttPeriod-1&gt;=$E52),"━","")))</f>
        <v/>
      </c>
      <c r="DX52" s="69" t="str">
        <f aca="false">IF($E52="","",IF($M52,IF(AND($G52&gt;=DX$5,$G52&lt;DX$5+GanttPeriod),"◆",IF(AND($E52&gt;=DX$5,$E52&lt;DX$5+GanttPeriod),"◇","")),IF(AND(DX$5&lt;=$F52,DX$5+GanttPeriod-1&gt;=$E52),"━","")))</f>
        <v/>
      </c>
      <c r="DY52" s="69" t="str">
        <f aca="false">IF($E52="","",IF($M52,IF(AND($G52&gt;=DY$5,$G52&lt;DY$5+GanttPeriod),"◆",IF(AND($E52&gt;=DY$5,$E52&lt;DY$5+GanttPeriod),"◇","")),IF(AND(DY$5&lt;=$F52,DY$5+GanttPeriod-1&gt;=$E52),"━","")))</f>
        <v/>
      </c>
      <c r="DZ52" s="69" t="str">
        <f aca="false">IF($E52="","",IF($M52,IF(AND($G52&gt;=DZ$5,$G52&lt;DZ$5+GanttPeriod),"◆",IF(AND($E52&gt;=DZ$5,$E52&lt;DZ$5+GanttPeriod),"◇","")),IF(AND(DZ$5&lt;=$F52,DZ$5+GanttPeriod-1&gt;=$E52),"━","")))</f>
        <v/>
      </c>
      <c r="EA52" s="69" t="str">
        <f aca="false">IF($E52="","",IF($M52,IF(AND($G52&gt;=EA$5,$G52&lt;EA$5+GanttPeriod),"◆",IF(AND($E52&gt;=EA$5,$E52&lt;EA$5+GanttPeriod),"◇","")),IF(AND(EA$5&lt;=$F52,EA$5+GanttPeriod-1&gt;=$E52),"━","")))</f>
        <v/>
      </c>
      <c r="EB52" s="69" t="str">
        <f aca="false">IF($E52="","",IF($M52,IF(AND($G52&gt;=EB$5,$G52&lt;EB$5+GanttPeriod),"◆",IF(AND($E52&gt;=EB$5,$E52&lt;EB$5+GanttPeriod),"◇","")),IF(AND(EB$5&lt;=$F52,EB$5+GanttPeriod-1&gt;=$E52),"━","")))</f>
        <v/>
      </c>
      <c r="EC52" s="69" t="str">
        <f aca="false">IF($E52="","",IF($M52,IF(AND($G52&gt;=EC$5,$G52&lt;EC$5+GanttPeriod),"◆",IF(AND($E52&gt;=EC$5,$E52&lt;EC$5+GanttPeriod),"◇","")),IF(AND(EC$5&lt;=$F52,EC$5+GanttPeriod-1&gt;=$E52),"━","")))</f>
        <v/>
      </c>
      <c r="ED52" s="69" t="str">
        <f aca="false">IF($E52="","",IF($M52,IF(AND($G52&gt;=ED$5,$G52&lt;ED$5+GanttPeriod),"◆",IF(AND($E52&gt;=ED$5,$E52&lt;ED$5+GanttPeriod),"◇","")),IF(AND(ED$5&lt;=$F52,ED$5+GanttPeriod-1&gt;=$E52),"━","")))</f>
        <v/>
      </c>
      <c r="EE52" s="69" t="str">
        <f aca="false">IF($E52="","",IF($M52,IF(AND($G52&gt;=EE$5,$G52&lt;EE$5+GanttPeriod),"◆",IF(AND($E52&gt;=EE$5,$E52&lt;EE$5+GanttPeriod),"◇","")),IF(AND(EE$5&lt;=$F52,EE$5+GanttPeriod-1&gt;=$E52),"━","")))</f>
        <v/>
      </c>
      <c r="EF52" s="69" t="str">
        <f aca="false">IF($E52="","",IF($M52,IF(AND($G52&gt;=EF$5,$G52&lt;EF$5+GanttPeriod),"◆",IF(AND($E52&gt;=EF$5,$E52&lt;EF$5+GanttPeriod),"◇","")),IF(AND(EF$5&lt;=$F52,EF$5+GanttPeriod-1&gt;=$E52),"━","")))</f>
        <v/>
      </c>
      <c r="EG52" s="69" t="str">
        <f aca="false">IF($E52="","",IF($M52,IF(AND($G52&gt;=EG$5,$G52&lt;EG$5+GanttPeriod),"◆",IF(AND($E52&gt;=EG$5,$E52&lt;EG$5+GanttPeriod),"◇","")),IF(AND(EG$5&lt;=$F52,EG$5+GanttPeriod-1&gt;=$E52),"━","")))</f>
        <v/>
      </c>
      <c r="EH52" s="69" t="str">
        <f aca="false">IF($E52="","",IF($M52,IF(AND($G52&gt;=EH$5,$G52&lt;EH$5+GanttPeriod),"◆",IF(AND($E52&gt;=EH$5,$E52&lt;EH$5+GanttPeriod),"◇","")),IF(AND(EH$5&lt;=$F52,EH$5+GanttPeriod-1&gt;=$E52),"━","")))</f>
        <v/>
      </c>
      <c r="EI52" s="69" t="str">
        <f aca="false">IF($E52="","",IF($M52,IF(AND($G52&gt;=EI$5,$G52&lt;EI$5+GanttPeriod),"◆",IF(AND($E52&gt;=EI$5,$E52&lt;EI$5+GanttPeriod),"◇","")),IF(AND(EI$5&lt;=$F52,EI$5+GanttPeriod-1&gt;=$E52),"━","")))</f>
        <v/>
      </c>
      <c r="EJ52" s="69" t="str">
        <f aca="false">IF($E52="","",IF($M52,IF(AND($G52&gt;=EJ$5,$G52&lt;EJ$5+GanttPeriod),"◆",IF(AND($E52&gt;=EJ$5,$E52&lt;EJ$5+GanttPeriod),"◇","")),IF(AND(EJ$5&lt;=$F52,EJ$5+GanttPeriod-1&gt;=$E52),"━","")))</f>
        <v/>
      </c>
      <c r="EK52" s="69" t="str">
        <f aca="false">IF($E52="","",IF($M52,IF(AND($G52&gt;=EK$5,$G52&lt;EK$5+GanttPeriod),"◆",IF(AND($E52&gt;=EK$5,$E52&lt;EK$5+GanttPeriod),"◇","")),IF(AND(EK$5&lt;=$F52,EK$5+GanttPeriod-1&gt;=$E52),"━","")))</f>
        <v/>
      </c>
      <c r="EL52" s="69" t="str">
        <f aca="false">IF($E52="","",IF($M52,IF(AND($G52&gt;=EL$5,$G52&lt;EL$5+GanttPeriod),"◆",IF(AND($E52&gt;=EL$5,$E52&lt;EL$5+GanttPeriod),"◇","")),IF(AND(EL$5&lt;=$F52,EL$5+GanttPeriod-1&gt;=$E52),"━","")))</f>
        <v/>
      </c>
      <c r="EM52" s="69" t="str">
        <f aca="false">IF($E52="","",IF($M52,IF(AND($G52&gt;=EM$5,$G52&lt;EM$5+GanttPeriod),"◆",IF(AND($E52&gt;=EM$5,$E52&lt;EM$5+GanttPeriod),"◇","")),IF(AND(EM$5&lt;=$F52,EM$5+GanttPeriod-1&gt;=$E52),"━","")))</f>
        <v/>
      </c>
      <c r="EN52" s="69" t="str">
        <f aca="false">IF($E52="","",IF($M52,IF(AND($G52&gt;=EN$5,$G52&lt;EN$5+GanttPeriod),"◆",IF(AND($E52&gt;=EN$5,$E52&lt;EN$5+GanttPeriod),"◇","")),IF(AND(EN$5&lt;=$F52,EN$5+GanttPeriod-1&gt;=$E52),"━","")))</f>
        <v/>
      </c>
      <c r="EO52" s="69" t="str">
        <f aca="false">IF($E52="","",IF($M52,IF(AND($G52&gt;=EO$5,$G52&lt;EO$5+GanttPeriod),"◆",IF(AND($E52&gt;=EO$5,$E52&lt;EO$5+GanttPeriod),"◇","")),IF(AND(EO$5&lt;=$F52,EO$5+GanttPeriod-1&gt;=$E52),"━","")))</f>
        <v/>
      </c>
      <c r="EP52" s="69" t="str">
        <f aca="false">IF($E52="","",IF($M52,IF(AND($G52&gt;=EP$5,$G52&lt;EP$5+GanttPeriod),"◆",IF(AND($E52&gt;=EP$5,$E52&lt;EP$5+GanttPeriod),"◇","")),IF(AND(EP$5&lt;=$F52,EP$5+GanttPeriod-1&gt;=$E52),"━","")))</f>
        <v/>
      </c>
      <c r="EQ52" s="69" t="str">
        <f aca="false">IF($E52="","",IF($M52,IF(AND($G52&gt;=EQ$5,$G52&lt;EQ$5+GanttPeriod),"◆",IF(AND($E52&gt;=EQ$5,$E52&lt;EQ$5+GanttPeriod),"◇","")),IF(AND(EQ$5&lt;=$F52,EQ$5+GanttPeriod-1&gt;=$E52),"━","")))</f>
        <v/>
      </c>
      <c r="ER52" s="69" t="str">
        <f aca="false">IF($E52="","",IF($M52,IF(AND($G52&gt;=ER$5,$G52&lt;ER$5+GanttPeriod),"◆",IF(AND($E52&gt;=ER$5,$E52&lt;ER$5+GanttPeriod),"◇","")),IF(AND(ER$5&lt;=$F52,ER$5+GanttPeriod-1&gt;=$E52),"━","")))</f>
        <v/>
      </c>
      <c r="ES52" s="69" t="str">
        <f aca="false">IF($E52="","",IF($M52,IF(AND($G52&gt;=ES$5,$G52&lt;ES$5+GanttPeriod),"◆",IF(AND($E52&gt;=ES$5,$E52&lt;ES$5+GanttPeriod),"◇","")),IF(AND(ES$5&lt;=$F52,ES$5+GanttPeriod-1&gt;=$E52),"━","")))</f>
        <v/>
      </c>
      <c r="ET52" s="69" t="str">
        <f aca="false">IF($E52="","",IF($M52,IF(AND($G52&gt;=ET$5,$G52&lt;ET$5+GanttPeriod),"◆",IF(AND($E52&gt;=ET$5,$E52&lt;ET$5+GanttPeriod),"◇","")),IF(AND(ET$5&lt;=$F52,ET$5+GanttPeriod-1&gt;=$E52),"━","")))</f>
        <v/>
      </c>
      <c r="EU52" s="69" t="str">
        <f aca="false">IF($E52="","",IF($M52,IF(AND($G52&gt;=EU$5,$G52&lt;EU$5+GanttPeriod),"◆",IF(AND($E52&gt;=EU$5,$E52&lt;EU$5+GanttPeriod),"◇","")),IF(AND(EU$5&lt;=$F52,EU$5+GanttPeriod-1&gt;=$E52),"━","")))</f>
        <v/>
      </c>
      <c r="EV52" s="69" t="str">
        <f aca="false">IF($E52="","",IF($M52,IF(AND($G52&gt;=EV$5,$G52&lt;EV$5+GanttPeriod),"◆",IF(AND($E52&gt;=EV$5,$E52&lt;EV$5+GanttPeriod),"◇","")),IF(AND(EV$5&lt;=$F52,EV$5+GanttPeriod-1&gt;=$E52),"━","")))</f>
        <v/>
      </c>
      <c r="EW52" s="69" t="str">
        <f aca="false">IF($E52="","",IF($M52,IF(AND($G52&gt;=EW$5,$G52&lt;EW$5+GanttPeriod),"◆",IF(AND($E52&gt;=EW$5,$E52&lt;EW$5+GanttPeriod),"◇","")),IF(AND(EW$5&lt;=$F52,EW$5+GanttPeriod-1&gt;=$E52),"━","")))</f>
        <v/>
      </c>
      <c r="EX52" s="69" t="str">
        <f aca="false">IF($E52="","",IF($M52,IF(AND($G52&gt;=EX$5,$G52&lt;EX$5+GanttPeriod),"◆",IF(AND($E52&gt;=EX$5,$E52&lt;EX$5+GanttPeriod),"◇","")),IF(AND(EX$5&lt;=$F52,EX$5+GanttPeriod-1&gt;=$E52),"━","")))</f>
        <v/>
      </c>
      <c r="EY52" s="69" t="str">
        <f aca="false">IF($E52="","",IF($M52,IF(AND($G52&gt;=EY$5,$G52&lt;EY$5+GanttPeriod),"◆",IF(AND($E52&gt;=EY$5,$E52&lt;EY$5+GanttPeriod),"◇","")),IF(AND(EY$5&lt;=$F52,EY$5+GanttPeriod-1&gt;=$E52),"━","")))</f>
        <v/>
      </c>
      <c r="EZ52" s="69" t="str">
        <f aca="false">IF($E52="","",IF($M52,IF(AND($G52&gt;=EZ$5,$G52&lt;EZ$5+GanttPeriod),"◆",IF(AND($E52&gt;=EZ$5,$E52&lt;EZ$5+GanttPeriod),"◇","")),IF(AND(EZ$5&lt;=$F52,EZ$5+GanttPeriod-1&gt;=$E52),"━","")))</f>
        <v/>
      </c>
      <c r="FA52" s="69" t="str">
        <f aca="false">IF($E52="","",IF($M52,IF(AND($G52&gt;=FA$5,$G52&lt;FA$5+GanttPeriod),"◆",IF(AND($E52&gt;=FA$5,$E52&lt;FA$5+GanttPeriod),"◇","")),IF(AND(FA$5&lt;=$F52,FA$5+GanttPeriod-1&gt;=$E52),"━","")))</f>
        <v/>
      </c>
      <c r="FB52" s="69" t="str">
        <f aca="false">IF($E52="","",IF($M52,IF(AND($G52&gt;=FB$5,$G52&lt;FB$5+GanttPeriod),"◆",IF(AND($E52&gt;=FB$5,$E52&lt;FB$5+GanttPeriod),"◇","")),IF(AND(FB$5&lt;=$F52,FB$5+GanttPeriod-1&gt;=$E52),"━","")))</f>
        <v/>
      </c>
      <c r="FC52" s="69" t="str">
        <f aca="false">IF($E52="","",IF($M52,IF(AND($G52&gt;=FC$5,$G52&lt;FC$5+GanttPeriod),"◆",IF(AND($E52&gt;=FC$5,$E52&lt;FC$5+GanttPeriod),"◇","")),IF(AND(FC$5&lt;=$F52,FC$5+GanttPeriod-1&gt;=$E52),"━","")))</f>
        <v/>
      </c>
      <c r="FD52" s="69" t="str">
        <f aca="false">IF($E52="","",IF($M52,IF(AND($G52&gt;=FD$5,$G52&lt;FD$5+GanttPeriod),"◆",IF(AND($E52&gt;=FD$5,$E52&lt;FD$5+GanttPeriod),"◇","")),IF(AND(FD$5&lt;=$F52,FD$5+GanttPeriod-1&gt;=$E52),"━","")))</f>
        <v/>
      </c>
      <c r="FE52" s="69" t="str">
        <f aca="false">IF($E52="","",IF($M52,IF(AND($G52&gt;=FE$5,$G52&lt;FE$5+GanttPeriod),"◆",IF(AND($E52&gt;=FE$5,$E52&lt;FE$5+GanttPeriod),"◇","")),IF(AND(FE$5&lt;=$F52,FE$5+GanttPeriod-1&gt;=$E52),"━","")))</f>
        <v/>
      </c>
      <c r="FF52" s="69" t="str">
        <f aca="false">IF($E52="","",IF($M52,IF(AND($G52&gt;=FF$5,$G52&lt;FF$5+GanttPeriod),"◆",IF(AND($E52&gt;=FF$5,$E52&lt;FF$5+GanttPeriod),"◇","")),IF(AND(FF$5&lt;=$F52,FF$5+GanttPeriod-1&gt;=$E52),"━","")))</f>
        <v/>
      </c>
      <c r="FG52" s="69" t="str">
        <f aca="false">IF($E52="","",IF($M52,IF(AND($G52&gt;=FG$5,$G52&lt;FG$5+GanttPeriod),"◆",IF(AND($E52&gt;=FG$5,$E52&lt;FG$5+GanttPeriod),"◇","")),IF(AND(FG$5&lt;=$F52,FG$5+GanttPeriod-1&gt;=$E52),"━","")))</f>
        <v/>
      </c>
      <c r="FH52" s="69" t="str">
        <f aca="false">IF($E52="","",IF($M52,IF(AND($G52&gt;=FH$5,$G52&lt;FH$5+GanttPeriod),"◆",IF(AND($E52&gt;=FH$5,$E52&lt;FH$5+GanttPeriod),"◇","")),IF(AND(FH$5&lt;=$F52,FH$5+GanttPeriod-1&gt;=$E52),"━","")))</f>
        <v/>
      </c>
      <c r="FI52" s="69" t="str">
        <f aca="false">IF($E52="","",IF($M52,IF(AND($G52&gt;=FI$5,$G52&lt;FI$5+GanttPeriod),"◆",IF(AND($E52&gt;=FI$5,$E52&lt;FI$5+GanttPeriod),"◇","")),IF(AND(FI$5&lt;=$F52,FI$5+GanttPeriod-1&gt;=$E52),"━","")))</f>
        <v/>
      </c>
      <c r="FJ52" s="69" t="str">
        <f aca="false">IF($E52="","",IF($M52,IF(AND($G52&gt;=FJ$5,$G52&lt;FJ$5+GanttPeriod),"◆",IF(AND($E52&gt;=FJ$5,$E52&lt;FJ$5+GanttPeriod),"◇","")),IF(AND(FJ$5&lt;=$F52,FJ$5+GanttPeriod-1&gt;=$E52),"━","")))</f>
        <v/>
      </c>
      <c r="FK52" s="69" t="str">
        <f aca="false">IF($E52="","",IF($M52,IF(AND($G52&gt;=FK$5,$G52&lt;FK$5+GanttPeriod),"◆",IF(AND($E52&gt;=FK$5,$E52&lt;FK$5+GanttPeriod),"◇","")),IF(AND(FK$5&lt;=$F52,FK$5+GanttPeriod-1&gt;=$E52),"━","")))</f>
        <v/>
      </c>
      <c r="FL52" s="69" t="str">
        <f aca="false">IF($E52="","",IF($M52,IF(AND($G52&gt;=FL$5,$G52&lt;FL$5+GanttPeriod),"◆",IF(AND($E52&gt;=FL$5,$E52&lt;FL$5+GanttPeriod),"◇","")),IF(AND(FL$5&lt;=$F52,FL$5+GanttPeriod-1&gt;=$E52),"━","")))</f>
        <v/>
      </c>
      <c r="FM52" s="69" t="str">
        <f aca="false">IF($E52="","",IF($M52,IF(AND($G52&gt;=FM$5,$G52&lt;FM$5+GanttPeriod),"◆",IF(AND($E52&gt;=FM$5,$E52&lt;FM$5+GanttPeriod),"◇","")),IF(AND(FM$5&lt;=$F52,FM$5+GanttPeriod-1&gt;=$E52),"━","")))</f>
        <v/>
      </c>
    </row>
    <row r="53" customFormat="false" ht="15" hidden="false" customHeight="false" outlineLevel="0" collapsed="false">
      <c r="A53" s="62" t="str">
        <f aca="false">IF(Tasks!$D53="","",Tasks!$A53)</f>
        <v/>
      </c>
      <c r="B53" s="62" t="str">
        <f aca="false">IF(Tasks!$D53="","",Tasks!$B53)</f>
        <v/>
      </c>
      <c r="C53" s="63" t="str">
        <f aca="false">IF(Tasks!$D53="","",REPT("    ",Tasks!$AE53-1)&amp;Tasks!$D53)</f>
        <v/>
      </c>
      <c r="D53" s="62" t="str">
        <f aca="false">IF(Tasks!$D53="","",IF(Tasks!$AI53,NETWORKDAYS.INTL(Tasks!$R53,Tasks!$S53,WorkWeek,Holidays),N(Tasks!$F53)))</f>
        <v/>
      </c>
      <c r="E53" s="64" t="str">
        <f aca="false">IF(Tasks!$D53="","",Tasks!$N53)</f>
        <v/>
      </c>
      <c r="F53" s="64" t="str">
        <f aca="false">IF(Tasks!$D53="","",Tasks!$O53)</f>
        <v/>
      </c>
      <c r="G53" s="64" t="str">
        <f aca="false">IF(Tasks!$D53="","",Tasks!$R53)</f>
        <v/>
      </c>
      <c r="H53" s="64" t="str">
        <f aca="false">IF(Tasks!$D53="","",Tasks!$S53)</f>
        <v/>
      </c>
      <c r="I53" s="65" t="str">
        <f aca="false">IF(Tasks!$D53="","",Tasks!$V53)</f>
        <v/>
      </c>
      <c r="J53" s="63" t="str">
        <f aca="false">IF(Tasks!$D53="","",Tasks!$X53&amp;"")</f>
        <v/>
      </c>
      <c r="K53" s="66" t="str">
        <f aca="false">IF(Tasks!$D53="","",Tasks!$W53)</f>
        <v/>
      </c>
      <c r="L53" s="67" t="b">
        <f aca="false">IF(Tasks!$D53="",FALSE(),Tasks!$AI53)</f>
        <v>0</v>
      </c>
      <c r="M53" s="67" t="b">
        <f aca="false">AND(Tasks!$AJ53=1,N(Tasks!$F53)=0)</f>
        <v>0</v>
      </c>
      <c r="N53" s="68" t="n">
        <f aca="false">IF(AND(Tasks!$AJ53=1,NOT($M53),N($I53)&gt;0),$G53,0)</f>
        <v>0</v>
      </c>
      <c r="O53" s="68" t="n">
        <f aca="false">IF($N53=0,0,IF($I53&gt;=1,$H53,MAX($N53,$G53+ROUND(($H53-$G53+1)*$I53,0)-1)))</f>
        <v>0</v>
      </c>
      <c r="P53" s="68" t="n">
        <f aca="false">IF(OR(Tasks!$AJ53&lt;&gt;1,$M53,N($I53)&gt;=1),0,IF($O53&gt;0,$O53+1,$G53))</f>
        <v>0</v>
      </c>
      <c r="Q53" s="68" t="n">
        <f aca="false">IF($P53=0,0,$H53)</f>
        <v>0</v>
      </c>
      <c r="R53" s="67" t="b">
        <f aca="false">AND(Tasks!$D53&lt;&gt;"",N(Tasks!$T53)&gt;0)</f>
        <v>0</v>
      </c>
      <c r="T53" s="69" t="str">
        <f aca="false">IF($E53="","",IF($M53,IF(AND($G53&gt;=T$5,$G53&lt;T$5+GanttPeriod),"◆",IF(AND($E53&gt;=T$5,$E53&lt;T$5+GanttPeriod),"◇","")),IF(AND(T$5&lt;=$F53,T$5+GanttPeriod-1&gt;=$E53),"━","")))</f>
        <v/>
      </c>
      <c r="U53" s="69" t="str">
        <f aca="false">IF($E53="","",IF($M53,IF(AND($G53&gt;=U$5,$G53&lt;U$5+GanttPeriod),"◆",IF(AND($E53&gt;=U$5,$E53&lt;U$5+GanttPeriod),"◇","")),IF(AND(U$5&lt;=$F53,U$5+GanttPeriod-1&gt;=$E53),"━","")))</f>
        <v/>
      </c>
      <c r="V53" s="69" t="str">
        <f aca="false">IF($E53="","",IF($M53,IF(AND($G53&gt;=V$5,$G53&lt;V$5+GanttPeriod),"◆",IF(AND($E53&gt;=V$5,$E53&lt;V$5+GanttPeriod),"◇","")),IF(AND(V$5&lt;=$F53,V$5+GanttPeriod-1&gt;=$E53),"━","")))</f>
        <v/>
      </c>
      <c r="W53" s="69" t="str">
        <f aca="false">IF($E53="","",IF($M53,IF(AND($G53&gt;=W$5,$G53&lt;W$5+GanttPeriod),"◆",IF(AND($E53&gt;=W$5,$E53&lt;W$5+GanttPeriod),"◇","")),IF(AND(W$5&lt;=$F53,W$5+GanttPeriod-1&gt;=$E53),"━","")))</f>
        <v/>
      </c>
      <c r="X53" s="69" t="str">
        <f aca="false">IF($E53="","",IF($M53,IF(AND($G53&gt;=X$5,$G53&lt;X$5+GanttPeriod),"◆",IF(AND($E53&gt;=X$5,$E53&lt;X$5+GanttPeriod),"◇","")),IF(AND(X$5&lt;=$F53,X$5+GanttPeriod-1&gt;=$E53),"━","")))</f>
        <v/>
      </c>
      <c r="Y53" s="69" t="str">
        <f aca="false">IF($E53="","",IF($M53,IF(AND($G53&gt;=Y$5,$G53&lt;Y$5+GanttPeriod),"◆",IF(AND($E53&gt;=Y$5,$E53&lt;Y$5+GanttPeriod),"◇","")),IF(AND(Y$5&lt;=$F53,Y$5+GanttPeriod-1&gt;=$E53),"━","")))</f>
        <v/>
      </c>
      <c r="Z53" s="69" t="str">
        <f aca="false">IF($E53="","",IF($M53,IF(AND($G53&gt;=Z$5,$G53&lt;Z$5+GanttPeriod),"◆",IF(AND($E53&gt;=Z$5,$E53&lt;Z$5+GanttPeriod),"◇","")),IF(AND(Z$5&lt;=$F53,Z$5+GanttPeriod-1&gt;=$E53),"━","")))</f>
        <v/>
      </c>
      <c r="AA53" s="69" t="str">
        <f aca="false">IF($E53="","",IF($M53,IF(AND($G53&gt;=AA$5,$G53&lt;AA$5+GanttPeriod),"◆",IF(AND($E53&gt;=AA$5,$E53&lt;AA$5+GanttPeriod),"◇","")),IF(AND(AA$5&lt;=$F53,AA$5+GanttPeriod-1&gt;=$E53),"━","")))</f>
        <v/>
      </c>
      <c r="AB53" s="69" t="str">
        <f aca="false">IF($E53="","",IF($M53,IF(AND($G53&gt;=AB$5,$G53&lt;AB$5+GanttPeriod),"◆",IF(AND($E53&gt;=AB$5,$E53&lt;AB$5+GanttPeriod),"◇","")),IF(AND(AB$5&lt;=$F53,AB$5+GanttPeriod-1&gt;=$E53),"━","")))</f>
        <v/>
      </c>
      <c r="AC53" s="69" t="str">
        <f aca="false">IF($E53="","",IF($M53,IF(AND($G53&gt;=AC$5,$G53&lt;AC$5+GanttPeriod),"◆",IF(AND($E53&gt;=AC$5,$E53&lt;AC$5+GanttPeriod),"◇","")),IF(AND(AC$5&lt;=$F53,AC$5+GanttPeriod-1&gt;=$E53),"━","")))</f>
        <v/>
      </c>
      <c r="AD53" s="69" t="str">
        <f aca="false">IF($E53="","",IF($M53,IF(AND($G53&gt;=AD$5,$G53&lt;AD$5+GanttPeriod),"◆",IF(AND($E53&gt;=AD$5,$E53&lt;AD$5+GanttPeriod),"◇","")),IF(AND(AD$5&lt;=$F53,AD$5+GanttPeriod-1&gt;=$E53),"━","")))</f>
        <v/>
      </c>
      <c r="AE53" s="69" t="str">
        <f aca="false">IF($E53="","",IF($M53,IF(AND($G53&gt;=AE$5,$G53&lt;AE$5+GanttPeriod),"◆",IF(AND($E53&gt;=AE$5,$E53&lt;AE$5+GanttPeriod),"◇","")),IF(AND(AE$5&lt;=$F53,AE$5+GanttPeriod-1&gt;=$E53),"━","")))</f>
        <v/>
      </c>
      <c r="AF53" s="69" t="str">
        <f aca="false">IF($E53="","",IF($M53,IF(AND($G53&gt;=AF$5,$G53&lt;AF$5+GanttPeriod),"◆",IF(AND($E53&gt;=AF$5,$E53&lt;AF$5+GanttPeriod),"◇","")),IF(AND(AF$5&lt;=$F53,AF$5+GanttPeriod-1&gt;=$E53),"━","")))</f>
        <v/>
      </c>
      <c r="AG53" s="69" t="str">
        <f aca="false">IF($E53="","",IF($M53,IF(AND($G53&gt;=AG$5,$G53&lt;AG$5+GanttPeriod),"◆",IF(AND($E53&gt;=AG$5,$E53&lt;AG$5+GanttPeriod),"◇","")),IF(AND(AG$5&lt;=$F53,AG$5+GanttPeriod-1&gt;=$E53),"━","")))</f>
        <v/>
      </c>
      <c r="AH53" s="69" t="str">
        <f aca="false">IF($E53="","",IF($M53,IF(AND($G53&gt;=AH$5,$G53&lt;AH$5+GanttPeriod),"◆",IF(AND($E53&gt;=AH$5,$E53&lt;AH$5+GanttPeriod),"◇","")),IF(AND(AH$5&lt;=$F53,AH$5+GanttPeriod-1&gt;=$E53),"━","")))</f>
        <v/>
      </c>
      <c r="AI53" s="69" t="str">
        <f aca="false">IF($E53="","",IF($M53,IF(AND($G53&gt;=AI$5,$G53&lt;AI$5+GanttPeriod),"◆",IF(AND($E53&gt;=AI$5,$E53&lt;AI$5+GanttPeriod),"◇","")),IF(AND(AI$5&lt;=$F53,AI$5+GanttPeriod-1&gt;=$E53),"━","")))</f>
        <v/>
      </c>
      <c r="AJ53" s="69" t="str">
        <f aca="false">IF($E53="","",IF($M53,IF(AND($G53&gt;=AJ$5,$G53&lt;AJ$5+GanttPeriod),"◆",IF(AND($E53&gt;=AJ$5,$E53&lt;AJ$5+GanttPeriod),"◇","")),IF(AND(AJ$5&lt;=$F53,AJ$5+GanttPeriod-1&gt;=$E53),"━","")))</f>
        <v/>
      </c>
      <c r="AK53" s="69" t="str">
        <f aca="false">IF($E53="","",IF($M53,IF(AND($G53&gt;=AK$5,$G53&lt;AK$5+GanttPeriod),"◆",IF(AND($E53&gt;=AK$5,$E53&lt;AK$5+GanttPeriod),"◇","")),IF(AND(AK$5&lt;=$F53,AK$5+GanttPeriod-1&gt;=$E53),"━","")))</f>
        <v/>
      </c>
      <c r="AL53" s="69" t="str">
        <f aca="false">IF($E53="","",IF($M53,IF(AND($G53&gt;=AL$5,$G53&lt;AL$5+GanttPeriod),"◆",IF(AND($E53&gt;=AL$5,$E53&lt;AL$5+GanttPeriod),"◇","")),IF(AND(AL$5&lt;=$F53,AL$5+GanttPeriod-1&gt;=$E53),"━","")))</f>
        <v/>
      </c>
      <c r="AM53" s="69" t="str">
        <f aca="false">IF($E53="","",IF($M53,IF(AND($G53&gt;=AM$5,$G53&lt;AM$5+GanttPeriod),"◆",IF(AND($E53&gt;=AM$5,$E53&lt;AM$5+GanttPeriod),"◇","")),IF(AND(AM$5&lt;=$F53,AM$5+GanttPeriod-1&gt;=$E53),"━","")))</f>
        <v/>
      </c>
      <c r="AN53" s="69" t="str">
        <f aca="false">IF($E53="","",IF($M53,IF(AND($G53&gt;=AN$5,$G53&lt;AN$5+GanttPeriod),"◆",IF(AND($E53&gt;=AN$5,$E53&lt;AN$5+GanttPeriod),"◇","")),IF(AND(AN$5&lt;=$F53,AN$5+GanttPeriod-1&gt;=$E53),"━","")))</f>
        <v/>
      </c>
      <c r="AO53" s="69" t="str">
        <f aca="false">IF($E53="","",IF($M53,IF(AND($G53&gt;=AO$5,$G53&lt;AO$5+GanttPeriod),"◆",IF(AND($E53&gt;=AO$5,$E53&lt;AO$5+GanttPeriod),"◇","")),IF(AND(AO$5&lt;=$F53,AO$5+GanttPeriod-1&gt;=$E53),"━","")))</f>
        <v/>
      </c>
      <c r="AP53" s="69" t="str">
        <f aca="false">IF($E53="","",IF($M53,IF(AND($G53&gt;=AP$5,$G53&lt;AP$5+GanttPeriod),"◆",IF(AND($E53&gt;=AP$5,$E53&lt;AP$5+GanttPeriod),"◇","")),IF(AND(AP$5&lt;=$F53,AP$5+GanttPeriod-1&gt;=$E53),"━","")))</f>
        <v/>
      </c>
      <c r="AQ53" s="69" t="str">
        <f aca="false">IF($E53="","",IF($M53,IF(AND($G53&gt;=AQ$5,$G53&lt;AQ$5+GanttPeriod),"◆",IF(AND($E53&gt;=AQ$5,$E53&lt;AQ$5+GanttPeriod),"◇","")),IF(AND(AQ$5&lt;=$F53,AQ$5+GanttPeriod-1&gt;=$E53),"━","")))</f>
        <v/>
      </c>
      <c r="AR53" s="69" t="str">
        <f aca="false">IF($E53="","",IF($M53,IF(AND($G53&gt;=AR$5,$G53&lt;AR$5+GanttPeriod),"◆",IF(AND($E53&gt;=AR$5,$E53&lt;AR$5+GanttPeriod),"◇","")),IF(AND(AR$5&lt;=$F53,AR$5+GanttPeriod-1&gt;=$E53),"━","")))</f>
        <v/>
      </c>
      <c r="AS53" s="69" t="str">
        <f aca="false">IF($E53="","",IF($M53,IF(AND($G53&gt;=AS$5,$G53&lt;AS$5+GanttPeriod),"◆",IF(AND($E53&gt;=AS$5,$E53&lt;AS$5+GanttPeriod),"◇","")),IF(AND(AS$5&lt;=$F53,AS$5+GanttPeriod-1&gt;=$E53),"━","")))</f>
        <v/>
      </c>
      <c r="AT53" s="69" t="str">
        <f aca="false">IF($E53="","",IF($M53,IF(AND($G53&gt;=AT$5,$G53&lt;AT$5+GanttPeriod),"◆",IF(AND($E53&gt;=AT$5,$E53&lt;AT$5+GanttPeriod),"◇","")),IF(AND(AT$5&lt;=$F53,AT$5+GanttPeriod-1&gt;=$E53),"━","")))</f>
        <v/>
      </c>
      <c r="AU53" s="69" t="str">
        <f aca="false">IF($E53="","",IF($M53,IF(AND($G53&gt;=AU$5,$G53&lt;AU$5+GanttPeriod),"◆",IF(AND($E53&gt;=AU$5,$E53&lt;AU$5+GanttPeriod),"◇","")),IF(AND(AU$5&lt;=$F53,AU$5+GanttPeriod-1&gt;=$E53),"━","")))</f>
        <v/>
      </c>
      <c r="AV53" s="69" t="str">
        <f aca="false">IF($E53="","",IF($M53,IF(AND($G53&gt;=AV$5,$G53&lt;AV$5+GanttPeriod),"◆",IF(AND($E53&gt;=AV$5,$E53&lt;AV$5+GanttPeriod),"◇","")),IF(AND(AV$5&lt;=$F53,AV$5+GanttPeriod-1&gt;=$E53),"━","")))</f>
        <v/>
      </c>
      <c r="AW53" s="69" t="str">
        <f aca="false">IF($E53="","",IF($M53,IF(AND($G53&gt;=AW$5,$G53&lt;AW$5+GanttPeriod),"◆",IF(AND($E53&gt;=AW$5,$E53&lt;AW$5+GanttPeriod),"◇","")),IF(AND(AW$5&lt;=$F53,AW$5+GanttPeriod-1&gt;=$E53),"━","")))</f>
        <v/>
      </c>
      <c r="AX53" s="69" t="str">
        <f aca="false">IF($E53="","",IF($M53,IF(AND($G53&gt;=AX$5,$G53&lt;AX$5+GanttPeriod),"◆",IF(AND($E53&gt;=AX$5,$E53&lt;AX$5+GanttPeriod),"◇","")),IF(AND(AX$5&lt;=$F53,AX$5+GanttPeriod-1&gt;=$E53),"━","")))</f>
        <v/>
      </c>
      <c r="AY53" s="69" t="str">
        <f aca="false">IF($E53="","",IF($M53,IF(AND($G53&gt;=AY$5,$G53&lt;AY$5+GanttPeriod),"◆",IF(AND($E53&gt;=AY$5,$E53&lt;AY$5+GanttPeriod),"◇","")),IF(AND(AY$5&lt;=$F53,AY$5+GanttPeriod-1&gt;=$E53),"━","")))</f>
        <v/>
      </c>
      <c r="AZ53" s="69" t="str">
        <f aca="false">IF($E53="","",IF($M53,IF(AND($G53&gt;=AZ$5,$G53&lt;AZ$5+GanttPeriod),"◆",IF(AND($E53&gt;=AZ$5,$E53&lt;AZ$5+GanttPeriod),"◇","")),IF(AND(AZ$5&lt;=$F53,AZ$5+GanttPeriod-1&gt;=$E53),"━","")))</f>
        <v/>
      </c>
      <c r="BA53" s="69" t="str">
        <f aca="false">IF($E53="","",IF($M53,IF(AND($G53&gt;=BA$5,$G53&lt;BA$5+GanttPeriod),"◆",IF(AND($E53&gt;=BA$5,$E53&lt;BA$5+GanttPeriod),"◇","")),IF(AND(BA$5&lt;=$F53,BA$5+GanttPeriod-1&gt;=$E53),"━","")))</f>
        <v/>
      </c>
      <c r="BB53" s="69" t="str">
        <f aca="false">IF($E53="","",IF($M53,IF(AND($G53&gt;=BB$5,$G53&lt;BB$5+GanttPeriod),"◆",IF(AND($E53&gt;=BB$5,$E53&lt;BB$5+GanttPeriod),"◇","")),IF(AND(BB$5&lt;=$F53,BB$5+GanttPeriod-1&gt;=$E53),"━","")))</f>
        <v/>
      </c>
      <c r="BC53" s="69" t="str">
        <f aca="false">IF($E53="","",IF($M53,IF(AND($G53&gt;=BC$5,$G53&lt;BC$5+GanttPeriod),"◆",IF(AND($E53&gt;=BC$5,$E53&lt;BC$5+GanttPeriod),"◇","")),IF(AND(BC$5&lt;=$F53,BC$5+GanttPeriod-1&gt;=$E53),"━","")))</f>
        <v/>
      </c>
      <c r="BD53" s="69" t="str">
        <f aca="false">IF($E53="","",IF($M53,IF(AND($G53&gt;=BD$5,$G53&lt;BD$5+GanttPeriod),"◆",IF(AND($E53&gt;=BD$5,$E53&lt;BD$5+GanttPeriod),"◇","")),IF(AND(BD$5&lt;=$F53,BD$5+GanttPeriod-1&gt;=$E53),"━","")))</f>
        <v/>
      </c>
      <c r="BE53" s="69" t="str">
        <f aca="false">IF($E53="","",IF($M53,IF(AND($G53&gt;=BE$5,$G53&lt;BE$5+GanttPeriod),"◆",IF(AND($E53&gt;=BE$5,$E53&lt;BE$5+GanttPeriod),"◇","")),IF(AND(BE$5&lt;=$F53,BE$5+GanttPeriod-1&gt;=$E53),"━","")))</f>
        <v/>
      </c>
      <c r="BF53" s="69" t="str">
        <f aca="false">IF($E53="","",IF($M53,IF(AND($G53&gt;=BF$5,$G53&lt;BF$5+GanttPeriod),"◆",IF(AND($E53&gt;=BF$5,$E53&lt;BF$5+GanttPeriod),"◇","")),IF(AND(BF$5&lt;=$F53,BF$5+GanttPeriod-1&gt;=$E53),"━","")))</f>
        <v/>
      </c>
      <c r="BG53" s="69" t="str">
        <f aca="false">IF($E53="","",IF($M53,IF(AND($G53&gt;=BG$5,$G53&lt;BG$5+GanttPeriod),"◆",IF(AND($E53&gt;=BG$5,$E53&lt;BG$5+GanttPeriod),"◇","")),IF(AND(BG$5&lt;=$F53,BG$5+GanttPeriod-1&gt;=$E53),"━","")))</f>
        <v/>
      </c>
      <c r="BH53" s="69" t="str">
        <f aca="false">IF($E53="","",IF($M53,IF(AND($G53&gt;=BH$5,$G53&lt;BH$5+GanttPeriod),"◆",IF(AND($E53&gt;=BH$5,$E53&lt;BH$5+GanttPeriod),"◇","")),IF(AND(BH$5&lt;=$F53,BH$5+GanttPeriod-1&gt;=$E53),"━","")))</f>
        <v/>
      </c>
      <c r="BI53" s="69" t="str">
        <f aca="false">IF($E53="","",IF($M53,IF(AND($G53&gt;=BI$5,$G53&lt;BI$5+GanttPeriod),"◆",IF(AND($E53&gt;=BI$5,$E53&lt;BI$5+GanttPeriod),"◇","")),IF(AND(BI$5&lt;=$F53,BI$5+GanttPeriod-1&gt;=$E53),"━","")))</f>
        <v/>
      </c>
      <c r="BJ53" s="69" t="str">
        <f aca="false">IF($E53="","",IF($M53,IF(AND($G53&gt;=BJ$5,$G53&lt;BJ$5+GanttPeriod),"◆",IF(AND($E53&gt;=BJ$5,$E53&lt;BJ$5+GanttPeriod),"◇","")),IF(AND(BJ$5&lt;=$F53,BJ$5+GanttPeriod-1&gt;=$E53),"━","")))</f>
        <v/>
      </c>
      <c r="BK53" s="69" t="str">
        <f aca="false">IF($E53="","",IF($M53,IF(AND($G53&gt;=BK$5,$G53&lt;BK$5+GanttPeriod),"◆",IF(AND($E53&gt;=BK$5,$E53&lt;BK$5+GanttPeriod),"◇","")),IF(AND(BK$5&lt;=$F53,BK$5+GanttPeriod-1&gt;=$E53),"━","")))</f>
        <v/>
      </c>
      <c r="BL53" s="69" t="str">
        <f aca="false">IF($E53="","",IF($M53,IF(AND($G53&gt;=BL$5,$G53&lt;BL$5+GanttPeriod),"◆",IF(AND($E53&gt;=BL$5,$E53&lt;BL$5+GanttPeriod),"◇","")),IF(AND(BL$5&lt;=$F53,BL$5+GanttPeriod-1&gt;=$E53),"━","")))</f>
        <v/>
      </c>
      <c r="BM53" s="69" t="str">
        <f aca="false">IF($E53="","",IF($M53,IF(AND($G53&gt;=BM$5,$G53&lt;BM$5+GanttPeriod),"◆",IF(AND($E53&gt;=BM$5,$E53&lt;BM$5+GanttPeriod),"◇","")),IF(AND(BM$5&lt;=$F53,BM$5+GanttPeriod-1&gt;=$E53),"━","")))</f>
        <v/>
      </c>
      <c r="BN53" s="69" t="str">
        <f aca="false">IF($E53="","",IF($M53,IF(AND($G53&gt;=BN$5,$G53&lt;BN$5+GanttPeriod),"◆",IF(AND($E53&gt;=BN$5,$E53&lt;BN$5+GanttPeriod),"◇","")),IF(AND(BN$5&lt;=$F53,BN$5+GanttPeriod-1&gt;=$E53),"━","")))</f>
        <v/>
      </c>
      <c r="BO53" s="69" t="str">
        <f aca="false">IF($E53="","",IF($M53,IF(AND($G53&gt;=BO$5,$G53&lt;BO$5+GanttPeriod),"◆",IF(AND($E53&gt;=BO$5,$E53&lt;BO$5+GanttPeriod),"◇","")),IF(AND(BO$5&lt;=$F53,BO$5+GanttPeriod-1&gt;=$E53),"━","")))</f>
        <v/>
      </c>
      <c r="BP53" s="69" t="str">
        <f aca="false">IF($E53="","",IF($M53,IF(AND($G53&gt;=BP$5,$G53&lt;BP$5+GanttPeriod),"◆",IF(AND($E53&gt;=BP$5,$E53&lt;BP$5+GanttPeriod),"◇","")),IF(AND(BP$5&lt;=$F53,BP$5+GanttPeriod-1&gt;=$E53),"━","")))</f>
        <v/>
      </c>
      <c r="BQ53" s="69" t="str">
        <f aca="false">IF($E53="","",IF($M53,IF(AND($G53&gt;=BQ$5,$G53&lt;BQ$5+GanttPeriod),"◆",IF(AND($E53&gt;=BQ$5,$E53&lt;BQ$5+GanttPeriod),"◇","")),IF(AND(BQ$5&lt;=$F53,BQ$5+GanttPeriod-1&gt;=$E53),"━","")))</f>
        <v/>
      </c>
      <c r="BR53" s="69" t="str">
        <f aca="false">IF($E53="","",IF($M53,IF(AND($G53&gt;=BR$5,$G53&lt;BR$5+GanttPeriod),"◆",IF(AND($E53&gt;=BR$5,$E53&lt;BR$5+GanttPeriod),"◇","")),IF(AND(BR$5&lt;=$F53,BR$5+GanttPeriod-1&gt;=$E53),"━","")))</f>
        <v/>
      </c>
      <c r="BS53" s="69" t="str">
        <f aca="false">IF($E53="","",IF($M53,IF(AND($G53&gt;=BS$5,$G53&lt;BS$5+GanttPeriod),"◆",IF(AND($E53&gt;=BS$5,$E53&lt;BS$5+GanttPeriod),"◇","")),IF(AND(BS$5&lt;=$F53,BS$5+GanttPeriod-1&gt;=$E53),"━","")))</f>
        <v/>
      </c>
      <c r="BT53" s="69" t="str">
        <f aca="false">IF($E53="","",IF($M53,IF(AND($G53&gt;=BT$5,$G53&lt;BT$5+GanttPeriod),"◆",IF(AND($E53&gt;=BT$5,$E53&lt;BT$5+GanttPeriod),"◇","")),IF(AND(BT$5&lt;=$F53,BT$5+GanttPeriod-1&gt;=$E53),"━","")))</f>
        <v/>
      </c>
      <c r="BU53" s="69" t="str">
        <f aca="false">IF($E53="","",IF($M53,IF(AND($G53&gt;=BU$5,$G53&lt;BU$5+GanttPeriod),"◆",IF(AND($E53&gt;=BU$5,$E53&lt;BU$5+GanttPeriod),"◇","")),IF(AND(BU$5&lt;=$F53,BU$5+GanttPeriod-1&gt;=$E53),"━","")))</f>
        <v/>
      </c>
      <c r="BV53" s="69" t="str">
        <f aca="false">IF($E53="","",IF($M53,IF(AND($G53&gt;=BV$5,$G53&lt;BV$5+GanttPeriod),"◆",IF(AND($E53&gt;=BV$5,$E53&lt;BV$5+GanttPeriod),"◇","")),IF(AND(BV$5&lt;=$F53,BV$5+GanttPeriod-1&gt;=$E53),"━","")))</f>
        <v/>
      </c>
      <c r="BW53" s="69" t="str">
        <f aca="false">IF($E53="","",IF($M53,IF(AND($G53&gt;=BW$5,$G53&lt;BW$5+GanttPeriod),"◆",IF(AND($E53&gt;=BW$5,$E53&lt;BW$5+GanttPeriod),"◇","")),IF(AND(BW$5&lt;=$F53,BW$5+GanttPeriod-1&gt;=$E53),"━","")))</f>
        <v/>
      </c>
      <c r="BX53" s="69" t="str">
        <f aca="false">IF($E53="","",IF($M53,IF(AND($G53&gt;=BX$5,$G53&lt;BX$5+GanttPeriod),"◆",IF(AND($E53&gt;=BX$5,$E53&lt;BX$5+GanttPeriod),"◇","")),IF(AND(BX$5&lt;=$F53,BX$5+GanttPeriod-1&gt;=$E53),"━","")))</f>
        <v/>
      </c>
      <c r="BY53" s="69" t="str">
        <f aca="false">IF($E53="","",IF($M53,IF(AND($G53&gt;=BY$5,$G53&lt;BY$5+GanttPeriod),"◆",IF(AND($E53&gt;=BY$5,$E53&lt;BY$5+GanttPeriod),"◇","")),IF(AND(BY$5&lt;=$F53,BY$5+GanttPeriod-1&gt;=$E53),"━","")))</f>
        <v/>
      </c>
      <c r="BZ53" s="69" t="str">
        <f aca="false">IF($E53="","",IF($M53,IF(AND($G53&gt;=BZ$5,$G53&lt;BZ$5+GanttPeriod),"◆",IF(AND($E53&gt;=BZ$5,$E53&lt;BZ$5+GanttPeriod),"◇","")),IF(AND(BZ$5&lt;=$F53,BZ$5+GanttPeriod-1&gt;=$E53),"━","")))</f>
        <v/>
      </c>
      <c r="CA53" s="69" t="str">
        <f aca="false">IF($E53="","",IF($M53,IF(AND($G53&gt;=CA$5,$G53&lt;CA$5+GanttPeriod),"◆",IF(AND($E53&gt;=CA$5,$E53&lt;CA$5+GanttPeriod),"◇","")),IF(AND(CA$5&lt;=$F53,CA$5+GanttPeriod-1&gt;=$E53),"━","")))</f>
        <v/>
      </c>
      <c r="CB53" s="69" t="str">
        <f aca="false">IF($E53="","",IF($M53,IF(AND($G53&gt;=CB$5,$G53&lt;CB$5+GanttPeriod),"◆",IF(AND($E53&gt;=CB$5,$E53&lt;CB$5+GanttPeriod),"◇","")),IF(AND(CB$5&lt;=$F53,CB$5+GanttPeriod-1&gt;=$E53),"━","")))</f>
        <v/>
      </c>
      <c r="CC53" s="69" t="str">
        <f aca="false">IF($E53="","",IF($M53,IF(AND($G53&gt;=CC$5,$G53&lt;CC$5+GanttPeriod),"◆",IF(AND($E53&gt;=CC$5,$E53&lt;CC$5+GanttPeriod),"◇","")),IF(AND(CC$5&lt;=$F53,CC$5+GanttPeriod-1&gt;=$E53),"━","")))</f>
        <v/>
      </c>
      <c r="CD53" s="69" t="str">
        <f aca="false">IF($E53="","",IF($M53,IF(AND($G53&gt;=CD$5,$G53&lt;CD$5+GanttPeriod),"◆",IF(AND($E53&gt;=CD$5,$E53&lt;CD$5+GanttPeriod),"◇","")),IF(AND(CD$5&lt;=$F53,CD$5+GanttPeriod-1&gt;=$E53),"━","")))</f>
        <v/>
      </c>
      <c r="CE53" s="69" t="str">
        <f aca="false">IF($E53="","",IF($M53,IF(AND($G53&gt;=CE$5,$G53&lt;CE$5+GanttPeriod),"◆",IF(AND($E53&gt;=CE$5,$E53&lt;CE$5+GanttPeriod),"◇","")),IF(AND(CE$5&lt;=$F53,CE$5+GanttPeriod-1&gt;=$E53),"━","")))</f>
        <v/>
      </c>
      <c r="CF53" s="69" t="str">
        <f aca="false">IF($E53="","",IF($M53,IF(AND($G53&gt;=CF$5,$G53&lt;CF$5+GanttPeriod),"◆",IF(AND($E53&gt;=CF$5,$E53&lt;CF$5+GanttPeriod),"◇","")),IF(AND(CF$5&lt;=$F53,CF$5+GanttPeriod-1&gt;=$E53),"━","")))</f>
        <v/>
      </c>
      <c r="CG53" s="69" t="str">
        <f aca="false">IF($E53="","",IF($M53,IF(AND($G53&gt;=CG$5,$G53&lt;CG$5+GanttPeriod),"◆",IF(AND($E53&gt;=CG$5,$E53&lt;CG$5+GanttPeriod),"◇","")),IF(AND(CG$5&lt;=$F53,CG$5+GanttPeriod-1&gt;=$E53),"━","")))</f>
        <v/>
      </c>
      <c r="CH53" s="69" t="str">
        <f aca="false">IF($E53="","",IF($M53,IF(AND($G53&gt;=CH$5,$G53&lt;CH$5+GanttPeriod),"◆",IF(AND($E53&gt;=CH$5,$E53&lt;CH$5+GanttPeriod),"◇","")),IF(AND(CH$5&lt;=$F53,CH$5+GanttPeriod-1&gt;=$E53),"━","")))</f>
        <v/>
      </c>
      <c r="CI53" s="69" t="str">
        <f aca="false">IF($E53="","",IF($M53,IF(AND($G53&gt;=CI$5,$G53&lt;CI$5+GanttPeriod),"◆",IF(AND($E53&gt;=CI$5,$E53&lt;CI$5+GanttPeriod),"◇","")),IF(AND(CI$5&lt;=$F53,CI$5+GanttPeriod-1&gt;=$E53),"━","")))</f>
        <v/>
      </c>
      <c r="CJ53" s="69" t="str">
        <f aca="false">IF($E53="","",IF($M53,IF(AND($G53&gt;=CJ$5,$G53&lt;CJ$5+GanttPeriod),"◆",IF(AND($E53&gt;=CJ$5,$E53&lt;CJ$5+GanttPeriod),"◇","")),IF(AND(CJ$5&lt;=$F53,CJ$5+GanttPeriod-1&gt;=$E53),"━","")))</f>
        <v/>
      </c>
      <c r="CK53" s="69" t="str">
        <f aca="false">IF($E53="","",IF($M53,IF(AND($G53&gt;=CK$5,$G53&lt;CK$5+GanttPeriod),"◆",IF(AND($E53&gt;=CK$5,$E53&lt;CK$5+GanttPeriod),"◇","")),IF(AND(CK$5&lt;=$F53,CK$5+GanttPeriod-1&gt;=$E53),"━","")))</f>
        <v/>
      </c>
      <c r="CL53" s="69" t="str">
        <f aca="false">IF($E53="","",IF($M53,IF(AND($G53&gt;=CL$5,$G53&lt;CL$5+GanttPeriod),"◆",IF(AND($E53&gt;=CL$5,$E53&lt;CL$5+GanttPeriod),"◇","")),IF(AND(CL$5&lt;=$F53,CL$5+GanttPeriod-1&gt;=$E53),"━","")))</f>
        <v/>
      </c>
      <c r="CM53" s="69" t="str">
        <f aca="false">IF($E53="","",IF($M53,IF(AND($G53&gt;=CM$5,$G53&lt;CM$5+GanttPeriod),"◆",IF(AND($E53&gt;=CM$5,$E53&lt;CM$5+GanttPeriod),"◇","")),IF(AND(CM$5&lt;=$F53,CM$5+GanttPeriod-1&gt;=$E53),"━","")))</f>
        <v/>
      </c>
      <c r="CN53" s="69" t="str">
        <f aca="false">IF($E53="","",IF($M53,IF(AND($G53&gt;=CN$5,$G53&lt;CN$5+GanttPeriod),"◆",IF(AND($E53&gt;=CN$5,$E53&lt;CN$5+GanttPeriod),"◇","")),IF(AND(CN$5&lt;=$F53,CN$5+GanttPeriod-1&gt;=$E53),"━","")))</f>
        <v/>
      </c>
      <c r="CO53" s="69" t="str">
        <f aca="false">IF($E53="","",IF($M53,IF(AND($G53&gt;=CO$5,$G53&lt;CO$5+GanttPeriod),"◆",IF(AND($E53&gt;=CO$5,$E53&lt;CO$5+GanttPeriod),"◇","")),IF(AND(CO$5&lt;=$F53,CO$5+GanttPeriod-1&gt;=$E53),"━","")))</f>
        <v/>
      </c>
      <c r="CP53" s="69" t="str">
        <f aca="false">IF($E53="","",IF($M53,IF(AND($G53&gt;=CP$5,$G53&lt;CP$5+GanttPeriod),"◆",IF(AND($E53&gt;=CP$5,$E53&lt;CP$5+GanttPeriod),"◇","")),IF(AND(CP$5&lt;=$F53,CP$5+GanttPeriod-1&gt;=$E53),"━","")))</f>
        <v/>
      </c>
      <c r="CQ53" s="69" t="str">
        <f aca="false">IF($E53="","",IF($M53,IF(AND($G53&gt;=CQ$5,$G53&lt;CQ$5+GanttPeriod),"◆",IF(AND($E53&gt;=CQ$5,$E53&lt;CQ$5+GanttPeriod),"◇","")),IF(AND(CQ$5&lt;=$F53,CQ$5+GanttPeriod-1&gt;=$E53),"━","")))</f>
        <v/>
      </c>
      <c r="CR53" s="69" t="str">
        <f aca="false">IF($E53="","",IF($M53,IF(AND($G53&gt;=CR$5,$G53&lt;CR$5+GanttPeriod),"◆",IF(AND($E53&gt;=CR$5,$E53&lt;CR$5+GanttPeriod),"◇","")),IF(AND(CR$5&lt;=$F53,CR$5+GanttPeriod-1&gt;=$E53),"━","")))</f>
        <v/>
      </c>
      <c r="CS53" s="69" t="str">
        <f aca="false">IF($E53="","",IF($M53,IF(AND($G53&gt;=CS$5,$G53&lt;CS$5+GanttPeriod),"◆",IF(AND($E53&gt;=CS$5,$E53&lt;CS$5+GanttPeriod),"◇","")),IF(AND(CS$5&lt;=$F53,CS$5+GanttPeriod-1&gt;=$E53),"━","")))</f>
        <v/>
      </c>
      <c r="CT53" s="69" t="str">
        <f aca="false">IF($E53="","",IF($M53,IF(AND($G53&gt;=CT$5,$G53&lt;CT$5+GanttPeriod),"◆",IF(AND($E53&gt;=CT$5,$E53&lt;CT$5+GanttPeriod),"◇","")),IF(AND(CT$5&lt;=$F53,CT$5+GanttPeriod-1&gt;=$E53),"━","")))</f>
        <v/>
      </c>
      <c r="CU53" s="69" t="str">
        <f aca="false">IF($E53="","",IF($M53,IF(AND($G53&gt;=CU$5,$G53&lt;CU$5+GanttPeriod),"◆",IF(AND($E53&gt;=CU$5,$E53&lt;CU$5+GanttPeriod),"◇","")),IF(AND(CU$5&lt;=$F53,CU$5+GanttPeriod-1&gt;=$E53),"━","")))</f>
        <v/>
      </c>
      <c r="CV53" s="69" t="str">
        <f aca="false">IF($E53="","",IF($M53,IF(AND($G53&gt;=CV$5,$G53&lt;CV$5+GanttPeriod),"◆",IF(AND($E53&gt;=CV$5,$E53&lt;CV$5+GanttPeriod),"◇","")),IF(AND(CV$5&lt;=$F53,CV$5+GanttPeriod-1&gt;=$E53),"━","")))</f>
        <v/>
      </c>
      <c r="CW53" s="69" t="str">
        <f aca="false">IF($E53="","",IF($M53,IF(AND($G53&gt;=CW$5,$G53&lt;CW$5+GanttPeriod),"◆",IF(AND($E53&gt;=CW$5,$E53&lt;CW$5+GanttPeriod),"◇","")),IF(AND(CW$5&lt;=$F53,CW$5+GanttPeriod-1&gt;=$E53),"━","")))</f>
        <v/>
      </c>
      <c r="CX53" s="69" t="str">
        <f aca="false">IF($E53="","",IF($M53,IF(AND($G53&gt;=CX$5,$G53&lt;CX$5+GanttPeriod),"◆",IF(AND($E53&gt;=CX$5,$E53&lt;CX$5+GanttPeriod),"◇","")),IF(AND(CX$5&lt;=$F53,CX$5+GanttPeriod-1&gt;=$E53),"━","")))</f>
        <v/>
      </c>
      <c r="CY53" s="69" t="str">
        <f aca="false">IF($E53="","",IF($M53,IF(AND($G53&gt;=CY$5,$G53&lt;CY$5+GanttPeriod),"◆",IF(AND($E53&gt;=CY$5,$E53&lt;CY$5+GanttPeriod),"◇","")),IF(AND(CY$5&lt;=$F53,CY$5+GanttPeriod-1&gt;=$E53),"━","")))</f>
        <v/>
      </c>
      <c r="CZ53" s="69" t="str">
        <f aca="false">IF($E53="","",IF($M53,IF(AND($G53&gt;=CZ$5,$G53&lt;CZ$5+GanttPeriod),"◆",IF(AND($E53&gt;=CZ$5,$E53&lt;CZ$5+GanttPeriod),"◇","")),IF(AND(CZ$5&lt;=$F53,CZ$5+GanttPeriod-1&gt;=$E53),"━","")))</f>
        <v/>
      </c>
      <c r="DA53" s="69" t="str">
        <f aca="false">IF($E53="","",IF($M53,IF(AND($G53&gt;=DA$5,$G53&lt;DA$5+GanttPeriod),"◆",IF(AND($E53&gt;=DA$5,$E53&lt;DA$5+GanttPeriod),"◇","")),IF(AND(DA$5&lt;=$F53,DA$5+GanttPeriod-1&gt;=$E53),"━","")))</f>
        <v/>
      </c>
      <c r="DB53" s="69" t="str">
        <f aca="false">IF($E53="","",IF($M53,IF(AND($G53&gt;=DB$5,$G53&lt;DB$5+GanttPeriod),"◆",IF(AND($E53&gt;=DB$5,$E53&lt;DB$5+GanttPeriod),"◇","")),IF(AND(DB$5&lt;=$F53,DB$5+GanttPeriod-1&gt;=$E53),"━","")))</f>
        <v/>
      </c>
      <c r="DC53" s="69" t="str">
        <f aca="false">IF($E53="","",IF($M53,IF(AND($G53&gt;=DC$5,$G53&lt;DC$5+GanttPeriod),"◆",IF(AND($E53&gt;=DC$5,$E53&lt;DC$5+GanttPeriod),"◇","")),IF(AND(DC$5&lt;=$F53,DC$5+GanttPeriod-1&gt;=$E53),"━","")))</f>
        <v/>
      </c>
      <c r="DD53" s="69" t="str">
        <f aca="false">IF($E53="","",IF($M53,IF(AND($G53&gt;=DD$5,$G53&lt;DD$5+GanttPeriod),"◆",IF(AND($E53&gt;=DD$5,$E53&lt;DD$5+GanttPeriod),"◇","")),IF(AND(DD$5&lt;=$F53,DD$5+GanttPeriod-1&gt;=$E53),"━","")))</f>
        <v/>
      </c>
      <c r="DE53" s="69" t="str">
        <f aca="false">IF($E53="","",IF($M53,IF(AND($G53&gt;=DE$5,$G53&lt;DE$5+GanttPeriod),"◆",IF(AND($E53&gt;=DE$5,$E53&lt;DE$5+GanttPeriod),"◇","")),IF(AND(DE$5&lt;=$F53,DE$5+GanttPeriod-1&gt;=$E53),"━","")))</f>
        <v/>
      </c>
      <c r="DF53" s="69" t="str">
        <f aca="false">IF($E53="","",IF($M53,IF(AND($G53&gt;=DF$5,$G53&lt;DF$5+GanttPeriod),"◆",IF(AND($E53&gt;=DF$5,$E53&lt;DF$5+GanttPeriod),"◇","")),IF(AND(DF$5&lt;=$F53,DF$5+GanttPeriod-1&gt;=$E53),"━","")))</f>
        <v/>
      </c>
      <c r="DG53" s="69" t="str">
        <f aca="false">IF($E53="","",IF($M53,IF(AND($G53&gt;=DG$5,$G53&lt;DG$5+GanttPeriod),"◆",IF(AND($E53&gt;=DG$5,$E53&lt;DG$5+GanttPeriod),"◇","")),IF(AND(DG$5&lt;=$F53,DG$5+GanttPeriod-1&gt;=$E53),"━","")))</f>
        <v/>
      </c>
      <c r="DH53" s="69" t="str">
        <f aca="false">IF($E53="","",IF($M53,IF(AND($G53&gt;=DH$5,$G53&lt;DH$5+GanttPeriod),"◆",IF(AND($E53&gt;=DH$5,$E53&lt;DH$5+GanttPeriod),"◇","")),IF(AND(DH$5&lt;=$F53,DH$5+GanttPeriod-1&gt;=$E53),"━","")))</f>
        <v/>
      </c>
      <c r="DI53" s="69" t="str">
        <f aca="false">IF($E53="","",IF($M53,IF(AND($G53&gt;=DI$5,$G53&lt;DI$5+GanttPeriod),"◆",IF(AND($E53&gt;=DI$5,$E53&lt;DI$5+GanttPeriod),"◇","")),IF(AND(DI$5&lt;=$F53,DI$5+GanttPeriod-1&gt;=$E53),"━","")))</f>
        <v/>
      </c>
      <c r="DJ53" s="69" t="str">
        <f aca="false">IF($E53="","",IF($M53,IF(AND($G53&gt;=DJ$5,$G53&lt;DJ$5+GanttPeriod),"◆",IF(AND($E53&gt;=DJ$5,$E53&lt;DJ$5+GanttPeriod),"◇","")),IF(AND(DJ$5&lt;=$F53,DJ$5+GanttPeriod-1&gt;=$E53),"━","")))</f>
        <v/>
      </c>
      <c r="DK53" s="69" t="str">
        <f aca="false">IF($E53="","",IF($M53,IF(AND($G53&gt;=DK$5,$G53&lt;DK$5+GanttPeriod),"◆",IF(AND($E53&gt;=DK$5,$E53&lt;DK$5+GanttPeriod),"◇","")),IF(AND(DK$5&lt;=$F53,DK$5+GanttPeriod-1&gt;=$E53),"━","")))</f>
        <v/>
      </c>
      <c r="DL53" s="69" t="str">
        <f aca="false">IF($E53="","",IF($M53,IF(AND($G53&gt;=DL$5,$G53&lt;DL$5+GanttPeriod),"◆",IF(AND($E53&gt;=DL$5,$E53&lt;DL$5+GanttPeriod),"◇","")),IF(AND(DL$5&lt;=$F53,DL$5+GanttPeriod-1&gt;=$E53),"━","")))</f>
        <v/>
      </c>
      <c r="DM53" s="69" t="str">
        <f aca="false">IF($E53="","",IF($M53,IF(AND($G53&gt;=DM$5,$G53&lt;DM$5+GanttPeriod),"◆",IF(AND($E53&gt;=DM$5,$E53&lt;DM$5+GanttPeriod),"◇","")),IF(AND(DM$5&lt;=$F53,DM$5+GanttPeriod-1&gt;=$E53),"━","")))</f>
        <v/>
      </c>
      <c r="DN53" s="69" t="str">
        <f aca="false">IF($E53="","",IF($M53,IF(AND($G53&gt;=DN$5,$G53&lt;DN$5+GanttPeriod),"◆",IF(AND($E53&gt;=DN$5,$E53&lt;DN$5+GanttPeriod),"◇","")),IF(AND(DN$5&lt;=$F53,DN$5+GanttPeriod-1&gt;=$E53),"━","")))</f>
        <v/>
      </c>
      <c r="DO53" s="69" t="str">
        <f aca="false">IF($E53="","",IF($M53,IF(AND($G53&gt;=DO$5,$G53&lt;DO$5+GanttPeriod),"◆",IF(AND($E53&gt;=DO$5,$E53&lt;DO$5+GanttPeriod),"◇","")),IF(AND(DO$5&lt;=$F53,DO$5+GanttPeriod-1&gt;=$E53),"━","")))</f>
        <v/>
      </c>
      <c r="DP53" s="69" t="str">
        <f aca="false">IF($E53="","",IF($M53,IF(AND($G53&gt;=DP$5,$G53&lt;DP$5+GanttPeriod),"◆",IF(AND($E53&gt;=DP$5,$E53&lt;DP$5+GanttPeriod),"◇","")),IF(AND(DP$5&lt;=$F53,DP$5+GanttPeriod-1&gt;=$E53),"━","")))</f>
        <v/>
      </c>
      <c r="DQ53" s="69" t="str">
        <f aca="false">IF($E53="","",IF($M53,IF(AND($G53&gt;=DQ$5,$G53&lt;DQ$5+GanttPeriod),"◆",IF(AND($E53&gt;=DQ$5,$E53&lt;DQ$5+GanttPeriod),"◇","")),IF(AND(DQ$5&lt;=$F53,DQ$5+GanttPeriod-1&gt;=$E53),"━","")))</f>
        <v/>
      </c>
      <c r="DR53" s="69" t="str">
        <f aca="false">IF($E53="","",IF($M53,IF(AND($G53&gt;=DR$5,$G53&lt;DR$5+GanttPeriod),"◆",IF(AND($E53&gt;=DR$5,$E53&lt;DR$5+GanttPeriod),"◇","")),IF(AND(DR$5&lt;=$F53,DR$5+GanttPeriod-1&gt;=$E53),"━","")))</f>
        <v/>
      </c>
      <c r="DS53" s="69" t="str">
        <f aca="false">IF($E53="","",IF($M53,IF(AND($G53&gt;=DS$5,$G53&lt;DS$5+GanttPeriod),"◆",IF(AND($E53&gt;=DS$5,$E53&lt;DS$5+GanttPeriod),"◇","")),IF(AND(DS$5&lt;=$F53,DS$5+GanttPeriod-1&gt;=$E53),"━","")))</f>
        <v/>
      </c>
      <c r="DT53" s="69" t="str">
        <f aca="false">IF($E53="","",IF($M53,IF(AND($G53&gt;=DT$5,$G53&lt;DT$5+GanttPeriod),"◆",IF(AND($E53&gt;=DT$5,$E53&lt;DT$5+GanttPeriod),"◇","")),IF(AND(DT$5&lt;=$F53,DT$5+GanttPeriod-1&gt;=$E53),"━","")))</f>
        <v/>
      </c>
      <c r="DU53" s="69" t="str">
        <f aca="false">IF($E53="","",IF($M53,IF(AND($G53&gt;=DU$5,$G53&lt;DU$5+GanttPeriod),"◆",IF(AND($E53&gt;=DU$5,$E53&lt;DU$5+GanttPeriod),"◇","")),IF(AND(DU$5&lt;=$F53,DU$5+GanttPeriod-1&gt;=$E53),"━","")))</f>
        <v/>
      </c>
      <c r="DV53" s="69" t="str">
        <f aca="false">IF($E53="","",IF($M53,IF(AND($G53&gt;=DV$5,$G53&lt;DV$5+GanttPeriod),"◆",IF(AND($E53&gt;=DV$5,$E53&lt;DV$5+GanttPeriod),"◇","")),IF(AND(DV$5&lt;=$F53,DV$5+GanttPeriod-1&gt;=$E53),"━","")))</f>
        <v/>
      </c>
      <c r="DW53" s="69" t="str">
        <f aca="false">IF($E53="","",IF($M53,IF(AND($G53&gt;=DW$5,$G53&lt;DW$5+GanttPeriod),"◆",IF(AND($E53&gt;=DW$5,$E53&lt;DW$5+GanttPeriod),"◇","")),IF(AND(DW$5&lt;=$F53,DW$5+GanttPeriod-1&gt;=$E53),"━","")))</f>
        <v/>
      </c>
      <c r="DX53" s="69" t="str">
        <f aca="false">IF($E53="","",IF($M53,IF(AND($G53&gt;=DX$5,$G53&lt;DX$5+GanttPeriod),"◆",IF(AND($E53&gt;=DX$5,$E53&lt;DX$5+GanttPeriod),"◇","")),IF(AND(DX$5&lt;=$F53,DX$5+GanttPeriod-1&gt;=$E53),"━","")))</f>
        <v/>
      </c>
      <c r="DY53" s="69" t="str">
        <f aca="false">IF($E53="","",IF($M53,IF(AND($G53&gt;=DY$5,$G53&lt;DY$5+GanttPeriod),"◆",IF(AND($E53&gt;=DY$5,$E53&lt;DY$5+GanttPeriod),"◇","")),IF(AND(DY$5&lt;=$F53,DY$5+GanttPeriod-1&gt;=$E53),"━","")))</f>
        <v/>
      </c>
      <c r="DZ53" s="69" t="str">
        <f aca="false">IF($E53="","",IF($M53,IF(AND($G53&gt;=DZ$5,$G53&lt;DZ$5+GanttPeriod),"◆",IF(AND($E53&gt;=DZ$5,$E53&lt;DZ$5+GanttPeriod),"◇","")),IF(AND(DZ$5&lt;=$F53,DZ$5+GanttPeriod-1&gt;=$E53),"━","")))</f>
        <v/>
      </c>
      <c r="EA53" s="69" t="str">
        <f aca="false">IF($E53="","",IF($M53,IF(AND($G53&gt;=EA$5,$G53&lt;EA$5+GanttPeriod),"◆",IF(AND($E53&gt;=EA$5,$E53&lt;EA$5+GanttPeriod),"◇","")),IF(AND(EA$5&lt;=$F53,EA$5+GanttPeriod-1&gt;=$E53),"━","")))</f>
        <v/>
      </c>
      <c r="EB53" s="69" t="str">
        <f aca="false">IF($E53="","",IF($M53,IF(AND($G53&gt;=EB$5,$G53&lt;EB$5+GanttPeriod),"◆",IF(AND($E53&gt;=EB$5,$E53&lt;EB$5+GanttPeriod),"◇","")),IF(AND(EB$5&lt;=$F53,EB$5+GanttPeriod-1&gt;=$E53),"━","")))</f>
        <v/>
      </c>
      <c r="EC53" s="69" t="str">
        <f aca="false">IF($E53="","",IF($M53,IF(AND($G53&gt;=EC$5,$G53&lt;EC$5+GanttPeriod),"◆",IF(AND($E53&gt;=EC$5,$E53&lt;EC$5+GanttPeriod),"◇","")),IF(AND(EC$5&lt;=$F53,EC$5+GanttPeriod-1&gt;=$E53),"━","")))</f>
        <v/>
      </c>
      <c r="ED53" s="69" t="str">
        <f aca="false">IF($E53="","",IF($M53,IF(AND($G53&gt;=ED$5,$G53&lt;ED$5+GanttPeriod),"◆",IF(AND($E53&gt;=ED$5,$E53&lt;ED$5+GanttPeriod),"◇","")),IF(AND(ED$5&lt;=$F53,ED$5+GanttPeriod-1&gt;=$E53),"━","")))</f>
        <v/>
      </c>
      <c r="EE53" s="69" t="str">
        <f aca="false">IF($E53="","",IF($M53,IF(AND($G53&gt;=EE$5,$G53&lt;EE$5+GanttPeriod),"◆",IF(AND($E53&gt;=EE$5,$E53&lt;EE$5+GanttPeriod),"◇","")),IF(AND(EE$5&lt;=$F53,EE$5+GanttPeriod-1&gt;=$E53),"━","")))</f>
        <v/>
      </c>
      <c r="EF53" s="69" t="str">
        <f aca="false">IF($E53="","",IF($M53,IF(AND($G53&gt;=EF$5,$G53&lt;EF$5+GanttPeriod),"◆",IF(AND($E53&gt;=EF$5,$E53&lt;EF$5+GanttPeriod),"◇","")),IF(AND(EF$5&lt;=$F53,EF$5+GanttPeriod-1&gt;=$E53),"━","")))</f>
        <v/>
      </c>
      <c r="EG53" s="69" t="str">
        <f aca="false">IF($E53="","",IF($M53,IF(AND($G53&gt;=EG$5,$G53&lt;EG$5+GanttPeriod),"◆",IF(AND($E53&gt;=EG$5,$E53&lt;EG$5+GanttPeriod),"◇","")),IF(AND(EG$5&lt;=$F53,EG$5+GanttPeriod-1&gt;=$E53),"━","")))</f>
        <v/>
      </c>
      <c r="EH53" s="69" t="str">
        <f aca="false">IF($E53="","",IF($M53,IF(AND($G53&gt;=EH$5,$G53&lt;EH$5+GanttPeriod),"◆",IF(AND($E53&gt;=EH$5,$E53&lt;EH$5+GanttPeriod),"◇","")),IF(AND(EH$5&lt;=$F53,EH$5+GanttPeriod-1&gt;=$E53),"━","")))</f>
        <v/>
      </c>
      <c r="EI53" s="69" t="str">
        <f aca="false">IF($E53="","",IF($M53,IF(AND($G53&gt;=EI$5,$G53&lt;EI$5+GanttPeriod),"◆",IF(AND($E53&gt;=EI$5,$E53&lt;EI$5+GanttPeriod),"◇","")),IF(AND(EI$5&lt;=$F53,EI$5+GanttPeriod-1&gt;=$E53),"━","")))</f>
        <v/>
      </c>
      <c r="EJ53" s="69" t="str">
        <f aca="false">IF($E53="","",IF($M53,IF(AND($G53&gt;=EJ$5,$G53&lt;EJ$5+GanttPeriod),"◆",IF(AND($E53&gt;=EJ$5,$E53&lt;EJ$5+GanttPeriod),"◇","")),IF(AND(EJ$5&lt;=$F53,EJ$5+GanttPeriod-1&gt;=$E53),"━","")))</f>
        <v/>
      </c>
      <c r="EK53" s="69" t="str">
        <f aca="false">IF($E53="","",IF($M53,IF(AND($G53&gt;=EK$5,$G53&lt;EK$5+GanttPeriod),"◆",IF(AND($E53&gt;=EK$5,$E53&lt;EK$5+GanttPeriod),"◇","")),IF(AND(EK$5&lt;=$F53,EK$5+GanttPeriod-1&gt;=$E53),"━","")))</f>
        <v/>
      </c>
      <c r="EL53" s="69" t="str">
        <f aca="false">IF($E53="","",IF($M53,IF(AND($G53&gt;=EL$5,$G53&lt;EL$5+GanttPeriod),"◆",IF(AND($E53&gt;=EL$5,$E53&lt;EL$5+GanttPeriod),"◇","")),IF(AND(EL$5&lt;=$F53,EL$5+GanttPeriod-1&gt;=$E53),"━","")))</f>
        <v/>
      </c>
      <c r="EM53" s="69" t="str">
        <f aca="false">IF($E53="","",IF($M53,IF(AND($G53&gt;=EM$5,$G53&lt;EM$5+GanttPeriod),"◆",IF(AND($E53&gt;=EM$5,$E53&lt;EM$5+GanttPeriod),"◇","")),IF(AND(EM$5&lt;=$F53,EM$5+GanttPeriod-1&gt;=$E53),"━","")))</f>
        <v/>
      </c>
      <c r="EN53" s="69" t="str">
        <f aca="false">IF($E53="","",IF($M53,IF(AND($G53&gt;=EN$5,$G53&lt;EN$5+GanttPeriod),"◆",IF(AND($E53&gt;=EN$5,$E53&lt;EN$5+GanttPeriod),"◇","")),IF(AND(EN$5&lt;=$F53,EN$5+GanttPeriod-1&gt;=$E53),"━","")))</f>
        <v/>
      </c>
      <c r="EO53" s="69" t="str">
        <f aca="false">IF($E53="","",IF($M53,IF(AND($G53&gt;=EO$5,$G53&lt;EO$5+GanttPeriod),"◆",IF(AND($E53&gt;=EO$5,$E53&lt;EO$5+GanttPeriod),"◇","")),IF(AND(EO$5&lt;=$F53,EO$5+GanttPeriod-1&gt;=$E53),"━","")))</f>
        <v/>
      </c>
      <c r="EP53" s="69" t="str">
        <f aca="false">IF($E53="","",IF($M53,IF(AND($G53&gt;=EP$5,$G53&lt;EP$5+GanttPeriod),"◆",IF(AND($E53&gt;=EP$5,$E53&lt;EP$5+GanttPeriod),"◇","")),IF(AND(EP$5&lt;=$F53,EP$5+GanttPeriod-1&gt;=$E53),"━","")))</f>
        <v/>
      </c>
      <c r="EQ53" s="69" t="str">
        <f aca="false">IF($E53="","",IF($M53,IF(AND($G53&gt;=EQ$5,$G53&lt;EQ$5+GanttPeriod),"◆",IF(AND($E53&gt;=EQ$5,$E53&lt;EQ$5+GanttPeriod),"◇","")),IF(AND(EQ$5&lt;=$F53,EQ$5+GanttPeriod-1&gt;=$E53),"━","")))</f>
        <v/>
      </c>
      <c r="ER53" s="69" t="str">
        <f aca="false">IF($E53="","",IF($M53,IF(AND($G53&gt;=ER$5,$G53&lt;ER$5+GanttPeriod),"◆",IF(AND($E53&gt;=ER$5,$E53&lt;ER$5+GanttPeriod),"◇","")),IF(AND(ER$5&lt;=$F53,ER$5+GanttPeriod-1&gt;=$E53),"━","")))</f>
        <v/>
      </c>
      <c r="ES53" s="69" t="str">
        <f aca="false">IF($E53="","",IF($M53,IF(AND($G53&gt;=ES$5,$G53&lt;ES$5+GanttPeriod),"◆",IF(AND($E53&gt;=ES$5,$E53&lt;ES$5+GanttPeriod),"◇","")),IF(AND(ES$5&lt;=$F53,ES$5+GanttPeriod-1&gt;=$E53),"━","")))</f>
        <v/>
      </c>
      <c r="ET53" s="69" t="str">
        <f aca="false">IF($E53="","",IF($M53,IF(AND($G53&gt;=ET$5,$G53&lt;ET$5+GanttPeriod),"◆",IF(AND($E53&gt;=ET$5,$E53&lt;ET$5+GanttPeriod),"◇","")),IF(AND(ET$5&lt;=$F53,ET$5+GanttPeriod-1&gt;=$E53),"━","")))</f>
        <v/>
      </c>
      <c r="EU53" s="69" t="str">
        <f aca="false">IF($E53="","",IF($M53,IF(AND($G53&gt;=EU$5,$G53&lt;EU$5+GanttPeriod),"◆",IF(AND($E53&gt;=EU$5,$E53&lt;EU$5+GanttPeriod),"◇","")),IF(AND(EU$5&lt;=$F53,EU$5+GanttPeriod-1&gt;=$E53),"━","")))</f>
        <v/>
      </c>
      <c r="EV53" s="69" t="str">
        <f aca="false">IF($E53="","",IF($M53,IF(AND($G53&gt;=EV$5,$G53&lt;EV$5+GanttPeriod),"◆",IF(AND($E53&gt;=EV$5,$E53&lt;EV$5+GanttPeriod),"◇","")),IF(AND(EV$5&lt;=$F53,EV$5+GanttPeriod-1&gt;=$E53),"━","")))</f>
        <v/>
      </c>
      <c r="EW53" s="69" t="str">
        <f aca="false">IF($E53="","",IF($M53,IF(AND($G53&gt;=EW$5,$G53&lt;EW$5+GanttPeriod),"◆",IF(AND($E53&gt;=EW$5,$E53&lt;EW$5+GanttPeriod),"◇","")),IF(AND(EW$5&lt;=$F53,EW$5+GanttPeriod-1&gt;=$E53),"━","")))</f>
        <v/>
      </c>
      <c r="EX53" s="69" t="str">
        <f aca="false">IF($E53="","",IF($M53,IF(AND($G53&gt;=EX$5,$G53&lt;EX$5+GanttPeriod),"◆",IF(AND($E53&gt;=EX$5,$E53&lt;EX$5+GanttPeriod),"◇","")),IF(AND(EX$5&lt;=$F53,EX$5+GanttPeriod-1&gt;=$E53),"━","")))</f>
        <v/>
      </c>
      <c r="EY53" s="69" t="str">
        <f aca="false">IF($E53="","",IF($M53,IF(AND($G53&gt;=EY$5,$G53&lt;EY$5+GanttPeriod),"◆",IF(AND($E53&gt;=EY$5,$E53&lt;EY$5+GanttPeriod),"◇","")),IF(AND(EY$5&lt;=$F53,EY$5+GanttPeriod-1&gt;=$E53),"━","")))</f>
        <v/>
      </c>
      <c r="EZ53" s="69" t="str">
        <f aca="false">IF($E53="","",IF($M53,IF(AND($G53&gt;=EZ$5,$G53&lt;EZ$5+GanttPeriod),"◆",IF(AND($E53&gt;=EZ$5,$E53&lt;EZ$5+GanttPeriod),"◇","")),IF(AND(EZ$5&lt;=$F53,EZ$5+GanttPeriod-1&gt;=$E53),"━","")))</f>
        <v/>
      </c>
      <c r="FA53" s="69" t="str">
        <f aca="false">IF($E53="","",IF($M53,IF(AND($G53&gt;=FA$5,$G53&lt;FA$5+GanttPeriod),"◆",IF(AND($E53&gt;=FA$5,$E53&lt;FA$5+GanttPeriod),"◇","")),IF(AND(FA$5&lt;=$F53,FA$5+GanttPeriod-1&gt;=$E53),"━","")))</f>
        <v/>
      </c>
      <c r="FB53" s="69" t="str">
        <f aca="false">IF($E53="","",IF($M53,IF(AND($G53&gt;=FB$5,$G53&lt;FB$5+GanttPeriod),"◆",IF(AND($E53&gt;=FB$5,$E53&lt;FB$5+GanttPeriod),"◇","")),IF(AND(FB$5&lt;=$F53,FB$5+GanttPeriod-1&gt;=$E53),"━","")))</f>
        <v/>
      </c>
      <c r="FC53" s="69" t="str">
        <f aca="false">IF($E53="","",IF($M53,IF(AND($G53&gt;=FC$5,$G53&lt;FC$5+GanttPeriod),"◆",IF(AND($E53&gt;=FC$5,$E53&lt;FC$5+GanttPeriod),"◇","")),IF(AND(FC$5&lt;=$F53,FC$5+GanttPeriod-1&gt;=$E53),"━","")))</f>
        <v/>
      </c>
      <c r="FD53" s="69" t="str">
        <f aca="false">IF($E53="","",IF($M53,IF(AND($G53&gt;=FD$5,$G53&lt;FD$5+GanttPeriod),"◆",IF(AND($E53&gt;=FD$5,$E53&lt;FD$5+GanttPeriod),"◇","")),IF(AND(FD$5&lt;=$F53,FD$5+GanttPeriod-1&gt;=$E53),"━","")))</f>
        <v/>
      </c>
      <c r="FE53" s="69" t="str">
        <f aca="false">IF($E53="","",IF($M53,IF(AND($G53&gt;=FE$5,$G53&lt;FE$5+GanttPeriod),"◆",IF(AND($E53&gt;=FE$5,$E53&lt;FE$5+GanttPeriod),"◇","")),IF(AND(FE$5&lt;=$F53,FE$5+GanttPeriod-1&gt;=$E53),"━","")))</f>
        <v/>
      </c>
      <c r="FF53" s="69" t="str">
        <f aca="false">IF($E53="","",IF($M53,IF(AND($G53&gt;=FF$5,$G53&lt;FF$5+GanttPeriod),"◆",IF(AND($E53&gt;=FF$5,$E53&lt;FF$5+GanttPeriod),"◇","")),IF(AND(FF$5&lt;=$F53,FF$5+GanttPeriod-1&gt;=$E53),"━","")))</f>
        <v/>
      </c>
      <c r="FG53" s="69" t="str">
        <f aca="false">IF($E53="","",IF($M53,IF(AND($G53&gt;=FG$5,$G53&lt;FG$5+GanttPeriod),"◆",IF(AND($E53&gt;=FG$5,$E53&lt;FG$5+GanttPeriod),"◇","")),IF(AND(FG$5&lt;=$F53,FG$5+GanttPeriod-1&gt;=$E53),"━","")))</f>
        <v/>
      </c>
      <c r="FH53" s="69" t="str">
        <f aca="false">IF($E53="","",IF($M53,IF(AND($G53&gt;=FH$5,$G53&lt;FH$5+GanttPeriod),"◆",IF(AND($E53&gt;=FH$5,$E53&lt;FH$5+GanttPeriod),"◇","")),IF(AND(FH$5&lt;=$F53,FH$5+GanttPeriod-1&gt;=$E53),"━","")))</f>
        <v/>
      </c>
      <c r="FI53" s="69" t="str">
        <f aca="false">IF($E53="","",IF($M53,IF(AND($G53&gt;=FI$5,$G53&lt;FI$5+GanttPeriod),"◆",IF(AND($E53&gt;=FI$5,$E53&lt;FI$5+GanttPeriod),"◇","")),IF(AND(FI$5&lt;=$F53,FI$5+GanttPeriod-1&gt;=$E53),"━","")))</f>
        <v/>
      </c>
      <c r="FJ53" s="69" t="str">
        <f aca="false">IF($E53="","",IF($M53,IF(AND($G53&gt;=FJ$5,$G53&lt;FJ$5+GanttPeriod),"◆",IF(AND($E53&gt;=FJ$5,$E53&lt;FJ$5+GanttPeriod),"◇","")),IF(AND(FJ$5&lt;=$F53,FJ$5+GanttPeriod-1&gt;=$E53),"━","")))</f>
        <v/>
      </c>
      <c r="FK53" s="69" t="str">
        <f aca="false">IF($E53="","",IF($M53,IF(AND($G53&gt;=FK$5,$G53&lt;FK$5+GanttPeriod),"◆",IF(AND($E53&gt;=FK$5,$E53&lt;FK$5+GanttPeriod),"◇","")),IF(AND(FK$5&lt;=$F53,FK$5+GanttPeriod-1&gt;=$E53),"━","")))</f>
        <v/>
      </c>
      <c r="FL53" s="69" t="str">
        <f aca="false">IF($E53="","",IF($M53,IF(AND($G53&gt;=FL$5,$G53&lt;FL$5+GanttPeriod),"◆",IF(AND($E53&gt;=FL$5,$E53&lt;FL$5+GanttPeriod),"◇","")),IF(AND(FL$5&lt;=$F53,FL$5+GanttPeriod-1&gt;=$E53),"━","")))</f>
        <v/>
      </c>
      <c r="FM53" s="69" t="str">
        <f aca="false">IF($E53="","",IF($M53,IF(AND($G53&gt;=FM$5,$G53&lt;FM$5+GanttPeriod),"◆",IF(AND($E53&gt;=FM$5,$E53&lt;FM$5+GanttPeriod),"◇","")),IF(AND(FM$5&lt;=$F53,FM$5+GanttPeriod-1&gt;=$E53),"━","")))</f>
        <v/>
      </c>
    </row>
    <row r="54" customFormat="false" ht="15" hidden="false" customHeight="false" outlineLevel="0" collapsed="false">
      <c r="A54" s="62" t="str">
        <f aca="false">IF(Tasks!$D54="","",Tasks!$A54)</f>
        <v/>
      </c>
      <c r="B54" s="62" t="str">
        <f aca="false">IF(Tasks!$D54="","",Tasks!$B54)</f>
        <v/>
      </c>
      <c r="C54" s="63" t="str">
        <f aca="false">IF(Tasks!$D54="","",REPT("    ",Tasks!$AE54-1)&amp;Tasks!$D54)</f>
        <v/>
      </c>
      <c r="D54" s="62" t="str">
        <f aca="false">IF(Tasks!$D54="","",IF(Tasks!$AI54,NETWORKDAYS.INTL(Tasks!$R54,Tasks!$S54,WorkWeek,Holidays),N(Tasks!$F54)))</f>
        <v/>
      </c>
      <c r="E54" s="64" t="str">
        <f aca="false">IF(Tasks!$D54="","",Tasks!$N54)</f>
        <v/>
      </c>
      <c r="F54" s="64" t="str">
        <f aca="false">IF(Tasks!$D54="","",Tasks!$O54)</f>
        <v/>
      </c>
      <c r="G54" s="64" t="str">
        <f aca="false">IF(Tasks!$D54="","",Tasks!$R54)</f>
        <v/>
      </c>
      <c r="H54" s="64" t="str">
        <f aca="false">IF(Tasks!$D54="","",Tasks!$S54)</f>
        <v/>
      </c>
      <c r="I54" s="65" t="str">
        <f aca="false">IF(Tasks!$D54="","",Tasks!$V54)</f>
        <v/>
      </c>
      <c r="J54" s="63" t="str">
        <f aca="false">IF(Tasks!$D54="","",Tasks!$X54&amp;"")</f>
        <v/>
      </c>
      <c r="K54" s="66" t="str">
        <f aca="false">IF(Tasks!$D54="","",Tasks!$W54)</f>
        <v/>
      </c>
      <c r="L54" s="67" t="b">
        <f aca="false">IF(Tasks!$D54="",FALSE(),Tasks!$AI54)</f>
        <v>0</v>
      </c>
      <c r="M54" s="67" t="b">
        <f aca="false">AND(Tasks!$AJ54=1,N(Tasks!$F54)=0)</f>
        <v>0</v>
      </c>
      <c r="N54" s="68" t="n">
        <f aca="false">IF(AND(Tasks!$AJ54=1,NOT($M54),N($I54)&gt;0),$G54,0)</f>
        <v>0</v>
      </c>
      <c r="O54" s="68" t="n">
        <f aca="false">IF($N54=0,0,IF($I54&gt;=1,$H54,MAX($N54,$G54+ROUND(($H54-$G54+1)*$I54,0)-1)))</f>
        <v>0</v>
      </c>
      <c r="P54" s="68" t="n">
        <f aca="false">IF(OR(Tasks!$AJ54&lt;&gt;1,$M54,N($I54)&gt;=1),0,IF($O54&gt;0,$O54+1,$G54))</f>
        <v>0</v>
      </c>
      <c r="Q54" s="68" t="n">
        <f aca="false">IF($P54=0,0,$H54)</f>
        <v>0</v>
      </c>
      <c r="R54" s="67" t="b">
        <f aca="false">AND(Tasks!$D54&lt;&gt;"",N(Tasks!$T54)&gt;0)</f>
        <v>0</v>
      </c>
      <c r="T54" s="69" t="str">
        <f aca="false">IF($E54="","",IF($M54,IF(AND($G54&gt;=T$5,$G54&lt;T$5+GanttPeriod),"◆",IF(AND($E54&gt;=T$5,$E54&lt;T$5+GanttPeriod),"◇","")),IF(AND(T$5&lt;=$F54,T$5+GanttPeriod-1&gt;=$E54),"━","")))</f>
        <v/>
      </c>
      <c r="U54" s="69" t="str">
        <f aca="false">IF($E54="","",IF($M54,IF(AND($G54&gt;=U$5,$G54&lt;U$5+GanttPeriod),"◆",IF(AND($E54&gt;=U$5,$E54&lt;U$5+GanttPeriod),"◇","")),IF(AND(U$5&lt;=$F54,U$5+GanttPeriod-1&gt;=$E54),"━","")))</f>
        <v/>
      </c>
      <c r="V54" s="69" t="str">
        <f aca="false">IF($E54="","",IF($M54,IF(AND($G54&gt;=V$5,$G54&lt;V$5+GanttPeriod),"◆",IF(AND($E54&gt;=V$5,$E54&lt;V$5+GanttPeriod),"◇","")),IF(AND(V$5&lt;=$F54,V$5+GanttPeriod-1&gt;=$E54),"━","")))</f>
        <v/>
      </c>
      <c r="W54" s="69" t="str">
        <f aca="false">IF($E54="","",IF($M54,IF(AND($G54&gt;=W$5,$G54&lt;W$5+GanttPeriod),"◆",IF(AND($E54&gt;=W$5,$E54&lt;W$5+GanttPeriod),"◇","")),IF(AND(W$5&lt;=$F54,W$5+GanttPeriod-1&gt;=$E54),"━","")))</f>
        <v/>
      </c>
      <c r="X54" s="69" t="str">
        <f aca="false">IF($E54="","",IF($M54,IF(AND($G54&gt;=X$5,$G54&lt;X$5+GanttPeriod),"◆",IF(AND($E54&gt;=X$5,$E54&lt;X$5+GanttPeriod),"◇","")),IF(AND(X$5&lt;=$F54,X$5+GanttPeriod-1&gt;=$E54),"━","")))</f>
        <v/>
      </c>
      <c r="Y54" s="69" t="str">
        <f aca="false">IF($E54="","",IF($M54,IF(AND($G54&gt;=Y$5,$G54&lt;Y$5+GanttPeriod),"◆",IF(AND($E54&gt;=Y$5,$E54&lt;Y$5+GanttPeriod),"◇","")),IF(AND(Y$5&lt;=$F54,Y$5+GanttPeriod-1&gt;=$E54),"━","")))</f>
        <v/>
      </c>
      <c r="Z54" s="69" t="str">
        <f aca="false">IF($E54="","",IF($M54,IF(AND($G54&gt;=Z$5,$G54&lt;Z$5+GanttPeriod),"◆",IF(AND($E54&gt;=Z$5,$E54&lt;Z$5+GanttPeriod),"◇","")),IF(AND(Z$5&lt;=$F54,Z$5+GanttPeriod-1&gt;=$E54),"━","")))</f>
        <v/>
      </c>
      <c r="AA54" s="69" t="str">
        <f aca="false">IF($E54="","",IF($M54,IF(AND($G54&gt;=AA$5,$G54&lt;AA$5+GanttPeriod),"◆",IF(AND($E54&gt;=AA$5,$E54&lt;AA$5+GanttPeriod),"◇","")),IF(AND(AA$5&lt;=$F54,AA$5+GanttPeriod-1&gt;=$E54),"━","")))</f>
        <v/>
      </c>
      <c r="AB54" s="69" t="str">
        <f aca="false">IF($E54="","",IF($M54,IF(AND($G54&gt;=AB$5,$G54&lt;AB$5+GanttPeriod),"◆",IF(AND($E54&gt;=AB$5,$E54&lt;AB$5+GanttPeriod),"◇","")),IF(AND(AB$5&lt;=$F54,AB$5+GanttPeriod-1&gt;=$E54),"━","")))</f>
        <v/>
      </c>
      <c r="AC54" s="69" t="str">
        <f aca="false">IF($E54="","",IF($M54,IF(AND($G54&gt;=AC$5,$G54&lt;AC$5+GanttPeriod),"◆",IF(AND($E54&gt;=AC$5,$E54&lt;AC$5+GanttPeriod),"◇","")),IF(AND(AC$5&lt;=$F54,AC$5+GanttPeriod-1&gt;=$E54),"━","")))</f>
        <v/>
      </c>
      <c r="AD54" s="69" t="str">
        <f aca="false">IF($E54="","",IF($M54,IF(AND($G54&gt;=AD$5,$G54&lt;AD$5+GanttPeriod),"◆",IF(AND($E54&gt;=AD$5,$E54&lt;AD$5+GanttPeriod),"◇","")),IF(AND(AD$5&lt;=$F54,AD$5+GanttPeriod-1&gt;=$E54),"━","")))</f>
        <v/>
      </c>
      <c r="AE54" s="69" t="str">
        <f aca="false">IF($E54="","",IF($M54,IF(AND($G54&gt;=AE$5,$G54&lt;AE$5+GanttPeriod),"◆",IF(AND($E54&gt;=AE$5,$E54&lt;AE$5+GanttPeriod),"◇","")),IF(AND(AE$5&lt;=$F54,AE$5+GanttPeriod-1&gt;=$E54),"━","")))</f>
        <v/>
      </c>
      <c r="AF54" s="69" t="str">
        <f aca="false">IF($E54="","",IF($M54,IF(AND($G54&gt;=AF$5,$G54&lt;AF$5+GanttPeriod),"◆",IF(AND($E54&gt;=AF$5,$E54&lt;AF$5+GanttPeriod),"◇","")),IF(AND(AF$5&lt;=$F54,AF$5+GanttPeriod-1&gt;=$E54),"━","")))</f>
        <v/>
      </c>
      <c r="AG54" s="69" t="str">
        <f aca="false">IF($E54="","",IF($M54,IF(AND($G54&gt;=AG$5,$G54&lt;AG$5+GanttPeriod),"◆",IF(AND($E54&gt;=AG$5,$E54&lt;AG$5+GanttPeriod),"◇","")),IF(AND(AG$5&lt;=$F54,AG$5+GanttPeriod-1&gt;=$E54),"━","")))</f>
        <v/>
      </c>
      <c r="AH54" s="69" t="str">
        <f aca="false">IF($E54="","",IF($M54,IF(AND($G54&gt;=AH$5,$G54&lt;AH$5+GanttPeriod),"◆",IF(AND($E54&gt;=AH$5,$E54&lt;AH$5+GanttPeriod),"◇","")),IF(AND(AH$5&lt;=$F54,AH$5+GanttPeriod-1&gt;=$E54),"━","")))</f>
        <v/>
      </c>
      <c r="AI54" s="69" t="str">
        <f aca="false">IF($E54="","",IF($M54,IF(AND($G54&gt;=AI$5,$G54&lt;AI$5+GanttPeriod),"◆",IF(AND($E54&gt;=AI$5,$E54&lt;AI$5+GanttPeriod),"◇","")),IF(AND(AI$5&lt;=$F54,AI$5+GanttPeriod-1&gt;=$E54),"━","")))</f>
        <v/>
      </c>
      <c r="AJ54" s="69" t="str">
        <f aca="false">IF($E54="","",IF($M54,IF(AND($G54&gt;=AJ$5,$G54&lt;AJ$5+GanttPeriod),"◆",IF(AND($E54&gt;=AJ$5,$E54&lt;AJ$5+GanttPeriod),"◇","")),IF(AND(AJ$5&lt;=$F54,AJ$5+GanttPeriod-1&gt;=$E54),"━","")))</f>
        <v/>
      </c>
      <c r="AK54" s="69" t="str">
        <f aca="false">IF($E54="","",IF($M54,IF(AND($G54&gt;=AK$5,$G54&lt;AK$5+GanttPeriod),"◆",IF(AND($E54&gt;=AK$5,$E54&lt;AK$5+GanttPeriod),"◇","")),IF(AND(AK$5&lt;=$F54,AK$5+GanttPeriod-1&gt;=$E54),"━","")))</f>
        <v/>
      </c>
      <c r="AL54" s="69" t="str">
        <f aca="false">IF($E54="","",IF($M54,IF(AND($G54&gt;=AL$5,$G54&lt;AL$5+GanttPeriod),"◆",IF(AND($E54&gt;=AL$5,$E54&lt;AL$5+GanttPeriod),"◇","")),IF(AND(AL$5&lt;=$F54,AL$5+GanttPeriod-1&gt;=$E54),"━","")))</f>
        <v/>
      </c>
      <c r="AM54" s="69" t="str">
        <f aca="false">IF($E54="","",IF($M54,IF(AND($G54&gt;=AM$5,$G54&lt;AM$5+GanttPeriod),"◆",IF(AND($E54&gt;=AM$5,$E54&lt;AM$5+GanttPeriod),"◇","")),IF(AND(AM$5&lt;=$F54,AM$5+GanttPeriod-1&gt;=$E54),"━","")))</f>
        <v/>
      </c>
      <c r="AN54" s="69" t="str">
        <f aca="false">IF($E54="","",IF($M54,IF(AND($G54&gt;=AN$5,$G54&lt;AN$5+GanttPeriod),"◆",IF(AND($E54&gt;=AN$5,$E54&lt;AN$5+GanttPeriod),"◇","")),IF(AND(AN$5&lt;=$F54,AN$5+GanttPeriod-1&gt;=$E54),"━","")))</f>
        <v/>
      </c>
      <c r="AO54" s="69" t="str">
        <f aca="false">IF($E54="","",IF($M54,IF(AND($G54&gt;=AO$5,$G54&lt;AO$5+GanttPeriod),"◆",IF(AND($E54&gt;=AO$5,$E54&lt;AO$5+GanttPeriod),"◇","")),IF(AND(AO$5&lt;=$F54,AO$5+GanttPeriod-1&gt;=$E54),"━","")))</f>
        <v/>
      </c>
      <c r="AP54" s="69" t="str">
        <f aca="false">IF($E54="","",IF($M54,IF(AND($G54&gt;=AP$5,$G54&lt;AP$5+GanttPeriod),"◆",IF(AND($E54&gt;=AP$5,$E54&lt;AP$5+GanttPeriod),"◇","")),IF(AND(AP$5&lt;=$F54,AP$5+GanttPeriod-1&gt;=$E54),"━","")))</f>
        <v/>
      </c>
      <c r="AQ54" s="69" t="str">
        <f aca="false">IF($E54="","",IF($M54,IF(AND($G54&gt;=AQ$5,$G54&lt;AQ$5+GanttPeriod),"◆",IF(AND($E54&gt;=AQ$5,$E54&lt;AQ$5+GanttPeriod),"◇","")),IF(AND(AQ$5&lt;=$F54,AQ$5+GanttPeriod-1&gt;=$E54),"━","")))</f>
        <v/>
      </c>
      <c r="AR54" s="69" t="str">
        <f aca="false">IF($E54="","",IF($M54,IF(AND($G54&gt;=AR$5,$G54&lt;AR$5+GanttPeriod),"◆",IF(AND($E54&gt;=AR$5,$E54&lt;AR$5+GanttPeriod),"◇","")),IF(AND(AR$5&lt;=$F54,AR$5+GanttPeriod-1&gt;=$E54),"━","")))</f>
        <v/>
      </c>
      <c r="AS54" s="69" t="str">
        <f aca="false">IF($E54="","",IF($M54,IF(AND($G54&gt;=AS$5,$G54&lt;AS$5+GanttPeriod),"◆",IF(AND($E54&gt;=AS$5,$E54&lt;AS$5+GanttPeriod),"◇","")),IF(AND(AS$5&lt;=$F54,AS$5+GanttPeriod-1&gt;=$E54),"━","")))</f>
        <v/>
      </c>
      <c r="AT54" s="69" t="str">
        <f aca="false">IF($E54="","",IF($M54,IF(AND($G54&gt;=AT$5,$G54&lt;AT$5+GanttPeriod),"◆",IF(AND($E54&gt;=AT$5,$E54&lt;AT$5+GanttPeriod),"◇","")),IF(AND(AT$5&lt;=$F54,AT$5+GanttPeriod-1&gt;=$E54),"━","")))</f>
        <v/>
      </c>
      <c r="AU54" s="69" t="str">
        <f aca="false">IF($E54="","",IF($M54,IF(AND($G54&gt;=AU$5,$G54&lt;AU$5+GanttPeriod),"◆",IF(AND($E54&gt;=AU$5,$E54&lt;AU$5+GanttPeriod),"◇","")),IF(AND(AU$5&lt;=$F54,AU$5+GanttPeriod-1&gt;=$E54),"━","")))</f>
        <v/>
      </c>
      <c r="AV54" s="69" t="str">
        <f aca="false">IF($E54="","",IF($M54,IF(AND($G54&gt;=AV$5,$G54&lt;AV$5+GanttPeriod),"◆",IF(AND($E54&gt;=AV$5,$E54&lt;AV$5+GanttPeriod),"◇","")),IF(AND(AV$5&lt;=$F54,AV$5+GanttPeriod-1&gt;=$E54),"━","")))</f>
        <v/>
      </c>
      <c r="AW54" s="69" t="str">
        <f aca="false">IF($E54="","",IF($M54,IF(AND($G54&gt;=AW$5,$G54&lt;AW$5+GanttPeriod),"◆",IF(AND($E54&gt;=AW$5,$E54&lt;AW$5+GanttPeriod),"◇","")),IF(AND(AW$5&lt;=$F54,AW$5+GanttPeriod-1&gt;=$E54),"━","")))</f>
        <v/>
      </c>
      <c r="AX54" s="69" t="str">
        <f aca="false">IF($E54="","",IF($M54,IF(AND($G54&gt;=AX$5,$G54&lt;AX$5+GanttPeriod),"◆",IF(AND($E54&gt;=AX$5,$E54&lt;AX$5+GanttPeriod),"◇","")),IF(AND(AX$5&lt;=$F54,AX$5+GanttPeriod-1&gt;=$E54),"━","")))</f>
        <v/>
      </c>
      <c r="AY54" s="69" t="str">
        <f aca="false">IF($E54="","",IF($M54,IF(AND($G54&gt;=AY$5,$G54&lt;AY$5+GanttPeriod),"◆",IF(AND($E54&gt;=AY$5,$E54&lt;AY$5+GanttPeriod),"◇","")),IF(AND(AY$5&lt;=$F54,AY$5+GanttPeriod-1&gt;=$E54),"━","")))</f>
        <v/>
      </c>
      <c r="AZ54" s="69" t="str">
        <f aca="false">IF($E54="","",IF($M54,IF(AND($G54&gt;=AZ$5,$G54&lt;AZ$5+GanttPeriod),"◆",IF(AND($E54&gt;=AZ$5,$E54&lt;AZ$5+GanttPeriod),"◇","")),IF(AND(AZ$5&lt;=$F54,AZ$5+GanttPeriod-1&gt;=$E54),"━","")))</f>
        <v/>
      </c>
      <c r="BA54" s="69" t="str">
        <f aca="false">IF($E54="","",IF($M54,IF(AND($G54&gt;=BA$5,$G54&lt;BA$5+GanttPeriod),"◆",IF(AND($E54&gt;=BA$5,$E54&lt;BA$5+GanttPeriod),"◇","")),IF(AND(BA$5&lt;=$F54,BA$5+GanttPeriod-1&gt;=$E54),"━","")))</f>
        <v/>
      </c>
      <c r="BB54" s="69" t="str">
        <f aca="false">IF($E54="","",IF($M54,IF(AND($G54&gt;=BB$5,$G54&lt;BB$5+GanttPeriod),"◆",IF(AND($E54&gt;=BB$5,$E54&lt;BB$5+GanttPeriod),"◇","")),IF(AND(BB$5&lt;=$F54,BB$5+GanttPeriod-1&gt;=$E54),"━","")))</f>
        <v/>
      </c>
      <c r="BC54" s="69" t="str">
        <f aca="false">IF($E54="","",IF($M54,IF(AND($G54&gt;=BC$5,$G54&lt;BC$5+GanttPeriod),"◆",IF(AND($E54&gt;=BC$5,$E54&lt;BC$5+GanttPeriod),"◇","")),IF(AND(BC$5&lt;=$F54,BC$5+GanttPeriod-1&gt;=$E54),"━","")))</f>
        <v/>
      </c>
      <c r="BD54" s="69" t="str">
        <f aca="false">IF($E54="","",IF($M54,IF(AND($G54&gt;=BD$5,$G54&lt;BD$5+GanttPeriod),"◆",IF(AND($E54&gt;=BD$5,$E54&lt;BD$5+GanttPeriod),"◇","")),IF(AND(BD$5&lt;=$F54,BD$5+GanttPeriod-1&gt;=$E54),"━","")))</f>
        <v/>
      </c>
      <c r="BE54" s="69" t="str">
        <f aca="false">IF($E54="","",IF($M54,IF(AND($G54&gt;=BE$5,$G54&lt;BE$5+GanttPeriod),"◆",IF(AND($E54&gt;=BE$5,$E54&lt;BE$5+GanttPeriod),"◇","")),IF(AND(BE$5&lt;=$F54,BE$5+GanttPeriod-1&gt;=$E54),"━","")))</f>
        <v/>
      </c>
      <c r="BF54" s="69" t="str">
        <f aca="false">IF($E54="","",IF($M54,IF(AND($G54&gt;=BF$5,$G54&lt;BF$5+GanttPeriod),"◆",IF(AND($E54&gt;=BF$5,$E54&lt;BF$5+GanttPeriod),"◇","")),IF(AND(BF$5&lt;=$F54,BF$5+GanttPeriod-1&gt;=$E54),"━","")))</f>
        <v/>
      </c>
      <c r="BG54" s="69" t="str">
        <f aca="false">IF($E54="","",IF($M54,IF(AND($G54&gt;=BG$5,$G54&lt;BG$5+GanttPeriod),"◆",IF(AND($E54&gt;=BG$5,$E54&lt;BG$5+GanttPeriod),"◇","")),IF(AND(BG$5&lt;=$F54,BG$5+GanttPeriod-1&gt;=$E54),"━","")))</f>
        <v/>
      </c>
      <c r="BH54" s="69" t="str">
        <f aca="false">IF($E54="","",IF($M54,IF(AND($G54&gt;=BH$5,$G54&lt;BH$5+GanttPeriod),"◆",IF(AND($E54&gt;=BH$5,$E54&lt;BH$5+GanttPeriod),"◇","")),IF(AND(BH$5&lt;=$F54,BH$5+GanttPeriod-1&gt;=$E54),"━","")))</f>
        <v/>
      </c>
      <c r="BI54" s="69" t="str">
        <f aca="false">IF($E54="","",IF($M54,IF(AND($G54&gt;=BI$5,$G54&lt;BI$5+GanttPeriod),"◆",IF(AND($E54&gt;=BI$5,$E54&lt;BI$5+GanttPeriod),"◇","")),IF(AND(BI$5&lt;=$F54,BI$5+GanttPeriod-1&gt;=$E54),"━","")))</f>
        <v/>
      </c>
      <c r="BJ54" s="69" t="str">
        <f aca="false">IF($E54="","",IF($M54,IF(AND($G54&gt;=BJ$5,$G54&lt;BJ$5+GanttPeriod),"◆",IF(AND($E54&gt;=BJ$5,$E54&lt;BJ$5+GanttPeriod),"◇","")),IF(AND(BJ$5&lt;=$F54,BJ$5+GanttPeriod-1&gt;=$E54),"━","")))</f>
        <v/>
      </c>
      <c r="BK54" s="69" t="str">
        <f aca="false">IF($E54="","",IF($M54,IF(AND($G54&gt;=BK$5,$G54&lt;BK$5+GanttPeriod),"◆",IF(AND($E54&gt;=BK$5,$E54&lt;BK$5+GanttPeriod),"◇","")),IF(AND(BK$5&lt;=$F54,BK$5+GanttPeriod-1&gt;=$E54),"━","")))</f>
        <v/>
      </c>
      <c r="BL54" s="69" t="str">
        <f aca="false">IF($E54="","",IF($M54,IF(AND($G54&gt;=BL$5,$G54&lt;BL$5+GanttPeriod),"◆",IF(AND($E54&gt;=BL$5,$E54&lt;BL$5+GanttPeriod),"◇","")),IF(AND(BL$5&lt;=$F54,BL$5+GanttPeriod-1&gt;=$E54),"━","")))</f>
        <v/>
      </c>
      <c r="BM54" s="69" t="str">
        <f aca="false">IF($E54="","",IF($M54,IF(AND($G54&gt;=BM$5,$G54&lt;BM$5+GanttPeriod),"◆",IF(AND($E54&gt;=BM$5,$E54&lt;BM$5+GanttPeriod),"◇","")),IF(AND(BM$5&lt;=$F54,BM$5+GanttPeriod-1&gt;=$E54),"━","")))</f>
        <v/>
      </c>
      <c r="BN54" s="69" t="str">
        <f aca="false">IF($E54="","",IF($M54,IF(AND($G54&gt;=BN$5,$G54&lt;BN$5+GanttPeriod),"◆",IF(AND($E54&gt;=BN$5,$E54&lt;BN$5+GanttPeriod),"◇","")),IF(AND(BN$5&lt;=$F54,BN$5+GanttPeriod-1&gt;=$E54),"━","")))</f>
        <v/>
      </c>
      <c r="BO54" s="69" t="str">
        <f aca="false">IF($E54="","",IF($M54,IF(AND($G54&gt;=BO$5,$G54&lt;BO$5+GanttPeriod),"◆",IF(AND($E54&gt;=BO$5,$E54&lt;BO$5+GanttPeriod),"◇","")),IF(AND(BO$5&lt;=$F54,BO$5+GanttPeriod-1&gt;=$E54),"━","")))</f>
        <v/>
      </c>
      <c r="BP54" s="69" t="str">
        <f aca="false">IF($E54="","",IF($M54,IF(AND($G54&gt;=BP$5,$G54&lt;BP$5+GanttPeriod),"◆",IF(AND($E54&gt;=BP$5,$E54&lt;BP$5+GanttPeriod),"◇","")),IF(AND(BP$5&lt;=$F54,BP$5+GanttPeriod-1&gt;=$E54),"━","")))</f>
        <v/>
      </c>
      <c r="BQ54" s="69" t="str">
        <f aca="false">IF($E54="","",IF($M54,IF(AND($G54&gt;=BQ$5,$G54&lt;BQ$5+GanttPeriod),"◆",IF(AND($E54&gt;=BQ$5,$E54&lt;BQ$5+GanttPeriod),"◇","")),IF(AND(BQ$5&lt;=$F54,BQ$5+GanttPeriod-1&gt;=$E54),"━","")))</f>
        <v/>
      </c>
      <c r="BR54" s="69" t="str">
        <f aca="false">IF($E54="","",IF($M54,IF(AND($G54&gt;=BR$5,$G54&lt;BR$5+GanttPeriod),"◆",IF(AND($E54&gt;=BR$5,$E54&lt;BR$5+GanttPeriod),"◇","")),IF(AND(BR$5&lt;=$F54,BR$5+GanttPeriod-1&gt;=$E54),"━","")))</f>
        <v/>
      </c>
      <c r="BS54" s="69" t="str">
        <f aca="false">IF($E54="","",IF($M54,IF(AND($G54&gt;=BS$5,$G54&lt;BS$5+GanttPeriod),"◆",IF(AND($E54&gt;=BS$5,$E54&lt;BS$5+GanttPeriod),"◇","")),IF(AND(BS$5&lt;=$F54,BS$5+GanttPeriod-1&gt;=$E54),"━","")))</f>
        <v/>
      </c>
      <c r="BT54" s="69" t="str">
        <f aca="false">IF($E54="","",IF($M54,IF(AND($G54&gt;=BT$5,$G54&lt;BT$5+GanttPeriod),"◆",IF(AND($E54&gt;=BT$5,$E54&lt;BT$5+GanttPeriod),"◇","")),IF(AND(BT$5&lt;=$F54,BT$5+GanttPeriod-1&gt;=$E54),"━","")))</f>
        <v/>
      </c>
      <c r="BU54" s="69" t="str">
        <f aca="false">IF($E54="","",IF($M54,IF(AND($G54&gt;=BU$5,$G54&lt;BU$5+GanttPeriod),"◆",IF(AND($E54&gt;=BU$5,$E54&lt;BU$5+GanttPeriod),"◇","")),IF(AND(BU$5&lt;=$F54,BU$5+GanttPeriod-1&gt;=$E54),"━","")))</f>
        <v/>
      </c>
      <c r="BV54" s="69" t="str">
        <f aca="false">IF($E54="","",IF($M54,IF(AND($G54&gt;=BV$5,$G54&lt;BV$5+GanttPeriod),"◆",IF(AND($E54&gt;=BV$5,$E54&lt;BV$5+GanttPeriod),"◇","")),IF(AND(BV$5&lt;=$F54,BV$5+GanttPeriod-1&gt;=$E54),"━","")))</f>
        <v/>
      </c>
      <c r="BW54" s="69" t="str">
        <f aca="false">IF($E54="","",IF($M54,IF(AND($G54&gt;=BW$5,$G54&lt;BW$5+GanttPeriod),"◆",IF(AND($E54&gt;=BW$5,$E54&lt;BW$5+GanttPeriod),"◇","")),IF(AND(BW$5&lt;=$F54,BW$5+GanttPeriod-1&gt;=$E54),"━","")))</f>
        <v/>
      </c>
      <c r="BX54" s="69" t="str">
        <f aca="false">IF($E54="","",IF($M54,IF(AND($G54&gt;=BX$5,$G54&lt;BX$5+GanttPeriod),"◆",IF(AND($E54&gt;=BX$5,$E54&lt;BX$5+GanttPeriod),"◇","")),IF(AND(BX$5&lt;=$F54,BX$5+GanttPeriod-1&gt;=$E54),"━","")))</f>
        <v/>
      </c>
      <c r="BY54" s="69" t="str">
        <f aca="false">IF($E54="","",IF($M54,IF(AND($G54&gt;=BY$5,$G54&lt;BY$5+GanttPeriod),"◆",IF(AND($E54&gt;=BY$5,$E54&lt;BY$5+GanttPeriod),"◇","")),IF(AND(BY$5&lt;=$F54,BY$5+GanttPeriod-1&gt;=$E54),"━","")))</f>
        <v/>
      </c>
      <c r="BZ54" s="69" t="str">
        <f aca="false">IF($E54="","",IF($M54,IF(AND($G54&gt;=BZ$5,$G54&lt;BZ$5+GanttPeriod),"◆",IF(AND($E54&gt;=BZ$5,$E54&lt;BZ$5+GanttPeriod),"◇","")),IF(AND(BZ$5&lt;=$F54,BZ$5+GanttPeriod-1&gt;=$E54),"━","")))</f>
        <v/>
      </c>
      <c r="CA54" s="69" t="str">
        <f aca="false">IF($E54="","",IF($M54,IF(AND($G54&gt;=CA$5,$G54&lt;CA$5+GanttPeriod),"◆",IF(AND($E54&gt;=CA$5,$E54&lt;CA$5+GanttPeriod),"◇","")),IF(AND(CA$5&lt;=$F54,CA$5+GanttPeriod-1&gt;=$E54),"━","")))</f>
        <v/>
      </c>
      <c r="CB54" s="69" t="str">
        <f aca="false">IF($E54="","",IF($M54,IF(AND($G54&gt;=CB$5,$G54&lt;CB$5+GanttPeriod),"◆",IF(AND($E54&gt;=CB$5,$E54&lt;CB$5+GanttPeriod),"◇","")),IF(AND(CB$5&lt;=$F54,CB$5+GanttPeriod-1&gt;=$E54),"━","")))</f>
        <v/>
      </c>
      <c r="CC54" s="69" t="str">
        <f aca="false">IF($E54="","",IF($M54,IF(AND($G54&gt;=CC$5,$G54&lt;CC$5+GanttPeriod),"◆",IF(AND($E54&gt;=CC$5,$E54&lt;CC$5+GanttPeriod),"◇","")),IF(AND(CC$5&lt;=$F54,CC$5+GanttPeriod-1&gt;=$E54),"━","")))</f>
        <v/>
      </c>
      <c r="CD54" s="69" t="str">
        <f aca="false">IF($E54="","",IF($M54,IF(AND($G54&gt;=CD$5,$G54&lt;CD$5+GanttPeriod),"◆",IF(AND($E54&gt;=CD$5,$E54&lt;CD$5+GanttPeriod),"◇","")),IF(AND(CD$5&lt;=$F54,CD$5+GanttPeriod-1&gt;=$E54),"━","")))</f>
        <v/>
      </c>
      <c r="CE54" s="69" t="str">
        <f aca="false">IF($E54="","",IF($M54,IF(AND($G54&gt;=CE$5,$G54&lt;CE$5+GanttPeriod),"◆",IF(AND($E54&gt;=CE$5,$E54&lt;CE$5+GanttPeriod),"◇","")),IF(AND(CE$5&lt;=$F54,CE$5+GanttPeriod-1&gt;=$E54),"━","")))</f>
        <v/>
      </c>
      <c r="CF54" s="69" t="str">
        <f aca="false">IF($E54="","",IF($M54,IF(AND($G54&gt;=CF$5,$G54&lt;CF$5+GanttPeriod),"◆",IF(AND($E54&gt;=CF$5,$E54&lt;CF$5+GanttPeriod),"◇","")),IF(AND(CF$5&lt;=$F54,CF$5+GanttPeriod-1&gt;=$E54),"━","")))</f>
        <v/>
      </c>
      <c r="CG54" s="69" t="str">
        <f aca="false">IF($E54="","",IF($M54,IF(AND($G54&gt;=CG$5,$G54&lt;CG$5+GanttPeriod),"◆",IF(AND($E54&gt;=CG$5,$E54&lt;CG$5+GanttPeriod),"◇","")),IF(AND(CG$5&lt;=$F54,CG$5+GanttPeriod-1&gt;=$E54),"━","")))</f>
        <v/>
      </c>
      <c r="CH54" s="69" t="str">
        <f aca="false">IF($E54="","",IF($M54,IF(AND($G54&gt;=CH$5,$G54&lt;CH$5+GanttPeriod),"◆",IF(AND($E54&gt;=CH$5,$E54&lt;CH$5+GanttPeriod),"◇","")),IF(AND(CH$5&lt;=$F54,CH$5+GanttPeriod-1&gt;=$E54),"━","")))</f>
        <v/>
      </c>
      <c r="CI54" s="69" t="str">
        <f aca="false">IF($E54="","",IF($M54,IF(AND($G54&gt;=CI$5,$G54&lt;CI$5+GanttPeriod),"◆",IF(AND($E54&gt;=CI$5,$E54&lt;CI$5+GanttPeriod),"◇","")),IF(AND(CI$5&lt;=$F54,CI$5+GanttPeriod-1&gt;=$E54),"━","")))</f>
        <v/>
      </c>
      <c r="CJ54" s="69" t="str">
        <f aca="false">IF($E54="","",IF($M54,IF(AND($G54&gt;=CJ$5,$G54&lt;CJ$5+GanttPeriod),"◆",IF(AND($E54&gt;=CJ$5,$E54&lt;CJ$5+GanttPeriod),"◇","")),IF(AND(CJ$5&lt;=$F54,CJ$5+GanttPeriod-1&gt;=$E54),"━","")))</f>
        <v/>
      </c>
      <c r="CK54" s="69" t="str">
        <f aca="false">IF($E54="","",IF($M54,IF(AND($G54&gt;=CK$5,$G54&lt;CK$5+GanttPeriod),"◆",IF(AND($E54&gt;=CK$5,$E54&lt;CK$5+GanttPeriod),"◇","")),IF(AND(CK$5&lt;=$F54,CK$5+GanttPeriod-1&gt;=$E54),"━","")))</f>
        <v/>
      </c>
      <c r="CL54" s="69" t="str">
        <f aca="false">IF($E54="","",IF($M54,IF(AND($G54&gt;=CL$5,$G54&lt;CL$5+GanttPeriod),"◆",IF(AND($E54&gt;=CL$5,$E54&lt;CL$5+GanttPeriod),"◇","")),IF(AND(CL$5&lt;=$F54,CL$5+GanttPeriod-1&gt;=$E54),"━","")))</f>
        <v/>
      </c>
      <c r="CM54" s="69" t="str">
        <f aca="false">IF($E54="","",IF($M54,IF(AND($G54&gt;=CM$5,$G54&lt;CM$5+GanttPeriod),"◆",IF(AND($E54&gt;=CM$5,$E54&lt;CM$5+GanttPeriod),"◇","")),IF(AND(CM$5&lt;=$F54,CM$5+GanttPeriod-1&gt;=$E54),"━","")))</f>
        <v/>
      </c>
      <c r="CN54" s="69" t="str">
        <f aca="false">IF($E54="","",IF($M54,IF(AND($G54&gt;=CN$5,$G54&lt;CN$5+GanttPeriod),"◆",IF(AND($E54&gt;=CN$5,$E54&lt;CN$5+GanttPeriod),"◇","")),IF(AND(CN$5&lt;=$F54,CN$5+GanttPeriod-1&gt;=$E54),"━","")))</f>
        <v/>
      </c>
      <c r="CO54" s="69" t="str">
        <f aca="false">IF($E54="","",IF($M54,IF(AND($G54&gt;=CO$5,$G54&lt;CO$5+GanttPeriod),"◆",IF(AND($E54&gt;=CO$5,$E54&lt;CO$5+GanttPeriod),"◇","")),IF(AND(CO$5&lt;=$F54,CO$5+GanttPeriod-1&gt;=$E54),"━","")))</f>
        <v/>
      </c>
      <c r="CP54" s="69" t="str">
        <f aca="false">IF($E54="","",IF($M54,IF(AND($G54&gt;=CP$5,$G54&lt;CP$5+GanttPeriod),"◆",IF(AND($E54&gt;=CP$5,$E54&lt;CP$5+GanttPeriod),"◇","")),IF(AND(CP$5&lt;=$F54,CP$5+GanttPeriod-1&gt;=$E54),"━","")))</f>
        <v/>
      </c>
      <c r="CQ54" s="69" t="str">
        <f aca="false">IF($E54="","",IF($M54,IF(AND($G54&gt;=CQ$5,$G54&lt;CQ$5+GanttPeriod),"◆",IF(AND($E54&gt;=CQ$5,$E54&lt;CQ$5+GanttPeriod),"◇","")),IF(AND(CQ$5&lt;=$F54,CQ$5+GanttPeriod-1&gt;=$E54),"━","")))</f>
        <v/>
      </c>
      <c r="CR54" s="69" t="str">
        <f aca="false">IF($E54="","",IF($M54,IF(AND($G54&gt;=CR$5,$G54&lt;CR$5+GanttPeriod),"◆",IF(AND($E54&gt;=CR$5,$E54&lt;CR$5+GanttPeriod),"◇","")),IF(AND(CR$5&lt;=$F54,CR$5+GanttPeriod-1&gt;=$E54),"━","")))</f>
        <v/>
      </c>
      <c r="CS54" s="69" t="str">
        <f aca="false">IF($E54="","",IF($M54,IF(AND($G54&gt;=CS$5,$G54&lt;CS$5+GanttPeriod),"◆",IF(AND($E54&gt;=CS$5,$E54&lt;CS$5+GanttPeriod),"◇","")),IF(AND(CS$5&lt;=$F54,CS$5+GanttPeriod-1&gt;=$E54),"━","")))</f>
        <v/>
      </c>
      <c r="CT54" s="69" t="str">
        <f aca="false">IF($E54="","",IF($M54,IF(AND($G54&gt;=CT$5,$G54&lt;CT$5+GanttPeriod),"◆",IF(AND($E54&gt;=CT$5,$E54&lt;CT$5+GanttPeriod),"◇","")),IF(AND(CT$5&lt;=$F54,CT$5+GanttPeriod-1&gt;=$E54),"━","")))</f>
        <v/>
      </c>
      <c r="CU54" s="69" t="str">
        <f aca="false">IF($E54="","",IF($M54,IF(AND($G54&gt;=CU$5,$G54&lt;CU$5+GanttPeriod),"◆",IF(AND($E54&gt;=CU$5,$E54&lt;CU$5+GanttPeriod),"◇","")),IF(AND(CU$5&lt;=$F54,CU$5+GanttPeriod-1&gt;=$E54),"━","")))</f>
        <v/>
      </c>
      <c r="CV54" s="69" t="str">
        <f aca="false">IF($E54="","",IF($M54,IF(AND($G54&gt;=CV$5,$G54&lt;CV$5+GanttPeriod),"◆",IF(AND($E54&gt;=CV$5,$E54&lt;CV$5+GanttPeriod),"◇","")),IF(AND(CV$5&lt;=$F54,CV$5+GanttPeriod-1&gt;=$E54),"━","")))</f>
        <v/>
      </c>
      <c r="CW54" s="69" t="str">
        <f aca="false">IF($E54="","",IF($M54,IF(AND($G54&gt;=CW$5,$G54&lt;CW$5+GanttPeriod),"◆",IF(AND($E54&gt;=CW$5,$E54&lt;CW$5+GanttPeriod),"◇","")),IF(AND(CW$5&lt;=$F54,CW$5+GanttPeriod-1&gt;=$E54),"━","")))</f>
        <v/>
      </c>
      <c r="CX54" s="69" t="str">
        <f aca="false">IF($E54="","",IF($M54,IF(AND($G54&gt;=CX$5,$G54&lt;CX$5+GanttPeriod),"◆",IF(AND($E54&gt;=CX$5,$E54&lt;CX$5+GanttPeriod),"◇","")),IF(AND(CX$5&lt;=$F54,CX$5+GanttPeriod-1&gt;=$E54),"━","")))</f>
        <v/>
      </c>
      <c r="CY54" s="69" t="str">
        <f aca="false">IF($E54="","",IF($M54,IF(AND($G54&gt;=CY$5,$G54&lt;CY$5+GanttPeriod),"◆",IF(AND($E54&gt;=CY$5,$E54&lt;CY$5+GanttPeriod),"◇","")),IF(AND(CY$5&lt;=$F54,CY$5+GanttPeriod-1&gt;=$E54),"━","")))</f>
        <v/>
      </c>
      <c r="CZ54" s="69" t="str">
        <f aca="false">IF($E54="","",IF($M54,IF(AND($G54&gt;=CZ$5,$G54&lt;CZ$5+GanttPeriod),"◆",IF(AND($E54&gt;=CZ$5,$E54&lt;CZ$5+GanttPeriod),"◇","")),IF(AND(CZ$5&lt;=$F54,CZ$5+GanttPeriod-1&gt;=$E54),"━","")))</f>
        <v/>
      </c>
      <c r="DA54" s="69" t="str">
        <f aca="false">IF($E54="","",IF($M54,IF(AND($G54&gt;=DA$5,$G54&lt;DA$5+GanttPeriod),"◆",IF(AND($E54&gt;=DA$5,$E54&lt;DA$5+GanttPeriod),"◇","")),IF(AND(DA$5&lt;=$F54,DA$5+GanttPeriod-1&gt;=$E54),"━","")))</f>
        <v/>
      </c>
      <c r="DB54" s="69" t="str">
        <f aca="false">IF($E54="","",IF($M54,IF(AND($G54&gt;=DB$5,$G54&lt;DB$5+GanttPeriod),"◆",IF(AND($E54&gt;=DB$5,$E54&lt;DB$5+GanttPeriod),"◇","")),IF(AND(DB$5&lt;=$F54,DB$5+GanttPeriod-1&gt;=$E54),"━","")))</f>
        <v/>
      </c>
      <c r="DC54" s="69" t="str">
        <f aca="false">IF($E54="","",IF($M54,IF(AND($G54&gt;=DC$5,$G54&lt;DC$5+GanttPeriod),"◆",IF(AND($E54&gt;=DC$5,$E54&lt;DC$5+GanttPeriod),"◇","")),IF(AND(DC$5&lt;=$F54,DC$5+GanttPeriod-1&gt;=$E54),"━","")))</f>
        <v/>
      </c>
      <c r="DD54" s="69" t="str">
        <f aca="false">IF($E54="","",IF($M54,IF(AND($G54&gt;=DD$5,$G54&lt;DD$5+GanttPeriod),"◆",IF(AND($E54&gt;=DD$5,$E54&lt;DD$5+GanttPeriod),"◇","")),IF(AND(DD$5&lt;=$F54,DD$5+GanttPeriod-1&gt;=$E54),"━","")))</f>
        <v/>
      </c>
      <c r="DE54" s="69" t="str">
        <f aca="false">IF($E54="","",IF($M54,IF(AND($G54&gt;=DE$5,$G54&lt;DE$5+GanttPeriod),"◆",IF(AND($E54&gt;=DE$5,$E54&lt;DE$5+GanttPeriod),"◇","")),IF(AND(DE$5&lt;=$F54,DE$5+GanttPeriod-1&gt;=$E54),"━","")))</f>
        <v/>
      </c>
      <c r="DF54" s="69" t="str">
        <f aca="false">IF($E54="","",IF($M54,IF(AND($G54&gt;=DF$5,$G54&lt;DF$5+GanttPeriod),"◆",IF(AND($E54&gt;=DF$5,$E54&lt;DF$5+GanttPeriod),"◇","")),IF(AND(DF$5&lt;=$F54,DF$5+GanttPeriod-1&gt;=$E54),"━","")))</f>
        <v/>
      </c>
      <c r="DG54" s="69" t="str">
        <f aca="false">IF($E54="","",IF($M54,IF(AND($G54&gt;=DG$5,$G54&lt;DG$5+GanttPeriod),"◆",IF(AND($E54&gt;=DG$5,$E54&lt;DG$5+GanttPeriod),"◇","")),IF(AND(DG$5&lt;=$F54,DG$5+GanttPeriod-1&gt;=$E54),"━","")))</f>
        <v/>
      </c>
      <c r="DH54" s="69" t="str">
        <f aca="false">IF($E54="","",IF($M54,IF(AND($G54&gt;=DH$5,$G54&lt;DH$5+GanttPeriod),"◆",IF(AND($E54&gt;=DH$5,$E54&lt;DH$5+GanttPeriod),"◇","")),IF(AND(DH$5&lt;=$F54,DH$5+GanttPeriod-1&gt;=$E54),"━","")))</f>
        <v/>
      </c>
      <c r="DI54" s="69" t="str">
        <f aca="false">IF($E54="","",IF($M54,IF(AND($G54&gt;=DI$5,$G54&lt;DI$5+GanttPeriod),"◆",IF(AND($E54&gt;=DI$5,$E54&lt;DI$5+GanttPeriod),"◇","")),IF(AND(DI$5&lt;=$F54,DI$5+GanttPeriod-1&gt;=$E54),"━","")))</f>
        <v/>
      </c>
      <c r="DJ54" s="69" t="str">
        <f aca="false">IF($E54="","",IF($M54,IF(AND($G54&gt;=DJ$5,$G54&lt;DJ$5+GanttPeriod),"◆",IF(AND($E54&gt;=DJ$5,$E54&lt;DJ$5+GanttPeriod),"◇","")),IF(AND(DJ$5&lt;=$F54,DJ$5+GanttPeriod-1&gt;=$E54),"━","")))</f>
        <v/>
      </c>
      <c r="DK54" s="69" t="str">
        <f aca="false">IF($E54="","",IF($M54,IF(AND($G54&gt;=DK$5,$G54&lt;DK$5+GanttPeriod),"◆",IF(AND($E54&gt;=DK$5,$E54&lt;DK$5+GanttPeriod),"◇","")),IF(AND(DK$5&lt;=$F54,DK$5+GanttPeriod-1&gt;=$E54),"━","")))</f>
        <v/>
      </c>
      <c r="DL54" s="69" t="str">
        <f aca="false">IF($E54="","",IF($M54,IF(AND($G54&gt;=DL$5,$G54&lt;DL$5+GanttPeriod),"◆",IF(AND($E54&gt;=DL$5,$E54&lt;DL$5+GanttPeriod),"◇","")),IF(AND(DL$5&lt;=$F54,DL$5+GanttPeriod-1&gt;=$E54),"━","")))</f>
        <v/>
      </c>
      <c r="DM54" s="69" t="str">
        <f aca="false">IF($E54="","",IF($M54,IF(AND($G54&gt;=DM$5,$G54&lt;DM$5+GanttPeriod),"◆",IF(AND($E54&gt;=DM$5,$E54&lt;DM$5+GanttPeriod),"◇","")),IF(AND(DM$5&lt;=$F54,DM$5+GanttPeriod-1&gt;=$E54),"━","")))</f>
        <v/>
      </c>
      <c r="DN54" s="69" t="str">
        <f aca="false">IF($E54="","",IF($M54,IF(AND($G54&gt;=DN$5,$G54&lt;DN$5+GanttPeriod),"◆",IF(AND($E54&gt;=DN$5,$E54&lt;DN$5+GanttPeriod),"◇","")),IF(AND(DN$5&lt;=$F54,DN$5+GanttPeriod-1&gt;=$E54),"━","")))</f>
        <v/>
      </c>
      <c r="DO54" s="69" t="str">
        <f aca="false">IF($E54="","",IF($M54,IF(AND($G54&gt;=DO$5,$G54&lt;DO$5+GanttPeriod),"◆",IF(AND($E54&gt;=DO$5,$E54&lt;DO$5+GanttPeriod),"◇","")),IF(AND(DO$5&lt;=$F54,DO$5+GanttPeriod-1&gt;=$E54),"━","")))</f>
        <v/>
      </c>
      <c r="DP54" s="69" t="str">
        <f aca="false">IF($E54="","",IF($M54,IF(AND($G54&gt;=DP$5,$G54&lt;DP$5+GanttPeriod),"◆",IF(AND($E54&gt;=DP$5,$E54&lt;DP$5+GanttPeriod),"◇","")),IF(AND(DP$5&lt;=$F54,DP$5+GanttPeriod-1&gt;=$E54),"━","")))</f>
        <v/>
      </c>
      <c r="DQ54" s="69" t="str">
        <f aca="false">IF($E54="","",IF($M54,IF(AND($G54&gt;=DQ$5,$G54&lt;DQ$5+GanttPeriod),"◆",IF(AND($E54&gt;=DQ$5,$E54&lt;DQ$5+GanttPeriod),"◇","")),IF(AND(DQ$5&lt;=$F54,DQ$5+GanttPeriod-1&gt;=$E54),"━","")))</f>
        <v/>
      </c>
      <c r="DR54" s="69" t="str">
        <f aca="false">IF($E54="","",IF($M54,IF(AND($G54&gt;=DR$5,$G54&lt;DR$5+GanttPeriod),"◆",IF(AND($E54&gt;=DR$5,$E54&lt;DR$5+GanttPeriod),"◇","")),IF(AND(DR$5&lt;=$F54,DR$5+GanttPeriod-1&gt;=$E54),"━","")))</f>
        <v/>
      </c>
      <c r="DS54" s="69" t="str">
        <f aca="false">IF($E54="","",IF($M54,IF(AND($G54&gt;=DS$5,$G54&lt;DS$5+GanttPeriod),"◆",IF(AND($E54&gt;=DS$5,$E54&lt;DS$5+GanttPeriod),"◇","")),IF(AND(DS$5&lt;=$F54,DS$5+GanttPeriod-1&gt;=$E54),"━","")))</f>
        <v/>
      </c>
      <c r="DT54" s="69" t="str">
        <f aca="false">IF($E54="","",IF($M54,IF(AND($G54&gt;=DT$5,$G54&lt;DT$5+GanttPeriod),"◆",IF(AND($E54&gt;=DT$5,$E54&lt;DT$5+GanttPeriod),"◇","")),IF(AND(DT$5&lt;=$F54,DT$5+GanttPeriod-1&gt;=$E54),"━","")))</f>
        <v/>
      </c>
      <c r="DU54" s="69" t="str">
        <f aca="false">IF($E54="","",IF($M54,IF(AND($G54&gt;=DU$5,$G54&lt;DU$5+GanttPeriod),"◆",IF(AND($E54&gt;=DU$5,$E54&lt;DU$5+GanttPeriod),"◇","")),IF(AND(DU$5&lt;=$F54,DU$5+GanttPeriod-1&gt;=$E54),"━","")))</f>
        <v/>
      </c>
      <c r="DV54" s="69" t="str">
        <f aca="false">IF($E54="","",IF($M54,IF(AND($G54&gt;=DV$5,$G54&lt;DV$5+GanttPeriod),"◆",IF(AND($E54&gt;=DV$5,$E54&lt;DV$5+GanttPeriod),"◇","")),IF(AND(DV$5&lt;=$F54,DV$5+GanttPeriod-1&gt;=$E54),"━","")))</f>
        <v/>
      </c>
      <c r="DW54" s="69" t="str">
        <f aca="false">IF($E54="","",IF($M54,IF(AND($G54&gt;=DW$5,$G54&lt;DW$5+GanttPeriod),"◆",IF(AND($E54&gt;=DW$5,$E54&lt;DW$5+GanttPeriod),"◇","")),IF(AND(DW$5&lt;=$F54,DW$5+GanttPeriod-1&gt;=$E54),"━","")))</f>
        <v/>
      </c>
      <c r="DX54" s="69" t="str">
        <f aca="false">IF($E54="","",IF($M54,IF(AND($G54&gt;=DX$5,$G54&lt;DX$5+GanttPeriod),"◆",IF(AND($E54&gt;=DX$5,$E54&lt;DX$5+GanttPeriod),"◇","")),IF(AND(DX$5&lt;=$F54,DX$5+GanttPeriod-1&gt;=$E54),"━","")))</f>
        <v/>
      </c>
      <c r="DY54" s="69" t="str">
        <f aca="false">IF($E54="","",IF($M54,IF(AND($G54&gt;=DY$5,$G54&lt;DY$5+GanttPeriod),"◆",IF(AND($E54&gt;=DY$5,$E54&lt;DY$5+GanttPeriod),"◇","")),IF(AND(DY$5&lt;=$F54,DY$5+GanttPeriod-1&gt;=$E54),"━","")))</f>
        <v/>
      </c>
      <c r="DZ54" s="69" t="str">
        <f aca="false">IF($E54="","",IF($M54,IF(AND($G54&gt;=DZ$5,$G54&lt;DZ$5+GanttPeriod),"◆",IF(AND($E54&gt;=DZ$5,$E54&lt;DZ$5+GanttPeriod),"◇","")),IF(AND(DZ$5&lt;=$F54,DZ$5+GanttPeriod-1&gt;=$E54),"━","")))</f>
        <v/>
      </c>
      <c r="EA54" s="69" t="str">
        <f aca="false">IF($E54="","",IF($M54,IF(AND($G54&gt;=EA$5,$G54&lt;EA$5+GanttPeriod),"◆",IF(AND($E54&gt;=EA$5,$E54&lt;EA$5+GanttPeriod),"◇","")),IF(AND(EA$5&lt;=$F54,EA$5+GanttPeriod-1&gt;=$E54),"━","")))</f>
        <v/>
      </c>
      <c r="EB54" s="69" t="str">
        <f aca="false">IF($E54="","",IF($M54,IF(AND($G54&gt;=EB$5,$G54&lt;EB$5+GanttPeriod),"◆",IF(AND($E54&gt;=EB$5,$E54&lt;EB$5+GanttPeriod),"◇","")),IF(AND(EB$5&lt;=$F54,EB$5+GanttPeriod-1&gt;=$E54),"━","")))</f>
        <v/>
      </c>
      <c r="EC54" s="69" t="str">
        <f aca="false">IF($E54="","",IF($M54,IF(AND($G54&gt;=EC$5,$G54&lt;EC$5+GanttPeriod),"◆",IF(AND($E54&gt;=EC$5,$E54&lt;EC$5+GanttPeriod),"◇","")),IF(AND(EC$5&lt;=$F54,EC$5+GanttPeriod-1&gt;=$E54),"━","")))</f>
        <v/>
      </c>
      <c r="ED54" s="69" t="str">
        <f aca="false">IF($E54="","",IF($M54,IF(AND($G54&gt;=ED$5,$G54&lt;ED$5+GanttPeriod),"◆",IF(AND($E54&gt;=ED$5,$E54&lt;ED$5+GanttPeriod),"◇","")),IF(AND(ED$5&lt;=$F54,ED$5+GanttPeriod-1&gt;=$E54),"━","")))</f>
        <v/>
      </c>
      <c r="EE54" s="69" t="str">
        <f aca="false">IF($E54="","",IF($M54,IF(AND($G54&gt;=EE$5,$G54&lt;EE$5+GanttPeriod),"◆",IF(AND($E54&gt;=EE$5,$E54&lt;EE$5+GanttPeriod),"◇","")),IF(AND(EE$5&lt;=$F54,EE$5+GanttPeriod-1&gt;=$E54),"━","")))</f>
        <v/>
      </c>
      <c r="EF54" s="69" t="str">
        <f aca="false">IF($E54="","",IF($M54,IF(AND($G54&gt;=EF$5,$G54&lt;EF$5+GanttPeriod),"◆",IF(AND($E54&gt;=EF$5,$E54&lt;EF$5+GanttPeriod),"◇","")),IF(AND(EF$5&lt;=$F54,EF$5+GanttPeriod-1&gt;=$E54),"━","")))</f>
        <v/>
      </c>
      <c r="EG54" s="69" t="str">
        <f aca="false">IF($E54="","",IF($M54,IF(AND($G54&gt;=EG$5,$G54&lt;EG$5+GanttPeriod),"◆",IF(AND($E54&gt;=EG$5,$E54&lt;EG$5+GanttPeriod),"◇","")),IF(AND(EG$5&lt;=$F54,EG$5+GanttPeriod-1&gt;=$E54),"━","")))</f>
        <v/>
      </c>
      <c r="EH54" s="69" t="str">
        <f aca="false">IF($E54="","",IF($M54,IF(AND($G54&gt;=EH$5,$G54&lt;EH$5+GanttPeriod),"◆",IF(AND($E54&gt;=EH$5,$E54&lt;EH$5+GanttPeriod),"◇","")),IF(AND(EH$5&lt;=$F54,EH$5+GanttPeriod-1&gt;=$E54),"━","")))</f>
        <v/>
      </c>
      <c r="EI54" s="69" t="str">
        <f aca="false">IF($E54="","",IF($M54,IF(AND($G54&gt;=EI$5,$G54&lt;EI$5+GanttPeriod),"◆",IF(AND($E54&gt;=EI$5,$E54&lt;EI$5+GanttPeriod),"◇","")),IF(AND(EI$5&lt;=$F54,EI$5+GanttPeriod-1&gt;=$E54),"━","")))</f>
        <v/>
      </c>
      <c r="EJ54" s="69" t="str">
        <f aca="false">IF($E54="","",IF($M54,IF(AND($G54&gt;=EJ$5,$G54&lt;EJ$5+GanttPeriod),"◆",IF(AND($E54&gt;=EJ$5,$E54&lt;EJ$5+GanttPeriod),"◇","")),IF(AND(EJ$5&lt;=$F54,EJ$5+GanttPeriod-1&gt;=$E54),"━","")))</f>
        <v/>
      </c>
      <c r="EK54" s="69" t="str">
        <f aca="false">IF($E54="","",IF($M54,IF(AND($G54&gt;=EK$5,$G54&lt;EK$5+GanttPeriod),"◆",IF(AND($E54&gt;=EK$5,$E54&lt;EK$5+GanttPeriod),"◇","")),IF(AND(EK$5&lt;=$F54,EK$5+GanttPeriod-1&gt;=$E54),"━","")))</f>
        <v/>
      </c>
      <c r="EL54" s="69" t="str">
        <f aca="false">IF($E54="","",IF($M54,IF(AND($G54&gt;=EL$5,$G54&lt;EL$5+GanttPeriod),"◆",IF(AND($E54&gt;=EL$5,$E54&lt;EL$5+GanttPeriod),"◇","")),IF(AND(EL$5&lt;=$F54,EL$5+GanttPeriod-1&gt;=$E54),"━","")))</f>
        <v/>
      </c>
      <c r="EM54" s="69" t="str">
        <f aca="false">IF($E54="","",IF($M54,IF(AND($G54&gt;=EM$5,$G54&lt;EM$5+GanttPeriod),"◆",IF(AND($E54&gt;=EM$5,$E54&lt;EM$5+GanttPeriod),"◇","")),IF(AND(EM$5&lt;=$F54,EM$5+GanttPeriod-1&gt;=$E54),"━","")))</f>
        <v/>
      </c>
      <c r="EN54" s="69" t="str">
        <f aca="false">IF($E54="","",IF($M54,IF(AND($G54&gt;=EN$5,$G54&lt;EN$5+GanttPeriod),"◆",IF(AND($E54&gt;=EN$5,$E54&lt;EN$5+GanttPeriod),"◇","")),IF(AND(EN$5&lt;=$F54,EN$5+GanttPeriod-1&gt;=$E54),"━","")))</f>
        <v/>
      </c>
      <c r="EO54" s="69" t="str">
        <f aca="false">IF($E54="","",IF($M54,IF(AND($G54&gt;=EO$5,$G54&lt;EO$5+GanttPeriod),"◆",IF(AND($E54&gt;=EO$5,$E54&lt;EO$5+GanttPeriod),"◇","")),IF(AND(EO$5&lt;=$F54,EO$5+GanttPeriod-1&gt;=$E54),"━","")))</f>
        <v/>
      </c>
      <c r="EP54" s="69" t="str">
        <f aca="false">IF($E54="","",IF($M54,IF(AND($G54&gt;=EP$5,$G54&lt;EP$5+GanttPeriod),"◆",IF(AND($E54&gt;=EP$5,$E54&lt;EP$5+GanttPeriod),"◇","")),IF(AND(EP$5&lt;=$F54,EP$5+GanttPeriod-1&gt;=$E54),"━","")))</f>
        <v/>
      </c>
      <c r="EQ54" s="69" t="str">
        <f aca="false">IF($E54="","",IF($M54,IF(AND($G54&gt;=EQ$5,$G54&lt;EQ$5+GanttPeriod),"◆",IF(AND($E54&gt;=EQ$5,$E54&lt;EQ$5+GanttPeriod),"◇","")),IF(AND(EQ$5&lt;=$F54,EQ$5+GanttPeriod-1&gt;=$E54),"━","")))</f>
        <v/>
      </c>
      <c r="ER54" s="69" t="str">
        <f aca="false">IF($E54="","",IF($M54,IF(AND($G54&gt;=ER$5,$G54&lt;ER$5+GanttPeriod),"◆",IF(AND($E54&gt;=ER$5,$E54&lt;ER$5+GanttPeriod),"◇","")),IF(AND(ER$5&lt;=$F54,ER$5+GanttPeriod-1&gt;=$E54),"━","")))</f>
        <v/>
      </c>
      <c r="ES54" s="69" t="str">
        <f aca="false">IF($E54="","",IF($M54,IF(AND($G54&gt;=ES$5,$G54&lt;ES$5+GanttPeriod),"◆",IF(AND($E54&gt;=ES$5,$E54&lt;ES$5+GanttPeriod),"◇","")),IF(AND(ES$5&lt;=$F54,ES$5+GanttPeriod-1&gt;=$E54),"━","")))</f>
        <v/>
      </c>
      <c r="ET54" s="69" t="str">
        <f aca="false">IF($E54="","",IF($M54,IF(AND($G54&gt;=ET$5,$G54&lt;ET$5+GanttPeriod),"◆",IF(AND($E54&gt;=ET$5,$E54&lt;ET$5+GanttPeriod),"◇","")),IF(AND(ET$5&lt;=$F54,ET$5+GanttPeriod-1&gt;=$E54),"━","")))</f>
        <v/>
      </c>
      <c r="EU54" s="69" t="str">
        <f aca="false">IF($E54="","",IF($M54,IF(AND($G54&gt;=EU$5,$G54&lt;EU$5+GanttPeriod),"◆",IF(AND($E54&gt;=EU$5,$E54&lt;EU$5+GanttPeriod),"◇","")),IF(AND(EU$5&lt;=$F54,EU$5+GanttPeriod-1&gt;=$E54),"━","")))</f>
        <v/>
      </c>
      <c r="EV54" s="69" t="str">
        <f aca="false">IF($E54="","",IF($M54,IF(AND($G54&gt;=EV$5,$G54&lt;EV$5+GanttPeriod),"◆",IF(AND($E54&gt;=EV$5,$E54&lt;EV$5+GanttPeriod),"◇","")),IF(AND(EV$5&lt;=$F54,EV$5+GanttPeriod-1&gt;=$E54),"━","")))</f>
        <v/>
      </c>
      <c r="EW54" s="69" t="str">
        <f aca="false">IF($E54="","",IF($M54,IF(AND($G54&gt;=EW$5,$G54&lt;EW$5+GanttPeriod),"◆",IF(AND($E54&gt;=EW$5,$E54&lt;EW$5+GanttPeriod),"◇","")),IF(AND(EW$5&lt;=$F54,EW$5+GanttPeriod-1&gt;=$E54),"━","")))</f>
        <v/>
      </c>
      <c r="EX54" s="69" t="str">
        <f aca="false">IF($E54="","",IF($M54,IF(AND($G54&gt;=EX$5,$G54&lt;EX$5+GanttPeriod),"◆",IF(AND($E54&gt;=EX$5,$E54&lt;EX$5+GanttPeriod),"◇","")),IF(AND(EX$5&lt;=$F54,EX$5+GanttPeriod-1&gt;=$E54),"━","")))</f>
        <v/>
      </c>
      <c r="EY54" s="69" t="str">
        <f aca="false">IF($E54="","",IF($M54,IF(AND($G54&gt;=EY$5,$G54&lt;EY$5+GanttPeriod),"◆",IF(AND($E54&gt;=EY$5,$E54&lt;EY$5+GanttPeriod),"◇","")),IF(AND(EY$5&lt;=$F54,EY$5+GanttPeriod-1&gt;=$E54),"━","")))</f>
        <v/>
      </c>
      <c r="EZ54" s="69" t="str">
        <f aca="false">IF($E54="","",IF($M54,IF(AND($G54&gt;=EZ$5,$G54&lt;EZ$5+GanttPeriod),"◆",IF(AND($E54&gt;=EZ$5,$E54&lt;EZ$5+GanttPeriod),"◇","")),IF(AND(EZ$5&lt;=$F54,EZ$5+GanttPeriod-1&gt;=$E54),"━","")))</f>
        <v/>
      </c>
      <c r="FA54" s="69" t="str">
        <f aca="false">IF($E54="","",IF($M54,IF(AND($G54&gt;=FA$5,$G54&lt;FA$5+GanttPeriod),"◆",IF(AND($E54&gt;=FA$5,$E54&lt;FA$5+GanttPeriod),"◇","")),IF(AND(FA$5&lt;=$F54,FA$5+GanttPeriod-1&gt;=$E54),"━","")))</f>
        <v/>
      </c>
      <c r="FB54" s="69" t="str">
        <f aca="false">IF($E54="","",IF($M54,IF(AND($G54&gt;=FB$5,$G54&lt;FB$5+GanttPeriod),"◆",IF(AND($E54&gt;=FB$5,$E54&lt;FB$5+GanttPeriod),"◇","")),IF(AND(FB$5&lt;=$F54,FB$5+GanttPeriod-1&gt;=$E54),"━","")))</f>
        <v/>
      </c>
      <c r="FC54" s="69" t="str">
        <f aca="false">IF($E54="","",IF($M54,IF(AND($G54&gt;=FC$5,$G54&lt;FC$5+GanttPeriod),"◆",IF(AND($E54&gt;=FC$5,$E54&lt;FC$5+GanttPeriod),"◇","")),IF(AND(FC$5&lt;=$F54,FC$5+GanttPeriod-1&gt;=$E54),"━","")))</f>
        <v/>
      </c>
      <c r="FD54" s="69" t="str">
        <f aca="false">IF($E54="","",IF($M54,IF(AND($G54&gt;=FD$5,$G54&lt;FD$5+GanttPeriod),"◆",IF(AND($E54&gt;=FD$5,$E54&lt;FD$5+GanttPeriod),"◇","")),IF(AND(FD$5&lt;=$F54,FD$5+GanttPeriod-1&gt;=$E54),"━","")))</f>
        <v/>
      </c>
      <c r="FE54" s="69" t="str">
        <f aca="false">IF($E54="","",IF($M54,IF(AND($G54&gt;=FE$5,$G54&lt;FE$5+GanttPeriod),"◆",IF(AND($E54&gt;=FE$5,$E54&lt;FE$5+GanttPeriod),"◇","")),IF(AND(FE$5&lt;=$F54,FE$5+GanttPeriod-1&gt;=$E54),"━","")))</f>
        <v/>
      </c>
      <c r="FF54" s="69" t="str">
        <f aca="false">IF($E54="","",IF($M54,IF(AND($G54&gt;=FF$5,$G54&lt;FF$5+GanttPeriod),"◆",IF(AND($E54&gt;=FF$5,$E54&lt;FF$5+GanttPeriod),"◇","")),IF(AND(FF$5&lt;=$F54,FF$5+GanttPeriod-1&gt;=$E54),"━","")))</f>
        <v/>
      </c>
      <c r="FG54" s="69" t="str">
        <f aca="false">IF($E54="","",IF($M54,IF(AND($G54&gt;=FG$5,$G54&lt;FG$5+GanttPeriod),"◆",IF(AND($E54&gt;=FG$5,$E54&lt;FG$5+GanttPeriod),"◇","")),IF(AND(FG$5&lt;=$F54,FG$5+GanttPeriod-1&gt;=$E54),"━","")))</f>
        <v/>
      </c>
      <c r="FH54" s="69" t="str">
        <f aca="false">IF($E54="","",IF($M54,IF(AND($G54&gt;=FH$5,$G54&lt;FH$5+GanttPeriod),"◆",IF(AND($E54&gt;=FH$5,$E54&lt;FH$5+GanttPeriod),"◇","")),IF(AND(FH$5&lt;=$F54,FH$5+GanttPeriod-1&gt;=$E54),"━","")))</f>
        <v/>
      </c>
      <c r="FI54" s="69" t="str">
        <f aca="false">IF($E54="","",IF($M54,IF(AND($G54&gt;=FI$5,$G54&lt;FI$5+GanttPeriod),"◆",IF(AND($E54&gt;=FI$5,$E54&lt;FI$5+GanttPeriod),"◇","")),IF(AND(FI$5&lt;=$F54,FI$5+GanttPeriod-1&gt;=$E54),"━","")))</f>
        <v/>
      </c>
      <c r="FJ54" s="69" t="str">
        <f aca="false">IF($E54="","",IF($M54,IF(AND($G54&gt;=FJ$5,$G54&lt;FJ$5+GanttPeriod),"◆",IF(AND($E54&gt;=FJ$5,$E54&lt;FJ$5+GanttPeriod),"◇","")),IF(AND(FJ$5&lt;=$F54,FJ$5+GanttPeriod-1&gt;=$E54),"━","")))</f>
        <v/>
      </c>
      <c r="FK54" s="69" t="str">
        <f aca="false">IF($E54="","",IF($M54,IF(AND($G54&gt;=FK$5,$G54&lt;FK$5+GanttPeriod),"◆",IF(AND($E54&gt;=FK$5,$E54&lt;FK$5+GanttPeriod),"◇","")),IF(AND(FK$5&lt;=$F54,FK$5+GanttPeriod-1&gt;=$E54),"━","")))</f>
        <v/>
      </c>
      <c r="FL54" s="69" t="str">
        <f aca="false">IF($E54="","",IF($M54,IF(AND($G54&gt;=FL$5,$G54&lt;FL$5+GanttPeriod),"◆",IF(AND($E54&gt;=FL$5,$E54&lt;FL$5+GanttPeriod),"◇","")),IF(AND(FL$5&lt;=$F54,FL$5+GanttPeriod-1&gt;=$E54),"━","")))</f>
        <v/>
      </c>
      <c r="FM54" s="69" t="str">
        <f aca="false">IF($E54="","",IF($M54,IF(AND($G54&gt;=FM$5,$G54&lt;FM$5+GanttPeriod),"◆",IF(AND($E54&gt;=FM$5,$E54&lt;FM$5+GanttPeriod),"◇","")),IF(AND(FM$5&lt;=$F54,FM$5+GanttPeriod-1&gt;=$E54),"━","")))</f>
        <v/>
      </c>
    </row>
    <row r="55" customFormat="false" ht="15" hidden="false" customHeight="false" outlineLevel="0" collapsed="false">
      <c r="A55" s="62" t="str">
        <f aca="false">IF(Tasks!$D55="","",Tasks!$A55)</f>
        <v/>
      </c>
      <c r="B55" s="62" t="str">
        <f aca="false">IF(Tasks!$D55="","",Tasks!$B55)</f>
        <v/>
      </c>
      <c r="C55" s="63" t="str">
        <f aca="false">IF(Tasks!$D55="","",REPT("    ",Tasks!$AE55-1)&amp;Tasks!$D55)</f>
        <v/>
      </c>
      <c r="D55" s="62" t="str">
        <f aca="false">IF(Tasks!$D55="","",IF(Tasks!$AI55,NETWORKDAYS.INTL(Tasks!$R55,Tasks!$S55,WorkWeek,Holidays),N(Tasks!$F55)))</f>
        <v/>
      </c>
      <c r="E55" s="64" t="str">
        <f aca="false">IF(Tasks!$D55="","",Tasks!$N55)</f>
        <v/>
      </c>
      <c r="F55" s="64" t="str">
        <f aca="false">IF(Tasks!$D55="","",Tasks!$O55)</f>
        <v/>
      </c>
      <c r="G55" s="64" t="str">
        <f aca="false">IF(Tasks!$D55="","",Tasks!$R55)</f>
        <v/>
      </c>
      <c r="H55" s="64" t="str">
        <f aca="false">IF(Tasks!$D55="","",Tasks!$S55)</f>
        <v/>
      </c>
      <c r="I55" s="65" t="str">
        <f aca="false">IF(Tasks!$D55="","",Tasks!$V55)</f>
        <v/>
      </c>
      <c r="J55" s="63" t="str">
        <f aca="false">IF(Tasks!$D55="","",Tasks!$X55&amp;"")</f>
        <v/>
      </c>
      <c r="K55" s="66" t="str">
        <f aca="false">IF(Tasks!$D55="","",Tasks!$W55)</f>
        <v/>
      </c>
      <c r="L55" s="67" t="b">
        <f aca="false">IF(Tasks!$D55="",FALSE(),Tasks!$AI55)</f>
        <v>0</v>
      </c>
      <c r="M55" s="67" t="b">
        <f aca="false">AND(Tasks!$AJ55=1,N(Tasks!$F55)=0)</f>
        <v>0</v>
      </c>
      <c r="N55" s="68" t="n">
        <f aca="false">IF(AND(Tasks!$AJ55=1,NOT($M55),N($I55)&gt;0),$G55,0)</f>
        <v>0</v>
      </c>
      <c r="O55" s="68" t="n">
        <f aca="false">IF($N55=0,0,IF($I55&gt;=1,$H55,MAX($N55,$G55+ROUND(($H55-$G55+1)*$I55,0)-1)))</f>
        <v>0</v>
      </c>
      <c r="P55" s="68" t="n">
        <f aca="false">IF(OR(Tasks!$AJ55&lt;&gt;1,$M55,N($I55)&gt;=1),0,IF($O55&gt;0,$O55+1,$G55))</f>
        <v>0</v>
      </c>
      <c r="Q55" s="68" t="n">
        <f aca="false">IF($P55=0,0,$H55)</f>
        <v>0</v>
      </c>
      <c r="R55" s="67" t="b">
        <f aca="false">AND(Tasks!$D55&lt;&gt;"",N(Tasks!$T55)&gt;0)</f>
        <v>0</v>
      </c>
      <c r="T55" s="69" t="str">
        <f aca="false">IF($E55="","",IF($M55,IF(AND($G55&gt;=T$5,$G55&lt;T$5+GanttPeriod),"◆",IF(AND($E55&gt;=T$5,$E55&lt;T$5+GanttPeriod),"◇","")),IF(AND(T$5&lt;=$F55,T$5+GanttPeriod-1&gt;=$E55),"━","")))</f>
        <v/>
      </c>
      <c r="U55" s="69" t="str">
        <f aca="false">IF($E55="","",IF($M55,IF(AND($G55&gt;=U$5,$G55&lt;U$5+GanttPeriod),"◆",IF(AND($E55&gt;=U$5,$E55&lt;U$5+GanttPeriod),"◇","")),IF(AND(U$5&lt;=$F55,U$5+GanttPeriod-1&gt;=$E55),"━","")))</f>
        <v/>
      </c>
      <c r="V55" s="69" t="str">
        <f aca="false">IF($E55="","",IF($M55,IF(AND($G55&gt;=V$5,$G55&lt;V$5+GanttPeriod),"◆",IF(AND($E55&gt;=V$5,$E55&lt;V$5+GanttPeriod),"◇","")),IF(AND(V$5&lt;=$F55,V$5+GanttPeriod-1&gt;=$E55),"━","")))</f>
        <v/>
      </c>
      <c r="W55" s="69" t="str">
        <f aca="false">IF($E55="","",IF($M55,IF(AND($G55&gt;=W$5,$G55&lt;W$5+GanttPeriod),"◆",IF(AND($E55&gt;=W$5,$E55&lt;W$5+GanttPeriod),"◇","")),IF(AND(W$5&lt;=$F55,W$5+GanttPeriod-1&gt;=$E55),"━","")))</f>
        <v/>
      </c>
      <c r="X55" s="69" t="str">
        <f aca="false">IF($E55="","",IF($M55,IF(AND($G55&gt;=X$5,$G55&lt;X$5+GanttPeriod),"◆",IF(AND($E55&gt;=X$5,$E55&lt;X$5+GanttPeriod),"◇","")),IF(AND(X$5&lt;=$F55,X$5+GanttPeriod-1&gt;=$E55),"━","")))</f>
        <v/>
      </c>
      <c r="Y55" s="69" t="str">
        <f aca="false">IF($E55="","",IF($M55,IF(AND($G55&gt;=Y$5,$G55&lt;Y$5+GanttPeriod),"◆",IF(AND($E55&gt;=Y$5,$E55&lt;Y$5+GanttPeriod),"◇","")),IF(AND(Y$5&lt;=$F55,Y$5+GanttPeriod-1&gt;=$E55),"━","")))</f>
        <v/>
      </c>
      <c r="Z55" s="69" t="str">
        <f aca="false">IF($E55="","",IF($M55,IF(AND($G55&gt;=Z$5,$G55&lt;Z$5+GanttPeriod),"◆",IF(AND($E55&gt;=Z$5,$E55&lt;Z$5+GanttPeriod),"◇","")),IF(AND(Z$5&lt;=$F55,Z$5+GanttPeriod-1&gt;=$E55),"━","")))</f>
        <v/>
      </c>
      <c r="AA55" s="69" t="str">
        <f aca="false">IF($E55="","",IF($M55,IF(AND($G55&gt;=AA$5,$G55&lt;AA$5+GanttPeriod),"◆",IF(AND($E55&gt;=AA$5,$E55&lt;AA$5+GanttPeriod),"◇","")),IF(AND(AA$5&lt;=$F55,AA$5+GanttPeriod-1&gt;=$E55),"━","")))</f>
        <v/>
      </c>
      <c r="AB55" s="69" t="str">
        <f aca="false">IF($E55="","",IF($M55,IF(AND($G55&gt;=AB$5,$G55&lt;AB$5+GanttPeriod),"◆",IF(AND($E55&gt;=AB$5,$E55&lt;AB$5+GanttPeriod),"◇","")),IF(AND(AB$5&lt;=$F55,AB$5+GanttPeriod-1&gt;=$E55),"━","")))</f>
        <v/>
      </c>
      <c r="AC55" s="69" t="str">
        <f aca="false">IF($E55="","",IF($M55,IF(AND($G55&gt;=AC$5,$G55&lt;AC$5+GanttPeriod),"◆",IF(AND($E55&gt;=AC$5,$E55&lt;AC$5+GanttPeriod),"◇","")),IF(AND(AC$5&lt;=$F55,AC$5+GanttPeriod-1&gt;=$E55),"━","")))</f>
        <v/>
      </c>
      <c r="AD55" s="69" t="str">
        <f aca="false">IF($E55="","",IF($M55,IF(AND($G55&gt;=AD$5,$G55&lt;AD$5+GanttPeriod),"◆",IF(AND($E55&gt;=AD$5,$E55&lt;AD$5+GanttPeriod),"◇","")),IF(AND(AD$5&lt;=$F55,AD$5+GanttPeriod-1&gt;=$E55),"━","")))</f>
        <v/>
      </c>
      <c r="AE55" s="69" t="str">
        <f aca="false">IF($E55="","",IF($M55,IF(AND($G55&gt;=AE$5,$G55&lt;AE$5+GanttPeriod),"◆",IF(AND($E55&gt;=AE$5,$E55&lt;AE$5+GanttPeriod),"◇","")),IF(AND(AE$5&lt;=$F55,AE$5+GanttPeriod-1&gt;=$E55),"━","")))</f>
        <v/>
      </c>
      <c r="AF55" s="69" t="str">
        <f aca="false">IF($E55="","",IF($M55,IF(AND($G55&gt;=AF$5,$G55&lt;AF$5+GanttPeriod),"◆",IF(AND($E55&gt;=AF$5,$E55&lt;AF$5+GanttPeriod),"◇","")),IF(AND(AF$5&lt;=$F55,AF$5+GanttPeriod-1&gt;=$E55),"━","")))</f>
        <v/>
      </c>
      <c r="AG55" s="69" t="str">
        <f aca="false">IF($E55="","",IF($M55,IF(AND($G55&gt;=AG$5,$G55&lt;AG$5+GanttPeriod),"◆",IF(AND($E55&gt;=AG$5,$E55&lt;AG$5+GanttPeriod),"◇","")),IF(AND(AG$5&lt;=$F55,AG$5+GanttPeriod-1&gt;=$E55),"━","")))</f>
        <v/>
      </c>
      <c r="AH55" s="69" t="str">
        <f aca="false">IF($E55="","",IF($M55,IF(AND($G55&gt;=AH$5,$G55&lt;AH$5+GanttPeriod),"◆",IF(AND($E55&gt;=AH$5,$E55&lt;AH$5+GanttPeriod),"◇","")),IF(AND(AH$5&lt;=$F55,AH$5+GanttPeriod-1&gt;=$E55),"━","")))</f>
        <v/>
      </c>
      <c r="AI55" s="69" t="str">
        <f aca="false">IF($E55="","",IF($M55,IF(AND($G55&gt;=AI$5,$G55&lt;AI$5+GanttPeriod),"◆",IF(AND($E55&gt;=AI$5,$E55&lt;AI$5+GanttPeriod),"◇","")),IF(AND(AI$5&lt;=$F55,AI$5+GanttPeriod-1&gt;=$E55),"━","")))</f>
        <v/>
      </c>
      <c r="AJ55" s="69" t="str">
        <f aca="false">IF($E55="","",IF($M55,IF(AND($G55&gt;=AJ$5,$G55&lt;AJ$5+GanttPeriod),"◆",IF(AND($E55&gt;=AJ$5,$E55&lt;AJ$5+GanttPeriod),"◇","")),IF(AND(AJ$5&lt;=$F55,AJ$5+GanttPeriod-1&gt;=$E55),"━","")))</f>
        <v/>
      </c>
      <c r="AK55" s="69" t="str">
        <f aca="false">IF($E55="","",IF($M55,IF(AND($G55&gt;=AK$5,$G55&lt;AK$5+GanttPeriod),"◆",IF(AND($E55&gt;=AK$5,$E55&lt;AK$5+GanttPeriod),"◇","")),IF(AND(AK$5&lt;=$F55,AK$5+GanttPeriod-1&gt;=$E55),"━","")))</f>
        <v/>
      </c>
      <c r="AL55" s="69" t="str">
        <f aca="false">IF($E55="","",IF($M55,IF(AND($G55&gt;=AL$5,$G55&lt;AL$5+GanttPeriod),"◆",IF(AND($E55&gt;=AL$5,$E55&lt;AL$5+GanttPeriod),"◇","")),IF(AND(AL$5&lt;=$F55,AL$5+GanttPeriod-1&gt;=$E55),"━","")))</f>
        <v/>
      </c>
      <c r="AM55" s="69" t="str">
        <f aca="false">IF($E55="","",IF($M55,IF(AND($G55&gt;=AM$5,$G55&lt;AM$5+GanttPeriod),"◆",IF(AND($E55&gt;=AM$5,$E55&lt;AM$5+GanttPeriod),"◇","")),IF(AND(AM$5&lt;=$F55,AM$5+GanttPeriod-1&gt;=$E55),"━","")))</f>
        <v/>
      </c>
      <c r="AN55" s="69" t="str">
        <f aca="false">IF($E55="","",IF($M55,IF(AND($G55&gt;=AN$5,$G55&lt;AN$5+GanttPeriod),"◆",IF(AND($E55&gt;=AN$5,$E55&lt;AN$5+GanttPeriod),"◇","")),IF(AND(AN$5&lt;=$F55,AN$5+GanttPeriod-1&gt;=$E55),"━","")))</f>
        <v/>
      </c>
      <c r="AO55" s="69" t="str">
        <f aca="false">IF($E55="","",IF($M55,IF(AND($G55&gt;=AO$5,$G55&lt;AO$5+GanttPeriod),"◆",IF(AND($E55&gt;=AO$5,$E55&lt;AO$5+GanttPeriod),"◇","")),IF(AND(AO$5&lt;=$F55,AO$5+GanttPeriod-1&gt;=$E55),"━","")))</f>
        <v/>
      </c>
      <c r="AP55" s="69" t="str">
        <f aca="false">IF($E55="","",IF($M55,IF(AND($G55&gt;=AP$5,$G55&lt;AP$5+GanttPeriod),"◆",IF(AND($E55&gt;=AP$5,$E55&lt;AP$5+GanttPeriod),"◇","")),IF(AND(AP$5&lt;=$F55,AP$5+GanttPeriod-1&gt;=$E55),"━","")))</f>
        <v/>
      </c>
      <c r="AQ55" s="69" t="str">
        <f aca="false">IF($E55="","",IF($M55,IF(AND($G55&gt;=AQ$5,$G55&lt;AQ$5+GanttPeriod),"◆",IF(AND($E55&gt;=AQ$5,$E55&lt;AQ$5+GanttPeriod),"◇","")),IF(AND(AQ$5&lt;=$F55,AQ$5+GanttPeriod-1&gt;=$E55),"━","")))</f>
        <v/>
      </c>
      <c r="AR55" s="69" t="str">
        <f aca="false">IF($E55="","",IF($M55,IF(AND($G55&gt;=AR$5,$G55&lt;AR$5+GanttPeriod),"◆",IF(AND($E55&gt;=AR$5,$E55&lt;AR$5+GanttPeriod),"◇","")),IF(AND(AR$5&lt;=$F55,AR$5+GanttPeriod-1&gt;=$E55),"━","")))</f>
        <v/>
      </c>
      <c r="AS55" s="69" t="str">
        <f aca="false">IF($E55="","",IF($M55,IF(AND($G55&gt;=AS$5,$G55&lt;AS$5+GanttPeriod),"◆",IF(AND($E55&gt;=AS$5,$E55&lt;AS$5+GanttPeriod),"◇","")),IF(AND(AS$5&lt;=$F55,AS$5+GanttPeriod-1&gt;=$E55),"━","")))</f>
        <v/>
      </c>
      <c r="AT55" s="69" t="str">
        <f aca="false">IF($E55="","",IF($M55,IF(AND($G55&gt;=AT$5,$G55&lt;AT$5+GanttPeriod),"◆",IF(AND($E55&gt;=AT$5,$E55&lt;AT$5+GanttPeriod),"◇","")),IF(AND(AT$5&lt;=$F55,AT$5+GanttPeriod-1&gt;=$E55),"━","")))</f>
        <v/>
      </c>
      <c r="AU55" s="69" t="str">
        <f aca="false">IF($E55="","",IF($M55,IF(AND($G55&gt;=AU$5,$G55&lt;AU$5+GanttPeriod),"◆",IF(AND($E55&gt;=AU$5,$E55&lt;AU$5+GanttPeriod),"◇","")),IF(AND(AU$5&lt;=$F55,AU$5+GanttPeriod-1&gt;=$E55),"━","")))</f>
        <v/>
      </c>
      <c r="AV55" s="69" t="str">
        <f aca="false">IF($E55="","",IF($M55,IF(AND($G55&gt;=AV$5,$G55&lt;AV$5+GanttPeriod),"◆",IF(AND($E55&gt;=AV$5,$E55&lt;AV$5+GanttPeriod),"◇","")),IF(AND(AV$5&lt;=$F55,AV$5+GanttPeriod-1&gt;=$E55),"━","")))</f>
        <v/>
      </c>
      <c r="AW55" s="69" t="str">
        <f aca="false">IF($E55="","",IF($M55,IF(AND($G55&gt;=AW$5,$G55&lt;AW$5+GanttPeriod),"◆",IF(AND($E55&gt;=AW$5,$E55&lt;AW$5+GanttPeriod),"◇","")),IF(AND(AW$5&lt;=$F55,AW$5+GanttPeriod-1&gt;=$E55),"━","")))</f>
        <v/>
      </c>
      <c r="AX55" s="69" t="str">
        <f aca="false">IF($E55="","",IF($M55,IF(AND($G55&gt;=AX$5,$G55&lt;AX$5+GanttPeriod),"◆",IF(AND($E55&gt;=AX$5,$E55&lt;AX$5+GanttPeriod),"◇","")),IF(AND(AX$5&lt;=$F55,AX$5+GanttPeriod-1&gt;=$E55),"━","")))</f>
        <v/>
      </c>
      <c r="AY55" s="69" t="str">
        <f aca="false">IF($E55="","",IF($M55,IF(AND($G55&gt;=AY$5,$G55&lt;AY$5+GanttPeriod),"◆",IF(AND($E55&gt;=AY$5,$E55&lt;AY$5+GanttPeriod),"◇","")),IF(AND(AY$5&lt;=$F55,AY$5+GanttPeriod-1&gt;=$E55),"━","")))</f>
        <v/>
      </c>
      <c r="AZ55" s="69" t="str">
        <f aca="false">IF($E55="","",IF($M55,IF(AND($G55&gt;=AZ$5,$G55&lt;AZ$5+GanttPeriod),"◆",IF(AND($E55&gt;=AZ$5,$E55&lt;AZ$5+GanttPeriod),"◇","")),IF(AND(AZ$5&lt;=$F55,AZ$5+GanttPeriod-1&gt;=$E55),"━","")))</f>
        <v/>
      </c>
      <c r="BA55" s="69" t="str">
        <f aca="false">IF($E55="","",IF($M55,IF(AND($G55&gt;=BA$5,$G55&lt;BA$5+GanttPeriod),"◆",IF(AND($E55&gt;=BA$5,$E55&lt;BA$5+GanttPeriod),"◇","")),IF(AND(BA$5&lt;=$F55,BA$5+GanttPeriod-1&gt;=$E55),"━","")))</f>
        <v/>
      </c>
      <c r="BB55" s="69" t="str">
        <f aca="false">IF($E55="","",IF($M55,IF(AND($G55&gt;=BB$5,$G55&lt;BB$5+GanttPeriod),"◆",IF(AND($E55&gt;=BB$5,$E55&lt;BB$5+GanttPeriod),"◇","")),IF(AND(BB$5&lt;=$F55,BB$5+GanttPeriod-1&gt;=$E55),"━","")))</f>
        <v/>
      </c>
      <c r="BC55" s="69" t="str">
        <f aca="false">IF($E55="","",IF($M55,IF(AND($G55&gt;=BC$5,$G55&lt;BC$5+GanttPeriod),"◆",IF(AND($E55&gt;=BC$5,$E55&lt;BC$5+GanttPeriod),"◇","")),IF(AND(BC$5&lt;=$F55,BC$5+GanttPeriod-1&gt;=$E55),"━","")))</f>
        <v/>
      </c>
      <c r="BD55" s="69" t="str">
        <f aca="false">IF($E55="","",IF($M55,IF(AND($G55&gt;=BD$5,$G55&lt;BD$5+GanttPeriod),"◆",IF(AND($E55&gt;=BD$5,$E55&lt;BD$5+GanttPeriod),"◇","")),IF(AND(BD$5&lt;=$F55,BD$5+GanttPeriod-1&gt;=$E55),"━","")))</f>
        <v/>
      </c>
      <c r="BE55" s="69" t="str">
        <f aca="false">IF($E55="","",IF($M55,IF(AND($G55&gt;=BE$5,$G55&lt;BE$5+GanttPeriod),"◆",IF(AND($E55&gt;=BE$5,$E55&lt;BE$5+GanttPeriod),"◇","")),IF(AND(BE$5&lt;=$F55,BE$5+GanttPeriod-1&gt;=$E55),"━","")))</f>
        <v/>
      </c>
      <c r="BF55" s="69" t="str">
        <f aca="false">IF($E55="","",IF($M55,IF(AND($G55&gt;=BF$5,$G55&lt;BF$5+GanttPeriod),"◆",IF(AND($E55&gt;=BF$5,$E55&lt;BF$5+GanttPeriod),"◇","")),IF(AND(BF$5&lt;=$F55,BF$5+GanttPeriod-1&gt;=$E55),"━","")))</f>
        <v/>
      </c>
      <c r="BG55" s="69" t="str">
        <f aca="false">IF($E55="","",IF($M55,IF(AND($G55&gt;=BG$5,$G55&lt;BG$5+GanttPeriod),"◆",IF(AND($E55&gt;=BG$5,$E55&lt;BG$5+GanttPeriod),"◇","")),IF(AND(BG$5&lt;=$F55,BG$5+GanttPeriod-1&gt;=$E55),"━","")))</f>
        <v/>
      </c>
      <c r="BH55" s="69" t="str">
        <f aca="false">IF($E55="","",IF($M55,IF(AND($G55&gt;=BH$5,$G55&lt;BH$5+GanttPeriod),"◆",IF(AND($E55&gt;=BH$5,$E55&lt;BH$5+GanttPeriod),"◇","")),IF(AND(BH$5&lt;=$F55,BH$5+GanttPeriod-1&gt;=$E55),"━","")))</f>
        <v/>
      </c>
      <c r="BI55" s="69" t="str">
        <f aca="false">IF($E55="","",IF($M55,IF(AND($G55&gt;=BI$5,$G55&lt;BI$5+GanttPeriod),"◆",IF(AND($E55&gt;=BI$5,$E55&lt;BI$5+GanttPeriod),"◇","")),IF(AND(BI$5&lt;=$F55,BI$5+GanttPeriod-1&gt;=$E55),"━","")))</f>
        <v/>
      </c>
      <c r="BJ55" s="69" t="str">
        <f aca="false">IF($E55="","",IF($M55,IF(AND($G55&gt;=BJ$5,$G55&lt;BJ$5+GanttPeriod),"◆",IF(AND($E55&gt;=BJ$5,$E55&lt;BJ$5+GanttPeriod),"◇","")),IF(AND(BJ$5&lt;=$F55,BJ$5+GanttPeriod-1&gt;=$E55),"━","")))</f>
        <v/>
      </c>
      <c r="BK55" s="69" t="str">
        <f aca="false">IF($E55="","",IF($M55,IF(AND($G55&gt;=BK$5,$G55&lt;BK$5+GanttPeriod),"◆",IF(AND($E55&gt;=BK$5,$E55&lt;BK$5+GanttPeriod),"◇","")),IF(AND(BK$5&lt;=$F55,BK$5+GanttPeriod-1&gt;=$E55),"━","")))</f>
        <v/>
      </c>
      <c r="BL55" s="69" t="str">
        <f aca="false">IF($E55="","",IF($M55,IF(AND($G55&gt;=BL$5,$G55&lt;BL$5+GanttPeriod),"◆",IF(AND($E55&gt;=BL$5,$E55&lt;BL$5+GanttPeriod),"◇","")),IF(AND(BL$5&lt;=$F55,BL$5+GanttPeriod-1&gt;=$E55),"━","")))</f>
        <v/>
      </c>
      <c r="BM55" s="69" t="str">
        <f aca="false">IF($E55="","",IF($M55,IF(AND($G55&gt;=BM$5,$G55&lt;BM$5+GanttPeriod),"◆",IF(AND($E55&gt;=BM$5,$E55&lt;BM$5+GanttPeriod),"◇","")),IF(AND(BM$5&lt;=$F55,BM$5+GanttPeriod-1&gt;=$E55),"━","")))</f>
        <v/>
      </c>
      <c r="BN55" s="69" t="str">
        <f aca="false">IF($E55="","",IF($M55,IF(AND($G55&gt;=BN$5,$G55&lt;BN$5+GanttPeriod),"◆",IF(AND($E55&gt;=BN$5,$E55&lt;BN$5+GanttPeriod),"◇","")),IF(AND(BN$5&lt;=$F55,BN$5+GanttPeriod-1&gt;=$E55),"━","")))</f>
        <v/>
      </c>
      <c r="BO55" s="69" t="str">
        <f aca="false">IF($E55="","",IF($M55,IF(AND($G55&gt;=BO$5,$G55&lt;BO$5+GanttPeriod),"◆",IF(AND($E55&gt;=BO$5,$E55&lt;BO$5+GanttPeriod),"◇","")),IF(AND(BO$5&lt;=$F55,BO$5+GanttPeriod-1&gt;=$E55),"━","")))</f>
        <v/>
      </c>
      <c r="BP55" s="69" t="str">
        <f aca="false">IF($E55="","",IF($M55,IF(AND($G55&gt;=BP$5,$G55&lt;BP$5+GanttPeriod),"◆",IF(AND($E55&gt;=BP$5,$E55&lt;BP$5+GanttPeriod),"◇","")),IF(AND(BP$5&lt;=$F55,BP$5+GanttPeriod-1&gt;=$E55),"━","")))</f>
        <v/>
      </c>
      <c r="BQ55" s="69" t="str">
        <f aca="false">IF($E55="","",IF($M55,IF(AND($G55&gt;=BQ$5,$G55&lt;BQ$5+GanttPeriod),"◆",IF(AND($E55&gt;=BQ$5,$E55&lt;BQ$5+GanttPeriod),"◇","")),IF(AND(BQ$5&lt;=$F55,BQ$5+GanttPeriod-1&gt;=$E55),"━","")))</f>
        <v/>
      </c>
      <c r="BR55" s="69" t="str">
        <f aca="false">IF($E55="","",IF($M55,IF(AND($G55&gt;=BR$5,$G55&lt;BR$5+GanttPeriod),"◆",IF(AND($E55&gt;=BR$5,$E55&lt;BR$5+GanttPeriod),"◇","")),IF(AND(BR$5&lt;=$F55,BR$5+GanttPeriod-1&gt;=$E55),"━","")))</f>
        <v/>
      </c>
      <c r="BS55" s="69" t="str">
        <f aca="false">IF($E55="","",IF($M55,IF(AND($G55&gt;=BS$5,$G55&lt;BS$5+GanttPeriod),"◆",IF(AND($E55&gt;=BS$5,$E55&lt;BS$5+GanttPeriod),"◇","")),IF(AND(BS$5&lt;=$F55,BS$5+GanttPeriod-1&gt;=$E55),"━","")))</f>
        <v/>
      </c>
      <c r="BT55" s="69" t="str">
        <f aca="false">IF($E55="","",IF($M55,IF(AND($G55&gt;=BT$5,$G55&lt;BT$5+GanttPeriod),"◆",IF(AND($E55&gt;=BT$5,$E55&lt;BT$5+GanttPeriod),"◇","")),IF(AND(BT$5&lt;=$F55,BT$5+GanttPeriod-1&gt;=$E55),"━","")))</f>
        <v/>
      </c>
      <c r="BU55" s="69" t="str">
        <f aca="false">IF($E55="","",IF($M55,IF(AND($G55&gt;=BU$5,$G55&lt;BU$5+GanttPeriod),"◆",IF(AND($E55&gt;=BU$5,$E55&lt;BU$5+GanttPeriod),"◇","")),IF(AND(BU$5&lt;=$F55,BU$5+GanttPeriod-1&gt;=$E55),"━","")))</f>
        <v/>
      </c>
      <c r="BV55" s="69" t="str">
        <f aca="false">IF($E55="","",IF($M55,IF(AND($G55&gt;=BV$5,$G55&lt;BV$5+GanttPeriod),"◆",IF(AND($E55&gt;=BV$5,$E55&lt;BV$5+GanttPeriod),"◇","")),IF(AND(BV$5&lt;=$F55,BV$5+GanttPeriod-1&gt;=$E55),"━","")))</f>
        <v/>
      </c>
      <c r="BW55" s="69" t="str">
        <f aca="false">IF($E55="","",IF($M55,IF(AND($G55&gt;=BW$5,$G55&lt;BW$5+GanttPeriod),"◆",IF(AND($E55&gt;=BW$5,$E55&lt;BW$5+GanttPeriod),"◇","")),IF(AND(BW$5&lt;=$F55,BW$5+GanttPeriod-1&gt;=$E55),"━","")))</f>
        <v/>
      </c>
      <c r="BX55" s="69" t="str">
        <f aca="false">IF($E55="","",IF($M55,IF(AND($G55&gt;=BX$5,$G55&lt;BX$5+GanttPeriod),"◆",IF(AND($E55&gt;=BX$5,$E55&lt;BX$5+GanttPeriod),"◇","")),IF(AND(BX$5&lt;=$F55,BX$5+GanttPeriod-1&gt;=$E55),"━","")))</f>
        <v/>
      </c>
      <c r="BY55" s="69" t="str">
        <f aca="false">IF($E55="","",IF($M55,IF(AND($G55&gt;=BY$5,$G55&lt;BY$5+GanttPeriod),"◆",IF(AND($E55&gt;=BY$5,$E55&lt;BY$5+GanttPeriod),"◇","")),IF(AND(BY$5&lt;=$F55,BY$5+GanttPeriod-1&gt;=$E55),"━","")))</f>
        <v/>
      </c>
      <c r="BZ55" s="69" t="str">
        <f aca="false">IF($E55="","",IF($M55,IF(AND($G55&gt;=BZ$5,$G55&lt;BZ$5+GanttPeriod),"◆",IF(AND($E55&gt;=BZ$5,$E55&lt;BZ$5+GanttPeriod),"◇","")),IF(AND(BZ$5&lt;=$F55,BZ$5+GanttPeriod-1&gt;=$E55),"━","")))</f>
        <v/>
      </c>
      <c r="CA55" s="69" t="str">
        <f aca="false">IF($E55="","",IF($M55,IF(AND($G55&gt;=CA$5,$G55&lt;CA$5+GanttPeriod),"◆",IF(AND($E55&gt;=CA$5,$E55&lt;CA$5+GanttPeriod),"◇","")),IF(AND(CA$5&lt;=$F55,CA$5+GanttPeriod-1&gt;=$E55),"━","")))</f>
        <v/>
      </c>
      <c r="CB55" s="69" t="str">
        <f aca="false">IF($E55="","",IF($M55,IF(AND($G55&gt;=CB$5,$G55&lt;CB$5+GanttPeriod),"◆",IF(AND($E55&gt;=CB$5,$E55&lt;CB$5+GanttPeriod),"◇","")),IF(AND(CB$5&lt;=$F55,CB$5+GanttPeriod-1&gt;=$E55),"━","")))</f>
        <v/>
      </c>
      <c r="CC55" s="69" t="str">
        <f aca="false">IF($E55="","",IF($M55,IF(AND($G55&gt;=CC$5,$G55&lt;CC$5+GanttPeriod),"◆",IF(AND($E55&gt;=CC$5,$E55&lt;CC$5+GanttPeriod),"◇","")),IF(AND(CC$5&lt;=$F55,CC$5+GanttPeriod-1&gt;=$E55),"━","")))</f>
        <v/>
      </c>
      <c r="CD55" s="69" t="str">
        <f aca="false">IF($E55="","",IF($M55,IF(AND($G55&gt;=CD$5,$G55&lt;CD$5+GanttPeriod),"◆",IF(AND($E55&gt;=CD$5,$E55&lt;CD$5+GanttPeriod),"◇","")),IF(AND(CD$5&lt;=$F55,CD$5+GanttPeriod-1&gt;=$E55),"━","")))</f>
        <v/>
      </c>
      <c r="CE55" s="69" t="str">
        <f aca="false">IF($E55="","",IF($M55,IF(AND($G55&gt;=CE$5,$G55&lt;CE$5+GanttPeriod),"◆",IF(AND($E55&gt;=CE$5,$E55&lt;CE$5+GanttPeriod),"◇","")),IF(AND(CE$5&lt;=$F55,CE$5+GanttPeriod-1&gt;=$E55),"━","")))</f>
        <v/>
      </c>
      <c r="CF55" s="69" t="str">
        <f aca="false">IF($E55="","",IF($M55,IF(AND($G55&gt;=CF$5,$G55&lt;CF$5+GanttPeriod),"◆",IF(AND($E55&gt;=CF$5,$E55&lt;CF$5+GanttPeriod),"◇","")),IF(AND(CF$5&lt;=$F55,CF$5+GanttPeriod-1&gt;=$E55),"━","")))</f>
        <v/>
      </c>
      <c r="CG55" s="69" t="str">
        <f aca="false">IF($E55="","",IF($M55,IF(AND($G55&gt;=CG$5,$G55&lt;CG$5+GanttPeriod),"◆",IF(AND($E55&gt;=CG$5,$E55&lt;CG$5+GanttPeriod),"◇","")),IF(AND(CG$5&lt;=$F55,CG$5+GanttPeriod-1&gt;=$E55),"━","")))</f>
        <v/>
      </c>
      <c r="CH55" s="69" t="str">
        <f aca="false">IF($E55="","",IF($M55,IF(AND($G55&gt;=CH$5,$G55&lt;CH$5+GanttPeriod),"◆",IF(AND($E55&gt;=CH$5,$E55&lt;CH$5+GanttPeriod),"◇","")),IF(AND(CH$5&lt;=$F55,CH$5+GanttPeriod-1&gt;=$E55),"━","")))</f>
        <v/>
      </c>
      <c r="CI55" s="69" t="str">
        <f aca="false">IF($E55="","",IF($M55,IF(AND($G55&gt;=CI$5,$G55&lt;CI$5+GanttPeriod),"◆",IF(AND($E55&gt;=CI$5,$E55&lt;CI$5+GanttPeriod),"◇","")),IF(AND(CI$5&lt;=$F55,CI$5+GanttPeriod-1&gt;=$E55),"━","")))</f>
        <v/>
      </c>
      <c r="CJ55" s="69" t="str">
        <f aca="false">IF($E55="","",IF($M55,IF(AND($G55&gt;=CJ$5,$G55&lt;CJ$5+GanttPeriod),"◆",IF(AND($E55&gt;=CJ$5,$E55&lt;CJ$5+GanttPeriod),"◇","")),IF(AND(CJ$5&lt;=$F55,CJ$5+GanttPeriod-1&gt;=$E55),"━","")))</f>
        <v/>
      </c>
      <c r="CK55" s="69" t="str">
        <f aca="false">IF($E55="","",IF($M55,IF(AND($G55&gt;=CK$5,$G55&lt;CK$5+GanttPeriod),"◆",IF(AND($E55&gt;=CK$5,$E55&lt;CK$5+GanttPeriod),"◇","")),IF(AND(CK$5&lt;=$F55,CK$5+GanttPeriod-1&gt;=$E55),"━","")))</f>
        <v/>
      </c>
      <c r="CL55" s="69" t="str">
        <f aca="false">IF($E55="","",IF($M55,IF(AND($G55&gt;=CL$5,$G55&lt;CL$5+GanttPeriod),"◆",IF(AND($E55&gt;=CL$5,$E55&lt;CL$5+GanttPeriod),"◇","")),IF(AND(CL$5&lt;=$F55,CL$5+GanttPeriod-1&gt;=$E55),"━","")))</f>
        <v/>
      </c>
      <c r="CM55" s="69" t="str">
        <f aca="false">IF($E55="","",IF($M55,IF(AND($G55&gt;=CM$5,$G55&lt;CM$5+GanttPeriod),"◆",IF(AND($E55&gt;=CM$5,$E55&lt;CM$5+GanttPeriod),"◇","")),IF(AND(CM$5&lt;=$F55,CM$5+GanttPeriod-1&gt;=$E55),"━","")))</f>
        <v/>
      </c>
      <c r="CN55" s="69" t="str">
        <f aca="false">IF($E55="","",IF($M55,IF(AND($G55&gt;=CN$5,$G55&lt;CN$5+GanttPeriod),"◆",IF(AND($E55&gt;=CN$5,$E55&lt;CN$5+GanttPeriod),"◇","")),IF(AND(CN$5&lt;=$F55,CN$5+GanttPeriod-1&gt;=$E55),"━","")))</f>
        <v/>
      </c>
      <c r="CO55" s="69" t="str">
        <f aca="false">IF($E55="","",IF($M55,IF(AND($G55&gt;=CO$5,$G55&lt;CO$5+GanttPeriod),"◆",IF(AND($E55&gt;=CO$5,$E55&lt;CO$5+GanttPeriod),"◇","")),IF(AND(CO$5&lt;=$F55,CO$5+GanttPeriod-1&gt;=$E55),"━","")))</f>
        <v/>
      </c>
      <c r="CP55" s="69" t="str">
        <f aca="false">IF($E55="","",IF($M55,IF(AND($G55&gt;=CP$5,$G55&lt;CP$5+GanttPeriod),"◆",IF(AND($E55&gt;=CP$5,$E55&lt;CP$5+GanttPeriod),"◇","")),IF(AND(CP$5&lt;=$F55,CP$5+GanttPeriod-1&gt;=$E55),"━","")))</f>
        <v/>
      </c>
      <c r="CQ55" s="69" t="str">
        <f aca="false">IF($E55="","",IF($M55,IF(AND($G55&gt;=CQ$5,$G55&lt;CQ$5+GanttPeriod),"◆",IF(AND($E55&gt;=CQ$5,$E55&lt;CQ$5+GanttPeriod),"◇","")),IF(AND(CQ$5&lt;=$F55,CQ$5+GanttPeriod-1&gt;=$E55),"━","")))</f>
        <v/>
      </c>
      <c r="CR55" s="69" t="str">
        <f aca="false">IF($E55="","",IF($M55,IF(AND($G55&gt;=CR$5,$G55&lt;CR$5+GanttPeriod),"◆",IF(AND($E55&gt;=CR$5,$E55&lt;CR$5+GanttPeriod),"◇","")),IF(AND(CR$5&lt;=$F55,CR$5+GanttPeriod-1&gt;=$E55),"━","")))</f>
        <v/>
      </c>
      <c r="CS55" s="69" t="str">
        <f aca="false">IF($E55="","",IF($M55,IF(AND($G55&gt;=CS$5,$G55&lt;CS$5+GanttPeriod),"◆",IF(AND($E55&gt;=CS$5,$E55&lt;CS$5+GanttPeriod),"◇","")),IF(AND(CS$5&lt;=$F55,CS$5+GanttPeriod-1&gt;=$E55),"━","")))</f>
        <v/>
      </c>
      <c r="CT55" s="69" t="str">
        <f aca="false">IF($E55="","",IF($M55,IF(AND($G55&gt;=CT$5,$G55&lt;CT$5+GanttPeriod),"◆",IF(AND($E55&gt;=CT$5,$E55&lt;CT$5+GanttPeriod),"◇","")),IF(AND(CT$5&lt;=$F55,CT$5+GanttPeriod-1&gt;=$E55),"━","")))</f>
        <v/>
      </c>
      <c r="CU55" s="69" t="str">
        <f aca="false">IF($E55="","",IF($M55,IF(AND($G55&gt;=CU$5,$G55&lt;CU$5+GanttPeriod),"◆",IF(AND($E55&gt;=CU$5,$E55&lt;CU$5+GanttPeriod),"◇","")),IF(AND(CU$5&lt;=$F55,CU$5+GanttPeriod-1&gt;=$E55),"━","")))</f>
        <v/>
      </c>
      <c r="CV55" s="69" t="str">
        <f aca="false">IF($E55="","",IF($M55,IF(AND($G55&gt;=CV$5,$G55&lt;CV$5+GanttPeriod),"◆",IF(AND($E55&gt;=CV$5,$E55&lt;CV$5+GanttPeriod),"◇","")),IF(AND(CV$5&lt;=$F55,CV$5+GanttPeriod-1&gt;=$E55),"━","")))</f>
        <v/>
      </c>
      <c r="CW55" s="69" t="str">
        <f aca="false">IF($E55="","",IF($M55,IF(AND($G55&gt;=CW$5,$G55&lt;CW$5+GanttPeriod),"◆",IF(AND($E55&gt;=CW$5,$E55&lt;CW$5+GanttPeriod),"◇","")),IF(AND(CW$5&lt;=$F55,CW$5+GanttPeriod-1&gt;=$E55),"━","")))</f>
        <v/>
      </c>
      <c r="CX55" s="69" t="str">
        <f aca="false">IF($E55="","",IF($M55,IF(AND($G55&gt;=CX$5,$G55&lt;CX$5+GanttPeriod),"◆",IF(AND($E55&gt;=CX$5,$E55&lt;CX$5+GanttPeriod),"◇","")),IF(AND(CX$5&lt;=$F55,CX$5+GanttPeriod-1&gt;=$E55),"━","")))</f>
        <v/>
      </c>
      <c r="CY55" s="69" t="str">
        <f aca="false">IF($E55="","",IF($M55,IF(AND($G55&gt;=CY$5,$G55&lt;CY$5+GanttPeriod),"◆",IF(AND($E55&gt;=CY$5,$E55&lt;CY$5+GanttPeriod),"◇","")),IF(AND(CY$5&lt;=$F55,CY$5+GanttPeriod-1&gt;=$E55),"━","")))</f>
        <v/>
      </c>
      <c r="CZ55" s="69" t="str">
        <f aca="false">IF($E55="","",IF($M55,IF(AND($G55&gt;=CZ$5,$G55&lt;CZ$5+GanttPeriod),"◆",IF(AND($E55&gt;=CZ$5,$E55&lt;CZ$5+GanttPeriod),"◇","")),IF(AND(CZ$5&lt;=$F55,CZ$5+GanttPeriod-1&gt;=$E55),"━","")))</f>
        <v/>
      </c>
      <c r="DA55" s="69" t="str">
        <f aca="false">IF($E55="","",IF($M55,IF(AND($G55&gt;=DA$5,$G55&lt;DA$5+GanttPeriod),"◆",IF(AND($E55&gt;=DA$5,$E55&lt;DA$5+GanttPeriod),"◇","")),IF(AND(DA$5&lt;=$F55,DA$5+GanttPeriod-1&gt;=$E55),"━","")))</f>
        <v/>
      </c>
      <c r="DB55" s="69" t="str">
        <f aca="false">IF($E55="","",IF($M55,IF(AND($G55&gt;=DB$5,$G55&lt;DB$5+GanttPeriod),"◆",IF(AND($E55&gt;=DB$5,$E55&lt;DB$5+GanttPeriod),"◇","")),IF(AND(DB$5&lt;=$F55,DB$5+GanttPeriod-1&gt;=$E55),"━","")))</f>
        <v/>
      </c>
      <c r="DC55" s="69" t="str">
        <f aca="false">IF($E55="","",IF($M55,IF(AND($G55&gt;=DC$5,$G55&lt;DC$5+GanttPeriod),"◆",IF(AND($E55&gt;=DC$5,$E55&lt;DC$5+GanttPeriod),"◇","")),IF(AND(DC$5&lt;=$F55,DC$5+GanttPeriod-1&gt;=$E55),"━","")))</f>
        <v/>
      </c>
      <c r="DD55" s="69" t="str">
        <f aca="false">IF($E55="","",IF($M55,IF(AND($G55&gt;=DD$5,$G55&lt;DD$5+GanttPeriod),"◆",IF(AND($E55&gt;=DD$5,$E55&lt;DD$5+GanttPeriod),"◇","")),IF(AND(DD$5&lt;=$F55,DD$5+GanttPeriod-1&gt;=$E55),"━","")))</f>
        <v/>
      </c>
      <c r="DE55" s="69" t="str">
        <f aca="false">IF($E55="","",IF($M55,IF(AND($G55&gt;=DE$5,$G55&lt;DE$5+GanttPeriod),"◆",IF(AND($E55&gt;=DE$5,$E55&lt;DE$5+GanttPeriod),"◇","")),IF(AND(DE$5&lt;=$F55,DE$5+GanttPeriod-1&gt;=$E55),"━","")))</f>
        <v/>
      </c>
      <c r="DF55" s="69" t="str">
        <f aca="false">IF($E55="","",IF($M55,IF(AND($G55&gt;=DF$5,$G55&lt;DF$5+GanttPeriod),"◆",IF(AND($E55&gt;=DF$5,$E55&lt;DF$5+GanttPeriod),"◇","")),IF(AND(DF$5&lt;=$F55,DF$5+GanttPeriod-1&gt;=$E55),"━","")))</f>
        <v/>
      </c>
      <c r="DG55" s="69" t="str">
        <f aca="false">IF($E55="","",IF($M55,IF(AND($G55&gt;=DG$5,$G55&lt;DG$5+GanttPeriod),"◆",IF(AND($E55&gt;=DG$5,$E55&lt;DG$5+GanttPeriod),"◇","")),IF(AND(DG$5&lt;=$F55,DG$5+GanttPeriod-1&gt;=$E55),"━","")))</f>
        <v/>
      </c>
      <c r="DH55" s="69" t="str">
        <f aca="false">IF($E55="","",IF($M55,IF(AND($G55&gt;=DH$5,$G55&lt;DH$5+GanttPeriod),"◆",IF(AND($E55&gt;=DH$5,$E55&lt;DH$5+GanttPeriod),"◇","")),IF(AND(DH$5&lt;=$F55,DH$5+GanttPeriod-1&gt;=$E55),"━","")))</f>
        <v/>
      </c>
      <c r="DI55" s="69" t="str">
        <f aca="false">IF($E55="","",IF($M55,IF(AND($G55&gt;=DI$5,$G55&lt;DI$5+GanttPeriod),"◆",IF(AND($E55&gt;=DI$5,$E55&lt;DI$5+GanttPeriod),"◇","")),IF(AND(DI$5&lt;=$F55,DI$5+GanttPeriod-1&gt;=$E55),"━","")))</f>
        <v/>
      </c>
      <c r="DJ55" s="69" t="str">
        <f aca="false">IF($E55="","",IF($M55,IF(AND($G55&gt;=DJ$5,$G55&lt;DJ$5+GanttPeriod),"◆",IF(AND($E55&gt;=DJ$5,$E55&lt;DJ$5+GanttPeriod),"◇","")),IF(AND(DJ$5&lt;=$F55,DJ$5+GanttPeriod-1&gt;=$E55),"━","")))</f>
        <v/>
      </c>
      <c r="DK55" s="69" t="str">
        <f aca="false">IF($E55="","",IF($M55,IF(AND($G55&gt;=DK$5,$G55&lt;DK$5+GanttPeriod),"◆",IF(AND($E55&gt;=DK$5,$E55&lt;DK$5+GanttPeriod),"◇","")),IF(AND(DK$5&lt;=$F55,DK$5+GanttPeriod-1&gt;=$E55),"━","")))</f>
        <v/>
      </c>
      <c r="DL55" s="69" t="str">
        <f aca="false">IF($E55="","",IF($M55,IF(AND($G55&gt;=DL$5,$G55&lt;DL$5+GanttPeriod),"◆",IF(AND($E55&gt;=DL$5,$E55&lt;DL$5+GanttPeriod),"◇","")),IF(AND(DL$5&lt;=$F55,DL$5+GanttPeriod-1&gt;=$E55),"━","")))</f>
        <v/>
      </c>
      <c r="DM55" s="69" t="str">
        <f aca="false">IF($E55="","",IF($M55,IF(AND($G55&gt;=DM$5,$G55&lt;DM$5+GanttPeriod),"◆",IF(AND($E55&gt;=DM$5,$E55&lt;DM$5+GanttPeriod),"◇","")),IF(AND(DM$5&lt;=$F55,DM$5+GanttPeriod-1&gt;=$E55),"━","")))</f>
        <v/>
      </c>
      <c r="DN55" s="69" t="str">
        <f aca="false">IF($E55="","",IF($M55,IF(AND($G55&gt;=DN$5,$G55&lt;DN$5+GanttPeriod),"◆",IF(AND($E55&gt;=DN$5,$E55&lt;DN$5+GanttPeriod),"◇","")),IF(AND(DN$5&lt;=$F55,DN$5+GanttPeriod-1&gt;=$E55),"━","")))</f>
        <v/>
      </c>
      <c r="DO55" s="69" t="str">
        <f aca="false">IF($E55="","",IF($M55,IF(AND($G55&gt;=DO$5,$G55&lt;DO$5+GanttPeriod),"◆",IF(AND($E55&gt;=DO$5,$E55&lt;DO$5+GanttPeriod),"◇","")),IF(AND(DO$5&lt;=$F55,DO$5+GanttPeriod-1&gt;=$E55),"━","")))</f>
        <v/>
      </c>
      <c r="DP55" s="69" t="str">
        <f aca="false">IF($E55="","",IF($M55,IF(AND($G55&gt;=DP$5,$G55&lt;DP$5+GanttPeriod),"◆",IF(AND($E55&gt;=DP$5,$E55&lt;DP$5+GanttPeriod),"◇","")),IF(AND(DP$5&lt;=$F55,DP$5+GanttPeriod-1&gt;=$E55),"━","")))</f>
        <v/>
      </c>
      <c r="DQ55" s="69" t="str">
        <f aca="false">IF($E55="","",IF($M55,IF(AND($G55&gt;=DQ$5,$G55&lt;DQ$5+GanttPeriod),"◆",IF(AND($E55&gt;=DQ$5,$E55&lt;DQ$5+GanttPeriod),"◇","")),IF(AND(DQ$5&lt;=$F55,DQ$5+GanttPeriod-1&gt;=$E55),"━","")))</f>
        <v/>
      </c>
      <c r="DR55" s="69" t="str">
        <f aca="false">IF($E55="","",IF($M55,IF(AND($G55&gt;=DR$5,$G55&lt;DR$5+GanttPeriod),"◆",IF(AND($E55&gt;=DR$5,$E55&lt;DR$5+GanttPeriod),"◇","")),IF(AND(DR$5&lt;=$F55,DR$5+GanttPeriod-1&gt;=$E55),"━","")))</f>
        <v/>
      </c>
      <c r="DS55" s="69" t="str">
        <f aca="false">IF($E55="","",IF($M55,IF(AND($G55&gt;=DS$5,$G55&lt;DS$5+GanttPeriod),"◆",IF(AND($E55&gt;=DS$5,$E55&lt;DS$5+GanttPeriod),"◇","")),IF(AND(DS$5&lt;=$F55,DS$5+GanttPeriod-1&gt;=$E55),"━","")))</f>
        <v/>
      </c>
      <c r="DT55" s="69" t="str">
        <f aca="false">IF($E55="","",IF($M55,IF(AND($G55&gt;=DT$5,$G55&lt;DT$5+GanttPeriod),"◆",IF(AND($E55&gt;=DT$5,$E55&lt;DT$5+GanttPeriod),"◇","")),IF(AND(DT$5&lt;=$F55,DT$5+GanttPeriod-1&gt;=$E55),"━","")))</f>
        <v/>
      </c>
      <c r="DU55" s="69" t="str">
        <f aca="false">IF($E55="","",IF($M55,IF(AND($G55&gt;=DU$5,$G55&lt;DU$5+GanttPeriod),"◆",IF(AND($E55&gt;=DU$5,$E55&lt;DU$5+GanttPeriod),"◇","")),IF(AND(DU$5&lt;=$F55,DU$5+GanttPeriod-1&gt;=$E55),"━","")))</f>
        <v/>
      </c>
      <c r="DV55" s="69" t="str">
        <f aca="false">IF($E55="","",IF($M55,IF(AND($G55&gt;=DV$5,$G55&lt;DV$5+GanttPeriod),"◆",IF(AND($E55&gt;=DV$5,$E55&lt;DV$5+GanttPeriod),"◇","")),IF(AND(DV$5&lt;=$F55,DV$5+GanttPeriod-1&gt;=$E55),"━","")))</f>
        <v/>
      </c>
      <c r="DW55" s="69" t="str">
        <f aca="false">IF($E55="","",IF($M55,IF(AND($G55&gt;=DW$5,$G55&lt;DW$5+GanttPeriod),"◆",IF(AND($E55&gt;=DW$5,$E55&lt;DW$5+GanttPeriod),"◇","")),IF(AND(DW$5&lt;=$F55,DW$5+GanttPeriod-1&gt;=$E55),"━","")))</f>
        <v/>
      </c>
      <c r="DX55" s="69" t="str">
        <f aca="false">IF($E55="","",IF($M55,IF(AND($G55&gt;=DX$5,$G55&lt;DX$5+GanttPeriod),"◆",IF(AND($E55&gt;=DX$5,$E55&lt;DX$5+GanttPeriod),"◇","")),IF(AND(DX$5&lt;=$F55,DX$5+GanttPeriod-1&gt;=$E55),"━","")))</f>
        <v/>
      </c>
      <c r="DY55" s="69" t="str">
        <f aca="false">IF($E55="","",IF($M55,IF(AND($G55&gt;=DY$5,$G55&lt;DY$5+GanttPeriod),"◆",IF(AND($E55&gt;=DY$5,$E55&lt;DY$5+GanttPeriod),"◇","")),IF(AND(DY$5&lt;=$F55,DY$5+GanttPeriod-1&gt;=$E55),"━","")))</f>
        <v/>
      </c>
      <c r="DZ55" s="69" t="str">
        <f aca="false">IF($E55="","",IF($M55,IF(AND($G55&gt;=DZ$5,$G55&lt;DZ$5+GanttPeriod),"◆",IF(AND($E55&gt;=DZ$5,$E55&lt;DZ$5+GanttPeriod),"◇","")),IF(AND(DZ$5&lt;=$F55,DZ$5+GanttPeriod-1&gt;=$E55),"━","")))</f>
        <v/>
      </c>
      <c r="EA55" s="69" t="str">
        <f aca="false">IF($E55="","",IF($M55,IF(AND($G55&gt;=EA$5,$G55&lt;EA$5+GanttPeriod),"◆",IF(AND($E55&gt;=EA$5,$E55&lt;EA$5+GanttPeriod),"◇","")),IF(AND(EA$5&lt;=$F55,EA$5+GanttPeriod-1&gt;=$E55),"━","")))</f>
        <v/>
      </c>
      <c r="EB55" s="69" t="str">
        <f aca="false">IF($E55="","",IF($M55,IF(AND($G55&gt;=EB$5,$G55&lt;EB$5+GanttPeriod),"◆",IF(AND($E55&gt;=EB$5,$E55&lt;EB$5+GanttPeriod),"◇","")),IF(AND(EB$5&lt;=$F55,EB$5+GanttPeriod-1&gt;=$E55),"━","")))</f>
        <v/>
      </c>
      <c r="EC55" s="69" t="str">
        <f aca="false">IF($E55="","",IF($M55,IF(AND($G55&gt;=EC$5,$G55&lt;EC$5+GanttPeriod),"◆",IF(AND($E55&gt;=EC$5,$E55&lt;EC$5+GanttPeriod),"◇","")),IF(AND(EC$5&lt;=$F55,EC$5+GanttPeriod-1&gt;=$E55),"━","")))</f>
        <v/>
      </c>
      <c r="ED55" s="69" t="str">
        <f aca="false">IF($E55="","",IF($M55,IF(AND($G55&gt;=ED$5,$G55&lt;ED$5+GanttPeriod),"◆",IF(AND($E55&gt;=ED$5,$E55&lt;ED$5+GanttPeriod),"◇","")),IF(AND(ED$5&lt;=$F55,ED$5+GanttPeriod-1&gt;=$E55),"━","")))</f>
        <v/>
      </c>
      <c r="EE55" s="69" t="str">
        <f aca="false">IF($E55="","",IF($M55,IF(AND($G55&gt;=EE$5,$G55&lt;EE$5+GanttPeriod),"◆",IF(AND($E55&gt;=EE$5,$E55&lt;EE$5+GanttPeriod),"◇","")),IF(AND(EE$5&lt;=$F55,EE$5+GanttPeriod-1&gt;=$E55),"━","")))</f>
        <v/>
      </c>
      <c r="EF55" s="69" t="str">
        <f aca="false">IF($E55="","",IF($M55,IF(AND($G55&gt;=EF$5,$G55&lt;EF$5+GanttPeriod),"◆",IF(AND($E55&gt;=EF$5,$E55&lt;EF$5+GanttPeriod),"◇","")),IF(AND(EF$5&lt;=$F55,EF$5+GanttPeriod-1&gt;=$E55),"━","")))</f>
        <v/>
      </c>
      <c r="EG55" s="69" t="str">
        <f aca="false">IF($E55="","",IF($M55,IF(AND($G55&gt;=EG$5,$G55&lt;EG$5+GanttPeriod),"◆",IF(AND($E55&gt;=EG$5,$E55&lt;EG$5+GanttPeriod),"◇","")),IF(AND(EG$5&lt;=$F55,EG$5+GanttPeriod-1&gt;=$E55),"━","")))</f>
        <v/>
      </c>
      <c r="EH55" s="69" t="str">
        <f aca="false">IF($E55="","",IF($M55,IF(AND($G55&gt;=EH$5,$G55&lt;EH$5+GanttPeriod),"◆",IF(AND($E55&gt;=EH$5,$E55&lt;EH$5+GanttPeriod),"◇","")),IF(AND(EH$5&lt;=$F55,EH$5+GanttPeriod-1&gt;=$E55),"━","")))</f>
        <v/>
      </c>
      <c r="EI55" s="69" t="str">
        <f aca="false">IF($E55="","",IF($M55,IF(AND($G55&gt;=EI$5,$G55&lt;EI$5+GanttPeriod),"◆",IF(AND($E55&gt;=EI$5,$E55&lt;EI$5+GanttPeriod),"◇","")),IF(AND(EI$5&lt;=$F55,EI$5+GanttPeriod-1&gt;=$E55),"━","")))</f>
        <v/>
      </c>
      <c r="EJ55" s="69" t="str">
        <f aca="false">IF($E55="","",IF($M55,IF(AND($G55&gt;=EJ$5,$G55&lt;EJ$5+GanttPeriod),"◆",IF(AND($E55&gt;=EJ$5,$E55&lt;EJ$5+GanttPeriod),"◇","")),IF(AND(EJ$5&lt;=$F55,EJ$5+GanttPeriod-1&gt;=$E55),"━","")))</f>
        <v/>
      </c>
      <c r="EK55" s="69" t="str">
        <f aca="false">IF($E55="","",IF($M55,IF(AND($G55&gt;=EK$5,$G55&lt;EK$5+GanttPeriod),"◆",IF(AND($E55&gt;=EK$5,$E55&lt;EK$5+GanttPeriod),"◇","")),IF(AND(EK$5&lt;=$F55,EK$5+GanttPeriod-1&gt;=$E55),"━","")))</f>
        <v/>
      </c>
      <c r="EL55" s="69" t="str">
        <f aca="false">IF($E55="","",IF($M55,IF(AND($G55&gt;=EL$5,$G55&lt;EL$5+GanttPeriod),"◆",IF(AND($E55&gt;=EL$5,$E55&lt;EL$5+GanttPeriod),"◇","")),IF(AND(EL$5&lt;=$F55,EL$5+GanttPeriod-1&gt;=$E55),"━","")))</f>
        <v/>
      </c>
      <c r="EM55" s="69" t="str">
        <f aca="false">IF($E55="","",IF($M55,IF(AND($G55&gt;=EM$5,$G55&lt;EM$5+GanttPeriod),"◆",IF(AND($E55&gt;=EM$5,$E55&lt;EM$5+GanttPeriod),"◇","")),IF(AND(EM$5&lt;=$F55,EM$5+GanttPeriod-1&gt;=$E55),"━","")))</f>
        <v/>
      </c>
      <c r="EN55" s="69" t="str">
        <f aca="false">IF($E55="","",IF($M55,IF(AND($G55&gt;=EN$5,$G55&lt;EN$5+GanttPeriod),"◆",IF(AND($E55&gt;=EN$5,$E55&lt;EN$5+GanttPeriod),"◇","")),IF(AND(EN$5&lt;=$F55,EN$5+GanttPeriod-1&gt;=$E55),"━","")))</f>
        <v/>
      </c>
      <c r="EO55" s="69" t="str">
        <f aca="false">IF($E55="","",IF($M55,IF(AND($G55&gt;=EO$5,$G55&lt;EO$5+GanttPeriod),"◆",IF(AND($E55&gt;=EO$5,$E55&lt;EO$5+GanttPeriod),"◇","")),IF(AND(EO$5&lt;=$F55,EO$5+GanttPeriod-1&gt;=$E55),"━","")))</f>
        <v/>
      </c>
      <c r="EP55" s="69" t="str">
        <f aca="false">IF($E55="","",IF($M55,IF(AND($G55&gt;=EP$5,$G55&lt;EP$5+GanttPeriod),"◆",IF(AND($E55&gt;=EP$5,$E55&lt;EP$5+GanttPeriod),"◇","")),IF(AND(EP$5&lt;=$F55,EP$5+GanttPeriod-1&gt;=$E55),"━","")))</f>
        <v/>
      </c>
      <c r="EQ55" s="69" t="str">
        <f aca="false">IF($E55="","",IF($M55,IF(AND($G55&gt;=EQ$5,$G55&lt;EQ$5+GanttPeriod),"◆",IF(AND($E55&gt;=EQ$5,$E55&lt;EQ$5+GanttPeriod),"◇","")),IF(AND(EQ$5&lt;=$F55,EQ$5+GanttPeriod-1&gt;=$E55),"━","")))</f>
        <v/>
      </c>
      <c r="ER55" s="69" t="str">
        <f aca="false">IF($E55="","",IF($M55,IF(AND($G55&gt;=ER$5,$G55&lt;ER$5+GanttPeriod),"◆",IF(AND($E55&gt;=ER$5,$E55&lt;ER$5+GanttPeriod),"◇","")),IF(AND(ER$5&lt;=$F55,ER$5+GanttPeriod-1&gt;=$E55),"━","")))</f>
        <v/>
      </c>
      <c r="ES55" s="69" t="str">
        <f aca="false">IF($E55="","",IF($M55,IF(AND($G55&gt;=ES$5,$G55&lt;ES$5+GanttPeriod),"◆",IF(AND($E55&gt;=ES$5,$E55&lt;ES$5+GanttPeriod),"◇","")),IF(AND(ES$5&lt;=$F55,ES$5+GanttPeriod-1&gt;=$E55),"━","")))</f>
        <v/>
      </c>
      <c r="ET55" s="69" t="str">
        <f aca="false">IF($E55="","",IF($M55,IF(AND($G55&gt;=ET$5,$G55&lt;ET$5+GanttPeriod),"◆",IF(AND($E55&gt;=ET$5,$E55&lt;ET$5+GanttPeriod),"◇","")),IF(AND(ET$5&lt;=$F55,ET$5+GanttPeriod-1&gt;=$E55),"━","")))</f>
        <v/>
      </c>
      <c r="EU55" s="69" t="str">
        <f aca="false">IF($E55="","",IF($M55,IF(AND($G55&gt;=EU$5,$G55&lt;EU$5+GanttPeriod),"◆",IF(AND($E55&gt;=EU$5,$E55&lt;EU$5+GanttPeriod),"◇","")),IF(AND(EU$5&lt;=$F55,EU$5+GanttPeriod-1&gt;=$E55),"━","")))</f>
        <v/>
      </c>
      <c r="EV55" s="69" t="str">
        <f aca="false">IF($E55="","",IF($M55,IF(AND($G55&gt;=EV$5,$G55&lt;EV$5+GanttPeriod),"◆",IF(AND($E55&gt;=EV$5,$E55&lt;EV$5+GanttPeriod),"◇","")),IF(AND(EV$5&lt;=$F55,EV$5+GanttPeriod-1&gt;=$E55),"━","")))</f>
        <v/>
      </c>
      <c r="EW55" s="69" t="str">
        <f aca="false">IF($E55="","",IF($M55,IF(AND($G55&gt;=EW$5,$G55&lt;EW$5+GanttPeriod),"◆",IF(AND($E55&gt;=EW$5,$E55&lt;EW$5+GanttPeriod),"◇","")),IF(AND(EW$5&lt;=$F55,EW$5+GanttPeriod-1&gt;=$E55),"━","")))</f>
        <v/>
      </c>
      <c r="EX55" s="69" t="str">
        <f aca="false">IF($E55="","",IF($M55,IF(AND($G55&gt;=EX$5,$G55&lt;EX$5+GanttPeriod),"◆",IF(AND($E55&gt;=EX$5,$E55&lt;EX$5+GanttPeriod),"◇","")),IF(AND(EX$5&lt;=$F55,EX$5+GanttPeriod-1&gt;=$E55),"━","")))</f>
        <v/>
      </c>
      <c r="EY55" s="69" t="str">
        <f aca="false">IF($E55="","",IF($M55,IF(AND($G55&gt;=EY$5,$G55&lt;EY$5+GanttPeriod),"◆",IF(AND($E55&gt;=EY$5,$E55&lt;EY$5+GanttPeriod),"◇","")),IF(AND(EY$5&lt;=$F55,EY$5+GanttPeriod-1&gt;=$E55),"━","")))</f>
        <v/>
      </c>
      <c r="EZ55" s="69" t="str">
        <f aca="false">IF($E55="","",IF($M55,IF(AND($G55&gt;=EZ$5,$G55&lt;EZ$5+GanttPeriod),"◆",IF(AND($E55&gt;=EZ$5,$E55&lt;EZ$5+GanttPeriod),"◇","")),IF(AND(EZ$5&lt;=$F55,EZ$5+GanttPeriod-1&gt;=$E55),"━","")))</f>
        <v/>
      </c>
      <c r="FA55" s="69" t="str">
        <f aca="false">IF($E55="","",IF($M55,IF(AND($G55&gt;=FA$5,$G55&lt;FA$5+GanttPeriod),"◆",IF(AND($E55&gt;=FA$5,$E55&lt;FA$5+GanttPeriod),"◇","")),IF(AND(FA$5&lt;=$F55,FA$5+GanttPeriod-1&gt;=$E55),"━","")))</f>
        <v/>
      </c>
      <c r="FB55" s="69" t="str">
        <f aca="false">IF($E55="","",IF($M55,IF(AND($G55&gt;=FB$5,$G55&lt;FB$5+GanttPeriod),"◆",IF(AND($E55&gt;=FB$5,$E55&lt;FB$5+GanttPeriod),"◇","")),IF(AND(FB$5&lt;=$F55,FB$5+GanttPeriod-1&gt;=$E55),"━","")))</f>
        <v/>
      </c>
      <c r="FC55" s="69" t="str">
        <f aca="false">IF($E55="","",IF($M55,IF(AND($G55&gt;=FC$5,$G55&lt;FC$5+GanttPeriod),"◆",IF(AND($E55&gt;=FC$5,$E55&lt;FC$5+GanttPeriod),"◇","")),IF(AND(FC$5&lt;=$F55,FC$5+GanttPeriod-1&gt;=$E55),"━","")))</f>
        <v/>
      </c>
      <c r="FD55" s="69" t="str">
        <f aca="false">IF($E55="","",IF($M55,IF(AND($G55&gt;=FD$5,$G55&lt;FD$5+GanttPeriod),"◆",IF(AND($E55&gt;=FD$5,$E55&lt;FD$5+GanttPeriod),"◇","")),IF(AND(FD$5&lt;=$F55,FD$5+GanttPeriod-1&gt;=$E55),"━","")))</f>
        <v/>
      </c>
      <c r="FE55" s="69" t="str">
        <f aca="false">IF($E55="","",IF($M55,IF(AND($G55&gt;=FE$5,$G55&lt;FE$5+GanttPeriod),"◆",IF(AND($E55&gt;=FE$5,$E55&lt;FE$5+GanttPeriod),"◇","")),IF(AND(FE$5&lt;=$F55,FE$5+GanttPeriod-1&gt;=$E55),"━","")))</f>
        <v/>
      </c>
      <c r="FF55" s="69" t="str">
        <f aca="false">IF($E55="","",IF($M55,IF(AND($G55&gt;=FF$5,$G55&lt;FF$5+GanttPeriod),"◆",IF(AND($E55&gt;=FF$5,$E55&lt;FF$5+GanttPeriod),"◇","")),IF(AND(FF$5&lt;=$F55,FF$5+GanttPeriod-1&gt;=$E55),"━","")))</f>
        <v/>
      </c>
      <c r="FG55" s="69" t="str">
        <f aca="false">IF($E55="","",IF($M55,IF(AND($G55&gt;=FG$5,$G55&lt;FG$5+GanttPeriod),"◆",IF(AND($E55&gt;=FG$5,$E55&lt;FG$5+GanttPeriod),"◇","")),IF(AND(FG$5&lt;=$F55,FG$5+GanttPeriod-1&gt;=$E55),"━","")))</f>
        <v/>
      </c>
      <c r="FH55" s="69" t="str">
        <f aca="false">IF($E55="","",IF($M55,IF(AND($G55&gt;=FH$5,$G55&lt;FH$5+GanttPeriod),"◆",IF(AND($E55&gt;=FH$5,$E55&lt;FH$5+GanttPeriod),"◇","")),IF(AND(FH$5&lt;=$F55,FH$5+GanttPeriod-1&gt;=$E55),"━","")))</f>
        <v/>
      </c>
      <c r="FI55" s="69" t="str">
        <f aca="false">IF($E55="","",IF($M55,IF(AND($G55&gt;=FI$5,$G55&lt;FI$5+GanttPeriod),"◆",IF(AND($E55&gt;=FI$5,$E55&lt;FI$5+GanttPeriod),"◇","")),IF(AND(FI$5&lt;=$F55,FI$5+GanttPeriod-1&gt;=$E55),"━","")))</f>
        <v/>
      </c>
      <c r="FJ55" s="69" t="str">
        <f aca="false">IF($E55="","",IF($M55,IF(AND($G55&gt;=FJ$5,$G55&lt;FJ$5+GanttPeriod),"◆",IF(AND($E55&gt;=FJ$5,$E55&lt;FJ$5+GanttPeriod),"◇","")),IF(AND(FJ$5&lt;=$F55,FJ$5+GanttPeriod-1&gt;=$E55),"━","")))</f>
        <v/>
      </c>
      <c r="FK55" s="69" t="str">
        <f aca="false">IF($E55="","",IF($M55,IF(AND($G55&gt;=FK$5,$G55&lt;FK$5+GanttPeriod),"◆",IF(AND($E55&gt;=FK$5,$E55&lt;FK$5+GanttPeriod),"◇","")),IF(AND(FK$5&lt;=$F55,FK$5+GanttPeriod-1&gt;=$E55),"━","")))</f>
        <v/>
      </c>
      <c r="FL55" s="69" t="str">
        <f aca="false">IF($E55="","",IF($M55,IF(AND($G55&gt;=FL$5,$G55&lt;FL$5+GanttPeriod),"◆",IF(AND($E55&gt;=FL$5,$E55&lt;FL$5+GanttPeriod),"◇","")),IF(AND(FL$5&lt;=$F55,FL$5+GanttPeriod-1&gt;=$E55),"━","")))</f>
        <v/>
      </c>
      <c r="FM55" s="69" t="str">
        <f aca="false">IF($E55="","",IF($M55,IF(AND($G55&gt;=FM$5,$G55&lt;FM$5+GanttPeriod),"◆",IF(AND($E55&gt;=FM$5,$E55&lt;FM$5+GanttPeriod),"◇","")),IF(AND(FM$5&lt;=$F55,FM$5+GanttPeriod-1&gt;=$E55),"━","")))</f>
        <v/>
      </c>
    </row>
    <row r="56" customFormat="false" ht="15" hidden="false" customHeight="false" outlineLevel="0" collapsed="false">
      <c r="A56" s="62" t="str">
        <f aca="false">IF(Tasks!$D56="","",Tasks!$A56)</f>
        <v/>
      </c>
      <c r="B56" s="62" t="str">
        <f aca="false">IF(Tasks!$D56="","",Tasks!$B56)</f>
        <v/>
      </c>
      <c r="C56" s="63" t="str">
        <f aca="false">IF(Tasks!$D56="","",REPT("    ",Tasks!$AE56-1)&amp;Tasks!$D56)</f>
        <v/>
      </c>
      <c r="D56" s="62" t="str">
        <f aca="false">IF(Tasks!$D56="","",IF(Tasks!$AI56,NETWORKDAYS.INTL(Tasks!$R56,Tasks!$S56,WorkWeek,Holidays),N(Tasks!$F56)))</f>
        <v/>
      </c>
      <c r="E56" s="64" t="str">
        <f aca="false">IF(Tasks!$D56="","",Tasks!$N56)</f>
        <v/>
      </c>
      <c r="F56" s="64" t="str">
        <f aca="false">IF(Tasks!$D56="","",Tasks!$O56)</f>
        <v/>
      </c>
      <c r="G56" s="64" t="str">
        <f aca="false">IF(Tasks!$D56="","",Tasks!$R56)</f>
        <v/>
      </c>
      <c r="H56" s="64" t="str">
        <f aca="false">IF(Tasks!$D56="","",Tasks!$S56)</f>
        <v/>
      </c>
      <c r="I56" s="65" t="str">
        <f aca="false">IF(Tasks!$D56="","",Tasks!$V56)</f>
        <v/>
      </c>
      <c r="J56" s="63" t="str">
        <f aca="false">IF(Tasks!$D56="","",Tasks!$X56&amp;"")</f>
        <v/>
      </c>
      <c r="K56" s="66" t="str">
        <f aca="false">IF(Tasks!$D56="","",Tasks!$W56)</f>
        <v/>
      </c>
      <c r="L56" s="67" t="b">
        <f aca="false">IF(Tasks!$D56="",FALSE(),Tasks!$AI56)</f>
        <v>0</v>
      </c>
      <c r="M56" s="67" t="b">
        <f aca="false">AND(Tasks!$AJ56=1,N(Tasks!$F56)=0)</f>
        <v>0</v>
      </c>
      <c r="N56" s="68" t="n">
        <f aca="false">IF(AND(Tasks!$AJ56=1,NOT($M56),N($I56)&gt;0),$G56,0)</f>
        <v>0</v>
      </c>
      <c r="O56" s="68" t="n">
        <f aca="false">IF($N56=0,0,IF($I56&gt;=1,$H56,MAX($N56,$G56+ROUND(($H56-$G56+1)*$I56,0)-1)))</f>
        <v>0</v>
      </c>
      <c r="P56" s="68" t="n">
        <f aca="false">IF(OR(Tasks!$AJ56&lt;&gt;1,$M56,N($I56)&gt;=1),0,IF($O56&gt;0,$O56+1,$G56))</f>
        <v>0</v>
      </c>
      <c r="Q56" s="68" t="n">
        <f aca="false">IF($P56=0,0,$H56)</f>
        <v>0</v>
      </c>
      <c r="R56" s="67" t="b">
        <f aca="false">AND(Tasks!$D56&lt;&gt;"",N(Tasks!$T56)&gt;0)</f>
        <v>0</v>
      </c>
      <c r="T56" s="69" t="str">
        <f aca="false">IF($E56="","",IF($M56,IF(AND($G56&gt;=T$5,$G56&lt;T$5+GanttPeriod),"◆",IF(AND($E56&gt;=T$5,$E56&lt;T$5+GanttPeriod),"◇","")),IF(AND(T$5&lt;=$F56,T$5+GanttPeriod-1&gt;=$E56),"━","")))</f>
        <v/>
      </c>
      <c r="U56" s="69" t="str">
        <f aca="false">IF($E56="","",IF($M56,IF(AND($G56&gt;=U$5,$G56&lt;U$5+GanttPeriod),"◆",IF(AND($E56&gt;=U$5,$E56&lt;U$5+GanttPeriod),"◇","")),IF(AND(U$5&lt;=$F56,U$5+GanttPeriod-1&gt;=$E56),"━","")))</f>
        <v/>
      </c>
      <c r="V56" s="69" t="str">
        <f aca="false">IF($E56="","",IF($M56,IF(AND($G56&gt;=V$5,$G56&lt;V$5+GanttPeriod),"◆",IF(AND($E56&gt;=V$5,$E56&lt;V$5+GanttPeriod),"◇","")),IF(AND(V$5&lt;=$F56,V$5+GanttPeriod-1&gt;=$E56),"━","")))</f>
        <v/>
      </c>
      <c r="W56" s="69" t="str">
        <f aca="false">IF($E56="","",IF($M56,IF(AND($G56&gt;=W$5,$G56&lt;W$5+GanttPeriod),"◆",IF(AND($E56&gt;=W$5,$E56&lt;W$5+GanttPeriod),"◇","")),IF(AND(W$5&lt;=$F56,W$5+GanttPeriod-1&gt;=$E56),"━","")))</f>
        <v/>
      </c>
      <c r="X56" s="69" t="str">
        <f aca="false">IF($E56="","",IF($M56,IF(AND($G56&gt;=X$5,$G56&lt;X$5+GanttPeriod),"◆",IF(AND($E56&gt;=X$5,$E56&lt;X$5+GanttPeriod),"◇","")),IF(AND(X$5&lt;=$F56,X$5+GanttPeriod-1&gt;=$E56),"━","")))</f>
        <v/>
      </c>
      <c r="Y56" s="69" t="str">
        <f aca="false">IF($E56="","",IF($M56,IF(AND($G56&gt;=Y$5,$G56&lt;Y$5+GanttPeriod),"◆",IF(AND($E56&gt;=Y$5,$E56&lt;Y$5+GanttPeriod),"◇","")),IF(AND(Y$5&lt;=$F56,Y$5+GanttPeriod-1&gt;=$E56),"━","")))</f>
        <v/>
      </c>
      <c r="Z56" s="69" t="str">
        <f aca="false">IF($E56="","",IF($M56,IF(AND($G56&gt;=Z$5,$G56&lt;Z$5+GanttPeriod),"◆",IF(AND($E56&gt;=Z$5,$E56&lt;Z$5+GanttPeriod),"◇","")),IF(AND(Z$5&lt;=$F56,Z$5+GanttPeriod-1&gt;=$E56),"━","")))</f>
        <v/>
      </c>
      <c r="AA56" s="69" t="str">
        <f aca="false">IF($E56="","",IF($M56,IF(AND($G56&gt;=AA$5,$G56&lt;AA$5+GanttPeriod),"◆",IF(AND($E56&gt;=AA$5,$E56&lt;AA$5+GanttPeriod),"◇","")),IF(AND(AA$5&lt;=$F56,AA$5+GanttPeriod-1&gt;=$E56),"━","")))</f>
        <v/>
      </c>
      <c r="AB56" s="69" t="str">
        <f aca="false">IF($E56="","",IF($M56,IF(AND($G56&gt;=AB$5,$G56&lt;AB$5+GanttPeriod),"◆",IF(AND($E56&gt;=AB$5,$E56&lt;AB$5+GanttPeriod),"◇","")),IF(AND(AB$5&lt;=$F56,AB$5+GanttPeriod-1&gt;=$E56),"━","")))</f>
        <v/>
      </c>
      <c r="AC56" s="69" t="str">
        <f aca="false">IF($E56="","",IF($M56,IF(AND($G56&gt;=AC$5,$G56&lt;AC$5+GanttPeriod),"◆",IF(AND($E56&gt;=AC$5,$E56&lt;AC$5+GanttPeriod),"◇","")),IF(AND(AC$5&lt;=$F56,AC$5+GanttPeriod-1&gt;=$E56),"━","")))</f>
        <v/>
      </c>
      <c r="AD56" s="69" t="str">
        <f aca="false">IF($E56="","",IF($M56,IF(AND($G56&gt;=AD$5,$G56&lt;AD$5+GanttPeriod),"◆",IF(AND($E56&gt;=AD$5,$E56&lt;AD$5+GanttPeriod),"◇","")),IF(AND(AD$5&lt;=$F56,AD$5+GanttPeriod-1&gt;=$E56),"━","")))</f>
        <v/>
      </c>
      <c r="AE56" s="69" t="str">
        <f aca="false">IF($E56="","",IF($M56,IF(AND($G56&gt;=AE$5,$G56&lt;AE$5+GanttPeriod),"◆",IF(AND($E56&gt;=AE$5,$E56&lt;AE$5+GanttPeriod),"◇","")),IF(AND(AE$5&lt;=$F56,AE$5+GanttPeriod-1&gt;=$E56),"━","")))</f>
        <v/>
      </c>
      <c r="AF56" s="69" t="str">
        <f aca="false">IF($E56="","",IF($M56,IF(AND($G56&gt;=AF$5,$G56&lt;AF$5+GanttPeriod),"◆",IF(AND($E56&gt;=AF$5,$E56&lt;AF$5+GanttPeriod),"◇","")),IF(AND(AF$5&lt;=$F56,AF$5+GanttPeriod-1&gt;=$E56),"━","")))</f>
        <v/>
      </c>
      <c r="AG56" s="69" t="str">
        <f aca="false">IF($E56="","",IF($M56,IF(AND($G56&gt;=AG$5,$G56&lt;AG$5+GanttPeriod),"◆",IF(AND($E56&gt;=AG$5,$E56&lt;AG$5+GanttPeriod),"◇","")),IF(AND(AG$5&lt;=$F56,AG$5+GanttPeriod-1&gt;=$E56),"━","")))</f>
        <v/>
      </c>
      <c r="AH56" s="69" t="str">
        <f aca="false">IF($E56="","",IF($M56,IF(AND($G56&gt;=AH$5,$G56&lt;AH$5+GanttPeriod),"◆",IF(AND($E56&gt;=AH$5,$E56&lt;AH$5+GanttPeriod),"◇","")),IF(AND(AH$5&lt;=$F56,AH$5+GanttPeriod-1&gt;=$E56),"━","")))</f>
        <v/>
      </c>
      <c r="AI56" s="69" t="str">
        <f aca="false">IF($E56="","",IF($M56,IF(AND($G56&gt;=AI$5,$G56&lt;AI$5+GanttPeriod),"◆",IF(AND($E56&gt;=AI$5,$E56&lt;AI$5+GanttPeriod),"◇","")),IF(AND(AI$5&lt;=$F56,AI$5+GanttPeriod-1&gt;=$E56),"━","")))</f>
        <v/>
      </c>
      <c r="AJ56" s="69" t="str">
        <f aca="false">IF($E56="","",IF($M56,IF(AND($G56&gt;=AJ$5,$G56&lt;AJ$5+GanttPeriod),"◆",IF(AND($E56&gt;=AJ$5,$E56&lt;AJ$5+GanttPeriod),"◇","")),IF(AND(AJ$5&lt;=$F56,AJ$5+GanttPeriod-1&gt;=$E56),"━","")))</f>
        <v/>
      </c>
      <c r="AK56" s="69" t="str">
        <f aca="false">IF($E56="","",IF($M56,IF(AND($G56&gt;=AK$5,$G56&lt;AK$5+GanttPeriod),"◆",IF(AND($E56&gt;=AK$5,$E56&lt;AK$5+GanttPeriod),"◇","")),IF(AND(AK$5&lt;=$F56,AK$5+GanttPeriod-1&gt;=$E56),"━","")))</f>
        <v/>
      </c>
      <c r="AL56" s="69" t="str">
        <f aca="false">IF($E56="","",IF($M56,IF(AND($G56&gt;=AL$5,$G56&lt;AL$5+GanttPeriod),"◆",IF(AND($E56&gt;=AL$5,$E56&lt;AL$5+GanttPeriod),"◇","")),IF(AND(AL$5&lt;=$F56,AL$5+GanttPeriod-1&gt;=$E56),"━","")))</f>
        <v/>
      </c>
      <c r="AM56" s="69" t="str">
        <f aca="false">IF($E56="","",IF($M56,IF(AND($G56&gt;=AM$5,$G56&lt;AM$5+GanttPeriod),"◆",IF(AND($E56&gt;=AM$5,$E56&lt;AM$5+GanttPeriod),"◇","")),IF(AND(AM$5&lt;=$F56,AM$5+GanttPeriod-1&gt;=$E56),"━","")))</f>
        <v/>
      </c>
      <c r="AN56" s="69" t="str">
        <f aca="false">IF($E56="","",IF($M56,IF(AND($G56&gt;=AN$5,$G56&lt;AN$5+GanttPeriod),"◆",IF(AND($E56&gt;=AN$5,$E56&lt;AN$5+GanttPeriod),"◇","")),IF(AND(AN$5&lt;=$F56,AN$5+GanttPeriod-1&gt;=$E56),"━","")))</f>
        <v/>
      </c>
      <c r="AO56" s="69" t="str">
        <f aca="false">IF($E56="","",IF($M56,IF(AND($G56&gt;=AO$5,$G56&lt;AO$5+GanttPeriod),"◆",IF(AND($E56&gt;=AO$5,$E56&lt;AO$5+GanttPeriod),"◇","")),IF(AND(AO$5&lt;=$F56,AO$5+GanttPeriod-1&gt;=$E56),"━","")))</f>
        <v/>
      </c>
      <c r="AP56" s="69" t="str">
        <f aca="false">IF($E56="","",IF($M56,IF(AND($G56&gt;=AP$5,$G56&lt;AP$5+GanttPeriod),"◆",IF(AND($E56&gt;=AP$5,$E56&lt;AP$5+GanttPeriod),"◇","")),IF(AND(AP$5&lt;=$F56,AP$5+GanttPeriod-1&gt;=$E56),"━","")))</f>
        <v/>
      </c>
      <c r="AQ56" s="69" t="str">
        <f aca="false">IF($E56="","",IF($M56,IF(AND($G56&gt;=AQ$5,$G56&lt;AQ$5+GanttPeriod),"◆",IF(AND($E56&gt;=AQ$5,$E56&lt;AQ$5+GanttPeriod),"◇","")),IF(AND(AQ$5&lt;=$F56,AQ$5+GanttPeriod-1&gt;=$E56),"━","")))</f>
        <v/>
      </c>
      <c r="AR56" s="69" t="str">
        <f aca="false">IF($E56="","",IF($M56,IF(AND($G56&gt;=AR$5,$G56&lt;AR$5+GanttPeriod),"◆",IF(AND($E56&gt;=AR$5,$E56&lt;AR$5+GanttPeriod),"◇","")),IF(AND(AR$5&lt;=$F56,AR$5+GanttPeriod-1&gt;=$E56),"━","")))</f>
        <v/>
      </c>
      <c r="AS56" s="69" t="str">
        <f aca="false">IF($E56="","",IF($M56,IF(AND($G56&gt;=AS$5,$G56&lt;AS$5+GanttPeriod),"◆",IF(AND($E56&gt;=AS$5,$E56&lt;AS$5+GanttPeriod),"◇","")),IF(AND(AS$5&lt;=$F56,AS$5+GanttPeriod-1&gt;=$E56),"━","")))</f>
        <v/>
      </c>
      <c r="AT56" s="69" t="str">
        <f aca="false">IF($E56="","",IF($M56,IF(AND($G56&gt;=AT$5,$G56&lt;AT$5+GanttPeriod),"◆",IF(AND($E56&gt;=AT$5,$E56&lt;AT$5+GanttPeriod),"◇","")),IF(AND(AT$5&lt;=$F56,AT$5+GanttPeriod-1&gt;=$E56),"━","")))</f>
        <v/>
      </c>
      <c r="AU56" s="69" t="str">
        <f aca="false">IF($E56="","",IF($M56,IF(AND($G56&gt;=AU$5,$G56&lt;AU$5+GanttPeriod),"◆",IF(AND($E56&gt;=AU$5,$E56&lt;AU$5+GanttPeriod),"◇","")),IF(AND(AU$5&lt;=$F56,AU$5+GanttPeriod-1&gt;=$E56),"━","")))</f>
        <v/>
      </c>
      <c r="AV56" s="69" t="str">
        <f aca="false">IF($E56="","",IF($M56,IF(AND($G56&gt;=AV$5,$G56&lt;AV$5+GanttPeriod),"◆",IF(AND($E56&gt;=AV$5,$E56&lt;AV$5+GanttPeriod),"◇","")),IF(AND(AV$5&lt;=$F56,AV$5+GanttPeriod-1&gt;=$E56),"━","")))</f>
        <v/>
      </c>
      <c r="AW56" s="69" t="str">
        <f aca="false">IF($E56="","",IF($M56,IF(AND($G56&gt;=AW$5,$G56&lt;AW$5+GanttPeriod),"◆",IF(AND($E56&gt;=AW$5,$E56&lt;AW$5+GanttPeriod),"◇","")),IF(AND(AW$5&lt;=$F56,AW$5+GanttPeriod-1&gt;=$E56),"━","")))</f>
        <v/>
      </c>
      <c r="AX56" s="69" t="str">
        <f aca="false">IF($E56="","",IF($M56,IF(AND($G56&gt;=AX$5,$G56&lt;AX$5+GanttPeriod),"◆",IF(AND($E56&gt;=AX$5,$E56&lt;AX$5+GanttPeriod),"◇","")),IF(AND(AX$5&lt;=$F56,AX$5+GanttPeriod-1&gt;=$E56),"━","")))</f>
        <v/>
      </c>
      <c r="AY56" s="69" t="str">
        <f aca="false">IF($E56="","",IF($M56,IF(AND($G56&gt;=AY$5,$G56&lt;AY$5+GanttPeriod),"◆",IF(AND($E56&gt;=AY$5,$E56&lt;AY$5+GanttPeriod),"◇","")),IF(AND(AY$5&lt;=$F56,AY$5+GanttPeriod-1&gt;=$E56),"━","")))</f>
        <v/>
      </c>
      <c r="AZ56" s="69" t="str">
        <f aca="false">IF($E56="","",IF($M56,IF(AND($G56&gt;=AZ$5,$G56&lt;AZ$5+GanttPeriod),"◆",IF(AND($E56&gt;=AZ$5,$E56&lt;AZ$5+GanttPeriod),"◇","")),IF(AND(AZ$5&lt;=$F56,AZ$5+GanttPeriod-1&gt;=$E56),"━","")))</f>
        <v/>
      </c>
      <c r="BA56" s="69" t="str">
        <f aca="false">IF($E56="","",IF($M56,IF(AND($G56&gt;=BA$5,$G56&lt;BA$5+GanttPeriod),"◆",IF(AND($E56&gt;=BA$5,$E56&lt;BA$5+GanttPeriod),"◇","")),IF(AND(BA$5&lt;=$F56,BA$5+GanttPeriod-1&gt;=$E56),"━","")))</f>
        <v/>
      </c>
      <c r="BB56" s="69" t="str">
        <f aca="false">IF($E56="","",IF($M56,IF(AND($G56&gt;=BB$5,$G56&lt;BB$5+GanttPeriod),"◆",IF(AND($E56&gt;=BB$5,$E56&lt;BB$5+GanttPeriod),"◇","")),IF(AND(BB$5&lt;=$F56,BB$5+GanttPeriod-1&gt;=$E56),"━","")))</f>
        <v/>
      </c>
      <c r="BC56" s="69" t="str">
        <f aca="false">IF($E56="","",IF($M56,IF(AND($G56&gt;=BC$5,$G56&lt;BC$5+GanttPeriod),"◆",IF(AND($E56&gt;=BC$5,$E56&lt;BC$5+GanttPeriod),"◇","")),IF(AND(BC$5&lt;=$F56,BC$5+GanttPeriod-1&gt;=$E56),"━","")))</f>
        <v/>
      </c>
      <c r="BD56" s="69" t="str">
        <f aca="false">IF($E56="","",IF($M56,IF(AND($G56&gt;=BD$5,$G56&lt;BD$5+GanttPeriod),"◆",IF(AND($E56&gt;=BD$5,$E56&lt;BD$5+GanttPeriod),"◇","")),IF(AND(BD$5&lt;=$F56,BD$5+GanttPeriod-1&gt;=$E56),"━","")))</f>
        <v/>
      </c>
      <c r="BE56" s="69" t="str">
        <f aca="false">IF($E56="","",IF($M56,IF(AND($G56&gt;=BE$5,$G56&lt;BE$5+GanttPeriod),"◆",IF(AND($E56&gt;=BE$5,$E56&lt;BE$5+GanttPeriod),"◇","")),IF(AND(BE$5&lt;=$F56,BE$5+GanttPeriod-1&gt;=$E56),"━","")))</f>
        <v/>
      </c>
      <c r="BF56" s="69" t="str">
        <f aca="false">IF($E56="","",IF($M56,IF(AND($G56&gt;=BF$5,$G56&lt;BF$5+GanttPeriod),"◆",IF(AND($E56&gt;=BF$5,$E56&lt;BF$5+GanttPeriod),"◇","")),IF(AND(BF$5&lt;=$F56,BF$5+GanttPeriod-1&gt;=$E56),"━","")))</f>
        <v/>
      </c>
      <c r="BG56" s="69" t="str">
        <f aca="false">IF($E56="","",IF($M56,IF(AND($G56&gt;=BG$5,$G56&lt;BG$5+GanttPeriod),"◆",IF(AND($E56&gt;=BG$5,$E56&lt;BG$5+GanttPeriod),"◇","")),IF(AND(BG$5&lt;=$F56,BG$5+GanttPeriod-1&gt;=$E56),"━","")))</f>
        <v/>
      </c>
      <c r="BH56" s="69" t="str">
        <f aca="false">IF($E56="","",IF($M56,IF(AND($G56&gt;=BH$5,$G56&lt;BH$5+GanttPeriod),"◆",IF(AND($E56&gt;=BH$5,$E56&lt;BH$5+GanttPeriod),"◇","")),IF(AND(BH$5&lt;=$F56,BH$5+GanttPeriod-1&gt;=$E56),"━","")))</f>
        <v/>
      </c>
      <c r="BI56" s="69" t="str">
        <f aca="false">IF($E56="","",IF($M56,IF(AND($G56&gt;=BI$5,$G56&lt;BI$5+GanttPeriod),"◆",IF(AND($E56&gt;=BI$5,$E56&lt;BI$5+GanttPeriod),"◇","")),IF(AND(BI$5&lt;=$F56,BI$5+GanttPeriod-1&gt;=$E56),"━","")))</f>
        <v/>
      </c>
      <c r="BJ56" s="69" t="str">
        <f aca="false">IF($E56="","",IF($M56,IF(AND($G56&gt;=BJ$5,$G56&lt;BJ$5+GanttPeriod),"◆",IF(AND($E56&gt;=BJ$5,$E56&lt;BJ$5+GanttPeriod),"◇","")),IF(AND(BJ$5&lt;=$F56,BJ$5+GanttPeriod-1&gt;=$E56),"━","")))</f>
        <v/>
      </c>
      <c r="BK56" s="69" t="str">
        <f aca="false">IF($E56="","",IF($M56,IF(AND($G56&gt;=BK$5,$G56&lt;BK$5+GanttPeriod),"◆",IF(AND($E56&gt;=BK$5,$E56&lt;BK$5+GanttPeriod),"◇","")),IF(AND(BK$5&lt;=$F56,BK$5+GanttPeriod-1&gt;=$E56),"━","")))</f>
        <v/>
      </c>
      <c r="BL56" s="69" t="str">
        <f aca="false">IF($E56="","",IF($M56,IF(AND($G56&gt;=BL$5,$G56&lt;BL$5+GanttPeriod),"◆",IF(AND($E56&gt;=BL$5,$E56&lt;BL$5+GanttPeriod),"◇","")),IF(AND(BL$5&lt;=$F56,BL$5+GanttPeriod-1&gt;=$E56),"━","")))</f>
        <v/>
      </c>
      <c r="BM56" s="69" t="str">
        <f aca="false">IF($E56="","",IF($M56,IF(AND($G56&gt;=BM$5,$G56&lt;BM$5+GanttPeriod),"◆",IF(AND($E56&gt;=BM$5,$E56&lt;BM$5+GanttPeriod),"◇","")),IF(AND(BM$5&lt;=$F56,BM$5+GanttPeriod-1&gt;=$E56),"━","")))</f>
        <v/>
      </c>
      <c r="BN56" s="69" t="str">
        <f aca="false">IF($E56="","",IF($M56,IF(AND($G56&gt;=BN$5,$G56&lt;BN$5+GanttPeriod),"◆",IF(AND($E56&gt;=BN$5,$E56&lt;BN$5+GanttPeriod),"◇","")),IF(AND(BN$5&lt;=$F56,BN$5+GanttPeriod-1&gt;=$E56),"━","")))</f>
        <v/>
      </c>
      <c r="BO56" s="69" t="str">
        <f aca="false">IF($E56="","",IF($M56,IF(AND($G56&gt;=BO$5,$G56&lt;BO$5+GanttPeriod),"◆",IF(AND($E56&gt;=BO$5,$E56&lt;BO$5+GanttPeriod),"◇","")),IF(AND(BO$5&lt;=$F56,BO$5+GanttPeriod-1&gt;=$E56),"━","")))</f>
        <v/>
      </c>
      <c r="BP56" s="69" t="str">
        <f aca="false">IF($E56="","",IF($M56,IF(AND($G56&gt;=BP$5,$G56&lt;BP$5+GanttPeriod),"◆",IF(AND($E56&gt;=BP$5,$E56&lt;BP$5+GanttPeriod),"◇","")),IF(AND(BP$5&lt;=$F56,BP$5+GanttPeriod-1&gt;=$E56),"━","")))</f>
        <v/>
      </c>
      <c r="BQ56" s="69" t="str">
        <f aca="false">IF($E56="","",IF($M56,IF(AND($G56&gt;=BQ$5,$G56&lt;BQ$5+GanttPeriod),"◆",IF(AND($E56&gt;=BQ$5,$E56&lt;BQ$5+GanttPeriod),"◇","")),IF(AND(BQ$5&lt;=$F56,BQ$5+GanttPeriod-1&gt;=$E56),"━","")))</f>
        <v/>
      </c>
      <c r="BR56" s="69" t="str">
        <f aca="false">IF($E56="","",IF($M56,IF(AND($G56&gt;=BR$5,$G56&lt;BR$5+GanttPeriod),"◆",IF(AND($E56&gt;=BR$5,$E56&lt;BR$5+GanttPeriod),"◇","")),IF(AND(BR$5&lt;=$F56,BR$5+GanttPeriod-1&gt;=$E56),"━","")))</f>
        <v/>
      </c>
      <c r="BS56" s="69" t="str">
        <f aca="false">IF($E56="","",IF($M56,IF(AND($G56&gt;=BS$5,$G56&lt;BS$5+GanttPeriod),"◆",IF(AND($E56&gt;=BS$5,$E56&lt;BS$5+GanttPeriod),"◇","")),IF(AND(BS$5&lt;=$F56,BS$5+GanttPeriod-1&gt;=$E56),"━","")))</f>
        <v/>
      </c>
      <c r="BT56" s="69" t="str">
        <f aca="false">IF($E56="","",IF($M56,IF(AND($G56&gt;=BT$5,$G56&lt;BT$5+GanttPeriod),"◆",IF(AND($E56&gt;=BT$5,$E56&lt;BT$5+GanttPeriod),"◇","")),IF(AND(BT$5&lt;=$F56,BT$5+GanttPeriod-1&gt;=$E56),"━","")))</f>
        <v/>
      </c>
      <c r="BU56" s="69" t="str">
        <f aca="false">IF($E56="","",IF($M56,IF(AND($G56&gt;=BU$5,$G56&lt;BU$5+GanttPeriod),"◆",IF(AND($E56&gt;=BU$5,$E56&lt;BU$5+GanttPeriod),"◇","")),IF(AND(BU$5&lt;=$F56,BU$5+GanttPeriod-1&gt;=$E56),"━","")))</f>
        <v/>
      </c>
      <c r="BV56" s="69" t="str">
        <f aca="false">IF($E56="","",IF($M56,IF(AND($G56&gt;=BV$5,$G56&lt;BV$5+GanttPeriod),"◆",IF(AND($E56&gt;=BV$5,$E56&lt;BV$5+GanttPeriod),"◇","")),IF(AND(BV$5&lt;=$F56,BV$5+GanttPeriod-1&gt;=$E56),"━","")))</f>
        <v/>
      </c>
      <c r="BW56" s="69" t="str">
        <f aca="false">IF($E56="","",IF($M56,IF(AND($G56&gt;=BW$5,$G56&lt;BW$5+GanttPeriod),"◆",IF(AND($E56&gt;=BW$5,$E56&lt;BW$5+GanttPeriod),"◇","")),IF(AND(BW$5&lt;=$F56,BW$5+GanttPeriod-1&gt;=$E56),"━","")))</f>
        <v/>
      </c>
      <c r="BX56" s="69" t="str">
        <f aca="false">IF($E56="","",IF($M56,IF(AND($G56&gt;=BX$5,$G56&lt;BX$5+GanttPeriod),"◆",IF(AND($E56&gt;=BX$5,$E56&lt;BX$5+GanttPeriod),"◇","")),IF(AND(BX$5&lt;=$F56,BX$5+GanttPeriod-1&gt;=$E56),"━","")))</f>
        <v/>
      </c>
      <c r="BY56" s="69" t="str">
        <f aca="false">IF($E56="","",IF($M56,IF(AND($G56&gt;=BY$5,$G56&lt;BY$5+GanttPeriod),"◆",IF(AND($E56&gt;=BY$5,$E56&lt;BY$5+GanttPeriod),"◇","")),IF(AND(BY$5&lt;=$F56,BY$5+GanttPeriod-1&gt;=$E56),"━","")))</f>
        <v/>
      </c>
      <c r="BZ56" s="69" t="str">
        <f aca="false">IF($E56="","",IF($M56,IF(AND($G56&gt;=BZ$5,$G56&lt;BZ$5+GanttPeriod),"◆",IF(AND($E56&gt;=BZ$5,$E56&lt;BZ$5+GanttPeriod),"◇","")),IF(AND(BZ$5&lt;=$F56,BZ$5+GanttPeriod-1&gt;=$E56),"━","")))</f>
        <v/>
      </c>
      <c r="CA56" s="69" t="str">
        <f aca="false">IF($E56="","",IF($M56,IF(AND($G56&gt;=CA$5,$G56&lt;CA$5+GanttPeriod),"◆",IF(AND($E56&gt;=CA$5,$E56&lt;CA$5+GanttPeriod),"◇","")),IF(AND(CA$5&lt;=$F56,CA$5+GanttPeriod-1&gt;=$E56),"━","")))</f>
        <v/>
      </c>
      <c r="CB56" s="69" t="str">
        <f aca="false">IF($E56="","",IF($M56,IF(AND($G56&gt;=CB$5,$G56&lt;CB$5+GanttPeriod),"◆",IF(AND($E56&gt;=CB$5,$E56&lt;CB$5+GanttPeriod),"◇","")),IF(AND(CB$5&lt;=$F56,CB$5+GanttPeriod-1&gt;=$E56),"━","")))</f>
        <v/>
      </c>
      <c r="CC56" s="69" t="str">
        <f aca="false">IF($E56="","",IF($M56,IF(AND($G56&gt;=CC$5,$G56&lt;CC$5+GanttPeriod),"◆",IF(AND($E56&gt;=CC$5,$E56&lt;CC$5+GanttPeriod),"◇","")),IF(AND(CC$5&lt;=$F56,CC$5+GanttPeriod-1&gt;=$E56),"━","")))</f>
        <v/>
      </c>
      <c r="CD56" s="69" t="str">
        <f aca="false">IF($E56="","",IF($M56,IF(AND($G56&gt;=CD$5,$G56&lt;CD$5+GanttPeriod),"◆",IF(AND($E56&gt;=CD$5,$E56&lt;CD$5+GanttPeriod),"◇","")),IF(AND(CD$5&lt;=$F56,CD$5+GanttPeriod-1&gt;=$E56),"━","")))</f>
        <v/>
      </c>
      <c r="CE56" s="69" t="str">
        <f aca="false">IF($E56="","",IF($M56,IF(AND($G56&gt;=CE$5,$G56&lt;CE$5+GanttPeriod),"◆",IF(AND($E56&gt;=CE$5,$E56&lt;CE$5+GanttPeriod),"◇","")),IF(AND(CE$5&lt;=$F56,CE$5+GanttPeriod-1&gt;=$E56),"━","")))</f>
        <v/>
      </c>
      <c r="CF56" s="69" t="str">
        <f aca="false">IF($E56="","",IF($M56,IF(AND($G56&gt;=CF$5,$G56&lt;CF$5+GanttPeriod),"◆",IF(AND($E56&gt;=CF$5,$E56&lt;CF$5+GanttPeriod),"◇","")),IF(AND(CF$5&lt;=$F56,CF$5+GanttPeriod-1&gt;=$E56),"━","")))</f>
        <v/>
      </c>
      <c r="CG56" s="69" t="str">
        <f aca="false">IF($E56="","",IF($M56,IF(AND($G56&gt;=CG$5,$G56&lt;CG$5+GanttPeriod),"◆",IF(AND($E56&gt;=CG$5,$E56&lt;CG$5+GanttPeriod),"◇","")),IF(AND(CG$5&lt;=$F56,CG$5+GanttPeriod-1&gt;=$E56),"━","")))</f>
        <v/>
      </c>
      <c r="CH56" s="69" t="str">
        <f aca="false">IF($E56="","",IF($M56,IF(AND($G56&gt;=CH$5,$G56&lt;CH$5+GanttPeriod),"◆",IF(AND($E56&gt;=CH$5,$E56&lt;CH$5+GanttPeriod),"◇","")),IF(AND(CH$5&lt;=$F56,CH$5+GanttPeriod-1&gt;=$E56),"━","")))</f>
        <v/>
      </c>
      <c r="CI56" s="69" t="str">
        <f aca="false">IF($E56="","",IF($M56,IF(AND($G56&gt;=CI$5,$G56&lt;CI$5+GanttPeriod),"◆",IF(AND($E56&gt;=CI$5,$E56&lt;CI$5+GanttPeriod),"◇","")),IF(AND(CI$5&lt;=$F56,CI$5+GanttPeriod-1&gt;=$E56),"━","")))</f>
        <v/>
      </c>
      <c r="CJ56" s="69" t="str">
        <f aca="false">IF($E56="","",IF($M56,IF(AND($G56&gt;=CJ$5,$G56&lt;CJ$5+GanttPeriod),"◆",IF(AND($E56&gt;=CJ$5,$E56&lt;CJ$5+GanttPeriod),"◇","")),IF(AND(CJ$5&lt;=$F56,CJ$5+GanttPeriod-1&gt;=$E56),"━","")))</f>
        <v/>
      </c>
      <c r="CK56" s="69" t="str">
        <f aca="false">IF($E56="","",IF($M56,IF(AND($G56&gt;=CK$5,$G56&lt;CK$5+GanttPeriod),"◆",IF(AND($E56&gt;=CK$5,$E56&lt;CK$5+GanttPeriod),"◇","")),IF(AND(CK$5&lt;=$F56,CK$5+GanttPeriod-1&gt;=$E56),"━","")))</f>
        <v/>
      </c>
      <c r="CL56" s="69" t="str">
        <f aca="false">IF($E56="","",IF($M56,IF(AND($G56&gt;=CL$5,$G56&lt;CL$5+GanttPeriod),"◆",IF(AND($E56&gt;=CL$5,$E56&lt;CL$5+GanttPeriod),"◇","")),IF(AND(CL$5&lt;=$F56,CL$5+GanttPeriod-1&gt;=$E56),"━","")))</f>
        <v/>
      </c>
      <c r="CM56" s="69" t="str">
        <f aca="false">IF($E56="","",IF($M56,IF(AND($G56&gt;=CM$5,$G56&lt;CM$5+GanttPeriod),"◆",IF(AND($E56&gt;=CM$5,$E56&lt;CM$5+GanttPeriod),"◇","")),IF(AND(CM$5&lt;=$F56,CM$5+GanttPeriod-1&gt;=$E56),"━","")))</f>
        <v/>
      </c>
      <c r="CN56" s="69" t="str">
        <f aca="false">IF($E56="","",IF($M56,IF(AND($G56&gt;=CN$5,$G56&lt;CN$5+GanttPeriod),"◆",IF(AND($E56&gt;=CN$5,$E56&lt;CN$5+GanttPeriod),"◇","")),IF(AND(CN$5&lt;=$F56,CN$5+GanttPeriod-1&gt;=$E56),"━","")))</f>
        <v/>
      </c>
      <c r="CO56" s="69" t="str">
        <f aca="false">IF($E56="","",IF($M56,IF(AND($G56&gt;=CO$5,$G56&lt;CO$5+GanttPeriod),"◆",IF(AND($E56&gt;=CO$5,$E56&lt;CO$5+GanttPeriod),"◇","")),IF(AND(CO$5&lt;=$F56,CO$5+GanttPeriod-1&gt;=$E56),"━","")))</f>
        <v/>
      </c>
      <c r="CP56" s="69" t="str">
        <f aca="false">IF($E56="","",IF($M56,IF(AND($G56&gt;=CP$5,$G56&lt;CP$5+GanttPeriod),"◆",IF(AND($E56&gt;=CP$5,$E56&lt;CP$5+GanttPeriod),"◇","")),IF(AND(CP$5&lt;=$F56,CP$5+GanttPeriod-1&gt;=$E56),"━","")))</f>
        <v/>
      </c>
      <c r="CQ56" s="69" t="str">
        <f aca="false">IF($E56="","",IF($M56,IF(AND($G56&gt;=CQ$5,$G56&lt;CQ$5+GanttPeriod),"◆",IF(AND($E56&gt;=CQ$5,$E56&lt;CQ$5+GanttPeriod),"◇","")),IF(AND(CQ$5&lt;=$F56,CQ$5+GanttPeriod-1&gt;=$E56),"━","")))</f>
        <v/>
      </c>
      <c r="CR56" s="69" t="str">
        <f aca="false">IF($E56="","",IF($M56,IF(AND($G56&gt;=CR$5,$G56&lt;CR$5+GanttPeriod),"◆",IF(AND($E56&gt;=CR$5,$E56&lt;CR$5+GanttPeriod),"◇","")),IF(AND(CR$5&lt;=$F56,CR$5+GanttPeriod-1&gt;=$E56),"━","")))</f>
        <v/>
      </c>
      <c r="CS56" s="69" t="str">
        <f aca="false">IF($E56="","",IF($M56,IF(AND($G56&gt;=CS$5,$G56&lt;CS$5+GanttPeriod),"◆",IF(AND($E56&gt;=CS$5,$E56&lt;CS$5+GanttPeriod),"◇","")),IF(AND(CS$5&lt;=$F56,CS$5+GanttPeriod-1&gt;=$E56),"━","")))</f>
        <v/>
      </c>
      <c r="CT56" s="69" t="str">
        <f aca="false">IF($E56="","",IF($M56,IF(AND($G56&gt;=CT$5,$G56&lt;CT$5+GanttPeriod),"◆",IF(AND($E56&gt;=CT$5,$E56&lt;CT$5+GanttPeriod),"◇","")),IF(AND(CT$5&lt;=$F56,CT$5+GanttPeriod-1&gt;=$E56),"━","")))</f>
        <v/>
      </c>
      <c r="CU56" s="69" t="str">
        <f aca="false">IF($E56="","",IF($M56,IF(AND($G56&gt;=CU$5,$G56&lt;CU$5+GanttPeriod),"◆",IF(AND($E56&gt;=CU$5,$E56&lt;CU$5+GanttPeriod),"◇","")),IF(AND(CU$5&lt;=$F56,CU$5+GanttPeriod-1&gt;=$E56),"━","")))</f>
        <v/>
      </c>
      <c r="CV56" s="69" t="str">
        <f aca="false">IF($E56="","",IF($M56,IF(AND($G56&gt;=CV$5,$G56&lt;CV$5+GanttPeriod),"◆",IF(AND($E56&gt;=CV$5,$E56&lt;CV$5+GanttPeriod),"◇","")),IF(AND(CV$5&lt;=$F56,CV$5+GanttPeriod-1&gt;=$E56),"━","")))</f>
        <v/>
      </c>
      <c r="CW56" s="69" t="str">
        <f aca="false">IF($E56="","",IF($M56,IF(AND($G56&gt;=CW$5,$G56&lt;CW$5+GanttPeriod),"◆",IF(AND($E56&gt;=CW$5,$E56&lt;CW$5+GanttPeriod),"◇","")),IF(AND(CW$5&lt;=$F56,CW$5+GanttPeriod-1&gt;=$E56),"━","")))</f>
        <v/>
      </c>
      <c r="CX56" s="69" t="str">
        <f aca="false">IF($E56="","",IF($M56,IF(AND($G56&gt;=CX$5,$G56&lt;CX$5+GanttPeriod),"◆",IF(AND($E56&gt;=CX$5,$E56&lt;CX$5+GanttPeriod),"◇","")),IF(AND(CX$5&lt;=$F56,CX$5+GanttPeriod-1&gt;=$E56),"━","")))</f>
        <v/>
      </c>
      <c r="CY56" s="69" t="str">
        <f aca="false">IF($E56="","",IF($M56,IF(AND($G56&gt;=CY$5,$G56&lt;CY$5+GanttPeriod),"◆",IF(AND($E56&gt;=CY$5,$E56&lt;CY$5+GanttPeriod),"◇","")),IF(AND(CY$5&lt;=$F56,CY$5+GanttPeriod-1&gt;=$E56),"━","")))</f>
        <v/>
      </c>
      <c r="CZ56" s="69" t="str">
        <f aca="false">IF($E56="","",IF($M56,IF(AND($G56&gt;=CZ$5,$G56&lt;CZ$5+GanttPeriod),"◆",IF(AND($E56&gt;=CZ$5,$E56&lt;CZ$5+GanttPeriod),"◇","")),IF(AND(CZ$5&lt;=$F56,CZ$5+GanttPeriod-1&gt;=$E56),"━","")))</f>
        <v/>
      </c>
      <c r="DA56" s="69" t="str">
        <f aca="false">IF($E56="","",IF($M56,IF(AND($G56&gt;=DA$5,$G56&lt;DA$5+GanttPeriod),"◆",IF(AND($E56&gt;=DA$5,$E56&lt;DA$5+GanttPeriod),"◇","")),IF(AND(DA$5&lt;=$F56,DA$5+GanttPeriod-1&gt;=$E56),"━","")))</f>
        <v/>
      </c>
      <c r="DB56" s="69" t="str">
        <f aca="false">IF($E56="","",IF($M56,IF(AND($G56&gt;=DB$5,$G56&lt;DB$5+GanttPeriod),"◆",IF(AND($E56&gt;=DB$5,$E56&lt;DB$5+GanttPeriod),"◇","")),IF(AND(DB$5&lt;=$F56,DB$5+GanttPeriod-1&gt;=$E56),"━","")))</f>
        <v/>
      </c>
      <c r="DC56" s="69" t="str">
        <f aca="false">IF($E56="","",IF($M56,IF(AND($G56&gt;=DC$5,$G56&lt;DC$5+GanttPeriod),"◆",IF(AND($E56&gt;=DC$5,$E56&lt;DC$5+GanttPeriod),"◇","")),IF(AND(DC$5&lt;=$F56,DC$5+GanttPeriod-1&gt;=$E56),"━","")))</f>
        <v/>
      </c>
      <c r="DD56" s="69" t="str">
        <f aca="false">IF($E56="","",IF($M56,IF(AND($G56&gt;=DD$5,$G56&lt;DD$5+GanttPeriod),"◆",IF(AND($E56&gt;=DD$5,$E56&lt;DD$5+GanttPeriod),"◇","")),IF(AND(DD$5&lt;=$F56,DD$5+GanttPeriod-1&gt;=$E56),"━","")))</f>
        <v/>
      </c>
      <c r="DE56" s="69" t="str">
        <f aca="false">IF($E56="","",IF($M56,IF(AND($G56&gt;=DE$5,$G56&lt;DE$5+GanttPeriod),"◆",IF(AND($E56&gt;=DE$5,$E56&lt;DE$5+GanttPeriod),"◇","")),IF(AND(DE$5&lt;=$F56,DE$5+GanttPeriod-1&gt;=$E56),"━","")))</f>
        <v/>
      </c>
      <c r="DF56" s="69" t="str">
        <f aca="false">IF($E56="","",IF($M56,IF(AND($G56&gt;=DF$5,$G56&lt;DF$5+GanttPeriod),"◆",IF(AND($E56&gt;=DF$5,$E56&lt;DF$5+GanttPeriod),"◇","")),IF(AND(DF$5&lt;=$F56,DF$5+GanttPeriod-1&gt;=$E56),"━","")))</f>
        <v/>
      </c>
      <c r="DG56" s="69" t="str">
        <f aca="false">IF($E56="","",IF($M56,IF(AND($G56&gt;=DG$5,$G56&lt;DG$5+GanttPeriod),"◆",IF(AND($E56&gt;=DG$5,$E56&lt;DG$5+GanttPeriod),"◇","")),IF(AND(DG$5&lt;=$F56,DG$5+GanttPeriod-1&gt;=$E56),"━","")))</f>
        <v/>
      </c>
      <c r="DH56" s="69" t="str">
        <f aca="false">IF($E56="","",IF($M56,IF(AND($G56&gt;=DH$5,$G56&lt;DH$5+GanttPeriod),"◆",IF(AND($E56&gt;=DH$5,$E56&lt;DH$5+GanttPeriod),"◇","")),IF(AND(DH$5&lt;=$F56,DH$5+GanttPeriod-1&gt;=$E56),"━","")))</f>
        <v/>
      </c>
      <c r="DI56" s="69" t="str">
        <f aca="false">IF($E56="","",IF($M56,IF(AND($G56&gt;=DI$5,$G56&lt;DI$5+GanttPeriod),"◆",IF(AND($E56&gt;=DI$5,$E56&lt;DI$5+GanttPeriod),"◇","")),IF(AND(DI$5&lt;=$F56,DI$5+GanttPeriod-1&gt;=$E56),"━","")))</f>
        <v/>
      </c>
      <c r="DJ56" s="69" t="str">
        <f aca="false">IF($E56="","",IF($M56,IF(AND($G56&gt;=DJ$5,$G56&lt;DJ$5+GanttPeriod),"◆",IF(AND($E56&gt;=DJ$5,$E56&lt;DJ$5+GanttPeriod),"◇","")),IF(AND(DJ$5&lt;=$F56,DJ$5+GanttPeriod-1&gt;=$E56),"━","")))</f>
        <v/>
      </c>
      <c r="DK56" s="69" t="str">
        <f aca="false">IF($E56="","",IF($M56,IF(AND($G56&gt;=DK$5,$G56&lt;DK$5+GanttPeriod),"◆",IF(AND($E56&gt;=DK$5,$E56&lt;DK$5+GanttPeriod),"◇","")),IF(AND(DK$5&lt;=$F56,DK$5+GanttPeriod-1&gt;=$E56),"━","")))</f>
        <v/>
      </c>
      <c r="DL56" s="69" t="str">
        <f aca="false">IF($E56="","",IF($M56,IF(AND($G56&gt;=DL$5,$G56&lt;DL$5+GanttPeriod),"◆",IF(AND($E56&gt;=DL$5,$E56&lt;DL$5+GanttPeriod),"◇","")),IF(AND(DL$5&lt;=$F56,DL$5+GanttPeriod-1&gt;=$E56),"━","")))</f>
        <v/>
      </c>
      <c r="DM56" s="69" t="str">
        <f aca="false">IF($E56="","",IF($M56,IF(AND($G56&gt;=DM$5,$G56&lt;DM$5+GanttPeriod),"◆",IF(AND($E56&gt;=DM$5,$E56&lt;DM$5+GanttPeriod),"◇","")),IF(AND(DM$5&lt;=$F56,DM$5+GanttPeriod-1&gt;=$E56),"━","")))</f>
        <v/>
      </c>
      <c r="DN56" s="69" t="str">
        <f aca="false">IF($E56="","",IF($M56,IF(AND($G56&gt;=DN$5,$G56&lt;DN$5+GanttPeriod),"◆",IF(AND($E56&gt;=DN$5,$E56&lt;DN$5+GanttPeriod),"◇","")),IF(AND(DN$5&lt;=$F56,DN$5+GanttPeriod-1&gt;=$E56),"━","")))</f>
        <v/>
      </c>
      <c r="DO56" s="69" t="str">
        <f aca="false">IF($E56="","",IF($M56,IF(AND($G56&gt;=DO$5,$G56&lt;DO$5+GanttPeriod),"◆",IF(AND($E56&gt;=DO$5,$E56&lt;DO$5+GanttPeriod),"◇","")),IF(AND(DO$5&lt;=$F56,DO$5+GanttPeriod-1&gt;=$E56),"━","")))</f>
        <v/>
      </c>
      <c r="DP56" s="69" t="str">
        <f aca="false">IF($E56="","",IF($M56,IF(AND($G56&gt;=DP$5,$G56&lt;DP$5+GanttPeriod),"◆",IF(AND($E56&gt;=DP$5,$E56&lt;DP$5+GanttPeriod),"◇","")),IF(AND(DP$5&lt;=$F56,DP$5+GanttPeriod-1&gt;=$E56),"━","")))</f>
        <v/>
      </c>
      <c r="DQ56" s="69" t="str">
        <f aca="false">IF($E56="","",IF($M56,IF(AND($G56&gt;=DQ$5,$G56&lt;DQ$5+GanttPeriod),"◆",IF(AND($E56&gt;=DQ$5,$E56&lt;DQ$5+GanttPeriod),"◇","")),IF(AND(DQ$5&lt;=$F56,DQ$5+GanttPeriod-1&gt;=$E56),"━","")))</f>
        <v/>
      </c>
      <c r="DR56" s="69" t="str">
        <f aca="false">IF($E56="","",IF($M56,IF(AND($G56&gt;=DR$5,$G56&lt;DR$5+GanttPeriod),"◆",IF(AND($E56&gt;=DR$5,$E56&lt;DR$5+GanttPeriod),"◇","")),IF(AND(DR$5&lt;=$F56,DR$5+GanttPeriod-1&gt;=$E56),"━","")))</f>
        <v/>
      </c>
      <c r="DS56" s="69" t="str">
        <f aca="false">IF($E56="","",IF($M56,IF(AND($G56&gt;=DS$5,$G56&lt;DS$5+GanttPeriod),"◆",IF(AND($E56&gt;=DS$5,$E56&lt;DS$5+GanttPeriod),"◇","")),IF(AND(DS$5&lt;=$F56,DS$5+GanttPeriod-1&gt;=$E56),"━","")))</f>
        <v/>
      </c>
      <c r="DT56" s="69" t="str">
        <f aca="false">IF($E56="","",IF($M56,IF(AND($G56&gt;=DT$5,$G56&lt;DT$5+GanttPeriod),"◆",IF(AND($E56&gt;=DT$5,$E56&lt;DT$5+GanttPeriod),"◇","")),IF(AND(DT$5&lt;=$F56,DT$5+GanttPeriod-1&gt;=$E56),"━","")))</f>
        <v/>
      </c>
      <c r="DU56" s="69" t="str">
        <f aca="false">IF($E56="","",IF($M56,IF(AND($G56&gt;=DU$5,$G56&lt;DU$5+GanttPeriod),"◆",IF(AND($E56&gt;=DU$5,$E56&lt;DU$5+GanttPeriod),"◇","")),IF(AND(DU$5&lt;=$F56,DU$5+GanttPeriod-1&gt;=$E56),"━","")))</f>
        <v/>
      </c>
      <c r="DV56" s="69" t="str">
        <f aca="false">IF($E56="","",IF($M56,IF(AND($G56&gt;=DV$5,$G56&lt;DV$5+GanttPeriod),"◆",IF(AND($E56&gt;=DV$5,$E56&lt;DV$5+GanttPeriod),"◇","")),IF(AND(DV$5&lt;=$F56,DV$5+GanttPeriod-1&gt;=$E56),"━","")))</f>
        <v/>
      </c>
      <c r="DW56" s="69" t="str">
        <f aca="false">IF($E56="","",IF($M56,IF(AND($G56&gt;=DW$5,$G56&lt;DW$5+GanttPeriod),"◆",IF(AND($E56&gt;=DW$5,$E56&lt;DW$5+GanttPeriod),"◇","")),IF(AND(DW$5&lt;=$F56,DW$5+GanttPeriod-1&gt;=$E56),"━","")))</f>
        <v/>
      </c>
      <c r="DX56" s="69" t="str">
        <f aca="false">IF($E56="","",IF($M56,IF(AND($G56&gt;=DX$5,$G56&lt;DX$5+GanttPeriod),"◆",IF(AND($E56&gt;=DX$5,$E56&lt;DX$5+GanttPeriod),"◇","")),IF(AND(DX$5&lt;=$F56,DX$5+GanttPeriod-1&gt;=$E56),"━","")))</f>
        <v/>
      </c>
      <c r="DY56" s="69" t="str">
        <f aca="false">IF($E56="","",IF($M56,IF(AND($G56&gt;=DY$5,$G56&lt;DY$5+GanttPeriod),"◆",IF(AND($E56&gt;=DY$5,$E56&lt;DY$5+GanttPeriod),"◇","")),IF(AND(DY$5&lt;=$F56,DY$5+GanttPeriod-1&gt;=$E56),"━","")))</f>
        <v/>
      </c>
      <c r="DZ56" s="69" t="str">
        <f aca="false">IF($E56="","",IF($M56,IF(AND($G56&gt;=DZ$5,$G56&lt;DZ$5+GanttPeriod),"◆",IF(AND($E56&gt;=DZ$5,$E56&lt;DZ$5+GanttPeriod),"◇","")),IF(AND(DZ$5&lt;=$F56,DZ$5+GanttPeriod-1&gt;=$E56),"━","")))</f>
        <v/>
      </c>
      <c r="EA56" s="69" t="str">
        <f aca="false">IF($E56="","",IF($M56,IF(AND($G56&gt;=EA$5,$G56&lt;EA$5+GanttPeriod),"◆",IF(AND($E56&gt;=EA$5,$E56&lt;EA$5+GanttPeriod),"◇","")),IF(AND(EA$5&lt;=$F56,EA$5+GanttPeriod-1&gt;=$E56),"━","")))</f>
        <v/>
      </c>
      <c r="EB56" s="69" t="str">
        <f aca="false">IF($E56="","",IF($M56,IF(AND($G56&gt;=EB$5,$G56&lt;EB$5+GanttPeriod),"◆",IF(AND($E56&gt;=EB$5,$E56&lt;EB$5+GanttPeriod),"◇","")),IF(AND(EB$5&lt;=$F56,EB$5+GanttPeriod-1&gt;=$E56),"━","")))</f>
        <v/>
      </c>
      <c r="EC56" s="69" t="str">
        <f aca="false">IF($E56="","",IF($M56,IF(AND($G56&gt;=EC$5,$G56&lt;EC$5+GanttPeriod),"◆",IF(AND($E56&gt;=EC$5,$E56&lt;EC$5+GanttPeriod),"◇","")),IF(AND(EC$5&lt;=$F56,EC$5+GanttPeriod-1&gt;=$E56),"━","")))</f>
        <v/>
      </c>
      <c r="ED56" s="69" t="str">
        <f aca="false">IF($E56="","",IF($M56,IF(AND($G56&gt;=ED$5,$G56&lt;ED$5+GanttPeriod),"◆",IF(AND($E56&gt;=ED$5,$E56&lt;ED$5+GanttPeriod),"◇","")),IF(AND(ED$5&lt;=$F56,ED$5+GanttPeriod-1&gt;=$E56),"━","")))</f>
        <v/>
      </c>
      <c r="EE56" s="69" t="str">
        <f aca="false">IF($E56="","",IF($M56,IF(AND($G56&gt;=EE$5,$G56&lt;EE$5+GanttPeriod),"◆",IF(AND($E56&gt;=EE$5,$E56&lt;EE$5+GanttPeriod),"◇","")),IF(AND(EE$5&lt;=$F56,EE$5+GanttPeriod-1&gt;=$E56),"━","")))</f>
        <v/>
      </c>
      <c r="EF56" s="69" t="str">
        <f aca="false">IF($E56="","",IF($M56,IF(AND($G56&gt;=EF$5,$G56&lt;EF$5+GanttPeriod),"◆",IF(AND($E56&gt;=EF$5,$E56&lt;EF$5+GanttPeriod),"◇","")),IF(AND(EF$5&lt;=$F56,EF$5+GanttPeriod-1&gt;=$E56),"━","")))</f>
        <v/>
      </c>
      <c r="EG56" s="69" t="str">
        <f aca="false">IF($E56="","",IF($M56,IF(AND($G56&gt;=EG$5,$G56&lt;EG$5+GanttPeriod),"◆",IF(AND($E56&gt;=EG$5,$E56&lt;EG$5+GanttPeriod),"◇","")),IF(AND(EG$5&lt;=$F56,EG$5+GanttPeriod-1&gt;=$E56),"━","")))</f>
        <v/>
      </c>
      <c r="EH56" s="69" t="str">
        <f aca="false">IF($E56="","",IF($M56,IF(AND($G56&gt;=EH$5,$G56&lt;EH$5+GanttPeriod),"◆",IF(AND($E56&gt;=EH$5,$E56&lt;EH$5+GanttPeriod),"◇","")),IF(AND(EH$5&lt;=$F56,EH$5+GanttPeriod-1&gt;=$E56),"━","")))</f>
        <v/>
      </c>
      <c r="EI56" s="69" t="str">
        <f aca="false">IF($E56="","",IF($M56,IF(AND($G56&gt;=EI$5,$G56&lt;EI$5+GanttPeriod),"◆",IF(AND($E56&gt;=EI$5,$E56&lt;EI$5+GanttPeriod),"◇","")),IF(AND(EI$5&lt;=$F56,EI$5+GanttPeriod-1&gt;=$E56),"━","")))</f>
        <v/>
      </c>
      <c r="EJ56" s="69" t="str">
        <f aca="false">IF($E56="","",IF($M56,IF(AND($G56&gt;=EJ$5,$G56&lt;EJ$5+GanttPeriod),"◆",IF(AND($E56&gt;=EJ$5,$E56&lt;EJ$5+GanttPeriod),"◇","")),IF(AND(EJ$5&lt;=$F56,EJ$5+GanttPeriod-1&gt;=$E56),"━","")))</f>
        <v/>
      </c>
      <c r="EK56" s="69" t="str">
        <f aca="false">IF($E56="","",IF($M56,IF(AND($G56&gt;=EK$5,$G56&lt;EK$5+GanttPeriod),"◆",IF(AND($E56&gt;=EK$5,$E56&lt;EK$5+GanttPeriod),"◇","")),IF(AND(EK$5&lt;=$F56,EK$5+GanttPeriod-1&gt;=$E56),"━","")))</f>
        <v/>
      </c>
      <c r="EL56" s="69" t="str">
        <f aca="false">IF($E56="","",IF($M56,IF(AND($G56&gt;=EL$5,$G56&lt;EL$5+GanttPeriod),"◆",IF(AND($E56&gt;=EL$5,$E56&lt;EL$5+GanttPeriod),"◇","")),IF(AND(EL$5&lt;=$F56,EL$5+GanttPeriod-1&gt;=$E56),"━","")))</f>
        <v/>
      </c>
      <c r="EM56" s="69" t="str">
        <f aca="false">IF($E56="","",IF($M56,IF(AND($G56&gt;=EM$5,$G56&lt;EM$5+GanttPeriod),"◆",IF(AND($E56&gt;=EM$5,$E56&lt;EM$5+GanttPeriod),"◇","")),IF(AND(EM$5&lt;=$F56,EM$5+GanttPeriod-1&gt;=$E56),"━","")))</f>
        <v/>
      </c>
      <c r="EN56" s="69" t="str">
        <f aca="false">IF($E56="","",IF($M56,IF(AND($G56&gt;=EN$5,$G56&lt;EN$5+GanttPeriod),"◆",IF(AND($E56&gt;=EN$5,$E56&lt;EN$5+GanttPeriod),"◇","")),IF(AND(EN$5&lt;=$F56,EN$5+GanttPeriod-1&gt;=$E56),"━","")))</f>
        <v/>
      </c>
      <c r="EO56" s="69" t="str">
        <f aca="false">IF($E56="","",IF($M56,IF(AND($G56&gt;=EO$5,$G56&lt;EO$5+GanttPeriod),"◆",IF(AND($E56&gt;=EO$5,$E56&lt;EO$5+GanttPeriod),"◇","")),IF(AND(EO$5&lt;=$F56,EO$5+GanttPeriod-1&gt;=$E56),"━","")))</f>
        <v/>
      </c>
      <c r="EP56" s="69" t="str">
        <f aca="false">IF($E56="","",IF($M56,IF(AND($G56&gt;=EP$5,$G56&lt;EP$5+GanttPeriod),"◆",IF(AND($E56&gt;=EP$5,$E56&lt;EP$5+GanttPeriod),"◇","")),IF(AND(EP$5&lt;=$F56,EP$5+GanttPeriod-1&gt;=$E56),"━","")))</f>
        <v/>
      </c>
      <c r="EQ56" s="69" t="str">
        <f aca="false">IF($E56="","",IF($M56,IF(AND($G56&gt;=EQ$5,$G56&lt;EQ$5+GanttPeriod),"◆",IF(AND($E56&gt;=EQ$5,$E56&lt;EQ$5+GanttPeriod),"◇","")),IF(AND(EQ$5&lt;=$F56,EQ$5+GanttPeriod-1&gt;=$E56),"━","")))</f>
        <v/>
      </c>
      <c r="ER56" s="69" t="str">
        <f aca="false">IF($E56="","",IF($M56,IF(AND($G56&gt;=ER$5,$G56&lt;ER$5+GanttPeriod),"◆",IF(AND($E56&gt;=ER$5,$E56&lt;ER$5+GanttPeriod),"◇","")),IF(AND(ER$5&lt;=$F56,ER$5+GanttPeriod-1&gt;=$E56),"━","")))</f>
        <v/>
      </c>
      <c r="ES56" s="69" t="str">
        <f aca="false">IF($E56="","",IF($M56,IF(AND($G56&gt;=ES$5,$G56&lt;ES$5+GanttPeriod),"◆",IF(AND($E56&gt;=ES$5,$E56&lt;ES$5+GanttPeriod),"◇","")),IF(AND(ES$5&lt;=$F56,ES$5+GanttPeriod-1&gt;=$E56),"━","")))</f>
        <v/>
      </c>
      <c r="ET56" s="69" t="str">
        <f aca="false">IF($E56="","",IF($M56,IF(AND($G56&gt;=ET$5,$G56&lt;ET$5+GanttPeriod),"◆",IF(AND($E56&gt;=ET$5,$E56&lt;ET$5+GanttPeriod),"◇","")),IF(AND(ET$5&lt;=$F56,ET$5+GanttPeriod-1&gt;=$E56),"━","")))</f>
        <v/>
      </c>
      <c r="EU56" s="69" t="str">
        <f aca="false">IF($E56="","",IF($M56,IF(AND($G56&gt;=EU$5,$G56&lt;EU$5+GanttPeriod),"◆",IF(AND($E56&gt;=EU$5,$E56&lt;EU$5+GanttPeriod),"◇","")),IF(AND(EU$5&lt;=$F56,EU$5+GanttPeriod-1&gt;=$E56),"━","")))</f>
        <v/>
      </c>
      <c r="EV56" s="69" t="str">
        <f aca="false">IF($E56="","",IF($M56,IF(AND($G56&gt;=EV$5,$G56&lt;EV$5+GanttPeriod),"◆",IF(AND($E56&gt;=EV$5,$E56&lt;EV$5+GanttPeriod),"◇","")),IF(AND(EV$5&lt;=$F56,EV$5+GanttPeriod-1&gt;=$E56),"━","")))</f>
        <v/>
      </c>
      <c r="EW56" s="69" t="str">
        <f aca="false">IF($E56="","",IF($M56,IF(AND($G56&gt;=EW$5,$G56&lt;EW$5+GanttPeriod),"◆",IF(AND($E56&gt;=EW$5,$E56&lt;EW$5+GanttPeriod),"◇","")),IF(AND(EW$5&lt;=$F56,EW$5+GanttPeriod-1&gt;=$E56),"━","")))</f>
        <v/>
      </c>
      <c r="EX56" s="69" t="str">
        <f aca="false">IF($E56="","",IF($M56,IF(AND($G56&gt;=EX$5,$G56&lt;EX$5+GanttPeriod),"◆",IF(AND($E56&gt;=EX$5,$E56&lt;EX$5+GanttPeriod),"◇","")),IF(AND(EX$5&lt;=$F56,EX$5+GanttPeriod-1&gt;=$E56),"━","")))</f>
        <v/>
      </c>
      <c r="EY56" s="69" t="str">
        <f aca="false">IF($E56="","",IF($M56,IF(AND($G56&gt;=EY$5,$G56&lt;EY$5+GanttPeriod),"◆",IF(AND($E56&gt;=EY$5,$E56&lt;EY$5+GanttPeriod),"◇","")),IF(AND(EY$5&lt;=$F56,EY$5+GanttPeriod-1&gt;=$E56),"━","")))</f>
        <v/>
      </c>
      <c r="EZ56" s="69" t="str">
        <f aca="false">IF($E56="","",IF($M56,IF(AND($G56&gt;=EZ$5,$G56&lt;EZ$5+GanttPeriod),"◆",IF(AND($E56&gt;=EZ$5,$E56&lt;EZ$5+GanttPeriod),"◇","")),IF(AND(EZ$5&lt;=$F56,EZ$5+GanttPeriod-1&gt;=$E56),"━","")))</f>
        <v/>
      </c>
      <c r="FA56" s="69" t="str">
        <f aca="false">IF($E56="","",IF($M56,IF(AND($G56&gt;=FA$5,$G56&lt;FA$5+GanttPeriod),"◆",IF(AND($E56&gt;=FA$5,$E56&lt;FA$5+GanttPeriod),"◇","")),IF(AND(FA$5&lt;=$F56,FA$5+GanttPeriod-1&gt;=$E56),"━","")))</f>
        <v/>
      </c>
      <c r="FB56" s="69" t="str">
        <f aca="false">IF($E56="","",IF($M56,IF(AND($G56&gt;=FB$5,$G56&lt;FB$5+GanttPeriod),"◆",IF(AND($E56&gt;=FB$5,$E56&lt;FB$5+GanttPeriod),"◇","")),IF(AND(FB$5&lt;=$F56,FB$5+GanttPeriod-1&gt;=$E56),"━","")))</f>
        <v/>
      </c>
      <c r="FC56" s="69" t="str">
        <f aca="false">IF($E56="","",IF($M56,IF(AND($G56&gt;=FC$5,$G56&lt;FC$5+GanttPeriod),"◆",IF(AND($E56&gt;=FC$5,$E56&lt;FC$5+GanttPeriod),"◇","")),IF(AND(FC$5&lt;=$F56,FC$5+GanttPeriod-1&gt;=$E56),"━","")))</f>
        <v/>
      </c>
      <c r="FD56" s="69" t="str">
        <f aca="false">IF($E56="","",IF($M56,IF(AND($G56&gt;=FD$5,$G56&lt;FD$5+GanttPeriod),"◆",IF(AND($E56&gt;=FD$5,$E56&lt;FD$5+GanttPeriod),"◇","")),IF(AND(FD$5&lt;=$F56,FD$5+GanttPeriod-1&gt;=$E56),"━","")))</f>
        <v/>
      </c>
      <c r="FE56" s="69" t="str">
        <f aca="false">IF($E56="","",IF($M56,IF(AND($G56&gt;=FE$5,$G56&lt;FE$5+GanttPeriod),"◆",IF(AND($E56&gt;=FE$5,$E56&lt;FE$5+GanttPeriod),"◇","")),IF(AND(FE$5&lt;=$F56,FE$5+GanttPeriod-1&gt;=$E56),"━","")))</f>
        <v/>
      </c>
      <c r="FF56" s="69" t="str">
        <f aca="false">IF($E56="","",IF($M56,IF(AND($G56&gt;=FF$5,$G56&lt;FF$5+GanttPeriod),"◆",IF(AND($E56&gt;=FF$5,$E56&lt;FF$5+GanttPeriod),"◇","")),IF(AND(FF$5&lt;=$F56,FF$5+GanttPeriod-1&gt;=$E56),"━","")))</f>
        <v/>
      </c>
      <c r="FG56" s="69" t="str">
        <f aca="false">IF($E56="","",IF($M56,IF(AND($G56&gt;=FG$5,$G56&lt;FG$5+GanttPeriod),"◆",IF(AND($E56&gt;=FG$5,$E56&lt;FG$5+GanttPeriod),"◇","")),IF(AND(FG$5&lt;=$F56,FG$5+GanttPeriod-1&gt;=$E56),"━","")))</f>
        <v/>
      </c>
      <c r="FH56" s="69" t="str">
        <f aca="false">IF($E56="","",IF($M56,IF(AND($G56&gt;=FH$5,$G56&lt;FH$5+GanttPeriod),"◆",IF(AND($E56&gt;=FH$5,$E56&lt;FH$5+GanttPeriod),"◇","")),IF(AND(FH$5&lt;=$F56,FH$5+GanttPeriod-1&gt;=$E56),"━","")))</f>
        <v/>
      </c>
      <c r="FI56" s="69" t="str">
        <f aca="false">IF($E56="","",IF($M56,IF(AND($G56&gt;=FI$5,$G56&lt;FI$5+GanttPeriod),"◆",IF(AND($E56&gt;=FI$5,$E56&lt;FI$5+GanttPeriod),"◇","")),IF(AND(FI$5&lt;=$F56,FI$5+GanttPeriod-1&gt;=$E56),"━","")))</f>
        <v/>
      </c>
      <c r="FJ56" s="69" t="str">
        <f aca="false">IF($E56="","",IF($M56,IF(AND($G56&gt;=FJ$5,$G56&lt;FJ$5+GanttPeriod),"◆",IF(AND($E56&gt;=FJ$5,$E56&lt;FJ$5+GanttPeriod),"◇","")),IF(AND(FJ$5&lt;=$F56,FJ$5+GanttPeriod-1&gt;=$E56),"━","")))</f>
        <v/>
      </c>
      <c r="FK56" s="69" t="str">
        <f aca="false">IF($E56="","",IF($M56,IF(AND($G56&gt;=FK$5,$G56&lt;FK$5+GanttPeriod),"◆",IF(AND($E56&gt;=FK$5,$E56&lt;FK$5+GanttPeriod),"◇","")),IF(AND(FK$5&lt;=$F56,FK$5+GanttPeriod-1&gt;=$E56),"━","")))</f>
        <v/>
      </c>
      <c r="FL56" s="69" t="str">
        <f aca="false">IF($E56="","",IF($M56,IF(AND($G56&gt;=FL$5,$G56&lt;FL$5+GanttPeriod),"◆",IF(AND($E56&gt;=FL$5,$E56&lt;FL$5+GanttPeriod),"◇","")),IF(AND(FL$5&lt;=$F56,FL$5+GanttPeriod-1&gt;=$E56),"━","")))</f>
        <v/>
      </c>
      <c r="FM56" s="69" t="str">
        <f aca="false">IF($E56="","",IF($M56,IF(AND($G56&gt;=FM$5,$G56&lt;FM$5+GanttPeriod),"◆",IF(AND($E56&gt;=FM$5,$E56&lt;FM$5+GanttPeriod),"◇","")),IF(AND(FM$5&lt;=$F56,FM$5+GanttPeriod-1&gt;=$E56),"━","")))</f>
        <v/>
      </c>
    </row>
    <row r="57" customFormat="false" ht="15" hidden="false" customHeight="false" outlineLevel="0" collapsed="false">
      <c r="A57" s="62" t="str">
        <f aca="false">IF(Tasks!$D57="","",Tasks!$A57)</f>
        <v/>
      </c>
      <c r="B57" s="62" t="str">
        <f aca="false">IF(Tasks!$D57="","",Tasks!$B57)</f>
        <v/>
      </c>
      <c r="C57" s="63" t="str">
        <f aca="false">IF(Tasks!$D57="","",REPT("    ",Tasks!$AE57-1)&amp;Tasks!$D57)</f>
        <v/>
      </c>
      <c r="D57" s="62" t="str">
        <f aca="false">IF(Tasks!$D57="","",IF(Tasks!$AI57,NETWORKDAYS.INTL(Tasks!$R57,Tasks!$S57,WorkWeek,Holidays),N(Tasks!$F57)))</f>
        <v/>
      </c>
      <c r="E57" s="64" t="str">
        <f aca="false">IF(Tasks!$D57="","",Tasks!$N57)</f>
        <v/>
      </c>
      <c r="F57" s="64" t="str">
        <f aca="false">IF(Tasks!$D57="","",Tasks!$O57)</f>
        <v/>
      </c>
      <c r="G57" s="64" t="str">
        <f aca="false">IF(Tasks!$D57="","",Tasks!$R57)</f>
        <v/>
      </c>
      <c r="H57" s="64" t="str">
        <f aca="false">IF(Tasks!$D57="","",Tasks!$S57)</f>
        <v/>
      </c>
      <c r="I57" s="65" t="str">
        <f aca="false">IF(Tasks!$D57="","",Tasks!$V57)</f>
        <v/>
      </c>
      <c r="J57" s="63" t="str">
        <f aca="false">IF(Tasks!$D57="","",Tasks!$X57&amp;"")</f>
        <v/>
      </c>
      <c r="K57" s="66" t="str">
        <f aca="false">IF(Tasks!$D57="","",Tasks!$W57)</f>
        <v/>
      </c>
      <c r="L57" s="67" t="b">
        <f aca="false">IF(Tasks!$D57="",FALSE(),Tasks!$AI57)</f>
        <v>0</v>
      </c>
      <c r="M57" s="67" t="b">
        <f aca="false">AND(Tasks!$AJ57=1,N(Tasks!$F57)=0)</f>
        <v>0</v>
      </c>
      <c r="N57" s="68" t="n">
        <f aca="false">IF(AND(Tasks!$AJ57=1,NOT($M57),N($I57)&gt;0),$G57,0)</f>
        <v>0</v>
      </c>
      <c r="O57" s="68" t="n">
        <f aca="false">IF($N57=0,0,IF($I57&gt;=1,$H57,MAX($N57,$G57+ROUND(($H57-$G57+1)*$I57,0)-1)))</f>
        <v>0</v>
      </c>
      <c r="P57" s="68" t="n">
        <f aca="false">IF(OR(Tasks!$AJ57&lt;&gt;1,$M57,N($I57)&gt;=1),0,IF($O57&gt;0,$O57+1,$G57))</f>
        <v>0</v>
      </c>
      <c r="Q57" s="68" t="n">
        <f aca="false">IF($P57=0,0,$H57)</f>
        <v>0</v>
      </c>
      <c r="R57" s="67" t="b">
        <f aca="false">AND(Tasks!$D57&lt;&gt;"",N(Tasks!$T57)&gt;0)</f>
        <v>0</v>
      </c>
      <c r="T57" s="69" t="str">
        <f aca="false">IF($E57="","",IF($M57,IF(AND($G57&gt;=T$5,$G57&lt;T$5+GanttPeriod),"◆",IF(AND($E57&gt;=T$5,$E57&lt;T$5+GanttPeriod),"◇","")),IF(AND(T$5&lt;=$F57,T$5+GanttPeriod-1&gt;=$E57),"━","")))</f>
        <v/>
      </c>
      <c r="U57" s="69" t="str">
        <f aca="false">IF($E57="","",IF($M57,IF(AND($G57&gt;=U$5,$G57&lt;U$5+GanttPeriod),"◆",IF(AND($E57&gt;=U$5,$E57&lt;U$5+GanttPeriod),"◇","")),IF(AND(U$5&lt;=$F57,U$5+GanttPeriod-1&gt;=$E57),"━","")))</f>
        <v/>
      </c>
      <c r="V57" s="69" t="str">
        <f aca="false">IF($E57="","",IF($M57,IF(AND($G57&gt;=V$5,$G57&lt;V$5+GanttPeriod),"◆",IF(AND($E57&gt;=V$5,$E57&lt;V$5+GanttPeriod),"◇","")),IF(AND(V$5&lt;=$F57,V$5+GanttPeriod-1&gt;=$E57),"━","")))</f>
        <v/>
      </c>
      <c r="W57" s="69" t="str">
        <f aca="false">IF($E57="","",IF($M57,IF(AND($G57&gt;=W$5,$G57&lt;W$5+GanttPeriod),"◆",IF(AND($E57&gt;=W$5,$E57&lt;W$5+GanttPeriod),"◇","")),IF(AND(W$5&lt;=$F57,W$5+GanttPeriod-1&gt;=$E57),"━","")))</f>
        <v/>
      </c>
      <c r="X57" s="69" t="str">
        <f aca="false">IF($E57="","",IF($M57,IF(AND($G57&gt;=X$5,$G57&lt;X$5+GanttPeriod),"◆",IF(AND($E57&gt;=X$5,$E57&lt;X$5+GanttPeriod),"◇","")),IF(AND(X$5&lt;=$F57,X$5+GanttPeriod-1&gt;=$E57),"━","")))</f>
        <v/>
      </c>
      <c r="Y57" s="69" t="str">
        <f aca="false">IF($E57="","",IF($M57,IF(AND($G57&gt;=Y$5,$G57&lt;Y$5+GanttPeriod),"◆",IF(AND($E57&gt;=Y$5,$E57&lt;Y$5+GanttPeriod),"◇","")),IF(AND(Y$5&lt;=$F57,Y$5+GanttPeriod-1&gt;=$E57),"━","")))</f>
        <v/>
      </c>
      <c r="Z57" s="69" t="str">
        <f aca="false">IF($E57="","",IF($M57,IF(AND($G57&gt;=Z$5,$G57&lt;Z$5+GanttPeriod),"◆",IF(AND($E57&gt;=Z$5,$E57&lt;Z$5+GanttPeriod),"◇","")),IF(AND(Z$5&lt;=$F57,Z$5+GanttPeriod-1&gt;=$E57),"━","")))</f>
        <v/>
      </c>
      <c r="AA57" s="69" t="str">
        <f aca="false">IF($E57="","",IF($M57,IF(AND($G57&gt;=AA$5,$G57&lt;AA$5+GanttPeriod),"◆",IF(AND($E57&gt;=AA$5,$E57&lt;AA$5+GanttPeriod),"◇","")),IF(AND(AA$5&lt;=$F57,AA$5+GanttPeriod-1&gt;=$E57),"━","")))</f>
        <v/>
      </c>
      <c r="AB57" s="69" t="str">
        <f aca="false">IF($E57="","",IF($M57,IF(AND($G57&gt;=AB$5,$G57&lt;AB$5+GanttPeriod),"◆",IF(AND($E57&gt;=AB$5,$E57&lt;AB$5+GanttPeriod),"◇","")),IF(AND(AB$5&lt;=$F57,AB$5+GanttPeriod-1&gt;=$E57),"━","")))</f>
        <v/>
      </c>
      <c r="AC57" s="69" t="str">
        <f aca="false">IF($E57="","",IF($M57,IF(AND($G57&gt;=AC$5,$G57&lt;AC$5+GanttPeriod),"◆",IF(AND($E57&gt;=AC$5,$E57&lt;AC$5+GanttPeriod),"◇","")),IF(AND(AC$5&lt;=$F57,AC$5+GanttPeriod-1&gt;=$E57),"━","")))</f>
        <v/>
      </c>
      <c r="AD57" s="69" t="str">
        <f aca="false">IF($E57="","",IF($M57,IF(AND($G57&gt;=AD$5,$G57&lt;AD$5+GanttPeriod),"◆",IF(AND($E57&gt;=AD$5,$E57&lt;AD$5+GanttPeriod),"◇","")),IF(AND(AD$5&lt;=$F57,AD$5+GanttPeriod-1&gt;=$E57),"━","")))</f>
        <v/>
      </c>
      <c r="AE57" s="69" t="str">
        <f aca="false">IF($E57="","",IF($M57,IF(AND($G57&gt;=AE$5,$G57&lt;AE$5+GanttPeriod),"◆",IF(AND($E57&gt;=AE$5,$E57&lt;AE$5+GanttPeriod),"◇","")),IF(AND(AE$5&lt;=$F57,AE$5+GanttPeriod-1&gt;=$E57),"━","")))</f>
        <v/>
      </c>
      <c r="AF57" s="69" t="str">
        <f aca="false">IF($E57="","",IF($M57,IF(AND($G57&gt;=AF$5,$G57&lt;AF$5+GanttPeriod),"◆",IF(AND($E57&gt;=AF$5,$E57&lt;AF$5+GanttPeriod),"◇","")),IF(AND(AF$5&lt;=$F57,AF$5+GanttPeriod-1&gt;=$E57),"━","")))</f>
        <v/>
      </c>
      <c r="AG57" s="69" t="str">
        <f aca="false">IF($E57="","",IF($M57,IF(AND($G57&gt;=AG$5,$G57&lt;AG$5+GanttPeriod),"◆",IF(AND($E57&gt;=AG$5,$E57&lt;AG$5+GanttPeriod),"◇","")),IF(AND(AG$5&lt;=$F57,AG$5+GanttPeriod-1&gt;=$E57),"━","")))</f>
        <v/>
      </c>
      <c r="AH57" s="69" t="str">
        <f aca="false">IF($E57="","",IF($M57,IF(AND($G57&gt;=AH$5,$G57&lt;AH$5+GanttPeriod),"◆",IF(AND($E57&gt;=AH$5,$E57&lt;AH$5+GanttPeriod),"◇","")),IF(AND(AH$5&lt;=$F57,AH$5+GanttPeriod-1&gt;=$E57),"━","")))</f>
        <v/>
      </c>
      <c r="AI57" s="69" t="str">
        <f aca="false">IF($E57="","",IF($M57,IF(AND($G57&gt;=AI$5,$G57&lt;AI$5+GanttPeriod),"◆",IF(AND($E57&gt;=AI$5,$E57&lt;AI$5+GanttPeriod),"◇","")),IF(AND(AI$5&lt;=$F57,AI$5+GanttPeriod-1&gt;=$E57),"━","")))</f>
        <v/>
      </c>
      <c r="AJ57" s="69" t="str">
        <f aca="false">IF($E57="","",IF($M57,IF(AND($G57&gt;=AJ$5,$G57&lt;AJ$5+GanttPeriod),"◆",IF(AND($E57&gt;=AJ$5,$E57&lt;AJ$5+GanttPeriod),"◇","")),IF(AND(AJ$5&lt;=$F57,AJ$5+GanttPeriod-1&gt;=$E57),"━","")))</f>
        <v/>
      </c>
      <c r="AK57" s="69" t="str">
        <f aca="false">IF($E57="","",IF($M57,IF(AND($G57&gt;=AK$5,$G57&lt;AK$5+GanttPeriod),"◆",IF(AND($E57&gt;=AK$5,$E57&lt;AK$5+GanttPeriod),"◇","")),IF(AND(AK$5&lt;=$F57,AK$5+GanttPeriod-1&gt;=$E57),"━","")))</f>
        <v/>
      </c>
      <c r="AL57" s="69" t="str">
        <f aca="false">IF($E57="","",IF($M57,IF(AND($G57&gt;=AL$5,$G57&lt;AL$5+GanttPeriod),"◆",IF(AND($E57&gt;=AL$5,$E57&lt;AL$5+GanttPeriod),"◇","")),IF(AND(AL$5&lt;=$F57,AL$5+GanttPeriod-1&gt;=$E57),"━","")))</f>
        <v/>
      </c>
      <c r="AM57" s="69" t="str">
        <f aca="false">IF($E57="","",IF($M57,IF(AND($G57&gt;=AM$5,$G57&lt;AM$5+GanttPeriod),"◆",IF(AND($E57&gt;=AM$5,$E57&lt;AM$5+GanttPeriod),"◇","")),IF(AND(AM$5&lt;=$F57,AM$5+GanttPeriod-1&gt;=$E57),"━","")))</f>
        <v/>
      </c>
      <c r="AN57" s="69" t="str">
        <f aca="false">IF($E57="","",IF($M57,IF(AND($G57&gt;=AN$5,$G57&lt;AN$5+GanttPeriod),"◆",IF(AND($E57&gt;=AN$5,$E57&lt;AN$5+GanttPeriod),"◇","")),IF(AND(AN$5&lt;=$F57,AN$5+GanttPeriod-1&gt;=$E57),"━","")))</f>
        <v/>
      </c>
      <c r="AO57" s="69" t="str">
        <f aca="false">IF($E57="","",IF($M57,IF(AND($G57&gt;=AO$5,$G57&lt;AO$5+GanttPeriod),"◆",IF(AND($E57&gt;=AO$5,$E57&lt;AO$5+GanttPeriod),"◇","")),IF(AND(AO$5&lt;=$F57,AO$5+GanttPeriod-1&gt;=$E57),"━","")))</f>
        <v/>
      </c>
      <c r="AP57" s="69" t="str">
        <f aca="false">IF($E57="","",IF($M57,IF(AND($G57&gt;=AP$5,$G57&lt;AP$5+GanttPeriod),"◆",IF(AND($E57&gt;=AP$5,$E57&lt;AP$5+GanttPeriod),"◇","")),IF(AND(AP$5&lt;=$F57,AP$5+GanttPeriod-1&gt;=$E57),"━","")))</f>
        <v/>
      </c>
      <c r="AQ57" s="69" t="str">
        <f aca="false">IF($E57="","",IF($M57,IF(AND($G57&gt;=AQ$5,$G57&lt;AQ$5+GanttPeriod),"◆",IF(AND($E57&gt;=AQ$5,$E57&lt;AQ$5+GanttPeriod),"◇","")),IF(AND(AQ$5&lt;=$F57,AQ$5+GanttPeriod-1&gt;=$E57),"━","")))</f>
        <v/>
      </c>
      <c r="AR57" s="69" t="str">
        <f aca="false">IF($E57="","",IF($M57,IF(AND($G57&gt;=AR$5,$G57&lt;AR$5+GanttPeriod),"◆",IF(AND($E57&gt;=AR$5,$E57&lt;AR$5+GanttPeriod),"◇","")),IF(AND(AR$5&lt;=$F57,AR$5+GanttPeriod-1&gt;=$E57),"━","")))</f>
        <v/>
      </c>
      <c r="AS57" s="69" t="str">
        <f aca="false">IF($E57="","",IF($M57,IF(AND($G57&gt;=AS$5,$G57&lt;AS$5+GanttPeriod),"◆",IF(AND($E57&gt;=AS$5,$E57&lt;AS$5+GanttPeriod),"◇","")),IF(AND(AS$5&lt;=$F57,AS$5+GanttPeriod-1&gt;=$E57),"━","")))</f>
        <v/>
      </c>
      <c r="AT57" s="69" t="str">
        <f aca="false">IF($E57="","",IF($M57,IF(AND($G57&gt;=AT$5,$G57&lt;AT$5+GanttPeriod),"◆",IF(AND($E57&gt;=AT$5,$E57&lt;AT$5+GanttPeriod),"◇","")),IF(AND(AT$5&lt;=$F57,AT$5+GanttPeriod-1&gt;=$E57),"━","")))</f>
        <v/>
      </c>
      <c r="AU57" s="69" t="str">
        <f aca="false">IF($E57="","",IF($M57,IF(AND($G57&gt;=AU$5,$G57&lt;AU$5+GanttPeriod),"◆",IF(AND($E57&gt;=AU$5,$E57&lt;AU$5+GanttPeriod),"◇","")),IF(AND(AU$5&lt;=$F57,AU$5+GanttPeriod-1&gt;=$E57),"━","")))</f>
        <v/>
      </c>
      <c r="AV57" s="69" t="str">
        <f aca="false">IF($E57="","",IF($M57,IF(AND($G57&gt;=AV$5,$G57&lt;AV$5+GanttPeriod),"◆",IF(AND($E57&gt;=AV$5,$E57&lt;AV$5+GanttPeriod),"◇","")),IF(AND(AV$5&lt;=$F57,AV$5+GanttPeriod-1&gt;=$E57),"━","")))</f>
        <v/>
      </c>
      <c r="AW57" s="69" t="str">
        <f aca="false">IF($E57="","",IF($M57,IF(AND($G57&gt;=AW$5,$G57&lt;AW$5+GanttPeriod),"◆",IF(AND($E57&gt;=AW$5,$E57&lt;AW$5+GanttPeriod),"◇","")),IF(AND(AW$5&lt;=$F57,AW$5+GanttPeriod-1&gt;=$E57),"━","")))</f>
        <v/>
      </c>
      <c r="AX57" s="69" t="str">
        <f aca="false">IF($E57="","",IF($M57,IF(AND($G57&gt;=AX$5,$G57&lt;AX$5+GanttPeriod),"◆",IF(AND($E57&gt;=AX$5,$E57&lt;AX$5+GanttPeriod),"◇","")),IF(AND(AX$5&lt;=$F57,AX$5+GanttPeriod-1&gt;=$E57),"━","")))</f>
        <v/>
      </c>
      <c r="AY57" s="69" t="str">
        <f aca="false">IF($E57="","",IF($M57,IF(AND($G57&gt;=AY$5,$G57&lt;AY$5+GanttPeriod),"◆",IF(AND($E57&gt;=AY$5,$E57&lt;AY$5+GanttPeriod),"◇","")),IF(AND(AY$5&lt;=$F57,AY$5+GanttPeriod-1&gt;=$E57),"━","")))</f>
        <v/>
      </c>
      <c r="AZ57" s="69" t="str">
        <f aca="false">IF($E57="","",IF($M57,IF(AND($G57&gt;=AZ$5,$G57&lt;AZ$5+GanttPeriod),"◆",IF(AND($E57&gt;=AZ$5,$E57&lt;AZ$5+GanttPeriod),"◇","")),IF(AND(AZ$5&lt;=$F57,AZ$5+GanttPeriod-1&gt;=$E57),"━","")))</f>
        <v/>
      </c>
      <c r="BA57" s="69" t="str">
        <f aca="false">IF($E57="","",IF($M57,IF(AND($G57&gt;=BA$5,$G57&lt;BA$5+GanttPeriod),"◆",IF(AND($E57&gt;=BA$5,$E57&lt;BA$5+GanttPeriod),"◇","")),IF(AND(BA$5&lt;=$F57,BA$5+GanttPeriod-1&gt;=$E57),"━","")))</f>
        <v/>
      </c>
      <c r="BB57" s="69" t="str">
        <f aca="false">IF($E57="","",IF($M57,IF(AND($G57&gt;=BB$5,$G57&lt;BB$5+GanttPeriod),"◆",IF(AND($E57&gt;=BB$5,$E57&lt;BB$5+GanttPeriod),"◇","")),IF(AND(BB$5&lt;=$F57,BB$5+GanttPeriod-1&gt;=$E57),"━","")))</f>
        <v/>
      </c>
      <c r="BC57" s="69" t="str">
        <f aca="false">IF($E57="","",IF($M57,IF(AND($G57&gt;=BC$5,$G57&lt;BC$5+GanttPeriod),"◆",IF(AND($E57&gt;=BC$5,$E57&lt;BC$5+GanttPeriod),"◇","")),IF(AND(BC$5&lt;=$F57,BC$5+GanttPeriod-1&gt;=$E57),"━","")))</f>
        <v/>
      </c>
      <c r="BD57" s="69" t="str">
        <f aca="false">IF($E57="","",IF($M57,IF(AND($G57&gt;=BD$5,$G57&lt;BD$5+GanttPeriod),"◆",IF(AND($E57&gt;=BD$5,$E57&lt;BD$5+GanttPeriod),"◇","")),IF(AND(BD$5&lt;=$F57,BD$5+GanttPeriod-1&gt;=$E57),"━","")))</f>
        <v/>
      </c>
      <c r="BE57" s="69" t="str">
        <f aca="false">IF($E57="","",IF($M57,IF(AND($G57&gt;=BE$5,$G57&lt;BE$5+GanttPeriod),"◆",IF(AND($E57&gt;=BE$5,$E57&lt;BE$5+GanttPeriod),"◇","")),IF(AND(BE$5&lt;=$F57,BE$5+GanttPeriod-1&gt;=$E57),"━","")))</f>
        <v/>
      </c>
      <c r="BF57" s="69" t="str">
        <f aca="false">IF($E57="","",IF($M57,IF(AND($G57&gt;=BF$5,$G57&lt;BF$5+GanttPeriod),"◆",IF(AND($E57&gt;=BF$5,$E57&lt;BF$5+GanttPeriod),"◇","")),IF(AND(BF$5&lt;=$F57,BF$5+GanttPeriod-1&gt;=$E57),"━","")))</f>
        <v/>
      </c>
      <c r="BG57" s="69" t="str">
        <f aca="false">IF($E57="","",IF($M57,IF(AND($G57&gt;=BG$5,$G57&lt;BG$5+GanttPeriod),"◆",IF(AND($E57&gt;=BG$5,$E57&lt;BG$5+GanttPeriod),"◇","")),IF(AND(BG$5&lt;=$F57,BG$5+GanttPeriod-1&gt;=$E57),"━","")))</f>
        <v/>
      </c>
      <c r="BH57" s="69" t="str">
        <f aca="false">IF($E57="","",IF($M57,IF(AND($G57&gt;=BH$5,$G57&lt;BH$5+GanttPeriod),"◆",IF(AND($E57&gt;=BH$5,$E57&lt;BH$5+GanttPeriod),"◇","")),IF(AND(BH$5&lt;=$F57,BH$5+GanttPeriod-1&gt;=$E57),"━","")))</f>
        <v/>
      </c>
      <c r="BI57" s="69" t="str">
        <f aca="false">IF($E57="","",IF($M57,IF(AND($G57&gt;=BI$5,$G57&lt;BI$5+GanttPeriod),"◆",IF(AND($E57&gt;=BI$5,$E57&lt;BI$5+GanttPeriod),"◇","")),IF(AND(BI$5&lt;=$F57,BI$5+GanttPeriod-1&gt;=$E57),"━","")))</f>
        <v/>
      </c>
      <c r="BJ57" s="69" t="str">
        <f aca="false">IF($E57="","",IF($M57,IF(AND($G57&gt;=BJ$5,$G57&lt;BJ$5+GanttPeriod),"◆",IF(AND($E57&gt;=BJ$5,$E57&lt;BJ$5+GanttPeriod),"◇","")),IF(AND(BJ$5&lt;=$F57,BJ$5+GanttPeriod-1&gt;=$E57),"━","")))</f>
        <v/>
      </c>
      <c r="BK57" s="69" t="str">
        <f aca="false">IF($E57="","",IF($M57,IF(AND($G57&gt;=BK$5,$G57&lt;BK$5+GanttPeriod),"◆",IF(AND($E57&gt;=BK$5,$E57&lt;BK$5+GanttPeriod),"◇","")),IF(AND(BK$5&lt;=$F57,BK$5+GanttPeriod-1&gt;=$E57),"━","")))</f>
        <v/>
      </c>
      <c r="BL57" s="69" t="str">
        <f aca="false">IF($E57="","",IF($M57,IF(AND($G57&gt;=BL$5,$G57&lt;BL$5+GanttPeriod),"◆",IF(AND($E57&gt;=BL$5,$E57&lt;BL$5+GanttPeriod),"◇","")),IF(AND(BL$5&lt;=$F57,BL$5+GanttPeriod-1&gt;=$E57),"━","")))</f>
        <v/>
      </c>
      <c r="BM57" s="69" t="str">
        <f aca="false">IF($E57="","",IF($M57,IF(AND($G57&gt;=BM$5,$G57&lt;BM$5+GanttPeriod),"◆",IF(AND($E57&gt;=BM$5,$E57&lt;BM$5+GanttPeriod),"◇","")),IF(AND(BM$5&lt;=$F57,BM$5+GanttPeriod-1&gt;=$E57),"━","")))</f>
        <v/>
      </c>
      <c r="BN57" s="69" t="str">
        <f aca="false">IF($E57="","",IF($M57,IF(AND($G57&gt;=BN$5,$G57&lt;BN$5+GanttPeriod),"◆",IF(AND($E57&gt;=BN$5,$E57&lt;BN$5+GanttPeriod),"◇","")),IF(AND(BN$5&lt;=$F57,BN$5+GanttPeriod-1&gt;=$E57),"━","")))</f>
        <v/>
      </c>
      <c r="BO57" s="69" t="str">
        <f aca="false">IF($E57="","",IF($M57,IF(AND($G57&gt;=BO$5,$G57&lt;BO$5+GanttPeriod),"◆",IF(AND($E57&gt;=BO$5,$E57&lt;BO$5+GanttPeriod),"◇","")),IF(AND(BO$5&lt;=$F57,BO$5+GanttPeriod-1&gt;=$E57),"━","")))</f>
        <v/>
      </c>
      <c r="BP57" s="69" t="str">
        <f aca="false">IF($E57="","",IF($M57,IF(AND($G57&gt;=BP$5,$G57&lt;BP$5+GanttPeriod),"◆",IF(AND($E57&gt;=BP$5,$E57&lt;BP$5+GanttPeriod),"◇","")),IF(AND(BP$5&lt;=$F57,BP$5+GanttPeriod-1&gt;=$E57),"━","")))</f>
        <v/>
      </c>
      <c r="BQ57" s="69" t="str">
        <f aca="false">IF($E57="","",IF($M57,IF(AND($G57&gt;=BQ$5,$G57&lt;BQ$5+GanttPeriod),"◆",IF(AND($E57&gt;=BQ$5,$E57&lt;BQ$5+GanttPeriod),"◇","")),IF(AND(BQ$5&lt;=$F57,BQ$5+GanttPeriod-1&gt;=$E57),"━","")))</f>
        <v/>
      </c>
      <c r="BR57" s="69" t="str">
        <f aca="false">IF($E57="","",IF($M57,IF(AND($G57&gt;=BR$5,$G57&lt;BR$5+GanttPeriod),"◆",IF(AND($E57&gt;=BR$5,$E57&lt;BR$5+GanttPeriod),"◇","")),IF(AND(BR$5&lt;=$F57,BR$5+GanttPeriod-1&gt;=$E57),"━","")))</f>
        <v/>
      </c>
      <c r="BS57" s="69" t="str">
        <f aca="false">IF($E57="","",IF($M57,IF(AND($G57&gt;=BS$5,$G57&lt;BS$5+GanttPeriod),"◆",IF(AND($E57&gt;=BS$5,$E57&lt;BS$5+GanttPeriod),"◇","")),IF(AND(BS$5&lt;=$F57,BS$5+GanttPeriod-1&gt;=$E57),"━","")))</f>
        <v/>
      </c>
      <c r="BT57" s="69" t="str">
        <f aca="false">IF($E57="","",IF($M57,IF(AND($G57&gt;=BT$5,$G57&lt;BT$5+GanttPeriod),"◆",IF(AND($E57&gt;=BT$5,$E57&lt;BT$5+GanttPeriod),"◇","")),IF(AND(BT$5&lt;=$F57,BT$5+GanttPeriod-1&gt;=$E57),"━","")))</f>
        <v/>
      </c>
      <c r="BU57" s="69" t="str">
        <f aca="false">IF($E57="","",IF($M57,IF(AND($G57&gt;=BU$5,$G57&lt;BU$5+GanttPeriod),"◆",IF(AND($E57&gt;=BU$5,$E57&lt;BU$5+GanttPeriod),"◇","")),IF(AND(BU$5&lt;=$F57,BU$5+GanttPeriod-1&gt;=$E57),"━","")))</f>
        <v/>
      </c>
      <c r="BV57" s="69" t="str">
        <f aca="false">IF($E57="","",IF($M57,IF(AND($G57&gt;=BV$5,$G57&lt;BV$5+GanttPeriod),"◆",IF(AND($E57&gt;=BV$5,$E57&lt;BV$5+GanttPeriod),"◇","")),IF(AND(BV$5&lt;=$F57,BV$5+GanttPeriod-1&gt;=$E57),"━","")))</f>
        <v/>
      </c>
      <c r="BW57" s="69" t="str">
        <f aca="false">IF($E57="","",IF($M57,IF(AND($G57&gt;=BW$5,$G57&lt;BW$5+GanttPeriod),"◆",IF(AND($E57&gt;=BW$5,$E57&lt;BW$5+GanttPeriod),"◇","")),IF(AND(BW$5&lt;=$F57,BW$5+GanttPeriod-1&gt;=$E57),"━","")))</f>
        <v/>
      </c>
      <c r="BX57" s="69" t="str">
        <f aca="false">IF($E57="","",IF($M57,IF(AND($G57&gt;=BX$5,$G57&lt;BX$5+GanttPeriod),"◆",IF(AND($E57&gt;=BX$5,$E57&lt;BX$5+GanttPeriod),"◇","")),IF(AND(BX$5&lt;=$F57,BX$5+GanttPeriod-1&gt;=$E57),"━","")))</f>
        <v/>
      </c>
      <c r="BY57" s="69" t="str">
        <f aca="false">IF($E57="","",IF($M57,IF(AND($G57&gt;=BY$5,$G57&lt;BY$5+GanttPeriod),"◆",IF(AND($E57&gt;=BY$5,$E57&lt;BY$5+GanttPeriod),"◇","")),IF(AND(BY$5&lt;=$F57,BY$5+GanttPeriod-1&gt;=$E57),"━","")))</f>
        <v/>
      </c>
      <c r="BZ57" s="69" t="str">
        <f aca="false">IF($E57="","",IF($M57,IF(AND($G57&gt;=BZ$5,$G57&lt;BZ$5+GanttPeriod),"◆",IF(AND($E57&gt;=BZ$5,$E57&lt;BZ$5+GanttPeriod),"◇","")),IF(AND(BZ$5&lt;=$F57,BZ$5+GanttPeriod-1&gt;=$E57),"━","")))</f>
        <v/>
      </c>
      <c r="CA57" s="69" t="str">
        <f aca="false">IF($E57="","",IF($M57,IF(AND($G57&gt;=CA$5,$G57&lt;CA$5+GanttPeriod),"◆",IF(AND($E57&gt;=CA$5,$E57&lt;CA$5+GanttPeriod),"◇","")),IF(AND(CA$5&lt;=$F57,CA$5+GanttPeriod-1&gt;=$E57),"━","")))</f>
        <v/>
      </c>
      <c r="CB57" s="69" t="str">
        <f aca="false">IF($E57="","",IF($M57,IF(AND($G57&gt;=CB$5,$G57&lt;CB$5+GanttPeriod),"◆",IF(AND($E57&gt;=CB$5,$E57&lt;CB$5+GanttPeriod),"◇","")),IF(AND(CB$5&lt;=$F57,CB$5+GanttPeriod-1&gt;=$E57),"━","")))</f>
        <v/>
      </c>
      <c r="CC57" s="69" t="str">
        <f aca="false">IF($E57="","",IF($M57,IF(AND($G57&gt;=CC$5,$G57&lt;CC$5+GanttPeriod),"◆",IF(AND($E57&gt;=CC$5,$E57&lt;CC$5+GanttPeriod),"◇","")),IF(AND(CC$5&lt;=$F57,CC$5+GanttPeriod-1&gt;=$E57),"━","")))</f>
        <v/>
      </c>
      <c r="CD57" s="69" t="str">
        <f aca="false">IF($E57="","",IF($M57,IF(AND($G57&gt;=CD$5,$G57&lt;CD$5+GanttPeriod),"◆",IF(AND($E57&gt;=CD$5,$E57&lt;CD$5+GanttPeriod),"◇","")),IF(AND(CD$5&lt;=$F57,CD$5+GanttPeriod-1&gt;=$E57),"━","")))</f>
        <v/>
      </c>
      <c r="CE57" s="69" t="str">
        <f aca="false">IF($E57="","",IF($M57,IF(AND($G57&gt;=CE$5,$G57&lt;CE$5+GanttPeriod),"◆",IF(AND($E57&gt;=CE$5,$E57&lt;CE$5+GanttPeriod),"◇","")),IF(AND(CE$5&lt;=$F57,CE$5+GanttPeriod-1&gt;=$E57),"━","")))</f>
        <v/>
      </c>
      <c r="CF57" s="69" t="str">
        <f aca="false">IF($E57="","",IF($M57,IF(AND($G57&gt;=CF$5,$G57&lt;CF$5+GanttPeriod),"◆",IF(AND($E57&gt;=CF$5,$E57&lt;CF$5+GanttPeriod),"◇","")),IF(AND(CF$5&lt;=$F57,CF$5+GanttPeriod-1&gt;=$E57),"━","")))</f>
        <v/>
      </c>
      <c r="CG57" s="69" t="str">
        <f aca="false">IF($E57="","",IF($M57,IF(AND($G57&gt;=CG$5,$G57&lt;CG$5+GanttPeriod),"◆",IF(AND($E57&gt;=CG$5,$E57&lt;CG$5+GanttPeriod),"◇","")),IF(AND(CG$5&lt;=$F57,CG$5+GanttPeriod-1&gt;=$E57),"━","")))</f>
        <v/>
      </c>
      <c r="CH57" s="69" t="str">
        <f aca="false">IF($E57="","",IF($M57,IF(AND($G57&gt;=CH$5,$G57&lt;CH$5+GanttPeriod),"◆",IF(AND($E57&gt;=CH$5,$E57&lt;CH$5+GanttPeriod),"◇","")),IF(AND(CH$5&lt;=$F57,CH$5+GanttPeriod-1&gt;=$E57),"━","")))</f>
        <v/>
      </c>
      <c r="CI57" s="69" t="str">
        <f aca="false">IF($E57="","",IF($M57,IF(AND($G57&gt;=CI$5,$G57&lt;CI$5+GanttPeriod),"◆",IF(AND($E57&gt;=CI$5,$E57&lt;CI$5+GanttPeriod),"◇","")),IF(AND(CI$5&lt;=$F57,CI$5+GanttPeriod-1&gt;=$E57),"━","")))</f>
        <v/>
      </c>
      <c r="CJ57" s="69" t="str">
        <f aca="false">IF($E57="","",IF($M57,IF(AND($G57&gt;=CJ$5,$G57&lt;CJ$5+GanttPeriod),"◆",IF(AND($E57&gt;=CJ$5,$E57&lt;CJ$5+GanttPeriod),"◇","")),IF(AND(CJ$5&lt;=$F57,CJ$5+GanttPeriod-1&gt;=$E57),"━","")))</f>
        <v/>
      </c>
      <c r="CK57" s="69" t="str">
        <f aca="false">IF($E57="","",IF($M57,IF(AND($G57&gt;=CK$5,$G57&lt;CK$5+GanttPeriod),"◆",IF(AND($E57&gt;=CK$5,$E57&lt;CK$5+GanttPeriod),"◇","")),IF(AND(CK$5&lt;=$F57,CK$5+GanttPeriod-1&gt;=$E57),"━","")))</f>
        <v/>
      </c>
      <c r="CL57" s="69" t="str">
        <f aca="false">IF($E57="","",IF($M57,IF(AND($G57&gt;=CL$5,$G57&lt;CL$5+GanttPeriod),"◆",IF(AND($E57&gt;=CL$5,$E57&lt;CL$5+GanttPeriod),"◇","")),IF(AND(CL$5&lt;=$F57,CL$5+GanttPeriod-1&gt;=$E57),"━","")))</f>
        <v/>
      </c>
      <c r="CM57" s="69" t="str">
        <f aca="false">IF($E57="","",IF($M57,IF(AND($G57&gt;=CM$5,$G57&lt;CM$5+GanttPeriod),"◆",IF(AND($E57&gt;=CM$5,$E57&lt;CM$5+GanttPeriod),"◇","")),IF(AND(CM$5&lt;=$F57,CM$5+GanttPeriod-1&gt;=$E57),"━","")))</f>
        <v/>
      </c>
      <c r="CN57" s="69" t="str">
        <f aca="false">IF($E57="","",IF($M57,IF(AND($G57&gt;=CN$5,$G57&lt;CN$5+GanttPeriod),"◆",IF(AND($E57&gt;=CN$5,$E57&lt;CN$5+GanttPeriod),"◇","")),IF(AND(CN$5&lt;=$F57,CN$5+GanttPeriod-1&gt;=$E57),"━","")))</f>
        <v/>
      </c>
      <c r="CO57" s="69" t="str">
        <f aca="false">IF($E57="","",IF($M57,IF(AND($G57&gt;=CO$5,$G57&lt;CO$5+GanttPeriod),"◆",IF(AND($E57&gt;=CO$5,$E57&lt;CO$5+GanttPeriod),"◇","")),IF(AND(CO$5&lt;=$F57,CO$5+GanttPeriod-1&gt;=$E57),"━","")))</f>
        <v/>
      </c>
      <c r="CP57" s="69" t="str">
        <f aca="false">IF($E57="","",IF($M57,IF(AND($G57&gt;=CP$5,$G57&lt;CP$5+GanttPeriod),"◆",IF(AND($E57&gt;=CP$5,$E57&lt;CP$5+GanttPeriod),"◇","")),IF(AND(CP$5&lt;=$F57,CP$5+GanttPeriod-1&gt;=$E57),"━","")))</f>
        <v/>
      </c>
      <c r="CQ57" s="69" t="str">
        <f aca="false">IF($E57="","",IF($M57,IF(AND($G57&gt;=CQ$5,$G57&lt;CQ$5+GanttPeriod),"◆",IF(AND($E57&gt;=CQ$5,$E57&lt;CQ$5+GanttPeriod),"◇","")),IF(AND(CQ$5&lt;=$F57,CQ$5+GanttPeriod-1&gt;=$E57),"━","")))</f>
        <v/>
      </c>
      <c r="CR57" s="69" t="str">
        <f aca="false">IF($E57="","",IF($M57,IF(AND($G57&gt;=CR$5,$G57&lt;CR$5+GanttPeriod),"◆",IF(AND($E57&gt;=CR$5,$E57&lt;CR$5+GanttPeriod),"◇","")),IF(AND(CR$5&lt;=$F57,CR$5+GanttPeriod-1&gt;=$E57),"━","")))</f>
        <v/>
      </c>
      <c r="CS57" s="69" t="str">
        <f aca="false">IF($E57="","",IF($M57,IF(AND($G57&gt;=CS$5,$G57&lt;CS$5+GanttPeriod),"◆",IF(AND($E57&gt;=CS$5,$E57&lt;CS$5+GanttPeriod),"◇","")),IF(AND(CS$5&lt;=$F57,CS$5+GanttPeriod-1&gt;=$E57),"━","")))</f>
        <v/>
      </c>
      <c r="CT57" s="69" t="str">
        <f aca="false">IF($E57="","",IF($M57,IF(AND($G57&gt;=CT$5,$G57&lt;CT$5+GanttPeriod),"◆",IF(AND($E57&gt;=CT$5,$E57&lt;CT$5+GanttPeriod),"◇","")),IF(AND(CT$5&lt;=$F57,CT$5+GanttPeriod-1&gt;=$E57),"━","")))</f>
        <v/>
      </c>
      <c r="CU57" s="69" t="str">
        <f aca="false">IF($E57="","",IF($M57,IF(AND($G57&gt;=CU$5,$G57&lt;CU$5+GanttPeriod),"◆",IF(AND($E57&gt;=CU$5,$E57&lt;CU$5+GanttPeriod),"◇","")),IF(AND(CU$5&lt;=$F57,CU$5+GanttPeriod-1&gt;=$E57),"━","")))</f>
        <v/>
      </c>
      <c r="CV57" s="69" t="str">
        <f aca="false">IF($E57="","",IF($M57,IF(AND($G57&gt;=CV$5,$G57&lt;CV$5+GanttPeriod),"◆",IF(AND($E57&gt;=CV$5,$E57&lt;CV$5+GanttPeriod),"◇","")),IF(AND(CV$5&lt;=$F57,CV$5+GanttPeriod-1&gt;=$E57),"━","")))</f>
        <v/>
      </c>
      <c r="CW57" s="69" t="str">
        <f aca="false">IF($E57="","",IF($M57,IF(AND($G57&gt;=CW$5,$G57&lt;CW$5+GanttPeriod),"◆",IF(AND($E57&gt;=CW$5,$E57&lt;CW$5+GanttPeriod),"◇","")),IF(AND(CW$5&lt;=$F57,CW$5+GanttPeriod-1&gt;=$E57),"━","")))</f>
        <v/>
      </c>
      <c r="CX57" s="69" t="str">
        <f aca="false">IF($E57="","",IF($M57,IF(AND($G57&gt;=CX$5,$G57&lt;CX$5+GanttPeriod),"◆",IF(AND($E57&gt;=CX$5,$E57&lt;CX$5+GanttPeriod),"◇","")),IF(AND(CX$5&lt;=$F57,CX$5+GanttPeriod-1&gt;=$E57),"━","")))</f>
        <v/>
      </c>
      <c r="CY57" s="69" t="str">
        <f aca="false">IF($E57="","",IF($M57,IF(AND($G57&gt;=CY$5,$G57&lt;CY$5+GanttPeriod),"◆",IF(AND($E57&gt;=CY$5,$E57&lt;CY$5+GanttPeriod),"◇","")),IF(AND(CY$5&lt;=$F57,CY$5+GanttPeriod-1&gt;=$E57),"━","")))</f>
        <v/>
      </c>
      <c r="CZ57" s="69" t="str">
        <f aca="false">IF($E57="","",IF($M57,IF(AND($G57&gt;=CZ$5,$G57&lt;CZ$5+GanttPeriod),"◆",IF(AND($E57&gt;=CZ$5,$E57&lt;CZ$5+GanttPeriod),"◇","")),IF(AND(CZ$5&lt;=$F57,CZ$5+GanttPeriod-1&gt;=$E57),"━","")))</f>
        <v/>
      </c>
      <c r="DA57" s="69" t="str">
        <f aca="false">IF($E57="","",IF($M57,IF(AND($G57&gt;=DA$5,$G57&lt;DA$5+GanttPeriod),"◆",IF(AND($E57&gt;=DA$5,$E57&lt;DA$5+GanttPeriod),"◇","")),IF(AND(DA$5&lt;=$F57,DA$5+GanttPeriod-1&gt;=$E57),"━","")))</f>
        <v/>
      </c>
      <c r="DB57" s="69" t="str">
        <f aca="false">IF($E57="","",IF($M57,IF(AND($G57&gt;=DB$5,$G57&lt;DB$5+GanttPeriod),"◆",IF(AND($E57&gt;=DB$5,$E57&lt;DB$5+GanttPeriod),"◇","")),IF(AND(DB$5&lt;=$F57,DB$5+GanttPeriod-1&gt;=$E57),"━","")))</f>
        <v/>
      </c>
      <c r="DC57" s="69" t="str">
        <f aca="false">IF($E57="","",IF($M57,IF(AND($G57&gt;=DC$5,$G57&lt;DC$5+GanttPeriod),"◆",IF(AND($E57&gt;=DC$5,$E57&lt;DC$5+GanttPeriod),"◇","")),IF(AND(DC$5&lt;=$F57,DC$5+GanttPeriod-1&gt;=$E57),"━","")))</f>
        <v/>
      </c>
      <c r="DD57" s="69" t="str">
        <f aca="false">IF($E57="","",IF($M57,IF(AND($G57&gt;=DD$5,$G57&lt;DD$5+GanttPeriod),"◆",IF(AND($E57&gt;=DD$5,$E57&lt;DD$5+GanttPeriod),"◇","")),IF(AND(DD$5&lt;=$F57,DD$5+GanttPeriod-1&gt;=$E57),"━","")))</f>
        <v/>
      </c>
      <c r="DE57" s="69" t="str">
        <f aca="false">IF($E57="","",IF($M57,IF(AND($G57&gt;=DE$5,$G57&lt;DE$5+GanttPeriod),"◆",IF(AND($E57&gt;=DE$5,$E57&lt;DE$5+GanttPeriod),"◇","")),IF(AND(DE$5&lt;=$F57,DE$5+GanttPeriod-1&gt;=$E57),"━","")))</f>
        <v/>
      </c>
      <c r="DF57" s="69" t="str">
        <f aca="false">IF($E57="","",IF($M57,IF(AND($G57&gt;=DF$5,$G57&lt;DF$5+GanttPeriod),"◆",IF(AND($E57&gt;=DF$5,$E57&lt;DF$5+GanttPeriod),"◇","")),IF(AND(DF$5&lt;=$F57,DF$5+GanttPeriod-1&gt;=$E57),"━","")))</f>
        <v/>
      </c>
      <c r="DG57" s="69" t="str">
        <f aca="false">IF($E57="","",IF($M57,IF(AND($G57&gt;=DG$5,$G57&lt;DG$5+GanttPeriod),"◆",IF(AND($E57&gt;=DG$5,$E57&lt;DG$5+GanttPeriod),"◇","")),IF(AND(DG$5&lt;=$F57,DG$5+GanttPeriod-1&gt;=$E57),"━","")))</f>
        <v/>
      </c>
      <c r="DH57" s="69" t="str">
        <f aca="false">IF($E57="","",IF($M57,IF(AND($G57&gt;=DH$5,$G57&lt;DH$5+GanttPeriod),"◆",IF(AND($E57&gt;=DH$5,$E57&lt;DH$5+GanttPeriod),"◇","")),IF(AND(DH$5&lt;=$F57,DH$5+GanttPeriod-1&gt;=$E57),"━","")))</f>
        <v/>
      </c>
      <c r="DI57" s="69" t="str">
        <f aca="false">IF($E57="","",IF($M57,IF(AND($G57&gt;=DI$5,$G57&lt;DI$5+GanttPeriod),"◆",IF(AND($E57&gt;=DI$5,$E57&lt;DI$5+GanttPeriod),"◇","")),IF(AND(DI$5&lt;=$F57,DI$5+GanttPeriod-1&gt;=$E57),"━","")))</f>
        <v/>
      </c>
      <c r="DJ57" s="69" t="str">
        <f aca="false">IF($E57="","",IF($M57,IF(AND($G57&gt;=DJ$5,$G57&lt;DJ$5+GanttPeriod),"◆",IF(AND($E57&gt;=DJ$5,$E57&lt;DJ$5+GanttPeriod),"◇","")),IF(AND(DJ$5&lt;=$F57,DJ$5+GanttPeriod-1&gt;=$E57),"━","")))</f>
        <v/>
      </c>
      <c r="DK57" s="69" t="str">
        <f aca="false">IF($E57="","",IF($M57,IF(AND($G57&gt;=DK$5,$G57&lt;DK$5+GanttPeriod),"◆",IF(AND($E57&gt;=DK$5,$E57&lt;DK$5+GanttPeriod),"◇","")),IF(AND(DK$5&lt;=$F57,DK$5+GanttPeriod-1&gt;=$E57),"━","")))</f>
        <v/>
      </c>
      <c r="DL57" s="69" t="str">
        <f aca="false">IF($E57="","",IF($M57,IF(AND($G57&gt;=DL$5,$G57&lt;DL$5+GanttPeriod),"◆",IF(AND($E57&gt;=DL$5,$E57&lt;DL$5+GanttPeriod),"◇","")),IF(AND(DL$5&lt;=$F57,DL$5+GanttPeriod-1&gt;=$E57),"━","")))</f>
        <v/>
      </c>
      <c r="DM57" s="69" t="str">
        <f aca="false">IF($E57="","",IF($M57,IF(AND($G57&gt;=DM$5,$G57&lt;DM$5+GanttPeriod),"◆",IF(AND($E57&gt;=DM$5,$E57&lt;DM$5+GanttPeriod),"◇","")),IF(AND(DM$5&lt;=$F57,DM$5+GanttPeriod-1&gt;=$E57),"━","")))</f>
        <v/>
      </c>
      <c r="DN57" s="69" t="str">
        <f aca="false">IF($E57="","",IF($M57,IF(AND($G57&gt;=DN$5,$G57&lt;DN$5+GanttPeriod),"◆",IF(AND($E57&gt;=DN$5,$E57&lt;DN$5+GanttPeriod),"◇","")),IF(AND(DN$5&lt;=$F57,DN$5+GanttPeriod-1&gt;=$E57),"━","")))</f>
        <v/>
      </c>
      <c r="DO57" s="69" t="str">
        <f aca="false">IF($E57="","",IF($M57,IF(AND($G57&gt;=DO$5,$G57&lt;DO$5+GanttPeriod),"◆",IF(AND($E57&gt;=DO$5,$E57&lt;DO$5+GanttPeriod),"◇","")),IF(AND(DO$5&lt;=$F57,DO$5+GanttPeriod-1&gt;=$E57),"━","")))</f>
        <v/>
      </c>
      <c r="DP57" s="69" t="str">
        <f aca="false">IF($E57="","",IF($M57,IF(AND($G57&gt;=DP$5,$G57&lt;DP$5+GanttPeriod),"◆",IF(AND($E57&gt;=DP$5,$E57&lt;DP$5+GanttPeriod),"◇","")),IF(AND(DP$5&lt;=$F57,DP$5+GanttPeriod-1&gt;=$E57),"━","")))</f>
        <v/>
      </c>
      <c r="DQ57" s="69" t="str">
        <f aca="false">IF($E57="","",IF($M57,IF(AND($G57&gt;=DQ$5,$G57&lt;DQ$5+GanttPeriod),"◆",IF(AND($E57&gt;=DQ$5,$E57&lt;DQ$5+GanttPeriod),"◇","")),IF(AND(DQ$5&lt;=$F57,DQ$5+GanttPeriod-1&gt;=$E57),"━","")))</f>
        <v/>
      </c>
      <c r="DR57" s="69" t="str">
        <f aca="false">IF($E57="","",IF($M57,IF(AND($G57&gt;=DR$5,$G57&lt;DR$5+GanttPeriod),"◆",IF(AND($E57&gt;=DR$5,$E57&lt;DR$5+GanttPeriod),"◇","")),IF(AND(DR$5&lt;=$F57,DR$5+GanttPeriod-1&gt;=$E57),"━","")))</f>
        <v/>
      </c>
      <c r="DS57" s="69" t="str">
        <f aca="false">IF($E57="","",IF($M57,IF(AND($G57&gt;=DS$5,$G57&lt;DS$5+GanttPeriod),"◆",IF(AND($E57&gt;=DS$5,$E57&lt;DS$5+GanttPeriod),"◇","")),IF(AND(DS$5&lt;=$F57,DS$5+GanttPeriod-1&gt;=$E57),"━","")))</f>
        <v/>
      </c>
      <c r="DT57" s="69" t="str">
        <f aca="false">IF($E57="","",IF($M57,IF(AND($G57&gt;=DT$5,$G57&lt;DT$5+GanttPeriod),"◆",IF(AND($E57&gt;=DT$5,$E57&lt;DT$5+GanttPeriod),"◇","")),IF(AND(DT$5&lt;=$F57,DT$5+GanttPeriod-1&gt;=$E57),"━","")))</f>
        <v/>
      </c>
      <c r="DU57" s="69" t="str">
        <f aca="false">IF($E57="","",IF($M57,IF(AND($G57&gt;=DU$5,$G57&lt;DU$5+GanttPeriod),"◆",IF(AND($E57&gt;=DU$5,$E57&lt;DU$5+GanttPeriod),"◇","")),IF(AND(DU$5&lt;=$F57,DU$5+GanttPeriod-1&gt;=$E57),"━","")))</f>
        <v/>
      </c>
      <c r="DV57" s="69" t="str">
        <f aca="false">IF($E57="","",IF($M57,IF(AND($G57&gt;=DV$5,$G57&lt;DV$5+GanttPeriod),"◆",IF(AND($E57&gt;=DV$5,$E57&lt;DV$5+GanttPeriod),"◇","")),IF(AND(DV$5&lt;=$F57,DV$5+GanttPeriod-1&gt;=$E57),"━","")))</f>
        <v/>
      </c>
      <c r="DW57" s="69" t="str">
        <f aca="false">IF($E57="","",IF($M57,IF(AND($G57&gt;=DW$5,$G57&lt;DW$5+GanttPeriod),"◆",IF(AND($E57&gt;=DW$5,$E57&lt;DW$5+GanttPeriod),"◇","")),IF(AND(DW$5&lt;=$F57,DW$5+GanttPeriod-1&gt;=$E57),"━","")))</f>
        <v/>
      </c>
      <c r="DX57" s="69" t="str">
        <f aca="false">IF($E57="","",IF($M57,IF(AND($G57&gt;=DX$5,$G57&lt;DX$5+GanttPeriod),"◆",IF(AND($E57&gt;=DX$5,$E57&lt;DX$5+GanttPeriod),"◇","")),IF(AND(DX$5&lt;=$F57,DX$5+GanttPeriod-1&gt;=$E57),"━","")))</f>
        <v/>
      </c>
      <c r="DY57" s="69" t="str">
        <f aca="false">IF($E57="","",IF($M57,IF(AND($G57&gt;=DY$5,$G57&lt;DY$5+GanttPeriod),"◆",IF(AND($E57&gt;=DY$5,$E57&lt;DY$5+GanttPeriod),"◇","")),IF(AND(DY$5&lt;=$F57,DY$5+GanttPeriod-1&gt;=$E57),"━","")))</f>
        <v/>
      </c>
      <c r="DZ57" s="69" t="str">
        <f aca="false">IF($E57="","",IF($M57,IF(AND($G57&gt;=DZ$5,$G57&lt;DZ$5+GanttPeriod),"◆",IF(AND($E57&gt;=DZ$5,$E57&lt;DZ$5+GanttPeriod),"◇","")),IF(AND(DZ$5&lt;=$F57,DZ$5+GanttPeriod-1&gt;=$E57),"━","")))</f>
        <v/>
      </c>
      <c r="EA57" s="69" t="str">
        <f aca="false">IF($E57="","",IF($M57,IF(AND($G57&gt;=EA$5,$G57&lt;EA$5+GanttPeriod),"◆",IF(AND($E57&gt;=EA$5,$E57&lt;EA$5+GanttPeriod),"◇","")),IF(AND(EA$5&lt;=$F57,EA$5+GanttPeriod-1&gt;=$E57),"━","")))</f>
        <v/>
      </c>
      <c r="EB57" s="69" t="str">
        <f aca="false">IF($E57="","",IF($M57,IF(AND($G57&gt;=EB$5,$G57&lt;EB$5+GanttPeriod),"◆",IF(AND($E57&gt;=EB$5,$E57&lt;EB$5+GanttPeriod),"◇","")),IF(AND(EB$5&lt;=$F57,EB$5+GanttPeriod-1&gt;=$E57),"━","")))</f>
        <v/>
      </c>
      <c r="EC57" s="69" t="str">
        <f aca="false">IF($E57="","",IF($M57,IF(AND($G57&gt;=EC$5,$G57&lt;EC$5+GanttPeriod),"◆",IF(AND($E57&gt;=EC$5,$E57&lt;EC$5+GanttPeriod),"◇","")),IF(AND(EC$5&lt;=$F57,EC$5+GanttPeriod-1&gt;=$E57),"━","")))</f>
        <v/>
      </c>
      <c r="ED57" s="69" t="str">
        <f aca="false">IF($E57="","",IF($M57,IF(AND($G57&gt;=ED$5,$G57&lt;ED$5+GanttPeriod),"◆",IF(AND($E57&gt;=ED$5,$E57&lt;ED$5+GanttPeriod),"◇","")),IF(AND(ED$5&lt;=$F57,ED$5+GanttPeriod-1&gt;=$E57),"━","")))</f>
        <v/>
      </c>
      <c r="EE57" s="69" t="str">
        <f aca="false">IF($E57="","",IF($M57,IF(AND($G57&gt;=EE$5,$G57&lt;EE$5+GanttPeriod),"◆",IF(AND($E57&gt;=EE$5,$E57&lt;EE$5+GanttPeriod),"◇","")),IF(AND(EE$5&lt;=$F57,EE$5+GanttPeriod-1&gt;=$E57),"━","")))</f>
        <v/>
      </c>
      <c r="EF57" s="69" t="str">
        <f aca="false">IF($E57="","",IF($M57,IF(AND($G57&gt;=EF$5,$G57&lt;EF$5+GanttPeriod),"◆",IF(AND($E57&gt;=EF$5,$E57&lt;EF$5+GanttPeriod),"◇","")),IF(AND(EF$5&lt;=$F57,EF$5+GanttPeriod-1&gt;=$E57),"━","")))</f>
        <v/>
      </c>
      <c r="EG57" s="69" t="str">
        <f aca="false">IF($E57="","",IF($M57,IF(AND($G57&gt;=EG$5,$G57&lt;EG$5+GanttPeriod),"◆",IF(AND($E57&gt;=EG$5,$E57&lt;EG$5+GanttPeriod),"◇","")),IF(AND(EG$5&lt;=$F57,EG$5+GanttPeriod-1&gt;=$E57),"━","")))</f>
        <v/>
      </c>
      <c r="EH57" s="69" t="str">
        <f aca="false">IF($E57="","",IF($M57,IF(AND($G57&gt;=EH$5,$G57&lt;EH$5+GanttPeriod),"◆",IF(AND($E57&gt;=EH$5,$E57&lt;EH$5+GanttPeriod),"◇","")),IF(AND(EH$5&lt;=$F57,EH$5+GanttPeriod-1&gt;=$E57),"━","")))</f>
        <v/>
      </c>
      <c r="EI57" s="69" t="str">
        <f aca="false">IF($E57="","",IF($M57,IF(AND($G57&gt;=EI$5,$G57&lt;EI$5+GanttPeriod),"◆",IF(AND($E57&gt;=EI$5,$E57&lt;EI$5+GanttPeriod),"◇","")),IF(AND(EI$5&lt;=$F57,EI$5+GanttPeriod-1&gt;=$E57),"━","")))</f>
        <v/>
      </c>
      <c r="EJ57" s="69" t="str">
        <f aca="false">IF($E57="","",IF($M57,IF(AND($G57&gt;=EJ$5,$G57&lt;EJ$5+GanttPeriod),"◆",IF(AND($E57&gt;=EJ$5,$E57&lt;EJ$5+GanttPeriod),"◇","")),IF(AND(EJ$5&lt;=$F57,EJ$5+GanttPeriod-1&gt;=$E57),"━","")))</f>
        <v/>
      </c>
      <c r="EK57" s="69" t="str">
        <f aca="false">IF($E57="","",IF($M57,IF(AND($G57&gt;=EK$5,$G57&lt;EK$5+GanttPeriod),"◆",IF(AND($E57&gt;=EK$5,$E57&lt;EK$5+GanttPeriod),"◇","")),IF(AND(EK$5&lt;=$F57,EK$5+GanttPeriod-1&gt;=$E57),"━","")))</f>
        <v/>
      </c>
      <c r="EL57" s="69" t="str">
        <f aca="false">IF($E57="","",IF($M57,IF(AND($G57&gt;=EL$5,$G57&lt;EL$5+GanttPeriod),"◆",IF(AND($E57&gt;=EL$5,$E57&lt;EL$5+GanttPeriod),"◇","")),IF(AND(EL$5&lt;=$F57,EL$5+GanttPeriod-1&gt;=$E57),"━","")))</f>
        <v/>
      </c>
      <c r="EM57" s="69" t="str">
        <f aca="false">IF($E57="","",IF($M57,IF(AND($G57&gt;=EM$5,$G57&lt;EM$5+GanttPeriod),"◆",IF(AND($E57&gt;=EM$5,$E57&lt;EM$5+GanttPeriod),"◇","")),IF(AND(EM$5&lt;=$F57,EM$5+GanttPeriod-1&gt;=$E57),"━","")))</f>
        <v/>
      </c>
      <c r="EN57" s="69" t="str">
        <f aca="false">IF($E57="","",IF($M57,IF(AND($G57&gt;=EN$5,$G57&lt;EN$5+GanttPeriod),"◆",IF(AND($E57&gt;=EN$5,$E57&lt;EN$5+GanttPeriod),"◇","")),IF(AND(EN$5&lt;=$F57,EN$5+GanttPeriod-1&gt;=$E57),"━","")))</f>
        <v/>
      </c>
      <c r="EO57" s="69" t="str">
        <f aca="false">IF($E57="","",IF($M57,IF(AND($G57&gt;=EO$5,$G57&lt;EO$5+GanttPeriod),"◆",IF(AND($E57&gt;=EO$5,$E57&lt;EO$5+GanttPeriod),"◇","")),IF(AND(EO$5&lt;=$F57,EO$5+GanttPeriod-1&gt;=$E57),"━","")))</f>
        <v/>
      </c>
      <c r="EP57" s="69" t="str">
        <f aca="false">IF($E57="","",IF($M57,IF(AND($G57&gt;=EP$5,$G57&lt;EP$5+GanttPeriod),"◆",IF(AND($E57&gt;=EP$5,$E57&lt;EP$5+GanttPeriod),"◇","")),IF(AND(EP$5&lt;=$F57,EP$5+GanttPeriod-1&gt;=$E57),"━","")))</f>
        <v/>
      </c>
      <c r="EQ57" s="69" t="str">
        <f aca="false">IF($E57="","",IF($M57,IF(AND($G57&gt;=EQ$5,$G57&lt;EQ$5+GanttPeriod),"◆",IF(AND($E57&gt;=EQ$5,$E57&lt;EQ$5+GanttPeriod),"◇","")),IF(AND(EQ$5&lt;=$F57,EQ$5+GanttPeriod-1&gt;=$E57),"━","")))</f>
        <v/>
      </c>
      <c r="ER57" s="69" t="str">
        <f aca="false">IF($E57="","",IF($M57,IF(AND($G57&gt;=ER$5,$G57&lt;ER$5+GanttPeriod),"◆",IF(AND($E57&gt;=ER$5,$E57&lt;ER$5+GanttPeriod),"◇","")),IF(AND(ER$5&lt;=$F57,ER$5+GanttPeriod-1&gt;=$E57),"━","")))</f>
        <v/>
      </c>
      <c r="ES57" s="69" t="str">
        <f aca="false">IF($E57="","",IF($M57,IF(AND($G57&gt;=ES$5,$G57&lt;ES$5+GanttPeriod),"◆",IF(AND($E57&gt;=ES$5,$E57&lt;ES$5+GanttPeriod),"◇","")),IF(AND(ES$5&lt;=$F57,ES$5+GanttPeriod-1&gt;=$E57),"━","")))</f>
        <v/>
      </c>
      <c r="ET57" s="69" t="str">
        <f aca="false">IF($E57="","",IF($M57,IF(AND($G57&gt;=ET$5,$G57&lt;ET$5+GanttPeriod),"◆",IF(AND($E57&gt;=ET$5,$E57&lt;ET$5+GanttPeriod),"◇","")),IF(AND(ET$5&lt;=$F57,ET$5+GanttPeriod-1&gt;=$E57),"━","")))</f>
        <v/>
      </c>
      <c r="EU57" s="69" t="str">
        <f aca="false">IF($E57="","",IF($M57,IF(AND($G57&gt;=EU$5,$G57&lt;EU$5+GanttPeriod),"◆",IF(AND($E57&gt;=EU$5,$E57&lt;EU$5+GanttPeriod),"◇","")),IF(AND(EU$5&lt;=$F57,EU$5+GanttPeriod-1&gt;=$E57),"━","")))</f>
        <v/>
      </c>
      <c r="EV57" s="69" t="str">
        <f aca="false">IF($E57="","",IF($M57,IF(AND($G57&gt;=EV$5,$G57&lt;EV$5+GanttPeriod),"◆",IF(AND($E57&gt;=EV$5,$E57&lt;EV$5+GanttPeriod),"◇","")),IF(AND(EV$5&lt;=$F57,EV$5+GanttPeriod-1&gt;=$E57),"━","")))</f>
        <v/>
      </c>
      <c r="EW57" s="69" t="str">
        <f aca="false">IF($E57="","",IF($M57,IF(AND($G57&gt;=EW$5,$G57&lt;EW$5+GanttPeriod),"◆",IF(AND($E57&gt;=EW$5,$E57&lt;EW$5+GanttPeriod),"◇","")),IF(AND(EW$5&lt;=$F57,EW$5+GanttPeriod-1&gt;=$E57),"━","")))</f>
        <v/>
      </c>
      <c r="EX57" s="69" t="str">
        <f aca="false">IF($E57="","",IF($M57,IF(AND($G57&gt;=EX$5,$G57&lt;EX$5+GanttPeriod),"◆",IF(AND($E57&gt;=EX$5,$E57&lt;EX$5+GanttPeriod),"◇","")),IF(AND(EX$5&lt;=$F57,EX$5+GanttPeriod-1&gt;=$E57),"━","")))</f>
        <v/>
      </c>
      <c r="EY57" s="69" t="str">
        <f aca="false">IF($E57="","",IF($M57,IF(AND($G57&gt;=EY$5,$G57&lt;EY$5+GanttPeriod),"◆",IF(AND($E57&gt;=EY$5,$E57&lt;EY$5+GanttPeriod),"◇","")),IF(AND(EY$5&lt;=$F57,EY$5+GanttPeriod-1&gt;=$E57),"━","")))</f>
        <v/>
      </c>
      <c r="EZ57" s="69" t="str">
        <f aca="false">IF($E57="","",IF($M57,IF(AND($G57&gt;=EZ$5,$G57&lt;EZ$5+GanttPeriod),"◆",IF(AND($E57&gt;=EZ$5,$E57&lt;EZ$5+GanttPeriod),"◇","")),IF(AND(EZ$5&lt;=$F57,EZ$5+GanttPeriod-1&gt;=$E57),"━","")))</f>
        <v/>
      </c>
      <c r="FA57" s="69" t="str">
        <f aca="false">IF($E57="","",IF($M57,IF(AND($G57&gt;=FA$5,$G57&lt;FA$5+GanttPeriod),"◆",IF(AND($E57&gt;=FA$5,$E57&lt;FA$5+GanttPeriod),"◇","")),IF(AND(FA$5&lt;=$F57,FA$5+GanttPeriod-1&gt;=$E57),"━","")))</f>
        <v/>
      </c>
      <c r="FB57" s="69" t="str">
        <f aca="false">IF($E57="","",IF($M57,IF(AND($G57&gt;=FB$5,$G57&lt;FB$5+GanttPeriod),"◆",IF(AND($E57&gt;=FB$5,$E57&lt;FB$5+GanttPeriod),"◇","")),IF(AND(FB$5&lt;=$F57,FB$5+GanttPeriod-1&gt;=$E57),"━","")))</f>
        <v/>
      </c>
      <c r="FC57" s="69" t="str">
        <f aca="false">IF($E57="","",IF($M57,IF(AND($G57&gt;=FC$5,$G57&lt;FC$5+GanttPeriod),"◆",IF(AND($E57&gt;=FC$5,$E57&lt;FC$5+GanttPeriod),"◇","")),IF(AND(FC$5&lt;=$F57,FC$5+GanttPeriod-1&gt;=$E57),"━","")))</f>
        <v/>
      </c>
      <c r="FD57" s="69" t="str">
        <f aca="false">IF($E57="","",IF($M57,IF(AND($G57&gt;=FD$5,$G57&lt;FD$5+GanttPeriod),"◆",IF(AND($E57&gt;=FD$5,$E57&lt;FD$5+GanttPeriod),"◇","")),IF(AND(FD$5&lt;=$F57,FD$5+GanttPeriod-1&gt;=$E57),"━","")))</f>
        <v/>
      </c>
      <c r="FE57" s="69" t="str">
        <f aca="false">IF($E57="","",IF($M57,IF(AND($G57&gt;=FE$5,$G57&lt;FE$5+GanttPeriod),"◆",IF(AND($E57&gt;=FE$5,$E57&lt;FE$5+GanttPeriod),"◇","")),IF(AND(FE$5&lt;=$F57,FE$5+GanttPeriod-1&gt;=$E57),"━","")))</f>
        <v/>
      </c>
      <c r="FF57" s="69" t="str">
        <f aca="false">IF($E57="","",IF($M57,IF(AND($G57&gt;=FF$5,$G57&lt;FF$5+GanttPeriod),"◆",IF(AND($E57&gt;=FF$5,$E57&lt;FF$5+GanttPeriod),"◇","")),IF(AND(FF$5&lt;=$F57,FF$5+GanttPeriod-1&gt;=$E57),"━","")))</f>
        <v/>
      </c>
      <c r="FG57" s="69" t="str">
        <f aca="false">IF($E57="","",IF($M57,IF(AND($G57&gt;=FG$5,$G57&lt;FG$5+GanttPeriod),"◆",IF(AND($E57&gt;=FG$5,$E57&lt;FG$5+GanttPeriod),"◇","")),IF(AND(FG$5&lt;=$F57,FG$5+GanttPeriod-1&gt;=$E57),"━","")))</f>
        <v/>
      </c>
      <c r="FH57" s="69" t="str">
        <f aca="false">IF($E57="","",IF($M57,IF(AND($G57&gt;=FH$5,$G57&lt;FH$5+GanttPeriod),"◆",IF(AND($E57&gt;=FH$5,$E57&lt;FH$5+GanttPeriod),"◇","")),IF(AND(FH$5&lt;=$F57,FH$5+GanttPeriod-1&gt;=$E57),"━","")))</f>
        <v/>
      </c>
      <c r="FI57" s="69" t="str">
        <f aca="false">IF($E57="","",IF($M57,IF(AND($G57&gt;=FI$5,$G57&lt;FI$5+GanttPeriod),"◆",IF(AND($E57&gt;=FI$5,$E57&lt;FI$5+GanttPeriod),"◇","")),IF(AND(FI$5&lt;=$F57,FI$5+GanttPeriod-1&gt;=$E57),"━","")))</f>
        <v/>
      </c>
      <c r="FJ57" s="69" t="str">
        <f aca="false">IF($E57="","",IF($M57,IF(AND($G57&gt;=FJ$5,$G57&lt;FJ$5+GanttPeriod),"◆",IF(AND($E57&gt;=FJ$5,$E57&lt;FJ$5+GanttPeriod),"◇","")),IF(AND(FJ$5&lt;=$F57,FJ$5+GanttPeriod-1&gt;=$E57),"━","")))</f>
        <v/>
      </c>
      <c r="FK57" s="69" t="str">
        <f aca="false">IF($E57="","",IF($M57,IF(AND($G57&gt;=FK$5,$G57&lt;FK$5+GanttPeriod),"◆",IF(AND($E57&gt;=FK$5,$E57&lt;FK$5+GanttPeriod),"◇","")),IF(AND(FK$5&lt;=$F57,FK$5+GanttPeriod-1&gt;=$E57),"━","")))</f>
        <v/>
      </c>
      <c r="FL57" s="69" t="str">
        <f aca="false">IF($E57="","",IF($M57,IF(AND($G57&gt;=FL$5,$G57&lt;FL$5+GanttPeriod),"◆",IF(AND($E57&gt;=FL$5,$E57&lt;FL$5+GanttPeriod),"◇","")),IF(AND(FL$5&lt;=$F57,FL$5+GanttPeriod-1&gt;=$E57),"━","")))</f>
        <v/>
      </c>
      <c r="FM57" s="69" t="str">
        <f aca="false">IF($E57="","",IF($M57,IF(AND($G57&gt;=FM$5,$G57&lt;FM$5+GanttPeriod),"◆",IF(AND($E57&gt;=FM$5,$E57&lt;FM$5+GanttPeriod),"◇","")),IF(AND(FM$5&lt;=$F57,FM$5+GanttPeriod-1&gt;=$E57),"━","")))</f>
        <v/>
      </c>
    </row>
    <row r="58" customFormat="false" ht="15" hidden="false" customHeight="false" outlineLevel="0" collapsed="false">
      <c r="A58" s="62" t="str">
        <f aca="false">IF(Tasks!$D58="","",Tasks!$A58)</f>
        <v/>
      </c>
      <c r="B58" s="62" t="str">
        <f aca="false">IF(Tasks!$D58="","",Tasks!$B58)</f>
        <v/>
      </c>
      <c r="C58" s="63" t="str">
        <f aca="false">IF(Tasks!$D58="","",REPT("    ",Tasks!$AE58-1)&amp;Tasks!$D58)</f>
        <v/>
      </c>
      <c r="D58" s="62" t="str">
        <f aca="false">IF(Tasks!$D58="","",IF(Tasks!$AI58,NETWORKDAYS.INTL(Tasks!$R58,Tasks!$S58,WorkWeek,Holidays),N(Tasks!$F58)))</f>
        <v/>
      </c>
      <c r="E58" s="64" t="str">
        <f aca="false">IF(Tasks!$D58="","",Tasks!$N58)</f>
        <v/>
      </c>
      <c r="F58" s="64" t="str">
        <f aca="false">IF(Tasks!$D58="","",Tasks!$O58)</f>
        <v/>
      </c>
      <c r="G58" s="64" t="str">
        <f aca="false">IF(Tasks!$D58="","",Tasks!$R58)</f>
        <v/>
      </c>
      <c r="H58" s="64" t="str">
        <f aca="false">IF(Tasks!$D58="","",Tasks!$S58)</f>
        <v/>
      </c>
      <c r="I58" s="65" t="str">
        <f aca="false">IF(Tasks!$D58="","",Tasks!$V58)</f>
        <v/>
      </c>
      <c r="J58" s="63" t="str">
        <f aca="false">IF(Tasks!$D58="","",Tasks!$X58&amp;"")</f>
        <v/>
      </c>
      <c r="K58" s="66" t="str">
        <f aca="false">IF(Tasks!$D58="","",Tasks!$W58)</f>
        <v/>
      </c>
      <c r="L58" s="67" t="b">
        <f aca="false">IF(Tasks!$D58="",FALSE(),Tasks!$AI58)</f>
        <v>0</v>
      </c>
      <c r="M58" s="67" t="b">
        <f aca="false">AND(Tasks!$AJ58=1,N(Tasks!$F58)=0)</f>
        <v>0</v>
      </c>
      <c r="N58" s="68" t="n">
        <f aca="false">IF(AND(Tasks!$AJ58=1,NOT($M58),N($I58)&gt;0),$G58,0)</f>
        <v>0</v>
      </c>
      <c r="O58" s="68" t="n">
        <f aca="false">IF($N58=0,0,IF($I58&gt;=1,$H58,MAX($N58,$G58+ROUND(($H58-$G58+1)*$I58,0)-1)))</f>
        <v>0</v>
      </c>
      <c r="P58" s="68" t="n">
        <f aca="false">IF(OR(Tasks!$AJ58&lt;&gt;1,$M58,N($I58)&gt;=1),0,IF($O58&gt;0,$O58+1,$G58))</f>
        <v>0</v>
      </c>
      <c r="Q58" s="68" t="n">
        <f aca="false">IF($P58=0,0,$H58)</f>
        <v>0</v>
      </c>
      <c r="R58" s="67" t="b">
        <f aca="false">AND(Tasks!$D58&lt;&gt;"",N(Tasks!$T58)&gt;0)</f>
        <v>0</v>
      </c>
      <c r="T58" s="69" t="str">
        <f aca="false">IF($E58="","",IF($M58,IF(AND($G58&gt;=T$5,$G58&lt;T$5+GanttPeriod),"◆",IF(AND($E58&gt;=T$5,$E58&lt;T$5+GanttPeriod),"◇","")),IF(AND(T$5&lt;=$F58,T$5+GanttPeriod-1&gt;=$E58),"━","")))</f>
        <v/>
      </c>
      <c r="U58" s="69" t="str">
        <f aca="false">IF($E58="","",IF($M58,IF(AND($G58&gt;=U$5,$G58&lt;U$5+GanttPeriod),"◆",IF(AND($E58&gt;=U$5,$E58&lt;U$5+GanttPeriod),"◇","")),IF(AND(U$5&lt;=$F58,U$5+GanttPeriod-1&gt;=$E58),"━","")))</f>
        <v/>
      </c>
      <c r="V58" s="69" t="str">
        <f aca="false">IF($E58="","",IF($M58,IF(AND($G58&gt;=V$5,$G58&lt;V$5+GanttPeriod),"◆",IF(AND($E58&gt;=V$5,$E58&lt;V$5+GanttPeriod),"◇","")),IF(AND(V$5&lt;=$F58,V$5+GanttPeriod-1&gt;=$E58),"━","")))</f>
        <v/>
      </c>
      <c r="W58" s="69" t="str">
        <f aca="false">IF($E58="","",IF($M58,IF(AND($G58&gt;=W$5,$G58&lt;W$5+GanttPeriod),"◆",IF(AND($E58&gt;=W$5,$E58&lt;W$5+GanttPeriod),"◇","")),IF(AND(W$5&lt;=$F58,W$5+GanttPeriod-1&gt;=$E58),"━","")))</f>
        <v/>
      </c>
      <c r="X58" s="69" t="str">
        <f aca="false">IF($E58="","",IF($M58,IF(AND($G58&gt;=X$5,$G58&lt;X$5+GanttPeriod),"◆",IF(AND($E58&gt;=X$5,$E58&lt;X$5+GanttPeriod),"◇","")),IF(AND(X$5&lt;=$F58,X$5+GanttPeriod-1&gt;=$E58),"━","")))</f>
        <v/>
      </c>
      <c r="Y58" s="69" t="str">
        <f aca="false">IF($E58="","",IF($M58,IF(AND($G58&gt;=Y$5,$G58&lt;Y$5+GanttPeriod),"◆",IF(AND($E58&gt;=Y$5,$E58&lt;Y$5+GanttPeriod),"◇","")),IF(AND(Y$5&lt;=$F58,Y$5+GanttPeriod-1&gt;=$E58),"━","")))</f>
        <v/>
      </c>
      <c r="Z58" s="69" t="str">
        <f aca="false">IF($E58="","",IF($M58,IF(AND($G58&gt;=Z$5,$G58&lt;Z$5+GanttPeriod),"◆",IF(AND($E58&gt;=Z$5,$E58&lt;Z$5+GanttPeriod),"◇","")),IF(AND(Z$5&lt;=$F58,Z$5+GanttPeriod-1&gt;=$E58),"━","")))</f>
        <v/>
      </c>
      <c r="AA58" s="69" t="str">
        <f aca="false">IF($E58="","",IF($M58,IF(AND($G58&gt;=AA$5,$G58&lt;AA$5+GanttPeriod),"◆",IF(AND($E58&gt;=AA$5,$E58&lt;AA$5+GanttPeriod),"◇","")),IF(AND(AA$5&lt;=$F58,AA$5+GanttPeriod-1&gt;=$E58),"━","")))</f>
        <v/>
      </c>
      <c r="AB58" s="69" t="str">
        <f aca="false">IF($E58="","",IF($M58,IF(AND($G58&gt;=AB$5,$G58&lt;AB$5+GanttPeriod),"◆",IF(AND($E58&gt;=AB$5,$E58&lt;AB$5+GanttPeriod),"◇","")),IF(AND(AB$5&lt;=$F58,AB$5+GanttPeriod-1&gt;=$E58),"━","")))</f>
        <v/>
      </c>
      <c r="AC58" s="69" t="str">
        <f aca="false">IF($E58="","",IF($M58,IF(AND($G58&gt;=AC$5,$G58&lt;AC$5+GanttPeriod),"◆",IF(AND($E58&gt;=AC$5,$E58&lt;AC$5+GanttPeriod),"◇","")),IF(AND(AC$5&lt;=$F58,AC$5+GanttPeriod-1&gt;=$E58),"━","")))</f>
        <v/>
      </c>
      <c r="AD58" s="69" t="str">
        <f aca="false">IF($E58="","",IF($M58,IF(AND($G58&gt;=AD$5,$G58&lt;AD$5+GanttPeriod),"◆",IF(AND($E58&gt;=AD$5,$E58&lt;AD$5+GanttPeriod),"◇","")),IF(AND(AD$5&lt;=$F58,AD$5+GanttPeriod-1&gt;=$E58),"━","")))</f>
        <v/>
      </c>
      <c r="AE58" s="69" t="str">
        <f aca="false">IF($E58="","",IF($M58,IF(AND($G58&gt;=AE$5,$G58&lt;AE$5+GanttPeriod),"◆",IF(AND($E58&gt;=AE$5,$E58&lt;AE$5+GanttPeriod),"◇","")),IF(AND(AE$5&lt;=$F58,AE$5+GanttPeriod-1&gt;=$E58),"━","")))</f>
        <v/>
      </c>
      <c r="AF58" s="69" t="str">
        <f aca="false">IF($E58="","",IF($M58,IF(AND($G58&gt;=AF$5,$G58&lt;AF$5+GanttPeriod),"◆",IF(AND($E58&gt;=AF$5,$E58&lt;AF$5+GanttPeriod),"◇","")),IF(AND(AF$5&lt;=$F58,AF$5+GanttPeriod-1&gt;=$E58),"━","")))</f>
        <v/>
      </c>
      <c r="AG58" s="69" t="str">
        <f aca="false">IF($E58="","",IF($M58,IF(AND($G58&gt;=AG$5,$G58&lt;AG$5+GanttPeriod),"◆",IF(AND($E58&gt;=AG$5,$E58&lt;AG$5+GanttPeriod),"◇","")),IF(AND(AG$5&lt;=$F58,AG$5+GanttPeriod-1&gt;=$E58),"━","")))</f>
        <v/>
      </c>
      <c r="AH58" s="69" t="str">
        <f aca="false">IF($E58="","",IF($M58,IF(AND($G58&gt;=AH$5,$G58&lt;AH$5+GanttPeriod),"◆",IF(AND($E58&gt;=AH$5,$E58&lt;AH$5+GanttPeriod),"◇","")),IF(AND(AH$5&lt;=$F58,AH$5+GanttPeriod-1&gt;=$E58),"━","")))</f>
        <v/>
      </c>
      <c r="AI58" s="69" t="str">
        <f aca="false">IF($E58="","",IF($M58,IF(AND($G58&gt;=AI$5,$G58&lt;AI$5+GanttPeriod),"◆",IF(AND($E58&gt;=AI$5,$E58&lt;AI$5+GanttPeriod),"◇","")),IF(AND(AI$5&lt;=$F58,AI$5+GanttPeriod-1&gt;=$E58),"━","")))</f>
        <v/>
      </c>
      <c r="AJ58" s="69" t="str">
        <f aca="false">IF($E58="","",IF($M58,IF(AND($G58&gt;=AJ$5,$G58&lt;AJ$5+GanttPeriod),"◆",IF(AND($E58&gt;=AJ$5,$E58&lt;AJ$5+GanttPeriod),"◇","")),IF(AND(AJ$5&lt;=$F58,AJ$5+GanttPeriod-1&gt;=$E58),"━","")))</f>
        <v/>
      </c>
      <c r="AK58" s="69" t="str">
        <f aca="false">IF($E58="","",IF($M58,IF(AND($G58&gt;=AK$5,$G58&lt;AK$5+GanttPeriod),"◆",IF(AND($E58&gt;=AK$5,$E58&lt;AK$5+GanttPeriod),"◇","")),IF(AND(AK$5&lt;=$F58,AK$5+GanttPeriod-1&gt;=$E58),"━","")))</f>
        <v/>
      </c>
      <c r="AL58" s="69" t="str">
        <f aca="false">IF($E58="","",IF($M58,IF(AND($G58&gt;=AL$5,$G58&lt;AL$5+GanttPeriod),"◆",IF(AND($E58&gt;=AL$5,$E58&lt;AL$5+GanttPeriod),"◇","")),IF(AND(AL$5&lt;=$F58,AL$5+GanttPeriod-1&gt;=$E58),"━","")))</f>
        <v/>
      </c>
      <c r="AM58" s="69" t="str">
        <f aca="false">IF($E58="","",IF($M58,IF(AND($G58&gt;=AM$5,$G58&lt;AM$5+GanttPeriod),"◆",IF(AND($E58&gt;=AM$5,$E58&lt;AM$5+GanttPeriod),"◇","")),IF(AND(AM$5&lt;=$F58,AM$5+GanttPeriod-1&gt;=$E58),"━","")))</f>
        <v/>
      </c>
      <c r="AN58" s="69" t="str">
        <f aca="false">IF($E58="","",IF($M58,IF(AND($G58&gt;=AN$5,$G58&lt;AN$5+GanttPeriod),"◆",IF(AND($E58&gt;=AN$5,$E58&lt;AN$5+GanttPeriod),"◇","")),IF(AND(AN$5&lt;=$F58,AN$5+GanttPeriod-1&gt;=$E58),"━","")))</f>
        <v/>
      </c>
      <c r="AO58" s="69" t="str">
        <f aca="false">IF($E58="","",IF($M58,IF(AND($G58&gt;=AO$5,$G58&lt;AO$5+GanttPeriod),"◆",IF(AND($E58&gt;=AO$5,$E58&lt;AO$5+GanttPeriod),"◇","")),IF(AND(AO$5&lt;=$F58,AO$5+GanttPeriod-1&gt;=$E58),"━","")))</f>
        <v/>
      </c>
      <c r="AP58" s="69" t="str">
        <f aca="false">IF($E58="","",IF($M58,IF(AND($G58&gt;=AP$5,$G58&lt;AP$5+GanttPeriod),"◆",IF(AND($E58&gt;=AP$5,$E58&lt;AP$5+GanttPeriod),"◇","")),IF(AND(AP$5&lt;=$F58,AP$5+GanttPeriod-1&gt;=$E58),"━","")))</f>
        <v/>
      </c>
      <c r="AQ58" s="69" t="str">
        <f aca="false">IF($E58="","",IF($M58,IF(AND($G58&gt;=AQ$5,$G58&lt;AQ$5+GanttPeriod),"◆",IF(AND($E58&gt;=AQ$5,$E58&lt;AQ$5+GanttPeriod),"◇","")),IF(AND(AQ$5&lt;=$F58,AQ$5+GanttPeriod-1&gt;=$E58),"━","")))</f>
        <v/>
      </c>
      <c r="AR58" s="69" t="str">
        <f aca="false">IF($E58="","",IF($M58,IF(AND($G58&gt;=AR$5,$G58&lt;AR$5+GanttPeriod),"◆",IF(AND($E58&gt;=AR$5,$E58&lt;AR$5+GanttPeriod),"◇","")),IF(AND(AR$5&lt;=$F58,AR$5+GanttPeriod-1&gt;=$E58),"━","")))</f>
        <v/>
      </c>
      <c r="AS58" s="69" t="str">
        <f aca="false">IF($E58="","",IF($M58,IF(AND($G58&gt;=AS$5,$G58&lt;AS$5+GanttPeriod),"◆",IF(AND($E58&gt;=AS$5,$E58&lt;AS$5+GanttPeriod),"◇","")),IF(AND(AS$5&lt;=$F58,AS$5+GanttPeriod-1&gt;=$E58),"━","")))</f>
        <v/>
      </c>
      <c r="AT58" s="69" t="str">
        <f aca="false">IF($E58="","",IF($M58,IF(AND($G58&gt;=AT$5,$G58&lt;AT$5+GanttPeriod),"◆",IF(AND($E58&gt;=AT$5,$E58&lt;AT$5+GanttPeriod),"◇","")),IF(AND(AT$5&lt;=$F58,AT$5+GanttPeriod-1&gt;=$E58),"━","")))</f>
        <v/>
      </c>
      <c r="AU58" s="69" t="str">
        <f aca="false">IF($E58="","",IF($M58,IF(AND($G58&gt;=AU$5,$G58&lt;AU$5+GanttPeriod),"◆",IF(AND($E58&gt;=AU$5,$E58&lt;AU$5+GanttPeriod),"◇","")),IF(AND(AU$5&lt;=$F58,AU$5+GanttPeriod-1&gt;=$E58),"━","")))</f>
        <v/>
      </c>
      <c r="AV58" s="69" t="str">
        <f aca="false">IF($E58="","",IF($M58,IF(AND($G58&gt;=AV$5,$G58&lt;AV$5+GanttPeriod),"◆",IF(AND($E58&gt;=AV$5,$E58&lt;AV$5+GanttPeriod),"◇","")),IF(AND(AV$5&lt;=$F58,AV$5+GanttPeriod-1&gt;=$E58),"━","")))</f>
        <v/>
      </c>
      <c r="AW58" s="69" t="str">
        <f aca="false">IF($E58="","",IF($M58,IF(AND($G58&gt;=AW$5,$G58&lt;AW$5+GanttPeriod),"◆",IF(AND($E58&gt;=AW$5,$E58&lt;AW$5+GanttPeriod),"◇","")),IF(AND(AW$5&lt;=$F58,AW$5+GanttPeriod-1&gt;=$E58),"━","")))</f>
        <v/>
      </c>
      <c r="AX58" s="69" t="str">
        <f aca="false">IF($E58="","",IF($M58,IF(AND($G58&gt;=AX$5,$G58&lt;AX$5+GanttPeriod),"◆",IF(AND($E58&gt;=AX$5,$E58&lt;AX$5+GanttPeriod),"◇","")),IF(AND(AX$5&lt;=$F58,AX$5+GanttPeriod-1&gt;=$E58),"━","")))</f>
        <v/>
      </c>
      <c r="AY58" s="69" t="str">
        <f aca="false">IF($E58="","",IF($M58,IF(AND($G58&gt;=AY$5,$G58&lt;AY$5+GanttPeriod),"◆",IF(AND($E58&gt;=AY$5,$E58&lt;AY$5+GanttPeriod),"◇","")),IF(AND(AY$5&lt;=$F58,AY$5+GanttPeriod-1&gt;=$E58),"━","")))</f>
        <v/>
      </c>
      <c r="AZ58" s="69" t="str">
        <f aca="false">IF($E58="","",IF($M58,IF(AND($G58&gt;=AZ$5,$G58&lt;AZ$5+GanttPeriod),"◆",IF(AND($E58&gt;=AZ$5,$E58&lt;AZ$5+GanttPeriod),"◇","")),IF(AND(AZ$5&lt;=$F58,AZ$5+GanttPeriod-1&gt;=$E58),"━","")))</f>
        <v/>
      </c>
      <c r="BA58" s="69" t="str">
        <f aca="false">IF($E58="","",IF($M58,IF(AND($G58&gt;=BA$5,$G58&lt;BA$5+GanttPeriod),"◆",IF(AND($E58&gt;=BA$5,$E58&lt;BA$5+GanttPeriod),"◇","")),IF(AND(BA$5&lt;=$F58,BA$5+GanttPeriod-1&gt;=$E58),"━","")))</f>
        <v/>
      </c>
      <c r="BB58" s="69" t="str">
        <f aca="false">IF($E58="","",IF($M58,IF(AND($G58&gt;=BB$5,$G58&lt;BB$5+GanttPeriod),"◆",IF(AND($E58&gt;=BB$5,$E58&lt;BB$5+GanttPeriod),"◇","")),IF(AND(BB$5&lt;=$F58,BB$5+GanttPeriod-1&gt;=$E58),"━","")))</f>
        <v/>
      </c>
      <c r="BC58" s="69" t="str">
        <f aca="false">IF($E58="","",IF($M58,IF(AND($G58&gt;=BC$5,$G58&lt;BC$5+GanttPeriod),"◆",IF(AND($E58&gt;=BC$5,$E58&lt;BC$5+GanttPeriod),"◇","")),IF(AND(BC$5&lt;=$F58,BC$5+GanttPeriod-1&gt;=$E58),"━","")))</f>
        <v/>
      </c>
      <c r="BD58" s="69" t="str">
        <f aca="false">IF($E58="","",IF($M58,IF(AND($G58&gt;=BD$5,$G58&lt;BD$5+GanttPeriod),"◆",IF(AND($E58&gt;=BD$5,$E58&lt;BD$5+GanttPeriod),"◇","")),IF(AND(BD$5&lt;=$F58,BD$5+GanttPeriod-1&gt;=$E58),"━","")))</f>
        <v/>
      </c>
      <c r="BE58" s="69" t="str">
        <f aca="false">IF($E58="","",IF($M58,IF(AND($G58&gt;=BE$5,$G58&lt;BE$5+GanttPeriod),"◆",IF(AND($E58&gt;=BE$5,$E58&lt;BE$5+GanttPeriod),"◇","")),IF(AND(BE$5&lt;=$F58,BE$5+GanttPeriod-1&gt;=$E58),"━","")))</f>
        <v/>
      </c>
      <c r="BF58" s="69" t="str">
        <f aca="false">IF($E58="","",IF($M58,IF(AND($G58&gt;=BF$5,$G58&lt;BF$5+GanttPeriod),"◆",IF(AND($E58&gt;=BF$5,$E58&lt;BF$5+GanttPeriod),"◇","")),IF(AND(BF$5&lt;=$F58,BF$5+GanttPeriod-1&gt;=$E58),"━","")))</f>
        <v/>
      </c>
      <c r="BG58" s="69" t="str">
        <f aca="false">IF($E58="","",IF($M58,IF(AND($G58&gt;=BG$5,$G58&lt;BG$5+GanttPeriod),"◆",IF(AND($E58&gt;=BG$5,$E58&lt;BG$5+GanttPeriod),"◇","")),IF(AND(BG$5&lt;=$F58,BG$5+GanttPeriod-1&gt;=$E58),"━","")))</f>
        <v/>
      </c>
      <c r="BH58" s="69" t="str">
        <f aca="false">IF($E58="","",IF($M58,IF(AND($G58&gt;=BH$5,$G58&lt;BH$5+GanttPeriod),"◆",IF(AND($E58&gt;=BH$5,$E58&lt;BH$5+GanttPeriod),"◇","")),IF(AND(BH$5&lt;=$F58,BH$5+GanttPeriod-1&gt;=$E58),"━","")))</f>
        <v/>
      </c>
      <c r="BI58" s="69" t="str">
        <f aca="false">IF($E58="","",IF($M58,IF(AND($G58&gt;=BI$5,$G58&lt;BI$5+GanttPeriod),"◆",IF(AND($E58&gt;=BI$5,$E58&lt;BI$5+GanttPeriod),"◇","")),IF(AND(BI$5&lt;=$F58,BI$5+GanttPeriod-1&gt;=$E58),"━","")))</f>
        <v/>
      </c>
      <c r="BJ58" s="69" t="str">
        <f aca="false">IF($E58="","",IF($M58,IF(AND($G58&gt;=BJ$5,$G58&lt;BJ$5+GanttPeriod),"◆",IF(AND($E58&gt;=BJ$5,$E58&lt;BJ$5+GanttPeriod),"◇","")),IF(AND(BJ$5&lt;=$F58,BJ$5+GanttPeriod-1&gt;=$E58),"━","")))</f>
        <v/>
      </c>
      <c r="BK58" s="69" t="str">
        <f aca="false">IF($E58="","",IF($M58,IF(AND($G58&gt;=BK$5,$G58&lt;BK$5+GanttPeriod),"◆",IF(AND($E58&gt;=BK$5,$E58&lt;BK$5+GanttPeriod),"◇","")),IF(AND(BK$5&lt;=$F58,BK$5+GanttPeriod-1&gt;=$E58),"━","")))</f>
        <v/>
      </c>
      <c r="BL58" s="69" t="str">
        <f aca="false">IF($E58="","",IF($M58,IF(AND($G58&gt;=BL$5,$G58&lt;BL$5+GanttPeriod),"◆",IF(AND($E58&gt;=BL$5,$E58&lt;BL$5+GanttPeriod),"◇","")),IF(AND(BL$5&lt;=$F58,BL$5+GanttPeriod-1&gt;=$E58),"━","")))</f>
        <v/>
      </c>
      <c r="BM58" s="69" t="str">
        <f aca="false">IF($E58="","",IF($M58,IF(AND($G58&gt;=BM$5,$G58&lt;BM$5+GanttPeriod),"◆",IF(AND($E58&gt;=BM$5,$E58&lt;BM$5+GanttPeriod),"◇","")),IF(AND(BM$5&lt;=$F58,BM$5+GanttPeriod-1&gt;=$E58),"━","")))</f>
        <v/>
      </c>
      <c r="BN58" s="69" t="str">
        <f aca="false">IF($E58="","",IF($M58,IF(AND($G58&gt;=BN$5,$G58&lt;BN$5+GanttPeriod),"◆",IF(AND($E58&gt;=BN$5,$E58&lt;BN$5+GanttPeriod),"◇","")),IF(AND(BN$5&lt;=$F58,BN$5+GanttPeriod-1&gt;=$E58),"━","")))</f>
        <v/>
      </c>
      <c r="BO58" s="69" t="str">
        <f aca="false">IF($E58="","",IF($M58,IF(AND($G58&gt;=BO$5,$G58&lt;BO$5+GanttPeriod),"◆",IF(AND($E58&gt;=BO$5,$E58&lt;BO$5+GanttPeriod),"◇","")),IF(AND(BO$5&lt;=$F58,BO$5+GanttPeriod-1&gt;=$E58),"━","")))</f>
        <v/>
      </c>
      <c r="BP58" s="69" t="str">
        <f aca="false">IF($E58="","",IF($M58,IF(AND($G58&gt;=BP$5,$G58&lt;BP$5+GanttPeriod),"◆",IF(AND($E58&gt;=BP$5,$E58&lt;BP$5+GanttPeriod),"◇","")),IF(AND(BP$5&lt;=$F58,BP$5+GanttPeriod-1&gt;=$E58),"━","")))</f>
        <v/>
      </c>
      <c r="BQ58" s="69" t="str">
        <f aca="false">IF($E58="","",IF($M58,IF(AND($G58&gt;=BQ$5,$G58&lt;BQ$5+GanttPeriod),"◆",IF(AND($E58&gt;=BQ$5,$E58&lt;BQ$5+GanttPeriod),"◇","")),IF(AND(BQ$5&lt;=$F58,BQ$5+GanttPeriod-1&gt;=$E58),"━","")))</f>
        <v/>
      </c>
      <c r="BR58" s="69" t="str">
        <f aca="false">IF($E58="","",IF($M58,IF(AND($G58&gt;=BR$5,$G58&lt;BR$5+GanttPeriod),"◆",IF(AND($E58&gt;=BR$5,$E58&lt;BR$5+GanttPeriod),"◇","")),IF(AND(BR$5&lt;=$F58,BR$5+GanttPeriod-1&gt;=$E58),"━","")))</f>
        <v/>
      </c>
      <c r="BS58" s="69" t="str">
        <f aca="false">IF($E58="","",IF($M58,IF(AND($G58&gt;=BS$5,$G58&lt;BS$5+GanttPeriod),"◆",IF(AND($E58&gt;=BS$5,$E58&lt;BS$5+GanttPeriod),"◇","")),IF(AND(BS$5&lt;=$F58,BS$5+GanttPeriod-1&gt;=$E58),"━","")))</f>
        <v/>
      </c>
      <c r="BT58" s="69" t="str">
        <f aca="false">IF($E58="","",IF($M58,IF(AND($G58&gt;=BT$5,$G58&lt;BT$5+GanttPeriod),"◆",IF(AND($E58&gt;=BT$5,$E58&lt;BT$5+GanttPeriod),"◇","")),IF(AND(BT$5&lt;=$F58,BT$5+GanttPeriod-1&gt;=$E58),"━","")))</f>
        <v/>
      </c>
      <c r="BU58" s="69" t="str">
        <f aca="false">IF($E58="","",IF($M58,IF(AND($G58&gt;=BU$5,$G58&lt;BU$5+GanttPeriod),"◆",IF(AND($E58&gt;=BU$5,$E58&lt;BU$5+GanttPeriod),"◇","")),IF(AND(BU$5&lt;=$F58,BU$5+GanttPeriod-1&gt;=$E58),"━","")))</f>
        <v/>
      </c>
      <c r="BV58" s="69" t="str">
        <f aca="false">IF($E58="","",IF($M58,IF(AND($G58&gt;=BV$5,$G58&lt;BV$5+GanttPeriod),"◆",IF(AND($E58&gt;=BV$5,$E58&lt;BV$5+GanttPeriod),"◇","")),IF(AND(BV$5&lt;=$F58,BV$5+GanttPeriod-1&gt;=$E58),"━","")))</f>
        <v/>
      </c>
      <c r="BW58" s="69" t="str">
        <f aca="false">IF($E58="","",IF($M58,IF(AND($G58&gt;=BW$5,$G58&lt;BW$5+GanttPeriod),"◆",IF(AND($E58&gt;=BW$5,$E58&lt;BW$5+GanttPeriod),"◇","")),IF(AND(BW$5&lt;=$F58,BW$5+GanttPeriod-1&gt;=$E58),"━","")))</f>
        <v/>
      </c>
      <c r="BX58" s="69" t="str">
        <f aca="false">IF($E58="","",IF($M58,IF(AND($G58&gt;=BX$5,$G58&lt;BX$5+GanttPeriod),"◆",IF(AND($E58&gt;=BX$5,$E58&lt;BX$5+GanttPeriod),"◇","")),IF(AND(BX$5&lt;=$F58,BX$5+GanttPeriod-1&gt;=$E58),"━","")))</f>
        <v/>
      </c>
      <c r="BY58" s="69" t="str">
        <f aca="false">IF($E58="","",IF($M58,IF(AND($G58&gt;=BY$5,$G58&lt;BY$5+GanttPeriod),"◆",IF(AND($E58&gt;=BY$5,$E58&lt;BY$5+GanttPeriod),"◇","")),IF(AND(BY$5&lt;=$F58,BY$5+GanttPeriod-1&gt;=$E58),"━","")))</f>
        <v/>
      </c>
      <c r="BZ58" s="69" t="str">
        <f aca="false">IF($E58="","",IF($M58,IF(AND($G58&gt;=BZ$5,$G58&lt;BZ$5+GanttPeriod),"◆",IF(AND($E58&gt;=BZ$5,$E58&lt;BZ$5+GanttPeriod),"◇","")),IF(AND(BZ$5&lt;=$F58,BZ$5+GanttPeriod-1&gt;=$E58),"━","")))</f>
        <v/>
      </c>
      <c r="CA58" s="69" t="str">
        <f aca="false">IF($E58="","",IF($M58,IF(AND($G58&gt;=CA$5,$G58&lt;CA$5+GanttPeriod),"◆",IF(AND($E58&gt;=CA$5,$E58&lt;CA$5+GanttPeriod),"◇","")),IF(AND(CA$5&lt;=$F58,CA$5+GanttPeriod-1&gt;=$E58),"━","")))</f>
        <v/>
      </c>
      <c r="CB58" s="69" t="str">
        <f aca="false">IF($E58="","",IF($M58,IF(AND($G58&gt;=CB$5,$G58&lt;CB$5+GanttPeriod),"◆",IF(AND($E58&gt;=CB$5,$E58&lt;CB$5+GanttPeriod),"◇","")),IF(AND(CB$5&lt;=$F58,CB$5+GanttPeriod-1&gt;=$E58),"━","")))</f>
        <v/>
      </c>
      <c r="CC58" s="69" t="str">
        <f aca="false">IF($E58="","",IF($M58,IF(AND($G58&gt;=CC$5,$G58&lt;CC$5+GanttPeriod),"◆",IF(AND($E58&gt;=CC$5,$E58&lt;CC$5+GanttPeriod),"◇","")),IF(AND(CC$5&lt;=$F58,CC$5+GanttPeriod-1&gt;=$E58),"━","")))</f>
        <v/>
      </c>
      <c r="CD58" s="69" t="str">
        <f aca="false">IF($E58="","",IF($M58,IF(AND($G58&gt;=CD$5,$G58&lt;CD$5+GanttPeriod),"◆",IF(AND($E58&gt;=CD$5,$E58&lt;CD$5+GanttPeriod),"◇","")),IF(AND(CD$5&lt;=$F58,CD$5+GanttPeriod-1&gt;=$E58),"━","")))</f>
        <v/>
      </c>
      <c r="CE58" s="69" t="str">
        <f aca="false">IF($E58="","",IF($M58,IF(AND($G58&gt;=CE$5,$G58&lt;CE$5+GanttPeriod),"◆",IF(AND($E58&gt;=CE$5,$E58&lt;CE$5+GanttPeriod),"◇","")),IF(AND(CE$5&lt;=$F58,CE$5+GanttPeriod-1&gt;=$E58),"━","")))</f>
        <v/>
      </c>
      <c r="CF58" s="69" t="str">
        <f aca="false">IF($E58="","",IF($M58,IF(AND($G58&gt;=CF$5,$G58&lt;CF$5+GanttPeriod),"◆",IF(AND($E58&gt;=CF$5,$E58&lt;CF$5+GanttPeriod),"◇","")),IF(AND(CF$5&lt;=$F58,CF$5+GanttPeriod-1&gt;=$E58),"━","")))</f>
        <v/>
      </c>
      <c r="CG58" s="69" t="str">
        <f aca="false">IF($E58="","",IF($M58,IF(AND($G58&gt;=CG$5,$G58&lt;CG$5+GanttPeriod),"◆",IF(AND($E58&gt;=CG$5,$E58&lt;CG$5+GanttPeriod),"◇","")),IF(AND(CG$5&lt;=$F58,CG$5+GanttPeriod-1&gt;=$E58),"━","")))</f>
        <v/>
      </c>
      <c r="CH58" s="69" t="str">
        <f aca="false">IF($E58="","",IF($M58,IF(AND($G58&gt;=CH$5,$G58&lt;CH$5+GanttPeriod),"◆",IF(AND($E58&gt;=CH$5,$E58&lt;CH$5+GanttPeriod),"◇","")),IF(AND(CH$5&lt;=$F58,CH$5+GanttPeriod-1&gt;=$E58),"━","")))</f>
        <v/>
      </c>
      <c r="CI58" s="69" t="str">
        <f aca="false">IF($E58="","",IF($M58,IF(AND($G58&gt;=CI$5,$G58&lt;CI$5+GanttPeriod),"◆",IF(AND($E58&gt;=CI$5,$E58&lt;CI$5+GanttPeriod),"◇","")),IF(AND(CI$5&lt;=$F58,CI$5+GanttPeriod-1&gt;=$E58),"━","")))</f>
        <v/>
      </c>
      <c r="CJ58" s="69" t="str">
        <f aca="false">IF($E58="","",IF($M58,IF(AND($G58&gt;=CJ$5,$G58&lt;CJ$5+GanttPeriod),"◆",IF(AND($E58&gt;=CJ$5,$E58&lt;CJ$5+GanttPeriod),"◇","")),IF(AND(CJ$5&lt;=$F58,CJ$5+GanttPeriod-1&gt;=$E58),"━","")))</f>
        <v/>
      </c>
      <c r="CK58" s="69" t="str">
        <f aca="false">IF($E58="","",IF($M58,IF(AND($G58&gt;=CK$5,$G58&lt;CK$5+GanttPeriod),"◆",IF(AND($E58&gt;=CK$5,$E58&lt;CK$5+GanttPeriod),"◇","")),IF(AND(CK$5&lt;=$F58,CK$5+GanttPeriod-1&gt;=$E58),"━","")))</f>
        <v/>
      </c>
      <c r="CL58" s="69" t="str">
        <f aca="false">IF($E58="","",IF($M58,IF(AND($G58&gt;=CL$5,$G58&lt;CL$5+GanttPeriod),"◆",IF(AND($E58&gt;=CL$5,$E58&lt;CL$5+GanttPeriod),"◇","")),IF(AND(CL$5&lt;=$F58,CL$5+GanttPeriod-1&gt;=$E58),"━","")))</f>
        <v/>
      </c>
      <c r="CM58" s="69" t="str">
        <f aca="false">IF($E58="","",IF($M58,IF(AND($G58&gt;=CM$5,$G58&lt;CM$5+GanttPeriod),"◆",IF(AND($E58&gt;=CM$5,$E58&lt;CM$5+GanttPeriod),"◇","")),IF(AND(CM$5&lt;=$F58,CM$5+GanttPeriod-1&gt;=$E58),"━","")))</f>
        <v/>
      </c>
      <c r="CN58" s="69" t="str">
        <f aca="false">IF($E58="","",IF($M58,IF(AND($G58&gt;=CN$5,$G58&lt;CN$5+GanttPeriod),"◆",IF(AND($E58&gt;=CN$5,$E58&lt;CN$5+GanttPeriod),"◇","")),IF(AND(CN$5&lt;=$F58,CN$5+GanttPeriod-1&gt;=$E58),"━","")))</f>
        <v/>
      </c>
      <c r="CO58" s="69" t="str">
        <f aca="false">IF($E58="","",IF($M58,IF(AND($G58&gt;=CO$5,$G58&lt;CO$5+GanttPeriod),"◆",IF(AND($E58&gt;=CO$5,$E58&lt;CO$5+GanttPeriod),"◇","")),IF(AND(CO$5&lt;=$F58,CO$5+GanttPeriod-1&gt;=$E58),"━","")))</f>
        <v/>
      </c>
      <c r="CP58" s="69" t="str">
        <f aca="false">IF($E58="","",IF($M58,IF(AND($G58&gt;=CP$5,$G58&lt;CP$5+GanttPeriod),"◆",IF(AND($E58&gt;=CP$5,$E58&lt;CP$5+GanttPeriod),"◇","")),IF(AND(CP$5&lt;=$F58,CP$5+GanttPeriod-1&gt;=$E58),"━","")))</f>
        <v/>
      </c>
      <c r="CQ58" s="69" t="str">
        <f aca="false">IF($E58="","",IF($M58,IF(AND($G58&gt;=CQ$5,$G58&lt;CQ$5+GanttPeriod),"◆",IF(AND($E58&gt;=CQ$5,$E58&lt;CQ$5+GanttPeriod),"◇","")),IF(AND(CQ$5&lt;=$F58,CQ$5+GanttPeriod-1&gt;=$E58),"━","")))</f>
        <v/>
      </c>
      <c r="CR58" s="69" t="str">
        <f aca="false">IF($E58="","",IF($M58,IF(AND($G58&gt;=CR$5,$G58&lt;CR$5+GanttPeriod),"◆",IF(AND($E58&gt;=CR$5,$E58&lt;CR$5+GanttPeriod),"◇","")),IF(AND(CR$5&lt;=$F58,CR$5+GanttPeriod-1&gt;=$E58),"━","")))</f>
        <v/>
      </c>
      <c r="CS58" s="69" t="str">
        <f aca="false">IF($E58="","",IF($M58,IF(AND($G58&gt;=CS$5,$G58&lt;CS$5+GanttPeriod),"◆",IF(AND($E58&gt;=CS$5,$E58&lt;CS$5+GanttPeriod),"◇","")),IF(AND(CS$5&lt;=$F58,CS$5+GanttPeriod-1&gt;=$E58),"━","")))</f>
        <v/>
      </c>
      <c r="CT58" s="69" t="str">
        <f aca="false">IF($E58="","",IF($M58,IF(AND($G58&gt;=CT$5,$G58&lt;CT$5+GanttPeriod),"◆",IF(AND($E58&gt;=CT$5,$E58&lt;CT$5+GanttPeriod),"◇","")),IF(AND(CT$5&lt;=$F58,CT$5+GanttPeriod-1&gt;=$E58),"━","")))</f>
        <v/>
      </c>
      <c r="CU58" s="69" t="str">
        <f aca="false">IF($E58="","",IF($M58,IF(AND($G58&gt;=CU$5,$G58&lt;CU$5+GanttPeriod),"◆",IF(AND($E58&gt;=CU$5,$E58&lt;CU$5+GanttPeriod),"◇","")),IF(AND(CU$5&lt;=$F58,CU$5+GanttPeriod-1&gt;=$E58),"━","")))</f>
        <v/>
      </c>
      <c r="CV58" s="69" t="str">
        <f aca="false">IF($E58="","",IF($M58,IF(AND($G58&gt;=CV$5,$G58&lt;CV$5+GanttPeriod),"◆",IF(AND($E58&gt;=CV$5,$E58&lt;CV$5+GanttPeriod),"◇","")),IF(AND(CV$5&lt;=$F58,CV$5+GanttPeriod-1&gt;=$E58),"━","")))</f>
        <v/>
      </c>
      <c r="CW58" s="69" t="str">
        <f aca="false">IF($E58="","",IF($M58,IF(AND($G58&gt;=CW$5,$G58&lt;CW$5+GanttPeriod),"◆",IF(AND($E58&gt;=CW$5,$E58&lt;CW$5+GanttPeriod),"◇","")),IF(AND(CW$5&lt;=$F58,CW$5+GanttPeriod-1&gt;=$E58),"━","")))</f>
        <v/>
      </c>
      <c r="CX58" s="69" t="str">
        <f aca="false">IF($E58="","",IF($M58,IF(AND($G58&gt;=CX$5,$G58&lt;CX$5+GanttPeriod),"◆",IF(AND($E58&gt;=CX$5,$E58&lt;CX$5+GanttPeriod),"◇","")),IF(AND(CX$5&lt;=$F58,CX$5+GanttPeriod-1&gt;=$E58),"━","")))</f>
        <v/>
      </c>
      <c r="CY58" s="69" t="str">
        <f aca="false">IF($E58="","",IF($M58,IF(AND($G58&gt;=CY$5,$G58&lt;CY$5+GanttPeriod),"◆",IF(AND($E58&gt;=CY$5,$E58&lt;CY$5+GanttPeriod),"◇","")),IF(AND(CY$5&lt;=$F58,CY$5+GanttPeriod-1&gt;=$E58),"━","")))</f>
        <v/>
      </c>
      <c r="CZ58" s="69" t="str">
        <f aca="false">IF($E58="","",IF($M58,IF(AND($G58&gt;=CZ$5,$G58&lt;CZ$5+GanttPeriod),"◆",IF(AND($E58&gt;=CZ$5,$E58&lt;CZ$5+GanttPeriod),"◇","")),IF(AND(CZ$5&lt;=$F58,CZ$5+GanttPeriod-1&gt;=$E58),"━","")))</f>
        <v/>
      </c>
      <c r="DA58" s="69" t="str">
        <f aca="false">IF($E58="","",IF($M58,IF(AND($G58&gt;=DA$5,$G58&lt;DA$5+GanttPeriod),"◆",IF(AND($E58&gt;=DA$5,$E58&lt;DA$5+GanttPeriod),"◇","")),IF(AND(DA$5&lt;=$F58,DA$5+GanttPeriod-1&gt;=$E58),"━","")))</f>
        <v/>
      </c>
      <c r="DB58" s="69" t="str">
        <f aca="false">IF($E58="","",IF($M58,IF(AND($G58&gt;=DB$5,$G58&lt;DB$5+GanttPeriod),"◆",IF(AND($E58&gt;=DB$5,$E58&lt;DB$5+GanttPeriod),"◇","")),IF(AND(DB$5&lt;=$F58,DB$5+GanttPeriod-1&gt;=$E58),"━","")))</f>
        <v/>
      </c>
      <c r="DC58" s="69" t="str">
        <f aca="false">IF($E58="","",IF($M58,IF(AND($G58&gt;=DC$5,$G58&lt;DC$5+GanttPeriod),"◆",IF(AND($E58&gt;=DC$5,$E58&lt;DC$5+GanttPeriod),"◇","")),IF(AND(DC$5&lt;=$F58,DC$5+GanttPeriod-1&gt;=$E58),"━","")))</f>
        <v/>
      </c>
      <c r="DD58" s="69" t="str">
        <f aca="false">IF($E58="","",IF($M58,IF(AND($G58&gt;=DD$5,$G58&lt;DD$5+GanttPeriod),"◆",IF(AND($E58&gt;=DD$5,$E58&lt;DD$5+GanttPeriod),"◇","")),IF(AND(DD$5&lt;=$F58,DD$5+GanttPeriod-1&gt;=$E58),"━","")))</f>
        <v/>
      </c>
      <c r="DE58" s="69" t="str">
        <f aca="false">IF($E58="","",IF($M58,IF(AND($G58&gt;=DE$5,$G58&lt;DE$5+GanttPeriod),"◆",IF(AND($E58&gt;=DE$5,$E58&lt;DE$5+GanttPeriod),"◇","")),IF(AND(DE$5&lt;=$F58,DE$5+GanttPeriod-1&gt;=$E58),"━","")))</f>
        <v/>
      </c>
      <c r="DF58" s="69" t="str">
        <f aca="false">IF($E58="","",IF($M58,IF(AND($G58&gt;=DF$5,$G58&lt;DF$5+GanttPeriod),"◆",IF(AND($E58&gt;=DF$5,$E58&lt;DF$5+GanttPeriod),"◇","")),IF(AND(DF$5&lt;=$F58,DF$5+GanttPeriod-1&gt;=$E58),"━","")))</f>
        <v/>
      </c>
      <c r="DG58" s="69" t="str">
        <f aca="false">IF($E58="","",IF($M58,IF(AND($G58&gt;=DG$5,$G58&lt;DG$5+GanttPeriod),"◆",IF(AND($E58&gt;=DG$5,$E58&lt;DG$5+GanttPeriod),"◇","")),IF(AND(DG$5&lt;=$F58,DG$5+GanttPeriod-1&gt;=$E58),"━","")))</f>
        <v/>
      </c>
      <c r="DH58" s="69" t="str">
        <f aca="false">IF($E58="","",IF($M58,IF(AND($G58&gt;=DH$5,$G58&lt;DH$5+GanttPeriod),"◆",IF(AND($E58&gt;=DH$5,$E58&lt;DH$5+GanttPeriod),"◇","")),IF(AND(DH$5&lt;=$F58,DH$5+GanttPeriod-1&gt;=$E58),"━","")))</f>
        <v/>
      </c>
      <c r="DI58" s="69" t="str">
        <f aca="false">IF($E58="","",IF($M58,IF(AND($G58&gt;=DI$5,$G58&lt;DI$5+GanttPeriod),"◆",IF(AND($E58&gt;=DI$5,$E58&lt;DI$5+GanttPeriod),"◇","")),IF(AND(DI$5&lt;=$F58,DI$5+GanttPeriod-1&gt;=$E58),"━","")))</f>
        <v/>
      </c>
      <c r="DJ58" s="69" t="str">
        <f aca="false">IF($E58="","",IF($M58,IF(AND($G58&gt;=DJ$5,$G58&lt;DJ$5+GanttPeriod),"◆",IF(AND($E58&gt;=DJ$5,$E58&lt;DJ$5+GanttPeriod),"◇","")),IF(AND(DJ$5&lt;=$F58,DJ$5+GanttPeriod-1&gt;=$E58),"━","")))</f>
        <v/>
      </c>
      <c r="DK58" s="69" t="str">
        <f aca="false">IF($E58="","",IF($M58,IF(AND($G58&gt;=DK$5,$G58&lt;DK$5+GanttPeriod),"◆",IF(AND($E58&gt;=DK$5,$E58&lt;DK$5+GanttPeriod),"◇","")),IF(AND(DK$5&lt;=$F58,DK$5+GanttPeriod-1&gt;=$E58),"━","")))</f>
        <v/>
      </c>
      <c r="DL58" s="69" t="str">
        <f aca="false">IF($E58="","",IF($M58,IF(AND($G58&gt;=DL$5,$G58&lt;DL$5+GanttPeriod),"◆",IF(AND($E58&gt;=DL$5,$E58&lt;DL$5+GanttPeriod),"◇","")),IF(AND(DL$5&lt;=$F58,DL$5+GanttPeriod-1&gt;=$E58),"━","")))</f>
        <v/>
      </c>
      <c r="DM58" s="69" t="str">
        <f aca="false">IF($E58="","",IF($M58,IF(AND($G58&gt;=DM$5,$G58&lt;DM$5+GanttPeriod),"◆",IF(AND($E58&gt;=DM$5,$E58&lt;DM$5+GanttPeriod),"◇","")),IF(AND(DM$5&lt;=$F58,DM$5+GanttPeriod-1&gt;=$E58),"━","")))</f>
        <v/>
      </c>
      <c r="DN58" s="69" t="str">
        <f aca="false">IF($E58="","",IF($M58,IF(AND($G58&gt;=DN$5,$G58&lt;DN$5+GanttPeriod),"◆",IF(AND($E58&gt;=DN$5,$E58&lt;DN$5+GanttPeriod),"◇","")),IF(AND(DN$5&lt;=$F58,DN$5+GanttPeriod-1&gt;=$E58),"━","")))</f>
        <v/>
      </c>
      <c r="DO58" s="69" t="str">
        <f aca="false">IF($E58="","",IF($M58,IF(AND($G58&gt;=DO$5,$G58&lt;DO$5+GanttPeriod),"◆",IF(AND($E58&gt;=DO$5,$E58&lt;DO$5+GanttPeriod),"◇","")),IF(AND(DO$5&lt;=$F58,DO$5+GanttPeriod-1&gt;=$E58),"━","")))</f>
        <v/>
      </c>
      <c r="DP58" s="69" t="str">
        <f aca="false">IF($E58="","",IF($M58,IF(AND($G58&gt;=DP$5,$G58&lt;DP$5+GanttPeriod),"◆",IF(AND($E58&gt;=DP$5,$E58&lt;DP$5+GanttPeriod),"◇","")),IF(AND(DP$5&lt;=$F58,DP$5+GanttPeriod-1&gt;=$E58),"━","")))</f>
        <v/>
      </c>
      <c r="DQ58" s="69" t="str">
        <f aca="false">IF($E58="","",IF($M58,IF(AND($G58&gt;=DQ$5,$G58&lt;DQ$5+GanttPeriod),"◆",IF(AND($E58&gt;=DQ$5,$E58&lt;DQ$5+GanttPeriod),"◇","")),IF(AND(DQ$5&lt;=$F58,DQ$5+GanttPeriod-1&gt;=$E58),"━","")))</f>
        <v/>
      </c>
      <c r="DR58" s="69" t="str">
        <f aca="false">IF($E58="","",IF($M58,IF(AND($G58&gt;=DR$5,$G58&lt;DR$5+GanttPeriod),"◆",IF(AND($E58&gt;=DR$5,$E58&lt;DR$5+GanttPeriod),"◇","")),IF(AND(DR$5&lt;=$F58,DR$5+GanttPeriod-1&gt;=$E58),"━","")))</f>
        <v/>
      </c>
      <c r="DS58" s="69" t="str">
        <f aca="false">IF($E58="","",IF($M58,IF(AND($G58&gt;=DS$5,$G58&lt;DS$5+GanttPeriod),"◆",IF(AND($E58&gt;=DS$5,$E58&lt;DS$5+GanttPeriod),"◇","")),IF(AND(DS$5&lt;=$F58,DS$5+GanttPeriod-1&gt;=$E58),"━","")))</f>
        <v/>
      </c>
      <c r="DT58" s="69" t="str">
        <f aca="false">IF($E58="","",IF($M58,IF(AND($G58&gt;=DT$5,$G58&lt;DT$5+GanttPeriod),"◆",IF(AND($E58&gt;=DT$5,$E58&lt;DT$5+GanttPeriod),"◇","")),IF(AND(DT$5&lt;=$F58,DT$5+GanttPeriod-1&gt;=$E58),"━","")))</f>
        <v/>
      </c>
      <c r="DU58" s="69" t="str">
        <f aca="false">IF($E58="","",IF($M58,IF(AND($G58&gt;=DU$5,$G58&lt;DU$5+GanttPeriod),"◆",IF(AND($E58&gt;=DU$5,$E58&lt;DU$5+GanttPeriod),"◇","")),IF(AND(DU$5&lt;=$F58,DU$5+GanttPeriod-1&gt;=$E58),"━","")))</f>
        <v/>
      </c>
      <c r="DV58" s="69" t="str">
        <f aca="false">IF($E58="","",IF($M58,IF(AND($G58&gt;=DV$5,$G58&lt;DV$5+GanttPeriod),"◆",IF(AND($E58&gt;=DV$5,$E58&lt;DV$5+GanttPeriod),"◇","")),IF(AND(DV$5&lt;=$F58,DV$5+GanttPeriod-1&gt;=$E58),"━","")))</f>
        <v/>
      </c>
      <c r="DW58" s="69" t="str">
        <f aca="false">IF($E58="","",IF($M58,IF(AND($G58&gt;=DW$5,$G58&lt;DW$5+GanttPeriod),"◆",IF(AND($E58&gt;=DW$5,$E58&lt;DW$5+GanttPeriod),"◇","")),IF(AND(DW$5&lt;=$F58,DW$5+GanttPeriod-1&gt;=$E58),"━","")))</f>
        <v/>
      </c>
      <c r="DX58" s="69" t="str">
        <f aca="false">IF($E58="","",IF($M58,IF(AND($G58&gt;=DX$5,$G58&lt;DX$5+GanttPeriod),"◆",IF(AND($E58&gt;=DX$5,$E58&lt;DX$5+GanttPeriod),"◇","")),IF(AND(DX$5&lt;=$F58,DX$5+GanttPeriod-1&gt;=$E58),"━","")))</f>
        <v/>
      </c>
      <c r="DY58" s="69" t="str">
        <f aca="false">IF($E58="","",IF($M58,IF(AND($G58&gt;=DY$5,$G58&lt;DY$5+GanttPeriod),"◆",IF(AND($E58&gt;=DY$5,$E58&lt;DY$5+GanttPeriod),"◇","")),IF(AND(DY$5&lt;=$F58,DY$5+GanttPeriod-1&gt;=$E58),"━","")))</f>
        <v/>
      </c>
      <c r="DZ58" s="69" t="str">
        <f aca="false">IF($E58="","",IF($M58,IF(AND($G58&gt;=DZ$5,$G58&lt;DZ$5+GanttPeriod),"◆",IF(AND($E58&gt;=DZ$5,$E58&lt;DZ$5+GanttPeriod),"◇","")),IF(AND(DZ$5&lt;=$F58,DZ$5+GanttPeriod-1&gt;=$E58),"━","")))</f>
        <v/>
      </c>
      <c r="EA58" s="69" t="str">
        <f aca="false">IF($E58="","",IF($M58,IF(AND($G58&gt;=EA$5,$G58&lt;EA$5+GanttPeriod),"◆",IF(AND($E58&gt;=EA$5,$E58&lt;EA$5+GanttPeriod),"◇","")),IF(AND(EA$5&lt;=$F58,EA$5+GanttPeriod-1&gt;=$E58),"━","")))</f>
        <v/>
      </c>
      <c r="EB58" s="69" t="str">
        <f aca="false">IF($E58="","",IF($M58,IF(AND($G58&gt;=EB$5,$G58&lt;EB$5+GanttPeriod),"◆",IF(AND($E58&gt;=EB$5,$E58&lt;EB$5+GanttPeriod),"◇","")),IF(AND(EB$5&lt;=$F58,EB$5+GanttPeriod-1&gt;=$E58),"━","")))</f>
        <v/>
      </c>
      <c r="EC58" s="69" t="str">
        <f aca="false">IF($E58="","",IF($M58,IF(AND($G58&gt;=EC$5,$G58&lt;EC$5+GanttPeriod),"◆",IF(AND($E58&gt;=EC$5,$E58&lt;EC$5+GanttPeriod),"◇","")),IF(AND(EC$5&lt;=$F58,EC$5+GanttPeriod-1&gt;=$E58),"━","")))</f>
        <v/>
      </c>
      <c r="ED58" s="69" t="str">
        <f aca="false">IF($E58="","",IF($M58,IF(AND($G58&gt;=ED$5,$G58&lt;ED$5+GanttPeriod),"◆",IF(AND($E58&gt;=ED$5,$E58&lt;ED$5+GanttPeriod),"◇","")),IF(AND(ED$5&lt;=$F58,ED$5+GanttPeriod-1&gt;=$E58),"━","")))</f>
        <v/>
      </c>
      <c r="EE58" s="69" t="str">
        <f aca="false">IF($E58="","",IF($M58,IF(AND($G58&gt;=EE$5,$G58&lt;EE$5+GanttPeriod),"◆",IF(AND($E58&gt;=EE$5,$E58&lt;EE$5+GanttPeriod),"◇","")),IF(AND(EE$5&lt;=$F58,EE$5+GanttPeriod-1&gt;=$E58),"━","")))</f>
        <v/>
      </c>
      <c r="EF58" s="69" t="str">
        <f aca="false">IF($E58="","",IF($M58,IF(AND($G58&gt;=EF$5,$G58&lt;EF$5+GanttPeriod),"◆",IF(AND($E58&gt;=EF$5,$E58&lt;EF$5+GanttPeriod),"◇","")),IF(AND(EF$5&lt;=$F58,EF$5+GanttPeriod-1&gt;=$E58),"━","")))</f>
        <v/>
      </c>
      <c r="EG58" s="69" t="str">
        <f aca="false">IF($E58="","",IF($M58,IF(AND($G58&gt;=EG$5,$G58&lt;EG$5+GanttPeriod),"◆",IF(AND($E58&gt;=EG$5,$E58&lt;EG$5+GanttPeriod),"◇","")),IF(AND(EG$5&lt;=$F58,EG$5+GanttPeriod-1&gt;=$E58),"━","")))</f>
        <v/>
      </c>
      <c r="EH58" s="69" t="str">
        <f aca="false">IF($E58="","",IF($M58,IF(AND($G58&gt;=EH$5,$G58&lt;EH$5+GanttPeriod),"◆",IF(AND($E58&gt;=EH$5,$E58&lt;EH$5+GanttPeriod),"◇","")),IF(AND(EH$5&lt;=$F58,EH$5+GanttPeriod-1&gt;=$E58),"━","")))</f>
        <v/>
      </c>
      <c r="EI58" s="69" t="str">
        <f aca="false">IF($E58="","",IF($M58,IF(AND($G58&gt;=EI$5,$G58&lt;EI$5+GanttPeriod),"◆",IF(AND($E58&gt;=EI$5,$E58&lt;EI$5+GanttPeriod),"◇","")),IF(AND(EI$5&lt;=$F58,EI$5+GanttPeriod-1&gt;=$E58),"━","")))</f>
        <v/>
      </c>
      <c r="EJ58" s="69" t="str">
        <f aca="false">IF($E58="","",IF($M58,IF(AND($G58&gt;=EJ$5,$G58&lt;EJ$5+GanttPeriod),"◆",IF(AND($E58&gt;=EJ$5,$E58&lt;EJ$5+GanttPeriod),"◇","")),IF(AND(EJ$5&lt;=$F58,EJ$5+GanttPeriod-1&gt;=$E58),"━","")))</f>
        <v/>
      </c>
      <c r="EK58" s="69" t="str">
        <f aca="false">IF($E58="","",IF($M58,IF(AND($G58&gt;=EK$5,$G58&lt;EK$5+GanttPeriod),"◆",IF(AND($E58&gt;=EK$5,$E58&lt;EK$5+GanttPeriod),"◇","")),IF(AND(EK$5&lt;=$F58,EK$5+GanttPeriod-1&gt;=$E58),"━","")))</f>
        <v/>
      </c>
      <c r="EL58" s="69" t="str">
        <f aca="false">IF($E58="","",IF($M58,IF(AND($G58&gt;=EL$5,$G58&lt;EL$5+GanttPeriod),"◆",IF(AND($E58&gt;=EL$5,$E58&lt;EL$5+GanttPeriod),"◇","")),IF(AND(EL$5&lt;=$F58,EL$5+GanttPeriod-1&gt;=$E58),"━","")))</f>
        <v/>
      </c>
      <c r="EM58" s="69" t="str">
        <f aca="false">IF($E58="","",IF($M58,IF(AND($G58&gt;=EM$5,$G58&lt;EM$5+GanttPeriod),"◆",IF(AND($E58&gt;=EM$5,$E58&lt;EM$5+GanttPeriod),"◇","")),IF(AND(EM$5&lt;=$F58,EM$5+GanttPeriod-1&gt;=$E58),"━","")))</f>
        <v/>
      </c>
      <c r="EN58" s="69" t="str">
        <f aca="false">IF($E58="","",IF($M58,IF(AND($G58&gt;=EN$5,$G58&lt;EN$5+GanttPeriod),"◆",IF(AND($E58&gt;=EN$5,$E58&lt;EN$5+GanttPeriod),"◇","")),IF(AND(EN$5&lt;=$F58,EN$5+GanttPeriod-1&gt;=$E58),"━","")))</f>
        <v/>
      </c>
      <c r="EO58" s="69" t="str">
        <f aca="false">IF($E58="","",IF($M58,IF(AND($G58&gt;=EO$5,$G58&lt;EO$5+GanttPeriod),"◆",IF(AND($E58&gt;=EO$5,$E58&lt;EO$5+GanttPeriod),"◇","")),IF(AND(EO$5&lt;=$F58,EO$5+GanttPeriod-1&gt;=$E58),"━","")))</f>
        <v/>
      </c>
      <c r="EP58" s="69" t="str">
        <f aca="false">IF($E58="","",IF($M58,IF(AND($G58&gt;=EP$5,$G58&lt;EP$5+GanttPeriod),"◆",IF(AND($E58&gt;=EP$5,$E58&lt;EP$5+GanttPeriod),"◇","")),IF(AND(EP$5&lt;=$F58,EP$5+GanttPeriod-1&gt;=$E58),"━","")))</f>
        <v/>
      </c>
      <c r="EQ58" s="69" t="str">
        <f aca="false">IF($E58="","",IF($M58,IF(AND($G58&gt;=EQ$5,$G58&lt;EQ$5+GanttPeriod),"◆",IF(AND($E58&gt;=EQ$5,$E58&lt;EQ$5+GanttPeriod),"◇","")),IF(AND(EQ$5&lt;=$F58,EQ$5+GanttPeriod-1&gt;=$E58),"━","")))</f>
        <v/>
      </c>
      <c r="ER58" s="69" t="str">
        <f aca="false">IF($E58="","",IF($M58,IF(AND($G58&gt;=ER$5,$G58&lt;ER$5+GanttPeriod),"◆",IF(AND($E58&gt;=ER$5,$E58&lt;ER$5+GanttPeriod),"◇","")),IF(AND(ER$5&lt;=$F58,ER$5+GanttPeriod-1&gt;=$E58),"━","")))</f>
        <v/>
      </c>
      <c r="ES58" s="69" t="str">
        <f aca="false">IF($E58="","",IF($M58,IF(AND($G58&gt;=ES$5,$G58&lt;ES$5+GanttPeriod),"◆",IF(AND($E58&gt;=ES$5,$E58&lt;ES$5+GanttPeriod),"◇","")),IF(AND(ES$5&lt;=$F58,ES$5+GanttPeriod-1&gt;=$E58),"━","")))</f>
        <v/>
      </c>
      <c r="ET58" s="69" t="str">
        <f aca="false">IF($E58="","",IF($M58,IF(AND($G58&gt;=ET$5,$G58&lt;ET$5+GanttPeriod),"◆",IF(AND($E58&gt;=ET$5,$E58&lt;ET$5+GanttPeriod),"◇","")),IF(AND(ET$5&lt;=$F58,ET$5+GanttPeriod-1&gt;=$E58),"━","")))</f>
        <v/>
      </c>
      <c r="EU58" s="69" t="str">
        <f aca="false">IF($E58="","",IF($M58,IF(AND($G58&gt;=EU$5,$G58&lt;EU$5+GanttPeriod),"◆",IF(AND($E58&gt;=EU$5,$E58&lt;EU$5+GanttPeriod),"◇","")),IF(AND(EU$5&lt;=$F58,EU$5+GanttPeriod-1&gt;=$E58),"━","")))</f>
        <v/>
      </c>
      <c r="EV58" s="69" t="str">
        <f aca="false">IF($E58="","",IF($M58,IF(AND($G58&gt;=EV$5,$G58&lt;EV$5+GanttPeriod),"◆",IF(AND($E58&gt;=EV$5,$E58&lt;EV$5+GanttPeriod),"◇","")),IF(AND(EV$5&lt;=$F58,EV$5+GanttPeriod-1&gt;=$E58),"━","")))</f>
        <v/>
      </c>
      <c r="EW58" s="69" t="str">
        <f aca="false">IF($E58="","",IF($M58,IF(AND($G58&gt;=EW$5,$G58&lt;EW$5+GanttPeriod),"◆",IF(AND($E58&gt;=EW$5,$E58&lt;EW$5+GanttPeriod),"◇","")),IF(AND(EW$5&lt;=$F58,EW$5+GanttPeriod-1&gt;=$E58),"━","")))</f>
        <v/>
      </c>
      <c r="EX58" s="69" t="str">
        <f aca="false">IF($E58="","",IF($M58,IF(AND($G58&gt;=EX$5,$G58&lt;EX$5+GanttPeriod),"◆",IF(AND($E58&gt;=EX$5,$E58&lt;EX$5+GanttPeriod),"◇","")),IF(AND(EX$5&lt;=$F58,EX$5+GanttPeriod-1&gt;=$E58),"━","")))</f>
        <v/>
      </c>
      <c r="EY58" s="69" t="str">
        <f aca="false">IF($E58="","",IF($M58,IF(AND($G58&gt;=EY$5,$G58&lt;EY$5+GanttPeriod),"◆",IF(AND($E58&gt;=EY$5,$E58&lt;EY$5+GanttPeriod),"◇","")),IF(AND(EY$5&lt;=$F58,EY$5+GanttPeriod-1&gt;=$E58),"━","")))</f>
        <v/>
      </c>
      <c r="EZ58" s="69" t="str">
        <f aca="false">IF($E58="","",IF($M58,IF(AND($G58&gt;=EZ$5,$G58&lt;EZ$5+GanttPeriod),"◆",IF(AND($E58&gt;=EZ$5,$E58&lt;EZ$5+GanttPeriod),"◇","")),IF(AND(EZ$5&lt;=$F58,EZ$5+GanttPeriod-1&gt;=$E58),"━","")))</f>
        <v/>
      </c>
      <c r="FA58" s="69" t="str">
        <f aca="false">IF($E58="","",IF($M58,IF(AND($G58&gt;=FA$5,$G58&lt;FA$5+GanttPeriod),"◆",IF(AND($E58&gt;=FA$5,$E58&lt;FA$5+GanttPeriod),"◇","")),IF(AND(FA$5&lt;=$F58,FA$5+GanttPeriod-1&gt;=$E58),"━","")))</f>
        <v/>
      </c>
      <c r="FB58" s="69" t="str">
        <f aca="false">IF($E58="","",IF($M58,IF(AND($G58&gt;=FB$5,$G58&lt;FB$5+GanttPeriod),"◆",IF(AND($E58&gt;=FB$5,$E58&lt;FB$5+GanttPeriod),"◇","")),IF(AND(FB$5&lt;=$F58,FB$5+GanttPeriod-1&gt;=$E58),"━","")))</f>
        <v/>
      </c>
      <c r="FC58" s="69" t="str">
        <f aca="false">IF($E58="","",IF($M58,IF(AND($G58&gt;=FC$5,$G58&lt;FC$5+GanttPeriod),"◆",IF(AND($E58&gt;=FC$5,$E58&lt;FC$5+GanttPeriod),"◇","")),IF(AND(FC$5&lt;=$F58,FC$5+GanttPeriod-1&gt;=$E58),"━","")))</f>
        <v/>
      </c>
      <c r="FD58" s="69" t="str">
        <f aca="false">IF($E58="","",IF($M58,IF(AND($G58&gt;=FD$5,$G58&lt;FD$5+GanttPeriod),"◆",IF(AND($E58&gt;=FD$5,$E58&lt;FD$5+GanttPeriod),"◇","")),IF(AND(FD$5&lt;=$F58,FD$5+GanttPeriod-1&gt;=$E58),"━","")))</f>
        <v/>
      </c>
      <c r="FE58" s="69" t="str">
        <f aca="false">IF($E58="","",IF($M58,IF(AND($G58&gt;=FE$5,$G58&lt;FE$5+GanttPeriod),"◆",IF(AND($E58&gt;=FE$5,$E58&lt;FE$5+GanttPeriod),"◇","")),IF(AND(FE$5&lt;=$F58,FE$5+GanttPeriod-1&gt;=$E58),"━","")))</f>
        <v/>
      </c>
      <c r="FF58" s="69" t="str">
        <f aca="false">IF($E58="","",IF($M58,IF(AND($G58&gt;=FF$5,$G58&lt;FF$5+GanttPeriod),"◆",IF(AND($E58&gt;=FF$5,$E58&lt;FF$5+GanttPeriod),"◇","")),IF(AND(FF$5&lt;=$F58,FF$5+GanttPeriod-1&gt;=$E58),"━","")))</f>
        <v/>
      </c>
      <c r="FG58" s="69" t="str">
        <f aca="false">IF($E58="","",IF($M58,IF(AND($G58&gt;=FG$5,$G58&lt;FG$5+GanttPeriod),"◆",IF(AND($E58&gt;=FG$5,$E58&lt;FG$5+GanttPeriod),"◇","")),IF(AND(FG$5&lt;=$F58,FG$5+GanttPeriod-1&gt;=$E58),"━","")))</f>
        <v/>
      </c>
      <c r="FH58" s="69" t="str">
        <f aca="false">IF($E58="","",IF($M58,IF(AND($G58&gt;=FH$5,$G58&lt;FH$5+GanttPeriod),"◆",IF(AND($E58&gt;=FH$5,$E58&lt;FH$5+GanttPeriod),"◇","")),IF(AND(FH$5&lt;=$F58,FH$5+GanttPeriod-1&gt;=$E58),"━","")))</f>
        <v/>
      </c>
      <c r="FI58" s="69" t="str">
        <f aca="false">IF($E58="","",IF($M58,IF(AND($G58&gt;=FI$5,$G58&lt;FI$5+GanttPeriod),"◆",IF(AND($E58&gt;=FI$5,$E58&lt;FI$5+GanttPeriod),"◇","")),IF(AND(FI$5&lt;=$F58,FI$5+GanttPeriod-1&gt;=$E58),"━","")))</f>
        <v/>
      </c>
      <c r="FJ58" s="69" t="str">
        <f aca="false">IF($E58="","",IF($M58,IF(AND($G58&gt;=FJ$5,$G58&lt;FJ$5+GanttPeriod),"◆",IF(AND($E58&gt;=FJ$5,$E58&lt;FJ$5+GanttPeriod),"◇","")),IF(AND(FJ$5&lt;=$F58,FJ$5+GanttPeriod-1&gt;=$E58),"━","")))</f>
        <v/>
      </c>
      <c r="FK58" s="69" t="str">
        <f aca="false">IF($E58="","",IF($M58,IF(AND($G58&gt;=FK$5,$G58&lt;FK$5+GanttPeriod),"◆",IF(AND($E58&gt;=FK$5,$E58&lt;FK$5+GanttPeriod),"◇","")),IF(AND(FK$5&lt;=$F58,FK$5+GanttPeriod-1&gt;=$E58),"━","")))</f>
        <v/>
      </c>
      <c r="FL58" s="69" t="str">
        <f aca="false">IF($E58="","",IF($M58,IF(AND($G58&gt;=FL$5,$G58&lt;FL$5+GanttPeriod),"◆",IF(AND($E58&gt;=FL$5,$E58&lt;FL$5+GanttPeriod),"◇","")),IF(AND(FL$5&lt;=$F58,FL$5+GanttPeriod-1&gt;=$E58),"━","")))</f>
        <v/>
      </c>
      <c r="FM58" s="69" t="str">
        <f aca="false">IF($E58="","",IF($M58,IF(AND($G58&gt;=FM$5,$G58&lt;FM$5+GanttPeriod),"◆",IF(AND($E58&gt;=FM$5,$E58&lt;FM$5+GanttPeriod),"◇","")),IF(AND(FM$5&lt;=$F58,FM$5+GanttPeriod-1&gt;=$E58),"━","")))</f>
        <v/>
      </c>
    </row>
    <row r="59" customFormat="false" ht="15" hidden="false" customHeight="false" outlineLevel="0" collapsed="false">
      <c r="A59" s="62" t="str">
        <f aca="false">IF(Tasks!$D59="","",Tasks!$A59)</f>
        <v/>
      </c>
      <c r="B59" s="62" t="str">
        <f aca="false">IF(Tasks!$D59="","",Tasks!$B59)</f>
        <v/>
      </c>
      <c r="C59" s="63" t="str">
        <f aca="false">IF(Tasks!$D59="","",REPT("    ",Tasks!$AE59-1)&amp;Tasks!$D59)</f>
        <v/>
      </c>
      <c r="D59" s="62" t="str">
        <f aca="false">IF(Tasks!$D59="","",IF(Tasks!$AI59,NETWORKDAYS.INTL(Tasks!$R59,Tasks!$S59,WorkWeek,Holidays),N(Tasks!$F59)))</f>
        <v/>
      </c>
      <c r="E59" s="64" t="str">
        <f aca="false">IF(Tasks!$D59="","",Tasks!$N59)</f>
        <v/>
      </c>
      <c r="F59" s="64" t="str">
        <f aca="false">IF(Tasks!$D59="","",Tasks!$O59)</f>
        <v/>
      </c>
      <c r="G59" s="64" t="str">
        <f aca="false">IF(Tasks!$D59="","",Tasks!$R59)</f>
        <v/>
      </c>
      <c r="H59" s="64" t="str">
        <f aca="false">IF(Tasks!$D59="","",Tasks!$S59)</f>
        <v/>
      </c>
      <c r="I59" s="65" t="str">
        <f aca="false">IF(Tasks!$D59="","",Tasks!$V59)</f>
        <v/>
      </c>
      <c r="J59" s="63" t="str">
        <f aca="false">IF(Tasks!$D59="","",Tasks!$X59&amp;"")</f>
        <v/>
      </c>
      <c r="K59" s="66" t="str">
        <f aca="false">IF(Tasks!$D59="","",Tasks!$W59)</f>
        <v/>
      </c>
      <c r="L59" s="67" t="b">
        <f aca="false">IF(Tasks!$D59="",FALSE(),Tasks!$AI59)</f>
        <v>0</v>
      </c>
      <c r="M59" s="67" t="b">
        <f aca="false">AND(Tasks!$AJ59=1,N(Tasks!$F59)=0)</f>
        <v>0</v>
      </c>
      <c r="N59" s="68" t="n">
        <f aca="false">IF(AND(Tasks!$AJ59=1,NOT($M59),N($I59)&gt;0),$G59,0)</f>
        <v>0</v>
      </c>
      <c r="O59" s="68" t="n">
        <f aca="false">IF($N59=0,0,IF($I59&gt;=1,$H59,MAX($N59,$G59+ROUND(($H59-$G59+1)*$I59,0)-1)))</f>
        <v>0</v>
      </c>
      <c r="P59" s="68" t="n">
        <f aca="false">IF(OR(Tasks!$AJ59&lt;&gt;1,$M59,N($I59)&gt;=1),0,IF($O59&gt;0,$O59+1,$G59))</f>
        <v>0</v>
      </c>
      <c r="Q59" s="68" t="n">
        <f aca="false">IF($P59=0,0,$H59)</f>
        <v>0</v>
      </c>
      <c r="R59" s="67" t="b">
        <f aca="false">AND(Tasks!$D59&lt;&gt;"",N(Tasks!$T59)&gt;0)</f>
        <v>0</v>
      </c>
      <c r="T59" s="69" t="str">
        <f aca="false">IF($E59="","",IF($M59,IF(AND($G59&gt;=T$5,$G59&lt;T$5+GanttPeriod),"◆",IF(AND($E59&gt;=T$5,$E59&lt;T$5+GanttPeriod),"◇","")),IF(AND(T$5&lt;=$F59,T$5+GanttPeriod-1&gt;=$E59),"━","")))</f>
        <v/>
      </c>
      <c r="U59" s="69" t="str">
        <f aca="false">IF($E59="","",IF($M59,IF(AND($G59&gt;=U$5,$G59&lt;U$5+GanttPeriod),"◆",IF(AND($E59&gt;=U$5,$E59&lt;U$5+GanttPeriod),"◇","")),IF(AND(U$5&lt;=$F59,U$5+GanttPeriod-1&gt;=$E59),"━","")))</f>
        <v/>
      </c>
      <c r="V59" s="69" t="str">
        <f aca="false">IF($E59="","",IF($M59,IF(AND($G59&gt;=V$5,$G59&lt;V$5+GanttPeriod),"◆",IF(AND($E59&gt;=V$5,$E59&lt;V$5+GanttPeriod),"◇","")),IF(AND(V$5&lt;=$F59,V$5+GanttPeriod-1&gt;=$E59),"━","")))</f>
        <v/>
      </c>
      <c r="W59" s="69" t="str">
        <f aca="false">IF($E59="","",IF($M59,IF(AND($G59&gt;=W$5,$G59&lt;W$5+GanttPeriod),"◆",IF(AND($E59&gt;=W$5,$E59&lt;W$5+GanttPeriod),"◇","")),IF(AND(W$5&lt;=$F59,W$5+GanttPeriod-1&gt;=$E59),"━","")))</f>
        <v/>
      </c>
      <c r="X59" s="69" t="str">
        <f aca="false">IF($E59="","",IF($M59,IF(AND($G59&gt;=X$5,$G59&lt;X$5+GanttPeriod),"◆",IF(AND($E59&gt;=X$5,$E59&lt;X$5+GanttPeriod),"◇","")),IF(AND(X$5&lt;=$F59,X$5+GanttPeriod-1&gt;=$E59),"━","")))</f>
        <v/>
      </c>
      <c r="Y59" s="69" t="str">
        <f aca="false">IF($E59="","",IF($M59,IF(AND($G59&gt;=Y$5,$G59&lt;Y$5+GanttPeriod),"◆",IF(AND($E59&gt;=Y$5,$E59&lt;Y$5+GanttPeriod),"◇","")),IF(AND(Y$5&lt;=$F59,Y$5+GanttPeriod-1&gt;=$E59),"━","")))</f>
        <v/>
      </c>
      <c r="Z59" s="69" t="str">
        <f aca="false">IF($E59="","",IF($M59,IF(AND($G59&gt;=Z$5,$G59&lt;Z$5+GanttPeriod),"◆",IF(AND($E59&gt;=Z$5,$E59&lt;Z$5+GanttPeriod),"◇","")),IF(AND(Z$5&lt;=$F59,Z$5+GanttPeriod-1&gt;=$E59),"━","")))</f>
        <v/>
      </c>
      <c r="AA59" s="69" t="str">
        <f aca="false">IF($E59="","",IF($M59,IF(AND($G59&gt;=AA$5,$G59&lt;AA$5+GanttPeriod),"◆",IF(AND($E59&gt;=AA$5,$E59&lt;AA$5+GanttPeriod),"◇","")),IF(AND(AA$5&lt;=$F59,AA$5+GanttPeriod-1&gt;=$E59),"━","")))</f>
        <v/>
      </c>
      <c r="AB59" s="69" t="str">
        <f aca="false">IF($E59="","",IF($M59,IF(AND($G59&gt;=AB$5,$G59&lt;AB$5+GanttPeriod),"◆",IF(AND($E59&gt;=AB$5,$E59&lt;AB$5+GanttPeriod),"◇","")),IF(AND(AB$5&lt;=$F59,AB$5+GanttPeriod-1&gt;=$E59),"━","")))</f>
        <v/>
      </c>
      <c r="AC59" s="69" t="str">
        <f aca="false">IF($E59="","",IF($M59,IF(AND($G59&gt;=AC$5,$G59&lt;AC$5+GanttPeriod),"◆",IF(AND($E59&gt;=AC$5,$E59&lt;AC$5+GanttPeriod),"◇","")),IF(AND(AC$5&lt;=$F59,AC$5+GanttPeriod-1&gt;=$E59),"━","")))</f>
        <v/>
      </c>
      <c r="AD59" s="69" t="str">
        <f aca="false">IF($E59="","",IF($M59,IF(AND($G59&gt;=AD$5,$G59&lt;AD$5+GanttPeriod),"◆",IF(AND($E59&gt;=AD$5,$E59&lt;AD$5+GanttPeriod),"◇","")),IF(AND(AD$5&lt;=$F59,AD$5+GanttPeriod-1&gt;=$E59),"━","")))</f>
        <v/>
      </c>
      <c r="AE59" s="69" t="str">
        <f aca="false">IF($E59="","",IF($M59,IF(AND($G59&gt;=AE$5,$G59&lt;AE$5+GanttPeriod),"◆",IF(AND($E59&gt;=AE$5,$E59&lt;AE$5+GanttPeriod),"◇","")),IF(AND(AE$5&lt;=$F59,AE$5+GanttPeriod-1&gt;=$E59),"━","")))</f>
        <v/>
      </c>
      <c r="AF59" s="69" t="str">
        <f aca="false">IF($E59="","",IF($M59,IF(AND($G59&gt;=AF$5,$G59&lt;AF$5+GanttPeriod),"◆",IF(AND($E59&gt;=AF$5,$E59&lt;AF$5+GanttPeriod),"◇","")),IF(AND(AF$5&lt;=$F59,AF$5+GanttPeriod-1&gt;=$E59),"━","")))</f>
        <v/>
      </c>
      <c r="AG59" s="69" t="str">
        <f aca="false">IF($E59="","",IF($M59,IF(AND($G59&gt;=AG$5,$G59&lt;AG$5+GanttPeriod),"◆",IF(AND($E59&gt;=AG$5,$E59&lt;AG$5+GanttPeriod),"◇","")),IF(AND(AG$5&lt;=$F59,AG$5+GanttPeriod-1&gt;=$E59),"━","")))</f>
        <v/>
      </c>
      <c r="AH59" s="69" t="str">
        <f aca="false">IF($E59="","",IF($M59,IF(AND($G59&gt;=AH$5,$G59&lt;AH$5+GanttPeriod),"◆",IF(AND($E59&gt;=AH$5,$E59&lt;AH$5+GanttPeriod),"◇","")),IF(AND(AH$5&lt;=$F59,AH$5+GanttPeriod-1&gt;=$E59),"━","")))</f>
        <v/>
      </c>
      <c r="AI59" s="69" t="str">
        <f aca="false">IF($E59="","",IF($M59,IF(AND($G59&gt;=AI$5,$G59&lt;AI$5+GanttPeriod),"◆",IF(AND($E59&gt;=AI$5,$E59&lt;AI$5+GanttPeriod),"◇","")),IF(AND(AI$5&lt;=$F59,AI$5+GanttPeriod-1&gt;=$E59),"━","")))</f>
        <v/>
      </c>
      <c r="AJ59" s="69" t="str">
        <f aca="false">IF($E59="","",IF($M59,IF(AND($G59&gt;=AJ$5,$G59&lt;AJ$5+GanttPeriod),"◆",IF(AND($E59&gt;=AJ$5,$E59&lt;AJ$5+GanttPeriod),"◇","")),IF(AND(AJ$5&lt;=$F59,AJ$5+GanttPeriod-1&gt;=$E59),"━","")))</f>
        <v/>
      </c>
      <c r="AK59" s="69" t="str">
        <f aca="false">IF($E59="","",IF($M59,IF(AND($G59&gt;=AK$5,$G59&lt;AK$5+GanttPeriod),"◆",IF(AND($E59&gt;=AK$5,$E59&lt;AK$5+GanttPeriod),"◇","")),IF(AND(AK$5&lt;=$F59,AK$5+GanttPeriod-1&gt;=$E59),"━","")))</f>
        <v/>
      </c>
      <c r="AL59" s="69" t="str">
        <f aca="false">IF($E59="","",IF($M59,IF(AND($G59&gt;=AL$5,$G59&lt;AL$5+GanttPeriod),"◆",IF(AND($E59&gt;=AL$5,$E59&lt;AL$5+GanttPeriod),"◇","")),IF(AND(AL$5&lt;=$F59,AL$5+GanttPeriod-1&gt;=$E59),"━","")))</f>
        <v/>
      </c>
      <c r="AM59" s="69" t="str">
        <f aca="false">IF($E59="","",IF($M59,IF(AND($G59&gt;=AM$5,$G59&lt;AM$5+GanttPeriod),"◆",IF(AND($E59&gt;=AM$5,$E59&lt;AM$5+GanttPeriod),"◇","")),IF(AND(AM$5&lt;=$F59,AM$5+GanttPeriod-1&gt;=$E59),"━","")))</f>
        <v/>
      </c>
      <c r="AN59" s="69" t="str">
        <f aca="false">IF($E59="","",IF($M59,IF(AND($G59&gt;=AN$5,$G59&lt;AN$5+GanttPeriod),"◆",IF(AND($E59&gt;=AN$5,$E59&lt;AN$5+GanttPeriod),"◇","")),IF(AND(AN$5&lt;=$F59,AN$5+GanttPeriod-1&gt;=$E59),"━","")))</f>
        <v/>
      </c>
      <c r="AO59" s="69" t="str">
        <f aca="false">IF($E59="","",IF($M59,IF(AND($G59&gt;=AO$5,$G59&lt;AO$5+GanttPeriod),"◆",IF(AND($E59&gt;=AO$5,$E59&lt;AO$5+GanttPeriod),"◇","")),IF(AND(AO$5&lt;=$F59,AO$5+GanttPeriod-1&gt;=$E59),"━","")))</f>
        <v/>
      </c>
      <c r="AP59" s="69" t="str">
        <f aca="false">IF($E59="","",IF($M59,IF(AND($G59&gt;=AP$5,$G59&lt;AP$5+GanttPeriod),"◆",IF(AND($E59&gt;=AP$5,$E59&lt;AP$5+GanttPeriod),"◇","")),IF(AND(AP$5&lt;=$F59,AP$5+GanttPeriod-1&gt;=$E59),"━","")))</f>
        <v/>
      </c>
      <c r="AQ59" s="69" t="str">
        <f aca="false">IF($E59="","",IF($M59,IF(AND($G59&gt;=AQ$5,$G59&lt;AQ$5+GanttPeriod),"◆",IF(AND($E59&gt;=AQ$5,$E59&lt;AQ$5+GanttPeriod),"◇","")),IF(AND(AQ$5&lt;=$F59,AQ$5+GanttPeriod-1&gt;=$E59),"━","")))</f>
        <v/>
      </c>
      <c r="AR59" s="69" t="str">
        <f aca="false">IF($E59="","",IF($M59,IF(AND($G59&gt;=AR$5,$G59&lt;AR$5+GanttPeriod),"◆",IF(AND($E59&gt;=AR$5,$E59&lt;AR$5+GanttPeriod),"◇","")),IF(AND(AR$5&lt;=$F59,AR$5+GanttPeriod-1&gt;=$E59),"━","")))</f>
        <v/>
      </c>
      <c r="AS59" s="69" t="str">
        <f aca="false">IF($E59="","",IF($M59,IF(AND($G59&gt;=AS$5,$G59&lt;AS$5+GanttPeriod),"◆",IF(AND($E59&gt;=AS$5,$E59&lt;AS$5+GanttPeriod),"◇","")),IF(AND(AS$5&lt;=$F59,AS$5+GanttPeriod-1&gt;=$E59),"━","")))</f>
        <v/>
      </c>
      <c r="AT59" s="69" t="str">
        <f aca="false">IF($E59="","",IF($M59,IF(AND($G59&gt;=AT$5,$G59&lt;AT$5+GanttPeriod),"◆",IF(AND($E59&gt;=AT$5,$E59&lt;AT$5+GanttPeriod),"◇","")),IF(AND(AT$5&lt;=$F59,AT$5+GanttPeriod-1&gt;=$E59),"━","")))</f>
        <v/>
      </c>
      <c r="AU59" s="69" t="str">
        <f aca="false">IF($E59="","",IF($M59,IF(AND($G59&gt;=AU$5,$G59&lt;AU$5+GanttPeriod),"◆",IF(AND($E59&gt;=AU$5,$E59&lt;AU$5+GanttPeriod),"◇","")),IF(AND(AU$5&lt;=$F59,AU$5+GanttPeriod-1&gt;=$E59),"━","")))</f>
        <v/>
      </c>
      <c r="AV59" s="69" t="str">
        <f aca="false">IF($E59="","",IF($M59,IF(AND($G59&gt;=AV$5,$G59&lt;AV$5+GanttPeriod),"◆",IF(AND($E59&gt;=AV$5,$E59&lt;AV$5+GanttPeriod),"◇","")),IF(AND(AV$5&lt;=$F59,AV$5+GanttPeriod-1&gt;=$E59),"━","")))</f>
        <v/>
      </c>
      <c r="AW59" s="69" t="str">
        <f aca="false">IF($E59="","",IF($M59,IF(AND($G59&gt;=AW$5,$G59&lt;AW$5+GanttPeriod),"◆",IF(AND($E59&gt;=AW$5,$E59&lt;AW$5+GanttPeriod),"◇","")),IF(AND(AW$5&lt;=$F59,AW$5+GanttPeriod-1&gt;=$E59),"━","")))</f>
        <v/>
      </c>
      <c r="AX59" s="69" t="str">
        <f aca="false">IF($E59="","",IF($M59,IF(AND($G59&gt;=AX$5,$G59&lt;AX$5+GanttPeriod),"◆",IF(AND($E59&gt;=AX$5,$E59&lt;AX$5+GanttPeriod),"◇","")),IF(AND(AX$5&lt;=$F59,AX$5+GanttPeriod-1&gt;=$E59),"━","")))</f>
        <v/>
      </c>
      <c r="AY59" s="69" t="str">
        <f aca="false">IF($E59="","",IF($M59,IF(AND($G59&gt;=AY$5,$G59&lt;AY$5+GanttPeriod),"◆",IF(AND($E59&gt;=AY$5,$E59&lt;AY$5+GanttPeriod),"◇","")),IF(AND(AY$5&lt;=$F59,AY$5+GanttPeriod-1&gt;=$E59),"━","")))</f>
        <v/>
      </c>
      <c r="AZ59" s="69" t="str">
        <f aca="false">IF($E59="","",IF($M59,IF(AND($G59&gt;=AZ$5,$G59&lt;AZ$5+GanttPeriod),"◆",IF(AND($E59&gt;=AZ$5,$E59&lt;AZ$5+GanttPeriod),"◇","")),IF(AND(AZ$5&lt;=$F59,AZ$5+GanttPeriod-1&gt;=$E59),"━","")))</f>
        <v/>
      </c>
      <c r="BA59" s="69" t="str">
        <f aca="false">IF($E59="","",IF($M59,IF(AND($G59&gt;=BA$5,$G59&lt;BA$5+GanttPeriod),"◆",IF(AND($E59&gt;=BA$5,$E59&lt;BA$5+GanttPeriod),"◇","")),IF(AND(BA$5&lt;=$F59,BA$5+GanttPeriod-1&gt;=$E59),"━","")))</f>
        <v/>
      </c>
      <c r="BB59" s="69" t="str">
        <f aca="false">IF($E59="","",IF($M59,IF(AND($G59&gt;=BB$5,$G59&lt;BB$5+GanttPeriod),"◆",IF(AND($E59&gt;=BB$5,$E59&lt;BB$5+GanttPeriod),"◇","")),IF(AND(BB$5&lt;=$F59,BB$5+GanttPeriod-1&gt;=$E59),"━","")))</f>
        <v/>
      </c>
      <c r="BC59" s="69" t="str">
        <f aca="false">IF($E59="","",IF($M59,IF(AND($G59&gt;=BC$5,$G59&lt;BC$5+GanttPeriod),"◆",IF(AND($E59&gt;=BC$5,$E59&lt;BC$5+GanttPeriod),"◇","")),IF(AND(BC$5&lt;=$F59,BC$5+GanttPeriod-1&gt;=$E59),"━","")))</f>
        <v/>
      </c>
      <c r="BD59" s="69" t="str">
        <f aca="false">IF($E59="","",IF($M59,IF(AND($G59&gt;=BD$5,$G59&lt;BD$5+GanttPeriod),"◆",IF(AND($E59&gt;=BD$5,$E59&lt;BD$5+GanttPeriod),"◇","")),IF(AND(BD$5&lt;=$F59,BD$5+GanttPeriod-1&gt;=$E59),"━","")))</f>
        <v/>
      </c>
      <c r="BE59" s="69" t="str">
        <f aca="false">IF($E59="","",IF($M59,IF(AND($G59&gt;=BE$5,$G59&lt;BE$5+GanttPeriod),"◆",IF(AND($E59&gt;=BE$5,$E59&lt;BE$5+GanttPeriod),"◇","")),IF(AND(BE$5&lt;=$F59,BE$5+GanttPeriod-1&gt;=$E59),"━","")))</f>
        <v/>
      </c>
      <c r="BF59" s="69" t="str">
        <f aca="false">IF($E59="","",IF($M59,IF(AND($G59&gt;=BF$5,$G59&lt;BF$5+GanttPeriod),"◆",IF(AND($E59&gt;=BF$5,$E59&lt;BF$5+GanttPeriod),"◇","")),IF(AND(BF$5&lt;=$F59,BF$5+GanttPeriod-1&gt;=$E59),"━","")))</f>
        <v/>
      </c>
      <c r="BG59" s="69" t="str">
        <f aca="false">IF($E59="","",IF($M59,IF(AND($G59&gt;=BG$5,$G59&lt;BG$5+GanttPeriod),"◆",IF(AND($E59&gt;=BG$5,$E59&lt;BG$5+GanttPeriod),"◇","")),IF(AND(BG$5&lt;=$F59,BG$5+GanttPeriod-1&gt;=$E59),"━","")))</f>
        <v/>
      </c>
      <c r="BH59" s="69" t="str">
        <f aca="false">IF($E59="","",IF($M59,IF(AND($G59&gt;=BH$5,$G59&lt;BH$5+GanttPeriod),"◆",IF(AND($E59&gt;=BH$5,$E59&lt;BH$5+GanttPeriod),"◇","")),IF(AND(BH$5&lt;=$F59,BH$5+GanttPeriod-1&gt;=$E59),"━","")))</f>
        <v/>
      </c>
      <c r="BI59" s="69" t="str">
        <f aca="false">IF($E59="","",IF($M59,IF(AND($G59&gt;=BI$5,$G59&lt;BI$5+GanttPeriod),"◆",IF(AND($E59&gt;=BI$5,$E59&lt;BI$5+GanttPeriod),"◇","")),IF(AND(BI$5&lt;=$F59,BI$5+GanttPeriod-1&gt;=$E59),"━","")))</f>
        <v/>
      </c>
      <c r="BJ59" s="69" t="str">
        <f aca="false">IF($E59="","",IF($M59,IF(AND($G59&gt;=BJ$5,$G59&lt;BJ$5+GanttPeriod),"◆",IF(AND($E59&gt;=BJ$5,$E59&lt;BJ$5+GanttPeriod),"◇","")),IF(AND(BJ$5&lt;=$F59,BJ$5+GanttPeriod-1&gt;=$E59),"━","")))</f>
        <v/>
      </c>
      <c r="BK59" s="69" t="str">
        <f aca="false">IF($E59="","",IF($M59,IF(AND($G59&gt;=BK$5,$G59&lt;BK$5+GanttPeriod),"◆",IF(AND($E59&gt;=BK$5,$E59&lt;BK$5+GanttPeriod),"◇","")),IF(AND(BK$5&lt;=$F59,BK$5+GanttPeriod-1&gt;=$E59),"━","")))</f>
        <v/>
      </c>
      <c r="BL59" s="69" t="str">
        <f aca="false">IF($E59="","",IF($M59,IF(AND($G59&gt;=BL$5,$G59&lt;BL$5+GanttPeriod),"◆",IF(AND($E59&gt;=BL$5,$E59&lt;BL$5+GanttPeriod),"◇","")),IF(AND(BL$5&lt;=$F59,BL$5+GanttPeriod-1&gt;=$E59),"━","")))</f>
        <v/>
      </c>
      <c r="BM59" s="69" t="str">
        <f aca="false">IF($E59="","",IF($M59,IF(AND($G59&gt;=BM$5,$G59&lt;BM$5+GanttPeriod),"◆",IF(AND($E59&gt;=BM$5,$E59&lt;BM$5+GanttPeriod),"◇","")),IF(AND(BM$5&lt;=$F59,BM$5+GanttPeriod-1&gt;=$E59),"━","")))</f>
        <v/>
      </c>
      <c r="BN59" s="69" t="str">
        <f aca="false">IF($E59="","",IF($M59,IF(AND($G59&gt;=BN$5,$G59&lt;BN$5+GanttPeriod),"◆",IF(AND($E59&gt;=BN$5,$E59&lt;BN$5+GanttPeriod),"◇","")),IF(AND(BN$5&lt;=$F59,BN$5+GanttPeriod-1&gt;=$E59),"━","")))</f>
        <v/>
      </c>
      <c r="BO59" s="69" t="str">
        <f aca="false">IF($E59="","",IF($M59,IF(AND($G59&gt;=BO$5,$G59&lt;BO$5+GanttPeriod),"◆",IF(AND($E59&gt;=BO$5,$E59&lt;BO$5+GanttPeriod),"◇","")),IF(AND(BO$5&lt;=$F59,BO$5+GanttPeriod-1&gt;=$E59),"━","")))</f>
        <v/>
      </c>
      <c r="BP59" s="69" t="str">
        <f aca="false">IF($E59="","",IF($M59,IF(AND($G59&gt;=BP$5,$G59&lt;BP$5+GanttPeriod),"◆",IF(AND($E59&gt;=BP$5,$E59&lt;BP$5+GanttPeriod),"◇","")),IF(AND(BP$5&lt;=$F59,BP$5+GanttPeriod-1&gt;=$E59),"━","")))</f>
        <v/>
      </c>
      <c r="BQ59" s="69" t="str">
        <f aca="false">IF($E59="","",IF($M59,IF(AND($G59&gt;=BQ$5,$G59&lt;BQ$5+GanttPeriod),"◆",IF(AND($E59&gt;=BQ$5,$E59&lt;BQ$5+GanttPeriod),"◇","")),IF(AND(BQ$5&lt;=$F59,BQ$5+GanttPeriod-1&gt;=$E59),"━","")))</f>
        <v/>
      </c>
      <c r="BR59" s="69" t="str">
        <f aca="false">IF($E59="","",IF($M59,IF(AND($G59&gt;=BR$5,$G59&lt;BR$5+GanttPeriod),"◆",IF(AND($E59&gt;=BR$5,$E59&lt;BR$5+GanttPeriod),"◇","")),IF(AND(BR$5&lt;=$F59,BR$5+GanttPeriod-1&gt;=$E59),"━","")))</f>
        <v/>
      </c>
      <c r="BS59" s="69" t="str">
        <f aca="false">IF($E59="","",IF($M59,IF(AND($G59&gt;=BS$5,$G59&lt;BS$5+GanttPeriod),"◆",IF(AND($E59&gt;=BS$5,$E59&lt;BS$5+GanttPeriod),"◇","")),IF(AND(BS$5&lt;=$F59,BS$5+GanttPeriod-1&gt;=$E59),"━","")))</f>
        <v/>
      </c>
      <c r="BT59" s="69" t="str">
        <f aca="false">IF($E59="","",IF($M59,IF(AND($G59&gt;=BT$5,$G59&lt;BT$5+GanttPeriod),"◆",IF(AND($E59&gt;=BT$5,$E59&lt;BT$5+GanttPeriod),"◇","")),IF(AND(BT$5&lt;=$F59,BT$5+GanttPeriod-1&gt;=$E59),"━","")))</f>
        <v/>
      </c>
      <c r="BU59" s="69" t="str">
        <f aca="false">IF($E59="","",IF($M59,IF(AND($G59&gt;=BU$5,$G59&lt;BU$5+GanttPeriod),"◆",IF(AND($E59&gt;=BU$5,$E59&lt;BU$5+GanttPeriod),"◇","")),IF(AND(BU$5&lt;=$F59,BU$5+GanttPeriod-1&gt;=$E59),"━","")))</f>
        <v/>
      </c>
      <c r="BV59" s="69" t="str">
        <f aca="false">IF($E59="","",IF($M59,IF(AND($G59&gt;=BV$5,$G59&lt;BV$5+GanttPeriod),"◆",IF(AND($E59&gt;=BV$5,$E59&lt;BV$5+GanttPeriod),"◇","")),IF(AND(BV$5&lt;=$F59,BV$5+GanttPeriod-1&gt;=$E59),"━","")))</f>
        <v/>
      </c>
      <c r="BW59" s="69" t="str">
        <f aca="false">IF($E59="","",IF($M59,IF(AND($G59&gt;=BW$5,$G59&lt;BW$5+GanttPeriod),"◆",IF(AND($E59&gt;=BW$5,$E59&lt;BW$5+GanttPeriod),"◇","")),IF(AND(BW$5&lt;=$F59,BW$5+GanttPeriod-1&gt;=$E59),"━","")))</f>
        <v/>
      </c>
      <c r="BX59" s="69" t="str">
        <f aca="false">IF($E59="","",IF($M59,IF(AND($G59&gt;=BX$5,$G59&lt;BX$5+GanttPeriod),"◆",IF(AND($E59&gt;=BX$5,$E59&lt;BX$5+GanttPeriod),"◇","")),IF(AND(BX$5&lt;=$F59,BX$5+GanttPeriod-1&gt;=$E59),"━","")))</f>
        <v/>
      </c>
      <c r="BY59" s="69" t="str">
        <f aca="false">IF($E59="","",IF($M59,IF(AND($G59&gt;=BY$5,$G59&lt;BY$5+GanttPeriod),"◆",IF(AND($E59&gt;=BY$5,$E59&lt;BY$5+GanttPeriod),"◇","")),IF(AND(BY$5&lt;=$F59,BY$5+GanttPeriod-1&gt;=$E59),"━","")))</f>
        <v/>
      </c>
      <c r="BZ59" s="69" t="str">
        <f aca="false">IF($E59="","",IF($M59,IF(AND($G59&gt;=BZ$5,$G59&lt;BZ$5+GanttPeriod),"◆",IF(AND($E59&gt;=BZ$5,$E59&lt;BZ$5+GanttPeriod),"◇","")),IF(AND(BZ$5&lt;=$F59,BZ$5+GanttPeriod-1&gt;=$E59),"━","")))</f>
        <v/>
      </c>
      <c r="CA59" s="69" t="str">
        <f aca="false">IF($E59="","",IF($M59,IF(AND($G59&gt;=CA$5,$G59&lt;CA$5+GanttPeriod),"◆",IF(AND($E59&gt;=CA$5,$E59&lt;CA$5+GanttPeriod),"◇","")),IF(AND(CA$5&lt;=$F59,CA$5+GanttPeriod-1&gt;=$E59),"━","")))</f>
        <v/>
      </c>
      <c r="CB59" s="69" t="str">
        <f aca="false">IF($E59="","",IF($M59,IF(AND($G59&gt;=CB$5,$G59&lt;CB$5+GanttPeriod),"◆",IF(AND($E59&gt;=CB$5,$E59&lt;CB$5+GanttPeriod),"◇","")),IF(AND(CB$5&lt;=$F59,CB$5+GanttPeriod-1&gt;=$E59),"━","")))</f>
        <v/>
      </c>
      <c r="CC59" s="69" t="str">
        <f aca="false">IF($E59="","",IF($M59,IF(AND($G59&gt;=CC$5,$G59&lt;CC$5+GanttPeriod),"◆",IF(AND($E59&gt;=CC$5,$E59&lt;CC$5+GanttPeriod),"◇","")),IF(AND(CC$5&lt;=$F59,CC$5+GanttPeriod-1&gt;=$E59),"━","")))</f>
        <v/>
      </c>
      <c r="CD59" s="69" t="str">
        <f aca="false">IF($E59="","",IF($M59,IF(AND($G59&gt;=CD$5,$G59&lt;CD$5+GanttPeriod),"◆",IF(AND($E59&gt;=CD$5,$E59&lt;CD$5+GanttPeriod),"◇","")),IF(AND(CD$5&lt;=$F59,CD$5+GanttPeriod-1&gt;=$E59),"━","")))</f>
        <v/>
      </c>
      <c r="CE59" s="69" t="str">
        <f aca="false">IF($E59="","",IF($M59,IF(AND($G59&gt;=CE$5,$G59&lt;CE$5+GanttPeriod),"◆",IF(AND($E59&gt;=CE$5,$E59&lt;CE$5+GanttPeriod),"◇","")),IF(AND(CE$5&lt;=$F59,CE$5+GanttPeriod-1&gt;=$E59),"━","")))</f>
        <v/>
      </c>
      <c r="CF59" s="69" t="str">
        <f aca="false">IF($E59="","",IF($M59,IF(AND($G59&gt;=CF$5,$G59&lt;CF$5+GanttPeriod),"◆",IF(AND($E59&gt;=CF$5,$E59&lt;CF$5+GanttPeriod),"◇","")),IF(AND(CF$5&lt;=$F59,CF$5+GanttPeriod-1&gt;=$E59),"━","")))</f>
        <v/>
      </c>
      <c r="CG59" s="69" t="str">
        <f aca="false">IF($E59="","",IF($M59,IF(AND($G59&gt;=CG$5,$G59&lt;CG$5+GanttPeriod),"◆",IF(AND($E59&gt;=CG$5,$E59&lt;CG$5+GanttPeriod),"◇","")),IF(AND(CG$5&lt;=$F59,CG$5+GanttPeriod-1&gt;=$E59),"━","")))</f>
        <v/>
      </c>
      <c r="CH59" s="69" t="str">
        <f aca="false">IF($E59="","",IF($M59,IF(AND($G59&gt;=CH$5,$G59&lt;CH$5+GanttPeriod),"◆",IF(AND($E59&gt;=CH$5,$E59&lt;CH$5+GanttPeriod),"◇","")),IF(AND(CH$5&lt;=$F59,CH$5+GanttPeriod-1&gt;=$E59),"━","")))</f>
        <v/>
      </c>
      <c r="CI59" s="69" t="str">
        <f aca="false">IF($E59="","",IF($M59,IF(AND($G59&gt;=CI$5,$G59&lt;CI$5+GanttPeriod),"◆",IF(AND($E59&gt;=CI$5,$E59&lt;CI$5+GanttPeriod),"◇","")),IF(AND(CI$5&lt;=$F59,CI$5+GanttPeriod-1&gt;=$E59),"━","")))</f>
        <v/>
      </c>
      <c r="CJ59" s="69" t="str">
        <f aca="false">IF($E59="","",IF($M59,IF(AND($G59&gt;=CJ$5,$G59&lt;CJ$5+GanttPeriod),"◆",IF(AND($E59&gt;=CJ$5,$E59&lt;CJ$5+GanttPeriod),"◇","")),IF(AND(CJ$5&lt;=$F59,CJ$5+GanttPeriod-1&gt;=$E59),"━","")))</f>
        <v/>
      </c>
      <c r="CK59" s="69" t="str">
        <f aca="false">IF($E59="","",IF($M59,IF(AND($G59&gt;=CK$5,$G59&lt;CK$5+GanttPeriod),"◆",IF(AND($E59&gt;=CK$5,$E59&lt;CK$5+GanttPeriod),"◇","")),IF(AND(CK$5&lt;=$F59,CK$5+GanttPeriod-1&gt;=$E59),"━","")))</f>
        <v/>
      </c>
      <c r="CL59" s="69" t="str">
        <f aca="false">IF($E59="","",IF($M59,IF(AND($G59&gt;=CL$5,$G59&lt;CL$5+GanttPeriod),"◆",IF(AND($E59&gt;=CL$5,$E59&lt;CL$5+GanttPeriod),"◇","")),IF(AND(CL$5&lt;=$F59,CL$5+GanttPeriod-1&gt;=$E59),"━","")))</f>
        <v/>
      </c>
      <c r="CM59" s="69" t="str">
        <f aca="false">IF($E59="","",IF($M59,IF(AND($G59&gt;=CM$5,$G59&lt;CM$5+GanttPeriod),"◆",IF(AND($E59&gt;=CM$5,$E59&lt;CM$5+GanttPeriod),"◇","")),IF(AND(CM$5&lt;=$F59,CM$5+GanttPeriod-1&gt;=$E59),"━","")))</f>
        <v/>
      </c>
      <c r="CN59" s="69" t="str">
        <f aca="false">IF($E59="","",IF($M59,IF(AND($G59&gt;=CN$5,$G59&lt;CN$5+GanttPeriod),"◆",IF(AND($E59&gt;=CN$5,$E59&lt;CN$5+GanttPeriod),"◇","")),IF(AND(CN$5&lt;=$F59,CN$5+GanttPeriod-1&gt;=$E59),"━","")))</f>
        <v/>
      </c>
      <c r="CO59" s="69" t="str">
        <f aca="false">IF($E59="","",IF($M59,IF(AND($G59&gt;=CO$5,$G59&lt;CO$5+GanttPeriod),"◆",IF(AND($E59&gt;=CO$5,$E59&lt;CO$5+GanttPeriod),"◇","")),IF(AND(CO$5&lt;=$F59,CO$5+GanttPeriod-1&gt;=$E59),"━","")))</f>
        <v/>
      </c>
      <c r="CP59" s="69" t="str">
        <f aca="false">IF($E59="","",IF($M59,IF(AND($G59&gt;=CP$5,$G59&lt;CP$5+GanttPeriod),"◆",IF(AND($E59&gt;=CP$5,$E59&lt;CP$5+GanttPeriod),"◇","")),IF(AND(CP$5&lt;=$F59,CP$5+GanttPeriod-1&gt;=$E59),"━","")))</f>
        <v/>
      </c>
      <c r="CQ59" s="69" t="str">
        <f aca="false">IF($E59="","",IF($M59,IF(AND($G59&gt;=CQ$5,$G59&lt;CQ$5+GanttPeriod),"◆",IF(AND($E59&gt;=CQ$5,$E59&lt;CQ$5+GanttPeriod),"◇","")),IF(AND(CQ$5&lt;=$F59,CQ$5+GanttPeriod-1&gt;=$E59),"━","")))</f>
        <v/>
      </c>
      <c r="CR59" s="69" t="str">
        <f aca="false">IF($E59="","",IF($M59,IF(AND($G59&gt;=CR$5,$G59&lt;CR$5+GanttPeriod),"◆",IF(AND($E59&gt;=CR$5,$E59&lt;CR$5+GanttPeriod),"◇","")),IF(AND(CR$5&lt;=$F59,CR$5+GanttPeriod-1&gt;=$E59),"━","")))</f>
        <v/>
      </c>
      <c r="CS59" s="69" t="str">
        <f aca="false">IF($E59="","",IF($M59,IF(AND($G59&gt;=CS$5,$G59&lt;CS$5+GanttPeriod),"◆",IF(AND($E59&gt;=CS$5,$E59&lt;CS$5+GanttPeriod),"◇","")),IF(AND(CS$5&lt;=$F59,CS$5+GanttPeriod-1&gt;=$E59),"━","")))</f>
        <v/>
      </c>
      <c r="CT59" s="69" t="str">
        <f aca="false">IF($E59="","",IF($M59,IF(AND($G59&gt;=CT$5,$G59&lt;CT$5+GanttPeriod),"◆",IF(AND($E59&gt;=CT$5,$E59&lt;CT$5+GanttPeriod),"◇","")),IF(AND(CT$5&lt;=$F59,CT$5+GanttPeriod-1&gt;=$E59),"━","")))</f>
        <v/>
      </c>
      <c r="CU59" s="69" t="str">
        <f aca="false">IF($E59="","",IF($M59,IF(AND($G59&gt;=CU$5,$G59&lt;CU$5+GanttPeriod),"◆",IF(AND($E59&gt;=CU$5,$E59&lt;CU$5+GanttPeriod),"◇","")),IF(AND(CU$5&lt;=$F59,CU$5+GanttPeriod-1&gt;=$E59),"━","")))</f>
        <v/>
      </c>
      <c r="CV59" s="69" t="str">
        <f aca="false">IF($E59="","",IF($M59,IF(AND($G59&gt;=CV$5,$G59&lt;CV$5+GanttPeriod),"◆",IF(AND($E59&gt;=CV$5,$E59&lt;CV$5+GanttPeriod),"◇","")),IF(AND(CV$5&lt;=$F59,CV$5+GanttPeriod-1&gt;=$E59),"━","")))</f>
        <v/>
      </c>
      <c r="CW59" s="69" t="str">
        <f aca="false">IF($E59="","",IF($M59,IF(AND($G59&gt;=CW$5,$G59&lt;CW$5+GanttPeriod),"◆",IF(AND($E59&gt;=CW$5,$E59&lt;CW$5+GanttPeriod),"◇","")),IF(AND(CW$5&lt;=$F59,CW$5+GanttPeriod-1&gt;=$E59),"━","")))</f>
        <v/>
      </c>
      <c r="CX59" s="69" t="str">
        <f aca="false">IF($E59="","",IF($M59,IF(AND($G59&gt;=CX$5,$G59&lt;CX$5+GanttPeriod),"◆",IF(AND($E59&gt;=CX$5,$E59&lt;CX$5+GanttPeriod),"◇","")),IF(AND(CX$5&lt;=$F59,CX$5+GanttPeriod-1&gt;=$E59),"━","")))</f>
        <v/>
      </c>
      <c r="CY59" s="69" t="str">
        <f aca="false">IF($E59="","",IF($M59,IF(AND($G59&gt;=CY$5,$G59&lt;CY$5+GanttPeriod),"◆",IF(AND($E59&gt;=CY$5,$E59&lt;CY$5+GanttPeriod),"◇","")),IF(AND(CY$5&lt;=$F59,CY$5+GanttPeriod-1&gt;=$E59),"━","")))</f>
        <v/>
      </c>
      <c r="CZ59" s="69" t="str">
        <f aca="false">IF($E59="","",IF($M59,IF(AND($G59&gt;=CZ$5,$G59&lt;CZ$5+GanttPeriod),"◆",IF(AND($E59&gt;=CZ$5,$E59&lt;CZ$5+GanttPeriod),"◇","")),IF(AND(CZ$5&lt;=$F59,CZ$5+GanttPeriod-1&gt;=$E59),"━","")))</f>
        <v/>
      </c>
      <c r="DA59" s="69" t="str">
        <f aca="false">IF($E59="","",IF($M59,IF(AND($G59&gt;=DA$5,$G59&lt;DA$5+GanttPeriod),"◆",IF(AND($E59&gt;=DA$5,$E59&lt;DA$5+GanttPeriod),"◇","")),IF(AND(DA$5&lt;=$F59,DA$5+GanttPeriod-1&gt;=$E59),"━","")))</f>
        <v/>
      </c>
      <c r="DB59" s="69" t="str">
        <f aca="false">IF($E59="","",IF($M59,IF(AND($G59&gt;=DB$5,$G59&lt;DB$5+GanttPeriod),"◆",IF(AND($E59&gt;=DB$5,$E59&lt;DB$5+GanttPeriod),"◇","")),IF(AND(DB$5&lt;=$F59,DB$5+GanttPeriod-1&gt;=$E59),"━","")))</f>
        <v/>
      </c>
      <c r="DC59" s="69" t="str">
        <f aca="false">IF($E59="","",IF($M59,IF(AND($G59&gt;=DC$5,$G59&lt;DC$5+GanttPeriod),"◆",IF(AND($E59&gt;=DC$5,$E59&lt;DC$5+GanttPeriod),"◇","")),IF(AND(DC$5&lt;=$F59,DC$5+GanttPeriod-1&gt;=$E59),"━","")))</f>
        <v/>
      </c>
      <c r="DD59" s="69" t="str">
        <f aca="false">IF($E59="","",IF($M59,IF(AND($G59&gt;=DD$5,$G59&lt;DD$5+GanttPeriod),"◆",IF(AND($E59&gt;=DD$5,$E59&lt;DD$5+GanttPeriod),"◇","")),IF(AND(DD$5&lt;=$F59,DD$5+GanttPeriod-1&gt;=$E59),"━","")))</f>
        <v/>
      </c>
      <c r="DE59" s="69" t="str">
        <f aca="false">IF($E59="","",IF($M59,IF(AND($G59&gt;=DE$5,$G59&lt;DE$5+GanttPeriod),"◆",IF(AND($E59&gt;=DE$5,$E59&lt;DE$5+GanttPeriod),"◇","")),IF(AND(DE$5&lt;=$F59,DE$5+GanttPeriod-1&gt;=$E59),"━","")))</f>
        <v/>
      </c>
      <c r="DF59" s="69" t="str">
        <f aca="false">IF($E59="","",IF($M59,IF(AND($G59&gt;=DF$5,$G59&lt;DF$5+GanttPeriod),"◆",IF(AND($E59&gt;=DF$5,$E59&lt;DF$5+GanttPeriod),"◇","")),IF(AND(DF$5&lt;=$F59,DF$5+GanttPeriod-1&gt;=$E59),"━","")))</f>
        <v/>
      </c>
      <c r="DG59" s="69" t="str">
        <f aca="false">IF($E59="","",IF($M59,IF(AND($G59&gt;=DG$5,$G59&lt;DG$5+GanttPeriod),"◆",IF(AND($E59&gt;=DG$5,$E59&lt;DG$5+GanttPeriod),"◇","")),IF(AND(DG$5&lt;=$F59,DG$5+GanttPeriod-1&gt;=$E59),"━","")))</f>
        <v/>
      </c>
      <c r="DH59" s="69" t="str">
        <f aca="false">IF($E59="","",IF($M59,IF(AND($G59&gt;=DH$5,$G59&lt;DH$5+GanttPeriod),"◆",IF(AND($E59&gt;=DH$5,$E59&lt;DH$5+GanttPeriod),"◇","")),IF(AND(DH$5&lt;=$F59,DH$5+GanttPeriod-1&gt;=$E59),"━","")))</f>
        <v/>
      </c>
      <c r="DI59" s="69" t="str">
        <f aca="false">IF($E59="","",IF($M59,IF(AND($G59&gt;=DI$5,$G59&lt;DI$5+GanttPeriod),"◆",IF(AND($E59&gt;=DI$5,$E59&lt;DI$5+GanttPeriod),"◇","")),IF(AND(DI$5&lt;=$F59,DI$5+GanttPeriod-1&gt;=$E59),"━","")))</f>
        <v/>
      </c>
      <c r="DJ59" s="69" t="str">
        <f aca="false">IF($E59="","",IF($M59,IF(AND($G59&gt;=DJ$5,$G59&lt;DJ$5+GanttPeriod),"◆",IF(AND($E59&gt;=DJ$5,$E59&lt;DJ$5+GanttPeriod),"◇","")),IF(AND(DJ$5&lt;=$F59,DJ$5+GanttPeriod-1&gt;=$E59),"━","")))</f>
        <v/>
      </c>
      <c r="DK59" s="69" t="str">
        <f aca="false">IF($E59="","",IF($M59,IF(AND($G59&gt;=DK$5,$G59&lt;DK$5+GanttPeriod),"◆",IF(AND($E59&gt;=DK$5,$E59&lt;DK$5+GanttPeriod),"◇","")),IF(AND(DK$5&lt;=$F59,DK$5+GanttPeriod-1&gt;=$E59),"━","")))</f>
        <v/>
      </c>
      <c r="DL59" s="69" t="str">
        <f aca="false">IF($E59="","",IF($M59,IF(AND($G59&gt;=DL$5,$G59&lt;DL$5+GanttPeriod),"◆",IF(AND($E59&gt;=DL$5,$E59&lt;DL$5+GanttPeriod),"◇","")),IF(AND(DL$5&lt;=$F59,DL$5+GanttPeriod-1&gt;=$E59),"━","")))</f>
        <v/>
      </c>
      <c r="DM59" s="69" t="str">
        <f aca="false">IF($E59="","",IF($M59,IF(AND($G59&gt;=DM$5,$G59&lt;DM$5+GanttPeriod),"◆",IF(AND($E59&gt;=DM$5,$E59&lt;DM$5+GanttPeriod),"◇","")),IF(AND(DM$5&lt;=$F59,DM$5+GanttPeriod-1&gt;=$E59),"━","")))</f>
        <v/>
      </c>
      <c r="DN59" s="69" t="str">
        <f aca="false">IF($E59="","",IF($M59,IF(AND($G59&gt;=DN$5,$G59&lt;DN$5+GanttPeriod),"◆",IF(AND($E59&gt;=DN$5,$E59&lt;DN$5+GanttPeriod),"◇","")),IF(AND(DN$5&lt;=$F59,DN$5+GanttPeriod-1&gt;=$E59),"━","")))</f>
        <v/>
      </c>
      <c r="DO59" s="69" t="str">
        <f aca="false">IF($E59="","",IF($M59,IF(AND($G59&gt;=DO$5,$G59&lt;DO$5+GanttPeriod),"◆",IF(AND($E59&gt;=DO$5,$E59&lt;DO$5+GanttPeriod),"◇","")),IF(AND(DO$5&lt;=$F59,DO$5+GanttPeriod-1&gt;=$E59),"━","")))</f>
        <v/>
      </c>
      <c r="DP59" s="69" t="str">
        <f aca="false">IF($E59="","",IF($M59,IF(AND($G59&gt;=DP$5,$G59&lt;DP$5+GanttPeriod),"◆",IF(AND($E59&gt;=DP$5,$E59&lt;DP$5+GanttPeriod),"◇","")),IF(AND(DP$5&lt;=$F59,DP$5+GanttPeriod-1&gt;=$E59),"━","")))</f>
        <v/>
      </c>
      <c r="DQ59" s="69" t="str">
        <f aca="false">IF($E59="","",IF($M59,IF(AND($G59&gt;=DQ$5,$G59&lt;DQ$5+GanttPeriod),"◆",IF(AND($E59&gt;=DQ$5,$E59&lt;DQ$5+GanttPeriod),"◇","")),IF(AND(DQ$5&lt;=$F59,DQ$5+GanttPeriod-1&gt;=$E59),"━","")))</f>
        <v/>
      </c>
      <c r="DR59" s="69" t="str">
        <f aca="false">IF($E59="","",IF($M59,IF(AND($G59&gt;=DR$5,$G59&lt;DR$5+GanttPeriod),"◆",IF(AND($E59&gt;=DR$5,$E59&lt;DR$5+GanttPeriod),"◇","")),IF(AND(DR$5&lt;=$F59,DR$5+GanttPeriod-1&gt;=$E59),"━","")))</f>
        <v/>
      </c>
      <c r="DS59" s="69" t="str">
        <f aca="false">IF($E59="","",IF($M59,IF(AND($G59&gt;=DS$5,$G59&lt;DS$5+GanttPeriod),"◆",IF(AND($E59&gt;=DS$5,$E59&lt;DS$5+GanttPeriod),"◇","")),IF(AND(DS$5&lt;=$F59,DS$5+GanttPeriod-1&gt;=$E59),"━","")))</f>
        <v/>
      </c>
      <c r="DT59" s="69" t="str">
        <f aca="false">IF($E59="","",IF($M59,IF(AND($G59&gt;=DT$5,$G59&lt;DT$5+GanttPeriod),"◆",IF(AND($E59&gt;=DT$5,$E59&lt;DT$5+GanttPeriod),"◇","")),IF(AND(DT$5&lt;=$F59,DT$5+GanttPeriod-1&gt;=$E59),"━","")))</f>
        <v/>
      </c>
      <c r="DU59" s="69" t="str">
        <f aca="false">IF($E59="","",IF($M59,IF(AND($G59&gt;=DU$5,$G59&lt;DU$5+GanttPeriod),"◆",IF(AND($E59&gt;=DU$5,$E59&lt;DU$5+GanttPeriod),"◇","")),IF(AND(DU$5&lt;=$F59,DU$5+GanttPeriod-1&gt;=$E59),"━","")))</f>
        <v/>
      </c>
      <c r="DV59" s="69" t="str">
        <f aca="false">IF($E59="","",IF($M59,IF(AND($G59&gt;=DV$5,$G59&lt;DV$5+GanttPeriod),"◆",IF(AND($E59&gt;=DV$5,$E59&lt;DV$5+GanttPeriod),"◇","")),IF(AND(DV$5&lt;=$F59,DV$5+GanttPeriod-1&gt;=$E59),"━","")))</f>
        <v/>
      </c>
      <c r="DW59" s="69" t="str">
        <f aca="false">IF($E59="","",IF($M59,IF(AND($G59&gt;=DW$5,$G59&lt;DW$5+GanttPeriod),"◆",IF(AND($E59&gt;=DW$5,$E59&lt;DW$5+GanttPeriod),"◇","")),IF(AND(DW$5&lt;=$F59,DW$5+GanttPeriod-1&gt;=$E59),"━","")))</f>
        <v/>
      </c>
      <c r="DX59" s="69" t="str">
        <f aca="false">IF($E59="","",IF($M59,IF(AND($G59&gt;=DX$5,$G59&lt;DX$5+GanttPeriod),"◆",IF(AND($E59&gt;=DX$5,$E59&lt;DX$5+GanttPeriod),"◇","")),IF(AND(DX$5&lt;=$F59,DX$5+GanttPeriod-1&gt;=$E59),"━","")))</f>
        <v/>
      </c>
      <c r="DY59" s="69" t="str">
        <f aca="false">IF($E59="","",IF($M59,IF(AND($G59&gt;=DY$5,$G59&lt;DY$5+GanttPeriod),"◆",IF(AND($E59&gt;=DY$5,$E59&lt;DY$5+GanttPeriod),"◇","")),IF(AND(DY$5&lt;=$F59,DY$5+GanttPeriod-1&gt;=$E59),"━","")))</f>
        <v/>
      </c>
      <c r="DZ59" s="69" t="str">
        <f aca="false">IF($E59="","",IF($M59,IF(AND($G59&gt;=DZ$5,$G59&lt;DZ$5+GanttPeriod),"◆",IF(AND($E59&gt;=DZ$5,$E59&lt;DZ$5+GanttPeriod),"◇","")),IF(AND(DZ$5&lt;=$F59,DZ$5+GanttPeriod-1&gt;=$E59),"━","")))</f>
        <v/>
      </c>
      <c r="EA59" s="69" t="str">
        <f aca="false">IF($E59="","",IF($M59,IF(AND($G59&gt;=EA$5,$G59&lt;EA$5+GanttPeriod),"◆",IF(AND($E59&gt;=EA$5,$E59&lt;EA$5+GanttPeriod),"◇","")),IF(AND(EA$5&lt;=$F59,EA$5+GanttPeriod-1&gt;=$E59),"━","")))</f>
        <v/>
      </c>
      <c r="EB59" s="69" t="str">
        <f aca="false">IF($E59="","",IF($M59,IF(AND($G59&gt;=EB$5,$G59&lt;EB$5+GanttPeriod),"◆",IF(AND($E59&gt;=EB$5,$E59&lt;EB$5+GanttPeriod),"◇","")),IF(AND(EB$5&lt;=$F59,EB$5+GanttPeriod-1&gt;=$E59),"━","")))</f>
        <v/>
      </c>
      <c r="EC59" s="69" t="str">
        <f aca="false">IF($E59="","",IF($M59,IF(AND($G59&gt;=EC$5,$G59&lt;EC$5+GanttPeriod),"◆",IF(AND($E59&gt;=EC$5,$E59&lt;EC$5+GanttPeriod),"◇","")),IF(AND(EC$5&lt;=$F59,EC$5+GanttPeriod-1&gt;=$E59),"━","")))</f>
        <v/>
      </c>
      <c r="ED59" s="69" t="str">
        <f aca="false">IF($E59="","",IF($M59,IF(AND($G59&gt;=ED$5,$G59&lt;ED$5+GanttPeriod),"◆",IF(AND($E59&gt;=ED$5,$E59&lt;ED$5+GanttPeriod),"◇","")),IF(AND(ED$5&lt;=$F59,ED$5+GanttPeriod-1&gt;=$E59),"━","")))</f>
        <v/>
      </c>
      <c r="EE59" s="69" t="str">
        <f aca="false">IF($E59="","",IF($M59,IF(AND($G59&gt;=EE$5,$G59&lt;EE$5+GanttPeriod),"◆",IF(AND($E59&gt;=EE$5,$E59&lt;EE$5+GanttPeriod),"◇","")),IF(AND(EE$5&lt;=$F59,EE$5+GanttPeriod-1&gt;=$E59),"━","")))</f>
        <v/>
      </c>
      <c r="EF59" s="69" t="str">
        <f aca="false">IF($E59="","",IF($M59,IF(AND($G59&gt;=EF$5,$G59&lt;EF$5+GanttPeriod),"◆",IF(AND($E59&gt;=EF$5,$E59&lt;EF$5+GanttPeriod),"◇","")),IF(AND(EF$5&lt;=$F59,EF$5+GanttPeriod-1&gt;=$E59),"━","")))</f>
        <v/>
      </c>
      <c r="EG59" s="69" t="str">
        <f aca="false">IF($E59="","",IF($M59,IF(AND($G59&gt;=EG$5,$G59&lt;EG$5+GanttPeriod),"◆",IF(AND($E59&gt;=EG$5,$E59&lt;EG$5+GanttPeriod),"◇","")),IF(AND(EG$5&lt;=$F59,EG$5+GanttPeriod-1&gt;=$E59),"━","")))</f>
        <v/>
      </c>
      <c r="EH59" s="69" t="str">
        <f aca="false">IF($E59="","",IF($M59,IF(AND($G59&gt;=EH$5,$G59&lt;EH$5+GanttPeriod),"◆",IF(AND($E59&gt;=EH$5,$E59&lt;EH$5+GanttPeriod),"◇","")),IF(AND(EH$5&lt;=$F59,EH$5+GanttPeriod-1&gt;=$E59),"━","")))</f>
        <v/>
      </c>
      <c r="EI59" s="69" t="str">
        <f aca="false">IF($E59="","",IF($M59,IF(AND($G59&gt;=EI$5,$G59&lt;EI$5+GanttPeriod),"◆",IF(AND($E59&gt;=EI$5,$E59&lt;EI$5+GanttPeriod),"◇","")),IF(AND(EI$5&lt;=$F59,EI$5+GanttPeriod-1&gt;=$E59),"━","")))</f>
        <v/>
      </c>
      <c r="EJ59" s="69" t="str">
        <f aca="false">IF($E59="","",IF($M59,IF(AND($G59&gt;=EJ$5,$G59&lt;EJ$5+GanttPeriod),"◆",IF(AND($E59&gt;=EJ$5,$E59&lt;EJ$5+GanttPeriod),"◇","")),IF(AND(EJ$5&lt;=$F59,EJ$5+GanttPeriod-1&gt;=$E59),"━","")))</f>
        <v/>
      </c>
      <c r="EK59" s="69" t="str">
        <f aca="false">IF($E59="","",IF($M59,IF(AND($G59&gt;=EK$5,$G59&lt;EK$5+GanttPeriod),"◆",IF(AND($E59&gt;=EK$5,$E59&lt;EK$5+GanttPeriod),"◇","")),IF(AND(EK$5&lt;=$F59,EK$5+GanttPeriod-1&gt;=$E59),"━","")))</f>
        <v/>
      </c>
      <c r="EL59" s="69" t="str">
        <f aca="false">IF($E59="","",IF($M59,IF(AND($G59&gt;=EL$5,$G59&lt;EL$5+GanttPeriod),"◆",IF(AND($E59&gt;=EL$5,$E59&lt;EL$5+GanttPeriod),"◇","")),IF(AND(EL$5&lt;=$F59,EL$5+GanttPeriod-1&gt;=$E59),"━","")))</f>
        <v/>
      </c>
      <c r="EM59" s="69" t="str">
        <f aca="false">IF($E59="","",IF($M59,IF(AND($G59&gt;=EM$5,$G59&lt;EM$5+GanttPeriod),"◆",IF(AND($E59&gt;=EM$5,$E59&lt;EM$5+GanttPeriod),"◇","")),IF(AND(EM$5&lt;=$F59,EM$5+GanttPeriod-1&gt;=$E59),"━","")))</f>
        <v/>
      </c>
      <c r="EN59" s="69" t="str">
        <f aca="false">IF($E59="","",IF($M59,IF(AND($G59&gt;=EN$5,$G59&lt;EN$5+GanttPeriod),"◆",IF(AND($E59&gt;=EN$5,$E59&lt;EN$5+GanttPeriod),"◇","")),IF(AND(EN$5&lt;=$F59,EN$5+GanttPeriod-1&gt;=$E59),"━","")))</f>
        <v/>
      </c>
      <c r="EO59" s="69" t="str">
        <f aca="false">IF($E59="","",IF($M59,IF(AND($G59&gt;=EO$5,$G59&lt;EO$5+GanttPeriod),"◆",IF(AND($E59&gt;=EO$5,$E59&lt;EO$5+GanttPeriod),"◇","")),IF(AND(EO$5&lt;=$F59,EO$5+GanttPeriod-1&gt;=$E59),"━","")))</f>
        <v/>
      </c>
      <c r="EP59" s="69" t="str">
        <f aca="false">IF($E59="","",IF($M59,IF(AND($G59&gt;=EP$5,$G59&lt;EP$5+GanttPeriod),"◆",IF(AND($E59&gt;=EP$5,$E59&lt;EP$5+GanttPeriod),"◇","")),IF(AND(EP$5&lt;=$F59,EP$5+GanttPeriod-1&gt;=$E59),"━","")))</f>
        <v/>
      </c>
      <c r="EQ59" s="69" t="str">
        <f aca="false">IF($E59="","",IF($M59,IF(AND($G59&gt;=EQ$5,$G59&lt;EQ$5+GanttPeriod),"◆",IF(AND($E59&gt;=EQ$5,$E59&lt;EQ$5+GanttPeriod),"◇","")),IF(AND(EQ$5&lt;=$F59,EQ$5+GanttPeriod-1&gt;=$E59),"━","")))</f>
        <v/>
      </c>
      <c r="ER59" s="69" t="str">
        <f aca="false">IF($E59="","",IF($M59,IF(AND($G59&gt;=ER$5,$G59&lt;ER$5+GanttPeriod),"◆",IF(AND($E59&gt;=ER$5,$E59&lt;ER$5+GanttPeriod),"◇","")),IF(AND(ER$5&lt;=$F59,ER$5+GanttPeriod-1&gt;=$E59),"━","")))</f>
        <v/>
      </c>
      <c r="ES59" s="69" t="str">
        <f aca="false">IF($E59="","",IF($M59,IF(AND($G59&gt;=ES$5,$G59&lt;ES$5+GanttPeriod),"◆",IF(AND($E59&gt;=ES$5,$E59&lt;ES$5+GanttPeriod),"◇","")),IF(AND(ES$5&lt;=$F59,ES$5+GanttPeriod-1&gt;=$E59),"━","")))</f>
        <v/>
      </c>
      <c r="ET59" s="69" t="str">
        <f aca="false">IF($E59="","",IF($M59,IF(AND($G59&gt;=ET$5,$G59&lt;ET$5+GanttPeriod),"◆",IF(AND($E59&gt;=ET$5,$E59&lt;ET$5+GanttPeriod),"◇","")),IF(AND(ET$5&lt;=$F59,ET$5+GanttPeriod-1&gt;=$E59),"━","")))</f>
        <v/>
      </c>
      <c r="EU59" s="69" t="str">
        <f aca="false">IF($E59="","",IF($M59,IF(AND($G59&gt;=EU$5,$G59&lt;EU$5+GanttPeriod),"◆",IF(AND($E59&gt;=EU$5,$E59&lt;EU$5+GanttPeriod),"◇","")),IF(AND(EU$5&lt;=$F59,EU$5+GanttPeriod-1&gt;=$E59),"━","")))</f>
        <v/>
      </c>
      <c r="EV59" s="69" t="str">
        <f aca="false">IF($E59="","",IF($M59,IF(AND($G59&gt;=EV$5,$G59&lt;EV$5+GanttPeriod),"◆",IF(AND($E59&gt;=EV$5,$E59&lt;EV$5+GanttPeriod),"◇","")),IF(AND(EV$5&lt;=$F59,EV$5+GanttPeriod-1&gt;=$E59),"━","")))</f>
        <v/>
      </c>
      <c r="EW59" s="69" t="str">
        <f aca="false">IF($E59="","",IF($M59,IF(AND($G59&gt;=EW$5,$G59&lt;EW$5+GanttPeriod),"◆",IF(AND($E59&gt;=EW$5,$E59&lt;EW$5+GanttPeriod),"◇","")),IF(AND(EW$5&lt;=$F59,EW$5+GanttPeriod-1&gt;=$E59),"━","")))</f>
        <v/>
      </c>
      <c r="EX59" s="69" t="str">
        <f aca="false">IF($E59="","",IF($M59,IF(AND($G59&gt;=EX$5,$G59&lt;EX$5+GanttPeriod),"◆",IF(AND($E59&gt;=EX$5,$E59&lt;EX$5+GanttPeriod),"◇","")),IF(AND(EX$5&lt;=$F59,EX$5+GanttPeriod-1&gt;=$E59),"━","")))</f>
        <v/>
      </c>
      <c r="EY59" s="69" t="str">
        <f aca="false">IF($E59="","",IF($M59,IF(AND($G59&gt;=EY$5,$G59&lt;EY$5+GanttPeriod),"◆",IF(AND($E59&gt;=EY$5,$E59&lt;EY$5+GanttPeriod),"◇","")),IF(AND(EY$5&lt;=$F59,EY$5+GanttPeriod-1&gt;=$E59),"━","")))</f>
        <v/>
      </c>
      <c r="EZ59" s="69" t="str">
        <f aca="false">IF($E59="","",IF($M59,IF(AND($G59&gt;=EZ$5,$G59&lt;EZ$5+GanttPeriod),"◆",IF(AND($E59&gt;=EZ$5,$E59&lt;EZ$5+GanttPeriod),"◇","")),IF(AND(EZ$5&lt;=$F59,EZ$5+GanttPeriod-1&gt;=$E59),"━","")))</f>
        <v/>
      </c>
      <c r="FA59" s="69" t="str">
        <f aca="false">IF($E59="","",IF($M59,IF(AND($G59&gt;=FA$5,$G59&lt;FA$5+GanttPeriod),"◆",IF(AND($E59&gt;=FA$5,$E59&lt;FA$5+GanttPeriod),"◇","")),IF(AND(FA$5&lt;=$F59,FA$5+GanttPeriod-1&gt;=$E59),"━","")))</f>
        <v/>
      </c>
      <c r="FB59" s="69" t="str">
        <f aca="false">IF($E59="","",IF($M59,IF(AND($G59&gt;=FB$5,$G59&lt;FB$5+GanttPeriod),"◆",IF(AND($E59&gt;=FB$5,$E59&lt;FB$5+GanttPeriod),"◇","")),IF(AND(FB$5&lt;=$F59,FB$5+GanttPeriod-1&gt;=$E59),"━","")))</f>
        <v/>
      </c>
      <c r="FC59" s="69" t="str">
        <f aca="false">IF($E59="","",IF($M59,IF(AND($G59&gt;=FC$5,$G59&lt;FC$5+GanttPeriod),"◆",IF(AND($E59&gt;=FC$5,$E59&lt;FC$5+GanttPeriod),"◇","")),IF(AND(FC$5&lt;=$F59,FC$5+GanttPeriod-1&gt;=$E59),"━","")))</f>
        <v/>
      </c>
      <c r="FD59" s="69" t="str">
        <f aca="false">IF($E59="","",IF($M59,IF(AND($G59&gt;=FD$5,$G59&lt;FD$5+GanttPeriod),"◆",IF(AND($E59&gt;=FD$5,$E59&lt;FD$5+GanttPeriod),"◇","")),IF(AND(FD$5&lt;=$F59,FD$5+GanttPeriod-1&gt;=$E59),"━","")))</f>
        <v/>
      </c>
      <c r="FE59" s="69" t="str">
        <f aca="false">IF($E59="","",IF($M59,IF(AND($G59&gt;=FE$5,$G59&lt;FE$5+GanttPeriod),"◆",IF(AND($E59&gt;=FE$5,$E59&lt;FE$5+GanttPeriod),"◇","")),IF(AND(FE$5&lt;=$F59,FE$5+GanttPeriod-1&gt;=$E59),"━","")))</f>
        <v/>
      </c>
      <c r="FF59" s="69" t="str">
        <f aca="false">IF($E59="","",IF($M59,IF(AND($G59&gt;=FF$5,$G59&lt;FF$5+GanttPeriod),"◆",IF(AND($E59&gt;=FF$5,$E59&lt;FF$5+GanttPeriod),"◇","")),IF(AND(FF$5&lt;=$F59,FF$5+GanttPeriod-1&gt;=$E59),"━","")))</f>
        <v/>
      </c>
      <c r="FG59" s="69" t="str">
        <f aca="false">IF($E59="","",IF($M59,IF(AND($G59&gt;=FG$5,$G59&lt;FG$5+GanttPeriod),"◆",IF(AND($E59&gt;=FG$5,$E59&lt;FG$5+GanttPeriod),"◇","")),IF(AND(FG$5&lt;=$F59,FG$5+GanttPeriod-1&gt;=$E59),"━","")))</f>
        <v/>
      </c>
      <c r="FH59" s="69" t="str">
        <f aca="false">IF($E59="","",IF($M59,IF(AND($G59&gt;=FH$5,$G59&lt;FH$5+GanttPeriod),"◆",IF(AND($E59&gt;=FH$5,$E59&lt;FH$5+GanttPeriod),"◇","")),IF(AND(FH$5&lt;=$F59,FH$5+GanttPeriod-1&gt;=$E59),"━","")))</f>
        <v/>
      </c>
      <c r="FI59" s="69" t="str">
        <f aca="false">IF($E59="","",IF($M59,IF(AND($G59&gt;=FI$5,$G59&lt;FI$5+GanttPeriod),"◆",IF(AND($E59&gt;=FI$5,$E59&lt;FI$5+GanttPeriod),"◇","")),IF(AND(FI$5&lt;=$F59,FI$5+GanttPeriod-1&gt;=$E59),"━","")))</f>
        <v/>
      </c>
      <c r="FJ59" s="69" t="str">
        <f aca="false">IF($E59="","",IF($M59,IF(AND($G59&gt;=FJ$5,$G59&lt;FJ$5+GanttPeriod),"◆",IF(AND($E59&gt;=FJ$5,$E59&lt;FJ$5+GanttPeriod),"◇","")),IF(AND(FJ$5&lt;=$F59,FJ$5+GanttPeriod-1&gt;=$E59),"━","")))</f>
        <v/>
      </c>
      <c r="FK59" s="69" t="str">
        <f aca="false">IF($E59="","",IF($M59,IF(AND($G59&gt;=FK$5,$G59&lt;FK$5+GanttPeriod),"◆",IF(AND($E59&gt;=FK$5,$E59&lt;FK$5+GanttPeriod),"◇","")),IF(AND(FK$5&lt;=$F59,FK$5+GanttPeriod-1&gt;=$E59),"━","")))</f>
        <v/>
      </c>
      <c r="FL59" s="69" t="str">
        <f aca="false">IF($E59="","",IF($M59,IF(AND($G59&gt;=FL$5,$G59&lt;FL$5+GanttPeriod),"◆",IF(AND($E59&gt;=FL$5,$E59&lt;FL$5+GanttPeriod),"◇","")),IF(AND(FL$5&lt;=$F59,FL$5+GanttPeriod-1&gt;=$E59),"━","")))</f>
        <v/>
      </c>
      <c r="FM59" s="69" t="str">
        <f aca="false">IF($E59="","",IF($M59,IF(AND($G59&gt;=FM$5,$G59&lt;FM$5+GanttPeriod),"◆",IF(AND($E59&gt;=FM$5,$E59&lt;FM$5+GanttPeriod),"◇","")),IF(AND(FM$5&lt;=$F59,FM$5+GanttPeriod-1&gt;=$E59),"━","")))</f>
        <v/>
      </c>
    </row>
    <row r="60" customFormat="false" ht="15" hidden="false" customHeight="false" outlineLevel="0" collapsed="false">
      <c r="A60" s="62" t="str">
        <f aca="false">IF(Tasks!$D60="","",Tasks!$A60)</f>
        <v/>
      </c>
      <c r="B60" s="62" t="str">
        <f aca="false">IF(Tasks!$D60="","",Tasks!$B60)</f>
        <v/>
      </c>
      <c r="C60" s="63" t="str">
        <f aca="false">IF(Tasks!$D60="","",REPT("    ",Tasks!$AE60-1)&amp;Tasks!$D60)</f>
        <v/>
      </c>
      <c r="D60" s="62" t="str">
        <f aca="false">IF(Tasks!$D60="","",IF(Tasks!$AI60,NETWORKDAYS.INTL(Tasks!$R60,Tasks!$S60,WorkWeek,Holidays),N(Tasks!$F60)))</f>
        <v/>
      </c>
      <c r="E60" s="64" t="str">
        <f aca="false">IF(Tasks!$D60="","",Tasks!$N60)</f>
        <v/>
      </c>
      <c r="F60" s="64" t="str">
        <f aca="false">IF(Tasks!$D60="","",Tasks!$O60)</f>
        <v/>
      </c>
      <c r="G60" s="64" t="str">
        <f aca="false">IF(Tasks!$D60="","",Tasks!$R60)</f>
        <v/>
      </c>
      <c r="H60" s="64" t="str">
        <f aca="false">IF(Tasks!$D60="","",Tasks!$S60)</f>
        <v/>
      </c>
      <c r="I60" s="65" t="str">
        <f aca="false">IF(Tasks!$D60="","",Tasks!$V60)</f>
        <v/>
      </c>
      <c r="J60" s="63" t="str">
        <f aca="false">IF(Tasks!$D60="","",Tasks!$X60&amp;"")</f>
        <v/>
      </c>
      <c r="K60" s="66" t="str">
        <f aca="false">IF(Tasks!$D60="","",Tasks!$W60)</f>
        <v/>
      </c>
      <c r="L60" s="67" t="b">
        <f aca="false">IF(Tasks!$D60="",FALSE(),Tasks!$AI60)</f>
        <v>0</v>
      </c>
      <c r="M60" s="67" t="b">
        <f aca="false">AND(Tasks!$AJ60=1,N(Tasks!$F60)=0)</f>
        <v>0</v>
      </c>
      <c r="N60" s="68" t="n">
        <f aca="false">IF(AND(Tasks!$AJ60=1,NOT($M60),N($I60)&gt;0),$G60,0)</f>
        <v>0</v>
      </c>
      <c r="O60" s="68" t="n">
        <f aca="false">IF($N60=0,0,IF($I60&gt;=1,$H60,MAX($N60,$G60+ROUND(($H60-$G60+1)*$I60,0)-1)))</f>
        <v>0</v>
      </c>
      <c r="P60" s="68" t="n">
        <f aca="false">IF(OR(Tasks!$AJ60&lt;&gt;1,$M60,N($I60)&gt;=1),0,IF($O60&gt;0,$O60+1,$G60))</f>
        <v>0</v>
      </c>
      <c r="Q60" s="68" t="n">
        <f aca="false">IF($P60=0,0,$H60)</f>
        <v>0</v>
      </c>
      <c r="R60" s="67" t="b">
        <f aca="false">AND(Tasks!$D60&lt;&gt;"",N(Tasks!$T60)&gt;0)</f>
        <v>0</v>
      </c>
      <c r="T60" s="69" t="str">
        <f aca="false">IF($E60="","",IF($M60,IF(AND($G60&gt;=T$5,$G60&lt;T$5+GanttPeriod),"◆",IF(AND($E60&gt;=T$5,$E60&lt;T$5+GanttPeriod),"◇","")),IF(AND(T$5&lt;=$F60,T$5+GanttPeriod-1&gt;=$E60),"━","")))</f>
        <v/>
      </c>
      <c r="U60" s="69" t="str">
        <f aca="false">IF($E60="","",IF($M60,IF(AND($G60&gt;=U$5,$G60&lt;U$5+GanttPeriod),"◆",IF(AND($E60&gt;=U$5,$E60&lt;U$5+GanttPeriod),"◇","")),IF(AND(U$5&lt;=$F60,U$5+GanttPeriod-1&gt;=$E60),"━","")))</f>
        <v/>
      </c>
      <c r="V60" s="69" t="str">
        <f aca="false">IF($E60="","",IF($M60,IF(AND($G60&gt;=V$5,$G60&lt;V$5+GanttPeriod),"◆",IF(AND($E60&gt;=V$5,$E60&lt;V$5+GanttPeriod),"◇","")),IF(AND(V$5&lt;=$F60,V$5+GanttPeriod-1&gt;=$E60),"━","")))</f>
        <v/>
      </c>
      <c r="W60" s="69" t="str">
        <f aca="false">IF($E60="","",IF($M60,IF(AND($G60&gt;=W$5,$G60&lt;W$5+GanttPeriod),"◆",IF(AND($E60&gt;=W$5,$E60&lt;W$5+GanttPeriod),"◇","")),IF(AND(W$5&lt;=$F60,W$5+GanttPeriod-1&gt;=$E60),"━","")))</f>
        <v/>
      </c>
      <c r="X60" s="69" t="str">
        <f aca="false">IF($E60="","",IF($M60,IF(AND($G60&gt;=X$5,$G60&lt;X$5+GanttPeriod),"◆",IF(AND($E60&gt;=X$5,$E60&lt;X$5+GanttPeriod),"◇","")),IF(AND(X$5&lt;=$F60,X$5+GanttPeriod-1&gt;=$E60),"━","")))</f>
        <v/>
      </c>
      <c r="Y60" s="69" t="str">
        <f aca="false">IF($E60="","",IF($M60,IF(AND($G60&gt;=Y$5,$G60&lt;Y$5+GanttPeriod),"◆",IF(AND($E60&gt;=Y$5,$E60&lt;Y$5+GanttPeriod),"◇","")),IF(AND(Y$5&lt;=$F60,Y$5+GanttPeriod-1&gt;=$E60),"━","")))</f>
        <v/>
      </c>
      <c r="Z60" s="69" t="str">
        <f aca="false">IF($E60="","",IF($M60,IF(AND($G60&gt;=Z$5,$G60&lt;Z$5+GanttPeriod),"◆",IF(AND($E60&gt;=Z$5,$E60&lt;Z$5+GanttPeriod),"◇","")),IF(AND(Z$5&lt;=$F60,Z$5+GanttPeriod-1&gt;=$E60),"━","")))</f>
        <v/>
      </c>
      <c r="AA60" s="69" t="str">
        <f aca="false">IF($E60="","",IF($M60,IF(AND($G60&gt;=AA$5,$G60&lt;AA$5+GanttPeriod),"◆",IF(AND($E60&gt;=AA$5,$E60&lt;AA$5+GanttPeriod),"◇","")),IF(AND(AA$5&lt;=$F60,AA$5+GanttPeriod-1&gt;=$E60),"━","")))</f>
        <v/>
      </c>
      <c r="AB60" s="69" t="str">
        <f aca="false">IF($E60="","",IF($M60,IF(AND($G60&gt;=AB$5,$G60&lt;AB$5+GanttPeriod),"◆",IF(AND($E60&gt;=AB$5,$E60&lt;AB$5+GanttPeriod),"◇","")),IF(AND(AB$5&lt;=$F60,AB$5+GanttPeriod-1&gt;=$E60),"━","")))</f>
        <v/>
      </c>
      <c r="AC60" s="69" t="str">
        <f aca="false">IF($E60="","",IF($M60,IF(AND($G60&gt;=AC$5,$G60&lt;AC$5+GanttPeriod),"◆",IF(AND($E60&gt;=AC$5,$E60&lt;AC$5+GanttPeriod),"◇","")),IF(AND(AC$5&lt;=$F60,AC$5+GanttPeriod-1&gt;=$E60),"━","")))</f>
        <v/>
      </c>
      <c r="AD60" s="69" t="str">
        <f aca="false">IF($E60="","",IF($M60,IF(AND($G60&gt;=AD$5,$G60&lt;AD$5+GanttPeriod),"◆",IF(AND($E60&gt;=AD$5,$E60&lt;AD$5+GanttPeriod),"◇","")),IF(AND(AD$5&lt;=$F60,AD$5+GanttPeriod-1&gt;=$E60),"━","")))</f>
        <v/>
      </c>
      <c r="AE60" s="69" t="str">
        <f aca="false">IF($E60="","",IF($M60,IF(AND($G60&gt;=AE$5,$G60&lt;AE$5+GanttPeriod),"◆",IF(AND($E60&gt;=AE$5,$E60&lt;AE$5+GanttPeriod),"◇","")),IF(AND(AE$5&lt;=$F60,AE$5+GanttPeriod-1&gt;=$E60),"━","")))</f>
        <v/>
      </c>
      <c r="AF60" s="69" t="str">
        <f aca="false">IF($E60="","",IF($M60,IF(AND($G60&gt;=AF$5,$G60&lt;AF$5+GanttPeriod),"◆",IF(AND($E60&gt;=AF$5,$E60&lt;AF$5+GanttPeriod),"◇","")),IF(AND(AF$5&lt;=$F60,AF$5+GanttPeriod-1&gt;=$E60),"━","")))</f>
        <v/>
      </c>
      <c r="AG60" s="69" t="str">
        <f aca="false">IF($E60="","",IF($M60,IF(AND($G60&gt;=AG$5,$G60&lt;AG$5+GanttPeriod),"◆",IF(AND($E60&gt;=AG$5,$E60&lt;AG$5+GanttPeriod),"◇","")),IF(AND(AG$5&lt;=$F60,AG$5+GanttPeriod-1&gt;=$E60),"━","")))</f>
        <v/>
      </c>
      <c r="AH60" s="69" t="str">
        <f aca="false">IF($E60="","",IF($M60,IF(AND($G60&gt;=AH$5,$G60&lt;AH$5+GanttPeriod),"◆",IF(AND($E60&gt;=AH$5,$E60&lt;AH$5+GanttPeriod),"◇","")),IF(AND(AH$5&lt;=$F60,AH$5+GanttPeriod-1&gt;=$E60),"━","")))</f>
        <v/>
      </c>
      <c r="AI60" s="69" t="str">
        <f aca="false">IF($E60="","",IF($M60,IF(AND($G60&gt;=AI$5,$G60&lt;AI$5+GanttPeriod),"◆",IF(AND($E60&gt;=AI$5,$E60&lt;AI$5+GanttPeriod),"◇","")),IF(AND(AI$5&lt;=$F60,AI$5+GanttPeriod-1&gt;=$E60),"━","")))</f>
        <v/>
      </c>
      <c r="AJ60" s="69" t="str">
        <f aca="false">IF($E60="","",IF($M60,IF(AND($G60&gt;=AJ$5,$G60&lt;AJ$5+GanttPeriod),"◆",IF(AND($E60&gt;=AJ$5,$E60&lt;AJ$5+GanttPeriod),"◇","")),IF(AND(AJ$5&lt;=$F60,AJ$5+GanttPeriod-1&gt;=$E60),"━","")))</f>
        <v/>
      </c>
      <c r="AK60" s="69" t="str">
        <f aca="false">IF($E60="","",IF($M60,IF(AND($G60&gt;=AK$5,$G60&lt;AK$5+GanttPeriod),"◆",IF(AND($E60&gt;=AK$5,$E60&lt;AK$5+GanttPeriod),"◇","")),IF(AND(AK$5&lt;=$F60,AK$5+GanttPeriod-1&gt;=$E60),"━","")))</f>
        <v/>
      </c>
      <c r="AL60" s="69" t="str">
        <f aca="false">IF($E60="","",IF($M60,IF(AND($G60&gt;=AL$5,$G60&lt;AL$5+GanttPeriod),"◆",IF(AND($E60&gt;=AL$5,$E60&lt;AL$5+GanttPeriod),"◇","")),IF(AND(AL$5&lt;=$F60,AL$5+GanttPeriod-1&gt;=$E60),"━","")))</f>
        <v/>
      </c>
      <c r="AM60" s="69" t="str">
        <f aca="false">IF($E60="","",IF($M60,IF(AND($G60&gt;=AM$5,$G60&lt;AM$5+GanttPeriod),"◆",IF(AND($E60&gt;=AM$5,$E60&lt;AM$5+GanttPeriod),"◇","")),IF(AND(AM$5&lt;=$F60,AM$5+GanttPeriod-1&gt;=$E60),"━","")))</f>
        <v/>
      </c>
      <c r="AN60" s="69" t="str">
        <f aca="false">IF($E60="","",IF($M60,IF(AND($G60&gt;=AN$5,$G60&lt;AN$5+GanttPeriod),"◆",IF(AND($E60&gt;=AN$5,$E60&lt;AN$5+GanttPeriod),"◇","")),IF(AND(AN$5&lt;=$F60,AN$5+GanttPeriod-1&gt;=$E60),"━","")))</f>
        <v/>
      </c>
      <c r="AO60" s="69" t="str">
        <f aca="false">IF($E60="","",IF($M60,IF(AND($G60&gt;=AO$5,$G60&lt;AO$5+GanttPeriod),"◆",IF(AND($E60&gt;=AO$5,$E60&lt;AO$5+GanttPeriod),"◇","")),IF(AND(AO$5&lt;=$F60,AO$5+GanttPeriod-1&gt;=$E60),"━","")))</f>
        <v/>
      </c>
      <c r="AP60" s="69" t="str">
        <f aca="false">IF($E60="","",IF($M60,IF(AND($G60&gt;=AP$5,$G60&lt;AP$5+GanttPeriod),"◆",IF(AND($E60&gt;=AP$5,$E60&lt;AP$5+GanttPeriod),"◇","")),IF(AND(AP$5&lt;=$F60,AP$5+GanttPeriod-1&gt;=$E60),"━","")))</f>
        <v/>
      </c>
      <c r="AQ60" s="69" t="str">
        <f aca="false">IF($E60="","",IF($M60,IF(AND($G60&gt;=AQ$5,$G60&lt;AQ$5+GanttPeriod),"◆",IF(AND($E60&gt;=AQ$5,$E60&lt;AQ$5+GanttPeriod),"◇","")),IF(AND(AQ$5&lt;=$F60,AQ$5+GanttPeriod-1&gt;=$E60),"━","")))</f>
        <v/>
      </c>
      <c r="AR60" s="69" t="str">
        <f aca="false">IF($E60="","",IF($M60,IF(AND($G60&gt;=AR$5,$G60&lt;AR$5+GanttPeriod),"◆",IF(AND($E60&gt;=AR$5,$E60&lt;AR$5+GanttPeriod),"◇","")),IF(AND(AR$5&lt;=$F60,AR$5+GanttPeriod-1&gt;=$E60),"━","")))</f>
        <v/>
      </c>
      <c r="AS60" s="69" t="str">
        <f aca="false">IF($E60="","",IF($M60,IF(AND($G60&gt;=AS$5,$G60&lt;AS$5+GanttPeriod),"◆",IF(AND($E60&gt;=AS$5,$E60&lt;AS$5+GanttPeriod),"◇","")),IF(AND(AS$5&lt;=$F60,AS$5+GanttPeriod-1&gt;=$E60),"━","")))</f>
        <v/>
      </c>
      <c r="AT60" s="69" t="str">
        <f aca="false">IF($E60="","",IF($M60,IF(AND($G60&gt;=AT$5,$G60&lt;AT$5+GanttPeriod),"◆",IF(AND($E60&gt;=AT$5,$E60&lt;AT$5+GanttPeriod),"◇","")),IF(AND(AT$5&lt;=$F60,AT$5+GanttPeriod-1&gt;=$E60),"━","")))</f>
        <v/>
      </c>
      <c r="AU60" s="69" t="str">
        <f aca="false">IF($E60="","",IF($M60,IF(AND($G60&gt;=AU$5,$G60&lt;AU$5+GanttPeriod),"◆",IF(AND($E60&gt;=AU$5,$E60&lt;AU$5+GanttPeriod),"◇","")),IF(AND(AU$5&lt;=$F60,AU$5+GanttPeriod-1&gt;=$E60),"━","")))</f>
        <v/>
      </c>
      <c r="AV60" s="69" t="str">
        <f aca="false">IF($E60="","",IF($M60,IF(AND($G60&gt;=AV$5,$G60&lt;AV$5+GanttPeriod),"◆",IF(AND($E60&gt;=AV$5,$E60&lt;AV$5+GanttPeriod),"◇","")),IF(AND(AV$5&lt;=$F60,AV$5+GanttPeriod-1&gt;=$E60),"━","")))</f>
        <v/>
      </c>
      <c r="AW60" s="69" t="str">
        <f aca="false">IF($E60="","",IF($M60,IF(AND($G60&gt;=AW$5,$G60&lt;AW$5+GanttPeriod),"◆",IF(AND($E60&gt;=AW$5,$E60&lt;AW$5+GanttPeriod),"◇","")),IF(AND(AW$5&lt;=$F60,AW$5+GanttPeriod-1&gt;=$E60),"━","")))</f>
        <v/>
      </c>
      <c r="AX60" s="69" t="str">
        <f aca="false">IF($E60="","",IF($M60,IF(AND($G60&gt;=AX$5,$G60&lt;AX$5+GanttPeriod),"◆",IF(AND($E60&gt;=AX$5,$E60&lt;AX$5+GanttPeriod),"◇","")),IF(AND(AX$5&lt;=$F60,AX$5+GanttPeriod-1&gt;=$E60),"━","")))</f>
        <v/>
      </c>
      <c r="AY60" s="69" t="str">
        <f aca="false">IF($E60="","",IF($M60,IF(AND($G60&gt;=AY$5,$G60&lt;AY$5+GanttPeriod),"◆",IF(AND($E60&gt;=AY$5,$E60&lt;AY$5+GanttPeriod),"◇","")),IF(AND(AY$5&lt;=$F60,AY$5+GanttPeriod-1&gt;=$E60),"━","")))</f>
        <v/>
      </c>
      <c r="AZ60" s="69" t="str">
        <f aca="false">IF($E60="","",IF($M60,IF(AND($G60&gt;=AZ$5,$G60&lt;AZ$5+GanttPeriod),"◆",IF(AND($E60&gt;=AZ$5,$E60&lt;AZ$5+GanttPeriod),"◇","")),IF(AND(AZ$5&lt;=$F60,AZ$5+GanttPeriod-1&gt;=$E60),"━","")))</f>
        <v/>
      </c>
      <c r="BA60" s="69" t="str">
        <f aca="false">IF($E60="","",IF($M60,IF(AND($G60&gt;=BA$5,$G60&lt;BA$5+GanttPeriod),"◆",IF(AND($E60&gt;=BA$5,$E60&lt;BA$5+GanttPeriod),"◇","")),IF(AND(BA$5&lt;=$F60,BA$5+GanttPeriod-1&gt;=$E60),"━","")))</f>
        <v/>
      </c>
      <c r="BB60" s="69" t="str">
        <f aca="false">IF($E60="","",IF($M60,IF(AND($G60&gt;=BB$5,$G60&lt;BB$5+GanttPeriod),"◆",IF(AND($E60&gt;=BB$5,$E60&lt;BB$5+GanttPeriod),"◇","")),IF(AND(BB$5&lt;=$F60,BB$5+GanttPeriod-1&gt;=$E60),"━","")))</f>
        <v/>
      </c>
      <c r="BC60" s="69" t="str">
        <f aca="false">IF($E60="","",IF($M60,IF(AND($G60&gt;=BC$5,$G60&lt;BC$5+GanttPeriod),"◆",IF(AND($E60&gt;=BC$5,$E60&lt;BC$5+GanttPeriod),"◇","")),IF(AND(BC$5&lt;=$F60,BC$5+GanttPeriod-1&gt;=$E60),"━","")))</f>
        <v/>
      </c>
      <c r="BD60" s="69" t="str">
        <f aca="false">IF($E60="","",IF($M60,IF(AND($G60&gt;=BD$5,$G60&lt;BD$5+GanttPeriod),"◆",IF(AND($E60&gt;=BD$5,$E60&lt;BD$5+GanttPeriod),"◇","")),IF(AND(BD$5&lt;=$F60,BD$5+GanttPeriod-1&gt;=$E60),"━","")))</f>
        <v/>
      </c>
      <c r="BE60" s="69" t="str">
        <f aca="false">IF($E60="","",IF($M60,IF(AND($G60&gt;=BE$5,$G60&lt;BE$5+GanttPeriod),"◆",IF(AND($E60&gt;=BE$5,$E60&lt;BE$5+GanttPeriod),"◇","")),IF(AND(BE$5&lt;=$F60,BE$5+GanttPeriod-1&gt;=$E60),"━","")))</f>
        <v/>
      </c>
      <c r="BF60" s="69" t="str">
        <f aca="false">IF($E60="","",IF($M60,IF(AND($G60&gt;=BF$5,$G60&lt;BF$5+GanttPeriod),"◆",IF(AND($E60&gt;=BF$5,$E60&lt;BF$5+GanttPeriod),"◇","")),IF(AND(BF$5&lt;=$F60,BF$5+GanttPeriod-1&gt;=$E60),"━","")))</f>
        <v/>
      </c>
      <c r="BG60" s="69" t="str">
        <f aca="false">IF($E60="","",IF($M60,IF(AND($G60&gt;=BG$5,$G60&lt;BG$5+GanttPeriod),"◆",IF(AND($E60&gt;=BG$5,$E60&lt;BG$5+GanttPeriod),"◇","")),IF(AND(BG$5&lt;=$F60,BG$5+GanttPeriod-1&gt;=$E60),"━","")))</f>
        <v/>
      </c>
      <c r="BH60" s="69" t="str">
        <f aca="false">IF($E60="","",IF($M60,IF(AND($G60&gt;=BH$5,$G60&lt;BH$5+GanttPeriod),"◆",IF(AND($E60&gt;=BH$5,$E60&lt;BH$5+GanttPeriod),"◇","")),IF(AND(BH$5&lt;=$F60,BH$5+GanttPeriod-1&gt;=$E60),"━","")))</f>
        <v/>
      </c>
      <c r="BI60" s="69" t="str">
        <f aca="false">IF($E60="","",IF($M60,IF(AND($G60&gt;=BI$5,$G60&lt;BI$5+GanttPeriod),"◆",IF(AND($E60&gt;=BI$5,$E60&lt;BI$5+GanttPeriod),"◇","")),IF(AND(BI$5&lt;=$F60,BI$5+GanttPeriod-1&gt;=$E60),"━","")))</f>
        <v/>
      </c>
      <c r="BJ60" s="69" t="str">
        <f aca="false">IF($E60="","",IF($M60,IF(AND($G60&gt;=BJ$5,$G60&lt;BJ$5+GanttPeriod),"◆",IF(AND($E60&gt;=BJ$5,$E60&lt;BJ$5+GanttPeriod),"◇","")),IF(AND(BJ$5&lt;=$F60,BJ$5+GanttPeriod-1&gt;=$E60),"━","")))</f>
        <v/>
      </c>
      <c r="BK60" s="69" t="str">
        <f aca="false">IF($E60="","",IF($M60,IF(AND($G60&gt;=BK$5,$G60&lt;BK$5+GanttPeriod),"◆",IF(AND($E60&gt;=BK$5,$E60&lt;BK$5+GanttPeriod),"◇","")),IF(AND(BK$5&lt;=$F60,BK$5+GanttPeriod-1&gt;=$E60),"━","")))</f>
        <v/>
      </c>
      <c r="BL60" s="69" t="str">
        <f aca="false">IF($E60="","",IF($M60,IF(AND($G60&gt;=BL$5,$G60&lt;BL$5+GanttPeriod),"◆",IF(AND($E60&gt;=BL$5,$E60&lt;BL$5+GanttPeriod),"◇","")),IF(AND(BL$5&lt;=$F60,BL$5+GanttPeriod-1&gt;=$E60),"━","")))</f>
        <v/>
      </c>
      <c r="BM60" s="69" t="str">
        <f aca="false">IF($E60="","",IF($M60,IF(AND($G60&gt;=BM$5,$G60&lt;BM$5+GanttPeriod),"◆",IF(AND($E60&gt;=BM$5,$E60&lt;BM$5+GanttPeriod),"◇","")),IF(AND(BM$5&lt;=$F60,BM$5+GanttPeriod-1&gt;=$E60),"━","")))</f>
        <v/>
      </c>
      <c r="BN60" s="69" t="str">
        <f aca="false">IF($E60="","",IF($M60,IF(AND($G60&gt;=BN$5,$G60&lt;BN$5+GanttPeriod),"◆",IF(AND($E60&gt;=BN$5,$E60&lt;BN$5+GanttPeriod),"◇","")),IF(AND(BN$5&lt;=$F60,BN$5+GanttPeriod-1&gt;=$E60),"━","")))</f>
        <v/>
      </c>
      <c r="BO60" s="69" t="str">
        <f aca="false">IF($E60="","",IF($M60,IF(AND($G60&gt;=BO$5,$G60&lt;BO$5+GanttPeriod),"◆",IF(AND($E60&gt;=BO$5,$E60&lt;BO$5+GanttPeriod),"◇","")),IF(AND(BO$5&lt;=$F60,BO$5+GanttPeriod-1&gt;=$E60),"━","")))</f>
        <v/>
      </c>
      <c r="BP60" s="69" t="str">
        <f aca="false">IF($E60="","",IF($M60,IF(AND($G60&gt;=BP$5,$G60&lt;BP$5+GanttPeriod),"◆",IF(AND($E60&gt;=BP$5,$E60&lt;BP$5+GanttPeriod),"◇","")),IF(AND(BP$5&lt;=$F60,BP$5+GanttPeriod-1&gt;=$E60),"━","")))</f>
        <v/>
      </c>
      <c r="BQ60" s="69" t="str">
        <f aca="false">IF($E60="","",IF($M60,IF(AND($G60&gt;=BQ$5,$G60&lt;BQ$5+GanttPeriod),"◆",IF(AND($E60&gt;=BQ$5,$E60&lt;BQ$5+GanttPeriod),"◇","")),IF(AND(BQ$5&lt;=$F60,BQ$5+GanttPeriod-1&gt;=$E60),"━","")))</f>
        <v/>
      </c>
      <c r="BR60" s="69" t="str">
        <f aca="false">IF($E60="","",IF($M60,IF(AND($G60&gt;=BR$5,$G60&lt;BR$5+GanttPeriod),"◆",IF(AND($E60&gt;=BR$5,$E60&lt;BR$5+GanttPeriod),"◇","")),IF(AND(BR$5&lt;=$F60,BR$5+GanttPeriod-1&gt;=$E60),"━","")))</f>
        <v/>
      </c>
      <c r="BS60" s="69" t="str">
        <f aca="false">IF($E60="","",IF($M60,IF(AND($G60&gt;=BS$5,$G60&lt;BS$5+GanttPeriod),"◆",IF(AND($E60&gt;=BS$5,$E60&lt;BS$5+GanttPeriod),"◇","")),IF(AND(BS$5&lt;=$F60,BS$5+GanttPeriod-1&gt;=$E60),"━","")))</f>
        <v/>
      </c>
      <c r="BT60" s="69" t="str">
        <f aca="false">IF($E60="","",IF($M60,IF(AND($G60&gt;=BT$5,$G60&lt;BT$5+GanttPeriod),"◆",IF(AND($E60&gt;=BT$5,$E60&lt;BT$5+GanttPeriod),"◇","")),IF(AND(BT$5&lt;=$F60,BT$5+GanttPeriod-1&gt;=$E60),"━","")))</f>
        <v/>
      </c>
      <c r="BU60" s="69" t="str">
        <f aca="false">IF($E60="","",IF($M60,IF(AND($G60&gt;=BU$5,$G60&lt;BU$5+GanttPeriod),"◆",IF(AND($E60&gt;=BU$5,$E60&lt;BU$5+GanttPeriod),"◇","")),IF(AND(BU$5&lt;=$F60,BU$5+GanttPeriod-1&gt;=$E60),"━","")))</f>
        <v/>
      </c>
      <c r="BV60" s="69" t="str">
        <f aca="false">IF($E60="","",IF($M60,IF(AND($G60&gt;=BV$5,$G60&lt;BV$5+GanttPeriod),"◆",IF(AND($E60&gt;=BV$5,$E60&lt;BV$5+GanttPeriod),"◇","")),IF(AND(BV$5&lt;=$F60,BV$5+GanttPeriod-1&gt;=$E60),"━","")))</f>
        <v/>
      </c>
      <c r="BW60" s="69" t="str">
        <f aca="false">IF($E60="","",IF($M60,IF(AND($G60&gt;=BW$5,$G60&lt;BW$5+GanttPeriod),"◆",IF(AND($E60&gt;=BW$5,$E60&lt;BW$5+GanttPeriod),"◇","")),IF(AND(BW$5&lt;=$F60,BW$5+GanttPeriod-1&gt;=$E60),"━","")))</f>
        <v/>
      </c>
      <c r="BX60" s="69" t="str">
        <f aca="false">IF($E60="","",IF($M60,IF(AND($G60&gt;=BX$5,$G60&lt;BX$5+GanttPeriod),"◆",IF(AND($E60&gt;=BX$5,$E60&lt;BX$5+GanttPeriod),"◇","")),IF(AND(BX$5&lt;=$F60,BX$5+GanttPeriod-1&gt;=$E60),"━","")))</f>
        <v/>
      </c>
      <c r="BY60" s="69" t="str">
        <f aca="false">IF($E60="","",IF($M60,IF(AND($G60&gt;=BY$5,$G60&lt;BY$5+GanttPeriod),"◆",IF(AND($E60&gt;=BY$5,$E60&lt;BY$5+GanttPeriod),"◇","")),IF(AND(BY$5&lt;=$F60,BY$5+GanttPeriod-1&gt;=$E60),"━","")))</f>
        <v/>
      </c>
      <c r="BZ60" s="69" t="str">
        <f aca="false">IF($E60="","",IF($M60,IF(AND($G60&gt;=BZ$5,$G60&lt;BZ$5+GanttPeriod),"◆",IF(AND($E60&gt;=BZ$5,$E60&lt;BZ$5+GanttPeriod),"◇","")),IF(AND(BZ$5&lt;=$F60,BZ$5+GanttPeriod-1&gt;=$E60),"━","")))</f>
        <v/>
      </c>
      <c r="CA60" s="69" t="str">
        <f aca="false">IF($E60="","",IF($M60,IF(AND($G60&gt;=CA$5,$G60&lt;CA$5+GanttPeriod),"◆",IF(AND($E60&gt;=CA$5,$E60&lt;CA$5+GanttPeriod),"◇","")),IF(AND(CA$5&lt;=$F60,CA$5+GanttPeriod-1&gt;=$E60),"━","")))</f>
        <v/>
      </c>
      <c r="CB60" s="69" t="str">
        <f aca="false">IF($E60="","",IF($M60,IF(AND($G60&gt;=CB$5,$G60&lt;CB$5+GanttPeriod),"◆",IF(AND($E60&gt;=CB$5,$E60&lt;CB$5+GanttPeriod),"◇","")),IF(AND(CB$5&lt;=$F60,CB$5+GanttPeriod-1&gt;=$E60),"━","")))</f>
        <v/>
      </c>
      <c r="CC60" s="69" t="str">
        <f aca="false">IF($E60="","",IF($M60,IF(AND($G60&gt;=CC$5,$G60&lt;CC$5+GanttPeriod),"◆",IF(AND($E60&gt;=CC$5,$E60&lt;CC$5+GanttPeriod),"◇","")),IF(AND(CC$5&lt;=$F60,CC$5+GanttPeriod-1&gt;=$E60),"━","")))</f>
        <v/>
      </c>
      <c r="CD60" s="69" t="str">
        <f aca="false">IF($E60="","",IF($M60,IF(AND($G60&gt;=CD$5,$G60&lt;CD$5+GanttPeriod),"◆",IF(AND($E60&gt;=CD$5,$E60&lt;CD$5+GanttPeriod),"◇","")),IF(AND(CD$5&lt;=$F60,CD$5+GanttPeriod-1&gt;=$E60),"━","")))</f>
        <v/>
      </c>
      <c r="CE60" s="69" t="str">
        <f aca="false">IF($E60="","",IF($M60,IF(AND($G60&gt;=CE$5,$G60&lt;CE$5+GanttPeriod),"◆",IF(AND($E60&gt;=CE$5,$E60&lt;CE$5+GanttPeriod),"◇","")),IF(AND(CE$5&lt;=$F60,CE$5+GanttPeriod-1&gt;=$E60),"━","")))</f>
        <v/>
      </c>
      <c r="CF60" s="69" t="str">
        <f aca="false">IF($E60="","",IF($M60,IF(AND($G60&gt;=CF$5,$G60&lt;CF$5+GanttPeriod),"◆",IF(AND($E60&gt;=CF$5,$E60&lt;CF$5+GanttPeriod),"◇","")),IF(AND(CF$5&lt;=$F60,CF$5+GanttPeriod-1&gt;=$E60),"━","")))</f>
        <v/>
      </c>
      <c r="CG60" s="69" t="str">
        <f aca="false">IF($E60="","",IF($M60,IF(AND($G60&gt;=CG$5,$G60&lt;CG$5+GanttPeriod),"◆",IF(AND($E60&gt;=CG$5,$E60&lt;CG$5+GanttPeriod),"◇","")),IF(AND(CG$5&lt;=$F60,CG$5+GanttPeriod-1&gt;=$E60),"━","")))</f>
        <v/>
      </c>
      <c r="CH60" s="69" t="str">
        <f aca="false">IF($E60="","",IF($M60,IF(AND($G60&gt;=CH$5,$G60&lt;CH$5+GanttPeriod),"◆",IF(AND($E60&gt;=CH$5,$E60&lt;CH$5+GanttPeriod),"◇","")),IF(AND(CH$5&lt;=$F60,CH$5+GanttPeriod-1&gt;=$E60),"━","")))</f>
        <v/>
      </c>
      <c r="CI60" s="69" t="str">
        <f aca="false">IF($E60="","",IF($M60,IF(AND($G60&gt;=CI$5,$G60&lt;CI$5+GanttPeriod),"◆",IF(AND($E60&gt;=CI$5,$E60&lt;CI$5+GanttPeriod),"◇","")),IF(AND(CI$5&lt;=$F60,CI$5+GanttPeriod-1&gt;=$E60),"━","")))</f>
        <v/>
      </c>
      <c r="CJ60" s="69" t="str">
        <f aca="false">IF($E60="","",IF($M60,IF(AND($G60&gt;=CJ$5,$G60&lt;CJ$5+GanttPeriod),"◆",IF(AND($E60&gt;=CJ$5,$E60&lt;CJ$5+GanttPeriod),"◇","")),IF(AND(CJ$5&lt;=$F60,CJ$5+GanttPeriod-1&gt;=$E60),"━","")))</f>
        <v/>
      </c>
      <c r="CK60" s="69" t="str">
        <f aca="false">IF($E60="","",IF($M60,IF(AND($G60&gt;=CK$5,$G60&lt;CK$5+GanttPeriod),"◆",IF(AND($E60&gt;=CK$5,$E60&lt;CK$5+GanttPeriod),"◇","")),IF(AND(CK$5&lt;=$F60,CK$5+GanttPeriod-1&gt;=$E60),"━","")))</f>
        <v/>
      </c>
      <c r="CL60" s="69" t="str">
        <f aca="false">IF($E60="","",IF($M60,IF(AND($G60&gt;=CL$5,$G60&lt;CL$5+GanttPeriod),"◆",IF(AND($E60&gt;=CL$5,$E60&lt;CL$5+GanttPeriod),"◇","")),IF(AND(CL$5&lt;=$F60,CL$5+GanttPeriod-1&gt;=$E60),"━","")))</f>
        <v/>
      </c>
      <c r="CM60" s="69" t="str">
        <f aca="false">IF($E60="","",IF($M60,IF(AND($G60&gt;=CM$5,$G60&lt;CM$5+GanttPeriod),"◆",IF(AND($E60&gt;=CM$5,$E60&lt;CM$5+GanttPeriod),"◇","")),IF(AND(CM$5&lt;=$F60,CM$5+GanttPeriod-1&gt;=$E60),"━","")))</f>
        <v/>
      </c>
      <c r="CN60" s="69" t="str">
        <f aca="false">IF($E60="","",IF($M60,IF(AND($G60&gt;=CN$5,$G60&lt;CN$5+GanttPeriod),"◆",IF(AND($E60&gt;=CN$5,$E60&lt;CN$5+GanttPeriod),"◇","")),IF(AND(CN$5&lt;=$F60,CN$5+GanttPeriod-1&gt;=$E60),"━","")))</f>
        <v/>
      </c>
      <c r="CO60" s="69" t="str">
        <f aca="false">IF($E60="","",IF($M60,IF(AND($G60&gt;=CO$5,$G60&lt;CO$5+GanttPeriod),"◆",IF(AND($E60&gt;=CO$5,$E60&lt;CO$5+GanttPeriod),"◇","")),IF(AND(CO$5&lt;=$F60,CO$5+GanttPeriod-1&gt;=$E60),"━","")))</f>
        <v/>
      </c>
      <c r="CP60" s="69" t="str">
        <f aca="false">IF($E60="","",IF($M60,IF(AND($G60&gt;=CP$5,$G60&lt;CP$5+GanttPeriod),"◆",IF(AND($E60&gt;=CP$5,$E60&lt;CP$5+GanttPeriod),"◇","")),IF(AND(CP$5&lt;=$F60,CP$5+GanttPeriod-1&gt;=$E60),"━","")))</f>
        <v/>
      </c>
      <c r="CQ60" s="69" t="str">
        <f aca="false">IF($E60="","",IF($M60,IF(AND($G60&gt;=CQ$5,$G60&lt;CQ$5+GanttPeriod),"◆",IF(AND($E60&gt;=CQ$5,$E60&lt;CQ$5+GanttPeriod),"◇","")),IF(AND(CQ$5&lt;=$F60,CQ$5+GanttPeriod-1&gt;=$E60),"━","")))</f>
        <v/>
      </c>
      <c r="CR60" s="69" t="str">
        <f aca="false">IF($E60="","",IF($M60,IF(AND($G60&gt;=CR$5,$G60&lt;CR$5+GanttPeriod),"◆",IF(AND($E60&gt;=CR$5,$E60&lt;CR$5+GanttPeriod),"◇","")),IF(AND(CR$5&lt;=$F60,CR$5+GanttPeriod-1&gt;=$E60),"━","")))</f>
        <v/>
      </c>
      <c r="CS60" s="69" t="str">
        <f aca="false">IF($E60="","",IF($M60,IF(AND($G60&gt;=CS$5,$G60&lt;CS$5+GanttPeriod),"◆",IF(AND($E60&gt;=CS$5,$E60&lt;CS$5+GanttPeriod),"◇","")),IF(AND(CS$5&lt;=$F60,CS$5+GanttPeriod-1&gt;=$E60),"━","")))</f>
        <v/>
      </c>
      <c r="CT60" s="69" t="str">
        <f aca="false">IF($E60="","",IF($M60,IF(AND($G60&gt;=CT$5,$G60&lt;CT$5+GanttPeriod),"◆",IF(AND($E60&gt;=CT$5,$E60&lt;CT$5+GanttPeriod),"◇","")),IF(AND(CT$5&lt;=$F60,CT$5+GanttPeriod-1&gt;=$E60),"━","")))</f>
        <v/>
      </c>
      <c r="CU60" s="69" t="str">
        <f aca="false">IF($E60="","",IF($M60,IF(AND($G60&gt;=CU$5,$G60&lt;CU$5+GanttPeriod),"◆",IF(AND($E60&gt;=CU$5,$E60&lt;CU$5+GanttPeriod),"◇","")),IF(AND(CU$5&lt;=$F60,CU$5+GanttPeriod-1&gt;=$E60),"━","")))</f>
        <v/>
      </c>
      <c r="CV60" s="69" t="str">
        <f aca="false">IF($E60="","",IF($M60,IF(AND($G60&gt;=CV$5,$G60&lt;CV$5+GanttPeriod),"◆",IF(AND($E60&gt;=CV$5,$E60&lt;CV$5+GanttPeriod),"◇","")),IF(AND(CV$5&lt;=$F60,CV$5+GanttPeriod-1&gt;=$E60),"━","")))</f>
        <v/>
      </c>
      <c r="CW60" s="69" t="str">
        <f aca="false">IF($E60="","",IF($M60,IF(AND($G60&gt;=CW$5,$G60&lt;CW$5+GanttPeriod),"◆",IF(AND($E60&gt;=CW$5,$E60&lt;CW$5+GanttPeriod),"◇","")),IF(AND(CW$5&lt;=$F60,CW$5+GanttPeriod-1&gt;=$E60),"━","")))</f>
        <v/>
      </c>
      <c r="CX60" s="69" t="str">
        <f aca="false">IF($E60="","",IF($M60,IF(AND($G60&gt;=CX$5,$G60&lt;CX$5+GanttPeriod),"◆",IF(AND($E60&gt;=CX$5,$E60&lt;CX$5+GanttPeriod),"◇","")),IF(AND(CX$5&lt;=$F60,CX$5+GanttPeriod-1&gt;=$E60),"━","")))</f>
        <v/>
      </c>
      <c r="CY60" s="69" t="str">
        <f aca="false">IF($E60="","",IF($M60,IF(AND($G60&gt;=CY$5,$G60&lt;CY$5+GanttPeriod),"◆",IF(AND($E60&gt;=CY$5,$E60&lt;CY$5+GanttPeriod),"◇","")),IF(AND(CY$5&lt;=$F60,CY$5+GanttPeriod-1&gt;=$E60),"━","")))</f>
        <v/>
      </c>
      <c r="CZ60" s="69" t="str">
        <f aca="false">IF($E60="","",IF($M60,IF(AND($G60&gt;=CZ$5,$G60&lt;CZ$5+GanttPeriod),"◆",IF(AND($E60&gt;=CZ$5,$E60&lt;CZ$5+GanttPeriod),"◇","")),IF(AND(CZ$5&lt;=$F60,CZ$5+GanttPeriod-1&gt;=$E60),"━","")))</f>
        <v/>
      </c>
      <c r="DA60" s="69" t="str">
        <f aca="false">IF($E60="","",IF($M60,IF(AND($G60&gt;=DA$5,$G60&lt;DA$5+GanttPeriod),"◆",IF(AND($E60&gt;=DA$5,$E60&lt;DA$5+GanttPeriod),"◇","")),IF(AND(DA$5&lt;=$F60,DA$5+GanttPeriod-1&gt;=$E60),"━","")))</f>
        <v/>
      </c>
      <c r="DB60" s="69" t="str">
        <f aca="false">IF($E60="","",IF($M60,IF(AND($G60&gt;=DB$5,$G60&lt;DB$5+GanttPeriod),"◆",IF(AND($E60&gt;=DB$5,$E60&lt;DB$5+GanttPeriod),"◇","")),IF(AND(DB$5&lt;=$F60,DB$5+GanttPeriod-1&gt;=$E60),"━","")))</f>
        <v/>
      </c>
      <c r="DC60" s="69" t="str">
        <f aca="false">IF($E60="","",IF($M60,IF(AND($G60&gt;=DC$5,$G60&lt;DC$5+GanttPeriod),"◆",IF(AND($E60&gt;=DC$5,$E60&lt;DC$5+GanttPeriod),"◇","")),IF(AND(DC$5&lt;=$F60,DC$5+GanttPeriod-1&gt;=$E60),"━","")))</f>
        <v/>
      </c>
      <c r="DD60" s="69" t="str">
        <f aca="false">IF($E60="","",IF($M60,IF(AND($G60&gt;=DD$5,$G60&lt;DD$5+GanttPeriod),"◆",IF(AND($E60&gt;=DD$5,$E60&lt;DD$5+GanttPeriod),"◇","")),IF(AND(DD$5&lt;=$F60,DD$5+GanttPeriod-1&gt;=$E60),"━","")))</f>
        <v/>
      </c>
      <c r="DE60" s="69" t="str">
        <f aca="false">IF($E60="","",IF($M60,IF(AND($G60&gt;=DE$5,$G60&lt;DE$5+GanttPeriod),"◆",IF(AND($E60&gt;=DE$5,$E60&lt;DE$5+GanttPeriod),"◇","")),IF(AND(DE$5&lt;=$F60,DE$5+GanttPeriod-1&gt;=$E60),"━","")))</f>
        <v/>
      </c>
      <c r="DF60" s="69" t="str">
        <f aca="false">IF($E60="","",IF($M60,IF(AND($G60&gt;=DF$5,$G60&lt;DF$5+GanttPeriod),"◆",IF(AND($E60&gt;=DF$5,$E60&lt;DF$5+GanttPeriod),"◇","")),IF(AND(DF$5&lt;=$F60,DF$5+GanttPeriod-1&gt;=$E60),"━","")))</f>
        <v/>
      </c>
      <c r="DG60" s="69" t="str">
        <f aca="false">IF($E60="","",IF($M60,IF(AND($G60&gt;=DG$5,$G60&lt;DG$5+GanttPeriod),"◆",IF(AND($E60&gt;=DG$5,$E60&lt;DG$5+GanttPeriod),"◇","")),IF(AND(DG$5&lt;=$F60,DG$5+GanttPeriod-1&gt;=$E60),"━","")))</f>
        <v/>
      </c>
      <c r="DH60" s="69" t="str">
        <f aca="false">IF($E60="","",IF($M60,IF(AND($G60&gt;=DH$5,$G60&lt;DH$5+GanttPeriod),"◆",IF(AND($E60&gt;=DH$5,$E60&lt;DH$5+GanttPeriod),"◇","")),IF(AND(DH$5&lt;=$F60,DH$5+GanttPeriod-1&gt;=$E60),"━","")))</f>
        <v/>
      </c>
      <c r="DI60" s="69" t="str">
        <f aca="false">IF($E60="","",IF($M60,IF(AND($G60&gt;=DI$5,$G60&lt;DI$5+GanttPeriod),"◆",IF(AND($E60&gt;=DI$5,$E60&lt;DI$5+GanttPeriod),"◇","")),IF(AND(DI$5&lt;=$F60,DI$5+GanttPeriod-1&gt;=$E60),"━","")))</f>
        <v/>
      </c>
      <c r="DJ60" s="69" t="str">
        <f aca="false">IF($E60="","",IF($M60,IF(AND($G60&gt;=DJ$5,$G60&lt;DJ$5+GanttPeriod),"◆",IF(AND($E60&gt;=DJ$5,$E60&lt;DJ$5+GanttPeriod),"◇","")),IF(AND(DJ$5&lt;=$F60,DJ$5+GanttPeriod-1&gt;=$E60),"━","")))</f>
        <v/>
      </c>
      <c r="DK60" s="69" t="str">
        <f aca="false">IF($E60="","",IF($M60,IF(AND($G60&gt;=DK$5,$G60&lt;DK$5+GanttPeriod),"◆",IF(AND($E60&gt;=DK$5,$E60&lt;DK$5+GanttPeriod),"◇","")),IF(AND(DK$5&lt;=$F60,DK$5+GanttPeriod-1&gt;=$E60),"━","")))</f>
        <v/>
      </c>
      <c r="DL60" s="69" t="str">
        <f aca="false">IF($E60="","",IF($M60,IF(AND($G60&gt;=DL$5,$G60&lt;DL$5+GanttPeriod),"◆",IF(AND($E60&gt;=DL$5,$E60&lt;DL$5+GanttPeriod),"◇","")),IF(AND(DL$5&lt;=$F60,DL$5+GanttPeriod-1&gt;=$E60),"━","")))</f>
        <v/>
      </c>
      <c r="DM60" s="69" t="str">
        <f aca="false">IF($E60="","",IF($M60,IF(AND($G60&gt;=DM$5,$G60&lt;DM$5+GanttPeriod),"◆",IF(AND($E60&gt;=DM$5,$E60&lt;DM$5+GanttPeriod),"◇","")),IF(AND(DM$5&lt;=$F60,DM$5+GanttPeriod-1&gt;=$E60),"━","")))</f>
        <v/>
      </c>
      <c r="DN60" s="69" t="str">
        <f aca="false">IF($E60="","",IF($M60,IF(AND($G60&gt;=DN$5,$G60&lt;DN$5+GanttPeriod),"◆",IF(AND($E60&gt;=DN$5,$E60&lt;DN$5+GanttPeriod),"◇","")),IF(AND(DN$5&lt;=$F60,DN$5+GanttPeriod-1&gt;=$E60),"━","")))</f>
        <v/>
      </c>
      <c r="DO60" s="69" t="str">
        <f aca="false">IF($E60="","",IF($M60,IF(AND($G60&gt;=DO$5,$G60&lt;DO$5+GanttPeriod),"◆",IF(AND($E60&gt;=DO$5,$E60&lt;DO$5+GanttPeriod),"◇","")),IF(AND(DO$5&lt;=$F60,DO$5+GanttPeriod-1&gt;=$E60),"━","")))</f>
        <v/>
      </c>
      <c r="DP60" s="69" t="str">
        <f aca="false">IF($E60="","",IF($M60,IF(AND($G60&gt;=DP$5,$G60&lt;DP$5+GanttPeriod),"◆",IF(AND($E60&gt;=DP$5,$E60&lt;DP$5+GanttPeriod),"◇","")),IF(AND(DP$5&lt;=$F60,DP$5+GanttPeriod-1&gt;=$E60),"━","")))</f>
        <v/>
      </c>
      <c r="DQ60" s="69" t="str">
        <f aca="false">IF($E60="","",IF($M60,IF(AND($G60&gt;=DQ$5,$G60&lt;DQ$5+GanttPeriod),"◆",IF(AND($E60&gt;=DQ$5,$E60&lt;DQ$5+GanttPeriod),"◇","")),IF(AND(DQ$5&lt;=$F60,DQ$5+GanttPeriod-1&gt;=$E60),"━","")))</f>
        <v/>
      </c>
      <c r="DR60" s="69" t="str">
        <f aca="false">IF($E60="","",IF($M60,IF(AND($G60&gt;=DR$5,$G60&lt;DR$5+GanttPeriod),"◆",IF(AND($E60&gt;=DR$5,$E60&lt;DR$5+GanttPeriod),"◇","")),IF(AND(DR$5&lt;=$F60,DR$5+GanttPeriod-1&gt;=$E60),"━","")))</f>
        <v/>
      </c>
      <c r="DS60" s="69" t="str">
        <f aca="false">IF($E60="","",IF($M60,IF(AND($G60&gt;=DS$5,$G60&lt;DS$5+GanttPeriod),"◆",IF(AND($E60&gt;=DS$5,$E60&lt;DS$5+GanttPeriod),"◇","")),IF(AND(DS$5&lt;=$F60,DS$5+GanttPeriod-1&gt;=$E60),"━","")))</f>
        <v/>
      </c>
      <c r="DT60" s="69" t="str">
        <f aca="false">IF($E60="","",IF($M60,IF(AND($G60&gt;=DT$5,$G60&lt;DT$5+GanttPeriod),"◆",IF(AND($E60&gt;=DT$5,$E60&lt;DT$5+GanttPeriod),"◇","")),IF(AND(DT$5&lt;=$F60,DT$5+GanttPeriod-1&gt;=$E60),"━","")))</f>
        <v/>
      </c>
      <c r="DU60" s="69" t="str">
        <f aca="false">IF($E60="","",IF($M60,IF(AND($G60&gt;=DU$5,$G60&lt;DU$5+GanttPeriod),"◆",IF(AND($E60&gt;=DU$5,$E60&lt;DU$5+GanttPeriod),"◇","")),IF(AND(DU$5&lt;=$F60,DU$5+GanttPeriod-1&gt;=$E60),"━","")))</f>
        <v/>
      </c>
      <c r="DV60" s="69" t="str">
        <f aca="false">IF($E60="","",IF($M60,IF(AND($G60&gt;=DV$5,$G60&lt;DV$5+GanttPeriod),"◆",IF(AND($E60&gt;=DV$5,$E60&lt;DV$5+GanttPeriod),"◇","")),IF(AND(DV$5&lt;=$F60,DV$5+GanttPeriod-1&gt;=$E60),"━","")))</f>
        <v/>
      </c>
      <c r="DW60" s="69" t="str">
        <f aca="false">IF($E60="","",IF($M60,IF(AND($G60&gt;=DW$5,$G60&lt;DW$5+GanttPeriod),"◆",IF(AND($E60&gt;=DW$5,$E60&lt;DW$5+GanttPeriod),"◇","")),IF(AND(DW$5&lt;=$F60,DW$5+GanttPeriod-1&gt;=$E60),"━","")))</f>
        <v/>
      </c>
      <c r="DX60" s="69" t="str">
        <f aca="false">IF($E60="","",IF($M60,IF(AND($G60&gt;=DX$5,$G60&lt;DX$5+GanttPeriod),"◆",IF(AND($E60&gt;=DX$5,$E60&lt;DX$5+GanttPeriod),"◇","")),IF(AND(DX$5&lt;=$F60,DX$5+GanttPeriod-1&gt;=$E60),"━","")))</f>
        <v/>
      </c>
      <c r="DY60" s="69" t="str">
        <f aca="false">IF($E60="","",IF($M60,IF(AND($G60&gt;=DY$5,$G60&lt;DY$5+GanttPeriod),"◆",IF(AND($E60&gt;=DY$5,$E60&lt;DY$5+GanttPeriod),"◇","")),IF(AND(DY$5&lt;=$F60,DY$5+GanttPeriod-1&gt;=$E60),"━","")))</f>
        <v/>
      </c>
      <c r="DZ60" s="69" t="str">
        <f aca="false">IF($E60="","",IF($M60,IF(AND($G60&gt;=DZ$5,$G60&lt;DZ$5+GanttPeriod),"◆",IF(AND($E60&gt;=DZ$5,$E60&lt;DZ$5+GanttPeriod),"◇","")),IF(AND(DZ$5&lt;=$F60,DZ$5+GanttPeriod-1&gt;=$E60),"━","")))</f>
        <v/>
      </c>
      <c r="EA60" s="69" t="str">
        <f aca="false">IF($E60="","",IF($M60,IF(AND($G60&gt;=EA$5,$G60&lt;EA$5+GanttPeriod),"◆",IF(AND($E60&gt;=EA$5,$E60&lt;EA$5+GanttPeriod),"◇","")),IF(AND(EA$5&lt;=$F60,EA$5+GanttPeriod-1&gt;=$E60),"━","")))</f>
        <v/>
      </c>
      <c r="EB60" s="69" t="str">
        <f aca="false">IF($E60="","",IF($M60,IF(AND($G60&gt;=EB$5,$G60&lt;EB$5+GanttPeriod),"◆",IF(AND($E60&gt;=EB$5,$E60&lt;EB$5+GanttPeriod),"◇","")),IF(AND(EB$5&lt;=$F60,EB$5+GanttPeriod-1&gt;=$E60),"━","")))</f>
        <v/>
      </c>
      <c r="EC60" s="69" t="str">
        <f aca="false">IF($E60="","",IF($M60,IF(AND($G60&gt;=EC$5,$G60&lt;EC$5+GanttPeriod),"◆",IF(AND($E60&gt;=EC$5,$E60&lt;EC$5+GanttPeriod),"◇","")),IF(AND(EC$5&lt;=$F60,EC$5+GanttPeriod-1&gt;=$E60),"━","")))</f>
        <v/>
      </c>
      <c r="ED60" s="69" t="str">
        <f aca="false">IF($E60="","",IF($M60,IF(AND($G60&gt;=ED$5,$G60&lt;ED$5+GanttPeriod),"◆",IF(AND($E60&gt;=ED$5,$E60&lt;ED$5+GanttPeriod),"◇","")),IF(AND(ED$5&lt;=$F60,ED$5+GanttPeriod-1&gt;=$E60),"━","")))</f>
        <v/>
      </c>
      <c r="EE60" s="69" t="str">
        <f aca="false">IF($E60="","",IF($M60,IF(AND($G60&gt;=EE$5,$G60&lt;EE$5+GanttPeriod),"◆",IF(AND($E60&gt;=EE$5,$E60&lt;EE$5+GanttPeriod),"◇","")),IF(AND(EE$5&lt;=$F60,EE$5+GanttPeriod-1&gt;=$E60),"━","")))</f>
        <v/>
      </c>
      <c r="EF60" s="69" t="str">
        <f aca="false">IF($E60="","",IF($M60,IF(AND($G60&gt;=EF$5,$G60&lt;EF$5+GanttPeriod),"◆",IF(AND($E60&gt;=EF$5,$E60&lt;EF$5+GanttPeriod),"◇","")),IF(AND(EF$5&lt;=$F60,EF$5+GanttPeriod-1&gt;=$E60),"━","")))</f>
        <v/>
      </c>
      <c r="EG60" s="69" t="str">
        <f aca="false">IF($E60="","",IF($M60,IF(AND($G60&gt;=EG$5,$G60&lt;EG$5+GanttPeriod),"◆",IF(AND($E60&gt;=EG$5,$E60&lt;EG$5+GanttPeriod),"◇","")),IF(AND(EG$5&lt;=$F60,EG$5+GanttPeriod-1&gt;=$E60),"━","")))</f>
        <v/>
      </c>
      <c r="EH60" s="69" t="str">
        <f aca="false">IF($E60="","",IF($M60,IF(AND($G60&gt;=EH$5,$G60&lt;EH$5+GanttPeriod),"◆",IF(AND($E60&gt;=EH$5,$E60&lt;EH$5+GanttPeriod),"◇","")),IF(AND(EH$5&lt;=$F60,EH$5+GanttPeriod-1&gt;=$E60),"━","")))</f>
        <v/>
      </c>
      <c r="EI60" s="69" t="str">
        <f aca="false">IF($E60="","",IF($M60,IF(AND($G60&gt;=EI$5,$G60&lt;EI$5+GanttPeriod),"◆",IF(AND($E60&gt;=EI$5,$E60&lt;EI$5+GanttPeriod),"◇","")),IF(AND(EI$5&lt;=$F60,EI$5+GanttPeriod-1&gt;=$E60),"━","")))</f>
        <v/>
      </c>
      <c r="EJ60" s="69" t="str">
        <f aca="false">IF($E60="","",IF($M60,IF(AND($G60&gt;=EJ$5,$G60&lt;EJ$5+GanttPeriod),"◆",IF(AND($E60&gt;=EJ$5,$E60&lt;EJ$5+GanttPeriod),"◇","")),IF(AND(EJ$5&lt;=$F60,EJ$5+GanttPeriod-1&gt;=$E60),"━","")))</f>
        <v/>
      </c>
      <c r="EK60" s="69" t="str">
        <f aca="false">IF($E60="","",IF($M60,IF(AND($G60&gt;=EK$5,$G60&lt;EK$5+GanttPeriod),"◆",IF(AND($E60&gt;=EK$5,$E60&lt;EK$5+GanttPeriod),"◇","")),IF(AND(EK$5&lt;=$F60,EK$5+GanttPeriod-1&gt;=$E60),"━","")))</f>
        <v/>
      </c>
      <c r="EL60" s="69" t="str">
        <f aca="false">IF($E60="","",IF($M60,IF(AND($G60&gt;=EL$5,$G60&lt;EL$5+GanttPeriod),"◆",IF(AND($E60&gt;=EL$5,$E60&lt;EL$5+GanttPeriod),"◇","")),IF(AND(EL$5&lt;=$F60,EL$5+GanttPeriod-1&gt;=$E60),"━","")))</f>
        <v/>
      </c>
      <c r="EM60" s="69" t="str">
        <f aca="false">IF($E60="","",IF($M60,IF(AND($G60&gt;=EM$5,$G60&lt;EM$5+GanttPeriod),"◆",IF(AND($E60&gt;=EM$5,$E60&lt;EM$5+GanttPeriod),"◇","")),IF(AND(EM$5&lt;=$F60,EM$5+GanttPeriod-1&gt;=$E60),"━","")))</f>
        <v/>
      </c>
      <c r="EN60" s="69" t="str">
        <f aca="false">IF($E60="","",IF($M60,IF(AND($G60&gt;=EN$5,$G60&lt;EN$5+GanttPeriod),"◆",IF(AND($E60&gt;=EN$5,$E60&lt;EN$5+GanttPeriod),"◇","")),IF(AND(EN$5&lt;=$F60,EN$5+GanttPeriod-1&gt;=$E60),"━","")))</f>
        <v/>
      </c>
      <c r="EO60" s="69" t="str">
        <f aca="false">IF($E60="","",IF($M60,IF(AND($G60&gt;=EO$5,$G60&lt;EO$5+GanttPeriod),"◆",IF(AND($E60&gt;=EO$5,$E60&lt;EO$5+GanttPeriod),"◇","")),IF(AND(EO$5&lt;=$F60,EO$5+GanttPeriod-1&gt;=$E60),"━","")))</f>
        <v/>
      </c>
      <c r="EP60" s="69" t="str">
        <f aca="false">IF($E60="","",IF($M60,IF(AND($G60&gt;=EP$5,$G60&lt;EP$5+GanttPeriod),"◆",IF(AND($E60&gt;=EP$5,$E60&lt;EP$5+GanttPeriod),"◇","")),IF(AND(EP$5&lt;=$F60,EP$5+GanttPeriod-1&gt;=$E60),"━","")))</f>
        <v/>
      </c>
      <c r="EQ60" s="69" t="str">
        <f aca="false">IF($E60="","",IF($M60,IF(AND($G60&gt;=EQ$5,$G60&lt;EQ$5+GanttPeriod),"◆",IF(AND($E60&gt;=EQ$5,$E60&lt;EQ$5+GanttPeriod),"◇","")),IF(AND(EQ$5&lt;=$F60,EQ$5+GanttPeriod-1&gt;=$E60),"━","")))</f>
        <v/>
      </c>
      <c r="ER60" s="69" t="str">
        <f aca="false">IF($E60="","",IF($M60,IF(AND($G60&gt;=ER$5,$G60&lt;ER$5+GanttPeriod),"◆",IF(AND($E60&gt;=ER$5,$E60&lt;ER$5+GanttPeriod),"◇","")),IF(AND(ER$5&lt;=$F60,ER$5+GanttPeriod-1&gt;=$E60),"━","")))</f>
        <v/>
      </c>
      <c r="ES60" s="69" t="str">
        <f aca="false">IF($E60="","",IF($M60,IF(AND($G60&gt;=ES$5,$G60&lt;ES$5+GanttPeriod),"◆",IF(AND($E60&gt;=ES$5,$E60&lt;ES$5+GanttPeriod),"◇","")),IF(AND(ES$5&lt;=$F60,ES$5+GanttPeriod-1&gt;=$E60),"━","")))</f>
        <v/>
      </c>
      <c r="ET60" s="69" t="str">
        <f aca="false">IF($E60="","",IF($M60,IF(AND($G60&gt;=ET$5,$G60&lt;ET$5+GanttPeriod),"◆",IF(AND($E60&gt;=ET$5,$E60&lt;ET$5+GanttPeriod),"◇","")),IF(AND(ET$5&lt;=$F60,ET$5+GanttPeriod-1&gt;=$E60),"━","")))</f>
        <v/>
      </c>
      <c r="EU60" s="69" t="str">
        <f aca="false">IF($E60="","",IF($M60,IF(AND($G60&gt;=EU$5,$G60&lt;EU$5+GanttPeriod),"◆",IF(AND($E60&gt;=EU$5,$E60&lt;EU$5+GanttPeriod),"◇","")),IF(AND(EU$5&lt;=$F60,EU$5+GanttPeriod-1&gt;=$E60),"━","")))</f>
        <v/>
      </c>
      <c r="EV60" s="69" t="str">
        <f aca="false">IF($E60="","",IF($M60,IF(AND($G60&gt;=EV$5,$G60&lt;EV$5+GanttPeriod),"◆",IF(AND($E60&gt;=EV$5,$E60&lt;EV$5+GanttPeriod),"◇","")),IF(AND(EV$5&lt;=$F60,EV$5+GanttPeriod-1&gt;=$E60),"━","")))</f>
        <v/>
      </c>
      <c r="EW60" s="69" t="str">
        <f aca="false">IF($E60="","",IF($M60,IF(AND($G60&gt;=EW$5,$G60&lt;EW$5+GanttPeriod),"◆",IF(AND($E60&gt;=EW$5,$E60&lt;EW$5+GanttPeriod),"◇","")),IF(AND(EW$5&lt;=$F60,EW$5+GanttPeriod-1&gt;=$E60),"━","")))</f>
        <v/>
      </c>
      <c r="EX60" s="69" t="str">
        <f aca="false">IF($E60="","",IF($M60,IF(AND($G60&gt;=EX$5,$G60&lt;EX$5+GanttPeriod),"◆",IF(AND($E60&gt;=EX$5,$E60&lt;EX$5+GanttPeriod),"◇","")),IF(AND(EX$5&lt;=$F60,EX$5+GanttPeriod-1&gt;=$E60),"━","")))</f>
        <v/>
      </c>
      <c r="EY60" s="69" t="str">
        <f aca="false">IF($E60="","",IF($M60,IF(AND($G60&gt;=EY$5,$G60&lt;EY$5+GanttPeriod),"◆",IF(AND($E60&gt;=EY$5,$E60&lt;EY$5+GanttPeriod),"◇","")),IF(AND(EY$5&lt;=$F60,EY$5+GanttPeriod-1&gt;=$E60),"━","")))</f>
        <v/>
      </c>
      <c r="EZ60" s="69" t="str">
        <f aca="false">IF($E60="","",IF($M60,IF(AND($G60&gt;=EZ$5,$G60&lt;EZ$5+GanttPeriod),"◆",IF(AND($E60&gt;=EZ$5,$E60&lt;EZ$5+GanttPeriod),"◇","")),IF(AND(EZ$5&lt;=$F60,EZ$5+GanttPeriod-1&gt;=$E60),"━","")))</f>
        <v/>
      </c>
      <c r="FA60" s="69" t="str">
        <f aca="false">IF($E60="","",IF($M60,IF(AND($G60&gt;=FA$5,$G60&lt;FA$5+GanttPeriod),"◆",IF(AND($E60&gt;=FA$5,$E60&lt;FA$5+GanttPeriod),"◇","")),IF(AND(FA$5&lt;=$F60,FA$5+GanttPeriod-1&gt;=$E60),"━","")))</f>
        <v/>
      </c>
      <c r="FB60" s="69" t="str">
        <f aca="false">IF($E60="","",IF($M60,IF(AND($G60&gt;=FB$5,$G60&lt;FB$5+GanttPeriod),"◆",IF(AND($E60&gt;=FB$5,$E60&lt;FB$5+GanttPeriod),"◇","")),IF(AND(FB$5&lt;=$F60,FB$5+GanttPeriod-1&gt;=$E60),"━","")))</f>
        <v/>
      </c>
      <c r="FC60" s="69" t="str">
        <f aca="false">IF($E60="","",IF($M60,IF(AND($G60&gt;=FC$5,$G60&lt;FC$5+GanttPeriod),"◆",IF(AND($E60&gt;=FC$5,$E60&lt;FC$5+GanttPeriod),"◇","")),IF(AND(FC$5&lt;=$F60,FC$5+GanttPeriod-1&gt;=$E60),"━","")))</f>
        <v/>
      </c>
      <c r="FD60" s="69" t="str">
        <f aca="false">IF($E60="","",IF($M60,IF(AND($G60&gt;=FD$5,$G60&lt;FD$5+GanttPeriod),"◆",IF(AND($E60&gt;=FD$5,$E60&lt;FD$5+GanttPeriod),"◇","")),IF(AND(FD$5&lt;=$F60,FD$5+GanttPeriod-1&gt;=$E60),"━","")))</f>
        <v/>
      </c>
      <c r="FE60" s="69" t="str">
        <f aca="false">IF($E60="","",IF($M60,IF(AND($G60&gt;=FE$5,$G60&lt;FE$5+GanttPeriod),"◆",IF(AND($E60&gt;=FE$5,$E60&lt;FE$5+GanttPeriod),"◇","")),IF(AND(FE$5&lt;=$F60,FE$5+GanttPeriod-1&gt;=$E60),"━","")))</f>
        <v/>
      </c>
      <c r="FF60" s="69" t="str">
        <f aca="false">IF($E60="","",IF($M60,IF(AND($G60&gt;=FF$5,$G60&lt;FF$5+GanttPeriod),"◆",IF(AND($E60&gt;=FF$5,$E60&lt;FF$5+GanttPeriod),"◇","")),IF(AND(FF$5&lt;=$F60,FF$5+GanttPeriod-1&gt;=$E60),"━","")))</f>
        <v/>
      </c>
      <c r="FG60" s="69" t="str">
        <f aca="false">IF($E60="","",IF($M60,IF(AND($G60&gt;=FG$5,$G60&lt;FG$5+GanttPeriod),"◆",IF(AND($E60&gt;=FG$5,$E60&lt;FG$5+GanttPeriod),"◇","")),IF(AND(FG$5&lt;=$F60,FG$5+GanttPeriod-1&gt;=$E60),"━","")))</f>
        <v/>
      </c>
      <c r="FH60" s="69" t="str">
        <f aca="false">IF($E60="","",IF($M60,IF(AND($G60&gt;=FH$5,$G60&lt;FH$5+GanttPeriod),"◆",IF(AND($E60&gt;=FH$5,$E60&lt;FH$5+GanttPeriod),"◇","")),IF(AND(FH$5&lt;=$F60,FH$5+GanttPeriod-1&gt;=$E60),"━","")))</f>
        <v/>
      </c>
      <c r="FI60" s="69" t="str">
        <f aca="false">IF($E60="","",IF($M60,IF(AND($G60&gt;=FI$5,$G60&lt;FI$5+GanttPeriod),"◆",IF(AND($E60&gt;=FI$5,$E60&lt;FI$5+GanttPeriod),"◇","")),IF(AND(FI$5&lt;=$F60,FI$5+GanttPeriod-1&gt;=$E60),"━","")))</f>
        <v/>
      </c>
      <c r="FJ60" s="69" t="str">
        <f aca="false">IF($E60="","",IF($M60,IF(AND($G60&gt;=FJ$5,$G60&lt;FJ$5+GanttPeriod),"◆",IF(AND($E60&gt;=FJ$5,$E60&lt;FJ$5+GanttPeriod),"◇","")),IF(AND(FJ$5&lt;=$F60,FJ$5+GanttPeriod-1&gt;=$E60),"━","")))</f>
        <v/>
      </c>
      <c r="FK60" s="69" t="str">
        <f aca="false">IF($E60="","",IF($M60,IF(AND($G60&gt;=FK$5,$G60&lt;FK$5+GanttPeriod),"◆",IF(AND($E60&gt;=FK$5,$E60&lt;FK$5+GanttPeriod),"◇","")),IF(AND(FK$5&lt;=$F60,FK$5+GanttPeriod-1&gt;=$E60),"━","")))</f>
        <v/>
      </c>
      <c r="FL60" s="69" t="str">
        <f aca="false">IF($E60="","",IF($M60,IF(AND($G60&gt;=FL$5,$G60&lt;FL$5+GanttPeriod),"◆",IF(AND($E60&gt;=FL$5,$E60&lt;FL$5+GanttPeriod),"◇","")),IF(AND(FL$5&lt;=$F60,FL$5+GanttPeriod-1&gt;=$E60),"━","")))</f>
        <v/>
      </c>
      <c r="FM60" s="69" t="str">
        <f aca="false">IF($E60="","",IF($M60,IF(AND($G60&gt;=FM$5,$G60&lt;FM$5+GanttPeriod),"◆",IF(AND($E60&gt;=FM$5,$E60&lt;FM$5+GanttPeriod),"◇","")),IF(AND(FM$5&lt;=$F60,FM$5+GanttPeriod-1&gt;=$E60),"━","")))</f>
        <v/>
      </c>
    </row>
    <row r="61" customFormat="false" ht="15" hidden="false" customHeight="false" outlineLevel="0" collapsed="false">
      <c r="A61" s="62" t="str">
        <f aca="false">IF(Tasks!$D61="","",Tasks!$A61)</f>
        <v/>
      </c>
      <c r="B61" s="62" t="str">
        <f aca="false">IF(Tasks!$D61="","",Tasks!$B61)</f>
        <v/>
      </c>
      <c r="C61" s="63" t="str">
        <f aca="false">IF(Tasks!$D61="","",REPT("    ",Tasks!$AE61-1)&amp;Tasks!$D61)</f>
        <v/>
      </c>
      <c r="D61" s="62" t="str">
        <f aca="false">IF(Tasks!$D61="","",IF(Tasks!$AI61,NETWORKDAYS.INTL(Tasks!$R61,Tasks!$S61,WorkWeek,Holidays),N(Tasks!$F61)))</f>
        <v/>
      </c>
      <c r="E61" s="64" t="str">
        <f aca="false">IF(Tasks!$D61="","",Tasks!$N61)</f>
        <v/>
      </c>
      <c r="F61" s="64" t="str">
        <f aca="false">IF(Tasks!$D61="","",Tasks!$O61)</f>
        <v/>
      </c>
      <c r="G61" s="64" t="str">
        <f aca="false">IF(Tasks!$D61="","",Tasks!$R61)</f>
        <v/>
      </c>
      <c r="H61" s="64" t="str">
        <f aca="false">IF(Tasks!$D61="","",Tasks!$S61)</f>
        <v/>
      </c>
      <c r="I61" s="65" t="str">
        <f aca="false">IF(Tasks!$D61="","",Tasks!$V61)</f>
        <v/>
      </c>
      <c r="J61" s="63" t="str">
        <f aca="false">IF(Tasks!$D61="","",Tasks!$X61&amp;"")</f>
        <v/>
      </c>
      <c r="K61" s="66" t="str">
        <f aca="false">IF(Tasks!$D61="","",Tasks!$W61)</f>
        <v/>
      </c>
      <c r="L61" s="67" t="b">
        <f aca="false">IF(Tasks!$D61="",FALSE(),Tasks!$AI61)</f>
        <v>0</v>
      </c>
      <c r="M61" s="67" t="b">
        <f aca="false">AND(Tasks!$AJ61=1,N(Tasks!$F61)=0)</f>
        <v>0</v>
      </c>
      <c r="N61" s="68" t="n">
        <f aca="false">IF(AND(Tasks!$AJ61=1,NOT($M61),N($I61)&gt;0),$G61,0)</f>
        <v>0</v>
      </c>
      <c r="O61" s="68" t="n">
        <f aca="false">IF($N61=0,0,IF($I61&gt;=1,$H61,MAX($N61,$G61+ROUND(($H61-$G61+1)*$I61,0)-1)))</f>
        <v>0</v>
      </c>
      <c r="P61" s="68" t="n">
        <f aca="false">IF(OR(Tasks!$AJ61&lt;&gt;1,$M61,N($I61)&gt;=1),0,IF($O61&gt;0,$O61+1,$G61))</f>
        <v>0</v>
      </c>
      <c r="Q61" s="68" t="n">
        <f aca="false">IF($P61=0,0,$H61)</f>
        <v>0</v>
      </c>
      <c r="R61" s="67" t="b">
        <f aca="false">AND(Tasks!$D61&lt;&gt;"",N(Tasks!$T61)&gt;0)</f>
        <v>0</v>
      </c>
      <c r="T61" s="69" t="str">
        <f aca="false">IF($E61="","",IF($M61,IF(AND($G61&gt;=T$5,$G61&lt;T$5+GanttPeriod),"◆",IF(AND($E61&gt;=T$5,$E61&lt;T$5+GanttPeriod),"◇","")),IF(AND(T$5&lt;=$F61,T$5+GanttPeriod-1&gt;=$E61),"━","")))</f>
        <v/>
      </c>
      <c r="U61" s="69" t="str">
        <f aca="false">IF($E61="","",IF($M61,IF(AND($G61&gt;=U$5,$G61&lt;U$5+GanttPeriod),"◆",IF(AND($E61&gt;=U$5,$E61&lt;U$5+GanttPeriod),"◇","")),IF(AND(U$5&lt;=$F61,U$5+GanttPeriod-1&gt;=$E61),"━","")))</f>
        <v/>
      </c>
      <c r="V61" s="69" t="str">
        <f aca="false">IF($E61="","",IF($M61,IF(AND($G61&gt;=V$5,$G61&lt;V$5+GanttPeriod),"◆",IF(AND($E61&gt;=V$5,$E61&lt;V$5+GanttPeriod),"◇","")),IF(AND(V$5&lt;=$F61,V$5+GanttPeriod-1&gt;=$E61),"━","")))</f>
        <v/>
      </c>
      <c r="W61" s="69" t="str">
        <f aca="false">IF($E61="","",IF($M61,IF(AND($G61&gt;=W$5,$G61&lt;W$5+GanttPeriod),"◆",IF(AND($E61&gt;=W$5,$E61&lt;W$5+GanttPeriod),"◇","")),IF(AND(W$5&lt;=$F61,W$5+GanttPeriod-1&gt;=$E61),"━","")))</f>
        <v/>
      </c>
      <c r="X61" s="69" t="str">
        <f aca="false">IF($E61="","",IF($M61,IF(AND($G61&gt;=X$5,$G61&lt;X$5+GanttPeriod),"◆",IF(AND($E61&gt;=X$5,$E61&lt;X$5+GanttPeriod),"◇","")),IF(AND(X$5&lt;=$F61,X$5+GanttPeriod-1&gt;=$E61),"━","")))</f>
        <v/>
      </c>
      <c r="Y61" s="69" t="str">
        <f aca="false">IF($E61="","",IF($M61,IF(AND($G61&gt;=Y$5,$G61&lt;Y$5+GanttPeriod),"◆",IF(AND($E61&gt;=Y$5,$E61&lt;Y$5+GanttPeriod),"◇","")),IF(AND(Y$5&lt;=$F61,Y$5+GanttPeriod-1&gt;=$E61),"━","")))</f>
        <v/>
      </c>
      <c r="Z61" s="69" t="str">
        <f aca="false">IF($E61="","",IF($M61,IF(AND($G61&gt;=Z$5,$G61&lt;Z$5+GanttPeriod),"◆",IF(AND($E61&gt;=Z$5,$E61&lt;Z$5+GanttPeriod),"◇","")),IF(AND(Z$5&lt;=$F61,Z$5+GanttPeriod-1&gt;=$E61),"━","")))</f>
        <v/>
      </c>
      <c r="AA61" s="69" t="str">
        <f aca="false">IF($E61="","",IF($M61,IF(AND($G61&gt;=AA$5,$G61&lt;AA$5+GanttPeriod),"◆",IF(AND($E61&gt;=AA$5,$E61&lt;AA$5+GanttPeriod),"◇","")),IF(AND(AA$5&lt;=$F61,AA$5+GanttPeriod-1&gt;=$E61),"━","")))</f>
        <v/>
      </c>
      <c r="AB61" s="69" t="str">
        <f aca="false">IF($E61="","",IF($M61,IF(AND($G61&gt;=AB$5,$G61&lt;AB$5+GanttPeriod),"◆",IF(AND($E61&gt;=AB$5,$E61&lt;AB$5+GanttPeriod),"◇","")),IF(AND(AB$5&lt;=$F61,AB$5+GanttPeriod-1&gt;=$E61),"━","")))</f>
        <v/>
      </c>
      <c r="AC61" s="69" t="str">
        <f aca="false">IF($E61="","",IF($M61,IF(AND($G61&gt;=AC$5,$G61&lt;AC$5+GanttPeriod),"◆",IF(AND($E61&gt;=AC$5,$E61&lt;AC$5+GanttPeriod),"◇","")),IF(AND(AC$5&lt;=$F61,AC$5+GanttPeriod-1&gt;=$E61),"━","")))</f>
        <v/>
      </c>
      <c r="AD61" s="69" t="str">
        <f aca="false">IF($E61="","",IF($M61,IF(AND($G61&gt;=AD$5,$G61&lt;AD$5+GanttPeriod),"◆",IF(AND($E61&gt;=AD$5,$E61&lt;AD$5+GanttPeriod),"◇","")),IF(AND(AD$5&lt;=$F61,AD$5+GanttPeriod-1&gt;=$E61),"━","")))</f>
        <v/>
      </c>
      <c r="AE61" s="69" t="str">
        <f aca="false">IF($E61="","",IF($M61,IF(AND($G61&gt;=AE$5,$G61&lt;AE$5+GanttPeriod),"◆",IF(AND($E61&gt;=AE$5,$E61&lt;AE$5+GanttPeriod),"◇","")),IF(AND(AE$5&lt;=$F61,AE$5+GanttPeriod-1&gt;=$E61),"━","")))</f>
        <v/>
      </c>
      <c r="AF61" s="69" t="str">
        <f aca="false">IF($E61="","",IF($M61,IF(AND($G61&gt;=AF$5,$G61&lt;AF$5+GanttPeriod),"◆",IF(AND($E61&gt;=AF$5,$E61&lt;AF$5+GanttPeriod),"◇","")),IF(AND(AF$5&lt;=$F61,AF$5+GanttPeriod-1&gt;=$E61),"━","")))</f>
        <v/>
      </c>
      <c r="AG61" s="69" t="str">
        <f aca="false">IF($E61="","",IF($M61,IF(AND($G61&gt;=AG$5,$G61&lt;AG$5+GanttPeriod),"◆",IF(AND($E61&gt;=AG$5,$E61&lt;AG$5+GanttPeriod),"◇","")),IF(AND(AG$5&lt;=$F61,AG$5+GanttPeriod-1&gt;=$E61),"━","")))</f>
        <v/>
      </c>
      <c r="AH61" s="69" t="str">
        <f aca="false">IF($E61="","",IF($M61,IF(AND($G61&gt;=AH$5,$G61&lt;AH$5+GanttPeriod),"◆",IF(AND($E61&gt;=AH$5,$E61&lt;AH$5+GanttPeriod),"◇","")),IF(AND(AH$5&lt;=$F61,AH$5+GanttPeriod-1&gt;=$E61),"━","")))</f>
        <v/>
      </c>
      <c r="AI61" s="69" t="str">
        <f aca="false">IF($E61="","",IF($M61,IF(AND($G61&gt;=AI$5,$G61&lt;AI$5+GanttPeriod),"◆",IF(AND($E61&gt;=AI$5,$E61&lt;AI$5+GanttPeriod),"◇","")),IF(AND(AI$5&lt;=$F61,AI$5+GanttPeriod-1&gt;=$E61),"━","")))</f>
        <v/>
      </c>
      <c r="AJ61" s="69" t="str">
        <f aca="false">IF($E61="","",IF($M61,IF(AND($G61&gt;=AJ$5,$G61&lt;AJ$5+GanttPeriod),"◆",IF(AND($E61&gt;=AJ$5,$E61&lt;AJ$5+GanttPeriod),"◇","")),IF(AND(AJ$5&lt;=$F61,AJ$5+GanttPeriod-1&gt;=$E61),"━","")))</f>
        <v/>
      </c>
      <c r="AK61" s="69" t="str">
        <f aca="false">IF($E61="","",IF($M61,IF(AND($G61&gt;=AK$5,$G61&lt;AK$5+GanttPeriod),"◆",IF(AND($E61&gt;=AK$5,$E61&lt;AK$5+GanttPeriod),"◇","")),IF(AND(AK$5&lt;=$F61,AK$5+GanttPeriod-1&gt;=$E61),"━","")))</f>
        <v/>
      </c>
      <c r="AL61" s="69" t="str">
        <f aca="false">IF($E61="","",IF($M61,IF(AND($G61&gt;=AL$5,$G61&lt;AL$5+GanttPeriod),"◆",IF(AND($E61&gt;=AL$5,$E61&lt;AL$5+GanttPeriod),"◇","")),IF(AND(AL$5&lt;=$F61,AL$5+GanttPeriod-1&gt;=$E61),"━","")))</f>
        <v/>
      </c>
      <c r="AM61" s="69" t="str">
        <f aca="false">IF($E61="","",IF($M61,IF(AND($G61&gt;=AM$5,$G61&lt;AM$5+GanttPeriod),"◆",IF(AND($E61&gt;=AM$5,$E61&lt;AM$5+GanttPeriod),"◇","")),IF(AND(AM$5&lt;=$F61,AM$5+GanttPeriod-1&gt;=$E61),"━","")))</f>
        <v/>
      </c>
      <c r="AN61" s="69" t="str">
        <f aca="false">IF($E61="","",IF($M61,IF(AND($G61&gt;=AN$5,$G61&lt;AN$5+GanttPeriod),"◆",IF(AND($E61&gt;=AN$5,$E61&lt;AN$5+GanttPeriod),"◇","")),IF(AND(AN$5&lt;=$F61,AN$5+GanttPeriod-1&gt;=$E61),"━","")))</f>
        <v/>
      </c>
      <c r="AO61" s="69" t="str">
        <f aca="false">IF($E61="","",IF($M61,IF(AND($G61&gt;=AO$5,$G61&lt;AO$5+GanttPeriod),"◆",IF(AND($E61&gt;=AO$5,$E61&lt;AO$5+GanttPeriod),"◇","")),IF(AND(AO$5&lt;=$F61,AO$5+GanttPeriod-1&gt;=$E61),"━","")))</f>
        <v/>
      </c>
      <c r="AP61" s="69" t="str">
        <f aca="false">IF($E61="","",IF($M61,IF(AND($G61&gt;=AP$5,$G61&lt;AP$5+GanttPeriod),"◆",IF(AND($E61&gt;=AP$5,$E61&lt;AP$5+GanttPeriod),"◇","")),IF(AND(AP$5&lt;=$F61,AP$5+GanttPeriod-1&gt;=$E61),"━","")))</f>
        <v/>
      </c>
      <c r="AQ61" s="69" t="str">
        <f aca="false">IF($E61="","",IF($M61,IF(AND($G61&gt;=AQ$5,$G61&lt;AQ$5+GanttPeriod),"◆",IF(AND($E61&gt;=AQ$5,$E61&lt;AQ$5+GanttPeriod),"◇","")),IF(AND(AQ$5&lt;=$F61,AQ$5+GanttPeriod-1&gt;=$E61),"━","")))</f>
        <v/>
      </c>
      <c r="AR61" s="69" t="str">
        <f aca="false">IF($E61="","",IF($M61,IF(AND($G61&gt;=AR$5,$G61&lt;AR$5+GanttPeriod),"◆",IF(AND($E61&gt;=AR$5,$E61&lt;AR$5+GanttPeriod),"◇","")),IF(AND(AR$5&lt;=$F61,AR$5+GanttPeriod-1&gt;=$E61),"━","")))</f>
        <v/>
      </c>
      <c r="AS61" s="69" t="str">
        <f aca="false">IF($E61="","",IF($M61,IF(AND($G61&gt;=AS$5,$G61&lt;AS$5+GanttPeriod),"◆",IF(AND($E61&gt;=AS$5,$E61&lt;AS$5+GanttPeriod),"◇","")),IF(AND(AS$5&lt;=$F61,AS$5+GanttPeriod-1&gt;=$E61),"━","")))</f>
        <v/>
      </c>
      <c r="AT61" s="69" t="str">
        <f aca="false">IF($E61="","",IF($M61,IF(AND($G61&gt;=AT$5,$G61&lt;AT$5+GanttPeriod),"◆",IF(AND($E61&gt;=AT$5,$E61&lt;AT$5+GanttPeriod),"◇","")),IF(AND(AT$5&lt;=$F61,AT$5+GanttPeriod-1&gt;=$E61),"━","")))</f>
        <v/>
      </c>
      <c r="AU61" s="69" t="str">
        <f aca="false">IF($E61="","",IF($M61,IF(AND($G61&gt;=AU$5,$G61&lt;AU$5+GanttPeriod),"◆",IF(AND($E61&gt;=AU$5,$E61&lt;AU$5+GanttPeriod),"◇","")),IF(AND(AU$5&lt;=$F61,AU$5+GanttPeriod-1&gt;=$E61),"━","")))</f>
        <v/>
      </c>
      <c r="AV61" s="69" t="str">
        <f aca="false">IF($E61="","",IF($M61,IF(AND($G61&gt;=AV$5,$G61&lt;AV$5+GanttPeriod),"◆",IF(AND($E61&gt;=AV$5,$E61&lt;AV$5+GanttPeriod),"◇","")),IF(AND(AV$5&lt;=$F61,AV$5+GanttPeriod-1&gt;=$E61),"━","")))</f>
        <v/>
      </c>
      <c r="AW61" s="69" t="str">
        <f aca="false">IF($E61="","",IF($M61,IF(AND($G61&gt;=AW$5,$G61&lt;AW$5+GanttPeriod),"◆",IF(AND($E61&gt;=AW$5,$E61&lt;AW$5+GanttPeriod),"◇","")),IF(AND(AW$5&lt;=$F61,AW$5+GanttPeriod-1&gt;=$E61),"━","")))</f>
        <v/>
      </c>
      <c r="AX61" s="69" t="str">
        <f aca="false">IF($E61="","",IF($M61,IF(AND($G61&gt;=AX$5,$G61&lt;AX$5+GanttPeriod),"◆",IF(AND($E61&gt;=AX$5,$E61&lt;AX$5+GanttPeriod),"◇","")),IF(AND(AX$5&lt;=$F61,AX$5+GanttPeriod-1&gt;=$E61),"━","")))</f>
        <v/>
      </c>
      <c r="AY61" s="69" t="str">
        <f aca="false">IF($E61="","",IF($M61,IF(AND($G61&gt;=AY$5,$G61&lt;AY$5+GanttPeriod),"◆",IF(AND($E61&gt;=AY$5,$E61&lt;AY$5+GanttPeriod),"◇","")),IF(AND(AY$5&lt;=$F61,AY$5+GanttPeriod-1&gt;=$E61),"━","")))</f>
        <v/>
      </c>
      <c r="AZ61" s="69" t="str">
        <f aca="false">IF($E61="","",IF($M61,IF(AND($G61&gt;=AZ$5,$G61&lt;AZ$5+GanttPeriod),"◆",IF(AND($E61&gt;=AZ$5,$E61&lt;AZ$5+GanttPeriod),"◇","")),IF(AND(AZ$5&lt;=$F61,AZ$5+GanttPeriod-1&gt;=$E61),"━","")))</f>
        <v/>
      </c>
      <c r="BA61" s="69" t="str">
        <f aca="false">IF($E61="","",IF($M61,IF(AND($G61&gt;=BA$5,$G61&lt;BA$5+GanttPeriod),"◆",IF(AND($E61&gt;=BA$5,$E61&lt;BA$5+GanttPeriod),"◇","")),IF(AND(BA$5&lt;=$F61,BA$5+GanttPeriod-1&gt;=$E61),"━","")))</f>
        <v/>
      </c>
      <c r="BB61" s="69" t="str">
        <f aca="false">IF($E61="","",IF($M61,IF(AND($G61&gt;=BB$5,$G61&lt;BB$5+GanttPeriod),"◆",IF(AND($E61&gt;=BB$5,$E61&lt;BB$5+GanttPeriod),"◇","")),IF(AND(BB$5&lt;=$F61,BB$5+GanttPeriod-1&gt;=$E61),"━","")))</f>
        <v/>
      </c>
      <c r="BC61" s="69" t="str">
        <f aca="false">IF($E61="","",IF($M61,IF(AND($G61&gt;=BC$5,$G61&lt;BC$5+GanttPeriod),"◆",IF(AND($E61&gt;=BC$5,$E61&lt;BC$5+GanttPeriod),"◇","")),IF(AND(BC$5&lt;=$F61,BC$5+GanttPeriod-1&gt;=$E61),"━","")))</f>
        <v/>
      </c>
      <c r="BD61" s="69" t="str">
        <f aca="false">IF($E61="","",IF($M61,IF(AND($G61&gt;=BD$5,$G61&lt;BD$5+GanttPeriod),"◆",IF(AND($E61&gt;=BD$5,$E61&lt;BD$5+GanttPeriod),"◇","")),IF(AND(BD$5&lt;=$F61,BD$5+GanttPeriod-1&gt;=$E61),"━","")))</f>
        <v/>
      </c>
      <c r="BE61" s="69" t="str">
        <f aca="false">IF($E61="","",IF($M61,IF(AND($G61&gt;=BE$5,$G61&lt;BE$5+GanttPeriod),"◆",IF(AND($E61&gt;=BE$5,$E61&lt;BE$5+GanttPeriod),"◇","")),IF(AND(BE$5&lt;=$F61,BE$5+GanttPeriod-1&gt;=$E61),"━","")))</f>
        <v/>
      </c>
      <c r="BF61" s="69" t="str">
        <f aca="false">IF($E61="","",IF($M61,IF(AND($G61&gt;=BF$5,$G61&lt;BF$5+GanttPeriod),"◆",IF(AND($E61&gt;=BF$5,$E61&lt;BF$5+GanttPeriod),"◇","")),IF(AND(BF$5&lt;=$F61,BF$5+GanttPeriod-1&gt;=$E61),"━","")))</f>
        <v/>
      </c>
      <c r="BG61" s="69" t="str">
        <f aca="false">IF($E61="","",IF($M61,IF(AND($G61&gt;=BG$5,$G61&lt;BG$5+GanttPeriod),"◆",IF(AND($E61&gt;=BG$5,$E61&lt;BG$5+GanttPeriod),"◇","")),IF(AND(BG$5&lt;=$F61,BG$5+GanttPeriod-1&gt;=$E61),"━","")))</f>
        <v/>
      </c>
      <c r="BH61" s="69" t="str">
        <f aca="false">IF($E61="","",IF($M61,IF(AND($G61&gt;=BH$5,$G61&lt;BH$5+GanttPeriod),"◆",IF(AND($E61&gt;=BH$5,$E61&lt;BH$5+GanttPeriod),"◇","")),IF(AND(BH$5&lt;=$F61,BH$5+GanttPeriod-1&gt;=$E61),"━","")))</f>
        <v/>
      </c>
      <c r="BI61" s="69" t="str">
        <f aca="false">IF($E61="","",IF($M61,IF(AND($G61&gt;=BI$5,$G61&lt;BI$5+GanttPeriod),"◆",IF(AND($E61&gt;=BI$5,$E61&lt;BI$5+GanttPeriod),"◇","")),IF(AND(BI$5&lt;=$F61,BI$5+GanttPeriod-1&gt;=$E61),"━","")))</f>
        <v/>
      </c>
      <c r="BJ61" s="69" t="str">
        <f aca="false">IF($E61="","",IF($M61,IF(AND($G61&gt;=BJ$5,$G61&lt;BJ$5+GanttPeriod),"◆",IF(AND($E61&gt;=BJ$5,$E61&lt;BJ$5+GanttPeriod),"◇","")),IF(AND(BJ$5&lt;=$F61,BJ$5+GanttPeriod-1&gt;=$E61),"━","")))</f>
        <v/>
      </c>
      <c r="BK61" s="69" t="str">
        <f aca="false">IF($E61="","",IF($M61,IF(AND($G61&gt;=BK$5,$G61&lt;BK$5+GanttPeriod),"◆",IF(AND($E61&gt;=BK$5,$E61&lt;BK$5+GanttPeriod),"◇","")),IF(AND(BK$5&lt;=$F61,BK$5+GanttPeriod-1&gt;=$E61),"━","")))</f>
        <v/>
      </c>
      <c r="BL61" s="69" t="str">
        <f aca="false">IF($E61="","",IF($M61,IF(AND($G61&gt;=BL$5,$G61&lt;BL$5+GanttPeriod),"◆",IF(AND($E61&gt;=BL$5,$E61&lt;BL$5+GanttPeriod),"◇","")),IF(AND(BL$5&lt;=$F61,BL$5+GanttPeriod-1&gt;=$E61),"━","")))</f>
        <v/>
      </c>
      <c r="BM61" s="69" t="str">
        <f aca="false">IF($E61="","",IF($M61,IF(AND($G61&gt;=BM$5,$G61&lt;BM$5+GanttPeriod),"◆",IF(AND($E61&gt;=BM$5,$E61&lt;BM$5+GanttPeriod),"◇","")),IF(AND(BM$5&lt;=$F61,BM$5+GanttPeriod-1&gt;=$E61),"━","")))</f>
        <v/>
      </c>
      <c r="BN61" s="69" t="str">
        <f aca="false">IF($E61="","",IF($M61,IF(AND($G61&gt;=BN$5,$G61&lt;BN$5+GanttPeriod),"◆",IF(AND($E61&gt;=BN$5,$E61&lt;BN$5+GanttPeriod),"◇","")),IF(AND(BN$5&lt;=$F61,BN$5+GanttPeriod-1&gt;=$E61),"━","")))</f>
        <v/>
      </c>
      <c r="BO61" s="69" t="str">
        <f aca="false">IF($E61="","",IF($M61,IF(AND($G61&gt;=BO$5,$G61&lt;BO$5+GanttPeriod),"◆",IF(AND($E61&gt;=BO$5,$E61&lt;BO$5+GanttPeriod),"◇","")),IF(AND(BO$5&lt;=$F61,BO$5+GanttPeriod-1&gt;=$E61),"━","")))</f>
        <v/>
      </c>
      <c r="BP61" s="69" t="str">
        <f aca="false">IF($E61="","",IF($M61,IF(AND($G61&gt;=BP$5,$G61&lt;BP$5+GanttPeriod),"◆",IF(AND($E61&gt;=BP$5,$E61&lt;BP$5+GanttPeriod),"◇","")),IF(AND(BP$5&lt;=$F61,BP$5+GanttPeriod-1&gt;=$E61),"━","")))</f>
        <v/>
      </c>
      <c r="BQ61" s="69" t="str">
        <f aca="false">IF($E61="","",IF($M61,IF(AND($G61&gt;=BQ$5,$G61&lt;BQ$5+GanttPeriod),"◆",IF(AND($E61&gt;=BQ$5,$E61&lt;BQ$5+GanttPeriod),"◇","")),IF(AND(BQ$5&lt;=$F61,BQ$5+GanttPeriod-1&gt;=$E61),"━","")))</f>
        <v/>
      </c>
      <c r="BR61" s="69" t="str">
        <f aca="false">IF($E61="","",IF($M61,IF(AND($G61&gt;=BR$5,$G61&lt;BR$5+GanttPeriod),"◆",IF(AND($E61&gt;=BR$5,$E61&lt;BR$5+GanttPeriod),"◇","")),IF(AND(BR$5&lt;=$F61,BR$5+GanttPeriod-1&gt;=$E61),"━","")))</f>
        <v/>
      </c>
      <c r="BS61" s="69" t="str">
        <f aca="false">IF($E61="","",IF($M61,IF(AND($G61&gt;=BS$5,$G61&lt;BS$5+GanttPeriod),"◆",IF(AND($E61&gt;=BS$5,$E61&lt;BS$5+GanttPeriod),"◇","")),IF(AND(BS$5&lt;=$F61,BS$5+GanttPeriod-1&gt;=$E61),"━","")))</f>
        <v/>
      </c>
      <c r="BT61" s="69" t="str">
        <f aca="false">IF($E61="","",IF($M61,IF(AND($G61&gt;=BT$5,$G61&lt;BT$5+GanttPeriod),"◆",IF(AND($E61&gt;=BT$5,$E61&lt;BT$5+GanttPeriod),"◇","")),IF(AND(BT$5&lt;=$F61,BT$5+GanttPeriod-1&gt;=$E61),"━","")))</f>
        <v/>
      </c>
      <c r="BU61" s="69" t="str">
        <f aca="false">IF($E61="","",IF($M61,IF(AND($G61&gt;=BU$5,$G61&lt;BU$5+GanttPeriod),"◆",IF(AND($E61&gt;=BU$5,$E61&lt;BU$5+GanttPeriod),"◇","")),IF(AND(BU$5&lt;=$F61,BU$5+GanttPeriod-1&gt;=$E61),"━","")))</f>
        <v/>
      </c>
      <c r="BV61" s="69" t="str">
        <f aca="false">IF($E61="","",IF($M61,IF(AND($G61&gt;=BV$5,$G61&lt;BV$5+GanttPeriod),"◆",IF(AND($E61&gt;=BV$5,$E61&lt;BV$5+GanttPeriod),"◇","")),IF(AND(BV$5&lt;=$F61,BV$5+GanttPeriod-1&gt;=$E61),"━","")))</f>
        <v/>
      </c>
      <c r="BW61" s="69" t="str">
        <f aca="false">IF($E61="","",IF($M61,IF(AND($G61&gt;=BW$5,$G61&lt;BW$5+GanttPeriod),"◆",IF(AND($E61&gt;=BW$5,$E61&lt;BW$5+GanttPeriod),"◇","")),IF(AND(BW$5&lt;=$F61,BW$5+GanttPeriod-1&gt;=$E61),"━","")))</f>
        <v/>
      </c>
      <c r="BX61" s="69" t="str">
        <f aca="false">IF($E61="","",IF($M61,IF(AND($G61&gt;=BX$5,$G61&lt;BX$5+GanttPeriod),"◆",IF(AND($E61&gt;=BX$5,$E61&lt;BX$5+GanttPeriod),"◇","")),IF(AND(BX$5&lt;=$F61,BX$5+GanttPeriod-1&gt;=$E61),"━","")))</f>
        <v/>
      </c>
      <c r="BY61" s="69" t="str">
        <f aca="false">IF($E61="","",IF($M61,IF(AND($G61&gt;=BY$5,$G61&lt;BY$5+GanttPeriod),"◆",IF(AND($E61&gt;=BY$5,$E61&lt;BY$5+GanttPeriod),"◇","")),IF(AND(BY$5&lt;=$F61,BY$5+GanttPeriod-1&gt;=$E61),"━","")))</f>
        <v/>
      </c>
      <c r="BZ61" s="69" t="str">
        <f aca="false">IF($E61="","",IF($M61,IF(AND($G61&gt;=BZ$5,$G61&lt;BZ$5+GanttPeriod),"◆",IF(AND($E61&gt;=BZ$5,$E61&lt;BZ$5+GanttPeriod),"◇","")),IF(AND(BZ$5&lt;=$F61,BZ$5+GanttPeriod-1&gt;=$E61),"━","")))</f>
        <v/>
      </c>
      <c r="CA61" s="69" t="str">
        <f aca="false">IF($E61="","",IF($M61,IF(AND($G61&gt;=CA$5,$G61&lt;CA$5+GanttPeriod),"◆",IF(AND($E61&gt;=CA$5,$E61&lt;CA$5+GanttPeriod),"◇","")),IF(AND(CA$5&lt;=$F61,CA$5+GanttPeriod-1&gt;=$E61),"━","")))</f>
        <v/>
      </c>
      <c r="CB61" s="69" t="str">
        <f aca="false">IF($E61="","",IF($M61,IF(AND($G61&gt;=CB$5,$G61&lt;CB$5+GanttPeriod),"◆",IF(AND($E61&gt;=CB$5,$E61&lt;CB$5+GanttPeriod),"◇","")),IF(AND(CB$5&lt;=$F61,CB$5+GanttPeriod-1&gt;=$E61),"━","")))</f>
        <v/>
      </c>
      <c r="CC61" s="69" t="str">
        <f aca="false">IF($E61="","",IF($M61,IF(AND($G61&gt;=CC$5,$G61&lt;CC$5+GanttPeriod),"◆",IF(AND($E61&gt;=CC$5,$E61&lt;CC$5+GanttPeriod),"◇","")),IF(AND(CC$5&lt;=$F61,CC$5+GanttPeriod-1&gt;=$E61),"━","")))</f>
        <v/>
      </c>
      <c r="CD61" s="69" t="str">
        <f aca="false">IF($E61="","",IF($M61,IF(AND($G61&gt;=CD$5,$G61&lt;CD$5+GanttPeriod),"◆",IF(AND($E61&gt;=CD$5,$E61&lt;CD$5+GanttPeriod),"◇","")),IF(AND(CD$5&lt;=$F61,CD$5+GanttPeriod-1&gt;=$E61),"━","")))</f>
        <v/>
      </c>
      <c r="CE61" s="69" t="str">
        <f aca="false">IF($E61="","",IF($M61,IF(AND($G61&gt;=CE$5,$G61&lt;CE$5+GanttPeriod),"◆",IF(AND($E61&gt;=CE$5,$E61&lt;CE$5+GanttPeriod),"◇","")),IF(AND(CE$5&lt;=$F61,CE$5+GanttPeriod-1&gt;=$E61),"━","")))</f>
        <v/>
      </c>
      <c r="CF61" s="69" t="str">
        <f aca="false">IF($E61="","",IF($M61,IF(AND($G61&gt;=CF$5,$G61&lt;CF$5+GanttPeriod),"◆",IF(AND($E61&gt;=CF$5,$E61&lt;CF$5+GanttPeriod),"◇","")),IF(AND(CF$5&lt;=$F61,CF$5+GanttPeriod-1&gt;=$E61),"━","")))</f>
        <v/>
      </c>
      <c r="CG61" s="69" t="str">
        <f aca="false">IF($E61="","",IF($M61,IF(AND($G61&gt;=CG$5,$G61&lt;CG$5+GanttPeriod),"◆",IF(AND($E61&gt;=CG$5,$E61&lt;CG$5+GanttPeriod),"◇","")),IF(AND(CG$5&lt;=$F61,CG$5+GanttPeriod-1&gt;=$E61),"━","")))</f>
        <v/>
      </c>
      <c r="CH61" s="69" t="str">
        <f aca="false">IF($E61="","",IF($M61,IF(AND($G61&gt;=CH$5,$G61&lt;CH$5+GanttPeriod),"◆",IF(AND($E61&gt;=CH$5,$E61&lt;CH$5+GanttPeriod),"◇","")),IF(AND(CH$5&lt;=$F61,CH$5+GanttPeriod-1&gt;=$E61),"━","")))</f>
        <v/>
      </c>
      <c r="CI61" s="69" t="str">
        <f aca="false">IF($E61="","",IF($M61,IF(AND($G61&gt;=CI$5,$G61&lt;CI$5+GanttPeriod),"◆",IF(AND($E61&gt;=CI$5,$E61&lt;CI$5+GanttPeriod),"◇","")),IF(AND(CI$5&lt;=$F61,CI$5+GanttPeriod-1&gt;=$E61),"━","")))</f>
        <v/>
      </c>
      <c r="CJ61" s="69" t="str">
        <f aca="false">IF($E61="","",IF($M61,IF(AND($G61&gt;=CJ$5,$G61&lt;CJ$5+GanttPeriod),"◆",IF(AND($E61&gt;=CJ$5,$E61&lt;CJ$5+GanttPeriod),"◇","")),IF(AND(CJ$5&lt;=$F61,CJ$5+GanttPeriod-1&gt;=$E61),"━","")))</f>
        <v/>
      </c>
      <c r="CK61" s="69" t="str">
        <f aca="false">IF($E61="","",IF($M61,IF(AND($G61&gt;=CK$5,$G61&lt;CK$5+GanttPeriod),"◆",IF(AND($E61&gt;=CK$5,$E61&lt;CK$5+GanttPeriod),"◇","")),IF(AND(CK$5&lt;=$F61,CK$5+GanttPeriod-1&gt;=$E61),"━","")))</f>
        <v/>
      </c>
      <c r="CL61" s="69" t="str">
        <f aca="false">IF($E61="","",IF($M61,IF(AND($G61&gt;=CL$5,$G61&lt;CL$5+GanttPeriod),"◆",IF(AND($E61&gt;=CL$5,$E61&lt;CL$5+GanttPeriod),"◇","")),IF(AND(CL$5&lt;=$F61,CL$5+GanttPeriod-1&gt;=$E61),"━","")))</f>
        <v/>
      </c>
      <c r="CM61" s="69" t="str">
        <f aca="false">IF($E61="","",IF($M61,IF(AND($G61&gt;=CM$5,$G61&lt;CM$5+GanttPeriod),"◆",IF(AND($E61&gt;=CM$5,$E61&lt;CM$5+GanttPeriod),"◇","")),IF(AND(CM$5&lt;=$F61,CM$5+GanttPeriod-1&gt;=$E61),"━","")))</f>
        <v/>
      </c>
      <c r="CN61" s="69" t="str">
        <f aca="false">IF($E61="","",IF($M61,IF(AND($G61&gt;=CN$5,$G61&lt;CN$5+GanttPeriod),"◆",IF(AND($E61&gt;=CN$5,$E61&lt;CN$5+GanttPeriod),"◇","")),IF(AND(CN$5&lt;=$F61,CN$5+GanttPeriod-1&gt;=$E61),"━","")))</f>
        <v/>
      </c>
      <c r="CO61" s="69" t="str">
        <f aca="false">IF($E61="","",IF($M61,IF(AND($G61&gt;=CO$5,$G61&lt;CO$5+GanttPeriod),"◆",IF(AND($E61&gt;=CO$5,$E61&lt;CO$5+GanttPeriod),"◇","")),IF(AND(CO$5&lt;=$F61,CO$5+GanttPeriod-1&gt;=$E61),"━","")))</f>
        <v/>
      </c>
      <c r="CP61" s="69" t="str">
        <f aca="false">IF($E61="","",IF($M61,IF(AND($G61&gt;=CP$5,$G61&lt;CP$5+GanttPeriod),"◆",IF(AND($E61&gt;=CP$5,$E61&lt;CP$5+GanttPeriod),"◇","")),IF(AND(CP$5&lt;=$F61,CP$5+GanttPeriod-1&gt;=$E61),"━","")))</f>
        <v/>
      </c>
      <c r="CQ61" s="69" t="str">
        <f aca="false">IF($E61="","",IF($M61,IF(AND($G61&gt;=CQ$5,$G61&lt;CQ$5+GanttPeriod),"◆",IF(AND($E61&gt;=CQ$5,$E61&lt;CQ$5+GanttPeriod),"◇","")),IF(AND(CQ$5&lt;=$F61,CQ$5+GanttPeriod-1&gt;=$E61),"━","")))</f>
        <v/>
      </c>
      <c r="CR61" s="69" t="str">
        <f aca="false">IF($E61="","",IF($M61,IF(AND($G61&gt;=CR$5,$G61&lt;CR$5+GanttPeriod),"◆",IF(AND($E61&gt;=CR$5,$E61&lt;CR$5+GanttPeriod),"◇","")),IF(AND(CR$5&lt;=$F61,CR$5+GanttPeriod-1&gt;=$E61),"━","")))</f>
        <v/>
      </c>
      <c r="CS61" s="69" t="str">
        <f aca="false">IF($E61="","",IF($M61,IF(AND($G61&gt;=CS$5,$G61&lt;CS$5+GanttPeriod),"◆",IF(AND($E61&gt;=CS$5,$E61&lt;CS$5+GanttPeriod),"◇","")),IF(AND(CS$5&lt;=$F61,CS$5+GanttPeriod-1&gt;=$E61),"━","")))</f>
        <v/>
      </c>
      <c r="CT61" s="69" t="str">
        <f aca="false">IF($E61="","",IF($M61,IF(AND($G61&gt;=CT$5,$G61&lt;CT$5+GanttPeriod),"◆",IF(AND($E61&gt;=CT$5,$E61&lt;CT$5+GanttPeriod),"◇","")),IF(AND(CT$5&lt;=$F61,CT$5+GanttPeriod-1&gt;=$E61),"━","")))</f>
        <v/>
      </c>
      <c r="CU61" s="69" t="str">
        <f aca="false">IF($E61="","",IF($M61,IF(AND($G61&gt;=CU$5,$G61&lt;CU$5+GanttPeriod),"◆",IF(AND($E61&gt;=CU$5,$E61&lt;CU$5+GanttPeriod),"◇","")),IF(AND(CU$5&lt;=$F61,CU$5+GanttPeriod-1&gt;=$E61),"━","")))</f>
        <v/>
      </c>
      <c r="CV61" s="69" t="str">
        <f aca="false">IF($E61="","",IF($M61,IF(AND($G61&gt;=CV$5,$G61&lt;CV$5+GanttPeriod),"◆",IF(AND($E61&gt;=CV$5,$E61&lt;CV$5+GanttPeriod),"◇","")),IF(AND(CV$5&lt;=$F61,CV$5+GanttPeriod-1&gt;=$E61),"━","")))</f>
        <v/>
      </c>
      <c r="CW61" s="69" t="str">
        <f aca="false">IF($E61="","",IF($M61,IF(AND($G61&gt;=CW$5,$G61&lt;CW$5+GanttPeriod),"◆",IF(AND($E61&gt;=CW$5,$E61&lt;CW$5+GanttPeriod),"◇","")),IF(AND(CW$5&lt;=$F61,CW$5+GanttPeriod-1&gt;=$E61),"━","")))</f>
        <v/>
      </c>
      <c r="CX61" s="69" t="str">
        <f aca="false">IF($E61="","",IF($M61,IF(AND($G61&gt;=CX$5,$G61&lt;CX$5+GanttPeriod),"◆",IF(AND($E61&gt;=CX$5,$E61&lt;CX$5+GanttPeriod),"◇","")),IF(AND(CX$5&lt;=$F61,CX$5+GanttPeriod-1&gt;=$E61),"━","")))</f>
        <v/>
      </c>
      <c r="CY61" s="69" t="str">
        <f aca="false">IF($E61="","",IF($M61,IF(AND($G61&gt;=CY$5,$G61&lt;CY$5+GanttPeriod),"◆",IF(AND($E61&gt;=CY$5,$E61&lt;CY$5+GanttPeriod),"◇","")),IF(AND(CY$5&lt;=$F61,CY$5+GanttPeriod-1&gt;=$E61),"━","")))</f>
        <v/>
      </c>
      <c r="CZ61" s="69" t="str">
        <f aca="false">IF($E61="","",IF($M61,IF(AND($G61&gt;=CZ$5,$G61&lt;CZ$5+GanttPeriod),"◆",IF(AND($E61&gt;=CZ$5,$E61&lt;CZ$5+GanttPeriod),"◇","")),IF(AND(CZ$5&lt;=$F61,CZ$5+GanttPeriod-1&gt;=$E61),"━","")))</f>
        <v/>
      </c>
      <c r="DA61" s="69" t="str">
        <f aca="false">IF($E61="","",IF($M61,IF(AND($G61&gt;=DA$5,$G61&lt;DA$5+GanttPeriod),"◆",IF(AND($E61&gt;=DA$5,$E61&lt;DA$5+GanttPeriod),"◇","")),IF(AND(DA$5&lt;=$F61,DA$5+GanttPeriod-1&gt;=$E61),"━","")))</f>
        <v/>
      </c>
      <c r="DB61" s="69" t="str">
        <f aca="false">IF($E61="","",IF($M61,IF(AND($G61&gt;=DB$5,$G61&lt;DB$5+GanttPeriod),"◆",IF(AND($E61&gt;=DB$5,$E61&lt;DB$5+GanttPeriod),"◇","")),IF(AND(DB$5&lt;=$F61,DB$5+GanttPeriod-1&gt;=$E61),"━","")))</f>
        <v/>
      </c>
      <c r="DC61" s="69" t="str">
        <f aca="false">IF($E61="","",IF($M61,IF(AND($G61&gt;=DC$5,$G61&lt;DC$5+GanttPeriod),"◆",IF(AND($E61&gt;=DC$5,$E61&lt;DC$5+GanttPeriod),"◇","")),IF(AND(DC$5&lt;=$F61,DC$5+GanttPeriod-1&gt;=$E61),"━","")))</f>
        <v/>
      </c>
      <c r="DD61" s="69" t="str">
        <f aca="false">IF($E61="","",IF($M61,IF(AND($G61&gt;=DD$5,$G61&lt;DD$5+GanttPeriod),"◆",IF(AND($E61&gt;=DD$5,$E61&lt;DD$5+GanttPeriod),"◇","")),IF(AND(DD$5&lt;=$F61,DD$5+GanttPeriod-1&gt;=$E61),"━","")))</f>
        <v/>
      </c>
      <c r="DE61" s="69" t="str">
        <f aca="false">IF($E61="","",IF($M61,IF(AND($G61&gt;=DE$5,$G61&lt;DE$5+GanttPeriod),"◆",IF(AND($E61&gt;=DE$5,$E61&lt;DE$5+GanttPeriod),"◇","")),IF(AND(DE$5&lt;=$F61,DE$5+GanttPeriod-1&gt;=$E61),"━","")))</f>
        <v/>
      </c>
      <c r="DF61" s="69" t="str">
        <f aca="false">IF($E61="","",IF($M61,IF(AND($G61&gt;=DF$5,$G61&lt;DF$5+GanttPeriod),"◆",IF(AND($E61&gt;=DF$5,$E61&lt;DF$5+GanttPeriod),"◇","")),IF(AND(DF$5&lt;=$F61,DF$5+GanttPeriod-1&gt;=$E61),"━","")))</f>
        <v/>
      </c>
      <c r="DG61" s="69" t="str">
        <f aca="false">IF($E61="","",IF($M61,IF(AND($G61&gt;=DG$5,$G61&lt;DG$5+GanttPeriod),"◆",IF(AND($E61&gt;=DG$5,$E61&lt;DG$5+GanttPeriod),"◇","")),IF(AND(DG$5&lt;=$F61,DG$5+GanttPeriod-1&gt;=$E61),"━","")))</f>
        <v/>
      </c>
      <c r="DH61" s="69" t="str">
        <f aca="false">IF($E61="","",IF($M61,IF(AND($G61&gt;=DH$5,$G61&lt;DH$5+GanttPeriod),"◆",IF(AND($E61&gt;=DH$5,$E61&lt;DH$5+GanttPeriod),"◇","")),IF(AND(DH$5&lt;=$F61,DH$5+GanttPeriod-1&gt;=$E61),"━","")))</f>
        <v/>
      </c>
      <c r="DI61" s="69" t="str">
        <f aca="false">IF($E61="","",IF($M61,IF(AND($G61&gt;=DI$5,$G61&lt;DI$5+GanttPeriod),"◆",IF(AND($E61&gt;=DI$5,$E61&lt;DI$5+GanttPeriod),"◇","")),IF(AND(DI$5&lt;=$F61,DI$5+GanttPeriod-1&gt;=$E61),"━","")))</f>
        <v/>
      </c>
      <c r="DJ61" s="69" t="str">
        <f aca="false">IF($E61="","",IF($M61,IF(AND($G61&gt;=DJ$5,$G61&lt;DJ$5+GanttPeriod),"◆",IF(AND($E61&gt;=DJ$5,$E61&lt;DJ$5+GanttPeriod),"◇","")),IF(AND(DJ$5&lt;=$F61,DJ$5+GanttPeriod-1&gt;=$E61),"━","")))</f>
        <v/>
      </c>
      <c r="DK61" s="69" t="str">
        <f aca="false">IF($E61="","",IF($M61,IF(AND($G61&gt;=DK$5,$G61&lt;DK$5+GanttPeriod),"◆",IF(AND($E61&gt;=DK$5,$E61&lt;DK$5+GanttPeriod),"◇","")),IF(AND(DK$5&lt;=$F61,DK$5+GanttPeriod-1&gt;=$E61),"━","")))</f>
        <v/>
      </c>
      <c r="DL61" s="69" t="str">
        <f aca="false">IF($E61="","",IF($M61,IF(AND($G61&gt;=DL$5,$G61&lt;DL$5+GanttPeriod),"◆",IF(AND($E61&gt;=DL$5,$E61&lt;DL$5+GanttPeriod),"◇","")),IF(AND(DL$5&lt;=$F61,DL$5+GanttPeriod-1&gt;=$E61),"━","")))</f>
        <v/>
      </c>
      <c r="DM61" s="69" t="str">
        <f aca="false">IF($E61="","",IF($M61,IF(AND($G61&gt;=DM$5,$G61&lt;DM$5+GanttPeriod),"◆",IF(AND($E61&gt;=DM$5,$E61&lt;DM$5+GanttPeriod),"◇","")),IF(AND(DM$5&lt;=$F61,DM$5+GanttPeriod-1&gt;=$E61),"━","")))</f>
        <v/>
      </c>
      <c r="DN61" s="69" t="str">
        <f aca="false">IF($E61="","",IF($M61,IF(AND($G61&gt;=DN$5,$G61&lt;DN$5+GanttPeriod),"◆",IF(AND($E61&gt;=DN$5,$E61&lt;DN$5+GanttPeriod),"◇","")),IF(AND(DN$5&lt;=$F61,DN$5+GanttPeriod-1&gt;=$E61),"━","")))</f>
        <v/>
      </c>
      <c r="DO61" s="69" t="str">
        <f aca="false">IF($E61="","",IF($M61,IF(AND($G61&gt;=DO$5,$G61&lt;DO$5+GanttPeriod),"◆",IF(AND($E61&gt;=DO$5,$E61&lt;DO$5+GanttPeriod),"◇","")),IF(AND(DO$5&lt;=$F61,DO$5+GanttPeriod-1&gt;=$E61),"━","")))</f>
        <v/>
      </c>
      <c r="DP61" s="69" t="str">
        <f aca="false">IF($E61="","",IF($M61,IF(AND($G61&gt;=DP$5,$G61&lt;DP$5+GanttPeriod),"◆",IF(AND($E61&gt;=DP$5,$E61&lt;DP$5+GanttPeriod),"◇","")),IF(AND(DP$5&lt;=$F61,DP$5+GanttPeriod-1&gt;=$E61),"━","")))</f>
        <v/>
      </c>
      <c r="DQ61" s="69" t="str">
        <f aca="false">IF($E61="","",IF($M61,IF(AND($G61&gt;=DQ$5,$G61&lt;DQ$5+GanttPeriod),"◆",IF(AND($E61&gt;=DQ$5,$E61&lt;DQ$5+GanttPeriod),"◇","")),IF(AND(DQ$5&lt;=$F61,DQ$5+GanttPeriod-1&gt;=$E61),"━","")))</f>
        <v/>
      </c>
      <c r="DR61" s="69" t="str">
        <f aca="false">IF($E61="","",IF($M61,IF(AND($G61&gt;=DR$5,$G61&lt;DR$5+GanttPeriod),"◆",IF(AND($E61&gt;=DR$5,$E61&lt;DR$5+GanttPeriod),"◇","")),IF(AND(DR$5&lt;=$F61,DR$5+GanttPeriod-1&gt;=$E61),"━","")))</f>
        <v/>
      </c>
      <c r="DS61" s="69" t="str">
        <f aca="false">IF($E61="","",IF($M61,IF(AND($G61&gt;=DS$5,$G61&lt;DS$5+GanttPeriod),"◆",IF(AND($E61&gt;=DS$5,$E61&lt;DS$5+GanttPeriod),"◇","")),IF(AND(DS$5&lt;=$F61,DS$5+GanttPeriod-1&gt;=$E61),"━","")))</f>
        <v/>
      </c>
      <c r="DT61" s="69" t="str">
        <f aca="false">IF($E61="","",IF($M61,IF(AND($G61&gt;=DT$5,$G61&lt;DT$5+GanttPeriod),"◆",IF(AND($E61&gt;=DT$5,$E61&lt;DT$5+GanttPeriod),"◇","")),IF(AND(DT$5&lt;=$F61,DT$5+GanttPeriod-1&gt;=$E61),"━","")))</f>
        <v/>
      </c>
      <c r="DU61" s="69" t="str">
        <f aca="false">IF($E61="","",IF($M61,IF(AND($G61&gt;=DU$5,$G61&lt;DU$5+GanttPeriod),"◆",IF(AND($E61&gt;=DU$5,$E61&lt;DU$5+GanttPeriod),"◇","")),IF(AND(DU$5&lt;=$F61,DU$5+GanttPeriod-1&gt;=$E61),"━","")))</f>
        <v/>
      </c>
      <c r="DV61" s="69" t="str">
        <f aca="false">IF($E61="","",IF($M61,IF(AND($G61&gt;=DV$5,$G61&lt;DV$5+GanttPeriod),"◆",IF(AND($E61&gt;=DV$5,$E61&lt;DV$5+GanttPeriod),"◇","")),IF(AND(DV$5&lt;=$F61,DV$5+GanttPeriod-1&gt;=$E61),"━","")))</f>
        <v/>
      </c>
      <c r="DW61" s="69" t="str">
        <f aca="false">IF($E61="","",IF($M61,IF(AND($G61&gt;=DW$5,$G61&lt;DW$5+GanttPeriod),"◆",IF(AND($E61&gt;=DW$5,$E61&lt;DW$5+GanttPeriod),"◇","")),IF(AND(DW$5&lt;=$F61,DW$5+GanttPeriod-1&gt;=$E61),"━","")))</f>
        <v/>
      </c>
      <c r="DX61" s="69" t="str">
        <f aca="false">IF($E61="","",IF($M61,IF(AND($G61&gt;=DX$5,$G61&lt;DX$5+GanttPeriod),"◆",IF(AND($E61&gt;=DX$5,$E61&lt;DX$5+GanttPeriod),"◇","")),IF(AND(DX$5&lt;=$F61,DX$5+GanttPeriod-1&gt;=$E61),"━","")))</f>
        <v/>
      </c>
      <c r="DY61" s="69" t="str">
        <f aca="false">IF($E61="","",IF($M61,IF(AND($G61&gt;=DY$5,$G61&lt;DY$5+GanttPeriod),"◆",IF(AND($E61&gt;=DY$5,$E61&lt;DY$5+GanttPeriod),"◇","")),IF(AND(DY$5&lt;=$F61,DY$5+GanttPeriod-1&gt;=$E61),"━","")))</f>
        <v/>
      </c>
      <c r="DZ61" s="69" t="str">
        <f aca="false">IF($E61="","",IF($M61,IF(AND($G61&gt;=DZ$5,$G61&lt;DZ$5+GanttPeriod),"◆",IF(AND($E61&gt;=DZ$5,$E61&lt;DZ$5+GanttPeriod),"◇","")),IF(AND(DZ$5&lt;=$F61,DZ$5+GanttPeriod-1&gt;=$E61),"━","")))</f>
        <v/>
      </c>
      <c r="EA61" s="69" t="str">
        <f aca="false">IF($E61="","",IF($M61,IF(AND($G61&gt;=EA$5,$G61&lt;EA$5+GanttPeriod),"◆",IF(AND($E61&gt;=EA$5,$E61&lt;EA$5+GanttPeriod),"◇","")),IF(AND(EA$5&lt;=$F61,EA$5+GanttPeriod-1&gt;=$E61),"━","")))</f>
        <v/>
      </c>
      <c r="EB61" s="69" t="str">
        <f aca="false">IF($E61="","",IF($M61,IF(AND($G61&gt;=EB$5,$G61&lt;EB$5+GanttPeriod),"◆",IF(AND($E61&gt;=EB$5,$E61&lt;EB$5+GanttPeriod),"◇","")),IF(AND(EB$5&lt;=$F61,EB$5+GanttPeriod-1&gt;=$E61),"━","")))</f>
        <v/>
      </c>
      <c r="EC61" s="69" t="str">
        <f aca="false">IF($E61="","",IF($M61,IF(AND($G61&gt;=EC$5,$G61&lt;EC$5+GanttPeriod),"◆",IF(AND($E61&gt;=EC$5,$E61&lt;EC$5+GanttPeriod),"◇","")),IF(AND(EC$5&lt;=$F61,EC$5+GanttPeriod-1&gt;=$E61),"━","")))</f>
        <v/>
      </c>
      <c r="ED61" s="69" t="str">
        <f aca="false">IF($E61="","",IF($M61,IF(AND($G61&gt;=ED$5,$G61&lt;ED$5+GanttPeriod),"◆",IF(AND($E61&gt;=ED$5,$E61&lt;ED$5+GanttPeriod),"◇","")),IF(AND(ED$5&lt;=$F61,ED$5+GanttPeriod-1&gt;=$E61),"━","")))</f>
        <v/>
      </c>
      <c r="EE61" s="69" t="str">
        <f aca="false">IF($E61="","",IF($M61,IF(AND($G61&gt;=EE$5,$G61&lt;EE$5+GanttPeriod),"◆",IF(AND($E61&gt;=EE$5,$E61&lt;EE$5+GanttPeriod),"◇","")),IF(AND(EE$5&lt;=$F61,EE$5+GanttPeriod-1&gt;=$E61),"━","")))</f>
        <v/>
      </c>
      <c r="EF61" s="69" t="str">
        <f aca="false">IF($E61="","",IF($M61,IF(AND($G61&gt;=EF$5,$G61&lt;EF$5+GanttPeriod),"◆",IF(AND($E61&gt;=EF$5,$E61&lt;EF$5+GanttPeriod),"◇","")),IF(AND(EF$5&lt;=$F61,EF$5+GanttPeriod-1&gt;=$E61),"━","")))</f>
        <v/>
      </c>
      <c r="EG61" s="69" t="str">
        <f aca="false">IF($E61="","",IF($M61,IF(AND($G61&gt;=EG$5,$G61&lt;EG$5+GanttPeriod),"◆",IF(AND($E61&gt;=EG$5,$E61&lt;EG$5+GanttPeriod),"◇","")),IF(AND(EG$5&lt;=$F61,EG$5+GanttPeriod-1&gt;=$E61),"━","")))</f>
        <v/>
      </c>
      <c r="EH61" s="69" t="str">
        <f aca="false">IF($E61="","",IF($M61,IF(AND($G61&gt;=EH$5,$G61&lt;EH$5+GanttPeriod),"◆",IF(AND($E61&gt;=EH$5,$E61&lt;EH$5+GanttPeriod),"◇","")),IF(AND(EH$5&lt;=$F61,EH$5+GanttPeriod-1&gt;=$E61),"━","")))</f>
        <v/>
      </c>
      <c r="EI61" s="69" t="str">
        <f aca="false">IF($E61="","",IF($M61,IF(AND($G61&gt;=EI$5,$G61&lt;EI$5+GanttPeriod),"◆",IF(AND($E61&gt;=EI$5,$E61&lt;EI$5+GanttPeriod),"◇","")),IF(AND(EI$5&lt;=$F61,EI$5+GanttPeriod-1&gt;=$E61),"━","")))</f>
        <v/>
      </c>
      <c r="EJ61" s="69" t="str">
        <f aca="false">IF($E61="","",IF($M61,IF(AND($G61&gt;=EJ$5,$G61&lt;EJ$5+GanttPeriod),"◆",IF(AND($E61&gt;=EJ$5,$E61&lt;EJ$5+GanttPeriod),"◇","")),IF(AND(EJ$5&lt;=$F61,EJ$5+GanttPeriod-1&gt;=$E61),"━","")))</f>
        <v/>
      </c>
      <c r="EK61" s="69" t="str">
        <f aca="false">IF($E61="","",IF($M61,IF(AND($G61&gt;=EK$5,$G61&lt;EK$5+GanttPeriod),"◆",IF(AND($E61&gt;=EK$5,$E61&lt;EK$5+GanttPeriod),"◇","")),IF(AND(EK$5&lt;=$F61,EK$5+GanttPeriod-1&gt;=$E61),"━","")))</f>
        <v/>
      </c>
      <c r="EL61" s="69" t="str">
        <f aca="false">IF($E61="","",IF($M61,IF(AND($G61&gt;=EL$5,$G61&lt;EL$5+GanttPeriod),"◆",IF(AND($E61&gt;=EL$5,$E61&lt;EL$5+GanttPeriod),"◇","")),IF(AND(EL$5&lt;=$F61,EL$5+GanttPeriod-1&gt;=$E61),"━","")))</f>
        <v/>
      </c>
      <c r="EM61" s="69" t="str">
        <f aca="false">IF($E61="","",IF($M61,IF(AND($G61&gt;=EM$5,$G61&lt;EM$5+GanttPeriod),"◆",IF(AND($E61&gt;=EM$5,$E61&lt;EM$5+GanttPeriod),"◇","")),IF(AND(EM$5&lt;=$F61,EM$5+GanttPeriod-1&gt;=$E61),"━","")))</f>
        <v/>
      </c>
      <c r="EN61" s="69" t="str">
        <f aca="false">IF($E61="","",IF($M61,IF(AND($G61&gt;=EN$5,$G61&lt;EN$5+GanttPeriod),"◆",IF(AND($E61&gt;=EN$5,$E61&lt;EN$5+GanttPeriod),"◇","")),IF(AND(EN$5&lt;=$F61,EN$5+GanttPeriod-1&gt;=$E61),"━","")))</f>
        <v/>
      </c>
      <c r="EO61" s="69" t="str">
        <f aca="false">IF($E61="","",IF($M61,IF(AND($G61&gt;=EO$5,$G61&lt;EO$5+GanttPeriod),"◆",IF(AND($E61&gt;=EO$5,$E61&lt;EO$5+GanttPeriod),"◇","")),IF(AND(EO$5&lt;=$F61,EO$5+GanttPeriod-1&gt;=$E61),"━","")))</f>
        <v/>
      </c>
      <c r="EP61" s="69" t="str">
        <f aca="false">IF($E61="","",IF($M61,IF(AND($G61&gt;=EP$5,$G61&lt;EP$5+GanttPeriod),"◆",IF(AND($E61&gt;=EP$5,$E61&lt;EP$5+GanttPeriod),"◇","")),IF(AND(EP$5&lt;=$F61,EP$5+GanttPeriod-1&gt;=$E61),"━","")))</f>
        <v/>
      </c>
      <c r="EQ61" s="69" t="str">
        <f aca="false">IF($E61="","",IF($M61,IF(AND($G61&gt;=EQ$5,$G61&lt;EQ$5+GanttPeriod),"◆",IF(AND($E61&gt;=EQ$5,$E61&lt;EQ$5+GanttPeriod),"◇","")),IF(AND(EQ$5&lt;=$F61,EQ$5+GanttPeriod-1&gt;=$E61),"━","")))</f>
        <v/>
      </c>
      <c r="ER61" s="69" t="str">
        <f aca="false">IF($E61="","",IF($M61,IF(AND($G61&gt;=ER$5,$G61&lt;ER$5+GanttPeriod),"◆",IF(AND($E61&gt;=ER$5,$E61&lt;ER$5+GanttPeriod),"◇","")),IF(AND(ER$5&lt;=$F61,ER$5+GanttPeriod-1&gt;=$E61),"━","")))</f>
        <v/>
      </c>
      <c r="ES61" s="69" t="str">
        <f aca="false">IF($E61="","",IF($M61,IF(AND($G61&gt;=ES$5,$G61&lt;ES$5+GanttPeriod),"◆",IF(AND($E61&gt;=ES$5,$E61&lt;ES$5+GanttPeriod),"◇","")),IF(AND(ES$5&lt;=$F61,ES$5+GanttPeriod-1&gt;=$E61),"━","")))</f>
        <v/>
      </c>
      <c r="ET61" s="69" t="str">
        <f aca="false">IF($E61="","",IF($M61,IF(AND($G61&gt;=ET$5,$G61&lt;ET$5+GanttPeriod),"◆",IF(AND($E61&gt;=ET$5,$E61&lt;ET$5+GanttPeriod),"◇","")),IF(AND(ET$5&lt;=$F61,ET$5+GanttPeriod-1&gt;=$E61),"━","")))</f>
        <v/>
      </c>
      <c r="EU61" s="69" t="str">
        <f aca="false">IF($E61="","",IF($M61,IF(AND($G61&gt;=EU$5,$G61&lt;EU$5+GanttPeriod),"◆",IF(AND($E61&gt;=EU$5,$E61&lt;EU$5+GanttPeriod),"◇","")),IF(AND(EU$5&lt;=$F61,EU$5+GanttPeriod-1&gt;=$E61),"━","")))</f>
        <v/>
      </c>
      <c r="EV61" s="69" t="str">
        <f aca="false">IF($E61="","",IF($M61,IF(AND($G61&gt;=EV$5,$G61&lt;EV$5+GanttPeriod),"◆",IF(AND($E61&gt;=EV$5,$E61&lt;EV$5+GanttPeriod),"◇","")),IF(AND(EV$5&lt;=$F61,EV$5+GanttPeriod-1&gt;=$E61),"━","")))</f>
        <v/>
      </c>
      <c r="EW61" s="69" t="str">
        <f aca="false">IF($E61="","",IF($M61,IF(AND($G61&gt;=EW$5,$G61&lt;EW$5+GanttPeriod),"◆",IF(AND($E61&gt;=EW$5,$E61&lt;EW$5+GanttPeriod),"◇","")),IF(AND(EW$5&lt;=$F61,EW$5+GanttPeriod-1&gt;=$E61),"━","")))</f>
        <v/>
      </c>
      <c r="EX61" s="69" t="str">
        <f aca="false">IF($E61="","",IF($M61,IF(AND($G61&gt;=EX$5,$G61&lt;EX$5+GanttPeriod),"◆",IF(AND($E61&gt;=EX$5,$E61&lt;EX$5+GanttPeriod),"◇","")),IF(AND(EX$5&lt;=$F61,EX$5+GanttPeriod-1&gt;=$E61),"━","")))</f>
        <v/>
      </c>
      <c r="EY61" s="69" t="str">
        <f aca="false">IF($E61="","",IF($M61,IF(AND($G61&gt;=EY$5,$G61&lt;EY$5+GanttPeriod),"◆",IF(AND($E61&gt;=EY$5,$E61&lt;EY$5+GanttPeriod),"◇","")),IF(AND(EY$5&lt;=$F61,EY$5+GanttPeriod-1&gt;=$E61),"━","")))</f>
        <v/>
      </c>
      <c r="EZ61" s="69" t="str">
        <f aca="false">IF($E61="","",IF($M61,IF(AND($G61&gt;=EZ$5,$G61&lt;EZ$5+GanttPeriod),"◆",IF(AND($E61&gt;=EZ$5,$E61&lt;EZ$5+GanttPeriod),"◇","")),IF(AND(EZ$5&lt;=$F61,EZ$5+GanttPeriod-1&gt;=$E61),"━","")))</f>
        <v/>
      </c>
      <c r="FA61" s="69" t="str">
        <f aca="false">IF($E61="","",IF($M61,IF(AND($G61&gt;=FA$5,$G61&lt;FA$5+GanttPeriod),"◆",IF(AND($E61&gt;=FA$5,$E61&lt;FA$5+GanttPeriod),"◇","")),IF(AND(FA$5&lt;=$F61,FA$5+GanttPeriod-1&gt;=$E61),"━","")))</f>
        <v/>
      </c>
      <c r="FB61" s="69" t="str">
        <f aca="false">IF($E61="","",IF($M61,IF(AND($G61&gt;=FB$5,$G61&lt;FB$5+GanttPeriod),"◆",IF(AND($E61&gt;=FB$5,$E61&lt;FB$5+GanttPeriod),"◇","")),IF(AND(FB$5&lt;=$F61,FB$5+GanttPeriod-1&gt;=$E61),"━","")))</f>
        <v/>
      </c>
      <c r="FC61" s="69" t="str">
        <f aca="false">IF($E61="","",IF($M61,IF(AND($G61&gt;=FC$5,$G61&lt;FC$5+GanttPeriod),"◆",IF(AND($E61&gt;=FC$5,$E61&lt;FC$5+GanttPeriod),"◇","")),IF(AND(FC$5&lt;=$F61,FC$5+GanttPeriod-1&gt;=$E61),"━","")))</f>
        <v/>
      </c>
      <c r="FD61" s="69" t="str">
        <f aca="false">IF($E61="","",IF($M61,IF(AND($G61&gt;=FD$5,$G61&lt;FD$5+GanttPeriod),"◆",IF(AND($E61&gt;=FD$5,$E61&lt;FD$5+GanttPeriod),"◇","")),IF(AND(FD$5&lt;=$F61,FD$5+GanttPeriod-1&gt;=$E61),"━","")))</f>
        <v/>
      </c>
      <c r="FE61" s="69" t="str">
        <f aca="false">IF($E61="","",IF($M61,IF(AND($G61&gt;=FE$5,$G61&lt;FE$5+GanttPeriod),"◆",IF(AND($E61&gt;=FE$5,$E61&lt;FE$5+GanttPeriod),"◇","")),IF(AND(FE$5&lt;=$F61,FE$5+GanttPeriod-1&gt;=$E61),"━","")))</f>
        <v/>
      </c>
      <c r="FF61" s="69" t="str">
        <f aca="false">IF($E61="","",IF($M61,IF(AND($G61&gt;=FF$5,$G61&lt;FF$5+GanttPeriod),"◆",IF(AND($E61&gt;=FF$5,$E61&lt;FF$5+GanttPeriod),"◇","")),IF(AND(FF$5&lt;=$F61,FF$5+GanttPeriod-1&gt;=$E61),"━","")))</f>
        <v/>
      </c>
      <c r="FG61" s="69" t="str">
        <f aca="false">IF($E61="","",IF($M61,IF(AND($G61&gt;=FG$5,$G61&lt;FG$5+GanttPeriod),"◆",IF(AND($E61&gt;=FG$5,$E61&lt;FG$5+GanttPeriod),"◇","")),IF(AND(FG$5&lt;=$F61,FG$5+GanttPeriod-1&gt;=$E61),"━","")))</f>
        <v/>
      </c>
      <c r="FH61" s="69" t="str">
        <f aca="false">IF($E61="","",IF($M61,IF(AND($G61&gt;=FH$5,$G61&lt;FH$5+GanttPeriod),"◆",IF(AND($E61&gt;=FH$5,$E61&lt;FH$5+GanttPeriod),"◇","")),IF(AND(FH$5&lt;=$F61,FH$5+GanttPeriod-1&gt;=$E61),"━","")))</f>
        <v/>
      </c>
      <c r="FI61" s="69" t="str">
        <f aca="false">IF($E61="","",IF($M61,IF(AND($G61&gt;=FI$5,$G61&lt;FI$5+GanttPeriod),"◆",IF(AND($E61&gt;=FI$5,$E61&lt;FI$5+GanttPeriod),"◇","")),IF(AND(FI$5&lt;=$F61,FI$5+GanttPeriod-1&gt;=$E61),"━","")))</f>
        <v/>
      </c>
      <c r="FJ61" s="69" t="str">
        <f aca="false">IF($E61="","",IF($M61,IF(AND($G61&gt;=FJ$5,$G61&lt;FJ$5+GanttPeriod),"◆",IF(AND($E61&gt;=FJ$5,$E61&lt;FJ$5+GanttPeriod),"◇","")),IF(AND(FJ$5&lt;=$F61,FJ$5+GanttPeriod-1&gt;=$E61),"━","")))</f>
        <v/>
      </c>
      <c r="FK61" s="69" t="str">
        <f aca="false">IF($E61="","",IF($M61,IF(AND($G61&gt;=FK$5,$G61&lt;FK$5+GanttPeriod),"◆",IF(AND($E61&gt;=FK$5,$E61&lt;FK$5+GanttPeriod),"◇","")),IF(AND(FK$5&lt;=$F61,FK$5+GanttPeriod-1&gt;=$E61),"━","")))</f>
        <v/>
      </c>
      <c r="FL61" s="69" t="str">
        <f aca="false">IF($E61="","",IF($M61,IF(AND($G61&gt;=FL$5,$G61&lt;FL$5+GanttPeriod),"◆",IF(AND($E61&gt;=FL$5,$E61&lt;FL$5+GanttPeriod),"◇","")),IF(AND(FL$5&lt;=$F61,FL$5+GanttPeriod-1&gt;=$E61),"━","")))</f>
        <v/>
      </c>
      <c r="FM61" s="69" t="str">
        <f aca="false">IF($E61="","",IF($M61,IF(AND($G61&gt;=FM$5,$G61&lt;FM$5+GanttPeriod),"◆",IF(AND($E61&gt;=FM$5,$E61&lt;FM$5+GanttPeriod),"◇","")),IF(AND(FM$5&lt;=$F61,FM$5+GanttPeriod-1&gt;=$E61),"━","")))</f>
        <v/>
      </c>
    </row>
    <row r="62" customFormat="false" ht="15" hidden="false" customHeight="false" outlineLevel="0" collapsed="false">
      <c r="A62" s="62" t="str">
        <f aca="false">IF(Tasks!$D62="","",Tasks!$A62)</f>
        <v/>
      </c>
      <c r="B62" s="62" t="str">
        <f aca="false">IF(Tasks!$D62="","",Tasks!$B62)</f>
        <v/>
      </c>
      <c r="C62" s="63" t="str">
        <f aca="false">IF(Tasks!$D62="","",REPT("    ",Tasks!$AE62-1)&amp;Tasks!$D62)</f>
        <v/>
      </c>
      <c r="D62" s="62" t="str">
        <f aca="false">IF(Tasks!$D62="","",IF(Tasks!$AI62,NETWORKDAYS.INTL(Tasks!$R62,Tasks!$S62,WorkWeek,Holidays),N(Tasks!$F62)))</f>
        <v/>
      </c>
      <c r="E62" s="64" t="str">
        <f aca="false">IF(Tasks!$D62="","",Tasks!$N62)</f>
        <v/>
      </c>
      <c r="F62" s="64" t="str">
        <f aca="false">IF(Tasks!$D62="","",Tasks!$O62)</f>
        <v/>
      </c>
      <c r="G62" s="64" t="str">
        <f aca="false">IF(Tasks!$D62="","",Tasks!$R62)</f>
        <v/>
      </c>
      <c r="H62" s="64" t="str">
        <f aca="false">IF(Tasks!$D62="","",Tasks!$S62)</f>
        <v/>
      </c>
      <c r="I62" s="65" t="str">
        <f aca="false">IF(Tasks!$D62="","",Tasks!$V62)</f>
        <v/>
      </c>
      <c r="J62" s="63" t="str">
        <f aca="false">IF(Tasks!$D62="","",Tasks!$X62&amp;"")</f>
        <v/>
      </c>
      <c r="K62" s="66" t="str">
        <f aca="false">IF(Tasks!$D62="","",Tasks!$W62)</f>
        <v/>
      </c>
      <c r="L62" s="67" t="b">
        <f aca="false">IF(Tasks!$D62="",FALSE(),Tasks!$AI62)</f>
        <v>0</v>
      </c>
      <c r="M62" s="67" t="b">
        <f aca="false">AND(Tasks!$AJ62=1,N(Tasks!$F62)=0)</f>
        <v>0</v>
      </c>
      <c r="N62" s="68" t="n">
        <f aca="false">IF(AND(Tasks!$AJ62=1,NOT($M62),N($I62)&gt;0),$G62,0)</f>
        <v>0</v>
      </c>
      <c r="O62" s="68" t="n">
        <f aca="false">IF($N62=0,0,IF($I62&gt;=1,$H62,MAX($N62,$G62+ROUND(($H62-$G62+1)*$I62,0)-1)))</f>
        <v>0</v>
      </c>
      <c r="P62" s="68" t="n">
        <f aca="false">IF(OR(Tasks!$AJ62&lt;&gt;1,$M62,N($I62)&gt;=1),0,IF($O62&gt;0,$O62+1,$G62))</f>
        <v>0</v>
      </c>
      <c r="Q62" s="68" t="n">
        <f aca="false">IF($P62=0,0,$H62)</f>
        <v>0</v>
      </c>
      <c r="R62" s="67" t="b">
        <f aca="false">AND(Tasks!$D62&lt;&gt;"",N(Tasks!$T62)&gt;0)</f>
        <v>0</v>
      </c>
      <c r="T62" s="69" t="str">
        <f aca="false">IF($E62="","",IF($M62,IF(AND($G62&gt;=T$5,$G62&lt;T$5+GanttPeriod),"◆",IF(AND($E62&gt;=T$5,$E62&lt;T$5+GanttPeriod),"◇","")),IF(AND(T$5&lt;=$F62,T$5+GanttPeriod-1&gt;=$E62),"━","")))</f>
        <v/>
      </c>
      <c r="U62" s="69" t="str">
        <f aca="false">IF($E62="","",IF($M62,IF(AND($G62&gt;=U$5,$G62&lt;U$5+GanttPeriod),"◆",IF(AND($E62&gt;=U$5,$E62&lt;U$5+GanttPeriod),"◇","")),IF(AND(U$5&lt;=$F62,U$5+GanttPeriod-1&gt;=$E62),"━","")))</f>
        <v/>
      </c>
      <c r="V62" s="69" t="str">
        <f aca="false">IF($E62="","",IF($M62,IF(AND($G62&gt;=V$5,$G62&lt;V$5+GanttPeriod),"◆",IF(AND($E62&gt;=V$5,$E62&lt;V$5+GanttPeriod),"◇","")),IF(AND(V$5&lt;=$F62,V$5+GanttPeriod-1&gt;=$E62),"━","")))</f>
        <v/>
      </c>
      <c r="W62" s="69" t="str">
        <f aca="false">IF($E62="","",IF($M62,IF(AND($G62&gt;=W$5,$G62&lt;W$5+GanttPeriod),"◆",IF(AND($E62&gt;=W$5,$E62&lt;W$5+GanttPeriod),"◇","")),IF(AND(W$5&lt;=$F62,W$5+GanttPeriod-1&gt;=$E62),"━","")))</f>
        <v/>
      </c>
      <c r="X62" s="69" t="str">
        <f aca="false">IF($E62="","",IF($M62,IF(AND($G62&gt;=X$5,$G62&lt;X$5+GanttPeriod),"◆",IF(AND($E62&gt;=X$5,$E62&lt;X$5+GanttPeriod),"◇","")),IF(AND(X$5&lt;=$F62,X$5+GanttPeriod-1&gt;=$E62),"━","")))</f>
        <v/>
      </c>
      <c r="Y62" s="69" t="str">
        <f aca="false">IF($E62="","",IF($M62,IF(AND($G62&gt;=Y$5,$G62&lt;Y$5+GanttPeriod),"◆",IF(AND($E62&gt;=Y$5,$E62&lt;Y$5+GanttPeriod),"◇","")),IF(AND(Y$5&lt;=$F62,Y$5+GanttPeriod-1&gt;=$E62),"━","")))</f>
        <v/>
      </c>
      <c r="Z62" s="69" t="str">
        <f aca="false">IF($E62="","",IF($M62,IF(AND($G62&gt;=Z$5,$G62&lt;Z$5+GanttPeriod),"◆",IF(AND($E62&gt;=Z$5,$E62&lt;Z$5+GanttPeriod),"◇","")),IF(AND(Z$5&lt;=$F62,Z$5+GanttPeriod-1&gt;=$E62),"━","")))</f>
        <v/>
      </c>
      <c r="AA62" s="69" t="str">
        <f aca="false">IF($E62="","",IF($M62,IF(AND($G62&gt;=AA$5,$G62&lt;AA$5+GanttPeriod),"◆",IF(AND($E62&gt;=AA$5,$E62&lt;AA$5+GanttPeriod),"◇","")),IF(AND(AA$5&lt;=$F62,AA$5+GanttPeriod-1&gt;=$E62),"━","")))</f>
        <v/>
      </c>
      <c r="AB62" s="69" t="str">
        <f aca="false">IF($E62="","",IF($M62,IF(AND($G62&gt;=AB$5,$G62&lt;AB$5+GanttPeriod),"◆",IF(AND($E62&gt;=AB$5,$E62&lt;AB$5+GanttPeriod),"◇","")),IF(AND(AB$5&lt;=$F62,AB$5+GanttPeriod-1&gt;=$E62),"━","")))</f>
        <v/>
      </c>
      <c r="AC62" s="69" t="str">
        <f aca="false">IF($E62="","",IF($M62,IF(AND($G62&gt;=AC$5,$G62&lt;AC$5+GanttPeriod),"◆",IF(AND($E62&gt;=AC$5,$E62&lt;AC$5+GanttPeriod),"◇","")),IF(AND(AC$5&lt;=$F62,AC$5+GanttPeriod-1&gt;=$E62),"━","")))</f>
        <v/>
      </c>
      <c r="AD62" s="69" t="str">
        <f aca="false">IF($E62="","",IF($M62,IF(AND($G62&gt;=AD$5,$G62&lt;AD$5+GanttPeriod),"◆",IF(AND($E62&gt;=AD$5,$E62&lt;AD$5+GanttPeriod),"◇","")),IF(AND(AD$5&lt;=$F62,AD$5+GanttPeriod-1&gt;=$E62),"━","")))</f>
        <v/>
      </c>
      <c r="AE62" s="69" t="str">
        <f aca="false">IF($E62="","",IF($M62,IF(AND($G62&gt;=AE$5,$G62&lt;AE$5+GanttPeriod),"◆",IF(AND($E62&gt;=AE$5,$E62&lt;AE$5+GanttPeriod),"◇","")),IF(AND(AE$5&lt;=$F62,AE$5+GanttPeriod-1&gt;=$E62),"━","")))</f>
        <v/>
      </c>
      <c r="AF62" s="69" t="str">
        <f aca="false">IF($E62="","",IF($M62,IF(AND($G62&gt;=AF$5,$G62&lt;AF$5+GanttPeriod),"◆",IF(AND($E62&gt;=AF$5,$E62&lt;AF$5+GanttPeriod),"◇","")),IF(AND(AF$5&lt;=$F62,AF$5+GanttPeriod-1&gt;=$E62),"━","")))</f>
        <v/>
      </c>
      <c r="AG62" s="69" t="str">
        <f aca="false">IF($E62="","",IF($M62,IF(AND($G62&gt;=AG$5,$G62&lt;AG$5+GanttPeriod),"◆",IF(AND($E62&gt;=AG$5,$E62&lt;AG$5+GanttPeriod),"◇","")),IF(AND(AG$5&lt;=$F62,AG$5+GanttPeriod-1&gt;=$E62),"━","")))</f>
        <v/>
      </c>
      <c r="AH62" s="69" t="str">
        <f aca="false">IF($E62="","",IF($M62,IF(AND($G62&gt;=AH$5,$G62&lt;AH$5+GanttPeriod),"◆",IF(AND($E62&gt;=AH$5,$E62&lt;AH$5+GanttPeriod),"◇","")),IF(AND(AH$5&lt;=$F62,AH$5+GanttPeriod-1&gt;=$E62),"━","")))</f>
        <v/>
      </c>
      <c r="AI62" s="69" t="str">
        <f aca="false">IF($E62="","",IF($M62,IF(AND($G62&gt;=AI$5,$G62&lt;AI$5+GanttPeriod),"◆",IF(AND($E62&gt;=AI$5,$E62&lt;AI$5+GanttPeriod),"◇","")),IF(AND(AI$5&lt;=$F62,AI$5+GanttPeriod-1&gt;=$E62),"━","")))</f>
        <v/>
      </c>
      <c r="AJ62" s="69" t="str">
        <f aca="false">IF($E62="","",IF($M62,IF(AND($G62&gt;=AJ$5,$G62&lt;AJ$5+GanttPeriod),"◆",IF(AND($E62&gt;=AJ$5,$E62&lt;AJ$5+GanttPeriod),"◇","")),IF(AND(AJ$5&lt;=$F62,AJ$5+GanttPeriod-1&gt;=$E62),"━","")))</f>
        <v/>
      </c>
      <c r="AK62" s="69" t="str">
        <f aca="false">IF($E62="","",IF($M62,IF(AND($G62&gt;=AK$5,$G62&lt;AK$5+GanttPeriod),"◆",IF(AND($E62&gt;=AK$5,$E62&lt;AK$5+GanttPeriod),"◇","")),IF(AND(AK$5&lt;=$F62,AK$5+GanttPeriod-1&gt;=$E62),"━","")))</f>
        <v/>
      </c>
      <c r="AL62" s="69" t="str">
        <f aca="false">IF($E62="","",IF($M62,IF(AND($G62&gt;=AL$5,$G62&lt;AL$5+GanttPeriod),"◆",IF(AND($E62&gt;=AL$5,$E62&lt;AL$5+GanttPeriod),"◇","")),IF(AND(AL$5&lt;=$F62,AL$5+GanttPeriod-1&gt;=$E62),"━","")))</f>
        <v/>
      </c>
      <c r="AM62" s="69" t="str">
        <f aca="false">IF($E62="","",IF($M62,IF(AND($G62&gt;=AM$5,$G62&lt;AM$5+GanttPeriod),"◆",IF(AND($E62&gt;=AM$5,$E62&lt;AM$5+GanttPeriod),"◇","")),IF(AND(AM$5&lt;=$F62,AM$5+GanttPeriod-1&gt;=$E62),"━","")))</f>
        <v/>
      </c>
      <c r="AN62" s="69" t="str">
        <f aca="false">IF($E62="","",IF($M62,IF(AND($G62&gt;=AN$5,$G62&lt;AN$5+GanttPeriod),"◆",IF(AND($E62&gt;=AN$5,$E62&lt;AN$5+GanttPeriod),"◇","")),IF(AND(AN$5&lt;=$F62,AN$5+GanttPeriod-1&gt;=$E62),"━","")))</f>
        <v/>
      </c>
      <c r="AO62" s="69" t="str">
        <f aca="false">IF($E62="","",IF($M62,IF(AND($G62&gt;=AO$5,$G62&lt;AO$5+GanttPeriod),"◆",IF(AND($E62&gt;=AO$5,$E62&lt;AO$5+GanttPeriod),"◇","")),IF(AND(AO$5&lt;=$F62,AO$5+GanttPeriod-1&gt;=$E62),"━","")))</f>
        <v/>
      </c>
      <c r="AP62" s="69" t="str">
        <f aca="false">IF($E62="","",IF($M62,IF(AND($G62&gt;=AP$5,$G62&lt;AP$5+GanttPeriod),"◆",IF(AND($E62&gt;=AP$5,$E62&lt;AP$5+GanttPeriod),"◇","")),IF(AND(AP$5&lt;=$F62,AP$5+GanttPeriod-1&gt;=$E62),"━","")))</f>
        <v/>
      </c>
      <c r="AQ62" s="69" t="str">
        <f aca="false">IF($E62="","",IF($M62,IF(AND($G62&gt;=AQ$5,$G62&lt;AQ$5+GanttPeriod),"◆",IF(AND($E62&gt;=AQ$5,$E62&lt;AQ$5+GanttPeriod),"◇","")),IF(AND(AQ$5&lt;=$F62,AQ$5+GanttPeriod-1&gt;=$E62),"━","")))</f>
        <v/>
      </c>
      <c r="AR62" s="69" t="str">
        <f aca="false">IF($E62="","",IF($M62,IF(AND($G62&gt;=AR$5,$G62&lt;AR$5+GanttPeriod),"◆",IF(AND($E62&gt;=AR$5,$E62&lt;AR$5+GanttPeriod),"◇","")),IF(AND(AR$5&lt;=$F62,AR$5+GanttPeriod-1&gt;=$E62),"━","")))</f>
        <v/>
      </c>
      <c r="AS62" s="69" t="str">
        <f aca="false">IF($E62="","",IF($M62,IF(AND($G62&gt;=AS$5,$G62&lt;AS$5+GanttPeriod),"◆",IF(AND($E62&gt;=AS$5,$E62&lt;AS$5+GanttPeriod),"◇","")),IF(AND(AS$5&lt;=$F62,AS$5+GanttPeriod-1&gt;=$E62),"━","")))</f>
        <v/>
      </c>
      <c r="AT62" s="69" t="str">
        <f aca="false">IF($E62="","",IF($M62,IF(AND($G62&gt;=AT$5,$G62&lt;AT$5+GanttPeriod),"◆",IF(AND($E62&gt;=AT$5,$E62&lt;AT$5+GanttPeriod),"◇","")),IF(AND(AT$5&lt;=$F62,AT$5+GanttPeriod-1&gt;=$E62),"━","")))</f>
        <v/>
      </c>
      <c r="AU62" s="69" t="str">
        <f aca="false">IF($E62="","",IF($M62,IF(AND($G62&gt;=AU$5,$G62&lt;AU$5+GanttPeriod),"◆",IF(AND($E62&gt;=AU$5,$E62&lt;AU$5+GanttPeriod),"◇","")),IF(AND(AU$5&lt;=$F62,AU$5+GanttPeriod-1&gt;=$E62),"━","")))</f>
        <v/>
      </c>
      <c r="AV62" s="69" t="str">
        <f aca="false">IF($E62="","",IF($M62,IF(AND($G62&gt;=AV$5,$G62&lt;AV$5+GanttPeriod),"◆",IF(AND($E62&gt;=AV$5,$E62&lt;AV$5+GanttPeriod),"◇","")),IF(AND(AV$5&lt;=$F62,AV$5+GanttPeriod-1&gt;=$E62),"━","")))</f>
        <v/>
      </c>
      <c r="AW62" s="69" t="str">
        <f aca="false">IF($E62="","",IF($M62,IF(AND($G62&gt;=AW$5,$G62&lt;AW$5+GanttPeriod),"◆",IF(AND($E62&gt;=AW$5,$E62&lt;AW$5+GanttPeriod),"◇","")),IF(AND(AW$5&lt;=$F62,AW$5+GanttPeriod-1&gt;=$E62),"━","")))</f>
        <v/>
      </c>
      <c r="AX62" s="69" t="str">
        <f aca="false">IF($E62="","",IF($M62,IF(AND($G62&gt;=AX$5,$G62&lt;AX$5+GanttPeriod),"◆",IF(AND($E62&gt;=AX$5,$E62&lt;AX$5+GanttPeriod),"◇","")),IF(AND(AX$5&lt;=$F62,AX$5+GanttPeriod-1&gt;=$E62),"━","")))</f>
        <v/>
      </c>
      <c r="AY62" s="69" t="str">
        <f aca="false">IF($E62="","",IF($M62,IF(AND($G62&gt;=AY$5,$G62&lt;AY$5+GanttPeriod),"◆",IF(AND($E62&gt;=AY$5,$E62&lt;AY$5+GanttPeriod),"◇","")),IF(AND(AY$5&lt;=$F62,AY$5+GanttPeriod-1&gt;=$E62),"━","")))</f>
        <v/>
      </c>
      <c r="AZ62" s="69" t="str">
        <f aca="false">IF($E62="","",IF($M62,IF(AND($G62&gt;=AZ$5,$G62&lt;AZ$5+GanttPeriod),"◆",IF(AND($E62&gt;=AZ$5,$E62&lt;AZ$5+GanttPeriod),"◇","")),IF(AND(AZ$5&lt;=$F62,AZ$5+GanttPeriod-1&gt;=$E62),"━","")))</f>
        <v/>
      </c>
      <c r="BA62" s="69" t="str">
        <f aca="false">IF($E62="","",IF($M62,IF(AND($G62&gt;=BA$5,$G62&lt;BA$5+GanttPeriod),"◆",IF(AND($E62&gt;=BA$5,$E62&lt;BA$5+GanttPeriod),"◇","")),IF(AND(BA$5&lt;=$F62,BA$5+GanttPeriod-1&gt;=$E62),"━","")))</f>
        <v/>
      </c>
      <c r="BB62" s="69" t="str">
        <f aca="false">IF($E62="","",IF($M62,IF(AND($G62&gt;=BB$5,$G62&lt;BB$5+GanttPeriod),"◆",IF(AND($E62&gt;=BB$5,$E62&lt;BB$5+GanttPeriod),"◇","")),IF(AND(BB$5&lt;=$F62,BB$5+GanttPeriod-1&gt;=$E62),"━","")))</f>
        <v/>
      </c>
      <c r="BC62" s="69" t="str">
        <f aca="false">IF($E62="","",IF($M62,IF(AND($G62&gt;=BC$5,$G62&lt;BC$5+GanttPeriod),"◆",IF(AND($E62&gt;=BC$5,$E62&lt;BC$5+GanttPeriod),"◇","")),IF(AND(BC$5&lt;=$F62,BC$5+GanttPeriod-1&gt;=$E62),"━","")))</f>
        <v/>
      </c>
      <c r="BD62" s="69" t="str">
        <f aca="false">IF($E62="","",IF($M62,IF(AND($G62&gt;=BD$5,$G62&lt;BD$5+GanttPeriod),"◆",IF(AND($E62&gt;=BD$5,$E62&lt;BD$5+GanttPeriod),"◇","")),IF(AND(BD$5&lt;=$F62,BD$5+GanttPeriod-1&gt;=$E62),"━","")))</f>
        <v/>
      </c>
      <c r="BE62" s="69" t="str">
        <f aca="false">IF($E62="","",IF($M62,IF(AND($G62&gt;=BE$5,$G62&lt;BE$5+GanttPeriod),"◆",IF(AND($E62&gt;=BE$5,$E62&lt;BE$5+GanttPeriod),"◇","")),IF(AND(BE$5&lt;=$F62,BE$5+GanttPeriod-1&gt;=$E62),"━","")))</f>
        <v/>
      </c>
      <c r="BF62" s="69" t="str">
        <f aca="false">IF($E62="","",IF($M62,IF(AND($G62&gt;=BF$5,$G62&lt;BF$5+GanttPeriod),"◆",IF(AND($E62&gt;=BF$5,$E62&lt;BF$5+GanttPeriod),"◇","")),IF(AND(BF$5&lt;=$F62,BF$5+GanttPeriod-1&gt;=$E62),"━","")))</f>
        <v/>
      </c>
      <c r="BG62" s="69" t="str">
        <f aca="false">IF($E62="","",IF($M62,IF(AND($G62&gt;=BG$5,$G62&lt;BG$5+GanttPeriod),"◆",IF(AND($E62&gt;=BG$5,$E62&lt;BG$5+GanttPeriod),"◇","")),IF(AND(BG$5&lt;=$F62,BG$5+GanttPeriod-1&gt;=$E62),"━","")))</f>
        <v/>
      </c>
      <c r="BH62" s="69" t="str">
        <f aca="false">IF($E62="","",IF($M62,IF(AND($G62&gt;=BH$5,$G62&lt;BH$5+GanttPeriod),"◆",IF(AND($E62&gt;=BH$5,$E62&lt;BH$5+GanttPeriod),"◇","")),IF(AND(BH$5&lt;=$F62,BH$5+GanttPeriod-1&gt;=$E62),"━","")))</f>
        <v/>
      </c>
      <c r="BI62" s="69" t="str">
        <f aca="false">IF($E62="","",IF($M62,IF(AND($G62&gt;=BI$5,$G62&lt;BI$5+GanttPeriod),"◆",IF(AND($E62&gt;=BI$5,$E62&lt;BI$5+GanttPeriod),"◇","")),IF(AND(BI$5&lt;=$F62,BI$5+GanttPeriod-1&gt;=$E62),"━","")))</f>
        <v/>
      </c>
      <c r="BJ62" s="69" t="str">
        <f aca="false">IF($E62="","",IF($M62,IF(AND($G62&gt;=BJ$5,$G62&lt;BJ$5+GanttPeriod),"◆",IF(AND($E62&gt;=BJ$5,$E62&lt;BJ$5+GanttPeriod),"◇","")),IF(AND(BJ$5&lt;=$F62,BJ$5+GanttPeriod-1&gt;=$E62),"━","")))</f>
        <v/>
      </c>
      <c r="BK62" s="69" t="str">
        <f aca="false">IF($E62="","",IF($M62,IF(AND($G62&gt;=BK$5,$G62&lt;BK$5+GanttPeriod),"◆",IF(AND($E62&gt;=BK$5,$E62&lt;BK$5+GanttPeriod),"◇","")),IF(AND(BK$5&lt;=$F62,BK$5+GanttPeriod-1&gt;=$E62),"━","")))</f>
        <v/>
      </c>
      <c r="BL62" s="69" t="str">
        <f aca="false">IF($E62="","",IF($M62,IF(AND($G62&gt;=BL$5,$G62&lt;BL$5+GanttPeriod),"◆",IF(AND($E62&gt;=BL$5,$E62&lt;BL$5+GanttPeriod),"◇","")),IF(AND(BL$5&lt;=$F62,BL$5+GanttPeriod-1&gt;=$E62),"━","")))</f>
        <v/>
      </c>
      <c r="BM62" s="69" t="str">
        <f aca="false">IF($E62="","",IF($M62,IF(AND($G62&gt;=BM$5,$G62&lt;BM$5+GanttPeriod),"◆",IF(AND($E62&gt;=BM$5,$E62&lt;BM$5+GanttPeriod),"◇","")),IF(AND(BM$5&lt;=$F62,BM$5+GanttPeriod-1&gt;=$E62),"━","")))</f>
        <v/>
      </c>
      <c r="BN62" s="69" t="str">
        <f aca="false">IF($E62="","",IF($M62,IF(AND($G62&gt;=BN$5,$G62&lt;BN$5+GanttPeriod),"◆",IF(AND($E62&gt;=BN$5,$E62&lt;BN$5+GanttPeriod),"◇","")),IF(AND(BN$5&lt;=$F62,BN$5+GanttPeriod-1&gt;=$E62),"━","")))</f>
        <v/>
      </c>
      <c r="BO62" s="69" t="str">
        <f aca="false">IF($E62="","",IF($M62,IF(AND($G62&gt;=BO$5,$G62&lt;BO$5+GanttPeriod),"◆",IF(AND($E62&gt;=BO$5,$E62&lt;BO$5+GanttPeriod),"◇","")),IF(AND(BO$5&lt;=$F62,BO$5+GanttPeriod-1&gt;=$E62),"━","")))</f>
        <v/>
      </c>
      <c r="BP62" s="69" t="str">
        <f aca="false">IF($E62="","",IF($M62,IF(AND($G62&gt;=BP$5,$G62&lt;BP$5+GanttPeriod),"◆",IF(AND($E62&gt;=BP$5,$E62&lt;BP$5+GanttPeriod),"◇","")),IF(AND(BP$5&lt;=$F62,BP$5+GanttPeriod-1&gt;=$E62),"━","")))</f>
        <v/>
      </c>
      <c r="BQ62" s="69" t="str">
        <f aca="false">IF($E62="","",IF($M62,IF(AND($G62&gt;=BQ$5,$G62&lt;BQ$5+GanttPeriod),"◆",IF(AND($E62&gt;=BQ$5,$E62&lt;BQ$5+GanttPeriod),"◇","")),IF(AND(BQ$5&lt;=$F62,BQ$5+GanttPeriod-1&gt;=$E62),"━","")))</f>
        <v/>
      </c>
      <c r="BR62" s="69" t="str">
        <f aca="false">IF($E62="","",IF($M62,IF(AND($G62&gt;=BR$5,$G62&lt;BR$5+GanttPeriod),"◆",IF(AND($E62&gt;=BR$5,$E62&lt;BR$5+GanttPeriod),"◇","")),IF(AND(BR$5&lt;=$F62,BR$5+GanttPeriod-1&gt;=$E62),"━","")))</f>
        <v/>
      </c>
      <c r="BS62" s="69" t="str">
        <f aca="false">IF($E62="","",IF($M62,IF(AND($G62&gt;=BS$5,$G62&lt;BS$5+GanttPeriod),"◆",IF(AND($E62&gt;=BS$5,$E62&lt;BS$5+GanttPeriod),"◇","")),IF(AND(BS$5&lt;=$F62,BS$5+GanttPeriod-1&gt;=$E62),"━","")))</f>
        <v/>
      </c>
      <c r="BT62" s="69" t="str">
        <f aca="false">IF($E62="","",IF($M62,IF(AND($G62&gt;=BT$5,$G62&lt;BT$5+GanttPeriod),"◆",IF(AND($E62&gt;=BT$5,$E62&lt;BT$5+GanttPeriod),"◇","")),IF(AND(BT$5&lt;=$F62,BT$5+GanttPeriod-1&gt;=$E62),"━","")))</f>
        <v/>
      </c>
      <c r="BU62" s="69" t="str">
        <f aca="false">IF($E62="","",IF($M62,IF(AND($G62&gt;=BU$5,$G62&lt;BU$5+GanttPeriod),"◆",IF(AND($E62&gt;=BU$5,$E62&lt;BU$5+GanttPeriod),"◇","")),IF(AND(BU$5&lt;=$F62,BU$5+GanttPeriod-1&gt;=$E62),"━","")))</f>
        <v/>
      </c>
      <c r="BV62" s="69" t="str">
        <f aca="false">IF($E62="","",IF($M62,IF(AND($G62&gt;=BV$5,$G62&lt;BV$5+GanttPeriod),"◆",IF(AND($E62&gt;=BV$5,$E62&lt;BV$5+GanttPeriod),"◇","")),IF(AND(BV$5&lt;=$F62,BV$5+GanttPeriod-1&gt;=$E62),"━","")))</f>
        <v/>
      </c>
      <c r="BW62" s="69" t="str">
        <f aca="false">IF($E62="","",IF($M62,IF(AND($G62&gt;=BW$5,$G62&lt;BW$5+GanttPeriod),"◆",IF(AND($E62&gt;=BW$5,$E62&lt;BW$5+GanttPeriod),"◇","")),IF(AND(BW$5&lt;=$F62,BW$5+GanttPeriod-1&gt;=$E62),"━","")))</f>
        <v/>
      </c>
      <c r="BX62" s="69" t="str">
        <f aca="false">IF($E62="","",IF($M62,IF(AND($G62&gt;=BX$5,$G62&lt;BX$5+GanttPeriod),"◆",IF(AND($E62&gt;=BX$5,$E62&lt;BX$5+GanttPeriod),"◇","")),IF(AND(BX$5&lt;=$F62,BX$5+GanttPeriod-1&gt;=$E62),"━","")))</f>
        <v/>
      </c>
      <c r="BY62" s="69" t="str">
        <f aca="false">IF($E62="","",IF($M62,IF(AND($G62&gt;=BY$5,$G62&lt;BY$5+GanttPeriod),"◆",IF(AND($E62&gt;=BY$5,$E62&lt;BY$5+GanttPeriod),"◇","")),IF(AND(BY$5&lt;=$F62,BY$5+GanttPeriod-1&gt;=$E62),"━","")))</f>
        <v/>
      </c>
      <c r="BZ62" s="69" t="str">
        <f aca="false">IF($E62="","",IF($M62,IF(AND($G62&gt;=BZ$5,$G62&lt;BZ$5+GanttPeriod),"◆",IF(AND($E62&gt;=BZ$5,$E62&lt;BZ$5+GanttPeriod),"◇","")),IF(AND(BZ$5&lt;=$F62,BZ$5+GanttPeriod-1&gt;=$E62),"━","")))</f>
        <v/>
      </c>
      <c r="CA62" s="69" t="str">
        <f aca="false">IF($E62="","",IF($M62,IF(AND($G62&gt;=CA$5,$G62&lt;CA$5+GanttPeriod),"◆",IF(AND($E62&gt;=CA$5,$E62&lt;CA$5+GanttPeriod),"◇","")),IF(AND(CA$5&lt;=$F62,CA$5+GanttPeriod-1&gt;=$E62),"━","")))</f>
        <v/>
      </c>
      <c r="CB62" s="69" t="str">
        <f aca="false">IF($E62="","",IF($M62,IF(AND($G62&gt;=CB$5,$G62&lt;CB$5+GanttPeriod),"◆",IF(AND($E62&gt;=CB$5,$E62&lt;CB$5+GanttPeriod),"◇","")),IF(AND(CB$5&lt;=$F62,CB$5+GanttPeriod-1&gt;=$E62),"━","")))</f>
        <v/>
      </c>
      <c r="CC62" s="69" t="str">
        <f aca="false">IF($E62="","",IF($M62,IF(AND($G62&gt;=CC$5,$G62&lt;CC$5+GanttPeriod),"◆",IF(AND($E62&gt;=CC$5,$E62&lt;CC$5+GanttPeriod),"◇","")),IF(AND(CC$5&lt;=$F62,CC$5+GanttPeriod-1&gt;=$E62),"━","")))</f>
        <v/>
      </c>
      <c r="CD62" s="69" t="str">
        <f aca="false">IF($E62="","",IF($M62,IF(AND($G62&gt;=CD$5,$G62&lt;CD$5+GanttPeriod),"◆",IF(AND($E62&gt;=CD$5,$E62&lt;CD$5+GanttPeriod),"◇","")),IF(AND(CD$5&lt;=$F62,CD$5+GanttPeriod-1&gt;=$E62),"━","")))</f>
        <v/>
      </c>
      <c r="CE62" s="69" t="str">
        <f aca="false">IF($E62="","",IF($M62,IF(AND($G62&gt;=CE$5,$G62&lt;CE$5+GanttPeriod),"◆",IF(AND($E62&gt;=CE$5,$E62&lt;CE$5+GanttPeriod),"◇","")),IF(AND(CE$5&lt;=$F62,CE$5+GanttPeriod-1&gt;=$E62),"━","")))</f>
        <v/>
      </c>
      <c r="CF62" s="69" t="str">
        <f aca="false">IF($E62="","",IF($M62,IF(AND($G62&gt;=CF$5,$G62&lt;CF$5+GanttPeriod),"◆",IF(AND($E62&gt;=CF$5,$E62&lt;CF$5+GanttPeriod),"◇","")),IF(AND(CF$5&lt;=$F62,CF$5+GanttPeriod-1&gt;=$E62),"━","")))</f>
        <v/>
      </c>
      <c r="CG62" s="69" t="str">
        <f aca="false">IF($E62="","",IF($M62,IF(AND($G62&gt;=CG$5,$G62&lt;CG$5+GanttPeriod),"◆",IF(AND($E62&gt;=CG$5,$E62&lt;CG$5+GanttPeriod),"◇","")),IF(AND(CG$5&lt;=$F62,CG$5+GanttPeriod-1&gt;=$E62),"━","")))</f>
        <v/>
      </c>
      <c r="CH62" s="69" t="str">
        <f aca="false">IF($E62="","",IF($M62,IF(AND($G62&gt;=CH$5,$G62&lt;CH$5+GanttPeriod),"◆",IF(AND($E62&gt;=CH$5,$E62&lt;CH$5+GanttPeriod),"◇","")),IF(AND(CH$5&lt;=$F62,CH$5+GanttPeriod-1&gt;=$E62),"━","")))</f>
        <v/>
      </c>
      <c r="CI62" s="69" t="str">
        <f aca="false">IF($E62="","",IF($M62,IF(AND($G62&gt;=CI$5,$G62&lt;CI$5+GanttPeriod),"◆",IF(AND($E62&gt;=CI$5,$E62&lt;CI$5+GanttPeriod),"◇","")),IF(AND(CI$5&lt;=$F62,CI$5+GanttPeriod-1&gt;=$E62),"━","")))</f>
        <v/>
      </c>
      <c r="CJ62" s="69" t="str">
        <f aca="false">IF($E62="","",IF($M62,IF(AND($G62&gt;=CJ$5,$G62&lt;CJ$5+GanttPeriod),"◆",IF(AND($E62&gt;=CJ$5,$E62&lt;CJ$5+GanttPeriod),"◇","")),IF(AND(CJ$5&lt;=$F62,CJ$5+GanttPeriod-1&gt;=$E62),"━","")))</f>
        <v/>
      </c>
      <c r="CK62" s="69" t="str">
        <f aca="false">IF($E62="","",IF($M62,IF(AND($G62&gt;=CK$5,$G62&lt;CK$5+GanttPeriod),"◆",IF(AND($E62&gt;=CK$5,$E62&lt;CK$5+GanttPeriod),"◇","")),IF(AND(CK$5&lt;=$F62,CK$5+GanttPeriod-1&gt;=$E62),"━","")))</f>
        <v/>
      </c>
      <c r="CL62" s="69" t="str">
        <f aca="false">IF($E62="","",IF($M62,IF(AND($G62&gt;=CL$5,$G62&lt;CL$5+GanttPeriod),"◆",IF(AND($E62&gt;=CL$5,$E62&lt;CL$5+GanttPeriod),"◇","")),IF(AND(CL$5&lt;=$F62,CL$5+GanttPeriod-1&gt;=$E62),"━","")))</f>
        <v/>
      </c>
      <c r="CM62" s="69" t="str">
        <f aca="false">IF($E62="","",IF($M62,IF(AND($G62&gt;=CM$5,$G62&lt;CM$5+GanttPeriod),"◆",IF(AND($E62&gt;=CM$5,$E62&lt;CM$5+GanttPeriod),"◇","")),IF(AND(CM$5&lt;=$F62,CM$5+GanttPeriod-1&gt;=$E62),"━","")))</f>
        <v/>
      </c>
      <c r="CN62" s="69" t="str">
        <f aca="false">IF($E62="","",IF($M62,IF(AND($G62&gt;=CN$5,$G62&lt;CN$5+GanttPeriod),"◆",IF(AND($E62&gt;=CN$5,$E62&lt;CN$5+GanttPeriod),"◇","")),IF(AND(CN$5&lt;=$F62,CN$5+GanttPeriod-1&gt;=$E62),"━","")))</f>
        <v/>
      </c>
      <c r="CO62" s="69" t="str">
        <f aca="false">IF($E62="","",IF($M62,IF(AND($G62&gt;=CO$5,$G62&lt;CO$5+GanttPeriod),"◆",IF(AND($E62&gt;=CO$5,$E62&lt;CO$5+GanttPeriod),"◇","")),IF(AND(CO$5&lt;=$F62,CO$5+GanttPeriod-1&gt;=$E62),"━","")))</f>
        <v/>
      </c>
      <c r="CP62" s="69" t="str">
        <f aca="false">IF($E62="","",IF($M62,IF(AND($G62&gt;=CP$5,$G62&lt;CP$5+GanttPeriod),"◆",IF(AND($E62&gt;=CP$5,$E62&lt;CP$5+GanttPeriod),"◇","")),IF(AND(CP$5&lt;=$F62,CP$5+GanttPeriod-1&gt;=$E62),"━","")))</f>
        <v/>
      </c>
      <c r="CQ62" s="69" t="str">
        <f aca="false">IF($E62="","",IF($M62,IF(AND($G62&gt;=CQ$5,$G62&lt;CQ$5+GanttPeriod),"◆",IF(AND($E62&gt;=CQ$5,$E62&lt;CQ$5+GanttPeriod),"◇","")),IF(AND(CQ$5&lt;=$F62,CQ$5+GanttPeriod-1&gt;=$E62),"━","")))</f>
        <v/>
      </c>
      <c r="CR62" s="69" t="str">
        <f aca="false">IF($E62="","",IF($M62,IF(AND($G62&gt;=CR$5,$G62&lt;CR$5+GanttPeriod),"◆",IF(AND($E62&gt;=CR$5,$E62&lt;CR$5+GanttPeriod),"◇","")),IF(AND(CR$5&lt;=$F62,CR$5+GanttPeriod-1&gt;=$E62),"━","")))</f>
        <v/>
      </c>
      <c r="CS62" s="69" t="str">
        <f aca="false">IF($E62="","",IF($M62,IF(AND($G62&gt;=CS$5,$G62&lt;CS$5+GanttPeriod),"◆",IF(AND($E62&gt;=CS$5,$E62&lt;CS$5+GanttPeriod),"◇","")),IF(AND(CS$5&lt;=$F62,CS$5+GanttPeriod-1&gt;=$E62),"━","")))</f>
        <v/>
      </c>
      <c r="CT62" s="69" t="str">
        <f aca="false">IF($E62="","",IF($M62,IF(AND($G62&gt;=CT$5,$G62&lt;CT$5+GanttPeriod),"◆",IF(AND($E62&gt;=CT$5,$E62&lt;CT$5+GanttPeriod),"◇","")),IF(AND(CT$5&lt;=$F62,CT$5+GanttPeriod-1&gt;=$E62),"━","")))</f>
        <v/>
      </c>
      <c r="CU62" s="69" t="str">
        <f aca="false">IF($E62="","",IF($M62,IF(AND($G62&gt;=CU$5,$G62&lt;CU$5+GanttPeriod),"◆",IF(AND($E62&gt;=CU$5,$E62&lt;CU$5+GanttPeriod),"◇","")),IF(AND(CU$5&lt;=$F62,CU$5+GanttPeriod-1&gt;=$E62),"━","")))</f>
        <v/>
      </c>
      <c r="CV62" s="69" t="str">
        <f aca="false">IF($E62="","",IF($M62,IF(AND($G62&gt;=CV$5,$G62&lt;CV$5+GanttPeriod),"◆",IF(AND($E62&gt;=CV$5,$E62&lt;CV$5+GanttPeriod),"◇","")),IF(AND(CV$5&lt;=$F62,CV$5+GanttPeriod-1&gt;=$E62),"━","")))</f>
        <v/>
      </c>
      <c r="CW62" s="69" t="str">
        <f aca="false">IF($E62="","",IF($M62,IF(AND($G62&gt;=CW$5,$G62&lt;CW$5+GanttPeriod),"◆",IF(AND($E62&gt;=CW$5,$E62&lt;CW$5+GanttPeriod),"◇","")),IF(AND(CW$5&lt;=$F62,CW$5+GanttPeriod-1&gt;=$E62),"━","")))</f>
        <v/>
      </c>
      <c r="CX62" s="69" t="str">
        <f aca="false">IF($E62="","",IF($M62,IF(AND($G62&gt;=CX$5,$G62&lt;CX$5+GanttPeriod),"◆",IF(AND($E62&gt;=CX$5,$E62&lt;CX$5+GanttPeriod),"◇","")),IF(AND(CX$5&lt;=$F62,CX$5+GanttPeriod-1&gt;=$E62),"━","")))</f>
        <v/>
      </c>
      <c r="CY62" s="69" t="str">
        <f aca="false">IF($E62="","",IF($M62,IF(AND($G62&gt;=CY$5,$G62&lt;CY$5+GanttPeriod),"◆",IF(AND($E62&gt;=CY$5,$E62&lt;CY$5+GanttPeriod),"◇","")),IF(AND(CY$5&lt;=$F62,CY$5+GanttPeriod-1&gt;=$E62),"━","")))</f>
        <v/>
      </c>
      <c r="CZ62" s="69" t="str">
        <f aca="false">IF($E62="","",IF($M62,IF(AND($G62&gt;=CZ$5,$G62&lt;CZ$5+GanttPeriod),"◆",IF(AND($E62&gt;=CZ$5,$E62&lt;CZ$5+GanttPeriod),"◇","")),IF(AND(CZ$5&lt;=$F62,CZ$5+GanttPeriod-1&gt;=$E62),"━","")))</f>
        <v/>
      </c>
      <c r="DA62" s="69" t="str">
        <f aca="false">IF($E62="","",IF($M62,IF(AND($G62&gt;=DA$5,$G62&lt;DA$5+GanttPeriod),"◆",IF(AND($E62&gt;=DA$5,$E62&lt;DA$5+GanttPeriod),"◇","")),IF(AND(DA$5&lt;=$F62,DA$5+GanttPeriod-1&gt;=$E62),"━","")))</f>
        <v/>
      </c>
      <c r="DB62" s="69" t="str">
        <f aca="false">IF($E62="","",IF($M62,IF(AND($G62&gt;=DB$5,$G62&lt;DB$5+GanttPeriod),"◆",IF(AND($E62&gt;=DB$5,$E62&lt;DB$5+GanttPeriod),"◇","")),IF(AND(DB$5&lt;=$F62,DB$5+GanttPeriod-1&gt;=$E62),"━","")))</f>
        <v/>
      </c>
      <c r="DC62" s="69" t="str">
        <f aca="false">IF($E62="","",IF($M62,IF(AND($G62&gt;=DC$5,$G62&lt;DC$5+GanttPeriod),"◆",IF(AND($E62&gt;=DC$5,$E62&lt;DC$5+GanttPeriod),"◇","")),IF(AND(DC$5&lt;=$F62,DC$5+GanttPeriod-1&gt;=$E62),"━","")))</f>
        <v/>
      </c>
      <c r="DD62" s="69" t="str">
        <f aca="false">IF($E62="","",IF($M62,IF(AND($G62&gt;=DD$5,$G62&lt;DD$5+GanttPeriod),"◆",IF(AND($E62&gt;=DD$5,$E62&lt;DD$5+GanttPeriod),"◇","")),IF(AND(DD$5&lt;=$F62,DD$5+GanttPeriod-1&gt;=$E62),"━","")))</f>
        <v/>
      </c>
      <c r="DE62" s="69" t="str">
        <f aca="false">IF($E62="","",IF($M62,IF(AND($G62&gt;=DE$5,$G62&lt;DE$5+GanttPeriod),"◆",IF(AND($E62&gt;=DE$5,$E62&lt;DE$5+GanttPeriod),"◇","")),IF(AND(DE$5&lt;=$F62,DE$5+GanttPeriod-1&gt;=$E62),"━","")))</f>
        <v/>
      </c>
      <c r="DF62" s="69" t="str">
        <f aca="false">IF($E62="","",IF($M62,IF(AND($G62&gt;=DF$5,$G62&lt;DF$5+GanttPeriod),"◆",IF(AND($E62&gt;=DF$5,$E62&lt;DF$5+GanttPeriod),"◇","")),IF(AND(DF$5&lt;=$F62,DF$5+GanttPeriod-1&gt;=$E62),"━","")))</f>
        <v/>
      </c>
      <c r="DG62" s="69" t="str">
        <f aca="false">IF($E62="","",IF($M62,IF(AND($G62&gt;=DG$5,$G62&lt;DG$5+GanttPeriod),"◆",IF(AND($E62&gt;=DG$5,$E62&lt;DG$5+GanttPeriod),"◇","")),IF(AND(DG$5&lt;=$F62,DG$5+GanttPeriod-1&gt;=$E62),"━","")))</f>
        <v/>
      </c>
      <c r="DH62" s="69" t="str">
        <f aca="false">IF($E62="","",IF($M62,IF(AND($G62&gt;=DH$5,$G62&lt;DH$5+GanttPeriod),"◆",IF(AND($E62&gt;=DH$5,$E62&lt;DH$5+GanttPeriod),"◇","")),IF(AND(DH$5&lt;=$F62,DH$5+GanttPeriod-1&gt;=$E62),"━","")))</f>
        <v/>
      </c>
      <c r="DI62" s="69" t="str">
        <f aca="false">IF($E62="","",IF($M62,IF(AND($G62&gt;=DI$5,$G62&lt;DI$5+GanttPeriod),"◆",IF(AND($E62&gt;=DI$5,$E62&lt;DI$5+GanttPeriod),"◇","")),IF(AND(DI$5&lt;=$F62,DI$5+GanttPeriod-1&gt;=$E62),"━","")))</f>
        <v/>
      </c>
      <c r="DJ62" s="69" t="str">
        <f aca="false">IF($E62="","",IF($M62,IF(AND($G62&gt;=DJ$5,$G62&lt;DJ$5+GanttPeriod),"◆",IF(AND($E62&gt;=DJ$5,$E62&lt;DJ$5+GanttPeriod),"◇","")),IF(AND(DJ$5&lt;=$F62,DJ$5+GanttPeriod-1&gt;=$E62),"━","")))</f>
        <v/>
      </c>
      <c r="DK62" s="69" t="str">
        <f aca="false">IF($E62="","",IF($M62,IF(AND($G62&gt;=DK$5,$G62&lt;DK$5+GanttPeriod),"◆",IF(AND($E62&gt;=DK$5,$E62&lt;DK$5+GanttPeriod),"◇","")),IF(AND(DK$5&lt;=$F62,DK$5+GanttPeriod-1&gt;=$E62),"━","")))</f>
        <v/>
      </c>
      <c r="DL62" s="69" t="str">
        <f aca="false">IF($E62="","",IF($M62,IF(AND($G62&gt;=DL$5,$G62&lt;DL$5+GanttPeriod),"◆",IF(AND($E62&gt;=DL$5,$E62&lt;DL$5+GanttPeriod),"◇","")),IF(AND(DL$5&lt;=$F62,DL$5+GanttPeriod-1&gt;=$E62),"━","")))</f>
        <v/>
      </c>
      <c r="DM62" s="69" t="str">
        <f aca="false">IF($E62="","",IF($M62,IF(AND($G62&gt;=DM$5,$G62&lt;DM$5+GanttPeriod),"◆",IF(AND($E62&gt;=DM$5,$E62&lt;DM$5+GanttPeriod),"◇","")),IF(AND(DM$5&lt;=$F62,DM$5+GanttPeriod-1&gt;=$E62),"━","")))</f>
        <v/>
      </c>
      <c r="DN62" s="69" t="str">
        <f aca="false">IF($E62="","",IF($M62,IF(AND($G62&gt;=DN$5,$G62&lt;DN$5+GanttPeriod),"◆",IF(AND($E62&gt;=DN$5,$E62&lt;DN$5+GanttPeriod),"◇","")),IF(AND(DN$5&lt;=$F62,DN$5+GanttPeriod-1&gt;=$E62),"━","")))</f>
        <v/>
      </c>
      <c r="DO62" s="69" t="str">
        <f aca="false">IF($E62="","",IF($M62,IF(AND($G62&gt;=DO$5,$G62&lt;DO$5+GanttPeriod),"◆",IF(AND($E62&gt;=DO$5,$E62&lt;DO$5+GanttPeriod),"◇","")),IF(AND(DO$5&lt;=$F62,DO$5+GanttPeriod-1&gt;=$E62),"━","")))</f>
        <v/>
      </c>
      <c r="DP62" s="69" t="str">
        <f aca="false">IF($E62="","",IF($M62,IF(AND($G62&gt;=DP$5,$G62&lt;DP$5+GanttPeriod),"◆",IF(AND($E62&gt;=DP$5,$E62&lt;DP$5+GanttPeriod),"◇","")),IF(AND(DP$5&lt;=$F62,DP$5+GanttPeriod-1&gt;=$E62),"━","")))</f>
        <v/>
      </c>
      <c r="DQ62" s="69" t="str">
        <f aca="false">IF($E62="","",IF($M62,IF(AND($G62&gt;=DQ$5,$G62&lt;DQ$5+GanttPeriod),"◆",IF(AND($E62&gt;=DQ$5,$E62&lt;DQ$5+GanttPeriod),"◇","")),IF(AND(DQ$5&lt;=$F62,DQ$5+GanttPeriod-1&gt;=$E62),"━","")))</f>
        <v/>
      </c>
      <c r="DR62" s="69" t="str">
        <f aca="false">IF($E62="","",IF($M62,IF(AND($G62&gt;=DR$5,$G62&lt;DR$5+GanttPeriod),"◆",IF(AND($E62&gt;=DR$5,$E62&lt;DR$5+GanttPeriod),"◇","")),IF(AND(DR$5&lt;=$F62,DR$5+GanttPeriod-1&gt;=$E62),"━","")))</f>
        <v/>
      </c>
      <c r="DS62" s="69" t="str">
        <f aca="false">IF($E62="","",IF($M62,IF(AND($G62&gt;=DS$5,$G62&lt;DS$5+GanttPeriod),"◆",IF(AND($E62&gt;=DS$5,$E62&lt;DS$5+GanttPeriod),"◇","")),IF(AND(DS$5&lt;=$F62,DS$5+GanttPeriod-1&gt;=$E62),"━","")))</f>
        <v/>
      </c>
      <c r="DT62" s="69" t="str">
        <f aca="false">IF($E62="","",IF($M62,IF(AND($G62&gt;=DT$5,$G62&lt;DT$5+GanttPeriod),"◆",IF(AND($E62&gt;=DT$5,$E62&lt;DT$5+GanttPeriod),"◇","")),IF(AND(DT$5&lt;=$F62,DT$5+GanttPeriod-1&gt;=$E62),"━","")))</f>
        <v/>
      </c>
      <c r="DU62" s="69" t="str">
        <f aca="false">IF($E62="","",IF($M62,IF(AND($G62&gt;=DU$5,$G62&lt;DU$5+GanttPeriod),"◆",IF(AND($E62&gt;=DU$5,$E62&lt;DU$5+GanttPeriod),"◇","")),IF(AND(DU$5&lt;=$F62,DU$5+GanttPeriod-1&gt;=$E62),"━","")))</f>
        <v/>
      </c>
      <c r="DV62" s="69" t="str">
        <f aca="false">IF($E62="","",IF($M62,IF(AND($G62&gt;=DV$5,$G62&lt;DV$5+GanttPeriod),"◆",IF(AND($E62&gt;=DV$5,$E62&lt;DV$5+GanttPeriod),"◇","")),IF(AND(DV$5&lt;=$F62,DV$5+GanttPeriod-1&gt;=$E62),"━","")))</f>
        <v/>
      </c>
      <c r="DW62" s="69" t="str">
        <f aca="false">IF($E62="","",IF($M62,IF(AND($G62&gt;=DW$5,$G62&lt;DW$5+GanttPeriod),"◆",IF(AND($E62&gt;=DW$5,$E62&lt;DW$5+GanttPeriod),"◇","")),IF(AND(DW$5&lt;=$F62,DW$5+GanttPeriod-1&gt;=$E62),"━","")))</f>
        <v/>
      </c>
      <c r="DX62" s="69" t="str">
        <f aca="false">IF($E62="","",IF($M62,IF(AND($G62&gt;=DX$5,$G62&lt;DX$5+GanttPeriod),"◆",IF(AND($E62&gt;=DX$5,$E62&lt;DX$5+GanttPeriod),"◇","")),IF(AND(DX$5&lt;=$F62,DX$5+GanttPeriod-1&gt;=$E62),"━","")))</f>
        <v/>
      </c>
      <c r="DY62" s="69" t="str">
        <f aca="false">IF($E62="","",IF($M62,IF(AND($G62&gt;=DY$5,$G62&lt;DY$5+GanttPeriod),"◆",IF(AND($E62&gt;=DY$5,$E62&lt;DY$5+GanttPeriod),"◇","")),IF(AND(DY$5&lt;=$F62,DY$5+GanttPeriod-1&gt;=$E62),"━","")))</f>
        <v/>
      </c>
      <c r="DZ62" s="69" t="str">
        <f aca="false">IF($E62="","",IF($M62,IF(AND($G62&gt;=DZ$5,$G62&lt;DZ$5+GanttPeriod),"◆",IF(AND($E62&gt;=DZ$5,$E62&lt;DZ$5+GanttPeriod),"◇","")),IF(AND(DZ$5&lt;=$F62,DZ$5+GanttPeriod-1&gt;=$E62),"━","")))</f>
        <v/>
      </c>
      <c r="EA62" s="69" t="str">
        <f aca="false">IF($E62="","",IF($M62,IF(AND($G62&gt;=EA$5,$G62&lt;EA$5+GanttPeriod),"◆",IF(AND($E62&gt;=EA$5,$E62&lt;EA$5+GanttPeriod),"◇","")),IF(AND(EA$5&lt;=$F62,EA$5+GanttPeriod-1&gt;=$E62),"━","")))</f>
        <v/>
      </c>
      <c r="EB62" s="69" t="str">
        <f aca="false">IF($E62="","",IF($M62,IF(AND($G62&gt;=EB$5,$G62&lt;EB$5+GanttPeriod),"◆",IF(AND($E62&gt;=EB$5,$E62&lt;EB$5+GanttPeriod),"◇","")),IF(AND(EB$5&lt;=$F62,EB$5+GanttPeriod-1&gt;=$E62),"━","")))</f>
        <v/>
      </c>
      <c r="EC62" s="69" t="str">
        <f aca="false">IF($E62="","",IF($M62,IF(AND($G62&gt;=EC$5,$G62&lt;EC$5+GanttPeriod),"◆",IF(AND($E62&gt;=EC$5,$E62&lt;EC$5+GanttPeriod),"◇","")),IF(AND(EC$5&lt;=$F62,EC$5+GanttPeriod-1&gt;=$E62),"━","")))</f>
        <v/>
      </c>
      <c r="ED62" s="69" t="str">
        <f aca="false">IF($E62="","",IF($M62,IF(AND($G62&gt;=ED$5,$G62&lt;ED$5+GanttPeriod),"◆",IF(AND($E62&gt;=ED$5,$E62&lt;ED$5+GanttPeriod),"◇","")),IF(AND(ED$5&lt;=$F62,ED$5+GanttPeriod-1&gt;=$E62),"━","")))</f>
        <v/>
      </c>
      <c r="EE62" s="69" t="str">
        <f aca="false">IF($E62="","",IF($M62,IF(AND($G62&gt;=EE$5,$G62&lt;EE$5+GanttPeriod),"◆",IF(AND($E62&gt;=EE$5,$E62&lt;EE$5+GanttPeriod),"◇","")),IF(AND(EE$5&lt;=$F62,EE$5+GanttPeriod-1&gt;=$E62),"━","")))</f>
        <v/>
      </c>
      <c r="EF62" s="69" t="str">
        <f aca="false">IF($E62="","",IF($M62,IF(AND($G62&gt;=EF$5,$G62&lt;EF$5+GanttPeriod),"◆",IF(AND($E62&gt;=EF$5,$E62&lt;EF$5+GanttPeriod),"◇","")),IF(AND(EF$5&lt;=$F62,EF$5+GanttPeriod-1&gt;=$E62),"━","")))</f>
        <v/>
      </c>
      <c r="EG62" s="69" t="str">
        <f aca="false">IF($E62="","",IF($M62,IF(AND($G62&gt;=EG$5,$G62&lt;EG$5+GanttPeriod),"◆",IF(AND($E62&gt;=EG$5,$E62&lt;EG$5+GanttPeriod),"◇","")),IF(AND(EG$5&lt;=$F62,EG$5+GanttPeriod-1&gt;=$E62),"━","")))</f>
        <v/>
      </c>
      <c r="EH62" s="69" t="str">
        <f aca="false">IF($E62="","",IF($M62,IF(AND($G62&gt;=EH$5,$G62&lt;EH$5+GanttPeriod),"◆",IF(AND($E62&gt;=EH$5,$E62&lt;EH$5+GanttPeriod),"◇","")),IF(AND(EH$5&lt;=$F62,EH$5+GanttPeriod-1&gt;=$E62),"━","")))</f>
        <v/>
      </c>
      <c r="EI62" s="69" t="str">
        <f aca="false">IF($E62="","",IF($M62,IF(AND($G62&gt;=EI$5,$G62&lt;EI$5+GanttPeriod),"◆",IF(AND($E62&gt;=EI$5,$E62&lt;EI$5+GanttPeriod),"◇","")),IF(AND(EI$5&lt;=$F62,EI$5+GanttPeriod-1&gt;=$E62),"━","")))</f>
        <v/>
      </c>
      <c r="EJ62" s="69" t="str">
        <f aca="false">IF($E62="","",IF($M62,IF(AND($G62&gt;=EJ$5,$G62&lt;EJ$5+GanttPeriod),"◆",IF(AND($E62&gt;=EJ$5,$E62&lt;EJ$5+GanttPeriod),"◇","")),IF(AND(EJ$5&lt;=$F62,EJ$5+GanttPeriod-1&gt;=$E62),"━","")))</f>
        <v/>
      </c>
      <c r="EK62" s="69" t="str">
        <f aca="false">IF($E62="","",IF($M62,IF(AND($G62&gt;=EK$5,$G62&lt;EK$5+GanttPeriod),"◆",IF(AND($E62&gt;=EK$5,$E62&lt;EK$5+GanttPeriod),"◇","")),IF(AND(EK$5&lt;=$F62,EK$5+GanttPeriod-1&gt;=$E62),"━","")))</f>
        <v/>
      </c>
      <c r="EL62" s="69" t="str">
        <f aca="false">IF($E62="","",IF($M62,IF(AND($G62&gt;=EL$5,$G62&lt;EL$5+GanttPeriod),"◆",IF(AND($E62&gt;=EL$5,$E62&lt;EL$5+GanttPeriod),"◇","")),IF(AND(EL$5&lt;=$F62,EL$5+GanttPeriod-1&gt;=$E62),"━","")))</f>
        <v/>
      </c>
      <c r="EM62" s="69" t="str">
        <f aca="false">IF($E62="","",IF($M62,IF(AND($G62&gt;=EM$5,$G62&lt;EM$5+GanttPeriod),"◆",IF(AND($E62&gt;=EM$5,$E62&lt;EM$5+GanttPeriod),"◇","")),IF(AND(EM$5&lt;=$F62,EM$5+GanttPeriod-1&gt;=$E62),"━","")))</f>
        <v/>
      </c>
      <c r="EN62" s="69" t="str">
        <f aca="false">IF($E62="","",IF($M62,IF(AND($G62&gt;=EN$5,$G62&lt;EN$5+GanttPeriod),"◆",IF(AND($E62&gt;=EN$5,$E62&lt;EN$5+GanttPeriod),"◇","")),IF(AND(EN$5&lt;=$F62,EN$5+GanttPeriod-1&gt;=$E62),"━","")))</f>
        <v/>
      </c>
      <c r="EO62" s="69" t="str">
        <f aca="false">IF($E62="","",IF($M62,IF(AND($G62&gt;=EO$5,$G62&lt;EO$5+GanttPeriod),"◆",IF(AND($E62&gt;=EO$5,$E62&lt;EO$5+GanttPeriod),"◇","")),IF(AND(EO$5&lt;=$F62,EO$5+GanttPeriod-1&gt;=$E62),"━","")))</f>
        <v/>
      </c>
      <c r="EP62" s="69" t="str">
        <f aca="false">IF($E62="","",IF($M62,IF(AND($G62&gt;=EP$5,$G62&lt;EP$5+GanttPeriod),"◆",IF(AND($E62&gt;=EP$5,$E62&lt;EP$5+GanttPeriod),"◇","")),IF(AND(EP$5&lt;=$F62,EP$5+GanttPeriod-1&gt;=$E62),"━","")))</f>
        <v/>
      </c>
      <c r="EQ62" s="69" t="str">
        <f aca="false">IF($E62="","",IF($M62,IF(AND($G62&gt;=EQ$5,$G62&lt;EQ$5+GanttPeriod),"◆",IF(AND($E62&gt;=EQ$5,$E62&lt;EQ$5+GanttPeriod),"◇","")),IF(AND(EQ$5&lt;=$F62,EQ$5+GanttPeriod-1&gt;=$E62),"━","")))</f>
        <v/>
      </c>
      <c r="ER62" s="69" t="str">
        <f aca="false">IF($E62="","",IF($M62,IF(AND($G62&gt;=ER$5,$G62&lt;ER$5+GanttPeriod),"◆",IF(AND($E62&gt;=ER$5,$E62&lt;ER$5+GanttPeriod),"◇","")),IF(AND(ER$5&lt;=$F62,ER$5+GanttPeriod-1&gt;=$E62),"━","")))</f>
        <v/>
      </c>
      <c r="ES62" s="69" t="str">
        <f aca="false">IF($E62="","",IF($M62,IF(AND($G62&gt;=ES$5,$G62&lt;ES$5+GanttPeriod),"◆",IF(AND($E62&gt;=ES$5,$E62&lt;ES$5+GanttPeriod),"◇","")),IF(AND(ES$5&lt;=$F62,ES$5+GanttPeriod-1&gt;=$E62),"━","")))</f>
        <v/>
      </c>
      <c r="ET62" s="69" t="str">
        <f aca="false">IF($E62="","",IF($M62,IF(AND($G62&gt;=ET$5,$G62&lt;ET$5+GanttPeriod),"◆",IF(AND($E62&gt;=ET$5,$E62&lt;ET$5+GanttPeriod),"◇","")),IF(AND(ET$5&lt;=$F62,ET$5+GanttPeriod-1&gt;=$E62),"━","")))</f>
        <v/>
      </c>
      <c r="EU62" s="69" t="str">
        <f aca="false">IF($E62="","",IF($M62,IF(AND($G62&gt;=EU$5,$G62&lt;EU$5+GanttPeriod),"◆",IF(AND($E62&gt;=EU$5,$E62&lt;EU$5+GanttPeriod),"◇","")),IF(AND(EU$5&lt;=$F62,EU$5+GanttPeriod-1&gt;=$E62),"━","")))</f>
        <v/>
      </c>
      <c r="EV62" s="69" t="str">
        <f aca="false">IF($E62="","",IF($M62,IF(AND($G62&gt;=EV$5,$G62&lt;EV$5+GanttPeriod),"◆",IF(AND($E62&gt;=EV$5,$E62&lt;EV$5+GanttPeriod),"◇","")),IF(AND(EV$5&lt;=$F62,EV$5+GanttPeriod-1&gt;=$E62),"━","")))</f>
        <v/>
      </c>
      <c r="EW62" s="69" t="str">
        <f aca="false">IF($E62="","",IF($M62,IF(AND($G62&gt;=EW$5,$G62&lt;EW$5+GanttPeriod),"◆",IF(AND($E62&gt;=EW$5,$E62&lt;EW$5+GanttPeriod),"◇","")),IF(AND(EW$5&lt;=$F62,EW$5+GanttPeriod-1&gt;=$E62),"━","")))</f>
        <v/>
      </c>
      <c r="EX62" s="69" t="str">
        <f aca="false">IF($E62="","",IF($M62,IF(AND($G62&gt;=EX$5,$G62&lt;EX$5+GanttPeriod),"◆",IF(AND($E62&gt;=EX$5,$E62&lt;EX$5+GanttPeriod),"◇","")),IF(AND(EX$5&lt;=$F62,EX$5+GanttPeriod-1&gt;=$E62),"━","")))</f>
        <v/>
      </c>
      <c r="EY62" s="69" t="str">
        <f aca="false">IF($E62="","",IF($M62,IF(AND($G62&gt;=EY$5,$G62&lt;EY$5+GanttPeriod),"◆",IF(AND($E62&gt;=EY$5,$E62&lt;EY$5+GanttPeriod),"◇","")),IF(AND(EY$5&lt;=$F62,EY$5+GanttPeriod-1&gt;=$E62),"━","")))</f>
        <v/>
      </c>
      <c r="EZ62" s="69" t="str">
        <f aca="false">IF($E62="","",IF($M62,IF(AND($G62&gt;=EZ$5,$G62&lt;EZ$5+GanttPeriod),"◆",IF(AND($E62&gt;=EZ$5,$E62&lt;EZ$5+GanttPeriod),"◇","")),IF(AND(EZ$5&lt;=$F62,EZ$5+GanttPeriod-1&gt;=$E62),"━","")))</f>
        <v/>
      </c>
      <c r="FA62" s="69" t="str">
        <f aca="false">IF($E62="","",IF($M62,IF(AND($G62&gt;=FA$5,$G62&lt;FA$5+GanttPeriod),"◆",IF(AND($E62&gt;=FA$5,$E62&lt;FA$5+GanttPeriod),"◇","")),IF(AND(FA$5&lt;=$F62,FA$5+GanttPeriod-1&gt;=$E62),"━","")))</f>
        <v/>
      </c>
      <c r="FB62" s="69" t="str">
        <f aca="false">IF($E62="","",IF($M62,IF(AND($G62&gt;=FB$5,$G62&lt;FB$5+GanttPeriod),"◆",IF(AND($E62&gt;=FB$5,$E62&lt;FB$5+GanttPeriod),"◇","")),IF(AND(FB$5&lt;=$F62,FB$5+GanttPeriod-1&gt;=$E62),"━","")))</f>
        <v/>
      </c>
      <c r="FC62" s="69" t="str">
        <f aca="false">IF($E62="","",IF($M62,IF(AND($G62&gt;=FC$5,$G62&lt;FC$5+GanttPeriod),"◆",IF(AND($E62&gt;=FC$5,$E62&lt;FC$5+GanttPeriod),"◇","")),IF(AND(FC$5&lt;=$F62,FC$5+GanttPeriod-1&gt;=$E62),"━","")))</f>
        <v/>
      </c>
      <c r="FD62" s="69" t="str">
        <f aca="false">IF($E62="","",IF($M62,IF(AND($G62&gt;=FD$5,$G62&lt;FD$5+GanttPeriod),"◆",IF(AND($E62&gt;=FD$5,$E62&lt;FD$5+GanttPeriod),"◇","")),IF(AND(FD$5&lt;=$F62,FD$5+GanttPeriod-1&gt;=$E62),"━","")))</f>
        <v/>
      </c>
      <c r="FE62" s="69" t="str">
        <f aca="false">IF($E62="","",IF($M62,IF(AND($G62&gt;=FE$5,$G62&lt;FE$5+GanttPeriod),"◆",IF(AND($E62&gt;=FE$5,$E62&lt;FE$5+GanttPeriod),"◇","")),IF(AND(FE$5&lt;=$F62,FE$5+GanttPeriod-1&gt;=$E62),"━","")))</f>
        <v/>
      </c>
      <c r="FF62" s="69" t="str">
        <f aca="false">IF($E62="","",IF($M62,IF(AND($G62&gt;=FF$5,$G62&lt;FF$5+GanttPeriod),"◆",IF(AND($E62&gt;=FF$5,$E62&lt;FF$5+GanttPeriod),"◇","")),IF(AND(FF$5&lt;=$F62,FF$5+GanttPeriod-1&gt;=$E62),"━","")))</f>
        <v/>
      </c>
      <c r="FG62" s="69" t="str">
        <f aca="false">IF($E62="","",IF($M62,IF(AND($G62&gt;=FG$5,$G62&lt;FG$5+GanttPeriod),"◆",IF(AND($E62&gt;=FG$5,$E62&lt;FG$5+GanttPeriod),"◇","")),IF(AND(FG$5&lt;=$F62,FG$5+GanttPeriod-1&gt;=$E62),"━","")))</f>
        <v/>
      </c>
      <c r="FH62" s="69" t="str">
        <f aca="false">IF($E62="","",IF($M62,IF(AND($G62&gt;=FH$5,$G62&lt;FH$5+GanttPeriod),"◆",IF(AND($E62&gt;=FH$5,$E62&lt;FH$5+GanttPeriod),"◇","")),IF(AND(FH$5&lt;=$F62,FH$5+GanttPeriod-1&gt;=$E62),"━","")))</f>
        <v/>
      </c>
      <c r="FI62" s="69" t="str">
        <f aca="false">IF($E62="","",IF($M62,IF(AND($G62&gt;=FI$5,$G62&lt;FI$5+GanttPeriod),"◆",IF(AND($E62&gt;=FI$5,$E62&lt;FI$5+GanttPeriod),"◇","")),IF(AND(FI$5&lt;=$F62,FI$5+GanttPeriod-1&gt;=$E62),"━","")))</f>
        <v/>
      </c>
      <c r="FJ62" s="69" t="str">
        <f aca="false">IF($E62="","",IF($M62,IF(AND($G62&gt;=FJ$5,$G62&lt;FJ$5+GanttPeriod),"◆",IF(AND($E62&gt;=FJ$5,$E62&lt;FJ$5+GanttPeriod),"◇","")),IF(AND(FJ$5&lt;=$F62,FJ$5+GanttPeriod-1&gt;=$E62),"━","")))</f>
        <v/>
      </c>
      <c r="FK62" s="69" t="str">
        <f aca="false">IF($E62="","",IF($M62,IF(AND($G62&gt;=FK$5,$G62&lt;FK$5+GanttPeriod),"◆",IF(AND($E62&gt;=FK$5,$E62&lt;FK$5+GanttPeriod),"◇","")),IF(AND(FK$5&lt;=$F62,FK$5+GanttPeriod-1&gt;=$E62),"━","")))</f>
        <v/>
      </c>
      <c r="FL62" s="69" t="str">
        <f aca="false">IF($E62="","",IF($M62,IF(AND($G62&gt;=FL$5,$G62&lt;FL$5+GanttPeriod),"◆",IF(AND($E62&gt;=FL$5,$E62&lt;FL$5+GanttPeriod),"◇","")),IF(AND(FL$5&lt;=$F62,FL$5+GanttPeriod-1&gt;=$E62),"━","")))</f>
        <v/>
      </c>
      <c r="FM62" s="69" t="str">
        <f aca="false">IF($E62="","",IF($M62,IF(AND($G62&gt;=FM$5,$G62&lt;FM$5+GanttPeriod),"◆",IF(AND($E62&gt;=FM$5,$E62&lt;FM$5+GanttPeriod),"◇","")),IF(AND(FM$5&lt;=$F62,FM$5+GanttPeriod-1&gt;=$E62),"━","")))</f>
        <v/>
      </c>
    </row>
    <row r="63" customFormat="false" ht="15" hidden="false" customHeight="false" outlineLevel="0" collapsed="false">
      <c r="A63" s="62" t="str">
        <f aca="false">IF(Tasks!$D63="","",Tasks!$A63)</f>
        <v/>
      </c>
      <c r="B63" s="62" t="str">
        <f aca="false">IF(Tasks!$D63="","",Tasks!$B63)</f>
        <v/>
      </c>
      <c r="C63" s="63" t="str">
        <f aca="false">IF(Tasks!$D63="","",REPT("    ",Tasks!$AE63-1)&amp;Tasks!$D63)</f>
        <v/>
      </c>
      <c r="D63" s="62" t="str">
        <f aca="false">IF(Tasks!$D63="","",IF(Tasks!$AI63,NETWORKDAYS.INTL(Tasks!$R63,Tasks!$S63,WorkWeek,Holidays),N(Tasks!$F63)))</f>
        <v/>
      </c>
      <c r="E63" s="64" t="str">
        <f aca="false">IF(Tasks!$D63="","",Tasks!$N63)</f>
        <v/>
      </c>
      <c r="F63" s="64" t="str">
        <f aca="false">IF(Tasks!$D63="","",Tasks!$O63)</f>
        <v/>
      </c>
      <c r="G63" s="64" t="str">
        <f aca="false">IF(Tasks!$D63="","",Tasks!$R63)</f>
        <v/>
      </c>
      <c r="H63" s="64" t="str">
        <f aca="false">IF(Tasks!$D63="","",Tasks!$S63)</f>
        <v/>
      </c>
      <c r="I63" s="65" t="str">
        <f aca="false">IF(Tasks!$D63="","",Tasks!$V63)</f>
        <v/>
      </c>
      <c r="J63" s="63" t="str">
        <f aca="false">IF(Tasks!$D63="","",Tasks!$X63&amp;"")</f>
        <v/>
      </c>
      <c r="K63" s="66" t="str">
        <f aca="false">IF(Tasks!$D63="","",Tasks!$W63)</f>
        <v/>
      </c>
      <c r="L63" s="67" t="b">
        <f aca="false">IF(Tasks!$D63="",FALSE(),Tasks!$AI63)</f>
        <v>0</v>
      </c>
      <c r="M63" s="67" t="b">
        <f aca="false">AND(Tasks!$AJ63=1,N(Tasks!$F63)=0)</f>
        <v>0</v>
      </c>
      <c r="N63" s="68" t="n">
        <f aca="false">IF(AND(Tasks!$AJ63=1,NOT($M63),N($I63)&gt;0),$G63,0)</f>
        <v>0</v>
      </c>
      <c r="O63" s="68" t="n">
        <f aca="false">IF($N63=0,0,IF($I63&gt;=1,$H63,MAX($N63,$G63+ROUND(($H63-$G63+1)*$I63,0)-1)))</f>
        <v>0</v>
      </c>
      <c r="P63" s="68" t="n">
        <f aca="false">IF(OR(Tasks!$AJ63&lt;&gt;1,$M63,N($I63)&gt;=1),0,IF($O63&gt;0,$O63+1,$G63))</f>
        <v>0</v>
      </c>
      <c r="Q63" s="68" t="n">
        <f aca="false">IF($P63=0,0,$H63)</f>
        <v>0</v>
      </c>
      <c r="R63" s="67" t="b">
        <f aca="false">AND(Tasks!$D63&lt;&gt;"",N(Tasks!$T63)&gt;0)</f>
        <v>0</v>
      </c>
      <c r="T63" s="69" t="str">
        <f aca="false">IF($E63="","",IF($M63,IF(AND($G63&gt;=T$5,$G63&lt;T$5+GanttPeriod),"◆",IF(AND($E63&gt;=T$5,$E63&lt;T$5+GanttPeriod),"◇","")),IF(AND(T$5&lt;=$F63,T$5+GanttPeriod-1&gt;=$E63),"━","")))</f>
        <v/>
      </c>
      <c r="U63" s="69" t="str">
        <f aca="false">IF($E63="","",IF($M63,IF(AND($G63&gt;=U$5,$G63&lt;U$5+GanttPeriod),"◆",IF(AND($E63&gt;=U$5,$E63&lt;U$5+GanttPeriod),"◇","")),IF(AND(U$5&lt;=$F63,U$5+GanttPeriod-1&gt;=$E63),"━","")))</f>
        <v/>
      </c>
      <c r="V63" s="69" t="str">
        <f aca="false">IF($E63="","",IF($M63,IF(AND($G63&gt;=V$5,$G63&lt;V$5+GanttPeriod),"◆",IF(AND($E63&gt;=V$5,$E63&lt;V$5+GanttPeriod),"◇","")),IF(AND(V$5&lt;=$F63,V$5+GanttPeriod-1&gt;=$E63),"━","")))</f>
        <v/>
      </c>
      <c r="W63" s="69" t="str">
        <f aca="false">IF($E63="","",IF($M63,IF(AND($G63&gt;=W$5,$G63&lt;W$5+GanttPeriod),"◆",IF(AND($E63&gt;=W$5,$E63&lt;W$5+GanttPeriod),"◇","")),IF(AND(W$5&lt;=$F63,W$5+GanttPeriod-1&gt;=$E63),"━","")))</f>
        <v/>
      </c>
      <c r="X63" s="69" t="str">
        <f aca="false">IF($E63="","",IF($M63,IF(AND($G63&gt;=X$5,$G63&lt;X$5+GanttPeriod),"◆",IF(AND($E63&gt;=X$5,$E63&lt;X$5+GanttPeriod),"◇","")),IF(AND(X$5&lt;=$F63,X$5+GanttPeriod-1&gt;=$E63),"━","")))</f>
        <v/>
      </c>
      <c r="Y63" s="69" t="str">
        <f aca="false">IF($E63="","",IF($M63,IF(AND($G63&gt;=Y$5,$G63&lt;Y$5+GanttPeriod),"◆",IF(AND($E63&gt;=Y$5,$E63&lt;Y$5+GanttPeriod),"◇","")),IF(AND(Y$5&lt;=$F63,Y$5+GanttPeriod-1&gt;=$E63),"━","")))</f>
        <v/>
      </c>
      <c r="Z63" s="69" t="str">
        <f aca="false">IF($E63="","",IF($M63,IF(AND($G63&gt;=Z$5,$G63&lt;Z$5+GanttPeriod),"◆",IF(AND($E63&gt;=Z$5,$E63&lt;Z$5+GanttPeriod),"◇","")),IF(AND(Z$5&lt;=$F63,Z$5+GanttPeriod-1&gt;=$E63),"━","")))</f>
        <v/>
      </c>
      <c r="AA63" s="69" t="str">
        <f aca="false">IF($E63="","",IF($M63,IF(AND($G63&gt;=AA$5,$G63&lt;AA$5+GanttPeriod),"◆",IF(AND($E63&gt;=AA$5,$E63&lt;AA$5+GanttPeriod),"◇","")),IF(AND(AA$5&lt;=$F63,AA$5+GanttPeriod-1&gt;=$E63),"━","")))</f>
        <v/>
      </c>
      <c r="AB63" s="69" t="str">
        <f aca="false">IF($E63="","",IF($M63,IF(AND($G63&gt;=AB$5,$G63&lt;AB$5+GanttPeriod),"◆",IF(AND($E63&gt;=AB$5,$E63&lt;AB$5+GanttPeriod),"◇","")),IF(AND(AB$5&lt;=$F63,AB$5+GanttPeriod-1&gt;=$E63),"━","")))</f>
        <v/>
      </c>
      <c r="AC63" s="69" t="str">
        <f aca="false">IF($E63="","",IF($M63,IF(AND($G63&gt;=AC$5,$G63&lt;AC$5+GanttPeriod),"◆",IF(AND($E63&gt;=AC$5,$E63&lt;AC$5+GanttPeriod),"◇","")),IF(AND(AC$5&lt;=$F63,AC$5+GanttPeriod-1&gt;=$E63),"━","")))</f>
        <v/>
      </c>
      <c r="AD63" s="69" t="str">
        <f aca="false">IF($E63="","",IF($M63,IF(AND($G63&gt;=AD$5,$G63&lt;AD$5+GanttPeriod),"◆",IF(AND($E63&gt;=AD$5,$E63&lt;AD$5+GanttPeriod),"◇","")),IF(AND(AD$5&lt;=$F63,AD$5+GanttPeriod-1&gt;=$E63),"━","")))</f>
        <v/>
      </c>
      <c r="AE63" s="69" t="str">
        <f aca="false">IF($E63="","",IF($M63,IF(AND($G63&gt;=AE$5,$G63&lt;AE$5+GanttPeriod),"◆",IF(AND($E63&gt;=AE$5,$E63&lt;AE$5+GanttPeriod),"◇","")),IF(AND(AE$5&lt;=$F63,AE$5+GanttPeriod-1&gt;=$E63),"━","")))</f>
        <v/>
      </c>
      <c r="AF63" s="69" t="str">
        <f aca="false">IF($E63="","",IF($M63,IF(AND($G63&gt;=AF$5,$G63&lt;AF$5+GanttPeriod),"◆",IF(AND($E63&gt;=AF$5,$E63&lt;AF$5+GanttPeriod),"◇","")),IF(AND(AF$5&lt;=$F63,AF$5+GanttPeriod-1&gt;=$E63),"━","")))</f>
        <v/>
      </c>
      <c r="AG63" s="69" t="str">
        <f aca="false">IF($E63="","",IF($M63,IF(AND($G63&gt;=AG$5,$G63&lt;AG$5+GanttPeriod),"◆",IF(AND($E63&gt;=AG$5,$E63&lt;AG$5+GanttPeriod),"◇","")),IF(AND(AG$5&lt;=$F63,AG$5+GanttPeriod-1&gt;=$E63),"━","")))</f>
        <v/>
      </c>
      <c r="AH63" s="69" t="str">
        <f aca="false">IF($E63="","",IF($M63,IF(AND($G63&gt;=AH$5,$G63&lt;AH$5+GanttPeriod),"◆",IF(AND($E63&gt;=AH$5,$E63&lt;AH$5+GanttPeriod),"◇","")),IF(AND(AH$5&lt;=$F63,AH$5+GanttPeriod-1&gt;=$E63),"━","")))</f>
        <v/>
      </c>
      <c r="AI63" s="69" t="str">
        <f aca="false">IF($E63="","",IF($M63,IF(AND($G63&gt;=AI$5,$G63&lt;AI$5+GanttPeriod),"◆",IF(AND($E63&gt;=AI$5,$E63&lt;AI$5+GanttPeriod),"◇","")),IF(AND(AI$5&lt;=$F63,AI$5+GanttPeriod-1&gt;=$E63),"━","")))</f>
        <v/>
      </c>
      <c r="AJ63" s="69" t="str">
        <f aca="false">IF($E63="","",IF($M63,IF(AND($G63&gt;=AJ$5,$G63&lt;AJ$5+GanttPeriod),"◆",IF(AND($E63&gt;=AJ$5,$E63&lt;AJ$5+GanttPeriod),"◇","")),IF(AND(AJ$5&lt;=$F63,AJ$5+GanttPeriod-1&gt;=$E63),"━","")))</f>
        <v/>
      </c>
      <c r="AK63" s="69" t="str">
        <f aca="false">IF($E63="","",IF($M63,IF(AND($G63&gt;=AK$5,$G63&lt;AK$5+GanttPeriod),"◆",IF(AND($E63&gt;=AK$5,$E63&lt;AK$5+GanttPeriod),"◇","")),IF(AND(AK$5&lt;=$F63,AK$5+GanttPeriod-1&gt;=$E63),"━","")))</f>
        <v/>
      </c>
      <c r="AL63" s="69" t="str">
        <f aca="false">IF($E63="","",IF($M63,IF(AND($G63&gt;=AL$5,$G63&lt;AL$5+GanttPeriod),"◆",IF(AND($E63&gt;=AL$5,$E63&lt;AL$5+GanttPeriod),"◇","")),IF(AND(AL$5&lt;=$F63,AL$5+GanttPeriod-1&gt;=$E63),"━","")))</f>
        <v/>
      </c>
      <c r="AM63" s="69" t="str">
        <f aca="false">IF($E63="","",IF($M63,IF(AND($G63&gt;=AM$5,$G63&lt;AM$5+GanttPeriod),"◆",IF(AND($E63&gt;=AM$5,$E63&lt;AM$5+GanttPeriod),"◇","")),IF(AND(AM$5&lt;=$F63,AM$5+GanttPeriod-1&gt;=$E63),"━","")))</f>
        <v/>
      </c>
      <c r="AN63" s="69" t="str">
        <f aca="false">IF($E63="","",IF($M63,IF(AND($G63&gt;=AN$5,$G63&lt;AN$5+GanttPeriod),"◆",IF(AND($E63&gt;=AN$5,$E63&lt;AN$5+GanttPeriod),"◇","")),IF(AND(AN$5&lt;=$F63,AN$5+GanttPeriod-1&gt;=$E63),"━","")))</f>
        <v/>
      </c>
      <c r="AO63" s="69" t="str">
        <f aca="false">IF($E63="","",IF($M63,IF(AND($G63&gt;=AO$5,$G63&lt;AO$5+GanttPeriod),"◆",IF(AND($E63&gt;=AO$5,$E63&lt;AO$5+GanttPeriod),"◇","")),IF(AND(AO$5&lt;=$F63,AO$5+GanttPeriod-1&gt;=$E63),"━","")))</f>
        <v/>
      </c>
      <c r="AP63" s="69" t="str">
        <f aca="false">IF($E63="","",IF($M63,IF(AND($G63&gt;=AP$5,$G63&lt;AP$5+GanttPeriod),"◆",IF(AND($E63&gt;=AP$5,$E63&lt;AP$5+GanttPeriod),"◇","")),IF(AND(AP$5&lt;=$F63,AP$5+GanttPeriod-1&gt;=$E63),"━","")))</f>
        <v/>
      </c>
      <c r="AQ63" s="69" t="str">
        <f aca="false">IF($E63="","",IF($M63,IF(AND($G63&gt;=AQ$5,$G63&lt;AQ$5+GanttPeriod),"◆",IF(AND($E63&gt;=AQ$5,$E63&lt;AQ$5+GanttPeriod),"◇","")),IF(AND(AQ$5&lt;=$F63,AQ$5+GanttPeriod-1&gt;=$E63),"━","")))</f>
        <v/>
      </c>
      <c r="AR63" s="69" t="str">
        <f aca="false">IF($E63="","",IF($M63,IF(AND($G63&gt;=AR$5,$G63&lt;AR$5+GanttPeriod),"◆",IF(AND($E63&gt;=AR$5,$E63&lt;AR$5+GanttPeriod),"◇","")),IF(AND(AR$5&lt;=$F63,AR$5+GanttPeriod-1&gt;=$E63),"━","")))</f>
        <v/>
      </c>
      <c r="AS63" s="69" t="str">
        <f aca="false">IF($E63="","",IF($M63,IF(AND($G63&gt;=AS$5,$G63&lt;AS$5+GanttPeriod),"◆",IF(AND($E63&gt;=AS$5,$E63&lt;AS$5+GanttPeriod),"◇","")),IF(AND(AS$5&lt;=$F63,AS$5+GanttPeriod-1&gt;=$E63),"━","")))</f>
        <v/>
      </c>
      <c r="AT63" s="69" t="str">
        <f aca="false">IF($E63="","",IF($M63,IF(AND($G63&gt;=AT$5,$G63&lt;AT$5+GanttPeriod),"◆",IF(AND($E63&gt;=AT$5,$E63&lt;AT$5+GanttPeriod),"◇","")),IF(AND(AT$5&lt;=$F63,AT$5+GanttPeriod-1&gt;=$E63),"━","")))</f>
        <v/>
      </c>
      <c r="AU63" s="69" t="str">
        <f aca="false">IF($E63="","",IF($M63,IF(AND($G63&gt;=AU$5,$G63&lt;AU$5+GanttPeriod),"◆",IF(AND($E63&gt;=AU$5,$E63&lt;AU$5+GanttPeriod),"◇","")),IF(AND(AU$5&lt;=$F63,AU$5+GanttPeriod-1&gt;=$E63),"━","")))</f>
        <v/>
      </c>
      <c r="AV63" s="69" t="str">
        <f aca="false">IF($E63="","",IF($M63,IF(AND($G63&gt;=AV$5,$G63&lt;AV$5+GanttPeriod),"◆",IF(AND($E63&gt;=AV$5,$E63&lt;AV$5+GanttPeriod),"◇","")),IF(AND(AV$5&lt;=$F63,AV$5+GanttPeriod-1&gt;=$E63),"━","")))</f>
        <v/>
      </c>
      <c r="AW63" s="69" t="str">
        <f aca="false">IF($E63="","",IF($M63,IF(AND($G63&gt;=AW$5,$G63&lt;AW$5+GanttPeriod),"◆",IF(AND($E63&gt;=AW$5,$E63&lt;AW$5+GanttPeriod),"◇","")),IF(AND(AW$5&lt;=$F63,AW$5+GanttPeriod-1&gt;=$E63),"━","")))</f>
        <v/>
      </c>
      <c r="AX63" s="69" t="str">
        <f aca="false">IF($E63="","",IF($M63,IF(AND($G63&gt;=AX$5,$G63&lt;AX$5+GanttPeriod),"◆",IF(AND($E63&gt;=AX$5,$E63&lt;AX$5+GanttPeriod),"◇","")),IF(AND(AX$5&lt;=$F63,AX$5+GanttPeriod-1&gt;=$E63),"━","")))</f>
        <v/>
      </c>
      <c r="AY63" s="69" t="str">
        <f aca="false">IF($E63="","",IF($M63,IF(AND($G63&gt;=AY$5,$G63&lt;AY$5+GanttPeriod),"◆",IF(AND($E63&gt;=AY$5,$E63&lt;AY$5+GanttPeriod),"◇","")),IF(AND(AY$5&lt;=$F63,AY$5+GanttPeriod-1&gt;=$E63),"━","")))</f>
        <v/>
      </c>
      <c r="AZ63" s="69" t="str">
        <f aca="false">IF($E63="","",IF($M63,IF(AND($G63&gt;=AZ$5,$G63&lt;AZ$5+GanttPeriod),"◆",IF(AND($E63&gt;=AZ$5,$E63&lt;AZ$5+GanttPeriod),"◇","")),IF(AND(AZ$5&lt;=$F63,AZ$5+GanttPeriod-1&gt;=$E63),"━","")))</f>
        <v/>
      </c>
      <c r="BA63" s="69" t="str">
        <f aca="false">IF($E63="","",IF($M63,IF(AND($G63&gt;=BA$5,$G63&lt;BA$5+GanttPeriod),"◆",IF(AND($E63&gt;=BA$5,$E63&lt;BA$5+GanttPeriod),"◇","")),IF(AND(BA$5&lt;=$F63,BA$5+GanttPeriod-1&gt;=$E63),"━","")))</f>
        <v/>
      </c>
      <c r="BB63" s="69" t="str">
        <f aca="false">IF($E63="","",IF($M63,IF(AND($G63&gt;=BB$5,$G63&lt;BB$5+GanttPeriod),"◆",IF(AND($E63&gt;=BB$5,$E63&lt;BB$5+GanttPeriod),"◇","")),IF(AND(BB$5&lt;=$F63,BB$5+GanttPeriod-1&gt;=$E63),"━","")))</f>
        <v/>
      </c>
      <c r="BC63" s="69" t="str">
        <f aca="false">IF($E63="","",IF($M63,IF(AND($G63&gt;=BC$5,$G63&lt;BC$5+GanttPeriod),"◆",IF(AND($E63&gt;=BC$5,$E63&lt;BC$5+GanttPeriod),"◇","")),IF(AND(BC$5&lt;=$F63,BC$5+GanttPeriod-1&gt;=$E63),"━","")))</f>
        <v/>
      </c>
      <c r="BD63" s="69" t="str">
        <f aca="false">IF($E63="","",IF($M63,IF(AND($G63&gt;=BD$5,$G63&lt;BD$5+GanttPeriod),"◆",IF(AND($E63&gt;=BD$5,$E63&lt;BD$5+GanttPeriod),"◇","")),IF(AND(BD$5&lt;=$F63,BD$5+GanttPeriod-1&gt;=$E63),"━","")))</f>
        <v/>
      </c>
      <c r="BE63" s="69" t="str">
        <f aca="false">IF($E63="","",IF($M63,IF(AND($G63&gt;=BE$5,$G63&lt;BE$5+GanttPeriod),"◆",IF(AND($E63&gt;=BE$5,$E63&lt;BE$5+GanttPeriod),"◇","")),IF(AND(BE$5&lt;=$F63,BE$5+GanttPeriod-1&gt;=$E63),"━","")))</f>
        <v/>
      </c>
      <c r="BF63" s="69" t="str">
        <f aca="false">IF($E63="","",IF($M63,IF(AND($G63&gt;=BF$5,$G63&lt;BF$5+GanttPeriod),"◆",IF(AND($E63&gt;=BF$5,$E63&lt;BF$5+GanttPeriod),"◇","")),IF(AND(BF$5&lt;=$F63,BF$5+GanttPeriod-1&gt;=$E63),"━","")))</f>
        <v/>
      </c>
      <c r="BG63" s="69" t="str">
        <f aca="false">IF($E63="","",IF($M63,IF(AND($G63&gt;=BG$5,$G63&lt;BG$5+GanttPeriod),"◆",IF(AND($E63&gt;=BG$5,$E63&lt;BG$5+GanttPeriod),"◇","")),IF(AND(BG$5&lt;=$F63,BG$5+GanttPeriod-1&gt;=$E63),"━","")))</f>
        <v/>
      </c>
      <c r="BH63" s="69" t="str">
        <f aca="false">IF($E63="","",IF($M63,IF(AND($G63&gt;=BH$5,$G63&lt;BH$5+GanttPeriod),"◆",IF(AND($E63&gt;=BH$5,$E63&lt;BH$5+GanttPeriod),"◇","")),IF(AND(BH$5&lt;=$F63,BH$5+GanttPeriod-1&gt;=$E63),"━","")))</f>
        <v/>
      </c>
      <c r="BI63" s="69" t="str">
        <f aca="false">IF($E63="","",IF($M63,IF(AND($G63&gt;=BI$5,$G63&lt;BI$5+GanttPeriod),"◆",IF(AND($E63&gt;=BI$5,$E63&lt;BI$5+GanttPeriod),"◇","")),IF(AND(BI$5&lt;=$F63,BI$5+GanttPeriod-1&gt;=$E63),"━","")))</f>
        <v/>
      </c>
      <c r="BJ63" s="69" t="str">
        <f aca="false">IF($E63="","",IF($M63,IF(AND($G63&gt;=BJ$5,$G63&lt;BJ$5+GanttPeriod),"◆",IF(AND($E63&gt;=BJ$5,$E63&lt;BJ$5+GanttPeriod),"◇","")),IF(AND(BJ$5&lt;=$F63,BJ$5+GanttPeriod-1&gt;=$E63),"━","")))</f>
        <v/>
      </c>
      <c r="BK63" s="69" t="str">
        <f aca="false">IF($E63="","",IF($M63,IF(AND($G63&gt;=BK$5,$G63&lt;BK$5+GanttPeriod),"◆",IF(AND($E63&gt;=BK$5,$E63&lt;BK$5+GanttPeriod),"◇","")),IF(AND(BK$5&lt;=$F63,BK$5+GanttPeriod-1&gt;=$E63),"━","")))</f>
        <v/>
      </c>
      <c r="BL63" s="69" t="str">
        <f aca="false">IF($E63="","",IF($M63,IF(AND($G63&gt;=BL$5,$G63&lt;BL$5+GanttPeriod),"◆",IF(AND($E63&gt;=BL$5,$E63&lt;BL$5+GanttPeriod),"◇","")),IF(AND(BL$5&lt;=$F63,BL$5+GanttPeriod-1&gt;=$E63),"━","")))</f>
        <v/>
      </c>
      <c r="BM63" s="69" t="str">
        <f aca="false">IF($E63="","",IF($M63,IF(AND($G63&gt;=BM$5,$G63&lt;BM$5+GanttPeriod),"◆",IF(AND($E63&gt;=BM$5,$E63&lt;BM$5+GanttPeriod),"◇","")),IF(AND(BM$5&lt;=$F63,BM$5+GanttPeriod-1&gt;=$E63),"━","")))</f>
        <v/>
      </c>
      <c r="BN63" s="69" t="str">
        <f aca="false">IF($E63="","",IF($M63,IF(AND($G63&gt;=BN$5,$G63&lt;BN$5+GanttPeriod),"◆",IF(AND($E63&gt;=BN$5,$E63&lt;BN$5+GanttPeriod),"◇","")),IF(AND(BN$5&lt;=$F63,BN$5+GanttPeriod-1&gt;=$E63),"━","")))</f>
        <v/>
      </c>
      <c r="BO63" s="69" t="str">
        <f aca="false">IF($E63="","",IF($M63,IF(AND($G63&gt;=BO$5,$G63&lt;BO$5+GanttPeriod),"◆",IF(AND($E63&gt;=BO$5,$E63&lt;BO$5+GanttPeriod),"◇","")),IF(AND(BO$5&lt;=$F63,BO$5+GanttPeriod-1&gt;=$E63),"━","")))</f>
        <v/>
      </c>
      <c r="BP63" s="69" t="str">
        <f aca="false">IF($E63="","",IF($M63,IF(AND($G63&gt;=BP$5,$G63&lt;BP$5+GanttPeriod),"◆",IF(AND($E63&gt;=BP$5,$E63&lt;BP$5+GanttPeriod),"◇","")),IF(AND(BP$5&lt;=$F63,BP$5+GanttPeriod-1&gt;=$E63),"━","")))</f>
        <v/>
      </c>
      <c r="BQ63" s="69" t="str">
        <f aca="false">IF($E63="","",IF($M63,IF(AND($G63&gt;=BQ$5,$G63&lt;BQ$5+GanttPeriod),"◆",IF(AND($E63&gt;=BQ$5,$E63&lt;BQ$5+GanttPeriod),"◇","")),IF(AND(BQ$5&lt;=$F63,BQ$5+GanttPeriod-1&gt;=$E63),"━","")))</f>
        <v/>
      </c>
      <c r="BR63" s="69" t="str">
        <f aca="false">IF($E63="","",IF($M63,IF(AND($G63&gt;=BR$5,$G63&lt;BR$5+GanttPeriod),"◆",IF(AND($E63&gt;=BR$5,$E63&lt;BR$5+GanttPeriod),"◇","")),IF(AND(BR$5&lt;=$F63,BR$5+GanttPeriod-1&gt;=$E63),"━","")))</f>
        <v/>
      </c>
      <c r="BS63" s="69" t="str">
        <f aca="false">IF($E63="","",IF($M63,IF(AND($G63&gt;=BS$5,$G63&lt;BS$5+GanttPeriod),"◆",IF(AND($E63&gt;=BS$5,$E63&lt;BS$5+GanttPeriod),"◇","")),IF(AND(BS$5&lt;=$F63,BS$5+GanttPeriod-1&gt;=$E63),"━","")))</f>
        <v/>
      </c>
      <c r="BT63" s="69" t="str">
        <f aca="false">IF($E63="","",IF($M63,IF(AND($G63&gt;=BT$5,$G63&lt;BT$5+GanttPeriod),"◆",IF(AND($E63&gt;=BT$5,$E63&lt;BT$5+GanttPeriod),"◇","")),IF(AND(BT$5&lt;=$F63,BT$5+GanttPeriod-1&gt;=$E63),"━","")))</f>
        <v/>
      </c>
      <c r="BU63" s="69" t="str">
        <f aca="false">IF($E63="","",IF($M63,IF(AND($G63&gt;=BU$5,$G63&lt;BU$5+GanttPeriod),"◆",IF(AND($E63&gt;=BU$5,$E63&lt;BU$5+GanttPeriod),"◇","")),IF(AND(BU$5&lt;=$F63,BU$5+GanttPeriod-1&gt;=$E63),"━","")))</f>
        <v/>
      </c>
      <c r="BV63" s="69" t="str">
        <f aca="false">IF($E63="","",IF($M63,IF(AND($G63&gt;=BV$5,$G63&lt;BV$5+GanttPeriod),"◆",IF(AND($E63&gt;=BV$5,$E63&lt;BV$5+GanttPeriod),"◇","")),IF(AND(BV$5&lt;=$F63,BV$5+GanttPeriod-1&gt;=$E63),"━","")))</f>
        <v/>
      </c>
      <c r="BW63" s="69" t="str">
        <f aca="false">IF($E63="","",IF($M63,IF(AND($G63&gt;=BW$5,$G63&lt;BW$5+GanttPeriod),"◆",IF(AND($E63&gt;=BW$5,$E63&lt;BW$5+GanttPeriod),"◇","")),IF(AND(BW$5&lt;=$F63,BW$5+GanttPeriod-1&gt;=$E63),"━","")))</f>
        <v/>
      </c>
      <c r="BX63" s="69" t="str">
        <f aca="false">IF($E63="","",IF($M63,IF(AND($G63&gt;=BX$5,$G63&lt;BX$5+GanttPeriod),"◆",IF(AND($E63&gt;=BX$5,$E63&lt;BX$5+GanttPeriod),"◇","")),IF(AND(BX$5&lt;=$F63,BX$5+GanttPeriod-1&gt;=$E63),"━","")))</f>
        <v/>
      </c>
      <c r="BY63" s="69" t="str">
        <f aca="false">IF($E63="","",IF($M63,IF(AND($G63&gt;=BY$5,$G63&lt;BY$5+GanttPeriod),"◆",IF(AND($E63&gt;=BY$5,$E63&lt;BY$5+GanttPeriod),"◇","")),IF(AND(BY$5&lt;=$F63,BY$5+GanttPeriod-1&gt;=$E63),"━","")))</f>
        <v/>
      </c>
      <c r="BZ63" s="69" t="str">
        <f aca="false">IF($E63="","",IF($M63,IF(AND($G63&gt;=BZ$5,$G63&lt;BZ$5+GanttPeriod),"◆",IF(AND($E63&gt;=BZ$5,$E63&lt;BZ$5+GanttPeriod),"◇","")),IF(AND(BZ$5&lt;=$F63,BZ$5+GanttPeriod-1&gt;=$E63),"━","")))</f>
        <v/>
      </c>
      <c r="CA63" s="69" t="str">
        <f aca="false">IF($E63="","",IF($M63,IF(AND($G63&gt;=CA$5,$G63&lt;CA$5+GanttPeriod),"◆",IF(AND($E63&gt;=CA$5,$E63&lt;CA$5+GanttPeriod),"◇","")),IF(AND(CA$5&lt;=$F63,CA$5+GanttPeriod-1&gt;=$E63),"━","")))</f>
        <v/>
      </c>
      <c r="CB63" s="69" t="str">
        <f aca="false">IF($E63="","",IF($M63,IF(AND($G63&gt;=CB$5,$G63&lt;CB$5+GanttPeriod),"◆",IF(AND($E63&gt;=CB$5,$E63&lt;CB$5+GanttPeriod),"◇","")),IF(AND(CB$5&lt;=$F63,CB$5+GanttPeriod-1&gt;=$E63),"━","")))</f>
        <v/>
      </c>
      <c r="CC63" s="69" t="str">
        <f aca="false">IF($E63="","",IF($M63,IF(AND($G63&gt;=CC$5,$G63&lt;CC$5+GanttPeriod),"◆",IF(AND($E63&gt;=CC$5,$E63&lt;CC$5+GanttPeriod),"◇","")),IF(AND(CC$5&lt;=$F63,CC$5+GanttPeriod-1&gt;=$E63),"━","")))</f>
        <v/>
      </c>
      <c r="CD63" s="69" t="str">
        <f aca="false">IF($E63="","",IF($M63,IF(AND($G63&gt;=CD$5,$G63&lt;CD$5+GanttPeriod),"◆",IF(AND($E63&gt;=CD$5,$E63&lt;CD$5+GanttPeriod),"◇","")),IF(AND(CD$5&lt;=$F63,CD$5+GanttPeriod-1&gt;=$E63),"━","")))</f>
        <v/>
      </c>
      <c r="CE63" s="69" t="str">
        <f aca="false">IF($E63="","",IF($M63,IF(AND($G63&gt;=CE$5,$G63&lt;CE$5+GanttPeriod),"◆",IF(AND($E63&gt;=CE$5,$E63&lt;CE$5+GanttPeriod),"◇","")),IF(AND(CE$5&lt;=$F63,CE$5+GanttPeriod-1&gt;=$E63),"━","")))</f>
        <v/>
      </c>
      <c r="CF63" s="69" t="str">
        <f aca="false">IF($E63="","",IF($M63,IF(AND($G63&gt;=CF$5,$G63&lt;CF$5+GanttPeriod),"◆",IF(AND($E63&gt;=CF$5,$E63&lt;CF$5+GanttPeriod),"◇","")),IF(AND(CF$5&lt;=$F63,CF$5+GanttPeriod-1&gt;=$E63),"━","")))</f>
        <v/>
      </c>
      <c r="CG63" s="69" t="str">
        <f aca="false">IF($E63="","",IF($M63,IF(AND($G63&gt;=CG$5,$G63&lt;CG$5+GanttPeriod),"◆",IF(AND($E63&gt;=CG$5,$E63&lt;CG$5+GanttPeriod),"◇","")),IF(AND(CG$5&lt;=$F63,CG$5+GanttPeriod-1&gt;=$E63),"━","")))</f>
        <v/>
      </c>
      <c r="CH63" s="69" t="str">
        <f aca="false">IF($E63="","",IF($M63,IF(AND($G63&gt;=CH$5,$G63&lt;CH$5+GanttPeriod),"◆",IF(AND($E63&gt;=CH$5,$E63&lt;CH$5+GanttPeriod),"◇","")),IF(AND(CH$5&lt;=$F63,CH$5+GanttPeriod-1&gt;=$E63),"━","")))</f>
        <v/>
      </c>
      <c r="CI63" s="69" t="str">
        <f aca="false">IF($E63="","",IF($M63,IF(AND($G63&gt;=CI$5,$G63&lt;CI$5+GanttPeriod),"◆",IF(AND($E63&gt;=CI$5,$E63&lt;CI$5+GanttPeriod),"◇","")),IF(AND(CI$5&lt;=$F63,CI$5+GanttPeriod-1&gt;=$E63),"━","")))</f>
        <v/>
      </c>
      <c r="CJ63" s="69" t="str">
        <f aca="false">IF($E63="","",IF($M63,IF(AND($G63&gt;=CJ$5,$G63&lt;CJ$5+GanttPeriod),"◆",IF(AND($E63&gt;=CJ$5,$E63&lt;CJ$5+GanttPeriod),"◇","")),IF(AND(CJ$5&lt;=$F63,CJ$5+GanttPeriod-1&gt;=$E63),"━","")))</f>
        <v/>
      </c>
      <c r="CK63" s="69" t="str">
        <f aca="false">IF($E63="","",IF($M63,IF(AND($G63&gt;=CK$5,$G63&lt;CK$5+GanttPeriod),"◆",IF(AND($E63&gt;=CK$5,$E63&lt;CK$5+GanttPeriod),"◇","")),IF(AND(CK$5&lt;=$F63,CK$5+GanttPeriod-1&gt;=$E63),"━","")))</f>
        <v/>
      </c>
      <c r="CL63" s="69" t="str">
        <f aca="false">IF($E63="","",IF($M63,IF(AND($G63&gt;=CL$5,$G63&lt;CL$5+GanttPeriod),"◆",IF(AND($E63&gt;=CL$5,$E63&lt;CL$5+GanttPeriod),"◇","")),IF(AND(CL$5&lt;=$F63,CL$5+GanttPeriod-1&gt;=$E63),"━","")))</f>
        <v/>
      </c>
      <c r="CM63" s="69" t="str">
        <f aca="false">IF($E63="","",IF($M63,IF(AND($G63&gt;=CM$5,$G63&lt;CM$5+GanttPeriod),"◆",IF(AND($E63&gt;=CM$5,$E63&lt;CM$5+GanttPeriod),"◇","")),IF(AND(CM$5&lt;=$F63,CM$5+GanttPeriod-1&gt;=$E63),"━","")))</f>
        <v/>
      </c>
      <c r="CN63" s="69" t="str">
        <f aca="false">IF($E63="","",IF($M63,IF(AND($G63&gt;=CN$5,$G63&lt;CN$5+GanttPeriod),"◆",IF(AND($E63&gt;=CN$5,$E63&lt;CN$5+GanttPeriod),"◇","")),IF(AND(CN$5&lt;=$F63,CN$5+GanttPeriod-1&gt;=$E63),"━","")))</f>
        <v/>
      </c>
      <c r="CO63" s="69" t="str">
        <f aca="false">IF($E63="","",IF($M63,IF(AND($G63&gt;=CO$5,$G63&lt;CO$5+GanttPeriod),"◆",IF(AND($E63&gt;=CO$5,$E63&lt;CO$5+GanttPeriod),"◇","")),IF(AND(CO$5&lt;=$F63,CO$5+GanttPeriod-1&gt;=$E63),"━","")))</f>
        <v/>
      </c>
      <c r="CP63" s="69" t="str">
        <f aca="false">IF($E63="","",IF($M63,IF(AND($G63&gt;=CP$5,$G63&lt;CP$5+GanttPeriod),"◆",IF(AND($E63&gt;=CP$5,$E63&lt;CP$5+GanttPeriod),"◇","")),IF(AND(CP$5&lt;=$F63,CP$5+GanttPeriod-1&gt;=$E63),"━","")))</f>
        <v/>
      </c>
      <c r="CQ63" s="69" t="str">
        <f aca="false">IF($E63="","",IF($M63,IF(AND($G63&gt;=CQ$5,$G63&lt;CQ$5+GanttPeriod),"◆",IF(AND($E63&gt;=CQ$5,$E63&lt;CQ$5+GanttPeriod),"◇","")),IF(AND(CQ$5&lt;=$F63,CQ$5+GanttPeriod-1&gt;=$E63),"━","")))</f>
        <v/>
      </c>
      <c r="CR63" s="69" t="str">
        <f aca="false">IF($E63="","",IF($M63,IF(AND($G63&gt;=CR$5,$G63&lt;CR$5+GanttPeriod),"◆",IF(AND($E63&gt;=CR$5,$E63&lt;CR$5+GanttPeriod),"◇","")),IF(AND(CR$5&lt;=$F63,CR$5+GanttPeriod-1&gt;=$E63),"━","")))</f>
        <v/>
      </c>
      <c r="CS63" s="69" t="str">
        <f aca="false">IF($E63="","",IF($M63,IF(AND($G63&gt;=CS$5,$G63&lt;CS$5+GanttPeriod),"◆",IF(AND($E63&gt;=CS$5,$E63&lt;CS$5+GanttPeriod),"◇","")),IF(AND(CS$5&lt;=$F63,CS$5+GanttPeriod-1&gt;=$E63),"━","")))</f>
        <v/>
      </c>
      <c r="CT63" s="69" t="str">
        <f aca="false">IF($E63="","",IF($M63,IF(AND($G63&gt;=CT$5,$G63&lt;CT$5+GanttPeriod),"◆",IF(AND($E63&gt;=CT$5,$E63&lt;CT$5+GanttPeriod),"◇","")),IF(AND(CT$5&lt;=$F63,CT$5+GanttPeriod-1&gt;=$E63),"━","")))</f>
        <v/>
      </c>
      <c r="CU63" s="69" t="str">
        <f aca="false">IF($E63="","",IF($M63,IF(AND($G63&gt;=CU$5,$G63&lt;CU$5+GanttPeriod),"◆",IF(AND($E63&gt;=CU$5,$E63&lt;CU$5+GanttPeriod),"◇","")),IF(AND(CU$5&lt;=$F63,CU$5+GanttPeriod-1&gt;=$E63),"━","")))</f>
        <v/>
      </c>
      <c r="CV63" s="69" t="str">
        <f aca="false">IF($E63="","",IF($M63,IF(AND($G63&gt;=CV$5,$G63&lt;CV$5+GanttPeriod),"◆",IF(AND($E63&gt;=CV$5,$E63&lt;CV$5+GanttPeriod),"◇","")),IF(AND(CV$5&lt;=$F63,CV$5+GanttPeriod-1&gt;=$E63),"━","")))</f>
        <v/>
      </c>
      <c r="CW63" s="69" t="str">
        <f aca="false">IF($E63="","",IF($M63,IF(AND($G63&gt;=CW$5,$G63&lt;CW$5+GanttPeriod),"◆",IF(AND($E63&gt;=CW$5,$E63&lt;CW$5+GanttPeriod),"◇","")),IF(AND(CW$5&lt;=$F63,CW$5+GanttPeriod-1&gt;=$E63),"━","")))</f>
        <v/>
      </c>
      <c r="CX63" s="69" t="str">
        <f aca="false">IF($E63="","",IF($M63,IF(AND($G63&gt;=CX$5,$G63&lt;CX$5+GanttPeriod),"◆",IF(AND($E63&gt;=CX$5,$E63&lt;CX$5+GanttPeriod),"◇","")),IF(AND(CX$5&lt;=$F63,CX$5+GanttPeriod-1&gt;=$E63),"━","")))</f>
        <v/>
      </c>
      <c r="CY63" s="69" t="str">
        <f aca="false">IF($E63="","",IF($M63,IF(AND($G63&gt;=CY$5,$G63&lt;CY$5+GanttPeriod),"◆",IF(AND($E63&gt;=CY$5,$E63&lt;CY$5+GanttPeriod),"◇","")),IF(AND(CY$5&lt;=$F63,CY$5+GanttPeriod-1&gt;=$E63),"━","")))</f>
        <v/>
      </c>
      <c r="CZ63" s="69" t="str">
        <f aca="false">IF($E63="","",IF($M63,IF(AND($G63&gt;=CZ$5,$G63&lt;CZ$5+GanttPeriod),"◆",IF(AND($E63&gt;=CZ$5,$E63&lt;CZ$5+GanttPeriod),"◇","")),IF(AND(CZ$5&lt;=$F63,CZ$5+GanttPeriod-1&gt;=$E63),"━","")))</f>
        <v/>
      </c>
      <c r="DA63" s="69" t="str">
        <f aca="false">IF($E63="","",IF($M63,IF(AND($G63&gt;=DA$5,$G63&lt;DA$5+GanttPeriod),"◆",IF(AND($E63&gt;=DA$5,$E63&lt;DA$5+GanttPeriod),"◇","")),IF(AND(DA$5&lt;=$F63,DA$5+GanttPeriod-1&gt;=$E63),"━","")))</f>
        <v/>
      </c>
      <c r="DB63" s="69" t="str">
        <f aca="false">IF($E63="","",IF($M63,IF(AND($G63&gt;=DB$5,$G63&lt;DB$5+GanttPeriod),"◆",IF(AND($E63&gt;=DB$5,$E63&lt;DB$5+GanttPeriod),"◇","")),IF(AND(DB$5&lt;=$F63,DB$5+GanttPeriod-1&gt;=$E63),"━","")))</f>
        <v/>
      </c>
      <c r="DC63" s="69" t="str">
        <f aca="false">IF($E63="","",IF($M63,IF(AND($G63&gt;=DC$5,$G63&lt;DC$5+GanttPeriod),"◆",IF(AND($E63&gt;=DC$5,$E63&lt;DC$5+GanttPeriod),"◇","")),IF(AND(DC$5&lt;=$F63,DC$5+GanttPeriod-1&gt;=$E63),"━","")))</f>
        <v/>
      </c>
      <c r="DD63" s="69" t="str">
        <f aca="false">IF($E63="","",IF($M63,IF(AND($G63&gt;=DD$5,$G63&lt;DD$5+GanttPeriod),"◆",IF(AND($E63&gt;=DD$5,$E63&lt;DD$5+GanttPeriod),"◇","")),IF(AND(DD$5&lt;=$F63,DD$5+GanttPeriod-1&gt;=$E63),"━","")))</f>
        <v/>
      </c>
      <c r="DE63" s="69" t="str">
        <f aca="false">IF($E63="","",IF($M63,IF(AND($G63&gt;=DE$5,$G63&lt;DE$5+GanttPeriod),"◆",IF(AND($E63&gt;=DE$5,$E63&lt;DE$5+GanttPeriod),"◇","")),IF(AND(DE$5&lt;=$F63,DE$5+GanttPeriod-1&gt;=$E63),"━","")))</f>
        <v/>
      </c>
      <c r="DF63" s="69" t="str">
        <f aca="false">IF($E63="","",IF($M63,IF(AND($G63&gt;=DF$5,$G63&lt;DF$5+GanttPeriod),"◆",IF(AND($E63&gt;=DF$5,$E63&lt;DF$5+GanttPeriod),"◇","")),IF(AND(DF$5&lt;=$F63,DF$5+GanttPeriod-1&gt;=$E63),"━","")))</f>
        <v/>
      </c>
      <c r="DG63" s="69" t="str">
        <f aca="false">IF($E63="","",IF($M63,IF(AND($G63&gt;=DG$5,$G63&lt;DG$5+GanttPeriod),"◆",IF(AND($E63&gt;=DG$5,$E63&lt;DG$5+GanttPeriod),"◇","")),IF(AND(DG$5&lt;=$F63,DG$5+GanttPeriod-1&gt;=$E63),"━","")))</f>
        <v/>
      </c>
      <c r="DH63" s="69" t="str">
        <f aca="false">IF($E63="","",IF($M63,IF(AND($G63&gt;=DH$5,$G63&lt;DH$5+GanttPeriod),"◆",IF(AND($E63&gt;=DH$5,$E63&lt;DH$5+GanttPeriod),"◇","")),IF(AND(DH$5&lt;=$F63,DH$5+GanttPeriod-1&gt;=$E63),"━","")))</f>
        <v/>
      </c>
      <c r="DI63" s="69" t="str">
        <f aca="false">IF($E63="","",IF($M63,IF(AND($G63&gt;=DI$5,$G63&lt;DI$5+GanttPeriod),"◆",IF(AND($E63&gt;=DI$5,$E63&lt;DI$5+GanttPeriod),"◇","")),IF(AND(DI$5&lt;=$F63,DI$5+GanttPeriod-1&gt;=$E63),"━","")))</f>
        <v/>
      </c>
      <c r="DJ63" s="69" t="str">
        <f aca="false">IF($E63="","",IF($M63,IF(AND($G63&gt;=DJ$5,$G63&lt;DJ$5+GanttPeriod),"◆",IF(AND($E63&gt;=DJ$5,$E63&lt;DJ$5+GanttPeriod),"◇","")),IF(AND(DJ$5&lt;=$F63,DJ$5+GanttPeriod-1&gt;=$E63),"━","")))</f>
        <v/>
      </c>
      <c r="DK63" s="69" t="str">
        <f aca="false">IF($E63="","",IF($M63,IF(AND($G63&gt;=DK$5,$G63&lt;DK$5+GanttPeriod),"◆",IF(AND($E63&gt;=DK$5,$E63&lt;DK$5+GanttPeriod),"◇","")),IF(AND(DK$5&lt;=$F63,DK$5+GanttPeriod-1&gt;=$E63),"━","")))</f>
        <v/>
      </c>
      <c r="DL63" s="69" t="str">
        <f aca="false">IF($E63="","",IF($M63,IF(AND($G63&gt;=DL$5,$G63&lt;DL$5+GanttPeriod),"◆",IF(AND($E63&gt;=DL$5,$E63&lt;DL$5+GanttPeriod),"◇","")),IF(AND(DL$5&lt;=$F63,DL$5+GanttPeriod-1&gt;=$E63),"━","")))</f>
        <v/>
      </c>
      <c r="DM63" s="69" t="str">
        <f aca="false">IF($E63="","",IF($M63,IF(AND($G63&gt;=DM$5,$G63&lt;DM$5+GanttPeriod),"◆",IF(AND($E63&gt;=DM$5,$E63&lt;DM$5+GanttPeriod),"◇","")),IF(AND(DM$5&lt;=$F63,DM$5+GanttPeriod-1&gt;=$E63),"━","")))</f>
        <v/>
      </c>
      <c r="DN63" s="69" t="str">
        <f aca="false">IF($E63="","",IF($M63,IF(AND($G63&gt;=DN$5,$G63&lt;DN$5+GanttPeriod),"◆",IF(AND($E63&gt;=DN$5,$E63&lt;DN$5+GanttPeriod),"◇","")),IF(AND(DN$5&lt;=$F63,DN$5+GanttPeriod-1&gt;=$E63),"━","")))</f>
        <v/>
      </c>
      <c r="DO63" s="69" t="str">
        <f aca="false">IF($E63="","",IF($M63,IF(AND($G63&gt;=DO$5,$G63&lt;DO$5+GanttPeriod),"◆",IF(AND($E63&gt;=DO$5,$E63&lt;DO$5+GanttPeriod),"◇","")),IF(AND(DO$5&lt;=$F63,DO$5+GanttPeriod-1&gt;=$E63),"━","")))</f>
        <v/>
      </c>
      <c r="DP63" s="69" t="str">
        <f aca="false">IF($E63="","",IF($M63,IF(AND($G63&gt;=DP$5,$G63&lt;DP$5+GanttPeriod),"◆",IF(AND($E63&gt;=DP$5,$E63&lt;DP$5+GanttPeriod),"◇","")),IF(AND(DP$5&lt;=$F63,DP$5+GanttPeriod-1&gt;=$E63),"━","")))</f>
        <v/>
      </c>
      <c r="DQ63" s="69" t="str">
        <f aca="false">IF($E63="","",IF($M63,IF(AND($G63&gt;=DQ$5,$G63&lt;DQ$5+GanttPeriod),"◆",IF(AND($E63&gt;=DQ$5,$E63&lt;DQ$5+GanttPeriod),"◇","")),IF(AND(DQ$5&lt;=$F63,DQ$5+GanttPeriod-1&gt;=$E63),"━","")))</f>
        <v/>
      </c>
      <c r="DR63" s="69" t="str">
        <f aca="false">IF($E63="","",IF($M63,IF(AND($G63&gt;=DR$5,$G63&lt;DR$5+GanttPeriod),"◆",IF(AND($E63&gt;=DR$5,$E63&lt;DR$5+GanttPeriod),"◇","")),IF(AND(DR$5&lt;=$F63,DR$5+GanttPeriod-1&gt;=$E63),"━","")))</f>
        <v/>
      </c>
      <c r="DS63" s="69" t="str">
        <f aca="false">IF($E63="","",IF($M63,IF(AND($G63&gt;=DS$5,$G63&lt;DS$5+GanttPeriod),"◆",IF(AND($E63&gt;=DS$5,$E63&lt;DS$5+GanttPeriod),"◇","")),IF(AND(DS$5&lt;=$F63,DS$5+GanttPeriod-1&gt;=$E63),"━","")))</f>
        <v/>
      </c>
      <c r="DT63" s="69" t="str">
        <f aca="false">IF($E63="","",IF($M63,IF(AND($G63&gt;=DT$5,$G63&lt;DT$5+GanttPeriod),"◆",IF(AND($E63&gt;=DT$5,$E63&lt;DT$5+GanttPeriod),"◇","")),IF(AND(DT$5&lt;=$F63,DT$5+GanttPeriod-1&gt;=$E63),"━","")))</f>
        <v/>
      </c>
      <c r="DU63" s="69" t="str">
        <f aca="false">IF($E63="","",IF($M63,IF(AND($G63&gt;=DU$5,$G63&lt;DU$5+GanttPeriod),"◆",IF(AND($E63&gt;=DU$5,$E63&lt;DU$5+GanttPeriod),"◇","")),IF(AND(DU$5&lt;=$F63,DU$5+GanttPeriod-1&gt;=$E63),"━","")))</f>
        <v/>
      </c>
      <c r="DV63" s="69" t="str">
        <f aca="false">IF($E63="","",IF($M63,IF(AND($G63&gt;=DV$5,$G63&lt;DV$5+GanttPeriod),"◆",IF(AND($E63&gt;=DV$5,$E63&lt;DV$5+GanttPeriod),"◇","")),IF(AND(DV$5&lt;=$F63,DV$5+GanttPeriod-1&gt;=$E63),"━","")))</f>
        <v/>
      </c>
      <c r="DW63" s="69" t="str">
        <f aca="false">IF($E63="","",IF($M63,IF(AND($G63&gt;=DW$5,$G63&lt;DW$5+GanttPeriod),"◆",IF(AND($E63&gt;=DW$5,$E63&lt;DW$5+GanttPeriod),"◇","")),IF(AND(DW$5&lt;=$F63,DW$5+GanttPeriod-1&gt;=$E63),"━","")))</f>
        <v/>
      </c>
      <c r="DX63" s="69" t="str">
        <f aca="false">IF($E63="","",IF($M63,IF(AND($G63&gt;=DX$5,$G63&lt;DX$5+GanttPeriod),"◆",IF(AND($E63&gt;=DX$5,$E63&lt;DX$5+GanttPeriod),"◇","")),IF(AND(DX$5&lt;=$F63,DX$5+GanttPeriod-1&gt;=$E63),"━","")))</f>
        <v/>
      </c>
      <c r="DY63" s="69" t="str">
        <f aca="false">IF($E63="","",IF($M63,IF(AND($G63&gt;=DY$5,$G63&lt;DY$5+GanttPeriod),"◆",IF(AND($E63&gt;=DY$5,$E63&lt;DY$5+GanttPeriod),"◇","")),IF(AND(DY$5&lt;=$F63,DY$5+GanttPeriod-1&gt;=$E63),"━","")))</f>
        <v/>
      </c>
      <c r="DZ63" s="69" t="str">
        <f aca="false">IF($E63="","",IF($M63,IF(AND($G63&gt;=DZ$5,$G63&lt;DZ$5+GanttPeriod),"◆",IF(AND($E63&gt;=DZ$5,$E63&lt;DZ$5+GanttPeriod),"◇","")),IF(AND(DZ$5&lt;=$F63,DZ$5+GanttPeriod-1&gt;=$E63),"━","")))</f>
        <v/>
      </c>
      <c r="EA63" s="69" t="str">
        <f aca="false">IF($E63="","",IF($M63,IF(AND($G63&gt;=EA$5,$G63&lt;EA$5+GanttPeriod),"◆",IF(AND($E63&gt;=EA$5,$E63&lt;EA$5+GanttPeriod),"◇","")),IF(AND(EA$5&lt;=$F63,EA$5+GanttPeriod-1&gt;=$E63),"━","")))</f>
        <v/>
      </c>
      <c r="EB63" s="69" t="str">
        <f aca="false">IF($E63="","",IF($M63,IF(AND($G63&gt;=EB$5,$G63&lt;EB$5+GanttPeriod),"◆",IF(AND($E63&gt;=EB$5,$E63&lt;EB$5+GanttPeriod),"◇","")),IF(AND(EB$5&lt;=$F63,EB$5+GanttPeriod-1&gt;=$E63),"━","")))</f>
        <v/>
      </c>
      <c r="EC63" s="69" t="str">
        <f aca="false">IF($E63="","",IF($M63,IF(AND($G63&gt;=EC$5,$G63&lt;EC$5+GanttPeriod),"◆",IF(AND($E63&gt;=EC$5,$E63&lt;EC$5+GanttPeriod),"◇","")),IF(AND(EC$5&lt;=$F63,EC$5+GanttPeriod-1&gt;=$E63),"━","")))</f>
        <v/>
      </c>
      <c r="ED63" s="69" t="str">
        <f aca="false">IF($E63="","",IF($M63,IF(AND($G63&gt;=ED$5,$G63&lt;ED$5+GanttPeriod),"◆",IF(AND($E63&gt;=ED$5,$E63&lt;ED$5+GanttPeriod),"◇","")),IF(AND(ED$5&lt;=$F63,ED$5+GanttPeriod-1&gt;=$E63),"━","")))</f>
        <v/>
      </c>
      <c r="EE63" s="69" t="str">
        <f aca="false">IF($E63="","",IF($M63,IF(AND($G63&gt;=EE$5,$G63&lt;EE$5+GanttPeriod),"◆",IF(AND($E63&gt;=EE$5,$E63&lt;EE$5+GanttPeriod),"◇","")),IF(AND(EE$5&lt;=$F63,EE$5+GanttPeriod-1&gt;=$E63),"━","")))</f>
        <v/>
      </c>
      <c r="EF63" s="69" t="str">
        <f aca="false">IF($E63="","",IF($M63,IF(AND($G63&gt;=EF$5,$G63&lt;EF$5+GanttPeriod),"◆",IF(AND($E63&gt;=EF$5,$E63&lt;EF$5+GanttPeriod),"◇","")),IF(AND(EF$5&lt;=$F63,EF$5+GanttPeriod-1&gt;=$E63),"━","")))</f>
        <v/>
      </c>
      <c r="EG63" s="69" t="str">
        <f aca="false">IF($E63="","",IF($M63,IF(AND($G63&gt;=EG$5,$G63&lt;EG$5+GanttPeriod),"◆",IF(AND($E63&gt;=EG$5,$E63&lt;EG$5+GanttPeriod),"◇","")),IF(AND(EG$5&lt;=$F63,EG$5+GanttPeriod-1&gt;=$E63),"━","")))</f>
        <v/>
      </c>
      <c r="EH63" s="69" t="str">
        <f aca="false">IF($E63="","",IF($M63,IF(AND($G63&gt;=EH$5,$G63&lt;EH$5+GanttPeriod),"◆",IF(AND($E63&gt;=EH$5,$E63&lt;EH$5+GanttPeriod),"◇","")),IF(AND(EH$5&lt;=$F63,EH$5+GanttPeriod-1&gt;=$E63),"━","")))</f>
        <v/>
      </c>
      <c r="EI63" s="69" t="str">
        <f aca="false">IF($E63="","",IF($M63,IF(AND($G63&gt;=EI$5,$G63&lt;EI$5+GanttPeriod),"◆",IF(AND($E63&gt;=EI$5,$E63&lt;EI$5+GanttPeriod),"◇","")),IF(AND(EI$5&lt;=$F63,EI$5+GanttPeriod-1&gt;=$E63),"━","")))</f>
        <v/>
      </c>
      <c r="EJ63" s="69" t="str">
        <f aca="false">IF($E63="","",IF($M63,IF(AND($G63&gt;=EJ$5,$G63&lt;EJ$5+GanttPeriod),"◆",IF(AND($E63&gt;=EJ$5,$E63&lt;EJ$5+GanttPeriod),"◇","")),IF(AND(EJ$5&lt;=$F63,EJ$5+GanttPeriod-1&gt;=$E63),"━","")))</f>
        <v/>
      </c>
      <c r="EK63" s="69" t="str">
        <f aca="false">IF($E63="","",IF($M63,IF(AND($G63&gt;=EK$5,$G63&lt;EK$5+GanttPeriod),"◆",IF(AND($E63&gt;=EK$5,$E63&lt;EK$5+GanttPeriod),"◇","")),IF(AND(EK$5&lt;=$F63,EK$5+GanttPeriod-1&gt;=$E63),"━","")))</f>
        <v/>
      </c>
      <c r="EL63" s="69" t="str">
        <f aca="false">IF($E63="","",IF($M63,IF(AND($G63&gt;=EL$5,$G63&lt;EL$5+GanttPeriod),"◆",IF(AND($E63&gt;=EL$5,$E63&lt;EL$5+GanttPeriod),"◇","")),IF(AND(EL$5&lt;=$F63,EL$5+GanttPeriod-1&gt;=$E63),"━","")))</f>
        <v/>
      </c>
      <c r="EM63" s="69" t="str">
        <f aca="false">IF($E63="","",IF($M63,IF(AND($G63&gt;=EM$5,$G63&lt;EM$5+GanttPeriod),"◆",IF(AND($E63&gt;=EM$5,$E63&lt;EM$5+GanttPeriod),"◇","")),IF(AND(EM$5&lt;=$F63,EM$5+GanttPeriod-1&gt;=$E63),"━","")))</f>
        <v/>
      </c>
      <c r="EN63" s="69" t="str">
        <f aca="false">IF($E63="","",IF($M63,IF(AND($G63&gt;=EN$5,$G63&lt;EN$5+GanttPeriod),"◆",IF(AND($E63&gt;=EN$5,$E63&lt;EN$5+GanttPeriod),"◇","")),IF(AND(EN$5&lt;=$F63,EN$5+GanttPeriod-1&gt;=$E63),"━","")))</f>
        <v/>
      </c>
      <c r="EO63" s="69" t="str">
        <f aca="false">IF($E63="","",IF($M63,IF(AND($G63&gt;=EO$5,$G63&lt;EO$5+GanttPeriod),"◆",IF(AND($E63&gt;=EO$5,$E63&lt;EO$5+GanttPeriod),"◇","")),IF(AND(EO$5&lt;=$F63,EO$5+GanttPeriod-1&gt;=$E63),"━","")))</f>
        <v/>
      </c>
      <c r="EP63" s="69" t="str">
        <f aca="false">IF($E63="","",IF($M63,IF(AND($G63&gt;=EP$5,$G63&lt;EP$5+GanttPeriod),"◆",IF(AND($E63&gt;=EP$5,$E63&lt;EP$5+GanttPeriod),"◇","")),IF(AND(EP$5&lt;=$F63,EP$5+GanttPeriod-1&gt;=$E63),"━","")))</f>
        <v/>
      </c>
      <c r="EQ63" s="69" t="str">
        <f aca="false">IF($E63="","",IF($M63,IF(AND($G63&gt;=EQ$5,$G63&lt;EQ$5+GanttPeriod),"◆",IF(AND($E63&gt;=EQ$5,$E63&lt;EQ$5+GanttPeriod),"◇","")),IF(AND(EQ$5&lt;=$F63,EQ$5+GanttPeriod-1&gt;=$E63),"━","")))</f>
        <v/>
      </c>
      <c r="ER63" s="69" t="str">
        <f aca="false">IF($E63="","",IF($M63,IF(AND($G63&gt;=ER$5,$G63&lt;ER$5+GanttPeriod),"◆",IF(AND($E63&gt;=ER$5,$E63&lt;ER$5+GanttPeriod),"◇","")),IF(AND(ER$5&lt;=$F63,ER$5+GanttPeriod-1&gt;=$E63),"━","")))</f>
        <v/>
      </c>
      <c r="ES63" s="69" t="str">
        <f aca="false">IF($E63="","",IF($M63,IF(AND($G63&gt;=ES$5,$G63&lt;ES$5+GanttPeriod),"◆",IF(AND($E63&gt;=ES$5,$E63&lt;ES$5+GanttPeriod),"◇","")),IF(AND(ES$5&lt;=$F63,ES$5+GanttPeriod-1&gt;=$E63),"━","")))</f>
        <v/>
      </c>
      <c r="ET63" s="69" t="str">
        <f aca="false">IF($E63="","",IF($M63,IF(AND($G63&gt;=ET$5,$G63&lt;ET$5+GanttPeriod),"◆",IF(AND($E63&gt;=ET$5,$E63&lt;ET$5+GanttPeriod),"◇","")),IF(AND(ET$5&lt;=$F63,ET$5+GanttPeriod-1&gt;=$E63),"━","")))</f>
        <v/>
      </c>
      <c r="EU63" s="69" t="str">
        <f aca="false">IF($E63="","",IF($M63,IF(AND($G63&gt;=EU$5,$G63&lt;EU$5+GanttPeriod),"◆",IF(AND($E63&gt;=EU$5,$E63&lt;EU$5+GanttPeriod),"◇","")),IF(AND(EU$5&lt;=$F63,EU$5+GanttPeriod-1&gt;=$E63),"━","")))</f>
        <v/>
      </c>
      <c r="EV63" s="69" t="str">
        <f aca="false">IF($E63="","",IF($M63,IF(AND($G63&gt;=EV$5,$G63&lt;EV$5+GanttPeriod),"◆",IF(AND($E63&gt;=EV$5,$E63&lt;EV$5+GanttPeriod),"◇","")),IF(AND(EV$5&lt;=$F63,EV$5+GanttPeriod-1&gt;=$E63),"━","")))</f>
        <v/>
      </c>
      <c r="EW63" s="69" t="str">
        <f aca="false">IF($E63="","",IF($M63,IF(AND($G63&gt;=EW$5,$G63&lt;EW$5+GanttPeriod),"◆",IF(AND($E63&gt;=EW$5,$E63&lt;EW$5+GanttPeriod),"◇","")),IF(AND(EW$5&lt;=$F63,EW$5+GanttPeriod-1&gt;=$E63),"━","")))</f>
        <v/>
      </c>
      <c r="EX63" s="69" t="str">
        <f aca="false">IF($E63="","",IF($M63,IF(AND($G63&gt;=EX$5,$G63&lt;EX$5+GanttPeriod),"◆",IF(AND($E63&gt;=EX$5,$E63&lt;EX$5+GanttPeriod),"◇","")),IF(AND(EX$5&lt;=$F63,EX$5+GanttPeriod-1&gt;=$E63),"━","")))</f>
        <v/>
      </c>
      <c r="EY63" s="69" t="str">
        <f aca="false">IF($E63="","",IF($M63,IF(AND($G63&gt;=EY$5,$G63&lt;EY$5+GanttPeriod),"◆",IF(AND($E63&gt;=EY$5,$E63&lt;EY$5+GanttPeriod),"◇","")),IF(AND(EY$5&lt;=$F63,EY$5+GanttPeriod-1&gt;=$E63),"━","")))</f>
        <v/>
      </c>
      <c r="EZ63" s="69" t="str">
        <f aca="false">IF($E63="","",IF($M63,IF(AND($G63&gt;=EZ$5,$G63&lt;EZ$5+GanttPeriod),"◆",IF(AND($E63&gt;=EZ$5,$E63&lt;EZ$5+GanttPeriod),"◇","")),IF(AND(EZ$5&lt;=$F63,EZ$5+GanttPeriod-1&gt;=$E63),"━","")))</f>
        <v/>
      </c>
      <c r="FA63" s="69" t="str">
        <f aca="false">IF($E63="","",IF($M63,IF(AND($G63&gt;=FA$5,$G63&lt;FA$5+GanttPeriod),"◆",IF(AND($E63&gt;=FA$5,$E63&lt;FA$5+GanttPeriod),"◇","")),IF(AND(FA$5&lt;=$F63,FA$5+GanttPeriod-1&gt;=$E63),"━","")))</f>
        <v/>
      </c>
      <c r="FB63" s="69" t="str">
        <f aca="false">IF($E63="","",IF($M63,IF(AND($G63&gt;=FB$5,$G63&lt;FB$5+GanttPeriod),"◆",IF(AND($E63&gt;=FB$5,$E63&lt;FB$5+GanttPeriod),"◇","")),IF(AND(FB$5&lt;=$F63,FB$5+GanttPeriod-1&gt;=$E63),"━","")))</f>
        <v/>
      </c>
      <c r="FC63" s="69" t="str">
        <f aca="false">IF($E63="","",IF($M63,IF(AND($G63&gt;=FC$5,$G63&lt;FC$5+GanttPeriod),"◆",IF(AND($E63&gt;=FC$5,$E63&lt;FC$5+GanttPeriod),"◇","")),IF(AND(FC$5&lt;=$F63,FC$5+GanttPeriod-1&gt;=$E63),"━","")))</f>
        <v/>
      </c>
      <c r="FD63" s="69" t="str">
        <f aca="false">IF($E63="","",IF($M63,IF(AND($G63&gt;=FD$5,$G63&lt;FD$5+GanttPeriod),"◆",IF(AND($E63&gt;=FD$5,$E63&lt;FD$5+GanttPeriod),"◇","")),IF(AND(FD$5&lt;=$F63,FD$5+GanttPeriod-1&gt;=$E63),"━","")))</f>
        <v/>
      </c>
      <c r="FE63" s="69" t="str">
        <f aca="false">IF($E63="","",IF($M63,IF(AND($G63&gt;=FE$5,$G63&lt;FE$5+GanttPeriod),"◆",IF(AND($E63&gt;=FE$5,$E63&lt;FE$5+GanttPeriod),"◇","")),IF(AND(FE$5&lt;=$F63,FE$5+GanttPeriod-1&gt;=$E63),"━","")))</f>
        <v/>
      </c>
      <c r="FF63" s="69" t="str">
        <f aca="false">IF($E63="","",IF($M63,IF(AND($G63&gt;=FF$5,$G63&lt;FF$5+GanttPeriod),"◆",IF(AND($E63&gt;=FF$5,$E63&lt;FF$5+GanttPeriod),"◇","")),IF(AND(FF$5&lt;=$F63,FF$5+GanttPeriod-1&gt;=$E63),"━","")))</f>
        <v/>
      </c>
      <c r="FG63" s="69" t="str">
        <f aca="false">IF($E63="","",IF($M63,IF(AND($G63&gt;=FG$5,$G63&lt;FG$5+GanttPeriod),"◆",IF(AND($E63&gt;=FG$5,$E63&lt;FG$5+GanttPeriod),"◇","")),IF(AND(FG$5&lt;=$F63,FG$5+GanttPeriod-1&gt;=$E63),"━","")))</f>
        <v/>
      </c>
      <c r="FH63" s="69" t="str">
        <f aca="false">IF($E63="","",IF($M63,IF(AND($G63&gt;=FH$5,$G63&lt;FH$5+GanttPeriod),"◆",IF(AND($E63&gt;=FH$5,$E63&lt;FH$5+GanttPeriod),"◇","")),IF(AND(FH$5&lt;=$F63,FH$5+GanttPeriod-1&gt;=$E63),"━","")))</f>
        <v/>
      </c>
      <c r="FI63" s="69" t="str">
        <f aca="false">IF($E63="","",IF($M63,IF(AND($G63&gt;=FI$5,$G63&lt;FI$5+GanttPeriod),"◆",IF(AND($E63&gt;=FI$5,$E63&lt;FI$5+GanttPeriod),"◇","")),IF(AND(FI$5&lt;=$F63,FI$5+GanttPeriod-1&gt;=$E63),"━","")))</f>
        <v/>
      </c>
      <c r="FJ63" s="69" t="str">
        <f aca="false">IF($E63="","",IF($M63,IF(AND($G63&gt;=FJ$5,$G63&lt;FJ$5+GanttPeriod),"◆",IF(AND($E63&gt;=FJ$5,$E63&lt;FJ$5+GanttPeriod),"◇","")),IF(AND(FJ$5&lt;=$F63,FJ$5+GanttPeriod-1&gt;=$E63),"━","")))</f>
        <v/>
      </c>
      <c r="FK63" s="69" t="str">
        <f aca="false">IF($E63="","",IF($M63,IF(AND($G63&gt;=FK$5,$G63&lt;FK$5+GanttPeriod),"◆",IF(AND($E63&gt;=FK$5,$E63&lt;FK$5+GanttPeriod),"◇","")),IF(AND(FK$5&lt;=$F63,FK$5+GanttPeriod-1&gt;=$E63),"━","")))</f>
        <v/>
      </c>
      <c r="FL63" s="69" t="str">
        <f aca="false">IF($E63="","",IF($M63,IF(AND($G63&gt;=FL$5,$G63&lt;FL$5+GanttPeriod),"◆",IF(AND($E63&gt;=FL$5,$E63&lt;FL$5+GanttPeriod),"◇","")),IF(AND(FL$5&lt;=$F63,FL$5+GanttPeriod-1&gt;=$E63),"━","")))</f>
        <v/>
      </c>
      <c r="FM63" s="69" t="str">
        <f aca="false">IF($E63="","",IF($M63,IF(AND($G63&gt;=FM$5,$G63&lt;FM$5+GanttPeriod),"◆",IF(AND($E63&gt;=FM$5,$E63&lt;FM$5+GanttPeriod),"◇","")),IF(AND(FM$5&lt;=$F63,FM$5+GanttPeriod-1&gt;=$E63),"━","")))</f>
        <v/>
      </c>
    </row>
    <row r="64" customFormat="false" ht="15" hidden="false" customHeight="false" outlineLevel="0" collapsed="false">
      <c r="A64" s="62" t="str">
        <f aca="false">IF(Tasks!$D64="","",Tasks!$A64)</f>
        <v/>
      </c>
      <c r="B64" s="62" t="str">
        <f aca="false">IF(Tasks!$D64="","",Tasks!$B64)</f>
        <v/>
      </c>
      <c r="C64" s="63" t="str">
        <f aca="false">IF(Tasks!$D64="","",REPT("    ",Tasks!$AE64-1)&amp;Tasks!$D64)</f>
        <v/>
      </c>
      <c r="D64" s="62" t="str">
        <f aca="false">IF(Tasks!$D64="","",IF(Tasks!$AI64,NETWORKDAYS.INTL(Tasks!$R64,Tasks!$S64,WorkWeek,Holidays),N(Tasks!$F64)))</f>
        <v/>
      </c>
      <c r="E64" s="64" t="str">
        <f aca="false">IF(Tasks!$D64="","",Tasks!$N64)</f>
        <v/>
      </c>
      <c r="F64" s="64" t="str">
        <f aca="false">IF(Tasks!$D64="","",Tasks!$O64)</f>
        <v/>
      </c>
      <c r="G64" s="64" t="str">
        <f aca="false">IF(Tasks!$D64="","",Tasks!$R64)</f>
        <v/>
      </c>
      <c r="H64" s="64" t="str">
        <f aca="false">IF(Tasks!$D64="","",Tasks!$S64)</f>
        <v/>
      </c>
      <c r="I64" s="65" t="str">
        <f aca="false">IF(Tasks!$D64="","",Tasks!$V64)</f>
        <v/>
      </c>
      <c r="J64" s="63" t="str">
        <f aca="false">IF(Tasks!$D64="","",Tasks!$X64&amp;"")</f>
        <v/>
      </c>
      <c r="K64" s="66" t="str">
        <f aca="false">IF(Tasks!$D64="","",Tasks!$W64)</f>
        <v/>
      </c>
      <c r="L64" s="67" t="b">
        <f aca="false">IF(Tasks!$D64="",FALSE(),Tasks!$AI64)</f>
        <v>0</v>
      </c>
      <c r="M64" s="67" t="b">
        <f aca="false">AND(Tasks!$AJ64=1,N(Tasks!$F64)=0)</f>
        <v>0</v>
      </c>
      <c r="N64" s="68" t="n">
        <f aca="false">IF(AND(Tasks!$AJ64=1,NOT($M64),N($I64)&gt;0),$G64,0)</f>
        <v>0</v>
      </c>
      <c r="O64" s="68" t="n">
        <f aca="false">IF($N64=0,0,IF($I64&gt;=1,$H64,MAX($N64,$G64+ROUND(($H64-$G64+1)*$I64,0)-1)))</f>
        <v>0</v>
      </c>
      <c r="P64" s="68" t="n">
        <f aca="false">IF(OR(Tasks!$AJ64&lt;&gt;1,$M64,N($I64)&gt;=1),0,IF($O64&gt;0,$O64+1,$G64))</f>
        <v>0</v>
      </c>
      <c r="Q64" s="68" t="n">
        <f aca="false">IF($P64=0,0,$H64)</f>
        <v>0</v>
      </c>
      <c r="R64" s="67" t="b">
        <f aca="false">AND(Tasks!$D64&lt;&gt;"",N(Tasks!$T64)&gt;0)</f>
        <v>0</v>
      </c>
      <c r="T64" s="69" t="str">
        <f aca="false">IF($E64="","",IF($M64,IF(AND($G64&gt;=T$5,$G64&lt;T$5+GanttPeriod),"◆",IF(AND($E64&gt;=T$5,$E64&lt;T$5+GanttPeriod),"◇","")),IF(AND(T$5&lt;=$F64,T$5+GanttPeriod-1&gt;=$E64),"━","")))</f>
        <v/>
      </c>
      <c r="U64" s="69" t="str">
        <f aca="false">IF($E64="","",IF($M64,IF(AND($G64&gt;=U$5,$G64&lt;U$5+GanttPeriod),"◆",IF(AND($E64&gt;=U$5,$E64&lt;U$5+GanttPeriod),"◇","")),IF(AND(U$5&lt;=$F64,U$5+GanttPeriod-1&gt;=$E64),"━","")))</f>
        <v/>
      </c>
      <c r="V64" s="69" t="str">
        <f aca="false">IF($E64="","",IF($M64,IF(AND($G64&gt;=V$5,$G64&lt;V$5+GanttPeriod),"◆",IF(AND($E64&gt;=V$5,$E64&lt;V$5+GanttPeriod),"◇","")),IF(AND(V$5&lt;=$F64,V$5+GanttPeriod-1&gt;=$E64),"━","")))</f>
        <v/>
      </c>
      <c r="W64" s="69" t="str">
        <f aca="false">IF($E64="","",IF($M64,IF(AND($G64&gt;=W$5,$G64&lt;W$5+GanttPeriod),"◆",IF(AND($E64&gt;=W$5,$E64&lt;W$5+GanttPeriod),"◇","")),IF(AND(W$5&lt;=$F64,W$5+GanttPeriod-1&gt;=$E64),"━","")))</f>
        <v/>
      </c>
      <c r="X64" s="69" t="str">
        <f aca="false">IF($E64="","",IF($M64,IF(AND($G64&gt;=X$5,$G64&lt;X$5+GanttPeriod),"◆",IF(AND($E64&gt;=X$5,$E64&lt;X$5+GanttPeriod),"◇","")),IF(AND(X$5&lt;=$F64,X$5+GanttPeriod-1&gt;=$E64),"━","")))</f>
        <v/>
      </c>
      <c r="Y64" s="69" t="str">
        <f aca="false">IF($E64="","",IF($M64,IF(AND($G64&gt;=Y$5,$G64&lt;Y$5+GanttPeriod),"◆",IF(AND($E64&gt;=Y$5,$E64&lt;Y$5+GanttPeriod),"◇","")),IF(AND(Y$5&lt;=$F64,Y$5+GanttPeriod-1&gt;=$E64),"━","")))</f>
        <v/>
      </c>
      <c r="Z64" s="69" t="str">
        <f aca="false">IF($E64="","",IF($M64,IF(AND($G64&gt;=Z$5,$G64&lt;Z$5+GanttPeriod),"◆",IF(AND($E64&gt;=Z$5,$E64&lt;Z$5+GanttPeriod),"◇","")),IF(AND(Z$5&lt;=$F64,Z$5+GanttPeriod-1&gt;=$E64),"━","")))</f>
        <v/>
      </c>
      <c r="AA64" s="69" t="str">
        <f aca="false">IF($E64="","",IF($M64,IF(AND($G64&gt;=AA$5,$G64&lt;AA$5+GanttPeriod),"◆",IF(AND($E64&gt;=AA$5,$E64&lt;AA$5+GanttPeriod),"◇","")),IF(AND(AA$5&lt;=$F64,AA$5+GanttPeriod-1&gt;=$E64),"━","")))</f>
        <v/>
      </c>
      <c r="AB64" s="69" t="str">
        <f aca="false">IF($E64="","",IF($M64,IF(AND($G64&gt;=AB$5,$G64&lt;AB$5+GanttPeriod),"◆",IF(AND($E64&gt;=AB$5,$E64&lt;AB$5+GanttPeriod),"◇","")),IF(AND(AB$5&lt;=$F64,AB$5+GanttPeriod-1&gt;=$E64),"━","")))</f>
        <v/>
      </c>
      <c r="AC64" s="69" t="str">
        <f aca="false">IF($E64="","",IF($M64,IF(AND($G64&gt;=AC$5,$G64&lt;AC$5+GanttPeriod),"◆",IF(AND($E64&gt;=AC$5,$E64&lt;AC$5+GanttPeriod),"◇","")),IF(AND(AC$5&lt;=$F64,AC$5+GanttPeriod-1&gt;=$E64),"━","")))</f>
        <v/>
      </c>
      <c r="AD64" s="69" t="str">
        <f aca="false">IF($E64="","",IF($M64,IF(AND($G64&gt;=AD$5,$G64&lt;AD$5+GanttPeriod),"◆",IF(AND($E64&gt;=AD$5,$E64&lt;AD$5+GanttPeriod),"◇","")),IF(AND(AD$5&lt;=$F64,AD$5+GanttPeriod-1&gt;=$E64),"━","")))</f>
        <v/>
      </c>
      <c r="AE64" s="69" t="str">
        <f aca="false">IF($E64="","",IF($M64,IF(AND($G64&gt;=AE$5,$G64&lt;AE$5+GanttPeriod),"◆",IF(AND($E64&gt;=AE$5,$E64&lt;AE$5+GanttPeriod),"◇","")),IF(AND(AE$5&lt;=$F64,AE$5+GanttPeriod-1&gt;=$E64),"━","")))</f>
        <v/>
      </c>
      <c r="AF64" s="69" t="str">
        <f aca="false">IF($E64="","",IF($M64,IF(AND($G64&gt;=AF$5,$G64&lt;AF$5+GanttPeriod),"◆",IF(AND($E64&gt;=AF$5,$E64&lt;AF$5+GanttPeriod),"◇","")),IF(AND(AF$5&lt;=$F64,AF$5+GanttPeriod-1&gt;=$E64),"━","")))</f>
        <v/>
      </c>
      <c r="AG64" s="69" t="str">
        <f aca="false">IF($E64="","",IF($M64,IF(AND($G64&gt;=AG$5,$G64&lt;AG$5+GanttPeriod),"◆",IF(AND($E64&gt;=AG$5,$E64&lt;AG$5+GanttPeriod),"◇","")),IF(AND(AG$5&lt;=$F64,AG$5+GanttPeriod-1&gt;=$E64),"━","")))</f>
        <v/>
      </c>
      <c r="AH64" s="69" t="str">
        <f aca="false">IF($E64="","",IF($M64,IF(AND($G64&gt;=AH$5,$G64&lt;AH$5+GanttPeriod),"◆",IF(AND($E64&gt;=AH$5,$E64&lt;AH$5+GanttPeriod),"◇","")),IF(AND(AH$5&lt;=$F64,AH$5+GanttPeriod-1&gt;=$E64),"━","")))</f>
        <v/>
      </c>
      <c r="AI64" s="69" t="str">
        <f aca="false">IF($E64="","",IF($M64,IF(AND($G64&gt;=AI$5,$G64&lt;AI$5+GanttPeriod),"◆",IF(AND($E64&gt;=AI$5,$E64&lt;AI$5+GanttPeriod),"◇","")),IF(AND(AI$5&lt;=$F64,AI$5+GanttPeriod-1&gt;=$E64),"━","")))</f>
        <v/>
      </c>
      <c r="AJ64" s="69" t="str">
        <f aca="false">IF($E64="","",IF($M64,IF(AND($G64&gt;=AJ$5,$G64&lt;AJ$5+GanttPeriod),"◆",IF(AND($E64&gt;=AJ$5,$E64&lt;AJ$5+GanttPeriod),"◇","")),IF(AND(AJ$5&lt;=$F64,AJ$5+GanttPeriod-1&gt;=$E64),"━","")))</f>
        <v/>
      </c>
      <c r="AK64" s="69" t="str">
        <f aca="false">IF($E64="","",IF($M64,IF(AND($G64&gt;=AK$5,$G64&lt;AK$5+GanttPeriod),"◆",IF(AND($E64&gt;=AK$5,$E64&lt;AK$5+GanttPeriod),"◇","")),IF(AND(AK$5&lt;=$F64,AK$5+GanttPeriod-1&gt;=$E64),"━","")))</f>
        <v/>
      </c>
      <c r="AL64" s="69" t="str">
        <f aca="false">IF($E64="","",IF($M64,IF(AND($G64&gt;=AL$5,$G64&lt;AL$5+GanttPeriod),"◆",IF(AND($E64&gt;=AL$5,$E64&lt;AL$5+GanttPeriod),"◇","")),IF(AND(AL$5&lt;=$F64,AL$5+GanttPeriod-1&gt;=$E64),"━","")))</f>
        <v/>
      </c>
      <c r="AM64" s="69" t="str">
        <f aca="false">IF($E64="","",IF($M64,IF(AND($G64&gt;=AM$5,$G64&lt;AM$5+GanttPeriod),"◆",IF(AND($E64&gt;=AM$5,$E64&lt;AM$5+GanttPeriod),"◇","")),IF(AND(AM$5&lt;=$F64,AM$5+GanttPeriod-1&gt;=$E64),"━","")))</f>
        <v/>
      </c>
      <c r="AN64" s="69" t="str">
        <f aca="false">IF($E64="","",IF($M64,IF(AND($G64&gt;=AN$5,$G64&lt;AN$5+GanttPeriod),"◆",IF(AND($E64&gt;=AN$5,$E64&lt;AN$5+GanttPeriod),"◇","")),IF(AND(AN$5&lt;=$F64,AN$5+GanttPeriod-1&gt;=$E64),"━","")))</f>
        <v/>
      </c>
      <c r="AO64" s="69" t="str">
        <f aca="false">IF($E64="","",IF($M64,IF(AND($G64&gt;=AO$5,$G64&lt;AO$5+GanttPeriod),"◆",IF(AND($E64&gt;=AO$5,$E64&lt;AO$5+GanttPeriod),"◇","")),IF(AND(AO$5&lt;=$F64,AO$5+GanttPeriod-1&gt;=$E64),"━","")))</f>
        <v/>
      </c>
      <c r="AP64" s="69" t="str">
        <f aca="false">IF($E64="","",IF($M64,IF(AND($G64&gt;=AP$5,$G64&lt;AP$5+GanttPeriod),"◆",IF(AND($E64&gt;=AP$5,$E64&lt;AP$5+GanttPeriod),"◇","")),IF(AND(AP$5&lt;=$F64,AP$5+GanttPeriod-1&gt;=$E64),"━","")))</f>
        <v/>
      </c>
      <c r="AQ64" s="69" t="str">
        <f aca="false">IF($E64="","",IF($M64,IF(AND($G64&gt;=AQ$5,$G64&lt;AQ$5+GanttPeriod),"◆",IF(AND($E64&gt;=AQ$5,$E64&lt;AQ$5+GanttPeriod),"◇","")),IF(AND(AQ$5&lt;=$F64,AQ$5+GanttPeriod-1&gt;=$E64),"━","")))</f>
        <v/>
      </c>
      <c r="AR64" s="69" t="str">
        <f aca="false">IF($E64="","",IF($M64,IF(AND($G64&gt;=AR$5,$G64&lt;AR$5+GanttPeriod),"◆",IF(AND($E64&gt;=AR$5,$E64&lt;AR$5+GanttPeriod),"◇","")),IF(AND(AR$5&lt;=$F64,AR$5+GanttPeriod-1&gt;=$E64),"━","")))</f>
        <v/>
      </c>
      <c r="AS64" s="69" t="str">
        <f aca="false">IF($E64="","",IF($M64,IF(AND($G64&gt;=AS$5,$G64&lt;AS$5+GanttPeriod),"◆",IF(AND($E64&gt;=AS$5,$E64&lt;AS$5+GanttPeriod),"◇","")),IF(AND(AS$5&lt;=$F64,AS$5+GanttPeriod-1&gt;=$E64),"━","")))</f>
        <v/>
      </c>
      <c r="AT64" s="69" t="str">
        <f aca="false">IF($E64="","",IF($M64,IF(AND($G64&gt;=AT$5,$G64&lt;AT$5+GanttPeriod),"◆",IF(AND($E64&gt;=AT$5,$E64&lt;AT$5+GanttPeriod),"◇","")),IF(AND(AT$5&lt;=$F64,AT$5+GanttPeriod-1&gt;=$E64),"━","")))</f>
        <v/>
      </c>
      <c r="AU64" s="69" t="str">
        <f aca="false">IF($E64="","",IF($M64,IF(AND($G64&gt;=AU$5,$G64&lt;AU$5+GanttPeriod),"◆",IF(AND($E64&gt;=AU$5,$E64&lt;AU$5+GanttPeriod),"◇","")),IF(AND(AU$5&lt;=$F64,AU$5+GanttPeriod-1&gt;=$E64),"━","")))</f>
        <v/>
      </c>
      <c r="AV64" s="69" t="str">
        <f aca="false">IF($E64="","",IF($M64,IF(AND($G64&gt;=AV$5,$G64&lt;AV$5+GanttPeriod),"◆",IF(AND($E64&gt;=AV$5,$E64&lt;AV$5+GanttPeriod),"◇","")),IF(AND(AV$5&lt;=$F64,AV$5+GanttPeriod-1&gt;=$E64),"━","")))</f>
        <v/>
      </c>
      <c r="AW64" s="69" t="str">
        <f aca="false">IF($E64="","",IF($M64,IF(AND($G64&gt;=AW$5,$G64&lt;AW$5+GanttPeriod),"◆",IF(AND($E64&gt;=AW$5,$E64&lt;AW$5+GanttPeriod),"◇","")),IF(AND(AW$5&lt;=$F64,AW$5+GanttPeriod-1&gt;=$E64),"━","")))</f>
        <v/>
      </c>
      <c r="AX64" s="69" t="str">
        <f aca="false">IF($E64="","",IF($M64,IF(AND($G64&gt;=AX$5,$G64&lt;AX$5+GanttPeriod),"◆",IF(AND($E64&gt;=AX$5,$E64&lt;AX$5+GanttPeriod),"◇","")),IF(AND(AX$5&lt;=$F64,AX$5+GanttPeriod-1&gt;=$E64),"━","")))</f>
        <v/>
      </c>
      <c r="AY64" s="69" t="str">
        <f aca="false">IF($E64="","",IF($M64,IF(AND($G64&gt;=AY$5,$G64&lt;AY$5+GanttPeriod),"◆",IF(AND($E64&gt;=AY$5,$E64&lt;AY$5+GanttPeriod),"◇","")),IF(AND(AY$5&lt;=$F64,AY$5+GanttPeriod-1&gt;=$E64),"━","")))</f>
        <v/>
      </c>
      <c r="AZ64" s="69" t="str">
        <f aca="false">IF($E64="","",IF($M64,IF(AND($G64&gt;=AZ$5,$G64&lt;AZ$5+GanttPeriod),"◆",IF(AND($E64&gt;=AZ$5,$E64&lt;AZ$5+GanttPeriod),"◇","")),IF(AND(AZ$5&lt;=$F64,AZ$5+GanttPeriod-1&gt;=$E64),"━","")))</f>
        <v/>
      </c>
      <c r="BA64" s="69" t="str">
        <f aca="false">IF($E64="","",IF($M64,IF(AND($G64&gt;=BA$5,$G64&lt;BA$5+GanttPeriod),"◆",IF(AND($E64&gt;=BA$5,$E64&lt;BA$5+GanttPeriod),"◇","")),IF(AND(BA$5&lt;=$F64,BA$5+GanttPeriod-1&gt;=$E64),"━","")))</f>
        <v/>
      </c>
      <c r="BB64" s="69" t="str">
        <f aca="false">IF($E64="","",IF($M64,IF(AND($G64&gt;=BB$5,$G64&lt;BB$5+GanttPeriod),"◆",IF(AND($E64&gt;=BB$5,$E64&lt;BB$5+GanttPeriod),"◇","")),IF(AND(BB$5&lt;=$F64,BB$5+GanttPeriod-1&gt;=$E64),"━","")))</f>
        <v/>
      </c>
      <c r="BC64" s="69" t="str">
        <f aca="false">IF($E64="","",IF($M64,IF(AND($G64&gt;=BC$5,$G64&lt;BC$5+GanttPeriod),"◆",IF(AND($E64&gt;=BC$5,$E64&lt;BC$5+GanttPeriod),"◇","")),IF(AND(BC$5&lt;=$F64,BC$5+GanttPeriod-1&gt;=$E64),"━","")))</f>
        <v/>
      </c>
      <c r="BD64" s="69" t="str">
        <f aca="false">IF($E64="","",IF($M64,IF(AND($G64&gt;=BD$5,$G64&lt;BD$5+GanttPeriod),"◆",IF(AND($E64&gt;=BD$5,$E64&lt;BD$5+GanttPeriod),"◇","")),IF(AND(BD$5&lt;=$F64,BD$5+GanttPeriod-1&gt;=$E64),"━","")))</f>
        <v/>
      </c>
      <c r="BE64" s="69" t="str">
        <f aca="false">IF($E64="","",IF($M64,IF(AND($G64&gt;=BE$5,$G64&lt;BE$5+GanttPeriod),"◆",IF(AND($E64&gt;=BE$5,$E64&lt;BE$5+GanttPeriod),"◇","")),IF(AND(BE$5&lt;=$F64,BE$5+GanttPeriod-1&gt;=$E64),"━","")))</f>
        <v/>
      </c>
      <c r="BF64" s="69" t="str">
        <f aca="false">IF($E64="","",IF($M64,IF(AND($G64&gt;=BF$5,$G64&lt;BF$5+GanttPeriod),"◆",IF(AND($E64&gt;=BF$5,$E64&lt;BF$5+GanttPeriod),"◇","")),IF(AND(BF$5&lt;=$F64,BF$5+GanttPeriod-1&gt;=$E64),"━","")))</f>
        <v/>
      </c>
      <c r="BG64" s="69" t="str">
        <f aca="false">IF($E64="","",IF($M64,IF(AND($G64&gt;=BG$5,$G64&lt;BG$5+GanttPeriod),"◆",IF(AND($E64&gt;=BG$5,$E64&lt;BG$5+GanttPeriod),"◇","")),IF(AND(BG$5&lt;=$F64,BG$5+GanttPeriod-1&gt;=$E64),"━","")))</f>
        <v/>
      </c>
      <c r="BH64" s="69" t="str">
        <f aca="false">IF($E64="","",IF($M64,IF(AND($G64&gt;=BH$5,$G64&lt;BH$5+GanttPeriod),"◆",IF(AND($E64&gt;=BH$5,$E64&lt;BH$5+GanttPeriod),"◇","")),IF(AND(BH$5&lt;=$F64,BH$5+GanttPeriod-1&gt;=$E64),"━","")))</f>
        <v/>
      </c>
      <c r="BI64" s="69" t="str">
        <f aca="false">IF($E64="","",IF($M64,IF(AND($G64&gt;=BI$5,$G64&lt;BI$5+GanttPeriod),"◆",IF(AND($E64&gt;=BI$5,$E64&lt;BI$5+GanttPeriod),"◇","")),IF(AND(BI$5&lt;=$F64,BI$5+GanttPeriod-1&gt;=$E64),"━","")))</f>
        <v/>
      </c>
      <c r="BJ64" s="69" t="str">
        <f aca="false">IF($E64="","",IF($M64,IF(AND($G64&gt;=BJ$5,$G64&lt;BJ$5+GanttPeriod),"◆",IF(AND($E64&gt;=BJ$5,$E64&lt;BJ$5+GanttPeriod),"◇","")),IF(AND(BJ$5&lt;=$F64,BJ$5+GanttPeriod-1&gt;=$E64),"━","")))</f>
        <v/>
      </c>
      <c r="BK64" s="69" t="str">
        <f aca="false">IF($E64="","",IF($M64,IF(AND($G64&gt;=BK$5,$G64&lt;BK$5+GanttPeriod),"◆",IF(AND($E64&gt;=BK$5,$E64&lt;BK$5+GanttPeriod),"◇","")),IF(AND(BK$5&lt;=$F64,BK$5+GanttPeriod-1&gt;=$E64),"━","")))</f>
        <v/>
      </c>
      <c r="BL64" s="69" t="str">
        <f aca="false">IF($E64="","",IF($M64,IF(AND($G64&gt;=BL$5,$G64&lt;BL$5+GanttPeriod),"◆",IF(AND($E64&gt;=BL$5,$E64&lt;BL$5+GanttPeriod),"◇","")),IF(AND(BL$5&lt;=$F64,BL$5+GanttPeriod-1&gt;=$E64),"━","")))</f>
        <v/>
      </c>
      <c r="BM64" s="69" t="str">
        <f aca="false">IF($E64="","",IF($M64,IF(AND($G64&gt;=BM$5,$G64&lt;BM$5+GanttPeriod),"◆",IF(AND($E64&gt;=BM$5,$E64&lt;BM$5+GanttPeriod),"◇","")),IF(AND(BM$5&lt;=$F64,BM$5+GanttPeriod-1&gt;=$E64),"━","")))</f>
        <v/>
      </c>
      <c r="BN64" s="69" t="str">
        <f aca="false">IF($E64="","",IF($M64,IF(AND($G64&gt;=BN$5,$G64&lt;BN$5+GanttPeriod),"◆",IF(AND($E64&gt;=BN$5,$E64&lt;BN$5+GanttPeriod),"◇","")),IF(AND(BN$5&lt;=$F64,BN$5+GanttPeriod-1&gt;=$E64),"━","")))</f>
        <v/>
      </c>
      <c r="BO64" s="69" t="str">
        <f aca="false">IF($E64="","",IF($M64,IF(AND($G64&gt;=BO$5,$G64&lt;BO$5+GanttPeriod),"◆",IF(AND($E64&gt;=BO$5,$E64&lt;BO$5+GanttPeriod),"◇","")),IF(AND(BO$5&lt;=$F64,BO$5+GanttPeriod-1&gt;=$E64),"━","")))</f>
        <v/>
      </c>
      <c r="BP64" s="69" t="str">
        <f aca="false">IF($E64="","",IF($M64,IF(AND($G64&gt;=BP$5,$G64&lt;BP$5+GanttPeriod),"◆",IF(AND($E64&gt;=BP$5,$E64&lt;BP$5+GanttPeriod),"◇","")),IF(AND(BP$5&lt;=$F64,BP$5+GanttPeriod-1&gt;=$E64),"━","")))</f>
        <v/>
      </c>
      <c r="BQ64" s="69" t="str">
        <f aca="false">IF($E64="","",IF($M64,IF(AND($G64&gt;=BQ$5,$G64&lt;BQ$5+GanttPeriod),"◆",IF(AND($E64&gt;=BQ$5,$E64&lt;BQ$5+GanttPeriod),"◇","")),IF(AND(BQ$5&lt;=$F64,BQ$5+GanttPeriod-1&gt;=$E64),"━","")))</f>
        <v/>
      </c>
      <c r="BR64" s="69" t="str">
        <f aca="false">IF($E64="","",IF($M64,IF(AND($G64&gt;=BR$5,$G64&lt;BR$5+GanttPeriod),"◆",IF(AND($E64&gt;=BR$5,$E64&lt;BR$5+GanttPeriod),"◇","")),IF(AND(BR$5&lt;=$F64,BR$5+GanttPeriod-1&gt;=$E64),"━","")))</f>
        <v/>
      </c>
      <c r="BS64" s="69" t="str">
        <f aca="false">IF($E64="","",IF($M64,IF(AND($G64&gt;=BS$5,$G64&lt;BS$5+GanttPeriod),"◆",IF(AND($E64&gt;=BS$5,$E64&lt;BS$5+GanttPeriod),"◇","")),IF(AND(BS$5&lt;=$F64,BS$5+GanttPeriod-1&gt;=$E64),"━","")))</f>
        <v/>
      </c>
      <c r="BT64" s="69" t="str">
        <f aca="false">IF($E64="","",IF($M64,IF(AND($G64&gt;=BT$5,$G64&lt;BT$5+GanttPeriod),"◆",IF(AND($E64&gt;=BT$5,$E64&lt;BT$5+GanttPeriod),"◇","")),IF(AND(BT$5&lt;=$F64,BT$5+GanttPeriod-1&gt;=$E64),"━","")))</f>
        <v/>
      </c>
      <c r="BU64" s="69" t="str">
        <f aca="false">IF($E64="","",IF($M64,IF(AND($G64&gt;=BU$5,$G64&lt;BU$5+GanttPeriod),"◆",IF(AND($E64&gt;=BU$5,$E64&lt;BU$5+GanttPeriod),"◇","")),IF(AND(BU$5&lt;=$F64,BU$5+GanttPeriod-1&gt;=$E64),"━","")))</f>
        <v/>
      </c>
      <c r="BV64" s="69" t="str">
        <f aca="false">IF($E64="","",IF($M64,IF(AND($G64&gt;=BV$5,$G64&lt;BV$5+GanttPeriod),"◆",IF(AND($E64&gt;=BV$5,$E64&lt;BV$5+GanttPeriod),"◇","")),IF(AND(BV$5&lt;=$F64,BV$5+GanttPeriod-1&gt;=$E64),"━","")))</f>
        <v/>
      </c>
      <c r="BW64" s="69" t="str">
        <f aca="false">IF($E64="","",IF($M64,IF(AND($G64&gt;=BW$5,$G64&lt;BW$5+GanttPeriod),"◆",IF(AND($E64&gt;=BW$5,$E64&lt;BW$5+GanttPeriod),"◇","")),IF(AND(BW$5&lt;=$F64,BW$5+GanttPeriod-1&gt;=$E64),"━","")))</f>
        <v/>
      </c>
      <c r="BX64" s="69" t="str">
        <f aca="false">IF($E64="","",IF($M64,IF(AND($G64&gt;=BX$5,$G64&lt;BX$5+GanttPeriod),"◆",IF(AND($E64&gt;=BX$5,$E64&lt;BX$5+GanttPeriod),"◇","")),IF(AND(BX$5&lt;=$F64,BX$5+GanttPeriod-1&gt;=$E64),"━","")))</f>
        <v/>
      </c>
      <c r="BY64" s="69" t="str">
        <f aca="false">IF($E64="","",IF($M64,IF(AND($G64&gt;=BY$5,$G64&lt;BY$5+GanttPeriod),"◆",IF(AND($E64&gt;=BY$5,$E64&lt;BY$5+GanttPeriod),"◇","")),IF(AND(BY$5&lt;=$F64,BY$5+GanttPeriod-1&gt;=$E64),"━","")))</f>
        <v/>
      </c>
      <c r="BZ64" s="69" t="str">
        <f aca="false">IF($E64="","",IF($M64,IF(AND($G64&gt;=BZ$5,$G64&lt;BZ$5+GanttPeriod),"◆",IF(AND($E64&gt;=BZ$5,$E64&lt;BZ$5+GanttPeriod),"◇","")),IF(AND(BZ$5&lt;=$F64,BZ$5+GanttPeriod-1&gt;=$E64),"━","")))</f>
        <v/>
      </c>
      <c r="CA64" s="69" t="str">
        <f aca="false">IF($E64="","",IF($M64,IF(AND($G64&gt;=CA$5,$G64&lt;CA$5+GanttPeriod),"◆",IF(AND($E64&gt;=CA$5,$E64&lt;CA$5+GanttPeriod),"◇","")),IF(AND(CA$5&lt;=$F64,CA$5+GanttPeriod-1&gt;=$E64),"━","")))</f>
        <v/>
      </c>
      <c r="CB64" s="69" t="str">
        <f aca="false">IF($E64="","",IF($M64,IF(AND($G64&gt;=CB$5,$G64&lt;CB$5+GanttPeriod),"◆",IF(AND($E64&gt;=CB$5,$E64&lt;CB$5+GanttPeriod),"◇","")),IF(AND(CB$5&lt;=$F64,CB$5+GanttPeriod-1&gt;=$E64),"━","")))</f>
        <v/>
      </c>
      <c r="CC64" s="69" t="str">
        <f aca="false">IF($E64="","",IF($M64,IF(AND($G64&gt;=CC$5,$G64&lt;CC$5+GanttPeriod),"◆",IF(AND($E64&gt;=CC$5,$E64&lt;CC$5+GanttPeriod),"◇","")),IF(AND(CC$5&lt;=$F64,CC$5+GanttPeriod-1&gt;=$E64),"━","")))</f>
        <v/>
      </c>
      <c r="CD64" s="69" t="str">
        <f aca="false">IF($E64="","",IF($M64,IF(AND($G64&gt;=CD$5,$G64&lt;CD$5+GanttPeriod),"◆",IF(AND($E64&gt;=CD$5,$E64&lt;CD$5+GanttPeriod),"◇","")),IF(AND(CD$5&lt;=$F64,CD$5+GanttPeriod-1&gt;=$E64),"━","")))</f>
        <v/>
      </c>
      <c r="CE64" s="69" t="str">
        <f aca="false">IF($E64="","",IF($M64,IF(AND($G64&gt;=CE$5,$G64&lt;CE$5+GanttPeriod),"◆",IF(AND($E64&gt;=CE$5,$E64&lt;CE$5+GanttPeriod),"◇","")),IF(AND(CE$5&lt;=$F64,CE$5+GanttPeriod-1&gt;=$E64),"━","")))</f>
        <v/>
      </c>
      <c r="CF64" s="69" t="str">
        <f aca="false">IF($E64="","",IF($M64,IF(AND($G64&gt;=CF$5,$G64&lt;CF$5+GanttPeriod),"◆",IF(AND($E64&gt;=CF$5,$E64&lt;CF$5+GanttPeriod),"◇","")),IF(AND(CF$5&lt;=$F64,CF$5+GanttPeriod-1&gt;=$E64),"━","")))</f>
        <v/>
      </c>
      <c r="CG64" s="69" t="str">
        <f aca="false">IF($E64="","",IF($M64,IF(AND($G64&gt;=CG$5,$G64&lt;CG$5+GanttPeriod),"◆",IF(AND($E64&gt;=CG$5,$E64&lt;CG$5+GanttPeriod),"◇","")),IF(AND(CG$5&lt;=$F64,CG$5+GanttPeriod-1&gt;=$E64),"━","")))</f>
        <v/>
      </c>
      <c r="CH64" s="69" t="str">
        <f aca="false">IF($E64="","",IF($M64,IF(AND($G64&gt;=CH$5,$G64&lt;CH$5+GanttPeriod),"◆",IF(AND($E64&gt;=CH$5,$E64&lt;CH$5+GanttPeriod),"◇","")),IF(AND(CH$5&lt;=$F64,CH$5+GanttPeriod-1&gt;=$E64),"━","")))</f>
        <v/>
      </c>
      <c r="CI64" s="69" t="str">
        <f aca="false">IF($E64="","",IF($M64,IF(AND($G64&gt;=CI$5,$G64&lt;CI$5+GanttPeriod),"◆",IF(AND($E64&gt;=CI$5,$E64&lt;CI$5+GanttPeriod),"◇","")),IF(AND(CI$5&lt;=$F64,CI$5+GanttPeriod-1&gt;=$E64),"━","")))</f>
        <v/>
      </c>
      <c r="CJ64" s="69" t="str">
        <f aca="false">IF($E64="","",IF($M64,IF(AND($G64&gt;=CJ$5,$G64&lt;CJ$5+GanttPeriod),"◆",IF(AND($E64&gt;=CJ$5,$E64&lt;CJ$5+GanttPeriod),"◇","")),IF(AND(CJ$5&lt;=$F64,CJ$5+GanttPeriod-1&gt;=$E64),"━","")))</f>
        <v/>
      </c>
      <c r="CK64" s="69" t="str">
        <f aca="false">IF($E64="","",IF($M64,IF(AND($G64&gt;=CK$5,$G64&lt;CK$5+GanttPeriod),"◆",IF(AND($E64&gt;=CK$5,$E64&lt;CK$5+GanttPeriod),"◇","")),IF(AND(CK$5&lt;=$F64,CK$5+GanttPeriod-1&gt;=$E64),"━","")))</f>
        <v/>
      </c>
      <c r="CL64" s="69" t="str">
        <f aca="false">IF($E64="","",IF($M64,IF(AND($G64&gt;=CL$5,$G64&lt;CL$5+GanttPeriod),"◆",IF(AND($E64&gt;=CL$5,$E64&lt;CL$5+GanttPeriod),"◇","")),IF(AND(CL$5&lt;=$F64,CL$5+GanttPeriod-1&gt;=$E64),"━","")))</f>
        <v/>
      </c>
      <c r="CM64" s="69" t="str">
        <f aca="false">IF($E64="","",IF($M64,IF(AND($G64&gt;=CM$5,$G64&lt;CM$5+GanttPeriod),"◆",IF(AND($E64&gt;=CM$5,$E64&lt;CM$5+GanttPeriod),"◇","")),IF(AND(CM$5&lt;=$F64,CM$5+GanttPeriod-1&gt;=$E64),"━","")))</f>
        <v/>
      </c>
      <c r="CN64" s="69" t="str">
        <f aca="false">IF($E64="","",IF($M64,IF(AND($G64&gt;=CN$5,$G64&lt;CN$5+GanttPeriod),"◆",IF(AND($E64&gt;=CN$5,$E64&lt;CN$5+GanttPeriod),"◇","")),IF(AND(CN$5&lt;=$F64,CN$5+GanttPeriod-1&gt;=$E64),"━","")))</f>
        <v/>
      </c>
      <c r="CO64" s="69" t="str">
        <f aca="false">IF($E64="","",IF($M64,IF(AND($G64&gt;=CO$5,$G64&lt;CO$5+GanttPeriod),"◆",IF(AND($E64&gt;=CO$5,$E64&lt;CO$5+GanttPeriod),"◇","")),IF(AND(CO$5&lt;=$F64,CO$5+GanttPeriod-1&gt;=$E64),"━","")))</f>
        <v/>
      </c>
      <c r="CP64" s="69" t="str">
        <f aca="false">IF($E64="","",IF($M64,IF(AND($G64&gt;=CP$5,$G64&lt;CP$5+GanttPeriod),"◆",IF(AND($E64&gt;=CP$5,$E64&lt;CP$5+GanttPeriod),"◇","")),IF(AND(CP$5&lt;=$F64,CP$5+GanttPeriod-1&gt;=$E64),"━","")))</f>
        <v/>
      </c>
      <c r="CQ64" s="69" t="str">
        <f aca="false">IF($E64="","",IF($M64,IF(AND($G64&gt;=CQ$5,$G64&lt;CQ$5+GanttPeriod),"◆",IF(AND($E64&gt;=CQ$5,$E64&lt;CQ$5+GanttPeriod),"◇","")),IF(AND(CQ$5&lt;=$F64,CQ$5+GanttPeriod-1&gt;=$E64),"━","")))</f>
        <v/>
      </c>
      <c r="CR64" s="69" t="str">
        <f aca="false">IF($E64="","",IF($M64,IF(AND($G64&gt;=CR$5,$G64&lt;CR$5+GanttPeriod),"◆",IF(AND($E64&gt;=CR$5,$E64&lt;CR$5+GanttPeriod),"◇","")),IF(AND(CR$5&lt;=$F64,CR$5+GanttPeriod-1&gt;=$E64),"━","")))</f>
        <v/>
      </c>
      <c r="CS64" s="69" t="str">
        <f aca="false">IF($E64="","",IF($M64,IF(AND($G64&gt;=CS$5,$G64&lt;CS$5+GanttPeriod),"◆",IF(AND($E64&gt;=CS$5,$E64&lt;CS$5+GanttPeriod),"◇","")),IF(AND(CS$5&lt;=$F64,CS$5+GanttPeriod-1&gt;=$E64),"━","")))</f>
        <v/>
      </c>
      <c r="CT64" s="69" t="str">
        <f aca="false">IF($E64="","",IF($M64,IF(AND($G64&gt;=CT$5,$G64&lt;CT$5+GanttPeriod),"◆",IF(AND($E64&gt;=CT$5,$E64&lt;CT$5+GanttPeriod),"◇","")),IF(AND(CT$5&lt;=$F64,CT$5+GanttPeriod-1&gt;=$E64),"━","")))</f>
        <v/>
      </c>
      <c r="CU64" s="69" t="str">
        <f aca="false">IF($E64="","",IF($M64,IF(AND($G64&gt;=CU$5,$G64&lt;CU$5+GanttPeriod),"◆",IF(AND($E64&gt;=CU$5,$E64&lt;CU$5+GanttPeriod),"◇","")),IF(AND(CU$5&lt;=$F64,CU$5+GanttPeriod-1&gt;=$E64),"━","")))</f>
        <v/>
      </c>
      <c r="CV64" s="69" t="str">
        <f aca="false">IF($E64="","",IF($M64,IF(AND($G64&gt;=CV$5,$G64&lt;CV$5+GanttPeriod),"◆",IF(AND($E64&gt;=CV$5,$E64&lt;CV$5+GanttPeriod),"◇","")),IF(AND(CV$5&lt;=$F64,CV$5+GanttPeriod-1&gt;=$E64),"━","")))</f>
        <v/>
      </c>
      <c r="CW64" s="69" t="str">
        <f aca="false">IF($E64="","",IF($M64,IF(AND($G64&gt;=CW$5,$G64&lt;CW$5+GanttPeriod),"◆",IF(AND($E64&gt;=CW$5,$E64&lt;CW$5+GanttPeriod),"◇","")),IF(AND(CW$5&lt;=$F64,CW$5+GanttPeriod-1&gt;=$E64),"━","")))</f>
        <v/>
      </c>
      <c r="CX64" s="69" t="str">
        <f aca="false">IF($E64="","",IF($M64,IF(AND($G64&gt;=CX$5,$G64&lt;CX$5+GanttPeriod),"◆",IF(AND($E64&gt;=CX$5,$E64&lt;CX$5+GanttPeriod),"◇","")),IF(AND(CX$5&lt;=$F64,CX$5+GanttPeriod-1&gt;=$E64),"━","")))</f>
        <v/>
      </c>
      <c r="CY64" s="69" t="str">
        <f aca="false">IF($E64="","",IF($M64,IF(AND($G64&gt;=CY$5,$G64&lt;CY$5+GanttPeriod),"◆",IF(AND($E64&gt;=CY$5,$E64&lt;CY$5+GanttPeriod),"◇","")),IF(AND(CY$5&lt;=$F64,CY$5+GanttPeriod-1&gt;=$E64),"━","")))</f>
        <v/>
      </c>
      <c r="CZ64" s="69" t="str">
        <f aca="false">IF($E64="","",IF($M64,IF(AND($G64&gt;=CZ$5,$G64&lt;CZ$5+GanttPeriod),"◆",IF(AND($E64&gt;=CZ$5,$E64&lt;CZ$5+GanttPeriod),"◇","")),IF(AND(CZ$5&lt;=$F64,CZ$5+GanttPeriod-1&gt;=$E64),"━","")))</f>
        <v/>
      </c>
      <c r="DA64" s="69" t="str">
        <f aca="false">IF($E64="","",IF($M64,IF(AND($G64&gt;=DA$5,$G64&lt;DA$5+GanttPeriod),"◆",IF(AND($E64&gt;=DA$5,$E64&lt;DA$5+GanttPeriod),"◇","")),IF(AND(DA$5&lt;=$F64,DA$5+GanttPeriod-1&gt;=$E64),"━","")))</f>
        <v/>
      </c>
      <c r="DB64" s="69" t="str">
        <f aca="false">IF($E64="","",IF($M64,IF(AND($G64&gt;=DB$5,$G64&lt;DB$5+GanttPeriod),"◆",IF(AND($E64&gt;=DB$5,$E64&lt;DB$5+GanttPeriod),"◇","")),IF(AND(DB$5&lt;=$F64,DB$5+GanttPeriod-1&gt;=$E64),"━","")))</f>
        <v/>
      </c>
      <c r="DC64" s="69" t="str">
        <f aca="false">IF($E64="","",IF($M64,IF(AND($G64&gt;=DC$5,$G64&lt;DC$5+GanttPeriod),"◆",IF(AND($E64&gt;=DC$5,$E64&lt;DC$5+GanttPeriod),"◇","")),IF(AND(DC$5&lt;=$F64,DC$5+GanttPeriod-1&gt;=$E64),"━","")))</f>
        <v/>
      </c>
      <c r="DD64" s="69" t="str">
        <f aca="false">IF($E64="","",IF($M64,IF(AND($G64&gt;=DD$5,$G64&lt;DD$5+GanttPeriod),"◆",IF(AND($E64&gt;=DD$5,$E64&lt;DD$5+GanttPeriod),"◇","")),IF(AND(DD$5&lt;=$F64,DD$5+GanttPeriod-1&gt;=$E64),"━","")))</f>
        <v/>
      </c>
      <c r="DE64" s="69" t="str">
        <f aca="false">IF($E64="","",IF($M64,IF(AND($G64&gt;=DE$5,$G64&lt;DE$5+GanttPeriod),"◆",IF(AND($E64&gt;=DE$5,$E64&lt;DE$5+GanttPeriod),"◇","")),IF(AND(DE$5&lt;=$F64,DE$5+GanttPeriod-1&gt;=$E64),"━","")))</f>
        <v/>
      </c>
      <c r="DF64" s="69" t="str">
        <f aca="false">IF($E64="","",IF($M64,IF(AND($G64&gt;=DF$5,$G64&lt;DF$5+GanttPeriod),"◆",IF(AND($E64&gt;=DF$5,$E64&lt;DF$5+GanttPeriod),"◇","")),IF(AND(DF$5&lt;=$F64,DF$5+GanttPeriod-1&gt;=$E64),"━","")))</f>
        <v/>
      </c>
      <c r="DG64" s="69" t="str">
        <f aca="false">IF($E64="","",IF($M64,IF(AND($G64&gt;=DG$5,$G64&lt;DG$5+GanttPeriod),"◆",IF(AND($E64&gt;=DG$5,$E64&lt;DG$5+GanttPeriod),"◇","")),IF(AND(DG$5&lt;=$F64,DG$5+GanttPeriod-1&gt;=$E64),"━","")))</f>
        <v/>
      </c>
      <c r="DH64" s="69" t="str">
        <f aca="false">IF($E64="","",IF($M64,IF(AND($G64&gt;=DH$5,$G64&lt;DH$5+GanttPeriod),"◆",IF(AND($E64&gt;=DH$5,$E64&lt;DH$5+GanttPeriod),"◇","")),IF(AND(DH$5&lt;=$F64,DH$5+GanttPeriod-1&gt;=$E64),"━","")))</f>
        <v/>
      </c>
      <c r="DI64" s="69" t="str">
        <f aca="false">IF($E64="","",IF($M64,IF(AND($G64&gt;=DI$5,$G64&lt;DI$5+GanttPeriod),"◆",IF(AND($E64&gt;=DI$5,$E64&lt;DI$5+GanttPeriod),"◇","")),IF(AND(DI$5&lt;=$F64,DI$5+GanttPeriod-1&gt;=$E64),"━","")))</f>
        <v/>
      </c>
      <c r="DJ64" s="69" t="str">
        <f aca="false">IF($E64="","",IF($M64,IF(AND($G64&gt;=DJ$5,$G64&lt;DJ$5+GanttPeriod),"◆",IF(AND($E64&gt;=DJ$5,$E64&lt;DJ$5+GanttPeriod),"◇","")),IF(AND(DJ$5&lt;=$F64,DJ$5+GanttPeriod-1&gt;=$E64),"━","")))</f>
        <v/>
      </c>
      <c r="DK64" s="69" t="str">
        <f aca="false">IF($E64="","",IF($M64,IF(AND($G64&gt;=DK$5,$G64&lt;DK$5+GanttPeriod),"◆",IF(AND($E64&gt;=DK$5,$E64&lt;DK$5+GanttPeriod),"◇","")),IF(AND(DK$5&lt;=$F64,DK$5+GanttPeriod-1&gt;=$E64),"━","")))</f>
        <v/>
      </c>
      <c r="DL64" s="69" t="str">
        <f aca="false">IF($E64="","",IF($M64,IF(AND($G64&gt;=DL$5,$G64&lt;DL$5+GanttPeriod),"◆",IF(AND($E64&gt;=DL$5,$E64&lt;DL$5+GanttPeriod),"◇","")),IF(AND(DL$5&lt;=$F64,DL$5+GanttPeriod-1&gt;=$E64),"━","")))</f>
        <v/>
      </c>
      <c r="DM64" s="69" t="str">
        <f aca="false">IF($E64="","",IF($M64,IF(AND($G64&gt;=DM$5,$G64&lt;DM$5+GanttPeriod),"◆",IF(AND($E64&gt;=DM$5,$E64&lt;DM$5+GanttPeriod),"◇","")),IF(AND(DM$5&lt;=$F64,DM$5+GanttPeriod-1&gt;=$E64),"━","")))</f>
        <v/>
      </c>
      <c r="DN64" s="69" t="str">
        <f aca="false">IF($E64="","",IF($M64,IF(AND($G64&gt;=DN$5,$G64&lt;DN$5+GanttPeriod),"◆",IF(AND($E64&gt;=DN$5,$E64&lt;DN$5+GanttPeriod),"◇","")),IF(AND(DN$5&lt;=$F64,DN$5+GanttPeriod-1&gt;=$E64),"━","")))</f>
        <v/>
      </c>
      <c r="DO64" s="69" t="str">
        <f aca="false">IF($E64="","",IF($M64,IF(AND($G64&gt;=DO$5,$G64&lt;DO$5+GanttPeriod),"◆",IF(AND($E64&gt;=DO$5,$E64&lt;DO$5+GanttPeriod),"◇","")),IF(AND(DO$5&lt;=$F64,DO$5+GanttPeriod-1&gt;=$E64),"━","")))</f>
        <v/>
      </c>
      <c r="DP64" s="69" t="str">
        <f aca="false">IF($E64="","",IF($M64,IF(AND($G64&gt;=DP$5,$G64&lt;DP$5+GanttPeriod),"◆",IF(AND($E64&gt;=DP$5,$E64&lt;DP$5+GanttPeriod),"◇","")),IF(AND(DP$5&lt;=$F64,DP$5+GanttPeriod-1&gt;=$E64),"━","")))</f>
        <v/>
      </c>
      <c r="DQ64" s="69" t="str">
        <f aca="false">IF($E64="","",IF($M64,IF(AND($G64&gt;=DQ$5,$G64&lt;DQ$5+GanttPeriod),"◆",IF(AND($E64&gt;=DQ$5,$E64&lt;DQ$5+GanttPeriod),"◇","")),IF(AND(DQ$5&lt;=$F64,DQ$5+GanttPeriod-1&gt;=$E64),"━","")))</f>
        <v/>
      </c>
      <c r="DR64" s="69" t="str">
        <f aca="false">IF($E64="","",IF($M64,IF(AND($G64&gt;=DR$5,$G64&lt;DR$5+GanttPeriod),"◆",IF(AND($E64&gt;=DR$5,$E64&lt;DR$5+GanttPeriod),"◇","")),IF(AND(DR$5&lt;=$F64,DR$5+GanttPeriod-1&gt;=$E64),"━","")))</f>
        <v/>
      </c>
      <c r="DS64" s="69" t="str">
        <f aca="false">IF($E64="","",IF($M64,IF(AND($G64&gt;=DS$5,$G64&lt;DS$5+GanttPeriod),"◆",IF(AND($E64&gt;=DS$5,$E64&lt;DS$5+GanttPeriod),"◇","")),IF(AND(DS$5&lt;=$F64,DS$5+GanttPeriod-1&gt;=$E64),"━","")))</f>
        <v/>
      </c>
      <c r="DT64" s="69" t="str">
        <f aca="false">IF($E64="","",IF($M64,IF(AND($G64&gt;=DT$5,$G64&lt;DT$5+GanttPeriod),"◆",IF(AND($E64&gt;=DT$5,$E64&lt;DT$5+GanttPeriod),"◇","")),IF(AND(DT$5&lt;=$F64,DT$5+GanttPeriod-1&gt;=$E64),"━","")))</f>
        <v/>
      </c>
      <c r="DU64" s="69" t="str">
        <f aca="false">IF($E64="","",IF($M64,IF(AND($G64&gt;=DU$5,$G64&lt;DU$5+GanttPeriod),"◆",IF(AND($E64&gt;=DU$5,$E64&lt;DU$5+GanttPeriod),"◇","")),IF(AND(DU$5&lt;=$F64,DU$5+GanttPeriod-1&gt;=$E64),"━","")))</f>
        <v/>
      </c>
      <c r="DV64" s="69" t="str">
        <f aca="false">IF($E64="","",IF($M64,IF(AND($G64&gt;=DV$5,$G64&lt;DV$5+GanttPeriod),"◆",IF(AND($E64&gt;=DV$5,$E64&lt;DV$5+GanttPeriod),"◇","")),IF(AND(DV$5&lt;=$F64,DV$5+GanttPeriod-1&gt;=$E64),"━","")))</f>
        <v/>
      </c>
      <c r="DW64" s="69" t="str">
        <f aca="false">IF($E64="","",IF($M64,IF(AND($G64&gt;=DW$5,$G64&lt;DW$5+GanttPeriod),"◆",IF(AND($E64&gt;=DW$5,$E64&lt;DW$5+GanttPeriod),"◇","")),IF(AND(DW$5&lt;=$F64,DW$5+GanttPeriod-1&gt;=$E64),"━","")))</f>
        <v/>
      </c>
      <c r="DX64" s="69" t="str">
        <f aca="false">IF($E64="","",IF($M64,IF(AND($G64&gt;=DX$5,$G64&lt;DX$5+GanttPeriod),"◆",IF(AND($E64&gt;=DX$5,$E64&lt;DX$5+GanttPeriod),"◇","")),IF(AND(DX$5&lt;=$F64,DX$5+GanttPeriod-1&gt;=$E64),"━","")))</f>
        <v/>
      </c>
      <c r="DY64" s="69" t="str">
        <f aca="false">IF($E64="","",IF($M64,IF(AND($G64&gt;=DY$5,$G64&lt;DY$5+GanttPeriod),"◆",IF(AND($E64&gt;=DY$5,$E64&lt;DY$5+GanttPeriod),"◇","")),IF(AND(DY$5&lt;=$F64,DY$5+GanttPeriod-1&gt;=$E64),"━","")))</f>
        <v/>
      </c>
      <c r="DZ64" s="69" t="str">
        <f aca="false">IF($E64="","",IF($M64,IF(AND($G64&gt;=DZ$5,$G64&lt;DZ$5+GanttPeriod),"◆",IF(AND($E64&gt;=DZ$5,$E64&lt;DZ$5+GanttPeriod),"◇","")),IF(AND(DZ$5&lt;=$F64,DZ$5+GanttPeriod-1&gt;=$E64),"━","")))</f>
        <v/>
      </c>
      <c r="EA64" s="69" t="str">
        <f aca="false">IF($E64="","",IF($M64,IF(AND($G64&gt;=EA$5,$G64&lt;EA$5+GanttPeriod),"◆",IF(AND($E64&gt;=EA$5,$E64&lt;EA$5+GanttPeriod),"◇","")),IF(AND(EA$5&lt;=$F64,EA$5+GanttPeriod-1&gt;=$E64),"━","")))</f>
        <v/>
      </c>
      <c r="EB64" s="69" t="str">
        <f aca="false">IF($E64="","",IF($M64,IF(AND($G64&gt;=EB$5,$G64&lt;EB$5+GanttPeriod),"◆",IF(AND($E64&gt;=EB$5,$E64&lt;EB$5+GanttPeriod),"◇","")),IF(AND(EB$5&lt;=$F64,EB$5+GanttPeriod-1&gt;=$E64),"━","")))</f>
        <v/>
      </c>
      <c r="EC64" s="69" t="str">
        <f aca="false">IF($E64="","",IF($M64,IF(AND($G64&gt;=EC$5,$G64&lt;EC$5+GanttPeriod),"◆",IF(AND($E64&gt;=EC$5,$E64&lt;EC$5+GanttPeriod),"◇","")),IF(AND(EC$5&lt;=$F64,EC$5+GanttPeriod-1&gt;=$E64),"━","")))</f>
        <v/>
      </c>
      <c r="ED64" s="69" t="str">
        <f aca="false">IF($E64="","",IF($M64,IF(AND($G64&gt;=ED$5,$G64&lt;ED$5+GanttPeriod),"◆",IF(AND($E64&gt;=ED$5,$E64&lt;ED$5+GanttPeriod),"◇","")),IF(AND(ED$5&lt;=$F64,ED$5+GanttPeriod-1&gt;=$E64),"━","")))</f>
        <v/>
      </c>
      <c r="EE64" s="69" t="str">
        <f aca="false">IF($E64="","",IF($M64,IF(AND($G64&gt;=EE$5,$G64&lt;EE$5+GanttPeriod),"◆",IF(AND($E64&gt;=EE$5,$E64&lt;EE$5+GanttPeriod),"◇","")),IF(AND(EE$5&lt;=$F64,EE$5+GanttPeriod-1&gt;=$E64),"━","")))</f>
        <v/>
      </c>
      <c r="EF64" s="69" t="str">
        <f aca="false">IF($E64="","",IF($M64,IF(AND($G64&gt;=EF$5,$G64&lt;EF$5+GanttPeriod),"◆",IF(AND($E64&gt;=EF$5,$E64&lt;EF$5+GanttPeriod),"◇","")),IF(AND(EF$5&lt;=$F64,EF$5+GanttPeriod-1&gt;=$E64),"━","")))</f>
        <v/>
      </c>
      <c r="EG64" s="69" t="str">
        <f aca="false">IF($E64="","",IF($M64,IF(AND($G64&gt;=EG$5,$G64&lt;EG$5+GanttPeriod),"◆",IF(AND($E64&gt;=EG$5,$E64&lt;EG$5+GanttPeriod),"◇","")),IF(AND(EG$5&lt;=$F64,EG$5+GanttPeriod-1&gt;=$E64),"━","")))</f>
        <v/>
      </c>
      <c r="EH64" s="69" t="str">
        <f aca="false">IF($E64="","",IF($M64,IF(AND($G64&gt;=EH$5,$G64&lt;EH$5+GanttPeriod),"◆",IF(AND($E64&gt;=EH$5,$E64&lt;EH$5+GanttPeriod),"◇","")),IF(AND(EH$5&lt;=$F64,EH$5+GanttPeriod-1&gt;=$E64),"━","")))</f>
        <v/>
      </c>
      <c r="EI64" s="69" t="str">
        <f aca="false">IF($E64="","",IF($M64,IF(AND($G64&gt;=EI$5,$G64&lt;EI$5+GanttPeriod),"◆",IF(AND($E64&gt;=EI$5,$E64&lt;EI$5+GanttPeriod),"◇","")),IF(AND(EI$5&lt;=$F64,EI$5+GanttPeriod-1&gt;=$E64),"━","")))</f>
        <v/>
      </c>
      <c r="EJ64" s="69" t="str">
        <f aca="false">IF($E64="","",IF($M64,IF(AND($G64&gt;=EJ$5,$G64&lt;EJ$5+GanttPeriod),"◆",IF(AND($E64&gt;=EJ$5,$E64&lt;EJ$5+GanttPeriod),"◇","")),IF(AND(EJ$5&lt;=$F64,EJ$5+GanttPeriod-1&gt;=$E64),"━","")))</f>
        <v/>
      </c>
      <c r="EK64" s="69" t="str">
        <f aca="false">IF($E64="","",IF($M64,IF(AND($G64&gt;=EK$5,$G64&lt;EK$5+GanttPeriod),"◆",IF(AND($E64&gt;=EK$5,$E64&lt;EK$5+GanttPeriod),"◇","")),IF(AND(EK$5&lt;=$F64,EK$5+GanttPeriod-1&gt;=$E64),"━","")))</f>
        <v/>
      </c>
      <c r="EL64" s="69" t="str">
        <f aca="false">IF($E64="","",IF($M64,IF(AND($G64&gt;=EL$5,$G64&lt;EL$5+GanttPeriod),"◆",IF(AND($E64&gt;=EL$5,$E64&lt;EL$5+GanttPeriod),"◇","")),IF(AND(EL$5&lt;=$F64,EL$5+GanttPeriod-1&gt;=$E64),"━","")))</f>
        <v/>
      </c>
      <c r="EM64" s="69" t="str">
        <f aca="false">IF($E64="","",IF($M64,IF(AND($G64&gt;=EM$5,$G64&lt;EM$5+GanttPeriod),"◆",IF(AND($E64&gt;=EM$5,$E64&lt;EM$5+GanttPeriod),"◇","")),IF(AND(EM$5&lt;=$F64,EM$5+GanttPeriod-1&gt;=$E64),"━","")))</f>
        <v/>
      </c>
      <c r="EN64" s="69" t="str">
        <f aca="false">IF($E64="","",IF($M64,IF(AND($G64&gt;=EN$5,$G64&lt;EN$5+GanttPeriod),"◆",IF(AND($E64&gt;=EN$5,$E64&lt;EN$5+GanttPeriod),"◇","")),IF(AND(EN$5&lt;=$F64,EN$5+GanttPeriod-1&gt;=$E64),"━","")))</f>
        <v/>
      </c>
      <c r="EO64" s="69" t="str">
        <f aca="false">IF($E64="","",IF($M64,IF(AND($G64&gt;=EO$5,$G64&lt;EO$5+GanttPeriod),"◆",IF(AND($E64&gt;=EO$5,$E64&lt;EO$5+GanttPeriod),"◇","")),IF(AND(EO$5&lt;=$F64,EO$5+GanttPeriod-1&gt;=$E64),"━","")))</f>
        <v/>
      </c>
      <c r="EP64" s="69" t="str">
        <f aca="false">IF($E64="","",IF($M64,IF(AND($G64&gt;=EP$5,$G64&lt;EP$5+GanttPeriod),"◆",IF(AND($E64&gt;=EP$5,$E64&lt;EP$5+GanttPeriod),"◇","")),IF(AND(EP$5&lt;=$F64,EP$5+GanttPeriod-1&gt;=$E64),"━","")))</f>
        <v/>
      </c>
      <c r="EQ64" s="69" t="str">
        <f aca="false">IF($E64="","",IF($M64,IF(AND($G64&gt;=EQ$5,$G64&lt;EQ$5+GanttPeriod),"◆",IF(AND($E64&gt;=EQ$5,$E64&lt;EQ$5+GanttPeriod),"◇","")),IF(AND(EQ$5&lt;=$F64,EQ$5+GanttPeriod-1&gt;=$E64),"━","")))</f>
        <v/>
      </c>
      <c r="ER64" s="69" t="str">
        <f aca="false">IF($E64="","",IF($M64,IF(AND($G64&gt;=ER$5,$G64&lt;ER$5+GanttPeriod),"◆",IF(AND($E64&gt;=ER$5,$E64&lt;ER$5+GanttPeriod),"◇","")),IF(AND(ER$5&lt;=$F64,ER$5+GanttPeriod-1&gt;=$E64),"━","")))</f>
        <v/>
      </c>
      <c r="ES64" s="69" t="str">
        <f aca="false">IF($E64="","",IF($M64,IF(AND($G64&gt;=ES$5,$G64&lt;ES$5+GanttPeriod),"◆",IF(AND($E64&gt;=ES$5,$E64&lt;ES$5+GanttPeriod),"◇","")),IF(AND(ES$5&lt;=$F64,ES$5+GanttPeriod-1&gt;=$E64),"━","")))</f>
        <v/>
      </c>
      <c r="ET64" s="69" t="str">
        <f aca="false">IF($E64="","",IF($M64,IF(AND($G64&gt;=ET$5,$G64&lt;ET$5+GanttPeriod),"◆",IF(AND($E64&gt;=ET$5,$E64&lt;ET$5+GanttPeriod),"◇","")),IF(AND(ET$5&lt;=$F64,ET$5+GanttPeriod-1&gt;=$E64),"━","")))</f>
        <v/>
      </c>
      <c r="EU64" s="69" t="str">
        <f aca="false">IF($E64="","",IF($M64,IF(AND($G64&gt;=EU$5,$G64&lt;EU$5+GanttPeriod),"◆",IF(AND($E64&gt;=EU$5,$E64&lt;EU$5+GanttPeriod),"◇","")),IF(AND(EU$5&lt;=$F64,EU$5+GanttPeriod-1&gt;=$E64),"━","")))</f>
        <v/>
      </c>
      <c r="EV64" s="69" t="str">
        <f aca="false">IF($E64="","",IF($M64,IF(AND($G64&gt;=EV$5,$G64&lt;EV$5+GanttPeriod),"◆",IF(AND($E64&gt;=EV$5,$E64&lt;EV$5+GanttPeriod),"◇","")),IF(AND(EV$5&lt;=$F64,EV$5+GanttPeriod-1&gt;=$E64),"━","")))</f>
        <v/>
      </c>
      <c r="EW64" s="69" t="str">
        <f aca="false">IF($E64="","",IF($M64,IF(AND($G64&gt;=EW$5,$G64&lt;EW$5+GanttPeriod),"◆",IF(AND($E64&gt;=EW$5,$E64&lt;EW$5+GanttPeriod),"◇","")),IF(AND(EW$5&lt;=$F64,EW$5+GanttPeriod-1&gt;=$E64),"━","")))</f>
        <v/>
      </c>
      <c r="EX64" s="69" t="str">
        <f aca="false">IF($E64="","",IF($M64,IF(AND($G64&gt;=EX$5,$G64&lt;EX$5+GanttPeriod),"◆",IF(AND($E64&gt;=EX$5,$E64&lt;EX$5+GanttPeriod),"◇","")),IF(AND(EX$5&lt;=$F64,EX$5+GanttPeriod-1&gt;=$E64),"━","")))</f>
        <v/>
      </c>
      <c r="EY64" s="69" t="str">
        <f aca="false">IF($E64="","",IF($M64,IF(AND($G64&gt;=EY$5,$G64&lt;EY$5+GanttPeriod),"◆",IF(AND($E64&gt;=EY$5,$E64&lt;EY$5+GanttPeriod),"◇","")),IF(AND(EY$5&lt;=$F64,EY$5+GanttPeriod-1&gt;=$E64),"━","")))</f>
        <v/>
      </c>
      <c r="EZ64" s="69" t="str">
        <f aca="false">IF($E64="","",IF($M64,IF(AND($G64&gt;=EZ$5,$G64&lt;EZ$5+GanttPeriod),"◆",IF(AND($E64&gt;=EZ$5,$E64&lt;EZ$5+GanttPeriod),"◇","")),IF(AND(EZ$5&lt;=$F64,EZ$5+GanttPeriod-1&gt;=$E64),"━","")))</f>
        <v/>
      </c>
      <c r="FA64" s="69" t="str">
        <f aca="false">IF($E64="","",IF($M64,IF(AND($G64&gt;=FA$5,$G64&lt;FA$5+GanttPeriod),"◆",IF(AND($E64&gt;=FA$5,$E64&lt;FA$5+GanttPeriod),"◇","")),IF(AND(FA$5&lt;=$F64,FA$5+GanttPeriod-1&gt;=$E64),"━","")))</f>
        <v/>
      </c>
      <c r="FB64" s="69" t="str">
        <f aca="false">IF($E64="","",IF($M64,IF(AND($G64&gt;=FB$5,$G64&lt;FB$5+GanttPeriod),"◆",IF(AND($E64&gt;=FB$5,$E64&lt;FB$5+GanttPeriod),"◇","")),IF(AND(FB$5&lt;=$F64,FB$5+GanttPeriod-1&gt;=$E64),"━","")))</f>
        <v/>
      </c>
      <c r="FC64" s="69" t="str">
        <f aca="false">IF($E64="","",IF($M64,IF(AND($G64&gt;=FC$5,$G64&lt;FC$5+GanttPeriod),"◆",IF(AND($E64&gt;=FC$5,$E64&lt;FC$5+GanttPeriod),"◇","")),IF(AND(FC$5&lt;=$F64,FC$5+GanttPeriod-1&gt;=$E64),"━","")))</f>
        <v/>
      </c>
      <c r="FD64" s="69" t="str">
        <f aca="false">IF($E64="","",IF($M64,IF(AND($G64&gt;=FD$5,$G64&lt;FD$5+GanttPeriod),"◆",IF(AND($E64&gt;=FD$5,$E64&lt;FD$5+GanttPeriod),"◇","")),IF(AND(FD$5&lt;=$F64,FD$5+GanttPeriod-1&gt;=$E64),"━","")))</f>
        <v/>
      </c>
      <c r="FE64" s="69" t="str">
        <f aca="false">IF($E64="","",IF($M64,IF(AND($G64&gt;=FE$5,$G64&lt;FE$5+GanttPeriod),"◆",IF(AND($E64&gt;=FE$5,$E64&lt;FE$5+GanttPeriod),"◇","")),IF(AND(FE$5&lt;=$F64,FE$5+GanttPeriod-1&gt;=$E64),"━","")))</f>
        <v/>
      </c>
      <c r="FF64" s="69" t="str">
        <f aca="false">IF($E64="","",IF($M64,IF(AND($G64&gt;=FF$5,$G64&lt;FF$5+GanttPeriod),"◆",IF(AND($E64&gt;=FF$5,$E64&lt;FF$5+GanttPeriod),"◇","")),IF(AND(FF$5&lt;=$F64,FF$5+GanttPeriod-1&gt;=$E64),"━","")))</f>
        <v/>
      </c>
      <c r="FG64" s="69" t="str">
        <f aca="false">IF($E64="","",IF($M64,IF(AND($G64&gt;=FG$5,$G64&lt;FG$5+GanttPeriod),"◆",IF(AND($E64&gt;=FG$5,$E64&lt;FG$5+GanttPeriod),"◇","")),IF(AND(FG$5&lt;=$F64,FG$5+GanttPeriod-1&gt;=$E64),"━","")))</f>
        <v/>
      </c>
      <c r="FH64" s="69" t="str">
        <f aca="false">IF($E64="","",IF($M64,IF(AND($G64&gt;=FH$5,$G64&lt;FH$5+GanttPeriod),"◆",IF(AND($E64&gt;=FH$5,$E64&lt;FH$5+GanttPeriod),"◇","")),IF(AND(FH$5&lt;=$F64,FH$5+GanttPeriod-1&gt;=$E64),"━","")))</f>
        <v/>
      </c>
      <c r="FI64" s="69" t="str">
        <f aca="false">IF($E64="","",IF($M64,IF(AND($G64&gt;=FI$5,$G64&lt;FI$5+GanttPeriod),"◆",IF(AND($E64&gt;=FI$5,$E64&lt;FI$5+GanttPeriod),"◇","")),IF(AND(FI$5&lt;=$F64,FI$5+GanttPeriod-1&gt;=$E64),"━","")))</f>
        <v/>
      </c>
      <c r="FJ64" s="69" t="str">
        <f aca="false">IF($E64="","",IF($M64,IF(AND($G64&gt;=FJ$5,$G64&lt;FJ$5+GanttPeriod),"◆",IF(AND($E64&gt;=FJ$5,$E64&lt;FJ$5+GanttPeriod),"◇","")),IF(AND(FJ$5&lt;=$F64,FJ$5+GanttPeriod-1&gt;=$E64),"━","")))</f>
        <v/>
      </c>
      <c r="FK64" s="69" t="str">
        <f aca="false">IF($E64="","",IF($M64,IF(AND($G64&gt;=FK$5,$G64&lt;FK$5+GanttPeriod),"◆",IF(AND($E64&gt;=FK$5,$E64&lt;FK$5+GanttPeriod),"◇","")),IF(AND(FK$5&lt;=$F64,FK$5+GanttPeriod-1&gt;=$E64),"━","")))</f>
        <v/>
      </c>
      <c r="FL64" s="69" t="str">
        <f aca="false">IF($E64="","",IF($M64,IF(AND($G64&gt;=FL$5,$G64&lt;FL$5+GanttPeriod),"◆",IF(AND($E64&gt;=FL$5,$E64&lt;FL$5+GanttPeriod),"◇","")),IF(AND(FL$5&lt;=$F64,FL$5+GanttPeriod-1&gt;=$E64),"━","")))</f>
        <v/>
      </c>
      <c r="FM64" s="69" t="str">
        <f aca="false">IF($E64="","",IF($M64,IF(AND($G64&gt;=FM$5,$G64&lt;FM$5+GanttPeriod),"◆",IF(AND($E64&gt;=FM$5,$E64&lt;FM$5+GanttPeriod),"◇","")),IF(AND(FM$5&lt;=$F64,FM$5+GanttPeriod-1&gt;=$E64),"━","")))</f>
        <v/>
      </c>
    </row>
    <row r="65" customFormat="false" ht="15" hidden="false" customHeight="false" outlineLevel="0" collapsed="false">
      <c r="A65" s="62" t="str">
        <f aca="false">IF(Tasks!$D65="","",Tasks!$A65)</f>
        <v/>
      </c>
      <c r="B65" s="62" t="str">
        <f aca="false">IF(Tasks!$D65="","",Tasks!$B65)</f>
        <v/>
      </c>
      <c r="C65" s="63" t="str">
        <f aca="false">IF(Tasks!$D65="","",REPT("    ",Tasks!$AE65-1)&amp;Tasks!$D65)</f>
        <v/>
      </c>
      <c r="D65" s="62" t="str">
        <f aca="false">IF(Tasks!$D65="","",IF(Tasks!$AI65,NETWORKDAYS.INTL(Tasks!$R65,Tasks!$S65,WorkWeek,Holidays),N(Tasks!$F65)))</f>
        <v/>
      </c>
      <c r="E65" s="64" t="str">
        <f aca="false">IF(Tasks!$D65="","",Tasks!$N65)</f>
        <v/>
      </c>
      <c r="F65" s="64" t="str">
        <f aca="false">IF(Tasks!$D65="","",Tasks!$O65)</f>
        <v/>
      </c>
      <c r="G65" s="64" t="str">
        <f aca="false">IF(Tasks!$D65="","",Tasks!$R65)</f>
        <v/>
      </c>
      <c r="H65" s="64" t="str">
        <f aca="false">IF(Tasks!$D65="","",Tasks!$S65)</f>
        <v/>
      </c>
      <c r="I65" s="65" t="str">
        <f aca="false">IF(Tasks!$D65="","",Tasks!$V65)</f>
        <v/>
      </c>
      <c r="J65" s="63" t="str">
        <f aca="false">IF(Tasks!$D65="","",Tasks!$X65&amp;"")</f>
        <v/>
      </c>
      <c r="K65" s="66" t="str">
        <f aca="false">IF(Tasks!$D65="","",Tasks!$W65)</f>
        <v/>
      </c>
      <c r="L65" s="67" t="b">
        <f aca="false">IF(Tasks!$D65="",FALSE(),Tasks!$AI65)</f>
        <v>0</v>
      </c>
      <c r="M65" s="67" t="b">
        <f aca="false">AND(Tasks!$AJ65=1,N(Tasks!$F65)=0)</f>
        <v>0</v>
      </c>
      <c r="N65" s="68" t="n">
        <f aca="false">IF(AND(Tasks!$AJ65=1,NOT($M65),N($I65)&gt;0),$G65,0)</f>
        <v>0</v>
      </c>
      <c r="O65" s="68" t="n">
        <f aca="false">IF($N65=0,0,IF($I65&gt;=1,$H65,MAX($N65,$G65+ROUND(($H65-$G65+1)*$I65,0)-1)))</f>
        <v>0</v>
      </c>
      <c r="P65" s="68" t="n">
        <f aca="false">IF(OR(Tasks!$AJ65&lt;&gt;1,$M65,N($I65)&gt;=1),0,IF($O65&gt;0,$O65+1,$G65))</f>
        <v>0</v>
      </c>
      <c r="Q65" s="68" t="n">
        <f aca="false">IF($P65=0,0,$H65)</f>
        <v>0</v>
      </c>
      <c r="R65" s="67" t="b">
        <f aca="false">AND(Tasks!$D65&lt;&gt;"",N(Tasks!$T65)&gt;0)</f>
        <v>0</v>
      </c>
      <c r="T65" s="69" t="str">
        <f aca="false">IF($E65="","",IF($M65,IF(AND($G65&gt;=T$5,$G65&lt;T$5+GanttPeriod),"◆",IF(AND($E65&gt;=T$5,$E65&lt;T$5+GanttPeriod),"◇","")),IF(AND(T$5&lt;=$F65,T$5+GanttPeriod-1&gt;=$E65),"━","")))</f>
        <v/>
      </c>
      <c r="U65" s="69" t="str">
        <f aca="false">IF($E65="","",IF($M65,IF(AND($G65&gt;=U$5,$G65&lt;U$5+GanttPeriod),"◆",IF(AND($E65&gt;=U$5,$E65&lt;U$5+GanttPeriod),"◇","")),IF(AND(U$5&lt;=$F65,U$5+GanttPeriod-1&gt;=$E65),"━","")))</f>
        <v/>
      </c>
      <c r="V65" s="69" t="str">
        <f aca="false">IF($E65="","",IF($M65,IF(AND($G65&gt;=V$5,$G65&lt;V$5+GanttPeriod),"◆",IF(AND($E65&gt;=V$5,$E65&lt;V$5+GanttPeriod),"◇","")),IF(AND(V$5&lt;=$F65,V$5+GanttPeriod-1&gt;=$E65),"━","")))</f>
        <v/>
      </c>
      <c r="W65" s="69" t="str">
        <f aca="false">IF($E65="","",IF($M65,IF(AND($G65&gt;=W$5,$G65&lt;W$5+GanttPeriod),"◆",IF(AND($E65&gt;=W$5,$E65&lt;W$5+GanttPeriod),"◇","")),IF(AND(W$5&lt;=$F65,W$5+GanttPeriod-1&gt;=$E65),"━","")))</f>
        <v/>
      </c>
      <c r="X65" s="69" t="str">
        <f aca="false">IF($E65="","",IF($M65,IF(AND($G65&gt;=X$5,$G65&lt;X$5+GanttPeriod),"◆",IF(AND($E65&gt;=X$5,$E65&lt;X$5+GanttPeriod),"◇","")),IF(AND(X$5&lt;=$F65,X$5+GanttPeriod-1&gt;=$E65),"━","")))</f>
        <v/>
      </c>
      <c r="Y65" s="69" t="str">
        <f aca="false">IF($E65="","",IF($M65,IF(AND($G65&gt;=Y$5,$G65&lt;Y$5+GanttPeriod),"◆",IF(AND($E65&gt;=Y$5,$E65&lt;Y$5+GanttPeriod),"◇","")),IF(AND(Y$5&lt;=$F65,Y$5+GanttPeriod-1&gt;=$E65),"━","")))</f>
        <v/>
      </c>
      <c r="Z65" s="69" t="str">
        <f aca="false">IF($E65="","",IF($M65,IF(AND($G65&gt;=Z$5,$G65&lt;Z$5+GanttPeriod),"◆",IF(AND($E65&gt;=Z$5,$E65&lt;Z$5+GanttPeriod),"◇","")),IF(AND(Z$5&lt;=$F65,Z$5+GanttPeriod-1&gt;=$E65),"━","")))</f>
        <v/>
      </c>
      <c r="AA65" s="69" t="str">
        <f aca="false">IF($E65="","",IF($M65,IF(AND($G65&gt;=AA$5,$G65&lt;AA$5+GanttPeriod),"◆",IF(AND($E65&gt;=AA$5,$E65&lt;AA$5+GanttPeriod),"◇","")),IF(AND(AA$5&lt;=$F65,AA$5+GanttPeriod-1&gt;=$E65),"━","")))</f>
        <v/>
      </c>
      <c r="AB65" s="69" t="str">
        <f aca="false">IF($E65="","",IF($M65,IF(AND($G65&gt;=AB$5,$G65&lt;AB$5+GanttPeriod),"◆",IF(AND($E65&gt;=AB$5,$E65&lt;AB$5+GanttPeriod),"◇","")),IF(AND(AB$5&lt;=$F65,AB$5+GanttPeriod-1&gt;=$E65),"━","")))</f>
        <v/>
      </c>
      <c r="AC65" s="69" t="str">
        <f aca="false">IF($E65="","",IF($M65,IF(AND($G65&gt;=AC$5,$G65&lt;AC$5+GanttPeriod),"◆",IF(AND($E65&gt;=AC$5,$E65&lt;AC$5+GanttPeriod),"◇","")),IF(AND(AC$5&lt;=$F65,AC$5+GanttPeriod-1&gt;=$E65),"━","")))</f>
        <v/>
      </c>
      <c r="AD65" s="69" t="str">
        <f aca="false">IF($E65="","",IF($M65,IF(AND($G65&gt;=AD$5,$G65&lt;AD$5+GanttPeriod),"◆",IF(AND($E65&gt;=AD$5,$E65&lt;AD$5+GanttPeriod),"◇","")),IF(AND(AD$5&lt;=$F65,AD$5+GanttPeriod-1&gt;=$E65),"━","")))</f>
        <v/>
      </c>
      <c r="AE65" s="69" t="str">
        <f aca="false">IF($E65="","",IF($M65,IF(AND($G65&gt;=AE$5,$G65&lt;AE$5+GanttPeriod),"◆",IF(AND($E65&gt;=AE$5,$E65&lt;AE$5+GanttPeriod),"◇","")),IF(AND(AE$5&lt;=$F65,AE$5+GanttPeriod-1&gt;=$E65),"━","")))</f>
        <v/>
      </c>
      <c r="AF65" s="69" t="str">
        <f aca="false">IF($E65="","",IF($M65,IF(AND($G65&gt;=AF$5,$G65&lt;AF$5+GanttPeriod),"◆",IF(AND($E65&gt;=AF$5,$E65&lt;AF$5+GanttPeriod),"◇","")),IF(AND(AF$5&lt;=$F65,AF$5+GanttPeriod-1&gt;=$E65),"━","")))</f>
        <v/>
      </c>
      <c r="AG65" s="69" t="str">
        <f aca="false">IF($E65="","",IF($M65,IF(AND($G65&gt;=AG$5,$G65&lt;AG$5+GanttPeriod),"◆",IF(AND($E65&gt;=AG$5,$E65&lt;AG$5+GanttPeriod),"◇","")),IF(AND(AG$5&lt;=$F65,AG$5+GanttPeriod-1&gt;=$E65),"━","")))</f>
        <v/>
      </c>
      <c r="AH65" s="69" t="str">
        <f aca="false">IF($E65="","",IF($M65,IF(AND($G65&gt;=AH$5,$G65&lt;AH$5+GanttPeriod),"◆",IF(AND($E65&gt;=AH$5,$E65&lt;AH$5+GanttPeriod),"◇","")),IF(AND(AH$5&lt;=$F65,AH$5+GanttPeriod-1&gt;=$E65),"━","")))</f>
        <v/>
      </c>
      <c r="AI65" s="69" t="str">
        <f aca="false">IF($E65="","",IF($M65,IF(AND($G65&gt;=AI$5,$G65&lt;AI$5+GanttPeriod),"◆",IF(AND($E65&gt;=AI$5,$E65&lt;AI$5+GanttPeriod),"◇","")),IF(AND(AI$5&lt;=$F65,AI$5+GanttPeriod-1&gt;=$E65),"━","")))</f>
        <v/>
      </c>
      <c r="AJ65" s="69" t="str">
        <f aca="false">IF($E65="","",IF($M65,IF(AND($G65&gt;=AJ$5,$G65&lt;AJ$5+GanttPeriod),"◆",IF(AND($E65&gt;=AJ$5,$E65&lt;AJ$5+GanttPeriod),"◇","")),IF(AND(AJ$5&lt;=$F65,AJ$5+GanttPeriod-1&gt;=$E65),"━","")))</f>
        <v/>
      </c>
      <c r="AK65" s="69" t="str">
        <f aca="false">IF($E65="","",IF($M65,IF(AND($G65&gt;=AK$5,$G65&lt;AK$5+GanttPeriod),"◆",IF(AND($E65&gt;=AK$5,$E65&lt;AK$5+GanttPeriod),"◇","")),IF(AND(AK$5&lt;=$F65,AK$5+GanttPeriod-1&gt;=$E65),"━","")))</f>
        <v/>
      </c>
      <c r="AL65" s="69" t="str">
        <f aca="false">IF($E65="","",IF($M65,IF(AND($G65&gt;=AL$5,$G65&lt;AL$5+GanttPeriod),"◆",IF(AND($E65&gt;=AL$5,$E65&lt;AL$5+GanttPeriod),"◇","")),IF(AND(AL$5&lt;=$F65,AL$5+GanttPeriod-1&gt;=$E65),"━","")))</f>
        <v/>
      </c>
      <c r="AM65" s="69" t="str">
        <f aca="false">IF($E65="","",IF($M65,IF(AND($G65&gt;=AM$5,$G65&lt;AM$5+GanttPeriod),"◆",IF(AND($E65&gt;=AM$5,$E65&lt;AM$5+GanttPeriod),"◇","")),IF(AND(AM$5&lt;=$F65,AM$5+GanttPeriod-1&gt;=$E65),"━","")))</f>
        <v/>
      </c>
      <c r="AN65" s="69" t="str">
        <f aca="false">IF($E65="","",IF($M65,IF(AND($G65&gt;=AN$5,$G65&lt;AN$5+GanttPeriod),"◆",IF(AND($E65&gt;=AN$5,$E65&lt;AN$5+GanttPeriod),"◇","")),IF(AND(AN$5&lt;=$F65,AN$5+GanttPeriod-1&gt;=$E65),"━","")))</f>
        <v/>
      </c>
      <c r="AO65" s="69" t="str">
        <f aca="false">IF($E65="","",IF($M65,IF(AND($G65&gt;=AO$5,$G65&lt;AO$5+GanttPeriod),"◆",IF(AND($E65&gt;=AO$5,$E65&lt;AO$5+GanttPeriod),"◇","")),IF(AND(AO$5&lt;=$F65,AO$5+GanttPeriod-1&gt;=$E65),"━","")))</f>
        <v/>
      </c>
      <c r="AP65" s="69" t="str">
        <f aca="false">IF($E65="","",IF($M65,IF(AND($G65&gt;=AP$5,$G65&lt;AP$5+GanttPeriod),"◆",IF(AND($E65&gt;=AP$5,$E65&lt;AP$5+GanttPeriod),"◇","")),IF(AND(AP$5&lt;=$F65,AP$5+GanttPeriod-1&gt;=$E65),"━","")))</f>
        <v/>
      </c>
      <c r="AQ65" s="69" t="str">
        <f aca="false">IF($E65="","",IF($M65,IF(AND($G65&gt;=AQ$5,$G65&lt;AQ$5+GanttPeriod),"◆",IF(AND($E65&gt;=AQ$5,$E65&lt;AQ$5+GanttPeriod),"◇","")),IF(AND(AQ$5&lt;=$F65,AQ$5+GanttPeriod-1&gt;=$E65),"━","")))</f>
        <v/>
      </c>
      <c r="AR65" s="69" t="str">
        <f aca="false">IF($E65="","",IF($M65,IF(AND($G65&gt;=AR$5,$G65&lt;AR$5+GanttPeriod),"◆",IF(AND($E65&gt;=AR$5,$E65&lt;AR$5+GanttPeriod),"◇","")),IF(AND(AR$5&lt;=$F65,AR$5+GanttPeriod-1&gt;=$E65),"━","")))</f>
        <v/>
      </c>
      <c r="AS65" s="69" t="str">
        <f aca="false">IF($E65="","",IF($M65,IF(AND($G65&gt;=AS$5,$G65&lt;AS$5+GanttPeriod),"◆",IF(AND($E65&gt;=AS$5,$E65&lt;AS$5+GanttPeriod),"◇","")),IF(AND(AS$5&lt;=$F65,AS$5+GanttPeriod-1&gt;=$E65),"━","")))</f>
        <v/>
      </c>
      <c r="AT65" s="69" t="str">
        <f aca="false">IF($E65="","",IF($M65,IF(AND($G65&gt;=AT$5,$G65&lt;AT$5+GanttPeriod),"◆",IF(AND($E65&gt;=AT$5,$E65&lt;AT$5+GanttPeriod),"◇","")),IF(AND(AT$5&lt;=$F65,AT$5+GanttPeriod-1&gt;=$E65),"━","")))</f>
        <v/>
      </c>
      <c r="AU65" s="69" t="str">
        <f aca="false">IF($E65="","",IF($M65,IF(AND($G65&gt;=AU$5,$G65&lt;AU$5+GanttPeriod),"◆",IF(AND($E65&gt;=AU$5,$E65&lt;AU$5+GanttPeriod),"◇","")),IF(AND(AU$5&lt;=$F65,AU$5+GanttPeriod-1&gt;=$E65),"━","")))</f>
        <v/>
      </c>
      <c r="AV65" s="69" t="str">
        <f aca="false">IF($E65="","",IF($M65,IF(AND($G65&gt;=AV$5,$G65&lt;AV$5+GanttPeriod),"◆",IF(AND($E65&gt;=AV$5,$E65&lt;AV$5+GanttPeriod),"◇","")),IF(AND(AV$5&lt;=$F65,AV$5+GanttPeriod-1&gt;=$E65),"━","")))</f>
        <v/>
      </c>
      <c r="AW65" s="69" t="str">
        <f aca="false">IF($E65="","",IF($M65,IF(AND($G65&gt;=AW$5,$G65&lt;AW$5+GanttPeriod),"◆",IF(AND($E65&gt;=AW$5,$E65&lt;AW$5+GanttPeriod),"◇","")),IF(AND(AW$5&lt;=$F65,AW$5+GanttPeriod-1&gt;=$E65),"━","")))</f>
        <v/>
      </c>
      <c r="AX65" s="69" t="str">
        <f aca="false">IF($E65="","",IF($M65,IF(AND($G65&gt;=AX$5,$G65&lt;AX$5+GanttPeriod),"◆",IF(AND($E65&gt;=AX$5,$E65&lt;AX$5+GanttPeriod),"◇","")),IF(AND(AX$5&lt;=$F65,AX$5+GanttPeriod-1&gt;=$E65),"━","")))</f>
        <v/>
      </c>
      <c r="AY65" s="69" t="str">
        <f aca="false">IF($E65="","",IF($M65,IF(AND($G65&gt;=AY$5,$G65&lt;AY$5+GanttPeriod),"◆",IF(AND($E65&gt;=AY$5,$E65&lt;AY$5+GanttPeriod),"◇","")),IF(AND(AY$5&lt;=$F65,AY$5+GanttPeriod-1&gt;=$E65),"━","")))</f>
        <v/>
      </c>
      <c r="AZ65" s="69" t="str">
        <f aca="false">IF($E65="","",IF($M65,IF(AND($G65&gt;=AZ$5,$G65&lt;AZ$5+GanttPeriod),"◆",IF(AND($E65&gt;=AZ$5,$E65&lt;AZ$5+GanttPeriod),"◇","")),IF(AND(AZ$5&lt;=$F65,AZ$5+GanttPeriod-1&gt;=$E65),"━","")))</f>
        <v/>
      </c>
      <c r="BA65" s="69" t="str">
        <f aca="false">IF($E65="","",IF($M65,IF(AND($G65&gt;=BA$5,$G65&lt;BA$5+GanttPeriod),"◆",IF(AND($E65&gt;=BA$5,$E65&lt;BA$5+GanttPeriod),"◇","")),IF(AND(BA$5&lt;=$F65,BA$5+GanttPeriod-1&gt;=$E65),"━","")))</f>
        <v/>
      </c>
      <c r="BB65" s="69" t="str">
        <f aca="false">IF($E65="","",IF($M65,IF(AND($G65&gt;=BB$5,$G65&lt;BB$5+GanttPeriod),"◆",IF(AND($E65&gt;=BB$5,$E65&lt;BB$5+GanttPeriod),"◇","")),IF(AND(BB$5&lt;=$F65,BB$5+GanttPeriod-1&gt;=$E65),"━","")))</f>
        <v/>
      </c>
      <c r="BC65" s="69" t="str">
        <f aca="false">IF($E65="","",IF($M65,IF(AND($G65&gt;=BC$5,$G65&lt;BC$5+GanttPeriod),"◆",IF(AND($E65&gt;=BC$5,$E65&lt;BC$5+GanttPeriod),"◇","")),IF(AND(BC$5&lt;=$F65,BC$5+GanttPeriod-1&gt;=$E65),"━","")))</f>
        <v/>
      </c>
      <c r="BD65" s="69" t="str">
        <f aca="false">IF($E65="","",IF($M65,IF(AND($G65&gt;=BD$5,$G65&lt;BD$5+GanttPeriod),"◆",IF(AND($E65&gt;=BD$5,$E65&lt;BD$5+GanttPeriod),"◇","")),IF(AND(BD$5&lt;=$F65,BD$5+GanttPeriod-1&gt;=$E65),"━","")))</f>
        <v/>
      </c>
      <c r="BE65" s="69" t="str">
        <f aca="false">IF($E65="","",IF($M65,IF(AND($G65&gt;=BE$5,$G65&lt;BE$5+GanttPeriod),"◆",IF(AND($E65&gt;=BE$5,$E65&lt;BE$5+GanttPeriod),"◇","")),IF(AND(BE$5&lt;=$F65,BE$5+GanttPeriod-1&gt;=$E65),"━","")))</f>
        <v/>
      </c>
      <c r="BF65" s="69" t="str">
        <f aca="false">IF($E65="","",IF($M65,IF(AND($G65&gt;=BF$5,$G65&lt;BF$5+GanttPeriod),"◆",IF(AND($E65&gt;=BF$5,$E65&lt;BF$5+GanttPeriod),"◇","")),IF(AND(BF$5&lt;=$F65,BF$5+GanttPeriod-1&gt;=$E65),"━","")))</f>
        <v/>
      </c>
      <c r="BG65" s="69" t="str">
        <f aca="false">IF($E65="","",IF($M65,IF(AND($G65&gt;=BG$5,$G65&lt;BG$5+GanttPeriod),"◆",IF(AND($E65&gt;=BG$5,$E65&lt;BG$5+GanttPeriod),"◇","")),IF(AND(BG$5&lt;=$F65,BG$5+GanttPeriod-1&gt;=$E65),"━","")))</f>
        <v/>
      </c>
      <c r="BH65" s="69" t="str">
        <f aca="false">IF($E65="","",IF($M65,IF(AND($G65&gt;=BH$5,$G65&lt;BH$5+GanttPeriod),"◆",IF(AND($E65&gt;=BH$5,$E65&lt;BH$5+GanttPeriod),"◇","")),IF(AND(BH$5&lt;=$F65,BH$5+GanttPeriod-1&gt;=$E65),"━","")))</f>
        <v/>
      </c>
      <c r="BI65" s="69" t="str">
        <f aca="false">IF($E65="","",IF($M65,IF(AND($G65&gt;=BI$5,$G65&lt;BI$5+GanttPeriod),"◆",IF(AND($E65&gt;=BI$5,$E65&lt;BI$5+GanttPeriod),"◇","")),IF(AND(BI$5&lt;=$F65,BI$5+GanttPeriod-1&gt;=$E65),"━","")))</f>
        <v/>
      </c>
      <c r="BJ65" s="69" t="str">
        <f aca="false">IF($E65="","",IF($M65,IF(AND($G65&gt;=BJ$5,$G65&lt;BJ$5+GanttPeriod),"◆",IF(AND($E65&gt;=BJ$5,$E65&lt;BJ$5+GanttPeriod),"◇","")),IF(AND(BJ$5&lt;=$F65,BJ$5+GanttPeriod-1&gt;=$E65),"━","")))</f>
        <v/>
      </c>
      <c r="BK65" s="69" t="str">
        <f aca="false">IF($E65="","",IF($M65,IF(AND($G65&gt;=BK$5,$G65&lt;BK$5+GanttPeriod),"◆",IF(AND($E65&gt;=BK$5,$E65&lt;BK$5+GanttPeriod),"◇","")),IF(AND(BK$5&lt;=$F65,BK$5+GanttPeriod-1&gt;=$E65),"━","")))</f>
        <v/>
      </c>
      <c r="BL65" s="69" t="str">
        <f aca="false">IF($E65="","",IF($M65,IF(AND($G65&gt;=BL$5,$G65&lt;BL$5+GanttPeriod),"◆",IF(AND($E65&gt;=BL$5,$E65&lt;BL$5+GanttPeriod),"◇","")),IF(AND(BL$5&lt;=$F65,BL$5+GanttPeriod-1&gt;=$E65),"━","")))</f>
        <v/>
      </c>
      <c r="BM65" s="69" t="str">
        <f aca="false">IF($E65="","",IF($M65,IF(AND($G65&gt;=BM$5,$G65&lt;BM$5+GanttPeriod),"◆",IF(AND($E65&gt;=BM$5,$E65&lt;BM$5+GanttPeriod),"◇","")),IF(AND(BM$5&lt;=$F65,BM$5+GanttPeriod-1&gt;=$E65),"━","")))</f>
        <v/>
      </c>
      <c r="BN65" s="69" t="str">
        <f aca="false">IF($E65="","",IF($M65,IF(AND($G65&gt;=BN$5,$G65&lt;BN$5+GanttPeriod),"◆",IF(AND($E65&gt;=BN$5,$E65&lt;BN$5+GanttPeriod),"◇","")),IF(AND(BN$5&lt;=$F65,BN$5+GanttPeriod-1&gt;=$E65),"━","")))</f>
        <v/>
      </c>
      <c r="BO65" s="69" t="str">
        <f aca="false">IF($E65="","",IF($M65,IF(AND($G65&gt;=BO$5,$G65&lt;BO$5+GanttPeriod),"◆",IF(AND($E65&gt;=BO$5,$E65&lt;BO$5+GanttPeriod),"◇","")),IF(AND(BO$5&lt;=$F65,BO$5+GanttPeriod-1&gt;=$E65),"━","")))</f>
        <v/>
      </c>
      <c r="BP65" s="69" t="str">
        <f aca="false">IF($E65="","",IF($M65,IF(AND($G65&gt;=BP$5,$G65&lt;BP$5+GanttPeriod),"◆",IF(AND($E65&gt;=BP$5,$E65&lt;BP$5+GanttPeriod),"◇","")),IF(AND(BP$5&lt;=$F65,BP$5+GanttPeriod-1&gt;=$E65),"━","")))</f>
        <v/>
      </c>
      <c r="BQ65" s="69" t="str">
        <f aca="false">IF($E65="","",IF($M65,IF(AND($G65&gt;=BQ$5,$G65&lt;BQ$5+GanttPeriod),"◆",IF(AND($E65&gt;=BQ$5,$E65&lt;BQ$5+GanttPeriod),"◇","")),IF(AND(BQ$5&lt;=$F65,BQ$5+GanttPeriod-1&gt;=$E65),"━","")))</f>
        <v/>
      </c>
      <c r="BR65" s="69" t="str">
        <f aca="false">IF($E65="","",IF($M65,IF(AND($G65&gt;=BR$5,$G65&lt;BR$5+GanttPeriod),"◆",IF(AND($E65&gt;=BR$5,$E65&lt;BR$5+GanttPeriod),"◇","")),IF(AND(BR$5&lt;=$F65,BR$5+GanttPeriod-1&gt;=$E65),"━","")))</f>
        <v/>
      </c>
      <c r="BS65" s="69" t="str">
        <f aca="false">IF($E65="","",IF($M65,IF(AND($G65&gt;=BS$5,$G65&lt;BS$5+GanttPeriod),"◆",IF(AND($E65&gt;=BS$5,$E65&lt;BS$5+GanttPeriod),"◇","")),IF(AND(BS$5&lt;=$F65,BS$5+GanttPeriod-1&gt;=$E65),"━","")))</f>
        <v/>
      </c>
      <c r="BT65" s="69" t="str">
        <f aca="false">IF($E65="","",IF($M65,IF(AND($G65&gt;=BT$5,$G65&lt;BT$5+GanttPeriod),"◆",IF(AND($E65&gt;=BT$5,$E65&lt;BT$5+GanttPeriod),"◇","")),IF(AND(BT$5&lt;=$F65,BT$5+GanttPeriod-1&gt;=$E65),"━","")))</f>
        <v/>
      </c>
      <c r="BU65" s="69" t="str">
        <f aca="false">IF($E65="","",IF($M65,IF(AND($G65&gt;=BU$5,$G65&lt;BU$5+GanttPeriod),"◆",IF(AND($E65&gt;=BU$5,$E65&lt;BU$5+GanttPeriod),"◇","")),IF(AND(BU$5&lt;=$F65,BU$5+GanttPeriod-1&gt;=$E65),"━","")))</f>
        <v/>
      </c>
      <c r="BV65" s="69" t="str">
        <f aca="false">IF($E65="","",IF($M65,IF(AND($G65&gt;=BV$5,$G65&lt;BV$5+GanttPeriod),"◆",IF(AND($E65&gt;=BV$5,$E65&lt;BV$5+GanttPeriod),"◇","")),IF(AND(BV$5&lt;=$F65,BV$5+GanttPeriod-1&gt;=$E65),"━","")))</f>
        <v/>
      </c>
      <c r="BW65" s="69" t="str">
        <f aca="false">IF($E65="","",IF($M65,IF(AND($G65&gt;=BW$5,$G65&lt;BW$5+GanttPeriod),"◆",IF(AND($E65&gt;=BW$5,$E65&lt;BW$5+GanttPeriod),"◇","")),IF(AND(BW$5&lt;=$F65,BW$5+GanttPeriod-1&gt;=$E65),"━","")))</f>
        <v/>
      </c>
      <c r="BX65" s="69" t="str">
        <f aca="false">IF($E65="","",IF($M65,IF(AND($G65&gt;=BX$5,$G65&lt;BX$5+GanttPeriod),"◆",IF(AND($E65&gt;=BX$5,$E65&lt;BX$5+GanttPeriod),"◇","")),IF(AND(BX$5&lt;=$F65,BX$5+GanttPeriod-1&gt;=$E65),"━","")))</f>
        <v/>
      </c>
      <c r="BY65" s="69" t="str">
        <f aca="false">IF($E65="","",IF($M65,IF(AND($G65&gt;=BY$5,$G65&lt;BY$5+GanttPeriod),"◆",IF(AND($E65&gt;=BY$5,$E65&lt;BY$5+GanttPeriod),"◇","")),IF(AND(BY$5&lt;=$F65,BY$5+GanttPeriod-1&gt;=$E65),"━","")))</f>
        <v/>
      </c>
      <c r="BZ65" s="69" t="str">
        <f aca="false">IF($E65="","",IF($M65,IF(AND($G65&gt;=BZ$5,$G65&lt;BZ$5+GanttPeriod),"◆",IF(AND($E65&gt;=BZ$5,$E65&lt;BZ$5+GanttPeriod),"◇","")),IF(AND(BZ$5&lt;=$F65,BZ$5+GanttPeriod-1&gt;=$E65),"━","")))</f>
        <v/>
      </c>
      <c r="CA65" s="69" t="str">
        <f aca="false">IF($E65="","",IF($M65,IF(AND($G65&gt;=CA$5,$G65&lt;CA$5+GanttPeriod),"◆",IF(AND($E65&gt;=CA$5,$E65&lt;CA$5+GanttPeriod),"◇","")),IF(AND(CA$5&lt;=$F65,CA$5+GanttPeriod-1&gt;=$E65),"━","")))</f>
        <v/>
      </c>
      <c r="CB65" s="69" t="str">
        <f aca="false">IF($E65="","",IF($M65,IF(AND($G65&gt;=CB$5,$G65&lt;CB$5+GanttPeriod),"◆",IF(AND($E65&gt;=CB$5,$E65&lt;CB$5+GanttPeriod),"◇","")),IF(AND(CB$5&lt;=$F65,CB$5+GanttPeriod-1&gt;=$E65),"━","")))</f>
        <v/>
      </c>
      <c r="CC65" s="69" t="str">
        <f aca="false">IF($E65="","",IF($M65,IF(AND($G65&gt;=CC$5,$G65&lt;CC$5+GanttPeriod),"◆",IF(AND($E65&gt;=CC$5,$E65&lt;CC$5+GanttPeriod),"◇","")),IF(AND(CC$5&lt;=$F65,CC$5+GanttPeriod-1&gt;=$E65),"━","")))</f>
        <v/>
      </c>
      <c r="CD65" s="69" t="str">
        <f aca="false">IF($E65="","",IF($M65,IF(AND($G65&gt;=CD$5,$G65&lt;CD$5+GanttPeriod),"◆",IF(AND($E65&gt;=CD$5,$E65&lt;CD$5+GanttPeriod),"◇","")),IF(AND(CD$5&lt;=$F65,CD$5+GanttPeriod-1&gt;=$E65),"━","")))</f>
        <v/>
      </c>
      <c r="CE65" s="69" t="str">
        <f aca="false">IF($E65="","",IF($M65,IF(AND($G65&gt;=CE$5,$G65&lt;CE$5+GanttPeriod),"◆",IF(AND($E65&gt;=CE$5,$E65&lt;CE$5+GanttPeriod),"◇","")),IF(AND(CE$5&lt;=$F65,CE$5+GanttPeriod-1&gt;=$E65),"━","")))</f>
        <v/>
      </c>
      <c r="CF65" s="69" t="str">
        <f aca="false">IF($E65="","",IF($M65,IF(AND($G65&gt;=CF$5,$G65&lt;CF$5+GanttPeriod),"◆",IF(AND($E65&gt;=CF$5,$E65&lt;CF$5+GanttPeriod),"◇","")),IF(AND(CF$5&lt;=$F65,CF$5+GanttPeriod-1&gt;=$E65),"━","")))</f>
        <v/>
      </c>
      <c r="CG65" s="69" t="str">
        <f aca="false">IF($E65="","",IF($M65,IF(AND($G65&gt;=CG$5,$G65&lt;CG$5+GanttPeriod),"◆",IF(AND($E65&gt;=CG$5,$E65&lt;CG$5+GanttPeriod),"◇","")),IF(AND(CG$5&lt;=$F65,CG$5+GanttPeriod-1&gt;=$E65),"━","")))</f>
        <v/>
      </c>
      <c r="CH65" s="69" t="str">
        <f aca="false">IF($E65="","",IF($M65,IF(AND($G65&gt;=CH$5,$G65&lt;CH$5+GanttPeriod),"◆",IF(AND($E65&gt;=CH$5,$E65&lt;CH$5+GanttPeriod),"◇","")),IF(AND(CH$5&lt;=$F65,CH$5+GanttPeriod-1&gt;=$E65),"━","")))</f>
        <v/>
      </c>
      <c r="CI65" s="69" t="str">
        <f aca="false">IF($E65="","",IF($M65,IF(AND($G65&gt;=CI$5,$G65&lt;CI$5+GanttPeriod),"◆",IF(AND($E65&gt;=CI$5,$E65&lt;CI$5+GanttPeriod),"◇","")),IF(AND(CI$5&lt;=$F65,CI$5+GanttPeriod-1&gt;=$E65),"━","")))</f>
        <v/>
      </c>
      <c r="CJ65" s="69" t="str">
        <f aca="false">IF($E65="","",IF($M65,IF(AND($G65&gt;=CJ$5,$G65&lt;CJ$5+GanttPeriod),"◆",IF(AND($E65&gt;=CJ$5,$E65&lt;CJ$5+GanttPeriod),"◇","")),IF(AND(CJ$5&lt;=$F65,CJ$5+GanttPeriod-1&gt;=$E65),"━","")))</f>
        <v/>
      </c>
      <c r="CK65" s="69" t="str">
        <f aca="false">IF($E65="","",IF($M65,IF(AND($G65&gt;=CK$5,$G65&lt;CK$5+GanttPeriod),"◆",IF(AND($E65&gt;=CK$5,$E65&lt;CK$5+GanttPeriod),"◇","")),IF(AND(CK$5&lt;=$F65,CK$5+GanttPeriod-1&gt;=$E65),"━","")))</f>
        <v/>
      </c>
      <c r="CL65" s="69" t="str">
        <f aca="false">IF($E65="","",IF($M65,IF(AND($G65&gt;=CL$5,$G65&lt;CL$5+GanttPeriod),"◆",IF(AND($E65&gt;=CL$5,$E65&lt;CL$5+GanttPeriod),"◇","")),IF(AND(CL$5&lt;=$F65,CL$5+GanttPeriod-1&gt;=$E65),"━","")))</f>
        <v/>
      </c>
      <c r="CM65" s="69" t="str">
        <f aca="false">IF($E65="","",IF($M65,IF(AND($G65&gt;=CM$5,$G65&lt;CM$5+GanttPeriod),"◆",IF(AND($E65&gt;=CM$5,$E65&lt;CM$5+GanttPeriod),"◇","")),IF(AND(CM$5&lt;=$F65,CM$5+GanttPeriod-1&gt;=$E65),"━","")))</f>
        <v/>
      </c>
      <c r="CN65" s="69" t="str">
        <f aca="false">IF($E65="","",IF($M65,IF(AND($G65&gt;=CN$5,$G65&lt;CN$5+GanttPeriod),"◆",IF(AND($E65&gt;=CN$5,$E65&lt;CN$5+GanttPeriod),"◇","")),IF(AND(CN$5&lt;=$F65,CN$5+GanttPeriod-1&gt;=$E65),"━","")))</f>
        <v/>
      </c>
      <c r="CO65" s="69" t="str">
        <f aca="false">IF($E65="","",IF($M65,IF(AND($G65&gt;=CO$5,$G65&lt;CO$5+GanttPeriod),"◆",IF(AND($E65&gt;=CO$5,$E65&lt;CO$5+GanttPeriod),"◇","")),IF(AND(CO$5&lt;=$F65,CO$5+GanttPeriod-1&gt;=$E65),"━","")))</f>
        <v/>
      </c>
      <c r="CP65" s="69" t="str">
        <f aca="false">IF($E65="","",IF($M65,IF(AND($G65&gt;=CP$5,$G65&lt;CP$5+GanttPeriod),"◆",IF(AND($E65&gt;=CP$5,$E65&lt;CP$5+GanttPeriod),"◇","")),IF(AND(CP$5&lt;=$F65,CP$5+GanttPeriod-1&gt;=$E65),"━","")))</f>
        <v/>
      </c>
      <c r="CQ65" s="69" t="str">
        <f aca="false">IF($E65="","",IF($M65,IF(AND($G65&gt;=CQ$5,$G65&lt;CQ$5+GanttPeriod),"◆",IF(AND($E65&gt;=CQ$5,$E65&lt;CQ$5+GanttPeriod),"◇","")),IF(AND(CQ$5&lt;=$F65,CQ$5+GanttPeriod-1&gt;=$E65),"━","")))</f>
        <v/>
      </c>
      <c r="CR65" s="69" t="str">
        <f aca="false">IF($E65="","",IF($M65,IF(AND($G65&gt;=CR$5,$G65&lt;CR$5+GanttPeriod),"◆",IF(AND($E65&gt;=CR$5,$E65&lt;CR$5+GanttPeriod),"◇","")),IF(AND(CR$5&lt;=$F65,CR$5+GanttPeriod-1&gt;=$E65),"━","")))</f>
        <v/>
      </c>
      <c r="CS65" s="69" t="str">
        <f aca="false">IF($E65="","",IF($M65,IF(AND($G65&gt;=CS$5,$G65&lt;CS$5+GanttPeriod),"◆",IF(AND($E65&gt;=CS$5,$E65&lt;CS$5+GanttPeriod),"◇","")),IF(AND(CS$5&lt;=$F65,CS$5+GanttPeriod-1&gt;=$E65),"━","")))</f>
        <v/>
      </c>
      <c r="CT65" s="69" t="str">
        <f aca="false">IF($E65="","",IF($M65,IF(AND($G65&gt;=CT$5,$G65&lt;CT$5+GanttPeriod),"◆",IF(AND($E65&gt;=CT$5,$E65&lt;CT$5+GanttPeriod),"◇","")),IF(AND(CT$5&lt;=$F65,CT$5+GanttPeriod-1&gt;=$E65),"━","")))</f>
        <v/>
      </c>
      <c r="CU65" s="69" t="str">
        <f aca="false">IF($E65="","",IF($M65,IF(AND($G65&gt;=CU$5,$G65&lt;CU$5+GanttPeriod),"◆",IF(AND($E65&gt;=CU$5,$E65&lt;CU$5+GanttPeriod),"◇","")),IF(AND(CU$5&lt;=$F65,CU$5+GanttPeriod-1&gt;=$E65),"━","")))</f>
        <v/>
      </c>
      <c r="CV65" s="69" t="str">
        <f aca="false">IF($E65="","",IF($M65,IF(AND($G65&gt;=CV$5,$G65&lt;CV$5+GanttPeriod),"◆",IF(AND($E65&gt;=CV$5,$E65&lt;CV$5+GanttPeriod),"◇","")),IF(AND(CV$5&lt;=$F65,CV$5+GanttPeriod-1&gt;=$E65),"━","")))</f>
        <v/>
      </c>
      <c r="CW65" s="69" t="str">
        <f aca="false">IF($E65="","",IF($M65,IF(AND($G65&gt;=CW$5,$G65&lt;CW$5+GanttPeriod),"◆",IF(AND($E65&gt;=CW$5,$E65&lt;CW$5+GanttPeriod),"◇","")),IF(AND(CW$5&lt;=$F65,CW$5+GanttPeriod-1&gt;=$E65),"━","")))</f>
        <v/>
      </c>
      <c r="CX65" s="69" t="str">
        <f aca="false">IF($E65="","",IF($M65,IF(AND($G65&gt;=CX$5,$G65&lt;CX$5+GanttPeriod),"◆",IF(AND($E65&gt;=CX$5,$E65&lt;CX$5+GanttPeriod),"◇","")),IF(AND(CX$5&lt;=$F65,CX$5+GanttPeriod-1&gt;=$E65),"━","")))</f>
        <v/>
      </c>
      <c r="CY65" s="69" t="str">
        <f aca="false">IF($E65="","",IF($M65,IF(AND($G65&gt;=CY$5,$G65&lt;CY$5+GanttPeriod),"◆",IF(AND($E65&gt;=CY$5,$E65&lt;CY$5+GanttPeriod),"◇","")),IF(AND(CY$5&lt;=$F65,CY$5+GanttPeriod-1&gt;=$E65),"━","")))</f>
        <v/>
      </c>
      <c r="CZ65" s="69" t="str">
        <f aca="false">IF($E65="","",IF($M65,IF(AND($G65&gt;=CZ$5,$G65&lt;CZ$5+GanttPeriod),"◆",IF(AND($E65&gt;=CZ$5,$E65&lt;CZ$5+GanttPeriod),"◇","")),IF(AND(CZ$5&lt;=$F65,CZ$5+GanttPeriod-1&gt;=$E65),"━","")))</f>
        <v/>
      </c>
      <c r="DA65" s="69" t="str">
        <f aca="false">IF($E65="","",IF($M65,IF(AND($G65&gt;=DA$5,$G65&lt;DA$5+GanttPeriod),"◆",IF(AND($E65&gt;=DA$5,$E65&lt;DA$5+GanttPeriod),"◇","")),IF(AND(DA$5&lt;=$F65,DA$5+GanttPeriod-1&gt;=$E65),"━","")))</f>
        <v/>
      </c>
      <c r="DB65" s="69" t="str">
        <f aca="false">IF($E65="","",IF($M65,IF(AND($G65&gt;=DB$5,$G65&lt;DB$5+GanttPeriod),"◆",IF(AND($E65&gt;=DB$5,$E65&lt;DB$5+GanttPeriod),"◇","")),IF(AND(DB$5&lt;=$F65,DB$5+GanttPeriod-1&gt;=$E65),"━","")))</f>
        <v/>
      </c>
      <c r="DC65" s="69" t="str">
        <f aca="false">IF($E65="","",IF($M65,IF(AND($G65&gt;=DC$5,$G65&lt;DC$5+GanttPeriod),"◆",IF(AND($E65&gt;=DC$5,$E65&lt;DC$5+GanttPeriod),"◇","")),IF(AND(DC$5&lt;=$F65,DC$5+GanttPeriod-1&gt;=$E65),"━","")))</f>
        <v/>
      </c>
      <c r="DD65" s="69" t="str">
        <f aca="false">IF($E65="","",IF($M65,IF(AND($G65&gt;=DD$5,$G65&lt;DD$5+GanttPeriod),"◆",IF(AND($E65&gt;=DD$5,$E65&lt;DD$5+GanttPeriod),"◇","")),IF(AND(DD$5&lt;=$F65,DD$5+GanttPeriod-1&gt;=$E65),"━","")))</f>
        <v/>
      </c>
      <c r="DE65" s="69" t="str">
        <f aca="false">IF($E65="","",IF($M65,IF(AND($G65&gt;=DE$5,$G65&lt;DE$5+GanttPeriod),"◆",IF(AND($E65&gt;=DE$5,$E65&lt;DE$5+GanttPeriod),"◇","")),IF(AND(DE$5&lt;=$F65,DE$5+GanttPeriod-1&gt;=$E65),"━","")))</f>
        <v/>
      </c>
      <c r="DF65" s="69" t="str">
        <f aca="false">IF($E65="","",IF($M65,IF(AND($G65&gt;=DF$5,$G65&lt;DF$5+GanttPeriod),"◆",IF(AND($E65&gt;=DF$5,$E65&lt;DF$5+GanttPeriod),"◇","")),IF(AND(DF$5&lt;=$F65,DF$5+GanttPeriod-1&gt;=$E65),"━","")))</f>
        <v/>
      </c>
      <c r="DG65" s="69" t="str">
        <f aca="false">IF($E65="","",IF($M65,IF(AND($G65&gt;=DG$5,$G65&lt;DG$5+GanttPeriod),"◆",IF(AND($E65&gt;=DG$5,$E65&lt;DG$5+GanttPeriod),"◇","")),IF(AND(DG$5&lt;=$F65,DG$5+GanttPeriod-1&gt;=$E65),"━","")))</f>
        <v/>
      </c>
      <c r="DH65" s="69" t="str">
        <f aca="false">IF($E65="","",IF($M65,IF(AND($G65&gt;=DH$5,$G65&lt;DH$5+GanttPeriod),"◆",IF(AND($E65&gt;=DH$5,$E65&lt;DH$5+GanttPeriod),"◇","")),IF(AND(DH$5&lt;=$F65,DH$5+GanttPeriod-1&gt;=$E65),"━","")))</f>
        <v/>
      </c>
      <c r="DI65" s="69" t="str">
        <f aca="false">IF($E65="","",IF($M65,IF(AND($G65&gt;=DI$5,$G65&lt;DI$5+GanttPeriod),"◆",IF(AND($E65&gt;=DI$5,$E65&lt;DI$5+GanttPeriod),"◇","")),IF(AND(DI$5&lt;=$F65,DI$5+GanttPeriod-1&gt;=$E65),"━","")))</f>
        <v/>
      </c>
      <c r="DJ65" s="69" t="str">
        <f aca="false">IF($E65="","",IF($M65,IF(AND($G65&gt;=DJ$5,$G65&lt;DJ$5+GanttPeriod),"◆",IF(AND($E65&gt;=DJ$5,$E65&lt;DJ$5+GanttPeriod),"◇","")),IF(AND(DJ$5&lt;=$F65,DJ$5+GanttPeriod-1&gt;=$E65),"━","")))</f>
        <v/>
      </c>
      <c r="DK65" s="69" t="str">
        <f aca="false">IF($E65="","",IF($M65,IF(AND($G65&gt;=DK$5,$G65&lt;DK$5+GanttPeriod),"◆",IF(AND($E65&gt;=DK$5,$E65&lt;DK$5+GanttPeriod),"◇","")),IF(AND(DK$5&lt;=$F65,DK$5+GanttPeriod-1&gt;=$E65),"━","")))</f>
        <v/>
      </c>
      <c r="DL65" s="69" t="str">
        <f aca="false">IF($E65="","",IF($M65,IF(AND($G65&gt;=DL$5,$G65&lt;DL$5+GanttPeriod),"◆",IF(AND($E65&gt;=DL$5,$E65&lt;DL$5+GanttPeriod),"◇","")),IF(AND(DL$5&lt;=$F65,DL$5+GanttPeriod-1&gt;=$E65),"━","")))</f>
        <v/>
      </c>
      <c r="DM65" s="69" t="str">
        <f aca="false">IF($E65="","",IF($M65,IF(AND($G65&gt;=DM$5,$G65&lt;DM$5+GanttPeriod),"◆",IF(AND($E65&gt;=DM$5,$E65&lt;DM$5+GanttPeriod),"◇","")),IF(AND(DM$5&lt;=$F65,DM$5+GanttPeriod-1&gt;=$E65),"━","")))</f>
        <v/>
      </c>
      <c r="DN65" s="69" t="str">
        <f aca="false">IF($E65="","",IF($M65,IF(AND($G65&gt;=DN$5,$G65&lt;DN$5+GanttPeriod),"◆",IF(AND($E65&gt;=DN$5,$E65&lt;DN$5+GanttPeriod),"◇","")),IF(AND(DN$5&lt;=$F65,DN$5+GanttPeriod-1&gt;=$E65),"━","")))</f>
        <v/>
      </c>
      <c r="DO65" s="69" t="str">
        <f aca="false">IF($E65="","",IF($M65,IF(AND($G65&gt;=DO$5,$G65&lt;DO$5+GanttPeriod),"◆",IF(AND($E65&gt;=DO$5,$E65&lt;DO$5+GanttPeriod),"◇","")),IF(AND(DO$5&lt;=$F65,DO$5+GanttPeriod-1&gt;=$E65),"━","")))</f>
        <v/>
      </c>
      <c r="DP65" s="69" t="str">
        <f aca="false">IF($E65="","",IF($M65,IF(AND($G65&gt;=DP$5,$G65&lt;DP$5+GanttPeriod),"◆",IF(AND($E65&gt;=DP$5,$E65&lt;DP$5+GanttPeriod),"◇","")),IF(AND(DP$5&lt;=$F65,DP$5+GanttPeriod-1&gt;=$E65),"━","")))</f>
        <v/>
      </c>
      <c r="DQ65" s="69" t="str">
        <f aca="false">IF($E65="","",IF($M65,IF(AND($G65&gt;=DQ$5,$G65&lt;DQ$5+GanttPeriod),"◆",IF(AND($E65&gt;=DQ$5,$E65&lt;DQ$5+GanttPeriod),"◇","")),IF(AND(DQ$5&lt;=$F65,DQ$5+GanttPeriod-1&gt;=$E65),"━","")))</f>
        <v/>
      </c>
      <c r="DR65" s="69" t="str">
        <f aca="false">IF($E65="","",IF($M65,IF(AND($G65&gt;=DR$5,$G65&lt;DR$5+GanttPeriod),"◆",IF(AND($E65&gt;=DR$5,$E65&lt;DR$5+GanttPeriod),"◇","")),IF(AND(DR$5&lt;=$F65,DR$5+GanttPeriod-1&gt;=$E65),"━","")))</f>
        <v/>
      </c>
      <c r="DS65" s="69" t="str">
        <f aca="false">IF($E65="","",IF($M65,IF(AND($G65&gt;=DS$5,$G65&lt;DS$5+GanttPeriod),"◆",IF(AND($E65&gt;=DS$5,$E65&lt;DS$5+GanttPeriod),"◇","")),IF(AND(DS$5&lt;=$F65,DS$5+GanttPeriod-1&gt;=$E65),"━","")))</f>
        <v/>
      </c>
      <c r="DT65" s="69" t="str">
        <f aca="false">IF($E65="","",IF($M65,IF(AND($G65&gt;=DT$5,$G65&lt;DT$5+GanttPeriod),"◆",IF(AND($E65&gt;=DT$5,$E65&lt;DT$5+GanttPeriod),"◇","")),IF(AND(DT$5&lt;=$F65,DT$5+GanttPeriod-1&gt;=$E65),"━","")))</f>
        <v/>
      </c>
      <c r="DU65" s="69" t="str">
        <f aca="false">IF($E65="","",IF($M65,IF(AND($G65&gt;=DU$5,$G65&lt;DU$5+GanttPeriod),"◆",IF(AND($E65&gt;=DU$5,$E65&lt;DU$5+GanttPeriod),"◇","")),IF(AND(DU$5&lt;=$F65,DU$5+GanttPeriod-1&gt;=$E65),"━","")))</f>
        <v/>
      </c>
      <c r="DV65" s="69" t="str">
        <f aca="false">IF($E65="","",IF($M65,IF(AND($G65&gt;=DV$5,$G65&lt;DV$5+GanttPeriod),"◆",IF(AND($E65&gt;=DV$5,$E65&lt;DV$5+GanttPeriod),"◇","")),IF(AND(DV$5&lt;=$F65,DV$5+GanttPeriod-1&gt;=$E65),"━","")))</f>
        <v/>
      </c>
      <c r="DW65" s="69" t="str">
        <f aca="false">IF($E65="","",IF($M65,IF(AND($G65&gt;=DW$5,$G65&lt;DW$5+GanttPeriod),"◆",IF(AND($E65&gt;=DW$5,$E65&lt;DW$5+GanttPeriod),"◇","")),IF(AND(DW$5&lt;=$F65,DW$5+GanttPeriod-1&gt;=$E65),"━","")))</f>
        <v/>
      </c>
      <c r="DX65" s="69" t="str">
        <f aca="false">IF($E65="","",IF($M65,IF(AND($G65&gt;=DX$5,$G65&lt;DX$5+GanttPeriod),"◆",IF(AND($E65&gt;=DX$5,$E65&lt;DX$5+GanttPeriod),"◇","")),IF(AND(DX$5&lt;=$F65,DX$5+GanttPeriod-1&gt;=$E65),"━","")))</f>
        <v/>
      </c>
      <c r="DY65" s="69" t="str">
        <f aca="false">IF($E65="","",IF($M65,IF(AND($G65&gt;=DY$5,$G65&lt;DY$5+GanttPeriod),"◆",IF(AND($E65&gt;=DY$5,$E65&lt;DY$5+GanttPeriod),"◇","")),IF(AND(DY$5&lt;=$F65,DY$5+GanttPeriod-1&gt;=$E65),"━","")))</f>
        <v/>
      </c>
      <c r="DZ65" s="69" t="str">
        <f aca="false">IF($E65="","",IF($M65,IF(AND($G65&gt;=DZ$5,$G65&lt;DZ$5+GanttPeriod),"◆",IF(AND($E65&gt;=DZ$5,$E65&lt;DZ$5+GanttPeriod),"◇","")),IF(AND(DZ$5&lt;=$F65,DZ$5+GanttPeriod-1&gt;=$E65),"━","")))</f>
        <v/>
      </c>
      <c r="EA65" s="69" t="str">
        <f aca="false">IF($E65="","",IF($M65,IF(AND($G65&gt;=EA$5,$G65&lt;EA$5+GanttPeriod),"◆",IF(AND($E65&gt;=EA$5,$E65&lt;EA$5+GanttPeriod),"◇","")),IF(AND(EA$5&lt;=$F65,EA$5+GanttPeriod-1&gt;=$E65),"━","")))</f>
        <v/>
      </c>
      <c r="EB65" s="69" t="str">
        <f aca="false">IF($E65="","",IF($M65,IF(AND($G65&gt;=EB$5,$G65&lt;EB$5+GanttPeriod),"◆",IF(AND($E65&gt;=EB$5,$E65&lt;EB$5+GanttPeriod),"◇","")),IF(AND(EB$5&lt;=$F65,EB$5+GanttPeriod-1&gt;=$E65),"━","")))</f>
        <v/>
      </c>
      <c r="EC65" s="69" t="str">
        <f aca="false">IF($E65="","",IF($M65,IF(AND($G65&gt;=EC$5,$G65&lt;EC$5+GanttPeriod),"◆",IF(AND($E65&gt;=EC$5,$E65&lt;EC$5+GanttPeriod),"◇","")),IF(AND(EC$5&lt;=$F65,EC$5+GanttPeriod-1&gt;=$E65),"━","")))</f>
        <v/>
      </c>
      <c r="ED65" s="69" t="str">
        <f aca="false">IF($E65="","",IF($M65,IF(AND($G65&gt;=ED$5,$G65&lt;ED$5+GanttPeriod),"◆",IF(AND($E65&gt;=ED$5,$E65&lt;ED$5+GanttPeriod),"◇","")),IF(AND(ED$5&lt;=$F65,ED$5+GanttPeriod-1&gt;=$E65),"━","")))</f>
        <v/>
      </c>
      <c r="EE65" s="69" t="str">
        <f aca="false">IF($E65="","",IF($M65,IF(AND($G65&gt;=EE$5,$G65&lt;EE$5+GanttPeriod),"◆",IF(AND($E65&gt;=EE$5,$E65&lt;EE$5+GanttPeriod),"◇","")),IF(AND(EE$5&lt;=$F65,EE$5+GanttPeriod-1&gt;=$E65),"━","")))</f>
        <v/>
      </c>
      <c r="EF65" s="69" t="str">
        <f aca="false">IF($E65="","",IF($M65,IF(AND($G65&gt;=EF$5,$G65&lt;EF$5+GanttPeriod),"◆",IF(AND($E65&gt;=EF$5,$E65&lt;EF$5+GanttPeriod),"◇","")),IF(AND(EF$5&lt;=$F65,EF$5+GanttPeriod-1&gt;=$E65),"━","")))</f>
        <v/>
      </c>
      <c r="EG65" s="69" t="str">
        <f aca="false">IF($E65="","",IF($M65,IF(AND($G65&gt;=EG$5,$G65&lt;EG$5+GanttPeriod),"◆",IF(AND($E65&gt;=EG$5,$E65&lt;EG$5+GanttPeriod),"◇","")),IF(AND(EG$5&lt;=$F65,EG$5+GanttPeriod-1&gt;=$E65),"━","")))</f>
        <v/>
      </c>
      <c r="EH65" s="69" t="str">
        <f aca="false">IF($E65="","",IF($M65,IF(AND($G65&gt;=EH$5,$G65&lt;EH$5+GanttPeriod),"◆",IF(AND($E65&gt;=EH$5,$E65&lt;EH$5+GanttPeriod),"◇","")),IF(AND(EH$5&lt;=$F65,EH$5+GanttPeriod-1&gt;=$E65),"━","")))</f>
        <v/>
      </c>
      <c r="EI65" s="69" t="str">
        <f aca="false">IF($E65="","",IF($M65,IF(AND($G65&gt;=EI$5,$G65&lt;EI$5+GanttPeriod),"◆",IF(AND($E65&gt;=EI$5,$E65&lt;EI$5+GanttPeriod),"◇","")),IF(AND(EI$5&lt;=$F65,EI$5+GanttPeriod-1&gt;=$E65),"━","")))</f>
        <v/>
      </c>
      <c r="EJ65" s="69" t="str">
        <f aca="false">IF($E65="","",IF($M65,IF(AND($G65&gt;=EJ$5,$G65&lt;EJ$5+GanttPeriod),"◆",IF(AND($E65&gt;=EJ$5,$E65&lt;EJ$5+GanttPeriod),"◇","")),IF(AND(EJ$5&lt;=$F65,EJ$5+GanttPeriod-1&gt;=$E65),"━","")))</f>
        <v/>
      </c>
      <c r="EK65" s="69" t="str">
        <f aca="false">IF($E65="","",IF($M65,IF(AND($G65&gt;=EK$5,$G65&lt;EK$5+GanttPeriod),"◆",IF(AND($E65&gt;=EK$5,$E65&lt;EK$5+GanttPeriod),"◇","")),IF(AND(EK$5&lt;=$F65,EK$5+GanttPeriod-1&gt;=$E65),"━","")))</f>
        <v/>
      </c>
      <c r="EL65" s="69" t="str">
        <f aca="false">IF($E65="","",IF($M65,IF(AND($G65&gt;=EL$5,$G65&lt;EL$5+GanttPeriod),"◆",IF(AND($E65&gt;=EL$5,$E65&lt;EL$5+GanttPeriod),"◇","")),IF(AND(EL$5&lt;=$F65,EL$5+GanttPeriod-1&gt;=$E65),"━","")))</f>
        <v/>
      </c>
      <c r="EM65" s="69" t="str">
        <f aca="false">IF($E65="","",IF($M65,IF(AND($G65&gt;=EM$5,$G65&lt;EM$5+GanttPeriod),"◆",IF(AND($E65&gt;=EM$5,$E65&lt;EM$5+GanttPeriod),"◇","")),IF(AND(EM$5&lt;=$F65,EM$5+GanttPeriod-1&gt;=$E65),"━","")))</f>
        <v/>
      </c>
      <c r="EN65" s="69" t="str">
        <f aca="false">IF($E65="","",IF($M65,IF(AND($G65&gt;=EN$5,$G65&lt;EN$5+GanttPeriod),"◆",IF(AND($E65&gt;=EN$5,$E65&lt;EN$5+GanttPeriod),"◇","")),IF(AND(EN$5&lt;=$F65,EN$5+GanttPeriod-1&gt;=$E65),"━","")))</f>
        <v/>
      </c>
      <c r="EO65" s="69" t="str">
        <f aca="false">IF($E65="","",IF($M65,IF(AND($G65&gt;=EO$5,$G65&lt;EO$5+GanttPeriod),"◆",IF(AND($E65&gt;=EO$5,$E65&lt;EO$5+GanttPeriod),"◇","")),IF(AND(EO$5&lt;=$F65,EO$5+GanttPeriod-1&gt;=$E65),"━","")))</f>
        <v/>
      </c>
      <c r="EP65" s="69" t="str">
        <f aca="false">IF($E65="","",IF($M65,IF(AND($G65&gt;=EP$5,$G65&lt;EP$5+GanttPeriod),"◆",IF(AND($E65&gt;=EP$5,$E65&lt;EP$5+GanttPeriod),"◇","")),IF(AND(EP$5&lt;=$F65,EP$5+GanttPeriod-1&gt;=$E65),"━","")))</f>
        <v/>
      </c>
      <c r="EQ65" s="69" t="str">
        <f aca="false">IF($E65="","",IF($M65,IF(AND($G65&gt;=EQ$5,$G65&lt;EQ$5+GanttPeriod),"◆",IF(AND($E65&gt;=EQ$5,$E65&lt;EQ$5+GanttPeriod),"◇","")),IF(AND(EQ$5&lt;=$F65,EQ$5+GanttPeriod-1&gt;=$E65),"━","")))</f>
        <v/>
      </c>
      <c r="ER65" s="69" t="str">
        <f aca="false">IF($E65="","",IF($M65,IF(AND($G65&gt;=ER$5,$G65&lt;ER$5+GanttPeriod),"◆",IF(AND($E65&gt;=ER$5,$E65&lt;ER$5+GanttPeriod),"◇","")),IF(AND(ER$5&lt;=$F65,ER$5+GanttPeriod-1&gt;=$E65),"━","")))</f>
        <v/>
      </c>
      <c r="ES65" s="69" t="str">
        <f aca="false">IF($E65="","",IF($M65,IF(AND($G65&gt;=ES$5,$G65&lt;ES$5+GanttPeriod),"◆",IF(AND($E65&gt;=ES$5,$E65&lt;ES$5+GanttPeriod),"◇","")),IF(AND(ES$5&lt;=$F65,ES$5+GanttPeriod-1&gt;=$E65),"━","")))</f>
        <v/>
      </c>
      <c r="ET65" s="69" t="str">
        <f aca="false">IF($E65="","",IF($M65,IF(AND($G65&gt;=ET$5,$G65&lt;ET$5+GanttPeriod),"◆",IF(AND($E65&gt;=ET$5,$E65&lt;ET$5+GanttPeriod),"◇","")),IF(AND(ET$5&lt;=$F65,ET$5+GanttPeriod-1&gt;=$E65),"━","")))</f>
        <v/>
      </c>
      <c r="EU65" s="69" t="str">
        <f aca="false">IF($E65="","",IF($M65,IF(AND($G65&gt;=EU$5,$G65&lt;EU$5+GanttPeriod),"◆",IF(AND($E65&gt;=EU$5,$E65&lt;EU$5+GanttPeriod),"◇","")),IF(AND(EU$5&lt;=$F65,EU$5+GanttPeriod-1&gt;=$E65),"━","")))</f>
        <v/>
      </c>
      <c r="EV65" s="69" t="str">
        <f aca="false">IF($E65="","",IF($M65,IF(AND($G65&gt;=EV$5,$G65&lt;EV$5+GanttPeriod),"◆",IF(AND($E65&gt;=EV$5,$E65&lt;EV$5+GanttPeriod),"◇","")),IF(AND(EV$5&lt;=$F65,EV$5+GanttPeriod-1&gt;=$E65),"━","")))</f>
        <v/>
      </c>
      <c r="EW65" s="69" t="str">
        <f aca="false">IF($E65="","",IF($M65,IF(AND($G65&gt;=EW$5,$G65&lt;EW$5+GanttPeriod),"◆",IF(AND($E65&gt;=EW$5,$E65&lt;EW$5+GanttPeriod),"◇","")),IF(AND(EW$5&lt;=$F65,EW$5+GanttPeriod-1&gt;=$E65),"━","")))</f>
        <v/>
      </c>
      <c r="EX65" s="69" t="str">
        <f aca="false">IF($E65="","",IF($M65,IF(AND($G65&gt;=EX$5,$G65&lt;EX$5+GanttPeriod),"◆",IF(AND($E65&gt;=EX$5,$E65&lt;EX$5+GanttPeriod),"◇","")),IF(AND(EX$5&lt;=$F65,EX$5+GanttPeriod-1&gt;=$E65),"━","")))</f>
        <v/>
      </c>
      <c r="EY65" s="69" t="str">
        <f aca="false">IF($E65="","",IF($M65,IF(AND($G65&gt;=EY$5,$G65&lt;EY$5+GanttPeriod),"◆",IF(AND($E65&gt;=EY$5,$E65&lt;EY$5+GanttPeriod),"◇","")),IF(AND(EY$5&lt;=$F65,EY$5+GanttPeriod-1&gt;=$E65),"━","")))</f>
        <v/>
      </c>
      <c r="EZ65" s="69" t="str">
        <f aca="false">IF($E65="","",IF($M65,IF(AND($G65&gt;=EZ$5,$G65&lt;EZ$5+GanttPeriod),"◆",IF(AND($E65&gt;=EZ$5,$E65&lt;EZ$5+GanttPeriod),"◇","")),IF(AND(EZ$5&lt;=$F65,EZ$5+GanttPeriod-1&gt;=$E65),"━","")))</f>
        <v/>
      </c>
      <c r="FA65" s="69" t="str">
        <f aca="false">IF($E65="","",IF($M65,IF(AND($G65&gt;=FA$5,$G65&lt;FA$5+GanttPeriod),"◆",IF(AND($E65&gt;=FA$5,$E65&lt;FA$5+GanttPeriod),"◇","")),IF(AND(FA$5&lt;=$F65,FA$5+GanttPeriod-1&gt;=$E65),"━","")))</f>
        <v/>
      </c>
      <c r="FB65" s="69" t="str">
        <f aca="false">IF($E65="","",IF($M65,IF(AND($G65&gt;=FB$5,$G65&lt;FB$5+GanttPeriod),"◆",IF(AND($E65&gt;=FB$5,$E65&lt;FB$5+GanttPeriod),"◇","")),IF(AND(FB$5&lt;=$F65,FB$5+GanttPeriod-1&gt;=$E65),"━","")))</f>
        <v/>
      </c>
      <c r="FC65" s="69" t="str">
        <f aca="false">IF($E65="","",IF($M65,IF(AND($G65&gt;=FC$5,$G65&lt;FC$5+GanttPeriod),"◆",IF(AND($E65&gt;=FC$5,$E65&lt;FC$5+GanttPeriod),"◇","")),IF(AND(FC$5&lt;=$F65,FC$5+GanttPeriod-1&gt;=$E65),"━","")))</f>
        <v/>
      </c>
      <c r="FD65" s="69" t="str">
        <f aca="false">IF($E65="","",IF($M65,IF(AND($G65&gt;=FD$5,$G65&lt;FD$5+GanttPeriod),"◆",IF(AND($E65&gt;=FD$5,$E65&lt;FD$5+GanttPeriod),"◇","")),IF(AND(FD$5&lt;=$F65,FD$5+GanttPeriod-1&gt;=$E65),"━","")))</f>
        <v/>
      </c>
      <c r="FE65" s="69" t="str">
        <f aca="false">IF($E65="","",IF($M65,IF(AND($G65&gt;=FE$5,$G65&lt;FE$5+GanttPeriod),"◆",IF(AND($E65&gt;=FE$5,$E65&lt;FE$5+GanttPeriod),"◇","")),IF(AND(FE$5&lt;=$F65,FE$5+GanttPeriod-1&gt;=$E65),"━","")))</f>
        <v/>
      </c>
      <c r="FF65" s="69" t="str">
        <f aca="false">IF($E65="","",IF($M65,IF(AND($G65&gt;=FF$5,$G65&lt;FF$5+GanttPeriod),"◆",IF(AND($E65&gt;=FF$5,$E65&lt;FF$5+GanttPeriod),"◇","")),IF(AND(FF$5&lt;=$F65,FF$5+GanttPeriod-1&gt;=$E65),"━","")))</f>
        <v/>
      </c>
      <c r="FG65" s="69" t="str">
        <f aca="false">IF($E65="","",IF($M65,IF(AND($G65&gt;=FG$5,$G65&lt;FG$5+GanttPeriod),"◆",IF(AND($E65&gt;=FG$5,$E65&lt;FG$5+GanttPeriod),"◇","")),IF(AND(FG$5&lt;=$F65,FG$5+GanttPeriod-1&gt;=$E65),"━","")))</f>
        <v/>
      </c>
      <c r="FH65" s="69" t="str">
        <f aca="false">IF($E65="","",IF($M65,IF(AND($G65&gt;=FH$5,$G65&lt;FH$5+GanttPeriod),"◆",IF(AND($E65&gt;=FH$5,$E65&lt;FH$5+GanttPeriod),"◇","")),IF(AND(FH$5&lt;=$F65,FH$5+GanttPeriod-1&gt;=$E65),"━","")))</f>
        <v/>
      </c>
      <c r="FI65" s="69" t="str">
        <f aca="false">IF($E65="","",IF($M65,IF(AND($G65&gt;=FI$5,$G65&lt;FI$5+GanttPeriod),"◆",IF(AND($E65&gt;=FI$5,$E65&lt;FI$5+GanttPeriod),"◇","")),IF(AND(FI$5&lt;=$F65,FI$5+GanttPeriod-1&gt;=$E65),"━","")))</f>
        <v/>
      </c>
      <c r="FJ65" s="69" t="str">
        <f aca="false">IF($E65="","",IF($M65,IF(AND($G65&gt;=FJ$5,$G65&lt;FJ$5+GanttPeriod),"◆",IF(AND($E65&gt;=FJ$5,$E65&lt;FJ$5+GanttPeriod),"◇","")),IF(AND(FJ$5&lt;=$F65,FJ$5+GanttPeriod-1&gt;=$E65),"━","")))</f>
        <v/>
      </c>
      <c r="FK65" s="69" t="str">
        <f aca="false">IF($E65="","",IF($M65,IF(AND($G65&gt;=FK$5,$G65&lt;FK$5+GanttPeriod),"◆",IF(AND($E65&gt;=FK$5,$E65&lt;FK$5+GanttPeriod),"◇","")),IF(AND(FK$5&lt;=$F65,FK$5+GanttPeriod-1&gt;=$E65),"━","")))</f>
        <v/>
      </c>
      <c r="FL65" s="69" t="str">
        <f aca="false">IF($E65="","",IF($M65,IF(AND($G65&gt;=FL$5,$G65&lt;FL$5+GanttPeriod),"◆",IF(AND($E65&gt;=FL$5,$E65&lt;FL$5+GanttPeriod),"◇","")),IF(AND(FL$5&lt;=$F65,FL$5+GanttPeriod-1&gt;=$E65),"━","")))</f>
        <v/>
      </c>
      <c r="FM65" s="69" t="str">
        <f aca="false">IF($E65="","",IF($M65,IF(AND($G65&gt;=FM$5,$G65&lt;FM$5+GanttPeriod),"◆",IF(AND($E65&gt;=FM$5,$E65&lt;FM$5+GanttPeriod),"◇","")),IF(AND(FM$5&lt;=$F65,FM$5+GanttPeriod-1&gt;=$E65),"━","")))</f>
        <v/>
      </c>
    </row>
    <row r="66" customFormat="false" ht="15" hidden="false" customHeight="false" outlineLevel="0" collapsed="false">
      <c r="A66" s="62" t="str">
        <f aca="false">IF(Tasks!$D66="","",Tasks!$A66)</f>
        <v/>
      </c>
      <c r="B66" s="62" t="str">
        <f aca="false">IF(Tasks!$D66="","",Tasks!$B66)</f>
        <v/>
      </c>
      <c r="C66" s="63" t="str">
        <f aca="false">IF(Tasks!$D66="","",REPT("    ",Tasks!$AE66-1)&amp;Tasks!$D66)</f>
        <v/>
      </c>
      <c r="D66" s="62" t="str">
        <f aca="false">IF(Tasks!$D66="","",IF(Tasks!$AI66,NETWORKDAYS.INTL(Tasks!$R66,Tasks!$S66,WorkWeek,Holidays),N(Tasks!$F66)))</f>
        <v/>
      </c>
      <c r="E66" s="64" t="str">
        <f aca="false">IF(Tasks!$D66="","",Tasks!$N66)</f>
        <v/>
      </c>
      <c r="F66" s="64" t="str">
        <f aca="false">IF(Tasks!$D66="","",Tasks!$O66)</f>
        <v/>
      </c>
      <c r="G66" s="64" t="str">
        <f aca="false">IF(Tasks!$D66="","",Tasks!$R66)</f>
        <v/>
      </c>
      <c r="H66" s="64" t="str">
        <f aca="false">IF(Tasks!$D66="","",Tasks!$S66)</f>
        <v/>
      </c>
      <c r="I66" s="65" t="str">
        <f aca="false">IF(Tasks!$D66="","",Tasks!$V66)</f>
        <v/>
      </c>
      <c r="J66" s="63" t="str">
        <f aca="false">IF(Tasks!$D66="","",Tasks!$X66&amp;"")</f>
        <v/>
      </c>
      <c r="K66" s="66" t="str">
        <f aca="false">IF(Tasks!$D66="","",Tasks!$W66)</f>
        <v/>
      </c>
      <c r="L66" s="67" t="b">
        <f aca="false">IF(Tasks!$D66="",FALSE(),Tasks!$AI66)</f>
        <v>0</v>
      </c>
      <c r="M66" s="67" t="b">
        <f aca="false">AND(Tasks!$AJ66=1,N(Tasks!$F66)=0)</f>
        <v>0</v>
      </c>
      <c r="N66" s="68" t="n">
        <f aca="false">IF(AND(Tasks!$AJ66=1,NOT($M66),N($I66)&gt;0),$G66,0)</f>
        <v>0</v>
      </c>
      <c r="O66" s="68" t="n">
        <f aca="false">IF($N66=0,0,IF($I66&gt;=1,$H66,MAX($N66,$G66+ROUND(($H66-$G66+1)*$I66,0)-1)))</f>
        <v>0</v>
      </c>
      <c r="P66" s="68" t="n">
        <f aca="false">IF(OR(Tasks!$AJ66&lt;&gt;1,$M66,N($I66)&gt;=1),0,IF($O66&gt;0,$O66+1,$G66))</f>
        <v>0</v>
      </c>
      <c r="Q66" s="68" t="n">
        <f aca="false">IF($P66=0,0,$H66)</f>
        <v>0</v>
      </c>
      <c r="R66" s="67" t="b">
        <f aca="false">AND(Tasks!$D66&lt;&gt;"",N(Tasks!$T66)&gt;0)</f>
        <v>0</v>
      </c>
      <c r="T66" s="69" t="str">
        <f aca="false">IF($E66="","",IF($M66,IF(AND($G66&gt;=T$5,$G66&lt;T$5+GanttPeriod),"◆",IF(AND($E66&gt;=T$5,$E66&lt;T$5+GanttPeriod),"◇","")),IF(AND(T$5&lt;=$F66,T$5+GanttPeriod-1&gt;=$E66),"━","")))</f>
        <v/>
      </c>
      <c r="U66" s="69" t="str">
        <f aca="false">IF($E66="","",IF($M66,IF(AND($G66&gt;=U$5,$G66&lt;U$5+GanttPeriod),"◆",IF(AND($E66&gt;=U$5,$E66&lt;U$5+GanttPeriod),"◇","")),IF(AND(U$5&lt;=$F66,U$5+GanttPeriod-1&gt;=$E66),"━","")))</f>
        <v/>
      </c>
      <c r="V66" s="69" t="str">
        <f aca="false">IF($E66="","",IF($M66,IF(AND($G66&gt;=V$5,$G66&lt;V$5+GanttPeriod),"◆",IF(AND($E66&gt;=V$5,$E66&lt;V$5+GanttPeriod),"◇","")),IF(AND(V$5&lt;=$F66,V$5+GanttPeriod-1&gt;=$E66),"━","")))</f>
        <v/>
      </c>
      <c r="W66" s="69" t="str">
        <f aca="false">IF($E66="","",IF($M66,IF(AND($G66&gt;=W$5,$G66&lt;W$5+GanttPeriod),"◆",IF(AND($E66&gt;=W$5,$E66&lt;W$5+GanttPeriod),"◇","")),IF(AND(W$5&lt;=$F66,W$5+GanttPeriod-1&gt;=$E66),"━","")))</f>
        <v/>
      </c>
      <c r="X66" s="69" t="str">
        <f aca="false">IF($E66="","",IF($M66,IF(AND($G66&gt;=X$5,$G66&lt;X$5+GanttPeriod),"◆",IF(AND($E66&gt;=X$5,$E66&lt;X$5+GanttPeriod),"◇","")),IF(AND(X$5&lt;=$F66,X$5+GanttPeriod-1&gt;=$E66),"━","")))</f>
        <v/>
      </c>
      <c r="Y66" s="69" t="str">
        <f aca="false">IF($E66="","",IF($M66,IF(AND($G66&gt;=Y$5,$G66&lt;Y$5+GanttPeriod),"◆",IF(AND($E66&gt;=Y$5,$E66&lt;Y$5+GanttPeriod),"◇","")),IF(AND(Y$5&lt;=$F66,Y$5+GanttPeriod-1&gt;=$E66),"━","")))</f>
        <v/>
      </c>
      <c r="Z66" s="69" t="str">
        <f aca="false">IF($E66="","",IF($M66,IF(AND($G66&gt;=Z$5,$G66&lt;Z$5+GanttPeriod),"◆",IF(AND($E66&gt;=Z$5,$E66&lt;Z$5+GanttPeriod),"◇","")),IF(AND(Z$5&lt;=$F66,Z$5+GanttPeriod-1&gt;=$E66),"━","")))</f>
        <v/>
      </c>
      <c r="AA66" s="69" t="str">
        <f aca="false">IF($E66="","",IF($M66,IF(AND($G66&gt;=AA$5,$G66&lt;AA$5+GanttPeriod),"◆",IF(AND($E66&gt;=AA$5,$E66&lt;AA$5+GanttPeriod),"◇","")),IF(AND(AA$5&lt;=$F66,AA$5+GanttPeriod-1&gt;=$E66),"━","")))</f>
        <v/>
      </c>
      <c r="AB66" s="69" t="str">
        <f aca="false">IF($E66="","",IF($M66,IF(AND($G66&gt;=AB$5,$G66&lt;AB$5+GanttPeriod),"◆",IF(AND($E66&gt;=AB$5,$E66&lt;AB$5+GanttPeriod),"◇","")),IF(AND(AB$5&lt;=$F66,AB$5+GanttPeriod-1&gt;=$E66),"━","")))</f>
        <v/>
      </c>
      <c r="AC66" s="69" t="str">
        <f aca="false">IF($E66="","",IF($M66,IF(AND($G66&gt;=AC$5,$G66&lt;AC$5+GanttPeriod),"◆",IF(AND($E66&gt;=AC$5,$E66&lt;AC$5+GanttPeriod),"◇","")),IF(AND(AC$5&lt;=$F66,AC$5+GanttPeriod-1&gt;=$E66),"━","")))</f>
        <v/>
      </c>
      <c r="AD66" s="69" t="str">
        <f aca="false">IF($E66="","",IF($M66,IF(AND($G66&gt;=AD$5,$G66&lt;AD$5+GanttPeriod),"◆",IF(AND($E66&gt;=AD$5,$E66&lt;AD$5+GanttPeriod),"◇","")),IF(AND(AD$5&lt;=$F66,AD$5+GanttPeriod-1&gt;=$E66),"━","")))</f>
        <v/>
      </c>
      <c r="AE66" s="69" t="str">
        <f aca="false">IF($E66="","",IF($M66,IF(AND($G66&gt;=AE$5,$G66&lt;AE$5+GanttPeriod),"◆",IF(AND($E66&gt;=AE$5,$E66&lt;AE$5+GanttPeriod),"◇","")),IF(AND(AE$5&lt;=$F66,AE$5+GanttPeriod-1&gt;=$E66),"━","")))</f>
        <v/>
      </c>
      <c r="AF66" s="69" t="str">
        <f aca="false">IF($E66="","",IF($M66,IF(AND($G66&gt;=AF$5,$G66&lt;AF$5+GanttPeriod),"◆",IF(AND($E66&gt;=AF$5,$E66&lt;AF$5+GanttPeriod),"◇","")),IF(AND(AF$5&lt;=$F66,AF$5+GanttPeriod-1&gt;=$E66),"━","")))</f>
        <v/>
      </c>
      <c r="AG66" s="69" t="str">
        <f aca="false">IF($E66="","",IF($M66,IF(AND($G66&gt;=AG$5,$G66&lt;AG$5+GanttPeriod),"◆",IF(AND($E66&gt;=AG$5,$E66&lt;AG$5+GanttPeriod),"◇","")),IF(AND(AG$5&lt;=$F66,AG$5+GanttPeriod-1&gt;=$E66),"━","")))</f>
        <v/>
      </c>
      <c r="AH66" s="69" t="str">
        <f aca="false">IF($E66="","",IF($M66,IF(AND($G66&gt;=AH$5,$G66&lt;AH$5+GanttPeriod),"◆",IF(AND($E66&gt;=AH$5,$E66&lt;AH$5+GanttPeriod),"◇","")),IF(AND(AH$5&lt;=$F66,AH$5+GanttPeriod-1&gt;=$E66),"━","")))</f>
        <v/>
      </c>
      <c r="AI66" s="69" t="str">
        <f aca="false">IF($E66="","",IF($M66,IF(AND($G66&gt;=AI$5,$G66&lt;AI$5+GanttPeriod),"◆",IF(AND($E66&gt;=AI$5,$E66&lt;AI$5+GanttPeriod),"◇","")),IF(AND(AI$5&lt;=$F66,AI$5+GanttPeriod-1&gt;=$E66),"━","")))</f>
        <v/>
      </c>
      <c r="AJ66" s="69" t="str">
        <f aca="false">IF($E66="","",IF($M66,IF(AND($G66&gt;=AJ$5,$G66&lt;AJ$5+GanttPeriod),"◆",IF(AND($E66&gt;=AJ$5,$E66&lt;AJ$5+GanttPeriod),"◇","")),IF(AND(AJ$5&lt;=$F66,AJ$5+GanttPeriod-1&gt;=$E66),"━","")))</f>
        <v/>
      </c>
      <c r="AK66" s="69" t="str">
        <f aca="false">IF($E66="","",IF($M66,IF(AND($G66&gt;=AK$5,$G66&lt;AK$5+GanttPeriod),"◆",IF(AND($E66&gt;=AK$5,$E66&lt;AK$5+GanttPeriod),"◇","")),IF(AND(AK$5&lt;=$F66,AK$5+GanttPeriod-1&gt;=$E66),"━","")))</f>
        <v/>
      </c>
      <c r="AL66" s="69" t="str">
        <f aca="false">IF($E66="","",IF($M66,IF(AND($G66&gt;=AL$5,$G66&lt;AL$5+GanttPeriod),"◆",IF(AND($E66&gt;=AL$5,$E66&lt;AL$5+GanttPeriod),"◇","")),IF(AND(AL$5&lt;=$F66,AL$5+GanttPeriod-1&gt;=$E66),"━","")))</f>
        <v/>
      </c>
      <c r="AM66" s="69" t="str">
        <f aca="false">IF($E66="","",IF($M66,IF(AND($G66&gt;=AM$5,$G66&lt;AM$5+GanttPeriod),"◆",IF(AND($E66&gt;=AM$5,$E66&lt;AM$5+GanttPeriod),"◇","")),IF(AND(AM$5&lt;=$F66,AM$5+GanttPeriod-1&gt;=$E66),"━","")))</f>
        <v/>
      </c>
      <c r="AN66" s="69" t="str">
        <f aca="false">IF($E66="","",IF($M66,IF(AND($G66&gt;=AN$5,$G66&lt;AN$5+GanttPeriod),"◆",IF(AND($E66&gt;=AN$5,$E66&lt;AN$5+GanttPeriod),"◇","")),IF(AND(AN$5&lt;=$F66,AN$5+GanttPeriod-1&gt;=$E66),"━","")))</f>
        <v/>
      </c>
      <c r="AO66" s="69" t="str">
        <f aca="false">IF($E66="","",IF($M66,IF(AND($G66&gt;=AO$5,$G66&lt;AO$5+GanttPeriod),"◆",IF(AND($E66&gt;=AO$5,$E66&lt;AO$5+GanttPeriod),"◇","")),IF(AND(AO$5&lt;=$F66,AO$5+GanttPeriod-1&gt;=$E66),"━","")))</f>
        <v/>
      </c>
      <c r="AP66" s="69" t="str">
        <f aca="false">IF($E66="","",IF($M66,IF(AND($G66&gt;=AP$5,$G66&lt;AP$5+GanttPeriod),"◆",IF(AND($E66&gt;=AP$5,$E66&lt;AP$5+GanttPeriod),"◇","")),IF(AND(AP$5&lt;=$F66,AP$5+GanttPeriod-1&gt;=$E66),"━","")))</f>
        <v/>
      </c>
      <c r="AQ66" s="69" t="str">
        <f aca="false">IF($E66="","",IF($M66,IF(AND($G66&gt;=AQ$5,$G66&lt;AQ$5+GanttPeriod),"◆",IF(AND($E66&gt;=AQ$5,$E66&lt;AQ$5+GanttPeriod),"◇","")),IF(AND(AQ$5&lt;=$F66,AQ$5+GanttPeriod-1&gt;=$E66),"━","")))</f>
        <v/>
      </c>
      <c r="AR66" s="69" t="str">
        <f aca="false">IF($E66="","",IF($M66,IF(AND($G66&gt;=AR$5,$G66&lt;AR$5+GanttPeriod),"◆",IF(AND($E66&gt;=AR$5,$E66&lt;AR$5+GanttPeriod),"◇","")),IF(AND(AR$5&lt;=$F66,AR$5+GanttPeriod-1&gt;=$E66),"━","")))</f>
        <v/>
      </c>
      <c r="AS66" s="69" t="str">
        <f aca="false">IF($E66="","",IF($M66,IF(AND($G66&gt;=AS$5,$G66&lt;AS$5+GanttPeriod),"◆",IF(AND($E66&gt;=AS$5,$E66&lt;AS$5+GanttPeriod),"◇","")),IF(AND(AS$5&lt;=$F66,AS$5+GanttPeriod-1&gt;=$E66),"━","")))</f>
        <v/>
      </c>
      <c r="AT66" s="69" t="str">
        <f aca="false">IF($E66="","",IF($M66,IF(AND($G66&gt;=AT$5,$G66&lt;AT$5+GanttPeriod),"◆",IF(AND($E66&gt;=AT$5,$E66&lt;AT$5+GanttPeriod),"◇","")),IF(AND(AT$5&lt;=$F66,AT$5+GanttPeriod-1&gt;=$E66),"━","")))</f>
        <v/>
      </c>
      <c r="AU66" s="69" t="str">
        <f aca="false">IF($E66="","",IF($M66,IF(AND($G66&gt;=AU$5,$G66&lt;AU$5+GanttPeriod),"◆",IF(AND($E66&gt;=AU$5,$E66&lt;AU$5+GanttPeriod),"◇","")),IF(AND(AU$5&lt;=$F66,AU$5+GanttPeriod-1&gt;=$E66),"━","")))</f>
        <v/>
      </c>
      <c r="AV66" s="69" t="str">
        <f aca="false">IF($E66="","",IF($M66,IF(AND($G66&gt;=AV$5,$G66&lt;AV$5+GanttPeriod),"◆",IF(AND($E66&gt;=AV$5,$E66&lt;AV$5+GanttPeriod),"◇","")),IF(AND(AV$5&lt;=$F66,AV$5+GanttPeriod-1&gt;=$E66),"━","")))</f>
        <v/>
      </c>
      <c r="AW66" s="69" t="str">
        <f aca="false">IF($E66="","",IF($M66,IF(AND($G66&gt;=AW$5,$G66&lt;AW$5+GanttPeriod),"◆",IF(AND($E66&gt;=AW$5,$E66&lt;AW$5+GanttPeriod),"◇","")),IF(AND(AW$5&lt;=$F66,AW$5+GanttPeriod-1&gt;=$E66),"━","")))</f>
        <v/>
      </c>
      <c r="AX66" s="69" t="str">
        <f aca="false">IF($E66="","",IF($M66,IF(AND($G66&gt;=AX$5,$G66&lt;AX$5+GanttPeriod),"◆",IF(AND($E66&gt;=AX$5,$E66&lt;AX$5+GanttPeriod),"◇","")),IF(AND(AX$5&lt;=$F66,AX$5+GanttPeriod-1&gt;=$E66),"━","")))</f>
        <v/>
      </c>
      <c r="AY66" s="69" t="str">
        <f aca="false">IF($E66="","",IF($M66,IF(AND($G66&gt;=AY$5,$G66&lt;AY$5+GanttPeriod),"◆",IF(AND($E66&gt;=AY$5,$E66&lt;AY$5+GanttPeriod),"◇","")),IF(AND(AY$5&lt;=$F66,AY$5+GanttPeriod-1&gt;=$E66),"━","")))</f>
        <v/>
      </c>
      <c r="AZ66" s="69" t="str">
        <f aca="false">IF($E66="","",IF($M66,IF(AND($G66&gt;=AZ$5,$G66&lt;AZ$5+GanttPeriod),"◆",IF(AND($E66&gt;=AZ$5,$E66&lt;AZ$5+GanttPeriod),"◇","")),IF(AND(AZ$5&lt;=$F66,AZ$5+GanttPeriod-1&gt;=$E66),"━","")))</f>
        <v/>
      </c>
      <c r="BA66" s="69" t="str">
        <f aca="false">IF($E66="","",IF($M66,IF(AND($G66&gt;=BA$5,$G66&lt;BA$5+GanttPeriod),"◆",IF(AND($E66&gt;=BA$5,$E66&lt;BA$5+GanttPeriod),"◇","")),IF(AND(BA$5&lt;=$F66,BA$5+GanttPeriod-1&gt;=$E66),"━","")))</f>
        <v/>
      </c>
      <c r="BB66" s="69" t="str">
        <f aca="false">IF($E66="","",IF($M66,IF(AND($G66&gt;=BB$5,$G66&lt;BB$5+GanttPeriod),"◆",IF(AND($E66&gt;=BB$5,$E66&lt;BB$5+GanttPeriod),"◇","")),IF(AND(BB$5&lt;=$F66,BB$5+GanttPeriod-1&gt;=$E66),"━","")))</f>
        <v/>
      </c>
      <c r="BC66" s="69" t="str">
        <f aca="false">IF($E66="","",IF($M66,IF(AND($G66&gt;=BC$5,$G66&lt;BC$5+GanttPeriod),"◆",IF(AND($E66&gt;=BC$5,$E66&lt;BC$5+GanttPeriod),"◇","")),IF(AND(BC$5&lt;=$F66,BC$5+GanttPeriod-1&gt;=$E66),"━","")))</f>
        <v/>
      </c>
      <c r="BD66" s="69" t="str">
        <f aca="false">IF($E66="","",IF($M66,IF(AND($G66&gt;=BD$5,$G66&lt;BD$5+GanttPeriod),"◆",IF(AND($E66&gt;=BD$5,$E66&lt;BD$5+GanttPeriod),"◇","")),IF(AND(BD$5&lt;=$F66,BD$5+GanttPeriod-1&gt;=$E66),"━","")))</f>
        <v/>
      </c>
      <c r="BE66" s="69" t="str">
        <f aca="false">IF($E66="","",IF($M66,IF(AND($G66&gt;=BE$5,$G66&lt;BE$5+GanttPeriod),"◆",IF(AND($E66&gt;=BE$5,$E66&lt;BE$5+GanttPeriod),"◇","")),IF(AND(BE$5&lt;=$F66,BE$5+GanttPeriod-1&gt;=$E66),"━","")))</f>
        <v/>
      </c>
      <c r="BF66" s="69" t="str">
        <f aca="false">IF($E66="","",IF($M66,IF(AND($G66&gt;=BF$5,$G66&lt;BF$5+GanttPeriod),"◆",IF(AND($E66&gt;=BF$5,$E66&lt;BF$5+GanttPeriod),"◇","")),IF(AND(BF$5&lt;=$F66,BF$5+GanttPeriod-1&gt;=$E66),"━","")))</f>
        <v/>
      </c>
      <c r="BG66" s="69" t="str">
        <f aca="false">IF($E66="","",IF($M66,IF(AND($G66&gt;=BG$5,$G66&lt;BG$5+GanttPeriod),"◆",IF(AND($E66&gt;=BG$5,$E66&lt;BG$5+GanttPeriod),"◇","")),IF(AND(BG$5&lt;=$F66,BG$5+GanttPeriod-1&gt;=$E66),"━","")))</f>
        <v/>
      </c>
      <c r="BH66" s="69" t="str">
        <f aca="false">IF($E66="","",IF($M66,IF(AND($G66&gt;=BH$5,$G66&lt;BH$5+GanttPeriod),"◆",IF(AND($E66&gt;=BH$5,$E66&lt;BH$5+GanttPeriod),"◇","")),IF(AND(BH$5&lt;=$F66,BH$5+GanttPeriod-1&gt;=$E66),"━","")))</f>
        <v/>
      </c>
      <c r="BI66" s="69" t="str">
        <f aca="false">IF($E66="","",IF($M66,IF(AND($G66&gt;=BI$5,$G66&lt;BI$5+GanttPeriod),"◆",IF(AND($E66&gt;=BI$5,$E66&lt;BI$5+GanttPeriod),"◇","")),IF(AND(BI$5&lt;=$F66,BI$5+GanttPeriod-1&gt;=$E66),"━","")))</f>
        <v/>
      </c>
      <c r="BJ66" s="69" t="str">
        <f aca="false">IF($E66="","",IF($M66,IF(AND($G66&gt;=BJ$5,$G66&lt;BJ$5+GanttPeriod),"◆",IF(AND($E66&gt;=BJ$5,$E66&lt;BJ$5+GanttPeriod),"◇","")),IF(AND(BJ$5&lt;=$F66,BJ$5+GanttPeriod-1&gt;=$E66),"━","")))</f>
        <v/>
      </c>
      <c r="BK66" s="69" t="str">
        <f aca="false">IF($E66="","",IF($M66,IF(AND($G66&gt;=BK$5,$G66&lt;BK$5+GanttPeriod),"◆",IF(AND($E66&gt;=BK$5,$E66&lt;BK$5+GanttPeriod),"◇","")),IF(AND(BK$5&lt;=$F66,BK$5+GanttPeriod-1&gt;=$E66),"━","")))</f>
        <v/>
      </c>
      <c r="BL66" s="69" t="str">
        <f aca="false">IF($E66="","",IF($M66,IF(AND($G66&gt;=BL$5,$G66&lt;BL$5+GanttPeriod),"◆",IF(AND($E66&gt;=BL$5,$E66&lt;BL$5+GanttPeriod),"◇","")),IF(AND(BL$5&lt;=$F66,BL$5+GanttPeriod-1&gt;=$E66),"━","")))</f>
        <v/>
      </c>
      <c r="BM66" s="69" t="str">
        <f aca="false">IF($E66="","",IF($M66,IF(AND($G66&gt;=BM$5,$G66&lt;BM$5+GanttPeriod),"◆",IF(AND($E66&gt;=BM$5,$E66&lt;BM$5+GanttPeriod),"◇","")),IF(AND(BM$5&lt;=$F66,BM$5+GanttPeriod-1&gt;=$E66),"━","")))</f>
        <v/>
      </c>
      <c r="BN66" s="69" t="str">
        <f aca="false">IF($E66="","",IF($M66,IF(AND($G66&gt;=BN$5,$G66&lt;BN$5+GanttPeriod),"◆",IF(AND($E66&gt;=BN$5,$E66&lt;BN$5+GanttPeriod),"◇","")),IF(AND(BN$5&lt;=$F66,BN$5+GanttPeriod-1&gt;=$E66),"━","")))</f>
        <v/>
      </c>
      <c r="BO66" s="69" t="str">
        <f aca="false">IF($E66="","",IF($M66,IF(AND($G66&gt;=BO$5,$G66&lt;BO$5+GanttPeriod),"◆",IF(AND($E66&gt;=BO$5,$E66&lt;BO$5+GanttPeriod),"◇","")),IF(AND(BO$5&lt;=$F66,BO$5+GanttPeriod-1&gt;=$E66),"━","")))</f>
        <v/>
      </c>
      <c r="BP66" s="69" t="str">
        <f aca="false">IF($E66="","",IF($M66,IF(AND($G66&gt;=BP$5,$G66&lt;BP$5+GanttPeriod),"◆",IF(AND($E66&gt;=BP$5,$E66&lt;BP$5+GanttPeriod),"◇","")),IF(AND(BP$5&lt;=$F66,BP$5+GanttPeriod-1&gt;=$E66),"━","")))</f>
        <v/>
      </c>
      <c r="BQ66" s="69" t="str">
        <f aca="false">IF($E66="","",IF($M66,IF(AND($G66&gt;=BQ$5,$G66&lt;BQ$5+GanttPeriod),"◆",IF(AND($E66&gt;=BQ$5,$E66&lt;BQ$5+GanttPeriod),"◇","")),IF(AND(BQ$5&lt;=$F66,BQ$5+GanttPeriod-1&gt;=$E66),"━","")))</f>
        <v/>
      </c>
      <c r="BR66" s="69" t="str">
        <f aca="false">IF($E66="","",IF($M66,IF(AND($G66&gt;=BR$5,$G66&lt;BR$5+GanttPeriod),"◆",IF(AND($E66&gt;=BR$5,$E66&lt;BR$5+GanttPeriod),"◇","")),IF(AND(BR$5&lt;=$F66,BR$5+GanttPeriod-1&gt;=$E66),"━","")))</f>
        <v/>
      </c>
      <c r="BS66" s="69" t="str">
        <f aca="false">IF($E66="","",IF($M66,IF(AND($G66&gt;=BS$5,$G66&lt;BS$5+GanttPeriod),"◆",IF(AND($E66&gt;=BS$5,$E66&lt;BS$5+GanttPeriod),"◇","")),IF(AND(BS$5&lt;=$F66,BS$5+GanttPeriod-1&gt;=$E66),"━","")))</f>
        <v/>
      </c>
      <c r="BT66" s="69" t="str">
        <f aca="false">IF($E66="","",IF($M66,IF(AND($G66&gt;=BT$5,$G66&lt;BT$5+GanttPeriod),"◆",IF(AND($E66&gt;=BT$5,$E66&lt;BT$5+GanttPeriod),"◇","")),IF(AND(BT$5&lt;=$F66,BT$5+GanttPeriod-1&gt;=$E66),"━","")))</f>
        <v/>
      </c>
      <c r="BU66" s="69" t="str">
        <f aca="false">IF($E66="","",IF($M66,IF(AND($G66&gt;=BU$5,$G66&lt;BU$5+GanttPeriod),"◆",IF(AND($E66&gt;=BU$5,$E66&lt;BU$5+GanttPeriod),"◇","")),IF(AND(BU$5&lt;=$F66,BU$5+GanttPeriod-1&gt;=$E66),"━","")))</f>
        <v/>
      </c>
      <c r="BV66" s="69" t="str">
        <f aca="false">IF($E66="","",IF($M66,IF(AND($G66&gt;=BV$5,$G66&lt;BV$5+GanttPeriod),"◆",IF(AND($E66&gt;=BV$5,$E66&lt;BV$5+GanttPeriod),"◇","")),IF(AND(BV$5&lt;=$F66,BV$5+GanttPeriod-1&gt;=$E66),"━","")))</f>
        <v/>
      </c>
      <c r="BW66" s="69" t="str">
        <f aca="false">IF($E66="","",IF($M66,IF(AND($G66&gt;=BW$5,$G66&lt;BW$5+GanttPeriod),"◆",IF(AND($E66&gt;=BW$5,$E66&lt;BW$5+GanttPeriod),"◇","")),IF(AND(BW$5&lt;=$F66,BW$5+GanttPeriod-1&gt;=$E66),"━","")))</f>
        <v/>
      </c>
      <c r="BX66" s="69" t="str">
        <f aca="false">IF($E66="","",IF($M66,IF(AND($G66&gt;=BX$5,$G66&lt;BX$5+GanttPeriod),"◆",IF(AND($E66&gt;=BX$5,$E66&lt;BX$5+GanttPeriod),"◇","")),IF(AND(BX$5&lt;=$F66,BX$5+GanttPeriod-1&gt;=$E66),"━","")))</f>
        <v/>
      </c>
      <c r="BY66" s="69" t="str">
        <f aca="false">IF($E66="","",IF($M66,IF(AND($G66&gt;=BY$5,$G66&lt;BY$5+GanttPeriod),"◆",IF(AND($E66&gt;=BY$5,$E66&lt;BY$5+GanttPeriod),"◇","")),IF(AND(BY$5&lt;=$F66,BY$5+GanttPeriod-1&gt;=$E66),"━","")))</f>
        <v/>
      </c>
      <c r="BZ66" s="69" t="str">
        <f aca="false">IF($E66="","",IF($M66,IF(AND($G66&gt;=BZ$5,$G66&lt;BZ$5+GanttPeriod),"◆",IF(AND($E66&gt;=BZ$5,$E66&lt;BZ$5+GanttPeriod),"◇","")),IF(AND(BZ$5&lt;=$F66,BZ$5+GanttPeriod-1&gt;=$E66),"━","")))</f>
        <v/>
      </c>
      <c r="CA66" s="69" t="str">
        <f aca="false">IF($E66="","",IF($M66,IF(AND($G66&gt;=CA$5,$G66&lt;CA$5+GanttPeriod),"◆",IF(AND($E66&gt;=CA$5,$E66&lt;CA$5+GanttPeriod),"◇","")),IF(AND(CA$5&lt;=$F66,CA$5+GanttPeriod-1&gt;=$E66),"━","")))</f>
        <v/>
      </c>
      <c r="CB66" s="69" t="str">
        <f aca="false">IF($E66="","",IF($M66,IF(AND($G66&gt;=CB$5,$G66&lt;CB$5+GanttPeriod),"◆",IF(AND($E66&gt;=CB$5,$E66&lt;CB$5+GanttPeriod),"◇","")),IF(AND(CB$5&lt;=$F66,CB$5+GanttPeriod-1&gt;=$E66),"━","")))</f>
        <v/>
      </c>
      <c r="CC66" s="69" t="str">
        <f aca="false">IF($E66="","",IF($M66,IF(AND($G66&gt;=CC$5,$G66&lt;CC$5+GanttPeriod),"◆",IF(AND($E66&gt;=CC$5,$E66&lt;CC$5+GanttPeriod),"◇","")),IF(AND(CC$5&lt;=$F66,CC$5+GanttPeriod-1&gt;=$E66),"━","")))</f>
        <v/>
      </c>
      <c r="CD66" s="69" t="str">
        <f aca="false">IF($E66="","",IF($M66,IF(AND($G66&gt;=CD$5,$G66&lt;CD$5+GanttPeriod),"◆",IF(AND($E66&gt;=CD$5,$E66&lt;CD$5+GanttPeriod),"◇","")),IF(AND(CD$5&lt;=$F66,CD$5+GanttPeriod-1&gt;=$E66),"━","")))</f>
        <v/>
      </c>
      <c r="CE66" s="69" t="str">
        <f aca="false">IF($E66="","",IF($M66,IF(AND($G66&gt;=CE$5,$G66&lt;CE$5+GanttPeriod),"◆",IF(AND($E66&gt;=CE$5,$E66&lt;CE$5+GanttPeriod),"◇","")),IF(AND(CE$5&lt;=$F66,CE$5+GanttPeriod-1&gt;=$E66),"━","")))</f>
        <v/>
      </c>
      <c r="CF66" s="69" t="str">
        <f aca="false">IF($E66="","",IF($M66,IF(AND($G66&gt;=CF$5,$G66&lt;CF$5+GanttPeriod),"◆",IF(AND($E66&gt;=CF$5,$E66&lt;CF$5+GanttPeriod),"◇","")),IF(AND(CF$5&lt;=$F66,CF$5+GanttPeriod-1&gt;=$E66),"━","")))</f>
        <v/>
      </c>
      <c r="CG66" s="69" t="str">
        <f aca="false">IF($E66="","",IF($M66,IF(AND($G66&gt;=CG$5,$G66&lt;CG$5+GanttPeriod),"◆",IF(AND($E66&gt;=CG$5,$E66&lt;CG$5+GanttPeriod),"◇","")),IF(AND(CG$5&lt;=$F66,CG$5+GanttPeriod-1&gt;=$E66),"━","")))</f>
        <v/>
      </c>
      <c r="CH66" s="69" t="str">
        <f aca="false">IF($E66="","",IF($M66,IF(AND($G66&gt;=CH$5,$G66&lt;CH$5+GanttPeriod),"◆",IF(AND($E66&gt;=CH$5,$E66&lt;CH$5+GanttPeriod),"◇","")),IF(AND(CH$5&lt;=$F66,CH$5+GanttPeriod-1&gt;=$E66),"━","")))</f>
        <v/>
      </c>
      <c r="CI66" s="69" t="str">
        <f aca="false">IF($E66="","",IF($M66,IF(AND($G66&gt;=CI$5,$G66&lt;CI$5+GanttPeriod),"◆",IF(AND($E66&gt;=CI$5,$E66&lt;CI$5+GanttPeriod),"◇","")),IF(AND(CI$5&lt;=$F66,CI$5+GanttPeriod-1&gt;=$E66),"━","")))</f>
        <v/>
      </c>
      <c r="CJ66" s="69" t="str">
        <f aca="false">IF($E66="","",IF($M66,IF(AND($G66&gt;=CJ$5,$G66&lt;CJ$5+GanttPeriod),"◆",IF(AND($E66&gt;=CJ$5,$E66&lt;CJ$5+GanttPeriod),"◇","")),IF(AND(CJ$5&lt;=$F66,CJ$5+GanttPeriod-1&gt;=$E66),"━","")))</f>
        <v/>
      </c>
      <c r="CK66" s="69" t="str">
        <f aca="false">IF($E66="","",IF($M66,IF(AND($G66&gt;=CK$5,$G66&lt;CK$5+GanttPeriod),"◆",IF(AND($E66&gt;=CK$5,$E66&lt;CK$5+GanttPeriod),"◇","")),IF(AND(CK$5&lt;=$F66,CK$5+GanttPeriod-1&gt;=$E66),"━","")))</f>
        <v/>
      </c>
      <c r="CL66" s="69" t="str">
        <f aca="false">IF($E66="","",IF($M66,IF(AND($G66&gt;=CL$5,$G66&lt;CL$5+GanttPeriod),"◆",IF(AND($E66&gt;=CL$5,$E66&lt;CL$5+GanttPeriod),"◇","")),IF(AND(CL$5&lt;=$F66,CL$5+GanttPeriod-1&gt;=$E66),"━","")))</f>
        <v/>
      </c>
      <c r="CM66" s="69" t="str">
        <f aca="false">IF($E66="","",IF($M66,IF(AND($G66&gt;=CM$5,$G66&lt;CM$5+GanttPeriod),"◆",IF(AND($E66&gt;=CM$5,$E66&lt;CM$5+GanttPeriod),"◇","")),IF(AND(CM$5&lt;=$F66,CM$5+GanttPeriod-1&gt;=$E66),"━","")))</f>
        <v/>
      </c>
      <c r="CN66" s="69" t="str">
        <f aca="false">IF($E66="","",IF($M66,IF(AND($G66&gt;=CN$5,$G66&lt;CN$5+GanttPeriod),"◆",IF(AND($E66&gt;=CN$5,$E66&lt;CN$5+GanttPeriod),"◇","")),IF(AND(CN$5&lt;=$F66,CN$5+GanttPeriod-1&gt;=$E66),"━","")))</f>
        <v/>
      </c>
      <c r="CO66" s="69" t="str">
        <f aca="false">IF($E66="","",IF($M66,IF(AND($G66&gt;=CO$5,$G66&lt;CO$5+GanttPeriod),"◆",IF(AND($E66&gt;=CO$5,$E66&lt;CO$5+GanttPeriod),"◇","")),IF(AND(CO$5&lt;=$F66,CO$5+GanttPeriod-1&gt;=$E66),"━","")))</f>
        <v/>
      </c>
      <c r="CP66" s="69" t="str">
        <f aca="false">IF($E66="","",IF($M66,IF(AND($G66&gt;=CP$5,$G66&lt;CP$5+GanttPeriod),"◆",IF(AND($E66&gt;=CP$5,$E66&lt;CP$5+GanttPeriod),"◇","")),IF(AND(CP$5&lt;=$F66,CP$5+GanttPeriod-1&gt;=$E66),"━","")))</f>
        <v/>
      </c>
      <c r="CQ66" s="69" t="str">
        <f aca="false">IF($E66="","",IF($M66,IF(AND($G66&gt;=CQ$5,$G66&lt;CQ$5+GanttPeriod),"◆",IF(AND($E66&gt;=CQ$5,$E66&lt;CQ$5+GanttPeriod),"◇","")),IF(AND(CQ$5&lt;=$F66,CQ$5+GanttPeriod-1&gt;=$E66),"━","")))</f>
        <v/>
      </c>
      <c r="CR66" s="69" t="str">
        <f aca="false">IF($E66="","",IF($M66,IF(AND($G66&gt;=CR$5,$G66&lt;CR$5+GanttPeriod),"◆",IF(AND($E66&gt;=CR$5,$E66&lt;CR$5+GanttPeriod),"◇","")),IF(AND(CR$5&lt;=$F66,CR$5+GanttPeriod-1&gt;=$E66),"━","")))</f>
        <v/>
      </c>
      <c r="CS66" s="69" t="str">
        <f aca="false">IF($E66="","",IF($M66,IF(AND($G66&gt;=CS$5,$G66&lt;CS$5+GanttPeriod),"◆",IF(AND($E66&gt;=CS$5,$E66&lt;CS$5+GanttPeriod),"◇","")),IF(AND(CS$5&lt;=$F66,CS$5+GanttPeriod-1&gt;=$E66),"━","")))</f>
        <v/>
      </c>
      <c r="CT66" s="69" t="str">
        <f aca="false">IF($E66="","",IF($M66,IF(AND($G66&gt;=CT$5,$G66&lt;CT$5+GanttPeriod),"◆",IF(AND($E66&gt;=CT$5,$E66&lt;CT$5+GanttPeriod),"◇","")),IF(AND(CT$5&lt;=$F66,CT$5+GanttPeriod-1&gt;=$E66),"━","")))</f>
        <v/>
      </c>
      <c r="CU66" s="69" t="str">
        <f aca="false">IF($E66="","",IF($M66,IF(AND($G66&gt;=CU$5,$G66&lt;CU$5+GanttPeriod),"◆",IF(AND($E66&gt;=CU$5,$E66&lt;CU$5+GanttPeriod),"◇","")),IF(AND(CU$5&lt;=$F66,CU$5+GanttPeriod-1&gt;=$E66),"━","")))</f>
        <v/>
      </c>
      <c r="CV66" s="69" t="str">
        <f aca="false">IF($E66="","",IF($M66,IF(AND($G66&gt;=CV$5,$G66&lt;CV$5+GanttPeriod),"◆",IF(AND($E66&gt;=CV$5,$E66&lt;CV$5+GanttPeriod),"◇","")),IF(AND(CV$5&lt;=$F66,CV$5+GanttPeriod-1&gt;=$E66),"━","")))</f>
        <v/>
      </c>
      <c r="CW66" s="69" t="str">
        <f aca="false">IF($E66="","",IF($M66,IF(AND($G66&gt;=CW$5,$G66&lt;CW$5+GanttPeriod),"◆",IF(AND($E66&gt;=CW$5,$E66&lt;CW$5+GanttPeriod),"◇","")),IF(AND(CW$5&lt;=$F66,CW$5+GanttPeriod-1&gt;=$E66),"━","")))</f>
        <v/>
      </c>
      <c r="CX66" s="69" t="str">
        <f aca="false">IF($E66="","",IF($M66,IF(AND($G66&gt;=CX$5,$G66&lt;CX$5+GanttPeriod),"◆",IF(AND($E66&gt;=CX$5,$E66&lt;CX$5+GanttPeriod),"◇","")),IF(AND(CX$5&lt;=$F66,CX$5+GanttPeriod-1&gt;=$E66),"━","")))</f>
        <v/>
      </c>
      <c r="CY66" s="69" t="str">
        <f aca="false">IF($E66="","",IF($M66,IF(AND($G66&gt;=CY$5,$G66&lt;CY$5+GanttPeriod),"◆",IF(AND($E66&gt;=CY$5,$E66&lt;CY$5+GanttPeriod),"◇","")),IF(AND(CY$5&lt;=$F66,CY$5+GanttPeriod-1&gt;=$E66),"━","")))</f>
        <v/>
      </c>
      <c r="CZ66" s="69" t="str">
        <f aca="false">IF($E66="","",IF($M66,IF(AND($G66&gt;=CZ$5,$G66&lt;CZ$5+GanttPeriod),"◆",IF(AND($E66&gt;=CZ$5,$E66&lt;CZ$5+GanttPeriod),"◇","")),IF(AND(CZ$5&lt;=$F66,CZ$5+GanttPeriod-1&gt;=$E66),"━","")))</f>
        <v/>
      </c>
      <c r="DA66" s="69" t="str">
        <f aca="false">IF($E66="","",IF($M66,IF(AND($G66&gt;=DA$5,$G66&lt;DA$5+GanttPeriod),"◆",IF(AND($E66&gt;=DA$5,$E66&lt;DA$5+GanttPeriod),"◇","")),IF(AND(DA$5&lt;=$F66,DA$5+GanttPeriod-1&gt;=$E66),"━","")))</f>
        <v/>
      </c>
      <c r="DB66" s="69" t="str">
        <f aca="false">IF($E66="","",IF($M66,IF(AND($G66&gt;=DB$5,$G66&lt;DB$5+GanttPeriod),"◆",IF(AND($E66&gt;=DB$5,$E66&lt;DB$5+GanttPeriod),"◇","")),IF(AND(DB$5&lt;=$F66,DB$5+GanttPeriod-1&gt;=$E66),"━","")))</f>
        <v/>
      </c>
      <c r="DC66" s="69" t="str">
        <f aca="false">IF($E66="","",IF($M66,IF(AND($G66&gt;=DC$5,$G66&lt;DC$5+GanttPeriod),"◆",IF(AND($E66&gt;=DC$5,$E66&lt;DC$5+GanttPeriod),"◇","")),IF(AND(DC$5&lt;=$F66,DC$5+GanttPeriod-1&gt;=$E66),"━","")))</f>
        <v/>
      </c>
      <c r="DD66" s="69" t="str">
        <f aca="false">IF($E66="","",IF($M66,IF(AND($G66&gt;=DD$5,$G66&lt;DD$5+GanttPeriod),"◆",IF(AND($E66&gt;=DD$5,$E66&lt;DD$5+GanttPeriod),"◇","")),IF(AND(DD$5&lt;=$F66,DD$5+GanttPeriod-1&gt;=$E66),"━","")))</f>
        <v/>
      </c>
      <c r="DE66" s="69" t="str">
        <f aca="false">IF($E66="","",IF($M66,IF(AND($G66&gt;=DE$5,$G66&lt;DE$5+GanttPeriod),"◆",IF(AND($E66&gt;=DE$5,$E66&lt;DE$5+GanttPeriod),"◇","")),IF(AND(DE$5&lt;=$F66,DE$5+GanttPeriod-1&gt;=$E66),"━","")))</f>
        <v/>
      </c>
      <c r="DF66" s="69" t="str">
        <f aca="false">IF($E66="","",IF($M66,IF(AND($G66&gt;=DF$5,$G66&lt;DF$5+GanttPeriod),"◆",IF(AND($E66&gt;=DF$5,$E66&lt;DF$5+GanttPeriod),"◇","")),IF(AND(DF$5&lt;=$F66,DF$5+GanttPeriod-1&gt;=$E66),"━","")))</f>
        <v/>
      </c>
      <c r="DG66" s="69" t="str">
        <f aca="false">IF($E66="","",IF($M66,IF(AND($G66&gt;=DG$5,$G66&lt;DG$5+GanttPeriod),"◆",IF(AND($E66&gt;=DG$5,$E66&lt;DG$5+GanttPeriod),"◇","")),IF(AND(DG$5&lt;=$F66,DG$5+GanttPeriod-1&gt;=$E66),"━","")))</f>
        <v/>
      </c>
      <c r="DH66" s="69" t="str">
        <f aca="false">IF($E66="","",IF($M66,IF(AND($G66&gt;=DH$5,$G66&lt;DH$5+GanttPeriod),"◆",IF(AND($E66&gt;=DH$5,$E66&lt;DH$5+GanttPeriod),"◇","")),IF(AND(DH$5&lt;=$F66,DH$5+GanttPeriod-1&gt;=$E66),"━","")))</f>
        <v/>
      </c>
      <c r="DI66" s="69" t="str">
        <f aca="false">IF($E66="","",IF($M66,IF(AND($G66&gt;=DI$5,$G66&lt;DI$5+GanttPeriod),"◆",IF(AND($E66&gt;=DI$5,$E66&lt;DI$5+GanttPeriod),"◇","")),IF(AND(DI$5&lt;=$F66,DI$5+GanttPeriod-1&gt;=$E66),"━","")))</f>
        <v/>
      </c>
      <c r="DJ66" s="69" t="str">
        <f aca="false">IF($E66="","",IF($M66,IF(AND($G66&gt;=DJ$5,$G66&lt;DJ$5+GanttPeriod),"◆",IF(AND($E66&gt;=DJ$5,$E66&lt;DJ$5+GanttPeriod),"◇","")),IF(AND(DJ$5&lt;=$F66,DJ$5+GanttPeriod-1&gt;=$E66),"━","")))</f>
        <v/>
      </c>
      <c r="DK66" s="69" t="str">
        <f aca="false">IF($E66="","",IF($M66,IF(AND($G66&gt;=DK$5,$G66&lt;DK$5+GanttPeriod),"◆",IF(AND($E66&gt;=DK$5,$E66&lt;DK$5+GanttPeriod),"◇","")),IF(AND(DK$5&lt;=$F66,DK$5+GanttPeriod-1&gt;=$E66),"━","")))</f>
        <v/>
      </c>
      <c r="DL66" s="69" t="str">
        <f aca="false">IF($E66="","",IF($M66,IF(AND($G66&gt;=DL$5,$G66&lt;DL$5+GanttPeriod),"◆",IF(AND($E66&gt;=DL$5,$E66&lt;DL$5+GanttPeriod),"◇","")),IF(AND(DL$5&lt;=$F66,DL$5+GanttPeriod-1&gt;=$E66),"━","")))</f>
        <v/>
      </c>
      <c r="DM66" s="69" t="str">
        <f aca="false">IF($E66="","",IF($M66,IF(AND($G66&gt;=DM$5,$G66&lt;DM$5+GanttPeriod),"◆",IF(AND($E66&gt;=DM$5,$E66&lt;DM$5+GanttPeriod),"◇","")),IF(AND(DM$5&lt;=$F66,DM$5+GanttPeriod-1&gt;=$E66),"━","")))</f>
        <v/>
      </c>
      <c r="DN66" s="69" t="str">
        <f aca="false">IF($E66="","",IF($M66,IF(AND($G66&gt;=DN$5,$G66&lt;DN$5+GanttPeriod),"◆",IF(AND($E66&gt;=DN$5,$E66&lt;DN$5+GanttPeriod),"◇","")),IF(AND(DN$5&lt;=$F66,DN$5+GanttPeriod-1&gt;=$E66),"━","")))</f>
        <v/>
      </c>
      <c r="DO66" s="69" t="str">
        <f aca="false">IF($E66="","",IF($M66,IF(AND($G66&gt;=DO$5,$G66&lt;DO$5+GanttPeriod),"◆",IF(AND($E66&gt;=DO$5,$E66&lt;DO$5+GanttPeriod),"◇","")),IF(AND(DO$5&lt;=$F66,DO$5+GanttPeriod-1&gt;=$E66),"━","")))</f>
        <v/>
      </c>
      <c r="DP66" s="69" t="str">
        <f aca="false">IF($E66="","",IF($M66,IF(AND($G66&gt;=DP$5,$G66&lt;DP$5+GanttPeriod),"◆",IF(AND($E66&gt;=DP$5,$E66&lt;DP$5+GanttPeriod),"◇","")),IF(AND(DP$5&lt;=$F66,DP$5+GanttPeriod-1&gt;=$E66),"━","")))</f>
        <v/>
      </c>
      <c r="DQ66" s="69" t="str">
        <f aca="false">IF($E66="","",IF($M66,IF(AND($G66&gt;=DQ$5,$G66&lt;DQ$5+GanttPeriod),"◆",IF(AND($E66&gt;=DQ$5,$E66&lt;DQ$5+GanttPeriod),"◇","")),IF(AND(DQ$5&lt;=$F66,DQ$5+GanttPeriod-1&gt;=$E66),"━","")))</f>
        <v/>
      </c>
      <c r="DR66" s="69" t="str">
        <f aca="false">IF($E66="","",IF($M66,IF(AND($G66&gt;=DR$5,$G66&lt;DR$5+GanttPeriod),"◆",IF(AND($E66&gt;=DR$5,$E66&lt;DR$5+GanttPeriod),"◇","")),IF(AND(DR$5&lt;=$F66,DR$5+GanttPeriod-1&gt;=$E66),"━","")))</f>
        <v/>
      </c>
      <c r="DS66" s="69" t="str">
        <f aca="false">IF($E66="","",IF($M66,IF(AND($G66&gt;=DS$5,$G66&lt;DS$5+GanttPeriod),"◆",IF(AND($E66&gt;=DS$5,$E66&lt;DS$5+GanttPeriod),"◇","")),IF(AND(DS$5&lt;=$F66,DS$5+GanttPeriod-1&gt;=$E66),"━","")))</f>
        <v/>
      </c>
      <c r="DT66" s="69" t="str">
        <f aca="false">IF($E66="","",IF($M66,IF(AND($G66&gt;=DT$5,$G66&lt;DT$5+GanttPeriod),"◆",IF(AND($E66&gt;=DT$5,$E66&lt;DT$5+GanttPeriod),"◇","")),IF(AND(DT$5&lt;=$F66,DT$5+GanttPeriod-1&gt;=$E66),"━","")))</f>
        <v/>
      </c>
      <c r="DU66" s="69" t="str">
        <f aca="false">IF($E66="","",IF($M66,IF(AND($G66&gt;=DU$5,$G66&lt;DU$5+GanttPeriod),"◆",IF(AND($E66&gt;=DU$5,$E66&lt;DU$5+GanttPeriod),"◇","")),IF(AND(DU$5&lt;=$F66,DU$5+GanttPeriod-1&gt;=$E66),"━","")))</f>
        <v/>
      </c>
      <c r="DV66" s="69" t="str">
        <f aca="false">IF($E66="","",IF($M66,IF(AND($G66&gt;=DV$5,$G66&lt;DV$5+GanttPeriod),"◆",IF(AND($E66&gt;=DV$5,$E66&lt;DV$5+GanttPeriod),"◇","")),IF(AND(DV$5&lt;=$F66,DV$5+GanttPeriod-1&gt;=$E66),"━","")))</f>
        <v/>
      </c>
      <c r="DW66" s="69" t="str">
        <f aca="false">IF($E66="","",IF($M66,IF(AND($G66&gt;=DW$5,$G66&lt;DW$5+GanttPeriod),"◆",IF(AND($E66&gt;=DW$5,$E66&lt;DW$5+GanttPeriod),"◇","")),IF(AND(DW$5&lt;=$F66,DW$5+GanttPeriod-1&gt;=$E66),"━","")))</f>
        <v/>
      </c>
      <c r="DX66" s="69" t="str">
        <f aca="false">IF($E66="","",IF($M66,IF(AND($G66&gt;=DX$5,$G66&lt;DX$5+GanttPeriod),"◆",IF(AND($E66&gt;=DX$5,$E66&lt;DX$5+GanttPeriod),"◇","")),IF(AND(DX$5&lt;=$F66,DX$5+GanttPeriod-1&gt;=$E66),"━","")))</f>
        <v/>
      </c>
      <c r="DY66" s="69" t="str">
        <f aca="false">IF($E66="","",IF($M66,IF(AND($G66&gt;=DY$5,$G66&lt;DY$5+GanttPeriod),"◆",IF(AND($E66&gt;=DY$5,$E66&lt;DY$5+GanttPeriod),"◇","")),IF(AND(DY$5&lt;=$F66,DY$5+GanttPeriod-1&gt;=$E66),"━","")))</f>
        <v/>
      </c>
      <c r="DZ66" s="69" t="str">
        <f aca="false">IF($E66="","",IF($M66,IF(AND($G66&gt;=DZ$5,$G66&lt;DZ$5+GanttPeriod),"◆",IF(AND($E66&gt;=DZ$5,$E66&lt;DZ$5+GanttPeriod),"◇","")),IF(AND(DZ$5&lt;=$F66,DZ$5+GanttPeriod-1&gt;=$E66),"━","")))</f>
        <v/>
      </c>
      <c r="EA66" s="69" t="str">
        <f aca="false">IF($E66="","",IF($M66,IF(AND($G66&gt;=EA$5,$G66&lt;EA$5+GanttPeriod),"◆",IF(AND($E66&gt;=EA$5,$E66&lt;EA$5+GanttPeriod),"◇","")),IF(AND(EA$5&lt;=$F66,EA$5+GanttPeriod-1&gt;=$E66),"━","")))</f>
        <v/>
      </c>
      <c r="EB66" s="69" t="str">
        <f aca="false">IF($E66="","",IF($M66,IF(AND($G66&gt;=EB$5,$G66&lt;EB$5+GanttPeriod),"◆",IF(AND($E66&gt;=EB$5,$E66&lt;EB$5+GanttPeriod),"◇","")),IF(AND(EB$5&lt;=$F66,EB$5+GanttPeriod-1&gt;=$E66),"━","")))</f>
        <v/>
      </c>
      <c r="EC66" s="69" t="str">
        <f aca="false">IF($E66="","",IF($M66,IF(AND($G66&gt;=EC$5,$G66&lt;EC$5+GanttPeriod),"◆",IF(AND($E66&gt;=EC$5,$E66&lt;EC$5+GanttPeriod),"◇","")),IF(AND(EC$5&lt;=$F66,EC$5+GanttPeriod-1&gt;=$E66),"━","")))</f>
        <v/>
      </c>
      <c r="ED66" s="69" t="str">
        <f aca="false">IF($E66="","",IF($M66,IF(AND($G66&gt;=ED$5,$G66&lt;ED$5+GanttPeriod),"◆",IF(AND($E66&gt;=ED$5,$E66&lt;ED$5+GanttPeriod),"◇","")),IF(AND(ED$5&lt;=$F66,ED$5+GanttPeriod-1&gt;=$E66),"━","")))</f>
        <v/>
      </c>
      <c r="EE66" s="69" t="str">
        <f aca="false">IF($E66="","",IF($M66,IF(AND($G66&gt;=EE$5,$G66&lt;EE$5+GanttPeriod),"◆",IF(AND($E66&gt;=EE$5,$E66&lt;EE$5+GanttPeriod),"◇","")),IF(AND(EE$5&lt;=$F66,EE$5+GanttPeriod-1&gt;=$E66),"━","")))</f>
        <v/>
      </c>
      <c r="EF66" s="69" t="str">
        <f aca="false">IF($E66="","",IF($M66,IF(AND($G66&gt;=EF$5,$G66&lt;EF$5+GanttPeriod),"◆",IF(AND($E66&gt;=EF$5,$E66&lt;EF$5+GanttPeriod),"◇","")),IF(AND(EF$5&lt;=$F66,EF$5+GanttPeriod-1&gt;=$E66),"━","")))</f>
        <v/>
      </c>
      <c r="EG66" s="69" t="str">
        <f aca="false">IF($E66="","",IF($M66,IF(AND($G66&gt;=EG$5,$G66&lt;EG$5+GanttPeriod),"◆",IF(AND($E66&gt;=EG$5,$E66&lt;EG$5+GanttPeriod),"◇","")),IF(AND(EG$5&lt;=$F66,EG$5+GanttPeriod-1&gt;=$E66),"━","")))</f>
        <v/>
      </c>
      <c r="EH66" s="69" t="str">
        <f aca="false">IF($E66="","",IF($M66,IF(AND($G66&gt;=EH$5,$G66&lt;EH$5+GanttPeriod),"◆",IF(AND($E66&gt;=EH$5,$E66&lt;EH$5+GanttPeriod),"◇","")),IF(AND(EH$5&lt;=$F66,EH$5+GanttPeriod-1&gt;=$E66),"━","")))</f>
        <v/>
      </c>
      <c r="EI66" s="69" t="str">
        <f aca="false">IF($E66="","",IF($M66,IF(AND($G66&gt;=EI$5,$G66&lt;EI$5+GanttPeriod),"◆",IF(AND($E66&gt;=EI$5,$E66&lt;EI$5+GanttPeriod),"◇","")),IF(AND(EI$5&lt;=$F66,EI$5+GanttPeriod-1&gt;=$E66),"━","")))</f>
        <v/>
      </c>
      <c r="EJ66" s="69" t="str">
        <f aca="false">IF($E66="","",IF($M66,IF(AND($G66&gt;=EJ$5,$G66&lt;EJ$5+GanttPeriod),"◆",IF(AND($E66&gt;=EJ$5,$E66&lt;EJ$5+GanttPeriod),"◇","")),IF(AND(EJ$5&lt;=$F66,EJ$5+GanttPeriod-1&gt;=$E66),"━","")))</f>
        <v/>
      </c>
      <c r="EK66" s="69" t="str">
        <f aca="false">IF($E66="","",IF($M66,IF(AND($G66&gt;=EK$5,$G66&lt;EK$5+GanttPeriod),"◆",IF(AND($E66&gt;=EK$5,$E66&lt;EK$5+GanttPeriod),"◇","")),IF(AND(EK$5&lt;=$F66,EK$5+GanttPeriod-1&gt;=$E66),"━","")))</f>
        <v/>
      </c>
      <c r="EL66" s="69" t="str">
        <f aca="false">IF($E66="","",IF($M66,IF(AND($G66&gt;=EL$5,$G66&lt;EL$5+GanttPeriod),"◆",IF(AND($E66&gt;=EL$5,$E66&lt;EL$5+GanttPeriod),"◇","")),IF(AND(EL$5&lt;=$F66,EL$5+GanttPeriod-1&gt;=$E66),"━","")))</f>
        <v/>
      </c>
      <c r="EM66" s="69" t="str">
        <f aca="false">IF($E66="","",IF($M66,IF(AND($G66&gt;=EM$5,$G66&lt;EM$5+GanttPeriod),"◆",IF(AND($E66&gt;=EM$5,$E66&lt;EM$5+GanttPeriod),"◇","")),IF(AND(EM$5&lt;=$F66,EM$5+GanttPeriod-1&gt;=$E66),"━","")))</f>
        <v/>
      </c>
      <c r="EN66" s="69" t="str">
        <f aca="false">IF($E66="","",IF($M66,IF(AND($G66&gt;=EN$5,$G66&lt;EN$5+GanttPeriod),"◆",IF(AND($E66&gt;=EN$5,$E66&lt;EN$5+GanttPeriod),"◇","")),IF(AND(EN$5&lt;=$F66,EN$5+GanttPeriod-1&gt;=$E66),"━","")))</f>
        <v/>
      </c>
      <c r="EO66" s="69" t="str">
        <f aca="false">IF($E66="","",IF($M66,IF(AND($G66&gt;=EO$5,$G66&lt;EO$5+GanttPeriod),"◆",IF(AND($E66&gt;=EO$5,$E66&lt;EO$5+GanttPeriod),"◇","")),IF(AND(EO$5&lt;=$F66,EO$5+GanttPeriod-1&gt;=$E66),"━","")))</f>
        <v/>
      </c>
      <c r="EP66" s="69" t="str">
        <f aca="false">IF($E66="","",IF($M66,IF(AND($G66&gt;=EP$5,$G66&lt;EP$5+GanttPeriod),"◆",IF(AND($E66&gt;=EP$5,$E66&lt;EP$5+GanttPeriod),"◇","")),IF(AND(EP$5&lt;=$F66,EP$5+GanttPeriod-1&gt;=$E66),"━","")))</f>
        <v/>
      </c>
      <c r="EQ66" s="69" t="str">
        <f aca="false">IF($E66="","",IF($M66,IF(AND($G66&gt;=EQ$5,$G66&lt;EQ$5+GanttPeriod),"◆",IF(AND($E66&gt;=EQ$5,$E66&lt;EQ$5+GanttPeriod),"◇","")),IF(AND(EQ$5&lt;=$F66,EQ$5+GanttPeriod-1&gt;=$E66),"━","")))</f>
        <v/>
      </c>
      <c r="ER66" s="69" t="str">
        <f aca="false">IF($E66="","",IF($M66,IF(AND($G66&gt;=ER$5,$G66&lt;ER$5+GanttPeriod),"◆",IF(AND($E66&gt;=ER$5,$E66&lt;ER$5+GanttPeriod),"◇","")),IF(AND(ER$5&lt;=$F66,ER$5+GanttPeriod-1&gt;=$E66),"━","")))</f>
        <v/>
      </c>
      <c r="ES66" s="69" t="str">
        <f aca="false">IF($E66="","",IF($M66,IF(AND($G66&gt;=ES$5,$G66&lt;ES$5+GanttPeriod),"◆",IF(AND($E66&gt;=ES$5,$E66&lt;ES$5+GanttPeriod),"◇","")),IF(AND(ES$5&lt;=$F66,ES$5+GanttPeriod-1&gt;=$E66),"━","")))</f>
        <v/>
      </c>
      <c r="ET66" s="69" t="str">
        <f aca="false">IF($E66="","",IF($M66,IF(AND($G66&gt;=ET$5,$G66&lt;ET$5+GanttPeriod),"◆",IF(AND($E66&gt;=ET$5,$E66&lt;ET$5+GanttPeriod),"◇","")),IF(AND(ET$5&lt;=$F66,ET$5+GanttPeriod-1&gt;=$E66),"━","")))</f>
        <v/>
      </c>
      <c r="EU66" s="69" t="str">
        <f aca="false">IF($E66="","",IF($M66,IF(AND($G66&gt;=EU$5,$G66&lt;EU$5+GanttPeriod),"◆",IF(AND($E66&gt;=EU$5,$E66&lt;EU$5+GanttPeriod),"◇","")),IF(AND(EU$5&lt;=$F66,EU$5+GanttPeriod-1&gt;=$E66),"━","")))</f>
        <v/>
      </c>
      <c r="EV66" s="69" t="str">
        <f aca="false">IF($E66="","",IF($M66,IF(AND($G66&gt;=EV$5,$G66&lt;EV$5+GanttPeriod),"◆",IF(AND($E66&gt;=EV$5,$E66&lt;EV$5+GanttPeriod),"◇","")),IF(AND(EV$5&lt;=$F66,EV$5+GanttPeriod-1&gt;=$E66),"━","")))</f>
        <v/>
      </c>
      <c r="EW66" s="69" t="str">
        <f aca="false">IF($E66="","",IF($M66,IF(AND($G66&gt;=EW$5,$G66&lt;EW$5+GanttPeriod),"◆",IF(AND($E66&gt;=EW$5,$E66&lt;EW$5+GanttPeriod),"◇","")),IF(AND(EW$5&lt;=$F66,EW$5+GanttPeriod-1&gt;=$E66),"━","")))</f>
        <v/>
      </c>
      <c r="EX66" s="69" t="str">
        <f aca="false">IF($E66="","",IF($M66,IF(AND($G66&gt;=EX$5,$G66&lt;EX$5+GanttPeriod),"◆",IF(AND($E66&gt;=EX$5,$E66&lt;EX$5+GanttPeriod),"◇","")),IF(AND(EX$5&lt;=$F66,EX$5+GanttPeriod-1&gt;=$E66),"━","")))</f>
        <v/>
      </c>
      <c r="EY66" s="69" t="str">
        <f aca="false">IF($E66="","",IF($M66,IF(AND($G66&gt;=EY$5,$G66&lt;EY$5+GanttPeriod),"◆",IF(AND($E66&gt;=EY$5,$E66&lt;EY$5+GanttPeriod),"◇","")),IF(AND(EY$5&lt;=$F66,EY$5+GanttPeriod-1&gt;=$E66),"━","")))</f>
        <v/>
      </c>
      <c r="EZ66" s="69" t="str">
        <f aca="false">IF($E66="","",IF($M66,IF(AND($G66&gt;=EZ$5,$G66&lt;EZ$5+GanttPeriod),"◆",IF(AND($E66&gt;=EZ$5,$E66&lt;EZ$5+GanttPeriod),"◇","")),IF(AND(EZ$5&lt;=$F66,EZ$5+GanttPeriod-1&gt;=$E66),"━","")))</f>
        <v/>
      </c>
      <c r="FA66" s="69" t="str">
        <f aca="false">IF($E66="","",IF($M66,IF(AND($G66&gt;=FA$5,$G66&lt;FA$5+GanttPeriod),"◆",IF(AND($E66&gt;=FA$5,$E66&lt;FA$5+GanttPeriod),"◇","")),IF(AND(FA$5&lt;=$F66,FA$5+GanttPeriod-1&gt;=$E66),"━","")))</f>
        <v/>
      </c>
      <c r="FB66" s="69" t="str">
        <f aca="false">IF($E66="","",IF($M66,IF(AND($G66&gt;=FB$5,$G66&lt;FB$5+GanttPeriod),"◆",IF(AND($E66&gt;=FB$5,$E66&lt;FB$5+GanttPeriod),"◇","")),IF(AND(FB$5&lt;=$F66,FB$5+GanttPeriod-1&gt;=$E66),"━","")))</f>
        <v/>
      </c>
      <c r="FC66" s="69" t="str">
        <f aca="false">IF($E66="","",IF($M66,IF(AND($G66&gt;=FC$5,$G66&lt;FC$5+GanttPeriod),"◆",IF(AND($E66&gt;=FC$5,$E66&lt;FC$5+GanttPeriod),"◇","")),IF(AND(FC$5&lt;=$F66,FC$5+GanttPeriod-1&gt;=$E66),"━","")))</f>
        <v/>
      </c>
      <c r="FD66" s="69" t="str">
        <f aca="false">IF($E66="","",IF($M66,IF(AND($G66&gt;=FD$5,$G66&lt;FD$5+GanttPeriod),"◆",IF(AND($E66&gt;=FD$5,$E66&lt;FD$5+GanttPeriod),"◇","")),IF(AND(FD$5&lt;=$F66,FD$5+GanttPeriod-1&gt;=$E66),"━","")))</f>
        <v/>
      </c>
      <c r="FE66" s="69" t="str">
        <f aca="false">IF($E66="","",IF($M66,IF(AND($G66&gt;=FE$5,$G66&lt;FE$5+GanttPeriod),"◆",IF(AND($E66&gt;=FE$5,$E66&lt;FE$5+GanttPeriod),"◇","")),IF(AND(FE$5&lt;=$F66,FE$5+GanttPeriod-1&gt;=$E66),"━","")))</f>
        <v/>
      </c>
      <c r="FF66" s="69" t="str">
        <f aca="false">IF($E66="","",IF($M66,IF(AND($G66&gt;=FF$5,$G66&lt;FF$5+GanttPeriod),"◆",IF(AND($E66&gt;=FF$5,$E66&lt;FF$5+GanttPeriod),"◇","")),IF(AND(FF$5&lt;=$F66,FF$5+GanttPeriod-1&gt;=$E66),"━","")))</f>
        <v/>
      </c>
      <c r="FG66" s="69" t="str">
        <f aca="false">IF($E66="","",IF($M66,IF(AND($G66&gt;=FG$5,$G66&lt;FG$5+GanttPeriod),"◆",IF(AND($E66&gt;=FG$5,$E66&lt;FG$5+GanttPeriod),"◇","")),IF(AND(FG$5&lt;=$F66,FG$5+GanttPeriod-1&gt;=$E66),"━","")))</f>
        <v/>
      </c>
      <c r="FH66" s="69" t="str">
        <f aca="false">IF($E66="","",IF($M66,IF(AND($G66&gt;=FH$5,$G66&lt;FH$5+GanttPeriod),"◆",IF(AND($E66&gt;=FH$5,$E66&lt;FH$5+GanttPeriod),"◇","")),IF(AND(FH$5&lt;=$F66,FH$5+GanttPeriod-1&gt;=$E66),"━","")))</f>
        <v/>
      </c>
      <c r="FI66" s="69" t="str">
        <f aca="false">IF($E66="","",IF($M66,IF(AND($G66&gt;=FI$5,$G66&lt;FI$5+GanttPeriod),"◆",IF(AND($E66&gt;=FI$5,$E66&lt;FI$5+GanttPeriod),"◇","")),IF(AND(FI$5&lt;=$F66,FI$5+GanttPeriod-1&gt;=$E66),"━","")))</f>
        <v/>
      </c>
      <c r="FJ66" s="69" t="str">
        <f aca="false">IF($E66="","",IF($M66,IF(AND($G66&gt;=FJ$5,$G66&lt;FJ$5+GanttPeriod),"◆",IF(AND($E66&gt;=FJ$5,$E66&lt;FJ$5+GanttPeriod),"◇","")),IF(AND(FJ$5&lt;=$F66,FJ$5+GanttPeriod-1&gt;=$E66),"━","")))</f>
        <v/>
      </c>
      <c r="FK66" s="69" t="str">
        <f aca="false">IF($E66="","",IF($M66,IF(AND($G66&gt;=FK$5,$G66&lt;FK$5+GanttPeriod),"◆",IF(AND($E66&gt;=FK$5,$E66&lt;FK$5+GanttPeriod),"◇","")),IF(AND(FK$5&lt;=$F66,FK$5+GanttPeriod-1&gt;=$E66),"━","")))</f>
        <v/>
      </c>
      <c r="FL66" s="69" t="str">
        <f aca="false">IF($E66="","",IF($M66,IF(AND($G66&gt;=FL$5,$G66&lt;FL$5+GanttPeriod),"◆",IF(AND($E66&gt;=FL$5,$E66&lt;FL$5+GanttPeriod),"◇","")),IF(AND(FL$5&lt;=$F66,FL$5+GanttPeriod-1&gt;=$E66),"━","")))</f>
        <v/>
      </c>
      <c r="FM66" s="69" t="str">
        <f aca="false">IF($E66="","",IF($M66,IF(AND($G66&gt;=FM$5,$G66&lt;FM$5+GanttPeriod),"◆",IF(AND($E66&gt;=FM$5,$E66&lt;FM$5+GanttPeriod),"◇","")),IF(AND(FM$5&lt;=$F66,FM$5+GanttPeriod-1&gt;=$E66),"━","")))</f>
        <v/>
      </c>
    </row>
    <row r="67" customFormat="false" ht="15" hidden="false" customHeight="false" outlineLevel="0" collapsed="false">
      <c r="A67" s="62" t="str">
        <f aca="false">IF(Tasks!$D67="","",Tasks!$A67)</f>
        <v/>
      </c>
      <c r="B67" s="62" t="str">
        <f aca="false">IF(Tasks!$D67="","",Tasks!$B67)</f>
        <v/>
      </c>
      <c r="C67" s="63" t="str">
        <f aca="false">IF(Tasks!$D67="","",REPT("    ",Tasks!$AE67-1)&amp;Tasks!$D67)</f>
        <v/>
      </c>
      <c r="D67" s="62" t="str">
        <f aca="false">IF(Tasks!$D67="","",IF(Tasks!$AI67,NETWORKDAYS.INTL(Tasks!$R67,Tasks!$S67,WorkWeek,Holidays),N(Tasks!$F67)))</f>
        <v/>
      </c>
      <c r="E67" s="64" t="str">
        <f aca="false">IF(Tasks!$D67="","",Tasks!$N67)</f>
        <v/>
      </c>
      <c r="F67" s="64" t="str">
        <f aca="false">IF(Tasks!$D67="","",Tasks!$O67)</f>
        <v/>
      </c>
      <c r="G67" s="64" t="str">
        <f aca="false">IF(Tasks!$D67="","",Tasks!$R67)</f>
        <v/>
      </c>
      <c r="H67" s="64" t="str">
        <f aca="false">IF(Tasks!$D67="","",Tasks!$S67)</f>
        <v/>
      </c>
      <c r="I67" s="65" t="str">
        <f aca="false">IF(Tasks!$D67="","",Tasks!$V67)</f>
        <v/>
      </c>
      <c r="J67" s="63" t="str">
        <f aca="false">IF(Tasks!$D67="","",Tasks!$X67&amp;"")</f>
        <v/>
      </c>
      <c r="K67" s="66" t="str">
        <f aca="false">IF(Tasks!$D67="","",Tasks!$W67)</f>
        <v/>
      </c>
      <c r="L67" s="67" t="b">
        <f aca="false">IF(Tasks!$D67="",FALSE(),Tasks!$AI67)</f>
        <v>0</v>
      </c>
      <c r="M67" s="67" t="b">
        <f aca="false">AND(Tasks!$AJ67=1,N(Tasks!$F67)=0)</f>
        <v>0</v>
      </c>
      <c r="N67" s="68" t="n">
        <f aca="false">IF(AND(Tasks!$AJ67=1,NOT($M67),N($I67)&gt;0),$G67,0)</f>
        <v>0</v>
      </c>
      <c r="O67" s="68" t="n">
        <f aca="false">IF($N67=0,0,IF($I67&gt;=1,$H67,MAX($N67,$G67+ROUND(($H67-$G67+1)*$I67,0)-1)))</f>
        <v>0</v>
      </c>
      <c r="P67" s="68" t="n">
        <f aca="false">IF(OR(Tasks!$AJ67&lt;&gt;1,$M67,N($I67)&gt;=1),0,IF($O67&gt;0,$O67+1,$G67))</f>
        <v>0</v>
      </c>
      <c r="Q67" s="68" t="n">
        <f aca="false">IF($P67=0,0,$H67)</f>
        <v>0</v>
      </c>
      <c r="R67" s="67" t="b">
        <f aca="false">AND(Tasks!$D67&lt;&gt;"",N(Tasks!$T67)&gt;0)</f>
        <v>0</v>
      </c>
      <c r="T67" s="69" t="str">
        <f aca="false">IF($E67="","",IF($M67,IF(AND($G67&gt;=T$5,$G67&lt;T$5+GanttPeriod),"◆",IF(AND($E67&gt;=T$5,$E67&lt;T$5+GanttPeriod),"◇","")),IF(AND(T$5&lt;=$F67,T$5+GanttPeriod-1&gt;=$E67),"━","")))</f>
        <v/>
      </c>
      <c r="U67" s="69" t="str">
        <f aca="false">IF($E67="","",IF($M67,IF(AND($G67&gt;=U$5,$G67&lt;U$5+GanttPeriod),"◆",IF(AND($E67&gt;=U$5,$E67&lt;U$5+GanttPeriod),"◇","")),IF(AND(U$5&lt;=$F67,U$5+GanttPeriod-1&gt;=$E67),"━","")))</f>
        <v/>
      </c>
      <c r="V67" s="69" t="str">
        <f aca="false">IF($E67="","",IF($M67,IF(AND($G67&gt;=V$5,$G67&lt;V$5+GanttPeriod),"◆",IF(AND($E67&gt;=V$5,$E67&lt;V$5+GanttPeriod),"◇","")),IF(AND(V$5&lt;=$F67,V$5+GanttPeriod-1&gt;=$E67),"━","")))</f>
        <v/>
      </c>
      <c r="W67" s="69" t="str">
        <f aca="false">IF($E67="","",IF($M67,IF(AND($G67&gt;=W$5,$G67&lt;W$5+GanttPeriod),"◆",IF(AND($E67&gt;=W$5,$E67&lt;W$5+GanttPeriod),"◇","")),IF(AND(W$5&lt;=$F67,W$5+GanttPeriod-1&gt;=$E67),"━","")))</f>
        <v/>
      </c>
      <c r="X67" s="69" t="str">
        <f aca="false">IF($E67="","",IF($M67,IF(AND($G67&gt;=X$5,$G67&lt;X$5+GanttPeriod),"◆",IF(AND($E67&gt;=X$5,$E67&lt;X$5+GanttPeriod),"◇","")),IF(AND(X$5&lt;=$F67,X$5+GanttPeriod-1&gt;=$E67),"━","")))</f>
        <v/>
      </c>
      <c r="Y67" s="69" t="str">
        <f aca="false">IF($E67="","",IF($M67,IF(AND($G67&gt;=Y$5,$G67&lt;Y$5+GanttPeriod),"◆",IF(AND($E67&gt;=Y$5,$E67&lt;Y$5+GanttPeriod),"◇","")),IF(AND(Y$5&lt;=$F67,Y$5+GanttPeriod-1&gt;=$E67),"━","")))</f>
        <v/>
      </c>
      <c r="Z67" s="69" t="str">
        <f aca="false">IF($E67="","",IF($M67,IF(AND($G67&gt;=Z$5,$G67&lt;Z$5+GanttPeriod),"◆",IF(AND($E67&gt;=Z$5,$E67&lt;Z$5+GanttPeriod),"◇","")),IF(AND(Z$5&lt;=$F67,Z$5+GanttPeriod-1&gt;=$E67),"━","")))</f>
        <v/>
      </c>
      <c r="AA67" s="69" t="str">
        <f aca="false">IF($E67="","",IF($M67,IF(AND($G67&gt;=AA$5,$G67&lt;AA$5+GanttPeriod),"◆",IF(AND($E67&gt;=AA$5,$E67&lt;AA$5+GanttPeriod),"◇","")),IF(AND(AA$5&lt;=$F67,AA$5+GanttPeriod-1&gt;=$E67),"━","")))</f>
        <v/>
      </c>
      <c r="AB67" s="69" t="str">
        <f aca="false">IF($E67="","",IF($M67,IF(AND($G67&gt;=AB$5,$G67&lt;AB$5+GanttPeriod),"◆",IF(AND($E67&gt;=AB$5,$E67&lt;AB$5+GanttPeriod),"◇","")),IF(AND(AB$5&lt;=$F67,AB$5+GanttPeriod-1&gt;=$E67),"━","")))</f>
        <v/>
      </c>
      <c r="AC67" s="69" t="str">
        <f aca="false">IF($E67="","",IF($M67,IF(AND($G67&gt;=AC$5,$G67&lt;AC$5+GanttPeriod),"◆",IF(AND($E67&gt;=AC$5,$E67&lt;AC$5+GanttPeriod),"◇","")),IF(AND(AC$5&lt;=$F67,AC$5+GanttPeriod-1&gt;=$E67),"━","")))</f>
        <v/>
      </c>
      <c r="AD67" s="69" t="str">
        <f aca="false">IF($E67="","",IF($M67,IF(AND($G67&gt;=AD$5,$G67&lt;AD$5+GanttPeriod),"◆",IF(AND($E67&gt;=AD$5,$E67&lt;AD$5+GanttPeriod),"◇","")),IF(AND(AD$5&lt;=$F67,AD$5+GanttPeriod-1&gt;=$E67),"━","")))</f>
        <v/>
      </c>
      <c r="AE67" s="69" t="str">
        <f aca="false">IF($E67="","",IF($M67,IF(AND($G67&gt;=AE$5,$G67&lt;AE$5+GanttPeriod),"◆",IF(AND($E67&gt;=AE$5,$E67&lt;AE$5+GanttPeriod),"◇","")),IF(AND(AE$5&lt;=$F67,AE$5+GanttPeriod-1&gt;=$E67),"━","")))</f>
        <v/>
      </c>
      <c r="AF67" s="69" t="str">
        <f aca="false">IF($E67="","",IF($M67,IF(AND($G67&gt;=AF$5,$G67&lt;AF$5+GanttPeriod),"◆",IF(AND($E67&gt;=AF$5,$E67&lt;AF$5+GanttPeriod),"◇","")),IF(AND(AF$5&lt;=$F67,AF$5+GanttPeriod-1&gt;=$E67),"━","")))</f>
        <v/>
      </c>
      <c r="AG67" s="69" t="str">
        <f aca="false">IF($E67="","",IF($M67,IF(AND($G67&gt;=AG$5,$G67&lt;AG$5+GanttPeriod),"◆",IF(AND($E67&gt;=AG$5,$E67&lt;AG$5+GanttPeriod),"◇","")),IF(AND(AG$5&lt;=$F67,AG$5+GanttPeriod-1&gt;=$E67),"━","")))</f>
        <v/>
      </c>
      <c r="AH67" s="69" t="str">
        <f aca="false">IF($E67="","",IF($M67,IF(AND($G67&gt;=AH$5,$G67&lt;AH$5+GanttPeriod),"◆",IF(AND($E67&gt;=AH$5,$E67&lt;AH$5+GanttPeriod),"◇","")),IF(AND(AH$5&lt;=$F67,AH$5+GanttPeriod-1&gt;=$E67),"━","")))</f>
        <v/>
      </c>
      <c r="AI67" s="69" t="str">
        <f aca="false">IF($E67="","",IF($M67,IF(AND($G67&gt;=AI$5,$G67&lt;AI$5+GanttPeriod),"◆",IF(AND($E67&gt;=AI$5,$E67&lt;AI$5+GanttPeriod),"◇","")),IF(AND(AI$5&lt;=$F67,AI$5+GanttPeriod-1&gt;=$E67),"━","")))</f>
        <v/>
      </c>
      <c r="AJ67" s="69" t="str">
        <f aca="false">IF($E67="","",IF($M67,IF(AND($G67&gt;=AJ$5,$G67&lt;AJ$5+GanttPeriod),"◆",IF(AND($E67&gt;=AJ$5,$E67&lt;AJ$5+GanttPeriod),"◇","")),IF(AND(AJ$5&lt;=$F67,AJ$5+GanttPeriod-1&gt;=$E67),"━","")))</f>
        <v/>
      </c>
      <c r="AK67" s="69" t="str">
        <f aca="false">IF($E67="","",IF($M67,IF(AND($G67&gt;=AK$5,$G67&lt;AK$5+GanttPeriod),"◆",IF(AND($E67&gt;=AK$5,$E67&lt;AK$5+GanttPeriod),"◇","")),IF(AND(AK$5&lt;=$F67,AK$5+GanttPeriod-1&gt;=$E67),"━","")))</f>
        <v/>
      </c>
      <c r="AL67" s="69" t="str">
        <f aca="false">IF($E67="","",IF($M67,IF(AND($G67&gt;=AL$5,$G67&lt;AL$5+GanttPeriod),"◆",IF(AND($E67&gt;=AL$5,$E67&lt;AL$5+GanttPeriod),"◇","")),IF(AND(AL$5&lt;=$F67,AL$5+GanttPeriod-1&gt;=$E67),"━","")))</f>
        <v/>
      </c>
      <c r="AM67" s="69" t="str">
        <f aca="false">IF($E67="","",IF($M67,IF(AND($G67&gt;=AM$5,$G67&lt;AM$5+GanttPeriod),"◆",IF(AND($E67&gt;=AM$5,$E67&lt;AM$5+GanttPeriod),"◇","")),IF(AND(AM$5&lt;=$F67,AM$5+GanttPeriod-1&gt;=$E67),"━","")))</f>
        <v/>
      </c>
      <c r="AN67" s="69" t="str">
        <f aca="false">IF($E67="","",IF($M67,IF(AND($G67&gt;=AN$5,$G67&lt;AN$5+GanttPeriod),"◆",IF(AND($E67&gt;=AN$5,$E67&lt;AN$5+GanttPeriod),"◇","")),IF(AND(AN$5&lt;=$F67,AN$5+GanttPeriod-1&gt;=$E67),"━","")))</f>
        <v/>
      </c>
      <c r="AO67" s="69" t="str">
        <f aca="false">IF($E67="","",IF($M67,IF(AND($G67&gt;=AO$5,$G67&lt;AO$5+GanttPeriod),"◆",IF(AND($E67&gt;=AO$5,$E67&lt;AO$5+GanttPeriod),"◇","")),IF(AND(AO$5&lt;=$F67,AO$5+GanttPeriod-1&gt;=$E67),"━","")))</f>
        <v/>
      </c>
      <c r="AP67" s="69" t="str">
        <f aca="false">IF($E67="","",IF($M67,IF(AND($G67&gt;=AP$5,$G67&lt;AP$5+GanttPeriod),"◆",IF(AND($E67&gt;=AP$5,$E67&lt;AP$5+GanttPeriod),"◇","")),IF(AND(AP$5&lt;=$F67,AP$5+GanttPeriod-1&gt;=$E67),"━","")))</f>
        <v/>
      </c>
      <c r="AQ67" s="69" t="str">
        <f aca="false">IF($E67="","",IF($M67,IF(AND($G67&gt;=AQ$5,$G67&lt;AQ$5+GanttPeriod),"◆",IF(AND($E67&gt;=AQ$5,$E67&lt;AQ$5+GanttPeriod),"◇","")),IF(AND(AQ$5&lt;=$F67,AQ$5+GanttPeriod-1&gt;=$E67),"━","")))</f>
        <v/>
      </c>
      <c r="AR67" s="69" t="str">
        <f aca="false">IF($E67="","",IF($M67,IF(AND($G67&gt;=AR$5,$G67&lt;AR$5+GanttPeriod),"◆",IF(AND($E67&gt;=AR$5,$E67&lt;AR$5+GanttPeriod),"◇","")),IF(AND(AR$5&lt;=$F67,AR$5+GanttPeriod-1&gt;=$E67),"━","")))</f>
        <v/>
      </c>
      <c r="AS67" s="69" t="str">
        <f aca="false">IF($E67="","",IF($M67,IF(AND($G67&gt;=AS$5,$G67&lt;AS$5+GanttPeriod),"◆",IF(AND($E67&gt;=AS$5,$E67&lt;AS$5+GanttPeriod),"◇","")),IF(AND(AS$5&lt;=$F67,AS$5+GanttPeriod-1&gt;=$E67),"━","")))</f>
        <v/>
      </c>
      <c r="AT67" s="69" t="str">
        <f aca="false">IF($E67="","",IF($M67,IF(AND($G67&gt;=AT$5,$G67&lt;AT$5+GanttPeriod),"◆",IF(AND($E67&gt;=AT$5,$E67&lt;AT$5+GanttPeriod),"◇","")),IF(AND(AT$5&lt;=$F67,AT$5+GanttPeriod-1&gt;=$E67),"━","")))</f>
        <v/>
      </c>
      <c r="AU67" s="69" t="str">
        <f aca="false">IF($E67="","",IF($M67,IF(AND($G67&gt;=AU$5,$G67&lt;AU$5+GanttPeriod),"◆",IF(AND($E67&gt;=AU$5,$E67&lt;AU$5+GanttPeriod),"◇","")),IF(AND(AU$5&lt;=$F67,AU$5+GanttPeriod-1&gt;=$E67),"━","")))</f>
        <v/>
      </c>
      <c r="AV67" s="69" t="str">
        <f aca="false">IF($E67="","",IF($M67,IF(AND($G67&gt;=AV$5,$G67&lt;AV$5+GanttPeriod),"◆",IF(AND($E67&gt;=AV$5,$E67&lt;AV$5+GanttPeriod),"◇","")),IF(AND(AV$5&lt;=$F67,AV$5+GanttPeriod-1&gt;=$E67),"━","")))</f>
        <v/>
      </c>
      <c r="AW67" s="69" t="str">
        <f aca="false">IF($E67="","",IF($M67,IF(AND($G67&gt;=AW$5,$G67&lt;AW$5+GanttPeriod),"◆",IF(AND($E67&gt;=AW$5,$E67&lt;AW$5+GanttPeriod),"◇","")),IF(AND(AW$5&lt;=$F67,AW$5+GanttPeriod-1&gt;=$E67),"━","")))</f>
        <v/>
      </c>
      <c r="AX67" s="69" t="str">
        <f aca="false">IF($E67="","",IF($M67,IF(AND($G67&gt;=AX$5,$G67&lt;AX$5+GanttPeriod),"◆",IF(AND($E67&gt;=AX$5,$E67&lt;AX$5+GanttPeriod),"◇","")),IF(AND(AX$5&lt;=$F67,AX$5+GanttPeriod-1&gt;=$E67),"━","")))</f>
        <v/>
      </c>
      <c r="AY67" s="69" t="str">
        <f aca="false">IF($E67="","",IF($M67,IF(AND($G67&gt;=AY$5,$G67&lt;AY$5+GanttPeriod),"◆",IF(AND($E67&gt;=AY$5,$E67&lt;AY$5+GanttPeriod),"◇","")),IF(AND(AY$5&lt;=$F67,AY$5+GanttPeriod-1&gt;=$E67),"━","")))</f>
        <v/>
      </c>
      <c r="AZ67" s="69" t="str">
        <f aca="false">IF($E67="","",IF($M67,IF(AND($G67&gt;=AZ$5,$G67&lt;AZ$5+GanttPeriod),"◆",IF(AND($E67&gt;=AZ$5,$E67&lt;AZ$5+GanttPeriod),"◇","")),IF(AND(AZ$5&lt;=$F67,AZ$5+GanttPeriod-1&gt;=$E67),"━","")))</f>
        <v/>
      </c>
      <c r="BA67" s="69" t="str">
        <f aca="false">IF($E67="","",IF($M67,IF(AND($G67&gt;=BA$5,$G67&lt;BA$5+GanttPeriod),"◆",IF(AND($E67&gt;=BA$5,$E67&lt;BA$5+GanttPeriod),"◇","")),IF(AND(BA$5&lt;=$F67,BA$5+GanttPeriod-1&gt;=$E67),"━","")))</f>
        <v/>
      </c>
      <c r="BB67" s="69" t="str">
        <f aca="false">IF($E67="","",IF($M67,IF(AND($G67&gt;=BB$5,$G67&lt;BB$5+GanttPeriod),"◆",IF(AND($E67&gt;=BB$5,$E67&lt;BB$5+GanttPeriod),"◇","")),IF(AND(BB$5&lt;=$F67,BB$5+GanttPeriod-1&gt;=$E67),"━","")))</f>
        <v/>
      </c>
      <c r="BC67" s="69" t="str">
        <f aca="false">IF($E67="","",IF($M67,IF(AND($G67&gt;=BC$5,$G67&lt;BC$5+GanttPeriod),"◆",IF(AND($E67&gt;=BC$5,$E67&lt;BC$5+GanttPeriod),"◇","")),IF(AND(BC$5&lt;=$F67,BC$5+GanttPeriod-1&gt;=$E67),"━","")))</f>
        <v/>
      </c>
      <c r="BD67" s="69" t="str">
        <f aca="false">IF($E67="","",IF($M67,IF(AND($G67&gt;=BD$5,$G67&lt;BD$5+GanttPeriod),"◆",IF(AND($E67&gt;=BD$5,$E67&lt;BD$5+GanttPeriod),"◇","")),IF(AND(BD$5&lt;=$F67,BD$5+GanttPeriod-1&gt;=$E67),"━","")))</f>
        <v/>
      </c>
      <c r="BE67" s="69" t="str">
        <f aca="false">IF($E67="","",IF($M67,IF(AND($G67&gt;=BE$5,$G67&lt;BE$5+GanttPeriod),"◆",IF(AND($E67&gt;=BE$5,$E67&lt;BE$5+GanttPeriod),"◇","")),IF(AND(BE$5&lt;=$F67,BE$5+GanttPeriod-1&gt;=$E67),"━","")))</f>
        <v/>
      </c>
      <c r="BF67" s="69" t="str">
        <f aca="false">IF($E67="","",IF($M67,IF(AND($G67&gt;=BF$5,$G67&lt;BF$5+GanttPeriod),"◆",IF(AND($E67&gt;=BF$5,$E67&lt;BF$5+GanttPeriod),"◇","")),IF(AND(BF$5&lt;=$F67,BF$5+GanttPeriod-1&gt;=$E67),"━","")))</f>
        <v/>
      </c>
      <c r="BG67" s="69" t="str">
        <f aca="false">IF($E67="","",IF($M67,IF(AND($G67&gt;=BG$5,$G67&lt;BG$5+GanttPeriod),"◆",IF(AND($E67&gt;=BG$5,$E67&lt;BG$5+GanttPeriod),"◇","")),IF(AND(BG$5&lt;=$F67,BG$5+GanttPeriod-1&gt;=$E67),"━","")))</f>
        <v/>
      </c>
      <c r="BH67" s="69" t="str">
        <f aca="false">IF($E67="","",IF($M67,IF(AND($G67&gt;=BH$5,$G67&lt;BH$5+GanttPeriod),"◆",IF(AND($E67&gt;=BH$5,$E67&lt;BH$5+GanttPeriod),"◇","")),IF(AND(BH$5&lt;=$F67,BH$5+GanttPeriod-1&gt;=$E67),"━","")))</f>
        <v/>
      </c>
      <c r="BI67" s="69" t="str">
        <f aca="false">IF($E67="","",IF($M67,IF(AND($G67&gt;=BI$5,$G67&lt;BI$5+GanttPeriod),"◆",IF(AND($E67&gt;=BI$5,$E67&lt;BI$5+GanttPeriod),"◇","")),IF(AND(BI$5&lt;=$F67,BI$5+GanttPeriod-1&gt;=$E67),"━","")))</f>
        <v/>
      </c>
      <c r="BJ67" s="69" t="str">
        <f aca="false">IF($E67="","",IF($M67,IF(AND($G67&gt;=BJ$5,$G67&lt;BJ$5+GanttPeriod),"◆",IF(AND($E67&gt;=BJ$5,$E67&lt;BJ$5+GanttPeriod),"◇","")),IF(AND(BJ$5&lt;=$F67,BJ$5+GanttPeriod-1&gt;=$E67),"━","")))</f>
        <v/>
      </c>
      <c r="BK67" s="69" t="str">
        <f aca="false">IF($E67="","",IF($M67,IF(AND($G67&gt;=BK$5,$G67&lt;BK$5+GanttPeriod),"◆",IF(AND($E67&gt;=BK$5,$E67&lt;BK$5+GanttPeriod),"◇","")),IF(AND(BK$5&lt;=$F67,BK$5+GanttPeriod-1&gt;=$E67),"━","")))</f>
        <v/>
      </c>
      <c r="BL67" s="69" t="str">
        <f aca="false">IF($E67="","",IF($M67,IF(AND($G67&gt;=BL$5,$G67&lt;BL$5+GanttPeriod),"◆",IF(AND($E67&gt;=BL$5,$E67&lt;BL$5+GanttPeriod),"◇","")),IF(AND(BL$5&lt;=$F67,BL$5+GanttPeriod-1&gt;=$E67),"━","")))</f>
        <v/>
      </c>
      <c r="BM67" s="69" t="str">
        <f aca="false">IF($E67="","",IF($M67,IF(AND($G67&gt;=BM$5,$G67&lt;BM$5+GanttPeriod),"◆",IF(AND($E67&gt;=BM$5,$E67&lt;BM$5+GanttPeriod),"◇","")),IF(AND(BM$5&lt;=$F67,BM$5+GanttPeriod-1&gt;=$E67),"━","")))</f>
        <v/>
      </c>
      <c r="BN67" s="69" t="str">
        <f aca="false">IF($E67="","",IF($M67,IF(AND($G67&gt;=BN$5,$G67&lt;BN$5+GanttPeriod),"◆",IF(AND($E67&gt;=BN$5,$E67&lt;BN$5+GanttPeriod),"◇","")),IF(AND(BN$5&lt;=$F67,BN$5+GanttPeriod-1&gt;=$E67),"━","")))</f>
        <v/>
      </c>
      <c r="BO67" s="69" t="str">
        <f aca="false">IF($E67="","",IF($M67,IF(AND($G67&gt;=BO$5,$G67&lt;BO$5+GanttPeriod),"◆",IF(AND($E67&gt;=BO$5,$E67&lt;BO$5+GanttPeriod),"◇","")),IF(AND(BO$5&lt;=$F67,BO$5+GanttPeriod-1&gt;=$E67),"━","")))</f>
        <v/>
      </c>
      <c r="BP67" s="69" t="str">
        <f aca="false">IF($E67="","",IF($M67,IF(AND($G67&gt;=BP$5,$G67&lt;BP$5+GanttPeriod),"◆",IF(AND($E67&gt;=BP$5,$E67&lt;BP$5+GanttPeriod),"◇","")),IF(AND(BP$5&lt;=$F67,BP$5+GanttPeriod-1&gt;=$E67),"━","")))</f>
        <v/>
      </c>
      <c r="BQ67" s="69" t="str">
        <f aca="false">IF($E67="","",IF($M67,IF(AND($G67&gt;=BQ$5,$G67&lt;BQ$5+GanttPeriod),"◆",IF(AND($E67&gt;=BQ$5,$E67&lt;BQ$5+GanttPeriod),"◇","")),IF(AND(BQ$5&lt;=$F67,BQ$5+GanttPeriod-1&gt;=$E67),"━","")))</f>
        <v/>
      </c>
      <c r="BR67" s="69" t="str">
        <f aca="false">IF($E67="","",IF($M67,IF(AND($G67&gt;=BR$5,$G67&lt;BR$5+GanttPeriod),"◆",IF(AND($E67&gt;=BR$5,$E67&lt;BR$5+GanttPeriod),"◇","")),IF(AND(BR$5&lt;=$F67,BR$5+GanttPeriod-1&gt;=$E67),"━","")))</f>
        <v/>
      </c>
      <c r="BS67" s="69" t="str">
        <f aca="false">IF($E67="","",IF($M67,IF(AND($G67&gt;=BS$5,$G67&lt;BS$5+GanttPeriod),"◆",IF(AND($E67&gt;=BS$5,$E67&lt;BS$5+GanttPeriod),"◇","")),IF(AND(BS$5&lt;=$F67,BS$5+GanttPeriod-1&gt;=$E67),"━","")))</f>
        <v/>
      </c>
      <c r="BT67" s="69" t="str">
        <f aca="false">IF($E67="","",IF($M67,IF(AND($G67&gt;=BT$5,$G67&lt;BT$5+GanttPeriod),"◆",IF(AND($E67&gt;=BT$5,$E67&lt;BT$5+GanttPeriod),"◇","")),IF(AND(BT$5&lt;=$F67,BT$5+GanttPeriod-1&gt;=$E67),"━","")))</f>
        <v/>
      </c>
      <c r="BU67" s="69" t="str">
        <f aca="false">IF($E67="","",IF($M67,IF(AND($G67&gt;=BU$5,$G67&lt;BU$5+GanttPeriod),"◆",IF(AND($E67&gt;=BU$5,$E67&lt;BU$5+GanttPeriod),"◇","")),IF(AND(BU$5&lt;=$F67,BU$5+GanttPeriod-1&gt;=$E67),"━","")))</f>
        <v/>
      </c>
      <c r="BV67" s="69" t="str">
        <f aca="false">IF($E67="","",IF($M67,IF(AND($G67&gt;=BV$5,$G67&lt;BV$5+GanttPeriod),"◆",IF(AND($E67&gt;=BV$5,$E67&lt;BV$5+GanttPeriod),"◇","")),IF(AND(BV$5&lt;=$F67,BV$5+GanttPeriod-1&gt;=$E67),"━","")))</f>
        <v/>
      </c>
      <c r="BW67" s="69" t="str">
        <f aca="false">IF($E67="","",IF($M67,IF(AND($G67&gt;=BW$5,$G67&lt;BW$5+GanttPeriod),"◆",IF(AND($E67&gt;=BW$5,$E67&lt;BW$5+GanttPeriod),"◇","")),IF(AND(BW$5&lt;=$F67,BW$5+GanttPeriod-1&gt;=$E67),"━","")))</f>
        <v/>
      </c>
      <c r="BX67" s="69" t="str">
        <f aca="false">IF($E67="","",IF($M67,IF(AND($G67&gt;=BX$5,$G67&lt;BX$5+GanttPeriod),"◆",IF(AND($E67&gt;=BX$5,$E67&lt;BX$5+GanttPeriod),"◇","")),IF(AND(BX$5&lt;=$F67,BX$5+GanttPeriod-1&gt;=$E67),"━","")))</f>
        <v/>
      </c>
      <c r="BY67" s="69" t="str">
        <f aca="false">IF($E67="","",IF($M67,IF(AND($G67&gt;=BY$5,$G67&lt;BY$5+GanttPeriod),"◆",IF(AND($E67&gt;=BY$5,$E67&lt;BY$5+GanttPeriod),"◇","")),IF(AND(BY$5&lt;=$F67,BY$5+GanttPeriod-1&gt;=$E67),"━","")))</f>
        <v/>
      </c>
      <c r="BZ67" s="69" t="str">
        <f aca="false">IF($E67="","",IF($M67,IF(AND($G67&gt;=BZ$5,$G67&lt;BZ$5+GanttPeriod),"◆",IF(AND($E67&gt;=BZ$5,$E67&lt;BZ$5+GanttPeriod),"◇","")),IF(AND(BZ$5&lt;=$F67,BZ$5+GanttPeriod-1&gt;=$E67),"━","")))</f>
        <v/>
      </c>
      <c r="CA67" s="69" t="str">
        <f aca="false">IF($E67="","",IF($M67,IF(AND($G67&gt;=CA$5,$G67&lt;CA$5+GanttPeriod),"◆",IF(AND($E67&gt;=CA$5,$E67&lt;CA$5+GanttPeriod),"◇","")),IF(AND(CA$5&lt;=$F67,CA$5+GanttPeriod-1&gt;=$E67),"━","")))</f>
        <v/>
      </c>
      <c r="CB67" s="69" t="str">
        <f aca="false">IF($E67="","",IF($M67,IF(AND($G67&gt;=CB$5,$G67&lt;CB$5+GanttPeriod),"◆",IF(AND($E67&gt;=CB$5,$E67&lt;CB$5+GanttPeriod),"◇","")),IF(AND(CB$5&lt;=$F67,CB$5+GanttPeriod-1&gt;=$E67),"━","")))</f>
        <v/>
      </c>
      <c r="CC67" s="69" t="str">
        <f aca="false">IF($E67="","",IF($M67,IF(AND($G67&gt;=CC$5,$G67&lt;CC$5+GanttPeriod),"◆",IF(AND($E67&gt;=CC$5,$E67&lt;CC$5+GanttPeriod),"◇","")),IF(AND(CC$5&lt;=$F67,CC$5+GanttPeriod-1&gt;=$E67),"━","")))</f>
        <v/>
      </c>
      <c r="CD67" s="69" t="str">
        <f aca="false">IF($E67="","",IF($M67,IF(AND($G67&gt;=CD$5,$G67&lt;CD$5+GanttPeriod),"◆",IF(AND($E67&gt;=CD$5,$E67&lt;CD$5+GanttPeriod),"◇","")),IF(AND(CD$5&lt;=$F67,CD$5+GanttPeriod-1&gt;=$E67),"━","")))</f>
        <v/>
      </c>
      <c r="CE67" s="69" t="str">
        <f aca="false">IF($E67="","",IF($M67,IF(AND($G67&gt;=CE$5,$G67&lt;CE$5+GanttPeriod),"◆",IF(AND($E67&gt;=CE$5,$E67&lt;CE$5+GanttPeriod),"◇","")),IF(AND(CE$5&lt;=$F67,CE$5+GanttPeriod-1&gt;=$E67),"━","")))</f>
        <v/>
      </c>
      <c r="CF67" s="69" t="str">
        <f aca="false">IF($E67="","",IF($M67,IF(AND($G67&gt;=CF$5,$G67&lt;CF$5+GanttPeriod),"◆",IF(AND($E67&gt;=CF$5,$E67&lt;CF$5+GanttPeriod),"◇","")),IF(AND(CF$5&lt;=$F67,CF$5+GanttPeriod-1&gt;=$E67),"━","")))</f>
        <v/>
      </c>
      <c r="CG67" s="69" t="str">
        <f aca="false">IF($E67="","",IF($M67,IF(AND($G67&gt;=CG$5,$G67&lt;CG$5+GanttPeriod),"◆",IF(AND($E67&gt;=CG$5,$E67&lt;CG$5+GanttPeriod),"◇","")),IF(AND(CG$5&lt;=$F67,CG$5+GanttPeriod-1&gt;=$E67),"━","")))</f>
        <v/>
      </c>
      <c r="CH67" s="69" t="str">
        <f aca="false">IF($E67="","",IF($M67,IF(AND($G67&gt;=CH$5,$G67&lt;CH$5+GanttPeriod),"◆",IF(AND($E67&gt;=CH$5,$E67&lt;CH$5+GanttPeriod),"◇","")),IF(AND(CH$5&lt;=$F67,CH$5+GanttPeriod-1&gt;=$E67),"━","")))</f>
        <v/>
      </c>
      <c r="CI67" s="69" t="str">
        <f aca="false">IF($E67="","",IF($M67,IF(AND($G67&gt;=CI$5,$G67&lt;CI$5+GanttPeriod),"◆",IF(AND($E67&gt;=CI$5,$E67&lt;CI$5+GanttPeriod),"◇","")),IF(AND(CI$5&lt;=$F67,CI$5+GanttPeriod-1&gt;=$E67),"━","")))</f>
        <v/>
      </c>
      <c r="CJ67" s="69" t="str">
        <f aca="false">IF($E67="","",IF($M67,IF(AND($G67&gt;=CJ$5,$G67&lt;CJ$5+GanttPeriod),"◆",IF(AND($E67&gt;=CJ$5,$E67&lt;CJ$5+GanttPeriod),"◇","")),IF(AND(CJ$5&lt;=$F67,CJ$5+GanttPeriod-1&gt;=$E67),"━","")))</f>
        <v/>
      </c>
      <c r="CK67" s="69" t="str">
        <f aca="false">IF($E67="","",IF($M67,IF(AND($G67&gt;=CK$5,$G67&lt;CK$5+GanttPeriod),"◆",IF(AND($E67&gt;=CK$5,$E67&lt;CK$5+GanttPeriod),"◇","")),IF(AND(CK$5&lt;=$F67,CK$5+GanttPeriod-1&gt;=$E67),"━","")))</f>
        <v/>
      </c>
      <c r="CL67" s="69" t="str">
        <f aca="false">IF($E67="","",IF($M67,IF(AND($G67&gt;=CL$5,$G67&lt;CL$5+GanttPeriod),"◆",IF(AND($E67&gt;=CL$5,$E67&lt;CL$5+GanttPeriod),"◇","")),IF(AND(CL$5&lt;=$F67,CL$5+GanttPeriod-1&gt;=$E67),"━","")))</f>
        <v/>
      </c>
      <c r="CM67" s="69" t="str">
        <f aca="false">IF($E67="","",IF($M67,IF(AND($G67&gt;=CM$5,$G67&lt;CM$5+GanttPeriod),"◆",IF(AND($E67&gt;=CM$5,$E67&lt;CM$5+GanttPeriod),"◇","")),IF(AND(CM$5&lt;=$F67,CM$5+GanttPeriod-1&gt;=$E67),"━","")))</f>
        <v/>
      </c>
      <c r="CN67" s="69" t="str">
        <f aca="false">IF($E67="","",IF($M67,IF(AND($G67&gt;=CN$5,$G67&lt;CN$5+GanttPeriod),"◆",IF(AND($E67&gt;=CN$5,$E67&lt;CN$5+GanttPeriod),"◇","")),IF(AND(CN$5&lt;=$F67,CN$5+GanttPeriod-1&gt;=$E67),"━","")))</f>
        <v/>
      </c>
      <c r="CO67" s="69" t="str">
        <f aca="false">IF($E67="","",IF($M67,IF(AND($G67&gt;=CO$5,$G67&lt;CO$5+GanttPeriod),"◆",IF(AND($E67&gt;=CO$5,$E67&lt;CO$5+GanttPeriod),"◇","")),IF(AND(CO$5&lt;=$F67,CO$5+GanttPeriod-1&gt;=$E67),"━","")))</f>
        <v/>
      </c>
      <c r="CP67" s="69" t="str">
        <f aca="false">IF($E67="","",IF($M67,IF(AND($G67&gt;=CP$5,$G67&lt;CP$5+GanttPeriod),"◆",IF(AND($E67&gt;=CP$5,$E67&lt;CP$5+GanttPeriod),"◇","")),IF(AND(CP$5&lt;=$F67,CP$5+GanttPeriod-1&gt;=$E67),"━","")))</f>
        <v/>
      </c>
      <c r="CQ67" s="69" t="str">
        <f aca="false">IF($E67="","",IF($M67,IF(AND($G67&gt;=CQ$5,$G67&lt;CQ$5+GanttPeriod),"◆",IF(AND($E67&gt;=CQ$5,$E67&lt;CQ$5+GanttPeriod),"◇","")),IF(AND(CQ$5&lt;=$F67,CQ$5+GanttPeriod-1&gt;=$E67),"━","")))</f>
        <v/>
      </c>
      <c r="CR67" s="69" t="str">
        <f aca="false">IF($E67="","",IF($M67,IF(AND($G67&gt;=CR$5,$G67&lt;CR$5+GanttPeriod),"◆",IF(AND($E67&gt;=CR$5,$E67&lt;CR$5+GanttPeriod),"◇","")),IF(AND(CR$5&lt;=$F67,CR$5+GanttPeriod-1&gt;=$E67),"━","")))</f>
        <v/>
      </c>
      <c r="CS67" s="69" t="str">
        <f aca="false">IF($E67="","",IF($M67,IF(AND($G67&gt;=CS$5,$G67&lt;CS$5+GanttPeriod),"◆",IF(AND($E67&gt;=CS$5,$E67&lt;CS$5+GanttPeriod),"◇","")),IF(AND(CS$5&lt;=$F67,CS$5+GanttPeriod-1&gt;=$E67),"━","")))</f>
        <v/>
      </c>
      <c r="CT67" s="69" t="str">
        <f aca="false">IF($E67="","",IF($M67,IF(AND($G67&gt;=CT$5,$G67&lt;CT$5+GanttPeriod),"◆",IF(AND($E67&gt;=CT$5,$E67&lt;CT$5+GanttPeriod),"◇","")),IF(AND(CT$5&lt;=$F67,CT$5+GanttPeriod-1&gt;=$E67),"━","")))</f>
        <v/>
      </c>
      <c r="CU67" s="69" t="str">
        <f aca="false">IF($E67="","",IF($M67,IF(AND($G67&gt;=CU$5,$G67&lt;CU$5+GanttPeriod),"◆",IF(AND($E67&gt;=CU$5,$E67&lt;CU$5+GanttPeriod),"◇","")),IF(AND(CU$5&lt;=$F67,CU$5+GanttPeriod-1&gt;=$E67),"━","")))</f>
        <v/>
      </c>
      <c r="CV67" s="69" t="str">
        <f aca="false">IF($E67="","",IF($M67,IF(AND($G67&gt;=CV$5,$G67&lt;CV$5+GanttPeriod),"◆",IF(AND($E67&gt;=CV$5,$E67&lt;CV$5+GanttPeriod),"◇","")),IF(AND(CV$5&lt;=$F67,CV$5+GanttPeriod-1&gt;=$E67),"━","")))</f>
        <v/>
      </c>
      <c r="CW67" s="69" t="str">
        <f aca="false">IF($E67="","",IF($M67,IF(AND($G67&gt;=CW$5,$G67&lt;CW$5+GanttPeriod),"◆",IF(AND($E67&gt;=CW$5,$E67&lt;CW$5+GanttPeriod),"◇","")),IF(AND(CW$5&lt;=$F67,CW$5+GanttPeriod-1&gt;=$E67),"━","")))</f>
        <v/>
      </c>
      <c r="CX67" s="69" t="str">
        <f aca="false">IF($E67="","",IF($M67,IF(AND($G67&gt;=CX$5,$G67&lt;CX$5+GanttPeriod),"◆",IF(AND($E67&gt;=CX$5,$E67&lt;CX$5+GanttPeriod),"◇","")),IF(AND(CX$5&lt;=$F67,CX$5+GanttPeriod-1&gt;=$E67),"━","")))</f>
        <v/>
      </c>
      <c r="CY67" s="69" t="str">
        <f aca="false">IF($E67="","",IF($M67,IF(AND($G67&gt;=CY$5,$G67&lt;CY$5+GanttPeriod),"◆",IF(AND($E67&gt;=CY$5,$E67&lt;CY$5+GanttPeriod),"◇","")),IF(AND(CY$5&lt;=$F67,CY$5+GanttPeriod-1&gt;=$E67),"━","")))</f>
        <v/>
      </c>
      <c r="CZ67" s="69" t="str">
        <f aca="false">IF($E67="","",IF($M67,IF(AND($G67&gt;=CZ$5,$G67&lt;CZ$5+GanttPeriod),"◆",IF(AND($E67&gt;=CZ$5,$E67&lt;CZ$5+GanttPeriod),"◇","")),IF(AND(CZ$5&lt;=$F67,CZ$5+GanttPeriod-1&gt;=$E67),"━","")))</f>
        <v/>
      </c>
      <c r="DA67" s="69" t="str">
        <f aca="false">IF($E67="","",IF($M67,IF(AND($G67&gt;=DA$5,$G67&lt;DA$5+GanttPeriod),"◆",IF(AND($E67&gt;=DA$5,$E67&lt;DA$5+GanttPeriod),"◇","")),IF(AND(DA$5&lt;=$F67,DA$5+GanttPeriod-1&gt;=$E67),"━","")))</f>
        <v/>
      </c>
      <c r="DB67" s="69" t="str">
        <f aca="false">IF($E67="","",IF($M67,IF(AND($G67&gt;=DB$5,$G67&lt;DB$5+GanttPeriod),"◆",IF(AND($E67&gt;=DB$5,$E67&lt;DB$5+GanttPeriod),"◇","")),IF(AND(DB$5&lt;=$F67,DB$5+GanttPeriod-1&gt;=$E67),"━","")))</f>
        <v/>
      </c>
      <c r="DC67" s="69" t="str">
        <f aca="false">IF($E67="","",IF($M67,IF(AND($G67&gt;=DC$5,$G67&lt;DC$5+GanttPeriod),"◆",IF(AND($E67&gt;=DC$5,$E67&lt;DC$5+GanttPeriod),"◇","")),IF(AND(DC$5&lt;=$F67,DC$5+GanttPeriod-1&gt;=$E67),"━","")))</f>
        <v/>
      </c>
      <c r="DD67" s="69" t="str">
        <f aca="false">IF($E67="","",IF($M67,IF(AND($G67&gt;=DD$5,$G67&lt;DD$5+GanttPeriod),"◆",IF(AND($E67&gt;=DD$5,$E67&lt;DD$5+GanttPeriod),"◇","")),IF(AND(DD$5&lt;=$F67,DD$5+GanttPeriod-1&gt;=$E67),"━","")))</f>
        <v/>
      </c>
      <c r="DE67" s="69" t="str">
        <f aca="false">IF($E67="","",IF($M67,IF(AND($G67&gt;=DE$5,$G67&lt;DE$5+GanttPeriod),"◆",IF(AND($E67&gt;=DE$5,$E67&lt;DE$5+GanttPeriod),"◇","")),IF(AND(DE$5&lt;=$F67,DE$5+GanttPeriod-1&gt;=$E67),"━","")))</f>
        <v/>
      </c>
      <c r="DF67" s="69" t="str">
        <f aca="false">IF($E67="","",IF($M67,IF(AND($G67&gt;=DF$5,$G67&lt;DF$5+GanttPeriod),"◆",IF(AND($E67&gt;=DF$5,$E67&lt;DF$5+GanttPeriod),"◇","")),IF(AND(DF$5&lt;=$F67,DF$5+GanttPeriod-1&gt;=$E67),"━","")))</f>
        <v/>
      </c>
      <c r="DG67" s="69" t="str">
        <f aca="false">IF($E67="","",IF($M67,IF(AND($G67&gt;=DG$5,$G67&lt;DG$5+GanttPeriod),"◆",IF(AND($E67&gt;=DG$5,$E67&lt;DG$5+GanttPeriod),"◇","")),IF(AND(DG$5&lt;=$F67,DG$5+GanttPeriod-1&gt;=$E67),"━","")))</f>
        <v/>
      </c>
      <c r="DH67" s="69" t="str">
        <f aca="false">IF($E67="","",IF($M67,IF(AND($G67&gt;=DH$5,$G67&lt;DH$5+GanttPeriod),"◆",IF(AND($E67&gt;=DH$5,$E67&lt;DH$5+GanttPeriod),"◇","")),IF(AND(DH$5&lt;=$F67,DH$5+GanttPeriod-1&gt;=$E67),"━","")))</f>
        <v/>
      </c>
      <c r="DI67" s="69" t="str">
        <f aca="false">IF($E67="","",IF($M67,IF(AND($G67&gt;=DI$5,$G67&lt;DI$5+GanttPeriod),"◆",IF(AND($E67&gt;=DI$5,$E67&lt;DI$5+GanttPeriod),"◇","")),IF(AND(DI$5&lt;=$F67,DI$5+GanttPeriod-1&gt;=$E67),"━","")))</f>
        <v/>
      </c>
      <c r="DJ67" s="69" t="str">
        <f aca="false">IF($E67="","",IF($M67,IF(AND($G67&gt;=DJ$5,$G67&lt;DJ$5+GanttPeriod),"◆",IF(AND($E67&gt;=DJ$5,$E67&lt;DJ$5+GanttPeriod),"◇","")),IF(AND(DJ$5&lt;=$F67,DJ$5+GanttPeriod-1&gt;=$E67),"━","")))</f>
        <v/>
      </c>
      <c r="DK67" s="69" t="str">
        <f aca="false">IF($E67="","",IF($M67,IF(AND($G67&gt;=DK$5,$G67&lt;DK$5+GanttPeriod),"◆",IF(AND($E67&gt;=DK$5,$E67&lt;DK$5+GanttPeriod),"◇","")),IF(AND(DK$5&lt;=$F67,DK$5+GanttPeriod-1&gt;=$E67),"━","")))</f>
        <v/>
      </c>
      <c r="DL67" s="69" t="str">
        <f aca="false">IF($E67="","",IF($M67,IF(AND($G67&gt;=DL$5,$G67&lt;DL$5+GanttPeriod),"◆",IF(AND($E67&gt;=DL$5,$E67&lt;DL$5+GanttPeriod),"◇","")),IF(AND(DL$5&lt;=$F67,DL$5+GanttPeriod-1&gt;=$E67),"━","")))</f>
        <v/>
      </c>
      <c r="DM67" s="69" t="str">
        <f aca="false">IF($E67="","",IF($M67,IF(AND($G67&gt;=DM$5,$G67&lt;DM$5+GanttPeriod),"◆",IF(AND($E67&gt;=DM$5,$E67&lt;DM$5+GanttPeriod),"◇","")),IF(AND(DM$5&lt;=$F67,DM$5+GanttPeriod-1&gt;=$E67),"━","")))</f>
        <v/>
      </c>
      <c r="DN67" s="69" t="str">
        <f aca="false">IF($E67="","",IF($M67,IF(AND($G67&gt;=DN$5,$G67&lt;DN$5+GanttPeriod),"◆",IF(AND($E67&gt;=DN$5,$E67&lt;DN$5+GanttPeriod),"◇","")),IF(AND(DN$5&lt;=$F67,DN$5+GanttPeriod-1&gt;=$E67),"━","")))</f>
        <v/>
      </c>
      <c r="DO67" s="69" t="str">
        <f aca="false">IF($E67="","",IF($M67,IF(AND($G67&gt;=DO$5,$G67&lt;DO$5+GanttPeriod),"◆",IF(AND($E67&gt;=DO$5,$E67&lt;DO$5+GanttPeriod),"◇","")),IF(AND(DO$5&lt;=$F67,DO$5+GanttPeriod-1&gt;=$E67),"━","")))</f>
        <v/>
      </c>
      <c r="DP67" s="69" t="str">
        <f aca="false">IF($E67="","",IF($M67,IF(AND($G67&gt;=DP$5,$G67&lt;DP$5+GanttPeriod),"◆",IF(AND($E67&gt;=DP$5,$E67&lt;DP$5+GanttPeriod),"◇","")),IF(AND(DP$5&lt;=$F67,DP$5+GanttPeriod-1&gt;=$E67),"━","")))</f>
        <v/>
      </c>
      <c r="DQ67" s="69" t="str">
        <f aca="false">IF($E67="","",IF($M67,IF(AND($G67&gt;=DQ$5,$G67&lt;DQ$5+GanttPeriod),"◆",IF(AND($E67&gt;=DQ$5,$E67&lt;DQ$5+GanttPeriod),"◇","")),IF(AND(DQ$5&lt;=$F67,DQ$5+GanttPeriod-1&gt;=$E67),"━","")))</f>
        <v/>
      </c>
      <c r="DR67" s="69" t="str">
        <f aca="false">IF($E67="","",IF($M67,IF(AND($G67&gt;=DR$5,$G67&lt;DR$5+GanttPeriod),"◆",IF(AND($E67&gt;=DR$5,$E67&lt;DR$5+GanttPeriod),"◇","")),IF(AND(DR$5&lt;=$F67,DR$5+GanttPeriod-1&gt;=$E67),"━","")))</f>
        <v/>
      </c>
      <c r="DS67" s="69" t="str">
        <f aca="false">IF($E67="","",IF($M67,IF(AND($G67&gt;=DS$5,$G67&lt;DS$5+GanttPeriod),"◆",IF(AND($E67&gt;=DS$5,$E67&lt;DS$5+GanttPeriod),"◇","")),IF(AND(DS$5&lt;=$F67,DS$5+GanttPeriod-1&gt;=$E67),"━","")))</f>
        <v/>
      </c>
      <c r="DT67" s="69" t="str">
        <f aca="false">IF($E67="","",IF($M67,IF(AND($G67&gt;=DT$5,$G67&lt;DT$5+GanttPeriod),"◆",IF(AND($E67&gt;=DT$5,$E67&lt;DT$5+GanttPeriod),"◇","")),IF(AND(DT$5&lt;=$F67,DT$5+GanttPeriod-1&gt;=$E67),"━","")))</f>
        <v/>
      </c>
      <c r="DU67" s="69" t="str">
        <f aca="false">IF($E67="","",IF($M67,IF(AND($G67&gt;=DU$5,$G67&lt;DU$5+GanttPeriod),"◆",IF(AND($E67&gt;=DU$5,$E67&lt;DU$5+GanttPeriod),"◇","")),IF(AND(DU$5&lt;=$F67,DU$5+GanttPeriod-1&gt;=$E67),"━","")))</f>
        <v/>
      </c>
      <c r="DV67" s="69" t="str">
        <f aca="false">IF($E67="","",IF($M67,IF(AND($G67&gt;=DV$5,$G67&lt;DV$5+GanttPeriod),"◆",IF(AND($E67&gt;=DV$5,$E67&lt;DV$5+GanttPeriod),"◇","")),IF(AND(DV$5&lt;=$F67,DV$5+GanttPeriod-1&gt;=$E67),"━","")))</f>
        <v/>
      </c>
      <c r="DW67" s="69" t="str">
        <f aca="false">IF($E67="","",IF($M67,IF(AND($G67&gt;=DW$5,$G67&lt;DW$5+GanttPeriod),"◆",IF(AND($E67&gt;=DW$5,$E67&lt;DW$5+GanttPeriod),"◇","")),IF(AND(DW$5&lt;=$F67,DW$5+GanttPeriod-1&gt;=$E67),"━","")))</f>
        <v/>
      </c>
      <c r="DX67" s="69" t="str">
        <f aca="false">IF($E67="","",IF($M67,IF(AND($G67&gt;=DX$5,$G67&lt;DX$5+GanttPeriod),"◆",IF(AND($E67&gt;=DX$5,$E67&lt;DX$5+GanttPeriod),"◇","")),IF(AND(DX$5&lt;=$F67,DX$5+GanttPeriod-1&gt;=$E67),"━","")))</f>
        <v/>
      </c>
      <c r="DY67" s="69" t="str">
        <f aca="false">IF($E67="","",IF($M67,IF(AND($G67&gt;=DY$5,$G67&lt;DY$5+GanttPeriod),"◆",IF(AND($E67&gt;=DY$5,$E67&lt;DY$5+GanttPeriod),"◇","")),IF(AND(DY$5&lt;=$F67,DY$5+GanttPeriod-1&gt;=$E67),"━","")))</f>
        <v/>
      </c>
      <c r="DZ67" s="69" t="str">
        <f aca="false">IF($E67="","",IF($M67,IF(AND($G67&gt;=DZ$5,$G67&lt;DZ$5+GanttPeriod),"◆",IF(AND($E67&gt;=DZ$5,$E67&lt;DZ$5+GanttPeriod),"◇","")),IF(AND(DZ$5&lt;=$F67,DZ$5+GanttPeriod-1&gt;=$E67),"━","")))</f>
        <v/>
      </c>
      <c r="EA67" s="69" t="str">
        <f aca="false">IF($E67="","",IF($M67,IF(AND($G67&gt;=EA$5,$G67&lt;EA$5+GanttPeriod),"◆",IF(AND($E67&gt;=EA$5,$E67&lt;EA$5+GanttPeriod),"◇","")),IF(AND(EA$5&lt;=$F67,EA$5+GanttPeriod-1&gt;=$E67),"━","")))</f>
        <v/>
      </c>
      <c r="EB67" s="69" t="str">
        <f aca="false">IF($E67="","",IF($M67,IF(AND($G67&gt;=EB$5,$G67&lt;EB$5+GanttPeriod),"◆",IF(AND($E67&gt;=EB$5,$E67&lt;EB$5+GanttPeriod),"◇","")),IF(AND(EB$5&lt;=$F67,EB$5+GanttPeriod-1&gt;=$E67),"━","")))</f>
        <v/>
      </c>
      <c r="EC67" s="69" t="str">
        <f aca="false">IF($E67="","",IF($M67,IF(AND($G67&gt;=EC$5,$G67&lt;EC$5+GanttPeriod),"◆",IF(AND($E67&gt;=EC$5,$E67&lt;EC$5+GanttPeriod),"◇","")),IF(AND(EC$5&lt;=$F67,EC$5+GanttPeriod-1&gt;=$E67),"━","")))</f>
        <v/>
      </c>
      <c r="ED67" s="69" t="str">
        <f aca="false">IF($E67="","",IF($M67,IF(AND($G67&gt;=ED$5,$G67&lt;ED$5+GanttPeriod),"◆",IF(AND($E67&gt;=ED$5,$E67&lt;ED$5+GanttPeriod),"◇","")),IF(AND(ED$5&lt;=$F67,ED$5+GanttPeriod-1&gt;=$E67),"━","")))</f>
        <v/>
      </c>
      <c r="EE67" s="69" t="str">
        <f aca="false">IF($E67="","",IF($M67,IF(AND($G67&gt;=EE$5,$G67&lt;EE$5+GanttPeriod),"◆",IF(AND($E67&gt;=EE$5,$E67&lt;EE$5+GanttPeriod),"◇","")),IF(AND(EE$5&lt;=$F67,EE$5+GanttPeriod-1&gt;=$E67),"━","")))</f>
        <v/>
      </c>
      <c r="EF67" s="69" t="str">
        <f aca="false">IF($E67="","",IF($M67,IF(AND($G67&gt;=EF$5,$G67&lt;EF$5+GanttPeriod),"◆",IF(AND($E67&gt;=EF$5,$E67&lt;EF$5+GanttPeriod),"◇","")),IF(AND(EF$5&lt;=$F67,EF$5+GanttPeriod-1&gt;=$E67),"━","")))</f>
        <v/>
      </c>
      <c r="EG67" s="69" t="str">
        <f aca="false">IF($E67="","",IF($M67,IF(AND($G67&gt;=EG$5,$G67&lt;EG$5+GanttPeriod),"◆",IF(AND($E67&gt;=EG$5,$E67&lt;EG$5+GanttPeriod),"◇","")),IF(AND(EG$5&lt;=$F67,EG$5+GanttPeriod-1&gt;=$E67),"━","")))</f>
        <v/>
      </c>
      <c r="EH67" s="69" t="str">
        <f aca="false">IF($E67="","",IF($M67,IF(AND($G67&gt;=EH$5,$G67&lt;EH$5+GanttPeriod),"◆",IF(AND($E67&gt;=EH$5,$E67&lt;EH$5+GanttPeriod),"◇","")),IF(AND(EH$5&lt;=$F67,EH$5+GanttPeriod-1&gt;=$E67),"━","")))</f>
        <v/>
      </c>
      <c r="EI67" s="69" t="str">
        <f aca="false">IF($E67="","",IF($M67,IF(AND($G67&gt;=EI$5,$G67&lt;EI$5+GanttPeriod),"◆",IF(AND($E67&gt;=EI$5,$E67&lt;EI$5+GanttPeriod),"◇","")),IF(AND(EI$5&lt;=$F67,EI$5+GanttPeriod-1&gt;=$E67),"━","")))</f>
        <v/>
      </c>
      <c r="EJ67" s="69" t="str">
        <f aca="false">IF($E67="","",IF($M67,IF(AND($G67&gt;=EJ$5,$G67&lt;EJ$5+GanttPeriod),"◆",IF(AND($E67&gt;=EJ$5,$E67&lt;EJ$5+GanttPeriod),"◇","")),IF(AND(EJ$5&lt;=$F67,EJ$5+GanttPeriod-1&gt;=$E67),"━","")))</f>
        <v/>
      </c>
      <c r="EK67" s="69" t="str">
        <f aca="false">IF($E67="","",IF($M67,IF(AND($G67&gt;=EK$5,$G67&lt;EK$5+GanttPeriod),"◆",IF(AND($E67&gt;=EK$5,$E67&lt;EK$5+GanttPeriod),"◇","")),IF(AND(EK$5&lt;=$F67,EK$5+GanttPeriod-1&gt;=$E67),"━","")))</f>
        <v/>
      </c>
      <c r="EL67" s="69" t="str">
        <f aca="false">IF($E67="","",IF($M67,IF(AND($G67&gt;=EL$5,$G67&lt;EL$5+GanttPeriod),"◆",IF(AND($E67&gt;=EL$5,$E67&lt;EL$5+GanttPeriod),"◇","")),IF(AND(EL$5&lt;=$F67,EL$5+GanttPeriod-1&gt;=$E67),"━","")))</f>
        <v/>
      </c>
      <c r="EM67" s="69" t="str">
        <f aca="false">IF($E67="","",IF($M67,IF(AND($G67&gt;=EM$5,$G67&lt;EM$5+GanttPeriod),"◆",IF(AND($E67&gt;=EM$5,$E67&lt;EM$5+GanttPeriod),"◇","")),IF(AND(EM$5&lt;=$F67,EM$5+GanttPeriod-1&gt;=$E67),"━","")))</f>
        <v/>
      </c>
      <c r="EN67" s="69" t="str">
        <f aca="false">IF($E67="","",IF($M67,IF(AND($G67&gt;=EN$5,$G67&lt;EN$5+GanttPeriod),"◆",IF(AND($E67&gt;=EN$5,$E67&lt;EN$5+GanttPeriod),"◇","")),IF(AND(EN$5&lt;=$F67,EN$5+GanttPeriod-1&gt;=$E67),"━","")))</f>
        <v/>
      </c>
      <c r="EO67" s="69" t="str">
        <f aca="false">IF($E67="","",IF($M67,IF(AND($G67&gt;=EO$5,$G67&lt;EO$5+GanttPeriod),"◆",IF(AND($E67&gt;=EO$5,$E67&lt;EO$5+GanttPeriod),"◇","")),IF(AND(EO$5&lt;=$F67,EO$5+GanttPeriod-1&gt;=$E67),"━","")))</f>
        <v/>
      </c>
      <c r="EP67" s="69" t="str">
        <f aca="false">IF($E67="","",IF($M67,IF(AND($G67&gt;=EP$5,$G67&lt;EP$5+GanttPeriod),"◆",IF(AND($E67&gt;=EP$5,$E67&lt;EP$5+GanttPeriod),"◇","")),IF(AND(EP$5&lt;=$F67,EP$5+GanttPeriod-1&gt;=$E67),"━","")))</f>
        <v/>
      </c>
      <c r="EQ67" s="69" t="str">
        <f aca="false">IF($E67="","",IF($M67,IF(AND($G67&gt;=EQ$5,$G67&lt;EQ$5+GanttPeriod),"◆",IF(AND($E67&gt;=EQ$5,$E67&lt;EQ$5+GanttPeriod),"◇","")),IF(AND(EQ$5&lt;=$F67,EQ$5+GanttPeriod-1&gt;=$E67),"━","")))</f>
        <v/>
      </c>
      <c r="ER67" s="69" t="str">
        <f aca="false">IF($E67="","",IF($M67,IF(AND($G67&gt;=ER$5,$G67&lt;ER$5+GanttPeriod),"◆",IF(AND($E67&gt;=ER$5,$E67&lt;ER$5+GanttPeriod),"◇","")),IF(AND(ER$5&lt;=$F67,ER$5+GanttPeriod-1&gt;=$E67),"━","")))</f>
        <v/>
      </c>
      <c r="ES67" s="69" t="str">
        <f aca="false">IF($E67="","",IF($M67,IF(AND($G67&gt;=ES$5,$G67&lt;ES$5+GanttPeriod),"◆",IF(AND($E67&gt;=ES$5,$E67&lt;ES$5+GanttPeriod),"◇","")),IF(AND(ES$5&lt;=$F67,ES$5+GanttPeriod-1&gt;=$E67),"━","")))</f>
        <v/>
      </c>
      <c r="ET67" s="69" t="str">
        <f aca="false">IF($E67="","",IF($M67,IF(AND($G67&gt;=ET$5,$G67&lt;ET$5+GanttPeriod),"◆",IF(AND($E67&gt;=ET$5,$E67&lt;ET$5+GanttPeriod),"◇","")),IF(AND(ET$5&lt;=$F67,ET$5+GanttPeriod-1&gt;=$E67),"━","")))</f>
        <v/>
      </c>
      <c r="EU67" s="69" t="str">
        <f aca="false">IF($E67="","",IF($M67,IF(AND($G67&gt;=EU$5,$G67&lt;EU$5+GanttPeriod),"◆",IF(AND($E67&gt;=EU$5,$E67&lt;EU$5+GanttPeriod),"◇","")),IF(AND(EU$5&lt;=$F67,EU$5+GanttPeriod-1&gt;=$E67),"━","")))</f>
        <v/>
      </c>
      <c r="EV67" s="69" t="str">
        <f aca="false">IF($E67="","",IF($M67,IF(AND($G67&gt;=EV$5,$G67&lt;EV$5+GanttPeriod),"◆",IF(AND($E67&gt;=EV$5,$E67&lt;EV$5+GanttPeriod),"◇","")),IF(AND(EV$5&lt;=$F67,EV$5+GanttPeriod-1&gt;=$E67),"━","")))</f>
        <v/>
      </c>
      <c r="EW67" s="69" t="str">
        <f aca="false">IF($E67="","",IF($M67,IF(AND($G67&gt;=EW$5,$G67&lt;EW$5+GanttPeriod),"◆",IF(AND($E67&gt;=EW$5,$E67&lt;EW$5+GanttPeriod),"◇","")),IF(AND(EW$5&lt;=$F67,EW$5+GanttPeriod-1&gt;=$E67),"━","")))</f>
        <v/>
      </c>
      <c r="EX67" s="69" t="str">
        <f aca="false">IF($E67="","",IF($M67,IF(AND($G67&gt;=EX$5,$G67&lt;EX$5+GanttPeriod),"◆",IF(AND($E67&gt;=EX$5,$E67&lt;EX$5+GanttPeriod),"◇","")),IF(AND(EX$5&lt;=$F67,EX$5+GanttPeriod-1&gt;=$E67),"━","")))</f>
        <v/>
      </c>
      <c r="EY67" s="69" t="str">
        <f aca="false">IF($E67="","",IF($M67,IF(AND($G67&gt;=EY$5,$G67&lt;EY$5+GanttPeriod),"◆",IF(AND($E67&gt;=EY$5,$E67&lt;EY$5+GanttPeriod),"◇","")),IF(AND(EY$5&lt;=$F67,EY$5+GanttPeriod-1&gt;=$E67),"━","")))</f>
        <v/>
      </c>
      <c r="EZ67" s="69" t="str">
        <f aca="false">IF($E67="","",IF($M67,IF(AND($G67&gt;=EZ$5,$G67&lt;EZ$5+GanttPeriod),"◆",IF(AND($E67&gt;=EZ$5,$E67&lt;EZ$5+GanttPeriod),"◇","")),IF(AND(EZ$5&lt;=$F67,EZ$5+GanttPeriod-1&gt;=$E67),"━","")))</f>
        <v/>
      </c>
      <c r="FA67" s="69" t="str">
        <f aca="false">IF($E67="","",IF($M67,IF(AND($G67&gt;=FA$5,$G67&lt;FA$5+GanttPeriod),"◆",IF(AND($E67&gt;=FA$5,$E67&lt;FA$5+GanttPeriod),"◇","")),IF(AND(FA$5&lt;=$F67,FA$5+GanttPeriod-1&gt;=$E67),"━","")))</f>
        <v/>
      </c>
      <c r="FB67" s="69" t="str">
        <f aca="false">IF($E67="","",IF($M67,IF(AND($G67&gt;=FB$5,$G67&lt;FB$5+GanttPeriod),"◆",IF(AND($E67&gt;=FB$5,$E67&lt;FB$5+GanttPeriod),"◇","")),IF(AND(FB$5&lt;=$F67,FB$5+GanttPeriod-1&gt;=$E67),"━","")))</f>
        <v/>
      </c>
      <c r="FC67" s="69" t="str">
        <f aca="false">IF($E67="","",IF($M67,IF(AND($G67&gt;=FC$5,$G67&lt;FC$5+GanttPeriod),"◆",IF(AND($E67&gt;=FC$5,$E67&lt;FC$5+GanttPeriod),"◇","")),IF(AND(FC$5&lt;=$F67,FC$5+GanttPeriod-1&gt;=$E67),"━","")))</f>
        <v/>
      </c>
      <c r="FD67" s="69" t="str">
        <f aca="false">IF($E67="","",IF($M67,IF(AND($G67&gt;=FD$5,$G67&lt;FD$5+GanttPeriod),"◆",IF(AND($E67&gt;=FD$5,$E67&lt;FD$5+GanttPeriod),"◇","")),IF(AND(FD$5&lt;=$F67,FD$5+GanttPeriod-1&gt;=$E67),"━","")))</f>
        <v/>
      </c>
      <c r="FE67" s="69" t="str">
        <f aca="false">IF($E67="","",IF($M67,IF(AND($G67&gt;=FE$5,$G67&lt;FE$5+GanttPeriod),"◆",IF(AND($E67&gt;=FE$5,$E67&lt;FE$5+GanttPeriod),"◇","")),IF(AND(FE$5&lt;=$F67,FE$5+GanttPeriod-1&gt;=$E67),"━","")))</f>
        <v/>
      </c>
      <c r="FF67" s="69" t="str">
        <f aca="false">IF($E67="","",IF($M67,IF(AND($G67&gt;=FF$5,$G67&lt;FF$5+GanttPeriod),"◆",IF(AND($E67&gt;=FF$5,$E67&lt;FF$5+GanttPeriod),"◇","")),IF(AND(FF$5&lt;=$F67,FF$5+GanttPeriod-1&gt;=$E67),"━","")))</f>
        <v/>
      </c>
      <c r="FG67" s="69" t="str">
        <f aca="false">IF($E67="","",IF($M67,IF(AND($G67&gt;=FG$5,$G67&lt;FG$5+GanttPeriod),"◆",IF(AND($E67&gt;=FG$5,$E67&lt;FG$5+GanttPeriod),"◇","")),IF(AND(FG$5&lt;=$F67,FG$5+GanttPeriod-1&gt;=$E67),"━","")))</f>
        <v/>
      </c>
      <c r="FH67" s="69" t="str">
        <f aca="false">IF($E67="","",IF($M67,IF(AND($G67&gt;=FH$5,$G67&lt;FH$5+GanttPeriod),"◆",IF(AND($E67&gt;=FH$5,$E67&lt;FH$5+GanttPeriod),"◇","")),IF(AND(FH$5&lt;=$F67,FH$5+GanttPeriod-1&gt;=$E67),"━","")))</f>
        <v/>
      </c>
      <c r="FI67" s="69" t="str">
        <f aca="false">IF($E67="","",IF($M67,IF(AND($G67&gt;=FI$5,$G67&lt;FI$5+GanttPeriod),"◆",IF(AND($E67&gt;=FI$5,$E67&lt;FI$5+GanttPeriod),"◇","")),IF(AND(FI$5&lt;=$F67,FI$5+GanttPeriod-1&gt;=$E67),"━","")))</f>
        <v/>
      </c>
      <c r="FJ67" s="69" t="str">
        <f aca="false">IF($E67="","",IF($M67,IF(AND($G67&gt;=FJ$5,$G67&lt;FJ$5+GanttPeriod),"◆",IF(AND($E67&gt;=FJ$5,$E67&lt;FJ$5+GanttPeriod),"◇","")),IF(AND(FJ$5&lt;=$F67,FJ$5+GanttPeriod-1&gt;=$E67),"━","")))</f>
        <v/>
      </c>
      <c r="FK67" s="69" t="str">
        <f aca="false">IF($E67="","",IF($M67,IF(AND($G67&gt;=FK$5,$G67&lt;FK$5+GanttPeriod),"◆",IF(AND($E67&gt;=FK$5,$E67&lt;FK$5+GanttPeriod),"◇","")),IF(AND(FK$5&lt;=$F67,FK$5+GanttPeriod-1&gt;=$E67),"━","")))</f>
        <v/>
      </c>
      <c r="FL67" s="69" t="str">
        <f aca="false">IF($E67="","",IF($M67,IF(AND($G67&gt;=FL$5,$G67&lt;FL$5+GanttPeriod),"◆",IF(AND($E67&gt;=FL$5,$E67&lt;FL$5+GanttPeriod),"◇","")),IF(AND(FL$5&lt;=$F67,FL$5+GanttPeriod-1&gt;=$E67),"━","")))</f>
        <v/>
      </c>
      <c r="FM67" s="69" t="str">
        <f aca="false">IF($E67="","",IF($M67,IF(AND($G67&gt;=FM$5,$G67&lt;FM$5+GanttPeriod),"◆",IF(AND($E67&gt;=FM$5,$E67&lt;FM$5+GanttPeriod),"◇","")),IF(AND(FM$5&lt;=$F67,FM$5+GanttPeriod-1&gt;=$E67),"━","")))</f>
        <v/>
      </c>
    </row>
    <row r="68" customFormat="false" ht="15" hidden="false" customHeight="false" outlineLevel="0" collapsed="false">
      <c r="A68" s="62" t="str">
        <f aca="false">IF(Tasks!$D68="","",Tasks!$A68)</f>
        <v/>
      </c>
      <c r="B68" s="62" t="str">
        <f aca="false">IF(Tasks!$D68="","",Tasks!$B68)</f>
        <v/>
      </c>
      <c r="C68" s="63" t="str">
        <f aca="false">IF(Tasks!$D68="","",REPT("    ",Tasks!$AE68-1)&amp;Tasks!$D68)</f>
        <v/>
      </c>
      <c r="D68" s="62" t="str">
        <f aca="false">IF(Tasks!$D68="","",IF(Tasks!$AI68,NETWORKDAYS.INTL(Tasks!$R68,Tasks!$S68,WorkWeek,Holidays),N(Tasks!$F68)))</f>
        <v/>
      </c>
      <c r="E68" s="64" t="str">
        <f aca="false">IF(Tasks!$D68="","",Tasks!$N68)</f>
        <v/>
      </c>
      <c r="F68" s="64" t="str">
        <f aca="false">IF(Tasks!$D68="","",Tasks!$O68)</f>
        <v/>
      </c>
      <c r="G68" s="64" t="str">
        <f aca="false">IF(Tasks!$D68="","",Tasks!$R68)</f>
        <v/>
      </c>
      <c r="H68" s="64" t="str">
        <f aca="false">IF(Tasks!$D68="","",Tasks!$S68)</f>
        <v/>
      </c>
      <c r="I68" s="65" t="str">
        <f aca="false">IF(Tasks!$D68="","",Tasks!$V68)</f>
        <v/>
      </c>
      <c r="J68" s="63" t="str">
        <f aca="false">IF(Tasks!$D68="","",Tasks!$X68&amp;"")</f>
        <v/>
      </c>
      <c r="K68" s="66" t="str">
        <f aca="false">IF(Tasks!$D68="","",Tasks!$W68)</f>
        <v/>
      </c>
      <c r="L68" s="67" t="b">
        <f aca="false">IF(Tasks!$D68="",FALSE(),Tasks!$AI68)</f>
        <v>0</v>
      </c>
      <c r="M68" s="67" t="b">
        <f aca="false">AND(Tasks!$AJ68=1,N(Tasks!$F68)=0)</f>
        <v>0</v>
      </c>
      <c r="N68" s="68" t="n">
        <f aca="false">IF(AND(Tasks!$AJ68=1,NOT($M68),N($I68)&gt;0),$G68,0)</f>
        <v>0</v>
      </c>
      <c r="O68" s="68" t="n">
        <f aca="false">IF($N68=0,0,IF($I68&gt;=1,$H68,MAX($N68,$G68+ROUND(($H68-$G68+1)*$I68,0)-1)))</f>
        <v>0</v>
      </c>
      <c r="P68" s="68" t="n">
        <f aca="false">IF(OR(Tasks!$AJ68&lt;&gt;1,$M68,N($I68)&gt;=1),0,IF($O68&gt;0,$O68+1,$G68))</f>
        <v>0</v>
      </c>
      <c r="Q68" s="68" t="n">
        <f aca="false">IF($P68=0,0,$H68)</f>
        <v>0</v>
      </c>
      <c r="R68" s="67" t="b">
        <f aca="false">AND(Tasks!$D68&lt;&gt;"",N(Tasks!$T68)&gt;0)</f>
        <v>0</v>
      </c>
      <c r="T68" s="69" t="str">
        <f aca="false">IF($E68="","",IF($M68,IF(AND($G68&gt;=T$5,$G68&lt;T$5+GanttPeriod),"◆",IF(AND($E68&gt;=T$5,$E68&lt;T$5+GanttPeriod),"◇","")),IF(AND(T$5&lt;=$F68,T$5+GanttPeriod-1&gt;=$E68),"━","")))</f>
        <v/>
      </c>
      <c r="U68" s="69" t="str">
        <f aca="false">IF($E68="","",IF($M68,IF(AND($G68&gt;=U$5,$G68&lt;U$5+GanttPeriod),"◆",IF(AND($E68&gt;=U$5,$E68&lt;U$5+GanttPeriod),"◇","")),IF(AND(U$5&lt;=$F68,U$5+GanttPeriod-1&gt;=$E68),"━","")))</f>
        <v/>
      </c>
      <c r="V68" s="69" t="str">
        <f aca="false">IF($E68="","",IF($M68,IF(AND($G68&gt;=V$5,$G68&lt;V$5+GanttPeriod),"◆",IF(AND($E68&gt;=V$5,$E68&lt;V$5+GanttPeriod),"◇","")),IF(AND(V$5&lt;=$F68,V$5+GanttPeriod-1&gt;=$E68),"━","")))</f>
        <v/>
      </c>
      <c r="W68" s="69" t="str">
        <f aca="false">IF($E68="","",IF($M68,IF(AND($G68&gt;=W$5,$G68&lt;W$5+GanttPeriod),"◆",IF(AND($E68&gt;=W$5,$E68&lt;W$5+GanttPeriod),"◇","")),IF(AND(W$5&lt;=$F68,W$5+GanttPeriod-1&gt;=$E68),"━","")))</f>
        <v/>
      </c>
      <c r="X68" s="69" t="str">
        <f aca="false">IF($E68="","",IF($M68,IF(AND($G68&gt;=X$5,$G68&lt;X$5+GanttPeriod),"◆",IF(AND($E68&gt;=X$5,$E68&lt;X$5+GanttPeriod),"◇","")),IF(AND(X$5&lt;=$F68,X$5+GanttPeriod-1&gt;=$E68),"━","")))</f>
        <v/>
      </c>
      <c r="Y68" s="69" t="str">
        <f aca="false">IF($E68="","",IF($M68,IF(AND($G68&gt;=Y$5,$G68&lt;Y$5+GanttPeriod),"◆",IF(AND($E68&gt;=Y$5,$E68&lt;Y$5+GanttPeriod),"◇","")),IF(AND(Y$5&lt;=$F68,Y$5+GanttPeriod-1&gt;=$E68),"━","")))</f>
        <v/>
      </c>
      <c r="Z68" s="69" t="str">
        <f aca="false">IF($E68="","",IF($M68,IF(AND($G68&gt;=Z$5,$G68&lt;Z$5+GanttPeriod),"◆",IF(AND($E68&gt;=Z$5,$E68&lt;Z$5+GanttPeriod),"◇","")),IF(AND(Z$5&lt;=$F68,Z$5+GanttPeriod-1&gt;=$E68),"━","")))</f>
        <v/>
      </c>
      <c r="AA68" s="69" t="str">
        <f aca="false">IF($E68="","",IF($M68,IF(AND($G68&gt;=AA$5,$G68&lt;AA$5+GanttPeriod),"◆",IF(AND($E68&gt;=AA$5,$E68&lt;AA$5+GanttPeriod),"◇","")),IF(AND(AA$5&lt;=$F68,AA$5+GanttPeriod-1&gt;=$E68),"━","")))</f>
        <v/>
      </c>
      <c r="AB68" s="69" t="str">
        <f aca="false">IF($E68="","",IF($M68,IF(AND($G68&gt;=AB$5,$G68&lt;AB$5+GanttPeriod),"◆",IF(AND($E68&gt;=AB$5,$E68&lt;AB$5+GanttPeriod),"◇","")),IF(AND(AB$5&lt;=$F68,AB$5+GanttPeriod-1&gt;=$E68),"━","")))</f>
        <v/>
      </c>
      <c r="AC68" s="69" t="str">
        <f aca="false">IF($E68="","",IF($M68,IF(AND($G68&gt;=AC$5,$G68&lt;AC$5+GanttPeriod),"◆",IF(AND($E68&gt;=AC$5,$E68&lt;AC$5+GanttPeriod),"◇","")),IF(AND(AC$5&lt;=$F68,AC$5+GanttPeriod-1&gt;=$E68),"━","")))</f>
        <v/>
      </c>
      <c r="AD68" s="69" t="str">
        <f aca="false">IF($E68="","",IF($M68,IF(AND($G68&gt;=AD$5,$G68&lt;AD$5+GanttPeriod),"◆",IF(AND($E68&gt;=AD$5,$E68&lt;AD$5+GanttPeriod),"◇","")),IF(AND(AD$5&lt;=$F68,AD$5+GanttPeriod-1&gt;=$E68),"━","")))</f>
        <v/>
      </c>
      <c r="AE68" s="69" t="str">
        <f aca="false">IF($E68="","",IF($M68,IF(AND($G68&gt;=AE$5,$G68&lt;AE$5+GanttPeriod),"◆",IF(AND($E68&gt;=AE$5,$E68&lt;AE$5+GanttPeriod),"◇","")),IF(AND(AE$5&lt;=$F68,AE$5+GanttPeriod-1&gt;=$E68),"━","")))</f>
        <v/>
      </c>
      <c r="AF68" s="69" t="str">
        <f aca="false">IF($E68="","",IF($M68,IF(AND($G68&gt;=AF$5,$G68&lt;AF$5+GanttPeriod),"◆",IF(AND($E68&gt;=AF$5,$E68&lt;AF$5+GanttPeriod),"◇","")),IF(AND(AF$5&lt;=$F68,AF$5+GanttPeriod-1&gt;=$E68),"━","")))</f>
        <v/>
      </c>
      <c r="AG68" s="69" t="str">
        <f aca="false">IF($E68="","",IF($M68,IF(AND($G68&gt;=AG$5,$G68&lt;AG$5+GanttPeriod),"◆",IF(AND($E68&gt;=AG$5,$E68&lt;AG$5+GanttPeriod),"◇","")),IF(AND(AG$5&lt;=$F68,AG$5+GanttPeriod-1&gt;=$E68),"━","")))</f>
        <v/>
      </c>
      <c r="AH68" s="69" t="str">
        <f aca="false">IF($E68="","",IF($M68,IF(AND($G68&gt;=AH$5,$G68&lt;AH$5+GanttPeriod),"◆",IF(AND($E68&gt;=AH$5,$E68&lt;AH$5+GanttPeriod),"◇","")),IF(AND(AH$5&lt;=$F68,AH$5+GanttPeriod-1&gt;=$E68),"━","")))</f>
        <v/>
      </c>
      <c r="AI68" s="69" t="str">
        <f aca="false">IF($E68="","",IF($M68,IF(AND($G68&gt;=AI$5,$G68&lt;AI$5+GanttPeriod),"◆",IF(AND($E68&gt;=AI$5,$E68&lt;AI$5+GanttPeriod),"◇","")),IF(AND(AI$5&lt;=$F68,AI$5+GanttPeriod-1&gt;=$E68),"━","")))</f>
        <v/>
      </c>
      <c r="AJ68" s="69" t="str">
        <f aca="false">IF($E68="","",IF($M68,IF(AND($G68&gt;=AJ$5,$G68&lt;AJ$5+GanttPeriod),"◆",IF(AND($E68&gt;=AJ$5,$E68&lt;AJ$5+GanttPeriod),"◇","")),IF(AND(AJ$5&lt;=$F68,AJ$5+GanttPeriod-1&gt;=$E68),"━","")))</f>
        <v/>
      </c>
      <c r="AK68" s="69" t="str">
        <f aca="false">IF($E68="","",IF($M68,IF(AND($G68&gt;=AK$5,$G68&lt;AK$5+GanttPeriod),"◆",IF(AND($E68&gt;=AK$5,$E68&lt;AK$5+GanttPeriod),"◇","")),IF(AND(AK$5&lt;=$F68,AK$5+GanttPeriod-1&gt;=$E68),"━","")))</f>
        <v/>
      </c>
      <c r="AL68" s="69" t="str">
        <f aca="false">IF($E68="","",IF($M68,IF(AND($G68&gt;=AL$5,$G68&lt;AL$5+GanttPeriod),"◆",IF(AND($E68&gt;=AL$5,$E68&lt;AL$5+GanttPeriod),"◇","")),IF(AND(AL$5&lt;=$F68,AL$5+GanttPeriod-1&gt;=$E68),"━","")))</f>
        <v/>
      </c>
      <c r="AM68" s="69" t="str">
        <f aca="false">IF($E68="","",IF($M68,IF(AND($G68&gt;=AM$5,$G68&lt;AM$5+GanttPeriod),"◆",IF(AND($E68&gt;=AM$5,$E68&lt;AM$5+GanttPeriod),"◇","")),IF(AND(AM$5&lt;=$F68,AM$5+GanttPeriod-1&gt;=$E68),"━","")))</f>
        <v/>
      </c>
      <c r="AN68" s="69" t="str">
        <f aca="false">IF($E68="","",IF($M68,IF(AND($G68&gt;=AN$5,$G68&lt;AN$5+GanttPeriod),"◆",IF(AND($E68&gt;=AN$5,$E68&lt;AN$5+GanttPeriod),"◇","")),IF(AND(AN$5&lt;=$F68,AN$5+GanttPeriod-1&gt;=$E68),"━","")))</f>
        <v/>
      </c>
      <c r="AO68" s="69" t="str">
        <f aca="false">IF($E68="","",IF($M68,IF(AND($G68&gt;=AO$5,$G68&lt;AO$5+GanttPeriod),"◆",IF(AND($E68&gt;=AO$5,$E68&lt;AO$5+GanttPeriod),"◇","")),IF(AND(AO$5&lt;=$F68,AO$5+GanttPeriod-1&gt;=$E68),"━","")))</f>
        <v/>
      </c>
      <c r="AP68" s="69" t="str">
        <f aca="false">IF($E68="","",IF($M68,IF(AND($G68&gt;=AP$5,$G68&lt;AP$5+GanttPeriod),"◆",IF(AND($E68&gt;=AP$5,$E68&lt;AP$5+GanttPeriod),"◇","")),IF(AND(AP$5&lt;=$F68,AP$5+GanttPeriod-1&gt;=$E68),"━","")))</f>
        <v/>
      </c>
      <c r="AQ68" s="69" t="str">
        <f aca="false">IF($E68="","",IF($M68,IF(AND($G68&gt;=AQ$5,$G68&lt;AQ$5+GanttPeriod),"◆",IF(AND($E68&gt;=AQ$5,$E68&lt;AQ$5+GanttPeriod),"◇","")),IF(AND(AQ$5&lt;=$F68,AQ$5+GanttPeriod-1&gt;=$E68),"━","")))</f>
        <v/>
      </c>
      <c r="AR68" s="69" t="str">
        <f aca="false">IF($E68="","",IF($M68,IF(AND($G68&gt;=AR$5,$G68&lt;AR$5+GanttPeriod),"◆",IF(AND($E68&gt;=AR$5,$E68&lt;AR$5+GanttPeriod),"◇","")),IF(AND(AR$5&lt;=$F68,AR$5+GanttPeriod-1&gt;=$E68),"━","")))</f>
        <v/>
      </c>
      <c r="AS68" s="69" t="str">
        <f aca="false">IF($E68="","",IF($M68,IF(AND($G68&gt;=AS$5,$G68&lt;AS$5+GanttPeriod),"◆",IF(AND($E68&gt;=AS$5,$E68&lt;AS$5+GanttPeriod),"◇","")),IF(AND(AS$5&lt;=$F68,AS$5+GanttPeriod-1&gt;=$E68),"━","")))</f>
        <v/>
      </c>
      <c r="AT68" s="69" t="str">
        <f aca="false">IF($E68="","",IF($M68,IF(AND($G68&gt;=AT$5,$G68&lt;AT$5+GanttPeriod),"◆",IF(AND($E68&gt;=AT$5,$E68&lt;AT$5+GanttPeriod),"◇","")),IF(AND(AT$5&lt;=$F68,AT$5+GanttPeriod-1&gt;=$E68),"━","")))</f>
        <v/>
      </c>
      <c r="AU68" s="69" t="str">
        <f aca="false">IF($E68="","",IF($M68,IF(AND($G68&gt;=AU$5,$G68&lt;AU$5+GanttPeriod),"◆",IF(AND($E68&gt;=AU$5,$E68&lt;AU$5+GanttPeriod),"◇","")),IF(AND(AU$5&lt;=$F68,AU$5+GanttPeriod-1&gt;=$E68),"━","")))</f>
        <v/>
      </c>
      <c r="AV68" s="69" t="str">
        <f aca="false">IF($E68="","",IF($M68,IF(AND($G68&gt;=AV$5,$G68&lt;AV$5+GanttPeriod),"◆",IF(AND($E68&gt;=AV$5,$E68&lt;AV$5+GanttPeriod),"◇","")),IF(AND(AV$5&lt;=$F68,AV$5+GanttPeriod-1&gt;=$E68),"━","")))</f>
        <v/>
      </c>
      <c r="AW68" s="69" t="str">
        <f aca="false">IF($E68="","",IF($M68,IF(AND($G68&gt;=AW$5,$G68&lt;AW$5+GanttPeriod),"◆",IF(AND($E68&gt;=AW$5,$E68&lt;AW$5+GanttPeriod),"◇","")),IF(AND(AW$5&lt;=$F68,AW$5+GanttPeriod-1&gt;=$E68),"━","")))</f>
        <v/>
      </c>
      <c r="AX68" s="69" t="str">
        <f aca="false">IF($E68="","",IF($M68,IF(AND($G68&gt;=AX$5,$G68&lt;AX$5+GanttPeriod),"◆",IF(AND($E68&gt;=AX$5,$E68&lt;AX$5+GanttPeriod),"◇","")),IF(AND(AX$5&lt;=$F68,AX$5+GanttPeriod-1&gt;=$E68),"━","")))</f>
        <v/>
      </c>
      <c r="AY68" s="69" t="str">
        <f aca="false">IF($E68="","",IF($M68,IF(AND($G68&gt;=AY$5,$G68&lt;AY$5+GanttPeriod),"◆",IF(AND($E68&gt;=AY$5,$E68&lt;AY$5+GanttPeriod),"◇","")),IF(AND(AY$5&lt;=$F68,AY$5+GanttPeriod-1&gt;=$E68),"━","")))</f>
        <v/>
      </c>
      <c r="AZ68" s="69" t="str">
        <f aca="false">IF($E68="","",IF($M68,IF(AND($G68&gt;=AZ$5,$G68&lt;AZ$5+GanttPeriod),"◆",IF(AND($E68&gt;=AZ$5,$E68&lt;AZ$5+GanttPeriod),"◇","")),IF(AND(AZ$5&lt;=$F68,AZ$5+GanttPeriod-1&gt;=$E68),"━","")))</f>
        <v/>
      </c>
      <c r="BA68" s="69" t="str">
        <f aca="false">IF($E68="","",IF($M68,IF(AND($G68&gt;=BA$5,$G68&lt;BA$5+GanttPeriod),"◆",IF(AND($E68&gt;=BA$5,$E68&lt;BA$5+GanttPeriod),"◇","")),IF(AND(BA$5&lt;=$F68,BA$5+GanttPeriod-1&gt;=$E68),"━","")))</f>
        <v/>
      </c>
      <c r="BB68" s="69" t="str">
        <f aca="false">IF($E68="","",IF($M68,IF(AND($G68&gt;=BB$5,$G68&lt;BB$5+GanttPeriod),"◆",IF(AND($E68&gt;=BB$5,$E68&lt;BB$5+GanttPeriod),"◇","")),IF(AND(BB$5&lt;=$F68,BB$5+GanttPeriod-1&gt;=$E68),"━","")))</f>
        <v/>
      </c>
      <c r="BC68" s="69" t="str">
        <f aca="false">IF($E68="","",IF($M68,IF(AND($G68&gt;=BC$5,$G68&lt;BC$5+GanttPeriod),"◆",IF(AND($E68&gt;=BC$5,$E68&lt;BC$5+GanttPeriod),"◇","")),IF(AND(BC$5&lt;=$F68,BC$5+GanttPeriod-1&gt;=$E68),"━","")))</f>
        <v/>
      </c>
      <c r="BD68" s="69" t="str">
        <f aca="false">IF($E68="","",IF($M68,IF(AND($G68&gt;=BD$5,$G68&lt;BD$5+GanttPeriod),"◆",IF(AND($E68&gt;=BD$5,$E68&lt;BD$5+GanttPeriod),"◇","")),IF(AND(BD$5&lt;=$F68,BD$5+GanttPeriod-1&gt;=$E68),"━","")))</f>
        <v/>
      </c>
      <c r="BE68" s="69" t="str">
        <f aca="false">IF($E68="","",IF($M68,IF(AND($G68&gt;=BE$5,$G68&lt;BE$5+GanttPeriod),"◆",IF(AND($E68&gt;=BE$5,$E68&lt;BE$5+GanttPeriod),"◇","")),IF(AND(BE$5&lt;=$F68,BE$5+GanttPeriod-1&gt;=$E68),"━","")))</f>
        <v/>
      </c>
      <c r="BF68" s="69" t="str">
        <f aca="false">IF($E68="","",IF($M68,IF(AND($G68&gt;=BF$5,$G68&lt;BF$5+GanttPeriod),"◆",IF(AND($E68&gt;=BF$5,$E68&lt;BF$5+GanttPeriod),"◇","")),IF(AND(BF$5&lt;=$F68,BF$5+GanttPeriod-1&gt;=$E68),"━","")))</f>
        <v/>
      </c>
      <c r="BG68" s="69" t="str">
        <f aca="false">IF($E68="","",IF($M68,IF(AND($G68&gt;=BG$5,$G68&lt;BG$5+GanttPeriod),"◆",IF(AND($E68&gt;=BG$5,$E68&lt;BG$5+GanttPeriod),"◇","")),IF(AND(BG$5&lt;=$F68,BG$5+GanttPeriod-1&gt;=$E68),"━","")))</f>
        <v/>
      </c>
      <c r="BH68" s="69" t="str">
        <f aca="false">IF($E68="","",IF($M68,IF(AND($G68&gt;=BH$5,$G68&lt;BH$5+GanttPeriod),"◆",IF(AND($E68&gt;=BH$5,$E68&lt;BH$5+GanttPeriod),"◇","")),IF(AND(BH$5&lt;=$F68,BH$5+GanttPeriod-1&gt;=$E68),"━","")))</f>
        <v/>
      </c>
      <c r="BI68" s="69" t="str">
        <f aca="false">IF($E68="","",IF($M68,IF(AND($G68&gt;=BI$5,$G68&lt;BI$5+GanttPeriod),"◆",IF(AND($E68&gt;=BI$5,$E68&lt;BI$5+GanttPeriod),"◇","")),IF(AND(BI$5&lt;=$F68,BI$5+GanttPeriod-1&gt;=$E68),"━","")))</f>
        <v/>
      </c>
      <c r="BJ68" s="69" t="str">
        <f aca="false">IF($E68="","",IF($M68,IF(AND($G68&gt;=BJ$5,$G68&lt;BJ$5+GanttPeriod),"◆",IF(AND($E68&gt;=BJ$5,$E68&lt;BJ$5+GanttPeriod),"◇","")),IF(AND(BJ$5&lt;=$F68,BJ$5+GanttPeriod-1&gt;=$E68),"━","")))</f>
        <v/>
      </c>
      <c r="BK68" s="69" t="str">
        <f aca="false">IF($E68="","",IF($M68,IF(AND($G68&gt;=BK$5,$G68&lt;BK$5+GanttPeriod),"◆",IF(AND($E68&gt;=BK$5,$E68&lt;BK$5+GanttPeriod),"◇","")),IF(AND(BK$5&lt;=$F68,BK$5+GanttPeriod-1&gt;=$E68),"━","")))</f>
        <v/>
      </c>
      <c r="BL68" s="69" t="str">
        <f aca="false">IF($E68="","",IF($M68,IF(AND($G68&gt;=BL$5,$G68&lt;BL$5+GanttPeriod),"◆",IF(AND($E68&gt;=BL$5,$E68&lt;BL$5+GanttPeriod),"◇","")),IF(AND(BL$5&lt;=$F68,BL$5+GanttPeriod-1&gt;=$E68),"━","")))</f>
        <v/>
      </c>
      <c r="BM68" s="69" t="str">
        <f aca="false">IF($E68="","",IF($M68,IF(AND($G68&gt;=BM$5,$G68&lt;BM$5+GanttPeriod),"◆",IF(AND($E68&gt;=BM$5,$E68&lt;BM$5+GanttPeriod),"◇","")),IF(AND(BM$5&lt;=$F68,BM$5+GanttPeriod-1&gt;=$E68),"━","")))</f>
        <v/>
      </c>
      <c r="BN68" s="69" t="str">
        <f aca="false">IF($E68="","",IF($M68,IF(AND($G68&gt;=BN$5,$G68&lt;BN$5+GanttPeriod),"◆",IF(AND($E68&gt;=BN$5,$E68&lt;BN$5+GanttPeriod),"◇","")),IF(AND(BN$5&lt;=$F68,BN$5+GanttPeriod-1&gt;=$E68),"━","")))</f>
        <v/>
      </c>
      <c r="BO68" s="69" t="str">
        <f aca="false">IF($E68="","",IF($M68,IF(AND($G68&gt;=BO$5,$G68&lt;BO$5+GanttPeriod),"◆",IF(AND($E68&gt;=BO$5,$E68&lt;BO$5+GanttPeriod),"◇","")),IF(AND(BO$5&lt;=$F68,BO$5+GanttPeriod-1&gt;=$E68),"━","")))</f>
        <v/>
      </c>
      <c r="BP68" s="69" t="str">
        <f aca="false">IF($E68="","",IF($M68,IF(AND($G68&gt;=BP$5,$G68&lt;BP$5+GanttPeriod),"◆",IF(AND($E68&gt;=BP$5,$E68&lt;BP$5+GanttPeriod),"◇","")),IF(AND(BP$5&lt;=$F68,BP$5+GanttPeriod-1&gt;=$E68),"━","")))</f>
        <v/>
      </c>
      <c r="BQ68" s="69" t="str">
        <f aca="false">IF($E68="","",IF($M68,IF(AND($G68&gt;=BQ$5,$G68&lt;BQ$5+GanttPeriod),"◆",IF(AND($E68&gt;=BQ$5,$E68&lt;BQ$5+GanttPeriod),"◇","")),IF(AND(BQ$5&lt;=$F68,BQ$5+GanttPeriod-1&gt;=$E68),"━","")))</f>
        <v/>
      </c>
      <c r="BR68" s="69" t="str">
        <f aca="false">IF($E68="","",IF($M68,IF(AND($G68&gt;=BR$5,$G68&lt;BR$5+GanttPeriod),"◆",IF(AND($E68&gt;=BR$5,$E68&lt;BR$5+GanttPeriod),"◇","")),IF(AND(BR$5&lt;=$F68,BR$5+GanttPeriod-1&gt;=$E68),"━","")))</f>
        <v/>
      </c>
      <c r="BS68" s="69" t="str">
        <f aca="false">IF($E68="","",IF($M68,IF(AND($G68&gt;=BS$5,$G68&lt;BS$5+GanttPeriod),"◆",IF(AND($E68&gt;=BS$5,$E68&lt;BS$5+GanttPeriod),"◇","")),IF(AND(BS$5&lt;=$F68,BS$5+GanttPeriod-1&gt;=$E68),"━","")))</f>
        <v/>
      </c>
      <c r="BT68" s="69" t="str">
        <f aca="false">IF($E68="","",IF($M68,IF(AND($G68&gt;=BT$5,$G68&lt;BT$5+GanttPeriod),"◆",IF(AND($E68&gt;=BT$5,$E68&lt;BT$5+GanttPeriod),"◇","")),IF(AND(BT$5&lt;=$F68,BT$5+GanttPeriod-1&gt;=$E68),"━","")))</f>
        <v/>
      </c>
      <c r="BU68" s="69" t="str">
        <f aca="false">IF($E68="","",IF($M68,IF(AND($G68&gt;=BU$5,$G68&lt;BU$5+GanttPeriod),"◆",IF(AND($E68&gt;=BU$5,$E68&lt;BU$5+GanttPeriod),"◇","")),IF(AND(BU$5&lt;=$F68,BU$5+GanttPeriod-1&gt;=$E68),"━","")))</f>
        <v/>
      </c>
      <c r="BV68" s="69" t="str">
        <f aca="false">IF($E68="","",IF($M68,IF(AND($G68&gt;=BV$5,$G68&lt;BV$5+GanttPeriod),"◆",IF(AND($E68&gt;=BV$5,$E68&lt;BV$5+GanttPeriod),"◇","")),IF(AND(BV$5&lt;=$F68,BV$5+GanttPeriod-1&gt;=$E68),"━","")))</f>
        <v/>
      </c>
      <c r="BW68" s="69" t="str">
        <f aca="false">IF($E68="","",IF($M68,IF(AND($G68&gt;=BW$5,$G68&lt;BW$5+GanttPeriod),"◆",IF(AND($E68&gt;=BW$5,$E68&lt;BW$5+GanttPeriod),"◇","")),IF(AND(BW$5&lt;=$F68,BW$5+GanttPeriod-1&gt;=$E68),"━","")))</f>
        <v/>
      </c>
      <c r="BX68" s="69" t="str">
        <f aca="false">IF($E68="","",IF($M68,IF(AND($G68&gt;=BX$5,$G68&lt;BX$5+GanttPeriod),"◆",IF(AND($E68&gt;=BX$5,$E68&lt;BX$5+GanttPeriod),"◇","")),IF(AND(BX$5&lt;=$F68,BX$5+GanttPeriod-1&gt;=$E68),"━","")))</f>
        <v/>
      </c>
      <c r="BY68" s="69" t="str">
        <f aca="false">IF($E68="","",IF($M68,IF(AND($G68&gt;=BY$5,$G68&lt;BY$5+GanttPeriod),"◆",IF(AND($E68&gt;=BY$5,$E68&lt;BY$5+GanttPeriod),"◇","")),IF(AND(BY$5&lt;=$F68,BY$5+GanttPeriod-1&gt;=$E68),"━","")))</f>
        <v/>
      </c>
      <c r="BZ68" s="69" t="str">
        <f aca="false">IF($E68="","",IF($M68,IF(AND($G68&gt;=BZ$5,$G68&lt;BZ$5+GanttPeriod),"◆",IF(AND($E68&gt;=BZ$5,$E68&lt;BZ$5+GanttPeriod),"◇","")),IF(AND(BZ$5&lt;=$F68,BZ$5+GanttPeriod-1&gt;=$E68),"━","")))</f>
        <v/>
      </c>
      <c r="CA68" s="69" t="str">
        <f aca="false">IF($E68="","",IF($M68,IF(AND($G68&gt;=CA$5,$G68&lt;CA$5+GanttPeriod),"◆",IF(AND($E68&gt;=CA$5,$E68&lt;CA$5+GanttPeriod),"◇","")),IF(AND(CA$5&lt;=$F68,CA$5+GanttPeriod-1&gt;=$E68),"━","")))</f>
        <v/>
      </c>
      <c r="CB68" s="69" t="str">
        <f aca="false">IF($E68="","",IF($M68,IF(AND($G68&gt;=CB$5,$G68&lt;CB$5+GanttPeriod),"◆",IF(AND($E68&gt;=CB$5,$E68&lt;CB$5+GanttPeriod),"◇","")),IF(AND(CB$5&lt;=$F68,CB$5+GanttPeriod-1&gt;=$E68),"━","")))</f>
        <v/>
      </c>
      <c r="CC68" s="69" t="str">
        <f aca="false">IF($E68="","",IF($M68,IF(AND($G68&gt;=CC$5,$G68&lt;CC$5+GanttPeriod),"◆",IF(AND($E68&gt;=CC$5,$E68&lt;CC$5+GanttPeriod),"◇","")),IF(AND(CC$5&lt;=$F68,CC$5+GanttPeriod-1&gt;=$E68),"━","")))</f>
        <v/>
      </c>
      <c r="CD68" s="69" t="str">
        <f aca="false">IF($E68="","",IF($M68,IF(AND($G68&gt;=CD$5,$G68&lt;CD$5+GanttPeriod),"◆",IF(AND($E68&gt;=CD$5,$E68&lt;CD$5+GanttPeriod),"◇","")),IF(AND(CD$5&lt;=$F68,CD$5+GanttPeriod-1&gt;=$E68),"━","")))</f>
        <v/>
      </c>
      <c r="CE68" s="69" t="str">
        <f aca="false">IF($E68="","",IF($M68,IF(AND($G68&gt;=CE$5,$G68&lt;CE$5+GanttPeriod),"◆",IF(AND($E68&gt;=CE$5,$E68&lt;CE$5+GanttPeriod),"◇","")),IF(AND(CE$5&lt;=$F68,CE$5+GanttPeriod-1&gt;=$E68),"━","")))</f>
        <v/>
      </c>
      <c r="CF68" s="69" t="str">
        <f aca="false">IF($E68="","",IF($M68,IF(AND($G68&gt;=CF$5,$G68&lt;CF$5+GanttPeriod),"◆",IF(AND($E68&gt;=CF$5,$E68&lt;CF$5+GanttPeriod),"◇","")),IF(AND(CF$5&lt;=$F68,CF$5+GanttPeriod-1&gt;=$E68),"━","")))</f>
        <v/>
      </c>
      <c r="CG68" s="69" t="str">
        <f aca="false">IF($E68="","",IF($M68,IF(AND($G68&gt;=CG$5,$G68&lt;CG$5+GanttPeriod),"◆",IF(AND($E68&gt;=CG$5,$E68&lt;CG$5+GanttPeriod),"◇","")),IF(AND(CG$5&lt;=$F68,CG$5+GanttPeriod-1&gt;=$E68),"━","")))</f>
        <v/>
      </c>
      <c r="CH68" s="69" t="str">
        <f aca="false">IF($E68="","",IF($M68,IF(AND($G68&gt;=CH$5,$G68&lt;CH$5+GanttPeriod),"◆",IF(AND($E68&gt;=CH$5,$E68&lt;CH$5+GanttPeriod),"◇","")),IF(AND(CH$5&lt;=$F68,CH$5+GanttPeriod-1&gt;=$E68),"━","")))</f>
        <v/>
      </c>
      <c r="CI68" s="69" t="str">
        <f aca="false">IF($E68="","",IF($M68,IF(AND($G68&gt;=CI$5,$G68&lt;CI$5+GanttPeriod),"◆",IF(AND($E68&gt;=CI$5,$E68&lt;CI$5+GanttPeriod),"◇","")),IF(AND(CI$5&lt;=$F68,CI$5+GanttPeriod-1&gt;=$E68),"━","")))</f>
        <v/>
      </c>
      <c r="CJ68" s="69" t="str">
        <f aca="false">IF($E68="","",IF($M68,IF(AND($G68&gt;=CJ$5,$G68&lt;CJ$5+GanttPeriod),"◆",IF(AND($E68&gt;=CJ$5,$E68&lt;CJ$5+GanttPeriod),"◇","")),IF(AND(CJ$5&lt;=$F68,CJ$5+GanttPeriod-1&gt;=$E68),"━","")))</f>
        <v/>
      </c>
      <c r="CK68" s="69" t="str">
        <f aca="false">IF($E68="","",IF($M68,IF(AND($G68&gt;=CK$5,$G68&lt;CK$5+GanttPeriod),"◆",IF(AND($E68&gt;=CK$5,$E68&lt;CK$5+GanttPeriod),"◇","")),IF(AND(CK$5&lt;=$F68,CK$5+GanttPeriod-1&gt;=$E68),"━","")))</f>
        <v/>
      </c>
      <c r="CL68" s="69" t="str">
        <f aca="false">IF($E68="","",IF($M68,IF(AND($G68&gt;=CL$5,$G68&lt;CL$5+GanttPeriod),"◆",IF(AND($E68&gt;=CL$5,$E68&lt;CL$5+GanttPeriod),"◇","")),IF(AND(CL$5&lt;=$F68,CL$5+GanttPeriod-1&gt;=$E68),"━","")))</f>
        <v/>
      </c>
      <c r="CM68" s="69" t="str">
        <f aca="false">IF($E68="","",IF($M68,IF(AND($G68&gt;=CM$5,$G68&lt;CM$5+GanttPeriod),"◆",IF(AND($E68&gt;=CM$5,$E68&lt;CM$5+GanttPeriod),"◇","")),IF(AND(CM$5&lt;=$F68,CM$5+GanttPeriod-1&gt;=$E68),"━","")))</f>
        <v/>
      </c>
      <c r="CN68" s="69" t="str">
        <f aca="false">IF($E68="","",IF($M68,IF(AND($G68&gt;=CN$5,$G68&lt;CN$5+GanttPeriod),"◆",IF(AND($E68&gt;=CN$5,$E68&lt;CN$5+GanttPeriod),"◇","")),IF(AND(CN$5&lt;=$F68,CN$5+GanttPeriod-1&gt;=$E68),"━","")))</f>
        <v/>
      </c>
      <c r="CO68" s="69" t="str">
        <f aca="false">IF($E68="","",IF($M68,IF(AND($G68&gt;=CO$5,$G68&lt;CO$5+GanttPeriod),"◆",IF(AND($E68&gt;=CO$5,$E68&lt;CO$5+GanttPeriod),"◇","")),IF(AND(CO$5&lt;=$F68,CO$5+GanttPeriod-1&gt;=$E68),"━","")))</f>
        <v/>
      </c>
      <c r="CP68" s="69" t="str">
        <f aca="false">IF($E68="","",IF($M68,IF(AND($G68&gt;=CP$5,$G68&lt;CP$5+GanttPeriod),"◆",IF(AND($E68&gt;=CP$5,$E68&lt;CP$5+GanttPeriod),"◇","")),IF(AND(CP$5&lt;=$F68,CP$5+GanttPeriod-1&gt;=$E68),"━","")))</f>
        <v/>
      </c>
      <c r="CQ68" s="69" t="str">
        <f aca="false">IF($E68="","",IF($M68,IF(AND($G68&gt;=CQ$5,$G68&lt;CQ$5+GanttPeriod),"◆",IF(AND($E68&gt;=CQ$5,$E68&lt;CQ$5+GanttPeriod),"◇","")),IF(AND(CQ$5&lt;=$F68,CQ$5+GanttPeriod-1&gt;=$E68),"━","")))</f>
        <v/>
      </c>
      <c r="CR68" s="69" t="str">
        <f aca="false">IF($E68="","",IF($M68,IF(AND($G68&gt;=CR$5,$G68&lt;CR$5+GanttPeriod),"◆",IF(AND($E68&gt;=CR$5,$E68&lt;CR$5+GanttPeriod),"◇","")),IF(AND(CR$5&lt;=$F68,CR$5+GanttPeriod-1&gt;=$E68),"━","")))</f>
        <v/>
      </c>
      <c r="CS68" s="69" t="str">
        <f aca="false">IF($E68="","",IF($M68,IF(AND($G68&gt;=CS$5,$G68&lt;CS$5+GanttPeriod),"◆",IF(AND($E68&gt;=CS$5,$E68&lt;CS$5+GanttPeriod),"◇","")),IF(AND(CS$5&lt;=$F68,CS$5+GanttPeriod-1&gt;=$E68),"━","")))</f>
        <v/>
      </c>
      <c r="CT68" s="69" t="str">
        <f aca="false">IF($E68="","",IF($M68,IF(AND($G68&gt;=CT$5,$G68&lt;CT$5+GanttPeriod),"◆",IF(AND($E68&gt;=CT$5,$E68&lt;CT$5+GanttPeriod),"◇","")),IF(AND(CT$5&lt;=$F68,CT$5+GanttPeriod-1&gt;=$E68),"━","")))</f>
        <v/>
      </c>
      <c r="CU68" s="69" t="str">
        <f aca="false">IF($E68="","",IF($M68,IF(AND($G68&gt;=CU$5,$G68&lt;CU$5+GanttPeriod),"◆",IF(AND($E68&gt;=CU$5,$E68&lt;CU$5+GanttPeriod),"◇","")),IF(AND(CU$5&lt;=$F68,CU$5+GanttPeriod-1&gt;=$E68),"━","")))</f>
        <v/>
      </c>
      <c r="CV68" s="69" t="str">
        <f aca="false">IF($E68="","",IF($M68,IF(AND($G68&gt;=CV$5,$G68&lt;CV$5+GanttPeriod),"◆",IF(AND($E68&gt;=CV$5,$E68&lt;CV$5+GanttPeriod),"◇","")),IF(AND(CV$5&lt;=$F68,CV$5+GanttPeriod-1&gt;=$E68),"━","")))</f>
        <v/>
      </c>
      <c r="CW68" s="69" t="str">
        <f aca="false">IF($E68="","",IF($M68,IF(AND($G68&gt;=CW$5,$G68&lt;CW$5+GanttPeriod),"◆",IF(AND($E68&gt;=CW$5,$E68&lt;CW$5+GanttPeriod),"◇","")),IF(AND(CW$5&lt;=$F68,CW$5+GanttPeriod-1&gt;=$E68),"━","")))</f>
        <v/>
      </c>
      <c r="CX68" s="69" t="str">
        <f aca="false">IF($E68="","",IF($M68,IF(AND($G68&gt;=CX$5,$G68&lt;CX$5+GanttPeriod),"◆",IF(AND($E68&gt;=CX$5,$E68&lt;CX$5+GanttPeriod),"◇","")),IF(AND(CX$5&lt;=$F68,CX$5+GanttPeriod-1&gt;=$E68),"━","")))</f>
        <v/>
      </c>
      <c r="CY68" s="69" t="str">
        <f aca="false">IF($E68="","",IF($M68,IF(AND($G68&gt;=CY$5,$G68&lt;CY$5+GanttPeriod),"◆",IF(AND($E68&gt;=CY$5,$E68&lt;CY$5+GanttPeriod),"◇","")),IF(AND(CY$5&lt;=$F68,CY$5+GanttPeriod-1&gt;=$E68),"━","")))</f>
        <v/>
      </c>
      <c r="CZ68" s="69" t="str">
        <f aca="false">IF($E68="","",IF($M68,IF(AND($G68&gt;=CZ$5,$G68&lt;CZ$5+GanttPeriod),"◆",IF(AND($E68&gt;=CZ$5,$E68&lt;CZ$5+GanttPeriod),"◇","")),IF(AND(CZ$5&lt;=$F68,CZ$5+GanttPeriod-1&gt;=$E68),"━","")))</f>
        <v/>
      </c>
      <c r="DA68" s="69" t="str">
        <f aca="false">IF($E68="","",IF($M68,IF(AND($G68&gt;=DA$5,$G68&lt;DA$5+GanttPeriod),"◆",IF(AND($E68&gt;=DA$5,$E68&lt;DA$5+GanttPeriod),"◇","")),IF(AND(DA$5&lt;=$F68,DA$5+GanttPeriod-1&gt;=$E68),"━","")))</f>
        <v/>
      </c>
      <c r="DB68" s="69" t="str">
        <f aca="false">IF($E68="","",IF($M68,IF(AND($G68&gt;=DB$5,$G68&lt;DB$5+GanttPeriod),"◆",IF(AND($E68&gt;=DB$5,$E68&lt;DB$5+GanttPeriod),"◇","")),IF(AND(DB$5&lt;=$F68,DB$5+GanttPeriod-1&gt;=$E68),"━","")))</f>
        <v/>
      </c>
      <c r="DC68" s="69" t="str">
        <f aca="false">IF($E68="","",IF($M68,IF(AND($G68&gt;=DC$5,$G68&lt;DC$5+GanttPeriod),"◆",IF(AND($E68&gt;=DC$5,$E68&lt;DC$5+GanttPeriod),"◇","")),IF(AND(DC$5&lt;=$F68,DC$5+GanttPeriod-1&gt;=$E68),"━","")))</f>
        <v/>
      </c>
      <c r="DD68" s="69" t="str">
        <f aca="false">IF($E68="","",IF($M68,IF(AND($G68&gt;=DD$5,$G68&lt;DD$5+GanttPeriod),"◆",IF(AND($E68&gt;=DD$5,$E68&lt;DD$5+GanttPeriod),"◇","")),IF(AND(DD$5&lt;=$F68,DD$5+GanttPeriod-1&gt;=$E68),"━","")))</f>
        <v/>
      </c>
      <c r="DE68" s="69" t="str">
        <f aca="false">IF($E68="","",IF($M68,IF(AND($G68&gt;=DE$5,$G68&lt;DE$5+GanttPeriod),"◆",IF(AND($E68&gt;=DE$5,$E68&lt;DE$5+GanttPeriod),"◇","")),IF(AND(DE$5&lt;=$F68,DE$5+GanttPeriod-1&gt;=$E68),"━","")))</f>
        <v/>
      </c>
      <c r="DF68" s="69" t="str">
        <f aca="false">IF($E68="","",IF($M68,IF(AND($G68&gt;=DF$5,$G68&lt;DF$5+GanttPeriod),"◆",IF(AND($E68&gt;=DF$5,$E68&lt;DF$5+GanttPeriod),"◇","")),IF(AND(DF$5&lt;=$F68,DF$5+GanttPeriod-1&gt;=$E68),"━","")))</f>
        <v/>
      </c>
      <c r="DG68" s="69" t="str">
        <f aca="false">IF($E68="","",IF($M68,IF(AND($G68&gt;=DG$5,$G68&lt;DG$5+GanttPeriod),"◆",IF(AND($E68&gt;=DG$5,$E68&lt;DG$5+GanttPeriod),"◇","")),IF(AND(DG$5&lt;=$F68,DG$5+GanttPeriod-1&gt;=$E68),"━","")))</f>
        <v/>
      </c>
      <c r="DH68" s="69" t="str">
        <f aca="false">IF($E68="","",IF($M68,IF(AND($G68&gt;=DH$5,$G68&lt;DH$5+GanttPeriod),"◆",IF(AND($E68&gt;=DH$5,$E68&lt;DH$5+GanttPeriod),"◇","")),IF(AND(DH$5&lt;=$F68,DH$5+GanttPeriod-1&gt;=$E68),"━","")))</f>
        <v/>
      </c>
      <c r="DI68" s="69" t="str">
        <f aca="false">IF($E68="","",IF($M68,IF(AND($G68&gt;=DI$5,$G68&lt;DI$5+GanttPeriod),"◆",IF(AND($E68&gt;=DI$5,$E68&lt;DI$5+GanttPeriod),"◇","")),IF(AND(DI$5&lt;=$F68,DI$5+GanttPeriod-1&gt;=$E68),"━","")))</f>
        <v/>
      </c>
      <c r="DJ68" s="69" t="str">
        <f aca="false">IF($E68="","",IF($M68,IF(AND($G68&gt;=DJ$5,$G68&lt;DJ$5+GanttPeriod),"◆",IF(AND($E68&gt;=DJ$5,$E68&lt;DJ$5+GanttPeriod),"◇","")),IF(AND(DJ$5&lt;=$F68,DJ$5+GanttPeriod-1&gt;=$E68),"━","")))</f>
        <v/>
      </c>
      <c r="DK68" s="69" t="str">
        <f aca="false">IF($E68="","",IF($M68,IF(AND($G68&gt;=DK$5,$G68&lt;DK$5+GanttPeriod),"◆",IF(AND($E68&gt;=DK$5,$E68&lt;DK$5+GanttPeriod),"◇","")),IF(AND(DK$5&lt;=$F68,DK$5+GanttPeriod-1&gt;=$E68),"━","")))</f>
        <v/>
      </c>
      <c r="DL68" s="69" t="str">
        <f aca="false">IF($E68="","",IF($M68,IF(AND($G68&gt;=DL$5,$G68&lt;DL$5+GanttPeriod),"◆",IF(AND($E68&gt;=DL$5,$E68&lt;DL$5+GanttPeriod),"◇","")),IF(AND(DL$5&lt;=$F68,DL$5+GanttPeriod-1&gt;=$E68),"━","")))</f>
        <v/>
      </c>
      <c r="DM68" s="69" t="str">
        <f aca="false">IF($E68="","",IF($M68,IF(AND($G68&gt;=DM$5,$G68&lt;DM$5+GanttPeriod),"◆",IF(AND($E68&gt;=DM$5,$E68&lt;DM$5+GanttPeriod),"◇","")),IF(AND(DM$5&lt;=$F68,DM$5+GanttPeriod-1&gt;=$E68),"━","")))</f>
        <v/>
      </c>
      <c r="DN68" s="69" t="str">
        <f aca="false">IF($E68="","",IF($M68,IF(AND($G68&gt;=DN$5,$G68&lt;DN$5+GanttPeriod),"◆",IF(AND($E68&gt;=DN$5,$E68&lt;DN$5+GanttPeriod),"◇","")),IF(AND(DN$5&lt;=$F68,DN$5+GanttPeriod-1&gt;=$E68),"━","")))</f>
        <v/>
      </c>
      <c r="DO68" s="69" t="str">
        <f aca="false">IF($E68="","",IF($M68,IF(AND($G68&gt;=DO$5,$G68&lt;DO$5+GanttPeriod),"◆",IF(AND($E68&gt;=DO$5,$E68&lt;DO$5+GanttPeriod),"◇","")),IF(AND(DO$5&lt;=$F68,DO$5+GanttPeriod-1&gt;=$E68),"━","")))</f>
        <v/>
      </c>
      <c r="DP68" s="69" t="str">
        <f aca="false">IF($E68="","",IF($M68,IF(AND($G68&gt;=DP$5,$G68&lt;DP$5+GanttPeriod),"◆",IF(AND($E68&gt;=DP$5,$E68&lt;DP$5+GanttPeriod),"◇","")),IF(AND(DP$5&lt;=$F68,DP$5+GanttPeriod-1&gt;=$E68),"━","")))</f>
        <v/>
      </c>
      <c r="DQ68" s="69" t="str">
        <f aca="false">IF($E68="","",IF($M68,IF(AND($G68&gt;=DQ$5,$G68&lt;DQ$5+GanttPeriod),"◆",IF(AND($E68&gt;=DQ$5,$E68&lt;DQ$5+GanttPeriod),"◇","")),IF(AND(DQ$5&lt;=$F68,DQ$5+GanttPeriod-1&gt;=$E68),"━","")))</f>
        <v/>
      </c>
      <c r="DR68" s="69" t="str">
        <f aca="false">IF($E68="","",IF($M68,IF(AND($G68&gt;=DR$5,$G68&lt;DR$5+GanttPeriod),"◆",IF(AND($E68&gt;=DR$5,$E68&lt;DR$5+GanttPeriod),"◇","")),IF(AND(DR$5&lt;=$F68,DR$5+GanttPeriod-1&gt;=$E68),"━","")))</f>
        <v/>
      </c>
      <c r="DS68" s="69" t="str">
        <f aca="false">IF($E68="","",IF($M68,IF(AND($G68&gt;=DS$5,$G68&lt;DS$5+GanttPeriod),"◆",IF(AND($E68&gt;=DS$5,$E68&lt;DS$5+GanttPeriod),"◇","")),IF(AND(DS$5&lt;=$F68,DS$5+GanttPeriod-1&gt;=$E68),"━","")))</f>
        <v/>
      </c>
      <c r="DT68" s="69" t="str">
        <f aca="false">IF($E68="","",IF($M68,IF(AND($G68&gt;=DT$5,$G68&lt;DT$5+GanttPeriod),"◆",IF(AND($E68&gt;=DT$5,$E68&lt;DT$5+GanttPeriod),"◇","")),IF(AND(DT$5&lt;=$F68,DT$5+GanttPeriod-1&gt;=$E68),"━","")))</f>
        <v/>
      </c>
      <c r="DU68" s="69" t="str">
        <f aca="false">IF($E68="","",IF($M68,IF(AND($G68&gt;=DU$5,$G68&lt;DU$5+GanttPeriod),"◆",IF(AND($E68&gt;=DU$5,$E68&lt;DU$5+GanttPeriod),"◇","")),IF(AND(DU$5&lt;=$F68,DU$5+GanttPeriod-1&gt;=$E68),"━","")))</f>
        <v/>
      </c>
      <c r="DV68" s="69" t="str">
        <f aca="false">IF($E68="","",IF($M68,IF(AND($G68&gt;=DV$5,$G68&lt;DV$5+GanttPeriod),"◆",IF(AND($E68&gt;=DV$5,$E68&lt;DV$5+GanttPeriod),"◇","")),IF(AND(DV$5&lt;=$F68,DV$5+GanttPeriod-1&gt;=$E68),"━","")))</f>
        <v/>
      </c>
      <c r="DW68" s="69" t="str">
        <f aca="false">IF($E68="","",IF($M68,IF(AND($G68&gt;=DW$5,$G68&lt;DW$5+GanttPeriod),"◆",IF(AND($E68&gt;=DW$5,$E68&lt;DW$5+GanttPeriod),"◇","")),IF(AND(DW$5&lt;=$F68,DW$5+GanttPeriod-1&gt;=$E68),"━","")))</f>
        <v/>
      </c>
      <c r="DX68" s="69" t="str">
        <f aca="false">IF($E68="","",IF($M68,IF(AND($G68&gt;=DX$5,$G68&lt;DX$5+GanttPeriod),"◆",IF(AND($E68&gt;=DX$5,$E68&lt;DX$5+GanttPeriod),"◇","")),IF(AND(DX$5&lt;=$F68,DX$5+GanttPeriod-1&gt;=$E68),"━","")))</f>
        <v/>
      </c>
      <c r="DY68" s="69" t="str">
        <f aca="false">IF($E68="","",IF($M68,IF(AND($G68&gt;=DY$5,$G68&lt;DY$5+GanttPeriod),"◆",IF(AND($E68&gt;=DY$5,$E68&lt;DY$5+GanttPeriod),"◇","")),IF(AND(DY$5&lt;=$F68,DY$5+GanttPeriod-1&gt;=$E68),"━","")))</f>
        <v/>
      </c>
      <c r="DZ68" s="69" t="str">
        <f aca="false">IF($E68="","",IF($M68,IF(AND($G68&gt;=DZ$5,$G68&lt;DZ$5+GanttPeriod),"◆",IF(AND($E68&gt;=DZ$5,$E68&lt;DZ$5+GanttPeriod),"◇","")),IF(AND(DZ$5&lt;=$F68,DZ$5+GanttPeriod-1&gt;=$E68),"━","")))</f>
        <v/>
      </c>
      <c r="EA68" s="69" t="str">
        <f aca="false">IF($E68="","",IF($M68,IF(AND($G68&gt;=EA$5,$G68&lt;EA$5+GanttPeriod),"◆",IF(AND($E68&gt;=EA$5,$E68&lt;EA$5+GanttPeriod),"◇","")),IF(AND(EA$5&lt;=$F68,EA$5+GanttPeriod-1&gt;=$E68),"━","")))</f>
        <v/>
      </c>
      <c r="EB68" s="69" t="str">
        <f aca="false">IF($E68="","",IF($M68,IF(AND($G68&gt;=EB$5,$G68&lt;EB$5+GanttPeriod),"◆",IF(AND($E68&gt;=EB$5,$E68&lt;EB$5+GanttPeriod),"◇","")),IF(AND(EB$5&lt;=$F68,EB$5+GanttPeriod-1&gt;=$E68),"━","")))</f>
        <v/>
      </c>
      <c r="EC68" s="69" t="str">
        <f aca="false">IF($E68="","",IF($M68,IF(AND($G68&gt;=EC$5,$G68&lt;EC$5+GanttPeriod),"◆",IF(AND($E68&gt;=EC$5,$E68&lt;EC$5+GanttPeriod),"◇","")),IF(AND(EC$5&lt;=$F68,EC$5+GanttPeriod-1&gt;=$E68),"━","")))</f>
        <v/>
      </c>
      <c r="ED68" s="69" t="str">
        <f aca="false">IF($E68="","",IF($M68,IF(AND($G68&gt;=ED$5,$G68&lt;ED$5+GanttPeriod),"◆",IF(AND($E68&gt;=ED$5,$E68&lt;ED$5+GanttPeriod),"◇","")),IF(AND(ED$5&lt;=$F68,ED$5+GanttPeriod-1&gt;=$E68),"━","")))</f>
        <v/>
      </c>
      <c r="EE68" s="69" t="str">
        <f aca="false">IF($E68="","",IF($M68,IF(AND($G68&gt;=EE$5,$G68&lt;EE$5+GanttPeriod),"◆",IF(AND($E68&gt;=EE$5,$E68&lt;EE$5+GanttPeriod),"◇","")),IF(AND(EE$5&lt;=$F68,EE$5+GanttPeriod-1&gt;=$E68),"━","")))</f>
        <v/>
      </c>
      <c r="EF68" s="69" t="str">
        <f aca="false">IF($E68="","",IF($M68,IF(AND($G68&gt;=EF$5,$G68&lt;EF$5+GanttPeriod),"◆",IF(AND($E68&gt;=EF$5,$E68&lt;EF$5+GanttPeriod),"◇","")),IF(AND(EF$5&lt;=$F68,EF$5+GanttPeriod-1&gt;=$E68),"━","")))</f>
        <v/>
      </c>
      <c r="EG68" s="69" t="str">
        <f aca="false">IF($E68="","",IF($M68,IF(AND($G68&gt;=EG$5,$G68&lt;EG$5+GanttPeriod),"◆",IF(AND($E68&gt;=EG$5,$E68&lt;EG$5+GanttPeriod),"◇","")),IF(AND(EG$5&lt;=$F68,EG$5+GanttPeriod-1&gt;=$E68),"━","")))</f>
        <v/>
      </c>
      <c r="EH68" s="69" t="str">
        <f aca="false">IF($E68="","",IF($M68,IF(AND($G68&gt;=EH$5,$G68&lt;EH$5+GanttPeriod),"◆",IF(AND($E68&gt;=EH$5,$E68&lt;EH$5+GanttPeriod),"◇","")),IF(AND(EH$5&lt;=$F68,EH$5+GanttPeriod-1&gt;=$E68),"━","")))</f>
        <v/>
      </c>
      <c r="EI68" s="69" t="str">
        <f aca="false">IF($E68="","",IF($M68,IF(AND($G68&gt;=EI$5,$G68&lt;EI$5+GanttPeriod),"◆",IF(AND($E68&gt;=EI$5,$E68&lt;EI$5+GanttPeriod),"◇","")),IF(AND(EI$5&lt;=$F68,EI$5+GanttPeriod-1&gt;=$E68),"━","")))</f>
        <v/>
      </c>
      <c r="EJ68" s="69" t="str">
        <f aca="false">IF($E68="","",IF($M68,IF(AND($G68&gt;=EJ$5,$G68&lt;EJ$5+GanttPeriod),"◆",IF(AND($E68&gt;=EJ$5,$E68&lt;EJ$5+GanttPeriod),"◇","")),IF(AND(EJ$5&lt;=$F68,EJ$5+GanttPeriod-1&gt;=$E68),"━","")))</f>
        <v/>
      </c>
      <c r="EK68" s="69" t="str">
        <f aca="false">IF($E68="","",IF($M68,IF(AND($G68&gt;=EK$5,$G68&lt;EK$5+GanttPeriod),"◆",IF(AND($E68&gt;=EK$5,$E68&lt;EK$5+GanttPeriod),"◇","")),IF(AND(EK$5&lt;=$F68,EK$5+GanttPeriod-1&gt;=$E68),"━","")))</f>
        <v/>
      </c>
      <c r="EL68" s="69" t="str">
        <f aca="false">IF($E68="","",IF($M68,IF(AND($G68&gt;=EL$5,$G68&lt;EL$5+GanttPeriod),"◆",IF(AND($E68&gt;=EL$5,$E68&lt;EL$5+GanttPeriod),"◇","")),IF(AND(EL$5&lt;=$F68,EL$5+GanttPeriod-1&gt;=$E68),"━","")))</f>
        <v/>
      </c>
      <c r="EM68" s="69" t="str">
        <f aca="false">IF($E68="","",IF($M68,IF(AND($G68&gt;=EM$5,$G68&lt;EM$5+GanttPeriod),"◆",IF(AND($E68&gt;=EM$5,$E68&lt;EM$5+GanttPeriod),"◇","")),IF(AND(EM$5&lt;=$F68,EM$5+GanttPeriod-1&gt;=$E68),"━","")))</f>
        <v/>
      </c>
      <c r="EN68" s="69" t="str">
        <f aca="false">IF($E68="","",IF($M68,IF(AND($G68&gt;=EN$5,$G68&lt;EN$5+GanttPeriod),"◆",IF(AND($E68&gt;=EN$5,$E68&lt;EN$5+GanttPeriod),"◇","")),IF(AND(EN$5&lt;=$F68,EN$5+GanttPeriod-1&gt;=$E68),"━","")))</f>
        <v/>
      </c>
      <c r="EO68" s="69" t="str">
        <f aca="false">IF($E68="","",IF($M68,IF(AND($G68&gt;=EO$5,$G68&lt;EO$5+GanttPeriod),"◆",IF(AND($E68&gt;=EO$5,$E68&lt;EO$5+GanttPeriod),"◇","")),IF(AND(EO$5&lt;=$F68,EO$5+GanttPeriod-1&gt;=$E68),"━","")))</f>
        <v/>
      </c>
      <c r="EP68" s="69" t="str">
        <f aca="false">IF($E68="","",IF($M68,IF(AND($G68&gt;=EP$5,$G68&lt;EP$5+GanttPeriod),"◆",IF(AND($E68&gt;=EP$5,$E68&lt;EP$5+GanttPeriod),"◇","")),IF(AND(EP$5&lt;=$F68,EP$5+GanttPeriod-1&gt;=$E68),"━","")))</f>
        <v/>
      </c>
      <c r="EQ68" s="69" t="str">
        <f aca="false">IF($E68="","",IF($M68,IF(AND($G68&gt;=EQ$5,$G68&lt;EQ$5+GanttPeriod),"◆",IF(AND($E68&gt;=EQ$5,$E68&lt;EQ$5+GanttPeriod),"◇","")),IF(AND(EQ$5&lt;=$F68,EQ$5+GanttPeriod-1&gt;=$E68),"━","")))</f>
        <v/>
      </c>
      <c r="ER68" s="69" t="str">
        <f aca="false">IF($E68="","",IF($M68,IF(AND($G68&gt;=ER$5,$G68&lt;ER$5+GanttPeriod),"◆",IF(AND($E68&gt;=ER$5,$E68&lt;ER$5+GanttPeriod),"◇","")),IF(AND(ER$5&lt;=$F68,ER$5+GanttPeriod-1&gt;=$E68),"━","")))</f>
        <v/>
      </c>
      <c r="ES68" s="69" t="str">
        <f aca="false">IF($E68="","",IF($M68,IF(AND($G68&gt;=ES$5,$G68&lt;ES$5+GanttPeriod),"◆",IF(AND($E68&gt;=ES$5,$E68&lt;ES$5+GanttPeriod),"◇","")),IF(AND(ES$5&lt;=$F68,ES$5+GanttPeriod-1&gt;=$E68),"━","")))</f>
        <v/>
      </c>
      <c r="ET68" s="69" t="str">
        <f aca="false">IF($E68="","",IF($M68,IF(AND($G68&gt;=ET$5,$G68&lt;ET$5+GanttPeriod),"◆",IF(AND($E68&gt;=ET$5,$E68&lt;ET$5+GanttPeriod),"◇","")),IF(AND(ET$5&lt;=$F68,ET$5+GanttPeriod-1&gt;=$E68),"━","")))</f>
        <v/>
      </c>
      <c r="EU68" s="69" t="str">
        <f aca="false">IF($E68="","",IF($M68,IF(AND($G68&gt;=EU$5,$G68&lt;EU$5+GanttPeriod),"◆",IF(AND($E68&gt;=EU$5,$E68&lt;EU$5+GanttPeriod),"◇","")),IF(AND(EU$5&lt;=$F68,EU$5+GanttPeriod-1&gt;=$E68),"━","")))</f>
        <v/>
      </c>
      <c r="EV68" s="69" t="str">
        <f aca="false">IF($E68="","",IF($M68,IF(AND($G68&gt;=EV$5,$G68&lt;EV$5+GanttPeriod),"◆",IF(AND($E68&gt;=EV$5,$E68&lt;EV$5+GanttPeriod),"◇","")),IF(AND(EV$5&lt;=$F68,EV$5+GanttPeriod-1&gt;=$E68),"━","")))</f>
        <v/>
      </c>
      <c r="EW68" s="69" t="str">
        <f aca="false">IF($E68="","",IF($M68,IF(AND($G68&gt;=EW$5,$G68&lt;EW$5+GanttPeriod),"◆",IF(AND($E68&gt;=EW$5,$E68&lt;EW$5+GanttPeriod),"◇","")),IF(AND(EW$5&lt;=$F68,EW$5+GanttPeriod-1&gt;=$E68),"━","")))</f>
        <v/>
      </c>
      <c r="EX68" s="69" t="str">
        <f aca="false">IF($E68="","",IF($M68,IF(AND($G68&gt;=EX$5,$G68&lt;EX$5+GanttPeriod),"◆",IF(AND($E68&gt;=EX$5,$E68&lt;EX$5+GanttPeriod),"◇","")),IF(AND(EX$5&lt;=$F68,EX$5+GanttPeriod-1&gt;=$E68),"━","")))</f>
        <v/>
      </c>
      <c r="EY68" s="69" t="str">
        <f aca="false">IF($E68="","",IF($M68,IF(AND($G68&gt;=EY$5,$G68&lt;EY$5+GanttPeriod),"◆",IF(AND($E68&gt;=EY$5,$E68&lt;EY$5+GanttPeriod),"◇","")),IF(AND(EY$5&lt;=$F68,EY$5+GanttPeriod-1&gt;=$E68),"━","")))</f>
        <v/>
      </c>
      <c r="EZ68" s="69" t="str">
        <f aca="false">IF($E68="","",IF($M68,IF(AND($G68&gt;=EZ$5,$G68&lt;EZ$5+GanttPeriod),"◆",IF(AND($E68&gt;=EZ$5,$E68&lt;EZ$5+GanttPeriod),"◇","")),IF(AND(EZ$5&lt;=$F68,EZ$5+GanttPeriod-1&gt;=$E68),"━","")))</f>
        <v/>
      </c>
      <c r="FA68" s="69" t="str">
        <f aca="false">IF($E68="","",IF($M68,IF(AND($G68&gt;=FA$5,$G68&lt;FA$5+GanttPeriod),"◆",IF(AND($E68&gt;=FA$5,$E68&lt;FA$5+GanttPeriod),"◇","")),IF(AND(FA$5&lt;=$F68,FA$5+GanttPeriod-1&gt;=$E68),"━","")))</f>
        <v/>
      </c>
      <c r="FB68" s="69" t="str">
        <f aca="false">IF($E68="","",IF($M68,IF(AND($G68&gt;=FB$5,$G68&lt;FB$5+GanttPeriod),"◆",IF(AND($E68&gt;=FB$5,$E68&lt;FB$5+GanttPeriod),"◇","")),IF(AND(FB$5&lt;=$F68,FB$5+GanttPeriod-1&gt;=$E68),"━","")))</f>
        <v/>
      </c>
      <c r="FC68" s="69" t="str">
        <f aca="false">IF($E68="","",IF($M68,IF(AND($G68&gt;=FC$5,$G68&lt;FC$5+GanttPeriod),"◆",IF(AND($E68&gt;=FC$5,$E68&lt;FC$5+GanttPeriod),"◇","")),IF(AND(FC$5&lt;=$F68,FC$5+GanttPeriod-1&gt;=$E68),"━","")))</f>
        <v/>
      </c>
      <c r="FD68" s="69" t="str">
        <f aca="false">IF($E68="","",IF($M68,IF(AND($G68&gt;=FD$5,$G68&lt;FD$5+GanttPeriod),"◆",IF(AND($E68&gt;=FD$5,$E68&lt;FD$5+GanttPeriod),"◇","")),IF(AND(FD$5&lt;=$F68,FD$5+GanttPeriod-1&gt;=$E68),"━","")))</f>
        <v/>
      </c>
      <c r="FE68" s="69" t="str">
        <f aca="false">IF($E68="","",IF($M68,IF(AND($G68&gt;=FE$5,$G68&lt;FE$5+GanttPeriod),"◆",IF(AND($E68&gt;=FE$5,$E68&lt;FE$5+GanttPeriod),"◇","")),IF(AND(FE$5&lt;=$F68,FE$5+GanttPeriod-1&gt;=$E68),"━","")))</f>
        <v/>
      </c>
      <c r="FF68" s="69" t="str">
        <f aca="false">IF($E68="","",IF($M68,IF(AND($G68&gt;=FF$5,$G68&lt;FF$5+GanttPeriod),"◆",IF(AND($E68&gt;=FF$5,$E68&lt;FF$5+GanttPeriod),"◇","")),IF(AND(FF$5&lt;=$F68,FF$5+GanttPeriod-1&gt;=$E68),"━","")))</f>
        <v/>
      </c>
      <c r="FG68" s="69" t="str">
        <f aca="false">IF($E68="","",IF($M68,IF(AND($G68&gt;=FG$5,$G68&lt;FG$5+GanttPeriod),"◆",IF(AND($E68&gt;=FG$5,$E68&lt;FG$5+GanttPeriod),"◇","")),IF(AND(FG$5&lt;=$F68,FG$5+GanttPeriod-1&gt;=$E68),"━","")))</f>
        <v/>
      </c>
      <c r="FH68" s="69" t="str">
        <f aca="false">IF($E68="","",IF($M68,IF(AND($G68&gt;=FH$5,$G68&lt;FH$5+GanttPeriod),"◆",IF(AND($E68&gt;=FH$5,$E68&lt;FH$5+GanttPeriod),"◇","")),IF(AND(FH$5&lt;=$F68,FH$5+GanttPeriod-1&gt;=$E68),"━","")))</f>
        <v/>
      </c>
      <c r="FI68" s="69" t="str">
        <f aca="false">IF($E68="","",IF($M68,IF(AND($G68&gt;=FI$5,$G68&lt;FI$5+GanttPeriod),"◆",IF(AND($E68&gt;=FI$5,$E68&lt;FI$5+GanttPeriod),"◇","")),IF(AND(FI$5&lt;=$F68,FI$5+GanttPeriod-1&gt;=$E68),"━","")))</f>
        <v/>
      </c>
      <c r="FJ68" s="69" t="str">
        <f aca="false">IF($E68="","",IF($M68,IF(AND($G68&gt;=FJ$5,$G68&lt;FJ$5+GanttPeriod),"◆",IF(AND($E68&gt;=FJ$5,$E68&lt;FJ$5+GanttPeriod),"◇","")),IF(AND(FJ$5&lt;=$F68,FJ$5+GanttPeriod-1&gt;=$E68),"━","")))</f>
        <v/>
      </c>
      <c r="FK68" s="69" t="str">
        <f aca="false">IF($E68="","",IF($M68,IF(AND($G68&gt;=FK$5,$G68&lt;FK$5+GanttPeriod),"◆",IF(AND($E68&gt;=FK$5,$E68&lt;FK$5+GanttPeriod),"◇","")),IF(AND(FK$5&lt;=$F68,FK$5+GanttPeriod-1&gt;=$E68),"━","")))</f>
        <v/>
      </c>
      <c r="FL68" s="69" t="str">
        <f aca="false">IF($E68="","",IF($M68,IF(AND($G68&gt;=FL$5,$G68&lt;FL$5+GanttPeriod),"◆",IF(AND($E68&gt;=FL$5,$E68&lt;FL$5+GanttPeriod),"◇","")),IF(AND(FL$5&lt;=$F68,FL$5+GanttPeriod-1&gt;=$E68),"━","")))</f>
        <v/>
      </c>
      <c r="FM68" s="69" t="str">
        <f aca="false">IF($E68="","",IF($M68,IF(AND($G68&gt;=FM$5,$G68&lt;FM$5+GanttPeriod),"◆",IF(AND($E68&gt;=FM$5,$E68&lt;FM$5+GanttPeriod),"◇","")),IF(AND(FM$5&lt;=$F68,FM$5+GanttPeriod-1&gt;=$E68),"━","")))</f>
        <v/>
      </c>
    </row>
    <row r="69" customFormat="false" ht="15" hidden="false" customHeight="false" outlineLevel="0" collapsed="false">
      <c r="A69" s="62" t="str">
        <f aca="false">IF(Tasks!$D69="","",Tasks!$A69)</f>
        <v/>
      </c>
      <c r="B69" s="62" t="str">
        <f aca="false">IF(Tasks!$D69="","",Tasks!$B69)</f>
        <v/>
      </c>
      <c r="C69" s="63" t="str">
        <f aca="false">IF(Tasks!$D69="","",REPT("    ",Tasks!$AE69-1)&amp;Tasks!$D69)</f>
        <v/>
      </c>
      <c r="D69" s="62" t="str">
        <f aca="false">IF(Tasks!$D69="","",IF(Tasks!$AI69,NETWORKDAYS.INTL(Tasks!$R69,Tasks!$S69,WorkWeek,Holidays),N(Tasks!$F69)))</f>
        <v/>
      </c>
      <c r="E69" s="64" t="str">
        <f aca="false">IF(Tasks!$D69="","",Tasks!$N69)</f>
        <v/>
      </c>
      <c r="F69" s="64" t="str">
        <f aca="false">IF(Tasks!$D69="","",Tasks!$O69)</f>
        <v/>
      </c>
      <c r="G69" s="64" t="str">
        <f aca="false">IF(Tasks!$D69="","",Tasks!$R69)</f>
        <v/>
      </c>
      <c r="H69" s="64" t="str">
        <f aca="false">IF(Tasks!$D69="","",Tasks!$S69)</f>
        <v/>
      </c>
      <c r="I69" s="65" t="str">
        <f aca="false">IF(Tasks!$D69="","",Tasks!$V69)</f>
        <v/>
      </c>
      <c r="J69" s="63" t="str">
        <f aca="false">IF(Tasks!$D69="","",Tasks!$X69&amp;"")</f>
        <v/>
      </c>
      <c r="K69" s="66" t="str">
        <f aca="false">IF(Tasks!$D69="","",Tasks!$W69)</f>
        <v/>
      </c>
      <c r="L69" s="67" t="b">
        <f aca="false">IF(Tasks!$D69="",FALSE(),Tasks!$AI69)</f>
        <v>0</v>
      </c>
      <c r="M69" s="67" t="b">
        <f aca="false">AND(Tasks!$AJ69=1,N(Tasks!$F69)=0)</f>
        <v>0</v>
      </c>
      <c r="N69" s="68" t="n">
        <f aca="false">IF(AND(Tasks!$AJ69=1,NOT($M69),N($I69)&gt;0),$G69,0)</f>
        <v>0</v>
      </c>
      <c r="O69" s="68" t="n">
        <f aca="false">IF($N69=0,0,IF($I69&gt;=1,$H69,MAX($N69,$G69+ROUND(($H69-$G69+1)*$I69,0)-1)))</f>
        <v>0</v>
      </c>
      <c r="P69" s="68" t="n">
        <f aca="false">IF(OR(Tasks!$AJ69&lt;&gt;1,$M69,N($I69)&gt;=1),0,IF($O69&gt;0,$O69+1,$G69))</f>
        <v>0</v>
      </c>
      <c r="Q69" s="68" t="n">
        <f aca="false">IF($P69=0,0,$H69)</f>
        <v>0</v>
      </c>
      <c r="R69" s="67" t="b">
        <f aca="false">AND(Tasks!$D69&lt;&gt;"",N(Tasks!$T69)&gt;0)</f>
        <v>0</v>
      </c>
      <c r="T69" s="69" t="str">
        <f aca="false">IF($E69="","",IF($M69,IF(AND($G69&gt;=T$5,$G69&lt;T$5+GanttPeriod),"◆",IF(AND($E69&gt;=T$5,$E69&lt;T$5+GanttPeriod),"◇","")),IF(AND(T$5&lt;=$F69,T$5+GanttPeriod-1&gt;=$E69),"━","")))</f>
        <v/>
      </c>
      <c r="U69" s="69" t="str">
        <f aca="false">IF($E69="","",IF($M69,IF(AND($G69&gt;=U$5,$G69&lt;U$5+GanttPeriod),"◆",IF(AND($E69&gt;=U$5,$E69&lt;U$5+GanttPeriod),"◇","")),IF(AND(U$5&lt;=$F69,U$5+GanttPeriod-1&gt;=$E69),"━","")))</f>
        <v/>
      </c>
      <c r="V69" s="69" t="str">
        <f aca="false">IF($E69="","",IF($M69,IF(AND($G69&gt;=V$5,$G69&lt;V$5+GanttPeriod),"◆",IF(AND($E69&gt;=V$5,$E69&lt;V$5+GanttPeriod),"◇","")),IF(AND(V$5&lt;=$F69,V$5+GanttPeriod-1&gt;=$E69),"━","")))</f>
        <v/>
      </c>
      <c r="W69" s="69" t="str">
        <f aca="false">IF($E69="","",IF($M69,IF(AND($G69&gt;=W$5,$G69&lt;W$5+GanttPeriod),"◆",IF(AND($E69&gt;=W$5,$E69&lt;W$5+GanttPeriod),"◇","")),IF(AND(W$5&lt;=$F69,W$5+GanttPeriod-1&gt;=$E69),"━","")))</f>
        <v/>
      </c>
      <c r="X69" s="69" t="str">
        <f aca="false">IF($E69="","",IF($M69,IF(AND($G69&gt;=X$5,$G69&lt;X$5+GanttPeriod),"◆",IF(AND($E69&gt;=X$5,$E69&lt;X$5+GanttPeriod),"◇","")),IF(AND(X$5&lt;=$F69,X$5+GanttPeriod-1&gt;=$E69),"━","")))</f>
        <v/>
      </c>
      <c r="Y69" s="69" t="str">
        <f aca="false">IF($E69="","",IF($M69,IF(AND($G69&gt;=Y$5,$G69&lt;Y$5+GanttPeriod),"◆",IF(AND($E69&gt;=Y$5,$E69&lt;Y$5+GanttPeriod),"◇","")),IF(AND(Y$5&lt;=$F69,Y$5+GanttPeriod-1&gt;=$E69),"━","")))</f>
        <v/>
      </c>
      <c r="Z69" s="69" t="str">
        <f aca="false">IF($E69="","",IF($M69,IF(AND($G69&gt;=Z$5,$G69&lt;Z$5+GanttPeriod),"◆",IF(AND($E69&gt;=Z$5,$E69&lt;Z$5+GanttPeriod),"◇","")),IF(AND(Z$5&lt;=$F69,Z$5+GanttPeriod-1&gt;=$E69),"━","")))</f>
        <v/>
      </c>
      <c r="AA69" s="69" t="str">
        <f aca="false">IF($E69="","",IF($M69,IF(AND($G69&gt;=AA$5,$G69&lt;AA$5+GanttPeriod),"◆",IF(AND($E69&gt;=AA$5,$E69&lt;AA$5+GanttPeriod),"◇","")),IF(AND(AA$5&lt;=$F69,AA$5+GanttPeriod-1&gt;=$E69),"━","")))</f>
        <v/>
      </c>
      <c r="AB69" s="69" t="str">
        <f aca="false">IF($E69="","",IF($M69,IF(AND($G69&gt;=AB$5,$G69&lt;AB$5+GanttPeriod),"◆",IF(AND($E69&gt;=AB$5,$E69&lt;AB$5+GanttPeriod),"◇","")),IF(AND(AB$5&lt;=$F69,AB$5+GanttPeriod-1&gt;=$E69),"━","")))</f>
        <v/>
      </c>
      <c r="AC69" s="69" t="str">
        <f aca="false">IF($E69="","",IF($M69,IF(AND($G69&gt;=AC$5,$G69&lt;AC$5+GanttPeriod),"◆",IF(AND($E69&gt;=AC$5,$E69&lt;AC$5+GanttPeriod),"◇","")),IF(AND(AC$5&lt;=$F69,AC$5+GanttPeriod-1&gt;=$E69),"━","")))</f>
        <v/>
      </c>
      <c r="AD69" s="69" t="str">
        <f aca="false">IF($E69="","",IF($M69,IF(AND($G69&gt;=AD$5,$G69&lt;AD$5+GanttPeriod),"◆",IF(AND($E69&gt;=AD$5,$E69&lt;AD$5+GanttPeriod),"◇","")),IF(AND(AD$5&lt;=$F69,AD$5+GanttPeriod-1&gt;=$E69),"━","")))</f>
        <v/>
      </c>
      <c r="AE69" s="69" t="str">
        <f aca="false">IF($E69="","",IF($M69,IF(AND($G69&gt;=AE$5,$G69&lt;AE$5+GanttPeriod),"◆",IF(AND($E69&gt;=AE$5,$E69&lt;AE$5+GanttPeriod),"◇","")),IF(AND(AE$5&lt;=$F69,AE$5+GanttPeriod-1&gt;=$E69),"━","")))</f>
        <v/>
      </c>
      <c r="AF69" s="69" t="str">
        <f aca="false">IF($E69="","",IF($M69,IF(AND($G69&gt;=AF$5,$G69&lt;AF$5+GanttPeriod),"◆",IF(AND($E69&gt;=AF$5,$E69&lt;AF$5+GanttPeriod),"◇","")),IF(AND(AF$5&lt;=$F69,AF$5+GanttPeriod-1&gt;=$E69),"━","")))</f>
        <v/>
      </c>
      <c r="AG69" s="69" t="str">
        <f aca="false">IF($E69="","",IF($M69,IF(AND($G69&gt;=AG$5,$G69&lt;AG$5+GanttPeriod),"◆",IF(AND($E69&gt;=AG$5,$E69&lt;AG$5+GanttPeriod),"◇","")),IF(AND(AG$5&lt;=$F69,AG$5+GanttPeriod-1&gt;=$E69),"━","")))</f>
        <v/>
      </c>
      <c r="AH69" s="69" t="str">
        <f aca="false">IF($E69="","",IF($M69,IF(AND($G69&gt;=AH$5,$G69&lt;AH$5+GanttPeriod),"◆",IF(AND($E69&gt;=AH$5,$E69&lt;AH$5+GanttPeriod),"◇","")),IF(AND(AH$5&lt;=$F69,AH$5+GanttPeriod-1&gt;=$E69),"━","")))</f>
        <v/>
      </c>
      <c r="AI69" s="69" t="str">
        <f aca="false">IF($E69="","",IF($M69,IF(AND($G69&gt;=AI$5,$G69&lt;AI$5+GanttPeriod),"◆",IF(AND($E69&gt;=AI$5,$E69&lt;AI$5+GanttPeriod),"◇","")),IF(AND(AI$5&lt;=$F69,AI$5+GanttPeriod-1&gt;=$E69),"━","")))</f>
        <v/>
      </c>
      <c r="AJ69" s="69" t="str">
        <f aca="false">IF($E69="","",IF($M69,IF(AND($G69&gt;=AJ$5,$G69&lt;AJ$5+GanttPeriod),"◆",IF(AND($E69&gt;=AJ$5,$E69&lt;AJ$5+GanttPeriod),"◇","")),IF(AND(AJ$5&lt;=$F69,AJ$5+GanttPeriod-1&gt;=$E69),"━","")))</f>
        <v/>
      </c>
      <c r="AK69" s="69" t="str">
        <f aca="false">IF($E69="","",IF($M69,IF(AND($G69&gt;=AK$5,$G69&lt;AK$5+GanttPeriod),"◆",IF(AND($E69&gt;=AK$5,$E69&lt;AK$5+GanttPeriod),"◇","")),IF(AND(AK$5&lt;=$F69,AK$5+GanttPeriod-1&gt;=$E69),"━","")))</f>
        <v/>
      </c>
      <c r="AL69" s="69" t="str">
        <f aca="false">IF($E69="","",IF($M69,IF(AND($G69&gt;=AL$5,$G69&lt;AL$5+GanttPeriod),"◆",IF(AND($E69&gt;=AL$5,$E69&lt;AL$5+GanttPeriod),"◇","")),IF(AND(AL$5&lt;=$F69,AL$5+GanttPeriod-1&gt;=$E69),"━","")))</f>
        <v/>
      </c>
      <c r="AM69" s="69" t="str">
        <f aca="false">IF($E69="","",IF($M69,IF(AND($G69&gt;=AM$5,$G69&lt;AM$5+GanttPeriod),"◆",IF(AND($E69&gt;=AM$5,$E69&lt;AM$5+GanttPeriod),"◇","")),IF(AND(AM$5&lt;=$F69,AM$5+GanttPeriod-1&gt;=$E69),"━","")))</f>
        <v/>
      </c>
      <c r="AN69" s="69" t="str">
        <f aca="false">IF($E69="","",IF($M69,IF(AND($G69&gt;=AN$5,$G69&lt;AN$5+GanttPeriod),"◆",IF(AND($E69&gt;=AN$5,$E69&lt;AN$5+GanttPeriod),"◇","")),IF(AND(AN$5&lt;=$F69,AN$5+GanttPeriod-1&gt;=$E69),"━","")))</f>
        <v/>
      </c>
      <c r="AO69" s="69" t="str">
        <f aca="false">IF($E69="","",IF($M69,IF(AND($G69&gt;=AO$5,$G69&lt;AO$5+GanttPeriod),"◆",IF(AND($E69&gt;=AO$5,$E69&lt;AO$5+GanttPeriod),"◇","")),IF(AND(AO$5&lt;=$F69,AO$5+GanttPeriod-1&gt;=$E69),"━","")))</f>
        <v/>
      </c>
      <c r="AP69" s="69" t="str">
        <f aca="false">IF($E69="","",IF($M69,IF(AND($G69&gt;=AP$5,$G69&lt;AP$5+GanttPeriod),"◆",IF(AND($E69&gt;=AP$5,$E69&lt;AP$5+GanttPeriod),"◇","")),IF(AND(AP$5&lt;=$F69,AP$5+GanttPeriod-1&gt;=$E69),"━","")))</f>
        <v/>
      </c>
      <c r="AQ69" s="69" t="str">
        <f aca="false">IF($E69="","",IF($M69,IF(AND($G69&gt;=AQ$5,$G69&lt;AQ$5+GanttPeriod),"◆",IF(AND($E69&gt;=AQ$5,$E69&lt;AQ$5+GanttPeriod),"◇","")),IF(AND(AQ$5&lt;=$F69,AQ$5+GanttPeriod-1&gt;=$E69),"━","")))</f>
        <v/>
      </c>
      <c r="AR69" s="69" t="str">
        <f aca="false">IF($E69="","",IF($M69,IF(AND($G69&gt;=AR$5,$G69&lt;AR$5+GanttPeriod),"◆",IF(AND($E69&gt;=AR$5,$E69&lt;AR$5+GanttPeriod),"◇","")),IF(AND(AR$5&lt;=$F69,AR$5+GanttPeriod-1&gt;=$E69),"━","")))</f>
        <v/>
      </c>
      <c r="AS69" s="69" t="str">
        <f aca="false">IF($E69="","",IF($M69,IF(AND($G69&gt;=AS$5,$G69&lt;AS$5+GanttPeriod),"◆",IF(AND($E69&gt;=AS$5,$E69&lt;AS$5+GanttPeriod),"◇","")),IF(AND(AS$5&lt;=$F69,AS$5+GanttPeriod-1&gt;=$E69),"━","")))</f>
        <v/>
      </c>
      <c r="AT69" s="69" t="str">
        <f aca="false">IF($E69="","",IF($M69,IF(AND($G69&gt;=AT$5,$G69&lt;AT$5+GanttPeriod),"◆",IF(AND($E69&gt;=AT$5,$E69&lt;AT$5+GanttPeriod),"◇","")),IF(AND(AT$5&lt;=$F69,AT$5+GanttPeriod-1&gt;=$E69),"━","")))</f>
        <v/>
      </c>
      <c r="AU69" s="69" t="str">
        <f aca="false">IF($E69="","",IF($M69,IF(AND($G69&gt;=AU$5,$G69&lt;AU$5+GanttPeriod),"◆",IF(AND($E69&gt;=AU$5,$E69&lt;AU$5+GanttPeriod),"◇","")),IF(AND(AU$5&lt;=$F69,AU$5+GanttPeriod-1&gt;=$E69),"━","")))</f>
        <v/>
      </c>
      <c r="AV69" s="69" t="str">
        <f aca="false">IF($E69="","",IF($M69,IF(AND($G69&gt;=AV$5,$G69&lt;AV$5+GanttPeriod),"◆",IF(AND($E69&gt;=AV$5,$E69&lt;AV$5+GanttPeriod),"◇","")),IF(AND(AV$5&lt;=$F69,AV$5+GanttPeriod-1&gt;=$E69),"━","")))</f>
        <v/>
      </c>
      <c r="AW69" s="69" t="str">
        <f aca="false">IF($E69="","",IF($M69,IF(AND($G69&gt;=AW$5,$G69&lt;AW$5+GanttPeriod),"◆",IF(AND($E69&gt;=AW$5,$E69&lt;AW$5+GanttPeriod),"◇","")),IF(AND(AW$5&lt;=$F69,AW$5+GanttPeriod-1&gt;=$E69),"━","")))</f>
        <v/>
      </c>
      <c r="AX69" s="69" t="str">
        <f aca="false">IF($E69="","",IF($M69,IF(AND($G69&gt;=AX$5,$G69&lt;AX$5+GanttPeriod),"◆",IF(AND($E69&gt;=AX$5,$E69&lt;AX$5+GanttPeriod),"◇","")),IF(AND(AX$5&lt;=$F69,AX$5+GanttPeriod-1&gt;=$E69),"━","")))</f>
        <v/>
      </c>
      <c r="AY69" s="69" t="str">
        <f aca="false">IF($E69="","",IF($M69,IF(AND($G69&gt;=AY$5,$G69&lt;AY$5+GanttPeriod),"◆",IF(AND($E69&gt;=AY$5,$E69&lt;AY$5+GanttPeriod),"◇","")),IF(AND(AY$5&lt;=$F69,AY$5+GanttPeriod-1&gt;=$E69),"━","")))</f>
        <v/>
      </c>
      <c r="AZ69" s="69" t="str">
        <f aca="false">IF($E69="","",IF($M69,IF(AND($G69&gt;=AZ$5,$G69&lt;AZ$5+GanttPeriod),"◆",IF(AND($E69&gt;=AZ$5,$E69&lt;AZ$5+GanttPeriod),"◇","")),IF(AND(AZ$5&lt;=$F69,AZ$5+GanttPeriod-1&gt;=$E69),"━","")))</f>
        <v/>
      </c>
      <c r="BA69" s="69" t="str">
        <f aca="false">IF($E69="","",IF($M69,IF(AND($G69&gt;=BA$5,$G69&lt;BA$5+GanttPeriod),"◆",IF(AND($E69&gt;=BA$5,$E69&lt;BA$5+GanttPeriod),"◇","")),IF(AND(BA$5&lt;=$F69,BA$5+GanttPeriod-1&gt;=$E69),"━","")))</f>
        <v/>
      </c>
      <c r="BB69" s="69" t="str">
        <f aca="false">IF($E69="","",IF($M69,IF(AND($G69&gt;=BB$5,$G69&lt;BB$5+GanttPeriod),"◆",IF(AND($E69&gt;=BB$5,$E69&lt;BB$5+GanttPeriod),"◇","")),IF(AND(BB$5&lt;=$F69,BB$5+GanttPeriod-1&gt;=$E69),"━","")))</f>
        <v/>
      </c>
      <c r="BC69" s="69" t="str">
        <f aca="false">IF($E69="","",IF($M69,IF(AND($G69&gt;=BC$5,$G69&lt;BC$5+GanttPeriod),"◆",IF(AND($E69&gt;=BC$5,$E69&lt;BC$5+GanttPeriod),"◇","")),IF(AND(BC$5&lt;=$F69,BC$5+GanttPeriod-1&gt;=$E69),"━","")))</f>
        <v/>
      </c>
      <c r="BD69" s="69" t="str">
        <f aca="false">IF($E69="","",IF($M69,IF(AND($G69&gt;=BD$5,$G69&lt;BD$5+GanttPeriod),"◆",IF(AND($E69&gt;=BD$5,$E69&lt;BD$5+GanttPeriod),"◇","")),IF(AND(BD$5&lt;=$F69,BD$5+GanttPeriod-1&gt;=$E69),"━","")))</f>
        <v/>
      </c>
      <c r="BE69" s="69" t="str">
        <f aca="false">IF($E69="","",IF($M69,IF(AND($G69&gt;=BE$5,$G69&lt;BE$5+GanttPeriod),"◆",IF(AND($E69&gt;=BE$5,$E69&lt;BE$5+GanttPeriod),"◇","")),IF(AND(BE$5&lt;=$F69,BE$5+GanttPeriod-1&gt;=$E69),"━","")))</f>
        <v/>
      </c>
      <c r="BF69" s="69" t="str">
        <f aca="false">IF($E69="","",IF($M69,IF(AND($G69&gt;=BF$5,$G69&lt;BF$5+GanttPeriod),"◆",IF(AND($E69&gt;=BF$5,$E69&lt;BF$5+GanttPeriod),"◇","")),IF(AND(BF$5&lt;=$F69,BF$5+GanttPeriod-1&gt;=$E69),"━","")))</f>
        <v/>
      </c>
      <c r="BG69" s="69" t="str">
        <f aca="false">IF($E69="","",IF($M69,IF(AND($G69&gt;=BG$5,$G69&lt;BG$5+GanttPeriod),"◆",IF(AND($E69&gt;=BG$5,$E69&lt;BG$5+GanttPeriod),"◇","")),IF(AND(BG$5&lt;=$F69,BG$5+GanttPeriod-1&gt;=$E69),"━","")))</f>
        <v/>
      </c>
      <c r="BH69" s="69" t="str">
        <f aca="false">IF($E69="","",IF($M69,IF(AND($G69&gt;=BH$5,$G69&lt;BH$5+GanttPeriod),"◆",IF(AND($E69&gt;=BH$5,$E69&lt;BH$5+GanttPeriod),"◇","")),IF(AND(BH$5&lt;=$F69,BH$5+GanttPeriod-1&gt;=$E69),"━","")))</f>
        <v/>
      </c>
      <c r="BI69" s="69" t="str">
        <f aca="false">IF($E69="","",IF($M69,IF(AND($G69&gt;=BI$5,$G69&lt;BI$5+GanttPeriod),"◆",IF(AND($E69&gt;=BI$5,$E69&lt;BI$5+GanttPeriod),"◇","")),IF(AND(BI$5&lt;=$F69,BI$5+GanttPeriod-1&gt;=$E69),"━","")))</f>
        <v/>
      </c>
      <c r="BJ69" s="69" t="str">
        <f aca="false">IF($E69="","",IF($M69,IF(AND($G69&gt;=BJ$5,$G69&lt;BJ$5+GanttPeriod),"◆",IF(AND($E69&gt;=BJ$5,$E69&lt;BJ$5+GanttPeriod),"◇","")),IF(AND(BJ$5&lt;=$F69,BJ$5+GanttPeriod-1&gt;=$E69),"━","")))</f>
        <v/>
      </c>
      <c r="BK69" s="69" t="str">
        <f aca="false">IF($E69="","",IF($M69,IF(AND($G69&gt;=BK$5,$G69&lt;BK$5+GanttPeriod),"◆",IF(AND($E69&gt;=BK$5,$E69&lt;BK$5+GanttPeriod),"◇","")),IF(AND(BK$5&lt;=$F69,BK$5+GanttPeriod-1&gt;=$E69),"━","")))</f>
        <v/>
      </c>
      <c r="BL69" s="69" t="str">
        <f aca="false">IF($E69="","",IF($M69,IF(AND($G69&gt;=BL$5,$G69&lt;BL$5+GanttPeriod),"◆",IF(AND($E69&gt;=BL$5,$E69&lt;BL$5+GanttPeriod),"◇","")),IF(AND(BL$5&lt;=$F69,BL$5+GanttPeriod-1&gt;=$E69),"━","")))</f>
        <v/>
      </c>
      <c r="BM69" s="69" t="str">
        <f aca="false">IF($E69="","",IF($M69,IF(AND($G69&gt;=BM$5,$G69&lt;BM$5+GanttPeriod),"◆",IF(AND($E69&gt;=BM$5,$E69&lt;BM$5+GanttPeriod),"◇","")),IF(AND(BM$5&lt;=$F69,BM$5+GanttPeriod-1&gt;=$E69),"━","")))</f>
        <v/>
      </c>
      <c r="BN69" s="69" t="str">
        <f aca="false">IF($E69="","",IF($M69,IF(AND($G69&gt;=BN$5,$G69&lt;BN$5+GanttPeriod),"◆",IF(AND($E69&gt;=BN$5,$E69&lt;BN$5+GanttPeriod),"◇","")),IF(AND(BN$5&lt;=$F69,BN$5+GanttPeriod-1&gt;=$E69),"━","")))</f>
        <v/>
      </c>
      <c r="BO69" s="69" t="str">
        <f aca="false">IF($E69="","",IF($M69,IF(AND($G69&gt;=BO$5,$G69&lt;BO$5+GanttPeriod),"◆",IF(AND($E69&gt;=BO$5,$E69&lt;BO$5+GanttPeriod),"◇","")),IF(AND(BO$5&lt;=$F69,BO$5+GanttPeriod-1&gt;=$E69),"━","")))</f>
        <v/>
      </c>
      <c r="BP69" s="69" t="str">
        <f aca="false">IF($E69="","",IF($M69,IF(AND($G69&gt;=BP$5,$G69&lt;BP$5+GanttPeriod),"◆",IF(AND($E69&gt;=BP$5,$E69&lt;BP$5+GanttPeriod),"◇","")),IF(AND(BP$5&lt;=$F69,BP$5+GanttPeriod-1&gt;=$E69),"━","")))</f>
        <v/>
      </c>
      <c r="BQ69" s="69" t="str">
        <f aca="false">IF($E69="","",IF($M69,IF(AND($G69&gt;=BQ$5,$G69&lt;BQ$5+GanttPeriod),"◆",IF(AND($E69&gt;=BQ$5,$E69&lt;BQ$5+GanttPeriod),"◇","")),IF(AND(BQ$5&lt;=$F69,BQ$5+GanttPeriod-1&gt;=$E69),"━","")))</f>
        <v/>
      </c>
      <c r="BR69" s="69" t="str">
        <f aca="false">IF($E69="","",IF($M69,IF(AND($G69&gt;=BR$5,$G69&lt;BR$5+GanttPeriod),"◆",IF(AND($E69&gt;=BR$5,$E69&lt;BR$5+GanttPeriod),"◇","")),IF(AND(BR$5&lt;=$F69,BR$5+GanttPeriod-1&gt;=$E69),"━","")))</f>
        <v/>
      </c>
      <c r="BS69" s="69" t="str">
        <f aca="false">IF($E69="","",IF($M69,IF(AND($G69&gt;=BS$5,$G69&lt;BS$5+GanttPeriod),"◆",IF(AND($E69&gt;=BS$5,$E69&lt;BS$5+GanttPeriod),"◇","")),IF(AND(BS$5&lt;=$F69,BS$5+GanttPeriod-1&gt;=$E69),"━","")))</f>
        <v/>
      </c>
      <c r="BT69" s="69" t="str">
        <f aca="false">IF($E69="","",IF($M69,IF(AND($G69&gt;=BT$5,$G69&lt;BT$5+GanttPeriod),"◆",IF(AND($E69&gt;=BT$5,$E69&lt;BT$5+GanttPeriod),"◇","")),IF(AND(BT$5&lt;=$F69,BT$5+GanttPeriod-1&gt;=$E69),"━","")))</f>
        <v/>
      </c>
      <c r="BU69" s="69" t="str">
        <f aca="false">IF($E69="","",IF($M69,IF(AND($G69&gt;=BU$5,$G69&lt;BU$5+GanttPeriod),"◆",IF(AND($E69&gt;=BU$5,$E69&lt;BU$5+GanttPeriod),"◇","")),IF(AND(BU$5&lt;=$F69,BU$5+GanttPeriod-1&gt;=$E69),"━","")))</f>
        <v/>
      </c>
      <c r="BV69" s="69" t="str">
        <f aca="false">IF($E69="","",IF($M69,IF(AND($G69&gt;=BV$5,$G69&lt;BV$5+GanttPeriod),"◆",IF(AND($E69&gt;=BV$5,$E69&lt;BV$5+GanttPeriod),"◇","")),IF(AND(BV$5&lt;=$F69,BV$5+GanttPeriod-1&gt;=$E69),"━","")))</f>
        <v/>
      </c>
      <c r="BW69" s="69" t="str">
        <f aca="false">IF($E69="","",IF($M69,IF(AND($G69&gt;=BW$5,$G69&lt;BW$5+GanttPeriod),"◆",IF(AND($E69&gt;=BW$5,$E69&lt;BW$5+GanttPeriod),"◇","")),IF(AND(BW$5&lt;=$F69,BW$5+GanttPeriod-1&gt;=$E69),"━","")))</f>
        <v/>
      </c>
      <c r="BX69" s="69" t="str">
        <f aca="false">IF($E69="","",IF($M69,IF(AND($G69&gt;=BX$5,$G69&lt;BX$5+GanttPeriod),"◆",IF(AND($E69&gt;=BX$5,$E69&lt;BX$5+GanttPeriod),"◇","")),IF(AND(BX$5&lt;=$F69,BX$5+GanttPeriod-1&gt;=$E69),"━","")))</f>
        <v/>
      </c>
      <c r="BY69" s="69" t="str">
        <f aca="false">IF($E69="","",IF($M69,IF(AND($G69&gt;=BY$5,$G69&lt;BY$5+GanttPeriod),"◆",IF(AND($E69&gt;=BY$5,$E69&lt;BY$5+GanttPeriod),"◇","")),IF(AND(BY$5&lt;=$F69,BY$5+GanttPeriod-1&gt;=$E69),"━","")))</f>
        <v/>
      </c>
      <c r="BZ69" s="69" t="str">
        <f aca="false">IF($E69="","",IF($M69,IF(AND($G69&gt;=BZ$5,$G69&lt;BZ$5+GanttPeriod),"◆",IF(AND($E69&gt;=BZ$5,$E69&lt;BZ$5+GanttPeriod),"◇","")),IF(AND(BZ$5&lt;=$F69,BZ$5+GanttPeriod-1&gt;=$E69),"━","")))</f>
        <v/>
      </c>
      <c r="CA69" s="69" t="str">
        <f aca="false">IF($E69="","",IF($M69,IF(AND($G69&gt;=CA$5,$G69&lt;CA$5+GanttPeriod),"◆",IF(AND($E69&gt;=CA$5,$E69&lt;CA$5+GanttPeriod),"◇","")),IF(AND(CA$5&lt;=$F69,CA$5+GanttPeriod-1&gt;=$E69),"━","")))</f>
        <v/>
      </c>
      <c r="CB69" s="69" t="str">
        <f aca="false">IF($E69="","",IF($M69,IF(AND($G69&gt;=CB$5,$G69&lt;CB$5+GanttPeriod),"◆",IF(AND($E69&gt;=CB$5,$E69&lt;CB$5+GanttPeriod),"◇","")),IF(AND(CB$5&lt;=$F69,CB$5+GanttPeriod-1&gt;=$E69),"━","")))</f>
        <v/>
      </c>
      <c r="CC69" s="69" t="str">
        <f aca="false">IF($E69="","",IF($M69,IF(AND($G69&gt;=CC$5,$G69&lt;CC$5+GanttPeriod),"◆",IF(AND($E69&gt;=CC$5,$E69&lt;CC$5+GanttPeriod),"◇","")),IF(AND(CC$5&lt;=$F69,CC$5+GanttPeriod-1&gt;=$E69),"━","")))</f>
        <v/>
      </c>
      <c r="CD69" s="69" t="str">
        <f aca="false">IF($E69="","",IF($M69,IF(AND($G69&gt;=CD$5,$G69&lt;CD$5+GanttPeriod),"◆",IF(AND($E69&gt;=CD$5,$E69&lt;CD$5+GanttPeriod),"◇","")),IF(AND(CD$5&lt;=$F69,CD$5+GanttPeriod-1&gt;=$E69),"━","")))</f>
        <v/>
      </c>
      <c r="CE69" s="69" t="str">
        <f aca="false">IF($E69="","",IF($M69,IF(AND($G69&gt;=CE$5,$G69&lt;CE$5+GanttPeriod),"◆",IF(AND($E69&gt;=CE$5,$E69&lt;CE$5+GanttPeriod),"◇","")),IF(AND(CE$5&lt;=$F69,CE$5+GanttPeriod-1&gt;=$E69),"━","")))</f>
        <v/>
      </c>
      <c r="CF69" s="69" t="str">
        <f aca="false">IF($E69="","",IF($M69,IF(AND($G69&gt;=CF$5,$G69&lt;CF$5+GanttPeriod),"◆",IF(AND($E69&gt;=CF$5,$E69&lt;CF$5+GanttPeriod),"◇","")),IF(AND(CF$5&lt;=$F69,CF$5+GanttPeriod-1&gt;=$E69),"━","")))</f>
        <v/>
      </c>
      <c r="CG69" s="69" t="str">
        <f aca="false">IF($E69="","",IF($M69,IF(AND($G69&gt;=CG$5,$G69&lt;CG$5+GanttPeriod),"◆",IF(AND($E69&gt;=CG$5,$E69&lt;CG$5+GanttPeriod),"◇","")),IF(AND(CG$5&lt;=$F69,CG$5+GanttPeriod-1&gt;=$E69),"━","")))</f>
        <v/>
      </c>
      <c r="CH69" s="69" t="str">
        <f aca="false">IF($E69="","",IF($M69,IF(AND($G69&gt;=CH$5,$G69&lt;CH$5+GanttPeriod),"◆",IF(AND($E69&gt;=CH$5,$E69&lt;CH$5+GanttPeriod),"◇","")),IF(AND(CH$5&lt;=$F69,CH$5+GanttPeriod-1&gt;=$E69),"━","")))</f>
        <v/>
      </c>
      <c r="CI69" s="69" t="str">
        <f aca="false">IF($E69="","",IF($M69,IF(AND($G69&gt;=CI$5,$G69&lt;CI$5+GanttPeriod),"◆",IF(AND($E69&gt;=CI$5,$E69&lt;CI$5+GanttPeriod),"◇","")),IF(AND(CI$5&lt;=$F69,CI$5+GanttPeriod-1&gt;=$E69),"━","")))</f>
        <v/>
      </c>
      <c r="CJ69" s="69" t="str">
        <f aca="false">IF($E69="","",IF($M69,IF(AND($G69&gt;=CJ$5,$G69&lt;CJ$5+GanttPeriod),"◆",IF(AND($E69&gt;=CJ$5,$E69&lt;CJ$5+GanttPeriod),"◇","")),IF(AND(CJ$5&lt;=$F69,CJ$5+GanttPeriod-1&gt;=$E69),"━","")))</f>
        <v/>
      </c>
      <c r="CK69" s="69" t="str">
        <f aca="false">IF($E69="","",IF($M69,IF(AND($G69&gt;=CK$5,$G69&lt;CK$5+GanttPeriod),"◆",IF(AND($E69&gt;=CK$5,$E69&lt;CK$5+GanttPeriod),"◇","")),IF(AND(CK$5&lt;=$F69,CK$5+GanttPeriod-1&gt;=$E69),"━","")))</f>
        <v/>
      </c>
      <c r="CL69" s="69" t="str">
        <f aca="false">IF($E69="","",IF($M69,IF(AND($G69&gt;=CL$5,$G69&lt;CL$5+GanttPeriod),"◆",IF(AND($E69&gt;=CL$5,$E69&lt;CL$5+GanttPeriod),"◇","")),IF(AND(CL$5&lt;=$F69,CL$5+GanttPeriod-1&gt;=$E69),"━","")))</f>
        <v/>
      </c>
      <c r="CM69" s="69" t="str">
        <f aca="false">IF($E69="","",IF($M69,IF(AND($G69&gt;=CM$5,$G69&lt;CM$5+GanttPeriod),"◆",IF(AND($E69&gt;=CM$5,$E69&lt;CM$5+GanttPeriod),"◇","")),IF(AND(CM$5&lt;=$F69,CM$5+GanttPeriod-1&gt;=$E69),"━","")))</f>
        <v/>
      </c>
      <c r="CN69" s="69" t="str">
        <f aca="false">IF($E69="","",IF($M69,IF(AND($G69&gt;=CN$5,$G69&lt;CN$5+GanttPeriod),"◆",IF(AND($E69&gt;=CN$5,$E69&lt;CN$5+GanttPeriod),"◇","")),IF(AND(CN$5&lt;=$F69,CN$5+GanttPeriod-1&gt;=$E69),"━","")))</f>
        <v/>
      </c>
      <c r="CO69" s="69" t="str">
        <f aca="false">IF($E69="","",IF($M69,IF(AND($G69&gt;=CO$5,$G69&lt;CO$5+GanttPeriod),"◆",IF(AND($E69&gt;=CO$5,$E69&lt;CO$5+GanttPeriod),"◇","")),IF(AND(CO$5&lt;=$F69,CO$5+GanttPeriod-1&gt;=$E69),"━","")))</f>
        <v/>
      </c>
      <c r="CP69" s="69" t="str">
        <f aca="false">IF($E69="","",IF($M69,IF(AND($G69&gt;=CP$5,$G69&lt;CP$5+GanttPeriod),"◆",IF(AND($E69&gt;=CP$5,$E69&lt;CP$5+GanttPeriod),"◇","")),IF(AND(CP$5&lt;=$F69,CP$5+GanttPeriod-1&gt;=$E69),"━","")))</f>
        <v/>
      </c>
      <c r="CQ69" s="69" t="str">
        <f aca="false">IF($E69="","",IF($M69,IF(AND($G69&gt;=CQ$5,$G69&lt;CQ$5+GanttPeriod),"◆",IF(AND($E69&gt;=CQ$5,$E69&lt;CQ$5+GanttPeriod),"◇","")),IF(AND(CQ$5&lt;=$F69,CQ$5+GanttPeriod-1&gt;=$E69),"━","")))</f>
        <v/>
      </c>
      <c r="CR69" s="69" t="str">
        <f aca="false">IF($E69="","",IF($M69,IF(AND($G69&gt;=CR$5,$G69&lt;CR$5+GanttPeriod),"◆",IF(AND($E69&gt;=CR$5,$E69&lt;CR$5+GanttPeriod),"◇","")),IF(AND(CR$5&lt;=$F69,CR$5+GanttPeriod-1&gt;=$E69),"━","")))</f>
        <v/>
      </c>
      <c r="CS69" s="69" t="str">
        <f aca="false">IF($E69="","",IF($M69,IF(AND($G69&gt;=CS$5,$G69&lt;CS$5+GanttPeriod),"◆",IF(AND($E69&gt;=CS$5,$E69&lt;CS$5+GanttPeriod),"◇","")),IF(AND(CS$5&lt;=$F69,CS$5+GanttPeriod-1&gt;=$E69),"━","")))</f>
        <v/>
      </c>
      <c r="CT69" s="69" t="str">
        <f aca="false">IF($E69="","",IF($M69,IF(AND($G69&gt;=CT$5,$G69&lt;CT$5+GanttPeriod),"◆",IF(AND($E69&gt;=CT$5,$E69&lt;CT$5+GanttPeriod),"◇","")),IF(AND(CT$5&lt;=$F69,CT$5+GanttPeriod-1&gt;=$E69),"━","")))</f>
        <v/>
      </c>
      <c r="CU69" s="69" t="str">
        <f aca="false">IF($E69="","",IF($M69,IF(AND($G69&gt;=CU$5,$G69&lt;CU$5+GanttPeriod),"◆",IF(AND($E69&gt;=CU$5,$E69&lt;CU$5+GanttPeriod),"◇","")),IF(AND(CU$5&lt;=$F69,CU$5+GanttPeriod-1&gt;=$E69),"━","")))</f>
        <v/>
      </c>
      <c r="CV69" s="69" t="str">
        <f aca="false">IF($E69="","",IF($M69,IF(AND($G69&gt;=CV$5,$G69&lt;CV$5+GanttPeriod),"◆",IF(AND($E69&gt;=CV$5,$E69&lt;CV$5+GanttPeriod),"◇","")),IF(AND(CV$5&lt;=$F69,CV$5+GanttPeriod-1&gt;=$E69),"━","")))</f>
        <v/>
      </c>
      <c r="CW69" s="69" t="str">
        <f aca="false">IF($E69="","",IF($M69,IF(AND($G69&gt;=CW$5,$G69&lt;CW$5+GanttPeriod),"◆",IF(AND($E69&gt;=CW$5,$E69&lt;CW$5+GanttPeriod),"◇","")),IF(AND(CW$5&lt;=$F69,CW$5+GanttPeriod-1&gt;=$E69),"━","")))</f>
        <v/>
      </c>
      <c r="CX69" s="69" t="str">
        <f aca="false">IF($E69="","",IF($M69,IF(AND($G69&gt;=CX$5,$G69&lt;CX$5+GanttPeriod),"◆",IF(AND($E69&gt;=CX$5,$E69&lt;CX$5+GanttPeriod),"◇","")),IF(AND(CX$5&lt;=$F69,CX$5+GanttPeriod-1&gt;=$E69),"━","")))</f>
        <v/>
      </c>
      <c r="CY69" s="69" t="str">
        <f aca="false">IF($E69="","",IF($M69,IF(AND($G69&gt;=CY$5,$G69&lt;CY$5+GanttPeriod),"◆",IF(AND($E69&gt;=CY$5,$E69&lt;CY$5+GanttPeriod),"◇","")),IF(AND(CY$5&lt;=$F69,CY$5+GanttPeriod-1&gt;=$E69),"━","")))</f>
        <v/>
      </c>
      <c r="CZ69" s="69" t="str">
        <f aca="false">IF($E69="","",IF($M69,IF(AND($G69&gt;=CZ$5,$G69&lt;CZ$5+GanttPeriod),"◆",IF(AND($E69&gt;=CZ$5,$E69&lt;CZ$5+GanttPeriod),"◇","")),IF(AND(CZ$5&lt;=$F69,CZ$5+GanttPeriod-1&gt;=$E69),"━","")))</f>
        <v/>
      </c>
      <c r="DA69" s="69" t="str">
        <f aca="false">IF($E69="","",IF($M69,IF(AND($G69&gt;=DA$5,$G69&lt;DA$5+GanttPeriod),"◆",IF(AND($E69&gt;=DA$5,$E69&lt;DA$5+GanttPeriod),"◇","")),IF(AND(DA$5&lt;=$F69,DA$5+GanttPeriod-1&gt;=$E69),"━","")))</f>
        <v/>
      </c>
      <c r="DB69" s="69" t="str">
        <f aca="false">IF($E69="","",IF($M69,IF(AND($G69&gt;=DB$5,$G69&lt;DB$5+GanttPeriod),"◆",IF(AND($E69&gt;=DB$5,$E69&lt;DB$5+GanttPeriod),"◇","")),IF(AND(DB$5&lt;=$F69,DB$5+GanttPeriod-1&gt;=$E69),"━","")))</f>
        <v/>
      </c>
      <c r="DC69" s="69" t="str">
        <f aca="false">IF($E69="","",IF($M69,IF(AND($G69&gt;=DC$5,$G69&lt;DC$5+GanttPeriod),"◆",IF(AND($E69&gt;=DC$5,$E69&lt;DC$5+GanttPeriod),"◇","")),IF(AND(DC$5&lt;=$F69,DC$5+GanttPeriod-1&gt;=$E69),"━","")))</f>
        <v/>
      </c>
      <c r="DD69" s="69" t="str">
        <f aca="false">IF($E69="","",IF($M69,IF(AND($G69&gt;=DD$5,$G69&lt;DD$5+GanttPeriod),"◆",IF(AND($E69&gt;=DD$5,$E69&lt;DD$5+GanttPeriod),"◇","")),IF(AND(DD$5&lt;=$F69,DD$5+GanttPeriod-1&gt;=$E69),"━","")))</f>
        <v/>
      </c>
      <c r="DE69" s="69" t="str">
        <f aca="false">IF($E69="","",IF($M69,IF(AND($G69&gt;=DE$5,$G69&lt;DE$5+GanttPeriod),"◆",IF(AND($E69&gt;=DE$5,$E69&lt;DE$5+GanttPeriod),"◇","")),IF(AND(DE$5&lt;=$F69,DE$5+GanttPeriod-1&gt;=$E69),"━","")))</f>
        <v/>
      </c>
      <c r="DF69" s="69" t="str">
        <f aca="false">IF($E69="","",IF($M69,IF(AND($G69&gt;=DF$5,$G69&lt;DF$5+GanttPeriod),"◆",IF(AND($E69&gt;=DF$5,$E69&lt;DF$5+GanttPeriod),"◇","")),IF(AND(DF$5&lt;=$F69,DF$5+GanttPeriod-1&gt;=$E69),"━","")))</f>
        <v/>
      </c>
      <c r="DG69" s="69" t="str">
        <f aca="false">IF($E69="","",IF($M69,IF(AND($G69&gt;=DG$5,$G69&lt;DG$5+GanttPeriod),"◆",IF(AND($E69&gt;=DG$5,$E69&lt;DG$5+GanttPeriod),"◇","")),IF(AND(DG$5&lt;=$F69,DG$5+GanttPeriod-1&gt;=$E69),"━","")))</f>
        <v/>
      </c>
      <c r="DH69" s="69" t="str">
        <f aca="false">IF($E69="","",IF($M69,IF(AND($G69&gt;=DH$5,$G69&lt;DH$5+GanttPeriod),"◆",IF(AND($E69&gt;=DH$5,$E69&lt;DH$5+GanttPeriod),"◇","")),IF(AND(DH$5&lt;=$F69,DH$5+GanttPeriod-1&gt;=$E69),"━","")))</f>
        <v/>
      </c>
      <c r="DI69" s="69" t="str">
        <f aca="false">IF($E69="","",IF($M69,IF(AND($G69&gt;=DI$5,$G69&lt;DI$5+GanttPeriod),"◆",IF(AND($E69&gt;=DI$5,$E69&lt;DI$5+GanttPeriod),"◇","")),IF(AND(DI$5&lt;=$F69,DI$5+GanttPeriod-1&gt;=$E69),"━","")))</f>
        <v/>
      </c>
      <c r="DJ69" s="69" t="str">
        <f aca="false">IF($E69="","",IF($M69,IF(AND($G69&gt;=DJ$5,$G69&lt;DJ$5+GanttPeriod),"◆",IF(AND($E69&gt;=DJ$5,$E69&lt;DJ$5+GanttPeriod),"◇","")),IF(AND(DJ$5&lt;=$F69,DJ$5+GanttPeriod-1&gt;=$E69),"━","")))</f>
        <v/>
      </c>
      <c r="DK69" s="69" t="str">
        <f aca="false">IF($E69="","",IF($M69,IF(AND($G69&gt;=DK$5,$G69&lt;DK$5+GanttPeriod),"◆",IF(AND($E69&gt;=DK$5,$E69&lt;DK$5+GanttPeriod),"◇","")),IF(AND(DK$5&lt;=$F69,DK$5+GanttPeriod-1&gt;=$E69),"━","")))</f>
        <v/>
      </c>
      <c r="DL69" s="69" t="str">
        <f aca="false">IF($E69="","",IF($M69,IF(AND($G69&gt;=DL$5,$G69&lt;DL$5+GanttPeriod),"◆",IF(AND($E69&gt;=DL$5,$E69&lt;DL$5+GanttPeriod),"◇","")),IF(AND(DL$5&lt;=$F69,DL$5+GanttPeriod-1&gt;=$E69),"━","")))</f>
        <v/>
      </c>
      <c r="DM69" s="69" t="str">
        <f aca="false">IF($E69="","",IF($M69,IF(AND($G69&gt;=DM$5,$G69&lt;DM$5+GanttPeriod),"◆",IF(AND($E69&gt;=DM$5,$E69&lt;DM$5+GanttPeriod),"◇","")),IF(AND(DM$5&lt;=$F69,DM$5+GanttPeriod-1&gt;=$E69),"━","")))</f>
        <v/>
      </c>
      <c r="DN69" s="69" t="str">
        <f aca="false">IF($E69="","",IF($M69,IF(AND($G69&gt;=DN$5,$G69&lt;DN$5+GanttPeriod),"◆",IF(AND($E69&gt;=DN$5,$E69&lt;DN$5+GanttPeriod),"◇","")),IF(AND(DN$5&lt;=$F69,DN$5+GanttPeriod-1&gt;=$E69),"━","")))</f>
        <v/>
      </c>
      <c r="DO69" s="69" t="str">
        <f aca="false">IF($E69="","",IF($M69,IF(AND($G69&gt;=DO$5,$G69&lt;DO$5+GanttPeriod),"◆",IF(AND($E69&gt;=DO$5,$E69&lt;DO$5+GanttPeriod),"◇","")),IF(AND(DO$5&lt;=$F69,DO$5+GanttPeriod-1&gt;=$E69),"━","")))</f>
        <v/>
      </c>
      <c r="DP69" s="69" t="str">
        <f aca="false">IF($E69="","",IF($M69,IF(AND($G69&gt;=DP$5,$G69&lt;DP$5+GanttPeriod),"◆",IF(AND($E69&gt;=DP$5,$E69&lt;DP$5+GanttPeriod),"◇","")),IF(AND(DP$5&lt;=$F69,DP$5+GanttPeriod-1&gt;=$E69),"━","")))</f>
        <v/>
      </c>
      <c r="DQ69" s="69" t="str">
        <f aca="false">IF($E69="","",IF($M69,IF(AND($G69&gt;=DQ$5,$G69&lt;DQ$5+GanttPeriod),"◆",IF(AND($E69&gt;=DQ$5,$E69&lt;DQ$5+GanttPeriod),"◇","")),IF(AND(DQ$5&lt;=$F69,DQ$5+GanttPeriod-1&gt;=$E69),"━","")))</f>
        <v/>
      </c>
      <c r="DR69" s="69" t="str">
        <f aca="false">IF($E69="","",IF($M69,IF(AND($G69&gt;=DR$5,$G69&lt;DR$5+GanttPeriod),"◆",IF(AND($E69&gt;=DR$5,$E69&lt;DR$5+GanttPeriod),"◇","")),IF(AND(DR$5&lt;=$F69,DR$5+GanttPeriod-1&gt;=$E69),"━","")))</f>
        <v/>
      </c>
      <c r="DS69" s="69" t="str">
        <f aca="false">IF($E69="","",IF($M69,IF(AND($G69&gt;=DS$5,$G69&lt;DS$5+GanttPeriod),"◆",IF(AND($E69&gt;=DS$5,$E69&lt;DS$5+GanttPeriod),"◇","")),IF(AND(DS$5&lt;=$F69,DS$5+GanttPeriod-1&gt;=$E69),"━","")))</f>
        <v/>
      </c>
      <c r="DT69" s="69" t="str">
        <f aca="false">IF($E69="","",IF($M69,IF(AND($G69&gt;=DT$5,$G69&lt;DT$5+GanttPeriod),"◆",IF(AND($E69&gt;=DT$5,$E69&lt;DT$5+GanttPeriod),"◇","")),IF(AND(DT$5&lt;=$F69,DT$5+GanttPeriod-1&gt;=$E69),"━","")))</f>
        <v/>
      </c>
      <c r="DU69" s="69" t="str">
        <f aca="false">IF($E69="","",IF($M69,IF(AND($G69&gt;=DU$5,$G69&lt;DU$5+GanttPeriod),"◆",IF(AND($E69&gt;=DU$5,$E69&lt;DU$5+GanttPeriod),"◇","")),IF(AND(DU$5&lt;=$F69,DU$5+GanttPeriod-1&gt;=$E69),"━","")))</f>
        <v/>
      </c>
      <c r="DV69" s="69" t="str">
        <f aca="false">IF($E69="","",IF($M69,IF(AND($G69&gt;=DV$5,$G69&lt;DV$5+GanttPeriod),"◆",IF(AND($E69&gt;=DV$5,$E69&lt;DV$5+GanttPeriod),"◇","")),IF(AND(DV$5&lt;=$F69,DV$5+GanttPeriod-1&gt;=$E69),"━","")))</f>
        <v/>
      </c>
      <c r="DW69" s="69" t="str">
        <f aca="false">IF($E69="","",IF($M69,IF(AND($G69&gt;=DW$5,$G69&lt;DW$5+GanttPeriod),"◆",IF(AND($E69&gt;=DW$5,$E69&lt;DW$5+GanttPeriod),"◇","")),IF(AND(DW$5&lt;=$F69,DW$5+GanttPeriod-1&gt;=$E69),"━","")))</f>
        <v/>
      </c>
      <c r="DX69" s="69" t="str">
        <f aca="false">IF($E69="","",IF($M69,IF(AND($G69&gt;=DX$5,$G69&lt;DX$5+GanttPeriod),"◆",IF(AND($E69&gt;=DX$5,$E69&lt;DX$5+GanttPeriod),"◇","")),IF(AND(DX$5&lt;=$F69,DX$5+GanttPeriod-1&gt;=$E69),"━","")))</f>
        <v/>
      </c>
      <c r="DY69" s="69" t="str">
        <f aca="false">IF($E69="","",IF($M69,IF(AND($G69&gt;=DY$5,$G69&lt;DY$5+GanttPeriod),"◆",IF(AND($E69&gt;=DY$5,$E69&lt;DY$5+GanttPeriod),"◇","")),IF(AND(DY$5&lt;=$F69,DY$5+GanttPeriod-1&gt;=$E69),"━","")))</f>
        <v/>
      </c>
      <c r="DZ69" s="69" t="str">
        <f aca="false">IF($E69="","",IF($M69,IF(AND($G69&gt;=DZ$5,$G69&lt;DZ$5+GanttPeriod),"◆",IF(AND($E69&gt;=DZ$5,$E69&lt;DZ$5+GanttPeriod),"◇","")),IF(AND(DZ$5&lt;=$F69,DZ$5+GanttPeriod-1&gt;=$E69),"━","")))</f>
        <v/>
      </c>
      <c r="EA69" s="69" t="str">
        <f aca="false">IF($E69="","",IF($M69,IF(AND($G69&gt;=EA$5,$G69&lt;EA$5+GanttPeriod),"◆",IF(AND($E69&gt;=EA$5,$E69&lt;EA$5+GanttPeriod),"◇","")),IF(AND(EA$5&lt;=$F69,EA$5+GanttPeriod-1&gt;=$E69),"━","")))</f>
        <v/>
      </c>
      <c r="EB69" s="69" t="str">
        <f aca="false">IF($E69="","",IF($M69,IF(AND($G69&gt;=EB$5,$G69&lt;EB$5+GanttPeriod),"◆",IF(AND($E69&gt;=EB$5,$E69&lt;EB$5+GanttPeriod),"◇","")),IF(AND(EB$5&lt;=$F69,EB$5+GanttPeriod-1&gt;=$E69),"━","")))</f>
        <v/>
      </c>
      <c r="EC69" s="69" t="str">
        <f aca="false">IF($E69="","",IF($M69,IF(AND($G69&gt;=EC$5,$G69&lt;EC$5+GanttPeriod),"◆",IF(AND($E69&gt;=EC$5,$E69&lt;EC$5+GanttPeriod),"◇","")),IF(AND(EC$5&lt;=$F69,EC$5+GanttPeriod-1&gt;=$E69),"━","")))</f>
        <v/>
      </c>
      <c r="ED69" s="69" t="str">
        <f aca="false">IF($E69="","",IF($M69,IF(AND($G69&gt;=ED$5,$G69&lt;ED$5+GanttPeriod),"◆",IF(AND($E69&gt;=ED$5,$E69&lt;ED$5+GanttPeriod),"◇","")),IF(AND(ED$5&lt;=$F69,ED$5+GanttPeriod-1&gt;=$E69),"━","")))</f>
        <v/>
      </c>
      <c r="EE69" s="69" t="str">
        <f aca="false">IF($E69="","",IF($M69,IF(AND($G69&gt;=EE$5,$G69&lt;EE$5+GanttPeriod),"◆",IF(AND($E69&gt;=EE$5,$E69&lt;EE$5+GanttPeriod),"◇","")),IF(AND(EE$5&lt;=$F69,EE$5+GanttPeriod-1&gt;=$E69),"━","")))</f>
        <v/>
      </c>
      <c r="EF69" s="69" t="str">
        <f aca="false">IF($E69="","",IF($M69,IF(AND($G69&gt;=EF$5,$G69&lt;EF$5+GanttPeriod),"◆",IF(AND($E69&gt;=EF$5,$E69&lt;EF$5+GanttPeriod),"◇","")),IF(AND(EF$5&lt;=$F69,EF$5+GanttPeriod-1&gt;=$E69),"━","")))</f>
        <v/>
      </c>
      <c r="EG69" s="69" t="str">
        <f aca="false">IF($E69="","",IF($M69,IF(AND($G69&gt;=EG$5,$G69&lt;EG$5+GanttPeriod),"◆",IF(AND($E69&gt;=EG$5,$E69&lt;EG$5+GanttPeriod),"◇","")),IF(AND(EG$5&lt;=$F69,EG$5+GanttPeriod-1&gt;=$E69),"━","")))</f>
        <v/>
      </c>
      <c r="EH69" s="69" t="str">
        <f aca="false">IF($E69="","",IF($M69,IF(AND($G69&gt;=EH$5,$G69&lt;EH$5+GanttPeriod),"◆",IF(AND($E69&gt;=EH$5,$E69&lt;EH$5+GanttPeriod),"◇","")),IF(AND(EH$5&lt;=$F69,EH$5+GanttPeriod-1&gt;=$E69),"━","")))</f>
        <v/>
      </c>
      <c r="EI69" s="69" t="str">
        <f aca="false">IF($E69="","",IF($M69,IF(AND($G69&gt;=EI$5,$G69&lt;EI$5+GanttPeriod),"◆",IF(AND($E69&gt;=EI$5,$E69&lt;EI$5+GanttPeriod),"◇","")),IF(AND(EI$5&lt;=$F69,EI$5+GanttPeriod-1&gt;=$E69),"━","")))</f>
        <v/>
      </c>
      <c r="EJ69" s="69" t="str">
        <f aca="false">IF($E69="","",IF($M69,IF(AND($G69&gt;=EJ$5,$G69&lt;EJ$5+GanttPeriod),"◆",IF(AND($E69&gt;=EJ$5,$E69&lt;EJ$5+GanttPeriod),"◇","")),IF(AND(EJ$5&lt;=$F69,EJ$5+GanttPeriod-1&gt;=$E69),"━","")))</f>
        <v/>
      </c>
      <c r="EK69" s="69" t="str">
        <f aca="false">IF($E69="","",IF($M69,IF(AND($G69&gt;=EK$5,$G69&lt;EK$5+GanttPeriod),"◆",IF(AND($E69&gt;=EK$5,$E69&lt;EK$5+GanttPeriod),"◇","")),IF(AND(EK$5&lt;=$F69,EK$5+GanttPeriod-1&gt;=$E69),"━","")))</f>
        <v/>
      </c>
      <c r="EL69" s="69" t="str">
        <f aca="false">IF($E69="","",IF($M69,IF(AND($G69&gt;=EL$5,$G69&lt;EL$5+GanttPeriod),"◆",IF(AND($E69&gt;=EL$5,$E69&lt;EL$5+GanttPeriod),"◇","")),IF(AND(EL$5&lt;=$F69,EL$5+GanttPeriod-1&gt;=$E69),"━","")))</f>
        <v/>
      </c>
      <c r="EM69" s="69" t="str">
        <f aca="false">IF($E69="","",IF($M69,IF(AND($G69&gt;=EM$5,$G69&lt;EM$5+GanttPeriod),"◆",IF(AND($E69&gt;=EM$5,$E69&lt;EM$5+GanttPeriod),"◇","")),IF(AND(EM$5&lt;=$F69,EM$5+GanttPeriod-1&gt;=$E69),"━","")))</f>
        <v/>
      </c>
      <c r="EN69" s="69" t="str">
        <f aca="false">IF($E69="","",IF($M69,IF(AND($G69&gt;=EN$5,$G69&lt;EN$5+GanttPeriod),"◆",IF(AND($E69&gt;=EN$5,$E69&lt;EN$5+GanttPeriod),"◇","")),IF(AND(EN$5&lt;=$F69,EN$5+GanttPeriod-1&gt;=$E69),"━","")))</f>
        <v/>
      </c>
      <c r="EO69" s="69" t="str">
        <f aca="false">IF($E69="","",IF($M69,IF(AND($G69&gt;=EO$5,$G69&lt;EO$5+GanttPeriod),"◆",IF(AND($E69&gt;=EO$5,$E69&lt;EO$5+GanttPeriod),"◇","")),IF(AND(EO$5&lt;=$F69,EO$5+GanttPeriod-1&gt;=$E69),"━","")))</f>
        <v/>
      </c>
      <c r="EP69" s="69" t="str">
        <f aca="false">IF($E69="","",IF($M69,IF(AND($G69&gt;=EP$5,$G69&lt;EP$5+GanttPeriod),"◆",IF(AND($E69&gt;=EP$5,$E69&lt;EP$5+GanttPeriod),"◇","")),IF(AND(EP$5&lt;=$F69,EP$5+GanttPeriod-1&gt;=$E69),"━","")))</f>
        <v/>
      </c>
      <c r="EQ69" s="69" t="str">
        <f aca="false">IF($E69="","",IF($M69,IF(AND($G69&gt;=EQ$5,$G69&lt;EQ$5+GanttPeriod),"◆",IF(AND($E69&gt;=EQ$5,$E69&lt;EQ$5+GanttPeriod),"◇","")),IF(AND(EQ$5&lt;=$F69,EQ$5+GanttPeriod-1&gt;=$E69),"━","")))</f>
        <v/>
      </c>
      <c r="ER69" s="69" t="str">
        <f aca="false">IF($E69="","",IF($M69,IF(AND($G69&gt;=ER$5,$G69&lt;ER$5+GanttPeriod),"◆",IF(AND($E69&gt;=ER$5,$E69&lt;ER$5+GanttPeriod),"◇","")),IF(AND(ER$5&lt;=$F69,ER$5+GanttPeriod-1&gt;=$E69),"━","")))</f>
        <v/>
      </c>
      <c r="ES69" s="69" t="str">
        <f aca="false">IF($E69="","",IF($M69,IF(AND($G69&gt;=ES$5,$G69&lt;ES$5+GanttPeriod),"◆",IF(AND($E69&gt;=ES$5,$E69&lt;ES$5+GanttPeriod),"◇","")),IF(AND(ES$5&lt;=$F69,ES$5+GanttPeriod-1&gt;=$E69),"━","")))</f>
        <v/>
      </c>
      <c r="ET69" s="69" t="str">
        <f aca="false">IF($E69="","",IF($M69,IF(AND($G69&gt;=ET$5,$G69&lt;ET$5+GanttPeriod),"◆",IF(AND($E69&gt;=ET$5,$E69&lt;ET$5+GanttPeriod),"◇","")),IF(AND(ET$5&lt;=$F69,ET$5+GanttPeriod-1&gt;=$E69),"━","")))</f>
        <v/>
      </c>
      <c r="EU69" s="69" t="str">
        <f aca="false">IF($E69="","",IF($M69,IF(AND($G69&gt;=EU$5,$G69&lt;EU$5+GanttPeriod),"◆",IF(AND($E69&gt;=EU$5,$E69&lt;EU$5+GanttPeriod),"◇","")),IF(AND(EU$5&lt;=$F69,EU$5+GanttPeriod-1&gt;=$E69),"━","")))</f>
        <v/>
      </c>
      <c r="EV69" s="69" t="str">
        <f aca="false">IF($E69="","",IF($M69,IF(AND($G69&gt;=EV$5,$G69&lt;EV$5+GanttPeriod),"◆",IF(AND($E69&gt;=EV$5,$E69&lt;EV$5+GanttPeriod),"◇","")),IF(AND(EV$5&lt;=$F69,EV$5+GanttPeriod-1&gt;=$E69),"━","")))</f>
        <v/>
      </c>
      <c r="EW69" s="69" t="str">
        <f aca="false">IF($E69="","",IF($M69,IF(AND($G69&gt;=EW$5,$G69&lt;EW$5+GanttPeriod),"◆",IF(AND($E69&gt;=EW$5,$E69&lt;EW$5+GanttPeriod),"◇","")),IF(AND(EW$5&lt;=$F69,EW$5+GanttPeriod-1&gt;=$E69),"━","")))</f>
        <v/>
      </c>
      <c r="EX69" s="69" t="str">
        <f aca="false">IF($E69="","",IF($M69,IF(AND($G69&gt;=EX$5,$G69&lt;EX$5+GanttPeriod),"◆",IF(AND($E69&gt;=EX$5,$E69&lt;EX$5+GanttPeriod),"◇","")),IF(AND(EX$5&lt;=$F69,EX$5+GanttPeriod-1&gt;=$E69),"━","")))</f>
        <v/>
      </c>
      <c r="EY69" s="69" t="str">
        <f aca="false">IF($E69="","",IF($M69,IF(AND($G69&gt;=EY$5,$G69&lt;EY$5+GanttPeriod),"◆",IF(AND($E69&gt;=EY$5,$E69&lt;EY$5+GanttPeriod),"◇","")),IF(AND(EY$5&lt;=$F69,EY$5+GanttPeriod-1&gt;=$E69),"━","")))</f>
        <v/>
      </c>
      <c r="EZ69" s="69" t="str">
        <f aca="false">IF($E69="","",IF($M69,IF(AND($G69&gt;=EZ$5,$G69&lt;EZ$5+GanttPeriod),"◆",IF(AND($E69&gt;=EZ$5,$E69&lt;EZ$5+GanttPeriod),"◇","")),IF(AND(EZ$5&lt;=$F69,EZ$5+GanttPeriod-1&gt;=$E69),"━","")))</f>
        <v/>
      </c>
      <c r="FA69" s="69" t="str">
        <f aca="false">IF($E69="","",IF($M69,IF(AND($G69&gt;=FA$5,$G69&lt;FA$5+GanttPeriod),"◆",IF(AND($E69&gt;=FA$5,$E69&lt;FA$5+GanttPeriod),"◇","")),IF(AND(FA$5&lt;=$F69,FA$5+GanttPeriod-1&gt;=$E69),"━","")))</f>
        <v/>
      </c>
      <c r="FB69" s="69" t="str">
        <f aca="false">IF($E69="","",IF($M69,IF(AND($G69&gt;=FB$5,$G69&lt;FB$5+GanttPeriod),"◆",IF(AND($E69&gt;=FB$5,$E69&lt;FB$5+GanttPeriod),"◇","")),IF(AND(FB$5&lt;=$F69,FB$5+GanttPeriod-1&gt;=$E69),"━","")))</f>
        <v/>
      </c>
      <c r="FC69" s="69" t="str">
        <f aca="false">IF($E69="","",IF($M69,IF(AND($G69&gt;=FC$5,$G69&lt;FC$5+GanttPeriod),"◆",IF(AND($E69&gt;=FC$5,$E69&lt;FC$5+GanttPeriod),"◇","")),IF(AND(FC$5&lt;=$F69,FC$5+GanttPeriod-1&gt;=$E69),"━","")))</f>
        <v/>
      </c>
      <c r="FD69" s="69" t="str">
        <f aca="false">IF($E69="","",IF($M69,IF(AND($G69&gt;=FD$5,$G69&lt;FD$5+GanttPeriod),"◆",IF(AND($E69&gt;=FD$5,$E69&lt;FD$5+GanttPeriod),"◇","")),IF(AND(FD$5&lt;=$F69,FD$5+GanttPeriod-1&gt;=$E69),"━","")))</f>
        <v/>
      </c>
      <c r="FE69" s="69" t="str">
        <f aca="false">IF($E69="","",IF($M69,IF(AND($G69&gt;=FE$5,$G69&lt;FE$5+GanttPeriod),"◆",IF(AND($E69&gt;=FE$5,$E69&lt;FE$5+GanttPeriod),"◇","")),IF(AND(FE$5&lt;=$F69,FE$5+GanttPeriod-1&gt;=$E69),"━","")))</f>
        <v/>
      </c>
      <c r="FF69" s="69" t="str">
        <f aca="false">IF($E69="","",IF($M69,IF(AND($G69&gt;=FF$5,$G69&lt;FF$5+GanttPeriod),"◆",IF(AND($E69&gt;=FF$5,$E69&lt;FF$5+GanttPeriod),"◇","")),IF(AND(FF$5&lt;=$F69,FF$5+GanttPeriod-1&gt;=$E69),"━","")))</f>
        <v/>
      </c>
      <c r="FG69" s="69" t="str">
        <f aca="false">IF($E69="","",IF($M69,IF(AND($G69&gt;=FG$5,$G69&lt;FG$5+GanttPeriod),"◆",IF(AND($E69&gt;=FG$5,$E69&lt;FG$5+GanttPeriod),"◇","")),IF(AND(FG$5&lt;=$F69,FG$5+GanttPeriod-1&gt;=$E69),"━","")))</f>
        <v/>
      </c>
      <c r="FH69" s="69" t="str">
        <f aca="false">IF($E69="","",IF($M69,IF(AND($G69&gt;=FH$5,$G69&lt;FH$5+GanttPeriod),"◆",IF(AND($E69&gt;=FH$5,$E69&lt;FH$5+GanttPeriod),"◇","")),IF(AND(FH$5&lt;=$F69,FH$5+GanttPeriod-1&gt;=$E69),"━","")))</f>
        <v/>
      </c>
      <c r="FI69" s="69" t="str">
        <f aca="false">IF($E69="","",IF($M69,IF(AND($G69&gt;=FI$5,$G69&lt;FI$5+GanttPeriod),"◆",IF(AND($E69&gt;=FI$5,$E69&lt;FI$5+GanttPeriod),"◇","")),IF(AND(FI$5&lt;=$F69,FI$5+GanttPeriod-1&gt;=$E69),"━","")))</f>
        <v/>
      </c>
      <c r="FJ69" s="69" t="str">
        <f aca="false">IF($E69="","",IF($M69,IF(AND($G69&gt;=FJ$5,$G69&lt;FJ$5+GanttPeriod),"◆",IF(AND($E69&gt;=FJ$5,$E69&lt;FJ$5+GanttPeriod),"◇","")),IF(AND(FJ$5&lt;=$F69,FJ$5+GanttPeriod-1&gt;=$E69),"━","")))</f>
        <v/>
      </c>
      <c r="FK69" s="69" t="str">
        <f aca="false">IF($E69="","",IF($M69,IF(AND($G69&gt;=FK$5,$G69&lt;FK$5+GanttPeriod),"◆",IF(AND($E69&gt;=FK$5,$E69&lt;FK$5+GanttPeriod),"◇","")),IF(AND(FK$5&lt;=$F69,FK$5+GanttPeriod-1&gt;=$E69),"━","")))</f>
        <v/>
      </c>
      <c r="FL69" s="69" t="str">
        <f aca="false">IF($E69="","",IF($M69,IF(AND($G69&gt;=FL$5,$G69&lt;FL$5+GanttPeriod),"◆",IF(AND($E69&gt;=FL$5,$E69&lt;FL$5+GanttPeriod),"◇","")),IF(AND(FL$5&lt;=$F69,FL$5+GanttPeriod-1&gt;=$E69),"━","")))</f>
        <v/>
      </c>
      <c r="FM69" s="69" t="str">
        <f aca="false">IF($E69="","",IF($M69,IF(AND($G69&gt;=FM$5,$G69&lt;FM$5+GanttPeriod),"◆",IF(AND($E69&gt;=FM$5,$E69&lt;FM$5+GanttPeriod),"◇","")),IF(AND(FM$5&lt;=$F69,FM$5+GanttPeriod-1&gt;=$E69),"━","")))</f>
        <v/>
      </c>
    </row>
    <row r="70" customFormat="false" ht="15" hidden="false" customHeight="false" outlineLevel="0" collapsed="false">
      <c r="A70" s="62" t="str">
        <f aca="false">IF(Tasks!$D70="","",Tasks!$A70)</f>
        <v/>
      </c>
      <c r="B70" s="62" t="str">
        <f aca="false">IF(Tasks!$D70="","",Tasks!$B70)</f>
        <v/>
      </c>
      <c r="C70" s="63" t="str">
        <f aca="false">IF(Tasks!$D70="","",REPT("    ",Tasks!$AE70-1)&amp;Tasks!$D70)</f>
        <v/>
      </c>
      <c r="D70" s="62" t="str">
        <f aca="false">IF(Tasks!$D70="","",IF(Tasks!$AI70,NETWORKDAYS.INTL(Tasks!$R70,Tasks!$S70,WorkWeek,Holidays),N(Tasks!$F70)))</f>
        <v/>
      </c>
      <c r="E70" s="64" t="str">
        <f aca="false">IF(Tasks!$D70="","",Tasks!$N70)</f>
        <v/>
      </c>
      <c r="F70" s="64" t="str">
        <f aca="false">IF(Tasks!$D70="","",Tasks!$O70)</f>
        <v/>
      </c>
      <c r="G70" s="64" t="str">
        <f aca="false">IF(Tasks!$D70="","",Tasks!$R70)</f>
        <v/>
      </c>
      <c r="H70" s="64" t="str">
        <f aca="false">IF(Tasks!$D70="","",Tasks!$S70)</f>
        <v/>
      </c>
      <c r="I70" s="65" t="str">
        <f aca="false">IF(Tasks!$D70="","",Tasks!$V70)</f>
        <v/>
      </c>
      <c r="J70" s="63" t="str">
        <f aca="false">IF(Tasks!$D70="","",Tasks!$X70&amp;"")</f>
        <v/>
      </c>
      <c r="K70" s="66" t="str">
        <f aca="false">IF(Tasks!$D70="","",Tasks!$W70)</f>
        <v/>
      </c>
      <c r="L70" s="67" t="b">
        <f aca="false">IF(Tasks!$D70="",FALSE(),Tasks!$AI70)</f>
        <v>0</v>
      </c>
      <c r="M70" s="67" t="b">
        <f aca="false">AND(Tasks!$AJ70=1,N(Tasks!$F70)=0)</f>
        <v>0</v>
      </c>
      <c r="N70" s="68" t="n">
        <f aca="false">IF(AND(Tasks!$AJ70=1,NOT($M70),N($I70)&gt;0),$G70,0)</f>
        <v>0</v>
      </c>
      <c r="O70" s="68" t="n">
        <f aca="false">IF($N70=0,0,IF($I70&gt;=1,$H70,MAX($N70,$G70+ROUND(($H70-$G70+1)*$I70,0)-1)))</f>
        <v>0</v>
      </c>
      <c r="P70" s="68" t="n">
        <f aca="false">IF(OR(Tasks!$AJ70&lt;&gt;1,$M70,N($I70)&gt;=1),0,IF($O70&gt;0,$O70+1,$G70))</f>
        <v>0</v>
      </c>
      <c r="Q70" s="68" t="n">
        <f aca="false">IF($P70=0,0,$H70)</f>
        <v>0</v>
      </c>
      <c r="R70" s="67" t="b">
        <f aca="false">AND(Tasks!$D70&lt;&gt;"",N(Tasks!$T70)&gt;0)</f>
        <v>0</v>
      </c>
      <c r="T70" s="69" t="str">
        <f aca="false">IF($E70="","",IF($M70,IF(AND($G70&gt;=T$5,$G70&lt;T$5+GanttPeriod),"◆",IF(AND($E70&gt;=T$5,$E70&lt;T$5+GanttPeriod),"◇","")),IF(AND(T$5&lt;=$F70,T$5+GanttPeriod-1&gt;=$E70),"━","")))</f>
        <v/>
      </c>
      <c r="U70" s="69" t="str">
        <f aca="false">IF($E70="","",IF($M70,IF(AND($G70&gt;=U$5,$G70&lt;U$5+GanttPeriod),"◆",IF(AND($E70&gt;=U$5,$E70&lt;U$5+GanttPeriod),"◇","")),IF(AND(U$5&lt;=$F70,U$5+GanttPeriod-1&gt;=$E70),"━","")))</f>
        <v/>
      </c>
      <c r="V70" s="69" t="str">
        <f aca="false">IF($E70="","",IF($M70,IF(AND($G70&gt;=V$5,$G70&lt;V$5+GanttPeriod),"◆",IF(AND($E70&gt;=V$5,$E70&lt;V$5+GanttPeriod),"◇","")),IF(AND(V$5&lt;=$F70,V$5+GanttPeriod-1&gt;=$E70),"━","")))</f>
        <v/>
      </c>
      <c r="W70" s="69" t="str">
        <f aca="false">IF($E70="","",IF($M70,IF(AND($G70&gt;=W$5,$G70&lt;W$5+GanttPeriod),"◆",IF(AND($E70&gt;=W$5,$E70&lt;W$5+GanttPeriod),"◇","")),IF(AND(W$5&lt;=$F70,W$5+GanttPeriod-1&gt;=$E70),"━","")))</f>
        <v/>
      </c>
      <c r="X70" s="69" t="str">
        <f aca="false">IF($E70="","",IF($M70,IF(AND($G70&gt;=X$5,$G70&lt;X$5+GanttPeriod),"◆",IF(AND($E70&gt;=X$5,$E70&lt;X$5+GanttPeriod),"◇","")),IF(AND(X$5&lt;=$F70,X$5+GanttPeriod-1&gt;=$E70),"━","")))</f>
        <v/>
      </c>
      <c r="Y70" s="69" t="str">
        <f aca="false">IF($E70="","",IF($M70,IF(AND($G70&gt;=Y$5,$G70&lt;Y$5+GanttPeriod),"◆",IF(AND($E70&gt;=Y$5,$E70&lt;Y$5+GanttPeriod),"◇","")),IF(AND(Y$5&lt;=$F70,Y$5+GanttPeriod-1&gt;=$E70),"━","")))</f>
        <v/>
      </c>
      <c r="Z70" s="69" t="str">
        <f aca="false">IF($E70="","",IF($M70,IF(AND($G70&gt;=Z$5,$G70&lt;Z$5+GanttPeriod),"◆",IF(AND($E70&gt;=Z$5,$E70&lt;Z$5+GanttPeriod),"◇","")),IF(AND(Z$5&lt;=$F70,Z$5+GanttPeriod-1&gt;=$E70),"━","")))</f>
        <v/>
      </c>
      <c r="AA70" s="69" t="str">
        <f aca="false">IF($E70="","",IF($M70,IF(AND($G70&gt;=AA$5,$G70&lt;AA$5+GanttPeriod),"◆",IF(AND($E70&gt;=AA$5,$E70&lt;AA$5+GanttPeriod),"◇","")),IF(AND(AA$5&lt;=$F70,AA$5+GanttPeriod-1&gt;=$E70),"━","")))</f>
        <v/>
      </c>
      <c r="AB70" s="69" t="str">
        <f aca="false">IF($E70="","",IF($M70,IF(AND($G70&gt;=AB$5,$G70&lt;AB$5+GanttPeriod),"◆",IF(AND($E70&gt;=AB$5,$E70&lt;AB$5+GanttPeriod),"◇","")),IF(AND(AB$5&lt;=$F70,AB$5+GanttPeriod-1&gt;=$E70),"━","")))</f>
        <v/>
      </c>
      <c r="AC70" s="69" t="str">
        <f aca="false">IF($E70="","",IF($M70,IF(AND($G70&gt;=AC$5,$G70&lt;AC$5+GanttPeriod),"◆",IF(AND($E70&gt;=AC$5,$E70&lt;AC$5+GanttPeriod),"◇","")),IF(AND(AC$5&lt;=$F70,AC$5+GanttPeriod-1&gt;=$E70),"━","")))</f>
        <v/>
      </c>
      <c r="AD70" s="69" t="str">
        <f aca="false">IF($E70="","",IF($M70,IF(AND($G70&gt;=AD$5,$G70&lt;AD$5+GanttPeriod),"◆",IF(AND($E70&gt;=AD$5,$E70&lt;AD$5+GanttPeriod),"◇","")),IF(AND(AD$5&lt;=$F70,AD$5+GanttPeriod-1&gt;=$E70),"━","")))</f>
        <v/>
      </c>
      <c r="AE70" s="69" t="str">
        <f aca="false">IF($E70="","",IF($M70,IF(AND($G70&gt;=AE$5,$G70&lt;AE$5+GanttPeriod),"◆",IF(AND($E70&gt;=AE$5,$E70&lt;AE$5+GanttPeriod),"◇","")),IF(AND(AE$5&lt;=$F70,AE$5+GanttPeriod-1&gt;=$E70),"━","")))</f>
        <v/>
      </c>
      <c r="AF70" s="69" t="str">
        <f aca="false">IF($E70="","",IF($M70,IF(AND($G70&gt;=AF$5,$G70&lt;AF$5+GanttPeriod),"◆",IF(AND($E70&gt;=AF$5,$E70&lt;AF$5+GanttPeriod),"◇","")),IF(AND(AF$5&lt;=$F70,AF$5+GanttPeriod-1&gt;=$E70),"━","")))</f>
        <v/>
      </c>
      <c r="AG70" s="69" t="str">
        <f aca="false">IF($E70="","",IF($M70,IF(AND($G70&gt;=AG$5,$G70&lt;AG$5+GanttPeriod),"◆",IF(AND($E70&gt;=AG$5,$E70&lt;AG$5+GanttPeriod),"◇","")),IF(AND(AG$5&lt;=$F70,AG$5+GanttPeriod-1&gt;=$E70),"━","")))</f>
        <v/>
      </c>
      <c r="AH70" s="69" t="str">
        <f aca="false">IF($E70="","",IF($M70,IF(AND($G70&gt;=AH$5,$G70&lt;AH$5+GanttPeriod),"◆",IF(AND($E70&gt;=AH$5,$E70&lt;AH$5+GanttPeriod),"◇","")),IF(AND(AH$5&lt;=$F70,AH$5+GanttPeriod-1&gt;=$E70),"━","")))</f>
        <v/>
      </c>
      <c r="AI70" s="69" t="str">
        <f aca="false">IF($E70="","",IF($M70,IF(AND($G70&gt;=AI$5,$G70&lt;AI$5+GanttPeriod),"◆",IF(AND($E70&gt;=AI$5,$E70&lt;AI$5+GanttPeriod),"◇","")),IF(AND(AI$5&lt;=$F70,AI$5+GanttPeriod-1&gt;=$E70),"━","")))</f>
        <v/>
      </c>
      <c r="AJ70" s="69" t="str">
        <f aca="false">IF($E70="","",IF($M70,IF(AND($G70&gt;=AJ$5,$G70&lt;AJ$5+GanttPeriod),"◆",IF(AND($E70&gt;=AJ$5,$E70&lt;AJ$5+GanttPeriod),"◇","")),IF(AND(AJ$5&lt;=$F70,AJ$5+GanttPeriod-1&gt;=$E70),"━","")))</f>
        <v/>
      </c>
      <c r="AK70" s="69" t="str">
        <f aca="false">IF($E70="","",IF($M70,IF(AND($G70&gt;=AK$5,$G70&lt;AK$5+GanttPeriod),"◆",IF(AND($E70&gt;=AK$5,$E70&lt;AK$5+GanttPeriod),"◇","")),IF(AND(AK$5&lt;=$F70,AK$5+GanttPeriod-1&gt;=$E70),"━","")))</f>
        <v/>
      </c>
      <c r="AL70" s="69" t="str">
        <f aca="false">IF($E70="","",IF($M70,IF(AND($G70&gt;=AL$5,$G70&lt;AL$5+GanttPeriod),"◆",IF(AND($E70&gt;=AL$5,$E70&lt;AL$5+GanttPeriod),"◇","")),IF(AND(AL$5&lt;=$F70,AL$5+GanttPeriod-1&gt;=$E70),"━","")))</f>
        <v/>
      </c>
      <c r="AM70" s="69" t="str">
        <f aca="false">IF($E70="","",IF($M70,IF(AND($G70&gt;=AM$5,$G70&lt;AM$5+GanttPeriod),"◆",IF(AND($E70&gt;=AM$5,$E70&lt;AM$5+GanttPeriod),"◇","")),IF(AND(AM$5&lt;=$F70,AM$5+GanttPeriod-1&gt;=$E70),"━","")))</f>
        <v/>
      </c>
      <c r="AN70" s="69" t="str">
        <f aca="false">IF($E70="","",IF($M70,IF(AND($G70&gt;=AN$5,$G70&lt;AN$5+GanttPeriod),"◆",IF(AND($E70&gt;=AN$5,$E70&lt;AN$5+GanttPeriod),"◇","")),IF(AND(AN$5&lt;=$F70,AN$5+GanttPeriod-1&gt;=$E70),"━","")))</f>
        <v/>
      </c>
      <c r="AO70" s="69" t="str">
        <f aca="false">IF($E70="","",IF($M70,IF(AND($G70&gt;=AO$5,$G70&lt;AO$5+GanttPeriod),"◆",IF(AND($E70&gt;=AO$5,$E70&lt;AO$5+GanttPeriod),"◇","")),IF(AND(AO$5&lt;=$F70,AO$5+GanttPeriod-1&gt;=$E70),"━","")))</f>
        <v/>
      </c>
      <c r="AP70" s="69" t="str">
        <f aca="false">IF($E70="","",IF($M70,IF(AND($G70&gt;=AP$5,$G70&lt;AP$5+GanttPeriod),"◆",IF(AND($E70&gt;=AP$5,$E70&lt;AP$5+GanttPeriod),"◇","")),IF(AND(AP$5&lt;=$F70,AP$5+GanttPeriod-1&gt;=$E70),"━","")))</f>
        <v/>
      </c>
      <c r="AQ70" s="69" t="str">
        <f aca="false">IF($E70="","",IF($M70,IF(AND($G70&gt;=AQ$5,$G70&lt;AQ$5+GanttPeriod),"◆",IF(AND($E70&gt;=AQ$5,$E70&lt;AQ$5+GanttPeriod),"◇","")),IF(AND(AQ$5&lt;=$F70,AQ$5+GanttPeriod-1&gt;=$E70),"━","")))</f>
        <v/>
      </c>
      <c r="AR70" s="69" t="str">
        <f aca="false">IF($E70="","",IF($M70,IF(AND($G70&gt;=AR$5,$G70&lt;AR$5+GanttPeriod),"◆",IF(AND($E70&gt;=AR$5,$E70&lt;AR$5+GanttPeriod),"◇","")),IF(AND(AR$5&lt;=$F70,AR$5+GanttPeriod-1&gt;=$E70),"━","")))</f>
        <v/>
      </c>
      <c r="AS70" s="69" t="str">
        <f aca="false">IF($E70="","",IF($M70,IF(AND($G70&gt;=AS$5,$G70&lt;AS$5+GanttPeriod),"◆",IF(AND($E70&gt;=AS$5,$E70&lt;AS$5+GanttPeriod),"◇","")),IF(AND(AS$5&lt;=$F70,AS$5+GanttPeriod-1&gt;=$E70),"━","")))</f>
        <v/>
      </c>
      <c r="AT70" s="69" t="str">
        <f aca="false">IF($E70="","",IF($M70,IF(AND($G70&gt;=AT$5,$G70&lt;AT$5+GanttPeriod),"◆",IF(AND($E70&gt;=AT$5,$E70&lt;AT$5+GanttPeriod),"◇","")),IF(AND(AT$5&lt;=$F70,AT$5+GanttPeriod-1&gt;=$E70),"━","")))</f>
        <v/>
      </c>
      <c r="AU70" s="69" t="str">
        <f aca="false">IF($E70="","",IF($M70,IF(AND($G70&gt;=AU$5,$G70&lt;AU$5+GanttPeriod),"◆",IF(AND($E70&gt;=AU$5,$E70&lt;AU$5+GanttPeriod),"◇","")),IF(AND(AU$5&lt;=$F70,AU$5+GanttPeriod-1&gt;=$E70),"━","")))</f>
        <v/>
      </c>
      <c r="AV70" s="69" t="str">
        <f aca="false">IF($E70="","",IF($M70,IF(AND($G70&gt;=AV$5,$G70&lt;AV$5+GanttPeriod),"◆",IF(AND($E70&gt;=AV$5,$E70&lt;AV$5+GanttPeriod),"◇","")),IF(AND(AV$5&lt;=$F70,AV$5+GanttPeriod-1&gt;=$E70),"━","")))</f>
        <v/>
      </c>
      <c r="AW70" s="69" t="str">
        <f aca="false">IF($E70="","",IF($M70,IF(AND($G70&gt;=AW$5,$G70&lt;AW$5+GanttPeriod),"◆",IF(AND($E70&gt;=AW$5,$E70&lt;AW$5+GanttPeriod),"◇","")),IF(AND(AW$5&lt;=$F70,AW$5+GanttPeriod-1&gt;=$E70),"━","")))</f>
        <v/>
      </c>
      <c r="AX70" s="69" t="str">
        <f aca="false">IF($E70="","",IF($M70,IF(AND($G70&gt;=AX$5,$G70&lt;AX$5+GanttPeriod),"◆",IF(AND($E70&gt;=AX$5,$E70&lt;AX$5+GanttPeriod),"◇","")),IF(AND(AX$5&lt;=$F70,AX$5+GanttPeriod-1&gt;=$E70),"━","")))</f>
        <v/>
      </c>
      <c r="AY70" s="69" t="str">
        <f aca="false">IF($E70="","",IF($M70,IF(AND($G70&gt;=AY$5,$G70&lt;AY$5+GanttPeriod),"◆",IF(AND($E70&gt;=AY$5,$E70&lt;AY$5+GanttPeriod),"◇","")),IF(AND(AY$5&lt;=$F70,AY$5+GanttPeriod-1&gt;=$E70),"━","")))</f>
        <v/>
      </c>
      <c r="AZ70" s="69" t="str">
        <f aca="false">IF($E70="","",IF($M70,IF(AND($G70&gt;=AZ$5,$G70&lt;AZ$5+GanttPeriod),"◆",IF(AND($E70&gt;=AZ$5,$E70&lt;AZ$5+GanttPeriod),"◇","")),IF(AND(AZ$5&lt;=$F70,AZ$5+GanttPeriod-1&gt;=$E70),"━","")))</f>
        <v/>
      </c>
      <c r="BA70" s="69" t="str">
        <f aca="false">IF($E70="","",IF($M70,IF(AND($G70&gt;=BA$5,$G70&lt;BA$5+GanttPeriod),"◆",IF(AND($E70&gt;=BA$5,$E70&lt;BA$5+GanttPeriod),"◇","")),IF(AND(BA$5&lt;=$F70,BA$5+GanttPeriod-1&gt;=$E70),"━","")))</f>
        <v/>
      </c>
      <c r="BB70" s="69" t="str">
        <f aca="false">IF($E70="","",IF($M70,IF(AND($G70&gt;=BB$5,$G70&lt;BB$5+GanttPeriod),"◆",IF(AND($E70&gt;=BB$5,$E70&lt;BB$5+GanttPeriod),"◇","")),IF(AND(BB$5&lt;=$F70,BB$5+GanttPeriod-1&gt;=$E70),"━","")))</f>
        <v/>
      </c>
      <c r="BC70" s="69" t="str">
        <f aca="false">IF($E70="","",IF($M70,IF(AND($G70&gt;=BC$5,$G70&lt;BC$5+GanttPeriod),"◆",IF(AND($E70&gt;=BC$5,$E70&lt;BC$5+GanttPeriod),"◇","")),IF(AND(BC$5&lt;=$F70,BC$5+GanttPeriod-1&gt;=$E70),"━","")))</f>
        <v/>
      </c>
      <c r="BD70" s="69" t="str">
        <f aca="false">IF($E70="","",IF($M70,IF(AND($G70&gt;=BD$5,$G70&lt;BD$5+GanttPeriod),"◆",IF(AND($E70&gt;=BD$5,$E70&lt;BD$5+GanttPeriod),"◇","")),IF(AND(BD$5&lt;=$F70,BD$5+GanttPeriod-1&gt;=$E70),"━","")))</f>
        <v/>
      </c>
      <c r="BE70" s="69" t="str">
        <f aca="false">IF($E70="","",IF($M70,IF(AND($G70&gt;=BE$5,$G70&lt;BE$5+GanttPeriod),"◆",IF(AND($E70&gt;=BE$5,$E70&lt;BE$5+GanttPeriod),"◇","")),IF(AND(BE$5&lt;=$F70,BE$5+GanttPeriod-1&gt;=$E70),"━","")))</f>
        <v/>
      </c>
      <c r="BF70" s="69" t="str">
        <f aca="false">IF($E70="","",IF($M70,IF(AND($G70&gt;=BF$5,$G70&lt;BF$5+GanttPeriod),"◆",IF(AND($E70&gt;=BF$5,$E70&lt;BF$5+GanttPeriod),"◇","")),IF(AND(BF$5&lt;=$F70,BF$5+GanttPeriod-1&gt;=$E70),"━","")))</f>
        <v/>
      </c>
      <c r="BG70" s="69" t="str">
        <f aca="false">IF($E70="","",IF($M70,IF(AND($G70&gt;=BG$5,$G70&lt;BG$5+GanttPeriod),"◆",IF(AND($E70&gt;=BG$5,$E70&lt;BG$5+GanttPeriod),"◇","")),IF(AND(BG$5&lt;=$F70,BG$5+GanttPeriod-1&gt;=$E70),"━","")))</f>
        <v/>
      </c>
      <c r="BH70" s="69" t="str">
        <f aca="false">IF($E70="","",IF($M70,IF(AND($G70&gt;=BH$5,$G70&lt;BH$5+GanttPeriod),"◆",IF(AND($E70&gt;=BH$5,$E70&lt;BH$5+GanttPeriod),"◇","")),IF(AND(BH$5&lt;=$F70,BH$5+GanttPeriod-1&gt;=$E70),"━","")))</f>
        <v/>
      </c>
      <c r="BI70" s="69" t="str">
        <f aca="false">IF($E70="","",IF($M70,IF(AND($G70&gt;=BI$5,$G70&lt;BI$5+GanttPeriod),"◆",IF(AND($E70&gt;=BI$5,$E70&lt;BI$5+GanttPeriod),"◇","")),IF(AND(BI$5&lt;=$F70,BI$5+GanttPeriod-1&gt;=$E70),"━","")))</f>
        <v/>
      </c>
      <c r="BJ70" s="69" t="str">
        <f aca="false">IF($E70="","",IF($M70,IF(AND($G70&gt;=BJ$5,$G70&lt;BJ$5+GanttPeriod),"◆",IF(AND($E70&gt;=BJ$5,$E70&lt;BJ$5+GanttPeriod),"◇","")),IF(AND(BJ$5&lt;=$F70,BJ$5+GanttPeriod-1&gt;=$E70),"━","")))</f>
        <v/>
      </c>
      <c r="BK70" s="69" t="str">
        <f aca="false">IF($E70="","",IF($M70,IF(AND($G70&gt;=BK$5,$G70&lt;BK$5+GanttPeriod),"◆",IF(AND($E70&gt;=BK$5,$E70&lt;BK$5+GanttPeriod),"◇","")),IF(AND(BK$5&lt;=$F70,BK$5+GanttPeriod-1&gt;=$E70),"━","")))</f>
        <v/>
      </c>
      <c r="BL70" s="69" t="str">
        <f aca="false">IF($E70="","",IF($M70,IF(AND($G70&gt;=BL$5,$G70&lt;BL$5+GanttPeriod),"◆",IF(AND($E70&gt;=BL$5,$E70&lt;BL$5+GanttPeriod),"◇","")),IF(AND(BL$5&lt;=$F70,BL$5+GanttPeriod-1&gt;=$E70),"━","")))</f>
        <v/>
      </c>
      <c r="BM70" s="69" t="str">
        <f aca="false">IF($E70="","",IF($M70,IF(AND($G70&gt;=BM$5,$G70&lt;BM$5+GanttPeriod),"◆",IF(AND($E70&gt;=BM$5,$E70&lt;BM$5+GanttPeriod),"◇","")),IF(AND(BM$5&lt;=$F70,BM$5+GanttPeriod-1&gt;=$E70),"━","")))</f>
        <v/>
      </c>
      <c r="BN70" s="69" t="str">
        <f aca="false">IF($E70="","",IF($M70,IF(AND($G70&gt;=BN$5,$G70&lt;BN$5+GanttPeriod),"◆",IF(AND($E70&gt;=BN$5,$E70&lt;BN$5+GanttPeriod),"◇","")),IF(AND(BN$5&lt;=$F70,BN$5+GanttPeriod-1&gt;=$E70),"━","")))</f>
        <v/>
      </c>
      <c r="BO70" s="69" t="str">
        <f aca="false">IF($E70="","",IF($M70,IF(AND($G70&gt;=BO$5,$G70&lt;BO$5+GanttPeriod),"◆",IF(AND($E70&gt;=BO$5,$E70&lt;BO$5+GanttPeriod),"◇","")),IF(AND(BO$5&lt;=$F70,BO$5+GanttPeriod-1&gt;=$E70),"━","")))</f>
        <v/>
      </c>
      <c r="BP70" s="69" t="str">
        <f aca="false">IF($E70="","",IF($M70,IF(AND($G70&gt;=BP$5,$G70&lt;BP$5+GanttPeriod),"◆",IF(AND($E70&gt;=BP$5,$E70&lt;BP$5+GanttPeriod),"◇","")),IF(AND(BP$5&lt;=$F70,BP$5+GanttPeriod-1&gt;=$E70),"━","")))</f>
        <v/>
      </c>
      <c r="BQ70" s="69" t="str">
        <f aca="false">IF($E70="","",IF($M70,IF(AND($G70&gt;=BQ$5,$G70&lt;BQ$5+GanttPeriod),"◆",IF(AND($E70&gt;=BQ$5,$E70&lt;BQ$5+GanttPeriod),"◇","")),IF(AND(BQ$5&lt;=$F70,BQ$5+GanttPeriod-1&gt;=$E70),"━","")))</f>
        <v/>
      </c>
      <c r="BR70" s="69" t="str">
        <f aca="false">IF($E70="","",IF($M70,IF(AND($G70&gt;=BR$5,$G70&lt;BR$5+GanttPeriod),"◆",IF(AND($E70&gt;=BR$5,$E70&lt;BR$5+GanttPeriod),"◇","")),IF(AND(BR$5&lt;=$F70,BR$5+GanttPeriod-1&gt;=$E70),"━","")))</f>
        <v/>
      </c>
      <c r="BS70" s="69" t="str">
        <f aca="false">IF($E70="","",IF($M70,IF(AND($G70&gt;=BS$5,$G70&lt;BS$5+GanttPeriod),"◆",IF(AND($E70&gt;=BS$5,$E70&lt;BS$5+GanttPeriod),"◇","")),IF(AND(BS$5&lt;=$F70,BS$5+GanttPeriod-1&gt;=$E70),"━","")))</f>
        <v/>
      </c>
      <c r="BT70" s="69" t="str">
        <f aca="false">IF($E70="","",IF($M70,IF(AND($G70&gt;=BT$5,$G70&lt;BT$5+GanttPeriod),"◆",IF(AND($E70&gt;=BT$5,$E70&lt;BT$5+GanttPeriod),"◇","")),IF(AND(BT$5&lt;=$F70,BT$5+GanttPeriod-1&gt;=$E70),"━","")))</f>
        <v/>
      </c>
      <c r="BU70" s="69" t="str">
        <f aca="false">IF($E70="","",IF($M70,IF(AND($G70&gt;=BU$5,$G70&lt;BU$5+GanttPeriod),"◆",IF(AND($E70&gt;=BU$5,$E70&lt;BU$5+GanttPeriod),"◇","")),IF(AND(BU$5&lt;=$F70,BU$5+GanttPeriod-1&gt;=$E70),"━","")))</f>
        <v/>
      </c>
      <c r="BV70" s="69" t="str">
        <f aca="false">IF($E70="","",IF($M70,IF(AND($G70&gt;=BV$5,$G70&lt;BV$5+GanttPeriod),"◆",IF(AND($E70&gt;=BV$5,$E70&lt;BV$5+GanttPeriod),"◇","")),IF(AND(BV$5&lt;=$F70,BV$5+GanttPeriod-1&gt;=$E70),"━","")))</f>
        <v/>
      </c>
      <c r="BW70" s="69" t="str">
        <f aca="false">IF($E70="","",IF($M70,IF(AND($G70&gt;=BW$5,$G70&lt;BW$5+GanttPeriod),"◆",IF(AND($E70&gt;=BW$5,$E70&lt;BW$5+GanttPeriod),"◇","")),IF(AND(BW$5&lt;=$F70,BW$5+GanttPeriod-1&gt;=$E70),"━","")))</f>
        <v/>
      </c>
      <c r="BX70" s="69" t="str">
        <f aca="false">IF($E70="","",IF($M70,IF(AND($G70&gt;=BX$5,$G70&lt;BX$5+GanttPeriod),"◆",IF(AND($E70&gt;=BX$5,$E70&lt;BX$5+GanttPeriod),"◇","")),IF(AND(BX$5&lt;=$F70,BX$5+GanttPeriod-1&gt;=$E70),"━","")))</f>
        <v/>
      </c>
      <c r="BY70" s="69" t="str">
        <f aca="false">IF($E70="","",IF($M70,IF(AND($G70&gt;=BY$5,$G70&lt;BY$5+GanttPeriod),"◆",IF(AND($E70&gt;=BY$5,$E70&lt;BY$5+GanttPeriod),"◇","")),IF(AND(BY$5&lt;=$F70,BY$5+GanttPeriod-1&gt;=$E70),"━","")))</f>
        <v/>
      </c>
      <c r="BZ70" s="69" t="str">
        <f aca="false">IF($E70="","",IF($M70,IF(AND($G70&gt;=BZ$5,$G70&lt;BZ$5+GanttPeriod),"◆",IF(AND($E70&gt;=BZ$5,$E70&lt;BZ$5+GanttPeriod),"◇","")),IF(AND(BZ$5&lt;=$F70,BZ$5+GanttPeriod-1&gt;=$E70),"━","")))</f>
        <v/>
      </c>
      <c r="CA70" s="69" t="str">
        <f aca="false">IF($E70="","",IF($M70,IF(AND($G70&gt;=CA$5,$G70&lt;CA$5+GanttPeriod),"◆",IF(AND($E70&gt;=CA$5,$E70&lt;CA$5+GanttPeriod),"◇","")),IF(AND(CA$5&lt;=$F70,CA$5+GanttPeriod-1&gt;=$E70),"━","")))</f>
        <v/>
      </c>
      <c r="CB70" s="69" t="str">
        <f aca="false">IF($E70="","",IF($M70,IF(AND($G70&gt;=CB$5,$G70&lt;CB$5+GanttPeriod),"◆",IF(AND($E70&gt;=CB$5,$E70&lt;CB$5+GanttPeriod),"◇","")),IF(AND(CB$5&lt;=$F70,CB$5+GanttPeriod-1&gt;=$E70),"━","")))</f>
        <v/>
      </c>
      <c r="CC70" s="69" t="str">
        <f aca="false">IF($E70="","",IF($M70,IF(AND($G70&gt;=CC$5,$G70&lt;CC$5+GanttPeriod),"◆",IF(AND($E70&gt;=CC$5,$E70&lt;CC$5+GanttPeriod),"◇","")),IF(AND(CC$5&lt;=$F70,CC$5+GanttPeriod-1&gt;=$E70),"━","")))</f>
        <v/>
      </c>
      <c r="CD70" s="69" t="str">
        <f aca="false">IF($E70="","",IF($M70,IF(AND($G70&gt;=CD$5,$G70&lt;CD$5+GanttPeriod),"◆",IF(AND($E70&gt;=CD$5,$E70&lt;CD$5+GanttPeriod),"◇","")),IF(AND(CD$5&lt;=$F70,CD$5+GanttPeriod-1&gt;=$E70),"━","")))</f>
        <v/>
      </c>
      <c r="CE70" s="69" t="str">
        <f aca="false">IF($E70="","",IF($M70,IF(AND($G70&gt;=CE$5,$G70&lt;CE$5+GanttPeriod),"◆",IF(AND($E70&gt;=CE$5,$E70&lt;CE$5+GanttPeriod),"◇","")),IF(AND(CE$5&lt;=$F70,CE$5+GanttPeriod-1&gt;=$E70),"━","")))</f>
        <v/>
      </c>
      <c r="CF70" s="69" t="str">
        <f aca="false">IF($E70="","",IF($M70,IF(AND($G70&gt;=CF$5,$G70&lt;CF$5+GanttPeriod),"◆",IF(AND($E70&gt;=CF$5,$E70&lt;CF$5+GanttPeriod),"◇","")),IF(AND(CF$5&lt;=$F70,CF$5+GanttPeriod-1&gt;=$E70),"━","")))</f>
        <v/>
      </c>
      <c r="CG70" s="69" t="str">
        <f aca="false">IF($E70="","",IF($M70,IF(AND($G70&gt;=CG$5,$G70&lt;CG$5+GanttPeriod),"◆",IF(AND($E70&gt;=CG$5,$E70&lt;CG$5+GanttPeriod),"◇","")),IF(AND(CG$5&lt;=$F70,CG$5+GanttPeriod-1&gt;=$E70),"━","")))</f>
        <v/>
      </c>
      <c r="CH70" s="69" t="str">
        <f aca="false">IF($E70="","",IF($M70,IF(AND($G70&gt;=CH$5,$G70&lt;CH$5+GanttPeriod),"◆",IF(AND($E70&gt;=CH$5,$E70&lt;CH$5+GanttPeriod),"◇","")),IF(AND(CH$5&lt;=$F70,CH$5+GanttPeriod-1&gt;=$E70),"━","")))</f>
        <v/>
      </c>
      <c r="CI70" s="69" t="str">
        <f aca="false">IF($E70="","",IF($M70,IF(AND($G70&gt;=CI$5,$G70&lt;CI$5+GanttPeriod),"◆",IF(AND($E70&gt;=CI$5,$E70&lt;CI$5+GanttPeriod),"◇","")),IF(AND(CI$5&lt;=$F70,CI$5+GanttPeriod-1&gt;=$E70),"━","")))</f>
        <v/>
      </c>
      <c r="CJ70" s="69" t="str">
        <f aca="false">IF($E70="","",IF($M70,IF(AND($G70&gt;=CJ$5,$G70&lt;CJ$5+GanttPeriod),"◆",IF(AND($E70&gt;=CJ$5,$E70&lt;CJ$5+GanttPeriod),"◇","")),IF(AND(CJ$5&lt;=$F70,CJ$5+GanttPeriod-1&gt;=$E70),"━","")))</f>
        <v/>
      </c>
      <c r="CK70" s="69" t="str">
        <f aca="false">IF($E70="","",IF($M70,IF(AND($G70&gt;=CK$5,$G70&lt;CK$5+GanttPeriod),"◆",IF(AND($E70&gt;=CK$5,$E70&lt;CK$5+GanttPeriod),"◇","")),IF(AND(CK$5&lt;=$F70,CK$5+GanttPeriod-1&gt;=$E70),"━","")))</f>
        <v/>
      </c>
      <c r="CL70" s="69" t="str">
        <f aca="false">IF($E70="","",IF($M70,IF(AND($G70&gt;=CL$5,$G70&lt;CL$5+GanttPeriod),"◆",IF(AND($E70&gt;=CL$5,$E70&lt;CL$5+GanttPeriod),"◇","")),IF(AND(CL$5&lt;=$F70,CL$5+GanttPeriod-1&gt;=$E70),"━","")))</f>
        <v/>
      </c>
      <c r="CM70" s="69" t="str">
        <f aca="false">IF($E70="","",IF($M70,IF(AND($G70&gt;=CM$5,$G70&lt;CM$5+GanttPeriod),"◆",IF(AND($E70&gt;=CM$5,$E70&lt;CM$5+GanttPeriod),"◇","")),IF(AND(CM$5&lt;=$F70,CM$5+GanttPeriod-1&gt;=$E70),"━","")))</f>
        <v/>
      </c>
      <c r="CN70" s="69" t="str">
        <f aca="false">IF($E70="","",IF($M70,IF(AND($G70&gt;=CN$5,$G70&lt;CN$5+GanttPeriod),"◆",IF(AND($E70&gt;=CN$5,$E70&lt;CN$5+GanttPeriod),"◇","")),IF(AND(CN$5&lt;=$F70,CN$5+GanttPeriod-1&gt;=$E70),"━","")))</f>
        <v/>
      </c>
      <c r="CO70" s="69" t="str">
        <f aca="false">IF($E70="","",IF($M70,IF(AND($G70&gt;=CO$5,$G70&lt;CO$5+GanttPeriod),"◆",IF(AND($E70&gt;=CO$5,$E70&lt;CO$5+GanttPeriod),"◇","")),IF(AND(CO$5&lt;=$F70,CO$5+GanttPeriod-1&gt;=$E70),"━","")))</f>
        <v/>
      </c>
      <c r="CP70" s="69" t="str">
        <f aca="false">IF($E70="","",IF($M70,IF(AND($G70&gt;=CP$5,$G70&lt;CP$5+GanttPeriod),"◆",IF(AND($E70&gt;=CP$5,$E70&lt;CP$5+GanttPeriod),"◇","")),IF(AND(CP$5&lt;=$F70,CP$5+GanttPeriod-1&gt;=$E70),"━","")))</f>
        <v/>
      </c>
      <c r="CQ70" s="69" t="str">
        <f aca="false">IF($E70="","",IF($M70,IF(AND($G70&gt;=CQ$5,$G70&lt;CQ$5+GanttPeriod),"◆",IF(AND($E70&gt;=CQ$5,$E70&lt;CQ$5+GanttPeriod),"◇","")),IF(AND(CQ$5&lt;=$F70,CQ$5+GanttPeriod-1&gt;=$E70),"━","")))</f>
        <v/>
      </c>
      <c r="CR70" s="69" t="str">
        <f aca="false">IF($E70="","",IF($M70,IF(AND($G70&gt;=CR$5,$G70&lt;CR$5+GanttPeriod),"◆",IF(AND($E70&gt;=CR$5,$E70&lt;CR$5+GanttPeriod),"◇","")),IF(AND(CR$5&lt;=$F70,CR$5+GanttPeriod-1&gt;=$E70),"━","")))</f>
        <v/>
      </c>
      <c r="CS70" s="69" t="str">
        <f aca="false">IF($E70="","",IF($M70,IF(AND($G70&gt;=CS$5,$G70&lt;CS$5+GanttPeriod),"◆",IF(AND($E70&gt;=CS$5,$E70&lt;CS$5+GanttPeriod),"◇","")),IF(AND(CS$5&lt;=$F70,CS$5+GanttPeriod-1&gt;=$E70),"━","")))</f>
        <v/>
      </c>
      <c r="CT70" s="69" t="str">
        <f aca="false">IF($E70="","",IF($M70,IF(AND($G70&gt;=CT$5,$G70&lt;CT$5+GanttPeriod),"◆",IF(AND($E70&gt;=CT$5,$E70&lt;CT$5+GanttPeriod),"◇","")),IF(AND(CT$5&lt;=$F70,CT$5+GanttPeriod-1&gt;=$E70),"━","")))</f>
        <v/>
      </c>
      <c r="CU70" s="69" t="str">
        <f aca="false">IF($E70="","",IF($M70,IF(AND($G70&gt;=CU$5,$G70&lt;CU$5+GanttPeriod),"◆",IF(AND($E70&gt;=CU$5,$E70&lt;CU$5+GanttPeriod),"◇","")),IF(AND(CU$5&lt;=$F70,CU$5+GanttPeriod-1&gt;=$E70),"━","")))</f>
        <v/>
      </c>
      <c r="CV70" s="69" t="str">
        <f aca="false">IF($E70="","",IF($M70,IF(AND($G70&gt;=CV$5,$G70&lt;CV$5+GanttPeriod),"◆",IF(AND($E70&gt;=CV$5,$E70&lt;CV$5+GanttPeriod),"◇","")),IF(AND(CV$5&lt;=$F70,CV$5+GanttPeriod-1&gt;=$E70),"━","")))</f>
        <v/>
      </c>
      <c r="CW70" s="69" t="str">
        <f aca="false">IF($E70="","",IF($M70,IF(AND($G70&gt;=CW$5,$G70&lt;CW$5+GanttPeriod),"◆",IF(AND($E70&gt;=CW$5,$E70&lt;CW$5+GanttPeriod),"◇","")),IF(AND(CW$5&lt;=$F70,CW$5+GanttPeriod-1&gt;=$E70),"━","")))</f>
        <v/>
      </c>
      <c r="CX70" s="69" t="str">
        <f aca="false">IF($E70="","",IF($M70,IF(AND($G70&gt;=CX$5,$G70&lt;CX$5+GanttPeriod),"◆",IF(AND($E70&gt;=CX$5,$E70&lt;CX$5+GanttPeriod),"◇","")),IF(AND(CX$5&lt;=$F70,CX$5+GanttPeriod-1&gt;=$E70),"━","")))</f>
        <v/>
      </c>
      <c r="CY70" s="69" t="str">
        <f aca="false">IF($E70="","",IF($M70,IF(AND($G70&gt;=CY$5,$G70&lt;CY$5+GanttPeriod),"◆",IF(AND($E70&gt;=CY$5,$E70&lt;CY$5+GanttPeriod),"◇","")),IF(AND(CY$5&lt;=$F70,CY$5+GanttPeriod-1&gt;=$E70),"━","")))</f>
        <v/>
      </c>
      <c r="CZ70" s="69" t="str">
        <f aca="false">IF($E70="","",IF($M70,IF(AND($G70&gt;=CZ$5,$G70&lt;CZ$5+GanttPeriod),"◆",IF(AND($E70&gt;=CZ$5,$E70&lt;CZ$5+GanttPeriod),"◇","")),IF(AND(CZ$5&lt;=$F70,CZ$5+GanttPeriod-1&gt;=$E70),"━","")))</f>
        <v/>
      </c>
      <c r="DA70" s="69" t="str">
        <f aca="false">IF($E70="","",IF($M70,IF(AND($G70&gt;=DA$5,$G70&lt;DA$5+GanttPeriod),"◆",IF(AND($E70&gt;=DA$5,$E70&lt;DA$5+GanttPeriod),"◇","")),IF(AND(DA$5&lt;=$F70,DA$5+GanttPeriod-1&gt;=$E70),"━","")))</f>
        <v/>
      </c>
      <c r="DB70" s="69" t="str">
        <f aca="false">IF($E70="","",IF($M70,IF(AND($G70&gt;=DB$5,$G70&lt;DB$5+GanttPeriod),"◆",IF(AND($E70&gt;=DB$5,$E70&lt;DB$5+GanttPeriod),"◇","")),IF(AND(DB$5&lt;=$F70,DB$5+GanttPeriod-1&gt;=$E70),"━","")))</f>
        <v/>
      </c>
      <c r="DC70" s="69" t="str">
        <f aca="false">IF($E70="","",IF($M70,IF(AND($G70&gt;=DC$5,$G70&lt;DC$5+GanttPeriod),"◆",IF(AND($E70&gt;=DC$5,$E70&lt;DC$5+GanttPeriod),"◇","")),IF(AND(DC$5&lt;=$F70,DC$5+GanttPeriod-1&gt;=$E70),"━","")))</f>
        <v/>
      </c>
      <c r="DD70" s="69" t="str">
        <f aca="false">IF($E70="","",IF($M70,IF(AND($G70&gt;=DD$5,$G70&lt;DD$5+GanttPeriod),"◆",IF(AND($E70&gt;=DD$5,$E70&lt;DD$5+GanttPeriod),"◇","")),IF(AND(DD$5&lt;=$F70,DD$5+GanttPeriod-1&gt;=$E70),"━","")))</f>
        <v/>
      </c>
      <c r="DE70" s="69" t="str">
        <f aca="false">IF($E70="","",IF($M70,IF(AND($G70&gt;=DE$5,$G70&lt;DE$5+GanttPeriod),"◆",IF(AND($E70&gt;=DE$5,$E70&lt;DE$5+GanttPeriod),"◇","")),IF(AND(DE$5&lt;=$F70,DE$5+GanttPeriod-1&gt;=$E70),"━","")))</f>
        <v/>
      </c>
      <c r="DF70" s="69" t="str">
        <f aca="false">IF($E70="","",IF($M70,IF(AND($G70&gt;=DF$5,$G70&lt;DF$5+GanttPeriod),"◆",IF(AND($E70&gt;=DF$5,$E70&lt;DF$5+GanttPeriod),"◇","")),IF(AND(DF$5&lt;=$F70,DF$5+GanttPeriod-1&gt;=$E70),"━","")))</f>
        <v/>
      </c>
      <c r="DG70" s="69" t="str">
        <f aca="false">IF($E70="","",IF($M70,IF(AND($G70&gt;=DG$5,$G70&lt;DG$5+GanttPeriod),"◆",IF(AND($E70&gt;=DG$5,$E70&lt;DG$5+GanttPeriod),"◇","")),IF(AND(DG$5&lt;=$F70,DG$5+GanttPeriod-1&gt;=$E70),"━","")))</f>
        <v/>
      </c>
      <c r="DH70" s="69" t="str">
        <f aca="false">IF($E70="","",IF($M70,IF(AND($G70&gt;=DH$5,$G70&lt;DH$5+GanttPeriod),"◆",IF(AND($E70&gt;=DH$5,$E70&lt;DH$5+GanttPeriod),"◇","")),IF(AND(DH$5&lt;=$F70,DH$5+GanttPeriod-1&gt;=$E70),"━","")))</f>
        <v/>
      </c>
      <c r="DI70" s="69" t="str">
        <f aca="false">IF($E70="","",IF($M70,IF(AND($G70&gt;=DI$5,$G70&lt;DI$5+GanttPeriod),"◆",IF(AND($E70&gt;=DI$5,$E70&lt;DI$5+GanttPeriod),"◇","")),IF(AND(DI$5&lt;=$F70,DI$5+GanttPeriod-1&gt;=$E70),"━","")))</f>
        <v/>
      </c>
      <c r="DJ70" s="69" t="str">
        <f aca="false">IF($E70="","",IF($M70,IF(AND($G70&gt;=DJ$5,$G70&lt;DJ$5+GanttPeriod),"◆",IF(AND($E70&gt;=DJ$5,$E70&lt;DJ$5+GanttPeriod),"◇","")),IF(AND(DJ$5&lt;=$F70,DJ$5+GanttPeriod-1&gt;=$E70),"━","")))</f>
        <v/>
      </c>
      <c r="DK70" s="69" t="str">
        <f aca="false">IF($E70="","",IF($M70,IF(AND($G70&gt;=DK$5,$G70&lt;DK$5+GanttPeriod),"◆",IF(AND($E70&gt;=DK$5,$E70&lt;DK$5+GanttPeriod),"◇","")),IF(AND(DK$5&lt;=$F70,DK$5+GanttPeriod-1&gt;=$E70),"━","")))</f>
        <v/>
      </c>
      <c r="DL70" s="69" t="str">
        <f aca="false">IF($E70="","",IF($M70,IF(AND($G70&gt;=DL$5,$G70&lt;DL$5+GanttPeriod),"◆",IF(AND($E70&gt;=DL$5,$E70&lt;DL$5+GanttPeriod),"◇","")),IF(AND(DL$5&lt;=$F70,DL$5+GanttPeriod-1&gt;=$E70),"━","")))</f>
        <v/>
      </c>
      <c r="DM70" s="69" t="str">
        <f aca="false">IF($E70="","",IF($M70,IF(AND($G70&gt;=DM$5,$G70&lt;DM$5+GanttPeriod),"◆",IF(AND($E70&gt;=DM$5,$E70&lt;DM$5+GanttPeriod),"◇","")),IF(AND(DM$5&lt;=$F70,DM$5+GanttPeriod-1&gt;=$E70),"━","")))</f>
        <v/>
      </c>
      <c r="DN70" s="69" t="str">
        <f aca="false">IF($E70="","",IF($M70,IF(AND($G70&gt;=DN$5,$G70&lt;DN$5+GanttPeriod),"◆",IF(AND($E70&gt;=DN$5,$E70&lt;DN$5+GanttPeriod),"◇","")),IF(AND(DN$5&lt;=$F70,DN$5+GanttPeriod-1&gt;=$E70),"━","")))</f>
        <v/>
      </c>
      <c r="DO70" s="69" t="str">
        <f aca="false">IF($E70="","",IF($M70,IF(AND($G70&gt;=DO$5,$G70&lt;DO$5+GanttPeriod),"◆",IF(AND($E70&gt;=DO$5,$E70&lt;DO$5+GanttPeriod),"◇","")),IF(AND(DO$5&lt;=$F70,DO$5+GanttPeriod-1&gt;=$E70),"━","")))</f>
        <v/>
      </c>
      <c r="DP70" s="69" t="str">
        <f aca="false">IF($E70="","",IF($M70,IF(AND($G70&gt;=DP$5,$G70&lt;DP$5+GanttPeriod),"◆",IF(AND($E70&gt;=DP$5,$E70&lt;DP$5+GanttPeriod),"◇","")),IF(AND(DP$5&lt;=$F70,DP$5+GanttPeriod-1&gt;=$E70),"━","")))</f>
        <v/>
      </c>
      <c r="DQ70" s="69" t="str">
        <f aca="false">IF($E70="","",IF($M70,IF(AND($G70&gt;=DQ$5,$G70&lt;DQ$5+GanttPeriod),"◆",IF(AND($E70&gt;=DQ$5,$E70&lt;DQ$5+GanttPeriod),"◇","")),IF(AND(DQ$5&lt;=$F70,DQ$5+GanttPeriod-1&gt;=$E70),"━","")))</f>
        <v/>
      </c>
      <c r="DR70" s="69" t="str">
        <f aca="false">IF($E70="","",IF($M70,IF(AND($G70&gt;=DR$5,$G70&lt;DR$5+GanttPeriod),"◆",IF(AND($E70&gt;=DR$5,$E70&lt;DR$5+GanttPeriod),"◇","")),IF(AND(DR$5&lt;=$F70,DR$5+GanttPeriod-1&gt;=$E70),"━","")))</f>
        <v/>
      </c>
      <c r="DS70" s="69" t="str">
        <f aca="false">IF($E70="","",IF($M70,IF(AND($G70&gt;=DS$5,$G70&lt;DS$5+GanttPeriod),"◆",IF(AND($E70&gt;=DS$5,$E70&lt;DS$5+GanttPeriod),"◇","")),IF(AND(DS$5&lt;=$F70,DS$5+GanttPeriod-1&gt;=$E70),"━","")))</f>
        <v/>
      </c>
      <c r="DT70" s="69" t="str">
        <f aca="false">IF($E70="","",IF($M70,IF(AND($G70&gt;=DT$5,$G70&lt;DT$5+GanttPeriod),"◆",IF(AND($E70&gt;=DT$5,$E70&lt;DT$5+GanttPeriod),"◇","")),IF(AND(DT$5&lt;=$F70,DT$5+GanttPeriod-1&gt;=$E70),"━","")))</f>
        <v/>
      </c>
      <c r="DU70" s="69" t="str">
        <f aca="false">IF($E70="","",IF($M70,IF(AND($G70&gt;=DU$5,$G70&lt;DU$5+GanttPeriod),"◆",IF(AND($E70&gt;=DU$5,$E70&lt;DU$5+GanttPeriod),"◇","")),IF(AND(DU$5&lt;=$F70,DU$5+GanttPeriod-1&gt;=$E70),"━","")))</f>
        <v/>
      </c>
      <c r="DV70" s="69" t="str">
        <f aca="false">IF($E70="","",IF($M70,IF(AND($G70&gt;=DV$5,$G70&lt;DV$5+GanttPeriod),"◆",IF(AND($E70&gt;=DV$5,$E70&lt;DV$5+GanttPeriod),"◇","")),IF(AND(DV$5&lt;=$F70,DV$5+GanttPeriod-1&gt;=$E70),"━","")))</f>
        <v/>
      </c>
      <c r="DW70" s="69" t="str">
        <f aca="false">IF($E70="","",IF($M70,IF(AND($G70&gt;=DW$5,$G70&lt;DW$5+GanttPeriod),"◆",IF(AND($E70&gt;=DW$5,$E70&lt;DW$5+GanttPeriod),"◇","")),IF(AND(DW$5&lt;=$F70,DW$5+GanttPeriod-1&gt;=$E70),"━","")))</f>
        <v/>
      </c>
      <c r="DX70" s="69" t="str">
        <f aca="false">IF($E70="","",IF($M70,IF(AND($G70&gt;=DX$5,$G70&lt;DX$5+GanttPeriod),"◆",IF(AND($E70&gt;=DX$5,$E70&lt;DX$5+GanttPeriod),"◇","")),IF(AND(DX$5&lt;=$F70,DX$5+GanttPeriod-1&gt;=$E70),"━","")))</f>
        <v/>
      </c>
      <c r="DY70" s="69" t="str">
        <f aca="false">IF($E70="","",IF($M70,IF(AND($G70&gt;=DY$5,$G70&lt;DY$5+GanttPeriod),"◆",IF(AND($E70&gt;=DY$5,$E70&lt;DY$5+GanttPeriod),"◇","")),IF(AND(DY$5&lt;=$F70,DY$5+GanttPeriod-1&gt;=$E70),"━","")))</f>
        <v/>
      </c>
      <c r="DZ70" s="69" t="str">
        <f aca="false">IF($E70="","",IF($M70,IF(AND($G70&gt;=DZ$5,$G70&lt;DZ$5+GanttPeriod),"◆",IF(AND($E70&gt;=DZ$5,$E70&lt;DZ$5+GanttPeriod),"◇","")),IF(AND(DZ$5&lt;=$F70,DZ$5+GanttPeriod-1&gt;=$E70),"━","")))</f>
        <v/>
      </c>
      <c r="EA70" s="69" t="str">
        <f aca="false">IF($E70="","",IF($M70,IF(AND($G70&gt;=EA$5,$G70&lt;EA$5+GanttPeriod),"◆",IF(AND($E70&gt;=EA$5,$E70&lt;EA$5+GanttPeriod),"◇","")),IF(AND(EA$5&lt;=$F70,EA$5+GanttPeriod-1&gt;=$E70),"━","")))</f>
        <v/>
      </c>
      <c r="EB70" s="69" t="str">
        <f aca="false">IF($E70="","",IF($M70,IF(AND($G70&gt;=EB$5,$G70&lt;EB$5+GanttPeriod),"◆",IF(AND($E70&gt;=EB$5,$E70&lt;EB$5+GanttPeriod),"◇","")),IF(AND(EB$5&lt;=$F70,EB$5+GanttPeriod-1&gt;=$E70),"━","")))</f>
        <v/>
      </c>
      <c r="EC70" s="69" t="str">
        <f aca="false">IF($E70="","",IF($M70,IF(AND($G70&gt;=EC$5,$G70&lt;EC$5+GanttPeriod),"◆",IF(AND($E70&gt;=EC$5,$E70&lt;EC$5+GanttPeriod),"◇","")),IF(AND(EC$5&lt;=$F70,EC$5+GanttPeriod-1&gt;=$E70),"━","")))</f>
        <v/>
      </c>
      <c r="ED70" s="69" t="str">
        <f aca="false">IF($E70="","",IF($M70,IF(AND($G70&gt;=ED$5,$G70&lt;ED$5+GanttPeriod),"◆",IF(AND($E70&gt;=ED$5,$E70&lt;ED$5+GanttPeriod),"◇","")),IF(AND(ED$5&lt;=$F70,ED$5+GanttPeriod-1&gt;=$E70),"━","")))</f>
        <v/>
      </c>
      <c r="EE70" s="69" t="str">
        <f aca="false">IF($E70="","",IF($M70,IF(AND($G70&gt;=EE$5,$G70&lt;EE$5+GanttPeriod),"◆",IF(AND($E70&gt;=EE$5,$E70&lt;EE$5+GanttPeriod),"◇","")),IF(AND(EE$5&lt;=$F70,EE$5+GanttPeriod-1&gt;=$E70),"━","")))</f>
        <v/>
      </c>
      <c r="EF70" s="69" t="str">
        <f aca="false">IF($E70="","",IF($M70,IF(AND($G70&gt;=EF$5,$G70&lt;EF$5+GanttPeriod),"◆",IF(AND($E70&gt;=EF$5,$E70&lt;EF$5+GanttPeriod),"◇","")),IF(AND(EF$5&lt;=$F70,EF$5+GanttPeriod-1&gt;=$E70),"━","")))</f>
        <v/>
      </c>
      <c r="EG70" s="69" t="str">
        <f aca="false">IF($E70="","",IF($M70,IF(AND($G70&gt;=EG$5,$G70&lt;EG$5+GanttPeriod),"◆",IF(AND($E70&gt;=EG$5,$E70&lt;EG$5+GanttPeriod),"◇","")),IF(AND(EG$5&lt;=$F70,EG$5+GanttPeriod-1&gt;=$E70),"━","")))</f>
        <v/>
      </c>
      <c r="EH70" s="69" t="str">
        <f aca="false">IF($E70="","",IF($M70,IF(AND($G70&gt;=EH$5,$G70&lt;EH$5+GanttPeriod),"◆",IF(AND($E70&gt;=EH$5,$E70&lt;EH$5+GanttPeriod),"◇","")),IF(AND(EH$5&lt;=$F70,EH$5+GanttPeriod-1&gt;=$E70),"━","")))</f>
        <v/>
      </c>
      <c r="EI70" s="69" t="str">
        <f aca="false">IF($E70="","",IF($M70,IF(AND($G70&gt;=EI$5,$G70&lt;EI$5+GanttPeriod),"◆",IF(AND($E70&gt;=EI$5,$E70&lt;EI$5+GanttPeriod),"◇","")),IF(AND(EI$5&lt;=$F70,EI$5+GanttPeriod-1&gt;=$E70),"━","")))</f>
        <v/>
      </c>
      <c r="EJ70" s="69" t="str">
        <f aca="false">IF($E70="","",IF($M70,IF(AND($G70&gt;=EJ$5,$G70&lt;EJ$5+GanttPeriod),"◆",IF(AND($E70&gt;=EJ$5,$E70&lt;EJ$5+GanttPeriod),"◇","")),IF(AND(EJ$5&lt;=$F70,EJ$5+GanttPeriod-1&gt;=$E70),"━","")))</f>
        <v/>
      </c>
      <c r="EK70" s="69" t="str">
        <f aca="false">IF($E70="","",IF($M70,IF(AND($G70&gt;=EK$5,$G70&lt;EK$5+GanttPeriod),"◆",IF(AND($E70&gt;=EK$5,$E70&lt;EK$5+GanttPeriod),"◇","")),IF(AND(EK$5&lt;=$F70,EK$5+GanttPeriod-1&gt;=$E70),"━","")))</f>
        <v/>
      </c>
      <c r="EL70" s="69" t="str">
        <f aca="false">IF($E70="","",IF($M70,IF(AND($G70&gt;=EL$5,$G70&lt;EL$5+GanttPeriod),"◆",IF(AND($E70&gt;=EL$5,$E70&lt;EL$5+GanttPeriod),"◇","")),IF(AND(EL$5&lt;=$F70,EL$5+GanttPeriod-1&gt;=$E70),"━","")))</f>
        <v/>
      </c>
      <c r="EM70" s="69" t="str">
        <f aca="false">IF($E70="","",IF($M70,IF(AND($G70&gt;=EM$5,$G70&lt;EM$5+GanttPeriod),"◆",IF(AND($E70&gt;=EM$5,$E70&lt;EM$5+GanttPeriod),"◇","")),IF(AND(EM$5&lt;=$F70,EM$5+GanttPeriod-1&gt;=$E70),"━","")))</f>
        <v/>
      </c>
      <c r="EN70" s="69" t="str">
        <f aca="false">IF($E70="","",IF($M70,IF(AND($G70&gt;=EN$5,$G70&lt;EN$5+GanttPeriod),"◆",IF(AND($E70&gt;=EN$5,$E70&lt;EN$5+GanttPeriod),"◇","")),IF(AND(EN$5&lt;=$F70,EN$5+GanttPeriod-1&gt;=$E70),"━","")))</f>
        <v/>
      </c>
      <c r="EO70" s="69" t="str">
        <f aca="false">IF($E70="","",IF($M70,IF(AND($G70&gt;=EO$5,$G70&lt;EO$5+GanttPeriod),"◆",IF(AND($E70&gt;=EO$5,$E70&lt;EO$5+GanttPeriod),"◇","")),IF(AND(EO$5&lt;=$F70,EO$5+GanttPeriod-1&gt;=$E70),"━","")))</f>
        <v/>
      </c>
      <c r="EP70" s="69" t="str">
        <f aca="false">IF($E70="","",IF($M70,IF(AND($G70&gt;=EP$5,$G70&lt;EP$5+GanttPeriod),"◆",IF(AND($E70&gt;=EP$5,$E70&lt;EP$5+GanttPeriod),"◇","")),IF(AND(EP$5&lt;=$F70,EP$5+GanttPeriod-1&gt;=$E70),"━","")))</f>
        <v/>
      </c>
      <c r="EQ70" s="69" t="str">
        <f aca="false">IF($E70="","",IF($M70,IF(AND($G70&gt;=EQ$5,$G70&lt;EQ$5+GanttPeriod),"◆",IF(AND($E70&gt;=EQ$5,$E70&lt;EQ$5+GanttPeriod),"◇","")),IF(AND(EQ$5&lt;=$F70,EQ$5+GanttPeriod-1&gt;=$E70),"━","")))</f>
        <v/>
      </c>
      <c r="ER70" s="69" t="str">
        <f aca="false">IF($E70="","",IF($M70,IF(AND($G70&gt;=ER$5,$G70&lt;ER$5+GanttPeriod),"◆",IF(AND($E70&gt;=ER$5,$E70&lt;ER$5+GanttPeriod),"◇","")),IF(AND(ER$5&lt;=$F70,ER$5+GanttPeriod-1&gt;=$E70),"━","")))</f>
        <v/>
      </c>
      <c r="ES70" s="69" t="str">
        <f aca="false">IF($E70="","",IF($M70,IF(AND($G70&gt;=ES$5,$G70&lt;ES$5+GanttPeriod),"◆",IF(AND($E70&gt;=ES$5,$E70&lt;ES$5+GanttPeriod),"◇","")),IF(AND(ES$5&lt;=$F70,ES$5+GanttPeriod-1&gt;=$E70),"━","")))</f>
        <v/>
      </c>
      <c r="ET70" s="69" t="str">
        <f aca="false">IF($E70="","",IF($M70,IF(AND($G70&gt;=ET$5,$G70&lt;ET$5+GanttPeriod),"◆",IF(AND($E70&gt;=ET$5,$E70&lt;ET$5+GanttPeriod),"◇","")),IF(AND(ET$5&lt;=$F70,ET$5+GanttPeriod-1&gt;=$E70),"━","")))</f>
        <v/>
      </c>
      <c r="EU70" s="69" t="str">
        <f aca="false">IF($E70="","",IF($M70,IF(AND($G70&gt;=EU$5,$G70&lt;EU$5+GanttPeriod),"◆",IF(AND($E70&gt;=EU$5,$E70&lt;EU$5+GanttPeriod),"◇","")),IF(AND(EU$5&lt;=$F70,EU$5+GanttPeriod-1&gt;=$E70),"━","")))</f>
        <v/>
      </c>
      <c r="EV70" s="69" t="str">
        <f aca="false">IF($E70="","",IF($M70,IF(AND($G70&gt;=EV$5,$G70&lt;EV$5+GanttPeriod),"◆",IF(AND($E70&gt;=EV$5,$E70&lt;EV$5+GanttPeriod),"◇","")),IF(AND(EV$5&lt;=$F70,EV$5+GanttPeriod-1&gt;=$E70),"━","")))</f>
        <v/>
      </c>
      <c r="EW70" s="69" t="str">
        <f aca="false">IF($E70="","",IF($M70,IF(AND($G70&gt;=EW$5,$G70&lt;EW$5+GanttPeriod),"◆",IF(AND($E70&gt;=EW$5,$E70&lt;EW$5+GanttPeriod),"◇","")),IF(AND(EW$5&lt;=$F70,EW$5+GanttPeriod-1&gt;=$E70),"━","")))</f>
        <v/>
      </c>
      <c r="EX70" s="69" t="str">
        <f aca="false">IF($E70="","",IF($M70,IF(AND($G70&gt;=EX$5,$G70&lt;EX$5+GanttPeriod),"◆",IF(AND($E70&gt;=EX$5,$E70&lt;EX$5+GanttPeriod),"◇","")),IF(AND(EX$5&lt;=$F70,EX$5+GanttPeriod-1&gt;=$E70),"━","")))</f>
        <v/>
      </c>
      <c r="EY70" s="69" t="str">
        <f aca="false">IF($E70="","",IF($M70,IF(AND($G70&gt;=EY$5,$G70&lt;EY$5+GanttPeriod),"◆",IF(AND($E70&gt;=EY$5,$E70&lt;EY$5+GanttPeriod),"◇","")),IF(AND(EY$5&lt;=$F70,EY$5+GanttPeriod-1&gt;=$E70),"━","")))</f>
        <v/>
      </c>
      <c r="EZ70" s="69" t="str">
        <f aca="false">IF($E70="","",IF($M70,IF(AND($G70&gt;=EZ$5,$G70&lt;EZ$5+GanttPeriod),"◆",IF(AND($E70&gt;=EZ$5,$E70&lt;EZ$5+GanttPeriod),"◇","")),IF(AND(EZ$5&lt;=$F70,EZ$5+GanttPeriod-1&gt;=$E70),"━","")))</f>
        <v/>
      </c>
      <c r="FA70" s="69" t="str">
        <f aca="false">IF($E70="","",IF($M70,IF(AND($G70&gt;=FA$5,$G70&lt;FA$5+GanttPeriod),"◆",IF(AND($E70&gt;=FA$5,$E70&lt;FA$5+GanttPeriod),"◇","")),IF(AND(FA$5&lt;=$F70,FA$5+GanttPeriod-1&gt;=$E70),"━","")))</f>
        <v/>
      </c>
      <c r="FB70" s="69" t="str">
        <f aca="false">IF($E70="","",IF($M70,IF(AND($G70&gt;=FB$5,$G70&lt;FB$5+GanttPeriod),"◆",IF(AND($E70&gt;=FB$5,$E70&lt;FB$5+GanttPeriod),"◇","")),IF(AND(FB$5&lt;=$F70,FB$5+GanttPeriod-1&gt;=$E70),"━","")))</f>
        <v/>
      </c>
      <c r="FC70" s="69" t="str">
        <f aca="false">IF($E70="","",IF($M70,IF(AND($G70&gt;=FC$5,$G70&lt;FC$5+GanttPeriod),"◆",IF(AND($E70&gt;=FC$5,$E70&lt;FC$5+GanttPeriod),"◇","")),IF(AND(FC$5&lt;=$F70,FC$5+GanttPeriod-1&gt;=$E70),"━","")))</f>
        <v/>
      </c>
      <c r="FD70" s="69" t="str">
        <f aca="false">IF($E70="","",IF($M70,IF(AND($G70&gt;=FD$5,$G70&lt;FD$5+GanttPeriod),"◆",IF(AND($E70&gt;=FD$5,$E70&lt;FD$5+GanttPeriod),"◇","")),IF(AND(FD$5&lt;=$F70,FD$5+GanttPeriod-1&gt;=$E70),"━","")))</f>
        <v/>
      </c>
      <c r="FE70" s="69" t="str">
        <f aca="false">IF($E70="","",IF($M70,IF(AND($G70&gt;=FE$5,$G70&lt;FE$5+GanttPeriod),"◆",IF(AND($E70&gt;=FE$5,$E70&lt;FE$5+GanttPeriod),"◇","")),IF(AND(FE$5&lt;=$F70,FE$5+GanttPeriod-1&gt;=$E70),"━","")))</f>
        <v/>
      </c>
      <c r="FF70" s="69" t="str">
        <f aca="false">IF($E70="","",IF($M70,IF(AND($G70&gt;=FF$5,$G70&lt;FF$5+GanttPeriod),"◆",IF(AND($E70&gt;=FF$5,$E70&lt;FF$5+GanttPeriod),"◇","")),IF(AND(FF$5&lt;=$F70,FF$5+GanttPeriod-1&gt;=$E70),"━","")))</f>
        <v/>
      </c>
      <c r="FG70" s="69" t="str">
        <f aca="false">IF($E70="","",IF($M70,IF(AND($G70&gt;=FG$5,$G70&lt;FG$5+GanttPeriod),"◆",IF(AND($E70&gt;=FG$5,$E70&lt;FG$5+GanttPeriod),"◇","")),IF(AND(FG$5&lt;=$F70,FG$5+GanttPeriod-1&gt;=$E70),"━","")))</f>
        <v/>
      </c>
      <c r="FH70" s="69" t="str">
        <f aca="false">IF($E70="","",IF($M70,IF(AND($G70&gt;=FH$5,$G70&lt;FH$5+GanttPeriod),"◆",IF(AND($E70&gt;=FH$5,$E70&lt;FH$5+GanttPeriod),"◇","")),IF(AND(FH$5&lt;=$F70,FH$5+GanttPeriod-1&gt;=$E70),"━","")))</f>
        <v/>
      </c>
      <c r="FI70" s="69" t="str">
        <f aca="false">IF($E70="","",IF($M70,IF(AND($G70&gt;=FI$5,$G70&lt;FI$5+GanttPeriod),"◆",IF(AND($E70&gt;=FI$5,$E70&lt;FI$5+GanttPeriod),"◇","")),IF(AND(FI$5&lt;=$F70,FI$5+GanttPeriod-1&gt;=$E70),"━","")))</f>
        <v/>
      </c>
      <c r="FJ70" s="69" t="str">
        <f aca="false">IF($E70="","",IF($M70,IF(AND($G70&gt;=FJ$5,$G70&lt;FJ$5+GanttPeriod),"◆",IF(AND($E70&gt;=FJ$5,$E70&lt;FJ$5+GanttPeriod),"◇","")),IF(AND(FJ$5&lt;=$F70,FJ$5+GanttPeriod-1&gt;=$E70),"━","")))</f>
        <v/>
      </c>
      <c r="FK70" s="69" t="str">
        <f aca="false">IF($E70="","",IF($M70,IF(AND($G70&gt;=FK$5,$G70&lt;FK$5+GanttPeriod),"◆",IF(AND($E70&gt;=FK$5,$E70&lt;FK$5+GanttPeriod),"◇","")),IF(AND(FK$5&lt;=$F70,FK$5+GanttPeriod-1&gt;=$E70),"━","")))</f>
        <v/>
      </c>
      <c r="FL70" s="69" t="str">
        <f aca="false">IF($E70="","",IF($M70,IF(AND($G70&gt;=FL$5,$G70&lt;FL$5+GanttPeriod),"◆",IF(AND($E70&gt;=FL$5,$E70&lt;FL$5+GanttPeriod),"◇","")),IF(AND(FL$5&lt;=$F70,FL$5+GanttPeriod-1&gt;=$E70),"━","")))</f>
        <v/>
      </c>
      <c r="FM70" s="69" t="str">
        <f aca="false">IF($E70="","",IF($M70,IF(AND($G70&gt;=FM$5,$G70&lt;FM$5+GanttPeriod),"◆",IF(AND($E70&gt;=FM$5,$E70&lt;FM$5+GanttPeriod),"◇","")),IF(AND(FM$5&lt;=$F70,FM$5+GanttPeriod-1&gt;=$E70),"━","")))</f>
        <v/>
      </c>
    </row>
    <row r="71" customFormat="false" ht="15" hidden="false" customHeight="false" outlineLevel="0" collapsed="false">
      <c r="A71" s="62" t="str">
        <f aca="false">IF(Tasks!$D71="","",Tasks!$A71)</f>
        <v/>
      </c>
      <c r="B71" s="62" t="str">
        <f aca="false">IF(Tasks!$D71="","",Tasks!$B71)</f>
        <v/>
      </c>
      <c r="C71" s="63" t="str">
        <f aca="false">IF(Tasks!$D71="","",REPT("    ",Tasks!$AE71-1)&amp;Tasks!$D71)</f>
        <v/>
      </c>
      <c r="D71" s="62" t="str">
        <f aca="false">IF(Tasks!$D71="","",IF(Tasks!$AI71,NETWORKDAYS.INTL(Tasks!$R71,Tasks!$S71,WorkWeek,Holidays),N(Tasks!$F71)))</f>
        <v/>
      </c>
      <c r="E71" s="64" t="str">
        <f aca="false">IF(Tasks!$D71="","",Tasks!$N71)</f>
        <v/>
      </c>
      <c r="F71" s="64" t="str">
        <f aca="false">IF(Tasks!$D71="","",Tasks!$O71)</f>
        <v/>
      </c>
      <c r="G71" s="64" t="str">
        <f aca="false">IF(Tasks!$D71="","",Tasks!$R71)</f>
        <v/>
      </c>
      <c r="H71" s="64" t="str">
        <f aca="false">IF(Tasks!$D71="","",Tasks!$S71)</f>
        <v/>
      </c>
      <c r="I71" s="65" t="str">
        <f aca="false">IF(Tasks!$D71="","",Tasks!$V71)</f>
        <v/>
      </c>
      <c r="J71" s="63" t="str">
        <f aca="false">IF(Tasks!$D71="","",Tasks!$X71&amp;"")</f>
        <v/>
      </c>
      <c r="K71" s="66" t="str">
        <f aca="false">IF(Tasks!$D71="","",Tasks!$W71)</f>
        <v/>
      </c>
      <c r="L71" s="67" t="b">
        <f aca="false">IF(Tasks!$D71="",FALSE(),Tasks!$AI71)</f>
        <v>0</v>
      </c>
      <c r="M71" s="67" t="b">
        <f aca="false">AND(Tasks!$AJ71=1,N(Tasks!$F71)=0)</f>
        <v>0</v>
      </c>
      <c r="N71" s="68" t="n">
        <f aca="false">IF(AND(Tasks!$AJ71=1,NOT($M71),N($I71)&gt;0),$G71,0)</f>
        <v>0</v>
      </c>
      <c r="O71" s="68" t="n">
        <f aca="false">IF($N71=0,0,IF($I71&gt;=1,$H71,MAX($N71,$G71+ROUND(($H71-$G71+1)*$I71,0)-1)))</f>
        <v>0</v>
      </c>
      <c r="P71" s="68" t="n">
        <f aca="false">IF(OR(Tasks!$AJ71&lt;&gt;1,$M71,N($I71)&gt;=1),0,IF($O71&gt;0,$O71+1,$G71))</f>
        <v>0</v>
      </c>
      <c r="Q71" s="68" t="n">
        <f aca="false">IF($P71=0,0,$H71)</f>
        <v>0</v>
      </c>
      <c r="R71" s="67" t="b">
        <f aca="false">AND(Tasks!$D71&lt;&gt;"",N(Tasks!$T71)&gt;0)</f>
        <v>0</v>
      </c>
      <c r="T71" s="69" t="str">
        <f aca="false">IF($E71="","",IF($M71,IF(AND($G71&gt;=T$5,$G71&lt;T$5+GanttPeriod),"◆",IF(AND($E71&gt;=T$5,$E71&lt;T$5+GanttPeriod),"◇","")),IF(AND(T$5&lt;=$F71,T$5+GanttPeriod-1&gt;=$E71),"━","")))</f>
        <v/>
      </c>
      <c r="U71" s="69" t="str">
        <f aca="false">IF($E71="","",IF($M71,IF(AND($G71&gt;=U$5,$G71&lt;U$5+GanttPeriod),"◆",IF(AND($E71&gt;=U$5,$E71&lt;U$5+GanttPeriod),"◇","")),IF(AND(U$5&lt;=$F71,U$5+GanttPeriod-1&gt;=$E71),"━","")))</f>
        <v/>
      </c>
      <c r="V71" s="69" t="str">
        <f aca="false">IF($E71="","",IF($M71,IF(AND($G71&gt;=V$5,$G71&lt;V$5+GanttPeriod),"◆",IF(AND($E71&gt;=V$5,$E71&lt;V$5+GanttPeriod),"◇","")),IF(AND(V$5&lt;=$F71,V$5+GanttPeriod-1&gt;=$E71),"━","")))</f>
        <v/>
      </c>
      <c r="W71" s="69" t="str">
        <f aca="false">IF($E71="","",IF($M71,IF(AND($G71&gt;=W$5,$G71&lt;W$5+GanttPeriod),"◆",IF(AND($E71&gt;=W$5,$E71&lt;W$5+GanttPeriod),"◇","")),IF(AND(W$5&lt;=$F71,W$5+GanttPeriod-1&gt;=$E71),"━","")))</f>
        <v/>
      </c>
      <c r="X71" s="69" t="str">
        <f aca="false">IF($E71="","",IF($M71,IF(AND($G71&gt;=X$5,$G71&lt;X$5+GanttPeriod),"◆",IF(AND($E71&gt;=X$5,$E71&lt;X$5+GanttPeriod),"◇","")),IF(AND(X$5&lt;=$F71,X$5+GanttPeriod-1&gt;=$E71),"━","")))</f>
        <v/>
      </c>
      <c r="Y71" s="69" t="str">
        <f aca="false">IF($E71="","",IF($M71,IF(AND($G71&gt;=Y$5,$G71&lt;Y$5+GanttPeriod),"◆",IF(AND($E71&gt;=Y$5,$E71&lt;Y$5+GanttPeriod),"◇","")),IF(AND(Y$5&lt;=$F71,Y$5+GanttPeriod-1&gt;=$E71),"━","")))</f>
        <v/>
      </c>
      <c r="Z71" s="69" t="str">
        <f aca="false">IF($E71="","",IF($M71,IF(AND($G71&gt;=Z$5,$G71&lt;Z$5+GanttPeriod),"◆",IF(AND($E71&gt;=Z$5,$E71&lt;Z$5+GanttPeriod),"◇","")),IF(AND(Z$5&lt;=$F71,Z$5+GanttPeriod-1&gt;=$E71),"━","")))</f>
        <v/>
      </c>
      <c r="AA71" s="69" t="str">
        <f aca="false">IF($E71="","",IF($M71,IF(AND($G71&gt;=AA$5,$G71&lt;AA$5+GanttPeriod),"◆",IF(AND($E71&gt;=AA$5,$E71&lt;AA$5+GanttPeriod),"◇","")),IF(AND(AA$5&lt;=$F71,AA$5+GanttPeriod-1&gt;=$E71),"━","")))</f>
        <v/>
      </c>
      <c r="AB71" s="69" t="str">
        <f aca="false">IF($E71="","",IF($M71,IF(AND($G71&gt;=AB$5,$G71&lt;AB$5+GanttPeriod),"◆",IF(AND($E71&gt;=AB$5,$E71&lt;AB$5+GanttPeriod),"◇","")),IF(AND(AB$5&lt;=$F71,AB$5+GanttPeriod-1&gt;=$E71),"━","")))</f>
        <v/>
      </c>
      <c r="AC71" s="69" t="str">
        <f aca="false">IF($E71="","",IF($M71,IF(AND($G71&gt;=AC$5,$G71&lt;AC$5+GanttPeriod),"◆",IF(AND($E71&gt;=AC$5,$E71&lt;AC$5+GanttPeriod),"◇","")),IF(AND(AC$5&lt;=$F71,AC$5+GanttPeriod-1&gt;=$E71),"━","")))</f>
        <v/>
      </c>
      <c r="AD71" s="69" t="str">
        <f aca="false">IF($E71="","",IF($M71,IF(AND($G71&gt;=AD$5,$G71&lt;AD$5+GanttPeriod),"◆",IF(AND($E71&gt;=AD$5,$E71&lt;AD$5+GanttPeriod),"◇","")),IF(AND(AD$5&lt;=$F71,AD$5+GanttPeriod-1&gt;=$E71),"━","")))</f>
        <v/>
      </c>
      <c r="AE71" s="69" t="str">
        <f aca="false">IF($E71="","",IF($M71,IF(AND($G71&gt;=AE$5,$G71&lt;AE$5+GanttPeriod),"◆",IF(AND($E71&gt;=AE$5,$E71&lt;AE$5+GanttPeriod),"◇","")),IF(AND(AE$5&lt;=$F71,AE$5+GanttPeriod-1&gt;=$E71),"━","")))</f>
        <v/>
      </c>
      <c r="AF71" s="69" t="str">
        <f aca="false">IF($E71="","",IF($M71,IF(AND($G71&gt;=AF$5,$G71&lt;AF$5+GanttPeriod),"◆",IF(AND($E71&gt;=AF$5,$E71&lt;AF$5+GanttPeriod),"◇","")),IF(AND(AF$5&lt;=$F71,AF$5+GanttPeriod-1&gt;=$E71),"━","")))</f>
        <v/>
      </c>
      <c r="AG71" s="69" t="str">
        <f aca="false">IF($E71="","",IF($M71,IF(AND($G71&gt;=AG$5,$G71&lt;AG$5+GanttPeriod),"◆",IF(AND($E71&gt;=AG$5,$E71&lt;AG$5+GanttPeriod),"◇","")),IF(AND(AG$5&lt;=$F71,AG$5+GanttPeriod-1&gt;=$E71),"━","")))</f>
        <v/>
      </c>
      <c r="AH71" s="69" t="str">
        <f aca="false">IF($E71="","",IF($M71,IF(AND($G71&gt;=AH$5,$G71&lt;AH$5+GanttPeriod),"◆",IF(AND($E71&gt;=AH$5,$E71&lt;AH$5+GanttPeriod),"◇","")),IF(AND(AH$5&lt;=$F71,AH$5+GanttPeriod-1&gt;=$E71),"━","")))</f>
        <v/>
      </c>
      <c r="AI71" s="69" t="str">
        <f aca="false">IF($E71="","",IF($M71,IF(AND($G71&gt;=AI$5,$G71&lt;AI$5+GanttPeriod),"◆",IF(AND($E71&gt;=AI$5,$E71&lt;AI$5+GanttPeriod),"◇","")),IF(AND(AI$5&lt;=$F71,AI$5+GanttPeriod-1&gt;=$E71),"━","")))</f>
        <v/>
      </c>
      <c r="AJ71" s="69" t="str">
        <f aca="false">IF($E71="","",IF($M71,IF(AND($G71&gt;=AJ$5,$G71&lt;AJ$5+GanttPeriod),"◆",IF(AND($E71&gt;=AJ$5,$E71&lt;AJ$5+GanttPeriod),"◇","")),IF(AND(AJ$5&lt;=$F71,AJ$5+GanttPeriod-1&gt;=$E71),"━","")))</f>
        <v/>
      </c>
      <c r="AK71" s="69" t="str">
        <f aca="false">IF($E71="","",IF($M71,IF(AND($G71&gt;=AK$5,$G71&lt;AK$5+GanttPeriod),"◆",IF(AND($E71&gt;=AK$5,$E71&lt;AK$5+GanttPeriod),"◇","")),IF(AND(AK$5&lt;=$F71,AK$5+GanttPeriod-1&gt;=$E71),"━","")))</f>
        <v/>
      </c>
      <c r="AL71" s="69" t="str">
        <f aca="false">IF($E71="","",IF($M71,IF(AND($G71&gt;=AL$5,$G71&lt;AL$5+GanttPeriod),"◆",IF(AND($E71&gt;=AL$5,$E71&lt;AL$5+GanttPeriod),"◇","")),IF(AND(AL$5&lt;=$F71,AL$5+GanttPeriod-1&gt;=$E71),"━","")))</f>
        <v/>
      </c>
      <c r="AM71" s="69" t="str">
        <f aca="false">IF($E71="","",IF($M71,IF(AND($G71&gt;=AM$5,$G71&lt;AM$5+GanttPeriod),"◆",IF(AND($E71&gt;=AM$5,$E71&lt;AM$5+GanttPeriod),"◇","")),IF(AND(AM$5&lt;=$F71,AM$5+GanttPeriod-1&gt;=$E71),"━","")))</f>
        <v/>
      </c>
      <c r="AN71" s="69" t="str">
        <f aca="false">IF($E71="","",IF($M71,IF(AND($G71&gt;=AN$5,$G71&lt;AN$5+GanttPeriod),"◆",IF(AND($E71&gt;=AN$5,$E71&lt;AN$5+GanttPeriod),"◇","")),IF(AND(AN$5&lt;=$F71,AN$5+GanttPeriod-1&gt;=$E71),"━","")))</f>
        <v/>
      </c>
      <c r="AO71" s="69" t="str">
        <f aca="false">IF($E71="","",IF($M71,IF(AND($G71&gt;=AO$5,$G71&lt;AO$5+GanttPeriod),"◆",IF(AND($E71&gt;=AO$5,$E71&lt;AO$5+GanttPeriod),"◇","")),IF(AND(AO$5&lt;=$F71,AO$5+GanttPeriod-1&gt;=$E71),"━","")))</f>
        <v/>
      </c>
      <c r="AP71" s="69" t="str">
        <f aca="false">IF($E71="","",IF($M71,IF(AND($G71&gt;=AP$5,$G71&lt;AP$5+GanttPeriod),"◆",IF(AND($E71&gt;=AP$5,$E71&lt;AP$5+GanttPeriod),"◇","")),IF(AND(AP$5&lt;=$F71,AP$5+GanttPeriod-1&gt;=$E71),"━","")))</f>
        <v/>
      </c>
      <c r="AQ71" s="69" t="str">
        <f aca="false">IF($E71="","",IF($M71,IF(AND($G71&gt;=AQ$5,$G71&lt;AQ$5+GanttPeriod),"◆",IF(AND($E71&gt;=AQ$5,$E71&lt;AQ$5+GanttPeriod),"◇","")),IF(AND(AQ$5&lt;=$F71,AQ$5+GanttPeriod-1&gt;=$E71),"━","")))</f>
        <v/>
      </c>
      <c r="AR71" s="69" t="str">
        <f aca="false">IF($E71="","",IF($M71,IF(AND($G71&gt;=AR$5,$G71&lt;AR$5+GanttPeriod),"◆",IF(AND($E71&gt;=AR$5,$E71&lt;AR$5+GanttPeriod),"◇","")),IF(AND(AR$5&lt;=$F71,AR$5+GanttPeriod-1&gt;=$E71),"━","")))</f>
        <v/>
      </c>
      <c r="AS71" s="69" t="str">
        <f aca="false">IF($E71="","",IF($M71,IF(AND($G71&gt;=AS$5,$G71&lt;AS$5+GanttPeriod),"◆",IF(AND($E71&gt;=AS$5,$E71&lt;AS$5+GanttPeriod),"◇","")),IF(AND(AS$5&lt;=$F71,AS$5+GanttPeriod-1&gt;=$E71),"━","")))</f>
        <v/>
      </c>
      <c r="AT71" s="69" t="str">
        <f aca="false">IF($E71="","",IF($M71,IF(AND($G71&gt;=AT$5,$G71&lt;AT$5+GanttPeriod),"◆",IF(AND($E71&gt;=AT$5,$E71&lt;AT$5+GanttPeriod),"◇","")),IF(AND(AT$5&lt;=$F71,AT$5+GanttPeriod-1&gt;=$E71),"━","")))</f>
        <v/>
      </c>
      <c r="AU71" s="69" t="str">
        <f aca="false">IF($E71="","",IF($M71,IF(AND($G71&gt;=AU$5,$G71&lt;AU$5+GanttPeriod),"◆",IF(AND($E71&gt;=AU$5,$E71&lt;AU$5+GanttPeriod),"◇","")),IF(AND(AU$5&lt;=$F71,AU$5+GanttPeriod-1&gt;=$E71),"━","")))</f>
        <v/>
      </c>
      <c r="AV71" s="69" t="str">
        <f aca="false">IF($E71="","",IF($M71,IF(AND($G71&gt;=AV$5,$G71&lt;AV$5+GanttPeriod),"◆",IF(AND($E71&gt;=AV$5,$E71&lt;AV$5+GanttPeriod),"◇","")),IF(AND(AV$5&lt;=$F71,AV$5+GanttPeriod-1&gt;=$E71),"━","")))</f>
        <v/>
      </c>
      <c r="AW71" s="69" t="str">
        <f aca="false">IF($E71="","",IF($M71,IF(AND($G71&gt;=AW$5,$G71&lt;AW$5+GanttPeriod),"◆",IF(AND($E71&gt;=AW$5,$E71&lt;AW$5+GanttPeriod),"◇","")),IF(AND(AW$5&lt;=$F71,AW$5+GanttPeriod-1&gt;=$E71),"━","")))</f>
        <v/>
      </c>
      <c r="AX71" s="69" t="str">
        <f aca="false">IF($E71="","",IF($M71,IF(AND($G71&gt;=AX$5,$G71&lt;AX$5+GanttPeriod),"◆",IF(AND($E71&gt;=AX$5,$E71&lt;AX$5+GanttPeriod),"◇","")),IF(AND(AX$5&lt;=$F71,AX$5+GanttPeriod-1&gt;=$E71),"━","")))</f>
        <v/>
      </c>
      <c r="AY71" s="69" t="str">
        <f aca="false">IF($E71="","",IF($M71,IF(AND($G71&gt;=AY$5,$G71&lt;AY$5+GanttPeriod),"◆",IF(AND($E71&gt;=AY$5,$E71&lt;AY$5+GanttPeriod),"◇","")),IF(AND(AY$5&lt;=$F71,AY$5+GanttPeriod-1&gt;=$E71),"━","")))</f>
        <v/>
      </c>
      <c r="AZ71" s="69" t="str">
        <f aca="false">IF($E71="","",IF($M71,IF(AND($G71&gt;=AZ$5,$G71&lt;AZ$5+GanttPeriod),"◆",IF(AND($E71&gt;=AZ$5,$E71&lt;AZ$5+GanttPeriod),"◇","")),IF(AND(AZ$5&lt;=$F71,AZ$5+GanttPeriod-1&gt;=$E71),"━","")))</f>
        <v/>
      </c>
      <c r="BA71" s="69" t="str">
        <f aca="false">IF($E71="","",IF($M71,IF(AND($G71&gt;=BA$5,$G71&lt;BA$5+GanttPeriod),"◆",IF(AND($E71&gt;=BA$5,$E71&lt;BA$5+GanttPeriod),"◇","")),IF(AND(BA$5&lt;=$F71,BA$5+GanttPeriod-1&gt;=$E71),"━","")))</f>
        <v/>
      </c>
      <c r="BB71" s="69" t="str">
        <f aca="false">IF($E71="","",IF($M71,IF(AND($G71&gt;=BB$5,$G71&lt;BB$5+GanttPeriod),"◆",IF(AND($E71&gt;=BB$5,$E71&lt;BB$5+GanttPeriod),"◇","")),IF(AND(BB$5&lt;=$F71,BB$5+GanttPeriod-1&gt;=$E71),"━","")))</f>
        <v/>
      </c>
      <c r="BC71" s="69" t="str">
        <f aca="false">IF($E71="","",IF($M71,IF(AND($G71&gt;=BC$5,$G71&lt;BC$5+GanttPeriod),"◆",IF(AND($E71&gt;=BC$5,$E71&lt;BC$5+GanttPeriod),"◇","")),IF(AND(BC$5&lt;=$F71,BC$5+GanttPeriod-1&gt;=$E71),"━","")))</f>
        <v/>
      </c>
      <c r="BD71" s="69" t="str">
        <f aca="false">IF($E71="","",IF($M71,IF(AND($G71&gt;=BD$5,$G71&lt;BD$5+GanttPeriod),"◆",IF(AND($E71&gt;=BD$5,$E71&lt;BD$5+GanttPeriod),"◇","")),IF(AND(BD$5&lt;=$F71,BD$5+GanttPeriod-1&gt;=$E71),"━","")))</f>
        <v/>
      </c>
      <c r="BE71" s="69" t="str">
        <f aca="false">IF($E71="","",IF($M71,IF(AND($G71&gt;=BE$5,$G71&lt;BE$5+GanttPeriod),"◆",IF(AND($E71&gt;=BE$5,$E71&lt;BE$5+GanttPeriod),"◇","")),IF(AND(BE$5&lt;=$F71,BE$5+GanttPeriod-1&gt;=$E71),"━","")))</f>
        <v/>
      </c>
      <c r="BF71" s="69" t="str">
        <f aca="false">IF($E71="","",IF($M71,IF(AND($G71&gt;=BF$5,$G71&lt;BF$5+GanttPeriod),"◆",IF(AND($E71&gt;=BF$5,$E71&lt;BF$5+GanttPeriod),"◇","")),IF(AND(BF$5&lt;=$F71,BF$5+GanttPeriod-1&gt;=$E71),"━","")))</f>
        <v/>
      </c>
      <c r="BG71" s="69" t="str">
        <f aca="false">IF($E71="","",IF($M71,IF(AND($G71&gt;=BG$5,$G71&lt;BG$5+GanttPeriod),"◆",IF(AND($E71&gt;=BG$5,$E71&lt;BG$5+GanttPeriod),"◇","")),IF(AND(BG$5&lt;=$F71,BG$5+GanttPeriod-1&gt;=$E71),"━","")))</f>
        <v/>
      </c>
      <c r="BH71" s="69" t="str">
        <f aca="false">IF($E71="","",IF($M71,IF(AND($G71&gt;=BH$5,$G71&lt;BH$5+GanttPeriod),"◆",IF(AND($E71&gt;=BH$5,$E71&lt;BH$5+GanttPeriod),"◇","")),IF(AND(BH$5&lt;=$F71,BH$5+GanttPeriod-1&gt;=$E71),"━","")))</f>
        <v/>
      </c>
      <c r="BI71" s="69" t="str">
        <f aca="false">IF($E71="","",IF($M71,IF(AND($G71&gt;=BI$5,$G71&lt;BI$5+GanttPeriod),"◆",IF(AND($E71&gt;=BI$5,$E71&lt;BI$5+GanttPeriod),"◇","")),IF(AND(BI$5&lt;=$F71,BI$5+GanttPeriod-1&gt;=$E71),"━","")))</f>
        <v/>
      </c>
      <c r="BJ71" s="69" t="str">
        <f aca="false">IF($E71="","",IF($M71,IF(AND($G71&gt;=BJ$5,$G71&lt;BJ$5+GanttPeriod),"◆",IF(AND($E71&gt;=BJ$5,$E71&lt;BJ$5+GanttPeriod),"◇","")),IF(AND(BJ$5&lt;=$F71,BJ$5+GanttPeriod-1&gt;=$E71),"━","")))</f>
        <v/>
      </c>
      <c r="BK71" s="69" t="str">
        <f aca="false">IF($E71="","",IF($M71,IF(AND($G71&gt;=BK$5,$G71&lt;BK$5+GanttPeriod),"◆",IF(AND($E71&gt;=BK$5,$E71&lt;BK$5+GanttPeriod),"◇","")),IF(AND(BK$5&lt;=$F71,BK$5+GanttPeriod-1&gt;=$E71),"━","")))</f>
        <v/>
      </c>
      <c r="BL71" s="69" t="str">
        <f aca="false">IF($E71="","",IF($M71,IF(AND($G71&gt;=BL$5,$G71&lt;BL$5+GanttPeriod),"◆",IF(AND($E71&gt;=BL$5,$E71&lt;BL$5+GanttPeriod),"◇","")),IF(AND(BL$5&lt;=$F71,BL$5+GanttPeriod-1&gt;=$E71),"━","")))</f>
        <v/>
      </c>
      <c r="BM71" s="69" t="str">
        <f aca="false">IF($E71="","",IF($M71,IF(AND($G71&gt;=BM$5,$G71&lt;BM$5+GanttPeriod),"◆",IF(AND($E71&gt;=BM$5,$E71&lt;BM$5+GanttPeriod),"◇","")),IF(AND(BM$5&lt;=$F71,BM$5+GanttPeriod-1&gt;=$E71),"━","")))</f>
        <v/>
      </c>
      <c r="BN71" s="69" t="str">
        <f aca="false">IF($E71="","",IF($M71,IF(AND($G71&gt;=BN$5,$G71&lt;BN$5+GanttPeriod),"◆",IF(AND($E71&gt;=BN$5,$E71&lt;BN$5+GanttPeriod),"◇","")),IF(AND(BN$5&lt;=$F71,BN$5+GanttPeriod-1&gt;=$E71),"━","")))</f>
        <v/>
      </c>
      <c r="BO71" s="69" t="str">
        <f aca="false">IF($E71="","",IF($M71,IF(AND($G71&gt;=BO$5,$G71&lt;BO$5+GanttPeriod),"◆",IF(AND($E71&gt;=BO$5,$E71&lt;BO$5+GanttPeriod),"◇","")),IF(AND(BO$5&lt;=$F71,BO$5+GanttPeriod-1&gt;=$E71),"━","")))</f>
        <v/>
      </c>
      <c r="BP71" s="69" t="str">
        <f aca="false">IF($E71="","",IF($M71,IF(AND($G71&gt;=BP$5,$G71&lt;BP$5+GanttPeriod),"◆",IF(AND($E71&gt;=BP$5,$E71&lt;BP$5+GanttPeriod),"◇","")),IF(AND(BP$5&lt;=$F71,BP$5+GanttPeriod-1&gt;=$E71),"━","")))</f>
        <v/>
      </c>
      <c r="BQ71" s="69" t="str">
        <f aca="false">IF($E71="","",IF($M71,IF(AND($G71&gt;=BQ$5,$G71&lt;BQ$5+GanttPeriod),"◆",IF(AND($E71&gt;=BQ$5,$E71&lt;BQ$5+GanttPeriod),"◇","")),IF(AND(BQ$5&lt;=$F71,BQ$5+GanttPeriod-1&gt;=$E71),"━","")))</f>
        <v/>
      </c>
      <c r="BR71" s="69" t="str">
        <f aca="false">IF($E71="","",IF($M71,IF(AND($G71&gt;=BR$5,$G71&lt;BR$5+GanttPeriod),"◆",IF(AND($E71&gt;=BR$5,$E71&lt;BR$5+GanttPeriod),"◇","")),IF(AND(BR$5&lt;=$F71,BR$5+GanttPeriod-1&gt;=$E71),"━","")))</f>
        <v/>
      </c>
      <c r="BS71" s="69" t="str">
        <f aca="false">IF($E71="","",IF($M71,IF(AND($G71&gt;=BS$5,$G71&lt;BS$5+GanttPeriod),"◆",IF(AND($E71&gt;=BS$5,$E71&lt;BS$5+GanttPeriod),"◇","")),IF(AND(BS$5&lt;=$F71,BS$5+GanttPeriod-1&gt;=$E71),"━","")))</f>
        <v/>
      </c>
      <c r="BT71" s="69" t="str">
        <f aca="false">IF($E71="","",IF($M71,IF(AND($G71&gt;=BT$5,$G71&lt;BT$5+GanttPeriod),"◆",IF(AND($E71&gt;=BT$5,$E71&lt;BT$5+GanttPeriod),"◇","")),IF(AND(BT$5&lt;=$F71,BT$5+GanttPeriod-1&gt;=$E71),"━","")))</f>
        <v/>
      </c>
      <c r="BU71" s="69" t="str">
        <f aca="false">IF($E71="","",IF($M71,IF(AND($G71&gt;=BU$5,$G71&lt;BU$5+GanttPeriod),"◆",IF(AND($E71&gt;=BU$5,$E71&lt;BU$5+GanttPeriod),"◇","")),IF(AND(BU$5&lt;=$F71,BU$5+GanttPeriod-1&gt;=$E71),"━","")))</f>
        <v/>
      </c>
      <c r="BV71" s="69" t="str">
        <f aca="false">IF($E71="","",IF($M71,IF(AND($G71&gt;=BV$5,$G71&lt;BV$5+GanttPeriod),"◆",IF(AND($E71&gt;=BV$5,$E71&lt;BV$5+GanttPeriod),"◇","")),IF(AND(BV$5&lt;=$F71,BV$5+GanttPeriod-1&gt;=$E71),"━","")))</f>
        <v/>
      </c>
      <c r="BW71" s="69" t="str">
        <f aca="false">IF($E71="","",IF($M71,IF(AND($G71&gt;=BW$5,$G71&lt;BW$5+GanttPeriod),"◆",IF(AND($E71&gt;=BW$5,$E71&lt;BW$5+GanttPeriod),"◇","")),IF(AND(BW$5&lt;=$F71,BW$5+GanttPeriod-1&gt;=$E71),"━","")))</f>
        <v/>
      </c>
      <c r="BX71" s="69" t="str">
        <f aca="false">IF($E71="","",IF($M71,IF(AND($G71&gt;=BX$5,$G71&lt;BX$5+GanttPeriod),"◆",IF(AND($E71&gt;=BX$5,$E71&lt;BX$5+GanttPeriod),"◇","")),IF(AND(BX$5&lt;=$F71,BX$5+GanttPeriod-1&gt;=$E71),"━","")))</f>
        <v/>
      </c>
      <c r="BY71" s="69" t="str">
        <f aca="false">IF($E71="","",IF($M71,IF(AND($G71&gt;=BY$5,$G71&lt;BY$5+GanttPeriod),"◆",IF(AND($E71&gt;=BY$5,$E71&lt;BY$5+GanttPeriod),"◇","")),IF(AND(BY$5&lt;=$F71,BY$5+GanttPeriod-1&gt;=$E71),"━","")))</f>
        <v/>
      </c>
      <c r="BZ71" s="69" t="str">
        <f aca="false">IF($E71="","",IF($M71,IF(AND($G71&gt;=BZ$5,$G71&lt;BZ$5+GanttPeriod),"◆",IF(AND($E71&gt;=BZ$5,$E71&lt;BZ$5+GanttPeriod),"◇","")),IF(AND(BZ$5&lt;=$F71,BZ$5+GanttPeriod-1&gt;=$E71),"━","")))</f>
        <v/>
      </c>
      <c r="CA71" s="69" t="str">
        <f aca="false">IF($E71="","",IF($M71,IF(AND($G71&gt;=CA$5,$G71&lt;CA$5+GanttPeriod),"◆",IF(AND($E71&gt;=CA$5,$E71&lt;CA$5+GanttPeriod),"◇","")),IF(AND(CA$5&lt;=$F71,CA$5+GanttPeriod-1&gt;=$E71),"━","")))</f>
        <v/>
      </c>
      <c r="CB71" s="69" t="str">
        <f aca="false">IF($E71="","",IF($M71,IF(AND($G71&gt;=CB$5,$G71&lt;CB$5+GanttPeriod),"◆",IF(AND($E71&gt;=CB$5,$E71&lt;CB$5+GanttPeriod),"◇","")),IF(AND(CB$5&lt;=$F71,CB$5+GanttPeriod-1&gt;=$E71),"━","")))</f>
        <v/>
      </c>
      <c r="CC71" s="69" t="str">
        <f aca="false">IF($E71="","",IF($M71,IF(AND($G71&gt;=CC$5,$G71&lt;CC$5+GanttPeriod),"◆",IF(AND($E71&gt;=CC$5,$E71&lt;CC$5+GanttPeriod),"◇","")),IF(AND(CC$5&lt;=$F71,CC$5+GanttPeriod-1&gt;=$E71),"━","")))</f>
        <v/>
      </c>
      <c r="CD71" s="69" t="str">
        <f aca="false">IF($E71="","",IF($M71,IF(AND($G71&gt;=CD$5,$G71&lt;CD$5+GanttPeriod),"◆",IF(AND($E71&gt;=CD$5,$E71&lt;CD$5+GanttPeriod),"◇","")),IF(AND(CD$5&lt;=$F71,CD$5+GanttPeriod-1&gt;=$E71),"━","")))</f>
        <v/>
      </c>
      <c r="CE71" s="69" t="str">
        <f aca="false">IF($E71="","",IF($M71,IF(AND($G71&gt;=CE$5,$G71&lt;CE$5+GanttPeriod),"◆",IF(AND($E71&gt;=CE$5,$E71&lt;CE$5+GanttPeriod),"◇","")),IF(AND(CE$5&lt;=$F71,CE$5+GanttPeriod-1&gt;=$E71),"━","")))</f>
        <v/>
      </c>
      <c r="CF71" s="69" t="str">
        <f aca="false">IF($E71="","",IF($M71,IF(AND($G71&gt;=CF$5,$G71&lt;CF$5+GanttPeriod),"◆",IF(AND($E71&gt;=CF$5,$E71&lt;CF$5+GanttPeriod),"◇","")),IF(AND(CF$5&lt;=$F71,CF$5+GanttPeriod-1&gt;=$E71),"━","")))</f>
        <v/>
      </c>
      <c r="CG71" s="69" t="str">
        <f aca="false">IF($E71="","",IF($M71,IF(AND($G71&gt;=CG$5,$G71&lt;CG$5+GanttPeriod),"◆",IF(AND($E71&gt;=CG$5,$E71&lt;CG$5+GanttPeriod),"◇","")),IF(AND(CG$5&lt;=$F71,CG$5+GanttPeriod-1&gt;=$E71),"━","")))</f>
        <v/>
      </c>
      <c r="CH71" s="69" t="str">
        <f aca="false">IF($E71="","",IF($M71,IF(AND($G71&gt;=CH$5,$G71&lt;CH$5+GanttPeriod),"◆",IF(AND($E71&gt;=CH$5,$E71&lt;CH$5+GanttPeriod),"◇","")),IF(AND(CH$5&lt;=$F71,CH$5+GanttPeriod-1&gt;=$E71),"━","")))</f>
        <v/>
      </c>
      <c r="CI71" s="69" t="str">
        <f aca="false">IF($E71="","",IF($M71,IF(AND($G71&gt;=CI$5,$G71&lt;CI$5+GanttPeriod),"◆",IF(AND($E71&gt;=CI$5,$E71&lt;CI$5+GanttPeriod),"◇","")),IF(AND(CI$5&lt;=$F71,CI$5+GanttPeriod-1&gt;=$E71),"━","")))</f>
        <v/>
      </c>
      <c r="CJ71" s="69" t="str">
        <f aca="false">IF($E71="","",IF($M71,IF(AND($G71&gt;=CJ$5,$G71&lt;CJ$5+GanttPeriod),"◆",IF(AND($E71&gt;=CJ$5,$E71&lt;CJ$5+GanttPeriod),"◇","")),IF(AND(CJ$5&lt;=$F71,CJ$5+GanttPeriod-1&gt;=$E71),"━","")))</f>
        <v/>
      </c>
      <c r="CK71" s="69" t="str">
        <f aca="false">IF($E71="","",IF($M71,IF(AND($G71&gt;=CK$5,$G71&lt;CK$5+GanttPeriod),"◆",IF(AND($E71&gt;=CK$5,$E71&lt;CK$5+GanttPeriod),"◇","")),IF(AND(CK$5&lt;=$F71,CK$5+GanttPeriod-1&gt;=$E71),"━","")))</f>
        <v/>
      </c>
      <c r="CL71" s="69" t="str">
        <f aca="false">IF($E71="","",IF($M71,IF(AND($G71&gt;=CL$5,$G71&lt;CL$5+GanttPeriod),"◆",IF(AND($E71&gt;=CL$5,$E71&lt;CL$5+GanttPeriod),"◇","")),IF(AND(CL$5&lt;=$F71,CL$5+GanttPeriod-1&gt;=$E71),"━","")))</f>
        <v/>
      </c>
      <c r="CM71" s="69" t="str">
        <f aca="false">IF($E71="","",IF($M71,IF(AND($G71&gt;=CM$5,$G71&lt;CM$5+GanttPeriod),"◆",IF(AND($E71&gt;=CM$5,$E71&lt;CM$5+GanttPeriod),"◇","")),IF(AND(CM$5&lt;=$F71,CM$5+GanttPeriod-1&gt;=$E71),"━","")))</f>
        <v/>
      </c>
      <c r="CN71" s="69" t="str">
        <f aca="false">IF($E71="","",IF($M71,IF(AND($G71&gt;=CN$5,$G71&lt;CN$5+GanttPeriod),"◆",IF(AND($E71&gt;=CN$5,$E71&lt;CN$5+GanttPeriod),"◇","")),IF(AND(CN$5&lt;=$F71,CN$5+GanttPeriod-1&gt;=$E71),"━","")))</f>
        <v/>
      </c>
      <c r="CO71" s="69" t="str">
        <f aca="false">IF($E71="","",IF($M71,IF(AND($G71&gt;=CO$5,$G71&lt;CO$5+GanttPeriod),"◆",IF(AND($E71&gt;=CO$5,$E71&lt;CO$5+GanttPeriod),"◇","")),IF(AND(CO$5&lt;=$F71,CO$5+GanttPeriod-1&gt;=$E71),"━","")))</f>
        <v/>
      </c>
      <c r="CP71" s="69" t="str">
        <f aca="false">IF($E71="","",IF($M71,IF(AND($G71&gt;=CP$5,$G71&lt;CP$5+GanttPeriod),"◆",IF(AND($E71&gt;=CP$5,$E71&lt;CP$5+GanttPeriod),"◇","")),IF(AND(CP$5&lt;=$F71,CP$5+GanttPeriod-1&gt;=$E71),"━","")))</f>
        <v/>
      </c>
      <c r="CQ71" s="69" t="str">
        <f aca="false">IF($E71="","",IF($M71,IF(AND($G71&gt;=CQ$5,$G71&lt;CQ$5+GanttPeriod),"◆",IF(AND($E71&gt;=CQ$5,$E71&lt;CQ$5+GanttPeriod),"◇","")),IF(AND(CQ$5&lt;=$F71,CQ$5+GanttPeriod-1&gt;=$E71),"━","")))</f>
        <v/>
      </c>
      <c r="CR71" s="69" t="str">
        <f aca="false">IF($E71="","",IF($M71,IF(AND($G71&gt;=CR$5,$G71&lt;CR$5+GanttPeriod),"◆",IF(AND($E71&gt;=CR$5,$E71&lt;CR$5+GanttPeriod),"◇","")),IF(AND(CR$5&lt;=$F71,CR$5+GanttPeriod-1&gt;=$E71),"━","")))</f>
        <v/>
      </c>
      <c r="CS71" s="69" t="str">
        <f aca="false">IF($E71="","",IF($M71,IF(AND($G71&gt;=CS$5,$G71&lt;CS$5+GanttPeriod),"◆",IF(AND($E71&gt;=CS$5,$E71&lt;CS$5+GanttPeriod),"◇","")),IF(AND(CS$5&lt;=$F71,CS$5+GanttPeriod-1&gt;=$E71),"━","")))</f>
        <v/>
      </c>
      <c r="CT71" s="69" t="str">
        <f aca="false">IF($E71="","",IF($M71,IF(AND($G71&gt;=CT$5,$G71&lt;CT$5+GanttPeriod),"◆",IF(AND($E71&gt;=CT$5,$E71&lt;CT$5+GanttPeriod),"◇","")),IF(AND(CT$5&lt;=$F71,CT$5+GanttPeriod-1&gt;=$E71),"━","")))</f>
        <v/>
      </c>
      <c r="CU71" s="69" t="str">
        <f aca="false">IF($E71="","",IF($M71,IF(AND($G71&gt;=CU$5,$G71&lt;CU$5+GanttPeriod),"◆",IF(AND($E71&gt;=CU$5,$E71&lt;CU$5+GanttPeriod),"◇","")),IF(AND(CU$5&lt;=$F71,CU$5+GanttPeriod-1&gt;=$E71),"━","")))</f>
        <v/>
      </c>
      <c r="CV71" s="69" t="str">
        <f aca="false">IF($E71="","",IF($M71,IF(AND($G71&gt;=CV$5,$G71&lt;CV$5+GanttPeriod),"◆",IF(AND($E71&gt;=CV$5,$E71&lt;CV$5+GanttPeriod),"◇","")),IF(AND(CV$5&lt;=$F71,CV$5+GanttPeriod-1&gt;=$E71),"━","")))</f>
        <v/>
      </c>
      <c r="CW71" s="69" t="str">
        <f aca="false">IF($E71="","",IF($M71,IF(AND($G71&gt;=CW$5,$G71&lt;CW$5+GanttPeriod),"◆",IF(AND($E71&gt;=CW$5,$E71&lt;CW$5+GanttPeriod),"◇","")),IF(AND(CW$5&lt;=$F71,CW$5+GanttPeriod-1&gt;=$E71),"━","")))</f>
        <v/>
      </c>
      <c r="CX71" s="69" t="str">
        <f aca="false">IF($E71="","",IF($M71,IF(AND($G71&gt;=CX$5,$G71&lt;CX$5+GanttPeriod),"◆",IF(AND($E71&gt;=CX$5,$E71&lt;CX$5+GanttPeriod),"◇","")),IF(AND(CX$5&lt;=$F71,CX$5+GanttPeriod-1&gt;=$E71),"━","")))</f>
        <v/>
      </c>
      <c r="CY71" s="69" t="str">
        <f aca="false">IF($E71="","",IF($M71,IF(AND($G71&gt;=CY$5,$G71&lt;CY$5+GanttPeriod),"◆",IF(AND($E71&gt;=CY$5,$E71&lt;CY$5+GanttPeriod),"◇","")),IF(AND(CY$5&lt;=$F71,CY$5+GanttPeriod-1&gt;=$E71),"━","")))</f>
        <v/>
      </c>
      <c r="CZ71" s="69" t="str">
        <f aca="false">IF($E71="","",IF($M71,IF(AND($G71&gt;=CZ$5,$G71&lt;CZ$5+GanttPeriod),"◆",IF(AND($E71&gt;=CZ$5,$E71&lt;CZ$5+GanttPeriod),"◇","")),IF(AND(CZ$5&lt;=$F71,CZ$5+GanttPeriod-1&gt;=$E71),"━","")))</f>
        <v/>
      </c>
      <c r="DA71" s="69" t="str">
        <f aca="false">IF($E71="","",IF($M71,IF(AND($G71&gt;=DA$5,$G71&lt;DA$5+GanttPeriod),"◆",IF(AND($E71&gt;=DA$5,$E71&lt;DA$5+GanttPeriod),"◇","")),IF(AND(DA$5&lt;=$F71,DA$5+GanttPeriod-1&gt;=$E71),"━","")))</f>
        <v/>
      </c>
      <c r="DB71" s="69" t="str">
        <f aca="false">IF($E71="","",IF($M71,IF(AND($G71&gt;=DB$5,$G71&lt;DB$5+GanttPeriod),"◆",IF(AND($E71&gt;=DB$5,$E71&lt;DB$5+GanttPeriod),"◇","")),IF(AND(DB$5&lt;=$F71,DB$5+GanttPeriod-1&gt;=$E71),"━","")))</f>
        <v/>
      </c>
      <c r="DC71" s="69" t="str">
        <f aca="false">IF($E71="","",IF($M71,IF(AND($G71&gt;=DC$5,$G71&lt;DC$5+GanttPeriod),"◆",IF(AND($E71&gt;=DC$5,$E71&lt;DC$5+GanttPeriod),"◇","")),IF(AND(DC$5&lt;=$F71,DC$5+GanttPeriod-1&gt;=$E71),"━","")))</f>
        <v/>
      </c>
      <c r="DD71" s="69" t="str">
        <f aca="false">IF($E71="","",IF($M71,IF(AND($G71&gt;=DD$5,$G71&lt;DD$5+GanttPeriod),"◆",IF(AND($E71&gt;=DD$5,$E71&lt;DD$5+GanttPeriod),"◇","")),IF(AND(DD$5&lt;=$F71,DD$5+GanttPeriod-1&gt;=$E71),"━","")))</f>
        <v/>
      </c>
      <c r="DE71" s="69" t="str">
        <f aca="false">IF($E71="","",IF($M71,IF(AND($G71&gt;=DE$5,$G71&lt;DE$5+GanttPeriod),"◆",IF(AND($E71&gt;=DE$5,$E71&lt;DE$5+GanttPeriod),"◇","")),IF(AND(DE$5&lt;=$F71,DE$5+GanttPeriod-1&gt;=$E71),"━","")))</f>
        <v/>
      </c>
      <c r="DF71" s="69" t="str">
        <f aca="false">IF($E71="","",IF($M71,IF(AND($G71&gt;=DF$5,$G71&lt;DF$5+GanttPeriod),"◆",IF(AND($E71&gt;=DF$5,$E71&lt;DF$5+GanttPeriod),"◇","")),IF(AND(DF$5&lt;=$F71,DF$5+GanttPeriod-1&gt;=$E71),"━","")))</f>
        <v/>
      </c>
      <c r="DG71" s="69" t="str">
        <f aca="false">IF($E71="","",IF($M71,IF(AND($G71&gt;=DG$5,$G71&lt;DG$5+GanttPeriod),"◆",IF(AND($E71&gt;=DG$5,$E71&lt;DG$5+GanttPeriod),"◇","")),IF(AND(DG$5&lt;=$F71,DG$5+GanttPeriod-1&gt;=$E71),"━","")))</f>
        <v/>
      </c>
      <c r="DH71" s="69" t="str">
        <f aca="false">IF($E71="","",IF($M71,IF(AND($G71&gt;=DH$5,$G71&lt;DH$5+GanttPeriod),"◆",IF(AND($E71&gt;=DH$5,$E71&lt;DH$5+GanttPeriod),"◇","")),IF(AND(DH$5&lt;=$F71,DH$5+GanttPeriod-1&gt;=$E71),"━","")))</f>
        <v/>
      </c>
      <c r="DI71" s="69" t="str">
        <f aca="false">IF($E71="","",IF($M71,IF(AND($G71&gt;=DI$5,$G71&lt;DI$5+GanttPeriod),"◆",IF(AND($E71&gt;=DI$5,$E71&lt;DI$5+GanttPeriod),"◇","")),IF(AND(DI$5&lt;=$F71,DI$5+GanttPeriod-1&gt;=$E71),"━","")))</f>
        <v/>
      </c>
      <c r="DJ71" s="69" t="str">
        <f aca="false">IF($E71="","",IF($M71,IF(AND($G71&gt;=DJ$5,$G71&lt;DJ$5+GanttPeriod),"◆",IF(AND($E71&gt;=DJ$5,$E71&lt;DJ$5+GanttPeriod),"◇","")),IF(AND(DJ$5&lt;=$F71,DJ$5+GanttPeriod-1&gt;=$E71),"━","")))</f>
        <v/>
      </c>
      <c r="DK71" s="69" t="str">
        <f aca="false">IF($E71="","",IF($M71,IF(AND($G71&gt;=DK$5,$G71&lt;DK$5+GanttPeriod),"◆",IF(AND($E71&gt;=DK$5,$E71&lt;DK$5+GanttPeriod),"◇","")),IF(AND(DK$5&lt;=$F71,DK$5+GanttPeriod-1&gt;=$E71),"━","")))</f>
        <v/>
      </c>
      <c r="DL71" s="69" t="str">
        <f aca="false">IF($E71="","",IF($M71,IF(AND($G71&gt;=DL$5,$G71&lt;DL$5+GanttPeriod),"◆",IF(AND($E71&gt;=DL$5,$E71&lt;DL$5+GanttPeriod),"◇","")),IF(AND(DL$5&lt;=$F71,DL$5+GanttPeriod-1&gt;=$E71),"━","")))</f>
        <v/>
      </c>
      <c r="DM71" s="69" t="str">
        <f aca="false">IF($E71="","",IF($M71,IF(AND($G71&gt;=DM$5,$G71&lt;DM$5+GanttPeriod),"◆",IF(AND($E71&gt;=DM$5,$E71&lt;DM$5+GanttPeriod),"◇","")),IF(AND(DM$5&lt;=$F71,DM$5+GanttPeriod-1&gt;=$E71),"━","")))</f>
        <v/>
      </c>
      <c r="DN71" s="69" t="str">
        <f aca="false">IF($E71="","",IF($M71,IF(AND($G71&gt;=DN$5,$G71&lt;DN$5+GanttPeriod),"◆",IF(AND($E71&gt;=DN$5,$E71&lt;DN$5+GanttPeriod),"◇","")),IF(AND(DN$5&lt;=$F71,DN$5+GanttPeriod-1&gt;=$E71),"━","")))</f>
        <v/>
      </c>
      <c r="DO71" s="69" t="str">
        <f aca="false">IF($E71="","",IF($M71,IF(AND($G71&gt;=DO$5,$G71&lt;DO$5+GanttPeriod),"◆",IF(AND($E71&gt;=DO$5,$E71&lt;DO$5+GanttPeriod),"◇","")),IF(AND(DO$5&lt;=$F71,DO$5+GanttPeriod-1&gt;=$E71),"━","")))</f>
        <v/>
      </c>
      <c r="DP71" s="69" t="str">
        <f aca="false">IF($E71="","",IF($M71,IF(AND($G71&gt;=DP$5,$G71&lt;DP$5+GanttPeriod),"◆",IF(AND($E71&gt;=DP$5,$E71&lt;DP$5+GanttPeriod),"◇","")),IF(AND(DP$5&lt;=$F71,DP$5+GanttPeriod-1&gt;=$E71),"━","")))</f>
        <v/>
      </c>
      <c r="DQ71" s="69" t="str">
        <f aca="false">IF($E71="","",IF($M71,IF(AND($G71&gt;=DQ$5,$G71&lt;DQ$5+GanttPeriod),"◆",IF(AND($E71&gt;=DQ$5,$E71&lt;DQ$5+GanttPeriod),"◇","")),IF(AND(DQ$5&lt;=$F71,DQ$5+GanttPeriod-1&gt;=$E71),"━","")))</f>
        <v/>
      </c>
      <c r="DR71" s="69" t="str">
        <f aca="false">IF($E71="","",IF($M71,IF(AND($G71&gt;=DR$5,$G71&lt;DR$5+GanttPeriod),"◆",IF(AND($E71&gt;=DR$5,$E71&lt;DR$5+GanttPeriod),"◇","")),IF(AND(DR$5&lt;=$F71,DR$5+GanttPeriod-1&gt;=$E71),"━","")))</f>
        <v/>
      </c>
      <c r="DS71" s="69" t="str">
        <f aca="false">IF($E71="","",IF($M71,IF(AND($G71&gt;=DS$5,$G71&lt;DS$5+GanttPeriod),"◆",IF(AND($E71&gt;=DS$5,$E71&lt;DS$5+GanttPeriod),"◇","")),IF(AND(DS$5&lt;=$F71,DS$5+GanttPeriod-1&gt;=$E71),"━","")))</f>
        <v/>
      </c>
      <c r="DT71" s="69" t="str">
        <f aca="false">IF($E71="","",IF($M71,IF(AND($G71&gt;=DT$5,$G71&lt;DT$5+GanttPeriod),"◆",IF(AND($E71&gt;=DT$5,$E71&lt;DT$5+GanttPeriod),"◇","")),IF(AND(DT$5&lt;=$F71,DT$5+GanttPeriod-1&gt;=$E71),"━","")))</f>
        <v/>
      </c>
      <c r="DU71" s="69" t="str">
        <f aca="false">IF($E71="","",IF($M71,IF(AND($G71&gt;=DU$5,$G71&lt;DU$5+GanttPeriod),"◆",IF(AND($E71&gt;=DU$5,$E71&lt;DU$5+GanttPeriod),"◇","")),IF(AND(DU$5&lt;=$F71,DU$5+GanttPeriod-1&gt;=$E71),"━","")))</f>
        <v/>
      </c>
      <c r="DV71" s="69" t="str">
        <f aca="false">IF($E71="","",IF($M71,IF(AND($G71&gt;=DV$5,$G71&lt;DV$5+GanttPeriod),"◆",IF(AND($E71&gt;=DV$5,$E71&lt;DV$5+GanttPeriod),"◇","")),IF(AND(DV$5&lt;=$F71,DV$5+GanttPeriod-1&gt;=$E71),"━","")))</f>
        <v/>
      </c>
      <c r="DW71" s="69" t="str">
        <f aca="false">IF($E71="","",IF($M71,IF(AND($G71&gt;=DW$5,$G71&lt;DW$5+GanttPeriod),"◆",IF(AND($E71&gt;=DW$5,$E71&lt;DW$5+GanttPeriod),"◇","")),IF(AND(DW$5&lt;=$F71,DW$5+GanttPeriod-1&gt;=$E71),"━","")))</f>
        <v/>
      </c>
      <c r="DX71" s="69" t="str">
        <f aca="false">IF($E71="","",IF($M71,IF(AND($G71&gt;=DX$5,$G71&lt;DX$5+GanttPeriod),"◆",IF(AND($E71&gt;=DX$5,$E71&lt;DX$5+GanttPeriod),"◇","")),IF(AND(DX$5&lt;=$F71,DX$5+GanttPeriod-1&gt;=$E71),"━","")))</f>
        <v/>
      </c>
      <c r="DY71" s="69" t="str">
        <f aca="false">IF($E71="","",IF($M71,IF(AND($G71&gt;=DY$5,$G71&lt;DY$5+GanttPeriod),"◆",IF(AND($E71&gt;=DY$5,$E71&lt;DY$5+GanttPeriod),"◇","")),IF(AND(DY$5&lt;=$F71,DY$5+GanttPeriod-1&gt;=$E71),"━","")))</f>
        <v/>
      </c>
      <c r="DZ71" s="69" t="str">
        <f aca="false">IF($E71="","",IF($M71,IF(AND($G71&gt;=DZ$5,$G71&lt;DZ$5+GanttPeriod),"◆",IF(AND($E71&gt;=DZ$5,$E71&lt;DZ$5+GanttPeriod),"◇","")),IF(AND(DZ$5&lt;=$F71,DZ$5+GanttPeriod-1&gt;=$E71),"━","")))</f>
        <v/>
      </c>
      <c r="EA71" s="69" t="str">
        <f aca="false">IF($E71="","",IF($M71,IF(AND($G71&gt;=EA$5,$G71&lt;EA$5+GanttPeriod),"◆",IF(AND($E71&gt;=EA$5,$E71&lt;EA$5+GanttPeriod),"◇","")),IF(AND(EA$5&lt;=$F71,EA$5+GanttPeriod-1&gt;=$E71),"━","")))</f>
        <v/>
      </c>
      <c r="EB71" s="69" t="str">
        <f aca="false">IF($E71="","",IF($M71,IF(AND($G71&gt;=EB$5,$G71&lt;EB$5+GanttPeriod),"◆",IF(AND($E71&gt;=EB$5,$E71&lt;EB$5+GanttPeriod),"◇","")),IF(AND(EB$5&lt;=$F71,EB$5+GanttPeriod-1&gt;=$E71),"━","")))</f>
        <v/>
      </c>
      <c r="EC71" s="69" t="str">
        <f aca="false">IF($E71="","",IF($M71,IF(AND($G71&gt;=EC$5,$G71&lt;EC$5+GanttPeriod),"◆",IF(AND($E71&gt;=EC$5,$E71&lt;EC$5+GanttPeriod),"◇","")),IF(AND(EC$5&lt;=$F71,EC$5+GanttPeriod-1&gt;=$E71),"━","")))</f>
        <v/>
      </c>
      <c r="ED71" s="69" t="str">
        <f aca="false">IF($E71="","",IF($M71,IF(AND($G71&gt;=ED$5,$G71&lt;ED$5+GanttPeriod),"◆",IF(AND($E71&gt;=ED$5,$E71&lt;ED$5+GanttPeriod),"◇","")),IF(AND(ED$5&lt;=$F71,ED$5+GanttPeriod-1&gt;=$E71),"━","")))</f>
        <v/>
      </c>
      <c r="EE71" s="69" t="str">
        <f aca="false">IF($E71="","",IF($M71,IF(AND($G71&gt;=EE$5,$G71&lt;EE$5+GanttPeriod),"◆",IF(AND($E71&gt;=EE$5,$E71&lt;EE$5+GanttPeriod),"◇","")),IF(AND(EE$5&lt;=$F71,EE$5+GanttPeriod-1&gt;=$E71),"━","")))</f>
        <v/>
      </c>
      <c r="EF71" s="69" t="str">
        <f aca="false">IF($E71="","",IF($M71,IF(AND($G71&gt;=EF$5,$G71&lt;EF$5+GanttPeriod),"◆",IF(AND($E71&gt;=EF$5,$E71&lt;EF$5+GanttPeriod),"◇","")),IF(AND(EF$5&lt;=$F71,EF$5+GanttPeriod-1&gt;=$E71),"━","")))</f>
        <v/>
      </c>
      <c r="EG71" s="69" t="str">
        <f aca="false">IF($E71="","",IF($M71,IF(AND($G71&gt;=EG$5,$G71&lt;EG$5+GanttPeriod),"◆",IF(AND($E71&gt;=EG$5,$E71&lt;EG$5+GanttPeriod),"◇","")),IF(AND(EG$5&lt;=$F71,EG$5+GanttPeriod-1&gt;=$E71),"━","")))</f>
        <v/>
      </c>
      <c r="EH71" s="69" t="str">
        <f aca="false">IF($E71="","",IF($M71,IF(AND($G71&gt;=EH$5,$G71&lt;EH$5+GanttPeriod),"◆",IF(AND($E71&gt;=EH$5,$E71&lt;EH$5+GanttPeriod),"◇","")),IF(AND(EH$5&lt;=$F71,EH$5+GanttPeriod-1&gt;=$E71),"━","")))</f>
        <v/>
      </c>
      <c r="EI71" s="69" t="str">
        <f aca="false">IF($E71="","",IF($M71,IF(AND($G71&gt;=EI$5,$G71&lt;EI$5+GanttPeriod),"◆",IF(AND($E71&gt;=EI$5,$E71&lt;EI$5+GanttPeriod),"◇","")),IF(AND(EI$5&lt;=$F71,EI$5+GanttPeriod-1&gt;=$E71),"━","")))</f>
        <v/>
      </c>
      <c r="EJ71" s="69" t="str">
        <f aca="false">IF($E71="","",IF($M71,IF(AND($G71&gt;=EJ$5,$G71&lt;EJ$5+GanttPeriod),"◆",IF(AND($E71&gt;=EJ$5,$E71&lt;EJ$5+GanttPeriod),"◇","")),IF(AND(EJ$5&lt;=$F71,EJ$5+GanttPeriod-1&gt;=$E71),"━","")))</f>
        <v/>
      </c>
      <c r="EK71" s="69" t="str">
        <f aca="false">IF($E71="","",IF($M71,IF(AND($G71&gt;=EK$5,$G71&lt;EK$5+GanttPeriod),"◆",IF(AND($E71&gt;=EK$5,$E71&lt;EK$5+GanttPeriod),"◇","")),IF(AND(EK$5&lt;=$F71,EK$5+GanttPeriod-1&gt;=$E71),"━","")))</f>
        <v/>
      </c>
      <c r="EL71" s="69" t="str">
        <f aca="false">IF($E71="","",IF($M71,IF(AND($G71&gt;=EL$5,$G71&lt;EL$5+GanttPeriod),"◆",IF(AND($E71&gt;=EL$5,$E71&lt;EL$5+GanttPeriod),"◇","")),IF(AND(EL$5&lt;=$F71,EL$5+GanttPeriod-1&gt;=$E71),"━","")))</f>
        <v/>
      </c>
      <c r="EM71" s="69" t="str">
        <f aca="false">IF($E71="","",IF($M71,IF(AND($G71&gt;=EM$5,$G71&lt;EM$5+GanttPeriod),"◆",IF(AND($E71&gt;=EM$5,$E71&lt;EM$5+GanttPeriod),"◇","")),IF(AND(EM$5&lt;=$F71,EM$5+GanttPeriod-1&gt;=$E71),"━","")))</f>
        <v/>
      </c>
      <c r="EN71" s="69" t="str">
        <f aca="false">IF($E71="","",IF($M71,IF(AND($G71&gt;=EN$5,$G71&lt;EN$5+GanttPeriod),"◆",IF(AND($E71&gt;=EN$5,$E71&lt;EN$5+GanttPeriod),"◇","")),IF(AND(EN$5&lt;=$F71,EN$5+GanttPeriod-1&gt;=$E71),"━","")))</f>
        <v/>
      </c>
      <c r="EO71" s="69" t="str">
        <f aca="false">IF($E71="","",IF($M71,IF(AND($G71&gt;=EO$5,$G71&lt;EO$5+GanttPeriod),"◆",IF(AND($E71&gt;=EO$5,$E71&lt;EO$5+GanttPeriod),"◇","")),IF(AND(EO$5&lt;=$F71,EO$5+GanttPeriod-1&gt;=$E71),"━","")))</f>
        <v/>
      </c>
      <c r="EP71" s="69" t="str">
        <f aca="false">IF($E71="","",IF($M71,IF(AND($G71&gt;=EP$5,$G71&lt;EP$5+GanttPeriod),"◆",IF(AND($E71&gt;=EP$5,$E71&lt;EP$5+GanttPeriod),"◇","")),IF(AND(EP$5&lt;=$F71,EP$5+GanttPeriod-1&gt;=$E71),"━","")))</f>
        <v/>
      </c>
      <c r="EQ71" s="69" t="str">
        <f aca="false">IF($E71="","",IF($M71,IF(AND($G71&gt;=EQ$5,$G71&lt;EQ$5+GanttPeriod),"◆",IF(AND($E71&gt;=EQ$5,$E71&lt;EQ$5+GanttPeriod),"◇","")),IF(AND(EQ$5&lt;=$F71,EQ$5+GanttPeriod-1&gt;=$E71),"━","")))</f>
        <v/>
      </c>
      <c r="ER71" s="69" t="str">
        <f aca="false">IF($E71="","",IF($M71,IF(AND($G71&gt;=ER$5,$G71&lt;ER$5+GanttPeriod),"◆",IF(AND($E71&gt;=ER$5,$E71&lt;ER$5+GanttPeriod),"◇","")),IF(AND(ER$5&lt;=$F71,ER$5+GanttPeriod-1&gt;=$E71),"━","")))</f>
        <v/>
      </c>
      <c r="ES71" s="69" t="str">
        <f aca="false">IF($E71="","",IF($M71,IF(AND($G71&gt;=ES$5,$G71&lt;ES$5+GanttPeriod),"◆",IF(AND($E71&gt;=ES$5,$E71&lt;ES$5+GanttPeriod),"◇","")),IF(AND(ES$5&lt;=$F71,ES$5+GanttPeriod-1&gt;=$E71),"━","")))</f>
        <v/>
      </c>
      <c r="ET71" s="69" t="str">
        <f aca="false">IF($E71="","",IF($M71,IF(AND($G71&gt;=ET$5,$G71&lt;ET$5+GanttPeriod),"◆",IF(AND($E71&gt;=ET$5,$E71&lt;ET$5+GanttPeriod),"◇","")),IF(AND(ET$5&lt;=$F71,ET$5+GanttPeriod-1&gt;=$E71),"━","")))</f>
        <v/>
      </c>
      <c r="EU71" s="69" t="str">
        <f aca="false">IF($E71="","",IF($M71,IF(AND($G71&gt;=EU$5,$G71&lt;EU$5+GanttPeriod),"◆",IF(AND($E71&gt;=EU$5,$E71&lt;EU$5+GanttPeriod),"◇","")),IF(AND(EU$5&lt;=$F71,EU$5+GanttPeriod-1&gt;=$E71),"━","")))</f>
        <v/>
      </c>
      <c r="EV71" s="69" t="str">
        <f aca="false">IF($E71="","",IF($M71,IF(AND($G71&gt;=EV$5,$G71&lt;EV$5+GanttPeriod),"◆",IF(AND($E71&gt;=EV$5,$E71&lt;EV$5+GanttPeriod),"◇","")),IF(AND(EV$5&lt;=$F71,EV$5+GanttPeriod-1&gt;=$E71),"━","")))</f>
        <v/>
      </c>
      <c r="EW71" s="69" t="str">
        <f aca="false">IF($E71="","",IF($M71,IF(AND($G71&gt;=EW$5,$G71&lt;EW$5+GanttPeriod),"◆",IF(AND($E71&gt;=EW$5,$E71&lt;EW$5+GanttPeriod),"◇","")),IF(AND(EW$5&lt;=$F71,EW$5+GanttPeriod-1&gt;=$E71),"━","")))</f>
        <v/>
      </c>
      <c r="EX71" s="69" t="str">
        <f aca="false">IF($E71="","",IF($M71,IF(AND($G71&gt;=EX$5,$G71&lt;EX$5+GanttPeriod),"◆",IF(AND($E71&gt;=EX$5,$E71&lt;EX$5+GanttPeriod),"◇","")),IF(AND(EX$5&lt;=$F71,EX$5+GanttPeriod-1&gt;=$E71),"━","")))</f>
        <v/>
      </c>
      <c r="EY71" s="69" t="str">
        <f aca="false">IF($E71="","",IF($M71,IF(AND($G71&gt;=EY$5,$G71&lt;EY$5+GanttPeriod),"◆",IF(AND($E71&gt;=EY$5,$E71&lt;EY$5+GanttPeriod),"◇","")),IF(AND(EY$5&lt;=$F71,EY$5+GanttPeriod-1&gt;=$E71),"━","")))</f>
        <v/>
      </c>
      <c r="EZ71" s="69" t="str">
        <f aca="false">IF($E71="","",IF($M71,IF(AND($G71&gt;=EZ$5,$G71&lt;EZ$5+GanttPeriod),"◆",IF(AND($E71&gt;=EZ$5,$E71&lt;EZ$5+GanttPeriod),"◇","")),IF(AND(EZ$5&lt;=$F71,EZ$5+GanttPeriod-1&gt;=$E71),"━","")))</f>
        <v/>
      </c>
      <c r="FA71" s="69" t="str">
        <f aca="false">IF($E71="","",IF($M71,IF(AND($G71&gt;=FA$5,$G71&lt;FA$5+GanttPeriod),"◆",IF(AND($E71&gt;=FA$5,$E71&lt;FA$5+GanttPeriod),"◇","")),IF(AND(FA$5&lt;=$F71,FA$5+GanttPeriod-1&gt;=$E71),"━","")))</f>
        <v/>
      </c>
      <c r="FB71" s="69" t="str">
        <f aca="false">IF($E71="","",IF($M71,IF(AND($G71&gt;=FB$5,$G71&lt;FB$5+GanttPeriod),"◆",IF(AND($E71&gt;=FB$5,$E71&lt;FB$5+GanttPeriod),"◇","")),IF(AND(FB$5&lt;=$F71,FB$5+GanttPeriod-1&gt;=$E71),"━","")))</f>
        <v/>
      </c>
      <c r="FC71" s="69" t="str">
        <f aca="false">IF($E71="","",IF($M71,IF(AND($G71&gt;=FC$5,$G71&lt;FC$5+GanttPeriod),"◆",IF(AND($E71&gt;=FC$5,$E71&lt;FC$5+GanttPeriod),"◇","")),IF(AND(FC$5&lt;=$F71,FC$5+GanttPeriod-1&gt;=$E71),"━","")))</f>
        <v/>
      </c>
      <c r="FD71" s="69" t="str">
        <f aca="false">IF($E71="","",IF($M71,IF(AND($G71&gt;=FD$5,$G71&lt;FD$5+GanttPeriod),"◆",IF(AND($E71&gt;=FD$5,$E71&lt;FD$5+GanttPeriod),"◇","")),IF(AND(FD$5&lt;=$F71,FD$5+GanttPeriod-1&gt;=$E71),"━","")))</f>
        <v/>
      </c>
      <c r="FE71" s="69" t="str">
        <f aca="false">IF($E71="","",IF($M71,IF(AND($G71&gt;=FE$5,$G71&lt;FE$5+GanttPeriod),"◆",IF(AND($E71&gt;=FE$5,$E71&lt;FE$5+GanttPeriod),"◇","")),IF(AND(FE$5&lt;=$F71,FE$5+GanttPeriod-1&gt;=$E71),"━","")))</f>
        <v/>
      </c>
      <c r="FF71" s="69" t="str">
        <f aca="false">IF($E71="","",IF($M71,IF(AND($G71&gt;=FF$5,$G71&lt;FF$5+GanttPeriod),"◆",IF(AND($E71&gt;=FF$5,$E71&lt;FF$5+GanttPeriod),"◇","")),IF(AND(FF$5&lt;=$F71,FF$5+GanttPeriod-1&gt;=$E71),"━","")))</f>
        <v/>
      </c>
      <c r="FG71" s="69" t="str">
        <f aca="false">IF($E71="","",IF($M71,IF(AND($G71&gt;=FG$5,$G71&lt;FG$5+GanttPeriod),"◆",IF(AND($E71&gt;=FG$5,$E71&lt;FG$5+GanttPeriod),"◇","")),IF(AND(FG$5&lt;=$F71,FG$5+GanttPeriod-1&gt;=$E71),"━","")))</f>
        <v/>
      </c>
      <c r="FH71" s="69" t="str">
        <f aca="false">IF($E71="","",IF($M71,IF(AND($G71&gt;=FH$5,$G71&lt;FH$5+GanttPeriod),"◆",IF(AND($E71&gt;=FH$5,$E71&lt;FH$5+GanttPeriod),"◇","")),IF(AND(FH$5&lt;=$F71,FH$5+GanttPeriod-1&gt;=$E71),"━","")))</f>
        <v/>
      </c>
      <c r="FI71" s="69" t="str">
        <f aca="false">IF($E71="","",IF($M71,IF(AND($G71&gt;=FI$5,$G71&lt;FI$5+GanttPeriod),"◆",IF(AND($E71&gt;=FI$5,$E71&lt;FI$5+GanttPeriod),"◇","")),IF(AND(FI$5&lt;=$F71,FI$5+GanttPeriod-1&gt;=$E71),"━","")))</f>
        <v/>
      </c>
      <c r="FJ71" s="69" t="str">
        <f aca="false">IF($E71="","",IF($M71,IF(AND($G71&gt;=FJ$5,$G71&lt;FJ$5+GanttPeriod),"◆",IF(AND($E71&gt;=FJ$5,$E71&lt;FJ$5+GanttPeriod),"◇","")),IF(AND(FJ$5&lt;=$F71,FJ$5+GanttPeriod-1&gt;=$E71),"━","")))</f>
        <v/>
      </c>
      <c r="FK71" s="69" t="str">
        <f aca="false">IF($E71="","",IF($M71,IF(AND($G71&gt;=FK$5,$G71&lt;FK$5+GanttPeriod),"◆",IF(AND($E71&gt;=FK$5,$E71&lt;FK$5+GanttPeriod),"◇","")),IF(AND(FK$5&lt;=$F71,FK$5+GanttPeriod-1&gt;=$E71),"━","")))</f>
        <v/>
      </c>
      <c r="FL71" s="69" t="str">
        <f aca="false">IF($E71="","",IF($M71,IF(AND($G71&gt;=FL$5,$G71&lt;FL$5+GanttPeriod),"◆",IF(AND($E71&gt;=FL$5,$E71&lt;FL$5+GanttPeriod),"◇","")),IF(AND(FL$5&lt;=$F71,FL$5+GanttPeriod-1&gt;=$E71),"━","")))</f>
        <v/>
      </c>
      <c r="FM71" s="69" t="str">
        <f aca="false">IF($E71="","",IF($M71,IF(AND($G71&gt;=FM$5,$G71&lt;FM$5+GanttPeriod),"◆",IF(AND($E71&gt;=FM$5,$E71&lt;FM$5+GanttPeriod),"◇","")),IF(AND(FM$5&lt;=$F71,FM$5+GanttPeriod-1&gt;=$E71),"━","")))</f>
        <v/>
      </c>
    </row>
    <row r="72" customFormat="false" ht="15" hidden="false" customHeight="false" outlineLevel="0" collapsed="false">
      <c r="A72" s="62" t="str">
        <f aca="false">IF(Tasks!$D72="","",Tasks!$A72)</f>
        <v/>
      </c>
      <c r="B72" s="62" t="str">
        <f aca="false">IF(Tasks!$D72="","",Tasks!$B72)</f>
        <v/>
      </c>
      <c r="C72" s="63" t="str">
        <f aca="false">IF(Tasks!$D72="","",REPT("    ",Tasks!$AE72-1)&amp;Tasks!$D72)</f>
        <v/>
      </c>
      <c r="D72" s="62" t="str">
        <f aca="false">IF(Tasks!$D72="","",IF(Tasks!$AI72,NETWORKDAYS.INTL(Tasks!$R72,Tasks!$S72,WorkWeek,Holidays),N(Tasks!$F72)))</f>
        <v/>
      </c>
      <c r="E72" s="64" t="str">
        <f aca="false">IF(Tasks!$D72="","",Tasks!$N72)</f>
        <v/>
      </c>
      <c r="F72" s="64" t="str">
        <f aca="false">IF(Tasks!$D72="","",Tasks!$O72)</f>
        <v/>
      </c>
      <c r="G72" s="64" t="str">
        <f aca="false">IF(Tasks!$D72="","",Tasks!$R72)</f>
        <v/>
      </c>
      <c r="H72" s="64" t="str">
        <f aca="false">IF(Tasks!$D72="","",Tasks!$S72)</f>
        <v/>
      </c>
      <c r="I72" s="65" t="str">
        <f aca="false">IF(Tasks!$D72="","",Tasks!$V72)</f>
        <v/>
      </c>
      <c r="J72" s="63" t="str">
        <f aca="false">IF(Tasks!$D72="","",Tasks!$X72&amp;"")</f>
        <v/>
      </c>
      <c r="K72" s="66" t="str">
        <f aca="false">IF(Tasks!$D72="","",Tasks!$W72)</f>
        <v/>
      </c>
      <c r="L72" s="67" t="b">
        <f aca="false">IF(Tasks!$D72="",FALSE(),Tasks!$AI72)</f>
        <v>0</v>
      </c>
      <c r="M72" s="67" t="b">
        <f aca="false">AND(Tasks!$AJ72=1,N(Tasks!$F72)=0)</f>
        <v>0</v>
      </c>
      <c r="N72" s="68" t="n">
        <f aca="false">IF(AND(Tasks!$AJ72=1,NOT($M72),N($I72)&gt;0),$G72,0)</f>
        <v>0</v>
      </c>
      <c r="O72" s="68" t="n">
        <f aca="false">IF($N72=0,0,IF($I72&gt;=1,$H72,MAX($N72,$G72+ROUND(($H72-$G72+1)*$I72,0)-1)))</f>
        <v>0</v>
      </c>
      <c r="P72" s="68" t="n">
        <f aca="false">IF(OR(Tasks!$AJ72&lt;&gt;1,$M72,N($I72)&gt;=1),0,IF($O72&gt;0,$O72+1,$G72))</f>
        <v>0</v>
      </c>
      <c r="Q72" s="68" t="n">
        <f aca="false">IF($P72=0,0,$H72)</f>
        <v>0</v>
      </c>
      <c r="R72" s="67" t="b">
        <f aca="false">AND(Tasks!$D72&lt;&gt;"",N(Tasks!$T72)&gt;0)</f>
        <v>0</v>
      </c>
      <c r="T72" s="69" t="str">
        <f aca="false">IF($E72="","",IF($M72,IF(AND($G72&gt;=T$5,$G72&lt;T$5+GanttPeriod),"◆",IF(AND($E72&gt;=T$5,$E72&lt;T$5+GanttPeriod),"◇","")),IF(AND(T$5&lt;=$F72,T$5+GanttPeriod-1&gt;=$E72),"━","")))</f>
        <v/>
      </c>
      <c r="U72" s="69" t="str">
        <f aca="false">IF($E72="","",IF($M72,IF(AND($G72&gt;=U$5,$G72&lt;U$5+GanttPeriod),"◆",IF(AND($E72&gt;=U$5,$E72&lt;U$5+GanttPeriod),"◇","")),IF(AND(U$5&lt;=$F72,U$5+GanttPeriod-1&gt;=$E72),"━","")))</f>
        <v/>
      </c>
      <c r="V72" s="69" t="str">
        <f aca="false">IF($E72="","",IF($M72,IF(AND($G72&gt;=V$5,$G72&lt;V$5+GanttPeriod),"◆",IF(AND($E72&gt;=V$5,$E72&lt;V$5+GanttPeriod),"◇","")),IF(AND(V$5&lt;=$F72,V$5+GanttPeriod-1&gt;=$E72),"━","")))</f>
        <v/>
      </c>
      <c r="W72" s="69" t="str">
        <f aca="false">IF($E72="","",IF($M72,IF(AND($G72&gt;=W$5,$G72&lt;W$5+GanttPeriod),"◆",IF(AND($E72&gt;=W$5,$E72&lt;W$5+GanttPeriod),"◇","")),IF(AND(W$5&lt;=$F72,W$5+GanttPeriod-1&gt;=$E72),"━","")))</f>
        <v/>
      </c>
      <c r="X72" s="69" t="str">
        <f aca="false">IF($E72="","",IF($M72,IF(AND($G72&gt;=X$5,$G72&lt;X$5+GanttPeriod),"◆",IF(AND($E72&gt;=X$5,$E72&lt;X$5+GanttPeriod),"◇","")),IF(AND(X$5&lt;=$F72,X$5+GanttPeriod-1&gt;=$E72),"━","")))</f>
        <v/>
      </c>
      <c r="Y72" s="69" t="str">
        <f aca="false">IF($E72="","",IF($M72,IF(AND($G72&gt;=Y$5,$G72&lt;Y$5+GanttPeriod),"◆",IF(AND($E72&gt;=Y$5,$E72&lt;Y$5+GanttPeriod),"◇","")),IF(AND(Y$5&lt;=$F72,Y$5+GanttPeriod-1&gt;=$E72),"━","")))</f>
        <v/>
      </c>
      <c r="Z72" s="69" t="str">
        <f aca="false">IF($E72="","",IF($M72,IF(AND($G72&gt;=Z$5,$G72&lt;Z$5+GanttPeriod),"◆",IF(AND($E72&gt;=Z$5,$E72&lt;Z$5+GanttPeriod),"◇","")),IF(AND(Z$5&lt;=$F72,Z$5+GanttPeriod-1&gt;=$E72),"━","")))</f>
        <v/>
      </c>
      <c r="AA72" s="69" t="str">
        <f aca="false">IF($E72="","",IF($M72,IF(AND($G72&gt;=AA$5,$G72&lt;AA$5+GanttPeriod),"◆",IF(AND($E72&gt;=AA$5,$E72&lt;AA$5+GanttPeriod),"◇","")),IF(AND(AA$5&lt;=$F72,AA$5+GanttPeriod-1&gt;=$E72),"━","")))</f>
        <v/>
      </c>
      <c r="AB72" s="69" t="str">
        <f aca="false">IF($E72="","",IF($M72,IF(AND($G72&gt;=AB$5,$G72&lt;AB$5+GanttPeriod),"◆",IF(AND($E72&gt;=AB$5,$E72&lt;AB$5+GanttPeriod),"◇","")),IF(AND(AB$5&lt;=$F72,AB$5+GanttPeriod-1&gt;=$E72),"━","")))</f>
        <v/>
      </c>
      <c r="AC72" s="69" t="str">
        <f aca="false">IF($E72="","",IF($M72,IF(AND($G72&gt;=AC$5,$G72&lt;AC$5+GanttPeriod),"◆",IF(AND($E72&gt;=AC$5,$E72&lt;AC$5+GanttPeriod),"◇","")),IF(AND(AC$5&lt;=$F72,AC$5+GanttPeriod-1&gt;=$E72),"━","")))</f>
        <v/>
      </c>
      <c r="AD72" s="69" t="str">
        <f aca="false">IF($E72="","",IF($M72,IF(AND($G72&gt;=AD$5,$G72&lt;AD$5+GanttPeriod),"◆",IF(AND($E72&gt;=AD$5,$E72&lt;AD$5+GanttPeriod),"◇","")),IF(AND(AD$5&lt;=$F72,AD$5+GanttPeriod-1&gt;=$E72),"━","")))</f>
        <v/>
      </c>
      <c r="AE72" s="69" t="str">
        <f aca="false">IF($E72="","",IF($M72,IF(AND($G72&gt;=AE$5,$G72&lt;AE$5+GanttPeriod),"◆",IF(AND($E72&gt;=AE$5,$E72&lt;AE$5+GanttPeriod),"◇","")),IF(AND(AE$5&lt;=$F72,AE$5+GanttPeriod-1&gt;=$E72),"━","")))</f>
        <v/>
      </c>
      <c r="AF72" s="69" t="str">
        <f aca="false">IF($E72="","",IF($M72,IF(AND($G72&gt;=AF$5,$G72&lt;AF$5+GanttPeriod),"◆",IF(AND($E72&gt;=AF$5,$E72&lt;AF$5+GanttPeriod),"◇","")),IF(AND(AF$5&lt;=$F72,AF$5+GanttPeriod-1&gt;=$E72),"━","")))</f>
        <v/>
      </c>
      <c r="AG72" s="69" t="str">
        <f aca="false">IF($E72="","",IF($M72,IF(AND($G72&gt;=AG$5,$G72&lt;AG$5+GanttPeriod),"◆",IF(AND($E72&gt;=AG$5,$E72&lt;AG$5+GanttPeriod),"◇","")),IF(AND(AG$5&lt;=$F72,AG$5+GanttPeriod-1&gt;=$E72),"━","")))</f>
        <v/>
      </c>
      <c r="AH72" s="69" t="str">
        <f aca="false">IF($E72="","",IF($M72,IF(AND($G72&gt;=AH$5,$G72&lt;AH$5+GanttPeriod),"◆",IF(AND($E72&gt;=AH$5,$E72&lt;AH$5+GanttPeriod),"◇","")),IF(AND(AH$5&lt;=$F72,AH$5+GanttPeriod-1&gt;=$E72),"━","")))</f>
        <v/>
      </c>
      <c r="AI72" s="69" t="str">
        <f aca="false">IF($E72="","",IF($M72,IF(AND($G72&gt;=AI$5,$G72&lt;AI$5+GanttPeriod),"◆",IF(AND($E72&gt;=AI$5,$E72&lt;AI$5+GanttPeriod),"◇","")),IF(AND(AI$5&lt;=$F72,AI$5+GanttPeriod-1&gt;=$E72),"━","")))</f>
        <v/>
      </c>
      <c r="AJ72" s="69" t="str">
        <f aca="false">IF($E72="","",IF($M72,IF(AND($G72&gt;=AJ$5,$G72&lt;AJ$5+GanttPeriod),"◆",IF(AND($E72&gt;=AJ$5,$E72&lt;AJ$5+GanttPeriod),"◇","")),IF(AND(AJ$5&lt;=$F72,AJ$5+GanttPeriod-1&gt;=$E72),"━","")))</f>
        <v/>
      </c>
      <c r="AK72" s="69" t="str">
        <f aca="false">IF($E72="","",IF($M72,IF(AND($G72&gt;=AK$5,$G72&lt;AK$5+GanttPeriod),"◆",IF(AND($E72&gt;=AK$5,$E72&lt;AK$5+GanttPeriod),"◇","")),IF(AND(AK$5&lt;=$F72,AK$5+GanttPeriod-1&gt;=$E72),"━","")))</f>
        <v/>
      </c>
      <c r="AL72" s="69" t="str">
        <f aca="false">IF($E72="","",IF($M72,IF(AND($G72&gt;=AL$5,$G72&lt;AL$5+GanttPeriod),"◆",IF(AND($E72&gt;=AL$5,$E72&lt;AL$5+GanttPeriod),"◇","")),IF(AND(AL$5&lt;=$F72,AL$5+GanttPeriod-1&gt;=$E72),"━","")))</f>
        <v/>
      </c>
      <c r="AM72" s="69" t="str">
        <f aca="false">IF($E72="","",IF($M72,IF(AND($G72&gt;=AM$5,$G72&lt;AM$5+GanttPeriod),"◆",IF(AND($E72&gt;=AM$5,$E72&lt;AM$5+GanttPeriod),"◇","")),IF(AND(AM$5&lt;=$F72,AM$5+GanttPeriod-1&gt;=$E72),"━","")))</f>
        <v/>
      </c>
      <c r="AN72" s="69" t="str">
        <f aca="false">IF($E72="","",IF($M72,IF(AND($G72&gt;=AN$5,$G72&lt;AN$5+GanttPeriod),"◆",IF(AND($E72&gt;=AN$5,$E72&lt;AN$5+GanttPeriod),"◇","")),IF(AND(AN$5&lt;=$F72,AN$5+GanttPeriod-1&gt;=$E72),"━","")))</f>
        <v/>
      </c>
      <c r="AO72" s="69" t="str">
        <f aca="false">IF($E72="","",IF($M72,IF(AND($G72&gt;=AO$5,$G72&lt;AO$5+GanttPeriod),"◆",IF(AND($E72&gt;=AO$5,$E72&lt;AO$5+GanttPeriod),"◇","")),IF(AND(AO$5&lt;=$F72,AO$5+GanttPeriod-1&gt;=$E72),"━","")))</f>
        <v/>
      </c>
      <c r="AP72" s="69" t="str">
        <f aca="false">IF($E72="","",IF($M72,IF(AND($G72&gt;=AP$5,$G72&lt;AP$5+GanttPeriod),"◆",IF(AND($E72&gt;=AP$5,$E72&lt;AP$5+GanttPeriod),"◇","")),IF(AND(AP$5&lt;=$F72,AP$5+GanttPeriod-1&gt;=$E72),"━","")))</f>
        <v/>
      </c>
      <c r="AQ72" s="69" t="str">
        <f aca="false">IF($E72="","",IF($M72,IF(AND($G72&gt;=AQ$5,$G72&lt;AQ$5+GanttPeriod),"◆",IF(AND($E72&gt;=AQ$5,$E72&lt;AQ$5+GanttPeriod),"◇","")),IF(AND(AQ$5&lt;=$F72,AQ$5+GanttPeriod-1&gt;=$E72),"━","")))</f>
        <v/>
      </c>
      <c r="AR72" s="69" t="str">
        <f aca="false">IF($E72="","",IF($M72,IF(AND($G72&gt;=AR$5,$G72&lt;AR$5+GanttPeriod),"◆",IF(AND($E72&gt;=AR$5,$E72&lt;AR$5+GanttPeriod),"◇","")),IF(AND(AR$5&lt;=$F72,AR$5+GanttPeriod-1&gt;=$E72),"━","")))</f>
        <v/>
      </c>
      <c r="AS72" s="69" t="str">
        <f aca="false">IF($E72="","",IF($M72,IF(AND($G72&gt;=AS$5,$G72&lt;AS$5+GanttPeriod),"◆",IF(AND($E72&gt;=AS$5,$E72&lt;AS$5+GanttPeriod),"◇","")),IF(AND(AS$5&lt;=$F72,AS$5+GanttPeriod-1&gt;=$E72),"━","")))</f>
        <v/>
      </c>
      <c r="AT72" s="69" t="str">
        <f aca="false">IF($E72="","",IF($M72,IF(AND($G72&gt;=AT$5,$G72&lt;AT$5+GanttPeriod),"◆",IF(AND($E72&gt;=AT$5,$E72&lt;AT$5+GanttPeriod),"◇","")),IF(AND(AT$5&lt;=$F72,AT$5+GanttPeriod-1&gt;=$E72),"━","")))</f>
        <v/>
      </c>
      <c r="AU72" s="69" t="str">
        <f aca="false">IF($E72="","",IF($M72,IF(AND($G72&gt;=AU$5,$G72&lt;AU$5+GanttPeriod),"◆",IF(AND($E72&gt;=AU$5,$E72&lt;AU$5+GanttPeriod),"◇","")),IF(AND(AU$5&lt;=$F72,AU$5+GanttPeriod-1&gt;=$E72),"━","")))</f>
        <v/>
      </c>
      <c r="AV72" s="69" t="str">
        <f aca="false">IF($E72="","",IF($M72,IF(AND($G72&gt;=AV$5,$G72&lt;AV$5+GanttPeriod),"◆",IF(AND($E72&gt;=AV$5,$E72&lt;AV$5+GanttPeriod),"◇","")),IF(AND(AV$5&lt;=$F72,AV$5+GanttPeriod-1&gt;=$E72),"━","")))</f>
        <v/>
      </c>
      <c r="AW72" s="69" t="str">
        <f aca="false">IF($E72="","",IF($M72,IF(AND($G72&gt;=AW$5,$G72&lt;AW$5+GanttPeriod),"◆",IF(AND($E72&gt;=AW$5,$E72&lt;AW$5+GanttPeriod),"◇","")),IF(AND(AW$5&lt;=$F72,AW$5+GanttPeriod-1&gt;=$E72),"━","")))</f>
        <v/>
      </c>
      <c r="AX72" s="69" t="str">
        <f aca="false">IF($E72="","",IF($M72,IF(AND($G72&gt;=AX$5,$G72&lt;AX$5+GanttPeriod),"◆",IF(AND($E72&gt;=AX$5,$E72&lt;AX$5+GanttPeriod),"◇","")),IF(AND(AX$5&lt;=$F72,AX$5+GanttPeriod-1&gt;=$E72),"━","")))</f>
        <v/>
      </c>
      <c r="AY72" s="69" t="str">
        <f aca="false">IF($E72="","",IF($M72,IF(AND($G72&gt;=AY$5,$G72&lt;AY$5+GanttPeriod),"◆",IF(AND($E72&gt;=AY$5,$E72&lt;AY$5+GanttPeriod),"◇","")),IF(AND(AY$5&lt;=$F72,AY$5+GanttPeriod-1&gt;=$E72),"━","")))</f>
        <v/>
      </c>
      <c r="AZ72" s="69" t="str">
        <f aca="false">IF($E72="","",IF($M72,IF(AND($G72&gt;=AZ$5,$G72&lt;AZ$5+GanttPeriod),"◆",IF(AND($E72&gt;=AZ$5,$E72&lt;AZ$5+GanttPeriod),"◇","")),IF(AND(AZ$5&lt;=$F72,AZ$5+GanttPeriod-1&gt;=$E72),"━","")))</f>
        <v/>
      </c>
      <c r="BA72" s="69" t="str">
        <f aca="false">IF($E72="","",IF($M72,IF(AND($G72&gt;=BA$5,$G72&lt;BA$5+GanttPeriod),"◆",IF(AND($E72&gt;=BA$5,$E72&lt;BA$5+GanttPeriod),"◇","")),IF(AND(BA$5&lt;=$F72,BA$5+GanttPeriod-1&gt;=$E72),"━","")))</f>
        <v/>
      </c>
      <c r="BB72" s="69" t="str">
        <f aca="false">IF($E72="","",IF($M72,IF(AND($G72&gt;=BB$5,$G72&lt;BB$5+GanttPeriod),"◆",IF(AND($E72&gt;=BB$5,$E72&lt;BB$5+GanttPeriod),"◇","")),IF(AND(BB$5&lt;=$F72,BB$5+GanttPeriod-1&gt;=$E72),"━","")))</f>
        <v/>
      </c>
      <c r="BC72" s="69" t="str">
        <f aca="false">IF($E72="","",IF($M72,IF(AND($G72&gt;=BC$5,$G72&lt;BC$5+GanttPeriod),"◆",IF(AND($E72&gt;=BC$5,$E72&lt;BC$5+GanttPeriod),"◇","")),IF(AND(BC$5&lt;=$F72,BC$5+GanttPeriod-1&gt;=$E72),"━","")))</f>
        <v/>
      </c>
      <c r="BD72" s="69" t="str">
        <f aca="false">IF($E72="","",IF($M72,IF(AND($G72&gt;=BD$5,$G72&lt;BD$5+GanttPeriod),"◆",IF(AND($E72&gt;=BD$5,$E72&lt;BD$5+GanttPeriod),"◇","")),IF(AND(BD$5&lt;=$F72,BD$5+GanttPeriod-1&gt;=$E72),"━","")))</f>
        <v/>
      </c>
      <c r="BE72" s="69" t="str">
        <f aca="false">IF($E72="","",IF($M72,IF(AND($G72&gt;=BE$5,$G72&lt;BE$5+GanttPeriod),"◆",IF(AND($E72&gt;=BE$5,$E72&lt;BE$5+GanttPeriod),"◇","")),IF(AND(BE$5&lt;=$F72,BE$5+GanttPeriod-1&gt;=$E72),"━","")))</f>
        <v/>
      </c>
      <c r="BF72" s="69" t="str">
        <f aca="false">IF($E72="","",IF($M72,IF(AND($G72&gt;=BF$5,$G72&lt;BF$5+GanttPeriod),"◆",IF(AND($E72&gt;=BF$5,$E72&lt;BF$5+GanttPeriod),"◇","")),IF(AND(BF$5&lt;=$F72,BF$5+GanttPeriod-1&gt;=$E72),"━","")))</f>
        <v/>
      </c>
      <c r="BG72" s="69" t="str">
        <f aca="false">IF($E72="","",IF($M72,IF(AND($G72&gt;=BG$5,$G72&lt;BG$5+GanttPeriod),"◆",IF(AND($E72&gt;=BG$5,$E72&lt;BG$5+GanttPeriod),"◇","")),IF(AND(BG$5&lt;=$F72,BG$5+GanttPeriod-1&gt;=$E72),"━","")))</f>
        <v/>
      </c>
      <c r="BH72" s="69" t="str">
        <f aca="false">IF($E72="","",IF($M72,IF(AND($G72&gt;=BH$5,$G72&lt;BH$5+GanttPeriod),"◆",IF(AND($E72&gt;=BH$5,$E72&lt;BH$5+GanttPeriod),"◇","")),IF(AND(BH$5&lt;=$F72,BH$5+GanttPeriod-1&gt;=$E72),"━","")))</f>
        <v/>
      </c>
      <c r="BI72" s="69" t="str">
        <f aca="false">IF($E72="","",IF($M72,IF(AND($G72&gt;=BI$5,$G72&lt;BI$5+GanttPeriod),"◆",IF(AND($E72&gt;=BI$5,$E72&lt;BI$5+GanttPeriod),"◇","")),IF(AND(BI$5&lt;=$F72,BI$5+GanttPeriod-1&gt;=$E72),"━","")))</f>
        <v/>
      </c>
      <c r="BJ72" s="69" t="str">
        <f aca="false">IF($E72="","",IF($M72,IF(AND($G72&gt;=BJ$5,$G72&lt;BJ$5+GanttPeriod),"◆",IF(AND($E72&gt;=BJ$5,$E72&lt;BJ$5+GanttPeriod),"◇","")),IF(AND(BJ$5&lt;=$F72,BJ$5+GanttPeriod-1&gt;=$E72),"━","")))</f>
        <v/>
      </c>
      <c r="BK72" s="69" t="str">
        <f aca="false">IF($E72="","",IF($M72,IF(AND($G72&gt;=BK$5,$G72&lt;BK$5+GanttPeriod),"◆",IF(AND($E72&gt;=BK$5,$E72&lt;BK$5+GanttPeriod),"◇","")),IF(AND(BK$5&lt;=$F72,BK$5+GanttPeriod-1&gt;=$E72),"━","")))</f>
        <v/>
      </c>
      <c r="BL72" s="69" t="str">
        <f aca="false">IF($E72="","",IF($M72,IF(AND($G72&gt;=BL$5,$G72&lt;BL$5+GanttPeriod),"◆",IF(AND($E72&gt;=BL$5,$E72&lt;BL$5+GanttPeriod),"◇","")),IF(AND(BL$5&lt;=$F72,BL$5+GanttPeriod-1&gt;=$E72),"━","")))</f>
        <v/>
      </c>
      <c r="BM72" s="69" t="str">
        <f aca="false">IF($E72="","",IF($M72,IF(AND($G72&gt;=BM$5,$G72&lt;BM$5+GanttPeriod),"◆",IF(AND($E72&gt;=BM$5,$E72&lt;BM$5+GanttPeriod),"◇","")),IF(AND(BM$5&lt;=$F72,BM$5+GanttPeriod-1&gt;=$E72),"━","")))</f>
        <v/>
      </c>
      <c r="BN72" s="69" t="str">
        <f aca="false">IF($E72="","",IF($M72,IF(AND($G72&gt;=BN$5,$G72&lt;BN$5+GanttPeriod),"◆",IF(AND($E72&gt;=BN$5,$E72&lt;BN$5+GanttPeriod),"◇","")),IF(AND(BN$5&lt;=$F72,BN$5+GanttPeriod-1&gt;=$E72),"━","")))</f>
        <v/>
      </c>
      <c r="BO72" s="69" t="str">
        <f aca="false">IF($E72="","",IF($M72,IF(AND($G72&gt;=BO$5,$G72&lt;BO$5+GanttPeriod),"◆",IF(AND($E72&gt;=BO$5,$E72&lt;BO$5+GanttPeriod),"◇","")),IF(AND(BO$5&lt;=$F72,BO$5+GanttPeriod-1&gt;=$E72),"━","")))</f>
        <v/>
      </c>
      <c r="BP72" s="69" t="str">
        <f aca="false">IF($E72="","",IF($M72,IF(AND($G72&gt;=BP$5,$G72&lt;BP$5+GanttPeriod),"◆",IF(AND($E72&gt;=BP$5,$E72&lt;BP$5+GanttPeriod),"◇","")),IF(AND(BP$5&lt;=$F72,BP$5+GanttPeriod-1&gt;=$E72),"━","")))</f>
        <v/>
      </c>
      <c r="BQ72" s="69" t="str">
        <f aca="false">IF($E72="","",IF($M72,IF(AND($G72&gt;=BQ$5,$G72&lt;BQ$5+GanttPeriod),"◆",IF(AND($E72&gt;=BQ$5,$E72&lt;BQ$5+GanttPeriod),"◇","")),IF(AND(BQ$5&lt;=$F72,BQ$5+GanttPeriod-1&gt;=$E72),"━","")))</f>
        <v/>
      </c>
      <c r="BR72" s="69" t="str">
        <f aca="false">IF($E72="","",IF($M72,IF(AND($G72&gt;=BR$5,$G72&lt;BR$5+GanttPeriod),"◆",IF(AND($E72&gt;=BR$5,$E72&lt;BR$5+GanttPeriod),"◇","")),IF(AND(BR$5&lt;=$F72,BR$5+GanttPeriod-1&gt;=$E72),"━","")))</f>
        <v/>
      </c>
      <c r="BS72" s="69" t="str">
        <f aca="false">IF($E72="","",IF($M72,IF(AND($G72&gt;=BS$5,$G72&lt;BS$5+GanttPeriod),"◆",IF(AND($E72&gt;=BS$5,$E72&lt;BS$5+GanttPeriod),"◇","")),IF(AND(BS$5&lt;=$F72,BS$5+GanttPeriod-1&gt;=$E72),"━","")))</f>
        <v/>
      </c>
      <c r="BT72" s="69" t="str">
        <f aca="false">IF($E72="","",IF($M72,IF(AND($G72&gt;=BT$5,$G72&lt;BT$5+GanttPeriod),"◆",IF(AND($E72&gt;=BT$5,$E72&lt;BT$5+GanttPeriod),"◇","")),IF(AND(BT$5&lt;=$F72,BT$5+GanttPeriod-1&gt;=$E72),"━","")))</f>
        <v/>
      </c>
      <c r="BU72" s="69" t="str">
        <f aca="false">IF($E72="","",IF($M72,IF(AND($G72&gt;=BU$5,$G72&lt;BU$5+GanttPeriod),"◆",IF(AND($E72&gt;=BU$5,$E72&lt;BU$5+GanttPeriod),"◇","")),IF(AND(BU$5&lt;=$F72,BU$5+GanttPeriod-1&gt;=$E72),"━","")))</f>
        <v/>
      </c>
      <c r="BV72" s="69" t="str">
        <f aca="false">IF($E72="","",IF($M72,IF(AND($G72&gt;=BV$5,$G72&lt;BV$5+GanttPeriod),"◆",IF(AND($E72&gt;=BV$5,$E72&lt;BV$5+GanttPeriod),"◇","")),IF(AND(BV$5&lt;=$F72,BV$5+GanttPeriod-1&gt;=$E72),"━","")))</f>
        <v/>
      </c>
      <c r="BW72" s="69" t="str">
        <f aca="false">IF($E72="","",IF($M72,IF(AND($G72&gt;=BW$5,$G72&lt;BW$5+GanttPeriod),"◆",IF(AND($E72&gt;=BW$5,$E72&lt;BW$5+GanttPeriod),"◇","")),IF(AND(BW$5&lt;=$F72,BW$5+GanttPeriod-1&gt;=$E72),"━","")))</f>
        <v/>
      </c>
      <c r="BX72" s="69" t="str">
        <f aca="false">IF($E72="","",IF($M72,IF(AND($G72&gt;=BX$5,$G72&lt;BX$5+GanttPeriod),"◆",IF(AND($E72&gt;=BX$5,$E72&lt;BX$5+GanttPeriod),"◇","")),IF(AND(BX$5&lt;=$F72,BX$5+GanttPeriod-1&gt;=$E72),"━","")))</f>
        <v/>
      </c>
      <c r="BY72" s="69" t="str">
        <f aca="false">IF($E72="","",IF($M72,IF(AND($G72&gt;=BY$5,$G72&lt;BY$5+GanttPeriod),"◆",IF(AND($E72&gt;=BY$5,$E72&lt;BY$5+GanttPeriod),"◇","")),IF(AND(BY$5&lt;=$F72,BY$5+GanttPeriod-1&gt;=$E72),"━","")))</f>
        <v/>
      </c>
      <c r="BZ72" s="69" t="str">
        <f aca="false">IF($E72="","",IF($M72,IF(AND($G72&gt;=BZ$5,$G72&lt;BZ$5+GanttPeriod),"◆",IF(AND($E72&gt;=BZ$5,$E72&lt;BZ$5+GanttPeriod),"◇","")),IF(AND(BZ$5&lt;=$F72,BZ$5+GanttPeriod-1&gt;=$E72),"━","")))</f>
        <v/>
      </c>
      <c r="CA72" s="69" t="str">
        <f aca="false">IF($E72="","",IF($M72,IF(AND($G72&gt;=CA$5,$G72&lt;CA$5+GanttPeriod),"◆",IF(AND($E72&gt;=CA$5,$E72&lt;CA$5+GanttPeriod),"◇","")),IF(AND(CA$5&lt;=$F72,CA$5+GanttPeriod-1&gt;=$E72),"━","")))</f>
        <v/>
      </c>
      <c r="CB72" s="69" t="str">
        <f aca="false">IF($E72="","",IF($M72,IF(AND($G72&gt;=CB$5,$G72&lt;CB$5+GanttPeriod),"◆",IF(AND($E72&gt;=CB$5,$E72&lt;CB$5+GanttPeriod),"◇","")),IF(AND(CB$5&lt;=$F72,CB$5+GanttPeriod-1&gt;=$E72),"━","")))</f>
        <v/>
      </c>
      <c r="CC72" s="69" t="str">
        <f aca="false">IF($E72="","",IF($M72,IF(AND($G72&gt;=CC$5,$G72&lt;CC$5+GanttPeriod),"◆",IF(AND($E72&gt;=CC$5,$E72&lt;CC$5+GanttPeriod),"◇","")),IF(AND(CC$5&lt;=$F72,CC$5+GanttPeriod-1&gt;=$E72),"━","")))</f>
        <v/>
      </c>
      <c r="CD72" s="69" t="str">
        <f aca="false">IF($E72="","",IF($M72,IF(AND($G72&gt;=CD$5,$G72&lt;CD$5+GanttPeriod),"◆",IF(AND($E72&gt;=CD$5,$E72&lt;CD$5+GanttPeriod),"◇","")),IF(AND(CD$5&lt;=$F72,CD$5+GanttPeriod-1&gt;=$E72),"━","")))</f>
        <v/>
      </c>
      <c r="CE72" s="69" t="str">
        <f aca="false">IF($E72="","",IF($M72,IF(AND($G72&gt;=CE$5,$G72&lt;CE$5+GanttPeriod),"◆",IF(AND($E72&gt;=CE$5,$E72&lt;CE$5+GanttPeriod),"◇","")),IF(AND(CE$5&lt;=$F72,CE$5+GanttPeriod-1&gt;=$E72),"━","")))</f>
        <v/>
      </c>
      <c r="CF72" s="69" t="str">
        <f aca="false">IF($E72="","",IF($M72,IF(AND($G72&gt;=CF$5,$G72&lt;CF$5+GanttPeriod),"◆",IF(AND($E72&gt;=CF$5,$E72&lt;CF$5+GanttPeriod),"◇","")),IF(AND(CF$5&lt;=$F72,CF$5+GanttPeriod-1&gt;=$E72),"━","")))</f>
        <v/>
      </c>
      <c r="CG72" s="69" t="str">
        <f aca="false">IF($E72="","",IF($M72,IF(AND($G72&gt;=CG$5,$G72&lt;CG$5+GanttPeriod),"◆",IF(AND($E72&gt;=CG$5,$E72&lt;CG$5+GanttPeriod),"◇","")),IF(AND(CG$5&lt;=$F72,CG$5+GanttPeriod-1&gt;=$E72),"━","")))</f>
        <v/>
      </c>
      <c r="CH72" s="69" t="str">
        <f aca="false">IF($E72="","",IF($M72,IF(AND($G72&gt;=CH$5,$G72&lt;CH$5+GanttPeriod),"◆",IF(AND($E72&gt;=CH$5,$E72&lt;CH$5+GanttPeriod),"◇","")),IF(AND(CH$5&lt;=$F72,CH$5+GanttPeriod-1&gt;=$E72),"━","")))</f>
        <v/>
      </c>
      <c r="CI72" s="69" t="str">
        <f aca="false">IF($E72="","",IF($M72,IF(AND($G72&gt;=CI$5,$G72&lt;CI$5+GanttPeriod),"◆",IF(AND($E72&gt;=CI$5,$E72&lt;CI$5+GanttPeriod),"◇","")),IF(AND(CI$5&lt;=$F72,CI$5+GanttPeriod-1&gt;=$E72),"━","")))</f>
        <v/>
      </c>
      <c r="CJ72" s="69" t="str">
        <f aca="false">IF($E72="","",IF($M72,IF(AND($G72&gt;=CJ$5,$G72&lt;CJ$5+GanttPeriod),"◆",IF(AND($E72&gt;=CJ$5,$E72&lt;CJ$5+GanttPeriod),"◇","")),IF(AND(CJ$5&lt;=$F72,CJ$5+GanttPeriod-1&gt;=$E72),"━","")))</f>
        <v/>
      </c>
      <c r="CK72" s="69" t="str">
        <f aca="false">IF($E72="","",IF($M72,IF(AND($G72&gt;=CK$5,$G72&lt;CK$5+GanttPeriod),"◆",IF(AND($E72&gt;=CK$5,$E72&lt;CK$5+GanttPeriod),"◇","")),IF(AND(CK$5&lt;=$F72,CK$5+GanttPeriod-1&gt;=$E72),"━","")))</f>
        <v/>
      </c>
      <c r="CL72" s="69" t="str">
        <f aca="false">IF($E72="","",IF($M72,IF(AND($G72&gt;=CL$5,$G72&lt;CL$5+GanttPeriod),"◆",IF(AND($E72&gt;=CL$5,$E72&lt;CL$5+GanttPeriod),"◇","")),IF(AND(CL$5&lt;=$F72,CL$5+GanttPeriod-1&gt;=$E72),"━","")))</f>
        <v/>
      </c>
      <c r="CM72" s="69" t="str">
        <f aca="false">IF($E72="","",IF($M72,IF(AND($G72&gt;=CM$5,$G72&lt;CM$5+GanttPeriod),"◆",IF(AND($E72&gt;=CM$5,$E72&lt;CM$5+GanttPeriod),"◇","")),IF(AND(CM$5&lt;=$F72,CM$5+GanttPeriod-1&gt;=$E72),"━","")))</f>
        <v/>
      </c>
      <c r="CN72" s="69" t="str">
        <f aca="false">IF($E72="","",IF($M72,IF(AND($G72&gt;=CN$5,$G72&lt;CN$5+GanttPeriod),"◆",IF(AND($E72&gt;=CN$5,$E72&lt;CN$5+GanttPeriod),"◇","")),IF(AND(CN$5&lt;=$F72,CN$5+GanttPeriod-1&gt;=$E72),"━","")))</f>
        <v/>
      </c>
      <c r="CO72" s="69" t="str">
        <f aca="false">IF($E72="","",IF($M72,IF(AND($G72&gt;=CO$5,$G72&lt;CO$5+GanttPeriod),"◆",IF(AND($E72&gt;=CO$5,$E72&lt;CO$5+GanttPeriod),"◇","")),IF(AND(CO$5&lt;=$F72,CO$5+GanttPeriod-1&gt;=$E72),"━","")))</f>
        <v/>
      </c>
      <c r="CP72" s="69" t="str">
        <f aca="false">IF($E72="","",IF($M72,IF(AND($G72&gt;=CP$5,$G72&lt;CP$5+GanttPeriod),"◆",IF(AND($E72&gt;=CP$5,$E72&lt;CP$5+GanttPeriod),"◇","")),IF(AND(CP$5&lt;=$F72,CP$5+GanttPeriod-1&gt;=$E72),"━","")))</f>
        <v/>
      </c>
      <c r="CQ72" s="69" t="str">
        <f aca="false">IF($E72="","",IF($M72,IF(AND($G72&gt;=CQ$5,$G72&lt;CQ$5+GanttPeriod),"◆",IF(AND($E72&gt;=CQ$5,$E72&lt;CQ$5+GanttPeriod),"◇","")),IF(AND(CQ$5&lt;=$F72,CQ$5+GanttPeriod-1&gt;=$E72),"━","")))</f>
        <v/>
      </c>
      <c r="CR72" s="69" t="str">
        <f aca="false">IF($E72="","",IF($M72,IF(AND($G72&gt;=CR$5,$G72&lt;CR$5+GanttPeriod),"◆",IF(AND($E72&gt;=CR$5,$E72&lt;CR$5+GanttPeriod),"◇","")),IF(AND(CR$5&lt;=$F72,CR$5+GanttPeriod-1&gt;=$E72),"━","")))</f>
        <v/>
      </c>
      <c r="CS72" s="69" t="str">
        <f aca="false">IF($E72="","",IF($M72,IF(AND($G72&gt;=CS$5,$G72&lt;CS$5+GanttPeriod),"◆",IF(AND($E72&gt;=CS$5,$E72&lt;CS$5+GanttPeriod),"◇","")),IF(AND(CS$5&lt;=$F72,CS$5+GanttPeriod-1&gt;=$E72),"━","")))</f>
        <v/>
      </c>
      <c r="CT72" s="69" t="str">
        <f aca="false">IF($E72="","",IF($M72,IF(AND($G72&gt;=CT$5,$G72&lt;CT$5+GanttPeriod),"◆",IF(AND($E72&gt;=CT$5,$E72&lt;CT$5+GanttPeriod),"◇","")),IF(AND(CT$5&lt;=$F72,CT$5+GanttPeriod-1&gt;=$E72),"━","")))</f>
        <v/>
      </c>
      <c r="CU72" s="69" t="str">
        <f aca="false">IF($E72="","",IF($M72,IF(AND($G72&gt;=CU$5,$G72&lt;CU$5+GanttPeriod),"◆",IF(AND($E72&gt;=CU$5,$E72&lt;CU$5+GanttPeriod),"◇","")),IF(AND(CU$5&lt;=$F72,CU$5+GanttPeriod-1&gt;=$E72),"━","")))</f>
        <v/>
      </c>
      <c r="CV72" s="69" t="str">
        <f aca="false">IF($E72="","",IF($M72,IF(AND($G72&gt;=CV$5,$G72&lt;CV$5+GanttPeriod),"◆",IF(AND($E72&gt;=CV$5,$E72&lt;CV$5+GanttPeriod),"◇","")),IF(AND(CV$5&lt;=$F72,CV$5+GanttPeriod-1&gt;=$E72),"━","")))</f>
        <v/>
      </c>
      <c r="CW72" s="69" t="str">
        <f aca="false">IF($E72="","",IF($M72,IF(AND($G72&gt;=CW$5,$G72&lt;CW$5+GanttPeriod),"◆",IF(AND($E72&gt;=CW$5,$E72&lt;CW$5+GanttPeriod),"◇","")),IF(AND(CW$5&lt;=$F72,CW$5+GanttPeriod-1&gt;=$E72),"━","")))</f>
        <v/>
      </c>
      <c r="CX72" s="69" t="str">
        <f aca="false">IF($E72="","",IF($M72,IF(AND($G72&gt;=CX$5,$G72&lt;CX$5+GanttPeriod),"◆",IF(AND($E72&gt;=CX$5,$E72&lt;CX$5+GanttPeriod),"◇","")),IF(AND(CX$5&lt;=$F72,CX$5+GanttPeriod-1&gt;=$E72),"━","")))</f>
        <v/>
      </c>
      <c r="CY72" s="69" t="str">
        <f aca="false">IF($E72="","",IF($M72,IF(AND($G72&gt;=CY$5,$G72&lt;CY$5+GanttPeriod),"◆",IF(AND($E72&gt;=CY$5,$E72&lt;CY$5+GanttPeriod),"◇","")),IF(AND(CY$5&lt;=$F72,CY$5+GanttPeriod-1&gt;=$E72),"━","")))</f>
        <v/>
      </c>
      <c r="CZ72" s="69" t="str">
        <f aca="false">IF($E72="","",IF($M72,IF(AND($G72&gt;=CZ$5,$G72&lt;CZ$5+GanttPeriod),"◆",IF(AND($E72&gt;=CZ$5,$E72&lt;CZ$5+GanttPeriod),"◇","")),IF(AND(CZ$5&lt;=$F72,CZ$5+GanttPeriod-1&gt;=$E72),"━","")))</f>
        <v/>
      </c>
      <c r="DA72" s="69" t="str">
        <f aca="false">IF($E72="","",IF($M72,IF(AND($G72&gt;=DA$5,$G72&lt;DA$5+GanttPeriod),"◆",IF(AND($E72&gt;=DA$5,$E72&lt;DA$5+GanttPeriod),"◇","")),IF(AND(DA$5&lt;=$F72,DA$5+GanttPeriod-1&gt;=$E72),"━","")))</f>
        <v/>
      </c>
      <c r="DB72" s="69" t="str">
        <f aca="false">IF($E72="","",IF($M72,IF(AND($G72&gt;=DB$5,$G72&lt;DB$5+GanttPeriod),"◆",IF(AND($E72&gt;=DB$5,$E72&lt;DB$5+GanttPeriod),"◇","")),IF(AND(DB$5&lt;=$F72,DB$5+GanttPeriod-1&gt;=$E72),"━","")))</f>
        <v/>
      </c>
      <c r="DC72" s="69" t="str">
        <f aca="false">IF($E72="","",IF($M72,IF(AND($G72&gt;=DC$5,$G72&lt;DC$5+GanttPeriod),"◆",IF(AND($E72&gt;=DC$5,$E72&lt;DC$5+GanttPeriod),"◇","")),IF(AND(DC$5&lt;=$F72,DC$5+GanttPeriod-1&gt;=$E72),"━","")))</f>
        <v/>
      </c>
      <c r="DD72" s="69" t="str">
        <f aca="false">IF($E72="","",IF($M72,IF(AND($G72&gt;=DD$5,$G72&lt;DD$5+GanttPeriod),"◆",IF(AND($E72&gt;=DD$5,$E72&lt;DD$5+GanttPeriod),"◇","")),IF(AND(DD$5&lt;=$F72,DD$5+GanttPeriod-1&gt;=$E72),"━","")))</f>
        <v/>
      </c>
      <c r="DE72" s="69" t="str">
        <f aca="false">IF($E72="","",IF($M72,IF(AND($G72&gt;=DE$5,$G72&lt;DE$5+GanttPeriod),"◆",IF(AND($E72&gt;=DE$5,$E72&lt;DE$5+GanttPeriod),"◇","")),IF(AND(DE$5&lt;=$F72,DE$5+GanttPeriod-1&gt;=$E72),"━","")))</f>
        <v/>
      </c>
      <c r="DF72" s="69" t="str">
        <f aca="false">IF($E72="","",IF($M72,IF(AND($G72&gt;=DF$5,$G72&lt;DF$5+GanttPeriod),"◆",IF(AND($E72&gt;=DF$5,$E72&lt;DF$5+GanttPeriod),"◇","")),IF(AND(DF$5&lt;=$F72,DF$5+GanttPeriod-1&gt;=$E72),"━","")))</f>
        <v/>
      </c>
      <c r="DG72" s="69" t="str">
        <f aca="false">IF($E72="","",IF($M72,IF(AND($G72&gt;=DG$5,$G72&lt;DG$5+GanttPeriod),"◆",IF(AND($E72&gt;=DG$5,$E72&lt;DG$5+GanttPeriod),"◇","")),IF(AND(DG$5&lt;=$F72,DG$5+GanttPeriod-1&gt;=$E72),"━","")))</f>
        <v/>
      </c>
      <c r="DH72" s="69" t="str">
        <f aca="false">IF($E72="","",IF($M72,IF(AND($G72&gt;=DH$5,$G72&lt;DH$5+GanttPeriod),"◆",IF(AND($E72&gt;=DH$5,$E72&lt;DH$5+GanttPeriod),"◇","")),IF(AND(DH$5&lt;=$F72,DH$5+GanttPeriod-1&gt;=$E72),"━","")))</f>
        <v/>
      </c>
      <c r="DI72" s="69" t="str">
        <f aca="false">IF($E72="","",IF($M72,IF(AND($G72&gt;=DI$5,$G72&lt;DI$5+GanttPeriod),"◆",IF(AND($E72&gt;=DI$5,$E72&lt;DI$5+GanttPeriod),"◇","")),IF(AND(DI$5&lt;=$F72,DI$5+GanttPeriod-1&gt;=$E72),"━","")))</f>
        <v/>
      </c>
      <c r="DJ72" s="69" t="str">
        <f aca="false">IF($E72="","",IF($M72,IF(AND($G72&gt;=DJ$5,$G72&lt;DJ$5+GanttPeriod),"◆",IF(AND($E72&gt;=DJ$5,$E72&lt;DJ$5+GanttPeriod),"◇","")),IF(AND(DJ$5&lt;=$F72,DJ$5+GanttPeriod-1&gt;=$E72),"━","")))</f>
        <v/>
      </c>
      <c r="DK72" s="69" t="str">
        <f aca="false">IF($E72="","",IF($M72,IF(AND($G72&gt;=DK$5,$G72&lt;DK$5+GanttPeriod),"◆",IF(AND($E72&gt;=DK$5,$E72&lt;DK$5+GanttPeriod),"◇","")),IF(AND(DK$5&lt;=$F72,DK$5+GanttPeriod-1&gt;=$E72),"━","")))</f>
        <v/>
      </c>
      <c r="DL72" s="69" t="str">
        <f aca="false">IF($E72="","",IF($M72,IF(AND($G72&gt;=DL$5,$G72&lt;DL$5+GanttPeriod),"◆",IF(AND($E72&gt;=DL$5,$E72&lt;DL$5+GanttPeriod),"◇","")),IF(AND(DL$5&lt;=$F72,DL$5+GanttPeriod-1&gt;=$E72),"━","")))</f>
        <v/>
      </c>
      <c r="DM72" s="69" t="str">
        <f aca="false">IF($E72="","",IF($M72,IF(AND($G72&gt;=DM$5,$G72&lt;DM$5+GanttPeriod),"◆",IF(AND($E72&gt;=DM$5,$E72&lt;DM$5+GanttPeriod),"◇","")),IF(AND(DM$5&lt;=$F72,DM$5+GanttPeriod-1&gt;=$E72),"━","")))</f>
        <v/>
      </c>
      <c r="DN72" s="69" t="str">
        <f aca="false">IF($E72="","",IF($M72,IF(AND($G72&gt;=DN$5,$G72&lt;DN$5+GanttPeriod),"◆",IF(AND($E72&gt;=DN$5,$E72&lt;DN$5+GanttPeriod),"◇","")),IF(AND(DN$5&lt;=$F72,DN$5+GanttPeriod-1&gt;=$E72),"━","")))</f>
        <v/>
      </c>
      <c r="DO72" s="69" t="str">
        <f aca="false">IF($E72="","",IF($M72,IF(AND($G72&gt;=DO$5,$G72&lt;DO$5+GanttPeriod),"◆",IF(AND($E72&gt;=DO$5,$E72&lt;DO$5+GanttPeriod),"◇","")),IF(AND(DO$5&lt;=$F72,DO$5+GanttPeriod-1&gt;=$E72),"━","")))</f>
        <v/>
      </c>
      <c r="DP72" s="69" t="str">
        <f aca="false">IF($E72="","",IF($M72,IF(AND($G72&gt;=DP$5,$G72&lt;DP$5+GanttPeriod),"◆",IF(AND($E72&gt;=DP$5,$E72&lt;DP$5+GanttPeriod),"◇","")),IF(AND(DP$5&lt;=$F72,DP$5+GanttPeriod-1&gt;=$E72),"━","")))</f>
        <v/>
      </c>
      <c r="DQ72" s="69" t="str">
        <f aca="false">IF($E72="","",IF($M72,IF(AND($G72&gt;=DQ$5,$G72&lt;DQ$5+GanttPeriod),"◆",IF(AND($E72&gt;=DQ$5,$E72&lt;DQ$5+GanttPeriod),"◇","")),IF(AND(DQ$5&lt;=$F72,DQ$5+GanttPeriod-1&gt;=$E72),"━","")))</f>
        <v/>
      </c>
      <c r="DR72" s="69" t="str">
        <f aca="false">IF($E72="","",IF($M72,IF(AND($G72&gt;=DR$5,$G72&lt;DR$5+GanttPeriod),"◆",IF(AND($E72&gt;=DR$5,$E72&lt;DR$5+GanttPeriod),"◇","")),IF(AND(DR$5&lt;=$F72,DR$5+GanttPeriod-1&gt;=$E72),"━","")))</f>
        <v/>
      </c>
      <c r="DS72" s="69" t="str">
        <f aca="false">IF($E72="","",IF($M72,IF(AND($G72&gt;=DS$5,$G72&lt;DS$5+GanttPeriod),"◆",IF(AND($E72&gt;=DS$5,$E72&lt;DS$5+GanttPeriod),"◇","")),IF(AND(DS$5&lt;=$F72,DS$5+GanttPeriod-1&gt;=$E72),"━","")))</f>
        <v/>
      </c>
      <c r="DT72" s="69" t="str">
        <f aca="false">IF($E72="","",IF($M72,IF(AND($G72&gt;=DT$5,$G72&lt;DT$5+GanttPeriod),"◆",IF(AND($E72&gt;=DT$5,$E72&lt;DT$5+GanttPeriod),"◇","")),IF(AND(DT$5&lt;=$F72,DT$5+GanttPeriod-1&gt;=$E72),"━","")))</f>
        <v/>
      </c>
      <c r="DU72" s="69" t="str">
        <f aca="false">IF($E72="","",IF($M72,IF(AND($G72&gt;=DU$5,$G72&lt;DU$5+GanttPeriod),"◆",IF(AND($E72&gt;=DU$5,$E72&lt;DU$5+GanttPeriod),"◇","")),IF(AND(DU$5&lt;=$F72,DU$5+GanttPeriod-1&gt;=$E72),"━","")))</f>
        <v/>
      </c>
      <c r="DV72" s="69" t="str">
        <f aca="false">IF($E72="","",IF($M72,IF(AND($G72&gt;=DV$5,$G72&lt;DV$5+GanttPeriod),"◆",IF(AND($E72&gt;=DV$5,$E72&lt;DV$5+GanttPeriod),"◇","")),IF(AND(DV$5&lt;=$F72,DV$5+GanttPeriod-1&gt;=$E72),"━","")))</f>
        <v/>
      </c>
      <c r="DW72" s="69" t="str">
        <f aca="false">IF($E72="","",IF($M72,IF(AND($G72&gt;=DW$5,$G72&lt;DW$5+GanttPeriod),"◆",IF(AND($E72&gt;=DW$5,$E72&lt;DW$5+GanttPeriod),"◇","")),IF(AND(DW$5&lt;=$F72,DW$5+GanttPeriod-1&gt;=$E72),"━","")))</f>
        <v/>
      </c>
      <c r="DX72" s="69" t="str">
        <f aca="false">IF($E72="","",IF($M72,IF(AND($G72&gt;=DX$5,$G72&lt;DX$5+GanttPeriod),"◆",IF(AND($E72&gt;=DX$5,$E72&lt;DX$5+GanttPeriod),"◇","")),IF(AND(DX$5&lt;=$F72,DX$5+GanttPeriod-1&gt;=$E72),"━","")))</f>
        <v/>
      </c>
      <c r="DY72" s="69" t="str">
        <f aca="false">IF($E72="","",IF($M72,IF(AND($G72&gt;=DY$5,$G72&lt;DY$5+GanttPeriod),"◆",IF(AND($E72&gt;=DY$5,$E72&lt;DY$5+GanttPeriod),"◇","")),IF(AND(DY$5&lt;=$F72,DY$5+GanttPeriod-1&gt;=$E72),"━","")))</f>
        <v/>
      </c>
      <c r="DZ72" s="69" t="str">
        <f aca="false">IF($E72="","",IF($M72,IF(AND($G72&gt;=DZ$5,$G72&lt;DZ$5+GanttPeriod),"◆",IF(AND($E72&gt;=DZ$5,$E72&lt;DZ$5+GanttPeriod),"◇","")),IF(AND(DZ$5&lt;=$F72,DZ$5+GanttPeriod-1&gt;=$E72),"━","")))</f>
        <v/>
      </c>
      <c r="EA72" s="69" t="str">
        <f aca="false">IF($E72="","",IF($M72,IF(AND($G72&gt;=EA$5,$G72&lt;EA$5+GanttPeriod),"◆",IF(AND($E72&gt;=EA$5,$E72&lt;EA$5+GanttPeriod),"◇","")),IF(AND(EA$5&lt;=$F72,EA$5+GanttPeriod-1&gt;=$E72),"━","")))</f>
        <v/>
      </c>
      <c r="EB72" s="69" t="str">
        <f aca="false">IF($E72="","",IF($M72,IF(AND($G72&gt;=EB$5,$G72&lt;EB$5+GanttPeriod),"◆",IF(AND($E72&gt;=EB$5,$E72&lt;EB$5+GanttPeriod),"◇","")),IF(AND(EB$5&lt;=$F72,EB$5+GanttPeriod-1&gt;=$E72),"━","")))</f>
        <v/>
      </c>
      <c r="EC72" s="69" t="str">
        <f aca="false">IF($E72="","",IF($M72,IF(AND($G72&gt;=EC$5,$G72&lt;EC$5+GanttPeriod),"◆",IF(AND($E72&gt;=EC$5,$E72&lt;EC$5+GanttPeriod),"◇","")),IF(AND(EC$5&lt;=$F72,EC$5+GanttPeriod-1&gt;=$E72),"━","")))</f>
        <v/>
      </c>
      <c r="ED72" s="69" t="str">
        <f aca="false">IF($E72="","",IF($M72,IF(AND($G72&gt;=ED$5,$G72&lt;ED$5+GanttPeriod),"◆",IF(AND($E72&gt;=ED$5,$E72&lt;ED$5+GanttPeriod),"◇","")),IF(AND(ED$5&lt;=$F72,ED$5+GanttPeriod-1&gt;=$E72),"━","")))</f>
        <v/>
      </c>
      <c r="EE72" s="69" t="str">
        <f aca="false">IF($E72="","",IF($M72,IF(AND($G72&gt;=EE$5,$G72&lt;EE$5+GanttPeriod),"◆",IF(AND($E72&gt;=EE$5,$E72&lt;EE$5+GanttPeriod),"◇","")),IF(AND(EE$5&lt;=$F72,EE$5+GanttPeriod-1&gt;=$E72),"━","")))</f>
        <v/>
      </c>
      <c r="EF72" s="69" t="str">
        <f aca="false">IF($E72="","",IF($M72,IF(AND($G72&gt;=EF$5,$G72&lt;EF$5+GanttPeriod),"◆",IF(AND($E72&gt;=EF$5,$E72&lt;EF$5+GanttPeriod),"◇","")),IF(AND(EF$5&lt;=$F72,EF$5+GanttPeriod-1&gt;=$E72),"━","")))</f>
        <v/>
      </c>
      <c r="EG72" s="69" t="str">
        <f aca="false">IF($E72="","",IF($M72,IF(AND($G72&gt;=EG$5,$G72&lt;EG$5+GanttPeriod),"◆",IF(AND($E72&gt;=EG$5,$E72&lt;EG$5+GanttPeriod),"◇","")),IF(AND(EG$5&lt;=$F72,EG$5+GanttPeriod-1&gt;=$E72),"━","")))</f>
        <v/>
      </c>
      <c r="EH72" s="69" t="str">
        <f aca="false">IF($E72="","",IF($M72,IF(AND($G72&gt;=EH$5,$G72&lt;EH$5+GanttPeriod),"◆",IF(AND($E72&gt;=EH$5,$E72&lt;EH$5+GanttPeriod),"◇","")),IF(AND(EH$5&lt;=$F72,EH$5+GanttPeriod-1&gt;=$E72),"━","")))</f>
        <v/>
      </c>
      <c r="EI72" s="69" t="str">
        <f aca="false">IF($E72="","",IF($M72,IF(AND($G72&gt;=EI$5,$G72&lt;EI$5+GanttPeriod),"◆",IF(AND($E72&gt;=EI$5,$E72&lt;EI$5+GanttPeriod),"◇","")),IF(AND(EI$5&lt;=$F72,EI$5+GanttPeriod-1&gt;=$E72),"━","")))</f>
        <v/>
      </c>
      <c r="EJ72" s="69" t="str">
        <f aca="false">IF($E72="","",IF($M72,IF(AND($G72&gt;=EJ$5,$G72&lt;EJ$5+GanttPeriod),"◆",IF(AND($E72&gt;=EJ$5,$E72&lt;EJ$5+GanttPeriod),"◇","")),IF(AND(EJ$5&lt;=$F72,EJ$5+GanttPeriod-1&gt;=$E72),"━","")))</f>
        <v/>
      </c>
      <c r="EK72" s="69" t="str">
        <f aca="false">IF($E72="","",IF($M72,IF(AND($G72&gt;=EK$5,$G72&lt;EK$5+GanttPeriod),"◆",IF(AND($E72&gt;=EK$5,$E72&lt;EK$5+GanttPeriod),"◇","")),IF(AND(EK$5&lt;=$F72,EK$5+GanttPeriod-1&gt;=$E72),"━","")))</f>
        <v/>
      </c>
      <c r="EL72" s="69" t="str">
        <f aca="false">IF($E72="","",IF($M72,IF(AND($G72&gt;=EL$5,$G72&lt;EL$5+GanttPeriod),"◆",IF(AND($E72&gt;=EL$5,$E72&lt;EL$5+GanttPeriod),"◇","")),IF(AND(EL$5&lt;=$F72,EL$5+GanttPeriod-1&gt;=$E72),"━","")))</f>
        <v/>
      </c>
      <c r="EM72" s="69" t="str">
        <f aca="false">IF($E72="","",IF($M72,IF(AND($G72&gt;=EM$5,$G72&lt;EM$5+GanttPeriod),"◆",IF(AND($E72&gt;=EM$5,$E72&lt;EM$5+GanttPeriod),"◇","")),IF(AND(EM$5&lt;=$F72,EM$5+GanttPeriod-1&gt;=$E72),"━","")))</f>
        <v/>
      </c>
      <c r="EN72" s="69" t="str">
        <f aca="false">IF($E72="","",IF($M72,IF(AND($G72&gt;=EN$5,$G72&lt;EN$5+GanttPeriod),"◆",IF(AND($E72&gt;=EN$5,$E72&lt;EN$5+GanttPeriod),"◇","")),IF(AND(EN$5&lt;=$F72,EN$5+GanttPeriod-1&gt;=$E72),"━","")))</f>
        <v/>
      </c>
      <c r="EO72" s="69" t="str">
        <f aca="false">IF($E72="","",IF($M72,IF(AND($G72&gt;=EO$5,$G72&lt;EO$5+GanttPeriod),"◆",IF(AND($E72&gt;=EO$5,$E72&lt;EO$5+GanttPeriod),"◇","")),IF(AND(EO$5&lt;=$F72,EO$5+GanttPeriod-1&gt;=$E72),"━","")))</f>
        <v/>
      </c>
      <c r="EP72" s="69" t="str">
        <f aca="false">IF($E72="","",IF($M72,IF(AND($G72&gt;=EP$5,$G72&lt;EP$5+GanttPeriod),"◆",IF(AND($E72&gt;=EP$5,$E72&lt;EP$5+GanttPeriod),"◇","")),IF(AND(EP$5&lt;=$F72,EP$5+GanttPeriod-1&gt;=$E72),"━","")))</f>
        <v/>
      </c>
      <c r="EQ72" s="69" t="str">
        <f aca="false">IF($E72="","",IF($M72,IF(AND($G72&gt;=EQ$5,$G72&lt;EQ$5+GanttPeriod),"◆",IF(AND($E72&gt;=EQ$5,$E72&lt;EQ$5+GanttPeriod),"◇","")),IF(AND(EQ$5&lt;=$F72,EQ$5+GanttPeriod-1&gt;=$E72),"━","")))</f>
        <v/>
      </c>
      <c r="ER72" s="69" t="str">
        <f aca="false">IF($E72="","",IF($M72,IF(AND($G72&gt;=ER$5,$G72&lt;ER$5+GanttPeriod),"◆",IF(AND($E72&gt;=ER$5,$E72&lt;ER$5+GanttPeriod),"◇","")),IF(AND(ER$5&lt;=$F72,ER$5+GanttPeriod-1&gt;=$E72),"━","")))</f>
        <v/>
      </c>
      <c r="ES72" s="69" t="str">
        <f aca="false">IF($E72="","",IF($M72,IF(AND($G72&gt;=ES$5,$G72&lt;ES$5+GanttPeriod),"◆",IF(AND($E72&gt;=ES$5,$E72&lt;ES$5+GanttPeriod),"◇","")),IF(AND(ES$5&lt;=$F72,ES$5+GanttPeriod-1&gt;=$E72),"━","")))</f>
        <v/>
      </c>
      <c r="ET72" s="69" t="str">
        <f aca="false">IF($E72="","",IF($M72,IF(AND($G72&gt;=ET$5,$G72&lt;ET$5+GanttPeriod),"◆",IF(AND($E72&gt;=ET$5,$E72&lt;ET$5+GanttPeriod),"◇","")),IF(AND(ET$5&lt;=$F72,ET$5+GanttPeriod-1&gt;=$E72),"━","")))</f>
        <v/>
      </c>
      <c r="EU72" s="69" t="str">
        <f aca="false">IF($E72="","",IF($M72,IF(AND($G72&gt;=EU$5,$G72&lt;EU$5+GanttPeriod),"◆",IF(AND($E72&gt;=EU$5,$E72&lt;EU$5+GanttPeriod),"◇","")),IF(AND(EU$5&lt;=$F72,EU$5+GanttPeriod-1&gt;=$E72),"━","")))</f>
        <v/>
      </c>
      <c r="EV72" s="69" t="str">
        <f aca="false">IF($E72="","",IF($M72,IF(AND($G72&gt;=EV$5,$G72&lt;EV$5+GanttPeriod),"◆",IF(AND($E72&gt;=EV$5,$E72&lt;EV$5+GanttPeriod),"◇","")),IF(AND(EV$5&lt;=$F72,EV$5+GanttPeriod-1&gt;=$E72),"━","")))</f>
        <v/>
      </c>
      <c r="EW72" s="69" t="str">
        <f aca="false">IF($E72="","",IF($M72,IF(AND($G72&gt;=EW$5,$G72&lt;EW$5+GanttPeriod),"◆",IF(AND($E72&gt;=EW$5,$E72&lt;EW$5+GanttPeriod),"◇","")),IF(AND(EW$5&lt;=$F72,EW$5+GanttPeriod-1&gt;=$E72),"━","")))</f>
        <v/>
      </c>
      <c r="EX72" s="69" t="str">
        <f aca="false">IF($E72="","",IF($M72,IF(AND($G72&gt;=EX$5,$G72&lt;EX$5+GanttPeriod),"◆",IF(AND($E72&gt;=EX$5,$E72&lt;EX$5+GanttPeriod),"◇","")),IF(AND(EX$5&lt;=$F72,EX$5+GanttPeriod-1&gt;=$E72),"━","")))</f>
        <v/>
      </c>
      <c r="EY72" s="69" t="str">
        <f aca="false">IF($E72="","",IF($M72,IF(AND($G72&gt;=EY$5,$G72&lt;EY$5+GanttPeriod),"◆",IF(AND($E72&gt;=EY$5,$E72&lt;EY$5+GanttPeriod),"◇","")),IF(AND(EY$5&lt;=$F72,EY$5+GanttPeriod-1&gt;=$E72),"━","")))</f>
        <v/>
      </c>
      <c r="EZ72" s="69" t="str">
        <f aca="false">IF($E72="","",IF($M72,IF(AND($G72&gt;=EZ$5,$G72&lt;EZ$5+GanttPeriod),"◆",IF(AND($E72&gt;=EZ$5,$E72&lt;EZ$5+GanttPeriod),"◇","")),IF(AND(EZ$5&lt;=$F72,EZ$5+GanttPeriod-1&gt;=$E72),"━","")))</f>
        <v/>
      </c>
      <c r="FA72" s="69" t="str">
        <f aca="false">IF($E72="","",IF($M72,IF(AND($G72&gt;=FA$5,$G72&lt;FA$5+GanttPeriod),"◆",IF(AND($E72&gt;=FA$5,$E72&lt;FA$5+GanttPeriod),"◇","")),IF(AND(FA$5&lt;=$F72,FA$5+GanttPeriod-1&gt;=$E72),"━","")))</f>
        <v/>
      </c>
      <c r="FB72" s="69" t="str">
        <f aca="false">IF($E72="","",IF($M72,IF(AND($G72&gt;=FB$5,$G72&lt;FB$5+GanttPeriod),"◆",IF(AND($E72&gt;=FB$5,$E72&lt;FB$5+GanttPeriod),"◇","")),IF(AND(FB$5&lt;=$F72,FB$5+GanttPeriod-1&gt;=$E72),"━","")))</f>
        <v/>
      </c>
      <c r="FC72" s="69" t="str">
        <f aca="false">IF($E72="","",IF($M72,IF(AND($G72&gt;=FC$5,$G72&lt;FC$5+GanttPeriod),"◆",IF(AND($E72&gt;=FC$5,$E72&lt;FC$5+GanttPeriod),"◇","")),IF(AND(FC$5&lt;=$F72,FC$5+GanttPeriod-1&gt;=$E72),"━","")))</f>
        <v/>
      </c>
      <c r="FD72" s="69" t="str">
        <f aca="false">IF($E72="","",IF($M72,IF(AND($G72&gt;=FD$5,$G72&lt;FD$5+GanttPeriod),"◆",IF(AND($E72&gt;=FD$5,$E72&lt;FD$5+GanttPeriod),"◇","")),IF(AND(FD$5&lt;=$F72,FD$5+GanttPeriod-1&gt;=$E72),"━","")))</f>
        <v/>
      </c>
      <c r="FE72" s="69" t="str">
        <f aca="false">IF($E72="","",IF($M72,IF(AND($G72&gt;=FE$5,$G72&lt;FE$5+GanttPeriod),"◆",IF(AND($E72&gt;=FE$5,$E72&lt;FE$5+GanttPeriod),"◇","")),IF(AND(FE$5&lt;=$F72,FE$5+GanttPeriod-1&gt;=$E72),"━","")))</f>
        <v/>
      </c>
      <c r="FF72" s="69" t="str">
        <f aca="false">IF($E72="","",IF($M72,IF(AND($G72&gt;=FF$5,$G72&lt;FF$5+GanttPeriod),"◆",IF(AND($E72&gt;=FF$5,$E72&lt;FF$5+GanttPeriod),"◇","")),IF(AND(FF$5&lt;=$F72,FF$5+GanttPeriod-1&gt;=$E72),"━","")))</f>
        <v/>
      </c>
      <c r="FG72" s="69" t="str">
        <f aca="false">IF($E72="","",IF($M72,IF(AND($G72&gt;=FG$5,$G72&lt;FG$5+GanttPeriod),"◆",IF(AND($E72&gt;=FG$5,$E72&lt;FG$5+GanttPeriod),"◇","")),IF(AND(FG$5&lt;=$F72,FG$5+GanttPeriod-1&gt;=$E72),"━","")))</f>
        <v/>
      </c>
      <c r="FH72" s="69" t="str">
        <f aca="false">IF($E72="","",IF($M72,IF(AND($G72&gt;=FH$5,$G72&lt;FH$5+GanttPeriod),"◆",IF(AND($E72&gt;=FH$5,$E72&lt;FH$5+GanttPeriod),"◇","")),IF(AND(FH$5&lt;=$F72,FH$5+GanttPeriod-1&gt;=$E72),"━","")))</f>
        <v/>
      </c>
      <c r="FI72" s="69" t="str">
        <f aca="false">IF($E72="","",IF($M72,IF(AND($G72&gt;=FI$5,$G72&lt;FI$5+GanttPeriod),"◆",IF(AND($E72&gt;=FI$5,$E72&lt;FI$5+GanttPeriod),"◇","")),IF(AND(FI$5&lt;=$F72,FI$5+GanttPeriod-1&gt;=$E72),"━","")))</f>
        <v/>
      </c>
      <c r="FJ72" s="69" t="str">
        <f aca="false">IF($E72="","",IF($M72,IF(AND($G72&gt;=FJ$5,$G72&lt;FJ$5+GanttPeriod),"◆",IF(AND($E72&gt;=FJ$5,$E72&lt;FJ$5+GanttPeriod),"◇","")),IF(AND(FJ$5&lt;=$F72,FJ$5+GanttPeriod-1&gt;=$E72),"━","")))</f>
        <v/>
      </c>
      <c r="FK72" s="69" t="str">
        <f aca="false">IF($E72="","",IF($M72,IF(AND($G72&gt;=FK$5,$G72&lt;FK$5+GanttPeriod),"◆",IF(AND($E72&gt;=FK$5,$E72&lt;FK$5+GanttPeriod),"◇","")),IF(AND(FK$5&lt;=$F72,FK$5+GanttPeriod-1&gt;=$E72),"━","")))</f>
        <v/>
      </c>
      <c r="FL72" s="69" t="str">
        <f aca="false">IF($E72="","",IF($M72,IF(AND($G72&gt;=FL$5,$G72&lt;FL$5+GanttPeriod),"◆",IF(AND($E72&gt;=FL$5,$E72&lt;FL$5+GanttPeriod),"◇","")),IF(AND(FL$5&lt;=$F72,FL$5+GanttPeriod-1&gt;=$E72),"━","")))</f>
        <v/>
      </c>
      <c r="FM72" s="69" t="str">
        <f aca="false">IF($E72="","",IF($M72,IF(AND($G72&gt;=FM$5,$G72&lt;FM$5+GanttPeriod),"◆",IF(AND($E72&gt;=FM$5,$E72&lt;FM$5+GanttPeriod),"◇","")),IF(AND(FM$5&lt;=$F72,FM$5+GanttPeriod-1&gt;=$E72),"━","")))</f>
        <v/>
      </c>
    </row>
    <row r="73" customFormat="false" ht="15" hidden="false" customHeight="false" outlineLevel="0" collapsed="false">
      <c r="A73" s="62" t="str">
        <f aca="false">IF(Tasks!$D73="","",Tasks!$A73)</f>
        <v/>
      </c>
      <c r="B73" s="62" t="str">
        <f aca="false">IF(Tasks!$D73="","",Tasks!$B73)</f>
        <v/>
      </c>
      <c r="C73" s="63" t="str">
        <f aca="false">IF(Tasks!$D73="","",REPT("    ",Tasks!$AE73-1)&amp;Tasks!$D73)</f>
        <v/>
      </c>
      <c r="D73" s="62" t="str">
        <f aca="false">IF(Tasks!$D73="","",IF(Tasks!$AI73,NETWORKDAYS.INTL(Tasks!$R73,Tasks!$S73,WorkWeek,Holidays),N(Tasks!$F73)))</f>
        <v/>
      </c>
      <c r="E73" s="64" t="str">
        <f aca="false">IF(Tasks!$D73="","",Tasks!$N73)</f>
        <v/>
      </c>
      <c r="F73" s="64" t="str">
        <f aca="false">IF(Tasks!$D73="","",Tasks!$O73)</f>
        <v/>
      </c>
      <c r="G73" s="64" t="str">
        <f aca="false">IF(Tasks!$D73="","",Tasks!$R73)</f>
        <v/>
      </c>
      <c r="H73" s="64" t="str">
        <f aca="false">IF(Tasks!$D73="","",Tasks!$S73)</f>
        <v/>
      </c>
      <c r="I73" s="65" t="str">
        <f aca="false">IF(Tasks!$D73="","",Tasks!$V73)</f>
        <v/>
      </c>
      <c r="J73" s="63" t="str">
        <f aca="false">IF(Tasks!$D73="","",Tasks!$X73&amp;"")</f>
        <v/>
      </c>
      <c r="K73" s="66" t="str">
        <f aca="false">IF(Tasks!$D73="","",Tasks!$W73)</f>
        <v/>
      </c>
      <c r="L73" s="67" t="b">
        <f aca="false">IF(Tasks!$D73="",FALSE(),Tasks!$AI73)</f>
        <v>0</v>
      </c>
      <c r="M73" s="67" t="b">
        <f aca="false">AND(Tasks!$AJ73=1,N(Tasks!$F73)=0)</f>
        <v>0</v>
      </c>
      <c r="N73" s="68" t="n">
        <f aca="false">IF(AND(Tasks!$AJ73=1,NOT($M73),N($I73)&gt;0),$G73,0)</f>
        <v>0</v>
      </c>
      <c r="O73" s="68" t="n">
        <f aca="false">IF($N73=0,0,IF($I73&gt;=1,$H73,MAX($N73,$G73+ROUND(($H73-$G73+1)*$I73,0)-1)))</f>
        <v>0</v>
      </c>
      <c r="P73" s="68" t="n">
        <f aca="false">IF(OR(Tasks!$AJ73&lt;&gt;1,$M73,N($I73)&gt;=1),0,IF($O73&gt;0,$O73+1,$G73))</f>
        <v>0</v>
      </c>
      <c r="Q73" s="68" t="n">
        <f aca="false">IF($P73=0,0,$H73)</f>
        <v>0</v>
      </c>
      <c r="R73" s="67" t="b">
        <f aca="false">AND(Tasks!$D73&lt;&gt;"",N(Tasks!$T73)&gt;0)</f>
        <v>0</v>
      </c>
      <c r="T73" s="69" t="str">
        <f aca="false">IF($E73="","",IF($M73,IF(AND($G73&gt;=T$5,$G73&lt;T$5+GanttPeriod),"◆",IF(AND($E73&gt;=T$5,$E73&lt;T$5+GanttPeriod),"◇","")),IF(AND(T$5&lt;=$F73,T$5+GanttPeriod-1&gt;=$E73),"━","")))</f>
        <v/>
      </c>
      <c r="U73" s="69" t="str">
        <f aca="false">IF($E73="","",IF($M73,IF(AND($G73&gt;=U$5,$G73&lt;U$5+GanttPeriod),"◆",IF(AND($E73&gt;=U$5,$E73&lt;U$5+GanttPeriod),"◇","")),IF(AND(U$5&lt;=$F73,U$5+GanttPeriod-1&gt;=$E73),"━","")))</f>
        <v/>
      </c>
      <c r="V73" s="69" t="str">
        <f aca="false">IF($E73="","",IF($M73,IF(AND($G73&gt;=V$5,$G73&lt;V$5+GanttPeriod),"◆",IF(AND($E73&gt;=V$5,$E73&lt;V$5+GanttPeriod),"◇","")),IF(AND(V$5&lt;=$F73,V$5+GanttPeriod-1&gt;=$E73),"━","")))</f>
        <v/>
      </c>
      <c r="W73" s="69" t="str">
        <f aca="false">IF($E73="","",IF($M73,IF(AND($G73&gt;=W$5,$G73&lt;W$5+GanttPeriod),"◆",IF(AND($E73&gt;=W$5,$E73&lt;W$5+GanttPeriod),"◇","")),IF(AND(W$5&lt;=$F73,W$5+GanttPeriod-1&gt;=$E73),"━","")))</f>
        <v/>
      </c>
      <c r="X73" s="69" t="str">
        <f aca="false">IF($E73="","",IF($M73,IF(AND($G73&gt;=X$5,$G73&lt;X$5+GanttPeriod),"◆",IF(AND($E73&gt;=X$5,$E73&lt;X$5+GanttPeriod),"◇","")),IF(AND(X$5&lt;=$F73,X$5+GanttPeriod-1&gt;=$E73),"━","")))</f>
        <v/>
      </c>
      <c r="Y73" s="69" t="str">
        <f aca="false">IF($E73="","",IF($M73,IF(AND($G73&gt;=Y$5,$G73&lt;Y$5+GanttPeriod),"◆",IF(AND($E73&gt;=Y$5,$E73&lt;Y$5+GanttPeriod),"◇","")),IF(AND(Y$5&lt;=$F73,Y$5+GanttPeriod-1&gt;=$E73),"━","")))</f>
        <v/>
      </c>
      <c r="Z73" s="69" t="str">
        <f aca="false">IF($E73="","",IF($M73,IF(AND($G73&gt;=Z$5,$G73&lt;Z$5+GanttPeriod),"◆",IF(AND($E73&gt;=Z$5,$E73&lt;Z$5+GanttPeriod),"◇","")),IF(AND(Z$5&lt;=$F73,Z$5+GanttPeriod-1&gt;=$E73),"━","")))</f>
        <v/>
      </c>
      <c r="AA73" s="69" t="str">
        <f aca="false">IF($E73="","",IF($M73,IF(AND($G73&gt;=AA$5,$G73&lt;AA$5+GanttPeriod),"◆",IF(AND($E73&gt;=AA$5,$E73&lt;AA$5+GanttPeriod),"◇","")),IF(AND(AA$5&lt;=$F73,AA$5+GanttPeriod-1&gt;=$E73),"━","")))</f>
        <v/>
      </c>
      <c r="AB73" s="69" t="str">
        <f aca="false">IF($E73="","",IF($M73,IF(AND($G73&gt;=AB$5,$G73&lt;AB$5+GanttPeriod),"◆",IF(AND($E73&gt;=AB$5,$E73&lt;AB$5+GanttPeriod),"◇","")),IF(AND(AB$5&lt;=$F73,AB$5+GanttPeriod-1&gt;=$E73),"━","")))</f>
        <v/>
      </c>
      <c r="AC73" s="69" t="str">
        <f aca="false">IF($E73="","",IF($M73,IF(AND($G73&gt;=AC$5,$G73&lt;AC$5+GanttPeriod),"◆",IF(AND($E73&gt;=AC$5,$E73&lt;AC$5+GanttPeriod),"◇","")),IF(AND(AC$5&lt;=$F73,AC$5+GanttPeriod-1&gt;=$E73),"━","")))</f>
        <v/>
      </c>
      <c r="AD73" s="69" t="str">
        <f aca="false">IF($E73="","",IF($M73,IF(AND($G73&gt;=AD$5,$G73&lt;AD$5+GanttPeriod),"◆",IF(AND($E73&gt;=AD$5,$E73&lt;AD$5+GanttPeriod),"◇","")),IF(AND(AD$5&lt;=$F73,AD$5+GanttPeriod-1&gt;=$E73),"━","")))</f>
        <v/>
      </c>
      <c r="AE73" s="69" t="str">
        <f aca="false">IF($E73="","",IF($M73,IF(AND($G73&gt;=AE$5,$G73&lt;AE$5+GanttPeriod),"◆",IF(AND($E73&gt;=AE$5,$E73&lt;AE$5+GanttPeriod),"◇","")),IF(AND(AE$5&lt;=$F73,AE$5+GanttPeriod-1&gt;=$E73),"━","")))</f>
        <v/>
      </c>
      <c r="AF73" s="69" t="str">
        <f aca="false">IF($E73="","",IF($M73,IF(AND($G73&gt;=AF$5,$G73&lt;AF$5+GanttPeriod),"◆",IF(AND($E73&gt;=AF$5,$E73&lt;AF$5+GanttPeriod),"◇","")),IF(AND(AF$5&lt;=$F73,AF$5+GanttPeriod-1&gt;=$E73),"━","")))</f>
        <v/>
      </c>
      <c r="AG73" s="69" t="str">
        <f aca="false">IF($E73="","",IF($M73,IF(AND($G73&gt;=AG$5,$G73&lt;AG$5+GanttPeriod),"◆",IF(AND($E73&gt;=AG$5,$E73&lt;AG$5+GanttPeriod),"◇","")),IF(AND(AG$5&lt;=$F73,AG$5+GanttPeriod-1&gt;=$E73),"━","")))</f>
        <v/>
      </c>
      <c r="AH73" s="69" t="str">
        <f aca="false">IF($E73="","",IF($M73,IF(AND($G73&gt;=AH$5,$G73&lt;AH$5+GanttPeriod),"◆",IF(AND($E73&gt;=AH$5,$E73&lt;AH$5+GanttPeriod),"◇","")),IF(AND(AH$5&lt;=$F73,AH$5+GanttPeriod-1&gt;=$E73),"━","")))</f>
        <v/>
      </c>
      <c r="AI73" s="69" t="str">
        <f aca="false">IF($E73="","",IF($M73,IF(AND($G73&gt;=AI$5,$G73&lt;AI$5+GanttPeriod),"◆",IF(AND($E73&gt;=AI$5,$E73&lt;AI$5+GanttPeriod),"◇","")),IF(AND(AI$5&lt;=$F73,AI$5+GanttPeriod-1&gt;=$E73),"━","")))</f>
        <v/>
      </c>
      <c r="AJ73" s="69" t="str">
        <f aca="false">IF($E73="","",IF($M73,IF(AND($G73&gt;=AJ$5,$G73&lt;AJ$5+GanttPeriod),"◆",IF(AND($E73&gt;=AJ$5,$E73&lt;AJ$5+GanttPeriod),"◇","")),IF(AND(AJ$5&lt;=$F73,AJ$5+GanttPeriod-1&gt;=$E73),"━","")))</f>
        <v/>
      </c>
      <c r="AK73" s="69" t="str">
        <f aca="false">IF($E73="","",IF($M73,IF(AND($G73&gt;=AK$5,$G73&lt;AK$5+GanttPeriod),"◆",IF(AND($E73&gt;=AK$5,$E73&lt;AK$5+GanttPeriod),"◇","")),IF(AND(AK$5&lt;=$F73,AK$5+GanttPeriod-1&gt;=$E73),"━","")))</f>
        <v/>
      </c>
      <c r="AL73" s="69" t="str">
        <f aca="false">IF($E73="","",IF($M73,IF(AND($G73&gt;=AL$5,$G73&lt;AL$5+GanttPeriod),"◆",IF(AND($E73&gt;=AL$5,$E73&lt;AL$5+GanttPeriod),"◇","")),IF(AND(AL$5&lt;=$F73,AL$5+GanttPeriod-1&gt;=$E73),"━","")))</f>
        <v/>
      </c>
      <c r="AM73" s="69" t="str">
        <f aca="false">IF($E73="","",IF($M73,IF(AND($G73&gt;=AM$5,$G73&lt;AM$5+GanttPeriod),"◆",IF(AND($E73&gt;=AM$5,$E73&lt;AM$5+GanttPeriod),"◇","")),IF(AND(AM$5&lt;=$F73,AM$5+GanttPeriod-1&gt;=$E73),"━","")))</f>
        <v/>
      </c>
      <c r="AN73" s="69" t="str">
        <f aca="false">IF($E73="","",IF($M73,IF(AND($G73&gt;=AN$5,$G73&lt;AN$5+GanttPeriod),"◆",IF(AND($E73&gt;=AN$5,$E73&lt;AN$5+GanttPeriod),"◇","")),IF(AND(AN$5&lt;=$F73,AN$5+GanttPeriod-1&gt;=$E73),"━","")))</f>
        <v/>
      </c>
      <c r="AO73" s="69" t="str">
        <f aca="false">IF($E73="","",IF($M73,IF(AND($G73&gt;=AO$5,$G73&lt;AO$5+GanttPeriod),"◆",IF(AND($E73&gt;=AO$5,$E73&lt;AO$5+GanttPeriod),"◇","")),IF(AND(AO$5&lt;=$F73,AO$5+GanttPeriod-1&gt;=$E73),"━","")))</f>
        <v/>
      </c>
      <c r="AP73" s="69" t="str">
        <f aca="false">IF($E73="","",IF($M73,IF(AND($G73&gt;=AP$5,$G73&lt;AP$5+GanttPeriod),"◆",IF(AND($E73&gt;=AP$5,$E73&lt;AP$5+GanttPeriod),"◇","")),IF(AND(AP$5&lt;=$F73,AP$5+GanttPeriod-1&gt;=$E73),"━","")))</f>
        <v/>
      </c>
      <c r="AQ73" s="69" t="str">
        <f aca="false">IF($E73="","",IF($M73,IF(AND($G73&gt;=AQ$5,$G73&lt;AQ$5+GanttPeriod),"◆",IF(AND($E73&gt;=AQ$5,$E73&lt;AQ$5+GanttPeriod),"◇","")),IF(AND(AQ$5&lt;=$F73,AQ$5+GanttPeriod-1&gt;=$E73),"━","")))</f>
        <v/>
      </c>
      <c r="AR73" s="69" t="str">
        <f aca="false">IF($E73="","",IF($M73,IF(AND($G73&gt;=AR$5,$G73&lt;AR$5+GanttPeriod),"◆",IF(AND($E73&gt;=AR$5,$E73&lt;AR$5+GanttPeriod),"◇","")),IF(AND(AR$5&lt;=$F73,AR$5+GanttPeriod-1&gt;=$E73),"━","")))</f>
        <v/>
      </c>
      <c r="AS73" s="69" t="str">
        <f aca="false">IF($E73="","",IF($M73,IF(AND($G73&gt;=AS$5,$G73&lt;AS$5+GanttPeriod),"◆",IF(AND($E73&gt;=AS$5,$E73&lt;AS$5+GanttPeriod),"◇","")),IF(AND(AS$5&lt;=$F73,AS$5+GanttPeriod-1&gt;=$E73),"━","")))</f>
        <v/>
      </c>
      <c r="AT73" s="69" t="str">
        <f aca="false">IF($E73="","",IF($M73,IF(AND($G73&gt;=AT$5,$G73&lt;AT$5+GanttPeriod),"◆",IF(AND($E73&gt;=AT$5,$E73&lt;AT$5+GanttPeriod),"◇","")),IF(AND(AT$5&lt;=$F73,AT$5+GanttPeriod-1&gt;=$E73),"━","")))</f>
        <v/>
      </c>
      <c r="AU73" s="69" t="str">
        <f aca="false">IF($E73="","",IF($M73,IF(AND($G73&gt;=AU$5,$G73&lt;AU$5+GanttPeriod),"◆",IF(AND($E73&gt;=AU$5,$E73&lt;AU$5+GanttPeriod),"◇","")),IF(AND(AU$5&lt;=$F73,AU$5+GanttPeriod-1&gt;=$E73),"━","")))</f>
        <v/>
      </c>
      <c r="AV73" s="69" t="str">
        <f aca="false">IF($E73="","",IF($M73,IF(AND($G73&gt;=AV$5,$G73&lt;AV$5+GanttPeriod),"◆",IF(AND($E73&gt;=AV$5,$E73&lt;AV$5+GanttPeriod),"◇","")),IF(AND(AV$5&lt;=$F73,AV$5+GanttPeriod-1&gt;=$E73),"━","")))</f>
        <v/>
      </c>
      <c r="AW73" s="69" t="str">
        <f aca="false">IF($E73="","",IF($M73,IF(AND($G73&gt;=AW$5,$G73&lt;AW$5+GanttPeriod),"◆",IF(AND($E73&gt;=AW$5,$E73&lt;AW$5+GanttPeriod),"◇","")),IF(AND(AW$5&lt;=$F73,AW$5+GanttPeriod-1&gt;=$E73),"━","")))</f>
        <v/>
      </c>
      <c r="AX73" s="69" t="str">
        <f aca="false">IF($E73="","",IF($M73,IF(AND($G73&gt;=AX$5,$G73&lt;AX$5+GanttPeriod),"◆",IF(AND($E73&gt;=AX$5,$E73&lt;AX$5+GanttPeriod),"◇","")),IF(AND(AX$5&lt;=$F73,AX$5+GanttPeriod-1&gt;=$E73),"━","")))</f>
        <v/>
      </c>
      <c r="AY73" s="69" t="str">
        <f aca="false">IF($E73="","",IF($M73,IF(AND($G73&gt;=AY$5,$G73&lt;AY$5+GanttPeriod),"◆",IF(AND($E73&gt;=AY$5,$E73&lt;AY$5+GanttPeriod),"◇","")),IF(AND(AY$5&lt;=$F73,AY$5+GanttPeriod-1&gt;=$E73),"━","")))</f>
        <v/>
      </c>
      <c r="AZ73" s="69" t="str">
        <f aca="false">IF($E73="","",IF($M73,IF(AND($G73&gt;=AZ$5,$G73&lt;AZ$5+GanttPeriod),"◆",IF(AND($E73&gt;=AZ$5,$E73&lt;AZ$5+GanttPeriod),"◇","")),IF(AND(AZ$5&lt;=$F73,AZ$5+GanttPeriod-1&gt;=$E73),"━","")))</f>
        <v/>
      </c>
      <c r="BA73" s="69" t="str">
        <f aca="false">IF($E73="","",IF($M73,IF(AND($G73&gt;=BA$5,$G73&lt;BA$5+GanttPeriod),"◆",IF(AND($E73&gt;=BA$5,$E73&lt;BA$5+GanttPeriod),"◇","")),IF(AND(BA$5&lt;=$F73,BA$5+GanttPeriod-1&gt;=$E73),"━","")))</f>
        <v/>
      </c>
      <c r="BB73" s="69" t="str">
        <f aca="false">IF($E73="","",IF($M73,IF(AND($G73&gt;=BB$5,$G73&lt;BB$5+GanttPeriod),"◆",IF(AND($E73&gt;=BB$5,$E73&lt;BB$5+GanttPeriod),"◇","")),IF(AND(BB$5&lt;=$F73,BB$5+GanttPeriod-1&gt;=$E73),"━","")))</f>
        <v/>
      </c>
      <c r="BC73" s="69" t="str">
        <f aca="false">IF($E73="","",IF($M73,IF(AND($G73&gt;=BC$5,$G73&lt;BC$5+GanttPeriod),"◆",IF(AND($E73&gt;=BC$5,$E73&lt;BC$5+GanttPeriod),"◇","")),IF(AND(BC$5&lt;=$F73,BC$5+GanttPeriod-1&gt;=$E73),"━","")))</f>
        <v/>
      </c>
      <c r="BD73" s="69" t="str">
        <f aca="false">IF($E73="","",IF($M73,IF(AND($G73&gt;=BD$5,$G73&lt;BD$5+GanttPeriod),"◆",IF(AND($E73&gt;=BD$5,$E73&lt;BD$5+GanttPeriod),"◇","")),IF(AND(BD$5&lt;=$F73,BD$5+GanttPeriod-1&gt;=$E73),"━","")))</f>
        <v/>
      </c>
      <c r="BE73" s="69" t="str">
        <f aca="false">IF($E73="","",IF($M73,IF(AND($G73&gt;=BE$5,$G73&lt;BE$5+GanttPeriod),"◆",IF(AND($E73&gt;=BE$5,$E73&lt;BE$5+GanttPeriod),"◇","")),IF(AND(BE$5&lt;=$F73,BE$5+GanttPeriod-1&gt;=$E73),"━","")))</f>
        <v/>
      </c>
      <c r="BF73" s="69" t="str">
        <f aca="false">IF($E73="","",IF($M73,IF(AND($G73&gt;=BF$5,$G73&lt;BF$5+GanttPeriod),"◆",IF(AND($E73&gt;=BF$5,$E73&lt;BF$5+GanttPeriod),"◇","")),IF(AND(BF$5&lt;=$F73,BF$5+GanttPeriod-1&gt;=$E73),"━","")))</f>
        <v/>
      </c>
      <c r="BG73" s="69" t="str">
        <f aca="false">IF($E73="","",IF($M73,IF(AND($G73&gt;=BG$5,$G73&lt;BG$5+GanttPeriod),"◆",IF(AND($E73&gt;=BG$5,$E73&lt;BG$5+GanttPeriod),"◇","")),IF(AND(BG$5&lt;=$F73,BG$5+GanttPeriod-1&gt;=$E73),"━","")))</f>
        <v/>
      </c>
      <c r="BH73" s="69" t="str">
        <f aca="false">IF($E73="","",IF($M73,IF(AND($G73&gt;=BH$5,$G73&lt;BH$5+GanttPeriod),"◆",IF(AND($E73&gt;=BH$5,$E73&lt;BH$5+GanttPeriod),"◇","")),IF(AND(BH$5&lt;=$F73,BH$5+GanttPeriod-1&gt;=$E73),"━","")))</f>
        <v/>
      </c>
      <c r="BI73" s="69" t="str">
        <f aca="false">IF($E73="","",IF($M73,IF(AND($G73&gt;=BI$5,$G73&lt;BI$5+GanttPeriod),"◆",IF(AND($E73&gt;=BI$5,$E73&lt;BI$5+GanttPeriod),"◇","")),IF(AND(BI$5&lt;=$F73,BI$5+GanttPeriod-1&gt;=$E73),"━","")))</f>
        <v/>
      </c>
      <c r="BJ73" s="69" t="str">
        <f aca="false">IF($E73="","",IF($M73,IF(AND($G73&gt;=BJ$5,$G73&lt;BJ$5+GanttPeriod),"◆",IF(AND($E73&gt;=BJ$5,$E73&lt;BJ$5+GanttPeriod),"◇","")),IF(AND(BJ$5&lt;=$F73,BJ$5+GanttPeriod-1&gt;=$E73),"━","")))</f>
        <v/>
      </c>
      <c r="BK73" s="69" t="str">
        <f aca="false">IF($E73="","",IF($M73,IF(AND($G73&gt;=BK$5,$G73&lt;BK$5+GanttPeriod),"◆",IF(AND($E73&gt;=BK$5,$E73&lt;BK$5+GanttPeriod),"◇","")),IF(AND(BK$5&lt;=$F73,BK$5+GanttPeriod-1&gt;=$E73),"━","")))</f>
        <v/>
      </c>
      <c r="BL73" s="69" t="str">
        <f aca="false">IF($E73="","",IF($M73,IF(AND($G73&gt;=BL$5,$G73&lt;BL$5+GanttPeriod),"◆",IF(AND($E73&gt;=BL$5,$E73&lt;BL$5+GanttPeriod),"◇","")),IF(AND(BL$5&lt;=$F73,BL$5+GanttPeriod-1&gt;=$E73),"━","")))</f>
        <v/>
      </c>
      <c r="BM73" s="69" t="str">
        <f aca="false">IF($E73="","",IF($M73,IF(AND($G73&gt;=BM$5,$G73&lt;BM$5+GanttPeriod),"◆",IF(AND($E73&gt;=BM$5,$E73&lt;BM$5+GanttPeriod),"◇","")),IF(AND(BM$5&lt;=$F73,BM$5+GanttPeriod-1&gt;=$E73),"━","")))</f>
        <v/>
      </c>
      <c r="BN73" s="69" t="str">
        <f aca="false">IF($E73="","",IF($M73,IF(AND($G73&gt;=BN$5,$G73&lt;BN$5+GanttPeriod),"◆",IF(AND($E73&gt;=BN$5,$E73&lt;BN$5+GanttPeriod),"◇","")),IF(AND(BN$5&lt;=$F73,BN$5+GanttPeriod-1&gt;=$E73),"━","")))</f>
        <v/>
      </c>
      <c r="BO73" s="69" t="str">
        <f aca="false">IF($E73="","",IF($M73,IF(AND($G73&gt;=BO$5,$G73&lt;BO$5+GanttPeriod),"◆",IF(AND($E73&gt;=BO$5,$E73&lt;BO$5+GanttPeriod),"◇","")),IF(AND(BO$5&lt;=$F73,BO$5+GanttPeriod-1&gt;=$E73),"━","")))</f>
        <v/>
      </c>
      <c r="BP73" s="69" t="str">
        <f aca="false">IF($E73="","",IF($M73,IF(AND($G73&gt;=BP$5,$G73&lt;BP$5+GanttPeriod),"◆",IF(AND($E73&gt;=BP$5,$E73&lt;BP$5+GanttPeriod),"◇","")),IF(AND(BP$5&lt;=$F73,BP$5+GanttPeriod-1&gt;=$E73),"━","")))</f>
        <v/>
      </c>
      <c r="BQ73" s="69" t="str">
        <f aca="false">IF($E73="","",IF($M73,IF(AND($G73&gt;=BQ$5,$G73&lt;BQ$5+GanttPeriod),"◆",IF(AND($E73&gt;=BQ$5,$E73&lt;BQ$5+GanttPeriod),"◇","")),IF(AND(BQ$5&lt;=$F73,BQ$5+GanttPeriod-1&gt;=$E73),"━","")))</f>
        <v/>
      </c>
      <c r="BR73" s="69" t="str">
        <f aca="false">IF($E73="","",IF($M73,IF(AND($G73&gt;=BR$5,$G73&lt;BR$5+GanttPeriod),"◆",IF(AND($E73&gt;=BR$5,$E73&lt;BR$5+GanttPeriod),"◇","")),IF(AND(BR$5&lt;=$F73,BR$5+GanttPeriod-1&gt;=$E73),"━","")))</f>
        <v/>
      </c>
      <c r="BS73" s="69" t="str">
        <f aca="false">IF($E73="","",IF($M73,IF(AND($G73&gt;=BS$5,$G73&lt;BS$5+GanttPeriod),"◆",IF(AND($E73&gt;=BS$5,$E73&lt;BS$5+GanttPeriod),"◇","")),IF(AND(BS$5&lt;=$F73,BS$5+GanttPeriod-1&gt;=$E73),"━","")))</f>
        <v/>
      </c>
      <c r="BT73" s="69" t="str">
        <f aca="false">IF($E73="","",IF($M73,IF(AND($G73&gt;=BT$5,$G73&lt;BT$5+GanttPeriod),"◆",IF(AND($E73&gt;=BT$5,$E73&lt;BT$5+GanttPeriod),"◇","")),IF(AND(BT$5&lt;=$F73,BT$5+GanttPeriod-1&gt;=$E73),"━","")))</f>
        <v/>
      </c>
      <c r="BU73" s="69" t="str">
        <f aca="false">IF($E73="","",IF($M73,IF(AND($G73&gt;=BU$5,$G73&lt;BU$5+GanttPeriod),"◆",IF(AND($E73&gt;=BU$5,$E73&lt;BU$5+GanttPeriod),"◇","")),IF(AND(BU$5&lt;=$F73,BU$5+GanttPeriod-1&gt;=$E73),"━","")))</f>
        <v/>
      </c>
      <c r="BV73" s="69" t="str">
        <f aca="false">IF($E73="","",IF($M73,IF(AND($G73&gt;=BV$5,$G73&lt;BV$5+GanttPeriod),"◆",IF(AND($E73&gt;=BV$5,$E73&lt;BV$5+GanttPeriod),"◇","")),IF(AND(BV$5&lt;=$F73,BV$5+GanttPeriod-1&gt;=$E73),"━","")))</f>
        <v/>
      </c>
      <c r="BW73" s="69" t="str">
        <f aca="false">IF($E73="","",IF($M73,IF(AND($G73&gt;=BW$5,$G73&lt;BW$5+GanttPeriod),"◆",IF(AND($E73&gt;=BW$5,$E73&lt;BW$5+GanttPeriod),"◇","")),IF(AND(BW$5&lt;=$F73,BW$5+GanttPeriod-1&gt;=$E73),"━","")))</f>
        <v/>
      </c>
      <c r="BX73" s="69" t="str">
        <f aca="false">IF($E73="","",IF($M73,IF(AND($G73&gt;=BX$5,$G73&lt;BX$5+GanttPeriod),"◆",IF(AND($E73&gt;=BX$5,$E73&lt;BX$5+GanttPeriod),"◇","")),IF(AND(BX$5&lt;=$F73,BX$5+GanttPeriod-1&gt;=$E73),"━","")))</f>
        <v/>
      </c>
      <c r="BY73" s="69" t="str">
        <f aca="false">IF($E73="","",IF($M73,IF(AND($G73&gt;=BY$5,$G73&lt;BY$5+GanttPeriod),"◆",IF(AND($E73&gt;=BY$5,$E73&lt;BY$5+GanttPeriod),"◇","")),IF(AND(BY$5&lt;=$F73,BY$5+GanttPeriod-1&gt;=$E73),"━","")))</f>
        <v/>
      </c>
      <c r="BZ73" s="69" t="str">
        <f aca="false">IF($E73="","",IF($M73,IF(AND($G73&gt;=BZ$5,$G73&lt;BZ$5+GanttPeriod),"◆",IF(AND($E73&gt;=BZ$5,$E73&lt;BZ$5+GanttPeriod),"◇","")),IF(AND(BZ$5&lt;=$F73,BZ$5+GanttPeriod-1&gt;=$E73),"━","")))</f>
        <v/>
      </c>
      <c r="CA73" s="69" t="str">
        <f aca="false">IF($E73="","",IF($M73,IF(AND($G73&gt;=CA$5,$G73&lt;CA$5+GanttPeriod),"◆",IF(AND($E73&gt;=CA$5,$E73&lt;CA$5+GanttPeriod),"◇","")),IF(AND(CA$5&lt;=$F73,CA$5+GanttPeriod-1&gt;=$E73),"━","")))</f>
        <v/>
      </c>
      <c r="CB73" s="69" t="str">
        <f aca="false">IF($E73="","",IF($M73,IF(AND($G73&gt;=CB$5,$G73&lt;CB$5+GanttPeriod),"◆",IF(AND($E73&gt;=CB$5,$E73&lt;CB$5+GanttPeriod),"◇","")),IF(AND(CB$5&lt;=$F73,CB$5+GanttPeriod-1&gt;=$E73),"━","")))</f>
        <v/>
      </c>
      <c r="CC73" s="69" t="str">
        <f aca="false">IF($E73="","",IF($M73,IF(AND($G73&gt;=CC$5,$G73&lt;CC$5+GanttPeriod),"◆",IF(AND($E73&gt;=CC$5,$E73&lt;CC$5+GanttPeriod),"◇","")),IF(AND(CC$5&lt;=$F73,CC$5+GanttPeriod-1&gt;=$E73),"━","")))</f>
        <v/>
      </c>
      <c r="CD73" s="69" t="str">
        <f aca="false">IF($E73="","",IF($M73,IF(AND($G73&gt;=CD$5,$G73&lt;CD$5+GanttPeriod),"◆",IF(AND($E73&gt;=CD$5,$E73&lt;CD$5+GanttPeriod),"◇","")),IF(AND(CD$5&lt;=$F73,CD$5+GanttPeriod-1&gt;=$E73),"━","")))</f>
        <v/>
      </c>
      <c r="CE73" s="69" t="str">
        <f aca="false">IF($E73="","",IF($M73,IF(AND($G73&gt;=CE$5,$G73&lt;CE$5+GanttPeriod),"◆",IF(AND($E73&gt;=CE$5,$E73&lt;CE$5+GanttPeriod),"◇","")),IF(AND(CE$5&lt;=$F73,CE$5+GanttPeriod-1&gt;=$E73),"━","")))</f>
        <v/>
      </c>
      <c r="CF73" s="69" t="str">
        <f aca="false">IF($E73="","",IF($M73,IF(AND($G73&gt;=CF$5,$G73&lt;CF$5+GanttPeriod),"◆",IF(AND($E73&gt;=CF$5,$E73&lt;CF$5+GanttPeriod),"◇","")),IF(AND(CF$5&lt;=$F73,CF$5+GanttPeriod-1&gt;=$E73),"━","")))</f>
        <v/>
      </c>
      <c r="CG73" s="69" t="str">
        <f aca="false">IF($E73="","",IF($M73,IF(AND($G73&gt;=CG$5,$G73&lt;CG$5+GanttPeriod),"◆",IF(AND($E73&gt;=CG$5,$E73&lt;CG$5+GanttPeriod),"◇","")),IF(AND(CG$5&lt;=$F73,CG$5+GanttPeriod-1&gt;=$E73),"━","")))</f>
        <v/>
      </c>
      <c r="CH73" s="69" t="str">
        <f aca="false">IF($E73="","",IF($M73,IF(AND($G73&gt;=CH$5,$G73&lt;CH$5+GanttPeriod),"◆",IF(AND($E73&gt;=CH$5,$E73&lt;CH$5+GanttPeriod),"◇","")),IF(AND(CH$5&lt;=$F73,CH$5+GanttPeriod-1&gt;=$E73),"━","")))</f>
        <v/>
      </c>
      <c r="CI73" s="69" t="str">
        <f aca="false">IF($E73="","",IF($M73,IF(AND($G73&gt;=CI$5,$G73&lt;CI$5+GanttPeriod),"◆",IF(AND($E73&gt;=CI$5,$E73&lt;CI$5+GanttPeriod),"◇","")),IF(AND(CI$5&lt;=$F73,CI$5+GanttPeriod-1&gt;=$E73),"━","")))</f>
        <v/>
      </c>
      <c r="CJ73" s="69" t="str">
        <f aca="false">IF($E73="","",IF($M73,IF(AND($G73&gt;=CJ$5,$G73&lt;CJ$5+GanttPeriod),"◆",IF(AND($E73&gt;=CJ$5,$E73&lt;CJ$5+GanttPeriod),"◇","")),IF(AND(CJ$5&lt;=$F73,CJ$5+GanttPeriod-1&gt;=$E73),"━","")))</f>
        <v/>
      </c>
      <c r="CK73" s="69" t="str">
        <f aca="false">IF($E73="","",IF($M73,IF(AND($G73&gt;=CK$5,$G73&lt;CK$5+GanttPeriod),"◆",IF(AND($E73&gt;=CK$5,$E73&lt;CK$5+GanttPeriod),"◇","")),IF(AND(CK$5&lt;=$F73,CK$5+GanttPeriod-1&gt;=$E73),"━","")))</f>
        <v/>
      </c>
      <c r="CL73" s="69" t="str">
        <f aca="false">IF($E73="","",IF($M73,IF(AND($G73&gt;=CL$5,$G73&lt;CL$5+GanttPeriod),"◆",IF(AND($E73&gt;=CL$5,$E73&lt;CL$5+GanttPeriod),"◇","")),IF(AND(CL$5&lt;=$F73,CL$5+GanttPeriod-1&gt;=$E73),"━","")))</f>
        <v/>
      </c>
      <c r="CM73" s="69" t="str">
        <f aca="false">IF($E73="","",IF($M73,IF(AND($G73&gt;=CM$5,$G73&lt;CM$5+GanttPeriod),"◆",IF(AND($E73&gt;=CM$5,$E73&lt;CM$5+GanttPeriod),"◇","")),IF(AND(CM$5&lt;=$F73,CM$5+GanttPeriod-1&gt;=$E73),"━","")))</f>
        <v/>
      </c>
      <c r="CN73" s="69" t="str">
        <f aca="false">IF($E73="","",IF($M73,IF(AND($G73&gt;=CN$5,$G73&lt;CN$5+GanttPeriod),"◆",IF(AND($E73&gt;=CN$5,$E73&lt;CN$5+GanttPeriod),"◇","")),IF(AND(CN$5&lt;=$F73,CN$5+GanttPeriod-1&gt;=$E73),"━","")))</f>
        <v/>
      </c>
      <c r="CO73" s="69" t="str">
        <f aca="false">IF($E73="","",IF($M73,IF(AND($G73&gt;=CO$5,$G73&lt;CO$5+GanttPeriod),"◆",IF(AND($E73&gt;=CO$5,$E73&lt;CO$5+GanttPeriod),"◇","")),IF(AND(CO$5&lt;=$F73,CO$5+GanttPeriod-1&gt;=$E73),"━","")))</f>
        <v/>
      </c>
      <c r="CP73" s="69" t="str">
        <f aca="false">IF($E73="","",IF($M73,IF(AND($G73&gt;=CP$5,$G73&lt;CP$5+GanttPeriod),"◆",IF(AND($E73&gt;=CP$5,$E73&lt;CP$5+GanttPeriod),"◇","")),IF(AND(CP$5&lt;=$F73,CP$5+GanttPeriod-1&gt;=$E73),"━","")))</f>
        <v/>
      </c>
      <c r="CQ73" s="69" t="str">
        <f aca="false">IF($E73="","",IF($M73,IF(AND($G73&gt;=CQ$5,$G73&lt;CQ$5+GanttPeriod),"◆",IF(AND($E73&gt;=CQ$5,$E73&lt;CQ$5+GanttPeriod),"◇","")),IF(AND(CQ$5&lt;=$F73,CQ$5+GanttPeriod-1&gt;=$E73),"━","")))</f>
        <v/>
      </c>
      <c r="CR73" s="69" t="str">
        <f aca="false">IF($E73="","",IF($M73,IF(AND($G73&gt;=CR$5,$G73&lt;CR$5+GanttPeriod),"◆",IF(AND($E73&gt;=CR$5,$E73&lt;CR$5+GanttPeriod),"◇","")),IF(AND(CR$5&lt;=$F73,CR$5+GanttPeriod-1&gt;=$E73),"━","")))</f>
        <v/>
      </c>
      <c r="CS73" s="69" t="str">
        <f aca="false">IF($E73="","",IF($M73,IF(AND($G73&gt;=CS$5,$G73&lt;CS$5+GanttPeriod),"◆",IF(AND($E73&gt;=CS$5,$E73&lt;CS$5+GanttPeriod),"◇","")),IF(AND(CS$5&lt;=$F73,CS$5+GanttPeriod-1&gt;=$E73),"━","")))</f>
        <v/>
      </c>
      <c r="CT73" s="69" t="str">
        <f aca="false">IF($E73="","",IF($M73,IF(AND($G73&gt;=CT$5,$G73&lt;CT$5+GanttPeriod),"◆",IF(AND($E73&gt;=CT$5,$E73&lt;CT$5+GanttPeriod),"◇","")),IF(AND(CT$5&lt;=$F73,CT$5+GanttPeriod-1&gt;=$E73),"━","")))</f>
        <v/>
      </c>
      <c r="CU73" s="69" t="str">
        <f aca="false">IF($E73="","",IF($M73,IF(AND($G73&gt;=CU$5,$G73&lt;CU$5+GanttPeriod),"◆",IF(AND($E73&gt;=CU$5,$E73&lt;CU$5+GanttPeriod),"◇","")),IF(AND(CU$5&lt;=$F73,CU$5+GanttPeriod-1&gt;=$E73),"━","")))</f>
        <v/>
      </c>
      <c r="CV73" s="69" t="str">
        <f aca="false">IF($E73="","",IF($M73,IF(AND($G73&gt;=CV$5,$G73&lt;CV$5+GanttPeriod),"◆",IF(AND($E73&gt;=CV$5,$E73&lt;CV$5+GanttPeriod),"◇","")),IF(AND(CV$5&lt;=$F73,CV$5+GanttPeriod-1&gt;=$E73),"━","")))</f>
        <v/>
      </c>
      <c r="CW73" s="69" t="str">
        <f aca="false">IF($E73="","",IF($M73,IF(AND($G73&gt;=CW$5,$G73&lt;CW$5+GanttPeriod),"◆",IF(AND($E73&gt;=CW$5,$E73&lt;CW$5+GanttPeriod),"◇","")),IF(AND(CW$5&lt;=$F73,CW$5+GanttPeriod-1&gt;=$E73),"━","")))</f>
        <v/>
      </c>
      <c r="CX73" s="69" t="str">
        <f aca="false">IF($E73="","",IF($M73,IF(AND($G73&gt;=CX$5,$G73&lt;CX$5+GanttPeriod),"◆",IF(AND($E73&gt;=CX$5,$E73&lt;CX$5+GanttPeriod),"◇","")),IF(AND(CX$5&lt;=$F73,CX$5+GanttPeriod-1&gt;=$E73),"━","")))</f>
        <v/>
      </c>
      <c r="CY73" s="69" t="str">
        <f aca="false">IF($E73="","",IF($M73,IF(AND($G73&gt;=CY$5,$G73&lt;CY$5+GanttPeriod),"◆",IF(AND($E73&gt;=CY$5,$E73&lt;CY$5+GanttPeriod),"◇","")),IF(AND(CY$5&lt;=$F73,CY$5+GanttPeriod-1&gt;=$E73),"━","")))</f>
        <v/>
      </c>
      <c r="CZ73" s="69" t="str">
        <f aca="false">IF($E73="","",IF($M73,IF(AND($G73&gt;=CZ$5,$G73&lt;CZ$5+GanttPeriod),"◆",IF(AND($E73&gt;=CZ$5,$E73&lt;CZ$5+GanttPeriod),"◇","")),IF(AND(CZ$5&lt;=$F73,CZ$5+GanttPeriod-1&gt;=$E73),"━","")))</f>
        <v/>
      </c>
      <c r="DA73" s="69" t="str">
        <f aca="false">IF($E73="","",IF($M73,IF(AND($G73&gt;=DA$5,$G73&lt;DA$5+GanttPeriod),"◆",IF(AND($E73&gt;=DA$5,$E73&lt;DA$5+GanttPeriod),"◇","")),IF(AND(DA$5&lt;=$F73,DA$5+GanttPeriod-1&gt;=$E73),"━","")))</f>
        <v/>
      </c>
      <c r="DB73" s="69" t="str">
        <f aca="false">IF($E73="","",IF($M73,IF(AND($G73&gt;=DB$5,$G73&lt;DB$5+GanttPeriod),"◆",IF(AND($E73&gt;=DB$5,$E73&lt;DB$5+GanttPeriod),"◇","")),IF(AND(DB$5&lt;=$F73,DB$5+GanttPeriod-1&gt;=$E73),"━","")))</f>
        <v/>
      </c>
      <c r="DC73" s="69" t="str">
        <f aca="false">IF($E73="","",IF($M73,IF(AND($G73&gt;=DC$5,$G73&lt;DC$5+GanttPeriod),"◆",IF(AND($E73&gt;=DC$5,$E73&lt;DC$5+GanttPeriod),"◇","")),IF(AND(DC$5&lt;=$F73,DC$5+GanttPeriod-1&gt;=$E73),"━","")))</f>
        <v/>
      </c>
      <c r="DD73" s="69" t="str">
        <f aca="false">IF($E73="","",IF($M73,IF(AND($G73&gt;=DD$5,$G73&lt;DD$5+GanttPeriod),"◆",IF(AND($E73&gt;=DD$5,$E73&lt;DD$5+GanttPeriod),"◇","")),IF(AND(DD$5&lt;=$F73,DD$5+GanttPeriod-1&gt;=$E73),"━","")))</f>
        <v/>
      </c>
      <c r="DE73" s="69" t="str">
        <f aca="false">IF($E73="","",IF($M73,IF(AND($G73&gt;=DE$5,$G73&lt;DE$5+GanttPeriod),"◆",IF(AND($E73&gt;=DE$5,$E73&lt;DE$5+GanttPeriod),"◇","")),IF(AND(DE$5&lt;=$F73,DE$5+GanttPeriod-1&gt;=$E73),"━","")))</f>
        <v/>
      </c>
      <c r="DF73" s="69" t="str">
        <f aca="false">IF($E73="","",IF($M73,IF(AND($G73&gt;=DF$5,$G73&lt;DF$5+GanttPeriod),"◆",IF(AND($E73&gt;=DF$5,$E73&lt;DF$5+GanttPeriod),"◇","")),IF(AND(DF$5&lt;=$F73,DF$5+GanttPeriod-1&gt;=$E73),"━","")))</f>
        <v/>
      </c>
      <c r="DG73" s="69" t="str">
        <f aca="false">IF($E73="","",IF($M73,IF(AND($G73&gt;=DG$5,$G73&lt;DG$5+GanttPeriod),"◆",IF(AND($E73&gt;=DG$5,$E73&lt;DG$5+GanttPeriod),"◇","")),IF(AND(DG$5&lt;=$F73,DG$5+GanttPeriod-1&gt;=$E73),"━","")))</f>
        <v/>
      </c>
      <c r="DH73" s="69" t="str">
        <f aca="false">IF($E73="","",IF($M73,IF(AND($G73&gt;=DH$5,$G73&lt;DH$5+GanttPeriod),"◆",IF(AND($E73&gt;=DH$5,$E73&lt;DH$5+GanttPeriod),"◇","")),IF(AND(DH$5&lt;=$F73,DH$5+GanttPeriod-1&gt;=$E73),"━","")))</f>
        <v/>
      </c>
      <c r="DI73" s="69" t="str">
        <f aca="false">IF($E73="","",IF($M73,IF(AND($G73&gt;=DI$5,$G73&lt;DI$5+GanttPeriod),"◆",IF(AND($E73&gt;=DI$5,$E73&lt;DI$5+GanttPeriod),"◇","")),IF(AND(DI$5&lt;=$F73,DI$5+GanttPeriod-1&gt;=$E73),"━","")))</f>
        <v/>
      </c>
      <c r="DJ73" s="69" t="str">
        <f aca="false">IF($E73="","",IF($M73,IF(AND($G73&gt;=DJ$5,$G73&lt;DJ$5+GanttPeriod),"◆",IF(AND($E73&gt;=DJ$5,$E73&lt;DJ$5+GanttPeriod),"◇","")),IF(AND(DJ$5&lt;=$F73,DJ$5+GanttPeriod-1&gt;=$E73),"━","")))</f>
        <v/>
      </c>
      <c r="DK73" s="69" t="str">
        <f aca="false">IF($E73="","",IF($M73,IF(AND($G73&gt;=DK$5,$G73&lt;DK$5+GanttPeriod),"◆",IF(AND($E73&gt;=DK$5,$E73&lt;DK$5+GanttPeriod),"◇","")),IF(AND(DK$5&lt;=$F73,DK$5+GanttPeriod-1&gt;=$E73),"━","")))</f>
        <v/>
      </c>
      <c r="DL73" s="69" t="str">
        <f aca="false">IF($E73="","",IF($M73,IF(AND($G73&gt;=DL$5,$G73&lt;DL$5+GanttPeriod),"◆",IF(AND($E73&gt;=DL$5,$E73&lt;DL$5+GanttPeriod),"◇","")),IF(AND(DL$5&lt;=$F73,DL$5+GanttPeriod-1&gt;=$E73),"━","")))</f>
        <v/>
      </c>
      <c r="DM73" s="69" t="str">
        <f aca="false">IF($E73="","",IF($M73,IF(AND($G73&gt;=DM$5,$G73&lt;DM$5+GanttPeriod),"◆",IF(AND($E73&gt;=DM$5,$E73&lt;DM$5+GanttPeriod),"◇","")),IF(AND(DM$5&lt;=$F73,DM$5+GanttPeriod-1&gt;=$E73),"━","")))</f>
        <v/>
      </c>
      <c r="DN73" s="69" t="str">
        <f aca="false">IF($E73="","",IF($M73,IF(AND($G73&gt;=DN$5,$G73&lt;DN$5+GanttPeriod),"◆",IF(AND($E73&gt;=DN$5,$E73&lt;DN$5+GanttPeriod),"◇","")),IF(AND(DN$5&lt;=$F73,DN$5+GanttPeriod-1&gt;=$E73),"━","")))</f>
        <v/>
      </c>
      <c r="DO73" s="69" t="str">
        <f aca="false">IF($E73="","",IF($M73,IF(AND($G73&gt;=DO$5,$G73&lt;DO$5+GanttPeriod),"◆",IF(AND($E73&gt;=DO$5,$E73&lt;DO$5+GanttPeriod),"◇","")),IF(AND(DO$5&lt;=$F73,DO$5+GanttPeriod-1&gt;=$E73),"━","")))</f>
        <v/>
      </c>
      <c r="DP73" s="69" t="str">
        <f aca="false">IF($E73="","",IF($M73,IF(AND($G73&gt;=DP$5,$G73&lt;DP$5+GanttPeriod),"◆",IF(AND($E73&gt;=DP$5,$E73&lt;DP$5+GanttPeriod),"◇","")),IF(AND(DP$5&lt;=$F73,DP$5+GanttPeriod-1&gt;=$E73),"━","")))</f>
        <v/>
      </c>
      <c r="DQ73" s="69" t="str">
        <f aca="false">IF($E73="","",IF($M73,IF(AND($G73&gt;=DQ$5,$G73&lt;DQ$5+GanttPeriod),"◆",IF(AND($E73&gt;=DQ$5,$E73&lt;DQ$5+GanttPeriod),"◇","")),IF(AND(DQ$5&lt;=$F73,DQ$5+GanttPeriod-1&gt;=$E73),"━","")))</f>
        <v/>
      </c>
      <c r="DR73" s="69" t="str">
        <f aca="false">IF($E73="","",IF($M73,IF(AND($G73&gt;=DR$5,$G73&lt;DR$5+GanttPeriod),"◆",IF(AND($E73&gt;=DR$5,$E73&lt;DR$5+GanttPeriod),"◇","")),IF(AND(DR$5&lt;=$F73,DR$5+GanttPeriod-1&gt;=$E73),"━","")))</f>
        <v/>
      </c>
      <c r="DS73" s="69" t="str">
        <f aca="false">IF($E73="","",IF($M73,IF(AND($G73&gt;=DS$5,$G73&lt;DS$5+GanttPeriod),"◆",IF(AND($E73&gt;=DS$5,$E73&lt;DS$5+GanttPeriod),"◇","")),IF(AND(DS$5&lt;=$F73,DS$5+GanttPeriod-1&gt;=$E73),"━","")))</f>
        <v/>
      </c>
      <c r="DT73" s="69" t="str">
        <f aca="false">IF($E73="","",IF($M73,IF(AND($G73&gt;=DT$5,$G73&lt;DT$5+GanttPeriod),"◆",IF(AND($E73&gt;=DT$5,$E73&lt;DT$5+GanttPeriod),"◇","")),IF(AND(DT$5&lt;=$F73,DT$5+GanttPeriod-1&gt;=$E73),"━","")))</f>
        <v/>
      </c>
      <c r="DU73" s="69" t="str">
        <f aca="false">IF($E73="","",IF($M73,IF(AND($G73&gt;=DU$5,$G73&lt;DU$5+GanttPeriod),"◆",IF(AND($E73&gt;=DU$5,$E73&lt;DU$5+GanttPeriod),"◇","")),IF(AND(DU$5&lt;=$F73,DU$5+GanttPeriod-1&gt;=$E73),"━","")))</f>
        <v/>
      </c>
      <c r="DV73" s="69" t="str">
        <f aca="false">IF($E73="","",IF($M73,IF(AND($G73&gt;=DV$5,$G73&lt;DV$5+GanttPeriod),"◆",IF(AND($E73&gt;=DV$5,$E73&lt;DV$5+GanttPeriod),"◇","")),IF(AND(DV$5&lt;=$F73,DV$5+GanttPeriod-1&gt;=$E73),"━","")))</f>
        <v/>
      </c>
      <c r="DW73" s="69" t="str">
        <f aca="false">IF($E73="","",IF($M73,IF(AND($G73&gt;=DW$5,$G73&lt;DW$5+GanttPeriod),"◆",IF(AND($E73&gt;=DW$5,$E73&lt;DW$5+GanttPeriod),"◇","")),IF(AND(DW$5&lt;=$F73,DW$5+GanttPeriod-1&gt;=$E73),"━","")))</f>
        <v/>
      </c>
      <c r="DX73" s="69" t="str">
        <f aca="false">IF($E73="","",IF($M73,IF(AND($G73&gt;=DX$5,$G73&lt;DX$5+GanttPeriod),"◆",IF(AND($E73&gt;=DX$5,$E73&lt;DX$5+GanttPeriod),"◇","")),IF(AND(DX$5&lt;=$F73,DX$5+GanttPeriod-1&gt;=$E73),"━","")))</f>
        <v/>
      </c>
      <c r="DY73" s="69" t="str">
        <f aca="false">IF($E73="","",IF($M73,IF(AND($G73&gt;=DY$5,$G73&lt;DY$5+GanttPeriod),"◆",IF(AND($E73&gt;=DY$5,$E73&lt;DY$5+GanttPeriod),"◇","")),IF(AND(DY$5&lt;=$F73,DY$5+GanttPeriod-1&gt;=$E73),"━","")))</f>
        <v/>
      </c>
      <c r="DZ73" s="69" t="str">
        <f aca="false">IF($E73="","",IF($M73,IF(AND($G73&gt;=DZ$5,$G73&lt;DZ$5+GanttPeriod),"◆",IF(AND($E73&gt;=DZ$5,$E73&lt;DZ$5+GanttPeriod),"◇","")),IF(AND(DZ$5&lt;=$F73,DZ$5+GanttPeriod-1&gt;=$E73),"━","")))</f>
        <v/>
      </c>
      <c r="EA73" s="69" t="str">
        <f aca="false">IF($E73="","",IF($M73,IF(AND($G73&gt;=EA$5,$G73&lt;EA$5+GanttPeriod),"◆",IF(AND($E73&gt;=EA$5,$E73&lt;EA$5+GanttPeriod),"◇","")),IF(AND(EA$5&lt;=$F73,EA$5+GanttPeriod-1&gt;=$E73),"━","")))</f>
        <v/>
      </c>
      <c r="EB73" s="69" t="str">
        <f aca="false">IF($E73="","",IF($M73,IF(AND($G73&gt;=EB$5,$G73&lt;EB$5+GanttPeriod),"◆",IF(AND($E73&gt;=EB$5,$E73&lt;EB$5+GanttPeriod),"◇","")),IF(AND(EB$5&lt;=$F73,EB$5+GanttPeriod-1&gt;=$E73),"━","")))</f>
        <v/>
      </c>
      <c r="EC73" s="69" t="str">
        <f aca="false">IF($E73="","",IF($M73,IF(AND($G73&gt;=EC$5,$G73&lt;EC$5+GanttPeriod),"◆",IF(AND($E73&gt;=EC$5,$E73&lt;EC$5+GanttPeriod),"◇","")),IF(AND(EC$5&lt;=$F73,EC$5+GanttPeriod-1&gt;=$E73),"━","")))</f>
        <v/>
      </c>
      <c r="ED73" s="69" t="str">
        <f aca="false">IF($E73="","",IF($M73,IF(AND($G73&gt;=ED$5,$G73&lt;ED$5+GanttPeriod),"◆",IF(AND($E73&gt;=ED$5,$E73&lt;ED$5+GanttPeriod),"◇","")),IF(AND(ED$5&lt;=$F73,ED$5+GanttPeriod-1&gt;=$E73),"━","")))</f>
        <v/>
      </c>
      <c r="EE73" s="69" t="str">
        <f aca="false">IF($E73="","",IF($M73,IF(AND($G73&gt;=EE$5,$G73&lt;EE$5+GanttPeriod),"◆",IF(AND($E73&gt;=EE$5,$E73&lt;EE$5+GanttPeriod),"◇","")),IF(AND(EE$5&lt;=$F73,EE$5+GanttPeriod-1&gt;=$E73),"━","")))</f>
        <v/>
      </c>
      <c r="EF73" s="69" t="str">
        <f aca="false">IF($E73="","",IF($M73,IF(AND($G73&gt;=EF$5,$G73&lt;EF$5+GanttPeriod),"◆",IF(AND($E73&gt;=EF$5,$E73&lt;EF$5+GanttPeriod),"◇","")),IF(AND(EF$5&lt;=$F73,EF$5+GanttPeriod-1&gt;=$E73),"━","")))</f>
        <v/>
      </c>
      <c r="EG73" s="69" t="str">
        <f aca="false">IF($E73="","",IF($M73,IF(AND($G73&gt;=EG$5,$G73&lt;EG$5+GanttPeriod),"◆",IF(AND($E73&gt;=EG$5,$E73&lt;EG$5+GanttPeriod),"◇","")),IF(AND(EG$5&lt;=$F73,EG$5+GanttPeriod-1&gt;=$E73),"━","")))</f>
        <v/>
      </c>
      <c r="EH73" s="69" t="str">
        <f aca="false">IF($E73="","",IF($M73,IF(AND($G73&gt;=EH$5,$G73&lt;EH$5+GanttPeriod),"◆",IF(AND($E73&gt;=EH$5,$E73&lt;EH$5+GanttPeriod),"◇","")),IF(AND(EH$5&lt;=$F73,EH$5+GanttPeriod-1&gt;=$E73),"━","")))</f>
        <v/>
      </c>
      <c r="EI73" s="69" t="str">
        <f aca="false">IF($E73="","",IF($M73,IF(AND($G73&gt;=EI$5,$G73&lt;EI$5+GanttPeriod),"◆",IF(AND($E73&gt;=EI$5,$E73&lt;EI$5+GanttPeriod),"◇","")),IF(AND(EI$5&lt;=$F73,EI$5+GanttPeriod-1&gt;=$E73),"━","")))</f>
        <v/>
      </c>
      <c r="EJ73" s="69" t="str">
        <f aca="false">IF($E73="","",IF($M73,IF(AND($G73&gt;=EJ$5,$G73&lt;EJ$5+GanttPeriod),"◆",IF(AND($E73&gt;=EJ$5,$E73&lt;EJ$5+GanttPeriod),"◇","")),IF(AND(EJ$5&lt;=$F73,EJ$5+GanttPeriod-1&gt;=$E73),"━","")))</f>
        <v/>
      </c>
      <c r="EK73" s="69" t="str">
        <f aca="false">IF($E73="","",IF($M73,IF(AND($G73&gt;=EK$5,$G73&lt;EK$5+GanttPeriod),"◆",IF(AND($E73&gt;=EK$5,$E73&lt;EK$5+GanttPeriod),"◇","")),IF(AND(EK$5&lt;=$F73,EK$5+GanttPeriod-1&gt;=$E73),"━","")))</f>
        <v/>
      </c>
      <c r="EL73" s="69" t="str">
        <f aca="false">IF($E73="","",IF($M73,IF(AND($G73&gt;=EL$5,$G73&lt;EL$5+GanttPeriod),"◆",IF(AND($E73&gt;=EL$5,$E73&lt;EL$5+GanttPeriod),"◇","")),IF(AND(EL$5&lt;=$F73,EL$5+GanttPeriod-1&gt;=$E73),"━","")))</f>
        <v/>
      </c>
      <c r="EM73" s="69" t="str">
        <f aca="false">IF($E73="","",IF($M73,IF(AND($G73&gt;=EM$5,$G73&lt;EM$5+GanttPeriod),"◆",IF(AND($E73&gt;=EM$5,$E73&lt;EM$5+GanttPeriod),"◇","")),IF(AND(EM$5&lt;=$F73,EM$5+GanttPeriod-1&gt;=$E73),"━","")))</f>
        <v/>
      </c>
      <c r="EN73" s="69" t="str">
        <f aca="false">IF($E73="","",IF($M73,IF(AND($G73&gt;=EN$5,$G73&lt;EN$5+GanttPeriod),"◆",IF(AND($E73&gt;=EN$5,$E73&lt;EN$5+GanttPeriod),"◇","")),IF(AND(EN$5&lt;=$F73,EN$5+GanttPeriod-1&gt;=$E73),"━","")))</f>
        <v/>
      </c>
      <c r="EO73" s="69" t="str">
        <f aca="false">IF($E73="","",IF($M73,IF(AND($G73&gt;=EO$5,$G73&lt;EO$5+GanttPeriod),"◆",IF(AND($E73&gt;=EO$5,$E73&lt;EO$5+GanttPeriod),"◇","")),IF(AND(EO$5&lt;=$F73,EO$5+GanttPeriod-1&gt;=$E73),"━","")))</f>
        <v/>
      </c>
      <c r="EP73" s="69" t="str">
        <f aca="false">IF($E73="","",IF($M73,IF(AND($G73&gt;=EP$5,$G73&lt;EP$5+GanttPeriod),"◆",IF(AND($E73&gt;=EP$5,$E73&lt;EP$5+GanttPeriod),"◇","")),IF(AND(EP$5&lt;=$F73,EP$5+GanttPeriod-1&gt;=$E73),"━","")))</f>
        <v/>
      </c>
      <c r="EQ73" s="69" t="str">
        <f aca="false">IF($E73="","",IF($M73,IF(AND($G73&gt;=EQ$5,$G73&lt;EQ$5+GanttPeriod),"◆",IF(AND($E73&gt;=EQ$5,$E73&lt;EQ$5+GanttPeriod),"◇","")),IF(AND(EQ$5&lt;=$F73,EQ$5+GanttPeriod-1&gt;=$E73),"━","")))</f>
        <v/>
      </c>
      <c r="ER73" s="69" t="str">
        <f aca="false">IF($E73="","",IF($M73,IF(AND($G73&gt;=ER$5,$G73&lt;ER$5+GanttPeriod),"◆",IF(AND($E73&gt;=ER$5,$E73&lt;ER$5+GanttPeriod),"◇","")),IF(AND(ER$5&lt;=$F73,ER$5+GanttPeriod-1&gt;=$E73),"━","")))</f>
        <v/>
      </c>
      <c r="ES73" s="69" t="str">
        <f aca="false">IF($E73="","",IF($M73,IF(AND($G73&gt;=ES$5,$G73&lt;ES$5+GanttPeriod),"◆",IF(AND($E73&gt;=ES$5,$E73&lt;ES$5+GanttPeriod),"◇","")),IF(AND(ES$5&lt;=$F73,ES$5+GanttPeriod-1&gt;=$E73),"━","")))</f>
        <v/>
      </c>
      <c r="ET73" s="69" t="str">
        <f aca="false">IF($E73="","",IF($M73,IF(AND($G73&gt;=ET$5,$G73&lt;ET$5+GanttPeriod),"◆",IF(AND($E73&gt;=ET$5,$E73&lt;ET$5+GanttPeriod),"◇","")),IF(AND(ET$5&lt;=$F73,ET$5+GanttPeriod-1&gt;=$E73),"━","")))</f>
        <v/>
      </c>
      <c r="EU73" s="69" t="str">
        <f aca="false">IF($E73="","",IF($M73,IF(AND($G73&gt;=EU$5,$G73&lt;EU$5+GanttPeriod),"◆",IF(AND($E73&gt;=EU$5,$E73&lt;EU$5+GanttPeriod),"◇","")),IF(AND(EU$5&lt;=$F73,EU$5+GanttPeriod-1&gt;=$E73),"━","")))</f>
        <v/>
      </c>
      <c r="EV73" s="69" t="str">
        <f aca="false">IF($E73="","",IF($M73,IF(AND($G73&gt;=EV$5,$G73&lt;EV$5+GanttPeriod),"◆",IF(AND($E73&gt;=EV$5,$E73&lt;EV$5+GanttPeriod),"◇","")),IF(AND(EV$5&lt;=$F73,EV$5+GanttPeriod-1&gt;=$E73),"━","")))</f>
        <v/>
      </c>
      <c r="EW73" s="69" t="str">
        <f aca="false">IF($E73="","",IF($M73,IF(AND($G73&gt;=EW$5,$G73&lt;EW$5+GanttPeriod),"◆",IF(AND($E73&gt;=EW$5,$E73&lt;EW$5+GanttPeriod),"◇","")),IF(AND(EW$5&lt;=$F73,EW$5+GanttPeriod-1&gt;=$E73),"━","")))</f>
        <v/>
      </c>
      <c r="EX73" s="69" t="str">
        <f aca="false">IF($E73="","",IF($M73,IF(AND($G73&gt;=EX$5,$G73&lt;EX$5+GanttPeriod),"◆",IF(AND($E73&gt;=EX$5,$E73&lt;EX$5+GanttPeriod),"◇","")),IF(AND(EX$5&lt;=$F73,EX$5+GanttPeriod-1&gt;=$E73),"━","")))</f>
        <v/>
      </c>
      <c r="EY73" s="69" t="str">
        <f aca="false">IF($E73="","",IF($M73,IF(AND($G73&gt;=EY$5,$G73&lt;EY$5+GanttPeriod),"◆",IF(AND($E73&gt;=EY$5,$E73&lt;EY$5+GanttPeriod),"◇","")),IF(AND(EY$5&lt;=$F73,EY$5+GanttPeriod-1&gt;=$E73),"━","")))</f>
        <v/>
      </c>
      <c r="EZ73" s="69" t="str">
        <f aca="false">IF($E73="","",IF($M73,IF(AND($G73&gt;=EZ$5,$G73&lt;EZ$5+GanttPeriod),"◆",IF(AND($E73&gt;=EZ$5,$E73&lt;EZ$5+GanttPeriod),"◇","")),IF(AND(EZ$5&lt;=$F73,EZ$5+GanttPeriod-1&gt;=$E73),"━","")))</f>
        <v/>
      </c>
      <c r="FA73" s="69" t="str">
        <f aca="false">IF($E73="","",IF($M73,IF(AND($G73&gt;=FA$5,$G73&lt;FA$5+GanttPeriod),"◆",IF(AND($E73&gt;=FA$5,$E73&lt;FA$5+GanttPeriod),"◇","")),IF(AND(FA$5&lt;=$F73,FA$5+GanttPeriod-1&gt;=$E73),"━","")))</f>
        <v/>
      </c>
      <c r="FB73" s="69" t="str">
        <f aca="false">IF($E73="","",IF($M73,IF(AND($G73&gt;=FB$5,$G73&lt;FB$5+GanttPeriod),"◆",IF(AND($E73&gt;=FB$5,$E73&lt;FB$5+GanttPeriod),"◇","")),IF(AND(FB$5&lt;=$F73,FB$5+GanttPeriod-1&gt;=$E73),"━","")))</f>
        <v/>
      </c>
      <c r="FC73" s="69" t="str">
        <f aca="false">IF($E73="","",IF($M73,IF(AND($G73&gt;=FC$5,$G73&lt;FC$5+GanttPeriod),"◆",IF(AND($E73&gt;=FC$5,$E73&lt;FC$5+GanttPeriod),"◇","")),IF(AND(FC$5&lt;=$F73,FC$5+GanttPeriod-1&gt;=$E73),"━","")))</f>
        <v/>
      </c>
      <c r="FD73" s="69" t="str">
        <f aca="false">IF($E73="","",IF($M73,IF(AND($G73&gt;=FD$5,$G73&lt;FD$5+GanttPeriod),"◆",IF(AND($E73&gt;=FD$5,$E73&lt;FD$5+GanttPeriod),"◇","")),IF(AND(FD$5&lt;=$F73,FD$5+GanttPeriod-1&gt;=$E73),"━","")))</f>
        <v/>
      </c>
      <c r="FE73" s="69" t="str">
        <f aca="false">IF($E73="","",IF($M73,IF(AND($G73&gt;=FE$5,$G73&lt;FE$5+GanttPeriod),"◆",IF(AND($E73&gt;=FE$5,$E73&lt;FE$5+GanttPeriod),"◇","")),IF(AND(FE$5&lt;=$F73,FE$5+GanttPeriod-1&gt;=$E73),"━","")))</f>
        <v/>
      </c>
      <c r="FF73" s="69" t="str">
        <f aca="false">IF($E73="","",IF($M73,IF(AND($G73&gt;=FF$5,$G73&lt;FF$5+GanttPeriod),"◆",IF(AND($E73&gt;=FF$5,$E73&lt;FF$5+GanttPeriod),"◇","")),IF(AND(FF$5&lt;=$F73,FF$5+GanttPeriod-1&gt;=$E73),"━","")))</f>
        <v/>
      </c>
      <c r="FG73" s="69" t="str">
        <f aca="false">IF($E73="","",IF($M73,IF(AND($G73&gt;=FG$5,$G73&lt;FG$5+GanttPeriod),"◆",IF(AND($E73&gt;=FG$5,$E73&lt;FG$5+GanttPeriod),"◇","")),IF(AND(FG$5&lt;=$F73,FG$5+GanttPeriod-1&gt;=$E73),"━","")))</f>
        <v/>
      </c>
      <c r="FH73" s="69" t="str">
        <f aca="false">IF($E73="","",IF($M73,IF(AND($G73&gt;=FH$5,$G73&lt;FH$5+GanttPeriod),"◆",IF(AND($E73&gt;=FH$5,$E73&lt;FH$5+GanttPeriod),"◇","")),IF(AND(FH$5&lt;=$F73,FH$5+GanttPeriod-1&gt;=$E73),"━","")))</f>
        <v/>
      </c>
      <c r="FI73" s="69" t="str">
        <f aca="false">IF($E73="","",IF($M73,IF(AND($G73&gt;=FI$5,$G73&lt;FI$5+GanttPeriod),"◆",IF(AND($E73&gt;=FI$5,$E73&lt;FI$5+GanttPeriod),"◇","")),IF(AND(FI$5&lt;=$F73,FI$5+GanttPeriod-1&gt;=$E73),"━","")))</f>
        <v/>
      </c>
      <c r="FJ73" s="69" t="str">
        <f aca="false">IF($E73="","",IF($M73,IF(AND($G73&gt;=FJ$5,$G73&lt;FJ$5+GanttPeriod),"◆",IF(AND($E73&gt;=FJ$5,$E73&lt;FJ$5+GanttPeriod),"◇","")),IF(AND(FJ$5&lt;=$F73,FJ$5+GanttPeriod-1&gt;=$E73),"━","")))</f>
        <v/>
      </c>
      <c r="FK73" s="69" t="str">
        <f aca="false">IF($E73="","",IF($M73,IF(AND($G73&gt;=FK$5,$G73&lt;FK$5+GanttPeriod),"◆",IF(AND($E73&gt;=FK$5,$E73&lt;FK$5+GanttPeriod),"◇","")),IF(AND(FK$5&lt;=$F73,FK$5+GanttPeriod-1&gt;=$E73),"━","")))</f>
        <v/>
      </c>
      <c r="FL73" s="69" t="str">
        <f aca="false">IF($E73="","",IF($M73,IF(AND($G73&gt;=FL$5,$G73&lt;FL$5+GanttPeriod),"◆",IF(AND($E73&gt;=FL$5,$E73&lt;FL$5+GanttPeriod),"◇","")),IF(AND(FL$5&lt;=$F73,FL$5+GanttPeriod-1&gt;=$E73),"━","")))</f>
        <v/>
      </c>
      <c r="FM73" s="69" t="str">
        <f aca="false">IF($E73="","",IF($M73,IF(AND($G73&gt;=FM$5,$G73&lt;FM$5+GanttPeriod),"◆",IF(AND($E73&gt;=FM$5,$E73&lt;FM$5+GanttPeriod),"◇","")),IF(AND(FM$5&lt;=$F73,FM$5+GanttPeriod-1&gt;=$E73),"━","")))</f>
        <v/>
      </c>
    </row>
    <row r="74" customFormat="false" ht="15" hidden="false" customHeight="false" outlineLevel="0" collapsed="false">
      <c r="A74" s="62" t="str">
        <f aca="false">IF(Tasks!$D74="","",Tasks!$A74)</f>
        <v/>
      </c>
      <c r="B74" s="62" t="str">
        <f aca="false">IF(Tasks!$D74="","",Tasks!$B74)</f>
        <v/>
      </c>
      <c r="C74" s="63" t="str">
        <f aca="false">IF(Tasks!$D74="","",REPT("    ",Tasks!$AE74-1)&amp;Tasks!$D74)</f>
        <v/>
      </c>
      <c r="D74" s="62" t="str">
        <f aca="false">IF(Tasks!$D74="","",IF(Tasks!$AI74,NETWORKDAYS.INTL(Tasks!$R74,Tasks!$S74,WorkWeek,Holidays),N(Tasks!$F74)))</f>
        <v/>
      </c>
      <c r="E74" s="64" t="str">
        <f aca="false">IF(Tasks!$D74="","",Tasks!$N74)</f>
        <v/>
      </c>
      <c r="F74" s="64" t="str">
        <f aca="false">IF(Tasks!$D74="","",Tasks!$O74)</f>
        <v/>
      </c>
      <c r="G74" s="64" t="str">
        <f aca="false">IF(Tasks!$D74="","",Tasks!$R74)</f>
        <v/>
      </c>
      <c r="H74" s="64" t="str">
        <f aca="false">IF(Tasks!$D74="","",Tasks!$S74)</f>
        <v/>
      </c>
      <c r="I74" s="65" t="str">
        <f aca="false">IF(Tasks!$D74="","",Tasks!$V74)</f>
        <v/>
      </c>
      <c r="J74" s="63" t="str">
        <f aca="false">IF(Tasks!$D74="","",Tasks!$X74&amp;"")</f>
        <v/>
      </c>
      <c r="K74" s="66" t="str">
        <f aca="false">IF(Tasks!$D74="","",Tasks!$W74)</f>
        <v/>
      </c>
      <c r="L74" s="67" t="b">
        <f aca="false">IF(Tasks!$D74="",FALSE(),Tasks!$AI74)</f>
        <v>0</v>
      </c>
      <c r="M74" s="67" t="b">
        <f aca="false">AND(Tasks!$AJ74=1,N(Tasks!$F74)=0)</f>
        <v>0</v>
      </c>
      <c r="N74" s="68" t="n">
        <f aca="false">IF(AND(Tasks!$AJ74=1,NOT($M74),N($I74)&gt;0),$G74,0)</f>
        <v>0</v>
      </c>
      <c r="O74" s="68" t="n">
        <f aca="false">IF($N74=0,0,IF($I74&gt;=1,$H74,MAX($N74,$G74+ROUND(($H74-$G74+1)*$I74,0)-1)))</f>
        <v>0</v>
      </c>
      <c r="P74" s="68" t="n">
        <f aca="false">IF(OR(Tasks!$AJ74&lt;&gt;1,$M74,N($I74)&gt;=1),0,IF($O74&gt;0,$O74+1,$G74))</f>
        <v>0</v>
      </c>
      <c r="Q74" s="68" t="n">
        <f aca="false">IF($P74=0,0,$H74)</f>
        <v>0</v>
      </c>
      <c r="R74" s="67" t="b">
        <f aca="false">AND(Tasks!$D74&lt;&gt;"",N(Tasks!$T74)&gt;0)</f>
        <v>0</v>
      </c>
      <c r="T74" s="69" t="str">
        <f aca="false">IF($E74="","",IF($M74,IF(AND($G74&gt;=T$5,$G74&lt;T$5+GanttPeriod),"◆",IF(AND($E74&gt;=T$5,$E74&lt;T$5+GanttPeriod),"◇","")),IF(AND(T$5&lt;=$F74,T$5+GanttPeriod-1&gt;=$E74),"━","")))</f>
        <v/>
      </c>
      <c r="U74" s="69" t="str">
        <f aca="false">IF($E74="","",IF($M74,IF(AND($G74&gt;=U$5,$G74&lt;U$5+GanttPeriod),"◆",IF(AND($E74&gt;=U$5,$E74&lt;U$5+GanttPeriod),"◇","")),IF(AND(U$5&lt;=$F74,U$5+GanttPeriod-1&gt;=$E74),"━","")))</f>
        <v/>
      </c>
      <c r="V74" s="69" t="str">
        <f aca="false">IF($E74="","",IF($M74,IF(AND($G74&gt;=V$5,$G74&lt;V$5+GanttPeriod),"◆",IF(AND($E74&gt;=V$5,$E74&lt;V$5+GanttPeriod),"◇","")),IF(AND(V$5&lt;=$F74,V$5+GanttPeriod-1&gt;=$E74),"━","")))</f>
        <v/>
      </c>
      <c r="W74" s="69" t="str">
        <f aca="false">IF($E74="","",IF($M74,IF(AND($G74&gt;=W$5,$G74&lt;W$5+GanttPeriod),"◆",IF(AND($E74&gt;=W$5,$E74&lt;W$5+GanttPeriod),"◇","")),IF(AND(W$5&lt;=$F74,W$5+GanttPeriod-1&gt;=$E74),"━","")))</f>
        <v/>
      </c>
      <c r="X74" s="69" t="str">
        <f aca="false">IF($E74="","",IF($M74,IF(AND($G74&gt;=X$5,$G74&lt;X$5+GanttPeriod),"◆",IF(AND($E74&gt;=X$5,$E74&lt;X$5+GanttPeriod),"◇","")),IF(AND(X$5&lt;=$F74,X$5+GanttPeriod-1&gt;=$E74),"━","")))</f>
        <v/>
      </c>
      <c r="Y74" s="69" t="str">
        <f aca="false">IF($E74="","",IF($M74,IF(AND($G74&gt;=Y$5,$G74&lt;Y$5+GanttPeriod),"◆",IF(AND($E74&gt;=Y$5,$E74&lt;Y$5+GanttPeriod),"◇","")),IF(AND(Y$5&lt;=$F74,Y$5+GanttPeriod-1&gt;=$E74),"━","")))</f>
        <v/>
      </c>
      <c r="Z74" s="69" t="str">
        <f aca="false">IF($E74="","",IF($M74,IF(AND($G74&gt;=Z$5,$G74&lt;Z$5+GanttPeriod),"◆",IF(AND($E74&gt;=Z$5,$E74&lt;Z$5+GanttPeriod),"◇","")),IF(AND(Z$5&lt;=$F74,Z$5+GanttPeriod-1&gt;=$E74),"━","")))</f>
        <v/>
      </c>
      <c r="AA74" s="69" t="str">
        <f aca="false">IF($E74="","",IF($M74,IF(AND($G74&gt;=AA$5,$G74&lt;AA$5+GanttPeriod),"◆",IF(AND($E74&gt;=AA$5,$E74&lt;AA$5+GanttPeriod),"◇","")),IF(AND(AA$5&lt;=$F74,AA$5+GanttPeriod-1&gt;=$E74),"━","")))</f>
        <v/>
      </c>
      <c r="AB74" s="69" t="str">
        <f aca="false">IF($E74="","",IF($M74,IF(AND($G74&gt;=AB$5,$G74&lt;AB$5+GanttPeriod),"◆",IF(AND($E74&gt;=AB$5,$E74&lt;AB$5+GanttPeriod),"◇","")),IF(AND(AB$5&lt;=$F74,AB$5+GanttPeriod-1&gt;=$E74),"━","")))</f>
        <v/>
      </c>
      <c r="AC74" s="69" t="str">
        <f aca="false">IF($E74="","",IF($M74,IF(AND($G74&gt;=AC$5,$G74&lt;AC$5+GanttPeriod),"◆",IF(AND($E74&gt;=AC$5,$E74&lt;AC$5+GanttPeriod),"◇","")),IF(AND(AC$5&lt;=$F74,AC$5+GanttPeriod-1&gt;=$E74),"━","")))</f>
        <v/>
      </c>
      <c r="AD74" s="69" t="str">
        <f aca="false">IF($E74="","",IF($M74,IF(AND($G74&gt;=AD$5,$G74&lt;AD$5+GanttPeriod),"◆",IF(AND($E74&gt;=AD$5,$E74&lt;AD$5+GanttPeriod),"◇","")),IF(AND(AD$5&lt;=$F74,AD$5+GanttPeriod-1&gt;=$E74),"━","")))</f>
        <v/>
      </c>
      <c r="AE74" s="69" t="str">
        <f aca="false">IF($E74="","",IF($M74,IF(AND($G74&gt;=AE$5,$G74&lt;AE$5+GanttPeriod),"◆",IF(AND($E74&gt;=AE$5,$E74&lt;AE$5+GanttPeriod),"◇","")),IF(AND(AE$5&lt;=$F74,AE$5+GanttPeriod-1&gt;=$E74),"━","")))</f>
        <v/>
      </c>
      <c r="AF74" s="69" t="str">
        <f aca="false">IF($E74="","",IF($M74,IF(AND($G74&gt;=AF$5,$G74&lt;AF$5+GanttPeriod),"◆",IF(AND($E74&gt;=AF$5,$E74&lt;AF$5+GanttPeriod),"◇","")),IF(AND(AF$5&lt;=$F74,AF$5+GanttPeriod-1&gt;=$E74),"━","")))</f>
        <v/>
      </c>
      <c r="AG74" s="69" t="str">
        <f aca="false">IF($E74="","",IF($M74,IF(AND($G74&gt;=AG$5,$G74&lt;AG$5+GanttPeriod),"◆",IF(AND($E74&gt;=AG$5,$E74&lt;AG$5+GanttPeriod),"◇","")),IF(AND(AG$5&lt;=$F74,AG$5+GanttPeriod-1&gt;=$E74),"━","")))</f>
        <v/>
      </c>
      <c r="AH74" s="69" t="str">
        <f aca="false">IF($E74="","",IF($M74,IF(AND($G74&gt;=AH$5,$G74&lt;AH$5+GanttPeriod),"◆",IF(AND($E74&gt;=AH$5,$E74&lt;AH$5+GanttPeriod),"◇","")),IF(AND(AH$5&lt;=$F74,AH$5+GanttPeriod-1&gt;=$E74),"━","")))</f>
        <v/>
      </c>
      <c r="AI74" s="69" t="str">
        <f aca="false">IF($E74="","",IF($M74,IF(AND($G74&gt;=AI$5,$G74&lt;AI$5+GanttPeriod),"◆",IF(AND($E74&gt;=AI$5,$E74&lt;AI$5+GanttPeriod),"◇","")),IF(AND(AI$5&lt;=$F74,AI$5+GanttPeriod-1&gt;=$E74),"━","")))</f>
        <v/>
      </c>
      <c r="AJ74" s="69" t="str">
        <f aca="false">IF($E74="","",IF($M74,IF(AND($G74&gt;=AJ$5,$G74&lt;AJ$5+GanttPeriod),"◆",IF(AND($E74&gt;=AJ$5,$E74&lt;AJ$5+GanttPeriod),"◇","")),IF(AND(AJ$5&lt;=$F74,AJ$5+GanttPeriod-1&gt;=$E74),"━","")))</f>
        <v/>
      </c>
      <c r="AK74" s="69" t="str">
        <f aca="false">IF($E74="","",IF($M74,IF(AND($G74&gt;=AK$5,$G74&lt;AK$5+GanttPeriod),"◆",IF(AND($E74&gt;=AK$5,$E74&lt;AK$5+GanttPeriod),"◇","")),IF(AND(AK$5&lt;=$F74,AK$5+GanttPeriod-1&gt;=$E74),"━","")))</f>
        <v/>
      </c>
      <c r="AL74" s="69" t="str">
        <f aca="false">IF($E74="","",IF($M74,IF(AND($G74&gt;=AL$5,$G74&lt;AL$5+GanttPeriod),"◆",IF(AND($E74&gt;=AL$5,$E74&lt;AL$5+GanttPeriod),"◇","")),IF(AND(AL$5&lt;=$F74,AL$5+GanttPeriod-1&gt;=$E74),"━","")))</f>
        <v/>
      </c>
      <c r="AM74" s="69" t="str">
        <f aca="false">IF($E74="","",IF($M74,IF(AND($G74&gt;=AM$5,$G74&lt;AM$5+GanttPeriod),"◆",IF(AND($E74&gt;=AM$5,$E74&lt;AM$5+GanttPeriod),"◇","")),IF(AND(AM$5&lt;=$F74,AM$5+GanttPeriod-1&gt;=$E74),"━","")))</f>
        <v/>
      </c>
      <c r="AN74" s="69" t="str">
        <f aca="false">IF($E74="","",IF($M74,IF(AND($G74&gt;=AN$5,$G74&lt;AN$5+GanttPeriod),"◆",IF(AND($E74&gt;=AN$5,$E74&lt;AN$5+GanttPeriod),"◇","")),IF(AND(AN$5&lt;=$F74,AN$5+GanttPeriod-1&gt;=$E74),"━","")))</f>
        <v/>
      </c>
      <c r="AO74" s="69" t="str">
        <f aca="false">IF($E74="","",IF($M74,IF(AND($G74&gt;=AO$5,$G74&lt;AO$5+GanttPeriod),"◆",IF(AND($E74&gt;=AO$5,$E74&lt;AO$5+GanttPeriod),"◇","")),IF(AND(AO$5&lt;=$F74,AO$5+GanttPeriod-1&gt;=$E74),"━","")))</f>
        <v/>
      </c>
      <c r="AP74" s="69" t="str">
        <f aca="false">IF($E74="","",IF($M74,IF(AND($G74&gt;=AP$5,$G74&lt;AP$5+GanttPeriod),"◆",IF(AND($E74&gt;=AP$5,$E74&lt;AP$5+GanttPeriod),"◇","")),IF(AND(AP$5&lt;=$F74,AP$5+GanttPeriod-1&gt;=$E74),"━","")))</f>
        <v/>
      </c>
      <c r="AQ74" s="69" t="str">
        <f aca="false">IF($E74="","",IF($M74,IF(AND($G74&gt;=AQ$5,$G74&lt;AQ$5+GanttPeriod),"◆",IF(AND($E74&gt;=AQ$5,$E74&lt;AQ$5+GanttPeriod),"◇","")),IF(AND(AQ$5&lt;=$F74,AQ$5+GanttPeriod-1&gt;=$E74),"━","")))</f>
        <v/>
      </c>
      <c r="AR74" s="69" t="str">
        <f aca="false">IF($E74="","",IF($M74,IF(AND($G74&gt;=AR$5,$G74&lt;AR$5+GanttPeriod),"◆",IF(AND($E74&gt;=AR$5,$E74&lt;AR$5+GanttPeriod),"◇","")),IF(AND(AR$5&lt;=$F74,AR$5+GanttPeriod-1&gt;=$E74),"━","")))</f>
        <v/>
      </c>
      <c r="AS74" s="69" t="str">
        <f aca="false">IF($E74="","",IF($M74,IF(AND($G74&gt;=AS$5,$G74&lt;AS$5+GanttPeriod),"◆",IF(AND($E74&gt;=AS$5,$E74&lt;AS$5+GanttPeriod),"◇","")),IF(AND(AS$5&lt;=$F74,AS$5+GanttPeriod-1&gt;=$E74),"━","")))</f>
        <v/>
      </c>
      <c r="AT74" s="69" t="str">
        <f aca="false">IF($E74="","",IF($M74,IF(AND($G74&gt;=AT$5,$G74&lt;AT$5+GanttPeriod),"◆",IF(AND($E74&gt;=AT$5,$E74&lt;AT$5+GanttPeriod),"◇","")),IF(AND(AT$5&lt;=$F74,AT$5+GanttPeriod-1&gt;=$E74),"━","")))</f>
        <v/>
      </c>
      <c r="AU74" s="69" t="str">
        <f aca="false">IF($E74="","",IF($M74,IF(AND($G74&gt;=AU$5,$G74&lt;AU$5+GanttPeriod),"◆",IF(AND($E74&gt;=AU$5,$E74&lt;AU$5+GanttPeriod),"◇","")),IF(AND(AU$5&lt;=$F74,AU$5+GanttPeriod-1&gt;=$E74),"━","")))</f>
        <v/>
      </c>
      <c r="AV74" s="69" t="str">
        <f aca="false">IF($E74="","",IF($M74,IF(AND($G74&gt;=AV$5,$G74&lt;AV$5+GanttPeriod),"◆",IF(AND($E74&gt;=AV$5,$E74&lt;AV$5+GanttPeriod),"◇","")),IF(AND(AV$5&lt;=$F74,AV$5+GanttPeriod-1&gt;=$E74),"━","")))</f>
        <v/>
      </c>
      <c r="AW74" s="69" t="str">
        <f aca="false">IF($E74="","",IF($M74,IF(AND($G74&gt;=AW$5,$G74&lt;AW$5+GanttPeriod),"◆",IF(AND($E74&gt;=AW$5,$E74&lt;AW$5+GanttPeriod),"◇","")),IF(AND(AW$5&lt;=$F74,AW$5+GanttPeriod-1&gt;=$E74),"━","")))</f>
        <v/>
      </c>
      <c r="AX74" s="69" t="str">
        <f aca="false">IF($E74="","",IF($M74,IF(AND($G74&gt;=AX$5,$G74&lt;AX$5+GanttPeriod),"◆",IF(AND($E74&gt;=AX$5,$E74&lt;AX$5+GanttPeriod),"◇","")),IF(AND(AX$5&lt;=$F74,AX$5+GanttPeriod-1&gt;=$E74),"━","")))</f>
        <v/>
      </c>
      <c r="AY74" s="69" t="str">
        <f aca="false">IF($E74="","",IF($M74,IF(AND($G74&gt;=AY$5,$G74&lt;AY$5+GanttPeriod),"◆",IF(AND($E74&gt;=AY$5,$E74&lt;AY$5+GanttPeriod),"◇","")),IF(AND(AY$5&lt;=$F74,AY$5+GanttPeriod-1&gt;=$E74),"━","")))</f>
        <v/>
      </c>
      <c r="AZ74" s="69" t="str">
        <f aca="false">IF($E74="","",IF($M74,IF(AND($G74&gt;=AZ$5,$G74&lt;AZ$5+GanttPeriod),"◆",IF(AND($E74&gt;=AZ$5,$E74&lt;AZ$5+GanttPeriod),"◇","")),IF(AND(AZ$5&lt;=$F74,AZ$5+GanttPeriod-1&gt;=$E74),"━","")))</f>
        <v/>
      </c>
      <c r="BA74" s="69" t="str">
        <f aca="false">IF($E74="","",IF($M74,IF(AND($G74&gt;=BA$5,$G74&lt;BA$5+GanttPeriod),"◆",IF(AND($E74&gt;=BA$5,$E74&lt;BA$5+GanttPeriod),"◇","")),IF(AND(BA$5&lt;=$F74,BA$5+GanttPeriod-1&gt;=$E74),"━","")))</f>
        <v/>
      </c>
      <c r="BB74" s="69" t="str">
        <f aca="false">IF($E74="","",IF($M74,IF(AND($G74&gt;=BB$5,$G74&lt;BB$5+GanttPeriod),"◆",IF(AND($E74&gt;=BB$5,$E74&lt;BB$5+GanttPeriod),"◇","")),IF(AND(BB$5&lt;=$F74,BB$5+GanttPeriod-1&gt;=$E74),"━","")))</f>
        <v/>
      </c>
      <c r="BC74" s="69" t="str">
        <f aca="false">IF($E74="","",IF($M74,IF(AND($G74&gt;=BC$5,$G74&lt;BC$5+GanttPeriod),"◆",IF(AND($E74&gt;=BC$5,$E74&lt;BC$5+GanttPeriod),"◇","")),IF(AND(BC$5&lt;=$F74,BC$5+GanttPeriod-1&gt;=$E74),"━","")))</f>
        <v/>
      </c>
      <c r="BD74" s="69" t="str">
        <f aca="false">IF($E74="","",IF($M74,IF(AND($G74&gt;=BD$5,$G74&lt;BD$5+GanttPeriod),"◆",IF(AND($E74&gt;=BD$5,$E74&lt;BD$5+GanttPeriod),"◇","")),IF(AND(BD$5&lt;=$F74,BD$5+GanttPeriod-1&gt;=$E74),"━","")))</f>
        <v/>
      </c>
      <c r="BE74" s="69" t="str">
        <f aca="false">IF($E74="","",IF($M74,IF(AND($G74&gt;=BE$5,$G74&lt;BE$5+GanttPeriod),"◆",IF(AND($E74&gt;=BE$5,$E74&lt;BE$5+GanttPeriod),"◇","")),IF(AND(BE$5&lt;=$F74,BE$5+GanttPeriod-1&gt;=$E74),"━","")))</f>
        <v/>
      </c>
      <c r="BF74" s="69" t="str">
        <f aca="false">IF($E74="","",IF($M74,IF(AND($G74&gt;=BF$5,$G74&lt;BF$5+GanttPeriod),"◆",IF(AND($E74&gt;=BF$5,$E74&lt;BF$5+GanttPeriod),"◇","")),IF(AND(BF$5&lt;=$F74,BF$5+GanttPeriod-1&gt;=$E74),"━","")))</f>
        <v/>
      </c>
      <c r="BG74" s="69" t="str">
        <f aca="false">IF($E74="","",IF($M74,IF(AND($G74&gt;=BG$5,$G74&lt;BG$5+GanttPeriod),"◆",IF(AND($E74&gt;=BG$5,$E74&lt;BG$5+GanttPeriod),"◇","")),IF(AND(BG$5&lt;=$F74,BG$5+GanttPeriod-1&gt;=$E74),"━","")))</f>
        <v/>
      </c>
      <c r="BH74" s="69" t="str">
        <f aca="false">IF($E74="","",IF($M74,IF(AND($G74&gt;=BH$5,$G74&lt;BH$5+GanttPeriod),"◆",IF(AND($E74&gt;=BH$5,$E74&lt;BH$5+GanttPeriod),"◇","")),IF(AND(BH$5&lt;=$F74,BH$5+GanttPeriod-1&gt;=$E74),"━","")))</f>
        <v/>
      </c>
      <c r="BI74" s="69" t="str">
        <f aca="false">IF($E74="","",IF($M74,IF(AND($G74&gt;=BI$5,$G74&lt;BI$5+GanttPeriod),"◆",IF(AND($E74&gt;=BI$5,$E74&lt;BI$5+GanttPeriod),"◇","")),IF(AND(BI$5&lt;=$F74,BI$5+GanttPeriod-1&gt;=$E74),"━","")))</f>
        <v/>
      </c>
      <c r="BJ74" s="69" t="str">
        <f aca="false">IF($E74="","",IF($M74,IF(AND($G74&gt;=BJ$5,$G74&lt;BJ$5+GanttPeriod),"◆",IF(AND($E74&gt;=BJ$5,$E74&lt;BJ$5+GanttPeriod),"◇","")),IF(AND(BJ$5&lt;=$F74,BJ$5+GanttPeriod-1&gt;=$E74),"━","")))</f>
        <v/>
      </c>
      <c r="BK74" s="69" t="str">
        <f aca="false">IF($E74="","",IF($M74,IF(AND($G74&gt;=BK$5,$G74&lt;BK$5+GanttPeriod),"◆",IF(AND($E74&gt;=BK$5,$E74&lt;BK$5+GanttPeriod),"◇","")),IF(AND(BK$5&lt;=$F74,BK$5+GanttPeriod-1&gt;=$E74),"━","")))</f>
        <v/>
      </c>
      <c r="BL74" s="69" t="str">
        <f aca="false">IF($E74="","",IF($M74,IF(AND($G74&gt;=BL$5,$G74&lt;BL$5+GanttPeriod),"◆",IF(AND($E74&gt;=BL$5,$E74&lt;BL$5+GanttPeriod),"◇","")),IF(AND(BL$5&lt;=$F74,BL$5+GanttPeriod-1&gt;=$E74),"━","")))</f>
        <v/>
      </c>
      <c r="BM74" s="69" t="str">
        <f aca="false">IF($E74="","",IF($M74,IF(AND($G74&gt;=BM$5,$G74&lt;BM$5+GanttPeriod),"◆",IF(AND($E74&gt;=BM$5,$E74&lt;BM$5+GanttPeriod),"◇","")),IF(AND(BM$5&lt;=$F74,BM$5+GanttPeriod-1&gt;=$E74),"━","")))</f>
        <v/>
      </c>
      <c r="BN74" s="69" t="str">
        <f aca="false">IF($E74="","",IF($M74,IF(AND($G74&gt;=BN$5,$G74&lt;BN$5+GanttPeriod),"◆",IF(AND($E74&gt;=BN$5,$E74&lt;BN$5+GanttPeriod),"◇","")),IF(AND(BN$5&lt;=$F74,BN$5+GanttPeriod-1&gt;=$E74),"━","")))</f>
        <v/>
      </c>
      <c r="BO74" s="69" t="str">
        <f aca="false">IF($E74="","",IF($M74,IF(AND($G74&gt;=BO$5,$G74&lt;BO$5+GanttPeriod),"◆",IF(AND($E74&gt;=BO$5,$E74&lt;BO$5+GanttPeriod),"◇","")),IF(AND(BO$5&lt;=$F74,BO$5+GanttPeriod-1&gt;=$E74),"━","")))</f>
        <v/>
      </c>
      <c r="BP74" s="69" t="str">
        <f aca="false">IF($E74="","",IF($M74,IF(AND($G74&gt;=BP$5,$G74&lt;BP$5+GanttPeriod),"◆",IF(AND($E74&gt;=BP$5,$E74&lt;BP$5+GanttPeriod),"◇","")),IF(AND(BP$5&lt;=$F74,BP$5+GanttPeriod-1&gt;=$E74),"━","")))</f>
        <v/>
      </c>
      <c r="BQ74" s="69" t="str">
        <f aca="false">IF($E74="","",IF($M74,IF(AND($G74&gt;=BQ$5,$G74&lt;BQ$5+GanttPeriod),"◆",IF(AND($E74&gt;=BQ$5,$E74&lt;BQ$5+GanttPeriod),"◇","")),IF(AND(BQ$5&lt;=$F74,BQ$5+GanttPeriod-1&gt;=$E74),"━","")))</f>
        <v/>
      </c>
      <c r="BR74" s="69" t="str">
        <f aca="false">IF($E74="","",IF($M74,IF(AND($G74&gt;=BR$5,$G74&lt;BR$5+GanttPeriod),"◆",IF(AND($E74&gt;=BR$5,$E74&lt;BR$5+GanttPeriod),"◇","")),IF(AND(BR$5&lt;=$F74,BR$5+GanttPeriod-1&gt;=$E74),"━","")))</f>
        <v/>
      </c>
      <c r="BS74" s="69" t="str">
        <f aca="false">IF($E74="","",IF($M74,IF(AND($G74&gt;=BS$5,$G74&lt;BS$5+GanttPeriod),"◆",IF(AND($E74&gt;=BS$5,$E74&lt;BS$5+GanttPeriod),"◇","")),IF(AND(BS$5&lt;=$F74,BS$5+GanttPeriod-1&gt;=$E74),"━","")))</f>
        <v/>
      </c>
      <c r="BT74" s="69" t="str">
        <f aca="false">IF($E74="","",IF($M74,IF(AND($G74&gt;=BT$5,$G74&lt;BT$5+GanttPeriod),"◆",IF(AND($E74&gt;=BT$5,$E74&lt;BT$5+GanttPeriod),"◇","")),IF(AND(BT$5&lt;=$F74,BT$5+GanttPeriod-1&gt;=$E74),"━","")))</f>
        <v/>
      </c>
      <c r="BU74" s="69" t="str">
        <f aca="false">IF($E74="","",IF($M74,IF(AND($G74&gt;=BU$5,$G74&lt;BU$5+GanttPeriod),"◆",IF(AND($E74&gt;=BU$5,$E74&lt;BU$5+GanttPeriod),"◇","")),IF(AND(BU$5&lt;=$F74,BU$5+GanttPeriod-1&gt;=$E74),"━","")))</f>
        <v/>
      </c>
      <c r="BV74" s="69" t="str">
        <f aca="false">IF($E74="","",IF($M74,IF(AND($G74&gt;=BV$5,$G74&lt;BV$5+GanttPeriod),"◆",IF(AND($E74&gt;=BV$5,$E74&lt;BV$5+GanttPeriod),"◇","")),IF(AND(BV$5&lt;=$F74,BV$5+GanttPeriod-1&gt;=$E74),"━","")))</f>
        <v/>
      </c>
      <c r="BW74" s="69" t="str">
        <f aca="false">IF($E74="","",IF($M74,IF(AND($G74&gt;=BW$5,$G74&lt;BW$5+GanttPeriod),"◆",IF(AND($E74&gt;=BW$5,$E74&lt;BW$5+GanttPeriod),"◇","")),IF(AND(BW$5&lt;=$F74,BW$5+GanttPeriod-1&gt;=$E74),"━","")))</f>
        <v/>
      </c>
      <c r="BX74" s="69" t="str">
        <f aca="false">IF($E74="","",IF($M74,IF(AND($G74&gt;=BX$5,$G74&lt;BX$5+GanttPeriod),"◆",IF(AND($E74&gt;=BX$5,$E74&lt;BX$5+GanttPeriod),"◇","")),IF(AND(BX$5&lt;=$F74,BX$5+GanttPeriod-1&gt;=$E74),"━","")))</f>
        <v/>
      </c>
      <c r="BY74" s="69" t="str">
        <f aca="false">IF($E74="","",IF($M74,IF(AND($G74&gt;=BY$5,$G74&lt;BY$5+GanttPeriod),"◆",IF(AND($E74&gt;=BY$5,$E74&lt;BY$5+GanttPeriod),"◇","")),IF(AND(BY$5&lt;=$F74,BY$5+GanttPeriod-1&gt;=$E74),"━","")))</f>
        <v/>
      </c>
      <c r="BZ74" s="69" t="str">
        <f aca="false">IF($E74="","",IF($M74,IF(AND($G74&gt;=BZ$5,$G74&lt;BZ$5+GanttPeriod),"◆",IF(AND($E74&gt;=BZ$5,$E74&lt;BZ$5+GanttPeriod),"◇","")),IF(AND(BZ$5&lt;=$F74,BZ$5+GanttPeriod-1&gt;=$E74),"━","")))</f>
        <v/>
      </c>
      <c r="CA74" s="69" t="str">
        <f aca="false">IF($E74="","",IF($M74,IF(AND($G74&gt;=CA$5,$G74&lt;CA$5+GanttPeriod),"◆",IF(AND($E74&gt;=CA$5,$E74&lt;CA$5+GanttPeriod),"◇","")),IF(AND(CA$5&lt;=$F74,CA$5+GanttPeriod-1&gt;=$E74),"━","")))</f>
        <v/>
      </c>
      <c r="CB74" s="69" t="str">
        <f aca="false">IF($E74="","",IF($M74,IF(AND($G74&gt;=CB$5,$G74&lt;CB$5+GanttPeriod),"◆",IF(AND($E74&gt;=CB$5,$E74&lt;CB$5+GanttPeriod),"◇","")),IF(AND(CB$5&lt;=$F74,CB$5+GanttPeriod-1&gt;=$E74),"━","")))</f>
        <v/>
      </c>
      <c r="CC74" s="69" t="str">
        <f aca="false">IF($E74="","",IF($M74,IF(AND($G74&gt;=CC$5,$G74&lt;CC$5+GanttPeriod),"◆",IF(AND($E74&gt;=CC$5,$E74&lt;CC$5+GanttPeriod),"◇","")),IF(AND(CC$5&lt;=$F74,CC$5+GanttPeriod-1&gt;=$E74),"━","")))</f>
        <v/>
      </c>
      <c r="CD74" s="69" t="str">
        <f aca="false">IF($E74="","",IF($M74,IF(AND($G74&gt;=CD$5,$G74&lt;CD$5+GanttPeriod),"◆",IF(AND($E74&gt;=CD$5,$E74&lt;CD$5+GanttPeriod),"◇","")),IF(AND(CD$5&lt;=$F74,CD$5+GanttPeriod-1&gt;=$E74),"━","")))</f>
        <v/>
      </c>
      <c r="CE74" s="69" t="str">
        <f aca="false">IF($E74="","",IF($M74,IF(AND($G74&gt;=CE$5,$G74&lt;CE$5+GanttPeriod),"◆",IF(AND($E74&gt;=CE$5,$E74&lt;CE$5+GanttPeriod),"◇","")),IF(AND(CE$5&lt;=$F74,CE$5+GanttPeriod-1&gt;=$E74),"━","")))</f>
        <v/>
      </c>
      <c r="CF74" s="69" t="str">
        <f aca="false">IF($E74="","",IF($M74,IF(AND($G74&gt;=CF$5,$G74&lt;CF$5+GanttPeriod),"◆",IF(AND($E74&gt;=CF$5,$E74&lt;CF$5+GanttPeriod),"◇","")),IF(AND(CF$5&lt;=$F74,CF$5+GanttPeriod-1&gt;=$E74),"━","")))</f>
        <v/>
      </c>
      <c r="CG74" s="69" t="str">
        <f aca="false">IF($E74="","",IF($M74,IF(AND($G74&gt;=CG$5,$G74&lt;CG$5+GanttPeriod),"◆",IF(AND($E74&gt;=CG$5,$E74&lt;CG$5+GanttPeriod),"◇","")),IF(AND(CG$5&lt;=$F74,CG$5+GanttPeriod-1&gt;=$E74),"━","")))</f>
        <v/>
      </c>
      <c r="CH74" s="69" t="str">
        <f aca="false">IF($E74="","",IF($M74,IF(AND($G74&gt;=CH$5,$G74&lt;CH$5+GanttPeriod),"◆",IF(AND($E74&gt;=CH$5,$E74&lt;CH$5+GanttPeriod),"◇","")),IF(AND(CH$5&lt;=$F74,CH$5+GanttPeriod-1&gt;=$E74),"━","")))</f>
        <v/>
      </c>
      <c r="CI74" s="69" t="str">
        <f aca="false">IF($E74="","",IF($M74,IF(AND($G74&gt;=CI$5,$G74&lt;CI$5+GanttPeriod),"◆",IF(AND($E74&gt;=CI$5,$E74&lt;CI$5+GanttPeriod),"◇","")),IF(AND(CI$5&lt;=$F74,CI$5+GanttPeriod-1&gt;=$E74),"━","")))</f>
        <v/>
      </c>
      <c r="CJ74" s="69" t="str">
        <f aca="false">IF($E74="","",IF($M74,IF(AND($G74&gt;=CJ$5,$G74&lt;CJ$5+GanttPeriod),"◆",IF(AND($E74&gt;=CJ$5,$E74&lt;CJ$5+GanttPeriod),"◇","")),IF(AND(CJ$5&lt;=$F74,CJ$5+GanttPeriod-1&gt;=$E74),"━","")))</f>
        <v/>
      </c>
      <c r="CK74" s="69" t="str">
        <f aca="false">IF($E74="","",IF($M74,IF(AND($G74&gt;=CK$5,$G74&lt;CK$5+GanttPeriod),"◆",IF(AND($E74&gt;=CK$5,$E74&lt;CK$5+GanttPeriod),"◇","")),IF(AND(CK$5&lt;=$F74,CK$5+GanttPeriod-1&gt;=$E74),"━","")))</f>
        <v/>
      </c>
      <c r="CL74" s="69" t="str">
        <f aca="false">IF($E74="","",IF($M74,IF(AND($G74&gt;=CL$5,$G74&lt;CL$5+GanttPeriod),"◆",IF(AND($E74&gt;=CL$5,$E74&lt;CL$5+GanttPeriod),"◇","")),IF(AND(CL$5&lt;=$F74,CL$5+GanttPeriod-1&gt;=$E74),"━","")))</f>
        <v/>
      </c>
      <c r="CM74" s="69" t="str">
        <f aca="false">IF($E74="","",IF($M74,IF(AND($G74&gt;=CM$5,$G74&lt;CM$5+GanttPeriod),"◆",IF(AND($E74&gt;=CM$5,$E74&lt;CM$5+GanttPeriod),"◇","")),IF(AND(CM$5&lt;=$F74,CM$5+GanttPeriod-1&gt;=$E74),"━","")))</f>
        <v/>
      </c>
      <c r="CN74" s="69" t="str">
        <f aca="false">IF($E74="","",IF($M74,IF(AND($G74&gt;=CN$5,$G74&lt;CN$5+GanttPeriod),"◆",IF(AND($E74&gt;=CN$5,$E74&lt;CN$5+GanttPeriod),"◇","")),IF(AND(CN$5&lt;=$F74,CN$5+GanttPeriod-1&gt;=$E74),"━","")))</f>
        <v/>
      </c>
      <c r="CO74" s="69" t="str">
        <f aca="false">IF($E74="","",IF($M74,IF(AND($G74&gt;=CO$5,$G74&lt;CO$5+GanttPeriod),"◆",IF(AND($E74&gt;=CO$5,$E74&lt;CO$5+GanttPeriod),"◇","")),IF(AND(CO$5&lt;=$F74,CO$5+GanttPeriod-1&gt;=$E74),"━","")))</f>
        <v/>
      </c>
      <c r="CP74" s="69" t="str">
        <f aca="false">IF($E74="","",IF($M74,IF(AND($G74&gt;=CP$5,$G74&lt;CP$5+GanttPeriod),"◆",IF(AND($E74&gt;=CP$5,$E74&lt;CP$5+GanttPeriod),"◇","")),IF(AND(CP$5&lt;=$F74,CP$5+GanttPeriod-1&gt;=$E74),"━","")))</f>
        <v/>
      </c>
      <c r="CQ74" s="69" t="str">
        <f aca="false">IF($E74="","",IF($M74,IF(AND($G74&gt;=CQ$5,$G74&lt;CQ$5+GanttPeriod),"◆",IF(AND($E74&gt;=CQ$5,$E74&lt;CQ$5+GanttPeriod),"◇","")),IF(AND(CQ$5&lt;=$F74,CQ$5+GanttPeriod-1&gt;=$E74),"━","")))</f>
        <v/>
      </c>
      <c r="CR74" s="69" t="str">
        <f aca="false">IF($E74="","",IF($M74,IF(AND($G74&gt;=CR$5,$G74&lt;CR$5+GanttPeriod),"◆",IF(AND($E74&gt;=CR$5,$E74&lt;CR$5+GanttPeriod),"◇","")),IF(AND(CR$5&lt;=$F74,CR$5+GanttPeriod-1&gt;=$E74),"━","")))</f>
        <v/>
      </c>
      <c r="CS74" s="69" t="str">
        <f aca="false">IF($E74="","",IF($M74,IF(AND($G74&gt;=CS$5,$G74&lt;CS$5+GanttPeriod),"◆",IF(AND($E74&gt;=CS$5,$E74&lt;CS$5+GanttPeriod),"◇","")),IF(AND(CS$5&lt;=$F74,CS$5+GanttPeriod-1&gt;=$E74),"━","")))</f>
        <v/>
      </c>
      <c r="CT74" s="69" t="str">
        <f aca="false">IF($E74="","",IF($M74,IF(AND($G74&gt;=CT$5,$G74&lt;CT$5+GanttPeriod),"◆",IF(AND($E74&gt;=CT$5,$E74&lt;CT$5+GanttPeriod),"◇","")),IF(AND(CT$5&lt;=$F74,CT$5+GanttPeriod-1&gt;=$E74),"━","")))</f>
        <v/>
      </c>
      <c r="CU74" s="69" t="str">
        <f aca="false">IF($E74="","",IF($M74,IF(AND($G74&gt;=CU$5,$G74&lt;CU$5+GanttPeriod),"◆",IF(AND($E74&gt;=CU$5,$E74&lt;CU$5+GanttPeriod),"◇","")),IF(AND(CU$5&lt;=$F74,CU$5+GanttPeriod-1&gt;=$E74),"━","")))</f>
        <v/>
      </c>
      <c r="CV74" s="69" t="str">
        <f aca="false">IF($E74="","",IF($M74,IF(AND($G74&gt;=CV$5,$G74&lt;CV$5+GanttPeriod),"◆",IF(AND($E74&gt;=CV$5,$E74&lt;CV$5+GanttPeriod),"◇","")),IF(AND(CV$5&lt;=$F74,CV$5+GanttPeriod-1&gt;=$E74),"━","")))</f>
        <v/>
      </c>
      <c r="CW74" s="69" t="str">
        <f aca="false">IF($E74="","",IF($M74,IF(AND($G74&gt;=CW$5,$G74&lt;CW$5+GanttPeriod),"◆",IF(AND($E74&gt;=CW$5,$E74&lt;CW$5+GanttPeriod),"◇","")),IF(AND(CW$5&lt;=$F74,CW$5+GanttPeriod-1&gt;=$E74),"━","")))</f>
        <v/>
      </c>
      <c r="CX74" s="69" t="str">
        <f aca="false">IF($E74="","",IF($M74,IF(AND($G74&gt;=CX$5,$G74&lt;CX$5+GanttPeriod),"◆",IF(AND($E74&gt;=CX$5,$E74&lt;CX$5+GanttPeriod),"◇","")),IF(AND(CX$5&lt;=$F74,CX$5+GanttPeriod-1&gt;=$E74),"━","")))</f>
        <v/>
      </c>
      <c r="CY74" s="69" t="str">
        <f aca="false">IF($E74="","",IF($M74,IF(AND($G74&gt;=CY$5,$G74&lt;CY$5+GanttPeriod),"◆",IF(AND($E74&gt;=CY$5,$E74&lt;CY$5+GanttPeriod),"◇","")),IF(AND(CY$5&lt;=$F74,CY$5+GanttPeriod-1&gt;=$E74),"━","")))</f>
        <v/>
      </c>
      <c r="CZ74" s="69" t="str">
        <f aca="false">IF($E74="","",IF($M74,IF(AND($G74&gt;=CZ$5,$G74&lt;CZ$5+GanttPeriod),"◆",IF(AND($E74&gt;=CZ$5,$E74&lt;CZ$5+GanttPeriod),"◇","")),IF(AND(CZ$5&lt;=$F74,CZ$5+GanttPeriod-1&gt;=$E74),"━","")))</f>
        <v/>
      </c>
      <c r="DA74" s="69" t="str">
        <f aca="false">IF($E74="","",IF($M74,IF(AND($G74&gt;=DA$5,$G74&lt;DA$5+GanttPeriod),"◆",IF(AND($E74&gt;=DA$5,$E74&lt;DA$5+GanttPeriod),"◇","")),IF(AND(DA$5&lt;=$F74,DA$5+GanttPeriod-1&gt;=$E74),"━","")))</f>
        <v/>
      </c>
      <c r="DB74" s="69" t="str">
        <f aca="false">IF($E74="","",IF($M74,IF(AND($G74&gt;=DB$5,$G74&lt;DB$5+GanttPeriod),"◆",IF(AND($E74&gt;=DB$5,$E74&lt;DB$5+GanttPeriod),"◇","")),IF(AND(DB$5&lt;=$F74,DB$5+GanttPeriod-1&gt;=$E74),"━","")))</f>
        <v/>
      </c>
      <c r="DC74" s="69" t="str">
        <f aca="false">IF($E74="","",IF($M74,IF(AND($G74&gt;=DC$5,$G74&lt;DC$5+GanttPeriod),"◆",IF(AND($E74&gt;=DC$5,$E74&lt;DC$5+GanttPeriod),"◇","")),IF(AND(DC$5&lt;=$F74,DC$5+GanttPeriod-1&gt;=$E74),"━","")))</f>
        <v/>
      </c>
      <c r="DD74" s="69" t="str">
        <f aca="false">IF($E74="","",IF($M74,IF(AND($G74&gt;=DD$5,$G74&lt;DD$5+GanttPeriod),"◆",IF(AND($E74&gt;=DD$5,$E74&lt;DD$5+GanttPeriod),"◇","")),IF(AND(DD$5&lt;=$F74,DD$5+GanttPeriod-1&gt;=$E74),"━","")))</f>
        <v/>
      </c>
      <c r="DE74" s="69" t="str">
        <f aca="false">IF($E74="","",IF($M74,IF(AND($G74&gt;=DE$5,$G74&lt;DE$5+GanttPeriod),"◆",IF(AND($E74&gt;=DE$5,$E74&lt;DE$5+GanttPeriod),"◇","")),IF(AND(DE$5&lt;=$F74,DE$5+GanttPeriod-1&gt;=$E74),"━","")))</f>
        <v/>
      </c>
      <c r="DF74" s="69" t="str">
        <f aca="false">IF($E74="","",IF($M74,IF(AND($G74&gt;=DF$5,$G74&lt;DF$5+GanttPeriod),"◆",IF(AND($E74&gt;=DF$5,$E74&lt;DF$5+GanttPeriod),"◇","")),IF(AND(DF$5&lt;=$F74,DF$5+GanttPeriod-1&gt;=$E74),"━","")))</f>
        <v/>
      </c>
      <c r="DG74" s="69" t="str">
        <f aca="false">IF($E74="","",IF($M74,IF(AND($G74&gt;=DG$5,$G74&lt;DG$5+GanttPeriod),"◆",IF(AND($E74&gt;=DG$5,$E74&lt;DG$5+GanttPeriod),"◇","")),IF(AND(DG$5&lt;=$F74,DG$5+GanttPeriod-1&gt;=$E74),"━","")))</f>
        <v/>
      </c>
      <c r="DH74" s="69" t="str">
        <f aca="false">IF($E74="","",IF($M74,IF(AND($G74&gt;=DH$5,$G74&lt;DH$5+GanttPeriod),"◆",IF(AND($E74&gt;=DH$5,$E74&lt;DH$5+GanttPeriod),"◇","")),IF(AND(DH$5&lt;=$F74,DH$5+GanttPeriod-1&gt;=$E74),"━","")))</f>
        <v/>
      </c>
      <c r="DI74" s="69" t="str">
        <f aca="false">IF($E74="","",IF($M74,IF(AND($G74&gt;=DI$5,$G74&lt;DI$5+GanttPeriod),"◆",IF(AND($E74&gt;=DI$5,$E74&lt;DI$5+GanttPeriod),"◇","")),IF(AND(DI$5&lt;=$F74,DI$5+GanttPeriod-1&gt;=$E74),"━","")))</f>
        <v/>
      </c>
      <c r="DJ74" s="69" t="str">
        <f aca="false">IF($E74="","",IF($M74,IF(AND($G74&gt;=DJ$5,$G74&lt;DJ$5+GanttPeriod),"◆",IF(AND($E74&gt;=DJ$5,$E74&lt;DJ$5+GanttPeriod),"◇","")),IF(AND(DJ$5&lt;=$F74,DJ$5+GanttPeriod-1&gt;=$E74),"━","")))</f>
        <v/>
      </c>
      <c r="DK74" s="69" t="str">
        <f aca="false">IF($E74="","",IF($M74,IF(AND($G74&gt;=DK$5,$G74&lt;DK$5+GanttPeriod),"◆",IF(AND($E74&gt;=DK$5,$E74&lt;DK$5+GanttPeriod),"◇","")),IF(AND(DK$5&lt;=$F74,DK$5+GanttPeriod-1&gt;=$E74),"━","")))</f>
        <v/>
      </c>
      <c r="DL74" s="69" t="str">
        <f aca="false">IF($E74="","",IF($M74,IF(AND($G74&gt;=DL$5,$G74&lt;DL$5+GanttPeriod),"◆",IF(AND($E74&gt;=DL$5,$E74&lt;DL$5+GanttPeriod),"◇","")),IF(AND(DL$5&lt;=$F74,DL$5+GanttPeriod-1&gt;=$E74),"━","")))</f>
        <v/>
      </c>
      <c r="DM74" s="69" t="str">
        <f aca="false">IF($E74="","",IF($M74,IF(AND($G74&gt;=DM$5,$G74&lt;DM$5+GanttPeriod),"◆",IF(AND($E74&gt;=DM$5,$E74&lt;DM$5+GanttPeriod),"◇","")),IF(AND(DM$5&lt;=$F74,DM$5+GanttPeriod-1&gt;=$E74),"━","")))</f>
        <v/>
      </c>
      <c r="DN74" s="69" t="str">
        <f aca="false">IF($E74="","",IF($M74,IF(AND($G74&gt;=DN$5,$G74&lt;DN$5+GanttPeriod),"◆",IF(AND($E74&gt;=DN$5,$E74&lt;DN$5+GanttPeriod),"◇","")),IF(AND(DN$5&lt;=$F74,DN$5+GanttPeriod-1&gt;=$E74),"━","")))</f>
        <v/>
      </c>
      <c r="DO74" s="69" t="str">
        <f aca="false">IF($E74="","",IF($M74,IF(AND($G74&gt;=DO$5,$G74&lt;DO$5+GanttPeriod),"◆",IF(AND($E74&gt;=DO$5,$E74&lt;DO$5+GanttPeriod),"◇","")),IF(AND(DO$5&lt;=$F74,DO$5+GanttPeriod-1&gt;=$E74),"━","")))</f>
        <v/>
      </c>
      <c r="DP74" s="69" t="str">
        <f aca="false">IF($E74="","",IF($M74,IF(AND($G74&gt;=DP$5,$G74&lt;DP$5+GanttPeriod),"◆",IF(AND($E74&gt;=DP$5,$E74&lt;DP$5+GanttPeriod),"◇","")),IF(AND(DP$5&lt;=$F74,DP$5+GanttPeriod-1&gt;=$E74),"━","")))</f>
        <v/>
      </c>
      <c r="DQ74" s="69" t="str">
        <f aca="false">IF($E74="","",IF($M74,IF(AND($G74&gt;=DQ$5,$G74&lt;DQ$5+GanttPeriod),"◆",IF(AND($E74&gt;=DQ$5,$E74&lt;DQ$5+GanttPeriod),"◇","")),IF(AND(DQ$5&lt;=$F74,DQ$5+GanttPeriod-1&gt;=$E74),"━","")))</f>
        <v/>
      </c>
      <c r="DR74" s="69" t="str">
        <f aca="false">IF($E74="","",IF($M74,IF(AND($G74&gt;=DR$5,$G74&lt;DR$5+GanttPeriod),"◆",IF(AND($E74&gt;=DR$5,$E74&lt;DR$5+GanttPeriod),"◇","")),IF(AND(DR$5&lt;=$F74,DR$5+GanttPeriod-1&gt;=$E74),"━","")))</f>
        <v/>
      </c>
      <c r="DS74" s="69" t="str">
        <f aca="false">IF($E74="","",IF($M74,IF(AND($G74&gt;=DS$5,$G74&lt;DS$5+GanttPeriod),"◆",IF(AND($E74&gt;=DS$5,$E74&lt;DS$5+GanttPeriod),"◇","")),IF(AND(DS$5&lt;=$F74,DS$5+GanttPeriod-1&gt;=$E74),"━","")))</f>
        <v/>
      </c>
      <c r="DT74" s="69" t="str">
        <f aca="false">IF($E74="","",IF($M74,IF(AND($G74&gt;=DT$5,$G74&lt;DT$5+GanttPeriod),"◆",IF(AND($E74&gt;=DT$5,$E74&lt;DT$5+GanttPeriod),"◇","")),IF(AND(DT$5&lt;=$F74,DT$5+GanttPeriod-1&gt;=$E74),"━","")))</f>
        <v/>
      </c>
      <c r="DU74" s="69" t="str">
        <f aca="false">IF($E74="","",IF($M74,IF(AND($G74&gt;=DU$5,$G74&lt;DU$5+GanttPeriod),"◆",IF(AND($E74&gt;=DU$5,$E74&lt;DU$5+GanttPeriod),"◇","")),IF(AND(DU$5&lt;=$F74,DU$5+GanttPeriod-1&gt;=$E74),"━","")))</f>
        <v/>
      </c>
      <c r="DV74" s="69" t="str">
        <f aca="false">IF($E74="","",IF($M74,IF(AND($G74&gt;=DV$5,$G74&lt;DV$5+GanttPeriod),"◆",IF(AND($E74&gt;=DV$5,$E74&lt;DV$5+GanttPeriod),"◇","")),IF(AND(DV$5&lt;=$F74,DV$5+GanttPeriod-1&gt;=$E74),"━","")))</f>
        <v/>
      </c>
      <c r="DW74" s="69" t="str">
        <f aca="false">IF($E74="","",IF($M74,IF(AND($G74&gt;=DW$5,$G74&lt;DW$5+GanttPeriod),"◆",IF(AND($E74&gt;=DW$5,$E74&lt;DW$5+GanttPeriod),"◇","")),IF(AND(DW$5&lt;=$F74,DW$5+GanttPeriod-1&gt;=$E74),"━","")))</f>
        <v/>
      </c>
      <c r="DX74" s="69" t="str">
        <f aca="false">IF($E74="","",IF($M74,IF(AND($G74&gt;=DX$5,$G74&lt;DX$5+GanttPeriod),"◆",IF(AND($E74&gt;=DX$5,$E74&lt;DX$5+GanttPeriod),"◇","")),IF(AND(DX$5&lt;=$F74,DX$5+GanttPeriod-1&gt;=$E74),"━","")))</f>
        <v/>
      </c>
      <c r="DY74" s="69" t="str">
        <f aca="false">IF($E74="","",IF($M74,IF(AND($G74&gt;=DY$5,$G74&lt;DY$5+GanttPeriod),"◆",IF(AND($E74&gt;=DY$5,$E74&lt;DY$5+GanttPeriod),"◇","")),IF(AND(DY$5&lt;=$F74,DY$5+GanttPeriod-1&gt;=$E74),"━","")))</f>
        <v/>
      </c>
      <c r="DZ74" s="69" t="str">
        <f aca="false">IF($E74="","",IF($M74,IF(AND($G74&gt;=DZ$5,$G74&lt;DZ$5+GanttPeriod),"◆",IF(AND($E74&gt;=DZ$5,$E74&lt;DZ$5+GanttPeriod),"◇","")),IF(AND(DZ$5&lt;=$F74,DZ$5+GanttPeriod-1&gt;=$E74),"━","")))</f>
        <v/>
      </c>
      <c r="EA74" s="69" t="str">
        <f aca="false">IF($E74="","",IF($M74,IF(AND($G74&gt;=EA$5,$G74&lt;EA$5+GanttPeriod),"◆",IF(AND($E74&gt;=EA$5,$E74&lt;EA$5+GanttPeriod),"◇","")),IF(AND(EA$5&lt;=$F74,EA$5+GanttPeriod-1&gt;=$E74),"━","")))</f>
        <v/>
      </c>
      <c r="EB74" s="69" t="str">
        <f aca="false">IF($E74="","",IF($M74,IF(AND($G74&gt;=EB$5,$G74&lt;EB$5+GanttPeriod),"◆",IF(AND($E74&gt;=EB$5,$E74&lt;EB$5+GanttPeriod),"◇","")),IF(AND(EB$5&lt;=$F74,EB$5+GanttPeriod-1&gt;=$E74),"━","")))</f>
        <v/>
      </c>
      <c r="EC74" s="69" t="str">
        <f aca="false">IF($E74="","",IF($M74,IF(AND($G74&gt;=EC$5,$G74&lt;EC$5+GanttPeriod),"◆",IF(AND($E74&gt;=EC$5,$E74&lt;EC$5+GanttPeriod),"◇","")),IF(AND(EC$5&lt;=$F74,EC$5+GanttPeriod-1&gt;=$E74),"━","")))</f>
        <v/>
      </c>
      <c r="ED74" s="69" t="str">
        <f aca="false">IF($E74="","",IF($M74,IF(AND($G74&gt;=ED$5,$G74&lt;ED$5+GanttPeriod),"◆",IF(AND($E74&gt;=ED$5,$E74&lt;ED$5+GanttPeriod),"◇","")),IF(AND(ED$5&lt;=$F74,ED$5+GanttPeriod-1&gt;=$E74),"━","")))</f>
        <v/>
      </c>
      <c r="EE74" s="69" t="str">
        <f aca="false">IF($E74="","",IF($M74,IF(AND($G74&gt;=EE$5,$G74&lt;EE$5+GanttPeriod),"◆",IF(AND($E74&gt;=EE$5,$E74&lt;EE$5+GanttPeriod),"◇","")),IF(AND(EE$5&lt;=$F74,EE$5+GanttPeriod-1&gt;=$E74),"━","")))</f>
        <v/>
      </c>
      <c r="EF74" s="69" t="str">
        <f aca="false">IF($E74="","",IF($M74,IF(AND($G74&gt;=EF$5,$G74&lt;EF$5+GanttPeriod),"◆",IF(AND($E74&gt;=EF$5,$E74&lt;EF$5+GanttPeriod),"◇","")),IF(AND(EF$5&lt;=$F74,EF$5+GanttPeriod-1&gt;=$E74),"━","")))</f>
        <v/>
      </c>
      <c r="EG74" s="69" t="str">
        <f aca="false">IF($E74="","",IF($M74,IF(AND($G74&gt;=EG$5,$G74&lt;EG$5+GanttPeriod),"◆",IF(AND($E74&gt;=EG$5,$E74&lt;EG$5+GanttPeriod),"◇","")),IF(AND(EG$5&lt;=$F74,EG$5+GanttPeriod-1&gt;=$E74),"━","")))</f>
        <v/>
      </c>
      <c r="EH74" s="69" t="str">
        <f aca="false">IF($E74="","",IF($M74,IF(AND($G74&gt;=EH$5,$G74&lt;EH$5+GanttPeriod),"◆",IF(AND($E74&gt;=EH$5,$E74&lt;EH$5+GanttPeriod),"◇","")),IF(AND(EH$5&lt;=$F74,EH$5+GanttPeriod-1&gt;=$E74),"━","")))</f>
        <v/>
      </c>
      <c r="EI74" s="69" t="str">
        <f aca="false">IF($E74="","",IF($M74,IF(AND($G74&gt;=EI$5,$G74&lt;EI$5+GanttPeriod),"◆",IF(AND($E74&gt;=EI$5,$E74&lt;EI$5+GanttPeriod),"◇","")),IF(AND(EI$5&lt;=$F74,EI$5+GanttPeriod-1&gt;=$E74),"━","")))</f>
        <v/>
      </c>
      <c r="EJ74" s="69" t="str">
        <f aca="false">IF($E74="","",IF($M74,IF(AND($G74&gt;=EJ$5,$G74&lt;EJ$5+GanttPeriod),"◆",IF(AND($E74&gt;=EJ$5,$E74&lt;EJ$5+GanttPeriod),"◇","")),IF(AND(EJ$5&lt;=$F74,EJ$5+GanttPeriod-1&gt;=$E74),"━","")))</f>
        <v/>
      </c>
      <c r="EK74" s="69" t="str">
        <f aca="false">IF($E74="","",IF($M74,IF(AND($G74&gt;=EK$5,$G74&lt;EK$5+GanttPeriod),"◆",IF(AND($E74&gt;=EK$5,$E74&lt;EK$5+GanttPeriod),"◇","")),IF(AND(EK$5&lt;=$F74,EK$5+GanttPeriod-1&gt;=$E74),"━","")))</f>
        <v/>
      </c>
      <c r="EL74" s="69" t="str">
        <f aca="false">IF($E74="","",IF($M74,IF(AND($G74&gt;=EL$5,$G74&lt;EL$5+GanttPeriod),"◆",IF(AND($E74&gt;=EL$5,$E74&lt;EL$5+GanttPeriod),"◇","")),IF(AND(EL$5&lt;=$F74,EL$5+GanttPeriod-1&gt;=$E74),"━","")))</f>
        <v/>
      </c>
      <c r="EM74" s="69" t="str">
        <f aca="false">IF($E74="","",IF($M74,IF(AND($G74&gt;=EM$5,$G74&lt;EM$5+GanttPeriod),"◆",IF(AND($E74&gt;=EM$5,$E74&lt;EM$5+GanttPeriod),"◇","")),IF(AND(EM$5&lt;=$F74,EM$5+GanttPeriod-1&gt;=$E74),"━","")))</f>
        <v/>
      </c>
      <c r="EN74" s="69" t="str">
        <f aca="false">IF($E74="","",IF($M74,IF(AND($G74&gt;=EN$5,$G74&lt;EN$5+GanttPeriod),"◆",IF(AND($E74&gt;=EN$5,$E74&lt;EN$5+GanttPeriod),"◇","")),IF(AND(EN$5&lt;=$F74,EN$5+GanttPeriod-1&gt;=$E74),"━","")))</f>
        <v/>
      </c>
      <c r="EO74" s="69" t="str">
        <f aca="false">IF($E74="","",IF($M74,IF(AND($G74&gt;=EO$5,$G74&lt;EO$5+GanttPeriod),"◆",IF(AND($E74&gt;=EO$5,$E74&lt;EO$5+GanttPeriod),"◇","")),IF(AND(EO$5&lt;=$F74,EO$5+GanttPeriod-1&gt;=$E74),"━","")))</f>
        <v/>
      </c>
      <c r="EP74" s="69" t="str">
        <f aca="false">IF($E74="","",IF($M74,IF(AND($G74&gt;=EP$5,$G74&lt;EP$5+GanttPeriod),"◆",IF(AND($E74&gt;=EP$5,$E74&lt;EP$5+GanttPeriod),"◇","")),IF(AND(EP$5&lt;=$F74,EP$5+GanttPeriod-1&gt;=$E74),"━","")))</f>
        <v/>
      </c>
      <c r="EQ74" s="69" t="str">
        <f aca="false">IF($E74="","",IF($M74,IF(AND($G74&gt;=EQ$5,$G74&lt;EQ$5+GanttPeriod),"◆",IF(AND($E74&gt;=EQ$5,$E74&lt;EQ$5+GanttPeriod),"◇","")),IF(AND(EQ$5&lt;=$F74,EQ$5+GanttPeriod-1&gt;=$E74),"━","")))</f>
        <v/>
      </c>
      <c r="ER74" s="69" t="str">
        <f aca="false">IF($E74="","",IF($M74,IF(AND($G74&gt;=ER$5,$G74&lt;ER$5+GanttPeriod),"◆",IF(AND($E74&gt;=ER$5,$E74&lt;ER$5+GanttPeriod),"◇","")),IF(AND(ER$5&lt;=$F74,ER$5+GanttPeriod-1&gt;=$E74),"━","")))</f>
        <v/>
      </c>
      <c r="ES74" s="69" t="str">
        <f aca="false">IF($E74="","",IF($M74,IF(AND($G74&gt;=ES$5,$G74&lt;ES$5+GanttPeriod),"◆",IF(AND($E74&gt;=ES$5,$E74&lt;ES$5+GanttPeriod),"◇","")),IF(AND(ES$5&lt;=$F74,ES$5+GanttPeriod-1&gt;=$E74),"━","")))</f>
        <v/>
      </c>
      <c r="ET74" s="69" t="str">
        <f aca="false">IF($E74="","",IF($M74,IF(AND($G74&gt;=ET$5,$G74&lt;ET$5+GanttPeriod),"◆",IF(AND($E74&gt;=ET$5,$E74&lt;ET$5+GanttPeriod),"◇","")),IF(AND(ET$5&lt;=$F74,ET$5+GanttPeriod-1&gt;=$E74),"━","")))</f>
        <v/>
      </c>
      <c r="EU74" s="69" t="str">
        <f aca="false">IF($E74="","",IF($M74,IF(AND($G74&gt;=EU$5,$G74&lt;EU$5+GanttPeriod),"◆",IF(AND($E74&gt;=EU$5,$E74&lt;EU$5+GanttPeriod),"◇","")),IF(AND(EU$5&lt;=$F74,EU$5+GanttPeriod-1&gt;=$E74),"━","")))</f>
        <v/>
      </c>
      <c r="EV74" s="69" t="str">
        <f aca="false">IF($E74="","",IF($M74,IF(AND($G74&gt;=EV$5,$G74&lt;EV$5+GanttPeriod),"◆",IF(AND($E74&gt;=EV$5,$E74&lt;EV$5+GanttPeriod),"◇","")),IF(AND(EV$5&lt;=$F74,EV$5+GanttPeriod-1&gt;=$E74),"━","")))</f>
        <v/>
      </c>
      <c r="EW74" s="69" t="str">
        <f aca="false">IF($E74="","",IF($M74,IF(AND($G74&gt;=EW$5,$G74&lt;EW$5+GanttPeriod),"◆",IF(AND($E74&gt;=EW$5,$E74&lt;EW$5+GanttPeriod),"◇","")),IF(AND(EW$5&lt;=$F74,EW$5+GanttPeriod-1&gt;=$E74),"━","")))</f>
        <v/>
      </c>
      <c r="EX74" s="69" t="str">
        <f aca="false">IF($E74="","",IF($M74,IF(AND($G74&gt;=EX$5,$G74&lt;EX$5+GanttPeriod),"◆",IF(AND($E74&gt;=EX$5,$E74&lt;EX$5+GanttPeriod),"◇","")),IF(AND(EX$5&lt;=$F74,EX$5+GanttPeriod-1&gt;=$E74),"━","")))</f>
        <v/>
      </c>
      <c r="EY74" s="69" t="str">
        <f aca="false">IF($E74="","",IF($M74,IF(AND($G74&gt;=EY$5,$G74&lt;EY$5+GanttPeriod),"◆",IF(AND($E74&gt;=EY$5,$E74&lt;EY$5+GanttPeriod),"◇","")),IF(AND(EY$5&lt;=$F74,EY$5+GanttPeriod-1&gt;=$E74),"━","")))</f>
        <v/>
      </c>
      <c r="EZ74" s="69" t="str">
        <f aca="false">IF($E74="","",IF($M74,IF(AND($G74&gt;=EZ$5,$G74&lt;EZ$5+GanttPeriod),"◆",IF(AND($E74&gt;=EZ$5,$E74&lt;EZ$5+GanttPeriod),"◇","")),IF(AND(EZ$5&lt;=$F74,EZ$5+GanttPeriod-1&gt;=$E74),"━","")))</f>
        <v/>
      </c>
      <c r="FA74" s="69" t="str">
        <f aca="false">IF($E74="","",IF($M74,IF(AND($G74&gt;=FA$5,$G74&lt;FA$5+GanttPeriod),"◆",IF(AND($E74&gt;=FA$5,$E74&lt;FA$5+GanttPeriod),"◇","")),IF(AND(FA$5&lt;=$F74,FA$5+GanttPeriod-1&gt;=$E74),"━","")))</f>
        <v/>
      </c>
      <c r="FB74" s="69" t="str">
        <f aca="false">IF($E74="","",IF($M74,IF(AND($G74&gt;=FB$5,$G74&lt;FB$5+GanttPeriod),"◆",IF(AND($E74&gt;=FB$5,$E74&lt;FB$5+GanttPeriod),"◇","")),IF(AND(FB$5&lt;=$F74,FB$5+GanttPeriod-1&gt;=$E74),"━","")))</f>
        <v/>
      </c>
      <c r="FC74" s="69" t="str">
        <f aca="false">IF($E74="","",IF($M74,IF(AND($G74&gt;=FC$5,$G74&lt;FC$5+GanttPeriod),"◆",IF(AND($E74&gt;=FC$5,$E74&lt;FC$5+GanttPeriod),"◇","")),IF(AND(FC$5&lt;=$F74,FC$5+GanttPeriod-1&gt;=$E74),"━","")))</f>
        <v/>
      </c>
      <c r="FD74" s="69" t="str">
        <f aca="false">IF($E74="","",IF($M74,IF(AND($G74&gt;=FD$5,$G74&lt;FD$5+GanttPeriod),"◆",IF(AND($E74&gt;=FD$5,$E74&lt;FD$5+GanttPeriod),"◇","")),IF(AND(FD$5&lt;=$F74,FD$5+GanttPeriod-1&gt;=$E74),"━","")))</f>
        <v/>
      </c>
      <c r="FE74" s="69" t="str">
        <f aca="false">IF($E74="","",IF($M74,IF(AND($G74&gt;=FE$5,$G74&lt;FE$5+GanttPeriod),"◆",IF(AND($E74&gt;=FE$5,$E74&lt;FE$5+GanttPeriod),"◇","")),IF(AND(FE$5&lt;=$F74,FE$5+GanttPeriod-1&gt;=$E74),"━","")))</f>
        <v/>
      </c>
      <c r="FF74" s="69" t="str">
        <f aca="false">IF($E74="","",IF($M74,IF(AND($G74&gt;=FF$5,$G74&lt;FF$5+GanttPeriod),"◆",IF(AND($E74&gt;=FF$5,$E74&lt;FF$5+GanttPeriod),"◇","")),IF(AND(FF$5&lt;=$F74,FF$5+GanttPeriod-1&gt;=$E74),"━","")))</f>
        <v/>
      </c>
      <c r="FG74" s="69" t="str">
        <f aca="false">IF($E74="","",IF($M74,IF(AND($G74&gt;=FG$5,$G74&lt;FG$5+GanttPeriod),"◆",IF(AND($E74&gt;=FG$5,$E74&lt;FG$5+GanttPeriod),"◇","")),IF(AND(FG$5&lt;=$F74,FG$5+GanttPeriod-1&gt;=$E74),"━","")))</f>
        <v/>
      </c>
      <c r="FH74" s="69" t="str">
        <f aca="false">IF($E74="","",IF($M74,IF(AND($G74&gt;=FH$5,$G74&lt;FH$5+GanttPeriod),"◆",IF(AND($E74&gt;=FH$5,$E74&lt;FH$5+GanttPeriod),"◇","")),IF(AND(FH$5&lt;=$F74,FH$5+GanttPeriod-1&gt;=$E74),"━","")))</f>
        <v/>
      </c>
      <c r="FI74" s="69" t="str">
        <f aca="false">IF($E74="","",IF($M74,IF(AND($G74&gt;=FI$5,$G74&lt;FI$5+GanttPeriod),"◆",IF(AND($E74&gt;=FI$5,$E74&lt;FI$5+GanttPeriod),"◇","")),IF(AND(FI$5&lt;=$F74,FI$5+GanttPeriod-1&gt;=$E74),"━","")))</f>
        <v/>
      </c>
      <c r="FJ74" s="69" t="str">
        <f aca="false">IF($E74="","",IF($M74,IF(AND($G74&gt;=FJ$5,$G74&lt;FJ$5+GanttPeriod),"◆",IF(AND($E74&gt;=FJ$5,$E74&lt;FJ$5+GanttPeriod),"◇","")),IF(AND(FJ$5&lt;=$F74,FJ$5+GanttPeriod-1&gt;=$E74),"━","")))</f>
        <v/>
      </c>
      <c r="FK74" s="69" t="str">
        <f aca="false">IF($E74="","",IF($M74,IF(AND($G74&gt;=FK$5,$G74&lt;FK$5+GanttPeriod),"◆",IF(AND($E74&gt;=FK$5,$E74&lt;FK$5+GanttPeriod),"◇","")),IF(AND(FK$5&lt;=$F74,FK$5+GanttPeriod-1&gt;=$E74),"━","")))</f>
        <v/>
      </c>
      <c r="FL74" s="69" t="str">
        <f aca="false">IF($E74="","",IF($M74,IF(AND($G74&gt;=FL$5,$G74&lt;FL$5+GanttPeriod),"◆",IF(AND($E74&gt;=FL$5,$E74&lt;FL$5+GanttPeriod),"◇","")),IF(AND(FL$5&lt;=$F74,FL$5+GanttPeriod-1&gt;=$E74),"━","")))</f>
        <v/>
      </c>
      <c r="FM74" s="69" t="str">
        <f aca="false">IF($E74="","",IF($M74,IF(AND($G74&gt;=FM$5,$G74&lt;FM$5+GanttPeriod),"◆",IF(AND($E74&gt;=FM$5,$E74&lt;FM$5+GanttPeriod),"◇","")),IF(AND(FM$5&lt;=$F74,FM$5+GanttPeriod-1&gt;=$E74),"━","")))</f>
        <v/>
      </c>
    </row>
    <row r="75" customFormat="false" ht="15" hidden="false" customHeight="false" outlineLevel="0" collapsed="false">
      <c r="A75" s="62" t="str">
        <f aca="false">IF(Tasks!$D75="","",Tasks!$A75)</f>
        <v/>
      </c>
      <c r="B75" s="62" t="str">
        <f aca="false">IF(Tasks!$D75="","",Tasks!$B75)</f>
        <v/>
      </c>
      <c r="C75" s="63" t="str">
        <f aca="false">IF(Tasks!$D75="","",REPT("    ",Tasks!$AE75-1)&amp;Tasks!$D75)</f>
        <v/>
      </c>
      <c r="D75" s="62" t="str">
        <f aca="false">IF(Tasks!$D75="","",IF(Tasks!$AI75,NETWORKDAYS.INTL(Tasks!$R75,Tasks!$S75,WorkWeek,Holidays),N(Tasks!$F75)))</f>
        <v/>
      </c>
      <c r="E75" s="64" t="str">
        <f aca="false">IF(Tasks!$D75="","",Tasks!$N75)</f>
        <v/>
      </c>
      <c r="F75" s="64" t="str">
        <f aca="false">IF(Tasks!$D75="","",Tasks!$O75)</f>
        <v/>
      </c>
      <c r="G75" s="64" t="str">
        <f aca="false">IF(Tasks!$D75="","",Tasks!$R75)</f>
        <v/>
      </c>
      <c r="H75" s="64" t="str">
        <f aca="false">IF(Tasks!$D75="","",Tasks!$S75)</f>
        <v/>
      </c>
      <c r="I75" s="65" t="str">
        <f aca="false">IF(Tasks!$D75="","",Tasks!$V75)</f>
        <v/>
      </c>
      <c r="J75" s="63" t="str">
        <f aca="false">IF(Tasks!$D75="","",Tasks!$X75&amp;"")</f>
        <v/>
      </c>
      <c r="K75" s="66" t="str">
        <f aca="false">IF(Tasks!$D75="","",Tasks!$W75)</f>
        <v/>
      </c>
      <c r="L75" s="67" t="b">
        <f aca="false">IF(Tasks!$D75="",FALSE(),Tasks!$AI75)</f>
        <v>0</v>
      </c>
      <c r="M75" s="67" t="b">
        <f aca="false">AND(Tasks!$AJ75=1,N(Tasks!$F75)=0)</f>
        <v>0</v>
      </c>
      <c r="N75" s="68" t="n">
        <f aca="false">IF(AND(Tasks!$AJ75=1,NOT($M75),N($I75)&gt;0),$G75,0)</f>
        <v>0</v>
      </c>
      <c r="O75" s="68" t="n">
        <f aca="false">IF($N75=0,0,IF($I75&gt;=1,$H75,MAX($N75,$G75+ROUND(($H75-$G75+1)*$I75,0)-1)))</f>
        <v>0</v>
      </c>
      <c r="P75" s="68" t="n">
        <f aca="false">IF(OR(Tasks!$AJ75&lt;&gt;1,$M75,N($I75)&gt;=1),0,IF($O75&gt;0,$O75+1,$G75))</f>
        <v>0</v>
      </c>
      <c r="Q75" s="68" t="n">
        <f aca="false">IF($P75=0,0,$H75)</f>
        <v>0</v>
      </c>
      <c r="R75" s="67" t="b">
        <f aca="false">AND(Tasks!$D75&lt;&gt;"",N(Tasks!$T75)&gt;0)</f>
        <v>0</v>
      </c>
      <c r="T75" s="69" t="str">
        <f aca="false">IF($E75="","",IF($M75,IF(AND($G75&gt;=T$5,$G75&lt;T$5+GanttPeriod),"◆",IF(AND($E75&gt;=T$5,$E75&lt;T$5+GanttPeriod),"◇","")),IF(AND(T$5&lt;=$F75,T$5+GanttPeriod-1&gt;=$E75),"━","")))</f>
        <v/>
      </c>
      <c r="U75" s="69" t="str">
        <f aca="false">IF($E75="","",IF($M75,IF(AND($G75&gt;=U$5,$G75&lt;U$5+GanttPeriod),"◆",IF(AND($E75&gt;=U$5,$E75&lt;U$5+GanttPeriod),"◇","")),IF(AND(U$5&lt;=$F75,U$5+GanttPeriod-1&gt;=$E75),"━","")))</f>
        <v/>
      </c>
      <c r="V75" s="69" t="str">
        <f aca="false">IF($E75="","",IF($M75,IF(AND($G75&gt;=V$5,$G75&lt;V$5+GanttPeriod),"◆",IF(AND($E75&gt;=V$5,$E75&lt;V$5+GanttPeriod),"◇","")),IF(AND(V$5&lt;=$F75,V$5+GanttPeriod-1&gt;=$E75),"━","")))</f>
        <v/>
      </c>
      <c r="W75" s="69" t="str">
        <f aca="false">IF($E75="","",IF($M75,IF(AND($G75&gt;=W$5,$G75&lt;W$5+GanttPeriod),"◆",IF(AND($E75&gt;=W$5,$E75&lt;W$5+GanttPeriod),"◇","")),IF(AND(W$5&lt;=$F75,W$5+GanttPeriod-1&gt;=$E75),"━","")))</f>
        <v/>
      </c>
      <c r="X75" s="69" t="str">
        <f aca="false">IF($E75="","",IF($M75,IF(AND($G75&gt;=X$5,$G75&lt;X$5+GanttPeriod),"◆",IF(AND($E75&gt;=X$5,$E75&lt;X$5+GanttPeriod),"◇","")),IF(AND(X$5&lt;=$F75,X$5+GanttPeriod-1&gt;=$E75),"━","")))</f>
        <v/>
      </c>
      <c r="Y75" s="69" t="str">
        <f aca="false">IF($E75="","",IF($M75,IF(AND($G75&gt;=Y$5,$G75&lt;Y$5+GanttPeriod),"◆",IF(AND($E75&gt;=Y$5,$E75&lt;Y$5+GanttPeriod),"◇","")),IF(AND(Y$5&lt;=$F75,Y$5+GanttPeriod-1&gt;=$E75),"━","")))</f>
        <v/>
      </c>
      <c r="Z75" s="69" t="str">
        <f aca="false">IF($E75="","",IF($M75,IF(AND($G75&gt;=Z$5,$G75&lt;Z$5+GanttPeriod),"◆",IF(AND($E75&gt;=Z$5,$E75&lt;Z$5+GanttPeriod),"◇","")),IF(AND(Z$5&lt;=$F75,Z$5+GanttPeriod-1&gt;=$E75),"━","")))</f>
        <v/>
      </c>
      <c r="AA75" s="69" t="str">
        <f aca="false">IF($E75="","",IF($M75,IF(AND($G75&gt;=AA$5,$G75&lt;AA$5+GanttPeriod),"◆",IF(AND($E75&gt;=AA$5,$E75&lt;AA$5+GanttPeriod),"◇","")),IF(AND(AA$5&lt;=$F75,AA$5+GanttPeriod-1&gt;=$E75),"━","")))</f>
        <v/>
      </c>
      <c r="AB75" s="69" t="str">
        <f aca="false">IF($E75="","",IF($M75,IF(AND($G75&gt;=AB$5,$G75&lt;AB$5+GanttPeriod),"◆",IF(AND($E75&gt;=AB$5,$E75&lt;AB$5+GanttPeriod),"◇","")),IF(AND(AB$5&lt;=$F75,AB$5+GanttPeriod-1&gt;=$E75),"━","")))</f>
        <v/>
      </c>
      <c r="AC75" s="69" t="str">
        <f aca="false">IF($E75="","",IF($M75,IF(AND($G75&gt;=AC$5,$G75&lt;AC$5+GanttPeriod),"◆",IF(AND($E75&gt;=AC$5,$E75&lt;AC$5+GanttPeriod),"◇","")),IF(AND(AC$5&lt;=$F75,AC$5+GanttPeriod-1&gt;=$E75),"━","")))</f>
        <v/>
      </c>
      <c r="AD75" s="69" t="str">
        <f aca="false">IF($E75="","",IF($M75,IF(AND($G75&gt;=AD$5,$G75&lt;AD$5+GanttPeriod),"◆",IF(AND($E75&gt;=AD$5,$E75&lt;AD$5+GanttPeriod),"◇","")),IF(AND(AD$5&lt;=$F75,AD$5+GanttPeriod-1&gt;=$E75),"━","")))</f>
        <v/>
      </c>
      <c r="AE75" s="69" t="str">
        <f aca="false">IF($E75="","",IF($M75,IF(AND($G75&gt;=AE$5,$G75&lt;AE$5+GanttPeriod),"◆",IF(AND($E75&gt;=AE$5,$E75&lt;AE$5+GanttPeriod),"◇","")),IF(AND(AE$5&lt;=$F75,AE$5+GanttPeriod-1&gt;=$E75),"━","")))</f>
        <v/>
      </c>
      <c r="AF75" s="69" t="str">
        <f aca="false">IF($E75="","",IF($M75,IF(AND($G75&gt;=AF$5,$G75&lt;AF$5+GanttPeriod),"◆",IF(AND($E75&gt;=AF$5,$E75&lt;AF$5+GanttPeriod),"◇","")),IF(AND(AF$5&lt;=$F75,AF$5+GanttPeriod-1&gt;=$E75),"━","")))</f>
        <v/>
      </c>
      <c r="AG75" s="69" t="str">
        <f aca="false">IF($E75="","",IF($M75,IF(AND($G75&gt;=AG$5,$G75&lt;AG$5+GanttPeriod),"◆",IF(AND($E75&gt;=AG$5,$E75&lt;AG$5+GanttPeriod),"◇","")),IF(AND(AG$5&lt;=$F75,AG$5+GanttPeriod-1&gt;=$E75),"━","")))</f>
        <v/>
      </c>
      <c r="AH75" s="69" t="str">
        <f aca="false">IF($E75="","",IF($M75,IF(AND($G75&gt;=AH$5,$G75&lt;AH$5+GanttPeriod),"◆",IF(AND($E75&gt;=AH$5,$E75&lt;AH$5+GanttPeriod),"◇","")),IF(AND(AH$5&lt;=$F75,AH$5+GanttPeriod-1&gt;=$E75),"━","")))</f>
        <v/>
      </c>
      <c r="AI75" s="69" t="str">
        <f aca="false">IF($E75="","",IF($M75,IF(AND($G75&gt;=AI$5,$G75&lt;AI$5+GanttPeriod),"◆",IF(AND($E75&gt;=AI$5,$E75&lt;AI$5+GanttPeriod),"◇","")),IF(AND(AI$5&lt;=$F75,AI$5+GanttPeriod-1&gt;=$E75),"━","")))</f>
        <v/>
      </c>
      <c r="AJ75" s="69" t="str">
        <f aca="false">IF($E75="","",IF($M75,IF(AND($G75&gt;=AJ$5,$G75&lt;AJ$5+GanttPeriod),"◆",IF(AND($E75&gt;=AJ$5,$E75&lt;AJ$5+GanttPeriod),"◇","")),IF(AND(AJ$5&lt;=$F75,AJ$5+GanttPeriod-1&gt;=$E75),"━","")))</f>
        <v/>
      </c>
      <c r="AK75" s="69" t="str">
        <f aca="false">IF($E75="","",IF($M75,IF(AND($G75&gt;=AK$5,$G75&lt;AK$5+GanttPeriod),"◆",IF(AND($E75&gt;=AK$5,$E75&lt;AK$5+GanttPeriod),"◇","")),IF(AND(AK$5&lt;=$F75,AK$5+GanttPeriod-1&gt;=$E75),"━","")))</f>
        <v/>
      </c>
      <c r="AL75" s="69" t="str">
        <f aca="false">IF($E75="","",IF($M75,IF(AND($G75&gt;=AL$5,$G75&lt;AL$5+GanttPeriod),"◆",IF(AND($E75&gt;=AL$5,$E75&lt;AL$5+GanttPeriod),"◇","")),IF(AND(AL$5&lt;=$F75,AL$5+GanttPeriod-1&gt;=$E75),"━","")))</f>
        <v/>
      </c>
      <c r="AM75" s="69" t="str">
        <f aca="false">IF($E75="","",IF($M75,IF(AND($G75&gt;=AM$5,$G75&lt;AM$5+GanttPeriod),"◆",IF(AND($E75&gt;=AM$5,$E75&lt;AM$5+GanttPeriod),"◇","")),IF(AND(AM$5&lt;=$F75,AM$5+GanttPeriod-1&gt;=$E75),"━","")))</f>
        <v/>
      </c>
      <c r="AN75" s="69" t="str">
        <f aca="false">IF($E75="","",IF($M75,IF(AND($G75&gt;=AN$5,$G75&lt;AN$5+GanttPeriod),"◆",IF(AND($E75&gt;=AN$5,$E75&lt;AN$5+GanttPeriod),"◇","")),IF(AND(AN$5&lt;=$F75,AN$5+GanttPeriod-1&gt;=$E75),"━","")))</f>
        <v/>
      </c>
      <c r="AO75" s="69" t="str">
        <f aca="false">IF($E75="","",IF($M75,IF(AND($G75&gt;=AO$5,$G75&lt;AO$5+GanttPeriod),"◆",IF(AND($E75&gt;=AO$5,$E75&lt;AO$5+GanttPeriod),"◇","")),IF(AND(AO$5&lt;=$F75,AO$5+GanttPeriod-1&gt;=$E75),"━","")))</f>
        <v/>
      </c>
      <c r="AP75" s="69" t="str">
        <f aca="false">IF($E75="","",IF($M75,IF(AND($G75&gt;=AP$5,$G75&lt;AP$5+GanttPeriod),"◆",IF(AND($E75&gt;=AP$5,$E75&lt;AP$5+GanttPeriod),"◇","")),IF(AND(AP$5&lt;=$F75,AP$5+GanttPeriod-1&gt;=$E75),"━","")))</f>
        <v/>
      </c>
      <c r="AQ75" s="69" t="str">
        <f aca="false">IF($E75="","",IF($M75,IF(AND($G75&gt;=AQ$5,$G75&lt;AQ$5+GanttPeriod),"◆",IF(AND($E75&gt;=AQ$5,$E75&lt;AQ$5+GanttPeriod),"◇","")),IF(AND(AQ$5&lt;=$F75,AQ$5+GanttPeriod-1&gt;=$E75),"━","")))</f>
        <v/>
      </c>
      <c r="AR75" s="69" t="str">
        <f aca="false">IF($E75="","",IF($M75,IF(AND($G75&gt;=AR$5,$G75&lt;AR$5+GanttPeriod),"◆",IF(AND($E75&gt;=AR$5,$E75&lt;AR$5+GanttPeriod),"◇","")),IF(AND(AR$5&lt;=$F75,AR$5+GanttPeriod-1&gt;=$E75),"━","")))</f>
        <v/>
      </c>
      <c r="AS75" s="69" t="str">
        <f aca="false">IF($E75="","",IF($M75,IF(AND($G75&gt;=AS$5,$G75&lt;AS$5+GanttPeriod),"◆",IF(AND($E75&gt;=AS$5,$E75&lt;AS$5+GanttPeriod),"◇","")),IF(AND(AS$5&lt;=$F75,AS$5+GanttPeriod-1&gt;=$E75),"━","")))</f>
        <v/>
      </c>
      <c r="AT75" s="69" t="str">
        <f aca="false">IF($E75="","",IF($M75,IF(AND($G75&gt;=AT$5,$G75&lt;AT$5+GanttPeriod),"◆",IF(AND($E75&gt;=AT$5,$E75&lt;AT$5+GanttPeriod),"◇","")),IF(AND(AT$5&lt;=$F75,AT$5+GanttPeriod-1&gt;=$E75),"━","")))</f>
        <v/>
      </c>
      <c r="AU75" s="69" t="str">
        <f aca="false">IF($E75="","",IF($M75,IF(AND($G75&gt;=AU$5,$G75&lt;AU$5+GanttPeriod),"◆",IF(AND($E75&gt;=AU$5,$E75&lt;AU$5+GanttPeriod),"◇","")),IF(AND(AU$5&lt;=$F75,AU$5+GanttPeriod-1&gt;=$E75),"━","")))</f>
        <v/>
      </c>
      <c r="AV75" s="69" t="str">
        <f aca="false">IF($E75="","",IF($M75,IF(AND($G75&gt;=AV$5,$G75&lt;AV$5+GanttPeriod),"◆",IF(AND($E75&gt;=AV$5,$E75&lt;AV$5+GanttPeriod),"◇","")),IF(AND(AV$5&lt;=$F75,AV$5+GanttPeriod-1&gt;=$E75),"━","")))</f>
        <v/>
      </c>
      <c r="AW75" s="69" t="str">
        <f aca="false">IF($E75="","",IF($M75,IF(AND($G75&gt;=AW$5,$G75&lt;AW$5+GanttPeriod),"◆",IF(AND($E75&gt;=AW$5,$E75&lt;AW$5+GanttPeriod),"◇","")),IF(AND(AW$5&lt;=$F75,AW$5+GanttPeriod-1&gt;=$E75),"━","")))</f>
        <v/>
      </c>
      <c r="AX75" s="69" t="str">
        <f aca="false">IF($E75="","",IF($M75,IF(AND($G75&gt;=AX$5,$G75&lt;AX$5+GanttPeriod),"◆",IF(AND($E75&gt;=AX$5,$E75&lt;AX$5+GanttPeriod),"◇","")),IF(AND(AX$5&lt;=$F75,AX$5+GanttPeriod-1&gt;=$E75),"━","")))</f>
        <v/>
      </c>
      <c r="AY75" s="69" t="str">
        <f aca="false">IF($E75="","",IF($M75,IF(AND($G75&gt;=AY$5,$G75&lt;AY$5+GanttPeriod),"◆",IF(AND($E75&gt;=AY$5,$E75&lt;AY$5+GanttPeriod),"◇","")),IF(AND(AY$5&lt;=$F75,AY$5+GanttPeriod-1&gt;=$E75),"━","")))</f>
        <v/>
      </c>
      <c r="AZ75" s="69" t="str">
        <f aca="false">IF($E75="","",IF($M75,IF(AND($G75&gt;=AZ$5,$G75&lt;AZ$5+GanttPeriod),"◆",IF(AND($E75&gt;=AZ$5,$E75&lt;AZ$5+GanttPeriod),"◇","")),IF(AND(AZ$5&lt;=$F75,AZ$5+GanttPeriod-1&gt;=$E75),"━","")))</f>
        <v/>
      </c>
      <c r="BA75" s="69" t="str">
        <f aca="false">IF($E75="","",IF($M75,IF(AND($G75&gt;=BA$5,$G75&lt;BA$5+GanttPeriod),"◆",IF(AND($E75&gt;=BA$5,$E75&lt;BA$5+GanttPeriod),"◇","")),IF(AND(BA$5&lt;=$F75,BA$5+GanttPeriod-1&gt;=$E75),"━","")))</f>
        <v/>
      </c>
      <c r="BB75" s="69" t="str">
        <f aca="false">IF($E75="","",IF($M75,IF(AND($G75&gt;=BB$5,$G75&lt;BB$5+GanttPeriod),"◆",IF(AND($E75&gt;=BB$5,$E75&lt;BB$5+GanttPeriod),"◇","")),IF(AND(BB$5&lt;=$F75,BB$5+GanttPeriod-1&gt;=$E75),"━","")))</f>
        <v/>
      </c>
      <c r="BC75" s="69" t="str">
        <f aca="false">IF($E75="","",IF($M75,IF(AND($G75&gt;=BC$5,$G75&lt;BC$5+GanttPeriod),"◆",IF(AND($E75&gt;=BC$5,$E75&lt;BC$5+GanttPeriod),"◇","")),IF(AND(BC$5&lt;=$F75,BC$5+GanttPeriod-1&gt;=$E75),"━","")))</f>
        <v/>
      </c>
      <c r="BD75" s="69" t="str">
        <f aca="false">IF($E75="","",IF($M75,IF(AND($G75&gt;=BD$5,$G75&lt;BD$5+GanttPeriod),"◆",IF(AND($E75&gt;=BD$5,$E75&lt;BD$5+GanttPeriod),"◇","")),IF(AND(BD$5&lt;=$F75,BD$5+GanttPeriod-1&gt;=$E75),"━","")))</f>
        <v/>
      </c>
      <c r="BE75" s="69" t="str">
        <f aca="false">IF($E75="","",IF($M75,IF(AND($G75&gt;=BE$5,$G75&lt;BE$5+GanttPeriod),"◆",IF(AND($E75&gt;=BE$5,$E75&lt;BE$5+GanttPeriod),"◇","")),IF(AND(BE$5&lt;=$F75,BE$5+GanttPeriod-1&gt;=$E75),"━","")))</f>
        <v/>
      </c>
      <c r="BF75" s="69" t="str">
        <f aca="false">IF($E75="","",IF($M75,IF(AND($G75&gt;=BF$5,$G75&lt;BF$5+GanttPeriod),"◆",IF(AND($E75&gt;=BF$5,$E75&lt;BF$5+GanttPeriod),"◇","")),IF(AND(BF$5&lt;=$F75,BF$5+GanttPeriod-1&gt;=$E75),"━","")))</f>
        <v/>
      </c>
      <c r="BG75" s="69" t="str">
        <f aca="false">IF($E75="","",IF($M75,IF(AND($G75&gt;=BG$5,$G75&lt;BG$5+GanttPeriod),"◆",IF(AND($E75&gt;=BG$5,$E75&lt;BG$5+GanttPeriod),"◇","")),IF(AND(BG$5&lt;=$F75,BG$5+GanttPeriod-1&gt;=$E75),"━","")))</f>
        <v/>
      </c>
      <c r="BH75" s="69" t="str">
        <f aca="false">IF($E75="","",IF($M75,IF(AND($G75&gt;=BH$5,$G75&lt;BH$5+GanttPeriod),"◆",IF(AND($E75&gt;=BH$5,$E75&lt;BH$5+GanttPeriod),"◇","")),IF(AND(BH$5&lt;=$F75,BH$5+GanttPeriod-1&gt;=$E75),"━","")))</f>
        <v/>
      </c>
      <c r="BI75" s="69" t="str">
        <f aca="false">IF($E75="","",IF($M75,IF(AND($G75&gt;=BI$5,$G75&lt;BI$5+GanttPeriod),"◆",IF(AND($E75&gt;=BI$5,$E75&lt;BI$5+GanttPeriod),"◇","")),IF(AND(BI$5&lt;=$F75,BI$5+GanttPeriod-1&gt;=$E75),"━","")))</f>
        <v/>
      </c>
      <c r="BJ75" s="69" t="str">
        <f aca="false">IF($E75="","",IF($M75,IF(AND($G75&gt;=BJ$5,$G75&lt;BJ$5+GanttPeriod),"◆",IF(AND($E75&gt;=BJ$5,$E75&lt;BJ$5+GanttPeriod),"◇","")),IF(AND(BJ$5&lt;=$F75,BJ$5+GanttPeriod-1&gt;=$E75),"━","")))</f>
        <v/>
      </c>
      <c r="BK75" s="69" t="str">
        <f aca="false">IF($E75="","",IF($M75,IF(AND($G75&gt;=BK$5,$G75&lt;BK$5+GanttPeriod),"◆",IF(AND($E75&gt;=BK$5,$E75&lt;BK$5+GanttPeriod),"◇","")),IF(AND(BK$5&lt;=$F75,BK$5+GanttPeriod-1&gt;=$E75),"━","")))</f>
        <v/>
      </c>
      <c r="BL75" s="69" t="str">
        <f aca="false">IF($E75="","",IF($M75,IF(AND($G75&gt;=BL$5,$G75&lt;BL$5+GanttPeriod),"◆",IF(AND($E75&gt;=BL$5,$E75&lt;BL$5+GanttPeriod),"◇","")),IF(AND(BL$5&lt;=$F75,BL$5+GanttPeriod-1&gt;=$E75),"━","")))</f>
        <v/>
      </c>
      <c r="BM75" s="69" t="str">
        <f aca="false">IF($E75="","",IF($M75,IF(AND($G75&gt;=BM$5,$G75&lt;BM$5+GanttPeriod),"◆",IF(AND($E75&gt;=BM$5,$E75&lt;BM$5+GanttPeriod),"◇","")),IF(AND(BM$5&lt;=$F75,BM$5+GanttPeriod-1&gt;=$E75),"━","")))</f>
        <v/>
      </c>
      <c r="BN75" s="69" t="str">
        <f aca="false">IF($E75="","",IF($M75,IF(AND($G75&gt;=BN$5,$G75&lt;BN$5+GanttPeriod),"◆",IF(AND($E75&gt;=BN$5,$E75&lt;BN$5+GanttPeriod),"◇","")),IF(AND(BN$5&lt;=$F75,BN$5+GanttPeriod-1&gt;=$E75),"━","")))</f>
        <v/>
      </c>
      <c r="BO75" s="69" t="str">
        <f aca="false">IF($E75="","",IF($M75,IF(AND($G75&gt;=BO$5,$G75&lt;BO$5+GanttPeriod),"◆",IF(AND($E75&gt;=BO$5,$E75&lt;BO$5+GanttPeriod),"◇","")),IF(AND(BO$5&lt;=$F75,BO$5+GanttPeriod-1&gt;=$E75),"━","")))</f>
        <v/>
      </c>
      <c r="BP75" s="69" t="str">
        <f aca="false">IF($E75="","",IF($M75,IF(AND($G75&gt;=BP$5,$G75&lt;BP$5+GanttPeriod),"◆",IF(AND($E75&gt;=BP$5,$E75&lt;BP$5+GanttPeriod),"◇","")),IF(AND(BP$5&lt;=$F75,BP$5+GanttPeriod-1&gt;=$E75),"━","")))</f>
        <v/>
      </c>
      <c r="BQ75" s="69" t="str">
        <f aca="false">IF($E75="","",IF($M75,IF(AND($G75&gt;=BQ$5,$G75&lt;BQ$5+GanttPeriod),"◆",IF(AND($E75&gt;=BQ$5,$E75&lt;BQ$5+GanttPeriod),"◇","")),IF(AND(BQ$5&lt;=$F75,BQ$5+GanttPeriod-1&gt;=$E75),"━","")))</f>
        <v/>
      </c>
      <c r="BR75" s="69" t="str">
        <f aca="false">IF($E75="","",IF($M75,IF(AND($G75&gt;=BR$5,$G75&lt;BR$5+GanttPeriod),"◆",IF(AND($E75&gt;=BR$5,$E75&lt;BR$5+GanttPeriod),"◇","")),IF(AND(BR$5&lt;=$F75,BR$5+GanttPeriod-1&gt;=$E75),"━","")))</f>
        <v/>
      </c>
      <c r="BS75" s="69" t="str">
        <f aca="false">IF($E75="","",IF($M75,IF(AND($G75&gt;=BS$5,$G75&lt;BS$5+GanttPeriod),"◆",IF(AND($E75&gt;=BS$5,$E75&lt;BS$5+GanttPeriod),"◇","")),IF(AND(BS$5&lt;=$F75,BS$5+GanttPeriod-1&gt;=$E75),"━","")))</f>
        <v/>
      </c>
      <c r="BT75" s="69" t="str">
        <f aca="false">IF($E75="","",IF($M75,IF(AND($G75&gt;=BT$5,$G75&lt;BT$5+GanttPeriod),"◆",IF(AND($E75&gt;=BT$5,$E75&lt;BT$5+GanttPeriod),"◇","")),IF(AND(BT$5&lt;=$F75,BT$5+GanttPeriod-1&gt;=$E75),"━","")))</f>
        <v/>
      </c>
      <c r="BU75" s="69" t="str">
        <f aca="false">IF($E75="","",IF($M75,IF(AND($G75&gt;=BU$5,$G75&lt;BU$5+GanttPeriod),"◆",IF(AND($E75&gt;=BU$5,$E75&lt;BU$5+GanttPeriod),"◇","")),IF(AND(BU$5&lt;=$F75,BU$5+GanttPeriod-1&gt;=$E75),"━","")))</f>
        <v/>
      </c>
      <c r="BV75" s="69" t="str">
        <f aca="false">IF($E75="","",IF($M75,IF(AND($G75&gt;=BV$5,$G75&lt;BV$5+GanttPeriod),"◆",IF(AND($E75&gt;=BV$5,$E75&lt;BV$5+GanttPeriod),"◇","")),IF(AND(BV$5&lt;=$F75,BV$5+GanttPeriod-1&gt;=$E75),"━","")))</f>
        <v/>
      </c>
      <c r="BW75" s="69" t="str">
        <f aca="false">IF($E75="","",IF($M75,IF(AND($G75&gt;=BW$5,$G75&lt;BW$5+GanttPeriod),"◆",IF(AND($E75&gt;=BW$5,$E75&lt;BW$5+GanttPeriod),"◇","")),IF(AND(BW$5&lt;=$F75,BW$5+GanttPeriod-1&gt;=$E75),"━","")))</f>
        <v/>
      </c>
      <c r="BX75" s="69" t="str">
        <f aca="false">IF($E75="","",IF($M75,IF(AND($G75&gt;=BX$5,$G75&lt;BX$5+GanttPeriod),"◆",IF(AND($E75&gt;=BX$5,$E75&lt;BX$5+GanttPeriod),"◇","")),IF(AND(BX$5&lt;=$F75,BX$5+GanttPeriod-1&gt;=$E75),"━","")))</f>
        <v/>
      </c>
      <c r="BY75" s="69" t="str">
        <f aca="false">IF($E75="","",IF($M75,IF(AND($G75&gt;=BY$5,$G75&lt;BY$5+GanttPeriod),"◆",IF(AND($E75&gt;=BY$5,$E75&lt;BY$5+GanttPeriod),"◇","")),IF(AND(BY$5&lt;=$F75,BY$5+GanttPeriod-1&gt;=$E75),"━","")))</f>
        <v/>
      </c>
      <c r="BZ75" s="69" t="str">
        <f aca="false">IF($E75="","",IF($M75,IF(AND($G75&gt;=BZ$5,$G75&lt;BZ$5+GanttPeriod),"◆",IF(AND($E75&gt;=BZ$5,$E75&lt;BZ$5+GanttPeriod),"◇","")),IF(AND(BZ$5&lt;=$F75,BZ$5+GanttPeriod-1&gt;=$E75),"━","")))</f>
        <v/>
      </c>
      <c r="CA75" s="69" t="str">
        <f aca="false">IF($E75="","",IF($M75,IF(AND($G75&gt;=CA$5,$G75&lt;CA$5+GanttPeriod),"◆",IF(AND($E75&gt;=CA$5,$E75&lt;CA$5+GanttPeriod),"◇","")),IF(AND(CA$5&lt;=$F75,CA$5+GanttPeriod-1&gt;=$E75),"━","")))</f>
        <v/>
      </c>
      <c r="CB75" s="69" t="str">
        <f aca="false">IF($E75="","",IF($M75,IF(AND($G75&gt;=CB$5,$G75&lt;CB$5+GanttPeriod),"◆",IF(AND($E75&gt;=CB$5,$E75&lt;CB$5+GanttPeriod),"◇","")),IF(AND(CB$5&lt;=$F75,CB$5+GanttPeriod-1&gt;=$E75),"━","")))</f>
        <v/>
      </c>
      <c r="CC75" s="69" t="str">
        <f aca="false">IF($E75="","",IF($M75,IF(AND($G75&gt;=CC$5,$G75&lt;CC$5+GanttPeriod),"◆",IF(AND($E75&gt;=CC$5,$E75&lt;CC$5+GanttPeriod),"◇","")),IF(AND(CC$5&lt;=$F75,CC$5+GanttPeriod-1&gt;=$E75),"━","")))</f>
        <v/>
      </c>
      <c r="CD75" s="69" t="str">
        <f aca="false">IF($E75="","",IF($M75,IF(AND($G75&gt;=CD$5,$G75&lt;CD$5+GanttPeriod),"◆",IF(AND($E75&gt;=CD$5,$E75&lt;CD$5+GanttPeriod),"◇","")),IF(AND(CD$5&lt;=$F75,CD$5+GanttPeriod-1&gt;=$E75),"━","")))</f>
        <v/>
      </c>
      <c r="CE75" s="69" t="str">
        <f aca="false">IF($E75="","",IF($M75,IF(AND($G75&gt;=CE$5,$G75&lt;CE$5+GanttPeriod),"◆",IF(AND($E75&gt;=CE$5,$E75&lt;CE$5+GanttPeriod),"◇","")),IF(AND(CE$5&lt;=$F75,CE$5+GanttPeriod-1&gt;=$E75),"━","")))</f>
        <v/>
      </c>
      <c r="CF75" s="69" t="str">
        <f aca="false">IF($E75="","",IF($M75,IF(AND($G75&gt;=CF$5,$G75&lt;CF$5+GanttPeriod),"◆",IF(AND($E75&gt;=CF$5,$E75&lt;CF$5+GanttPeriod),"◇","")),IF(AND(CF$5&lt;=$F75,CF$5+GanttPeriod-1&gt;=$E75),"━","")))</f>
        <v/>
      </c>
      <c r="CG75" s="69" t="str">
        <f aca="false">IF($E75="","",IF($M75,IF(AND($G75&gt;=CG$5,$G75&lt;CG$5+GanttPeriod),"◆",IF(AND($E75&gt;=CG$5,$E75&lt;CG$5+GanttPeriod),"◇","")),IF(AND(CG$5&lt;=$F75,CG$5+GanttPeriod-1&gt;=$E75),"━","")))</f>
        <v/>
      </c>
      <c r="CH75" s="69" t="str">
        <f aca="false">IF($E75="","",IF($M75,IF(AND($G75&gt;=CH$5,$G75&lt;CH$5+GanttPeriod),"◆",IF(AND($E75&gt;=CH$5,$E75&lt;CH$5+GanttPeriod),"◇","")),IF(AND(CH$5&lt;=$F75,CH$5+GanttPeriod-1&gt;=$E75),"━","")))</f>
        <v/>
      </c>
      <c r="CI75" s="69" t="str">
        <f aca="false">IF($E75="","",IF($M75,IF(AND($G75&gt;=CI$5,$G75&lt;CI$5+GanttPeriod),"◆",IF(AND($E75&gt;=CI$5,$E75&lt;CI$5+GanttPeriod),"◇","")),IF(AND(CI$5&lt;=$F75,CI$5+GanttPeriod-1&gt;=$E75),"━","")))</f>
        <v/>
      </c>
      <c r="CJ75" s="69" t="str">
        <f aca="false">IF($E75="","",IF($M75,IF(AND($G75&gt;=CJ$5,$G75&lt;CJ$5+GanttPeriod),"◆",IF(AND($E75&gt;=CJ$5,$E75&lt;CJ$5+GanttPeriod),"◇","")),IF(AND(CJ$5&lt;=$F75,CJ$5+GanttPeriod-1&gt;=$E75),"━","")))</f>
        <v/>
      </c>
      <c r="CK75" s="69" t="str">
        <f aca="false">IF($E75="","",IF($M75,IF(AND($G75&gt;=CK$5,$G75&lt;CK$5+GanttPeriod),"◆",IF(AND($E75&gt;=CK$5,$E75&lt;CK$5+GanttPeriod),"◇","")),IF(AND(CK$5&lt;=$F75,CK$5+GanttPeriod-1&gt;=$E75),"━","")))</f>
        <v/>
      </c>
      <c r="CL75" s="69" t="str">
        <f aca="false">IF($E75="","",IF($M75,IF(AND($G75&gt;=CL$5,$G75&lt;CL$5+GanttPeriod),"◆",IF(AND($E75&gt;=CL$5,$E75&lt;CL$5+GanttPeriod),"◇","")),IF(AND(CL$5&lt;=$F75,CL$5+GanttPeriod-1&gt;=$E75),"━","")))</f>
        <v/>
      </c>
      <c r="CM75" s="69" t="str">
        <f aca="false">IF($E75="","",IF($M75,IF(AND($G75&gt;=CM$5,$G75&lt;CM$5+GanttPeriod),"◆",IF(AND($E75&gt;=CM$5,$E75&lt;CM$5+GanttPeriod),"◇","")),IF(AND(CM$5&lt;=$F75,CM$5+GanttPeriod-1&gt;=$E75),"━","")))</f>
        <v/>
      </c>
      <c r="CN75" s="69" t="str">
        <f aca="false">IF($E75="","",IF($M75,IF(AND($G75&gt;=CN$5,$G75&lt;CN$5+GanttPeriod),"◆",IF(AND($E75&gt;=CN$5,$E75&lt;CN$5+GanttPeriod),"◇","")),IF(AND(CN$5&lt;=$F75,CN$5+GanttPeriod-1&gt;=$E75),"━","")))</f>
        <v/>
      </c>
      <c r="CO75" s="69" t="str">
        <f aca="false">IF($E75="","",IF($M75,IF(AND($G75&gt;=CO$5,$G75&lt;CO$5+GanttPeriod),"◆",IF(AND($E75&gt;=CO$5,$E75&lt;CO$5+GanttPeriod),"◇","")),IF(AND(CO$5&lt;=$F75,CO$5+GanttPeriod-1&gt;=$E75),"━","")))</f>
        <v/>
      </c>
      <c r="CP75" s="69" t="str">
        <f aca="false">IF($E75="","",IF($M75,IF(AND($G75&gt;=CP$5,$G75&lt;CP$5+GanttPeriod),"◆",IF(AND($E75&gt;=CP$5,$E75&lt;CP$5+GanttPeriod),"◇","")),IF(AND(CP$5&lt;=$F75,CP$5+GanttPeriod-1&gt;=$E75),"━","")))</f>
        <v/>
      </c>
      <c r="CQ75" s="69" t="str">
        <f aca="false">IF($E75="","",IF($M75,IF(AND($G75&gt;=CQ$5,$G75&lt;CQ$5+GanttPeriod),"◆",IF(AND($E75&gt;=CQ$5,$E75&lt;CQ$5+GanttPeriod),"◇","")),IF(AND(CQ$5&lt;=$F75,CQ$5+GanttPeriod-1&gt;=$E75),"━","")))</f>
        <v/>
      </c>
      <c r="CR75" s="69" t="str">
        <f aca="false">IF($E75="","",IF($M75,IF(AND($G75&gt;=CR$5,$G75&lt;CR$5+GanttPeriod),"◆",IF(AND($E75&gt;=CR$5,$E75&lt;CR$5+GanttPeriod),"◇","")),IF(AND(CR$5&lt;=$F75,CR$5+GanttPeriod-1&gt;=$E75),"━","")))</f>
        <v/>
      </c>
      <c r="CS75" s="69" t="str">
        <f aca="false">IF($E75="","",IF($M75,IF(AND($G75&gt;=CS$5,$G75&lt;CS$5+GanttPeriod),"◆",IF(AND($E75&gt;=CS$5,$E75&lt;CS$5+GanttPeriod),"◇","")),IF(AND(CS$5&lt;=$F75,CS$5+GanttPeriod-1&gt;=$E75),"━","")))</f>
        <v/>
      </c>
      <c r="CT75" s="69" t="str">
        <f aca="false">IF($E75="","",IF($M75,IF(AND($G75&gt;=CT$5,$G75&lt;CT$5+GanttPeriod),"◆",IF(AND($E75&gt;=CT$5,$E75&lt;CT$5+GanttPeriod),"◇","")),IF(AND(CT$5&lt;=$F75,CT$5+GanttPeriod-1&gt;=$E75),"━","")))</f>
        <v/>
      </c>
      <c r="CU75" s="69" t="str">
        <f aca="false">IF($E75="","",IF($M75,IF(AND($G75&gt;=CU$5,$G75&lt;CU$5+GanttPeriod),"◆",IF(AND($E75&gt;=CU$5,$E75&lt;CU$5+GanttPeriod),"◇","")),IF(AND(CU$5&lt;=$F75,CU$5+GanttPeriod-1&gt;=$E75),"━","")))</f>
        <v/>
      </c>
      <c r="CV75" s="69" t="str">
        <f aca="false">IF($E75="","",IF($M75,IF(AND($G75&gt;=CV$5,$G75&lt;CV$5+GanttPeriod),"◆",IF(AND($E75&gt;=CV$5,$E75&lt;CV$5+GanttPeriod),"◇","")),IF(AND(CV$5&lt;=$F75,CV$5+GanttPeriod-1&gt;=$E75),"━","")))</f>
        <v/>
      </c>
      <c r="CW75" s="69" t="str">
        <f aca="false">IF($E75="","",IF($M75,IF(AND($G75&gt;=CW$5,$G75&lt;CW$5+GanttPeriod),"◆",IF(AND($E75&gt;=CW$5,$E75&lt;CW$5+GanttPeriod),"◇","")),IF(AND(CW$5&lt;=$F75,CW$5+GanttPeriod-1&gt;=$E75),"━","")))</f>
        <v/>
      </c>
      <c r="CX75" s="69" t="str">
        <f aca="false">IF($E75="","",IF($M75,IF(AND($G75&gt;=CX$5,$G75&lt;CX$5+GanttPeriod),"◆",IF(AND($E75&gt;=CX$5,$E75&lt;CX$5+GanttPeriod),"◇","")),IF(AND(CX$5&lt;=$F75,CX$5+GanttPeriod-1&gt;=$E75),"━","")))</f>
        <v/>
      </c>
      <c r="CY75" s="69" t="str">
        <f aca="false">IF($E75="","",IF($M75,IF(AND($G75&gt;=CY$5,$G75&lt;CY$5+GanttPeriod),"◆",IF(AND($E75&gt;=CY$5,$E75&lt;CY$5+GanttPeriod),"◇","")),IF(AND(CY$5&lt;=$F75,CY$5+GanttPeriod-1&gt;=$E75),"━","")))</f>
        <v/>
      </c>
      <c r="CZ75" s="69" t="str">
        <f aca="false">IF($E75="","",IF($M75,IF(AND($G75&gt;=CZ$5,$G75&lt;CZ$5+GanttPeriod),"◆",IF(AND($E75&gt;=CZ$5,$E75&lt;CZ$5+GanttPeriod),"◇","")),IF(AND(CZ$5&lt;=$F75,CZ$5+GanttPeriod-1&gt;=$E75),"━","")))</f>
        <v/>
      </c>
      <c r="DA75" s="69" t="str">
        <f aca="false">IF($E75="","",IF($M75,IF(AND($G75&gt;=DA$5,$G75&lt;DA$5+GanttPeriod),"◆",IF(AND($E75&gt;=DA$5,$E75&lt;DA$5+GanttPeriod),"◇","")),IF(AND(DA$5&lt;=$F75,DA$5+GanttPeriod-1&gt;=$E75),"━","")))</f>
        <v/>
      </c>
      <c r="DB75" s="69" t="str">
        <f aca="false">IF($E75="","",IF($M75,IF(AND($G75&gt;=DB$5,$G75&lt;DB$5+GanttPeriod),"◆",IF(AND($E75&gt;=DB$5,$E75&lt;DB$5+GanttPeriod),"◇","")),IF(AND(DB$5&lt;=$F75,DB$5+GanttPeriod-1&gt;=$E75),"━","")))</f>
        <v/>
      </c>
      <c r="DC75" s="69" t="str">
        <f aca="false">IF($E75="","",IF($M75,IF(AND($G75&gt;=DC$5,$G75&lt;DC$5+GanttPeriod),"◆",IF(AND($E75&gt;=DC$5,$E75&lt;DC$5+GanttPeriod),"◇","")),IF(AND(DC$5&lt;=$F75,DC$5+GanttPeriod-1&gt;=$E75),"━","")))</f>
        <v/>
      </c>
      <c r="DD75" s="69" t="str">
        <f aca="false">IF($E75="","",IF($M75,IF(AND($G75&gt;=DD$5,$G75&lt;DD$5+GanttPeriod),"◆",IF(AND($E75&gt;=DD$5,$E75&lt;DD$5+GanttPeriod),"◇","")),IF(AND(DD$5&lt;=$F75,DD$5+GanttPeriod-1&gt;=$E75),"━","")))</f>
        <v/>
      </c>
      <c r="DE75" s="69" t="str">
        <f aca="false">IF($E75="","",IF($M75,IF(AND($G75&gt;=DE$5,$G75&lt;DE$5+GanttPeriod),"◆",IF(AND($E75&gt;=DE$5,$E75&lt;DE$5+GanttPeriod),"◇","")),IF(AND(DE$5&lt;=$F75,DE$5+GanttPeriod-1&gt;=$E75),"━","")))</f>
        <v/>
      </c>
      <c r="DF75" s="69" t="str">
        <f aca="false">IF($E75="","",IF($M75,IF(AND($G75&gt;=DF$5,$G75&lt;DF$5+GanttPeriod),"◆",IF(AND($E75&gt;=DF$5,$E75&lt;DF$5+GanttPeriod),"◇","")),IF(AND(DF$5&lt;=$F75,DF$5+GanttPeriod-1&gt;=$E75),"━","")))</f>
        <v/>
      </c>
      <c r="DG75" s="69" t="str">
        <f aca="false">IF($E75="","",IF($M75,IF(AND($G75&gt;=DG$5,$G75&lt;DG$5+GanttPeriod),"◆",IF(AND($E75&gt;=DG$5,$E75&lt;DG$5+GanttPeriod),"◇","")),IF(AND(DG$5&lt;=$F75,DG$5+GanttPeriod-1&gt;=$E75),"━","")))</f>
        <v/>
      </c>
      <c r="DH75" s="69" t="str">
        <f aca="false">IF($E75="","",IF($M75,IF(AND($G75&gt;=DH$5,$G75&lt;DH$5+GanttPeriod),"◆",IF(AND($E75&gt;=DH$5,$E75&lt;DH$5+GanttPeriod),"◇","")),IF(AND(DH$5&lt;=$F75,DH$5+GanttPeriod-1&gt;=$E75),"━","")))</f>
        <v/>
      </c>
      <c r="DI75" s="69" t="str">
        <f aca="false">IF($E75="","",IF($M75,IF(AND($G75&gt;=DI$5,$G75&lt;DI$5+GanttPeriod),"◆",IF(AND($E75&gt;=DI$5,$E75&lt;DI$5+GanttPeriod),"◇","")),IF(AND(DI$5&lt;=$F75,DI$5+GanttPeriod-1&gt;=$E75),"━","")))</f>
        <v/>
      </c>
      <c r="DJ75" s="69" t="str">
        <f aca="false">IF($E75="","",IF($M75,IF(AND($G75&gt;=DJ$5,$G75&lt;DJ$5+GanttPeriod),"◆",IF(AND($E75&gt;=DJ$5,$E75&lt;DJ$5+GanttPeriod),"◇","")),IF(AND(DJ$5&lt;=$F75,DJ$5+GanttPeriod-1&gt;=$E75),"━","")))</f>
        <v/>
      </c>
      <c r="DK75" s="69" t="str">
        <f aca="false">IF($E75="","",IF($M75,IF(AND($G75&gt;=DK$5,$G75&lt;DK$5+GanttPeriod),"◆",IF(AND($E75&gt;=DK$5,$E75&lt;DK$5+GanttPeriod),"◇","")),IF(AND(DK$5&lt;=$F75,DK$5+GanttPeriod-1&gt;=$E75),"━","")))</f>
        <v/>
      </c>
      <c r="DL75" s="69" t="str">
        <f aca="false">IF($E75="","",IF($M75,IF(AND($G75&gt;=DL$5,$G75&lt;DL$5+GanttPeriod),"◆",IF(AND($E75&gt;=DL$5,$E75&lt;DL$5+GanttPeriod),"◇","")),IF(AND(DL$5&lt;=$F75,DL$5+GanttPeriod-1&gt;=$E75),"━","")))</f>
        <v/>
      </c>
      <c r="DM75" s="69" t="str">
        <f aca="false">IF($E75="","",IF($M75,IF(AND($G75&gt;=DM$5,$G75&lt;DM$5+GanttPeriod),"◆",IF(AND($E75&gt;=DM$5,$E75&lt;DM$5+GanttPeriod),"◇","")),IF(AND(DM$5&lt;=$F75,DM$5+GanttPeriod-1&gt;=$E75),"━","")))</f>
        <v/>
      </c>
      <c r="DN75" s="69" t="str">
        <f aca="false">IF($E75="","",IF($M75,IF(AND($G75&gt;=DN$5,$G75&lt;DN$5+GanttPeriod),"◆",IF(AND($E75&gt;=DN$5,$E75&lt;DN$5+GanttPeriod),"◇","")),IF(AND(DN$5&lt;=$F75,DN$5+GanttPeriod-1&gt;=$E75),"━","")))</f>
        <v/>
      </c>
      <c r="DO75" s="69" t="str">
        <f aca="false">IF($E75="","",IF($M75,IF(AND($G75&gt;=DO$5,$G75&lt;DO$5+GanttPeriod),"◆",IF(AND($E75&gt;=DO$5,$E75&lt;DO$5+GanttPeriod),"◇","")),IF(AND(DO$5&lt;=$F75,DO$5+GanttPeriod-1&gt;=$E75),"━","")))</f>
        <v/>
      </c>
      <c r="DP75" s="69" t="str">
        <f aca="false">IF($E75="","",IF($M75,IF(AND($G75&gt;=DP$5,$G75&lt;DP$5+GanttPeriod),"◆",IF(AND($E75&gt;=DP$5,$E75&lt;DP$5+GanttPeriod),"◇","")),IF(AND(DP$5&lt;=$F75,DP$5+GanttPeriod-1&gt;=$E75),"━","")))</f>
        <v/>
      </c>
      <c r="DQ75" s="69" t="str">
        <f aca="false">IF($E75="","",IF($M75,IF(AND($G75&gt;=DQ$5,$G75&lt;DQ$5+GanttPeriod),"◆",IF(AND($E75&gt;=DQ$5,$E75&lt;DQ$5+GanttPeriod),"◇","")),IF(AND(DQ$5&lt;=$F75,DQ$5+GanttPeriod-1&gt;=$E75),"━","")))</f>
        <v/>
      </c>
      <c r="DR75" s="69" t="str">
        <f aca="false">IF($E75="","",IF($M75,IF(AND($G75&gt;=DR$5,$G75&lt;DR$5+GanttPeriod),"◆",IF(AND($E75&gt;=DR$5,$E75&lt;DR$5+GanttPeriod),"◇","")),IF(AND(DR$5&lt;=$F75,DR$5+GanttPeriod-1&gt;=$E75),"━","")))</f>
        <v/>
      </c>
      <c r="DS75" s="69" t="str">
        <f aca="false">IF($E75="","",IF($M75,IF(AND($G75&gt;=DS$5,$G75&lt;DS$5+GanttPeriod),"◆",IF(AND($E75&gt;=DS$5,$E75&lt;DS$5+GanttPeriod),"◇","")),IF(AND(DS$5&lt;=$F75,DS$5+GanttPeriod-1&gt;=$E75),"━","")))</f>
        <v/>
      </c>
      <c r="DT75" s="69" t="str">
        <f aca="false">IF($E75="","",IF($M75,IF(AND($G75&gt;=DT$5,$G75&lt;DT$5+GanttPeriod),"◆",IF(AND($E75&gt;=DT$5,$E75&lt;DT$5+GanttPeriod),"◇","")),IF(AND(DT$5&lt;=$F75,DT$5+GanttPeriod-1&gt;=$E75),"━","")))</f>
        <v/>
      </c>
      <c r="DU75" s="69" t="str">
        <f aca="false">IF($E75="","",IF($M75,IF(AND($G75&gt;=DU$5,$G75&lt;DU$5+GanttPeriod),"◆",IF(AND($E75&gt;=DU$5,$E75&lt;DU$5+GanttPeriod),"◇","")),IF(AND(DU$5&lt;=$F75,DU$5+GanttPeriod-1&gt;=$E75),"━","")))</f>
        <v/>
      </c>
      <c r="DV75" s="69" t="str">
        <f aca="false">IF($E75="","",IF($M75,IF(AND($G75&gt;=DV$5,$G75&lt;DV$5+GanttPeriod),"◆",IF(AND($E75&gt;=DV$5,$E75&lt;DV$5+GanttPeriod),"◇","")),IF(AND(DV$5&lt;=$F75,DV$5+GanttPeriod-1&gt;=$E75),"━","")))</f>
        <v/>
      </c>
      <c r="DW75" s="69" t="str">
        <f aca="false">IF($E75="","",IF($M75,IF(AND($G75&gt;=DW$5,$G75&lt;DW$5+GanttPeriod),"◆",IF(AND($E75&gt;=DW$5,$E75&lt;DW$5+GanttPeriod),"◇","")),IF(AND(DW$5&lt;=$F75,DW$5+GanttPeriod-1&gt;=$E75),"━","")))</f>
        <v/>
      </c>
      <c r="DX75" s="69" t="str">
        <f aca="false">IF($E75="","",IF($M75,IF(AND($G75&gt;=DX$5,$G75&lt;DX$5+GanttPeriod),"◆",IF(AND($E75&gt;=DX$5,$E75&lt;DX$5+GanttPeriod),"◇","")),IF(AND(DX$5&lt;=$F75,DX$5+GanttPeriod-1&gt;=$E75),"━","")))</f>
        <v/>
      </c>
      <c r="DY75" s="69" t="str">
        <f aca="false">IF($E75="","",IF($M75,IF(AND($G75&gt;=DY$5,$G75&lt;DY$5+GanttPeriod),"◆",IF(AND($E75&gt;=DY$5,$E75&lt;DY$5+GanttPeriod),"◇","")),IF(AND(DY$5&lt;=$F75,DY$5+GanttPeriod-1&gt;=$E75),"━","")))</f>
        <v/>
      </c>
      <c r="DZ75" s="69" t="str">
        <f aca="false">IF($E75="","",IF($M75,IF(AND($G75&gt;=DZ$5,$G75&lt;DZ$5+GanttPeriod),"◆",IF(AND($E75&gt;=DZ$5,$E75&lt;DZ$5+GanttPeriod),"◇","")),IF(AND(DZ$5&lt;=$F75,DZ$5+GanttPeriod-1&gt;=$E75),"━","")))</f>
        <v/>
      </c>
      <c r="EA75" s="69" t="str">
        <f aca="false">IF($E75="","",IF($M75,IF(AND($G75&gt;=EA$5,$G75&lt;EA$5+GanttPeriod),"◆",IF(AND($E75&gt;=EA$5,$E75&lt;EA$5+GanttPeriod),"◇","")),IF(AND(EA$5&lt;=$F75,EA$5+GanttPeriod-1&gt;=$E75),"━","")))</f>
        <v/>
      </c>
      <c r="EB75" s="69" t="str">
        <f aca="false">IF($E75="","",IF($M75,IF(AND($G75&gt;=EB$5,$G75&lt;EB$5+GanttPeriod),"◆",IF(AND($E75&gt;=EB$5,$E75&lt;EB$5+GanttPeriod),"◇","")),IF(AND(EB$5&lt;=$F75,EB$5+GanttPeriod-1&gt;=$E75),"━","")))</f>
        <v/>
      </c>
      <c r="EC75" s="69" t="str">
        <f aca="false">IF($E75="","",IF($M75,IF(AND($G75&gt;=EC$5,$G75&lt;EC$5+GanttPeriod),"◆",IF(AND($E75&gt;=EC$5,$E75&lt;EC$5+GanttPeriod),"◇","")),IF(AND(EC$5&lt;=$F75,EC$5+GanttPeriod-1&gt;=$E75),"━","")))</f>
        <v/>
      </c>
      <c r="ED75" s="69" t="str">
        <f aca="false">IF($E75="","",IF($M75,IF(AND($G75&gt;=ED$5,$G75&lt;ED$5+GanttPeriod),"◆",IF(AND($E75&gt;=ED$5,$E75&lt;ED$5+GanttPeriod),"◇","")),IF(AND(ED$5&lt;=$F75,ED$5+GanttPeriod-1&gt;=$E75),"━","")))</f>
        <v/>
      </c>
      <c r="EE75" s="69" t="str">
        <f aca="false">IF($E75="","",IF($M75,IF(AND($G75&gt;=EE$5,$G75&lt;EE$5+GanttPeriod),"◆",IF(AND($E75&gt;=EE$5,$E75&lt;EE$5+GanttPeriod),"◇","")),IF(AND(EE$5&lt;=$F75,EE$5+GanttPeriod-1&gt;=$E75),"━","")))</f>
        <v/>
      </c>
      <c r="EF75" s="69" t="str">
        <f aca="false">IF($E75="","",IF($M75,IF(AND($G75&gt;=EF$5,$G75&lt;EF$5+GanttPeriod),"◆",IF(AND($E75&gt;=EF$5,$E75&lt;EF$5+GanttPeriod),"◇","")),IF(AND(EF$5&lt;=$F75,EF$5+GanttPeriod-1&gt;=$E75),"━","")))</f>
        <v/>
      </c>
      <c r="EG75" s="69" t="str">
        <f aca="false">IF($E75="","",IF($M75,IF(AND($G75&gt;=EG$5,$G75&lt;EG$5+GanttPeriod),"◆",IF(AND($E75&gt;=EG$5,$E75&lt;EG$5+GanttPeriod),"◇","")),IF(AND(EG$5&lt;=$F75,EG$5+GanttPeriod-1&gt;=$E75),"━","")))</f>
        <v/>
      </c>
      <c r="EH75" s="69" t="str">
        <f aca="false">IF($E75="","",IF($M75,IF(AND($G75&gt;=EH$5,$G75&lt;EH$5+GanttPeriod),"◆",IF(AND($E75&gt;=EH$5,$E75&lt;EH$5+GanttPeriod),"◇","")),IF(AND(EH$5&lt;=$F75,EH$5+GanttPeriod-1&gt;=$E75),"━","")))</f>
        <v/>
      </c>
      <c r="EI75" s="69" t="str">
        <f aca="false">IF($E75="","",IF($M75,IF(AND($G75&gt;=EI$5,$G75&lt;EI$5+GanttPeriod),"◆",IF(AND($E75&gt;=EI$5,$E75&lt;EI$5+GanttPeriod),"◇","")),IF(AND(EI$5&lt;=$F75,EI$5+GanttPeriod-1&gt;=$E75),"━","")))</f>
        <v/>
      </c>
      <c r="EJ75" s="69" t="str">
        <f aca="false">IF($E75="","",IF($M75,IF(AND($G75&gt;=EJ$5,$G75&lt;EJ$5+GanttPeriod),"◆",IF(AND($E75&gt;=EJ$5,$E75&lt;EJ$5+GanttPeriod),"◇","")),IF(AND(EJ$5&lt;=$F75,EJ$5+GanttPeriod-1&gt;=$E75),"━","")))</f>
        <v/>
      </c>
      <c r="EK75" s="69" t="str">
        <f aca="false">IF($E75="","",IF($M75,IF(AND($G75&gt;=EK$5,$G75&lt;EK$5+GanttPeriod),"◆",IF(AND($E75&gt;=EK$5,$E75&lt;EK$5+GanttPeriod),"◇","")),IF(AND(EK$5&lt;=$F75,EK$5+GanttPeriod-1&gt;=$E75),"━","")))</f>
        <v/>
      </c>
      <c r="EL75" s="69" t="str">
        <f aca="false">IF($E75="","",IF($M75,IF(AND($G75&gt;=EL$5,$G75&lt;EL$5+GanttPeriod),"◆",IF(AND($E75&gt;=EL$5,$E75&lt;EL$5+GanttPeriod),"◇","")),IF(AND(EL$5&lt;=$F75,EL$5+GanttPeriod-1&gt;=$E75),"━","")))</f>
        <v/>
      </c>
      <c r="EM75" s="69" t="str">
        <f aca="false">IF($E75="","",IF($M75,IF(AND($G75&gt;=EM$5,$G75&lt;EM$5+GanttPeriod),"◆",IF(AND($E75&gt;=EM$5,$E75&lt;EM$5+GanttPeriod),"◇","")),IF(AND(EM$5&lt;=$F75,EM$5+GanttPeriod-1&gt;=$E75),"━","")))</f>
        <v/>
      </c>
      <c r="EN75" s="69" t="str">
        <f aca="false">IF($E75="","",IF($M75,IF(AND($G75&gt;=EN$5,$G75&lt;EN$5+GanttPeriod),"◆",IF(AND($E75&gt;=EN$5,$E75&lt;EN$5+GanttPeriod),"◇","")),IF(AND(EN$5&lt;=$F75,EN$5+GanttPeriod-1&gt;=$E75),"━","")))</f>
        <v/>
      </c>
      <c r="EO75" s="69" t="str">
        <f aca="false">IF($E75="","",IF($M75,IF(AND($G75&gt;=EO$5,$G75&lt;EO$5+GanttPeriod),"◆",IF(AND($E75&gt;=EO$5,$E75&lt;EO$5+GanttPeriod),"◇","")),IF(AND(EO$5&lt;=$F75,EO$5+GanttPeriod-1&gt;=$E75),"━","")))</f>
        <v/>
      </c>
      <c r="EP75" s="69" t="str">
        <f aca="false">IF($E75="","",IF($M75,IF(AND($G75&gt;=EP$5,$G75&lt;EP$5+GanttPeriod),"◆",IF(AND($E75&gt;=EP$5,$E75&lt;EP$5+GanttPeriod),"◇","")),IF(AND(EP$5&lt;=$F75,EP$5+GanttPeriod-1&gt;=$E75),"━","")))</f>
        <v/>
      </c>
      <c r="EQ75" s="69" t="str">
        <f aca="false">IF($E75="","",IF($M75,IF(AND($G75&gt;=EQ$5,$G75&lt;EQ$5+GanttPeriod),"◆",IF(AND($E75&gt;=EQ$5,$E75&lt;EQ$5+GanttPeriod),"◇","")),IF(AND(EQ$5&lt;=$F75,EQ$5+GanttPeriod-1&gt;=$E75),"━","")))</f>
        <v/>
      </c>
      <c r="ER75" s="69" t="str">
        <f aca="false">IF($E75="","",IF($M75,IF(AND($G75&gt;=ER$5,$G75&lt;ER$5+GanttPeriod),"◆",IF(AND($E75&gt;=ER$5,$E75&lt;ER$5+GanttPeriod),"◇","")),IF(AND(ER$5&lt;=$F75,ER$5+GanttPeriod-1&gt;=$E75),"━","")))</f>
        <v/>
      </c>
      <c r="ES75" s="69" t="str">
        <f aca="false">IF($E75="","",IF($M75,IF(AND($G75&gt;=ES$5,$G75&lt;ES$5+GanttPeriod),"◆",IF(AND($E75&gt;=ES$5,$E75&lt;ES$5+GanttPeriod),"◇","")),IF(AND(ES$5&lt;=$F75,ES$5+GanttPeriod-1&gt;=$E75),"━","")))</f>
        <v/>
      </c>
      <c r="ET75" s="69" t="str">
        <f aca="false">IF($E75="","",IF($M75,IF(AND($G75&gt;=ET$5,$G75&lt;ET$5+GanttPeriod),"◆",IF(AND($E75&gt;=ET$5,$E75&lt;ET$5+GanttPeriod),"◇","")),IF(AND(ET$5&lt;=$F75,ET$5+GanttPeriod-1&gt;=$E75),"━","")))</f>
        <v/>
      </c>
      <c r="EU75" s="69" t="str">
        <f aca="false">IF($E75="","",IF($M75,IF(AND($G75&gt;=EU$5,$G75&lt;EU$5+GanttPeriod),"◆",IF(AND($E75&gt;=EU$5,$E75&lt;EU$5+GanttPeriod),"◇","")),IF(AND(EU$5&lt;=$F75,EU$5+GanttPeriod-1&gt;=$E75),"━","")))</f>
        <v/>
      </c>
      <c r="EV75" s="69" t="str">
        <f aca="false">IF($E75="","",IF($M75,IF(AND($G75&gt;=EV$5,$G75&lt;EV$5+GanttPeriod),"◆",IF(AND($E75&gt;=EV$5,$E75&lt;EV$5+GanttPeriod),"◇","")),IF(AND(EV$5&lt;=$F75,EV$5+GanttPeriod-1&gt;=$E75),"━","")))</f>
        <v/>
      </c>
      <c r="EW75" s="69" t="str">
        <f aca="false">IF($E75="","",IF($M75,IF(AND($G75&gt;=EW$5,$G75&lt;EW$5+GanttPeriod),"◆",IF(AND($E75&gt;=EW$5,$E75&lt;EW$5+GanttPeriod),"◇","")),IF(AND(EW$5&lt;=$F75,EW$5+GanttPeriod-1&gt;=$E75),"━","")))</f>
        <v/>
      </c>
      <c r="EX75" s="69" t="str">
        <f aca="false">IF($E75="","",IF($M75,IF(AND($G75&gt;=EX$5,$G75&lt;EX$5+GanttPeriod),"◆",IF(AND($E75&gt;=EX$5,$E75&lt;EX$5+GanttPeriod),"◇","")),IF(AND(EX$5&lt;=$F75,EX$5+GanttPeriod-1&gt;=$E75),"━","")))</f>
        <v/>
      </c>
      <c r="EY75" s="69" t="str">
        <f aca="false">IF($E75="","",IF($M75,IF(AND($G75&gt;=EY$5,$G75&lt;EY$5+GanttPeriod),"◆",IF(AND($E75&gt;=EY$5,$E75&lt;EY$5+GanttPeriod),"◇","")),IF(AND(EY$5&lt;=$F75,EY$5+GanttPeriod-1&gt;=$E75),"━","")))</f>
        <v/>
      </c>
      <c r="EZ75" s="69" t="str">
        <f aca="false">IF($E75="","",IF($M75,IF(AND($G75&gt;=EZ$5,$G75&lt;EZ$5+GanttPeriod),"◆",IF(AND($E75&gt;=EZ$5,$E75&lt;EZ$5+GanttPeriod),"◇","")),IF(AND(EZ$5&lt;=$F75,EZ$5+GanttPeriod-1&gt;=$E75),"━","")))</f>
        <v/>
      </c>
      <c r="FA75" s="69" t="str">
        <f aca="false">IF($E75="","",IF($M75,IF(AND($G75&gt;=FA$5,$G75&lt;FA$5+GanttPeriod),"◆",IF(AND($E75&gt;=FA$5,$E75&lt;FA$5+GanttPeriod),"◇","")),IF(AND(FA$5&lt;=$F75,FA$5+GanttPeriod-1&gt;=$E75),"━","")))</f>
        <v/>
      </c>
      <c r="FB75" s="69" t="str">
        <f aca="false">IF($E75="","",IF($M75,IF(AND($G75&gt;=FB$5,$G75&lt;FB$5+GanttPeriod),"◆",IF(AND($E75&gt;=FB$5,$E75&lt;FB$5+GanttPeriod),"◇","")),IF(AND(FB$5&lt;=$F75,FB$5+GanttPeriod-1&gt;=$E75),"━","")))</f>
        <v/>
      </c>
      <c r="FC75" s="69" t="str">
        <f aca="false">IF($E75="","",IF($M75,IF(AND($G75&gt;=FC$5,$G75&lt;FC$5+GanttPeriod),"◆",IF(AND($E75&gt;=FC$5,$E75&lt;FC$5+GanttPeriod),"◇","")),IF(AND(FC$5&lt;=$F75,FC$5+GanttPeriod-1&gt;=$E75),"━","")))</f>
        <v/>
      </c>
      <c r="FD75" s="69" t="str">
        <f aca="false">IF($E75="","",IF($M75,IF(AND($G75&gt;=FD$5,$G75&lt;FD$5+GanttPeriod),"◆",IF(AND($E75&gt;=FD$5,$E75&lt;FD$5+GanttPeriod),"◇","")),IF(AND(FD$5&lt;=$F75,FD$5+GanttPeriod-1&gt;=$E75),"━","")))</f>
        <v/>
      </c>
      <c r="FE75" s="69" t="str">
        <f aca="false">IF($E75="","",IF($M75,IF(AND($G75&gt;=FE$5,$G75&lt;FE$5+GanttPeriod),"◆",IF(AND($E75&gt;=FE$5,$E75&lt;FE$5+GanttPeriod),"◇","")),IF(AND(FE$5&lt;=$F75,FE$5+GanttPeriod-1&gt;=$E75),"━","")))</f>
        <v/>
      </c>
      <c r="FF75" s="69" t="str">
        <f aca="false">IF($E75="","",IF($M75,IF(AND($G75&gt;=FF$5,$G75&lt;FF$5+GanttPeriod),"◆",IF(AND($E75&gt;=FF$5,$E75&lt;FF$5+GanttPeriod),"◇","")),IF(AND(FF$5&lt;=$F75,FF$5+GanttPeriod-1&gt;=$E75),"━","")))</f>
        <v/>
      </c>
      <c r="FG75" s="69" t="str">
        <f aca="false">IF($E75="","",IF($M75,IF(AND($G75&gt;=FG$5,$G75&lt;FG$5+GanttPeriod),"◆",IF(AND($E75&gt;=FG$5,$E75&lt;FG$5+GanttPeriod),"◇","")),IF(AND(FG$5&lt;=$F75,FG$5+GanttPeriod-1&gt;=$E75),"━","")))</f>
        <v/>
      </c>
      <c r="FH75" s="69" t="str">
        <f aca="false">IF($E75="","",IF($M75,IF(AND($G75&gt;=FH$5,$G75&lt;FH$5+GanttPeriod),"◆",IF(AND($E75&gt;=FH$5,$E75&lt;FH$5+GanttPeriod),"◇","")),IF(AND(FH$5&lt;=$F75,FH$5+GanttPeriod-1&gt;=$E75),"━","")))</f>
        <v/>
      </c>
      <c r="FI75" s="69" t="str">
        <f aca="false">IF($E75="","",IF($M75,IF(AND($G75&gt;=FI$5,$G75&lt;FI$5+GanttPeriod),"◆",IF(AND($E75&gt;=FI$5,$E75&lt;FI$5+GanttPeriod),"◇","")),IF(AND(FI$5&lt;=$F75,FI$5+GanttPeriod-1&gt;=$E75),"━","")))</f>
        <v/>
      </c>
      <c r="FJ75" s="69" t="str">
        <f aca="false">IF($E75="","",IF($M75,IF(AND($G75&gt;=FJ$5,$G75&lt;FJ$5+GanttPeriod),"◆",IF(AND($E75&gt;=FJ$5,$E75&lt;FJ$5+GanttPeriod),"◇","")),IF(AND(FJ$5&lt;=$F75,FJ$5+GanttPeriod-1&gt;=$E75),"━","")))</f>
        <v/>
      </c>
      <c r="FK75" s="69" t="str">
        <f aca="false">IF($E75="","",IF($M75,IF(AND($G75&gt;=FK$5,$G75&lt;FK$5+GanttPeriod),"◆",IF(AND($E75&gt;=FK$5,$E75&lt;FK$5+GanttPeriod),"◇","")),IF(AND(FK$5&lt;=$F75,FK$5+GanttPeriod-1&gt;=$E75),"━","")))</f>
        <v/>
      </c>
      <c r="FL75" s="69" t="str">
        <f aca="false">IF($E75="","",IF($M75,IF(AND($G75&gt;=FL$5,$G75&lt;FL$5+GanttPeriod),"◆",IF(AND($E75&gt;=FL$5,$E75&lt;FL$5+GanttPeriod),"◇","")),IF(AND(FL$5&lt;=$F75,FL$5+GanttPeriod-1&gt;=$E75),"━","")))</f>
        <v/>
      </c>
      <c r="FM75" s="69" t="str">
        <f aca="false">IF($E75="","",IF($M75,IF(AND($G75&gt;=FM$5,$G75&lt;FM$5+GanttPeriod),"◆",IF(AND($E75&gt;=FM$5,$E75&lt;FM$5+GanttPeriod),"◇","")),IF(AND(FM$5&lt;=$F75,FM$5+GanttPeriod-1&gt;=$E75),"━","")))</f>
        <v/>
      </c>
    </row>
    <row r="76" customFormat="false" ht="15" hidden="false" customHeight="false" outlineLevel="0" collapsed="false">
      <c r="A76" s="62" t="str">
        <f aca="false">IF(Tasks!$D76="","",Tasks!$A76)</f>
        <v/>
      </c>
      <c r="B76" s="62" t="str">
        <f aca="false">IF(Tasks!$D76="","",Tasks!$B76)</f>
        <v/>
      </c>
      <c r="C76" s="63" t="str">
        <f aca="false">IF(Tasks!$D76="","",REPT("    ",Tasks!$AE76-1)&amp;Tasks!$D76)</f>
        <v/>
      </c>
      <c r="D76" s="62" t="str">
        <f aca="false">IF(Tasks!$D76="","",IF(Tasks!$AI76,NETWORKDAYS.INTL(Tasks!$R76,Tasks!$S76,WorkWeek,Holidays),N(Tasks!$F76)))</f>
        <v/>
      </c>
      <c r="E76" s="64" t="str">
        <f aca="false">IF(Tasks!$D76="","",Tasks!$N76)</f>
        <v/>
      </c>
      <c r="F76" s="64" t="str">
        <f aca="false">IF(Tasks!$D76="","",Tasks!$O76)</f>
        <v/>
      </c>
      <c r="G76" s="64" t="str">
        <f aca="false">IF(Tasks!$D76="","",Tasks!$R76)</f>
        <v/>
      </c>
      <c r="H76" s="64" t="str">
        <f aca="false">IF(Tasks!$D76="","",Tasks!$S76)</f>
        <v/>
      </c>
      <c r="I76" s="65" t="str">
        <f aca="false">IF(Tasks!$D76="","",Tasks!$V76)</f>
        <v/>
      </c>
      <c r="J76" s="63" t="str">
        <f aca="false">IF(Tasks!$D76="","",Tasks!$X76&amp;"")</f>
        <v/>
      </c>
      <c r="K76" s="66" t="str">
        <f aca="false">IF(Tasks!$D76="","",Tasks!$W76)</f>
        <v/>
      </c>
      <c r="L76" s="67" t="b">
        <f aca="false">IF(Tasks!$D76="",FALSE(),Tasks!$AI76)</f>
        <v>0</v>
      </c>
      <c r="M76" s="67" t="b">
        <f aca="false">AND(Tasks!$AJ76=1,N(Tasks!$F76)=0)</f>
        <v>0</v>
      </c>
      <c r="N76" s="68" t="n">
        <f aca="false">IF(AND(Tasks!$AJ76=1,NOT($M76),N($I76)&gt;0),$G76,0)</f>
        <v>0</v>
      </c>
      <c r="O76" s="68" t="n">
        <f aca="false">IF($N76=0,0,IF($I76&gt;=1,$H76,MAX($N76,$G76+ROUND(($H76-$G76+1)*$I76,0)-1)))</f>
        <v>0</v>
      </c>
      <c r="P76" s="68" t="n">
        <f aca="false">IF(OR(Tasks!$AJ76&lt;&gt;1,$M76,N($I76)&gt;=1),0,IF($O76&gt;0,$O76+1,$G76))</f>
        <v>0</v>
      </c>
      <c r="Q76" s="68" t="n">
        <f aca="false">IF($P76=0,0,$H76)</f>
        <v>0</v>
      </c>
      <c r="R76" s="67" t="b">
        <f aca="false">AND(Tasks!$D76&lt;&gt;"",N(Tasks!$T76)&gt;0)</f>
        <v>0</v>
      </c>
      <c r="T76" s="69" t="str">
        <f aca="false">IF($E76="","",IF($M76,IF(AND($G76&gt;=T$5,$G76&lt;T$5+GanttPeriod),"◆",IF(AND($E76&gt;=T$5,$E76&lt;T$5+GanttPeriod),"◇","")),IF(AND(T$5&lt;=$F76,T$5+GanttPeriod-1&gt;=$E76),"━","")))</f>
        <v/>
      </c>
      <c r="U76" s="69" t="str">
        <f aca="false">IF($E76="","",IF($M76,IF(AND($G76&gt;=U$5,$G76&lt;U$5+GanttPeriod),"◆",IF(AND($E76&gt;=U$5,$E76&lt;U$5+GanttPeriod),"◇","")),IF(AND(U$5&lt;=$F76,U$5+GanttPeriod-1&gt;=$E76),"━","")))</f>
        <v/>
      </c>
      <c r="V76" s="69" t="str">
        <f aca="false">IF($E76="","",IF($M76,IF(AND($G76&gt;=V$5,$G76&lt;V$5+GanttPeriod),"◆",IF(AND($E76&gt;=V$5,$E76&lt;V$5+GanttPeriod),"◇","")),IF(AND(V$5&lt;=$F76,V$5+GanttPeriod-1&gt;=$E76),"━","")))</f>
        <v/>
      </c>
      <c r="W76" s="69" t="str">
        <f aca="false">IF($E76="","",IF($M76,IF(AND($G76&gt;=W$5,$G76&lt;W$5+GanttPeriod),"◆",IF(AND($E76&gt;=W$5,$E76&lt;W$5+GanttPeriod),"◇","")),IF(AND(W$5&lt;=$F76,W$5+GanttPeriod-1&gt;=$E76),"━","")))</f>
        <v/>
      </c>
      <c r="X76" s="69" t="str">
        <f aca="false">IF($E76="","",IF($M76,IF(AND($G76&gt;=X$5,$G76&lt;X$5+GanttPeriod),"◆",IF(AND($E76&gt;=X$5,$E76&lt;X$5+GanttPeriod),"◇","")),IF(AND(X$5&lt;=$F76,X$5+GanttPeriod-1&gt;=$E76),"━","")))</f>
        <v/>
      </c>
      <c r="Y76" s="69" t="str">
        <f aca="false">IF($E76="","",IF($M76,IF(AND($G76&gt;=Y$5,$G76&lt;Y$5+GanttPeriod),"◆",IF(AND($E76&gt;=Y$5,$E76&lt;Y$5+GanttPeriod),"◇","")),IF(AND(Y$5&lt;=$F76,Y$5+GanttPeriod-1&gt;=$E76),"━","")))</f>
        <v/>
      </c>
      <c r="Z76" s="69" t="str">
        <f aca="false">IF($E76="","",IF($M76,IF(AND($G76&gt;=Z$5,$G76&lt;Z$5+GanttPeriod),"◆",IF(AND($E76&gt;=Z$5,$E76&lt;Z$5+GanttPeriod),"◇","")),IF(AND(Z$5&lt;=$F76,Z$5+GanttPeriod-1&gt;=$E76),"━","")))</f>
        <v/>
      </c>
      <c r="AA76" s="69" t="str">
        <f aca="false">IF($E76="","",IF($M76,IF(AND($G76&gt;=AA$5,$G76&lt;AA$5+GanttPeriod),"◆",IF(AND($E76&gt;=AA$5,$E76&lt;AA$5+GanttPeriod),"◇","")),IF(AND(AA$5&lt;=$F76,AA$5+GanttPeriod-1&gt;=$E76),"━","")))</f>
        <v/>
      </c>
      <c r="AB76" s="69" t="str">
        <f aca="false">IF($E76="","",IF($M76,IF(AND($G76&gt;=AB$5,$G76&lt;AB$5+GanttPeriod),"◆",IF(AND($E76&gt;=AB$5,$E76&lt;AB$5+GanttPeriod),"◇","")),IF(AND(AB$5&lt;=$F76,AB$5+GanttPeriod-1&gt;=$E76),"━","")))</f>
        <v/>
      </c>
      <c r="AC76" s="69" t="str">
        <f aca="false">IF($E76="","",IF($M76,IF(AND($G76&gt;=AC$5,$G76&lt;AC$5+GanttPeriod),"◆",IF(AND($E76&gt;=AC$5,$E76&lt;AC$5+GanttPeriod),"◇","")),IF(AND(AC$5&lt;=$F76,AC$5+GanttPeriod-1&gt;=$E76),"━","")))</f>
        <v/>
      </c>
      <c r="AD76" s="69" t="str">
        <f aca="false">IF($E76="","",IF($M76,IF(AND($G76&gt;=AD$5,$G76&lt;AD$5+GanttPeriod),"◆",IF(AND($E76&gt;=AD$5,$E76&lt;AD$5+GanttPeriod),"◇","")),IF(AND(AD$5&lt;=$F76,AD$5+GanttPeriod-1&gt;=$E76),"━","")))</f>
        <v/>
      </c>
      <c r="AE76" s="69" t="str">
        <f aca="false">IF($E76="","",IF($M76,IF(AND($G76&gt;=AE$5,$G76&lt;AE$5+GanttPeriod),"◆",IF(AND($E76&gt;=AE$5,$E76&lt;AE$5+GanttPeriod),"◇","")),IF(AND(AE$5&lt;=$F76,AE$5+GanttPeriod-1&gt;=$E76),"━","")))</f>
        <v/>
      </c>
      <c r="AF76" s="69" t="str">
        <f aca="false">IF($E76="","",IF($M76,IF(AND($G76&gt;=AF$5,$G76&lt;AF$5+GanttPeriod),"◆",IF(AND($E76&gt;=AF$5,$E76&lt;AF$5+GanttPeriod),"◇","")),IF(AND(AF$5&lt;=$F76,AF$5+GanttPeriod-1&gt;=$E76),"━","")))</f>
        <v/>
      </c>
      <c r="AG76" s="69" t="str">
        <f aca="false">IF($E76="","",IF($M76,IF(AND($G76&gt;=AG$5,$G76&lt;AG$5+GanttPeriod),"◆",IF(AND($E76&gt;=AG$5,$E76&lt;AG$5+GanttPeriod),"◇","")),IF(AND(AG$5&lt;=$F76,AG$5+GanttPeriod-1&gt;=$E76),"━","")))</f>
        <v/>
      </c>
      <c r="AH76" s="69" t="str">
        <f aca="false">IF($E76="","",IF($M76,IF(AND($G76&gt;=AH$5,$G76&lt;AH$5+GanttPeriod),"◆",IF(AND($E76&gt;=AH$5,$E76&lt;AH$5+GanttPeriod),"◇","")),IF(AND(AH$5&lt;=$F76,AH$5+GanttPeriod-1&gt;=$E76),"━","")))</f>
        <v/>
      </c>
      <c r="AI76" s="69" t="str">
        <f aca="false">IF($E76="","",IF($M76,IF(AND($G76&gt;=AI$5,$G76&lt;AI$5+GanttPeriod),"◆",IF(AND($E76&gt;=AI$5,$E76&lt;AI$5+GanttPeriod),"◇","")),IF(AND(AI$5&lt;=$F76,AI$5+GanttPeriod-1&gt;=$E76),"━","")))</f>
        <v/>
      </c>
      <c r="AJ76" s="69" t="str">
        <f aca="false">IF($E76="","",IF($M76,IF(AND($G76&gt;=AJ$5,$G76&lt;AJ$5+GanttPeriod),"◆",IF(AND($E76&gt;=AJ$5,$E76&lt;AJ$5+GanttPeriod),"◇","")),IF(AND(AJ$5&lt;=$F76,AJ$5+GanttPeriod-1&gt;=$E76),"━","")))</f>
        <v/>
      </c>
      <c r="AK76" s="69" t="str">
        <f aca="false">IF($E76="","",IF($M76,IF(AND($G76&gt;=AK$5,$G76&lt;AK$5+GanttPeriod),"◆",IF(AND($E76&gt;=AK$5,$E76&lt;AK$5+GanttPeriod),"◇","")),IF(AND(AK$5&lt;=$F76,AK$5+GanttPeriod-1&gt;=$E76),"━","")))</f>
        <v/>
      </c>
      <c r="AL76" s="69" t="str">
        <f aca="false">IF($E76="","",IF($M76,IF(AND($G76&gt;=AL$5,$G76&lt;AL$5+GanttPeriod),"◆",IF(AND($E76&gt;=AL$5,$E76&lt;AL$5+GanttPeriod),"◇","")),IF(AND(AL$5&lt;=$F76,AL$5+GanttPeriod-1&gt;=$E76),"━","")))</f>
        <v/>
      </c>
      <c r="AM76" s="69" t="str">
        <f aca="false">IF($E76="","",IF($M76,IF(AND($G76&gt;=AM$5,$G76&lt;AM$5+GanttPeriod),"◆",IF(AND($E76&gt;=AM$5,$E76&lt;AM$5+GanttPeriod),"◇","")),IF(AND(AM$5&lt;=$F76,AM$5+GanttPeriod-1&gt;=$E76),"━","")))</f>
        <v/>
      </c>
      <c r="AN76" s="69" t="str">
        <f aca="false">IF($E76="","",IF($M76,IF(AND($G76&gt;=AN$5,$G76&lt;AN$5+GanttPeriod),"◆",IF(AND($E76&gt;=AN$5,$E76&lt;AN$5+GanttPeriod),"◇","")),IF(AND(AN$5&lt;=$F76,AN$5+GanttPeriod-1&gt;=$E76),"━","")))</f>
        <v/>
      </c>
      <c r="AO76" s="69" t="str">
        <f aca="false">IF($E76="","",IF($M76,IF(AND($G76&gt;=AO$5,$G76&lt;AO$5+GanttPeriod),"◆",IF(AND($E76&gt;=AO$5,$E76&lt;AO$5+GanttPeriod),"◇","")),IF(AND(AO$5&lt;=$F76,AO$5+GanttPeriod-1&gt;=$E76),"━","")))</f>
        <v/>
      </c>
      <c r="AP76" s="69" t="str">
        <f aca="false">IF($E76="","",IF($M76,IF(AND($G76&gt;=AP$5,$G76&lt;AP$5+GanttPeriod),"◆",IF(AND($E76&gt;=AP$5,$E76&lt;AP$5+GanttPeriod),"◇","")),IF(AND(AP$5&lt;=$F76,AP$5+GanttPeriod-1&gt;=$E76),"━","")))</f>
        <v/>
      </c>
      <c r="AQ76" s="69" t="str">
        <f aca="false">IF($E76="","",IF($M76,IF(AND($G76&gt;=AQ$5,$G76&lt;AQ$5+GanttPeriod),"◆",IF(AND($E76&gt;=AQ$5,$E76&lt;AQ$5+GanttPeriod),"◇","")),IF(AND(AQ$5&lt;=$F76,AQ$5+GanttPeriod-1&gt;=$E76),"━","")))</f>
        <v/>
      </c>
      <c r="AR76" s="69" t="str">
        <f aca="false">IF($E76="","",IF($M76,IF(AND($G76&gt;=AR$5,$G76&lt;AR$5+GanttPeriod),"◆",IF(AND($E76&gt;=AR$5,$E76&lt;AR$5+GanttPeriod),"◇","")),IF(AND(AR$5&lt;=$F76,AR$5+GanttPeriod-1&gt;=$E76),"━","")))</f>
        <v/>
      </c>
      <c r="AS76" s="69" t="str">
        <f aca="false">IF($E76="","",IF($M76,IF(AND($G76&gt;=AS$5,$G76&lt;AS$5+GanttPeriod),"◆",IF(AND($E76&gt;=AS$5,$E76&lt;AS$5+GanttPeriod),"◇","")),IF(AND(AS$5&lt;=$F76,AS$5+GanttPeriod-1&gt;=$E76),"━","")))</f>
        <v/>
      </c>
      <c r="AT76" s="69" t="str">
        <f aca="false">IF($E76="","",IF($M76,IF(AND($G76&gt;=AT$5,$G76&lt;AT$5+GanttPeriod),"◆",IF(AND($E76&gt;=AT$5,$E76&lt;AT$5+GanttPeriod),"◇","")),IF(AND(AT$5&lt;=$F76,AT$5+GanttPeriod-1&gt;=$E76),"━","")))</f>
        <v/>
      </c>
      <c r="AU76" s="69" t="str">
        <f aca="false">IF($E76="","",IF($M76,IF(AND($G76&gt;=AU$5,$G76&lt;AU$5+GanttPeriod),"◆",IF(AND($E76&gt;=AU$5,$E76&lt;AU$5+GanttPeriod),"◇","")),IF(AND(AU$5&lt;=$F76,AU$5+GanttPeriod-1&gt;=$E76),"━","")))</f>
        <v/>
      </c>
      <c r="AV76" s="69" t="str">
        <f aca="false">IF($E76="","",IF($M76,IF(AND($G76&gt;=AV$5,$G76&lt;AV$5+GanttPeriod),"◆",IF(AND($E76&gt;=AV$5,$E76&lt;AV$5+GanttPeriod),"◇","")),IF(AND(AV$5&lt;=$F76,AV$5+GanttPeriod-1&gt;=$E76),"━","")))</f>
        <v/>
      </c>
      <c r="AW76" s="69" t="str">
        <f aca="false">IF($E76="","",IF($M76,IF(AND($G76&gt;=AW$5,$G76&lt;AW$5+GanttPeriod),"◆",IF(AND($E76&gt;=AW$5,$E76&lt;AW$5+GanttPeriod),"◇","")),IF(AND(AW$5&lt;=$F76,AW$5+GanttPeriod-1&gt;=$E76),"━","")))</f>
        <v/>
      </c>
      <c r="AX76" s="69" t="str">
        <f aca="false">IF($E76="","",IF($M76,IF(AND($G76&gt;=AX$5,$G76&lt;AX$5+GanttPeriod),"◆",IF(AND($E76&gt;=AX$5,$E76&lt;AX$5+GanttPeriod),"◇","")),IF(AND(AX$5&lt;=$F76,AX$5+GanttPeriod-1&gt;=$E76),"━","")))</f>
        <v/>
      </c>
      <c r="AY76" s="69" t="str">
        <f aca="false">IF($E76="","",IF($M76,IF(AND($G76&gt;=AY$5,$G76&lt;AY$5+GanttPeriod),"◆",IF(AND($E76&gt;=AY$5,$E76&lt;AY$5+GanttPeriod),"◇","")),IF(AND(AY$5&lt;=$F76,AY$5+GanttPeriod-1&gt;=$E76),"━","")))</f>
        <v/>
      </c>
      <c r="AZ76" s="69" t="str">
        <f aca="false">IF($E76="","",IF($M76,IF(AND($G76&gt;=AZ$5,$G76&lt;AZ$5+GanttPeriod),"◆",IF(AND($E76&gt;=AZ$5,$E76&lt;AZ$5+GanttPeriod),"◇","")),IF(AND(AZ$5&lt;=$F76,AZ$5+GanttPeriod-1&gt;=$E76),"━","")))</f>
        <v/>
      </c>
      <c r="BA76" s="69" t="str">
        <f aca="false">IF($E76="","",IF($M76,IF(AND($G76&gt;=BA$5,$G76&lt;BA$5+GanttPeriod),"◆",IF(AND($E76&gt;=BA$5,$E76&lt;BA$5+GanttPeriod),"◇","")),IF(AND(BA$5&lt;=$F76,BA$5+GanttPeriod-1&gt;=$E76),"━","")))</f>
        <v/>
      </c>
      <c r="BB76" s="69" t="str">
        <f aca="false">IF($E76="","",IF($M76,IF(AND($G76&gt;=BB$5,$G76&lt;BB$5+GanttPeriod),"◆",IF(AND($E76&gt;=BB$5,$E76&lt;BB$5+GanttPeriod),"◇","")),IF(AND(BB$5&lt;=$F76,BB$5+GanttPeriod-1&gt;=$E76),"━","")))</f>
        <v/>
      </c>
      <c r="BC76" s="69" t="str">
        <f aca="false">IF($E76="","",IF($M76,IF(AND($G76&gt;=BC$5,$G76&lt;BC$5+GanttPeriod),"◆",IF(AND($E76&gt;=BC$5,$E76&lt;BC$5+GanttPeriod),"◇","")),IF(AND(BC$5&lt;=$F76,BC$5+GanttPeriod-1&gt;=$E76),"━","")))</f>
        <v/>
      </c>
      <c r="BD76" s="69" t="str">
        <f aca="false">IF($E76="","",IF($M76,IF(AND($G76&gt;=BD$5,$G76&lt;BD$5+GanttPeriod),"◆",IF(AND($E76&gt;=BD$5,$E76&lt;BD$5+GanttPeriod),"◇","")),IF(AND(BD$5&lt;=$F76,BD$5+GanttPeriod-1&gt;=$E76),"━","")))</f>
        <v/>
      </c>
      <c r="BE76" s="69" t="str">
        <f aca="false">IF($E76="","",IF($M76,IF(AND($G76&gt;=BE$5,$G76&lt;BE$5+GanttPeriod),"◆",IF(AND($E76&gt;=BE$5,$E76&lt;BE$5+GanttPeriod),"◇","")),IF(AND(BE$5&lt;=$F76,BE$5+GanttPeriod-1&gt;=$E76),"━","")))</f>
        <v/>
      </c>
      <c r="BF76" s="69" t="str">
        <f aca="false">IF($E76="","",IF($M76,IF(AND($G76&gt;=BF$5,$G76&lt;BF$5+GanttPeriod),"◆",IF(AND($E76&gt;=BF$5,$E76&lt;BF$5+GanttPeriod),"◇","")),IF(AND(BF$5&lt;=$F76,BF$5+GanttPeriod-1&gt;=$E76),"━","")))</f>
        <v/>
      </c>
      <c r="BG76" s="69" t="str">
        <f aca="false">IF($E76="","",IF($M76,IF(AND($G76&gt;=BG$5,$G76&lt;BG$5+GanttPeriod),"◆",IF(AND($E76&gt;=BG$5,$E76&lt;BG$5+GanttPeriod),"◇","")),IF(AND(BG$5&lt;=$F76,BG$5+GanttPeriod-1&gt;=$E76),"━","")))</f>
        <v/>
      </c>
      <c r="BH76" s="69" t="str">
        <f aca="false">IF($E76="","",IF($M76,IF(AND($G76&gt;=BH$5,$G76&lt;BH$5+GanttPeriod),"◆",IF(AND($E76&gt;=BH$5,$E76&lt;BH$5+GanttPeriod),"◇","")),IF(AND(BH$5&lt;=$F76,BH$5+GanttPeriod-1&gt;=$E76),"━","")))</f>
        <v/>
      </c>
      <c r="BI76" s="69" t="str">
        <f aca="false">IF($E76="","",IF($M76,IF(AND($G76&gt;=BI$5,$G76&lt;BI$5+GanttPeriod),"◆",IF(AND($E76&gt;=BI$5,$E76&lt;BI$5+GanttPeriod),"◇","")),IF(AND(BI$5&lt;=$F76,BI$5+GanttPeriod-1&gt;=$E76),"━","")))</f>
        <v/>
      </c>
      <c r="BJ76" s="69" t="str">
        <f aca="false">IF($E76="","",IF($M76,IF(AND($G76&gt;=BJ$5,$G76&lt;BJ$5+GanttPeriod),"◆",IF(AND($E76&gt;=BJ$5,$E76&lt;BJ$5+GanttPeriod),"◇","")),IF(AND(BJ$5&lt;=$F76,BJ$5+GanttPeriod-1&gt;=$E76),"━","")))</f>
        <v/>
      </c>
      <c r="BK76" s="69" t="str">
        <f aca="false">IF($E76="","",IF($M76,IF(AND($G76&gt;=BK$5,$G76&lt;BK$5+GanttPeriod),"◆",IF(AND($E76&gt;=BK$5,$E76&lt;BK$5+GanttPeriod),"◇","")),IF(AND(BK$5&lt;=$F76,BK$5+GanttPeriod-1&gt;=$E76),"━","")))</f>
        <v/>
      </c>
      <c r="BL76" s="69" t="str">
        <f aca="false">IF($E76="","",IF($M76,IF(AND($G76&gt;=BL$5,$G76&lt;BL$5+GanttPeriod),"◆",IF(AND($E76&gt;=BL$5,$E76&lt;BL$5+GanttPeriod),"◇","")),IF(AND(BL$5&lt;=$F76,BL$5+GanttPeriod-1&gt;=$E76),"━","")))</f>
        <v/>
      </c>
      <c r="BM76" s="69" t="str">
        <f aca="false">IF($E76="","",IF($M76,IF(AND($G76&gt;=BM$5,$G76&lt;BM$5+GanttPeriod),"◆",IF(AND($E76&gt;=BM$5,$E76&lt;BM$5+GanttPeriod),"◇","")),IF(AND(BM$5&lt;=$F76,BM$5+GanttPeriod-1&gt;=$E76),"━","")))</f>
        <v/>
      </c>
      <c r="BN76" s="69" t="str">
        <f aca="false">IF($E76="","",IF($M76,IF(AND($G76&gt;=BN$5,$G76&lt;BN$5+GanttPeriod),"◆",IF(AND($E76&gt;=BN$5,$E76&lt;BN$5+GanttPeriod),"◇","")),IF(AND(BN$5&lt;=$F76,BN$5+GanttPeriod-1&gt;=$E76),"━","")))</f>
        <v/>
      </c>
      <c r="BO76" s="69" t="str">
        <f aca="false">IF($E76="","",IF($M76,IF(AND($G76&gt;=BO$5,$G76&lt;BO$5+GanttPeriod),"◆",IF(AND($E76&gt;=BO$5,$E76&lt;BO$5+GanttPeriod),"◇","")),IF(AND(BO$5&lt;=$F76,BO$5+GanttPeriod-1&gt;=$E76),"━","")))</f>
        <v/>
      </c>
      <c r="BP76" s="69" t="str">
        <f aca="false">IF($E76="","",IF($M76,IF(AND($G76&gt;=BP$5,$G76&lt;BP$5+GanttPeriod),"◆",IF(AND($E76&gt;=BP$5,$E76&lt;BP$5+GanttPeriod),"◇","")),IF(AND(BP$5&lt;=$F76,BP$5+GanttPeriod-1&gt;=$E76),"━","")))</f>
        <v/>
      </c>
      <c r="BQ76" s="69" t="str">
        <f aca="false">IF($E76="","",IF($M76,IF(AND($G76&gt;=BQ$5,$G76&lt;BQ$5+GanttPeriod),"◆",IF(AND($E76&gt;=BQ$5,$E76&lt;BQ$5+GanttPeriod),"◇","")),IF(AND(BQ$5&lt;=$F76,BQ$5+GanttPeriod-1&gt;=$E76),"━","")))</f>
        <v/>
      </c>
      <c r="BR76" s="69" t="str">
        <f aca="false">IF($E76="","",IF($M76,IF(AND($G76&gt;=BR$5,$G76&lt;BR$5+GanttPeriod),"◆",IF(AND($E76&gt;=BR$5,$E76&lt;BR$5+GanttPeriod),"◇","")),IF(AND(BR$5&lt;=$F76,BR$5+GanttPeriod-1&gt;=$E76),"━","")))</f>
        <v/>
      </c>
      <c r="BS76" s="69" t="str">
        <f aca="false">IF($E76="","",IF($M76,IF(AND($G76&gt;=BS$5,$G76&lt;BS$5+GanttPeriod),"◆",IF(AND($E76&gt;=BS$5,$E76&lt;BS$5+GanttPeriod),"◇","")),IF(AND(BS$5&lt;=$F76,BS$5+GanttPeriod-1&gt;=$E76),"━","")))</f>
        <v/>
      </c>
      <c r="BT76" s="69" t="str">
        <f aca="false">IF($E76="","",IF($M76,IF(AND($G76&gt;=BT$5,$G76&lt;BT$5+GanttPeriod),"◆",IF(AND($E76&gt;=BT$5,$E76&lt;BT$5+GanttPeriod),"◇","")),IF(AND(BT$5&lt;=$F76,BT$5+GanttPeriod-1&gt;=$E76),"━","")))</f>
        <v/>
      </c>
      <c r="BU76" s="69" t="str">
        <f aca="false">IF($E76="","",IF($M76,IF(AND($G76&gt;=BU$5,$G76&lt;BU$5+GanttPeriod),"◆",IF(AND($E76&gt;=BU$5,$E76&lt;BU$5+GanttPeriod),"◇","")),IF(AND(BU$5&lt;=$F76,BU$5+GanttPeriod-1&gt;=$E76),"━","")))</f>
        <v/>
      </c>
      <c r="BV76" s="69" t="str">
        <f aca="false">IF($E76="","",IF($M76,IF(AND($G76&gt;=BV$5,$G76&lt;BV$5+GanttPeriod),"◆",IF(AND($E76&gt;=BV$5,$E76&lt;BV$5+GanttPeriod),"◇","")),IF(AND(BV$5&lt;=$F76,BV$5+GanttPeriod-1&gt;=$E76),"━","")))</f>
        <v/>
      </c>
      <c r="BW76" s="69" t="str">
        <f aca="false">IF($E76="","",IF($M76,IF(AND($G76&gt;=BW$5,$G76&lt;BW$5+GanttPeriod),"◆",IF(AND($E76&gt;=BW$5,$E76&lt;BW$5+GanttPeriod),"◇","")),IF(AND(BW$5&lt;=$F76,BW$5+GanttPeriod-1&gt;=$E76),"━","")))</f>
        <v/>
      </c>
      <c r="BX76" s="69" t="str">
        <f aca="false">IF($E76="","",IF($M76,IF(AND($G76&gt;=BX$5,$G76&lt;BX$5+GanttPeriod),"◆",IF(AND($E76&gt;=BX$5,$E76&lt;BX$5+GanttPeriod),"◇","")),IF(AND(BX$5&lt;=$F76,BX$5+GanttPeriod-1&gt;=$E76),"━","")))</f>
        <v/>
      </c>
      <c r="BY76" s="69" t="str">
        <f aca="false">IF($E76="","",IF($M76,IF(AND($G76&gt;=BY$5,$G76&lt;BY$5+GanttPeriod),"◆",IF(AND($E76&gt;=BY$5,$E76&lt;BY$5+GanttPeriod),"◇","")),IF(AND(BY$5&lt;=$F76,BY$5+GanttPeriod-1&gt;=$E76),"━","")))</f>
        <v/>
      </c>
      <c r="BZ76" s="69" t="str">
        <f aca="false">IF($E76="","",IF($M76,IF(AND($G76&gt;=BZ$5,$G76&lt;BZ$5+GanttPeriod),"◆",IF(AND($E76&gt;=BZ$5,$E76&lt;BZ$5+GanttPeriod),"◇","")),IF(AND(BZ$5&lt;=$F76,BZ$5+GanttPeriod-1&gt;=$E76),"━","")))</f>
        <v/>
      </c>
      <c r="CA76" s="69" t="str">
        <f aca="false">IF($E76="","",IF($M76,IF(AND($G76&gt;=CA$5,$G76&lt;CA$5+GanttPeriod),"◆",IF(AND($E76&gt;=CA$5,$E76&lt;CA$5+GanttPeriod),"◇","")),IF(AND(CA$5&lt;=$F76,CA$5+GanttPeriod-1&gt;=$E76),"━","")))</f>
        <v/>
      </c>
      <c r="CB76" s="69" t="str">
        <f aca="false">IF($E76="","",IF($M76,IF(AND($G76&gt;=CB$5,$G76&lt;CB$5+GanttPeriod),"◆",IF(AND($E76&gt;=CB$5,$E76&lt;CB$5+GanttPeriod),"◇","")),IF(AND(CB$5&lt;=$F76,CB$5+GanttPeriod-1&gt;=$E76),"━","")))</f>
        <v/>
      </c>
      <c r="CC76" s="69" t="str">
        <f aca="false">IF($E76="","",IF($M76,IF(AND($G76&gt;=CC$5,$G76&lt;CC$5+GanttPeriod),"◆",IF(AND($E76&gt;=CC$5,$E76&lt;CC$5+GanttPeriod),"◇","")),IF(AND(CC$5&lt;=$F76,CC$5+GanttPeriod-1&gt;=$E76),"━","")))</f>
        <v/>
      </c>
      <c r="CD76" s="69" t="str">
        <f aca="false">IF($E76="","",IF($M76,IF(AND($G76&gt;=CD$5,$G76&lt;CD$5+GanttPeriod),"◆",IF(AND($E76&gt;=CD$5,$E76&lt;CD$5+GanttPeriod),"◇","")),IF(AND(CD$5&lt;=$F76,CD$5+GanttPeriod-1&gt;=$E76),"━","")))</f>
        <v/>
      </c>
      <c r="CE76" s="69" t="str">
        <f aca="false">IF($E76="","",IF($M76,IF(AND($G76&gt;=CE$5,$G76&lt;CE$5+GanttPeriod),"◆",IF(AND($E76&gt;=CE$5,$E76&lt;CE$5+GanttPeriod),"◇","")),IF(AND(CE$5&lt;=$F76,CE$5+GanttPeriod-1&gt;=$E76),"━","")))</f>
        <v/>
      </c>
      <c r="CF76" s="69" t="str">
        <f aca="false">IF($E76="","",IF($M76,IF(AND($G76&gt;=CF$5,$G76&lt;CF$5+GanttPeriod),"◆",IF(AND($E76&gt;=CF$5,$E76&lt;CF$5+GanttPeriod),"◇","")),IF(AND(CF$5&lt;=$F76,CF$5+GanttPeriod-1&gt;=$E76),"━","")))</f>
        <v/>
      </c>
      <c r="CG76" s="69" t="str">
        <f aca="false">IF($E76="","",IF($M76,IF(AND($G76&gt;=CG$5,$G76&lt;CG$5+GanttPeriod),"◆",IF(AND($E76&gt;=CG$5,$E76&lt;CG$5+GanttPeriod),"◇","")),IF(AND(CG$5&lt;=$F76,CG$5+GanttPeriod-1&gt;=$E76),"━","")))</f>
        <v/>
      </c>
      <c r="CH76" s="69" t="str">
        <f aca="false">IF($E76="","",IF($M76,IF(AND($G76&gt;=CH$5,$G76&lt;CH$5+GanttPeriod),"◆",IF(AND($E76&gt;=CH$5,$E76&lt;CH$5+GanttPeriod),"◇","")),IF(AND(CH$5&lt;=$F76,CH$5+GanttPeriod-1&gt;=$E76),"━","")))</f>
        <v/>
      </c>
      <c r="CI76" s="69" t="str">
        <f aca="false">IF($E76="","",IF($M76,IF(AND($G76&gt;=CI$5,$G76&lt;CI$5+GanttPeriod),"◆",IF(AND($E76&gt;=CI$5,$E76&lt;CI$5+GanttPeriod),"◇","")),IF(AND(CI$5&lt;=$F76,CI$5+GanttPeriod-1&gt;=$E76),"━","")))</f>
        <v/>
      </c>
      <c r="CJ76" s="69" t="str">
        <f aca="false">IF($E76="","",IF($M76,IF(AND($G76&gt;=CJ$5,$G76&lt;CJ$5+GanttPeriod),"◆",IF(AND($E76&gt;=CJ$5,$E76&lt;CJ$5+GanttPeriod),"◇","")),IF(AND(CJ$5&lt;=$F76,CJ$5+GanttPeriod-1&gt;=$E76),"━","")))</f>
        <v/>
      </c>
      <c r="CK76" s="69" t="str">
        <f aca="false">IF($E76="","",IF($M76,IF(AND($G76&gt;=CK$5,$G76&lt;CK$5+GanttPeriod),"◆",IF(AND($E76&gt;=CK$5,$E76&lt;CK$5+GanttPeriod),"◇","")),IF(AND(CK$5&lt;=$F76,CK$5+GanttPeriod-1&gt;=$E76),"━","")))</f>
        <v/>
      </c>
      <c r="CL76" s="69" t="str">
        <f aca="false">IF($E76="","",IF($M76,IF(AND($G76&gt;=CL$5,$G76&lt;CL$5+GanttPeriod),"◆",IF(AND($E76&gt;=CL$5,$E76&lt;CL$5+GanttPeriod),"◇","")),IF(AND(CL$5&lt;=$F76,CL$5+GanttPeriod-1&gt;=$E76),"━","")))</f>
        <v/>
      </c>
      <c r="CM76" s="69" t="str">
        <f aca="false">IF($E76="","",IF($M76,IF(AND($G76&gt;=CM$5,$G76&lt;CM$5+GanttPeriod),"◆",IF(AND($E76&gt;=CM$5,$E76&lt;CM$5+GanttPeriod),"◇","")),IF(AND(CM$5&lt;=$F76,CM$5+GanttPeriod-1&gt;=$E76),"━","")))</f>
        <v/>
      </c>
      <c r="CN76" s="69" t="str">
        <f aca="false">IF($E76="","",IF($M76,IF(AND($G76&gt;=CN$5,$G76&lt;CN$5+GanttPeriod),"◆",IF(AND($E76&gt;=CN$5,$E76&lt;CN$5+GanttPeriod),"◇","")),IF(AND(CN$5&lt;=$F76,CN$5+GanttPeriod-1&gt;=$E76),"━","")))</f>
        <v/>
      </c>
      <c r="CO76" s="69" t="str">
        <f aca="false">IF($E76="","",IF($M76,IF(AND($G76&gt;=CO$5,$G76&lt;CO$5+GanttPeriod),"◆",IF(AND($E76&gt;=CO$5,$E76&lt;CO$5+GanttPeriod),"◇","")),IF(AND(CO$5&lt;=$F76,CO$5+GanttPeriod-1&gt;=$E76),"━","")))</f>
        <v/>
      </c>
      <c r="CP76" s="69" t="str">
        <f aca="false">IF($E76="","",IF($M76,IF(AND($G76&gt;=CP$5,$G76&lt;CP$5+GanttPeriod),"◆",IF(AND($E76&gt;=CP$5,$E76&lt;CP$5+GanttPeriod),"◇","")),IF(AND(CP$5&lt;=$F76,CP$5+GanttPeriod-1&gt;=$E76),"━","")))</f>
        <v/>
      </c>
      <c r="CQ76" s="69" t="str">
        <f aca="false">IF($E76="","",IF($M76,IF(AND($G76&gt;=CQ$5,$G76&lt;CQ$5+GanttPeriod),"◆",IF(AND($E76&gt;=CQ$5,$E76&lt;CQ$5+GanttPeriod),"◇","")),IF(AND(CQ$5&lt;=$F76,CQ$5+GanttPeriod-1&gt;=$E76),"━","")))</f>
        <v/>
      </c>
      <c r="CR76" s="69" t="str">
        <f aca="false">IF($E76="","",IF($M76,IF(AND($G76&gt;=CR$5,$G76&lt;CR$5+GanttPeriod),"◆",IF(AND($E76&gt;=CR$5,$E76&lt;CR$5+GanttPeriod),"◇","")),IF(AND(CR$5&lt;=$F76,CR$5+GanttPeriod-1&gt;=$E76),"━","")))</f>
        <v/>
      </c>
      <c r="CS76" s="69" t="str">
        <f aca="false">IF($E76="","",IF($M76,IF(AND($G76&gt;=CS$5,$G76&lt;CS$5+GanttPeriod),"◆",IF(AND($E76&gt;=CS$5,$E76&lt;CS$5+GanttPeriod),"◇","")),IF(AND(CS$5&lt;=$F76,CS$5+GanttPeriod-1&gt;=$E76),"━","")))</f>
        <v/>
      </c>
      <c r="CT76" s="69" t="str">
        <f aca="false">IF($E76="","",IF($M76,IF(AND($G76&gt;=CT$5,$G76&lt;CT$5+GanttPeriod),"◆",IF(AND($E76&gt;=CT$5,$E76&lt;CT$5+GanttPeriod),"◇","")),IF(AND(CT$5&lt;=$F76,CT$5+GanttPeriod-1&gt;=$E76),"━","")))</f>
        <v/>
      </c>
      <c r="CU76" s="69" t="str">
        <f aca="false">IF($E76="","",IF($M76,IF(AND($G76&gt;=CU$5,$G76&lt;CU$5+GanttPeriod),"◆",IF(AND($E76&gt;=CU$5,$E76&lt;CU$5+GanttPeriod),"◇","")),IF(AND(CU$5&lt;=$F76,CU$5+GanttPeriod-1&gt;=$E76),"━","")))</f>
        <v/>
      </c>
      <c r="CV76" s="69" t="str">
        <f aca="false">IF($E76="","",IF($M76,IF(AND($G76&gt;=CV$5,$G76&lt;CV$5+GanttPeriod),"◆",IF(AND($E76&gt;=CV$5,$E76&lt;CV$5+GanttPeriod),"◇","")),IF(AND(CV$5&lt;=$F76,CV$5+GanttPeriod-1&gt;=$E76),"━","")))</f>
        <v/>
      </c>
      <c r="CW76" s="69" t="str">
        <f aca="false">IF($E76="","",IF($M76,IF(AND($G76&gt;=CW$5,$G76&lt;CW$5+GanttPeriod),"◆",IF(AND($E76&gt;=CW$5,$E76&lt;CW$5+GanttPeriod),"◇","")),IF(AND(CW$5&lt;=$F76,CW$5+GanttPeriod-1&gt;=$E76),"━","")))</f>
        <v/>
      </c>
      <c r="CX76" s="69" t="str">
        <f aca="false">IF($E76="","",IF($M76,IF(AND($G76&gt;=CX$5,$G76&lt;CX$5+GanttPeriod),"◆",IF(AND($E76&gt;=CX$5,$E76&lt;CX$5+GanttPeriod),"◇","")),IF(AND(CX$5&lt;=$F76,CX$5+GanttPeriod-1&gt;=$E76),"━","")))</f>
        <v/>
      </c>
      <c r="CY76" s="69" t="str">
        <f aca="false">IF($E76="","",IF($M76,IF(AND($G76&gt;=CY$5,$G76&lt;CY$5+GanttPeriod),"◆",IF(AND($E76&gt;=CY$5,$E76&lt;CY$5+GanttPeriod),"◇","")),IF(AND(CY$5&lt;=$F76,CY$5+GanttPeriod-1&gt;=$E76),"━","")))</f>
        <v/>
      </c>
      <c r="CZ76" s="69" t="str">
        <f aca="false">IF($E76="","",IF($M76,IF(AND($G76&gt;=CZ$5,$G76&lt;CZ$5+GanttPeriod),"◆",IF(AND($E76&gt;=CZ$5,$E76&lt;CZ$5+GanttPeriod),"◇","")),IF(AND(CZ$5&lt;=$F76,CZ$5+GanttPeriod-1&gt;=$E76),"━","")))</f>
        <v/>
      </c>
      <c r="DA76" s="69" t="str">
        <f aca="false">IF($E76="","",IF($M76,IF(AND($G76&gt;=DA$5,$G76&lt;DA$5+GanttPeriod),"◆",IF(AND($E76&gt;=DA$5,$E76&lt;DA$5+GanttPeriod),"◇","")),IF(AND(DA$5&lt;=$F76,DA$5+GanttPeriod-1&gt;=$E76),"━","")))</f>
        <v/>
      </c>
      <c r="DB76" s="69" t="str">
        <f aca="false">IF($E76="","",IF($M76,IF(AND($G76&gt;=DB$5,$G76&lt;DB$5+GanttPeriod),"◆",IF(AND($E76&gt;=DB$5,$E76&lt;DB$5+GanttPeriod),"◇","")),IF(AND(DB$5&lt;=$F76,DB$5+GanttPeriod-1&gt;=$E76),"━","")))</f>
        <v/>
      </c>
      <c r="DC76" s="69" t="str">
        <f aca="false">IF($E76="","",IF($M76,IF(AND($G76&gt;=DC$5,$G76&lt;DC$5+GanttPeriod),"◆",IF(AND($E76&gt;=DC$5,$E76&lt;DC$5+GanttPeriod),"◇","")),IF(AND(DC$5&lt;=$F76,DC$5+GanttPeriod-1&gt;=$E76),"━","")))</f>
        <v/>
      </c>
      <c r="DD76" s="69" t="str">
        <f aca="false">IF($E76="","",IF($M76,IF(AND($G76&gt;=DD$5,$G76&lt;DD$5+GanttPeriod),"◆",IF(AND($E76&gt;=DD$5,$E76&lt;DD$5+GanttPeriod),"◇","")),IF(AND(DD$5&lt;=$F76,DD$5+GanttPeriod-1&gt;=$E76),"━","")))</f>
        <v/>
      </c>
      <c r="DE76" s="69" t="str">
        <f aca="false">IF($E76="","",IF($M76,IF(AND($G76&gt;=DE$5,$G76&lt;DE$5+GanttPeriod),"◆",IF(AND($E76&gt;=DE$5,$E76&lt;DE$5+GanttPeriod),"◇","")),IF(AND(DE$5&lt;=$F76,DE$5+GanttPeriod-1&gt;=$E76),"━","")))</f>
        <v/>
      </c>
      <c r="DF76" s="69" t="str">
        <f aca="false">IF($E76="","",IF($M76,IF(AND($G76&gt;=DF$5,$G76&lt;DF$5+GanttPeriod),"◆",IF(AND($E76&gt;=DF$5,$E76&lt;DF$5+GanttPeriod),"◇","")),IF(AND(DF$5&lt;=$F76,DF$5+GanttPeriod-1&gt;=$E76),"━","")))</f>
        <v/>
      </c>
      <c r="DG76" s="69" t="str">
        <f aca="false">IF($E76="","",IF($M76,IF(AND($G76&gt;=DG$5,$G76&lt;DG$5+GanttPeriod),"◆",IF(AND($E76&gt;=DG$5,$E76&lt;DG$5+GanttPeriod),"◇","")),IF(AND(DG$5&lt;=$F76,DG$5+GanttPeriod-1&gt;=$E76),"━","")))</f>
        <v/>
      </c>
      <c r="DH76" s="69" t="str">
        <f aca="false">IF($E76="","",IF($M76,IF(AND($G76&gt;=DH$5,$G76&lt;DH$5+GanttPeriod),"◆",IF(AND($E76&gt;=DH$5,$E76&lt;DH$5+GanttPeriod),"◇","")),IF(AND(DH$5&lt;=$F76,DH$5+GanttPeriod-1&gt;=$E76),"━","")))</f>
        <v/>
      </c>
      <c r="DI76" s="69" t="str">
        <f aca="false">IF($E76="","",IF($M76,IF(AND($G76&gt;=DI$5,$G76&lt;DI$5+GanttPeriod),"◆",IF(AND($E76&gt;=DI$5,$E76&lt;DI$5+GanttPeriod),"◇","")),IF(AND(DI$5&lt;=$F76,DI$5+GanttPeriod-1&gt;=$E76),"━","")))</f>
        <v/>
      </c>
      <c r="DJ76" s="69" t="str">
        <f aca="false">IF($E76="","",IF($M76,IF(AND($G76&gt;=DJ$5,$G76&lt;DJ$5+GanttPeriod),"◆",IF(AND($E76&gt;=DJ$5,$E76&lt;DJ$5+GanttPeriod),"◇","")),IF(AND(DJ$5&lt;=$F76,DJ$5+GanttPeriod-1&gt;=$E76),"━","")))</f>
        <v/>
      </c>
      <c r="DK76" s="69" t="str">
        <f aca="false">IF($E76="","",IF($M76,IF(AND($G76&gt;=DK$5,$G76&lt;DK$5+GanttPeriod),"◆",IF(AND($E76&gt;=DK$5,$E76&lt;DK$5+GanttPeriod),"◇","")),IF(AND(DK$5&lt;=$F76,DK$5+GanttPeriod-1&gt;=$E76),"━","")))</f>
        <v/>
      </c>
      <c r="DL76" s="69" t="str">
        <f aca="false">IF($E76="","",IF($M76,IF(AND($G76&gt;=DL$5,$G76&lt;DL$5+GanttPeriod),"◆",IF(AND($E76&gt;=DL$5,$E76&lt;DL$5+GanttPeriod),"◇","")),IF(AND(DL$5&lt;=$F76,DL$5+GanttPeriod-1&gt;=$E76),"━","")))</f>
        <v/>
      </c>
      <c r="DM76" s="69" t="str">
        <f aca="false">IF($E76="","",IF($M76,IF(AND($G76&gt;=DM$5,$G76&lt;DM$5+GanttPeriod),"◆",IF(AND($E76&gt;=DM$5,$E76&lt;DM$5+GanttPeriod),"◇","")),IF(AND(DM$5&lt;=$F76,DM$5+GanttPeriod-1&gt;=$E76),"━","")))</f>
        <v/>
      </c>
      <c r="DN76" s="69" t="str">
        <f aca="false">IF($E76="","",IF($M76,IF(AND($G76&gt;=DN$5,$G76&lt;DN$5+GanttPeriod),"◆",IF(AND($E76&gt;=DN$5,$E76&lt;DN$5+GanttPeriod),"◇","")),IF(AND(DN$5&lt;=$F76,DN$5+GanttPeriod-1&gt;=$E76),"━","")))</f>
        <v/>
      </c>
      <c r="DO76" s="69" t="str">
        <f aca="false">IF($E76="","",IF($M76,IF(AND($G76&gt;=DO$5,$G76&lt;DO$5+GanttPeriod),"◆",IF(AND($E76&gt;=DO$5,$E76&lt;DO$5+GanttPeriod),"◇","")),IF(AND(DO$5&lt;=$F76,DO$5+GanttPeriod-1&gt;=$E76),"━","")))</f>
        <v/>
      </c>
      <c r="DP76" s="69" t="str">
        <f aca="false">IF($E76="","",IF($M76,IF(AND($G76&gt;=DP$5,$G76&lt;DP$5+GanttPeriod),"◆",IF(AND($E76&gt;=DP$5,$E76&lt;DP$5+GanttPeriod),"◇","")),IF(AND(DP$5&lt;=$F76,DP$5+GanttPeriod-1&gt;=$E76),"━","")))</f>
        <v/>
      </c>
      <c r="DQ76" s="69" t="str">
        <f aca="false">IF($E76="","",IF($M76,IF(AND($G76&gt;=DQ$5,$G76&lt;DQ$5+GanttPeriod),"◆",IF(AND($E76&gt;=DQ$5,$E76&lt;DQ$5+GanttPeriod),"◇","")),IF(AND(DQ$5&lt;=$F76,DQ$5+GanttPeriod-1&gt;=$E76),"━","")))</f>
        <v/>
      </c>
      <c r="DR76" s="69" t="str">
        <f aca="false">IF($E76="","",IF($M76,IF(AND($G76&gt;=DR$5,$G76&lt;DR$5+GanttPeriod),"◆",IF(AND($E76&gt;=DR$5,$E76&lt;DR$5+GanttPeriod),"◇","")),IF(AND(DR$5&lt;=$F76,DR$5+GanttPeriod-1&gt;=$E76),"━","")))</f>
        <v/>
      </c>
      <c r="DS76" s="69" t="str">
        <f aca="false">IF($E76="","",IF($M76,IF(AND($G76&gt;=DS$5,$G76&lt;DS$5+GanttPeriod),"◆",IF(AND($E76&gt;=DS$5,$E76&lt;DS$5+GanttPeriod),"◇","")),IF(AND(DS$5&lt;=$F76,DS$5+GanttPeriod-1&gt;=$E76),"━","")))</f>
        <v/>
      </c>
      <c r="DT76" s="69" t="str">
        <f aca="false">IF($E76="","",IF($M76,IF(AND($G76&gt;=DT$5,$G76&lt;DT$5+GanttPeriod),"◆",IF(AND($E76&gt;=DT$5,$E76&lt;DT$5+GanttPeriod),"◇","")),IF(AND(DT$5&lt;=$F76,DT$5+GanttPeriod-1&gt;=$E76),"━","")))</f>
        <v/>
      </c>
      <c r="DU76" s="69" t="str">
        <f aca="false">IF($E76="","",IF($M76,IF(AND($G76&gt;=DU$5,$G76&lt;DU$5+GanttPeriod),"◆",IF(AND($E76&gt;=DU$5,$E76&lt;DU$5+GanttPeriod),"◇","")),IF(AND(DU$5&lt;=$F76,DU$5+GanttPeriod-1&gt;=$E76),"━","")))</f>
        <v/>
      </c>
      <c r="DV76" s="69" t="str">
        <f aca="false">IF($E76="","",IF($M76,IF(AND($G76&gt;=DV$5,$G76&lt;DV$5+GanttPeriod),"◆",IF(AND($E76&gt;=DV$5,$E76&lt;DV$5+GanttPeriod),"◇","")),IF(AND(DV$5&lt;=$F76,DV$5+GanttPeriod-1&gt;=$E76),"━","")))</f>
        <v/>
      </c>
      <c r="DW76" s="69" t="str">
        <f aca="false">IF($E76="","",IF($M76,IF(AND($G76&gt;=DW$5,$G76&lt;DW$5+GanttPeriod),"◆",IF(AND($E76&gt;=DW$5,$E76&lt;DW$5+GanttPeriod),"◇","")),IF(AND(DW$5&lt;=$F76,DW$5+GanttPeriod-1&gt;=$E76),"━","")))</f>
        <v/>
      </c>
      <c r="DX76" s="69" t="str">
        <f aca="false">IF($E76="","",IF($M76,IF(AND($G76&gt;=DX$5,$G76&lt;DX$5+GanttPeriod),"◆",IF(AND($E76&gt;=DX$5,$E76&lt;DX$5+GanttPeriod),"◇","")),IF(AND(DX$5&lt;=$F76,DX$5+GanttPeriod-1&gt;=$E76),"━","")))</f>
        <v/>
      </c>
      <c r="DY76" s="69" t="str">
        <f aca="false">IF($E76="","",IF($M76,IF(AND($G76&gt;=DY$5,$G76&lt;DY$5+GanttPeriod),"◆",IF(AND($E76&gt;=DY$5,$E76&lt;DY$5+GanttPeriod),"◇","")),IF(AND(DY$5&lt;=$F76,DY$5+GanttPeriod-1&gt;=$E76),"━","")))</f>
        <v/>
      </c>
      <c r="DZ76" s="69" t="str">
        <f aca="false">IF($E76="","",IF($M76,IF(AND($G76&gt;=DZ$5,$G76&lt;DZ$5+GanttPeriod),"◆",IF(AND($E76&gt;=DZ$5,$E76&lt;DZ$5+GanttPeriod),"◇","")),IF(AND(DZ$5&lt;=$F76,DZ$5+GanttPeriod-1&gt;=$E76),"━","")))</f>
        <v/>
      </c>
      <c r="EA76" s="69" t="str">
        <f aca="false">IF($E76="","",IF($M76,IF(AND($G76&gt;=EA$5,$G76&lt;EA$5+GanttPeriod),"◆",IF(AND($E76&gt;=EA$5,$E76&lt;EA$5+GanttPeriod),"◇","")),IF(AND(EA$5&lt;=$F76,EA$5+GanttPeriod-1&gt;=$E76),"━","")))</f>
        <v/>
      </c>
      <c r="EB76" s="69" t="str">
        <f aca="false">IF($E76="","",IF($M76,IF(AND($G76&gt;=EB$5,$G76&lt;EB$5+GanttPeriod),"◆",IF(AND($E76&gt;=EB$5,$E76&lt;EB$5+GanttPeriod),"◇","")),IF(AND(EB$5&lt;=$F76,EB$5+GanttPeriod-1&gt;=$E76),"━","")))</f>
        <v/>
      </c>
      <c r="EC76" s="69" t="str">
        <f aca="false">IF($E76="","",IF($M76,IF(AND($G76&gt;=EC$5,$G76&lt;EC$5+GanttPeriod),"◆",IF(AND($E76&gt;=EC$5,$E76&lt;EC$5+GanttPeriod),"◇","")),IF(AND(EC$5&lt;=$F76,EC$5+GanttPeriod-1&gt;=$E76),"━","")))</f>
        <v/>
      </c>
      <c r="ED76" s="69" t="str">
        <f aca="false">IF($E76="","",IF($M76,IF(AND($G76&gt;=ED$5,$G76&lt;ED$5+GanttPeriod),"◆",IF(AND($E76&gt;=ED$5,$E76&lt;ED$5+GanttPeriod),"◇","")),IF(AND(ED$5&lt;=$F76,ED$5+GanttPeriod-1&gt;=$E76),"━","")))</f>
        <v/>
      </c>
      <c r="EE76" s="69" t="str">
        <f aca="false">IF($E76="","",IF($M76,IF(AND($G76&gt;=EE$5,$G76&lt;EE$5+GanttPeriod),"◆",IF(AND($E76&gt;=EE$5,$E76&lt;EE$5+GanttPeriod),"◇","")),IF(AND(EE$5&lt;=$F76,EE$5+GanttPeriod-1&gt;=$E76),"━","")))</f>
        <v/>
      </c>
      <c r="EF76" s="69" t="str">
        <f aca="false">IF($E76="","",IF($M76,IF(AND($G76&gt;=EF$5,$G76&lt;EF$5+GanttPeriod),"◆",IF(AND($E76&gt;=EF$5,$E76&lt;EF$5+GanttPeriod),"◇","")),IF(AND(EF$5&lt;=$F76,EF$5+GanttPeriod-1&gt;=$E76),"━","")))</f>
        <v/>
      </c>
      <c r="EG76" s="69" t="str">
        <f aca="false">IF($E76="","",IF($M76,IF(AND($G76&gt;=EG$5,$G76&lt;EG$5+GanttPeriod),"◆",IF(AND($E76&gt;=EG$5,$E76&lt;EG$5+GanttPeriod),"◇","")),IF(AND(EG$5&lt;=$F76,EG$5+GanttPeriod-1&gt;=$E76),"━","")))</f>
        <v/>
      </c>
      <c r="EH76" s="69" t="str">
        <f aca="false">IF($E76="","",IF($M76,IF(AND($G76&gt;=EH$5,$G76&lt;EH$5+GanttPeriod),"◆",IF(AND($E76&gt;=EH$5,$E76&lt;EH$5+GanttPeriod),"◇","")),IF(AND(EH$5&lt;=$F76,EH$5+GanttPeriod-1&gt;=$E76),"━","")))</f>
        <v/>
      </c>
      <c r="EI76" s="69" t="str">
        <f aca="false">IF($E76="","",IF($M76,IF(AND($G76&gt;=EI$5,$G76&lt;EI$5+GanttPeriod),"◆",IF(AND($E76&gt;=EI$5,$E76&lt;EI$5+GanttPeriod),"◇","")),IF(AND(EI$5&lt;=$F76,EI$5+GanttPeriod-1&gt;=$E76),"━","")))</f>
        <v/>
      </c>
      <c r="EJ76" s="69" t="str">
        <f aca="false">IF($E76="","",IF($M76,IF(AND($G76&gt;=EJ$5,$G76&lt;EJ$5+GanttPeriod),"◆",IF(AND($E76&gt;=EJ$5,$E76&lt;EJ$5+GanttPeriod),"◇","")),IF(AND(EJ$5&lt;=$F76,EJ$5+GanttPeriod-1&gt;=$E76),"━","")))</f>
        <v/>
      </c>
      <c r="EK76" s="69" t="str">
        <f aca="false">IF($E76="","",IF($M76,IF(AND($G76&gt;=EK$5,$G76&lt;EK$5+GanttPeriod),"◆",IF(AND($E76&gt;=EK$5,$E76&lt;EK$5+GanttPeriod),"◇","")),IF(AND(EK$5&lt;=$F76,EK$5+GanttPeriod-1&gt;=$E76),"━","")))</f>
        <v/>
      </c>
      <c r="EL76" s="69" t="str">
        <f aca="false">IF($E76="","",IF($M76,IF(AND($G76&gt;=EL$5,$G76&lt;EL$5+GanttPeriod),"◆",IF(AND($E76&gt;=EL$5,$E76&lt;EL$5+GanttPeriod),"◇","")),IF(AND(EL$5&lt;=$F76,EL$5+GanttPeriod-1&gt;=$E76),"━","")))</f>
        <v/>
      </c>
      <c r="EM76" s="69" t="str">
        <f aca="false">IF($E76="","",IF($M76,IF(AND($G76&gt;=EM$5,$G76&lt;EM$5+GanttPeriod),"◆",IF(AND($E76&gt;=EM$5,$E76&lt;EM$5+GanttPeriod),"◇","")),IF(AND(EM$5&lt;=$F76,EM$5+GanttPeriod-1&gt;=$E76),"━","")))</f>
        <v/>
      </c>
      <c r="EN76" s="69" t="str">
        <f aca="false">IF($E76="","",IF($M76,IF(AND($G76&gt;=EN$5,$G76&lt;EN$5+GanttPeriod),"◆",IF(AND($E76&gt;=EN$5,$E76&lt;EN$5+GanttPeriod),"◇","")),IF(AND(EN$5&lt;=$F76,EN$5+GanttPeriod-1&gt;=$E76),"━","")))</f>
        <v/>
      </c>
      <c r="EO76" s="69" t="str">
        <f aca="false">IF($E76="","",IF($M76,IF(AND($G76&gt;=EO$5,$G76&lt;EO$5+GanttPeriod),"◆",IF(AND($E76&gt;=EO$5,$E76&lt;EO$5+GanttPeriod),"◇","")),IF(AND(EO$5&lt;=$F76,EO$5+GanttPeriod-1&gt;=$E76),"━","")))</f>
        <v/>
      </c>
      <c r="EP76" s="69" t="str">
        <f aca="false">IF($E76="","",IF($M76,IF(AND($G76&gt;=EP$5,$G76&lt;EP$5+GanttPeriod),"◆",IF(AND($E76&gt;=EP$5,$E76&lt;EP$5+GanttPeriod),"◇","")),IF(AND(EP$5&lt;=$F76,EP$5+GanttPeriod-1&gt;=$E76),"━","")))</f>
        <v/>
      </c>
      <c r="EQ76" s="69" t="str">
        <f aca="false">IF($E76="","",IF($M76,IF(AND($G76&gt;=EQ$5,$G76&lt;EQ$5+GanttPeriod),"◆",IF(AND($E76&gt;=EQ$5,$E76&lt;EQ$5+GanttPeriod),"◇","")),IF(AND(EQ$5&lt;=$F76,EQ$5+GanttPeriod-1&gt;=$E76),"━","")))</f>
        <v/>
      </c>
      <c r="ER76" s="69" t="str">
        <f aca="false">IF($E76="","",IF($M76,IF(AND($G76&gt;=ER$5,$G76&lt;ER$5+GanttPeriod),"◆",IF(AND($E76&gt;=ER$5,$E76&lt;ER$5+GanttPeriod),"◇","")),IF(AND(ER$5&lt;=$F76,ER$5+GanttPeriod-1&gt;=$E76),"━","")))</f>
        <v/>
      </c>
      <c r="ES76" s="69" t="str">
        <f aca="false">IF($E76="","",IF($M76,IF(AND($G76&gt;=ES$5,$G76&lt;ES$5+GanttPeriod),"◆",IF(AND($E76&gt;=ES$5,$E76&lt;ES$5+GanttPeriod),"◇","")),IF(AND(ES$5&lt;=$F76,ES$5+GanttPeriod-1&gt;=$E76),"━","")))</f>
        <v/>
      </c>
      <c r="ET76" s="69" t="str">
        <f aca="false">IF($E76="","",IF($M76,IF(AND($G76&gt;=ET$5,$G76&lt;ET$5+GanttPeriod),"◆",IF(AND($E76&gt;=ET$5,$E76&lt;ET$5+GanttPeriod),"◇","")),IF(AND(ET$5&lt;=$F76,ET$5+GanttPeriod-1&gt;=$E76),"━","")))</f>
        <v/>
      </c>
      <c r="EU76" s="69" t="str">
        <f aca="false">IF($E76="","",IF($M76,IF(AND($G76&gt;=EU$5,$G76&lt;EU$5+GanttPeriod),"◆",IF(AND($E76&gt;=EU$5,$E76&lt;EU$5+GanttPeriod),"◇","")),IF(AND(EU$5&lt;=$F76,EU$5+GanttPeriod-1&gt;=$E76),"━","")))</f>
        <v/>
      </c>
      <c r="EV76" s="69" t="str">
        <f aca="false">IF($E76="","",IF($M76,IF(AND($G76&gt;=EV$5,$G76&lt;EV$5+GanttPeriod),"◆",IF(AND($E76&gt;=EV$5,$E76&lt;EV$5+GanttPeriod),"◇","")),IF(AND(EV$5&lt;=$F76,EV$5+GanttPeriod-1&gt;=$E76),"━","")))</f>
        <v/>
      </c>
      <c r="EW76" s="69" t="str">
        <f aca="false">IF($E76="","",IF($M76,IF(AND($G76&gt;=EW$5,$G76&lt;EW$5+GanttPeriod),"◆",IF(AND($E76&gt;=EW$5,$E76&lt;EW$5+GanttPeriod),"◇","")),IF(AND(EW$5&lt;=$F76,EW$5+GanttPeriod-1&gt;=$E76),"━","")))</f>
        <v/>
      </c>
      <c r="EX76" s="69" t="str">
        <f aca="false">IF($E76="","",IF($M76,IF(AND($G76&gt;=EX$5,$G76&lt;EX$5+GanttPeriod),"◆",IF(AND($E76&gt;=EX$5,$E76&lt;EX$5+GanttPeriod),"◇","")),IF(AND(EX$5&lt;=$F76,EX$5+GanttPeriod-1&gt;=$E76),"━","")))</f>
        <v/>
      </c>
      <c r="EY76" s="69" t="str">
        <f aca="false">IF($E76="","",IF($M76,IF(AND($G76&gt;=EY$5,$G76&lt;EY$5+GanttPeriod),"◆",IF(AND($E76&gt;=EY$5,$E76&lt;EY$5+GanttPeriod),"◇","")),IF(AND(EY$5&lt;=$F76,EY$5+GanttPeriod-1&gt;=$E76),"━","")))</f>
        <v/>
      </c>
      <c r="EZ76" s="69" t="str">
        <f aca="false">IF($E76="","",IF($M76,IF(AND($G76&gt;=EZ$5,$G76&lt;EZ$5+GanttPeriod),"◆",IF(AND($E76&gt;=EZ$5,$E76&lt;EZ$5+GanttPeriod),"◇","")),IF(AND(EZ$5&lt;=$F76,EZ$5+GanttPeriod-1&gt;=$E76),"━","")))</f>
        <v/>
      </c>
      <c r="FA76" s="69" t="str">
        <f aca="false">IF($E76="","",IF($M76,IF(AND($G76&gt;=FA$5,$G76&lt;FA$5+GanttPeriod),"◆",IF(AND($E76&gt;=FA$5,$E76&lt;FA$5+GanttPeriod),"◇","")),IF(AND(FA$5&lt;=$F76,FA$5+GanttPeriod-1&gt;=$E76),"━","")))</f>
        <v/>
      </c>
      <c r="FB76" s="69" t="str">
        <f aca="false">IF($E76="","",IF($M76,IF(AND($G76&gt;=FB$5,$G76&lt;FB$5+GanttPeriod),"◆",IF(AND($E76&gt;=FB$5,$E76&lt;FB$5+GanttPeriod),"◇","")),IF(AND(FB$5&lt;=$F76,FB$5+GanttPeriod-1&gt;=$E76),"━","")))</f>
        <v/>
      </c>
      <c r="FC76" s="69" t="str">
        <f aca="false">IF($E76="","",IF($M76,IF(AND($G76&gt;=FC$5,$G76&lt;FC$5+GanttPeriod),"◆",IF(AND($E76&gt;=FC$5,$E76&lt;FC$5+GanttPeriod),"◇","")),IF(AND(FC$5&lt;=$F76,FC$5+GanttPeriod-1&gt;=$E76),"━","")))</f>
        <v/>
      </c>
      <c r="FD76" s="69" t="str">
        <f aca="false">IF($E76="","",IF($M76,IF(AND($G76&gt;=FD$5,$G76&lt;FD$5+GanttPeriod),"◆",IF(AND($E76&gt;=FD$5,$E76&lt;FD$5+GanttPeriod),"◇","")),IF(AND(FD$5&lt;=$F76,FD$5+GanttPeriod-1&gt;=$E76),"━","")))</f>
        <v/>
      </c>
      <c r="FE76" s="69" t="str">
        <f aca="false">IF($E76="","",IF($M76,IF(AND($G76&gt;=FE$5,$G76&lt;FE$5+GanttPeriod),"◆",IF(AND($E76&gt;=FE$5,$E76&lt;FE$5+GanttPeriod),"◇","")),IF(AND(FE$5&lt;=$F76,FE$5+GanttPeriod-1&gt;=$E76),"━","")))</f>
        <v/>
      </c>
      <c r="FF76" s="69" t="str">
        <f aca="false">IF($E76="","",IF($M76,IF(AND($G76&gt;=FF$5,$G76&lt;FF$5+GanttPeriod),"◆",IF(AND($E76&gt;=FF$5,$E76&lt;FF$5+GanttPeriod),"◇","")),IF(AND(FF$5&lt;=$F76,FF$5+GanttPeriod-1&gt;=$E76),"━","")))</f>
        <v/>
      </c>
      <c r="FG76" s="69" t="str">
        <f aca="false">IF($E76="","",IF($M76,IF(AND($G76&gt;=FG$5,$G76&lt;FG$5+GanttPeriod),"◆",IF(AND($E76&gt;=FG$5,$E76&lt;FG$5+GanttPeriod),"◇","")),IF(AND(FG$5&lt;=$F76,FG$5+GanttPeriod-1&gt;=$E76),"━","")))</f>
        <v/>
      </c>
      <c r="FH76" s="69" t="str">
        <f aca="false">IF($E76="","",IF($M76,IF(AND($G76&gt;=FH$5,$G76&lt;FH$5+GanttPeriod),"◆",IF(AND($E76&gt;=FH$5,$E76&lt;FH$5+GanttPeriod),"◇","")),IF(AND(FH$5&lt;=$F76,FH$5+GanttPeriod-1&gt;=$E76),"━","")))</f>
        <v/>
      </c>
      <c r="FI76" s="69" t="str">
        <f aca="false">IF($E76="","",IF($M76,IF(AND($G76&gt;=FI$5,$G76&lt;FI$5+GanttPeriod),"◆",IF(AND($E76&gt;=FI$5,$E76&lt;FI$5+GanttPeriod),"◇","")),IF(AND(FI$5&lt;=$F76,FI$5+GanttPeriod-1&gt;=$E76),"━","")))</f>
        <v/>
      </c>
      <c r="FJ76" s="69" t="str">
        <f aca="false">IF($E76="","",IF($M76,IF(AND($G76&gt;=FJ$5,$G76&lt;FJ$5+GanttPeriod),"◆",IF(AND($E76&gt;=FJ$5,$E76&lt;FJ$5+GanttPeriod),"◇","")),IF(AND(FJ$5&lt;=$F76,FJ$5+GanttPeriod-1&gt;=$E76),"━","")))</f>
        <v/>
      </c>
      <c r="FK76" s="69" t="str">
        <f aca="false">IF($E76="","",IF($M76,IF(AND($G76&gt;=FK$5,$G76&lt;FK$5+GanttPeriod),"◆",IF(AND($E76&gt;=FK$5,$E76&lt;FK$5+GanttPeriod),"◇","")),IF(AND(FK$5&lt;=$F76,FK$5+GanttPeriod-1&gt;=$E76),"━","")))</f>
        <v/>
      </c>
      <c r="FL76" s="69" t="str">
        <f aca="false">IF($E76="","",IF($M76,IF(AND($G76&gt;=FL$5,$G76&lt;FL$5+GanttPeriod),"◆",IF(AND($E76&gt;=FL$5,$E76&lt;FL$5+GanttPeriod),"◇","")),IF(AND(FL$5&lt;=$F76,FL$5+GanttPeriod-1&gt;=$E76),"━","")))</f>
        <v/>
      </c>
      <c r="FM76" s="69" t="str">
        <f aca="false">IF($E76="","",IF($M76,IF(AND($G76&gt;=FM$5,$G76&lt;FM$5+GanttPeriod),"◆",IF(AND($E76&gt;=FM$5,$E76&lt;FM$5+GanttPeriod),"◇","")),IF(AND(FM$5&lt;=$F76,FM$5+GanttPeriod-1&gt;=$E76),"━","")))</f>
        <v/>
      </c>
    </row>
    <row r="77" customFormat="false" ht="15" hidden="false" customHeight="false" outlineLevel="0" collapsed="false">
      <c r="A77" s="62" t="str">
        <f aca="false">IF(Tasks!$D77="","",Tasks!$A77)</f>
        <v/>
      </c>
      <c r="B77" s="62" t="str">
        <f aca="false">IF(Tasks!$D77="","",Tasks!$B77)</f>
        <v/>
      </c>
      <c r="C77" s="63" t="str">
        <f aca="false">IF(Tasks!$D77="","",REPT("    ",Tasks!$AE77-1)&amp;Tasks!$D77)</f>
        <v/>
      </c>
      <c r="D77" s="62" t="str">
        <f aca="false">IF(Tasks!$D77="","",IF(Tasks!$AI77,NETWORKDAYS.INTL(Tasks!$R77,Tasks!$S77,WorkWeek,Holidays),N(Tasks!$F77)))</f>
        <v/>
      </c>
      <c r="E77" s="64" t="str">
        <f aca="false">IF(Tasks!$D77="","",Tasks!$N77)</f>
        <v/>
      </c>
      <c r="F77" s="64" t="str">
        <f aca="false">IF(Tasks!$D77="","",Tasks!$O77)</f>
        <v/>
      </c>
      <c r="G77" s="64" t="str">
        <f aca="false">IF(Tasks!$D77="","",Tasks!$R77)</f>
        <v/>
      </c>
      <c r="H77" s="64" t="str">
        <f aca="false">IF(Tasks!$D77="","",Tasks!$S77)</f>
        <v/>
      </c>
      <c r="I77" s="65" t="str">
        <f aca="false">IF(Tasks!$D77="","",Tasks!$V77)</f>
        <v/>
      </c>
      <c r="J77" s="63" t="str">
        <f aca="false">IF(Tasks!$D77="","",Tasks!$X77&amp;"")</f>
        <v/>
      </c>
      <c r="K77" s="66" t="str">
        <f aca="false">IF(Tasks!$D77="","",Tasks!$W77)</f>
        <v/>
      </c>
      <c r="L77" s="67" t="b">
        <f aca="false">IF(Tasks!$D77="",FALSE(),Tasks!$AI77)</f>
        <v>0</v>
      </c>
      <c r="M77" s="67" t="b">
        <f aca="false">AND(Tasks!$AJ77=1,N(Tasks!$F77)=0)</f>
        <v>0</v>
      </c>
      <c r="N77" s="68" t="n">
        <f aca="false">IF(AND(Tasks!$AJ77=1,NOT($M77),N($I77)&gt;0),$G77,0)</f>
        <v>0</v>
      </c>
      <c r="O77" s="68" t="n">
        <f aca="false">IF($N77=0,0,IF($I77&gt;=1,$H77,MAX($N77,$G77+ROUND(($H77-$G77+1)*$I77,0)-1)))</f>
        <v>0</v>
      </c>
      <c r="P77" s="68" t="n">
        <f aca="false">IF(OR(Tasks!$AJ77&lt;&gt;1,$M77,N($I77)&gt;=1),0,IF($O77&gt;0,$O77+1,$G77))</f>
        <v>0</v>
      </c>
      <c r="Q77" s="68" t="n">
        <f aca="false">IF($P77=0,0,$H77)</f>
        <v>0</v>
      </c>
      <c r="R77" s="67" t="b">
        <f aca="false">AND(Tasks!$D77&lt;&gt;"",N(Tasks!$T77)&gt;0)</f>
        <v>0</v>
      </c>
      <c r="T77" s="69" t="str">
        <f aca="false">IF($E77="","",IF($M77,IF(AND($G77&gt;=T$5,$G77&lt;T$5+GanttPeriod),"◆",IF(AND($E77&gt;=T$5,$E77&lt;T$5+GanttPeriod),"◇","")),IF(AND(T$5&lt;=$F77,T$5+GanttPeriod-1&gt;=$E77),"━","")))</f>
        <v/>
      </c>
      <c r="U77" s="69" t="str">
        <f aca="false">IF($E77="","",IF($M77,IF(AND($G77&gt;=U$5,$G77&lt;U$5+GanttPeriod),"◆",IF(AND($E77&gt;=U$5,$E77&lt;U$5+GanttPeriod),"◇","")),IF(AND(U$5&lt;=$F77,U$5+GanttPeriod-1&gt;=$E77),"━","")))</f>
        <v/>
      </c>
      <c r="V77" s="69" t="str">
        <f aca="false">IF($E77="","",IF($M77,IF(AND($G77&gt;=V$5,$G77&lt;V$5+GanttPeriod),"◆",IF(AND($E77&gt;=V$5,$E77&lt;V$5+GanttPeriod),"◇","")),IF(AND(V$5&lt;=$F77,V$5+GanttPeriod-1&gt;=$E77),"━","")))</f>
        <v/>
      </c>
      <c r="W77" s="69" t="str">
        <f aca="false">IF($E77="","",IF($M77,IF(AND($G77&gt;=W$5,$G77&lt;W$5+GanttPeriod),"◆",IF(AND($E77&gt;=W$5,$E77&lt;W$5+GanttPeriod),"◇","")),IF(AND(W$5&lt;=$F77,W$5+GanttPeriod-1&gt;=$E77),"━","")))</f>
        <v/>
      </c>
      <c r="X77" s="69" t="str">
        <f aca="false">IF($E77="","",IF($M77,IF(AND($G77&gt;=X$5,$G77&lt;X$5+GanttPeriod),"◆",IF(AND($E77&gt;=X$5,$E77&lt;X$5+GanttPeriod),"◇","")),IF(AND(X$5&lt;=$F77,X$5+GanttPeriod-1&gt;=$E77),"━","")))</f>
        <v/>
      </c>
      <c r="Y77" s="69" t="str">
        <f aca="false">IF($E77="","",IF($M77,IF(AND($G77&gt;=Y$5,$G77&lt;Y$5+GanttPeriod),"◆",IF(AND($E77&gt;=Y$5,$E77&lt;Y$5+GanttPeriod),"◇","")),IF(AND(Y$5&lt;=$F77,Y$5+GanttPeriod-1&gt;=$E77),"━","")))</f>
        <v/>
      </c>
      <c r="Z77" s="69" t="str">
        <f aca="false">IF($E77="","",IF($M77,IF(AND($G77&gt;=Z$5,$G77&lt;Z$5+GanttPeriod),"◆",IF(AND($E77&gt;=Z$5,$E77&lt;Z$5+GanttPeriod),"◇","")),IF(AND(Z$5&lt;=$F77,Z$5+GanttPeriod-1&gt;=$E77),"━","")))</f>
        <v/>
      </c>
      <c r="AA77" s="69" t="str">
        <f aca="false">IF($E77="","",IF($M77,IF(AND($G77&gt;=AA$5,$G77&lt;AA$5+GanttPeriod),"◆",IF(AND($E77&gt;=AA$5,$E77&lt;AA$5+GanttPeriod),"◇","")),IF(AND(AA$5&lt;=$F77,AA$5+GanttPeriod-1&gt;=$E77),"━","")))</f>
        <v/>
      </c>
      <c r="AB77" s="69" t="str">
        <f aca="false">IF($E77="","",IF($M77,IF(AND($G77&gt;=AB$5,$G77&lt;AB$5+GanttPeriod),"◆",IF(AND($E77&gt;=AB$5,$E77&lt;AB$5+GanttPeriod),"◇","")),IF(AND(AB$5&lt;=$F77,AB$5+GanttPeriod-1&gt;=$E77),"━","")))</f>
        <v/>
      </c>
      <c r="AC77" s="69" t="str">
        <f aca="false">IF($E77="","",IF($M77,IF(AND($G77&gt;=AC$5,$G77&lt;AC$5+GanttPeriod),"◆",IF(AND($E77&gt;=AC$5,$E77&lt;AC$5+GanttPeriod),"◇","")),IF(AND(AC$5&lt;=$F77,AC$5+GanttPeriod-1&gt;=$E77),"━","")))</f>
        <v/>
      </c>
      <c r="AD77" s="69" t="str">
        <f aca="false">IF($E77="","",IF($M77,IF(AND($G77&gt;=AD$5,$G77&lt;AD$5+GanttPeriod),"◆",IF(AND($E77&gt;=AD$5,$E77&lt;AD$5+GanttPeriod),"◇","")),IF(AND(AD$5&lt;=$F77,AD$5+GanttPeriod-1&gt;=$E77),"━","")))</f>
        <v/>
      </c>
      <c r="AE77" s="69" t="str">
        <f aca="false">IF($E77="","",IF($M77,IF(AND($G77&gt;=AE$5,$G77&lt;AE$5+GanttPeriod),"◆",IF(AND($E77&gt;=AE$5,$E77&lt;AE$5+GanttPeriod),"◇","")),IF(AND(AE$5&lt;=$F77,AE$5+GanttPeriod-1&gt;=$E77),"━","")))</f>
        <v/>
      </c>
      <c r="AF77" s="69" t="str">
        <f aca="false">IF($E77="","",IF($M77,IF(AND($G77&gt;=AF$5,$G77&lt;AF$5+GanttPeriod),"◆",IF(AND($E77&gt;=AF$5,$E77&lt;AF$5+GanttPeriod),"◇","")),IF(AND(AF$5&lt;=$F77,AF$5+GanttPeriod-1&gt;=$E77),"━","")))</f>
        <v/>
      </c>
      <c r="AG77" s="69" t="str">
        <f aca="false">IF($E77="","",IF($M77,IF(AND($G77&gt;=AG$5,$G77&lt;AG$5+GanttPeriod),"◆",IF(AND($E77&gt;=AG$5,$E77&lt;AG$5+GanttPeriod),"◇","")),IF(AND(AG$5&lt;=$F77,AG$5+GanttPeriod-1&gt;=$E77),"━","")))</f>
        <v/>
      </c>
      <c r="AH77" s="69" t="str">
        <f aca="false">IF($E77="","",IF($M77,IF(AND($G77&gt;=AH$5,$G77&lt;AH$5+GanttPeriod),"◆",IF(AND($E77&gt;=AH$5,$E77&lt;AH$5+GanttPeriod),"◇","")),IF(AND(AH$5&lt;=$F77,AH$5+GanttPeriod-1&gt;=$E77),"━","")))</f>
        <v/>
      </c>
      <c r="AI77" s="69" t="str">
        <f aca="false">IF($E77="","",IF($M77,IF(AND($G77&gt;=AI$5,$G77&lt;AI$5+GanttPeriod),"◆",IF(AND($E77&gt;=AI$5,$E77&lt;AI$5+GanttPeriod),"◇","")),IF(AND(AI$5&lt;=$F77,AI$5+GanttPeriod-1&gt;=$E77),"━","")))</f>
        <v/>
      </c>
      <c r="AJ77" s="69" t="str">
        <f aca="false">IF($E77="","",IF($M77,IF(AND($G77&gt;=AJ$5,$G77&lt;AJ$5+GanttPeriod),"◆",IF(AND($E77&gt;=AJ$5,$E77&lt;AJ$5+GanttPeriod),"◇","")),IF(AND(AJ$5&lt;=$F77,AJ$5+GanttPeriod-1&gt;=$E77),"━","")))</f>
        <v/>
      </c>
      <c r="AK77" s="69" t="str">
        <f aca="false">IF($E77="","",IF($M77,IF(AND($G77&gt;=AK$5,$G77&lt;AK$5+GanttPeriod),"◆",IF(AND($E77&gt;=AK$5,$E77&lt;AK$5+GanttPeriod),"◇","")),IF(AND(AK$5&lt;=$F77,AK$5+GanttPeriod-1&gt;=$E77),"━","")))</f>
        <v/>
      </c>
      <c r="AL77" s="69" t="str">
        <f aca="false">IF($E77="","",IF($M77,IF(AND($G77&gt;=AL$5,$G77&lt;AL$5+GanttPeriod),"◆",IF(AND($E77&gt;=AL$5,$E77&lt;AL$5+GanttPeriod),"◇","")),IF(AND(AL$5&lt;=$F77,AL$5+GanttPeriod-1&gt;=$E77),"━","")))</f>
        <v/>
      </c>
      <c r="AM77" s="69" t="str">
        <f aca="false">IF($E77="","",IF($M77,IF(AND($G77&gt;=AM$5,$G77&lt;AM$5+GanttPeriod),"◆",IF(AND($E77&gt;=AM$5,$E77&lt;AM$5+GanttPeriod),"◇","")),IF(AND(AM$5&lt;=$F77,AM$5+GanttPeriod-1&gt;=$E77),"━","")))</f>
        <v/>
      </c>
      <c r="AN77" s="69" t="str">
        <f aca="false">IF($E77="","",IF($M77,IF(AND($G77&gt;=AN$5,$G77&lt;AN$5+GanttPeriod),"◆",IF(AND($E77&gt;=AN$5,$E77&lt;AN$5+GanttPeriod),"◇","")),IF(AND(AN$5&lt;=$F77,AN$5+GanttPeriod-1&gt;=$E77),"━","")))</f>
        <v/>
      </c>
      <c r="AO77" s="69" t="str">
        <f aca="false">IF($E77="","",IF($M77,IF(AND($G77&gt;=AO$5,$G77&lt;AO$5+GanttPeriod),"◆",IF(AND($E77&gt;=AO$5,$E77&lt;AO$5+GanttPeriod),"◇","")),IF(AND(AO$5&lt;=$F77,AO$5+GanttPeriod-1&gt;=$E77),"━","")))</f>
        <v/>
      </c>
      <c r="AP77" s="69" t="str">
        <f aca="false">IF($E77="","",IF($M77,IF(AND($G77&gt;=AP$5,$G77&lt;AP$5+GanttPeriod),"◆",IF(AND($E77&gt;=AP$5,$E77&lt;AP$5+GanttPeriod),"◇","")),IF(AND(AP$5&lt;=$F77,AP$5+GanttPeriod-1&gt;=$E77),"━","")))</f>
        <v/>
      </c>
      <c r="AQ77" s="69" t="str">
        <f aca="false">IF($E77="","",IF($M77,IF(AND($G77&gt;=AQ$5,$G77&lt;AQ$5+GanttPeriod),"◆",IF(AND($E77&gt;=AQ$5,$E77&lt;AQ$5+GanttPeriod),"◇","")),IF(AND(AQ$5&lt;=$F77,AQ$5+GanttPeriod-1&gt;=$E77),"━","")))</f>
        <v/>
      </c>
      <c r="AR77" s="69" t="str">
        <f aca="false">IF($E77="","",IF($M77,IF(AND($G77&gt;=AR$5,$G77&lt;AR$5+GanttPeriod),"◆",IF(AND($E77&gt;=AR$5,$E77&lt;AR$5+GanttPeriod),"◇","")),IF(AND(AR$5&lt;=$F77,AR$5+GanttPeriod-1&gt;=$E77),"━","")))</f>
        <v/>
      </c>
      <c r="AS77" s="69" t="str">
        <f aca="false">IF($E77="","",IF($M77,IF(AND($G77&gt;=AS$5,$G77&lt;AS$5+GanttPeriod),"◆",IF(AND($E77&gt;=AS$5,$E77&lt;AS$5+GanttPeriod),"◇","")),IF(AND(AS$5&lt;=$F77,AS$5+GanttPeriod-1&gt;=$E77),"━","")))</f>
        <v/>
      </c>
      <c r="AT77" s="69" t="str">
        <f aca="false">IF($E77="","",IF($M77,IF(AND($G77&gt;=AT$5,$G77&lt;AT$5+GanttPeriod),"◆",IF(AND($E77&gt;=AT$5,$E77&lt;AT$5+GanttPeriod),"◇","")),IF(AND(AT$5&lt;=$F77,AT$5+GanttPeriod-1&gt;=$E77),"━","")))</f>
        <v/>
      </c>
      <c r="AU77" s="69" t="str">
        <f aca="false">IF($E77="","",IF($M77,IF(AND($G77&gt;=AU$5,$G77&lt;AU$5+GanttPeriod),"◆",IF(AND($E77&gt;=AU$5,$E77&lt;AU$5+GanttPeriod),"◇","")),IF(AND(AU$5&lt;=$F77,AU$5+GanttPeriod-1&gt;=$E77),"━","")))</f>
        <v/>
      </c>
      <c r="AV77" s="69" t="str">
        <f aca="false">IF($E77="","",IF($M77,IF(AND($G77&gt;=AV$5,$G77&lt;AV$5+GanttPeriod),"◆",IF(AND($E77&gt;=AV$5,$E77&lt;AV$5+GanttPeriod),"◇","")),IF(AND(AV$5&lt;=$F77,AV$5+GanttPeriod-1&gt;=$E77),"━","")))</f>
        <v/>
      </c>
      <c r="AW77" s="69" t="str">
        <f aca="false">IF($E77="","",IF($M77,IF(AND($G77&gt;=AW$5,$G77&lt;AW$5+GanttPeriod),"◆",IF(AND($E77&gt;=AW$5,$E77&lt;AW$5+GanttPeriod),"◇","")),IF(AND(AW$5&lt;=$F77,AW$5+GanttPeriod-1&gt;=$E77),"━","")))</f>
        <v/>
      </c>
      <c r="AX77" s="69" t="str">
        <f aca="false">IF($E77="","",IF($M77,IF(AND($G77&gt;=AX$5,$G77&lt;AX$5+GanttPeriod),"◆",IF(AND($E77&gt;=AX$5,$E77&lt;AX$5+GanttPeriod),"◇","")),IF(AND(AX$5&lt;=$F77,AX$5+GanttPeriod-1&gt;=$E77),"━","")))</f>
        <v/>
      </c>
      <c r="AY77" s="69" t="str">
        <f aca="false">IF($E77="","",IF($M77,IF(AND($G77&gt;=AY$5,$G77&lt;AY$5+GanttPeriod),"◆",IF(AND($E77&gt;=AY$5,$E77&lt;AY$5+GanttPeriod),"◇","")),IF(AND(AY$5&lt;=$F77,AY$5+GanttPeriod-1&gt;=$E77),"━","")))</f>
        <v/>
      </c>
      <c r="AZ77" s="69" t="str">
        <f aca="false">IF($E77="","",IF($M77,IF(AND($G77&gt;=AZ$5,$G77&lt;AZ$5+GanttPeriod),"◆",IF(AND($E77&gt;=AZ$5,$E77&lt;AZ$5+GanttPeriod),"◇","")),IF(AND(AZ$5&lt;=$F77,AZ$5+GanttPeriod-1&gt;=$E77),"━","")))</f>
        <v/>
      </c>
      <c r="BA77" s="69" t="str">
        <f aca="false">IF($E77="","",IF($M77,IF(AND($G77&gt;=BA$5,$G77&lt;BA$5+GanttPeriod),"◆",IF(AND($E77&gt;=BA$5,$E77&lt;BA$5+GanttPeriod),"◇","")),IF(AND(BA$5&lt;=$F77,BA$5+GanttPeriod-1&gt;=$E77),"━","")))</f>
        <v/>
      </c>
      <c r="BB77" s="69" t="str">
        <f aca="false">IF($E77="","",IF($M77,IF(AND($G77&gt;=BB$5,$G77&lt;BB$5+GanttPeriod),"◆",IF(AND($E77&gt;=BB$5,$E77&lt;BB$5+GanttPeriod),"◇","")),IF(AND(BB$5&lt;=$F77,BB$5+GanttPeriod-1&gt;=$E77),"━","")))</f>
        <v/>
      </c>
      <c r="BC77" s="69" t="str">
        <f aca="false">IF($E77="","",IF($M77,IF(AND($G77&gt;=BC$5,$G77&lt;BC$5+GanttPeriod),"◆",IF(AND($E77&gt;=BC$5,$E77&lt;BC$5+GanttPeriod),"◇","")),IF(AND(BC$5&lt;=$F77,BC$5+GanttPeriod-1&gt;=$E77),"━","")))</f>
        <v/>
      </c>
      <c r="BD77" s="69" t="str">
        <f aca="false">IF($E77="","",IF($M77,IF(AND($G77&gt;=BD$5,$G77&lt;BD$5+GanttPeriod),"◆",IF(AND($E77&gt;=BD$5,$E77&lt;BD$5+GanttPeriod),"◇","")),IF(AND(BD$5&lt;=$F77,BD$5+GanttPeriod-1&gt;=$E77),"━","")))</f>
        <v/>
      </c>
      <c r="BE77" s="69" t="str">
        <f aca="false">IF($E77="","",IF($M77,IF(AND($G77&gt;=BE$5,$G77&lt;BE$5+GanttPeriod),"◆",IF(AND($E77&gt;=BE$5,$E77&lt;BE$5+GanttPeriod),"◇","")),IF(AND(BE$5&lt;=$F77,BE$5+GanttPeriod-1&gt;=$E77),"━","")))</f>
        <v/>
      </c>
      <c r="BF77" s="69" t="str">
        <f aca="false">IF($E77="","",IF($M77,IF(AND($G77&gt;=BF$5,$G77&lt;BF$5+GanttPeriod),"◆",IF(AND($E77&gt;=BF$5,$E77&lt;BF$5+GanttPeriod),"◇","")),IF(AND(BF$5&lt;=$F77,BF$5+GanttPeriod-1&gt;=$E77),"━","")))</f>
        <v/>
      </c>
      <c r="BG77" s="69" t="str">
        <f aca="false">IF($E77="","",IF($M77,IF(AND($G77&gt;=BG$5,$G77&lt;BG$5+GanttPeriod),"◆",IF(AND($E77&gt;=BG$5,$E77&lt;BG$5+GanttPeriod),"◇","")),IF(AND(BG$5&lt;=$F77,BG$5+GanttPeriod-1&gt;=$E77),"━","")))</f>
        <v/>
      </c>
      <c r="BH77" s="69" t="str">
        <f aca="false">IF($E77="","",IF($M77,IF(AND($G77&gt;=BH$5,$G77&lt;BH$5+GanttPeriod),"◆",IF(AND($E77&gt;=BH$5,$E77&lt;BH$5+GanttPeriod),"◇","")),IF(AND(BH$5&lt;=$F77,BH$5+GanttPeriod-1&gt;=$E77),"━","")))</f>
        <v/>
      </c>
      <c r="BI77" s="69" t="str">
        <f aca="false">IF($E77="","",IF($M77,IF(AND($G77&gt;=BI$5,$G77&lt;BI$5+GanttPeriod),"◆",IF(AND($E77&gt;=BI$5,$E77&lt;BI$5+GanttPeriod),"◇","")),IF(AND(BI$5&lt;=$F77,BI$5+GanttPeriod-1&gt;=$E77),"━","")))</f>
        <v/>
      </c>
      <c r="BJ77" s="69" t="str">
        <f aca="false">IF($E77="","",IF($M77,IF(AND($G77&gt;=BJ$5,$G77&lt;BJ$5+GanttPeriod),"◆",IF(AND($E77&gt;=BJ$5,$E77&lt;BJ$5+GanttPeriod),"◇","")),IF(AND(BJ$5&lt;=$F77,BJ$5+GanttPeriod-1&gt;=$E77),"━","")))</f>
        <v/>
      </c>
      <c r="BK77" s="69" t="str">
        <f aca="false">IF($E77="","",IF($M77,IF(AND($G77&gt;=BK$5,$G77&lt;BK$5+GanttPeriod),"◆",IF(AND($E77&gt;=BK$5,$E77&lt;BK$5+GanttPeriod),"◇","")),IF(AND(BK$5&lt;=$F77,BK$5+GanttPeriod-1&gt;=$E77),"━","")))</f>
        <v/>
      </c>
      <c r="BL77" s="69" t="str">
        <f aca="false">IF($E77="","",IF($M77,IF(AND($G77&gt;=BL$5,$G77&lt;BL$5+GanttPeriod),"◆",IF(AND($E77&gt;=BL$5,$E77&lt;BL$5+GanttPeriod),"◇","")),IF(AND(BL$5&lt;=$F77,BL$5+GanttPeriod-1&gt;=$E77),"━","")))</f>
        <v/>
      </c>
      <c r="BM77" s="69" t="str">
        <f aca="false">IF($E77="","",IF($M77,IF(AND($G77&gt;=BM$5,$G77&lt;BM$5+GanttPeriod),"◆",IF(AND($E77&gt;=BM$5,$E77&lt;BM$5+GanttPeriod),"◇","")),IF(AND(BM$5&lt;=$F77,BM$5+GanttPeriod-1&gt;=$E77),"━","")))</f>
        <v/>
      </c>
      <c r="BN77" s="69" t="str">
        <f aca="false">IF($E77="","",IF($M77,IF(AND($G77&gt;=BN$5,$G77&lt;BN$5+GanttPeriod),"◆",IF(AND($E77&gt;=BN$5,$E77&lt;BN$5+GanttPeriod),"◇","")),IF(AND(BN$5&lt;=$F77,BN$5+GanttPeriod-1&gt;=$E77),"━","")))</f>
        <v/>
      </c>
      <c r="BO77" s="69" t="str">
        <f aca="false">IF($E77="","",IF($M77,IF(AND($G77&gt;=BO$5,$G77&lt;BO$5+GanttPeriod),"◆",IF(AND($E77&gt;=BO$5,$E77&lt;BO$5+GanttPeriod),"◇","")),IF(AND(BO$5&lt;=$F77,BO$5+GanttPeriod-1&gt;=$E77),"━","")))</f>
        <v/>
      </c>
      <c r="BP77" s="69" t="str">
        <f aca="false">IF($E77="","",IF($M77,IF(AND($G77&gt;=BP$5,$G77&lt;BP$5+GanttPeriod),"◆",IF(AND($E77&gt;=BP$5,$E77&lt;BP$5+GanttPeriod),"◇","")),IF(AND(BP$5&lt;=$F77,BP$5+GanttPeriod-1&gt;=$E77),"━","")))</f>
        <v/>
      </c>
      <c r="BQ77" s="69" t="str">
        <f aca="false">IF($E77="","",IF($M77,IF(AND($G77&gt;=BQ$5,$G77&lt;BQ$5+GanttPeriod),"◆",IF(AND($E77&gt;=BQ$5,$E77&lt;BQ$5+GanttPeriod),"◇","")),IF(AND(BQ$5&lt;=$F77,BQ$5+GanttPeriod-1&gt;=$E77),"━","")))</f>
        <v/>
      </c>
      <c r="BR77" s="69" t="str">
        <f aca="false">IF($E77="","",IF($M77,IF(AND($G77&gt;=BR$5,$G77&lt;BR$5+GanttPeriod),"◆",IF(AND($E77&gt;=BR$5,$E77&lt;BR$5+GanttPeriod),"◇","")),IF(AND(BR$5&lt;=$F77,BR$5+GanttPeriod-1&gt;=$E77),"━","")))</f>
        <v/>
      </c>
      <c r="BS77" s="69" t="str">
        <f aca="false">IF($E77="","",IF($M77,IF(AND($G77&gt;=BS$5,$G77&lt;BS$5+GanttPeriod),"◆",IF(AND($E77&gt;=BS$5,$E77&lt;BS$5+GanttPeriod),"◇","")),IF(AND(BS$5&lt;=$F77,BS$5+GanttPeriod-1&gt;=$E77),"━","")))</f>
        <v/>
      </c>
      <c r="BT77" s="69" t="str">
        <f aca="false">IF($E77="","",IF($M77,IF(AND($G77&gt;=BT$5,$G77&lt;BT$5+GanttPeriod),"◆",IF(AND($E77&gt;=BT$5,$E77&lt;BT$5+GanttPeriod),"◇","")),IF(AND(BT$5&lt;=$F77,BT$5+GanttPeriod-1&gt;=$E77),"━","")))</f>
        <v/>
      </c>
      <c r="BU77" s="69" t="str">
        <f aca="false">IF($E77="","",IF($M77,IF(AND($G77&gt;=BU$5,$G77&lt;BU$5+GanttPeriod),"◆",IF(AND($E77&gt;=BU$5,$E77&lt;BU$5+GanttPeriod),"◇","")),IF(AND(BU$5&lt;=$F77,BU$5+GanttPeriod-1&gt;=$E77),"━","")))</f>
        <v/>
      </c>
      <c r="BV77" s="69" t="str">
        <f aca="false">IF($E77="","",IF($M77,IF(AND($G77&gt;=BV$5,$G77&lt;BV$5+GanttPeriod),"◆",IF(AND($E77&gt;=BV$5,$E77&lt;BV$5+GanttPeriod),"◇","")),IF(AND(BV$5&lt;=$F77,BV$5+GanttPeriod-1&gt;=$E77),"━","")))</f>
        <v/>
      </c>
      <c r="BW77" s="69" t="str">
        <f aca="false">IF($E77="","",IF($M77,IF(AND($G77&gt;=BW$5,$G77&lt;BW$5+GanttPeriod),"◆",IF(AND($E77&gt;=BW$5,$E77&lt;BW$5+GanttPeriod),"◇","")),IF(AND(BW$5&lt;=$F77,BW$5+GanttPeriod-1&gt;=$E77),"━","")))</f>
        <v/>
      </c>
      <c r="BX77" s="69" t="str">
        <f aca="false">IF($E77="","",IF($M77,IF(AND($G77&gt;=BX$5,$G77&lt;BX$5+GanttPeriod),"◆",IF(AND($E77&gt;=BX$5,$E77&lt;BX$5+GanttPeriod),"◇","")),IF(AND(BX$5&lt;=$F77,BX$5+GanttPeriod-1&gt;=$E77),"━","")))</f>
        <v/>
      </c>
      <c r="BY77" s="69" t="str">
        <f aca="false">IF($E77="","",IF($M77,IF(AND($G77&gt;=BY$5,$G77&lt;BY$5+GanttPeriod),"◆",IF(AND($E77&gt;=BY$5,$E77&lt;BY$5+GanttPeriod),"◇","")),IF(AND(BY$5&lt;=$F77,BY$5+GanttPeriod-1&gt;=$E77),"━","")))</f>
        <v/>
      </c>
      <c r="BZ77" s="69" t="str">
        <f aca="false">IF($E77="","",IF($M77,IF(AND($G77&gt;=BZ$5,$G77&lt;BZ$5+GanttPeriod),"◆",IF(AND($E77&gt;=BZ$5,$E77&lt;BZ$5+GanttPeriod),"◇","")),IF(AND(BZ$5&lt;=$F77,BZ$5+GanttPeriod-1&gt;=$E77),"━","")))</f>
        <v/>
      </c>
      <c r="CA77" s="69" t="str">
        <f aca="false">IF($E77="","",IF($M77,IF(AND($G77&gt;=CA$5,$G77&lt;CA$5+GanttPeriod),"◆",IF(AND($E77&gt;=CA$5,$E77&lt;CA$5+GanttPeriod),"◇","")),IF(AND(CA$5&lt;=$F77,CA$5+GanttPeriod-1&gt;=$E77),"━","")))</f>
        <v/>
      </c>
      <c r="CB77" s="69" t="str">
        <f aca="false">IF($E77="","",IF($M77,IF(AND($G77&gt;=CB$5,$G77&lt;CB$5+GanttPeriod),"◆",IF(AND($E77&gt;=CB$5,$E77&lt;CB$5+GanttPeriod),"◇","")),IF(AND(CB$5&lt;=$F77,CB$5+GanttPeriod-1&gt;=$E77),"━","")))</f>
        <v/>
      </c>
      <c r="CC77" s="69" t="str">
        <f aca="false">IF($E77="","",IF($M77,IF(AND($G77&gt;=CC$5,$G77&lt;CC$5+GanttPeriod),"◆",IF(AND($E77&gt;=CC$5,$E77&lt;CC$5+GanttPeriod),"◇","")),IF(AND(CC$5&lt;=$F77,CC$5+GanttPeriod-1&gt;=$E77),"━","")))</f>
        <v/>
      </c>
      <c r="CD77" s="69" t="str">
        <f aca="false">IF($E77="","",IF($M77,IF(AND($G77&gt;=CD$5,$G77&lt;CD$5+GanttPeriod),"◆",IF(AND($E77&gt;=CD$5,$E77&lt;CD$5+GanttPeriod),"◇","")),IF(AND(CD$5&lt;=$F77,CD$5+GanttPeriod-1&gt;=$E77),"━","")))</f>
        <v/>
      </c>
      <c r="CE77" s="69" t="str">
        <f aca="false">IF($E77="","",IF($M77,IF(AND($G77&gt;=CE$5,$G77&lt;CE$5+GanttPeriod),"◆",IF(AND($E77&gt;=CE$5,$E77&lt;CE$5+GanttPeriod),"◇","")),IF(AND(CE$5&lt;=$F77,CE$5+GanttPeriod-1&gt;=$E77),"━","")))</f>
        <v/>
      </c>
      <c r="CF77" s="69" t="str">
        <f aca="false">IF($E77="","",IF($M77,IF(AND($G77&gt;=CF$5,$G77&lt;CF$5+GanttPeriod),"◆",IF(AND($E77&gt;=CF$5,$E77&lt;CF$5+GanttPeriod),"◇","")),IF(AND(CF$5&lt;=$F77,CF$5+GanttPeriod-1&gt;=$E77),"━","")))</f>
        <v/>
      </c>
      <c r="CG77" s="69" t="str">
        <f aca="false">IF($E77="","",IF($M77,IF(AND($G77&gt;=CG$5,$G77&lt;CG$5+GanttPeriod),"◆",IF(AND($E77&gt;=CG$5,$E77&lt;CG$5+GanttPeriod),"◇","")),IF(AND(CG$5&lt;=$F77,CG$5+GanttPeriod-1&gt;=$E77),"━","")))</f>
        <v/>
      </c>
      <c r="CH77" s="69" t="str">
        <f aca="false">IF($E77="","",IF($M77,IF(AND($G77&gt;=CH$5,$G77&lt;CH$5+GanttPeriod),"◆",IF(AND($E77&gt;=CH$5,$E77&lt;CH$5+GanttPeriod),"◇","")),IF(AND(CH$5&lt;=$F77,CH$5+GanttPeriod-1&gt;=$E77),"━","")))</f>
        <v/>
      </c>
      <c r="CI77" s="69" t="str">
        <f aca="false">IF($E77="","",IF($M77,IF(AND($G77&gt;=CI$5,$G77&lt;CI$5+GanttPeriod),"◆",IF(AND($E77&gt;=CI$5,$E77&lt;CI$5+GanttPeriod),"◇","")),IF(AND(CI$5&lt;=$F77,CI$5+GanttPeriod-1&gt;=$E77),"━","")))</f>
        <v/>
      </c>
      <c r="CJ77" s="69" t="str">
        <f aca="false">IF($E77="","",IF($M77,IF(AND($G77&gt;=CJ$5,$G77&lt;CJ$5+GanttPeriod),"◆",IF(AND($E77&gt;=CJ$5,$E77&lt;CJ$5+GanttPeriod),"◇","")),IF(AND(CJ$5&lt;=$F77,CJ$5+GanttPeriod-1&gt;=$E77),"━","")))</f>
        <v/>
      </c>
      <c r="CK77" s="69" t="str">
        <f aca="false">IF($E77="","",IF($M77,IF(AND($G77&gt;=CK$5,$G77&lt;CK$5+GanttPeriod),"◆",IF(AND($E77&gt;=CK$5,$E77&lt;CK$5+GanttPeriod),"◇","")),IF(AND(CK$5&lt;=$F77,CK$5+GanttPeriod-1&gt;=$E77),"━","")))</f>
        <v/>
      </c>
      <c r="CL77" s="69" t="str">
        <f aca="false">IF($E77="","",IF($M77,IF(AND($G77&gt;=CL$5,$G77&lt;CL$5+GanttPeriod),"◆",IF(AND($E77&gt;=CL$5,$E77&lt;CL$5+GanttPeriod),"◇","")),IF(AND(CL$5&lt;=$F77,CL$5+GanttPeriod-1&gt;=$E77),"━","")))</f>
        <v/>
      </c>
      <c r="CM77" s="69" t="str">
        <f aca="false">IF($E77="","",IF($M77,IF(AND($G77&gt;=CM$5,$G77&lt;CM$5+GanttPeriod),"◆",IF(AND($E77&gt;=CM$5,$E77&lt;CM$5+GanttPeriod),"◇","")),IF(AND(CM$5&lt;=$F77,CM$5+GanttPeriod-1&gt;=$E77),"━","")))</f>
        <v/>
      </c>
      <c r="CN77" s="69" t="str">
        <f aca="false">IF($E77="","",IF($M77,IF(AND($G77&gt;=CN$5,$G77&lt;CN$5+GanttPeriod),"◆",IF(AND($E77&gt;=CN$5,$E77&lt;CN$5+GanttPeriod),"◇","")),IF(AND(CN$5&lt;=$F77,CN$5+GanttPeriod-1&gt;=$E77),"━","")))</f>
        <v/>
      </c>
      <c r="CO77" s="69" t="str">
        <f aca="false">IF($E77="","",IF($M77,IF(AND($G77&gt;=CO$5,$G77&lt;CO$5+GanttPeriod),"◆",IF(AND($E77&gt;=CO$5,$E77&lt;CO$5+GanttPeriod),"◇","")),IF(AND(CO$5&lt;=$F77,CO$5+GanttPeriod-1&gt;=$E77),"━","")))</f>
        <v/>
      </c>
      <c r="CP77" s="69" t="str">
        <f aca="false">IF($E77="","",IF($M77,IF(AND($G77&gt;=CP$5,$G77&lt;CP$5+GanttPeriod),"◆",IF(AND($E77&gt;=CP$5,$E77&lt;CP$5+GanttPeriod),"◇","")),IF(AND(CP$5&lt;=$F77,CP$5+GanttPeriod-1&gt;=$E77),"━","")))</f>
        <v/>
      </c>
      <c r="CQ77" s="69" t="str">
        <f aca="false">IF($E77="","",IF($M77,IF(AND($G77&gt;=CQ$5,$G77&lt;CQ$5+GanttPeriod),"◆",IF(AND($E77&gt;=CQ$5,$E77&lt;CQ$5+GanttPeriod),"◇","")),IF(AND(CQ$5&lt;=$F77,CQ$5+GanttPeriod-1&gt;=$E77),"━","")))</f>
        <v/>
      </c>
      <c r="CR77" s="69" t="str">
        <f aca="false">IF($E77="","",IF($M77,IF(AND($G77&gt;=CR$5,$G77&lt;CR$5+GanttPeriod),"◆",IF(AND($E77&gt;=CR$5,$E77&lt;CR$5+GanttPeriod),"◇","")),IF(AND(CR$5&lt;=$F77,CR$5+GanttPeriod-1&gt;=$E77),"━","")))</f>
        <v/>
      </c>
      <c r="CS77" s="69" t="str">
        <f aca="false">IF($E77="","",IF($M77,IF(AND($G77&gt;=CS$5,$G77&lt;CS$5+GanttPeriod),"◆",IF(AND($E77&gt;=CS$5,$E77&lt;CS$5+GanttPeriod),"◇","")),IF(AND(CS$5&lt;=$F77,CS$5+GanttPeriod-1&gt;=$E77),"━","")))</f>
        <v/>
      </c>
      <c r="CT77" s="69" t="str">
        <f aca="false">IF($E77="","",IF($M77,IF(AND($G77&gt;=CT$5,$G77&lt;CT$5+GanttPeriod),"◆",IF(AND($E77&gt;=CT$5,$E77&lt;CT$5+GanttPeriod),"◇","")),IF(AND(CT$5&lt;=$F77,CT$5+GanttPeriod-1&gt;=$E77),"━","")))</f>
        <v/>
      </c>
      <c r="CU77" s="69" t="str">
        <f aca="false">IF($E77="","",IF($M77,IF(AND($G77&gt;=CU$5,$G77&lt;CU$5+GanttPeriod),"◆",IF(AND($E77&gt;=CU$5,$E77&lt;CU$5+GanttPeriod),"◇","")),IF(AND(CU$5&lt;=$F77,CU$5+GanttPeriod-1&gt;=$E77),"━","")))</f>
        <v/>
      </c>
      <c r="CV77" s="69" t="str">
        <f aca="false">IF($E77="","",IF($M77,IF(AND($G77&gt;=CV$5,$G77&lt;CV$5+GanttPeriod),"◆",IF(AND($E77&gt;=CV$5,$E77&lt;CV$5+GanttPeriod),"◇","")),IF(AND(CV$5&lt;=$F77,CV$5+GanttPeriod-1&gt;=$E77),"━","")))</f>
        <v/>
      </c>
      <c r="CW77" s="69" t="str">
        <f aca="false">IF($E77="","",IF($M77,IF(AND($G77&gt;=CW$5,$G77&lt;CW$5+GanttPeriod),"◆",IF(AND($E77&gt;=CW$5,$E77&lt;CW$5+GanttPeriod),"◇","")),IF(AND(CW$5&lt;=$F77,CW$5+GanttPeriod-1&gt;=$E77),"━","")))</f>
        <v/>
      </c>
      <c r="CX77" s="69" t="str">
        <f aca="false">IF($E77="","",IF($M77,IF(AND($G77&gt;=CX$5,$G77&lt;CX$5+GanttPeriod),"◆",IF(AND($E77&gt;=CX$5,$E77&lt;CX$5+GanttPeriod),"◇","")),IF(AND(CX$5&lt;=$F77,CX$5+GanttPeriod-1&gt;=$E77),"━","")))</f>
        <v/>
      </c>
      <c r="CY77" s="69" t="str">
        <f aca="false">IF($E77="","",IF($M77,IF(AND($G77&gt;=CY$5,$G77&lt;CY$5+GanttPeriod),"◆",IF(AND($E77&gt;=CY$5,$E77&lt;CY$5+GanttPeriod),"◇","")),IF(AND(CY$5&lt;=$F77,CY$5+GanttPeriod-1&gt;=$E77),"━","")))</f>
        <v/>
      </c>
      <c r="CZ77" s="69" t="str">
        <f aca="false">IF($E77="","",IF($M77,IF(AND($G77&gt;=CZ$5,$G77&lt;CZ$5+GanttPeriod),"◆",IF(AND($E77&gt;=CZ$5,$E77&lt;CZ$5+GanttPeriod),"◇","")),IF(AND(CZ$5&lt;=$F77,CZ$5+GanttPeriod-1&gt;=$E77),"━","")))</f>
        <v/>
      </c>
      <c r="DA77" s="69" t="str">
        <f aca="false">IF($E77="","",IF($M77,IF(AND($G77&gt;=DA$5,$G77&lt;DA$5+GanttPeriod),"◆",IF(AND($E77&gt;=DA$5,$E77&lt;DA$5+GanttPeriod),"◇","")),IF(AND(DA$5&lt;=$F77,DA$5+GanttPeriod-1&gt;=$E77),"━","")))</f>
        <v/>
      </c>
      <c r="DB77" s="69" t="str">
        <f aca="false">IF($E77="","",IF($M77,IF(AND($G77&gt;=DB$5,$G77&lt;DB$5+GanttPeriod),"◆",IF(AND($E77&gt;=DB$5,$E77&lt;DB$5+GanttPeriod),"◇","")),IF(AND(DB$5&lt;=$F77,DB$5+GanttPeriod-1&gt;=$E77),"━","")))</f>
        <v/>
      </c>
      <c r="DC77" s="69" t="str">
        <f aca="false">IF($E77="","",IF($M77,IF(AND($G77&gt;=DC$5,$G77&lt;DC$5+GanttPeriod),"◆",IF(AND($E77&gt;=DC$5,$E77&lt;DC$5+GanttPeriod),"◇","")),IF(AND(DC$5&lt;=$F77,DC$5+GanttPeriod-1&gt;=$E77),"━","")))</f>
        <v/>
      </c>
      <c r="DD77" s="69" t="str">
        <f aca="false">IF($E77="","",IF($M77,IF(AND($G77&gt;=DD$5,$G77&lt;DD$5+GanttPeriod),"◆",IF(AND($E77&gt;=DD$5,$E77&lt;DD$5+GanttPeriod),"◇","")),IF(AND(DD$5&lt;=$F77,DD$5+GanttPeriod-1&gt;=$E77),"━","")))</f>
        <v/>
      </c>
      <c r="DE77" s="69" t="str">
        <f aca="false">IF($E77="","",IF($M77,IF(AND($G77&gt;=DE$5,$G77&lt;DE$5+GanttPeriod),"◆",IF(AND($E77&gt;=DE$5,$E77&lt;DE$5+GanttPeriod),"◇","")),IF(AND(DE$5&lt;=$F77,DE$5+GanttPeriod-1&gt;=$E77),"━","")))</f>
        <v/>
      </c>
      <c r="DF77" s="69" t="str">
        <f aca="false">IF($E77="","",IF($M77,IF(AND($G77&gt;=DF$5,$G77&lt;DF$5+GanttPeriod),"◆",IF(AND($E77&gt;=DF$5,$E77&lt;DF$5+GanttPeriod),"◇","")),IF(AND(DF$5&lt;=$F77,DF$5+GanttPeriod-1&gt;=$E77),"━","")))</f>
        <v/>
      </c>
      <c r="DG77" s="69" t="str">
        <f aca="false">IF($E77="","",IF($M77,IF(AND($G77&gt;=DG$5,$G77&lt;DG$5+GanttPeriod),"◆",IF(AND($E77&gt;=DG$5,$E77&lt;DG$5+GanttPeriod),"◇","")),IF(AND(DG$5&lt;=$F77,DG$5+GanttPeriod-1&gt;=$E77),"━","")))</f>
        <v/>
      </c>
      <c r="DH77" s="69" t="str">
        <f aca="false">IF($E77="","",IF($M77,IF(AND($G77&gt;=DH$5,$G77&lt;DH$5+GanttPeriod),"◆",IF(AND($E77&gt;=DH$5,$E77&lt;DH$5+GanttPeriod),"◇","")),IF(AND(DH$5&lt;=$F77,DH$5+GanttPeriod-1&gt;=$E77),"━","")))</f>
        <v/>
      </c>
      <c r="DI77" s="69" t="str">
        <f aca="false">IF($E77="","",IF($M77,IF(AND($G77&gt;=DI$5,$G77&lt;DI$5+GanttPeriod),"◆",IF(AND($E77&gt;=DI$5,$E77&lt;DI$5+GanttPeriod),"◇","")),IF(AND(DI$5&lt;=$F77,DI$5+GanttPeriod-1&gt;=$E77),"━","")))</f>
        <v/>
      </c>
      <c r="DJ77" s="69" t="str">
        <f aca="false">IF($E77="","",IF($M77,IF(AND($G77&gt;=DJ$5,$G77&lt;DJ$5+GanttPeriod),"◆",IF(AND($E77&gt;=DJ$5,$E77&lt;DJ$5+GanttPeriod),"◇","")),IF(AND(DJ$5&lt;=$F77,DJ$5+GanttPeriod-1&gt;=$E77),"━","")))</f>
        <v/>
      </c>
      <c r="DK77" s="69" t="str">
        <f aca="false">IF($E77="","",IF($M77,IF(AND($G77&gt;=DK$5,$G77&lt;DK$5+GanttPeriod),"◆",IF(AND($E77&gt;=DK$5,$E77&lt;DK$5+GanttPeriod),"◇","")),IF(AND(DK$5&lt;=$F77,DK$5+GanttPeriod-1&gt;=$E77),"━","")))</f>
        <v/>
      </c>
      <c r="DL77" s="69" t="str">
        <f aca="false">IF($E77="","",IF($M77,IF(AND($G77&gt;=DL$5,$G77&lt;DL$5+GanttPeriod),"◆",IF(AND($E77&gt;=DL$5,$E77&lt;DL$5+GanttPeriod),"◇","")),IF(AND(DL$5&lt;=$F77,DL$5+GanttPeriod-1&gt;=$E77),"━","")))</f>
        <v/>
      </c>
      <c r="DM77" s="69" t="str">
        <f aca="false">IF($E77="","",IF($M77,IF(AND($G77&gt;=DM$5,$G77&lt;DM$5+GanttPeriod),"◆",IF(AND($E77&gt;=DM$5,$E77&lt;DM$5+GanttPeriod),"◇","")),IF(AND(DM$5&lt;=$F77,DM$5+GanttPeriod-1&gt;=$E77),"━","")))</f>
        <v/>
      </c>
      <c r="DN77" s="69" t="str">
        <f aca="false">IF($E77="","",IF($M77,IF(AND($G77&gt;=DN$5,$G77&lt;DN$5+GanttPeriod),"◆",IF(AND($E77&gt;=DN$5,$E77&lt;DN$5+GanttPeriod),"◇","")),IF(AND(DN$5&lt;=$F77,DN$5+GanttPeriod-1&gt;=$E77),"━","")))</f>
        <v/>
      </c>
      <c r="DO77" s="69" t="str">
        <f aca="false">IF($E77="","",IF($M77,IF(AND($G77&gt;=DO$5,$G77&lt;DO$5+GanttPeriod),"◆",IF(AND($E77&gt;=DO$5,$E77&lt;DO$5+GanttPeriod),"◇","")),IF(AND(DO$5&lt;=$F77,DO$5+GanttPeriod-1&gt;=$E77),"━","")))</f>
        <v/>
      </c>
      <c r="DP77" s="69" t="str">
        <f aca="false">IF($E77="","",IF($M77,IF(AND($G77&gt;=DP$5,$G77&lt;DP$5+GanttPeriod),"◆",IF(AND($E77&gt;=DP$5,$E77&lt;DP$5+GanttPeriod),"◇","")),IF(AND(DP$5&lt;=$F77,DP$5+GanttPeriod-1&gt;=$E77),"━","")))</f>
        <v/>
      </c>
      <c r="DQ77" s="69" t="str">
        <f aca="false">IF($E77="","",IF($M77,IF(AND($G77&gt;=DQ$5,$G77&lt;DQ$5+GanttPeriod),"◆",IF(AND($E77&gt;=DQ$5,$E77&lt;DQ$5+GanttPeriod),"◇","")),IF(AND(DQ$5&lt;=$F77,DQ$5+GanttPeriod-1&gt;=$E77),"━","")))</f>
        <v/>
      </c>
      <c r="DR77" s="69" t="str">
        <f aca="false">IF($E77="","",IF($M77,IF(AND($G77&gt;=DR$5,$G77&lt;DR$5+GanttPeriod),"◆",IF(AND($E77&gt;=DR$5,$E77&lt;DR$5+GanttPeriod),"◇","")),IF(AND(DR$5&lt;=$F77,DR$5+GanttPeriod-1&gt;=$E77),"━","")))</f>
        <v/>
      </c>
      <c r="DS77" s="69" t="str">
        <f aca="false">IF($E77="","",IF($M77,IF(AND($G77&gt;=DS$5,$G77&lt;DS$5+GanttPeriod),"◆",IF(AND($E77&gt;=DS$5,$E77&lt;DS$5+GanttPeriod),"◇","")),IF(AND(DS$5&lt;=$F77,DS$5+GanttPeriod-1&gt;=$E77),"━","")))</f>
        <v/>
      </c>
      <c r="DT77" s="69" t="str">
        <f aca="false">IF($E77="","",IF($M77,IF(AND($G77&gt;=DT$5,$G77&lt;DT$5+GanttPeriod),"◆",IF(AND($E77&gt;=DT$5,$E77&lt;DT$5+GanttPeriod),"◇","")),IF(AND(DT$5&lt;=$F77,DT$5+GanttPeriod-1&gt;=$E77),"━","")))</f>
        <v/>
      </c>
      <c r="DU77" s="69" t="str">
        <f aca="false">IF($E77="","",IF($M77,IF(AND($G77&gt;=DU$5,$G77&lt;DU$5+GanttPeriod),"◆",IF(AND($E77&gt;=DU$5,$E77&lt;DU$5+GanttPeriod),"◇","")),IF(AND(DU$5&lt;=$F77,DU$5+GanttPeriod-1&gt;=$E77),"━","")))</f>
        <v/>
      </c>
      <c r="DV77" s="69" t="str">
        <f aca="false">IF($E77="","",IF($M77,IF(AND($G77&gt;=DV$5,$G77&lt;DV$5+GanttPeriod),"◆",IF(AND($E77&gt;=DV$5,$E77&lt;DV$5+GanttPeriod),"◇","")),IF(AND(DV$5&lt;=$F77,DV$5+GanttPeriod-1&gt;=$E77),"━","")))</f>
        <v/>
      </c>
      <c r="DW77" s="69" t="str">
        <f aca="false">IF($E77="","",IF($M77,IF(AND($G77&gt;=DW$5,$G77&lt;DW$5+GanttPeriod),"◆",IF(AND($E77&gt;=DW$5,$E77&lt;DW$5+GanttPeriod),"◇","")),IF(AND(DW$5&lt;=$F77,DW$5+GanttPeriod-1&gt;=$E77),"━","")))</f>
        <v/>
      </c>
      <c r="DX77" s="69" t="str">
        <f aca="false">IF($E77="","",IF($M77,IF(AND($G77&gt;=DX$5,$G77&lt;DX$5+GanttPeriod),"◆",IF(AND($E77&gt;=DX$5,$E77&lt;DX$5+GanttPeriod),"◇","")),IF(AND(DX$5&lt;=$F77,DX$5+GanttPeriod-1&gt;=$E77),"━","")))</f>
        <v/>
      </c>
      <c r="DY77" s="69" t="str">
        <f aca="false">IF($E77="","",IF($M77,IF(AND($G77&gt;=DY$5,$G77&lt;DY$5+GanttPeriod),"◆",IF(AND($E77&gt;=DY$5,$E77&lt;DY$5+GanttPeriod),"◇","")),IF(AND(DY$5&lt;=$F77,DY$5+GanttPeriod-1&gt;=$E77),"━","")))</f>
        <v/>
      </c>
      <c r="DZ77" s="69" t="str">
        <f aca="false">IF($E77="","",IF($M77,IF(AND($G77&gt;=DZ$5,$G77&lt;DZ$5+GanttPeriod),"◆",IF(AND($E77&gt;=DZ$5,$E77&lt;DZ$5+GanttPeriod),"◇","")),IF(AND(DZ$5&lt;=$F77,DZ$5+GanttPeriod-1&gt;=$E77),"━","")))</f>
        <v/>
      </c>
      <c r="EA77" s="69" t="str">
        <f aca="false">IF($E77="","",IF($M77,IF(AND($G77&gt;=EA$5,$G77&lt;EA$5+GanttPeriod),"◆",IF(AND($E77&gt;=EA$5,$E77&lt;EA$5+GanttPeriod),"◇","")),IF(AND(EA$5&lt;=$F77,EA$5+GanttPeriod-1&gt;=$E77),"━","")))</f>
        <v/>
      </c>
      <c r="EB77" s="69" t="str">
        <f aca="false">IF($E77="","",IF($M77,IF(AND($G77&gt;=EB$5,$G77&lt;EB$5+GanttPeriod),"◆",IF(AND($E77&gt;=EB$5,$E77&lt;EB$5+GanttPeriod),"◇","")),IF(AND(EB$5&lt;=$F77,EB$5+GanttPeriod-1&gt;=$E77),"━","")))</f>
        <v/>
      </c>
      <c r="EC77" s="69" t="str">
        <f aca="false">IF($E77="","",IF($M77,IF(AND($G77&gt;=EC$5,$G77&lt;EC$5+GanttPeriod),"◆",IF(AND($E77&gt;=EC$5,$E77&lt;EC$5+GanttPeriod),"◇","")),IF(AND(EC$5&lt;=$F77,EC$5+GanttPeriod-1&gt;=$E77),"━","")))</f>
        <v/>
      </c>
      <c r="ED77" s="69" t="str">
        <f aca="false">IF($E77="","",IF($M77,IF(AND($G77&gt;=ED$5,$G77&lt;ED$5+GanttPeriod),"◆",IF(AND($E77&gt;=ED$5,$E77&lt;ED$5+GanttPeriod),"◇","")),IF(AND(ED$5&lt;=$F77,ED$5+GanttPeriod-1&gt;=$E77),"━","")))</f>
        <v/>
      </c>
      <c r="EE77" s="69" t="str">
        <f aca="false">IF($E77="","",IF($M77,IF(AND($G77&gt;=EE$5,$G77&lt;EE$5+GanttPeriod),"◆",IF(AND($E77&gt;=EE$5,$E77&lt;EE$5+GanttPeriod),"◇","")),IF(AND(EE$5&lt;=$F77,EE$5+GanttPeriod-1&gt;=$E77),"━","")))</f>
        <v/>
      </c>
      <c r="EF77" s="69" t="str">
        <f aca="false">IF($E77="","",IF($M77,IF(AND($G77&gt;=EF$5,$G77&lt;EF$5+GanttPeriod),"◆",IF(AND($E77&gt;=EF$5,$E77&lt;EF$5+GanttPeriod),"◇","")),IF(AND(EF$5&lt;=$F77,EF$5+GanttPeriod-1&gt;=$E77),"━","")))</f>
        <v/>
      </c>
      <c r="EG77" s="69" t="str">
        <f aca="false">IF($E77="","",IF($M77,IF(AND($G77&gt;=EG$5,$G77&lt;EG$5+GanttPeriod),"◆",IF(AND($E77&gt;=EG$5,$E77&lt;EG$5+GanttPeriod),"◇","")),IF(AND(EG$5&lt;=$F77,EG$5+GanttPeriod-1&gt;=$E77),"━","")))</f>
        <v/>
      </c>
      <c r="EH77" s="69" t="str">
        <f aca="false">IF($E77="","",IF($M77,IF(AND($G77&gt;=EH$5,$G77&lt;EH$5+GanttPeriod),"◆",IF(AND($E77&gt;=EH$5,$E77&lt;EH$5+GanttPeriod),"◇","")),IF(AND(EH$5&lt;=$F77,EH$5+GanttPeriod-1&gt;=$E77),"━","")))</f>
        <v/>
      </c>
      <c r="EI77" s="69" t="str">
        <f aca="false">IF($E77="","",IF($M77,IF(AND($G77&gt;=EI$5,$G77&lt;EI$5+GanttPeriod),"◆",IF(AND($E77&gt;=EI$5,$E77&lt;EI$5+GanttPeriod),"◇","")),IF(AND(EI$5&lt;=$F77,EI$5+GanttPeriod-1&gt;=$E77),"━","")))</f>
        <v/>
      </c>
      <c r="EJ77" s="69" t="str">
        <f aca="false">IF($E77="","",IF($M77,IF(AND($G77&gt;=EJ$5,$G77&lt;EJ$5+GanttPeriod),"◆",IF(AND($E77&gt;=EJ$5,$E77&lt;EJ$5+GanttPeriod),"◇","")),IF(AND(EJ$5&lt;=$F77,EJ$5+GanttPeriod-1&gt;=$E77),"━","")))</f>
        <v/>
      </c>
      <c r="EK77" s="69" t="str">
        <f aca="false">IF($E77="","",IF($M77,IF(AND($G77&gt;=EK$5,$G77&lt;EK$5+GanttPeriod),"◆",IF(AND($E77&gt;=EK$5,$E77&lt;EK$5+GanttPeriod),"◇","")),IF(AND(EK$5&lt;=$F77,EK$5+GanttPeriod-1&gt;=$E77),"━","")))</f>
        <v/>
      </c>
      <c r="EL77" s="69" t="str">
        <f aca="false">IF($E77="","",IF($M77,IF(AND($G77&gt;=EL$5,$G77&lt;EL$5+GanttPeriod),"◆",IF(AND($E77&gt;=EL$5,$E77&lt;EL$5+GanttPeriod),"◇","")),IF(AND(EL$5&lt;=$F77,EL$5+GanttPeriod-1&gt;=$E77),"━","")))</f>
        <v/>
      </c>
      <c r="EM77" s="69" t="str">
        <f aca="false">IF($E77="","",IF($M77,IF(AND($G77&gt;=EM$5,$G77&lt;EM$5+GanttPeriod),"◆",IF(AND($E77&gt;=EM$5,$E77&lt;EM$5+GanttPeriod),"◇","")),IF(AND(EM$5&lt;=$F77,EM$5+GanttPeriod-1&gt;=$E77),"━","")))</f>
        <v/>
      </c>
      <c r="EN77" s="69" t="str">
        <f aca="false">IF($E77="","",IF($M77,IF(AND($G77&gt;=EN$5,$G77&lt;EN$5+GanttPeriod),"◆",IF(AND($E77&gt;=EN$5,$E77&lt;EN$5+GanttPeriod),"◇","")),IF(AND(EN$5&lt;=$F77,EN$5+GanttPeriod-1&gt;=$E77),"━","")))</f>
        <v/>
      </c>
      <c r="EO77" s="69" t="str">
        <f aca="false">IF($E77="","",IF($M77,IF(AND($G77&gt;=EO$5,$G77&lt;EO$5+GanttPeriod),"◆",IF(AND($E77&gt;=EO$5,$E77&lt;EO$5+GanttPeriod),"◇","")),IF(AND(EO$5&lt;=$F77,EO$5+GanttPeriod-1&gt;=$E77),"━","")))</f>
        <v/>
      </c>
      <c r="EP77" s="69" t="str">
        <f aca="false">IF($E77="","",IF($M77,IF(AND($G77&gt;=EP$5,$G77&lt;EP$5+GanttPeriod),"◆",IF(AND($E77&gt;=EP$5,$E77&lt;EP$5+GanttPeriod),"◇","")),IF(AND(EP$5&lt;=$F77,EP$5+GanttPeriod-1&gt;=$E77),"━","")))</f>
        <v/>
      </c>
      <c r="EQ77" s="69" t="str">
        <f aca="false">IF($E77="","",IF($M77,IF(AND($G77&gt;=EQ$5,$G77&lt;EQ$5+GanttPeriod),"◆",IF(AND($E77&gt;=EQ$5,$E77&lt;EQ$5+GanttPeriod),"◇","")),IF(AND(EQ$5&lt;=$F77,EQ$5+GanttPeriod-1&gt;=$E77),"━","")))</f>
        <v/>
      </c>
      <c r="ER77" s="69" t="str">
        <f aca="false">IF($E77="","",IF($M77,IF(AND($G77&gt;=ER$5,$G77&lt;ER$5+GanttPeriod),"◆",IF(AND($E77&gt;=ER$5,$E77&lt;ER$5+GanttPeriod),"◇","")),IF(AND(ER$5&lt;=$F77,ER$5+GanttPeriod-1&gt;=$E77),"━","")))</f>
        <v/>
      </c>
      <c r="ES77" s="69" t="str">
        <f aca="false">IF($E77="","",IF($M77,IF(AND($G77&gt;=ES$5,$G77&lt;ES$5+GanttPeriod),"◆",IF(AND($E77&gt;=ES$5,$E77&lt;ES$5+GanttPeriod),"◇","")),IF(AND(ES$5&lt;=$F77,ES$5+GanttPeriod-1&gt;=$E77),"━","")))</f>
        <v/>
      </c>
      <c r="ET77" s="69" t="str">
        <f aca="false">IF($E77="","",IF($M77,IF(AND($G77&gt;=ET$5,$G77&lt;ET$5+GanttPeriod),"◆",IF(AND($E77&gt;=ET$5,$E77&lt;ET$5+GanttPeriod),"◇","")),IF(AND(ET$5&lt;=$F77,ET$5+GanttPeriod-1&gt;=$E77),"━","")))</f>
        <v/>
      </c>
      <c r="EU77" s="69" t="str">
        <f aca="false">IF($E77="","",IF($M77,IF(AND($G77&gt;=EU$5,$G77&lt;EU$5+GanttPeriod),"◆",IF(AND($E77&gt;=EU$5,$E77&lt;EU$5+GanttPeriod),"◇","")),IF(AND(EU$5&lt;=$F77,EU$5+GanttPeriod-1&gt;=$E77),"━","")))</f>
        <v/>
      </c>
      <c r="EV77" s="69" t="str">
        <f aca="false">IF($E77="","",IF($M77,IF(AND($G77&gt;=EV$5,$G77&lt;EV$5+GanttPeriod),"◆",IF(AND($E77&gt;=EV$5,$E77&lt;EV$5+GanttPeriod),"◇","")),IF(AND(EV$5&lt;=$F77,EV$5+GanttPeriod-1&gt;=$E77),"━","")))</f>
        <v/>
      </c>
      <c r="EW77" s="69" t="str">
        <f aca="false">IF($E77="","",IF($M77,IF(AND($G77&gt;=EW$5,$G77&lt;EW$5+GanttPeriod),"◆",IF(AND($E77&gt;=EW$5,$E77&lt;EW$5+GanttPeriod),"◇","")),IF(AND(EW$5&lt;=$F77,EW$5+GanttPeriod-1&gt;=$E77),"━","")))</f>
        <v/>
      </c>
      <c r="EX77" s="69" t="str">
        <f aca="false">IF($E77="","",IF($M77,IF(AND($G77&gt;=EX$5,$G77&lt;EX$5+GanttPeriod),"◆",IF(AND($E77&gt;=EX$5,$E77&lt;EX$5+GanttPeriod),"◇","")),IF(AND(EX$5&lt;=$F77,EX$5+GanttPeriod-1&gt;=$E77),"━","")))</f>
        <v/>
      </c>
      <c r="EY77" s="69" t="str">
        <f aca="false">IF($E77="","",IF($M77,IF(AND($G77&gt;=EY$5,$G77&lt;EY$5+GanttPeriod),"◆",IF(AND($E77&gt;=EY$5,$E77&lt;EY$5+GanttPeriod),"◇","")),IF(AND(EY$5&lt;=$F77,EY$5+GanttPeriod-1&gt;=$E77),"━","")))</f>
        <v/>
      </c>
      <c r="EZ77" s="69" t="str">
        <f aca="false">IF($E77="","",IF($M77,IF(AND($G77&gt;=EZ$5,$G77&lt;EZ$5+GanttPeriod),"◆",IF(AND($E77&gt;=EZ$5,$E77&lt;EZ$5+GanttPeriod),"◇","")),IF(AND(EZ$5&lt;=$F77,EZ$5+GanttPeriod-1&gt;=$E77),"━","")))</f>
        <v/>
      </c>
      <c r="FA77" s="69" t="str">
        <f aca="false">IF($E77="","",IF($M77,IF(AND($G77&gt;=FA$5,$G77&lt;FA$5+GanttPeriod),"◆",IF(AND($E77&gt;=FA$5,$E77&lt;FA$5+GanttPeriod),"◇","")),IF(AND(FA$5&lt;=$F77,FA$5+GanttPeriod-1&gt;=$E77),"━","")))</f>
        <v/>
      </c>
      <c r="FB77" s="69" t="str">
        <f aca="false">IF($E77="","",IF($M77,IF(AND($G77&gt;=FB$5,$G77&lt;FB$5+GanttPeriod),"◆",IF(AND($E77&gt;=FB$5,$E77&lt;FB$5+GanttPeriod),"◇","")),IF(AND(FB$5&lt;=$F77,FB$5+GanttPeriod-1&gt;=$E77),"━","")))</f>
        <v/>
      </c>
      <c r="FC77" s="69" t="str">
        <f aca="false">IF($E77="","",IF($M77,IF(AND($G77&gt;=FC$5,$G77&lt;FC$5+GanttPeriod),"◆",IF(AND($E77&gt;=FC$5,$E77&lt;FC$5+GanttPeriod),"◇","")),IF(AND(FC$5&lt;=$F77,FC$5+GanttPeriod-1&gt;=$E77),"━","")))</f>
        <v/>
      </c>
      <c r="FD77" s="69" t="str">
        <f aca="false">IF($E77="","",IF($M77,IF(AND($G77&gt;=FD$5,$G77&lt;FD$5+GanttPeriod),"◆",IF(AND($E77&gt;=FD$5,$E77&lt;FD$5+GanttPeriod),"◇","")),IF(AND(FD$5&lt;=$F77,FD$5+GanttPeriod-1&gt;=$E77),"━","")))</f>
        <v/>
      </c>
      <c r="FE77" s="69" t="str">
        <f aca="false">IF($E77="","",IF($M77,IF(AND($G77&gt;=FE$5,$G77&lt;FE$5+GanttPeriod),"◆",IF(AND($E77&gt;=FE$5,$E77&lt;FE$5+GanttPeriod),"◇","")),IF(AND(FE$5&lt;=$F77,FE$5+GanttPeriod-1&gt;=$E77),"━","")))</f>
        <v/>
      </c>
      <c r="FF77" s="69" t="str">
        <f aca="false">IF($E77="","",IF($M77,IF(AND($G77&gt;=FF$5,$G77&lt;FF$5+GanttPeriod),"◆",IF(AND($E77&gt;=FF$5,$E77&lt;FF$5+GanttPeriod),"◇","")),IF(AND(FF$5&lt;=$F77,FF$5+GanttPeriod-1&gt;=$E77),"━","")))</f>
        <v/>
      </c>
      <c r="FG77" s="69" t="str">
        <f aca="false">IF($E77="","",IF($M77,IF(AND($G77&gt;=FG$5,$G77&lt;FG$5+GanttPeriod),"◆",IF(AND($E77&gt;=FG$5,$E77&lt;FG$5+GanttPeriod),"◇","")),IF(AND(FG$5&lt;=$F77,FG$5+GanttPeriod-1&gt;=$E77),"━","")))</f>
        <v/>
      </c>
      <c r="FH77" s="69" t="str">
        <f aca="false">IF($E77="","",IF($M77,IF(AND($G77&gt;=FH$5,$G77&lt;FH$5+GanttPeriod),"◆",IF(AND($E77&gt;=FH$5,$E77&lt;FH$5+GanttPeriod),"◇","")),IF(AND(FH$5&lt;=$F77,FH$5+GanttPeriod-1&gt;=$E77),"━","")))</f>
        <v/>
      </c>
      <c r="FI77" s="69" t="str">
        <f aca="false">IF($E77="","",IF($M77,IF(AND($G77&gt;=FI$5,$G77&lt;FI$5+GanttPeriod),"◆",IF(AND($E77&gt;=FI$5,$E77&lt;FI$5+GanttPeriod),"◇","")),IF(AND(FI$5&lt;=$F77,FI$5+GanttPeriod-1&gt;=$E77),"━","")))</f>
        <v/>
      </c>
      <c r="FJ77" s="69" t="str">
        <f aca="false">IF($E77="","",IF($M77,IF(AND($G77&gt;=FJ$5,$G77&lt;FJ$5+GanttPeriod),"◆",IF(AND($E77&gt;=FJ$5,$E77&lt;FJ$5+GanttPeriod),"◇","")),IF(AND(FJ$5&lt;=$F77,FJ$5+GanttPeriod-1&gt;=$E77),"━","")))</f>
        <v/>
      </c>
      <c r="FK77" s="69" t="str">
        <f aca="false">IF($E77="","",IF($M77,IF(AND($G77&gt;=FK$5,$G77&lt;FK$5+GanttPeriod),"◆",IF(AND($E77&gt;=FK$5,$E77&lt;FK$5+GanttPeriod),"◇","")),IF(AND(FK$5&lt;=$F77,FK$5+GanttPeriod-1&gt;=$E77),"━","")))</f>
        <v/>
      </c>
      <c r="FL77" s="69" t="str">
        <f aca="false">IF($E77="","",IF($M77,IF(AND($G77&gt;=FL$5,$G77&lt;FL$5+GanttPeriod),"◆",IF(AND($E77&gt;=FL$5,$E77&lt;FL$5+GanttPeriod),"◇","")),IF(AND(FL$5&lt;=$F77,FL$5+GanttPeriod-1&gt;=$E77),"━","")))</f>
        <v/>
      </c>
      <c r="FM77" s="69" t="str">
        <f aca="false">IF($E77="","",IF($M77,IF(AND($G77&gt;=FM$5,$G77&lt;FM$5+GanttPeriod),"◆",IF(AND($E77&gt;=FM$5,$E77&lt;FM$5+GanttPeriod),"◇","")),IF(AND(FM$5&lt;=$F77,FM$5+GanttPeriod-1&gt;=$E77),"━","")))</f>
        <v/>
      </c>
    </row>
    <row r="78" customFormat="false" ht="15" hidden="false" customHeight="false" outlineLevel="0" collapsed="false">
      <c r="A78" s="62" t="str">
        <f aca="false">IF(Tasks!$D78="","",Tasks!$A78)</f>
        <v/>
      </c>
      <c r="B78" s="62" t="str">
        <f aca="false">IF(Tasks!$D78="","",Tasks!$B78)</f>
        <v/>
      </c>
      <c r="C78" s="63" t="str">
        <f aca="false">IF(Tasks!$D78="","",REPT("    ",Tasks!$AE78-1)&amp;Tasks!$D78)</f>
        <v/>
      </c>
      <c r="D78" s="62" t="str">
        <f aca="false">IF(Tasks!$D78="","",IF(Tasks!$AI78,NETWORKDAYS.INTL(Tasks!$R78,Tasks!$S78,WorkWeek,Holidays),N(Tasks!$F78)))</f>
        <v/>
      </c>
      <c r="E78" s="64" t="str">
        <f aca="false">IF(Tasks!$D78="","",Tasks!$N78)</f>
        <v/>
      </c>
      <c r="F78" s="64" t="str">
        <f aca="false">IF(Tasks!$D78="","",Tasks!$O78)</f>
        <v/>
      </c>
      <c r="G78" s="64" t="str">
        <f aca="false">IF(Tasks!$D78="","",Tasks!$R78)</f>
        <v/>
      </c>
      <c r="H78" s="64" t="str">
        <f aca="false">IF(Tasks!$D78="","",Tasks!$S78)</f>
        <v/>
      </c>
      <c r="I78" s="65" t="str">
        <f aca="false">IF(Tasks!$D78="","",Tasks!$V78)</f>
        <v/>
      </c>
      <c r="J78" s="63" t="str">
        <f aca="false">IF(Tasks!$D78="","",Tasks!$X78&amp;"")</f>
        <v/>
      </c>
      <c r="K78" s="66" t="str">
        <f aca="false">IF(Tasks!$D78="","",Tasks!$W78)</f>
        <v/>
      </c>
      <c r="L78" s="67" t="b">
        <f aca="false">IF(Tasks!$D78="",FALSE(),Tasks!$AI78)</f>
        <v>0</v>
      </c>
      <c r="M78" s="67" t="b">
        <f aca="false">AND(Tasks!$AJ78=1,N(Tasks!$F78)=0)</f>
        <v>0</v>
      </c>
      <c r="N78" s="68" t="n">
        <f aca="false">IF(AND(Tasks!$AJ78=1,NOT($M78),N($I78)&gt;0),$G78,0)</f>
        <v>0</v>
      </c>
      <c r="O78" s="68" t="n">
        <f aca="false">IF($N78=0,0,IF($I78&gt;=1,$H78,MAX($N78,$G78+ROUND(($H78-$G78+1)*$I78,0)-1)))</f>
        <v>0</v>
      </c>
      <c r="P78" s="68" t="n">
        <f aca="false">IF(OR(Tasks!$AJ78&lt;&gt;1,$M78,N($I78)&gt;=1),0,IF($O78&gt;0,$O78+1,$G78))</f>
        <v>0</v>
      </c>
      <c r="Q78" s="68" t="n">
        <f aca="false">IF($P78=0,0,$H78)</f>
        <v>0</v>
      </c>
      <c r="R78" s="67" t="b">
        <f aca="false">AND(Tasks!$D78&lt;&gt;"",N(Tasks!$T78)&gt;0)</f>
        <v>0</v>
      </c>
      <c r="T78" s="69" t="str">
        <f aca="false">IF($E78="","",IF($M78,IF(AND($G78&gt;=T$5,$G78&lt;T$5+GanttPeriod),"◆",IF(AND($E78&gt;=T$5,$E78&lt;T$5+GanttPeriod),"◇","")),IF(AND(T$5&lt;=$F78,T$5+GanttPeriod-1&gt;=$E78),"━","")))</f>
        <v/>
      </c>
      <c r="U78" s="69" t="str">
        <f aca="false">IF($E78="","",IF($M78,IF(AND($G78&gt;=U$5,$G78&lt;U$5+GanttPeriod),"◆",IF(AND($E78&gt;=U$5,$E78&lt;U$5+GanttPeriod),"◇","")),IF(AND(U$5&lt;=$F78,U$5+GanttPeriod-1&gt;=$E78),"━","")))</f>
        <v/>
      </c>
      <c r="V78" s="69" t="str">
        <f aca="false">IF($E78="","",IF($M78,IF(AND($G78&gt;=V$5,$G78&lt;V$5+GanttPeriod),"◆",IF(AND($E78&gt;=V$5,$E78&lt;V$5+GanttPeriod),"◇","")),IF(AND(V$5&lt;=$F78,V$5+GanttPeriod-1&gt;=$E78),"━","")))</f>
        <v/>
      </c>
      <c r="W78" s="69" t="str">
        <f aca="false">IF($E78="","",IF($M78,IF(AND($G78&gt;=W$5,$G78&lt;W$5+GanttPeriod),"◆",IF(AND($E78&gt;=W$5,$E78&lt;W$5+GanttPeriod),"◇","")),IF(AND(W$5&lt;=$F78,W$5+GanttPeriod-1&gt;=$E78),"━","")))</f>
        <v/>
      </c>
      <c r="X78" s="69" t="str">
        <f aca="false">IF($E78="","",IF($M78,IF(AND($G78&gt;=X$5,$G78&lt;X$5+GanttPeriod),"◆",IF(AND($E78&gt;=X$5,$E78&lt;X$5+GanttPeriod),"◇","")),IF(AND(X$5&lt;=$F78,X$5+GanttPeriod-1&gt;=$E78),"━","")))</f>
        <v/>
      </c>
      <c r="Y78" s="69" t="str">
        <f aca="false">IF($E78="","",IF($M78,IF(AND($G78&gt;=Y$5,$G78&lt;Y$5+GanttPeriod),"◆",IF(AND($E78&gt;=Y$5,$E78&lt;Y$5+GanttPeriod),"◇","")),IF(AND(Y$5&lt;=$F78,Y$5+GanttPeriod-1&gt;=$E78),"━","")))</f>
        <v/>
      </c>
      <c r="Z78" s="69" t="str">
        <f aca="false">IF($E78="","",IF($M78,IF(AND($G78&gt;=Z$5,$G78&lt;Z$5+GanttPeriod),"◆",IF(AND($E78&gt;=Z$5,$E78&lt;Z$5+GanttPeriod),"◇","")),IF(AND(Z$5&lt;=$F78,Z$5+GanttPeriod-1&gt;=$E78),"━","")))</f>
        <v/>
      </c>
      <c r="AA78" s="69" t="str">
        <f aca="false">IF($E78="","",IF($M78,IF(AND($G78&gt;=AA$5,$G78&lt;AA$5+GanttPeriod),"◆",IF(AND($E78&gt;=AA$5,$E78&lt;AA$5+GanttPeriod),"◇","")),IF(AND(AA$5&lt;=$F78,AA$5+GanttPeriod-1&gt;=$E78),"━","")))</f>
        <v/>
      </c>
      <c r="AB78" s="69" t="str">
        <f aca="false">IF($E78="","",IF($M78,IF(AND($G78&gt;=AB$5,$G78&lt;AB$5+GanttPeriod),"◆",IF(AND($E78&gt;=AB$5,$E78&lt;AB$5+GanttPeriod),"◇","")),IF(AND(AB$5&lt;=$F78,AB$5+GanttPeriod-1&gt;=$E78),"━","")))</f>
        <v/>
      </c>
      <c r="AC78" s="69" t="str">
        <f aca="false">IF($E78="","",IF($M78,IF(AND($G78&gt;=AC$5,$G78&lt;AC$5+GanttPeriod),"◆",IF(AND($E78&gt;=AC$5,$E78&lt;AC$5+GanttPeriod),"◇","")),IF(AND(AC$5&lt;=$F78,AC$5+GanttPeriod-1&gt;=$E78),"━","")))</f>
        <v/>
      </c>
      <c r="AD78" s="69" t="str">
        <f aca="false">IF($E78="","",IF($M78,IF(AND($G78&gt;=AD$5,$G78&lt;AD$5+GanttPeriod),"◆",IF(AND($E78&gt;=AD$5,$E78&lt;AD$5+GanttPeriod),"◇","")),IF(AND(AD$5&lt;=$F78,AD$5+GanttPeriod-1&gt;=$E78),"━","")))</f>
        <v/>
      </c>
      <c r="AE78" s="69" t="str">
        <f aca="false">IF($E78="","",IF($M78,IF(AND($G78&gt;=AE$5,$G78&lt;AE$5+GanttPeriod),"◆",IF(AND($E78&gt;=AE$5,$E78&lt;AE$5+GanttPeriod),"◇","")),IF(AND(AE$5&lt;=$F78,AE$5+GanttPeriod-1&gt;=$E78),"━","")))</f>
        <v/>
      </c>
      <c r="AF78" s="69" t="str">
        <f aca="false">IF($E78="","",IF($M78,IF(AND($G78&gt;=AF$5,$G78&lt;AF$5+GanttPeriod),"◆",IF(AND($E78&gt;=AF$5,$E78&lt;AF$5+GanttPeriod),"◇","")),IF(AND(AF$5&lt;=$F78,AF$5+GanttPeriod-1&gt;=$E78),"━","")))</f>
        <v/>
      </c>
      <c r="AG78" s="69" t="str">
        <f aca="false">IF($E78="","",IF($M78,IF(AND($G78&gt;=AG$5,$G78&lt;AG$5+GanttPeriod),"◆",IF(AND($E78&gt;=AG$5,$E78&lt;AG$5+GanttPeriod),"◇","")),IF(AND(AG$5&lt;=$F78,AG$5+GanttPeriod-1&gt;=$E78),"━","")))</f>
        <v/>
      </c>
      <c r="AH78" s="69" t="str">
        <f aca="false">IF($E78="","",IF($M78,IF(AND($G78&gt;=AH$5,$G78&lt;AH$5+GanttPeriod),"◆",IF(AND($E78&gt;=AH$5,$E78&lt;AH$5+GanttPeriod),"◇","")),IF(AND(AH$5&lt;=$F78,AH$5+GanttPeriod-1&gt;=$E78),"━","")))</f>
        <v/>
      </c>
      <c r="AI78" s="69" t="str">
        <f aca="false">IF($E78="","",IF($M78,IF(AND($G78&gt;=AI$5,$G78&lt;AI$5+GanttPeriod),"◆",IF(AND($E78&gt;=AI$5,$E78&lt;AI$5+GanttPeriod),"◇","")),IF(AND(AI$5&lt;=$F78,AI$5+GanttPeriod-1&gt;=$E78),"━","")))</f>
        <v/>
      </c>
      <c r="AJ78" s="69" t="str">
        <f aca="false">IF($E78="","",IF($M78,IF(AND($G78&gt;=AJ$5,$G78&lt;AJ$5+GanttPeriod),"◆",IF(AND($E78&gt;=AJ$5,$E78&lt;AJ$5+GanttPeriod),"◇","")),IF(AND(AJ$5&lt;=$F78,AJ$5+GanttPeriod-1&gt;=$E78),"━","")))</f>
        <v/>
      </c>
      <c r="AK78" s="69" t="str">
        <f aca="false">IF($E78="","",IF($M78,IF(AND($G78&gt;=AK$5,$G78&lt;AK$5+GanttPeriod),"◆",IF(AND($E78&gt;=AK$5,$E78&lt;AK$5+GanttPeriod),"◇","")),IF(AND(AK$5&lt;=$F78,AK$5+GanttPeriod-1&gt;=$E78),"━","")))</f>
        <v/>
      </c>
      <c r="AL78" s="69" t="str">
        <f aca="false">IF($E78="","",IF($M78,IF(AND($G78&gt;=AL$5,$G78&lt;AL$5+GanttPeriod),"◆",IF(AND($E78&gt;=AL$5,$E78&lt;AL$5+GanttPeriod),"◇","")),IF(AND(AL$5&lt;=$F78,AL$5+GanttPeriod-1&gt;=$E78),"━","")))</f>
        <v/>
      </c>
      <c r="AM78" s="69" t="str">
        <f aca="false">IF($E78="","",IF($M78,IF(AND($G78&gt;=AM$5,$G78&lt;AM$5+GanttPeriod),"◆",IF(AND($E78&gt;=AM$5,$E78&lt;AM$5+GanttPeriod),"◇","")),IF(AND(AM$5&lt;=$F78,AM$5+GanttPeriod-1&gt;=$E78),"━","")))</f>
        <v/>
      </c>
      <c r="AN78" s="69" t="str">
        <f aca="false">IF($E78="","",IF($M78,IF(AND($G78&gt;=AN$5,$G78&lt;AN$5+GanttPeriod),"◆",IF(AND($E78&gt;=AN$5,$E78&lt;AN$5+GanttPeriod),"◇","")),IF(AND(AN$5&lt;=$F78,AN$5+GanttPeriod-1&gt;=$E78),"━","")))</f>
        <v/>
      </c>
      <c r="AO78" s="69" t="str">
        <f aca="false">IF($E78="","",IF($M78,IF(AND($G78&gt;=AO$5,$G78&lt;AO$5+GanttPeriod),"◆",IF(AND($E78&gt;=AO$5,$E78&lt;AO$5+GanttPeriod),"◇","")),IF(AND(AO$5&lt;=$F78,AO$5+GanttPeriod-1&gt;=$E78),"━","")))</f>
        <v/>
      </c>
      <c r="AP78" s="69" t="str">
        <f aca="false">IF($E78="","",IF($M78,IF(AND($G78&gt;=AP$5,$G78&lt;AP$5+GanttPeriod),"◆",IF(AND($E78&gt;=AP$5,$E78&lt;AP$5+GanttPeriod),"◇","")),IF(AND(AP$5&lt;=$F78,AP$5+GanttPeriod-1&gt;=$E78),"━","")))</f>
        <v/>
      </c>
      <c r="AQ78" s="69" t="str">
        <f aca="false">IF($E78="","",IF($M78,IF(AND($G78&gt;=AQ$5,$G78&lt;AQ$5+GanttPeriod),"◆",IF(AND($E78&gt;=AQ$5,$E78&lt;AQ$5+GanttPeriod),"◇","")),IF(AND(AQ$5&lt;=$F78,AQ$5+GanttPeriod-1&gt;=$E78),"━","")))</f>
        <v/>
      </c>
      <c r="AR78" s="69" t="str">
        <f aca="false">IF($E78="","",IF($M78,IF(AND($G78&gt;=AR$5,$G78&lt;AR$5+GanttPeriod),"◆",IF(AND($E78&gt;=AR$5,$E78&lt;AR$5+GanttPeriod),"◇","")),IF(AND(AR$5&lt;=$F78,AR$5+GanttPeriod-1&gt;=$E78),"━","")))</f>
        <v/>
      </c>
      <c r="AS78" s="69" t="str">
        <f aca="false">IF($E78="","",IF($M78,IF(AND($G78&gt;=AS$5,$G78&lt;AS$5+GanttPeriod),"◆",IF(AND($E78&gt;=AS$5,$E78&lt;AS$5+GanttPeriod),"◇","")),IF(AND(AS$5&lt;=$F78,AS$5+GanttPeriod-1&gt;=$E78),"━","")))</f>
        <v/>
      </c>
      <c r="AT78" s="69" t="str">
        <f aca="false">IF($E78="","",IF($M78,IF(AND($G78&gt;=AT$5,$G78&lt;AT$5+GanttPeriod),"◆",IF(AND($E78&gt;=AT$5,$E78&lt;AT$5+GanttPeriod),"◇","")),IF(AND(AT$5&lt;=$F78,AT$5+GanttPeriod-1&gt;=$E78),"━","")))</f>
        <v/>
      </c>
      <c r="AU78" s="69" t="str">
        <f aca="false">IF($E78="","",IF($M78,IF(AND($G78&gt;=AU$5,$G78&lt;AU$5+GanttPeriod),"◆",IF(AND($E78&gt;=AU$5,$E78&lt;AU$5+GanttPeriod),"◇","")),IF(AND(AU$5&lt;=$F78,AU$5+GanttPeriod-1&gt;=$E78),"━","")))</f>
        <v/>
      </c>
      <c r="AV78" s="69" t="str">
        <f aca="false">IF($E78="","",IF($M78,IF(AND($G78&gt;=AV$5,$G78&lt;AV$5+GanttPeriod),"◆",IF(AND($E78&gt;=AV$5,$E78&lt;AV$5+GanttPeriod),"◇","")),IF(AND(AV$5&lt;=$F78,AV$5+GanttPeriod-1&gt;=$E78),"━","")))</f>
        <v/>
      </c>
      <c r="AW78" s="69" t="str">
        <f aca="false">IF($E78="","",IF($M78,IF(AND($G78&gt;=AW$5,$G78&lt;AW$5+GanttPeriod),"◆",IF(AND($E78&gt;=AW$5,$E78&lt;AW$5+GanttPeriod),"◇","")),IF(AND(AW$5&lt;=$F78,AW$5+GanttPeriod-1&gt;=$E78),"━","")))</f>
        <v/>
      </c>
      <c r="AX78" s="69" t="str">
        <f aca="false">IF($E78="","",IF($M78,IF(AND($G78&gt;=AX$5,$G78&lt;AX$5+GanttPeriod),"◆",IF(AND($E78&gt;=AX$5,$E78&lt;AX$5+GanttPeriod),"◇","")),IF(AND(AX$5&lt;=$F78,AX$5+GanttPeriod-1&gt;=$E78),"━","")))</f>
        <v/>
      </c>
      <c r="AY78" s="69" t="str">
        <f aca="false">IF($E78="","",IF($M78,IF(AND($G78&gt;=AY$5,$G78&lt;AY$5+GanttPeriod),"◆",IF(AND($E78&gt;=AY$5,$E78&lt;AY$5+GanttPeriod),"◇","")),IF(AND(AY$5&lt;=$F78,AY$5+GanttPeriod-1&gt;=$E78),"━","")))</f>
        <v/>
      </c>
      <c r="AZ78" s="69" t="str">
        <f aca="false">IF($E78="","",IF($M78,IF(AND($G78&gt;=AZ$5,$G78&lt;AZ$5+GanttPeriod),"◆",IF(AND($E78&gt;=AZ$5,$E78&lt;AZ$5+GanttPeriod),"◇","")),IF(AND(AZ$5&lt;=$F78,AZ$5+GanttPeriod-1&gt;=$E78),"━","")))</f>
        <v/>
      </c>
      <c r="BA78" s="69" t="str">
        <f aca="false">IF($E78="","",IF($M78,IF(AND($G78&gt;=BA$5,$G78&lt;BA$5+GanttPeriod),"◆",IF(AND($E78&gt;=BA$5,$E78&lt;BA$5+GanttPeriod),"◇","")),IF(AND(BA$5&lt;=$F78,BA$5+GanttPeriod-1&gt;=$E78),"━","")))</f>
        <v/>
      </c>
      <c r="BB78" s="69" t="str">
        <f aca="false">IF($E78="","",IF($M78,IF(AND($G78&gt;=BB$5,$G78&lt;BB$5+GanttPeriod),"◆",IF(AND($E78&gt;=BB$5,$E78&lt;BB$5+GanttPeriod),"◇","")),IF(AND(BB$5&lt;=$F78,BB$5+GanttPeriod-1&gt;=$E78),"━","")))</f>
        <v/>
      </c>
      <c r="BC78" s="69" t="str">
        <f aca="false">IF($E78="","",IF($M78,IF(AND($G78&gt;=BC$5,$G78&lt;BC$5+GanttPeriod),"◆",IF(AND($E78&gt;=BC$5,$E78&lt;BC$5+GanttPeriod),"◇","")),IF(AND(BC$5&lt;=$F78,BC$5+GanttPeriod-1&gt;=$E78),"━","")))</f>
        <v/>
      </c>
      <c r="BD78" s="69" t="str">
        <f aca="false">IF($E78="","",IF($M78,IF(AND($G78&gt;=BD$5,$G78&lt;BD$5+GanttPeriod),"◆",IF(AND($E78&gt;=BD$5,$E78&lt;BD$5+GanttPeriod),"◇","")),IF(AND(BD$5&lt;=$F78,BD$5+GanttPeriod-1&gt;=$E78),"━","")))</f>
        <v/>
      </c>
      <c r="BE78" s="69" t="str">
        <f aca="false">IF($E78="","",IF($M78,IF(AND($G78&gt;=BE$5,$G78&lt;BE$5+GanttPeriod),"◆",IF(AND($E78&gt;=BE$5,$E78&lt;BE$5+GanttPeriod),"◇","")),IF(AND(BE$5&lt;=$F78,BE$5+GanttPeriod-1&gt;=$E78),"━","")))</f>
        <v/>
      </c>
      <c r="BF78" s="69" t="str">
        <f aca="false">IF($E78="","",IF($M78,IF(AND($G78&gt;=BF$5,$G78&lt;BF$5+GanttPeriod),"◆",IF(AND($E78&gt;=BF$5,$E78&lt;BF$5+GanttPeriod),"◇","")),IF(AND(BF$5&lt;=$F78,BF$5+GanttPeriod-1&gt;=$E78),"━","")))</f>
        <v/>
      </c>
      <c r="BG78" s="69" t="str">
        <f aca="false">IF($E78="","",IF($M78,IF(AND($G78&gt;=BG$5,$G78&lt;BG$5+GanttPeriod),"◆",IF(AND($E78&gt;=BG$5,$E78&lt;BG$5+GanttPeriod),"◇","")),IF(AND(BG$5&lt;=$F78,BG$5+GanttPeriod-1&gt;=$E78),"━","")))</f>
        <v/>
      </c>
      <c r="BH78" s="69" t="str">
        <f aca="false">IF($E78="","",IF($M78,IF(AND($G78&gt;=BH$5,$G78&lt;BH$5+GanttPeriod),"◆",IF(AND($E78&gt;=BH$5,$E78&lt;BH$5+GanttPeriod),"◇","")),IF(AND(BH$5&lt;=$F78,BH$5+GanttPeriod-1&gt;=$E78),"━","")))</f>
        <v/>
      </c>
      <c r="BI78" s="69" t="str">
        <f aca="false">IF($E78="","",IF($M78,IF(AND($G78&gt;=BI$5,$G78&lt;BI$5+GanttPeriod),"◆",IF(AND($E78&gt;=BI$5,$E78&lt;BI$5+GanttPeriod),"◇","")),IF(AND(BI$5&lt;=$F78,BI$5+GanttPeriod-1&gt;=$E78),"━","")))</f>
        <v/>
      </c>
      <c r="BJ78" s="69" t="str">
        <f aca="false">IF($E78="","",IF($M78,IF(AND($G78&gt;=BJ$5,$G78&lt;BJ$5+GanttPeriod),"◆",IF(AND($E78&gt;=BJ$5,$E78&lt;BJ$5+GanttPeriod),"◇","")),IF(AND(BJ$5&lt;=$F78,BJ$5+GanttPeriod-1&gt;=$E78),"━","")))</f>
        <v/>
      </c>
      <c r="BK78" s="69" t="str">
        <f aca="false">IF($E78="","",IF($M78,IF(AND($G78&gt;=BK$5,$G78&lt;BK$5+GanttPeriod),"◆",IF(AND($E78&gt;=BK$5,$E78&lt;BK$5+GanttPeriod),"◇","")),IF(AND(BK$5&lt;=$F78,BK$5+GanttPeriod-1&gt;=$E78),"━","")))</f>
        <v/>
      </c>
      <c r="BL78" s="69" t="str">
        <f aca="false">IF($E78="","",IF($M78,IF(AND($G78&gt;=BL$5,$G78&lt;BL$5+GanttPeriod),"◆",IF(AND($E78&gt;=BL$5,$E78&lt;BL$5+GanttPeriod),"◇","")),IF(AND(BL$5&lt;=$F78,BL$5+GanttPeriod-1&gt;=$E78),"━","")))</f>
        <v/>
      </c>
      <c r="BM78" s="69" t="str">
        <f aca="false">IF($E78="","",IF($M78,IF(AND($G78&gt;=BM$5,$G78&lt;BM$5+GanttPeriod),"◆",IF(AND($E78&gt;=BM$5,$E78&lt;BM$5+GanttPeriod),"◇","")),IF(AND(BM$5&lt;=$F78,BM$5+GanttPeriod-1&gt;=$E78),"━","")))</f>
        <v/>
      </c>
      <c r="BN78" s="69" t="str">
        <f aca="false">IF($E78="","",IF($M78,IF(AND($G78&gt;=BN$5,$G78&lt;BN$5+GanttPeriod),"◆",IF(AND($E78&gt;=BN$5,$E78&lt;BN$5+GanttPeriod),"◇","")),IF(AND(BN$5&lt;=$F78,BN$5+GanttPeriod-1&gt;=$E78),"━","")))</f>
        <v/>
      </c>
      <c r="BO78" s="69" t="str">
        <f aca="false">IF($E78="","",IF($M78,IF(AND($G78&gt;=BO$5,$G78&lt;BO$5+GanttPeriod),"◆",IF(AND($E78&gt;=BO$5,$E78&lt;BO$5+GanttPeriod),"◇","")),IF(AND(BO$5&lt;=$F78,BO$5+GanttPeriod-1&gt;=$E78),"━","")))</f>
        <v/>
      </c>
      <c r="BP78" s="69" t="str">
        <f aca="false">IF($E78="","",IF($M78,IF(AND($G78&gt;=BP$5,$G78&lt;BP$5+GanttPeriod),"◆",IF(AND($E78&gt;=BP$5,$E78&lt;BP$5+GanttPeriod),"◇","")),IF(AND(BP$5&lt;=$F78,BP$5+GanttPeriod-1&gt;=$E78),"━","")))</f>
        <v/>
      </c>
      <c r="BQ78" s="69" t="str">
        <f aca="false">IF($E78="","",IF($M78,IF(AND($G78&gt;=BQ$5,$G78&lt;BQ$5+GanttPeriod),"◆",IF(AND($E78&gt;=BQ$5,$E78&lt;BQ$5+GanttPeriod),"◇","")),IF(AND(BQ$5&lt;=$F78,BQ$5+GanttPeriod-1&gt;=$E78),"━","")))</f>
        <v/>
      </c>
      <c r="BR78" s="69" t="str">
        <f aca="false">IF($E78="","",IF($M78,IF(AND($G78&gt;=BR$5,$G78&lt;BR$5+GanttPeriod),"◆",IF(AND($E78&gt;=BR$5,$E78&lt;BR$5+GanttPeriod),"◇","")),IF(AND(BR$5&lt;=$F78,BR$5+GanttPeriod-1&gt;=$E78),"━","")))</f>
        <v/>
      </c>
      <c r="BS78" s="69" t="str">
        <f aca="false">IF($E78="","",IF($M78,IF(AND($G78&gt;=BS$5,$G78&lt;BS$5+GanttPeriod),"◆",IF(AND($E78&gt;=BS$5,$E78&lt;BS$5+GanttPeriod),"◇","")),IF(AND(BS$5&lt;=$F78,BS$5+GanttPeriod-1&gt;=$E78),"━","")))</f>
        <v/>
      </c>
      <c r="BT78" s="69" t="str">
        <f aca="false">IF($E78="","",IF($M78,IF(AND($G78&gt;=BT$5,$G78&lt;BT$5+GanttPeriod),"◆",IF(AND($E78&gt;=BT$5,$E78&lt;BT$5+GanttPeriod),"◇","")),IF(AND(BT$5&lt;=$F78,BT$5+GanttPeriod-1&gt;=$E78),"━","")))</f>
        <v/>
      </c>
      <c r="BU78" s="69" t="str">
        <f aca="false">IF($E78="","",IF($M78,IF(AND($G78&gt;=BU$5,$G78&lt;BU$5+GanttPeriod),"◆",IF(AND($E78&gt;=BU$5,$E78&lt;BU$5+GanttPeriod),"◇","")),IF(AND(BU$5&lt;=$F78,BU$5+GanttPeriod-1&gt;=$E78),"━","")))</f>
        <v/>
      </c>
      <c r="BV78" s="69" t="str">
        <f aca="false">IF($E78="","",IF($M78,IF(AND($G78&gt;=BV$5,$G78&lt;BV$5+GanttPeriod),"◆",IF(AND($E78&gt;=BV$5,$E78&lt;BV$5+GanttPeriod),"◇","")),IF(AND(BV$5&lt;=$F78,BV$5+GanttPeriod-1&gt;=$E78),"━","")))</f>
        <v/>
      </c>
      <c r="BW78" s="69" t="str">
        <f aca="false">IF($E78="","",IF($M78,IF(AND($G78&gt;=BW$5,$G78&lt;BW$5+GanttPeriod),"◆",IF(AND($E78&gt;=BW$5,$E78&lt;BW$5+GanttPeriod),"◇","")),IF(AND(BW$5&lt;=$F78,BW$5+GanttPeriod-1&gt;=$E78),"━","")))</f>
        <v/>
      </c>
      <c r="BX78" s="69" t="str">
        <f aca="false">IF($E78="","",IF($M78,IF(AND($G78&gt;=BX$5,$G78&lt;BX$5+GanttPeriod),"◆",IF(AND($E78&gt;=BX$5,$E78&lt;BX$5+GanttPeriod),"◇","")),IF(AND(BX$5&lt;=$F78,BX$5+GanttPeriod-1&gt;=$E78),"━","")))</f>
        <v/>
      </c>
      <c r="BY78" s="69" t="str">
        <f aca="false">IF($E78="","",IF($M78,IF(AND($G78&gt;=BY$5,$G78&lt;BY$5+GanttPeriod),"◆",IF(AND($E78&gt;=BY$5,$E78&lt;BY$5+GanttPeriod),"◇","")),IF(AND(BY$5&lt;=$F78,BY$5+GanttPeriod-1&gt;=$E78),"━","")))</f>
        <v/>
      </c>
      <c r="BZ78" s="69" t="str">
        <f aca="false">IF($E78="","",IF($M78,IF(AND($G78&gt;=BZ$5,$G78&lt;BZ$5+GanttPeriod),"◆",IF(AND($E78&gt;=BZ$5,$E78&lt;BZ$5+GanttPeriod),"◇","")),IF(AND(BZ$5&lt;=$F78,BZ$5+GanttPeriod-1&gt;=$E78),"━","")))</f>
        <v/>
      </c>
      <c r="CA78" s="69" t="str">
        <f aca="false">IF($E78="","",IF($M78,IF(AND($G78&gt;=CA$5,$G78&lt;CA$5+GanttPeriod),"◆",IF(AND($E78&gt;=CA$5,$E78&lt;CA$5+GanttPeriod),"◇","")),IF(AND(CA$5&lt;=$F78,CA$5+GanttPeriod-1&gt;=$E78),"━","")))</f>
        <v/>
      </c>
      <c r="CB78" s="69" t="str">
        <f aca="false">IF($E78="","",IF($M78,IF(AND($G78&gt;=CB$5,$G78&lt;CB$5+GanttPeriod),"◆",IF(AND($E78&gt;=CB$5,$E78&lt;CB$5+GanttPeriod),"◇","")),IF(AND(CB$5&lt;=$F78,CB$5+GanttPeriod-1&gt;=$E78),"━","")))</f>
        <v/>
      </c>
      <c r="CC78" s="69" t="str">
        <f aca="false">IF($E78="","",IF($M78,IF(AND($G78&gt;=CC$5,$G78&lt;CC$5+GanttPeriod),"◆",IF(AND($E78&gt;=CC$5,$E78&lt;CC$5+GanttPeriod),"◇","")),IF(AND(CC$5&lt;=$F78,CC$5+GanttPeriod-1&gt;=$E78),"━","")))</f>
        <v/>
      </c>
      <c r="CD78" s="69" t="str">
        <f aca="false">IF($E78="","",IF($M78,IF(AND($G78&gt;=CD$5,$G78&lt;CD$5+GanttPeriod),"◆",IF(AND($E78&gt;=CD$5,$E78&lt;CD$5+GanttPeriod),"◇","")),IF(AND(CD$5&lt;=$F78,CD$5+GanttPeriod-1&gt;=$E78),"━","")))</f>
        <v/>
      </c>
      <c r="CE78" s="69" t="str">
        <f aca="false">IF($E78="","",IF($M78,IF(AND($G78&gt;=CE$5,$G78&lt;CE$5+GanttPeriod),"◆",IF(AND($E78&gt;=CE$5,$E78&lt;CE$5+GanttPeriod),"◇","")),IF(AND(CE$5&lt;=$F78,CE$5+GanttPeriod-1&gt;=$E78),"━","")))</f>
        <v/>
      </c>
      <c r="CF78" s="69" t="str">
        <f aca="false">IF($E78="","",IF($M78,IF(AND($G78&gt;=CF$5,$G78&lt;CF$5+GanttPeriod),"◆",IF(AND($E78&gt;=CF$5,$E78&lt;CF$5+GanttPeriod),"◇","")),IF(AND(CF$5&lt;=$F78,CF$5+GanttPeriod-1&gt;=$E78),"━","")))</f>
        <v/>
      </c>
      <c r="CG78" s="69" t="str">
        <f aca="false">IF($E78="","",IF($M78,IF(AND($G78&gt;=CG$5,$G78&lt;CG$5+GanttPeriod),"◆",IF(AND($E78&gt;=CG$5,$E78&lt;CG$5+GanttPeriod),"◇","")),IF(AND(CG$5&lt;=$F78,CG$5+GanttPeriod-1&gt;=$E78),"━","")))</f>
        <v/>
      </c>
      <c r="CH78" s="69" t="str">
        <f aca="false">IF($E78="","",IF($M78,IF(AND($G78&gt;=CH$5,$G78&lt;CH$5+GanttPeriod),"◆",IF(AND($E78&gt;=CH$5,$E78&lt;CH$5+GanttPeriod),"◇","")),IF(AND(CH$5&lt;=$F78,CH$5+GanttPeriod-1&gt;=$E78),"━","")))</f>
        <v/>
      </c>
      <c r="CI78" s="69" t="str">
        <f aca="false">IF($E78="","",IF($M78,IF(AND($G78&gt;=CI$5,$G78&lt;CI$5+GanttPeriod),"◆",IF(AND($E78&gt;=CI$5,$E78&lt;CI$5+GanttPeriod),"◇","")),IF(AND(CI$5&lt;=$F78,CI$5+GanttPeriod-1&gt;=$E78),"━","")))</f>
        <v/>
      </c>
      <c r="CJ78" s="69" t="str">
        <f aca="false">IF($E78="","",IF($M78,IF(AND($G78&gt;=CJ$5,$G78&lt;CJ$5+GanttPeriod),"◆",IF(AND($E78&gt;=CJ$5,$E78&lt;CJ$5+GanttPeriod),"◇","")),IF(AND(CJ$5&lt;=$F78,CJ$5+GanttPeriod-1&gt;=$E78),"━","")))</f>
        <v/>
      </c>
      <c r="CK78" s="69" t="str">
        <f aca="false">IF($E78="","",IF($M78,IF(AND($G78&gt;=CK$5,$G78&lt;CK$5+GanttPeriod),"◆",IF(AND($E78&gt;=CK$5,$E78&lt;CK$5+GanttPeriod),"◇","")),IF(AND(CK$5&lt;=$F78,CK$5+GanttPeriod-1&gt;=$E78),"━","")))</f>
        <v/>
      </c>
      <c r="CL78" s="69" t="str">
        <f aca="false">IF($E78="","",IF($M78,IF(AND($G78&gt;=CL$5,$G78&lt;CL$5+GanttPeriod),"◆",IF(AND($E78&gt;=CL$5,$E78&lt;CL$5+GanttPeriod),"◇","")),IF(AND(CL$5&lt;=$F78,CL$5+GanttPeriod-1&gt;=$E78),"━","")))</f>
        <v/>
      </c>
      <c r="CM78" s="69" t="str">
        <f aca="false">IF($E78="","",IF($M78,IF(AND($G78&gt;=CM$5,$G78&lt;CM$5+GanttPeriod),"◆",IF(AND($E78&gt;=CM$5,$E78&lt;CM$5+GanttPeriod),"◇","")),IF(AND(CM$5&lt;=$F78,CM$5+GanttPeriod-1&gt;=$E78),"━","")))</f>
        <v/>
      </c>
      <c r="CN78" s="69" t="str">
        <f aca="false">IF($E78="","",IF($M78,IF(AND($G78&gt;=CN$5,$G78&lt;CN$5+GanttPeriod),"◆",IF(AND($E78&gt;=CN$5,$E78&lt;CN$5+GanttPeriod),"◇","")),IF(AND(CN$5&lt;=$F78,CN$5+GanttPeriod-1&gt;=$E78),"━","")))</f>
        <v/>
      </c>
      <c r="CO78" s="69" t="str">
        <f aca="false">IF($E78="","",IF($M78,IF(AND($G78&gt;=CO$5,$G78&lt;CO$5+GanttPeriod),"◆",IF(AND($E78&gt;=CO$5,$E78&lt;CO$5+GanttPeriod),"◇","")),IF(AND(CO$5&lt;=$F78,CO$5+GanttPeriod-1&gt;=$E78),"━","")))</f>
        <v/>
      </c>
      <c r="CP78" s="69" t="str">
        <f aca="false">IF($E78="","",IF($M78,IF(AND($G78&gt;=CP$5,$G78&lt;CP$5+GanttPeriod),"◆",IF(AND($E78&gt;=CP$5,$E78&lt;CP$5+GanttPeriod),"◇","")),IF(AND(CP$5&lt;=$F78,CP$5+GanttPeriod-1&gt;=$E78),"━","")))</f>
        <v/>
      </c>
      <c r="CQ78" s="69" t="str">
        <f aca="false">IF($E78="","",IF($M78,IF(AND($G78&gt;=CQ$5,$G78&lt;CQ$5+GanttPeriod),"◆",IF(AND($E78&gt;=CQ$5,$E78&lt;CQ$5+GanttPeriod),"◇","")),IF(AND(CQ$5&lt;=$F78,CQ$5+GanttPeriod-1&gt;=$E78),"━","")))</f>
        <v/>
      </c>
      <c r="CR78" s="69" t="str">
        <f aca="false">IF($E78="","",IF($M78,IF(AND($G78&gt;=CR$5,$G78&lt;CR$5+GanttPeriod),"◆",IF(AND($E78&gt;=CR$5,$E78&lt;CR$5+GanttPeriod),"◇","")),IF(AND(CR$5&lt;=$F78,CR$5+GanttPeriod-1&gt;=$E78),"━","")))</f>
        <v/>
      </c>
      <c r="CS78" s="69" t="str">
        <f aca="false">IF($E78="","",IF($M78,IF(AND($G78&gt;=CS$5,$G78&lt;CS$5+GanttPeriod),"◆",IF(AND($E78&gt;=CS$5,$E78&lt;CS$5+GanttPeriod),"◇","")),IF(AND(CS$5&lt;=$F78,CS$5+GanttPeriod-1&gt;=$E78),"━","")))</f>
        <v/>
      </c>
      <c r="CT78" s="69" t="str">
        <f aca="false">IF($E78="","",IF($M78,IF(AND($G78&gt;=CT$5,$G78&lt;CT$5+GanttPeriod),"◆",IF(AND($E78&gt;=CT$5,$E78&lt;CT$5+GanttPeriod),"◇","")),IF(AND(CT$5&lt;=$F78,CT$5+GanttPeriod-1&gt;=$E78),"━","")))</f>
        <v/>
      </c>
      <c r="CU78" s="69" t="str">
        <f aca="false">IF($E78="","",IF($M78,IF(AND($G78&gt;=CU$5,$G78&lt;CU$5+GanttPeriod),"◆",IF(AND($E78&gt;=CU$5,$E78&lt;CU$5+GanttPeriod),"◇","")),IF(AND(CU$5&lt;=$F78,CU$5+GanttPeriod-1&gt;=$E78),"━","")))</f>
        <v/>
      </c>
      <c r="CV78" s="69" t="str">
        <f aca="false">IF($E78="","",IF($M78,IF(AND($G78&gt;=CV$5,$G78&lt;CV$5+GanttPeriod),"◆",IF(AND($E78&gt;=CV$5,$E78&lt;CV$5+GanttPeriod),"◇","")),IF(AND(CV$5&lt;=$F78,CV$5+GanttPeriod-1&gt;=$E78),"━","")))</f>
        <v/>
      </c>
      <c r="CW78" s="69" t="str">
        <f aca="false">IF($E78="","",IF($M78,IF(AND($G78&gt;=CW$5,$G78&lt;CW$5+GanttPeriod),"◆",IF(AND($E78&gt;=CW$5,$E78&lt;CW$5+GanttPeriod),"◇","")),IF(AND(CW$5&lt;=$F78,CW$5+GanttPeriod-1&gt;=$E78),"━","")))</f>
        <v/>
      </c>
      <c r="CX78" s="69" t="str">
        <f aca="false">IF($E78="","",IF($M78,IF(AND($G78&gt;=CX$5,$G78&lt;CX$5+GanttPeriod),"◆",IF(AND($E78&gt;=CX$5,$E78&lt;CX$5+GanttPeriod),"◇","")),IF(AND(CX$5&lt;=$F78,CX$5+GanttPeriod-1&gt;=$E78),"━","")))</f>
        <v/>
      </c>
      <c r="CY78" s="69" t="str">
        <f aca="false">IF($E78="","",IF($M78,IF(AND($G78&gt;=CY$5,$G78&lt;CY$5+GanttPeriod),"◆",IF(AND($E78&gt;=CY$5,$E78&lt;CY$5+GanttPeriod),"◇","")),IF(AND(CY$5&lt;=$F78,CY$5+GanttPeriod-1&gt;=$E78),"━","")))</f>
        <v/>
      </c>
      <c r="CZ78" s="69" t="str">
        <f aca="false">IF($E78="","",IF($M78,IF(AND($G78&gt;=CZ$5,$G78&lt;CZ$5+GanttPeriod),"◆",IF(AND($E78&gt;=CZ$5,$E78&lt;CZ$5+GanttPeriod),"◇","")),IF(AND(CZ$5&lt;=$F78,CZ$5+GanttPeriod-1&gt;=$E78),"━","")))</f>
        <v/>
      </c>
      <c r="DA78" s="69" t="str">
        <f aca="false">IF($E78="","",IF($M78,IF(AND($G78&gt;=DA$5,$G78&lt;DA$5+GanttPeriod),"◆",IF(AND($E78&gt;=DA$5,$E78&lt;DA$5+GanttPeriod),"◇","")),IF(AND(DA$5&lt;=$F78,DA$5+GanttPeriod-1&gt;=$E78),"━","")))</f>
        <v/>
      </c>
      <c r="DB78" s="69" t="str">
        <f aca="false">IF($E78="","",IF($M78,IF(AND($G78&gt;=DB$5,$G78&lt;DB$5+GanttPeriod),"◆",IF(AND($E78&gt;=DB$5,$E78&lt;DB$5+GanttPeriod),"◇","")),IF(AND(DB$5&lt;=$F78,DB$5+GanttPeriod-1&gt;=$E78),"━","")))</f>
        <v/>
      </c>
      <c r="DC78" s="69" t="str">
        <f aca="false">IF($E78="","",IF($M78,IF(AND($G78&gt;=DC$5,$G78&lt;DC$5+GanttPeriod),"◆",IF(AND($E78&gt;=DC$5,$E78&lt;DC$5+GanttPeriod),"◇","")),IF(AND(DC$5&lt;=$F78,DC$5+GanttPeriod-1&gt;=$E78),"━","")))</f>
        <v/>
      </c>
      <c r="DD78" s="69" t="str">
        <f aca="false">IF($E78="","",IF($M78,IF(AND($G78&gt;=DD$5,$G78&lt;DD$5+GanttPeriod),"◆",IF(AND($E78&gt;=DD$5,$E78&lt;DD$5+GanttPeriod),"◇","")),IF(AND(DD$5&lt;=$F78,DD$5+GanttPeriod-1&gt;=$E78),"━","")))</f>
        <v/>
      </c>
      <c r="DE78" s="69" t="str">
        <f aca="false">IF($E78="","",IF($M78,IF(AND($G78&gt;=DE$5,$G78&lt;DE$5+GanttPeriod),"◆",IF(AND($E78&gt;=DE$5,$E78&lt;DE$5+GanttPeriod),"◇","")),IF(AND(DE$5&lt;=$F78,DE$5+GanttPeriod-1&gt;=$E78),"━","")))</f>
        <v/>
      </c>
      <c r="DF78" s="69" t="str">
        <f aca="false">IF($E78="","",IF($M78,IF(AND($G78&gt;=DF$5,$G78&lt;DF$5+GanttPeriod),"◆",IF(AND($E78&gt;=DF$5,$E78&lt;DF$5+GanttPeriod),"◇","")),IF(AND(DF$5&lt;=$F78,DF$5+GanttPeriod-1&gt;=$E78),"━","")))</f>
        <v/>
      </c>
      <c r="DG78" s="69" t="str">
        <f aca="false">IF($E78="","",IF($M78,IF(AND($G78&gt;=DG$5,$G78&lt;DG$5+GanttPeriod),"◆",IF(AND($E78&gt;=DG$5,$E78&lt;DG$5+GanttPeriod),"◇","")),IF(AND(DG$5&lt;=$F78,DG$5+GanttPeriod-1&gt;=$E78),"━","")))</f>
        <v/>
      </c>
      <c r="DH78" s="69" t="str">
        <f aca="false">IF($E78="","",IF($M78,IF(AND($G78&gt;=DH$5,$G78&lt;DH$5+GanttPeriod),"◆",IF(AND($E78&gt;=DH$5,$E78&lt;DH$5+GanttPeriod),"◇","")),IF(AND(DH$5&lt;=$F78,DH$5+GanttPeriod-1&gt;=$E78),"━","")))</f>
        <v/>
      </c>
      <c r="DI78" s="69" t="str">
        <f aca="false">IF($E78="","",IF($M78,IF(AND($G78&gt;=DI$5,$G78&lt;DI$5+GanttPeriod),"◆",IF(AND($E78&gt;=DI$5,$E78&lt;DI$5+GanttPeriod),"◇","")),IF(AND(DI$5&lt;=$F78,DI$5+GanttPeriod-1&gt;=$E78),"━","")))</f>
        <v/>
      </c>
      <c r="DJ78" s="69" t="str">
        <f aca="false">IF($E78="","",IF($M78,IF(AND($G78&gt;=DJ$5,$G78&lt;DJ$5+GanttPeriod),"◆",IF(AND($E78&gt;=DJ$5,$E78&lt;DJ$5+GanttPeriod),"◇","")),IF(AND(DJ$5&lt;=$F78,DJ$5+GanttPeriod-1&gt;=$E78),"━","")))</f>
        <v/>
      </c>
      <c r="DK78" s="69" t="str">
        <f aca="false">IF($E78="","",IF($M78,IF(AND($G78&gt;=DK$5,$G78&lt;DK$5+GanttPeriod),"◆",IF(AND($E78&gt;=DK$5,$E78&lt;DK$5+GanttPeriod),"◇","")),IF(AND(DK$5&lt;=$F78,DK$5+GanttPeriod-1&gt;=$E78),"━","")))</f>
        <v/>
      </c>
      <c r="DL78" s="69" t="str">
        <f aca="false">IF($E78="","",IF($M78,IF(AND($G78&gt;=DL$5,$G78&lt;DL$5+GanttPeriod),"◆",IF(AND($E78&gt;=DL$5,$E78&lt;DL$5+GanttPeriod),"◇","")),IF(AND(DL$5&lt;=$F78,DL$5+GanttPeriod-1&gt;=$E78),"━","")))</f>
        <v/>
      </c>
      <c r="DM78" s="69" t="str">
        <f aca="false">IF($E78="","",IF($M78,IF(AND($G78&gt;=DM$5,$G78&lt;DM$5+GanttPeriod),"◆",IF(AND($E78&gt;=DM$5,$E78&lt;DM$5+GanttPeriod),"◇","")),IF(AND(DM$5&lt;=$F78,DM$5+GanttPeriod-1&gt;=$E78),"━","")))</f>
        <v/>
      </c>
      <c r="DN78" s="69" t="str">
        <f aca="false">IF($E78="","",IF($M78,IF(AND($G78&gt;=DN$5,$G78&lt;DN$5+GanttPeriod),"◆",IF(AND($E78&gt;=DN$5,$E78&lt;DN$5+GanttPeriod),"◇","")),IF(AND(DN$5&lt;=$F78,DN$5+GanttPeriod-1&gt;=$E78),"━","")))</f>
        <v/>
      </c>
      <c r="DO78" s="69" t="str">
        <f aca="false">IF($E78="","",IF($M78,IF(AND($G78&gt;=DO$5,$G78&lt;DO$5+GanttPeriod),"◆",IF(AND($E78&gt;=DO$5,$E78&lt;DO$5+GanttPeriod),"◇","")),IF(AND(DO$5&lt;=$F78,DO$5+GanttPeriod-1&gt;=$E78),"━","")))</f>
        <v/>
      </c>
      <c r="DP78" s="69" t="str">
        <f aca="false">IF($E78="","",IF($M78,IF(AND($G78&gt;=DP$5,$G78&lt;DP$5+GanttPeriod),"◆",IF(AND($E78&gt;=DP$5,$E78&lt;DP$5+GanttPeriod),"◇","")),IF(AND(DP$5&lt;=$F78,DP$5+GanttPeriod-1&gt;=$E78),"━","")))</f>
        <v/>
      </c>
      <c r="DQ78" s="69" t="str">
        <f aca="false">IF($E78="","",IF($M78,IF(AND($G78&gt;=DQ$5,$G78&lt;DQ$5+GanttPeriod),"◆",IF(AND($E78&gt;=DQ$5,$E78&lt;DQ$5+GanttPeriod),"◇","")),IF(AND(DQ$5&lt;=$F78,DQ$5+GanttPeriod-1&gt;=$E78),"━","")))</f>
        <v/>
      </c>
      <c r="DR78" s="69" t="str">
        <f aca="false">IF($E78="","",IF($M78,IF(AND($G78&gt;=DR$5,$G78&lt;DR$5+GanttPeriod),"◆",IF(AND($E78&gt;=DR$5,$E78&lt;DR$5+GanttPeriod),"◇","")),IF(AND(DR$5&lt;=$F78,DR$5+GanttPeriod-1&gt;=$E78),"━","")))</f>
        <v/>
      </c>
      <c r="DS78" s="69" t="str">
        <f aca="false">IF($E78="","",IF($M78,IF(AND($G78&gt;=DS$5,$G78&lt;DS$5+GanttPeriod),"◆",IF(AND($E78&gt;=DS$5,$E78&lt;DS$5+GanttPeriod),"◇","")),IF(AND(DS$5&lt;=$F78,DS$5+GanttPeriod-1&gt;=$E78),"━","")))</f>
        <v/>
      </c>
      <c r="DT78" s="69" t="str">
        <f aca="false">IF($E78="","",IF($M78,IF(AND($G78&gt;=DT$5,$G78&lt;DT$5+GanttPeriod),"◆",IF(AND($E78&gt;=DT$5,$E78&lt;DT$5+GanttPeriod),"◇","")),IF(AND(DT$5&lt;=$F78,DT$5+GanttPeriod-1&gt;=$E78),"━","")))</f>
        <v/>
      </c>
      <c r="DU78" s="69" t="str">
        <f aca="false">IF($E78="","",IF($M78,IF(AND($G78&gt;=DU$5,$G78&lt;DU$5+GanttPeriod),"◆",IF(AND($E78&gt;=DU$5,$E78&lt;DU$5+GanttPeriod),"◇","")),IF(AND(DU$5&lt;=$F78,DU$5+GanttPeriod-1&gt;=$E78),"━","")))</f>
        <v/>
      </c>
      <c r="DV78" s="69" t="str">
        <f aca="false">IF($E78="","",IF($M78,IF(AND($G78&gt;=DV$5,$G78&lt;DV$5+GanttPeriod),"◆",IF(AND($E78&gt;=DV$5,$E78&lt;DV$5+GanttPeriod),"◇","")),IF(AND(DV$5&lt;=$F78,DV$5+GanttPeriod-1&gt;=$E78),"━","")))</f>
        <v/>
      </c>
      <c r="DW78" s="69" t="str">
        <f aca="false">IF($E78="","",IF($M78,IF(AND($G78&gt;=DW$5,$G78&lt;DW$5+GanttPeriod),"◆",IF(AND($E78&gt;=DW$5,$E78&lt;DW$5+GanttPeriod),"◇","")),IF(AND(DW$5&lt;=$F78,DW$5+GanttPeriod-1&gt;=$E78),"━","")))</f>
        <v/>
      </c>
      <c r="DX78" s="69" t="str">
        <f aca="false">IF($E78="","",IF($M78,IF(AND($G78&gt;=DX$5,$G78&lt;DX$5+GanttPeriod),"◆",IF(AND($E78&gt;=DX$5,$E78&lt;DX$5+GanttPeriod),"◇","")),IF(AND(DX$5&lt;=$F78,DX$5+GanttPeriod-1&gt;=$E78),"━","")))</f>
        <v/>
      </c>
      <c r="DY78" s="69" t="str">
        <f aca="false">IF($E78="","",IF($M78,IF(AND($G78&gt;=DY$5,$G78&lt;DY$5+GanttPeriod),"◆",IF(AND($E78&gt;=DY$5,$E78&lt;DY$5+GanttPeriod),"◇","")),IF(AND(DY$5&lt;=$F78,DY$5+GanttPeriod-1&gt;=$E78),"━","")))</f>
        <v/>
      </c>
      <c r="DZ78" s="69" t="str">
        <f aca="false">IF($E78="","",IF($M78,IF(AND($G78&gt;=DZ$5,$G78&lt;DZ$5+GanttPeriod),"◆",IF(AND($E78&gt;=DZ$5,$E78&lt;DZ$5+GanttPeriod),"◇","")),IF(AND(DZ$5&lt;=$F78,DZ$5+GanttPeriod-1&gt;=$E78),"━","")))</f>
        <v/>
      </c>
      <c r="EA78" s="69" t="str">
        <f aca="false">IF($E78="","",IF($M78,IF(AND($G78&gt;=EA$5,$G78&lt;EA$5+GanttPeriod),"◆",IF(AND($E78&gt;=EA$5,$E78&lt;EA$5+GanttPeriod),"◇","")),IF(AND(EA$5&lt;=$F78,EA$5+GanttPeriod-1&gt;=$E78),"━","")))</f>
        <v/>
      </c>
      <c r="EB78" s="69" t="str">
        <f aca="false">IF($E78="","",IF($M78,IF(AND($G78&gt;=EB$5,$G78&lt;EB$5+GanttPeriod),"◆",IF(AND($E78&gt;=EB$5,$E78&lt;EB$5+GanttPeriod),"◇","")),IF(AND(EB$5&lt;=$F78,EB$5+GanttPeriod-1&gt;=$E78),"━","")))</f>
        <v/>
      </c>
      <c r="EC78" s="69" t="str">
        <f aca="false">IF($E78="","",IF($M78,IF(AND($G78&gt;=EC$5,$G78&lt;EC$5+GanttPeriod),"◆",IF(AND($E78&gt;=EC$5,$E78&lt;EC$5+GanttPeriod),"◇","")),IF(AND(EC$5&lt;=$F78,EC$5+GanttPeriod-1&gt;=$E78),"━","")))</f>
        <v/>
      </c>
      <c r="ED78" s="69" t="str">
        <f aca="false">IF($E78="","",IF($M78,IF(AND($G78&gt;=ED$5,$G78&lt;ED$5+GanttPeriod),"◆",IF(AND($E78&gt;=ED$5,$E78&lt;ED$5+GanttPeriod),"◇","")),IF(AND(ED$5&lt;=$F78,ED$5+GanttPeriod-1&gt;=$E78),"━","")))</f>
        <v/>
      </c>
      <c r="EE78" s="69" t="str">
        <f aca="false">IF($E78="","",IF($M78,IF(AND($G78&gt;=EE$5,$G78&lt;EE$5+GanttPeriod),"◆",IF(AND($E78&gt;=EE$5,$E78&lt;EE$5+GanttPeriod),"◇","")),IF(AND(EE$5&lt;=$F78,EE$5+GanttPeriod-1&gt;=$E78),"━","")))</f>
        <v/>
      </c>
      <c r="EF78" s="69" t="str">
        <f aca="false">IF($E78="","",IF($M78,IF(AND($G78&gt;=EF$5,$G78&lt;EF$5+GanttPeriod),"◆",IF(AND($E78&gt;=EF$5,$E78&lt;EF$5+GanttPeriod),"◇","")),IF(AND(EF$5&lt;=$F78,EF$5+GanttPeriod-1&gt;=$E78),"━","")))</f>
        <v/>
      </c>
      <c r="EG78" s="69" t="str">
        <f aca="false">IF($E78="","",IF($M78,IF(AND($G78&gt;=EG$5,$G78&lt;EG$5+GanttPeriod),"◆",IF(AND($E78&gt;=EG$5,$E78&lt;EG$5+GanttPeriod),"◇","")),IF(AND(EG$5&lt;=$F78,EG$5+GanttPeriod-1&gt;=$E78),"━","")))</f>
        <v/>
      </c>
      <c r="EH78" s="69" t="str">
        <f aca="false">IF($E78="","",IF($M78,IF(AND($G78&gt;=EH$5,$G78&lt;EH$5+GanttPeriod),"◆",IF(AND($E78&gt;=EH$5,$E78&lt;EH$5+GanttPeriod),"◇","")),IF(AND(EH$5&lt;=$F78,EH$5+GanttPeriod-1&gt;=$E78),"━","")))</f>
        <v/>
      </c>
      <c r="EI78" s="69" t="str">
        <f aca="false">IF($E78="","",IF($M78,IF(AND($G78&gt;=EI$5,$G78&lt;EI$5+GanttPeriod),"◆",IF(AND($E78&gt;=EI$5,$E78&lt;EI$5+GanttPeriod),"◇","")),IF(AND(EI$5&lt;=$F78,EI$5+GanttPeriod-1&gt;=$E78),"━","")))</f>
        <v/>
      </c>
      <c r="EJ78" s="69" t="str">
        <f aca="false">IF($E78="","",IF($M78,IF(AND($G78&gt;=EJ$5,$G78&lt;EJ$5+GanttPeriod),"◆",IF(AND($E78&gt;=EJ$5,$E78&lt;EJ$5+GanttPeriod),"◇","")),IF(AND(EJ$5&lt;=$F78,EJ$5+GanttPeriod-1&gt;=$E78),"━","")))</f>
        <v/>
      </c>
      <c r="EK78" s="69" t="str">
        <f aca="false">IF($E78="","",IF($M78,IF(AND($G78&gt;=EK$5,$G78&lt;EK$5+GanttPeriod),"◆",IF(AND($E78&gt;=EK$5,$E78&lt;EK$5+GanttPeriod),"◇","")),IF(AND(EK$5&lt;=$F78,EK$5+GanttPeriod-1&gt;=$E78),"━","")))</f>
        <v/>
      </c>
      <c r="EL78" s="69" t="str">
        <f aca="false">IF($E78="","",IF($M78,IF(AND($G78&gt;=EL$5,$G78&lt;EL$5+GanttPeriod),"◆",IF(AND($E78&gt;=EL$5,$E78&lt;EL$5+GanttPeriod),"◇","")),IF(AND(EL$5&lt;=$F78,EL$5+GanttPeriod-1&gt;=$E78),"━","")))</f>
        <v/>
      </c>
      <c r="EM78" s="69" t="str">
        <f aca="false">IF($E78="","",IF($M78,IF(AND($G78&gt;=EM$5,$G78&lt;EM$5+GanttPeriod),"◆",IF(AND($E78&gt;=EM$5,$E78&lt;EM$5+GanttPeriod),"◇","")),IF(AND(EM$5&lt;=$F78,EM$5+GanttPeriod-1&gt;=$E78),"━","")))</f>
        <v/>
      </c>
      <c r="EN78" s="69" t="str">
        <f aca="false">IF($E78="","",IF($M78,IF(AND($G78&gt;=EN$5,$G78&lt;EN$5+GanttPeriod),"◆",IF(AND($E78&gt;=EN$5,$E78&lt;EN$5+GanttPeriod),"◇","")),IF(AND(EN$5&lt;=$F78,EN$5+GanttPeriod-1&gt;=$E78),"━","")))</f>
        <v/>
      </c>
      <c r="EO78" s="69" t="str">
        <f aca="false">IF($E78="","",IF($M78,IF(AND($G78&gt;=EO$5,$G78&lt;EO$5+GanttPeriod),"◆",IF(AND($E78&gt;=EO$5,$E78&lt;EO$5+GanttPeriod),"◇","")),IF(AND(EO$5&lt;=$F78,EO$5+GanttPeriod-1&gt;=$E78),"━","")))</f>
        <v/>
      </c>
      <c r="EP78" s="69" t="str">
        <f aca="false">IF($E78="","",IF($M78,IF(AND($G78&gt;=EP$5,$G78&lt;EP$5+GanttPeriod),"◆",IF(AND($E78&gt;=EP$5,$E78&lt;EP$5+GanttPeriod),"◇","")),IF(AND(EP$5&lt;=$F78,EP$5+GanttPeriod-1&gt;=$E78),"━","")))</f>
        <v/>
      </c>
      <c r="EQ78" s="69" t="str">
        <f aca="false">IF($E78="","",IF($M78,IF(AND($G78&gt;=EQ$5,$G78&lt;EQ$5+GanttPeriod),"◆",IF(AND($E78&gt;=EQ$5,$E78&lt;EQ$5+GanttPeriod),"◇","")),IF(AND(EQ$5&lt;=$F78,EQ$5+GanttPeriod-1&gt;=$E78),"━","")))</f>
        <v/>
      </c>
      <c r="ER78" s="69" t="str">
        <f aca="false">IF($E78="","",IF($M78,IF(AND($G78&gt;=ER$5,$G78&lt;ER$5+GanttPeriod),"◆",IF(AND($E78&gt;=ER$5,$E78&lt;ER$5+GanttPeriod),"◇","")),IF(AND(ER$5&lt;=$F78,ER$5+GanttPeriod-1&gt;=$E78),"━","")))</f>
        <v/>
      </c>
      <c r="ES78" s="69" t="str">
        <f aca="false">IF($E78="","",IF($M78,IF(AND($G78&gt;=ES$5,$G78&lt;ES$5+GanttPeriod),"◆",IF(AND($E78&gt;=ES$5,$E78&lt;ES$5+GanttPeriod),"◇","")),IF(AND(ES$5&lt;=$F78,ES$5+GanttPeriod-1&gt;=$E78),"━","")))</f>
        <v/>
      </c>
      <c r="ET78" s="69" t="str">
        <f aca="false">IF($E78="","",IF($M78,IF(AND($G78&gt;=ET$5,$G78&lt;ET$5+GanttPeriod),"◆",IF(AND($E78&gt;=ET$5,$E78&lt;ET$5+GanttPeriod),"◇","")),IF(AND(ET$5&lt;=$F78,ET$5+GanttPeriod-1&gt;=$E78),"━","")))</f>
        <v/>
      </c>
      <c r="EU78" s="69" t="str">
        <f aca="false">IF($E78="","",IF($M78,IF(AND($G78&gt;=EU$5,$G78&lt;EU$5+GanttPeriod),"◆",IF(AND($E78&gt;=EU$5,$E78&lt;EU$5+GanttPeriod),"◇","")),IF(AND(EU$5&lt;=$F78,EU$5+GanttPeriod-1&gt;=$E78),"━","")))</f>
        <v/>
      </c>
      <c r="EV78" s="69" t="str">
        <f aca="false">IF($E78="","",IF($M78,IF(AND($G78&gt;=EV$5,$G78&lt;EV$5+GanttPeriod),"◆",IF(AND($E78&gt;=EV$5,$E78&lt;EV$5+GanttPeriod),"◇","")),IF(AND(EV$5&lt;=$F78,EV$5+GanttPeriod-1&gt;=$E78),"━","")))</f>
        <v/>
      </c>
      <c r="EW78" s="69" t="str">
        <f aca="false">IF($E78="","",IF($M78,IF(AND($G78&gt;=EW$5,$G78&lt;EW$5+GanttPeriod),"◆",IF(AND($E78&gt;=EW$5,$E78&lt;EW$5+GanttPeriod),"◇","")),IF(AND(EW$5&lt;=$F78,EW$5+GanttPeriod-1&gt;=$E78),"━","")))</f>
        <v/>
      </c>
      <c r="EX78" s="69" t="str">
        <f aca="false">IF($E78="","",IF($M78,IF(AND($G78&gt;=EX$5,$G78&lt;EX$5+GanttPeriod),"◆",IF(AND($E78&gt;=EX$5,$E78&lt;EX$5+GanttPeriod),"◇","")),IF(AND(EX$5&lt;=$F78,EX$5+GanttPeriod-1&gt;=$E78),"━","")))</f>
        <v/>
      </c>
      <c r="EY78" s="69" t="str">
        <f aca="false">IF($E78="","",IF($M78,IF(AND($G78&gt;=EY$5,$G78&lt;EY$5+GanttPeriod),"◆",IF(AND($E78&gt;=EY$5,$E78&lt;EY$5+GanttPeriod),"◇","")),IF(AND(EY$5&lt;=$F78,EY$5+GanttPeriod-1&gt;=$E78),"━","")))</f>
        <v/>
      </c>
      <c r="EZ78" s="69" t="str">
        <f aca="false">IF($E78="","",IF($M78,IF(AND($G78&gt;=EZ$5,$G78&lt;EZ$5+GanttPeriod),"◆",IF(AND($E78&gt;=EZ$5,$E78&lt;EZ$5+GanttPeriod),"◇","")),IF(AND(EZ$5&lt;=$F78,EZ$5+GanttPeriod-1&gt;=$E78),"━","")))</f>
        <v/>
      </c>
      <c r="FA78" s="69" t="str">
        <f aca="false">IF($E78="","",IF($M78,IF(AND($G78&gt;=FA$5,$G78&lt;FA$5+GanttPeriod),"◆",IF(AND($E78&gt;=FA$5,$E78&lt;FA$5+GanttPeriod),"◇","")),IF(AND(FA$5&lt;=$F78,FA$5+GanttPeriod-1&gt;=$E78),"━","")))</f>
        <v/>
      </c>
      <c r="FB78" s="69" t="str">
        <f aca="false">IF($E78="","",IF($M78,IF(AND($G78&gt;=FB$5,$G78&lt;FB$5+GanttPeriod),"◆",IF(AND($E78&gt;=FB$5,$E78&lt;FB$5+GanttPeriod),"◇","")),IF(AND(FB$5&lt;=$F78,FB$5+GanttPeriod-1&gt;=$E78),"━","")))</f>
        <v/>
      </c>
      <c r="FC78" s="69" t="str">
        <f aca="false">IF($E78="","",IF($M78,IF(AND($G78&gt;=FC$5,$G78&lt;FC$5+GanttPeriod),"◆",IF(AND($E78&gt;=FC$5,$E78&lt;FC$5+GanttPeriod),"◇","")),IF(AND(FC$5&lt;=$F78,FC$5+GanttPeriod-1&gt;=$E78),"━","")))</f>
        <v/>
      </c>
      <c r="FD78" s="69" t="str">
        <f aca="false">IF($E78="","",IF($M78,IF(AND($G78&gt;=FD$5,$G78&lt;FD$5+GanttPeriod),"◆",IF(AND($E78&gt;=FD$5,$E78&lt;FD$5+GanttPeriod),"◇","")),IF(AND(FD$5&lt;=$F78,FD$5+GanttPeriod-1&gt;=$E78),"━","")))</f>
        <v/>
      </c>
      <c r="FE78" s="69" t="str">
        <f aca="false">IF($E78="","",IF($M78,IF(AND($G78&gt;=FE$5,$G78&lt;FE$5+GanttPeriod),"◆",IF(AND($E78&gt;=FE$5,$E78&lt;FE$5+GanttPeriod),"◇","")),IF(AND(FE$5&lt;=$F78,FE$5+GanttPeriod-1&gt;=$E78),"━","")))</f>
        <v/>
      </c>
      <c r="FF78" s="69" t="str">
        <f aca="false">IF($E78="","",IF($M78,IF(AND($G78&gt;=FF$5,$G78&lt;FF$5+GanttPeriod),"◆",IF(AND($E78&gt;=FF$5,$E78&lt;FF$5+GanttPeriod),"◇","")),IF(AND(FF$5&lt;=$F78,FF$5+GanttPeriod-1&gt;=$E78),"━","")))</f>
        <v/>
      </c>
      <c r="FG78" s="69" t="str">
        <f aca="false">IF($E78="","",IF($M78,IF(AND($G78&gt;=FG$5,$G78&lt;FG$5+GanttPeriod),"◆",IF(AND($E78&gt;=FG$5,$E78&lt;FG$5+GanttPeriod),"◇","")),IF(AND(FG$5&lt;=$F78,FG$5+GanttPeriod-1&gt;=$E78),"━","")))</f>
        <v/>
      </c>
      <c r="FH78" s="69" t="str">
        <f aca="false">IF($E78="","",IF($M78,IF(AND($G78&gt;=FH$5,$G78&lt;FH$5+GanttPeriod),"◆",IF(AND($E78&gt;=FH$5,$E78&lt;FH$5+GanttPeriod),"◇","")),IF(AND(FH$5&lt;=$F78,FH$5+GanttPeriod-1&gt;=$E78),"━","")))</f>
        <v/>
      </c>
      <c r="FI78" s="69" t="str">
        <f aca="false">IF($E78="","",IF($M78,IF(AND($G78&gt;=FI$5,$G78&lt;FI$5+GanttPeriod),"◆",IF(AND($E78&gt;=FI$5,$E78&lt;FI$5+GanttPeriod),"◇","")),IF(AND(FI$5&lt;=$F78,FI$5+GanttPeriod-1&gt;=$E78),"━","")))</f>
        <v/>
      </c>
      <c r="FJ78" s="69" t="str">
        <f aca="false">IF($E78="","",IF($M78,IF(AND($G78&gt;=FJ$5,$G78&lt;FJ$5+GanttPeriod),"◆",IF(AND($E78&gt;=FJ$5,$E78&lt;FJ$5+GanttPeriod),"◇","")),IF(AND(FJ$5&lt;=$F78,FJ$5+GanttPeriod-1&gt;=$E78),"━","")))</f>
        <v/>
      </c>
      <c r="FK78" s="69" t="str">
        <f aca="false">IF($E78="","",IF($M78,IF(AND($G78&gt;=FK$5,$G78&lt;FK$5+GanttPeriod),"◆",IF(AND($E78&gt;=FK$5,$E78&lt;FK$5+GanttPeriod),"◇","")),IF(AND(FK$5&lt;=$F78,FK$5+GanttPeriod-1&gt;=$E78),"━","")))</f>
        <v/>
      </c>
      <c r="FL78" s="69" t="str">
        <f aca="false">IF($E78="","",IF($M78,IF(AND($G78&gt;=FL$5,$G78&lt;FL$5+GanttPeriod),"◆",IF(AND($E78&gt;=FL$5,$E78&lt;FL$5+GanttPeriod),"◇","")),IF(AND(FL$5&lt;=$F78,FL$5+GanttPeriod-1&gt;=$E78),"━","")))</f>
        <v/>
      </c>
      <c r="FM78" s="69" t="str">
        <f aca="false">IF($E78="","",IF($M78,IF(AND($G78&gt;=FM$5,$G78&lt;FM$5+GanttPeriod),"◆",IF(AND($E78&gt;=FM$5,$E78&lt;FM$5+GanttPeriod),"◇","")),IF(AND(FM$5&lt;=$F78,FM$5+GanttPeriod-1&gt;=$E78),"━","")))</f>
        <v/>
      </c>
    </row>
    <row r="79" customFormat="false" ht="15" hidden="false" customHeight="false" outlineLevel="0" collapsed="false">
      <c r="A79" s="62" t="str">
        <f aca="false">IF(Tasks!$D79="","",Tasks!$A79)</f>
        <v/>
      </c>
      <c r="B79" s="62" t="str">
        <f aca="false">IF(Tasks!$D79="","",Tasks!$B79)</f>
        <v/>
      </c>
      <c r="C79" s="63" t="str">
        <f aca="false">IF(Tasks!$D79="","",REPT("    ",Tasks!$AE79-1)&amp;Tasks!$D79)</f>
        <v/>
      </c>
      <c r="D79" s="62" t="str">
        <f aca="false">IF(Tasks!$D79="","",IF(Tasks!$AI79,NETWORKDAYS.INTL(Tasks!$R79,Tasks!$S79,WorkWeek,Holidays),N(Tasks!$F79)))</f>
        <v/>
      </c>
      <c r="E79" s="64" t="str">
        <f aca="false">IF(Tasks!$D79="","",Tasks!$N79)</f>
        <v/>
      </c>
      <c r="F79" s="64" t="str">
        <f aca="false">IF(Tasks!$D79="","",Tasks!$O79)</f>
        <v/>
      </c>
      <c r="G79" s="64" t="str">
        <f aca="false">IF(Tasks!$D79="","",Tasks!$R79)</f>
        <v/>
      </c>
      <c r="H79" s="64" t="str">
        <f aca="false">IF(Tasks!$D79="","",Tasks!$S79)</f>
        <v/>
      </c>
      <c r="I79" s="65" t="str">
        <f aca="false">IF(Tasks!$D79="","",Tasks!$V79)</f>
        <v/>
      </c>
      <c r="J79" s="63" t="str">
        <f aca="false">IF(Tasks!$D79="","",Tasks!$X79&amp;"")</f>
        <v/>
      </c>
      <c r="K79" s="66" t="str">
        <f aca="false">IF(Tasks!$D79="","",Tasks!$W79)</f>
        <v/>
      </c>
      <c r="L79" s="67" t="b">
        <f aca="false">IF(Tasks!$D79="",FALSE(),Tasks!$AI79)</f>
        <v>0</v>
      </c>
      <c r="M79" s="67" t="b">
        <f aca="false">AND(Tasks!$AJ79=1,N(Tasks!$F79)=0)</f>
        <v>0</v>
      </c>
      <c r="N79" s="68" t="n">
        <f aca="false">IF(AND(Tasks!$AJ79=1,NOT($M79),N($I79)&gt;0),$G79,0)</f>
        <v>0</v>
      </c>
      <c r="O79" s="68" t="n">
        <f aca="false">IF($N79=0,0,IF($I79&gt;=1,$H79,MAX($N79,$G79+ROUND(($H79-$G79+1)*$I79,0)-1)))</f>
        <v>0</v>
      </c>
      <c r="P79" s="68" t="n">
        <f aca="false">IF(OR(Tasks!$AJ79&lt;&gt;1,$M79,N($I79)&gt;=1),0,IF($O79&gt;0,$O79+1,$G79))</f>
        <v>0</v>
      </c>
      <c r="Q79" s="68" t="n">
        <f aca="false">IF($P79=0,0,$H79)</f>
        <v>0</v>
      </c>
      <c r="R79" s="67" t="b">
        <f aca="false">AND(Tasks!$D79&lt;&gt;"",N(Tasks!$T79)&gt;0)</f>
        <v>0</v>
      </c>
      <c r="T79" s="69" t="str">
        <f aca="false">IF($E79="","",IF($M79,IF(AND($G79&gt;=T$5,$G79&lt;T$5+GanttPeriod),"◆",IF(AND($E79&gt;=T$5,$E79&lt;T$5+GanttPeriod),"◇","")),IF(AND(T$5&lt;=$F79,T$5+GanttPeriod-1&gt;=$E79),"━","")))</f>
        <v/>
      </c>
      <c r="U79" s="69" t="str">
        <f aca="false">IF($E79="","",IF($M79,IF(AND($G79&gt;=U$5,$G79&lt;U$5+GanttPeriod),"◆",IF(AND($E79&gt;=U$5,$E79&lt;U$5+GanttPeriod),"◇","")),IF(AND(U$5&lt;=$F79,U$5+GanttPeriod-1&gt;=$E79),"━","")))</f>
        <v/>
      </c>
      <c r="V79" s="69" t="str">
        <f aca="false">IF($E79="","",IF($M79,IF(AND($G79&gt;=V$5,$G79&lt;V$5+GanttPeriod),"◆",IF(AND($E79&gt;=V$5,$E79&lt;V$5+GanttPeriod),"◇","")),IF(AND(V$5&lt;=$F79,V$5+GanttPeriod-1&gt;=$E79),"━","")))</f>
        <v/>
      </c>
      <c r="W79" s="69" t="str">
        <f aca="false">IF($E79="","",IF($M79,IF(AND($G79&gt;=W$5,$G79&lt;W$5+GanttPeriod),"◆",IF(AND($E79&gt;=W$5,$E79&lt;W$5+GanttPeriod),"◇","")),IF(AND(W$5&lt;=$F79,W$5+GanttPeriod-1&gt;=$E79),"━","")))</f>
        <v/>
      </c>
      <c r="X79" s="69" t="str">
        <f aca="false">IF($E79="","",IF($M79,IF(AND($G79&gt;=X$5,$G79&lt;X$5+GanttPeriod),"◆",IF(AND($E79&gt;=X$5,$E79&lt;X$5+GanttPeriod),"◇","")),IF(AND(X$5&lt;=$F79,X$5+GanttPeriod-1&gt;=$E79),"━","")))</f>
        <v/>
      </c>
      <c r="Y79" s="69" t="str">
        <f aca="false">IF($E79="","",IF($M79,IF(AND($G79&gt;=Y$5,$G79&lt;Y$5+GanttPeriod),"◆",IF(AND($E79&gt;=Y$5,$E79&lt;Y$5+GanttPeriod),"◇","")),IF(AND(Y$5&lt;=$F79,Y$5+GanttPeriod-1&gt;=$E79),"━","")))</f>
        <v/>
      </c>
      <c r="Z79" s="69" t="str">
        <f aca="false">IF($E79="","",IF($M79,IF(AND($G79&gt;=Z$5,$G79&lt;Z$5+GanttPeriod),"◆",IF(AND($E79&gt;=Z$5,$E79&lt;Z$5+GanttPeriod),"◇","")),IF(AND(Z$5&lt;=$F79,Z$5+GanttPeriod-1&gt;=$E79),"━","")))</f>
        <v/>
      </c>
      <c r="AA79" s="69" t="str">
        <f aca="false">IF($E79="","",IF($M79,IF(AND($G79&gt;=AA$5,$G79&lt;AA$5+GanttPeriod),"◆",IF(AND($E79&gt;=AA$5,$E79&lt;AA$5+GanttPeriod),"◇","")),IF(AND(AA$5&lt;=$F79,AA$5+GanttPeriod-1&gt;=$E79),"━","")))</f>
        <v/>
      </c>
      <c r="AB79" s="69" t="str">
        <f aca="false">IF($E79="","",IF($M79,IF(AND($G79&gt;=AB$5,$G79&lt;AB$5+GanttPeriod),"◆",IF(AND($E79&gt;=AB$5,$E79&lt;AB$5+GanttPeriod),"◇","")),IF(AND(AB$5&lt;=$F79,AB$5+GanttPeriod-1&gt;=$E79),"━","")))</f>
        <v/>
      </c>
      <c r="AC79" s="69" t="str">
        <f aca="false">IF($E79="","",IF($M79,IF(AND($G79&gt;=AC$5,$G79&lt;AC$5+GanttPeriod),"◆",IF(AND($E79&gt;=AC$5,$E79&lt;AC$5+GanttPeriod),"◇","")),IF(AND(AC$5&lt;=$F79,AC$5+GanttPeriod-1&gt;=$E79),"━","")))</f>
        <v/>
      </c>
      <c r="AD79" s="69" t="str">
        <f aca="false">IF($E79="","",IF($M79,IF(AND($G79&gt;=AD$5,$G79&lt;AD$5+GanttPeriod),"◆",IF(AND($E79&gt;=AD$5,$E79&lt;AD$5+GanttPeriod),"◇","")),IF(AND(AD$5&lt;=$F79,AD$5+GanttPeriod-1&gt;=$E79),"━","")))</f>
        <v/>
      </c>
      <c r="AE79" s="69" t="str">
        <f aca="false">IF($E79="","",IF($M79,IF(AND($G79&gt;=AE$5,$G79&lt;AE$5+GanttPeriod),"◆",IF(AND($E79&gt;=AE$5,$E79&lt;AE$5+GanttPeriod),"◇","")),IF(AND(AE$5&lt;=$F79,AE$5+GanttPeriod-1&gt;=$E79),"━","")))</f>
        <v/>
      </c>
      <c r="AF79" s="69" t="str">
        <f aca="false">IF($E79="","",IF($M79,IF(AND($G79&gt;=AF$5,$G79&lt;AF$5+GanttPeriod),"◆",IF(AND($E79&gt;=AF$5,$E79&lt;AF$5+GanttPeriod),"◇","")),IF(AND(AF$5&lt;=$F79,AF$5+GanttPeriod-1&gt;=$E79),"━","")))</f>
        <v/>
      </c>
      <c r="AG79" s="69" t="str">
        <f aca="false">IF($E79="","",IF($M79,IF(AND($G79&gt;=AG$5,$G79&lt;AG$5+GanttPeriod),"◆",IF(AND($E79&gt;=AG$5,$E79&lt;AG$5+GanttPeriod),"◇","")),IF(AND(AG$5&lt;=$F79,AG$5+GanttPeriod-1&gt;=$E79),"━","")))</f>
        <v/>
      </c>
      <c r="AH79" s="69" t="str">
        <f aca="false">IF($E79="","",IF($M79,IF(AND($G79&gt;=AH$5,$G79&lt;AH$5+GanttPeriod),"◆",IF(AND($E79&gt;=AH$5,$E79&lt;AH$5+GanttPeriod),"◇","")),IF(AND(AH$5&lt;=$F79,AH$5+GanttPeriod-1&gt;=$E79),"━","")))</f>
        <v/>
      </c>
      <c r="AI79" s="69" t="str">
        <f aca="false">IF($E79="","",IF($M79,IF(AND($G79&gt;=AI$5,$G79&lt;AI$5+GanttPeriod),"◆",IF(AND($E79&gt;=AI$5,$E79&lt;AI$5+GanttPeriod),"◇","")),IF(AND(AI$5&lt;=$F79,AI$5+GanttPeriod-1&gt;=$E79),"━","")))</f>
        <v/>
      </c>
      <c r="AJ79" s="69" t="str">
        <f aca="false">IF($E79="","",IF($M79,IF(AND($G79&gt;=AJ$5,$G79&lt;AJ$5+GanttPeriod),"◆",IF(AND($E79&gt;=AJ$5,$E79&lt;AJ$5+GanttPeriod),"◇","")),IF(AND(AJ$5&lt;=$F79,AJ$5+GanttPeriod-1&gt;=$E79),"━","")))</f>
        <v/>
      </c>
      <c r="AK79" s="69" t="str">
        <f aca="false">IF($E79="","",IF($M79,IF(AND($G79&gt;=AK$5,$G79&lt;AK$5+GanttPeriod),"◆",IF(AND($E79&gt;=AK$5,$E79&lt;AK$5+GanttPeriod),"◇","")),IF(AND(AK$5&lt;=$F79,AK$5+GanttPeriod-1&gt;=$E79),"━","")))</f>
        <v/>
      </c>
      <c r="AL79" s="69" t="str">
        <f aca="false">IF($E79="","",IF($M79,IF(AND($G79&gt;=AL$5,$G79&lt;AL$5+GanttPeriod),"◆",IF(AND($E79&gt;=AL$5,$E79&lt;AL$5+GanttPeriod),"◇","")),IF(AND(AL$5&lt;=$F79,AL$5+GanttPeriod-1&gt;=$E79),"━","")))</f>
        <v/>
      </c>
      <c r="AM79" s="69" t="str">
        <f aca="false">IF($E79="","",IF($M79,IF(AND($G79&gt;=AM$5,$G79&lt;AM$5+GanttPeriod),"◆",IF(AND($E79&gt;=AM$5,$E79&lt;AM$5+GanttPeriod),"◇","")),IF(AND(AM$5&lt;=$F79,AM$5+GanttPeriod-1&gt;=$E79),"━","")))</f>
        <v/>
      </c>
      <c r="AN79" s="69" t="str">
        <f aca="false">IF($E79="","",IF($M79,IF(AND($G79&gt;=AN$5,$G79&lt;AN$5+GanttPeriod),"◆",IF(AND($E79&gt;=AN$5,$E79&lt;AN$5+GanttPeriod),"◇","")),IF(AND(AN$5&lt;=$F79,AN$5+GanttPeriod-1&gt;=$E79),"━","")))</f>
        <v/>
      </c>
      <c r="AO79" s="69" t="str">
        <f aca="false">IF($E79="","",IF($M79,IF(AND($G79&gt;=AO$5,$G79&lt;AO$5+GanttPeriod),"◆",IF(AND($E79&gt;=AO$5,$E79&lt;AO$5+GanttPeriod),"◇","")),IF(AND(AO$5&lt;=$F79,AO$5+GanttPeriod-1&gt;=$E79),"━","")))</f>
        <v/>
      </c>
      <c r="AP79" s="69" t="str">
        <f aca="false">IF($E79="","",IF($M79,IF(AND($G79&gt;=AP$5,$G79&lt;AP$5+GanttPeriod),"◆",IF(AND($E79&gt;=AP$5,$E79&lt;AP$5+GanttPeriod),"◇","")),IF(AND(AP$5&lt;=$F79,AP$5+GanttPeriod-1&gt;=$E79),"━","")))</f>
        <v/>
      </c>
      <c r="AQ79" s="69" t="str">
        <f aca="false">IF($E79="","",IF($M79,IF(AND($G79&gt;=AQ$5,$G79&lt;AQ$5+GanttPeriod),"◆",IF(AND($E79&gt;=AQ$5,$E79&lt;AQ$5+GanttPeriod),"◇","")),IF(AND(AQ$5&lt;=$F79,AQ$5+GanttPeriod-1&gt;=$E79),"━","")))</f>
        <v/>
      </c>
      <c r="AR79" s="69" t="str">
        <f aca="false">IF($E79="","",IF($M79,IF(AND($G79&gt;=AR$5,$G79&lt;AR$5+GanttPeriod),"◆",IF(AND($E79&gt;=AR$5,$E79&lt;AR$5+GanttPeriod),"◇","")),IF(AND(AR$5&lt;=$F79,AR$5+GanttPeriod-1&gt;=$E79),"━","")))</f>
        <v/>
      </c>
      <c r="AS79" s="69" t="str">
        <f aca="false">IF($E79="","",IF($M79,IF(AND($G79&gt;=AS$5,$G79&lt;AS$5+GanttPeriod),"◆",IF(AND($E79&gt;=AS$5,$E79&lt;AS$5+GanttPeriod),"◇","")),IF(AND(AS$5&lt;=$F79,AS$5+GanttPeriod-1&gt;=$E79),"━","")))</f>
        <v/>
      </c>
      <c r="AT79" s="69" t="str">
        <f aca="false">IF($E79="","",IF($M79,IF(AND($G79&gt;=AT$5,$G79&lt;AT$5+GanttPeriod),"◆",IF(AND($E79&gt;=AT$5,$E79&lt;AT$5+GanttPeriod),"◇","")),IF(AND(AT$5&lt;=$F79,AT$5+GanttPeriod-1&gt;=$E79),"━","")))</f>
        <v/>
      </c>
      <c r="AU79" s="69" t="str">
        <f aca="false">IF($E79="","",IF($M79,IF(AND($G79&gt;=AU$5,$G79&lt;AU$5+GanttPeriod),"◆",IF(AND($E79&gt;=AU$5,$E79&lt;AU$5+GanttPeriod),"◇","")),IF(AND(AU$5&lt;=$F79,AU$5+GanttPeriod-1&gt;=$E79),"━","")))</f>
        <v/>
      </c>
      <c r="AV79" s="69" t="str">
        <f aca="false">IF($E79="","",IF($M79,IF(AND($G79&gt;=AV$5,$G79&lt;AV$5+GanttPeriod),"◆",IF(AND($E79&gt;=AV$5,$E79&lt;AV$5+GanttPeriod),"◇","")),IF(AND(AV$5&lt;=$F79,AV$5+GanttPeriod-1&gt;=$E79),"━","")))</f>
        <v/>
      </c>
      <c r="AW79" s="69" t="str">
        <f aca="false">IF($E79="","",IF($M79,IF(AND($G79&gt;=AW$5,$G79&lt;AW$5+GanttPeriod),"◆",IF(AND($E79&gt;=AW$5,$E79&lt;AW$5+GanttPeriod),"◇","")),IF(AND(AW$5&lt;=$F79,AW$5+GanttPeriod-1&gt;=$E79),"━","")))</f>
        <v/>
      </c>
      <c r="AX79" s="69" t="str">
        <f aca="false">IF($E79="","",IF($M79,IF(AND($G79&gt;=AX$5,$G79&lt;AX$5+GanttPeriod),"◆",IF(AND($E79&gt;=AX$5,$E79&lt;AX$5+GanttPeriod),"◇","")),IF(AND(AX$5&lt;=$F79,AX$5+GanttPeriod-1&gt;=$E79),"━","")))</f>
        <v/>
      </c>
      <c r="AY79" s="69" t="str">
        <f aca="false">IF($E79="","",IF($M79,IF(AND($G79&gt;=AY$5,$G79&lt;AY$5+GanttPeriod),"◆",IF(AND($E79&gt;=AY$5,$E79&lt;AY$5+GanttPeriod),"◇","")),IF(AND(AY$5&lt;=$F79,AY$5+GanttPeriod-1&gt;=$E79),"━","")))</f>
        <v/>
      </c>
      <c r="AZ79" s="69" t="str">
        <f aca="false">IF($E79="","",IF($M79,IF(AND($G79&gt;=AZ$5,$G79&lt;AZ$5+GanttPeriod),"◆",IF(AND($E79&gt;=AZ$5,$E79&lt;AZ$5+GanttPeriod),"◇","")),IF(AND(AZ$5&lt;=$F79,AZ$5+GanttPeriod-1&gt;=$E79),"━","")))</f>
        <v/>
      </c>
      <c r="BA79" s="69" t="str">
        <f aca="false">IF($E79="","",IF($M79,IF(AND($G79&gt;=BA$5,$G79&lt;BA$5+GanttPeriod),"◆",IF(AND($E79&gt;=BA$5,$E79&lt;BA$5+GanttPeriod),"◇","")),IF(AND(BA$5&lt;=$F79,BA$5+GanttPeriod-1&gt;=$E79),"━","")))</f>
        <v/>
      </c>
      <c r="BB79" s="69" t="str">
        <f aca="false">IF($E79="","",IF($M79,IF(AND($G79&gt;=BB$5,$G79&lt;BB$5+GanttPeriod),"◆",IF(AND($E79&gt;=BB$5,$E79&lt;BB$5+GanttPeriod),"◇","")),IF(AND(BB$5&lt;=$F79,BB$5+GanttPeriod-1&gt;=$E79),"━","")))</f>
        <v/>
      </c>
      <c r="BC79" s="69" t="str">
        <f aca="false">IF($E79="","",IF($M79,IF(AND($G79&gt;=BC$5,$G79&lt;BC$5+GanttPeriod),"◆",IF(AND($E79&gt;=BC$5,$E79&lt;BC$5+GanttPeriod),"◇","")),IF(AND(BC$5&lt;=$F79,BC$5+GanttPeriod-1&gt;=$E79),"━","")))</f>
        <v/>
      </c>
      <c r="BD79" s="69" t="str">
        <f aca="false">IF($E79="","",IF($M79,IF(AND($G79&gt;=BD$5,$G79&lt;BD$5+GanttPeriod),"◆",IF(AND($E79&gt;=BD$5,$E79&lt;BD$5+GanttPeriod),"◇","")),IF(AND(BD$5&lt;=$F79,BD$5+GanttPeriod-1&gt;=$E79),"━","")))</f>
        <v/>
      </c>
      <c r="BE79" s="69" t="str">
        <f aca="false">IF($E79="","",IF($M79,IF(AND($G79&gt;=BE$5,$G79&lt;BE$5+GanttPeriod),"◆",IF(AND($E79&gt;=BE$5,$E79&lt;BE$5+GanttPeriod),"◇","")),IF(AND(BE$5&lt;=$F79,BE$5+GanttPeriod-1&gt;=$E79),"━","")))</f>
        <v/>
      </c>
      <c r="BF79" s="69" t="str">
        <f aca="false">IF($E79="","",IF($M79,IF(AND($G79&gt;=BF$5,$G79&lt;BF$5+GanttPeriod),"◆",IF(AND($E79&gt;=BF$5,$E79&lt;BF$5+GanttPeriod),"◇","")),IF(AND(BF$5&lt;=$F79,BF$5+GanttPeriod-1&gt;=$E79),"━","")))</f>
        <v/>
      </c>
      <c r="BG79" s="69" t="str">
        <f aca="false">IF($E79="","",IF($M79,IF(AND($G79&gt;=BG$5,$G79&lt;BG$5+GanttPeriod),"◆",IF(AND($E79&gt;=BG$5,$E79&lt;BG$5+GanttPeriod),"◇","")),IF(AND(BG$5&lt;=$F79,BG$5+GanttPeriod-1&gt;=$E79),"━","")))</f>
        <v/>
      </c>
      <c r="BH79" s="69" t="str">
        <f aca="false">IF($E79="","",IF($M79,IF(AND($G79&gt;=BH$5,$G79&lt;BH$5+GanttPeriod),"◆",IF(AND($E79&gt;=BH$5,$E79&lt;BH$5+GanttPeriod),"◇","")),IF(AND(BH$5&lt;=$F79,BH$5+GanttPeriod-1&gt;=$E79),"━","")))</f>
        <v/>
      </c>
      <c r="BI79" s="69" t="str">
        <f aca="false">IF($E79="","",IF($M79,IF(AND($G79&gt;=BI$5,$G79&lt;BI$5+GanttPeriod),"◆",IF(AND($E79&gt;=BI$5,$E79&lt;BI$5+GanttPeriod),"◇","")),IF(AND(BI$5&lt;=$F79,BI$5+GanttPeriod-1&gt;=$E79),"━","")))</f>
        <v/>
      </c>
      <c r="BJ79" s="69" t="str">
        <f aca="false">IF($E79="","",IF($M79,IF(AND($G79&gt;=BJ$5,$G79&lt;BJ$5+GanttPeriod),"◆",IF(AND($E79&gt;=BJ$5,$E79&lt;BJ$5+GanttPeriod),"◇","")),IF(AND(BJ$5&lt;=$F79,BJ$5+GanttPeriod-1&gt;=$E79),"━","")))</f>
        <v/>
      </c>
      <c r="BK79" s="69" t="str">
        <f aca="false">IF($E79="","",IF($M79,IF(AND($G79&gt;=BK$5,$G79&lt;BK$5+GanttPeriod),"◆",IF(AND($E79&gt;=BK$5,$E79&lt;BK$5+GanttPeriod),"◇","")),IF(AND(BK$5&lt;=$F79,BK$5+GanttPeriod-1&gt;=$E79),"━","")))</f>
        <v/>
      </c>
      <c r="BL79" s="69" t="str">
        <f aca="false">IF($E79="","",IF($M79,IF(AND($G79&gt;=BL$5,$G79&lt;BL$5+GanttPeriod),"◆",IF(AND($E79&gt;=BL$5,$E79&lt;BL$5+GanttPeriod),"◇","")),IF(AND(BL$5&lt;=$F79,BL$5+GanttPeriod-1&gt;=$E79),"━","")))</f>
        <v/>
      </c>
      <c r="BM79" s="69" t="str">
        <f aca="false">IF($E79="","",IF($M79,IF(AND($G79&gt;=BM$5,$G79&lt;BM$5+GanttPeriod),"◆",IF(AND($E79&gt;=BM$5,$E79&lt;BM$5+GanttPeriod),"◇","")),IF(AND(BM$5&lt;=$F79,BM$5+GanttPeriod-1&gt;=$E79),"━","")))</f>
        <v/>
      </c>
      <c r="BN79" s="69" t="str">
        <f aca="false">IF($E79="","",IF($M79,IF(AND($G79&gt;=BN$5,$G79&lt;BN$5+GanttPeriod),"◆",IF(AND($E79&gt;=BN$5,$E79&lt;BN$5+GanttPeriod),"◇","")),IF(AND(BN$5&lt;=$F79,BN$5+GanttPeriod-1&gt;=$E79),"━","")))</f>
        <v/>
      </c>
      <c r="BO79" s="69" t="str">
        <f aca="false">IF($E79="","",IF($M79,IF(AND($G79&gt;=BO$5,$G79&lt;BO$5+GanttPeriod),"◆",IF(AND($E79&gt;=BO$5,$E79&lt;BO$5+GanttPeriod),"◇","")),IF(AND(BO$5&lt;=$F79,BO$5+GanttPeriod-1&gt;=$E79),"━","")))</f>
        <v/>
      </c>
      <c r="BP79" s="69" t="str">
        <f aca="false">IF($E79="","",IF($M79,IF(AND($G79&gt;=BP$5,$G79&lt;BP$5+GanttPeriod),"◆",IF(AND($E79&gt;=BP$5,$E79&lt;BP$5+GanttPeriod),"◇","")),IF(AND(BP$5&lt;=$F79,BP$5+GanttPeriod-1&gt;=$E79),"━","")))</f>
        <v/>
      </c>
      <c r="BQ79" s="69" t="str">
        <f aca="false">IF($E79="","",IF($M79,IF(AND($G79&gt;=BQ$5,$G79&lt;BQ$5+GanttPeriod),"◆",IF(AND($E79&gt;=BQ$5,$E79&lt;BQ$5+GanttPeriod),"◇","")),IF(AND(BQ$5&lt;=$F79,BQ$5+GanttPeriod-1&gt;=$E79),"━","")))</f>
        <v/>
      </c>
      <c r="BR79" s="69" t="str">
        <f aca="false">IF($E79="","",IF($M79,IF(AND($G79&gt;=BR$5,$G79&lt;BR$5+GanttPeriod),"◆",IF(AND($E79&gt;=BR$5,$E79&lt;BR$5+GanttPeriod),"◇","")),IF(AND(BR$5&lt;=$F79,BR$5+GanttPeriod-1&gt;=$E79),"━","")))</f>
        <v/>
      </c>
      <c r="BS79" s="69" t="str">
        <f aca="false">IF($E79="","",IF($M79,IF(AND($G79&gt;=BS$5,$G79&lt;BS$5+GanttPeriod),"◆",IF(AND($E79&gt;=BS$5,$E79&lt;BS$5+GanttPeriod),"◇","")),IF(AND(BS$5&lt;=$F79,BS$5+GanttPeriod-1&gt;=$E79),"━","")))</f>
        <v/>
      </c>
      <c r="BT79" s="69" t="str">
        <f aca="false">IF($E79="","",IF($M79,IF(AND($G79&gt;=BT$5,$G79&lt;BT$5+GanttPeriod),"◆",IF(AND($E79&gt;=BT$5,$E79&lt;BT$5+GanttPeriod),"◇","")),IF(AND(BT$5&lt;=$F79,BT$5+GanttPeriod-1&gt;=$E79),"━","")))</f>
        <v/>
      </c>
      <c r="BU79" s="69" t="str">
        <f aca="false">IF($E79="","",IF($M79,IF(AND($G79&gt;=BU$5,$G79&lt;BU$5+GanttPeriod),"◆",IF(AND($E79&gt;=BU$5,$E79&lt;BU$5+GanttPeriod),"◇","")),IF(AND(BU$5&lt;=$F79,BU$5+GanttPeriod-1&gt;=$E79),"━","")))</f>
        <v/>
      </c>
      <c r="BV79" s="69" t="str">
        <f aca="false">IF($E79="","",IF($M79,IF(AND($G79&gt;=BV$5,$G79&lt;BV$5+GanttPeriod),"◆",IF(AND($E79&gt;=BV$5,$E79&lt;BV$5+GanttPeriod),"◇","")),IF(AND(BV$5&lt;=$F79,BV$5+GanttPeriod-1&gt;=$E79),"━","")))</f>
        <v/>
      </c>
      <c r="BW79" s="69" t="str">
        <f aca="false">IF($E79="","",IF($M79,IF(AND($G79&gt;=BW$5,$G79&lt;BW$5+GanttPeriod),"◆",IF(AND($E79&gt;=BW$5,$E79&lt;BW$5+GanttPeriod),"◇","")),IF(AND(BW$5&lt;=$F79,BW$5+GanttPeriod-1&gt;=$E79),"━","")))</f>
        <v/>
      </c>
      <c r="BX79" s="69" t="str">
        <f aca="false">IF($E79="","",IF($M79,IF(AND($G79&gt;=BX$5,$G79&lt;BX$5+GanttPeriod),"◆",IF(AND($E79&gt;=BX$5,$E79&lt;BX$5+GanttPeriod),"◇","")),IF(AND(BX$5&lt;=$F79,BX$5+GanttPeriod-1&gt;=$E79),"━","")))</f>
        <v/>
      </c>
      <c r="BY79" s="69" t="str">
        <f aca="false">IF($E79="","",IF($M79,IF(AND($G79&gt;=BY$5,$G79&lt;BY$5+GanttPeriod),"◆",IF(AND($E79&gt;=BY$5,$E79&lt;BY$5+GanttPeriod),"◇","")),IF(AND(BY$5&lt;=$F79,BY$5+GanttPeriod-1&gt;=$E79),"━","")))</f>
        <v/>
      </c>
      <c r="BZ79" s="69" t="str">
        <f aca="false">IF($E79="","",IF($M79,IF(AND($G79&gt;=BZ$5,$G79&lt;BZ$5+GanttPeriod),"◆",IF(AND($E79&gt;=BZ$5,$E79&lt;BZ$5+GanttPeriod),"◇","")),IF(AND(BZ$5&lt;=$F79,BZ$5+GanttPeriod-1&gt;=$E79),"━","")))</f>
        <v/>
      </c>
      <c r="CA79" s="69" t="str">
        <f aca="false">IF($E79="","",IF($M79,IF(AND($G79&gt;=CA$5,$G79&lt;CA$5+GanttPeriod),"◆",IF(AND($E79&gt;=CA$5,$E79&lt;CA$5+GanttPeriod),"◇","")),IF(AND(CA$5&lt;=$F79,CA$5+GanttPeriod-1&gt;=$E79),"━","")))</f>
        <v/>
      </c>
      <c r="CB79" s="69" t="str">
        <f aca="false">IF($E79="","",IF($M79,IF(AND($G79&gt;=CB$5,$G79&lt;CB$5+GanttPeriod),"◆",IF(AND($E79&gt;=CB$5,$E79&lt;CB$5+GanttPeriod),"◇","")),IF(AND(CB$5&lt;=$F79,CB$5+GanttPeriod-1&gt;=$E79),"━","")))</f>
        <v/>
      </c>
      <c r="CC79" s="69" t="str">
        <f aca="false">IF($E79="","",IF($M79,IF(AND($G79&gt;=CC$5,$G79&lt;CC$5+GanttPeriod),"◆",IF(AND($E79&gt;=CC$5,$E79&lt;CC$5+GanttPeriod),"◇","")),IF(AND(CC$5&lt;=$F79,CC$5+GanttPeriod-1&gt;=$E79),"━","")))</f>
        <v/>
      </c>
      <c r="CD79" s="69" t="str">
        <f aca="false">IF($E79="","",IF($M79,IF(AND($G79&gt;=CD$5,$G79&lt;CD$5+GanttPeriod),"◆",IF(AND($E79&gt;=CD$5,$E79&lt;CD$5+GanttPeriod),"◇","")),IF(AND(CD$5&lt;=$F79,CD$5+GanttPeriod-1&gt;=$E79),"━","")))</f>
        <v/>
      </c>
      <c r="CE79" s="69" t="str">
        <f aca="false">IF($E79="","",IF($M79,IF(AND($G79&gt;=CE$5,$G79&lt;CE$5+GanttPeriod),"◆",IF(AND($E79&gt;=CE$5,$E79&lt;CE$5+GanttPeriod),"◇","")),IF(AND(CE$5&lt;=$F79,CE$5+GanttPeriod-1&gt;=$E79),"━","")))</f>
        <v/>
      </c>
      <c r="CF79" s="69" t="str">
        <f aca="false">IF($E79="","",IF($M79,IF(AND($G79&gt;=CF$5,$G79&lt;CF$5+GanttPeriod),"◆",IF(AND($E79&gt;=CF$5,$E79&lt;CF$5+GanttPeriod),"◇","")),IF(AND(CF$5&lt;=$F79,CF$5+GanttPeriod-1&gt;=$E79),"━","")))</f>
        <v/>
      </c>
      <c r="CG79" s="69" t="str">
        <f aca="false">IF($E79="","",IF($M79,IF(AND($G79&gt;=CG$5,$G79&lt;CG$5+GanttPeriod),"◆",IF(AND($E79&gt;=CG$5,$E79&lt;CG$5+GanttPeriod),"◇","")),IF(AND(CG$5&lt;=$F79,CG$5+GanttPeriod-1&gt;=$E79),"━","")))</f>
        <v/>
      </c>
      <c r="CH79" s="69" t="str">
        <f aca="false">IF($E79="","",IF($M79,IF(AND($G79&gt;=CH$5,$G79&lt;CH$5+GanttPeriod),"◆",IF(AND($E79&gt;=CH$5,$E79&lt;CH$5+GanttPeriod),"◇","")),IF(AND(CH$5&lt;=$F79,CH$5+GanttPeriod-1&gt;=$E79),"━","")))</f>
        <v/>
      </c>
      <c r="CI79" s="69" t="str">
        <f aca="false">IF($E79="","",IF($M79,IF(AND($G79&gt;=CI$5,$G79&lt;CI$5+GanttPeriod),"◆",IF(AND($E79&gt;=CI$5,$E79&lt;CI$5+GanttPeriod),"◇","")),IF(AND(CI$5&lt;=$F79,CI$5+GanttPeriod-1&gt;=$E79),"━","")))</f>
        <v/>
      </c>
      <c r="CJ79" s="69" t="str">
        <f aca="false">IF($E79="","",IF($M79,IF(AND($G79&gt;=CJ$5,$G79&lt;CJ$5+GanttPeriod),"◆",IF(AND($E79&gt;=CJ$5,$E79&lt;CJ$5+GanttPeriod),"◇","")),IF(AND(CJ$5&lt;=$F79,CJ$5+GanttPeriod-1&gt;=$E79),"━","")))</f>
        <v/>
      </c>
      <c r="CK79" s="69" t="str">
        <f aca="false">IF($E79="","",IF($M79,IF(AND($G79&gt;=CK$5,$G79&lt;CK$5+GanttPeriod),"◆",IF(AND($E79&gt;=CK$5,$E79&lt;CK$5+GanttPeriod),"◇","")),IF(AND(CK$5&lt;=$F79,CK$5+GanttPeriod-1&gt;=$E79),"━","")))</f>
        <v/>
      </c>
      <c r="CL79" s="69" t="str">
        <f aca="false">IF($E79="","",IF($M79,IF(AND($G79&gt;=CL$5,$G79&lt;CL$5+GanttPeriod),"◆",IF(AND($E79&gt;=CL$5,$E79&lt;CL$5+GanttPeriod),"◇","")),IF(AND(CL$5&lt;=$F79,CL$5+GanttPeriod-1&gt;=$E79),"━","")))</f>
        <v/>
      </c>
      <c r="CM79" s="69" t="str">
        <f aca="false">IF($E79="","",IF($M79,IF(AND($G79&gt;=CM$5,$G79&lt;CM$5+GanttPeriod),"◆",IF(AND($E79&gt;=CM$5,$E79&lt;CM$5+GanttPeriod),"◇","")),IF(AND(CM$5&lt;=$F79,CM$5+GanttPeriod-1&gt;=$E79),"━","")))</f>
        <v/>
      </c>
      <c r="CN79" s="69" t="str">
        <f aca="false">IF($E79="","",IF($M79,IF(AND($G79&gt;=CN$5,$G79&lt;CN$5+GanttPeriod),"◆",IF(AND($E79&gt;=CN$5,$E79&lt;CN$5+GanttPeriod),"◇","")),IF(AND(CN$5&lt;=$F79,CN$5+GanttPeriod-1&gt;=$E79),"━","")))</f>
        <v/>
      </c>
      <c r="CO79" s="69" t="str">
        <f aca="false">IF($E79="","",IF($M79,IF(AND($G79&gt;=CO$5,$G79&lt;CO$5+GanttPeriod),"◆",IF(AND($E79&gt;=CO$5,$E79&lt;CO$5+GanttPeriod),"◇","")),IF(AND(CO$5&lt;=$F79,CO$5+GanttPeriod-1&gt;=$E79),"━","")))</f>
        <v/>
      </c>
      <c r="CP79" s="69" t="str">
        <f aca="false">IF($E79="","",IF($M79,IF(AND($G79&gt;=CP$5,$G79&lt;CP$5+GanttPeriod),"◆",IF(AND($E79&gt;=CP$5,$E79&lt;CP$5+GanttPeriod),"◇","")),IF(AND(CP$5&lt;=$F79,CP$5+GanttPeriod-1&gt;=$E79),"━","")))</f>
        <v/>
      </c>
      <c r="CQ79" s="69" t="str">
        <f aca="false">IF($E79="","",IF($M79,IF(AND($G79&gt;=CQ$5,$G79&lt;CQ$5+GanttPeriod),"◆",IF(AND($E79&gt;=CQ$5,$E79&lt;CQ$5+GanttPeriod),"◇","")),IF(AND(CQ$5&lt;=$F79,CQ$5+GanttPeriod-1&gt;=$E79),"━","")))</f>
        <v/>
      </c>
      <c r="CR79" s="69" t="str">
        <f aca="false">IF($E79="","",IF($M79,IF(AND($G79&gt;=CR$5,$G79&lt;CR$5+GanttPeriod),"◆",IF(AND($E79&gt;=CR$5,$E79&lt;CR$5+GanttPeriod),"◇","")),IF(AND(CR$5&lt;=$F79,CR$5+GanttPeriod-1&gt;=$E79),"━","")))</f>
        <v/>
      </c>
      <c r="CS79" s="69" t="str">
        <f aca="false">IF($E79="","",IF($M79,IF(AND($G79&gt;=CS$5,$G79&lt;CS$5+GanttPeriod),"◆",IF(AND($E79&gt;=CS$5,$E79&lt;CS$5+GanttPeriod),"◇","")),IF(AND(CS$5&lt;=$F79,CS$5+GanttPeriod-1&gt;=$E79),"━","")))</f>
        <v/>
      </c>
      <c r="CT79" s="69" t="str">
        <f aca="false">IF($E79="","",IF($M79,IF(AND($G79&gt;=CT$5,$G79&lt;CT$5+GanttPeriod),"◆",IF(AND($E79&gt;=CT$5,$E79&lt;CT$5+GanttPeriod),"◇","")),IF(AND(CT$5&lt;=$F79,CT$5+GanttPeriod-1&gt;=$E79),"━","")))</f>
        <v/>
      </c>
      <c r="CU79" s="69" t="str">
        <f aca="false">IF($E79="","",IF($M79,IF(AND($G79&gt;=CU$5,$G79&lt;CU$5+GanttPeriod),"◆",IF(AND($E79&gt;=CU$5,$E79&lt;CU$5+GanttPeriod),"◇","")),IF(AND(CU$5&lt;=$F79,CU$5+GanttPeriod-1&gt;=$E79),"━","")))</f>
        <v/>
      </c>
      <c r="CV79" s="69" t="str">
        <f aca="false">IF($E79="","",IF($M79,IF(AND($G79&gt;=CV$5,$G79&lt;CV$5+GanttPeriod),"◆",IF(AND($E79&gt;=CV$5,$E79&lt;CV$5+GanttPeriod),"◇","")),IF(AND(CV$5&lt;=$F79,CV$5+GanttPeriod-1&gt;=$E79),"━","")))</f>
        <v/>
      </c>
      <c r="CW79" s="69" t="str">
        <f aca="false">IF($E79="","",IF($M79,IF(AND($G79&gt;=CW$5,$G79&lt;CW$5+GanttPeriod),"◆",IF(AND($E79&gt;=CW$5,$E79&lt;CW$5+GanttPeriod),"◇","")),IF(AND(CW$5&lt;=$F79,CW$5+GanttPeriod-1&gt;=$E79),"━","")))</f>
        <v/>
      </c>
      <c r="CX79" s="69" t="str">
        <f aca="false">IF($E79="","",IF($M79,IF(AND($G79&gt;=CX$5,$G79&lt;CX$5+GanttPeriod),"◆",IF(AND($E79&gt;=CX$5,$E79&lt;CX$5+GanttPeriod),"◇","")),IF(AND(CX$5&lt;=$F79,CX$5+GanttPeriod-1&gt;=$E79),"━","")))</f>
        <v/>
      </c>
      <c r="CY79" s="69" t="str">
        <f aca="false">IF($E79="","",IF($M79,IF(AND($G79&gt;=CY$5,$G79&lt;CY$5+GanttPeriod),"◆",IF(AND($E79&gt;=CY$5,$E79&lt;CY$5+GanttPeriod),"◇","")),IF(AND(CY$5&lt;=$F79,CY$5+GanttPeriod-1&gt;=$E79),"━","")))</f>
        <v/>
      </c>
      <c r="CZ79" s="69" t="str">
        <f aca="false">IF($E79="","",IF($M79,IF(AND($G79&gt;=CZ$5,$G79&lt;CZ$5+GanttPeriod),"◆",IF(AND($E79&gt;=CZ$5,$E79&lt;CZ$5+GanttPeriod),"◇","")),IF(AND(CZ$5&lt;=$F79,CZ$5+GanttPeriod-1&gt;=$E79),"━","")))</f>
        <v/>
      </c>
      <c r="DA79" s="69" t="str">
        <f aca="false">IF($E79="","",IF($M79,IF(AND($G79&gt;=DA$5,$G79&lt;DA$5+GanttPeriod),"◆",IF(AND($E79&gt;=DA$5,$E79&lt;DA$5+GanttPeriod),"◇","")),IF(AND(DA$5&lt;=$F79,DA$5+GanttPeriod-1&gt;=$E79),"━","")))</f>
        <v/>
      </c>
      <c r="DB79" s="69" t="str">
        <f aca="false">IF($E79="","",IF($M79,IF(AND($G79&gt;=DB$5,$G79&lt;DB$5+GanttPeriod),"◆",IF(AND($E79&gt;=DB$5,$E79&lt;DB$5+GanttPeriod),"◇","")),IF(AND(DB$5&lt;=$F79,DB$5+GanttPeriod-1&gt;=$E79),"━","")))</f>
        <v/>
      </c>
      <c r="DC79" s="69" t="str">
        <f aca="false">IF($E79="","",IF($M79,IF(AND($G79&gt;=DC$5,$G79&lt;DC$5+GanttPeriod),"◆",IF(AND($E79&gt;=DC$5,$E79&lt;DC$5+GanttPeriod),"◇","")),IF(AND(DC$5&lt;=$F79,DC$5+GanttPeriod-1&gt;=$E79),"━","")))</f>
        <v/>
      </c>
      <c r="DD79" s="69" t="str">
        <f aca="false">IF($E79="","",IF($M79,IF(AND($G79&gt;=DD$5,$G79&lt;DD$5+GanttPeriod),"◆",IF(AND($E79&gt;=DD$5,$E79&lt;DD$5+GanttPeriod),"◇","")),IF(AND(DD$5&lt;=$F79,DD$5+GanttPeriod-1&gt;=$E79),"━","")))</f>
        <v/>
      </c>
      <c r="DE79" s="69" t="str">
        <f aca="false">IF($E79="","",IF($M79,IF(AND($G79&gt;=DE$5,$G79&lt;DE$5+GanttPeriod),"◆",IF(AND($E79&gt;=DE$5,$E79&lt;DE$5+GanttPeriod),"◇","")),IF(AND(DE$5&lt;=$F79,DE$5+GanttPeriod-1&gt;=$E79),"━","")))</f>
        <v/>
      </c>
      <c r="DF79" s="69" t="str">
        <f aca="false">IF($E79="","",IF($M79,IF(AND($G79&gt;=DF$5,$G79&lt;DF$5+GanttPeriod),"◆",IF(AND($E79&gt;=DF$5,$E79&lt;DF$5+GanttPeriod),"◇","")),IF(AND(DF$5&lt;=$F79,DF$5+GanttPeriod-1&gt;=$E79),"━","")))</f>
        <v/>
      </c>
      <c r="DG79" s="69" t="str">
        <f aca="false">IF($E79="","",IF($M79,IF(AND($G79&gt;=DG$5,$G79&lt;DG$5+GanttPeriod),"◆",IF(AND($E79&gt;=DG$5,$E79&lt;DG$5+GanttPeriod),"◇","")),IF(AND(DG$5&lt;=$F79,DG$5+GanttPeriod-1&gt;=$E79),"━","")))</f>
        <v/>
      </c>
      <c r="DH79" s="69" t="str">
        <f aca="false">IF($E79="","",IF($M79,IF(AND($G79&gt;=DH$5,$G79&lt;DH$5+GanttPeriod),"◆",IF(AND($E79&gt;=DH$5,$E79&lt;DH$5+GanttPeriod),"◇","")),IF(AND(DH$5&lt;=$F79,DH$5+GanttPeriod-1&gt;=$E79),"━","")))</f>
        <v/>
      </c>
      <c r="DI79" s="69" t="str">
        <f aca="false">IF($E79="","",IF($M79,IF(AND($G79&gt;=DI$5,$G79&lt;DI$5+GanttPeriod),"◆",IF(AND($E79&gt;=DI$5,$E79&lt;DI$5+GanttPeriod),"◇","")),IF(AND(DI$5&lt;=$F79,DI$5+GanttPeriod-1&gt;=$E79),"━","")))</f>
        <v/>
      </c>
      <c r="DJ79" s="69" t="str">
        <f aca="false">IF($E79="","",IF($M79,IF(AND($G79&gt;=DJ$5,$G79&lt;DJ$5+GanttPeriod),"◆",IF(AND($E79&gt;=DJ$5,$E79&lt;DJ$5+GanttPeriod),"◇","")),IF(AND(DJ$5&lt;=$F79,DJ$5+GanttPeriod-1&gt;=$E79),"━","")))</f>
        <v/>
      </c>
      <c r="DK79" s="69" t="str">
        <f aca="false">IF($E79="","",IF($M79,IF(AND($G79&gt;=DK$5,$G79&lt;DK$5+GanttPeriod),"◆",IF(AND($E79&gt;=DK$5,$E79&lt;DK$5+GanttPeriod),"◇","")),IF(AND(DK$5&lt;=$F79,DK$5+GanttPeriod-1&gt;=$E79),"━","")))</f>
        <v/>
      </c>
      <c r="DL79" s="69" t="str">
        <f aca="false">IF($E79="","",IF($M79,IF(AND($G79&gt;=DL$5,$G79&lt;DL$5+GanttPeriod),"◆",IF(AND($E79&gt;=DL$5,$E79&lt;DL$5+GanttPeriod),"◇","")),IF(AND(DL$5&lt;=$F79,DL$5+GanttPeriod-1&gt;=$E79),"━","")))</f>
        <v/>
      </c>
      <c r="DM79" s="69" t="str">
        <f aca="false">IF($E79="","",IF($M79,IF(AND($G79&gt;=DM$5,$G79&lt;DM$5+GanttPeriod),"◆",IF(AND($E79&gt;=DM$5,$E79&lt;DM$5+GanttPeriod),"◇","")),IF(AND(DM$5&lt;=$F79,DM$5+GanttPeriod-1&gt;=$E79),"━","")))</f>
        <v/>
      </c>
      <c r="DN79" s="69" t="str">
        <f aca="false">IF($E79="","",IF($M79,IF(AND($G79&gt;=DN$5,$G79&lt;DN$5+GanttPeriod),"◆",IF(AND($E79&gt;=DN$5,$E79&lt;DN$5+GanttPeriod),"◇","")),IF(AND(DN$5&lt;=$F79,DN$5+GanttPeriod-1&gt;=$E79),"━","")))</f>
        <v/>
      </c>
      <c r="DO79" s="69" t="str">
        <f aca="false">IF($E79="","",IF($M79,IF(AND($G79&gt;=DO$5,$G79&lt;DO$5+GanttPeriod),"◆",IF(AND($E79&gt;=DO$5,$E79&lt;DO$5+GanttPeriod),"◇","")),IF(AND(DO$5&lt;=$F79,DO$5+GanttPeriod-1&gt;=$E79),"━","")))</f>
        <v/>
      </c>
      <c r="DP79" s="69" t="str">
        <f aca="false">IF($E79="","",IF($M79,IF(AND($G79&gt;=DP$5,$G79&lt;DP$5+GanttPeriod),"◆",IF(AND($E79&gt;=DP$5,$E79&lt;DP$5+GanttPeriod),"◇","")),IF(AND(DP$5&lt;=$F79,DP$5+GanttPeriod-1&gt;=$E79),"━","")))</f>
        <v/>
      </c>
      <c r="DQ79" s="69" t="str">
        <f aca="false">IF($E79="","",IF($M79,IF(AND($G79&gt;=DQ$5,$G79&lt;DQ$5+GanttPeriod),"◆",IF(AND($E79&gt;=DQ$5,$E79&lt;DQ$5+GanttPeriod),"◇","")),IF(AND(DQ$5&lt;=$F79,DQ$5+GanttPeriod-1&gt;=$E79),"━","")))</f>
        <v/>
      </c>
      <c r="DR79" s="69" t="str">
        <f aca="false">IF($E79="","",IF($M79,IF(AND($G79&gt;=DR$5,$G79&lt;DR$5+GanttPeriod),"◆",IF(AND($E79&gt;=DR$5,$E79&lt;DR$5+GanttPeriod),"◇","")),IF(AND(DR$5&lt;=$F79,DR$5+GanttPeriod-1&gt;=$E79),"━","")))</f>
        <v/>
      </c>
      <c r="DS79" s="69" t="str">
        <f aca="false">IF($E79="","",IF($M79,IF(AND($G79&gt;=DS$5,$G79&lt;DS$5+GanttPeriod),"◆",IF(AND($E79&gt;=DS$5,$E79&lt;DS$5+GanttPeriod),"◇","")),IF(AND(DS$5&lt;=$F79,DS$5+GanttPeriod-1&gt;=$E79),"━","")))</f>
        <v/>
      </c>
      <c r="DT79" s="69" t="str">
        <f aca="false">IF($E79="","",IF($M79,IF(AND($G79&gt;=DT$5,$G79&lt;DT$5+GanttPeriod),"◆",IF(AND($E79&gt;=DT$5,$E79&lt;DT$5+GanttPeriod),"◇","")),IF(AND(DT$5&lt;=$F79,DT$5+GanttPeriod-1&gt;=$E79),"━","")))</f>
        <v/>
      </c>
      <c r="DU79" s="69" t="str">
        <f aca="false">IF($E79="","",IF($M79,IF(AND($G79&gt;=DU$5,$G79&lt;DU$5+GanttPeriod),"◆",IF(AND($E79&gt;=DU$5,$E79&lt;DU$5+GanttPeriod),"◇","")),IF(AND(DU$5&lt;=$F79,DU$5+GanttPeriod-1&gt;=$E79),"━","")))</f>
        <v/>
      </c>
      <c r="DV79" s="69" t="str">
        <f aca="false">IF($E79="","",IF($M79,IF(AND($G79&gt;=DV$5,$G79&lt;DV$5+GanttPeriod),"◆",IF(AND($E79&gt;=DV$5,$E79&lt;DV$5+GanttPeriod),"◇","")),IF(AND(DV$5&lt;=$F79,DV$5+GanttPeriod-1&gt;=$E79),"━","")))</f>
        <v/>
      </c>
      <c r="DW79" s="69" t="str">
        <f aca="false">IF($E79="","",IF($M79,IF(AND($G79&gt;=DW$5,$G79&lt;DW$5+GanttPeriod),"◆",IF(AND($E79&gt;=DW$5,$E79&lt;DW$5+GanttPeriod),"◇","")),IF(AND(DW$5&lt;=$F79,DW$5+GanttPeriod-1&gt;=$E79),"━","")))</f>
        <v/>
      </c>
      <c r="DX79" s="69" t="str">
        <f aca="false">IF($E79="","",IF($M79,IF(AND($G79&gt;=DX$5,$G79&lt;DX$5+GanttPeriod),"◆",IF(AND($E79&gt;=DX$5,$E79&lt;DX$5+GanttPeriod),"◇","")),IF(AND(DX$5&lt;=$F79,DX$5+GanttPeriod-1&gt;=$E79),"━","")))</f>
        <v/>
      </c>
      <c r="DY79" s="69" t="str">
        <f aca="false">IF($E79="","",IF($M79,IF(AND($G79&gt;=DY$5,$G79&lt;DY$5+GanttPeriod),"◆",IF(AND($E79&gt;=DY$5,$E79&lt;DY$5+GanttPeriod),"◇","")),IF(AND(DY$5&lt;=$F79,DY$5+GanttPeriod-1&gt;=$E79),"━","")))</f>
        <v/>
      </c>
      <c r="DZ79" s="69" t="str">
        <f aca="false">IF($E79="","",IF($M79,IF(AND($G79&gt;=DZ$5,$G79&lt;DZ$5+GanttPeriod),"◆",IF(AND($E79&gt;=DZ$5,$E79&lt;DZ$5+GanttPeriod),"◇","")),IF(AND(DZ$5&lt;=$F79,DZ$5+GanttPeriod-1&gt;=$E79),"━","")))</f>
        <v/>
      </c>
      <c r="EA79" s="69" t="str">
        <f aca="false">IF($E79="","",IF($M79,IF(AND($G79&gt;=EA$5,$G79&lt;EA$5+GanttPeriod),"◆",IF(AND($E79&gt;=EA$5,$E79&lt;EA$5+GanttPeriod),"◇","")),IF(AND(EA$5&lt;=$F79,EA$5+GanttPeriod-1&gt;=$E79),"━","")))</f>
        <v/>
      </c>
      <c r="EB79" s="69" t="str">
        <f aca="false">IF($E79="","",IF($M79,IF(AND($G79&gt;=EB$5,$G79&lt;EB$5+GanttPeriod),"◆",IF(AND($E79&gt;=EB$5,$E79&lt;EB$5+GanttPeriod),"◇","")),IF(AND(EB$5&lt;=$F79,EB$5+GanttPeriod-1&gt;=$E79),"━","")))</f>
        <v/>
      </c>
      <c r="EC79" s="69" t="str">
        <f aca="false">IF($E79="","",IF($M79,IF(AND($G79&gt;=EC$5,$G79&lt;EC$5+GanttPeriod),"◆",IF(AND($E79&gt;=EC$5,$E79&lt;EC$5+GanttPeriod),"◇","")),IF(AND(EC$5&lt;=$F79,EC$5+GanttPeriod-1&gt;=$E79),"━","")))</f>
        <v/>
      </c>
      <c r="ED79" s="69" t="str">
        <f aca="false">IF($E79="","",IF($M79,IF(AND($G79&gt;=ED$5,$G79&lt;ED$5+GanttPeriod),"◆",IF(AND($E79&gt;=ED$5,$E79&lt;ED$5+GanttPeriod),"◇","")),IF(AND(ED$5&lt;=$F79,ED$5+GanttPeriod-1&gt;=$E79),"━","")))</f>
        <v/>
      </c>
      <c r="EE79" s="69" t="str">
        <f aca="false">IF($E79="","",IF($M79,IF(AND($G79&gt;=EE$5,$G79&lt;EE$5+GanttPeriod),"◆",IF(AND($E79&gt;=EE$5,$E79&lt;EE$5+GanttPeriod),"◇","")),IF(AND(EE$5&lt;=$F79,EE$5+GanttPeriod-1&gt;=$E79),"━","")))</f>
        <v/>
      </c>
      <c r="EF79" s="69" t="str">
        <f aca="false">IF($E79="","",IF($M79,IF(AND($G79&gt;=EF$5,$G79&lt;EF$5+GanttPeriod),"◆",IF(AND($E79&gt;=EF$5,$E79&lt;EF$5+GanttPeriod),"◇","")),IF(AND(EF$5&lt;=$F79,EF$5+GanttPeriod-1&gt;=$E79),"━","")))</f>
        <v/>
      </c>
      <c r="EG79" s="69" t="str">
        <f aca="false">IF($E79="","",IF($M79,IF(AND($G79&gt;=EG$5,$G79&lt;EG$5+GanttPeriod),"◆",IF(AND($E79&gt;=EG$5,$E79&lt;EG$5+GanttPeriod),"◇","")),IF(AND(EG$5&lt;=$F79,EG$5+GanttPeriod-1&gt;=$E79),"━","")))</f>
        <v/>
      </c>
      <c r="EH79" s="69" t="str">
        <f aca="false">IF($E79="","",IF($M79,IF(AND($G79&gt;=EH$5,$G79&lt;EH$5+GanttPeriod),"◆",IF(AND($E79&gt;=EH$5,$E79&lt;EH$5+GanttPeriod),"◇","")),IF(AND(EH$5&lt;=$F79,EH$5+GanttPeriod-1&gt;=$E79),"━","")))</f>
        <v/>
      </c>
      <c r="EI79" s="69" t="str">
        <f aca="false">IF($E79="","",IF($M79,IF(AND($G79&gt;=EI$5,$G79&lt;EI$5+GanttPeriod),"◆",IF(AND($E79&gt;=EI$5,$E79&lt;EI$5+GanttPeriod),"◇","")),IF(AND(EI$5&lt;=$F79,EI$5+GanttPeriod-1&gt;=$E79),"━","")))</f>
        <v/>
      </c>
      <c r="EJ79" s="69" t="str">
        <f aca="false">IF($E79="","",IF($M79,IF(AND($G79&gt;=EJ$5,$G79&lt;EJ$5+GanttPeriod),"◆",IF(AND($E79&gt;=EJ$5,$E79&lt;EJ$5+GanttPeriod),"◇","")),IF(AND(EJ$5&lt;=$F79,EJ$5+GanttPeriod-1&gt;=$E79),"━","")))</f>
        <v/>
      </c>
      <c r="EK79" s="69" t="str">
        <f aca="false">IF($E79="","",IF($M79,IF(AND($G79&gt;=EK$5,$G79&lt;EK$5+GanttPeriod),"◆",IF(AND($E79&gt;=EK$5,$E79&lt;EK$5+GanttPeriod),"◇","")),IF(AND(EK$5&lt;=$F79,EK$5+GanttPeriod-1&gt;=$E79),"━","")))</f>
        <v/>
      </c>
      <c r="EL79" s="69" t="str">
        <f aca="false">IF($E79="","",IF($M79,IF(AND($G79&gt;=EL$5,$G79&lt;EL$5+GanttPeriod),"◆",IF(AND($E79&gt;=EL$5,$E79&lt;EL$5+GanttPeriod),"◇","")),IF(AND(EL$5&lt;=$F79,EL$5+GanttPeriod-1&gt;=$E79),"━","")))</f>
        <v/>
      </c>
      <c r="EM79" s="69" t="str">
        <f aca="false">IF($E79="","",IF($M79,IF(AND($G79&gt;=EM$5,$G79&lt;EM$5+GanttPeriod),"◆",IF(AND($E79&gt;=EM$5,$E79&lt;EM$5+GanttPeriod),"◇","")),IF(AND(EM$5&lt;=$F79,EM$5+GanttPeriod-1&gt;=$E79),"━","")))</f>
        <v/>
      </c>
      <c r="EN79" s="69" t="str">
        <f aca="false">IF($E79="","",IF($M79,IF(AND($G79&gt;=EN$5,$G79&lt;EN$5+GanttPeriod),"◆",IF(AND($E79&gt;=EN$5,$E79&lt;EN$5+GanttPeriod),"◇","")),IF(AND(EN$5&lt;=$F79,EN$5+GanttPeriod-1&gt;=$E79),"━","")))</f>
        <v/>
      </c>
      <c r="EO79" s="69" t="str">
        <f aca="false">IF($E79="","",IF($M79,IF(AND($G79&gt;=EO$5,$G79&lt;EO$5+GanttPeriod),"◆",IF(AND($E79&gt;=EO$5,$E79&lt;EO$5+GanttPeriod),"◇","")),IF(AND(EO$5&lt;=$F79,EO$5+GanttPeriod-1&gt;=$E79),"━","")))</f>
        <v/>
      </c>
      <c r="EP79" s="69" t="str">
        <f aca="false">IF($E79="","",IF($M79,IF(AND($G79&gt;=EP$5,$G79&lt;EP$5+GanttPeriod),"◆",IF(AND($E79&gt;=EP$5,$E79&lt;EP$5+GanttPeriod),"◇","")),IF(AND(EP$5&lt;=$F79,EP$5+GanttPeriod-1&gt;=$E79),"━","")))</f>
        <v/>
      </c>
      <c r="EQ79" s="69" t="str">
        <f aca="false">IF($E79="","",IF($M79,IF(AND($G79&gt;=EQ$5,$G79&lt;EQ$5+GanttPeriod),"◆",IF(AND($E79&gt;=EQ$5,$E79&lt;EQ$5+GanttPeriod),"◇","")),IF(AND(EQ$5&lt;=$F79,EQ$5+GanttPeriod-1&gt;=$E79),"━","")))</f>
        <v/>
      </c>
      <c r="ER79" s="69" t="str">
        <f aca="false">IF($E79="","",IF($M79,IF(AND($G79&gt;=ER$5,$G79&lt;ER$5+GanttPeriod),"◆",IF(AND($E79&gt;=ER$5,$E79&lt;ER$5+GanttPeriod),"◇","")),IF(AND(ER$5&lt;=$F79,ER$5+GanttPeriod-1&gt;=$E79),"━","")))</f>
        <v/>
      </c>
      <c r="ES79" s="69" t="str">
        <f aca="false">IF($E79="","",IF($M79,IF(AND($G79&gt;=ES$5,$G79&lt;ES$5+GanttPeriod),"◆",IF(AND($E79&gt;=ES$5,$E79&lt;ES$5+GanttPeriod),"◇","")),IF(AND(ES$5&lt;=$F79,ES$5+GanttPeriod-1&gt;=$E79),"━","")))</f>
        <v/>
      </c>
      <c r="ET79" s="69" t="str">
        <f aca="false">IF($E79="","",IF($M79,IF(AND($G79&gt;=ET$5,$G79&lt;ET$5+GanttPeriod),"◆",IF(AND($E79&gt;=ET$5,$E79&lt;ET$5+GanttPeriod),"◇","")),IF(AND(ET$5&lt;=$F79,ET$5+GanttPeriod-1&gt;=$E79),"━","")))</f>
        <v/>
      </c>
      <c r="EU79" s="69" t="str">
        <f aca="false">IF($E79="","",IF($M79,IF(AND($G79&gt;=EU$5,$G79&lt;EU$5+GanttPeriod),"◆",IF(AND($E79&gt;=EU$5,$E79&lt;EU$5+GanttPeriod),"◇","")),IF(AND(EU$5&lt;=$F79,EU$5+GanttPeriod-1&gt;=$E79),"━","")))</f>
        <v/>
      </c>
      <c r="EV79" s="69" t="str">
        <f aca="false">IF($E79="","",IF($M79,IF(AND($G79&gt;=EV$5,$G79&lt;EV$5+GanttPeriod),"◆",IF(AND($E79&gt;=EV$5,$E79&lt;EV$5+GanttPeriod),"◇","")),IF(AND(EV$5&lt;=$F79,EV$5+GanttPeriod-1&gt;=$E79),"━","")))</f>
        <v/>
      </c>
      <c r="EW79" s="69" t="str">
        <f aca="false">IF($E79="","",IF($M79,IF(AND($G79&gt;=EW$5,$G79&lt;EW$5+GanttPeriod),"◆",IF(AND($E79&gt;=EW$5,$E79&lt;EW$5+GanttPeriod),"◇","")),IF(AND(EW$5&lt;=$F79,EW$5+GanttPeriod-1&gt;=$E79),"━","")))</f>
        <v/>
      </c>
      <c r="EX79" s="69" t="str">
        <f aca="false">IF($E79="","",IF($M79,IF(AND($G79&gt;=EX$5,$G79&lt;EX$5+GanttPeriod),"◆",IF(AND($E79&gt;=EX$5,$E79&lt;EX$5+GanttPeriod),"◇","")),IF(AND(EX$5&lt;=$F79,EX$5+GanttPeriod-1&gt;=$E79),"━","")))</f>
        <v/>
      </c>
      <c r="EY79" s="69" t="str">
        <f aca="false">IF($E79="","",IF($M79,IF(AND($G79&gt;=EY$5,$G79&lt;EY$5+GanttPeriod),"◆",IF(AND($E79&gt;=EY$5,$E79&lt;EY$5+GanttPeriod),"◇","")),IF(AND(EY$5&lt;=$F79,EY$5+GanttPeriod-1&gt;=$E79),"━","")))</f>
        <v/>
      </c>
      <c r="EZ79" s="69" t="str">
        <f aca="false">IF($E79="","",IF($M79,IF(AND($G79&gt;=EZ$5,$G79&lt;EZ$5+GanttPeriod),"◆",IF(AND($E79&gt;=EZ$5,$E79&lt;EZ$5+GanttPeriod),"◇","")),IF(AND(EZ$5&lt;=$F79,EZ$5+GanttPeriod-1&gt;=$E79),"━","")))</f>
        <v/>
      </c>
      <c r="FA79" s="69" t="str">
        <f aca="false">IF($E79="","",IF($M79,IF(AND($G79&gt;=FA$5,$G79&lt;FA$5+GanttPeriod),"◆",IF(AND($E79&gt;=FA$5,$E79&lt;FA$5+GanttPeriod),"◇","")),IF(AND(FA$5&lt;=$F79,FA$5+GanttPeriod-1&gt;=$E79),"━","")))</f>
        <v/>
      </c>
      <c r="FB79" s="69" t="str">
        <f aca="false">IF($E79="","",IF($M79,IF(AND($G79&gt;=FB$5,$G79&lt;FB$5+GanttPeriod),"◆",IF(AND($E79&gt;=FB$5,$E79&lt;FB$5+GanttPeriod),"◇","")),IF(AND(FB$5&lt;=$F79,FB$5+GanttPeriod-1&gt;=$E79),"━","")))</f>
        <v/>
      </c>
      <c r="FC79" s="69" t="str">
        <f aca="false">IF($E79="","",IF($M79,IF(AND($G79&gt;=FC$5,$G79&lt;FC$5+GanttPeriod),"◆",IF(AND($E79&gt;=FC$5,$E79&lt;FC$5+GanttPeriod),"◇","")),IF(AND(FC$5&lt;=$F79,FC$5+GanttPeriod-1&gt;=$E79),"━","")))</f>
        <v/>
      </c>
      <c r="FD79" s="69" t="str">
        <f aca="false">IF($E79="","",IF($M79,IF(AND($G79&gt;=FD$5,$G79&lt;FD$5+GanttPeriod),"◆",IF(AND($E79&gt;=FD$5,$E79&lt;FD$5+GanttPeriod),"◇","")),IF(AND(FD$5&lt;=$F79,FD$5+GanttPeriod-1&gt;=$E79),"━","")))</f>
        <v/>
      </c>
      <c r="FE79" s="69" t="str">
        <f aca="false">IF($E79="","",IF($M79,IF(AND($G79&gt;=FE$5,$G79&lt;FE$5+GanttPeriod),"◆",IF(AND($E79&gt;=FE$5,$E79&lt;FE$5+GanttPeriod),"◇","")),IF(AND(FE$5&lt;=$F79,FE$5+GanttPeriod-1&gt;=$E79),"━","")))</f>
        <v/>
      </c>
      <c r="FF79" s="69" t="str">
        <f aca="false">IF($E79="","",IF($M79,IF(AND($G79&gt;=FF$5,$G79&lt;FF$5+GanttPeriod),"◆",IF(AND($E79&gt;=FF$5,$E79&lt;FF$5+GanttPeriod),"◇","")),IF(AND(FF$5&lt;=$F79,FF$5+GanttPeriod-1&gt;=$E79),"━","")))</f>
        <v/>
      </c>
      <c r="FG79" s="69" t="str">
        <f aca="false">IF($E79="","",IF($M79,IF(AND($G79&gt;=FG$5,$G79&lt;FG$5+GanttPeriod),"◆",IF(AND($E79&gt;=FG$5,$E79&lt;FG$5+GanttPeriod),"◇","")),IF(AND(FG$5&lt;=$F79,FG$5+GanttPeriod-1&gt;=$E79),"━","")))</f>
        <v/>
      </c>
      <c r="FH79" s="69" t="str">
        <f aca="false">IF($E79="","",IF($M79,IF(AND($G79&gt;=FH$5,$G79&lt;FH$5+GanttPeriod),"◆",IF(AND($E79&gt;=FH$5,$E79&lt;FH$5+GanttPeriod),"◇","")),IF(AND(FH$5&lt;=$F79,FH$5+GanttPeriod-1&gt;=$E79),"━","")))</f>
        <v/>
      </c>
      <c r="FI79" s="69" t="str">
        <f aca="false">IF($E79="","",IF($M79,IF(AND($G79&gt;=FI$5,$G79&lt;FI$5+GanttPeriod),"◆",IF(AND($E79&gt;=FI$5,$E79&lt;FI$5+GanttPeriod),"◇","")),IF(AND(FI$5&lt;=$F79,FI$5+GanttPeriod-1&gt;=$E79),"━","")))</f>
        <v/>
      </c>
      <c r="FJ79" s="69" t="str">
        <f aca="false">IF($E79="","",IF($M79,IF(AND($G79&gt;=FJ$5,$G79&lt;FJ$5+GanttPeriod),"◆",IF(AND($E79&gt;=FJ$5,$E79&lt;FJ$5+GanttPeriod),"◇","")),IF(AND(FJ$5&lt;=$F79,FJ$5+GanttPeriod-1&gt;=$E79),"━","")))</f>
        <v/>
      </c>
      <c r="FK79" s="69" t="str">
        <f aca="false">IF($E79="","",IF($M79,IF(AND($G79&gt;=FK$5,$G79&lt;FK$5+GanttPeriod),"◆",IF(AND($E79&gt;=FK$5,$E79&lt;FK$5+GanttPeriod),"◇","")),IF(AND(FK$5&lt;=$F79,FK$5+GanttPeriod-1&gt;=$E79),"━","")))</f>
        <v/>
      </c>
      <c r="FL79" s="69" t="str">
        <f aca="false">IF($E79="","",IF($M79,IF(AND($G79&gt;=FL$5,$G79&lt;FL$5+GanttPeriod),"◆",IF(AND($E79&gt;=FL$5,$E79&lt;FL$5+GanttPeriod),"◇","")),IF(AND(FL$5&lt;=$F79,FL$5+GanttPeriod-1&gt;=$E79),"━","")))</f>
        <v/>
      </c>
      <c r="FM79" s="69" t="str">
        <f aca="false">IF($E79="","",IF($M79,IF(AND($G79&gt;=FM$5,$G79&lt;FM$5+GanttPeriod),"◆",IF(AND($E79&gt;=FM$5,$E79&lt;FM$5+GanttPeriod),"◇","")),IF(AND(FM$5&lt;=$F79,FM$5+GanttPeriod-1&gt;=$E79),"━","")))</f>
        <v/>
      </c>
    </row>
    <row r="80" customFormat="false" ht="15" hidden="false" customHeight="false" outlineLevel="0" collapsed="false">
      <c r="A80" s="62" t="str">
        <f aca="false">IF(Tasks!$D80="","",Tasks!$A80)</f>
        <v/>
      </c>
      <c r="B80" s="62" t="str">
        <f aca="false">IF(Tasks!$D80="","",Tasks!$B80)</f>
        <v/>
      </c>
      <c r="C80" s="63" t="str">
        <f aca="false">IF(Tasks!$D80="","",REPT("    ",Tasks!$AE80-1)&amp;Tasks!$D80)</f>
        <v/>
      </c>
      <c r="D80" s="62" t="str">
        <f aca="false">IF(Tasks!$D80="","",IF(Tasks!$AI80,NETWORKDAYS.INTL(Tasks!$R80,Tasks!$S80,WorkWeek,Holidays),N(Tasks!$F80)))</f>
        <v/>
      </c>
      <c r="E80" s="64" t="str">
        <f aca="false">IF(Tasks!$D80="","",Tasks!$N80)</f>
        <v/>
      </c>
      <c r="F80" s="64" t="str">
        <f aca="false">IF(Tasks!$D80="","",Tasks!$O80)</f>
        <v/>
      </c>
      <c r="G80" s="64" t="str">
        <f aca="false">IF(Tasks!$D80="","",Tasks!$R80)</f>
        <v/>
      </c>
      <c r="H80" s="64" t="str">
        <f aca="false">IF(Tasks!$D80="","",Tasks!$S80)</f>
        <v/>
      </c>
      <c r="I80" s="65" t="str">
        <f aca="false">IF(Tasks!$D80="","",Tasks!$V80)</f>
        <v/>
      </c>
      <c r="J80" s="63" t="str">
        <f aca="false">IF(Tasks!$D80="","",Tasks!$X80&amp;"")</f>
        <v/>
      </c>
      <c r="K80" s="66" t="str">
        <f aca="false">IF(Tasks!$D80="","",Tasks!$W80)</f>
        <v/>
      </c>
      <c r="L80" s="67" t="b">
        <f aca="false">IF(Tasks!$D80="",FALSE(),Tasks!$AI80)</f>
        <v>0</v>
      </c>
      <c r="M80" s="67" t="b">
        <f aca="false">AND(Tasks!$AJ80=1,N(Tasks!$F80)=0)</f>
        <v>0</v>
      </c>
      <c r="N80" s="68" t="n">
        <f aca="false">IF(AND(Tasks!$AJ80=1,NOT($M80),N($I80)&gt;0),$G80,0)</f>
        <v>0</v>
      </c>
      <c r="O80" s="68" t="n">
        <f aca="false">IF($N80=0,0,IF($I80&gt;=1,$H80,MAX($N80,$G80+ROUND(($H80-$G80+1)*$I80,0)-1)))</f>
        <v>0</v>
      </c>
      <c r="P80" s="68" t="n">
        <f aca="false">IF(OR(Tasks!$AJ80&lt;&gt;1,$M80,N($I80)&gt;=1),0,IF($O80&gt;0,$O80+1,$G80))</f>
        <v>0</v>
      </c>
      <c r="Q80" s="68" t="n">
        <f aca="false">IF($P80=0,0,$H80)</f>
        <v>0</v>
      </c>
      <c r="R80" s="67" t="b">
        <f aca="false">AND(Tasks!$D80&lt;&gt;"",N(Tasks!$T80)&gt;0)</f>
        <v>0</v>
      </c>
      <c r="T80" s="69" t="str">
        <f aca="false">IF($E80="","",IF($M80,IF(AND($G80&gt;=T$5,$G80&lt;T$5+GanttPeriod),"◆",IF(AND($E80&gt;=T$5,$E80&lt;T$5+GanttPeriod),"◇","")),IF(AND(T$5&lt;=$F80,T$5+GanttPeriod-1&gt;=$E80),"━","")))</f>
        <v/>
      </c>
      <c r="U80" s="69" t="str">
        <f aca="false">IF($E80="","",IF($M80,IF(AND($G80&gt;=U$5,$G80&lt;U$5+GanttPeriod),"◆",IF(AND($E80&gt;=U$5,$E80&lt;U$5+GanttPeriod),"◇","")),IF(AND(U$5&lt;=$F80,U$5+GanttPeriod-1&gt;=$E80),"━","")))</f>
        <v/>
      </c>
      <c r="V80" s="69" t="str">
        <f aca="false">IF($E80="","",IF($M80,IF(AND($G80&gt;=V$5,$G80&lt;V$5+GanttPeriod),"◆",IF(AND($E80&gt;=V$5,$E80&lt;V$5+GanttPeriod),"◇","")),IF(AND(V$5&lt;=$F80,V$5+GanttPeriod-1&gt;=$E80),"━","")))</f>
        <v/>
      </c>
      <c r="W80" s="69" t="str">
        <f aca="false">IF($E80="","",IF($M80,IF(AND($G80&gt;=W$5,$G80&lt;W$5+GanttPeriod),"◆",IF(AND($E80&gt;=W$5,$E80&lt;W$5+GanttPeriod),"◇","")),IF(AND(W$5&lt;=$F80,W$5+GanttPeriod-1&gt;=$E80),"━","")))</f>
        <v/>
      </c>
      <c r="X80" s="69" t="str">
        <f aca="false">IF($E80="","",IF($M80,IF(AND($G80&gt;=X$5,$G80&lt;X$5+GanttPeriod),"◆",IF(AND($E80&gt;=X$5,$E80&lt;X$5+GanttPeriod),"◇","")),IF(AND(X$5&lt;=$F80,X$5+GanttPeriod-1&gt;=$E80),"━","")))</f>
        <v/>
      </c>
      <c r="Y80" s="69" t="str">
        <f aca="false">IF($E80="","",IF($M80,IF(AND($G80&gt;=Y$5,$G80&lt;Y$5+GanttPeriod),"◆",IF(AND($E80&gt;=Y$5,$E80&lt;Y$5+GanttPeriod),"◇","")),IF(AND(Y$5&lt;=$F80,Y$5+GanttPeriod-1&gt;=$E80),"━","")))</f>
        <v/>
      </c>
      <c r="Z80" s="69" t="str">
        <f aca="false">IF($E80="","",IF($M80,IF(AND($G80&gt;=Z$5,$G80&lt;Z$5+GanttPeriod),"◆",IF(AND($E80&gt;=Z$5,$E80&lt;Z$5+GanttPeriod),"◇","")),IF(AND(Z$5&lt;=$F80,Z$5+GanttPeriod-1&gt;=$E80),"━","")))</f>
        <v/>
      </c>
      <c r="AA80" s="69" t="str">
        <f aca="false">IF($E80="","",IF($M80,IF(AND($G80&gt;=AA$5,$G80&lt;AA$5+GanttPeriod),"◆",IF(AND($E80&gt;=AA$5,$E80&lt;AA$5+GanttPeriod),"◇","")),IF(AND(AA$5&lt;=$F80,AA$5+GanttPeriod-1&gt;=$E80),"━","")))</f>
        <v/>
      </c>
      <c r="AB80" s="69" t="str">
        <f aca="false">IF($E80="","",IF($M80,IF(AND($G80&gt;=AB$5,$G80&lt;AB$5+GanttPeriod),"◆",IF(AND($E80&gt;=AB$5,$E80&lt;AB$5+GanttPeriod),"◇","")),IF(AND(AB$5&lt;=$F80,AB$5+GanttPeriod-1&gt;=$E80),"━","")))</f>
        <v/>
      </c>
      <c r="AC80" s="69" t="str">
        <f aca="false">IF($E80="","",IF($M80,IF(AND($G80&gt;=AC$5,$G80&lt;AC$5+GanttPeriod),"◆",IF(AND($E80&gt;=AC$5,$E80&lt;AC$5+GanttPeriod),"◇","")),IF(AND(AC$5&lt;=$F80,AC$5+GanttPeriod-1&gt;=$E80),"━","")))</f>
        <v/>
      </c>
      <c r="AD80" s="69" t="str">
        <f aca="false">IF($E80="","",IF($M80,IF(AND($G80&gt;=AD$5,$G80&lt;AD$5+GanttPeriod),"◆",IF(AND($E80&gt;=AD$5,$E80&lt;AD$5+GanttPeriod),"◇","")),IF(AND(AD$5&lt;=$F80,AD$5+GanttPeriod-1&gt;=$E80),"━","")))</f>
        <v/>
      </c>
      <c r="AE80" s="69" t="str">
        <f aca="false">IF($E80="","",IF($M80,IF(AND($G80&gt;=AE$5,$G80&lt;AE$5+GanttPeriod),"◆",IF(AND($E80&gt;=AE$5,$E80&lt;AE$5+GanttPeriod),"◇","")),IF(AND(AE$5&lt;=$F80,AE$5+GanttPeriod-1&gt;=$E80),"━","")))</f>
        <v/>
      </c>
      <c r="AF80" s="69" t="str">
        <f aca="false">IF($E80="","",IF($M80,IF(AND($G80&gt;=AF$5,$G80&lt;AF$5+GanttPeriod),"◆",IF(AND($E80&gt;=AF$5,$E80&lt;AF$5+GanttPeriod),"◇","")),IF(AND(AF$5&lt;=$F80,AF$5+GanttPeriod-1&gt;=$E80),"━","")))</f>
        <v/>
      </c>
      <c r="AG80" s="69" t="str">
        <f aca="false">IF($E80="","",IF($M80,IF(AND($G80&gt;=AG$5,$G80&lt;AG$5+GanttPeriod),"◆",IF(AND($E80&gt;=AG$5,$E80&lt;AG$5+GanttPeriod),"◇","")),IF(AND(AG$5&lt;=$F80,AG$5+GanttPeriod-1&gt;=$E80),"━","")))</f>
        <v/>
      </c>
      <c r="AH80" s="69" t="str">
        <f aca="false">IF($E80="","",IF($M80,IF(AND($G80&gt;=AH$5,$G80&lt;AH$5+GanttPeriod),"◆",IF(AND($E80&gt;=AH$5,$E80&lt;AH$5+GanttPeriod),"◇","")),IF(AND(AH$5&lt;=$F80,AH$5+GanttPeriod-1&gt;=$E80),"━","")))</f>
        <v/>
      </c>
      <c r="AI80" s="69" t="str">
        <f aca="false">IF($E80="","",IF($M80,IF(AND($G80&gt;=AI$5,$G80&lt;AI$5+GanttPeriod),"◆",IF(AND($E80&gt;=AI$5,$E80&lt;AI$5+GanttPeriod),"◇","")),IF(AND(AI$5&lt;=$F80,AI$5+GanttPeriod-1&gt;=$E80),"━","")))</f>
        <v/>
      </c>
      <c r="AJ80" s="69" t="str">
        <f aca="false">IF($E80="","",IF($M80,IF(AND($G80&gt;=AJ$5,$G80&lt;AJ$5+GanttPeriod),"◆",IF(AND($E80&gt;=AJ$5,$E80&lt;AJ$5+GanttPeriod),"◇","")),IF(AND(AJ$5&lt;=$F80,AJ$5+GanttPeriod-1&gt;=$E80),"━","")))</f>
        <v/>
      </c>
      <c r="AK80" s="69" t="str">
        <f aca="false">IF($E80="","",IF($M80,IF(AND($G80&gt;=AK$5,$G80&lt;AK$5+GanttPeriod),"◆",IF(AND($E80&gt;=AK$5,$E80&lt;AK$5+GanttPeriod),"◇","")),IF(AND(AK$5&lt;=$F80,AK$5+GanttPeriod-1&gt;=$E80),"━","")))</f>
        <v/>
      </c>
      <c r="AL80" s="69" t="str">
        <f aca="false">IF($E80="","",IF($M80,IF(AND($G80&gt;=AL$5,$G80&lt;AL$5+GanttPeriod),"◆",IF(AND($E80&gt;=AL$5,$E80&lt;AL$5+GanttPeriod),"◇","")),IF(AND(AL$5&lt;=$F80,AL$5+GanttPeriod-1&gt;=$E80),"━","")))</f>
        <v/>
      </c>
      <c r="AM80" s="69" t="str">
        <f aca="false">IF($E80="","",IF($M80,IF(AND($G80&gt;=AM$5,$G80&lt;AM$5+GanttPeriod),"◆",IF(AND($E80&gt;=AM$5,$E80&lt;AM$5+GanttPeriod),"◇","")),IF(AND(AM$5&lt;=$F80,AM$5+GanttPeriod-1&gt;=$E80),"━","")))</f>
        <v/>
      </c>
      <c r="AN80" s="69" t="str">
        <f aca="false">IF($E80="","",IF($M80,IF(AND($G80&gt;=AN$5,$G80&lt;AN$5+GanttPeriod),"◆",IF(AND($E80&gt;=AN$5,$E80&lt;AN$5+GanttPeriod),"◇","")),IF(AND(AN$5&lt;=$F80,AN$5+GanttPeriod-1&gt;=$E80),"━","")))</f>
        <v/>
      </c>
      <c r="AO80" s="69" t="str">
        <f aca="false">IF($E80="","",IF($M80,IF(AND($G80&gt;=AO$5,$G80&lt;AO$5+GanttPeriod),"◆",IF(AND($E80&gt;=AO$5,$E80&lt;AO$5+GanttPeriod),"◇","")),IF(AND(AO$5&lt;=$F80,AO$5+GanttPeriod-1&gt;=$E80),"━","")))</f>
        <v/>
      </c>
      <c r="AP80" s="69" t="str">
        <f aca="false">IF($E80="","",IF($M80,IF(AND($G80&gt;=AP$5,$G80&lt;AP$5+GanttPeriod),"◆",IF(AND($E80&gt;=AP$5,$E80&lt;AP$5+GanttPeriod),"◇","")),IF(AND(AP$5&lt;=$F80,AP$5+GanttPeriod-1&gt;=$E80),"━","")))</f>
        <v/>
      </c>
      <c r="AQ80" s="69" t="str">
        <f aca="false">IF($E80="","",IF($M80,IF(AND($G80&gt;=AQ$5,$G80&lt;AQ$5+GanttPeriod),"◆",IF(AND($E80&gt;=AQ$5,$E80&lt;AQ$5+GanttPeriod),"◇","")),IF(AND(AQ$5&lt;=$F80,AQ$5+GanttPeriod-1&gt;=$E80),"━","")))</f>
        <v/>
      </c>
      <c r="AR80" s="69" t="str">
        <f aca="false">IF($E80="","",IF($M80,IF(AND($G80&gt;=AR$5,$G80&lt;AR$5+GanttPeriod),"◆",IF(AND($E80&gt;=AR$5,$E80&lt;AR$5+GanttPeriod),"◇","")),IF(AND(AR$5&lt;=$F80,AR$5+GanttPeriod-1&gt;=$E80),"━","")))</f>
        <v/>
      </c>
      <c r="AS80" s="69" t="str">
        <f aca="false">IF($E80="","",IF($M80,IF(AND($G80&gt;=AS$5,$G80&lt;AS$5+GanttPeriod),"◆",IF(AND($E80&gt;=AS$5,$E80&lt;AS$5+GanttPeriod),"◇","")),IF(AND(AS$5&lt;=$F80,AS$5+GanttPeriod-1&gt;=$E80),"━","")))</f>
        <v/>
      </c>
      <c r="AT80" s="69" t="str">
        <f aca="false">IF($E80="","",IF($M80,IF(AND($G80&gt;=AT$5,$G80&lt;AT$5+GanttPeriod),"◆",IF(AND($E80&gt;=AT$5,$E80&lt;AT$5+GanttPeriod),"◇","")),IF(AND(AT$5&lt;=$F80,AT$5+GanttPeriod-1&gt;=$E80),"━","")))</f>
        <v/>
      </c>
      <c r="AU80" s="69" t="str">
        <f aca="false">IF($E80="","",IF($M80,IF(AND($G80&gt;=AU$5,$G80&lt;AU$5+GanttPeriod),"◆",IF(AND($E80&gt;=AU$5,$E80&lt;AU$5+GanttPeriod),"◇","")),IF(AND(AU$5&lt;=$F80,AU$5+GanttPeriod-1&gt;=$E80),"━","")))</f>
        <v/>
      </c>
      <c r="AV80" s="69" t="str">
        <f aca="false">IF($E80="","",IF($M80,IF(AND($G80&gt;=AV$5,$G80&lt;AV$5+GanttPeriod),"◆",IF(AND($E80&gt;=AV$5,$E80&lt;AV$5+GanttPeriod),"◇","")),IF(AND(AV$5&lt;=$F80,AV$5+GanttPeriod-1&gt;=$E80),"━","")))</f>
        <v/>
      </c>
      <c r="AW80" s="69" t="str">
        <f aca="false">IF($E80="","",IF($M80,IF(AND($G80&gt;=AW$5,$G80&lt;AW$5+GanttPeriod),"◆",IF(AND($E80&gt;=AW$5,$E80&lt;AW$5+GanttPeriod),"◇","")),IF(AND(AW$5&lt;=$F80,AW$5+GanttPeriod-1&gt;=$E80),"━","")))</f>
        <v/>
      </c>
      <c r="AX80" s="69" t="str">
        <f aca="false">IF($E80="","",IF($M80,IF(AND($G80&gt;=AX$5,$G80&lt;AX$5+GanttPeriod),"◆",IF(AND($E80&gt;=AX$5,$E80&lt;AX$5+GanttPeriod),"◇","")),IF(AND(AX$5&lt;=$F80,AX$5+GanttPeriod-1&gt;=$E80),"━","")))</f>
        <v/>
      </c>
      <c r="AY80" s="69" t="str">
        <f aca="false">IF($E80="","",IF($M80,IF(AND($G80&gt;=AY$5,$G80&lt;AY$5+GanttPeriod),"◆",IF(AND($E80&gt;=AY$5,$E80&lt;AY$5+GanttPeriod),"◇","")),IF(AND(AY$5&lt;=$F80,AY$5+GanttPeriod-1&gt;=$E80),"━","")))</f>
        <v/>
      </c>
      <c r="AZ80" s="69" t="str">
        <f aca="false">IF($E80="","",IF($M80,IF(AND($G80&gt;=AZ$5,$G80&lt;AZ$5+GanttPeriod),"◆",IF(AND($E80&gt;=AZ$5,$E80&lt;AZ$5+GanttPeriod),"◇","")),IF(AND(AZ$5&lt;=$F80,AZ$5+GanttPeriod-1&gt;=$E80),"━","")))</f>
        <v/>
      </c>
      <c r="BA80" s="69" t="str">
        <f aca="false">IF($E80="","",IF($M80,IF(AND($G80&gt;=BA$5,$G80&lt;BA$5+GanttPeriod),"◆",IF(AND($E80&gt;=BA$5,$E80&lt;BA$5+GanttPeriod),"◇","")),IF(AND(BA$5&lt;=$F80,BA$5+GanttPeriod-1&gt;=$E80),"━","")))</f>
        <v/>
      </c>
      <c r="BB80" s="69" t="str">
        <f aca="false">IF($E80="","",IF($M80,IF(AND($G80&gt;=BB$5,$G80&lt;BB$5+GanttPeriod),"◆",IF(AND($E80&gt;=BB$5,$E80&lt;BB$5+GanttPeriod),"◇","")),IF(AND(BB$5&lt;=$F80,BB$5+GanttPeriod-1&gt;=$E80),"━","")))</f>
        <v/>
      </c>
      <c r="BC80" s="69" t="str">
        <f aca="false">IF($E80="","",IF($M80,IF(AND($G80&gt;=BC$5,$G80&lt;BC$5+GanttPeriod),"◆",IF(AND($E80&gt;=BC$5,$E80&lt;BC$5+GanttPeriod),"◇","")),IF(AND(BC$5&lt;=$F80,BC$5+GanttPeriod-1&gt;=$E80),"━","")))</f>
        <v/>
      </c>
      <c r="BD80" s="69" t="str">
        <f aca="false">IF($E80="","",IF($M80,IF(AND($G80&gt;=BD$5,$G80&lt;BD$5+GanttPeriod),"◆",IF(AND($E80&gt;=BD$5,$E80&lt;BD$5+GanttPeriod),"◇","")),IF(AND(BD$5&lt;=$F80,BD$5+GanttPeriod-1&gt;=$E80),"━","")))</f>
        <v/>
      </c>
      <c r="BE80" s="69" t="str">
        <f aca="false">IF($E80="","",IF($M80,IF(AND($G80&gt;=BE$5,$G80&lt;BE$5+GanttPeriod),"◆",IF(AND($E80&gt;=BE$5,$E80&lt;BE$5+GanttPeriod),"◇","")),IF(AND(BE$5&lt;=$F80,BE$5+GanttPeriod-1&gt;=$E80),"━","")))</f>
        <v/>
      </c>
      <c r="BF80" s="69" t="str">
        <f aca="false">IF($E80="","",IF($M80,IF(AND($G80&gt;=BF$5,$G80&lt;BF$5+GanttPeriod),"◆",IF(AND($E80&gt;=BF$5,$E80&lt;BF$5+GanttPeriod),"◇","")),IF(AND(BF$5&lt;=$F80,BF$5+GanttPeriod-1&gt;=$E80),"━","")))</f>
        <v/>
      </c>
      <c r="BG80" s="69" t="str">
        <f aca="false">IF($E80="","",IF($M80,IF(AND($G80&gt;=BG$5,$G80&lt;BG$5+GanttPeriod),"◆",IF(AND($E80&gt;=BG$5,$E80&lt;BG$5+GanttPeriod),"◇","")),IF(AND(BG$5&lt;=$F80,BG$5+GanttPeriod-1&gt;=$E80),"━","")))</f>
        <v/>
      </c>
      <c r="BH80" s="69" t="str">
        <f aca="false">IF($E80="","",IF($M80,IF(AND($G80&gt;=BH$5,$G80&lt;BH$5+GanttPeriod),"◆",IF(AND($E80&gt;=BH$5,$E80&lt;BH$5+GanttPeriod),"◇","")),IF(AND(BH$5&lt;=$F80,BH$5+GanttPeriod-1&gt;=$E80),"━","")))</f>
        <v/>
      </c>
      <c r="BI80" s="69" t="str">
        <f aca="false">IF($E80="","",IF($M80,IF(AND($G80&gt;=BI$5,$G80&lt;BI$5+GanttPeriod),"◆",IF(AND($E80&gt;=BI$5,$E80&lt;BI$5+GanttPeriod),"◇","")),IF(AND(BI$5&lt;=$F80,BI$5+GanttPeriod-1&gt;=$E80),"━","")))</f>
        <v/>
      </c>
      <c r="BJ80" s="69" t="str">
        <f aca="false">IF($E80="","",IF($M80,IF(AND($G80&gt;=BJ$5,$G80&lt;BJ$5+GanttPeriod),"◆",IF(AND($E80&gt;=BJ$5,$E80&lt;BJ$5+GanttPeriod),"◇","")),IF(AND(BJ$5&lt;=$F80,BJ$5+GanttPeriod-1&gt;=$E80),"━","")))</f>
        <v/>
      </c>
      <c r="BK80" s="69" t="str">
        <f aca="false">IF($E80="","",IF($M80,IF(AND($G80&gt;=BK$5,$G80&lt;BK$5+GanttPeriod),"◆",IF(AND($E80&gt;=BK$5,$E80&lt;BK$5+GanttPeriod),"◇","")),IF(AND(BK$5&lt;=$F80,BK$5+GanttPeriod-1&gt;=$E80),"━","")))</f>
        <v/>
      </c>
      <c r="BL80" s="69" t="str">
        <f aca="false">IF($E80="","",IF($M80,IF(AND($G80&gt;=BL$5,$G80&lt;BL$5+GanttPeriod),"◆",IF(AND($E80&gt;=BL$5,$E80&lt;BL$5+GanttPeriod),"◇","")),IF(AND(BL$5&lt;=$F80,BL$5+GanttPeriod-1&gt;=$E80),"━","")))</f>
        <v/>
      </c>
      <c r="BM80" s="69" t="str">
        <f aca="false">IF($E80="","",IF($M80,IF(AND($G80&gt;=BM$5,$G80&lt;BM$5+GanttPeriod),"◆",IF(AND($E80&gt;=BM$5,$E80&lt;BM$5+GanttPeriod),"◇","")),IF(AND(BM$5&lt;=$F80,BM$5+GanttPeriod-1&gt;=$E80),"━","")))</f>
        <v/>
      </c>
      <c r="BN80" s="69" t="str">
        <f aca="false">IF($E80="","",IF($M80,IF(AND($G80&gt;=BN$5,$G80&lt;BN$5+GanttPeriod),"◆",IF(AND($E80&gt;=BN$5,$E80&lt;BN$5+GanttPeriod),"◇","")),IF(AND(BN$5&lt;=$F80,BN$5+GanttPeriod-1&gt;=$E80),"━","")))</f>
        <v/>
      </c>
      <c r="BO80" s="69" t="str">
        <f aca="false">IF($E80="","",IF($M80,IF(AND($G80&gt;=BO$5,$G80&lt;BO$5+GanttPeriod),"◆",IF(AND($E80&gt;=BO$5,$E80&lt;BO$5+GanttPeriod),"◇","")),IF(AND(BO$5&lt;=$F80,BO$5+GanttPeriod-1&gt;=$E80),"━","")))</f>
        <v/>
      </c>
      <c r="BP80" s="69" t="str">
        <f aca="false">IF($E80="","",IF($M80,IF(AND($G80&gt;=BP$5,$G80&lt;BP$5+GanttPeriod),"◆",IF(AND($E80&gt;=BP$5,$E80&lt;BP$5+GanttPeriod),"◇","")),IF(AND(BP$5&lt;=$F80,BP$5+GanttPeriod-1&gt;=$E80),"━","")))</f>
        <v/>
      </c>
      <c r="BQ80" s="69" t="str">
        <f aca="false">IF($E80="","",IF($M80,IF(AND($G80&gt;=BQ$5,$G80&lt;BQ$5+GanttPeriod),"◆",IF(AND($E80&gt;=BQ$5,$E80&lt;BQ$5+GanttPeriod),"◇","")),IF(AND(BQ$5&lt;=$F80,BQ$5+GanttPeriod-1&gt;=$E80),"━","")))</f>
        <v/>
      </c>
      <c r="BR80" s="69" t="str">
        <f aca="false">IF($E80="","",IF($M80,IF(AND($G80&gt;=BR$5,$G80&lt;BR$5+GanttPeriod),"◆",IF(AND($E80&gt;=BR$5,$E80&lt;BR$5+GanttPeriod),"◇","")),IF(AND(BR$5&lt;=$F80,BR$5+GanttPeriod-1&gt;=$E80),"━","")))</f>
        <v/>
      </c>
      <c r="BS80" s="69" t="str">
        <f aca="false">IF($E80="","",IF($M80,IF(AND($G80&gt;=BS$5,$G80&lt;BS$5+GanttPeriod),"◆",IF(AND($E80&gt;=BS$5,$E80&lt;BS$5+GanttPeriod),"◇","")),IF(AND(BS$5&lt;=$F80,BS$5+GanttPeriod-1&gt;=$E80),"━","")))</f>
        <v/>
      </c>
      <c r="BT80" s="69" t="str">
        <f aca="false">IF($E80="","",IF($M80,IF(AND($G80&gt;=BT$5,$G80&lt;BT$5+GanttPeriod),"◆",IF(AND($E80&gt;=BT$5,$E80&lt;BT$5+GanttPeriod),"◇","")),IF(AND(BT$5&lt;=$F80,BT$5+GanttPeriod-1&gt;=$E80),"━","")))</f>
        <v/>
      </c>
      <c r="BU80" s="69" t="str">
        <f aca="false">IF($E80="","",IF($M80,IF(AND($G80&gt;=BU$5,$G80&lt;BU$5+GanttPeriod),"◆",IF(AND($E80&gt;=BU$5,$E80&lt;BU$5+GanttPeriod),"◇","")),IF(AND(BU$5&lt;=$F80,BU$5+GanttPeriod-1&gt;=$E80),"━","")))</f>
        <v/>
      </c>
      <c r="BV80" s="69" t="str">
        <f aca="false">IF($E80="","",IF($M80,IF(AND($G80&gt;=BV$5,$G80&lt;BV$5+GanttPeriod),"◆",IF(AND($E80&gt;=BV$5,$E80&lt;BV$5+GanttPeriod),"◇","")),IF(AND(BV$5&lt;=$F80,BV$5+GanttPeriod-1&gt;=$E80),"━","")))</f>
        <v/>
      </c>
      <c r="BW80" s="69" t="str">
        <f aca="false">IF($E80="","",IF($M80,IF(AND($G80&gt;=BW$5,$G80&lt;BW$5+GanttPeriod),"◆",IF(AND($E80&gt;=BW$5,$E80&lt;BW$5+GanttPeriod),"◇","")),IF(AND(BW$5&lt;=$F80,BW$5+GanttPeriod-1&gt;=$E80),"━","")))</f>
        <v/>
      </c>
      <c r="BX80" s="69" t="str">
        <f aca="false">IF($E80="","",IF($M80,IF(AND($G80&gt;=BX$5,$G80&lt;BX$5+GanttPeriod),"◆",IF(AND($E80&gt;=BX$5,$E80&lt;BX$5+GanttPeriod),"◇","")),IF(AND(BX$5&lt;=$F80,BX$5+GanttPeriod-1&gt;=$E80),"━","")))</f>
        <v/>
      </c>
      <c r="BY80" s="69" t="str">
        <f aca="false">IF($E80="","",IF($M80,IF(AND($G80&gt;=BY$5,$G80&lt;BY$5+GanttPeriod),"◆",IF(AND($E80&gt;=BY$5,$E80&lt;BY$5+GanttPeriod),"◇","")),IF(AND(BY$5&lt;=$F80,BY$5+GanttPeriod-1&gt;=$E80),"━","")))</f>
        <v/>
      </c>
      <c r="BZ80" s="69" t="str">
        <f aca="false">IF($E80="","",IF($M80,IF(AND($G80&gt;=BZ$5,$G80&lt;BZ$5+GanttPeriod),"◆",IF(AND($E80&gt;=BZ$5,$E80&lt;BZ$5+GanttPeriod),"◇","")),IF(AND(BZ$5&lt;=$F80,BZ$5+GanttPeriod-1&gt;=$E80),"━","")))</f>
        <v/>
      </c>
      <c r="CA80" s="69" t="str">
        <f aca="false">IF($E80="","",IF($M80,IF(AND($G80&gt;=CA$5,$G80&lt;CA$5+GanttPeriod),"◆",IF(AND($E80&gt;=CA$5,$E80&lt;CA$5+GanttPeriod),"◇","")),IF(AND(CA$5&lt;=$F80,CA$5+GanttPeriod-1&gt;=$E80),"━","")))</f>
        <v/>
      </c>
      <c r="CB80" s="69" t="str">
        <f aca="false">IF($E80="","",IF($M80,IF(AND($G80&gt;=CB$5,$G80&lt;CB$5+GanttPeriod),"◆",IF(AND($E80&gt;=CB$5,$E80&lt;CB$5+GanttPeriod),"◇","")),IF(AND(CB$5&lt;=$F80,CB$5+GanttPeriod-1&gt;=$E80),"━","")))</f>
        <v/>
      </c>
      <c r="CC80" s="69" t="str">
        <f aca="false">IF($E80="","",IF($M80,IF(AND($G80&gt;=CC$5,$G80&lt;CC$5+GanttPeriod),"◆",IF(AND($E80&gt;=CC$5,$E80&lt;CC$5+GanttPeriod),"◇","")),IF(AND(CC$5&lt;=$F80,CC$5+GanttPeriod-1&gt;=$E80),"━","")))</f>
        <v/>
      </c>
      <c r="CD80" s="69" t="str">
        <f aca="false">IF($E80="","",IF($M80,IF(AND($G80&gt;=CD$5,$G80&lt;CD$5+GanttPeriod),"◆",IF(AND($E80&gt;=CD$5,$E80&lt;CD$5+GanttPeriod),"◇","")),IF(AND(CD$5&lt;=$F80,CD$5+GanttPeriod-1&gt;=$E80),"━","")))</f>
        <v/>
      </c>
      <c r="CE80" s="69" t="str">
        <f aca="false">IF($E80="","",IF($M80,IF(AND($G80&gt;=CE$5,$G80&lt;CE$5+GanttPeriod),"◆",IF(AND($E80&gt;=CE$5,$E80&lt;CE$5+GanttPeriod),"◇","")),IF(AND(CE$5&lt;=$F80,CE$5+GanttPeriod-1&gt;=$E80),"━","")))</f>
        <v/>
      </c>
      <c r="CF80" s="69" t="str">
        <f aca="false">IF($E80="","",IF($M80,IF(AND($G80&gt;=CF$5,$G80&lt;CF$5+GanttPeriod),"◆",IF(AND($E80&gt;=CF$5,$E80&lt;CF$5+GanttPeriod),"◇","")),IF(AND(CF$5&lt;=$F80,CF$5+GanttPeriod-1&gt;=$E80),"━","")))</f>
        <v/>
      </c>
      <c r="CG80" s="69" t="str">
        <f aca="false">IF($E80="","",IF($M80,IF(AND($G80&gt;=CG$5,$G80&lt;CG$5+GanttPeriod),"◆",IF(AND($E80&gt;=CG$5,$E80&lt;CG$5+GanttPeriod),"◇","")),IF(AND(CG$5&lt;=$F80,CG$5+GanttPeriod-1&gt;=$E80),"━","")))</f>
        <v/>
      </c>
      <c r="CH80" s="69" t="str">
        <f aca="false">IF($E80="","",IF($M80,IF(AND($G80&gt;=CH$5,$G80&lt;CH$5+GanttPeriod),"◆",IF(AND($E80&gt;=CH$5,$E80&lt;CH$5+GanttPeriod),"◇","")),IF(AND(CH$5&lt;=$F80,CH$5+GanttPeriod-1&gt;=$E80),"━","")))</f>
        <v/>
      </c>
      <c r="CI80" s="69" t="str">
        <f aca="false">IF($E80="","",IF($M80,IF(AND($G80&gt;=CI$5,$G80&lt;CI$5+GanttPeriod),"◆",IF(AND($E80&gt;=CI$5,$E80&lt;CI$5+GanttPeriod),"◇","")),IF(AND(CI$5&lt;=$F80,CI$5+GanttPeriod-1&gt;=$E80),"━","")))</f>
        <v/>
      </c>
      <c r="CJ80" s="69" t="str">
        <f aca="false">IF($E80="","",IF($M80,IF(AND($G80&gt;=CJ$5,$G80&lt;CJ$5+GanttPeriod),"◆",IF(AND($E80&gt;=CJ$5,$E80&lt;CJ$5+GanttPeriod),"◇","")),IF(AND(CJ$5&lt;=$F80,CJ$5+GanttPeriod-1&gt;=$E80),"━","")))</f>
        <v/>
      </c>
      <c r="CK80" s="69" t="str">
        <f aca="false">IF($E80="","",IF($M80,IF(AND($G80&gt;=CK$5,$G80&lt;CK$5+GanttPeriod),"◆",IF(AND($E80&gt;=CK$5,$E80&lt;CK$5+GanttPeriod),"◇","")),IF(AND(CK$5&lt;=$F80,CK$5+GanttPeriod-1&gt;=$E80),"━","")))</f>
        <v/>
      </c>
      <c r="CL80" s="69" t="str">
        <f aca="false">IF($E80="","",IF($M80,IF(AND($G80&gt;=CL$5,$G80&lt;CL$5+GanttPeriod),"◆",IF(AND($E80&gt;=CL$5,$E80&lt;CL$5+GanttPeriod),"◇","")),IF(AND(CL$5&lt;=$F80,CL$5+GanttPeriod-1&gt;=$E80),"━","")))</f>
        <v/>
      </c>
      <c r="CM80" s="69" t="str">
        <f aca="false">IF($E80="","",IF($M80,IF(AND($G80&gt;=CM$5,$G80&lt;CM$5+GanttPeriod),"◆",IF(AND($E80&gt;=CM$5,$E80&lt;CM$5+GanttPeriod),"◇","")),IF(AND(CM$5&lt;=$F80,CM$5+GanttPeriod-1&gt;=$E80),"━","")))</f>
        <v/>
      </c>
      <c r="CN80" s="69" t="str">
        <f aca="false">IF($E80="","",IF($M80,IF(AND($G80&gt;=CN$5,$G80&lt;CN$5+GanttPeriod),"◆",IF(AND($E80&gt;=CN$5,$E80&lt;CN$5+GanttPeriod),"◇","")),IF(AND(CN$5&lt;=$F80,CN$5+GanttPeriod-1&gt;=$E80),"━","")))</f>
        <v/>
      </c>
      <c r="CO80" s="69" t="str">
        <f aca="false">IF($E80="","",IF($M80,IF(AND($G80&gt;=CO$5,$G80&lt;CO$5+GanttPeriod),"◆",IF(AND($E80&gt;=CO$5,$E80&lt;CO$5+GanttPeriod),"◇","")),IF(AND(CO$5&lt;=$F80,CO$5+GanttPeriod-1&gt;=$E80),"━","")))</f>
        <v/>
      </c>
      <c r="CP80" s="69" t="str">
        <f aca="false">IF($E80="","",IF($M80,IF(AND($G80&gt;=CP$5,$G80&lt;CP$5+GanttPeriod),"◆",IF(AND($E80&gt;=CP$5,$E80&lt;CP$5+GanttPeriod),"◇","")),IF(AND(CP$5&lt;=$F80,CP$5+GanttPeriod-1&gt;=$E80),"━","")))</f>
        <v/>
      </c>
      <c r="CQ80" s="69" t="str">
        <f aca="false">IF($E80="","",IF($M80,IF(AND($G80&gt;=CQ$5,$G80&lt;CQ$5+GanttPeriod),"◆",IF(AND($E80&gt;=CQ$5,$E80&lt;CQ$5+GanttPeriod),"◇","")),IF(AND(CQ$5&lt;=$F80,CQ$5+GanttPeriod-1&gt;=$E80),"━","")))</f>
        <v/>
      </c>
      <c r="CR80" s="69" t="str">
        <f aca="false">IF($E80="","",IF($M80,IF(AND($G80&gt;=CR$5,$G80&lt;CR$5+GanttPeriod),"◆",IF(AND($E80&gt;=CR$5,$E80&lt;CR$5+GanttPeriod),"◇","")),IF(AND(CR$5&lt;=$F80,CR$5+GanttPeriod-1&gt;=$E80),"━","")))</f>
        <v/>
      </c>
      <c r="CS80" s="69" t="str">
        <f aca="false">IF($E80="","",IF($M80,IF(AND($G80&gt;=CS$5,$G80&lt;CS$5+GanttPeriod),"◆",IF(AND($E80&gt;=CS$5,$E80&lt;CS$5+GanttPeriod),"◇","")),IF(AND(CS$5&lt;=$F80,CS$5+GanttPeriod-1&gt;=$E80),"━","")))</f>
        <v/>
      </c>
      <c r="CT80" s="69" t="str">
        <f aca="false">IF($E80="","",IF($M80,IF(AND($G80&gt;=CT$5,$G80&lt;CT$5+GanttPeriod),"◆",IF(AND($E80&gt;=CT$5,$E80&lt;CT$5+GanttPeriod),"◇","")),IF(AND(CT$5&lt;=$F80,CT$5+GanttPeriod-1&gt;=$E80),"━","")))</f>
        <v/>
      </c>
      <c r="CU80" s="69" t="str">
        <f aca="false">IF($E80="","",IF($M80,IF(AND($G80&gt;=CU$5,$G80&lt;CU$5+GanttPeriod),"◆",IF(AND($E80&gt;=CU$5,$E80&lt;CU$5+GanttPeriod),"◇","")),IF(AND(CU$5&lt;=$F80,CU$5+GanttPeriod-1&gt;=$E80),"━","")))</f>
        <v/>
      </c>
      <c r="CV80" s="69" t="str">
        <f aca="false">IF($E80="","",IF($M80,IF(AND($G80&gt;=CV$5,$G80&lt;CV$5+GanttPeriod),"◆",IF(AND($E80&gt;=CV$5,$E80&lt;CV$5+GanttPeriod),"◇","")),IF(AND(CV$5&lt;=$F80,CV$5+GanttPeriod-1&gt;=$E80),"━","")))</f>
        <v/>
      </c>
      <c r="CW80" s="69" t="str">
        <f aca="false">IF($E80="","",IF($M80,IF(AND($G80&gt;=CW$5,$G80&lt;CW$5+GanttPeriod),"◆",IF(AND($E80&gt;=CW$5,$E80&lt;CW$5+GanttPeriod),"◇","")),IF(AND(CW$5&lt;=$F80,CW$5+GanttPeriod-1&gt;=$E80),"━","")))</f>
        <v/>
      </c>
      <c r="CX80" s="69" t="str">
        <f aca="false">IF($E80="","",IF($M80,IF(AND($G80&gt;=CX$5,$G80&lt;CX$5+GanttPeriod),"◆",IF(AND($E80&gt;=CX$5,$E80&lt;CX$5+GanttPeriod),"◇","")),IF(AND(CX$5&lt;=$F80,CX$5+GanttPeriod-1&gt;=$E80),"━","")))</f>
        <v/>
      </c>
      <c r="CY80" s="69" t="str">
        <f aca="false">IF($E80="","",IF($M80,IF(AND($G80&gt;=CY$5,$G80&lt;CY$5+GanttPeriod),"◆",IF(AND($E80&gt;=CY$5,$E80&lt;CY$5+GanttPeriod),"◇","")),IF(AND(CY$5&lt;=$F80,CY$5+GanttPeriod-1&gt;=$E80),"━","")))</f>
        <v/>
      </c>
      <c r="CZ80" s="69" t="str">
        <f aca="false">IF($E80="","",IF($M80,IF(AND($G80&gt;=CZ$5,$G80&lt;CZ$5+GanttPeriod),"◆",IF(AND($E80&gt;=CZ$5,$E80&lt;CZ$5+GanttPeriod),"◇","")),IF(AND(CZ$5&lt;=$F80,CZ$5+GanttPeriod-1&gt;=$E80),"━","")))</f>
        <v/>
      </c>
      <c r="DA80" s="69" t="str">
        <f aca="false">IF($E80="","",IF($M80,IF(AND($G80&gt;=DA$5,$G80&lt;DA$5+GanttPeriod),"◆",IF(AND($E80&gt;=DA$5,$E80&lt;DA$5+GanttPeriod),"◇","")),IF(AND(DA$5&lt;=$F80,DA$5+GanttPeriod-1&gt;=$E80),"━","")))</f>
        <v/>
      </c>
      <c r="DB80" s="69" t="str">
        <f aca="false">IF($E80="","",IF($M80,IF(AND($G80&gt;=DB$5,$G80&lt;DB$5+GanttPeriod),"◆",IF(AND($E80&gt;=DB$5,$E80&lt;DB$5+GanttPeriod),"◇","")),IF(AND(DB$5&lt;=$F80,DB$5+GanttPeriod-1&gt;=$E80),"━","")))</f>
        <v/>
      </c>
      <c r="DC80" s="69" t="str">
        <f aca="false">IF($E80="","",IF($M80,IF(AND($G80&gt;=DC$5,$G80&lt;DC$5+GanttPeriod),"◆",IF(AND($E80&gt;=DC$5,$E80&lt;DC$5+GanttPeriod),"◇","")),IF(AND(DC$5&lt;=$F80,DC$5+GanttPeriod-1&gt;=$E80),"━","")))</f>
        <v/>
      </c>
      <c r="DD80" s="69" t="str">
        <f aca="false">IF($E80="","",IF($M80,IF(AND($G80&gt;=DD$5,$G80&lt;DD$5+GanttPeriod),"◆",IF(AND($E80&gt;=DD$5,$E80&lt;DD$5+GanttPeriod),"◇","")),IF(AND(DD$5&lt;=$F80,DD$5+GanttPeriod-1&gt;=$E80),"━","")))</f>
        <v/>
      </c>
      <c r="DE80" s="69" t="str">
        <f aca="false">IF($E80="","",IF($M80,IF(AND($G80&gt;=DE$5,$G80&lt;DE$5+GanttPeriod),"◆",IF(AND($E80&gt;=DE$5,$E80&lt;DE$5+GanttPeriod),"◇","")),IF(AND(DE$5&lt;=$F80,DE$5+GanttPeriod-1&gt;=$E80),"━","")))</f>
        <v/>
      </c>
      <c r="DF80" s="69" t="str">
        <f aca="false">IF($E80="","",IF($M80,IF(AND($G80&gt;=DF$5,$G80&lt;DF$5+GanttPeriod),"◆",IF(AND($E80&gt;=DF$5,$E80&lt;DF$5+GanttPeriod),"◇","")),IF(AND(DF$5&lt;=$F80,DF$5+GanttPeriod-1&gt;=$E80),"━","")))</f>
        <v/>
      </c>
      <c r="DG80" s="69" t="str">
        <f aca="false">IF($E80="","",IF($M80,IF(AND($G80&gt;=DG$5,$G80&lt;DG$5+GanttPeriod),"◆",IF(AND($E80&gt;=DG$5,$E80&lt;DG$5+GanttPeriod),"◇","")),IF(AND(DG$5&lt;=$F80,DG$5+GanttPeriod-1&gt;=$E80),"━","")))</f>
        <v/>
      </c>
      <c r="DH80" s="69" t="str">
        <f aca="false">IF($E80="","",IF($M80,IF(AND($G80&gt;=DH$5,$G80&lt;DH$5+GanttPeriod),"◆",IF(AND($E80&gt;=DH$5,$E80&lt;DH$5+GanttPeriod),"◇","")),IF(AND(DH$5&lt;=$F80,DH$5+GanttPeriod-1&gt;=$E80),"━","")))</f>
        <v/>
      </c>
      <c r="DI80" s="69" t="str">
        <f aca="false">IF($E80="","",IF($M80,IF(AND($G80&gt;=DI$5,$G80&lt;DI$5+GanttPeriod),"◆",IF(AND($E80&gt;=DI$5,$E80&lt;DI$5+GanttPeriod),"◇","")),IF(AND(DI$5&lt;=$F80,DI$5+GanttPeriod-1&gt;=$E80),"━","")))</f>
        <v/>
      </c>
      <c r="DJ80" s="69" t="str">
        <f aca="false">IF($E80="","",IF($M80,IF(AND($G80&gt;=DJ$5,$G80&lt;DJ$5+GanttPeriod),"◆",IF(AND($E80&gt;=DJ$5,$E80&lt;DJ$5+GanttPeriod),"◇","")),IF(AND(DJ$5&lt;=$F80,DJ$5+GanttPeriod-1&gt;=$E80),"━","")))</f>
        <v/>
      </c>
      <c r="DK80" s="69" t="str">
        <f aca="false">IF($E80="","",IF($M80,IF(AND($G80&gt;=DK$5,$G80&lt;DK$5+GanttPeriod),"◆",IF(AND($E80&gt;=DK$5,$E80&lt;DK$5+GanttPeriod),"◇","")),IF(AND(DK$5&lt;=$F80,DK$5+GanttPeriod-1&gt;=$E80),"━","")))</f>
        <v/>
      </c>
      <c r="DL80" s="69" t="str">
        <f aca="false">IF($E80="","",IF($M80,IF(AND($G80&gt;=DL$5,$G80&lt;DL$5+GanttPeriod),"◆",IF(AND($E80&gt;=DL$5,$E80&lt;DL$5+GanttPeriod),"◇","")),IF(AND(DL$5&lt;=$F80,DL$5+GanttPeriod-1&gt;=$E80),"━","")))</f>
        <v/>
      </c>
      <c r="DM80" s="69" t="str">
        <f aca="false">IF($E80="","",IF($M80,IF(AND($G80&gt;=DM$5,$G80&lt;DM$5+GanttPeriod),"◆",IF(AND($E80&gt;=DM$5,$E80&lt;DM$5+GanttPeriod),"◇","")),IF(AND(DM$5&lt;=$F80,DM$5+GanttPeriod-1&gt;=$E80),"━","")))</f>
        <v/>
      </c>
      <c r="DN80" s="69" t="str">
        <f aca="false">IF($E80="","",IF($M80,IF(AND($G80&gt;=DN$5,$G80&lt;DN$5+GanttPeriod),"◆",IF(AND($E80&gt;=DN$5,$E80&lt;DN$5+GanttPeriod),"◇","")),IF(AND(DN$5&lt;=$F80,DN$5+GanttPeriod-1&gt;=$E80),"━","")))</f>
        <v/>
      </c>
      <c r="DO80" s="69" t="str">
        <f aca="false">IF($E80="","",IF($M80,IF(AND($G80&gt;=DO$5,$G80&lt;DO$5+GanttPeriod),"◆",IF(AND($E80&gt;=DO$5,$E80&lt;DO$5+GanttPeriod),"◇","")),IF(AND(DO$5&lt;=$F80,DO$5+GanttPeriod-1&gt;=$E80),"━","")))</f>
        <v/>
      </c>
      <c r="DP80" s="69" t="str">
        <f aca="false">IF($E80="","",IF($M80,IF(AND($G80&gt;=DP$5,$G80&lt;DP$5+GanttPeriod),"◆",IF(AND($E80&gt;=DP$5,$E80&lt;DP$5+GanttPeriod),"◇","")),IF(AND(DP$5&lt;=$F80,DP$5+GanttPeriod-1&gt;=$E80),"━","")))</f>
        <v/>
      </c>
      <c r="DQ80" s="69" t="str">
        <f aca="false">IF($E80="","",IF($M80,IF(AND($G80&gt;=DQ$5,$G80&lt;DQ$5+GanttPeriod),"◆",IF(AND($E80&gt;=DQ$5,$E80&lt;DQ$5+GanttPeriod),"◇","")),IF(AND(DQ$5&lt;=$F80,DQ$5+GanttPeriod-1&gt;=$E80),"━","")))</f>
        <v/>
      </c>
      <c r="DR80" s="69" t="str">
        <f aca="false">IF($E80="","",IF($M80,IF(AND($G80&gt;=DR$5,$G80&lt;DR$5+GanttPeriod),"◆",IF(AND($E80&gt;=DR$5,$E80&lt;DR$5+GanttPeriod),"◇","")),IF(AND(DR$5&lt;=$F80,DR$5+GanttPeriod-1&gt;=$E80),"━","")))</f>
        <v/>
      </c>
      <c r="DS80" s="69" t="str">
        <f aca="false">IF($E80="","",IF($M80,IF(AND($G80&gt;=DS$5,$G80&lt;DS$5+GanttPeriod),"◆",IF(AND($E80&gt;=DS$5,$E80&lt;DS$5+GanttPeriod),"◇","")),IF(AND(DS$5&lt;=$F80,DS$5+GanttPeriod-1&gt;=$E80),"━","")))</f>
        <v/>
      </c>
      <c r="DT80" s="69" t="str">
        <f aca="false">IF($E80="","",IF($M80,IF(AND($G80&gt;=DT$5,$G80&lt;DT$5+GanttPeriod),"◆",IF(AND($E80&gt;=DT$5,$E80&lt;DT$5+GanttPeriod),"◇","")),IF(AND(DT$5&lt;=$F80,DT$5+GanttPeriod-1&gt;=$E80),"━","")))</f>
        <v/>
      </c>
      <c r="DU80" s="69" t="str">
        <f aca="false">IF($E80="","",IF($M80,IF(AND($G80&gt;=DU$5,$G80&lt;DU$5+GanttPeriod),"◆",IF(AND($E80&gt;=DU$5,$E80&lt;DU$5+GanttPeriod),"◇","")),IF(AND(DU$5&lt;=$F80,DU$5+GanttPeriod-1&gt;=$E80),"━","")))</f>
        <v/>
      </c>
      <c r="DV80" s="69" t="str">
        <f aca="false">IF($E80="","",IF($M80,IF(AND($G80&gt;=DV$5,$G80&lt;DV$5+GanttPeriod),"◆",IF(AND($E80&gt;=DV$5,$E80&lt;DV$5+GanttPeriod),"◇","")),IF(AND(DV$5&lt;=$F80,DV$5+GanttPeriod-1&gt;=$E80),"━","")))</f>
        <v/>
      </c>
      <c r="DW80" s="69" t="str">
        <f aca="false">IF($E80="","",IF($M80,IF(AND($G80&gt;=DW$5,$G80&lt;DW$5+GanttPeriod),"◆",IF(AND($E80&gt;=DW$5,$E80&lt;DW$5+GanttPeriod),"◇","")),IF(AND(DW$5&lt;=$F80,DW$5+GanttPeriod-1&gt;=$E80),"━","")))</f>
        <v/>
      </c>
      <c r="DX80" s="69" t="str">
        <f aca="false">IF($E80="","",IF($M80,IF(AND($G80&gt;=DX$5,$G80&lt;DX$5+GanttPeriod),"◆",IF(AND($E80&gt;=DX$5,$E80&lt;DX$5+GanttPeriod),"◇","")),IF(AND(DX$5&lt;=$F80,DX$5+GanttPeriod-1&gt;=$E80),"━","")))</f>
        <v/>
      </c>
      <c r="DY80" s="69" t="str">
        <f aca="false">IF($E80="","",IF($M80,IF(AND($G80&gt;=DY$5,$G80&lt;DY$5+GanttPeriod),"◆",IF(AND($E80&gt;=DY$5,$E80&lt;DY$5+GanttPeriod),"◇","")),IF(AND(DY$5&lt;=$F80,DY$5+GanttPeriod-1&gt;=$E80),"━","")))</f>
        <v/>
      </c>
      <c r="DZ80" s="69" t="str">
        <f aca="false">IF($E80="","",IF($M80,IF(AND($G80&gt;=DZ$5,$G80&lt;DZ$5+GanttPeriod),"◆",IF(AND($E80&gt;=DZ$5,$E80&lt;DZ$5+GanttPeriod),"◇","")),IF(AND(DZ$5&lt;=$F80,DZ$5+GanttPeriod-1&gt;=$E80),"━","")))</f>
        <v/>
      </c>
      <c r="EA80" s="69" t="str">
        <f aca="false">IF($E80="","",IF($M80,IF(AND($G80&gt;=EA$5,$G80&lt;EA$5+GanttPeriod),"◆",IF(AND($E80&gt;=EA$5,$E80&lt;EA$5+GanttPeriod),"◇","")),IF(AND(EA$5&lt;=$F80,EA$5+GanttPeriod-1&gt;=$E80),"━","")))</f>
        <v/>
      </c>
      <c r="EB80" s="69" t="str">
        <f aca="false">IF($E80="","",IF($M80,IF(AND($G80&gt;=EB$5,$G80&lt;EB$5+GanttPeriod),"◆",IF(AND($E80&gt;=EB$5,$E80&lt;EB$5+GanttPeriod),"◇","")),IF(AND(EB$5&lt;=$F80,EB$5+GanttPeriod-1&gt;=$E80),"━","")))</f>
        <v/>
      </c>
      <c r="EC80" s="69" t="str">
        <f aca="false">IF($E80="","",IF($M80,IF(AND($G80&gt;=EC$5,$G80&lt;EC$5+GanttPeriod),"◆",IF(AND($E80&gt;=EC$5,$E80&lt;EC$5+GanttPeriod),"◇","")),IF(AND(EC$5&lt;=$F80,EC$5+GanttPeriod-1&gt;=$E80),"━","")))</f>
        <v/>
      </c>
      <c r="ED80" s="69" t="str">
        <f aca="false">IF($E80="","",IF($M80,IF(AND($G80&gt;=ED$5,$G80&lt;ED$5+GanttPeriod),"◆",IF(AND($E80&gt;=ED$5,$E80&lt;ED$5+GanttPeriod),"◇","")),IF(AND(ED$5&lt;=$F80,ED$5+GanttPeriod-1&gt;=$E80),"━","")))</f>
        <v/>
      </c>
      <c r="EE80" s="69" t="str">
        <f aca="false">IF($E80="","",IF($M80,IF(AND($G80&gt;=EE$5,$G80&lt;EE$5+GanttPeriod),"◆",IF(AND($E80&gt;=EE$5,$E80&lt;EE$5+GanttPeriod),"◇","")),IF(AND(EE$5&lt;=$F80,EE$5+GanttPeriod-1&gt;=$E80),"━","")))</f>
        <v/>
      </c>
      <c r="EF80" s="69" t="str">
        <f aca="false">IF($E80="","",IF($M80,IF(AND($G80&gt;=EF$5,$G80&lt;EF$5+GanttPeriod),"◆",IF(AND($E80&gt;=EF$5,$E80&lt;EF$5+GanttPeriod),"◇","")),IF(AND(EF$5&lt;=$F80,EF$5+GanttPeriod-1&gt;=$E80),"━","")))</f>
        <v/>
      </c>
      <c r="EG80" s="69" t="str">
        <f aca="false">IF($E80="","",IF($M80,IF(AND($G80&gt;=EG$5,$G80&lt;EG$5+GanttPeriod),"◆",IF(AND($E80&gt;=EG$5,$E80&lt;EG$5+GanttPeriod),"◇","")),IF(AND(EG$5&lt;=$F80,EG$5+GanttPeriod-1&gt;=$E80),"━","")))</f>
        <v/>
      </c>
      <c r="EH80" s="69" t="str">
        <f aca="false">IF($E80="","",IF($M80,IF(AND($G80&gt;=EH$5,$G80&lt;EH$5+GanttPeriod),"◆",IF(AND($E80&gt;=EH$5,$E80&lt;EH$5+GanttPeriod),"◇","")),IF(AND(EH$5&lt;=$F80,EH$5+GanttPeriod-1&gt;=$E80),"━","")))</f>
        <v/>
      </c>
      <c r="EI80" s="69" t="str">
        <f aca="false">IF($E80="","",IF($M80,IF(AND($G80&gt;=EI$5,$G80&lt;EI$5+GanttPeriod),"◆",IF(AND($E80&gt;=EI$5,$E80&lt;EI$5+GanttPeriod),"◇","")),IF(AND(EI$5&lt;=$F80,EI$5+GanttPeriod-1&gt;=$E80),"━","")))</f>
        <v/>
      </c>
      <c r="EJ80" s="69" t="str">
        <f aca="false">IF($E80="","",IF($M80,IF(AND($G80&gt;=EJ$5,$G80&lt;EJ$5+GanttPeriod),"◆",IF(AND($E80&gt;=EJ$5,$E80&lt;EJ$5+GanttPeriod),"◇","")),IF(AND(EJ$5&lt;=$F80,EJ$5+GanttPeriod-1&gt;=$E80),"━","")))</f>
        <v/>
      </c>
      <c r="EK80" s="69" t="str">
        <f aca="false">IF($E80="","",IF($M80,IF(AND($G80&gt;=EK$5,$G80&lt;EK$5+GanttPeriod),"◆",IF(AND($E80&gt;=EK$5,$E80&lt;EK$5+GanttPeriod),"◇","")),IF(AND(EK$5&lt;=$F80,EK$5+GanttPeriod-1&gt;=$E80),"━","")))</f>
        <v/>
      </c>
      <c r="EL80" s="69" t="str">
        <f aca="false">IF($E80="","",IF($M80,IF(AND($G80&gt;=EL$5,$G80&lt;EL$5+GanttPeriod),"◆",IF(AND($E80&gt;=EL$5,$E80&lt;EL$5+GanttPeriod),"◇","")),IF(AND(EL$5&lt;=$F80,EL$5+GanttPeriod-1&gt;=$E80),"━","")))</f>
        <v/>
      </c>
      <c r="EM80" s="69" t="str">
        <f aca="false">IF($E80="","",IF($M80,IF(AND($G80&gt;=EM$5,$G80&lt;EM$5+GanttPeriod),"◆",IF(AND($E80&gt;=EM$5,$E80&lt;EM$5+GanttPeriod),"◇","")),IF(AND(EM$5&lt;=$F80,EM$5+GanttPeriod-1&gt;=$E80),"━","")))</f>
        <v/>
      </c>
      <c r="EN80" s="69" t="str">
        <f aca="false">IF($E80="","",IF($M80,IF(AND($G80&gt;=EN$5,$G80&lt;EN$5+GanttPeriod),"◆",IF(AND($E80&gt;=EN$5,$E80&lt;EN$5+GanttPeriod),"◇","")),IF(AND(EN$5&lt;=$F80,EN$5+GanttPeriod-1&gt;=$E80),"━","")))</f>
        <v/>
      </c>
      <c r="EO80" s="69" t="str">
        <f aca="false">IF($E80="","",IF($M80,IF(AND($G80&gt;=EO$5,$G80&lt;EO$5+GanttPeriod),"◆",IF(AND($E80&gt;=EO$5,$E80&lt;EO$5+GanttPeriod),"◇","")),IF(AND(EO$5&lt;=$F80,EO$5+GanttPeriod-1&gt;=$E80),"━","")))</f>
        <v/>
      </c>
      <c r="EP80" s="69" t="str">
        <f aca="false">IF($E80="","",IF($M80,IF(AND($G80&gt;=EP$5,$G80&lt;EP$5+GanttPeriod),"◆",IF(AND($E80&gt;=EP$5,$E80&lt;EP$5+GanttPeriod),"◇","")),IF(AND(EP$5&lt;=$F80,EP$5+GanttPeriod-1&gt;=$E80),"━","")))</f>
        <v/>
      </c>
      <c r="EQ80" s="69" t="str">
        <f aca="false">IF($E80="","",IF($M80,IF(AND($G80&gt;=EQ$5,$G80&lt;EQ$5+GanttPeriod),"◆",IF(AND($E80&gt;=EQ$5,$E80&lt;EQ$5+GanttPeriod),"◇","")),IF(AND(EQ$5&lt;=$F80,EQ$5+GanttPeriod-1&gt;=$E80),"━","")))</f>
        <v/>
      </c>
      <c r="ER80" s="69" t="str">
        <f aca="false">IF($E80="","",IF($M80,IF(AND($G80&gt;=ER$5,$G80&lt;ER$5+GanttPeriod),"◆",IF(AND($E80&gt;=ER$5,$E80&lt;ER$5+GanttPeriod),"◇","")),IF(AND(ER$5&lt;=$F80,ER$5+GanttPeriod-1&gt;=$E80),"━","")))</f>
        <v/>
      </c>
      <c r="ES80" s="69" t="str">
        <f aca="false">IF($E80="","",IF($M80,IF(AND($G80&gt;=ES$5,$G80&lt;ES$5+GanttPeriod),"◆",IF(AND($E80&gt;=ES$5,$E80&lt;ES$5+GanttPeriod),"◇","")),IF(AND(ES$5&lt;=$F80,ES$5+GanttPeriod-1&gt;=$E80),"━","")))</f>
        <v/>
      </c>
      <c r="ET80" s="69" t="str">
        <f aca="false">IF($E80="","",IF($M80,IF(AND($G80&gt;=ET$5,$G80&lt;ET$5+GanttPeriod),"◆",IF(AND($E80&gt;=ET$5,$E80&lt;ET$5+GanttPeriod),"◇","")),IF(AND(ET$5&lt;=$F80,ET$5+GanttPeriod-1&gt;=$E80),"━","")))</f>
        <v/>
      </c>
      <c r="EU80" s="69" t="str">
        <f aca="false">IF($E80="","",IF($M80,IF(AND($G80&gt;=EU$5,$G80&lt;EU$5+GanttPeriod),"◆",IF(AND($E80&gt;=EU$5,$E80&lt;EU$5+GanttPeriod),"◇","")),IF(AND(EU$5&lt;=$F80,EU$5+GanttPeriod-1&gt;=$E80),"━","")))</f>
        <v/>
      </c>
      <c r="EV80" s="69" t="str">
        <f aca="false">IF($E80="","",IF($M80,IF(AND($G80&gt;=EV$5,$G80&lt;EV$5+GanttPeriod),"◆",IF(AND($E80&gt;=EV$5,$E80&lt;EV$5+GanttPeriod),"◇","")),IF(AND(EV$5&lt;=$F80,EV$5+GanttPeriod-1&gt;=$E80),"━","")))</f>
        <v/>
      </c>
      <c r="EW80" s="69" t="str">
        <f aca="false">IF($E80="","",IF($M80,IF(AND($G80&gt;=EW$5,$G80&lt;EW$5+GanttPeriod),"◆",IF(AND($E80&gt;=EW$5,$E80&lt;EW$5+GanttPeriod),"◇","")),IF(AND(EW$5&lt;=$F80,EW$5+GanttPeriod-1&gt;=$E80),"━","")))</f>
        <v/>
      </c>
      <c r="EX80" s="69" t="str">
        <f aca="false">IF($E80="","",IF($M80,IF(AND($G80&gt;=EX$5,$G80&lt;EX$5+GanttPeriod),"◆",IF(AND($E80&gt;=EX$5,$E80&lt;EX$5+GanttPeriod),"◇","")),IF(AND(EX$5&lt;=$F80,EX$5+GanttPeriod-1&gt;=$E80),"━","")))</f>
        <v/>
      </c>
      <c r="EY80" s="69" t="str">
        <f aca="false">IF($E80="","",IF($M80,IF(AND($G80&gt;=EY$5,$G80&lt;EY$5+GanttPeriod),"◆",IF(AND($E80&gt;=EY$5,$E80&lt;EY$5+GanttPeriod),"◇","")),IF(AND(EY$5&lt;=$F80,EY$5+GanttPeriod-1&gt;=$E80),"━","")))</f>
        <v/>
      </c>
      <c r="EZ80" s="69" t="str">
        <f aca="false">IF($E80="","",IF($M80,IF(AND($G80&gt;=EZ$5,$G80&lt;EZ$5+GanttPeriod),"◆",IF(AND($E80&gt;=EZ$5,$E80&lt;EZ$5+GanttPeriod),"◇","")),IF(AND(EZ$5&lt;=$F80,EZ$5+GanttPeriod-1&gt;=$E80),"━","")))</f>
        <v/>
      </c>
      <c r="FA80" s="69" t="str">
        <f aca="false">IF($E80="","",IF($M80,IF(AND($G80&gt;=FA$5,$G80&lt;FA$5+GanttPeriod),"◆",IF(AND($E80&gt;=FA$5,$E80&lt;FA$5+GanttPeriod),"◇","")),IF(AND(FA$5&lt;=$F80,FA$5+GanttPeriod-1&gt;=$E80),"━","")))</f>
        <v/>
      </c>
      <c r="FB80" s="69" t="str">
        <f aca="false">IF($E80="","",IF($M80,IF(AND($G80&gt;=FB$5,$G80&lt;FB$5+GanttPeriod),"◆",IF(AND($E80&gt;=FB$5,$E80&lt;FB$5+GanttPeriod),"◇","")),IF(AND(FB$5&lt;=$F80,FB$5+GanttPeriod-1&gt;=$E80),"━","")))</f>
        <v/>
      </c>
      <c r="FC80" s="69" t="str">
        <f aca="false">IF($E80="","",IF($M80,IF(AND($G80&gt;=FC$5,$G80&lt;FC$5+GanttPeriod),"◆",IF(AND($E80&gt;=FC$5,$E80&lt;FC$5+GanttPeriod),"◇","")),IF(AND(FC$5&lt;=$F80,FC$5+GanttPeriod-1&gt;=$E80),"━","")))</f>
        <v/>
      </c>
      <c r="FD80" s="69" t="str">
        <f aca="false">IF($E80="","",IF($M80,IF(AND($G80&gt;=FD$5,$G80&lt;FD$5+GanttPeriod),"◆",IF(AND($E80&gt;=FD$5,$E80&lt;FD$5+GanttPeriod),"◇","")),IF(AND(FD$5&lt;=$F80,FD$5+GanttPeriod-1&gt;=$E80),"━","")))</f>
        <v/>
      </c>
      <c r="FE80" s="69" t="str">
        <f aca="false">IF($E80="","",IF($M80,IF(AND($G80&gt;=FE$5,$G80&lt;FE$5+GanttPeriod),"◆",IF(AND($E80&gt;=FE$5,$E80&lt;FE$5+GanttPeriod),"◇","")),IF(AND(FE$5&lt;=$F80,FE$5+GanttPeriod-1&gt;=$E80),"━","")))</f>
        <v/>
      </c>
      <c r="FF80" s="69" t="str">
        <f aca="false">IF($E80="","",IF($M80,IF(AND($G80&gt;=FF$5,$G80&lt;FF$5+GanttPeriod),"◆",IF(AND($E80&gt;=FF$5,$E80&lt;FF$5+GanttPeriod),"◇","")),IF(AND(FF$5&lt;=$F80,FF$5+GanttPeriod-1&gt;=$E80),"━","")))</f>
        <v/>
      </c>
      <c r="FG80" s="69" t="str">
        <f aca="false">IF($E80="","",IF($M80,IF(AND($G80&gt;=FG$5,$G80&lt;FG$5+GanttPeriod),"◆",IF(AND($E80&gt;=FG$5,$E80&lt;FG$5+GanttPeriod),"◇","")),IF(AND(FG$5&lt;=$F80,FG$5+GanttPeriod-1&gt;=$E80),"━","")))</f>
        <v/>
      </c>
      <c r="FH80" s="69" t="str">
        <f aca="false">IF($E80="","",IF($M80,IF(AND($G80&gt;=FH$5,$G80&lt;FH$5+GanttPeriod),"◆",IF(AND($E80&gt;=FH$5,$E80&lt;FH$5+GanttPeriod),"◇","")),IF(AND(FH$5&lt;=$F80,FH$5+GanttPeriod-1&gt;=$E80),"━","")))</f>
        <v/>
      </c>
      <c r="FI80" s="69" t="str">
        <f aca="false">IF($E80="","",IF($M80,IF(AND($G80&gt;=FI$5,$G80&lt;FI$5+GanttPeriod),"◆",IF(AND($E80&gt;=FI$5,$E80&lt;FI$5+GanttPeriod),"◇","")),IF(AND(FI$5&lt;=$F80,FI$5+GanttPeriod-1&gt;=$E80),"━","")))</f>
        <v/>
      </c>
      <c r="FJ80" s="69" t="str">
        <f aca="false">IF($E80="","",IF($M80,IF(AND($G80&gt;=FJ$5,$G80&lt;FJ$5+GanttPeriod),"◆",IF(AND($E80&gt;=FJ$5,$E80&lt;FJ$5+GanttPeriod),"◇","")),IF(AND(FJ$5&lt;=$F80,FJ$5+GanttPeriod-1&gt;=$E80),"━","")))</f>
        <v/>
      </c>
      <c r="FK80" s="69" t="str">
        <f aca="false">IF($E80="","",IF($M80,IF(AND($G80&gt;=FK$5,$G80&lt;FK$5+GanttPeriod),"◆",IF(AND($E80&gt;=FK$5,$E80&lt;FK$5+GanttPeriod),"◇","")),IF(AND(FK$5&lt;=$F80,FK$5+GanttPeriod-1&gt;=$E80),"━","")))</f>
        <v/>
      </c>
      <c r="FL80" s="69" t="str">
        <f aca="false">IF($E80="","",IF($M80,IF(AND($G80&gt;=FL$5,$G80&lt;FL$5+GanttPeriod),"◆",IF(AND($E80&gt;=FL$5,$E80&lt;FL$5+GanttPeriod),"◇","")),IF(AND(FL$5&lt;=$F80,FL$5+GanttPeriod-1&gt;=$E80),"━","")))</f>
        <v/>
      </c>
      <c r="FM80" s="69" t="str">
        <f aca="false">IF($E80="","",IF($M80,IF(AND($G80&gt;=FM$5,$G80&lt;FM$5+GanttPeriod),"◆",IF(AND($E80&gt;=FM$5,$E80&lt;FM$5+GanttPeriod),"◇","")),IF(AND(FM$5&lt;=$F80,FM$5+GanttPeriod-1&gt;=$E80),"━","")))</f>
        <v/>
      </c>
    </row>
    <row r="81" customFormat="false" ht="15" hidden="false" customHeight="false" outlineLevel="0" collapsed="false">
      <c r="A81" s="62" t="str">
        <f aca="false">IF(Tasks!$D81="","",Tasks!$A81)</f>
        <v/>
      </c>
      <c r="B81" s="62" t="str">
        <f aca="false">IF(Tasks!$D81="","",Tasks!$B81)</f>
        <v/>
      </c>
      <c r="C81" s="63" t="str">
        <f aca="false">IF(Tasks!$D81="","",REPT("    ",Tasks!$AE81-1)&amp;Tasks!$D81)</f>
        <v/>
      </c>
      <c r="D81" s="62" t="str">
        <f aca="false">IF(Tasks!$D81="","",IF(Tasks!$AI81,NETWORKDAYS.INTL(Tasks!$R81,Tasks!$S81,WorkWeek,Holidays),N(Tasks!$F81)))</f>
        <v/>
      </c>
      <c r="E81" s="64" t="str">
        <f aca="false">IF(Tasks!$D81="","",Tasks!$N81)</f>
        <v/>
      </c>
      <c r="F81" s="64" t="str">
        <f aca="false">IF(Tasks!$D81="","",Tasks!$O81)</f>
        <v/>
      </c>
      <c r="G81" s="64" t="str">
        <f aca="false">IF(Tasks!$D81="","",Tasks!$R81)</f>
        <v/>
      </c>
      <c r="H81" s="64" t="str">
        <f aca="false">IF(Tasks!$D81="","",Tasks!$S81)</f>
        <v/>
      </c>
      <c r="I81" s="65" t="str">
        <f aca="false">IF(Tasks!$D81="","",Tasks!$V81)</f>
        <v/>
      </c>
      <c r="J81" s="63" t="str">
        <f aca="false">IF(Tasks!$D81="","",Tasks!$X81&amp;"")</f>
        <v/>
      </c>
      <c r="K81" s="66" t="str">
        <f aca="false">IF(Tasks!$D81="","",Tasks!$W81)</f>
        <v/>
      </c>
      <c r="L81" s="67" t="b">
        <f aca="false">IF(Tasks!$D81="",FALSE(),Tasks!$AI81)</f>
        <v>0</v>
      </c>
      <c r="M81" s="67" t="b">
        <f aca="false">AND(Tasks!$AJ81=1,N(Tasks!$F81)=0)</f>
        <v>0</v>
      </c>
      <c r="N81" s="68" t="n">
        <f aca="false">IF(AND(Tasks!$AJ81=1,NOT($M81),N($I81)&gt;0),$G81,0)</f>
        <v>0</v>
      </c>
      <c r="O81" s="68" t="n">
        <f aca="false">IF($N81=0,0,IF($I81&gt;=1,$H81,MAX($N81,$G81+ROUND(($H81-$G81+1)*$I81,0)-1)))</f>
        <v>0</v>
      </c>
      <c r="P81" s="68" t="n">
        <f aca="false">IF(OR(Tasks!$AJ81&lt;&gt;1,$M81,N($I81)&gt;=1),0,IF($O81&gt;0,$O81+1,$G81))</f>
        <v>0</v>
      </c>
      <c r="Q81" s="68" t="n">
        <f aca="false">IF($P81=0,0,$H81)</f>
        <v>0</v>
      </c>
      <c r="R81" s="67" t="b">
        <f aca="false">AND(Tasks!$D81&lt;&gt;"",N(Tasks!$T81)&gt;0)</f>
        <v>0</v>
      </c>
      <c r="T81" s="69" t="str">
        <f aca="false">IF($E81="","",IF($M81,IF(AND($G81&gt;=T$5,$G81&lt;T$5+GanttPeriod),"◆",IF(AND($E81&gt;=T$5,$E81&lt;T$5+GanttPeriod),"◇","")),IF(AND(T$5&lt;=$F81,T$5+GanttPeriod-1&gt;=$E81),"━","")))</f>
        <v/>
      </c>
      <c r="U81" s="69" t="str">
        <f aca="false">IF($E81="","",IF($M81,IF(AND($G81&gt;=U$5,$G81&lt;U$5+GanttPeriod),"◆",IF(AND($E81&gt;=U$5,$E81&lt;U$5+GanttPeriod),"◇","")),IF(AND(U$5&lt;=$F81,U$5+GanttPeriod-1&gt;=$E81),"━","")))</f>
        <v/>
      </c>
      <c r="V81" s="69" t="str">
        <f aca="false">IF($E81="","",IF($M81,IF(AND($G81&gt;=V$5,$G81&lt;V$5+GanttPeriod),"◆",IF(AND($E81&gt;=V$5,$E81&lt;V$5+GanttPeriod),"◇","")),IF(AND(V$5&lt;=$F81,V$5+GanttPeriod-1&gt;=$E81),"━","")))</f>
        <v/>
      </c>
      <c r="W81" s="69" t="str">
        <f aca="false">IF($E81="","",IF($M81,IF(AND($G81&gt;=W$5,$G81&lt;W$5+GanttPeriod),"◆",IF(AND($E81&gt;=W$5,$E81&lt;W$5+GanttPeriod),"◇","")),IF(AND(W$5&lt;=$F81,W$5+GanttPeriod-1&gt;=$E81),"━","")))</f>
        <v/>
      </c>
      <c r="X81" s="69" t="str">
        <f aca="false">IF($E81="","",IF($M81,IF(AND($G81&gt;=X$5,$G81&lt;X$5+GanttPeriod),"◆",IF(AND($E81&gt;=X$5,$E81&lt;X$5+GanttPeriod),"◇","")),IF(AND(X$5&lt;=$F81,X$5+GanttPeriod-1&gt;=$E81),"━","")))</f>
        <v/>
      </c>
      <c r="Y81" s="69" t="str">
        <f aca="false">IF($E81="","",IF($M81,IF(AND($G81&gt;=Y$5,$G81&lt;Y$5+GanttPeriod),"◆",IF(AND($E81&gt;=Y$5,$E81&lt;Y$5+GanttPeriod),"◇","")),IF(AND(Y$5&lt;=$F81,Y$5+GanttPeriod-1&gt;=$E81),"━","")))</f>
        <v/>
      </c>
      <c r="Z81" s="69" t="str">
        <f aca="false">IF($E81="","",IF($M81,IF(AND($G81&gt;=Z$5,$G81&lt;Z$5+GanttPeriod),"◆",IF(AND($E81&gt;=Z$5,$E81&lt;Z$5+GanttPeriod),"◇","")),IF(AND(Z$5&lt;=$F81,Z$5+GanttPeriod-1&gt;=$E81),"━","")))</f>
        <v/>
      </c>
      <c r="AA81" s="69" t="str">
        <f aca="false">IF($E81="","",IF($M81,IF(AND($G81&gt;=AA$5,$G81&lt;AA$5+GanttPeriod),"◆",IF(AND($E81&gt;=AA$5,$E81&lt;AA$5+GanttPeriod),"◇","")),IF(AND(AA$5&lt;=$F81,AA$5+GanttPeriod-1&gt;=$E81),"━","")))</f>
        <v/>
      </c>
      <c r="AB81" s="69" t="str">
        <f aca="false">IF($E81="","",IF($M81,IF(AND($G81&gt;=AB$5,$G81&lt;AB$5+GanttPeriod),"◆",IF(AND($E81&gt;=AB$5,$E81&lt;AB$5+GanttPeriod),"◇","")),IF(AND(AB$5&lt;=$F81,AB$5+GanttPeriod-1&gt;=$E81),"━","")))</f>
        <v/>
      </c>
      <c r="AC81" s="69" t="str">
        <f aca="false">IF($E81="","",IF($M81,IF(AND($G81&gt;=AC$5,$G81&lt;AC$5+GanttPeriod),"◆",IF(AND($E81&gt;=AC$5,$E81&lt;AC$5+GanttPeriod),"◇","")),IF(AND(AC$5&lt;=$F81,AC$5+GanttPeriod-1&gt;=$E81),"━","")))</f>
        <v/>
      </c>
      <c r="AD81" s="69" t="str">
        <f aca="false">IF($E81="","",IF($M81,IF(AND($G81&gt;=AD$5,$G81&lt;AD$5+GanttPeriod),"◆",IF(AND($E81&gt;=AD$5,$E81&lt;AD$5+GanttPeriod),"◇","")),IF(AND(AD$5&lt;=$F81,AD$5+GanttPeriod-1&gt;=$E81),"━","")))</f>
        <v/>
      </c>
      <c r="AE81" s="69" t="str">
        <f aca="false">IF($E81="","",IF($M81,IF(AND($G81&gt;=AE$5,$G81&lt;AE$5+GanttPeriod),"◆",IF(AND($E81&gt;=AE$5,$E81&lt;AE$5+GanttPeriod),"◇","")),IF(AND(AE$5&lt;=$F81,AE$5+GanttPeriod-1&gt;=$E81),"━","")))</f>
        <v/>
      </c>
      <c r="AF81" s="69" t="str">
        <f aca="false">IF($E81="","",IF($M81,IF(AND($G81&gt;=AF$5,$G81&lt;AF$5+GanttPeriod),"◆",IF(AND($E81&gt;=AF$5,$E81&lt;AF$5+GanttPeriod),"◇","")),IF(AND(AF$5&lt;=$F81,AF$5+GanttPeriod-1&gt;=$E81),"━","")))</f>
        <v/>
      </c>
      <c r="AG81" s="69" t="str">
        <f aca="false">IF($E81="","",IF($M81,IF(AND($G81&gt;=AG$5,$G81&lt;AG$5+GanttPeriod),"◆",IF(AND($E81&gt;=AG$5,$E81&lt;AG$5+GanttPeriod),"◇","")),IF(AND(AG$5&lt;=$F81,AG$5+GanttPeriod-1&gt;=$E81),"━","")))</f>
        <v/>
      </c>
      <c r="AH81" s="69" t="str">
        <f aca="false">IF($E81="","",IF($M81,IF(AND($G81&gt;=AH$5,$G81&lt;AH$5+GanttPeriod),"◆",IF(AND($E81&gt;=AH$5,$E81&lt;AH$5+GanttPeriod),"◇","")),IF(AND(AH$5&lt;=$F81,AH$5+GanttPeriod-1&gt;=$E81),"━","")))</f>
        <v/>
      </c>
      <c r="AI81" s="69" t="str">
        <f aca="false">IF($E81="","",IF($M81,IF(AND($G81&gt;=AI$5,$G81&lt;AI$5+GanttPeriod),"◆",IF(AND($E81&gt;=AI$5,$E81&lt;AI$5+GanttPeriod),"◇","")),IF(AND(AI$5&lt;=$F81,AI$5+GanttPeriod-1&gt;=$E81),"━","")))</f>
        <v/>
      </c>
      <c r="AJ81" s="69" t="str">
        <f aca="false">IF($E81="","",IF($M81,IF(AND($G81&gt;=AJ$5,$G81&lt;AJ$5+GanttPeriod),"◆",IF(AND($E81&gt;=AJ$5,$E81&lt;AJ$5+GanttPeriod),"◇","")),IF(AND(AJ$5&lt;=$F81,AJ$5+GanttPeriod-1&gt;=$E81),"━","")))</f>
        <v/>
      </c>
      <c r="AK81" s="69" t="str">
        <f aca="false">IF($E81="","",IF($M81,IF(AND($G81&gt;=AK$5,$G81&lt;AK$5+GanttPeriod),"◆",IF(AND($E81&gt;=AK$5,$E81&lt;AK$5+GanttPeriod),"◇","")),IF(AND(AK$5&lt;=$F81,AK$5+GanttPeriod-1&gt;=$E81),"━","")))</f>
        <v/>
      </c>
      <c r="AL81" s="69" t="str">
        <f aca="false">IF($E81="","",IF($M81,IF(AND($G81&gt;=AL$5,$G81&lt;AL$5+GanttPeriod),"◆",IF(AND($E81&gt;=AL$5,$E81&lt;AL$5+GanttPeriod),"◇","")),IF(AND(AL$5&lt;=$F81,AL$5+GanttPeriod-1&gt;=$E81),"━","")))</f>
        <v/>
      </c>
      <c r="AM81" s="69" t="str">
        <f aca="false">IF($E81="","",IF($M81,IF(AND($G81&gt;=AM$5,$G81&lt;AM$5+GanttPeriod),"◆",IF(AND($E81&gt;=AM$5,$E81&lt;AM$5+GanttPeriod),"◇","")),IF(AND(AM$5&lt;=$F81,AM$5+GanttPeriod-1&gt;=$E81),"━","")))</f>
        <v/>
      </c>
      <c r="AN81" s="69" t="str">
        <f aca="false">IF($E81="","",IF($M81,IF(AND($G81&gt;=AN$5,$G81&lt;AN$5+GanttPeriod),"◆",IF(AND($E81&gt;=AN$5,$E81&lt;AN$5+GanttPeriod),"◇","")),IF(AND(AN$5&lt;=$F81,AN$5+GanttPeriod-1&gt;=$E81),"━","")))</f>
        <v/>
      </c>
      <c r="AO81" s="69" t="str">
        <f aca="false">IF($E81="","",IF($M81,IF(AND($G81&gt;=AO$5,$G81&lt;AO$5+GanttPeriod),"◆",IF(AND($E81&gt;=AO$5,$E81&lt;AO$5+GanttPeriod),"◇","")),IF(AND(AO$5&lt;=$F81,AO$5+GanttPeriod-1&gt;=$E81),"━","")))</f>
        <v/>
      </c>
      <c r="AP81" s="69" t="str">
        <f aca="false">IF($E81="","",IF($M81,IF(AND($G81&gt;=AP$5,$G81&lt;AP$5+GanttPeriod),"◆",IF(AND($E81&gt;=AP$5,$E81&lt;AP$5+GanttPeriod),"◇","")),IF(AND(AP$5&lt;=$F81,AP$5+GanttPeriod-1&gt;=$E81),"━","")))</f>
        <v/>
      </c>
      <c r="AQ81" s="69" t="str">
        <f aca="false">IF($E81="","",IF($M81,IF(AND($G81&gt;=AQ$5,$G81&lt;AQ$5+GanttPeriod),"◆",IF(AND($E81&gt;=AQ$5,$E81&lt;AQ$5+GanttPeriod),"◇","")),IF(AND(AQ$5&lt;=$F81,AQ$5+GanttPeriod-1&gt;=$E81),"━","")))</f>
        <v/>
      </c>
      <c r="AR81" s="69" t="str">
        <f aca="false">IF($E81="","",IF($M81,IF(AND($G81&gt;=AR$5,$G81&lt;AR$5+GanttPeriod),"◆",IF(AND($E81&gt;=AR$5,$E81&lt;AR$5+GanttPeriod),"◇","")),IF(AND(AR$5&lt;=$F81,AR$5+GanttPeriod-1&gt;=$E81),"━","")))</f>
        <v/>
      </c>
      <c r="AS81" s="69" t="str">
        <f aca="false">IF($E81="","",IF($M81,IF(AND($G81&gt;=AS$5,$G81&lt;AS$5+GanttPeriod),"◆",IF(AND($E81&gt;=AS$5,$E81&lt;AS$5+GanttPeriod),"◇","")),IF(AND(AS$5&lt;=$F81,AS$5+GanttPeriod-1&gt;=$E81),"━","")))</f>
        <v/>
      </c>
      <c r="AT81" s="69" t="str">
        <f aca="false">IF($E81="","",IF($M81,IF(AND($G81&gt;=AT$5,$G81&lt;AT$5+GanttPeriod),"◆",IF(AND($E81&gt;=AT$5,$E81&lt;AT$5+GanttPeriod),"◇","")),IF(AND(AT$5&lt;=$F81,AT$5+GanttPeriod-1&gt;=$E81),"━","")))</f>
        <v/>
      </c>
      <c r="AU81" s="69" t="str">
        <f aca="false">IF($E81="","",IF($M81,IF(AND($G81&gt;=AU$5,$G81&lt;AU$5+GanttPeriod),"◆",IF(AND($E81&gt;=AU$5,$E81&lt;AU$5+GanttPeriod),"◇","")),IF(AND(AU$5&lt;=$F81,AU$5+GanttPeriod-1&gt;=$E81),"━","")))</f>
        <v/>
      </c>
      <c r="AV81" s="69" t="str">
        <f aca="false">IF($E81="","",IF($M81,IF(AND($G81&gt;=AV$5,$G81&lt;AV$5+GanttPeriod),"◆",IF(AND($E81&gt;=AV$5,$E81&lt;AV$5+GanttPeriod),"◇","")),IF(AND(AV$5&lt;=$F81,AV$5+GanttPeriod-1&gt;=$E81),"━","")))</f>
        <v/>
      </c>
      <c r="AW81" s="69" t="str">
        <f aca="false">IF($E81="","",IF($M81,IF(AND($G81&gt;=AW$5,$G81&lt;AW$5+GanttPeriod),"◆",IF(AND($E81&gt;=AW$5,$E81&lt;AW$5+GanttPeriod),"◇","")),IF(AND(AW$5&lt;=$F81,AW$5+GanttPeriod-1&gt;=$E81),"━","")))</f>
        <v/>
      </c>
      <c r="AX81" s="69" t="str">
        <f aca="false">IF($E81="","",IF($M81,IF(AND($G81&gt;=AX$5,$G81&lt;AX$5+GanttPeriod),"◆",IF(AND($E81&gt;=AX$5,$E81&lt;AX$5+GanttPeriod),"◇","")),IF(AND(AX$5&lt;=$F81,AX$5+GanttPeriod-1&gt;=$E81),"━","")))</f>
        <v/>
      </c>
      <c r="AY81" s="69" t="str">
        <f aca="false">IF($E81="","",IF($M81,IF(AND($G81&gt;=AY$5,$G81&lt;AY$5+GanttPeriod),"◆",IF(AND($E81&gt;=AY$5,$E81&lt;AY$5+GanttPeriod),"◇","")),IF(AND(AY$5&lt;=$F81,AY$5+GanttPeriod-1&gt;=$E81),"━","")))</f>
        <v/>
      </c>
      <c r="AZ81" s="69" t="str">
        <f aca="false">IF($E81="","",IF($M81,IF(AND($G81&gt;=AZ$5,$G81&lt;AZ$5+GanttPeriod),"◆",IF(AND($E81&gt;=AZ$5,$E81&lt;AZ$5+GanttPeriod),"◇","")),IF(AND(AZ$5&lt;=$F81,AZ$5+GanttPeriod-1&gt;=$E81),"━","")))</f>
        <v/>
      </c>
      <c r="BA81" s="69" t="str">
        <f aca="false">IF($E81="","",IF($M81,IF(AND($G81&gt;=BA$5,$G81&lt;BA$5+GanttPeriod),"◆",IF(AND($E81&gt;=BA$5,$E81&lt;BA$5+GanttPeriod),"◇","")),IF(AND(BA$5&lt;=$F81,BA$5+GanttPeriod-1&gt;=$E81),"━","")))</f>
        <v/>
      </c>
      <c r="BB81" s="69" t="str">
        <f aca="false">IF($E81="","",IF($M81,IF(AND($G81&gt;=BB$5,$G81&lt;BB$5+GanttPeriod),"◆",IF(AND($E81&gt;=BB$5,$E81&lt;BB$5+GanttPeriod),"◇","")),IF(AND(BB$5&lt;=$F81,BB$5+GanttPeriod-1&gt;=$E81),"━","")))</f>
        <v/>
      </c>
      <c r="BC81" s="69" t="str">
        <f aca="false">IF($E81="","",IF($M81,IF(AND($G81&gt;=BC$5,$G81&lt;BC$5+GanttPeriod),"◆",IF(AND($E81&gt;=BC$5,$E81&lt;BC$5+GanttPeriod),"◇","")),IF(AND(BC$5&lt;=$F81,BC$5+GanttPeriod-1&gt;=$E81),"━","")))</f>
        <v/>
      </c>
      <c r="BD81" s="69" t="str">
        <f aca="false">IF($E81="","",IF($M81,IF(AND($G81&gt;=BD$5,$G81&lt;BD$5+GanttPeriod),"◆",IF(AND($E81&gt;=BD$5,$E81&lt;BD$5+GanttPeriod),"◇","")),IF(AND(BD$5&lt;=$F81,BD$5+GanttPeriod-1&gt;=$E81),"━","")))</f>
        <v/>
      </c>
      <c r="BE81" s="69" t="str">
        <f aca="false">IF($E81="","",IF($M81,IF(AND($G81&gt;=BE$5,$G81&lt;BE$5+GanttPeriod),"◆",IF(AND($E81&gt;=BE$5,$E81&lt;BE$5+GanttPeriod),"◇","")),IF(AND(BE$5&lt;=$F81,BE$5+GanttPeriod-1&gt;=$E81),"━","")))</f>
        <v/>
      </c>
      <c r="BF81" s="69" t="str">
        <f aca="false">IF($E81="","",IF($M81,IF(AND($G81&gt;=BF$5,$G81&lt;BF$5+GanttPeriod),"◆",IF(AND($E81&gt;=BF$5,$E81&lt;BF$5+GanttPeriod),"◇","")),IF(AND(BF$5&lt;=$F81,BF$5+GanttPeriod-1&gt;=$E81),"━","")))</f>
        <v/>
      </c>
      <c r="BG81" s="69" t="str">
        <f aca="false">IF($E81="","",IF($M81,IF(AND($G81&gt;=BG$5,$G81&lt;BG$5+GanttPeriod),"◆",IF(AND($E81&gt;=BG$5,$E81&lt;BG$5+GanttPeriod),"◇","")),IF(AND(BG$5&lt;=$F81,BG$5+GanttPeriod-1&gt;=$E81),"━","")))</f>
        <v/>
      </c>
      <c r="BH81" s="69" t="str">
        <f aca="false">IF($E81="","",IF($M81,IF(AND($G81&gt;=BH$5,$G81&lt;BH$5+GanttPeriod),"◆",IF(AND($E81&gt;=BH$5,$E81&lt;BH$5+GanttPeriod),"◇","")),IF(AND(BH$5&lt;=$F81,BH$5+GanttPeriod-1&gt;=$E81),"━","")))</f>
        <v/>
      </c>
      <c r="BI81" s="69" t="str">
        <f aca="false">IF($E81="","",IF($M81,IF(AND($G81&gt;=BI$5,$G81&lt;BI$5+GanttPeriod),"◆",IF(AND($E81&gt;=BI$5,$E81&lt;BI$5+GanttPeriod),"◇","")),IF(AND(BI$5&lt;=$F81,BI$5+GanttPeriod-1&gt;=$E81),"━","")))</f>
        <v/>
      </c>
      <c r="BJ81" s="69" t="str">
        <f aca="false">IF($E81="","",IF($M81,IF(AND($G81&gt;=BJ$5,$G81&lt;BJ$5+GanttPeriod),"◆",IF(AND($E81&gt;=BJ$5,$E81&lt;BJ$5+GanttPeriod),"◇","")),IF(AND(BJ$5&lt;=$F81,BJ$5+GanttPeriod-1&gt;=$E81),"━","")))</f>
        <v/>
      </c>
      <c r="BK81" s="69" t="str">
        <f aca="false">IF($E81="","",IF($M81,IF(AND($G81&gt;=BK$5,$G81&lt;BK$5+GanttPeriod),"◆",IF(AND($E81&gt;=BK$5,$E81&lt;BK$5+GanttPeriod),"◇","")),IF(AND(BK$5&lt;=$F81,BK$5+GanttPeriod-1&gt;=$E81),"━","")))</f>
        <v/>
      </c>
      <c r="BL81" s="69" t="str">
        <f aca="false">IF($E81="","",IF($M81,IF(AND($G81&gt;=BL$5,$G81&lt;BL$5+GanttPeriod),"◆",IF(AND($E81&gt;=BL$5,$E81&lt;BL$5+GanttPeriod),"◇","")),IF(AND(BL$5&lt;=$F81,BL$5+GanttPeriod-1&gt;=$E81),"━","")))</f>
        <v/>
      </c>
      <c r="BM81" s="69" t="str">
        <f aca="false">IF($E81="","",IF($M81,IF(AND($G81&gt;=BM$5,$G81&lt;BM$5+GanttPeriod),"◆",IF(AND($E81&gt;=BM$5,$E81&lt;BM$5+GanttPeriod),"◇","")),IF(AND(BM$5&lt;=$F81,BM$5+GanttPeriod-1&gt;=$E81),"━","")))</f>
        <v/>
      </c>
      <c r="BN81" s="69" t="str">
        <f aca="false">IF($E81="","",IF($M81,IF(AND($G81&gt;=BN$5,$G81&lt;BN$5+GanttPeriod),"◆",IF(AND($E81&gt;=BN$5,$E81&lt;BN$5+GanttPeriod),"◇","")),IF(AND(BN$5&lt;=$F81,BN$5+GanttPeriod-1&gt;=$E81),"━","")))</f>
        <v/>
      </c>
      <c r="BO81" s="69" t="str">
        <f aca="false">IF($E81="","",IF($M81,IF(AND($G81&gt;=BO$5,$G81&lt;BO$5+GanttPeriod),"◆",IF(AND($E81&gt;=BO$5,$E81&lt;BO$5+GanttPeriod),"◇","")),IF(AND(BO$5&lt;=$F81,BO$5+GanttPeriod-1&gt;=$E81),"━","")))</f>
        <v/>
      </c>
      <c r="BP81" s="69" t="str">
        <f aca="false">IF($E81="","",IF($M81,IF(AND($G81&gt;=BP$5,$G81&lt;BP$5+GanttPeriod),"◆",IF(AND($E81&gt;=BP$5,$E81&lt;BP$5+GanttPeriod),"◇","")),IF(AND(BP$5&lt;=$F81,BP$5+GanttPeriod-1&gt;=$E81),"━","")))</f>
        <v/>
      </c>
      <c r="BQ81" s="69" t="str">
        <f aca="false">IF($E81="","",IF($M81,IF(AND($G81&gt;=BQ$5,$G81&lt;BQ$5+GanttPeriod),"◆",IF(AND($E81&gt;=BQ$5,$E81&lt;BQ$5+GanttPeriod),"◇","")),IF(AND(BQ$5&lt;=$F81,BQ$5+GanttPeriod-1&gt;=$E81),"━","")))</f>
        <v/>
      </c>
      <c r="BR81" s="69" t="str">
        <f aca="false">IF($E81="","",IF($M81,IF(AND($G81&gt;=BR$5,$G81&lt;BR$5+GanttPeriod),"◆",IF(AND($E81&gt;=BR$5,$E81&lt;BR$5+GanttPeriod),"◇","")),IF(AND(BR$5&lt;=$F81,BR$5+GanttPeriod-1&gt;=$E81),"━","")))</f>
        <v/>
      </c>
      <c r="BS81" s="69" t="str">
        <f aca="false">IF($E81="","",IF($M81,IF(AND($G81&gt;=BS$5,$G81&lt;BS$5+GanttPeriod),"◆",IF(AND($E81&gt;=BS$5,$E81&lt;BS$5+GanttPeriod),"◇","")),IF(AND(BS$5&lt;=$F81,BS$5+GanttPeriod-1&gt;=$E81),"━","")))</f>
        <v/>
      </c>
      <c r="BT81" s="69" t="str">
        <f aca="false">IF($E81="","",IF($M81,IF(AND($G81&gt;=BT$5,$G81&lt;BT$5+GanttPeriod),"◆",IF(AND($E81&gt;=BT$5,$E81&lt;BT$5+GanttPeriod),"◇","")),IF(AND(BT$5&lt;=$F81,BT$5+GanttPeriod-1&gt;=$E81),"━","")))</f>
        <v/>
      </c>
      <c r="BU81" s="69" t="str">
        <f aca="false">IF($E81="","",IF($M81,IF(AND($G81&gt;=BU$5,$G81&lt;BU$5+GanttPeriod),"◆",IF(AND($E81&gt;=BU$5,$E81&lt;BU$5+GanttPeriod),"◇","")),IF(AND(BU$5&lt;=$F81,BU$5+GanttPeriod-1&gt;=$E81),"━","")))</f>
        <v/>
      </c>
      <c r="BV81" s="69" t="str">
        <f aca="false">IF($E81="","",IF($M81,IF(AND($G81&gt;=BV$5,$G81&lt;BV$5+GanttPeriod),"◆",IF(AND($E81&gt;=BV$5,$E81&lt;BV$5+GanttPeriod),"◇","")),IF(AND(BV$5&lt;=$F81,BV$5+GanttPeriod-1&gt;=$E81),"━","")))</f>
        <v/>
      </c>
      <c r="BW81" s="69" t="str">
        <f aca="false">IF($E81="","",IF($M81,IF(AND($G81&gt;=BW$5,$G81&lt;BW$5+GanttPeriod),"◆",IF(AND($E81&gt;=BW$5,$E81&lt;BW$5+GanttPeriod),"◇","")),IF(AND(BW$5&lt;=$F81,BW$5+GanttPeriod-1&gt;=$E81),"━","")))</f>
        <v/>
      </c>
      <c r="BX81" s="69" t="str">
        <f aca="false">IF($E81="","",IF($M81,IF(AND($G81&gt;=BX$5,$G81&lt;BX$5+GanttPeriod),"◆",IF(AND($E81&gt;=BX$5,$E81&lt;BX$5+GanttPeriod),"◇","")),IF(AND(BX$5&lt;=$F81,BX$5+GanttPeriod-1&gt;=$E81),"━","")))</f>
        <v/>
      </c>
      <c r="BY81" s="69" t="str">
        <f aca="false">IF($E81="","",IF($M81,IF(AND($G81&gt;=BY$5,$G81&lt;BY$5+GanttPeriod),"◆",IF(AND($E81&gt;=BY$5,$E81&lt;BY$5+GanttPeriod),"◇","")),IF(AND(BY$5&lt;=$F81,BY$5+GanttPeriod-1&gt;=$E81),"━","")))</f>
        <v/>
      </c>
      <c r="BZ81" s="69" t="str">
        <f aca="false">IF($E81="","",IF($M81,IF(AND($G81&gt;=BZ$5,$G81&lt;BZ$5+GanttPeriod),"◆",IF(AND($E81&gt;=BZ$5,$E81&lt;BZ$5+GanttPeriod),"◇","")),IF(AND(BZ$5&lt;=$F81,BZ$5+GanttPeriod-1&gt;=$E81),"━","")))</f>
        <v/>
      </c>
      <c r="CA81" s="69" t="str">
        <f aca="false">IF($E81="","",IF($M81,IF(AND($G81&gt;=CA$5,$G81&lt;CA$5+GanttPeriod),"◆",IF(AND($E81&gt;=CA$5,$E81&lt;CA$5+GanttPeriod),"◇","")),IF(AND(CA$5&lt;=$F81,CA$5+GanttPeriod-1&gt;=$E81),"━","")))</f>
        <v/>
      </c>
      <c r="CB81" s="69" t="str">
        <f aca="false">IF($E81="","",IF($M81,IF(AND($G81&gt;=CB$5,$G81&lt;CB$5+GanttPeriod),"◆",IF(AND($E81&gt;=CB$5,$E81&lt;CB$5+GanttPeriod),"◇","")),IF(AND(CB$5&lt;=$F81,CB$5+GanttPeriod-1&gt;=$E81),"━","")))</f>
        <v/>
      </c>
      <c r="CC81" s="69" t="str">
        <f aca="false">IF($E81="","",IF($M81,IF(AND($G81&gt;=CC$5,$G81&lt;CC$5+GanttPeriod),"◆",IF(AND($E81&gt;=CC$5,$E81&lt;CC$5+GanttPeriod),"◇","")),IF(AND(CC$5&lt;=$F81,CC$5+GanttPeriod-1&gt;=$E81),"━","")))</f>
        <v/>
      </c>
      <c r="CD81" s="69" t="str">
        <f aca="false">IF($E81="","",IF($M81,IF(AND($G81&gt;=CD$5,$G81&lt;CD$5+GanttPeriod),"◆",IF(AND($E81&gt;=CD$5,$E81&lt;CD$5+GanttPeriod),"◇","")),IF(AND(CD$5&lt;=$F81,CD$5+GanttPeriod-1&gt;=$E81),"━","")))</f>
        <v/>
      </c>
      <c r="CE81" s="69" t="str">
        <f aca="false">IF($E81="","",IF($M81,IF(AND($G81&gt;=CE$5,$G81&lt;CE$5+GanttPeriod),"◆",IF(AND($E81&gt;=CE$5,$E81&lt;CE$5+GanttPeriod),"◇","")),IF(AND(CE$5&lt;=$F81,CE$5+GanttPeriod-1&gt;=$E81),"━","")))</f>
        <v/>
      </c>
      <c r="CF81" s="69" t="str">
        <f aca="false">IF($E81="","",IF($M81,IF(AND($G81&gt;=CF$5,$G81&lt;CF$5+GanttPeriod),"◆",IF(AND($E81&gt;=CF$5,$E81&lt;CF$5+GanttPeriod),"◇","")),IF(AND(CF$5&lt;=$F81,CF$5+GanttPeriod-1&gt;=$E81),"━","")))</f>
        <v/>
      </c>
      <c r="CG81" s="69" t="str">
        <f aca="false">IF($E81="","",IF($M81,IF(AND($G81&gt;=CG$5,$G81&lt;CG$5+GanttPeriod),"◆",IF(AND($E81&gt;=CG$5,$E81&lt;CG$5+GanttPeriod),"◇","")),IF(AND(CG$5&lt;=$F81,CG$5+GanttPeriod-1&gt;=$E81),"━","")))</f>
        <v/>
      </c>
      <c r="CH81" s="69" t="str">
        <f aca="false">IF($E81="","",IF($M81,IF(AND($G81&gt;=CH$5,$G81&lt;CH$5+GanttPeriod),"◆",IF(AND($E81&gt;=CH$5,$E81&lt;CH$5+GanttPeriod),"◇","")),IF(AND(CH$5&lt;=$F81,CH$5+GanttPeriod-1&gt;=$E81),"━","")))</f>
        <v/>
      </c>
      <c r="CI81" s="69" t="str">
        <f aca="false">IF($E81="","",IF($M81,IF(AND($G81&gt;=CI$5,$G81&lt;CI$5+GanttPeriod),"◆",IF(AND($E81&gt;=CI$5,$E81&lt;CI$5+GanttPeriod),"◇","")),IF(AND(CI$5&lt;=$F81,CI$5+GanttPeriod-1&gt;=$E81),"━","")))</f>
        <v/>
      </c>
      <c r="CJ81" s="69" t="str">
        <f aca="false">IF($E81="","",IF($M81,IF(AND($G81&gt;=CJ$5,$G81&lt;CJ$5+GanttPeriod),"◆",IF(AND($E81&gt;=CJ$5,$E81&lt;CJ$5+GanttPeriod),"◇","")),IF(AND(CJ$5&lt;=$F81,CJ$5+GanttPeriod-1&gt;=$E81),"━","")))</f>
        <v/>
      </c>
      <c r="CK81" s="69" t="str">
        <f aca="false">IF($E81="","",IF($M81,IF(AND($G81&gt;=CK$5,$G81&lt;CK$5+GanttPeriod),"◆",IF(AND($E81&gt;=CK$5,$E81&lt;CK$5+GanttPeriod),"◇","")),IF(AND(CK$5&lt;=$F81,CK$5+GanttPeriod-1&gt;=$E81),"━","")))</f>
        <v/>
      </c>
      <c r="CL81" s="69" t="str">
        <f aca="false">IF($E81="","",IF($M81,IF(AND($G81&gt;=CL$5,$G81&lt;CL$5+GanttPeriod),"◆",IF(AND($E81&gt;=CL$5,$E81&lt;CL$5+GanttPeriod),"◇","")),IF(AND(CL$5&lt;=$F81,CL$5+GanttPeriod-1&gt;=$E81),"━","")))</f>
        <v/>
      </c>
      <c r="CM81" s="69" t="str">
        <f aca="false">IF($E81="","",IF($M81,IF(AND($G81&gt;=CM$5,$G81&lt;CM$5+GanttPeriod),"◆",IF(AND($E81&gt;=CM$5,$E81&lt;CM$5+GanttPeriod),"◇","")),IF(AND(CM$5&lt;=$F81,CM$5+GanttPeriod-1&gt;=$E81),"━","")))</f>
        <v/>
      </c>
      <c r="CN81" s="69" t="str">
        <f aca="false">IF($E81="","",IF($M81,IF(AND($G81&gt;=CN$5,$G81&lt;CN$5+GanttPeriod),"◆",IF(AND($E81&gt;=CN$5,$E81&lt;CN$5+GanttPeriod),"◇","")),IF(AND(CN$5&lt;=$F81,CN$5+GanttPeriod-1&gt;=$E81),"━","")))</f>
        <v/>
      </c>
      <c r="CO81" s="69" t="str">
        <f aca="false">IF($E81="","",IF($M81,IF(AND($G81&gt;=CO$5,$G81&lt;CO$5+GanttPeriod),"◆",IF(AND($E81&gt;=CO$5,$E81&lt;CO$5+GanttPeriod),"◇","")),IF(AND(CO$5&lt;=$F81,CO$5+GanttPeriod-1&gt;=$E81),"━","")))</f>
        <v/>
      </c>
      <c r="CP81" s="69" t="str">
        <f aca="false">IF($E81="","",IF($M81,IF(AND($G81&gt;=CP$5,$G81&lt;CP$5+GanttPeriod),"◆",IF(AND($E81&gt;=CP$5,$E81&lt;CP$5+GanttPeriod),"◇","")),IF(AND(CP$5&lt;=$F81,CP$5+GanttPeriod-1&gt;=$E81),"━","")))</f>
        <v/>
      </c>
      <c r="CQ81" s="69" t="str">
        <f aca="false">IF($E81="","",IF($M81,IF(AND($G81&gt;=CQ$5,$G81&lt;CQ$5+GanttPeriod),"◆",IF(AND($E81&gt;=CQ$5,$E81&lt;CQ$5+GanttPeriod),"◇","")),IF(AND(CQ$5&lt;=$F81,CQ$5+GanttPeriod-1&gt;=$E81),"━","")))</f>
        <v/>
      </c>
      <c r="CR81" s="69" t="str">
        <f aca="false">IF($E81="","",IF($M81,IF(AND($G81&gt;=CR$5,$G81&lt;CR$5+GanttPeriod),"◆",IF(AND($E81&gt;=CR$5,$E81&lt;CR$5+GanttPeriod),"◇","")),IF(AND(CR$5&lt;=$F81,CR$5+GanttPeriod-1&gt;=$E81),"━","")))</f>
        <v/>
      </c>
      <c r="CS81" s="69" t="str">
        <f aca="false">IF($E81="","",IF($M81,IF(AND($G81&gt;=CS$5,$G81&lt;CS$5+GanttPeriod),"◆",IF(AND($E81&gt;=CS$5,$E81&lt;CS$5+GanttPeriod),"◇","")),IF(AND(CS$5&lt;=$F81,CS$5+GanttPeriod-1&gt;=$E81),"━","")))</f>
        <v/>
      </c>
      <c r="CT81" s="69" t="str">
        <f aca="false">IF($E81="","",IF($M81,IF(AND($G81&gt;=CT$5,$G81&lt;CT$5+GanttPeriod),"◆",IF(AND($E81&gt;=CT$5,$E81&lt;CT$5+GanttPeriod),"◇","")),IF(AND(CT$5&lt;=$F81,CT$5+GanttPeriod-1&gt;=$E81),"━","")))</f>
        <v/>
      </c>
      <c r="CU81" s="69" t="str">
        <f aca="false">IF($E81="","",IF($M81,IF(AND($G81&gt;=CU$5,$G81&lt;CU$5+GanttPeriod),"◆",IF(AND($E81&gt;=CU$5,$E81&lt;CU$5+GanttPeriod),"◇","")),IF(AND(CU$5&lt;=$F81,CU$5+GanttPeriod-1&gt;=$E81),"━","")))</f>
        <v/>
      </c>
      <c r="CV81" s="69" t="str">
        <f aca="false">IF($E81="","",IF($M81,IF(AND($G81&gt;=CV$5,$G81&lt;CV$5+GanttPeriod),"◆",IF(AND($E81&gt;=CV$5,$E81&lt;CV$5+GanttPeriod),"◇","")),IF(AND(CV$5&lt;=$F81,CV$5+GanttPeriod-1&gt;=$E81),"━","")))</f>
        <v/>
      </c>
      <c r="CW81" s="69" t="str">
        <f aca="false">IF($E81="","",IF($M81,IF(AND($G81&gt;=CW$5,$G81&lt;CW$5+GanttPeriod),"◆",IF(AND($E81&gt;=CW$5,$E81&lt;CW$5+GanttPeriod),"◇","")),IF(AND(CW$5&lt;=$F81,CW$5+GanttPeriod-1&gt;=$E81),"━","")))</f>
        <v/>
      </c>
      <c r="CX81" s="69" t="str">
        <f aca="false">IF($E81="","",IF($M81,IF(AND($G81&gt;=CX$5,$G81&lt;CX$5+GanttPeriod),"◆",IF(AND($E81&gt;=CX$5,$E81&lt;CX$5+GanttPeriod),"◇","")),IF(AND(CX$5&lt;=$F81,CX$5+GanttPeriod-1&gt;=$E81),"━","")))</f>
        <v/>
      </c>
      <c r="CY81" s="69" t="str">
        <f aca="false">IF($E81="","",IF($M81,IF(AND($G81&gt;=CY$5,$G81&lt;CY$5+GanttPeriod),"◆",IF(AND($E81&gt;=CY$5,$E81&lt;CY$5+GanttPeriod),"◇","")),IF(AND(CY$5&lt;=$F81,CY$5+GanttPeriod-1&gt;=$E81),"━","")))</f>
        <v/>
      </c>
      <c r="CZ81" s="69" t="str">
        <f aca="false">IF($E81="","",IF($M81,IF(AND($G81&gt;=CZ$5,$G81&lt;CZ$5+GanttPeriod),"◆",IF(AND($E81&gt;=CZ$5,$E81&lt;CZ$5+GanttPeriod),"◇","")),IF(AND(CZ$5&lt;=$F81,CZ$5+GanttPeriod-1&gt;=$E81),"━","")))</f>
        <v/>
      </c>
      <c r="DA81" s="69" t="str">
        <f aca="false">IF($E81="","",IF($M81,IF(AND($G81&gt;=DA$5,$G81&lt;DA$5+GanttPeriod),"◆",IF(AND($E81&gt;=DA$5,$E81&lt;DA$5+GanttPeriod),"◇","")),IF(AND(DA$5&lt;=$F81,DA$5+GanttPeriod-1&gt;=$E81),"━","")))</f>
        <v/>
      </c>
      <c r="DB81" s="69" t="str">
        <f aca="false">IF($E81="","",IF($M81,IF(AND($G81&gt;=DB$5,$G81&lt;DB$5+GanttPeriod),"◆",IF(AND($E81&gt;=DB$5,$E81&lt;DB$5+GanttPeriod),"◇","")),IF(AND(DB$5&lt;=$F81,DB$5+GanttPeriod-1&gt;=$E81),"━","")))</f>
        <v/>
      </c>
      <c r="DC81" s="69" t="str">
        <f aca="false">IF($E81="","",IF($M81,IF(AND($G81&gt;=DC$5,$G81&lt;DC$5+GanttPeriod),"◆",IF(AND($E81&gt;=DC$5,$E81&lt;DC$5+GanttPeriod),"◇","")),IF(AND(DC$5&lt;=$F81,DC$5+GanttPeriod-1&gt;=$E81),"━","")))</f>
        <v/>
      </c>
      <c r="DD81" s="69" t="str">
        <f aca="false">IF($E81="","",IF($M81,IF(AND($G81&gt;=DD$5,$G81&lt;DD$5+GanttPeriod),"◆",IF(AND($E81&gt;=DD$5,$E81&lt;DD$5+GanttPeriod),"◇","")),IF(AND(DD$5&lt;=$F81,DD$5+GanttPeriod-1&gt;=$E81),"━","")))</f>
        <v/>
      </c>
      <c r="DE81" s="69" t="str">
        <f aca="false">IF($E81="","",IF($M81,IF(AND($G81&gt;=DE$5,$G81&lt;DE$5+GanttPeriod),"◆",IF(AND($E81&gt;=DE$5,$E81&lt;DE$5+GanttPeriod),"◇","")),IF(AND(DE$5&lt;=$F81,DE$5+GanttPeriod-1&gt;=$E81),"━","")))</f>
        <v/>
      </c>
      <c r="DF81" s="69" t="str">
        <f aca="false">IF($E81="","",IF($M81,IF(AND($G81&gt;=DF$5,$G81&lt;DF$5+GanttPeriod),"◆",IF(AND($E81&gt;=DF$5,$E81&lt;DF$5+GanttPeriod),"◇","")),IF(AND(DF$5&lt;=$F81,DF$5+GanttPeriod-1&gt;=$E81),"━","")))</f>
        <v/>
      </c>
      <c r="DG81" s="69" t="str">
        <f aca="false">IF($E81="","",IF($M81,IF(AND($G81&gt;=DG$5,$G81&lt;DG$5+GanttPeriod),"◆",IF(AND($E81&gt;=DG$5,$E81&lt;DG$5+GanttPeriod),"◇","")),IF(AND(DG$5&lt;=$F81,DG$5+GanttPeriod-1&gt;=$E81),"━","")))</f>
        <v/>
      </c>
      <c r="DH81" s="69" t="str">
        <f aca="false">IF($E81="","",IF($M81,IF(AND($G81&gt;=DH$5,$G81&lt;DH$5+GanttPeriod),"◆",IF(AND($E81&gt;=DH$5,$E81&lt;DH$5+GanttPeriod),"◇","")),IF(AND(DH$5&lt;=$F81,DH$5+GanttPeriod-1&gt;=$E81),"━","")))</f>
        <v/>
      </c>
      <c r="DI81" s="69" t="str">
        <f aca="false">IF($E81="","",IF($M81,IF(AND($G81&gt;=DI$5,$G81&lt;DI$5+GanttPeriod),"◆",IF(AND($E81&gt;=DI$5,$E81&lt;DI$5+GanttPeriod),"◇","")),IF(AND(DI$5&lt;=$F81,DI$5+GanttPeriod-1&gt;=$E81),"━","")))</f>
        <v/>
      </c>
      <c r="DJ81" s="69" t="str">
        <f aca="false">IF($E81="","",IF($M81,IF(AND($G81&gt;=DJ$5,$G81&lt;DJ$5+GanttPeriod),"◆",IF(AND($E81&gt;=DJ$5,$E81&lt;DJ$5+GanttPeriod),"◇","")),IF(AND(DJ$5&lt;=$F81,DJ$5+GanttPeriod-1&gt;=$E81),"━","")))</f>
        <v/>
      </c>
      <c r="DK81" s="69" t="str">
        <f aca="false">IF($E81="","",IF($M81,IF(AND($G81&gt;=DK$5,$G81&lt;DK$5+GanttPeriod),"◆",IF(AND($E81&gt;=DK$5,$E81&lt;DK$5+GanttPeriod),"◇","")),IF(AND(DK$5&lt;=$F81,DK$5+GanttPeriod-1&gt;=$E81),"━","")))</f>
        <v/>
      </c>
      <c r="DL81" s="69" t="str">
        <f aca="false">IF($E81="","",IF($M81,IF(AND($G81&gt;=DL$5,$G81&lt;DL$5+GanttPeriod),"◆",IF(AND($E81&gt;=DL$5,$E81&lt;DL$5+GanttPeriod),"◇","")),IF(AND(DL$5&lt;=$F81,DL$5+GanttPeriod-1&gt;=$E81),"━","")))</f>
        <v/>
      </c>
      <c r="DM81" s="69" t="str">
        <f aca="false">IF($E81="","",IF($M81,IF(AND($G81&gt;=DM$5,$G81&lt;DM$5+GanttPeriod),"◆",IF(AND($E81&gt;=DM$5,$E81&lt;DM$5+GanttPeriod),"◇","")),IF(AND(DM$5&lt;=$F81,DM$5+GanttPeriod-1&gt;=$E81),"━","")))</f>
        <v/>
      </c>
      <c r="DN81" s="69" t="str">
        <f aca="false">IF($E81="","",IF($M81,IF(AND($G81&gt;=DN$5,$G81&lt;DN$5+GanttPeriod),"◆",IF(AND($E81&gt;=DN$5,$E81&lt;DN$5+GanttPeriod),"◇","")),IF(AND(DN$5&lt;=$F81,DN$5+GanttPeriod-1&gt;=$E81),"━","")))</f>
        <v/>
      </c>
      <c r="DO81" s="69" t="str">
        <f aca="false">IF($E81="","",IF($M81,IF(AND($G81&gt;=DO$5,$G81&lt;DO$5+GanttPeriod),"◆",IF(AND($E81&gt;=DO$5,$E81&lt;DO$5+GanttPeriod),"◇","")),IF(AND(DO$5&lt;=$F81,DO$5+GanttPeriod-1&gt;=$E81),"━","")))</f>
        <v/>
      </c>
      <c r="DP81" s="69" t="str">
        <f aca="false">IF($E81="","",IF($M81,IF(AND($G81&gt;=DP$5,$G81&lt;DP$5+GanttPeriod),"◆",IF(AND($E81&gt;=DP$5,$E81&lt;DP$5+GanttPeriod),"◇","")),IF(AND(DP$5&lt;=$F81,DP$5+GanttPeriod-1&gt;=$E81),"━","")))</f>
        <v/>
      </c>
      <c r="DQ81" s="69" t="str">
        <f aca="false">IF($E81="","",IF($M81,IF(AND($G81&gt;=DQ$5,$G81&lt;DQ$5+GanttPeriod),"◆",IF(AND($E81&gt;=DQ$5,$E81&lt;DQ$5+GanttPeriod),"◇","")),IF(AND(DQ$5&lt;=$F81,DQ$5+GanttPeriod-1&gt;=$E81),"━","")))</f>
        <v/>
      </c>
      <c r="DR81" s="69" t="str">
        <f aca="false">IF($E81="","",IF($M81,IF(AND($G81&gt;=DR$5,$G81&lt;DR$5+GanttPeriod),"◆",IF(AND($E81&gt;=DR$5,$E81&lt;DR$5+GanttPeriod),"◇","")),IF(AND(DR$5&lt;=$F81,DR$5+GanttPeriod-1&gt;=$E81),"━","")))</f>
        <v/>
      </c>
      <c r="DS81" s="69" t="str">
        <f aca="false">IF($E81="","",IF($M81,IF(AND($G81&gt;=DS$5,$G81&lt;DS$5+GanttPeriod),"◆",IF(AND($E81&gt;=DS$5,$E81&lt;DS$5+GanttPeriod),"◇","")),IF(AND(DS$5&lt;=$F81,DS$5+GanttPeriod-1&gt;=$E81),"━","")))</f>
        <v/>
      </c>
      <c r="DT81" s="69" t="str">
        <f aca="false">IF($E81="","",IF($M81,IF(AND($G81&gt;=DT$5,$G81&lt;DT$5+GanttPeriod),"◆",IF(AND($E81&gt;=DT$5,$E81&lt;DT$5+GanttPeriod),"◇","")),IF(AND(DT$5&lt;=$F81,DT$5+GanttPeriod-1&gt;=$E81),"━","")))</f>
        <v/>
      </c>
      <c r="DU81" s="69" t="str">
        <f aca="false">IF($E81="","",IF($M81,IF(AND($G81&gt;=DU$5,$G81&lt;DU$5+GanttPeriod),"◆",IF(AND($E81&gt;=DU$5,$E81&lt;DU$5+GanttPeriod),"◇","")),IF(AND(DU$5&lt;=$F81,DU$5+GanttPeriod-1&gt;=$E81),"━","")))</f>
        <v/>
      </c>
      <c r="DV81" s="69" t="str">
        <f aca="false">IF($E81="","",IF($M81,IF(AND($G81&gt;=DV$5,$G81&lt;DV$5+GanttPeriod),"◆",IF(AND($E81&gt;=DV$5,$E81&lt;DV$5+GanttPeriod),"◇","")),IF(AND(DV$5&lt;=$F81,DV$5+GanttPeriod-1&gt;=$E81),"━","")))</f>
        <v/>
      </c>
      <c r="DW81" s="69" t="str">
        <f aca="false">IF($E81="","",IF($M81,IF(AND($G81&gt;=DW$5,$G81&lt;DW$5+GanttPeriod),"◆",IF(AND($E81&gt;=DW$5,$E81&lt;DW$5+GanttPeriod),"◇","")),IF(AND(DW$5&lt;=$F81,DW$5+GanttPeriod-1&gt;=$E81),"━","")))</f>
        <v/>
      </c>
      <c r="DX81" s="69" t="str">
        <f aca="false">IF($E81="","",IF($M81,IF(AND($G81&gt;=DX$5,$G81&lt;DX$5+GanttPeriod),"◆",IF(AND($E81&gt;=DX$5,$E81&lt;DX$5+GanttPeriod),"◇","")),IF(AND(DX$5&lt;=$F81,DX$5+GanttPeriod-1&gt;=$E81),"━","")))</f>
        <v/>
      </c>
      <c r="DY81" s="69" t="str">
        <f aca="false">IF($E81="","",IF($M81,IF(AND($G81&gt;=DY$5,$G81&lt;DY$5+GanttPeriod),"◆",IF(AND($E81&gt;=DY$5,$E81&lt;DY$5+GanttPeriod),"◇","")),IF(AND(DY$5&lt;=$F81,DY$5+GanttPeriod-1&gt;=$E81),"━","")))</f>
        <v/>
      </c>
      <c r="DZ81" s="69" t="str">
        <f aca="false">IF($E81="","",IF($M81,IF(AND($G81&gt;=DZ$5,$G81&lt;DZ$5+GanttPeriod),"◆",IF(AND($E81&gt;=DZ$5,$E81&lt;DZ$5+GanttPeriod),"◇","")),IF(AND(DZ$5&lt;=$F81,DZ$5+GanttPeriod-1&gt;=$E81),"━","")))</f>
        <v/>
      </c>
      <c r="EA81" s="69" t="str">
        <f aca="false">IF($E81="","",IF($M81,IF(AND($G81&gt;=EA$5,$G81&lt;EA$5+GanttPeriod),"◆",IF(AND($E81&gt;=EA$5,$E81&lt;EA$5+GanttPeriod),"◇","")),IF(AND(EA$5&lt;=$F81,EA$5+GanttPeriod-1&gt;=$E81),"━","")))</f>
        <v/>
      </c>
      <c r="EB81" s="69" t="str">
        <f aca="false">IF($E81="","",IF($M81,IF(AND($G81&gt;=EB$5,$G81&lt;EB$5+GanttPeriod),"◆",IF(AND($E81&gt;=EB$5,$E81&lt;EB$5+GanttPeriod),"◇","")),IF(AND(EB$5&lt;=$F81,EB$5+GanttPeriod-1&gt;=$E81),"━","")))</f>
        <v/>
      </c>
      <c r="EC81" s="69" t="str">
        <f aca="false">IF($E81="","",IF($M81,IF(AND($G81&gt;=EC$5,$G81&lt;EC$5+GanttPeriod),"◆",IF(AND($E81&gt;=EC$5,$E81&lt;EC$5+GanttPeriod),"◇","")),IF(AND(EC$5&lt;=$F81,EC$5+GanttPeriod-1&gt;=$E81),"━","")))</f>
        <v/>
      </c>
      <c r="ED81" s="69" t="str">
        <f aca="false">IF($E81="","",IF($M81,IF(AND($G81&gt;=ED$5,$G81&lt;ED$5+GanttPeriod),"◆",IF(AND($E81&gt;=ED$5,$E81&lt;ED$5+GanttPeriod),"◇","")),IF(AND(ED$5&lt;=$F81,ED$5+GanttPeriod-1&gt;=$E81),"━","")))</f>
        <v/>
      </c>
      <c r="EE81" s="69" t="str">
        <f aca="false">IF($E81="","",IF($M81,IF(AND($G81&gt;=EE$5,$G81&lt;EE$5+GanttPeriod),"◆",IF(AND($E81&gt;=EE$5,$E81&lt;EE$5+GanttPeriod),"◇","")),IF(AND(EE$5&lt;=$F81,EE$5+GanttPeriod-1&gt;=$E81),"━","")))</f>
        <v/>
      </c>
      <c r="EF81" s="69" t="str">
        <f aca="false">IF($E81="","",IF($M81,IF(AND($G81&gt;=EF$5,$G81&lt;EF$5+GanttPeriod),"◆",IF(AND($E81&gt;=EF$5,$E81&lt;EF$5+GanttPeriod),"◇","")),IF(AND(EF$5&lt;=$F81,EF$5+GanttPeriod-1&gt;=$E81),"━","")))</f>
        <v/>
      </c>
      <c r="EG81" s="69" t="str">
        <f aca="false">IF($E81="","",IF($M81,IF(AND($G81&gt;=EG$5,$G81&lt;EG$5+GanttPeriod),"◆",IF(AND($E81&gt;=EG$5,$E81&lt;EG$5+GanttPeriod),"◇","")),IF(AND(EG$5&lt;=$F81,EG$5+GanttPeriod-1&gt;=$E81),"━","")))</f>
        <v/>
      </c>
      <c r="EH81" s="69" t="str">
        <f aca="false">IF($E81="","",IF($M81,IF(AND($G81&gt;=EH$5,$G81&lt;EH$5+GanttPeriod),"◆",IF(AND($E81&gt;=EH$5,$E81&lt;EH$5+GanttPeriod),"◇","")),IF(AND(EH$5&lt;=$F81,EH$5+GanttPeriod-1&gt;=$E81),"━","")))</f>
        <v/>
      </c>
      <c r="EI81" s="69" t="str">
        <f aca="false">IF($E81="","",IF($M81,IF(AND($G81&gt;=EI$5,$G81&lt;EI$5+GanttPeriod),"◆",IF(AND($E81&gt;=EI$5,$E81&lt;EI$5+GanttPeriod),"◇","")),IF(AND(EI$5&lt;=$F81,EI$5+GanttPeriod-1&gt;=$E81),"━","")))</f>
        <v/>
      </c>
      <c r="EJ81" s="69" t="str">
        <f aca="false">IF($E81="","",IF($M81,IF(AND($G81&gt;=EJ$5,$G81&lt;EJ$5+GanttPeriod),"◆",IF(AND($E81&gt;=EJ$5,$E81&lt;EJ$5+GanttPeriod),"◇","")),IF(AND(EJ$5&lt;=$F81,EJ$5+GanttPeriod-1&gt;=$E81),"━","")))</f>
        <v/>
      </c>
      <c r="EK81" s="69" t="str">
        <f aca="false">IF($E81="","",IF($M81,IF(AND($G81&gt;=EK$5,$G81&lt;EK$5+GanttPeriod),"◆",IF(AND($E81&gt;=EK$5,$E81&lt;EK$5+GanttPeriod),"◇","")),IF(AND(EK$5&lt;=$F81,EK$5+GanttPeriod-1&gt;=$E81),"━","")))</f>
        <v/>
      </c>
      <c r="EL81" s="69" t="str">
        <f aca="false">IF($E81="","",IF($M81,IF(AND($G81&gt;=EL$5,$G81&lt;EL$5+GanttPeriod),"◆",IF(AND($E81&gt;=EL$5,$E81&lt;EL$5+GanttPeriod),"◇","")),IF(AND(EL$5&lt;=$F81,EL$5+GanttPeriod-1&gt;=$E81),"━","")))</f>
        <v/>
      </c>
      <c r="EM81" s="69" t="str">
        <f aca="false">IF($E81="","",IF($M81,IF(AND($G81&gt;=EM$5,$G81&lt;EM$5+GanttPeriod),"◆",IF(AND($E81&gt;=EM$5,$E81&lt;EM$5+GanttPeriod),"◇","")),IF(AND(EM$5&lt;=$F81,EM$5+GanttPeriod-1&gt;=$E81),"━","")))</f>
        <v/>
      </c>
      <c r="EN81" s="69" t="str">
        <f aca="false">IF($E81="","",IF($M81,IF(AND($G81&gt;=EN$5,$G81&lt;EN$5+GanttPeriod),"◆",IF(AND($E81&gt;=EN$5,$E81&lt;EN$5+GanttPeriod),"◇","")),IF(AND(EN$5&lt;=$F81,EN$5+GanttPeriod-1&gt;=$E81),"━","")))</f>
        <v/>
      </c>
      <c r="EO81" s="69" t="str">
        <f aca="false">IF($E81="","",IF($M81,IF(AND($G81&gt;=EO$5,$G81&lt;EO$5+GanttPeriod),"◆",IF(AND($E81&gt;=EO$5,$E81&lt;EO$5+GanttPeriod),"◇","")),IF(AND(EO$5&lt;=$F81,EO$5+GanttPeriod-1&gt;=$E81),"━","")))</f>
        <v/>
      </c>
      <c r="EP81" s="69" t="str">
        <f aca="false">IF($E81="","",IF($M81,IF(AND($G81&gt;=EP$5,$G81&lt;EP$5+GanttPeriod),"◆",IF(AND($E81&gt;=EP$5,$E81&lt;EP$5+GanttPeriod),"◇","")),IF(AND(EP$5&lt;=$F81,EP$5+GanttPeriod-1&gt;=$E81),"━","")))</f>
        <v/>
      </c>
      <c r="EQ81" s="69" t="str">
        <f aca="false">IF($E81="","",IF($M81,IF(AND($G81&gt;=EQ$5,$G81&lt;EQ$5+GanttPeriod),"◆",IF(AND($E81&gt;=EQ$5,$E81&lt;EQ$5+GanttPeriod),"◇","")),IF(AND(EQ$5&lt;=$F81,EQ$5+GanttPeriod-1&gt;=$E81),"━","")))</f>
        <v/>
      </c>
      <c r="ER81" s="69" t="str">
        <f aca="false">IF($E81="","",IF($M81,IF(AND($G81&gt;=ER$5,$G81&lt;ER$5+GanttPeriod),"◆",IF(AND($E81&gt;=ER$5,$E81&lt;ER$5+GanttPeriod),"◇","")),IF(AND(ER$5&lt;=$F81,ER$5+GanttPeriod-1&gt;=$E81),"━","")))</f>
        <v/>
      </c>
      <c r="ES81" s="69" t="str">
        <f aca="false">IF($E81="","",IF($M81,IF(AND($G81&gt;=ES$5,$G81&lt;ES$5+GanttPeriod),"◆",IF(AND($E81&gt;=ES$5,$E81&lt;ES$5+GanttPeriod),"◇","")),IF(AND(ES$5&lt;=$F81,ES$5+GanttPeriod-1&gt;=$E81),"━","")))</f>
        <v/>
      </c>
      <c r="ET81" s="69" t="str">
        <f aca="false">IF($E81="","",IF($M81,IF(AND($G81&gt;=ET$5,$G81&lt;ET$5+GanttPeriod),"◆",IF(AND($E81&gt;=ET$5,$E81&lt;ET$5+GanttPeriod),"◇","")),IF(AND(ET$5&lt;=$F81,ET$5+GanttPeriod-1&gt;=$E81),"━","")))</f>
        <v/>
      </c>
      <c r="EU81" s="69" t="str">
        <f aca="false">IF($E81="","",IF($M81,IF(AND($G81&gt;=EU$5,$G81&lt;EU$5+GanttPeriod),"◆",IF(AND($E81&gt;=EU$5,$E81&lt;EU$5+GanttPeriod),"◇","")),IF(AND(EU$5&lt;=$F81,EU$5+GanttPeriod-1&gt;=$E81),"━","")))</f>
        <v/>
      </c>
      <c r="EV81" s="69" t="str">
        <f aca="false">IF($E81="","",IF($M81,IF(AND($G81&gt;=EV$5,$G81&lt;EV$5+GanttPeriod),"◆",IF(AND($E81&gt;=EV$5,$E81&lt;EV$5+GanttPeriod),"◇","")),IF(AND(EV$5&lt;=$F81,EV$5+GanttPeriod-1&gt;=$E81),"━","")))</f>
        <v/>
      </c>
      <c r="EW81" s="69" t="str">
        <f aca="false">IF($E81="","",IF($M81,IF(AND($G81&gt;=EW$5,$G81&lt;EW$5+GanttPeriod),"◆",IF(AND($E81&gt;=EW$5,$E81&lt;EW$5+GanttPeriod),"◇","")),IF(AND(EW$5&lt;=$F81,EW$5+GanttPeriod-1&gt;=$E81),"━","")))</f>
        <v/>
      </c>
      <c r="EX81" s="69" t="str">
        <f aca="false">IF($E81="","",IF($M81,IF(AND($G81&gt;=EX$5,$G81&lt;EX$5+GanttPeriod),"◆",IF(AND($E81&gt;=EX$5,$E81&lt;EX$5+GanttPeriod),"◇","")),IF(AND(EX$5&lt;=$F81,EX$5+GanttPeriod-1&gt;=$E81),"━","")))</f>
        <v/>
      </c>
      <c r="EY81" s="69" t="str">
        <f aca="false">IF($E81="","",IF($M81,IF(AND($G81&gt;=EY$5,$G81&lt;EY$5+GanttPeriod),"◆",IF(AND($E81&gt;=EY$5,$E81&lt;EY$5+GanttPeriod),"◇","")),IF(AND(EY$5&lt;=$F81,EY$5+GanttPeriod-1&gt;=$E81),"━","")))</f>
        <v/>
      </c>
      <c r="EZ81" s="69" t="str">
        <f aca="false">IF($E81="","",IF($M81,IF(AND($G81&gt;=EZ$5,$G81&lt;EZ$5+GanttPeriod),"◆",IF(AND($E81&gt;=EZ$5,$E81&lt;EZ$5+GanttPeriod),"◇","")),IF(AND(EZ$5&lt;=$F81,EZ$5+GanttPeriod-1&gt;=$E81),"━","")))</f>
        <v/>
      </c>
      <c r="FA81" s="69" t="str">
        <f aca="false">IF($E81="","",IF($M81,IF(AND($G81&gt;=FA$5,$G81&lt;FA$5+GanttPeriod),"◆",IF(AND($E81&gt;=FA$5,$E81&lt;FA$5+GanttPeriod),"◇","")),IF(AND(FA$5&lt;=$F81,FA$5+GanttPeriod-1&gt;=$E81),"━","")))</f>
        <v/>
      </c>
      <c r="FB81" s="69" t="str">
        <f aca="false">IF($E81="","",IF($M81,IF(AND($G81&gt;=FB$5,$G81&lt;FB$5+GanttPeriod),"◆",IF(AND($E81&gt;=FB$5,$E81&lt;FB$5+GanttPeriod),"◇","")),IF(AND(FB$5&lt;=$F81,FB$5+GanttPeriod-1&gt;=$E81),"━","")))</f>
        <v/>
      </c>
      <c r="FC81" s="69" t="str">
        <f aca="false">IF($E81="","",IF($M81,IF(AND($G81&gt;=FC$5,$G81&lt;FC$5+GanttPeriod),"◆",IF(AND($E81&gt;=FC$5,$E81&lt;FC$5+GanttPeriod),"◇","")),IF(AND(FC$5&lt;=$F81,FC$5+GanttPeriod-1&gt;=$E81),"━","")))</f>
        <v/>
      </c>
      <c r="FD81" s="69" t="str">
        <f aca="false">IF($E81="","",IF($M81,IF(AND($G81&gt;=FD$5,$G81&lt;FD$5+GanttPeriod),"◆",IF(AND($E81&gt;=FD$5,$E81&lt;FD$5+GanttPeriod),"◇","")),IF(AND(FD$5&lt;=$F81,FD$5+GanttPeriod-1&gt;=$E81),"━","")))</f>
        <v/>
      </c>
      <c r="FE81" s="69" t="str">
        <f aca="false">IF($E81="","",IF($M81,IF(AND($G81&gt;=FE$5,$G81&lt;FE$5+GanttPeriod),"◆",IF(AND($E81&gt;=FE$5,$E81&lt;FE$5+GanttPeriod),"◇","")),IF(AND(FE$5&lt;=$F81,FE$5+GanttPeriod-1&gt;=$E81),"━","")))</f>
        <v/>
      </c>
      <c r="FF81" s="69" t="str">
        <f aca="false">IF($E81="","",IF($M81,IF(AND($G81&gt;=FF$5,$G81&lt;FF$5+GanttPeriod),"◆",IF(AND($E81&gt;=FF$5,$E81&lt;FF$5+GanttPeriod),"◇","")),IF(AND(FF$5&lt;=$F81,FF$5+GanttPeriod-1&gt;=$E81),"━","")))</f>
        <v/>
      </c>
      <c r="FG81" s="69" t="str">
        <f aca="false">IF($E81="","",IF($M81,IF(AND($G81&gt;=FG$5,$G81&lt;FG$5+GanttPeriod),"◆",IF(AND($E81&gt;=FG$5,$E81&lt;FG$5+GanttPeriod),"◇","")),IF(AND(FG$5&lt;=$F81,FG$5+GanttPeriod-1&gt;=$E81),"━","")))</f>
        <v/>
      </c>
      <c r="FH81" s="69" t="str">
        <f aca="false">IF($E81="","",IF($M81,IF(AND($G81&gt;=FH$5,$G81&lt;FH$5+GanttPeriod),"◆",IF(AND($E81&gt;=FH$5,$E81&lt;FH$5+GanttPeriod),"◇","")),IF(AND(FH$5&lt;=$F81,FH$5+GanttPeriod-1&gt;=$E81),"━","")))</f>
        <v/>
      </c>
      <c r="FI81" s="69" t="str">
        <f aca="false">IF($E81="","",IF($M81,IF(AND($G81&gt;=FI$5,$G81&lt;FI$5+GanttPeriod),"◆",IF(AND($E81&gt;=FI$5,$E81&lt;FI$5+GanttPeriod),"◇","")),IF(AND(FI$5&lt;=$F81,FI$5+GanttPeriod-1&gt;=$E81),"━","")))</f>
        <v/>
      </c>
      <c r="FJ81" s="69" t="str">
        <f aca="false">IF($E81="","",IF($M81,IF(AND($G81&gt;=FJ$5,$G81&lt;FJ$5+GanttPeriod),"◆",IF(AND($E81&gt;=FJ$5,$E81&lt;FJ$5+GanttPeriod),"◇","")),IF(AND(FJ$5&lt;=$F81,FJ$5+GanttPeriod-1&gt;=$E81),"━","")))</f>
        <v/>
      </c>
      <c r="FK81" s="69" t="str">
        <f aca="false">IF($E81="","",IF($M81,IF(AND($G81&gt;=FK$5,$G81&lt;FK$5+GanttPeriod),"◆",IF(AND($E81&gt;=FK$5,$E81&lt;FK$5+GanttPeriod),"◇","")),IF(AND(FK$5&lt;=$F81,FK$5+GanttPeriod-1&gt;=$E81),"━","")))</f>
        <v/>
      </c>
      <c r="FL81" s="69" t="str">
        <f aca="false">IF($E81="","",IF($M81,IF(AND($G81&gt;=FL$5,$G81&lt;FL$5+GanttPeriod),"◆",IF(AND($E81&gt;=FL$5,$E81&lt;FL$5+GanttPeriod),"◇","")),IF(AND(FL$5&lt;=$F81,FL$5+GanttPeriod-1&gt;=$E81),"━","")))</f>
        <v/>
      </c>
      <c r="FM81" s="69" t="str">
        <f aca="false">IF($E81="","",IF($M81,IF(AND($G81&gt;=FM$5,$G81&lt;FM$5+GanttPeriod),"◆",IF(AND($E81&gt;=FM$5,$E81&lt;FM$5+GanttPeriod),"◇","")),IF(AND(FM$5&lt;=$F81,FM$5+GanttPeriod-1&gt;=$E81),"━","")))</f>
        <v/>
      </c>
    </row>
    <row r="82" customFormat="false" ht="15" hidden="false" customHeight="false" outlineLevel="0" collapsed="false">
      <c r="A82" s="62" t="str">
        <f aca="false">IF(Tasks!$D82="","",Tasks!$A82)</f>
        <v/>
      </c>
      <c r="B82" s="62" t="str">
        <f aca="false">IF(Tasks!$D82="","",Tasks!$B82)</f>
        <v/>
      </c>
      <c r="C82" s="63" t="str">
        <f aca="false">IF(Tasks!$D82="","",REPT("    ",Tasks!$AE82-1)&amp;Tasks!$D82)</f>
        <v/>
      </c>
      <c r="D82" s="62" t="str">
        <f aca="false">IF(Tasks!$D82="","",IF(Tasks!$AI82,NETWORKDAYS.INTL(Tasks!$R82,Tasks!$S82,WorkWeek,Holidays),N(Tasks!$F82)))</f>
        <v/>
      </c>
      <c r="E82" s="64" t="str">
        <f aca="false">IF(Tasks!$D82="","",Tasks!$N82)</f>
        <v/>
      </c>
      <c r="F82" s="64" t="str">
        <f aca="false">IF(Tasks!$D82="","",Tasks!$O82)</f>
        <v/>
      </c>
      <c r="G82" s="64" t="str">
        <f aca="false">IF(Tasks!$D82="","",Tasks!$R82)</f>
        <v/>
      </c>
      <c r="H82" s="64" t="str">
        <f aca="false">IF(Tasks!$D82="","",Tasks!$S82)</f>
        <v/>
      </c>
      <c r="I82" s="65" t="str">
        <f aca="false">IF(Tasks!$D82="","",Tasks!$V82)</f>
        <v/>
      </c>
      <c r="J82" s="63" t="str">
        <f aca="false">IF(Tasks!$D82="","",Tasks!$X82&amp;"")</f>
        <v/>
      </c>
      <c r="K82" s="66" t="str">
        <f aca="false">IF(Tasks!$D82="","",Tasks!$W82)</f>
        <v/>
      </c>
      <c r="L82" s="67" t="b">
        <f aca="false">IF(Tasks!$D82="",FALSE(),Tasks!$AI82)</f>
        <v>0</v>
      </c>
      <c r="M82" s="67" t="b">
        <f aca="false">AND(Tasks!$AJ82=1,N(Tasks!$F82)=0)</f>
        <v>0</v>
      </c>
      <c r="N82" s="68" t="n">
        <f aca="false">IF(AND(Tasks!$AJ82=1,NOT($M82),N($I82)&gt;0),$G82,0)</f>
        <v>0</v>
      </c>
      <c r="O82" s="68" t="n">
        <f aca="false">IF($N82=0,0,IF($I82&gt;=1,$H82,MAX($N82,$G82+ROUND(($H82-$G82+1)*$I82,0)-1)))</f>
        <v>0</v>
      </c>
      <c r="P82" s="68" t="n">
        <f aca="false">IF(OR(Tasks!$AJ82&lt;&gt;1,$M82,N($I82)&gt;=1),0,IF($O82&gt;0,$O82+1,$G82))</f>
        <v>0</v>
      </c>
      <c r="Q82" s="68" t="n">
        <f aca="false">IF($P82=0,0,$H82)</f>
        <v>0</v>
      </c>
      <c r="R82" s="67" t="b">
        <f aca="false">AND(Tasks!$D82&lt;&gt;"",N(Tasks!$T82)&gt;0)</f>
        <v>0</v>
      </c>
      <c r="T82" s="69" t="str">
        <f aca="false">IF($E82="","",IF($M82,IF(AND($G82&gt;=T$5,$G82&lt;T$5+GanttPeriod),"◆",IF(AND($E82&gt;=T$5,$E82&lt;T$5+GanttPeriod),"◇","")),IF(AND(T$5&lt;=$F82,T$5+GanttPeriod-1&gt;=$E82),"━","")))</f>
        <v/>
      </c>
      <c r="U82" s="69" t="str">
        <f aca="false">IF($E82="","",IF($M82,IF(AND($G82&gt;=U$5,$G82&lt;U$5+GanttPeriod),"◆",IF(AND($E82&gt;=U$5,$E82&lt;U$5+GanttPeriod),"◇","")),IF(AND(U$5&lt;=$F82,U$5+GanttPeriod-1&gt;=$E82),"━","")))</f>
        <v/>
      </c>
      <c r="V82" s="69" t="str">
        <f aca="false">IF($E82="","",IF($M82,IF(AND($G82&gt;=V$5,$G82&lt;V$5+GanttPeriod),"◆",IF(AND($E82&gt;=V$5,$E82&lt;V$5+GanttPeriod),"◇","")),IF(AND(V$5&lt;=$F82,V$5+GanttPeriod-1&gt;=$E82),"━","")))</f>
        <v/>
      </c>
      <c r="W82" s="69" t="str">
        <f aca="false">IF($E82="","",IF($M82,IF(AND($G82&gt;=W$5,$G82&lt;W$5+GanttPeriod),"◆",IF(AND($E82&gt;=W$5,$E82&lt;W$5+GanttPeriod),"◇","")),IF(AND(W$5&lt;=$F82,W$5+GanttPeriod-1&gt;=$E82),"━","")))</f>
        <v/>
      </c>
      <c r="X82" s="69" t="str">
        <f aca="false">IF($E82="","",IF($M82,IF(AND($G82&gt;=X$5,$G82&lt;X$5+GanttPeriod),"◆",IF(AND($E82&gt;=X$5,$E82&lt;X$5+GanttPeriod),"◇","")),IF(AND(X$5&lt;=$F82,X$5+GanttPeriod-1&gt;=$E82),"━","")))</f>
        <v/>
      </c>
      <c r="Y82" s="69" t="str">
        <f aca="false">IF($E82="","",IF($M82,IF(AND($G82&gt;=Y$5,$G82&lt;Y$5+GanttPeriod),"◆",IF(AND($E82&gt;=Y$5,$E82&lt;Y$5+GanttPeriod),"◇","")),IF(AND(Y$5&lt;=$F82,Y$5+GanttPeriod-1&gt;=$E82),"━","")))</f>
        <v/>
      </c>
      <c r="Z82" s="69" t="str">
        <f aca="false">IF($E82="","",IF($M82,IF(AND($G82&gt;=Z$5,$G82&lt;Z$5+GanttPeriod),"◆",IF(AND($E82&gt;=Z$5,$E82&lt;Z$5+GanttPeriod),"◇","")),IF(AND(Z$5&lt;=$F82,Z$5+GanttPeriod-1&gt;=$E82),"━","")))</f>
        <v/>
      </c>
      <c r="AA82" s="69" t="str">
        <f aca="false">IF($E82="","",IF($M82,IF(AND($G82&gt;=AA$5,$G82&lt;AA$5+GanttPeriod),"◆",IF(AND($E82&gt;=AA$5,$E82&lt;AA$5+GanttPeriod),"◇","")),IF(AND(AA$5&lt;=$F82,AA$5+GanttPeriod-1&gt;=$E82),"━","")))</f>
        <v/>
      </c>
      <c r="AB82" s="69" t="str">
        <f aca="false">IF($E82="","",IF($M82,IF(AND($G82&gt;=AB$5,$G82&lt;AB$5+GanttPeriod),"◆",IF(AND($E82&gt;=AB$5,$E82&lt;AB$5+GanttPeriod),"◇","")),IF(AND(AB$5&lt;=$F82,AB$5+GanttPeriod-1&gt;=$E82),"━","")))</f>
        <v/>
      </c>
      <c r="AC82" s="69" t="str">
        <f aca="false">IF($E82="","",IF($M82,IF(AND($G82&gt;=AC$5,$G82&lt;AC$5+GanttPeriod),"◆",IF(AND($E82&gt;=AC$5,$E82&lt;AC$5+GanttPeriod),"◇","")),IF(AND(AC$5&lt;=$F82,AC$5+GanttPeriod-1&gt;=$E82),"━","")))</f>
        <v/>
      </c>
      <c r="AD82" s="69" t="str">
        <f aca="false">IF($E82="","",IF($M82,IF(AND($G82&gt;=AD$5,$G82&lt;AD$5+GanttPeriod),"◆",IF(AND($E82&gt;=AD$5,$E82&lt;AD$5+GanttPeriod),"◇","")),IF(AND(AD$5&lt;=$F82,AD$5+GanttPeriod-1&gt;=$E82),"━","")))</f>
        <v/>
      </c>
      <c r="AE82" s="69" t="str">
        <f aca="false">IF($E82="","",IF($M82,IF(AND($G82&gt;=AE$5,$G82&lt;AE$5+GanttPeriod),"◆",IF(AND($E82&gt;=AE$5,$E82&lt;AE$5+GanttPeriod),"◇","")),IF(AND(AE$5&lt;=$F82,AE$5+GanttPeriod-1&gt;=$E82),"━","")))</f>
        <v/>
      </c>
      <c r="AF82" s="69" t="str">
        <f aca="false">IF($E82="","",IF($M82,IF(AND($G82&gt;=AF$5,$G82&lt;AF$5+GanttPeriod),"◆",IF(AND($E82&gt;=AF$5,$E82&lt;AF$5+GanttPeriod),"◇","")),IF(AND(AF$5&lt;=$F82,AF$5+GanttPeriod-1&gt;=$E82),"━","")))</f>
        <v/>
      </c>
      <c r="AG82" s="69" t="str">
        <f aca="false">IF($E82="","",IF($M82,IF(AND($G82&gt;=AG$5,$G82&lt;AG$5+GanttPeriod),"◆",IF(AND($E82&gt;=AG$5,$E82&lt;AG$5+GanttPeriod),"◇","")),IF(AND(AG$5&lt;=$F82,AG$5+GanttPeriod-1&gt;=$E82),"━","")))</f>
        <v/>
      </c>
      <c r="AH82" s="69" t="str">
        <f aca="false">IF($E82="","",IF($M82,IF(AND($G82&gt;=AH$5,$G82&lt;AH$5+GanttPeriod),"◆",IF(AND($E82&gt;=AH$5,$E82&lt;AH$5+GanttPeriod),"◇","")),IF(AND(AH$5&lt;=$F82,AH$5+GanttPeriod-1&gt;=$E82),"━","")))</f>
        <v/>
      </c>
      <c r="AI82" s="69" t="str">
        <f aca="false">IF($E82="","",IF($M82,IF(AND($G82&gt;=AI$5,$G82&lt;AI$5+GanttPeriod),"◆",IF(AND($E82&gt;=AI$5,$E82&lt;AI$5+GanttPeriod),"◇","")),IF(AND(AI$5&lt;=$F82,AI$5+GanttPeriod-1&gt;=$E82),"━","")))</f>
        <v/>
      </c>
      <c r="AJ82" s="69" t="str">
        <f aca="false">IF($E82="","",IF($M82,IF(AND($G82&gt;=AJ$5,$G82&lt;AJ$5+GanttPeriod),"◆",IF(AND($E82&gt;=AJ$5,$E82&lt;AJ$5+GanttPeriod),"◇","")),IF(AND(AJ$5&lt;=$F82,AJ$5+GanttPeriod-1&gt;=$E82),"━","")))</f>
        <v/>
      </c>
      <c r="AK82" s="69" t="str">
        <f aca="false">IF($E82="","",IF($M82,IF(AND($G82&gt;=AK$5,$G82&lt;AK$5+GanttPeriod),"◆",IF(AND($E82&gt;=AK$5,$E82&lt;AK$5+GanttPeriod),"◇","")),IF(AND(AK$5&lt;=$F82,AK$5+GanttPeriod-1&gt;=$E82),"━","")))</f>
        <v/>
      </c>
      <c r="AL82" s="69" t="str">
        <f aca="false">IF($E82="","",IF($M82,IF(AND($G82&gt;=AL$5,$G82&lt;AL$5+GanttPeriod),"◆",IF(AND($E82&gt;=AL$5,$E82&lt;AL$5+GanttPeriod),"◇","")),IF(AND(AL$5&lt;=$F82,AL$5+GanttPeriod-1&gt;=$E82),"━","")))</f>
        <v/>
      </c>
      <c r="AM82" s="69" t="str">
        <f aca="false">IF($E82="","",IF($M82,IF(AND($G82&gt;=AM$5,$G82&lt;AM$5+GanttPeriod),"◆",IF(AND($E82&gt;=AM$5,$E82&lt;AM$5+GanttPeriod),"◇","")),IF(AND(AM$5&lt;=$F82,AM$5+GanttPeriod-1&gt;=$E82),"━","")))</f>
        <v/>
      </c>
      <c r="AN82" s="69" t="str">
        <f aca="false">IF($E82="","",IF($M82,IF(AND($G82&gt;=AN$5,$G82&lt;AN$5+GanttPeriod),"◆",IF(AND($E82&gt;=AN$5,$E82&lt;AN$5+GanttPeriod),"◇","")),IF(AND(AN$5&lt;=$F82,AN$5+GanttPeriod-1&gt;=$E82),"━","")))</f>
        <v/>
      </c>
      <c r="AO82" s="69" t="str">
        <f aca="false">IF($E82="","",IF($M82,IF(AND($G82&gt;=AO$5,$G82&lt;AO$5+GanttPeriod),"◆",IF(AND($E82&gt;=AO$5,$E82&lt;AO$5+GanttPeriod),"◇","")),IF(AND(AO$5&lt;=$F82,AO$5+GanttPeriod-1&gt;=$E82),"━","")))</f>
        <v/>
      </c>
      <c r="AP82" s="69" t="str">
        <f aca="false">IF($E82="","",IF($M82,IF(AND($G82&gt;=AP$5,$G82&lt;AP$5+GanttPeriod),"◆",IF(AND($E82&gt;=AP$5,$E82&lt;AP$5+GanttPeriod),"◇","")),IF(AND(AP$5&lt;=$F82,AP$5+GanttPeriod-1&gt;=$E82),"━","")))</f>
        <v/>
      </c>
      <c r="AQ82" s="69" t="str">
        <f aca="false">IF($E82="","",IF($M82,IF(AND($G82&gt;=AQ$5,$G82&lt;AQ$5+GanttPeriod),"◆",IF(AND($E82&gt;=AQ$5,$E82&lt;AQ$5+GanttPeriod),"◇","")),IF(AND(AQ$5&lt;=$F82,AQ$5+GanttPeriod-1&gt;=$E82),"━","")))</f>
        <v/>
      </c>
      <c r="AR82" s="69" t="str">
        <f aca="false">IF($E82="","",IF($M82,IF(AND($G82&gt;=AR$5,$G82&lt;AR$5+GanttPeriod),"◆",IF(AND($E82&gt;=AR$5,$E82&lt;AR$5+GanttPeriod),"◇","")),IF(AND(AR$5&lt;=$F82,AR$5+GanttPeriod-1&gt;=$E82),"━","")))</f>
        <v/>
      </c>
      <c r="AS82" s="69" t="str">
        <f aca="false">IF($E82="","",IF($M82,IF(AND($G82&gt;=AS$5,$G82&lt;AS$5+GanttPeriod),"◆",IF(AND($E82&gt;=AS$5,$E82&lt;AS$5+GanttPeriod),"◇","")),IF(AND(AS$5&lt;=$F82,AS$5+GanttPeriod-1&gt;=$E82),"━","")))</f>
        <v/>
      </c>
      <c r="AT82" s="69" t="str">
        <f aca="false">IF($E82="","",IF($M82,IF(AND($G82&gt;=AT$5,$G82&lt;AT$5+GanttPeriod),"◆",IF(AND($E82&gt;=AT$5,$E82&lt;AT$5+GanttPeriod),"◇","")),IF(AND(AT$5&lt;=$F82,AT$5+GanttPeriod-1&gt;=$E82),"━","")))</f>
        <v/>
      </c>
      <c r="AU82" s="69" t="str">
        <f aca="false">IF($E82="","",IF($M82,IF(AND($G82&gt;=AU$5,$G82&lt;AU$5+GanttPeriod),"◆",IF(AND($E82&gt;=AU$5,$E82&lt;AU$5+GanttPeriod),"◇","")),IF(AND(AU$5&lt;=$F82,AU$5+GanttPeriod-1&gt;=$E82),"━","")))</f>
        <v/>
      </c>
      <c r="AV82" s="69" t="str">
        <f aca="false">IF($E82="","",IF($M82,IF(AND($G82&gt;=AV$5,$G82&lt;AV$5+GanttPeriod),"◆",IF(AND($E82&gt;=AV$5,$E82&lt;AV$5+GanttPeriod),"◇","")),IF(AND(AV$5&lt;=$F82,AV$5+GanttPeriod-1&gt;=$E82),"━","")))</f>
        <v/>
      </c>
      <c r="AW82" s="69" t="str">
        <f aca="false">IF($E82="","",IF($M82,IF(AND($G82&gt;=AW$5,$G82&lt;AW$5+GanttPeriod),"◆",IF(AND($E82&gt;=AW$5,$E82&lt;AW$5+GanttPeriod),"◇","")),IF(AND(AW$5&lt;=$F82,AW$5+GanttPeriod-1&gt;=$E82),"━","")))</f>
        <v/>
      </c>
      <c r="AX82" s="69" t="str">
        <f aca="false">IF($E82="","",IF($M82,IF(AND($G82&gt;=AX$5,$G82&lt;AX$5+GanttPeriod),"◆",IF(AND($E82&gt;=AX$5,$E82&lt;AX$5+GanttPeriod),"◇","")),IF(AND(AX$5&lt;=$F82,AX$5+GanttPeriod-1&gt;=$E82),"━","")))</f>
        <v/>
      </c>
      <c r="AY82" s="69" t="str">
        <f aca="false">IF($E82="","",IF($M82,IF(AND($G82&gt;=AY$5,$G82&lt;AY$5+GanttPeriod),"◆",IF(AND($E82&gt;=AY$5,$E82&lt;AY$5+GanttPeriod),"◇","")),IF(AND(AY$5&lt;=$F82,AY$5+GanttPeriod-1&gt;=$E82),"━","")))</f>
        <v/>
      </c>
      <c r="AZ82" s="69" t="str">
        <f aca="false">IF($E82="","",IF($M82,IF(AND($G82&gt;=AZ$5,$G82&lt;AZ$5+GanttPeriod),"◆",IF(AND($E82&gt;=AZ$5,$E82&lt;AZ$5+GanttPeriod),"◇","")),IF(AND(AZ$5&lt;=$F82,AZ$5+GanttPeriod-1&gt;=$E82),"━","")))</f>
        <v/>
      </c>
      <c r="BA82" s="69" t="str">
        <f aca="false">IF($E82="","",IF($M82,IF(AND($G82&gt;=BA$5,$G82&lt;BA$5+GanttPeriod),"◆",IF(AND($E82&gt;=BA$5,$E82&lt;BA$5+GanttPeriod),"◇","")),IF(AND(BA$5&lt;=$F82,BA$5+GanttPeriod-1&gt;=$E82),"━","")))</f>
        <v/>
      </c>
      <c r="BB82" s="69" t="str">
        <f aca="false">IF($E82="","",IF($M82,IF(AND($G82&gt;=BB$5,$G82&lt;BB$5+GanttPeriod),"◆",IF(AND($E82&gt;=BB$5,$E82&lt;BB$5+GanttPeriod),"◇","")),IF(AND(BB$5&lt;=$F82,BB$5+GanttPeriod-1&gt;=$E82),"━","")))</f>
        <v/>
      </c>
      <c r="BC82" s="69" t="str">
        <f aca="false">IF($E82="","",IF($M82,IF(AND($G82&gt;=BC$5,$G82&lt;BC$5+GanttPeriod),"◆",IF(AND($E82&gt;=BC$5,$E82&lt;BC$5+GanttPeriod),"◇","")),IF(AND(BC$5&lt;=$F82,BC$5+GanttPeriod-1&gt;=$E82),"━","")))</f>
        <v/>
      </c>
      <c r="BD82" s="69" t="str">
        <f aca="false">IF($E82="","",IF($M82,IF(AND($G82&gt;=BD$5,$G82&lt;BD$5+GanttPeriod),"◆",IF(AND($E82&gt;=BD$5,$E82&lt;BD$5+GanttPeriod),"◇","")),IF(AND(BD$5&lt;=$F82,BD$5+GanttPeriod-1&gt;=$E82),"━","")))</f>
        <v/>
      </c>
      <c r="BE82" s="69" t="str">
        <f aca="false">IF($E82="","",IF($M82,IF(AND($G82&gt;=BE$5,$G82&lt;BE$5+GanttPeriod),"◆",IF(AND($E82&gt;=BE$5,$E82&lt;BE$5+GanttPeriod),"◇","")),IF(AND(BE$5&lt;=$F82,BE$5+GanttPeriod-1&gt;=$E82),"━","")))</f>
        <v/>
      </c>
      <c r="BF82" s="69" t="str">
        <f aca="false">IF($E82="","",IF($M82,IF(AND($G82&gt;=BF$5,$G82&lt;BF$5+GanttPeriod),"◆",IF(AND($E82&gt;=BF$5,$E82&lt;BF$5+GanttPeriod),"◇","")),IF(AND(BF$5&lt;=$F82,BF$5+GanttPeriod-1&gt;=$E82),"━","")))</f>
        <v/>
      </c>
      <c r="BG82" s="69" t="str">
        <f aca="false">IF($E82="","",IF($M82,IF(AND($G82&gt;=BG$5,$G82&lt;BG$5+GanttPeriod),"◆",IF(AND($E82&gt;=BG$5,$E82&lt;BG$5+GanttPeriod),"◇","")),IF(AND(BG$5&lt;=$F82,BG$5+GanttPeriod-1&gt;=$E82),"━","")))</f>
        <v/>
      </c>
      <c r="BH82" s="69" t="str">
        <f aca="false">IF($E82="","",IF($M82,IF(AND($G82&gt;=BH$5,$G82&lt;BH$5+GanttPeriod),"◆",IF(AND($E82&gt;=BH$5,$E82&lt;BH$5+GanttPeriod),"◇","")),IF(AND(BH$5&lt;=$F82,BH$5+GanttPeriod-1&gt;=$E82),"━","")))</f>
        <v/>
      </c>
      <c r="BI82" s="69" t="str">
        <f aca="false">IF($E82="","",IF($M82,IF(AND($G82&gt;=BI$5,$G82&lt;BI$5+GanttPeriod),"◆",IF(AND($E82&gt;=BI$5,$E82&lt;BI$5+GanttPeriod),"◇","")),IF(AND(BI$5&lt;=$F82,BI$5+GanttPeriod-1&gt;=$E82),"━","")))</f>
        <v/>
      </c>
      <c r="BJ82" s="69" t="str">
        <f aca="false">IF($E82="","",IF($M82,IF(AND($G82&gt;=BJ$5,$G82&lt;BJ$5+GanttPeriod),"◆",IF(AND($E82&gt;=BJ$5,$E82&lt;BJ$5+GanttPeriod),"◇","")),IF(AND(BJ$5&lt;=$F82,BJ$5+GanttPeriod-1&gt;=$E82),"━","")))</f>
        <v/>
      </c>
      <c r="BK82" s="69" t="str">
        <f aca="false">IF($E82="","",IF($M82,IF(AND($G82&gt;=BK$5,$G82&lt;BK$5+GanttPeriod),"◆",IF(AND($E82&gt;=BK$5,$E82&lt;BK$5+GanttPeriod),"◇","")),IF(AND(BK$5&lt;=$F82,BK$5+GanttPeriod-1&gt;=$E82),"━","")))</f>
        <v/>
      </c>
      <c r="BL82" s="69" t="str">
        <f aca="false">IF($E82="","",IF($M82,IF(AND($G82&gt;=BL$5,$G82&lt;BL$5+GanttPeriod),"◆",IF(AND($E82&gt;=BL$5,$E82&lt;BL$5+GanttPeriod),"◇","")),IF(AND(BL$5&lt;=$F82,BL$5+GanttPeriod-1&gt;=$E82),"━","")))</f>
        <v/>
      </c>
      <c r="BM82" s="69" t="str">
        <f aca="false">IF($E82="","",IF($M82,IF(AND($G82&gt;=BM$5,$G82&lt;BM$5+GanttPeriod),"◆",IF(AND($E82&gt;=BM$5,$E82&lt;BM$5+GanttPeriod),"◇","")),IF(AND(BM$5&lt;=$F82,BM$5+GanttPeriod-1&gt;=$E82),"━","")))</f>
        <v/>
      </c>
      <c r="BN82" s="69" t="str">
        <f aca="false">IF($E82="","",IF($M82,IF(AND($G82&gt;=BN$5,$G82&lt;BN$5+GanttPeriod),"◆",IF(AND($E82&gt;=BN$5,$E82&lt;BN$5+GanttPeriod),"◇","")),IF(AND(BN$5&lt;=$F82,BN$5+GanttPeriod-1&gt;=$E82),"━","")))</f>
        <v/>
      </c>
      <c r="BO82" s="69" t="str">
        <f aca="false">IF($E82="","",IF($M82,IF(AND($G82&gt;=BO$5,$G82&lt;BO$5+GanttPeriod),"◆",IF(AND($E82&gt;=BO$5,$E82&lt;BO$5+GanttPeriod),"◇","")),IF(AND(BO$5&lt;=$F82,BO$5+GanttPeriod-1&gt;=$E82),"━","")))</f>
        <v/>
      </c>
      <c r="BP82" s="69" t="str">
        <f aca="false">IF($E82="","",IF($M82,IF(AND($G82&gt;=BP$5,$G82&lt;BP$5+GanttPeriod),"◆",IF(AND($E82&gt;=BP$5,$E82&lt;BP$5+GanttPeriod),"◇","")),IF(AND(BP$5&lt;=$F82,BP$5+GanttPeriod-1&gt;=$E82),"━","")))</f>
        <v/>
      </c>
      <c r="BQ82" s="69" t="str">
        <f aca="false">IF($E82="","",IF($M82,IF(AND($G82&gt;=BQ$5,$G82&lt;BQ$5+GanttPeriod),"◆",IF(AND($E82&gt;=BQ$5,$E82&lt;BQ$5+GanttPeriod),"◇","")),IF(AND(BQ$5&lt;=$F82,BQ$5+GanttPeriod-1&gt;=$E82),"━","")))</f>
        <v/>
      </c>
      <c r="BR82" s="69" t="str">
        <f aca="false">IF($E82="","",IF($M82,IF(AND($G82&gt;=BR$5,$G82&lt;BR$5+GanttPeriod),"◆",IF(AND($E82&gt;=BR$5,$E82&lt;BR$5+GanttPeriod),"◇","")),IF(AND(BR$5&lt;=$F82,BR$5+GanttPeriod-1&gt;=$E82),"━","")))</f>
        <v/>
      </c>
      <c r="BS82" s="69" t="str">
        <f aca="false">IF($E82="","",IF($M82,IF(AND($G82&gt;=BS$5,$G82&lt;BS$5+GanttPeriod),"◆",IF(AND($E82&gt;=BS$5,$E82&lt;BS$5+GanttPeriod),"◇","")),IF(AND(BS$5&lt;=$F82,BS$5+GanttPeriod-1&gt;=$E82),"━","")))</f>
        <v/>
      </c>
      <c r="BT82" s="69" t="str">
        <f aca="false">IF($E82="","",IF($M82,IF(AND($G82&gt;=BT$5,$G82&lt;BT$5+GanttPeriod),"◆",IF(AND($E82&gt;=BT$5,$E82&lt;BT$5+GanttPeriod),"◇","")),IF(AND(BT$5&lt;=$F82,BT$5+GanttPeriod-1&gt;=$E82),"━","")))</f>
        <v/>
      </c>
      <c r="BU82" s="69" t="str">
        <f aca="false">IF($E82="","",IF($M82,IF(AND($G82&gt;=BU$5,$G82&lt;BU$5+GanttPeriod),"◆",IF(AND($E82&gt;=BU$5,$E82&lt;BU$5+GanttPeriod),"◇","")),IF(AND(BU$5&lt;=$F82,BU$5+GanttPeriod-1&gt;=$E82),"━","")))</f>
        <v/>
      </c>
      <c r="BV82" s="69" t="str">
        <f aca="false">IF($E82="","",IF($M82,IF(AND($G82&gt;=BV$5,$G82&lt;BV$5+GanttPeriod),"◆",IF(AND($E82&gt;=BV$5,$E82&lt;BV$5+GanttPeriod),"◇","")),IF(AND(BV$5&lt;=$F82,BV$5+GanttPeriod-1&gt;=$E82),"━","")))</f>
        <v/>
      </c>
      <c r="BW82" s="69" t="str">
        <f aca="false">IF($E82="","",IF($M82,IF(AND($G82&gt;=BW$5,$G82&lt;BW$5+GanttPeriod),"◆",IF(AND($E82&gt;=BW$5,$E82&lt;BW$5+GanttPeriod),"◇","")),IF(AND(BW$5&lt;=$F82,BW$5+GanttPeriod-1&gt;=$E82),"━","")))</f>
        <v/>
      </c>
      <c r="BX82" s="69" t="str">
        <f aca="false">IF($E82="","",IF($M82,IF(AND($G82&gt;=BX$5,$G82&lt;BX$5+GanttPeriod),"◆",IF(AND($E82&gt;=BX$5,$E82&lt;BX$5+GanttPeriod),"◇","")),IF(AND(BX$5&lt;=$F82,BX$5+GanttPeriod-1&gt;=$E82),"━","")))</f>
        <v/>
      </c>
      <c r="BY82" s="69" t="str">
        <f aca="false">IF($E82="","",IF($M82,IF(AND($G82&gt;=BY$5,$G82&lt;BY$5+GanttPeriod),"◆",IF(AND($E82&gt;=BY$5,$E82&lt;BY$5+GanttPeriod),"◇","")),IF(AND(BY$5&lt;=$F82,BY$5+GanttPeriod-1&gt;=$E82),"━","")))</f>
        <v/>
      </c>
      <c r="BZ82" s="69" t="str">
        <f aca="false">IF($E82="","",IF($M82,IF(AND($G82&gt;=BZ$5,$G82&lt;BZ$5+GanttPeriod),"◆",IF(AND($E82&gt;=BZ$5,$E82&lt;BZ$5+GanttPeriod),"◇","")),IF(AND(BZ$5&lt;=$F82,BZ$5+GanttPeriod-1&gt;=$E82),"━","")))</f>
        <v/>
      </c>
      <c r="CA82" s="69" t="str">
        <f aca="false">IF($E82="","",IF($M82,IF(AND($G82&gt;=CA$5,$G82&lt;CA$5+GanttPeriod),"◆",IF(AND($E82&gt;=CA$5,$E82&lt;CA$5+GanttPeriod),"◇","")),IF(AND(CA$5&lt;=$F82,CA$5+GanttPeriod-1&gt;=$E82),"━","")))</f>
        <v/>
      </c>
      <c r="CB82" s="69" t="str">
        <f aca="false">IF($E82="","",IF($M82,IF(AND($G82&gt;=CB$5,$G82&lt;CB$5+GanttPeriod),"◆",IF(AND($E82&gt;=CB$5,$E82&lt;CB$5+GanttPeriod),"◇","")),IF(AND(CB$5&lt;=$F82,CB$5+GanttPeriod-1&gt;=$E82),"━","")))</f>
        <v/>
      </c>
      <c r="CC82" s="69" t="str">
        <f aca="false">IF($E82="","",IF($M82,IF(AND($G82&gt;=CC$5,$G82&lt;CC$5+GanttPeriod),"◆",IF(AND($E82&gt;=CC$5,$E82&lt;CC$5+GanttPeriod),"◇","")),IF(AND(CC$5&lt;=$F82,CC$5+GanttPeriod-1&gt;=$E82),"━","")))</f>
        <v/>
      </c>
      <c r="CD82" s="69" t="str">
        <f aca="false">IF($E82="","",IF($M82,IF(AND($G82&gt;=CD$5,$G82&lt;CD$5+GanttPeriod),"◆",IF(AND($E82&gt;=CD$5,$E82&lt;CD$5+GanttPeriod),"◇","")),IF(AND(CD$5&lt;=$F82,CD$5+GanttPeriod-1&gt;=$E82),"━","")))</f>
        <v/>
      </c>
      <c r="CE82" s="69" t="str">
        <f aca="false">IF($E82="","",IF($M82,IF(AND($G82&gt;=CE$5,$G82&lt;CE$5+GanttPeriod),"◆",IF(AND($E82&gt;=CE$5,$E82&lt;CE$5+GanttPeriod),"◇","")),IF(AND(CE$5&lt;=$F82,CE$5+GanttPeriod-1&gt;=$E82),"━","")))</f>
        <v/>
      </c>
      <c r="CF82" s="69" t="str">
        <f aca="false">IF($E82="","",IF($M82,IF(AND($G82&gt;=CF$5,$G82&lt;CF$5+GanttPeriod),"◆",IF(AND($E82&gt;=CF$5,$E82&lt;CF$5+GanttPeriod),"◇","")),IF(AND(CF$5&lt;=$F82,CF$5+GanttPeriod-1&gt;=$E82),"━","")))</f>
        <v/>
      </c>
      <c r="CG82" s="69" t="str">
        <f aca="false">IF($E82="","",IF($M82,IF(AND($G82&gt;=CG$5,$G82&lt;CG$5+GanttPeriod),"◆",IF(AND($E82&gt;=CG$5,$E82&lt;CG$5+GanttPeriod),"◇","")),IF(AND(CG$5&lt;=$F82,CG$5+GanttPeriod-1&gt;=$E82),"━","")))</f>
        <v/>
      </c>
      <c r="CH82" s="69" t="str">
        <f aca="false">IF($E82="","",IF($M82,IF(AND($G82&gt;=CH$5,$G82&lt;CH$5+GanttPeriod),"◆",IF(AND($E82&gt;=CH$5,$E82&lt;CH$5+GanttPeriod),"◇","")),IF(AND(CH$5&lt;=$F82,CH$5+GanttPeriod-1&gt;=$E82),"━","")))</f>
        <v/>
      </c>
      <c r="CI82" s="69" t="str">
        <f aca="false">IF($E82="","",IF($M82,IF(AND($G82&gt;=CI$5,$G82&lt;CI$5+GanttPeriod),"◆",IF(AND($E82&gt;=CI$5,$E82&lt;CI$5+GanttPeriod),"◇","")),IF(AND(CI$5&lt;=$F82,CI$5+GanttPeriod-1&gt;=$E82),"━","")))</f>
        <v/>
      </c>
      <c r="CJ82" s="69" t="str">
        <f aca="false">IF($E82="","",IF($M82,IF(AND($G82&gt;=CJ$5,$G82&lt;CJ$5+GanttPeriod),"◆",IF(AND($E82&gt;=CJ$5,$E82&lt;CJ$5+GanttPeriod),"◇","")),IF(AND(CJ$5&lt;=$F82,CJ$5+GanttPeriod-1&gt;=$E82),"━","")))</f>
        <v/>
      </c>
      <c r="CK82" s="69" t="str">
        <f aca="false">IF($E82="","",IF($M82,IF(AND($G82&gt;=CK$5,$G82&lt;CK$5+GanttPeriod),"◆",IF(AND($E82&gt;=CK$5,$E82&lt;CK$5+GanttPeriod),"◇","")),IF(AND(CK$5&lt;=$F82,CK$5+GanttPeriod-1&gt;=$E82),"━","")))</f>
        <v/>
      </c>
      <c r="CL82" s="69" t="str">
        <f aca="false">IF($E82="","",IF($M82,IF(AND($G82&gt;=CL$5,$G82&lt;CL$5+GanttPeriod),"◆",IF(AND($E82&gt;=CL$5,$E82&lt;CL$5+GanttPeriod),"◇","")),IF(AND(CL$5&lt;=$F82,CL$5+GanttPeriod-1&gt;=$E82),"━","")))</f>
        <v/>
      </c>
      <c r="CM82" s="69" t="str">
        <f aca="false">IF($E82="","",IF($M82,IF(AND($G82&gt;=CM$5,$G82&lt;CM$5+GanttPeriod),"◆",IF(AND($E82&gt;=CM$5,$E82&lt;CM$5+GanttPeriod),"◇","")),IF(AND(CM$5&lt;=$F82,CM$5+GanttPeriod-1&gt;=$E82),"━","")))</f>
        <v/>
      </c>
      <c r="CN82" s="69" t="str">
        <f aca="false">IF($E82="","",IF($M82,IF(AND($G82&gt;=CN$5,$G82&lt;CN$5+GanttPeriod),"◆",IF(AND($E82&gt;=CN$5,$E82&lt;CN$5+GanttPeriod),"◇","")),IF(AND(CN$5&lt;=$F82,CN$5+GanttPeriod-1&gt;=$E82),"━","")))</f>
        <v/>
      </c>
      <c r="CO82" s="69" t="str">
        <f aca="false">IF($E82="","",IF($M82,IF(AND($G82&gt;=CO$5,$G82&lt;CO$5+GanttPeriod),"◆",IF(AND($E82&gt;=CO$5,$E82&lt;CO$5+GanttPeriod),"◇","")),IF(AND(CO$5&lt;=$F82,CO$5+GanttPeriod-1&gt;=$E82),"━","")))</f>
        <v/>
      </c>
      <c r="CP82" s="69" t="str">
        <f aca="false">IF($E82="","",IF($M82,IF(AND($G82&gt;=CP$5,$G82&lt;CP$5+GanttPeriod),"◆",IF(AND($E82&gt;=CP$5,$E82&lt;CP$5+GanttPeriod),"◇","")),IF(AND(CP$5&lt;=$F82,CP$5+GanttPeriod-1&gt;=$E82),"━","")))</f>
        <v/>
      </c>
      <c r="CQ82" s="69" t="str">
        <f aca="false">IF($E82="","",IF($M82,IF(AND($G82&gt;=CQ$5,$G82&lt;CQ$5+GanttPeriod),"◆",IF(AND($E82&gt;=CQ$5,$E82&lt;CQ$5+GanttPeriod),"◇","")),IF(AND(CQ$5&lt;=$F82,CQ$5+GanttPeriod-1&gt;=$E82),"━","")))</f>
        <v/>
      </c>
      <c r="CR82" s="69" t="str">
        <f aca="false">IF($E82="","",IF($M82,IF(AND($G82&gt;=CR$5,$G82&lt;CR$5+GanttPeriod),"◆",IF(AND($E82&gt;=CR$5,$E82&lt;CR$5+GanttPeriod),"◇","")),IF(AND(CR$5&lt;=$F82,CR$5+GanttPeriod-1&gt;=$E82),"━","")))</f>
        <v/>
      </c>
      <c r="CS82" s="69" t="str">
        <f aca="false">IF($E82="","",IF($M82,IF(AND($G82&gt;=CS$5,$G82&lt;CS$5+GanttPeriod),"◆",IF(AND($E82&gt;=CS$5,$E82&lt;CS$5+GanttPeriod),"◇","")),IF(AND(CS$5&lt;=$F82,CS$5+GanttPeriod-1&gt;=$E82),"━","")))</f>
        <v/>
      </c>
      <c r="CT82" s="69" t="str">
        <f aca="false">IF($E82="","",IF($M82,IF(AND($G82&gt;=CT$5,$G82&lt;CT$5+GanttPeriod),"◆",IF(AND($E82&gt;=CT$5,$E82&lt;CT$5+GanttPeriod),"◇","")),IF(AND(CT$5&lt;=$F82,CT$5+GanttPeriod-1&gt;=$E82),"━","")))</f>
        <v/>
      </c>
      <c r="CU82" s="69" t="str">
        <f aca="false">IF($E82="","",IF($M82,IF(AND($G82&gt;=CU$5,$G82&lt;CU$5+GanttPeriod),"◆",IF(AND($E82&gt;=CU$5,$E82&lt;CU$5+GanttPeriod),"◇","")),IF(AND(CU$5&lt;=$F82,CU$5+GanttPeriod-1&gt;=$E82),"━","")))</f>
        <v/>
      </c>
      <c r="CV82" s="69" t="str">
        <f aca="false">IF($E82="","",IF($M82,IF(AND($G82&gt;=CV$5,$G82&lt;CV$5+GanttPeriod),"◆",IF(AND($E82&gt;=CV$5,$E82&lt;CV$5+GanttPeriod),"◇","")),IF(AND(CV$5&lt;=$F82,CV$5+GanttPeriod-1&gt;=$E82),"━","")))</f>
        <v/>
      </c>
      <c r="CW82" s="69" t="str">
        <f aca="false">IF($E82="","",IF($M82,IF(AND($G82&gt;=CW$5,$G82&lt;CW$5+GanttPeriod),"◆",IF(AND($E82&gt;=CW$5,$E82&lt;CW$5+GanttPeriod),"◇","")),IF(AND(CW$5&lt;=$F82,CW$5+GanttPeriod-1&gt;=$E82),"━","")))</f>
        <v/>
      </c>
      <c r="CX82" s="69" t="str">
        <f aca="false">IF($E82="","",IF($M82,IF(AND($G82&gt;=CX$5,$G82&lt;CX$5+GanttPeriod),"◆",IF(AND($E82&gt;=CX$5,$E82&lt;CX$5+GanttPeriod),"◇","")),IF(AND(CX$5&lt;=$F82,CX$5+GanttPeriod-1&gt;=$E82),"━","")))</f>
        <v/>
      </c>
      <c r="CY82" s="69" t="str">
        <f aca="false">IF($E82="","",IF($M82,IF(AND($G82&gt;=CY$5,$G82&lt;CY$5+GanttPeriod),"◆",IF(AND($E82&gt;=CY$5,$E82&lt;CY$5+GanttPeriod),"◇","")),IF(AND(CY$5&lt;=$F82,CY$5+GanttPeriod-1&gt;=$E82),"━","")))</f>
        <v/>
      </c>
      <c r="CZ82" s="69" t="str">
        <f aca="false">IF($E82="","",IF($M82,IF(AND($G82&gt;=CZ$5,$G82&lt;CZ$5+GanttPeriod),"◆",IF(AND($E82&gt;=CZ$5,$E82&lt;CZ$5+GanttPeriod),"◇","")),IF(AND(CZ$5&lt;=$F82,CZ$5+GanttPeriod-1&gt;=$E82),"━","")))</f>
        <v/>
      </c>
      <c r="DA82" s="69" t="str">
        <f aca="false">IF($E82="","",IF($M82,IF(AND($G82&gt;=DA$5,$G82&lt;DA$5+GanttPeriod),"◆",IF(AND($E82&gt;=DA$5,$E82&lt;DA$5+GanttPeriod),"◇","")),IF(AND(DA$5&lt;=$F82,DA$5+GanttPeriod-1&gt;=$E82),"━","")))</f>
        <v/>
      </c>
      <c r="DB82" s="69" t="str">
        <f aca="false">IF($E82="","",IF($M82,IF(AND($G82&gt;=DB$5,$G82&lt;DB$5+GanttPeriod),"◆",IF(AND($E82&gt;=DB$5,$E82&lt;DB$5+GanttPeriod),"◇","")),IF(AND(DB$5&lt;=$F82,DB$5+GanttPeriod-1&gt;=$E82),"━","")))</f>
        <v/>
      </c>
      <c r="DC82" s="69" t="str">
        <f aca="false">IF($E82="","",IF($M82,IF(AND($G82&gt;=DC$5,$G82&lt;DC$5+GanttPeriod),"◆",IF(AND($E82&gt;=DC$5,$E82&lt;DC$5+GanttPeriod),"◇","")),IF(AND(DC$5&lt;=$F82,DC$5+GanttPeriod-1&gt;=$E82),"━","")))</f>
        <v/>
      </c>
      <c r="DD82" s="69" t="str">
        <f aca="false">IF($E82="","",IF($M82,IF(AND($G82&gt;=DD$5,$G82&lt;DD$5+GanttPeriod),"◆",IF(AND($E82&gt;=DD$5,$E82&lt;DD$5+GanttPeriod),"◇","")),IF(AND(DD$5&lt;=$F82,DD$5+GanttPeriod-1&gt;=$E82),"━","")))</f>
        <v/>
      </c>
      <c r="DE82" s="69" t="str">
        <f aca="false">IF($E82="","",IF($M82,IF(AND($G82&gt;=DE$5,$G82&lt;DE$5+GanttPeriod),"◆",IF(AND($E82&gt;=DE$5,$E82&lt;DE$5+GanttPeriod),"◇","")),IF(AND(DE$5&lt;=$F82,DE$5+GanttPeriod-1&gt;=$E82),"━","")))</f>
        <v/>
      </c>
      <c r="DF82" s="69" t="str">
        <f aca="false">IF($E82="","",IF($M82,IF(AND($G82&gt;=DF$5,$G82&lt;DF$5+GanttPeriod),"◆",IF(AND($E82&gt;=DF$5,$E82&lt;DF$5+GanttPeriod),"◇","")),IF(AND(DF$5&lt;=$F82,DF$5+GanttPeriod-1&gt;=$E82),"━","")))</f>
        <v/>
      </c>
      <c r="DG82" s="69" t="str">
        <f aca="false">IF($E82="","",IF($M82,IF(AND($G82&gt;=DG$5,$G82&lt;DG$5+GanttPeriod),"◆",IF(AND($E82&gt;=DG$5,$E82&lt;DG$5+GanttPeriod),"◇","")),IF(AND(DG$5&lt;=$F82,DG$5+GanttPeriod-1&gt;=$E82),"━","")))</f>
        <v/>
      </c>
      <c r="DH82" s="69" t="str">
        <f aca="false">IF($E82="","",IF($M82,IF(AND($G82&gt;=DH$5,$G82&lt;DH$5+GanttPeriod),"◆",IF(AND($E82&gt;=DH$5,$E82&lt;DH$5+GanttPeriod),"◇","")),IF(AND(DH$5&lt;=$F82,DH$5+GanttPeriod-1&gt;=$E82),"━","")))</f>
        <v/>
      </c>
      <c r="DI82" s="69" t="str">
        <f aca="false">IF($E82="","",IF($M82,IF(AND($G82&gt;=DI$5,$G82&lt;DI$5+GanttPeriod),"◆",IF(AND($E82&gt;=DI$5,$E82&lt;DI$5+GanttPeriod),"◇","")),IF(AND(DI$5&lt;=$F82,DI$5+GanttPeriod-1&gt;=$E82),"━","")))</f>
        <v/>
      </c>
      <c r="DJ82" s="69" t="str">
        <f aca="false">IF($E82="","",IF($M82,IF(AND($G82&gt;=DJ$5,$G82&lt;DJ$5+GanttPeriod),"◆",IF(AND($E82&gt;=DJ$5,$E82&lt;DJ$5+GanttPeriod),"◇","")),IF(AND(DJ$5&lt;=$F82,DJ$5+GanttPeriod-1&gt;=$E82),"━","")))</f>
        <v/>
      </c>
      <c r="DK82" s="69" t="str">
        <f aca="false">IF($E82="","",IF($M82,IF(AND($G82&gt;=DK$5,$G82&lt;DK$5+GanttPeriod),"◆",IF(AND($E82&gt;=DK$5,$E82&lt;DK$5+GanttPeriod),"◇","")),IF(AND(DK$5&lt;=$F82,DK$5+GanttPeriod-1&gt;=$E82),"━","")))</f>
        <v/>
      </c>
      <c r="DL82" s="69" t="str">
        <f aca="false">IF($E82="","",IF($M82,IF(AND($G82&gt;=DL$5,$G82&lt;DL$5+GanttPeriod),"◆",IF(AND($E82&gt;=DL$5,$E82&lt;DL$5+GanttPeriod),"◇","")),IF(AND(DL$5&lt;=$F82,DL$5+GanttPeriod-1&gt;=$E82),"━","")))</f>
        <v/>
      </c>
      <c r="DM82" s="69" t="str">
        <f aca="false">IF($E82="","",IF($M82,IF(AND($G82&gt;=DM$5,$G82&lt;DM$5+GanttPeriod),"◆",IF(AND($E82&gt;=DM$5,$E82&lt;DM$5+GanttPeriod),"◇","")),IF(AND(DM$5&lt;=$F82,DM$5+GanttPeriod-1&gt;=$E82),"━","")))</f>
        <v/>
      </c>
      <c r="DN82" s="69" t="str">
        <f aca="false">IF($E82="","",IF($M82,IF(AND($G82&gt;=DN$5,$G82&lt;DN$5+GanttPeriod),"◆",IF(AND($E82&gt;=DN$5,$E82&lt;DN$5+GanttPeriod),"◇","")),IF(AND(DN$5&lt;=$F82,DN$5+GanttPeriod-1&gt;=$E82),"━","")))</f>
        <v/>
      </c>
      <c r="DO82" s="69" t="str">
        <f aca="false">IF($E82="","",IF($M82,IF(AND($G82&gt;=DO$5,$G82&lt;DO$5+GanttPeriod),"◆",IF(AND($E82&gt;=DO$5,$E82&lt;DO$5+GanttPeriod),"◇","")),IF(AND(DO$5&lt;=$F82,DO$5+GanttPeriod-1&gt;=$E82),"━","")))</f>
        <v/>
      </c>
      <c r="DP82" s="69" t="str">
        <f aca="false">IF($E82="","",IF($M82,IF(AND($G82&gt;=DP$5,$G82&lt;DP$5+GanttPeriod),"◆",IF(AND($E82&gt;=DP$5,$E82&lt;DP$5+GanttPeriod),"◇","")),IF(AND(DP$5&lt;=$F82,DP$5+GanttPeriod-1&gt;=$E82),"━","")))</f>
        <v/>
      </c>
      <c r="DQ82" s="69" t="str">
        <f aca="false">IF($E82="","",IF($M82,IF(AND($G82&gt;=DQ$5,$G82&lt;DQ$5+GanttPeriod),"◆",IF(AND($E82&gt;=DQ$5,$E82&lt;DQ$5+GanttPeriod),"◇","")),IF(AND(DQ$5&lt;=$F82,DQ$5+GanttPeriod-1&gt;=$E82),"━","")))</f>
        <v/>
      </c>
      <c r="DR82" s="69" t="str">
        <f aca="false">IF($E82="","",IF($M82,IF(AND($G82&gt;=DR$5,$G82&lt;DR$5+GanttPeriod),"◆",IF(AND($E82&gt;=DR$5,$E82&lt;DR$5+GanttPeriod),"◇","")),IF(AND(DR$5&lt;=$F82,DR$5+GanttPeriod-1&gt;=$E82),"━","")))</f>
        <v/>
      </c>
      <c r="DS82" s="69" t="str">
        <f aca="false">IF($E82="","",IF($M82,IF(AND($G82&gt;=DS$5,$G82&lt;DS$5+GanttPeriod),"◆",IF(AND($E82&gt;=DS$5,$E82&lt;DS$5+GanttPeriod),"◇","")),IF(AND(DS$5&lt;=$F82,DS$5+GanttPeriod-1&gt;=$E82),"━","")))</f>
        <v/>
      </c>
      <c r="DT82" s="69" t="str">
        <f aca="false">IF($E82="","",IF($M82,IF(AND($G82&gt;=DT$5,$G82&lt;DT$5+GanttPeriod),"◆",IF(AND($E82&gt;=DT$5,$E82&lt;DT$5+GanttPeriod),"◇","")),IF(AND(DT$5&lt;=$F82,DT$5+GanttPeriod-1&gt;=$E82),"━","")))</f>
        <v/>
      </c>
      <c r="DU82" s="69" t="str">
        <f aca="false">IF($E82="","",IF($M82,IF(AND($G82&gt;=DU$5,$G82&lt;DU$5+GanttPeriod),"◆",IF(AND($E82&gt;=DU$5,$E82&lt;DU$5+GanttPeriod),"◇","")),IF(AND(DU$5&lt;=$F82,DU$5+GanttPeriod-1&gt;=$E82),"━","")))</f>
        <v/>
      </c>
      <c r="DV82" s="69" t="str">
        <f aca="false">IF($E82="","",IF($M82,IF(AND($G82&gt;=DV$5,$G82&lt;DV$5+GanttPeriod),"◆",IF(AND($E82&gt;=DV$5,$E82&lt;DV$5+GanttPeriod),"◇","")),IF(AND(DV$5&lt;=$F82,DV$5+GanttPeriod-1&gt;=$E82),"━","")))</f>
        <v/>
      </c>
      <c r="DW82" s="69" t="str">
        <f aca="false">IF($E82="","",IF($M82,IF(AND($G82&gt;=DW$5,$G82&lt;DW$5+GanttPeriod),"◆",IF(AND($E82&gt;=DW$5,$E82&lt;DW$5+GanttPeriod),"◇","")),IF(AND(DW$5&lt;=$F82,DW$5+GanttPeriod-1&gt;=$E82),"━","")))</f>
        <v/>
      </c>
      <c r="DX82" s="69" t="str">
        <f aca="false">IF($E82="","",IF($M82,IF(AND($G82&gt;=DX$5,$G82&lt;DX$5+GanttPeriod),"◆",IF(AND($E82&gt;=DX$5,$E82&lt;DX$5+GanttPeriod),"◇","")),IF(AND(DX$5&lt;=$F82,DX$5+GanttPeriod-1&gt;=$E82),"━","")))</f>
        <v/>
      </c>
      <c r="DY82" s="69" t="str">
        <f aca="false">IF($E82="","",IF($M82,IF(AND($G82&gt;=DY$5,$G82&lt;DY$5+GanttPeriod),"◆",IF(AND($E82&gt;=DY$5,$E82&lt;DY$5+GanttPeriod),"◇","")),IF(AND(DY$5&lt;=$F82,DY$5+GanttPeriod-1&gt;=$E82),"━","")))</f>
        <v/>
      </c>
      <c r="DZ82" s="69" t="str">
        <f aca="false">IF($E82="","",IF($M82,IF(AND($G82&gt;=DZ$5,$G82&lt;DZ$5+GanttPeriod),"◆",IF(AND($E82&gt;=DZ$5,$E82&lt;DZ$5+GanttPeriod),"◇","")),IF(AND(DZ$5&lt;=$F82,DZ$5+GanttPeriod-1&gt;=$E82),"━","")))</f>
        <v/>
      </c>
      <c r="EA82" s="69" t="str">
        <f aca="false">IF($E82="","",IF($M82,IF(AND($G82&gt;=EA$5,$G82&lt;EA$5+GanttPeriod),"◆",IF(AND($E82&gt;=EA$5,$E82&lt;EA$5+GanttPeriod),"◇","")),IF(AND(EA$5&lt;=$F82,EA$5+GanttPeriod-1&gt;=$E82),"━","")))</f>
        <v/>
      </c>
      <c r="EB82" s="69" t="str">
        <f aca="false">IF($E82="","",IF($M82,IF(AND($G82&gt;=EB$5,$G82&lt;EB$5+GanttPeriod),"◆",IF(AND($E82&gt;=EB$5,$E82&lt;EB$5+GanttPeriod),"◇","")),IF(AND(EB$5&lt;=$F82,EB$5+GanttPeriod-1&gt;=$E82),"━","")))</f>
        <v/>
      </c>
      <c r="EC82" s="69" t="str">
        <f aca="false">IF($E82="","",IF($M82,IF(AND($G82&gt;=EC$5,$G82&lt;EC$5+GanttPeriod),"◆",IF(AND($E82&gt;=EC$5,$E82&lt;EC$5+GanttPeriod),"◇","")),IF(AND(EC$5&lt;=$F82,EC$5+GanttPeriod-1&gt;=$E82),"━","")))</f>
        <v/>
      </c>
      <c r="ED82" s="69" t="str">
        <f aca="false">IF($E82="","",IF($M82,IF(AND($G82&gt;=ED$5,$G82&lt;ED$5+GanttPeriod),"◆",IF(AND($E82&gt;=ED$5,$E82&lt;ED$5+GanttPeriod),"◇","")),IF(AND(ED$5&lt;=$F82,ED$5+GanttPeriod-1&gt;=$E82),"━","")))</f>
        <v/>
      </c>
      <c r="EE82" s="69" t="str">
        <f aca="false">IF($E82="","",IF($M82,IF(AND($G82&gt;=EE$5,$G82&lt;EE$5+GanttPeriod),"◆",IF(AND($E82&gt;=EE$5,$E82&lt;EE$5+GanttPeriod),"◇","")),IF(AND(EE$5&lt;=$F82,EE$5+GanttPeriod-1&gt;=$E82),"━","")))</f>
        <v/>
      </c>
      <c r="EF82" s="69" t="str">
        <f aca="false">IF($E82="","",IF($M82,IF(AND($G82&gt;=EF$5,$G82&lt;EF$5+GanttPeriod),"◆",IF(AND($E82&gt;=EF$5,$E82&lt;EF$5+GanttPeriod),"◇","")),IF(AND(EF$5&lt;=$F82,EF$5+GanttPeriod-1&gt;=$E82),"━","")))</f>
        <v/>
      </c>
      <c r="EG82" s="69" t="str">
        <f aca="false">IF($E82="","",IF($M82,IF(AND($G82&gt;=EG$5,$G82&lt;EG$5+GanttPeriod),"◆",IF(AND($E82&gt;=EG$5,$E82&lt;EG$5+GanttPeriod),"◇","")),IF(AND(EG$5&lt;=$F82,EG$5+GanttPeriod-1&gt;=$E82),"━","")))</f>
        <v/>
      </c>
      <c r="EH82" s="69" t="str">
        <f aca="false">IF($E82="","",IF($M82,IF(AND($G82&gt;=EH$5,$G82&lt;EH$5+GanttPeriod),"◆",IF(AND($E82&gt;=EH$5,$E82&lt;EH$5+GanttPeriod),"◇","")),IF(AND(EH$5&lt;=$F82,EH$5+GanttPeriod-1&gt;=$E82),"━","")))</f>
        <v/>
      </c>
      <c r="EI82" s="69" t="str">
        <f aca="false">IF($E82="","",IF($M82,IF(AND($G82&gt;=EI$5,$G82&lt;EI$5+GanttPeriod),"◆",IF(AND($E82&gt;=EI$5,$E82&lt;EI$5+GanttPeriod),"◇","")),IF(AND(EI$5&lt;=$F82,EI$5+GanttPeriod-1&gt;=$E82),"━","")))</f>
        <v/>
      </c>
      <c r="EJ82" s="69" t="str">
        <f aca="false">IF($E82="","",IF($M82,IF(AND($G82&gt;=EJ$5,$G82&lt;EJ$5+GanttPeriod),"◆",IF(AND($E82&gt;=EJ$5,$E82&lt;EJ$5+GanttPeriod),"◇","")),IF(AND(EJ$5&lt;=$F82,EJ$5+GanttPeriod-1&gt;=$E82),"━","")))</f>
        <v/>
      </c>
      <c r="EK82" s="69" t="str">
        <f aca="false">IF($E82="","",IF($M82,IF(AND($G82&gt;=EK$5,$G82&lt;EK$5+GanttPeriod),"◆",IF(AND($E82&gt;=EK$5,$E82&lt;EK$5+GanttPeriod),"◇","")),IF(AND(EK$5&lt;=$F82,EK$5+GanttPeriod-1&gt;=$E82),"━","")))</f>
        <v/>
      </c>
      <c r="EL82" s="69" t="str">
        <f aca="false">IF($E82="","",IF($M82,IF(AND($G82&gt;=EL$5,$G82&lt;EL$5+GanttPeriod),"◆",IF(AND($E82&gt;=EL$5,$E82&lt;EL$5+GanttPeriod),"◇","")),IF(AND(EL$5&lt;=$F82,EL$5+GanttPeriod-1&gt;=$E82),"━","")))</f>
        <v/>
      </c>
      <c r="EM82" s="69" t="str">
        <f aca="false">IF($E82="","",IF($M82,IF(AND($G82&gt;=EM$5,$G82&lt;EM$5+GanttPeriod),"◆",IF(AND($E82&gt;=EM$5,$E82&lt;EM$5+GanttPeriod),"◇","")),IF(AND(EM$5&lt;=$F82,EM$5+GanttPeriod-1&gt;=$E82),"━","")))</f>
        <v/>
      </c>
      <c r="EN82" s="69" t="str">
        <f aca="false">IF($E82="","",IF($M82,IF(AND($G82&gt;=EN$5,$G82&lt;EN$5+GanttPeriod),"◆",IF(AND($E82&gt;=EN$5,$E82&lt;EN$5+GanttPeriod),"◇","")),IF(AND(EN$5&lt;=$F82,EN$5+GanttPeriod-1&gt;=$E82),"━","")))</f>
        <v/>
      </c>
      <c r="EO82" s="69" t="str">
        <f aca="false">IF($E82="","",IF($M82,IF(AND($G82&gt;=EO$5,$G82&lt;EO$5+GanttPeriod),"◆",IF(AND($E82&gt;=EO$5,$E82&lt;EO$5+GanttPeriod),"◇","")),IF(AND(EO$5&lt;=$F82,EO$5+GanttPeriod-1&gt;=$E82),"━","")))</f>
        <v/>
      </c>
      <c r="EP82" s="69" t="str">
        <f aca="false">IF($E82="","",IF($M82,IF(AND($G82&gt;=EP$5,$G82&lt;EP$5+GanttPeriod),"◆",IF(AND($E82&gt;=EP$5,$E82&lt;EP$5+GanttPeriod),"◇","")),IF(AND(EP$5&lt;=$F82,EP$5+GanttPeriod-1&gt;=$E82),"━","")))</f>
        <v/>
      </c>
      <c r="EQ82" s="69" t="str">
        <f aca="false">IF($E82="","",IF($M82,IF(AND($G82&gt;=EQ$5,$G82&lt;EQ$5+GanttPeriod),"◆",IF(AND($E82&gt;=EQ$5,$E82&lt;EQ$5+GanttPeriod),"◇","")),IF(AND(EQ$5&lt;=$F82,EQ$5+GanttPeriod-1&gt;=$E82),"━","")))</f>
        <v/>
      </c>
      <c r="ER82" s="69" t="str">
        <f aca="false">IF($E82="","",IF($M82,IF(AND($G82&gt;=ER$5,$G82&lt;ER$5+GanttPeriod),"◆",IF(AND($E82&gt;=ER$5,$E82&lt;ER$5+GanttPeriod),"◇","")),IF(AND(ER$5&lt;=$F82,ER$5+GanttPeriod-1&gt;=$E82),"━","")))</f>
        <v/>
      </c>
      <c r="ES82" s="69" t="str">
        <f aca="false">IF($E82="","",IF($M82,IF(AND($G82&gt;=ES$5,$G82&lt;ES$5+GanttPeriod),"◆",IF(AND($E82&gt;=ES$5,$E82&lt;ES$5+GanttPeriod),"◇","")),IF(AND(ES$5&lt;=$F82,ES$5+GanttPeriod-1&gt;=$E82),"━","")))</f>
        <v/>
      </c>
      <c r="ET82" s="69" t="str">
        <f aca="false">IF($E82="","",IF($M82,IF(AND($G82&gt;=ET$5,$G82&lt;ET$5+GanttPeriod),"◆",IF(AND($E82&gt;=ET$5,$E82&lt;ET$5+GanttPeriod),"◇","")),IF(AND(ET$5&lt;=$F82,ET$5+GanttPeriod-1&gt;=$E82),"━","")))</f>
        <v/>
      </c>
      <c r="EU82" s="69" t="str">
        <f aca="false">IF($E82="","",IF($M82,IF(AND($G82&gt;=EU$5,$G82&lt;EU$5+GanttPeriod),"◆",IF(AND($E82&gt;=EU$5,$E82&lt;EU$5+GanttPeriod),"◇","")),IF(AND(EU$5&lt;=$F82,EU$5+GanttPeriod-1&gt;=$E82),"━","")))</f>
        <v/>
      </c>
      <c r="EV82" s="69" t="str">
        <f aca="false">IF($E82="","",IF($M82,IF(AND($G82&gt;=EV$5,$G82&lt;EV$5+GanttPeriod),"◆",IF(AND($E82&gt;=EV$5,$E82&lt;EV$5+GanttPeriod),"◇","")),IF(AND(EV$5&lt;=$F82,EV$5+GanttPeriod-1&gt;=$E82),"━","")))</f>
        <v/>
      </c>
      <c r="EW82" s="69" t="str">
        <f aca="false">IF($E82="","",IF($M82,IF(AND($G82&gt;=EW$5,$G82&lt;EW$5+GanttPeriod),"◆",IF(AND($E82&gt;=EW$5,$E82&lt;EW$5+GanttPeriod),"◇","")),IF(AND(EW$5&lt;=$F82,EW$5+GanttPeriod-1&gt;=$E82),"━","")))</f>
        <v/>
      </c>
      <c r="EX82" s="69" t="str">
        <f aca="false">IF($E82="","",IF($M82,IF(AND($G82&gt;=EX$5,$G82&lt;EX$5+GanttPeriod),"◆",IF(AND($E82&gt;=EX$5,$E82&lt;EX$5+GanttPeriod),"◇","")),IF(AND(EX$5&lt;=$F82,EX$5+GanttPeriod-1&gt;=$E82),"━","")))</f>
        <v/>
      </c>
      <c r="EY82" s="69" t="str">
        <f aca="false">IF($E82="","",IF($M82,IF(AND($G82&gt;=EY$5,$G82&lt;EY$5+GanttPeriod),"◆",IF(AND($E82&gt;=EY$5,$E82&lt;EY$5+GanttPeriod),"◇","")),IF(AND(EY$5&lt;=$F82,EY$5+GanttPeriod-1&gt;=$E82),"━","")))</f>
        <v/>
      </c>
      <c r="EZ82" s="69" t="str">
        <f aca="false">IF($E82="","",IF($M82,IF(AND($G82&gt;=EZ$5,$G82&lt;EZ$5+GanttPeriod),"◆",IF(AND($E82&gt;=EZ$5,$E82&lt;EZ$5+GanttPeriod),"◇","")),IF(AND(EZ$5&lt;=$F82,EZ$5+GanttPeriod-1&gt;=$E82),"━","")))</f>
        <v/>
      </c>
      <c r="FA82" s="69" t="str">
        <f aca="false">IF($E82="","",IF($M82,IF(AND($G82&gt;=FA$5,$G82&lt;FA$5+GanttPeriod),"◆",IF(AND($E82&gt;=FA$5,$E82&lt;FA$5+GanttPeriod),"◇","")),IF(AND(FA$5&lt;=$F82,FA$5+GanttPeriod-1&gt;=$E82),"━","")))</f>
        <v/>
      </c>
      <c r="FB82" s="69" t="str">
        <f aca="false">IF($E82="","",IF($M82,IF(AND($G82&gt;=FB$5,$G82&lt;FB$5+GanttPeriod),"◆",IF(AND($E82&gt;=FB$5,$E82&lt;FB$5+GanttPeriod),"◇","")),IF(AND(FB$5&lt;=$F82,FB$5+GanttPeriod-1&gt;=$E82),"━","")))</f>
        <v/>
      </c>
      <c r="FC82" s="69" t="str">
        <f aca="false">IF($E82="","",IF($M82,IF(AND($G82&gt;=FC$5,$G82&lt;FC$5+GanttPeriod),"◆",IF(AND($E82&gt;=FC$5,$E82&lt;FC$5+GanttPeriod),"◇","")),IF(AND(FC$5&lt;=$F82,FC$5+GanttPeriod-1&gt;=$E82),"━","")))</f>
        <v/>
      </c>
      <c r="FD82" s="69" t="str">
        <f aca="false">IF($E82="","",IF($M82,IF(AND($G82&gt;=FD$5,$G82&lt;FD$5+GanttPeriod),"◆",IF(AND($E82&gt;=FD$5,$E82&lt;FD$5+GanttPeriod),"◇","")),IF(AND(FD$5&lt;=$F82,FD$5+GanttPeriod-1&gt;=$E82),"━","")))</f>
        <v/>
      </c>
      <c r="FE82" s="69" t="str">
        <f aca="false">IF($E82="","",IF($M82,IF(AND($G82&gt;=FE$5,$G82&lt;FE$5+GanttPeriod),"◆",IF(AND($E82&gt;=FE$5,$E82&lt;FE$5+GanttPeriod),"◇","")),IF(AND(FE$5&lt;=$F82,FE$5+GanttPeriod-1&gt;=$E82),"━","")))</f>
        <v/>
      </c>
      <c r="FF82" s="69" t="str">
        <f aca="false">IF($E82="","",IF($M82,IF(AND($G82&gt;=FF$5,$G82&lt;FF$5+GanttPeriod),"◆",IF(AND($E82&gt;=FF$5,$E82&lt;FF$5+GanttPeriod),"◇","")),IF(AND(FF$5&lt;=$F82,FF$5+GanttPeriod-1&gt;=$E82),"━","")))</f>
        <v/>
      </c>
      <c r="FG82" s="69" t="str">
        <f aca="false">IF($E82="","",IF($M82,IF(AND($G82&gt;=FG$5,$G82&lt;FG$5+GanttPeriod),"◆",IF(AND($E82&gt;=FG$5,$E82&lt;FG$5+GanttPeriod),"◇","")),IF(AND(FG$5&lt;=$F82,FG$5+GanttPeriod-1&gt;=$E82),"━","")))</f>
        <v/>
      </c>
      <c r="FH82" s="69" t="str">
        <f aca="false">IF($E82="","",IF($M82,IF(AND($G82&gt;=FH$5,$G82&lt;FH$5+GanttPeriod),"◆",IF(AND($E82&gt;=FH$5,$E82&lt;FH$5+GanttPeriod),"◇","")),IF(AND(FH$5&lt;=$F82,FH$5+GanttPeriod-1&gt;=$E82),"━","")))</f>
        <v/>
      </c>
      <c r="FI82" s="69" t="str">
        <f aca="false">IF($E82="","",IF($M82,IF(AND($G82&gt;=FI$5,$G82&lt;FI$5+GanttPeriod),"◆",IF(AND($E82&gt;=FI$5,$E82&lt;FI$5+GanttPeriod),"◇","")),IF(AND(FI$5&lt;=$F82,FI$5+GanttPeriod-1&gt;=$E82),"━","")))</f>
        <v/>
      </c>
      <c r="FJ82" s="69" t="str">
        <f aca="false">IF($E82="","",IF($M82,IF(AND($G82&gt;=FJ$5,$G82&lt;FJ$5+GanttPeriod),"◆",IF(AND($E82&gt;=FJ$5,$E82&lt;FJ$5+GanttPeriod),"◇","")),IF(AND(FJ$5&lt;=$F82,FJ$5+GanttPeriod-1&gt;=$E82),"━","")))</f>
        <v/>
      </c>
      <c r="FK82" s="69" t="str">
        <f aca="false">IF($E82="","",IF($M82,IF(AND($G82&gt;=FK$5,$G82&lt;FK$5+GanttPeriod),"◆",IF(AND($E82&gt;=FK$5,$E82&lt;FK$5+GanttPeriod),"◇","")),IF(AND(FK$5&lt;=$F82,FK$5+GanttPeriod-1&gt;=$E82),"━","")))</f>
        <v/>
      </c>
      <c r="FL82" s="69" t="str">
        <f aca="false">IF($E82="","",IF($M82,IF(AND($G82&gt;=FL$5,$G82&lt;FL$5+GanttPeriod),"◆",IF(AND($E82&gt;=FL$5,$E82&lt;FL$5+GanttPeriod),"◇","")),IF(AND(FL$5&lt;=$F82,FL$5+GanttPeriod-1&gt;=$E82),"━","")))</f>
        <v/>
      </c>
      <c r="FM82" s="69" t="str">
        <f aca="false">IF($E82="","",IF($M82,IF(AND($G82&gt;=FM$5,$G82&lt;FM$5+GanttPeriod),"◆",IF(AND($E82&gt;=FM$5,$E82&lt;FM$5+GanttPeriod),"◇","")),IF(AND(FM$5&lt;=$F82,FM$5+GanttPeriod-1&gt;=$E82),"━","")))</f>
        <v/>
      </c>
    </row>
    <row r="83" customFormat="false" ht="15" hidden="false" customHeight="false" outlineLevel="0" collapsed="false">
      <c r="A83" s="62" t="str">
        <f aca="false">IF(Tasks!$D83="","",Tasks!$A83)</f>
        <v/>
      </c>
      <c r="B83" s="62" t="str">
        <f aca="false">IF(Tasks!$D83="","",Tasks!$B83)</f>
        <v/>
      </c>
      <c r="C83" s="63" t="str">
        <f aca="false">IF(Tasks!$D83="","",REPT("    ",Tasks!$AE83-1)&amp;Tasks!$D83)</f>
        <v/>
      </c>
      <c r="D83" s="62" t="str">
        <f aca="false">IF(Tasks!$D83="","",IF(Tasks!$AI83,NETWORKDAYS.INTL(Tasks!$R83,Tasks!$S83,WorkWeek,Holidays),N(Tasks!$F83)))</f>
        <v/>
      </c>
      <c r="E83" s="64" t="str">
        <f aca="false">IF(Tasks!$D83="","",Tasks!$N83)</f>
        <v/>
      </c>
      <c r="F83" s="64" t="str">
        <f aca="false">IF(Tasks!$D83="","",Tasks!$O83)</f>
        <v/>
      </c>
      <c r="G83" s="64" t="str">
        <f aca="false">IF(Tasks!$D83="","",Tasks!$R83)</f>
        <v/>
      </c>
      <c r="H83" s="64" t="str">
        <f aca="false">IF(Tasks!$D83="","",Tasks!$S83)</f>
        <v/>
      </c>
      <c r="I83" s="65" t="str">
        <f aca="false">IF(Tasks!$D83="","",Tasks!$V83)</f>
        <v/>
      </c>
      <c r="J83" s="63" t="str">
        <f aca="false">IF(Tasks!$D83="","",Tasks!$X83&amp;"")</f>
        <v/>
      </c>
      <c r="K83" s="66" t="str">
        <f aca="false">IF(Tasks!$D83="","",Tasks!$W83)</f>
        <v/>
      </c>
      <c r="L83" s="67" t="b">
        <f aca="false">IF(Tasks!$D83="",FALSE(),Tasks!$AI83)</f>
        <v>0</v>
      </c>
      <c r="M83" s="67" t="b">
        <f aca="false">AND(Tasks!$AJ83=1,N(Tasks!$F83)=0)</f>
        <v>0</v>
      </c>
      <c r="N83" s="68" t="n">
        <f aca="false">IF(AND(Tasks!$AJ83=1,NOT($M83),N($I83)&gt;0),$G83,0)</f>
        <v>0</v>
      </c>
      <c r="O83" s="68" t="n">
        <f aca="false">IF($N83=0,0,IF($I83&gt;=1,$H83,MAX($N83,$G83+ROUND(($H83-$G83+1)*$I83,0)-1)))</f>
        <v>0</v>
      </c>
      <c r="P83" s="68" t="n">
        <f aca="false">IF(OR(Tasks!$AJ83&lt;&gt;1,$M83,N($I83)&gt;=1),0,IF($O83&gt;0,$O83+1,$G83))</f>
        <v>0</v>
      </c>
      <c r="Q83" s="68" t="n">
        <f aca="false">IF($P83=0,0,$H83)</f>
        <v>0</v>
      </c>
      <c r="R83" s="67" t="b">
        <f aca="false">AND(Tasks!$D83&lt;&gt;"",N(Tasks!$T83)&gt;0)</f>
        <v>0</v>
      </c>
      <c r="T83" s="69" t="str">
        <f aca="false">IF($E83="","",IF($M83,IF(AND($G83&gt;=T$5,$G83&lt;T$5+GanttPeriod),"◆",IF(AND($E83&gt;=T$5,$E83&lt;T$5+GanttPeriod),"◇","")),IF(AND(T$5&lt;=$F83,T$5+GanttPeriod-1&gt;=$E83),"━","")))</f>
        <v/>
      </c>
      <c r="U83" s="69" t="str">
        <f aca="false">IF($E83="","",IF($M83,IF(AND($G83&gt;=U$5,$G83&lt;U$5+GanttPeriod),"◆",IF(AND($E83&gt;=U$5,$E83&lt;U$5+GanttPeriod),"◇","")),IF(AND(U$5&lt;=$F83,U$5+GanttPeriod-1&gt;=$E83),"━","")))</f>
        <v/>
      </c>
      <c r="V83" s="69" t="str">
        <f aca="false">IF($E83="","",IF($M83,IF(AND($G83&gt;=V$5,$G83&lt;V$5+GanttPeriod),"◆",IF(AND($E83&gt;=V$5,$E83&lt;V$5+GanttPeriod),"◇","")),IF(AND(V$5&lt;=$F83,V$5+GanttPeriod-1&gt;=$E83),"━","")))</f>
        <v/>
      </c>
      <c r="W83" s="69" t="str">
        <f aca="false">IF($E83="","",IF($M83,IF(AND($G83&gt;=W$5,$G83&lt;W$5+GanttPeriod),"◆",IF(AND($E83&gt;=W$5,$E83&lt;W$5+GanttPeriod),"◇","")),IF(AND(W$5&lt;=$F83,W$5+GanttPeriod-1&gt;=$E83),"━","")))</f>
        <v/>
      </c>
      <c r="X83" s="69" t="str">
        <f aca="false">IF($E83="","",IF($M83,IF(AND($G83&gt;=X$5,$G83&lt;X$5+GanttPeriod),"◆",IF(AND($E83&gt;=X$5,$E83&lt;X$5+GanttPeriod),"◇","")),IF(AND(X$5&lt;=$F83,X$5+GanttPeriod-1&gt;=$E83),"━","")))</f>
        <v/>
      </c>
      <c r="Y83" s="69" t="str">
        <f aca="false">IF($E83="","",IF($M83,IF(AND($G83&gt;=Y$5,$G83&lt;Y$5+GanttPeriod),"◆",IF(AND($E83&gt;=Y$5,$E83&lt;Y$5+GanttPeriod),"◇","")),IF(AND(Y$5&lt;=$F83,Y$5+GanttPeriod-1&gt;=$E83),"━","")))</f>
        <v/>
      </c>
      <c r="Z83" s="69" t="str">
        <f aca="false">IF($E83="","",IF($M83,IF(AND($G83&gt;=Z$5,$G83&lt;Z$5+GanttPeriod),"◆",IF(AND($E83&gt;=Z$5,$E83&lt;Z$5+GanttPeriod),"◇","")),IF(AND(Z$5&lt;=$F83,Z$5+GanttPeriod-1&gt;=$E83),"━","")))</f>
        <v/>
      </c>
      <c r="AA83" s="69" t="str">
        <f aca="false">IF($E83="","",IF($M83,IF(AND($G83&gt;=AA$5,$G83&lt;AA$5+GanttPeriod),"◆",IF(AND($E83&gt;=AA$5,$E83&lt;AA$5+GanttPeriod),"◇","")),IF(AND(AA$5&lt;=$F83,AA$5+GanttPeriod-1&gt;=$E83),"━","")))</f>
        <v/>
      </c>
      <c r="AB83" s="69" t="str">
        <f aca="false">IF($E83="","",IF($M83,IF(AND($G83&gt;=AB$5,$G83&lt;AB$5+GanttPeriod),"◆",IF(AND($E83&gt;=AB$5,$E83&lt;AB$5+GanttPeriod),"◇","")),IF(AND(AB$5&lt;=$F83,AB$5+GanttPeriod-1&gt;=$E83),"━","")))</f>
        <v/>
      </c>
      <c r="AC83" s="69" t="str">
        <f aca="false">IF($E83="","",IF($M83,IF(AND($G83&gt;=AC$5,$G83&lt;AC$5+GanttPeriod),"◆",IF(AND($E83&gt;=AC$5,$E83&lt;AC$5+GanttPeriod),"◇","")),IF(AND(AC$5&lt;=$F83,AC$5+GanttPeriod-1&gt;=$E83),"━","")))</f>
        <v/>
      </c>
      <c r="AD83" s="69" t="str">
        <f aca="false">IF($E83="","",IF($M83,IF(AND($G83&gt;=AD$5,$G83&lt;AD$5+GanttPeriod),"◆",IF(AND($E83&gt;=AD$5,$E83&lt;AD$5+GanttPeriod),"◇","")),IF(AND(AD$5&lt;=$F83,AD$5+GanttPeriod-1&gt;=$E83),"━","")))</f>
        <v/>
      </c>
      <c r="AE83" s="69" t="str">
        <f aca="false">IF($E83="","",IF($M83,IF(AND($G83&gt;=AE$5,$G83&lt;AE$5+GanttPeriod),"◆",IF(AND($E83&gt;=AE$5,$E83&lt;AE$5+GanttPeriod),"◇","")),IF(AND(AE$5&lt;=$F83,AE$5+GanttPeriod-1&gt;=$E83),"━","")))</f>
        <v/>
      </c>
      <c r="AF83" s="69" t="str">
        <f aca="false">IF($E83="","",IF($M83,IF(AND($G83&gt;=AF$5,$G83&lt;AF$5+GanttPeriod),"◆",IF(AND($E83&gt;=AF$5,$E83&lt;AF$5+GanttPeriod),"◇","")),IF(AND(AF$5&lt;=$F83,AF$5+GanttPeriod-1&gt;=$E83),"━","")))</f>
        <v/>
      </c>
      <c r="AG83" s="69" t="str">
        <f aca="false">IF($E83="","",IF($M83,IF(AND($G83&gt;=AG$5,$G83&lt;AG$5+GanttPeriod),"◆",IF(AND($E83&gt;=AG$5,$E83&lt;AG$5+GanttPeriod),"◇","")),IF(AND(AG$5&lt;=$F83,AG$5+GanttPeriod-1&gt;=$E83),"━","")))</f>
        <v/>
      </c>
      <c r="AH83" s="69" t="str">
        <f aca="false">IF($E83="","",IF($M83,IF(AND($G83&gt;=AH$5,$G83&lt;AH$5+GanttPeriod),"◆",IF(AND($E83&gt;=AH$5,$E83&lt;AH$5+GanttPeriod),"◇","")),IF(AND(AH$5&lt;=$F83,AH$5+GanttPeriod-1&gt;=$E83),"━","")))</f>
        <v/>
      </c>
      <c r="AI83" s="69" t="str">
        <f aca="false">IF($E83="","",IF($M83,IF(AND($G83&gt;=AI$5,$G83&lt;AI$5+GanttPeriod),"◆",IF(AND($E83&gt;=AI$5,$E83&lt;AI$5+GanttPeriod),"◇","")),IF(AND(AI$5&lt;=$F83,AI$5+GanttPeriod-1&gt;=$E83),"━","")))</f>
        <v/>
      </c>
      <c r="AJ83" s="69" t="str">
        <f aca="false">IF($E83="","",IF($M83,IF(AND($G83&gt;=AJ$5,$G83&lt;AJ$5+GanttPeriod),"◆",IF(AND($E83&gt;=AJ$5,$E83&lt;AJ$5+GanttPeriod),"◇","")),IF(AND(AJ$5&lt;=$F83,AJ$5+GanttPeriod-1&gt;=$E83),"━","")))</f>
        <v/>
      </c>
      <c r="AK83" s="69" t="str">
        <f aca="false">IF($E83="","",IF($M83,IF(AND($G83&gt;=AK$5,$G83&lt;AK$5+GanttPeriod),"◆",IF(AND($E83&gt;=AK$5,$E83&lt;AK$5+GanttPeriod),"◇","")),IF(AND(AK$5&lt;=$F83,AK$5+GanttPeriod-1&gt;=$E83),"━","")))</f>
        <v/>
      </c>
      <c r="AL83" s="69" t="str">
        <f aca="false">IF($E83="","",IF($M83,IF(AND($G83&gt;=AL$5,$G83&lt;AL$5+GanttPeriod),"◆",IF(AND($E83&gt;=AL$5,$E83&lt;AL$5+GanttPeriod),"◇","")),IF(AND(AL$5&lt;=$F83,AL$5+GanttPeriod-1&gt;=$E83),"━","")))</f>
        <v/>
      </c>
      <c r="AM83" s="69" t="str">
        <f aca="false">IF($E83="","",IF($M83,IF(AND($G83&gt;=AM$5,$G83&lt;AM$5+GanttPeriod),"◆",IF(AND($E83&gt;=AM$5,$E83&lt;AM$5+GanttPeriod),"◇","")),IF(AND(AM$5&lt;=$F83,AM$5+GanttPeriod-1&gt;=$E83),"━","")))</f>
        <v/>
      </c>
      <c r="AN83" s="69" t="str">
        <f aca="false">IF($E83="","",IF($M83,IF(AND($G83&gt;=AN$5,$G83&lt;AN$5+GanttPeriod),"◆",IF(AND($E83&gt;=AN$5,$E83&lt;AN$5+GanttPeriod),"◇","")),IF(AND(AN$5&lt;=$F83,AN$5+GanttPeriod-1&gt;=$E83),"━","")))</f>
        <v/>
      </c>
      <c r="AO83" s="69" t="str">
        <f aca="false">IF($E83="","",IF($M83,IF(AND($G83&gt;=AO$5,$G83&lt;AO$5+GanttPeriod),"◆",IF(AND($E83&gt;=AO$5,$E83&lt;AO$5+GanttPeriod),"◇","")),IF(AND(AO$5&lt;=$F83,AO$5+GanttPeriod-1&gt;=$E83),"━","")))</f>
        <v/>
      </c>
      <c r="AP83" s="69" t="str">
        <f aca="false">IF($E83="","",IF($M83,IF(AND($G83&gt;=AP$5,$G83&lt;AP$5+GanttPeriod),"◆",IF(AND($E83&gt;=AP$5,$E83&lt;AP$5+GanttPeriod),"◇","")),IF(AND(AP$5&lt;=$F83,AP$5+GanttPeriod-1&gt;=$E83),"━","")))</f>
        <v/>
      </c>
      <c r="AQ83" s="69" t="str">
        <f aca="false">IF($E83="","",IF($M83,IF(AND($G83&gt;=AQ$5,$G83&lt;AQ$5+GanttPeriod),"◆",IF(AND($E83&gt;=AQ$5,$E83&lt;AQ$5+GanttPeriod),"◇","")),IF(AND(AQ$5&lt;=$F83,AQ$5+GanttPeriod-1&gt;=$E83),"━","")))</f>
        <v/>
      </c>
      <c r="AR83" s="69" t="str">
        <f aca="false">IF($E83="","",IF($M83,IF(AND($G83&gt;=AR$5,$G83&lt;AR$5+GanttPeriod),"◆",IF(AND($E83&gt;=AR$5,$E83&lt;AR$5+GanttPeriod),"◇","")),IF(AND(AR$5&lt;=$F83,AR$5+GanttPeriod-1&gt;=$E83),"━","")))</f>
        <v/>
      </c>
      <c r="AS83" s="69" t="str">
        <f aca="false">IF($E83="","",IF($M83,IF(AND($G83&gt;=AS$5,$G83&lt;AS$5+GanttPeriod),"◆",IF(AND($E83&gt;=AS$5,$E83&lt;AS$5+GanttPeriod),"◇","")),IF(AND(AS$5&lt;=$F83,AS$5+GanttPeriod-1&gt;=$E83),"━","")))</f>
        <v/>
      </c>
      <c r="AT83" s="69" t="str">
        <f aca="false">IF($E83="","",IF($M83,IF(AND($G83&gt;=AT$5,$G83&lt;AT$5+GanttPeriod),"◆",IF(AND($E83&gt;=AT$5,$E83&lt;AT$5+GanttPeriod),"◇","")),IF(AND(AT$5&lt;=$F83,AT$5+GanttPeriod-1&gt;=$E83),"━","")))</f>
        <v/>
      </c>
      <c r="AU83" s="69" t="str">
        <f aca="false">IF($E83="","",IF($M83,IF(AND($G83&gt;=AU$5,$G83&lt;AU$5+GanttPeriod),"◆",IF(AND($E83&gt;=AU$5,$E83&lt;AU$5+GanttPeriod),"◇","")),IF(AND(AU$5&lt;=$F83,AU$5+GanttPeriod-1&gt;=$E83),"━","")))</f>
        <v/>
      </c>
      <c r="AV83" s="69" t="str">
        <f aca="false">IF($E83="","",IF($M83,IF(AND($G83&gt;=AV$5,$G83&lt;AV$5+GanttPeriod),"◆",IF(AND($E83&gt;=AV$5,$E83&lt;AV$5+GanttPeriod),"◇","")),IF(AND(AV$5&lt;=$F83,AV$5+GanttPeriod-1&gt;=$E83),"━","")))</f>
        <v/>
      </c>
      <c r="AW83" s="69" t="str">
        <f aca="false">IF($E83="","",IF($M83,IF(AND($G83&gt;=AW$5,$G83&lt;AW$5+GanttPeriod),"◆",IF(AND($E83&gt;=AW$5,$E83&lt;AW$5+GanttPeriod),"◇","")),IF(AND(AW$5&lt;=$F83,AW$5+GanttPeriod-1&gt;=$E83),"━","")))</f>
        <v/>
      </c>
      <c r="AX83" s="69" t="str">
        <f aca="false">IF($E83="","",IF($M83,IF(AND($G83&gt;=AX$5,$G83&lt;AX$5+GanttPeriod),"◆",IF(AND($E83&gt;=AX$5,$E83&lt;AX$5+GanttPeriod),"◇","")),IF(AND(AX$5&lt;=$F83,AX$5+GanttPeriod-1&gt;=$E83),"━","")))</f>
        <v/>
      </c>
      <c r="AY83" s="69" t="str">
        <f aca="false">IF($E83="","",IF($M83,IF(AND($G83&gt;=AY$5,$G83&lt;AY$5+GanttPeriod),"◆",IF(AND($E83&gt;=AY$5,$E83&lt;AY$5+GanttPeriod),"◇","")),IF(AND(AY$5&lt;=$F83,AY$5+GanttPeriod-1&gt;=$E83),"━","")))</f>
        <v/>
      </c>
      <c r="AZ83" s="69" t="str">
        <f aca="false">IF($E83="","",IF($M83,IF(AND($G83&gt;=AZ$5,$G83&lt;AZ$5+GanttPeriod),"◆",IF(AND($E83&gt;=AZ$5,$E83&lt;AZ$5+GanttPeriod),"◇","")),IF(AND(AZ$5&lt;=$F83,AZ$5+GanttPeriod-1&gt;=$E83),"━","")))</f>
        <v/>
      </c>
      <c r="BA83" s="69" t="str">
        <f aca="false">IF($E83="","",IF($M83,IF(AND($G83&gt;=BA$5,$G83&lt;BA$5+GanttPeriod),"◆",IF(AND($E83&gt;=BA$5,$E83&lt;BA$5+GanttPeriod),"◇","")),IF(AND(BA$5&lt;=$F83,BA$5+GanttPeriod-1&gt;=$E83),"━","")))</f>
        <v/>
      </c>
      <c r="BB83" s="69" t="str">
        <f aca="false">IF($E83="","",IF($M83,IF(AND($G83&gt;=BB$5,$G83&lt;BB$5+GanttPeriod),"◆",IF(AND($E83&gt;=BB$5,$E83&lt;BB$5+GanttPeriod),"◇","")),IF(AND(BB$5&lt;=$F83,BB$5+GanttPeriod-1&gt;=$E83),"━","")))</f>
        <v/>
      </c>
      <c r="BC83" s="69" t="str">
        <f aca="false">IF($E83="","",IF($M83,IF(AND($G83&gt;=BC$5,$G83&lt;BC$5+GanttPeriod),"◆",IF(AND($E83&gt;=BC$5,$E83&lt;BC$5+GanttPeriod),"◇","")),IF(AND(BC$5&lt;=$F83,BC$5+GanttPeriod-1&gt;=$E83),"━","")))</f>
        <v/>
      </c>
      <c r="BD83" s="69" t="str">
        <f aca="false">IF($E83="","",IF($M83,IF(AND($G83&gt;=BD$5,$G83&lt;BD$5+GanttPeriod),"◆",IF(AND($E83&gt;=BD$5,$E83&lt;BD$5+GanttPeriod),"◇","")),IF(AND(BD$5&lt;=$F83,BD$5+GanttPeriod-1&gt;=$E83),"━","")))</f>
        <v/>
      </c>
      <c r="BE83" s="69" t="str">
        <f aca="false">IF($E83="","",IF($M83,IF(AND($G83&gt;=BE$5,$G83&lt;BE$5+GanttPeriod),"◆",IF(AND($E83&gt;=BE$5,$E83&lt;BE$5+GanttPeriod),"◇","")),IF(AND(BE$5&lt;=$F83,BE$5+GanttPeriod-1&gt;=$E83),"━","")))</f>
        <v/>
      </c>
      <c r="BF83" s="69" t="str">
        <f aca="false">IF($E83="","",IF($M83,IF(AND($G83&gt;=BF$5,$G83&lt;BF$5+GanttPeriod),"◆",IF(AND($E83&gt;=BF$5,$E83&lt;BF$5+GanttPeriod),"◇","")),IF(AND(BF$5&lt;=$F83,BF$5+GanttPeriod-1&gt;=$E83),"━","")))</f>
        <v/>
      </c>
      <c r="BG83" s="69" t="str">
        <f aca="false">IF($E83="","",IF($M83,IF(AND($G83&gt;=BG$5,$G83&lt;BG$5+GanttPeriod),"◆",IF(AND($E83&gt;=BG$5,$E83&lt;BG$5+GanttPeriod),"◇","")),IF(AND(BG$5&lt;=$F83,BG$5+GanttPeriod-1&gt;=$E83),"━","")))</f>
        <v/>
      </c>
      <c r="BH83" s="69" t="str">
        <f aca="false">IF($E83="","",IF($M83,IF(AND($G83&gt;=BH$5,$G83&lt;BH$5+GanttPeriod),"◆",IF(AND($E83&gt;=BH$5,$E83&lt;BH$5+GanttPeriod),"◇","")),IF(AND(BH$5&lt;=$F83,BH$5+GanttPeriod-1&gt;=$E83),"━","")))</f>
        <v/>
      </c>
      <c r="BI83" s="69" t="str">
        <f aca="false">IF($E83="","",IF($M83,IF(AND($G83&gt;=BI$5,$G83&lt;BI$5+GanttPeriod),"◆",IF(AND($E83&gt;=BI$5,$E83&lt;BI$5+GanttPeriod),"◇","")),IF(AND(BI$5&lt;=$F83,BI$5+GanttPeriod-1&gt;=$E83),"━","")))</f>
        <v/>
      </c>
      <c r="BJ83" s="69" t="str">
        <f aca="false">IF($E83="","",IF($M83,IF(AND($G83&gt;=BJ$5,$G83&lt;BJ$5+GanttPeriod),"◆",IF(AND($E83&gt;=BJ$5,$E83&lt;BJ$5+GanttPeriod),"◇","")),IF(AND(BJ$5&lt;=$F83,BJ$5+GanttPeriod-1&gt;=$E83),"━","")))</f>
        <v/>
      </c>
      <c r="BK83" s="69" t="str">
        <f aca="false">IF($E83="","",IF($M83,IF(AND($G83&gt;=BK$5,$G83&lt;BK$5+GanttPeriod),"◆",IF(AND($E83&gt;=BK$5,$E83&lt;BK$5+GanttPeriod),"◇","")),IF(AND(BK$5&lt;=$F83,BK$5+GanttPeriod-1&gt;=$E83),"━","")))</f>
        <v/>
      </c>
      <c r="BL83" s="69" t="str">
        <f aca="false">IF($E83="","",IF($M83,IF(AND($G83&gt;=BL$5,$G83&lt;BL$5+GanttPeriod),"◆",IF(AND($E83&gt;=BL$5,$E83&lt;BL$5+GanttPeriod),"◇","")),IF(AND(BL$5&lt;=$F83,BL$5+GanttPeriod-1&gt;=$E83),"━","")))</f>
        <v/>
      </c>
      <c r="BM83" s="69" t="str">
        <f aca="false">IF($E83="","",IF($M83,IF(AND($G83&gt;=BM$5,$G83&lt;BM$5+GanttPeriod),"◆",IF(AND($E83&gt;=BM$5,$E83&lt;BM$5+GanttPeriod),"◇","")),IF(AND(BM$5&lt;=$F83,BM$5+GanttPeriod-1&gt;=$E83),"━","")))</f>
        <v/>
      </c>
      <c r="BN83" s="69" t="str">
        <f aca="false">IF($E83="","",IF($M83,IF(AND($G83&gt;=BN$5,$G83&lt;BN$5+GanttPeriod),"◆",IF(AND($E83&gt;=BN$5,$E83&lt;BN$5+GanttPeriod),"◇","")),IF(AND(BN$5&lt;=$F83,BN$5+GanttPeriod-1&gt;=$E83),"━","")))</f>
        <v/>
      </c>
      <c r="BO83" s="69" t="str">
        <f aca="false">IF($E83="","",IF($M83,IF(AND($G83&gt;=BO$5,$G83&lt;BO$5+GanttPeriod),"◆",IF(AND($E83&gt;=BO$5,$E83&lt;BO$5+GanttPeriod),"◇","")),IF(AND(BO$5&lt;=$F83,BO$5+GanttPeriod-1&gt;=$E83),"━","")))</f>
        <v/>
      </c>
      <c r="BP83" s="69" t="str">
        <f aca="false">IF($E83="","",IF($M83,IF(AND($G83&gt;=BP$5,$G83&lt;BP$5+GanttPeriod),"◆",IF(AND($E83&gt;=BP$5,$E83&lt;BP$5+GanttPeriod),"◇","")),IF(AND(BP$5&lt;=$F83,BP$5+GanttPeriod-1&gt;=$E83),"━","")))</f>
        <v/>
      </c>
      <c r="BQ83" s="69" t="str">
        <f aca="false">IF($E83="","",IF($M83,IF(AND($G83&gt;=BQ$5,$G83&lt;BQ$5+GanttPeriod),"◆",IF(AND($E83&gt;=BQ$5,$E83&lt;BQ$5+GanttPeriod),"◇","")),IF(AND(BQ$5&lt;=$F83,BQ$5+GanttPeriod-1&gt;=$E83),"━","")))</f>
        <v/>
      </c>
      <c r="BR83" s="69" t="str">
        <f aca="false">IF($E83="","",IF($M83,IF(AND($G83&gt;=BR$5,$G83&lt;BR$5+GanttPeriod),"◆",IF(AND($E83&gt;=BR$5,$E83&lt;BR$5+GanttPeriod),"◇","")),IF(AND(BR$5&lt;=$F83,BR$5+GanttPeriod-1&gt;=$E83),"━","")))</f>
        <v/>
      </c>
      <c r="BS83" s="69" t="str">
        <f aca="false">IF($E83="","",IF($M83,IF(AND($G83&gt;=BS$5,$G83&lt;BS$5+GanttPeriod),"◆",IF(AND($E83&gt;=BS$5,$E83&lt;BS$5+GanttPeriod),"◇","")),IF(AND(BS$5&lt;=$F83,BS$5+GanttPeriod-1&gt;=$E83),"━","")))</f>
        <v/>
      </c>
      <c r="BT83" s="69" t="str">
        <f aca="false">IF($E83="","",IF($M83,IF(AND($G83&gt;=BT$5,$G83&lt;BT$5+GanttPeriod),"◆",IF(AND($E83&gt;=BT$5,$E83&lt;BT$5+GanttPeriod),"◇","")),IF(AND(BT$5&lt;=$F83,BT$5+GanttPeriod-1&gt;=$E83),"━","")))</f>
        <v/>
      </c>
      <c r="BU83" s="69" t="str">
        <f aca="false">IF($E83="","",IF($M83,IF(AND($G83&gt;=BU$5,$G83&lt;BU$5+GanttPeriod),"◆",IF(AND($E83&gt;=BU$5,$E83&lt;BU$5+GanttPeriod),"◇","")),IF(AND(BU$5&lt;=$F83,BU$5+GanttPeriod-1&gt;=$E83),"━","")))</f>
        <v/>
      </c>
      <c r="BV83" s="69" t="str">
        <f aca="false">IF($E83="","",IF($M83,IF(AND($G83&gt;=BV$5,$G83&lt;BV$5+GanttPeriod),"◆",IF(AND($E83&gt;=BV$5,$E83&lt;BV$5+GanttPeriod),"◇","")),IF(AND(BV$5&lt;=$F83,BV$5+GanttPeriod-1&gt;=$E83),"━","")))</f>
        <v/>
      </c>
      <c r="BW83" s="69" t="str">
        <f aca="false">IF($E83="","",IF($M83,IF(AND($G83&gt;=BW$5,$G83&lt;BW$5+GanttPeriod),"◆",IF(AND($E83&gt;=BW$5,$E83&lt;BW$5+GanttPeriod),"◇","")),IF(AND(BW$5&lt;=$F83,BW$5+GanttPeriod-1&gt;=$E83),"━","")))</f>
        <v/>
      </c>
      <c r="BX83" s="69" t="str">
        <f aca="false">IF($E83="","",IF($M83,IF(AND($G83&gt;=BX$5,$G83&lt;BX$5+GanttPeriod),"◆",IF(AND($E83&gt;=BX$5,$E83&lt;BX$5+GanttPeriod),"◇","")),IF(AND(BX$5&lt;=$F83,BX$5+GanttPeriod-1&gt;=$E83),"━","")))</f>
        <v/>
      </c>
      <c r="BY83" s="69" t="str">
        <f aca="false">IF($E83="","",IF($M83,IF(AND($G83&gt;=BY$5,$G83&lt;BY$5+GanttPeriod),"◆",IF(AND($E83&gt;=BY$5,$E83&lt;BY$5+GanttPeriod),"◇","")),IF(AND(BY$5&lt;=$F83,BY$5+GanttPeriod-1&gt;=$E83),"━","")))</f>
        <v/>
      </c>
      <c r="BZ83" s="69" t="str">
        <f aca="false">IF($E83="","",IF($M83,IF(AND($G83&gt;=BZ$5,$G83&lt;BZ$5+GanttPeriod),"◆",IF(AND($E83&gt;=BZ$5,$E83&lt;BZ$5+GanttPeriod),"◇","")),IF(AND(BZ$5&lt;=$F83,BZ$5+GanttPeriod-1&gt;=$E83),"━","")))</f>
        <v/>
      </c>
      <c r="CA83" s="69" t="str">
        <f aca="false">IF($E83="","",IF($M83,IF(AND($G83&gt;=CA$5,$G83&lt;CA$5+GanttPeriod),"◆",IF(AND($E83&gt;=CA$5,$E83&lt;CA$5+GanttPeriod),"◇","")),IF(AND(CA$5&lt;=$F83,CA$5+GanttPeriod-1&gt;=$E83),"━","")))</f>
        <v/>
      </c>
      <c r="CB83" s="69" t="str">
        <f aca="false">IF($E83="","",IF($M83,IF(AND($G83&gt;=CB$5,$G83&lt;CB$5+GanttPeriod),"◆",IF(AND($E83&gt;=CB$5,$E83&lt;CB$5+GanttPeriod),"◇","")),IF(AND(CB$5&lt;=$F83,CB$5+GanttPeriod-1&gt;=$E83),"━","")))</f>
        <v/>
      </c>
      <c r="CC83" s="69" t="str">
        <f aca="false">IF($E83="","",IF($M83,IF(AND($G83&gt;=CC$5,$G83&lt;CC$5+GanttPeriod),"◆",IF(AND($E83&gt;=CC$5,$E83&lt;CC$5+GanttPeriod),"◇","")),IF(AND(CC$5&lt;=$F83,CC$5+GanttPeriod-1&gt;=$E83),"━","")))</f>
        <v/>
      </c>
      <c r="CD83" s="69" t="str">
        <f aca="false">IF($E83="","",IF($M83,IF(AND($G83&gt;=CD$5,$G83&lt;CD$5+GanttPeriod),"◆",IF(AND($E83&gt;=CD$5,$E83&lt;CD$5+GanttPeriod),"◇","")),IF(AND(CD$5&lt;=$F83,CD$5+GanttPeriod-1&gt;=$E83),"━","")))</f>
        <v/>
      </c>
      <c r="CE83" s="69" t="str">
        <f aca="false">IF($E83="","",IF($M83,IF(AND($G83&gt;=CE$5,$G83&lt;CE$5+GanttPeriod),"◆",IF(AND($E83&gt;=CE$5,$E83&lt;CE$5+GanttPeriod),"◇","")),IF(AND(CE$5&lt;=$F83,CE$5+GanttPeriod-1&gt;=$E83),"━","")))</f>
        <v/>
      </c>
      <c r="CF83" s="69" t="str">
        <f aca="false">IF($E83="","",IF($M83,IF(AND($G83&gt;=CF$5,$G83&lt;CF$5+GanttPeriod),"◆",IF(AND($E83&gt;=CF$5,$E83&lt;CF$5+GanttPeriod),"◇","")),IF(AND(CF$5&lt;=$F83,CF$5+GanttPeriod-1&gt;=$E83),"━","")))</f>
        <v/>
      </c>
      <c r="CG83" s="69" t="str">
        <f aca="false">IF($E83="","",IF($M83,IF(AND($G83&gt;=CG$5,$G83&lt;CG$5+GanttPeriod),"◆",IF(AND($E83&gt;=CG$5,$E83&lt;CG$5+GanttPeriod),"◇","")),IF(AND(CG$5&lt;=$F83,CG$5+GanttPeriod-1&gt;=$E83),"━","")))</f>
        <v/>
      </c>
      <c r="CH83" s="69" t="str">
        <f aca="false">IF($E83="","",IF($M83,IF(AND($G83&gt;=CH$5,$G83&lt;CH$5+GanttPeriod),"◆",IF(AND($E83&gt;=CH$5,$E83&lt;CH$5+GanttPeriod),"◇","")),IF(AND(CH$5&lt;=$F83,CH$5+GanttPeriod-1&gt;=$E83),"━","")))</f>
        <v/>
      </c>
      <c r="CI83" s="69" t="str">
        <f aca="false">IF($E83="","",IF($M83,IF(AND($G83&gt;=CI$5,$G83&lt;CI$5+GanttPeriod),"◆",IF(AND($E83&gt;=CI$5,$E83&lt;CI$5+GanttPeriod),"◇","")),IF(AND(CI$5&lt;=$F83,CI$5+GanttPeriod-1&gt;=$E83),"━","")))</f>
        <v/>
      </c>
      <c r="CJ83" s="69" t="str">
        <f aca="false">IF($E83="","",IF($M83,IF(AND($G83&gt;=CJ$5,$G83&lt;CJ$5+GanttPeriod),"◆",IF(AND($E83&gt;=CJ$5,$E83&lt;CJ$5+GanttPeriod),"◇","")),IF(AND(CJ$5&lt;=$F83,CJ$5+GanttPeriod-1&gt;=$E83),"━","")))</f>
        <v/>
      </c>
      <c r="CK83" s="69" t="str">
        <f aca="false">IF($E83="","",IF($M83,IF(AND($G83&gt;=CK$5,$G83&lt;CK$5+GanttPeriod),"◆",IF(AND($E83&gt;=CK$5,$E83&lt;CK$5+GanttPeriod),"◇","")),IF(AND(CK$5&lt;=$F83,CK$5+GanttPeriod-1&gt;=$E83),"━","")))</f>
        <v/>
      </c>
      <c r="CL83" s="69" t="str">
        <f aca="false">IF($E83="","",IF($M83,IF(AND($G83&gt;=CL$5,$G83&lt;CL$5+GanttPeriod),"◆",IF(AND($E83&gt;=CL$5,$E83&lt;CL$5+GanttPeriod),"◇","")),IF(AND(CL$5&lt;=$F83,CL$5+GanttPeriod-1&gt;=$E83),"━","")))</f>
        <v/>
      </c>
      <c r="CM83" s="69" t="str">
        <f aca="false">IF($E83="","",IF($M83,IF(AND($G83&gt;=CM$5,$G83&lt;CM$5+GanttPeriod),"◆",IF(AND($E83&gt;=CM$5,$E83&lt;CM$5+GanttPeriod),"◇","")),IF(AND(CM$5&lt;=$F83,CM$5+GanttPeriod-1&gt;=$E83),"━","")))</f>
        <v/>
      </c>
      <c r="CN83" s="69" t="str">
        <f aca="false">IF($E83="","",IF($M83,IF(AND($G83&gt;=CN$5,$G83&lt;CN$5+GanttPeriod),"◆",IF(AND($E83&gt;=CN$5,$E83&lt;CN$5+GanttPeriod),"◇","")),IF(AND(CN$5&lt;=$F83,CN$5+GanttPeriod-1&gt;=$E83),"━","")))</f>
        <v/>
      </c>
      <c r="CO83" s="69" t="str">
        <f aca="false">IF($E83="","",IF($M83,IF(AND($G83&gt;=CO$5,$G83&lt;CO$5+GanttPeriod),"◆",IF(AND($E83&gt;=CO$5,$E83&lt;CO$5+GanttPeriod),"◇","")),IF(AND(CO$5&lt;=$F83,CO$5+GanttPeriod-1&gt;=$E83),"━","")))</f>
        <v/>
      </c>
      <c r="CP83" s="69" t="str">
        <f aca="false">IF($E83="","",IF($M83,IF(AND($G83&gt;=CP$5,$G83&lt;CP$5+GanttPeriod),"◆",IF(AND($E83&gt;=CP$5,$E83&lt;CP$5+GanttPeriod),"◇","")),IF(AND(CP$5&lt;=$F83,CP$5+GanttPeriod-1&gt;=$E83),"━","")))</f>
        <v/>
      </c>
      <c r="CQ83" s="69" t="str">
        <f aca="false">IF($E83="","",IF($M83,IF(AND($G83&gt;=CQ$5,$G83&lt;CQ$5+GanttPeriod),"◆",IF(AND($E83&gt;=CQ$5,$E83&lt;CQ$5+GanttPeriod),"◇","")),IF(AND(CQ$5&lt;=$F83,CQ$5+GanttPeriod-1&gt;=$E83),"━","")))</f>
        <v/>
      </c>
      <c r="CR83" s="69" t="str">
        <f aca="false">IF($E83="","",IF($M83,IF(AND($G83&gt;=CR$5,$G83&lt;CR$5+GanttPeriod),"◆",IF(AND($E83&gt;=CR$5,$E83&lt;CR$5+GanttPeriod),"◇","")),IF(AND(CR$5&lt;=$F83,CR$5+GanttPeriod-1&gt;=$E83),"━","")))</f>
        <v/>
      </c>
      <c r="CS83" s="69" t="str">
        <f aca="false">IF($E83="","",IF($M83,IF(AND($G83&gt;=CS$5,$G83&lt;CS$5+GanttPeriod),"◆",IF(AND($E83&gt;=CS$5,$E83&lt;CS$5+GanttPeriod),"◇","")),IF(AND(CS$5&lt;=$F83,CS$5+GanttPeriod-1&gt;=$E83),"━","")))</f>
        <v/>
      </c>
      <c r="CT83" s="69" t="str">
        <f aca="false">IF($E83="","",IF($M83,IF(AND($G83&gt;=CT$5,$G83&lt;CT$5+GanttPeriod),"◆",IF(AND($E83&gt;=CT$5,$E83&lt;CT$5+GanttPeriod),"◇","")),IF(AND(CT$5&lt;=$F83,CT$5+GanttPeriod-1&gt;=$E83),"━","")))</f>
        <v/>
      </c>
      <c r="CU83" s="69" t="str">
        <f aca="false">IF($E83="","",IF($M83,IF(AND($G83&gt;=CU$5,$G83&lt;CU$5+GanttPeriod),"◆",IF(AND($E83&gt;=CU$5,$E83&lt;CU$5+GanttPeriod),"◇","")),IF(AND(CU$5&lt;=$F83,CU$5+GanttPeriod-1&gt;=$E83),"━","")))</f>
        <v/>
      </c>
      <c r="CV83" s="69" t="str">
        <f aca="false">IF($E83="","",IF($M83,IF(AND($G83&gt;=CV$5,$G83&lt;CV$5+GanttPeriod),"◆",IF(AND($E83&gt;=CV$5,$E83&lt;CV$5+GanttPeriod),"◇","")),IF(AND(CV$5&lt;=$F83,CV$5+GanttPeriod-1&gt;=$E83),"━","")))</f>
        <v/>
      </c>
      <c r="CW83" s="69" t="str">
        <f aca="false">IF($E83="","",IF($M83,IF(AND($G83&gt;=CW$5,$G83&lt;CW$5+GanttPeriod),"◆",IF(AND($E83&gt;=CW$5,$E83&lt;CW$5+GanttPeriod),"◇","")),IF(AND(CW$5&lt;=$F83,CW$5+GanttPeriod-1&gt;=$E83),"━","")))</f>
        <v/>
      </c>
      <c r="CX83" s="69" t="str">
        <f aca="false">IF($E83="","",IF($M83,IF(AND($G83&gt;=CX$5,$G83&lt;CX$5+GanttPeriod),"◆",IF(AND($E83&gt;=CX$5,$E83&lt;CX$5+GanttPeriod),"◇","")),IF(AND(CX$5&lt;=$F83,CX$5+GanttPeriod-1&gt;=$E83),"━","")))</f>
        <v/>
      </c>
      <c r="CY83" s="69" t="str">
        <f aca="false">IF($E83="","",IF($M83,IF(AND($G83&gt;=CY$5,$G83&lt;CY$5+GanttPeriod),"◆",IF(AND($E83&gt;=CY$5,$E83&lt;CY$5+GanttPeriod),"◇","")),IF(AND(CY$5&lt;=$F83,CY$5+GanttPeriod-1&gt;=$E83),"━","")))</f>
        <v/>
      </c>
      <c r="CZ83" s="69" t="str">
        <f aca="false">IF($E83="","",IF($M83,IF(AND($G83&gt;=CZ$5,$G83&lt;CZ$5+GanttPeriod),"◆",IF(AND($E83&gt;=CZ$5,$E83&lt;CZ$5+GanttPeriod),"◇","")),IF(AND(CZ$5&lt;=$F83,CZ$5+GanttPeriod-1&gt;=$E83),"━","")))</f>
        <v/>
      </c>
      <c r="DA83" s="69" t="str">
        <f aca="false">IF($E83="","",IF($M83,IF(AND($G83&gt;=DA$5,$G83&lt;DA$5+GanttPeriod),"◆",IF(AND($E83&gt;=DA$5,$E83&lt;DA$5+GanttPeriod),"◇","")),IF(AND(DA$5&lt;=$F83,DA$5+GanttPeriod-1&gt;=$E83),"━","")))</f>
        <v/>
      </c>
      <c r="DB83" s="69" t="str">
        <f aca="false">IF($E83="","",IF($M83,IF(AND($G83&gt;=DB$5,$G83&lt;DB$5+GanttPeriod),"◆",IF(AND($E83&gt;=DB$5,$E83&lt;DB$5+GanttPeriod),"◇","")),IF(AND(DB$5&lt;=$F83,DB$5+GanttPeriod-1&gt;=$E83),"━","")))</f>
        <v/>
      </c>
      <c r="DC83" s="69" t="str">
        <f aca="false">IF($E83="","",IF($M83,IF(AND($G83&gt;=DC$5,$G83&lt;DC$5+GanttPeriod),"◆",IF(AND($E83&gt;=DC$5,$E83&lt;DC$5+GanttPeriod),"◇","")),IF(AND(DC$5&lt;=$F83,DC$5+GanttPeriod-1&gt;=$E83),"━","")))</f>
        <v/>
      </c>
      <c r="DD83" s="69" t="str">
        <f aca="false">IF($E83="","",IF($M83,IF(AND($G83&gt;=DD$5,$G83&lt;DD$5+GanttPeriod),"◆",IF(AND($E83&gt;=DD$5,$E83&lt;DD$5+GanttPeriod),"◇","")),IF(AND(DD$5&lt;=$F83,DD$5+GanttPeriod-1&gt;=$E83),"━","")))</f>
        <v/>
      </c>
      <c r="DE83" s="69" t="str">
        <f aca="false">IF($E83="","",IF($M83,IF(AND($G83&gt;=DE$5,$G83&lt;DE$5+GanttPeriod),"◆",IF(AND($E83&gt;=DE$5,$E83&lt;DE$5+GanttPeriod),"◇","")),IF(AND(DE$5&lt;=$F83,DE$5+GanttPeriod-1&gt;=$E83),"━","")))</f>
        <v/>
      </c>
      <c r="DF83" s="69" t="str">
        <f aca="false">IF($E83="","",IF($M83,IF(AND($G83&gt;=DF$5,$G83&lt;DF$5+GanttPeriod),"◆",IF(AND($E83&gt;=DF$5,$E83&lt;DF$5+GanttPeriod),"◇","")),IF(AND(DF$5&lt;=$F83,DF$5+GanttPeriod-1&gt;=$E83),"━","")))</f>
        <v/>
      </c>
      <c r="DG83" s="69" t="str">
        <f aca="false">IF($E83="","",IF($M83,IF(AND($G83&gt;=DG$5,$G83&lt;DG$5+GanttPeriod),"◆",IF(AND($E83&gt;=DG$5,$E83&lt;DG$5+GanttPeriod),"◇","")),IF(AND(DG$5&lt;=$F83,DG$5+GanttPeriod-1&gt;=$E83),"━","")))</f>
        <v/>
      </c>
      <c r="DH83" s="69" t="str">
        <f aca="false">IF($E83="","",IF($M83,IF(AND($G83&gt;=DH$5,$G83&lt;DH$5+GanttPeriod),"◆",IF(AND($E83&gt;=DH$5,$E83&lt;DH$5+GanttPeriod),"◇","")),IF(AND(DH$5&lt;=$F83,DH$5+GanttPeriod-1&gt;=$E83),"━","")))</f>
        <v/>
      </c>
      <c r="DI83" s="69" t="str">
        <f aca="false">IF($E83="","",IF($M83,IF(AND($G83&gt;=DI$5,$G83&lt;DI$5+GanttPeriod),"◆",IF(AND($E83&gt;=DI$5,$E83&lt;DI$5+GanttPeriod),"◇","")),IF(AND(DI$5&lt;=$F83,DI$5+GanttPeriod-1&gt;=$E83),"━","")))</f>
        <v/>
      </c>
      <c r="DJ83" s="69" t="str">
        <f aca="false">IF($E83="","",IF($M83,IF(AND($G83&gt;=DJ$5,$G83&lt;DJ$5+GanttPeriod),"◆",IF(AND($E83&gt;=DJ$5,$E83&lt;DJ$5+GanttPeriod),"◇","")),IF(AND(DJ$5&lt;=$F83,DJ$5+GanttPeriod-1&gt;=$E83),"━","")))</f>
        <v/>
      </c>
      <c r="DK83" s="69" t="str">
        <f aca="false">IF($E83="","",IF($M83,IF(AND($G83&gt;=DK$5,$G83&lt;DK$5+GanttPeriod),"◆",IF(AND($E83&gt;=DK$5,$E83&lt;DK$5+GanttPeriod),"◇","")),IF(AND(DK$5&lt;=$F83,DK$5+GanttPeriod-1&gt;=$E83),"━","")))</f>
        <v/>
      </c>
      <c r="DL83" s="69" t="str">
        <f aca="false">IF($E83="","",IF($M83,IF(AND($G83&gt;=DL$5,$G83&lt;DL$5+GanttPeriod),"◆",IF(AND($E83&gt;=DL$5,$E83&lt;DL$5+GanttPeriod),"◇","")),IF(AND(DL$5&lt;=$F83,DL$5+GanttPeriod-1&gt;=$E83),"━","")))</f>
        <v/>
      </c>
      <c r="DM83" s="69" t="str">
        <f aca="false">IF($E83="","",IF($M83,IF(AND($G83&gt;=DM$5,$G83&lt;DM$5+GanttPeriod),"◆",IF(AND($E83&gt;=DM$5,$E83&lt;DM$5+GanttPeriod),"◇","")),IF(AND(DM$5&lt;=$F83,DM$5+GanttPeriod-1&gt;=$E83),"━","")))</f>
        <v/>
      </c>
      <c r="DN83" s="69" t="str">
        <f aca="false">IF($E83="","",IF($M83,IF(AND($G83&gt;=DN$5,$G83&lt;DN$5+GanttPeriod),"◆",IF(AND($E83&gt;=DN$5,$E83&lt;DN$5+GanttPeriod),"◇","")),IF(AND(DN$5&lt;=$F83,DN$5+GanttPeriod-1&gt;=$E83),"━","")))</f>
        <v/>
      </c>
      <c r="DO83" s="69" t="str">
        <f aca="false">IF($E83="","",IF($M83,IF(AND($G83&gt;=DO$5,$G83&lt;DO$5+GanttPeriod),"◆",IF(AND($E83&gt;=DO$5,$E83&lt;DO$5+GanttPeriod),"◇","")),IF(AND(DO$5&lt;=$F83,DO$5+GanttPeriod-1&gt;=$E83),"━","")))</f>
        <v/>
      </c>
      <c r="DP83" s="69" t="str">
        <f aca="false">IF($E83="","",IF($M83,IF(AND($G83&gt;=DP$5,$G83&lt;DP$5+GanttPeriod),"◆",IF(AND($E83&gt;=DP$5,$E83&lt;DP$5+GanttPeriod),"◇","")),IF(AND(DP$5&lt;=$F83,DP$5+GanttPeriod-1&gt;=$E83),"━","")))</f>
        <v/>
      </c>
      <c r="DQ83" s="69" t="str">
        <f aca="false">IF($E83="","",IF($M83,IF(AND($G83&gt;=DQ$5,$G83&lt;DQ$5+GanttPeriod),"◆",IF(AND($E83&gt;=DQ$5,$E83&lt;DQ$5+GanttPeriod),"◇","")),IF(AND(DQ$5&lt;=$F83,DQ$5+GanttPeriod-1&gt;=$E83),"━","")))</f>
        <v/>
      </c>
      <c r="DR83" s="69" t="str">
        <f aca="false">IF($E83="","",IF($M83,IF(AND($G83&gt;=DR$5,$G83&lt;DR$5+GanttPeriod),"◆",IF(AND($E83&gt;=DR$5,$E83&lt;DR$5+GanttPeriod),"◇","")),IF(AND(DR$5&lt;=$F83,DR$5+GanttPeriod-1&gt;=$E83),"━","")))</f>
        <v/>
      </c>
      <c r="DS83" s="69" t="str">
        <f aca="false">IF($E83="","",IF($M83,IF(AND($G83&gt;=DS$5,$G83&lt;DS$5+GanttPeriod),"◆",IF(AND($E83&gt;=DS$5,$E83&lt;DS$5+GanttPeriod),"◇","")),IF(AND(DS$5&lt;=$F83,DS$5+GanttPeriod-1&gt;=$E83),"━","")))</f>
        <v/>
      </c>
      <c r="DT83" s="69" t="str">
        <f aca="false">IF($E83="","",IF($M83,IF(AND($G83&gt;=DT$5,$G83&lt;DT$5+GanttPeriod),"◆",IF(AND($E83&gt;=DT$5,$E83&lt;DT$5+GanttPeriod),"◇","")),IF(AND(DT$5&lt;=$F83,DT$5+GanttPeriod-1&gt;=$E83),"━","")))</f>
        <v/>
      </c>
      <c r="DU83" s="69" t="str">
        <f aca="false">IF($E83="","",IF($M83,IF(AND($G83&gt;=DU$5,$G83&lt;DU$5+GanttPeriod),"◆",IF(AND($E83&gt;=DU$5,$E83&lt;DU$5+GanttPeriod),"◇","")),IF(AND(DU$5&lt;=$F83,DU$5+GanttPeriod-1&gt;=$E83),"━","")))</f>
        <v/>
      </c>
      <c r="DV83" s="69" t="str">
        <f aca="false">IF($E83="","",IF($M83,IF(AND($G83&gt;=DV$5,$G83&lt;DV$5+GanttPeriod),"◆",IF(AND($E83&gt;=DV$5,$E83&lt;DV$5+GanttPeriod),"◇","")),IF(AND(DV$5&lt;=$F83,DV$5+GanttPeriod-1&gt;=$E83),"━","")))</f>
        <v/>
      </c>
      <c r="DW83" s="69" t="str">
        <f aca="false">IF($E83="","",IF($M83,IF(AND($G83&gt;=DW$5,$G83&lt;DW$5+GanttPeriod),"◆",IF(AND($E83&gt;=DW$5,$E83&lt;DW$5+GanttPeriod),"◇","")),IF(AND(DW$5&lt;=$F83,DW$5+GanttPeriod-1&gt;=$E83),"━","")))</f>
        <v/>
      </c>
      <c r="DX83" s="69" t="str">
        <f aca="false">IF($E83="","",IF($M83,IF(AND($G83&gt;=DX$5,$G83&lt;DX$5+GanttPeriod),"◆",IF(AND($E83&gt;=DX$5,$E83&lt;DX$5+GanttPeriod),"◇","")),IF(AND(DX$5&lt;=$F83,DX$5+GanttPeriod-1&gt;=$E83),"━","")))</f>
        <v/>
      </c>
      <c r="DY83" s="69" t="str">
        <f aca="false">IF($E83="","",IF($M83,IF(AND($G83&gt;=DY$5,$G83&lt;DY$5+GanttPeriod),"◆",IF(AND($E83&gt;=DY$5,$E83&lt;DY$5+GanttPeriod),"◇","")),IF(AND(DY$5&lt;=$F83,DY$5+GanttPeriod-1&gt;=$E83),"━","")))</f>
        <v/>
      </c>
      <c r="DZ83" s="69" t="str">
        <f aca="false">IF($E83="","",IF($M83,IF(AND($G83&gt;=DZ$5,$G83&lt;DZ$5+GanttPeriod),"◆",IF(AND($E83&gt;=DZ$5,$E83&lt;DZ$5+GanttPeriod),"◇","")),IF(AND(DZ$5&lt;=$F83,DZ$5+GanttPeriod-1&gt;=$E83),"━","")))</f>
        <v/>
      </c>
      <c r="EA83" s="69" t="str">
        <f aca="false">IF($E83="","",IF($M83,IF(AND($G83&gt;=EA$5,$G83&lt;EA$5+GanttPeriod),"◆",IF(AND($E83&gt;=EA$5,$E83&lt;EA$5+GanttPeriod),"◇","")),IF(AND(EA$5&lt;=$F83,EA$5+GanttPeriod-1&gt;=$E83),"━","")))</f>
        <v/>
      </c>
      <c r="EB83" s="69" t="str">
        <f aca="false">IF($E83="","",IF($M83,IF(AND($G83&gt;=EB$5,$G83&lt;EB$5+GanttPeriod),"◆",IF(AND($E83&gt;=EB$5,$E83&lt;EB$5+GanttPeriod),"◇","")),IF(AND(EB$5&lt;=$F83,EB$5+GanttPeriod-1&gt;=$E83),"━","")))</f>
        <v/>
      </c>
      <c r="EC83" s="69" t="str">
        <f aca="false">IF($E83="","",IF($M83,IF(AND($G83&gt;=EC$5,$G83&lt;EC$5+GanttPeriod),"◆",IF(AND($E83&gt;=EC$5,$E83&lt;EC$5+GanttPeriod),"◇","")),IF(AND(EC$5&lt;=$F83,EC$5+GanttPeriod-1&gt;=$E83),"━","")))</f>
        <v/>
      </c>
      <c r="ED83" s="69" t="str">
        <f aca="false">IF($E83="","",IF($M83,IF(AND($G83&gt;=ED$5,$G83&lt;ED$5+GanttPeriod),"◆",IF(AND($E83&gt;=ED$5,$E83&lt;ED$5+GanttPeriod),"◇","")),IF(AND(ED$5&lt;=$F83,ED$5+GanttPeriod-1&gt;=$E83),"━","")))</f>
        <v/>
      </c>
      <c r="EE83" s="69" t="str">
        <f aca="false">IF($E83="","",IF($M83,IF(AND($G83&gt;=EE$5,$G83&lt;EE$5+GanttPeriod),"◆",IF(AND($E83&gt;=EE$5,$E83&lt;EE$5+GanttPeriod),"◇","")),IF(AND(EE$5&lt;=$F83,EE$5+GanttPeriod-1&gt;=$E83),"━","")))</f>
        <v/>
      </c>
      <c r="EF83" s="69" t="str">
        <f aca="false">IF($E83="","",IF($M83,IF(AND($G83&gt;=EF$5,$G83&lt;EF$5+GanttPeriod),"◆",IF(AND($E83&gt;=EF$5,$E83&lt;EF$5+GanttPeriod),"◇","")),IF(AND(EF$5&lt;=$F83,EF$5+GanttPeriod-1&gt;=$E83),"━","")))</f>
        <v/>
      </c>
      <c r="EG83" s="69" t="str">
        <f aca="false">IF($E83="","",IF($M83,IF(AND($G83&gt;=EG$5,$G83&lt;EG$5+GanttPeriod),"◆",IF(AND($E83&gt;=EG$5,$E83&lt;EG$5+GanttPeriod),"◇","")),IF(AND(EG$5&lt;=$F83,EG$5+GanttPeriod-1&gt;=$E83),"━","")))</f>
        <v/>
      </c>
      <c r="EH83" s="69" t="str">
        <f aca="false">IF($E83="","",IF($M83,IF(AND($G83&gt;=EH$5,$G83&lt;EH$5+GanttPeriod),"◆",IF(AND($E83&gt;=EH$5,$E83&lt;EH$5+GanttPeriod),"◇","")),IF(AND(EH$5&lt;=$F83,EH$5+GanttPeriod-1&gt;=$E83),"━","")))</f>
        <v/>
      </c>
      <c r="EI83" s="69" t="str">
        <f aca="false">IF($E83="","",IF($M83,IF(AND($G83&gt;=EI$5,$G83&lt;EI$5+GanttPeriod),"◆",IF(AND($E83&gt;=EI$5,$E83&lt;EI$5+GanttPeriod),"◇","")),IF(AND(EI$5&lt;=$F83,EI$5+GanttPeriod-1&gt;=$E83),"━","")))</f>
        <v/>
      </c>
      <c r="EJ83" s="69" t="str">
        <f aca="false">IF($E83="","",IF($M83,IF(AND($G83&gt;=EJ$5,$G83&lt;EJ$5+GanttPeriod),"◆",IF(AND($E83&gt;=EJ$5,$E83&lt;EJ$5+GanttPeriod),"◇","")),IF(AND(EJ$5&lt;=$F83,EJ$5+GanttPeriod-1&gt;=$E83),"━","")))</f>
        <v/>
      </c>
      <c r="EK83" s="69" t="str">
        <f aca="false">IF($E83="","",IF($M83,IF(AND($G83&gt;=EK$5,$G83&lt;EK$5+GanttPeriod),"◆",IF(AND($E83&gt;=EK$5,$E83&lt;EK$5+GanttPeriod),"◇","")),IF(AND(EK$5&lt;=$F83,EK$5+GanttPeriod-1&gt;=$E83),"━","")))</f>
        <v/>
      </c>
      <c r="EL83" s="69" t="str">
        <f aca="false">IF($E83="","",IF($M83,IF(AND($G83&gt;=EL$5,$G83&lt;EL$5+GanttPeriod),"◆",IF(AND($E83&gt;=EL$5,$E83&lt;EL$5+GanttPeriod),"◇","")),IF(AND(EL$5&lt;=$F83,EL$5+GanttPeriod-1&gt;=$E83),"━","")))</f>
        <v/>
      </c>
      <c r="EM83" s="69" t="str">
        <f aca="false">IF($E83="","",IF($M83,IF(AND($G83&gt;=EM$5,$G83&lt;EM$5+GanttPeriod),"◆",IF(AND($E83&gt;=EM$5,$E83&lt;EM$5+GanttPeriod),"◇","")),IF(AND(EM$5&lt;=$F83,EM$5+GanttPeriod-1&gt;=$E83),"━","")))</f>
        <v/>
      </c>
      <c r="EN83" s="69" t="str">
        <f aca="false">IF($E83="","",IF($M83,IF(AND($G83&gt;=EN$5,$G83&lt;EN$5+GanttPeriod),"◆",IF(AND($E83&gt;=EN$5,$E83&lt;EN$5+GanttPeriod),"◇","")),IF(AND(EN$5&lt;=$F83,EN$5+GanttPeriod-1&gt;=$E83),"━","")))</f>
        <v/>
      </c>
      <c r="EO83" s="69" t="str">
        <f aca="false">IF($E83="","",IF($M83,IF(AND($G83&gt;=EO$5,$G83&lt;EO$5+GanttPeriod),"◆",IF(AND($E83&gt;=EO$5,$E83&lt;EO$5+GanttPeriod),"◇","")),IF(AND(EO$5&lt;=$F83,EO$5+GanttPeriod-1&gt;=$E83),"━","")))</f>
        <v/>
      </c>
      <c r="EP83" s="69" t="str">
        <f aca="false">IF($E83="","",IF($M83,IF(AND($G83&gt;=EP$5,$G83&lt;EP$5+GanttPeriod),"◆",IF(AND($E83&gt;=EP$5,$E83&lt;EP$5+GanttPeriod),"◇","")),IF(AND(EP$5&lt;=$F83,EP$5+GanttPeriod-1&gt;=$E83),"━","")))</f>
        <v/>
      </c>
      <c r="EQ83" s="69" t="str">
        <f aca="false">IF($E83="","",IF($M83,IF(AND($G83&gt;=EQ$5,$G83&lt;EQ$5+GanttPeriod),"◆",IF(AND($E83&gt;=EQ$5,$E83&lt;EQ$5+GanttPeriod),"◇","")),IF(AND(EQ$5&lt;=$F83,EQ$5+GanttPeriod-1&gt;=$E83),"━","")))</f>
        <v/>
      </c>
      <c r="ER83" s="69" t="str">
        <f aca="false">IF($E83="","",IF($M83,IF(AND($G83&gt;=ER$5,$G83&lt;ER$5+GanttPeriod),"◆",IF(AND($E83&gt;=ER$5,$E83&lt;ER$5+GanttPeriod),"◇","")),IF(AND(ER$5&lt;=$F83,ER$5+GanttPeriod-1&gt;=$E83),"━","")))</f>
        <v/>
      </c>
      <c r="ES83" s="69" t="str">
        <f aca="false">IF($E83="","",IF($M83,IF(AND($G83&gt;=ES$5,$G83&lt;ES$5+GanttPeriod),"◆",IF(AND($E83&gt;=ES$5,$E83&lt;ES$5+GanttPeriod),"◇","")),IF(AND(ES$5&lt;=$F83,ES$5+GanttPeriod-1&gt;=$E83),"━","")))</f>
        <v/>
      </c>
      <c r="ET83" s="69" t="str">
        <f aca="false">IF($E83="","",IF($M83,IF(AND($G83&gt;=ET$5,$G83&lt;ET$5+GanttPeriod),"◆",IF(AND($E83&gt;=ET$5,$E83&lt;ET$5+GanttPeriod),"◇","")),IF(AND(ET$5&lt;=$F83,ET$5+GanttPeriod-1&gt;=$E83),"━","")))</f>
        <v/>
      </c>
      <c r="EU83" s="69" t="str">
        <f aca="false">IF($E83="","",IF($M83,IF(AND($G83&gt;=EU$5,$G83&lt;EU$5+GanttPeriod),"◆",IF(AND($E83&gt;=EU$5,$E83&lt;EU$5+GanttPeriod),"◇","")),IF(AND(EU$5&lt;=$F83,EU$5+GanttPeriod-1&gt;=$E83),"━","")))</f>
        <v/>
      </c>
      <c r="EV83" s="69" t="str">
        <f aca="false">IF($E83="","",IF($M83,IF(AND($G83&gt;=EV$5,$G83&lt;EV$5+GanttPeriod),"◆",IF(AND($E83&gt;=EV$5,$E83&lt;EV$5+GanttPeriod),"◇","")),IF(AND(EV$5&lt;=$F83,EV$5+GanttPeriod-1&gt;=$E83),"━","")))</f>
        <v/>
      </c>
      <c r="EW83" s="69" t="str">
        <f aca="false">IF($E83="","",IF($M83,IF(AND($G83&gt;=EW$5,$G83&lt;EW$5+GanttPeriod),"◆",IF(AND($E83&gt;=EW$5,$E83&lt;EW$5+GanttPeriod),"◇","")),IF(AND(EW$5&lt;=$F83,EW$5+GanttPeriod-1&gt;=$E83),"━","")))</f>
        <v/>
      </c>
      <c r="EX83" s="69" t="str">
        <f aca="false">IF($E83="","",IF($M83,IF(AND($G83&gt;=EX$5,$G83&lt;EX$5+GanttPeriod),"◆",IF(AND($E83&gt;=EX$5,$E83&lt;EX$5+GanttPeriod),"◇","")),IF(AND(EX$5&lt;=$F83,EX$5+GanttPeriod-1&gt;=$E83),"━","")))</f>
        <v/>
      </c>
      <c r="EY83" s="69" t="str">
        <f aca="false">IF($E83="","",IF($M83,IF(AND($G83&gt;=EY$5,$G83&lt;EY$5+GanttPeriod),"◆",IF(AND($E83&gt;=EY$5,$E83&lt;EY$5+GanttPeriod),"◇","")),IF(AND(EY$5&lt;=$F83,EY$5+GanttPeriod-1&gt;=$E83),"━","")))</f>
        <v/>
      </c>
      <c r="EZ83" s="69" t="str">
        <f aca="false">IF($E83="","",IF($M83,IF(AND($G83&gt;=EZ$5,$G83&lt;EZ$5+GanttPeriod),"◆",IF(AND($E83&gt;=EZ$5,$E83&lt;EZ$5+GanttPeriod),"◇","")),IF(AND(EZ$5&lt;=$F83,EZ$5+GanttPeriod-1&gt;=$E83),"━","")))</f>
        <v/>
      </c>
      <c r="FA83" s="69" t="str">
        <f aca="false">IF($E83="","",IF($M83,IF(AND($G83&gt;=FA$5,$G83&lt;FA$5+GanttPeriod),"◆",IF(AND($E83&gt;=FA$5,$E83&lt;FA$5+GanttPeriod),"◇","")),IF(AND(FA$5&lt;=$F83,FA$5+GanttPeriod-1&gt;=$E83),"━","")))</f>
        <v/>
      </c>
      <c r="FB83" s="69" t="str">
        <f aca="false">IF($E83="","",IF($M83,IF(AND($G83&gt;=FB$5,$G83&lt;FB$5+GanttPeriod),"◆",IF(AND($E83&gt;=FB$5,$E83&lt;FB$5+GanttPeriod),"◇","")),IF(AND(FB$5&lt;=$F83,FB$5+GanttPeriod-1&gt;=$E83),"━","")))</f>
        <v/>
      </c>
      <c r="FC83" s="69" t="str">
        <f aca="false">IF($E83="","",IF($M83,IF(AND($G83&gt;=FC$5,$G83&lt;FC$5+GanttPeriod),"◆",IF(AND($E83&gt;=FC$5,$E83&lt;FC$5+GanttPeriod),"◇","")),IF(AND(FC$5&lt;=$F83,FC$5+GanttPeriod-1&gt;=$E83),"━","")))</f>
        <v/>
      </c>
      <c r="FD83" s="69" t="str">
        <f aca="false">IF($E83="","",IF($M83,IF(AND($G83&gt;=FD$5,$G83&lt;FD$5+GanttPeriod),"◆",IF(AND($E83&gt;=FD$5,$E83&lt;FD$5+GanttPeriod),"◇","")),IF(AND(FD$5&lt;=$F83,FD$5+GanttPeriod-1&gt;=$E83),"━","")))</f>
        <v/>
      </c>
      <c r="FE83" s="69" t="str">
        <f aca="false">IF($E83="","",IF($M83,IF(AND($G83&gt;=FE$5,$G83&lt;FE$5+GanttPeriod),"◆",IF(AND($E83&gt;=FE$5,$E83&lt;FE$5+GanttPeriod),"◇","")),IF(AND(FE$5&lt;=$F83,FE$5+GanttPeriod-1&gt;=$E83),"━","")))</f>
        <v/>
      </c>
      <c r="FF83" s="69" t="str">
        <f aca="false">IF($E83="","",IF($M83,IF(AND($G83&gt;=FF$5,$G83&lt;FF$5+GanttPeriod),"◆",IF(AND($E83&gt;=FF$5,$E83&lt;FF$5+GanttPeriod),"◇","")),IF(AND(FF$5&lt;=$F83,FF$5+GanttPeriod-1&gt;=$E83),"━","")))</f>
        <v/>
      </c>
      <c r="FG83" s="69" t="str">
        <f aca="false">IF($E83="","",IF($M83,IF(AND($G83&gt;=FG$5,$G83&lt;FG$5+GanttPeriod),"◆",IF(AND($E83&gt;=FG$5,$E83&lt;FG$5+GanttPeriod),"◇","")),IF(AND(FG$5&lt;=$F83,FG$5+GanttPeriod-1&gt;=$E83),"━","")))</f>
        <v/>
      </c>
      <c r="FH83" s="69" t="str">
        <f aca="false">IF($E83="","",IF($M83,IF(AND($G83&gt;=FH$5,$G83&lt;FH$5+GanttPeriod),"◆",IF(AND($E83&gt;=FH$5,$E83&lt;FH$5+GanttPeriod),"◇","")),IF(AND(FH$5&lt;=$F83,FH$5+GanttPeriod-1&gt;=$E83),"━","")))</f>
        <v/>
      </c>
      <c r="FI83" s="69" t="str">
        <f aca="false">IF($E83="","",IF($M83,IF(AND($G83&gt;=FI$5,$G83&lt;FI$5+GanttPeriod),"◆",IF(AND($E83&gt;=FI$5,$E83&lt;FI$5+GanttPeriod),"◇","")),IF(AND(FI$5&lt;=$F83,FI$5+GanttPeriod-1&gt;=$E83),"━","")))</f>
        <v/>
      </c>
      <c r="FJ83" s="69" t="str">
        <f aca="false">IF($E83="","",IF($M83,IF(AND($G83&gt;=FJ$5,$G83&lt;FJ$5+GanttPeriod),"◆",IF(AND($E83&gt;=FJ$5,$E83&lt;FJ$5+GanttPeriod),"◇","")),IF(AND(FJ$5&lt;=$F83,FJ$5+GanttPeriod-1&gt;=$E83),"━","")))</f>
        <v/>
      </c>
      <c r="FK83" s="69" t="str">
        <f aca="false">IF($E83="","",IF($M83,IF(AND($G83&gt;=FK$5,$G83&lt;FK$5+GanttPeriod),"◆",IF(AND($E83&gt;=FK$5,$E83&lt;FK$5+GanttPeriod),"◇","")),IF(AND(FK$5&lt;=$F83,FK$5+GanttPeriod-1&gt;=$E83),"━","")))</f>
        <v/>
      </c>
      <c r="FL83" s="69" t="str">
        <f aca="false">IF($E83="","",IF($M83,IF(AND($G83&gt;=FL$5,$G83&lt;FL$5+GanttPeriod),"◆",IF(AND($E83&gt;=FL$5,$E83&lt;FL$5+GanttPeriod),"◇","")),IF(AND(FL$5&lt;=$F83,FL$5+GanttPeriod-1&gt;=$E83),"━","")))</f>
        <v/>
      </c>
      <c r="FM83" s="69" t="str">
        <f aca="false">IF($E83="","",IF($M83,IF(AND($G83&gt;=FM$5,$G83&lt;FM$5+GanttPeriod),"◆",IF(AND($E83&gt;=FM$5,$E83&lt;FM$5+GanttPeriod),"◇","")),IF(AND(FM$5&lt;=$F83,FM$5+GanttPeriod-1&gt;=$E83),"━","")))</f>
        <v/>
      </c>
    </row>
    <row r="84" customFormat="false" ht="15" hidden="false" customHeight="false" outlineLevel="0" collapsed="false">
      <c r="A84" s="62" t="str">
        <f aca="false">IF(Tasks!$D84="","",Tasks!$A84)</f>
        <v/>
      </c>
      <c r="B84" s="62" t="str">
        <f aca="false">IF(Tasks!$D84="","",Tasks!$B84)</f>
        <v/>
      </c>
      <c r="C84" s="63" t="str">
        <f aca="false">IF(Tasks!$D84="","",REPT("    ",Tasks!$AE84-1)&amp;Tasks!$D84)</f>
        <v/>
      </c>
      <c r="D84" s="62" t="str">
        <f aca="false">IF(Tasks!$D84="","",IF(Tasks!$AI84,NETWORKDAYS.INTL(Tasks!$R84,Tasks!$S84,WorkWeek,Holidays),N(Tasks!$F84)))</f>
        <v/>
      </c>
      <c r="E84" s="64" t="str">
        <f aca="false">IF(Tasks!$D84="","",Tasks!$N84)</f>
        <v/>
      </c>
      <c r="F84" s="64" t="str">
        <f aca="false">IF(Tasks!$D84="","",Tasks!$O84)</f>
        <v/>
      </c>
      <c r="G84" s="64" t="str">
        <f aca="false">IF(Tasks!$D84="","",Tasks!$R84)</f>
        <v/>
      </c>
      <c r="H84" s="64" t="str">
        <f aca="false">IF(Tasks!$D84="","",Tasks!$S84)</f>
        <v/>
      </c>
      <c r="I84" s="65" t="str">
        <f aca="false">IF(Tasks!$D84="","",Tasks!$V84)</f>
        <v/>
      </c>
      <c r="J84" s="63" t="str">
        <f aca="false">IF(Tasks!$D84="","",Tasks!$X84&amp;"")</f>
        <v/>
      </c>
      <c r="K84" s="66" t="str">
        <f aca="false">IF(Tasks!$D84="","",Tasks!$W84)</f>
        <v/>
      </c>
      <c r="L84" s="67" t="b">
        <f aca="false">IF(Tasks!$D84="",FALSE(),Tasks!$AI84)</f>
        <v>0</v>
      </c>
      <c r="M84" s="67" t="b">
        <f aca="false">AND(Tasks!$AJ84=1,N(Tasks!$F84)=0)</f>
        <v>0</v>
      </c>
      <c r="N84" s="68" t="n">
        <f aca="false">IF(AND(Tasks!$AJ84=1,NOT($M84),N($I84)&gt;0),$G84,0)</f>
        <v>0</v>
      </c>
      <c r="O84" s="68" t="n">
        <f aca="false">IF($N84=0,0,IF($I84&gt;=1,$H84,MAX($N84,$G84+ROUND(($H84-$G84+1)*$I84,0)-1)))</f>
        <v>0</v>
      </c>
      <c r="P84" s="68" t="n">
        <f aca="false">IF(OR(Tasks!$AJ84&lt;&gt;1,$M84,N($I84)&gt;=1),0,IF($O84&gt;0,$O84+1,$G84))</f>
        <v>0</v>
      </c>
      <c r="Q84" s="68" t="n">
        <f aca="false">IF($P84=0,0,$H84)</f>
        <v>0</v>
      </c>
      <c r="R84" s="67" t="b">
        <f aca="false">AND(Tasks!$D84&lt;&gt;"",N(Tasks!$T84)&gt;0)</f>
        <v>0</v>
      </c>
      <c r="T84" s="69" t="str">
        <f aca="false">IF($E84="","",IF($M84,IF(AND($G84&gt;=T$5,$G84&lt;T$5+GanttPeriod),"◆",IF(AND($E84&gt;=T$5,$E84&lt;T$5+GanttPeriod),"◇","")),IF(AND(T$5&lt;=$F84,T$5+GanttPeriod-1&gt;=$E84),"━","")))</f>
        <v/>
      </c>
      <c r="U84" s="69" t="str">
        <f aca="false">IF($E84="","",IF($M84,IF(AND($G84&gt;=U$5,$G84&lt;U$5+GanttPeriod),"◆",IF(AND($E84&gt;=U$5,$E84&lt;U$5+GanttPeriod),"◇","")),IF(AND(U$5&lt;=$F84,U$5+GanttPeriod-1&gt;=$E84),"━","")))</f>
        <v/>
      </c>
      <c r="V84" s="69" t="str">
        <f aca="false">IF($E84="","",IF($M84,IF(AND($G84&gt;=V$5,$G84&lt;V$5+GanttPeriod),"◆",IF(AND($E84&gt;=V$5,$E84&lt;V$5+GanttPeriod),"◇","")),IF(AND(V$5&lt;=$F84,V$5+GanttPeriod-1&gt;=$E84),"━","")))</f>
        <v/>
      </c>
      <c r="W84" s="69" t="str">
        <f aca="false">IF($E84="","",IF($M84,IF(AND($G84&gt;=W$5,$G84&lt;W$5+GanttPeriod),"◆",IF(AND($E84&gt;=W$5,$E84&lt;W$5+GanttPeriod),"◇","")),IF(AND(W$5&lt;=$F84,W$5+GanttPeriod-1&gt;=$E84),"━","")))</f>
        <v/>
      </c>
      <c r="X84" s="69" t="str">
        <f aca="false">IF($E84="","",IF($M84,IF(AND($G84&gt;=X$5,$G84&lt;X$5+GanttPeriod),"◆",IF(AND($E84&gt;=X$5,$E84&lt;X$5+GanttPeriod),"◇","")),IF(AND(X$5&lt;=$F84,X$5+GanttPeriod-1&gt;=$E84),"━","")))</f>
        <v/>
      </c>
      <c r="Y84" s="69" t="str">
        <f aca="false">IF($E84="","",IF($M84,IF(AND($G84&gt;=Y$5,$G84&lt;Y$5+GanttPeriod),"◆",IF(AND($E84&gt;=Y$5,$E84&lt;Y$5+GanttPeriod),"◇","")),IF(AND(Y$5&lt;=$F84,Y$5+GanttPeriod-1&gt;=$E84),"━","")))</f>
        <v/>
      </c>
      <c r="Z84" s="69" t="str">
        <f aca="false">IF($E84="","",IF($M84,IF(AND($G84&gt;=Z$5,$G84&lt;Z$5+GanttPeriod),"◆",IF(AND($E84&gt;=Z$5,$E84&lt;Z$5+GanttPeriod),"◇","")),IF(AND(Z$5&lt;=$F84,Z$5+GanttPeriod-1&gt;=$E84),"━","")))</f>
        <v/>
      </c>
      <c r="AA84" s="69" t="str">
        <f aca="false">IF($E84="","",IF($M84,IF(AND($G84&gt;=AA$5,$G84&lt;AA$5+GanttPeriod),"◆",IF(AND($E84&gt;=AA$5,$E84&lt;AA$5+GanttPeriod),"◇","")),IF(AND(AA$5&lt;=$F84,AA$5+GanttPeriod-1&gt;=$E84),"━","")))</f>
        <v/>
      </c>
      <c r="AB84" s="69" t="str">
        <f aca="false">IF($E84="","",IF($M84,IF(AND($G84&gt;=AB$5,$G84&lt;AB$5+GanttPeriod),"◆",IF(AND($E84&gt;=AB$5,$E84&lt;AB$5+GanttPeriod),"◇","")),IF(AND(AB$5&lt;=$F84,AB$5+GanttPeriod-1&gt;=$E84),"━","")))</f>
        <v/>
      </c>
      <c r="AC84" s="69" t="str">
        <f aca="false">IF($E84="","",IF($M84,IF(AND($G84&gt;=AC$5,$G84&lt;AC$5+GanttPeriod),"◆",IF(AND($E84&gt;=AC$5,$E84&lt;AC$5+GanttPeriod),"◇","")),IF(AND(AC$5&lt;=$F84,AC$5+GanttPeriod-1&gt;=$E84),"━","")))</f>
        <v/>
      </c>
      <c r="AD84" s="69" t="str">
        <f aca="false">IF($E84="","",IF($M84,IF(AND($G84&gt;=AD$5,$G84&lt;AD$5+GanttPeriod),"◆",IF(AND($E84&gt;=AD$5,$E84&lt;AD$5+GanttPeriod),"◇","")),IF(AND(AD$5&lt;=$F84,AD$5+GanttPeriod-1&gt;=$E84),"━","")))</f>
        <v/>
      </c>
      <c r="AE84" s="69" t="str">
        <f aca="false">IF($E84="","",IF($M84,IF(AND($G84&gt;=AE$5,$G84&lt;AE$5+GanttPeriod),"◆",IF(AND($E84&gt;=AE$5,$E84&lt;AE$5+GanttPeriod),"◇","")),IF(AND(AE$5&lt;=$F84,AE$5+GanttPeriod-1&gt;=$E84),"━","")))</f>
        <v/>
      </c>
      <c r="AF84" s="69" t="str">
        <f aca="false">IF($E84="","",IF($M84,IF(AND($G84&gt;=AF$5,$G84&lt;AF$5+GanttPeriod),"◆",IF(AND($E84&gt;=AF$5,$E84&lt;AF$5+GanttPeriod),"◇","")),IF(AND(AF$5&lt;=$F84,AF$5+GanttPeriod-1&gt;=$E84),"━","")))</f>
        <v/>
      </c>
      <c r="AG84" s="69" t="str">
        <f aca="false">IF($E84="","",IF($M84,IF(AND($G84&gt;=AG$5,$G84&lt;AG$5+GanttPeriod),"◆",IF(AND($E84&gt;=AG$5,$E84&lt;AG$5+GanttPeriod),"◇","")),IF(AND(AG$5&lt;=$F84,AG$5+GanttPeriod-1&gt;=$E84),"━","")))</f>
        <v/>
      </c>
      <c r="AH84" s="69" t="str">
        <f aca="false">IF($E84="","",IF($M84,IF(AND($G84&gt;=AH$5,$G84&lt;AH$5+GanttPeriod),"◆",IF(AND($E84&gt;=AH$5,$E84&lt;AH$5+GanttPeriod),"◇","")),IF(AND(AH$5&lt;=$F84,AH$5+GanttPeriod-1&gt;=$E84),"━","")))</f>
        <v/>
      </c>
      <c r="AI84" s="69" t="str">
        <f aca="false">IF($E84="","",IF($M84,IF(AND($G84&gt;=AI$5,$G84&lt;AI$5+GanttPeriod),"◆",IF(AND($E84&gt;=AI$5,$E84&lt;AI$5+GanttPeriod),"◇","")),IF(AND(AI$5&lt;=$F84,AI$5+GanttPeriod-1&gt;=$E84),"━","")))</f>
        <v/>
      </c>
      <c r="AJ84" s="69" t="str">
        <f aca="false">IF($E84="","",IF($M84,IF(AND($G84&gt;=AJ$5,$G84&lt;AJ$5+GanttPeriod),"◆",IF(AND($E84&gt;=AJ$5,$E84&lt;AJ$5+GanttPeriod),"◇","")),IF(AND(AJ$5&lt;=$F84,AJ$5+GanttPeriod-1&gt;=$E84),"━","")))</f>
        <v/>
      </c>
      <c r="AK84" s="69" t="str">
        <f aca="false">IF($E84="","",IF($M84,IF(AND($G84&gt;=AK$5,$G84&lt;AK$5+GanttPeriod),"◆",IF(AND($E84&gt;=AK$5,$E84&lt;AK$5+GanttPeriod),"◇","")),IF(AND(AK$5&lt;=$F84,AK$5+GanttPeriod-1&gt;=$E84),"━","")))</f>
        <v/>
      </c>
      <c r="AL84" s="69" t="str">
        <f aca="false">IF($E84="","",IF($M84,IF(AND($G84&gt;=AL$5,$G84&lt;AL$5+GanttPeriod),"◆",IF(AND($E84&gt;=AL$5,$E84&lt;AL$5+GanttPeriod),"◇","")),IF(AND(AL$5&lt;=$F84,AL$5+GanttPeriod-1&gt;=$E84),"━","")))</f>
        <v/>
      </c>
      <c r="AM84" s="69" t="str">
        <f aca="false">IF($E84="","",IF($M84,IF(AND($G84&gt;=AM$5,$G84&lt;AM$5+GanttPeriod),"◆",IF(AND($E84&gt;=AM$5,$E84&lt;AM$5+GanttPeriod),"◇","")),IF(AND(AM$5&lt;=$F84,AM$5+GanttPeriod-1&gt;=$E84),"━","")))</f>
        <v/>
      </c>
      <c r="AN84" s="69" t="str">
        <f aca="false">IF($E84="","",IF($M84,IF(AND($G84&gt;=AN$5,$G84&lt;AN$5+GanttPeriod),"◆",IF(AND($E84&gt;=AN$5,$E84&lt;AN$5+GanttPeriod),"◇","")),IF(AND(AN$5&lt;=$F84,AN$5+GanttPeriod-1&gt;=$E84),"━","")))</f>
        <v/>
      </c>
      <c r="AO84" s="69" t="str">
        <f aca="false">IF($E84="","",IF($M84,IF(AND($G84&gt;=AO$5,$G84&lt;AO$5+GanttPeriod),"◆",IF(AND($E84&gt;=AO$5,$E84&lt;AO$5+GanttPeriod),"◇","")),IF(AND(AO$5&lt;=$F84,AO$5+GanttPeriod-1&gt;=$E84),"━","")))</f>
        <v/>
      </c>
      <c r="AP84" s="69" t="str">
        <f aca="false">IF($E84="","",IF($M84,IF(AND($G84&gt;=AP$5,$G84&lt;AP$5+GanttPeriod),"◆",IF(AND($E84&gt;=AP$5,$E84&lt;AP$5+GanttPeriod),"◇","")),IF(AND(AP$5&lt;=$F84,AP$5+GanttPeriod-1&gt;=$E84),"━","")))</f>
        <v/>
      </c>
      <c r="AQ84" s="69" t="str">
        <f aca="false">IF($E84="","",IF($M84,IF(AND($G84&gt;=AQ$5,$G84&lt;AQ$5+GanttPeriod),"◆",IF(AND($E84&gt;=AQ$5,$E84&lt;AQ$5+GanttPeriod),"◇","")),IF(AND(AQ$5&lt;=$F84,AQ$5+GanttPeriod-1&gt;=$E84),"━","")))</f>
        <v/>
      </c>
      <c r="AR84" s="69" t="str">
        <f aca="false">IF($E84="","",IF($M84,IF(AND($G84&gt;=AR$5,$G84&lt;AR$5+GanttPeriod),"◆",IF(AND($E84&gt;=AR$5,$E84&lt;AR$5+GanttPeriod),"◇","")),IF(AND(AR$5&lt;=$F84,AR$5+GanttPeriod-1&gt;=$E84),"━","")))</f>
        <v/>
      </c>
      <c r="AS84" s="69" t="str">
        <f aca="false">IF($E84="","",IF($M84,IF(AND($G84&gt;=AS$5,$G84&lt;AS$5+GanttPeriod),"◆",IF(AND($E84&gt;=AS$5,$E84&lt;AS$5+GanttPeriod),"◇","")),IF(AND(AS$5&lt;=$F84,AS$5+GanttPeriod-1&gt;=$E84),"━","")))</f>
        <v/>
      </c>
      <c r="AT84" s="69" t="str">
        <f aca="false">IF($E84="","",IF($M84,IF(AND($G84&gt;=AT$5,$G84&lt;AT$5+GanttPeriod),"◆",IF(AND($E84&gt;=AT$5,$E84&lt;AT$5+GanttPeriod),"◇","")),IF(AND(AT$5&lt;=$F84,AT$5+GanttPeriod-1&gt;=$E84),"━","")))</f>
        <v/>
      </c>
      <c r="AU84" s="69" t="str">
        <f aca="false">IF($E84="","",IF($M84,IF(AND($G84&gt;=AU$5,$G84&lt;AU$5+GanttPeriod),"◆",IF(AND($E84&gt;=AU$5,$E84&lt;AU$5+GanttPeriod),"◇","")),IF(AND(AU$5&lt;=$F84,AU$5+GanttPeriod-1&gt;=$E84),"━","")))</f>
        <v/>
      </c>
      <c r="AV84" s="69" t="str">
        <f aca="false">IF($E84="","",IF($M84,IF(AND($G84&gt;=AV$5,$G84&lt;AV$5+GanttPeriod),"◆",IF(AND($E84&gt;=AV$5,$E84&lt;AV$5+GanttPeriod),"◇","")),IF(AND(AV$5&lt;=$F84,AV$5+GanttPeriod-1&gt;=$E84),"━","")))</f>
        <v/>
      </c>
      <c r="AW84" s="69" t="str">
        <f aca="false">IF($E84="","",IF($M84,IF(AND($G84&gt;=AW$5,$G84&lt;AW$5+GanttPeriod),"◆",IF(AND($E84&gt;=AW$5,$E84&lt;AW$5+GanttPeriod),"◇","")),IF(AND(AW$5&lt;=$F84,AW$5+GanttPeriod-1&gt;=$E84),"━","")))</f>
        <v/>
      </c>
      <c r="AX84" s="69" t="str">
        <f aca="false">IF($E84="","",IF($M84,IF(AND($G84&gt;=AX$5,$G84&lt;AX$5+GanttPeriod),"◆",IF(AND($E84&gt;=AX$5,$E84&lt;AX$5+GanttPeriod),"◇","")),IF(AND(AX$5&lt;=$F84,AX$5+GanttPeriod-1&gt;=$E84),"━","")))</f>
        <v/>
      </c>
      <c r="AY84" s="69" t="str">
        <f aca="false">IF($E84="","",IF($M84,IF(AND($G84&gt;=AY$5,$G84&lt;AY$5+GanttPeriod),"◆",IF(AND($E84&gt;=AY$5,$E84&lt;AY$5+GanttPeriod),"◇","")),IF(AND(AY$5&lt;=$F84,AY$5+GanttPeriod-1&gt;=$E84),"━","")))</f>
        <v/>
      </c>
      <c r="AZ84" s="69" t="str">
        <f aca="false">IF($E84="","",IF($M84,IF(AND($G84&gt;=AZ$5,$G84&lt;AZ$5+GanttPeriod),"◆",IF(AND($E84&gt;=AZ$5,$E84&lt;AZ$5+GanttPeriod),"◇","")),IF(AND(AZ$5&lt;=$F84,AZ$5+GanttPeriod-1&gt;=$E84),"━","")))</f>
        <v/>
      </c>
      <c r="BA84" s="69" t="str">
        <f aca="false">IF($E84="","",IF($M84,IF(AND($G84&gt;=BA$5,$G84&lt;BA$5+GanttPeriod),"◆",IF(AND($E84&gt;=BA$5,$E84&lt;BA$5+GanttPeriod),"◇","")),IF(AND(BA$5&lt;=$F84,BA$5+GanttPeriod-1&gt;=$E84),"━","")))</f>
        <v/>
      </c>
      <c r="BB84" s="69" t="str">
        <f aca="false">IF($E84="","",IF($M84,IF(AND($G84&gt;=BB$5,$G84&lt;BB$5+GanttPeriod),"◆",IF(AND($E84&gt;=BB$5,$E84&lt;BB$5+GanttPeriod),"◇","")),IF(AND(BB$5&lt;=$F84,BB$5+GanttPeriod-1&gt;=$E84),"━","")))</f>
        <v/>
      </c>
      <c r="BC84" s="69" t="str">
        <f aca="false">IF($E84="","",IF($M84,IF(AND($G84&gt;=BC$5,$G84&lt;BC$5+GanttPeriod),"◆",IF(AND($E84&gt;=BC$5,$E84&lt;BC$5+GanttPeriod),"◇","")),IF(AND(BC$5&lt;=$F84,BC$5+GanttPeriod-1&gt;=$E84),"━","")))</f>
        <v/>
      </c>
      <c r="BD84" s="69" t="str">
        <f aca="false">IF($E84="","",IF($M84,IF(AND($G84&gt;=BD$5,$G84&lt;BD$5+GanttPeriod),"◆",IF(AND($E84&gt;=BD$5,$E84&lt;BD$5+GanttPeriod),"◇","")),IF(AND(BD$5&lt;=$F84,BD$5+GanttPeriod-1&gt;=$E84),"━","")))</f>
        <v/>
      </c>
      <c r="BE84" s="69" t="str">
        <f aca="false">IF($E84="","",IF($M84,IF(AND($G84&gt;=BE$5,$G84&lt;BE$5+GanttPeriod),"◆",IF(AND($E84&gt;=BE$5,$E84&lt;BE$5+GanttPeriod),"◇","")),IF(AND(BE$5&lt;=$F84,BE$5+GanttPeriod-1&gt;=$E84),"━","")))</f>
        <v/>
      </c>
      <c r="BF84" s="69" t="str">
        <f aca="false">IF($E84="","",IF($M84,IF(AND($G84&gt;=BF$5,$G84&lt;BF$5+GanttPeriod),"◆",IF(AND($E84&gt;=BF$5,$E84&lt;BF$5+GanttPeriod),"◇","")),IF(AND(BF$5&lt;=$F84,BF$5+GanttPeriod-1&gt;=$E84),"━","")))</f>
        <v/>
      </c>
      <c r="BG84" s="69" t="str">
        <f aca="false">IF($E84="","",IF($M84,IF(AND($G84&gt;=BG$5,$G84&lt;BG$5+GanttPeriod),"◆",IF(AND($E84&gt;=BG$5,$E84&lt;BG$5+GanttPeriod),"◇","")),IF(AND(BG$5&lt;=$F84,BG$5+GanttPeriod-1&gt;=$E84),"━","")))</f>
        <v/>
      </c>
      <c r="BH84" s="69" t="str">
        <f aca="false">IF($E84="","",IF($M84,IF(AND($G84&gt;=BH$5,$G84&lt;BH$5+GanttPeriod),"◆",IF(AND($E84&gt;=BH$5,$E84&lt;BH$5+GanttPeriod),"◇","")),IF(AND(BH$5&lt;=$F84,BH$5+GanttPeriod-1&gt;=$E84),"━","")))</f>
        <v/>
      </c>
      <c r="BI84" s="69" t="str">
        <f aca="false">IF($E84="","",IF($M84,IF(AND($G84&gt;=BI$5,$G84&lt;BI$5+GanttPeriod),"◆",IF(AND($E84&gt;=BI$5,$E84&lt;BI$5+GanttPeriod),"◇","")),IF(AND(BI$5&lt;=$F84,BI$5+GanttPeriod-1&gt;=$E84),"━","")))</f>
        <v/>
      </c>
      <c r="BJ84" s="69" t="str">
        <f aca="false">IF($E84="","",IF($M84,IF(AND($G84&gt;=BJ$5,$G84&lt;BJ$5+GanttPeriod),"◆",IF(AND($E84&gt;=BJ$5,$E84&lt;BJ$5+GanttPeriod),"◇","")),IF(AND(BJ$5&lt;=$F84,BJ$5+GanttPeriod-1&gt;=$E84),"━","")))</f>
        <v/>
      </c>
      <c r="BK84" s="69" t="str">
        <f aca="false">IF($E84="","",IF($M84,IF(AND($G84&gt;=BK$5,$G84&lt;BK$5+GanttPeriod),"◆",IF(AND($E84&gt;=BK$5,$E84&lt;BK$5+GanttPeriod),"◇","")),IF(AND(BK$5&lt;=$F84,BK$5+GanttPeriod-1&gt;=$E84),"━","")))</f>
        <v/>
      </c>
      <c r="BL84" s="69" t="str">
        <f aca="false">IF($E84="","",IF($M84,IF(AND($G84&gt;=BL$5,$G84&lt;BL$5+GanttPeriod),"◆",IF(AND($E84&gt;=BL$5,$E84&lt;BL$5+GanttPeriod),"◇","")),IF(AND(BL$5&lt;=$F84,BL$5+GanttPeriod-1&gt;=$E84),"━","")))</f>
        <v/>
      </c>
      <c r="BM84" s="69" t="str">
        <f aca="false">IF($E84="","",IF($M84,IF(AND($G84&gt;=BM$5,$G84&lt;BM$5+GanttPeriod),"◆",IF(AND($E84&gt;=BM$5,$E84&lt;BM$5+GanttPeriod),"◇","")),IF(AND(BM$5&lt;=$F84,BM$5+GanttPeriod-1&gt;=$E84),"━","")))</f>
        <v/>
      </c>
      <c r="BN84" s="69" t="str">
        <f aca="false">IF($E84="","",IF($M84,IF(AND($G84&gt;=BN$5,$G84&lt;BN$5+GanttPeriod),"◆",IF(AND($E84&gt;=BN$5,$E84&lt;BN$5+GanttPeriod),"◇","")),IF(AND(BN$5&lt;=$F84,BN$5+GanttPeriod-1&gt;=$E84),"━","")))</f>
        <v/>
      </c>
      <c r="BO84" s="69" t="str">
        <f aca="false">IF($E84="","",IF($M84,IF(AND($G84&gt;=BO$5,$G84&lt;BO$5+GanttPeriod),"◆",IF(AND($E84&gt;=BO$5,$E84&lt;BO$5+GanttPeriod),"◇","")),IF(AND(BO$5&lt;=$F84,BO$5+GanttPeriod-1&gt;=$E84),"━","")))</f>
        <v/>
      </c>
      <c r="BP84" s="69" t="str">
        <f aca="false">IF($E84="","",IF($M84,IF(AND($G84&gt;=BP$5,$G84&lt;BP$5+GanttPeriod),"◆",IF(AND($E84&gt;=BP$5,$E84&lt;BP$5+GanttPeriod),"◇","")),IF(AND(BP$5&lt;=$F84,BP$5+GanttPeriod-1&gt;=$E84),"━","")))</f>
        <v/>
      </c>
      <c r="BQ84" s="69" t="str">
        <f aca="false">IF($E84="","",IF($M84,IF(AND($G84&gt;=BQ$5,$G84&lt;BQ$5+GanttPeriod),"◆",IF(AND($E84&gt;=BQ$5,$E84&lt;BQ$5+GanttPeriod),"◇","")),IF(AND(BQ$5&lt;=$F84,BQ$5+GanttPeriod-1&gt;=$E84),"━","")))</f>
        <v/>
      </c>
      <c r="BR84" s="69" t="str">
        <f aca="false">IF($E84="","",IF($M84,IF(AND($G84&gt;=BR$5,$G84&lt;BR$5+GanttPeriod),"◆",IF(AND($E84&gt;=BR$5,$E84&lt;BR$5+GanttPeriod),"◇","")),IF(AND(BR$5&lt;=$F84,BR$5+GanttPeriod-1&gt;=$E84),"━","")))</f>
        <v/>
      </c>
      <c r="BS84" s="69" t="str">
        <f aca="false">IF($E84="","",IF($M84,IF(AND($G84&gt;=BS$5,$G84&lt;BS$5+GanttPeriod),"◆",IF(AND($E84&gt;=BS$5,$E84&lt;BS$5+GanttPeriod),"◇","")),IF(AND(BS$5&lt;=$F84,BS$5+GanttPeriod-1&gt;=$E84),"━","")))</f>
        <v/>
      </c>
      <c r="BT84" s="69" t="str">
        <f aca="false">IF($E84="","",IF($M84,IF(AND($G84&gt;=BT$5,$G84&lt;BT$5+GanttPeriod),"◆",IF(AND($E84&gt;=BT$5,$E84&lt;BT$5+GanttPeriod),"◇","")),IF(AND(BT$5&lt;=$F84,BT$5+GanttPeriod-1&gt;=$E84),"━","")))</f>
        <v/>
      </c>
      <c r="BU84" s="69" t="str">
        <f aca="false">IF($E84="","",IF($M84,IF(AND($G84&gt;=BU$5,$G84&lt;BU$5+GanttPeriod),"◆",IF(AND($E84&gt;=BU$5,$E84&lt;BU$5+GanttPeriod),"◇","")),IF(AND(BU$5&lt;=$F84,BU$5+GanttPeriod-1&gt;=$E84),"━","")))</f>
        <v/>
      </c>
      <c r="BV84" s="69" t="str">
        <f aca="false">IF($E84="","",IF($M84,IF(AND($G84&gt;=BV$5,$G84&lt;BV$5+GanttPeriod),"◆",IF(AND($E84&gt;=BV$5,$E84&lt;BV$5+GanttPeriod),"◇","")),IF(AND(BV$5&lt;=$F84,BV$5+GanttPeriod-1&gt;=$E84),"━","")))</f>
        <v/>
      </c>
      <c r="BW84" s="69" t="str">
        <f aca="false">IF($E84="","",IF($M84,IF(AND($G84&gt;=BW$5,$G84&lt;BW$5+GanttPeriod),"◆",IF(AND($E84&gt;=BW$5,$E84&lt;BW$5+GanttPeriod),"◇","")),IF(AND(BW$5&lt;=$F84,BW$5+GanttPeriod-1&gt;=$E84),"━","")))</f>
        <v/>
      </c>
      <c r="BX84" s="69" t="str">
        <f aca="false">IF($E84="","",IF($M84,IF(AND($G84&gt;=BX$5,$G84&lt;BX$5+GanttPeriod),"◆",IF(AND($E84&gt;=BX$5,$E84&lt;BX$5+GanttPeriod),"◇","")),IF(AND(BX$5&lt;=$F84,BX$5+GanttPeriod-1&gt;=$E84),"━","")))</f>
        <v/>
      </c>
      <c r="BY84" s="69" t="str">
        <f aca="false">IF($E84="","",IF($M84,IF(AND($G84&gt;=BY$5,$G84&lt;BY$5+GanttPeriod),"◆",IF(AND($E84&gt;=BY$5,$E84&lt;BY$5+GanttPeriod),"◇","")),IF(AND(BY$5&lt;=$F84,BY$5+GanttPeriod-1&gt;=$E84),"━","")))</f>
        <v/>
      </c>
      <c r="BZ84" s="69" t="str">
        <f aca="false">IF($E84="","",IF($M84,IF(AND($G84&gt;=BZ$5,$G84&lt;BZ$5+GanttPeriod),"◆",IF(AND($E84&gt;=BZ$5,$E84&lt;BZ$5+GanttPeriod),"◇","")),IF(AND(BZ$5&lt;=$F84,BZ$5+GanttPeriod-1&gt;=$E84),"━","")))</f>
        <v/>
      </c>
      <c r="CA84" s="69" t="str">
        <f aca="false">IF($E84="","",IF($M84,IF(AND($G84&gt;=CA$5,$G84&lt;CA$5+GanttPeriod),"◆",IF(AND($E84&gt;=CA$5,$E84&lt;CA$5+GanttPeriod),"◇","")),IF(AND(CA$5&lt;=$F84,CA$5+GanttPeriod-1&gt;=$E84),"━","")))</f>
        <v/>
      </c>
      <c r="CB84" s="69" t="str">
        <f aca="false">IF($E84="","",IF($M84,IF(AND($G84&gt;=CB$5,$G84&lt;CB$5+GanttPeriod),"◆",IF(AND($E84&gt;=CB$5,$E84&lt;CB$5+GanttPeriod),"◇","")),IF(AND(CB$5&lt;=$F84,CB$5+GanttPeriod-1&gt;=$E84),"━","")))</f>
        <v/>
      </c>
      <c r="CC84" s="69" t="str">
        <f aca="false">IF($E84="","",IF($M84,IF(AND($G84&gt;=CC$5,$G84&lt;CC$5+GanttPeriod),"◆",IF(AND($E84&gt;=CC$5,$E84&lt;CC$5+GanttPeriod),"◇","")),IF(AND(CC$5&lt;=$F84,CC$5+GanttPeriod-1&gt;=$E84),"━","")))</f>
        <v/>
      </c>
      <c r="CD84" s="69" t="str">
        <f aca="false">IF($E84="","",IF($M84,IF(AND($G84&gt;=CD$5,$G84&lt;CD$5+GanttPeriod),"◆",IF(AND($E84&gt;=CD$5,$E84&lt;CD$5+GanttPeriod),"◇","")),IF(AND(CD$5&lt;=$F84,CD$5+GanttPeriod-1&gt;=$E84),"━","")))</f>
        <v/>
      </c>
      <c r="CE84" s="69" t="str">
        <f aca="false">IF($E84="","",IF($M84,IF(AND($G84&gt;=CE$5,$G84&lt;CE$5+GanttPeriod),"◆",IF(AND($E84&gt;=CE$5,$E84&lt;CE$5+GanttPeriod),"◇","")),IF(AND(CE$5&lt;=$F84,CE$5+GanttPeriod-1&gt;=$E84),"━","")))</f>
        <v/>
      </c>
      <c r="CF84" s="69" t="str">
        <f aca="false">IF($E84="","",IF($M84,IF(AND($G84&gt;=CF$5,$G84&lt;CF$5+GanttPeriod),"◆",IF(AND($E84&gt;=CF$5,$E84&lt;CF$5+GanttPeriod),"◇","")),IF(AND(CF$5&lt;=$F84,CF$5+GanttPeriod-1&gt;=$E84),"━","")))</f>
        <v/>
      </c>
      <c r="CG84" s="69" t="str">
        <f aca="false">IF($E84="","",IF($M84,IF(AND($G84&gt;=CG$5,$G84&lt;CG$5+GanttPeriod),"◆",IF(AND($E84&gt;=CG$5,$E84&lt;CG$5+GanttPeriod),"◇","")),IF(AND(CG$5&lt;=$F84,CG$5+GanttPeriod-1&gt;=$E84),"━","")))</f>
        <v/>
      </c>
      <c r="CH84" s="69" t="str">
        <f aca="false">IF($E84="","",IF($M84,IF(AND($G84&gt;=CH$5,$G84&lt;CH$5+GanttPeriod),"◆",IF(AND($E84&gt;=CH$5,$E84&lt;CH$5+GanttPeriod),"◇","")),IF(AND(CH$5&lt;=$F84,CH$5+GanttPeriod-1&gt;=$E84),"━","")))</f>
        <v/>
      </c>
      <c r="CI84" s="69" t="str">
        <f aca="false">IF($E84="","",IF($M84,IF(AND($G84&gt;=CI$5,$G84&lt;CI$5+GanttPeriod),"◆",IF(AND($E84&gt;=CI$5,$E84&lt;CI$5+GanttPeriod),"◇","")),IF(AND(CI$5&lt;=$F84,CI$5+GanttPeriod-1&gt;=$E84),"━","")))</f>
        <v/>
      </c>
      <c r="CJ84" s="69" t="str">
        <f aca="false">IF($E84="","",IF($M84,IF(AND($G84&gt;=CJ$5,$G84&lt;CJ$5+GanttPeriod),"◆",IF(AND($E84&gt;=CJ$5,$E84&lt;CJ$5+GanttPeriod),"◇","")),IF(AND(CJ$5&lt;=$F84,CJ$5+GanttPeriod-1&gt;=$E84),"━","")))</f>
        <v/>
      </c>
      <c r="CK84" s="69" t="str">
        <f aca="false">IF($E84="","",IF($M84,IF(AND($G84&gt;=CK$5,$G84&lt;CK$5+GanttPeriod),"◆",IF(AND($E84&gt;=CK$5,$E84&lt;CK$5+GanttPeriod),"◇","")),IF(AND(CK$5&lt;=$F84,CK$5+GanttPeriod-1&gt;=$E84),"━","")))</f>
        <v/>
      </c>
      <c r="CL84" s="69" t="str">
        <f aca="false">IF($E84="","",IF($M84,IF(AND($G84&gt;=CL$5,$G84&lt;CL$5+GanttPeriod),"◆",IF(AND($E84&gt;=CL$5,$E84&lt;CL$5+GanttPeriod),"◇","")),IF(AND(CL$5&lt;=$F84,CL$5+GanttPeriod-1&gt;=$E84),"━","")))</f>
        <v/>
      </c>
      <c r="CM84" s="69" t="str">
        <f aca="false">IF($E84="","",IF($M84,IF(AND($G84&gt;=CM$5,$G84&lt;CM$5+GanttPeriod),"◆",IF(AND($E84&gt;=CM$5,$E84&lt;CM$5+GanttPeriod),"◇","")),IF(AND(CM$5&lt;=$F84,CM$5+GanttPeriod-1&gt;=$E84),"━","")))</f>
        <v/>
      </c>
      <c r="CN84" s="69" t="str">
        <f aca="false">IF($E84="","",IF($M84,IF(AND($G84&gt;=CN$5,$G84&lt;CN$5+GanttPeriod),"◆",IF(AND($E84&gt;=CN$5,$E84&lt;CN$5+GanttPeriod),"◇","")),IF(AND(CN$5&lt;=$F84,CN$5+GanttPeriod-1&gt;=$E84),"━","")))</f>
        <v/>
      </c>
      <c r="CO84" s="69" t="str">
        <f aca="false">IF($E84="","",IF($M84,IF(AND($G84&gt;=CO$5,$G84&lt;CO$5+GanttPeriod),"◆",IF(AND($E84&gt;=CO$5,$E84&lt;CO$5+GanttPeriod),"◇","")),IF(AND(CO$5&lt;=$F84,CO$5+GanttPeriod-1&gt;=$E84),"━","")))</f>
        <v/>
      </c>
      <c r="CP84" s="69" t="str">
        <f aca="false">IF($E84="","",IF($M84,IF(AND($G84&gt;=CP$5,$G84&lt;CP$5+GanttPeriod),"◆",IF(AND($E84&gt;=CP$5,$E84&lt;CP$5+GanttPeriod),"◇","")),IF(AND(CP$5&lt;=$F84,CP$5+GanttPeriod-1&gt;=$E84),"━","")))</f>
        <v/>
      </c>
      <c r="CQ84" s="69" t="str">
        <f aca="false">IF($E84="","",IF($M84,IF(AND($G84&gt;=CQ$5,$G84&lt;CQ$5+GanttPeriod),"◆",IF(AND($E84&gt;=CQ$5,$E84&lt;CQ$5+GanttPeriod),"◇","")),IF(AND(CQ$5&lt;=$F84,CQ$5+GanttPeriod-1&gt;=$E84),"━","")))</f>
        <v/>
      </c>
      <c r="CR84" s="69" t="str">
        <f aca="false">IF($E84="","",IF($M84,IF(AND($G84&gt;=CR$5,$G84&lt;CR$5+GanttPeriod),"◆",IF(AND($E84&gt;=CR$5,$E84&lt;CR$5+GanttPeriod),"◇","")),IF(AND(CR$5&lt;=$F84,CR$5+GanttPeriod-1&gt;=$E84),"━","")))</f>
        <v/>
      </c>
      <c r="CS84" s="69" t="str">
        <f aca="false">IF($E84="","",IF($M84,IF(AND($G84&gt;=CS$5,$G84&lt;CS$5+GanttPeriod),"◆",IF(AND($E84&gt;=CS$5,$E84&lt;CS$5+GanttPeriod),"◇","")),IF(AND(CS$5&lt;=$F84,CS$5+GanttPeriod-1&gt;=$E84),"━","")))</f>
        <v/>
      </c>
      <c r="CT84" s="69" t="str">
        <f aca="false">IF($E84="","",IF($M84,IF(AND($G84&gt;=CT$5,$G84&lt;CT$5+GanttPeriod),"◆",IF(AND($E84&gt;=CT$5,$E84&lt;CT$5+GanttPeriod),"◇","")),IF(AND(CT$5&lt;=$F84,CT$5+GanttPeriod-1&gt;=$E84),"━","")))</f>
        <v/>
      </c>
      <c r="CU84" s="69" t="str">
        <f aca="false">IF($E84="","",IF($M84,IF(AND($G84&gt;=CU$5,$G84&lt;CU$5+GanttPeriod),"◆",IF(AND($E84&gt;=CU$5,$E84&lt;CU$5+GanttPeriod),"◇","")),IF(AND(CU$5&lt;=$F84,CU$5+GanttPeriod-1&gt;=$E84),"━","")))</f>
        <v/>
      </c>
      <c r="CV84" s="69" t="str">
        <f aca="false">IF($E84="","",IF($M84,IF(AND($G84&gt;=CV$5,$G84&lt;CV$5+GanttPeriod),"◆",IF(AND($E84&gt;=CV$5,$E84&lt;CV$5+GanttPeriod),"◇","")),IF(AND(CV$5&lt;=$F84,CV$5+GanttPeriod-1&gt;=$E84),"━","")))</f>
        <v/>
      </c>
      <c r="CW84" s="69" t="str">
        <f aca="false">IF($E84="","",IF($M84,IF(AND($G84&gt;=CW$5,$G84&lt;CW$5+GanttPeriod),"◆",IF(AND($E84&gt;=CW$5,$E84&lt;CW$5+GanttPeriod),"◇","")),IF(AND(CW$5&lt;=$F84,CW$5+GanttPeriod-1&gt;=$E84),"━","")))</f>
        <v/>
      </c>
      <c r="CX84" s="69" t="str">
        <f aca="false">IF($E84="","",IF($M84,IF(AND($G84&gt;=CX$5,$G84&lt;CX$5+GanttPeriod),"◆",IF(AND($E84&gt;=CX$5,$E84&lt;CX$5+GanttPeriod),"◇","")),IF(AND(CX$5&lt;=$F84,CX$5+GanttPeriod-1&gt;=$E84),"━","")))</f>
        <v/>
      </c>
      <c r="CY84" s="69" t="str">
        <f aca="false">IF($E84="","",IF($M84,IF(AND($G84&gt;=CY$5,$G84&lt;CY$5+GanttPeriod),"◆",IF(AND($E84&gt;=CY$5,$E84&lt;CY$5+GanttPeriod),"◇","")),IF(AND(CY$5&lt;=$F84,CY$5+GanttPeriod-1&gt;=$E84),"━","")))</f>
        <v/>
      </c>
      <c r="CZ84" s="69" t="str">
        <f aca="false">IF($E84="","",IF($M84,IF(AND($G84&gt;=CZ$5,$G84&lt;CZ$5+GanttPeriod),"◆",IF(AND($E84&gt;=CZ$5,$E84&lt;CZ$5+GanttPeriod),"◇","")),IF(AND(CZ$5&lt;=$F84,CZ$5+GanttPeriod-1&gt;=$E84),"━","")))</f>
        <v/>
      </c>
      <c r="DA84" s="69" t="str">
        <f aca="false">IF($E84="","",IF($M84,IF(AND($G84&gt;=DA$5,$G84&lt;DA$5+GanttPeriod),"◆",IF(AND($E84&gt;=DA$5,$E84&lt;DA$5+GanttPeriod),"◇","")),IF(AND(DA$5&lt;=$F84,DA$5+GanttPeriod-1&gt;=$E84),"━","")))</f>
        <v/>
      </c>
      <c r="DB84" s="69" t="str">
        <f aca="false">IF($E84="","",IF($M84,IF(AND($G84&gt;=DB$5,$G84&lt;DB$5+GanttPeriod),"◆",IF(AND($E84&gt;=DB$5,$E84&lt;DB$5+GanttPeriod),"◇","")),IF(AND(DB$5&lt;=$F84,DB$5+GanttPeriod-1&gt;=$E84),"━","")))</f>
        <v/>
      </c>
      <c r="DC84" s="69" t="str">
        <f aca="false">IF($E84="","",IF($M84,IF(AND($G84&gt;=DC$5,$G84&lt;DC$5+GanttPeriod),"◆",IF(AND($E84&gt;=DC$5,$E84&lt;DC$5+GanttPeriod),"◇","")),IF(AND(DC$5&lt;=$F84,DC$5+GanttPeriod-1&gt;=$E84),"━","")))</f>
        <v/>
      </c>
      <c r="DD84" s="69" t="str">
        <f aca="false">IF($E84="","",IF($M84,IF(AND($G84&gt;=DD$5,$G84&lt;DD$5+GanttPeriod),"◆",IF(AND($E84&gt;=DD$5,$E84&lt;DD$5+GanttPeriod),"◇","")),IF(AND(DD$5&lt;=$F84,DD$5+GanttPeriod-1&gt;=$E84),"━","")))</f>
        <v/>
      </c>
      <c r="DE84" s="69" t="str">
        <f aca="false">IF($E84="","",IF($M84,IF(AND($G84&gt;=DE$5,$G84&lt;DE$5+GanttPeriod),"◆",IF(AND($E84&gt;=DE$5,$E84&lt;DE$5+GanttPeriod),"◇","")),IF(AND(DE$5&lt;=$F84,DE$5+GanttPeriod-1&gt;=$E84),"━","")))</f>
        <v/>
      </c>
      <c r="DF84" s="69" t="str">
        <f aca="false">IF($E84="","",IF($M84,IF(AND($G84&gt;=DF$5,$G84&lt;DF$5+GanttPeriod),"◆",IF(AND($E84&gt;=DF$5,$E84&lt;DF$5+GanttPeriod),"◇","")),IF(AND(DF$5&lt;=$F84,DF$5+GanttPeriod-1&gt;=$E84),"━","")))</f>
        <v/>
      </c>
      <c r="DG84" s="69" t="str">
        <f aca="false">IF($E84="","",IF($M84,IF(AND($G84&gt;=DG$5,$G84&lt;DG$5+GanttPeriod),"◆",IF(AND($E84&gt;=DG$5,$E84&lt;DG$5+GanttPeriod),"◇","")),IF(AND(DG$5&lt;=$F84,DG$5+GanttPeriod-1&gt;=$E84),"━","")))</f>
        <v/>
      </c>
      <c r="DH84" s="69" t="str">
        <f aca="false">IF($E84="","",IF($M84,IF(AND($G84&gt;=DH$5,$G84&lt;DH$5+GanttPeriod),"◆",IF(AND($E84&gt;=DH$5,$E84&lt;DH$5+GanttPeriod),"◇","")),IF(AND(DH$5&lt;=$F84,DH$5+GanttPeriod-1&gt;=$E84),"━","")))</f>
        <v/>
      </c>
      <c r="DI84" s="69" t="str">
        <f aca="false">IF($E84="","",IF($M84,IF(AND($G84&gt;=DI$5,$G84&lt;DI$5+GanttPeriod),"◆",IF(AND($E84&gt;=DI$5,$E84&lt;DI$5+GanttPeriod),"◇","")),IF(AND(DI$5&lt;=$F84,DI$5+GanttPeriod-1&gt;=$E84),"━","")))</f>
        <v/>
      </c>
      <c r="DJ84" s="69" t="str">
        <f aca="false">IF($E84="","",IF($M84,IF(AND($G84&gt;=DJ$5,$G84&lt;DJ$5+GanttPeriod),"◆",IF(AND($E84&gt;=DJ$5,$E84&lt;DJ$5+GanttPeriod),"◇","")),IF(AND(DJ$5&lt;=$F84,DJ$5+GanttPeriod-1&gt;=$E84),"━","")))</f>
        <v/>
      </c>
      <c r="DK84" s="69" t="str">
        <f aca="false">IF($E84="","",IF($M84,IF(AND($G84&gt;=DK$5,$G84&lt;DK$5+GanttPeriod),"◆",IF(AND($E84&gt;=DK$5,$E84&lt;DK$5+GanttPeriod),"◇","")),IF(AND(DK$5&lt;=$F84,DK$5+GanttPeriod-1&gt;=$E84),"━","")))</f>
        <v/>
      </c>
      <c r="DL84" s="69" t="str">
        <f aca="false">IF($E84="","",IF($M84,IF(AND($G84&gt;=DL$5,$G84&lt;DL$5+GanttPeriod),"◆",IF(AND($E84&gt;=DL$5,$E84&lt;DL$5+GanttPeriod),"◇","")),IF(AND(DL$5&lt;=$F84,DL$5+GanttPeriod-1&gt;=$E84),"━","")))</f>
        <v/>
      </c>
      <c r="DM84" s="69" t="str">
        <f aca="false">IF($E84="","",IF($M84,IF(AND($G84&gt;=DM$5,$G84&lt;DM$5+GanttPeriod),"◆",IF(AND($E84&gt;=DM$5,$E84&lt;DM$5+GanttPeriod),"◇","")),IF(AND(DM$5&lt;=$F84,DM$5+GanttPeriod-1&gt;=$E84),"━","")))</f>
        <v/>
      </c>
      <c r="DN84" s="69" t="str">
        <f aca="false">IF($E84="","",IF($M84,IF(AND($G84&gt;=DN$5,$G84&lt;DN$5+GanttPeriod),"◆",IF(AND($E84&gt;=DN$5,$E84&lt;DN$5+GanttPeriod),"◇","")),IF(AND(DN$5&lt;=$F84,DN$5+GanttPeriod-1&gt;=$E84),"━","")))</f>
        <v/>
      </c>
      <c r="DO84" s="69" t="str">
        <f aca="false">IF($E84="","",IF($M84,IF(AND($G84&gt;=DO$5,$G84&lt;DO$5+GanttPeriod),"◆",IF(AND($E84&gt;=DO$5,$E84&lt;DO$5+GanttPeriod),"◇","")),IF(AND(DO$5&lt;=$F84,DO$5+GanttPeriod-1&gt;=$E84),"━","")))</f>
        <v/>
      </c>
      <c r="DP84" s="69" t="str">
        <f aca="false">IF($E84="","",IF($M84,IF(AND($G84&gt;=DP$5,$G84&lt;DP$5+GanttPeriod),"◆",IF(AND($E84&gt;=DP$5,$E84&lt;DP$5+GanttPeriod),"◇","")),IF(AND(DP$5&lt;=$F84,DP$5+GanttPeriod-1&gt;=$E84),"━","")))</f>
        <v/>
      </c>
      <c r="DQ84" s="69" t="str">
        <f aca="false">IF($E84="","",IF($M84,IF(AND($G84&gt;=DQ$5,$G84&lt;DQ$5+GanttPeriod),"◆",IF(AND($E84&gt;=DQ$5,$E84&lt;DQ$5+GanttPeriod),"◇","")),IF(AND(DQ$5&lt;=$F84,DQ$5+GanttPeriod-1&gt;=$E84),"━","")))</f>
        <v/>
      </c>
      <c r="DR84" s="69" t="str">
        <f aca="false">IF($E84="","",IF($M84,IF(AND($G84&gt;=DR$5,$G84&lt;DR$5+GanttPeriod),"◆",IF(AND($E84&gt;=DR$5,$E84&lt;DR$5+GanttPeriod),"◇","")),IF(AND(DR$5&lt;=$F84,DR$5+GanttPeriod-1&gt;=$E84),"━","")))</f>
        <v/>
      </c>
      <c r="DS84" s="69" t="str">
        <f aca="false">IF($E84="","",IF($M84,IF(AND($G84&gt;=DS$5,$G84&lt;DS$5+GanttPeriod),"◆",IF(AND($E84&gt;=DS$5,$E84&lt;DS$5+GanttPeriod),"◇","")),IF(AND(DS$5&lt;=$F84,DS$5+GanttPeriod-1&gt;=$E84),"━","")))</f>
        <v/>
      </c>
      <c r="DT84" s="69" t="str">
        <f aca="false">IF($E84="","",IF($M84,IF(AND($G84&gt;=DT$5,$G84&lt;DT$5+GanttPeriod),"◆",IF(AND($E84&gt;=DT$5,$E84&lt;DT$5+GanttPeriod),"◇","")),IF(AND(DT$5&lt;=$F84,DT$5+GanttPeriod-1&gt;=$E84),"━","")))</f>
        <v/>
      </c>
      <c r="DU84" s="69" t="str">
        <f aca="false">IF($E84="","",IF($M84,IF(AND($G84&gt;=DU$5,$G84&lt;DU$5+GanttPeriod),"◆",IF(AND($E84&gt;=DU$5,$E84&lt;DU$5+GanttPeriod),"◇","")),IF(AND(DU$5&lt;=$F84,DU$5+GanttPeriod-1&gt;=$E84),"━","")))</f>
        <v/>
      </c>
      <c r="DV84" s="69" t="str">
        <f aca="false">IF($E84="","",IF($M84,IF(AND($G84&gt;=DV$5,$G84&lt;DV$5+GanttPeriod),"◆",IF(AND($E84&gt;=DV$5,$E84&lt;DV$5+GanttPeriod),"◇","")),IF(AND(DV$5&lt;=$F84,DV$5+GanttPeriod-1&gt;=$E84),"━","")))</f>
        <v/>
      </c>
      <c r="DW84" s="69" t="str">
        <f aca="false">IF($E84="","",IF($M84,IF(AND($G84&gt;=DW$5,$G84&lt;DW$5+GanttPeriod),"◆",IF(AND($E84&gt;=DW$5,$E84&lt;DW$5+GanttPeriod),"◇","")),IF(AND(DW$5&lt;=$F84,DW$5+GanttPeriod-1&gt;=$E84),"━","")))</f>
        <v/>
      </c>
      <c r="DX84" s="69" t="str">
        <f aca="false">IF($E84="","",IF($M84,IF(AND($G84&gt;=DX$5,$G84&lt;DX$5+GanttPeriod),"◆",IF(AND($E84&gt;=DX$5,$E84&lt;DX$5+GanttPeriod),"◇","")),IF(AND(DX$5&lt;=$F84,DX$5+GanttPeriod-1&gt;=$E84),"━","")))</f>
        <v/>
      </c>
      <c r="DY84" s="69" t="str">
        <f aca="false">IF($E84="","",IF($M84,IF(AND($G84&gt;=DY$5,$G84&lt;DY$5+GanttPeriod),"◆",IF(AND($E84&gt;=DY$5,$E84&lt;DY$5+GanttPeriod),"◇","")),IF(AND(DY$5&lt;=$F84,DY$5+GanttPeriod-1&gt;=$E84),"━","")))</f>
        <v/>
      </c>
      <c r="DZ84" s="69" t="str">
        <f aca="false">IF($E84="","",IF($M84,IF(AND($G84&gt;=DZ$5,$G84&lt;DZ$5+GanttPeriod),"◆",IF(AND($E84&gt;=DZ$5,$E84&lt;DZ$5+GanttPeriod),"◇","")),IF(AND(DZ$5&lt;=$F84,DZ$5+GanttPeriod-1&gt;=$E84),"━","")))</f>
        <v/>
      </c>
      <c r="EA84" s="69" t="str">
        <f aca="false">IF($E84="","",IF($M84,IF(AND($G84&gt;=EA$5,$G84&lt;EA$5+GanttPeriod),"◆",IF(AND($E84&gt;=EA$5,$E84&lt;EA$5+GanttPeriod),"◇","")),IF(AND(EA$5&lt;=$F84,EA$5+GanttPeriod-1&gt;=$E84),"━","")))</f>
        <v/>
      </c>
      <c r="EB84" s="69" t="str">
        <f aca="false">IF($E84="","",IF($M84,IF(AND($G84&gt;=EB$5,$G84&lt;EB$5+GanttPeriod),"◆",IF(AND($E84&gt;=EB$5,$E84&lt;EB$5+GanttPeriod),"◇","")),IF(AND(EB$5&lt;=$F84,EB$5+GanttPeriod-1&gt;=$E84),"━","")))</f>
        <v/>
      </c>
      <c r="EC84" s="69" t="str">
        <f aca="false">IF($E84="","",IF($M84,IF(AND($G84&gt;=EC$5,$G84&lt;EC$5+GanttPeriod),"◆",IF(AND($E84&gt;=EC$5,$E84&lt;EC$5+GanttPeriod),"◇","")),IF(AND(EC$5&lt;=$F84,EC$5+GanttPeriod-1&gt;=$E84),"━","")))</f>
        <v/>
      </c>
      <c r="ED84" s="69" t="str">
        <f aca="false">IF($E84="","",IF($M84,IF(AND($G84&gt;=ED$5,$G84&lt;ED$5+GanttPeriod),"◆",IF(AND($E84&gt;=ED$5,$E84&lt;ED$5+GanttPeriod),"◇","")),IF(AND(ED$5&lt;=$F84,ED$5+GanttPeriod-1&gt;=$E84),"━","")))</f>
        <v/>
      </c>
      <c r="EE84" s="69" t="str">
        <f aca="false">IF($E84="","",IF($M84,IF(AND($G84&gt;=EE$5,$G84&lt;EE$5+GanttPeriod),"◆",IF(AND($E84&gt;=EE$5,$E84&lt;EE$5+GanttPeriod),"◇","")),IF(AND(EE$5&lt;=$F84,EE$5+GanttPeriod-1&gt;=$E84),"━","")))</f>
        <v/>
      </c>
      <c r="EF84" s="69" t="str">
        <f aca="false">IF($E84="","",IF($M84,IF(AND($G84&gt;=EF$5,$G84&lt;EF$5+GanttPeriod),"◆",IF(AND($E84&gt;=EF$5,$E84&lt;EF$5+GanttPeriod),"◇","")),IF(AND(EF$5&lt;=$F84,EF$5+GanttPeriod-1&gt;=$E84),"━","")))</f>
        <v/>
      </c>
      <c r="EG84" s="69" t="str">
        <f aca="false">IF($E84="","",IF($M84,IF(AND($G84&gt;=EG$5,$G84&lt;EG$5+GanttPeriod),"◆",IF(AND($E84&gt;=EG$5,$E84&lt;EG$5+GanttPeriod),"◇","")),IF(AND(EG$5&lt;=$F84,EG$5+GanttPeriod-1&gt;=$E84),"━","")))</f>
        <v/>
      </c>
      <c r="EH84" s="69" t="str">
        <f aca="false">IF($E84="","",IF($M84,IF(AND($G84&gt;=EH$5,$G84&lt;EH$5+GanttPeriod),"◆",IF(AND($E84&gt;=EH$5,$E84&lt;EH$5+GanttPeriod),"◇","")),IF(AND(EH$5&lt;=$F84,EH$5+GanttPeriod-1&gt;=$E84),"━","")))</f>
        <v/>
      </c>
      <c r="EI84" s="69" t="str">
        <f aca="false">IF($E84="","",IF($M84,IF(AND($G84&gt;=EI$5,$G84&lt;EI$5+GanttPeriod),"◆",IF(AND($E84&gt;=EI$5,$E84&lt;EI$5+GanttPeriod),"◇","")),IF(AND(EI$5&lt;=$F84,EI$5+GanttPeriod-1&gt;=$E84),"━","")))</f>
        <v/>
      </c>
      <c r="EJ84" s="69" t="str">
        <f aca="false">IF($E84="","",IF($M84,IF(AND($G84&gt;=EJ$5,$G84&lt;EJ$5+GanttPeriod),"◆",IF(AND($E84&gt;=EJ$5,$E84&lt;EJ$5+GanttPeriod),"◇","")),IF(AND(EJ$5&lt;=$F84,EJ$5+GanttPeriod-1&gt;=$E84),"━","")))</f>
        <v/>
      </c>
      <c r="EK84" s="69" t="str">
        <f aca="false">IF($E84="","",IF($M84,IF(AND($G84&gt;=EK$5,$G84&lt;EK$5+GanttPeriod),"◆",IF(AND($E84&gt;=EK$5,$E84&lt;EK$5+GanttPeriod),"◇","")),IF(AND(EK$5&lt;=$F84,EK$5+GanttPeriod-1&gt;=$E84),"━","")))</f>
        <v/>
      </c>
      <c r="EL84" s="69" t="str">
        <f aca="false">IF($E84="","",IF($M84,IF(AND($G84&gt;=EL$5,$G84&lt;EL$5+GanttPeriod),"◆",IF(AND($E84&gt;=EL$5,$E84&lt;EL$5+GanttPeriod),"◇","")),IF(AND(EL$5&lt;=$F84,EL$5+GanttPeriod-1&gt;=$E84),"━","")))</f>
        <v/>
      </c>
      <c r="EM84" s="69" t="str">
        <f aca="false">IF($E84="","",IF($M84,IF(AND($G84&gt;=EM$5,$G84&lt;EM$5+GanttPeriod),"◆",IF(AND($E84&gt;=EM$5,$E84&lt;EM$5+GanttPeriod),"◇","")),IF(AND(EM$5&lt;=$F84,EM$5+GanttPeriod-1&gt;=$E84),"━","")))</f>
        <v/>
      </c>
      <c r="EN84" s="69" t="str">
        <f aca="false">IF($E84="","",IF($M84,IF(AND($G84&gt;=EN$5,$G84&lt;EN$5+GanttPeriod),"◆",IF(AND($E84&gt;=EN$5,$E84&lt;EN$5+GanttPeriod),"◇","")),IF(AND(EN$5&lt;=$F84,EN$5+GanttPeriod-1&gt;=$E84),"━","")))</f>
        <v/>
      </c>
      <c r="EO84" s="69" t="str">
        <f aca="false">IF($E84="","",IF($M84,IF(AND($G84&gt;=EO$5,$G84&lt;EO$5+GanttPeriod),"◆",IF(AND($E84&gt;=EO$5,$E84&lt;EO$5+GanttPeriod),"◇","")),IF(AND(EO$5&lt;=$F84,EO$5+GanttPeriod-1&gt;=$E84),"━","")))</f>
        <v/>
      </c>
      <c r="EP84" s="69" t="str">
        <f aca="false">IF($E84="","",IF($M84,IF(AND($G84&gt;=EP$5,$G84&lt;EP$5+GanttPeriod),"◆",IF(AND($E84&gt;=EP$5,$E84&lt;EP$5+GanttPeriod),"◇","")),IF(AND(EP$5&lt;=$F84,EP$5+GanttPeriod-1&gt;=$E84),"━","")))</f>
        <v/>
      </c>
      <c r="EQ84" s="69" t="str">
        <f aca="false">IF($E84="","",IF($M84,IF(AND($G84&gt;=EQ$5,$G84&lt;EQ$5+GanttPeriod),"◆",IF(AND($E84&gt;=EQ$5,$E84&lt;EQ$5+GanttPeriod),"◇","")),IF(AND(EQ$5&lt;=$F84,EQ$5+GanttPeriod-1&gt;=$E84),"━","")))</f>
        <v/>
      </c>
      <c r="ER84" s="69" t="str">
        <f aca="false">IF($E84="","",IF($M84,IF(AND($G84&gt;=ER$5,$G84&lt;ER$5+GanttPeriod),"◆",IF(AND($E84&gt;=ER$5,$E84&lt;ER$5+GanttPeriod),"◇","")),IF(AND(ER$5&lt;=$F84,ER$5+GanttPeriod-1&gt;=$E84),"━","")))</f>
        <v/>
      </c>
      <c r="ES84" s="69" t="str">
        <f aca="false">IF($E84="","",IF($M84,IF(AND($G84&gt;=ES$5,$G84&lt;ES$5+GanttPeriod),"◆",IF(AND($E84&gt;=ES$5,$E84&lt;ES$5+GanttPeriod),"◇","")),IF(AND(ES$5&lt;=$F84,ES$5+GanttPeriod-1&gt;=$E84),"━","")))</f>
        <v/>
      </c>
      <c r="ET84" s="69" t="str">
        <f aca="false">IF($E84="","",IF($M84,IF(AND($G84&gt;=ET$5,$G84&lt;ET$5+GanttPeriod),"◆",IF(AND($E84&gt;=ET$5,$E84&lt;ET$5+GanttPeriod),"◇","")),IF(AND(ET$5&lt;=$F84,ET$5+GanttPeriod-1&gt;=$E84),"━","")))</f>
        <v/>
      </c>
      <c r="EU84" s="69" t="str">
        <f aca="false">IF($E84="","",IF($M84,IF(AND($G84&gt;=EU$5,$G84&lt;EU$5+GanttPeriod),"◆",IF(AND($E84&gt;=EU$5,$E84&lt;EU$5+GanttPeriod),"◇","")),IF(AND(EU$5&lt;=$F84,EU$5+GanttPeriod-1&gt;=$E84),"━","")))</f>
        <v/>
      </c>
      <c r="EV84" s="69" t="str">
        <f aca="false">IF($E84="","",IF($M84,IF(AND($G84&gt;=EV$5,$G84&lt;EV$5+GanttPeriod),"◆",IF(AND($E84&gt;=EV$5,$E84&lt;EV$5+GanttPeriod),"◇","")),IF(AND(EV$5&lt;=$F84,EV$5+GanttPeriod-1&gt;=$E84),"━","")))</f>
        <v/>
      </c>
      <c r="EW84" s="69" t="str">
        <f aca="false">IF($E84="","",IF($M84,IF(AND($G84&gt;=EW$5,$G84&lt;EW$5+GanttPeriod),"◆",IF(AND($E84&gt;=EW$5,$E84&lt;EW$5+GanttPeriod),"◇","")),IF(AND(EW$5&lt;=$F84,EW$5+GanttPeriod-1&gt;=$E84),"━","")))</f>
        <v/>
      </c>
      <c r="EX84" s="69" t="str">
        <f aca="false">IF($E84="","",IF($M84,IF(AND($G84&gt;=EX$5,$G84&lt;EX$5+GanttPeriod),"◆",IF(AND($E84&gt;=EX$5,$E84&lt;EX$5+GanttPeriod),"◇","")),IF(AND(EX$5&lt;=$F84,EX$5+GanttPeriod-1&gt;=$E84),"━","")))</f>
        <v/>
      </c>
      <c r="EY84" s="69" t="str">
        <f aca="false">IF($E84="","",IF($M84,IF(AND($G84&gt;=EY$5,$G84&lt;EY$5+GanttPeriod),"◆",IF(AND($E84&gt;=EY$5,$E84&lt;EY$5+GanttPeriod),"◇","")),IF(AND(EY$5&lt;=$F84,EY$5+GanttPeriod-1&gt;=$E84),"━","")))</f>
        <v/>
      </c>
      <c r="EZ84" s="69" t="str">
        <f aca="false">IF($E84="","",IF($M84,IF(AND($G84&gt;=EZ$5,$G84&lt;EZ$5+GanttPeriod),"◆",IF(AND($E84&gt;=EZ$5,$E84&lt;EZ$5+GanttPeriod),"◇","")),IF(AND(EZ$5&lt;=$F84,EZ$5+GanttPeriod-1&gt;=$E84),"━","")))</f>
        <v/>
      </c>
      <c r="FA84" s="69" t="str">
        <f aca="false">IF($E84="","",IF($M84,IF(AND($G84&gt;=FA$5,$G84&lt;FA$5+GanttPeriod),"◆",IF(AND($E84&gt;=FA$5,$E84&lt;FA$5+GanttPeriod),"◇","")),IF(AND(FA$5&lt;=$F84,FA$5+GanttPeriod-1&gt;=$E84),"━","")))</f>
        <v/>
      </c>
      <c r="FB84" s="69" t="str">
        <f aca="false">IF($E84="","",IF($M84,IF(AND($G84&gt;=FB$5,$G84&lt;FB$5+GanttPeriod),"◆",IF(AND($E84&gt;=FB$5,$E84&lt;FB$5+GanttPeriod),"◇","")),IF(AND(FB$5&lt;=$F84,FB$5+GanttPeriod-1&gt;=$E84),"━","")))</f>
        <v/>
      </c>
      <c r="FC84" s="69" t="str">
        <f aca="false">IF($E84="","",IF($M84,IF(AND($G84&gt;=FC$5,$G84&lt;FC$5+GanttPeriod),"◆",IF(AND($E84&gt;=FC$5,$E84&lt;FC$5+GanttPeriod),"◇","")),IF(AND(FC$5&lt;=$F84,FC$5+GanttPeriod-1&gt;=$E84),"━","")))</f>
        <v/>
      </c>
      <c r="FD84" s="69" t="str">
        <f aca="false">IF($E84="","",IF($M84,IF(AND($G84&gt;=FD$5,$G84&lt;FD$5+GanttPeriod),"◆",IF(AND($E84&gt;=FD$5,$E84&lt;FD$5+GanttPeriod),"◇","")),IF(AND(FD$5&lt;=$F84,FD$5+GanttPeriod-1&gt;=$E84),"━","")))</f>
        <v/>
      </c>
      <c r="FE84" s="69" t="str">
        <f aca="false">IF($E84="","",IF($M84,IF(AND($G84&gt;=FE$5,$G84&lt;FE$5+GanttPeriod),"◆",IF(AND($E84&gt;=FE$5,$E84&lt;FE$5+GanttPeriod),"◇","")),IF(AND(FE$5&lt;=$F84,FE$5+GanttPeriod-1&gt;=$E84),"━","")))</f>
        <v/>
      </c>
      <c r="FF84" s="69" t="str">
        <f aca="false">IF($E84="","",IF($M84,IF(AND($G84&gt;=FF$5,$G84&lt;FF$5+GanttPeriod),"◆",IF(AND($E84&gt;=FF$5,$E84&lt;FF$5+GanttPeriod),"◇","")),IF(AND(FF$5&lt;=$F84,FF$5+GanttPeriod-1&gt;=$E84),"━","")))</f>
        <v/>
      </c>
      <c r="FG84" s="69" t="str">
        <f aca="false">IF($E84="","",IF($M84,IF(AND($G84&gt;=FG$5,$G84&lt;FG$5+GanttPeriod),"◆",IF(AND($E84&gt;=FG$5,$E84&lt;FG$5+GanttPeriod),"◇","")),IF(AND(FG$5&lt;=$F84,FG$5+GanttPeriod-1&gt;=$E84),"━","")))</f>
        <v/>
      </c>
      <c r="FH84" s="69" t="str">
        <f aca="false">IF($E84="","",IF($M84,IF(AND($G84&gt;=FH$5,$G84&lt;FH$5+GanttPeriod),"◆",IF(AND($E84&gt;=FH$5,$E84&lt;FH$5+GanttPeriod),"◇","")),IF(AND(FH$5&lt;=$F84,FH$5+GanttPeriod-1&gt;=$E84),"━","")))</f>
        <v/>
      </c>
      <c r="FI84" s="69" t="str">
        <f aca="false">IF($E84="","",IF($M84,IF(AND($G84&gt;=FI$5,$G84&lt;FI$5+GanttPeriod),"◆",IF(AND($E84&gt;=FI$5,$E84&lt;FI$5+GanttPeriod),"◇","")),IF(AND(FI$5&lt;=$F84,FI$5+GanttPeriod-1&gt;=$E84),"━","")))</f>
        <v/>
      </c>
      <c r="FJ84" s="69" t="str">
        <f aca="false">IF($E84="","",IF($M84,IF(AND($G84&gt;=FJ$5,$G84&lt;FJ$5+GanttPeriod),"◆",IF(AND($E84&gt;=FJ$5,$E84&lt;FJ$5+GanttPeriod),"◇","")),IF(AND(FJ$5&lt;=$F84,FJ$5+GanttPeriod-1&gt;=$E84),"━","")))</f>
        <v/>
      </c>
      <c r="FK84" s="69" t="str">
        <f aca="false">IF($E84="","",IF($M84,IF(AND($G84&gt;=FK$5,$G84&lt;FK$5+GanttPeriod),"◆",IF(AND($E84&gt;=FK$5,$E84&lt;FK$5+GanttPeriod),"◇","")),IF(AND(FK$5&lt;=$F84,FK$5+GanttPeriod-1&gt;=$E84),"━","")))</f>
        <v/>
      </c>
      <c r="FL84" s="69" t="str">
        <f aca="false">IF($E84="","",IF($M84,IF(AND($G84&gt;=FL$5,$G84&lt;FL$5+GanttPeriod),"◆",IF(AND($E84&gt;=FL$5,$E84&lt;FL$5+GanttPeriod),"◇","")),IF(AND(FL$5&lt;=$F84,FL$5+GanttPeriod-1&gt;=$E84),"━","")))</f>
        <v/>
      </c>
      <c r="FM84" s="69" t="str">
        <f aca="false">IF($E84="","",IF($M84,IF(AND($G84&gt;=FM$5,$G84&lt;FM$5+GanttPeriod),"◆",IF(AND($E84&gt;=FM$5,$E84&lt;FM$5+GanttPeriod),"◇","")),IF(AND(FM$5&lt;=$F84,FM$5+GanttPeriod-1&gt;=$E84),"━","")))</f>
        <v/>
      </c>
    </row>
    <row r="85" customFormat="false" ht="15" hidden="false" customHeight="false" outlineLevel="0" collapsed="false">
      <c r="A85" s="62" t="str">
        <f aca="false">IF(Tasks!$D85="","",Tasks!$A85)</f>
        <v/>
      </c>
      <c r="B85" s="62" t="str">
        <f aca="false">IF(Tasks!$D85="","",Tasks!$B85)</f>
        <v/>
      </c>
      <c r="C85" s="63" t="str">
        <f aca="false">IF(Tasks!$D85="","",REPT("    ",Tasks!$AE85-1)&amp;Tasks!$D85)</f>
        <v/>
      </c>
      <c r="D85" s="62" t="str">
        <f aca="false">IF(Tasks!$D85="","",IF(Tasks!$AI85,NETWORKDAYS.INTL(Tasks!$R85,Tasks!$S85,WorkWeek,Holidays),N(Tasks!$F85)))</f>
        <v/>
      </c>
      <c r="E85" s="64" t="str">
        <f aca="false">IF(Tasks!$D85="","",Tasks!$N85)</f>
        <v/>
      </c>
      <c r="F85" s="64" t="str">
        <f aca="false">IF(Tasks!$D85="","",Tasks!$O85)</f>
        <v/>
      </c>
      <c r="G85" s="64" t="str">
        <f aca="false">IF(Tasks!$D85="","",Tasks!$R85)</f>
        <v/>
      </c>
      <c r="H85" s="64" t="str">
        <f aca="false">IF(Tasks!$D85="","",Tasks!$S85)</f>
        <v/>
      </c>
      <c r="I85" s="65" t="str">
        <f aca="false">IF(Tasks!$D85="","",Tasks!$V85)</f>
        <v/>
      </c>
      <c r="J85" s="63" t="str">
        <f aca="false">IF(Tasks!$D85="","",Tasks!$X85&amp;"")</f>
        <v/>
      </c>
      <c r="K85" s="66" t="str">
        <f aca="false">IF(Tasks!$D85="","",Tasks!$W85)</f>
        <v/>
      </c>
      <c r="L85" s="67" t="b">
        <f aca="false">IF(Tasks!$D85="",FALSE(),Tasks!$AI85)</f>
        <v>0</v>
      </c>
      <c r="M85" s="67" t="b">
        <f aca="false">AND(Tasks!$AJ85=1,N(Tasks!$F85)=0)</f>
        <v>0</v>
      </c>
      <c r="N85" s="68" t="n">
        <f aca="false">IF(AND(Tasks!$AJ85=1,NOT($M85),N($I85)&gt;0),$G85,0)</f>
        <v>0</v>
      </c>
      <c r="O85" s="68" t="n">
        <f aca="false">IF($N85=0,0,IF($I85&gt;=1,$H85,MAX($N85,$G85+ROUND(($H85-$G85+1)*$I85,0)-1)))</f>
        <v>0</v>
      </c>
      <c r="P85" s="68" t="n">
        <f aca="false">IF(OR(Tasks!$AJ85&lt;&gt;1,$M85,N($I85)&gt;=1),0,IF($O85&gt;0,$O85+1,$G85))</f>
        <v>0</v>
      </c>
      <c r="Q85" s="68" t="n">
        <f aca="false">IF($P85=0,0,$H85)</f>
        <v>0</v>
      </c>
      <c r="R85" s="67" t="b">
        <f aca="false">AND(Tasks!$D85&lt;&gt;"",N(Tasks!$T85)&gt;0)</f>
        <v>0</v>
      </c>
      <c r="T85" s="69" t="str">
        <f aca="false">IF($E85="","",IF($M85,IF(AND($G85&gt;=T$5,$G85&lt;T$5+GanttPeriod),"◆",IF(AND($E85&gt;=T$5,$E85&lt;T$5+GanttPeriod),"◇","")),IF(AND(T$5&lt;=$F85,T$5+GanttPeriod-1&gt;=$E85),"━","")))</f>
        <v/>
      </c>
      <c r="U85" s="69" t="str">
        <f aca="false">IF($E85="","",IF($M85,IF(AND($G85&gt;=U$5,$G85&lt;U$5+GanttPeriod),"◆",IF(AND($E85&gt;=U$5,$E85&lt;U$5+GanttPeriod),"◇","")),IF(AND(U$5&lt;=$F85,U$5+GanttPeriod-1&gt;=$E85),"━","")))</f>
        <v/>
      </c>
      <c r="V85" s="69" t="str">
        <f aca="false">IF($E85="","",IF($M85,IF(AND($G85&gt;=V$5,$G85&lt;V$5+GanttPeriod),"◆",IF(AND($E85&gt;=V$5,$E85&lt;V$5+GanttPeriod),"◇","")),IF(AND(V$5&lt;=$F85,V$5+GanttPeriod-1&gt;=$E85),"━","")))</f>
        <v/>
      </c>
      <c r="W85" s="69" t="str">
        <f aca="false">IF($E85="","",IF($M85,IF(AND($G85&gt;=W$5,$G85&lt;W$5+GanttPeriod),"◆",IF(AND($E85&gt;=W$5,$E85&lt;W$5+GanttPeriod),"◇","")),IF(AND(W$5&lt;=$F85,W$5+GanttPeriod-1&gt;=$E85),"━","")))</f>
        <v/>
      </c>
      <c r="X85" s="69" t="str">
        <f aca="false">IF($E85="","",IF($M85,IF(AND($G85&gt;=X$5,$G85&lt;X$5+GanttPeriod),"◆",IF(AND($E85&gt;=X$5,$E85&lt;X$5+GanttPeriod),"◇","")),IF(AND(X$5&lt;=$F85,X$5+GanttPeriod-1&gt;=$E85),"━","")))</f>
        <v/>
      </c>
      <c r="Y85" s="69" t="str">
        <f aca="false">IF($E85="","",IF($M85,IF(AND($G85&gt;=Y$5,$G85&lt;Y$5+GanttPeriod),"◆",IF(AND($E85&gt;=Y$5,$E85&lt;Y$5+GanttPeriod),"◇","")),IF(AND(Y$5&lt;=$F85,Y$5+GanttPeriod-1&gt;=$E85),"━","")))</f>
        <v/>
      </c>
      <c r="Z85" s="69" t="str">
        <f aca="false">IF($E85="","",IF($M85,IF(AND($G85&gt;=Z$5,$G85&lt;Z$5+GanttPeriod),"◆",IF(AND($E85&gt;=Z$5,$E85&lt;Z$5+GanttPeriod),"◇","")),IF(AND(Z$5&lt;=$F85,Z$5+GanttPeriod-1&gt;=$E85),"━","")))</f>
        <v/>
      </c>
      <c r="AA85" s="69" t="str">
        <f aca="false">IF($E85="","",IF($M85,IF(AND($G85&gt;=AA$5,$G85&lt;AA$5+GanttPeriod),"◆",IF(AND($E85&gt;=AA$5,$E85&lt;AA$5+GanttPeriod),"◇","")),IF(AND(AA$5&lt;=$F85,AA$5+GanttPeriod-1&gt;=$E85),"━","")))</f>
        <v/>
      </c>
      <c r="AB85" s="69" t="str">
        <f aca="false">IF($E85="","",IF($M85,IF(AND($G85&gt;=AB$5,$G85&lt;AB$5+GanttPeriod),"◆",IF(AND($E85&gt;=AB$5,$E85&lt;AB$5+GanttPeriod),"◇","")),IF(AND(AB$5&lt;=$F85,AB$5+GanttPeriod-1&gt;=$E85),"━","")))</f>
        <v/>
      </c>
      <c r="AC85" s="69" t="str">
        <f aca="false">IF($E85="","",IF($M85,IF(AND($G85&gt;=AC$5,$G85&lt;AC$5+GanttPeriod),"◆",IF(AND($E85&gt;=AC$5,$E85&lt;AC$5+GanttPeriod),"◇","")),IF(AND(AC$5&lt;=$F85,AC$5+GanttPeriod-1&gt;=$E85),"━","")))</f>
        <v/>
      </c>
      <c r="AD85" s="69" t="str">
        <f aca="false">IF($E85="","",IF($M85,IF(AND($G85&gt;=AD$5,$G85&lt;AD$5+GanttPeriod),"◆",IF(AND($E85&gt;=AD$5,$E85&lt;AD$5+GanttPeriod),"◇","")),IF(AND(AD$5&lt;=$F85,AD$5+GanttPeriod-1&gt;=$E85),"━","")))</f>
        <v/>
      </c>
      <c r="AE85" s="69" t="str">
        <f aca="false">IF($E85="","",IF($M85,IF(AND($G85&gt;=AE$5,$G85&lt;AE$5+GanttPeriod),"◆",IF(AND($E85&gt;=AE$5,$E85&lt;AE$5+GanttPeriod),"◇","")),IF(AND(AE$5&lt;=$F85,AE$5+GanttPeriod-1&gt;=$E85),"━","")))</f>
        <v/>
      </c>
      <c r="AF85" s="69" t="str">
        <f aca="false">IF($E85="","",IF($M85,IF(AND($G85&gt;=AF$5,$G85&lt;AF$5+GanttPeriod),"◆",IF(AND($E85&gt;=AF$5,$E85&lt;AF$5+GanttPeriod),"◇","")),IF(AND(AF$5&lt;=$F85,AF$5+GanttPeriod-1&gt;=$E85),"━","")))</f>
        <v/>
      </c>
      <c r="AG85" s="69" t="str">
        <f aca="false">IF($E85="","",IF($M85,IF(AND($G85&gt;=AG$5,$G85&lt;AG$5+GanttPeriod),"◆",IF(AND($E85&gt;=AG$5,$E85&lt;AG$5+GanttPeriod),"◇","")),IF(AND(AG$5&lt;=$F85,AG$5+GanttPeriod-1&gt;=$E85),"━","")))</f>
        <v/>
      </c>
      <c r="AH85" s="69" t="str">
        <f aca="false">IF($E85="","",IF($M85,IF(AND($G85&gt;=AH$5,$G85&lt;AH$5+GanttPeriod),"◆",IF(AND($E85&gt;=AH$5,$E85&lt;AH$5+GanttPeriod),"◇","")),IF(AND(AH$5&lt;=$F85,AH$5+GanttPeriod-1&gt;=$E85),"━","")))</f>
        <v/>
      </c>
      <c r="AI85" s="69" t="str">
        <f aca="false">IF($E85="","",IF($M85,IF(AND($G85&gt;=AI$5,$G85&lt;AI$5+GanttPeriod),"◆",IF(AND($E85&gt;=AI$5,$E85&lt;AI$5+GanttPeriod),"◇","")),IF(AND(AI$5&lt;=$F85,AI$5+GanttPeriod-1&gt;=$E85),"━","")))</f>
        <v/>
      </c>
      <c r="AJ85" s="69" t="str">
        <f aca="false">IF($E85="","",IF($M85,IF(AND($G85&gt;=AJ$5,$G85&lt;AJ$5+GanttPeriod),"◆",IF(AND($E85&gt;=AJ$5,$E85&lt;AJ$5+GanttPeriod),"◇","")),IF(AND(AJ$5&lt;=$F85,AJ$5+GanttPeriod-1&gt;=$E85),"━","")))</f>
        <v/>
      </c>
      <c r="AK85" s="69" t="str">
        <f aca="false">IF($E85="","",IF($M85,IF(AND($G85&gt;=AK$5,$G85&lt;AK$5+GanttPeriod),"◆",IF(AND($E85&gt;=AK$5,$E85&lt;AK$5+GanttPeriod),"◇","")),IF(AND(AK$5&lt;=$F85,AK$5+GanttPeriod-1&gt;=$E85),"━","")))</f>
        <v/>
      </c>
      <c r="AL85" s="69" t="str">
        <f aca="false">IF($E85="","",IF($M85,IF(AND($G85&gt;=AL$5,$G85&lt;AL$5+GanttPeriod),"◆",IF(AND($E85&gt;=AL$5,$E85&lt;AL$5+GanttPeriod),"◇","")),IF(AND(AL$5&lt;=$F85,AL$5+GanttPeriod-1&gt;=$E85),"━","")))</f>
        <v/>
      </c>
      <c r="AM85" s="69" t="str">
        <f aca="false">IF($E85="","",IF($M85,IF(AND($G85&gt;=AM$5,$G85&lt;AM$5+GanttPeriod),"◆",IF(AND($E85&gt;=AM$5,$E85&lt;AM$5+GanttPeriod),"◇","")),IF(AND(AM$5&lt;=$F85,AM$5+GanttPeriod-1&gt;=$E85),"━","")))</f>
        <v/>
      </c>
      <c r="AN85" s="69" t="str">
        <f aca="false">IF($E85="","",IF($M85,IF(AND($G85&gt;=AN$5,$G85&lt;AN$5+GanttPeriod),"◆",IF(AND($E85&gt;=AN$5,$E85&lt;AN$5+GanttPeriod),"◇","")),IF(AND(AN$5&lt;=$F85,AN$5+GanttPeriod-1&gt;=$E85),"━","")))</f>
        <v/>
      </c>
      <c r="AO85" s="69" t="str">
        <f aca="false">IF($E85="","",IF($M85,IF(AND($G85&gt;=AO$5,$G85&lt;AO$5+GanttPeriod),"◆",IF(AND($E85&gt;=AO$5,$E85&lt;AO$5+GanttPeriod),"◇","")),IF(AND(AO$5&lt;=$F85,AO$5+GanttPeriod-1&gt;=$E85),"━","")))</f>
        <v/>
      </c>
      <c r="AP85" s="69" t="str">
        <f aca="false">IF($E85="","",IF($M85,IF(AND($G85&gt;=AP$5,$G85&lt;AP$5+GanttPeriod),"◆",IF(AND($E85&gt;=AP$5,$E85&lt;AP$5+GanttPeriod),"◇","")),IF(AND(AP$5&lt;=$F85,AP$5+GanttPeriod-1&gt;=$E85),"━","")))</f>
        <v/>
      </c>
      <c r="AQ85" s="69" t="str">
        <f aca="false">IF($E85="","",IF($M85,IF(AND($G85&gt;=AQ$5,$G85&lt;AQ$5+GanttPeriod),"◆",IF(AND($E85&gt;=AQ$5,$E85&lt;AQ$5+GanttPeriod),"◇","")),IF(AND(AQ$5&lt;=$F85,AQ$5+GanttPeriod-1&gt;=$E85),"━","")))</f>
        <v/>
      </c>
      <c r="AR85" s="69" t="str">
        <f aca="false">IF($E85="","",IF($M85,IF(AND($G85&gt;=AR$5,$G85&lt;AR$5+GanttPeriod),"◆",IF(AND($E85&gt;=AR$5,$E85&lt;AR$5+GanttPeriod),"◇","")),IF(AND(AR$5&lt;=$F85,AR$5+GanttPeriod-1&gt;=$E85),"━","")))</f>
        <v/>
      </c>
      <c r="AS85" s="69" t="str">
        <f aca="false">IF($E85="","",IF($M85,IF(AND($G85&gt;=AS$5,$G85&lt;AS$5+GanttPeriod),"◆",IF(AND($E85&gt;=AS$5,$E85&lt;AS$5+GanttPeriod),"◇","")),IF(AND(AS$5&lt;=$F85,AS$5+GanttPeriod-1&gt;=$E85),"━","")))</f>
        <v/>
      </c>
      <c r="AT85" s="69" t="str">
        <f aca="false">IF($E85="","",IF($M85,IF(AND($G85&gt;=AT$5,$G85&lt;AT$5+GanttPeriod),"◆",IF(AND($E85&gt;=AT$5,$E85&lt;AT$5+GanttPeriod),"◇","")),IF(AND(AT$5&lt;=$F85,AT$5+GanttPeriod-1&gt;=$E85),"━","")))</f>
        <v/>
      </c>
      <c r="AU85" s="69" t="str">
        <f aca="false">IF($E85="","",IF($M85,IF(AND($G85&gt;=AU$5,$G85&lt;AU$5+GanttPeriod),"◆",IF(AND($E85&gt;=AU$5,$E85&lt;AU$5+GanttPeriod),"◇","")),IF(AND(AU$5&lt;=$F85,AU$5+GanttPeriod-1&gt;=$E85),"━","")))</f>
        <v/>
      </c>
      <c r="AV85" s="69" t="str">
        <f aca="false">IF($E85="","",IF($M85,IF(AND($G85&gt;=AV$5,$G85&lt;AV$5+GanttPeriod),"◆",IF(AND($E85&gt;=AV$5,$E85&lt;AV$5+GanttPeriod),"◇","")),IF(AND(AV$5&lt;=$F85,AV$5+GanttPeriod-1&gt;=$E85),"━","")))</f>
        <v/>
      </c>
      <c r="AW85" s="69" t="str">
        <f aca="false">IF($E85="","",IF($M85,IF(AND($G85&gt;=AW$5,$G85&lt;AW$5+GanttPeriod),"◆",IF(AND($E85&gt;=AW$5,$E85&lt;AW$5+GanttPeriod),"◇","")),IF(AND(AW$5&lt;=$F85,AW$5+GanttPeriod-1&gt;=$E85),"━","")))</f>
        <v/>
      </c>
      <c r="AX85" s="69" t="str">
        <f aca="false">IF($E85="","",IF($M85,IF(AND($G85&gt;=AX$5,$G85&lt;AX$5+GanttPeriod),"◆",IF(AND($E85&gt;=AX$5,$E85&lt;AX$5+GanttPeriod),"◇","")),IF(AND(AX$5&lt;=$F85,AX$5+GanttPeriod-1&gt;=$E85),"━","")))</f>
        <v/>
      </c>
      <c r="AY85" s="69" t="str">
        <f aca="false">IF($E85="","",IF($M85,IF(AND($G85&gt;=AY$5,$G85&lt;AY$5+GanttPeriod),"◆",IF(AND($E85&gt;=AY$5,$E85&lt;AY$5+GanttPeriod),"◇","")),IF(AND(AY$5&lt;=$F85,AY$5+GanttPeriod-1&gt;=$E85),"━","")))</f>
        <v/>
      </c>
      <c r="AZ85" s="69" t="str">
        <f aca="false">IF($E85="","",IF($M85,IF(AND($G85&gt;=AZ$5,$G85&lt;AZ$5+GanttPeriod),"◆",IF(AND($E85&gt;=AZ$5,$E85&lt;AZ$5+GanttPeriod),"◇","")),IF(AND(AZ$5&lt;=$F85,AZ$5+GanttPeriod-1&gt;=$E85),"━","")))</f>
        <v/>
      </c>
      <c r="BA85" s="69" t="str">
        <f aca="false">IF($E85="","",IF($M85,IF(AND($G85&gt;=BA$5,$G85&lt;BA$5+GanttPeriod),"◆",IF(AND($E85&gt;=BA$5,$E85&lt;BA$5+GanttPeriod),"◇","")),IF(AND(BA$5&lt;=$F85,BA$5+GanttPeriod-1&gt;=$E85),"━","")))</f>
        <v/>
      </c>
      <c r="BB85" s="69" t="str">
        <f aca="false">IF($E85="","",IF($M85,IF(AND($G85&gt;=BB$5,$G85&lt;BB$5+GanttPeriod),"◆",IF(AND($E85&gt;=BB$5,$E85&lt;BB$5+GanttPeriod),"◇","")),IF(AND(BB$5&lt;=$F85,BB$5+GanttPeriod-1&gt;=$E85),"━","")))</f>
        <v/>
      </c>
      <c r="BC85" s="69" t="str">
        <f aca="false">IF($E85="","",IF($M85,IF(AND($G85&gt;=BC$5,$G85&lt;BC$5+GanttPeriod),"◆",IF(AND($E85&gt;=BC$5,$E85&lt;BC$5+GanttPeriod),"◇","")),IF(AND(BC$5&lt;=$F85,BC$5+GanttPeriod-1&gt;=$E85),"━","")))</f>
        <v/>
      </c>
      <c r="BD85" s="69" t="str">
        <f aca="false">IF($E85="","",IF($M85,IF(AND($G85&gt;=BD$5,$G85&lt;BD$5+GanttPeriod),"◆",IF(AND($E85&gt;=BD$5,$E85&lt;BD$5+GanttPeriod),"◇","")),IF(AND(BD$5&lt;=$F85,BD$5+GanttPeriod-1&gt;=$E85),"━","")))</f>
        <v/>
      </c>
      <c r="BE85" s="69" t="str">
        <f aca="false">IF($E85="","",IF($M85,IF(AND($G85&gt;=BE$5,$G85&lt;BE$5+GanttPeriod),"◆",IF(AND($E85&gt;=BE$5,$E85&lt;BE$5+GanttPeriod),"◇","")),IF(AND(BE$5&lt;=$F85,BE$5+GanttPeriod-1&gt;=$E85),"━","")))</f>
        <v/>
      </c>
      <c r="BF85" s="69" t="str">
        <f aca="false">IF($E85="","",IF($M85,IF(AND($G85&gt;=BF$5,$G85&lt;BF$5+GanttPeriod),"◆",IF(AND($E85&gt;=BF$5,$E85&lt;BF$5+GanttPeriod),"◇","")),IF(AND(BF$5&lt;=$F85,BF$5+GanttPeriod-1&gt;=$E85),"━","")))</f>
        <v/>
      </c>
      <c r="BG85" s="69" t="str">
        <f aca="false">IF($E85="","",IF($M85,IF(AND($G85&gt;=BG$5,$G85&lt;BG$5+GanttPeriod),"◆",IF(AND($E85&gt;=BG$5,$E85&lt;BG$5+GanttPeriod),"◇","")),IF(AND(BG$5&lt;=$F85,BG$5+GanttPeriod-1&gt;=$E85),"━","")))</f>
        <v/>
      </c>
      <c r="BH85" s="69" t="str">
        <f aca="false">IF($E85="","",IF($M85,IF(AND($G85&gt;=BH$5,$G85&lt;BH$5+GanttPeriod),"◆",IF(AND($E85&gt;=BH$5,$E85&lt;BH$5+GanttPeriod),"◇","")),IF(AND(BH$5&lt;=$F85,BH$5+GanttPeriod-1&gt;=$E85),"━","")))</f>
        <v/>
      </c>
      <c r="BI85" s="69" t="str">
        <f aca="false">IF($E85="","",IF($M85,IF(AND($G85&gt;=BI$5,$G85&lt;BI$5+GanttPeriod),"◆",IF(AND($E85&gt;=BI$5,$E85&lt;BI$5+GanttPeriod),"◇","")),IF(AND(BI$5&lt;=$F85,BI$5+GanttPeriod-1&gt;=$E85),"━","")))</f>
        <v/>
      </c>
      <c r="BJ85" s="69" t="str">
        <f aca="false">IF($E85="","",IF($M85,IF(AND($G85&gt;=BJ$5,$G85&lt;BJ$5+GanttPeriod),"◆",IF(AND($E85&gt;=BJ$5,$E85&lt;BJ$5+GanttPeriod),"◇","")),IF(AND(BJ$5&lt;=$F85,BJ$5+GanttPeriod-1&gt;=$E85),"━","")))</f>
        <v/>
      </c>
      <c r="BK85" s="69" t="str">
        <f aca="false">IF($E85="","",IF($M85,IF(AND($G85&gt;=BK$5,$G85&lt;BK$5+GanttPeriod),"◆",IF(AND($E85&gt;=BK$5,$E85&lt;BK$5+GanttPeriod),"◇","")),IF(AND(BK$5&lt;=$F85,BK$5+GanttPeriod-1&gt;=$E85),"━","")))</f>
        <v/>
      </c>
      <c r="BL85" s="69" t="str">
        <f aca="false">IF($E85="","",IF($M85,IF(AND($G85&gt;=BL$5,$G85&lt;BL$5+GanttPeriod),"◆",IF(AND($E85&gt;=BL$5,$E85&lt;BL$5+GanttPeriod),"◇","")),IF(AND(BL$5&lt;=$F85,BL$5+GanttPeriod-1&gt;=$E85),"━","")))</f>
        <v/>
      </c>
      <c r="BM85" s="69" t="str">
        <f aca="false">IF($E85="","",IF($M85,IF(AND($G85&gt;=BM$5,$G85&lt;BM$5+GanttPeriod),"◆",IF(AND($E85&gt;=BM$5,$E85&lt;BM$5+GanttPeriod),"◇","")),IF(AND(BM$5&lt;=$F85,BM$5+GanttPeriod-1&gt;=$E85),"━","")))</f>
        <v/>
      </c>
      <c r="BN85" s="69" t="str">
        <f aca="false">IF($E85="","",IF($M85,IF(AND($G85&gt;=BN$5,$G85&lt;BN$5+GanttPeriod),"◆",IF(AND($E85&gt;=BN$5,$E85&lt;BN$5+GanttPeriod),"◇","")),IF(AND(BN$5&lt;=$F85,BN$5+GanttPeriod-1&gt;=$E85),"━","")))</f>
        <v/>
      </c>
      <c r="BO85" s="69" t="str">
        <f aca="false">IF($E85="","",IF($M85,IF(AND($G85&gt;=BO$5,$G85&lt;BO$5+GanttPeriod),"◆",IF(AND($E85&gt;=BO$5,$E85&lt;BO$5+GanttPeriod),"◇","")),IF(AND(BO$5&lt;=$F85,BO$5+GanttPeriod-1&gt;=$E85),"━","")))</f>
        <v/>
      </c>
      <c r="BP85" s="69" t="str">
        <f aca="false">IF($E85="","",IF($M85,IF(AND($G85&gt;=BP$5,$G85&lt;BP$5+GanttPeriod),"◆",IF(AND($E85&gt;=BP$5,$E85&lt;BP$5+GanttPeriod),"◇","")),IF(AND(BP$5&lt;=$F85,BP$5+GanttPeriod-1&gt;=$E85),"━","")))</f>
        <v/>
      </c>
      <c r="BQ85" s="69" t="str">
        <f aca="false">IF($E85="","",IF($M85,IF(AND($G85&gt;=BQ$5,$G85&lt;BQ$5+GanttPeriod),"◆",IF(AND($E85&gt;=BQ$5,$E85&lt;BQ$5+GanttPeriod),"◇","")),IF(AND(BQ$5&lt;=$F85,BQ$5+GanttPeriod-1&gt;=$E85),"━","")))</f>
        <v/>
      </c>
      <c r="BR85" s="69" t="str">
        <f aca="false">IF($E85="","",IF($M85,IF(AND($G85&gt;=BR$5,$G85&lt;BR$5+GanttPeriod),"◆",IF(AND($E85&gt;=BR$5,$E85&lt;BR$5+GanttPeriod),"◇","")),IF(AND(BR$5&lt;=$F85,BR$5+GanttPeriod-1&gt;=$E85),"━","")))</f>
        <v/>
      </c>
      <c r="BS85" s="69" t="str">
        <f aca="false">IF($E85="","",IF($M85,IF(AND($G85&gt;=BS$5,$G85&lt;BS$5+GanttPeriod),"◆",IF(AND($E85&gt;=BS$5,$E85&lt;BS$5+GanttPeriod),"◇","")),IF(AND(BS$5&lt;=$F85,BS$5+GanttPeriod-1&gt;=$E85),"━","")))</f>
        <v/>
      </c>
      <c r="BT85" s="69" t="str">
        <f aca="false">IF($E85="","",IF($M85,IF(AND($G85&gt;=BT$5,$G85&lt;BT$5+GanttPeriod),"◆",IF(AND($E85&gt;=BT$5,$E85&lt;BT$5+GanttPeriod),"◇","")),IF(AND(BT$5&lt;=$F85,BT$5+GanttPeriod-1&gt;=$E85),"━","")))</f>
        <v/>
      </c>
      <c r="BU85" s="69" t="str">
        <f aca="false">IF($E85="","",IF($M85,IF(AND($G85&gt;=BU$5,$G85&lt;BU$5+GanttPeriod),"◆",IF(AND($E85&gt;=BU$5,$E85&lt;BU$5+GanttPeriod),"◇","")),IF(AND(BU$5&lt;=$F85,BU$5+GanttPeriod-1&gt;=$E85),"━","")))</f>
        <v/>
      </c>
      <c r="BV85" s="69" t="str">
        <f aca="false">IF($E85="","",IF($M85,IF(AND($G85&gt;=BV$5,$G85&lt;BV$5+GanttPeriod),"◆",IF(AND($E85&gt;=BV$5,$E85&lt;BV$5+GanttPeriod),"◇","")),IF(AND(BV$5&lt;=$F85,BV$5+GanttPeriod-1&gt;=$E85),"━","")))</f>
        <v/>
      </c>
      <c r="BW85" s="69" t="str">
        <f aca="false">IF($E85="","",IF($M85,IF(AND($G85&gt;=BW$5,$G85&lt;BW$5+GanttPeriod),"◆",IF(AND($E85&gt;=BW$5,$E85&lt;BW$5+GanttPeriod),"◇","")),IF(AND(BW$5&lt;=$F85,BW$5+GanttPeriod-1&gt;=$E85),"━","")))</f>
        <v/>
      </c>
      <c r="BX85" s="69" t="str">
        <f aca="false">IF($E85="","",IF($M85,IF(AND($G85&gt;=BX$5,$G85&lt;BX$5+GanttPeriod),"◆",IF(AND($E85&gt;=BX$5,$E85&lt;BX$5+GanttPeriod),"◇","")),IF(AND(BX$5&lt;=$F85,BX$5+GanttPeriod-1&gt;=$E85),"━","")))</f>
        <v/>
      </c>
      <c r="BY85" s="69" t="str">
        <f aca="false">IF($E85="","",IF($M85,IF(AND($G85&gt;=BY$5,$G85&lt;BY$5+GanttPeriod),"◆",IF(AND($E85&gt;=BY$5,$E85&lt;BY$5+GanttPeriod),"◇","")),IF(AND(BY$5&lt;=$F85,BY$5+GanttPeriod-1&gt;=$E85),"━","")))</f>
        <v/>
      </c>
      <c r="BZ85" s="69" t="str">
        <f aca="false">IF($E85="","",IF($M85,IF(AND($G85&gt;=BZ$5,$G85&lt;BZ$5+GanttPeriod),"◆",IF(AND($E85&gt;=BZ$5,$E85&lt;BZ$5+GanttPeriod),"◇","")),IF(AND(BZ$5&lt;=$F85,BZ$5+GanttPeriod-1&gt;=$E85),"━","")))</f>
        <v/>
      </c>
      <c r="CA85" s="69" t="str">
        <f aca="false">IF($E85="","",IF($M85,IF(AND($G85&gt;=CA$5,$G85&lt;CA$5+GanttPeriod),"◆",IF(AND($E85&gt;=CA$5,$E85&lt;CA$5+GanttPeriod),"◇","")),IF(AND(CA$5&lt;=$F85,CA$5+GanttPeriod-1&gt;=$E85),"━","")))</f>
        <v/>
      </c>
      <c r="CB85" s="69" t="str">
        <f aca="false">IF($E85="","",IF($M85,IF(AND($G85&gt;=CB$5,$G85&lt;CB$5+GanttPeriod),"◆",IF(AND($E85&gt;=CB$5,$E85&lt;CB$5+GanttPeriod),"◇","")),IF(AND(CB$5&lt;=$F85,CB$5+GanttPeriod-1&gt;=$E85),"━","")))</f>
        <v/>
      </c>
      <c r="CC85" s="69" t="str">
        <f aca="false">IF($E85="","",IF($M85,IF(AND($G85&gt;=CC$5,$G85&lt;CC$5+GanttPeriod),"◆",IF(AND($E85&gt;=CC$5,$E85&lt;CC$5+GanttPeriod),"◇","")),IF(AND(CC$5&lt;=$F85,CC$5+GanttPeriod-1&gt;=$E85),"━","")))</f>
        <v/>
      </c>
      <c r="CD85" s="69" t="str">
        <f aca="false">IF($E85="","",IF($M85,IF(AND($G85&gt;=CD$5,$G85&lt;CD$5+GanttPeriod),"◆",IF(AND($E85&gt;=CD$5,$E85&lt;CD$5+GanttPeriod),"◇","")),IF(AND(CD$5&lt;=$F85,CD$5+GanttPeriod-1&gt;=$E85),"━","")))</f>
        <v/>
      </c>
      <c r="CE85" s="69" t="str">
        <f aca="false">IF($E85="","",IF($M85,IF(AND($G85&gt;=CE$5,$G85&lt;CE$5+GanttPeriod),"◆",IF(AND($E85&gt;=CE$5,$E85&lt;CE$5+GanttPeriod),"◇","")),IF(AND(CE$5&lt;=$F85,CE$5+GanttPeriod-1&gt;=$E85),"━","")))</f>
        <v/>
      </c>
      <c r="CF85" s="69" t="str">
        <f aca="false">IF($E85="","",IF($M85,IF(AND($G85&gt;=CF$5,$G85&lt;CF$5+GanttPeriod),"◆",IF(AND($E85&gt;=CF$5,$E85&lt;CF$5+GanttPeriod),"◇","")),IF(AND(CF$5&lt;=$F85,CF$5+GanttPeriod-1&gt;=$E85),"━","")))</f>
        <v/>
      </c>
      <c r="CG85" s="69" t="str">
        <f aca="false">IF($E85="","",IF($M85,IF(AND($G85&gt;=CG$5,$G85&lt;CG$5+GanttPeriod),"◆",IF(AND($E85&gt;=CG$5,$E85&lt;CG$5+GanttPeriod),"◇","")),IF(AND(CG$5&lt;=$F85,CG$5+GanttPeriod-1&gt;=$E85),"━","")))</f>
        <v/>
      </c>
      <c r="CH85" s="69" t="str">
        <f aca="false">IF($E85="","",IF($M85,IF(AND($G85&gt;=CH$5,$G85&lt;CH$5+GanttPeriod),"◆",IF(AND($E85&gt;=CH$5,$E85&lt;CH$5+GanttPeriod),"◇","")),IF(AND(CH$5&lt;=$F85,CH$5+GanttPeriod-1&gt;=$E85),"━","")))</f>
        <v/>
      </c>
      <c r="CI85" s="69" t="str">
        <f aca="false">IF($E85="","",IF($M85,IF(AND($G85&gt;=CI$5,$G85&lt;CI$5+GanttPeriod),"◆",IF(AND($E85&gt;=CI$5,$E85&lt;CI$5+GanttPeriod),"◇","")),IF(AND(CI$5&lt;=$F85,CI$5+GanttPeriod-1&gt;=$E85),"━","")))</f>
        <v/>
      </c>
      <c r="CJ85" s="69" t="str">
        <f aca="false">IF($E85="","",IF($M85,IF(AND($G85&gt;=CJ$5,$G85&lt;CJ$5+GanttPeriod),"◆",IF(AND($E85&gt;=CJ$5,$E85&lt;CJ$5+GanttPeriod),"◇","")),IF(AND(CJ$5&lt;=$F85,CJ$5+GanttPeriod-1&gt;=$E85),"━","")))</f>
        <v/>
      </c>
      <c r="CK85" s="69" t="str">
        <f aca="false">IF($E85="","",IF($M85,IF(AND($G85&gt;=CK$5,$G85&lt;CK$5+GanttPeriod),"◆",IF(AND($E85&gt;=CK$5,$E85&lt;CK$5+GanttPeriod),"◇","")),IF(AND(CK$5&lt;=$F85,CK$5+GanttPeriod-1&gt;=$E85),"━","")))</f>
        <v/>
      </c>
      <c r="CL85" s="69" t="str">
        <f aca="false">IF($E85="","",IF($M85,IF(AND($G85&gt;=CL$5,$G85&lt;CL$5+GanttPeriod),"◆",IF(AND($E85&gt;=CL$5,$E85&lt;CL$5+GanttPeriod),"◇","")),IF(AND(CL$5&lt;=$F85,CL$5+GanttPeriod-1&gt;=$E85),"━","")))</f>
        <v/>
      </c>
      <c r="CM85" s="69" t="str">
        <f aca="false">IF($E85="","",IF($M85,IF(AND($G85&gt;=CM$5,$G85&lt;CM$5+GanttPeriod),"◆",IF(AND($E85&gt;=CM$5,$E85&lt;CM$5+GanttPeriod),"◇","")),IF(AND(CM$5&lt;=$F85,CM$5+GanttPeriod-1&gt;=$E85),"━","")))</f>
        <v/>
      </c>
      <c r="CN85" s="69" t="str">
        <f aca="false">IF($E85="","",IF($M85,IF(AND($G85&gt;=CN$5,$G85&lt;CN$5+GanttPeriod),"◆",IF(AND($E85&gt;=CN$5,$E85&lt;CN$5+GanttPeriod),"◇","")),IF(AND(CN$5&lt;=$F85,CN$5+GanttPeriod-1&gt;=$E85),"━","")))</f>
        <v/>
      </c>
      <c r="CO85" s="69" t="str">
        <f aca="false">IF($E85="","",IF($M85,IF(AND($G85&gt;=CO$5,$G85&lt;CO$5+GanttPeriod),"◆",IF(AND($E85&gt;=CO$5,$E85&lt;CO$5+GanttPeriod),"◇","")),IF(AND(CO$5&lt;=$F85,CO$5+GanttPeriod-1&gt;=$E85),"━","")))</f>
        <v/>
      </c>
      <c r="CP85" s="69" t="str">
        <f aca="false">IF($E85="","",IF($M85,IF(AND($G85&gt;=CP$5,$G85&lt;CP$5+GanttPeriod),"◆",IF(AND($E85&gt;=CP$5,$E85&lt;CP$5+GanttPeriod),"◇","")),IF(AND(CP$5&lt;=$F85,CP$5+GanttPeriod-1&gt;=$E85),"━","")))</f>
        <v/>
      </c>
      <c r="CQ85" s="69" t="str">
        <f aca="false">IF($E85="","",IF($M85,IF(AND($G85&gt;=CQ$5,$G85&lt;CQ$5+GanttPeriod),"◆",IF(AND($E85&gt;=CQ$5,$E85&lt;CQ$5+GanttPeriod),"◇","")),IF(AND(CQ$5&lt;=$F85,CQ$5+GanttPeriod-1&gt;=$E85),"━","")))</f>
        <v/>
      </c>
      <c r="CR85" s="69" t="str">
        <f aca="false">IF($E85="","",IF($M85,IF(AND($G85&gt;=CR$5,$G85&lt;CR$5+GanttPeriod),"◆",IF(AND($E85&gt;=CR$5,$E85&lt;CR$5+GanttPeriod),"◇","")),IF(AND(CR$5&lt;=$F85,CR$5+GanttPeriod-1&gt;=$E85),"━","")))</f>
        <v/>
      </c>
      <c r="CS85" s="69" t="str">
        <f aca="false">IF($E85="","",IF($M85,IF(AND($G85&gt;=CS$5,$G85&lt;CS$5+GanttPeriod),"◆",IF(AND($E85&gt;=CS$5,$E85&lt;CS$5+GanttPeriod),"◇","")),IF(AND(CS$5&lt;=$F85,CS$5+GanttPeriod-1&gt;=$E85),"━","")))</f>
        <v/>
      </c>
      <c r="CT85" s="69" t="str">
        <f aca="false">IF($E85="","",IF($M85,IF(AND($G85&gt;=CT$5,$G85&lt;CT$5+GanttPeriod),"◆",IF(AND($E85&gt;=CT$5,$E85&lt;CT$5+GanttPeriod),"◇","")),IF(AND(CT$5&lt;=$F85,CT$5+GanttPeriod-1&gt;=$E85),"━","")))</f>
        <v/>
      </c>
      <c r="CU85" s="69" t="str">
        <f aca="false">IF($E85="","",IF($M85,IF(AND($G85&gt;=CU$5,$G85&lt;CU$5+GanttPeriod),"◆",IF(AND($E85&gt;=CU$5,$E85&lt;CU$5+GanttPeriod),"◇","")),IF(AND(CU$5&lt;=$F85,CU$5+GanttPeriod-1&gt;=$E85),"━","")))</f>
        <v/>
      </c>
      <c r="CV85" s="69" t="str">
        <f aca="false">IF($E85="","",IF($M85,IF(AND($G85&gt;=CV$5,$G85&lt;CV$5+GanttPeriod),"◆",IF(AND($E85&gt;=CV$5,$E85&lt;CV$5+GanttPeriod),"◇","")),IF(AND(CV$5&lt;=$F85,CV$5+GanttPeriod-1&gt;=$E85),"━","")))</f>
        <v/>
      </c>
      <c r="CW85" s="69" t="str">
        <f aca="false">IF($E85="","",IF($M85,IF(AND($G85&gt;=CW$5,$G85&lt;CW$5+GanttPeriod),"◆",IF(AND($E85&gt;=CW$5,$E85&lt;CW$5+GanttPeriod),"◇","")),IF(AND(CW$5&lt;=$F85,CW$5+GanttPeriod-1&gt;=$E85),"━","")))</f>
        <v/>
      </c>
      <c r="CX85" s="69" t="str">
        <f aca="false">IF($E85="","",IF($M85,IF(AND($G85&gt;=CX$5,$G85&lt;CX$5+GanttPeriod),"◆",IF(AND($E85&gt;=CX$5,$E85&lt;CX$5+GanttPeriod),"◇","")),IF(AND(CX$5&lt;=$F85,CX$5+GanttPeriod-1&gt;=$E85),"━","")))</f>
        <v/>
      </c>
      <c r="CY85" s="69" t="str">
        <f aca="false">IF($E85="","",IF($M85,IF(AND($G85&gt;=CY$5,$G85&lt;CY$5+GanttPeriod),"◆",IF(AND($E85&gt;=CY$5,$E85&lt;CY$5+GanttPeriod),"◇","")),IF(AND(CY$5&lt;=$F85,CY$5+GanttPeriod-1&gt;=$E85),"━","")))</f>
        <v/>
      </c>
      <c r="CZ85" s="69" t="str">
        <f aca="false">IF($E85="","",IF($M85,IF(AND($G85&gt;=CZ$5,$G85&lt;CZ$5+GanttPeriod),"◆",IF(AND($E85&gt;=CZ$5,$E85&lt;CZ$5+GanttPeriod),"◇","")),IF(AND(CZ$5&lt;=$F85,CZ$5+GanttPeriod-1&gt;=$E85),"━","")))</f>
        <v/>
      </c>
      <c r="DA85" s="69" t="str">
        <f aca="false">IF($E85="","",IF($M85,IF(AND($G85&gt;=DA$5,$G85&lt;DA$5+GanttPeriod),"◆",IF(AND($E85&gt;=DA$5,$E85&lt;DA$5+GanttPeriod),"◇","")),IF(AND(DA$5&lt;=$F85,DA$5+GanttPeriod-1&gt;=$E85),"━","")))</f>
        <v/>
      </c>
      <c r="DB85" s="69" t="str">
        <f aca="false">IF($E85="","",IF($M85,IF(AND($G85&gt;=DB$5,$G85&lt;DB$5+GanttPeriod),"◆",IF(AND($E85&gt;=DB$5,$E85&lt;DB$5+GanttPeriod),"◇","")),IF(AND(DB$5&lt;=$F85,DB$5+GanttPeriod-1&gt;=$E85),"━","")))</f>
        <v/>
      </c>
      <c r="DC85" s="69" t="str">
        <f aca="false">IF($E85="","",IF($M85,IF(AND($G85&gt;=DC$5,$G85&lt;DC$5+GanttPeriod),"◆",IF(AND($E85&gt;=DC$5,$E85&lt;DC$5+GanttPeriod),"◇","")),IF(AND(DC$5&lt;=$F85,DC$5+GanttPeriod-1&gt;=$E85),"━","")))</f>
        <v/>
      </c>
      <c r="DD85" s="69" t="str">
        <f aca="false">IF($E85="","",IF($M85,IF(AND($G85&gt;=DD$5,$G85&lt;DD$5+GanttPeriod),"◆",IF(AND($E85&gt;=DD$5,$E85&lt;DD$5+GanttPeriod),"◇","")),IF(AND(DD$5&lt;=$F85,DD$5+GanttPeriod-1&gt;=$E85),"━","")))</f>
        <v/>
      </c>
      <c r="DE85" s="69" t="str">
        <f aca="false">IF($E85="","",IF($M85,IF(AND($G85&gt;=DE$5,$G85&lt;DE$5+GanttPeriod),"◆",IF(AND($E85&gt;=DE$5,$E85&lt;DE$5+GanttPeriod),"◇","")),IF(AND(DE$5&lt;=$F85,DE$5+GanttPeriod-1&gt;=$E85),"━","")))</f>
        <v/>
      </c>
      <c r="DF85" s="69" t="str">
        <f aca="false">IF($E85="","",IF($M85,IF(AND($G85&gt;=DF$5,$G85&lt;DF$5+GanttPeriod),"◆",IF(AND($E85&gt;=DF$5,$E85&lt;DF$5+GanttPeriod),"◇","")),IF(AND(DF$5&lt;=$F85,DF$5+GanttPeriod-1&gt;=$E85),"━","")))</f>
        <v/>
      </c>
      <c r="DG85" s="69" t="str">
        <f aca="false">IF($E85="","",IF($M85,IF(AND($G85&gt;=DG$5,$G85&lt;DG$5+GanttPeriod),"◆",IF(AND($E85&gt;=DG$5,$E85&lt;DG$5+GanttPeriod),"◇","")),IF(AND(DG$5&lt;=$F85,DG$5+GanttPeriod-1&gt;=$E85),"━","")))</f>
        <v/>
      </c>
      <c r="DH85" s="69" t="str">
        <f aca="false">IF($E85="","",IF($M85,IF(AND($G85&gt;=DH$5,$G85&lt;DH$5+GanttPeriod),"◆",IF(AND($E85&gt;=DH$5,$E85&lt;DH$5+GanttPeriod),"◇","")),IF(AND(DH$5&lt;=$F85,DH$5+GanttPeriod-1&gt;=$E85),"━","")))</f>
        <v/>
      </c>
      <c r="DI85" s="69" t="str">
        <f aca="false">IF($E85="","",IF($M85,IF(AND($G85&gt;=DI$5,$G85&lt;DI$5+GanttPeriod),"◆",IF(AND($E85&gt;=DI$5,$E85&lt;DI$5+GanttPeriod),"◇","")),IF(AND(DI$5&lt;=$F85,DI$5+GanttPeriod-1&gt;=$E85),"━","")))</f>
        <v/>
      </c>
      <c r="DJ85" s="69" t="str">
        <f aca="false">IF($E85="","",IF($M85,IF(AND($G85&gt;=DJ$5,$G85&lt;DJ$5+GanttPeriod),"◆",IF(AND($E85&gt;=DJ$5,$E85&lt;DJ$5+GanttPeriod),"◇","")),IF(AND(DJ$5&lt;=$F85,DJ$5+GanttPeriod-1&gt;=$E85),"━","")))</f>
        <v/>
      </c>
      <c r="DK85" s="69" t="str">
        <f aca="false">IF($E85="","",IF($M85,IF(AND($G85&gt;=DK$5,$G85&lt;DK$5+GanttPeriod),"◆",IF(AND($E85&gt;=DK$5,$E85&lt;DK$5+GanttPeriod),"◇","")),IF(AND(DK$5&lt;=$F85,DK$5+GanttPeriod-1&gt;=$E85),"━","")))</f>
        <v/>
      </c>
      <c r="DL85" s="69" t="str">
        <f aca="false">IF($E85="","",IF($M85,IF(AND($G85&gt;=DL$5,$G85&lt;DL$5+GanttPeriod),"◆",IF(AND($E85&gt;=DL$5,$E85&lt;DL$5+GanttPeriod),"◇","")),IF(AND(DL$5&lt;=$F85,DL$5+GanttPeriod-1&gt;=$E85),"━","")))</f>
        <v/>
      </c>
      <c r="DM85" s="69" t="str">
        <f aca="false">IF($E85="","",IF($M85,IF(AND($G85&gt;=DM$5,$G85&lt;DM$5+GanttPeriod),"◆",IF(AND($E85&gt;=DM$5,$E85&lt;DM$5+GanttPeriod),"◇","")),IF(AND(DM$5&lt;=$F85,DM$5+GanttPeriod-1&gt;=$E85),"━","")))</f>
        <v/>
      </c>
      <c r="DN85" s="69" t="str">
        <f aca="false">IF($E85="","",IF($M85,IF(AND($G85&gt;=DN$5,$G85&lt;DN$5+GanttPeriod),"◆",IF(AND($E85&gt;=DN$5,$E85&lt;DN$5+GanttPeriod),"◇","")),IF(AND(DN$5&lt;=$F85,DN$5+GanttPeriod-1&gt;=$E85),"━","")))</f>
        <v/>
      </c>
      <c r="DO85" s="69" t="str">
        <f aca="false">IF($E85="","",IF($M85,IF(AND($G85&gt;=DO$5,$G85&lt;DO$5+GanttPeriod),"◆",IF(AND($E85&gt;=DO$5,$E85&lt;DO$5+GanttPeriod),"◇","")),IF(AND(DO$5&lt;=$F85,DO$5+GanttPeriod-1&gt;=$E85),"━","")))</f>
        <v/>
      </c>
      <c r="DP85" s="69" t="str">
        <f aca="false">IF($E85="","",IF($M85,IF(AND($G85&gt;=DP$5,$G85&lt;DP$5+GanttPeriod),"◆",IF(AND($E85&gt;=DP$5,$E85&lt;DP$5+GanttPeriod),"◇","")),IF(AND(DP$5&lt;=$F85,DP$5+GanttPeriod-1&gt;=$E85),"━","")))</f>
        <v/>
      </c>
      <c r="DQ85" s="69" t="str">
        <f aca="false">IF($E85="","",IF($M85,IF(AND($G85&gt;=DQ$5,$G85&lt;DQ$5+GanttPeriod),"◆",IF(AND($E85&gt;=DQ$5,$E85&lt;DQ$5+GanttPeriod),"◇","")),IF(AND(DQ$5&lt;=$F85,DQ$5+GanttPeriod-1&gt;=$E85),"━","")))</f>
        <v/>
      </c>
      <c r="DR85" s="69" t="str">
        <f aca="false">IF($E85="","",IF($M85,IF(AND($G85&gt;=DR$5,$G85&lt;DR$5+GanttPeriod),"◆",IF(AND($E85&gt;=DR$5,$E85&lt;DR$5+GanttPeriod),"◇","")),IF(AND(DR$5&lt;=$F85,DR$5+GanttPeriod-1&gt;=$E85),"━","")))</f>
        <v/>
      </c>
      <c r="DS85" s="69" t="str">
        <f aca="false">IF($E85="","",IF($M85,IF(AND($G85&gt;=DS$5,$G85&lt;DS$5+GanttPeriod),"◆",IF(AND($E85&gt;=DS$5,$E85&lt;DS$5+GanttPeriod),"◇","")),IF(AND(DS$5&lt;=$F85,DS$5+GanttPeriod-1&gt;=$E85),"━","")))</f>
        <v/>
      </c>
      <c r="DT85" s="69" t="str">
        <f aca="false">IF($E85="","",IF($M85,IF(AND($G85&gt;=DT$5,$G85&lt;DT$5+GanttPeriod),"◆",IF(AND($E85&gt;=DT$5,$E85&lt;DT$5+GanttPeriod),"◇","")),IF(AND(DT$5&lt;=$F85,DT$5+GanttPeriod-1&gt;=$E85),"━","")))</f>
        <v/>
      </c>
      <c r="DU85" s="69" t="str">
        <f aca="false">IF($E85="","",IF($M85,IF(AND($G85&gt;=DU$5,$G85&lt;DU$5+GanttPeriod),"◆",IF(AND($E85&gt;=DU$5,$E85&lt;DU$5+GanttPeriod),"◇","")),IF(AND(DU$5&lt;=$F85,DU$5+GanttPeriod-1&gt;=$E85),"━","")))</f>
        <v/>
      </c>
      <c r="DV85" s="69" t="str">
        <f aca="false">IF($E85="","",IF($M85,IF(AND($G85&gt;=DV$5,$G85&lt;DV$5+GanttPeriod),"◆",IF(AND($E85&gt;=DV$5,$E85&lt;DV$5+GanttPeriod),"◇","")),IF(AND(DV$5&lt;=$F85,DV$5+GanttPeriod-1&gt;=$E85),"━","")))</f>
        <v/>
      </c>
      <c r="DW85" s="69" t="str">
        <f aca="false">IF($E85="","",IF($M85,IF(AND($G85&gt;=DW$5,$G85&lt;DW$5+GanttPeriod),"◆",IF(AND($E85&gt;=DW$5,$E85&lt;DW$5+GanttPeriod),"◇","")),IF(AND(DW$5&lt;=$F85,DW$5+GanttPeriod-1&gt;=$E85),"━","")))</f>
        <v/>
      </c>
      <c r="DX85" s="69" t="str">
        <f aca="false">IF($E85="","",IF($M85,IF(AND($G85&gt;=DX$5,$G85&lt;DX$5+GanttPeriod),"◆",IF(AND($E85&gt;=DX$5,$E85&lt;DX$5+GanttPeriod),"◇","")),IF(AND(DX$5&lt;=$F85,DX$5+GanttPeriod-1&gt;=$E85),"━","")))</f>
        <v/>
      </c>
      <c r="DY85" s="69" t="str">
        <f aca="false">IF($E85="","",IF($M85,IF(AND($G85&gt;=DY$5,$G85&lt;DY$5+GanttPeriod),"◆",IF(AND($E85&gt;=DY$5,$E85&lt;DY$5+GanttPeriod),"◇","")),IF(AND(DY$5&lt;=$F85,DY$5+GanttPeriod-1&gt;=$E85),"━","")))</f>
        <v/>
      </c>
      <c r="DZ85" s="69" t="str">
        <f aca="false">IF($E85="","",IF($M85,IF(AND($G85&gt;=DZ$5,$G85&lt;DZ$5+GanttPeriod),"◆",IF(AND($E85&gt;=DZ$5,$E85&lt;DZ$5+GanttPeriod),"◇","")),IF(AND(DZ$5&lt;=$F85,DZ$5+GanttPeriod-1&gt;=$E85),"━","")))</f>
        <v/>
      </c>
      <c r="EA85" s="69" t="str">
        <f aca="false">IF($E85="","",IF($M85,IF(AND($G85&gt;=EA$5,$G85&lt;EA$5+GanttPeriod),"◆",IF(AND($E85&gt;=EA$5,$E85&lt;EA$5+GanttPeriod),"◇","")),IF(AND(EA$5&lt;=$F85,EA$5+GanttPeriod-1&gt;=$E85),"━","")))</f>
        <v/>
      </c>
      <c r="EB85" s="69" t="str">
        <f aca="false">IF($E85="","",IF($M85,IF(AND($G85&gt;=EB$5,$G85&lt;EB$5+GanttPeriod),"◆",IF(AND($E85&gt;=EB$5,$E85&lt;EB$5+GanttPeriod),"◇","")),IF(AND(EB$5&lt;=$F85,EB$5+GanttPeriod-1&gt;=$E85),"━","")))</f>
        <v/>
      </c>
      <c r="EC85" s="69" t="str">
        <f aca="false">IF($E85="","",IF($M85,IF(AND($G85&gt;=EC$5,$G85&lt;EC$5+GanttPeriod),"◆",IF(AND($E85&gt;=EC$5,$E85&lt;EC$5+GanttPeriod),"◇","")),IF(AND(EC$5&lt;=$F85,EC$5+GanttPeriod-1&gt;=$E85),"━","")))</f>
        <v/>
      </c>
      <c r="ED85" s="69" t="str">
        <f aca="false">IF($E85="","",IF($M85,IF(AND($G85&gt;=ED$5,$G85&lt;ED$5+GanttPeriod),"◆",IF(AND($E85&gt;=ED$5,$E85&lt;ED$5+GanttPeriod),"◇","")),IF(AND(ED$5&lt;=$F85,ED$5+GanttPeriod-1&gt;=$E85),"━","")))</f>
        <v/>
      </c>
      <c r="EE85" s="69" t="str">
        <f aca="false">IF($E85="","",IF($M85,IF(AND($G85&gt;=EE$5,$G85&lt;EE$5+GanttPeriod),"◆",IF(AND($E85&gt;=EE$5,$E85&lt;EE$5+GanttPeriod),"◇","")),IF(AND(EE$5&lt;=$F85,EE$5+GanttPeriod-1&gt;=$E85),"━","")))</f>
        <v/>
      </c>
      <c r="EF85" s="69" t="str">
        <f aca="false">IF($E85="","",IF($M85,IF(AND($G85&gt;=EF$5,$G85&lt;EF$5+GanttPeriod),"◆",IF(AND($E85&gt;=EF$5,$E85&lt;EF$5+GanttPeriod),"◇","")),IF(AND(EF$5&lt;=$F85,EF$5+GanttPeriod-1&gt;=$E85),"━","")))</f>
        <v/>
      </c>
      <c r="EG85" s="69" t="str">
        <f aca="false">IF($E85="","",IF($M85,IF(AND($G85&gt;=EG$5,$G85&lt;EG$5+GanttPeriod),"◆",IF(AND($E85&gt;=EG$5,$E85&lt;EG$5+GanttPeriod),"◇","")),IF(AND(EG$5&lt;=$F85,EG$5+GanttPeriod-1&gt;=$E85),"━","")))</f>
        <v/>
      </c>
      <c r="EH85" s="69" t="str">
        <f aca="false">IF($E85="","",IF($M85,IF(AND($G85&gt;=EH$5,$G85&lt;EH$5+GanttPeriod),"◆",IF(AND($E85&gt;=EH$5,$E85&lt;EH$5+GanttPeriod),"◇","")),IF(AND(EH$5&lt;=$F85,EH$5+GanttPeriod-1&gt;=$E85),"━","")))</f>
        <v/>
      </c>
      <c r="EI85" s="69" t="str">
        <f aca="false">IF($E85="","",IF($M85,IF(AND($G85&gt;=EI$5,$G85&lt;EI$5+GanttPeriod),"◆",IF(AND($E85&gt;=EI$5,$E85&lt;EI$5+GanttPeriod),"◇","")),IF(AND(EI$5&lt;=$F85,EI$5+GanttPeriod-1&gt;=$E85),"━","")))</f>
        <v/>
      </c>
      <c r="EJ85" s="69" t="str">
        <f aca="false">IF($E85="","",IF($M85,IF(AND($G85&gt;=EJ$5,$G85&lt;EJ$5+GanttPeriod),"◆",IF(AND($E85&gt;=EJ$5,$E85&lt;EJ$5+GanttPeriod),"◇","")),IF(AND(EJ$5&lt;=$F85,EJ$5+GanttPeriod-1&gt;=$E85),"━","")))</f>
        <v/>
      </c>
      <c r="EK85" s="69" t="str">
        <f aca="false">IF($E85="","",IF($M85,IF(AND($G85&gt;=EK$5,$G85&lt;EK$5+GanttPeriod),"◆",IF(AND($E85&gt;=EK$5,$E85&lt;EK$5+GanttPeriod),"◇","")),IF(AND(EK$5&lt;=$F85,EK$5+GanttPeriod-1&gt;=$E85),"━","")))</f>
        <v/>
      </c>
      <c r="EL85" s="69" t="str">
        <f aca="false">IF($E85="","",IF($M85,IF(AND($G85&gt;=EL$5,$G85&lt;EL$5+GanttPeriod),"◆",IF(AND($E85&gt;=EL$5,$E85&lt;EL$5+GanttPeriod),"◇","")),IF(AND(EL$5&lt;=$F85,EL$5+GanttPeriod-1&gt;=$E85),"━","")))</f>
        <v/>
      </c>
      <c r="EM85" s="69" t="str">
        <f aca="false">IF($E85="","",IF($M85,IF(AND($G85&gt;=EM$5,$G85&lt;EM$5+GanttPeriod),"◆",IF(AND($E85&gt;=EM$5,$E85&lt;EM$5+GanttPeriod),"◇","")),IF(AND(EM$5&lt;=$F85,EM$5+GanttPeriod-1&gt;=$E85),"━","")))</f>
        <v/>
      </c>
      <c r="EN85" s="69" t="str">
        <f aca="false">IF($E85="","",IF($M85,IF(AND($G85&gt;=EN$5,$G85&lt;EN$5+GanttPeriod),"◆",IF(AND($E85&gt;=EN$5,$E85&lt;EN$5+GanttPeriod),"◇","")),IF(AND(EN$5&lt;=$F85,EN$5+GanttPeriod-1&gt;=$E85),"━","")))</f>
        <v/>
      </c>
      <c r="EO85" s="69" t="str">
        <f aca="false">IF($E85="","",IF($M85,IF(AND($G85&gt;=EO$5,$G85&lt;EO$5+GanttPeriod),"◆",IF(AND($E85&gt;=EO$5,$E85&lt;EO$5+GanttPeriod),"◇","")),IF(AND(EO$5&lt;=$F85,EO$5+GanttPeriod-1&gt;=$E85),"━","")))</f>
        <v/>
      </c>
      <c r="EP85" s="69" t="str">
        <f aca="false">IF($E85="","",IF($M85,IF(AND($G85&gt;=EP$5,$G85&lt;EP$5+GanttPeriod),"◆",IF(AND($E85&gt;=EP$5,$E85&lt;EP$5+GanttPeriod),"◇","")),IF(AND(EP$5&lt;=$F85,EP$5+GanttPeriod-1&gt;=$E85),"━","")))</f>
        <v/>
      </c>
      <c r="EQ85" s="69" t="str">
        <f aca="false">IF($E85="","",IF($M85,IF(AND($G85&gt;=EQ$5,$G85&lt;EQ$5+GanttPeriod),"◆",IF(AND($E85&gt;=EQ$5,$E85&lt;EQ$5+GanttPeriod),"◇","")),IF(AND(EQ$5&lt;=$F85,EQ$5+GanttPeriod-1&gt;=$E85),"━","")))</f>
        <v/>
      </c>
      <c r="ER85" s="69" t="str">
        <f aca="false">IF($E85="","",IF($M85,IF(AND($G85&gt;=ER$5,$G85&lt;ER$5+GanttPeriod),"◆",IF(AND($E85&gt;=ER$5,$E85&lt;ER$5+GanttPeriod),"◇","")),IF(AND(ER$5&lt;=$F85,ER$5+GanttPeriod-1&gt;=$E85),"━","")))</f>
        <v/>
      </c>
      <c r="ES85" s="69" t="str">
        <f aca="false">IF($E85="","",IF($M85,IF(AND($G85&gt;=ES$5,$G85&lt;ES$5+GanttPeriod),"◆",IF(AND($E85&gt;=ES$5,$E85&lt;ES$5+GanttPeriod),"◇","")),IF(AND(ES$5&lt;=$F85,ES$5+GanttPeriod-1&gt;=$E85),"━","")))</f>
        <v/>
      </c>
      <c r="ET85" s="69" t="str">
        <f aca="false">IF($E85="","",IF($M85,IF(AND($G85&gt;=ET$5,$G85&lt;ET$5+GanttPeriod),"◆",IF(AND($E85&gt;=ET$5,$E85&lt;ET$5+GanttPeriod),"◇","")),IF(AND(ET$5&lt;=$F85,ET$5+GanttPeriod-1&gt;=$E85),"━","")))</f>
        <v/>
      </c>
      <c r="EU85" s="69" t="str">
        <f aca="false">IF($E85="","",IF($M85,IF(AND($G85&gt;=EU$5,$G85&lt;EU$5+GanttPeriod),"◆",IF(AND($E85&gt;=EU$5,$E85&lt;EU$5+GanttPeriod),"◇","")),IF(AND(EU$5&lt;=$F85,EU$5+GanttPeriod-1&gt;=$E85),"━","")))</f>
        <v/>
      </c>
      <c r="EV85" s="69" t="str">
        <f aca="false">IF($E85="","",IF($M85,IF(AND($G85&gt;=EV$5,$G85&lt;EV$5+GanttPeriod),"◆",IF(AND($E85&gt;=EV$5,$E85&lt;EV$5+GanttPeriod),"◇","")),IF(AND(EV$5&lt;=$F85,EV$5+GanttPeriod-1&gt;=$E85),"━","")))</f>
        <v/>
      </c>
      <c r="EW85" s="69" t="str">
        <f aca="false">IF($E85="","",IF($M85,IF(AND($G85&gt;=EW$5,$G85&lt;EW$5+GanttPeriod),"◆",IF(AND($E85&gt;=EW$5,$E85&lt;EW$5+GanttPeriod),"◇","")),IF(AND(EW$5&lt;=$F85,EW$5+GanttPeriod-1&gt;=$E85),"━","")))</f>
        <v/>
      </c>
      <c r="EX85" s="69" t="str">
        <f aca="false">IF($E85="","",IF($M85,IF(AND($G85&gt;=EX$5,$G85&lt;EX$5+GanttPeriod),"◆",IF(AND($E85&gt;=EX$5,$E85&lt;EX$5+GanttPeriod),"◇","")),IF(AND(EX$5&lt;=$F85,EX$5+GanttPeriod-1&gt;=$E85),"━","")))</f>
        <v/>
      </c>
      <c r="EY85" s="69" t="str">
        <f aca="false">IF($E85="","",IF($M85,IF(AND($G85&gt;=EY$5,$G85&lt;EY$5+GanttPeriod),"◆",IF(AND($E85&gt;=EY$5,$E85&lt;EY$5+GanttPeriod),"◇","")),IF(AND(EY$5&lt;=$F85,EY$5+GanttPeriod-1&gt;=$E85),"━","")))</f>
        <v/>
      </c>
      <c r="EZ85" s="69" t="str">
        <f aca="false">IF($E85="","",IF($M85,IF(AND($G85&gt;=EZ$5,$G85&lt;EZ$5+GanttPeriod),"◆",IF(AND($E85&gt;=EZ$5,$E85&lt;EZ$5+GanttPeriod),"◇","")),IF(AND(EZ$5&lt;=$F85,EZ$5+GanttPeriod-1&gt;=$E85),"━","")))</f>
        <v/>
      </c>
      <c r="FA85" s="69" t="str">
        <f aca="false">IF($E85="","",IF($M85,IF(AND($G85&gt;=FA$5,$G85&lt;FA$5+GanttPeriod),"◆",IF(AND($E85&gt;=FA$5,$E85&lt;FA$5+GanttPeriod),"◇","")),IF(AND(FA$5&lt;=$F85,FA$5+GanttPeriod-1&gt;=$E85),"━","")))</f>
        <v/>
      </c>
      <c r="FB85" s="69" t="str">
        <f aca="false">IF($E85="","",IF($M85,IF(AND($G85&gt;=FB$5,$G85&lt;FB$5+GanttPeriod),"◆",IF(AND($E85&gt;=FB$5,$E85&lt;FB$5+GanttPeriod),"◇","")),IF(AND(FB$5&lt;=$F85,FB$5+GanttPeriod-1&gt;=$E85),"━","")))</f>
        <v/>
      </c>
      <c r="FC85" s="69" t="str">
        <f aca="false">IF($E85="","",IF($M85,IF(AND($G85&gt;=FC$5,$G85&lt;FC$5+GanttPeriod),"◆",IF(AND($E85&gt;=FC$5,$E85&lt;FC$5+GanttPeriod),"◇","")),IF(AND(FC$5&lt;=$F85,FC$5+GanttPeriod-1&gt;=$E85),"━","")))</f>
        <v/>
      </c>
      <c r="FD85" s="69" t="str">
        <f aca="false">IF($E85="","",IF($M85,IF(AND($G85&gt;=FD$5,$G85&lt;FD$5+GanttPeriod),"◆",IF(AND($E85&gt;=FD$5,$E85&lt;FD$5+GanttPeriod),"◇","")),IF(AND(FD$5&lt;=$F85,FD$5+GanttPeriod-1&gt;=$E85),"━","")))</f>
        <v/>
      </c>
      <c r="FE85" s="69" t="str">
        <f aca="false">IF($E85="","",IF($M85,IF(AND($G85&gt;=FE$5,$G85&lt;FE$5+GanttPeriod),"◆",IF(AND($E85&gt;=FE$5,$E85&lt;FE$5+GanttPeriod),"◇","")),IF(AND(FE$5&lt;=$F85,FE$5+GanttPeriod-1&gt;=$E85),"━","")))</f>
        <v/>
      </c>
      <c r="FF85" s="69" t="str">
        <f aca="false">IF($E85="","",IF($M85,IF(AND($G85&gt;=FF$5,$G85&lt;FF$5+GanttPeriod),"◆",IF(AND($E85&gt;=FF$5,$E85&lt;FF$5+GanttPeriod),"◇","")),IF(AND(FF$5&lt;=$F85,FF$5+GanttPeriod-1&gt;=$E85),"━","")))</f>
        <v/>
      </c>
      <c r="FG85" s="69" t="str">
        <f aca="false">IF($E85="","",IF($M85,IF(AND($G85&gt;=FG$5,$G85&lt;FG$5+GanttPeriod),"◆",IF(AND($E85&gt;=FG$5,$E85&lt;FG$5+GanttPeriod),"◇","")),IF(AND(FG$5&lt;=$F85,FG$5+GanttPeriod-1&gt;=$E85),"━","")))</f>
        <v/>
      </c>
      <c r="FH85" s="69" t="str">
        <f aca="false">IF($E85="","",IF($M85,IF(AND($G85&gt;=FH$5,$G85&lt;FH$5+GanttPeriod),"◆",IF(AND($E85&gt;=FH$5,$E85&lt;FH$5+GanttPeriod),"◇","")),IF(AND(FH$5&lt;=$F85,FH$5+GanttPeriod-1&gt;=$E85),"━","")))</f>
        <v/>
      </c>
      <c r="FI85" s="69" t="str">
        <f aca="false">IF($E85="","",IF($M85,IF(AND($G85&gt;=FI$5,$G85&lt;FI$5+GanttPeriod),"◆",IF(AND($E85&gt;=FI$5,$E85&lt;FI$5+GanttPeriod),"◇","")),IF(AND(FI$5&lt;=$F85,FI$5+GanttPeriod-1&gt;=$E85),"━","")))</f>
        <v/>
      </c>
      <c r="FJ85" s="69" t="str">
        <f aca="false">IF($E85="","",IF($M85,IF(AND($G85&gt;=FJ$5,$G85&lt;FJ$5+GanttPeriod),"◆",IF(AND($E85&gt;=FJ$5,$E85&lt;FJ$5+GanttPeriod),"◇","")),IF(AND(FJ$5&lt;=$F85,FJ$5+GanttPeriod-1&gt;=$E85),"━","")))</f>
        <v/>
      </c>
      <c r="FK85" s="69" t="str">
        <f aca="false">IF($E85="","",IF($M85,IF(AND($G85&gt;=FK$5,$G85&lt;FK$5+GanttPeriod),"◆",IF(AND($E85&gt;=FK$5,$E85&lt;FK$5+GanttPeriod),"◇","")),IF(AND(FK$5&lt;=$F85,FK$5+GanttPeriod-1&gt;=$E85),"━","")))</f>
        <v/>
      </c>
      <c r="FL85" s="69" t="str">
        <f aca="false">IF($E85="","",IF($M85,IF(AND($G85&gt;=FL$5,$G85&lt;FL$5+GanttPeriod),"◆",IF(AND($E85&gt;=FL$5,$E85&lt;FL$5+GanttPeriod),"◇","")),IF(AND(FL$5&lt;=$F85,FL$5+GanttPeriod-1&gt;=$E85),"━","")))</f>
        <v/>
      </c>
      <c r="FM85" s="69" t="str">
        <f aca="false">IF($E85="","",IF($M85,IF(AND($G85&gt;=FM$5,$G85&lt;FM$5+GanttPeriod),"◆",IF(AND($E85&gt;=FM$5,$E85&lt;FM$5+GanttPeriod),"◇","")),IF(AND(FM$5&lt;=$F85,FM$5+GanttPeriod-1&gt;=$E85),"━","")))</f>
        <v/>
      </c>
    </row>
    <row r="86" customFormat="false" ht="15" hidden="false" customHeight="false" outlineLevel="0" collapsed="false">
      <c r="A86" s="62" t="str">
        <f aca="false">IF(Tasks!$D86="","",Tasks!$A86)</f>
        <v/>
      </c>
      <c r="B86" s="62" t="str">
        <f aca="false">IF(Tasks!$D86="","",Tasks!$B86)</f>
        <v/>
      </c>
      <c r="C86" s="63" t="str">
        <f aca="false">IF(Tasks!$D86="","",REPT("    ",Tasks!$AE86-1)&amp;Tasks!$D86)</f>
        <v/>
      </c>
      <c r="D86" s="62" t="str">
        <f aca="false">IF(Tasks!$D86="","",IF(Tasks!$AI86,NETWORKDAYS.INTL(Tasks!$R86,Tasks!$S86,WorkWeek,Holidays),N(Tasks!$F86)))</f>
        <v/>
      </c>
      <c r="E86" s="64" t="str">
        <f aca="false">IF(Tasks!$D86="","",Tasks!$N86)</f>
        <v/>
      </c>
      <c r="F86" s="64" t="str">
        <f aca="false">IF(Tasks!$D86="","",Tasks!$O86)</f>
        <v/>
      </c>
      <c r="G86" s="64" t="str">
        <f aca="false">IF(Tasks!$D86="","",Tasks!$R86)</f>
        <v/>
      </c>
      <c r="H86" s="64" t="str">
        <f aca="false">IF(Tasks!$D86="","",Tasks!$S86)</f>
        <v/>
      </c>
      <c r="I86" s="65" t="str">
        <f aca="false">IF(Tasks!$D86="","",Tasks!$V86)</f>
        <v/>
      </c>
      <c r="J86" s="63" t="str">
        <f aca="false">IF(Tasks!$D86="","",Tasks!$X86&amp;"")</f>
        <v/>
      </c>
      <c r="K86" s="66" t="str">
        <f aca="false">IF(Tasks!$D86="","",Tasks!$W86)</f>
        <v/>
      </c>
      <c r="L86" s="67" t="b">
        <f aca="false">IF(Tasks!$D86="",FALSE(),Tasks!$AI86)</f>
        <v>0</v>
      </c>
      <c r="M86" s="67" t="b">
        <f aca="false">AND(Tasks!$AJ86=1,N(Tasks!$F86)=0)</f>
        <v>0</v>
      </c>
      <c r="N86" s="68" t="n">
        <f aca="false">IF(AND(Tasks!$AJ86=1,NOT($M86),N($I86)&gt;0),$G86,0)</f>
        <v>0</v>
      </c>
      <c r="O86" s="68" t="n">
        <f aca="false">IF($N86=0,0,IF($I86&gt;=1,$H86,MAX($N86,$G86+ROUND(($H86-$G86+1)*$I86,0)-1)))</f>
        <v>0</v>
      </c>
      <c r="P86" s="68" t="n">
        <f aca="false">IF(OR(Tasks!$AJ86&lt;&gt;1,$M86,N($I86)&gt;=1),0,IF($O86&gt;0,$O86+1,$G86))</f>
        <v>0</v>
      </c>
      <c r="Q86" s="68" t="n">
        <f aca="false">IF($P86=0,0,$H86)</f>
        <v>0</v>
      </c>
      <c r="R86" s="67" t="b">
        <f aca="false">AND(Tasks!$D86&lt;&gt;"",N(Tasks!$T86)&gt;0)</f>
        <v>0</v>
      </c>
      <c r="T86" s="69" t="str">
        <f aca="false">IF($E86="","",IF($M86,IF(AND($G86&gt;=T$5,$G86&lt;T$5+GanttPeriod),"◆",IF(AND($E86&gt;=T$5,$E86&lt;T$5+GanttPeriod),"◇","")),IF(AND(T$5&lt;=$F86,T$5+GanttPeriod-1&gt;=$E86),"━","")))</f>
        <v/>
      </c>
      <c r="U86" s="69" t="str">
        <f aca="false">IF($E86="","",IF($M86,IF(AND($G86&gt;=U$5,$G86&lt;U$5+GanttPeriod),"◆",IF(AND($E86&gt;=U$5,$E86&lt;U$5+GanttPeriod),"◇","")),IF(AND(U$5&lt;=$F86,U$5+GanttPeriod-1&gt;=$E86),"━","")))</f>
        <v/>
      </c>
      <c r="V86" s="69" t="str">
        <f aca="false">IF($E86="","",IF($M86,IF(AND($G86&gt;=V$5,$G86&lt;V$5+GanttPeriod),"◆",IF(AND($E86&gt;=V$5,$E86&lt;V$5+GanttPeriod),"◇","")),IF(AND(V$5&lt;=$F86,V$5+GanttPeriod-1&gt;=$E86),"━","")))</f>
        <v/>
      </c>
      <c r="W86" s="69" t="str">
        <f aca="false">IF($E86="","",IF($M86,IF(AND($G86&gt;=W$5,$G86&lt;W$5+GanttPeriod),"◆",IF(AND($E86&gt;=W$5,$E86&lt;W$5+GanttPeriod),"◇","")),IF(AND(W$5&lt;=$F86,W$5+GanttPeriod-1&gt;=$E86),"━","")))</f>
        <v/>
      </c>
      <c r="X86" s="69" t="str">
        <f aca="false">IF($E86="","",IF($M86,IF(AND($G86&gt;=X$5,$G86&lt;X$5+GanttPeriod),"◆",IF(AND($E86&gt;=X$5,$E86&lt;X$5+GanttPeriod),"◇","")),IF(AND(X$5&lt;=$F86,X$5+GanttPeriod-1&gt;=$E86),"━","")))</f>
        <v/>
      </c>
      <c r="Y86" s="69" t="str">
        <f aca="false">IF($E86="","",IF($M86,IF(AND($G86&gt;=Y$5,$G86&lt;Y$5+GanttPeriod),"◆",IF(AND($E86&gt;=Y$5,$E86&lt;Y$5+GanttPeriod),"◇","")),IF(AND(Y$5&lt;=$F86,Y$5+GanttPeriod-1&gt;=$E86),"━","")))</f>
        <v/>
      </c>
      <c r="Z86" s="69" t="str">
        <f aca="false">IF($E86="","",IF($M86,IF(AND($G86&gt;=Z$5,$G86&lt;Z$5+GanttPeriod),"◆",IF(AND($E86&gt;=Z$5,$E86&lt;Z$5+GanttPeriod),"◇","")),IF(AND(Z$5&lt;=$F86,Z$5+GanttPeriod-1&gt;=$E86),"━","")))</f>
        <v/>
      </c>
      <c r="AA86" s="69" t="str">
        <f aca="false">IF($E86="","",IF($M86,IF(AND($G86&gt;=AA$5,$G86&lt;AA$5+GanttPeriod),"◆",IF(AND($E86&gt;=AA$5,$E86&lt;AA$5+GanttPeriod),"◇","")),IF(AND(AA$5&lt;=$F86,AA$5+GanttPeriod-1&gt;=$E86),"━","")))</f>
        <v/>
      </c>
      <c r="AB86" s="69" t="str">
        <f aca="false">IF($E86="","",IF($M86,IF(AND($G86&gt;=AB$5,$G86&lt;AB$5+GanttPeriod),"◆",IF(AND($E86&gt;=AB$5,$E86&lt;AB$5+GanttPeriod),"◇","")),IF(AND(AB$5&lt;=$F86,AB$5+GanttPeriod-1&gt;=$E86),"━","")))</f>
        <v/>
      </c>
      <c r="AC86" s="69" t="str">
        <f aca="false">IF($E86="","",IF($M86,IF(AND($G86&gt;=AC$5,$G86&lt;AC$5+GanttPeriod),"◆",IF(AND($E86&gt;=AC$5,$E86&lt;AC$5+GanttPeriod),"◇","")),IF(AND(AC$5&lt;=$F86,AC$5+GanttPeriod-1&gt;=$E86),"━","")))</f>
        <v/>
      </c>
      <c r="AD86" s="69" t="str">
        <f aca="false">IF($E86="","",IF($M86,IF(AND($G86&gt;=AD$5,$G86&lt;AD$5+GanttPeriod),"◆",IF(AND($E86&gt;=AD$5,$E86&lt;AD$5+GanttPeriod),"◇","")),IF(AND(AD$5&lt;=$F86,AD$5+GanttPeriod-1&gt;=$E86),"━","")))</f>
        <v/>
      </c>
      <c r="AE86" s="69" t="str">
        <f aca="false">IF($E86="","",IF($M86,IF(AND($G86&gt;=AE$5,$G86&lt;AE$5+GanttPeriod),"◆",IF(AND($E86&gt;=AE$5,$E86&lt;AE$5+GanttPeriod),"◇","")),IF(AND(AE$5&lt;=$F86,AE$5+GanttPeriod-1&gt;=$E86),"━","")))</f>
        <v/>
      </c>
      <c r="AF86" s="69" t="str">
        <f aca="false">IF($E86="","",IF($M86,IF(AND($G86&gt;=AF$5,$G86&lt;AF$5+GanttPeriod),"◆",IF(AND($E86&gt;=AF$5,$E86&lt;AF$5+GanttPeriod),"◇","")),IF(AND(AF$5&lt;=$F86,AF$5+GanttPeriod-1&gt;=$E86),"━","")))</f>
        <v/>
      </c>
      <c r="AG86" s="69" t="str">
        <f aca="false">IF($E86="","",IF($M86,IF(AND($G86&gt;=AG$5,$G86&lt;AG$5+GanttPeriod),"◆",IF(AND($E86&gt;=AG$5,$E86&lt;AG$5+GanttPeriod),"◇","")),IF(AND(AG$5&lt;=$F86,AG$5+GanttPeriod-1&gt;=$E86),"━","")))</f>
        <v/>
      </c>
      <c r="AH86" s="69" t="str">
        <f aca="false">IF($E86="","",IF($M86,IF(AND($G86&gt;=AH$5,$G86&lt;AH$5+GanttPeriod),"◆",IF(AND($E86&gt;=AH$5,$E86&lt;AH$5+GanttPeriod),"◇","")),IF(AND(AH$5&lt;=$F86,AH$5+GanttPeriod-1&gt;=$E86),"━","")))</f>
        <v/>
      </c>
      <c r="AI86" s="69" t="str">
        <f aca="false">IF($E86="","",IF($M86,IF(AND($G86&gt;=AI$5,$G86&lt;AI$5+GanttPeriod),"◆",IF(AND($E86&gt;=AI$5,$E86&lt;AI$5+GanttPeriod),"◇","")),IF(AND(AI$5&lt;=$F86,AI$5+GanttPeriod-1&gt;=$E86),"━","")))</f>
        <v/>
      </c>
      <c r="AJ86" s="69" t="str">
        <f aca="false">IF($E86="","",IF($M86,IF(AND($G86&gt;=AJ$5,$G86&lt;AJ$5+GanttPeriod),"◆",IF(AND($E86&gt;=AJ$5,$E86&lt;AJ$5+GanttPeriod),"◇","")),IF(AND(AJ$5&lt;=$F86,AJ$5+GanttPeriod-1&gt;=$E86),"━","")))</f>
        <v/>
      </c>
      <c r="AK86" s="69" t="str">
        <f aca="false">IF($E86="","",IF($M86,IF(AND($G86&gt;=AK$5,$G86&lt;AK$5+GanttPeriod),"◆",IF(AND($E86&gt;=AK$5,$E86&lt;AK$5+GanttPeriod),"◇","")),IF(AND(AK$5&lt;=$F86,AK$5+GanttPeriod-1&gt;=$E86),"━","")))</f>
        <v/>
      </c>
      <c r="AL86" s="69" t="str">
        <f aca="false">IF($E86="","",IF($M86,IF(AND($G86&gt;=AL$5,$G86&lt;AL$5+GanttPeriod),"◆",IF(AND($E86&gt;=AL$5,$E86&lt;AL$5+GanttPeriod),"◇","")),IF(AND(AL$5&lt;=$F86,AL$5+GanttPeriod-1&gt;=$E86),"━","")))</f>
        <v/>
      </c>
      <c r="AM86" s="69" t="str">
        <f aca="false">IF($E86="","",IF($M86,IF(AND($G86&gt;=AM$5,$G86&lt;AM$5+GanttPeriod),"◆",IF(AND($E86&gt;=AM$5,$E86&lt;AM$5+GanttPeriod),"◇","")),IF(AND(AM$5&lt;=$F86,AM$5+GanttPeriod-1&gt;=$E86),"━","")))</f>
        <v/>
      </c>
      <c r="AN86" s="69" t="str">
        <f aca="false">IF($E86="","",IF($M86,IF(AND($G86&gt;=AN$5,$G86&lt;AN$5+GanttPeriod),"◆",IF(AND($E86&gt;=AN$5,$E86&lt;AN$5+GanttPeriod),"◇","")),IF(AND(AN$5&lt;=$F86,AN$5+GanttPeriod-1&gt;=$E86),"━","")))</f>
        <v/>
      </c>
      <c r="AO86" s="69" t="str">
        <f aca="false">IF($E86="","",IF($M86,IF(AND($G86&gt;=AO$5,$G86&lt;AO$5+GanttPeriod),"◆",IF(AND($E86&gt;=AO$5,$E86&lt;AO$5+GanttPeriod),"◇","")),IF(AND(AO$5&lt;=$F86,AO$5+GanttPeriod-1&gt;=$E86),"━","")))</f>
        <v/>
      </c>
      <c r="AP86" s="69" t="str">
        <f aca="false">IF($E86="","",IF($M86,IF(AND($G86&gt;=AP$5,$G86&lt;AP$5+GanttPeriod),"◆",IF(AND($E86&gt;=AP$5,$E86&lt;AP$5+GanttPeriod),"◇","")),IF(AND(AP$5&lt;=$F86,AP$5+GanttPeriod-1&gt;=$E86),"━","")))</f>
        <v/>
      </c>
      <c r="AQ86" s="69" t="str">
        <f aca="false">IF($E86="","",IF($M86,IF(AND($G86&gt;=AQ$5,$G86&lt;AQ$5+GanttPeriod),"◆",IF(AND($E86&gt;=AQ$5,$E86&lt;AQ$5+GanttPeriod),"◇","")),IF(AND(AQ$5&lt;=$F86,AQ$5+GanttPeriod-1&gt;=$E86),"━","")))</f>
        <v/>
      </c>
      <c r="AR86" s="69" t="str">
        <f aca="false">IF($E86="","",IF($M86,IF(AND($G86&gt;=AR$5,$G86&lt;AR$5+GanttPeriod),"◆",IF(AND($E86&gt;=AR$5,$E86&lt;AR$5+GanttPeriod),"◇","")),IF(AND(AR$5&lt;=$F86,AR$5+GanttPeriod-1&gt;=$E86),"━","")))</f>
        <v/>
      </c>
      <c r="AS86" s="69" t="str">
        <f aca="false">IF($E86="","",IF($M86,IF(AND($G86&gt;=AS$5,$G86&lt;AS$5+GanttPeriod),"◆",IF(AND($E86&gt;=AS$5,$E86&lt;AS$5+GanttPeriod),"◇","")),IF(AND(AS$5&lt;=$F86,AS$5+GanttPeriod-1&gt;=$E86),"━","")))</f>
        <v/>
      </c>
      <c r="AT86" s="69" t="str">
        <f aca="false">IF($E86="","",IF($M86,IF(AND($G86&gt;=AT$5,$G86&lt;AT$5+GanttPeriod),"◆",IF(AND($E86&gt;=AT$5,$E86&lt;AT$5+GanttPeriod),"◇","")),IF(AND(AT$5&lt;=$F86,AT$5+GanttPeriod-1&gt;=$E86),"━","")))</f>
        <v/>
      </c>
      <c r="AU86" s="69" t="str">
        <f aca="false">IF($E86="","",IF($M86,IF(AND($G86&gt;=AU$5,$G86&lt;AU$5+GanttPeriod),"◆",IF(AND($E86&gt;=AU$5,$E86&lt;AU$5+GanttPeriod),"◇","")),IF(AND(AU$5&lt;=$F86,AU$5+GanttPeriod-1&gt;=$E86),"━","")))</f>
        <v/>
      </c>
      <c r="AV86" s="69" t="str">
        <f aca="false">IF($E86="","",IF($M86,IF(AND($G86&gt;=AV$5,$G86&lt;AV$5+GanttPeriod),"◆",IF(AND($E86&gt;=AV$5,$E86&lt;AV$5+GanttPeriod),"◇","")),IF(AND(AV$5&lt;=$F86,AV$5+GanttPeriod-1&gt;=$E86),"━","")))</f>
        <v/>
      </c>
      <c r="AW86" s="69" t="str">
        <f aca="false">IF($E86="","",IF($M86,IF(AND($G86&gt;=AW$5,$G86&lt;AW$5+GanttPeriod),"◆",IF(AND($E86&gt;=AW$5,$E86&lt;AW$5+GanttPeriod),"◇","")),IF(AND(AW$5&lt;=$F86,AW$5+GanttPeriod-1&gt;=$E86),"━","")))</f>
        <v/>
      </c>
      <c r="AX86" s="69" t="str">
        <f aca="false">IF($E86="","",IF($M86,IF(AND($G86&gt;=AX$5,$G86&lt;AX$5+GanttPeriod),"◆",IF(AND($E86&gt;=AX$5,$E86&lt;AX$5+GanttPeriod),"◇","")),IF(AND(AX$5&lt;=$F86,AX$5+GanttPeriod-1&gt;=$E86),"━","")))</f>
        <v/>
      </c>
      <c r="AY86" s="69" t="str">
        <f aca="false">IF($E86="","",IF($M86,IF(AND($G86&gt;=AY$5,$G86&lt;AY$5+GanttPeriod),"◆",IF(AND($E86&gt;=AY$5,$E86&lt;AY$5+GanttPeriod),"◇","")),IF(AND(AY$5&lt;=$F86,AY$5+GanttPeriod-1&gt;=$E86),"━","")))</f>
        <v/>
      </c>
      <c r="AZ86" s="69" t="str">
        <f aca="false">IF($E86="","",IF($M86,IF(AND($G86&gt;=AZ$5,$G86&lt;AZ$5+GanttPeriod),"◆",IF(AND($E86&gt;=AZ$5,$E86&lt;AZ$5+GanttPeriod),"◇","")),IF(AND(AZ$5&lt;=$F86,AZ$5+GanttPeriod-1&gt;=$E86),"━","")))</f>
        <v/>
      </c>
      <c r="BA86" s="69" t="str">
        <f aca="false">IF($E86="","",IF($M86,IF(AND($G86&gt;=BA$5,$G86&lt;BA$5+GanttPeriod),"◆",IF(AND($E86&gt;=BA$5,$E86&lt;BA$5+GanttPeriod),"◇","")),IF(AND(BA$5&lt;=$F86,BA$5+GanttPeriod-1&gt;=$E86),"━","")))</f>
        <v/>
      </c>
      <c r="BB86" s="69" t="str">
        <f aca="false">IF($E86="","",IF($M86,IF(AND($G86&gt;=BB$5,$G86&lt;BB$5+GanttPeriod),"◆",IF(AND($E86&gt;=BB$5,$E86&lt;BB$5+GanttPeriod),"◇","")),IF(AND(BB$5&lt;=$F86,BB$5+GanttPeriod-1&gt;=$E86),"━","")))</f>
        <v/>
      </c>
      <c r="BC86" s="69" t="str">
        <f aca="false">IF($E86="","",IF($M86,IF(AND($G86&gt;=BC$5,$G86&lt;BC$5+GanttPeriod),"◆",IF(AND($E86&gt;=BC$5,$E86&lt;BC$5+GanttPeriod),"◇","")),IF(AND(BC$5&lt;=$F86,BC$5+GanttPeriod-1&gt;=$E86),"━","")))</f>
        <v/>
      </c>
      <c r="BD86" s="69" t="str">
        <f aca="false">IF($E86="","",IF($M86,IF(AND($G86&gt;=BD$5,$G86&lt;BD$5+GanttPeriod),"◆",IF(AND($E86&gt;=BD$5,$E86&lt;BD$5+GanttPeriod),"◇","")),IF(AND(BD$5&lt;=$F86,BD$5+GanttPeriod-1&gt;=$E86),"━","")))</f>
        <v/>
      </c>
      <c r="BE86" s="69" t="str">
        <f aca="false">IF($E86="","",IF($M86,IF(AND($G86&gt;=BE$5,$G86&lt;BE$5+GanttPeriod),"◆",IF(AND($E86&gt;=BE$5,$E86&lt;BE$5+GanttPeriod),"◇","")),IF(AND(BE$5&lt;=$F86,BE$5+GanttPeriod-1&gt;=$E86),"━","")))</f>
        <v/>
      </c>
      <c r="BF86" s="69" t="str">
        <f aca="false">IF($E86="","",IF($M86,IF(AND($G86&gt;=BF$5,$G86&lt;BF$5+GanttPeriod),"◆",IF(AND($E86&gt;=BF$5,$E86&lt;BF$5+GanttPeriod),"◇","")),IF(AND(BF$5&lt;=$F86,BF$5+GanttPeriod-1&gt;=$E86),"━","")))</f>
        <v/>
      </c>
      <c r="BG86" s="69" t="str">
        <f aca="false">IF($E86="","",IF($M86,IF(AND($G86&gt;=BG$5,$G86&lt;BG$5+GanttPeriod),"◆",IF(AND($E86&gt;=BG$5,$E86&lt;BG$5+GanttPeriod),"◇","")),IF(AND(BG$5&lt;=$F86,BG$5+GanttPeriod-1&gt;=$E86),"━","")))</f>
        <v/>
      </c>
      <c r="BH86" s="69" t="str">
        <f aca="false">IF($E86="","",IF($M86,IF(AND($G86&gt;=BH$5,$G86&lt;BH$5+GanttPeriod),"◆",IF(AND($E86&gt;=BH$5,$E86&lt;BH$5+GanttPeriod),"◇","")),IF(AND(BH$5&lt;=$F86,BH$5+GanttPeriod-1&gt;=$E86),"━","")))</f>
        <v/>
      </c>
      <c r="BI86" s="69" t="str">
        <f aca="false">IF($E86="","",IF($M86,IF(AND($G86&gt;=BI$5,$G86&lt;BI$5+GanttPeriod),"◆",IF(AND($E86&gt;=BI$5,$E86&lt;BI$5+GanttPeriod),"◇","")),IF(AND(BI$5&lt;=$F86,BI$5+GanttPeriod-1&gt;=$E86),"━","")))</f>
        <v/>
      </c>
      <c r="BJ86" s="69" t="str">
        <f aca="false">IF($E86="","",IF($M86,IF(AND($G86&gt;=BJ$5,$G86&lt;BJ$5+GanttPeriod),"◆",IF(AND($E86&gt;=BJ$5,$E86&lt;BJ$5+GanttPeriod),"◇","")),IF(AND(BJ$5&lt;=$F86,BJ$5+GanttPeriod-1&gt;=$E86),"━","")))</f>
        <v/>
      </c>
      <c r="BK86" s="69" t="str">
        <f aca="false">IF($E86="","",IF($M86,IF(AND($G86&gt;=BK$5,$G86&lt;BK$5+GanttPeriod),"◆",IF(AND($E86&gt;=BK$5,$E86&lt;BK$5+GanttPeriod),"◇","")),IF(AND(BK$5&lt;=$F86,BK$5+GanttPeriod-1&gt;=$E86),"━","")))</f>
        <v/>
      </c>
      <c r="BL86" s="69" t="str">
        <f aca="false">IF($E86="","",IF($M86,IF(AND($G86&gt;=BL$5,$G86&lt;BL$5+GanttPeriod),"◆",IF(AND($E86&gt;=BL$5,$E86&lt;BL$5+GanttPeriod),"◇","")),IF(AND(BL$5&lt;=$F86,BL$5+GanttPeriod-1&gt;=$E86),"━","")))</f>
        <v/>
      </c>
      <c r="BM86" s="69" t="str">
        <f aca="false">IF($E86="","",IF($M86,IF(AND($G86&gt;=BM$5,$G86&lt;BM$5+GanttPeriod),"◆",IF(AND($E86&gt;=BM$5,$E86&lt;BM$5+GanttPeriod),"◇","")),IF(AND(BM$5&lt;=$F86,BM$5+GanttPeriod-1&gt;=$E86),"━","")))</f>
        <v/>
      </c>
      <c r="BN86" s="69" t="str">
        <f aca="false">IF($E86="","",IF($M86,IF(AND($G86&gt;=BN$5,$G86&lt;BN$5+GanttPeriod),"◆",IF(AND($E86&gt;=BN$5,$E86&lt;BN$5+GanttPeriod),"◇","")),IF(AND(BN$5&lt;=$F86,BN$5+GanttPeriod-1&gt;=$E86),"━","")))</f>
        <v/>
      </c>
      <c r="BO86" s="69" t="str">
        <f aca="false">IF($E86="","",IF($M86,IF(AND($G86&gt;=BO$5,$G86&lt;BO$5+GanttPeriod),"◆",IF(AND($E86&gt;=BO$5,$E86&lt;BO$5+GanttPeriod),"◇","")),IF(AND(BO$5&lt;=$F86,BO$5+GanttPeriod-1&gt;=$E86),"━","")))</f>
        <v/>
      </c>
      <c r="BP86" s="69" t="str">
        <f aca="false">IF($E86="","",IF($M86,IF(AND($G86&gt;=BP$5,$G86&lt;BP$5+GanttPeriod),"◆",IF(AND($E86&gt;=BP$5,$E86&lt;BP$5+GanttPeriod),"◇","")),IF(AND(BP$5&lt;=$F86,BP$5+GanttPeriod-1&gt;=$E86),"━","")))</f>
        <v/>
      </c>
      <c r="BQ86" s="69" t="str">
        <f aca="false">IF($E86="","",IF($M86,IF(AND($G86&gt;=BQ$5,$G86&lt;BQ$5+GanttPeriod),"◆",IF(AND($E86&gt;=BQ$5,$E86&lt;BQ$5+GanttPeriod),"◇","")),IF(AND(BQ$5&lt;=$F86,BQ$5+GanttPeriod-1&gt;=$E86),"━","")))</f>
        <v/>
      </c>
      <c r="BR86" s="69" t="str">
        <f aca="false">IF($E86="","",IF($M86,IF(AND($G86&gt;=BR$5,$G86&lt;BR$5+GanttPeriod),"◆",IF(AND($E86&gt;=BR$5,$E86&lt;BR$5+GanttPeriod),"◇","")),IF(AND(BR$5&lt;=$F86,BR$5+GanttPeriod-1&gt;=$E86),"━","")))</f>
        <v/>
      </c>
      <c r="BS86" s="69" t="str">
        <f aca="false">IF($E86="","",IF($M86,IF(AND($G86&gt;=BS$5,$G86&lt;BS$5+GanttPeriod),"◆",IF(AND($E86&gt;=BS$5,$E86&lt;BS$5+GanttPeriod),"◇","")),IF(AND(BS$5&lt;=$F86,BS$5+GanttPeriod-1&gt;=$E86),"━","")))</f>
        <v/>
      </c>
      <c r="BT86" s="69" t="str">
        <f aca="false">IF($E86="","",IF($M86,IF(AND($G86&gt;=BT$5,$G86&lt;BT$5+GanttPeriod),"◆",IF(AND($E86&gt;=BT$5,$E86&lt;BT$5+GanttPeriod),"◇","")),IF(AND(BT$5&lt;=$F86,BT$5+GanttPeriod-1&gt;=$E86),"━","")))</f>
        <v/>
      </c>
      <c r="BU86" s="69" t="str">
        <f aca="false">IF($E86="","",IF($M86,IF(AND($G86&gt;=BU$5,$G86&lt;BU$5+GanttPeriod),"◆",IF(AND($E86&gt;=BU$5,$E86&lt;BU$5+GanttPeriod),"◇","")),IF(AND(BU$5&lt;=$F86,BU$5+GanttPeriod-1&gt;=$E86),"━","")))</f>
        <v/>
      </c>
      <c r="BV86" s="69" t="str">
        <f aca="false">IF($E86="","",IF($M86,IF(AND($G86&gt;=BV$5,$G86&lt;BV$5+GanttPeriod),"◆",IF(AND($E86&gt;=BV$5,$E86&lt;BV$5+GanttPeriod),"◇","")),IF(AND(BV$5&lt;=$F86,BV$5+GanttPeriod-1&gt;=$E86),"━","")))</f>
        <v/>
      </c>
      <c r="BW86" s="69" t="str">
        <f aca="false">IF($E86="","",IF($M86,IF(AND($G86&gt;=BW$5,$G86&lt;BW$5+GanttPeriod),"◆",IF(AND($E86&gt;=BW$5,$E86&lt;BW$5+GanttPeriod),"◇","")),IF(AND(BW$5&lt;=$F86,BW$5+GanttPeriod-1&gt;=$E86),"━","")))</f>
        <v/>
      </c>
      <c r="BX86" s="69" t="str">
        <f aca="false">IF($E86="","",IF($M86,IF(AND($G86&gt;=BX$5,$G86&lt;BX$5+GanttPeriod),"◆",IF(AND($E86&gt;=BX$5,$E86&lt;BX$5+GanttPeriod),"◇","")),IF(AND(BX$5&lt;=$F86,BX$5+GanttPeriod-1&gt;=$E86),"━","")))</f>
        <v/>
      </c>
      <c r="BY86" s="69" t="str">
        <f aca="false">IF($E86="","",IF($M86,IF(AND($G86&gt;=BY$5,$G86&lt;BY$5+GanttPeriod),"◆",IF(AND($E86&gt;=BY$5,$E86&lt;BY$5+GanttPeriod),"◇","")),IF(AND(BY$5&lt;=$F86,BY$5+GanttPeriod-1&gt;=$E86),"━","")))</f>
        <v/>
      </c>
      <c r="BZ86" s="69" t="str">
        <f aca="false">IF($E86="","",IF($M86,IF(AND($G86&gt;=BZ$5,$G86&lt;BZ$5+GanttPeriod),"◆",IF(AND($E86&gt;=BZ$5,$E86&lt;BZ$5+GanttPeriod),"◇","")),IF(AND(BZ$5&lt;=$F86,BZ$5+GanttPeriod-1&gt;=$E86),"━","")))</f>
        <v/>
      </c>
      <c r="CA86" s="69" t="str">
        <f aca="false">IF($E86="","",IF($M86,IF(AND($G86&gt;=CA$5,$G86&lt;CA$5+GanttPeriod),"◆",IF(AND($E86&gt;=CA$5,$E86&lt;CA$5+GanttPeriod),"◇","")),IF(AND(CA$5&lt;=$F86,CA$5+GanttPeriod-1&gt;=$E86),"━","")))</f>
        <v/>
      </c>
      <c r="CB86" s="69" t="str">
        <f aca="false">IF($E86="","",IF($M86,IF(AND($G86&gt;=CB$5,$G86&lt;CB$5+GanttPeriod),"◆",IF(AND($E86&gt;=CB$5,$E86&lt;CB$5+GanttPeriod),"◇","")),IF(AND(CB$5&lt;=$F86,CB$5+GanttPeriod-1&gt;=$E86),"━","")))</f>
        <v/>
      </c>
      <c r="CC86" s="69" t="str">
        <f aca="false">IF($E86="","",IF($M86,IF(AND($G86&gt;=CC$5,$G86&lt;CC$5+GanttPeriod),"◆",IF(AND($E86&gt;=CC$5,$E86&lt;CC$5+GanttPeriod),"◇","")),IF(AND(CC$5&lt;=$F86,CC$5+GanttPeriod-1&gt;=$E86),"━","")))</f>
        <v/>
      </c>
      <c r="CD86" s="69" t="str">
        <f aca="false">IF($E86="","",IF($M86,IF(AND($G86&gt;=CD$5,$G86&lt;CD$5+GanttPeriod),"◆",IF(AND($E86&gt;=CD$5,$E86&lt;CD$5+GanttPeriod),"◇","")),IF(AND(CD$5&lt;=$F86,CD$5+GanttPeriod-1&gt;=$E86),"━","")))</f>
        <v/>
      </c>
      <c r="CE86" s="69" t="str">
        <f aca="false">IF($E86="","",IF($M86,IF(AND($G86&gt;=CE$5,$G86&lt;CE$5+GanttPeriod),"◆",IF(AND($E86&gt;=CE$5,$E86&lt;CE$5+GanttPeriod),"◇","")),IF(AND(CE$5&lt;=$F86,CE$5+GanttPeriod-1&gt;=$E86),"━","")))</f>
        <v/>
      </c>
      <c r="CF86" s="69" t="str">
        <f aca="false">IF($E86="","",IF($M86,IF(AND($G86&gt;=CF$5,$G86&lt;CF$5+GanttPeriod),"◆",IF(AND($E86&gt;=CF$5,$E86&lt;CF$5+GanttPeriod),"◇","")),IF(AND(CF$5&lt;=$F86,CF$5+GanttPeriod-1&gt;=$E86),"━","")))</f>
        <v/>
      </c>
      <c r="CG86" s="69" t="str">
        <f aca="false">IF($E86="","",IF($M86,IF(AND($G86&gt;=CG$5,$G86&lt;CG$5+GanttPeriod),"◆",IF(AND($E86&gt;=CG$5,$E86&lt;CG$5+GanttPeriod),"◇","")),IF(AND(CG$5&lt;=$F86,CG$5+GanttPeriod-1&gt;=$E86),"━","")))</f>
        <v/>
      </c>
      <c r="CH86" s="69" t="str">
        <f aca="false">IF($E86="","",IF($M86,IF(AND($G86&gt;=CH$5,$G86&lt;CH$5+GanttPeriod),"◆",IF(AND($E86&gt;=CH$5,$E86&lt;CH$5+GanttPeriod),"◇","")),IF(AND(CH$5&lt;=$F86,CH$5+GanttPeriod-1&gt;=$E86),"━","")))</f>
        <v/>
      </c>
      <c r="CI86" s="69" t="str">
        <f aca="false">IF($E86="","",IF($M86,IF(AND($G86&gt;=CI$5,$G86&lt;CI$5+GanttPeriod),"◆",IF(AND($E86&gt;=CI$5,$E86&lt;CI$5+GanttPeriod),"◇","")),IF(AND(CI$5&lt;=$F86,CI$5+GanttPeriod-1&gt;=$E86),"━","")))</f>
        <v/>
      </c>
      <c r="CJ86" s="69" t="str">
        <f aca="false">IF($E86="","",IF($M86,IF(AND($G86&gt;=CJ$5,$G86&lt;CJ$5+GanttPeriod),"◆",IF(AND($E86&gt;=CJ$5,$E86&lt;CJ$5+GanttPeriod),"◇","")),IF(AND(CJ$5&lt;=$F86,CJ$5+GanttPeriod-1&gt;=$E86),"━","")))</f>
        <v/>
      </c>
      <c r="CK86" s="69" t="str">
        <f aca="false">IF($E86="","",IF($M86,IF(AND($G86&gt;=CK$5,$G86&lt;CK$5+GanttPeriod),"◆",IF(AND($E86&gt;=CK$5,$E86&lt;CK$5+GanttPeriod),"◇","")),IF(AND(CK$5&lt;=$F86,CK$5+GanttPeriod-1&gt;=$E86),"━","")))</f>
        <v/>
      </c>
      <c r="CL86" s="69" t="str">
        <f aca="false">IF($E86="","",IF($M86,IF(AND($G86&gt;=CL$5,$G86&lt;CL$5+GanttPeriod),"◆",IF(AND($E86&gt;=CL$5,$E86&lt;CL$5+GanttPeriod),"◇","")),IF(AND(CL$5&lt;=$F86,CL$5+GanttPeriod-1&gt;=$E86),"━","")))</f>
        <v/>
      </c>
      <c r="CM86" s="69" t="str">
        <f aca="false">IF($E86="","",IF($M86,IF(AND($G86&gt;=CM$5,$G86&lt;CM$5+GanttPeriod),"◆",IF(AND($E86&gt;=CM$5,$E86&lt;CM$5+GanttPeriod),"◇","")),IF(AND(CM$5&lt;=$F86,CM$5+GanttPeriod-1&gt;=$E86),"━","")))</f>
        <v/>
      </c>
      <c r="CN86" s="69" t="str">
        <f aca="false">IF($E86="","",IF($M86,IF(AND($G86&gt;=CN$5,$G86&lt;CN$5+GanttPeriod),"◆",IF(AND($E86&gt;=CN$5,$E86&lt;CN$5+GanttPeriod),"◇","")),IF(AND(CN$5&lt;=$F86,CN$5+GanttPeriod-1&gt;=$E86),"━","")))</f>
        <v/>
      </c>
      <c r="CO86" s="69" t="str">
        <f aca="false">IF($E86="","",IF($M86,IF(AND($G86&gt;=CO$5,$G86&lt;CO$5+GanttPeriod),"◆",IF(AND($E86&gt;=CO$5,$E86&lt;CO$5+GanttPeriod),"◇","")),IF(AND(CO$5&lt;=$F86,CO$5+GanttPeriod-1&gt;=$E86),"━","")))</f>
        <v/>
      </c>
      <c r="CP86" s="69" t="str">
        <f aca="false">IF($E86="","",IF($M86,IF(AND($G86&gt;=CP$5,$G86&lt;CP$5+GanttPeriod),"◆",IF(AND($E86&gt;=CP$5,$E86&lt;CP$5+GanttPeriod),"◇","")),IF(AND(CP$5&lt;=$F86,CP$5+GanttPeriod-1&gt;=$E86),"━","")))</f>
        <v/>
      </c>
      <c r="CQ86" s="69" t="str">
        <f aca="false">IF($E86="","",IF($M86,IF(AND($G86&gt;=CQ$5,$G86&lt;CQ$5+GanttPeriod),"◆",IF(AND($E86&gt;=CQ$5,$E86&lt;CQ$5+GanttPeriod),"◇","")),IF(AND(CQ$5&lt;=$F86,CQ$5+GanttPeriod-1&gt;=$E86),"━","")))</f>
        <v/>
      </c>
      <c r="CR86" s="69" t="str">
        <f aca="false">IF($E86="","",IF($M86,IF(AND($G86&gt;=CR$5,$G86&lt;CR$5+GanttPeriod),"◆",IF(AND($E86&gt;=CR$5,$E86&lt;CR$5+GanttPeriod),"◇","")),IF(AND(CR$5&lt;=$F86,CR$5+GanttPeriod-1&gt;=$E86),"━","")))</f>
        <v/>
      </c>
      <c r="CS86" s="69" t="str">
        <f aca="false">IF($E86="","",IF($M86,IF(AND($G86&gt;=CS$5,$G86&lt;CS$5+GanttPeriod),"◆",IF(AND($E86&gt;=CS$5,$E86&lt;CS$5+GanttPeriod),"◇","")),IF(AND(CS$5&lt;=$F86,CS$5+GanttPeriod-1&gt;=$E86),"━","")))</f>
        <v/>
      </c>
      <c r="CT86" s="69" t="str">
        <f aca="false">IF($E86="","",IF($M86,IF(AND($G86&gt;=CT$5,$G86&lt;CT$5+GanttPeriod),"◆",IF(AND($E86&gt;=CT$5,$E86&lt;CT$5+GanttPeriod),"◇","")),IF(AND(CT$5&lt;=$F86,CT$5+GanttPeriod-1&gt;=$E86),"━","")))</f>
        <v/>
      </c>
      <c r="CU86" s="69" t="str">
        <f aca="false">IF($E86="","",IF($M86,IF(AND($G86&gt;=CU$5,$G86&lt;CU$5+GanttPeriod),"◆",IF(AND($E86&gt;=CU$5,$E86&lt;CU$5+GanttPeriod),"◇","")),IF(AND(CU$5&lt;=$F86,CU$5+GanttPeriod-1&gt;=$E86),"━","")))</f>
        <v/>
      </c>
      <c r="CV86" s="69" t="str">
        <f aca="false">IF($E86="","",IF($M86,IF(AND($G86&gt;=CV$5,$G86&lt;CV$5+GanttPeriod),"◆",IF(AND($E86&gt;=CV$5,$E86&lt;CV$5+GanttPeriod),"◇","")),IF(AND(CV$5&lt;=$F86,CV$5+GanttPeriod-1&gt;=$E86),"━","")))</f>
        <v/>
      </c>
      <c r="CW86" s="69" t="str">
        <f aca="false">IF($E86="","",IF($M86,IF(AND($G86&gt;=CW$5,$G86&lt;CW$5+GanttPeriod),"◆",IF(AND($E86&gt;=CW$5,$E86&lt;CW$5+GanttPeriod),"◇","")),IF(AND(CW$5&lt;=$F86,CW$5+GanttPeriod-1&gt;=$E86),"━","")))</f>
        <v/>
      </c>
      <c r="CX86" s="69" t="str">
        <f aca="false">IF($E86="","",IF($M86,IF(AND($G86&gt;=CX$5,$G86&lt;CX$5+GanttPeriod),"◆",IF(AND($E86&gt;=CX$5,$E86&lt;CX$5+GanttPeriod),"◇","")),IF(AND(CX$5&lt;=$F86,CX$5+GanttPeriod-1&gt;=$E86),"━","")))</f>
        <v/>
      </c>
      <c r="CY86" s="69" t="str">
        <f aca="false">IF($E86="","",IF($M86,IF(AND($G86&gt;=CY$5,$G86&lt;CY$5+GanttPeriod),"◆",IF(AND($E86&gt;=CY$5,$E86&lt;CY$5+GanttPeriod),"◇","")),IF(AND(CY$5&lt;=$F86,CY$5+GanttPeriod-1&gt;=$E86),"━","")))</f>
        <v/>
      </c>
      <c r="CZ86" s="69" t="str">
        <f aca="false">IF($E86="","",IF($M86,IF(AND($G86&gt;=CZ$5,$G86&lt;CZ$5+GanttPeriod),"◆",IF(AND($E86&gt;=CZ$5,$E86&lt;CZ$5+GanttPeriod),"◇","")),IF(AND(CZ$5&lt;=$F86,CZ$5+GanttPeriod-1&gt;=$E86),"━","")))</f>
        <v/>
      </c>
      <c r="DA86" s="69" t="str">
        <f aca="false">IF($E86="","",IF($M86,IF(AND($G86&gt;=DA$5,$G86&lt;DA$5+GanttPeriod),"◆",IF(AND($E86&gt;=DA$5,$E86&lt;DA$5+GanttPeriod),"◇","")),IF(AND(DA$5&lt;=$F86,DA$5+GanttPeriod-1&gt;=$E86),"━","")))</f>
        <v/>
      </c>
      <c r="DB86" s="69" t="str">
        <f aca="false">IF($E86="","",IF($M86,IF(AND($G86&gt;=DB$5,$G86&lt;DB$5+GanttPeriod),"◆",IF(AND($E86&gt;=DB$5,$E86&lt;DB$5+GanttPeriod),"◇","")),IF(AND(DB$5&lt;=$F86,DB$5+GanttPeriod-1&gt;=$E86),"━","")))</f>
        <v/>
      </c>
      <c r="DC86" s="69" t="str">
        <f aca="false">IF($E86="","",IF($M86,IF(AND($G86&gt;=DC$5,$G86&lt;DC$5+GanttPeriod),"◆",IF(AND($E86&gt;=DC$5,$E86&lt;DC$5+GanttPeriod),"◇","")),IF(AND(DC$5&lt;=$F86,DC$5+GanttPeriod-1&gt;=$E86),"━","")))</f>
        <v/>
      </c>
      <c r="DD86" s="69" t="str">
        <f aca="false">IF($E86="","",IF($M86,IF(AND($G86&gt;=DD$5,$G86&lt;DD$5+GanttPeriod),"◆",IF(AND($E86&gt;=DD$5,$E86&lt;DD$5+GanttPeriod),"◇","")),IF(AND(DD$5&lt;=$F86,DD$5+GanttPeriod-1&gt;=$E86),"━","")))</f>
        <v/>
      </c>
      <c r="DE86" s="69" t="str">
        <f aca="false">IF($E86="","",IF($M86,IF(AND($G86&gt;=DE$5,$G86&lt;DE$5+GanttPeriod),"◆",IF(AND($E86&gt;=DE$5,$E86&lt;DE$5+GanttPeriod),"◇","")),IF(AND(DE$5&lt;=$F86,DE$5+GanttPeriod-1&gt;=$E86),"━","")))</f>
        <v/>
      </c>
      <c r="DF86" s="69" t="str">
        <f aca="false">IF($E86="","",IF($M86,IF(AND($G86&gt;=DF$5,$G86&lt;DF$5+GanttPeriod),"◆",IF(AND($E86&gt;=DF$5,$E86&lt;DF$5+GanttPeriod),"◇","")),IF(AND(DF$5&lt;=$F86,DF$5+GanttPeriod-1&gt;=$E86),"━","")))</f>
        <v/>
      </c>
      <c r="DG86" s="69" t="str">
        <f aca="false">IF($E86="","",IF($M86,IF(AND($G86&gt;=DG$5,$G86&lt;DG$5+GanttPeriod),"◆",IF(AND($E86&gt;=DG$5,$E86&lt;DG$5+GanttPeriod),"◇","")),IF(AND(DG$5&lt;=$F86,DG$5+GanttPeriod-1&gt;=$E86),"━","")))</f>
        <v/>
      </c>
      <c r="DH86" s="69" t="str">
        <f aca="false">IF($E86="","",IF($M86,IF(AND($G86&gt;=DH$5,$G86&lt;DH$5+GanttPeriod),"◆",IF(AND($E86&gt;=DH$5,$E86&lt;DH$5+GanttPeriod),"◇","")),IF(AND(DH$5&lt;=$F86,DH$5+GanttPeriod-1&gt;=$E86),"━","")))</f>
        <v/>
      </c>
      <c r="DI86" s="69" t="str">
        <f aca="false">IF($E86="","",IF($M86,IF(AND($G86&gt;=DI$5,$G86&lt;DI$5+GanttPeriod),"◆",IF(AND($E86&gt;=DI$5,$E86&lt;DI$5+GanttPeriod),"◇","")),IF(AND(DI$5&lt;=$F86,DI$5+GanttPeriod-1&gt;=$E86),"━","")))</f>
        <v/>
      </c>
      <c r="DJ86" s="69" t="str">
        <f aca="false">IF($E86="","",IF($M86,IF(AND($G86&gt;=DJ$5,$G86&lt;DJ$5+GanttPeriod),"◆",IF(AND($E86&gt;=DJ$5,$E86&lt;DJ$5+GanttPeriod),"◇","")),IF(AND(DJ$5&lt;=$F86,DJ$5+GanttPeriod-1&gt;=$E86),"━","")))</f>
        <v/>
      </c>
      <c r="DK86" s="69" t="str">
        <f aca="false">IF($E86="","",IF($M86,IF(AND($G86&gt;=DK$5,$G86&lt;DK$5+GanttPeriod),"◆",IF(AND($E86&gt;=DK$5,$E86&lt;DK$5+GanttPeriod),"◇","")),IF(AND(DK$5&lt;=$F86,DK$5+GanttPeriod-1&gt;=$E86),"━","")))</f>
        <v/>
      </c>
      <c r="DL86" s="69" t="str">
        <f aca="false">IF($E86="","",IF($M86,IF(AND($G86&gt;=DL$5,$G86&lt;DL$5+GanttPeriod),"◆",IF(AND($E86&gt;=DL$5,$E86&lt;DL$5+GanttPeriod),"◇","")),IF(AND(DL$5&lt;=$F86,DL$5+GanttPeriod-1&gt;=$E86),"━","")))</f>
        <v/>
      </c>
      <c r="DM86" s="69" t="str">
        <f aca="false">IF($E86="","",IF($M86,IF(AND($G86&gt;=DM$5,$G86&lt;DM$5+GanttPeriod),"◆",IF(AND($E86&gt;=DM$5,$E86&lt;DM$5+GanttPeriod),"◇","")),IF(AND(DM$5&lt;=$F86,DM$5+GanttPeriod-1&gt;=$E86),"━","")))</f>
        <v/>
      </c>
      <c r="DN86" s="69" t="str">
        <f aca="false">IF($E86="","",IF($M86,IF(AND($G86&gt;=DN$5,$G86&lt;DN$5+GanttPeriod),"◆",IF(AND($E86&gt;=DN$5,$E86&lt;DN$5+GanttPeriod),"◇","")),IF(AND(DN$5&lt;=$F86,DN$5+GanttPeriod-1&gt;=$E86),"━","")))</f>
        <v/>
      </c>
      <c r="DO86" s="69" t="str">
        <f aca="false">IF($E86="","",IF($M86,IF(AND($G86&gt;=DO$5,$G86&lt;DO$5+GanttPeriod),"◆",IF(AND($E86&gt;=DO$5,$E86&lt;DO$5+GanttPeriod),"◇","")),IF(AND(DO$5&lt;=$F86,DO$5+GanttPeriod-1&gt;=$E86),"━","")))</f>
        <v/>
      </c>
      <c r="DP86" s="69" t="str">
        <f aca="false">IF($E86="","",IF($M86,IF(AND($G86&gt;=DP$5,$G86&lt;DP$5+GanttPeriod),"◆",IF(AND($E86&gt;=DP$5,$E86&lt;DP$5+GanttPeriod),"◇","")),IF(AND(DP$5&lt;=$F86,DP$5+GanttPeriod-1&gt;=$E86),"━","")))</f>
        <v/>
      </c>
      <c r="DQ86" s="69" t="str">
        <f aca="false">IF($E86="","",IF($M86,IF(AND($G86&gt;=DQ$5,$G86&lt;DQ$5+GanttPeriod),"◆",IF(AND($E86&gt;=DQ$5,$E86&lt;DQ$5+GanttPeriod),"◇","")),IF(AND(DQ$5&lt;=$F86,DQ$5+GanttPeriod-1&gt;=$E86),"━","")))</f>
        <v/>
      </c>
      <c r="DR86" s="69" t="str">
        <f aca="false">IF($E86="","",IF($M86,IF(AND($G86&gt;=DR$5,$G86&lt;DR$5+GanttPeriod),"◆",IF(AND($E86&gt;=DR$5,$E86&lt;DR$5+GanttPeriod),"◇","")),IF(AND(DR$5&lt;=$F86,DR$5+GanttPeriod-1&gt;=$E86),"━","")))</f>
        <v/>
      </c>
      <c r="DS86" s="69" t="str">
        <f aca="false">IF($E86="","",IF($M86,IF(AND($G86&gt;=DS$5,$G86&lt;DS$5+GanttPeriod),"◆",IF(AND($E86&gt;=DS$5,$E86&lt;DS$5+GanttPeriod),"◇","")),IF(AND(DS$5&lt;=$F86,DS$5+GanttPeriod-1&gt;=$E86),"━","")))</f>
        <v/>
      </c>
      <c r="DT86" s="69" t="str">
        <f aca="false">IF($E86="","",IF($M86,IF(AND($G86&gt;=DT$5,$G86&lt;DT$5+GanttPeriod),"◆",IF(AND($E86&gt;=DT$5,$E86&lt;DT$5+GanttPeriod),"◇","")),IF(AND(DT$5&lt;=$F86,DT$5+GanttPeriod-1&gt;=$E86),"━","")))</f>
        <v/>
      </c>
      <c r="DU86" s="69" t="str">
        <f aca="false">IF($E86="","",IF($M86,IF(AND($G86&gt;=DU$5,$G86&lt;DU$5+GanttPeriod),"◆",IF(AND($E86&gt;=DU$5,$E86&lt;DU$5+GanttPeriod),"◇","")),IF(AND(DU$5&lt;=$F86,DU$5+GanttPeriod-1&gt;=$E86),"━","")))</f>
        <v/>
      </c>
      <c r="DV86" s="69" t="str">
        <f aca="false">IF($E86="","",IF($M86,IF(AND($G86&gt;=DV$5,$G86&lt;DV$5+GanttPeriod),"◆",IF(AND($E86&gt;=DV$5,$E86&lt;DV$5+GanttPeriod),"◇","")),IF(AND(DV$5&lt;=$F86,DV$5+GanttPeriod-1&gt;=$E86),"━","")))</f>
        <v/>
      </c>
      <c r="DW86" s="69" t="str">
        <f aca="false">IF($E86="","",IF($M86,IF(AND($G86&gt;=DW$5,$G86&lt;DW$5+GanttPeriod),"◆",IF(AND($E86&gt;=DW$5,$E86&lt;DW$5+GanttPeriod),"◇","")),IF(AND(DW$5&lt;=$F86,DW$5+GanttPeriod-1&gt;=$E86),"━","")))</f>
        <v/>
      </c>
      <c r="DX86" s="69" t="str">
        <f aca="false">IF($E86="","",IF($M86,IF(AND($G86&gt;=DX$5,$G86&lt;DX$5+GanttPeriod),"◆",IF(AND($E86&gt;=DX$5,$E86&lt;DX$5+GanttPeriod),"◇","")),IF(AND(DX$5&lt;=$F86,DX$5+GanttPeriod-1&gt;=$E86),"━","")))</f>
        <v/>
      </c>
      <c r="DY86" s="69" t="str">
        <f aca="false">IF($E86="","",IF($M86,IF(AND($G86&gt;=DY$5,$G86&lt;DY$5+GanttPeriod),"◆",IF(AND($E86&gt;=DY$5,$E86&lt;DY$5+GanttPeriod),"◇","")),IF(AND(DY$5&lt;=$F86,DY$5+GanttPeriod-1&gt;=$E86),"━","")))</f>
        <v/>
      </c>
      <c r="DZ86" s="69" t="str">
        <f aca="false">IF($E86="","",IF($M86,IF(AND($G86&gt;=DZ$5,$G86&lt;DZ$5+GanttPeriod),"◆",IF(AND($E86&gt;=DZ$5,$E86&lt;DZ$5+GanttPeriod),"◇","")),IF(AND(DZ$5&lt;=$F86,DZ$5+GanttPeriod-1&gt;=$E86),"━","")))</f>
        <v/>
      </c>
      <c r="EA86" s="69" t="str">
        <f aca="false">IF($E86="","",IF($M86,IF(AND($G86&gt;=EA$5,$G86&lt;EA$5+GanttPeriod),"◆",IF(AND($E86&gt;=EA$5,$E86&lt;EA$5+GanttPeriod),"◇","")),IF(AND(EA$5&lt;=$F86,EA$5+GanttPeriod-1&gt;=$E86),"━","")))</f>
        <v/>
      </c>
      <c r="EB86" s="69" t="str">
        <f aca="false">IF($E86="","",IF($M86,IF(AND($G86&gt;=EB$5,$G86&lt;EB$5+GanttPeriod),"◆",IF(AND($E86&gt;=EB$5,$E86&lt;EB$5+GanttPeriod),"◇","")),IF(AND(EB$5&lt;=$F86,EB$5+GanttPeriod-1&gt;=$E86),"━","")))</f>
        <v/>
      </c>
      <c r="EC86" s="69" t="str">
        <f aca="false">IF($E86="","",IF($M86,IF(AND($G86&gt;=EC$5,$G86&lt;EC$5+GanttPeriod),"◆",IF(AND($E86&gt;=EC$5,$E86&lt;EC$5+GanttPeriod),"◇","")),IF(AND(EC$5&lt;=$F86,EC$5+GanttPeriod-1&gt;=$E86),"━","")))</f>
        <v/>
      </c>
      <c r="ED86" s="69" t="str">
        <f aca="false">IF($E86="","",IF($M86,IF(AND($G86&gt;=ED$5,$G86&lt;ED$5+GanttPeriod),"◆",IF(AND($E86&gt;=ED$5,$E86&lt;ED$5+GanttPeriod),"◇","")),IF(AND(ED$5&lt;=$F86,ED$5+GanttPeriod-1&gt;=$E86),"━","")))</f>
        <v/>
      </c>
      <c r="EE86" s="69" t="str">
        <f aca="false">IF($E86="","",IF($M86,IF(AND($G86&gt;=EE$5,$G86&lt;EE$5+GanttPeriod),"◆",IF(AND($E86&gt;=EE$5,$E86&lt;EE$5+GanttPeriod),"◇","")),IF(AND(EE$5&lt;=$F86,EE$5+GanttPeriod-1&gt;=$E86),"━","")))</f>
        <v/>
      </c>
      <c r="EF86" s="69" t="str">
        <f aca="false">IF($E86="","",IF($M86,IF(AND($G86&gt;=EF$5,$G86&lt;EF$5+GanttPeriod),"◆",IF(AND($E86&gt;=EF$5,$E86&lt;EF$5+GanttPeriod),"◇","")),IF(AND(EF$5&lt;=$F86,EF$5+GanttPeriod-1&gt;=$E86),"━","")))</f>
        <v/>
      </c>
      <c r="EG86" s="69" t="str">
        <f aca="false">IF($E86="","",IF($M86,IF(AND($G86&gt;=EG$5,$G86&lt;EG$5+GanttPeriod),"◆",IF(AND($E86&gt;=EG$5,$E86&lt;EG$5+GanttPeriod),"◇","")),IF(AND(EG$5&lt;=$F86,EG$5+GanttPeriod-1&gt;=$E86),"━","")))</f>
        <v/>
      </c>
      <c r="EH86" s="69" t="str">
        <f aca="false">IF($E86="","",IF($M86,IF(AND($G86&gt;=EH$5,$G86&lt;EH$5+GanttPeriod),"◆",IF(AND($E86&gt;=EH$5,$E86&lt;EH$5+GanttPeriod),"◇","")),IF(AND(EH$5&lt;=$F86,EH$5+GanttPeriod-1&gt;=$E86),"━","")))</f>
        <v/>
      </c>
      <c r="EI86" s="69" t="str">
        <f aca="false">IF($E86="","",IF($M86,IF(AND($G86&gt;=EI$5,$G86&lt;EI$5+GanttPeriod),"◆",IF(AND($E86&gt;=EI$5,$E86&lt;EI$5+GanttPeriod),"◇","")),IF(AND(EI$5&lt;=$F86,EI$5+GanttPeriod-1&gt;=$E86),"━","")))</f>
        <v/>
      </c>
      <c r="EJ86" s="69" t="str">
        <f aca="false">IF($E86="","",IF($M86,IF(AND($G86&gt;=EJ$5,$G86&lt;EJ$5+GanttPeriod),"◆",IF(AND($E86&gt;=EJ$5,$E86&lt;EJ$5+GanttPeriod),"◇","")),IF(AND(EJ$5&lt;=$F86,EJ$5+GanttPeriod-1&gt;=$E86),"━","")))</f>
        <v/>
      </c>
      <c r="EK86" s="69" t="str">
        <f aca="false">IF($E86="","",IF($M86,IF(AND($G86&gt;=EK$5,$G86&lt;EK$5+GanttPeriod),"◆",IF(AND($E86&gt;=EK$5,$E86&lt;EK$5+GanttPeriod),"◇","")),IF(AND(EK$5&lt;=$F86,EK$5+GanttPeriod-1&gt;=$E86),"━","")))</f>
        <v/>
      </c>
      <c r="EL86" s="69" t="str">
        <f aca="false">IF($E86="","",IF($M86,IF(AND($G86&gt;=EL$5,$G86&lt;EL$5+GanttPeriod),"◆",IF(AND($E86&gt;=EL$5,$E86&lt;EL$5+GanttPeriod),"◇","")),IF(AND(EL$5&lt;=$F86,EL$5+GanttPeriod-1&gt;=$E86),"━","")))</f>
        <v/>
      </c>
      <c r="EM86" s="69" t="str">
        <f aca="false">IF($E86="","",IF($M86,IF(AND($G86&gt;=EM$5,$G86&lt;EM$5+GanttPeriod),"◆",IF(AND($E86&gt;=EM$5,$E86&lt;EM$5+GanttPeriod),"◇","")),IF(AND(EM$5&lt;=$F86,EM$5+GanttPeriod-1&gt;=$E86),"━","")))</f>
        <v/>
      </c>
      <c r="EN86" s="69" t="str">
        <f aca="false">IF($E86="","",IF($M86,IF(AND($G86&gt;=EN$5,$G86&lt;EN$5+GanttPeriod),"◆",IF(AND($E86&gt;=EN$5,$E86&lt;EN$5+GanttPeriod),"◇","")),IF(AND(EN$5&lt;=$F86,EN$5+GanttPeriod-1&gt;=$E86),"━","")))</f>
        <v/>
      </c>
      <c r="EO86" s="69" t="str">
        <f aca="false">IF($E86="","",IF($M86,IF(AND($G86&gt;=EO$5,$G86&lt;EO$5+GanttPeriod),"◆",IF(AND($E86&gt;=EO$5,$E86&lt;EO$5+GanttPeriod),"◇","")),IF(AND(EO$5&lt;=$F86,EO$5+GanttPeriod-1&gt;=$E86),"━","")))</f>
        <v/>
      </c>
      <c r="EP86" s="69" t="str">
        <f aca="false">IF($E86="","",IF($M86,IF(AND($G86&gt;=EP$5,$G86&lt;EP$5+GanttPeriod),"◆",IF(AND($E86&gt;=EP$5,$E86&lt;EP$5+GanttPeriod),"◇","")),IF(AND(EP$5&lt;=$F86,EP$5+GanttPeriod-1&gt;=$E86),"━","")))</f>
        <v/>
      </c>
      <c r="EQ86" s="69" t="str">
        <f aca="false">IF($E86="","",IF($M86,IF(AND($G86&gt;=EQ$5,$G86&lt;EQ$5+GanttPeriod),"◆",IF(AND($E86&gt;=EQ$5,$E86&lt;EQ$5+GanttPeriod),"◇","")),IF(AND(EQ$5&lt;=$F86,EQ$5+GanttPeriod-1&gt;=$E86),"━","")))</f>
        <v/>
      </c>
      <c r="ER86" s="69" t="str">
        <f aca="false">IF($E86="","",IF($M86,IF(AND($G86&gt;=ER$5,$G86&lt;ER$5+GanttPeriod),"◆",IF(AND($E86&gt;=ER$5,$E86&lt;ER$5+GanttPeriod),"◇","")),IF(AND(ER$5&lt;=$F86,ER$5+GanttPeriod-1&gt;=$E86),"━","")))</f>
        <v/>
      </c>
      <c r="ES86" s="69" t="str">
        <f aca="false">IF($E86="","",IF($M86,IF(AND($G86&gt;=ES$5,$G86&lt;ES$5+GanttPeriod),"◆",IF(AND($E86&gt;=ES$5,$E86&lt;ES$5+GanttPeriod),"◇","")),IF(AND(ES$5&lt;=$F86,ES$5+GanttPeriod-1&gt;=$E86),"━","")))</f>
        <v/>
      </c>
      <c r="ET86" s="69" t="str">
        <f aca="false">IF($E86="","",IF($M86,IF(AND($G86&gt;=ET$5,$G86&lt;ET$5+GanttPeriod),"◆",IF(AND($E86&gt;=ET$5,$E86&lt;ET$5+GanttPeriod),"◇","")),IF(AND(ET$5&lt;=$F86,ET$5+GanttPeriod-1&gt;=$E86),"━","")))</f>
        <v/>
      </c>
      <c r="EU86" s="69" t="str">
        <f aca="false">IF($E86="","",IF($M86,IF(AND($G86&gt;=EU$5,$G86&lt;EU$5+GanttPeriod),"◆",IF(AND($E86&gt;=EU$5,$E86&lt;EU$5+GanttPeriod),"◇","")),IF(AND(EU$5&lt;=$F86,EU$5+GanttPeriod-1&gt;=$E86),"━","")))</f>
        <v/>
      </c>
      <c r="EV86" s="69" t="str">
        <f aca="false">IF($E86="","",IF($M86,IF(AND($G86&gt;=EV$5,$G86&lt;EV$5+GanttPeriod),"◆",IF(AND($E86&gt;=EV$5,$E86&lt;EV$5+GanttPeriod),"◇","")),IF(AND(EV$5&lt;=$F86,EV$5+GanttPeriod-1&gt;=$E86),"━","")))</f>
        <v/>
      </c>
      <c r="EW86" s="69" t="str">
        <f aca="false">IF($E86="","",IF($M86,IF(AND($G86&gt;=EW$5,$G86&lt;EW$5+GanttPeriod),"◆",IF(AND($E86&gt;=EW$5,$E86&lt;EW$5+GanttPeriod),"◇","")),IF(AND(EW$5&lt;=$F86,EW$5+GanttPeriod-1&gt;=$E86),"━","")))</f>
        <v/>
      </c>
      <c r="EX86" s="69" t="str">
        <f aca="false">IF($E86="","",IF($M86,IF(AND($G86&gt;=EX$5,$G86&lt;EX$5+GanttPeriod),"◆",IF(AND($E86&gt;=EX$5,$E86&lt;EX$5+GanttPeriod),"◇","")),IF(AND(EX$5&lt;=$F86,EX$5+GanttPeriod-1&gt;=$E86),"━","")))</f>
        <v/>
      </c>
      <c r="EY86" s="69" t="str">
        <f aca="false">IF($E86="","",IF($M86,IF(AND($G86&gt;=EY$5,$G86&lt;EY$5+GanttPeriod),"◆",IF(AND($E86&gt;=EY$5,$E86&lt;EY$5+GanttPeriod),"◇","")),IF(AND(EY$5&lt;=$F86,EY$5+GanttPeriod-1&gt;=$E86),"━","")))</f>
        <v/>
      </c>
      <c r="EZ86" s="69" t="str">
        <f aca="false">IF($E86="","",IF($M86,IF(AND($G86&gt;=EZ$5,$G86&lt;EZ$5+GanttPeriod),"◆",IF(AND($E86&gt;=EZ$5,$E86&lt;EZ$5+GanttPeriod),"◇","")),IF(AND(EZ$5&lt;=$F86,EZ$5+GanttPeriod-1&gt;=$E86),"━","")))</f>
        <v/>
      </c>
      <c r="FA86" s="69" t="str">
        <f aca="false">IF($E86="","",IF($M86,IF(AND($G86&gt;=FA$5,$G86&lt;FA$5+GanttPeriod),"◆",IF(AND($E86&gt;=FA$5,$E86&lt;FA$5+GanttPeriod),"◇","")),IF(AND(FA$5&lt;=$F86,FA$5+GanttPeriod-1&gt;=$E86),"━","")))</f>
        <v/>
      </c>
      <c r="FB86" s="69" t="str">
        <f aca="false">IF($E86="","",IF($M86,IF(AND($G86&gt;=FB$5,$G86&lt;FB$5+GanttPeriod),"◆",IF(AND($E86&gt;=FB$5,$E86&lt;FB$5+GanttPeriod),"◇","")),IF(AND(FB$5&lt;=$F86,FB$5+GanttPeriod-1&gt;=$E86),"━","")))</f>
        <v/>
      </c>
      <c r="FC86" s="69" t="str">
        <f aca="false">IF($E86="","",IF($M86,IF(AND($G86&gt;=FC$5,$G86&lt;FC$5+GanttPeriod),"◆",IF(AND($E86&gt;=FC$5,$E86&lt;FC$5+GanttPeriod),"◇","")),IF(AND(FC$5&lt;=$F86,FC$5+GanttPeriod-1&gt;=$E86),"━","")))</f>
        <v/>
      </c>
      <c r="FD86" s="69" t="str">
        <f aca="false">IF($E86="","",IF($M86,IF(AND($G86&gt;=FD$5,$G86&lt;FD$5+GanttPeriod),"◆",IF(AND($E86&gt;=FD$5,$E86&lt;FD$5+GanttPeriod),"◇","")),IF(AND(FD$5&lt;=$F86,FD$5+GanttPeriod-1&gt;=$E86),"━","")))</f>
        <v/>
      </c>
      <c r="FE86" s="69" t="str">
        <f aca="false">IF($E86="","",IF($M86,IF(AND($G86&gt;=FE$5,$G86&lt;FE$5+GanttPeriod),"◆",IF(AND($E86&gt;=FE$5,$E86&lt;FE$5+GanttPeriod),"◇","")),IF(AND(FE$5&lt;=$F86,FE$5+GanttPeriod-1&gt;=$E86),"━","")))</f>
        <v/>
      </c>
      <c r="FF86" s="69" t="str">
        <f aca="false">IF($E86="","",IF($M86,IF(AND($G86&gt;=FF$5,$G86&lt;FF$5+GanttPeriod),"◆",IF(AND($E86&gt;=FF$5,$E86&lt;FF$5+GanttPeriod),"◇","")),IF(AND(FF$5&lt;=$F86,FF$5+GanttPeriod-1&gt;=$E86),"━","")))</f>
        <v/>
      </c>
      <c r="FG86" s="69" t="str">
        <f aca="false">IF($E86="","",IF($M86,IF(AND($G86&gt;=FG$5,$G86&lt;FG$5+GanttPeriod),"◆",IF(AND($E86&gt;=FG$5,$E86&lt;FG$5+GanttPeriod),"◇","")),IF(AND(FG$5&lt;=$F86,FG$5+GanttPeriod-1&gt;=$E86),"━","")))</f>
        <v/>
      </c>
      <c r="FH86" s="69" t="str">
        <f aca="false">IF($E86="","",IF($M86,IF(AND($G86&gt;=FH$5,$G86&lt;FH$5+GanttPeriod),"◆",IF(AND($E86&gt;=FH$5,$E86&lt;FH$5+GanttPeriod),"◇","")),IF(AND(FH$5&lt;=$F86,FH$5+GanttPeriod-1&gt;=$E86),"━","")))</f>
        <v/>
      </c>
      <c r="FI86" s="69" t="str">
        <f aca="false">IF($E86="","",IF($M86,IF(AND($G86&gt;=FI$5,$G86&lt;FI$5+GanttPeriod),"◆",IF(AND($E86&gt;=FI$5,$E86&lt;FI$5+GanttPeriod),"◇","")),IF(AND(FI$5&lt;=$F86,FI$5+GanttPeriod-1&gt;=$E86),"━","")))</f>
        <v/>
      </c>
      <c r="FJ86" s="69" t="str">
        <f aca="false">IF($E86="","",IF($M86,IF(AND($G86&gt;=FJ$5,$G86&lt;FJ$5+GanttPeriod),"◆",IF(AND($E86&gt;=FJ$5,$E86&lt;FJ$5+GanttPeriod),"◇","")),IF(AND(FJ$5&lt;=$F86,FJ$5+GanttPeriod-1&gt;=$E86),"━","")))</f>
        <v/>
      </c>
      <c r="FK86" s="69" t="str">
        <f aca="false">IF($E86="","",IF($M86,IF(AND($G86&gt;=FK$5,$G86&lt;FK$5+GanttPeriod),"◆",IF(AND($E86&gt;=FK$5,$E86&lt;FK$5+GanttPeriod),"◇","")),IF(AND(FK$5&lt;=$F86,FK$5+GanttPeriod-1&gt;=$E86),"━","")))</f>
        <v/>
      </c>
      <c r="FL86" s="69" t="str">
        <f aca="false">IF($E86="","",IF($M86,IF(AND($G86&gt;=FL$5,$G86&lt;FL$5+GanttPeriod),"◆",IF(AND($E86&gt;=FL$5,$E86&lt;FL$5+GanttPeriod),"◇","")),IF(AND(FL$5&lt;=$F86,FL$5+GanttPeriod-1&gt;=$E86),"━","")))</f>
        <v/>
      </c>
      <c r="FM86" s="69" t="str">
        <f aca="false">IF($E86="","",IF($M86,IF(AND($G86&gt;=FM$5,$G86&lt;FM$5+GanttPeriod),"◆",IF(AND($E86&gt;=FM$5,$E86&lt;FM$5+GanttPeriod),"◇","")),IF(AND(FM$5&lt;=$F86,FM$5+GanttPeriod-1&gt;=$E86),"━","")))</f>
        <v/>
      </c>
    </row>
    <row r="87" customFormat="false" ht="15" hidden="false" customHeight="false" outlineLevel="0" collapsed="false">
      <c r="A87" s="62" t="str">
        <f aca="false">IF(Tasks!$D87="","",Tasks!$A87)</f>
        <v/>
      </c>
      <c r="B87" s="62" t="str">
        <f aca="false">IF(Tasks!$D87="","",Tasks!$B87)</f>
        <v/>
      </c>
      <c r="C87" s="63" t="str">
        <f aca="false">IF(Tasks!$D87="","",REPT("    ",Tasks!$AE87-1)&amp;Tasks!$D87)</f>
        <v/>
      </c>
      <c r="D87" s="62" t="str">
        <f aca="false">IF(Tasks!$D87="","",IF(Tasks!$AI87,NETWORKDAYS.INTL(Tasks!$R87,Tasks!$S87,WorkWeek,Holidays),N(Tasks!$F87)))</f>
        <v/>
      </c>
      <c r="E87" s="64" t="str">
        <f aca="false">IF(Tasks!$D87="","",Tasks!$N87)</f>
        <v/>
      </c>
      <c r="F87" s="64" t="str">
        <f aca="false">IF(Tasks!$D87="","",Tasks!$O87)</f>
        <v/>
      </c>
      <c r="G87" s="64" t="str">
        <f aca="false">IF(Tasks!$D87="","",Tasks!$R87)</f>
        <v/>
      </c>
      <c r="H87" s="64" t="str">
        <f aca="false">IF(Tasks!$D87="","",Tasks!$S87)</f>
        <v/>
      </c>
      <c r="I87" s="65" t="str">
        <f aca="false">IF(Tasks!$D87="","",Tasks!$V87)</f>
        <v/>
      </c>
      <c r="J87" s="63" t="str">
        <f aca="false">IF(Tasks!$D87="","",Tasks!$X87&amp;"")</f>
        <v/>
      </c>
      <c r="K87" s="66" t="str">
        <f aca="false">IF(Tasks!$D87="","",Tasks!$W87)</f>
        <v/>
      </c>
      <c r="L87" s="67" t="b">
        <f aca="false">IF(Tasks!$D87="",FALSE(),Tasks!$AI87)</f>
        <v>0</v>
      </c>
      <c r="M87" s="67" t="b">
        <f aca="false">AND(Tasks!$AJ87=1,N(Tasks!$F87)=0)</f>
        <v>0</v>
      </c>
      <c r="N87" s="68" t="n">
        <f aca="false">IF(AND(Tasks!$AJ87=1,NOT($M87),N($I87)&gt;0),$G87,0)</f>
        <v>0</v>
      </c>
      <c r="O87" s="68" t="n">
        <f aca="false">IF($N87=0,0,IF($I87&gt;=1,$H87,MAX($N87,$G87+ROUND(($H87-$G87+1)*$I87,0)-1)))</f>
        <v>0</v>
      </c>
      <c r="P87" s="68" t="n">
        <f aca="false">IF(OR(Tasks!$AJ87&lt;&gt;1,$M87,N($I87)&gt;=1),0,IF($O87&gt;0,$O87+1,$G87))</f>
        <v>0</v>
      </c>
      <c r="Q87" s="68" t="n">
        <f aca="false">IF($P87=0,0,$H87)</f>
        <v>0</v>
      </c>
      <c r="R87" s="67" t="b">
        <f aca="false">AND(Tasks!$D87&lt;&gt;"",N(Tasks!$T87)&gt;0)</f>
        <v>0</v>
      </c>
      <c r="T87" s="69" t="str">
        <f aca="false">IF($E87="","",IF($M87,IF(AND($G87&gt;=T$5,$G87&lt;T$5+GanttPeriod),"◆",IF(AND($E87&gt;=T$5,$E87&lt;T$5+GanttPeriod),"◇","")),IF(AND(T$5&lt;=$F87,T$5+GanttPeriod-1&gt;=$E87),"━","")))</f>
        <v/>
      </c>
      <c r="U87" s="69" t="str">
        <f aca="false">IF($E87="","",IF($M87,IF(AND($G87&gt;=U$5,$G87&lt;U$5+GanttPeriod),"◆",IF(AND($E87&gt;=U$5,$E87&lt;U$5+GanttPeriod),"◇","")),IF(AND(U$5&lt;=$F87,U$5+GanttPeriod-1&gt;=$E87),"━","")))</f>
        <v/>
      </c>
      <c r="V87" s="69" t="str">
        <f aca="false">IF($E87="","",IF($M87,IF(AND($G87&gt;=V$5,$G87&lt;V$5+GanttPeriod),"◆",IF(AND($E87&gt;=V$5,$E87&lt;V$5+GanttPeriod),"◇","")),IF(AND(V$5&lt;=$F87,V$5+GanttPeriod-1&gt;=$E87),"━","")))</f>
        <v/>
      </c>
      <c r="W87" s="69" t="str">
        <f aca="false">IF($E87="","",IF($M87,IF(AND($G87&gt;=W$5,$G87&lt;W$5+GanttPeriod),"◆",IF(AND($E87&gt;=W$5,$E87&lt;W$5+GanttPeriod),"◇","")),IF(AND(W$5&lt;=$F87,W$5+GanttPeriod-1&gt;=$E87),"━","")))</f>
        <v/>
      </c>
      <c r="X87" s="69" t="str">
        <f aca="false">IF($E87="","",IF($M87,IF(AND($G87&gt;=X$5,$G87&lt;X$5+GanttPeriod),"◆",IF(AND($E87&gt;=X$5,$E87&lt;X$5+GanttPeriod),"◇","")),IF(AND(X$5&lt;=$F87,X$5+GanttPeriod-1&gt;=$E87),"━","")))</f>
        <v/>
      </c>
      <c r="Y87" s="69" t="str">
        <f aca="false">IF($E87="","",IF($M87,IF(AND($G87&gt;=Y$5,$G87&lt;Y$5+GanttPeriod),"◆",IF(AND($E87&gt;=Y$5,$E87&lt;Y$5+GanttPeriod),"◇","")),IF(AND(Y$5&lt;=$F87,Y$5+GanttPeriod-1&gt;=$E87),"━","")))</f>
        <v/>
      </c>
      <c r="Z87" s="69" t="str">
        <f aca="false">IF($E87="","",IF($M87,IF(AND($G87&gt;=Z$5,$G87&lt;Z$5+GanttPeriod),"◆",IF(AND($E87&gt;=Z$5,$E87&lt;Z$5+GanttPeriod),"◇","")),IF(AND(Z$5&lt;=$F87,Z$5+GanttPeriod-1&gt;=$E87),"━","")))</f>
        <v/>
      </c>
      <c r="AA87" s="69" t="str">
        <f aca="false">IF($E87="","",IF($M87,IF(AND($G87&gt;=AA$5,$G87&lt;AA$5+GanttPeriod),"◆",IF(AND($E87&gt;=AA$5,$E87&lt;AA$5+GanttPeriod),"◇","")),IF(AND(AA$5&lt;=$F87,AA$5+GanttPeriod-1&gt;=$E87),"━","")))</f>
        <v/>
      </c>
      <c r="AB87" s="69" t="str">
        <f aca="false">IF($E87="","",IF($M87,IF(AND($G87&gt;=AB$5,$G87&lt;AB$5+GanttPeriod),"◆",IF(AND($E87&gt;=AB$5,$E87&lt;AB$5+GanttPeriod),"◇","")),IF(AND(AB$5&lt;=$F87,AB$5+GanttPeriod-1&gt;=$E87),"━","")))</f>
        <v/>
      </c>
      <c r="AC87" s="69" t="str">
        <f aca="false">IF($E87="","",IF($M87,IF(AND($G87&gt;=AC$5,$G87&lt;AC$5+GanttPeriod),"◆",IF(AND($E87&gt;=AC$5,$E87&lt;AC$5+GanttPeriod),"◇","")),IF(AND(AC$5&lt;=$F87,AC$5+GanttPeriod-1&gt;=$E87),"━","")))</f>
        <v/>
      </c>
      <c r="AD87" s="69" t="str">
        <f aca="false">IF($E87="","",IF($M87,IF(AND($G87&gt;=AD$5,$G87&lt;AD$5+GanttPeriod),"◆",IF(AND($E87&gt;=AD$5,$E87&lt;AD$5+GanttPeriod),"◇","")),IF(AND(AD$5&lt;=$F87,AD$5+GanttPeriod-1&gt;=$E87),"━","")))</f>
        <v/>
      </c>
      <c r="AE87" s="69" t="str">
        <f aca="false">IF($E87="","",IF($M87,IF(AND($G87&gt;=AE$5,$G87&lt;AE$5+GanttPeriod),"◆",IF(AND($E87&gt;=AE$5,$E87&lt;AE$5+GanttPeriod),"◇","")),IF(AND(AE$5&lt;=$F87,AE$5+GanttPeriod-1&gt;=$E87),"━","")))</f>
        <v/>
      </c>
      <c r="AF87" s="69" t="str">
        <f aca="false">IF($E87="","",IF($M87,IF(AND($G87&gt;=AF$5,$G87&lt;AF$5+GanttPeriod),"◆",IF(AND($E87&gt;=AF$5,$E87&lt;AF$5+GanttPeriod),"◇","")),IF(AND(AF$5&lt;=$F87,AF$5+GanttPeriod-1&gt;=$E87),"━","")))</f>
        <v/>
      </c>
      <c r="AG87" s="69" t="str">
        <f aca="false">IF($E87="","",IF($M87,IF(AND($G87&gt;=AG$5,$G87&lt;AG$5+GanttPeriod),"◆",IF(AND($E87&gt;=AG$5,$E87&lt;AG$5+GanttPeriod),"◇","")),IF(AND(AG$5&lt;=$F87,AG$5+GanttPeriod-1&gt;=$E87),"━","")))</f>
        <v/>
      </c>
      <c r="AH87" s="69" t="str">
        <f aca="false">IF($E87="","",IF($M87,IF(AND($G87&gt;=AH$5,$G87&lt;AH$5+GanttPeriod),"◆",IF(AND($E87&gt;=AH$5,$E87&lt;AH$5+GanttPeriod),"◇","")),IF(AND(AH$5&lt;=$F87,AH$5+GanttPeriod-1&gt;=$E87),"━","")))</f>
        <v/>
      </c>
      <c r="AI87" s="69" t="str">
        <f aca="false">IF($E87="","",IF($M87,IF(AND($G87&gt;=AI$5,$G87&lt;AI$5+GanttPeriod),"◆",IF(AND($E87&gt;=AI$5,$E87&lt;AI$5+GanttPeriod),"◇","")),IF(AND(AI$5&lt;=$F87,AI$5+GanttPeriod-1&gt;=$E87),"━","")))</f>
        <v/>
      </c>
      <c r="AJ87" s="69" t="str">
        <f aca="false">IF($E87="","",IF($M87,IF(AND($G87&gt;=AJ$5,$G87&lt;AJ$5+GanttPeriod),"◆",IF(AND($E87&gt;=AJ$5,$E87&lt;AJ$5+GanttPeriod),"◇","")),IF(AND(AJ$5&lt;=$F87,AJ$5+GanttPeriod-1&gt;=$E87),"━","")))</f>
        <v/>
      </c>
      <c r="AK87" s="69" t="str">
        <f aca="false">IF($E87="","",IF($M87,IF(AND($G87&gt;=AK$5,$G87&lt;AK$5+GanttPeriod),"◆",IF(AND($E87&gt;=AK$5,$E87&lt;AK$5+GanttPeriod),"◇","")),IF(AND(AK$5&lt;=$F87,AK$5+GanttPeriod-1&gt;=$E87),"━","")))</f>
        <v/>
      </c>
      <c r="AL87" s="69" t="str">
        <f aca="false">IF($E87="","",IF($M87,IF(AND($G87&gt;=AL$5,$G87&lt;AL$5+GanttPeriod),"◆",IF(AND($E87&gt;=AL$5,$E87&lt;AL$5+GanttPeriod),"◇","")),IF(AND(AL$5&lt;=$F87,AL$5+GanttPeriod-1&gt;=$E87),"━","")))</f>
        <v/>
      </c>
      <c r="AM87" s="69" t="str">
        <f aca="false">IF($E87="","",IF($M87,IF(AND($G87&gt;=AM$5,$G87&lt;AM$5+GanttPeriod),"◆",IF(AND($E87&gt;=AM$5,$E87&lt;AM$5+GanttPeriod),"◇","")),IF(AND(AM$5&lt;=$F87,AM$5+GanttPeriod-1&gt;=$E87),"━","")))</f>
        <v/>
      </c>
      <c r="AN87" s="69" t="str">
        <f aca="false">IF($E87="","",IF($M87,IF(AND($G87&gt;=AN$5,$G87&lt;AN$5+GanttPeriod),"◆",IF(AND($E87&gt;=AN$5,$E87&lt;AN$5+GanttPeriod),"◇","")),IF(AND(AN$5&lt;=$F87,AN$5+GanttPeriod-1&gt;=$E87),"━","")))</f>
        <v/>
      </c>
      <c r="AO87" s="69" t="str">
        <f aca="false">IF($E87="","",IF($M87,IF(AND($G87&gt;=AO$5,$G87&lt;AO$5+GanttPeriod),"◆",IF(AND($E87&gt;=AO$5,$E87&lt;AO$5+GanttPeriod),"◇","")),IF(AND(AO$5&lt;=$F87,AO$5+GanttPeriod-1&gt;=$E87),"━","")))</f>
        <v/>
      </c>
      <c r="AP87" s="69" t="str">
        <f aca="false">IF($E87="","",IF($M87,IF(AND($G87&gt;=AP$5,$G87&lt;AP$5+GanttPeriod),"◆",IF(AND($E87&gt;=AP$5,$E87&lt;AP$5+GanttPeriod),"◇","")),IF(AND(AP$5&lt;=$F87,AP$5+GanttPeriod-1&gt;=$E87),"━","")))</f>
        <v/>
      </c>
      <c r="AQ87" s="69" t="str">
        <f aca="false">IF($E87="","",IF($M87,IF(AND($G87&gt;=AQ$5,$G87&lt;AQ$5+GanttPeriod),"◆",IF(AND($E87&gt;=AQ$5,$E87&lt;AQ$5+GanttPeriod),"◇","")),IF(AND(AQ$5&lt;=$F87,AQ$5+GanttPeriod-1&gt;=$E87),"━","")))</f>
        <v/>
      </c>
      <c r="AR87" s="69" t="str">
        <f aca="false">IF($E87="","",IF($M87,IF(AND($G87&gt;=AR$5,$G87&lt;AR$5+GanttPeriod),"◆",IF(AND($E87&gt;=AR$5,$E87&lt;AR$5+GanttPeriod),"◇","")),IF(AND(AR$5&lt;=$F87,AR$5+GanttPeriod-1&gt;=$E87),"━","")))</f>
        <v/>
      </c>
      <c r="AS87" s="69" t="str">
        <f aca="false">IF($E87="","",IF($M87,IF(AND($G87&gt;=AS$5,$G87&lt;AS$5+GanttPeriod),"◆",IF(AND($E87&gt;=AS$5,$E87&lt;AS$5+GanttPeriod),"◇","")),IF(AND(AS$5&lt;=$F87,AS$5+GanttPeriod-1&gt;=$E87),"━","")))</f>
        <v/>
      </c>
      <c r="AT87" s="69" t="str">
        <f aca="false">IF($E87="","",IF($M87,IF(AND($G87&gt;=AT$5,$G87&lt;AT$5+GanttPeriod),"◆",IF(AND($E87&gt;=AT$5,$E87&lt;AT$5+GanttPeriod),"◇","")),IF(AND(AT$5&lt;=$F87,AT$5+GanttPeriod-1&gt;=$E87),"━","")))</f>
        <v/>
      </c>
      <c r="AU87" s="69" t="str">
        <f aca="false">IF($E87="","",IF($M87,IF(AND($G87&gt;=AU$5,$G87&lt;AU$5+GanttPeriod),"◆",IF(AND($E87&gt;=AU$5,$E87&lt;AU$5+GanttPeriod),"◇","")),IF(AND(AU$5&lt;=$F87,AU$5+GanttPeriod-1&gt;=$E87),"━","")))</f>
        <v/>
      </c>
      <c r="AV87" s="69" t="str">
        <f aca="false">IF($E87="","",IF($M87,IF(AND($G87&gt;=AV$5,$G87&lt;AV$5+GanttPeriod),"◆",IF(AND($E87&gt;=AV$5,$E87&lt;AV$5+GanttPeriod),"◇","")),IF(AND(AV$5&lt;=$F87,AV$5+GanttPeriod-1&gt;=$E87),"━","")))</f>
        <v/>
      </c>
      <c r="AW87" s="69" t="str">
        <f aca="false">IF($E87="","",IF($M87,IF(AND($G87&gt;=AW$5,$G87&lt;AW$5+GanttPeriod),"◆",IF(AND($E87&gt;=AW$5,$E87&lt;AW$5+GanttPeriod),"◇","")),IF(AND(AW$5&lt;=$F87,AW$5+GanttPeriod-1&gt;=$E87),"━","")))</f>
        <v/>
      </c>
      <c r="AX87" s="69" t="str">
        <f aca="false">IF($E87="","",IF($M87,IF(AND($G87&gt;=AX$5,$G87&lt;AX$5+GanttPeriod),"◆",IF(AND($E87&gt;=AX$5,$E87&lt;AX$5+GanttPeriod),"◇","")),IF(AND(AX$5&lt;=$F87,AX$5+GanttPeriod-1&gt;=$E87),"━","")))</f>
        <v/>
      </c>
      <c r="AY87" s="69" t="str">
        <f aca="false">IF($E87="","",IF($M87,IF(AND($G87&gt;=AY$5,$G87&lt;AY$5+GanttPeriod),"◆",IF(AND($E87&gt;=AY$5,$E87&lt;AY$5+GanttPeriod),"◇","")),IF(AND(AY$5&lt;=$F87,AY$5+GanttPeriod-1&gt;=$E87),"━","")))</f>
        <v/>
      </c>
      <c r="AZ87" s="69" t="str">
        <f aca="false">IF($E87="","",IF($M87,IF(AND($G87&gt;=AZ$5,$G87&lt;AZ$5+GanttPeriod),"◆",IF(AND($E87&gt;=AZ$5,$E87&lt;AZ$5+GanttPeriod),"◇","")),IF(AND(AZ$5&lt;=$F87,AZ$5+GanttPeriod-1&gt;=$E87),"━","")))</f>
        <v/>
      </c>
      <c r="BA87" s="69" t="str">
        <f aca="false">IF($E87="","",IF($M87,IF(AND($G87&gt;=BA$5,$G87&lt;BA$5+GanttPeriod),"◆",IF(AND($E87&gt;=BA$5,$E87&lt;BA$5+GanttPeriod),"◇","")),IF(AND(BA$5&lt;=$F87,BA$5+GanttPeriod-1&gt;=$E87),"━","")))</f>
        <v/>
      </c>
      <c r="BB87" s="69" t="str">
        <f aca="false">IF($E87="","",IF($M87,IF(AND($G87&gt;=BB$5,$G87&lt;BB$5+GanttPeriod),"◆",IF(AND($E87&gt;=BB$5,$E87&lt;BB$5+GanttPeriod),"◇","")),IF(AND(BB$5&lt;=$F87,BB$5+GanttPeriod-1&gt;=$E87),"━","")))</f>
        <v/>
      </c>
      <c r="BC87" s="69" t="str">
        <f aca="false">IF($E87="","",IF($M87,IF(AND($G87&gt;=BC$5,$G87&lt;BC$5+GanttPeriod),"◆",IF(AND($E87&gt;=BC$5,$E87&lt;BC$5+GanttPeriod),"◇","")),IF(AND(BC$5&lt;=$F87,BC$5+GanttPeriod-1&gt;=$E87),"━","")))</f>
        <v/>
      </c>
      <c r="BD87" s="69" t="str">
        <f aca="false">IF($E87="","",IF($M87,IF(AND($G87&gt;=BD$5,$G87&lt;BD$5+GanttPeriod),"◆",IF(AND($E87&gt;=BD$5,$E87&lt;BD$5+GanttPeriod),"◇","")),IF(AND(BD$5&lt;=$F87,BD$5+GanttPeriod-1&gt;=$E87),"━","")))</f>
        <v/>
      </c>
      <c r="BE87" s="69" t="str">
        <f aca="false">IF($E87="","",IF($M87,IF(AND($G87&gt;=BE$5,$G87&lt;BE$5+GanttPeriod),"◆",IF(AND($E87&gt;=BE$5,$E87&lt;BE$5+GanttPeriod),"◇","")),IF(AND(BE$5&lt;=$F87,BE$5+GanttPeriod-1&gt;=$E87),"━","")))</f>
        <v/>
      </c>
      <c r="BF87" s="69" t="str">
        <f aca="false">IF($E87="","",IF($M87,IF(AND($G87&gt;=BF$5,$G87&lt;BF$5+GanttPeriod),"◆",IF(AND($E87&gt;=BF$5,$E87&lt;BF$5+GanttPeriod),"◇","")),IF(AND(BF$5&lt;=$F87,BF$5+GanttPeriod-1&gt;=$E87),"━","")))</f>
        <v/>
      </c>
      <c r="BG87" s="69" t="str">
        <f aca="false">IF($E87="","",IF($M87,IF(AND($G87&gt;=BG$5,$G87&lt;BG$5+GanttPeriod),"◆",IF(AND($E87&gt;=BG$5,$E87&lt;BG$5+GanttPeriod),"◇","")),IF(AND(BG$5&lt;=$F87,BG$5+GanttPeriod-1&gt;=$E87),"━","")))</f>
        <v/>
      </c>
      <c r="BH87" s="69" t="str">
        <f aca="false">IF($E87="","",IF($M87,IF(AND($G87&gt;=BH$5,$G87&lt;BH$5+GanttPeriod),"◆",IF(AND($E87&gt;=BH$5,$E87&lt;BH$5+GanttPeriod),"◇","")),IF(AND(BH$5&lt;=$F87,BH$5+GanttPeriod-1&gt;=$E87),"━","")))</f>
        <v/>
      </c>
      <c r="BI87" s="69" t="str">
        <f aca="false">IF($E87="","",IF($M87,IF(AND($G87&gt;=BI$5,$G87&lt;BI$5+GanttPeriod),"◆",IF(AND($E87&gt;=BI$5,$E87&lt;BI$5+GanttPeriod),"◇","")),IF(AND(BI$5&lt;=$F87,BI$5+GanttPeriod-1&gt;=$E87),"━","")))</f>
        <v/>
      </c>
      <c r="BJ87" s="69" t="str">
        <f aca="false">IF($E87="","",IF($M87,IF(AND($G87&gt;=BJ$5,$G87&lt;BJ$5+GanttPeriod),"◆",IF(AND($E87&gt;=BJ$5,$E87&lt;BJ$5+GanttPeriod),"◇","")),IF(AND(BJ$5&lt;=$F87,BJ$5+GanttPeriod-1&gt;=$E87),"━","")))</f>
        <v/>
      </c>
      <c r="BK87" s="69" t="str">
        <f aca="false">IF($E87="","",IF($M87,IF(AND($G87&gt;=BK$5,$G87&lt;BK$5+GanttPeriod),"◆",IF(AND($E87&gt;=BK$5,$E87&lt;BK$5+GanttPeriod),"◇","")),IF(AND(BK$5&lt;=$F87,BK$5+GanttPeriod-1&gt;=$E87),"━","")))</f>
        <v/>
      </c>
      <c r="BL87" s="69" t="str">
        <f aca="false">IF($E87="","",IF($M87,IF(AND($G87&gt;=BL$5,$G87&lt;BL$5+GanttPeriod),"◆",IF(AND($E87&gt;=BL$5,$E87&lt;BL$5+GanttPeriod),"◇","")),IF(AND(BL$5&lt;=$F87,BL$5+GanttPeriod-1&gt;=$E87),"━","")))</f>
        <v/>
      </c>
      <c r="BM87" s="69" t="str">
        <f aca="false">IF($E87="","",IF($M87,IF(AND($G87&gt;=BM$5,$G87&lt;BM$5+GanttPeriod),"◆",IF(AND($E87&gt;=BM$5,$E87&lt;BM$5+GanttPeriod),"◇","")),IF(AND(BM$5&lt;=$F87,BM$5+GanttPeriod-1&gt;=$E87),"━","")))</f>
        <v/>
      </c>
      <c r="BN87" s="69" t="str">
        <f aca="false">IF($E87="","",IF($M87,IF(AND($G87&gt;=BN$5,$G87&lt;BN$5+GanttPeriod),"◆",IF(AND($E87&gt;=BN$5,$E87&lt;BN$5+GanttPeriod),"◇","")),IF(AND(BN$5&lt;=$F87,BN$5+GanttPeriod-1&gt;=$E87),"━","")))</f>
        <v/>
      </c>
      <c r="BO87" s="69" t="str">
        <f aca="false">IF($E87="","",IF($M87,IF(AND($G87&gt;=BO$5,$G87&lt;BO$5+GanttPeriod),"◆",IF(AND($E87&gt;=BO$5,$E87&lt;BO$5+GanttPeriod),"◇","")),IF(AND(BO$5&lt;=$F87,BO$5+GanttPeriod-1&gt;=$E87),"━","")))</f>
        <v/>
      </c>
      <c r="BP87" s="69" t="str">
        <f aca="false">IF($E87="","",IF($M87,IF(AND($G87&gt;=BP$5,$G87&lt;BP$5+GanttPeriod),"◆",IF(AND($E87&gt;=BP$5,$E87&lt;BP$5+GanttPeriod),"◇","")),IF(AND(BP$5&lt;=$F87,BP$5+GanttPeriod-1&gt;=$E87),"━","")))</f>
        <v/>
      </c>
      <c r="BQ87" s="69" t="str">
        <f aca="false">IF($E87="","",IF($M87,IF(AND($G87&gt;=BQ$5,$G87&lt;BQ$5+GanttPeriod),"◆",IF(AND($E87&gt;=BQ$5,$E87&lt;BQ$5+GanttPeriod),"◇","")),IF(AND(BQ$5&lt;=$F87,BQ$5+GanttPeriod-1&gt;=$E87),"━","")))</f>
        <v/>
      </c>
      <c r="BR87" s="69" t="str">
        <f aca="false">IF($E87="","",IF($M87,IF(AND($G87&gt;=BR$5,$G87&lt;BR$5+GanttPeriod),"◆",IF(AND($E87&gt;=BR$5,$E87&lt;BR$5+GanttPeriod),"◇","")),IF(AND(BR$5&lt;=$F87,BR$5+GanttPeriod-1&gt;=$E87),"━","")))</f>
        <v/>
      </c>
      <c r="BS87" s="69" t="str">
        <f aca="false">IF($E87="","",IF($M87,IF(AND($G87&gt;=BS$5,$G87&lt;BS$5+GanttPeriod),"◆",IF(AND($E87&gt;=BS$5,$E87&lt;BS$5+GanttPeriod),"◇","")),IF(AND(BS$5&lt;=$F87,BS$5+GanttPeriod-1&gt;=$E87),"━","")))</f>
        <v/>
      </c>
      <c r="BT87" s="69" t="str">
        <f aca="false">IF($E87="","",IF($M87,IF(AND($G87&gt;=BT$5,$G87&lt;BT$5+GanttPeriod),"◆",IF(AND($E87&gt;=BT$5,$E87&lt;BT$5+GanttPeriod),"◇","")),IF(AND(BT$5&lt;=$F87,BT$5+GanttPeriod-1&gt;=$E87),"━","")))</f>
        <v/>
      </c>
      <c r="BU87" s="69" t="str">
        <f aca="false">IF($E87="","",IF($M87,IF(AND($G87&gt;=BU$5,$G87&lt;BU$5+GanttPeriod),"◆",IF(AND($E87&gt;=BU$5,$E87&lt;BU$5+GanttPeriod),"◇","")),IF(AND(BU$5&lt;=$F87,BU$5+GanttPeriod-1&gt;=$E87),"━","")))</f>
        <v/>
      </c>
      <c r="BV87" s="69" t="str">
        <f aca="false">IF($E87="","",IF($M87,IF(AND($G87&gt;=BV$5,$G87&lt;BV$5+GanttPeriod),"◆",IF(AND($E87&gt;=BV$5,$E87&lt;BV$5+GanttPeriod),"◇","")),IF(AND(BV$5&lt;=$F87,BV$5+GanttPeriod-1&gt;=$E87),"━","")))</f>
        <v/>
      </c>
      <c r="BW87" s="69" t="str">
        <f aca="false">IF($E87="","",IF($M87,IF(AND($G87&gt;=BW$5,$G87&lt;BW$5+GanttPeriod),"◆",IF(AND($E87&gt;=BW$5,$E87&lt;BW$5+GanttPeriod),"◇","")),IF(AND(BW$5&lt;=$F87,BW$5+GanttPeriod-1&gt;=$E87),"━","")))</f>
        <v/>
      </c>
      <c r="BX87" s="69" t="str">
        <f aca="false">IF($E87="","",IF($M87,IF(AND($G87&gt;=BX$5,$G87&lt;BX$5+GanttPeriod),"◆",IF(AND($E87&gt;=BX$5,$E87&lt;BX$5+GanttPeriod),"◇","")),IF(AND(BX$5&lt;=$F87,BX$5+GanttPeriod-1&gt;=$E87),"━","")))</f>
        <v/>
      </c>
      <c r="BY87" s="69" t="str">
        <f aca="false">IF($E87="","",IF($M87,IF(AND($G87&gt;=BY$5,$G87&lt;BY$5+GanttPeriod),"◆",IF(AND($E87&gt;=BY$5,$E87&lt;BY$5+GanttPeriod),"◇","")),IF(AND(BY$5&lt;=$F87,BY$5+GanttPeriod-1&gt;=$E87),"━","")))</f>
        <v/>
      </c>
      <c r="BZ87" s="69" t="str">
        <f aca="false">IF($E87="","",IF($M87,IF(AND($G87&gt;=BZ$5,$G87&lt;BZ$5+GanttPeriod),"◆",IF(AND($E87&gt;=BZ$5,$E87&lt;BZ$5+GanttPeriod),"◇","")),IF(AND(BZ$5&lt;=$F87,BZ$5+GanttPeriod-1&gt;=$E87),"━","")))</f>
        <v/>
      </c>
      <c r="CA87" s="69" t="str">
        <f aca="false">IF($E87="","",IF($M87,IF(AND($G87&gt;=CA$5,$G87&lt;CA$5+GanttPeriod),"◆",IF(AND($E87&gt;=CA$5,$E87&lt;CA$5+GanttPeriod),"◇","")),IF(AND(CA$5&lt;=$F87,CA$5+GanttPeriod-1&gt;=$E87),"━","")))</f>
        <v/>
      </c>
      <c r="CB87" s="69" t="str">
        <f aca="false">IF($E87="","",IF($M87,IF(AND($G87&gt;=CB$5,$G87&lt;CB$5+GanttPeriod),"◆",IF(AND($E87&gt;=CB$5,$E87&lt;CB$5+GanttPeriod),"◇","")),IF(AND(CB$5&lt;=$F87,CB$5+GanttPeriod-1&gt;=$E87),"━","")))</f>
        <v/>
      </c>
      <c r="CC87" s="69" t="str">
        <f aca="false">IF($E87="","",IF($M87,IF(AND($G87&gt;=CC$5,$G87&lt;CC$5+GanttPeriod),"◆",IF(AND($E87&gt;=CC$5,$E87&lt;CC$5+GanttPeriod),"◇","")),IF(AND(CC$5&lt;=$F87,CC$5+GanttPeriod-1&gt;=$E87),"━","")))</f>
        <v/>
      </c>
      <c r="CD87" s="69" t="str">
        <f aca="false">IF($E87="","",IF($M87,IF(AND($G87&gt;=CD$5,$G87&lt;CD$5+GanttPeriod),"◆",IF(AND($E87&gt;=CD$5,$E87&lt;CD$5+GanttPeriod),"◇","")),IF(AND(CD$5&lt;=$F87,CD$5+GanttPeriod-1&gt;=$E87),"━","")))</f>
        <v/>
      </c>
      <c r="CE87" s="69" t="str">
        <f aca="false">IF($E87="","",IF($M87,IF(AND($G87&gt;=CE$5,$G87&lt;CE$5+GanttPeriod),"◆",IF(AND($E87&gt;=CE$5,$E87&lt;CE$5+GanttPeriod),"◇","")),IF(AND(CE$5&lt;=$F87,CE$5+GanttPeriod-1&gt;=$E87),"━","")))</f>
        <v/>
      </c>
      <c r="CF87" s="69" t="str">
        <f aca="false">IF($E87="","",IF($M87,IF(AND($G87&gt;=CF$5,$G87&lt;CF$5+GanttPeriod),"◆",IF(AND($E87&gt;=CF$5,$E87&lt;CF$5+GanttPeriod),"◇","")),IF(AND(CF$5&lt;=$F87,CF$5+GanttPeriod-1&gt;=$E87),"━","")))</f>
        <v/>
      </c>
      <c r="CG87" s="69" t="str">
        <f aca="false">IF($E87="","",IF($M87,IF(AND($G87&gt;=CG$5,$G87&lt;CG$5+GanttPeriod),"◆",IF(AND($E87&gt;=CG$5,$E87&lt;CG$5+GanttPeriod),"◇","")),IF(AND(CG$5&lt;=$F87,CG$5+GanttPeriod-1&gt;=$E87),"━","")))</f>
        <v/>
      </c>
      <c r="CH87" s="69" t="str">
        <f aca="false">IF($E87="","",IF($M87,IF(AND($G87&gt;=CH$5,$G87&lt;CH$5+GanttPeriod),"◆",IF(AND($E87&gt;=CH$5,$E87&lt;CH$5+GanttPeriod),"◇","")),IF(AND(CH$5&lt;=$F87,CH$5+GanttPeriod-1&gt;=$E87),"━","")))</f>
        <v/>
      </c>
      <c r="CI87" s="69" t="str">
        <f aca="false">IF($E87="","",IF($M87,IF(AND($G87&gt;=CI$5,$G87&lt;CI$5+GanttPeriod),"◆",IF(AND($E87&gt;=CI$5,$E87&lt;CI$5+GanttPeriod),"◇","")),IF(AND(CI$5&lt;=$F87,CI$5+GanttPeriod-1&gt;=$E87),"━","")))</f>
        <v/>
      </c>
      <c r="CJ87" s="69" t="str">
        <f aca="false">IF($E87="","",IF($M87,IF(AND($G87&gt;=CJ$5,$G87&lt;CJ$5+GanttPeriod),"◆",IF(AND($E87&gt;=CJ$5,$E87&lt;CJ$5+GanttPeriod),"◇","")),IF(AND(CJ$5&lt;=$F87,CJ$5+GanttPeriod-1&gt;=$E87),"━","")))</f>
        <v/>
      </c>
      <c r="CK87" s="69" t="str">
        <f aca="false">IF($E87="","",IF($M87,IF(AND($G87&gt;=CK$5,$G87&lt;CK$5+GanttPeriod),"◆",IF(AND($E87&gt;=CK$5,$E87&lt;CK$5+GanttPeriod),"◇","")),IF(AND(CK$5&lt;=$F87,CK$5+GanttPeriod-1&gt;=$E87),"━","")))</f>
        <v/>
      </c>
      <c r="CL87" s="69" t="str">
        <f aca="false">IF($E87="","",IF($M87,IF(AND($G87&gt;=CL$5,$G87&lt;CL$5+GanttPeriod),"◆",IF(AND($E87&gt;=CL$5,$E87&lt;CL$5+GanttPeriod),"◇","")),IF(AND(CL$5&lt;=$F87,CL$5+GanttPeriod-1&gt;=$E87),"━","")))</f>
        <v/>
      </c>
      <c r="CM87" s="69" t="str">
        <f aca="false">IF($E87="","",IF($M87,IF(AND($G87&gt;=CM$5,$G87&lt;CM$5+GanttPeriod),"◆",IF(AND($E87&gt;=CM$5,$E87&lt;CM$5+GanttPeriod),"◇","")),IF(AND(CM$5&lt;=$F87,CM$5+GanttPeriod-1&gt;=$E87),"━","")))</f>
        <v/>
      </c>
      <c r="CN87" s="69" t="str">
        <f aca="false">IF($E87="","",IF($M87,IF(AND($G87&gt;=CN$5,$G87&lt;CN$5+GanttPeriod),"◆",IF(AND($E87&gt;=CN$5,$E87&lt;CN$5+GanttPeriod),"◇","")),IF(AND(CN$5&lt;=$F87,CN$5+GanttPeriod-1&gt;=$E87),"━","")))</f>
        <v/>
      </c>
      <c r="CO87" s="69" t="str">
        <f aca="false">IF($E87="","",IF($M87,IF(AND($G87&gt;=CO$5,$G87&lt;CO$5+GanttPeriod),"◆",IF(AND($E87&gt;=CO$5,$E87&lt;CO$5+GanttPeriod),"◇","")),IF(AND(CO$5&lt;=$F87,CO$5+GanttPeriod-1&gt;=$E87),"━","")))</f>
        <v/>
      </c>
      <c r="CP87" s="69" t="str">
        <f aca="false">IF($E87="","",IF($M87,IF(AND($G87&gt;=CP$5,$G87&lt;CP$5+GanttPeriod),"◆",IF(AND($E87&gt;=CP$5,$E87&lt;CP$5+GanttPeriod),"◇","")),IF(AND(CP$5&lt;=$F87,CP$5+GanttPeriod-1&gt;=$E87),"━","")))</f>
        <v/>
      </c>
      <c r="CQ87" s="69" t="str">
        <f aca="false">IF($E87="","",IF($M87,IF(AND($G87&gt;=CQ$5,$G87&lt;CQ$5+GanttPeriod),"◆",IF(AND($E87&gt;=CQ$5,$E87&lt;CQ$5+GanttPeriod),"◇","")),IF(AND(CQ$5&lt;=$F87,CQ$5+GanttPeriod-1&gt;=$E87),"━","")))</f>
        <v/>
      </c>
      <c r="CR87" s="69" t="str">
        <f aca="false">IF($E87="","",IF($M87,IF(AND($G87&gt;=CR$5,$G87&lt;CR$5+GanttPeriod),"◆",IF(AND($E87&gt;=CR$5,$E87&lt;CR$5+GanttPeriod),"◇","")),IF(AND(CR$5&lt;=$F87,CR$5+GanttPeriod-1&gt;=$E87),"━","")))</f>
        <v/>
      </c>
      <c r="CS87" s="69" t="str">
        <f aca="false">IF($E87="","",IF($M87,IF(AND($G87&gt;=CS$5,$G87&lt;CS$5+GanttPeriod),"◆",IF(AND($E87&gt;=CS$5,$E87&lt;CS$5+GanttPeriod),"◇","")),IF(AND(CS$5&lt;=$F87,CS$5+GanttPeriod-1&gt;=$E87),"━","")))</f>
        <v/>
      </c>
      <c r="CT87" s="69" t="str">
        <f aca="false">IF($E87="","",IF($M87,IF(AND($G87&gt;=CT$5,$G87&lt;CT$5+GanttPeriod),"◆",IF(AND($E87&gt;=CT$5,$E87&lt;CT$5+GanttPeriod),"◇","")),IF(AND(CT$5&lt;=$F87,CT$5+GanttPeriod-1&gt;=$E87),"━","")))</f>
        <v/>
      </c>
      <c r="CU87" s="69" t="str">
        <f aca="false">IF($E87="","",IF($M87,IF(AND($G87&gt;=CU$5,$G87&lt;CU$5+GanttPeriod),"◆",IF(AND($E87&gt;=CU$5,$E87&lt;CU$5+GanttPeriod),"◇","")),IF(AND(CU$5&lt;=$F87,CU$5+GanttPeriod-1&gt;=$E87),"━","")))</f>
        <v/>
      </c>
      <c r="CV87" s="69" t="str">
        <f aca="false">IF($E87="","",IF($M87,IF(AND($G87&gt;=CV$5,$G87&lt;CV$5+GanttPeriod),"◆",IF(AND($E87&gt;=CV$5,$E87&lt;CV$5+GanttPeriod),"◇","")),IF(AND(CV$5&lt;=$F87,CV$5+GanttPeriod-1&gt;=$E87),"━","")))</f>
        <v/>
      </c>
      <c r="CW87" s="69" t="str">
        <f aca="false">IF($E87="","",IF($M87,IF(AND($G87&gt;=CW$5,$G87&lt;CW$5+GanttPeriod),"◆",IF(AND($E87&gt;=CW$5,$E87&lt;CW$5+GanttPeriod),"◇","")),IF(AND(CW$5&lt;=$F87,CW$5+GanttPeriod-1&gt;=$E87),"━","")))</f>
        <v/>
      </c>
      <c r="CX87" s="69" t="str">
        <f aca="false">IF($E87="","",IF($M87,IF(AND($G87&gt;=CX$5,$G87&lt;CX$5+GanttPeriod),"◆",IF(AND($E87&gt;=CX$5,$E87&lt;CX$5+GanttPeriod),"◇","")),IF(AND(CX$5&lt;=$F87,CX$5+GanttPeriod-1&gt;=$E87),"━","")))</f>
        <v/>
      </c>
      <c r="CY87" s="69" t="str">
        <f aca="false">IF($E87="","",IF($M87,IF(AND($G87&gt;=CY$5,$G87&lt;CY$5+GanttPeriod),"◆",IF(AND($E87&gt;=CY$5,$E87&lt;CY$5+GanttPeriod),"◇","")),IF(AND(CY$5&lt;=$F87,CY$5+GanttPeriod-1&gt;=$E87),"━","")))</f>
        <v/>
      </c>
      <c r="CZ87" s="69" t="str">
        <f aca="false">IF($E87="","",IF($M87,IF(AND($G87&gt;=CZ$5,$G87&lt;CZ$5+GanttPeriod),"◆",IF(AND($E87&gt;=CZ$5,$E87&lt;CZ$5+GanttPeriod),"◇","")),IF(AND(CZ$5&lt;=$F87,CZ$5+GanttPeriod-1&gt;=$E87),"━","")))</f>
        <v/>
      </c>
      <c r="DA87" s="69" t="str">
        <f aca="false">IF($E87="","",IF($M87,IF(AND($G87&gt;=DA$5,$G87&lt;DA$5+GanttPeriod),"◆",IF(AND($E87&gt;=DA$5,$E87&lt;DA$5+GanttPeriod),"◇","")),IF(AND(DA$5&lt;=$F87,DA$5+GanttPeriod-1&gt;=$E87),"━","")))</f>
        <v/>
      </c>
      <c r="DB87" s="69" t="str">
        <f aca="false">IF($E87="","",IF($M87,IF(AND($G87&gt;=DB$5,$G87&lt;DB$5+GanttPeriod),"◆",IF(AND($E87&gt;=DB$5,$E87&lt;DB$5+GanttPeriod),"◇","")),IF(AND(DB$5&lt;=$F87,DB$5+GanttPeriod-1&gt;=$E87),"━","")))</f>
        <v/>
      </c>
      <c r="DC87" s="69" t="str">
        <f aca="false">IF($E87="","",IF($M87,IF(AND($G87&gt;=DC$5,$G87&lt;DC$5+GanttPeriod),"◆",IF(AND($E87&gt;=DC$5,$E87&lt;DC$5+GanttPeriod),"◇","")),IF(AND(DC$5&lt;=$F87,DC$5+GanttPeriod-1&gt;=$E87),"━","")))</f>
        <v/>
      </c>
      <c r="DD87" s="69" t="str">
        <f aca="false">IF($E87="","",IF($M87,IF(AND($G87&gt;=DD$5,$G87&lt;DD$5+GanttPeriod),"◆",IF(AND($E87&gt;=DD$5,$E87&lt;DD$5+GanttPeriod),"◇","")),IF(AND(DD$5&lt;=$F87,DD$5+GanttPeriod-1&gt;=$E87),"━","")))</f>
        <v/>
      </c>
      <c r="DE87" s="69" t="str">
        <f aca="false">IF($E87="","",IF($M87,IF(AND($G87&gt;=DE$5,$G87&lt;DE$5+GanttPeriod),"◆",IF(AND($E87&gt;=DE$5,$E87&lt;DE$5+GanttPeriod),"◇","")),IF(AND(DE$5&lt;=$F87,DE$5+GanttPeriod-1&gt;=$E87),"━","")))</f>
        <v/>
      </c>
      <c r="DF87" s="69" t="str">
        <f aca="false">IF($E87="","",IF($M87,IF(AND($G87&gt;=DF$5,$G87&lt;DF$5+GanttPeriod),"◆",IF(AND($E87&gt;=DF$5,$E87&lt;DF$5+GanttPeriod),"◇","")),IF(AND(DF$5&lt;=$F87,DF$5+GanttPeriod-1&gt;=$E87),"━","")))</f>
        <v/>
      </c>
      <c r="DG87" s="69" t="str">
        <f aca="false">IF($E87="","",IF($M87,IF(AND($G87&gt;=DG$5,$G87&lt;DG$5+GanttPeriod),"◆",IF(AND($E87&gt;=DG$5,$E87&lt;DG$5+GanttPeriod),"◇","")),IF(AND(DG$5&lt;=$F87,DG$5+GanttPeriod-1&gt;=$E87),"━","")))</f>
        <v/>
      </c>
      <c r="DH87" s="69" t="str">
        <f aca="false">IF($E87="","",IF($M87,IF(AND($G87&gt;=DH$5,$G87&lt;DH$5+GanttPeriod),"◆",IF(AND($E87&gt;=DH$5,$E87&lt;DH$5+GanttPeriod),"◇","")),IF(AND(DH$5&lt;=$F87,DH$5+GanttPeriod-1&gt;=$E87),"━","")))</f>
        <v/>
      </c>
      <c r="DI87" s="69" t="str">
        <f aca="false">IF($E87="","",IF($M87,IF(AND($G87&gt;=DI$5,$G87&lt;DI$5+GanttPeriod),"◆",IF(AND($E87&gt;=DI$5,$E87&lt;DI$5+GanttPeriod),"◇","")),IF(AND(DI$5&lt;=$F87,DI$5+GanttPeriod-1&gt;=$E87),"━","")))</f>
        <v/>
      </c>
      <c r="DJ87" s="69" t="str">
        <f aca="false">IF($E87="","",IF($M87,IF(AND($G87&gt;=DJ$5,$G87&lt;DJ$5+GanttPeriod),"◆",IF(AND($E87&gt;=DJ$5,$E87&lt;DJ$5+GanttPeriod),"◇","")),IF(AND(DJ$5&lt;=$F87,DJ$5+GanttPeriod-1&gt;=$E87),"━","")))</f>
        <v/>
      </c>
      <c r="DK87" s="69" t="str">
        <f aca="false">IF($E87="","",IF($M87,IF(AND($G87&gt;=DK$5,$G87&lt;DK$5+GanttPeriod),"◆",IF(AND($E87&gt;=DK$5,$E87&lt;DK$5+GanttPeriod),"◇","")),IF(AND(DK$5&lt;=$F87,DK$5+GanttPeriod-1&gt;=$E87),"━","")))</f>
        <v/>
      </c>
      <c r="DL87" s="69" t="str">
        <f aca="false">IF($E87="","",IF($M87,IF(AND($G87&gt;=DL$5,$G87&lt;DL$5+GanttPeriod),"◆",IF(AND($E87&gt;=DL$5,$E87&lt;DL$5+GanttPeriod),"◇","")),IF(AND(DL$5&lt;=$F87,DL$5+GanttPeriod-1&gt;=$E87),"━","")))</f>
        <v/>
      </c>
      <c r="DM87" s="69" t="str">
        <f aca="false">IF($E87="","",IF($M87,IF(AND($G87&gt;=DM$5,$G87&lt;DM$5+GanttPeriod),"◆",IF(AND($E87&gt;=DM$5,$E87&lt;DM$5+GanttPeriod),"◇","")),IF(AND(DM$5&lt;=$F87,DM$5+GanttPeriod-1&gt;=$E87),"━","")))</f>
        <v/>
      </c>
      <c r="DN87" s="69" t="str">
        <f aca="false">IF($E87="","",IF($M87,IF(AND($G87&gt;=DN$5,$G87&lt;DN$5+GanttPeriod),"◆",IF(AND($E87&gt;=DN$5,$E87&lt;DN$5+GanttPeriod),"◇","")),IF(AND(DN$5&lt;=$F87,DN$5+GanttPeriod-1&gt;=$E87),"━","")))</f>
        <v/>
      </c>
      <c r="DO87" s="69" t="str">
        <f aca="false">IF($E87="","",IF($M87,IF(AND($G87&gt;=DO$5,$G87&lt;DO$5+GanttPeriod),"◆",IF(AND($E87&gt;=DO$5,$E87&lt;DO$5+GanttPeriod),"◇","")),IF(AND(DO$5&lt;=$F87,DO$5+GanttPeriod-1&gt;=$E87),"━","")))</f>
        <v/>
      </c>
      <c r="DP87" s="69" t="str">
        <f aca="false">IF($E87="","",IF($M87,IF(AND($G87&gt;=DP$5,$G87&lt;DP$5+GanttPeriod),"◆",IF(AND($E87&gt;=DP$5,$E87&lt;DP$5+GanttPeriod),"◇","")),IF(AND(DP$5&lt;=$F87,DP$5+GanttPeriod-1&gt;=$E87),"━","")))</f>
        <v/>
      </c>
      <c r="DQ87" s="69" t="str">
        <f aca="false">IF($E87="","",IF($M87,IF(AND($G87&gt;=DQ$5,$G87&lt;DQ$5+GanttPeriod),"◆",IF(AND($E87&gt;=DQ$5,$E87&lt;DQ$5+GanttPeriod),"◇","")),IF(AND(DQ$5&lt;=$F87,DQ$5+GanttPeriod-1&gt;=$E87),"━","")))</f>
        <v/>
      </c>
      <c r="DR87" s="69" t="str">
        <f aca="false">IF($E87="","",IF($M87,IF(AND($G87&gt;=DR$5,$G87&lt;DR$5+GanttPeriod),"◆",IF(AND($E87&gt;=DR$5,$E87&lt;DR$5+GanttPeriod),"◇","")),IF(AND(DR$5&lt;=$F87,DR$5+GanttPeriod-1&gt;=$E87),"━","")))</f>
        <v/>
      </c>
      <c r="DS87" s="69" t="str">
        <f aca="false">IF($E87="","",IF($M87,IF(AND($G87&gt;=DS$5,$G87&lt;DS$5+GanttPeriod),"◆",IF(AND($E87&gt;=DS$5,$E87&lt;DS$5+GanttPeriod),"◇","")),IF(AND(DS$5&lt;=$F87,DS$5+GanttPeriod-1&gt;=$E87),"━","")))</f>
        <v/>
      </c>
      <c r="DT87" s="69" t="str">
        <f aca="false">IF($E87="","",IF($M87,IF(AND($G87&gt;=DT$5,$G87&lt;DT$5+GanttPeriod),"◆",IF(AND($E87&gt;=DT$5,$E87&lt;DT$5+GanttPeriod),"◇","")),IF(AND(DT$5&lt;=$F87,DT$5+GanttPeriod-1&gt;=$E87),"━","")))</f>
        <v/>
      </c>
      <c r="DU87" s="69" t="str">
        <f aca="false">IF($E87="","",IF($M87,IF(AND($G87&gt;=DU$5,$G87&lt;DU$5+GanttPeriod),"◆",IF(AND($E87&gt;=DU$5,$E87&lt;DU$5+GanttPeriod),"◇","")),IF(AND(DU$5&lt;=$F87,DU$5+GanttPeriod-1&gt;=$E87),"━","")))</f>
        <v/>
      </c>
      <c r="DV87" s="69" t="str">
        <f aca="false">IF($E87="","",IF($M87,IF(AND($G87&gt;=DV$5,$G87&lt;DV$5+GanttPeriod),"◆",IF(AND($E87&gt;=DV$5,$E87&lt;DV$5+GanttPeriod),"◇","")),IF(AND(DV$5&lt;=$F87,DV$5+GanttPeriod-1&gt;=$E87),"━","")))</f>
        <v/>
      </c>
      <c r="DW87" s="69" t="str">
        <f aca="false">IF($E87="","",IF($M87,IF(AND($G87&gt;=DW$5,$G87&lt;DW$5+GanttPeriod),"◆",IF(AND($E87&gt;=DW$5,$E87&lt;DW$5+GanttPeriod),"◇","")),IF(AND(DW$5&lt;=$F87,DW$5+GanttPeriod-1&gt;=$E87),"━","")))</f>
        <v/>
      </c>
      <c r="DX87" s="69" t="str">
        <f aca="false">IF($E87="","",IF($M87,IF(AND($G87&gt;=DX$5,$G87&lt;DX$5+GanttPeriod),"◆",IF(AND($E87&gt;=DX$5,$E87&lt;DX$5+GanttPeriod),"◇","")),IF(AND(DX$5&lt;=$F87,DX$5+GanttPeriod-1&gt;=$E87),"━","")))</f>
        <v/>
      </c>
      <c r="DY87" s="69" t="str">
        <f aca="false">IF($E87="","",IF($M87,IF(AND($G87&gt;=DY$5,$G87&lt;DY$5+GanttPeriod),"◆",IF(AND($E87&gt;=DY$5,$E87&lt;DY$5+GanttPeriod),"◇","")),IF(AND(DY$5&lt;=$F87,DY$5+GanttPeriod-1&gt;=$E87),"━","")))</f>
        <v/>
      </c>
      <c r="DZ87" s="69" t="str">
        <f aca="false">IF($E87="","",IF($M87,IF(AND($G87&gt;=DZ$5,$G87&lt;DZ$5+GanttPeriod),"◆",IF(AND($E87&gt;=DZ$5,$E87&lt;DZ$5+GanttPeriod),"◇","")),IF(AND(DZ$5&lt;=$F87,DZ$5+GanttPeriod-1&gt;=$E87),"━","")))</f>
        <v/>
      </c>
      <c r="EA87" s="69" t="str">
        <f aca="false">IF($E87="","",IF($M87,IF(AND($G87&gt;=EA$5,$G87&lt;EA$5+GanttPeriod),"◆",IF(AND($E87&gt;=EA$5,$E87&lt;EA$5+GanttPeriod),"◇","")),IF(AND(EA$5&lt;=$F87,EA$5+GanttPeriod-1&gt;=$E87),"━","")))</f>
        <v/>
      </c>
      <c r="EB87" s="69" t="str">
        <f aca="false">IF($E87="","",IF($M87,IF(AND($G87&gt;=EB$5,$G87&lt;EB$5+GanttPeriod),"◆",IF(AND($E87&gt;=EB$5,$E87&lt;EB$5+GanttPeriod),"◇","")),IF(AND(EB$5&lt;=$F87,EB$5+GanttPeriod-1&gt;=$E87),"━","")))</f>
        <v/>
      </c>
      <c r="EC87" s="69" t="str">
        <f aca="false">IF($E87="","",IF($M87,IF(AND($G87&gt;=EC$5,$G87&lt;EC$5+GanttPeriod),"◆",IF(AND($E87&gt;=EC$5,$E87&lt;EC$5+GanttPeriod),"◇","")),IF(AND(EC$5&lt;=$F87,EC$5+GanttPeriod-1&gt;=$E87),"━","")))</f>
        <v/>
      </c>
      <c r="ED87" s="69" t="str">
        <f aca="false">IF($E87="","",IF($M87,IF(AND($G87&gt;=ED$5,$G87&lt;ED$5+GanttPeriod),"◆",IF(AND($E87&gt;=ED$5,$E87&lt;ED$5+GanttPeriod),"◇","")),IF(AND(ED$5&lt;=$F87,ED$5+GanttPeriod-1&gt;=$E87),"━","")))</f>
        <v/>
      </c>
      <c r="EE87" s="69" t="str">
        <f aca="false">IF($E87="","",IF($M87,IF(AND($G87&gt;=EE$5,$G87&lt;EE$5+GanttPeriod),"◆",IF(AND($E87&gt;=EE$5,$E87&lt;EE$5+GanttPeriod),"◇","")),IF(AND(EE$5&lt;=$F87,EE$5+GanttPeriod-1&gt;=$E87),"━","")))</f>
        <v/>
      </c>
      <c r="EF87" s="69" t="str">
        <f aca="false">IF($E87="","",IF($M87,IF(AND($G87&gt;=EF$5,$G87&lt;EF$5+GanttPeriod),"◆",IF(AND($E87&gt;=EF$5,$E87&lt;EF$5+GanttPeriod),"◇","")),IF(AND(EF$5&lt;=$F87,EF$5+GanttPeriod-1&gt;=$E87),"━","")))</f>
        <v/>
      </c>
      <c r="EG87" s="69" t="str">
        <f aca="false">IF($E87="","",IF($M87,IF(AND($G87&gt;=EG$5,$G87&lt;EG$5+GanttPeriod),"◆",IF(AND($E87&gt;=EG$5,$E87&lt;EG$5+GanttPeriod),"◇","")),IF(AND(EG$5&lt;=$F87,EG$5+GanttPeriod-1&gt;=$E87),"━","")))</f>
        <v/>
      </c>
      <c r="EH87" s="69" t="str">
        <f aca="false">IF($E87="","",IF($M87,IF(AND($G87&gt;=EH$5,$G87&lt;EH$5+GanttPeriod),"◆",IF(AND($E87&gt;=EH$5,$E87&lt;EH$5+GanttPeriod),"◇","")),IF(AND(EH$5&lt;=$F87,EH$5+GanttPeriod-1&gt;=$E87),"━","")))</f>
        <v/>
      </c>
      <c r="EI87" s="69" t="str">
        <f aca="false">IF($E87="","",IF($M87,IF(AND($G87&gt;=EI$5,$G87&lt;EI$5+GanttPeriod),"◆",IF(AND($E87&gt;=EI$5,$E87&lt;EI$5+GanttPeriod),"◇","")),IF(AND(EI$5&lt;=$F87,EI$5+GanttPeriod-1&gt;=$E87),"━","")))</f>
        <v/>
      </c>
      <c r="EJ87" s="69" t="str">
        <f aca="false">IF($E87="","",IF($M87,IF(AND($G87&gt;=EJ$5,$G87&lt;EJ$5+GanttPeriod),"◆",IF(AND($E87&gt;=EJ$5,$E87&lt;EJ$5+GanttPeriod),"◇","")),IF(AND(EJ$5&lt;=$F87,EJ$5+GanttPeriod-1&gt;=$E87),"━","")))</f>
        <v/>
      </c>
      <c r="EK87" s="69" t="str">
        <f aca="false">IF($E87="","",IF($M87,IF(AND($G87&gt;=EK$5,$G87&lt;EK$5+GanttPeriod),"◆",IF(AND($E87&gt;=EK$5,$E87&lt;EK$5+GanttPeriod),"◇","")),IF(AND(EK$5&lt;=$F87,EK$5+GanttPeriod-1&gt;=$E87),"━","")))</f>
        <v/>
      </c>
      <c r="EL87" s="69" t="str">
        <f aca="false">IF($E87="","",IF($M87,IF(AND($G87&gt;=EL$5,$G87&lt;EL$5+GanttPeriod),"◆",IF(AND($E87&gt;=EL$5,$E87&lt;EL$5+GanttPeriod),"◇","")),IF(AND(EL$5&lt;=$F87,EL$5+GanttPeriod-1&gt;=$E87),"━","")))</f>
        <v/>
      </c>
      <c r="EM87" s="69" t="str">
        <f aca="false">IF($E87="","",IF($M87,IF(AND($G87&gt;=EM$5,$G87&lt;EM$5+GanttPeriod),"◆",IF(AND($E87&gt;=EM$5,$E87&lt;EM$5+GanttPeriod),"◇","")),IF(AND(EM$5&lt;=$F87,EM$5+GanttPeriod-1&gt;=$E87),"━","")))</f>
        <v/>
      </c>
      <c r="EN87" s="69" t="str">
        <f aca="false">IF($E87="","",IF($M87,IF(AND($G87&gt;=EN$5,$G87&lt;EN$5+GanttPeriod),"◆",IF(AND($E87&gt;=EN$5,$E87&lt;EN$5+GanttPeriod),"◇","")),IF(AND(EN$5&lt;=$F87,EN$5+GanttPeriod-1&gt;=$E87),"━","")))</f>
        <v/>
      </c>
      <c r="EO87" s="69" t="str">
        <f aca="false">IF($E87="","",IF($M87,IF(AND($G87&gt;=EO$5,$G87&lt;EO$5+GanttPeriod),"◆",IF(AND($E87&gt;=EO$5,$E87&lt;EO$5+GanttPeriod),"◇","")),IF(AND(EO$5&lt;=$F87,EO$5+GanttPeriod-1&gt;=$E87),"━","")))</f>
        <v/>
      </c>
      <c r="EP87" s="69" t="str">
        <f aca="false">IF($E87="","",IF($M87,IF(AND($G87&gt;=EP$5,$G87&lt;EP$5+GanttPeriod),"◆",IF(AND($E87&gt;=EP$5,$E87&lt;EP$5+GanttPeriod),"◇","")),IF(AND(EP$5&lt;=$F87,EP$5+GanttPeriod-1&gt;=$E87),"━","")))</f>
        <v/>
      </c>
      <c r="EQ87" s="69" t="str">
        <f aca="false">IF($E87="","",IF($M87,IF(AND($G87&gt;=EQ$5,$G87&lt;EQ$5+GanttPeriod),"◆",IF(AND($E87&gt;=EQ$5,$E87&lt;EQ$5+GanttPeriod),"◇","")),IF(AND(EQ$5&lt;=$F87,EQ$5+GanttPeriod-1&gt;=$E87),"━","")))</f>
        <v/>
      </c>
      <c r="ER87" s="69" t="str">
        <f aca="false">IF($E87="","",IF($M87,IF(AND($G87&gt;=ER$5,$G87&lt;ER$5+GanttPeriod),"◆",IF(AND($E87&gt;=ER$5,$E87&lt;ER$5+GanttPeriod),"◇","")),IF(AND(ER$5&lt;=$F87,ER$5+GanttPeriod-1&gt;=$E87),"━","")))</f>
        <v/>
      </c>
      <c r="ES87" s="69" t="str">
        <f aca="false">IF($E87="","",IF($M87,IF(AND($G87&gt;=ES$5,$G87&lt;ES$5+GanttPeriod),"◆",IF(AND($E87&gt;=ES$5,$E87&lt;ES$5+GanttPeriod),"◇","")),IF(AND(ES$5&lt;=$F87,ES$5+GanttPeriod-1&gt;=$E87),"━","")))</f>
        <v/>
      </c>
      <c r="ET87" s="69" t="str">
        <f aca="false">IF($E87="","",IF($M87,IF(AND($G87&gt;=ET$5,$G87&lt;ET$5+GanttPeriod),"◆",IF(AND($E87&gt;=ET$5,$E87&lt;ET$5+GanttPeriod),"◇","")),IF(AND(ET$5&lt;=$F87,ET$5+GanttPeriod-1&gt;=$E87),"━","")))</f>
        <v/>
      </c>
      <c r="EU87" s="69" t="str">
        <f aca="false">IF($E87="","",IF($M87,IF(AND($G87&gt;=EU$5,$G87&lt;EU$5+GanttPeriod),"◆",IF(AND($E87&gt;=EU$5,$E87&lt;EU$5+GanttPeriod),"◇","")),IF(AND(EU$5&lt;=$F87,EU$5+GanttPeriod-1&gt;=$E87),"━","")))</f>
        <v/>
      </c>
      <c r="EV87" s="69" t="str">
        <f aca="false">IF($E87="","",IF($M87,IF(AND($G87&gt;=EV$5,$G87&lt;EV$5+GanttPeriod),"◆",IF(AND($E87&gt;=EV$5,$E87&lt;EV$5+GanttPeriod),"◇","")),IF(AND(EV$5&lt;=$F87,EV$5+GanttPeriod-1&gt;=$E87),"━","")))</f>
        <v/>
      </c>
      <c r="EW87" s="69" t="str">
        <f aca="false">IF($E87="","",IF($M87,IF(AND($G87&gt;=EW$5,$G87&lt;EW$5+GanttPeriod),"◆",IF(AND($E87&gt;=EW$5,$E87&lt;EW$5+GanttPeriod),"◇","")),IF(AND(EW$5&lt;=$F87,EW$5+GanttPeriod-1&gt;=$E87),"━","")))</f>
        <v/>
      </c>
      <c r="EX87" s="69" t="str">
        <f aca="false">IF($E87="","",IF($M87,IF(AND($G87&gt;=EX$5,$G87&lt;EX$5+GanttPeriod),"◆",IF(AND($E87&gt;=EX$5,$E87&lt;EX$5+GanttPeriod),"◇","")),IF(AND(EX$5&lt;=$F87,EX$5+GanttPeriod-1&gt;=$E87),"━","")))</f>
        <v/>
      </c>
      <c r="EY87" s="69" t="str">
        <f aca="false">IF($E87="","",IF($M87,IF(AND($G87&gt;=EY$5,$G87&lt;EY$5+GanttPeriod),"◆",IF(AND($E87&gt;=EY$5,$E87&lt;EY$5+GanttPeriod),"◇","")),IF(AND(EY$5&lt;=$F87,EY$5+GanttPeriod-1&gt;=$E87),"━","")))</f>
        <v/>
      </c>
      <c r="EZ87" s="69" t="str">
        <f aca="false">IF($E87="","",IF($M87,IF(AND($G87&gt;=EZ$5,$G87&lt;EZ$5+GanttPeriod),"◆",IF(AND($E87&gt;=EZ$5,$E87&lt;EZ$5+GanttPeriod),"◇","")),IF(AND(EZ$5&lt;=$F87,EZ$5+GanttPeriod-1&gt;=$E87),"━","")))</f>
        <v/>
      </c>
      <c r="FA87" s="69" t="str">
        <f aca="false">IF($E87="","",IF($M87,IF(AND($G87&gt;=FA$5,$G87&lt;FA$5+GanttPeriod),"◆",IF(AND($E87&gt;=FA$5,$E87&lt;FA$5+GanttPeriod),"◇","")),IF(AND(FA$5&lt;=$F87,FA$5+GanttPeriod-1&gt;=$E87),"━","")))</f>
        <v/>
      </c>
      <c r="FB87" s="69" t="str">
        <f aca="false">IF($E87="","",IF($M87,IF(AND($G87&gt;=FB$5,$G87&lt;FB$5+GanttPeriod),"◆",IF(AND($E87&gt;=FB$5,$E87&lt;FB$5+GanttPeriod),"◇","")),IF(AND(FB$5&lt;=$F87,FB$5+GanttPeriod-1&gt;=$E87),"━","")))</f>
        <v/>
      </c>
      <c r="FC87" s="69" t="str">
        <f aca="false">IF($E87="","",IF($M87,IF(AND($G87&gt;=FC$5,$G87&lt;FC$5+GanttPeriod),"◆",IF(AND($E87&gt;=FC$5,$E87&lt;FC$5+GanttPeriod),"◇","")),IF(AND(FC$5&lt;=$F87,FC$5+GanttPeriod-1&gt;=$E87),"━","")))</f>
        <v/>
      </c>
      <c r="FD87" s="69" t="str">
        <f aca="false">IF($E87="","",IF($M87,IF(AND($G87&gt;=FD$5,$G87&lt;FD$5+GanttPeriod),"◆",IF(AND($E87&gt;=FD$5,$E87&lt;FD$5+GanttPeriod),"◇","")),IF(AND(FD$5&lt;=$F87,FD$5+GanttPeriod-1&gt;=$E87),"━","")))</f>
        <v/>
      </c>
      <c r="FE87" s="69" t="str">
        <f aca="false">IF($E87="","",IF($M87,IF(AND($G87&gt;=FE$5,$G87&lt;FE$5+GanttPeriod),"◆",IF(AND($E87&gt;=FE$5,$E87&lt;FE$5+GanttPeriod),"◇","")),IF(AND(FE$5&lt;=$F87,FE$5+GanttPeriod-1&gt;=$E87),"━","")))</f>
        <v/>
      </c>
      <c r="FF87" s="69" t="str">
        <f aca="false">IF($E87="","",IF($M87,IF(AND($G87&gt;=FF$5,$G87&lt;FF$5+GanttPeriod),"◆",IF(AND($E87&gt;=FF$5,$E87&lt;FF$5+GanttPeriod),"◇","")),IF(AND(FF$5&lt;=$F87,FF$5+GanttPeriod-1&gt;=$E87),"━","")))</f>
        <v/>
      </c>
      <c r="FG87" s="69" t="str">
        <f aca="false">IF($E87="","",IF($M87,IF(AND($G87&gt;=FG$5,$G87&lt;FG$5+GanttPeriod),"◆",IF(AND($E87&gt;=FG$5,$E87&lt;FG$5+GanttPeriod),"◇","")),IF(AND(FG$5&lt;=$F87,FG$5+GanttPeriod-1&gt;=$E87),"━","")))</f>
        <v/>
      </c>
      <c r="FH87" s="69" t="str">
        <f aca="false">IF($E87="","",IF($M87,IF(AND($G87&gt;=FH$5,$G87&lt;FH$5+GanttPeriod),"◆",IF(AND($E87&gt;=FH$5,$E87&lt;FH$5+GanttPeriod),"◇","")),IF(AND(FH$5&lt;=$F87,FH$5+GanttPeriod-1&gt;=$E87),"━","")))</f>
        <v/>
      </c>
      <c r="FI87" s="69" t="str">
        <f aca="false">IF($E87="","",IF($M87,IF(AND($G87&gt;=FI$5,$G87&lt;FI$5+GanttPeriod),"◆",IF(AND($E87&gt;=FI$5,$E87&lt;FI$5+GanttPeriod),"◇","")),IF(AND(FI$5&lt;=$F87,FI$5+GanttPeriod-1&gt;=$E87),"━","")))</f>
        <v/>
      </c>
      <c r="FJ87" s="69" t="str">
        <f aca="false">IF($E87="","",IF($M87,IF(AND($G87&gt;=FJ$5,$G87&lt;FJ$5+GanttPeriod),"◆",IF(AND($E87&gt;=FJ$5,$E87&lt;FJ$5+GanttPeriod),"◇","")),IF(AND(FJ$5&lt;=$F87,FJ$5+GanttPeriod-1&gt;=$E87),"━","")))</f>
        <v/>
      </c>
      <c r="FK87" s="69" t="str">
        <f aca="false">IF($E87="","",IF($M87,IF(AND($G87&gt;=FK$5,$G87&lt;FK$5+GanttPeriod),"◆",IF(AND($E87&gt;=FK$5,$E87&lt;FK$5+GanttPeriod),"◇","")),IF(AND(FK$5&lt;=$F87,FK$5+GanttPeriod-1&gt;=$E87),"━","")))</f>
        <v/>
      </c>
      <c r="FL87" s="69" t="str">
        <f aca="false">IF($E87="","",IF($M87,IF(AND($G87&gt;=FL$5,$G87&lt;FL$5+GanttPeriod),"◆",IF(AND($E87&gt;=FL$5,$E87&lt;FL$5+GanttPeriod),"◇","")),IF(AND(FL$5&lt;=$F87,FL$5+GanttPeriod-1&gt;=$E87),"━","")))</f>
        <v/>
      </c>
      <c r="FM87" s="69" t="str">
        <f aca="false">IF($E87="","",IF($M87,IF(AND($G87&gt;=FM$5,$G87&lt;FM$5+GanttPeriod),"◆",IF(AND($E87&gt;=FM$5,$E87&lt;FM$5+GanttPeriod),"◇","")),IF(AND(FM$5&lt;=$F87,FM$5+GanttPeriod-1&gt;=$E87),"━","")))</f>
        <v/>
      </c>
    </row>
    <row r="88" customFormat="false" ht="15" hidden="false" customHeight="false" outlineLevel="0" collapsed="false">
      <c r="A88" s="62" t="str">
        <f aca="false">IF(Tasks!$D88="","",Tasks!$A88)</f>
        <v/>
      </c>
      <c r="B88" s="62" t="str">
        <f aca="false">IF(Tasks!$D88="","",Tasks!$B88)</f>
        <v/>
      </c>
      <c r="C88" s="63" t="str">
        <f aca="false">IF(Tasks!$D88="","",REPT("    ",Tasks!$AE88-1)&amp;Tasks!$D88)</f>
        <v/>
      </c>
      <c r="D88" s="62" t="str">
        <f aca="false">IF(Tasks!$D88="","",IF(Tasks!$AI88,NETWORKDAYS.INTL(Tasks!$R88,Tasks!$S88,WorkWeek,Holidays),N(Tasks!$F88)))</f>
        <v/>
      </c>
      <c r="E88" s="64" t="str">
        <f aca="false">IF(Tasks!$D88="","",Tasks!$N88)</f>
        <v/>
      </c>
      <c r="F88" s="64" t="str">
        <f aca="false">IF(Tasks!$D88="","",Tasks!$O88)</f>
        <v/>
      </c>
      <c r="G88" s="64" t="str">
        <f aca="false">IF(Tasks!$D88="","",Tasks!$R88)</f>
        <v/>
      </c>
      <c r="H88" s="64" t="str">
        <f aca="false">IF(Tasks!$D88="","",Tasks!$S88)</f>
        <v/>
      </c>
      <c r="I88" s="65" t="str">
        <f aca="false">IF(Tasks!$D88="","",Tasks!$V88)</f>
        <v/>
      </c>
      <c r="J88" s="63" t="str">
        <f aca="false">IF(Tasks!$D88="","",Tasks!$X88&amp;"")</f>
        <v/>
      </c>
      <c r="K88" s="66" t="str">
        <f aca="false">IF(Tasks!$D88="","",Tasks!$W88)</f>
        <v/>
      </c>
      <c r="L88" s="67" t="b">
        <f aca="false">IF(Tasks!$D88="",FALSE(),Tasks!$AI88)</f>
        <v>0</v>
      </c>
      <c r="M88" s="67" t="b">
        <f aca="false">AND(Tasks!$AJ88=1,N(Tasks!$F88)=0)</f>
        <v>0</v>
      </c>
      <c r="N88" s="68" t="n">
        <f aca="false">IF(AND(Tasks!$AJ88=1,NOT($M88),N($I88)&gt;0),$G88,0)</f>
        <v>0</v>
      </c>
      <c r="O88" s="68" t="n">
        <f aca="false">IF($N88=0,0,IF($I88&gt;=1,$H88,MAX($N88,$G88+ROUND(($H88-$G88+1)*$I88,0)-1)))</f>
        <v>0</v>
      </c>
      <c r="P88" s="68" t="n">
        <f aca="false">IF(OR(Tasks!$AJ88&lt;&gt;1,$M88,N($I88)&gt;=1),0,IF($O88&gt;0,$O88+1,$G88))</f>
        <v>0</v>
      </c>
      <c r="Q88" s="68" t="n">
        <f aca="false">IF($P88=0,0,$H88)</f>
        <v>0</v>
      </c>
      <c r="R88" s="67" t="b">
        <f aca="false">AND(Tasks!$D88&lt;&gt;"",N(Tasks!$T88)&gt;0)</f>
        <v>0</v>
      </c>
      <c r="T88" s="69" t="str">
        <f aca="false">IF($E88="","",IF($M88,IF(AND($G88&gt;=T$5,$G88&lt;T$5+GanttPeriod),"◆",IF(AND($E88&gt;=T$5,$E88&lt;T$5+GanttPeriod),"◇","")),IF(AND(T$5&lt;=$F88,T$5+GanttPeriod-1&gt;=$E88),"━","")))</f>
        <v/>
      </c>
      <c r="U88" s="69" t="str">
        <f aca="false">IF($E88="","",IF($M88,IF(AND($G88&gt;=U$5,$G88&lt;U$5+GanttPeriod),"◆",IF(AND($E88&gt;=U$5,$E88&lt;U$5+GanttPeriod),"◇","")),IF(AND(U$5&lt;=$F88,U$5+GanttPeriod-1&gt;=$E88),"━","")))</f>
        <v/>
      </c>
      <c r="V88" s="69" t="str">
        <f aca="false">IF($E88="","",IF($M88,IF(AND($G88&gt;=V$5,$G88&lt;V$5+GanttPeriod),"◆",IF(AND($E88&gt;=V$5,$E88&lt;V$5+GanttPeriod),"◇","")),IF(AND(V$5&lt;=$F88,V$5+GanttPeriod-1&gt;=$E88),"━","")))</f>
        <v/>
      </c>
      <c r="W88" s="69" t="str">
        <f aca="false">IF($E88="","",IF($M88,IF(AND($G88&gt;=W$5,$G88&lt;W$5+GanttPeriod),"◆",IF(AND($E88&gt;=W$5,$E88&lt;W$5+GanttPeriod),"◇","")),IF(AND(W$5&lt;=$F88,W$5+GanttPeriod-1&gt;=$E88),"━","")))</f>
        <v/>
      </c>
      <c r="X88" s="69" t="str">
        <f aca="false">IF($E88="","",IF($M88,IF(AND($G88&gt;=X$5,$G88&lt;X$5+GanttPeriod),"◆",IF(AND($E88&gt;=X$5,$E88&lt;X$5+GanttPeriod),"◇","")),IF(AND(X$5&lt;=$F88,X$5+GanttPeriod-1&gt;=$E88),"━","")))</f>
        <v/>
      </c>
      <c r="Y88" s="69" t="str">
        <f aca="false">IF($E88="","",IF($M88,IF(AND($G88&gt;=Y$5,$G88&lt;Y$5+GanttPeriod),"◆",IF(AND($E88&gt;=Y$5,$E88&lt;Y$5+GanttPeriod),"◇","")),IF(AND(Y$5&lt;=$F88,Y$5+GanttPeriod-1&gt;=$E88),"━","")))</f>
        <v/>
      </c>
      <c r="Z88" s="69" t="str">
        <f aca="false">IF($E88="","",IF($M88,IF(AND($G88&gt;=Z$5,$G88&lt;Z$5+GanttPeriod),"◆",IF(AND($E88&gt;=Z$5,$E88&lt;Z$5+GanttPeriod),"◇","")),IF(AND(Z$5&lt;=$F88,Z$5+GanttPeriod-1&gt;=$E88),"━","")))</f>
        <v/>
      </c>
      <c r="AA88" s="69" t="str">
        <f aca="false">IF($E88="","",IF($M88,IF(AND($G88&gt;=AA$5,$G88&lt;AA$5+GanttPeriod),"◆",IF(AND($E88&gt;=AA$5,$E88&lt;AA$5+GanttPeriod),"◇","")),IF(AND(AA$5&lt;=$F88,AA$5+GanttPeriod-1&gt;=$E88),"━","")))</f>
        <v/>
      </c>
      <c r="AB88" s="69" t="str">
        <f aca="false">IF($E88="","",IF($M88,IF(AND($G88&gt;=AB$5,$G88&lt;AB$5+GanttPeriod),"◆",IF(AND($E88&gt;=AB$5,$E88&lt;AB$5+GanttPeriod),"◇","")),IF(AND(AB$5&lt;=$F88,AB$5+GanttPeriod-1&gt;=$E88),"━","")))</f>
        <v/>
      </c>
      <c r="AC88" s="69" t="str">
        <f aca="false">IF($E88="","",IF($M88,IF(AND($G88&gt;=AC$5,$G88&lt;AC$5+GanttPeriod),"◆",IF(AND($E88&gt;=AC$5,$E88&lt;AC$5+GanttPeriod),"◇","")),IF(AND(AC$5&lt;=$F88,AC$5+GanttPeriod-1&gt;=$E88),"━","")))</f>
        <v/>
      </c>
      <c r="AD88" s="69" t="str">
        <f aca="false">IF($E88="","",IF($M88,IF(AND($G88&gt;=AD$5,$G88&lt;AD$5+GanttPeriod),"◆",IF(AND($E88&gt;=AD$5,$E88&lt;AD$5+GanttPeriod),"◇","")),IF(AND(AD$5&lt;=$F88,AD$5+GanttPeriod-1&gt;=$E88),"━","")))</f>
        <v/>
      </c>
      <c r="AE88" s="69" t="str">
        <f aca="false">IF($E88="","",IF($M88,IF(AND($G88&gt;=AE$5,$G88&lt;AE$5+GanttPeriod),"◆",IF(AND($E88&gt;=AE$5,$E88&lt;AE$5+GanttPeriod),"◇","")),IF(AND(AE$5&lt;=$F88,AE$5+GanttPeriod-1&gt;=$E88),"━","")))</f>
        <v/>
      </c>
      <c r="AF88" s="69" t="str">
        <f aca="false">IF($E88="","",IF($M88,IF(AND($G88&gt;=AF$5,$G88&lt;AF$5+GanttPeriod),"◆",IF(AND($E88&gt;=AF$5,$E88&lt;AF$5+GanttPeriod),"◇","")),IF(AND(AF$5&lt;=$F88,AF$5+GanttPeriod-1&gt;=$E88),"━","")))</f>
        <v/>
      </c>
      <c r="AG88" s="69" t="str">
        <f aca="false">IF($E88="","",IF($M88,IF(AND($G88&gt;=AG$5,$G88&lt;AG$5+GanttPeriod),"◆",IF(AND($E88&gt;=AG$5,$E88&lt;AG$5+GanttPeriod),"◇","")),IF(AND(AG$5&lt;=$F88,AG$5+GanttPeriod-1&gt;=$E88),"━","")))</f>
        <v/>
      </c>
      <c r="AH88" s="69" t="str">
        <f aca="false">IF($E88="","",IF($M88,IF(AND($G88&gt;=AH$5,$G88&lt;AH$5+GanttPeriod),"◆",IF(AND($E88&gt;=AH$5,$E88&lt;AH$5+GanttPeriod),"◇","")),IF(AND(AH$5&lt;=$F88,AH$5+GanttPeriod-1&gt;=$E88),"━","")))</f>
        <v/>
      </c>
      <c r="AI88" s="69" t="str">
        <f aca="false">IF($E88="","",IF($M88,IF(AND($G88&gt;=AI$5,$G88&lt;AI$5+GanttPeriod),"◆",IF(AND($E88&gt;=AI$5,$E88&lt;AI$5+GanttPeriod),"◇","")),IF(AND(AI$5&lt;=$F88,AI$5+GanttPeriod-1&gt;=$E88),"━","")))</f>
        <v/>
      </c>
      <c r="AJ88" s="69" t="str">
        <f aca="false">IF($E88="","",IF($M88,IF(AND($G88&gt;=AJ$5,$G88&lt;AJ$5+GanttPeriod),"◆",IF(AND($E88&gt;=AJ$5,$E88&lt;AJ$5+GanttPeriod),"◇","")),IF(AND(AJ$5&lt;=$F88,AJ$5+GanttPeriod-1&gt;=$E88),"━","")))</f>
        <v/>
      </c>
      <c r="AK88" s="69" t="str">
        <f aca="false">IF($E88="","",IF($M88,IF(AND($G88&gt;=AK$5,$G88&lt;AK$5+GanttPeriod),"◆",IF(AND($E88&gt;=AK$5,$E88&lt;AK$5+GanttPeriod),"◇","")),IF(AND(AK$5&lt;=$F88,AK$5+GanttPeriod-1&gt;=$E88),"━","")))</f>
        <v/>
      </c>
      <c r="AL88" s="69" t="str">
        <f aca="false">IF($E88="","",IF($M88,IF(AND($G88&gt;=AL$5,$G88&lt;AL$5+GanttPeriod),"◆",IF(AND($E88&gt;=AL$5,$E88&lt;AL$5+GanttPeriod),"◇","")),IF(AND(AL$5&lt;=$F88,AL$5+GanttPeriod-1&gt;=$E88),"━","")))</f>
        <v/>
      </c>
      <c r="AM88" s="69" t="str">
        <f aca="false">IF($E88="","",IF($M88,IF(AND($G88&gt;=AM$5,$G88&lt;AM$5+GanttPeriod),"◆",IF(AND($E88&gt;=AM$5,$E88&lt;AM$5+GanttPeriod),"◇","")),IF(AND(AM$5&lt;=$F88,AM$5+GanttPeriod-1&gt;=$E88),"━","")))</f>
        <v/>
      </c>
      <c r="AN88" s="69" t="str">
        <f aca="false">IF($E88="","",IF($M88,IF(AND($G88&gt;=AN$5,$G88&lt;AN$5+GanttPeriod),"◆",IF(AND($E88&gt;=AN$5,$E88&lt;AN$5+GanttPeriod),"◇","")),IF(AND(AN$5&lt;=$F88,AN$5+GanttPeriod-1&gt;=$E88),"━","")))</f>
        <v/>
      </c>
      <c r="AO88" s="69" t="str">
        <f aca="false">IF($E88="","",IF($M88,IF(AND($G88&gt;=AO$5,$G88&lt;AO$5+GanttPeriod),"◆",IF(AND($E88&gt;=AO$5,$E88&lt;AO$5+GanttPeriod),"◇","")),IF(AND(AO$5&lt;=$F88,AO$5+GanttPeriod-1&gt;=$E88),"━","")))</f>
        <v/>
      </c>
      <c r="AP88" s="69" t="str">
        <f aca="false">IF($E88="","",IF($M88,IF(AND($G88&gt;=AP$5,$G88&lt;AP$5+GanttPeriod),"◆",IF(AND($E88&gt;=AP$5,$E88&lt;AP$5+GanttPeriod),"◇","")),IF(AND(AP$5&lt;=$F88,AP$5+GanttPeriod-1&gt;=$E88),"━","")))</f>
        <v/>
      </c>
      <c r="AQ88" s="69" t="str">
        <f aca="false">IF($E88="","",IF($M88,IF(AND($G88&gt;=AQ$5,$G88&lt;AQ$5+GanttPeriod),"◆",IF(AND($E88&gt;=AQ$5,$E88&lt;AQ$5+GanttPeriod),"◇","")),IF(AND(AQ$5&lt;=$F88,AQ$5+GanttPeriod-1&gt;=$E88),"━","")))</f>
        <v/>
      </c>
      <c r="AR88" s="69" t="str">
        <f aca="false">IF($E88="","",IF($M88,IF(AND($G88&gt;=AR$5,$G88&lt;AR$5+GanttPeriod),"◆",IF(AND($E88&gt;=AR$5,$E88&lt;AR$5+GanttPeriod),"◇","")),IF(AND(AR$5&lt;=$F88,AR$5+GanttPeriod-1&gt;=$E88),"━","")))</f>
        <v/>
      </c>
      <c r="AS88" s="69" t="str">
        <f aca="false">IF($E88="","",IF($M88,IF(AND($G88&gt;=AS$5,$G88&lt;AS$5+GanttPeriod),"◆",IF(AND($E88&gt;=AS$5,$E88&lt;AS$5+GanttPeriod),"◇","")),IF(AND(AS$5&lt;=$F88,AS$5+GanttPeriod-1&gt;=$E88),"━","")))</f>
        <v/>
      </c>
      <c r="AT88" s="69" t="str">
        <f aca="false">IF($E88="","",IF($M88,IF(AND($G88&gt;=AT$5,$G88&lt;AT$5+GanttPeriod),"◆",IF(AND($E88&gt;=AT$5,$E88&lt;AT$5+GanttPeriod),"◇","")),IF(AND(AT$5&lt;=$F88,AT$5+GanttPeriod-1&gt;=$E88),"━","")))</f>
        <v/>
      </c>
      <c r="AU88" s="69" t="str">
        <f aca="false">IF($E88="","",IF($M88,IF(AND($G88&gt;=AU$5,$G88&lt;AU$5+GanttPeriod),"◆",IF(AND($E88&gt;=AU$5,$E88&lt;AU$5+GanttPeriod),"◇","")),IF(AND(AU$5&lt;=$F88,AU$5+GanttPeriod-1&gt;=$E88),"━","")))</f>
        <v/>
      </c>
      <c r="AV88" s="69" t="str">
        <f aca="false">IF($E88="","",IF($M88,IF(AND($G88&gt;=AV$5,$G88&lt;AV$5+GanttPeriod),"◆",IF(AND($E88&gt;=AV$5,$E88&lt;AV$5+GanttPeriod),"◇","")),IF(AND(AV$5&lt;=$F88,AV$5+GanttPeriod-1&gt;=$E88),"━","")))</f>
        <v/>
      </c>
      <c r="AW88" s="69" t="str">
        <f aca="false">IF($E88="","",IF($M88,IF(AND($G88&gt;=AW$5,$G88&lt;AW$5+GanttPeriod),"◆",IF(AND($E88&gt;=AW$5,$E88&lt;AW$5+GanttPeriod),"◇","")),IF(AND(AW$5&lt;=$F88,AW$5+GanttPeriod-1&gt;=$E88),"━","")))</f>
        <v/>
      </c>
      <c r="AX88" s="69" t="str">
        <f aca="false">IF($E88="","",IF($M88,IF(AND($G88&gt;=AX$5,$G88&lt;AX$5+GanttPeriod),"◆",IF(AND($E88&gt;=AX$5,$E88&lt;AX$5+GanttPeriod),"◇","")),IF(AND(AX$5&lt;=$F88,AX$5+GanttPeriod-1&gt;=$E88),"━","")))</f>
        <v/>
      </c>
      <c r="AY88" s="69" t="str">
        <f aca="false">IF($E88="","",IF($M88,IF(AND($G88&gt;=AY$5,$G88&lt;AY$5+GanttPeriod),"◆",IF(AND($E88&gt;=AY$5,$E88&lt;AY$5+GanttPeriod),"◇","")),IF(AND(AY$5&lt;=$F88,AY$5+GanttPeriod-1&gt;=$E88),"━","")))</f>
        <v/>
      </c>
      <c r="AZ88" s="69" t="str">
        <f aca="false">IF($E88="","",IF($M88,IF(AND($G88&gt;=AZ$5,$G88&lt;AZ$5+GanttPeriod),"◆",IF(AND($E88&gt;=AZ$5,$E88&lt;AZ$5+GanttPeriod),"◇","")),IF(AND(AZ$5&lt;=$F88,AZ$5+GanttPeriod-1&gt;=$E88),"━","")))</f>
        <v/>
      </c>
      <c r="BA88" s="69" t="str">
        <f aca="false">IF($E88="","",IF($M88,IF(AND($G88&gt;=BA$5,$G88&lt;BA$5+GanttPeriod),"◆",IF(AND($E88&gt;=BA$5,$E88&lt;BA$5+GanttPeriod),"◇","")),IF(AND(BA$5&lt;=$F88,BA$5+GanttPeriod-1&gt;=$E88),"━","")))</f>
        <v/>
      </c>
      <c r="BB88" s="69" t="str">
        <f aca="false">IF($E88="","",IF($M88,IF(AND($G88&gt;=BB$5,$G88&lt;BB$5+GanttPeriod),"◆",IF(AND($E88&gt;=BB$5,$E88&lt;BB$5+GanttPeriod),"◇","")),IF(AND(BB$5&lt;=$F88,BB$5+GanttPeriod-1&gt;=$E88),"━","")))</f>
        <v/>
      </c>
      <c r="BC88" s="69" t="str">
        <f aca="false">IF($E88="","",IF($M88,IF(AND($G88&gt;=BC$5,$G88&lt;BC$5+GanttPeriod),"◆",IF(AND($E88&gt;=BC$5,$E88&lt;BC$5+GanttPeriod),"◇","")),IF(AND(BC$5&lt;=$F88,BC$5+GanttPeriod-1&gt;=$E88),"━","")))</f>
        <v/>
      </c>
      <c r="BD88" s="69" t="str">
        <f aca="false">IF($E88="","",IF($M88,IF(AND($G88&gt;=BD$5,$G88&lt;BD$5+GanttPeriod),"◆",IF(AND($E88&gt;=BD$5,$E88&lt;BD$5+GanttPeriod),"◇","")),IF(AND(BD$5&lt;=$F88,BD$5+GanttPeriod-1&gt;=$E88),"━","")))</f>
        <v/>
      </c>
      <c r="BE88" s="69" t="str">
        <f aca="false">IF($E88="","",IF($M88,IF(AND($G88&gt;=BE$5,$G88&lt;BE$5+GanttPeriod),"◆",IF(AND($E88&gt;=BE$5,$E88&lt;BE$5+GanttPeriod),"◇","")),IF(AND(BE$5&lt;=$F88,BE$5+GanttPeriod-1&gt;=$E88),"━","")))</f>
        <v/>
      </c>
      <c r="BF88" s="69" t="str">
        <f aca="false">IF($E88="","",IF($M88,IF(AND($G88&gt;=BF$5,$G88&lt;BF$5+GanttPeriod),"◆",IF(AND($E88&gt;=BF$5,$E88&lt;BF$5+GanttPeriod),"◇","")),IF(AND(BF$5&lt;=$F88,BF$5+GanttPeriod-1&gt;=$E88),"━","")))</f>
        <v/>
      </c>
      <c r="BG88" s="69" t="str">
        <f aca="false">IF($E88="","",IF($M88,IF(AND($G88&gt;=BG$5,$G88&lt;BG$5+GanttPeriod),"◆",IF(AND($E88&gt;=BG$5,$E88&lt;BG$5+GanttPeriod),"◇","")),IF(AND(BG$5&lt;=$F88,BG$5+GanttPeriod-1&gt;=$E88),"━","")))</f>
        <v/>
      </c>
      <c r="BH88" s="69" t="str">
        <f aca="false">IF($E88="","",IF($M88,IF(AND($G88&gt;=BH$5,$G88&lt;BH$5+GanttPeriod),"◆",IF(AND($E88&gt;=BH$5,$E88&lt;BH$5+GanttPeriod),"◇","")),IF(AND(BH$5&lt;=$F88,BH$5+GanttPeriod-1&gt;=$E88),"━","")))</f>
        <v/>
      </c>
      <c r="BI88" s="69" t="str">
        <f aca="false">IF($E88="","",IF($M88,IF(AND($G88&gt;=BI$5,$G88&lt;BI$5+GanttPeriod),"◆",IF(AND($E88&gt;=BI$5,$E88&lt;BI$5+GanttPeriod),"◇","")),IF(AND(BI$5&lt;=$F88,BI$5+GanttPeriod-1&gt;=$E88),"━","")))</f>
        <v/>
      </c>
      <c r="BJ88" s="69" t="str">
        <f aca="false">IF($E88="","",IF($M88,IF(AND($G88&gt;=BJ$5,$G88&lt;BJ$5+GanttPeriod),"◆",IF(AND($E88&gt;=BJ$5,$E88&lt;BJ$5+GanttPeriod),"◇","")),IF(AND(BJ$5&lt;=$F88,BJ$5+GanttPeriod-1&gt;=$E88),"━","")))</f>
        <v/>
      </c>
      <c r="BK88" s="69" t="str">
        <f aca="false">IF($E88="","",IF($M88,IF(AND($G88&gt;=BK$5,$G88&lt;BK$5+GanttPeriod),"◆",IF(AND($E88&gt;=BK$5,$E88&lt;BK$5+GanttPeriod),"◇","")),IF(AND(BK$5&lt;=$F88,BK$5+GanttPeriod-1&gt;=$E88),"━","")))</f>
        <v/>
      </c>
      <c r="BL88" s="69" t="str">
        <f aca="false">IF($E88="","",IF($M88,IF(AND($G88&gt;=BL$5,$G88&lt;BL$5+GanttPeriod),"◆",IF(AND($E88&gt;=BL$5,$E88&lt;BL$5+GanttPeriod),"◇","")),IF(AND(BL$5&lt;=$F88,BL$5+GanttPeriod-1&gt;=$E88),"━","")))</f>
        <v/>
      </c>
      <c r="BM88" s="69" t="str">
        <f aca="false">IF($E88="","",IF($M88,IF(AND($G88&gt;=BM$5,$G88&lt;BM$5+GanttPeriod),"◆",IF(AND($E88&gt;=BM$5,$E88&lt;BM$5+GanttPeriod),"◇","")),IF(AND(BM$5&lt;=$F88,BM$5+GanttPeriod-1&gt;=$E88),"━","")))</f>
        <v/>
      </c>
      <c r="BN88" s="69" t="str">
        <f aca="false">IF($E88="","",IF($M88,IF(AND($G88&gt;=BN$5,$G88&lt;BN$5+GanttPeriod),"◆",IF(AND($E88&gt;=BN$5,$E88&lt;BN$5+GanttPeriod),"◇","")),IF(AND(BN$5&lt;=$F88,BN$5+GanttPeriod-1&gt;=$E88),"━","")))</f>
        <v/>
      </c>
      <c r="BO88" s="69" t="str">
        <f aca="false">IF($E88="","",IF($M88,IF(AND($G88&gt;=BO$5,$G88&lt;BO$5+GanttPeriod),"◆",IF(AND($E88&gt;=BO$5,$E88&lt;BO$5+GanttPeriod),"◇","")),IF(AND(BO$5&lt;=$F88,BO$5+GanttPeriod-1&gt;=$E88),"━","")))</f>
        <v/>
      </c>
      <c r="BP88" s="69" t="str">
        <f aca="false">IF($E88="","",IF($M88,IF(AND($G88&gt;=BP$5,$G88&lt;BP$5+GanttPeriod),"◆",IF(AND($E88&gt;=BP$5,$E88&lt;BP$5+GanttPeriod),"◇","")),IF(AND(BP$5&lt;=$F88,BP$5+GanttPeriod-1&gt;=$E88),"━","")))</f>
        <v/>
      </c>
      <c r="BQ88" s="69" t="str">
        <f aca="false">IF($E88="","",IF($M88,IF(AND($G88&gt;=BQ$5,$G88&lt;BQ$5+GanttPeriod),"◆",IF(AND($E88&gt;=BQ$5,$E88&lt;BQ$5+GanttPeriod),"◇","")),IF(AND(BQ$5&lt;=$F88,BQ$5+GanttPeriod-1&gt;=$E88),"━","")))</f>
        <v/>
      </c>
      <c r="BR88" s="69" t="str">
        <f aca="false">IF($E88="","",IF($M88,IF(AND($G88&gt;=BR$5,$G88&lt;BR$5+GanttPeriod),"◆",IF(AND($E88&gt;=BR$5,$E88&lt;BR$5+GanttPeriod),"◇","")),IF(AND(BR$5&lt;=$F88,BR$5+GanttPeriod-1&gt;=$E88),"━","")))</f>
        <v/>
      </c>
      <c r="BS88" s="69" t="str">
        <f aca="false">IF($E88="","",IF($M88,IF(AND($G88&gt;=BS$5,$G88&lt;BS$5+GanttPeriod),"◆",IF(AND($E88&gt;=BS$5,$E88&lt;BS$5+GanttPeriod),"◇","")),IF(AND(BS$5&lt;=$F88,BS$5+GanttPeriod-1&gt;=$E88),"━","")))</f>
        <v/>
      </c>
      <c r="BT88" s="69" t="str">
        <f aca="false">IF($E88="","",IF($M88,IF(AND($G88&gt;=BT$5,$G88&lt;BT$5+GanttPeriod),"◆",IF(AND($E88&gt;=BT$5,$E88&lt;BT$5+GanttPeriod),"◇","")),IF(AND(BT$5&lt;=$F88,BT$5+GanttPeriod-1&gt;=$E88),"━","")))</f>
        <v/>
      </c>
      <c r="BU88" s="69" t="str">
        <f aca="false">IF($E88="","",IF($M88,IF(AND($G88&gt;=BU$5,$G88&lt;BU$5+GanttPeriod),"◆",IF(AND($E88&gt;=BU$5,$E88&lt;BU$5+GanttPeriod),"◇","")),IF(AND(BU$5&lt;=$F88,BU$5+GanttPeriod-1&gt;=$E88),"━","")))</f>
        <v/>
      </c>
      <c r="BV88" s="69" t="str">
        <f aca="false">IF($E88="","",IF($M88,IF(AND($G88&gt;=BV$5,$G88&lt;BV$5+GanttPeriod),"◆",IF(AND($E88&gt;=BV$5,$E88&lt;BV$5+GanttPeriod),"◇","")),IF(AND(BV$5&lt;=$F88,BV$5+GanttPeriod-1&gt;=$E88),"━","")))</f>
        <v/>
      </c>
      <c r="BW88" s="69" t="str">
        <f aca="false">IF($E88="","",IF($M88,IF(AND($G88&gt;=BW$5,$G88&lt;BW$5+GanttPeriod),"◆",IF(AND($E88&gt;=BW$5,$E88&lt;BW$5+GanttPeriod),"◇","")),IF(AND(BW$5&lt;=$F88,BW$5+GanttPeriod-1&gt;=$E88),"━","")))</f>
        <v/>
      </c>
      <c r="BX88" s="69" t="str">
        <f aca="false">IF($E88="","",IF($M88,IF(AND($G88&gt;=BX$5,$G88&lt;BX$5+GanttPeriod),"◆",IF(AND($E88&gt;=BX$5,$E88&lt;BX$5+GanttPeriod),"◇","")),IF(AND(BX$5&lt;=$F88,BX$5+GanttPeriod-1&gt;=$E88),"━","")))</f>
        <v/>
      </c>
      <c r="BY88" s="69" t="str">
        <f aca="false">IF($E88="","",IF($M88,IF(AND($G88&gt;=BY$5,$G88&lt;BY$5+GanttPeriod),"◆",IF(AND($E88&gt;=BY$5,$E88&lt;BY$5+GanttPeriod),"◇","")),IF(AND(BY$5&lt;=$F88,BY$5+GanttPeriod-1&gt;=$E88),"━","")))</f>
        <v/>
      </c>
      <c r="BZ88" s="69" t="str">
        <f aca="false">IF($E88="","",IF($M88,IF(AND($G88&gt;=BZ$5,$G88&lt;BZ$5+GanttPeriod),"◆",IF(AND($E88&gt;=BZ$5,$E88&lt;BZ$5+GanttPeriod),"◇","")),IF(AND(BZ$5&lt;=$F88,BZ$5+GanttPeriod-1&gt;=$E88),"━","")))</f>
        <v/>
      </c>
      <c r="CA88" s="69" t="str">
        <f aca="false">IF($E88="","",IF($M88,IF(AND($G88&gt;=CA$5,$G88&lt;CA$5+GanttPeriod),"◆",IF(AND($E88&gt;=CA$5,$E88&lt;CA$5+GanttPeriod),"◇","")),IF(AND(CA$5&lt;=$F88,CA$5+GanttPeriod-1&gt;=$E88),"━","")))</f>
        <v/>
      </c>
      <c r="CB88" s="69" t="str">
        <f aca="false">IF($E88="","",IF($M88,IF(AND($G88&gt;=CB$5,$G88&lt;CB$5+GanttPeriod),"◆",IF(AND($E88&gt;=CB$5,$E88&lt;CB$5+GanttPeriod),"◇","")),IF(AND(CB$5&lt;=$F88,CB$5+GanttPeriod-1&gt;=$E88),"━","")))</f>
        <v/>
      </c>
      <c r="CC88" s="69" t="str">
        <f aca="false">IF($E88="","",IF($M88,IF(AND($G88&gt;=CC$5,$G88&lt;CC$5+GanttPeriod),"◆",IF(AND($E88&gt;=CC$5,$E88&lt;CC$5+GanttPeriod),"◇","")),IF(AND(CC$5&lt;=$F88,CC$5+GanttPeriod-1&gt;=$E88),"━","")))</f>
        <v/>
      </c>
      <c r="CD88" s="69" t="str">
        <f aca="false">IF($E88="","",IF($M88,IF(AND($G88&gt;=CD$5,$G88&lt;CD$5+GanttPeriod),"◆",IF(AND($E88&gt;=CD$5,$E88&lt;CD$5+GanttPeriod),"◇","")),IF(AND(CD$5&lt;=$F88,CD$5+GanttPeriod-1&gt;=$E88),"━","")))</f>
        <v/>
      </c>
      <c r="CE88" s="69" t="str">
        <f aca="false">IF($E88="","",IF($M88,IF(AND($G88&gt;=CE$5,$G88&lt;CE$5+GanttPeriod),"◆",IF(AND($E88&gt;=CE$5,$E88&lt;CE$5+GanttPeriod),"◇","")),IF(AND(CE$5&lt;=$F88,CE$5+GanttPeriod-1&gt;=$E88),"━","")))</f>
        <v/>
      </c>
      <c r="CF88" s="69" t="str">
        <f aca="false">IF($E88="","",IF($M88,IF(AND($G88&gt;=CF$5,$G88&lt;CF$5+GanttPeriod),"◆",IF(AND($E88&gt;=CF$5,$E88&lt;CF$5+GanttPeriod),"◇","")),IF(AND(CF$5&lt;=$F88,CF$5+GanttPeriod-1&gt;=$E88),"━","")))</f>
        <v/>
      </c>
      <c r="CG88" s="69" t="str">
        <f aca="false">IF($E88="","",IF($M88,IF(AND($G88&gt;=CG$5,$G88&lt;CG$5+GanttPeriod),"◆",IF(AND($E88&gt;=CG$5,$E88&lt;CG$5+GanttPeriod),"◇","")),IF(AND(CG$5&lt;=$F88,CG$5+GanttPeriod-1&gt;=$E88),"━","")))</f>
        <v/>
      </c>
      <c r="CH88" s="69" t="str">
        <f aca="false">IF($E88="","",IF($M88,IF(AND($G88&gt;=CH$5,$G88&lt;CH$5+GanttPeriod),"◆",IF(AND($E88&gt;=CH$5,$E88&lt;CH$5+GanttPeriod),"◇","")),IF(AND(CH$5&lt;=$F88,CH$5+GanttPeriod-1&gt;=$E88),"━","")))</f>
        <v/>
      </c>
      <c r="CI88" s="69" t="str">
        <f aca="false">IF($E88="","",IF($M88,IF(AND($G88&gt;=CI$5,$G88&lt;CI$5+GanttPeriod),"◆",IF(AND($E88&gt;=CI$5,$E88&lt;CI$5+GanttPeriod),"◇","")),IF(AND(CI$5&lt;=$F88,CI$5+GanttPeriod-1&gt;=$E88),"━","")))</f>
        <v/>
      </c>
      <c r="CJ88" s="69" t="str">
        <f aca="false">IF($E88="","",IF($M88,IF(AND($G88&gt;=CJ$5,$G88&lt;CJ$5+GanttPeriod),"◆",IF(AND($E88&gt;=CJ$5,$E88&lt;CJ$5+GanttPeriod),"◇","")),IF(AND(CJ$5&lt;=$F88,CJ$5+GanttPeriod-1&gt;=$E88),"━","")))</f>
        <v/>
      </c>
      <c r="CK88" s="69" t="str">
        <f aca="false">IF($E88="","",IF($M88,IF(AND($G88&gt;=CK$5,$G88&lt;CK$5+GanttPeriod),"◆",IF(AND($E88&gt;=CK$5,$E88&lt;CK$5+GanttPeriod),"◇","")),IF(AND(CK$5&lt;=$F88,CK$5+GanttPeriod-1&gt;=$E88),"━","")))</f>
        <v/>
      </c>
      <c r="CL88" s="69" t="str">
        <f aca="false">IF($E88="","",IF($M88,IF(AND($G88&gt;=CL$5,$G88&lt;CL$5+GanttPeriod),"◆",IF(AND($E88&gt;=CL$5,$E88&lt;CL$5+GanttPeriod),"◇","")),IF(AND(CL$5&lt;=$F88,CL$5+GanttPeriod-1&gt;=$E88),"━","")))</f>
        <v/>
      </c>
      <c r="CM88" s="69" t="str">
        <f aca="false">IF($E88="","",IF($M88,IF(AND($G88&gt;=CM$5,$G88&lt;CM$5+GanttPeriod),"◆",IF(AND($E88&gt;=CM$5,$E88&lt;CM$5+GanttPeriod),"◇","")),IF(AND(CM$5&lt;=$F88,CM$5+GanttPeriod-1&gt;=$E88),"━","")))</f>
        <v/>
      </c>
      <c r="CN88" s="69" t="str">
        <f aca="false">IF($E88="","",IF($M88,IF(AND($G88&gt;=CN$5,$G88&lt;CN$5+GanttPeriod),"◆",IF(AND($E88&gt;=CN$5,$E88&lt;CN$5+GanttPeriod),"◇","")),IF(AND(CN$5&lt;=$F88,CN$5+GanttPeriod-1&gt;=$E88),"━","")))</f>
        <v/>
      </c>
      <c r="CO88" s="69" t="str">
        <f aca="false">IF($E88="","",IF($M88,IF(AND($G88&gt;=CO$5,$G88&lt;CO$5+GanttPeriod),"◆",IF(AND($E88&gt;=CO$5,$E88&lt;CO$5+GanttPeriod),"◇","")),IF(AND(CO$5&lt;=$F88,CO$5+GanttPeriod-1&gt;=$E88),"━","")))</f>
        <v/>
      </c>
      <c r="CP88" s="69" t="str">
        <f aca="false">IF($E88="","",IF($M88,IF(AND($G88&gt;=CP$5,$G88&lt;CP$5+GanttPeriod),"◆",IF(AND($E88&gt;=CP$5,$E88&lt;CP$5+GanttPeriod),"◇","")),IF(AND(CP$5&lt;=$F88,CP$5+GanttPeriod-1&gt;=$E88),"━","")))</f>
        <v/>
      </c>
      <c r="CQ88" s="69" t="str">
        <f aca="false">IF($E88="","",IF($M88,IF(AND($G88&gt;=CQ$5,$G88&lt;CQ$5+GanttPeriod),"◆",IF(AND($E88&gt;=CQ$5,$E88&lt;CQ$5+GanttPeriod),"◇","")),IF(AND(CQ$5&lt;=$F88,CQ$5+GanttPeriod-1&gt;=$E88),"━","")))</f>
        <v/>
      </c>
      <c r="CR88" s="69" t="str">
        <f aca="false">IF($E88="","",IF($M88,IF(AND($G88&gt;=CR$5,$G88&lt;CR$5+GanttPeriod),"◆",IF(AND($E88&gt;=CR$5,$E88&lt;CR$5+GanttPeriod),"◇","")),IF(AND(CR$5&lt;=$F88,CR$5+GanttPeriod-1&gt;=$E88),"━","")))</f>
        <v/>
      </c>
      <c r="CS88" s="69" t="str">
        <f aca="false">IF($E88="","",IF($M88,IF(AND($G88&gt;=CS$5,$G88&lt;CS$5+GanttPeriod),"◆",IF(AND($E88&gt;=CS$5,$E88&lt;CS$5+GanttPeriod),"◇","")),IF(AND(CS$5&lt;=$F88,CS$5+GanttPeriod-1&gt;=$E88),"━","")))</f>
        <v/>
      </c>
      <c r="CT88" s="69" t="str">
        <f aca="false">IF($E88="","",IF($M88,IF(AND($G88&gt;=CT$5,$G88&lt;CT$5+GanttPeriod),"◆",IF(AND($E88&gt;=CT$5,$E88&lt;CT$5+GanttPeriod),"◇","")),IF(AND(CT$5&lt;=$F88,CT$5+GanttPeriod-1&gt;=$E88),"━","")))</f>
        <v/>
      </c>
      <c r="CU88" s="69" t="str">
        <f aca="false">IF($E88="","",IF($M88,IF(AND($G88&gt;=CU$5,$G88&lt;CU$5+GanttPeriod),"◆",IF(AND($E88&gt;=CU$5,$E88&lt;CU$5+GanttPeriod),"◇","")),IF(AND(CU$5&lt;=$F88,CU$5+GanttPeriod-1&gt;=$E88),"━","")))</f>
        <v/>
      </c>
      <c r="CV88" s="69" t="str">
        <f aca="false">IF($E88="","",IF($M88,IF(AND($G88&gt;=CV$5,$G88&lt;CV$5+GanttPeriod),"◆",IF(AND($E88&gt;=CV$5,$E88&lt;CV$5+GanttPeriod),"◇","")),IF(AND(CV$5&lt;=$F88,CV$5+GanttPeriod-1&gt;=$E88),"━","")))</f>
        <v/>
      </c>
      <c r="CW88" s="69" t="str">
        <f aca="false">IF($E88="","",IF($M88,IF(AND($G88&gt;=CW$5,$G88&lt;CW$5+GanttPeriod),"◆",IF(AND($E88&gt;=CW$5,$E88&lt;CW$5+GanttPeriod),"◇","")),IF(AND(CW$5&lt;=$F88,CW$5+GanttPeriod-1&gt;=$E88),"━","")))</f>
        <v/>
      </c>
      <c r="CX88" s="69" t="str">
        <f aca="false">IF($E88="","",IF($M88,IF(AND($G88&gt;=CX$5,$G88&lt;CX$5+GanttPeriod),"◆",IF(AND($E88&gt;=CX$5,$E88&lt;CX$5+GanttPeriod),"◇","")),IF(AND(CX$5&lt;=$F88,CX$5+GanttPeriod-1&gt;=$E88),"━","")))</f>
        <v/>
      </c>
      <c r="CY88" s="69" t="str">
        <f aca="false">IF($E88="","",IF($M88,IF(AND($G88&gt;=CY$5,$G88&lt;CY$5+GanttPeriod),"◆",IF(AND($E88&gt;=CY$5,$E88&lt;CY$5+GanttPeriod),"◇","")),IF(AND(CY$5&lt;=$F88,CY$5+GanttPeriod-1&gt;=$E88),"━","")))</f>
        <v/>
      </c>
      <c r="CZ88" s="69" t="str">
        <f aca="false">IF($E88="","",IF($M88,IF(AND($G88&gt;=CZ$5,$G88&lt;CZ$5+GanttPeriod),"◆",IF(AND($E88&gt;=CZ$5,$E88&lt;CZ$5+GanttPeriod),"◇","")),IF(AND(CZ$5&lt;=$F88,CZ$5+GanttPeriod-1&gt;=$E88),"━","")))</f>
        <v/>
      </c>
      <c r="DA88" s="69" t="str">
        <f aca="false">IF($E88="","",IF($M88,IF(AND($G88&gt;=DA$5,$G88&lt;DA$5+GanttPeriod),"◆",IF(AND($E88&gt;=DA$5,$E88&lt;DA$5+GanttPeriod),"◇","")),IF(AND(DA$5&lt;=$F88,DA$5+GanttPeriod-1&gt;=$E88),"━","")))</f>
        <v/>
      </c>
      <c r="DB88" s="69" t="str">
        <f aca="false">IF($E88="","",IF($M88,IF(AND($G88&gt;=DB$5,$G88&lt;DB$5+GanttPeriod),"◆",IF(AND($E88&gt;=DB$5,$E88&lt;DB$5+GanttPeriod),"◇","")),IF(AND(DB$5&lt;=$F88,DB$5+GanttPeriod-1&gt;=$E88),"━","")))</f>
        <v/>
      </c>
      <c r="DC88" s="69" t="str">
        <f aca="false">IF($E88="","",IF($M88,IF(AND($G88&gt;=DC$5,$G88&lt;DC$5+GanttPeriod),"◆",IF(AND($E88&gt;=DC$5,$E88&lt;DC$5+GanttPeriod),"◇","")),IF(AND(DC$5&lt;=$F88,DC$5+GanttPeriod-1&gt;=$E88),"━","")))</f>
        <v/>
      </c>
      <c r="DD88" s="69" t="str">
        <f aca="false">IF($E88="","",IF($M88,IF(AND($G88&gt;=DD$5,$G88&lt;DD$5+GanttPeriod),"◆",IF(AND($E88&gt;=DD$5,$E88&lt;DD$5+GanttPeriod),"◇","")),IF(AND(DD$5&lt;=$F88,DD$5+GanttPeriod-1&gt;=$E88),"━","")))</f>
        <v/>
      </c>
      <c r="DE88" s="69" t="str">
        <f aca="false">IF($E88="","",IF($M88,IF(AND($G88&gt;=DE$5,$G88&lt;DE$5+GanttPeriod),"◆",IF(AND($E88&gt;=DE$5,$E88&lt;DE$5+GanttPeriod),"◇","")),IF(AND(DE$5&lt;=$F88,DE$5+GanttPeriod-1&gt;=$E88),"━","")))</f>
        <v/>
      </c>
      <c r="DF88" s="69" t="str">
        <f aca="false">IF($E88="","",IF($M88,IF(AND($G88&gt;=DF$5,$G88&lt;DF$5+GanttPeriod),"◆",IF(AND($E88&gt;=DF$5,$E88&lt;DF$5+GanttPeriod),"◇","")),IF(AND(DF$5&lt;=$F88,DF$5+GanttPeriod-1&gt;=$E88),"━","")))</f>
        <v/>
      </c>
      <c r="DG88" s="69" t="str">
        <f aca="false">IF($E88="","",IF($M88,IF(AND($G88&gt;=DG$5,$G88&lt;DG$5+GanttPeriod),"◆",IF(AND($E88&gt;=DG$5,$E88&lt;DG$5+GanttPeriod),"◇","")),IF(AND(DG$5&lt;=$F88,DG$5+GanttPeriod-1&gt;=$E88),"━","")))</f>
        <v/>
      </c>
      <c r="DH88" s="69" t="str">
        <f aca="false">IF($E88="","",IF($M88,IF(AND($G88&gt;=DH$5,$G88&lt;DH$5+GanttPeriod),"◆",IF(AND($E88&gt;=DH$5,$E88&lt;DH$5+GanttPeriod),"◇","")),IF(AND(DH$5&lt;=$F88,DH$5+GanttPeriod-1&gt;=$E88),"━","")))</f>
        <v/>
      </c>
      <c r="DI88" s="69" t="str">
        <f aca="false">IF($E88="","",IF($M88,IF(AND($G88&gt;=DI$5,$G88&lt;DI$5+GanttPeriod),"◆",IF(AND($E88&gt;=DI$5,$E88&lt;DI$5+GanttPeriod),"◇","")),IF(AND(DI$5&lt;=$F88,DI$5+GanttPeriod-1&gt;=$E88),"━","")))</f>
        <v/>
      </c>
      <c r="DJ88" s="69" t="str">
        <f aca="false">IF($E88="","",IF($M88,IF(AND($G88&gt;=DJ$5,$G88&lt;DJ$5+GanttPeriod),"◆",IF(AND($E88&gt;=DJ$5,$E88&lt;DJ$5+GanttPeriod),"◇","")),IF(AND(DJ$5&lt;=$F88,DJ$5+GanttPeriod-1&gt;=$E88),"━","")))</f>
        <v/>
      </c>
      <c r="DK88" s="69" t="str">
        <f aca="false">IF($E88="","",IF($M88,IF(AND($G88&gt;=DK$5,$G88&lt;DK$5+GanttPeriod),"◆",IF(AND($E88&gt;=DK$5,$E88&lt;DK$5+GanttPeriod),"◇","")),IF(AND(DK$5&lt;=$F88,DK$5+GanttPeriod-1&gt;=$E88),"━","")))</f>
        <v/>
      </c>
      <c r="DL88" s="69" t="str">
        <f aca="false">IF($E88="","",IF($M88,IF(AND($G88&gt;=DL$5,$G88&lt;DL$5+GanttPeriod),"◆",IF(AND($E88&gt;=DL$5,$E88&lt;DL$5+GanttPeriod),"◇","")),IF(AND(DL$5&lt;=$F88,DL$5+GanttPeriod-1&gt;=$E88),"━","")))</f>
        <v/>
      </c>
      <c r="DM88" s="69" t="str">
        <f aca="false">IF($E88="","",IF($M88,IF(AND($G88&gt;=DM$5,$G88&lt;DM$5+GanttPeriod),"◆",IF(AND($E88&gt;=DM$5,$E88&lt;DM$5+GanttPeriod),"◇","")),IF(AND(DM$5&lt;=$F88,DM$5+GanttPeriod-1&gt;=$E88),"━","")))</f>
        <v/>
      </c>
      <c r="DN88" s="69" t="str">
        <f aca="false">IF($E88="","",IF($M88,IF(AND($G88&gt;=DN$5,$G88&lt;DN$5+GanttPeriod),"◆",IF(AND($E88&gt;=DN$5,$E88&lt;DN$5+GanttPeriod),"◇","")),IF(AND(DN$5&lt;=$F88,DN$5+GanttPeriod-1&gt;=$E88),"━","")))</f>
        <v/>
      </c>
      <c r="DO88" s="69" t="str">
        <f aca="false">IF($E88="","",IF($M88,IF(AND($G88&gt;=DO$5,$G88&lt;DO$5+GanttPeriod),"◆",IF(AND($E88&gt;=DO$5,$E88&lt;DO$5+GanttPeriod),"◇","")),IF(AND(DO$5&lt;=$F88,DO$5+GanttPeriod-1&gt;=$E88),"━","")))</f>
        <v/>
      </c>
      <c r="DP88" s="69" t="str">
        <f aca="false">IF($E88="","",IF($M88,IF(AND($G88&gt;=DP$5,$G88&lt;DP$5+GanttPeriod),"◆",IF(AND($E88&gt;=DP$5,$E88&lt;DP$5+GanttPeriod),"◇","")),IF(AND(DP$5&lt;=$F88,DP$5+GanttPeriod-1&gt;=$E88),"━","")))</f>
        <v/>
      </c>
      <c r="DQ88" s="69" t="str">
        <f aca="false">IF($E88="","",IF($M88,IF(AND($G88&gt;=DQ$5,$G88&lt;DQ$5+GanttPeriod),"◆",IF(AND($E88&gt;=DQ$5,$E88&lt;DQ$5+GanttPeriod),"◇","")),IF(AND(DQ$5&lt;=$F88,DQ$5+GanttPeriod-1&gt;=$E88),"━","")))</f>
        <v/>
      </c>
      <c r="DR88" s="69" t="str">
        <f aca="false">IF($E88="","",IF($M88,IF(AND($G88&gt;=DR$5,$G88&lt;DR$5+GanttPeriod),"◆",IF(AND($E88&gt;=DR$5,$E88&lt;DR$5+GanttPeriod),"◇","")),IF(AND(DR$5&lt;=$F88,DR$5+GanttPeriod-1&gt;=$E88),"━","")))</f>
        <v/>
      </c>
      <c r="DS88" s="69" t="str">
        <f aca="false">IF($E88="","",IF($M88,IF(AND($G88&gt;=DS$5,$G88&lt;DS$5+GanttPeriod),"◆",IF(AND($E88&gt;=DS$5,$E88&lt;DS$5+GanttPeriod),"◇","")),IF(AND(DS$5&lt;=$F88,DS$5+GanttPeriod-1&gt;=$E88),"━","")))</f>
        <v/>
      </c>
      <c r="DT88" s="69" t="str">
        <f aca="false">IF($E88="","",IF($M88,IF(AND($G88&gt;=DT$5,$G88&lt;DT$5+GanttPeriod),"◆",IF(AND($E88&gt;=DT$5,$E88&lt;DT$5+GanttPeriod),"◇","")),IF(AND(DT$5&lt;=$F88,DT$5+GanttPeriod-1&gt;=$E88),"━","")))</f>
        <v/>
      </c>
      <c r="DU88" s="69" t="str">
        <f aca="false">IF($E88="","",IF($M88,IF(AND($G88&gt;=DU$5,$G88&lt;DU$5+GanttPeriod),"◆",IF(AND($E88&gt;=DU$5,$E88&lt;DU$5+GanttPeriod),"◇","")),IF(AND(DU$5&lt;=$F88,DU$5+GanttPeriod-1&gt;=$E88),"━","")))</f>
        <v/>
      </c>
      <c r="DV88" s="69" t="str">
        <f aca="false">IF($E88="","",IF($M88,IF(AND($G88&gt;=DV$5,$G88&lt;DV$5+GanttPeriod),"◆",IF(AND($E88&gt;=DV$5,$E88&lt;DV$5+GanttPeriod),"◇","")),IF(AND(DV$5&lt;=$F88,DV$5+GanttPeriod-1&gt;=$E88),"━","")))</f>
        <v/>
      </c>
      <c r="DW88" s="69" t="str">
        <f aca="false">IF($E88="","",IF($M88,IF(AND($G88&gt;=DW$5,$G88&lt;DW$5+GanttPeriod),"◆",IF(AND($E88&gt;=DW$5,$E88&lt;DW$5+GanttPeriod),"◇","")),IF(AND(DW$5&lt;=$F88,DW$5+GanttPeriod-1&gt;=$E88),"━","")))</f>
        <v/>
      </c>
      <c r="DX88" s="69" t="str">
        <f aca="false">IF($E88="","",IF($M88,IF(AND($G88&gt;=DX$5,$G88&lt;DX$5+GanttPeriod),"◆",IF(AND($E88&gt;=DX$5,$E88&lt;DX$5+GanttPeriod),"◇","")),IF(AND(DX$5&lt;=$F88,DX$5+GanttPeriod-1&gt;=$E88),"━","")))</f>
        <v/>
      </c>
      <c r="DY88" s="69" t="str">
        <f aca="false">IF($E88="","",IF($M88,IF(AND($G88&gt;=DY$5,$G88&lt;DY$5+GanttPeriod),"◆",IF(AND($E88&gt;=DY$5,$E88&lt;DY$5+GanttPeriod),"◇","")),IF(AND(DY$5&lt;=$F88,DY$5+GanttPeriod-1&gt;=$E88),"━","")))</f>
        <v/>
      </c>
      <c r="DZ88" s="69" t="str">
        <f aca="false">IF($E88="","",IF($M88,IF(AND($G88&gt;=DZ$5,$G88&lt;DZ$5+GanttPeriod),"◆",IF(AND($E88&gt;=DZ$5,$E88&lt;DZ$5+GanttPeriod),"◇","")),IF(AND(DZ$5&lt;=$F88,DZ$5+GanttPeriod-1&gt;=$E88),"━","")))</f>
        <v/>
      </c>
      <c r="EA88" s="69" t="str">
        <f aca="false">IF($E88="","",IF($M88,IF(AND($G88&gt;=EA$5,$G88&lt;EA$5+GanttPeriod),"◆",IF(AND($E88&gt;=EA$5,$E88&lt;EA$5+GanttPeriod),"◇","")),IF(AND(EA$5&lt;=$F88,EA$5+GanttPeriod-1&gt;=$E88),"━","")))</f>
        <v/>
      </c>
      <c r="EB88" s="69" t="str">
        <f aca="false">IF($E88="","",IF($M88,IF(AND($G88&gt;=EB$5,$G88&lt;EB$5+GanttPeriod),"◆",IF(AND($E88&gt;=EB$5,$E88&lt;EB$5+GanttPeriod),"◇","")),IF(AND(EB$5&lt;=$F88,EB$5+GanttPeriod-1&gt;=$E88),"━","")))</f>
        <v/>
      </c>
      <c r="EC88" s="69" t="str">
        <f aca="false">IF($E88="","",IF($M88,IF(AND($G88&gt;=EC$5,$G88&lt;EC$5+GanttPeriod),"◆",IF(AND($E88&gt;=EC$5,$E88&lt;EC$5+GanttPeriod),"◇","")),IF(AND(EC$5&lt;=$F88,EC$5+GanttPeriod-1&gt;=$E88),"━","")))</f>
        <v/>
      </c>
      <c r="ED88" s="69" t="str">
        <f aca="false">IF($E88="","",IF($M88,IF(AND($G88&gt;=ED$5,$G88&lt;ED$5+GanttPeriod),"◆",IF(AND($E88&gt;=ED$5,$E88&lt;ED$5+GanttPeriod),"◇","")),IF(AND(ED$5&lt;=$F88,ED$5+GanttPeriod-1&gt;=$E88),"━","")))</f>
        <v/>
      </c>
      <c r="EE88" s="69" t="str">
        <f aca="false">IF($E88="","",IF($M88,IF(AND($G88&gt;=EE$5,$G88&lt;EE$5+GanttPeriod),"◆",IF(AND($E88&gt;=EE$5,$E88&lt;EE$5+GanttPeriod),"◇","")),IF(AND(EE$5&lt;=$F88,EE$5+GanttPeriod-1&gt;=$E88),"━","")))</f>
        <v/>
      </c>
      <c r="EF88" s="69" t="str">
        <f aca="false">IF($E88="","",IF($M88,IF(AND($G88&gt;=EF$5,$G88&lt;EF$5+GanttPeriod),"◆",IF(AND($E88&gt;=EF$5,$E88&lt;EF$5+GanttPeriod),"◇","")),IF(AND(EF$5&lt;=$F88,EF$5+GanttPeriod-1&gt;=$E88),"━","")))</f>
        <v/>
      </c>
      <c r="EG88" s="69" t="str">
        <f aca="false">IF($E88="","",IF($M88,IF(AND($G88&gt;=EG$5,$G88&lt;EG$5+GanttPeriod),"◆",IF(AND($E88&gt;=EG$5,$E88&lt;EG$5+GanttPeriod),"◇","")),IF(AND(EG$5&lt;=$F88,EG$5+GanttPeriod-1&gt;=$E88),"━","")))</f>
        <v/>
      </c>
      <c r="EH88" s="69" t="str">
        <f aca="false">IF($E88="","",IF($M88,IF(AND($G88&gt;=EH$5,$G88&lt;EH$5+GanttPeriod),"◆",IF(AND($E88&gt;=EH$5,$E88&lt;EH$5+GanttPeriod),"◇","")),IF(AND(EH$5&lt;=$F88,EH$5+GanttPeriod-1&gt;=$E88),"━","")))</f>
        <v/>
      </c>
      <c r="EI88" s="69" t="str">
        <f aca="false">IF($E88="","",IF($M88,IF(AND($G88&gt;=EI$5,$G88&lt;EI$5+GanttPeriod),"◆",IF(AND($E88&gt;=EI$5,$E88&lt;EI$5+GanttPeriod),"◇","")),IF(AND(EI$5&lt;=$F88,EI$5+GanttPeriod-1&gt;=$E88),"━","")))</f>
        <v/>
      </c>
      <c r="EJ88" s="69" t="str">
        <f aca="false">IF($E88="","",IF($M88,IF(AND($G88&gt;=EJ$5,$G88&lt;EJ$5+GanttPeriod),"◆",IF(AND($E88&gt;=EJ$5,$E88&lt;EJ$5+GanttPeriod),"◇","")),IF(AND(EJ$5&lt;=$F88,EJ$5+GanttPeriod-1&gt;=$E88),"━","")))</f>
        <v/>
      </c>
      <c r="EK88" s="69" t="str">
        <f aca="false">IF($E88="","",IF($M88,IF(AND($G88&gt;=EK$5,$G88&lt;EK$5+GanttPeriod),"◆",IF(AND($E88&gt;=EK$5,$E88&lt;EK$5+GanttPeriod),"◇","")),IF(AND(EK$5&lt;=$F88,EK$5+GanttPeriod-1&gt;=$E88),"━","")))</f>
        <v/>
      </c>
      <c r="EL88" s="69" t="str">
        <f aca="false">IF($E88="","",IF($M88,IF(AND($G88&gt;=EL$5,$G88&lt;EL$5+GanttPeriod),"◆",IF(AND($E88&gt;=EL$5,$E88&lt;EL$5+GanttPeriod),"◇","")),IF(AND(EL$5&lt;=$F88,EL$5+GanttPeriod-1&gt;=$E88),"━","")))</f>
        <v/>
      </c>
      <c r="EM88" s="69" t="str">
        <f aca="false">IF($E88="","",IF($M88,IF(AND($G88&gt;=EM$5,$G88&lt;EM$5+GanttPeriod),"◆",IF(AND($E88&gt;=EM$5,$E88&lt;EM$5+GanttPeriod),"◇","")),IF(AND(EM$5&lt;=$F88,EM$5+GanttPeriod-1&gt;=$E88),"━","")))</f>
        <v/>
      </c>
      <c r="EN88" s="69" t="str">
        <f aca="false">IF($E88="","",IF($M88,IF(AND($G88&gt;=EN$5,$G88&lt;EN$5+GanttPeriod),"◆",IF(AND($E88&gt;=EN$5,$E88&lt;EN$5+GanttPeriod),"◇","")),IF(AND(EN$5&lt;=$F88,EN$5+GanttPeriod-1&gt;=$E88),"━","")))</f>
        <v/>
      </c>
      <c r="EO88" s="69" t="str">
        <f aca="false">IF($E88="","",IF($M88,IF(AND($G88&gt;=EO$5,$G88&lt;EO$5+GanttPeriod),"◆",IF(AND($E88&gt;=EO$5,$E88&lt;EO$5+GanttPeriod),"◇","")),IF(AND(EO$5&lt;=$F88,EO$5+GanttPeriod-1&gt;=$E88),"━","")))</f>
        <v/>
      </c>
      <c r="EP88" s="69" t="str">
        <f aca="false">IF($E88="","",IF($M88,IF(AND($G88&gt;=EP$5,$G88&lt;EP$5+GanttPeriod),"◆",IF(AND($E88&gt;=EP$5,$E88&lt;EP$5+GanttPeriod),"◇","")),IF(AND(EP$5&lt;=$F88,EP$5+GanttPeriod-1&gt;=$E88),"━","")))</f>
        <v/>
      </c>
      <c r="EQ88" s="69" t="str">
        <f aca="false">IF($E88="","",IF($M88,IF(AND($G88&gt;=EQ$5,$G88&lt;EQ$5+GanttPeriod),"◆",IF(AND($E88&gt;=EQ$5,$E88&lt;EQ$5+GanttPeriod),"◇","")),IF(AND(EQ$5&lt;=$F88,EQ$5+GanttPeriod-1&gt;=$E88),"━","")))</f>
        <v/>
      </c>
      <c r="ER88" s="69" t="str">
        <f aca="false">IF($E88="","",IF($M88,IF(AND($G88&gt;=ER$5,$G88&lt;ER$5+GanttPeriod),"◆",IF(AND($E88&gt;=ER$5,$E88&lt;ER$5+GanttPeriod),"◇","")),IF(AND(ER$5&lt;=$F88,ER$5+GanttPeriod-1&gt;=$E88),"━","")))</f>
        <v/>
      </c>
      <c r="ES88" s="69" t="str">
        <f aca="false">IF($E88="","",IF($M88,IF(AND($G88&gt;=ES$5,$G88&lt;ES$5+GanttPeriod),"◆",IF(AND($E88&gt;=ES$5,$E88&lt;ES$5+GanttPeriod),"◇","")),IF(AND(ES$5&lt;=$F88,ES$5+GanttPeriod-1&gt;=$E88),"━","")))</f>
        <v/>
      </c>
      <c r="ET88" s="69" t="str">
        <f aca="false">IF($E88="","",IF($M88,IF(AND($G88&gt;=ET$5,$G88&lt;ET$5+GanttPeriod),"◆",IF(AND($E88&gt;=ET$5,$E88&lt;ET$5+GanttPeriod),"◇","")),IF(AND(ET$5&lt;=$F88,ET$5+GanttPeriod-1&gt;=$E88),"━","")))</f>
        <v/>
      </c>
      <c r="EU88" s="69" t="str">
        <f aca="false">IF($E88="","",IF($M88,IF(AND($G88&gt;=EU$5,$G88&lt;EU$5+GanttPeriod),"◆",IF(AND($E88&gt;=EU$5,$E88&lt;EU$5+GanttPeriod),"◇","")),IF(AND(EU$5&lt;=$F88,EU$5+GanttPeriod-1&gt;=$E88),"━","")))</f>
        <v/>
      </c>
      <c r="EV88" s="69" t="str">
        <f aca="false">IF($E88="","",IF($M88,IF(AND($G88&gt;=EV$5,$G88&lt;EV$5+GanttPeriod),"◆",IF(AND($E88&gt;=EV$5,$E88&lt;EV$5+GanttPeriod),"◇","")),IF(AND(EV$5&lt;=$F88,EV$5+GanttPeriod-1&gt;=$E88),"━","")))</f>
        <v/>
      </c>
      <c r="EW88" s="69" t="str">
        <f aca="false">IF($E88="","",IF($M88,IF(AND($G88&gt;=EW$5,$G88&lt;EW$5+GanttPeriod),"◆",IF(AND($E88&gt;=EW$5,$E88&lt;EW$5+GanttPeriod),"◇","")),IF(AND(EW$5&lt;=$F88,EW$5+GanttPeriod-1&gt;=$E88),"━","")))</f>
        <v/>
      </c>
      <c r="EX88" s="69" t="str">
        <f aca="false">IF($E88="","",IF($M88,IF(AND($G88&gt;=EX$5,$G88&lt;EX$5+GanttPeriod),"◆",IF(AND($E88&gt;=EX$5,$E88&lt;EX$5+GanttPeriod),"◇","")),IF(AND(EX$5&lt;=$F88,EX$5+GanttPeriod-1&gt;=$E88),"━","")))</f>
        <v/>
      </c>
      <c r="EY88" s="69" t="str">
        <f aca="false">IF($E88="","",IF($M88,IF(AND($G88&gt;=EY$5,$G88&lt;EY$5+GanttPeriod),"◆",IF(AND($E88&gt;=EY$5,$E88&lt;EY$5+GanttPeriod),"◇","")),IF(AND(EY$5&lt;=$F88,EY$5+GanttPeriod-1&gt;=$E88),"━","")))</f>
        <v/>
      </c>
      <c r="EZ88" s="69" t="str">
        <f aca="false">IF($E88="","",IF($M88,IF(AND($G88&gt;=EZ$5,$G88&lt;EZ$5+GanttPeriod),"◆",IF(AND($E88&gt;=EZ$5,$E88&lt;EZ$5+GanttPeriod),"◇","")),IF(AND(EZ$5&lt;=$F88,EZ$5+GanttPeriod-1&gt;=$E88),"━","")))</f>
        <v/>
      </c>
      <c r="FA88" s="69" t="str">
        <f aca="false">IF($E88="","",IF($M88,IF(AND($G88&gt;=FA$5,$G88&lt;FA$5+GanttPeriod),"◆",IF(AND($E88&gt;=FA$5,$E88&lt;FA$5+GanttPeriod),"◇","")),IF(AND(FA$5&lt;=$F88,FA$5+GanttPeriod-1&gt;=$E88),"━","")))</f>
        <v/>
      </c>
      <c r="FB88" s="69" t="str">
        <f aca="false">IF($E88="","",IF($M88,IF(AND($G88&gt;=FB$5,$G88&lt;FB$5+GanttPeriod),"◆",IF(AND($E88&gt;=FB$5,$E88&lt;FB$5+GanttPeriod),"◇","")),IF(AND(FB$5&lt;=$F88,FB$5+GanttPeriod-1&gt;=$E88),"━","")))</f>
        <v/>
      </c>
      <c r="FC88" s="69" t="str">
        <f aca="false">IF($E88="","",IF($M88,IF(AND($G88&gt;=FC$5,$G88&lt;FC$5+GanttPeriod),"◆",IF(AND($E88&gt;=FC$5,$E88&lt;FC$5+GanttPeriod),"◇","")),IF(AND(FC$5&lt;=$F88,FC$5+GanttPeriod-1&gt;=$E88),"━","")))</f>
        <v/>
      </c>
      <c r="FD88" s="69" t="str">
        <f aca="false">IF($E88="","",IF($M88,IF(AND($G88&gt;=FD$5,$G88&lt;FD$5+GanttPeriod),"◆",IF(AND($E88&gt;=FD$5,$E88&lt;FD$5+GanttPeriod),"◇","")),IF(AND(FD$5&lt;=$F88,FD$5+GanttPeriod-1&gt;=$E88),"━","")))</f>
        <v/>
      </c>
      <c r="FE88" s="69" t="str">
        <f aca="false">IF($E88="","",IF($M88,IF(AND($G88&gt;=FE$5,$G88&lt;FE$5+GanttPeriod),"◆",IF(AND($E88&gt;=FE$5,$E88&lt;FE$5+GanttPeriod),"◇","")),IF(AND(FE$5&lt;=$F88,FE$5+GanttPeriod-1&gt;=$E88),"━","")))</f>
        <v/>
      </c>
      <c r="FF88" s="69" t="str">
        <f aca="false">IF($E88="","",IF($M88,IF(AND($G88&gt;=FF$5,$G88&lt;FF$5+GanttPeriod),"◆",IF(AND($E88&gt;=FF$5,$E88&lt;FF$5+GanttPeriod),"◇","")),IF(AND(FF$5&lt;=$F88,FF$5+GanttPeriod-1&gt;=$E88),"━","")))</f>
        <v/>
      </c>
      <c r="FG88" s="69" t="str">
        <f aca="false">IF($E88="","",IF($M88,IF(AND($G88&gt;=FG$5,$G88&lt;FG$5+GanttPeriod),"◆",IF(AND($E88&gt;=FG$5,$E88&lt;FG$5+GanttPeriod),"◇","")),IF(AND(FG$5&lt;=$F88,FG$5+GanttPeriod-1&gt;=$E88),"━","")))</f>
        <v/>
      </c>
      <c r="FH88" s="69" t="str">
        <f aca="false">IF($E88="","",IF($M88,IF(AND($G88&gt;=FH$5,$G88&lt;FH$5+GanttPeriod),"◆",IF(AND($E88&gt;=FH$5,$E88&lt;FH$5+GanttPeriod),"◇","")),IF(AND(FH$5&lt;=$F88,FH$5+GanttPeriod-1&gt;=$E88),"━","")))</f>
        <v/>
      </c>
      <c r="FI88" s="69" t="str">
        <f aca="false">IF($E88="","",IF($M88,IF(AND($G88&gt;=FI$5,$G88&lt;FI$5+GanttPeriod),"◆",IF(AND($E88&gt;=FI$5,$E88&lt;FI$5+GanttPeriod),"◇","")),IF(AND(FI$5&lt;=$F88,FI$5+GanttPeriod-1&gt;=$E88),"━","")))</f>
        <v/>
      </c>
      <c r="FJ88" s="69" t="str">
        <f aca="false">IF($E88="","",IF($M88,IF(AND($G88&gt;=FJ$5,$G88&lt;FJ$5+GanttPeriod),"◆",IF(AND($E88&gt;=FJ$5,$E88&lt;FJ$5+GanttPeriod),"◇","")),IF(AND(FJ$5&lt;=$F88,FJ$5+GanttPeriod-1&gt;=$E88),"━","")))</f>
        <v/>
      </c>
      <c r="FK88" s="69" t="str">
        <f aca="false">IF($E88="","",IF($M88,IF(AND($G88&gt;=FK$5,$G88&lt;FK$5+GanttPeriod),"◆",IF(AND($E88&gt;=FK$5,$E88&lt;FK$5+GanttPeriod),"◇","")),IF(AND(FK$5&lt;=$F88,FK$5+GanttPeriod-1&gt;=$E88),"━","")))</f>
        <v/>
      </c>
      <c r="FL88" s="69" t="str">
        <f aca="false">IF($E88="","",IF($M88,IF(AND($G88&gt;=FL$5,$G88&lt;FL$5+GanttPeriod),"◆",IF(AND($E88&gt;=FL$5,$E88&lt;FL$5+GanttPeriod),"◇","")),IF(AND(FL$5&lt;=$F88,FL$5+GanttPeriod-1&gt;=$E88),"━","")))</f>
        <v/>
      </c>
      <c r="FM88" s="69" t="str">
        <f aca="false">IF($E88="","",IF($M88,IF(AND($G88&gt;=FM$5,$G88&lt;FM$5+GanttPeriod),"◆",IF(AND($E88&gt;=FM$5,$E88&lt;FM$5+GanttPeriod),"◇","")),IF(AND(FM$5&lt;=$F88,FM$5+GanttPeriod-1&gt;=$E88),"━","")))</f>
        <v/>
      </c>
    </row>
    <row r="89" customFormat="false" ht="15" hidden="false" customHeight="false" outlineLevel="0" collapsed="false">
      <c r="A89" s="62" t="str">
        <f aca="false">IF(Tasks!$D89="","",Tasks!$A89)</f>
        <v/>
      </c>
      <c r="B89" s="62" t="str">
        <f aca="false">IF(Tasks!$D89="","",Tasks!$B89)</f>
        <v/>
      </c>
      <c r="C89" s="63" t="str">
        <f aca="false">IF(Tasks!$D89="","",REPT("    ",Tasks!$AE89-1)&amp;Tasks!$D89)</f>
        <v/>
      </c>
      <c r="D89" s="62" t="str">
        <f aca="false">IF(Tasks!$D89="","",IF(Tasks!$AI89,NETWORKDAYS.INTL(Tasks!$R89,Tasks!$S89,WorkWeek,Holidays),N(Tasks!$F89)))</f>
        <v/>
      </c>
      <c r="E89" s="64" t="str">
        <f aca="false">IF(Tasks!$D89="","",Tasks!$N89)</f>
        <v/>
      </c>
      <c r="F89" s="64" t="str">
        <f aca="false">IF(Tasks!$D89="","",Tasks!$O89)</f>
        <v/>
      </c>
      <c r="G89" s="64" t="str">
        <f aca="false">IF(Tasks!$D89="","",Tasks!$R89)</f>
        <v/>
      </c>
      <c r="H89" s="64" t="str">
        <f aca="false">IF(Tasks!$D89="","",Tasks!$S89)</f>
        <v/>
      </c>
      <c r="I89" s="65" t="str">
        <f aca="false">IF(Tasks!$D89="","",Tasks!$V89)</f>
        <v/>
      </c>
      <c r="J89" s="63" t="str">
        <f aca="false">IF(Tasks!$D89="","",Tasks!$X89&amp;"")</f>
        <v/>
      </c>
      <c r="K89" s="66" t="str">
        <f aca="false">IF(Tasks!$D89="","",Tasks!$W89)</f>
        <v/>
      </c>
      <c r="L89" s="67" t="b">
        <f aca="false">IF(Tasks!$D89="",FALSE(),Tasks!$AI89)</f>
        <v>0</v>
      </c>
      <c r="M89" s="67" t="b">
        <f aca="false">AND(Tasks!$AJ89=1,N(Tasks!$F89)=0)</f>
        <v>0</v>
      </c>
      <c r="N89" s="68" t="n">
        <f aca="false">IF(AND(Tasks!$AJ89=1,NOT($M89),N($I89)&gt;0),$G89,0)</f>
        <v>0</v>
      </c>
      <c r="O89" s="68" t="n">
        <f aca="false">IF($N89=0,0,IF($I89&gt;=1,$H89,MAX($N89,$G89+ROUND(($H89-$G89+1)*$I89,0)-1)))</f>
        <v>0</v>
      </c>
      <c r="P89" s="68" t="n">
        <f aca="false">IF(OR(Tasks!$AJ89&lt;&gt;1,$M89,N($I89)&gt;=1),0,IF($O89&gt;0,$O89+1,$G89))</f>
        <v>0</v>
      </c>
      <c r="Q89" s="68" t="n">
        <f aca="false">IF($P89=0,0,$H89)</f>
        <v>0</v>
      </c>
      <c r="R89" s="67" t="b">
        <f aca="false">AND(Tasks!$D89&lt;&gt;"",N(Tasks!$T89)&gt;0)</f>
        <v>0</v>
      </c>
      <c r="T89" s="69" t="str">
        <f aca="false">IF($E89="","",IF($M89,IF(AND($G89&gt;=T$5,$G89&lt;T$5+GanttPeriod),"◆",IF(AND($E89&gt;=T$5,$E89&lt;T$5+GanttPeriod),"◇","")),IF(AND(T$5&lt;=$F89,T$5+GanttPeriod-1&gt;=$E89),"━","")))</f>
        <v/>
      </c>
      <c r="U89" s="69" t="str">
        <f aca="false">IF($E89="","",IF($M89,IF(AND($G89&gt;=U$5,$G89&lt;U$5+GanttPeriod),"◆",IF(AND($E89&gt;=U$5,$E89&lt;U$5+GanttPeriod),"◇","")),IF(AND(U$5&lt;=$F89,U$5+GanttPeriod-1&gt;=$E89),"━","")))</f>
        <v/>
      </c>
      <c r="V89" s="69" t="str">
        <f aca="false">IF($E89="","",IF($M89,IF(AND($G89&gt;=V$5,$G89&lt;V$5+GanttPeriod),"◆",IF(AND($E89&gt;=V$5,$E89&lt;V$5+GanttPeriod),"◇","")),IF(AND(V$5&lt;=$F89,V$5+GanttPeriod-1&gt;=$E89),"━","")))</f>
        <v/>
      </c>
      <c r="W89" s="69" t="str">
        <f aca="false">IF($E89="","",IF($M89,IF(AND($G89&gt;=W$5,$G89&lt;W$5+GanttPeriod),"◆",IF(AND($E89&gt;=W$5,$E89&lt;W$5+GanttPeriod),"◇","")),IF(AND(W$5&lt;=$F89,W$5+GanttPeriod-1&gt;=$E89),"━","")))</f>
        <v/>
      </c>
      <c r="X89" s="69" t="str">
        <f aca="false">IF($E89="","",IF($M89,IF(AND($G89&gt;=X$5,$G89&lt;X$5+GanttPeriod),"◆",IF(AND($E89&gt;=X$5,$E89&lt;X$5+GanttPeriod),"◇","")),IF(AND(X$5&lt;=$F89,X$5+GanttPeriod-1&gt;=$E89),"━","")))</f>
        <v/>
      </c>
      <c r="Y89" s="69" t="str">
        <f aca="false">IF($E89="","",IF($M89,IF(AND($G89&gt;=Y$5,$G89&lt;Y$5+GanttPeriod),"◆",IF(AND($E89&gt;=Y$5,$E89&lt;Y$5+GanttPeriod),"◇","")),IF(AND(Y$5&lt;=$F89,Y$5+GanttPeriod-1&gt;=$E89),"━","")))</f>
        <v/>
      </c>
      <c r="Z89" s="69" t="str">
        <f aca="false">IF($E89="","",IF($M89,IF(AND($G89&gt;=Z$5,$G89&lt;Z$5+GanttPeriod),"◆",IF(AND($E89&gt;=Z$5,$E89&lt;Z$5+GanttPeriod),"◇","")),IF(AND(Z$5&lt;=$F89,Z$5+GanttPeriod-1&gt;=$E89),"━","")))</f>
        <v/>
      </c>
      <c r="AA89" s="69" t="str">
        <f aca="false">IF($E89="","",IF($M89,IF(AND($G89&gt;=AA$5,$G89&lt;AA$5+GanttPeriod),"◆",IF(AND($E89&gt;=AA$5,$E89&lt;AA$5+GanttPeriod),"◇","")),IF(AND(AA$5&lt;=$F89,AA$5+GanttPeriod-1&gt;=$E89),"━","")))</f>
        <v/>
      </c>
      <c r="AB89" s="69" t="str">
        <f aca="false">IF($E89="","",IF($M89,IF(AND($G89&gt;=AB$5,$G89&lt;AB$5+GanttPeriod),"◆",IF(AND($E89&gt;=AB$5,$E89&lt;AB$5+GanttPeriod),"◇","")),IF(AND(AB$5&lt;=$F89,AB$5+GanttPeriod-1&gt;=$E89),"━","")))</f>
        <v/>
      </c>
      <c r="AC89" s="69" t="str">
        <f aca="false">IF($E89="","",IF($M89,IF(AND($G89&gt;=AC$5,$G89&lt;AC$5+GanttPeriod),"◆",IF(AND($E89&gt;=AC$5,$E89&lt;AC$5+GanttPeriod),"◇","")),IF(AND(AC$5&lt;=$F89,AC$5+GanttPeriod-1&gt;=$E89),"━","")))</f>
        <v/>
      </c>
      <c r="AD89" s="69" t="str">
        <f aca="false">IF($E89="","",IF($M89,IF(AND($G89&gt;=AD$5,$G89&lt;AD$5+GanttPeriod),"◆",IF(AND($E89&gt;=AD$5,$E89&lt;AD$5+GanttPeriod),"◇","")),IF(AND(AD$5&lt;=$F89,AD$5+GanttPeriod-1&gt;=$E89),"━","")))</f>
        <v/>
      </c>
      <c r="AE89" s="69" t="str">
        <f aca="false">IF($E89="","",IF($M89,IF(AND($G89&gt;=AE$5,$G89&lt;AE$5+GanttPeriod),"◆",IF(AND($E89&gt;=AE$5,$E89&lt;AE$5+GanttPeriod),"◇","")),IF(AND(AE$5&lt;=$F89,AE$5+GanttPeriod-1&gt;=$E89),"━","")))</f>
        <v/>
      </c>
      <c r="AF89" s="69" t="str">
        <f aca="false">IF($E89="","",IF($M89,IF(AND($G89&gt;=AF$5,$G89&lt;AF$5+GanttPeriod),"◆",IF(AND($E89&gt;=AF$5,$E89&lt;AF$5+GanttPeriod),"◇","")),IF(AND(AF$5&lt;=$F89,AF$5+GanttPeriod-1&gt;=$E89),"━","")))</f>
        <v/>
      </c>
      <c r="AG89" s="69" t="str">
        <f aca="false">IF($E89="","",IF($M89,IF(AND($G89&gt;=AG$5,$G89&lt;AG$5+GanttPeriod),"◆",IF(AND($E89&gt;=AG$5,$E89&lt;AG$5+GanttPeriod),"◇","")),IF(AND(AG$5&lt;=$F89,AG$5+GanttPeriod-1&gt;=$E89),"━","")))</f>
        <v/>
      </c>
      <c r="AH89" s="69" t="str">
        <f aca="false">IF($E89="","",IF($M89,IF(AND($G89&gt;=AH$5,$G89&lt;AH$5+GanttPeriod),"◆",IF(AND($E89&gt;=AH$5,$E89&lt;AH$5+GanttPeriod),"◇","")),IF(AND(AH$5&lt;=$F89,AH$5+GanttPeriod-1&gt;=$E89),"━","")))</f>
        <v/>
      </c>
      <c r="AI89" s="69" t="str">
        <f aca="false">IF($E89="","",IF($M89,IF(AND($G89&gt;=AI$5,$G89&lt;AI$5+GanttPeriod),"◆",IF(AND($E89&gt;=AI$5,$E89&lt;AI$5+GanttPeriod),"◇","")),IF(AND(AI$5&lt;=$F89,AI$5+GanttPeriod-1&gt;=$E89),"━","")))</f>
        <v/>
      </c>
      <c r="AJ89" s="69" t="str">
        <f aca="false">IF($E89="","",IF($M89,IF(AND($G89&gt;=AJ$5,$G89&lt;AJ$5+GanttPeriod),"◆",IF(AND($E89&gt;=AJ$5,$E89&lt;AJ$5+GanttPeriod),"◇","")),IF(AND(AJ$5&lt;=$F89,AJ$5+GanttPeriod-1&gt;=$E89),"━","")))</f>
        <v/>
      </c>
      <c r="AK89" s="69" t="str">
        <f aca="false">IF($E89="","",IF($M89,IF(AND($G89&gt;=AK$5,$G89&lt;AK$5+GanttPeriod),"◆",IF(AND($E89&gt;=AK$5,$E89&lt;AK$5+GanttPeriod),"◇","")),IF(AND(AK$5&lt;=$F89,AK$5+GanttPeriod-1&gt;=$E89),"━","")))</f>
        <v/>
      </c>
      <c r="AL89" s="69" t="str">
        <f aca="false">IF($E89="","",IF($M89,IF(AND($G89&gt;=AL$5,$G89&lt;AL$5+GanttPeriod),"◆",IF(AND($E89&gt;=AL$5,$E89&lt;AL$5+GanttPeriod),"◇","")),IF(AND(AL$5&lt;=$F89,AL$5+GanttPeriod-1&gt;=$E89),"━","")))</f>
        <v/>
      </c>
      <c r="AM89" s="69" t="str">
        <f aca="false">IF($E89="","",IF($M89,IF(AND($G89&gt;=AM$5,$G89&lt;AM$5+GanttPeriod),"◆",IF(AND($E89&gt;=AM$5,$E89&lt;AM$5+GanttPeriod),"◇","")),IF(AND(AM$5&lt;=$F89,AM$5+GanttPeriod-1&gt;=$E89),"━","")))</f>
        <v/>
      </c>
      <c r="AN89" s="69" t="str">
        <f aca="false">IF($E89="","",IF($M89,IF(AND($G89&gt;=AN$5,$G89&lt;AN$5+GanttPeriod),"◆",IF(AND($E89&gt;=AN$5,$E89&lt;AN$5+GanttPeriod),"◇","")),IF(AND(AN$5&lt;=$F89,AN$5+GanttPeriod-1&gt;=$E89),"━","")))</f>
        <v/>
      </c>
      <c r="AO89" s="69" t="str">
        <f aca="false">IF($E89="","",IF($M89,IF(AND($G89&gt;=AO$5,$G89&lt;AO$5+GanttPeriod),"◆",IF(AND($E89&gt;=AO$5,$E89&lt;AO$5+GanttPeriod),"◇","")),IF(AND(AO$5&lt;=$F89,AO$5+GanttPeriod-1&gt;=$E89),"━","")))</f>
        <v/>
      </c>
      <c r="AP89" s="69" t="str">
        <f aca="false">IF($E89="","",IF($M89,IF(AND($G89&gt;=AP$5,$G89&lt;AP$5+GanttPeriod),"◆",IF(AND($E89&gt;=AP$5,$E89&lt;AP$5+GanttPeriod),"◇","")),IF(AND(AP$5&lt;=$F89,AP$5+GanttPeriod-1&gt;=$E89),"━","")))</f>
        <v/>
      </c>
      <c r="AQ89" s="69" t="str">
        <f aca="false">IF($E89="","",IF($M89,IF(AND($G89&gt;=AQ$5,$G89&lt;AQ$5+GanttPeriod),"◆",IF(AND($E89&gt;=AQ$5,$E89&lt;AQ$5+GanttPeriod),"◇","")),IF(AND(AQ$5&lt;=$F89,AQ$5+GanttPeriod-1&gt;=$E89),"━","")))</f>
        <v/>
      </c>
      <c r="AR89" s="69" t="str">
        <f aca="false">IF($E89="","",IF($M89,IF(AND($G89&gt;=AR$5,$G89&lt;AR$5+GanttPeriod),"◆",IF(AND($E89&gt;=AR$5,$E89&lt;AR$5+GanttPeriod),"◇","")),IF(AND(AR$5&lt;=$F89,AR$5+GanttPeriod-1&gt;=$E89),"━","")))</f>
        <v/>
      </c>
      <c r="AS89" s="69" t="str">
        <f aca="false">IF($E89="","",IF($M89,IF(AND($G89&gt;=AS$5,$G89&lt;AS$5+GanttPeriod),"◆",IF(AND($E89&gt;=AS$5,$E89&lt;AS$5+GanttPeriod),"◇","")),IF(AND(AS$5&lt;=$F89,AS$5+GanttPeriod-1&gt;=$E89),"━","")))</f>
        <v/>
      </c>
      <c r="AT89" s="69" t="str">
        <f aca="false">IF($E89="","",IF($M89,IF(AND($G89&gt;=AT$5,$G89&lt;AT$5+GanttPeriod),"◆",IF(AND($E89&gt;=AT$5,$E89&lt;AT$5+GanttPeriod),"◇","")),IF(AND(AT$5&lt;=$F89,AT$5+GanttPeriod-1&gt;=$E89),"━","")))</f>
        <v/>
      </c>
      <c r="AU89" s="69" t="str">
        <f aca="false">IF($E89="","",IF($M89,IF(AND($G89&gt;=AU$5,$G89&lt;AU$5+GanttPeriod),"◆",IF(AND($E89&gt;=AU$5,$E89&lt;AU$5+GanttPeriod),"◇","")),IF(AND(AU$5&lt;=$F89,AU$5+GanttPeriod-1&gt;=$E89),"━","")))</f>
        <v/>
      </c>
      <c r="AV89" s="69" t="str">
        <f aca="false">IF($E89="","",IF($M89,IF(AND($G89&gt;=AV$5,$G89&lt;AV$5+GanttPeriod),"◆",IF(AND($E89&gt;=AV$5,$E89&lt;AV$5+GanttPeriod),"◇","")),IF(AND(AV$5&lt;=$F89,AV$5+GanttPeriod-1&gt;=$E89),"━","")))</f>
        <v/>
      </c>
      <c r="AW89" s="69" t="str">
        <f aca="false">IF($E89="","",IF($M89,IF(AND($G89&gt;=AW$5,$G89&lt;AW$5+GanttPeriod),"◆",IF(AND($E89&gt;=AW$5,$E89&lt;AW$5+GanttPeriod),"◇","")),IF(AND(AW$5&lt;=$F89,AW$5+GanttPeriod-1&gt;=$E89),"━","")))</f>
        <v/>
      </c>
      <c r="AX89" s="69" t="str">
        <f aca="false">IF($E89="","",IF($M89,IF(AND($G89&gt;=AX$5,$G89&lt;AX$5+GanttPeriod),"◆",IF(AND($E89&gt;=AX$5,$E89&lt;AX$5+GanttPeriod),"◇","")),IF(AND(AX$5&lt;=$F89,AX$5+GanttPeriod-1&gt;=$E89),"━","")))</f>
        <v/>
      </c>
      <c r="AY89" s="69" t="str">
        <f aca="false">IF($E89="","",IF($M89,IF(AND($G89&gt;=AY$5,$G89&lt;AY$5+GanttPeriod),"◆",IF(AND($E89&gt;=AY$5,$E89&lt;AY$5+GanttPeriod),"◇","")),IF(AND(AY$5&lt;=$F89,AY$5+GanttPeriod-1&gt;=$E89),"━","")))</f>
        <v/>
      </c>
      <c r="AZ89" s="69" t="str">
        <f aca="false">IF($E89="","",IF($M89,IF(AND($G89&gt;=AZ$5,$G89&lt;AZ$5+GanttPeriod),"◆",IF(AND($E89&gt;=AZ$5,$E89&lt;AZ$5+GanttPeriod),"◇","")),IF(AND(AZ$5&lt;=$F89,AZ$5+GanttPeriod-1&gt;=$E89),"━","")))</f>
        <v/>
      </c>
      <c r="BA89" s="69" t="str">
        <f aca="false">IF($E89="","",IF($M89,IF(AND($G89&gt;=BA$5,$G89&lt;BA$5+GanttPeriod),"◆",IF(AND($E89&gt;=BA$5,$E89&lt;BA$5+GanttPeriod),"◇","")),IF(AND(BA$5&lt;=$F89,BA$5+GanttPeriod-1&gt;=$E89),"━","")))</f>
        <v/>
      </c>
      <c r="BB89" s="69" t="str">
        <f aca="false">IF($E89="","",IF($M89,IF(AND($G89&gt;=BB$5,$G89&lt;BB$5+GanttPeriod),"◆",IF(AND($E89&gt;=BB$5,$E89&lt;BB$5+GanttPeriod),"◇","")),IF(AND(BB$5&lt;=$F89,BB$5+GanttPeriod-1&gt;=$E89),"━","")))</f>
        <v/>
      </c>
      <c r="BC89" s="69" t="str">
        <f aca="false">IF($E89="","",IF($M89,IF(AND($G89&gt;=BC$5,$G89&lt;BC$5+GanttPeriod),"◆",IF(AND($E89&gt;=BC$5,$E89&lt;BC$5+GanttPeriod),"◇","")),IF(AND(BC$5&lt;=$F89,BC$5+GanttPeriod-1&gt;=$E89),"━","")))</f>
        <v/>
      </c>
      <c r="BD89" s="69" t="str">
        <f aca="false">IF($E89="","",IF($M89,IF(AND($G89&gt;=BD$5,$G89&lt;BD$5+GanttPeriod),"◆",IF(AND($E89&gt;=BD$5,$E89&lt;BD$5+GanttPeriod),"◇","")),IF(AND(BD$5&lt;=$F89,BD$5+GanttPeriod-1&gt;=$E89),"━","")))</f>
        <v/>
      </c>
      <c r="BE89" s="69" t="str">
        <f aca="false">IF($E89="","",IF($M89,IF(AND($G89&gt;=BE$5,$G89&lt;BE$5+GanttPeriod),"◆",IF(AND($E89&gt;=BE$5,$E89&lt;BE$5+GanttPeriod),"◇","")),IF(AND(BE$5&lt;=$F89,BE$5+GanttPeriod-1&gt;=$E89),"━","")))</f>
        <v/>
      </c>
      <c r="BF89" s="69" t="str">
        <f aca="false">IF($E89="","",IF($M89,IF(AND($G89&gt;=BF$5,$G89&lt;BF$5+GanttPeriod),"◆",IF(AND($E89&gt;=BF$5,$E89&lt;BF$5+GanttPeriod),"◇","")),IF(AND(BF$5&lt;=$F89,BF$5+GanttPeriod-1&gt;=$E89),"━","")))</f>
        <v/>
      </c>
      <c r="BG89" s="69" t="str">
        <f aca="false">IF($E89="","",IF($M89,IF(AND($G89&gt;=BG$5,$G89&lt;BG$5+GanttPeriod),"◆",IF(AND($E89&gt;=BG$5,$E89&lt;BG$5+GanttPeriod),"◇","")),IF(AND(BG$5&lt;=$F89,BG$5+GanttPeriod-1&gt;=$E89),"━","")))</f>
        <v/>
      </c>
      <c r="BH89" s="69" t="str">
        <f aca="false">IF($E89="","",IF($M89,IF(AND($G89&gt;=BH$5,$G89&lt;BH$5+GanttPeriod),"◆",IF(AND($E89&gt;=BH$5,$E89&lt;BH$5+GanttPeriod),"◇","")),IF(AND(BH$5&lt;=$F89,BH$5+GanttPeriod-1&gt;=$E89),"━","")))</f>
        <v/>
      </c>
      <c r="BI89" s="69" t="str">
        <f aca="false">IF($E89="","",IF($M89,IF(AND($G89&gt;=BI$5,$G89&lt;BI$5+GanttPeriod),"◆",IF(AND($E89&gt;=BI$5,$E89&lt;BI$5+GanttPeriod),"◇","")),IF(AND(BI$5&lt;=$F89,BI$5+GanttPeriod-1&gt;=$E89),"━","")))</f>
        <v/>
      </c>
      <c r="BJ89" s="69" t="str">
        <f aca="false">IF($E89="","",IF($M89,IF(AND($G89&gt;=BJ$5,$G89&lt;BJ$5+GanttPeriod),"◆",IF(AND($E89&gt;=BJ$5,$E89&lt;BJ$5+GanttPeriod),"◇","")),IF(AND(BJ$5&lt;=$F89,BJ$5+GanttPeriod-1&gt;=$E89),"━","")))</f>
        <v/>
      </c>
      <c r="BK89" s="69" t="str">
        <f aca="false">IF($E89="","",IF($M89,IF(AND($G89&gt;=BK$5,$G89&lt;BK$5+GanttPeriod),"◆",IF(AND($E89&gt;=BK$5,$E89&lt;BK$5+GanttPeriod),"◇","")),IF(AND(BK$5&lt;=$F89,BK$5+GanttPeriod-1&gt;=$E89),"━","")))</f>
        <v/>
      </c>
      <c r="BL89" s="69" t="str">
        <f aca="false">IF($E89="","",IF($M89,IF(AND($G89&gt;=BL$5,$G89&lt;BL$5+GanttPeriod),"◆",IF(AND($E89&gt;=BL$5,$E89&lt;BL$5+GanttPeriod),"◇","")),IF(AND(BL$5&lt;=$F89,BL$5+GanttPeriod-1&gt;=$E89),"━","")))</f>
        <v/>
      </c>
      <c r="BM89" s="69" t="str">
        <f aca="false">IF($E89="","",IF($M89,IF(AND($G89&gt;=BM$5,$G89&lt;BM$5+GanttPeriod),"◆",IF(AND($E89&gt;=BM$5,$E89&lt;BM$5+GanttPeriod),"◇","")),IF(AND(BM$5&lt;=$F89,BM$5+GanttPeriod-1&gt;=$E89),"━","")))</f>
        <v/>
      </c>
      <c r="BN89" s="69" t="str">
        <f aca="false">IF($E89="","",IF($M89,IF(AND($G89&gt;=BN$5,$G89&lt;BN$5+GanttPeriod),"◆",IF(AND($E89&gt;=BN$5,$E89&lt;BN$5+GanttPeriod),"◇","")),IF(AND(BN$5&lt;=$F89,BN$5+GanttPeriod-1&gt;=$E89),"━","")))</f>
        <v/>
      </c>
      <c r="BO89" s="69" t="str">
        <f aca="false">IF($E89="","",IF($M89,IF(AND($G89&gt;=BO$5,$G89&lt;BO$5+GanttPeriod),"◆",IF(AND($E89&gt;=BO$5,$E89&lt;BO$5+GanttPeriod),"◇","")),IF(AND(BO$5&lt;=$F89,BO$5+GanttPeriod-1&gt;=$E89),"━","")))</f>
        <v/>
      </c>
      <c r="BP89" s="69" t="str">
        <f aca="false">IF($E89="","",IF($M89,IF(AND($G89&gt;=BP$5,$G89&lt;BP$5+GanttPeriod),"◆",IF(AND($E89&gt;=BP$5,$E89&lt;BP$5+GanttPeriod),"◇","")),IF(AND(BP$5&lt;=$F89,BP$5+GanttPeriod-1&gt;=$E89),"━","")))</f>
        <v/>
      </c>
      <c r="BQ89" s="69" t="str">
        <f aca="false">IF($E89="","",IF($M89,IF(AND($G89&gt;=BQ$5,$G89&lt;BQ$5+GanttPeriod),"◆",IF(AND($E89&gt;=BQ$5,$E89&lt;BQ$5+GanttPeriod),"◇","")),IF(AND(BQ$5&lt;=$F89,BQ$5+GanttPeriod-1&gt;=$E89),"━","")))</f>
        <v/>
      </c>
      <c r="BR89" s="69" t="str">
        <f aca="false">IF($E89="","",IF($M89,IF(AND($G89&gt;=BR$5,$G89&lt;BR$5+GanttPeriod),"◆",IF(AND($E89&gt;=BR$5,$E89&lt;BR$5+GanttPeriod),"◇","")),IF(AND(BR$5&lt;=$F89,BR$5+GanttPeriod-1&gt;=$E89),"━","")))</f>
        <v/>
      </c>
      <c r="BS89" s="69" t="str">
        <f aca="false">IF($E89="","",IF($M89,IF(AND($G89&gt;=BS$5,$G89&lt;BS$5+GanttPeriod),"◆",IF(AND($E89&gt;=BS$5,$E89&lt;BS$5+GanttPeriod),"◇","")),IF(AND(BS$5&lt;=$F89,BS$5+GanttPeriod-1&gt;=$E89),"━","")))</f>
        <v/>
      </c>
      <c r="BT89" s="69" t="str">
        <f aca="false">IF($E89="","",IF($M89,IF(AND($G89&gt;=BT$5,$G89&lt;BT$5+GanttPeriod),"◆",IF(AND($E89&gt;=BT$5,$E89&lt;BT$5+GanttPeriod),"◇","")),IF(AND(BT$5&lt;=$F89,BT$5+GanttPeriod-1&gt;=$E89),"━","")))</f>
        <v/>
      </c>
      <c r="BU89" s="69" t="str">
        <f aca="false">IF($E89="","",IF($M89,IF(AND($G89&gt;=BU$5,$G89&lt;BU$5+GanttPeriod),"◆",IF(AND($E89&gt;=BU$5,$E89&lt;BU$5+GanttPeriod),"◇","")),IF(AND(BU$5&lt;=$F89,BU$5+GanttPeriod-1&gt;=$E89),"━","")))</f>
        <v/>
      </c>
      <c r="BV89" s="69" t="str">
        <f aca="false">IF($E89="","",IF($M89,IF(AND($G89&gt;=BV$5,$G89&lt;BV$5+GanttPeriod),"◆",IF(AND($E89&gt;=BV$5,$E89&lt;BV$5+GanttPeriod),"◇","")),IF(AND(BV$5&lt;=$F89,BV$5+GanttPeriod-1&gt;=$E89),"━","")))</f>
        <v/>
      </c>
      <c r="BW89" s="69" t="str">
        <f aca="false">IF($E89="","",IF($M89,IF(AND($G89&gt;=BW$5,$G89&lt;BW$5+GanttPeriod),"◆",IF(AND($E89&gt;=BW$5,$E89&lt;BW$5+GanttPeriod),"◇","")),IF(AND(BW$5&lt;=$F89,BW$5+GanttPeriod-1&gt;=$E89),"━","")))</f>
        <v/>
      </c>
      <c r="BX89" s="69" t="str">
        <f aca="false">IF($E89="","",IF($M89,IF(AND($G89&gt;=BX$5,$G89&lt;BX$5+GanttPeriod),"◆",IF(AND($E89&gt;=BX$5,$E89&lt;BX$5+GanttPeriod),"◇","")),IF(AND(BX$5&lt;=$F89,BX$5+GanttPeriod-1&gt;=$E89),"━","")))</f>
        <v/>
      </c>
      <c r="BY89" s="69" t="str">
        <f aca="false">IF($E89="","",IF($M89,IF(AND($G89&gt;=BY$5,$G89&lt;BY$5+GanttPeriod),"◆",IF(AND($E89&gt;=BY$5,$E89&lt;BY$5+GanttPeriod),"◇","")),IF(AND(BY$5&lt;=$F89,BY$5+GanttPeriod-1&gt;=$E89),"━","")))</f>
        <v/>
      </c>
      <c r="BZ89" s="69" t="str">
        <f aca="false">IF($E89="","",IF($M89,IF(AND($G89&gt;=BZ$5,$G89&lt;BZ$5+GanttPeriod),"◆",IF(AND($E89&gt;=BZ$5,$E89&lt;BZ$5+GanttPeriod),"◇","")),IF(AND(BZ$5&lt;=$F89,BZ$5+GanttPeriod-1&gt;=$E89),"━","")))</f>
        <v/>
      </c>
      <c r="CA89" s="69" t="str">
        <f aca="false">IF($E89="","",IF($M89,IF(AND($G89&gt;=CA$5,$G89&lt;CA$5+GanttPeriod),"◆",IF(AND($E89&gt;=CA$5,$E89&lt;CA$5+GanttPeriod),"◇","")),IF(AND(CA$5&lt;=$F89,CA$5+GanttPeriod-1&gt;=$E89),"━","")))</f>
        <v/>
      </c>
      <c r="CB89" s="69" t="str">
        <f aca="false">IF($E89="","",IF($M89,IF(AND($G89&gt;=CB$5,$G89&lt;CB$5+GanttPeriod),"◆",IF(AND($E89&gt;=CB$5,$E89&lt;CB$5+GanttPeriod),"◇","")),IF(AND(CB$5&lt;=$F89,CB$5+GanttPeriod-1&gt;=$E89),"━","")))</f>
        <v/>
      </c>
      <c r="CC89" s="69" t="str">
        <f aca="false">IF($E89="","",IF($M89,IF(AND($G89&gt;=CC$5,$G89&lt;CC$5+GanttPeriod),"◆",IF(AND($E89&gt;=CC$5,$E89&lt;CC$5+GanttPeriod),"◇","")),IF(AND(CC$5&lt;=$F89,CC$5+GanttPeriod-1&gt;=$E89),"━","")))</f>
        <v/>
      </c>
      <c r="CD89" s="69" t="str">
        <f aca="false">IF($E89="","",IF($M89,IF(AND($G89&gt;=CD$5,$G89&lt;CD$5+GanttPeriod),"◆",IF(AND($E89&gt;=CD$5,$E89&lt;CD$5+GanttPeriod),"◇","")),IF(AND(CD$5&lt;=$F89,CD$5+GanttPeriod-1&gt;=$E89),"━","")))</f>
        <v/>
      </c>
      <c r="CE89" s="69" t="str">
        <f aca="false">IF($E89="","",IF($M89,IF(AND($G89&gt;=CE$5,$G89&lt;CE$5+GanttPeriod),"◆",IF(AND($E89&gt;=CE$5,$E89&lt;CE$5+GanttPeriod),"◇","")),IF(AND(CE$5&lt;=$F89,CE$5+GanttPeriod-1&gt;=$E89),"━","")))</f>
        <v/>
      </c>
      <c r="CF89" s="69" t="str">
        <f aca="false">IF($E89="","",IF($M89,IF(AND($G89&gt;=CF$5,$G89&lt;CF$5+GanttPeriod),"◆",IF(AND($E89&gt;=CF$5,$E89&lt;CF$5+GanttPeriod),"◇","")),IF(AND(CF$5&lt;=$F89,CF$5+GanttPeriod-1&gt;=$E89),"━","")))</f>
        <v/>
      </c>
      <c r="CG89" s="69" t="str">
        <f aca="false">IF($E89="","",IF($M89,IF(AND($G89&gt;=CG$5,$G89&lt;CG$5+GanttPeriod),"◆",IF(AND($E89&gt;=CG$5,$E89&lt;CG$5+GanttPeriod),"◇","")),IF(AND(CG$5&lt;=$F89,CG$5+GanttPeriod-1&gt;=$E89),"━","")))</f>
        <v/>
      </c>
      <c r="CH89" s="69" t="str">
        <f aca="false">IF($E89="","",IF($M89,IF(AND($G89&gt;=CH$5,$G89&lt;CH$5+GanttPeriod),"◆",IF(AND($E89&gt;=CH$5,$E89&lt;CH$5+GanttPeriod),"◇","")),IF(AND(CH$5&lt;=$F89,CH$5+GanttPeriod-1&gt;=$E89),"━","")))</f>
        <v/>
      </c>
      <c r="CI89" s="69" t="str">
        <f aca="false">IF($E89="","",IF($M89,IF(AND($G89&gt;=CI$5,$G89&lt;CI$5+GanttPeriod),"◆",IF(AND($E89&gt;=CI$5,$E89&lt;CI$5+GanttPeriod),"◇","")),IF(AND(CI$5&lt;=$F89,CI$5+GanttPeriod-1&gt;=$E89),"━","")))</f>
        <v/>
      </c>
      <c r="CJ89" s="69" t="str">
        <f aca="false">IF($E89="","",IF($M89,IF(AND($G89&gt;=CJ$5,$G89&lt;CJ$5+GanttPeriod),"◆",IF(AND($E89&gt;=CJ$5,$E89&lt;CJ$5+GanttPeriod),"◇","")),IF(AND(CJ$5&lt;=$F89,CJ$5+GanttPeriod-1&gt;=$E89),"━","")))</f>
        <v/>
      </c>
      <c r="CK89" s="69" t="str">
        <f aca="false">IF($E89="","",IF($M89,IF(AND($G89&gt;=CK$5,$G89&lt;CK$5+GanttPeriod),"◆",IF(AND($E89&gt;=CK$5,$E89&lt;CK$5+GanttPeriod),"◇","")),IF(AND(CK$5&lt;=$F89,CK$5+GanttPeriod-1&gt;=$E89),"━","")))</f>
        <v/>
      </c>
      <c r="CL89" s="69" t="str">
        <f aca="false">IF($E89="","",IF($M89,IF(AND($G89&gt;=CL$5,$G89&lt;CL$5+GanttPeriod),"◆",IF(AND($E89&gt;=CL$5,$E89&lt;CL$5+GanttPeriod),"◇","")),IF(AND(CL$5&lt;=$F89,CL$5+GanttPeriod-1&gt;=$E89),"━","")))</f>
        <v/>
      </c>
      <c r="CM89" s="69" t="str">
        <f aca="false">IF($E89="","",IF($M89,IF(AND($G89&gt;=CM$5,$G89&lt;CM$5+GanttPeriod),"◆",IF(AND($E89&gt;=CM$5,$E89&lt;CM$5+GanttPeriod),"◇","")),IF(AND(CM$5&lt;=$F89,CM$5+GanttPeriod-1&gt;=$E89),"━","")))</f>
        <v/>
      </c>
      <c r="CN89" s="69" t="str">
        <f aca="false">IF($E89="","",IF($M89,IF(AND($G89&gt;=CN$5,$G89&lt;CN$5+GanttPeriod),"◆",IF(AND($E89&gt;=CN$5,$E89&lt;CN$5+GanttPeriod),"◇","")),IF(AND(CN$5&lt;=$F89,CN$5+GanttPeriod-1&gt;=$E89),"━","")))</f>
        <v/>
      </c>
      <c r="CO89" s="69" t="str">
        <f aca="false">IF($E89="","",IF($M89,IF(AND($G89&gt;=CO$5,$G89&lt;CO$5+GanttPeriod),"◆",IF(AND($E89&gt;=CO$5,$E89&lt;CO$5+GanttPeriod),"◇","")),IF(AND(CO$5&lt;=$F89,CO$5+GanttPeriod-1&gt;=$E89),"━","")))</f>
        <v/>
      </c>
      <c r="CP89" s="69" t="str">
        <f aca="false">IF($E89="","",IF($M89,IF(AND($G89&gt;=CP$5,$G89&lt;CP$5+GanttPeriod),"◆",IF(AND($E89&gt;=CP$5,$E89&lt;CP$5+GanttPeriod),"◇","")),IF(AND(CP$5&lt;=$F89,CP$5+GanttPeriod-1&gt;=$E89),"━","")))</f>
        <v/>
      </c>
      <c r="CQ89" s="69" t="str">
        <f aca="false">IF($E89="","",IF($M89,IF(AND($G89&gt;=CQ$5,$G89&lt;CQ$5+GanttPeriod),"◆",IF(AND($E89&gt;=CQ$5,$E89&lt;CQ$5+GanttPeriod),"◇","")),IF(AND(CQ$5&lt;=$F89,CQ$5+GanttPeriod-1&gt;=$E89),"━","")))</f>
        <v/>
      </c>
      <c r="CR89" s="69" t="str">
        <f aca="false">IF($E89="","",IF($M89,IF(AND($G89&gt;=CR$5,$G89&lt;CR$5+GanttPeriod),"◆",IF(AND($E89&gt;=CR$5,$E89&lt;CR$5+GanttPeriod),"◇","")),IF(AND(CR$5&lt;=$F89,CR$5+GanttPeriod-1&gt;=$E89),"━","")))</f>
        <v/>
      </c>
      <c r="CS89" s="69" t="str">
        <f aca="false">IF($E89="","",IF($M89,IF(AND($G89&gt;=CS$5,$G89&lt;CS$5+GanttPeriod),"◆",IF(AND($E89&gt;=CS$5,$E89&lt;CS$5+GanttPeriod),"◇","")),IF(AND(CS$5&lt;=$F89,CS$5+GanttPeriod-1&gt;=$E89),"━","")))</f>
        <v/>
      </c>
      <c r="CT89" s="69" t="str">
        <f aca="false">IF($E89="","",IF($M89,IF(AND($G89&gt;=CT$5,$G89&lt;CT$5+GanttPeriod),"◆",IF(AND($E89&gt;=CT$5,$E89&lt;CT$5+GanttPeriod),"◇","")),IF(AND(CT$5&lt;=$F89,CT$5+GanttPeriod-1&gt;=$E89),"━","")))</f>
        <v/>
      </c>
      <c r="CU89" s="69" t="str">
        <f aca="false">IF($E89="","",IF($M89,IF(AND($G89&gt;=CU$5,$G89&lt;CU$5+GanttPeriod),"◆",IF(AND($E89&gt;=CU$5,$E89&lt;CU$5+GanttPeriod),"◇","")),IF(AND(CU$5&lt;=$F89,CU$5+GanttPeriod-1&gt;=$E89),"━","")))</f>
        <v/>
      </c>
      <c r="CV89" s="69" t="str">
        <f aca="false">IF($E89="","",IF($M89,IF(AND($G89&gt;=CV$5,$G89&lt;CV$5+GanttPeriod),"◆",IF(AND($E89&gt;=CV$5,$E89&lt;CV$5+GanttPeriod),"◇","")),IF(AND(CV$5&lt;=$F89,CV$5+GanttPeriod-1&gt;=$E89),"━","")))</f>
        <v/>
      </c>
      <c r="CW89" s="69" t="str">
        <f aca="false">IF($E89="","",IF($M89,IF(AND($G89&gt;=CW$5,$G89&lt;CW$5+GanttPeriod),"◆",IF(AND($E89&gt;=CW$5,$E89&lt;CW$5+GanttPeriod),"◇","")),IF(AND(CW$5&lt;=$F89,CW$5+GanttPeriod-1&gt;=$E89),"━","")))</f>
        <v/>
      </c>
      <c r="CX89" s="69" t="str">
        <f aca="false">IF($E89="","",IF($M89,IF(AND($G89&gt;=CX$5,$G89&lt;CX$5+GanttPeriod),"◆",IF(AND($E89&gt;=CX$5,$E89&lt;CX$5+GanttPeriod),"◇","")),IF(AND(CX$5&lt;=$F89,CX$5+GanttPeriod-1&gt;=$E89),"━","")))</f>
        <v/>
      </c>
      <c r="CY89" s="69" t="str">
        <f aca="false">IF($E89="","",IF($M89,IF(AND($G89&gt;=CY$5,$G89&lt;CY$5+GanttPeriod),"◆",IF(AND($E89&gt;=CY$5,$E89&lt;CY$5+GanttPeriod),"◇","")),IF(AND(CY$5&lt;=$F89,CY$5+GanttPeriod-1&gt;=$E89),"━","")))</f>
        <v/>
      </c>
      <c r="CZ89" s="69" t="str">
        <f aca="false">IF($E89="","",IF($M89,IF(AND($G89&gt;=CZ$5,$G89&lt;CZ$5+GanttPeriod),"◆",IF(AND($E89&gt;=CZ$5,$E89&lt;CZ$5+GanttPeriod),"◇","")),IF(AND(CZ$5&lt;=$F89,CZ$5+GanttPeriod-1&gt;=$E89),"━","")))</f>
        <v/>
      </c>
      <c r="DA89" s="69" t="str">
        <f aca="false">IF($E89="","",IF($M89,IF(AND($G89&gt;=DA$5,$G89&lt;DA$5+GanttPeriod),"◆",IF(AND($E89&gt;=DA$5,$E89&lt;DA$5+GanttPeriod),"◇","")),IF(AND(DA$5&lt;=$F89,DA$5+GanttPeriod-1&gt;=$E89),"━","")))</f>
        <v/>
      </c>
      <c r="DB89" s="69" t="str">
        <f aca="false">IF($E89="","",IF($M89,IF(AND($G89&gt;=DB$5,$G89&lt;DB$5+GanttPeriod),"◆",IF(AND($E89&gt;=DB$5,$E89&lt;DB$5+GanttPeriod),"◇","")),IF(AND(DB$5&lt;=$F89,DB$5+GanttPeriod-1&gt;=$E89),"━","")))</f>
        <v/>
      </c>
      <c r="DC89" s="69" t="str">
        <f aca="false">IF($E89="","",IF($M89,IF(AND($G89&gt;=DC$5,$G89&lt;DC$5+GanttPeriod),"◆",IF(AND($E89&gt;=DC$5,$E89&lt;DC$5+GanttPeriod),"◇","")),IF(AND(DC$5&lt;=$F89,DC$5+GanttPeriod-1&gt;=$E89),"━","")))</f>
        <v/>
      </c>
      <c r="DD89" s="69" t="str">
        <f aca="false">IF($E89="","",IF($M89,IF(AND($G89&gt;=DD$5,$G89&lt;DD$5+GanttPeriod),"◆",IF(AND($E89&gt;=DD$5,$E89&lt;DD$5+GanttPeriod),"◇","")),IF(AND(DD$5&lt;=$F89,DD$5+GanttPeriod-1&gt;=$E89),"━","")))</f>
        <v/>
      </c>
      <c r="DE89" s="69" t="str">
        <f aca="false">IF($E89="","",IF($M89,IF(AND($G89&gt;=DE$5,$G89&lt;DE$5+GanttPeriod),"◆",IF(AND($E89&gt;=DE$5,$E89&lt;DE$5+GanttPeriod),"◇","")),IF(AND(DE$5&lt;=$F89,DE$5+GanttPeriod-1&gt;=$E89),"━","")))</f>
        <v/>
      </c>
      <c r="DF89" s="69" t="str">
        <f aca="false">IF($E89="","",IF($M89,IF(AND($G89&gt;=DF$5,$G89&lt;DF$5+GanttPeriod),"◆",IF(AND($E89&gt;=DF$5,$E89&lt;DF$5+GanttPeriod),"◇","")),IF(AND(DF$5&lt;=$F89,DF$5+GanttPeriod-1&gt;=$E89),"━","")))</f>
        <v/>
      </c>
      <c r="DG89" s="69" t="str">
        <f aca="false">IF($E89="","",IF($M89,IF(AND($G89&gt;=DG$5,$G89&lt;DG$5+GanttPeriod),"◆",IF(AND($E89&gt;=DG$5,$E89&lt;DG$5+GanttPeriod),"◇","")),IF(AND(DG$5&lt;=$F89,DG$5+GanttPeriod-1&gt;=$E89),"━","")))</f>
        <v/>
      </c>
      <c r="DH89" s="69" t="str">
        <f aca="false">IF($E89="","",IF($M89,IF(AND($G89&gt;=DH$5,$G89&lt;DH$5+GanttPeriod),"◆",IF(AND($E89&gt;=DH$5,$E89&lt;DH$5+GanttPeriod),"◇","")),IF(AND(DH$5&lt;=$F89,DH$5+GanttPeriod-1&gt;=$E89),"━","")))</f>
        <v/>
      </c>
      <c r="DI89" s="69" t="str">
        <f aca="false">IF($E89="","",IF($M89,IF(AND($G89&gt;=DI$5,$G89&lt;DI$5+GanttPeriod),"◆",IF(AND($E89&gt;=DI$5,$E89&lt;DI$5+GanttPeriod),"◇","")),IF(AND(DI$5&lt;=$F89,DI$5+GanttPeriod-1&gt;=$E89),"━","")))</f>
        <v/>
      </c>
      <c r="DJ89" s="69" t="str">
        <f aca="false">IF($E89="","",IF($M89,IF(AND($G89&gt;=DJ$5,$G89&lt;DJ$5+GanttPeriod),"◆",IF(AND($E89&gt;=DJ$5,$E89&lt;DJ$5+GanttPeriod),"◇","")),IF(AND(DJ$5&lt;=$F89,DJ$5+GanttPeriod-1&gt;=$E89),"━","")))</f>
        <v/>
      </c>
      <c r="DK89" s="69" t="str">
        <f aca="false">IF($E89="","",IF($M89,IF(AND($G89&gt;=DK$5,$G89&lt;DK$5+GanttPeriod),"◆",IF(AND($E89&gt;=DK$5,$E89&lt;DK$5+GanttPeriod),"◇","")),IF(AND(DK$5&lt;=$F89,DK$5+GanttPeriod-1&gt;=$E89),"━","")))</f>
        <v/>
      </c>
      <c r="DL89" s="69" t="str">
        <f aca="false">IF($E89="","",IF($M89,IF(AND($G89&gt;=DL$5,$G89&lt;DL$5+GanttPeriod),"◆",IF(AND($E89&gt;=DL$5,$E89&lt;DL$5+GanttPeriod),"◇","")),IF(AND(DL$5&lt;=$F89,DL$5+GanttPeriod-1&gt;=$E89),"━","")))</f>
        <v/>
      </c>
      <c r="DM89" s="69" t="str">
        <f aca="false">IF($E89="","",IF($M89,IF(AND($G89&gt;=DM$5,$G89&lt;DM$5+GanttPeriod),"◆",IF(AND($E89&gt;=DM$5,$E89&lt;DM$5+GanttPeriod),"◇","")),IF(AND(DM$5&lt;=$F89,DM$5+GanttPeriod-1&gt;=$E89),"━","")))</f>
        <v/>
      </c>
      <c r="DN89" s="69" t="str">
        <f aca="false">IF($E89="","",IF($M89,IF(AND($G89&gt;=DN$5,$G89&lt;DN$5+GanttPeriod),"◆",IF(AND($E89&gt;=DN$5,$E89&lt;DN$5+GanttPeriod),"◇","")),IF(AND(DN$5&lt;=$F89,DN$5+GanttPeriod-1&gt;=$E89),"━","")))</f>
        <v/>
      </c>
      <c r="DO89" s="69" t="str">
        <f aca="false">IF($E89="","",IF($M89,IF(AND($G89&gt;=DO$5,$G89&lt;DO$5+GanttPeriod),"◆",IF(AND($E89&gt;=DO$5,$E89&lt;DO$5+GanttPeriod),"◇","")),IF(AND(DO$5&lt;=$F89,DO$5+GanttPeriod-1&gt;=$E89),"━","")))</f>
        <v/>
      </c>
      <c r="DP89" s="69" t="str">
        <f aca="false">IF($E89="","",IF($M89,IF(AND($G89&gt;=DP$5,$G89&lt;DP$5+GanttPeriod),"◆",IF(AND($E89&gt;=DP$5,$E89&lt;DP$5+GanttPeriod),"◇","")),IF(AND(DP$5&lt;=$F89,DP$5+GanttPeriod-1&gt;=$E89),"━","")))</f>
        <v/>
      </c>
      <c r="DQ89" s="69" t="str">
        <f aca="false">IF($E89="","",IF($M89,IF(AND($G89&gt;=DQ$5,$G89&lt;DQ$5+GanttPeriod),"◆",IF(AND($E89&gt;=DQ$5,$E89&lt;DQ$5+GanttPeriod),"◇","")),IF(AND(DQ$5&lt;=$F89,DQ$5+GanttPeriod-1&gt;=$E89),"━","")))</f>
        <v/>
      </c>
      <c r="DR89" s="69" t="str">
        <f aca="false">IF($E89="","",IF($M89,IF(AND($G89&gt;=DR$5,$G89&lt;DR$5+GanttPeriod),"◆",IF(AND($E89&gt;=DR$5,$E89&lt;DR$5+GanttPeriod),"◇","")),IF(AND(DR$5&lt;=$F89,DR$5+GanttPeriod-1&gt;=$E89),"━","")))</f>
        <v/>
      </c>
      <c r="DS89" s="69" t="str">
        <f aca="false">IF($E89="","",IF($M89,IF(AND($G89&gt;=DS$5,$G89&lt;DS$5+GanttPeriod),"◆",IF(AND($E89&gt;=DS$5,$E89&lt;DS$5+GanttPeriod),"◇","")),IF(AND(DS$5&lt;=$F89,DS$5+GanttPeriod-1&gt;=$E89),"━","")))</f>
        <v/>
      </c>
      <c r="DT89" s="69" t="str">
        <f aca="false">IF($E89="","",IF($M89,IF(AND($G89&gt;=DT$5,$G89&lt;DT$5+GanttPeriod),"◆",IF(AND($E89&gt;=DT$5,$E89&lt;DT$5+GanttPeriod),"◇","")),IF(AND(DT$5&lt;=$F89,DT$5+GanttPeriod-1&gt;=$E89),"━","")))</f>
        <v/>
      </c>
      <c r="DU89" s="69" t="str">
        <f aca="false">IF($E89="","",IF($M89,IF(AND($G89&gt;=DU$5,$G89&lt;DU$5+GanttPeriod),"◆",IF(AND($E89&gt;=DU$5,$E89&lt;DU$5+GanttPeriod),"◇","")),IF(AND(DU$5&lt;=$F89,DU$5+GanttPeriod-1&gt;=$E89),"━","")))</f>
        <v/>
      </c>
      <c r="DV89" s="69" t="str">
        <f aca="false">IF($E89="","",IF($M89,IF(AND($G89&gt;=DV$5,$G89&lt;DV$5+GanttPeriod),"◆",IF(AND($E89&gt;=DV$5,$E89&lt;DV$5+GanttPeriod),"◇","")),IF(AND(DV$5&lt;=$F89,DV$5+GanttPeriod-1&gt;=$E89),"━","")))</f>
        <v/>
      </c>
      <c r="DW89" s="69" t="str">
        <f aca="false">IF($E89="","",IF($M89,IF(AND($G89&gt;=DW$5,$G89&lt;DW$5+GanttPeriod),"◆",IF(AND($E89&gt;=DW$5,$E89&lt;DW$5+GanttPeriod),"◇","")),IF(AND(DW$5&lt;=$F89,DW$5+GanttPeriod-1&gt;=$E89),"━","")))</f>
        <v/>
      </c>
      <c r="DX89" s="69" t="str">
        <f aca="false">IF($E89="","",IF($M89,IF(AND($G89&gt;=DX$5,$G89&lt;DX$5+GanttPeriod),"◆",IF(AND($E89&gt;=DX$5,$E89&lt;DX$5+GanttPeriod),"◇","")),IF(AND(DX$5&lt;=$F89,DX$5+GanttPeriod-1&gt;=$E89),"━","")))</f>
        <v/>
      </c>
      <c r="DY89" s="69" t="str">
        <f aca="false">IF($E89="","",IF($M89,IF(AND($G89&gt;=DY$5,$G89&lt;DY$5+GanttPeriod),"◆",IF(AND($E89&gt;=DY$5,$E89&lt;DY$5+GanttPeriod),"◇","")),IF(AND(DY$5&lt;=$F89,DY$5+GanttPeriod-1&gt;=$E89),"━","")))</f>
        <v/>
      </c>
      <c r="DZ89" s="69" t="str">
        <f aca="false">IF($E89="","",IF($M89,IF(AND($G89&gt;=DZ$5,$G89&lt;DZ$5+GanttPeriod),"◆",IF(AND($E89&gt;=DZ$5,$E89&lt;DZ$5+GanttPeriod),"◇","")),IF(AND(DZ$5&lt;=$F89,DZ$5+GanttPeriod-1&gt;=$E89),"━","")))</f>
        <v/>
      </c>
      <c r="EA89" s="69" t="str">
        <f aca="false">IF($E89="","",IF($M89,IF(AND($G89&gt;=EA$5,$G89&lt;EA$5+GanttPeriod),"◆",IF(AND($E89&gt;=EA$5,$E89&lt;EA$5+GanttPeriod),"◇","")),IF(AND(EA$5&lt;=$F89,EA$5+GanttPeriod-1&gt;=$E89),"━","")))</f>
        <v/>
      </c>
      <c r="EB89" s="69" t="str">
        <f aca="false">IF($E89="","",IF($M89,IF(AND($G89&gt;=EB$5,$G89&lt;EB$5+GanttPeriod),"◆",IF(AND($E89&gt;=EB$5,$E89&lt;EB$5+GanttPeriod),"◇","")),IF(AND(EB$5&lt;=$F89,EB$5+GanttPeriod-1&gt;=$E89),"━","")))</f>
        <v/>
      </c>
      <c r="EC89" s="69" t="str">
        <f aca="false">IF($E89="","",IF($M89,IF(AND($G89&gt;=EC$5,$G89&lt;EC$5+GanttPeriod),"◆",IF(AND($E89&gt;=EC$5,$E89&lt;EC$5+GanttPeriod),"◇","")),IF(AND(EC$5&lt;=$F89,EC$5+GanttPeriod-1&gt;=$E89),"━","")))</f>
        <v/>
      </c>
      <c r="ED89" s="69" t="str">
        <f aca="false">IF($E89="","",IF($M89,IF(AND($G89&gt;=ED$5,$G89&lt;ED$5+GanttPeriod),"◆",IF(AND($E89&gt;=ED$5,$E89&lt;ED$5+GanttPeriod),"◇","")),IF(AND(ED$5&lt;=$F89,ED$5+GanttPeriod-1&gt;=$E89),"━","")))</f>
        <v/>
      </c>
      <c r="EE89" s="69" t="str">
        <f aca="false">IF($E89="","",IF($M89,IF(AND($G89&gt;=EE$5,$G89&lt;EE$5+GanttPeriod),"◆",IF(AND($E89&gt;=EE$5,$E89&lt;EE$5+GanttPeriod),"◇","")),IF(AND(EE$5&lt;=$F89,EE$5+GanttPeriod-1&gt;=$E89),"━","")))</f>
        <v/>
      </c>
      <c r="EF89" s="69" t="str">
        <f aca="false">IF($E89="","",IF($M89,IF(AND($G89&gt;=EF$5,$G89&lt;EF$5+GanttPeriod),"◆",IF(AND($E89&gt;=EF$5,$E89&lt;EF$5+GanttPeriod),"◇","")),IF(AND(EF$5&lt;=$F89,EF$5+GanttPeriod-1&gt;=$E89),"━","")))</f>
        <v/>
      </c>
      <c r="EG89" s="69" t="str">
        <f aca="false">IF($E89="","",IF($M89,IF(AND($G89&gt;=EG$5,$G89&lt;EG$5+GanttPeriod),"◆",IF(AND($E89&gt;=EG$5,$E89&lt;EG$5+GanttPeriod),"◇","")),IF(AND(EG$5&lt;=$F89,EG$5+GanttPeriod-1&gt;=$E89),"━","")))</f>
        <v/>
      </c>
      <c r="EH89" s="69" t="str">
        <f aca="false">IF($E89="","",IF($M89,IF(AND($G89&gt;=EH$5,$G89&lt;EH$5+GanttPeriod),"◆",IF(AND($E89&gt;=EH$5,$E89&lt;EH$5+GanttPeriod),"◇","")),IF(AND(EH$5&lt;=$F89,EH$5+GanttPeriod-1&gt;=$E89),"━","")))</f>
        <v/>
      </c>
      <c r="EI89" s="69" t="str">
        <f aca="false">IF($E89="","",IF($M89,IF(AND($G89&gt;=EI$5,$G89&lt;EI$5+GanttPeriod),"◆",IF(AND($E89&gt;=EI$5,$E89&lt;EI$5+GanttPeriod),"◇","")),IF(AND(EI$5&lt;=$F89,EI$5+GanttPeriod-1&gt;=$E89),"━","")))</f>
        <v/>
      </c>
      <c r="EJ89" s="69" t="str">
        <f aca="false">IF($E89="","",IF($M89,IF(AND($G89&gt;=EJ$5,$G89&lt;EJ$5+GanttPeriod),"◆",IF(AND($E89&gt;=EJ$5,$E89&lt;EJ$5+GanttPeriod),"◇","")),IF(AND(EJ$5&lt;=$F89,EJ$5+GanttPeriod-1&gt;=$E89),"━","")))</f>
        <v/>
      </c>
      <c r="EK89" s="69" t="str">
        <f aca="false">IF($E89="","",IF($M89,IF(AND($G89&gt;=EK$5,$G89&lt;EK$5+GanttPeriod),"◆",IF(AND($E89&gt;=EK$5,$E89&lt;EK$5+GanttPeriod),"◇","")),IF(AND(EK$5&lt;=$F89,EK$5+GanttPeriod-1&gt;=$E89),"━","")))</f>
        <v/>
      </c>
      <c r="EL89" s="69" t="str">
        <f aca="false">IF($E89="","",IF($M89,IF(AND($G89&gt;=EL$5,$G89&lt;EL$5+GanttPeriod),"◆",IF(AND($E89&gt;=EL$5,$E89&lt;EL$5+GanttPeriod),"◇","")),IF(AND(EL$5&lt;=$F89,EL$5+GanttPeriod-1&gt;=$E89),"━","")))</f>
        <v/>
      </c>
      <c r="EM89" s="69" t="str">
        <f aca="false">IF($E89="","",IF($M89,IF(AND($G89&gt;=EM$5,$G89&lt;EM$5+GanttPeriod),"◆",IF(AND($E89&gt;=EM$5,$E89&lt;EM$5+GanttPeriod),"◇","")),IF(AND(EM$5&lt;=$F89,EM$5+GanttPeriod-1&gt;=$E89),"━","")))</f>
        <v/>
      </c>
      <c r="EN89" s="69" t="str">
        <f aca="false">IF($E89="","",IF($M89,IF(AND($G89&gt;=EN$5,$G89&lt;EN$5+GanttPeriod),"◆",IF(AND($E89&gt;=EN$5,$E89&lt;EN$5+GanttPeriod),"◇","")),IF(AND(EN$5&lt;=$F89,EN$5+GanttPeriod-1&gt;=$E89),"━","")))</f>
        <v/>
      </c>
      <c r="EO89" s="69" t="str">
        <f aca="false">IF($E89="","",IF($M89,IF(AND($G89&gt;=EO$5,$G89&lt;EO$5+GanttPeriod),"◆",IF(AND($E89&gt;=EO$5,$E89&lt;EO$5+GanttPeriod),"◇","")),IF(AND(EO$5&lt;=$F89,EO$5+GanttPeriod-1&gt;=$E89),"━","")))</f>
        <v/>
      </c>
      <c r="EP89" s="69" t="str">
        <f aca="false">IF($E89="","",IF($M89,IF(AND($G89&gt;=EP$5,$G89&lt;EP$5+GanttPeriod),"◆",IF(AND($E89&gt;=EP$5,$E89&lt;EP$5+GanttPeriod),"◇","")),IF(AND(EP$5&lt;=$F89,EP$5+GanttPeriod-1&gt;=$E89),"━","")))</f>
        <v/>
      </c>
      <c r="EQ89" s="69" t="str">
        <f aca="false">IF($E89="","",IF($M89,IF(AND($G89&gt;=EQ$5,$G89&lt;EQ$5+GanttPeriod),"◆",IF(AND($E89&gt;=EQ$5,$E89&lt;EQ$5+GanttPeriod),"◇","")),IF(AND(EQ$5&lt;=$F89,EQ$5+GanttPeriod-1&gt;=$E89),"━","")))</f>
        <v/>
      </c>
      <c r="ER89" s="69" t="str">
        <f aca="false">IF($E89="","",IF($M89,IF(AND($G89&gt;=ER$5,$G89&lt;ER$5+GanttPeriod),"◆",IF(AND($E89&gt;=ER$5,$E89&lt;ER$5+GanttPeriod),"◇","")),IF(AND(ER$5&lt;=$F89,ER$5+GanttPeriod-1&gt;=$E89),"━","")))</f>
        <v/>
      </c>
      <c r="ES89" s="69" t="str">
        <f aca="false">IF($E89="","",IF($M89,IF(AND($G89&gt;=ES$5,$G89&lt;ES$5+GanttPeriod),"◆",IF(AND($E89&gt;=ES$5,$E89&lt;ES$5+GanttPeriod),"◇","")),IF(AND(ES$5&lt;=$F89,ES$5+GanttPeriod-1&gt;=$E89),"━","")))</f>
        <v/>
      </c>
      <c r="ET89" s="69" t="str">
        <f aca="false">IF($E89="","",IF($M89,IF(AND($G89&gt;=ET$5,$G89&lt;ET$5+GanttPeriod),"◆",IF(AND($E89&gt;=ET$5,$E89&lt;ET$5+GanttPeriod),"◇","")),IF(AND(ET$5&lt;=$F89,ET$5+GanttPeriod-1&gt;=$E89),"━","")))</f>
        <v/>
      </c>
      <c r="EU89" s="69" t="str">
        <f aca="false">IF($E89="","",IF($M89,IF(AND($G89&gt;=EU$5,$G89&lt;EU$5+GanttPeriod),"◆",IF(AND($E89&gt;=EU$5,$E89&lt;EU$5+GanttPeriod),"◇","")),IF(AND(EU$5&lt;=$F89,EU$5+GanttPeriod-1&gt;=$E89),"━","")))</f>
        <v/>
      </c>
      <c r="EV89" s="69" t="str">
        <f aca="false">IF($E89="","",IF($M89,IF(AND($G89&gt;=EV$5,$G89&lt;EV$5+GanttPeriod),"◆",IF(AND($E89&gt;=EV$5,$E89&lt;EV$5+GanttPeriod),"◇","")),IF(AND(EV$5&lt;=$F89,EV$5+GanttPeriod-1&gt;=$E89),"━","")))</f>
        <v/>
      </c>
      <c r="EW89" s="69" t="str">
        <f aca="false">IF($E89="","",IF($M89,IF(AND($G89&gt;=EW$5,$G89&lt;EW$5+GanttPeriod),"◆",IF(AND($E89&gt;=EW$5,$E89&lt;EW$5+GanttPeriod),"◇","")),IF(AND(EW$5&lt;=$F89,EW$5+GanttPeriod-1&gt;=$E89),"━","")))</f>
        <v/>
      </c>
      <c r="EX89" s="69" t="str">
        <f aca="false">IF($E89="","",IF($M89,IF(AND($G89&gt;=EX$5,$G89&lt;EX$5+GanttPeriod),"◆",IF(AND($E89&gt;=EX$5,$E89&lt;EX$5+GanttPeriod),"◇","")),IF(AND(EX$5&lt;=$F89,EX$5+GanttPeriod-1&gt;=$E89),"━","")))</f>
        <v/>
      </c>
      <c r="EY89" s="69" t="str">
        <f aca="false">IF($E89="","",IF($M89,IF(AND($G89&gt;=EY$5,$G89&lt;EY$5+GanttPeriod),"◆",IF(AND($E89&gt;=EY$5,$E89&lt;EY$5+GanttPeriod),"◇","")),IF(AND(EY$5&lt;=$F89,EY$5+GanttPeriod-1&gt;=$E89),"━","")))</f>
        <v/>
      </c>
      <c r="EZ89" s="69" t="str">
        <f aca="false">IF($E89="","",IF($M89,IF(AND($G89&gt;=EZ$5,$G89&lt;EZ$5+GanttPeriod),"◆",IF(AND($E89&gt;=EZ$5,$E89&lt;EZ$5+GanttPeriod),"◇","")),IF(AND(EZ$5&lt;=$F89,EZ$5+GanttPeriod-1&gt;=$E89),"━","")))</f>
        <v/>
      </c>
      <c r="FA89" s="69" t="str">
        <f aca="false">IF($E89="","",IF($M89,IF(AND($G89&gt;=FA$5,$G89&lt;FA$5+GanttPeriod),"◆",IF(AND($E89&gt;=FA$5,$E89&lt;FA$5+GanttPeriod),"◇","")),IF(AND(FA$5&lt;=$F89,FA$5+GanttPeriod-1&gt;=$E89),"━","")))</f>
        <v/>
      </c>
      <c r="FB89" s="69" t="str">
        <f aca="false">IF($E89="","",IF($M89,IF(AND($G89&gt;=FB$5,$G89&lt;FB$5+GanttPeriod),"◆",IF(AND($E89&gt;=FB$5,$E89&lt;FB$5+GanttPeriod),"◇","")),IF(AND(FB$5&lt;=$F89,FB$5+GanttPeriod-1&gt;=$E89),"━","")))</f>
        <v/>
      </c>
      <c r="FC89" s="69" t="str">
        <f aca="false">IF($E89="","",IF($M89,IF(AND($G89&gt;=FC$5,$G89&lt;FC$5+GanttPeriod),"◆",IF(AND($E89&gt;=FC$5,$E89&lt;FC$5+GanttPeriod),"◇","")),IF(AND(FC$5&lt;=$F89,FC$5+GanttPeriod-1&gt;=$E89),"━","")))</f>
        <v/>
      </c>
      <c r="FD89" s="69" t="str">
        <f aca="false">IF($E89="","",IF($M89,IF(AND($G89&gt;=FD$5,$G89&lt;FD$5+GanttPeriod),"◆",IF(AND($E89&gt;=FD$5,$E89&lt;FD$5+GanttPeriod),"◇","")),IF(AND(FD$5&lt;=$F89,FD$5+GanttPeriod-1&gt;=$E89),"━","")))</f>
        <v/>
      </c>
      <c r="FE89" s="69" t="str">
        <f aca="false">IF($E89="","",IF($M89,IF(AND($G89&gt;=FE$5,$G89&lt;FE$5+GanttPeriod),"◆",IF(AND($E89&gt;=FE$5,$E89&lt;FE$5+GanttPeriod),"◇","")),IF(AND(FE$5&lt;=$F89,FE$5+GanttPeriod-1&gt;=$E89),"━","")))</f>
        <v/>
      </c>
      <c r="FF89" s="69" t="str">
        <f aca="false">IF($E89="","",IF($M89,IF(AND($G89&gt;=FF$5,$G89&lt;FF$5+GanttPeriod),"◆",IF(AND($E89&gt;=FF$5,$E89&lt;FF$5+GanttPeriod),"◇","")),IF(AND(FF$5&lt;=$F89,FF$5+GanttPeriod-1&gt;=$E89),"━","")))</f>
        <v/>
      </c>
      <c r="FG89" s="69" t="str">
        <f aca="false">IF($E89="","",IF($M89,IF(AND($G89&gt;=FG$5,$G89&lt;FG$5+GanttPeriod),"◆",IF(AND($E89&gt;=FG$5,$E89&lt;FG$5+GanttPeriod),"◇","")),IF(AND(FG$5&lt;=$F89,FG$5+GanttPeriod-1&gt;=$E89),"━","")))</f>
        <v/>
      </c>
      <c r="FH89" s="69" t="str">
        <f aca="false">IF($E89="","",IF($M89,IF(AND($G89&gt;=FH$5,$G89&lt;FH$5+GanttPeriod),"◆",IF(AND($E89&gt;=FH$5,$E89&lt;FH$5+GanttPeriod),"◇","")),IF(AND(FH$5&lt;=$F89,FH$5+GanttPeriod-1&gt;=$E89),"━","")))</f>
        <v/>
      </c>
      <c r="FI89" s="69" t="str">
        <f aca="false">IF($E89="","",IF($M89,IF(AND($G89&gt;=FI$5,$G89&lt;FI$5+GanttPeriod),"◆",IF(AND($E89&gt;=FI$5,$E89&lt;FI$5+GanttPeriod),"◇","")),IF(AND(FI$5&lt;=$F89,FI$5+GanttPeriod-1&gt;=$E89),"━","")))</f>
        <v/>
      </c>
      <c r="FJ89" s="69" t="str">
        <f aca="false">IF($E89="","",IF($M89,IF(AND($G89&gt;=FJ$5,$G89&lt;FJ$5+GanttPeriod),"◆",IF(AND($E89&gt;=FJ$5,$E89&lt;FJ$5+GanttPeriod),"◇","")),IF(AND(FJ$5&lt;=$F89,FJ$5+GanttPeriod-1&gt;=$E89),"━","")))</f>
        <v/>
      </c>
      <c r="FK89" s="69" t="str">
        <f aca="false">IF($E89="","",IF($M89,IF(AND($G89&gt;=FK$5,$G89&lt;FK$5+GanttPeriod),"◆",IF(AND($E89&gt;=FK$5,$E89&lt;FK$5+GanttPeriod),"◇","")),IF(AND(FK$5&lt;=$F89,FK$5+GanttPeriod-1&gt;=$E89),"━","")))</f>
        <v/>
      </c>
      <c r="FL89" s="69" t="str">
        <f aca="false">IF($E89="","",IF($M89,IF(AND($G89&gt;=FL$5,$G89&lt;FL$5+GanttPeriod),"◆",IF(AND($E89&gt;=FL$5,$E89&lt;FL$5+GanttPeriod),"◇","")),IF(AND(FL$5&lt;=$F89,FL$5+GanttPeriod-1&gt;=$E89),"━","")))</f>
        <v/>
      </c>
      <c r="FM89" s="69" t="str">
        <f aca="false">IF($E89="","",IF($M89,IF(AND($G89&gt;=FM$5,$G89&lt;FM$5+GanttPeriod),"◆",IF(AND($E89&gt;=FM$5,$E89&lt;FM$5+GanttPeriod),"◇","")),IF(AND(FM$5&lt;=$F89,FM$5+GanttPeriod-1&gt;=$E89),"━","")))</f>
        <v/>
      </c>
    </row>
    <row r="90" customFormat="false" ht="15" hidden="false" customHeight="false" outlineLevel="0" collapsed="false">
      <c r="A90" s="62" t="str">
        <f aca="false">IF(Tasks!$D90="","",Tasks!$A90)</f>
        <v/>
      </c>
      <c r="B90" s="62" t="str">
        <f aca="false">IF(Tasks!$D90="","",Tasks!$B90)</f>
        <v/>
      </c>
      <c r="C90" s="63" t="str">
        <f aca="false">IF(Tasks!$D90="","",REPT("    ",Tasks!$AE90-1)&amp;Tasks!$D90)</f>
        <v/>
      </c>
      <c r="D90" s="62" t="str">
        <f aca="false">IF(Tasks!$D90="","",IF(Tasks!$AI90,NETWORKDAYS.INTL(Tasks!$R90,Tasks!$S90,WorkWeek,Holidays),N(Tasks!$F90)))</f>
        <v/>
      </c>
      <c r="E90" s="64" t="str">
        <f aca="false">IF(Tasks!$D90="","",Tasks!$N90)</f>
        <v/>
      </c>
      <c r="F90" s="64" t="str">
        <f aca="false">IF(Tasks!$D90="","",Tasks!$O90)</f>
        <v/>
      </c>
      <c r="G90" s="64" t="str">
        <f aca="false">IF(Tasks!$D90="","",Tasks!$R90)</f>
        <v/>
      </c>
      <c r="H90" s="64" t="str">
        <f aca="false">IF(Tasks!$D90="","",Tasks!$S90)</f>
        <v/>
      </c>
      <c r="I90" s="65" t="str">
        <f aca="false">IF(Tasks!$D90="","",Tasks!$V90)</f>
        <v/>
      </c>
      <c r="J90" s="63" t="str">
        <f aca="false">IF(Tasks!$D90="","",Tasks!$X90&amp;"")</f>
        <v/>
      </c>
      <c r="K90" s="66" t="str">
        <f aca="false">IF(Tasks!$D90="","",Tasks!$W90)</f>
        <v/>
      </c>
      <c r="L90" s="67" t="b">
        <f aca="false">IF(Tasks!$D90="",FALSE(),Tasks!$AI90)</f>
        <v>0</v>
      </c>
      <c r="M90" s="67" t="b">
        <f aca="false">AND(Tasks!$AJ90=1,N(Tasks!$F90)=0)</f>
        <v>0</v>
      </c>
      <c r="N90" s="68" t="n">
        <f aca="false">IF(AND(Tasks!$AJ90=1,NOT($M90),N($I90)&gt;0),$G90,0)</f>
        <v>0</v>
      </c>
      <c r="O90" s="68" t="n">
        <f aca="false">IF($N90=0,0,IF($I90&gt;=1,$H90,MAX($N90,$G90+ROUND(($H90-$G90+1)*$I90,0)-1)))</f>
        <v>0</v>
      </c>
      <c r="P90" s="68" t="n">
        <f aca="false">IF(OR(Tasks!$AJ90&lt;&gt;1,$M90,N($I90)&gt;=1),0,IF($O90&gt;0,$O90+1,$G90))</f>
        <v>0</v>
      </c>
      <c r="Q90" s="68" t="n">
        <f aca="false">IF($P90=0,0,$H90)</f>
        <v>0</v>
      </c>
      <c r="R90" s="67" t="b">
        <f aca="false">AND(Tasks!$D90&lt;&gt;"",N(Tasks!$T90)&gt;0)</f>
        <v>0</v>
      </c>
      <c r="T90" s="69" t="str">
        <f aca="false">IF($E90="","",IF($M90,IF(AND($G90&gt;=T$5,$G90&lt;T$5+GanttPeriod),"◆",IF(AND($E90&gt;=T$5,$E90&lt;T$5+GanttPeriod),"◇","")),IF(AND(T$5&lt;=$F90,T$5+GanttPeriod-1&gt;=$E90),"━","")))</f>
        <v/>
      </c>
      <c r="U90" s="69" t="str">
        <f aca="false">IF($E90="","",IF($M90,IF(AND($G90&gt;=U$5,$G90&lt;U$5+GanttPeriod),"◆",IF(AND($E90&gt;=U$5,$E90&lt;U$5+GanttPeriod),"◇","")),IF(AND(U$5&lt;=$F90,U$5+GanttPeriod-1&gt;=$E90),"━","")))</f>
        <v/>
      </c>
      <c r="V90" s="69" t="str">
        <f aca="false">IF($E90="","",IF($M90,IF(AND($G90&gt;=V$5,$G90&lt;V$5+GanttPeriod),"◆",IF(AND($E90&gt;=V$5,$E90&lt;V$5+GanttPeriod),"◇","")),IF(AND(V$5&lt;=$F90,V$5+GanttPeriod-1&gt;=$E90),"━","")))</f>
        <v/>
      </c>
      <c r="W90" s="69" t="str">
        <f aca="false">IF($E90="","",IF($M90,IF(AND($G90&gt;=W$5,$G90&lt;W$5+GanttPeriod),"◆",IF(AND($E90&gt;=W$5,$E90&lt;W$5+GanttPeriod),"◇","")),IF(AND(W$5&lt;=$F90,W$5+GanttPeriod-1&gt;=$E90),"━","")))</f>
        <v/>
      </c>
      <c r="X90" s="69" t="str">
        <f aca="false">IF($E90="","",IF($M90,IF(AND($G90&gt;=X$5,$G90&lt;X$5+GanttPeriod),"◆",IF(AND($E90&gt;=X$5,$E90&lt;X$5+GanttPeriod),"◇","")),IF(AND(X$5&lt;=$F90,X$5+GanttPeriod-1&gt;=$E90),"━","")))</f>
        <v/>
      </c>
      <c r="Y90" s="69" t="str">
        <f aca="false">IF($E90="","",IF($M90,IF(AND($G90&gt;=Y$5,$G90&lt;Y$5+GanttPeriod),"◆",IF(AND($E90&gt;=Y$5,$E90&lt;Y$5+GanttPeriod),"◇","")),IF(AND(Y$5&lt;=$F90,Y$5+GanttPeriod-1&gt;=$E90),"━","")))</f>
        <v/>
      </c>
      <c r="Z90" s="69" t="str">
        <f aca="false">IF($E90="","",IF($M90,IF(AND($G90&gt;=Z$5,$G90&lt;Z$5+GanttPeriod),"◆",IF(AND($E90&gt;=Z$5,$E90&lt;Z$5+GanttPeriod),"◇","")),IF(AND(Z$5&lt;=$F90,Z$5+GanttPeriod-1&gt;=$E90),"━","")))</f>
        <v/>
      </c>
      <c r="AA90" s="69" t="str">
        <f aca="false">IF($E90="","",IF($M90,IF(AND($G90&gt;=AA$5,$G90&lt;AA$5+GanttPeriod),"◆",IF(AND($E90&gt;=AA$5,$E90&lt;AA$5+GanttPeriod),"◇","")),IF(AND(AA$5&lt;=$F90,AA$5+GanttPeriod-1&gt;=$E90),"━","")))</f>
        <v/>
      </c>
      <c r="AB90" s="69" t="str">
        <f aca="false">IF($E90="","",IF($M90,IF(AND($G90&gt;=AB$5,$G90&lt;AB$5+GanttPeriod),"◆",IF(AND($E90&gt;=AB$5,$E90&lt;AB$5+GanttPeriod),"◇","")),IF(AND(AB$5&lt;=$F90,AB$5+GanttPeriod-1&gt;=$E90),"━","")))</f>
        <v/>
      </c>
      <c r="AC90" s="69" t="str">
        <f aca="false">IF($E90="","",IF($M90,IF(AND($G90&gt;=AC$5,$G90&lt;AC$5+GanttPeriod),"◆",IF(AND($E90&gt;=AC$5,$E90&lt;AC$5+GanttPeriod),"◇","")),IF(AND(AC$5&lt;=$F90,AC$5+GanttPeriod-1&gt;=$E90),"━","")))</f>
        <v/>
      </c>
      <c r="AD90" s="69" t="str">
        <f aca="false">IF($E90="","",IF($M90,IF(AND($G90&gt;=AD$5,$G90&lt;AD$5+GanttPeriod),"◆",IF(AND($E90&gt;=AD$5,$E90&lt;AD$5+GanttPeriod),"◇","")),IF(AND(AD$5&lt;=$F90,AD$5+GanttPeriod-1&gt;=$E90),"━","")))</f>
        <v/>
      </c>
      <c r="AE90" s="69" t="str">
        <f aca="false">IF($E90="","",IF($M90,IF(AND($G90&gt;=AE$5,$G90&lt;AE$5+GanttPeriod),"◆",IF(AND($E90&gt;=AE$5,$E90&lt;AE$5+GanttPeriod),"◇","")),IF(AND(AE$5&lt;=$F90,AE$5+GanttPeriod-1&gt;=$E90),"━","")))</f>
        <v/>
      </c>
      <c r="AF90" s="69" t="str">
        <f aca="false">IF($E90="","",IF($M90,IF(AND($G90&gt;=AF$5,$G90&lt;AF$5+GanttPeriod),"◆",IF(AND($E90&gt;=AF$5,$E90&lt;AF$5+GanttPeriod),"◇","")),IF(AND(AF$5&lt;=$F90,AF$5+GanttPeriod-1&gt;=$E90),"━","")))</f>
        <v/>
      </c>
      <c r="AG90" s="69" t="str">
        <f aca="false">IF($E90="","",IF($M90,IF(AND($G90&gt;=AG$5,$G90&lt;AG$5+GanttPeriod),"◆",IF(AND($E90&gt;=AG$5,$E90&lt;AG$5+GanttPeriod),"◇","")),IF(AND(AG$5&lt;=$F90,AG$5+GanttPeriod-1&gt;=$E90),"━","")))</f>
        <v/>
      </c>
      <c r="AH90" s="69" t="str">
        <f aca="false">IF($E90="","",IF($M90,IF(AND($G90&gt;=AH$5,$G90&lt;AH$5+GanttPeriod),"◆",IF(AND($E90&gt;=AH$5,$E90&lt;AH$5+GanttPeriod),"◇","")),IF(AND(AH$5&lt;=$F90,AH$5+GanttPeriod-1&gt;=$E90),"━","")))</f>
        <v/>
      </c>
      <c r="AI90" s="69" t="str">
        <f aca="false">IF($E90="","",IF($M90,IF(AND($G90&gt;=AI$5,$G90&lt;AI$5+GanttPeriod),"◆",IF(AND($E90&gt;=AI$5,$E90&lt;AI$5+GanttPeriod),"◇","")),IF(AND(AI$5&lt;=$F90,AI$5+GanttPeriod-1&gt;=$E90),"━","")))</f>
        <v/>
      </c>
      <c r="AJ90" s="69" t="str">
        <f aca="false">IF($E90="","",IF($M90,IF(AND($G90&gt;=AJ$5,$G90&lt;AJ$5+GanttPeriod),"◆",IF(AND($E90&gt;=AJ$5,$E90&lt;AJ$5+GanttPeriod),"◇","")),IF(AND(AJ$5&lt;=$F90,AJ$5+GanttPeriod-1&gt;=$E90),"━","")))</f>
        <v/>
      </c>
      <c r="AK90" s="69" t="str">
        <f aca="false">IF($E90="","",IF($M90,IF(AND($G90&gt;=AK$5,$G90&lt;AK$5+GanttPeriod),"◆",IF(AND($E90&gt;=AK$5,$E90&lt;AK$5+GanttPeriod),"◇","")),IF(AND(AK$5&lt;=$F90,AK$5+GanttPeriod-1&gt;=$E90),"━","")))</f>
        <v/>
      </c>
      <c r="AL90" s="69" t="str">
        <f aca="false">IF($E90="","",IF($M90,IF(AND($G90&gt;=AL$5,$G90&lt;AL$5+GanttPeriod),"◆",IF(AND($E90&gt;=AL$5,$E90&lt;AL$5+GanttPeriod),"◇","")),IF(AND(AL$5&lt;=$F90,AL$5+GanttPeriod-1&gt;=$E90),"━","")))</f>
        <v/>
      </c>
      <c r="AM90" s="69" t="str">
        <f aca="false">IF($E90="","",IF($M90,IF(AND($G90&gt;=AM$5,$G90&lt;AM$5+GanttPeriod),"◆",IF(AND($E90&gt;=AM$5,$E90&lt;AM$5+GanttPeriod),"◇","")),IF(AND(AM$5&lt;=$F90,AM$5+GanttPeriod-1&gt;=$E90),"━","")))</f>
        <v/>
      </c>
      <c r="AN90" s="69" t="str">
        <f aca="false">IF($E90="","",IF($M90,IF(AND($G90&gt;=AN$5,$G90&lt;AN$5+GanttPeriod),"◆",IF(AND($E90&gt;=AN$5,$E90&lt;AN$5+GanttPeriod),"◇","")),IF(AND(AN$5&lt;=$F90,AN$5+GanttPeriod-1&gt;=$E90),"━","")))</f>
        <v/>
      </c>
      <c r="AO90" s="69" t="str">
        <f aca="false">IF($E90="","",IF($M90,IF(AND($G90&gt;=AO$5,$G90&lt;AO$5+GanttPeriod),"◆",IF(AND($E90&gt;=AO$5,$E90&lt;AO$5+GanttPeriod),"◇","")),IF(AND(AO$5&lt;=$F90,AO$5+GanttPeriod-1&gt;=$E90),"━","")))</f>
        <v/>
      </c>
      <c r="AP90" s="69" t="str">
        <f aca="false">IF($E90="","",IF($M90,IF(AND($G90&gt;=AP$5,$G90&lt;AP$5+GanttPeriod),"◆",IF(AND($E90&gt;=AP$5,$E90&lt;AP$5+GanttPeriod),"◇","")),IF(AND(AP$5&lt;=$F90,AP$5+GanttPeriod-1&gt;=$E90),"━","")))</f>
        <v/>
      </c>
      <c r="AQ90" s="69" t="str">
        <f aca="false">IF($E90="","",IF($M90,IF(AND($G90&gt;=AQ$5,$G90&lt;AQ$5+GanttPeriod),"◆",IF(AND($E90&gt;=AQ$5,$E90&lt;AQ$5+GanttPeriod),"◇","")),IF(AND(AQ$5&lt;=$F90,AQ$5+GanttPeriod-1&gt;=$E90),"━","")))</f>
        <v/>
      </c>
      <c r="AR90" s="69" t="str">
        <f aca="false">IF($E90="","",IF($M90,IF(AND($G90&gt;=AR$5,$G90&lt;AR$5+GanttPeriod),"◆",IF(AND($E90&gt;=AR$5,$E90&lt;AR$5+GanttPeriod),"◇","")),IF(AND(AR$5&lt;=$F90,AR$5+GanttPeriod-1&gt;=$E90),"━","")))</f>
        <v/>
      </c>
      <c r="AS90" s="69" t="str">
        <f aca="false">IF($E90="","",IF($M90,IF(AND($G90&gt;=AS$5,$G90&lt;AS$5+GanttPeriod),"◆",IF(AND($E90&gt;=AS$5,$E90&lt;AS$5+GanttPeriod),"◇","")),IF(AND(AS$5&lt;=$F90,AS$5+GanttPeriod-1&gt;=$E90),"━","")))</f>
        <v/>
      </c>
      <c r="AT90" s="69" t="str">
        <f aca="false">IF($E90="","",IF($M90,IF(AND($G90&gt;=AT$5,$G90&lt;AT$5+GanttPeriod),"◆",IF(AND($E90&gt;=AT$5,$E90&lt;AT$5+GanttPeriod),"◇","")),IF(AND(AT$5&lt;=$F90,AT$5+GanttPeriod-1&gt;=$E90),"━","")))</f>
        <v/>
      </c>
      <c r="AU90" s="69" t="str">
        <f aca="false">IF($E90="","",IF($M90,IF(AND($G90&gt;=AU$5,$G90&lt;AU$5+GanttPeriod),"◆",IF(AND($E90&gt;=AU$5,$E90&lt;AU$5+GanttPeriod),"◇","")),IF(AND(AU$5&lt;=$F90,AU$5+GanttPeriod-1&gt;=$E90),"━","")))</f>
        <v/>
      </c>
      <c r="AV90" s="69" t="str">
        <f aca="false">IF($E90="","",IF($M90,IF(AND($G90&gt;=AV$5,$G90&lt;AV$5+GanttPeriod),"◆",IF(AND($E90&gt;=AV$5,$E90&lt;AV$5+GanttPeriod),"◇","")),IF(AND(AV$5&lt;=$F90,AV$5+GanttPeriod-1&gt;=$E90),"━","")))</f>
        <v/>
      </c>
      <c r="AW90" s="69" t="str">
        <f aca="false">IF($E90="","",IF($M90,IF(AND($G90&gt;=AW$5,$G90&lt;AW$5+GanttPeriod),"◆",IF(AND($E90&gt;=AW$5,$E90&lt;AW$5+GanttPeriod),"◇","")),IF(AND(AW$5&lt;=$F90,AW$5+GanttPeriod-1&gt;=$E90),"━","")))</f>
        <v/>
      </c>
      <c r="AX90" s="69" t="str">
        <f aca="false">IF($E90="","",IF($M90,IF(AND($G90&gt;=AX$5,$G90&lt;AX$5+GanttPeriod),"◆",IF(AND($E90&gt;=AX$5,$E90&lt;AX$5+GanttPeriod),"◇","")),IF(AND(AX$5&lt;=$F90,AX$5+GanttPeriod-1&gt;=$E90),"━","")))</f>
        <v/>
      </c>
      <c r="AY90" s="69" t="str">
        <f aca="false">IF($E90="","",IF($M90,IF(AND($G90&gt;=AY$5,$G90&lt;AY$5+GanttPeriod),"◆",IF(AND($E90&gt;=AY$5,$E90&lt;AY$5+GanttPeriod),"◇","")),IF(AND(AY$5&lt;=$F90,AY$5+GanttPeriod-1&gt;=$E90),"━","")))</f>
        <v/>
      </c>
      <c r="AZ90" s="69" t="str">
        <f aca="false">IF($E90="","",IF($M90,IF(AND($G90&gt;=AZ$5,$G90&lt;AZ$5+GanttPeriod),"◆",IF(AND($E90&gt;=AZ$5,$E90&lt;AZ$5+GanttPeriod),"◇","")),IF(AND(AZ$5&lt;=$F90,AZ$5+GanttPeriod-1&gt;=$E90),"━","")))</f>
        <v/>
      </c>
      <c r="BA90" s="69" t="str">
        <f aca="false">IF($E90="","",IF($M90,IF(AND($G90&gt;=BA$5,$G90&lt;BA$5+GanttPeriod),"◆",IF(AND($E90&gt;=BA$5,$E90&lt;BA$5+GanttPeriod),"◇","")),IF(AND(BA$5&lt;=$F90,BA$5+GanttPeriod-1&gt;=$E90),"━","")))</f>
        <v/>
      </c>
      <c r="BB90" s="69" t="str">
        <f aca="false">IF($E90="","",IF($M90,IF(AND($G90&gt;=BB$5,$G90&lt;BB$5+GanttPeriod),"◆",IF(AND($E90&gt;=BB$5,$E90&lt;BB$5+GanttPeriod),"◇","")),IF(AND(BB$5&lt;=$F90,BB$5+GanttPeriod-1&gt;=$E90),"━","")))</f>
        <v/>
      </c>
      <c r="BC90" s="69" t="str">
        <f aca="false">IF($E90="","",IF($M90,IF(AND($G90&gt;=BC$5,$G90&lt;BC$5+GanttPeriod),"◆",IF(AND($E90&gt;=BC$5,$E90&lt;BC$5+GanttPeriod),"◇","")),IF(AND(BC$5&lt;=$F90,BC$5+GanttPeriod-1&gt;=$E90),"━","")))</f>
        <v/>
      </c>
      <c r="BD90" s="69" t="str">
        <f aca="false">IF($E90="","",IF($M90,IF(AND($G90&gt;=BD$5,$G90&lt;BD$5+GanttPeriod),"◆",IF(AND($E90&gt;=BD$5,$E90&lt;BD$5+GanttPeriod),"◇","")),IF(AND(BD$5&lt;=$F90,BD$5+GanttPeriod-1&gt;=$E90),"━","")))</f>
        <v/>
      </c>
      <c r="BE90" s="69" t="str">
        <f aca="false">IF($E90="","",IF($M90,IF(AND($G90&gt;=BE$5,$G90&lt;BE$5+GanttPeriod),"◆",IF(AND($E90&gt;=BE$5,$E90&lt;BE$5+GanttPeriod),"◇","")),IF(AND(BE$5&lt;=$F90,BE$5+GanttPeriod-1&gt;=$E90),"━","")))</f>
        <v/>
      </c>
      <c r="BF90" s="69" t="str">
        <f aca="false">IF($E90="","",IF($M90,IF(AND($G90&gt;=BF$5,$G90&lt;BF$5+GanttPeriod),"◆",IF(AND($E90&gt;=BF$5,$E90&lt;BF$5+GanttPeriod),"◇","")),IF(AND(BF$5&lt;=$F90,BF$5+GanttPeriod-1&gt;=$E90),"━","")))</f>
        <v/>
      </c>
      <c r="BG90" s="69" t="str">
        <f aca="false">IF($E90="","",IF($M90,IF(AND($G90&gt;=BG$5,$G90&lt;BG$5+GanttPeriod),"◆",IF(AND($E90&gt;=BG$5,$E90&lt;BG$5+GanttPeriod),"◇","")),IF(AND(BG$5&lt;=$F90,BG$5+GanttPeriod-1&gt;=$E90),"━","")))</f>
        <v/>
      </c>
      <c r="BH90" s="69" t="str">
        <f aca="false">IF($E90="","",IF($M90,IF(AND($G90&gt;=BH$5,$G90&lt;BH$5+GanttPeriod),"◆",IF(AND($E90&gt;=BH$5,$E90&lt;BH$5+GanttPeriod),"◇","")),IF(AND(BH$5&lt;=$F90,BH$5+GanttPeriod-1&gt;=$E90),"━","")))</f>
        <v/>
      </c>
      <c r="BI90" s="69" t="str">
        <f aca="false">IF($E90="","",IF($M90,IF(AND($G90&gt;=BI$5,$G90&lt;BI$5+GanttPeriod),"◆",IF(AND($E90&gt;=BI$5,$E90&lt;BI$5+GanttPeriod),"◇","")),IF(AND(BI$5&lt;=$F90,BI$5+GanttPeriod-1&gt;=$E90),"━","")))</f>
        <v/>
      </c>
      <c r="BJ90" s="69" t="str">
        <f aca="false">IF($E90="","",IF($M90,IF(AND($G90&gt;=BJ$5,$G90&lt;BJ$5+GanttPeriod),"◆",IF(AND($E90&gt;=BJ$5,$E90&lt;BJ$5+GanttPeriod),"◇","")),IF(AND(BJ$5&lt;=$F90,BJ$5+GanttPeriod-1&gt;=$E90),"━","")))</f>
        <v/>
      </c>
      <c r="BK90" s="69" t="str">
        <f aca="false">IF($E90="","",IF($M90,IF(AND($G90&gt;=BK$5,$G90&lt;BK$5+GanttPeriod),"◆",IF(AND($E90&gt;=BK$5,$E90&lt;BK$5+GanttPeriod),"◇","")),IF(AND(BK$5&lt;=$F90,BK$5+GanttPeriod-1&gt;=$E90),"━","")))</f>
        <v/>
      </c>
      <c r="BL90" s="69" t="str">
        <f aca="false">IF($E90="","",IF($M90,IF(AND($G90&gt;=BL$5,$G90&lt;BL$5+GanttPeriod),"◆",IF(AND($E90&gt;=BL$5,$E90&lt;BL$5+GanttPeriod),"◇","")),IF(AND(BL$5&lt;=$F90,BL$5+GanttPeriod-1&gt;=$E90),"━","")))</f>
        <v/>
      </c>
      <c r="BM90" s="69" t="str">
        <f aca="false">IF($E90="","",IF($M90,IF(AND($G90&gt;=BM$5,$G90&lt;BM$5+GanttPeriod),"◆",IF(AND($E90&gt;=BM$5,$E90&lt;BM$5+GanttPeriod),"◇","")),IF(AND(BM$5&lt;=$F90,BM$5+GanttPeriod-1&gt;=$E90),"━","")))</f>
        <v/>
      </c>
      <c r="BN90" s="69" t="str">
        <f aca="false">IF($E90="","",IF($M90,IF(AND($G90&gt;=BN$5,$G90&lt;BN$5+GanttPeriod),"◆",IF(AND($E90&gt;=BN$5,$E90&lt;BN$5+GanttPeriod),"◇","")),IF(AND(BN$5&lt;=$F90,BN$5+GanttPeriod-1&gt;=$E90),"━","")))</f>
        <v/>
      </c>
      <c r="BO90" s="69" t="str">
        <f aca="false">IF($E90="","",IF($M90,IF(AND($G90&gt;=BO$5,$G90&lt;BO$5+GanttPeriod),"◆",IF(AND($E90&gt;=BO$5,$E90&lt;BO$5+GanttPeriod),"◇","")),IF(AND(BO$5&lt;=$F90,BO$5+GanttPeriod-1&gt;=$E90),"━","")))</f>
        <v/>
      </c>
      <c r="BP90" s="69" t="str">
        <f aca="false">IF($E90="","",IF($M90,IF(AND($G90&gt;=BP$5,$G90&lt;BP$5+GanttPeriod),"◆",IF(AND($E90&gt;=BP$5,$E90&lt;BP$5+GanttPeriod),"◇","")),IF(AND(BP$5&lt;=$F90,BP$5+GanttPeriod-1&gt;=$E90),"━","")))</f>
        <v/>
      </c>
      <c r="BQ90" s="69" t="str">
        <f aca="false">IF($E90="","",IF($M90,IF(AND($G90&gt;=BQ$5,$G90&lt;BQ$5+GanttPeriod),"◆",IF(AND($E90&gt;=BQ$5,$E90&lt;BQ$5+GanttPeriod),"◇","")),IF(AND(BQ$5&lt;=$F90,BQ$5+GanttPeriod-1&gt;=$E90),"━","")))</f>
        <v/>
      </c>
      <c r="BR90" s="69" t="str">
        <f aca="false">IF($E90="","",IF($M90,IF(AND($G90&gt;=BR$5,$G90&lt;BR$5+GanttPeriod),"◆",IF(AND($E90&gt;=BR$5,$E90&lt;BR$5+GanttPeriod),"◇","")),IF(AND(BR$5&lt;=$F90,BR$5+GanttPeriod-1&gt;=$E90),"━","")))</f>
        <v/>
      </c>
      <c r="BS90" s="69" t="str">
        <f aca="false">IF($E90="","",IF($M90,IF(AND($G90&gt;=BS$5,$G90&lt;BS$5+GanttPeriod),"◆",IF(AND($E90&gt;=BS$5,$E90&lt;BS$5+GanttPeriod),"◇","")),IF(AND(BS$5&lt;=$F90,BS$5+GanttPeriod-1&gt;=$E90),"━","")))</f>
        <v/>
      </c>
      <c r="BT90" s="69" t="str">
        <f aca="false">IF($E90="","",IF($M90,IF(AND($G90&gt;=BT$5,$G90&lt;BT$5+GanttPeriod),"◆",IF(AND($E90&gt;=BT$5,$E90&lt;BT$5+GanttPeriod),"◇","")),IF(AND(BT$5&lt;=$F90,BT$5+GanttPeriod-1&gt;=$E90),"━","")))</f>
        <v/>
      </c>
      <c r="BU90" s="69" t="str">
        <f aca="false">IF($E90="","",IF($M90,IF(AND($G90&gt;=BU$5,$G90&lt;BU$5+GanttPeriod),"◆",IF(AND($E90&gt;=BU$5,$E90&lt;BU$5+GanttPeriod),"◇","")),IF(AND(BU$5&lt;=$F90,BU$5+GanttPeriod-1&gt;=$E90),"━","")))</f>
        <v/>
      </c>
      <c r="BV90" s="69" t="str">
        <f aca="false">IF($E90="","",IF($M90,IF(AND($G90&gt;=BV$5,$G90&lt;BV$5+GanttPeriod),"◆",IF(AND($E90&gt;=BV$5,$E90&lt;BV$5+GanttPeriod),"◇","")),IF(AND(BV$5&lt;=$F90,BV$5+GanttPeriod-1&gt;=$E90),"━","")))</f>
        <v/>
      </c>
      <c r="BW90" s="69" t="str">
        <f aca="false">IF($E90="","",IF($M90,IF(AND($G90&gt;=BW$5,$G90&lt;BW$5+GanttPeriod),"◆",IF(AND($E90&gt;=BW$5,$E90&lt;BW$5+GanttPeriod),"◇","")),IF(AND(BW$5&lt;=$F90,BW$5+GanttPeriod-1&gt;=$E90),"━","")))</f>
        <v/>
      </c>
      <c r="BX90" s="69" t="str">
        <f aca="false">IF($E90="","",IF($M90,IF(AND($G90&gt;=BX$5,$G90&lt;BX$5+GanttPeriod),"◆",IF(AND($E90&gt;=BX$5,$E90&lt;BX$5+GanttPeriod),"◇","")),IF(AND(BX$5&lt;=$F90,BX$5+GanttPeriod-1&gt;=$E90),"━","")))</f>
        <v/>
      </c>
      <c r="BY90" s="69" t="str">
        <f aca="false">IF($E90="","",IF($M90,IF(AND($G90&gt;=BY$5,$G90&lt;BY$5+GanttPeriod),"◆",IF(AND($E90&gt;=BY$5,$E90&lt;BY$5+GanttPeriod),"◇","")),IF(AND(BY$5&lt;=$F90,BY$5+GanttPeriod-1&gt;=$E90),"━","")))</f>
        <v/>
      </c>
      <c r="BZ90" s="69" t="str">
        <f aca="false">IF($E90="","",IF($M90,IF(AND($G90&gt;=BZ$5,$G90&lt;BZ$5+GanttPeriod),"◆",IF(AND($E90&gt;=BZ$5,$E90&lt;BZ$5+GanttPeriod),"◇","")),IF(AND(BZ$5&lt;=$F90,BZ$5+GanttPeriod-1&gt;=$E90),"━","")))</f>
        <v/>
      </c>
      <c r="CA90" s="69" t="str">
        <f aca="false">IF($E90="","",IF($M90,IF(AND($G90&gt;=CA$5,$G90&lt;CA$5+GanttPeriod),"◆",IF(AND($E90&gt;=CA$5,$E90&lt;CA$5+GanttPeriod),"◇","")),IF(AND(CA$5&lt;=$F90,CA$5+GanttPeriod-1&gt;=$E90),"━","")))</f>
        <v/>
      </c>
      <c r="CB90" s="69" t="str">
        <f aca="false">IF($E90="","",IF($M90,IF(AND($G90&gt;=CB$5,$G90&lt;CB$5+GanttPeriod),"◆",IF(AND($E90&gt;=CB$5,$E90&lt;CB$5+GanttPeriod),"◇","")),IF(AND(CB$5&lt;=$F90,CB$5+GanttPeriod-1&gt;=$E90),"━","")))</f>
        <v/>
      </c>
      <c r="CC90" s="69" t="str">
        <f aca="false">IF($E90="","",IF($M90,IF(AND($G90&gt;=CC$5,$G90&lt;CC$5+GanttPeriod),"◆",IF(AND($E90&gt;=CC$5,$E90&lt;CC$5+GanttPeriod),"◇","")),IF(AND(CC$5&lt;=$F90,CC$5+GanttPeriod-1&gt;=$E90),"━","")))</f>
        <v/>
      </c>
      <c r="CD90" s="69" t="str">
        <f aca="false">IF($E90="","",IF($M90,IF(AND($G90&gt;=CD$5,$G90&lt;CD$5+GanttPeriod),"◆",IF(AND($E90&gt;=CD$5,$E90&lt;CD$5+GanttPeriod),"◇","")),IF(AND(CD$5&lt;=$F90,CD$5+GanttPeriod-1&gt;=$E90),"━","")))</f>
        <v/>
      </c>
      <c r="CE90" s="69" t="str">
        <f aca="false">IF($E90="","",IF($M90,IF(AND($G90&gt;=CE$5,$G90&lt;CE$5+GanttPeriod),"◆",IF(AND($E90&gt;=CE$5,$E90&lt;CE$5+GanttPeriod),"◇","")),IF(AND(CE$5&lt;=$F90,CE$5+GanttPeriod-1&gt;=$E90),"━","")))</f>
        <v/>
      </c>
      <c r="CF90" s="69" t="str">
        <f aca="false">IF($E90="","",IF($M90,IF(AND($G90&gt;=CF$5,$G90&lt;CF$5+GanttPeriod),"◆",IF(AND($E90&gt;=CF$5,$E90&lt;CF$5+GanttPeriod),"◇","")),IF(AND(CF$5&lt;=$F90,CF$5+GanttPeriod-1&gt;=$E90),"━","")))</f>
        <v/>
      </c>
      <c r="CG90" s="69" t="str">
        <f aca="false">IF($E90="","",IF($M90,IF(AND($G90&gt;=CG$5,$G90&lt;CG$5+GanttPeriod),"◆",IF(AND($E90&gt;=CG$5,$E90&lt;CG$5+GanttPeriod),"◇","")),IF(AND(CG$5&lt;=$F90,CG$5+GanttPeriod-1&gt;=$E90),"━","")))</f>
        <v/>
      </c>
      <c r="CH90" s="69" t="str">
        <f aca="false">IF($E90="","",IF($M90,IF(AND($G90&gt;=CH$5,$G90&lt;CH$5+GanttPeriod),"◆",IF(AND($E90&gt;=CH$5,$E90&lt;CH$5+GanttPeriod),"◇","")),IF(AND(CH$5&lt;=$F90,CH$5+GanttPeriod-1&gt;=$E90),"━","")))</f>
        <v/>
      </c>
      <c r="CI90" s="69" t="str">
        <f aca="false">IF($E90="","",IF($M90,IF(AND($G90&gt;=CI$5,$G90&lt;CI$5+GanttPeriod),"◆",IF(AND($E90&gt;=CI$5,$E90&lt;CI$5+GanttPeriod),"◇","")),IF(AND(CI$5&lt;=$F90,CI$5+GanttPeriod-1&gt;=$E90),"━","")))</f>
        <v/>
      </c>
      <c r="CJ90" s="69" t="str">
        <f aca="false">IF($E90="","",IF($M90,IF(AND($G90&gt;=CJ$5,$G90&lt;CJ$5+GanttPeriod),"◆",IF(AND($E90&gt;=CJ$5,$E90&lt;CJ$5+GanttPeriod),"◇","")),IF(AND(CJ$5&lt;=$F90,CJ$5+GanttPeriod-1&gt;=$E90),"━","")))</f>
        <v/>
      </c>
      <c r="CK90" s="69" t="str">
        <f aca="false">IF($E90="","",IF($M90,IF(AND($G90&gt;=CK$5,$G90&lt;CK$5+GanttPeriod),"◆",IF(AND($E90&gt;=CK$5,$E90&lt;CK$5+GanttPeriod),"◇","")),IF(AND(CK$5&lt;=$F90,CK$5+GanttPeriod-1&gt;=$E90),"━","")))</f>
        <v/>
      </c>
      <c r="CL90" s="69" t="str">
        <f aca="false">IF($E90="","",IF($M90,IF(AND($G90&gt;=CL$5,$G90&lt;CL$5+GanttPeriod),"◆",IF(AND($E90&gt;=CL$5,$E90&lt;CL$5+GanttPeriod),"◇","")),IF(AND(CL$5&lt;=$F90,CL$5+GanttPeriod-1&gt;=$E90),"━","")))</f>
        <v/>
      </c>
      <c r="CM90" s="69" t="str">
        <f aca="false">IF($E90="","",IF($M90,IF(AND($G90&gt;=CM$5,$G90&lt;CM$5+GanttPeriod),"◆",IF(AND($E90&gt;=CM$5,$E90&lt;CM$5+GanttPeriod),"◇","")),IF(AND(CM$5&lt;=$F90,CM$5+GanttPeriod-1&gt;=$E90),"━","")))</f>
        <v/>
      </c>
      <c r="CN90" s="69" t="str">
        <f aca="false">IF($E90="","",IF($M90,IF(AND($G90&gt;=CN$5,$G90&lt;CN$5+GanttPeriod),"◆",IF(AND($E90&gt;=CN$5,$E90&lt;CN$5+GanttPeriod),"◇","")),IF(AND(CN$5&lt;=$F90,CN$5+GanttPeriod-1&gt;=$E90),"━","")))</f>
        <v/>
      </c>
      <c r="CO90" s="69" t="str">
        <f aca="false">IF($E90="","",IF($M90,IF(AND($G90&gt;=CO$5,$G90&lt;CO$5+GanttPeriod),"◆",IF(AND($E90&gt;=CO$5,$E90&lt;CO$5+GanttPeriod),"◇","")),IF(AND(CO$5&lt;=$F90,CO$5+GanttPeriod-1&gt;=$E90),"━","")))</f>
        <v/>
      </c>
      <c r="CP90" s="69" t="str">
        <f aca="false">IF($E90="","",IF($M90,IF(AND($G90&gt;=CP$5,$G90&lt;CP$5+GanttPeriod),"◆",IF(AND($E90&gt;=CP$5,$E90&lt;CP$5+GanttPeriod),"◇","")),IF(AND(CP$5&lt;=$F90,CP$5+GanttPeriod-1&gt;=$E90),"━","")))</f>
        <v/>
      </c>
      <c r="CQ90" s="69" t="str">
        <f aca="false">IF($E90="","",IF($M90,IF(AND($G90&gt;=CQ$5,$G90&lt;CQ$5+GanttPeriod),"◆",IF(AND($E90&gt;=CQ$5,$E90&lt;CQ$5+GanttPeriod),"◇","")),IF(AND(CQ$5&lt;=$F90,CQ$5+GanttPeriod-1&gt;=$E90),"━","")))</f>
        <v/>
      </c>
      <c r="CR90" s="69" t="str">
        <f aca="false">IF($E90="","",IF($M90,IF(AND($G90&gt;=CR$5,$G90&lt;CR$5+GanttPeriod),"◆",IF(AND($E90&gt;=CR$5,$E90&lt;CR$5+GanttPeriod),"◇","")),IF(AND(CR$5&lt;=$F90,CR$5+GanttPeriod-1&gt;=$E90),"━","")))</f>
        <v/>
      </c>
      <c r="CS90" s="69" t="str">
        <f aca="false">IF($E90="","",IF($M90,IF(AND($G90&gt;=CS$5,$G90&lt;CS$5+GanttPeriod),"◆",IF(AND($E90&gt;=CS$5,$E90&lt;CS$5+GanttPeriod),"◇","")),IF(AND(CS$5&lt;=$F90,CS$5+GanttPeriod-1&gt;=$E90),"━","")))</f>
        <v/>
      </c>
      <c r="CT90" s="69" t="str">
        <f aca="false">IF($E90="","",IF($M90,IF(AND($G90&gt;=CT$5,$G90&lt;CT$5+GanttPeriod),"◆",IF(AND($E90&gt;=CT$5,$E90&lt;CT$5+GanttPeriod),"◇","")),IF(AND(CT$5&lt;=$F90,CT$5+GanttPeriod-1&gt;=$E90),"━","")))</f>
        <v/>
      </c>
      <c r="CU90" s="69" t="str">
        <f aca="false">IF($E90="","",IF($M90,IF(AND($G90&gt;=CU$5,$G90&lt;CU$5+GanttPeriod),"◆",IF(AND($E90&gt;=CU$5,$E90&lt;CU$5+GanttPeriod),"◇","")),IF(AND(CU$5&lt;=$F90,CU$5+GanttPeriod-1&gt;=$E90),"━","")))</f>
        <v/>
      </c>
      <c r="CV90" s="69" t="str">
        <f aca="false">IF($E90="","",IF($M90,IF(AND($G90&gt;=CV$5,$G90&lt;CV$5+GanttPeriod),"◆",IF(AND($E90&gt;=CV$5,$E90&lt;CV$5+GanttPeriod),"◇","")),IF(AND(CV$5&lt;=$F90,CV$5+GanttPeriod-1&gt;=$E90),"━","")))</f>
        <v/>
      </c>
      <c r="CW90" s="69" t="str">
        <f aca="false">IF($E90="","",IF($M90,IF(AND($G90&gt;=CW$5,$G90&lt;CW$5+GanttPeriod),"◆",IF(AND($E90&gt;=CW$5,$E90&lt;CW$5+GanttPeriod),"◇","")),IF(AND(CW$5&lt;=$F90,CW$5+GanttPeriod-1&gt;=$E90),"━","")))</f>
        <v/>
      </c>
      <c r="CX90" s="69" t="str">
        <f aca="false">IF($E90="","",IF($M90,IF(AND($G90&gt;=CX$5,$G90&lt;CX$5+GanttPeriod),"◆",IF(AND($E90&gt;=CX$5,$E90&lt;CX$5+GanttPeriod),"◇","")),IF(AND(CX$5&lt;=$F90,CX$5+GanttPeriod-1&gt;=$E90),"━","")))</f>
        <v/>
      </c>
      <c r="CY90" s="69" t="str">
        <f aca="false">IF($E90="","",IF($M90,IF(AND($G90&gt;=CY$5,$G90&lt;CY$5+GanttPeriod),"◆",IF(AND($E90&gt;=CY$5,$E90&lt;CY$5+GanttPeriod),"◇","")),IF(AND(CY$5&lt;=$F90,CY$5+GanttPeriod-1&gt;=$E90),"━","")))</f>
        <v/>
      </c>
      <c r="CZ90" s="69" t="str">
        <f aca="false">IF($E90="","",IF($M90,IF(AND($G90&gt;=CZ$5,$G90&lt;CZ$5+GanttPeriod),"◆",IF(AND($E90&gt;=CZ$5,$E90&lt;CZ$5+GanttPeriod),"◇","")),IF(AND(CZ$5&lt;=$F90,CZ$5+GanttPeriod-1&gt;=$E90),"━","")))</f>
        <v/>
      </c>
      <c r="DA90" s="69" t="str">
        <f aca="false">IF($E90="","",IF($M90,IF(AND($G90&gt;=DA$5,$G90&lt;DA$5+GanttPeriod),"◆",IF(AND($E90&gt;=DA$5,$E90&lt;DA$5+GanttPeriod),"◇","")),IF(AND(DA$5&lt;=$F90,DA$5+GanttPeriod-1&gt;=$E90),"━","")))</f>
        <v/>
      </c>
      <c r="DB90" s="69" t="str">
        <f aca="false">IF($E90="","",IF($M90,IF(AND($G90&gt;=DB$5,$G90&lt;DB$5+GanttPeriod),"◆",IF(AND($E90&gt;=DB$5,$E90&lt;DB$5+GanttPeriod),"◇","")),IF(AND(DB$5&lt;=$F90,DB$5+GanttPeriod-1&gt;=$E90),"━","")))</f>
        <v/>
      </c>
      <c r="DC90" s="69" t="str">
        <f aca="false">IF($E90="","",IF($M90,IF(AND($G90&gt;=DC$5,$G90&lt;DC$5+GanttPeriod),"◆",IF(AND($E90&gt;=DC$5,$E90&lt;DC$5+GanttPeriod),"◇","")),IF(AND(DC$5&lt;=$F90,DC$5+GanttPeriod-1&gt;=$E90),"━","")))</f>
        <v/>
      </c>
      <c r="DD90" s="69" t="str">
        <f aca="false">IF($E90="","",IF($M90,IF(AND($G90&gt;=DD$5,$G90&lt;DD$5+GanttPeriod),"◆",IF(AND($E90&gt;=DD$5,$E90&lt;DD$5+GanttPeriod),"◇","")),IF(AND(DD$5&lt;=$F90,DD$5+GanttPeriod-1&gt;=$E90),"━","")))</f>
        <v/>
      </c>
      <c r="DE90" s="69" t="str">
        <f aca="false">IF($E90="","",IF($M90,IF(AND($G90&gt;=DE$5,$G90&lt;DE$5+GanttPeriod),"◆",IF(AND($E90&gt;=DE$5,$E90&lt;DE$5+GanttPeriod),"◇","")),IF(AND(DE$5&lt;=$F90,DE$5+GanttPeriod-1&gt;=$E90),"━","")))</f>
        <v/>
      </c>
      <c r="DF90" s="69" t="str">
        <f aca="false">IF($E90="","",IF($M90,IF(AND($G90&gt;=DF$5,$G90&lt;DF$5+GanttPeriod),"◆",IF(AND($E90&gt;=DF$5,$E90&lt;DF$5+GanttPeriod),"◇","")),IF(AND(DF$5&lt;=$F90,DF$5+GanttPeriod-1&gt;=$E90),"━","")))</f>
        <v/>
      </c>
      <c r="DG90" s="69" t="str">
        <f aca="false">IF($E90="","",IF($M90,IF(AND($G90&gt;=DG$5,$G90&lt;DG$5+GanttPeriod),"◆",IF(AND($E90&gt;=DG$5,$E90&lt;DG$5+GanttPeriod),"◇","")),IF(AND(DG$5&lt;=$F90,DG$5+GanttPeriod-1&gt;=$E90),"━","")))</f>
        <v/>
      </c>
      <c r="DH90" s="69" t="str">
        <f aca="false">IF($E90="","",IF($M90,IF(AND($G90&gt;=DH$5,$G90&lt;DH$5+GanttPeriod),"◆",IF(AND($E90&gt;=DH$5,$E90&lt;DH$5+GanttPeriod),"◇","")),IF(AND(DH$5&lt;=$F90,DH$5+GanttPeriod-1&gt;=$E90),"━","")))</f>
        <v/>
      </c>
      <c r="DI90" s="69" t="str">
        <f aca="false">IF($E90="","",IF($M90,IF(AND($G90&gt;=DI$5,$G90&lt;DI$5+GanttPeriod),"◆",IF(AND($E90&gt;=DI$5,$E90&lt;DI$5+GanttPeriod),"◇","")),IF(AND(DI$5&lt;=$F90,DI$5+GanttPeriod-1&gt;=$E90),"━","")))</f>
        <v/>
      </c>
      <c r="DJ90" s="69" t="str">
        <f aca="false">IF($E90="","",IF($M90,IF(AND($G90&gt;=DJ$5,$G90&lt;DJ$5+GanttPeriod),"◆",IF(AND($E90&gt;=DJ$5,$E90&lt;DJ$5+GanttPeriod),"◇","")),IF(AND(DJ$5&lt;=$F90,DJ$5+GanttPeriod-1&gt;=$E90),"━","")))</f>
        <v/>
      </c>
      <c r="DK90" s="69" t="str">
        <f aca="false">IF($E90="","",IF($M90,IF(AND($G90&gt;=DK$5,$G90&lt;DK$5+GanttPeriod),"◆",IF(AND($E90&gt;=DK$5,$E90&lt;DK$5+GanttPeriod),"◇","")),IF(AND(DK$5&lt;=$F90,DK$5+GanttPeriod-1&gt;=$E90),"━","")))</f>
        <v/>
      </c>
      <c r="DL90" s="69" t="str">
        <f aca="false">IF($E90="","",IF($M90,IF(AND($G90&gt;=DL$5,$G90&lt;DL$5+GanttPeriod),"◆",IF(AND($E90&gt;=DL$5,$E90&lt;DL$5+GanttPeriod),"◇","")),IF(AND(DL$5&lt;=$F90,DL$5+GanttPeriod-1&gt;=$E90),"━","")))</f>
        <v/>
      </c>
      <c r="DM90" s="69" t="str">
        <f aca="false">IF($E90="","",IF($M90,IF(AND($G90&gt;=DM$5,$G90&lt;DM$5+GanttPeriod),"◆",IF(AND($E90&gt;=DM$5,$E90&lt;DM$5+GanttPeriod),"◇","")),IF(AND(DM$5&lt;=$F90,DM$5+GanttPeriod-1&gt;=$E90),"━","")))</f>
        <v/>
      </c>
      <c r="DN90" s="69" t="str">
        <f aca="false">IF($E90="","",IF($M90,IF(AND($G90&gt;=DN$5,$G90&lt;DN$5+GanttPeriod),"◆",IF(AND($E90&gt;=DN$5,$E90&lt;DN$5+GanttPeriod),"◇","")),IF(AND(DN$5&lt;=$F90,DN$5+GanttPeriod-1&gt;=$E90),"━","")))</f>
        <v/>
      </c>
      <c r="DO90" s="69" t="str">
        <f aca="false">IF($E90="","",IF($M90,IF(AND($G90&gt;=DO$5,$G90&lt;DO$5+GanttPeriod),"◆",IF(AND($E90&gt;=DO$5,$E90&lt;DO$5+GanttPeriod),"◇","")),IF(AND(DO$5&lt;=$F90,DO$5+GanttPeriod-1&gt;=$E90),"━","")))</f>
        <v/>
      </c>
      <c r="DP90" s="69" t="str">
        <f aca="false">IF($E90="","",IF($M90,IF(AND($G90&gt;=DP$5,$G90&lt;DP$5+GanttPeriod),"◆",IF(AND($E90&gt;=DP$5,$E90&lt;DP$5+GanttPeriod),"◇","")),IF(AND(DP$5&lt;=$F90,DP$5+GanttPeriod-1&gt;=$E90),"━","")))</f>
        <v/>
      </c>
      <c r="DQ90" s="69" t="str">
        <f aca="false">IF($E90="","",IF($M90,IF(AND($G90&gt;=DQ$5,$G90&lt;DQ$5+GanttPeriod),"◆",IF(AND($E90&gt;=DQ$5,$E90&lt;DQ$5+GanttPeriod),"◇","")),IF(AND(DQ$5&lt;=$F90,DQ$5+GanttPeriod-1&gt;=$E90),"━","")))</f>
        <v/>
      </c>
      <c r="DR90" s="69" t="str">
        <f aca="false">IF($E90="","",IF($M90,IF(AND($G90&gt;=DR$5,$G90&lt;DR$5+GanttPeriod),"◆",IF(AND($E90&gt;=DR$5,$E90&lt;DR$5+GanttPeriod),"◇","")),IF(AND(DR$5&lt;=$F90,DR$5+GanttPeriod-1&gt;=$E90),"━","")))</f>
        <v/>
      </c>
      <c r="DS90" s="69" t="str">
        <f aca="false">IF($E90="","",IF($M90,IF(AND($G90&gt;=DS$5,$G90&lt;DS$5+GanttPeriod),"◆",IF(AND($E90&gt;=DS$5,$E90&lt;DS$5+GanttPeriod),"◇","")),IF(AND(DS$5&lt;=$F90,DS$5+GanttPeriod-1&gt;=$E90),"━","")))</f>
        <v/>
      </c>
      <c r="DT90" s="69" t="str">
        <f aca="false">IF($E90="","",IF($M90,IF(AND($G90&gt;=DT$5,$G90&lt;DT$5+GanttPeriod),"◆",IF(AND($E90&gt;=DT$5,$E90&lt;DT$5+GanttPeriod),"◇","")),IF(AND(DT$5&lt;=$F90,DT$5+GanttPeriod-1&gt;=$E90),"━","")))</f>
        <v/>
      </c>
      <c r="DU90" s="69" t="str">
        <f aca="false">IF($E90="","",IF($M90,IF(AND($G90&gt;=DU$5,$G90&lt;DU$5+GanttPeriod),"◆",IF(AND($E90&gt;=DU$5,$E90&lt;DU$5+GanttPeriod),"◇","")),IF(AND(DU$5&lt;=$F90,DU$5+GanttPeriod-1&gt;=$E90),"━","")))</f>
        <v/>
      </c>
      <c r="DV90" s="69" t="str">
        <f aca="false">IF($E90="","",IF($M90,IF(AND($G90&gt;=DV$5,$G90&lt;DV$5+GanttPeriod),"◆",IF(AND($E90&gt;=DV$5,$E90&lt;DV$5+GanttPeriod),"◇","")),IF(AND(DV$5&lt;=$F90,DV$5+GanttPeriod-1&gt;=$E90),"━","")))</f>
        <v/>
      </c>
      <c r="DW90" s="69" t="str">
        <f aca="false">IF($E90="","",IF($M90,IF(AND($G90&gt;=DW$5,$G90&lt;DW$5+GanttPeriod),"◆",IF(AND($E90&gt;=DW$5,$E90&lt;DW$5+GanttPeriod),"◇","")),IF(AND(DW$5&lt;=$F90,DW$5+GanttPeriod-1&gt;=$E90),"━","")))</f>
        <v/>
      </c>
      <c r="DX90" s="69" t="str">
        <f aca="false">IF($E90="","",IF($M90,IF(AND($G90&gt;=DX$5,$G90&lt;DX$5+GanttPeriod),"◆",IF(AND($E90&gt;=DX$5,$E90&lt;DX$5+GanttPeriod),"◇","")),IF(AND(DX$5&lt;=$F90,DX$5+GanttPeriod-1&gt;=$E90),"━","")))</f>
        <v/>
      </c>
      <c r="DY90" s="69" t="str">
        <f aca="false">IF($E90="","",IF($M90,IF(AND($G90&gt;=DY$5,$G90&lt;DY$5+GanttPeriod),"◆",IF(AND($E90&gt;=DY$5,$E90&lt;DY$5+GanttPeriod),"◇","")),IF(AND(DY$5&lt;=$F90,DY$5+GanttPeriod-1&gt;=$E90),"━","")))</f>
        <v/>
      </c>
      <c r="DZ90" s="69" t="str">
        <f aca="false">IF($E90="","",IF($M90,IF(AND($G90&gt;=DZ$5,$G90&lt;DZ$5+GanttPeriod),"◆",IF(AND($E90&gt;=DZ$5,$E90&lt;DZ$5+GanttPeriod),"◇","")),IF(AND(DZ$5&lt;=$F90,DZ$5+GanttPeriod-1&gt;=$E90),"━","")))</f>
        <v/>
      </c>
      <c r="EA90" s="69" t="str">
        <f aca="false">IF($E90="","",IF($M90,IF(AND($G90&gt;=EA$5,$G90&lt;EA$5+GanttPeriod),"◆",IF(AND($E90&gt;=EA$5,$E90&lt;EA$5+GanttPeriod),"◇","")),IF(AND(EA$5&lt;=$F90,EA$5+GanttPeriod-1&gt;=$E90),"━","")))</f>
        <v/>
      </c>
      <c r="EB90" s="69" t="str">
        <f aca="false">IF($E90="","",IF($M90,IF(AND($G90&gt;=EB$5,$G90&lt;EB$5+GanttPeriod),"◆",IF(AND($E90&gt;=EB$5,$E90&lt;EB$5+GanttPeriod),"◇","")),IF(AND(EB$5&lt;=$F90,EB$5+GanttPeriod-1&gt;=$E90),"━","")))</f>
        <v/>
      </c>
      <c r="EC90" s="69" t="str">
        <f aca="false">IF($E90="","",IF($M90,IF(AND($G90&gt;=EC$5,$G90&lt;EC$5+GanttPeriod),"◆",IF(AND($E90&gt;=EC$5,$E90&lt;EC$5+GanttPeriod),"◇","")),IF(AND(EC$5&lt;=$F90,EC$5+GanttPeriod-1&gt;=$E90),"━","")))</f>
        <v/>
      </c>
      <c r="ED90" s="69" t="str">
        <f aca="false">IF($E90="","",IF($M90,IF(AND($G90&gt;=ED$5,$G90&lt;ED$5+GanttPeriod),"◆",IF(AND($E90&gt;=ED$5,$E90&lt;ED$5+GanttPeriod),"◇","")),IF(AND(ED$5&lt;=$F90,ED$5+GanttPeriod-1&gt;=$E90),"━","")))</f>
        <v/>
      </c>
      <c r="EE90" s="69" t="str">
        <f aca="false">IF($E90="","",IF($M90,IF(AND($G90&gt;=EE$5,$G90&lt;EE$5+GanttPeriod),"◆",IF(AND($E90&gt;=EE$5,$E90&lt;EE$5+GanttPeriod),"◇","")),IF(AND(EE$5&lt;=$F90,EE$5+GanttPeriod-1&gt;=$E90),"━","")))</f>
        <v/>
      </c>
      <c r="EF90" s="69" t="str">
        <f aca="false">IF($E90="","",IF($M90,IF(AND($G90&gt;=EF$5,$G90&lt;EF$5+GanttPeriod),"◆",IF(AND($E90&gt;=EF$5,$E90&lt;EF$5+GanttPeriod),"◇","")),IF(AND(EF$5&lt;=$F90,EF$5+GanttPeriod-1&gt;=$E90),"━","")))</f>
        <v/>
      </c>
      <c r="EG90" s="69" t="str">
        <f aca="false">IF($E90="","",IF($M90,IF(AND($G90&gt;=EG$5,$G90&lt;EG$5+GanttPeriod),"◆",IF(AND($E90&gt;=EG$5,$E90&lt;EG$5+GanttPeriod),"◇","")),IF(AND(EG$5&lt;=$F90,EG$5+GanttPeriod-1&gt;=$E90),"━","")))</f>
        <v/>
      </c>
      <c r="EH90" s="69" t="str">
        <f aca="false">IF($E90="","",IF($M90,IF(AND($G90&gt;=EH$5,$G90&lt;EH$5+GanttPeriod),"◆",IF(AND($E90&gt;=EH$5,$E90&lt;EH$5+GanttPeriod),"◇","")),IF(AND(EH$5&lt;=$F90,EH$5+GanttPeriod-1&gt;=$E90),"━","")))</f>
        <v/>
      </c>
      <c r="EI90" s="69" t="str">
        <f aca="false">IF($E90="","",IF($M90,IF(AND($G90&gt;=EI$5,$G90&lt;EI$5+GanttPeriod),"◆",IF(AND($E90&gt;=EI$5,$E90&lt;EI$5+GanttPeriod),"◇","")),IF(AND(EI$5&lt;=$F90,EI$5+GanttPeriod-1&gt;=$E90),"━","")))</f>
        <v/>
      </c>
      <c r="EJ90" s="69" t="str">
        <f aca="false">IF($E90="","",IF($M90,IF(AND($G90&gt;=EJ$5,$G90&lt;EJ$5+GanttPeriod),"◆",IF(AND($E90&gt;=EJ$5,$E90&lt;EJ$5+GanttPeriod),"◇","")),IF(AND(EJ$5&lt;=$F90,EJ$5+GanttPeriod-1&gt;=$E90),"━","")))</f>
        <v/>
      </c>
      <c r="EK90" s="69" t="str">
        <f aca="false">IF($E90="","",IF($M90,IF(AND($G90&gt;=EK$5,$G90&lt;EK$5+GanttPeriod),"◆",IF(AND($E90&gt;=EK$5,$E90&lt;EK$5+GanttPeriod),"◇","")),IF(AND(EK$5&lt;=$F90,EK$5+GanttPeriod-1&gt;=$E90),"━","")))</f>
        <v/>
      </c>
      <c r="EL90" s="69" t="str">
        <f aca="false">IF($E90="","",IF($M90,IF(AND($G90&gt;=EL$5,$G90&lt;EL$5+GanttPeriod),"◆",IF(AND($E90&gt;=EL$5,$E90&lt;EL$5+GanttPeriod),"◇","")),IF(AND(EL$5&lt;=$F90,EL$5+GanttPeriod-1&gt;=$E90),"━","")))</f>
        <v/>
      </c>
      <c r="EM90" s="69" t="str">
        <f aca="false">IF($E90="","",IF($M90,IF(AND($G90&gt;=EM$5,$G90&lt;EM$5+GanttPeriod),"◆",IF(AND($E90&gt;=EM$5,$E90&lt;EM$5+GanttPeriod),"◇","")),IF(AND(EM$5&lt;=$F90,EM$5+GanttPeriod-1&gt;=$E90),"━","")))</f>
        <v/>
      </c>
      <c r="EN90" s="69" t="str">
        <f aca="false">IF($E90="","",IF($M90,IF(AND($G90&gt;=EN$5,$G90&lt;EN$5+GanttPeriod),"◆",IF(AND($E90&gt;=EN$5,$E90&lt;EN$5+GanttPeriod),"◇","")),IF(AND(EN$5&lt;=$F90,EN$5+GanttPeriod-1&gt;=$E90),"━","")))</f>
        <v/>
      </c>
      <c r="EO90" s="69" t="str">
        <f aca="false">IF($E90="","",IF($M90,IF(AND($G90&gt;=EO$5,$G90&lt;EO$5+GanttPeriod),"◆",IF(AND($E90&gt;=EO$5,$E90&lt;EO$5+GanttPeriod),"◇","")),IF(AND(EO$5&lt;=$F90,EO$5+GanttPeriod-1&gt;=$E90),"━","")))</f>
        <v/>
      </c>
      <c r="EP90" s="69" t="str">
        <f aca="false">IF($E90="","",IF($M90,IF(AND($G90&gt;=EP$5,$G90&lt;EP$5+GanttPeriod),"◆",IF(AND($E90&gt;=EP$5,$E90&lt;EP$5+GanttPeriod),"◇","")),IF(AND(EP$5&lt;=$F90,EP$5+GanttPeriod-1&gt;=$E90),"━","")))</f>
        <v/>
      </c>
      <c r="EQ90" s="69" t="str">
        <f aca="false">IF($E90="","",IF($M90,IF(AND($G90&gt;=EQ$5,$G90&lt;EQ$5+GanttPeriod),"◆",IF(AND($E90&gt;=EQ$5,$E90&lt;EQ$5+GanttPeriod),"◇","")),IF(AND(EQ$5&lt;=$F90,EQ$5+GanttPeriod-1&gt;=$E90),"━","")))</f>
        <v/>
      </c>
      <c r="ER90" s="69" t="str">
        <f aca="false">IF($E90="","",IF($M90,IF(AND($G90&gt;=ER$5,$G90&lt;ER$5+GanttPeriod),"◆",IF(AND($E90&gt;=ER$5,$E90&lt;ER$5+GanttPeriod),"◇","")),IF(AND(ER$5&lt;=$F90,ER$5+GanttPeriod-1&gt;=$E90),"━","")))</f>
        <v/>
      </c>
      <c r="ES90" s="69" t="str">
        <f aca="false">IF($E90="","",IF($M90,IF(AND($G90&gt;=ES$5,$G90&lt;ES$5+GanttPeriod),"◆",IF(AND($E90&gt;=ES$5,$E90&lt;ES$5+GanttPeriod),"◇","")),IF(AND(ES$5&lt;=$F90,ES$5+GanttPeriod-1&gt;=$E90),"━","")))</f>
        <v/>
      </c>
      <c r="ET90" s="69" t="str">
        <f aca="false">IF($E90="","",IF($M90,IF(AND($G90&gt;=ET$5,$G90&lt;ET$5+GanttPeriod),"◆",IF(AND($E90&gt;=ET$5,$E90&lt;ET$5+GanttPeriod),"◇","")),IF(AND(ET$5&lt;=$F90,ET$5+GanttPeriod-1&gt;=$E90),"━","")))</f>
        <v/>
      </c>
      <c r="EU90" s="69" t="str">
        <f aca="false">IF($E90="","",IF($M90,IF(AND($G90&gt;=EU$5,$G90&lt;EU$5+GanttPeriod),"◆",IF(AND($E90&gt;=EU$5,$E90&lt;EU$5+GanttPeriod),"◇","")),IF(AND(EU$5&lt;=$F90,EU$5+GanttPeriod-1&gt;=$E90),"━","")))</f>
        <v/>
      </c>
      <c r="EV90" s="69" t="str">
        <f aca="false">IF($E90="","",IF($M90,IF(AND($G90&gt;=EV$5,$G90&lt;EV$5+GanttPeriod),"◆",IF(AND($E90&gt;=EV$5,$E90&lt;EV$5+GanttPeriod),"◇","")),IF(AND(EV$5&lt;=$F90,EV$5+GanttPeriod-1&gt;=$E90),"━","")))</f>
        <v/>
      </c>
      <c r="EW90" s="69" t="str">
        <f aca="false">IF($E90="","",IF($M90,IF(AND($G90&gt;=EW$5,$G90&lt;EW$5+GanttPeriod),"◆",IF(AND($E90&gt;=EW$5,$E90&lt;EW$5+GanttPeriod),"◇","")),IF(AND(EW$5&lt;=$F90,EW$5+GanttPeriod-1&gt;=$E90),"━","")))</f>
        <v/>
      </c>
      <c r="EX90" s="69" t="str">
        <f aca="false">IF($E90="","",IF($M90,IF(AND($G90&gt;=EX$5,$G90&lt;EX$5+GanttPeriod),"◆",IF(AND($E90&gt;=EX$5,$E90&lt;EX$5+GanttPeriod),"◇","")),IF(AND(EX$5&lt;=$F90,EX$5+GanttPeriod-1&gt;=$E90),"━","")))</f>
        <v/>
      </c>
      <c r="EY90" s="69" t="str">
        <f aca="false">IF($E90="","",IF($M90,IF(AND($G90&gt;=EY$5,$G90&lt;EY$5+GanttPeriod),"◆",IF(AND($E90&gt;=EY$5,$E90&lt;EY$5+GanttPeriod),"◇","")),IF(AND(EY$5&lt;=$F90,EY$5+GanttPeriod-1&gt;=$E90),"━","")))</f>
        <v/>
      </c>
      <c r="EZ90" s="69" t="str">
        <f aca="false">IF($E90="","",IF($M90,IF(AND($G90&gt;=EZ$5,$G90&lt;EZ$5+GanttPeriod),"◆",IF(AND($E90&gt;=EZ$5,$E90&lt;EZ$5+GanttPeriod),"◇","")),IF(AND(EZ$5&lt;=$F90,EZ$5+GanttPeriod-1&gt;=$E90),"━","")))</f>
        <v/>
      </c>
      <c r="FA90" s="69" t="str">
        <f aca="false">IF($E90="","",IF($M90,IF(AND($G90&gt;=FA$5,$G90&lt;FA$5+GanttPeriod),"◆",IF(AND($E90&gt;=FA$5,$E90&lt;FA$5+GanttPeriod),"◇","")),IF(AND(FA$5&lt;=$F90,FA$5+GanttPeriod-1&gt;=$E90),"━","")))</f>
        <v/>
      </c>
      <c r="FB90" s="69" t="str">
        <f aca="false">IF($E90="","",IF($M90,IF(AND($G90&gt;=FB$5,$G90&lt;FB$5+GanttPeriod),"◆",IF(AND($E90&gt;=FB$5,$E90&lt;FB$5+GanttPeriod),"◇","")),IF(AND(FB$5&lt;=$F90,FB$5+GanttPeriod-1&gt;=$E90),"━","")))</f>
        <v/>
      </c>
      <c r="FC90" s="69" t="str">
        <f aca="false">IF($E90="","",IF($M90,IF(AND($G90&gt;=FC$5,$G90&lt;FC$5+GanttPeriod),"◆",IF(AND($E90&gt;=FC$5,$E90&lt;FC$5+GanttPeriod),"◇","")),IF(AND(FC$5&lt;=$F90,FC$5+GanttPeriod-1&gt;=$E90),"━","")))</f>
        <v/>
      </c>
      <c r="FD90" s="69" t="str">
        <f aca="false">IF($E90="","",IF($M90,IF(AND($G90&gt;=FD$5,$G90&lt;FD$5+GanttPeriod),"◆",IF(AND($E90&gt;=FD$5,$E90&lt;FD$5+GanttPeriod),"◇","")),IF(AND(FD$5&lt;=$F90,FD$5+GanttPeriod-1&gt;=$E90),"━","")))</f>
        <v/>
      </c>
      <c r="FE90" s="69" t="str">
        <f aca="false">IF($E90="","",IF($M90,IF(AND($G90&gt;=FE$5,$G90&lt;FE$5+GanttPeriod),"◆",IF(AND($E90&gt;=FE$5,$E90&lt;FE$5+GanttPeriod),"◇","")),IF(AND(FE$5&lt;=$F90,FE$5+GanttPeriod-1&gt;=$E90),"━","")))</f>
        <v/>
      </c>
      <c r="FF90" s="69" t="str">
        <f aca="false">IF($E90="","",IF($M90,IF(AND($G90&gt;=FF$5,$G90&lt;FF$5+GanttPeriod),"◆",IF(AND($E90&gt;=FF$5,$E90&lt;FF$5+GanttPeriod),"◇","")),IF(AND(FF$5&lt;=$F90,FF$5+GanttPeriod-1&gt;=$E90),"━","")))</f>
        <v/>
      </c>
      <c r="FG90" s="69" t="str">
        <f aca="false">IF($E90="","",IF($M90,IF(AND($G90&gt;=FG$5,$G90&lt;FG$5+GanttPeriod),"◆",IF(AND($E90&gt;=FG$5,$E90&lt;FG$5+GanttPeriod),"◇","")),IF(AND(FG$5&lt;=$F90,FG$5+GanttPeriod-1&gt;=$E90),"━","")))</f>
        <v/>
      </c>
      <c r="FH90" s="69" t="str">
        <f aca="false">IF($E90="","",IF($M90,IF(AND($G90&gt;=FH$5,$G90&lt;FH$5+GanttPeriod),"◆",IF(AND($E90&gt;=FH$5,$E90&lt;FH$5+GanttPeriod),"◇","")),IF(AND(FH$5&lt;=$F90,FH$5+GanttPeriod-1&gt;=$E90),"━","")))</f>
        <v/>
      </c>
      <c r="FI90" s="69" t="str">
        <f aca="false">IF($E90="","",IF($M90,IF(AND($G90&gt;=FI$5,$G90&lt;FI$5+GanttPeriod),"◆",IF(AND($E90&gt;=FI$5,$E90&lt;FI$5+GanttPeriod),"◇","")),IF(AND(FI$5&lt;=$F90,FI$5+GanttPeriod-1&gt;=$E90),"━","")))</f>
        <v/>
      </c>
      <c r="FJ90" s="69" t="str">
        <f aca="false">IF($E90="","",IF($M90,IF(AND($G90&gt;=FJ$5,$G90&lt;FJ$5+GanttPeriod),"◆",IF(AND($E90&gt;=FJ$5,$E90&lt;FJ$5+GanttPeriod),"◇","")),IF(AND(FJ$5&lt;=$F90,FJ$5+GanttPeriod-1&gt;=$E90),"━","")))</f>
        <v/>
      </c>
      <c r="FK90" s="69" t="str">
        <f aca="false">IF($E90="","",IF($M90,IF(AND($G90&gt;=FK$5,$G90&lt;FK$5+GanttPeriod),"◆",IF(AND($E90&gt;=FK$5,$E90&lt;FK$5+GanttPeriod),"◇","")),IF(AND(FK$5&lt;=$F90,FK$5+GanttPeriod-1&gt;=$E90),"━","")))</f>
        <v/>
      </c>
      <c r="FL90" s="69" t="str">
        <f aca="false">IF($E90="","",IF($M90,IF(AND($G90&gt;=FL$5,$G90&lt;FL$5+GanttPeriod),"◆",IF(AND($E90&gt;=FL$5,$E90&lt;FL$5+GanttPeriod),"◇","")),IF(AND(FL$5&lt;=$F90,FL$5+GanttPeriod-1&gt;=$E90),"━","")))</f>
        <v/>
      </c>
      <c r="FM90" s="69" t="str">
        <f aca="false">IF($E90="","",IF($M90,IF(AND($G90&gt;=FM$5,$G90&lt;FM$5+GanttPeriod),"◆",IF(AND($E90&gt;=FM$5,$E90&lt;FM$5+GanttPeriod),"◇","")),IF(AND(FM$5&lt;=$F90,FM$5+GanttPeriod-1&gt;=$E90),"━","")))</f>
        <v/>
      </c>
    </row>
    <row r="91" customFormat="false" ht="15" hidden="false" customHeight="false" outlineLevel="0" collapsed="false">
      <c r="A91" s="62" t="str">
        <f aca="false">IF(Tasks!$D91="","",Tasks!$A91)</f>
        <v/>
      </c>
      <c r="B91" s="62" t="str">
        <f aca="false">IF(Tasks!$D91="","",Tasks!$B91)</f>
        <v/>
      </c>
      <c r="C91" s="63" t="str">
        <f aca="false">IF(Tasks!$D91="","",REPT("    ",Tasks!$AE91-1)&amp;Tasks!$D91)</f>
        <v/>
      </c>
      <c r="D91" s="62" t="str">
        <f aca="false">IF(Tasks!$D91="","",IF(Tasks!$AI91,NETWORKDAYS.INTL(Tasks!$R91,Tasks!$S91,WorkWeek,Holidays),N(Tasks!$F91)))</f>
        <v/>
      </c>
      <c r="E91" s="64" t="str">
        <f aca="false">IF(Tasks!$D91="","",Tasks!$N91)</f>
        <v/>
      </c>
      <c r="F91" s="64" t="str">
        <f aca="false">IF(Tasks!$D91="","",Tasks!$O91)</f>
        <v/>
      </c>
      <c r="G91" s="64" t="str">
        <f aca="false">IF(Tasks!$D91="","",Tasks!$R91)</f>
        <v/>
      </c>
      <c r="H91" s="64" t="str">
        <f aca="false">IF(Tasks!$D91="","",Tasks!$S91)</f>
        <v/>
      </c>
      <c r="I91" s="65" t="str">
        <f aca="false">IF(Tasks!$D91="","",Tasks!$V91)</f>
        <v/>
      </c>
      <c r="J91" s="63" t="str">
        <f aca="false">IF(Tasks!$D91="","",Tasks!$X91&amp;"")</f>
        <v/>
      </c>
      <c r="K91" s="66" t="str">
        <f aca="false">IF(Tasks!$D91="","",Tasks!$W91)</f>
        <v/>
      </c>
      <c r="L91" s="67" t="b">
        <f aca="false">IF(Tasks!$D91="",FALSE(),Tasks!$AI91)</f>
        <v>0</v>
      </c>
      <c r="M91" s="67" t="b">
        <f aca="false">AND(Tasks!$AJ91=1,N(Tasks!$F91)=0)</f>
        <v>0</v>
      </c>
      <c r="N91" s="68" t="n">
        <f aca="false">IF(AND(Tasks!$AJ91=1,NOT($M91),N($I91)&gt;0),$G91,0)</f>
        <v>0</v>
      </c>
      <c r="O91" s="68" t="n">
        <f aca="false">IF($N91=0,0,IF($I91&gt;=1,$H91,MAX($N91,$G91+ROUND(($H91-$G91+1)*$I91,0)-1)))</f>
        <v>0</v>
      </c>
      <c r="P91" s="68" t="n">
        <f aca="false">IF(OR(Tasks!$AJ91&lt;&gt;1,$M91,N($I91)&gt;=1),0,IF($O91&gt;0,$O91+1,$G91))</f>
        <v>0</v>
      </c>
      <c r="Q91" s="68" t="n">
        <f aca="false">IF($P91=0,0,$H91)</f>
        <v>0</v>
      </c>
      <c r="R91" s="67" t="b">
        <f aca="false">AND(Tasks!$D91&lt;&gt;"",N(Tasks!$T91)&gt;0)</f>
        <v>0</v>
      </c>
      <c r="T91" s="69" t="str">
        <f aca="false">IF($E91="","",IF($M91,IF(AND($G91&gt;=T$5,$G91&lt;T$5+GanttPeriod),"◆",IF(AND($E91&gt;=T$5,$E91&lt;T$5+GanttPeriod),"◇","")),IF(AND(T$5&lt;=$F91,T$5+GanttPeriod-1&gt;=$E91),"━","")))</f>
        <v/>
      </c>
      <c r="U91" s="69" t="str">
        <f aca="false">IF($E91="","",IF($M91,IF(AND($G91&gt;=U$5,$G91&lt;U$5+GanttPeriod),"◆",IF(AND($E91&gt;=U$5,$E91&lt;U$5+GanttPeriod),"◇","")),IF(AND(U$5&lt;=$F91,U$5+GanttPeriod-1&gt;=$E91),"━","")))</f>
        <v/>
      </c>
      <c r="V91" s="69" t="str">
        <f aca="false">IF($E91="","",IF($M91,IF(AND($G91&gt;=V$5,$G91&lt;V$5+GanttPeriod),"◆",IF(AND($E91&gt;=V$5,$E91&lt;V$5+GanttPeriod),"◇","")),IF(AND(V$5&lt;=$F91,V$5+GanttPeriod-1&gt;=$E91),"━","")))</f>
        <v/>
      </c>
      <c r="W91" s="69" t="str">
        <f aca="false">IF($E91="","",IF($M91,IF(AND($G91&gt;=W$5,$G91&lt;W$5+GanttPeriod),"◆",IF(AND($E91&gt;=W$5,$E91&lt;W$5+GanttPeriod),"◇","")),IF(AND(W$5&lt;=$F91,W$5+GanttPeriod-1&gt;=$E91),"━","")))</f>
        <v/>
      </c>
      <c r="X91" s="69" t="str">
        <f aca="false">IF($E91="","",IF($M91,IF(AND($G91&gt;=X$5,$G91&lt;X$5+GanttPeriod),"◆",IF(AND($E91&gt;=X$5,$E91&lt;X$5+GanttPeriod),"◇","")),IF(AND(X$5&lt;=$F91,X$5+GanttPeriod-1&gt;=$E91),"━","")))</f>
        <v/>
      </c>
      <c r="Y91" s="69" t="str">
        <f aca="false">IF($E91="","",IF($M91,IF(AND($G91&gt;=Y$5,$G91&lt;Y$5+GanttPeriod),"◆",IF(AND($E91&gt;=Y$5,$E91&lt;Y$5+GanttPeriod),"◇","")),IF(AND(Y$5&lt;=$F91,Y$5+GanttPeriod-1&gt;=$E91),"━","")))</f>
        <v/>
      </c>
      <c r="Z91" s="69" t="str">
        <f aca="false">IF($E91="","",IF($M91,IF(AND($G91&gt;=Z$5,$G91&lt;Z$5+GanttPeriod),"◆",IF(AND($E91&gt;=Z$5,$E91&lt;Z$5+GanttPeriod),"◇","")),IF(AND(Z$5&lt;=$F91,Z$5+GanttPeriod-1&gt;=$E91),"━","")))</f>
        <v/>
      </c>
      <c r="AA91" s="69" t="str">
        <f aca="false">IF($E91="","",IF($M91,IF(AND($G91&gt;=AA$5,$G91&lt;AA$5+GanttPeriod),"◆",IF(AND($E91&gt;=AA$5,$E91&lt;AA$5+GanttPeriod),"◇","")),IF(AND(AA$5&lt;=$F91,AA$5+GanttPeriod-1&gt;=$E91),"━","")))</f>
        <v/>
      </c>
      <c r="AB91" s="69" t="str">
        <f aca="false">IF($E91="","",IF($M91,IF(AND($G91&gt;=AB$5,$G91&lt;AB$5+GanttPeriod),"◆",IF(AND($E91&gt;=AB$5,$E91&lt;AB$5+GanttPeriod),"◇","")),IF(AND(AB$5&lt;=$F91,AB$5+GanttPeriod-1&gt;=$E91),"━","")))</f>
        <v/>
      </c>
      <c r="AC91" s="69" t="str">
        <f aca="false">IF($E91="","",IF($M91,IF(AND($G91&gt;=AC$5,$G91&lt;AC$5+GanttPeriod),"◆",IF(AND($E91&gt;=AC$5,$E91&lt;AC$5+GanttPeriod),"◇","")),IF(AND(AC$5&lt;=$F91,AC$5+GanttPeriod-1&gt;=$E91),"━","")))</f>
        <v/>
      </c>
      <c r="AD91" s="69" t="str">
        <f aca="false">IF($E91="","",IF($M91,IF(AND($G91&gt;=AD$5,$G91&lt;AD$5+GanttPeriod),"◆",IF(AND($E91&gt;=AD$5,$E91&lt;AD$5+GanttPeriod),"◇","")),IF(AND(AD$5&lt;=$F91,AD$5+GanttPeriod-1&gt;=$E91),"━","")))</f>
        <v/>
      </c>
      <c r="AE91" s="69" t="str">
        <f aca="false">IF($E91="","",IF($M91,IF(AND($G91&gt;=AE$5,$G91&lt;AE$5+GanttPeriod),"◆",IF(AND($E91&gt;=AE$5,$E91&lt;AE$5+GanttPeriod),"◇","")),IF(AND(AE$5&lt;=$F91,AE$5+GanttPeriod-1&gt;=$E91),"━","")))</f>
        <v/>
      </c>
      <c r="AF91" s="69" t="str">
        <f aca="false">IF($E91="","",IF($M91,IF(AND($G91&gt;=AF$5,$G91&lt;AF$5+GanttPeriod),"◆",IF(AND($E91&gt;=AF$5,$E91&lt;AF$5+GanttPeriod),"◇","")),IF(AND(AF$5&lt;=$F91,AF$5+GanttPeriod-1&gt;=$E91),"━","")))</f>
        <v/>
      </c>
      <c r="AG91" s="69" t="str">
        <f aca="false">IF($E91="","",IF($M91,IF(AND($G91&gt;=AG$5,$G91&lt;AG$5+GanttPeriod),"◆",IF(AND($E91&gt;=AG$5,$E91&lt;AG$5+GanttPeriod),"◇","")),IF(AND(AG$5&lt;=$F91,AG$5+GanttPeriod-1&gt;=$E91),"━","")))</f>
        <v/>
      </c>
      <c r="AH91" s="69" t="str">
        <f aca="false">IF($E91="","",IF($M91,IF(AND($G91&gt;=AH$5,$G91&lt;AH$5+GanttPeriod),"◆",IF(AND($E91&gt;=AH$5,$E91&lt;AH$5+GanttPeriod),"◇","")),IF(AND(AH$5&lt;=$F91,AH$5+GanttPeriod-1&gt;=$E91),"━","")))</f>
        <v/>
      </c>
      <c r="AI91" s="69" t="str">
        <f aca="false">IF($E91="","",IF($M91,IF(AND($G91&gt;=AI$5,$G91&lt;AI$5+GanttPeriod),"◆",IF(AND($E91&gt;=AI$5,$E91&lt;AI$5+GanttPeriod),"◇","")),IF(AND(AI$5&lt;=$F91,AI$5+GanttPeriod-1&gt;=$E91),"━","")))</f>
        <v/>
      </c>
      <c r="AJ91" s="69" t="str">
        <f aca="false">IF($E91="","",IF($M91,IF(AND($G91&gt;=AJ$5,$G91&lt;AJ$5+GanttPeriod),"◆",IF(AND($E91&gt;=AJ$5,$E91&lt;AJ$5+GanttPeriod),"◇","")),IF(AND(AJ$5&lt;=$F91,AJ$5+GanttPeriod-1&gt;=$E91),"━","")))</f>
        <v/>
      </c>
      <c r="AK91" s="69" t="str">
        <f aca="false">IF($E91="","",IF($M91,IF(AND($G91&gt;=AK$5,$G91&lt;AK$5+GanttPeriod),"◆",IF(AND($E91&gt;=AK$5,$E91&lt;AK$5+GanttPeriod),"◇","")),IF(AND(AK$5&lt;=$F91,AK$5+GanttPeriod-1&gt;=$E91),"━","")))</f>
        <v/>
      </c>
      <c r="AL91" s="69" t="str">
        <f aca="false">IF($E91="","",IF($M91,IF(AND($G91&gt;=AL$5,$G91&lt;AL$5+GanttPeriod),"◆",IF(AND($E91&gt;=AL$5,$E91&lt;AL$5+GanttPeriod),"◇","")),IF(AND(AL$5&lt;=$F91,AL$5+GanttPeriod-1&gt;=$E91),"━","")))</f>
        <v/>
      </c>
      <c r="AM91" s="69" t="str">
        <f aca="false">IF($E91="","",IF($M91,IF(AND($G91&gt;=AM$5,$G91&lt;AM$5+GanttPeriod),"◆",IF(AND($E91&gt;=AM$5,$E91&lt;AM$5+GanttPeriod),"◇","")),IF(AND(AM$5&lt;=$F91,AM$5+GanttPeriod-1&gt;=$E91),"━","")))</f>
        <v/>
      </c>
      <c r="AN91" s="69" t="str">
        <f aca="false">IF($E91="","",IF($M91,IF(AND($G91&gt;=AN$5,$G91&lt;AN$5+GanttPeriod),"◆",IF(AND($E91&gt;=AN$5,$E91&lt;AN$5+GanttPeriod),"◇","")),IF(AND(AN$5&lt;=$F91,AN$5+GanttPeriod-1&gt;=$E91),"━","")))</f>
        <v/>
      </c>
      <c r="AO91" s="69" t="str">
        <f aca="false">IF($E91="","",IF($M91,IF(AND($G91&gt;=AO$5,$G91&lt;AO$5+GanttPeriod),"◆",IF(AND($E91&gt;=AO$5,$E91&lt;AO$5+GanttPeriod),"◇","")),IF(AND(AO$5&lt;=$F91,AO$5+GanttPeriod-1&gt;=$E91),"━","")))</f>
        <v/>
      </c>
      <c r="AP91" s="69" t="str">
        <f aca="false">IF($E91="","",IF($M91,IF(AND($G91&gt;=AP$5,$G91&lt;AP$5+GanttPeriod),"◆",IF(AND($E91&gt;=AP$5,$E91&lt;AP$5+GanttPeriod),"◇","")),IF(AND(AP$5&lt;=$F91,AP$5+GanttPeriod-1&gt;=$E91),"━","")))</f>
        <v/>
      </c>
      <c r="AQ91" s="69" t="str">
        <f aca="false">IF($E91="","",IF($M91,IF(AND($G91&gt;=AQ$5,$G91&lt;AQ$5+GanttPeriod),"◆",IF(AND($E91&gt;=AQ$5,$E91&lt;AQ$5+GanttPeriod),"◇","")),IF(AND(AQ$5&lt;=$F91,AQ$5+GanttPeriod-1&gt;=$E91),"━","")))</f>
        <v/>
      </c>
      <c r="AR91" s="69" t="str">
        <f aca="false">IF($E91="","",IF($M91,IF(AND($G91&gt;=AR$5,$G91&lt;AR$5+GanttPeriod),"◆",IF(AND($E91&gt;=AR$5,$E91&lt;AR$5+GanttPeriod),"◇","")),IF(AND(AR$5&lt;=$F91,AR$5+GanttPeriod-1&gt;=$E91),"━","")))</f>
        <v/>
      </c>
      <c r="AS91" s="69" t="str">
        <f aca="false">IF($E91="","",IF($M91,IF(AND($G91&gt;=AS$5,$G91&lt;AS$5+GanttPeriod),"◆",IF(AND($E91&gt;=AS$5,$E91&lt;AS$5+GanttPeriod),"◇","")),IF(AND(AS$5&lt;=$F91,AS$5+GanttPeriod-1&gt;=$E91),"━","")))</f>
        <v/>
      </c>
      <c r="AT91" s="69" t="str">
        <f aca="false">IF($E91="","",IF($M91,IF(AND($G91&gt;=AT$5,$G91&lt;AT$5+GanttPeriod),"◆",IF(AND($E91&gt;=AT$5,$E91&lt;AT$5+GanttPeriod),"◇","")),IF(AND(AT$5&lt;=$F91,AT$5+GanttPeriod-1&gt;=$E91),"━","")))</f>
        <v/>
      </c>
      <c r="AU91" s="69" t="str">
        <f aca="false">IF($E91="","",IF($M91,IF(AND($G91&gt;=AU$5,$G91&lt;AU$5+GanttPeriod),"◆",IF(AND($E91&gt;=AU$5,$E91&lt;AU$5+GanttPeriod),"◇","")),IF(AND(AU$5&lt;=$F91,AU$5+GanttPeriod-1&gt;=$E91),"━","")))</f>
        <v/>
      </c>
      <c r="AV91" s="69" t="str">
        <f aca="false">IF($E91="","",IF($M91,IF(AND($G91&gt;=AV$5,$G91&lt;AV$5+GanttPeriod),"◆",IF(AND($E91&gt;=AV$5,$E91&lt;AV$5+GanttPeriod),"◇","")),IF(AND(AV$5&lt;=$F91,AV$5+GanttPeriod-1&gt;=$E91),"━","")))</f>
        <v/>
      </c>
      <c r="AW91" s="69" t="str">
        <f aca="false">IF($E91="","",IF($M91,IF(AND($G91&gt;=AW$5,$G91&lt;AW$5+GanttPeriod),"◆",IF(AND($E91&gt;=AW$5,$E91&lt;AW$5+GanttPeriod),"◇","")),IF(AND(AW$5&lt;=$F91,AW$5+GanttPeriod-1&gt;=$E91),"━","")))</f>
        <v/>
      </c>
      <c r="AX91" s="69" t="str">
        <f aca="false">IF($E91="","",IF($M91,IF(AND($G91&gt;=AX$5,$G91&lt;AX$5+GanttPeriod),"◆",IF(AND($E91&gt;=AX$5,$E91&lt;AX$5+GanttPeriod),"◇","")),IF(AND(AX$5&lt;=$F91,AX$5+GanttPeriod-1&gt;=$E91),"━","")))</f>
        <v/>
      </c>
      <c r="AY91" s="69" t="str">
        <f aca="false">IF($E91="","",IF($M91,IF(AND($G91&gt;=AY$5,$G91&lt;AY$5+GanttPeriod),"◆",IF(AND($E91&gt;=AY$5,$E91&lt;AY$5+GanttPeriod),"◇","")),IF(AND(AY$5&lt;=$F91,AY$5+GanttPeriod-1&gt;=$E91),"━","")))</f>
        <v/>
      </c>
      <c r="AZ91" s="69" t="str">
        <f aca="false">IF($E91="","",IF($M91,IF(AND($G91&gt;=AZ$5,$G91&lt;AZ$5+GanttPeriod),"◆",IF(AND($E91&gt;=AZ$5,$E91&lt;AZ$5+GanttPeriod),"◇","")),IF(AND(AZ$5&lt;=$F91,AZ$5+GanttPeriod-1&gt;=$E91),"━","")))</f>
        <v/>
      </c>
      <c r="BA91" s="69" t="str">
        <f aca="false">IF($E91="","",IF($M91,IF(AND($G91&gt;=BA$5,$G91&lt;BA$5+GanttPeriod),"◆",IF(AND($E91&gt;=BA$5,$E91&lt;BA$5+GanttPeriod),"◇","")),IF(AND(BA$5&lt;=$F91,BA$5+GanttPeriod-1&gt;=$E91),"━","")))</f>
        <v/>
      </c>
      <c r="BB91" s="69" t="str">
        <f aca="false">IF($E91="","",IF($M91,IF(AND($G91&gt;=BB$5,$G91&lt;BB$5+GanttPeriod),"◆",IF(AND($E91&gt;=BB$5,$E91&lt;BB$5+GanttPeriod),"◇","")),IF(AND(BB$5&lt;=$F91,BB$5+GanttPeriod-1&gt;=$E91),"━","")))</f>
        <v/>
      </c>
      <c r="BC91" s="69" t="str">
        <f aca="false">IF($E91="","",IF($M91,IF(AND($G91&gt;=BC$5,$G91&lt;BC$5+GanttPeriod),"◆",IF(AND($E91&gt;=BC$5,$E91&lt;BC$5+GanttPeriod),"◇","")),IF(AND(BC$5&lt;=$F91,BC$5+GanttPeriod-1&gt;=$E91),"━","")))</f>
        <v/>
      </c>
      <c r="BD91" s="69" t="str">
        <f aca="false">IF($E91="","",IF($M91,IF(AND($G91&gt;=BD$5,$G91&lt;BD$5+GanttPeriod),"◆",IF(AND($E91&gt;=BD$5,$E91&lt;BD$5+GanttPeriod),"◇","")),IF(AND(BD$5&lt;=$F91,BD$5+GanttPeriod-1&gt;=$E91),"━","")))</f>
        <v/>
      </c>
      <c r="BE91" s="69" t="str">
        <f aca="false">IF($E91="","",IF($M91,IF(AND($G91&gt;=BE$5,$G91&lt;BE$5+GanttPeriod),"◆",IF(AND($E91&gt;=BE$5,$E91&lt;BE$5+GanttPeriod),"◇","")),IF(AND(BE$5&lt;=$F91,BE$5+GanttPeriod-1&gt;=$E91),"━","")))</f>
        <v/>
      </c>
      <c r="BF91" s="69" t="str">
        <f aca="false">IF($E91="","",IF($M91,IF(AND($G91&gt;=BF$5,$G91&lt;BF$5+GanttPeriod),"◆",IF(AND($E91&gt;=BF$5,$E91&lt;BF$5+GanttPeriod),"◇","")),IF(AND(BF$5&lt;=$F91,BF$5+GanttPeriod-1&gt;=$E91),"━","")))</f>
        <v/>
      </c>
      <c r="BG91" s="69" t="str">
        <f aca="false">IF($E91="","",IF($M91,IF(AND($G91&gt;=BG$5,$G91&lt;BG$5+GanttPeriod),"◆",IF(AND($E91&gt;=BG$5,$E91&lt;BG$5+GanttPeriod),"◇","")),IF(AND(BG$5&lt;=$F91,BG$5+GanttPeriod-1&gt;=$E91),"━","")))</f>
        <v/>
      </c>
      <c r="BH91" s="69" t="str">
        <f aca="false">IF($E91="","",IF($M91,IF(AND($G91&gt;=BH$5,$G91&lt;BH$5+GanttPeriod),"◆",IF(AND($E91&gt;=BH$5,$E91&lt;BH$5+GanttPeriod),"◇","")),IF(AND(BH$5&lt;=$F91,BH$5+GanttPeriod-1&gt;=$E91),"━","")))</f>
        <v/>
      </c>
      <c r="BI91" s="69" t="str">
        <f aca="false">IF($E91="","",IF($M91,IF(AND($G91&gt;=BI$5,$G91&lt;BI$5+GanttPeriod),"◆",IF(AND($E91&gt;=BI$5,$E91&lt;BI$5+GanttPeriod),"◇","")),IF(AND(BI$5&lt;=$F91,BI$5+GanttPeriod-1&gt;=$E91),"━","")))</f>
        <v/>
      </c>
      <c r="BJ91" s="69" t="str">
        <f aca="false">IF($E91="","",IF($M91,IF(AND($G91&gt;=BJ$5,$G91&lt;BJ$5+GanttPeriod),"◆",IF(AND($E91&gt;=BJ$5,$E91&lt;BJ$5+GanttPeriod),"◇","")),IF(AND(BJ$5&lt;=$F91,BJ$5+GanttPeriod-1&gt;=$E91),"━","")))</f>
        <v/>
      </c>
      <c r="BK91" s="69" t="str">
        <f aca="false">IF($E91="","",IF($M91,IF(AND($G91&gt;=BK$5,$G91&lt;BK$5+GanttPeriod),"◆",IF(AND($E91&gt;=BK$5,$E91&lt;BK$5+GanttPeriod),"◇","")),IF(AND(BK$5&lt;=$F91,BK$5+GanttPeriod-1&gt;=$E91),"━","")))</f>
        <v/>
      </c>
      <c r="BL91" s="69" t="str">
        <f aca="false">IF($E91="","",IF($M91,IF(AND($G91&gt;=BL$5,$G91&lt;BL$5+GanttPeriod),"◆",IF(AND($E91&gt;=BL$5,$E91&lt;BL$5+GanttPeriod),"◇","")),IF(AND(BL$5&lt;=$F91,BL$5+GanttPeriod-1&gt;=$E91),"━","")))</f>
        <v/>
      </c>
      <c r="BM91" s="69" t="str">
        <f aca="false">IF($E91="","",IF($M91,IF(AND($G91&gt;=BM$5,$G91&lt;BM$5+GanttPeriod),"◆",IF(AND($E91&gt;=BM$5,$E91&lt;BM$5+GanttPeriod),"◇","")),IF(AND(BM$5&lt;=$F91,BM$5+GanttPeriod-1&gt;=$E91),"━","")))</f>
        <v/>
      </c>
      <c r="BN91" s="69" t="str">
        <f aca="false">IF($E91="","",IF($M91,IF(AND($G91&gt;=BN$5,$G91&lt;BN$5+GanttPeriod),"◆",IF(AND($E91&gt;=BN$5,$E91&lt;BN$5+GanttPeriod),"◇","")),IF(AND(BN$5&lt;=$F91,BN$5+GanttPeriod-1&gt;=$E91),"━","")))</f>
        <v/>
      </c>
      <c r="BO91" s="69" t="str">
        <f aca="false">IF($E91="","",IF($M91,IF(AND($G91&gt;=BO$5,$G91&lt;BO$5+GanttPeriod),"◆",IF(AND($E91&gt;=BO$5,$E91&lt;BO$5+GanttPeriod),"◇","")),IF(AND(BO$5&lt;=$F91,BO$5+GanttPeriod-1&gt;=$E91),"━","")))</f>
        <v/>
      </c>
      <c r="BP91" s="69" t="str">
        <f aca="false">IF($E91="","",IF($M91,IF(AND($G91&gt;=BP$5,$G91&lt;BP$5+GanttPeriod),"◆",IF(AND($E91&gt;=BP$5,$E91&lt;BP$5+GanttPeriod),"◇","")),IF(AND(BP$5&lt;=$F91,BP$5+GanttPeriod-1&gt;=$E91),"━","")))</f>
        <v/>
      </c>
      <c r="BQ91" s="69" t="str">
        <f aca="false">IF($E91="","",IF($M91,IF(AND($G91&gt;=BQ$5,$G91&lt;BQ$5+GanttPeriod),"◆",IF(AND($E91&gt;=BQ$5,$E91&lt;BQ$5+GanttPeriod),"◇","")),IF(AND(BQ$5&lt;=$F91,BQ$5+GanttPeriod-1&gt;=$E91),"━","")))</f>
        <v/>
      </c>
      <c r="BR91" s="69" t="str">
        <f aca="false">IF($E91="","",IF($M91,IF(AND($G91&gt;=BR$5,$G91&lt;BR$5+GanttPeriod),"◆",IF(AND($E91&gt;=BR$5,$E91&lt;BR$5+GanttPeriod),"◇","")),IF(AND(BR$5&lt;=$F91,BR$5+GanttPeriod-1&gt;=$E91),"━","")))</f>
        <v/>
      </c>
      <c r="BS91" s="69" t="str">
        <f aca="false">IF($E91="","",IF($M91,IF(AND($G91&gt;=BS$5,$G91&lt;BS$5+GanttPeriod),"◆",IF(AND($E91&gt;=BS$5,$E91&lt;BS$5+GanttPeriod),"◇","")),IF(AND(BS$5&lt;=$F91,BS$5+GanttPeriod-1&gt;=$E91),"━","")))</f>
        <v/>
      </c>
      <c r="BT91" s="69" t="str">
        <f aca="false">IF($E91="","",IF($M91,IF(AND($G91&gt;=BT$5,$G91&lt;BT$5+GanttPeriod),"◆",IF(AND($E91&gt;=BT$5,$E91&lt;BT$5+GanttPeriod),"◇","")),IF(AND(BT$5&lt;=$F91,BT$5+GanttPeriod-1&gt;=$E91),"━","")))</f>
        <v/>
      </c>
      <c r="BU91" s="69" t="str">
        <f aca="false">IF($E91="","",IF($M91,IF(AND($G91&gt;=BU$5,$G91&lt;BU$5+GanttPeriod),"◆",IF(AND($E91&gt;=BU$5,$E91&lt;BU$5+GanttPeriod),"◇","")),IF(AND(BU$5&lt;=$F91,BU$5+GanttPeriod-1&gt;=$E91),"━","")))</f>
        <v/>
      </c>
      <c r="BV91" s="69" t="str">
        <f aca="false">IF($E91="","",IF($M91,IF(AND($G91&gt;=BV$5,$G91&lt;BV$5+GanttPeriod),"◆",IF(AND($E91&gt;=BV$5,$E91&lt;BV$5+GanttPeriod),"◇","")),IF(AND(BV$5&lt;=$F91,BV$5+GanttPeriod-1&gt;=$E91),"━","")))</f>
        <v/>
      </c>
      <c r="BW91" s="69" t="str">
        <f aca="false">IF($E91="","",IF($M91,IF(AND($G91&gt;=BW$5,$G91&lt;BW$5+GanttPeriod),"◆",IF(AND($E91&gt;=BW$5,$E91&lt;BW$5+GanttPeriod),"◇","")),IF(AND(BW$5&lt;=$F91,BW$5+GanttPeriod-1&gt;=$E91),"━","")))</f>
        <v/>
      </c>
      <c r="BX91" s="69" t="str">
        <f aca="false">IF($E91="","",IF($M91,IF(AND($G91&gt;=BX$5,$G91&lt;BX$5+GanttPeriod),"◆",IF(AND($E91&gt;=BX$5,$E91&lt;BX$5+GanttPeriod),"◇","")),IF(AND(BX$5&lt;=$F91,BX$5+GanttPeriod-1&gt;=$E91),"━","")))</f>
        <v/>
      </c>
      <c r="BY91" s="69" t="str">
        <f aca="false">IF($E91="","",IF($M91,IF(AND($G91&gt;=BY$5,$G91&lt;BY$5+GanttPeriod),"◆",IF(AND($E91&gt;=BY$5,$E91&lt;BY$5+GanttPeriod),"◇","")),IF(AND(BY$5&lt;=$F91,BY$5+GanttPeriod-1&gt;=$E91),"━","")))</f>
        <v/>
      </c>
      <c r="BZ91" s="69" t="str">
        <f aca="false">IF($E91="","",IF($M91,IF(AND($G91&gt;=BZ$5,$G91&lt;BZ$5+GanttPeriod),"◆",IF(AND($E91&gt;=BZ$5,$E91&lt;BZ$5+GanttPeriod),"◇","")),IF(AND(BZ$5&lt;=$F91,BZ$5+GanttPeriod-1&gt;=$E91),"━","")))</f>
        <v/>
      </c>
      <c r="CA91" s="69" t="str">
        <f aca="false">IF($E91="","",IF($M91,IF(AND($G91&gt;=CA$5,$G91&lt;CA$5+GanttPeriod),"◆",IF(AND($E91&gt;=CA$5,$E91&lt;CA$5+GanttPeriod),"◇","")),IF(AND(CA$5&lt;=$F91,CA$5+GanttPeriod-1&gt;=$E91),"━","")))</f>
        <v/>
      </c>
      <c r="CB91" s="69" t="str">
        <f aca="false">IF($E91="","",IF($M91,IF(AND($G91&gt;=CB$5,$G91&lt;CB$5+GanttPeriod),"◆",IF(AND($E91&gt;=CB$5,$E91&lt;CB$5+GanttPeriod),"◇","")),IF(AND(CB$5&lt;=$F91,CB$5+GanttPeriod-1&gt;=$E91),"━","")))</f>
        <v/>
      </c>
      <c r="CC91" s="69" t="str">
        <f aca="false">IF($E91="","",IF($M91,IF(AND($G91&gt;=CC$5,$G91&lt;CC$5+GanttPeriod),"◆",IF(AND($E91&gt;=CC$5,$E91&lt;CC$5+GanttPeriod),"◇","")),IF(AND(CC$5&lt;=$F91,CC$5+GanttPeriod-1&gt;=$E91),"━","")))</f>
        <v/>
      </c>
      <c r="CD91" s="69" t="str">
        <f aca="false">IF($E91="","",IF($M91,IF(AND($G91&gt;=CD$5,$G91&lt;CD$5+GanttPeriod),"◆",IF(AND($E91&gt;=CD$5,$E91&lt;CD$5+GanttPeriod),"◇","")),IF(AND(CD$5&lt;=$F91,CD$5+GanttPeriod-1&gt;=$E91),"━","")))</f>
        <v/>
      </c>
      <c r="CE91" s="69" t="str">
        <f aca="false">IF($E91="","",IF($M91,IF(AND($G91&gt;=CE$5,$G91&lt;CE$5+GanttPeriod),"◆",IF(AND($E91&gt;=CE$5,$E91&lt;CE$5+GanttPeriod),"◇","")),IF(AND(CE$5&lt;=$F91,CE$5+GanttPeriod-1&gt;=$E91),"━","")))</f>
        <v/>
      </c>
      <c r="CF91" s="69" t="str">
        <f aca="false">IF($E91="","",IF($M91,IF(AND($G91&gt;=CF$5,$G91&lt;CF$5+GanttPeriod),"◆",IF(AND($E91&gt;=CF$5,$E91&lt;CF$5+GanttPeriod),"◇","")),IF(AND(CF$5&lt;=$F91,CF$5+GanttPeriod-1&gt;=$E91),"━","")))</f>
        <v/>
      </c>
      <c r="CG91" s="69" t="str">
        <f aca="false">IF($E91="","",IF($M91,IF(AND($G91&gt;=CG$5,$G91&lt;CG$5+GanttPeriod),"◆",IF(AND($E91&gt;=CG$5,$E91&lt;CG$5+GanttPeriod),"◇","")),IF(AND(CG$5&lt;=$F91,CG$5+GanttPeriod-1&gt;=$E91),"━","")))</f>
        <v/>
      </c>
      <c r="CH91" s="69" t="str">
        <f aca="false">IF($E91="","",IF($M91,IF(AND($G91&gt;=CH$5,$G91&lt;CH$5+GanttPeriod),"◆",IF(AND($E91&gt;=CH$5,$E91&lt;CH$5+GanttPeriod),"◇","")),IF(AND(CH$5&lt;=$F91,CH$5+GanttPeriod-1&gt;=$E91),"━","")))</f>
        <v/>
      </c>
      <c r="CI91" s="69" t="str">
        <f aca="false">IF($E91="","",IF($M91,IF(AND($G91&gt;=CI$5,$G91&lt;CI$5+GanttPeriod),"◆",IF(AND($E91&gt;=CI$5,$E91&lt;CI$5+GanttPeriod),"◇","")),IF(AND(CI$5&lt;=$F91,CI$5+GanttPeriod-1&gt;=$E91),"━","")))</f>
        <v/>
      </c>
      <c r="CJ91" s="69" t="str">
        <f aca="false">IF($E91="","",IF($M91,IF(AND($G91&gt;=CJ$5,$G91&lt;CJ$5+GanttPeriod),"◆",IF(AND($E91&gt;=CJ$5,$E91&lt;CJ$5+GanttPeriod),"◇","")),IF(AND(CJ$5&lt;=$F91,CJ$5+GanttPeriod-1&gt;=$E91),"━","")))</f>
        <v/>
      </c>
      <c r="CK91" s="69" t="str">
        <f aca="false">IF($E91="","",IF($M91,IF(AND($G91&gt;=CK$5,$G91&lt;CK$5+GanttPeriod),"◆",IF(AND($E91&gt;=CK$5,$E91&lt;CK$5+GanttPeriod),"◇","")),IF(AND(CK$5&lt;=$F91,CK$5+GanttPeriod-1&gt;=$E91),"━","")))</f>
        <v/>
      </c>
      <c r="CL91" s="69" t="str">
        <f aca="false">IF($E91="","",IF($M91,IF(AND($G91&gt;=CL$5,$G91&lt;CL$5+GanttPeriod),"◆",IF(AND($E91&gt;=CL$5,$E91&lt;CL$5+GanttPeriod),"◇","")),IF(AND(CL$5&lt;=$F91,CL$5+GanttPeriod-1&gt;=$E91),"━","")))</f>
        <v/>
      </c>
      <c r="CM91" s="69" t="str">
        <f aca="false">IF($E91="","",IF($M91,IF(AND($G91&gt;=CM$5,$G91&lt;CM$5+GanttPeriod),"◆",IF(AND($E91&gt;=CM$5,$E91&lt;CM$5+GanttPeriod),"◇","")),IF(AND(CM$5&lt;=$F91,CM$5+GanttPeriod-1&gt;=$E91),"━","")))</f>
        <v/>
      </c>
      <c r="CN91" s="69" t="str">
        <f aca="false">IF($E91="","",IF($M91,IF(AND($G91&gt;=CN$5,$G91&lt;CN$5+GanttPeriod),"◆",IF(AND($E91&gt;=CN$5,$E91&lt;CN$5+GanttPeriod),"◇","")),IF(AND(CN$5&lt;=$F91,CN$5+GanttPeriod-1&gt;=$E91),"━","")))</f>
        <v/>
      </c>
      <c r="CO91" s="69" t="str">
        <f aca="false">IF($E91="","",IF($M91,IF(AND($G91&gt;=CO$5,$G91&lt;CO$5+GanttPeriod),"◆",IF(AND($E91&gt;=CO$5,$E91&lt;CO$5+GanttPeriod),"◇","")),IF(AND(CO$5&lt;=$F91,CO$5+GanttPeriod-1&gt;=$E91),"━","")))</f>
        <v/>
      </c>
      <c r="CP91" s="69" t="str">
        <f aca="false">IF($E91="","",IF($M91,IF(AND($G91&gt;=CP$5,$G91&lt;CP$5+GanttPeriod),"◆",IF(AND($E91&gt;=CP$5,$E91&lt;CP$5+GanttPeriod),"◇","")),IF(AND(CP$5&lt;=$F91,CP$5+GanttPeriod-1&gt;=$E91),"━","")))</f>
        <v/>
      </c>
      <c r="CQ91" s="69" t="str">
        <f aca="false">IF($E91="","",IF($M91,IF(AND($G91&gt;=CQ$5,$G91&lt;CQ$5+GanttPeriod),"◆",IF(AND($E91&gt;=CQ$5,$E91&lt;CQ$5+GanttPeriod),"◇","")),IF(AND(CQ$5&lt;=$F91,CQ$5+GanttPeriod-1&gt;=$E91),"━","")))</f>
        <v/>
      </c>
      <c r="CR91" s="69" t="str">
        <f aca="false">IF($E91="","",IF($M91,IF(AND($G91&gt;=CR$5,$G91&lt;CR$5+GanttPeriod),"◆",IF(AND($E91&gt;=CR$5,$E91&lt;CR$5+GanttPeriod),"◇","")),IF(AND(CR$5&lt;=$F91,CR$5+GanttPeriod-1&gt;=$E91),"━","")))</f>
        <v/>
      </c>
      <c r="CS91" s="69" t="str">
        <f aca="false">IF($E91="","",IF($M91,IF(AND($G91&gt;=CS$5,$G91&lt;CS$5+GanttPeriod),"◆",IF(AND($E91&gt;=CS$5,$E91&lt;CS$5+GanttPeriod),"◇","")),IF(AND(CS$5&lt;=$F91,CS$5+GanttPeriod-1&gt;=$E91),"━","")))</f>
        <v/>
      </c>
      <c r="CT91" s="69" t="str">
        <f aca="false">IF($E91="","",IF($M91,IF(AND($G91&gt;=CT$5,$G91&lt;CT$5+GanttPeriod),"◆",IF(AND($E91&gt;=CT$5,$E91&lt;CT$5+GanttPeriod),"◇","")),IF(AND(CT$5&lt;=$F91,CT$5+GanttPeriod-1&gt;=$E91),"━","")))</f>
        <v/>
      </c>
      <c r="CU91" s="69" t="str">
        <f aca="false">IF($E91="","",IF($M91,IF(AND($G91&gt;=CU$5,$G91&lt;CU$5+GanttPeriod),"◆",IF(AND($E91&gt;=CU$5,$E91&lt;CU$5+GanttPeriod),"◇","")),IF(AND(CU$5&lt;=$F91,CU$5+GanttPeriod-1&gt;=$E91),"━","")))</f>
        <v/>
      </c>
      <c r="CV91" s="69" t="str">
        <f aca="false">IF($E91="","",IF($M91,IF(AND($G91&gt;=CV$5,$G91&lt;CV$5+GanttPeriod),"◆",IF(AND($E91&gt;=CV$5,$E91&lt;CV$5+GanttPeriod),"◇","")),IF(AND(CV$5&lt;=$F91,CV$5+GanttPeriod-1&gt;=$E91),"━","")))</f>
        <v/>
      </c>
      <c r="CW91" s="69" t="str">
        <f aca="false">IF($E91="","",IF($M91,IF(AND($G91&gt;=CW$5,$G91&lt;CW$5+GanttPeriod),"◆",IF(AND($E91&gt;=CW$5,$E91&lt;CW$5+GanttPeriod),"◇","")),IF(AND(CW$5&lt;=$F91,CW$5+GanttPeriod-1&gt;=$E91),"━","")))</f>
        <v/>
      </c>
      <c r="CX91" s="69" t="str">
        <f aca="false">IF($E91="","",IF($M91,IF(AND($G91&gt;=CX$5,$G91&lt;CX$5+GanttPeriod),"◆",IF(AND($E91&gt;=CX$5,$E91&lt;CX$5+GanttPeriod),"◇","")),IF(AND(CX$5&lt;=$F91,CX$5+GanttPeriod-1&gt;=$E91),"━","")))</f>
        <v/>
      </c>
      <c r="CY91" s="69" t="str">
        <f aca="false">IF($E91="","",IF($M91,IF(AND($G91&gt;=CY$5,$G91&lt;CY$5+GanttPeriod),"◆",IF(AND($E91&gt;=CY$5,$E91&lt;CY$5+GanttPeriod),"◇","")),IF(AND(CY$5&lt;=$F91,CY$5+GanttPeriod-1&gt;=$E91),"━","")))</f>
        <v/>
      </c>
      <c r="CZ91" s="69" t="str">
        <f aca="false">IF($E91="","",IF($M91,IF(AND($G91&gt;=CZ$5,$G91&lt;CZ$5+GanttPeriod),"◆",IF(AND($E91&gt;=CZ$5,$E91&lt;CZ$5+GanttPeriod),"◇","")),IF(AND(CZ$5&lt;=$F91,CZ$5+GanttPeriod-1&gt;=$E91),"━","")))</f>
        <v/>
      </c>
      <c r="DA91" s="69" t="str">
        <f aca="false">IF($E91="","",IF($M91,IF(AND($G91&gt;=DA$5,$G91&lt;DA$5+GanttPeriod),"◆",IF(AND($E91&gt;=DA$5,$E91&lt;DA$5+GanttPeriod),"◇","")),IF(AND(DA$5&lt;=$F91,DA$5+GanttPeriod-1&gt;=$E91),"━","")))</f>
        <v/>
      </c>
      <c r="DB91" s="69" t="str">
        <f aca="false">IF($E91="","",IF($M91,IF(AND($G91&gt;=DB$5,$G91&lt;DB$5+GanttPeriod),"◆",IF(AND($E91&gt;=DB$5,$E91&lt;DB$5+GanttPeriod),"◇","")),IF(AND(DB$5&lt;=$F91,DB$5+GanttPeriod-1&gt;=$E91),"━","")))</f>
        <v/>
      </c>
      <c r="DC91" s="69" t="str">
        <f aca="false">IF($E91="","",IF($M91,IF(AND($G91&gt;=DC$5,$G91&lt;DC$5+GanttPeriod),"◆",IF(AND($E91&gt;=DC$5,$E91&lt;DC$5+GanttPeriod),"◇","")),IF(AND(DC$5&lt;=$F91,DC$5+GanttPeriod-1&gt;=$E91),"━","")))</f>
        <v/>
      </c>
      <c r="DD91" s="69" t="str">
        <f aca="false">IF($E91="","",IF($M91,IF(AND($G91&gt;=DD$5,$G91&lt;DD$5+GanttPeriod),"◆",IF(AND($E91&gt;=DD$5,$E91&lt;DD$5+GanttPeriod),"◇","")),IF(AND(DD$5&lt;=$F91,DD$5+GanttPeriod-1&gt;=$E91),"━","")))</f>
        <v/>
      </c>
      <c r="DE91" s="69" t="str">
        <f aca="false">IF($E91="","",IF($M91,IF(AND($G91&gt;=DE$5,$G91&lt;DE$5+GanttPeriod),"◆",IF(AND($E91&gt;=DE$5,$E91&lt;DE$5+GanttPeriod),"◇","")),IF(AND(DE$5&lt;=$F91,DE$5+GanttPeriod-1&gt;=$E91),"━","")))</f>
        <v/>
      </c>
      <c r="DF91" s="69" t="str">
        <f aca="false">IF($E91="","",IF($M91,IF(AND($G91&gt;=DF$5,$G91&lt;DF$5+GanttPeriod),"◆",IF(AND($E91&gt;=DF$5,$E91&lt;DF$5+GanttPeriod),"◇","")),IF(AND(DF$5&lt;=$F91,DF$5+GanttPeriod-1&gt;=$E91),"━","")))</f>
        <v/>
      </c>
      <c r="DG91" s="69" t="str">
        <f aca="false">IF($E91="","",IF($M91,IF(AND($G91&gt;=DG$5,$G91&lt;DG$5+GanttPeriod),"◆",IF(AND($E91&gt;=DG$5,$E91&lt;DG$5+GanttPeriod),"◇","")),IF(AND(DG$5&lt;=$F91,DG$5+GanttPeriod-1&gt;=$E91),"━","")))</f>
        <v/>
      </c>
      <c r="DH91" s="69" t="str">
        <f aca="false">IF($E91="","",IF($M91,IF(AND($G91&gt;=DH$5,$G91&lt;DH$5+GanttPeriod),"◆",IF(AND($E91&gt;=DH$5,$E91&lt;DH$5+GanttPeriod),"◇","")),IF(AND(DH$5&lt;=$F91,DH$5+GanttPeriod-1&gt;=$E91),"━","")))</f>
        <v/>
      </c>
      <c r="DI91" s="69" t="str">
        <f aca="false">IF($E91="","",IF($M91,IF(AND($G91&gt;=DI$5,$G91&lt;DI$5+GanttPeriod),"◆",IF(AND($E91&gt;=DI$5,$E91&lt;DI$5+GanttPeriod),"◇","")),IF(AND(DI$5&lt;=$F91,DI$5+GanttPeriod-1&gt;=$E91),"━","")))</f>
        <v/>
      </c>
      <c r="DJ91" s="69" t="str">
        <f aca="false">IF($E91="","",IF($M91,IF(AND($G91&gt;=DJ$5,$G91&lt;DJ$5+GanttPeriod),"◆",IF(AND($E91&gt;=DJ$5,$E91&lt;DJ$5+GanttPeriod),"◇","")),IF(AND(DJ$5&lt;=$F91,DJ$5+GanttPeriod-1&gt;=$E91),"━","")))</f>
        <v/>
      </c>
      <c r="DK91" s="69" t="str">
        <f aca="false">IF($E91="","",IF($M91,IF(AND($G91&gt;=DK$5,$G91&lt;DK$5+GanttPeriod),"◆",IF(AND($E91&gt;=DK$5,$E91&lt;DK$5+GanttPeriod),"◇","")),IF(AND(DK$5&lt;=$F91,DK$5+GanttPeriod-1&gt;=$E91),"━","")))</f>
        <v/>
      </c>
      <c r="DL91" s="69" t="str">
        <f aca="false">IF($E91="","",IF($M91,IF(AND($G91&gt;=DL$5,$G91&lt;DL$5+GanttPeriod),"◆",IF(AND($E91&gt;=DL$5,$E91&lt;DL$5+GanttPeriod),"◇","")),IF(AND(DL$5&lt;=$F91,DL$5+GanttPeriod-1&gt;=$E91),"━","")))</f>
        <v/>
      </c>
      <c r="DM91" s="69" t="str">
        <f aca="false">IF($E91="","",IF($M91,IF(AND($G91&gt;=DM$5,$G91&lt;DM$5+GanttPeriod),"◆",IF(AND($E91&gt;=DM$5,$E91&lt;DM$5+GanttPeriod),"◇","")),IF(AND(DM$5&lt;=$F91,DM$5+GanttPeriod-1&gt;=$E91),"━","")))</f>
        <v/>
      </c>
      <c r="DN91" s="69" t="str">
        <f aca="false">IF($E91="","",IF($M91,IF(AND($G91&gt;=DN$5,$G91&lt;DN$5+GanttPeriod),"◆",IF(AND($E91&gt;=DN$5,$E91&lt;DN$5+GanttPeriod),"◇","")),IF(AND(DN$5&lt;=$F91,DN$5+GanttPeriod-1&gt;=$E91),"━","")))</f>
        <v/>
      </c>
      <c r="DO91" s="69" t="str">
        <f aca="false">IF($E91="","",IF($M91,IF(AND($G91&gt;=DO$5,$G91&lt;DO$5+GanttPeriod),"◆",IF(AND($E91&gt;=DO$5,$E91&lt;DO$5+GanttPeriod),"◇","")),IF(AND(DO$5&lt;=$F91,DO$5+GanttPeriod-1&gt;=$E91),"━","")))</f>
        <v/>
      </c>
      <c r="DP91" s="69" t="str">
        <f aca="false">IF($E91="","",IF($M91,IF(AND($G91&gt;=DP$5,$G91&lt;DP$5+GanttPeriod),"◆",IF(AND($E91&gt;=DP$5,$E91&lt;DP$5+GanttPeriod),"◇","")),IF(AND(DP$5&lt;=$F91,DP$5+GanttPeriod-1&gt;=$E91),"━","")))</f>
        <v/>
      </c>
      <c r="DQ91" s="69" t="str">
        <f aca="false">IF($E91="","",IF($M91,IF(AND($G91&gt;=DQ$5,$G91&lt;DQ$5+GanttPeriod),"◆",IF(AND($E91&gt;=DQ$5,$E91&lt;DQ$5+GanttPeriod),"◇","")),IF(AND(DQ$5&lt;=$F91,DQ$5+GanttPeriod-1&gt;=$E91),"━","")))</f>
        <v/>
      </c>
      <c r="DR91" s="69" t="str">
        <f aca="false">IF($E91="","",IF($M91,IF(AND($G91&gt;=DR$5,$G91&lt;DR$5+GanttPeriod),"◆",IF(AND($E91&gt;=DR$5,$E91&lt;DR$5+GanttPeriod),"◇","")),IF(AND(DR$5&lt;=$F91,DR$5+GanttPeriod-1&gt;=$E91),"━","")))</f>
        <v/>
      </c>
      <c r="DS91" s="69" t="str">
        <f aca="false">IF($E91="","",IF($M91,IF(AND($G91&gt;=DS$5,$G91&lt;DS$5+GanttPeriod),"◆",IF(AND($E91&gt;=DS$5,$E91&lt;DS$5+GanttPeriod),"◇","")),IF(AND(DS$5&lt;=$F91,DS$5+GanttPeriod-1&gt;=$E91),"━","")))</f>
        <v/>
      </c>
      <c r="DT91" s="69" t="str">
        <f aca="false">IF($E91="","",IF($M91,IF(AND($G91&gt;=DT$5,$G91&lt;DT$5+GanttPeriod),"◆",IF(AND($E91&gt;=DT$5,$E91&lt;DT$5+GanttPeriod),"◇","")),IF(AND(DT$5&lt;=$F91,DT$5+GanttPeriod-1&gt;=$E91),"━","")))</f>
        <v/>
      </c>
      <c r="DU91" s="69" t="str">
        <f aca="false">IF($E91="","",IF($M91,IF(AND($G91&gt;=DU$5,$G91&lt;DU$5+GanttPeriod),"◆",IF(AND($E91&gt;=DU$5,$E91&lt;DU$5+GanttPeriod),"◇","")),IF(AND(DU$5&lt;=$F91,DU$5+GanttPeriod-1&gt;=$E91),"━","")))</f>
        <v/>
      </c>
      <c r="DV91" s="69" t="str">
        <f aca="false">IF($E91="","",IF($M91,IF(AND($G91&gt;=DV$5,$G91&lt;DV$5+GanttPeriod),"◆",IF(AND($E91&gt;=DV$5,$E91&lt;DV$5+GanttPeriod),"◇","")),IF(AND(DV$5&lt;=$F91,DV$5+GanttPeriod-1&gt;=$E91),"━","")))</f>
        <v/>
      </c>
      <c r="DW91" s="69" t="str">
        <f aca="false">IF($E91="","",IF($M91,IF(AND($G91&gt;=DW$5,$G91&lt;DW$5+GanttPeriod),"◆",IF(AND($E91&gt;=DW$5,$E91&lt;DW$5+GanttPeriod),"◇","")),IF(AND(DW$5&lt;=$F91,DW$5+GanttPeriod-1&gt;=$E91),"━","")))</f>
        <v/>
      </c>
      <c r="DX91" s="69" t="str">
        <f aca="false">IF($E91="","",IF($M91,IF(AND($G91&gt;=DX$5,$G91&lt;DX$5+GanttPeriod),"◆",IF(AND($E91&gt;=DX$5,$E91&lt;DX$5+GanttPeriod),"◇","")),IF(AND(DX$5&lt;=$F91,DX$5+GanttPeriod-1&gt;=$E91),"━","")))</f>
        <v/>
      </c>
      <c r="DY91" s="69" t="str">
        <f aca="false">IF($E91="","",IF($M91,IF(AND($G91&gt;=DY$5,$G91&lt;DY$5+GanttPeriod),"◆",IF(AND($E91&gt;=DY$5,$E91&lt;DY$5+GanttPeriod),"◇","")),IF(AND(DY$5&lt;=$F91,DY$5+GanttPeriod-1&gt;=$E91),"━","")))</f>
        <v/>
      </c>
      <c r="DZ91" s="69" t="str">
        <f aca="false">IF($E91="","",IF($M91,IF(AND($G91&gt;=DZ$5,$G91&lt;DZ$5+GanttPeriod),"◆",IF(AND($E91&gt;=DZ$5,$E91&lt;DZ$5+GanttPeriod),"◇","")),IF(AND(DZ$5&lt;=$F91,DZ$5+GanttPeriod-1&gt;=$E91),"━","")))</f>
        <v/>
      </c>
      <c r="EA91" s="69" t="str">
        <f aca="false">IF($E91="","",IF($M91,IF(AND($G91&gt;=EA$5,$G91&lt;EA$5+GanttPeriod),"◆",IF(AND($E91&gt;=EA$5,$E91&lt;EA$5+GanttPeriod),"◇","")),IF(AND(EA$5&lt;=$F91,EA$5+GanttPeriod-1&gt;=$E91),"━","")))</f>
        <v/>
      </c>
      <c r="EB91" s="69" t="str">
        <f aca="false">IF($E91="","",IF($M91,IF(AND($G91&gt;=EB$5,$G91&lt;EB$5+GanttPeriod),"◆",IF(AND($E91&gt;=EB$5,$E91&lt;EB$5+GanttPeriod),"◇","")),IF(AND(EB$5&lt;=$F91,EB$5+GanttPeriod-1&gt;=$E91),"━","")))</f>
        <v/>
      </c>
      <c r="EC91" s="69" t="str">
        <f aca="false">IF($E91="","",IF($M91,IF(AND($G91&gt;=EC$5,$G91&lt;EC$5+GanttPeriod),"◆",IF(AND($E91&gt;=EC$5,$E91&lt;EC$5+GanttPeriod),"◇","")),IF(AND(EC$5&lt;=$F91,EC$5+GanttPeriod-1&gt;=$E91),"━","")))</f>
        <v/>
      </c>
      <c r="ED91" s="69" t="str">
        <f aca="false">IF($E91="","",IF($M91,IF(AND($G91&gt;=ED$5,$G91&lt;ED$5+GanttPeriod),"◆",IF(AND($E91&gt;=ED$5,$E91&lt;ED$5+GanttPeriod),"◇","")),IF(AND(ED$5&lt;=$F91,ED$5+GanttPeriod-1&gt;=$E91),"━","")))</f>
        <v/>
      </c>
      <c r="EE91" s="69" t="str">
        <f aca="false">IF($E91="","",IF($M91,IF(AND($G91&gt;=EE$5,$G91&lt;EE$5+GanttPeriod),"◆",IF(AND($E91&gt;=EE$5,$E91&lt;EE$5+GanttPeriod),"◇","")),IF(AND(EE$5&lt;=$F91,EE$5+GanttPeriod-1&gt;=$E91),"━","")))</f>
        <v/>
      </c>
      <c r="EF91" s="69" t="str">
        <f aca="false">IF($E91="","",IF($M91,IF(AND($G91&gt;=EF$5,$G91&lt;EF$5+GanttPeriod),"◆",IF(AND($E91&gt;=EF$5,$E91&lt;EF$5+GanttPeriod),"◇","")),IF(AND(EF$5&lt;=$F91,EF$5+GanttPeriod-1&gt;=$E91),"━","")))</f>
        <v/>
      </c>
      <c r="EG91" s="69" t="str">
        <f aca="false">IF($E91="","",IF($M91,IF(AND($G91&gt;=EG$5,$G91&lt;EG$5+GanttPeriod),"◆",IF(AND($E91&gt;=EG$5,$E91&lt;EG$5+GanttPeriod),"◇","")),IF(AND(EG$5&lt;=$F91,EG$5+GanttPeriod-1&gt;=$E91),"━","")))</f>
        <v/>
      </c>
      <c r="EH91" s="69" t="str">
        <f aca="false">IF($E91="","",IF($M91,IF(AND($G91&gt;=EH$5,$G91&lt;EH$5+GanttPeriod),"◆",IF(AND($E91&gt;=EH$5,$E91&lt;EH$5+GanttPeriod),"◇","")),IF(AND(EH$5&lt;=$F91,EH$5+GanttPeriod-1&gt;=$E91),"━","")))</f>
        <v/>
      </c>
      <c r="EI91" s="69" t="str">
        <f aca="false">IF($E91="","",IF($M91,IF(AND($G91&gt;=EI$5,$G91&lt;EI$5+GanttPeriod),"◆",IF(AND($E91&gt;=EI$5,$E91&lt;EI$5+GanttPeriod),"◇","")),IF(AND(EI$5&lt;=$F91,EI$5+GanttPeriod-1&gt;=$E91),"━","")))</f>
        <v/>
      </c>
      <c r="EJ91" s="69" t="str">
        <f aca="false">IF($E91="","",IF($M91,IF(AND($G91&gt;=EJ$5,$G91&lt;EJ$5+GanttPeriod),"◆",IF(AND($E91&gt;=EJ$5,$E91&lt;EJ$5+GanttPeriod),"◇","")),IF(AND(EJ$5&lt;=$F91,EJ$5+GanttPeriod-1&gt;=$E91),"━","")))</f>
        <v/>
      </c>
      <c r="EK91" s="69" t="str">
        <f aca="false">IF($E91="","",IF($M91,IF(AND($G91&gt;=EK$5,$G91&lt;EK$5+GanttPeriod),"◆",IF(AND($E91&gt;=EK$5,$E91&lt;EK$5+GanttPeriod),"◇","")),IF(AND(EK$5&lt;=$F91,EK$5+GanttPeriod-1&gt;=$E91),"━","")))</f>
        <v/>
      </c>
      <c r="EL91" s="69" t="str">
        <f aca="false">IF($E91="","",IF($M91,IF(AND($G91&gt;=EL$5,$G91&lt;EL$5+GanttPeriod),"◆",IF(AND($E91&gt;=EL$5,$E91&lt;EL$5+GanttPeriod),"◇","")),IF(AND(EL$5&lt;=$F91,EL$5+GanttPeriod-1&gt;=$E91),"━","")))</f>
        <v/>
      </c>
      <c r="EM91" s="69" t="str">
        <f aca="false">IF($E91="","",IF($M91,IF(AND($G91&gt;=EM$5,$G91&lt;EM$5+GanttPeriod),"◆",IF(AND($E91&gt;=EM$5,$E91&lt;EM$5+GanttPeriod),"◇","")),IF(AND(EM$5&lt;=$F91,EM$5+GanttPeriod-1&gt;=$E91),"━","")))</f>
        <v/>
      </c>
      <c r="EN91" s="69" t="str">
        <f aca="false">IF($E91="","",IF($M91,IF(AND($G91&gt;=EN$5,$G91&lt;EN$5+GanttPeriod),"◆",IF(AND($E91&gt;=EN$5,$E91&lt;EN$5+GanttPeriod),"◇","")),IF(AND(EN$5&lt;=$F91,EN$5+GanttPeriod-1&gt;=$E91),"━","")))</f>
        <v/>
      </c>
      <c r="EO91" s="69" t="str">
        <f aca="false">IF($E91="","",IF($M91,IF(AND($G91&gt;=EO$5,$G91&lt;EO$5+GanttPeriod),"◆",IF(AND($E91&gt;=EO$5,$E91&lt;EO$5+GanttPeriod),"◇","")),IF(AND(EO$5&lt;=$F91,EO$5+GanttPeriod-1&gt;=$E91),"━","")))</f>
        <v/>
      </c>
      <c r="EP91" s="69" t="str">
        <f aca="false">IF($E91="","",IF($M91,IF(AND($G91&gt;=EP$5,$G91&lt;EP$5+GanttPeriod),"◆",IF(AND($E91&gt;=EP$5,$E91&lt;EP$5+GanttPeriod),"◇","")),IF(AND(EP$5&lt;=$F91,EP$5+GanttPeriod-1&gt;=$E91),"━","")))</f>
        <v/>
      </c>
      <c r="EQ91" s="69" t="str">
        <f aca="false">IF($E91="","",IF($M91,IF(AND($G91&gt;=EQ$5,$G91&lt;EQ$5+GanttPeriod),"◆",IF(AND($E91&gt;=EQ$5,$E91&lt;EQ$5+GanttPeriod),"◇","")),IF(AND(EQ$5&lt;=$F91,EQ$5+GanttPeriod-1&gt;=$E91),"━","")))</f>
        <v/>
      </c>
      <c r="ER91" s="69" t="str">
        <f aca="false">IF($E91="","",IF($M91,IF(AND($G91&gt;=ER$5,$G91&lt;ER$5+GanttPeriod),"◆",IF(AND($E91&gt;=ER$5,$E91&lt;ER$5+GanttPeriod),"◇","")),IF(AND(ER$5&lt;=$F91,ER$5+GanttPeriod-1&gt;=$E91),"━","")))</f>
        <v/>
      </c>
      <c r="ES91" s="69" t="str">
        <f aca="false">IF($E91="","",IF($M91,IF(AND($G91&gt;=ES$5,$G91&lt;ES$5+GanttPeriod),"◆",IF(AND($E91&gt;=ES$5,$E91&lt;ES$5+GanttPeriod),"◇","")),IF(AND(ES$5&lt;=$F91,ES$5+GanttPeriod-1&gt;=$E91),"━","")))</f>
        <v/>
      </c>
      <c r="ET91" s="69" t="str">
        <f aca="false">IF($E91="","",IF($M91,IF(AND($G91&gt;=ET$5,$G91&lt;ET$5+GanttPeriod),"◆",IF(AND($E91&gt;=ET$5,$E91&lt;ET$5+GanttPeriod),"◇","")),IF(AND(ET$5&lt;=$F91,ET$5+GanttPeriod-1&gt;=$E91),"━","")))</f>
        <v/>
      </c>
      <c r="EU91" s="69" t="str">
        <f aca="false">IF($E91="","",IF($M91,IF(AND($G91&gt;=EU$5,$G91&lt;EU$5+GanttPeriod),"◆",IF(AND($E91&gt;=EU$5,$E91&lt;EU$5+GanttPeriod),"◇","")),IF(AND(EU$5&lt;=$F91,EU$5+GanttPeriod-1&gt;=$E91),"━","")))</f>
        <v/>
      </c>
      <c r="EV91" s="69" t="str">
        <f aca="false">IF($E91="","",IF($M91,IF(AND($G91&gt;=EV$5,$G91&lt;EV$5+GanttPeriod),"◆",IF(AND($E91&gt;=EV$5,$E91&lt;EV$5+GanttPeriod),"◇","")),IF(AND(EV$5&lt;=$F91,EV$5+GanttPeriod-1&gt;=$E91),"━","")))</f>
        <v/>
      </c>
      <c r="EW91" s="69" t="str">
        <f aca="false">IF($E91="","",IF($M91,IF(AND($G91&gt;=EW$5,$G91&lt;EW$5+GanttPeriod),"◆",IF(AND($E91&gt;=EW$5,$E91&lt;EW$5+GanttPeriod),"◇","")),IF(AND(EW$5&lt;=$F91,EW$5+GanttPeriod-1&gt;=$E91),"━","")))</f>
        <v/>
      </c>
      <c r="EX91" s="69" t="str">
        <f aca="false">IF($E91="","",IF($M91,IF(AND($G91&gt;=EX$5,$G91&lt;EX$5+GanttPeriod),"◆",IF(AND($E91&gt;=EX$5,$E91&lt;EX$5+GanttPeriod),"◇","")),IF(AND(EX$5&lt;=$F91,EX$5+GanttPeriod-1&gt;=$E91),"━","")))</f>
        <v/>
      </c>
      <c r="EY91" s="69" t="str">
        <f aca="false">IF($E91="","",IF($M91,IF(AND($G91&gt;=EY$5,$G91&lt;EY$5+GanttPeriod),"◆",IF(AND($E91&gt;=EY$5,$E91&lt;EY$5+GanttPeriod),"◇","")),IF(AND(EY$5&lt;=$F91,EY$5+GanttPeriod-1&gt;=$E91),"━","")))</f>
        <v/>
      </c>
      <c r="EZ91" s="69" t="str">
        <f aca="false">IF($E91="","",IF($M91,IF(AND($G91&gt;=EZ$5,$G91&lt;EZ$5+GanttPeriod),"◆",IF(AND($E91&gt;=EZ$5,$E91&lt;EZ$5+GanttPeriod),"◇","")),IF(AND(EZ$5&lt;=$F91,EZ$5+GanttPeriod-1&gt;=$E91),"━","")))</f>
        <v/>
      </c>
      <c r="FA91" s="69" t="str">
        <f aca="false">IF($E91="","",IF($M91,IF(AND($G91&gt;=FA$5,$G91&lt;FA$5+GanttPeriod),"◆",IF(AND($E91&gt;=FA$5,$E91&lt;FA$5+GanttPeriod),"◇","")),IF(AND(FA$5&lt;=$F91,FA$5+GanttPeriod-1&gt;=$E91),"━","")))</f>
        <v/>
      </c>
      <c r="FB91" s="69" t="str">
        <f aca="false">IF($E91="","",IF($M91,IF(AND($G91&gt;=FB$5,$G91&lt;FB$5+GanttPeriod),"◆",IF(AND($E91&gt;=FB$5,$E91&lt;FB$5+GanttPeriod),"◇","")),IF(AND(FB$5&lt;=$F91,FB$5+GanttPeriod-1&gt;=$E91),"━","")))</f>
        <v/>
      </c>
      <c r="FC91" s="69" t="str">
        <f aca="false">IF($E91="","",IF($M91,IF(AND($G91&gt;=FC$5,$G91&lt;FC$5+GanttPeriod),"◆",IF(AND($E91&gt;=FC$5,$E91&lt;FC$5+GanttPeriod),"◇","")),IF(AND(FC$5&lt;=$F91,FC$5+GanttPeriod-1&gt;=$E91),"━","")))</f>
        <v/>
      </c>
      <c r="FD91" s="69" t="str">
        <f aca="false">IF($E91="","",IF($M91,IF(AND($G91&gt;=FD$5,$G91&lt;FD$5+GanttPeriod),"◆",IF(AND($E91&gt;=FD$5,$E91&lt;FD$5+GanttPeriod),"◇","")),IF(AND(FD$5&lt;=$F91,FD$5+GanttPeriod-1&gt;=$E91),"━","")))</f>
        <v/>
      </c>
      <c r="FE91" s="69" t="str">
        <f aca="false">IF($E91="","",IF($M91,IF(AND($G91&gt;=FE$5,$G91&lt;FE$5+GanttPeriod),"◆",IF(AND($E91&gt;=FE$5,$E91&lt;FE$5+GanttPeriod),"◇","")),IF(AND(FE$5&lt;=$F91,FE$5+GanttPeriod-1&gt;=$E91),"━","")))</f>
        <v/>
      </c>
      <c r="FF91" s="69" t="str">
        <f aca="false">IF($E91="","",IF($M91,IF(AND($G91&gt;=FF$5,$G91&lt;FF$5+GanttPeriod),"◆",IF(AND($E91&gt;=FF$5,$E91&lt;FF$5+GanttPeriod),"◇","")),IF(AND(FF$5&lt;=$F91,FF$5+GanttPeriod-1&gt;=$E91),"━","")))</f>
        <v/>
      </c>
      <c r="FG91" s="69" t="str">
        <f aca="false">IF($E91="","",IF($M91,IF(AND($G91&gt;=FG$5,$G91&lt;FG$5+GanttPeriod),"◆",IF(AND($E91&gt;=FG$5,$E91&lt;FG$5+GanttPeriod),"◇","")),IF(AND(FG$5&lt;=$F91,FG$5+GanttPeriod-1&gt;=$E91),"━","")))</f>
        <v/>
      </c>
      <c r="FH91" s="69" t="str">
        <f aca="false">IF($E91="","",IF($M91,IF(AND($G91&gt;=FH$5,$G91&lt;FH$5+GanttPeriod),"◆",IF(AND($E91&gt;=FH$5,$E91&lt;FH$5+GanttPeriod),"◇","")),IF(AND(FH$5&lt;=$F91,FH$5+GanttPeriod-1&gt;=$E91),"━","")))</f>
        <v/>
      </c>
      <c r="FI91" s="69" t="str">
        <f aca="false">IF($E91="","",IF($M91,IF(AND($G91&gt;=FI$5,$G91&lt;FI$5+GanttPeriod),"◆",IF(AND($E91&gt;=FI$5,$E91&lt;FI$5+GanttPeriod),"◇","")),IF(AND(FI$5&lt;=$F91,FI$5+GanttPeriod-1&gt;=$E91),"━","")))</f>
        <v/>
      </c>
      <c r="FJ91" s="69" t="str">
        <f aca="false">IF($E91="","",IF($M91,IF(AND($G91&gt;=FJ$5,$G91&lt;FJ$5+GanttPeriod),"◆",IF(AND($E91&gt;=FJ$5,$E91&lt;FJ$5+GanttPeriod),"◇","")),IF(AND(FJ$5&lt;=$F91,FJ$5+GanttPeriod-1&gt;=$E91),"━","")))</f>
        <v/>
      </c>
      <c r="FK91" s="69" t="str">
        <f aca="false">IF($E91="","",IF($M91,IF(AND($G91&gt;=FK$5,$G91&lt;FK$5+GanttPeriod),"◆",IF(AND($E91&gt;=FK$5,$E91&lt;FK$5+GanttPeriod),"◇","")),IF(AND(FK$5&lt;=$F91,FK$5+GanttPeriod-1&gt;=$E91),"━","")))</f>
        <v/>
      </c>
      <c r="FL91" s="69" t="str">
        <f aca="false">IF($E91="","",IF($M91,IF(AND($G91&gt;=FL$5,$G91&lt;FL$5+GanttPeriod),"◆",IF(AND($E91&gt;=FL$5,$E91&lt;FL$5+GanttPeriod),"◇","")),IF(AND(FL$5&lt;=$F91,FL$5+GanttPeriod-1&gt;=$E91),"━","")))</f>
        <v/>
      </c>
      <c r="FM91" s="69" t="str">
        <f aca="false">IF($E91="","",IF($M91,IF(AND($G91&gt;=FM$5,$G91&lt;FM$5+GanttPeriod),"◆",IF(AND($E91&gt;=FM$5,$E91&lt;FM$5+GanttPeriod),"◇","")),IF(AND(FM$5&lt;=$F91,FM$5+GanttPeriod-1&gt;=$E91),"━","")))</f>
        <v/>
      </c>
    </row>
    <row r="92" customFormat="false" ht="15" hidden="false" customHeight="false" outlineLevel="0" collapsed="false">
      <c r="A92" s="62" t="str">
        <f aca="false">IF(Tasks!$D92="","",Tasks!$A92)</f>
        <v/>
      </c>
      <c r="B92" s="62" t="str">
        <f aca="false">IF(Tasks!$D92="","",Tasks!$B92)</f>
        <v/>
      </c>
      <c r="C92" s="63" t="str">
        <f aca="false">IF(Tasks!$D92="","",REPT("    ",Tasks!$AE92-1)&amp;Tasks!$D92)</f>
        <v/>
      </c>
      <c r="D92" s="62" t="str">
        <f aca="false">IF(Tasks!$D92="","",IF(Tasks!$AI92,NETWORKDAYS.INTL(Tasks!$R92,Tasks!$S92,WorkWeek,Holidays),N(Tasks!$F92)))</f>
        <v/>
      </c>
      <c r="E92" s="64" t="str">
        <f aca="false">IF(Tasks!$D92="","",Tasks!$N92)</f>
        <v/>
      </c>
      <c r="F92" s="64" t="str">
        <f aca="false">IF(Tasks!$D92="","",Tasks!$O92)</f>
        <v/>
      </c>
      <c r="G92" s="64" t="str">
        <f aca="false">IF(Tasks!$D92="","",Tasks!$R92)</f>
        <v/>
      </c>
      <c r="H92" s="64" t="str">
        <f aca="false">IF(Tasks!$D92="","",Tasks!$S92)</f>
        <v/>
      </c>
      <c r="I92" s="65" t="str">
        <f aca="false">IF(Tasks!$D92="","",Tasks!$V92)</f>
        <v/>
      </c>
      <c r="J92" s="63" t="str">
        <f aca="false">IF(Tasks!$D92="","",Tasks!$X92&amp;"")</f>
        <v/>
      </c>
      <c r="K92" s="66" t="str">
        <f aca="false">IF(Tasks!$D92="","",Tasks!$W92)</f>
        <v/>
      </c>
      <c r="L92" s="67" t="b">
        <f aca="false">IF(Tasks!$D92="",FALSE(),Tasks!$AI92)</f>
        <v>0</v>
      </c>
      <c r="M92" s="67" t="b">
        <f aca="false">AND(Tasks!$AJ92=1,N(Tasks!$F92)=0)</f>
        <v>0</v>
      </c>
      <c r="N92" s="68" t="n">
        <f aca="false">IF(AND(Tasks!$AJ92=1,NOT($M92),N($I92)&gt;0),$G92,0)</f>
        <v>0</v>
      </c>
      <c r="O92" s="68" t="n">
        <f aca="false">IF($N92=0,0,IF($I92&gt;=1,$H92,MAX($N92,$G92+ROUND(($H92-$G92+1)*$I92,0)-1)))</f>
        <v>0</v>
      </c>
      <c r="P92" s="68" t="n">
        <f aca="false">IF(OR(Tasks!$AJ92&lt;&gt;1,$M92,N($I92)&gt;=1),0,IF($O92&gt;0,$O92+1,$G92))</f>
        <v>0</v>
      </c>
      <c r="Q92" s="68" t="n">
        <f aca="false">IF($P92=0,0,$H92)</f>
        <v>0</v>
      </c>
      <c r="R92" s="67" t="b">
        <f aca="false">AND(Tasks!$D92&lt;&gt;"",N(Tasks!$T92)&gt;0)</f>
        <v>0</v>
      </c>
      <c r="T92" s="69" t="str">
        <f aca="false">IF($E92="","",IF($M92,IF(AND($G92&gt;=T$5,$G92&lt;T$5+GanttPeriod),"◆",IF(AND($E92&gt;=T$5,$E92&lt;T$5+GanttPeriod),"◇","")),IF(AND(T$5&lt;=$F92,T$5+GanttPeriod-1&gt;=$E92),"━","")))</f>
        <v/>
      </c>
      <c r="U92" s="69" t="str">
        <f aca="false">IF($E92="","",IF($M92,IF(AND($G92&gt;=U$5,$G92&lt;U$5+GanttPeriod),"◆",IF(AND($E92&gt;=U$5,$E92&lt;U$5+GanttPeriod),"◇","")),IF(AND(U$5&lt;=$F92,U$5+GanttPeriod-1&gt;=$E92),"━","")))</f>
        <v/>
      </c>
      <c r="V92" s="69" t="str">
        <f aca="false">IF($E92="","",IF($M92,IF(AND($G92&gt;=V$5,$G92&lt;V$5+GanttPeriod),"◆",IF(AND($E92&gt;=V$5,$E92&lt;V$5+GanttPeriod),"◇","")),IF(AND(V$5&lt;=$F92,V$5+GanttPeriod-1&gt;=$E92),"━","")))</f>
        <v/>
      </c>
      <c r="W92" s="69" t="str">
        <f aca="false">IF($E92="","",IF($M92,IF(AND($G92&gt;=W$5,$G92&lt;W$5+GanttPeriod),"◆",IF(AND($E92&gt;=W$5,$E92&lt;W$5+GanttPeriod),"◇","")),IF(AND(W$5&lt;=$F92,W$5+GanttPeriod-1&gt;=$E92),"━","")))</f>
        <v/>
      </c>
      <c r="X92" s="69" t="str">
        <f aca="false">IF($E92="","",IF($M92,IF(AND($G92&gt;=X$5,$G92&lt;X$5+GanttPeriod),"◆",IF(AND($E92&gt;=X$5,$E92&lt;X$5+GanttPeriod),"◇","")),IF(AND(X$5&lt;=$F92,X$5+GanttPeriod-1&gt;=$E92),"━","")))</f>
        <v/>
      </c>
      <c r="Y92" s="69" t="str">
        <f aca="false">IF($E92="","",IF($M92,IF(AND($G92&gt;=Y$5,$G92&lt;Y$5+GanttPeriod),"◆",IF(AND($E92&gt;=Y$5,$E92&lt;Y$5+GanttPeriod),"◇","")),IF(AND(Y$5&lt;=$F92,Y$5+GanttPeriod-1&gt;=$E92),"━","")))</f>
        <v/>
      </c>
      <c r="Z92" s="69" t="str">
        <f aca="false">IF($E92="","",IF($M92,IF(AND($G92&gt;=Z$5,$G92&lt;Z$5+GanttPeriod),"◆",IF(AND($E92&gt;=Z$5,$E92&lt;Z$5+GanttPeriod),"◇","")),IF(AND(Z$5&lt;=$F92,Z$5+GanttPeriod-1&gt;=$E92),"━","")))</f>
        <v/>
      </c>
      <c r="AA92" s="69" t="str">
        <f aca="false">IF($E92="","",IF($M92,IF(AND($G92&gt;=AA$5,$G92&lt;AA$5+GanttPeriod),"◆",IF(AND($E92&gt;=AA$5,$E92&lt;AA$5+GanttPeriod),"◇","")),IF(AND(AA$5&lt;=$F92,AA$5+GanttPeriod-1&gt;=$E92),"━","")))</f>
        <v/>
      </c>
      <c r="AB92" s="69" t="str">
        <f aca="false">IF($E92="","",IF($M92,IF(AND($G92&gt;=AB$5,$G92&lt;AB$5+GanttPeriod),"◆",IF(AND($E92&gt;=AB$5,$E92&lt;AB$5+GanttPeriod),"◇","")),IF(AND(AB$5&lt;=$F92,AB$5+GanttPeriod-1&gt;=$E92),"━","")))</f>
        <v/>
      </c>
      <c r="AC92" s="69" t="str">
        <f aca="false">IF($E92="","",IF($M92,IF(AND($G92&gt;=AC$5,$G92&lt;AC$5+GanttPeriod),"◆",IF(AND($E92&gt;=AC$5,$E92&lt;AC$5+GanttPeriod),"◇","")),IF(AND(AC$5&lt;=$F92,AC$5+GanttPeriod-1&gt;=$E92),"━","")))</f>
        <v/>
      </c>
      <c r="AD92" s="69" t="str">
        <f aca="false">IF($E92="","",IF($M92,IF(AND($G92&gt;=AD$5,$G92&lt;AD$5+GanttPeriod),"◆",IF(AND($E92&gt;=AD$5,$E92&lt;AD$5+GanttPeriod),"◇","")),IF(AND(AD$5&lt;=$F92,AD$5+GanttPeriod-1&gt;=$E92),"━","")))</f>
        <v/>
      </c>
      <c r="AE92" s="69" t="str">
        <f aca="false">IF($E92="","",IF($M92,IF(AND($G92&gt;=AE$5,$G92&lt;AE$5+GanttPeriod),"◆",IF(AND($E92&gt;=AE$5,$E92&lt;AE$5+GanttPeriod),"◇","")),IF(AND(AE$5&lt;=$F92,AE$5+GanttPeriod-1&gt;=$E92),"━","")))</f>
        <v/>
      </c>
      <c r="AF92" s="69" t="str">
        <f aca="false">IF($E92="","",IF($M92,IF(AND($G92&gt;=AF$5,$G92&lt;AF$5+GanttPeriod),"◆",IF(AND($E92&gt;=AF$5,$E92&lt;AF$5+GanttPeriod),"◇","")),IF(AND(AF$5&lt;=$F92,AF$5+GanttPeriod-1&gt;=$E92),"━","")))</f>
        <v/>
      </c>
      <c r="AG92" s="69" t="str">
        <f aca="false">IF($E92="","",IF($M92,IF(AND($G92&gt;=AG$5,$G92&lt;AG$5+GanttPeriod),"◆",IF(AND($E92&gt;=AG$5,$E92&lt;AG$5+GanttPeriod),"◇","")),IF(AND(AG$5&lt;=$F92,AG$5+GanttPeriod-1&gt;=$E92),"━","")))</f>
        <v/>
      </c>
      <c r="AH92" s="69" t="str">
        <f aca="false">IF($E92="","",IF($M92,IF(AND($G92&gt;=AH$5,$G92&lt;AH$5+GanttPeriod),"◆",IF(AND($E92&gt;=AH$5,$E92&lt;AH$5+GanttPeriod),"◇","")),IF(AND(AH$5&lt;=$F92,AH$5+GanttPeriod-1&gt;=$E92),"━","")))</f>
        <v/>
      </c>
      <c r="AI92" s="69" t="str">
        <f aca="false">IF($E92="","",IF($M92,IF(AND($G92&gt;=AI$5,$G92&lt;AI$5+GanttPeriod),"◆",IF(AND($E92&gt;=AI$5,$E92&lt;AI$5+GanttPeriod),"◇","")),IF(AND(AI$5&lt;=$F92,AI$5+GanttPeriod-1&gt;=$E92),"━","")))</f>
        <v/>
      </c>
      <c r="AJ92" s="69" t="str">
        <f aca="false">IF($E92="","",IF($M92,IF(AND($G92&gt;=AJ$5,$G92&lt;AJ$5+GanttPeriod),"◆",IF(AND($E92&gt;=AJ$5,$E92&lt;AJ$5+GanttPeriod),"◇","")),IF(AND(AJ$5&lt;=$F92,AJ$5+GanttPeriod-1&gt;=$E92),"━","")))</f>
        <v/>
      </c>
      <c r="AK92" s="69" t="str">
        <f aca="false">IF($E92="","",IF($M92,IF(AND($G92&gt;=AK$5,$G92&lt;AK$5+GanttPeriod),"◆",IF(AND($E92&gt;=AK$5,$E92&lt;AK$5+GanttPeriod),"◇","")),IF(AND(AK$5&lt;=$F92,AK$5+GanttPeriod-1&gt;=$E92),"━","")))</f>
        <v/>
      </c>
      <c r="AL92" s="69" t="str">
        <f aca="false">IF($E92="","",IF($M92,IF(AND($G92&gt;=AL$5,$G92&lt;AL$5+GanttPeriod),"◆",IF(AND($E92&gt;=AL$5,$E92&lt;AL$5+GanttPeriod),"◇","")),IF(AND(AL$5&lt;=$F92,AL$5+GanttPeriod-1&gt;=$E92),"━","")))</f>
        <v/>
      </c>
      <c r="AM92" s="69" t="str">
        <f aca="false">IF($E92="","",IF($M92,IF(AND($G92&gt;=AM$5,$G92&lt;AM$5+GanttPeriod),"◆",IF(AND($E92&gt;=AM$5,$E92&lt;AM$5+GanttPeriod),"◇","")),IF(AND(AM$5&lt;=$F92,AM$5+GanttPeriod-1&gt;=$E92),"━","")))</f>
        <v/>
      </c>
      <c r="AN92" s="69" t="str">
        <f aca="false">IF($E92="","",IF($M92,IF(AND($G92&gt;=AN$5,$G92&lt;AN$5+GanttPeriod),"◆",IF(AND($E92&gt;=AN$5,$E92&lt;AN$5+GanttPeriod),"◇","")),IF(AND(AN$5&lt;=$F92,AN$5+GanttPeriod-1&gt;=$E92),"━","")))</f>
        <v/>
      </c>
      <c r="AO92" s="69" t="str">
        <f aca="false">IF($E92="","",IF($M92,IF(AND($G92&gt;=AO$5,$G92&lt;AO$5+GanttPeriod),"◆",IF(AND($E92&gt;=AO$5,$E92&lt;AO$5+GanttPeriod),"◇","")),IF(AND(AO$5&lt;=$F92,AO$5+GanttPeriod-1&gt;=$E92),"━","")))</f>
        <v/>
      </c>
      <c r="AP92" s="69" t="str">
        <f aca="false">IF($E92="","",IF($M92,IF(AND($G92&gt;=AP$5,$G92&lt;AP$5+GanttPeriod),"◆",IF(AND($E92&gt;=AP$5,$E92&lt;AP$5+GanttPeriod),"◇","")),IF(AND(AP$5&lt;=$F92,AP$5+GanttPeriod-1&gt;=$E92),"━","")))</f>
        <v/>
      </c>
      <c r="AQ92" s="69" t="str">
        <f aca="false">IF($E92="","",IF($M92,IF(AND($G92&gt;=AQ$5,$G92&lt;AQ$5+GanttPeriod),"◆",IF(AND($E92&gt;=AQ$5,$E92&lt;AQ$5+GanttPeriod),"◇","")),IF(AND(AQ$5&lt;=$F92,AQ$5+GanttPeriod-1&gt;=$E92),"━","")))</f>
        <v/>
      </c>
      <c r="AR92" s="69" t="str">
        <f aca="false">IF($E92="","",IF($M92,IF(AND($G92&gt;=AR$5,$G92&lt;AR$5+GanttPeriod),"◆",IF(AND($E92&gt;=AR$5,$E92&lt;AR$5+GanttPeriod),"◇","")),IF(AND(AR$5&lt;=$F92,AR$5+GanttPeriod-1&gt;=$E92),"━","")))</f>
        <v/>
      </c>
      <c r="AS92" s="69" t="str">
        <f aca="false">IF($E92="","",IF($M92,IF(AND($G92&gt;=AS$5,$G92&lt;AS$5+GanttPeriod),"◆",IF(AND($E92&gt;=AS$5,$E92&lt;AS$5+GanttPeriod),"◇","")),IF(AND(AS$5&lt;=$F92,AS$5+GanttPeriod-1&gt;=$E92),"━","")))</f>
        <v/>
      </c>
      <c r="AT92" s="69" t="str">
        <f aca="false">IF($E92="","",IF($M92,IF(AND($G92&gt;=AT$5,$G92&lt;AT$5+GanttPeriod),"◆",IF(AND($E92&gt;=AT$5,$E92&lt;AT$5+GanttPeriod),"◇","")),IF(AND(AT$5&lt;=$F92,AT$5+GanttPeriod-1&gt;=$E92),"━","")))</f>
        <v/>
      </c>
      <c r="AU92" s="69" t="str">
        <f aca="false">IF($E92="","",IF($M92,IF(AND($G92&gt;=AU$5,$G92&lt;AU$5+GanttPeriod),"◆",IF(AND($E92&gt;=AU$5,$E92&lt;AU$5+GanttPeriod),"◇","")),IF(AND(AU$5&lt;=$F92,AU$5+GanttPeriod-1&gt;=$E92),"━","")))</f>
        <v/>
      </c>
      <c r="AV92" s="69" t="str">
        <f aca="false">IF($E92="","",IF($M92,IF(AND($G92&gt;=AV$5,$G92&lt;AV$5+GanttPeriod),"◆",IF(AND($E92&gt;=AV$5,$E92&lt;AV$5+GanttPeriod),"◇","")),IF(AND(AV$5&lt;=$F92,AV$5+GanttPeriod-1&gt;=$E92),"━","")))</f>
        <v/>
      </c>
      <c r="AW92" s="69" t="str">
        <f aca="false">IF($E92="","",IF($M92,IF(AND($G92&gt;=AW$5,$G92&lt;AW$5+GanttPeriod),"◆",IF(AND($E92&gt;=AW$5,$E92&lt;AW$5+GanttPeriod),"◇","")),IF(AND(AW$5&lt;=$F92,AW$5+GanttPeriod-1&gt;=$E92),"━","")))</f>
        <v/>
      </c>
      <c r="AX92" s="69" t="str">
        <f aca="false">IF($E92="","",IF($M92,IF(AND($G92&gt;=AX$5,$G92&lt;AX$5+GanttPeriod),"◆",IF(AND($E92&gt;=AX$5,$E92&lt;AX$5+GanttPeriod),"◇","")),IF(AND(AX$5&lt;=$F92,AX$5+GanttPeriod-1&gt;=$E92),"━","")))</f>
        <v/>
      </c>
      <c r="AY92" s="69" t="str">
        <f aca="false">IF($E92="","",IF($M92,IF(AND($G92&gt;=AY$5,$G92&lt;AY$5+GanttPeriod),"◆",IF(AND($E92&gt;=AY$5,$E92&lt;AY$5+GanttPeriod),"◇","")),IF(AND(AY$5&lt;=$F92,AY$5+GanttPeriod-1&gt;=$E92),"━","")))</f>
        <v/>
      </c>
      <c r="AZ92" s="69" t="str">
        <f aca="false">IF($E92="","",IF($M92,IF(AND($G92&gt;=AZ$5,$G92&lt;AZ$5+GanttPeriod),"◆",IF(AND($E92&gt;=AZ$5,$E92&lt;AZ$5+GanttPeriod),"◇","")),IF(AND(AZ$5&lt;=$F92,AZ$5+GanttPeriod-1&gt;=$E92),"━","")))</f>
        <v/>
      </c>
      <c r="BA92" s="69" t="str">
        <f aca="false">IF($E92="","",IF($M92,IF(AND($G92&gt;=BA$5,$G92&lt;BA$5+GanttPeriod),"◆",IF(AND($E92&gt;=BA$5,$E92&lt;BA$5+GanttPeriod),"◇","")),IF(AND(BA$5&lt;=$F92,BA$5+GanttPeriod-1&gt;=$E92),"━","")))</f>
        <v/>
      </c>
      <c r="BB92" s="69" t="str">
        <f aca="false">IF($E92="","",IF($M92,IF(AND($G92&gt;=BB$5,$G92&lt;BB$5+GanttPeriod),"◆",IF(AND($E92&gt;=BB$5,$E92&lt;BB$5+GanttPeriod),"◇","")),IF(AND(BB$5&lt;=$F92,BB$5+GanttPeriod-1&gt;=$E92),"━","")))</f>
        <v/>
      </c>
      <c r="BC92" s="69" t="str">
        <f aca="false">IF($E92="","",IF($M92,IF(AND($G92&gt;=BC$5,$G92&lt;BC$5+GanttPeriod),"◆",IF(AND($E92&gt;=BC$5,$E92&lt;BC$5+GanttPeriod),"◇","")),IF(AND(BC$5&lt;=$F92,BC$5+GanttPeriod-1&gt;=$E92),"━","")))</f>
        <v/>
      </c>
      <c r="BD92" s="69" t="str">
        <f aca="false">IF($E92="","",IF($M92,IF(AND($G92&gt;=BD$5,$G92&lt;BD$5+GanttPeriod),"◆",IF(AND($E92&gt;=BD$5,$E92&lt;BD$5+GanttPeriod),"◇","")),IF(AND(BD$5&lt;=$F92,BD$5+GanttPeriod-1&gt;=$E92),"━","")))</f>
        <v/>
      </c>
      <c r="BE92" s="69" t="str">
        <f aca="false">IF($E92="","",IF($M92,IF(AND($G92&gt;=BE$5,$G92&lt;BE$5+GanttPeriod),"◆",IF(AND($E92&gt;=BE$5,$E92&lt;BE$5+GanttPeriod),"◇","")),IF(AND(BE$5&lt;=$F92,BE$5+GanttPeriod-1&gt;=$E92),"━","")))</f>
        <v/>
      </c>
      <c r="BF92" s="69" t="str">
        <f aca="false">IF($E92="","",IF($M92,IF(AND($G92&gt;=BF$5,$G92&lt;BF$5+GanttPeriod),"◆",IF(AND($E92&gt;=BF$5,$E92&lt;BF$5+GanttPeriod),"◇","")),IF(AND(BF$5&lt;=$F92,BF$5+GanttPeriod-1&gt;=$E92),"━","")))</f>
        <v/>
      </c>
      <c r="BG92" s="69" t="str">
        <f aca="false">IF($E92="","",IF($M92,IF(AND($G92&gt;=BG$5,$G92&lt;BG$5+GanttPeriod),"◆",IF(AND($E92&gt;=BG$5,$E92&lt;BG$5+GanttPeriod),"◇","")),IF(AND(BG$5&lt;=$F92,BG$5+GanttPeriod-1&gt;=$E92),"━","")))</f>
        <v/>
      </c>
      <c r="BH92" s="69" t="str">
        <f aca="false">IF($E92="","",IF($M92,IF(AND($G92&gt;=BH$5,$G92&lt;BH$5+GanttPeriod),"◆",IF(AND($E92&gt;=BH$5,$E92&lt;BH$5+GanttPeriod),"◇","")),IF(AND(BH$5&lt;=$F92,BH$5+GanttPeriod-1&gt;=$E92),"━","")))</f>
        <v/>
      </c>
      <c r="BI92" s="69" t="str">
        <f aca="false">IF($E92="","",IF($M92,IF(AND($G92&gt;=BI$5,$G92&lt;BI$5+GanttPeriod),"◆",IF(AND($E92&gt;=BI$5,$E92&lt;BI$5+GanttPeriod),"◇","")),IF(AND(BI$5&lt;=$F92,BI$5+GanttPeriod-1&gt;=$E92),"━","")))</f>
        <v/>
      </c>
      <c r="BJ92" s="69" t="str">
        <f aca="false">IF($E92="","",IF($M92,IF(AND($G92&gt;=BJ$5,$G92&lt;BJ$5+GanttPeriod),"◆",IF(AND($E92&gt;=BJ$5,$E92&lt;BJ$5+GanttPeriod),"◇","")),IF(AND(BJ$5&lt;=$F92,BJ$5+GanttPeriod-1&gt;=$E92),"━","")))</f>
        <v/>
      </c>
      <c r="BK92" s="69" t="str">
        <f aca="false">IF($E92="","",IF($M92,IF(AND($G92&gt;=BK$5,$G92&lt;BK$5+GanttPeriod),"◆",IF(AND($E92&gt;=BK$5,$E92&lt;BK$5+GanttPeriod),"◇","")),IF(AND(BK$5&lt;=$F92,BK$5+GanttPeriod-1&gt;=$E92),"━","")))</f>
        <v/>
      </c>
      <c r="BL92" s="69" t="str">
        <f aca="false">IF($E92="","",IF($M92,IF(AND($G92&gt;=BL$5,$G92&lt;BL$5+GanttPeriod),"◆",IF(AND($E92&gt;=BL$5,$E92&lt;BL$5+GanttPeriod),"◇","")),IF(AND(BL$5&lt;=$F92,BL$5+GanttPeriod-1&gt;=$E92),"━","")))</f>
        <v/>
      </c>
      <c r="BM92" s="69" t="str">
        <f aca="false">IF($E92="","",IF($M92,IF(AND($G92&gt;=BM$5,$G92&lt;BM$5+GanttPeriod),"◆",IF(AND($E92&gt;=BM$5,$E92&lt;BM$5+GanttPeriod),"◇","")),IF(AND(BM$5&lt;=$F92,BM$5+GanttPeriod-1&gt;=$E92),"━","")))</f>
        <v/>
      </c>
      <c r="BN92" s="69" t="str">
        <f aca="false">IF($E92="","",IF($M92,IF(AND($G92&gt;=BN$5,$G92&lt;BN$5+GanttPeriod),"◆",IF(AND($E92&gt;=BN$5,$E92&lt;BN$5+GanttPeriod),"◇","")),IF(AND(BN$5&lt;=$F92,BN$5+GanttPeriod-1&gt;=$E92),"━","")))</f>
        <v/>
      </c>
      <c r="BO92" s="69" t="str">
        <f aca="false">IF($E92="","",IF($M92,IF(AND($G92&gt;=BO$5,$G92&lt;BO$5+GanttPeriod),"◆",IF(AND($E92&gt;=BO$5,$E92&lt;BO$5+GanttPeriod),"◇","")),IF(AND(BO$5&lt;=$F92,BO$5+GanttPeriod-1&gt;=$E92),"━","")))</f>
        <v/>
      </c>
      <c r="BP92" s="69" t="str">
        <f aca="false">IF($E92="","",IF($M92,IF(AND($G92&gt;=BP$5,$G92&lt;BP$5+GanttPeriod),"◆",IF(AND($E92&gt;=BP$5,$E92&lt;BP$5+GanttPeriod),"◇","")),IF(AND(BP$5&lt;=$F92,BP$5+GanttPeriod-1&gt;=$E92),"━","")))</f>
        <v/>
      </c>
      <c r="BQ92" s="69" t="str">
        <f aca="false">IF($E92="","",IF($M92,IF(AND($G92&gt;=BQ$5,$G92&lt;BQ$5+GanttPeriod),"◆",IF(AND($E92&gt;=BQ$5,$E92&lt;BQ$5+GanttPeriod),"◇","")),IF(AND(BQ$5&lt;=$F92,BQ$5+GanttPeriod-1&gt;=$E92),"━","")))</f>
        <v/>
      </c>
      <c r="BR92" s="69" t="str">
        <f aca="false">IF($E92="","",IF($M92,IF(AND($G92&gt;=BR$5,$G92&lt;BR$5+GanttPeriod),"◆",IF(AND($E92&gt;=BR$5,$E92&lt;BR$5+GanttPeriod),"◇","")),IF(AND(BR$5&lt;=$F92,BR$5+GanttPeriod-1&gt;=$E92),"━","")))</f>
        <v/>
      </c>
      <c r="BS92" s="69" t="str">
        <f aca="false">IF($E92="","",IF($M92,IF(AND($G92&gt;=BS$5,$G92&lt;BS$5+GanttPeriod),"◆",IF(AND($E92&gt;=BS$5,$E92&lt;BS$5+GanttPeriod),"◇","")),IF(AND(BS$5&lt;=$F92,BS$5+GanttPeriod-1&gt;=$E92),"━","")))</f>
        <v/>
      </c>
      <c r="BT92" s="69" t="str">
        <f aca="false">IF($E92="","",IF($M92,IF(AND($G92&gt;=BT$5,$G92&lt;BT$5+GanttPeriod),"◆",IF(AND($E92&gt;=BT$5,$E92&lt;BT$5+GanttPeriod),"◇","")),IF(AND(BT$5&lt;=$F92,BT$5+GanttPeriod-1&gt;=$E92),"━","")))</f>
        <v/>
      </c>
      <c r="BU92" s="69" t="str">
        <f aca="false">IF($E92="","",IF($M92,IF(AND($G92&gt;=BU$5,$G92&lt;BU$5+GanttPeriod),"◆",IF(AND($E92&gt;=BU$5,$E92&lt;BU$5+GanttPeriod),"◇","")),IF(AND(BU$5&lt;=$F92,BU$5+GanttPeriod-1&gt;=$E92),"━","")))</f>
        <v/>
      </c>
      <c r="BV92" s="69" t="str">
        <f aca="false">IF($E92="","",IF($M92,IF(AND($G92&gt;=BV$5,$G92&lt;BV$5+GanttPeriod),"◆",IF(AND($E92&gt;=BV$5,$E92&lt;BV$5+GanttPeriod),"◇","")),IF(AND(BV$5&lt;=$F92,BV$5+GanttPeriod-1&gt;=$E92),"━","")))</f>
        <v/>
      </c>
      <c r="BW92" s="69" t="str">
        <f aca="false">IF($E92="","",IF($M92,IF(AND($G92&gt;=BW$5,$G92&lt;BW$5+GanttPeriod),"◆",IF(AND($E92&gt;=BW$5,$E92&lt;BW$5+GanttPeriod),"◇","")),IF(AND(BW$5&lt;=$F92,BW$5+GanttPeriod-1&gt;=$E92),"━","")))</f>
        <v/>
      </c>
      <c r="BX92" s="69" t="str">
        <f aca="false">IF($E92="","",IF($M92,IF(AND($G92&gt;=BX$5,$G92&lt;BX$5+GanttPeriod),"◆",IF(AND($E92&gt;=BX$5,$E92&lt;BX$5+GanttPeriod),"◇","")),IF(AND(BX$5&lt;=$F92,BX$5+GanttPeriod-1&gt;=$E92),"━","")))</f>
        <v/>
      </c>
      <c r="BY92" s="69" t="str">
        <f aca="false">IF($E92="","",IF($M92,IF(AND($G92&gt;=BY$5,$G92&lt;BY$5+GanttPeriod),"◆",IF(AND($E92&gt;=BY$5,$E92&lt;BY$5+GanttPeriod),"◇","")),IF(AND(BY$5&lt;=$F92,BY$5+GanttPeriod-1&gt;=$E92),"━","")))</f>
        <v/>
      </c>
      <c r="BZ92" s="69" t="str">
        <f aca="false">IF($E92="","",IF($M92,IF(AND($G92&gt;=BZ$5,$G92&lt;BZ$5+GanttPeriod),"◆",IF(AND($E92&gt;=BZ$5,$E92&lt;BZ$5+GanttPeriod),"◇","")),IF(AND(BZ$5&lt;=$F92,BZ$5+GanttPeriod-1&gt;=$E92),"━","")))</f>
        <v/>
      </c>
      <c r="CA92" s="69" t="str">
        <f aca="false">IF($E92="","",IF($M92,IF(AND($G92&gt;=CA$5,$G92&lt;CA$5+GanttPeriod),"◆",IF(AND($E92&gt;=CA$5,$E92&lt;CA$5+GanttPeriod),"◇","")),IF(AND(CA$5&lt;=$F92,CA$5+GanttPeriod-1&gt;=$E92),"━","")))</f>
        <v/>
      </c>
      <c r="CB92" s="69" t="str">
        <f aca="false">IF($E92="","",IF($M92,IF(AND($G92&gt;=CB$5,$G92&lt;CB$5+GanttPeriod),"◆",IF(AND($E92&gt;=CB$5,$E92&lt;CB$5+GanttPeriod),"◇","")),IF(AND(CB$5&lt;=$F92,CB$5+GanttPeriod-1&gt;=$E92),"━","")))</f>
        <v/>
      </c>
      <c r="CC92" s="69" t="str">
        <f aca="false">IF($E92="","",IF($M92,IF(AND($G92&gt;=CC$5,$G92&lt;CC$5+GanttPeriod),"◆",IF(AND($E92&gt;=CC$5,$E92&lt;CC$5+GanttPeriod),"◇","")),IF(AND(CC$5&lt;=$F92,CC$5+GanttPeriod-1&gt;=$E92),"━","")))</f>
        <v/>
      </c>
      <c r="CD92" s="69" t="str">
        <f aca="false">IF($E92="","",IF($M92,IF(AND($G92&gt;=CD$5,$G92&lt;CD$5+GanttPeriod),"◆",IF(AND($E92&gt;=CD$5,$E92&lt;CD$5+GanttPeriod),"◇","")),IF(AND(CD$5&lt;=$F92,CD$5+GanttPeriod-1&gt;=$E92),"━","")))</f>
        <v/>
      </c>
      <c r="CE92" s="69" t="str">
        <f aca="false">IF($E92="","",IF($M92,IF(AND($G92&gt;=CE$5,$G92&lt;CE$5+GanttPeriod),"◆",IF(AND($E92&gt;=CE$5,$E92&lt;CE$5+GanttPeriod),"◇","")),IF(AND(CE$5&lt;=$F92,CE$5+GanttPeriod-1&gt;=$E92),"━","")))</f>
        <v/>
      </c>
      <c r="CF92" s="69" t="str">
        <f aca="false">IF($E92="","",IF($M92,IF(AND($G92&gt;=CF$5,$G92&lt;CF$5+GanttPeriod),"◆",IF(AND($E92&gt;=CF$5,$E92&lt;CF$5+GanttPeriod),"◇","")),IF(AND(CF$5&lt;=$F92,CF$5+GanttPeriod-1&gt;=$E92),"━","")))</f>
        <v/>
      </c>
      <c r="CG92" s="69" t="str">
        <f aca="false">IF($E92="","",IF($M92,IF(AND($G92&gt;=CG$5,$G92&lt;CG$5+GanttPeriod),"◆",IF(AND($E92&gt;=CG$5,$E92&lt;CG$5+GanttPeriod),"◇","")),IF(AND(CG$5&lt;=$F92,CG$5+GanttPeriod-1&gt;=$E92),"━","")))</f>
        <v/>
      </c>
      <c r="CH92" s="69" t="str">
        <f aca="false">IF($E92="","",IF($M92,IF(AND($G92&gt;=CH$5,$G92&lt;CH$5+GanttPeriod),"◆",IF(AND($E92&gt;=CH$5,$E92&lt;CH$5+GanttPeriod),"◇","")),IF(AND(CH$5&lt;=$F92,CH$5+GanttPeriod-1&gt;=$E92),"━","")))</f>
        <v/>
      </c>
      <c r="CI92" s="69" t="str">
        <f aca="false">IF($E92="","",IF($M92,IF(AND($G92&gt;=CI$5,$G92&lt;CI$5+GanttPeriod),"◆",IF(AND($E92&gt;=CI$5,$E92&lt;CI$5+GanttPeriod),"◇","")),IF(AND(CI$5&lt;=$F92,CI$5+GanttPeriod-1&gt;=$E92),"━","")))</f>
        <v/>
      </c>
      <c r="CJ92" s="69" t="str">
        <f aca="false">IF($E92="","",IF($M92,IF(AND($G92&gt;=CJ$5,$G92&lt;CJ$5+GanttPeriod),"◆",IF(AND($E92&gt;=CJ$5,$E92&lt;CJ$5+GanttPeriod),"◇","")),IF(AND(CJ$5&lt;=$F92,CJ$5+GanttPeriod-1&gt;=$E92),"━","")))</f>
        <v/>
      </c>
      <c r="CK92" s="69" t="str">
        <f aca="false">IF($E92="","",IF($M92,IF(AND($G92&gt;=CK$5,$G92&lt;CK$5+GanttPeriod),"◆",IF(AND($E92&gt;=CK$5,$E92&lt;CK$5+GanttPeriod),"◇","")),IF(AND(CK$5&lt;=$F92,CK$5+GanttPeriod-1&gt;=$E92),"━","")))</f>
        <v/>
      </c>
      <c r="CL92" s="69" t="str">
        <f aca="false">IF($E92="","",IF($M92,IF(AND($G92&gt;=CL$5,$G92&lt;CL$5+GanttPeriod),"◆",IF(AND($E92&gt;=CL$5,$E92&lt;CL$5+GanttPeriod),"◇","")),IF(AND(CL$5&lt;=$F92,CL$5+GanttPeriod-1&gt;=$E92),"━","")))</f>
        <v/>
      </c>
      <c r="CM92" s="69" t="str">
        <f aca="false">IF($E92="","",IF($M92,IF(AND($G92&gt;=CM$5,$G92&lt;CM$5+GanttPeriod),"◆",IF(AND($E92&gt;=CM$5,$E92&lt;CM$5+GanttPeriod),"◇","")),IF(AND(CM$5&lt;=$F92,CM$5+GanttPeriod-1&gt;=$E92),"━","")))</f>
        <v/>
      </c>
      <c r="CN92" s="69" t="str">
        <f aca="false">IF($E92="","",IF($M92,IF(AND($G92&gt;=CN$5,$G92&lt;CN$5+GanttPeriod),"◆",IF(AND($E92&gt;=CN$5,$E92&lt;CN$5+GanttPeriod),"◇","")),IF(AND(CN$5&lt;=$F92,CN$5+GanttPeriod-1&gt;=$E92),"━","")))</f>
        <v/>
      </c>
      <c r="CO92" s="69" t="str">
        <f aca="false">IF($E92="","",IF($M92,IF(AND($G92&gt;=CO$5,$G92&lt;CO$5+GanttPeriod),"◆",IF(AND($E92&gt;=CO$5,$E92&lt;CO$5+GanttPeriod),"◇","")),IF(AND(CO$5&lt;=$F92,CO$5+GanttPeriod-1&gt;=$E92),"━","")))</f>
        <v/>
      </c>
      <c r="CP92" s="69" t="str">
        <f aca="false">IF($E92="","",IF($M92,IF(AND($G92&gt;=CP$5,$G92&lt;CP$5+GanttPeriod),"◆",IF(AND($E92&gt;=CP$5,$E92&lt;CP$5+GanttPeriod),"◇","")),IF(AND(CP$5&lt;=$F92,CP$5+GanttPeriod-1&gt;=$E92),"━","")))</f>
        <v/>
      </c>
      <c r="CQ92" s="69" t="str">
        <f aca="false">IF($E92="","",IF($M92,IF(AND($G92&gt;=CQ$5,$G92&lt;CQ$5+GanttPeriod),"◆",IF(AND($E92&gt;=CQ$5,$E92&lt;CQ$5+GanttPeriod),"◇","")),IF(AND(CQ$5&lt;=$F92,CQ$5+GanttPeriod-1&gt;=$E92),"━","")))</f>
        <v/>
      </c>
      <c r="CR92" s="69" t="str">
        <f aca="false">IF($E92="","",IF($M92,IF(AND($G92&gt;=CR$5,$G92&lt;CR$5+GanttPeriod),"◆",IF(AND($E92&gt;=CR$5,$E92&lt;CR$5+GanttPeriod),"◇","")),IF(AND(CR$5&lt;=$F92,CR$5+GanttPeriod-1&gt;=$E92),"━","")))</f>
        <v/>
      </c>
      <c r="CS92" s="69" t="str">
        <f aca="false">IF($E92="","",IF($M92,IF(AND($G92&gt;=CS$5,$G92&lt;CS$5+GanttPeriod),"◆",IF(AND($E92&gt;=CS$5,$E92&lt;CS$5+GanttPeriod),"◇","")),IF(AND(CS$5&lt;=$F92,CS$5+GanttPeriod-1&gt;=$E92),"━","")))</f>
        <v/>
      </c>
      <c r="CT92" s="69" t="str">
        <f aca="false">IF($E92="","",IF($M92,IF(AND($G92&gt;=CT$5,$G92&lt;CT$5+GanttPeriod),"◆",IF(AND($E92&gt;=CT$5,$E92&lt;CT$5+GanttPeriod),"◇","")),IF(AND(CT$5&lt;=$F92,CT$5+GanttPeriod-1&gt;=$E92),"━","")))</f>
        <v/>
      </c>
      <c r="CU92" s="69" t="str">
        <f aca="false">IF($E92="","",IF($M92,IF(AND($G92&gt;=CU$5,$G92&lt;CU$5+GanttPeriod),"◆",IF(AND($E92&gt;=CU$5,$E92&lt;CU$5+GanttPeriod),"◇","")),IF(AND(CU$5&lt;=$F92,CU$5+GanttPeriod-1&gt;=$E92),"━","")))</f>
        <v/>
      </c>
      <c r="CV92" s="69" t="str">
        <f aca="false">IF($E92="","",IF($M92,IF(AND($G92&gt;=CV$5,$G92&lt;CV$5+GanttPeriod),"◆",IF(AND($E92&gt;=CV$5,$E92&lt;CV$5+GanttPeriod),"◇","")),IF(AND(CV$5&lt;=$F92,CV$5+GanttPeriod-1&gt;=$E92),"━","")))</f>
        <v/>
      </c>
      <c r="CW92" s="69" t="str">
        <f aca="false">IF($E92="","",IF($M92,IF(AND($G92&gt;=CW$5,$G92&lt;CW$5+GanttPeriod),"◆",IF(AND($E92&gt;=CW$5,$E92&lt;CW$5+GanttPeriod),"◇","")),IF(AND(CW$5&lt;=$F92,CW$5+GanttPeriod-1&gt;=$E92),"━","")))</f>
        <v/>
      </c>
      <c r="CX92" s="69" t="str">
        <f aca="false">IF($E92="","",IF($M92,IF(AND($G92&gt;=CX$5,$G92&lt;CX$5+GanttPeriod),"◆",IF(AND($E92&gt;=CX$5,$E92&lt;CX$5+GanttPeriod),"◇","")),IF(AND(CX$5&lt;=$F92,CX$5+GanttPeriod-1&gt;=$E92),"━","")))</f>
        <v/>
      </c>
      <c r="CY92" s="69" t="str">
        <f aca="false">IF($E92="","",IF($M92,IF(AND($G92&gt;=CY$5,$G92&lt;CY$5+GanttPeriod),"◆",IF(AND($E92&gt;=CY$5,$E92&lt;CY$5+GanttPeriod),"◇","")),IF(AND(CY$5&lt;=$F92,CY$5+GanttPeriod-1&gt;=$E92),"━","")))</f>
        <v/>
      </c>
      <c r="CZ92" s="69" t="str">
        <f aca="false">IF($E92="","",IF($M92,IF(AND($G92&gt;=CZ$5,$G92&lt;CZ$5+GanttPeriod),"◆",IF(AND($E92&gt;=CZ$5,$E92&lt;CZ$5+GanttPeriod),"◇","")),IF(AND(CZ$5&lt;=$F92,CZ$5+GanttPeriod-1&gt;=$E92),"━","")))</f>
        <v/>
      </c>
      <c r="DA92" s="69" t="str">
        <f aca="false">IF($E92="","",IF($M92,IF(AND($G92&gt;=DA$5,$G92&lt;DA$5+GanttPeriod),"◆",IF(AND($E92&gt;=DA$5,$E92&lt;DA$5+GanttPeriod),"◇","")),IF(AND(DA$5&lt;=$F92,DA$5+GanttPeriod-1&gt;=$E92),"━","")))</f>
        <v/>
      </c>
      <c r="DB92" s="69" t="str">
        <f aca="false">IF($E92="","",IF($M92,IF(AND($G92&gt;=DB$5,$G92&lt;DB$5+GanttPeriod),"◆",IF(AND($E92&gt;=DB$5,$E92&lt;DB$5+GanttPeriod),"◇","")),IF(AND(DB$5&lt;=$F92,DB$5+GanttPeriod-1&gt;=$E92),"━","")))</f>
        <v/>
      </c>
      <c r="DC92" s="69" t="str">
        <f aca="false">IF($E92="","",IF($M92,IF(AND($G92&gt;=DC$5,$G92&lt;DC$5+GanttPeriod),"◆",IF(AND($E92&gt;=DC$5,$E92&lt;DC$5+GanttPeriod),"◇","")),IF(AND(DC$5&lt;=$F92,DC$5+GanttPeriod-1&gt;=$E92),"━","")))</f>
        <v/>
      </c>
      <c r="DD92" s="69" t="str">
        <f aca="false">IF($E92="","",IF($M92,IF(AND($G92&gt;=DD$5,$G92&lt;DD$5+GanttPeriod),"◆",IF(AND($E92&gt;=DD$5,$E92&lt;DD$5+GanttPeriod),"◇","")),IF(AND(DD$5&lt;=$F92,DD$5+GanttPeriod-1&gt;=$E92),"━","")))</f>
        <v/>
      </c>
      <c r="DE92" s="69" t="str">
        <f aca="false">IF($E92="","",IF($M92,IF(AND($G92&gt;=DE$5,$G92&lt;DE$5+GanttPeriod),"◆",IF(AND($E92&gt;=DE$5,$E92&lt;DE$5+GanttPeriod),"◇","")),IF(AND(DE$5&lt;=$F92,DE$5+GanttPeriod-1&gt;=$E92),"━","")))</f>
        <v/>
      </c>
      <c r="DF92" s="69" t="str">
        <f aca="false">IF($E92="","",IF($M92,IF(AND($G92&gt;=DF$5,$G92&lt;DF$5+GanttPeriod),"◆",IF(AND($E92&gt;=DF$5,$E92&lt;DF$5+GanttPeriod),"◇","")),IF(AND(DF$5&lt;=$F92,DF$5+GanttPeriod-1&gt;=$E92),"━","")))</f>
        <v/>
      </c>
      <c r="DG92" s="69" t="str">
        <f aca="false">IF($E92="","",IF($M92,IF(AND($G92&gt;=DG$5,$G92&lt;DG$5+GanttPeriod),"◆",IF(AND($E92&gt;=DG$5,$E92&lt;DG$5+GanttPeriod),"◇","")),IF(AND(DG$5&lt;=$F92,DG$5+GanttPeriod-1&gt;=$E92),"━","")))</f>
        <v/>
      </c>
      <c r="DH92" s="69" t="str">
        <f aca="false">IF($E92="","",IF($M92,IF(AND($G92&gt;=DH$5,$G92&lt;DH$5+GanttPeriod),"◆",IF(AND($E92&gt;=DH$5,$E92&lt;DH$5+GanttPeriod),"◇","")),IF(AND(DH$5&lt;=$F92,DH$5+GanttPeriod-1&gt;=$E92),"━","")))</f>
        <v/>
      </c>
      <c r="DI92" s="69" t="str">
        <f aca="false">IF($E92="","",IF($M92,IF(AND($G92&gt;=DI$5,$G92&lt;DI$5+GanttPeriod),"◆",IF(AND($E92&gt;=DI$5,$E92&lt;DI$5+GanttPeriod),"◇","")),IF(AND(DI$5&lt;=$F92,DI$5+GanttPeriod-1&gt;=$E92),"━","")))</f>
        <v/>
      </c>
      <c r="DJ92" s="69" t="str">
        <f aca="false">IF($E92="","",IF($M92,IF(AND($G92&gt;=DJ$5,$G92&lt;DJ$5+GanttPeriod),"◆",IF(AND($E92&gt;=DJ$5,$E92&lt;DJ$5+GanttPeriod),"◇","")),IF(AND(DJ$5&lt;=$F92,DJ$5+GanttPeriod-1&gt;=$E92),"━","")))</f>
        <v/>
      </c>
      <c r="DK92" s="69" t="str">
        <f aca="false">IF($E92="","",IF($M92,IF(AND($G92&gt;=DK$5,$G92&lt;DK$5+GanttPeriod),"◆",IF(AND($E92&gt;=DK$5,$E92&lt;DK$5+GanttPeriod),"◇","")),IF(AND(DK$5&lt;=$F92,DK$5+GanttPeriod-1&gt;=$E92),"━","")))</f>
        <v/>
      </c>
      <c r="DL92" s="69" t="str">
        <f aca="false">IF($E92="","",IF($M92,IF(AND($G92&gt;=DL$5,$G92&lt;DL$5+GanttPeriod),"◆",IF(AND($E92&gt;=DL$5,$E92&lt;DL$5+GanttPeriod),"◇","")),IF(AND(DL$5&lt;=$F92,DL$5+GanttPeriod-1&gt;=$E92),"━","")))</f>
        <v/>
      </c>
      <c r="DM92" s="69" t="str">
        <f aca="false">IF($E92="","",IF($M92,IF(AND($G92&gt;=DM$5,$G92&lt;DM$5+GanttPeriod),"◆",IF(AND($E92&gt;=DM$5,$E92&lt;DM$5+GanttPeriod),"◇","")),IF(AND(DM$5&lt;=$F92,DM$5+GanttPeriod-1&gt;=$E92),"━","")))</f>
        <v/>
      </c>
      <c r="DN92" s="69" t="str">
        <f aca="false">IF($E92="","",IF($M92,IF(AND($G92&gt;=DN$5,$G92&lt;DN$5+GanttPeriod),"◆",IF(AND($E92&gt;=DN$5,$E92&lt;DN$5+GanttPeriod),"◇","")),IF(AND(DN$5&lt;=$F92,DN$5+GanttPeriod-1&gt;=$E92),"━","")))</f>
        <v/>
      </c>
      <c r="DO92" s="69" t="str">
        <f aca="false">IF($E92="","",IF($M92,IF(AND($G92&gt;=DO$5,$G92&lt;DO$5+GanttPeriod),"◆",IF(AND($E92&gt;=DO$5,$E92&lt;DO$5+GanttPeriod),"◇","")),IF(AND(DO$5&lt;=$F92,DO$5+GanttPeriod-1&gt;=$E92),"━","")))</f>
        <v/>
      </c>
      <c r="DP92" s="69" t="str">
        <f aca="false">IF($E92="","",IF($M92,IF(AND($G92&gt;=DP$5,$G92&lt;DP$5+GanttPeriod),"◆",IF(AND($E92&gt;=DP$5,$E92&lt;DP$5+GanttPeriod),"◇","")),IF(AND(DP$5&lt;=$F92,DP$5+GanttPeriod-1&gt;=$E92),"━","")))</f>
        <v/>
      </c>
      <c r="DQ92" s="69" t="str">
        <f aca="false">IF($E92="","",IF($M92,IF(AND($G92&gt;=DQ$5,$G92&lt;DQ$5+GanttPeriod),"◆",IF(AND($E92&gt;=DQ$5,$E92&lt;DQ$5+GanttPeriod),"◇","")),IF(AND(DQ$5&lt;=$F92,DQ$5+GanttPeriod-1&gt;=$E92),"━","")))</f>
        <v/>
      </c>
      <c r="DR92" s="69" t="str">
        <f aca="false">IF($E92="","",IF($M92,IF(AND($G92&gt;=DR$5,$G92&lt;DR$5+GanttPeriod),"◆",IF(AND($E92&gt;=DR$5,$E92&lt;DR$5+GanttPeriod),"◇","")),IF(AND(DR$5&lt;=$F92,DR$5+GanttPeriod-1&gt;=$E92),"━","")))</f>
        <v/>
      </c>
      <c r="DS92" s="69" t="str">
        <f aca="false">IF($E92="","",IF($M92,IF(AND($G92&gt;=DS$5,$G92&lt;DS$5+GanttPeriod),"◆",IF(AND($E92&gt;=DS$5,$E92&lt;DS$5+GanttPeriod),"◇","")),IF(AND(DS$5&lt;=$F92,DS$5+GanttPeriod-1&gt;=$E92),"━","")))</f>
        <v/>
      </c>
      <c r="DT92" s="69" t="str">
        <f aca="false">IF($E92="","",IF($M92,IF(AND($G92&gt;=DT$5,$G92&lt;DT$5+GanttPeriod),"◆",IF(AND($E92&gt;=DT$5,$E92&lt;DT$5+GanttPeriod),"◇","")),IF(AND(DT$5&lt;=$F92,DT$5+GanttPeriod-1&gt;=$E92),"━","")))</f>
        <v/>
      </c>
      <c r="DU92" s="69" t="str">
        <f aca="false">IF($E92="","",IF($M92,IF(AND($G92&gt;=DU$5,$G92&lt;DU$5+GanttPeriod),"◆",IF(AND($E92&gt;=DU$5,$E92&lt;DU$5+GanttPeriod),"◇","")),IF(AND(DU$5&lt;=$F92,DU$5+GanttPeriod-1&gt;=$E92),"━","")))</f>
        <v/>
      </c>
      <c r="DV92" s="69" t="str">
        <f aca="false">IF($E92="","",IF($M92,IF(AND($G92&gt;=DV$5,$G92&lt;DV$5+GanttPeriod),"◆",IF(AND($E92&gt;=DV$5,$E92&lt;DV$5+GanttPeriod),"◇","")),IF(AND(DV$5&lt;=$F92,DV$5+GanttPeriod-1&gt;=$E92),"━","")))</f>
        <v/>
      </c>
      <c r="DW92" s="69" t="str">
        <f aca="false">IF($E92="","",IF($M92,IF(AND($G92&gt;=DW$5,$G92&lt;DW$5+GanttPeriod),"◆",IF(AND($E92&gt;=DW$5,$E92&lt;DW$5+GanttPeriod),"◇","")),IF(AND(DW$5&lt;=$F92,DW$5+GanttPeriod-1&gt;=$E92),"━","")))</f>
        <v/>
      </c>
      <c r="DX92" s="69" t="str">
        <f aca="false">IF($E92="","",IF($M92,IF(AND($G92&gt;=DX$5,$G92&lt;DX$5+GanttPeriod),"◆",IF(AND($E92&gt;=DX$5,$E92&lt;DX$5+GanttPeriod),"◇","")),IF(AND(DX$5&lt;=$F92,DX$5+GanttPeriod-1&gt;=$E92),"━","")))</f>
        <v/>
      </c>
      <c r="DY92" s="69" t="str">
        <f aca="false">IF($E92="","",IF($M92,IF(AND($G92&gt;=DY$5,$G92&lt;DY$5+GanttPeriod),"◆",IF(AND($E92&gt;=DY$5,$E92&lt;DY$5+GanttPeriod),"◇","")),IF(AND(DY$5&lt;=$F92,DY$5+GanttPeriod-1&gt;=$E92),"━","")))</f>
        <v/>
      </c>
      <c r="DZ92" s="69" t="str">
        <f aca="false">IF($E92="","",IF($M92,IF(AND($G92&gt;=DZ$5,$G92&lt;DZ$5+GanttPeriod),"◆",IF(AND($E92&gt;=DZ$5,$E92&lt;DZ$5+GanttPeriod),"◇","")),IF(AND(DZ$5&lt;=$F92,DZ$5+GanttPeriod-1&gt;=$E92),"━","")))</f>
        <v/>
      </c>
      <c r="EA92" s="69" t="str">
        <f aca="false">IF($E92="","",IF($M92,IF(AND($G92&gt;=EA$5,$G92&lt;EA$5+GanttPeriod),"◆",IF(AND($E92&gt;=EA$5,$E92&lt;EA$5+GanttPeriod),"◇","")),IF(AND(EA$5&lt;=$F92,EA$5+GanttPeriod-1&gt;=$E92),"━","")))</f>
        <v/>
      </c>
      <c r="EB92" s="69" t="str">
        <f aca="false">IF($E92="","",IF($M92,IF(AND($G92&gt;=EB$5,$G92&lt;EB$5+GanttPeriod),"◆",IF(AND($E92&gt;=EB$5,$E92&lt;EB$5+GanttPeriod),"◇","")),IF(AND(EB$5&lt;=$F92,EB$5+GanttPeriod-1&gt;=$E92),"━","")))</f>
        <v/>
      </c>
      <c r="EC92" s="69" t="str">
        <f aca="false">IF($E92="","",IF($M92,IF(AND($G92&gt;=EC$5,$G92&lt;EC$5+GanttPeriod),"◆",IF(AND($E92&gt;=EC$5,$E92&lt;EC$5+GanttPeriod),"◇","")),IF(AND(EC$5&lt;=$F92,EC$5+GanttPeriod-1&gt;=$E92),"━","")))</f>
        <v/>
      </c>
      <c r="ED92" s="69" t="str">
        <f aca="false">IF($E92="","",IF($M92,IF(AND($G92&gt;=ED$5,$G92&lt;ED$5+GanttPeriod),"◆",IF(AND($E92&gt;=ED$5,$E92&lt;ED$5+GanttPeriod),"◇","")),IF(AND(ED$5&lt;=$F92,ED$5+GanttPeriod-1&gt;=$E92),"━","")))</f>
        <v/>
      </c>
      <c r="EE92" s="69" t="str">
        <f aca="false">IF($E92="","",IF($M92,IF(AND($G92&gt;=EE$5,$G92&lt;EE$5+GanttPeriod),"◆",IF(AND($E92&gt;=EE$5,$E92&lt;EE$5+GanttPeriod),"◇","")),IF(AND(EE$5&lt;=$F92,EE$5+GanttPeriod-1&gt;=$E92),"━","")))</f>
        <v/>
      </c>
      <c r="EF92" s="69" t="str">
        <f aca="false">IF($E92="","",IF($M92,IF(AND($G92&gt;=EF$5,$G92&lt;EF$5+GanttPeriod),"◆",IF(AND($E92&gt;=EF$5,$E92&lt;EF$5+GanttPeriod),"◇","")),IF(AND(EF$5&lt;=$F92,EF$5+GanttPeriod-1&gt;=$E92),"━","")))</f>
        <v/>
      </c>
      <c r="EG92" s="69" t="str">
        <f aca="false">IF($E92="","",IF($M92,IF(AND($G92&gt;=EG$5,$G92&lt;EG$5+GanttPeriod),"◆",IF(AND($E92&gt;=EG$5,$E92&lt;EG$5+GanttPeriod),"◇","")),IF(AND(EG$5&lt;=$F92,EG$5+GanttPeriod-1&gt;=$E92),"━","")))</f>
        <v/>
      </c>
      <c r="EH92" s="69" t="str">
        <f aca="false">IF($E92="","",IF($M92,IF(AND($G92&gt;=EH$5,$G92&lt;EH$5+GanttPeriod),"◆",IF(AND($E92&gt;=EH$5,$E92&lt;EH$5+GanttPeriod),"◇","")),IF(AND(EH$5&lt;=$F92,EH$5+GanttPeriod-1&gt;=$E92),"━","")))</f>
        <v/>
      </c>
      <c r="EI92" s="69" t="str">
        <f aca="false">IF($E92="","",IF($M92,IF(AND($G92&gt;=EI$5,$G92&lt;EI$5+GanttPeriod),"◆",IF(AND($E92&gt;=EI$5,$E92&lt;EI$5+GanttPeriod),"◇","")),IF(AND(EI$5&lt;=$F92,EI$5+GanttPeriod-1&gt;=$E92),"━","")))</f>
        <v/>
      </c>
      <c r="EJ92" s="69" t="str">
        <f aca="false">IF($E92="","",IF($M92,IF(AND($G92&gt;=EJ$5,$G92&lt;EJ$5+GanttPeriod),"◆",IF(AND($E92&gt;=EJ$5,$E92&lt;EJ$5+GanttPeriod),"◇","")),IF(AND(EJ$5&lt;=$F92,EJ$5+GanttPeriod-1&gt;=$E92),"━","")))</f>
        <v/>
      </c>
      <c r="EK92" s="69" t="str">
        <f aca="false">IF($E92="","",IF($M92,IF(AND($G92&gt;=EK$5,$G92&lt;EK$5+GanttPeriod),"◆",IF(AND($E92&gt;=EK$5,$E92&lt;EK$5+GanttPeriod),"◇","")),IF(AND(EK$5&lt;=$F92,EK$5+GanttPeriod-1&gt;=$E92),"━","")))</f>
        <v/>
      </c>
      <c r="EL92" s="69" t="str">
        <f aca="false">IF($E92="","",IF($M92,IF(AND($G92&gt;=EL$5,$G92&lt;EL$5+GanttPeriod),"◆",IF(AND($E92&gt;=EL$5,$E92&lt;EL$5+GanttPeriod),"◇","")),IF(AND(EL$5&lt;=$F92,EL$5+GanttPeriod-1&gt;=$E92),"━","")))</f>
        <v/>
      </c>
      <c r="EM92" s="69" t="str">
        <f aca="false">IF($E92="","",IF($M92,IF(AND($G92&gt;=EM$5,$G92&lt;EM$5+GanttPeriod),"◆",IF(AND($E92&gt;=EM$5,$E92&lt;EM$5+GanttPeriod),"◇","")),IF(AND(EM$5&lt;=$F92,EM$5+GanttPeriod-1&gt;=$E92),"━","")))</f>
        <v/>
      </c>
      <c r="EN92" s="69" t="str">
        <f aca="false">IF($E92="","",IF($M92,IF(AND($G92&gt;=EN$5,$G92&lt;EN$5+GanttPeriod),"◆",IF(AND($E92&gt;=EN$5,$E92&lt;EN$5+GanttPeriod),"◇","")),IF(AND(EN$5&lt;=$F92,EN$5+GanttPeriod-1&gt;=$E92),"━","")))</f>
        <v/>
      </c>
      <c r="EO92" s="69" t="str">
        <f aca="false">IF($E92="","",IF($M92,IF(AND($G92&gt;=EO$5,$G92&lt;EO$5+GanttPeriod),"◆",IF(AND($E92&gt;=EO$5,$E92&lt;EO$5+GanttPeriod),"◇","")),IF(AND(EO$5&lt;=$F92,EO$5+GanttPeriod-1&gt;=$E92),"━","")))</f>
        <v/>
      </c>
      <c r="EP92" s="69" t="str">
        <f aca="false">IF($E92="","",IF($M92,IF(AND($G92&gt;=EP$5,$G92&lt;EP$5+GanttPeriod),"◆",IF(AND($E92&gt;=EP$5,$E92&lt;EP$5+GanttPeriod),"◇","")),IF(AND(EP$5&lt;=$F92,EP$5+GanttPeriod-1&gt;=$E92),"━","")))</f>
        <v/>
      </c>
      <c r="EQ92" s="69" t="str">
        <f aca="false">IF($E92="","",IF($M92,IF(AND($G92&gt;=EQ$5,$G92&lt;EQ$5+GanttPeriod),"◆",IF(AND($E92&gt;=EQ$5,$E92&lt;EQ$5+GanttPeriod),"◇","")),IF(AND(EQ$5&lt;=$F92,EQ$5+GanttPeriod-1&gt;=$E92),"━","")))</f>
        <v/>
      </c>
      <c r="ER92" s="69" t="str">
        <f aca="false">IF($E92="","",IF($M92,IF(AND($G92&gt;=ER$5,$G92&lt;ER$5+GanttPeriod),"◆",IF(AND($E92&gt;=ER$5,$E92&lt;ER$5+GanttPeriod),"◇","")),IF(AND(ER$5&lt;=$F92,ER$5+GanttPeriod-1&gt;=$E92),"━","")))</f>
        <v/>
      </c>
      <c r="ES92" s="69" t="str">
        <f aca="false">IF($E92="","",IF($M92,IF(AND($G92&gt;=ES$5,$G92&lt;ES$5+GanttPeriod),"◆",IF(AND($E92&gt;=ES$5,$E92&lt;ES$5+GanttPeriod),"◇","")),IF(AND(ES$5&lt;=$F92,ES$5+GanttPeriod-1&gt;=$E92),"━","")))</f>
        <v/>
      </c>
      <c r="ET92" s="69" t="str">
        <f aca="false">IF($E92="","",IF($M92,IF(AND($G92&gt;=ET$5,$G92&lt;ET$5+GanttPeriod),"◆",IF(AND($E92&gt;=ET$5,$E92&lt;ET$5+GanttPeriod),"◇","")),IF(AND(ET$5&lt;=$F92,ET$5+GanttPeriod-1&gt;=$E92),"━","")))</f>
        <v/>
      </c>
      <c r="EU92" s="69" t="str">
        <f aca="false">IF($E92="","",IF($M92,IF(AND($G92&gt;=EU$5,$G92&lt;EU$5+GanttPeriod),"◆",IF(AND($E92&gt;=EU$5,$E92&lt;EU$5+GanttPeriod),"◇","")),IF(AND(EU$5&lt;=$F92,EU$5+GanttPeriod-1&gt;=$E92),"━","")))</f>
        <v/>
      </c>
      <c r="EV92" s="69" t="str">
        <f aca="false">IF($E92="","",IF($M92,IF(AND($G92&gt;=EV$5,$G92&lt;EV$5+GanttPeriod),"◆",IF(AND($E92&gt;=EV$5,$E92&lt;EV$5+GanttPeriod),"◇","")),IF(AND(EV$5&lt;=$F92,EV$5+GanttPeriod-1&gt;=$E92),"━","")))</f>
        <v/>
      </c>
      <c r="EW92" s="69" t="str">
        <f aca="false">IF($E92="","",IF($M92,IF(AND($G92&gt;=EW$5,$G92&lt;EW$5+GanttPeriod),"◆",IF(AND($E92&gt;=EW$5,$E92&lt;EW$5+GanttPeriod),"◇","")),IF(AND(EW$5&lt;=$F92,EW$5+GanttPeriod-1&gt;=$E92),"━","")))</f>
        <v/>
      </c>
      <c r="EX92" s="69" t="str">
        <f aca="false">IF($E92="","",IF($M92,IF(AND($G92&gt;=EX$5,$G92&lt;EX$5+GanttPeriod),"◆",IF(AND($E92&gt;=EX$5,$E92&lt;EX$5+GanttPeriod),"◇","")),IF(AND(EX$5&lt;=$F92,EX$5+GanttPeriod-1&gt;=$E92),"━","")))</f>
        <v/>
      </c>
      <c r="EY92" s="69" t="str">
        <f aca="false">IF($E92="","",IF($M92,IF(AND($G92&gt;=EY$5,$G92&lt;EY$5+GanttPeriod),"◆",IF(AND($E92&gt;=EY$5,$E92&lt;EY$5+GanttPeriod),"◇","")),IF(AND(EY$5&lt;=$F92,EY$5+GanttPeriod-1&gt;=$E92),"━","")))</f>
        <v/>
      </c>
      <c r="EZ92" s="69" t="str">
        <f aca="false">IF($E92="","",IF($M92,IF(AND($G92&gt;=EZ$5,$G92&lt;EZ$5+GanttPeriod),"◆",IF(AND($E92&gt;=EZ$5,$E92&lt;EZ$5+GanttPeriod),"◇","")),IF(AND(EZ$5&lt;=$F92,EZ$5+GanttPeriod-1&gt;=$E92),"━","")))</f>
        <v/>
      </c>
      <c r="FA92" s="69" t="str">
        <f aca="false">IF($E92="","",IF($M92,IF(AND($G92&gt;=FA$5,$G92&lt;FA$5+GanttPeriod),"◆",IF(AND($E92&gt;=FA$5,$E92&lt;FA$5+GanttPeriod),"◇","")),IF(AND(FA$5&lt;=$F92,FA$5+GanttPeriod-1&gt;=$E92),"━","")))</f>
        <v/>
      </c>
      <c r="FB92" s="69" t="str">
        <f aca="false">IF($E92="","",IF($M92,IF(AND($G92&gt;=FB$5,$G92&lt;FB$5+GanttPeriod),"◆",IF(AND($E92&gt;=FB$5,$E92&lt;FB$5+GanttPeriod),"◇","")),IF(AND(FB$5&lt;=$F92,FB$5+GanttPeriod-1&gt;=$E92),"━","")))</f>
        <v/>
      </c>
      <c r="FC92" s="69" t="str">
        <f aca="false">IF($E92="","",IF($M92,IF(AND($G92&gt;=FC$5,$G92&lt;FC$5+GanttPeriod),"◆",IF(AND($E92&gt;=FC$5,$E92&lt;FC$5+GanttPeriod),"◇","")),IF(AND(FC$5&lt;=$F92,FC$5+GanttPeriod-1&gt;=$E92),"━","")))</f>
        <v/>
      </c>
      <c r="FD92" s="69" t="str">
        <f aca="false">IF($E92="","",IF($M92,IF(AND($G92&gt;=FD$5,$G92&lt;FD$5+GanttPeriod),"◆",IF(AND($E92&gt;=FD$5,$E92&lt;FD$5+GanttPeriod),"◇","")),IF(AND(FD$5&lt;=$F92,FD$5+GanttPeriod-1&gt;=$E92),"━","")))</f>
        <v/>
      </c>
      <c r="FE92" s="69" t="str">
        <f aca="false">IF($E92="","",IF($M92,IF(AND($G92&gt;=FE$5,$G92&lt;FE$5+GanttPeriod),"◆",IF(AND($E92&gt;=FE$5,$E92&lt;FE$5+GanttPeriod),"◇","")),IF(AND(FE$5&lt;=$F92,FE$5+GanttPeriod-1&gt;=$E92),"━","")))</f>
        <v/>
      </c>
      <c r="FF92" s="69" t="str">
        <f aca="false">IF($E92="","",IF($M92,IF(AND($G92&gt;=FF$5,$G92&lt;FF$5+GanttPeriod),"◆",IF(AND($E92&gt;=FF$5,$E92&lt;FF$5+GanttPeriod),"◇","")),IF(AND(FF$5&lt;=$F92,FF$5+GanttPeriod-1&gt;=$E92),"━","")))</f>
        <v/>
      </c>
      <c r="FG92" s="69" t="str">
        <f aca="false">IF($E92="","",IF($M92,IF(AND($G92&gt;=FG$5,$G92&lt;FG$5+GanttPeriod),"◆",IF(AND($E92&gt;=FG$5,$E92&lt;FG$5+GanttPeriod),"◇","")),IF(AND(FG$5&lt;=$F92,FG$5+GanttPeriod-1&gt;=$E92),"━","")))</f>
        <v/>
      </c>
      <c r="FH92" s="69" t="str">
        <f aca="false">IF($E92="","",IF($M92,IF(AND($G92&gt;=FH$5,$G92&lt;FH$5+GanttPeriod),"◆",IF(AND($E92&gt;=FH$5,$E92&lt;FH$5+GanttPeriod),"◇","")),IF(AND(FH$5&lt;=$F92,FH$5+GanttPeriod-1&gt;=$E92),"━","")))</f>
        <v/>
      </c>
      <c r="FI92" s="69" t="str">
        <f aca="false">IF($E92="","",IF($M92,IF(AND($G92&gt;=FI$5,$G92&lt;FI$5+GanttPeriod),"◆",IF(AND($E92&gt;=FI$5,$E92&lt;FI$5+GanttPeriod),"◇","")),IF(AND(FI$5&lt;=$F92,FI$5+GanttPeriod-1&gt;=$E92),"━","")))</f>
        <v/>
      </c>
      <c r="FJ92" s="69" t="str">
        <f aca="false">IF($E92="","",IF($M92,IF(AND($G92&gt;=FJ$5,$G92&lt;FJ$5+GanttPeriod),"◆",IF(AND($E92&gt;=FJ$5,$E92&lt;FJ$5+GanttPeriod),"◇","")),IF(AND(FJ$5&lt;=$F92,FJ$5+GanttPeriod-1&gt;=$E92),"━","")))</f>
        <v/>
      </c>
      <c r="FK92" s="69" t="str">
        <f aca="false">IF($E92="","",IF($M92,IF(AND($G92&gt;=FK$5,$G92&lt;FK$5+GanttPeriod),"◆",IF(AND($E92&gt;=FK$5,$E92&lt;FK$5+GanttPeriod),"◇","")),IF(AND(FK$5&lt;=$F92,FK$5+GanttPeriod-1&gt;=$E92),"━","")))</f>
        <v/>
      </c>
      <c r="FL92" s="69" t="str">
        <f aca="false">IF($E92="","",IF($M92,IF(AND($G92&gt;=FL$5,$G92&lt;FL$5+GanttPeriod),"◆",IF(AND($E92&gt;=FL$5,$E92&lt;FL$5+GanttPeriod),"◇","")),IF(AND(FL$5&lt;=$F92,FL$5+GanttPeriod-1&gt;=$E92),"━","")))</f>
        <v/>
      </c>
      <c r="FM92" s="69" t="str">
        <f aca="false">IF($E92="","",IF($M92,IF(AND($G92&gt;=FM$5,$G92&lt;FM$5+GanttPeriod),"◆",IF(AND($E92&gt;=FM$5,$E92&lt;FM$5+GanttPeriod),"◇","")),IF(AND(FM$5&lt;=$F92,FM$5+GanttPeriod-1&gt;=$E92),"━","")))</f>
        <v/>
      </c>
    </row>
    <row r="93" customFormat="false" ht="15" hidden="false" customHeight="false" outlineLevel="0" collapsed="false">
      <c r="A93" s="62" t="str">
        <f aca="false">IF(Tasks!$D93="","",Tasks!$A93)</f>
        <v/>
      </c>
      <c r="B93" s="62" t="str">
        <f aca="false">IF(Tasks!$D93="","",Tasks!$B93)</f>
        <v/>
      </c>
      <c r="C93" s="63" t="str">
        <f aca="false">IF(Tasks!$D93="","",REPT("    ",Tasks!$AE93-1)&amp;Tasks!$D93)</f>
        <v/>
      </c>
      <c r="D93" s="62" t="str">
        <f aca="false">IF(Tasks!$D93="","",IF(Tasks!$AI93,NETWORKDAYS.INTL(Tasks!$R93,Tasks!$S93,WorkWeek,Holidays),N(Tasks!$F93)))</f>
        <v/>
      </c>
      <c r="E93" s="64" t="str">
        <f aca="false">IF(Tasks!$D93="","",Tasks!$N93)</f>
        <v/>
      </c>
      <c r="F93" s="64" t="str">
        <f aca="false">IF(Tasks!$D93="","",Tasks!$O93)</f>
        <v/>
      </c>
      <c r="G93" s="64" t="str">
        <f aca="false">IF(Tasks!$D93="","",Tasks!$R93)</f>
        <v/>
      </c>
      <c r="H93" s="64" t="str">
        <f aca="false">IF(Tasks!$D93="","",Tasks!$S93)</f>
        <v/>
      </c>
      <c r="I93" s="65" t="str">
        <f aca="false">IF(Tasks!$D93="","",Tasks!$V93)</f>
        <v/>
      </c>
      <c r="J93" s="63" t="str">
        <f aca="false">IF(Tasks!$D93="","",Tasks!$X93&amp;"")</f>
        <v/>
      </c>
      <c r="K93" s="66" t="str">
        <f aca="false">IF(Tasks!$D93="","",Tasks!$W93)</f>
        <v/>
      </c>
      <c r="L93" s="67" t="b">
        <f aca="false">IF(Tasks!$D93="",FALSE(),Tasks!$AI93)</f>
        <v>0</v>
      </c>
      <c r="M93" s="67" t="b">
        <f aca="false">AND(Tasks!$AJ93=1,N(Tasks!$F93)=0)</f>
        <v>0</v>
      </c>
      <c r="N93" s="68" t="n">
        <f aca="false">IF(AND(Tasks!$AJ93=1,NOT($M93),N($I93)&gt;0),$G93,0)</f>
        <v>0</v>
      </c>
      <c r="O93" s="68" t="n">
        <f aca="false">IF($N93=0,0,IF($I93&gt;=1,$H93,MAX($N93,$G93+ROUND(($H93-$G93+1)*$I93,0)-1)))</f>
        <v>0</v>
      </c>
      <c r="P93" s="68" t="n">
        <f aca="false">IF(OR(Tasks!$AJ93&lt;&gt;1,$M93,N($I93)&gt;=1),0,IF($O93&gt;0,$O93+1,$G93))</f>
        <v>0</v>
      </c>
      <c r="Q93" s="68" t="n">
        <f aca="false">IF($P93=0,0,$H93)</f>
        <v>0</v>
      </c>
      <c r="R93" s="67" t="b">
        <f aca="false">AND(Tasks!$D93&lt;&gt;"",N(Tasks!$T93)&gt;0)</f>
        <v>0</v>
      </c>
      <c r="T93" s="69" t="str">
        <f aca="false">IF($E93="","",IF($M93,IF(AND($G93&gt;=T$5,$G93&lt;T$5+GanttPeriod),"◆",IF(AND($E93&gt;=T$5,$E93&lt;T$5+GanttPeriod),"◇","")),IF(AND(T$5&lt;=$F93,T$5+GanttPeriod-1&gt;=$E93),"━","")))</f>
        <v/>
      </c>
      <c r="U93" s="69" t="str">
        <f aca="false">IF($E93="","",IF($M93,IF(AND($G93&gt;=U$5,$G93&lt;U$5+GanttPeriod),"◆",IF(AND($E93&gt;=U$5,$E93&lt;U$5+GanttPeriod),"◇","")),IF(AND(U$5&lt;=$F93,U$5+GanttPeriod-1&gt;=$E93),"━","")))</f>
        <v/>
      </c>
      <c r="V93" s="69" t="str">
        <f aca="false">IF($E93="","",IF($M93,IF(AND($G93&gt;=V$5,$G93&lt;V$5+GanttPeriod),"◆",IF(AND($E93&gt;=V$5,$E93&lt;V$5+GanttPeriod),"◇","")),IF(AND(V$5&lt;=$F93,V$5+GanttPeriod-1&gt;=$E93),"━","")))</f>
        <v/>
      </c>
      <c r="W93" s="69" t="str">
        <f aca="false">IF($E93="","",IF($M93,IF(AND($G93&gt;=W$5,$G93&lt;W$5+GanttPeriod),"◆",IF(AND($E93&gt;=W$5,$E93&lt;W$5+GanttPeriod),"◇","")),IF(AND(W$5&lt;=$F93,W$5+GanttPeriod-1&gt;=$E93),"━","")))</f>
        <v/>
      </c>
      <c r="X93" s="69" t="str">
        <f aca="false">IF($E93="","",IF($M93,IF(AND($G93&gt;=X$5,$G93&lt;X$5+GanttPeriod),"◆",IF(AND($E93&gt;=X$5,$E93&lt;X$5+GanttPeriod),"◇","")),IF(AND(X$5&lt;=$F93,X$5+GanttPeriod-1&gt;=$E93),"━","")))</f>
        <v/>
      </c>
      <c r="Y93" s="69" t="str">
        <f aca="false">IF($E93="","",IF($M93,IF(AND($G93&gt;=Y$5,$G93&lt;Y$5+GanttPeriod),"◆",IF(AND($E93&gt;=Y$5,$E93&lt;Y$5+GanttPeriod),"◇","")),IF(AND(Y$5&lt;=$F93,Y$5+GanttPeriod-1&gt;=$E93),"━","")))</f>
        <v/>
      </c>
      <c r="Z93" s="69" t="str">
        <f aca="false">IF($E93="","",IF($M93,IF(AND($G93&gt;=Z$5,$G93&lt;Z$5+GanttPeriod),"◆",IF(AND($E93&gt;=Z$5,$E93&lt;Z$5+GanttPeriod),"◇","")),IF(AND(Z$5&lt;=$F93,Z$5+GanttPeriod-1&gt;=$E93),"━","")))</f>
        <v/>
      </c>
      <c r="AA93" s="69" t="str">
        <f aca="false">IF($E93="","",IF($M93,IF(AND($G93&gt;=AA$5,$G93&lt;AA$5+GanttPeriod),"◆",IF(AND($E93&gt;=AA$5,$E93&lt;AA$5+GanttPeriod),"◇","")),IF(AND(AA$5&lt;=$F93,AA$5+GanttPeriod-1&gt;=$E93),"━","")))</f>
        <v/>
      </c>
      <c r="AB93" s="69" t="str">
        <f aca="false">IF($E93="","",IF($M93,IF(AND($G93&gt;=AB$5,$G93&lt;AB$5+GanttPeriod),"◆",IF(AND($E93&gt;=AB$5,$E93&lt;AB$5+GanttPeriod),"◇","")),IF(AND(AB$5&lt;=$F93,AB$5+GanttPeriod-1&gt;=$E93),"━","")))</f>
        <v/>
      </c>
      <c r="AC93" s="69" t="str">
        <f aca="false">IF($E93="","",IF($M93,IF(AND($G93&gt;=AC$5,$G93&lt;AC$5+GanttPeriod),"◆",IF(AND($E93&gt;=AC$5,$E93&lt;AC$5+GanttPeriod),"◇","")),IF(AND(AC$5&lt;=$F93,AC$5+GanttPeriod-1&gt;=$E93),"━","")))</f>
        <v/>
      </c>
      <c r="AD93" s="69" t="str">
        <f aca="false">IF($E93="","",IF($M93,IF(AND($G93&gt;=AD$5,$G93&lt;AD$5+GanttPeriod),"◆",IF(AND($E93&gt;=AD$5,$E93&lt;AD$5+GanttPeriod),"◇","")),IF(AND(AD$5&lt;=$F93,AD$5+GanttPeriod-1&gt;=$E93),"━","")))</f>
        <v/>
      </c>
      <c r="AE93" s="69" t="str">
        <f aca="false">IF($E93="","",IF($M93,IF(AND($G93&gt;=AE$5,$G93&lt;AE$5+GanttPeriod),"◆",IF(AND($E93&gt;=AE$5,$E93&lt;AE$5+GanttPeriod),"◇","")),IF(AND(AE$5&lt;=$F93,AE$5+GanttPeriod-1&gt;=$E93),"━","")))</f>
        <v/>
      </c>
      <c r="AF93" s="69" t="str">
        <f aca="false">IF($E93="","",IF($M93,IF(AND($G93&gt;=AF$5,$G93&lt;AF$5+GanttPeriod),"◆",IF(AND($E93&gt;=AF$5,$E93&lt;AF$5+GanttPeriod),"◇","")),IF(AND(AF$5&lt;=$F93,AF$5+GanttPeriod-1&gt;=$E93),"━","")))</f>
        <v/>
      </c>
      <c r="AG93" s="69" t="str">
        <f aca="false">IF($E93="","",IF($M93,IF(AND($G93&gt;=AG$5,$G93&lt;AG$5+GanttPeriod),"◆",IF(AND($E93&gt;=AG$5,$E93&lt;AG$5+GanttPeriod),"◇","")),IF(AND(AG$5&lt;=$F93,AG$5+GanttPeriod-1&gt;=$E93),"━","")))</f>
        <v/>
      </c>
      <c r="AH93" s="69" t="str">
        <f aca="false">IF($E93="","",IF($M93,IF(AND($G93&gt;=AH$5,$G93&lt;AH$5+GanttPeriod),"◆",IF(AND($E93&gt;=AH$5,$E93&lt;AH$5+GanttPeriod),"◇","")),IF(AND(AH$5&lt;=$F93,AH$5+GanttPeriod-1&gt;=$E93),"━","")))</f>
        <v/>
      </c>
      <c r="AI93" s="69" t="str">
        <f aca="false">IF($E93="","",IF($M93,IF(AND($G93&gt;=AI$5,$G93&lt;AI$5+GanttPeriod),"◆",IF(AND($E93&gt;=AI$5,$E93&lt;AI$5+GanttPeriod),"◇","")),IF(AND(AI$5&lt;=$F93,AI$5+GanttPeriod-1&gt;=$E93),"━","")))</f>
        <v/>
      </c>
      <c r="AJ93" s="69" t="str">
        <f aca="false">IF($E93="","",IF($M93,IF(AND($G93&gt;=AJ$5,$G93&lt;AJ$5+GanttPeriod),"◆",IF(AND($E93&gt;=AJ$5,$E93&lt;AJ$5+GanttPeriod),"◇","")),IF(AND(AJ$5&lt;=$F93,AJ$5+GanttPeriod-1&gt;=$E93),"━","")))</f>
        <v/>
      </c>
      <c r="AK93" s="69" t="str">
        <f aca="false">IF($E93="","",IF($M93,IF(AND($G93&gt;=AK$5,$G93&lt;AK$5+GanttPeriod),"◆",IF(AND($E93&gt;=AK$5,$E93&lt;AK$5+GanttPeriod),"◇","")),IF(AND(AK$5&lt;=$F93,AK$5+GanttPeriod-1&gt;=$E93),"━","")))</f>
        <v/>
      </c>
      <c r="AL93" s="69" t="str">
        <f aca="false">IF($E93="","",IF($M93,IF(AND($G93&gt;=AL$5,$G93&lt;AL$5+GanttPeriod),"◆",IF(AND($E93&gt;=AL$5,$E93&lt;AL$5+GanttPeriod),"◇","")),IF(AND(AL$5&lt;=$F93,AL$5+GanttPeriod-1&gt;=$E93),"━","")))</f>
        <v/>
      </c>
      <c r="AM93" s="69" t="str">
        <f aca="false">IF($E93="","",IF($M93,IF(AND($G93&gt;=AM$5,$G93&lt;AM$5+GanttPeriod),"◆",IF(AND($E93&gt;=AM$5,$E93&lt;AM$5+GanttPeriod),"◇","")),IF(AND(AM$5&lt;=$F93,AM$5+GanttPeriod-1&gt;=$E93),"━","")))</f>
        <v/>
      </c>
      <c r="AN93" s="69" t="str">
        <f aca="false">IF($E93="","",IF($M93,IF(AND($G93&gt;=AN$5,$G93&lt;AN$5+GanttPeriod),"◆",IF(AND($E93&gt;=AN$5,$E93&lt;AN$5+GanttPeriod),"◇","")),IF(AND(AN$5&lt;=$F93,AN$5+GanttPeriod-1&gt;=$E93),"━","")))</f>
        <v/>
      </c>
      <c r="AO93" s="69" t="str">
        <f aca="false">IF($E93="","",IF($M93,IF(AND($G93&gt;=AO$5,$G93&lt;AO$5+GanttPeriod),"◆",IF(AND($E93&gt;=AO$5,$E93&lt;AO$5+GanttPeriod),"◇","")),IF(AND(AO$5&lt;=$F93,AO$5+GanttPeriod-1&gt;=$E93),"━","")))</f>
        <v/>
      </c>
      <c r="AP93" s="69" t="str">
        <f aca="false">IF($E93="","",IF($M93,IF(AND($G93&gt;=AP$5,$G93&lt;AP$5+GanttPeriod),"◆",IF(AND($E93&gt;=AP$5,$E93&lt;AP$5+GanttPeriod),"◇","")),IF(AND(AP$5&lt;=$F93,AP$5+GanttPeriod-1&gt;=$E93),"━","")))</f>
        <v/>
      </c>
      <c r="AQ93" s="69" t="str">
        <f aca="false">IF($E93="","",IF($M93,IF(AND($G93&gt;=AQ$5,$G93&lt;AQ$5+GanttPeriod),"◆",IF(AND($E93&gt;=AQ$5,$E93&lt;AQ$5+GanttPeriod),"◇","")),IF(AND(AQ$5&lt;=$F93,AQ$5+GanttPeriod-1&gt;=$E93),"━","")))</f>
        <v/>
      </c>
      <c r="AR93" s="69" t="str">
        <f aca="false">IF($E93="","",IF($M93,IF(AND($G93&gt;=AR$5,$G93&lt;AR$5+GanttPeriod),"◆",IF(AND($E93&gt;=AR$5,$E93&lt;AR$5+GanttPeriod),"◇","")),IF(AND(AR$5&lt;=$F93,AR$5+GanttPeriod-1&gt;=$E93),"━","")))</f>
        <v/>
      </c>
      <c r="AS93" s="69" t="str">
        <f aca="false">IF($E93="","",IF($M93,IF(AND($G93&gt;=AS$5,$G93&lt;AS$5+GanttPeriod),"◆",IF(AND($E93&gt;=AS$5,$E93&lt;AS$5+GanttPeriod),"◇","")),IF(AND(AS$5&lt;=$F93,AS$5+GanttPeriod-1&gt;=$E93),"━","")))</f>
        <v/>
      </c>
      <c r="AT93" s="69" t="str">
        <f aca="false">IF($E93="","",IF($M93,IF(AND($G93&gt;=AT$5,$G93&lt;AT$5+GanttPeriod),"◆",IF(AND($E93&gt;=AT$5,$E93&lt;AT$5+GanttPeriod),"◇","")),IF(AND(AT$5&lt;=$F93,AT$5+GanttPeriod-1&gt;=$E93),"━","")))</f>
        <v/>
      </c>
      <c r="AU93" s="69" t="str">
        <f aca="false">IF($E93="","",IF($M93,IF(AND($G93&gt;=AU$5,$G93&lt;AU$5+GanttPeriod),"◆",IF(AND($E93&gt;=AU$5,$E93&lt;AU$5+GanttPeriod),"◇","")),IF(AND(AU$5&lt;=$F93,AU$5+GanttPeriod-1&gt;=$E93),"━","")))</f>
        <v/>
      </c>
      <c r="AV93" s="69" t="str">
        <f aca="false">IF($E93="","",IF($M93,IF(AND($G93&gt;=AV$5,$G93&lt;AV$5+GanttPeriod),"◆",IF(AND($E93&gt;=AV$5,$E93&lt;AV$5+GanttPeriod),"◇","")),IF(AND(AV$5&lt;=$F93,AV$5+GanttPeriod-1&gt;=$E93),"━","")))</f>
        <v/>
      </c>
      <c r="AW93" s="69" t="str">
        <f aca="false">IF($E93="","",IF($M93,IF(AND($G93&gt;=AW$5,$G93&lt;AW$5+GanttPeriod),"◆",IF(AND($E93&gt;=AW$5,$E93&lt;AW$5+GanttPeriod),"◇","")),IF(AND(AW$5&lt;=$F93,AW$5+GanttPeriod-1&gt;=$E93),"━","")))</f>
        <v/>
      </c>
      <c r="AX93" s="69" t="str">
        <f aca="false">IF($E93="","",IF($M93,IF(AND($G93&gt;=AX$5,$G93&lt;AX$5+GanttPeriod),"◆",IF(AND($E93&gt;=AX$5,$E93&lt;AX$5+GanttPeriod),"◇","")),IF(AND(AX$5&lt;=$F93,AX$5+GanttPeriod-1&gt;=$E93),"━","")))</f>
        <v/>
      </c>
      <c r="AY93" s="69" t="str">
        <f aca="false">IF($E93="","",IF($M93,IF(AND($G93&gt;=AY$5,$G93&lt;AY$5+GanttPeriod),"◆",IF(AND($E93&gt;=AY$5,$E93&lt;AY$5+GanttPeriod),"◇","")),IF(AND(AY$5&lt;=$F93,AY$5+GanttPeriod-1&gt;=$E93),"━","")))</f>
        <v/>
      </c>
      <c r="AZ93" s="69" t="str">
        <f aca="false">IF($E93="","",IF($M93,IF(AND($G93&gt;=AZ$5,$G93&lt;AZ$5+GanttPeriod),"◆",IF(AND($E93&gt;=AZ$5,$E93&lt;AZ$5+GanttPeriod),"◇","")),IF(AND(AZ$5&lt;=$F93,AZ$5+GanttPeriod-1&gt;=$E93),"━","")))</f>
        <v/>
      </c>
      <c r="BA93" s="69" t="str">
        <f aca="false">IF($E93="","",IF($M93,IF(AND($G93&gt;=BA$5,$G93&lt;BA$5+GanttPeriod),"◆",IF(AND($E93&gt;=BA$5,$E93&lt;BA$5+GanttPeriod),"◇","")),IF(AND(BA$5&lt;=$F93,BA$5+GanttPeriod-1&gt;=$E93),"━","")))</f>
        <v/>
      </c>
      <c r="BB93" s="69" t="str">
        <f aca="false">IF($E93="","",IF($M93,IF(AND($G93&gt;=BB$5,$G93&lt;BB$5+GanttPeriod),"◆",IF(AND($E93&gt;=BB$5,$E93&lt;BB$5+GanttPeriod),"◇","")),IF(AND(BB$5&lt;=$F93,BB$5+GanttPeriod-1&gt;=$E93),"━","")))</f>
        <v/>
      </c>
      <c r="BC93" s="69" t="str">
        <f aca="false">IF($E93="","",IF($M93,IF(AND($G93&gt;=BC$5,$G93&lt;BC$5+GanttPeriod),"◆",IF(AND($E93&gt;=BC$5,$E93&lt;BC$5+GanttPeriod),"◇","")),IF(AND(BC$5&lt;=$F93,BC$5+GanttPeriod-1&gt;=$E93),"━","")))</f>
        <v/>
      </c>
      <c r="BD93" s="69" t="str">
        <f aca="false">IF($E93="","",IF($M93,IF(AND($G93&gt;=BD$5,$G93&lt;BD$5+GanttPeriod),"◆",IF(AND($E93&gt;=BD$5,$E93&lt;BD$5+GanttPeriod),"◇","")),IF(AND(BD$5&lt;=$F93,BD$5+GanttPeriod-1&gt;=$E93),"━","")))</f>
        <v/>
      </c>
      <c r="BE93" s="69" t="str">
        <f aca="false">IF($E93="","",IF($M93,IF(AND($G93&gt;=BE$5,$G93&lt;BE$5+GanttPeriod),"◆",IF(AND($E93&gt;=BE$5,$E93&lt;BE$5+GanttPeriod),"◇","")),IF(AND(BE$5&lt;=$F93,BE$5+GanttPeriod-1&gt;=$E93),"━","")))</f>
        <v/>
      </c>
      <c r="BF93" s="69" t="str">
        <f aca="false">IF($E93="","",IF($M93,IF(AND($G93&gt;=BF$5,$G93&lt;BF$5+GanttPeriod),"◆",IF(AND($E93&gt;=BF$5,$E93&lt;BF$5+GanttPeriod),"◇","")),IF(AND(BF$5&lt;=$F93,BF$5+GanttPeriod-1&gt;=$E93),"━","")))</f>
        <v/>
      </c>
      <c r="BG93" s="69" t="str">
        <f aca="false">IF($E93="","",IF($M93,IF(AND($G93&gt;=BG$5,$G93&lt;BG$5+GanttPeriod),"◆",IF(AND($E93&gt;=BG$5,$E93&lt;BG$5+GanttPeriod),"◇","")),IF(AND(BG$5&lt;=$F93,BG$5+GanttPeriod-1&gt;=$E93),"━","")))</f>
        <v/>
      </c>
      <c r="BH93" s="69" t="str">
        <f aca="false">IF($E93="","",IF($M93,IF(AND($G93&gt;=BH$5,$G93&lt;BH$5+GanttPeriod),"◆",IF(AND($E93&gt;=BH$5,$E93&lt;BH$5+GanttPeriod),"◇","")),IF(AND(BH$5&lt;=$F93,BH$5+GanttPeriod-1&gt;=$E93),"━","")))</f>
        <v/>
      </c>
      <c r="BI93" s="69" t="str">
        <f aca="false">IF($E93="","",IF($M93,IF(AND($G93&gt;=BI$5,$G93&lt;BI$5+GanttPeriod),"◆",IF(AND($E93&gt;=BI$5,$E93&lt;BI$5+GanttPeriod),"◇","")),IF(AND(BI$5&lt;=$F93,BI$5+GanttPeriod-1&gt;=$E93),"━","")))</f>
        <v/>
      </c>
      <c r="BJ93" s="69" t="str">
        <f aca="false">IF($E93="","",IF($M93,IF(AND($G93&gt;=BJ$5,$G93&lt;BJ$5+GanttPeriod),"◆",IF(AND($E93&gt;=BJ$5,$E93&lt;BJ$5+GanttPeriod),"◇","")),IF(AND(BJ$5&lt;=$F93,BJ$5+GanttPeriod-1&gt;=$E93),"━","")))</f>
        <v/>
      </c>
      <c r="BK93" s="69" t="str">
        <f aca="false">IF($E93="","",IF($M93,IF(AND($G93&gt;=BK$5,$G93&lt;BK$5+GanttPeriod),"◆",IF(AND($E93&gt;=BK$5,$E93&lt;BK$5+GanttPeriod),"◇","")),IF(AND(BK$5&lt;=$F93,BK$5+GanttPeriod-1&gt;=$E93),"━","")))</f>
        <v/>
      </c>
      <c r="BL93" s="69" t="str">
        <f aca="false">IF($E93="","",IF($M93,IF(AND($G93&gt;=BL$5,$G93&lt;BL$5+GanttPeriod),"◆",IF(AND($E93&gt;=BL$5,$E93&lt;BL$5+GanttPeriod),"◇","")),IF(AND(BL$5&lt;=$F93,BL$5+GanttPeriod-1&gt;=$E93),"━","")))</f>
        <v/>
      </c>
      <c r="BM93" s="69" t="str">
        <f aca="false">IF($E93="","",IF($M93,IF(AND($G93&gt;=BM$5,$G93&lt;BM$5+GanttPeriod),"◆",IF(AND($E93&gt;=BM$5,$E93&lt;BM$5+GanttPeriod),"◇","")),IF(AND(BM$5&lt;=$F93,BM$5+GanttPeriod-1&gt;=$E93),"━","")))</f>
        <v/>
      </c>
      <c r="BN93" s="69" t="str">
        <f aca="false">IF($E93="","",IF($M93,IF(AND($G93&gt;=BN$5,$G93&lt;BN$5+GanttPeriod),"◆",IF(AND($E93&gt;=BN$5,$E93&lt;BN$5+GanttPeriod),"◇","")),IF(AND(BN$5&lt;=$F93,BN$5+GanttPeriod-1&gt;=$E93),"━","")))</f>
        <v/>
      </c>
      <c r="BO93" s="69" t="str">
        <f aca="false">IF($E93="","",IF($M93,IF(AND($G93&gt;=BO$5,$G93&lt;BO$5+GanttPeriod),"◆",IF(AND($E93&gt;=BO$5,$E93&lt;BO$5+GanttPeriod),"◇","")),IF(AND(BO$5&lt;=$F93,BO$5+GanttPeriod-1&gt;=$E93),"━","")))</f>
        <v/>
      </c>
      <c r="BP93" s="69" t="str">
        <f aca="false">IF($E93="","",IF($M93,IF(AND($G93&gt;=BP$5,$G93&lt;BP$5+GanttPeriod),"◆",IF(AND($E93&gt;=BP$5,$E93&lt;BP$5+GanttPeriod),"◇","")),IF(AND(BP$5&lt;=$F93,BP$5+GanttPeriod-1&gt;=$E93),"━","")))</f>
        <v/>
      </c>
      <c r="BQ93" s="69" t="str">
        <f aca="false">IF($E93="","",IF($M93,IF(AND($G93&gt;=BQ$5,$G93&lt;BQ$5+GanttPeriod),"◆",IF(AND($E93&gt;=BQ$5,$E93&lt;BQ$5+GanttPeriod),"◇","")),IF(AND(BQ$5&lt;=$F93,BQ$5+GanttPeriod-1&gt;=$E93),"━","")))</f>
        <v/>
      </c>
      <c r="BR93" s="69" t="str">
        <f aca="false">IF($E93="","",IF($M93,IF(AND($G93&gt;=BR$5,$G93&lt;BR$5+GanttPeriod),"◆",IF(AND($E93&gt;=BR$5,$E93&lt;BR$5+GanttPeriod),"◇","")),IF(AND(BR$5&lt;=$F93,BR$5+GanttPeriod-1&gt;=$E93),"━","")))</f>
        <v/>
      </c>
      <c r="BS93" s="69" t="str">
        <f aca="false">IF($E93="","",IF($M93,IF(AND($G93&gt;=BS$5,$G93&lt;BS$5+GanttPeriod),"◆",IF(AND($E93&gt;=BS$5,$E93&lt;BS$5+GanttPeriod),"◇","")),IF(AND(BS$5&lt;=$F93,BS$5+GanttPeriod-1&gt;=$E93),"━","")))</f>
        <v/>
      </c>
      <c r="BT93" s="69" t="str">
        <f aca="false">IF($E93="","",IF($M93,IF(AND($G93&gt;=BT$5,$G93&lt;BT$5+GanttPeriod),"◆",IF(AND($E93&gt;=BT$5,$E93&lt;BT$5+GanttPeriod),"◇","")),IF(AND(BT$5&lt;=$F93,BT$5+GanttPeriod-1&gt;=$E93),"━","")))</f>
        <v/>
      </c>
      <c r="BU93" s="69" t="str">
        <f aca="false">IF($E93="","",IF($M93,IF(AND($G93&gt;=BU$5,$G93&lt;BU$5+GanttPeriod),"◆",IF(AND($E93&gt;=BU$5,$E93&lt;BU$5+GanttPeriod),"◇","")),IF(AND(BU$5&lt;=$F93,BU$5+GanttPeriod-1&gt;=$E93),"━","")))</f>
        <v/>
      </c>
      <c r="BV93" s="69" t="str">
        <f aca="false">IF($E93="","",IF($M93,IF(AND($G93&gt;=BV$5,$G93&lt;BV$5+GanttPeriod),"◆",IF(AND($E93&gt;=BV$5,$E93&lt;BV$5+GanttPeriod),"◇","")),IF(AND(BV$5&lt;=$F93,BV$5+GanttPeriod-1&gt;=$E93),"━","")))</f>
        <v/>
      </c>
      <c r="BW93" s="69" t="str">
        <f aca="false">IF($E93="","",IF($M93,IF(AND($G93&gt;=BW$5,$G93&lt;BW$5+GanttPeriod),"◆",IF(AND($E93&gt;=BW$5,$E93&lt;BW$5+GanttPeriod),"◇","")),IF(AND(BW$5&lt;=$F93,BW$5+GanttPeriod-1&gt;=$E93),"━","")))</f>
        <v/>
      </c>
      <c r="BX93" s="69" t="str">
        <f aca="false">IF($E93="","",IF($M93,IF(AND($G93&gt;=BX$5,$G93&lt;BX$5+GanttPeriod),"◆",IF(AND($E93&gt;=BX$5,$E93&lt;BX$5+GanttPeriod),"◇","")),IF(AND(BX$5&lt;=$F93,BX$5+GanttPeriod-1&gt;=$E93),"━","")))</f>
        <v/>
      </c>
      <c r="BY93" s="69" t="str">
        <f aca="false">IF($E93="","",IF($M93,IF(AND($G93&gt;=BY$5,$G93&lt;BY$5+GanttPeriod),"◆",IF(AND($E93&gt;=BY$5,$E93&lt;BY$5+GanttPeriod),"◇","")),IF(AND(BY$5&lt;=$F93,BY$5+GanttPeriod-1&gt;=$E93),"━","")))</f>
        <v/>
      </c>
      <c r="BZ93" s="69" t="str">
        <f aca="false">IF($E93="","",IF($M93,IF(AND($G93&gt;=BZ$5,$G93&lt;BZ$5+GanttPeriod),"◆",IF(AND($E93&gt;=BZ$5,$E93&lt;BZ$5+GanttPeriod),"◇","")),IF(AND(BZ$5&lt;=$F93,BZ$5+GanttPeriod-1&gt;=$E93),"━","")))</f>
        <v/>
      </c>
      <c r="CA93" s="69" t="str">
        <f aca="false">IF($E93="","",IF($M93,IF(AND($G93&gt;=CA$5,$G93&lt;CA$5+GanttPeriod),"◆",IF(AND($E93&gt;=CA$5,$E93&lt;CA$5+GanttPeriod),"◇","")),IF(AND(CA$5&lt;=$F93,CA$5+GanttPeriod-1&gt;=$E93),"━","")))</f>
        <v/>
      </c>
      <c r="CB93" s="69" t="str">
        <f aca="false">IF($E93="","",IF($M93,IF(AND($G93&gt;=CB$5,$G93&lt;CB$5+GanttPeriod),"◆",IF(AND($E93&gt;=CB$5,$E93&lt;CB$5+GanttPeriod),"◇","")),IF(AND(CB$5&lt;=$F93,CB$5+GanttPeriod-1&gt;=$E93),"━","")))</f>
        <v/>
      </c>
      <c r="CC93" s="69" t="str">
        <f aca="false">IF($E93="","",IF($M93,IF(AND($G93&gt;=CC$5,$G93&lt;CC$5+GanttPeriod),"◆",IF(AND($E93&gt;=CC$5,$E93&lt;CC$5+GanttPeriod),"◇","")),IF(AND(CC$5&lt;=$F93,CC$5+GanttPeriod-1&gt;=$E93),"━","")))</f>
        <v/>
      </c>
      <c r="CD93" s="69" t="str">
        <f aca="false">IF($E93="","",IF($M93,IF(AND($G93&gt;=CD$5,$G93&lt;CD$5+GanttPeriod),"◆",IF(AND($E93&gt;=CD$5,$E93&lt;CD$5+GanttPeriod),"◇","")),IF(AND(CD$5&lt;=$F93,CD$5+GanttPeriod-1&gt;=$E93),"━","")))</f>
        <v/>
      </c>
      <c r="CE93" s="69" t="str">
        <f aca="false">IF($E93="","",IF($M93,IF(AND($G93&gt;=CE$5,$G93&lt;CE$5+GanttPeriod),"◆",IF(AND($E93&gt;=CE$5,$E93&lt;CE$5+GanttPeriod),"◇","")),IF(AND(CE$5&lt;=$F93,CE$5+GanttPeriod-1&gt;=$E93),"━","")))</f>
        <v/>
      </c>
      <c r="CF93" s="69" t="str">
        <f aca="false">IF($E93="","",IF($M93,IF(AND($G93&gt;=CF$5,$G93&lt;CF$5+GanttPeriod),"◆",IF(AND($E93&gt;=CF$5,$E93&lt;CF$5+GanttPeriod),"◇","")),IF(AND(CF$5&lt;=$F93,CF$5+GanttPeriod-1&gt;=$E93),"━","")))</f>
        <v/>
      </c>
      <c r="CG93" s="69" t="str">
        <f aca="false">IF($E93="","",IF($M93,IF(AND($G93&gt;=CG$5,$G93&lt;CG$5+GanttPeriod),"◆",IF(AND($E93&gt;=CG$5,$E93&lt;CG$5+GanttPeriod),"◇","")),IF(AND(CG$5&lt;=$F93,CG$5+GanttPeriod-1&gt;=$E93),"━","")))</f>
        <v/>
      </c>
      <c r="CH93" s="69" t="str">
        <f aca="false">IF($E93="","",IF($M93,IF(AND($G93&gt;=CH$5,$G93&lt;CH$5+GanttPeriod),"◆",IF(AND($E93&gt;=CH$5,$E93&lt;CH$5+GanttPeriod),"◇","")),IF(AND(CH$5&lt;=$F93,CH$5+GanttPeriod-1&gt;=$E93),"━","")))</f>
        <v/>
      </c>
      <c r="CI93" s="69" t="str">
        <f aca="false">IF($E93="","",IF($M93,IF(AND($G93&gt;=CI$5,$G93&lt;CI$5+GanttPeriod),"◆",IF(AND($E93&gt;=CI$5,$E93&lt;CI$5+GanttPeriod),"◇","")),IF(AND(CI$5&lt;=$F93,CI$5+GanttPeriod-1&gt;=$E93),"━","")))</f>
        <v/>
      </c>
      <c r="CJ93" s="69" t="str">
        <f aca="false">IF($E93="","",IF($M93,IF(AND($G93&gt;=CJ$5,$G93&lt;CJ$5+GanttPeriod),"◆",IF(AND($E93&gt;=CJ$5,$E93&lt;CJ$5+GanttPeriod),"◇","")),IF(AND(CJ$5&lt;=$F93,CJ$5+GanttPeriod-1&gt;=$E93),"━","")))</f>
        <v/>
      </c>
      <c r="CK93" s="69" t="str">
        <f aca="false">IF($E93="","",IF($M93,IF(AND($G93&gt;=CK$5,$G93&lt;CK$5+GanttPeriod),"◆",IF(AND($E93&gt;=CK$5,$E93&lt;CK$5+GanttPeriod),"◇","")),IF(AND(CK$5&lt;=$F93,CK$5+GanttPeriod-1&gt;=$E93),"━","")))</f>
        <v/>
      </c>
      <c r="CL93" s="69" t="str">
        <f aca="false">IF($E93="","",IF($M93,IF(AND($G93&gt;=CL$5,$G93&lt;CL$5+GanttPeriod),"◆",IF(AND($E93&gt;=CL$5,$E93&lt;CL$5+GanttPeriod),"◇","")),IF(AND(CL$5&lt;=$F93,CL$5+GanttPeriod-1&gt;=$E93),"━","")))</f>
        <v/>
      </c>
      <c r="CM93" s="69" t="str">
        <f aca="false">IF($E93="","",IF($M93,IF(AND($G93&gt;=CM$5,$G93&lt;CM$5+GanttPeriod),"◆",IF(AND($E93&gt;=CM$5,$E93&lt;CM$5+GanttPeriod),"◇","")),IF(AND(CM$5&lt;=$F93,CM$5+GanttPeriod-1&gt;=$E93),"━","")))</f>
        <v/>
      </c>
      <c r="CN93" s="69" t="str">
        <f aca="false">IF($E93="","",IF($M93,IF(AND($G93&gt;=CN$5,$G93&lt;CN$5+GanttPeriod),"◆",IF(AND($E93&gt;=CN$5,$E93&lt;CN$5+GanttPeriod),"◇","")),IF(AND(CN$5&lt;=$F93,CN$5+GanttPeriod-1&gt;=$E93),"━","")))</f>
        <v/>
      </c>
      <c r="CO93" s="69" t="str">
        <f aca="false">IF($E93="","",IF($M93,IF(AND($G93&gt;=CO$5,$G93&lt;CO$5+GanttPeriod),"◆",IF(AND($E93&gt;=CO$5,$E93&lt;CO$5+GanttPeriod),"◇","")),IF(AND(CO$5&lt;=$F93,CO$5+GanttPeriod-1&gt;=$E93),"━","")))</f>
        <v/>
      </c>
      <c r="CP93" s="69" t="str">
        <f aca="false">IF($E93="","",IF($M93,IF(AND($G93&gt;=CP$5,$G93&lt;CP$5+GanttPeriod),"◆",IF(AND($E93&gt;=CP$5,$E93&lt;CP$5+GanttPeriod),"◇","")),IF(AND(CP$5&lt;=$F93,CP$5+GanttPeriod-1&gt;=$E93),"━","")))</f>
        <v/>
      </c>
      <c r="CQ93" s="69" t="str">
        <f aca="false">IF($E93="","",IF($M93,IF(AND($G93&gt;=CQ$5,$G93&lt;CQ$5+GanttPeriod),"◆",IF(AND($E93&gt;=CQ$5,$E93&lt;CQ$5+GanttPeriod),"◇","")),IF(AND(CQ$5&lt;=$F93,CQ$5+GanttPeriod-1&gt;=$E93),"━","")))</f>
        <v/>
      </c>
      <c r="CR93" s="69" t="str">
        <f aca="false">IF($E93="","",IF($M93,IF(AND($G93&gt;=CR$5,$G93&lt;CR$5+GanttPeriod),"◆",IF(AND($E93&gt;=CR$5,$E93&lt;CR$5+GanttPeriod),"◇","")),IF(AND(CR$5&lt;=$F93,CR$5+GanttPeriod-1&gt;=$E93),"━","")))</f>
        <v/>
      </c>
      <c r="CS93" s="69" t="str">
        <f aca="false">IF($E93="","",IF($M93,IF(AND($G93&gt;=CS$5,$G93&lt;CS$5+GanttPeriod),"◆",IF(AND($E93&gt;=CS$5,$E93&lt;CS$5+GanttPeriod),"◇","")),IF(AND(CS$5&lt;=$F93,CS$5+GanttPeriod-1&gt;=$E93),"━","")))</f>
        <v/>
      </c>
      <c r="CT93" s="69" t="str">
        <f aca="false">IF($E93="","",IF($M93,IF(AND($G93&gt;=CT$5,$G93&lt;CT$5+GanttPeriod),"◆",IF(AND($E93&gt;=CT$5,$E93&lt;CT$5+GanttPeriod),"◇","")),IF(AND(CT$5&lt;=$F93,CT$5+GanttPeriod-1&gt;=$E93),"━","")))</f>
        <v/>
      </c>
      <c r="CU93" s="69" t="str">
        <f aca="false">IF($E93="","",IF($M93,IF(AND($G93&gt;=CU$5,$G93&lt;CU$5+GanttPeriod),"◆",IF(AND($E93&gt;=CU$5,$E93&lt;CU$5+GanttPeriod),"◇","")),IF(AND(CU$5&lt;=$F93,CU$5+GanttPeriod-1&gt;=$E93),"━","")))</f>
        <v/>
      </c>
      <c r="CV93" s="69" t="str">
        <f aca="false">IF($E93="","",IF($M93,IF(AND($G93&gt;=CV$5,$G93&lt;CV$5+GanttPeriod),"◆",IF(AND($E93&gt;=CV$5,$E93&lt;CV$5+GanttPeriod),"◇","")),IF(AND(CV$5&lt;=$F93,CV$5+GanttPeriod-1&gt;=$E93),"━","")))</f>
        <v/>
      </c>
      <c r="CW93" s="69" t="str">
        <f aca="false">IF($E93="","",IF($M93,IF(AND($G93&gt;=CW$5,$G93&lt;CW$5+GanttPeriod),"◆",IF(AND($E93&gt;=CW$5,$E93&lt;CW$5+GanttPeriod),"◇","")),IF(AND(CW$5&lt;=$F93,CW$5+GanttPeriod-1&gt;=$E93),"━","")))</f>
        <v/>
      </c>
      <c r="CX93" s="69" t="str">
        <f aca="false">IF($E93="","",IF($M93,IF(AND($G93&gt;=CX$5,$G93&lt;CX$5+GanttPeriod),"◆",IF(AND($E93&gt;=CX$5,$E93&lt;CX$5+GanttPeriod),"◇","")),IF(AND(CX$5&lt;=$F93,CX$5+GanttPeriod-1&gt;=$E93),"━","")))</f>
        <v/>
      </c>
      <c r="CY93" s="69" t="str">
        <f aca="false">IF($E93="","",IF($M93,IF(AND($G93&gt;=CY$5,$G93&lt;CY$5+GanttPeriod),"◆",IF(AND($E93&gt;=CY$5,$E93&lt;CY$5+GanttPeriod),"◇","")),IF(AND(CY$5&lt;=$F93,CY$5+GanttPeriod-1&gt;=$E93),"━","")))</f>
        <v/>
      </c>
      <c r="CZ93" s="69" t="str">
        <f aca="false">IF($E93="","",IF($M93,IF(AND($G93&gt;=CZ$5,$G93&lt;CZ$5+GanttPeriod),"◆",IF(AND($E93&gt;=CZ$5,$E93&lt;CZ$5+GanttPeriod),"◇","")),IF(AND(CZ$5&lt;=$F93,CZ$5+GanttPeriod-1&gt;=$E93),"━","")))</f>
        <v/>
      </c>
      <c r="DA93" s="69" t="str">
        <f aca="false">IF($E93="","",IF($M93,IF(AND($G93&gt;=DA$5,$G93&lt;DA$5+GanttPeriod),"◆",IF(AND($E93&gt;=DA$5,$E93&lt;DA$5+GanttPeriod),"◇","")),IF(AND(DA$5&lt;=$F93,DA$5+GanttPeriod-1&gt;=$E93),"━","")))</f>
        <v/>
      </c>
      <c r="DB93" s="69" t="str">
        <f aca="false">IF($E93="","",IF($M93,IF(AND($G93&gt;=DB$5,$G93&lt;DB$5+GanttPeriod),"◆",IF(AND($E93&gt;=DB$5,$E93&lt;DB$5+GanttPeriod),"◇","")),IF(AND(DB$5&lt;=$F93,DB$5+GanttPeriod-1&gt;=$E93),"━","")))</f>
        <v/>
      </c>
      <c r="DC93" s="69" t="str">
        <f aca="false">IF($E93="","",IF($M93,IF(AND($G93&gt;=DC$5,$G93&lt;DC$5+GanttPeriod),"◆",IF(AND($E93&gt;=DC$5,$E93&lt;DC$5+GanttPeriod),"◇","")),IF(AND(DC$5&lt;=$F93,DC$5+GanttPeriod-1&gt;=$E93),"━","")))</f>
        <v/>
      </c>
      <c r="DD93" s="69" t="str">
        <f aca="false">IF($E93="","",IF($M93,IF(AND($G93&gt;=DD$5,$G93&lt;DD$5+GanttPeriod),"◆",IF(AND($E93&gt;=DD$5,$E93&lt;DD$5+GanttPeriod),"◇","")),IF(AND(DD$5&lt;=$F93,DD$5+GanttPeriod-1&gt;=$E93),"━","")))</f>
        <v/>
      </c>
      <c r="DE93" s="69" t="str">
        <f aca="false">IF($E93="","",IF($M93,IF(AND($G93&gt;=DE$5,$G93&lt;DE$5+GanttPeriod),"◆",IF(AND($E93&gt;=DE$5,$E93&lt;DE$5+GanttPeriod),"◇","")),IF(AND(DE$5&lt;=$F93,DE$5+GanttPeriod-1&gt;=$E93),"━","")))</f>
        <v/>
      </c>
      <c r="DF93" s="69" t="str">
        <f aca="false">IF($E93="","",IF($M93,IF(AND($G93&gt;=DF$5,$G93&lt;DF$5+GanttPeriod),"◆",IF(AND($E93&gt;=DF$5,$E93&lt;DF$5+GanttPeriod),"◇","")),IF(AND(DF$5&lt;=$F93,DF$5+GanttPeriod-1&gt;=$E93),"━","")))</f>
        <v/>
      </c>
      <c r="DG93" s="69" t="str">
        <f aca="false">IF($E93="","",IF($M93,IF(AND($G93&gt;=DG$5,$G93&lt;DG$5+GanttPeriod),"◆",IF(AND($E93&gt;=DG$5,$E93&lt;DG$5+GanttPeriod),"◇","")),IF(AND(DG$5&lt;=$F93,DG$5+GanttPeriod-1&gt;=$E93),"━","")))</f>
        <v/>
      </c>
      <c r="DH93" s="69" t="str">
        <f aca="false">IF($E93="","",IF($M93,IF(AND($G93&gt;=DH$5,$G93&lt;DH$5+GanttPeriod),"◆",IF(AND($E93&gt;=DH$5,$E93&lt;DH$5+GanttPeriod),"◇","")),IF(AND(DH$5&lt;=$F93,DH$5+GanttPeriod-1&gt;=$E93),"━","")))</f>
        <v/>
      </c>
      <c r="DI93" s="69" t="str">
        <f aca="false">IF($E93="","",IF($M93,IF(AND($G93&gt;=DI$5,$G93&lt;DI$5+GanttPeriod),"◆",IF(AND($E93&gt;=DI$5,$E93&lt;DI$5+GanttPeriod),"◇","")),IF(AND(DI$5&lt;=$F93,DI$5+GanttPeriod-1&gt;=$E93),"━","")))</f>
        <v/>
      </c>
      <c r="DJ93" s="69" t="str">
        <f aca="false">IF($E93="","",IF($M93,IF(AND($G93&gt;=DJ$5,$G93&lt;DJ$5+GanttPeriod),"◆",IF(AND($E93&gt;=DJ$5,$E93&lt;DJ$5+GanttPeriod),"◇","")),IF(AND(DJ$5&lt;=$F93,DJ$5+GanttPeriod-1&gt;=$E93),"━","")))</f>
        <v/>
      </c>
      <c r="DK93" s="69" t="str">
        <f aca="false">IF($E93="","",IF($M93,IF(AND($G93&gt;=DK$5,$G93&lt;DK$5+GanttPeriod),"◆",IF(AND($E93&gt;=DK$5,$E93&lt;DK$5+GanttPeriod),"◇","")),IF(AND(DK$5&lt;=$F93,DK$5+GanttPeriod-1&gt;=$E93),"━","")))</f>
        <v/>
      </c>
      <c r="DL93" s="69" t="str">
        <f aca="false">IF($E93="","",IF($M93,IF(AND($G93&gt;=DL$5,$G93&lt;DL$5+GanttPeriod),"◆",IF(AND($E93&gt;=DL$5,$E93&lt;DL$5+GanttPeriod),"◇","")),IF(AND(DL$5&lt;=$F93,DL$5+GanttPeriod-1&gt;=$E93),"━","")))</f>
        <v/>
      </c>
      <c r="DM93" s="69" t="str">
        <f aca="false">IF($E93="","",IF($M93,IF(AND($G93&gt;=DM$5,$G93&lt;DM$5+GanttPeriod),"◆",IF(AND($E93&gt;=DM$5,$E93&lt;DM$5+GanttPeriod),"◇","")),IF(AND(DM$5&lt;=$F93,DM$5+GanttPeriod-1&gt;=$E93),"━","")))</f>
        <v/>
      </c>
      <c r="DN93" s="69" t="str">
        <f aca="false">IF($E93="","",IF($M93,IF(AND($G93&gt;=DN$5,$G93&lt;DN$5+GanttPeriod),"◆",IF(AND($E93&gt;=DN$5,$E93&lt;DN$5+GanttPeriod),"◇","")),IF(AND(DN$5&lt;=$F93,DN$5+GanttPeriod-1&gt;=$E93),"━","")))</f>
        <v/>
      </c>
      <c r="DO93" s="69" t="str">
        <f aca="false">IF($E93="","",IF($M93,IF(AND($G93&gt;=DO$5,$G93&lt;DO$5+GanttPeriod),"◆",IF(AND($E93&gt;=DO$5,$E93&lt;DO$5+GanttPeriod),"◇","")),IF(AND(DO$5&lt;=$F93,DO$5+GanttPeriod-1&gt;=$E93),"━","")))</f>
        <v/>
      </c>
      <c r="DP93" s="69" t="str">
        <f aca="false">IF($E93="","",IF($M93,IF(AND($G93&gt;=DP$5,$G93&lt;DP$5+GanttPeriod),"◆",IF(AND($E93&gt;=DP$5,$E93&lt;DP$5+GanttPeriod),"◇","")),IF(AND(DP$5&lt;=$F93,DP$5+GanttPeriod-1&gt;=$E93),"━","")))</f>
        <v/>
      </c>
      <c r="DQ93" s="69" t="str">
        <f aca="false">IF($E93="","",IF($M93,IF(AND($G93&gt;=DQ$5,$G93&lt;DQ$5+GanttPeriod),"◆",IF(AND($E93&gt;=DQ$5,$E93&lt;DQ$5+GanttPeriod),"◇","")),IF(AND(DQ$5&lt;=$F93,DQ$5+GanttPeriod-1&gt;=$E93),"━","")))</f>
        <v/>
      </c>
      <c r="DR93" s="69" t="str">
        <f aca="false">IF($E93="","",IF($M93,IF(AND($G93&gt;=DR$5,$G93&lt;DR$5+GanttPeriod),"◆",IF(AND($E93&gt;=DR$5,$E93&lt;DR$5+GanttPeriod),"◇","")),IF(AND(DR$5&lt;=$F93,DR$5+GanttPeriod-1&gt;=$E93),"━","")))</f>
        <v/>
      </c>
      <c r="DS93" s="69" t="str">
        <f aca="false">IF($E93="","",IF($M93,IF(AND($G93&gt;=DS$5,$G93&lt;DS$5+GanttPeriod),"◆",IF(AND($E93&gt;=DS$5,$E93&lt;DS$5+GanttPeriod),"◇","")),IF(AND(DS$5&lt;=$F93,DS$5+GanttPeriod-1&gt;=$E93),"━","")))</f>
        <v/>
      </c>
      <c r="DT93" s="69" t="str">
        <f aca="false">IF($E93="","",IF($M93,IF(AND($G93&gt;=DT$5,$G93&lt;DT$5+GanttPeriod),"◆",IF(AND($E93&gt;=DT$5,$E93&lt;DT$5+GanttPeriod),"◇","")),IF(AND(DT$5&lt;=$F93,DT$5+GanttPeriod-1&gt;=$E93),"━","")))</f>
        <v/>
      </c>
      <c r="DU93" s="69" t="str">
        <f aca="false">IF($E93="","",IF($M93,IF(AND($G93&gt;=DU$5,$G93&lt;DU$5+GanttPeriod),"◆",IF(AND($E93&gt;=DU$5,$E93&lt;DU$5+GanttPeriod),"◇","")),IF(AND(DU$5&lt;=$F93,DU$5+GanttPeriod-1&gt;=$E93),"━","")))</f>
        <v/>
      </c>
      <c r="DV93" s="69" t="str">
        <f aca="false">IF($E93="","",IF($M93,IF(AND($G93&gt;=DV$5,$G93&lt;DV$5+GanttPeriod),"◆",IF(AND($E93&gt;=DV$5,$E93&lt;DV$5+GanttPeriod),"◇","")),IF(AND(DV$5&lt;=$F93,DV$5+GanttPeriod-1&gt;=$E93),"━","")))</f>
        <v/>
      </c>
      <c r="DW93" s="69" t="str">
        <f aca="false">IF($E93="","",IF($M93,IF(AND($G93&gt;=DW$5,$G93&lt;DW$5+GanttPeriod),"◆",IF(AND($E93&gt;=DW$5,$E93&lt;DW$5+GanttPeriod),"◇","")),IF(AND(DW$5&lt;=$F93,DW$5+GanttPeriod-1&gt;=$E93),"━","")))</f>
        <v/>
      </c>
      <c r="DX93" s="69" t="str">
        <f aca="false">IF($E93="","",IF($M93,IF(AND($G93&gt;=DX$5,$G93&lt;DX$5+GanttPeriod),"◆",IF(AND($E93&gt;=DX$5,$E93&lt;DX$5+GanttPeriod),"◇","")),IF(AND(DX$5&lt;=$F93,DX$5+GanttPeriod-1&gt;=$E93),"━","")))</f>
        <v/>
      </c>
      <c r="DY93" s="69" t="str">
        <f aca="false">IF($E93="","",IF($M93,IF(AND($G93&gt;=DY$5,$G93&lt;DY$5+GanttPeriod),"◆",IF(AND($E93&gt;=DY$5,$E93&lt;DY$5+GanttPeriod),"◇","")),IF(AND(DY$5&lt;=$F93,DY$5+GanttPeriod-1&gt;=$E93),"━","")))</f>
        <v/>
      </c>
      <c r="DZ93" s="69" t="str">
        <f aca="false">IF($E93="","",IF($M93,IF(AND($G93&gt;=DZ$5,$G93&lt;DZ$5+GanttPeriod),"◆",IF(AND($E93&gt;=DZ$5,$E93&lt;DZ$5+GanttPeriod),"◇","")),IF(AND(DZ$5&lt;=$F93,DZ$5+GanttPeriod-1&gt;=$E93),"━","")))</f>
        <v/>
      </c>
      <c r="EA93" s="69" t="str">
        <f aca="false">IF($E93="","",IF($M93,IF(AND($G93&gt;=EA$5,$G93&lt;EA$5+GanttPeriod),"◆",IF(AND($E93&gt;=EA$5,$E93&lt;EA$5+GanttPeriod),"◇","")),IF(AND(EA$5&lt;=$F93,EA$5+GanttPeriod-1&gt;=$E93),"━","")))</f>
        <v/>
      </c>
      <c r="EB93" s="69" t="str">
        <f aca="false">IF($E93="","",IF($M93,IF(AND($G93&gt;=EB$5,$G93&lt;EB$5+GanttPeriod),"◆",IF(AND($E93&gt;=EB$5,$E93&lt;EB$5+GanttPeriod),"◇","")),IF(AND(EB$5&lt;=$F93,EB$5+GanttPeriod-1&gt;=$E93),"━","")))</f>
        <v/>
      </c>
      <c r="EC93" s="69" t="str">
        <f aca="false">IF($E93="","",IF($M93,IF(AND($G93&gt;=EC$5,$G93&lt;EC$5+GanttPeriod),"◆",IF(AND($E93&gt;=EC$5,$E93&lt;EC$5+GanttPeriod),"◇","")),IF(AND(EC$5&lt;=$F93,EC$5+GanttPeriod-1&gt;=$E93),"━","")))</f>
        <v/>
      </c>
      <c r="ED93" s="69" t="str">
        <f aca="false">IF($E93="","",IF($M93,IF(AND($G93&gt;=ED$5,$G93&lt;ED$5+GanttPeriod),"◆",IF(AND($E93&gt;=ED$5,$E93&lt;ED$5+GanttPeriod),"◇","")),IF(AND(ED$5&lt;=$F93,ED$5+GanttPeriod-1&gt;=$E93),"━","")))</f>
        <v/>
      </c>
      <c r="EE93" s="69" t="str">
        <f aca="false">IF($E93="","",IF($M93,IF(AND($G93&gt;=EE$5,$G93&lt;EE$5+GanttPeriod),"◆",IF(AND($E93&gt;=EE$5,$E93&lt;EE$5+GanttPeriod),"◇","")),IF(AND(EE$5&lt;=$F93,EE$5+GanttPeriod-1&gt;=$E93),"━","")))</f>
        <v/>
      </c>
      <c r="EF93" s="69" t="str">
        <f aca="false">IF($E93="","",IF($M93,IF(AND($G93&gt;=EF$5,$G93&lt;EF$5+GanttPeriod),"◆",IF(AND($E93&gt;=EF$5,$E93&lt;EF$5+GanttPeriod),"◇","")),IF(AND(EF$5&lt;=$F93,EF$5+GanttPeriod-1&gt;=$E93),"━","")))</f>
        <v/>
      </c>
      <c r="EG93" s="69" t="str">
        <f aca="false">IF($E93="","",IF($M93,IF(AND($G93&gt;=EG$5,$G93&lt;EG$5+GanttPeriod),"◆",IF(AND($E93&gt;=EG$5,$E93&lt;EG$5+GanttPeriod),"◇","")),IF(AND(EG$5&lt;=$F93,EG$5+GanttPeriod-1&gt;=$E93),"━","")))</f>
        <v/>
      </c>
      <c r="EH93" s="69" t="str">
        <f aca="false">IF($E93="","",IF($M93,IF(AND($G93&gt;=EH$5,$G93&lt;EH$5+GanttPeriod),"◆",IF(AND($E93&gt;=EH$5,$E93&lt;EH$5+GanttPeriod),"◇","")),IF(AND(EH$5&lt;=$F93,EH$5+GanttPeriod-1&gt;=$E93),"━","")))</f>
        <v/>
      </c>
      <c r="EI93" s="69" t="str">
        <f aca="false">IF($E93="","",IF($M93,IF(AND($G93&gt;=EI$5,$G93&lt;EI$5+GanttPeriod),"◆",IF(AND($E93&gt;=EI$5,$E93&lt;EI$5+GanttPeriod),"◇","")),IF(AND(EI$5&lt;=$F93,EI$5+GanttPeriod-1&gt;=$E93),"━","")))</f>
        <v/>
      </c>
      <c r="EJ93" s="69" t="str">
        <f aca="false">IF($E93="","",IF($M93,IF(AND($G93&gt;=EJ$5,$G93&lt;EJ$5+GanttPeriod),"◆",IF(AND($E93&gt;=EJ$5,$E93&lt;EJ$5+GanttPeriod),"◇","")),IF(AND(EJ$5&lt;=$F93,EJ$5+GanttPeriod-1&gt;=$E93),"━","")))</f>
        <v/>
      </c>
      <c r="EK93" s="69" t="str">
        <f aca="false">IF($E93="","",IF($M93,IF(AND($G93&gt;=EK$5,$G93&lt;EK$5+GanttPeriod),"◆",IF(AND($E93&gt;=EK$5,$E93&lt;EK$5+GanttPeriod),"◇","")),IF(AND(EK$5&lt;=$F93,EK$5+GanttPeriod-1&gt;=$E93),"━","")))</f>
        <v/>
      </c>
      <c r="EL93" s="69" t="str">
        <f aca="false">IF($E93="","",IF($M93,IF(AND($G93&gt;=EL$5,$G93&lt;EL$5+GanttPeriod),"◆",IF(AND($E93&gt;=EL$5,$E93&lt;EL$5+GanttPeriod),"◇","")),IF(AND(EL$5&lt;=$F93,EL$5+GanttPeriod-1&gt;=$E93),"━","")))</f>
        <v/>
      </c>
      <c r="EM93" s="69" t="str">
        <f aca="false">IF($E93="","",IF($M93,IF(AND($G93&gt;=EM$5,$G93&lt;EM$5+GanttPeriod),"◆",IF(AND($E93&gt;=EM$5,$E93&lt;EM$5+GanttPeriod),"◇","")),IF(AND(EM$5&lt;=$F93,EM$5+GanttPeriod-1&gt;=$E93),"━","")))</f>
        <v/>
      </c>
      <c r="EN93" s="69" t="str">
        <f aca="false">IF($E93="","",IF($M93,IF(AND($G93&gt;=EN$5,$G93&lt;EN$5+GanttPeriod),"◆",IF(AND($E93&gt;=EN$5,$E93&lt;EN$5+GanttPeriod),"◇","")),IF(AND(EN$5&lt;=$F93,EN$5+GanttPeriod-1&gt;=$E93),"━","")))</f>
        <v/>
      </c>
      <c r="EO93" s="69" t="str">
        <f aca="false">IF($E93="","",IF($M93,IF(AND($G93&gt;=EO$5,$G93&lt;EO$5+GanttPeriod),"◆",IF(AND($E93&gt;=EO$5,$E93&lt;EO$5+GanttPeriod),"◇","")),IF(AND(EO$5&lt;=$F93,EO$5+GanttPeriod-1&gt;=$E93),"━","")))</f>
        <v/>
      </c>
      <c r="EP93" s="69" t="str">
        <f aca="false">IF($E93="","",IF($M93,IF(AND($G93&gt;=EP$5,$G93&lt;EP$5+GanttPeriod),"◆",IF(AND($E93&gt;=EP$5,$E93&lt;EP$5+GanttPeriod),"◇","")),IF(AND(EP$5&lt;=$F93,EP$5+GanttPeriod-1&gt;=$E93),"━","")))</f>
        <v/>
      </c>
      <c r="EQ93" s="69" t="str">
        <f aca="false">IF($E93="","",IF($M93,IF(AND($G93&gt;=EQ$5,$G93&lt;EQ$5+GanttPeriod),"◆",IF(AND($E93&gt;=EQ$5,$E93&lt;EQ$5+GanttPeriod),"◇","")),IF(AND(EQ$5&lt;=$F93,EQ$5+GanttPeriod-1&gt;=$E93),"━","")))</f>
        <v/>
      </c>
      <c r="ER93" s="69" t="str">
        <f aca="false">IF($E93="","",IF($M93,IF(AND($G93&gt;=ER$5,$G93&lt;ER$5+GanttPeriod),"◆",IF(AND($E93&gt;=ER$5,$E93&lt;ER$5+GanttPeriod),"◇","")),IF(AND(ER$5&lt;=$F93,ER$5+GanttPeriod-1&gt;=$E93),"━","")))</f>
        <v/>
      </c>
      <c r="ES93" s="69" t="str">
        <f aca="false">IF($E93="","",IF($M93,IF(AND($G93&gt;=ES$5,$G93&lt;ES$5+GanttPeriod),"◆",IF(AND($E93&gt;=ES$5,$E93&lt;ES$5+GanttPeriod),"◇","")),IF(AND(ES$5&lt;=$F93,ES$5+GanttPeriod-1&gt;=$E93),"━","")))</f>
        <v/>
      </c>
      <c r="ET93" s="69" t="str">
        <f aca="false">IF($E93="","",IF($M93,IF(AND($G93&gt;=ET$5,$G93&lt;ET$5+GanttPeriod),"◆",IF(AND($E93&gt;=ET$5,$E93&lt;ET$5+GanttPeriod),"◇","")),IF(AND(ET$5&lt;=$F93,ET$5+GanttPeriod-1&gt;=$E93),"━","")))</f>
        <v/>
      </c>
      <c r="EU93" s="69" t="str">
        <f aca="false">IF($E93="","",IF($M93,IF(AND($G93&gt;=EU$5,$G93&lt;EU$5+GanttPeriod),"◆",IF(AND($E93&gt;=EU$5,$E93&lt;EU$5+GanttPeriod),"◇","")),IF(AND(EU$5&lt;=$F93,EU$5+GanttPeriod-1&gt;=$E93),"━","")))</f>
        <v/>
      </c>
      <c r="EV93" s="69" t="str">
        <f aca="false">IF($E93="","",IF($M93,IF(AND($G93&gt;=EV$5,$G93&lt;EV$5+GanttPeriod),"◆",IF(AND($E93&gt;=EV$5,$E93&lt;EV$5+GanttPeriod),"◇","")),IF(AND(EV$5&lt;=$F93,EV$5+GanttPeriod-1&gt;=$E93),"━","")))</f>
        <v/>
      </c>
      <c r="EW93" s="69" t="str">
        <f aca="false">IF($E93="","",IF($M93,IF(AND($G93&gt;=EW$5,$G93&lt;EW$5+GanttPeriod),"◆",IF(AND($E93&gt;=EW$5,$E93&lt;EW$5+GanttPeriod),"◇","")),IF(AND(EW$5&lt;=$F93,EW$5+GanttPeriod-1&gt;=$E93),"━","")))</f>
        <v/>
      </c>
      <c r="EX93" s="69" t="str">
        <f aca="false">IF($E93="","",IF($M93,IF(AND($G93&gt;=EX$5,$G93&lt;EX$5+GanttPeriod),"◆",IF(AND($E93&gt;=EX$5,$E93&lt;EX$5+GanttPeriod),"◇","")),IF(AND(EX$5&lt;=$F93,EX$5+GanttPeriod-1&gt;=$E93),"━","")))</f>
        <v/>
      </c>
      <c r="EY93" s="69" t="str">
        <f aca="false">IF($E93="","",IF($M93,IF(AND($G93&gt;=EY$5,$G93&lt;EY$5+GanttPeriod),"◆",IF(AND($E93&gt;=EY$5,$E93&lt;EY$5+GanttPeriod),"◇","")),IF(AND(EY$5&lt;=$F93,EY$5+GanttPeriod-1&gt;=$E93),"━","")))</f>
        <v/>
      </c>
      <c r="EZ93" s="69" t="str">
        <f aca="false">IF($E93="","",IF($M93,IF(AND($G93&gt;=EZ$5,$G93&lt;EZ$5+GanttPeriod),"◆",IF(AND($E93&gt;=EZ$5,$E93&lt;EZ$5+GanttPeriod),"◇","")),IF(AND(EZ$5&lt;=$F93,EZ$5+GanttPeriod-1&gt;=$E93),"━","")))</f>
        <v/>
      </c>
      <c r="FA93" s="69" t="str">
        <f aca="false">IF($E93="","",IF($M93,IF(AND($G93&gt;=FA$5,$G93&lt;FA$5+GanttPeriod),"◆",IF(AND($E93&gt;=FA$5,$E93&lt;FA$5+GanttPeriod),"◇","")),IF(AND(FA$5&lt;=$F93,FA$5+GanttPeriod-1&gt;=$E93),"━","")))</f>
        <v/>
      </c>
      <c r="FB93" s="69" t="str">
        <f aca="false">IF($E93="","",IF($M93,IF(AND($G93&gt;=FB$5,$G93&lt;FB$5+GanttPeriod),"◆",IF(AND($E93&gt;=FB$5,$E93&lt;FB$5+GanttPeriod),"◇","")),IF(AND(FB$5&lt;=$F93,FB$5+GanttPeriod-1&gt;=$E93),"━","")))</f>
        <v/>
      </c>
      <c r="FC93" s="69" t="str">
        <f aca="false">IF($E93="","",IF($M93,IF(AND($G93&gt;=FC$5,$G93&lt;FC$5+GanttPeriod),"◆",IF(AND($E93&gt;=FC$5,$E93&lt;FC$5+GanttPeriod),"◇","")),IF(AND(FC$5&lt;=$F93,FC$5+GanttPeriod-1&gt;=$E93),"━","")))</f>
        <v/>
      </c>
      <c r="FD93" s="69" t="str">
        <f aca="false">IF($E93="","",IF($M93,IF(AND($G93&gt;=FD$5,$G93&lt;FD$5+GanttPeriod),"◆",IF(AND($E93&gt;=FD$5,$E93&lt;FD$5+GanttPeriod),"◇","")),IF(AND(FD$5&lt;=$F93,FD$5+GanttPeriod-1&gt;=$E93),"━","")))</f>
        <v/>
      </c>
      <c r="FE93" s="69" t="str">
        <f aca="false">IF($E93="","",IF($M93,IF(AND($G93&gt;=FE$5,$G93&lt;FE$5+GanttPeriod),"◆",IF(AND($E93&gt;=FE$5,$E93&lt;FE$5+GanttPeriod),"◇","")),IF(AND(FE$5&lt;=$F93,FE$5+GanttPeriod-1&gt;=$E93),"━","")))</f>
        <v/>
      </c>
      <c r="FF93" s="69" t="str">
        <f aca="false">IF($E93="","",IF($M93,IF(AND($G93&gt;=FF$5,$G93&lt;FF$5+GanttPeriod),"◆",IF(AND($E93&gt;=FF$5,$E93&lt;FF$5+GanttPeriod),"◇","")),IF(AND(FF$5&lt;=$F93,FF$5+GanttPeriod-1&gt;=$E93),"━","")))</f>
        <v/>
      </c>
      <c r="FG93" s="69" t="str">
        <f aca="false">IF($E93="","",IF($M93,IF(AND($G93&gt;=FG$5,$G93&lt;FG$5+GanttPeriod),"◆",IF(AND($E93&gt;=FG$5,$E93&lt;FG$5+GanttPeriod),"◇","")),IF(AND(FG$5&lt;=$F93,FG$5+GanttPeriod-1&gt;=$E93),"━","")))</f>
        <v/>
      </c>
      <c r="FH93" s="69" t="str">
        <f aca="false">IF($E93="","",IF($M93,IF(AND($G93&gt;=FH$5,$G93&lt;FH$5+GanttPeriod),"◆",IF(AND($E93&gt;=FH$5,$E93&lt;FH$5+GanttPeriod),"◇","")),IF(AND(FH$5&lt;=$F93,FH$5+GanttPeriod-1&gt;=$E93),"━","")))</f>
        <v/>
      </c>
      <c r="FI93" s="69" t="str">
        <f aca="false">IF($E93="","",IF($M93,IF(AND($G93&gt;=FI$5,$G93&lt;FI$5+GanttPeriod),"◆",IF(AND($E93&gt;=FI$5,$E93&lt;FI$5+GanttPeriod),"◇","")),IF(AND(FI$5&lt;=$F93,FI$5+GanttPeriod-1&gt;=$E93),"━","")))</f>
        <v/>
      </c>
      <c r="FJ93" s="69" t="str">
        <f aca="false">IF($E93="","",IF($M93,IF(AND($G93&gt;=FJ$5,$G93&lt;FJ$5+GanttPeriod),"◆",IF(AND($E93&gt;=FJ$5,$E93&lt;FJ$5+GanttPeriod),"◇","")),IF(AND(FJ$5&lt;=$F93,FJ$5+GanttPeriod-1&gt;=$E93),"━","")))</f>
        <v/>
      </c>
      <c r="FK93" s="69" t="str">
        <f aca="false">IF($E93="","",IF($M93,IF(AND($G93&gt;=FK$5,$G93&lt;FK$5+GanttPeriod),"◆",IF(AND($E93&gt;=FK$5,$E93&lt;FK$5+GanttPeriod),"◇","")),IF(AND(FK$5&lt;=$F93,FK$5+GanttPeriod-1&gt;=$E93),"━","")))</f>
        <v/>
      </c>
      <c r="FL93" s="69" t="str">
        <f aca="false">IF($E93="","",IF($M93,IF(AND($G93&gt;=FL$5,$G93&lt;FL$5+GanttPeriod),"◆",IF(AND($E93&gt;=FL$5,$E93&lt;FL$5+GanttPeriod),"◇","")),IF(AND(FL$5&lt;=$F93,FL$5+GanttPeriod-1&gt;=$E93),"━","")))</f>
        <v/>
      </c>
      <c r="FM93" s="69" t="str">
        <f aca="false">IF($E93="","",IF($M93,IF(AND($G93&gt;=FM$5,$G93&lt;FM$5+GanttPeriod),"◆",IF(AND($E93&gt;=FM$5,$E93&lt;FM$5+GanttPeriod),"◇","")),IF(AND(FM$5&lt;=$F93,FM$5+GanttPeriod-1&gt;=$E93),"━","")))</f>
        <v/>
      </c>
    </row>
    <row r="94" customFormat="false" ht="15" hidden="false" customHeight="false" outlineLevel="0" collapsed="false">
      <c r="A94" s="62" t="str">
        <f aca="false">IF(Tasks!$D94="","",Tasks!$A94)</f>
        <v/>
      </c>
      <c r="B94" s="62" t="str">
        <f aca="false">IF(Tasks!$D94="","",Tasks!$B94)</f>
        <v/>
      </c>
      <c r="C94" s="63" t="str">
        <f aca="false">IF(Tasks!$D94="","",REPT("    ",Tasks!$AE94-1)&amp;Tasks!$D94)</f>
        <v/>
      </c>
      <c r="D94" s="62" t="str">
        <f aca="false">IF(Tasks!$D94="","",IF(Tasks!$AI94,NETWORKDAYS.INTL(Tasks!$R94,Tasks!$S94,WorkWeek,Holidays),N(Tasks!$F94)))</f>
        <v/>
      </c>
      <c r="E94" s="64" t="str">
        <f aca="false">IF(Tasks!$D94="","",Tasks!$N94)</f>
        <v/>
      </c>
      <c r="F94" s="64" t="str">
        <f aca="false">IF(Tasks!$D94="","",Tasks!$O94)</f>
        <v/>
      </c>
      <c r="G94" s="64" t="str">
        <f aca="false">IF(Tasks!$D94="","",Tasks!$R94)</f>
        <v/>
      </c>
      <c r="H94" s="64" t="str">
        <f aca="false">IF(Tasks!$D94="","",Tasks!$S94)</f>
        <v/>
      </c>
      <c r="I94" s="65" t="str">
        <f aca="false">IF(Tasks!$D94="","",Tasks!$V94)</f>
        <v/>
      </c>
      <c r="J94" s="63" t="str">
        <f aca="false">IF(Tasks!$D94="","",Tasks!$X94&amp;"")</f>
        <v/>
      </c>
      <c r="K94" s="66" t="str">
        <f aca="false">IF(Tasks!$D94="","",Tasks!$W94)</f>
        <v/>
      </c>
      <c r="L94" s="67" t="b">
        <f aca="false">IF(Tasks!$D94="",FALSE(),Tasks!$AI94)</f>
        <v>0</v>
      </c>
      <c r="M94" s="67" t="b">
        <f aca="false">AND(Tasks!$AJ94=1,N(Tasks!$F94)=0)</f>
        <v>0</v>
      </c>
      <c r="N94" s="68" t="n">
        <f aca="false">IF(AND(Tasks!$AJ94=1,NOT($M94),N($I94)&gt;0),$G94,0)</f>
        <v>0</v>
      </c>
      <c r="O94" s="68" t="n">
        <f aca="false">IF($N94=0,0,IF($I94&gt;=1,$H94,MAX($N94,$G94+ROUND(($H94-$G94+1)*$I94,0)-1)))</f>
        <v>0</v>
      </c>
      <c r="P94" s="68" t="n">
        <f aca="false">IF(OR(Tasks!$AJ94&lt;&gt;1,$M94,N($I94)&gt;=1),0,IF($O94&gt;0,$O94+1,$G94))</f>
        <v>0</v>
      </c>
      <c r="Q94" s="68" t="n">
        <f aca="false">IF($P94=0,0,$H94)</f>
        <v>0</v>
      </c>
      <c r="R94" s="67" t="b">
        <f aca="false">AND(Tasks!$D94&lt;&gt;"",N(Tasks!$T94)&gt;0)</f>
        <v>0</v>
      </c>
      <c r="T94" s="69" t="str">
        <f aca="false">IF($E94="","",IF($M94,IF(AND($G94&gt;=T$5,$G94&lt;T$5+GanttPeriod),"◆",IF(AND($E94&gt;=T$5,$E94&lt;T$5+GanttPeriod),"◇","")),IF(AND(T$5&lt;=$F94,T$5+GanttPeriod-1&gt;=$E94),"━","")))</f>
        <v/>
      </c>
      <c r="U94" s="69" t="str">
        <f aca="false">IF($E94="","",IF($M94,IF(AND($G94&gt;=U$5,$G94&lt;U$5+GanttPeriod),"◆",IF(AND($E94&gt;=U$5,$E94&lt;U$5+GanttPeriod),"◇","")),IF(AND(U$5&lt;=$F94,U$5+GanttPeriod-1&gt;=$E94),"━","")))</f>
        <v/>
      </c>
      <c r="V94" s="69" t="str">
        <f aca="false">IF($E94="","",IF($M94,IF(AND($G94&gt;=V$5,$G94&lt;V$5+GanttPeriod),"◆",IF(AND($E94&gt;=V$5,$E94&lt;V$5+GanttPeriod),"◇","")),IF(AND(V$5&lt;=$F94,V$5+GanttPeriod-1&gt;=$E94),"━","")))</f>
        <v/>
      </c>
      <c r="W94" s="69" t="str">
        <f aca="false">IF($E94="","",IF($M94,IF(AND($G94&gt;=W$5,$G94&lt;W$5+GanttPeriod),"◆",IF(AND($E94&gt;=W$5,$E94&lt;W$5+GanttPeriod),"◇","")),IF(AND(W$5&lt;=$F94,W$5+GanttPeriod-1&gt;=$E94),"━","")))</f>
        <v/>
      </c>
      <c r="X94" s="69" t="str">
        <f aca="false">IF($E94="","",IF($M94,IF(AND($G94&gt;=X$5,$G94&lt;X$5+GanttPeriod),"◆",IF(AND($E94&gt;=X$5,$E94&lt;X$5+GanttPeriod),"◇","")),IF(AND(X$5&lt;=$F94,X$5+GanttPeriod-1&gt;=$E94),"━","")))</f>
        <v/>
      </c>
      <c r="Y94" s="69" t="str">
        <f aca="false">IF($E94="","",IF($M94,IF(AND($G94&gt;=Y$5,$G94&lt;Y$5+GanttPeriod),"◆",IF(AND($E94&gt;=Y$5,$E94&lt;Y$5+GanttPeriod),"◇","")),IF(AND(Y$5&lt;=$F94,Y$5+GanttPeriod-1&gt;=$E94),"━","")))</f>
        <v/>
      </c>
      <c r="Z94" s="69" t="str">
        <f aca="false">IF($E94="","",IF($M94,IF(AND($G94&gt;=Z$5,$G94&lt;Z$5+GanttPeriod),"◆",IF(AND($E94&gt;=Z$5,$E94&lt;Z$5+GanttPeriod),"◇","")),IF(AND(Z$5&lt;=$F94,Z$5+GanttPeriod-1&gt;=$E94),"━","")))</f>
        <v/>
      </c>
      <c r="AA94" s="69" t="str">
        <f aca="false">IF($E94="","",IF($M94,IF(AND($G94&gt;=AA$5,$G94&lt;AA$5+GanttPeriod),"◆",IF(AND($E94&gt;=AA$5,$E94&lt;AA$5+GanttPeriod),"◇","")),IF(AND(AA$5&lt;=$F94,AA$5+GanttPeriod-1&gt;=$E94),"━","")))</f>
        <v/>
      </c>
      <c r="AB94" s="69" t="str">
        <f aca="false">IF($E94="","",IF($M94,IF(AND($G94&gt;=AB$5,$G94&lt;AB$5+GanttPeriod),"◆",IF(AND($E94&gt;=AB$5,$E94&lt;AB$5+GanttPeriod),"◇","")),IF(AND(AB$5&lt;=$F94,AB$5+GanttPeriod-1&gt;=$E94),"━","")))</f>
        <v/>
      </c>
      <c r="AC94" s="69" t="str">
        <f aca="false">IF($E94="","",IF($M94,IF(AND($G94&gt;=AC$5,$G94&lt;AC$5+GanttPeriod),"◆",IF(AND($E94&gt;=AC$5,$E94&lt;AC$5+GanttPeriod),"◇","")),IF(AND(AC$5&lt;=$F94,AC$5+GanttPeriod-1&gt;=$E94),"━","")))</f>
        <v/>
      </c>
      <c r="AD94" s="69" t="str">
        <f aca="false">IF($E94="","",IF($M94,IF(AND($G94&gt;=AD$5,$G94&lt;AD$5+GanttPeriod),"◆",IF(AND($E94&gt;=AD$5,$E94&lt;AD$5+GanttPeriod),"◇","")),IF(AND(AD$5&lt;=$F94,AD$5+GanttPeriod-1&gt;=$E94),"━","")))</f>
        <v/>
      </c>
      <c r="AE94" s="69" t="str">
        <f aca="false">IF($E94="","",IF($M94,IF(AND($G94&gt;=AE$5,$G94&lt;AE$5+GanttPeriod),"◆",IF(AND($E94&gt;=AE$5,$E94&lt;AE$5+GanttPeriod),"◇","")),IF(AND(AE$5&lt;=$F94,AE$5+GanttPeriod-1&gt;=$E94),"━","")))</f>
        <v/>
      </c>
      <c r="AF94" s="69" t="str">
        <f aca="false">IF($E94="","",IF($M94,IF(AND($G94&gt;=AF$5,$G94&lt;AF$5+GanttPeriod),"◆",IF(AND($E94&gt;=AF$5,$E94&lt;AF$5+GanttPeriod),"◇","")),IF(AND(AF$5&lt;=$F94,AF$5+GanttPeriod-1&gt;=$E94),"━","")))</f>
        <v/>
      </c>
      <c r="AG94" s="69" t="str">
        <f aca="false">IF($E94="","",IF($M94,IF(AND($G94&gt;=AG$5,$G94&lt;AG$5+GanttPeriod),"◆",IF(AND($E94&gt;=AG$5,$E94&lt;AG$5+GanttPeriod),"◇","")),IF(AND(AG$5&lt;=$F94,AG$5+GanttPeriod-1&gt;=$E94),"━","")))</f>
        <v/>
      </c>
      <c r="AH94" s="69" t="str">
        <f aca="false">IF($E94="","",IF($M94,IF(AND($G94&gt;=AH$5,$G94&lt;AH$5+GanttPeriod),"◆",IF(AND($E94&gt;=AH$5,$E94&lt;AH$5+GanttPeriod),"◇","")),IF(AND(AH$5&lt;=$F94,AH$5+GanttPeriod-1&gt;=$E94),"━","")))</f>
        <v/>
      </c>
      <c r="AI94" s="69" t="str">
        <f aca="false">IF($E94="","",IF($M94,IF(AND($G94&gt;=AI$5,$G94&lt;AI$5+GanttPeriod),"◆",IF(AND($E94&gt;=AI$5,$E94&lt;AI$5+GanttPeriod),"◇","")),IF(AND(AI$5&lt;=$F94,AI$5+GanttPeriod-1&gt;=$E94),"━","")))</f>
        <v/>
      </c>
      <c r="AJ94" s="69" t="str">
        <f aca="false">IF($E94="","",IF($M94,IF(AND($G94&gt;=AJ$5,$G94&lt;AJ$5+GanttPeriod),"◆",IF(AND($E94&gt;=AJ$5,$E94&lt;AJ$5+GanttPeriod),"◇","")),IF(AND(AJ$5&lt;=$F94,AJ$5+GanttPeriod-1&gt;=$E94),"━","")))</f>
        <v/>
      </c>
      <c r="AK94" s="69" t="str">
        <f aca="false">IF($E94="","",IF($M94,IF(AND($G94&gt;=AK$5,$G94&lt;AK$5+GanttPeriod),"◆",IF(AND($E94&gt;=AK$5,$E94&lt;AK$5+GanttPeriod),"◇","")),IF(AND(AK$5&lt;=$F94,AK$5+GanttPeriod-1&gt;=$E94),"━","")))</f>
        <v/>
      </c>
      <c r="AL94" s="69" t="str">
        <f aca="false">IF($E94="","",IF($M94,IF(AND($G94&gt;=AL$5,$G94&lt;AL$5+GanttPeriod),"◆",IF(AND($E94&gt;=AL$5,$E94&lt;AL$5+GanttPeriod),"◇","")),IF(AND(AL$5&lt;=$F94,AL$5+GanttPeriod-1&gt;=$E94),"━","")))</f>
        <v/>
      </c>
      <c r="AM94" s="69" t="str">
        <f aca="false">IF($E94="","",IF($M94,IF(AND($G94&gt;=AM$5,$G94&lt;AM$5+GanttPeriod),"◆",IF(AND($E94&gt;=AM$5,$E94&lt;AM$5+GanttPeriod),"◇","")),IF(AND(AM$5&lt;=$F94,AM$5+GanttPeriod-1&gt;=$E94),"━","")))</f>
        <v/>
      </c>
      <c r="AN94" s="69" t="str">
        <f aca="false">IF($E94="","",IF($M94,IF(AND($G94&gt;=AN$5,$G94&lt;AN$5+GanttPeriod),"◆",IF(AND($E94&gt;=AN$5,$E94&lt;AN$5+GanttPeriod),"◇","")),IF(AND(AN$5&lt;=$F94,AN$5+GanttPeriod-1&gt;=$E94),"━","")))</f>
        <v/>
      </c>
      <c r="AO94" s="69" t="str">
        <f aca="false">IF($E94="","",IF($M94,IF(AND($G94&gt;=AO$5,$G94&lt;AO$5+GanttPeriod),"◆",IF(AND($E94&gt;=AO$5,$E94&lt;AO$5+GanttPeriod),"◇","")),IF(AND(AO$5&lt;=$F94,AO$5+GanttPeriod-1&gt;=$E94),"━","")))</f>
        <v/>
      </c>
      <c r="AP94" s="69" t="str">
        <f aca="false">IF($E94="","",IF($M94,IF(AND($G94&gt;=AP$5,$G94&lt;AP$5+GanttPeriod),"◆",IF(AND($E94&gt;=AP$5,$E94&lt;AP$5+GanttPeriod),"◇","")),IF(AND(AP$5&lt;=$F94,AP$5+GanttPeriod-1&gt;=$E94),"━","")))</f>
        <v/>
      </c>
      <c r="AQ94" s="69" t="str">
        <f aca="false">IF($E94="","",IF($M94,IF(AND($G94&gt;=AQ$5,$G94&lt;AQ$5+GanttPeriod),"◆",IF(AND($E94&gt;=AQ$5,$E94&lt;AQ$5+GanttPeriod),"◇","")),IF(AND(AQ$5&lt;=$F94,AQ$5+GanttPeriod-1&gt;=$E94),"━","")))</f>
        <v/>
      </c>
      <c r="AR94" s="69" t="str">
        <f aca="false">IF($E94="","",IF($M94,IF(AND($G94&gt;=AR$5,$G94&lt;AR$5+GanttPeriod),"◆",IF(AND($E94&gt;=AR$5,$E94&lt;AR$5+GanttPeriod),"◇","")),IF(AND(AR$5&lt;=$F94,AR$5+GanttPeriod-1&gt;=$E94),"━","")))</f>
        <v/>
      </c>
      <c r="AS94" s="69" t="str">
        <f aca="false">IF($E94="","",IF($M94,IF(AND($G94&gt;=AS$5,$G94&lt;AS$5+GanttPeriod),"◆",IF(AND($E94&gt;=AS$5,$E94&lt;AS$5+GanttPeriod),"◇","")),IF(AND(AS$5&lt;=$F94,AS$5+GanttPeriod-1&gt;=$E94),"━","")))</f>
        <v/>
      </c>
      <c r="AT94" s="69" t="str">
        <f aca="false">IF($E94="","",IF($M94,IF(AND($G94&gt;=AT$5,$G94&lt;AT$5+GanttPeriod),"◆",IF(AND($E94&gt;=AT$5,$E94&lt;AT$5+GanttPeriod),"◇","")),IF(AND(AT$5&lt;=$F94,AT$5+GanttPeriod-1&gt;=$E94),"━","")))</f>
        <v/>
      </c>
      <c r="AU94" s="69" t="str">
        <f aca="false">IF($E94="","",IF($M94,IF(AND($G94&gt;=AU$5,$G94&lt;AU$5+GanttPeriod),"◆",IF(AND($E94&gt;=AU$5,$E94&lt;AU$5+GanttPeriod),"◇","")),IF(AND(AU$5&lt;=$F94,AU$5+GanttPeriod-1&gt;=$E94),"━","")))</f>
        <v/>
      </c>
      <c r="AV94" s="69" t="str">
        <f aca="false">IF($E94="","",IF($M94,IF(AND($G94&gt;=AV$5,$G94&lt;AV$5+GanttPeriod),"◆",IF(AND($E94&gt;=AV$5,$E94&lt;AV$5+GanttPeriod),"◇","")),IF(AND(AV$5&lt;=$F94,AV$5+GanttPeriod-1&gt;=$E94),"━","")))</f>
        <v/>
      </c>
      <c r="AW94" s="69" t="str">
        <f aca="false">IF($E94="","",IF($M94,IF(AND($G94&gt;=AW$5,$G94&lt;AW$5+GanttPeriod),"◆",IF(AND($E94&gt;=AW$5,$E94&lt;AW$5+GanttPeriod),"◇","")),IF(AND(AW$5&lt;=$F94,AW$5+GanttPeriod-1&gt;=$E94),"━","")))</f>
        <v/>
      </c>
      <c r="AX94" s="69" t="str">
        <f aca="false">IF($E94="","",IF($M94,IF(AND($G94&gt;=AX$5,$G94&lt;AX$5+GanttPeriod),"◆",IF(AND($E94&gt;=AX$5,$E94&lt;AX$5+GanttPeriod),"◇","")),IF(AND(AX$5&lt;=$F94,AX$5+GanttPeriod-1&gt;=$E94),"━","")))</f>
        <v/>
      </c>
      <c r="AY94" s="69" t="str">
        <f aca="false">IF($E94="","",IF($M94,IF(AND($G94&gt;=AY$5,$G94&lt;AY$5+GanttPeriod),"◆",IF(AND($E94&gt;=AY$5,$E94&lt;AY$5+GanttPeriod),"◇","")),IF(AND(AY$5&lt;=$F94,AY$5+GanttPeriod-1&gt;=$E94),"━","")))</f>
        <v/>
      </c>
      <c r="AZ94" s="69" t="str">
        <f aca="false">IF($E94="","",IF($M94,IF(AND($G94&gt;=AZ$5,$G94&lt;AZ$5+GanttPeriod),"◆",IF(AND($E94&gt;=AZ$5,$E94&lt;AZ$5+GanttPeriod),"◇","")),IF(AND(AZ$5&lt;=$F94,AZ$5+GanttPeriod-1&gt;=$E94),"━","")))</f>
        <v/>
      </c>
      <c r="BA94" s="69" t="str">
        <f aca="false">IF($E94="","",IF($M94,IF(AND($G94&gt;=BA$5,$G94&lt;BA$5+GanttPeriod),"◆",IF(AND($E94&gt;=BA$5,$E94&lt;BA$5+GanttPeriod),"◇","")),IF(AND(BA$5&lt;=$F94,BA$5+GanttPeriod-1&gt;=$E94),"━","")))</f>
        <v/>
      </c>
      <c r="BB94" s="69" t="str">
        <f aca="false">IF($E94="","",IF($M94,IF(AND($G94&gt;=BB$5,$G94&lt;BB$5+GanttPeriod),"◆",IF(AND($E94&gt;=BB$5,$E94&lt;BB$5+GanttPeriod),"◇","")),IF(AND(BB$5&lt;=$F94,BB$5+GanttPeriod-1&gt;=$E94),"━","")))</f>
        <v/>
      </c>
      <c r="BC94" s="69" t="str">
        <f aca="false">IF($E94="","",IF($M94,IF(AND($G94&gt;=BC$5,$G94&lt;BC$5+GanttPeriod),"◆",IF(AND($E94&gt;=BC$5,$E94&lt;BC$5+GanttPeriod),"◇","")),IF(AND(BC$5&lt;=$F94,BC$5+GanttPeriod-1&gt;=$E94),"━","")))</f>
        <v/>
      </c>
      <c r="BD94" s="69" t="str">
        <f aca="false">IF($E94="","",IF($M94,IF(AND($G94&gt;=BD$5,$G94&lt;BD$5+GanttPeriod),"◆",IF(AND($E94&gt;=BD$5,$E94&lt;BD$5+GanttPeriod),"◇","")),IF(AND(BD$5&lt;=$F94,BD$5+GanttPeriod-1&gt;=$E94),"━","")))</f>
        <v/>
      </c>
      <c r="BE94" s="69" t="str">
        <f aca="false">IF($E94="","",IF($M94,IF(AND($G94&gt;=BE$5,$G94&lt;BE$5+GanttPeriod),"◆",IF(AND($E94&gt;=BE$5,$E94&lt;BE$5+GanttPeriod),"◇","")),IF(AND(BE$5&lt;=$F94,BE$5+GanttPeriod-1&gt;=$E94),"━","")))</f>
        <v/>
      </c>
      <c r="BF94" s="69" t="str">
        <f aca="false">IF($E94="","",IF($M94,IF(AND($G94&gt;=BF$5,$G94&lt;BF$5+GanttPeriod),"◆",IF(AND($E94&gt;=BF$5,$E94&lt;BF$5+GanttPeriod),"◇","")),IF(AND(BF$5&lt;=$F94,BF$5+GanttPeriod-1&gt;=$E94),"━","")))</f>
        <v/>
      </c>
      <c r="BG94" s="69" t="str">
        <f aca="false">IF($E94="","",IF($M94,IF(AND($G94&gt;=BG$5,$G94&lt;BG$5+GanttPeriod),"◆",IF(AND($E94&gt;=BG$5,$E94&lt;BG$5+GanttPeriod),"◇","")),IF(AND(BG$5&lt;=$F94,BG$5+GanttPeriod-1&gt;=$E94),"━","")))</f>
        <v/>
      </c>
      <c r="BH94" s="69" t="str">
        <f aca="false">IF($E94="","",IF($M94,IF(AND($G94&gt;=BH$5,$G94&lt;BH$5+GanttPeriod),"◆",IF(AND($E94&gt;=BH$5,$E94&lt;BH$5+GanttPeriod),"◇","")),IF(AND(BH$5&lt;=$F94,BH$5+GanttPeriod-1&gt;=$E94),"━","")))</f>
        <v/>
      </c>
      <c r="BI94" s="69" t="str">
        <f aca="false">IF($E94="","",IF($M94,IF(AND($G94&gt;=BI$5,$G94&lt;BI$5+GanttPeriod),"◆",IF(AND($E94&gt;=BI$5,$E94&lt;BI$5+GanttPeriod),"◇","")),IF(AND(BI$5&lt;=$F94,BI$5+GanttPeriod-1&gt;=$E94),"━","")))</f>
        <v/>
      </c>
      <c r="BJ94" s="69" t="str">
        <f aca="false">IF($E94="","",IF($M94,IF(AND($G94&gt;=BJ$5,$G94&lt;BJ$5+GanttPeriod),"◆",IF(AND($E94&gt;=BJ$5,$E94&lt;BJ$5+GanttPeriod),"◇","")),IF(AND(BJ$5&lt;=$F94,BJ$5+GanttPeriod-1&gt;=$E94),"━","")))</f>
        <v/>
      </c>
      <c r="BK94" s="69" t="str">
        <f aca="false">IF($E94="","",IF($M94,IF(AND($G94&gt;=BK$5,$G94&lt;BK$5+GanttPeriod),"◆",IF(AND($E94&gt;=BK$5,$E94&lt;BK$5+GanttPeriod),"◇","")),IF(AND(BK$5&lt;=$F94,BK$5+GanttPeriod-1&gt;=$E94),"━","")))</f>
        <v/>
      </c>
      <c r="BL94" s="69" t="str">
        <f aca="false">IF($E94="","",IF($M94,IF(AND($G94&gt;=BL$5,$G94&lt;BL$5+GanttPeriod),"◆",IF(AND($E94&gt;=BL$5,$E94&lt;BL$5+GanttPeriod),"◇","")),IF(AND(BL$5&lt;=$F94,BL$5+GanttPeriod-1&gt;=$E94),"━","")))</f>
        <v/>
      </c>
      <c r="BM94" s="69" t="str">
        <f aca="false">IF($E94="","",IF($M94,IF(AND($G94&gt;=BM$5,$G94&lt;BM$5+GanttPeriod),"◆",IF(AND($E94&gt;=BM$5,$E94&lt;BM$5+GanttPeriod),"◇","")),IF(AND(BM$5&lt;=$F94,BM$5+GanttPeriod-1&gt;=$E94),"━","")))</f>
        <v/>
      </c>
      <c r="BN94" s="69" t="str">
        <f aca="false">IF($E94="","",IF($M94,IF(AND($G94&gt;=BN$5,$G94&lt;BN$5+GanttPeriod),"◆",IF(AND($E94&gt;=BN$5,$E94&lt;BN$5+GanttPeriod),"◇","")),IF(AND(BN$5&lt;=$F94,BN$5+GanttPeriod-1&gt;=$E94),"━","")))</f>
        <v/>
      </c>
      <c r="BO94" s="69" t="str">
        <f aca="false">IF($E94="","",IF($M94,IF(AND($G94&gt;=BO$5,$G94&lt;BO$5+GanttPeriod),"◆",IF(AND($E94&gt;=BO$5,$E94&lt;BO$5+GanttPeriod),"◇","")),IF(AND(BO$5&lt;=$F94,BO$5+GanttPeriod-1&gt;=$E94),"━","")))</f>
        <v/>
      </c>
      <c r="BP94" s="69" t="str">
        <f aca="false">IF($E94="","",IF($M94,IF(AND($G94&gt;=BP$5,$G94&lt;BP$5+GanttPeriod),"◆",IF(AND($E94&gt;=BP$5,$E94&lt;BP$5+GanttPeriod),"◇","")),IF(AND(BP$5&lt;=$F94,BP$5+GanttPeriod-1&gt;=$E94),"━","")))</f>
        <v/>
      </c>
      <c r="BQ94" s="69" t="str">
        <f aca="false">IF($E94="","",IF($M94,IF(AND($G94&gt;=BQ$5,$G94&lt;BQ$5+GanttPeriod),"◆",IF(AND($E94&gt;=BQ$5,$E94&lt;BQ$5+GanttPeriod),"◇","")),IF(AND(BQ$5&lt;=$F94,BQ$5+GanttPeriod-1&gt;=$E94),"━","")))</f>
        <v/>
      </c>
      <c r="BR94" s="69" t="str">
        <f aca="false">IF($E94="","",IF($M94,IF(AND($G94&gt;=BR$5,$G94&lt;BR$5+GanttPeriod),"◆",IF(AND($E94&gt;=BR$5,$E94&lt;BR$5+GanttPeriod),"◇","")),IF(AND(BR$5&lt;=$F94,BR$5+GanttPeriod-1&gt;=$E94),"━","")))</f>
        <v/>
      </c>
      <c r="BS94" s="69" t="str">
        <f aca="false">IF($E94="","",IF($M94,IF(AND($G94&gt;=BS$5,$G94&lt;BS$5+GanttPeriod),"◆",IF(AND($E94&gt;=BS$5,$E94&lt;BS$5+GanttPeriod),"◇","")),IF(AND(BS$5&lt;=$F94,BS$5+GanttPeriod-1&gt;=$E94),"━","")))</f>
        <v/>
      </c>
      <c r="BT94" s="69" t="str">
        <f aca="false">IF($E94="","",IF($M94,IF(AND($G94&gt;=BT$5,$G94&lt;BT$5+GanttPeriod),"◆",IF(AND($E94&gt;=BT$5,$E94&lt;BT$5+GanttPeriod),"◇","")),IF(AND(BT$5&lt;=$F94,BT$5+GanttPeriod-1&gt;=$E94),"━","")))</f>
        <v/>
      </c>
      <c r="BU94" s="69" t="str">
        <f aca="false">IF($E94="","",IF($M94,IF(AND($G94&gt;=BU$5,$G94&lt;BU$5+GanttPeriod),"◆",IF(AND($E94&gt;=BU$5,$E94&lt;BU$5+GanttPeriod),"◇","")),IF(AND(BU$5&lt;=$F94,BU$5+GanttPeriod-1&gt;=$E94),"━","")))</f>
        <v/>
      </c>
      <c r="BV94" s="69" t="str">
        <f aca="false">IF($E94="","",IF($M94,IF(AND($G94&gt;=BV$5,$G94&lt;BV$5+GanttPeriod),"◆",IF(AND($E94&gt;=BV$5,$E94&lt;BV$5+GanttPeriod),"◇","")),IF(AND(BV$5&lt;=$F94,BV$5+GanttPeriod-1&gt;=$E94),"━","")))</f>
        <v/>
      </c>
      <c r="BW94" s="69" t="str">
        <f aca="false">IF($E94="","",IF($M94,IF(AND($G94&gt;=BW$5,$G94&lt;BW$5+GanttPeriod),"◆",IF(AND($E94&gt;=BW$5,$E94&lt;BW$5+GanttPeriod),"◇","")),IF(AND(BW$5&lt;=$F94,BW$5+GanttPeriod-1&gt;=$E94),"━","")))</f>
        <v/>
      </c>
      <c r="BX94" s="69" t="str">
        <f aca="false">IF($E94="","",IF($M94,IF(AND($G94&gt;=BX$5,$G94&lt;BX$5+GanttPeriod),"◆",IF(AND($E94&gt;=BX$5,$E94&lt;BX$5+GanttPeriod),"◇","")),IF(AND(BX$5&lt;=$F94,BX$5+GanttPeriod-1&gt;=$E94),"━","")))</f>
        <v/>
      </c>
      <c r="BY94" s="69" t="str">
        <f aca="false">IF($E94="","",IF($M94,IF(AND($G94&gt;=BY$5,$G94&lt;BY$5+GanttPeriod),"◆",IF(AND($E94&gt;=BY$5,$E94&lt;BY$5+GanttPeriod),"◇","")),IF(AND(BY$5&lt;=$F94,BY$5+GanttPeriod-1&gt;=$E94),"━","")))</f>
        <v/>
      </c>
      <c r="BZ94" s="69" t="str">
        <f aca="false">IF($E94="","",IF($M94,IF(AND($G94&gt;=BZ$5,$G94&lt;BZ$5+GanttPeriod),"◆",IF(AND($E94&gt;=BZ$5,$E94&lt;BZ$5+GanttPeriod),"◇","")),IF(AND(BZ$5&lt;=$F94,BZ$5+GanttPeriod-1&gt;=$E94),"━","")))</f>
        <v/>
      </c>
      <c r="CA94" s="69" t="str">
        <f aca="false">IF($E94="","",IF($M94,IF(AND($G94&gt;=CA$5,$G94&lt;CA$5+GanttPeriod),"◆",IF(AND($E94&gt;=CA$5,$E94&lt;CA$5+GanttPeriod),"◇","")),IF(AND(CA$5&lt;=$F94,CA$5+GanttPeriod-1&gt;=$E94),"━","")))</f>
        <v/>
      </c>
      <c r="CB94" s="69" t="str">
        <f aca="false">IF($E94="","",IF($M94,IF(AND($G94&gt;=CB$5,$G94&lt;CB$5+GanttPeriod),"◆",IF(AND($E94&gt;=CB$5,$E94&lt;CB$5+GanttPeriod),"◇","")),IF(AND(CB$5&lt;=$F94,CB$5+GanttPeriod-1&gt;=$E94),"━","")))</f>
        <v/>
      </c>
      <c r="CC94" s="69" t="str">
        <f aca="false">IF($E94="","",IF($M94,IF(AND($G94&gt;=CC$5,$G94&lt;CC$5+GanttPeriod),"◆",IF(AND($E94&gt;=CC$5,$E94&lt;CC$5+GanttPeriod),"◇","")),IF(AND(CC$5&lt;=$F94,CC$5+GanttPeriod-1&gt;=$E94),"━","")))</f>
        <v/>
      </c>
      <c r="CD94" s="69" t="str">
        <f aca="false">IF($E94="","",IF($M94,IF(AND($G94&gt;=CD$5,$G94&lt;CD$5+GanttPeriod),"◆",IF(AND($E94&gt;=CD$5,$E94&lt;CD$5+GanttPeriod),"◇","")),IF(AND(CD$5&lt;=$F94,CD$5+GanttPeriod-1&gt;=$E94),"━","")))</f>
        <v/>
      </c>
      <c r="CE94" s="69" t="str">
        <f aca="false">IF($E94="","",IF($M94,IF(AND($G94&gt;=CE$5,$G94&lt;CE$5+GanttPeriod),"◆",IF(AND($E94&gt;=CE$5,$E94&lt;CE$5+GanttPeriod),"◇","")),IF(AND(CE$5&lt;=$F94,CE$5+GanttPeriod-1&gt;=$E94),"━","")))</f>
        <v/>
      </c>
      <c r="CF94" s="69" t="str">
        <f aca="false">IF($E94="","",IF($M94,IF(AND($G94&gt;=CF$5,$G94&lt;CF$5+GanttPeriod),"◆",IF(AND($E94&gt;=CF$5,$E94&lt;CF$5+GanttPeriod),"◇","")),IF(AND(CF$5&lt;=$F94,CF$5+GanttPeriod-1&gt;=$E94),"━","")))</f>
        <v/>
      </c>
      <c r="CG94" s="69" t="str">
        <f aca="false">IF($E94="","",IF($M94,IF(AND($G94&gt;=CG$5,$G94&lt;CG$5+GanttPeriod),"◆",IF(AND($E94&gt;=CG$5,$E94&lt;CG$5+GanttPeriod),"◇","")),IF(AND(CG$5&lt;=$F94,CG$5+GanttPeriod-1&gt;=$E94),"━","")))</f>
        <v/>
      </c>
      <c r="CH94" s="69" t="str">
        <f aca="false">IF($E94="","",IF($M94,IF(AND($G94&gt;=CH$5,$G94&lt;CH$5+GanttPeriod),"◆",IF(AND($E94&gt;=CH$5,$E94&lt;CH$5+GanttPeriod),"◇","")),IF(AND(CH$5&lt;=$F94,CH$5+GanttPeriod-1&gt;=$E94),"━","")))</f>
        <v/>
      </c>
      <c r="CI94" s="69" t="str">
        <f aca="false">IF($E94="","",IF($M94,IF(AND($G94&gt;=CI$5,$G94&lt;CI$5+GanttPeriod),"◆",IF(AND($E94&gt;=CI$5,$E94&lt;CI$5+GanttPeriod),"◇","")),IF(AND(CI$5&lt;=$F94,CI$5+GanttPeriod-1&gt;=$E94),"━","")))</f>
        <v/>
      </c>
      <c r="CJ94" s="69" t="str">
        <f aca="false">IF($E94="","",IF($M94,IF(AND($G94&gt;=CJ$5,$G94&lt;CJ$5+GanttPeriod),"◆",IF(AND($E94&gt;=CJ$5,$E94&lt;CJ$5+GanttPeriod),"◇","")),IF(AND(CJ$5&lt;=$F94,CJ$5+GanttPeriod-1&gt;=$E94),"━","")))</f>
        <v/>
      </c>
      <c r="CK94" s="69" t="str">
        <f aca="false">IF($E94="","",IF($M94,IF(AND($G94&gt;=CK$5,$G94&lt;CK$5+GanttPeriod),"◆",IF(AND($E94&gt;=CK$5,$E94&lt;CK$5+GanttPeriod),"◇","")),IF(AND(CK$5&lt;=$F94,CK$5+GanttPeriod-1&gt;=$E94),"━","")))</f>
        <v/>
      </c>
      <c r="CL94" s="69" t="str">
        <f aca="false">IF($E94="","",IF($M94,IF(AND($G94&gt;=CL$5,$G94&lt;CL$5+GanttPeriod),"◆",IF(AND($E94&gt;=CL$5,$E94&lt;CL$5+GanttPeriod),"◇","")),IF(AND(CL$5&lt;=$F94,CL$5+GanttPeriod-1&gt;=$E94),"━","")))</f>
        <v/>
      </c>
      <c r="CM94" s="69" t="str">
        <f aca="false">IF($E94="","",IF($M94,IF(AND($G94&gt;=CM$5,$G94&lt;CM$5+GanttPeriod),"◆",IF(AND($E94&gt;=CM$5,$E94&lt;CM$5+GanttPeriod),"◇","")),IF(AND(CM$5&lt;=$F94,CM$5+GanttPeriod-1&gt;=$E94),"━","")))</f>
        <v/>
      </c>
      <c r="CN94" s="69" t="str">
        <f aca="false">IF($E94="","",IF($M94,IF(AND($G94&gt;=CN$5,$G94&lt;CN$5+GanttPeriod),"◆",IF(AND($E94&gt;=CN$5,$E94&lt;CN$5+GanttPeriod),"◇","")),IF(AND(CN$5&lt;=$F94,CN$5+GanttPeriod-1&gt;=$E94),"━","")))</f>
        <v/>
      </c>
      <c r="CO94" s="69" t="str">
        <f aca="false">IF($E94="","",IF($M94,IF(AND($G94&gt;=CO$5,$G94&lt;CO$5+GanttPeriod),"◆",IF(AND($E94&gt;=CO$5,$E94&lt;CO$5+GanttPeriod),"◇","")),IF(AND(CO$5&lt;=$F94,CO$5+GanttPeriod-1&gt;=$E94),"━","")))</f>
        <v/>
      </c>
      <c r="CP94" s="69" t="str">
        <f aca="false">IF($E94="","",IF($M94,IF(AND($G94&gt;=CP$5,$G94&lt;CP$5+GanttPeriod),"◆",IF(AND($E94&gt;=CP$5,$E94&lt;CP$5+GanttPeriod),"◇","")),IF(AND(CP$5&lt;=$F94,CP$5+GanttPeriod-1&gt;=$E94),"━","")))</f>
        <v/>
      </c>
      <c r="CQ94" s="69" t="str">
        <f aca="false">IF($E94="","",IF($M94,IF(AND($G94&gt;=CQ$5,$G94&lt;CQ$5+GanttPeriod),"◆",IF(AND($E94&gt;=CQ$5,$E94&lt;CQ$5+GanttPeriod),"◇","")),IF(AND(CQ$5&lt;=$F94,CQ$5+GanttPeriod-1&gt;=$E94),"━","")))</f>
        <v/>
      </c>
      <c r="CR94" s="69" t="str">
        <f aca="false">IF($E94="","",IF($M94,IF(AND($G94&gt;=CR$5,$G94&lt;CR$5+GanttPeriod),"◆",IF(AND($E94&gt;=CR$5,$E94&lt;CR$5+GanttPeriod),"◇","")),IF(AND(CR$5&lt;=$F94,CR$5+GanttPeriod-1&gt;=$E94),"━","")))</f>
        <v/>
      </c>
      <c r="CS94" s="69" t="str">
        <f aca="false">IF($E94="","",IF($M94,IF(AND($G94&gt;=CS$5,$G94&lt;CS$5+GanttPeriod),"◆",IF(AND($E94&gt;=CS$5,$E94&lt;CS$5+GanttPeriod),"◇","")),IF(AND(CS$5&lt;=$F94,CS$5+GanttPeriod-1&gt;=$E94),"━","")))</f>
        <v/>
      </c>
      <c r="CT94" s="69" t="str">
        <f aca="false">IF($E94="","",IF($M94,IF(AND($G94&gt;=CT$5,$G94&lt;CT$5+GanttPeriod),"◆",IF(AND($E94&gt;=CT$5,$E94&lt;CT$5+GanttPeriod),"◇","")),IF(AND(CT$5&lt;=$F94,CT$5+GanttPeriod-1&gt;=$E94),"━","")))</f>
        <v/>
      </c>
      <c r="CU94" s="69" t="str">
        <f aca="false">IF($E94="","",IF($M94,IF(AND($G94&gt;=CU$5,$G94&lt;CU$5+GanttPeriod),"◆",IF(AND($E94&gt;=CU$5,$E94&lt;CU$5+GanttPeriod),"◇","")),IF(AND(CU$5&lt;=$F94,CU$5+GanttPeriod-1&gt;=$E94),"━","")))</f>
        <v/>
      </c>
      <c r="CV94" s="69" t="str">
        <f aca="false">IF($E94="","",IF($M94,IF(AND($G94&gt;=CV$5,$G94&lt;CV$5+GanttPeriod),"◆",IF(AND($E94&gt;=CV$5,$E94&lt;CV$5+GanttPeriod),"◇","")),IF(AND(CV$5&lt;=$F94,CV$5+GanttPeriod-1&gt;=$E94),"━","")))</f>
        <v/>
      </c>
      <c r="CW94" s="69" t="str">
        <f aca="false">IF($E94="","",IF($M94,IF(AND($G94&gt;=CW$5,$G94&lt;CW$5+GanttPeriod),"◆",IF(AND($E94&gt;=CW$5,$E94&lt;CW$5+GanttPeriod),"◇","")),IF(AND(CW$5&lt;=$F94,CW$5+GanttPeriod-1&gt;=$E94),"━","")))</f>
        <v/>
      </c>
      <c r="CX94" s="69" t="str">
        <f aca="false">IF($E94="","",IF($M94,IF(AND($G94&gt;=CX$5,$G94&lt;CX$5+GanttPeriod),"◆",IF(AND($E94&gt;=CX$5,$E94&lt;CX$5+GanttPeriod),"◇","")),IF(AND(CX$5&lt;=$F94,CX$5+GanttPeriod-1&gt;=$E94),"━","")))</f>
        <v/>
      </c>
      <c r="CY94" s="69" t="str">
        <f aca="false">IF($E94="","",IF($M94,IF(AND($G94&gt;=CY$5,$G94&lt;CY$5+GanttPeriod),"◆",IF(AND($E94&gt;=CY$5,$E94&lt;CY$5+GanttPeriod),"◇","")),IF(AND(CY$5&lt;=$F94,CY$5+GanttPeriod-1&gt;=$E94),"━","")))</f>
        <v/>
      </c>
      <c r="CZ94" s="69" t="str">
        <f aca="false">IF($E94="","",IF($M94,IF(AND($G94&gt;=CZ$5,$G94&lt;CZ$5+GanttPeriod),"◆",IF(AND($E94&gt;=CZ$5,$E94&lt;CZ$5+GanttPeriod),"◇","")),IF(AND(CZ$5&lt;=$F94,CZ$5+GanttPeriod-1&gt;=$E94),"━","")))</f>
        <v/>
      </c>
      <c r="DA94" s="69" t="str">
        <f aca="false">IF($E94="","",IF($M94,IF(AND($G94&gt;=DA$5,$G94&lt;DA$5+GanttPeriod),"◆",IF(AND($E94&gt;=DA$5,$E94&lt;DA$5+GanttPeriod),"◇","")),IF(AND(DA$5&lt;=$F94,DA$5+GanttPeriod-1&gt;=$E94),"━","")))</f>
        <v/>
      </c>
      <c r="DB94" s="69" t="str">
        <f aca="false">IF($E94="","",IF($M94,IF(AND($G94&gt;=DB$5,$G94&lt;DB$5+GanttPeriod),"◆",IF(AND($E94&gt;=DB$5,$E94&lt;DB$5+GanttPeriod),"◇","")),IF(AND(DB$5&lt;=$F94,DB$5+GanttPeriod-1&gt;=$E94),"━","")))</f>
        <v/>
      </c>
      <c r="DC94" s="69" t="str">
        <f aca="false">IF($E94="","",IF($M94,IF(AND($G94&gt;=DC$5,$G94&lt;DC$5+GanttPeriod),"◆",IF(AND($E94&gt;=DC$5,$E94&lt;DC$5+GanttPeriod),"◇","")),IF(AND(DC$5&lt;=$F94,DC$5+GanttPeriod-1&gt;=$E94),"━","")))</f>
        <v/>
      </c>
      <c r="DD94" s="69" t="str">
        <f aca="false">IF($E94="","",IF($M94,IF(AND($G94&gt;=DD$5,$G94&lt;DD$5+GanttPeriod),"◆",IF(AND($E94&gt;=DD$5,$E94&lt;DD$5+GanttPeriod),"◇","")),IF(AND(DD$5&lt;=$F94,DD$5+GanttPeriod-1&gt;=$E94),"━","")))</f>
        <v/>
      </c>
      <c r="DE94" s="69" t="str">
        <f aca="false">IF($E94="","",IF($M94,IF(AND($G94&gt;=DE$5,$G94&lt;DE$5+GanttPeriod),"◆",IF(AND($E94&gt;=DE$5,$E94&lt;DE$5+GanttPeriod),"◇","")),IF(AND(DE$5&lt;=$F94,DE$5+GanttPeriod-1&gt;=$E94),"━","")))</f>
        <v/>
      </c>
      <c r="DF94" s="69" t="str">
        <f aca="false">IF($E94="","",IF($M94,IF(AND($G94&gt;=DF$5,$G94&lt;DF$5+GanttPeriod),"◆",IF(AND($E94&gt;=DF$5,$E94&lt;DF$5+GanttPeriod),"◇","")),IF(AND(DF$5&lt;=$F94,DF$5+GanttPeriod-1&gt;=$E94),"━","")))</f>
        <v/>
      </c>
      <c r="DG94" s="69" t="str">
        <f aca="false">IF($E94="","",IF($M94,IF(AND($G94&gt;=DG$5,$G94&lt;DG$5+GanttPeriod),"◆",IF(AND($E94&gt;=DG$5,$E94&lt;DG$5+GanttPeriod),"◇","")),IF(AND(DG$5&lt;=$F94,DG$5+GanttPeriod-1&gt;=$E94),"━","")))</f>
        <v/>
      </c>
      <c r="DH94" s="69" t="str">
        <f aca="false">IF($E94="","",IF($M94,IF(AND($G94&gt;=DH$5,$G94&lt;DH$5+GanttPeriod),"◆",IF(AND($E94&gt;=DH$5,$E94&lt;DH$5+GanttPeriod),"◇","")),IF(AND(DH$5&lt;=$F94,DH$5+GanttPeriod-1&gt;=$E94),"━","")))</f>
        <v/>
      </c>
      <c r="DI94" s="69" t="str">
        <f aca="false">IF($E94="","",IF($M94,IF(AND($G94&gt;=DI$5,$G94&lt;DI$5+GanttPeriod),"◆",IF(AND($E94&gt;=DI$5,$E94&lt;DI$5+GanttPeriod),"◇","")),IF(AND(DI$5&lt;=$F94,DI$5+GanttPeriod-1&gt;=$E94),"━","")))</f>
        <v/>
      </c>
      <c r="DJ94" s="69" t="str">
        <f aca="false">IF($E94="","",IF($M94,IF(AND($G94&gt;=DJ$5,$G94&lt;DJ$5+GanttPeriod),"◆",IF(AND($E94&gt;=DJ$5,$E94&lt;DJ$5+GanttPeriod),"◇","")),IF(AND(DJ$5&lt;=$F94,DJ$5+GanttPeriod-1&gt;=$E94),"━","")))</f>
        <v/>
      </c>
      <c r="DK94" s="69" t="str">
        <f aca="false">IF($E94="","",IF($M94,IF(AND($G94&gt;=DK$5,$G94&lt;DK$5+GanttPeriod),"◆",IF(AND($E94&gt;=DK$5,$E94&lt;DK$5+GanttPeriod),"◇","")),IF(AND(DK$5&lt;=$F94,DK$5+GanttPeriod-1&gt;=$E94),"━","")))</f>
        <v/>
      </c>
      <c r="DL94" s="69" t="str">
        <f aca="false">IF($E94="","",IF($M94,IF(AND($G94&gt;=DL$5,$G94&lt;DL$5+GanttPeriod),"◆",IF(AND($E94&gt;=DL$5,$E94&lt;DL$5+GanttPeriod),"◇","")),IF(AND(DL$5&lt;=$F94,DL$5+GanttPeriod-1&gt;=$E94),"━","")))</f>
        <v/>
      </c>
      <c r="DM94" s="69" t="str">
        <f aca="false">IF($E94="","",IF($M94,IF(AND($G94&gt;=DM$5,$G94&lt;DM$5+GanttPeriod),"◆",IF(AND($E94&gt;=DM$5,$E94&lt;DM$5+GanttPeriod),"◇","")),IF(AND(DM$5&lt;=$F94,DM$5+GanttPeriod-1&gt;=$E94),"━","")))</f>
        <v/>
      </c>
      <c r="DN94" s="69" t="str">
        <f aca="false">IF($E94="","",IF($M94,IF(AND($G94&gt;=DN$5,$G94&lt;DN$5+GanttPeriod),"◆",IF(AND($E94&gt;=DN$5,$E94&lt;DN$5+GanttPeriod),"◇","")),IF(AND(DN$5&lt;=$F94,DN$5+GanttPeriod-1&gt;=$E94),"━","")))</f>
        <v/>
      </c>
      <c r="DO94" s="69" t="str">
        <f aca="false">IF($E94="","",IF($M94,IF(AND($G94&gt;=DO$5,$G94&lt;DO$5+GanttPeriod),"◆",IF(AND($E94&gt;=DO$5,$E94&lt;DO$5+GanttPeriod),"◇","")),IF(AND(DO$5&lt;=$F94,DO$5+GanttPeriod-1&gt;=$E94),"━","")))</f>
        <v/>
      </c>
      <c r="DP94" s="69" t="str">
        <f aca="false">IF($E94="","",IF($M94,IF(AND($G94&gt;=DP$5,$G94&lt;DP$5+GanttPeriod),"◆",IF(AND($E94&gt;=DP$5,$E94&lt;DP$5+GanttPeriod),"◇","")),IF(AND(DP$5&lt;=$F94,DP$5+GanttPeriod-1&gt;=$E94),"━","")))</f>
        <v/>
      </c>
      <c r="DQ94" s="69" t="str">
        <f aca="false">IF($E94="","",IF($M94,IF(AND($G94&gt;=DQ$5,$G94&lt;DQ$5+GanttPeriod),"◆",IF(AND($E94&gt;=DQ$5,$E94&lt;DQ$5+GanttPeriod),"◇","")),IF(AND(DQ$5&lt;=$F94,DQ$5+GanttPeriod-1&gt;=$E94),"━","")))</f>
        <v/>
      </c>
      <c r="DR94" s="69" t="str">
        <f aca="false">IF($E94="","",IF($M94,IF(AND($G94&gt;=DR$5,$G94&lt;DR$5+GanttPeriod),"◆",IF(AND($E94&gt;=DR$5,$E94&lt;DR$5+GanttPeriod),"◇","")),IF(AND(DR$5&lt;=$F94,DR$5+GanttPeriod-1&gt;=$E94),"━","")))</f>
        <v/>
      </c>
      <c r="DS94" s="69" t="str">
        <f aca="false">IF($E94="","",IF($M94,IF(AND($G94&gt;=DS$5,$G94&lt;DS$5+GanttPeriod),"◆",IF(AND($E94&gt;=DS$5,$E94&lt;DS$5+GanttPeriod),"◇","")),IF(AND(DS$5&lt;=$F94,DS$5+GanttPeriod-1&gt;=$E94),"━","")))</f>
        <v/>
      </c>
      <c r="DT94" s="69" t="str">
        <f aca="false">IF($E94="","",IF($M94,IF(AND($G94&gt;=DT$5,$G94&lt;DT$5+GanttPeriod),"◆",IF(AND($E94&gt;=DT$5,$E94&lt;DT$5+GanttPeriod),"◇","")),IF(AND(DT$5&lt;=$F94,DT$5+GanttPeriod-1&gt;=$E94),"━","")))</f>
        <v/>
      </c>
      <c r="DU94" s="69" t="str">
        <f aca="false">IF($E94="","",IF($M94,IF(AND($G94&gt;=DU$5,$G94&lt;DU$5+GanttPeriod),"◆",IF(AND($E94&gt;=DU$5,$E94&lt;DU$5+GanttPeriod),"◇","")),IF(AND(DU$5&lt;=$F94,DU$5+GanttPeriod-1&gt;=$E94),"━","")))</f>
        <v/>
      </c>
      <c r="DV94" s="69" t="str">
        <f aca="false">IF($E94="","",IF($M94,IF(AND($G94&gt;=DV$5,$G94&lt;DV$5+GanttPeriod),"◆",IF(AND($E94&gt;=DV$5,$E94&lt;DV$5+GanttPeriod),"◇","")),IF(AND(DV$5&lt;=$F94,DV$5+GanttPeriod-1&gt;=$E94),"━","")))</f>
        <v/>
      </c>
      <c r="DW94" s="69" t="str">
        <f aca="false">IF($E94="","",IF($M94,IF(AND($G94&gt;=DW$5,$G94&lt;DW$5+GanttPeriod),"◆",IF(AND($E94&gt;=DW$5,$E94&lt;DW$5+GanttPeriod),"◇","")),IF(AND(DW$5&lt;=$F94,DW$5+GanttPeriod-1&gt;=$E94),"━","")))</f>
        <v/>
      </c>
      <c r="DX94" s="69" t="str">
        <f aca="false">IF($E94="","",IF($M94,IF(AND($G94&gt;=DX$5,$G94&lt;DX$5+GanttPeriod),"◆",IF(AND($E94&gt;=DX$5,$E94&lt;DX$5+GanttPeriod),"◇","")),IF(AND(DX$5&lt;=$F94,DX$5+GanttPeriod-1&gt;=$E94),"━","")))</f>
        <v/>
      </c>
      <c r="DY94" s="69" t="str">
        <f aca="false">IF($E94="","",IF($M94,IF(AND($G94&gt;=DY$5,$G94&lt;DY$5+GanttPeriod),"◆",IF(AND($E94&gt;=DY$5,$E94&lt;DY$5+GanttPeriod),"◇","")),IF(AND(DY$5&lt;=$F94,DY$5+GanttPeriod-1&gt;=$E94),"━","")))</f>
        <v/>
      </c>
      <c r="DZ94" s="69" t="str">
        <f aca="false">IF($E94="","",IF($M94,IF(AND($G94&gt;=DZ$5,$G94&lt;DZ$5+GanttPeriod),"◆",IF(AND($E94&gt;=DZ$5,$E94&lt;DZ$5+GanttPeriod),"◇","")),IF(AND(DZ$5&lt;=$F94,DZ$5+GanttPeriod-1&gt;=$E94),"━","")))</f>
        <v/>
      </c>
      <c r="EA94" s="69" t="str">
        <f aca="false">IF($E94="","",IF($M94,IF(AND($G94&gt;=EA$5,$G94&lt;EA$5+GanttPeriod),"◆",IF(AND($E94&gt;=EA$5,$E94&lt;EA$5+GanttPeriod),"◇","")),IF(AND(EA$5&lt;=$F94,EA$5+GanttPeriod-1&gt;=$E94),"━","")))</f>
        <v/>
      </c>
      <c r="EB94" s="69" t="str">
        <f aca="false">IF($E94="","",IF($M94,IF(AND($G94&gt;=EB$5,$G94&lt;EB$5+GanttPeriod),"◆",IF(AND($E94&gt;=EB$5,$E94&lt;EB$5+GanttPeriod),"◇","")),IF(AND(EB$5&lt;=$F94,EB$5+GanttPeriod-1&gt;=$E94),"━","")))</f>
        <v/>
      </c>
      <c r="EC94" s="69" t="str">
        <f aca="false">IF($E94="","",IF($M94,IF(AND($G94&gt;=EC$5,$G94&lt;EC$5+GanttPeriod),"◆",IF(AND($E94&gt;=EC$5,$E94&lt;EC$5+GanttPeriod),"◇","")),IF(AND(EC$5&lt;=$F94,EC$5+GanttPeriod-1&gt;=$E94),"━","")))</f>
        <v/>
      </c>
      <c r="ED94" s="69" t="str">
        <f aca="false">IF($E94="","",IF($M94,IF(AND($G94&gt;=ED$5,$G94&lt;ED$5+GanttPeriod),"◆",IF(AND($E94&gt;=ED$5,$E94&lt;ED$5+GanttPeriod),"◇","")),IF(AND(ED$5&lt;=$F94,ED$5+GanttPeriod-1&gt;=$E94),"━","")))</f>
        <v/>
      </c>
      <c r="EE94" s="69" t="str">
        <f aca="false">IF($E94="","",IF($M94,IF(AND($G94&gt;=EE$5,$G94&lt;EE$5+GanttPeriod),"◆",IF(AND($E94&gt;=EE$5,$E94&lt;EE$5+GanttPeriod),"◇","")),IF(AND(EE$5&lt;=$F94,EE$5+GanttPeriod-1&gt;=$E94),"━","")))</f>
        <v/>
      </c>
      <c r="EF94" s="69" t="str">
        <f aca="false">IF($E94="","",IF($M94,IF(AND($G94&gt;=EF$5,$G94&lt;EF$5+GanttPeriod),"◆",IF(AND($E94&gt;=EF$5,$E94&lt;EF$5+GanttPeriod),"◇","")),IF(AND(EF$5&lt;=$F94,EF$5+GanttPeriod-1&gt;=$E94),"━","")))</f>
        <v/>
      </c>
      <c r="EG94" s="69" t="str">
        <f aca="false">IF($E94="","",IF($M94,IF(AND($G94&gt;=EG$5,$G94&lt;EG$5+GanttPeriod),"◆",IF(AND($E94&gt;=EG$5,$E94&lt;EG$5+GanttPeriod),"◇","")),IF(AND(EG$5&lt;=$F94,EG$5+GanttPeriod-1&gt;=$E94),"━","")))</f>
        <v/>
      </c>
      <c r="EH94" s="69" t="str">
        <f aca="false">IF($E94="","",IF($M94,IF(AND($G94&gt;=EH$5,$G94&lt;EH$5+GanttPeriod),"◆",IF(AND($E94&gt;=EH$5,$E94&lt;EH$5+GanttPeriod),"◇","")),IF(AND(EH$5&lt;=$F94,EH$5+GanttPeriod-1&gt;=$E94),"━","")))</f>
        <v/>
      </c>
      <c r="EI94" s="69" t="str">
        <f aca="false">IF($E94="","",IF($M94,IF(AND($G94&gt;=EI$5,$G94&lt;EI$5+GanttPeriod),"◆",IF(AND($E94&gt;=EI$5,$E94&lt;EI$5+GanttPeriod),"◇","")),IF(AND(EI$5&lt;=$F94,EI$5+GanttPeriod-1&gt;=$E94),"━","")))</f>
        <v/>
      </c>
      <c r="EJ94" s="69" t="str">
        <f aca="false">IF($E94="","",IF($M94,IF(AND($G94&gt;=EJ$5,$G94&lt;EJ$5+GanttPeriod),"◆",IF(AND($E94&gt;=EJ$5,$E94&lt;EJ$5+GanttPeriod),"◇","")),IF(AND(EJ$5&lt;=$F94,EJ$5+GanttPeriod-1&gt;=$E94),"━","")))</f>
        <v/>
      </c>
      <c r="EK94" s="69" t="str">
        <f aca="false">IF($E94="","",IF($M94,IF(AND($G94&gt;=EK$5,$G94&lt;EK$5+GanttPeriod),"◆",IF(AND($E94&gt;=EK$5,$E94&lt;EK$5+GanttPeriod),"◇","")),IF(AND(EK$5&lt;=$F94,EK$5+GanttPeriod-1&gt;=$E94),"━","")))</f>
        <v/>
      </c>
      <c r="EL94" s="69" t="str">
        <f aca="false">IF($E94="","",IF($M94,IF(AND($G94&gt;=EL$5,$G94&lt;EL$5+GanttPeriod),"◆",IF(AND($E94&gt;=EL$5,$E94&lt;EL$5+GanttPeriod),"◇","")),IF(AND(EL$5&lt;=$F94,EL$5+GanttPeriod-1&gt;=$E94),"━","")))</f>
        <v/>
      </c>
      <c r="EM94" s="69" t="str">
        <f aca="false">IF($E94="","",IF($M94,IF(AND($G94&gt;=EM$5,$G94&lt;EM$5+GanttPeriod),"◆",IF(AND($E94&gt;=EM$5,$E94&lt;EM$5+GanttPeriod),"◇","")),IF(AND(EM$5&lt;=$F94,EM$5+GanttPeriod-1&gt;=$E94),"━","")))</f>
        <v/>
      </c>
      <c r="EN94" s="69" t="str">
        <f aca="false">IF($E94="","",IF($M94,IF(AND($G94&gt;=EN$5,$G94&lt;EN$5+GanttPeriod),"◆",IF(AND($E94&gt;=EN$5,$E94&lt;EN$5+GanttPeriod),"◇","")),IF(AND(EN$5&lt;=$F94,EN$5+GanttPeriod-1&gt;=$E94),"━","")))</f>
        <v/>
      </c>
      <c r="EO94" s="69" t="str">
        <f aca="false">IF($E94="","",IF($M94,IF(AND($G94&gt;=EO$5,$G94&lt;EO$5+GanttPeriod),"◆",IF(AND($E94&gt;=EO$5,$E94&lt;EO$5+GanttPeriod),"◇","")),IF(AND(EO$5&lt;=$F94,EO$5+GanttPeriod-1&gt;=$E94),"━","")))</f>
        <v/>
      </c>
      <c r="EP94" s="69" t="str">
        <f aca="false">IF($E94="","",IF($M94,IF(AND($G94&gt;=EP$5,$G94&lt;EP$5+GanttPeriod),"◆",IF(AND($E94&gt;=EP$5,$E94&lt;EP$5+GanttPeriod),"◇","")),IF(AND(EP$5&lt;=$F94,EP$5+GanttPeriod-1&gt;=$E94),"━","")))</f>
        <v/>
      </c>
      <c r="EQ94" s="69" t="str">
        <f aca="false">IF($E94="","",IF($M94,IF(AND($G94&gt;=EQ$5,$G94&lt;EQ$5+GanttPeriod),"◆",IF(AND($E94&gt;=EQ$5,$E94&lt;EQ$5+GanttPeriod),"◇","")),IF(AND(EQ$5&lt;=$F94,EQ$5+GanttPeriod-1&gt;=$E94),"━","")))</f>
        <v/>
      </c>
      <c r="ER94" s="69" t="str">
        <f aca="false">IF($E94="","",IF($M94,IF(AND($G94&gt;=ER$5,$G94&lt;ER$5+GanttPeriod),"◆",IF(AND($E94&gt;=ER$5,$E94&lt;ER$5+GanttPeriod),"◇","")),IF(AND(ER$5&lt;=$F94,ER$5+GanttPeriod-1&gt;=$E94),"━","")))</f>
        <v/>
      </c>
      <c r="ES94" s="69" t="str">
        <f aca="false">IF($E94="","",IF($M94,IF(AND($G94&gt;=ES$5,$G94&lt;ES$5+GanttPeriod),"◆",IF(AND($E94&gt;=ES$5,$E94&lt;ES$5+GanttPeriod),"◇","")),IF(AND(ES$5&lt;=$F94,ES$5+GanttPeriod-1&gt;=$E94),"━","")))</f>
        <v/>
      </c>
      <c r="ET94" s="69" t="str">
        <f aca="false">IF($E94="","",IF($M94,IF(AND($G94&gt;=ET$5,$G94&lt;ET$5+GanttPeriod),"◆",IF(AND($E94&gt;=ET$5,$E94&lt;ET$5+GanttPeriod),"◇","")),IF(AND(ET$5&lt;=$F94,ET$5+GanttPeriod-1&gt;=$E94),"━","")))</f>
        <v/>
      </c>
      <c r="EU94" s="69" t="str">
        <f aca="false">IF($E94="","",IF($M94,IF(AND($G94&gt;=EU$5,$G94&lt;EU$5+GanttPeriod),"◆",IF(AND($E94&gt;=EU$5,$E94&lt;EU$5+GanttPeriod),"◇","")),IF(AND(EU$5&lt;=$F94,EU$5+GanttPeriod-1&gt;=$E94),"━","")))</f>
        <v/>
      </c>
      <c r="EV94" s="69" t="str">
        <f aca="false">IF($E94="","",IF($M94,IF(AND($G94&gt;=EV$5,$G94&lt;EV$5+GanttPeriod),"◆",IF(AND($E94&gt;=EV$5,$E94&lt;EV$5+GanttPeriod),"◇","")),IF(AND(EV$5&lt;=$F94,EV$5+GanttPeriod-1&gt;=$E94),"━","")))</f>
        <v/>
      </c>
      <c r="EW94" s="69" t="str">
        <f aca="false">IF($E94="","",IF($M94,IF(AND($G94&gt;=EW$5,$G94&lt;EW$5+GanttPeriod),"◆",IF(AND($E94&gt;=EW$5,$E94&lt;EW$5+GanttPeriod),"◇","")),IF(AND(EW$5&lt;=$F94,EW$5+GanttPeriod-1&gt;=$E94),"━","")))</f>
        <v/>
      </c>
      <c r="EX94" s="69" t="str">
        <f aca="false">IF($E94="","",IF($M94,IF(AND($G94&gt;=EX$5,$G94&lt;EX$5+GanttPeriod),"◆",IF(AND($E94&gt;=EX$5,$E94&lt;EX$5+GanttPeriod),"◇","")),IF(AND(EX$5&lt;=$F94,EX$5+GanttPeriod-1&gt;=$E94),"━","")))</f>
        <v/>
      </c>
      <c r="EY94" s="69" t="str">
        <f aca="false">IF($E94="","",IF($M94,IF(AND($G94&gt;=EY$5,$G94&lt;EY$5+GanttPeriod),"◆",IF(AND($E94&gt;=EY$5,$E94&lt;EY$5+GanttPeriod),"◇","")),IF(AND(EY$5&lt;=$F94,EY$5+GanttPeriod-1&gt;=$E94),"━","")))</f>
        <v/>
      </c>
      <c r="EZ94" s="69" t="str">
        <f aca="false">IF($E94="","",IF($M94,IF(AND($G94&gt;=EZ$5,$G94&lt;EZ$5+GanttPeriod),"◆",IF(AND($E94&gt;=EZ$5,$E94&lt;EZ$5+GanttPeriod),"◇","")),IF(AND(EZ$5&lt;=$F94,EZ$5+GanttPeriod-1&gt;=$E94),"━","")))</f>
        <v/>
      </c>
      <c r="FA94" s="69" t="str">
        <f aca="false">IF($E94="","",IF($M94,IF(AND($G94&gt;=FA$5,$G94&lt;FA$5+GanttPeriod),"◆",IF(AND($E94&gt;=FA$5,$E94&lt;FA$5+GanttPeriod),"◇","")),IF(AND(FA$5&lt;=$F94,FA$5+GanttPeriod-1&gt;=$E94),"━","")))</f>
        <v/>
      </c>
      <c r="FB94" s="69" t="str">
        <f aca="false">IF($E94="","",IF($M94,IF(AND($G94&gt;=FB$5,$G94&lt;FB$5+GanttPeriod),"◆",IF(AND($E94&gt;=FB$5,$E94&lt;FB$5+GanttPeriod),"◇","")),IF(AND(FB$5&lt;=$F94,FB$5+GanttPeriod-1&gt;=$E94),"━","")))</f>
        <v/>
      </c>
      <c r="FC94" s="69" t="str">
        <f aca="false">IF($E94="","",IF($M94,IF(AND($G94&gt;=FC$5,$G94&lt;FC$5+GanttPeriod),"◆",IF(AND($E94&gt;=FC$5,$E94&lt;FC$5+GanttPeriod),"◇","")),IF(AND(FC$5&lt;=$F94,FC$5+GanttPeriod-1&gt;=$E94),"━","")))</f>
        <v/>
      </c>
      <c r="FD94" s="69" t="str">
        <f aca="false">IF($E94="","",IF($M94,IF(AND($G94&gt;=FD$5,$G94&lt;FD$5+GanttPeriod),"◆",IF(AND($E94&gt;=FD$5,$E94&lt;FD$5+GanttPeriod),"◇","")),IF(AND(FD$5&lt;=$F94,FD$5+GanttPeriod-1&gt;=$E94),"━","")))</f>
        <v/>
      </c>
      <c r="FE94" s="69" t="str">
        <f aca="false">IF($E94="","",IF($M94,IF(AND($G94&gt;=FE$5,$G94&lt;FE$5+GanttPeriod),"◆",IF(AND($E94&gt;=FE$5,$E94&lt;FE$5+GanttPeriod),"◇","")),IF(AND(FE$5&lt;=$F94,FE$5+GanttPeriod-1&gt;=$E94),"━","")))</f>
        <v/>
      </c>
      <c r="FF94" s="69" t="str">
        <f aca="false">IF($E94="","",IF($M94,IF(AND($G94&gt;=FF$5,$G94&lt;FF$5+GanttPeriod),"◆",IF(AND($E94&gt;=FF$5,$E94&lt;FF$5+GanttPeriod),"◇","")),IF(AND(FF$5&lt;=$F94,FF$5+GanttPeriod-1&gt;=$E94),"━","")))</f>
        <v/>
      </c>
      <c r="FG94" s="69" t="str">
        <f aca="false">IF($E94="","",IF($M94,IF(AND($G94&gt;=FG$5,$G94&lt;FG$5+GanttPeriod),"◆",IF(AND($E94&gt;=FG$5,$E94&lt;FG$5+GanttPeriod),"◇","")),IF(AND(FG$5&lt;=$F94,FG$5+GanttPeriod-1&gt;=$E94),"━","")))</f>
        <v/>
      </c>
      <c r="FH94" s="69" t="str">
        <f aca="false">IF($E94="","",IF($M94,IF(AND($G94&gt;=FH$5,$G94&lt;FH$5+GanttPeriod),"◆",IF(AND($E94&gt;=FH$5,$E94&lt;FH$5+GanttPeriod),"◇","")),IF(AND(FH$5&lt;=$F94,FH$5+GanttPeriod-1&gt;=$E94),"━","")))</f>
        <v/>
      </c>
      <c r="FI94" s="69" t="str">
        <f aca="false">IF($E94="","",IF($M94,IF(AND($G94&gt;=FI$5,$G94&lt;FI$5+GanttPeriod),"◆",IF(AND($E94&gt;=FI$5,$E94&lt;FI$5+GanttPeriod),"◇","")),IF(AND(FI$5&lt;=$F94,FI$5+GanttPeriod-1&gt;=$E94),"━","")))</f>
        <v/>
      </c>
      <c r="FJ94" s="69" t="str">
        <f aca="false">IF($E94="","",IF($M94,IF(AND($G94&gt;=FJ$5,$G94&lt;FJ$5+GanttPeriod),"◆",IF(AND($E94&gt;=FJ$5,$E94&lt;FJ$5+GanttPeriod),"◇","")),IF(AND(FJ$5&lt;=$F94,FJ$5+GanttPeriod-1&gt;=$E94),"━","")))</f>
        <v/>
      </c>
      <c r="FK94" s="69" t="str">
        <f aca="false">IF($E94="","",IF($M94,IF(AND($G94&gt;=FK$5,$G94&lt;FK$5+GanttPeriod),"◆",IF(AND($E94&gt;=FK$5,$E94&lt;FK$5+GanttPeriod),"◇","")),IF(AND(FK$5&lt;=$F94,FK$5+GanttPeriod-1&gt;=$E94),"━","")))</f>
        <v/>
      </c>
      <c r="FL94" s="69" t="str">
        <f aca="false">IF($E94="","",IF($M94,IF(AND($G94&gt;=FL$5,$G94&lt;FL$5+GanttPeriod),"◆",IF(AND($E94&gt;=FL$5,$E94&lt;FL$5+GanttPeriod),"◇","")),IF(AND(FL$5&lt;=$F94,FL$5+GanttPeriod-1&gt;=$E94),"━","")))</f>
        <v/>
      </c>
      <c r="FM94" s="69" t="str">
        <f aca="false">IF($E94="","",IF($M94,IF(AND($G94&gt;=FM$5,$G94&lt;FM$5+GanttPeriod),"◆",IF(AND($E94&gt;=FM$5,$E94&lt;FM$5+GanttPeriod),"◇","")),IF(AND(FM$5&lt;=$F94,FM$5+GanttPeriod-1&gt;=$E94),"━","")))</f>
        <v/>
      </c>
    </row>
    <row r="95" customFormat="false" ht="15" hidden="false" customHeight="false" outlineLevel="0" collapsed="false">
      <c r="A95" s="62" t="str">
        <f aca="false">IF(Tasks!$D95="","",Tasks!$A95)</f>
        <v/>
      </c>
      <c r="B95" s="62" t="str">
        <f aca="false">IF(Tasks!$D95="","",Tasks!$B95)</f>
        <v/>
      </c>
      <c r="C95" s="63" t="str">
        <f aca="false">IF(Tasks!$D95="","",REPT("    ",Tasks!$AE95-1)&amp;Tasks!$D95)</f>
        <v/>
      </c>
      <c r="D95" s="62" t="str">
        <f aca="false">IF(Tasks!$D95="","",IF(Tasks!$AI95,NETWORKDAYS.INTL(Tasks!$R95,Tasks!$S95,WorkWeek,Holidays),N(Tasks!$F95)))</f>
        <v/>
      </c>
      <c r="E95" s="64" t="str">
        <f aca="false">IF(Tasks!$D95="","",Tasks!$N95)</f>
        <v/>
      </c>
      <c r="F95" s="64" t="str">
        <f aca="false">IF(Tasks!$D95="","",Tasks!$O95)</f>
        <v/>
      </c>
      <c r="G95" s="64" t="str">
        <f aca="false">IF(Tasks!$D95="","",Tasks!$R95)</f>
        <v/>
      </c>
      <c r="H95" s="64" t="str">
        <f aca="false">IF(Tasks!$D95="","",Tasks!$S95)</f>
        <v/>
      </c>
      <c r="I95" s="65" t="str">
        <f aca="false">IF(Tasks!$D95="","",Tasks!$V95)</f>
        <v/>
      </c>
      <c r="J95" s="63" t="str">
        <f aca="false">IF(Tasks!$D95="","",Tasks!$X95&amp;"")</f>
        <v/>
      </c>
      <c r="K95" s="66" t="str">
        <f aca="false">IF(Tasks!$D95="","",Tasks!$W95)</f>
        <v/>
      </c>
      <c r="L95" s="67" t="b">
        <f aca="false">IF(Tasks!$D95="",FALSE(),Tasks!$AI95)</f>
        <v>0</v>
      </c>
      <c r="M95" s="67" t="b">
        <f aca="false">AND(Tasks!$AJ95=1,N(Tasks!$F95)=0)</f>
        <v>0</v>
      </c>
      <c r="N95" s="68" t="n">
        <f aca="false">IF(AND(Tasks!$AJ95=1,NOT($M95),N($I95)&gt;0),$G95,0)</f>
        <v>0</v>
      </c>
      <c r="O95" s="68" t="n">
        <f aca="false">IF($N95=0,0,IF($I95&gt;=1,$H95,MAX($N95,$G95+ROUND(($H95-$G95+1)*$I95,0)-1)))</f>
        <v>0</v>
      </c>
      <c r="P95" s="68" t="n">
        <f aca="false">IF(OR(Tasks!$AJ95&lt;&gt;1,$M95,N($I95)&gt;=1),0,IF($O95&gt;0,$O95+1,$G95))</f>
        <v>0</v>
      </c>
      <c r="Q95" s="68" t="n">
        <f aca="false">IF($P95=0,0,$H95)</f>
        <v>0</v>
      </c>
      <c r="R95" s="67" t="b">
        <f aca="false">AND(Tasks!$D95&lt;&gt;"",N(Tasks!$T95)&gt;0)</f>
        <v>0</v>
      </c>
      <c r="T95" s="69" t="str">
        <f aca="false">IF($E95="","",IF($M95,IF(AND($G95&gt;=T$5,$G95&lt;T$5+GanttPeriod),"◆",IF(AND($E95&gt;=T$5,$E95&lt;T$5+GanttPeriod),"◇","")),IF(AND(T$5&lt;=$F95,T$5+GanttPeriod-1&gt;=$E95),"━","")))</f>
        <v/>
      </c>
      <c r="U95" s="69" t="str">
        <f aca="false">IF($E95="","",IF($M95,IF(AND($G95&gt;=U$5,$G95&lt;U$5+GanttPeriod),"◆",IF(AND($E95&gt;=U$5,$E95&lt;U$5+GanttPeriod),"◇","")),IF(AND(U$5&lt;=$F95,U$5+GanttPeriod-1&gt;=$E95),"━","")))</f>
        <v/>
      </c>
      <c r="V95" s="69" t="str">
        <f aca="false">IF($E95="","",IF($M95,IF(AND($G95&gt;=V$5,$G95&lt;V$5+GanttPeriod),"◆",IF(AND($E95&gt;=V$5,$E95&lt;V$5+GanttPeriod),"◇","")),IF(AND(V$5&lt;=$F95,V$5+GanttPeriod-1&gt;=$E95),"━","")))</f>
        <v/>
      </c>
      <c r="W95" s="69" t="str">
        <f aca="false">IF($E95="","",IF($M95,IF(AND($G95&gt;=W$5,$G95&lt;W$5+GanttPeriod),"◆",IF(AND($E95&gt;=W$5,$E95&lt;W$5+GanttPeriod),"◇","")),IF(AND(W$5&lt;=$F95,W$5+GanttPeriod-1&gt;=$E95),"━","")))</f>
        <v/>
      </c>
      <c r="X95" s="69" t="str">
        <f aca="false">IF($E95="","",IF($M95,IF(AND($G95&gt;=X$5,$G95&lt;X$5+GanttPeriod),"◆",IF(AND($E95&gt;=X$5,$E95&lt;X$5+GanttPeriod),"◇","")),IF(AND(X$5&lt;=$F95,X$5+GanttPeriod-1&gt;=$E95),"━","")))</f>
        <v/>
      </c>
      <c r="Y95" s="69" t="str">
        <f aca="false">IF($E95="","",IF($M95,IF(AND($G95&gt;=Y$5,$G95&lt;Y$5+GanttPeriod),"◆",IF(AND($E95&gt;=Y$5,$E95&lt;Y$5+GanttPeriod),"◇","")),IF(AND(Y$5&lt;=$F95,Y$5+GanttPeriod-1&gt;=$E95),"━","")))</f>
        <v/>
      </c>
      <c r="Z95" s="69" t="str">
        <f aca="false">IF($E95="","",IF($M95,IF(AND($G95&gt;=Z$5,$G95&lt;Z$5+GanttPeriod),"◆",IF(AND($E95&gt;=Z$5,$E95&lt;Z$5+GanttPeriod),"◇","")),IF(AND(Z$5&lt;=$F95,Z$5+GanttPeriod-1&gt;=$E95),"━","")))</f>
        <v/>
      </c>
      <c r="AA95" s="69" t="str">
        <f aca="false">IF($E95="","",IF($M95,IF(AND($G95&gt;=AA$5,$G95&lt;AA$5+GanttPeriod),"◆",IF(AND($E95&gt;=AA$5,$E95&lt;AA$5+GanttPeriod),"◇","")),IF(AND(AA$5&lt;=$F95,AA$5+GanttPeriod-1&gt;=$E95),"━","")))</f>
        <v/>
      </c>
      <c r="AB95" s="69" t="str">
        <f aca="false">IF($E95="","",IF($M95,IF(AND($G95&gt;=AB$5,$G95&lt;AB$5+GanttPeriod),"◆",IF(AND($E95&gt;=AB$5,$E95&lt;AB$5+GanttPeriod),"◇","")),IF(AND(AB$5&lt;=$F95,AB$5+GanttPeriod-1&gt;=$E95),"━","")))</f>
        <v/>
      </c>
      <c r="AC95" s="69" t="str">
        <f aca="false">IF($E95="","",IF($M95,IF(AND($G95&gt;=AC$5,$G95&lt;AC$5+GanttPeriod),"◆",IF(AND($E95&gt;=AC$5,$E95&lt;AC$5+GanttPeriod),"◇","")),IF(AND(AC$5&lt;=$F95,AC$5+GanttPeriod-1&gt;=$E95),"━","")))</f>
        <v/>
      </c>
      <c r="AD95" s="69" t="str">
        <f aca="false">IF($E95="","",IF($M95,IF(AND($G95&gt;=AD$5,$G95&lt;AD$5+GanttPeriod),"◆",IF(AND($E95&gt;=AD$5,$E95&lt;AD$5+GanttPeriod),"◇","")),IF(AND(AD$5&lt;=$F95,AD$5+GanttPeriod-1&gt;=$E95),"━","")))</f>
        <v/>
      </c>
      <c r="AE95" s="69" t="str">
        <f aca="false">IF($E95="","",IF($M95,IF(AND($G95&gt;=AE$5,$G95&lt;AE$5+GanttPeriod),"◆",IF(AND($E95&gt;=AE$5,$E95&lt;AE$5+GanttPeriod),"◇","")),IF(AND(AE$5&lt;=$F95,AE$5+GanttPeriod-1&gt;=$E95),"━","")))</f>
        <v/>
      </c>
      <c r="AF95" s="69" t="str">
        <f aca="false">IF($E95="","",IF($M95,IF(AND($G95&gt;=AF$5,$G95&lt;AF$5+GanttPeriod),"◆",IF(AND($E95&gt;=AF$5,$E95&lt;AF$5+GanttPeriod),"◇","")),IF(AND(AF$5&lt;=$F95,AF$5+GanttPeriod-1&gt;=$E95),"━","")))</f>
        <v/>
      </c>
      <c r="AG95" s="69" t="str">
        <f aca="false">IF($E95="","",IF($M95,IF(AND($G95&gt;=AG$5,$G95&lt;AG$5+GanttPeriod),"◆",IF(AND($E95&gt;=AG$5,$E95&lt;AG$5+GanttPeriod),"◇","")),IF(AND(AG$5&lt;=$F95,AG$5+GanttPeriod-1&gt;=$E95),"━","")))</f>
        <v/>
      </c>
      <c r="AH95" s="69" t="str">
        <f aca="false">IF($E95="","",IF($M95,IF(AND($G95&gt;=AH$5,$G95&lt;AH$5+GanttPeriod),"◆",IF(AND($E95&gt;=AH$5,$E95&lt;AH$5+GanttPeriod),"◇","")),IF(AND(AH$5&lt;=$F95,AH$5+GanttPeriod-1&gt;=$E95),"━","")))</f>
        <v/>
      </c>
      <c r="AI95" s="69" t="str">
        <f aca="false">IF($E95="","",IF($M95,IF(AND($G95&gt;=AI$5,$G95&lt;AI$5+GanttPeriod),"◆",IF(AND($E95&gt;=AI$5,$E95&lt;AI$5+GanttPeriod),"◇","")),IF(AND(AI$5&lt;=$F95,AI$5+GanttPeriod-1&gt;=$E95),"━","")))</f>
        <v/>
      </c>
      <c r="AJ95" s="69" t="str">
        <f aca="false">IF($E95="","",IF($M95,IF(AND($G95&gt;=AJ$5,$G95&lt;AJ$5+GanttPeriod),"◆",IF(AND($E95&gt;=AJ$5,$E95&lt;AJ$5+GanttPeriod),"◇","")),IF(AND(AJ$5&lt;=$F95,AJ$5+GanttPeriod-1&gt;=$E95),"━","")))</f>
        <v/>
      </c>
      <c r="AK95" s="69" t="str">
        <f aca="false">IF($E95="","",IF($M95,IF(AND($G95&gt;=AK$5,$G95&lt;AK$5+GanttPeriod),"◆",IF(AND($E95&gt;=AK$5,$E95&lt;AK$5+GanttPeriod),"◇","")),IF(AND(AK$5&lt;=$F95,AK$5+GanttPeriod-1&gt;=$E95),"━","")))</f>
        <v/>
      </c>
      <c r="AL95" s="69" t="str">
        <f aca="false">IF($E95="","",IF($M95,IF(AND($G95&gt;=AL$5,$G95&lt;AL$5+GanttPeriod),"◆",IF(AND($E95&gt;=AL$5,$E95&lt;AL$5+GanttPeriod),"◇","")),IF(AND(AL$5&lt;=$F95,AL$5+GanttPeriod-1&gt;=$E95),"━","")))</f>
        <v/>
      </c>
      <c r="AM95" s="69" t="str">
        <f aca="false">IF($E95="","",IF($M95,IF(AND($G95&gt;=AM$5,$G95&lt;AM$5+GanttPeriod),"◆",IF(AND($E95&gt;=AM$5,$E95&lt;AM$5+GanttPeriod),"◇","")),IF(AND(AM$5&lt;=$F95,AM$5+GanttPeriod-1&gt;=$E95),"━","")))</f>
        <v/>
      </c>
      <c r="AN95" s="69" t="str">
        <f aca="false">IF($E95="","",IF($M95,IF(AND($G95&gt;=AN$5,$G95&lt;AN$5+GanttPeriod),"◆",IF(AND($E95&gt;=AN$5,$E95&lt;AN$5+GanttPeriod),"◇","")),IF(AND(AN$5&lt;=$F95,AN$5+GanttPeriod-1&gt;=$E95),"━","")))</f>
        <v/>
      </c>
      <c r="AO95" s="69" t="str">
        <f aca="false">IF($E95="","",IF($M95,IF(AND($G95&gt;=AO$5,$G95&lt;AO$5+GanttPeriod),"◆",IF(AND($E95&gt;=AO$5,$E95&lt;AO$5+GanttPeriod),"◇","")),IF(AND(AO$5&lt;=$F95,AO$5+GanttPeriod-1&gt;=$E95),"━","")))</f>
        <v/>
      </c>
      <c r="AP95" s="69" t="str">
        <f aca="false">IF($E95="","",IF($M95,IF(AND($G95&gt;=AP$5,$G95&lt;AP$5+GanttPeriod),"◆",IF(AND($E95&gt;=AP$5,$E95&lt;AP$5+GanttPeriod),"◇","")),IF(AND(AP$5&lt;=$F95,AP$5+GanttPeriod-1&gt;=$E95),"━","")))</f>
        <v/>
      </c>
      <c r="AQ95" s="69" t="str">
        <f aca="false">IF($E95="","",IF($M95,IF(AND($G95&gt;=AQ$5,$G95&lt;AQ$5+GanttPeriod),"◆",IF(AND($E95&gt;=AQ$5,$E95&lt;AQ$5+GanttPeriod),"◇","")),IF(AND(AQ$5&lt;=$F95,AQ$5+GanttPeriod-1&gt;=$E95),"━","")))</f>
        <v/>
      </c>
      <c r="AR95" s="69" t="str">
        <f aca="false">IF($E95="","",IF($M95,IF(AND($G95&gt;=AR$5,$G95&lt;AR$5+GanttPeriod),"◆",IF(AND($E95&gt;=AR$5,$E95&lt;AR$5+GanttPeriod),"◇","")),IF(AND(AR$5&lt;=$F95,AR$5+GanttPeriod-1&gt;=$E95),"━","")))</f>
        <v/>
      </c>
      <c r="AS95" s="69" t="str">
        <f aca="false">IF($E95="","",IF($M95,IF(AND($G95&gt;=AS$5,$G95&lt;AS$5+GanttPeriod),"◆",IF(AND($E95&gt;=AS$5,$E95&lt;AS$5+GanttPeriod),"◇","")),IF(AND(AS$5&lt;=$F95,AS$5+GanttPeriod-1&gt;=$E95),"━","")))</f>
        <v/>
      </c>
      <c r="AT95" s="69" t="str">
        <f aca="false">IF($E95="","",IF($M95,IF(AND($G95&gt;=AT$5,$G95&lt;AT$5+GanttPeriod),"◆",IF(AND($E95&gt;=AT$5,$E95&lt;AT$5+GanttPeriod),"◇","")),IF(AND(AT$5&lt;=$F95,AT$5+GanttPeriod-1&gt;=$E95),"━","")))</f>
        <v/>
      </c>
      <c r="AU95" s="69" t="str">
        <f aca="false">IF($E95="","",IF($M95,IF(AND($G95&gt;=AU$5,$G95&lt;AU$5+GanttPeriod),"◆",IF(AND($E95&gt;=AU$5,$E95&lt;AU$5+GanttPeriod),"◇","")),IF(AND(AU$5&lt;=$F95,AU$5+GanttPeriod-1&gt;=$E95),"━","")))</f>
        <v/>
      </c>
      <c r="AV95" s="69" t="str">
        <f aca="false">IF($E95="","",IF($M95,IF(AND($G95&gt;=AV$5,$G95&lt;AV$5+GanttPeriod),"◆",IF(AND($E95&gt;=AV$5,$E95&lt;AV$5+GanttPeriod),"◇","")),IF(AND(AV$5&lt;=$F95,AV$5+GanttPeriod-1&gt;=$E95),"━","")))</f>
        <v/>
      </c>
      <c r="AW95" s="69" t="str">
        <f aca="false">IF($E95="","",IF($M95,IF(AND($G95&gt;=AW$5,$G95&lt;AW$5+GanttPeriod),"◆",IF(AND($E95&gt;=AW$5,$E95&lt;AW$5+GanttPeriod),"◇","")),IF(AND(AW$5&lt;=$F95,AW$5+GanttPeriod-1&gt;=$E95),"━","")))</f>
        <v/>
      </c>
      <c r="AX95" s="69" t="str">
        <f aca="false">IF($E95="","",IF($M95,IF(AND($G95&gt;=AX$5,$G95&lt;AX$5+GanttPeriod),"◆",IF(AND($E95&gt;=AX$5,$E95&lt;AX$5+GanttPeriod),"◇","")),IF(AND(AX$5&lt;=$F95,AX$5+GanttPeriod-1&gt;=$E95),"━","")))</f>
        <v/>
      </c>
      <c r="AY95" s="69" t="str">
        <f aca="false">IF($E95="","",IF($M95,IF(AND($G95&gt;=AY$5,$G95&lt;AY$5+GanttPeriod),"◆",IF(AND($E95&gt;=AY$5,$E95&lt;AY$5+GanttPeriod),"◇","")),IF(AND(AY$5&lt;=$F95,AY$5+GanttPeriod-1&gt;=$E95),"━","")))</f>
        <v/>
      </c>
      <c r="AZ95" s="69" t="str">
        <f aca="false">IF($E95="","",IF($M95,IF(AND($G95&gt;=AZ$5,$G95&lt;AZ$5+GanttPeriod),"◆",IF(AND($E95&gt;=AZ$5,$E95&lt;AZ$5+GanttPeriod),"◇","")),IF(AND(AZ$5&lt;=$F95,AZ$5+GanttPeriod-1&gt;=$E95),"━","")))</f>
        <v/>
      </c>
      <c r="BA95" s="69" t="str">
        <f aca="false">IF($E95="","",IF($M95,IF(AND($G95&gt;=BA$5,$G95&lt;BA$5+GanttPeriod),"◆",IF(AND($E95&gt;=BA$5,$E95&lt;BA$5+GanttPeriod),"◇","")),IF(AND(BA$5&lt;=$F95,BA$5+GanttPeriod-1&gt;=$E95),"━","")))</f>
        <v/>
      </c>
      <c r="BB95" s="69" t="str">
        <f aca="false">IF($E95="","",IF($M95,IF(AND($G95&gt;=BB$5,$G95&lt;BB$5+GanttPeriod),"◆",IF(AND($E95&gt;=BB$5,$E95&lt;BB$5+GanttPeriod),"◇","")),IF(AND(BB$5&lt;=$F95,BB$5+GanttPeriod-1&gt;=$E95),"━","")))</f>
        <v/>
      </c>
      <c r="BC95" s="69" t="str">
        <f aca="false">IF($E95="","",IF($M95,IF(AND($G95&gt;=BC$5,$G95&lt;BC$5+GanttPeriod),"◆",IF(AND($E95&gt;=BC$5,$E95&lt;BC$5+GanttPeriod),"◇","")),IF(AND(BC$5&lt;=$F95,BC$5+GanttPeriod-1&gt;=$E95),"━","")))</f>
        <v/>
      </c>
      <c r="BD95" s="69" t="str">
        <f aca="false">IF($E95="","",IF($M95,IF(AND($G95&gt;=BD$5,$G95&lt;BD$5+GanttPeriod),"◆",IF(AND($E95&gt;=BD$5,$E95&lt;BD$5+GanttPeriod),"◇","")),IF(AND(BD$5&lt;=$F95,BD$5+GanttPeriod-1&gt;=$E95),"━","")))</f>
        <v/>
      </c>
      <c r="BE95" s="69" t="str">
        <f aca="false">IF($E95="","",IF($M95,IF(AND($G95&gt;=BE$5,$G95&lt;BE$5+GanttPeriod),"◆",IF(AND($E95&gt;=BE$5,$E95&lt;BE$5+GanttPeriod),"◇","")),IF(AND(BE$5&lt;=$F95,BE$5+GanttPeriod-1&gt;=$E95),"━","")))</f>
        <v/>
      </c>
      <c r="BF95" s="69" t="str">
        <f aca="false">IF($E95="","",IF($M95,IF(AND($G95&gt;=BF$5,$G95&lt;BF$5+GanttPeriod),"◆",IF(AND($E95&gt;=BF$5,$E95&lt;BF$5+GanttPeriod),"◇","")),IF(AND(BF$5&lt;=$F95,BF$5+GanttPeriod-1&gt;=$E95),"━","")))</f>
        <v/>
      </c>
      <c r="BG95" s="69" t="str">
        <f aca="false">IF($E95="","",IF($M95,IF(AND($G95&gt;=BG$5,$G95&lt;BG$5+GanttPeriod),"◆",IF(AND($E95&gt;=BG$5,$E95&lt;BG$5+GanttPeriod),"◇","")),IF(AND(BG$5&lt;=$F95,BG$5+GanttPeriod-1&gt;=$E95),"━","")))</f>
        <v/>
      </c>
      <c r="BH95" s="69" t="str">
        <f aca="false">IF($E95="","",IF($M95,IF(AND($G95&gt;=BH$5,$G95&lt;BH$5+GanttPeriod),"◆",IF(AND($E95&gt;=BH$5,$E95&lt;BH$5+GanttPeriod),"◇","")),IF(AND(BH$5&lt;=$F95,BH$5+GanttPeriod-1&gt;=$E95),"━","")))</f>
        <v/>
      </c>
      <c r="BI95" s="69" t="str">
        <f aca="false">IF($E95="","",IF($M95,IF(AND($G95&gt;=BI$5,$G95&lt;BI$5+GanttPeriod),"◆",IF(AND($E95&gt;=BI$5,$E95&lt;BI$5+GanttPeriod),"◇","")),IF(AND(BI$5&lt;=$F95,BI$5+GanttPeriod-1&gt;=$E95),"━","")))</f>
        <v/>
      </c>
      <c r="BJ95" s="69" t="str">
        <f aca="false">IF($E95="","",IF($M95,IF(AND($G95&gt;=BJ$5,$G95&lt;BJ$5+GanttPeriod),"◆",IF(AND($E95&gt;=BJ$5,$E95&lt;BJ$5+GanttPeriod),"◇","")),IF(AND(BJ$5&lt;=$F95,BJ$5+GanttPeriod-1&gt;=$E95),"━","")))</f>
        <v/>
      </c>
      <c r="BK95" s="69" t="str">
        <f aca="false">IF($E95="","",IF($M95,IF(AND($G95&gt;=BK$5,$G95&lt;BK$5+GanttPeriod),"◆",IF(AND($E95&gt;=BK$5,$E95&lt;BK$5+GanttPeriod),"◇","")),IF(AND(BK$5&lt;=$F95,BK$5+GanttPeriod-1&gt;=$E95),"━","")))</f>
        <v/>
      </c>
      <c r="BL95" s="69" t="str">
        <f aca="false">IF($E95="","",IF($M95,IF(AND($G95&gt;=BL$5,$G95&lt;BL$5+GanttPeriod),"◆",IF(AND($E95&gt;=BL$5,$E95&lt;BL$5+GanttPeriod),"◇","")),IF(AND(BL$5&lt;=$F95,BL$5+GanttPeriod-1&gt;=$E95),"━","")))</f>
        <v/>
      </c>
      <c r="BM95" s="69" t="str">
        <f aca="false">IF($E95="","",IF($M95,IF(AND($G95&gt;=BM$5,$G95&lt;BM$5+GanttPeriod),"◆",IF(AND($E95&gt;=BM$5,$E95&lt;BM$5+GanttPeriod),"◇","")),IF(AND(BM$5&lt;=$F95,BM$5+GanttPeriod-1&gt;=$E95),"━","")))</f>
        <v/>
      </c>
      <c r="BN95" s="69" t="str">
        <f aca="false">IF($E95="","",IF($M95,IF(AND($G95&gt;=BN$5,$G95&lt;BN$5+GanttPeriod),"◆",IF(AND($E95&gt;=BN$5,$E95&lt;BN$5+GanttPeriod),"◇","")),IF(AND(BN$5&lt;=$F95,BN$5+GanttPeriod-1&gt;=$E95),"━","")))</f>
        <v/>
      </c>
      <c r="BO95" s="69" t="str">
        <f aca="false">IF($E95="","",IF($M95,IF(AND($G95&gt;=BO$5,$G95&lt;BO$5+GanttPeriod),"◆",IF(AND($E95&gt;=BO$5,$E95&lt;BO$5+GanttPeriod),"◇","")),IF(AND(BO$5&lt;=$F95,BO$5+GanttPeriod-1&gt;=$E95),"━","")))</f>
        <v/>
      </c>
      <c r="BP95" s="69" t="str">
        <f aca="false">IF($E95="","",IF($M95,IF(AND($G95&gt;=BP$5,$G95&lt;BP$5+GanttPeriod),"◆",IF(AND($E95&gt;=BP$5,$E95&lt;BP$5+GanttPeriod),"◇","")),IF(AND(BP$5&lt;=$F95,BP$5+GanttPeriod-1&gt;=$E95),"━","")))</f>
        <v/>
      </c>
      <c r="BQ95" s="69" t="str">
        <f aca="false">IF($E95="","",IF($M95,IF(AND($G95&gt;=BQ$5,$G95&lt;BQ$5+GanttPeriod),"◆",IF(AND($E95&gt;=BQ$5,$E95&lt;BQ$5+GanttPeriod),"◇","")),IF(AND(BQ$5&lt;=$F95,BQ$5+GanttPeriod-1&gt;=$E95),"━","")))</f>
        <v/>
      </c>
      <c r="BR95" s="69" t="str">
        <f aca="false">IF($E95="","",IF($M95,IF(AND($G95&gt;=BR$5,$G95&lt;BR$5+GanttPeriod),"◆",IF(AND($E95&gt;=BR$5,$E95&lt;BR$5+GanttPeriod),"◇","")),IF(AND(BR$5&lt;=$F95,BR$5+GanttPeriod-1&gt;=$E95),"━","")))</f>
        <v/>
      </c>
      <c r="BS95" s="69" t="str">
        <f aca="false">IF($E95="","",IF($M95,IF(AND($G95&gt;=BS$5,$G95&lt;BS$5+GanttPeriod),"◆",IF(AND($E95&gt;=BS$5,$E95&lt;BS$5+GanttPeriod),"◇","")),IF(AND(BS$5&lt;=$F95,BS$5+GanttPeriod-1&gt;=$E95),"━","")))</f>
        <v/>
      </c>
      <c r="BT95" s="69" t="str">
        <f aca="false">IF($E95="","",IF($M95,IF(AND($G95&gt;=BT$5,$G95&lt;BT$5+GanttPeriod),"◆",IF(AND($E95&gt;=BT$5,$E95&lt;BT$5+GanttPeriod),"◇","")),IF(AND(BT$5&lt;=$F95,BT$5+GanttPeriod-1&gt;=$E95),"━","")))</f>
        <v/>
      </c>
      <c r="BU95" s="69" t="str">
        <f aca="false">IF($E95="","",IF($M95,IF(AND($G95&gt;=BU$5,$G95&lt;BU$5+GanttPeriod),"◆",IF(AND($E95&gt;=BU$5,$E95&lt;BU$5+GanttPeriod),"◇","")),IF(AND(BU$5&lt;=$F95,BU$5+GanttPeriod-1&gt;=$E95),"━","")))</f>
        <v/>
      </c>
      <c r="BV95" s="69" t="str">
        <f aca="false">IF($E95="","",IF($M95,IF(AND($G95&gt;=BV$5,$G95&lt;BV$5+GanttPeriod),"◆",IF(AND($E95&gt;=BV$5,$E95&lt;BV$5+GanttPeriod),"◇","")),IF(AND(BV$5&lt;=$F95,BV$5+GanttPeriod-1&gt;=$E95),"━","")))</f>
        <v/>
      </c>
      <c r="BW95" s="69" t="str">
        <f aca="false">IF($E95="","",IF($M95,IF(AND($G95&gt;=BW$5,$G95&lt;BW$5+GanttPeriod),"◆",IF(AND($E95&gt;=BW$5,$E95&lt;BW$5+GanttPeriod),"◇","")),IF(AND(BW$5&lt;=$F95,BW$5+GanttPeriod-1&gt;=$E95),"━","")))</f>
        <v/>
      </c>
      <c r="BX95" s="69" t="str">
        <f aca="false">IF($E95="","",IF($M95,IF(AND($G95&gt;=BX$5,$G95&lt;BX$5+GanttPeriod),"◆",IF(AND($E95&gt;=BX$5,$E95&lt;BX$5+GanttPeriod),"◇","")),IF(AND(BX$5&lt;=$F95,BX$5+GanttPeriod-1&gt;=$E95),"━","")))</f>
        <v/>
      </c>
      <c r="BY95" s="69" t="str">
        <f aca="false">IF($E95="","",IF($M95,IF(AND($G95&gt;=BY$5,$G95&lt;BY$5+GanttPeriod),"◆",IF(AND($E95&gt;=BY$5,$E95&lt;BY$5+GanttPeriod),"◇","")),IF(AND(BY$5&lt;=$F95,BY$5+GanttPeriod-1&gt;=$E95),"━","")))</f>
        <v/>
      </c>
      <c r="BZ95" s="69" t="str">
        <f aca="false">IF($E95="","",IF($M95,IF(AND($G95&gt;=BZ$5,$G95&lt;BZ$5+GanttPeriod),"◆",IF(AND($E95&gt;=BZ$5,$E95&lt;BZ$5+GanttPeriod),"◇","")),IF(AND(BZ$5&lt;=$F95,BZ$5+GanttPeriod-1&gt;=$E95),"━","")))</f>
        <v/>
      </c>
      <c r="CA95" s="69" t="str">
        <f aca="false">IF($E95="","",IF($M95,IF(AND($G95&gt;=CA$5,$G95&lt;CA$5+GanttPeriod),"◆",IF(AND($E95&gt;=CA$5,$E95&lt;CA$5+GanttPeriod),"◇","")),IF(AND(CA$5&lt;=$F95,CA$5+GanttPeriod-1&gt;=$E95),"━","")))</f>
        <v/>
      </c>
      <c r="CB95" s="69" t="str">
        <f aca="false">IF($E95="","",IF($M95,IF(AND($G95&gt;=CB$5,$G95&lt;CB$5+GanttPeriod),"◆",IF(AND($E95&gt;=CB$5,$E95&lt;CB$5+GanttPeriod),"◇","")),IF(AND(CB$5&lt;=$F95,CB$5+GanttPeriod-1&gt;=$E95),"━","")))</f>
        <v/>
      </c>
      <c r="CC95" s="69" t="str">
        <f aca="false">IF($E95="","",IF($M95,IF(AND($G95&gt;=CC$5,$G95&lt;CC$5+GanttPeriod),"◆",IF(AND($E95&gt;=CC$5,$E95&lt;CC$5+GanttPeriod),"◇","")),IF(AND(CC$5&lt;=$F95,CC$5+GanttPeriod-1&gt;=$E95),"━","")))</f>
        <v/>
      </c>
      <c r="CD95" s="69" t="str">
        <f aca="false">IF($E95="","",IF($M95,IF(AND($G95&gt;=CD$5,$G95&lt;CD$5+GanttPeriod),"◆",IF(AND($E95&gt;=CD$5,$E95&lt;CD$5+GanttPeriod),"◇","")),IF(AND(CD$5&lt;=$F95,CD$5+GanttPeriod-1&gt;=$E95),"━","")))</f>
        <v/>
      </c>
      <c r="CE95" s="69" t="str">
        <f aca="false">IF($E95="","",IF($M95,IF(AND($G95&gt;=CE$5,$G95&lt;CE$5+GanttPeriod),"◆",IF(AND($E95&gt;=CE$5,$E95&lt;CE$5+GanttPeriod),"◇","")),IF(AND(CE$5&lt;=$F95,CE$5+GanttPeriod-1&gt;=$E95),"━","")))</f>
        <v/>
      </c>
      <c r="CF95" s="69" t="str">
        <f aca="false">IF($E95="","",IF($M95,IF(AND($G95&gt;=CF$5,$G95&lt;CF$5+GanttPeriod),"◆",IF(AND($E95&gt;=CF$5,$E95&lt;CF$5+GanttPeriod),"◇","")),IF(AND(CF$5&lt;=$F95,CF$5+GanttPeriod-1&gt;=$E95),"━","")))</f>
        <v/>
      </c>
      <c r="CG95" s="69" t="str">
        <f aca="false">IF($E95="","",IF($M95,IF(AND($G95&gt;=CG$5,$G95&lt;CG$5+GanttPeriod),"◆",IF(AND($E95&gt;=CG$5,$E95&lt;CG$5+GanttPeriod),"◇","")),IF(AND(CG$5&lt;=$F95,CG$5+GanttPeriod-1&gt;=$E95),"━","")))</f>
        <v/>
      </c>
      <c r="CH95" s="69" t="str">
        <f aca="false">IF($E95="","",IF($M95,IF(AND($G95&gt;=CH$5,$G95&lt;CH$5+GanttPeriod),"◆",IF(AND($E95&gt;=CH$5,$E95&lt;CH$5+GanttPeriod),"◇","")),IF(AND(CH$5&lt;=$F95,CH$5+GanttPeriod-1&gt;=$E95),"━","")))</f>
        <v/>
      </c>
      <c r="CI95" s="69" t="str">
        <f aca="false">IF($E95="","",IF($M95,IF(AND($G95&gt;=CI$5,$G95&lt;CI$5+GanttPeriod),"◆",IF(AND($E95&gt;=CI$5,$E95&lt;CI$5+GanttPeriod),"◇","")),IF(AND(CI$5&lt;=$F95,CI$5+GanttPeriod-1&gt;=$E95),"━","")))</f>
        <v/>
      </c>
      <c r="CJ95" s="69" t="str">
        <f aca="false">IF($E95="","",IF($M95,IF(AND($G95&gt;=CJ$5,$G95&lt;CJ$5+GanttPeriod),"◆",IF(AND($E95&gt;=CJ$5,$E95&lt;CJ$5+GanttPeriod),"◇","")),IF(AND(CJ$5&lt;=$F95,CJ$5+GanttPeriod-1&gt;=$E95),"━","")))</f>
        <v/>
      </c>
      <c r="CK95" s="69" t="str">
        <f aca="false">IF($E95="","",IF($M95,IF(AND($G95&gt;=CK$5,$G95&lt;CK$5+GanttPeriod),"◆",IF(AND($E95&gt;=CK$5,$E95&lt;CK$5+GanttPeriod),"◇","")),IF(AND(CK$5&lt;=$F95,CK$5+GanttPeriod-1&gt;=$E95),"━","")))</f>
        <v/>
      </c>
      <c r="CL95" s="69" t="str">
        <f aca="false">IF($E95="","",IF($M95,IF(AND($G95&gt;=CL$5,$G95&lt;CL$5+GanttPeriod),"◆",IF(AND($E95&gt;=CL$5,$E95&lt;CL$5+GanttPeriod),"◇","")),IF(AND(CL$5&lt;=$F95,CL$5+GanttPeriod-1&gt;=$E95),"━","")))</f>
        <v/>
      </c>
      <c r="CM95" s="69" t="str">
        <f aca="false">IF($E95="","",IF($M95,IF(AND($G95&gt;=CM$5,$G95&lt;CM$5+GanttPeriod),"◆",IF(AND($E95&gt;=CM$5,$E95&lt;CM$5+GanttPeriod),"◇","")),IF(AND(CM$5&lt;=$F95,CM$5+GanttPeriod-1&gt;=$E95),"━","")))</f>
        <v/>
      </c>
      <c r="CN95" s="69" t="str">
        <f aca="false">IF($E95="","",IF($M95,IF(AND($G95&gt;=CN$5,$G95&lt;CN$5+GanttPeriod),"◆",IF(AND($E95&gt;=CN$5,$E95&lt;CN$5+GanttPeriod),"◇","")),IF(AND(CN$5&lt;=$F95,CN$5+GanttPeriod-1&gt;=$E95),"━","")))</f>
        <v/>
      </c>
      <c r="CO95" s="69" t="str">
        <f aca="false">IF($E95="","",IF($M95,IF(AND($G95&gt;=CO$5,$G95&lt;CO$5+GanttPeriod),"◆",IF(AND($E95&gt;=CO$5,$E95&lt;CO$5+GanttPeriod),"◇","")),IF(AND(CO$5&lt;=$F95,CO$5+GanttPeriod-1&gt;=$E95),"━","")))</f>
        <v/>
      </c>
      <c r="CP95" s="69" t="str">
        <f aca="false">IF($E95="","",IF($M95,IF(AND($G95&gt;=CP$5,$G95&lt;CP$5+GanttPeriod),"◆",IF(AND($E95&gt;=CP$5,$E95&lt;CP$5+GanttPeriod),"◇","")),IF(AND(CP$5&lt;=$F95,CP$5+GanttPeriod-1&gt;=$E95),"━","")))</f>
        <v/>
      </c>
      <c r="CQ95" s="69" t="str">
        <f aca="false">IF($E95="","",IF($M95,IF(AND($G95&gt;=CQ$5,$G95&lt;CQ$5+GanttPeriod),"◆",IF(AND($E95&gt;=CQ$5,$E95&lt;CQ$5+GanttPeriod),"◇","")),IF(AND(CQ$5&lt;=$F95,CQ$5+GanttPeriod-1&gt;=$E95),"━","")))</f>
        <v/>
      </c>
      <c r="CR95" s="69" t="str">
        <f aca="false">IF($E95="","",IF($M95,IF(AND($G95&gt;=CR$5,$G95&lt;CR$5+GanttPeriod),"◆",IF(AND($E95&gt;=CR$5,$E95&lt;CR$5+GanttPeriod),"◇","")),IF(AND(CR$5&lt;=$F95,CR$5+GanttPeriod-1&gt;=$E95),"━","")))</f>
        <v/>
      </c>
      <c r="CS95" s="69" t="str">
        <f aca="false">IF($E95="","",IF($M95,IF(AND($G95&gt;=CS$5,$G95&lt;CS$5+GanttPeriod),"◆",IF(AND($E95&gt;=CS$5,$E95&lt;CS$5+GanttPeriod),"◇","")),IF(AND(CS$5&lt;=$F95,CS$5+GanttPeriod-1&gt;=$E95),"━","")))</f>
        <v/>
      </c>
      <c r="CT95" s="69" t="str">
        <f aca="false">IF($E95="","",IF($M95,IF(AND($G95&gt;=CT$5,$G95&lt;CT$5+GanttPeriod),"◆",IF(AND($E95&gt;=CT$5,$E95&lt;CT$5+GanttPeriod),"◇","")),IF(AND(CT$5&lt;=$F95,CT$5+GanttPeriod-1&gt;=$E95),"━","")))</f>
        <v/>
      </c>
      <c r="CU95" s="69" t="str">
        <f aca="false">IF($E95="","",IF($M95,IF(AND($G95&gt;=CU$5,$G95&lt;CU$5+GanttPeriod),"◆",IF(AND($E95&gt;=CU$5,$E95&lt;CU$5+GanttPeriod),"◇","")),IF(AND(CU$5&lt;=$F95,CU$5+GanttPeriod-1&gt;=$E95),"━","")))</f>
        <v/>
      </c>
      <c r="CV95" s="69" t="str">
        <f aca="false">IF($E95="","",IF($M95,IF(AND($G95&gt;=CV$5,$G95&lt;CV$5+GanttPeriod),"◆",IF(AND($E95&gt;=CV$5,$E95&lt;CV$5+GanttPeriod),"◇","")),IF(AND(CV$5&lt;=$F95,CV$5+GanttPeriod-1&gt;=$E95),"━","")))</f>
        <v/>
      </c>
      <c r="CW95" s="69" t="str">
        <f aca="false">IF($E95="","",IF($M95,IF(AND($G95&gt;=CW$5,$G95&lt;CW$5+GanttPeriod),"◆",IF(AND($E95&gt;=CW$5,$E95&lt;CW$5+GanttPeriod),"◇","")),IF(AND(CW$5&lt;=$F95,CW$5+GanttPeriod-1&gt;=$E95),"━","")))</f>
        <v/>
      </c>
      <c r="CX95" s="69" t="str">
        <f aca="false">IF($E95="","",IF($M95,IF(AND($G95&gt;=CX$5,$G95&lt;CX$5+GanttPeriod),"◆",IF(AND($E95&gt;=CX$5,$E95&lt;CX$5+GanttPeriod),"◇","")),IF(AND(CX$5&lt;=$F95,CX$5+GanttPeriod-1&gt;=$E95),"━","")))</f>
        <v/>
      </c>
      <c r="CY95" s="69" t="str">
        <f aca="false">IF($E95="","",IF($M95,IF(AND($G95&gt;=CY$5,$G95&lt;CY$5+GanttPeriod),"◆",IF(AND($E95&gt;=CY$5,$E95&lt;CY$5+GanttPeriod),"◇","")),IF(AND(CY$5&lt;=$F95,CY$5+GanttPeriod-1&gt;=$E95),"━","")))</f>
        <v/>
      </c>
      <c r="CZ95" s="69" t="str">
        <f aca="false">IF($E95="","",IF($M95,IF(AND($G95&gt;=CZ$5,$G95&lt;CZ$5+GanttPeriod),"◆",IF(AND($E95&gt;=CZ$5,$E95&lt;CZ$5+GanttPeriod),"◇","")),IF(AND(CZ$5&lt;=$F95,CZ$5+GanttPeriod-1&gt;=$E95),"━","")))</f>
        <v/>
      </c>
      <c r="DA95" s="69" t="str">
        <f aca="false">IF($E95="","",IF($M95,IF(AND($G95&gt;=DA$5,$G95&lt;DA$5+GanttPeriod),"◆",IF(AND($E95&gt;=DA$5,$E95&lt;DA$5+GanttPeriod),"◇","")),IF(AND(DA$5&lt;=$F95,DA$5+GanttPeriod-1&gt;=$E95),"━","")))</f>
        <v/>
      </c>
      <c r="DB95" s="69" t="str">
        <f aca="false">IF($E95="","",IF($M95,IF(AND($G95&gt;=DB$5,$G95&lt;DB$5+GanttPeriod),"◆",IF(AND($E95&gt;=DB$5,$E95&lt;DB$5+GanttPeriod),"◇","")),IF(AND(DB$5&lt;=$F95,DB$5+GanttPeriod-1&gt;=$E95),"━","")))</f>
        <v/>
      </c>
      <c r="DC95" s="69" t="str">
        <f aca="false">IF($E95="","",IF($M95,IF(AND($G95&gt;=DC$5,$G95&lt;DC$5+GanttPeriod),"◆",IF(AND($E95&gt;=DC$5,$E95&lt;DC$5+GanttPeriod),"◇","")),IF(AND(DC$5&lt;=$F95,DC$5+GanttPeriod-1&gt;=$E95),"━","")))</f>
        <v/>
      </c>
      <c r="DD95" s="69" t="str">
        <f aca="false">IF($E95="","",IF($M95,IF(AND($G95&gt;=DD$5,$G95&lt;DD$5+GanttPeriod),"◆",IF(AND($E95&gt;=DD$5,$E95&lt;DD$5+GanttPeriod),"◇","")),IF(AND(DD$5&lt;=$F95,DD$5+GanttPeriod-1&gt;=$E95),"━","")))</f>
        <v/>
      </c>
      <c r="DE95" s="69" t="str">
        <f aca="false">IF($E95="","",IF($M95,IF(AND($G95&gt;=DE$5,$G95&lt;DE$5+GanttPeriod),"◆",IF(AND($E95&gt;=DE$5,$E95&lt;DE$5+GanttPeriod),"◇","")),IF(AND(DE$5&lt;=$F95,DE$5+GanttPeriod-1&gt;=$E95),"━","")))</f>
        <v/>
      </c>
      <c r="DF95" s="69" t="str">
        <f aca="false">IF($E95="","",IF($M95,IF(AND($G95&gt;=DF$5,$G95&lt;DF$5+GanttPeriod),"◆",IF(AND($E95&gt;=DF$5,$E95&lt;DF$5+GanttPeriod),"◇","")),IF(AND(DF$5&lt;=$F95,DF$5+GanttPeriod-1&gt;=$E95),"━","")))</f>
        <v/>
      </c>
      <c r="DG95" s="69" t="str">
        <f aca="false">IF($E95="","",IF($M95,IF(AND($G95&gt;=DG$5,$G95&lt;DG$5+GanttPeriod),"◆",IF(AND($E95&gt;=DG$5,$E95&lt;DG$5+GanttPeriod),"◇","")),IF(AND(DG$5&lt;=$F95,DG$5+GanttPeriod-1&gt;=$E95),"━","")))</f>
        <v/>
      </c>
      <c r="DH95" s="69" t="str">
        <f aca="false">IF($E95="","",IF($M95,IF(AND($G95&gt;=DH$5,$G95&lt;DH$5+GanttPeriod),"◆",IF(AND($E95&gt;=DH$5,$E95&lt;DH$5+GanttPeriod),"◇","")),IF(AND(DH$5&lt;=$F95,DH$5+GanttPeriod-1&gt;=$E95),"━","")))</f>
        <v/>
      </c>
      <c r="DI95" s="69" t="str">
        <f aca="false">IF($E95="","",IF($M95,IF(AND($G95&gt;=DI$5,$G95&lt;DI$5+GanttPeriod),"◆",IF(AND($E95&gt;=DI$5,$E95&lt;DI$5+GanttPeriod),"◇","")),IF(AND(DI$5&lt;=$F95,DI$5+GanttPeriod-1&gt;=$E95),"━","")))</f>
        <v/>
      </c>
      <c r="DJ95" s="69" t="str">
        <f aca="false">IF($E95="","",IF($M95,IF(AND($G95&gt;=DJ$5,$G95&lt;DJ$5+GanttPeriod),"◆",IF(AND($E95&gt;=DJ$5,$E95&lt;DJ$5+GanttPeriod),"◇","")),IF(AND(DJ$5&lt;=$F95,DJ$5+GanttPeriod-1&gt;=$E95),"━","")))</f>
        <v/>
      </c>
      <c r="DK95" s="69" t="str">
        <f aca="false">IF($E95="","",IF($M95,IF(AND($G95&gt;=DK$5,$G95&lt;DK$5+GanttPeriod),"◆",IF(AND($E95&gt;=DK$5,$E95&lt;DK$5+GanttPeriod),"◇","")),IF(AND(DK$5&lt;=$F95,DK$5+GanttPeriod-1&gt;=$E95),"━","")))</f>
        <v/>
      </c>
      <c r="DL95" s="69" t="str">
        <f aca="false">IF($E95="","",IF($M95,IF(AND($G95&gt;=DL$5,$G95&lt;DL$5+GanttPeriod),"◆",IF(AND($E95&gt;=DL$5,$E95&lt;DL$5+GanttPeriod),"◇","")),IF(AND(DL$5&lt;=$F95,DL$5+GanttPeriod-1&gt;=$E95),"━","")))</f>
        <v/>
      </c>
      <c r="DM95" s="69" t="str">
        <f aca="false">IF($E95="","",IF($M95,IF(AND($G95&gt;=DM$5,$G95&lt;DM$5+GanttPeriod),"◆",IF(AND($E95&gt;=DM$5,$E95&lt;DM$5+GanttPeriod),"◇","")),IF(AND(DM$5&lt;=$F95,DM$5+GanttPeriod-1&gt;=$E95),"━","")))</f>
        <v/>
      </c>
      <c r="DN95" s="69" t="str">
        <f aca="false">IF($E95="","",IF($M95,IF(AND($G95&gt;=DN$5,$G95&lt;DN$5+GanttPeriod),"◆",IF(AND($E95&gt;=DN$5,$E95&lt;DN$5+GanttPeriod),"◇","")),IF(AND(DN$5&lt;=$F95,DN$5+GanttPeriod-1&gt;=$E95),"━","")))</f>
        <v/>
      </c>
      <c r="DO95" s="69" t="str">
        <f aca="false">IF($E95="","",IF($M95,IF(AND($G95&gt;=DO$5,$G95&lt;DO$5+GanttPeriod),"◆",IF(AND($E95&gt;=DO$5,$E95&lt;DO$5+GanttPeriod),"◇","")),IF(AND(DO$5&lt;=$F95,DO$5+GanttPeriod-1&gt;=$E95),"━","")))</f>
        <v/>
      </c>
      <c r="DP95" s="69" t="str">
        <f aca="false">IF($E95="","",IF($M95,IF(AND($G95&gt;=DP$5,$G95&lt;DP$5+GanttPeriod),"◆",IF(AND($E95&gt;=DP$5,$E95&lt;DP$5+GanttPeriod),"◇","")),IF(AND(DP$5&lt;=$F95,DP$5+GanttPeriod-1&gt;=$E95),"━","")))</f>
        <v/>
      </c>
      <c r="DQ95" s="69" t="str">
        <f aca="false">IF($E95="","",IF($M95,IF(AND($G95&gt;=DQ$5,$G95&lt;DQ$5+GanttPeriod),"◆",IF(AND($E95&gt;=DQ$5,$E95&lt;DQ$5+GanttPeriod),"◇","")),IF(AND(DQ$5&lt;=$F95,DQ$5+GanttPeriod-1&gt;=$E95),"━","")))</f>
        <v/>
      </c>
      <c r="DR95" s="69" t="str">
        <f aca="false">IF($E95="","",IF($M95,IF(AND($G95&gt;=DR$5,$G95&lt;DR$5+GanttPeriod),"◆",IF(AND($E95&gt;=DR$5,$E95&lt;DR$5+GanttPeriod),"◇","")),IF(AND(DR$5&lt;=$F95,DR$5+GanttPeriod-1&gt;=$E95),"━","")))</f>
        <v/>
      </c>
      <c r="DS95" s="69" t="str">
        <f aca="false">IF($E95="","",IF($M95,IF(AND($G95&gt;=DS$5,$G95&lt;DS$5+GanttPeriod),"◆",IF(AND($E95&gt;=DS$5,$E95&lt;DS$5+GanttPeriod),"◇","")),IF(AND(DS$5&lt;=$F95,DS$5+GanttPeriod-1&gt;=$E95),"━","")))</f>
        <v/>
      </c>
      <c r="DT95" s="69" t="str">
        <f aca="false">IF($E95="","",IF($M95,IF(AND($G95&gt;=DT$5,$G95&lt;DT$5+GanttPeriod),"◆",IF(AND($E95&gt;=DT$5,$E95&lt;DT$5+GanttPeriod),"◇","")),IF(AND(DT$5&lt;=$F95,DT$5+GanttPeriod-1&gt;=$E95),"━","")))</f>
        <v/>
      </c>
      <c r="DU95" s="69" t="str">
        <f aca="false">IF($E95="","",IF($M95,IF(AND($G95&gt;=DU$5,$G95&lt;DU$5+GanttPeriod),"◆",IF(AND($E95&gt;=DU$5,$E95&lt;DU$5+GanttPeriod),"◇","")),IF(AND(DU$5&lt;=$F95,DU$5+GanttPeriod-1&gt;=$E95),"━","")))</f>
        <v/>
      </c>
      <c r="DV95" s="69" t="str">
        <f aca="false">IF($E95="","",IF($M95,IF(AND($G95&gt;=DV$5,$G95&lt;DV$5+GanttPeriod),"◆",IF(AND($E95&gt;=DV$5,$E95&lt;DV$5+GanttPeriod),"◇","")),IF(AND(DV$5&lt;=$F95,DV$5+GanttPeriod-1&gt;=$E95),"━","")))</f>
        <v/>
      </c>
      <c r="DW95" s="69" t="str">
        <f aca="false">IF($E95="","",IF($M95,IF(AND($G95&gt;=DW$5,$G95&lt;DW$5+GanttPeriod),"◆",IF(AND($E95&gt;=DW$5,$E95&lt;DW$5+GanttPeriod),"◇","")),IF(AND(DW$5&lt;=$F95,DW$5+GanttPeriod-1&gt;=$E95),"━","")))</f>
        <v/>
      </c>
      <c r="DX95" s="69" t="str">
        <f aca="false">IF($E95="","",IF($M95,IF(AND($G95&gt;=DX$5,$G95&lt;DX$5+GanttPeriod),"◆",IF(AND($E95&gt;=DX$5,$E95&lt;DX$5+GanttPeriod),"◇","")),IF(AND(DX$5&lt;=$F95,DX$5+GanttPeriod-1&gt;=$E95),"━","")))</f>
        <v/>
      </c>
      <c r="DY95" s="69" t="str">
        <f aca="false">IF($E95="","",IF($M95,IF(AND($G95&gt;=DY$5,$G95&lt;DY$5+GanttPeriod),"◆",IF(AND($E95&gt;=DY$5,$E95&lt;DY$5+GanttPeriod),"◇","")),IF(AND(DY$5&lt;=$F95,DY$5+GanttPeriod-1&gt;=$E95),"━","")))</f>
        <v/>
      </c>
      <c r="DZ95" s="69" t="str">
        <f aca="false">IF($E95="","",IF($M95,IF(AND($G95&gt;=DZ$5,$G95&lt;DZ$5+GanttPeriod),"◆",IF(AND($E95&gt;=DZ$5,$E95&lt;DZ$5+GanttPeriod),"◇","")),IF(AND(DZ$5&lt;=$F95,DZ$5+GanttPeriod-1&gt;=$E95),"━","")))</f>
        <v/>
      </c>
      <c r="EA95" s="69" t="str">
        <f aca="false">IF($E95="","",IF($M95,IF(AND($G95&gt;=EA$5,$G95&lt;EA$5+GanttPeriod),"◆",IF(AND($E95&gt;=EA$5,$E95&lt;EA$5+GanttPeriod),"◇","")),IF(AND(EA$5&lt;=$F95,EA$5+GanttPeriod-1&gt;=$E95),"━","")))</f>
        <v/>
      </c>
      <c r="EB95" s="69" t="str">
        <f aca="false">IF($E95="","",IF($M95,IF(AND($G95&gt;=EB$5,$G95&lt;EB$5+GanttPeriod),"◆",IF(AND($E95&gt;=EB$5,$E95&lt;EB$5+GanttPeriod),"◇","")),IF(AND(EB$5&lt;=$F95,EB$5+GanttPeriod-1&gt;=$E95),"━","")))</f>
        <v/>
      </c>
      <c r="EC95" s="69" t="str">
        <f aca="false">IF($E95="","",IF($M95,IF(AND($G95&gt;=EC$5,$G95&lt;EC$5+GanttPeriod),"◆",IF(AND($E95&gt;=EC$5,$E95&lt;EC$5+GanttPeriod),"◇","")),IF(AND(EC$5&lt;=$F95,EC$5+GanttPeriod-1&gt;=$E95),"━","")))</f>
        <v/>
      </c>
      <c r="ED95" s="69" t="str">
        <f aca="false">IF($E95="","",IF($M95,IF(AND($G95&gt;=ED$5,$G95&lt;ED$5+GanttPeriod),"◆",IF(AND($E95&gt;=ED$5,$E95&lt;ED$5+GanttPeriod),"◇","")),IF(AND(ED$5&lt;=$F95,ED$5+GanttPeriod-1&gt;=$E95),"━","")))</f>
        <v/>
      </c>
      <c r="EE95" s="69" t="str">
        <f aca="false">IF($E95="","",IF($M95,IF(AND($G95&gt;=EE$5,$G95&lt;EE$5+GanttPeriod),"◆",IF(AND($E95&gt;=EE$5,$E95&lt;EE$5+GanttPeriod),"◇","")),IF(AND(EE$5&lt;=$F95,EE$5+GanttPeriod-1&gt;=$E95),"━","")))</f>
        <v/>
      </c>
      <c r="EF95" s="69" t="str">
        <f aca="false">IF($E95="","",IF($M95,IF(AND($G95&gt;=EF$5,$G95&lt;EF$5+GanttPeriod),"◆",IF(AND($E95&gt;=EF$5,$E95&lt;EF$5+GanttPeriod),"◇","")),IF(AND(EF$5&lt;=$F95,EF$5+GanttPeriod-1&gt;=$E95),"━","")))</f>
        <v/>
      </c>
      <c r="EG95" s="69" t="str">
        <f aca="false">IF($E95="","",IF($M95,IF(AND($G95&gt;=EG$5,$G95&lt;EG$5+GanttPeriod),"◆",IF(AND($E95&gt;=EG$5,$E95&lt;EG$5+GanttPeriod),"◇","")),IF(AND(EG$5&lt;=$F95,EG$5+GanttPeriod-1&gt;=$E95),"━","")))</f>
        <v/>
      </c>
      <c r="EH95" s="69" t="str">
        <f aca="false">IF($E95="","",IF($M95,IF(AND($G95&gt;=EH$5,$G95&lt;EH$5+GanttPeriod),"◆",IF(AND($E95&gt;=EH$5,$E95&lt;EH$5+GanttPeriod),"◇","")),IF(AND(EH$5&lt;=$F95,EH$5+GanttPeriod-1&gt;=$E95),"━","")))</f>
        <v/>
      </c>
      <c r="EI95" s="69" t="str">
        <f aca="false">IF($E95="","",IF($M95,IF(AND($G95&gt;=EI$5,$G95&lt;EI$5+GanttPeriod),"◆",IF(AND($E95&gt;=EI$5,$E95&lt;EI$5+GanttPeriod),"◇","")),IF(AND(EI$5&lt;=$F95,EI$5+GanttPeriod-1&gt;=$E95),"━","")))</f>
        <v/>
      </c>
      <c r="EJ95" s="69" t="str">
        <f aca="false">IF($E95="","",IF($M95,IF(AND($G95&gt;=EJ$5,$G95&lt;EJ$5+GanttPeriod),"◆",IF(AND($E95&gt;=EJ$5,$E95&lt;EJ$5+GanttPeriod),"◇","")),IF(AND(EJ$5&lt;=$F95,EJ$5+GanttPeriod-1&gt;=$E95),"━","")))</f>
        <v/>
      </c>
      <c r="EK95" s="69" t="str">
        <f aca="false">IF($E95="","",IF($M95,IF(AND($G95&gt;=EK$5,$G95&lt;EK$5+GanttPeriod),"◆",IF(AND($E95&gt;=EK$5,$E95&lt;EK$5+GanttPeriod),"◇","")),IF(AND(EK$5&lt;=$F95,EK$5+GanttPeriod-1&gt;=$E95),"━","")))</f>
        <v/>
      </c>
      <c r="EL95" s="69" t="str">
        <f aca="false">IF($E95="","",IF($M95,IF(AND($G95&gt;=EL$5,$G95&lt;EL$5+GanttPeriod),"◆",IF(AND($E95&gt;=EL$5,$E95&lt;EL$5+GanttPeriod),"◇","")),IF(AND(EL$5&lt;=$F95,EL$5+GanttPeriod-1&gt;=$E95),"━","")))</f>
        <v/>
      </c>
      <c r="EM95" s="69" t="str">
        <f aca="false">IF($E95="","",IF($M95,IF(AND($G95&gt;=EM$5,$G95&lt;EM$5+GanttPeriod),"◆",IF(AND($E95&gt;=EM$5,$E95&lt;EM$5+GanttPeriod),"◇","")),IF(AND(EM$5&lt;=$F95,EM$5+GanttPeriod-1&gt;=$E95),"━","")))</f>
        <v/>
      </c>
      <c r="EN95" s="69" t="str">
        <f aca="false">IF($E95="","",IF($M95,IF(AND($G95&gt;=EN$5,$G95&lt;EN$5+GanttPeriod),"◆",IF(AND($E95&gt;=EN$5,$E95&lt;EN$5+GanttPeriod),"◇","")),IF(AND(EN$5&lt;=$F95,EN$5+GanttPeriod-1&gt;=$E95),"━","")))</f>
        <v/>
      </c>
      <c r="EO95" s="69" t="str">
        <f aca="false">IF($E95="","",IF($M95,IF(AND($G95&gt;=EO$5,$G95&lt;EO$5+GanttPeriod),"◆",IF(AND($E95&gt;=EO$5,$E95&lt;EO$5+GanttPeriod),"◇","")),IF(AND(EO$5&lt;=$F95,EO$5+GanttPeriod-1&gt;=$E95),"━","")))</f>
        <v/>
      </c>
      <c r="EP95" s="69" t="str">
        <f aca="false">IF($E95="","",IF($M95,IF(AND($G95&gt;=EP$5,$G95&lt;EP$5+GanttPeriod),"◆",IF(AND($E95&gt;=EP$5,$E95&lt;EP$5+GanttPeriod),"◇","")),IF(AND(EP$5&lt;=$F95,EP$5+GanttPeriod-1&gt;=$E95),"━","")))</f>
        <v/>
      </c>
      <c r="EQ95" s="69" t="str">
        <f aca="false">IF($E95="","",IF($M95,IF(AND($G95&gt;=EQ$5,$G95&lt;EQ$5+GanttPeriod),"◆",IF(AND($E95&gt;=EQ$5,$E95&lt;EQ$5+GanttPeriod),"◇","")),IF(AND(EQ$5&lt;=$F95,EQ$5+GanttPeriod-1&gt;=$E95),"━","")))</f>
        <v/>
      </c>
      <c r="ER95" s="69" t="str">
        <f aca="false">IF($E95="","",IF($M95,IF(AND($G95&gt;=ER$5,$G95&lt;ER$5+GanttPeriod),"◆",IF(AND($E95&gt;=ER$5,$E95&lt;ER$5+GanttPeriod),"◇","")),IF(AND(ER$5&lt;=$F95,ER$5+GanttPeriod-1&gt;=$E95),"━","")))</f>
        <v/>
      </c>
      <c r="ES95" s="69" t="str">
        <f aca="false">IF($E95="","",IF($M95,IF(AND($G95&gt;=ES$5,$G95&lt;ES$5+GanttPeriod),"◆",IF(AND($E95&gt;=ES$5,$E95&lt;ES$5+GanttPeriod),"◇","")),IF(AND(ES$5&lt;=$F95,ES$5+GanttPeriod-1&gt;=$E95),"━","")))</f>
        <v/>
      </c>
      <c r="ET95" s="69" t="str">
        <f aca="false">IF($E95="","",IF($M95,IF(AND($G95&gt;=ET$5,$G95&lt;ET$5+GanttPeriod),"◆",IF(AND($E95&gt;=ET$5,$E95&lt;ET$5+GanttPeriod),"◇","")),IF(AND(ET$5&lt;=$F95,ET$5+GanttPeriod-1&gt;=$E95),"━","")))</f>
        <v/>
      </c>
      <c r="EU95" s="69" t="str">
        <f aca="false">IF($E95="","",IF($M95,IF(AND($G95&gt;=EU$5,$G95&lt;EU$5+GanttPeriod),"◆",IF(AND($E95&gt;=EU$5,$E95&lt;EU$5+GanttPeriod),"◇","")),IF(AND(EU$5&lt;=$F95,EU$5+GanttPeriod-1&gt;=$E95),"━","")))</f>
        <v/>
      </c>
      <c r="EV95" s="69" t="str">
        <f aca="false">IF($E95="","",IF($M95,IF(AND($G95&gt;=EV$5,$G95&lt;EV$5+GanttPeriod),"◆",IF(AND($E95&gt;=EV$5,$E95&lt;EV$5+GanttPeriod),"◇","")),IF(AND(EV$5&lt;=$F95,EV$5+GanttPeriod-1&gt;=$E95),"━","")))</f>
        <v/>
      </c>
      <c r="EW95" s="69" t="str">
        <f aca="false">IF($E95="","",IF($M95,IF(AND($G95&gt;=EW$5,$G95&lt;EW$5+GanttPeriod),"◆",IF(AND($E95&gt;=EW$5,$E95&lt;EW$5+GanttPeriod),"◇","")),IF(AND(EW$5&lt;=$F95,EW$5+GanttPeriod-1&gt;=$E95),"━","")))</f>
        <v/>
      </c>
      <c r="EX95" s="69" t="str">
        <f aca="false">IF($E95="","",IF($M95,IF(AND($G95&gt;=EX$5,$G95&lt;EX$5+GanttPeriod),"◆",IF(AND($E95&gt;=EX$5,$E95&lt;EX$5+GanttPeriod),"◇","")),IF(AND(EX$5&lt;=$F95,EX$5+GanttPeriod-1&gt;=$E95),"━","")))</f>
        <v/>
      </c>
      <c r="EY95" s="69" t="str">
        <f aca="false">IF($E95="","",IF($M95,IF(AND($G95&gt;=EY$5,$G95&lt;EY$5+GanttPeriod),"◆",IF(AND($E95&gt;=EY$5,$E95&lt;EY$5+GanttPeriod),"◇","")),IF(AND(EY$5&lt;=$F95,EY$5+GanttPeriod-1&gt;=$E95),"━","")))</f>
        <v/>
      </c>
      <c r="EZ95" s="69" t="str">
        <f aca="false">IF($E95="","",IF($M95,IF(AND($G95&gt;=EZ$5,$G95&lt;EZ$5+GanttPeriod),"◆",IF(AND($E95&gt;=EZ$5,$E95&lt;EZ$5+GanttPeriod),"◇","")),IF(AND(EZ$5&lt;=$F95,EZ$5+GanttPeriod-1&gt;=$E95),"━","")))</f>
        <v/>
      </c>
      <c r="FA95" s="69" t="str">
        <f aca="false">IF($E95="","",IF($M95,IF(AND($G95&gt;=FA$5,$G95&lt;FA$5+GanttPeriod),"◆",IF(AND($E95&gt;=FA$5,$E95&lt;FA$5+GanttPeriod),"◇","")),IF(AND(FA$5&lt;=$F95,FA$5+GanttPeriod-1&gt;=$E95),"━","")))</f>
        <v/>
      </c>
      <c r="FB95" s="69" t="str">
        <f aca="false">IF($E95="","",IF($M95,IF(AND($G95&gt;=FB$5,$G95&lt;FB$5+GanttPeriod),"◆",IF(AND($E95&gt;=FB$5,$E95&lt;FB$5+GanttPeriod),"◇","")),IF(AND(FB$5&lt;=$F95,FB$5+GanttPeriod-1&gt;=$E95),"━","")))</f>
        <v/>
      </c>
      <c r="FC95" s="69" t="str">
        <f aca="false">IF($E95="","",IF($M95,IF(AND($G95&gt;=FC$5,$G95&lt;FC$5+GanttPeriod),"◆",IF(AND($E95&gt;=FC$5,$E95&lt;FC$5+GanttPeriod),"◇","")),IF(AND(FC$5&lt;=$F95,FC$5+GanttPeriod-1&gt;=$E95),"━","")))</f>
        <v/>
      </c>
      <c r="FD95" s="69" t="str">
        <f aca="false">IF($E95="","",IF($M95,IF(AND($G95&gt;=FD$5,$G95&lt;FD$5+GanttPeriod),"◆",IF(AND($E95&gt;=FD$5,$E95&lt;FD$5+GanttPeriod),"◇","")),IF(AND(FD$5&lt;=$F95,FD$5+GanttPeriod-1&gt;=$E95),"━","")))</f>
        <v/>
      </c>
      <c r="FE95" s="69" t="str">
        <f aca="false">IF($E95="","",IF($M95,IF(AND($G95&gt;=FE$5,$G95&lt;FE$5+GanttPeriod),"◆",IF(AND($E95&gt;=FE$5,$E95&lt;FE$5+GanttPeriod),"◇","")),IF(AND(FE$5&lt;=$F95,FE$5+GanttPeriod-1&gt;=$E95),"━","")))</f>
        <v/>
      </c>
      <c r="FF95" s="69" t="str">
        <f aca="false">IF($E95="","",IF($M95,IF(AND($G95&gt;=FF$5,$G95&lt;FF$5+GanttPeriod),"◆",IF(AND($E95&gt;=FF$5,$E95&lt;FF$5+GanttPeriod),"◇","")),IF(AND(FF$5&lt;=$F95,FF$5+GanttPeriod-1&gt;=$E95),"━","")))</f>
        <v/>
      </c>
      <c r="FG95" s="69" t="str">
        <f aca="false">IF($E95="","",IF($M95,IF(AND($G95&gt;=FG$5,$G95&lt;FG$5+GanttPeriod),"◆",IF(AND($E95&gt;=FG$5,$E95&lt;FG$5+GanttPeriod),"◇","")),IF(AND(FG$5&lt;=$F95,FG$5+GanttPeriod-1&gt;=$E95),"━","")))</f>
        <v/>
      </c>
      <c r="FH95" s="69" t="str">
        <f aca="false">IF($E95="","",IF($M95,IF(AND($G95&gt;=FH$5,$G95&lt;FH$5+GanttPeriod),"◆",IF(AND($E95&gt;=FH$5,$E95&lt;FH$5+GanttPeriod),"◇","")),IF(AND(FH$5&lt;=$F95,FH$5+GanttPeriod-1&gt;=$E95),"━","")))</f>
        <v/>
      </c>
      <c r="FI95" s="69" t="str">
        <f aca="false">IF($E95="","",IF($M95,IF(AND($G95&gt;=FI$5,$G95&lt;FI$5+GanttPeriod),"◆",IF(AND($E95&gt;=FI$5,$E95&lt;FI$5+GanttPeriod),"◇","")),IF(AND(FI$5&lt;=$F95,FI$5+GanttPeriod-1&gt;=$E95),"━","")))</f>
        <v/>
      </c>
      <c r="FJ95" s="69" t="str">
        <f aca="false">IF($E95="","",IF($M95,IF(AND($G95&gt;=FJ$5,$G95&lt;FJ$5+GanttPeriod),"◆",IF(AND($E95&gt;=FJ$5,$E95&lt;FJ$5+GanttPeriod),"◇","")),IF(AND(FJ$5&lt;=$F95,FJ$5+GanttPeriod-1&gt;=$E95),"━","")))</f>
        <v/>
      </c>
      <c r="FK95" s="69" t="str">
        <f aca="false">IF($E95="","",IF($M95,IF(AND($G95&gt;=FK$5,$G95&lt;FK$5+GanttPeriod),"◆",IF(AND($E95&gt;=FK$5,$E95&lt;FK$5+GanttPeriod),"◇","")),IF(AND(FK$5&lt;=$F95,FK$5+GanttPeriod-1&gt;=$E95),"━","")))</f>
        <v/>
      </c>
      <c r="FL95" s="69" t="str">
        <f aca="false">IF($E95="","",IF($M95,IF(AND($G95&gt;=FL$5,$G95&lt;FL$5+GanttPeriod),"◆",IF(AND($E95&gt;=FL$5,$E95&lt;FL$5+GanttPeriod),"◇","")),IF(AND(FL$5&lt;=$F95,FL$5+GanttPeriod-1&gt;=$E95),"━","")))</f>
        <v/>
      </c>
      <c r="FM95" s="69" t="str">
        <f aca="false">IF($E95="","",IF($M95,IF(AND($G95&gt;=FM$5,$G95&lt;FM$5+GanttPeriod),"◆",IF(AND($E95&gt;=FM$5,$E95&lt;FM$5+GanttPeriod),"◇","")),IF(AND(FM$5&lt;=$F95,FM$5+GanttPeriod-1&gt;=$E95),"━","")))</f>
        <v/>
      </c>
    </row>
    <row r="96" customFormat="false" ht="15" hidden="false" customHeight="false" outlineLevel="0" collapsed="false">
      <c r="A96" s="62" t="str">
        <f aca="false">IF(Tasks!$D96="","",Tasks!$A96)</f>
        <v/>
      </c>
      <c r="B96" s="62" t="str">
        <f aca="false">IF(Tasks!$D96="","",Tasks!$B96)</f>
        <v/>
      </c>
      <c r="C96" s="63" t="str">
        <f aca="false">IF(Tasks!$D96="","",REPT("    ",Tasks!$AE96-1)&amp;Tasks!$D96)</f>
        <v/>
      </c>
      <c r="D96" s="62" t="str">
        <f aca="false">IF(Tasks!$D96="","",IF(Tasks!$AI96,NETWORKDAYS.INTL(Tasks!$R96,Tasks!$S96,WorkWeek,Holidays),N(Tasks!$F96)))</f>
        <v/>
      </c>
      <c r="E96" s="64" t="str">
        <f aca="false">IF(Tasks!$D96="","",Tasks!$N96)</f>
        <v/>
      </c>
      <c r="F96" s="64" t="str">
        <f aca="false">IF(Tasks!$D96="","",Tasks!$O96)</f>
        <v/>
      </c>
      <c r="G96" s="64" t="str">
        <f aca="false">IF(Tasks!$D96="","",Tasks!$R96)</f>
        <v/>
      </c>
      <c r="H96" s="64" t="str">
        <f aca="false">IF(Tasks!$D96="","",Tasks!$S96)</f>
        <v/>
      </c>
      <c r="I96" s="65" t="str">
        <f aca="false">IF(Tasks!$D96="","",Tasks!$V96)</f>
        <v/>
      </c>
      <c r="J96" s="63" t="str">
        <f aca="false">IF(Tasks!$D96="","",Tasks!$X96&amp;"")</f>
        <v/>
      </c>
      <c r="K96" s="66" t="str">
        <f aca="false">IF(Tasks!$D96="","",Tasks!$W96)</f>
        <v/>
      </c>
      <c r="L96" s="67" t="b">
        <f aca="false">IF(Tasks!$D96="",FALSE(),Tasks!$AI96)</f>
        <v>0</v>
      </c>
      <c r="M96" s="67" t="b">
        <f aca="false">AND(Tasks!$AJ96=1,N(Tasks!$F96)=0)</f>
        <v>0</v>
      </c>
      <c r="N96" s="68" t="n">
        <f aca="false">IF(AND(Tasks!$AJ96=1,NOT($M96),N($I96)&gt;0),$G96,0)</f>
        <v>0</v>
      </c>
      <c r="O96" s="68" t="n">
        <f aca="false">IF($N96=0,0,IF($I96&gt;=1,$H96,MAX($N96,$G96+ROUND(($H96-$G96+1)*$I96,0)-1)))</f>
        <v>0</v>
      </c>
      <c r="P96" s="68" t="n">
        <f aca="false">IF(OR(Tasks!$AJ96&lt;&gt;1,$M96,N($I96)&gt;=1),0,IF($O96&gt;0,$O96+1,$G96))</f>
        <v>0</v>
      </c>
      <c r="Q96" s="68" t="n">
        <f aca="false">IF($P96=0,0,$H96)</f>
        <v>0</v>
      </c>
      <c r="R96" s="67" t="b">
        <f aca="false">AND(Tasks!$D96&lt;&gt;"",N(Tasks!$T96)&gt;0)</f>
        <v>0</v>
      </c>
      <c r="T96" s="69" t="str">
        <f aca="false">IF($E96="","",IF($M96,IF(AND($G96&gt;=T$5,$G96&lt;T$5+GanttPeriod),"◆",IF(AND($E96&gt;=T$5,$E96&lt;T$5+GanttPeriod),"◇","")),IF(AND(T$5&lt;=$F96,T$5+GanttPeriod-1&gt;=$E96),"━","")))</f>
        <v/>
      </c>
      <c r="U96" s="69" t="str">
        <f aca="false">IF($E96="","",IF($M96,IF(AND($G96&gt;=U$5,$G96&lt;U$5+GanttPeriod),"◆",IF(AND($E96&gt;=U$5,$E96&lt;U$5+GanttPeriod),"◇","")),IF(AND(U$5&lt;=$F96,U$5+GanttPeriod-1&gt;=$E96),"━","")))</f>
        <v/>
      </c>
      <c r="V96" s="69" t="str">
        <f aca="false">IF($E96="","",IF($M96,IF(AND($G96&gt;=V$5,$G96&lt;V$5+GanttPeriod),"◆",IF(AND($E96&gt;=V$5,$E96&lt;V$5+GanttPeriod),"◇","")),IF(AND(V$5&lt;=$F96,V$5+GanttPeriod-1&gt;=$E96),"━","")))</f>
        <v/>
      </c>
      <c r="W96" s="69" t="str">
        <f aca="false">IF($E96="","",IF($M96,IF(AND($G96&gt;=W$5,$G96&lt;W$5+GanttPeriod),"◆",IF(AND($E96&gt;=W$5,$E96&lt;W$5+GanttPeriod),"◇","")),IF(AND(W$5&lt;=$F96,W$5+GanttPeriod-1&gt;=$E96),"━","")))</f>
        <v/>
      </c>
      <c r="X96" s="69" t="str">
        <f aca="false">IF($E96="","",IF($M96,IF(AND($G96&gt;=X$5,$G96&lt;X$5+GanttPeriod),"◆",IF(AND($E96&gt;=X$5,$E96&lt;X$5+GanttPeriod),"◇","")),IF(AND(X$5&lt;=$F96,X$5+GanttPeriod-1&gt;=$E96),"━","")))</f>
        <v/>
      </c>
      <c r="Y96" s="69" t="str">
        <f aca="false">IF($E96="","",IF($M96,IF(AND($G96&gt;=Y$5,$G96&lt;Y$5+GanttPeriod),"◆",IF(AND($E96&gt;=Y$5,$E96&lt;Y$5+GanttPeriod),"◇","")),IF(AND(Y$5&lt;=$F96,Y$5+GanttPeriod-1&gt;=$E96),"━","")))</f>
        <v/>
      </c>
      <c r="Z96" s="69" t="str">
        <f aca="false">IF($E96="","",IF($M96,IF(AND($G96&gt;=Z$5,$G96&lt;Z$5+GanttPeriod),"◆",IF(AND($E96&gt;=Z$5,$E96&lt;Z$5+GanttPeriod),"◇","")),IF(AND(Z$5&lt;=$F96,Z$5+GanttPeriod-1&gt;=$E96),"━","")))</f>
        <v/>
      </c>
      <c r="AA96" s="69" t="str">
        <f aca="false">IF($E96="","",IF($M96,IF(AND($G96&gt;=AA$5,$G96&lt;AA$5+GanttPeriod),"◆",IF(AND($E96&gt;=AA$5,$E96&lt;AA$5+GanttPeriod),"◇","")),IF(AND(AA$5&lt;=$F96,AA$5+GanttPeriod-1&gt;=$E96),"━","")))</f>
        <v/>
      </c>
      <c r="AB96" s="69" t="str">
        <f aca="false">IF($E96="","",IF($M96,IF(AND($G96&gt;=AB$5,$G96&lt;AB$5+GanttPeriod),"◆",IF(AND($E96&gt;=AB$5,$E96&lt;AB$5+GanttPeriod),"◇","")),IF(AND(AB$5&lt;=$F96,AB$5+GanttPeriod-1&gt;=$E96),"━","")))</f>
        <v/>
      </c>
      <c r="AC96" s="69" t="str">
        <f aca="false">IF($E96="","",IF($M96,IF(AND($G96&gt;=AC$5,$G96&lt;AC$5+GanttPeriod),"◆",IF(AND($E96&gt;=AC$5,$E96&lt;AC$5+GanttPeriod),"◇","")),IF(AND(AC$5&lt;=$F96,AC$5+GanttPeriod-1&gt;=$E96),"━","")))</f>
        <v/>
      </c>
      <c r="AD96" s="69" t="str">
        <f aca="false">IF($E96="","",IF($M96,IF(AND($G96&gt;=AD$5,$G96&lt;AD$5+GanttPeriod),"◆",IF(AND($E96&gt;=AD$5,$E96&lt;AD$5+GanttPeriod),"◇","")),IF(AND(AD$5&lt;=$F96,AD$5+GanttPeriod-1&gt;=$E96),"━","")))</f>
        <v/>
      </c>
      <c r="AE96" s="69" t="str">
        <f aca="false">IF($E96="","",IF($M96,IF(AND($G96&gt;=AE$5,$G96&lt;AE$5+GanttPeriod),"◆",IF(AND($E96&gt;=AE$5,$E96&lt;AE$5+GanttPeriod),"◇","")),IF(AND(AE$5&lt;=$F96,AE$5+GanttPeriod-1&gt;=$E96),"━","")))</f>
        <v/>
      </c>
      <c r="AF96" s="69" t="str">
        <f aca="false">IF($E96="","",IF($M96,IF(AND($G96&gt;=AF$5,$G96&lt;AF$5+GanttPeriod),"◆",IF(AND($E96&gt;=AF$5,$E96&lt;AF$5+GanttPeriod),"◇","")),IF(AND(AF$5&lt;=$F96,AF$5+GanttPeriod-1&gt;=$E96),"━","")))</f>
        <v/>
      </c>
      <c r="AG96" s="69" t="str">
        <f aca="false">IF($E96="","",IF($M96,IF(AND($G96&gt;=AG$5,$G96&lt;AG$5+GanttPeriod),"◆",IF(AND($E96&gt;=AG$5,$E96&lt;AG$5+GanttPeriod),"◇","")),IF(AND(AG$5&lt;=$F96,AG$5+GanttPeriod-1&gt;=$E96),"━","")))</f>
        <v/>
      </c>
      <c r="AH96" s="69" t="str">
        <f aca="false">IF($E96="","",IF($M96,IF(AND($G96&gt;=AH$5,$G96&lt;AH$5+GanttPeriod),"◆",IF(AND($E96&gt;=AH$5,$E96&lt;AH$5+GanttPeriod),"◇","")),IF(AND(AH$5&lt;=$F96,AH$5+GanttPeriod-1&gt;=$E96),"━","")))</f>
        <v/>
      </c>
      <c r="AI96" s="69" t="str">
        <f aca="false">IF($E96="","",IF($M96,IF(AND($G96&gt;=AI$5,$G96&lt;AI$5+GanttPeriod),"◆",IF(AND($E96&gt;=AI$5,$E96&lt;AI$5+GanttPeriod),"◇","")),IF(AND(AI$5&lt;=$F96,AI$5+GanttPeriod-1&gt;=$E96),"━","")))</f>
        <v/>
      </c>
      <c r="AJ96" s="69" t="str">
        <f aca="false">IF($E96="","",IF($M96,IF(AND($G96&gt;=AJ$5,$G96&lt;AJ$5+GanttPeriod),"◆",IF(AND($E96&gt;=AJ$5,$E96&lt;AJ$5+GanttPeriod),"◇","")),IF(AND(AJ$5&lt;=$F96,AJ$5+GanttPeriod-1&gt;=$E96),"━","")))</f>
        <v/>
      </c>
      <c r="AK96" s="69" t="str">
        <f aca="false">IF($E96="","",IF($M96,IF(AND($G96&gt;=AK$5,$G96&lt;AK$5+GanttPeriod),"◆",IF(AND($E96&gt;=AK$5,$E96&lt;AK$5+GanttPeriod),"◇","")),IF(AND(AK$5&lt;=$F96,AK$5+GanttPeriod-1&gt;=$E96),"━","")))</f>
        <v/>
      </c>
      <c r="AL96" s="69" t="str">
        <f aca="false">IF($E96="","",IF($M96,IF(AND($G96&gt;=AL$5,$G96&lt;AL$5+GanttPeriod),"◆",IF(AND($E96&gt;=AL$5,$E96&lt;AL$5+GanttPeriod),"◇","")),IF(AND(AL$5&lt;=$F96,AL$5+GanttPeriod-1&gt;=$E96),"━","")))</f>
        <v/>
      </c>
      <c r="AM96" s="69" t="str">
        <f aca="false">IF($E96="","",IF($M96,IF(AND($G96&gt;=AM$5,$G96&lt;AM$5+GanttPeriod),"◆",IF(AND($E96&gt;=AM$5,$E96&lt;AM$5+GanttPeriod),"◇","")),IF(AND(AM$5&lt;=$F96,AM$5+GanttPeriod-1&gt;=$E96),"━","")))</f>
        <v/>
      </c>
      <c r="AN96" s="69" t="str">
        <f aca="false">IF($E96="","",IF($M96,IF(AND($G96&gt;=AN$5,$G96&lt;AN$5+GanttPeriod),"◆",IF(AND($E96&gt;=AN$5,$E96&lt;AN$5+GanttPeriod),"◇","")),IF(AND(AN$5&lt;=$F96,AN$5+GanttPeriod-1&gt;=$E96),"━","")))</f>
        <v/>
      </c>
      <c r="AO96" s="69" t="str">
        <f aca="false">IF($E96="","",IF($M96,IF(AND($G96&gt;=AO$5,$G96&lt;AO$5+GanttPeriod),"◆",IF(AND($E96&gt;=AO$5,$E96&lt;AO$5+GanttPeriod),"◇","")),IF(AND(AO$5&lt;=$F96,AO$5+GanttPeriod-1&gt;=$E96),"━","")))</f>
        <v/>
      </c>
      <c r="AP96" s="69" t="str">
        <f aca="false">IF($E96="","",IF($M96,IF(AND($G96&gt;=AP$5,$G96&lt;AP$5+GanttPeriod),"◆",IF(AND($E96&gt;=AP$5,$E96&lt;AP$5+GanttPeriod),"◇","")),IF(AND(AP$5&lt;=$F96,AP$5+GanttPeriod-1&gt;=$E96),"━","")))</f>
        <v/>
      </c>
      <c r="AQ96" s="69" t="str">
        <f aca="false">IF($E96="","",IF($M96,IF(AND($G96&gt;=AQ$5,$G96&lt;AQ$5+GanttPeriod),"◆",IF(AND($E96&gt;=AQ$5,$E96&lt;AQ$5+GanttPeriod),"◇","")),IF(AND(AQ$5&lt;=$F96,AQ$5+GanttPeriod-1&gt;=$E96),"━","")))</f>
        <v/>
      </c>
      <c r="AR96" s="69" t="str">
        <f aca="false">IF($E96="","",IF($M96,IF(AND($G96&gt;=AR$5,$G96&lt;AR$5+GanttPeriod),"◆",IF(AND($E96&gt;=AR$5,$E96&lt;AR$5+GanttPeriod),"◇","")),IF(AND(AR$5&lt;=$F96,AR$5+GanttPeriod-1&gt;=$E96),"━","")))</f>
        <v/>
      </c>
      <c r="AS96" s="69" t="str">
        <f aca="false">IF($E96="","",IF($M96,IF(AND($G96&gt;=AS$5,$G96&lt;AS$5+GanttPeriod),"◆",IF(AND($E96&gt;=AS$5,$E96&lt;AS$5+GanttPeriod),"◇","")),IF(AND(AS$5&lt;=$F96,AS$5+GanttPeriod-1&gt;=$E96),"━","")))</f>
        <v/>
      </c>
      <c r="AT96" s="69" t="str">
        <f aca="false">IF($E96="","",IF($M96,IF(AND($G96&gt;=AT$5,$G96&lt;AT$5+GanttPeriod),"◆",IF(AND($E96&gt;=AT$5,$E96&lt;AT$5+GanttPeriod),"◇","")),IF(AND(AT$5&lt;=$F96,AT$5+GanttPeriod-1&gt;=$E96),"━","")))</f>
        <v/>
      </c>
      <c r="AU96" s="69" t="str">
        <f aca="false">IF($E96="","",IF($M96,IF(AND($G96&gt;=AU$5,$G96&lt;AU$5+GanttPeriod),"◆",IF(AND($E96&gt;=AU$5,$E96&lt;AU$5+GanttPeriod),"◇","")),IF(AND(AU$5&lt;=$F96,AU$5+GanttPeriod-1&gt;=$E96),"━","")))</f>
        <v/>
      </c>
      <c r="AV96" s="69" t="str">
        <f aca="false">IF($E96="","",IF($M96,IF(AND($G96&gt;=AV$5,$G96&lt;AV$5+GanttPeriod),"◆",IF(AND($E96&gt;=AV$5,$E96&lt;AV$5+GanttPeriod),"◇","")),IF(AND(AV$5&lt;=$F96,AV$5+GanttPeriod-1&gt;=$E96),"━","")))</f>
        <v/>
      </c>
      <c r="AW96" s="69" t="str">
        <f aca="false">IF($E96="","",IF($M96,IF(AND($G96&gt;=AW$5,$G96&lt;AW$5+GanttPeriod),"◆",IF(AND($E96&gt;=AW$5,$E96&lt;AW$5+GanttPeriod),"◇","")),IF(AND(AW$5&lt;=$F96,AW$5+GanttPeriod-1&gt;=$E96),"━","")))</f>
        <v/>
      </c>
      <c r="AX96" s="69" t="str">
        <f aca="false">IF($E96="","",IF($M96,IF(AND($G96&gt;=AX$5,$G96&lt;AX$5+GanttPeriod),"◆",IF(AND($E96&gt;=AX$5,$E96&lt;AX$5+GanttPeriod),"◇","")),IF(AND(AX$5&lt;=$F96,AX$5+GanttPeriod-1&gt;=$E96),"━","")))</f>
        <v/>
      </c>
      <c r="AY96" s="69" t="str">
        <f aca="false">IF($E96="","",IF($M96,IF(AND($G96&gt;=AY$5,$G96&lt;AY$5+GanttPeriod),"◆",IF(AND($E96&gt;=AY$5,$E96&lt;AY$5+GanttPeriod),"◇","")),IF(AND(AY$5&lt;=$F96,AY$5+GanttPeriod-1&gt;=$E96),"━","")))</f>
        <v/>
      </c>
      <c r="AZ96" s="69" t="str">
        <f aca="false">IF($E96="","",IF($M96,IF(AND($G96&gt;=AZ$5,$G96&lt;AZ$5+GanttPeriod),"◆",IF(AND($E96&gt;=AZ$5,$E96&lt;AZ$5+GanttPeriod),"◇","")),IF(AND(AZ$5&lt;=$F96,AZ$5+GanttPeriod-1&gt;=$E96),"━","")))</f>
        <v/>
      </c>
      <c r="BA96" s="69" t="str">
        <f aca="false">IF($E96="","",IF($M96,IF(AND($G96&gt;=BA$5,$G96&lt;BA$5+GanttPeriod),"◆",IF(AND($E96&gt;=BA$5,$E96&lt;BA$5+GanttPeriod),"◇","")),IF(AND(BA$5&lt;=$F96,BA$5+GanttPeriod-1&gt;=$E96),"━","")))</f>
        <v/>
      </c>
      <c r="BB96" s="69" t="str">
        <f aca="false">IF($E96="","",IF($M96,IF(AND($G96&gt;=BB$5,$G96&lt;BB$5+GanttPeriod),"◆",IF(AND($E96&gt;=BB$5,$E96&lt;BB$5+GanttPeriod),"◇","")),IF(AND(BB$5&lt;=$F96,BB$5+GanttPeriod-1&gt;=$E96),"━","")))</f>
        <v/>
      </c>
      <c r="BC96" s="69" t="str">
        <f aca="false">IF($E96="","",IF($M96,IF(AND($G96&gt;=BC$5,$G96&lt;BC$5+GanttPeriod),"◆",IF(AND($E96&gt;=BC$5,$E96&lt;BC$5+GanttPeriod),"◇","")),IF(AND(BC$5&lt;=$F96,BC$5+GanttPeriod-1&gt;=$E96),"━","")))</f>
        <v/>
      </c>
      <c r="BD96" s="69" t="str">
        <f aca="false">IF($E96="","",IF($M96,IF(AND($G96&gt;=BD$5,$G96&lt;BD$5+GanttPeriod),"◆",IF(AND($E96&gt;=BD$5,$E96&lt;BD$5+GanttPeriod),"◇","")),IF(AND(BD$5&lt;=$F96,BD$5+GanttPeriod-1&gt;=$E96),"━","")))</f>
        <v/>
      </c>
      <c r="BE96" s="69" t="str">
        <f aca="false">IF($E96="","",IF($M96,IF(AND($G96&gt;=BE$5,$G96&lt;BE$5+GanttPeriod),"◆",IF(AND($E96&gt;=BE$5,$E96&lt;BE$5+GanttPeriod),"◇","")),IF(AND(BE$5&lt;=$F96,BE$5+GanttPeriod-1&gt;=$E96),"━","")))</f>
        <v/>
      </c>
      <c r="BF96" s="69" t="str">
        <f aca="false">IF($E96="","",IF($M96,IF(AND($G96&gt;=BF$5,$G96&lt;BF$5+GanttPeriod),"◆",IF(AND($E96&gt;=BF$5,$E96&lt;BF$5+GanttPeriod),"◇","")),IF(AND(BF$5&lt;=$F96,BF$5+GanttPeriod-1&gt;=$E96),"━","")))</f>
        <v/>
      </c>
      <c r="BG96" s="69" t="str">
        <f aca="false">IF($E96="","",IF($M96,IF(AND($G96&gt;=BG$5,$G96&lt;BG$5+GanttPeriod),"◆",IF(AND($E96&gt;=BG$5,$E96&lt;BG$5+GanttPeriod),"◇","")),IF(AND(BG$5&lt;=$F96,BG$5+GanttPeriod-1&gt;=$E96),"━","")))</f>
        <v/>
      </c>
      <c r="BH96" s="69" t="str">
        <f aca="false">IF($E96="","",IF($M96,IF(AND($G96&gt;=BH$5,$G96&lt;BH$5+GanttPeriod),"◆",IF(AND($E96&gt;=BH$5,$E96&lt;BH$5+GanttPeriod),"◇","")),IF(AND(BH$5&lt;=$F96,BH$5+GanttPeriod-1&gt;=$E96),"━","")))</f>
        <v/>
      </c>
      <c r="BI96" s="69" t="str">
        <f aca="false">IF($E96="","",IF($M96,IF(AND($G96&gt;=BI$5,$G96&lt;BI$5+GanttPeriod),"◆",IF(AND($E96&gt;=BI$5,$E96&lt;BI$5+GanttPeriod),"◇","")),IF(AND(BI$5&lt;=$F96,BI$5+GanttPeriod-1&gt;=$E96),"━","")))</f>
        <v/>
      </c>
      <c r="BJ96" s="69" t="str">
        <f aca="false">IF($E96="","",IF($M96,IF(AND($G96&gt;=BJ$5,$G96&lt;BJ$5+GanttPeriod),"◆",IF(AND($E96&gt;=BJ$5,$E96&lt;BJ$5+GanttPeriod),"◇","")),IF(AND(BJ$5&lt;=$F96,BJ$5+GanttPeriod-1&gt;=$E96),"━","")))</f>
        <v/>
      </c>
      <c r="BK96" s="69" t="str">
        <f aca="false">IF($E96="","",IF($M96,IF(AND($G96&gt;=BK$5,$G96&lt;BK$5+GanttPeriod),"◆",IF(AND($E96&gt;=BK$5,$E96&lt;BK$5+GanttPeriod),"◇","")),IF(AND(BK$5&lt;=$F96,BK$5+GanttPeriod-1&gt;=$E96),"━","")))</f>
        <v/>
      </c>
      <c r="BL96" s="69" t="str">
        <f aca="false">IF($E96="","",IF($M96,IF(AND($G96&gt;=BL$5,$G96&lt;BL$5+GanttPeriod),"◆",IF(AND($E96&gt;=BL$5,$E96&lt;BL$5+GanttPeriod),"◇","")),IF(AND(BL$5&lt;=$F96,BL$5+GanttPeriod-1&gt;=$E96),"━","")))</f>
        <v/>
      </c>
      <c r="BM96" s="69" t="str">
        <f aca="false">IF($E96="","",IF($M96,IF(AND($G96&gt;=BM$5,$G96&lt;BM$5+GanttPeriod),"◆",IF(AND($E96&gt;=BM$5,$E96&lt;BM$5+GanttPeriod),"◇","")),IF(AND(BM$5&lt;=$F96,BM$5+GanttPeriod-1&gt;=$E96),"━","")))</f>
        <v/>
      </c>
      <c r="BN96" s="69" t="str">
        <f aca="false">IF($E96="","",IF($M96,IF(AND($G96&gt;=BN$5,$G96&lt;BN$5+GanttPeriod),"◆",IF(AND($E96&gt;=BN$5,$E96&lt;BN$5+GanttPeriod),"◇","")),IF(AND(BN$5&lt;=$F96,BN$5+GanttPeriod-1&gt;=$E96),"━","")))</f>
        <v/>
      </c>
      <c r="BO96" s="69" t="str">
        <f aca="false">IF($E96="","",IF($M96,IF(AND($G96&gt;=BO$5,$G96&lt;BO$5+GanttPeriod),"◆",IF(AND($E96&gt;=BO$5,$E96&lt;BO$5+GanttPeriod),"◇","")),IF(AND(BO$5&lt;=$F96,BO$5+GanttPeriod-1&gt;=$E96),"━","")))</f>
        <v/>
      </c>
      <c r="BP96" s="69" t="str">
        <f aca="false">IF($E96="","",IF($M96,IF(AND($G96&gt;=BP$5,$G96&lt;BP$5+GanttPeriod),"◆",IF(AND($E96&gt;=BP$5,$E96&lt;BP$5+GanttPeriod),"◇","")),IF(AND(BP$5&lt;=$F96,BP$5+GanttPeriod-1&gt;=$E96),"━","")))</f>
        <v/>
      </c>
      <c r="BQ96" s="69" t="str">
        <f aca="false">IF($E96="","",IF($M96,IF(AND($G96&gt;=BQ$5,$G96&lt;BQ$5+GanttPeriod),"◆",IF(AND($E96&gt;=BQ$5,$E96&lt;BQ$5+GanttPeriod),"◇","")),IF(AND(BQ$5&lt;=$F96,BQ$5+GanttPeriod-1&gt;=$E96),"━","")))</f>
        <v/>
      </c>
      <c r="BR96" s="69" t="str">
        <f aca="false">IF($E96="","",IF($M96,IF(AND($G96&gt;=BR$5,$G96&lt;BR$5+GanttPeriod),"◆",IF(AND($E96&gt;=BR$5,$E96&lt;BR$5+GanttPeriod),"◇","")),IF(AND(BR$5&lt;=$F96,BR$5+GanttPeriod-1&gt;=$E96),"━","")))</f>
        <v/>
      </c>
      <c r="BS96" s="69" t="str">
        <f aca="false">IF($E96="","",IF($M96,IF(AND($G96&gt;=BS$5,$G96&lt;BS$5+GanttPeriod),"◆",IF(AND($E96&gt;=BS$5,$E96&lt;BS$5+GanttPeriod),"◇","")),IF(AND(BS$5&lt;=$F96,BS$5+GanttPeriod-1&gt;=$E96),"━","")))</f>
        <v/>
      </c>
      <c r="BT96" s="69" t="str">
        <f aca="false">IF($E96="","",IF($M96,IF(AND($G96&gt;=BT$5,$G96&lt;BT$5+GanttPeriod),"◆",IF(AND($E96&gt;=BT$5,$E96&lt;BT$5+GanttPeriod),"◇","")),IF(AND(BT$5&lt;=$F96,BT$5+GanttPeriod-1&gt;=$E96),"━","")))</f>
        <v/>
      </c>
      <c r="BU96" s="69" t="str">
        <f aca="false">IF($E96="","",IF($M96,IF(AND($G96&gt;=BU$5,$G96&lt;BU$5+GanttPeriod),"◆",IF(AND($E96&gt;=BU$5,$E96&lt;BU$5+GanttPeriod),"◇","")),IF(AND(BU$5&lt;=$F96,BU$5+GanttPeriod-1&gt;=$E96),"━","")))</f>
        <v/>
      </c>
      <c r="BV96" s="69" t="str">
        <f aca="false">IF($E96="","",IF($M96,IF(AND($G96&gt;=BV$5,$G96&lt;BV$5+GanttPeriod),"◆",IF(AND($E96&gt;=BV$5,$E96&lt;BV$5+GanttPeriod),"◇","")),IF(AND(BV$5&lt;=$F96,BV$5+GanttPeriod-1&gt;=$E96),"━","")))</f>
        <v/>
      </c>
      <c r="BW96" s="69" t="str">
        <f aca="false">IF($E96="","",IF($M96,IF(AND($G96&gt;=BW$5,$G96&lt;BW$5+GanttPeriod),"◆",IF(AND($E96&gt;=BW$5,$E96&lt;BW$5+GanttPeriod),"◇","")),IF(AND(BW$5&lt;=$F96,BW$5+GanttPeriod-1&gt;=$E96),"━","")))</f>
        <v/>
      </c>
      <c r="BX96" s="69" t="str">
        <f aca="false">IF($E96="","",IF($M96,IF(AND($G96&gt;=BX$5,$G96&lt;BX$5+GanttPeriod),"◆",IF(AND($E96&gt;=BX$5,$E96&lt;BX$5+GanttPeriod),"◇","")),IF(AND(BX$5&lt;=$F96,BX$5+GanttPeriod-1&gt;=$E96),"━","")))</f>
        <v/>
      </c>
      <c r="BY96" s="69" t="str">
        <f aca="false">IF($E96="","",IF($M96,IF(AND($G96&gt;=BY$5,$G96&lt;BY$5+GanttPeriod),"◆",IF(AND($E96&gt;=BY$5,$E96&lt;BY$5+GanttPeriod),"◇","")),IF(AND(BY$5&lt;=$F96,BY$5+GanttPeriod-1&gt;=$E96),"━","")))</f>
        <v/>
      </c>
      <c r="BZ96" s="69" t="str">
        <f aca="false">IF($E96="","",IF($M96,IF(AND($G96&gt;=BZ$5,$G96&lt;BZ$5+GanttPeriod),"◆",IF(AND($E96&gt;=BZ$5,$E96&lt;BZ$5+GanttPeriod),"◇","")),IF(AND(BZ$5&lt;=$F96,BZ$5+GanttPeriod-1&gt;=$E96),"━","")))</f>
        <v/>
      </c>
      <c r="CA96" s="69" t="str">
        <f aca="false">IF($E96="","",IF($M96,IF(AND($G96&gt;=CA$5,$G96&lt;CA$5+GanttPeriod),"◆",IF(AND($E96&gt;=CA$5,$E96&lt;CA$5+GanttPeriod),"◇","")),IF(AND(CA$5&lt;=$F96,CA$5+GanttPeriod-1&gt;=$E96),"━","")))</f>
        <v/>
      </c>
      <c r="CB96" s="69" t="str">
        <f aca="false">IF($E96="","",IF($M96,IF(AND($G96&gt;=CB$5,$G96&lt;CB$5+GanttPeriod),"◆",IF(AND($E96&gt;=CB$5,$E96&lt;CB$5+GanttPeriod),"◇","")),IF(AND(CB$5&lt;=$F96,CB$5+GanttPeriod-1&gt;=$E96),"━","")))</f>
        <v/>
      </c>
      <c r="CC96" s="69" t="str">
        <f aca="false">IF($E96="","",IF($M96,IF(AND($G96&gt;=CC$5,$G96&lt;CC$5+GanttPeriod),"◆",IF(AND($E96&gt;=CC$5,$E96&lt;CC$5+GanttPeriod),"◇","")),IF(AND(CC$5&lt;=$F96,CC$5+GanttPeriod-1&gt;=$E96),"━","")))</f>
        <v/>
      </c>
      <c r="CD96" s="69" t="str">
        <f aca="false">IF($E96="","",IF($M96,IF(AND($G96&gt;=CD$5,$G96&lt;CD$5+GanttPeriod),"◆",IF(AND($E96&gt;=CD$5,$E96&lt;CD$5+GanttPeriod),"◇","")),IF(AND(CD$5&lt;=$F96,CD$5+GanttPeriod-1&gt;=$E96),"━","")))</f>
        <v/>
      </c>
      <c r="CE96" s="69" t="str">
        <f aca="false">IF($E96="","",IF($M96,IF(AND($G96&gt;=CE$5,$G96&lt;CE$5+GanttPeriod),"◆",IF(AND($E96&gt;=CE$5,$E96&lt;CE$5+GanttPeriod),"◇","")),IF(AND(CE$5&lt;=$F96,CE$5+GanttPeriod-1&gt;=$E96),"━","")))</f>
        <v/>
      </c>
      <c r="CF96" s="69" t="str">
        <f aca="false">IF($E96="","",IF($M96,IF(AND($G96&gt;=CF$5,$G96&lt;CF$5+GanttPeriod),"◆",IF(AND($E96&gt;=CF$5,$E96&lt;CF$5+GanttPeriod),"◇","")),IF(AND(CF$5&lt;=$F96,CF$5+GanttPeriod-1&gt;=$E96),"━","")))</f>
        <v/>
      </c>
      <c r="CG96" s="69" t="str">
        <f aca="false">IF($E96="","",IF($M96,IF(AND($G96&gt;=CG$5,$G96&lt;CG$5+GanttPeriod),"◆",IF(AND($E96&gt;=CG$5,$E96&lt;CG$5+GanttPeriod),"◇","")),IF(AND(CG$5&lt;=$F96,CG$5+GanttPeriod-1&gt;=$E96),"━","")))</f>
        <v/>
      </c>
      <c r="CH96" s="69" t="str">
        <f aca="false">IF($E96="","",IF($M96,IF(AND($G96&gt;=CH$5,$G96&lt;CH$5+GanttPeriod),"◆",IF(AND($E96&gt;=CH$5,$E96&lt;CH$5+GanttPeriod),"◇","")),IF(AND(CH$5&lt;=$F96,CH$5+GanttPeriod-1&gt;=$E96),"━","")))</f>
        <v/>
      </c>
      <c r="CI96" s="69" t="str">
        <f aca="false">IF($E96="","",IF($M96,IF(AND($G96&gt;=CI$5,$G96&lt;CI$5+GanttPeriod),"◆",IF(AND($E96&gt;=CI$5,$E96&lt;CI$5+GanttPeriod),"◇","")),IF(AND(CI$5&lt;=$F96,CI$5+GanttPeriod-1&gt;=$E96),"━","")))</f>
        <v/>
      </c>
      <c r="CJ96" s="69" t="str">
        <f aca="false">IF($E96="","",IF($M96,IF(AND($G96&gt;=CJ$5,$G96&lt;CJ$5+GanttPeriod),"◆",IF(AND($E96&gt;=CJ$5,$E96&lt;CJ$5+GanttPeriod),"◇","")),IF(AND(CJ$5&lt;=$F96,CJ$5+GanttPeriod-1&gt;=$E96),"━","")))</f>
        <v/>
      </c>
      <c r="CK96" s="69" t="str">
        <f aca="false">IF($E96="","",IF($M96,IF(AND($G96&gt;=CK$5,$G96&lt;CK$5+GanttPeriod),"◆",IF(AND($E96&gt;=CK$5,$E96&lt;CK$5+GanttPeriod),"◇","")),IF(AND(CK$5&lt;=$F96,CK$5+GanttPeriod-1&gt;=$E96),"━","")))</f>
        <v/>
      </c>
      <c r="CL96" s="69" t="str">
        <f aca="false">IF($E96="","",IF($M96,IF(AND($G96&gt;=CL$5,$G96&lt;CL$5+GanttPeriod),"◆",IF(AND($E96&gt;=CL$5,$E96&lt;CL$5+GanttPeriod),"◇","")),IF(AND(CL$5&lt;=$F96,CL$5+GanttPeriod-1&gt;=$E96),"━","")))</f>
        <v/>
      </c>
      <c r="CM96" s="69" t="str">
        <f aca="false">IF($E96="","",IF($M96,IF(AND($G96&gt;=CM$5,$G96&lt;CM$5+GanttPeriod),"◆",IF(AND($E96&gt;=CM$5,$E96&lt;CM$5+GanttPeriod),"◇","")),IF(AND(CM$5&lt;=$F96,CM$5+GanttPeriod-1&gt;=$E96),"━","")))</f>
        <v/>
      </c>
      <c r="CN96" s="69" t="str">
        <f aca="false">IF($E96="","",IF($M96,IF(AND($G96&gt;=CN$5,$G96&lt;CN$5+GanttPeriod),"◆",IF(AND($E96&gt;=CN$5,$E96&lt;CN$5+GanttPeriod),"◇","")),IF(AND(CN$5&lt;=$F96,CN$5+GanttPeriod-1&gt;=$E96),"━","")))</f>
        <v/>
      </c>
      <c r="CO96" s="69" t="str">
        <f aca="false">IF($E96="","",IF($M96,IF(AND($G96&gt;=CO$5,$G96&lt;CO$5+GanttPeriod),"◆",IF(AND($E96&gt;=CO$5,$E96&lt;CO$5+GanttPeriod),"◇","")),IF(AND(CO$5&lt;=$F96,CO$5+GanttPeriod-1&gt;=$E96),"━","")))</f>
        <v/>
      </c>
      <c r="CP96" s="69" t="str">
        <f aca="false">IF($E96="","",IF($M96,IF(AND($G96&gt;=CP$5,$G96&lt;CP$5+GanttPeriod),"◆",IF(AND($E96&gt;=CP$5,$E96&lt;CP$5+GanttPeriod),"◇","")),IF(AND(CP$5&lt;=$F96,CP$5+GanttPeriod-1&gt;=$E96),"━","")))</f>
        <v/>
      </c>
      <c r="CQ96" s="69" t="str">
        <f aca="false">IF($E96="","",IF($M96,IF(AND($G96&gt;=CQ$5,$G96&lt;CQ$5+GanttPeriod),"◆",IF(AND($E96&gt;=CQ$5,$E96&lt;CQ$5+GanttPeriod),"◇","")),IF(AND(CQ$5&lt;=$F96,CQ$5+GanttPeriod-1&gt;=$E96),"━","")))</f>
        <v/>
      </c>
      <c r="CR96" s="69" t="str">
        <f aca="false">IF($E96="","",IF($M96,IF(AND($G96&gt;=CR$5,$G96&lt;CR$5+GanttPeriod),"◆",IF(AND($E96&gt;=CR$5,$E96&lt;CR$5+GanttPeriod),"◇","")),IF(AND(CR$5&lt;=$F96,CR$5+GanttPeriod-1&gt;=$E96),"━","")))</f>
        <v/>
      </c>
      <c r="CS96" s="69" t="str">
        <f aca="false">IF($E96="","",IF($M96,IF(AND($G96&gt;=CS$5,$G96&lt;CS$5+GanttPeriod),"◆",IF(AND($E96&gt;=CS$5,$E96&lt;CS$5+GanttPeriod),"◇","")),IF(AND(CS$5&lt;=$F96,CS$5+GanttPeriod-1&gt;=$E96),"━","")))</f>
        <v/>
      </c>
      <c r="CT96" s="69" t="str">
        <f aca="false">IF($E96="","",IF($M96,IF(AND($G96&gt;=CT$5,$G96&lt;CT$5+GanttPeriod),"◆",IF(AND($E96&gt;=CT$5,$E96&lt;CT$5+GanttPeriod),"◇","")),IF(AND(CT$5&lt;=$F96,CT$5+GanttPeriod-1&gt;=$E96),"━","")))</f>
        <v/>
      </c>
      <c r="CU96" s="69" t="str">
        <f aca="false">IF($E96="","",IF($M96,IF(AND($G96&gt;=CU$5,$G96&lt;CU$5+GanttPeriod),"◆",IF(AND($E96&gt;=CU$5,$E96&lt;CU$5+GanttPeriod),"◇","")),IF(AND(CU$5&lt;=$F96,CU$5+GanttPeriod-1&gt;=$E96),"━","")))</f>
        <v/>
      </c>
      <c r="CV96" s="69" t="str">
        <f aca="false">IF($E96="","",IF($M96,IF(AND($G96&gt;=CV$5,$G96&lt;CV$5+GanttPeriod),"◆",IF(AND($E96&gt;=CV$5,$E96&lt;CV$5+GanttPeriod),"◇","")),IF(AND(CV$5&lt;=$F96,CV$5+GanttPeriod-1&gt;=$E96),"━","")))</f>
        <v/>
      </c>
      <c r="CW96" s="69" t="str">
        <f aca="false">IF($E96="","",IF($M96,IF(AND($G96&gt;=CW$5,$G96&lt;CW$5+GanttPeriod),"◆",IF(AND($E96&gt;=CW$5,$E96&lt;CW$5+GanttPeriod),"◇","")),IF(AND(CW$5&lt;=$F96,CW$5+GanttPeriod-1&gt;=$E96),"━","")))</f>
        <v/>
      </c>
      <c r="CX96" s="69" t="str">
        <f aca="false">IF($E96="","",IF($M96,IF(AND($G96&gt;=CX$5,$G96&lt;CX$5+GanttPeriod),"◆",IF(AND($E96&gt;=CX$5,$E96&lt;CX$5+GanttPeriod),"◇","")),IF(AND(CX$5&lt;=$F96,CX$5+GanttPeriod-1&gt;=$E96),"━","")))</f>
        <v/>
      </c>
      <c r="CY96" s="69" t="str">
        <f aca="false">IF($E96="","",IF($M96,IF(AND($G96&gt;=CY$5,$G96&lt;CY$5+GanttPeriod),"◆",IF(AND($E96&gt;=CY$5,$E96&lt;CY$5+GanttPeriod),"◇","")),IF(AND(CY$5&lt;=$F96,CY$5+GanttPeriod-1&gt;=$E96),"━","")))</f>
        <v/>
      </c>
      <c r="CZ96" s="69" t="str">
        <f aca="false">IF($E96="","",IF($M96,IF(AND($G96&gt;=CZ$5,$G96&lt;CZ$5+GanttPeriod),"◆",IF(AND($E96&gt;=CZ$5,$E96&lt;CZ$5+GanttPeriod),"◇","")),IF(AND(CZ$5&lt;=$F96,CZ$5+GanttPeriod-1&gt;=$E96),"━","")))</f>
        <v/>
      </c>
      <c r="DA96" s="69" t="str">
        <f aca="false">IF($E96="","",IF($M96,IF(AND($G96&gt;=DA$5,$G96&lt;DA$5+GanttPeriod),"◆",IF(AND($E96&gt;=DA$5,$E96&lt;DA$5+GanttPeriod),"◇","")),IF(AND(DA$5&lt;=$F96,DA$5+GanttPeriod-1&gt;=$E96),"━","")))</f>
        <v/>
      </c>
      <c r="DB96" s="69" t="str">
        <f aca="false">IF($E96="","",IF($M96,IF(AND($G96&gt;=DB$5,$G96&lt;DB$5+GanttPeriod),"◆",IF(AND($E96&gt;=DB$5,$E96&lt;DB$5+GanttPeriod),"◇","")),IF(AND(DB$5&lt;=$F96,DB$5+GanttPeriod-1&gt;=$E96),"━","")))</f>
        <v/>
      </c>
      <c r="DC96" s="69" t="str">
        <f aca="false">IF($E96="","",IF($M96,IF(AND($G96&gt;=DC$5,$G96&lt;DC$5+GanttPeriod),"◆",IF(AND($E96&gt;=DC$5,$E96&lt;DC$5+GanttPeriod),"◇","")),IF(AND(DC$5&lt;=$F96,DC$5+GanttPeriod-1&gt;=$E96),"━","")))</f>
        <v/>
      </c>
      <c r="DD96" s="69" t="str">
        <f aca="false">IF($E96="","",IF($M96,IF(AND($G96&gt;=DD$5,$G96&lt;DD$5+GanttPeriod),"◆",IF(AND($E96&gt;=DD$5,$E96&lt;DD$5+GanttPeriod),"◇","")),IF(AND(DD$5&lt;=$F96,DD$5+GanttPeriod-1&gt;=$E96),"━","")))</f>
        <v/>
      </c>
      <c r="DE96" s="69" t="str">
        <f aca="false">IF($E96="","",IF($M96,IF(AND($G96&gt;=DE$5,$G96&lt;DE$5+GanttPeriod),"◆",IF(AND($E96&gt;=DE$5,$E96&lt;DE$5+GanttPeriod),"◇","")),IF(AND(DE$5&lt;=$F96,DE$5+GanttPeriod-1&gt;=$E96),"━","")))</f>
        <v/>
      </c>
      <c r="DF96" s="69" t="str">
        <f aca="false">IF($E96="","",IF($M96,IF(AND($G96&gt;=DF$5,$G96&lt;DF$5+GanttPeriod),"◆",IF(AND($E96&gt;=DF$5,$E96&lt;DF$5+GanttPeriod),"◇","")),IF(AND(DF$5&lt;=$F96,DF$5+GanttPeriod-1&gt;=$E96),"━","")))</f>
        <v/>
      </c>
      <c r="DG96" s="69" t="str">
        <f aca="false">IF($E96="","",IF($M96,IF(AND($G96&gt;=DG$5,$G96&lt;DG$5+GanttPeriod),"◆",IF(AND($E96&gt;=DG$5,$E96&lt;DG$5+GanttPeriod),"◇","")),IF(AND(DG$5&lt;=$F96,DG$5+GanttPeriod-1&gt;=$E96),"━","")))</f>
        <v/>
      </c>
      <c r="DH96" s="69" t="str">
        <f aca="false">IF($E96="","",IF($M96,IF(AND($G96&gt;=DH$5,$G96&lt;DH$5+GanttPeriod),"◆",IF(AND($E96&gt;=DH$5,$E96&lt;DH$5+GanttPeriod),"◇","")),IF(AND(DH$5&lt;=$F96,DH$5+GanttPeriod-1&gt;=$E96),"━","")))</f>
        <v/>
      </c>
      <c r="DI96" s="69" t="str">
        <f aca="false">IF($E96="","",IF($M96,IF(AND($G96&gt;=DI$5,$G96&lt;DI$5+GanttPeriod),"◆",IF(AND($E96&gt;=DI$5,$E96&lt;DI$5+GanttPeriod),"◇","")),IF(AND(DI$5&lt;=$F96,DI$5+GanttPeriod-1&gt;=$E96),"━","")))</f>
        <v/>
      </c>
      <c r="DJ96" s="69" t="str">
        <f aca="false">IF($E96="","",IF($M96,IF(AND($G96&gt;=DJ$5,$G96&lt;DJ$5+GanttPeriod),"◆",IF(AND($E96&gt;=DJ$5,$E96&lt;DJ$5+GanttPeriod),"◇","")),IF(AND(DJ$5&lt;=$F96,DJ$5+GanttPeriod-1&gt;=$E96),"━","")))</f>
        <v/>
      </c>
      <c r="DK96" s="69" t="str">
        <f aca="false">IF($E96="","",IF($M96,IF(AND($G96&gt;=DK$5,$G96&lt;DK$5+GanttPeriod),"◆",IF(AND($E96&gt;=DK$5,$E96&lt;DK$5+GanttPeriod),"◇","")),IF(AND(DK$5&lt;=$F96,DK$5+GanttPeriod-1&gt;=$E96),"━","")))</f>
        <v/>
      </c>
      <c r="DL96" s="69" t="str">
        <f aca="false">IF($E96="","",IF($M96,IF(AND($G96&gt;=DL$5,$G96&lt;DL$5+GanttPeriod),"◆",IF(AND($E96&gt;=DL$5,$E96&lt;DL$5+GanttPeriod),"◇","")),IF(AND(DL$5&lt;=$F96,DL$5+GanttPeriod-1&gt;=$E96),"━","")))</f>
        <v/>
      </c>
      <c r="DM96" s="69" t="str">
        <f aca="false">IF($E96="","",IF($M96,IF(AND($G96&gt;=DM$5,$G96&lt;DM$5+GanttPeriod),"◆",IF(AND($E96&gt;=DM$5,$E96&lt;DM$5+GanttPeriod),"◇","")),IF(AND(DM$5&lt;=$F96,DM$5+GanttPeriod-1&gt;=$E96),"━","")))</f>
        <v/>
      </c>
      <c r="DN96" s="69" t="str">
        <f aca="false">IF($E96="","",IF($M96,IF(AND($G96&gt;=DN$5,$G96&lt;DN$5+GanttPeriod),"◆",IF(AND($E96&gt;=DN$5,$E96&lt;DN$5+GanttPeriod),"◇","")),IF(AND(DN$5&lt;=$F96,DN$5+GanttPeriod-1&gt;=$E96),"━","")))</f>
        <v/>
      </c>
      <c r="DO96" s="69" t="str">
        <f aca="false">IF($E96="","",IF($M96,IF(AND($G96&gt;=DO$5,$G96&lt;DO$5+GanttPeriod),"◆",IF(AND($E96&gt;=DO$5,$E96&lt;DO$5+GanttPeriod),"◇","")),IF(AND(DO$5&lt;=$F96,DO$5+GanttPeriod-1&gt;=$E96),"━","")))</f>
        <v/>
      </c>
      <c r="DP96" s="69" t="str">
        <f aca="false">IF($E96="","",IF($M96,IF(AND($G96&gt;=DP$5,$G96&lt;DP$5+GanttPeriod),"◆",IF(AND($E96&gt;=DP$5,$E96&lt;DP$5+GanttPeriod),"◇","")),IF(AND(DP$5&lt;=$F96,DP$5+GanttPeriod-1&gt;=$E96),"━","")))</f>
        <v/>
      </c>
      <c r="DQ96" s="69" t="str">
        <f aca="false">IF($E96="","",IF($M96,IF(AND($G96&gt;=DQ$5,$G96&lt;DQ$5+GanttPeriod),"◆",IF(AND($E96&gt;=DQ$5,$E96&lt;DQ$5+GanttPeriod),"◇","")),IF(AND(DQ$5&lt;=$F96,DQ$5+GanttPeriod-1&gt;=$E96),"━","")))</f>
        <v/>
      </c>
      <c r="DR96" s="69" t="str">
        <f aca="false">IF($E96="","",IF($M96,IF(AND($G96&gt;=DR$5,$G96&lt;DR$5+GanttPeriod),"◆",IF(AND($E96&gt;=DR$5,$E96&lt;DR$5+GanttPeriod),"◇","")),IF(AND(DR$5&lt;=$F96,DR$5+GanttPeriod-1&gt;=$E96),"━","")))</f>
        <v/>
      </c>
      <c r="DS96" s="69" t="str">
        <f aca="false">IF($E96="","",IF($M96,IF(AND($G96&gt;=DS$5,$G96&lt;DS$5+GanttPeriod),"◆",IF(AND($E96&gt;=DS$5,$E96&lt;DS$5+GanttPeriod),"◇","")),IF(AND(DS$5&lt;=$F96,DS$5+GanttPeriod-1&gt;=$E96),"━","")))</f>
        <v/>
      </c>
      <c r="DT96" s="69" t="str">
        <f aca="false">IF($E96="","",IF($M96,IF(AND($G96&gt;=DT$5,$G96&lt;DT$5+GanttPeriod),"◆",IF(AND($E96&gt;=DT$5,$E96&lt;DT$5+GanttPeriod),"◇","")),IF(AND(DT$5&lt;=$F96,DT$5+GanttPeriod-1&gt;=$E96),"━","")))</f>
        <v/>
      </c>
      <c r="DU96" s="69" t="str">
        <f aca="false">IF($E96="","",IF($M96,IF(AND($G96&gt;=DU$5,$G96&lt;DU$5+GanttPeriod),"◆",IF(AND($E96&gt;=DU$5,$E96&lt;DU$5+GanttPeriod),"◇","")),IF(AND(DU$5&lt;=$F96,DU$5+GanttPeriod-1&gt;=$E96),"━","")))</f>
        <v/>
      </c>
      <c r="DV96" s="69" t="str">
        <f aca="false">IF($E96="","",IF($M96,IF(AND($G96&gt;=DV$5,$G96&lt;DV$5+GanttPeriod),"◆",IF(AND($E96&gt;=DV$5,$E96&lt;DV$5+GanttPeriod),"◇","")),IF(AND(DV$5&lt;=$F96,DV$5+GanttPeriod-1&gt;=$E96),"━","")))</f>
        <v/>
      </c>
      <c r="DW96" s="69" t="str">
        <f aca="false">IF($E96="","",IF($M96,IF(AND($G96&gt;=DW$5,$G96&lt;DW$5+GanttPeriod),"◆",IF(AND($E96&gt;=DW$5,$E96&lt;DW$5+GanttPeriod),"◇","")),IF(AND(DW$5&lt;=$F96,DW$5+GanttPeriod-1&gt;=$E96),"━","")))</f>
        <v/>
      </c>
      <c r="DX96" s="69" t="str">
        <f aca="false">IF($E96="","",IF($M96,IF(AND($G96&gt;=DX$5,$G96&lt;DX$5+GanttPeriod),"◆",IF(AND($E96&gt;=DX$5,$E96&lt;DX$5+GanttPeriod),"◇","")),IF(AND(DX$5&lt;=$F96,DX$5+GanttPeriod-1&gt;=$E96),"━","")))</f>
        <v/>
      </c>
      <c r="DY96" s="69" t="str">
        <f aca="false">IF($E96="","",IF($M96,IF(AND($G96&gt;=DY$5,$G96&lt;DY$5+GanttPeriod),"◆",IF(AND($E96&gt;=DY$5,$E96&lt;DY$5+GanttPeriod),"◇","")),IF(AND(DY$5&lt;=$F96,DY$5+GanttPeriod-1&gt;=$E96),"━","")))</f>
        <v/>
      </c>
      <c r="DZ96" s="69" t="str">
        <f aca="false">IF($E96="","",IF($M96,IF(AND($G96&gt;=DZ$5,$G96&lt;DZ$5+GanttPeriod),"◆",IF(AND($E96&gt;=DZ$5,$E96&lt;DZ$5+GanttPeriod),"◇","")),IF(AND(DZ$5&lt;=$F96,DZ$5+GanttPeriod-1&gt;=$E96),"━","")))</f>
        <v/>
      </c>
      <c r="EA96" s="69" t="str">
        <f aca="false">IF($E96="","",IF($M96,IF(AND($G96&gt;=EA$5,$G96&lt;EA$5+GanttPeriod),"◆",IF(AND($E96&gt;=EA$5,$E96&lt;EA$5+GanttPeriod),"◇","")),IF(AND(EA$5&lt;=$F96,EA$5+GanttPeriod-1&gt;=$E96),"━","")))</f>
        <v/>
      </c>
      <c r="EB96" s="69" t="str">
        <f aca="false">IF($E96="","",IF($M96,IF(AND($G96&gt;=EB$5,$G96&lt;EB$5+GanttPeriod),"◆",IF(AND($E96&gt;=EB$5,$E96&lt;EB$5+GanttPeriod),"◇","")),IF(AND(EB$5&lt;=$F96,EB$5+GanttPeriod-1&gt;=$E96),"━","")))</f>
        <v/>
      </c>
      <c r="EC96" s="69" t="str">
        <f aca="false">IF($E96="","",IF($M96,IF(AND($G96&gt;=EC$5,$G96&lt;EC$5+GanttPeriod),"◆",IF(AND($E96&gt;=EC$5,$E96&lt;EC$5+GanttPeriod),"◇","")),IF(AND(EC$5&lt;=$F96,EC$5+GanttPeriod-1&gt;=$E96),"━","")))</f>
        <v/>
      </c>
      <c r="ED96" s="69" t="str">
        <f aca="false">IF($E96="","",IF($M96,IF(AND($G96&gt;=ED$5,$G96&lt;ED$5+GanttPeriod),"◆",IF(AND($E96&gt;=ED$5,$E96&lt;ED$5+GanttPeriod),"◇","")),IF(AND(ED$5&lt;=$F96,ED$5+GanttPeriod-1&gt;=$E96),"━","")))</f>
        <v/>
      </c>
      <c r="EE96" s="69" t="str">
        <f aca="false">IF($E96="","",IF($M96,IF(AND($G96&gt;=EE$5,$G96&lt;EE$5+GanttPeriod),"◆",IF(AND($E96&gt;=EE$5,$E96&lt;EE$5+GanttPeriod),"◇","")),IF(AND(EE$5&lt;=$F96,EE$5+GanttPeriod-1&gt;=$E96),"━","")))</f>
        <v/>
      </c>
      <c r="EF96" s="69" t="str">
        <f aca="false">IF($E96="","",IF($M96,IF(AND($G96&gt;=EF$5,$G96&lt;EF$5+GanttPeriod),"◆",IF(AND($E96&gt;=EF$5,$E96&lt;EF$5+GanttPeriod),"◇","")),IF(AND(EF$5&lt;=$F96,EF$5+GanttPeriod-1&gt;=$E96),"━","")))</f>
        <v/>
      </c>
      <c r="EG96" s="69" t="str">
        <f aca="false">IF($E96="","",IF($M96,IF(AND($G96&gt;=EG$5,$G96&lt;EG$5+GanttPeriod),"◆",IF(AND($E96&gt;=EG$5,$E96&lt;EG$5+GanttPeriod),"◇","")),IF(AND(EG$5&lt;=$F96,EG$5+GanttPeriod-1&gt;=$E96),"━","")))</f>
        <v/>
      </c>
      <c r="EH96" s="69" t="str">
        <f aca="false">IF($E96="","",IF($M96,IF(AND($G96&gt;=EH$5,$G96&lt;EH$5+GanttPeriod),"◆",IF(AND($E96&gt;=EH$5,$E96&lt;EH$5+GanttPeriod),"◇","")),IF(AND(EH$5&lt;=$F96,EH$5+GanttPeriod-1&gt;=$E96),"━","")))</f>
        <v/>
      </c>
      <c r="EI96" s="69" t="str">
        <f aca="false">IF($E96="","",IF($M96,IF(AND($G96&gt;=EI$5,$G96&lt;EI$5+GanttPeriod),"◆",IF(AND($E96&gt;=EI$5,$E96&lt;EI$5+GanttPeriod),"◇","")),IF(AND(EI$5&lt;=$F96,EI$5+GanttPeriod-1&gt;=$E96),"━","")))</f>
        <v/>
      </c>
      <c r="EJ96" s="69" t="str">
        <f aca="false">IF($E96="","",IF($M96,IF(AND($G96&gt;=EJ$5,$G96&lt;EJ$5+GanttPeriod),"◆",IF(AND($E96&gt;=EJ$5,$E96&lt;EJ$5+GanttPeriod),"◇","")),IF(AND(EJ$5&lt;=$F96,EJ$5+GanttPeriod-1&gt;=$E96),"━","")))</f>
        <v/>
      </c>
      <c r="EK96" s="69" t="str">
        <f aca="false">IF($E96="","",IF($M96,IF(AND($G96&gt;=EK$5,$G96&lt;EK$5+GanttPeriod),"◆",IF(AND($E96&gt;=EK$5,$E96&lt;EK$5+GanttPeriod),"◇","")),IF(AND(EK$5&lt;=$F96,EK$5+GanttPeriod-1&gt;=$E96),"━","")))</f>
        <v/>
      </c>
      <c r="EL96" s="69" t="str">
        <f aca="false">IF($E96="","",IF($M96,IF(AND($G96&gt;=EL$5,$G96&lt;EL$5+GanttPeriod),"◆",IF(AND($E96&gt;=EL$5,$E96&lt;EL$5+GanttPeriod),"◇","")),IF(AND(EL$5&lt;=$F96,EL$5+GanttPeriod-1&gt;=$E96),"━","")))</f>
        <v/>
      </c>
      <c r="EM96" s="69" t="str">
        <f aca="false">IF($E96="","",IF($M96,IF(AND($G96&gt;=EM$5,$G96&lt;EM$5+GanttPeriod),"◆",IF(AND($E96&gt;=EM$5,$E96&lt;EM$5+GanttPeriod),"◇","")),IF(AND(EM$5&lt;=$F96,EM$5+GanttPeriod-1&gt;=$E96),"━","")))</f>
        <v/>
      </c>
      <c r="EN96" s="69" t="str">
        <f aca="false">IF($E96="","",IF($M96,IF(AND($G96&gt;=EN$5,$G96&lt;EN$5+GanttPeriod),"◆",IF(AND($E96&gt;=EN$5,$E96&lt;EN$5+GanttPeriod),"◇","")),IF(AND(EN$5&lt;=$F96,EN$5+GanttPeriod-1&gt;=$E96),"━","")))</f>
        <v/>
      </c>
      <c r="EO96" s="69" t="str">
        <f aca="false">IF($E96="","",IF($M96,IF(AND($G96&gt;=EO$5,$G96&lt;EO$5+GanttPeriod),"◆",IF(AND($E96&gt;=EO$5,$E96&lt;EO$5+GanttPeriod),"◇","")),IF(AND(EO$5&lt;=$F96,EO$5+GanttPeriod-1&gt;=$E96),"━","")))</f>
        <v/>
      </c>
      <c r="EP96" s="69" t="str">
        <f aca="false">IF($E96="","",IF($M96,IF(AND($G96&gt;=EP$5,$G96&lt;EP$5+GanttPeriod),"◆",IF(AND($E96&gt;=EP$5,$E96&lt;EP$5+GanttPeriod),"◇","")),IF(AND(EP$5&lt;=$F96,EP$5+GanttPeriod-1&gt;=$E96),"━","")))</f>
        <v/>
      </c>
      <c r="EQ96" s="69" t="str">
        <f aca="false">IF($E96="","",IF($M96,IF(AND($G96&gt;=EQ$5,$G96&lt;EQ$5+GanttPeriod),"◆",IF(AND($E96&gt;=EQ$5,$E96&lt;EQ$5+GanttPeriod),"◇","")),IF(AND(EQ$5&lt;=$F96,EQ$5+GanttPeriod-1&gt;=$E96),"━","")))</f>
        <v/>
      </c>
      <c r="ER96" s="69" t="str">
        <f aca="false">IF($E96="","",IF($M96,IF(AND($G96&gt;=ER$5,$G96&lt;ER$5+GanttPeriod),"◆",IF(AND($E96&gt;=ER$5,$E96&lt;ER$5+GanttPeriod),"◇","")),IF(AND(ER$5&lt;=$F96,ER$5+GanttPeriod-1&gt;=$E96),"━","")))</f>
        <v/>
      </c>
      <c r="ES96" s="69" t="str">
        <f aca="false">IF($E96="","",IF($M96,IF(AND($G96&gt;=ES$5,$G96&lt;ES$5+GanttPeriod),"◆",IF(AND($E96&gt;=ES$5,$E96&lt;ES$5+GanttPeriod),"◇","")),IF(AND(ES$5&lt;=$F96,ES$5+GanttPeriod-1&gt;=$E96),"━","")))</f>
        <v/>
      </c>
      <c r="ET96" s="69" t="str">
        <f aca="false">IF($E96="","",IF($M96,IF(AND($G96&gt;=ET$5,$G96&lt;ET$5+GanttPeriod),"◆",IF(AND($E96&gt;=ET$5,$E96&lt;ET$5+GanttPeriod),"◇","")),IF(AND(ET$5&lt;=$F96,ET$5+GanttPeriod-1&gt;=$E96),"━","")))</f>
        <v/>
      </c>
      <c r="EU96" s="69" t="str">
        <f aca="false">IF($E96="","",IF($M96,IF(AND($G96&gt;=EU$5,$G96&lt;EU$5+GanttPeriod),"◆",IF(AND($E96&gt;=EU$5,$E96&lt;EU$5+GanttPeriod),"◇","")),IF(AND(EU$5&lt;=$F96,EU$5+GanttPeriod-1&gt;=$E96),"━","")))</f>
        <v/>
      </c>
      <c r="EV96" s="69" t="str">
        <f aca="false">IF($E96="","",IF($M96,IF(AND($G96&gt;=EV$5,$G96&lt;EV$5+GanttPeriod),"◆",IF(AND($E96&gt;=EV$5,$E96&lt;EV$5+GanttPeriod),"◇","")),IF(AND(EV$5&lt;=$F96,EV$5+GanttPeriod-1&gt;=$E96),"━","")))</f>
        <v/>
      </c>
      <c r="EW96" s="69" t="str">
        <f aca="false">IF($E96="","",IF($M96,IF(AND($G96&gt;=EW$5,$G96&lt;EW$5+GanttPeriod),"◆",IF(AND($E96&gt;=EW$5,$E96&lt;EW$5+GanttPeriod),"◇","")),IF(AND(EW$5&lt;=$F96,EW$5+GanttPeriod-1&gt;=$E96),"━","")))</f>
        <v/>
      </c>
      <c r="EX96" s="69" t="str">
        <f aca="false">IF($E96="","",IF($M96,IF(AND($G96&gt;=EX$5,$G96&lt;EX$5+GanttPeriod),"◆",IF(AND($E96&gt;=EX$5,$E96&lt;EX$5+GanttPeriod),"◇","")),IF(AND(EX$5&lt;=$F96,EX$5+GanttPeriod-1&gt;=$E96),"━","")))</f>
        <v/>
      </c>
      <c r="EY96" s="69" t="str">
        <f aca="false">IF($E96="","",IF($M96,IF(AND($G96&gt;=EY$5,$G96&lt;EY$5+GanttPeriod),"◆",IF(AND($E96&gt;=EY$5,$E96&lt;EY$5+GanttPeriod),"◇","")),IF(AND(EY$5&lt;=$F96,EY$5+GanttPeriod-1&gt;=$E96),"━","")))</f>
        <v/>
      </c>
      <c r="EZ96" s="69" t="str">
        <f aca="false">IF($E96="","",IF($M96,IF(AND($G96&gt;=EZ$5,$G96&lt;EZ$5+GanttPeriod),"◆",IF(AND($E96&gt;=EZ$5,$E96&lt;EZ$5+GanttPeriod),"◇","")),IF(AND(EZ$5&lt;=$F96,EZ$5+GanttPeriod-1&gt;=$E96),"━","")))</f>
        <v/>
      </c>
      <c r="FA96" s="69" t="str">
        <f aca="false">IF($E96="","",IF($M96,IF(AND($G96&gt;=FA$5,$G96&lt;FA$5+GanttPeriod),"◆",IF(AND($E96&gt;=FA$5,$E96&lt;FA$5+GanttPeriod),"◇","")),IF(AND(FA$5&lt;=$F96,FA$5+GanttPeriod-1&gt;=$E96),"━","")))</f>
        <v/>
      </c>
      <c r="FB96" s="69" t="str">
        <f aca="false">IF($E96="","",IF($M96,IF(AND($G96&gt;=FB$5,$G96&lt;FB$5+GanttPeriod),"◆",IF(AND($E96&gt;=FB$5,$E96&lt;FB$5+GanttPeriod),"◇","")),IF(AND(FB$5&lt;=$F96,FB$5+GanttPeriod-1&gt;=$E96),"━","")))</f>
        <v/>
      </c>
      <c r="FC96" s="69" t="str">
        <f aca="false">IF($E96="","",IF($M96,IF(AND($G96&gt;=FC$5,$G96&lt;FC$5+GanttPeriod),"◆",IF(AND($E96&gt;=FC$5,$E96&lt;FC$5+GanttPeriod),"◇","")),IF(AND(FC$5&lt;=$F96,FC$5+GanttPeriod-1&gt;=$E96),"━","")))</f>
        <v/>
      </c>
      <c r="FD96" s="69" t="str">
        <f aca="false">IF($E96="","",IF($M96,IF(AND($G96&gt;=FD$5,$G96&lt;FD$5+GanttPeriod),"◆",IF(AND($E96&gt;=FD$5,$E96&lt;FD$5+GanttPeriod),"◇","")),IF(AND(FD$5&lt;=$F96,FD$5+GanttPeriod-1&gt;=$E96),"━","")))</f>
        <v/>
      </c>
      <c r="FE96" s="69" t="str">
        <f aca="false">IF($E96="","",IF($M96,IF(AND($G96&gt;=FE$5,$G96&lt;FE$5+GanttPeriod),"◆",IF(AND($E96&gt;=FE$5,$E96&lt;FE$5+GanttPeriod),"◇","")),IF(AND(FE$5&lt;=$F96,FE$5+GanttPeriod-1&gt;=$E96),"━","")))</f>
        <v/>
      </c>
      <c r="FF96" s="69" t="str">
        <f aca="false">IF($E96="","",IF($M96,IF(AND($G96&gt;=FF$5,$G96&lt;FF$5+GanttPeriod),"◆",IF(AND($E96&gt;=FF$5,$E96&lt;FF$5+GanttPeriod),"◇","")),IF(AND(FF$5&lt;=$F96,FF$5+GanttPeriod-1&gt;=$E96),"━","")))</f>
        <v/>
      </c>
      <c r="FG96" s="69" t="str">
        <f aca="false">IF($E96="","",IF($M96,IF(AND($G96&gt;=FG$5,$G96&lt;FG$5+GanttPeriod),"◆",IF(AND($E96&gt;=FG$5,$E96&lt;FG$5+GanttPeriod),"◇","")),IF(AND(FG$5&lt;=$F96,FG$5+GanttPeriod-1&gt;=$E96),"━","")))</f>
        <v/>
      </c>
      <c r="FH96" s="69" t="str">
        <f aca="false">IF($E96="","",IF($M96,IF(AND($G96&gt;=FH$5,$G96&lt;FH$5+GanttPeriod),"◆",IF(AND($E96&gt;=FH$5,$E96&lt;FH$5+GanttPeriod),"◇","")),IF(AND(FH$5&lt;=$F96,FH$5+GanttPeriod-1&gt;=$E96),"━","")))</f>
        <v/>
      </c>
      <c r="FI96" s="69" t="str">
        <f aca="false">IF($E96="","",IF($M96,IF(AND($G96&gt;=FI$5,$G96&lt;FI$5+GanttPeriod),"◆",IF(AND($E96&gt;=FI$5,$E96&lt;FI$5+GanttPeriod),"◇","")),IF(AND(FI$5&lt;=$F96,FI$5+GanttPeriod-1&gt;=$E96),"━","")))</f>
        <v/>
      </c>
      <c r="FJ96" s="69" t="str">
        <f aca="false">IF($E96="","",IF($M96,IF(AND($G96&gt;=FJ$5,$G96&lt;FJ$5+GanttPeriod),"◆",IF(AND($E96&gt;=FJ$5,$E96&lt;FJ$5+GanttPeriod),"◇","")),IF(AND(FJ$5&lt;=$F96,FJ$5+GanttPeriod-1&gt;=$E96),"━","")))</f>
        <v/>
      </c>
      <c r="FK96" s="69" t="str">
        <f aca="false">IF($E96="","",IF($M96,IF(AND($G96&gt;=FK$5,$G96&lt;FK$5+GanttPeriod),"◆",IF(AND($E96&gt;=FK$5,$E96&lt;FK$5+GanttPeriod),"◇","")),IF(AND(FK$5&lt;=$F96,FK$5+GanttPeriod-1&gt;=$E96),"━","")))</f>
        <v/>
      </c>
      <c r="FL96" s="69" t="str">
        <f aca="false">IF($E96="","",IF($M96,IF(AND($G96&gt;=FL$5,$G96&lt;FL$5+GanttPeriod),"◆",IF(AND($E96&gt;=FL$5,$E96&lt;FL$5+GanttPeriod),"◇","")),IF(AND(FL$5&lt;=$F96,FL$5+GanttPeriod-1&gt;=$E96),"━","")))</f>
        <v/>
      </c>
      <c r="FM96" s="69" t="str">
        <f aca="false">IF($E96="","",IF($M96,IF(AND($G96&gt;=FM$5,$G96&lt;FM$5+GanttPeriod),"◆",IF(AND($E96&gt;=FM$5,$E96&lt;FM$5+GanttPeriod),"◇","")),IF(AND(FM$5&lt;=$F96,FM$5+GanttPeriod-1&gt;=$E96),"━","")))</f>
        <v/>
      </c>
    </row>
    <row r="97" customFormat="false" ht="15" hidden="false" customHeight="false" outlineLevel="0" collapsed="false">
      <c r="A97" s="62" t="str">
        <f aca="false">IF(Tasks!$D97="","",Tasks!$A97)</f>
        <v/>
      </c>
      <c r="B97" s="62" t="str">
        <f aca="false">IF(Tasks!$D97="","",Tasks!$B97)</f>
        <v/>
      </c>
      <c r="C97" s="63" t="str">
        <f aca="false">IF(Tasks!$D97="","",REPT("    ",Tasks!$AE97-1)&amp;Tasks!$D97)</f>
        <v/>
      </c>
      <c r="D97" s="62" t="str">
        <f aca="false">IF(Tasks!$D97="","",IF(Tasks!$AI97,NETWORKDAYS.INTL(Tasks!$R97,Tasks!$S97,WorkWeek,Holidays),N(Tasks!$F97)))</f>
        <v/>
      </c>
      <c r="E97" s="64" t="str">
        <f aca="false">IF(Tasks!$D97="","",Tasks!$N97)</f>
        <v/>
      </c>
      <c r="F97" s="64" t="str">
        <f aca="false">IF(Tasks!$D97="","",Tasks!$O97)</f>
        <v/>
      </c>
      <c r="G97" s="64" t="str">
        <f aca="false">IF(Tasks!$D97="","",Tasks!$R97)</f>
        <v/>
      </c>
      <c r="H97" s="64" t="str">
        <f aca="false">IF(Tasks!$D97="","",Tasks!$S97)</f>
        <v/>
      </c>
      <c r="I97" s="65" t="str">
        <f aca="false">IF(Tasks!$D97="","",Tasks!$V97)</f>
        <v/>
      </c>
      <c r="J97" s="63" t="str">
        <f aca="false">IF(Tasks!$D97="","",Tasks!$X97&amp;"")</f>
        <v/>
      </c>
      <c r="K97" s="66" t="str">
        <f aca="false">IF(Tasks!$D97="","",Tasks!$W97)</f>
        <v/>
      </c>
      <c r="L97" s="67" t="b">
        <f aca="false">IF(Tasks!$D97="",FALSE(),Tasks!$AI97)</f>
        <v>0</v>
      </c>
      <c r="M97" s="67" t="b">
        <f aca="false">AND(Tasks!$AJ97=1,N(Tasks!$F97)=0)</f>
        <v>0</v>
      </c>
      <c r="N97" s="68" t="n">
        <f aca="false">IF(AND(Tasks!$AJ97=1,NOT($M97),N($I97)&gt;0),$G97,0)</f>
        <v>0</v>
      </c>
      <c r="O97" s="68" t="n">
        <f aca="false">IF($N97=0,0,IF($I97&gt;=1,$H97,MAX($N97,$G97+ROUND(($H97-$G97+1)*$I97,0)-1)))</f>
        <v>0</v>
      </c>
      <c r="P97" s="68" t="n">
        <f aca="false">IF(OR(Tasks!$AJ97&lt;&gt;1,$M97,N($I97)&gt;=1),0,IF($O97&gt;0,$O97+1,$G97))</f>
        <v>0</v>
      </c>
      <c r="Q97" s="68" t="n">
        <f aca="false">IF($P97=0,0,$H97)</f>
        <v>0</v>
      </c>
      <c r="R97" s="67" t="b">
        <f aca="false">AND(Tasks!$D97&lt;&gt;"",N(Tasks!$T97)&gt;0)</f>
        <v>0</v>
      </c>
      <c r="T97" s="69" t="str">
        <f aca="false">IF($E97="","",IF($M97,IF(AND($G97&gt;=T$5,$G97&lt;T$5+GanttPeriod),"◆",IF(AND($E97&gt;=T$5,$E97&lt;T$5+GanttPeriod),"◇","")),IF(AND(T$5&lt;=$F97,T$5+GanttPeriod-1&gt;=$E97),"━","")))</f>
        <v/>
      </c>
      <c r="U97" s="69" t="str">
        <f aca="false">IF($E97="","",IF($M97,IF(AND($G97&gt;=U$5,$G97&lt;U$5+GanttPeriod),"◆",IF(AND($E97&gt;=U$5,$E97&lt;U$5+GanttPeriod),"◇","")),IF(AND(U$5&lt;=$F97,U$5+GanttPeriod-1&gt;=$E97),"━","")))</f>
        <v/>
      </c>
      <c r="V97" s="69" t="str">
        <f aca="false">IF($E97="","",IF($M97,IF(AND($G97&gt;=V$5,$G97&lt;V$5+GanttPeriod),"◆",IF(AND($E97&gt;=V$5,$E97&lt;V$5+GanttPeriod),"◇","")),IF(AND(V$5&lt;=$F97,V$5+GanttPeriod-1&gt;=$E97),"━","")))</f>
        <v/>
      </c>
      <c r="W97" s="69" t="str">
        <f aca="false">IF($E97="","",IF($M97,IF(AND($G97&gt;=W$5,$G97&lt;W$5+GanttPeriod),"◆",IF(AND($E97&gt;=W$5,$E97&lt;W$5+GanttPeriod),"◇","")),IF(AND(W$5&lt;=$F97,W$5+GanttPeriod-1&gt;=$E97),"━","")))</f>
        <v/>
      </c>
      <c r="X97" s="69" t="str">
        <f aca="false">IF($E97="","",IF($M97,IF(AND($G97&gt;=X$5,$G97&lt;X$5+GanttPeriod),"◆",IF(AND($E97&gt;=X$5,$E97&lt;X$5+GanttPeriod),"◇","")),IF(AND(X$5&lt;=$F97,X$5+GanttPeriod-1&gt;=$E97),"━","")))</f>
        <v/>
      </c>
      <c r="Y97" s="69" t="str">
        <f aca="false">IF($E97="","",IF($M97,IF(AND($G97&gt;=Y$5,$G97&lt;Y$5+GanttPeriod),"◆",IF(AND($E97&gt;=Y$5,$E97&lt;Y$5+GanttPeriod),"◇","")),IF(AND(Y$5&lt;=$F97,Y$5+GanttPeriod-1&gt;=$E97),"━","")))</f>
        <v/>
      </c>
      <c r="Z97" s="69" t="str">
        <f aca="false">IF($E97="","",IF($M97,IF(AND($G97&gt;=Z$5,$G97&lt;Z$5+GanttPeriod),"◆",IF(AND($E97&gt;=Z$5,$E97&lt;Z$5+GanttPeriod),"◇","")),IF(AND(Z$5&lt;=$F97,Z$5+GanttPeriod-1&gt;=$E97),"━","")))</f>
        <v/>
      </c>
      <c r="AA97" s="69" t="str">
        <f aca="false">IF($E97="","",IF($M97,IF(AND($G97&gt;=AA$5,$G97&lt;AA$5+GanttPeriod),"◆",IF(AND($E97&gt;=AA$5,$E97&lt;AA$5+GanttPeriod),"◇","")),IF(AND(AA$5&lt;=$F97,AA$5+GanttPeriod-1&gt;=$E97),"━","")))</f>
        <v/>
      </c>
      <c r="AB97" s="69" t="str">
        <f aca="false">IF($E97="","",IF($M97,IF(AND($G97&gt;=AB$5,$G97&lt;AB$5+GanttPeriod),"◆",IF(AND($E97&gt;=AB$5,$E97&lt;AB$5+GanttPeriod),"◇","")),IF(AND(AB$5&lt;=$F97,AB$5+GanttPeriod-1&gt;=$E97),"━","")))</f>
        <v/>
      </c>
      <c r="AC97" s="69" t="str">
        <f aca="false">IF($E97="","",IF($M97,IF(AND($G97&gt;=AC$5,$G97&lt;AC$5+GanttPeriod),"◆",IF(AND($E97&gt;=AC$5,$E97&lt;AC$5+GanttPeriod),"◇","")),IF(AND(AC$5&lt;=$F97,AC$5+GanttPeriod-1&gt;=$E97),"━","")))</f>
        <v/>
      </c>
      <c r="AD97" s="69" t="str">
        <f aca="false">IF($E97="","",IF($M97,IF(AND($G97&gt;=AD$5,$G97&lt;AD$5+GanttPeriod),"◆",IF(AND($E97&gt;=AD$5,$E97&lt;AD$5+GanttPeriod),"◇","")),IF(AND(AD$5&lt;=$F97,AD$5+GanttPeriod-1&gt;=$E97),"━","")))</f>
        <v/>
      </c>
      <c r="AE97" s="69" t="str">
        <f aca="false">IF($E97="","",IF($M97,IF(AND($G97&gt;=AE$5,$G97&lt;AE$5+GanttPeriod),"◆",IF(AND($E97&gt;=AE$5,$E97&lt;AE$5+GanttPeriod),"◇","")),IF(AND(AE$5&lt;=$F97,AE$5+GanttPeriod-1&gt;=$E97),"━","")))</f>
        <v/>
      </c>
      <c r="AF97" s="69" t="str">
        <f aca="false">IF($E97="","",IF($M97,IF(AND($G97&gt;=AF$5,$G97&lt;AF$5+GanttPeriod),"◆",IF(AND($E97&gt;=AF$5,$E97&lt;AF$5+GanttPeriod),"◇","")),IF(AND(AF$5&lt;=$F97,AF$5+GanttPeriod-1&gt;=$E97),"━","")))</f>
        <v/>
      </c>
      <c r="AG97" s="69" t="str">
        <f aca="false">IF($E97="","",IF($M97,IF(AND($G97&gt;=AG$5,$G97&lt;AG$5+GanttPeriod),"◆",IF(AND($E97&gt;=AG$5,$E97&lt;AG$5+GanttPeriod),"◇","")),IF(AND(AG$5&lt;=$F97,AG$5+GanttPeriod-1&gt;=$E97),"━","")))</f>
        <v/>
      </c>
      <c r="AH97" s="69" t="str">
        <f aca="false">IF($E97="","",IF($M97,IF(AND($G97&gt;=AH$5,$G97&lt;AH$5+GanttPeriod),"◆",IF(AND($E97&gt;=AH$5,$E97&lt;AH$5+GanttPeriod),"◇","")),IF(AND(AH$5&lt;=$F97,AH$5+GanttPeriod-1&gt;=$E97),"━","")))</f>
        <v/>
      </c>
      <c r="AI97" s="69" t="str">
        <f aca="false">IF($E97="","",IF($M97,IF(AND($G97&gt;=AI$5,$G97&lt;AI$5+GanttPeriod),"◆",IF(AND($E97&gt;=AI$5,$E97&lt;AI$5+GanttPeriod),"◇","")),IF(AND(AI$5&lt;=$F97,AI$5+GanttPeriod-1&gt;=$E97),"━","")))</f>
        <v/>
      </c>
      <c r="AJ97" s="69" t="str">
        <f aca="false">IF($E97="","",IF($M97,IF(AND($G97&gt;=AJ$5,$G97&lt;AJ$5+GanttPeriod),"◆",IF(AND($E97&gt;=AJ$5,$E97&lt;AJ$5+GanttPeriod),"◇","")),IF(AND(AJ$5&lt;=$F97,AJ$5+GanttPeriod-1&gt;=$E97),"━","")))</f>
        <v/>
      </c>
      <c r="AK97" s="69" t="str">
        <f aca="false">IF($E97="","",IF($M97,IF(AND($G97&gt;=AK$5,$G97&lt;AK$5+GanttPeriod),"◆",IF(AND($E97&gt;=AK$5,$E97&lt;AK$5+GanttPeriod),"◇","")),IF(AND(AK$5&lt;=$F97,AK$5+GanttPeriod-1&gt;=$E97),"━","")))</f>
        <v/>
      </c>
      <c r="AL97" s="69" t="str">
        <f aca="false">IF($E97="","",IF($M97,IF(AND($G97&gt;=AL$5,$G97&lt;AL$5+GanttPeriod),"◆",IF(AND($E97&gt;=AL$5,$E97&lt;AL$5+GanttPeriod),"◇","")),IF(AND(AL$5&lt;=$F97,AL$5+GanttPeriod-1&gt;=$E97),"━","")))</f>
        <v/>
      </c>
      <c r="AM97" s="69" t="str">
        <f aca="false">IF($E97="","",IF($M97,IF(AND($G97&gt;=AM$5,$G97&lt;AM$5+GanttPeriod),"◆",IF(AND($E97&gt;=AM$5,$E97&lt;AM$5+GanttPeriod),"◇","")),IF(AND(AM$5&lt;=$F97,AM$5+GanttPeriod-1&gt;=$E97),"━","")))</f>
        <v/>
      </c>
      <c r="AN97" s="69" t="str">
        <f aca="false">IF($E97="","",IF($M97,IF(AND($G97&gt;=AN$5,$G97&lt;AN$5+GanttPeriod),"◆",IF(AND($E97&gt;=AN$5,$E97&lt;AN$5+GanttPeriod),"◇","")),IF(AND(AN$5&lt;=$F97,AN$5+GanttPeriod-1&gt;=$E97),"━","")))</f>
        <v/>
      </c>
      <c r="AO97" s="69" t="str">
        <f aca="false">IF($E97="","",IF($M97,IF(AND($G97&gt;=AO$5,$G97&lt;AO$5+GanttPeriod),"◆",IF(AND($E97&gt;=AO$5,$E97&lt;AO$5+GanttPeriod),"◇","")),IF(AND(AO$5&lt;=$F97,AO$5+GanttPeriod-1&gt;=$E97),"━","")))</f>
        <v/>
      </c>
      <c r="AP97" s="69" t="str">
        <f aca="false">IF($E97="","",IF($M97,IF(AND($G97&gt;=AP$5,$G97&lt;AP$5+GanttPeriod),"◆",IF(AND($E97&gt;=AP$5,$E97&lt;AP$5+GanttPeriod),"◇","")),IF(AND(AP$5&lt;=$F97,AP$5+GanttPeriod-1&gt;=$E97),"━","")))</f>
        <v/>
      </c>
      <c r="AQ97" s="69" t="str">
        <f aca="false">IF($E97="","",IF($M97,IF(AND($G97&gt;=AQ$5,$G97&lt;AQ$5+GanttPeriod),"◆",IF(AND($E97&gt;=AQ$5,$E97&lt;AQ$5+GanttPeriod),"◇","")),IF(AND(AQ$5&lt;=$F97,AQ$5+GanttPeriod-1&gt;=$E97),"━","")))</f>
        <v/>
      </c>
      <c r="AR97" s="69" t="str">
        <f aca="false">IF($E97="","",IF($M97,IF(AND($G97&gt;=AR$5,$G97&lt;AR$5+GanttPeriod),"◆",IF(AND($E97&gt;=AR$5,$E97&lt;AR$5+GanttPeriod),"◇","")),IF(AND(AR$5&lt;=$F97,AR$5+GanttPeriod-1&gt;=$E97),"━","")))</f>
        <v/>
      </c>
      <c r="AS97" s="69" t="str">
        <f aca="false">IF($E97="","",IF($M97,IF(AND($G97&gt;=AS$5,$G97&lt;AS$5+GanttPeriod),"◆",IF(AND($E97&gt;=AS$5,$E97&lt;AS$5+GanttPeriod),"◇","")),IF(AND(AS$5&lt;=$F97,AS$5+GanttPeriod-1&gt;=$E97),"━","")))</f>
        <v/>
      </c>
      <c r="AT97" s="69" t="str">
        <f aca="false">IF($E97="","",IF($M97,IF(AND($G97&gt;=AT$5,$G97&lt;AT$5+GanttPeriod),"◆",IF(AND($E97&gt;=AT$5,$E97&lt;AT$5+GanttPeriod),"◇","")),IF(AND(AT$5&lt;=$F97,AT$5+GanttPeriod-1&gt;=$E97),"━","")))</f>
        <v/>
      </c>
      <c r="AU97" s="69" t="str">
        <f aca="false">IF($E97="","",IF($M97,IF(AND($G97&gt;=AU$5,$G97&lt;AU$5+GanttPeriod),"◆",IF(AND($E97&gt;=AU$5,$E97&lt;AU$5+GanttPeriod),"◇","")),IF(AND(AU$5&lt;=$F97,AU$5+GanttPeriod-1&gt;=$E97),"━","")))</f>
        <v/>
      </c>
      <c r="AV97" s="69" t="str">
        <f aca="false">IF($E97="","",IF($M97,IF(AND($G97&gt;=AV$5,$G97&lt;AV$5+GanttPeriod),"◆",IF(AND($E97&gt;=AV$5,$E97&lt;AV$5+GanttPeriod),"◇","")),IF(AND(AV$5&lt;=$F97,AV$5+GanttPeriod-1&gt;=$E97),"━","")))</f>
        <v/>
      </c>
      <c r="AW97" s="69" t="str">
        <f aca="false">IF($E97="","",IF($M97,IF(AND($G97&gt;=AW$5,$G97&lt;AW$5+GanttPeriod),"◆",IF(AND($E97&gt;=AW$5,$E97&lt;AW$5+GanttPeriod),"◇","")),IF(AND(AW$5&lt;=$F97,AW$5+GanttPeriod-1&gt;=$E97),"━","")))</f>
        <v/>
      </c>
      <c r="AX97" s="69" t="str">
        <f aca="false">IF($E97="","",IF($M97,IF(AND($G97&gt;=AX$5,$G97&lt;AX$5+GanttPeriod),"◆",IF(AND($E97&gt;=AX$5,$E97&lt;AX$5+GanttPeriod),"◇","")),IF(AND(AX$5&lt;=$F97,AX$5+GanttPeriod-1&gt;=$E97),"━","")))</f>
        <v/>
      </c>
      <c r="AY97" s="69" t="str">
        <f aca="false">IF($E97="","",IF($M97,IF(AND($G97&gt;=AY$5,$G97&lt;AY$5+GanttPeriod),"◆",IF(AND($E97&gt;=AY$5,$E97&lt;AY$5+GanttPeriod),"◇","")),IF(AND(AY$5&lt;=$F97,AY$5+GanttPeriod-1&gt;=$E97),"━","")))</f>
        <v/>
      </c>
      <c r="AZ97" s="69" t="str">
        <f aca="false">IF($E97="","",IF($M97,IF(AND($G97&gt;=AZ$5,$G97&lt;AZ$5+GanttPeriod),"◆",IF(AND($E97&gt;=AZ$5,$E97&lt;AZ$5+GanttPeriod),"◇","")),IF(AND(AZ$5&lt;=$F97,AZ$5+GanttPeriod-1&gt;=$E97),"━","")))</f>
        <v/>
      </c>
      <c r="BA97" s="69" t="str">
        <f aca="false">IF($E97="","",IF($M97,IF(AND($G97&gt;=BA$5,$G97&lt;BA$5+GanttPeriod),"◆",IF(AND($E97&gt;=BA$5,$E97&lt;BA$5+GanttPeriod),"◇","")),IF(AND(BA$5&lt;=$F97,BA$5+GanttPeriod-1&gt;=$E97),"━","")))</f>
        <v/>
      </c>
      <c r="BB97" s="69" t="str">
        <f aca="false">IF($E97="","",IF($M97,IF(AND($G97&gt;=BB$5,$G97&lt;BB$5+GanttPeriod),"◆",IF(AND($E97&gt;=BB$5,$E97&lt;BB$5+GanttPeriod),"◇","")),IF(AND(BB$5&lt;=$F97,BB$5+GanttPeriod-1&gt;=$E97),"━","")))</f>
        <v/>
      </c>
      <c r="BC97" s="69" t="str">
        <f aca="false">IF($E97="","",IF($M97,IF(AND($G97&gt;=BC$5,$G97&lt;BC$5+GanttPeriod),"◆",IF(AND($E97&gt;=BC$5,$E97&lt;BC$5+GanttPeriod),"◇","")),IF(AND(BC$5&lt;=$F97,BC$5+GanttPeriod-1&gt;=$E97),"━","")))</f>
        <v/>
      </c>
      <c r="BD97" s="69" t="str">
        <f aca="false">IF($E97="","",IF($M97,IF(AND($G97&gt;=BD$5,$G97&lt;BD$5+GanttPeriod),"◆",IF(AND($E97&gt;=BD$5,$E97&lt;BD$5+GanttPeriod),"◇","")),IF(AND(BD$5&lt;=$F97,BD$5+GanttPeriod-1&gt;=$E97),"━","")))</f>
        <v/>
      </c>
      <c r="BE97" s="69" t="str">
        <f aca="false">IF($E97="","",IF($M97,IF(AND($G97&gt;=BE$5,$G97&lt;BE$5+GanttPeriod),"◆",IF(AND($E97&gt;=BE$5,$E97&lt;BE$5+GanttPeriod),"◇","")),IF(AND(BE$5&lt;=$F97,BE$5+GanttPeriod-1&gt;=$E97),"━","")))</f>
        <v/>
      </c>
      <c r="BF97" s="69" t="str">
        <f aca="false">IF($E97="","",IF($M97,IF(AND($G97&gt;=BF$5,$G97&lt;BF$5+GanttPeriod),"◆",IF(AND($E97&gt;=BF$5,$E97&lt;BF$5+GanttPeriod),"◇","")),IF(AND(BF$5&lt;=$F97,BF$5+GanttPeriod-1&gt;=$E97),"━","")))</f>
        <v/>
      </c>
      <c r="BG97" s="69" t="str">
        <f aca="false">IF($E97="","",IF($M97,IF(AND($G97&gt;=BG$5,$G97&lt;BG$5+GanttPeriod),"◆",IF(AND($E97&gt;=BG$5,$E97&lt;BG$5+GanttPeriod),"◇","")),IF(AND(BG$5&lt;=$F97,BG$5+GanttPeriod-1&gt;=$E97),"━","")))</f>
        <v/>
      </c>
      <c r="BH97" s="69" t="str">
        <f aca="false">IF($E97="","",IF($M97,IF(AND($G97&gt;=BH$5,$G97&lt;BH$5+GanttPeriod),"◆",IF(AND($E97&gt;=BH$5,$E97&lt;BH$5+GanttPeriod),"◇","")),IF(AND(BH$5&lt;=$F97,BH$5+GanttPeriod-1&gt;=$E97),"━","")))</f>
        <v/>
      </c>
      <c r="BI97" s="69" t="str">
        <f aca="false">IF($E97="","",IF($M97,IF(AND($G97&gt;=BI$5,$G97&lt;BI$5+GanttPeriod),"◆",IF(AND($E97&gt;=BI$5,$E97&lt;BI$5+GanttPeriod),"◇","")),IF(AND(BI$5&lt;=$F97,BI$5+GanttPeriod-1&gt;=$E97),"━","")))</f>
        <v/>
      </c>
      <c r="BJ97" s="69" t="str">
        <f aca="false">IF($E97="","",IF($M97,IF(AND($G97&gt;=BJ$5,$G97&lt;BJ$5+GanttPeriod),"◆",IF(AND($E97&gt;=BJ$5,$E97&lt;BJ$5+GanttPeriod),"◇","")),IF(AND(BJ$5&lt;=$F97,BJ$5+GanttPeriod-1&gt;=$E97),"━","")))</f>
        <v/>
      </c>
      <c r="BK97" s="69" t="str">
        <f aca="false">IF($E97="","",IF($M97,IF(AND($G97&gt;=BK$5,$G97&lt;BK$5+GanttPeriod),"◆",IF(AND($E97&gt;=BK$5,$E97&lt;BK$5+GanttPeriod),"◇","")),IF(AND(BK$5&lt;=$F97,BK$5+GanttPeriod-1&gt;=$E97),"━","")))</f>
        <v/>
      </c>
      <c r="BL97" s="69" t="str">
        <f aca="false">IF($E97="","",IF($M97,IF(AND($G97&gt;=BL$5,$G97&lt;BL$5+GanttPeriod),"◆",IF(AND($E97&gt;=BL$5,$E97&lt;BL$5+GanttPeriod),"◇","")),IF(AND(BL$5&lt;=$F97,BL$5+GanttPeriod-1&gt;=$E97),"━","")))</f>
        <v/>
      </c>
      <c r="BM97" s="69" t="str">
        <f aca="false">IF($E97="","",IF($M97,IF(AND($G97&gt;=BM$5,$G97&lt;BM$5+GanttPeriod),"◆",IF(AND($E97&gt;=BM$5,$E97&lt;BM$5+GanttPeriod),"◇","")),IF(AND(BM$5&lt;=$F97,BM$5+GanttPeriod-1&gt;=$E97),"━","")))</f>
        <v/>
      </c>
      <c r="BN97" s="69" t="str">
        <f aca="false">IF($E97="","",IF($M97,IF(AND($G97&gt;=BN$5,$G97&lt;BN$5+GanttPeriod),"◆",IF(AND($E97&gt;=BN$5,$E97&lt;BN$5+GanttPeriod),"◇","")),IF(AND(BN$5&lt;=$F97,BN$5+GanttPeriod-1&gt;=$E97),"━","")))</f>
        <v/>
      </c>
      <c r="BO97" s="69" t="str">
        <f aca="false">IF($E97="","",IF($M97,IF(AND($G97&gt;=BO$5,$G97&lt;BO$5+GanttPeriod),"◆",IF(AND($E97&gt;=BO$5,$E97&lt;BO$5+GanttPeriod),"◇","")),IF(AND(BO$5&lt;=$F97,BO$5+GanttPeriod-1&gt;=$E97),"━","")))</f>
        <v/>
      </c>
      <c r="BP97" s="69" t="str">
        <f aca="false">IF($E97="","",IF($M97,IF(AND($G97&gt;=BP$5,$G97&lt;BP$5+GanttPeriod),"◆",IF(AND($E97&gt;=BP$5,$E97&lt;BP$5+GanttPeriod),"◇","")),IF(AND(BP$5&lt;=$F97,BP$5+GanttPeriod-1&gt;=$E97),"━","")))</f>
        <v/>
      </c>
      <c r="BQ97" s="69" t="str">
        <f aca="false">IF($E97="","",IF($M97,IF(AND($G97&gt;=BQ$5,$G97&lt;BQ$5+GanttPeriod),"◆",IF(AND($E97&gt;=BQ$5,$E97&lt;BQ$5+GanttPeriod),"◇","")),IF(AND(BQ$5&lt;=$F97,BQ$5+GanttPeriod-1&gt;=$E97),"━","")))</f>
        <v/>
      </c>
      <c r="BR97" s="69" t="str">
        <f aca="false">IF($E97="","",IF($M97,IF(AND($G97&gt;=BR$5,$G97&lt;BR$5+GanttPeriod),"◆",IF(AND($E97&gt;=BR$5,$E97&lt;BR$5+GanttPeriod),"◇","")),IF(AND(BR$5&lt;=$F97,BR$5+GanttPeriod-1&gt;=$E97),"━","")))</f>
        <v/>
      </c>
      <c r="BS97" s="69" t="str">
        <f aca="false">IF($E97="","",IF($M97,IF(AND($G97&gt;=BS$5,$G97&lt;BS$5+GanttPeriod),"◆",IF(AND($E97&gt;=BS$5,$E97&lt;BS$5+GanttPeriod),"◇","")),IF(AND(BS$5&lt;=$F97,BS$5+GanttPeriod-1&gt;=$E97),"━","")))</f>
        <v/>
      </c>
      <c r="BT97" s="69" t="str">
        <f aca="false">IF($E97="","",IF($M97,IF(AND($G97&gt;=BT$5,$G97&lt;BT$5+GanttPeriod),"◆",IF(AND($E97&gt;=BT$5,$E97&lt;BT$5+GanttPeriod),"◇","")),IF(AND(BT$5&lt;=$F97,BT$5+GanttPeriod-1&gt;=$E97),"━","")))</f>
        <v/>
      </c>
      <c r="BU97" s="69" t="str">
        <f aca="false">IF($E97="","",IF($M97,IF(AND($G97&gt;=BU$5,$G97&lt;BU$5+GanttPeriod),"◆",IF(AND($E97&gt;=BU$5,$E97&lt;BU$5+GanttPeriod),"◇","")),IF(AND(BU$5&lt;=$F97,BU$5+GanttPeriod-1&gt;=$E97),"━","")))</f>
        <v/>
      </c>
      <c r="BV97" s="69" t="str">
        <f aca="false">IF($E97="","",IF($M97,IF(AND($G97&gt;=BV$5,$G97&lt;BV$5+GanttPeriod),"◆",IF(AND($E97&gt;=BV$5,$E97&lt;BV$5+GanttPeriod),"◇","")),IF(AND(BV$5&lt;=$F97,BV$5+GanttPeriod-1&gt;=$E97),"━","")))</f>
        <v/>
      </c>
      <c r="BW97" s="69" t="str">
        <f aca="false">IF($E97="","",IF($M97,IF(AND($G97&gt;=BW$5,$G97&lt;BW$5+GanttPeriod),"◆",IF(AND($E97&gt;=BW$5,$E97&lt;BW$5+GanttPeriod),"◇","")),IF(AND(BW$5&lt;=$F97,BW$5+GanttPeriod-1&gt;=$E97),"━","")))</f>
        <v/>
      </c>
      <c r="BX97" s="69" t="str">
        <f aca="false">IF($E97="","",IF($M97,IF(AND($G97&gt;=BX$5,$G97&lt;BX$5+GanttPeriod),"◆",IF(AND($E97&gt;=BX$5,$E97&lt;BX$5+GanttPeriod),"◇","")),IF(AND(BX$5&lt;=$F97,BX$5+GanttPeriod-1&gt;=$E97),"━","")))</f>
        <v/>
      </c>
      <c r="BY97" s="69" t="str">
        <f aca="false">IF($E97="","",IF($M97,IF(AND($G97&gt;=BY$5,$G97&lt;BY$5+GanttPeriod),"◆",IF(AND($E97&gt;=BY$5,$E97&lt;BY$5+GanttPeriod),"◇","")),IF(AND(BY$5&lt;=$F97,BY$5+GanttPeriod-1&gt;=$E97),"━","")))</f>
        <v/>
      </c>
      <c r="BZ97" s="69" t="str">
        <f aca="false">IF($E97="","",IF($M97,IF(AND($G97&gt;=BZ$5,$G97&lt;BZ$5+GanttPeriod),"◆",IF(AND($E97&gt;=BZ$5,$E97&lt;BZ$5+GanttPeriod),"◇","")),IF(AND(BZ$5&lt;=$F97,BZ$5+GanttPeriod-1&gt;=$E97),"━","")))</f>
        <v/>
      </c>
      <c r="CA97" s="69" t="str">
        <f aca="false">IF($E97="","",IF($M97,IF(AND($G97&gt;=CA$5,$G97&lt;CA$5+GanttPeriod),"◆",IF(AND($E97&gt;=CA$5,$E97&lt;CA$5+GanttPeriod),"◇","")),IF(AND(CA$5&lt;=$F97,CA$5+GanttPeriod-1&gt;=$E97),"━","")))</f>
        <v/>
      </c>
      <c r="CB97" s="69" t="str">
        <f aca="false">IF($E97="","",IF($M97,IF(AND($G97&gt;=CB$5,$G97&lt;CB$5+GanttPeriod),"◆",IF(AND($E97&gt;=CB$5,$E97&lt;CB$5+GanttPeriod),"◇","")),IF(AND(CB$5&lt;=$F97,CB$5+GanttPeriod-1&gt;=$E97),"━","")))</f>
        <v/>
      </c>
      <c r="CC97" s="69" t="str">
        <f aca="false">IF($E97="","",IF($M97,IF(AND($G97&gt;=CC$5,$G97&lt;CC$5+GanttPeriod),"◆",IF(AND($E97&gt;=CC$5,$E97&lt;CC$5+GanttPeriod),"◇","")),IF(AND(CC$5&lt;=$F97,CC$5+GanttPeriod-1&gt;=$E97),"━","")))</f>
        <v/>
      </c>
      <c r="CD97" s="69" t="str">
        <f aca="false">IF($E97="","",IF($M97,IF(AND($G97&gt;=CD$5,$G97&lt;CD$5+GanttPeriod),"◆",IF(AND($E97&gt;=CD$5,$E97&lt;CD$5+GanttPeriod),"◇","")),IF(AND(CD$5&lt;=$F97,CD$5+GanttPeriod-1&gt;=$E97),"━","")))</f>
        <v/>
      </c>
      <c r="CE97" s="69" t="str">
        <f aca="false">IF($E97="","",IF($M97,IF(AND($G97&gt;=CE$5,$G97&lt;CE$5+GanttPeriod),"◆",IF(AND($E97&gt;=CE$5,$E97&lt;CE$5+GanttPeriod),"◇","")),IF(AND(CE$5&lt;=$F97,CE$5+GanttPeriod-1&gt;=$E97),"━","")))</f>
        <v/>
      </c>
      <c r="CF97" s="69" t="str">
        <f aca="false">IF($E97="","",IF($M97,IF(AND($G97&gt;=CF$5,$G97&lt;CF$5+GanttPeriod),"◆",IF(AND($E97&gt;=CF$5,$E97&lt;CF$5+GanttPeriod),"◇","")),IF(AND(CF$5&lt;=$F97,CF$5+GanttPeriod-1&gt;=$E97),"━","")))</f>
        <v/>
      </c>
      <c r="CG97" s="69" t="str">
        <f aca="false">IF($E97="","",IF($M97,IF(AND($G97&gt;=CG$5,$G97&lt;CG$5+GanttPeriod),"◆",IF(AND($E97&gt;=CG$5,$E97&lt;CG$5+GanttPeriod),"◇","")),IF(AND(CG$5&lt;=$F97,CG$5+GanttPeriod-1&gt;=$E97),"━","")))</f>
        <v/>
      </c>
      <c r="CH97" s="69" t="str">
        <f aca="false">IF($E97="","",IF($M97,IF(AND($G97&gt;=CH$5,$G97&lt;CH$5+GanttPeriod),"◆",IF(AND($E97&gt;=CH$5,$E97&lt;CH$5+GanttPeriod),"◇","")),IF(AND(CH$5&lt;=$F97,CH$5+GanttPeriod-1&gt;=$E97),"━","")))</f>
        <v/>
      </c>
      <c r="CI97" s="69" t="str">
        <f aca="false">IF($E97="","",IF($M97,IF(AND($G97&gt;=CI$5,$G97&lt;CI$5+GanttPeriod),"◆",IF(AND($E97&gt;=CI$5,$E97&lt;CI$5+GanttPeriod),"◇","")),IF(AND(CI$5&lt;=$F97,CI$5+GanttPeriod-1&gt;=$E97),"━","")))</f>
        <v/>
      </c>
      <c r="CJ97" s="69" t="str">
        <f aca="false">IF($E97="","",IF($M97,IF(AND($G97&gt;=CJ$5,$G97&lt;CJ$5+GanttPeriod),"◆",IF(AND($E97&gt;=CJ$5,$E97&lt;CJ$5+GanttPeriod),"◇","")),IF(AND(CJ$5&lt;=$F97,CJ$5+GanttPeriod-1&gt;=$E97),"━","")))</f>
        <v/>
      </c>
      <c r="CK97" s="69" t="str">
        <f aca="false">IF($E97="","",IF($M97,IF(AND($G97&gt;=CK$5,$G97&lt;CK$5+GanttPeriod),"◆",IF(AND($E97&gt;=CK$5,$E97&lt;CK$5+GanttPeriod),"◇","")),IF(AND(CK$5&lt;=$F97,CK$5+GanttPeriod-1&gt;=$E97),"━","")))</f>
        <v/>
      </c>
      <c r="CL97" s="69" t="str">
        <f aca="false">IF($E97="","",IF($M97,IF(AND($G97&gt;=CL$5,$G97&lt;CL$5+GanttPeriod),"◆",IF(AND($E97&gt;=CL$5,$E97&lt;CL$5+GanttPeriod),"◇","")),IF(AND(CL$5&lt;=$F97,CL$5+GanttPeriod-1&gt;=$E97),"━","")))</f>
        <v/>
      </c>
      <c r="CM97" s="69" t="str">
        <f aca="false">IF($E97="","",IF($M97,IF(AND($G97&gt;=CM$5,$G97&lt;CM$5+GanttPeriod),"◆",IF(AND($E97&gt;=CM$5,$E97&lt;CM$5+GanttPeriod),"◇","")),IF(AND(CM$5&lt;=$F97,CM$5+GanttPeriod-1&gt;=$E97),"━","")))</f>
        <v/>
      </c>
      <c r="CN97" s="69" t="str">
        <f aca="false">IF($E97="","",IF($M97,IF(AND($G97&gt;=CN$5,$G97&lt;CN$5+GanttPeriod),"◆",IF(AND($E97&gt;=CN$5,$E97&lt;CN$5+GanttPeriod),"◇","")),IF(AND(CN$5&lt;=$F97,CN$5+GanttPeriod-1&gt;=$E97),"━","")))</f>
        <v/>
      </c>
      <c r="CO97" s="69" t="str">
        <f aca="false">IF($E97="","",IF($M97,IF(AND($G97&gt;=CO$5,$G97&lt;CO$5+GanttPeriod),"◆",IF(AND($E97&gt;=CO$5,$E97&lt;CO$5+GanttPeriod),"◇","")),IF(AND(CO$5&lt;=$F97,CO$5+GanttPeriod-1&gt;=$E97),"━","")))</f>
        <v/>
      </c>
      <c r="CP97" s="69" t="str">
        <f aca="false">IF($E97="","",IF($M97,IF(AND($G97&gt;=CP$5,$G97&lt;CP$5+GanttPeriod),"◆",IF(AND($E97&gt;=CP$5,$E97&lt;CP$5+GanttPeriod),"◇","")),IF(AND(CP$5&lt;=$F97,CP$5+GanttPeriod-1&gt;=$E97),"━","")))</f>
        <v/>
      </c>
      <c r="CQ97" s="69" t="str">
        <f aca="false">IF($E97="","",IF($M97,IF(AND($G97&gt;=CQ$5,$G97&lt;CQ$5+GanttPeriod),"◆",IF(AND($E97&gt;=CQ$5,$E97&lt;CQ$5+GanttPeriod),"◇","")),IF(AND(CQ$5&lt;=$F97,CQ$5+GanttPeriod-1&gt;=$E97),"━","")))</f>
        <v/>
      </c>
      <c r="CR97" s="69" t="str">
        <f aca="false">IF($E97="","",IF($M97,IF(AND($G97&gt;=CR$5,$G97&lt;CR$5+GanttPeriod),"◆",IF(AND($E97&gt;=CR$5,$E97&lt;CR$5+GanttPeriod),"◇","")),IF(AND(CR$5&lt;=$F97,CR$5+GanttPeriod-1&gt;=$E97),"━","")))</f>
        <v/>
      </c>
      <c r="CS97" s="69" t="str">
        <f aca="false">IF($E97="","",IF($M97,IF(AND($G97&gt;=CS$5,$G97&lt;CS$5+GanttPeriod),"◆",IF(AND($E97&gt;=CS$5,$E97&lt;CS$5+GanttPeriod),"◇","")),IF(AND(CS$5&lt;=$F97,CS$5+GanttPeriod-1&gt;=$E97),"━","")))</f>
        <v/>
      </c>
      <c r="CT97" s="69" t="str">
        <f aca="false">IF($E97="","",IF($M97,IF(AND($G97&gt;=CT$5,$G97&lt;CT$5+GanttPeriod),"◆",IF(AND($E97&gt;=CT$5,$E97&lt;CT$5+GanttPeriod),"◇","")),IF(AND(CT$5&lt;=$F97,CT$5+GanttPeriod-1&gt;=$E97),"━","")))</f>
        <v/>
      </c>
      <c r="CU97" s="69" t="str">
        <f aca="false">IF($E97="","",IF($M97,IF(AND($G97&gt;=CU$5,$G97&lt;CU$5+GanttPeriod),"◆",IF(AND($E97&gt;=CU$5,$E97&lt;CU$5+GanttPeriod),"◇","")),IF(AND(CU$5&lt;=$F97,CU$5+GanttPeriod-1&gt;=$E97),"━","")))</f>
        <v/>
      </c>
      <c r="CV97" s="69" t="str">
        <f aca="false">IF($E97="","",IF($M97,IF(AND($G97&gt;=CV$5,$G97&lt;CV$5+GanttPeriod),"◆",IF(AND($E97&gt;=CV$5,$E97&lt;CV$5+GanttPeriod),"◇","")),IF(AND(CV$5&lt;=$F97,CV$5+GanttPeriod-1&gt;=$E97),"━","")))</f>
        <v/>
      </c>
      <c r="CW97" s="69" t="str">
        <f aca="false">IF($E97="","",IF($M97,IF(AND($G97&gt;=CW$5,$G97&lt;CW$5+GanttPeriod),"◆",IF(AND($E97&gt;=CW$5,$E97&lt;CW$5+GanttPeriod),"◇","")),IF(AND(CW$5&lt;=$F97,CW$5+GanttPeriod-1&gt;=$E97),"━","")))</f>
        <v/>
      </c>
      <c r="CX97" s="69" t="str">
        <f aca="false">IF($E97="","",IF($M97,IF(AND($G97&gt;=CX$5,$G97&lt;CX$5+GanttPeriod),"◆",IF(AND($E97&gt;=CX$5,$E97&lt;CX$5+GanttPeriod),"◇","")),IF(AND(CX$5&lt;=$F97,CX$5+GanttPeriod-1&gt;=$E97),"━","")))</f>
        <v/>
      </c>
      <c r="CY97" s="69" t="str">
        <f aca="false">IF($E97="","",IF($M97,IF(AND($G97&gt;=CY$5,$G97&lt;CY$5+GanttPeriod),"◆",IF(AND($E97&gt;=CY$5,$E97&lt;CY$5+GanttPeriod),"◇","")),IF(AND(CY$5&lt;=$F97,CY$5+GanttPeriod-1&gt;=$E97),"━","")))</f>
        <v/>
      </c>
      <c r="CZ97" s="69" t="str">
        <f aca="false">IF($E97="","",IF($M97,IF(AND($G97&gt;=CZ$5,$G97&lt;CZ$5+GanttPeriod),"◆",IF(AND($E97&gt;=CZ$5,$E97&lt;CZ$5+GanttPeriod),"◇","")),IF(AND(CZ$5&lt;=$F97,CZ$5+GanttPeriod-1&gt;=$E97),"━","")))</f>
        <v/>
      </c>
      <c r="DA97" s="69" t="str">
        <f aca="false">IF($E97="","",IF($M97,IF(AND($G97&gt;=DA$5,$G97&lt;DA$5+GanttPeriod),"◆",IF(AND($E97&gt;=DA$5,$E97&lt;DA$5+GanttPeriod),"◇","")),IF(AND(DA$5&lt;=$F97,DA$5+GanttPeriod-1&gt;=$E97),"━","")))</f>
        <v/>
      </c>
      <c r="DB97" s="69" t="str">
        <f aca="false">IF($E97="","",IF($M97,IF(AND($G97&gt;=DB$5,$G97&lt;DB$5+GanttPeriod),"◆",IF(AND($E97&gt;=DB$5,$E97&lt;DB$5+GanttPeriod),"◇","")),IF(AND(DB$5&lt;=$F97,DB$5+GanttPeriod-1&gt;=$E97),"━","")))</f>
        <v/>
      </c>
      <c r="DC97" s="69" t="str">
        <f aca="false">IF($E97="","",IF($M97,IF(AND($G97&gt;=DC$5,$G97&lt;DC$5+GanttPeriod),"◆",IF(AND($E97&gt;=DC$5,$E97&lt;DC$5+GanttPeriod),"◇","")),IF(AND(DC$5&lt;=$F97,DC$5+GanttPeriod-1&gt;=$E97),"━","")))</f>
        <v/>
      </c>
      <c r="DD97" s="69" t="str">
        <f aca="false">IF($E97="","",IF($M97,IF(AND($G97&gt;=DD$5,$G97&lt;DD$5+GanttPeriod),"◆",IF(AND($E97&gt;=DD$5,$E97&lt;DD$5+GanttPeriod),"◇","")),IF(AND(DD$5&lt;=$F97,DD$5+GanttPeriod-1&gt;=$E97),"━","")))</f>
        <v/>
      </c>
      <c r="DE97" s="69" t="str">
        <f aca="false">IF($E97="","",IF($M97,IF(AND($G97&gt;=DE$5,$G97&lt;DE$5+GanttPeriod),"◆",IF(AND($E97&gt;=DE$5,$E97&lt;DE$5+GanttPeriod),"◇","")),IF(AND(DE$5&lt;=$F97,DE$5+GanttPeriod-1&gt;=$E97),"━","")))</f>
        <v/>
      </c>
      <c r="DF97" s="69" t="str">
        <f aca="false">IF($E97="","",IF($M97,IF(AND($G97&gt;=DF$5,$G97&lt;DF$5+GanttPeriod),"◆",IF(AND($E97&gt;=DF$5,$E97&lt;DF$5+GanttPeriod),"◇","")),IF(AND(DF$5&lt;=$F97,DF$5+GanttPeriod-1&gt;=$E97),"━","")))</f>
        <v/>
      </c>
      <c r="DG97" s="69" t="str">
        <f aca="false">IF($E97="","",IF($M97,IF(AND($G97&gt;=DG$5,$G97&lt;DG$5+GanttPeriod),"◆",IF(AND($E97&gt;=DG$5,$E97&lt;DG$5+GanttPeriod),"◇","")),IF(AND(DG$5&lt;=$F97,DG$5+GanttPeriod-1&gt;=$E97),"━","")))</f>
        <v/>
      </c>
      <c r="DH97" s="69" t="str">
        <f aca="false">IF($E97="","",IF($M97,IF(AND($G97&gt;=DH$5,$G97&lt;DH$5+GanttPeriod),"◆",IF(AND($E97&gt;=DH$5,$E97&lt;DH$5+GanttPeriod),"◇","")),IF(AND(DH$5&lt;=$F97,DH$5+GanttPeriod-1&gt;=$E97),"━","")))</f>
        <v/>
      </c>
      <c r="DI97" s="69" t="str">
        <f aca="false">IF($E97="","",IF($M97,IF(AND($G97&gt;=DI$5,$G97&lt;DI$5+GanttPeriod),"◆",IF(AND($E97&gt;=DI$5,$E97&lt;DI$5+GanttPeriod),"◇","")),IF(AND(DI$5&lt;=$F97,DI$5+GanttPeriod-1&gt;=$E97),"━","")))</f>
        <v/>
      </c>
      <c r="DJ97" s="69" t="str">
        <f aca="false">IF($E97="","",IF($M97,IF(AND($G97&gt;=DJ$5,$G97&lt;DJ$5+GanttPeriod),"◆",IF(AND($E97&gt;=DJ$5,$E97&lt;DJ$5+GanttPeriod),"◇","")),IF(AND(DJ$5&lt;=$F97,DJ$5+GanttPeriod-1&gt;=$E97),"━","")))</f>
        <v/>
      </c>
      <c r="DK97" s="69" t="str">
        <f aca="false">IF($E97="","",IF($M97,IF(AND($G97&gt;=DK$5,$G97&lt;DK$5+GanttPeriod),"◆",IF(AND($E97&gt;=DK$5,$E97&lt;DK$5+GanttPeriod),"◇","")),IF(AND(DK$5&lt;=$F97,DK$5+GanttPeriod-1&gt;=$E97),"━","")))</f>
        <v/>
      </c>
      <c r="DL97" s="69" t="str">
        <f aca="false">IF($E97="","",IF($M97,IF(AND($G97&gt;=DL$5,$G97&lt;DL$5+GanttPeriod),"◆",IF(AND($E97&gt;=DL$5,$E97&lt;DL$5+GanttPeriod),"◇","")),IF(AND(DL$5&lt;=$F97,DL$5+GanttPeriod-1&gt;=$E97),"━","")))</f>
        <v/>
      </c>
      <c r="DM97" s="69" t="str">
        <f aca="false">IF($E97="","",IF($M97,IF(AND($G97&gt;=DM$5,$G97&lt;DM$5+GanttPeriod),"◆",IF(AND($E97&gt;=DM$5,$E97&lt;DM$5+GanttPeriod),"◇","")),IF(AND(DM$5&lt;=$F97,DM$5+GanttPeriod-1&gt;=$E97),"━","")))</f>
        <v/>
      </c>
      <c r="DN97" s="69" t="str">
        <f aca="false">IF($E97="","",IF($M97,IF(AND($G97&gt;=DN$5,$G97&lt;DN$5+GanttPeriod),"◆",IF(AND($E97&gt;=DN$5,$E97&lt;DN$5+GanttPeriod),"◇","")),IF(AND(DN$5&lt;=$F97,DN$5+GanttPeriod-1&gt;=$E97),"━","")))</f>
        <v/>
      </c>
      <c r="DO97" s="69" t="str">
        <f aca="false">IF($E97="","",IF($M97,IF(AND($G97&gt;=DO$5,$G97&lt;DO$5+GanttPeriod),"◆",IF(AND($E97&gt;=DO$5,$E97&lt;DO$5+GanttPeriod),"◇","")),IF(AND(DO$5&lt;=$F97,DO$5+GanttPeriod-1&gt;=$E97),"━","")))</f>
        <v/>
      </c>
      <c r="DP97" s="69" t="str">
        <f aca="false">IF($E97="","",IF($M97,IF(AND($G97&gt;=DP$5,$G97&lt;DP$5+GanttPeriod),"◆",IF(AND($E97&gt;=DP$5,$E97&lt;DP$5+GanttPeriod),"◇","")),IF(AND(DP$5&lt;=$F97,DP$5+GanttPeriod-1&gt;=$E97),"━","")))</f>
        <v/>
      </c>
      <c r="DQ97" s="69" t="str">
        <f aca="false">IF($E97="","",IF($M97,IF(AND($G97&gt;=DQ$5,$G97&lt;DQ$5+GanttPeriod),"◆",IF(AND($E97&gt;=DQ$5,$E97&lt;DQ$5+GanttPeriod),"◇","")),IF(AND(DQ$5&lt;=$F97,DQ$5+GanttPeriod-1&gt;=$E97),"━","")))</f>
        <v/>
      </c>
      <c r="DR97" s="69" t="str">
        <f aca="false">IF($E97="","",IF($M97,IF(AND($G97&gt;=DR$5,$G97&lt;DR$5+GanttPeriod),"◆",IF(AND($E97&gt;=DR$5,$E97&lt;DR$5+GanttPeriod),"◇","")),IF(AND(DR$5&lt;=$F97,DR$5+GanttPeriod-1&gt;=$E97),"━","")))</f>
        <v/>
      </c>
      <c r="DS97" s="69" t="str">
        <f aca="false">IF($E97="","",IF($M97,IF(AND($G97&gt;=DS$5,$G97&lt;DS$5+GanttPeriod),"◆",IF(AND($E97&gt;=DS$5,$E97&lt;DS$5+GanttPeriod),"◇","")),IF(AND(DS$5&lt;=$F97,DS$5+GanttPeriod-1&gt;=$E97),"━","")))</f>
        <v/>
      </c>
      <c r="DT97" s="69" t="str">
        <f aca="false">IF($E97="","",IF($M97,IF(AND($G97&gt;=DT$5,$G97&lt;DT$5+GanttPeriod),"◆",IF(AND($E97&gt;=DT$5,$E97&lt;DT$5+GanttPeriod),"◇","")),IF(AND(DT$5&lt;=$F97,DT$5+GanttPeriod-1&gt;=$E97),"━","")))</f>
        <v/>
      </c>
      <c r="DU97" s="69" t="str">
        <f aca="false">IF($E97="","",IF($M97,IF(AND($G97&gt;=DU$5,$G97&lt;DU$5+GanttPeriod),"◆",IF(AND($E97&gt;=DU$5,$E97&lt;DU$5+GanttPeriod),"◇","")),IF(AND(DU$5&lt;=$F97,DU$5+GanttPeriod-1&gt;=$E97),"━","")))</f>
        <v/>
      </c>
      <c r="DV97" s="69" t="str">
        <f aca="false">IF($E97="","",IF($M97,IF(AND($G97&gt;=DV$5,$G97&lt;DV$5+GanttPeriod),"◆",IF(AND($E97&gt;=DV$5,$E97&lt;DV$5+GanttPeriod),"◇","")),IF(AND(DV$5&lt;=$F97,DV$5+GanttPeriod-1&gt;=$E97),"━","")))</f>
        <v/>
      </c>
      <c r="DW97" s="69" t="str">
        <f aca="false">IF($E97="","",IF($M97,IF(AND($G97&gt;=DW$5,$G97&lt;DW$5+GanttPeriod),"◆",IF(AND($E97&gt;=DW$5,$E97&lt;DW$5+GanttPeriod),"◇","")),IF(AND(DW$5&lt;=$F97,DW$5+GanttPeriod-1&gt;=$E97),"━","")))</f>
        <v/>
      </c>
      <c r="DX97" s="69" t="str">
        <f aca="false">IF($E97="","",IF($M97,IF(AND($G97&gt;=DX$5,$G97&lt;DX$5+GanttPeriod),"◆",IF(AND($E97&gt;=DX$5,$E97&lt;DX$5+GanttPeriod),"◇","")),IF(AND(DX$5&lt;=$F97,DX$5+GanttPeriod-1&gt;=$E97),"━","")))</f>
        <v/>
      </c>
      <c r="DY97" s="69" t="str">
        <f aca="false">IF($E97="","",IF($M97,IF(AND($G97&gt;=DY$5,$G97&lt;DY$5+GanttPeriod),"◆",IF(AND($E97&gt;=DY$5,$E97&lt;DY$5+GanttPeriod),"◇","")),IF(AND(DY$5&lt;=$F97,DY$5+GanttPeriod-1&gt;=$E97),"━","")))</f>
        <v/>
      </c>
      <c r="DZ97" s="69" t="str">
        <f aca="false">IF($E97="","",IF($M97,IF(AND($G97&gt;=DZ$5,$G97&lt;DZ$5+GanttPeriod),"◆",IF(AND($E97&gt;=DZ$5,$E97&lt;DZ$5+GanttPeriod),"◇","")),IF(AND(DZ$5&lt;=$F97,DZ$5+GanttPeriod-1&gt;=$E97),"━","")))</f>
        <v/>
      </c>
      <c r="EA97" s="69" t="str">
        <f aca="false">IF($E97="","",IF($M97,IF(AND($G97&gt;=EA$5,$G97&lt;EA$5+GanttPeriod),"◆",IF(AND($E97&gt;=EA$5,$E97&lt;EA$5+GanttPeriod),"◇","")),IF(AND(EA$5&lt;=$F97,EA$5+GanttPeriod-1&gt;=$E97),"━","")))</f>
        <v/>
      </c>
      <c r="EB97" s="69" t="str">
        <f aca="false">IF($E97="","",IF($M97,IF(AND($G97&gt;=EB$5,$G97&lt;EB$5+GanttPeriod),"◆",IF(AND($E97&gt;=EB$5,$E97&lt;EB$5+GanttPeriod),"◇","")),IF(AND(EB$5&lt;=$F97,EB$5+GanttPeriod-1&gt;=$E97),"━","")))</f>
        <v/>
      </c>
      <c r="EC97" s="69" t="str">
        <f aca="false">IF($E97="","",IF($M97,IF(AND($G97&gt;=EC$5,$G97&lt;EC$5+GanttPeriod),"◆",IF(AND($E97&gt;=EC$5,$E97&lt;EC$5+GanttPeriod),"◇","")),IF(AND(EC$5&lt;=$F97,EC$5+GanttPeriod-1&gt;=$E97),"━","")))</f>
        <v/>
      </c>
      <c r="ED97" s="69" t="str">
        <f aca="false">IF($E97="","",IF($M97,IF(AND($G97&gt;=ED$5,$G97&lt;ED$5+GanttPeriod),"◆",IF(AND($E97&gt;=ED$5,$E97&lt;ED$5+GanttPeriod),"◇","")),IF(AND(ED$5&lt;=$F97,ED$5+GanttPeriod-1&gt;=$E97),"━","")))</f>
        <v/>
      </c>
      <c r="EE97" s="69" t="str">
        <f aca="false">IF($E97="","",IF($M97,IF(AND($G97&gt;=EE$5,$G97&lt;EE$5+GanttPeriod),"◆",IF(AND($E97&gt;=EE$5,$E97&lt;EE$5+GanttPeriod),"◇","")),IF(AND(EE$5&lt;=$F97,EE$5+GanttPeriod-1&gt;=$E97),"━","")))</f>
        <v/>
      </c>
      <c r="EF97" s="69" t="str">
        <f aca="false">IF($E97="","",IF($M97,IF(AND($G97&gt;=EF$5,$G97&lt;EF$5+GanttPeriod),"◆",IF(AND($E97&gt;=EF$5,$E97&lt;EF$5+GanttPeriod),"◇","")),IF(AND(EF$5&lt;=$F97,EF$5+GanttPeriod-1&gt;=$E97),"━","")))</f>
        <v/>
      </c>
      <c r="EG97" s="69" t="str">
        <f aca="false">IF($E97="","",IF($M97,IF(AND($G97&gt;=EG$5,$G97&lt;EG$5+GanttPeriod),"◆",IF(AND($E97&gt;=EG$5,$E97&lt;EG$5+GanttPeriod),"◇","")),IF(AND(EG$5&lt;=$F97,EG$5+GanttPeriod-1&gt;=$E97),"━","")))</f>
        <v/>
      </c>
      <c r="EH97" s="69" t="str">
        <f aca="false">IF($E97="","",IF($M97,IF(AND($G97&gt;=EH$5,$G97&lt;EH$5+GanttPeriod),"◆",IF(AND($E97&gt;=EH$5,$E97&lt;EH$5+GanttPeriod),"◇","")),IF(AND(EH$5&lt;=$F97,EH$5+GanttPeriod-1&gt;=$E97),"━","")))</f>
        <v/>
      </c>
      <c r="EI97" s="69" t="str">
        <f aca="false">IF($E97="","",IF($M97,IF(AND($G97&gt;=EI$5,$G97&lt;EI$5+GanttPeriod),"◆",IF(AND($E97&gt;=EI$5,$E97&lt;EI$5+GanttPeriod),"◇","")),IF(AND(EI$5&lt;=$F97,EI$5+GanttPeriod-1&gt;=$E97),"━","")))</f>
        <v/>
      </c>
      <c r="EJ97" s="69" t="str">
        <f aca="false">IF($E97="","",IF($M97,IF(AND($G97&gt;=EJ$5,$G97&lt;EJ$5+GanttPeriod),"◆",IF(AND($E97&gt;=EJ$5,$E97&lt;EJ$5+GanttPeriod),"◇","")),IF(AND(EJ$5&lt;=$F97,EJ$5+GanttPeriod-1&gt;=$E97),"━","")))</f>
        <v/>
      </c>
      <c r="EK97" s="69" t="str">
        <f aca="false">IF($E97="","",IF($M97,IF(AND($G97&gt;=EK$5,$G97&lt;EK$5+GanttPeriod),"◆",IF(AND($E97&gt;=EK$5,$E97&lt;EK$5+GanttPeriod),"◇","")),IF(AND(EK$5&lt;=$F97,EK$5+GanttPeriod-1&gt;=$E97),"━","")))</f>
        <v/>
      </c>
      <c r="EL97" s="69" t="str">
        <f aca="false">IF($E97="","",IF($M97,IF(AND($G97&gt;=EL$5,$G97&lt;EL$5+GanttPeriod),"◆",IF(AND($E97&gt;=EL$5,$E97&lt;EL$5+GanttPeriod),"◇","")),IF(AND(EL$5&lt;=$F97,EL$5+GanttPeriod-1&gt;=$E97),"━","")))</f>
        <v/>
      </c>
      <c r="EM97" s="69" t="str">
        <f aca="false">IF($E97="","",IF($M97,IF(AND($G97&gt;=EM$5,$G97&lt;EM$5+GanttPeriod),"◆",IF(AND($E97&gt;=EM$5,$E97&lt;EM$5+GanttPeriod),"◇","")),IF(AND(EM$5&lt;=$F97,EM$5+GanttPeriod-1&gt;=$E97),"━","")))</f>
        <v/>
      </c>
      <c r="EN97" s="69" t="str">
        <f aca="false">IF($E97="","",IF($M97,IF(AND($G97&gt;=EN$5,$G97&lt;EN$5+GanttPeriod),"◆",IF(AND($E97&gt;=EN$5,$E97&lt;EN$5+GanttPeriod),"◇","")),IF(AND(EN$5&lt;=$F97,EN$5+GanttPeriod-1&gt;=$E97),"━","")))</f>
        <v/>
      </c>
      <c r="EO97" s="69" t="str">
        <f aca="false">IF($E97="","",IF($M97,IF(AND($G97&gt;=EO$5,$G97&lt;EO$5+GanttPeriod),"◆",IF(AND($E97&gt;=EO$5,$E97&lt;EO$5+GanttPeriod),"◇","")),IF(AND(EO$5&lt;=$F97,EO$5+GanttPeriod-1&gt;=$E97),"━","")))</f>
        <v/>
      </c>
      <c r="EP97" s="69" t="str">
        <f aca="false">IF($E97="","",IF($M97,IF(AND($G97&gt;=EP$5,$G97&lt;EP$5+GanttPeriod),"◆",IF(AND($E97&gt;=EP$5,$E97&lt;EP$5+GanttPeriod),"◇","")),IF(AND(EP$5&lt;=$F97,EP$5+GanttPeriod-1&gt;=$E97),"━","")))</f>
        <v/>
      </c>
      <c r="EQ97" s="69" t="str">
        <f aca="false">IF($E97="","",IF($M97,IF(AND($G97&gt;=EQ$5,$G97&lt;EQ$5+GanttPeriod),"◆",IF(AND($E97&gt;=EQ$5,$E97&lt;EQ$5+GanttPeriod),"◇","")),IF(AND(EQ$5&lt;=$F97,EQ$5+GanttPeriod-1&gt;=$E97),"━","")))</f>
        <v/>
      </c>
      <c r="ER97" s="69" t="str">
        <f aca="false">IF($E97="","",IF($M97,IF(AND($G97&gt;=ER$5,$G97&lt;ER$5+GanttPeriod),"◆",IF(AND($E97&gt;=ER$5,$E97&lt;ER$5+GanttPeriod),"◇","")),IF(AND(ER$5&lt;=$F97,ER$5+GanttPeriod-1&gt;=$E97),"━","")))</f>
        <v/>
      </c>
      <c r="ES97" s="69" t="str">
        <f aca="false">IF($E97="","",IF($M97,IF(AND($G97&gt;=ES$5,$G97&lt;ES$5+GanttPeriod),"◆",IF(AND($E97&gt;=ES$5,$E97&lt;ES$5+GanttPeriod),"◇","")),IF(AND(ES$5&lt;=$F97,ES$5+GanttPeriod-1&gt;=$E97),"━","")))</f>
        <v/>
      </c>
      <c r="ET97" s="69" t="str">
        <f aca="false">IF($E97="","",IF($M97,IF(AND($G97&gt;=ET$5,$G97&lt;ET$5+GanttPeriod),"◆",IF(AND($E97&gt;=ET$5,$E97&lt;ET$5+GanttPeriod),"◇","")),IF(AND(ET$5&lt;=$F97,ET$5+GanttPeriod-1&gt;=$E97),"━","")))</f>
        <v/>
      </c>
      <c r="EU97" s="69" t="str">
        <f aca="false">IF($E97="","",IF($M97,IF(AND($G97&gt;=EU$5,$G97&lt;EU$5+GanttPeriod),"◆",IF(AND($E97&gt;=EU$5,$E97&lt;EU$5+GanttPeriod),"◇","")),IF(AND(EU$5&lt;=$F97,EU$5+GanttPeriod-1&gt;=$E97),"━","")))</f>
        <v/>
      </c>
      <c r="EV97" s="69" t="str">
        <f aca="false">IF($E97="","",IF($M97,IF(AND($G97&gt;=EV$5,$G97&lt;EV$5+GanttPeriod),"◆",IF(AND($E97&gt;=EV$5,$E97&lt;EV$5+GanttPeriod),"◇","")),IF(AND(EV$5&lt;=$F97,EV$5+GanttPeriod-1&gt;=$E97),"━","")))</f>
        <v/>
      </c>
      <c r="EW97" s="69" t="str">
        <f aca="false">IF($E97="","",IF($M97,IF(AND($G97&gt;=EW$5,$G97&lt;EW$5+GanttPeriod),"◆",IF(AND($E97&gt;=EW$5,$E97&lt;EW$5+GanttPeriod),"◇","")),IF(AND(EW$5&lt;=$F97,EW$5+GanttPeriod-1&gt;=$E97),"━","")))</f>
        <v/>
      </c>
      <c r="EX97" s="69" t="str">
        <f aca="false">IF($E97="","",IF($M97,IF(AND($G97&gt;=EX$5,$G97&lt;EX$5+GanttPeriod),"◆",IF(AND($E97&gt;=EX$5,$E97&lt;EX$5+GanttPeriod),"◇","")),IF(AND(EX$5&lt;=$F97,EX$5+GanttPeriod-1&gt;=$E97),"━","")))</f>
        <v/>
      </c>
      <c r="EY97" s="69" t="str">
        <f aca="false">IF($E97="","",IF($M97,IF(AND($G97&gt;=EY$5,$G97&lt;EY$5+GanttPeriod),"◆",IF(AND($E97&gt;=EY$5,$E97&lt;EY$5+GanttPeriod),"◇","")),IF(AND(EY$5&lt;=$F97,EY$5+GanttPeriod-1&gt;=$E97),"━","")))</f>
        <v/>
      </c>
      <c r="EZ97" s="69" t="str">
        <f aca="false">IF($E97="","",IF($M97,IF(AND($G97&gt;=EZ$5,$G97&lt;EZ$5+GanttPeriod),"◆",IF(AND($E97&gt;=EZ$5,$E97&lt;EZ$5+GanttPeriod),"◇","")),IF(AND(EZ$5&lt;=$F97,EZ$5+GanttPeriod-1&gt;=$E97),"━","")))</f>
        <v/>
      </c>
      <c r="FA97" s="69" t="str">
        <f aca="false">IF($E97="","",IF($M97,IF(AND($G97&gt;=FA$5,$G97&lt;FA$5+GanttPeriod),"◆",IF(AND($E97&gt;=FA$5,$E97&lt;FA$5+GanttPeriod),"◇","")),IF(AND(FA$5&lt;=$F97,FA$5+GanttPeriod-1&gt;=$E97),"━","")))</f>
        <v/>
      </c>
      <c r="FB97" s="69" t="str">
        <f aca="false">IF($E97="","",IF($M97,IF(AND($G97&gt;=FB$5,$G97&lt;FB$5+GanttPeriod),"◆",IF(AND($E97&gt;=FB$5,$E97&lt;FB$5+GanttPeriod),"◇","")),IF(AND(FB$5&lt;=$F97,FB$5+GanttPeriod-1&gt;=$E97),"━","")))</f>
        <v/>
      </c>
      <c r="FC97" s="69" t="str">
        <f aca="false">IF($E97="","",IF($M97,IF(AND($G97&gt;=FC$5,$G97&lt;FC$5+GanttPeriod),"◆",IF(AND($E97&gt;=FC$5,$E97&lt;FC$5+GanttPeriod),"◇","")),IF(AND(FC$5&lt;=$F97,FC$5+GanttPeriod-1&gt;=$E97),"━","")))</f>
        <v/>
      </c>
      <c r="FD97" s="69" t="str">
        <f aca="false">IF($E97="","",IF($M97,IF(AND($G97&gt;=FD$5,$G97&lt;FD$5+GanttPeriod),"◆",IF(AND($E97&gt;=FD$5,$E97&lt;FD$5+GanttPeriod),"◇","")),IF(AND(FD$5&lt;=$F97,FD$5+GanttPeriod-1&gt;=$E97),"━","")))</f>
        <v/>
      </c>
      <c r="FE97" s="69" t="str">
        <f aca="false">IF($E97="","",IF($M97,IF(AND($G97&gt;=FE$5,$G97&lt;FE$5+GanttPeriod),"◆",IF(AND($E97&gt;=FE$5,$E97&lt;FE$5+GanttPeriod),"◇","")),IF(AND(FE$5&lt;=$F97,FE$5+GanttPeriod-1&gt;=$E97),"━","")))</f>
        <v/>
      </c>
      <c r="FF97" s="69" t="str">
        <f aca="false">IF($E97="","",IF($M97,IF(AND($G97&gt;=FF$5,$G97&lt;FF$5+GanttPeriod),"◆",IF(AND($E97&gt;=FF$5,$E97&lt;FF$5+GanttPeriod),"◇","")),IF(AND(FF$5&lt;=$F97,FF$5+GanttPeriod-1&gt;=$E97),"━","")))</f>
        <v/>
      </c>
      <c r="FG97" s="69" t="str">
        <f aca="false">IF($E97="","",IF($M97,IF(AND($G97&gt;=FG$5,$G97&lt;FG$5+GanttPeriod),"◆",IF(AND($E97&gt;=FG$5,$E97&lt;FG$5+GanttPeriod),"◇","")),IF(AND(FG$5&lt;=$F97,FG$5+GanttPeriod-1&gt;=$E97),"━","")))</f>
        <v/>
      </c>
      <c r="FH97" s="69" t="str">
        <f aca="false">IF($E97="","",IF($M97,IF(AND($G97&gt;=FH$5,$G97&lt;FH$5+GanttPeriod),"◆",IF(AND($E97&gt;=FH$5,$E97&lt;FH$5+GanttPeriod),"◇","")),IF(AND(FH$5&lt;=$F97,FH$5+GanttPeriod-1&gt;=$E97),"━","")))</f>
        <v/>
      </c>
      <c r="FI97" s="69" t="str">
        <f aca="false">IF($E97="","",IF($M97,IF(AND($G97&gt;=FI$5,$G97&lt;FI$5+GanttPeriod),"◆",IF(AND($E97&gt;=FI$5,$E97&lt;FI$5+GanttPeriod),"◇","")),IF(AND(FI$5&lt;=$F97,FI$5+GanttPeriod-1&gt;=$E97),"━","")))</f>
        <v/>
      </c>
      <c r="FJ97" s="69" t="str">
        <f aca="false">IF($E97="","",IF($M97,IF(AND($G97&gt;=FJ$5,$G97&lt;FJ$5+GanttPeriod),"◆",IF(AND($E97&gt;=FJ$5,$E97&lt;FJ$5+GanttPeriod),"◇","")),IF(AND(FJ$5&lt;=$F97,FJ$5+GanttPeriod-1&gt;=$E97),"━","")))</f>
        <v/>
      </c>
      <c r="FK97" s="69" t="str">
        <f aca="false">IF($E97="","",IF($M97,IF(AND($G97&gt;=FK$5,$G97&lt;FK$5+GanttPeriod),"◆",IF(AND($E97&gt;=FK$5,$E97&lt;FK$5+GanttPeriod),"◇","")),IF(AND(FK$5&lt;=$F97,FK$5+GanttPeriod-1&gt;=$E97),"━","")))</f>
        <v/>
      </c>
      <c r="FL97" s="69" t="str">
        <f aca="false">IF($E97="","",IF($M97,IF(AND($G97&gt;=FL$5,$G97&lt;FL$5+GanttPeriod),"◆",IF(AND($E97&gt;=FL$5,$E97&lt;FL$5+GanttPeriod),"◇","")),IF(AND(FL$5&lt;=$F97,FL$5+GanttPeriod-1&gt;=$E97),"━","")))</f>
        <v/>
      </c>
      <c r="FM97" s="69" t="str">
        <f aca="false">IF($E97="","",IF($M97,IF(AND($G97&gt;=FM$5,$G97&lt;FM$5+GanttPeriod),"◆",IF(AND($E97&gt;=FM$5,$E97&lt;FM$5+GanttPeriod),"◇","")),IF(AND(FM$5&lt;=$F97,FM$5+GanttPeriod-1&gt;=$E97),"━","")))</f>
        <v/>
      </c>
    </row>
    <row r="98" customFormat="false" ht="15" hidden="false" customHeight="false" outlineLevel="0" collapsed="false">
      <c r="A98" s="62" t="str">
        <f aca="false">IF(Tasks!$D98="","",Tasks!$A98)</f>
        <v/>
      </c>
      <c r="B98" s="62" t="str">
        <f aca="false">IF(Tasks!$D98="","",Tasks!$B98)</f>
        <v/>
      </c>
      <c r="C98" s="63" t="str">
        <f aca="false">IF(Tasks!$D98="","",REPT("    ",Tasks!$AE98-1)&amp;Tasks!$D98)</f>
        <v/>
      </c>
      <c r="D98" s="62" t="str">
        <f aca="false">IF(Tasks!$D98="","",IF(Tasks!$AI98,NETWORKDAYS.INTL(Tasks!$R98,Tasks!$S98,WorkWeek,Holidays),N(Tasks!$F98)))</f>
        <v/>
      </c>
      <c r="E98" s="64" t="str">
        <f aca="false">IF(Tasks!$D98="","",Tasks!$N98)</f>
        <v/>
      </c>
      <c r="F98" s="64" t="str">
        <f aca="false">IF(Tasks!$D98="","",Tasks!$O98)</f>
        <v/>
      </c>
      <c r="G98" s="64" t="str">
        <f aca="false">IF(Tasks!$D98="","",Tasks!$R98)</f>
        <v/>
      </c>
      <c r="H98" s="64" t="str">
        <f aca="false">IF(Tasks!$D98="","",Tasks!$S98)</f>
        <v/>
      </c>
      <c r="I98" s="65" t="str">
        <f aca="false">IF(Tasks!$D98="","",Tasks!$V98)</f>
        <v/>
      </c>
      <c r="J98" s="63" t="str">
        <f aca="false">IF(Tasks!$D98="","",Tasks!$X98&amp;"")</f>
        <v/>
      </c>
      <c r="K98" s="66" t="str">
        <f aca="false">IF(Tasks!$D98="","",Tasks!$W98)</f>
        <v/>
      </c>
      <c r="L98" s="67" t="b">
        <f aca="false">IF(Tasks!$D98="",FALSE(),Tasks!$AI98)</f>
        <v>0</v>
      </c>
      <c r="M98" s="67" t="b">
        <f aca="false">AND(Tasks!$AJ98=1,N(Tasks!$F98)=0)</f>
        <v>0</v>
      </c>
      <c r="N98" s="68" t="n">
        <f aca="false">IF(AND(Tasks!$AJ98=1,NOT($M98),N($I98)&gt;0),$G98,0)</f>
        <v>0</v>
      </c>
      <c r="O98" s="68" t="n">
        <f aca="false">IF($N98=0,0,IF($I98&gt;=1,$H98,MAX($N98,$G98+ROUND(($H98-$G98+1)*$I98,0)-1)))</f>
        <v>0</v>
      </c>
      <c r="P98" s="68" t="n">
        <f aca="false">IF(OR(Tasks!$AJ98&lt;&gt;1,$M98,N($I98)&gt;=1),0,IF($O98&gt;0,$O98+1,$G98))</f>
        <v>0</v>
      </c>
      <c r="Q98" s="68" t="n">
        <f aca="false">IF($P98=0,0,$H98)</f>
        <v>0</v>
      </c>
      <c r="R98" s="67" t="b">
        <f aca="false">AND(Tasks!$D98&lt;&gt;"",N(Tasks!$T98)&gt;0)</f>
        <v>0</v>
      </c>
      <c r="T98" s="69" t="str">
        <f aca="false">IF($E98="","",IF($M98,IF(AND($G98&gt;=T$5,$G98&lt;T$5+GanttPeriod),"◆",IF(AND($E98&gt;=T$5,$E98&lt;T$5+GanttPeriod),"◇","")),IF(AND(T$5&lt;=$F98,T$5+GanttPeriod-1&gt;=$E98),"━","")))</f>
        <v/>
      </c>
      <c r="U98" s="69" t="str">
        <f aca="false">IF($E98="","",IF($M98,IF(AND($G98&gt;=U$5,$G98&lt;U$5+GanttPeriod),"◆",IF(AND($E98&gt;=U$5,$E98&lt;U$5+GanttPeriod),"◇","")),IF(AND(U$5&lt;=$F98,U$5+GanttPeriod-1&gt;=$E98),"━","")))</f>
        <v/>
      </c>
      <c r="V98" s="69" t="str">
        <f aca="false">IF($E98="","",IF($M98,IF(AND($G98&gt;=V$5,$G98&lt;V$5+GanttPeriod),"◆",IF(AND($E98&gt;=V$5,$E98&lt;V$5+GanttPeriod),"◇","")),IF(AND(V$5&lt;=$F98,V$5+GanttPeriod-1&gt;=$E98),"━","")))</f>
        <v/>
      </c>
      <c r="W98" s="69" t="str">
        <f aca="false">IF($E98="","",IF($M98,IF(AND($G98&gt;=W$5,$G98&lt;W$5+GanttPeriod),"◆",IF(AND($E98&gt;=W$5,$E98&lt;W$5+GanttPeriod),"◇","")),IF(AND(W$5&lt;=$F98,W$5+GanttPeriod-1&gt;=$E98),"━","")))</f>
        <v/>
      </c>
      <c r="X98" s="69" t="str">
        <f aca="false">IF($E98="","",IF($M98,IF(AND($G98&gt;=X$5,$G98&lt;X$5+GanttPeriod),"◆",IF(AND($E98&gt;=X$5,$E98&lt;X$5+GanttPeriod),"◇","")),IF(AND(X$5&lt;=$F98,X$5+GanttPeriod-1&gt;=$E98),"━","")))</f>
        <v/>
      </c>
      <c r="Y98" s="69" t="str">
        <f aca="false">IF($E98="","",IF($M98,IF(AND($G98&gt;=Y$5,$G98&lt;Y$5+GanttPeriod),"◆",IF(AND($E98&gt;=Y$5,$E98&lt;Y$5+GanttPeriod),"◇","")),IF(AND(Y$5&lt;=$F98,Y$5+GanttPeriod-1&gt;=$E98),"━","")))</f>
        <v/>
      </c>
      <c r="Z98" s="69" t="str">
        <f aca="false">IF($E98="","",IF($M98,IF(AND($G98&gt;=Z$5,$G98&lt;Z$5+GanttPeriod),"◆",IF(AND($E98&gt;=Z$5,$E98&lt;Z$5+GanttPeriod),"◇","")),IF(AND(Z$5&lt;=$F98,Z$5+GanttPeriod-1&gt;=$E98),"━","")))</f>
        <v/>
      </c>
      <c r="AA98" s="69" t="str">
        <f aca="false">IF($E98="","",IF($M98,IF(AND($G98&gt;=AA$5,$G98&lt;AA$5+GanttPeriod),"◆",IF(AND($E98&gt;=AA$5,$E98&lt;AA$5+GanttPeriod),"◇","")),IF(AND(AA$5&lt;=$F98,AA$5+GanttPeriod-1&gt;=$E98),"━","")))</f>
        <v/>
      </c>
      <c r="AB98" s="69" t="str">
        <f aca="false">IF($E98="","",IF($M98,IF(AND($G98&gt;=AB$5,$G98&lt;AB$5+GanttPeriod),"◆",IF(AND($E98&gt;=AB$5,$E98&lt;AB$5+GanttPeriod),"◇","")),IF(AND(AB$5&lt;=$F98,AB$5+GanttPeriod-1&gt;=$E98),"━","")))</f>
        <v/>
      </c>
      <c r="AC98" s="69" t="str">
        <f aca="false">IF($E98="","",IF($M98,IF(AND($G98&gt;=AC$5,$G98&lt;AC$5+GanttPeriod),"◆",IF(AND($E98&gt;=AC$5,$E98&lt;AC$5+GanttPeriod),"◇","")),IF(AND(AC$5&lt;=$F98,AC$5+GanttPeriod-1&gt;=$E98),"━","")))</f>
        <v/>
      </c>
      <c r="AD98" s="69" t="str">
        <f aca="false">IF($E98="","",IF($M98,IF(AND($G98&gt;=AD$5,$G98&lt;AD$5+GanttPeriod),"◆",IF(AND($E98&gt;=AD$5,$E98&lt;AD$5+GanttPeriod),"◇","")),IF(AND(AD$5&lt;=$F98,AD$5+GanttPeriod-1&gt;=$E98),"━","")))</f>
        <v/>
      </c>
      <c r="AE98" s="69" t="str">
        <f aca="false">IF($E98="","",IF($M98,IF(AND($G98&gt;=AE$5,$G98&lt;AE$5+GanttPeriod),"◆",IF(AND($E98&gt;=AE$5,$E98&lt;AE$5+GanttPeriod),"◇","")),IF(AND(AE$5&lt;=$F98,AE$5+GanttPeriod-1&gt;=$E98),"━","")))</f>
        <v/>
      </c>
      <c r="AF98" s="69" t="str">
        <f aca="false">IF($E98="","",IF($M98,IF(AND($G98&gt;=AF$5,$G98&lt;AF$5+GanttPeriod),"◆",IF(AND($E98&gt;=AF$5,$E98&lt;AF$5+GanttPeriod),"◇","")),IF(AND(AF$5&lt;=$F98,AF$5+GanttPeriod-1&gt;=$E98),"━","")))</f>
        <v/>
      </c>
      <c r="AG98" s="69" t="str">
        <f aca="false">IF($E98="","",IF($M98,IF(AND($G98&gt;=AG$5,$G98&lt;AG$5+GanttPeriod),"◆",IF(AND($E98&gt;=AG$5,$E98&lt;AG$5+GanttPeriod),"◇","")),IF(AND(AG$5&lt;=$F98,AG$5+GanttPeriod-1&gt;=$E98),"━","")))</f>
        <v/>
      </c>
      <c r="AH98" s="69" t="str">
        <f aca="false">IF($E98="","",IF($M98,IF(AND($G98&gt;=AH$5,$G98&lt;AH$5+GanttPeriod),"◆",IF(AND($E98&gt;=AH$5,$E98&lt;AH$5+GanttPeriod),"◇","")),IF(AND(AH$5&lt;=$F98,AH$5+GanttPeriod-1&gt;=$E98),"━","")))</f>
        <v/>
      </c>
      <c r="AI98" s="69" t="str">
        <f aca="false">IF($E98="","",IF($M98,IF(AND($G98&gt;=AI$5,$G98&lt;AI$5+GanttPeriod),"◆",IF(AND($E98&gt;=AI$5,$E98&lt;AI$5+GanttPeriod),"◇","")),IF(AND(AI$5&lt;=$F98,AI$5+GanttPeriod-1&gt;=$E98),"━","")))</f>
        <v/>
      </c>
      <c r="AJ98" s="69" t="str">
        <f aca="false">IF($E98="","",IF($M98,IF(AND($G98&gt;=AJ$5,$G98&lt;AJ$5+GanttPeriod),"◆",IF(AND($E98&gt;=AJ$5,$E98&lt;AJ$5+GanttPeriod),"◇","")),IF(AND(AJ$5&lt;=$F98,AJ$5+GanttPeriod-1&gt;=$E98),"━","")))</f>
        <v/>
      </c>
      <c r="AK98" s="69" t="str">
        <f aca="false">IF($E98="","",IF($M98,IF(AND($G98&gt;=AK$5,$G98&lt;AK$5+GanttPeriod),"◆",IF(AND($E98&gt;=AK$5,$E98&lt;AK$5+GanttPeriod),"◇","")),IF(AND(AK$5&lt;=$F98,AK$5+GanttPeriod-1&gt;=$E98),"━","")))</f>
        <v/>
      </c>
      <c r="AL98" s="69" t="str">
        <f aca="false">IF($E98="","",IF($M98,IF(AND($G98&gt;=AL$5,$G98&lt;AL$5+GanttPeriod),"◆",IF(AND($E98&gt;=AL$5,$E98&lt;AL$5+GanttPeriod),"◇","")),IF(AND(AL$5&lt;=$F98,AL$5+GanttPeriod-1&gt;=$E98),"━","")))</f>
        <v/>
      </c>
      <c r="AM98" s="69" t="str">
        <f aca="false">IF($E98="","",IF($M98,IF(AND($G98&gt;=AM$5,$G98&lt;AM$5+GanttPeriod),"◆",IF(AND($E98&gt;=AM$5,$E98&lt;AM$5+GanttPeriod),"◇","")),IF(AND(AM$5&lt;=$F98,AM$5+GanttPeriod-1&gt;=$E98),"━","")))</f>
        <v/>
      </c>
      <c r="AN98" s="69" t="str">
        <f aca="false">IF($E98="","",IF($M98,IF(AND($G98&gt;=AN$5,$G98&lt;AN$5+GanttPeriod),"◆",IF(AND($E98&gt;=AN$5,$E98&lt;AN$5+GanttPeriod),"◇","")),IF(AND(AN$5&lt;=$F98,AN$5+GanttPeriod-1&gt;=$E98),"━","")))</f>
        <v/>
      </c>
      <c r="AO98" s="69" t="str">
        <f aca="false">IF($E98="","",IF($M98,IF(AND($G98&gt;=AO$5,$G98&lt;AO$5+GanttPeriod),"◆",IF(AND($E98&gt;=AO$5,$E98&lt;AO$5+GanttPeriod),"◇","")),IF(AND(AO$5&lt;=$F98,AO$5+GanttPeriod-1&gt;=$E98),"━","")))</f>
        <v/>
      </c>
      <c r="AP98" s="69" t="str">
        <f aca="false">IF($E98="","",IF($M98,IF(AND($G98&gt;=AP$5,$G98&lt;AP$5+GanttPeriod),"◆",IF(AND($E98&gt;=AP$5,$E98&lt;AP$5+GanttPeriod),"◇","")),IF(AND(AP$5&lt;=$F98,AP$5+GanttPeriod-1&gt;=$E98),"━","")))</f>
        <v/>
      </c>
      <c r="AQ98" s="69" t="str">
        <f aca="false">IF($E98="","",IF($M98,IF(AND($G98&gt;=AQ$5,$G98&lt;AQ$5+GanttPeriod),"◆",IF(AND($E98&gt;=AQ$5,$E98&lt;AQ$5+GanttPeriod),"◇","")),IF(AND(AQ$5&lt;=$F98,AQ$5+GanttPeriod-1&gt;=$E98),"━","")))</f>
        <v/>
      </c>
      <c r="AR98" s="69" t="str">
        <f aca="false">IF($E98="","",IF($M98,IF(AND($G98&gt;=AR$5,$G98&lt;AR$5+GanttPeriod),"◆",IF(AND($E98&gt;=AR$5,$E98&lt;AR$5+GanttPeriod),"◇","")),IF(AND(AR$5&lt;=$F98,AR$5+GanttPeriod-1&gt;=$E98),"━","")))</f>
        <v/>
      </c>
      <c r="AS98" s="69" t="str">
        <f aca="false">IF($E98="","",IF($M98,IF(AND($G98&gt;=AS$5,$G98&lt;AS$5+GanttPeriod),"◆",IF(AND($E98&gt;=AS$5,$E98&lt;AS$5+GanttPeriod),"◇","")),IF(AND(AS$5&lt;=$F98,AS$5+GanttPeriod-1&gt;=$E98),"━","")))</f>
        <v/>
      </c>
      <c r="AT98" s="69" t="str">
        <f aca="false">IF($E98="","",IF($M98,IF(AND($G98&gt;=AT$5,$G98&lt;AT$5+GanttPeriod),"◆",IF(AND($E98&gt;=AT$5,$E98&lt;AT$5+GanttPeriod),"◇","")),IF(AND(AT$5&lt;=$F98,AT$5+GanttPeriod-1&gt;=$E98),"━","")))</f>
        <v/>
      </c>
      <c r="AU98" s="69" t="str">
        <f aca="false">IF($E98="","",IF($M98,IF(AND($G98&gt;=AU$5,$G98&lt;AU$5+GanttPeriod),"◆",IF(AND($E98&gt;=AU$5,$E98&lt;AU$5+GanttPeriod),"◇","")),IF(AND(AU$5&lt;=$F98,AU$5+GanttPeriod-1&gt;=$E98),"━","")))</f>
        <v/>
      </c>
      <c r="AV98" s="69" t="str">
        <f aca="false">IF($E98="","",IF($M98,IF(AND($G98&gt;=AV$5,$G98&lt;AV$5+GanttPeriod),"◆",IF(AND($E98&gt;=AV$5,$E98&lt;AV$5+GanttPeriod),"◇","")),IF(AND(AV$5&lt;=$F98,AV$5+GanttPeriod-1&gt;=$E98),"━","")))</f>
        <v/>
      </c>
      <c r="AW98" s="69" t="str">
        <f aca="false">IF($E98="","",IF($M98,IF(AND($G98&gt;=AW$5,$G98&lt;AW$5+GanttPeriod),"◆",IF(AND($E98&gt;=AW$5,$E98&lt;AW$5+GanttPeriod),"◇","")),IF(AND(AW$5&lt;=$F98,AW$5+GanttPeriod-1&gt;=$E98),"━","")))</f>
        <v/>
      </c>
      <c r="AX98" s="69" t="str">
        <f aca="false">IF($E98="","",IF($M98,IF(AND($G98&gt;=AX$5,$G98&lt;AX$5+GanttPeriod),"◆",IF(AND($E98&gt;=AX$5,$E98&lt;AX$5+GanttPeriod),"◇","")),IF(AND(AX$5&lt;=$F98,AX$5+GanttPeriod-1&gt;=$E98),"━","")))</f>
        <v/>
      </c>
      <c r="AY98" s="69" t="str">
        <f aca="false">IF($E98="","",IF($M98,IF(AND($G98&gt;=AY$5,$G98&lt;AY$5+GanttPeriod),"◆",IF(AND($E98&gt;=AY$5,$E98&lt;AY$5+GanttPeriod),"◇","")),IF(AND(AY$5&lt;=$F98,AY$5+GanttPeriod-1&gt;=$E98),"━","")))</f>
        <v/>
      </c>
      <c r="AZ98" s="69" t="str">
        <f aca="false">IF($E98="","",IF($M98,IF(AND($G98&gt;=AZ$5,$G98&lt;AZ$5+GanttPeriod),"◆",IF(AND($E98&gt;=AZ$5,$E98&lt;AZ$5+GanttPeriod),"◇","")),IF(AND(AZ$5&lt;=$F98,AZ$5+GanttPeriod-1&gt;=$E98),"━","")))</f>
        <v/>
      </c>
      <c r="BA98" s="69" t="str">
        <f aca="false">IF($E98="","",IF($M98,IF(AND($G98&gt;=BA$5,$G98&lt;BA$5+GanttPeriod),"◆",IF(AND($E98&gt;=BA$5,$E98&lt;BA$5+GanttPeriod),"◇","")),IF(AND(BA$5&lt;=$F98,BA$5+GanttPeriod-1&gt;=$E98),"━","")))</f>
        <v/>
      </c>
      <c r="BB98" s="69" t="str">
        <f aca="false">IF($E98="","",IF($M98,IF(AND($G98&gt;=BB$5,$G98&lt;BB$5+GanttPeriod),"◆",IF(AND($E98&gt;=BB$5,$E98&lt;BB$5+GanttPeriod),"◇","")),IF(AND(BB$5&lt;=$F98,BB$5+GanttPeriod-1&gt;=$E98),"━","")))</f>
        <v/>
      </c>
      <c r="BC98" s="69" t="str">
        <f aca="false">IF($E98="","",IF($M98,IF(AND($G98&gt;=BC$5,$G98&lt;BC$5+GanttPeriod),"◆",IF(AND($E98&gt;=BC$5,$E98&lt;BC$5+GanttPeriod),"◇","")),IF(AND(BC$5&lt;=$F98,BC$5+GanttPeriod-1&gt;=$E98),"━","")))</f>
        <v/>
      </c>
      <c r="BD98" s="69" t="str">
        <f aca="false">IF($E98="","",IF($M98,IF(AND($G98&gt;=BD$5,$G98&lt;BD$5+GanttPeriod),"◆",IF(AND($E98&gt;=BD$5,$E98&lt;BD$5+GanttPeriod),"◇","")),IF(AND(BD$5&lt;=$F98,BD$5+GanttPeriod-1&gt;=$E98),"━","")))</f>
        <v/>
      </c>
      <c r="BE98" s="69" t="str">
        <f aca="false">IF($E98="","",IF($M98,IF(AND($G98&gt;=BE$5,$G98&lt;BE$5+GanttPeriod),"◆",IF(AND($E98&gt;=BE$5,$E98&lt;BE$5+GanttPeriod),"◇","")),IF(AND(BE$5&lt;=$F98,BE$5+GanttPeriod-1&gt;=$E98),"━","")))</f>
        <v/>
      </c>
      <c r="BF98" s="69" t="str">
        <f aca="false">IF($E98="","",IF($M98,IF(AND($G98&gt;=BF$5,$G98&lt;BF$5+GanttPeriod),"◆",IF(AND($E98&gt;=BF$5,$E98&lt;BF$5+GanttPeriod),"◇","")),IF(AND(BF$5&lt;=$F98,BF$5+GanttPeriod-1&gt;=$E98),"━","")))</f>
        <v/>
      </c>
      <c r="BG98" s="69" t="str">
        <f aca="false">IF($E98="","",IF($M98,IF(AND($G98&gt;=BG$5,$G98&lt;BG$5+GanttPeriod),"◆",IF(AND($E98&gt;=BG$5,$E98&lt;BG$5+GanttPeriod),"◇","")),IF(AND(BG$5&lt;=$F98,BG$5+GanttPeriod-1&gt;=$E98),"━","")))</f>
        <v/>
      </c>
      <c r="BH98" s="69" t="str">
        <f aca="false">IF($E98="","",IF($M98,IF(AND($G98&gt;=BH$5,$G98&lt;BH$5+GanttPeriod),"◆",IF(AND($E98&gt;=BH$5,$E98&lt;BH$5+GanttPeriod),"◇","")),IF(AND(BH$5&lt;=$F98,BH$5+GanttPeriod-1&gt;=$E98),"━","")))</f>
        <v/>
      </c>
      <c r="BI98" s="69" t="str">
        <f aca="false">IF($E98="","",IF($M98,IF(AND($G98&gt;=BI$5,$G98&lt;BI$5+GanttPeriod),"◆",IF(AND($E98&gt;=BI$5,$E98&lt;BI$5+GanttPeriod),"◇","")),IF(AND(BI$5&lt;=$F98,BI$5+GanttPeriod-1&gt;=$E98),"━","")))</f>
        <v/>
      </c>
      <c r="BJ98" s="69" t="str">
        <f aca="false">IF($E98="","",IF($M98,IF(AND($G98&gt;=BJ$5,$G98&lt;BJ$5+GanttPeriod),"◆",IF(AND($E98&gt;=BJ$5,$E98&lt;BJ$5+GanttPeriod),"◇","")),IF(AND(BJ$5&lt;=$F98,BJ$5+GanttPeriod-1&gt;=$E98),"━","")))</f>
        <v/>
      </c>
      <c r="BK98" s="69" t="str">
        <f aca="false">IF($E98="","",IF($M98,IF(AND($G98&gt;=BK$5,$G98&lt;BK$5+GanttPeriod),"◆",IF(AND($E98&gt;=BK$5,$E98&lt;BK$5+GanttPeriod),"◇","")),IF(AND(BK$5&lt;=$F98,BK$5+GanttPeriod-1&gt;=$E98),"━","")))</f>
        <v/>
      </c>
      <c r="BL98" s="69" t="str">
        <f aca="false">IF($E98="","",IF($M98,IF(AND($G98&gt;=BL$5,$G98&lt;BL$5+GanttPeriod),"◆",IF(AND($E98&gt;=BL$5,$E98&lt;BL$5+GanttPeriod),"◇","")),IF(AND(BL$5&lt;=$F98,BL$5+GanttPeriod-1&gt;=$E98),"━","")))</f>
        <v/>
      </c>
      <c r="BM98" s="69" t="str">
        <f aca="false">IF($E98="","",IF($M98,IF(AND($G98&gt;=BM$5,$G98&lt;BM$5+GanttPeriod),"◆",IF(AND($E98&gt;=BM$5,$E98&lt;BM$5+GanttPeriod),"◇","")),IF(AND(BM$5&lt;=$F98,BM$5+GanttPeriod-1&gt;=$E98),"━","")))</f>
        <v/>
      </c>
      <c r="BN98" s="69" t="str">
        <f aca="false">IF($E98="","",IF($M98,IF(AND($G98&gt;=BN$5,$G98&lt;BN$5+GanttPeriod),"◆",IF(AND($E98&gt;=BN$5,$E98&lt;BN$5+GanttPeriod),"◇","")),IF(AND(BN$5&lt;=$F98,BN$5+GanttPeriod-1&gt;=$E98),"━","")))</f>
        <v/>
      </c>
      <c r="BO98" s="69" t="str">
        <f aca="false">IF($E98="","",IF($M98,IF(AND($G98&gt;=BO$5,$G98&lt;BO$5+GanttPeriod),"◆",IF(AND($E98&gt;=BO$5,$E98&lt;BO$5+GanttPeriod),"◇","")),IF(AND(BO$5&lt;=$F98,BO$5+GanttPeriod-1&gt;=$E98),"━","")))</f>
        <v/>
      </c>
      <c r="BP98" s="69" t="str">
        <f aca="false">IF($E98="","",IF($M98,IF(AND($G98&gt;=BP$5,$G98&lt;BP$5+GanttPeriod),"◆",IF(AND($E98&gt;=BP$5,$E98&lt;BP$5+GanttPeriod),"◇","")),IF(AND(BP$5&lt;=$F98,BP$5+GanttPeriod-1&gt;=$E98),"━","")))</f>
        <v/>
      </c>
      <c r="BQ98" s="69" t="str">
        <f aca="false">IF($E98="","",IF($M98,IF(AND($G98&gt;=BQ$5,$G98&lt;BQ$5+GanttPeriod),"◆",IF(AND($E98&gt;=BQ$5,$E98&lt;BQ$5+GanttPeriod),"◇","")),IF(AND(BQ$5&lt;=$F98,BQ$5+GanttPeriod-1&gt;=$E98),"━","")))</f>
        <v/>
      </c>
      <c r="BR98" s="69" t="str">
        <f aca="false">IF($E98="","",IF($M98,IF(AND($G98&gt;=BR$5,$G98&lt;BR$5+GanttPeriod),"◆",IF(AND($E98&gt;=BR$5,$E98&lt;BR$5+GanttPeriod),"◇","")),IF(AND(BR$5&lt;=$F98,BR$5+GanttPeriod-1&gt;=$E98),"━","")))</f>
        <v/>
      </c>
      <c r="BS98" s="69" t="str">
        <f aca="false">IF($E98="","",IF($M98,IF(AND($G98&gt;=BS$5,$G98&lt;BS$5+GanttPeriod),"◆",IF(AND($E98&gt;=BS$5,$E98&lt;BS$5+GanttPeriod),"◇","")),IF(AND(BS$5&lt;=$F98,BS$5+GanttPeriod-1&gt;=$E98),"━","")))</f>
        <v/>
      </c>
      <c r="BT98" s="69" t="str">
        <f aca="false">IF($E98="","",IF($M98,IF(AND($G98&gt;=BT$5,$G98&lt;BT$5+GanttPeriod),"◆",IF(AND($E98&gt;=BT$5,$E98&lt;BT$5+GanttPeriod),"◇","")),IF(AND(BT$5&lt;=$F98,BT$5+GanttPeriod-1&gt;=$E98),"━","")))</f>
        <v/>
      </c>
      <c r="BU98" s="69" t="str">
        <f aca="false">IF($E98="","",IF($M98,IF(AND($G98&gt;=BU$5,$G98&lt;BU$5+GanttPeriod),"◆",IF(AND($E98&gt;=BU$5,$E98&lt;BU$5+GanttPeriod),"◇","")),IF(AND(BU$5&lt;=$F98,BU$5+GanttPeriod-1&gt;=$E98),"━","")))</f>
        <v/>
      </c>
      <c r="BV98" s="69" t="str">
        <f aca="false">IF($E98="","",IF($M98,IF(AND($G98&gt;=BV$5,$G98&lt;BV$5+GanttPeriod),"◆",IF(AND($E98&gt;=BV$5,$E98&lt;BV$5+GanttPeriod),"◇","")),IF(AND(BV$5&lt;=$F98,BV$5+GanttPeriod-1&gt;=$E98),"━","")))</f>
        <v/>
      </c>
      <c r="BW98" s="69" t="str">
        <f aca="false">IF($E98="","",IF($M98,IF(AND($G98&gt;=BW$5,$G98&lt;BW$5+GanttPeriod),"◆",IF(AND($E98&gt;=BW$5,$E98&lt;BW$5+GanttPeriod),"◇","")),IF(AND(BW$5&lt;=$F98,BW$5+GanttPeriod-1&gt;=$E98),"━","")))</f>
        <v/>
      </c>
      <c r="BX98" s="69" t="str">
        <f aca="false">IF($E98="","",IF($M98,IF(AND($G98&gt;=BX$5,$G98&lt;BX$5+GanttPeriod),"◆",IF(AND($E98&gt;=BX$5,$E98&lt;BX$5+GanttPeriod),"◇","")),IF(AND(BX$5&lt;=$F98,BX$5+GanttPeriod-1&gt;=$E98),"━","")))</f>
        <v/>
      </c>
      <c r="BY98" s="69" t="str">
        <f aca="false">IF($E98="","",IF($M98,IF(AND($G98&gt;=BY$5,$G98&lt;BY$5+GanttPeriod),"◆",IF(AND($E98&gt;=BY$5,$E98&lt;BY$5+GanttPeriod),"◇","")),IF(AND(BY$5&lt;=$F98,BY$5+GanttPeriod-1&gt;=$E98),"━","")))</f>
        <v/>
      </c>
      <c r="BZ98" s="69" t="str">
        <f aca="false">IF($E98="","",IF($M98,IF(AND($G98&gt;=BZ$5,$G98&lt;BZ$5+GanttPeriod),"◆",IF(AND($E98&gt;=BZ$5,$E98&lt;BZ$5+GanttPeriod),"◇","")),IF(AND(BZ$5&lt;=$F98,BZ$5+GanttPeriod-1&gt;=$E98),"━","")))</f>
        <v/>
      </c>
      <c r="CA98" s="69" t="str">
        <f aca="false">IF($E98="","",IF($M98,IF(AND($G98&gt;=CA$5,$G98&lt;CA$5+GanttPeriod),"◆",IF(AND($E98&gt;=CA$5,$E98&lt;CA$5+GanttPeriod),"◇","")),IF(AND(CA$5&lt;=$F98,CA$5+GanttPeriod-1&gt;=$E98),"━","")))</f>
        <v/>
      </c>
      <c r="CB98" s="69" t="str">
        <f aca="false">IF($E98="","",IF($M98,IF(AND($G98&gt;=CB$5,$G98&lt;CB$5+GanttPeriod),"◆",IF(AND($E98&gt;=CB$5,$E98&lt;CB$5+GanttPeriod),"◇","")),IF(AND(CB$5&lt;=$F98,CB$5+GanttPeriod-1&gt;=$E98),"━","")))</f>
        <v/>
      </c>
      <c r="CC98" s="69" t="str">
        <f aca="false">IF($E98="","",IF($M98,IF(AND($G98&gt;=CC$5,$G98&lt;CC$5+GanttPeriod),"◆",IF(AND($E98&gt;=CC$5,$E98&lt;CC$5+GanttPeriod),"◇","")),IF(AND(CC$5&lt;=$F98,CC$5+GanttPeriod-1&gt;=$E98),"━","")))</f>
        <v/>
      </c>
      <c r="CD98" s="69" t="str">
        <f aca="false">IF($E98="","",IF($M98,IF(AND($G98&gt;=CD$5,$G98&lt;CD$5+GanttPeriod),"◆",IF(AND($E98&gt;=CD$5,$E98&lt;CD$5+GanttPeriod),"◇","")),IF(AND(CD$5&lt;=$F98,CD$5+GanttPeriod-1&gt;=$E98),"━","")))</f>
        <v/>
      </c>
      <c r="CE98" s="69" t="str">
        <f aca="false">IF($E98="","",IF($M98,IF(AND($G98&gt;=CE$5,$G98&lt;CE$5+GanttPeriod),"◆",IF(AND($E98&gt;=CE$5,$E98&lt;CE$5+GanttPeriod),"◇","")),IF(AND(CE$5&lt;=$F98,CE$5+GanttPeriod-1&gt;=$E98),"━","")))</f>
        <v/>
      </c>
      <c r="CF98" s="69" t="str">
        <f aca="false">IF($E98="","",IF($M98,IF(AND($G98&gt;=CF$5,$G98&lt;CF$5+GanttPeriod),"◆",IF(AND($E98&gt;=CF$5,$E98&lt;CF$5+GanttPeriod),"◇","")),IF(AND(CF$5&lt;=$F98,CF$5+GanttPeriod-1&gt;=$E98),"━","")))</f>
        <v/>
      </c>
      <c r="CG98" s="69" t="str">
        <f aca="false">IF($E98="","",IF($M98,IF(AND($G98&gt;=CG$5,$G98&lt;CG$5+GanttPeriod),"◆",IF(AND($E98&gt;=CG$5,$E98&lt;CG$5+GanttPeriod),"◇","")),IF(AND(CG$5&lt;=$F98,CG$5+GanttPeriod-1&gt;=$E98),"━","")))</f>
        <v/>
      </c>
      <c r="CH98" s="69" t="str">
        <f aca="false">IF($E98="","",IF($M98,IF(AND($G98&gt;=CH$5,$G98&lt;CH$5+GanttPeriod),"◆",IF(AND($E98&gt;=CH$5,$E98&lt;CH$5+GanttPeriod),"◇","")),IF(AND(CH$5&lt;=$F98,CH$5+GanttPeriod-1&gt;=$E98),"━","")))</f>
        <v/>
      </c>
      <c r="CI98" s="69" t="str">
        <f aca="false">IF($E98="","",IF($M98,IF(AND($G98&gt;=CI$5,$G98&lt;CI$5+GanttPeriod),"◆",IF(AND($E98&gt;=CI$5,$E98&lt;CI$5+GanttPeriod),"◇","")),IF(AND(CI$5&lt;=$F98,CI$5+GanttPeriod-1&gt;=$E98),"━","")))</f>
        <v/>
      </c>
      <c r="CJ98" s="69" t="str">
        <f aca="false">IF($E98="","",IF($M98,IF(AND($G98&gt;=CJ$5,$G98&lt;CJ$5+GanttPeriod),"◆",IF(AND($E98&gt;=CJ$5,$E98&lt;CJ$5+GanttPeriod),"◇","")),IF(AND(CJ$5&lt;=$F98,CJ$5+GanttPeriod-1&gt;=$E98),"━","")))</f>
        <v/>
      </c>
      <c r="CK98" s="69" t="str">
        <f aca="false">IF($E98="","",IF($M98,IF(AND($G98&gt;=CK$5,$G98&lt;CK$5+GanttPeriod),"◆",IF(AND($E98&gt;=CK$5,$E98&lt;CK$5+GanttPeriod),"◇","")),IF(AND(CK$5&lt;=$F98,CK$5+GanttPeriod-1&gt;=$E98),"━","")))</f>
        <v/>
      </c>
      <c r="CL98" s="69" t="str">
        <f aca="false">IF($E98="","",IF($M98,IF(AND($G98&gt;=CL$5,$G98&lt;CL$5+GanttPeriod),"◆",IF(AND($E98&gt;=CL$5,$E98&lt;CL$5+GanttPeriod),"◇","")),IF(AND(CL$5&lt;=$F98,CL$5+GanttPeriod-1&gt;=$E98),"━","")))</f>
        <v/>
      </c>
      <c r="CM98" s="69" t="str">
        <f aca="false">IF($E98="","",IF($M98,IF(AND($G98&gt;=CM$5,$G98&lt;CM$5+GanttPeriod),"◆",IF(AND($E98&gt;=CM$5,$E98&lt;CM$5+GanttPeriod),"◇","")),IF(AND(CM$5&lt;=$F98,CM$5+GanttPeriod-1&gt;=$E98),"━","")))</f>
        <v/>
      </c>
      <c r="CN98" s="69" t="str">
        <f aca="false">IF($E98="","",IF($M98,IF(AND($G98&gt;=CN$5,$G98&lt;CN$5+GanttPeriod),"◆",IF(AND($E98&gt;=CN$5,$E98&lt;CN$5+GanttPeriod),"◇","")),IF(AND(CN$5&lt;=$F98,CN$5+GanttPeriod-1&gt;=$E98),"━","")))</f>
        <v/>
      </c>
      <c r="CO98" s="69" t="str">
        <f aca="false">IF($E98="","",IF($M98,IF(AND($G98&gt;=CO$5,$G98&lt;CO$5+GanttPeriod),"◆",IF(AND($E98&gt;=CO$5,$E98&lt;CO$5+GanttPeriod),"◇","")),IF(AND(CO$5&lt;=$F98,CO$5+GanttPeriod-1&gt;=$E98),"━","")))</f>
        <v/>
      </c>
      <c r="CP98" s="69" t="str">
        <f aca="false">IF($E98="","",IF($M98,IF(AND($G98&gt;=CP$5,$G98&lt;CP$5+GanttPeriod),"◆",IF(AND($E98&gt;=CP$5,$E98&lt;CP$5+GanttPeriod),"◇","")),IF(AND(CP$5&lt;=$F98,CP$5+GanttPeriod-1&gt;=$E98),"━","")))</f>
        <v/>
      </c>
      <c r="CQ98" s="69" t="str">
        <f aca="false">IF($E98="","",IF($M98,IF(AND($G98&gt;=CQ$5,$G98&lt;CQ$5+GanttPeriod),"◆",IF(AND($E98&gt;=CQ$5,$E98&lt;CQ$5+GanttPeriod),"◇","")),IF(AND(CQ$5&lt;=$F98,CQ$5+GanttPeriod-1&gt;=$E98),"━","")))</f>
        <v/>
      </c>
      <c r="CR98" s="69" t="str">
        <f aca="false">IF($E98="","",IF($M98,IF(AND($G98&gt;=CR$5,$G98&lt;CR$5+GanttPeriod),"◆",IF(AND($E98&gt;=CR$5,$E98&lt;CR$5+GanttPeriod),"◇","")),IF(AND(CR$5&lt;=$F98,CR$5+GanttPeriod-1&gt;=$E98),"━","")))</f>
        <v/>
      </c>
      <c r="CS98" s="69" t="str">
        <f aca="false">IF($E98="","",IF($M98,IF(AND($G98&gt;=CS$5,$G98&lt;CS$5+GanttPeriod),"◆",IF(AND($E98&gt;=CS$5,$E98&lt;CS$5+GanttPeriod),"◇","")),IF(AND(CS$5&lt;=$F98,CS$5+GanttPeriod-1&gt;=$E98),"━","")))</f>
        <v/>
      </c>
      <c r="CT98" s="69" t="str">
        <f aca="false">IF($E98="","",IF($M98,IF(AND($G98&gt;=CT$5,$G98&lt;CT$5+GanttPeriod),"◆",IF(AND($E98&gt;=CT$5,$E98&lt;CT$5+GanttPeriod),"◇","")),IF(AND(CT$5&lt;=$F98,CT$5+GanttPeriod-1&gt;=$E98),"━","")))</f>
        <v/>
      </c>
      <c r="CU98" s="69" t="str">
        <f aca="false">IF($E98="","",IF($M98,IF(AND($G98&gt;=CU$5,$G98&lt;CU$5+GanttPeriod),"◆",IF(AND($E98&gt;=CU$5,$E98&lt;CU$5+GanttPeriod),"◇","")),IF(AND(CU$5&lt;=$F98,CU$5+GanttPeriod-1&gt;=$E98),"━","")))</f>
        <v/>
      </c>
      <c r="CV98" s="69" t="str">
        <f aca="false">IF($E98="","",IF($M98,IF(AND($G98&gt;=CV$5,$G98&lt;CV$5+GanttPeriod),"◆",IF(AND($E98&gt;=CV$5,$E98&lt;CV$5+GanttPeriod),"◇","")),IF(AND(CV$5&lt;=$F98,CV$5+GanttPeriod-1&gt;=$E98),"━","")))</f>
        <v/>
      </c>
      <c r="CW98" s="69" t="str">
        <f aca="false">IF($E98="","",IF($M98,IF(AND($G98&gt;=CW$5,$G98&lt;CW$5+GanttPeriod),"◆",IF(AND($E98&gt;=CW$5,$E98&lt;CW$5+GanttPeriod),"◇","")),IF(AND(CW$5&lt;=$F98,CW$5+GanttPeriod-1&gt;=$E98),"━","")))</f>
        <v/>
      </c>
      <c r="CX98" s="69" t="str">
        <f aca="false">IF($E98="","",IF($M98,IF(AND($G98&gt;=CX$5,$G98&lt;CX$5+GanttPeriod),"◆",IF(AND($E98&gt;=CX$5,$E98&lt;CX$5+GanttPeriod),"◇","")),IF(AND(CX$5&lt;=$F98,CX$5+GanttPeriod-1&gt;=$E98),"━","")))</f>
        <v/>
      </c>
      <c r="CY98" s="69" t="str">
        <f aca="false">IF($E98="","",IF($M98,IF(AND($G98&gt;=CY$5,$G98&lt;CY$5+GanttPeriod),"◆",IF(AND($E98&gt;=CY$5,$E98&lt;CY$5+GanttPeriod),"◇","")),IF(AND(CY$5&lt;=$F98,CY$5+GanttPeriod-1&gt;=$E98),"━","")))</f>
        <v/>
      </c>
      <c r="CZ98" s="69" t="str">
        <f aca="false">IF($E98="","",IF($M98,IF(AND($G98&gt;=CZ$5,$G98&lt;CZ$5+GanttPeriod),"◆",IF(AND($E98&gt;=CZ$5,$E98&lt;CZ$5+GanttPeriod),"◇","")),IF(AND(CZ$5&lt;=$F98,CZ$5+GanttPeriod-1&gt;=$E98),"━","")))</f>
        <v/>
      </c>
      <c r="DA98" s="69" t="str">
        <f aca="false">IF($E98="","",IF($M98,IF(AND($G98&gt;=DA$5,$G98&lt;DA$5+GanttPeriod),"◆",IF(AND($E98&gt;=DA$5,$E98&lt;DA$5+GanttPeriod),"◇","")),IF(AND(DA$5&lt;=$F98,DA$5+GanttPeriod-1&gt;=$E98),"━","")))</f>
        <v/>
      </c>
      <c r="DB98" s="69" t="str">
        <f aca="false">IF($E98="","",IF($M98,IF(AND($G98&gt;=DB$5,$G98&lt;DB$5+GanttPeriod),"◆",IF(AND($E98&gt;=DB$5,$E98&lt;DB$5+GanttPeriod),"◇","")),IF(AND(DB$5&lt;=$F98,DB$5+GanttPeriod-1&gt;=$E98),"━","")))</f>
        <v/>
      </c>
      <c r="DC98" s="69" t="str">
        <f aca="false">IF($E98="","",IF($M98,IF(AND($G98&gt;=DC$5,$G98&lt;DC$5+GanttPeriod),"◆",IF(AND($E98&gt;=DC$5,$E98&lt;DC$5+GanttPeriod),"◇","")),IF(AND(DC$5&lt;=$F98,DC$5+GanttPeriod-1&gt;=$E98),"━","")))</f>
        <v/>
      </c>
      <c r="DD98" s="69" t="str">
        <f aca="false">IF($E98="","",IF($M98,IF(AND($G98&gt;=DD$5,$G98&lt;DD$5+GanttPeriod),"◆",IF(AND($E98&gt;=DD$5,$E98&lt;DD$5+GanttPeriod),"◇","")),IF(AND(DD$5&lt;=$F98,DD$5+GanttPeriod-1&gt;=$E98),"━","")))</f>
        <v/>
      </c>
      <c r="DE98" s="69" t="str">
        <f aca="false">IF($E98="","",IF($M98,IF(AND($G98&gt;=DE$5,$G98&lt;DE$5+GanttPeriod),"◆",IF(AND($E98&gt;=DE$5,$E98&lt;DE$5+GanttPeriod),"◇","")),IF(AND(DE$5&lt;=$F98,DE$5+GanttPeriod-1&gt;=$E98),"━","")))</f>
        <v/>
      </c>
      <c r="DF98" s="69" t="str">
        <f aca="false">IF($E98="","",IF($M98,IF(AND($G98&gt;=DF$5,$G98&lt;DF$5+GanttPeriod),"◆",IF(AND($E98&gt;=DF$5,$E98&lt;DF$5+GanttPeriod),"◇","")),IF(AND(DF$5&lt;=$F98,DF$5+GanttPeriod-1&gt;=$E98),"━","")))</f>
        <v/>
      </c>
      <c r="DG98" s="69" t="str">
        <f aca="false">IF($E98="","",IF($M98,IF(AND($G98&gt;=DG$5,$G98&lt;DG$5+GanttPeriod),"◆",IF(AND($E98&gt;=DG$5,$E98&lt;DG$5+GanttPeriod),"◇","")),IF(AND(DG$5&lt;=$F98,DG$5+GanttPeriod-1&gt;=$E98),"━","")))</f>
        <v/>
      </c>
      <c r="DH98" s="69" t="str">
        <f aca="false">IF($E98="","",IF($M98,IF(AND($G98&gt;=DH$5,$G98&lt;DH$5+GanttPeriod),"◆",IF(AND($E98&gt;=DH$5,$E98&lt;DH$5+GanttPeriod),"◇","")),IF(AND(DH$5&lt;=$F98,DH$5+GanttPeriod-1&gt;=$E98),"━","")))</f>
        <v/>
      </c>
      <c r="DI98" s="69" t="str">
        <f aca="false">IF($E98="","",IF($M98,IF(AND($G98&gt;=DI$5,$G98&lt;DI$5+GanttPeriod),"◆",IF(AND($E98&gt;=DI$5,$E98&lt;DI$5+GanttPeriod),"◇","")),IF(AND(DI$5&lt;=$F98,DI$5+GanttPeriod-1&gt;=$E98),"━","")))</f>
        <v/>
      </c>
      <c r="DJ98" s="69" t="str">
        <f aca="false">IF($E98="","",IF($M98,IF(AND($G98&gt;=DJ$5,$G98&lt;DJ$5+GanttPeriod),"◆",IF(AND($E98&gt;=DJ$5,$E98&lt;DJ$5+GanttPeriod),"◇","")),IF(AND(DJ$5&lt;=$F98,DJ$5+GanttPeriod-1&gt;=$E98),"━","")))</f>
        <v/>
      </c>
      <c r="DK98" s="69" t="str">
        <f aca="false">IF($E98="","",IF($M98,IF(AND($G98&gt;=DK$5,$G98&lt;DK$5+GanttPeriod),"◆",IF(AND($E98&gt;=DK$5,$E98&lt;DK$5+GanttPeriod),"◇","")),IF(AND(DK$5&lt;=$F98,DK$5+GanttPeriod-1&gt;=$E98),"━","")))</f>
        <v/>
      </c>
      <c r="DL98" s="69" t="str">
        <f aca="false">IF($E98="","",IF($M98,IF(AND($G98&gt;=DL$5,$G98&lt;DL$5+GanttPeriod),"◆",IF(AND($E98&gt;=DL$5,$E98&lt;DL$5+GanttPeriod),"◇","")),IF(AND(DL$5&lt;=$F98,DL$5+GanttPeriod-1&gt;=$E98),"━","")))</f>
        <v/>
      </c>
      <c r="DM98" s="69" t="str">
        <f aca="false">IF($E98="","",IF($M98,IF(AND($G98&gt;=DM$5,$G98&lt;DM$5+GanttPeriod),"◆",IF(AND($E98&gt;=DM$5,$E98&lt;DM$5+GanttPeriod),"◇","")),IF(AND(DM$5&lt;=$F98,DM$5+GanttPeriod-1&gt;=$E98),"━","")))</f>
        <v/>
      </c>
      <c r="DN98" s="69" t="str">
        <f aca="false">IF($E98="","",IF($M98,IF(AND($G98&gt;=DN$5,$G98&lt;DN$5+GanttPeriod),"◆",IF(AND($E98&gt;=DN$5,$E98&lt;DN$5+GanttPeriod),"◇","")),IF(AND(DN$5&lt;=$F98,DN$5+GanttPeriod-1&gt;=$E98),"━","")))</f>
        <v/>
      </c>
      <c r="DO98" s="69" t="str">
        <f aca="false">IF($E98="","",IF($M98,IF(AND($G98&gt;=DO$5,$G98&lt;DO$5+GanttPeriod),"◆",IF(AND($E98&gt;=DO$5,$E98&lt;DO$5+GanttPeriod),"◇","")),IF(AND(DO$5&lt;=$F98,DO$5+GanttPeriod-1&gt;=$E98),"━","")))</f>
        <v/>
      </c>
      <c r="DP98" s="69" t="str">
        <f aca="false">IF($E98="","",IF($M98,IF(AND($G98&gt;=DP$5,$G98&lt;DP$5+GanttPeriod),"◆",IF(AND($E98&gt;=DP$5,$E98&lt;DP$5+GanttPeriod),"◇","")),IF(AND(DP$5&lt;=$F98,DP$5+GanttPeriod-1&gt;=$E98),"━","")))</f>
        <v/>
      </c>
      <c r="DQ98" s="69" t="str">
        <f aca="false">IF($E98="","",IF($M98,IF(AND($G98&gt;=DQ$5,$G98&lt;DQ$5+GanttPeriod),"◆",IF(AND($E98&gt;=DQ$5,$E98&lt;DQ$5+GanttPeriod),"◇","")),IF(AND(DQ$5&lt;=$F98,DQ$5+GanttPeriod-1&gt;=$E98),"━","")))</f>
        <v/>
      </c>
      <c r="DR98" s="69" t="str">
        <f aca="false">IF($E98="","",IF($M98,IF(AND($G98&gt;=DR$5,$G98&lt;DR$5+GanttPeriod),"◆",IF(AND($E98&gt;=DR$5,$E98&lt;DR$5+GanttPeriod),"◇","")),IF(AND(DR$5&lt;=$F98,DR$5+GanttPeriod-1&gt;=$E98),"━","")))</f>
        <v/>
      </c>
      <c r="DS98" s="69" t="str">
        <f aca="false">IF($E98="","",IF($M98,IF(AND($G98&gt;=DS$5,$G98&lt;DS$5+GanttPeriod),"◆",IF(AND($E98&gt;=DS$5,$E98&lt;DS$5+GanttPeriod),"◇","")),IF(AND(DS$5&lt;=$F98,DS$5+GanttPeriod-1&gt;=$E98),"━","")))</f>
        <v/>
      </c>
      <c r="DT98" s="69" t="str">
        <f aca="false">IF($E98="","",IF($M98,IF(AND($G98&gt;=DT$5,$G98&lt;DT$5+GanttPeriod),"◆",IF(AND($E98&gt;=DT$5,$E98&lt;DT$5+GanttPeriod),"◇","")),IF(AND(DT$5&lt;=$F98,DT$5+GanttPeriod-1&gt;=$E98),"━","")))</f>
        <v/>
      </c>
      <c r="DU98" s="69" t="str">
        <f aca="false">IF($E98="","",IF($M98,IF(AND($G98&gt;=DU$5,$G98&lt;DU$5+GanttPeriod),"◆",IF(AND($E98&gt;=DU$5,$E98&lt;DU$5+GanttPeriod),"◇","")),IF(AND(DU$5&lt;=$F98,DU$5+GanttPeriod-1&gt;=$E98),"━","")))</f>
        <v/>
      </c>
      <c r="DV98" s="69" t="str">
        <f aca="false">IF($E98="","",IF($M98,IF(AND($G98&gt;=DV$5,$G98&lt;DV$5+GanttPeriod),"◆",IF(AND($E98&gt;=DV$5,$E98&lt;DV$5+GanttPeriod),"◇","")),IF(AND(DV$5&lt;=$F98,DV$5+GanttPeriod-1&gt;=$E98),"━","")))</f>
        <v/>
      </c>
      <c r="DW98" s="69" t="str">
        <f aca="false">IF($E98="","",IF($M98,IF(AND($G98&gt;=DW$5,$G98&lt;DW$5+GanttPeriod),"◆",IF(AND($E98&gt;=DW$5,$E98&lt;DW$5+GanttPeriod),"◇","")),IF(AND(DW$5&lt;=$F98,DW$5+GanttPeriod-1&gt;=$E98),"━","")))</f>
        <v/>
      </c>
      <c r="DX98" s="69" t="str">
        <f aca="false">IF($E98="","",IF($M98,IF(AND($G98&gt;=DX$5,$G98&lt;DX$5+GanttPeriod),"◆",IF(AND($E98&gt;=DX$5,$E98&lt;DX$5+GanttPeriod),"◇","")),IF(AND(DX$5&lt;=$F98,DX$5+GanttPeriod-1&gt;=$E98),"━","")))</f>
        <v/>
      </c>
      <c r="DY98" s="69" t="str">
        <f aca="false">IF($E98="","",IF($M98,IF(AND($G98&gt;=DY$5,$G98&lt;DY$5+GanttPeriod),"◆",IF(AND($E98&gt;=DY$5,$E98&lt;DY$5+GanttPeriod),"◇","")),IF(AND(DY$5&lt;=$F98,DY$5+GanttPeriod-1&gt;=$E98),"━","")))</f>
        <v/>
      </c>
      <c r="DZ98" s="69" t="str">
        <f aca="false">IF($E98="","",IF($M98,IF(AND($G98&gt;=DZ$5,$G98&lt;DZ$5+GanttPeriod),"◆",IF(AND($E98&gt;=DZ$5,$E98&lt;DZ$5+GanttPeriod),"◇","")),IF(AND(DZ$5&lt;=$F98,DZ$5+GanttPeriod-1&gt;=$E98),"━","")))</f>
        <v/>
      </c>
      <c r="EA98" s="69" t="str">
        <f aca="false">IF($E98="","",IF($M98,IF(AND($G98&gt;=EA$5,$G98&lt;EA$5+GanttPeriod),"◆",IF(AND($E98&gt;=EA$5,$E98&lt;EA$5+GanttPeriod),"◇","")),IF(AND(EA$5&lt;=$F98,EA$5+GanttPeriod-1&gt;=$E98),"━","")))</f>
        <v/>
      </c>
      <c r="EB98" s="69" t="str">
        <f aca="false">IF($E98="","",IF($M98,IF(AND($G98&gt;=EB$5,$G98&lt;EB$5+GanttPeriod),"◆",IF(AND($E98&gt;=EB$5,$E98&lt;EB$5+GanttPeriod),"◇","")),IF(AND(EB$5&lt;=$F98,EB$5+GanttPeriod-1&gt;=$E98),"━","")))</f>
        <v/>
      </c>
      <c r="EC98" s="69" t="str">
        <f aca="false">IF($E98="","",IF($M98,IF(AND($G98&gt;=EC$5,$G98&lt;EC$5+GanttPeriod),"◆",IF(AND($E98&gt;=EC$5,$E98&lt;EC$5+GanttPeriod),"◇","")),IF(AND(EC$5&lt;=$F98,EC$5+GanttPeriod-1&gt;=$E98),"━","")))</f>
        <v/>
      </c>
      <c r="ED98" s="69" t="str">
        <f aca="false">IF($E98="","",IF($M98,IF(AND($G98&gt;=ED$5,$G98&lt;ED$5+GanttPeriod),"◆",IF(AND($E98&gt;=ED$5,$E98&lt;ED$5+GanttPeriod),"◇","")),IF(AND(ED$5&lt;=$F98,ED$5+GanttPeriod-1&gt;=$E98),"━","")))</f>
        <v/>
      </c>
      <c r="EE98" s="69" t="str">
        <f aca="false">IF($E98="","",IF($M98,IF(AND($G98&gt;=EE$5,$G98&lt;EE$5+GanttPeriod),"◆",IF(AND($E98&gt;=EE$5,$E98&lt;EE$5+GanttPeriod),"◇","")),IF(AND(EE$5&lt;=$F98,EE$5+GanttPeriod-1&gt;=$E98),"━","")))</f>
        <v/>
      </c>
      <c r="EF98" s="69" t="str">
        <f aca="false">IF($E98="","",IF($M98,IF(AND($G98&gt;=EF$5,$G98&lt;EF$5+GanttPeriod),"◆",IF(AND($E98&gt;=EF$5,$E98&lt;EF$5+GanttPeriod),"◇","")),IF(AND(EF$5&lt;=$F98,EF$5+GanttPeriod-1&gt;=$E98),"━","")))</f>
        <v/>
      </c>
      <c r="EG98" s="69" t="str">
        <f aca="false">IF($E98="","",IF($M98,IF(AND($G98&gt;=EG$5,$G98&lt;EG$5+GanttPeriod),"◆",IF(AND($E98&gt;=EG$5,$E98&lt;EG$5+GanttPeriod),"◇","")),IF(AND(EG$5&lt;=$F98,EG$5+GanttPeriod-1&gt;=$E98),"━","")))</f>
        <v/>
      </c>
      <c r="EH98" s="69" t="str">
        <f aca="false">IF($E98="","",IF($M98,IF(AND($G98&gt;=EH$5,$G98&lt;EH$5+GanttPeriod),"◆",IF(AND($E98&gt;=EH$5,$E98&lt;EH$5+GanttPeriod),"◇","")),IF(AND(EH$5&lt;=$F98,EH$5+GanttPeriod-1&gt;=$E98),"━","")))</f>
        <v/>
      </c>
      <c r="EI98" s="69" t="str">
        <f aca="false">IF($E98="","",IF($M98,IF(AND($G98&gt;=EI$5,$G98&lt;EI$5+GanttPeriod),"◆",IF(AND($E98&gt;=EI$5,$E98&lt;EI$5+GanttPeriod),"◇","")),IF(AND(EI$5&lt;=$F98,EI$5+GanttPeriod-1&gt;=$E98),"━","")))</f>
        <v/>
      </c>
      <c r="EJ98" s="69" t="str">
        <f aca="false">IF($E98="","",IF($M98,IF(AND($G98&gt;=EJ$5,$G98&lt;EJ$5+GanttPeriod),"◆",IF(AND($E98&gt;=EJ$5,$E98&lt;EJ$5+GanttPeriod),"◇","")),IF(AND(EJ$5&lt;=$F98,EJ$5+GanttPeriod-1&gt;=$E98),"━","")))</f>
        <v/>
      </c>
      <c r="EK98" s="69" t="str">
        <f aca="false">IF($E98="","",IF($M98,IF(AND($G98&gt;=EK$5,$G98&lt;EK$5+GanttPeriod),"◆",IF(AND($E98&gt;=EK$5,$E98&lt;EK$5+GanttPeriod),"◇","")),IF(AND(EK$5&lt;=$F98,EK$5+GanttPeriod-1&gt;=$E98),"━","")))</f>
        <v/>
      </c>
      <c r="EL98" s="69" t="str">
        <f aca="false">IF($E98="","",IF($M98,IF(AND($G98&gt;=EL$5,$G98&lt;EL$5+GanttPeriod),"◆",IF(AND($E98&gt;=EL$5,$E98&lt;EL$5+GanttPeriod),"◇","")),IF(AND(EL$5&lt;=$F98,EL$5+GanttPeriod-1&gt;=$E98),"━","")))</f>
        <v/>
      </c>
      <c r="EM98" s="69" t="str">
        <f aca="false">IF($E98="","",IF($M98,IF(AND($G98&gt;=EM$5,$G98&lt;EM$5+GanttPeriod),"◆",IF(AND($E98&gt;=EM$5,$E98&lt;EM$5+GanttPeriod),"◇","")),IF(AND(EM$5&lt;=$F98,EM$5+GanttPeriod-1&gt;=$E98),"━","")))</f>
        <v/>
      </c>
      <c r="EN98" s="69" t="str">
        <f aca="false">IF($E98="","",IF($M98,IF(AND($G98&gt;=EN$5,$G98&lt;EN$5+GanttPeriod),"◆",IF(AND($E98&gt;=EN$5,$E98&lt;EN$5+GanttPeriod),"◇","")),IF(AND(EN$5&lt;=$F98,EN$5+GanttPeriod-1&gt;=$E98),"━","")))</f>
        <v/>
      </c>
      <c r="EO98" s="69" t="str">
        <f aca="false">IF($E98="","",IF($M98,IF(AND($G98&gt;=EO$5,$G98&lt;EO$5+GanttPeriod),"◆",IF(AND($E98&gt;=EO$5,$E98&lt;EO$5+GanttPeriod),"◇","")),IF(AND(EO$5&lt;=$F98,EO$5+GanttPeriod-1&gt;=$E98),"━","")))</f>
        <v/>
      </c>
      <c r="EP98" s="69" t="str">
        <f aca="false">IF($E98="","",IF($M98,IF(AND($G98&gt;=EP$5,$G98&lt;EP$5+GanttPeriod),"◆",IF(AND($E98&gt;=EP$5,$E98&lt;EP$5+GanttPeriod),"◇","")),IF(AND(EP$5&lt;=$F98,EP$5+GanttPeriod-1&gt;=$E98),"━","")))</f>
        <v/>
      </c>
      <c r="EQ98" s="69" t="str">
        <f aca="false">IF($E98="","",IF($M98,IF(AND($G98&gt;=EQ$5,$G98&lt;EQ$5+GanttPeriod),"◆",IF(AND($E98&gt;=EQ$5,$E98&lt;EQ$5+GanttPeriod),"◇","")),IF(AND(EQ$5&lt;=$F98,EQ$5+GanttPeriod-1&gt;=$E98),"━","")))</f>
        <v/>
      </c>
      <c r="ER98" s="69" t="str">
        <f aca="false">IF($E98="","",IF($M98,IF(AND($G98&gt;=ER$5,$G98&lt;ER$5+GanttPeriod),"◆",IF(AND($E98&gt;=ER$5,$E98&lt;ER$5+GanttPeriod),"◇","")),IF(AND(ER$5&lt;=$F98,ER$5+GanttPeriod-1&gt;=$E98),"━","")))</f>
        <v/>
      </c>
      <c r="ES98" s="69" t="str">
        <f aca="false">IF($E98="","",IF($M98,IF(AND($G98&gt;=ES$5,$G98&lt;ES$5+GanttPeriod),"◆",IF(AND($E98&gt;=ES$5,$E98&lt;ES$5+GanttPeriod),"◇","")),IF(AND(ES$5&lt;=$F98,ES$5+GanttPeriod-1&gt;=$E98),"━","")))</f>
        <v/>
      </c>
      <c r="ET98" s="69" t="str">
        <f aca="false">IF($E98="","",IF($M98,IF(AND($G98&gt;=ET$5,$G98&lt;ET$5+GanttPeriod),"◆",IF(AND($E98&gt;=ET$5,$E98&lt;ET$5+GanttPeriod),"◇","")),IF(AND(ET$5&lt;=$F98,ET$5+GanttPeriod-1&gt;=$E98),"━","")))</f>
        <v/>
      </c>
      <c r="EU98" s="69" t="str">
        <f aca="false">IF($E98="","",IF($M98,IF(AND($G98&gt;=EU$5,$G98&lt;EU$5+GanttPeriod),"◆",IF(AND($E98&gt;=EU$5,$E98&lt;EU$5+GanttPeriod),"◇","")),IF(AND(EU$5&lt;=$F98,EU$5+GanttPeriod-1&gt;=$E98),"━","")))</f>
        <v/>
      </c>
      <c r="EV98" s="69" t="str">
        <f aca="false">IF($E98="","",IF($M98,IF(AND($G98&gt;=EV$5,$G98&lt;EV$5+GanttPeriod),"◆",IF(AND($E98&gt;=EV$5,$E98&lt;EV$5+GanttPeriod),"◇","")),IF(AND(EV$5&lt;=$F98,EV$5+GanttPeriod-1&gt;=$E98),"━","")))</f>
        <v/>
      </c>
      <c r="EW98" s="69" t="str">
        <f aca="false">IF($E98="","",IF($M98,IF(AND($G98&gt;=EW$5,$G98&lt;EW$5+GanttPeriod),"◆",IF(AND($E98&gt;=EW$5,$E98&lt;EW$5+GanttPeriod),"◇","")),IF(AND(EW$5&lt;=$F98,EW$5+GanttPeriod-1&gt;=$E98),"━","")))</f>
        <v/>
      </c>
      <c r="EX98" s="69" t="str">
        <f aca="false">IF($E98="","",IF($M98,IF(AND($G98&gt;=EX$5,$G98&lt;EX$5+GanttPeriod),"◆",IF(AND($E98&gt;=EX$5,$E98&lt;EX$5+GanttPeriod),"◇","")),IF(AND(EX$5&lt;=$F98,EX$5+GanttPeriod-1&gt;=$E98),"━","")))</f>
        <v/>
      </c>
      <c r="EY98" s="69" t="str">
        <f aca="false">IF($E98="","",IF($M98,IF(AND($G98&gt;=EY$5,$G98&lt;EY$5+GanttPeriod),"◆",IF(AND($E98&gt;=EY$5,$E98&lt;EY$5+GanttPeriod),"◇","")),IF(AND(EY$5&lt;=$F98,EY$5+GanttPeriod-1&gt;=$E98),"━","")))</f>
        <v/>
      </c>
      <c r="EZ98" s="69" t="str">
        <f aca="false">IF($E98="","",IF($M98,IF(AND($G98&gt;=EZ$5,$G98&lt;EZ$5+GanttPeriod),"◆",IF(AND($E98&gt;=EZ$5,$E98&lt;EZ$5+GanttPeriod),"◇","")),IF(AND(EZ$5&lt;=$F98,EZ$5+GanttPeriod-1&gt;=$E98),"━","")))</f>
        <v/>
      </c>
      <c r="FA98" s="69" t="str">
        <f aca="false">IF($E98="","",IF($M98,IF(AND($G98&gt;=FA$5,$G98&lt;FA$5+GanttPeriod),"◆",IF(AND($E98&gt;=FA$5,$E98&lt;FA$5+GanttPeriod),"◇","")),IF(AND(FA$5&lt;=$F98,FA$5+GanttPeriod-1&gt;=$E98),"━","")))</f>
        <v/>
      </c>
      <c r="FB98" s="69" t="str">
        <f aca="false">IF($E98="","",IF($M98,IF(AND($G98&gt;=FB$5,$G98&lt;FB$5+GanttPeriod),"◆",IF(AND($E98&gt;=FB$5,$E98&lt;FB$5+GanttPeriod),"◇","")),IF(AND(FB$5&lt;=$F98,FB$5+GanttPeriod-1&gt;=$E98),"━","")))</f>
        <v/>
      </c>
      <c r="FC98" s="69" t="str">
        <f aca="false">IF($E98="","",IF($M98,IF(AND($G98&gt;=FC$5,$G98&lt;FC$5+GanttPeriod),"◆",IF(AND($E98&gt;=FC$5,$E98&lt;FC$5+GanttPeriod),"◇","")),IF(AND(FC$5&lt;=$F98,FC$5+GanttPeriod-1&gt;=$E98),"━","")))</f>
        <v/>
      </c>
      <c r="FD98" s="69" t="str">
        <f aca="false">IF($E98="","",IF($M98,IF(AND($G98&gt;=FD$5,$G98&lt;FD$5+GanttPeriod),"◆",IF(AND($E98&gt;=FD$5,$E98&lt;FD$5+GanttPeriod),"◇","")),IF(AND(FD$5&lt;=$F98,FD$5+GanttPeriod-1&gt;=$E98),"━","")))</f>
        <v/>
      </c>
      <c r="FE98" s="69" t="str">
        <f aca="false">IF($E98="","",IF($M98,IF(AND($G98&gt;=FE$5,$G98&lt;FE$5+GanttPeriod),"◆",IF(AND($E98&gt;=FE$5,$E98&lt;FE$5+GanttPeriod),"◇","")),IF(AND(FE$5&lt;=$F98,FE$5+GanttPeriod-1&gt;=$E98),"━","")))</f>
        <v/>
      </c>
      <c r="FF98" s="69" t="str">
        <f aca="false">IF($E98="","",IF($M98,IF(AND($G98&gt;=FF$5,$G98&lt;FF$5+GanttPeriod),"◆",IF(AND($E98&gt;=FF$5,$E98&lt;FF$5+GanttPeriod),"◇","")),IF(AND(FF$5&lt;=$F98,FF$5+GanttPeriod-1&gt;=$E98),"━","")))</f>
        <v/>
      </c>
      <c r="FG98" s="69" t="str">
        <f aca="false">IF($E98="","",IF($M98,IF(AND($G98&gt;=FG$5,$G98&lt;FG$5+GanttPeriod),"◆",IF(AND($E98&gt;=FG$5,$E98&lt;FG$5+GanttPeriod),"◇","")),IF(AND(FG$5&lt;=$F98,FG$5+GanttPeriod-1&gt;=$E98),"━","")))</f>
        <v/>
      </c>
      <c r="FH98" s="69" t="str">
        <f aca="false">IF($E98="","",IF($M98,IF(AND($G98&gt;=FH$5,$G98&lt;FH$5+GanttPeriod),"◆",IF(AND($E98&gt;=FH$5,$E98&lt;FH$5+GanttPeriod),"◇","")),IF(AND(FH$5&lt;=$F98,FH$5+GanttPeriod-1&gt;=$E98),"━","")))</f>
        <v/>
      </c>
      <c r="FI98" s="69" t="str">
        <f aca="false">IF($E98="","",IF($M98,IF(AND($G98&gt;=FI$5,$G98&lt;FI$5+GanttPeriod),"◆",IF(AND($E98&gt;=FI$5,$E98&lt;FI$5+GanttPeriod),"◇","")),IF(AND(FI$5&lt;=$F98,FI$5+GanttPeriod-1&gt;=$E98),"━","")))</f>
        <v/>
      </c>
      <c r="FJ98" s="69" t="str">
        <f aca="false">IF($E98="","",IF($M98,IF(AND($G98&gt;=FJ$5,$G98&lt;FJ$5+GanttPeriod),"◆",IF(AND($E98&gt;=FJ$5,$E98&lt;FJ$5+GanttPeriod),"◇","")),IF(AND(FJ$5&lt;=$F98,FJ$5+GanttPeriod-1&gt;=$E98),"━","")))</f>
        <v/>
      </c>
      <c r="FK98" s="69" t="str">
        <f aca="false">IF($E98="","",IF($M98,IF(AND($G98&gt;=FK$5,$G98&lt;FK$5+GanttPeriod),"◆",IF(AND($E98&gt;=FK$5,$E98&lt;FK$5+GanttPeriod),"◇","")),IF(AND(FK$5&lt;=$F98,FK$5+GanttPeriod-1&gt;=$E98),"━","")))</f>
        <v/>
      </c>
      <c r="FL98" s="69" t="str">
        <f aca="false">IF($E98="","",IF($M98,IF(AND($G98&gt;=FL$5,$G98&lt;FL$5+GanttPeriod),"◆",IF(AND($E98&gt;=FL$5,$E98&lt;FL$5+GanttPeriod),"◇","")),IF(AND(FL$5&lt;=$F98,FL$5+GanttPeriod-1&gt;=$E98),"━","")))</f>
        <v/>
      </c>
      <c r="FM98" s="69" t="str">
        <f aca="false">IF($E98="","",IF($M98,IF(AND($G98&gt;=FM$5,$G98&lt;FM$5+GanttPeriod),"◆",IF(AND($E98&gt;=FM$5,$E98&lt;FM$5+GanttPeriod),"◇","")),IF(AND(FM$5&lt;=$F98,FM$5+GanttPeriod-1&gt;=$E98),"━","")))</f>
        <v/>
      </c>
    </row>
    <row r="99" customFormat="false" ht="15" hidden="false" customHeight="false" outlineLevel="0" collapsed="false">
      <c r="A99" s="62" t="str">
        <f aca="false">IF(Tasks!$D99="","",Tasks!$A99)</f>
        <v/>
      </c>
      <c r="B99" s="62" t="str">
        <f aca="false">IF(Tasks!$D99="","",Tasks!$B99)</f>
        <v/>
      </c>
      <c r="C99" s="63" t="str">
        <f aca="false">IF(Tasks!$D99="","",REPT("    ",Tasks!$AE99-1)&amp;Tasks!$D99)</f>
        <v/>
      </c>
      <c r="D99" s="62" t="str">
        <f aca="false">IF(Tasks!$D99="","",IF(Tasks!$AI99,NETWORKDAYS.INTL(Tasks!$R99,Tasks!$S99,WorkWeek,Holidays),N(Tasks!$F99)))</f>
        <v/>
      </c>
      <c r="E99" s="64" t="str">
        <f aca="false">IF(Tasks!$D99="","",Tasks!$N99)</f>
        <v/>
      </c>
      <c r="F99" s="64" t="str">
        <f aca="false">IF(Tasks!$D99="","",Tasks!$O99)</f>
        <v/>
      </c>
      <c r="G99" s="64" t="str">
        <f aca="false">IF(Tasks!$D99="","",Tasks!$R99)</f>
        <v/>
      </c>
      <c r="H99" s="64" t="str">
        <f aca="false">IF(Tasks!$D99="","",Tasks!$S99)</f>
        <v/>
      </c>
      <c r="I99" s="65" t="str">
        <f aca="false">IF(Tasks!$D99="","",Tasks!$V99)</f>
        <v/>
      </c>
      <c r="J99" s="63" t="str">
        <f aca="false">IF(Tasks!$D99="","",Tasks!$X99&amp;"")</f>
        <v/>
      </c>
      <c r="K99" s="66" t="str">
        <f aca="false">IF(Tasks!$D99="","",Tasks!$W99)</f>
        <v/>
      </c>
      <c r="L99" s="67" t="b">
        <f aca="false">IF(Tasks!$D99="",FALSE(),Tasks!$AI99)</f>
        <v>0</v>
      </c>
      <c r="M99" s="67" t="b">
        <f aca="false">AND(Tasks!$AJ99=1,N(Tasks!$F99)=0)</f>
        <v>0</v>
      </c>
      <c r="N99" s="68" t="n">
        <f aca="false">IF(AND(Tasks!$AJ99=1,NOT($M99),N($I99)&gt;0),$G99,0)</f>
        <v>0</v>
      </c>
      <c r="O99" s="68" t="n">
        <f aca="false">IF($N99=0,0,IF($I99&gt;=1,$H99,MAX($N99,$G99+ROUND(($H99-$G99+1)*$I99,0)-1)))</f>
        <v>0</v>
      </c>
      <c r="P99" s="68" t="n">
        <f aca="false">IF(OR(Tasks!$AJ99&lt;&gt;1,$M99,N($I99)&gt;=1),0,IF($O99&gt;0,$O99+1,$G99))</f>
        <v>0</v>
      </c>
      <c r="Q99" s="68" t="n">
        <f aca="false">IF($P99=0,0,$H99)</f>
        <v>0</v>
      </c>
      <c r="R99" s="67" t="b">
        <f aca="false">AND(Tasks!$D99&lt;&gt;"",N(Tasks!$T99)&gt;0)</f>
        <v>0</v>
      </c>
      <c r="T99" s="69" t="str">
        <f aca="false">IF($E99="","",IF($M99,IF(AND($G99&gt;=T$5,$G99&lt;T$5+GanttPeriod),"◆",IF(AND($E99&gt;=T$5,$E99&lt;T$5+GanttPeriod),"◇","")),IF(AND(T$5&lt;=$F99,T$5+GanttPeriod-1&gt;=$E99),"━","")))</f>
        <v/>
      </c>
      <c r="U99" s="69" t="str">
        <f aca="false">IF($E99="","",IF($M99,IF(AND($G99&gt;=U$5,$G99&lt;U$5+GanttPeriod),"◆",IF(AND($E99&gt;=U$5,$E99&lt;U$5+GanttPeriod),"◇","")),IF(AND(U$5&lt;=$F99,U$5+GanttPeriod-1&gt;=$E99),"━","")))</f>
        <v/>
      </c>
      <c r="V99" s="69" t="str">
        <f aca="false">IF($E99="","",IF($M99,IF(AND($G99&gt;=V$5,$G99&lt;V$5+GanttPeriod),"◆",IF(AND($E99&gt;=V$5,$E99&lt;V$5+GanttPeriod),"◇","")),IF(AND(V$5&lt;=$F99,V$5+GanttPeriod-1&gt;=$E99),"━","")))</f>
        <v/>
      </c>
      <c r="W99" s="69" t="str">
        <f aca="false">IF($E99="","",IF($M99,IF(AND($G99&gt;=W$5,$G99&lt;W$5+GanttPeriod),"◆",IF(AND($E99&gt;=W$5,$E99&lt;W$5+GanttPeriod),"◇","")),IF(AND(W$5&lt;=$F99,W$5+GanttPeriod-1&gt;=$E99),"━","")))</f>
        <v/>
      </c>
      <c r="X99" s="69" t="str">
        <f aca="false">IF($E99="","",IF($M99,IF(AND($G99&gt;=X$5,$G99&lt;X$5+GanttPeriod),"◆",IF(AND($E99&gt;=X$5,$E99&lt;X$5+GanttPeriod),"◇","")),IF(AND(X$5&lt;=$F99,X$5+GanttPeriod-1&gt;=$E99),"━","")))</f>
        <v/>
      </c>
      <c r="Y99" s="69" t="str">
        <f aca="false">IF($E99="","",IF($M99,IF(AND($G99&gt;=Y$5,$G99&lt;Y$5+GanttPeriod),"◆",IF(AND($E99&gt;=Y$5,$E99&lt;Y$5+GanttPeriod),"◇","")),IF(AND(Y$5&lt;=$F99,Y$5+GanttPeriod-1&gt;=$E99),"━","")))</f>
        <v/>
      </c>
      <c r="Z99" s="69" t="str">
        <f aca="false">IF($E99="","",IF($M99,IF(AND($G99&gt;=Z$5,$G99&lt;Z$5+GanttPeriod),"◆",IF(AND($E99&gt;=Z$5,$E99&lt;Z$5+GanttPeriod),"◇","")),IF(AND(Z$5&lt;=$F99,Z$5+GanttPeriod-1&gt;=$E99),"━","")))</f>
        <v/>
      </c>
      <c r="AA99" s="69" t="str">
        <f aca="false">IF($E99="","",IF($M99,IF(AND($G99&gt;=AA$5,$G99&lt;AA$5+GanttPeriod),"◆",IF(AND($E99&gt;=AA$5,$E99&lt;AA$5+GanttPeriod),"◇","")),IF(AND(AA$5&lt;=$F99,AA$5+GanttPeriod-1&gt;=$E99),"━","")))</f>
        <v/>
      </c>
      <c r="AB99" s="69" t="str">
        <f aca="false">IF($E99="","",IF($M99,IF(AND($G99&gt;=AB$5,$G99&lt;AB$5+GanttPeriod),"◆",IF(AND($E99&gt;=AB$5,$E99&lt;AB$5+GanttPeriod),"◇","")),IF(AND(AB$5&lt;=$F99,AB$5+GanttPeriod-1&gt;=$E99),"━","")))</f>
        <v/>
      </c>
      <c r="AC99" s="69" t="str">
        <f aca="false">IF($E99="","",IF($M99,IF(AND($G99&gt;=AC$5,$G99&lt;AC$5+GanttPeriod),"◆",IF(AND($E99&gt;=AC$5,$E99&lt;AC$5+GanttPeriod),"◇","")),IF(AND(AC$5&lt;=$F99,AC$5+GanttPeriod-1&gt;=$E99),"━","")))</f>
        <v/>
      </c>
      <c r="AD99" s="69" t="str">
        <f aca="false">IF($E99="","",IF($M99,IF(AND($G99&gt;=AD$5,$G99&lt;AD$5+GanttPeriod),"◆",IF(AND($E99&gt;=AD$5,$E99&lt;AD$5+GanttPeriod),"◇","")),IF(AND(AD$5&lt;=$F99,AD$5+GanttPeriod-1&gt;=$E99),"━","")))</f>
        <v/>
      </c>
      <c r="AE99" s="69" t="str">
        <f aca="false">IF($E99="","",IF($M99,IF(AND($G99&gt;=AE$5,$G99&lt;AE$5+GanttPeriod),"◆",IF(AND($E99&gt;=AE$5,$E99&lt;AE$5+GanttPeriod),"◇","")),IF(AND(AE$5&lt;=$F99,AE$5+GanttPeriod-1&gt;=$E99),"━","")))</f>
        <v/>
      </c>
      <c r="AF99" s="69" t="str">
        <f aca="false">IF($E99="","",IF($M99,IF(AND($G99&gt;=AF$5,$G99&lt;AF$5+GanttPeriod),"◆",IF(AND($E99&gt;=AF$5,$E99&lt;AF$5+GanttPeriod),"◇","")),IF(AND(AF$5&lt;=$F99,AF$5+GanttPeriod-1&gt;=$E99),"━","")))</f>
        <v/>
      </c>
      <c r="AG99" s="69" t="str">
        <f aca="false">IF($E99="","",IF($M99,IF(AND($G99&gt;=AG$5,$G99&lt;AG$5+GanttPeriod),"◆",IF(AND($E99&gt;=AG$5,$E99&lt;AG$5+GanttPeriod),"◇","")),IF(AND(AG$5&lt;=$F99,AG$5+GanttPeriod-1&gt;=$E99),"━","")))</f>
        <v/>
      </c>
      <c r="AH99" s="69" t="str">
        <f aca="false">IF($E99="","",IF($M99,IF(AND($G99&gt;=AH$5,$G99&lt;AH$5+GanttPeriod),"◆",IF(AND($E99&gt;=AH$5,$E99&lt;AH$5+GanttPeriod),"◇","")),IF(AND(AH$5&lt;=$F99,AH$5+GanttPeriod-1&gt;=$E99),"━","")))</f>
        <v/>
      </c>
      <c r="AI99" s="69" t="str">
        <f aca="false">IF($E99="","",IF($M99,IF(AND($G99&gt;=AI$5,$G99&lt;AI$5+GanttPeriod),"◆",IF(AND($E99&gt;=AI$5,$E99&lt;AI$5+GanttPeriod),"◇","")),IF(AND(AI$5&lt;=$F99,AI$5+GanttPeriod-1&gt;=$E99),"━","")))</f>
        <v/>
      </c>
      <c r="AJ99" s="69" t="str">
        <f aca="false">IF($E99="","",IF($M99,IF(AND($G99&gt;=AJ$5,$G99&lt;AJ$5+GanttPeriod),"◆",IF(AND($E99&gt;=AJ$5,$E99&lt;AJ$5+GanttPeriod),"◇","")),IF(AND(AJ$5&lt;=$F99,AJ$5+GanttPeriod-1&gt;=$E99),"━","")))</f>
        <v/>
      </c>
      <c r="AK99" s="69" t="str">
        <f aca="false">IF($E99="","",IF($M99,IF(AND($G99&gt;=AK$5,$G99&lt;AK$5+GanttPeriod),"◆",IF(AND($E99&gt;=AK$5,$E99&lt;AK$5+GanttPeriod),"◇","")),IF(AND(AK$5&lt;=$F99,AK$5+GanttPeriod-1&gt;=$E99),"━","")))</f>
        <v/>
      </c>
      <c r="AL99" s="69" t="str">
        <f aca="false">IF($E99="","",IF($M99,IF(AND($G99&gt;=AL$5,$G99&lt;AL$5+GanttPeriod),"◆",IF(AND($E99&gt;=AL$5,$E99&lt;AL$5+GanttPeriod),"◇","")),IF(AND(AL$5&lt;=$F99,AL$5+GanttPeriod-1&gt;=$E99),"━","")))</f>
        <v/>
      </c>
      <c r="AM99" s="69" t="str">
        <f aca="false">IF($E99="","",IF($M99,IF(AND($G99&gt;=AM$5,$G99&lt;AM$5+GanttPeriod),"◆",IF(AND($E99&gt;=AM$5,$E99&lt;AM$5+GanttPeriod),"◇","")),IF(AND(AM$5&lt;=$F99,AM$5+GanttPeriod-1&gt;=$E99),"━","")))</f>
        <v/>
      </c>
      <c r="AN99" s="69" t="str">
        <f aca="false">IF($E99="","",IF($M99,IF(AND($G99&gt;=AN$5,$G99&lt;AN$5+GanttPeriod),"◆",IF(AND($E99&gt;=AN$5,$E99&lt;AN$5+GanttPeriod),"◇","")),IF(AND(AN$5&lt;=$F99,AN$5+GanttPeriod-1&gt;=$E99),"━","")))</f>
        <v/>
      </c>
      <c r="AO99" s="69" t="str">
        <f aca="false">IF($E99="","",IF($M99,IF(AND($G99&gt;=AO$5,$G99&lt;AO$5+GanttPeriod),"◆",IF(AND($E99&gt;=AO$5,$E99&lt;AO$5+GanttPeriod),"◇","")),IF(AND(AO$5&lt;=$F99,AO$5+GanttPeriod-1&gt;=$E99),"━","")))</f>
        <v/>
      </c>
      <c r="AP99" s="69" t="str">
        <f aca="false">IF($E99="","",IF($M99,IF(AND($G99&gt;=AP$5,$G99&lt;AP$5+GanttPeriod),"◆",IF(AND($E99&gt;=AP$5,$E99&lt;AP$5+GanttPeriod),"◇","")),IF(AND(AP$5&lt;=$F99,AP$5+GanttPeriod-1&gt;=$E99),"━","")))</f>
        <v/>
      </c>
      <c r="AQ99" s="69" t="str">
        <f aca="false">IF($E99="","",IF($M99,IF(AND($G99&gt;=AQ$5,$G99&lt;AQ$5+GanttPeriod),"◆",IF(AND($E99&gt;=AQ$5,$E99&lt;AQ$5+GanttPeriod),"◇","")),IF(AND(AQ$5&lt;=$F99,AQ$5+GanttPeriod-1&gt;=$E99),"━","")))</f>
        <v/>
      </c>
      <c r="AR99" s="69" t="str">
        <f aca="false">IF($E99="","",IF($M99,IF(AND($G99&gt;=AR$5,$G99&lt;AR$5+GanttPeriod),"◆",IF(AND($E99&gt;=AR$5,$E99&lt;AR$5+GanttPeriod),"◇","")),IF(AND(AR$5&lt;=$F99,AR$5+GanttPeriod-1&gt;=$E99),"━","")))</f>
        <v/>
      </c>
      <c r="AS99" s="69" t="str">
        <f aca="false">IF($E99="","",IF($M99,IF(AND($G99&gt;=AS$5,$G99&lt;AS$5+GanttPeriod),"◆",IF(AND($E99&gt;=AS$5,$E99&lt;AS$5+GanttPeriod),"◇","")),IF(AND(AS$5&lt;=$F99,AS$5+GanttPeriod-1&gt;=$E99),"━","")))</f>
        <v/>
      </c>
      <c r="AT99" s="69" t="str">
        <f aca="false">IF($E99="","",IF($M99,IF(AND($G99&gt;=AT$5,$G99&lt;AT$5+GanttPeriod),"◆",IF(AND($E99&gt;=AT$5,$E99&lt;AT$5+GanttPeriod),"◇","")),IF(AND(AT$5&lt;=$F99,AT$5+GanttPeriod-1&gt;=$E99),"━","")))</f>
        <v/>
      </c>
      <c r="AU99" s="69" t="str">
        <f aca="false">IF($E99="","",IF($M99,IF(AND($G99&gt;=AU$5,$G99&lt;AU$5+GanttPeriod),"◆",IF(AND($E99&gt;=AU$5,$E99&lt;AU$5+GanttPeriod),"◇","")),IF(AND(AU$5&lt;=$F99,AU$5+GanttPeriod-1&gt;=$E99),"━","")))</f>
        <v/>
      </c>
      <c r="AV99" s="69" t="str">
        <f aca="false">IF($E99="","",IF($M99,IF(AND($G99&gt;=AV$5,$G99&lt;AV$5+GanttPeriod),"◆",IF(AND($E99&gt;=AV$5,$E99&lt;AV$5+GanttPeriod),"◇","")),IF(AND(AV$5&lt;=$F99,AV$5+GanttPeriod-1&gt;=$E99),"━","")))</f>
        <v/>
      </c>
      <c r="AW99" s="69" t="str">
        <f aca="false">IF($E99="","",IF($M99,IF(AND($G99&gt;=AW$5,$G99&lt;AW$5+GanttPeriod),"◆",IF(AND($E99&gt;=AW$5,$E99&lt;AW$5+GanttPeriod),"◇","")),IF(AND(AW$5&lt;=$F99,AW$5+GanttPeriod-1&gt;=$E99),"━","")))</f>
        <v/>
      </c>
      <c r="AX99" s="69" t="str">
        <f aca="false">IF($E99="","",IF($M99,IF(AND($G99&gt;=AX$5,$G99&lt;AX$5+GanttPeriod),"◆",IF(AND($E99&gt;=AX$5,$E99&lt;AX$5+GanttPeriod),"◇","")),IF(AND(AX$5&lt;=$F99,AX$5+GanttPeriod-1&gt;=$E99),"━","")))</f>
        <v/>
      </c>
      <c r="AY99" s="69" t="str">
        <f aca="false">IF($E99="","",IF($M99,IF(AND($G99&gt;=AY$5,$G99&lt;AY$5+GanttPeriod),"◆",IF(AND($E99&gt;=AY$5,$E99&lt;AY$5+GanttPeriod),"◇","")),IF(AND(AY$5&lt;=$F99,AY$5+GanttPeriod-1&gt;=$E99),"━","")))</f>
        <v/>
      </c>
      <c r="AZ99" s="69" t="str">
        <f aca="false">IF($E99="","",IF($M99,IF(AND($G99&gt;=AZ$5,$G99&lt;AZ$5+GanttPeriod),"◆",IF(AND($E99&gt;=AZ$5,$E99&lt;AZ$5+GanttPeriod),"◇","")),IF(AND(AZ$5&lt;=$F99,AZ$5+GanttPeriod-1&gt;=$E99),"━","")))</f>
        <v/>
      </c>
      <c r="BA99" s="69" t="str">
        <f aca="false">IF($E99="","",IF($M99,IF(AND($G99&gt;=BA$5,$G99&lt;BA$5+GanttPeriod),"◆",IF(AND($E99&gt;=BA$5,$E99&lt;BA$5+GanttPeriod),"◇","")),IF(AND(BA$5&lt;=$F99,BA$5+GanttPeriod-1&gt;=$E99),"━","")))</f>
        <v/>
      </c>
      <c r="BB99" s="69" t="str">
        <f aca="false">IF($E99="","",IF($M99,IF(AND($G99&gt;=BB$5,$G99&lt;BB$5+GanttPeriod),"◆",IF(AND($E99&gt;=BB$5,$E99&lt;BB$5+GanttPeriod),"◇","")),IF(AND(BB$5&lt;=$F99,BB$5+GanttPeriod-1&gt;=$E99),"━","")))</f>
        <v/>
      </c>
      <c r="BC99" s="69" t="str">
        <f aca="false">IF($E99="","",IF($M99,IF(AND($G99&gt;=BC$5,$G99&lt;BC$5+GanttPeriod),"◆",IF(AND($E99&gt;=BC$5,$E99&lt;BC$5+GanttPeriod),"◇","")),IF(AND(BC$5&lt;=$F99,BC$5+GanttPeriod-1&gt;=$E99),"━","")))</f>
        <v/>
      </c>
      <c r="BD99" s="69" t="str">
        <f aca="false">IF($E99="","",IF($M99,IF(AND($G99&gt;=BD$5,$G99&lt;BD$5+GanttPeriod),"◆",IF(AND($E99&gt;=BD$5,$E99&lt;BD$5+GanttPeriod),"◇","")),IF(AND(BD$5&lt;=$F99,BD$5+GanttPeriod-1&gt;=$E99),"━","")))</f>
        <v/>
      </c>
      <c r="BE99" s="69" t="str">
        <f aca="false">IF($E99="","",IF($M99,IF(AND($G99&gt;=BE$5,$G99&lt;BE$5+GanttPeriod),"◆",IF(AND($E99&gt;=BE$5,$E99&lt;BE$5+GanttPeriod),"◇","")),IF(AND(BE$5&lt;=$F99,BE$5+GanttPeriod-1&gt;=$E99),"━","")))</f>
        <v/>
      </c>
      <c r="BF99" s="69" t="str">
        <f aca="false">IF($E99="","",IF($M99,IF(AND($G99&gt;=BF$5,$G99&lt;BF$5+GanttPeriod),"◆",IF(AND($E99&gt;=BF$5,$E99&lt;BF$5+GanttPeriod),"◇","")),IF(AND(BF$5&lt;=$F99,BF$5+GanttPeriod-1&gt;=$E99),"━","")))</f>
        <v/>
      </c>
      <c r="BG99" s="69" t="str">
        <f aca="false">IF($E99="","",IF($M99,IF(AND($G99&gt;=BG$5,$G99&lt;BG$5+GanttPeriod),"◆",IF(AND($E99&gt;=BG$5,$E99&lt;BG$5+GanttPeriod),"◇","")),IF(AND(BG$5&lt;=$F99,BG$5+GanttPeriod-1&gt;=$E99),"━","")))</f>
        <v/>
      </c>
      <c r="BH99" s="69" t="str">
        <f aca="false">IF($E99="","",IF($M99,IF(AND($G99&gt;=BH$5,$G99&lt;BH$5+GanttPeriod),"◆",IF(AND($E99&gt;=BH$5,$E99&lt;BH$5+GanttPeriod),"◇","")),IF(AND(BH$5&lt;=$F99,BH$5+GanttPeriod-1&gt;=$E99),"━","")))</f>
        <v/>
      </c>
      <c r="BI99" s="69" t="str">
        <f aca="false">IF($E99="","",IF($M99,IF(AND($G99&gt;=BI$5,$G99&lt;BI$5+GanttPeriod),"◆",IF(AND($E99&gt;=BI$5,$E99&lt;BI$5+GanttPeriod),"◇","")),IF(AND(BI$5&lt;=$F99,BI$5+GanttPeriod-1&gt;=$E99),"━","")))</f>
        <v/>
      </c>
      <c r="BJ99" s="69" t="str">
        <f aca="false">IF($E99="","",IF($M99,IF(AND($G99&gt;=BJ$5,$G99&lt;BJ$5+GanttPeriod),"◆",IF(AND($E99&gt;=BJ$5,$E99&lt;BJ$5+GanttPeriod),"◇","")),IF(AND(BJ$5&lt;=$F99,BJ$5+GanttPeriod-1&gt;=$E99),"━","")))</f>
        <v/>
      </c>
      <c r="BK99" s="69" t="str">
        <f aca="false">IF($E99="","",IF($M99,IF(AND($G99&gt;=BK$5,$G99&lt;BK$5+GanttPeriod),"◆",IF(AND($E99&gt;=BK$5,$E99&lt;BK$5+GanttPeriod),"◇","")),IF(AND(BK$5&lt;=$F99,BK$5+GanttPeriod-1&gt;=$E99),"━","")))</f>
        <v/>
      </c>
      <c r="BL99" s="69" t="str">
        <f aca="false">IF($E99="","",IF($M99,IF(AND($G99&gt;=BL$5,$G99&lt;BL$5+GanttPeriod),"◆",IF(AND($E99&gt;=BL$5,$E99&lt;BL$5+GanttPeriod),"◇","")),IF(AND(BL$5&lt;=$F99,BL$5+GanttPeriod-1&gt;=$E99),"━","")))</f>
        <v/>
      </c>
      <c r="BM99" s="69" t="str">
        <f aca="false">IF($E99="","",IF($M99,IF(AND($G99&gt;=BM$5,$G99&lt;BM$5+GanttPeriod),"◆",IF(AND($E99&gt;=BM$5,$E99&lt;BM$5+GanttPeriod),"◇","")),IF(AND(BM$5&lt;=$F99,BM$5+GanttPeriod-1&gt;=$E99),"━","")))</f>
        <v/>
      </c>
      <c r="BN99" s="69" t="str">
        <f aca="false">IF($E99="","",IF($M99,IF(AND($G99&gt;=BN$5,$G99&lt;BN$5+GanttPeriod),"◆",IF(AND($E99&gt;=BN$5,$E99&lt;BN$5+GanttPeriod),"◇","")),IF(AND(BN$5&lt;=$F99,BN$5+GanttPeriod-1&gt;=$E99),"━","")))</f>
        <v/>
      </c>
      <c r="BO99" s="69" t="str">
        <f aca="false">IF($E99="","",IF($M99,IF(AND($G99&gt;=BO$5,$G99&lt;BO$5+GanttPeriod),"◆",IF(AND($E99&gt;=BO$5,$E99&lt;BO$5+GanttPeriod),"◇","")),IF(AND(BO$5&lt;=$F99,BO$5+GanttPeriod-1&gt;=$E99),"━","")))</f>
        <v/>
      </c>
      <c r="BP99" s="69" t="str">
        <f aca="false">IF($E99="","",IF($M99,IF(AND($G99&gt;=BP$5,$G99&lt;BP$5+GanttPeriod),"◆",IF(AND($E99&gt;=BP$5,$E99&lt;BP$5+GanttPeriod),"◇","")),IF(AND(BP$5&lt;=$F99,BP$5+GanttPeriod-1&gt;=$E99),"━","")))</f>
        <v/>
      </c>
      <c r="BQ99" s="69" t="str">
        <f aca="false">IF($E99="","",IF($M99,IF(AND($G99&gt;=BQ$5,$G99&lt;BQ$5+GanttPeriod),"◆",IF(AND($E99&gt;=BQ$5,$E99&lt;BQ$5+GanttPeriod),"◇","")),IF(AND(BQ$5&lt;=$F99,BQ$5+GanttPeriod-1&gt;=$E99),"━","")))</f>
        <v/>
      </c>
      <c r="BR99" s="69" t="str">
        <f aca="false">IF($E99="","",IF($M99,IF(AND($G99&gt;=BR$5,$G99&lt;BR$5+GanttPeriod),"◆",IF(AND($E99&gt;=BR$5,$E99&lt;BR$5+GanttPeriod),"◇","")),IF(AND(BR$5&lt;=$F99,BR$5+GanttPeriod-1&gt;=$E99),"━","")))</f>
        <v/>
      </c>
      <c r="BS99" s="69" t="str">
        <f aca="false">IF($E99="","",IF($M99,IF(AND($G99&gt;=BS$5,$G99&lt;BS$5+GanttPeriod),"◆",IF(AND($E99&gt;=BS$5,$E99&lt;BS$5+GanttPeriod),"◇","")),IF(AND(BS$5&lt;=$F99,BS$5+GanttPeriod-1&gt;=$E99),"━","")))</f>
        <v/>
      </c>
      <c r="BT99" s="69" t="str">
        <f aca="false">IF($E99="","",IF($M99,IF(AND($G99&gt;=BT$5,$G99&lt;BT$5+GanttPeriod),"◆",IF(AND($E99&gt;=BT$5,$E99&lt;BT$5+GanttPeriod),"◇","")),IF(AND(BT$5&lt;=$F99,BT$5+GanttPeriod-1&gt;=$E99),"━","")))</f>
        <v/>
      </c>
      <c r="BU99" s="69" t="str">
        <f aca="false">IF($E99="","",IF($M99,IF(AND($G99&gt;=BU$5,$G99&lt;BU$5+GanttPeriod),"◆",IF(AND($E99&gt;=BU$5,$E99&lt;BU$5+GanttPeriod),"◇","")),IF(AND(BU$5&lt;=$F99,BU$5+GanttPeriod-1&gt;=$E99),"━","")))</f>
        <v/>
      </c>
      <c r="BV99" s="69" t="str">
        <f aca="false">IF($E99="","",IF($M99,IF(AND($G99&gt;=BV$5,$G99&lt;BV$5+GanttPeriod),"◆",IF(AND($E99&gt;=BV$5,$E99&lt;BV$5+GanttPeriod),"◇","")),IF(AND(BV$5&lt;=$F99,BV$5+GanttPeriod-1&gt;=$E99),"━","")))</f>
        <v/>
      </c>
      <c r="BW99" s="69" t="str">
        <f aca="false">IF($E99="","",IF($M99,IF(AND($G99&gt;=BW$5,$G99&lt;BW$5+GanttPeriod),"◆",IF(AND($E99&gt;=BW$5,$E99&lt;BW$5+GanttPeriod),"◇","")),IF(AND(BW$5&lt;=$F99,BW$5+GanttPeriod-1&gt;=$E99),"━","")))</f>
        <v/>
      </c>
      <c r="BX99" s="69" t="str">
        <f aca="false">IF($E99="","",IF($M99,IF(AND($G99&gt;=BX$5,$G99&lt;BX$5+GanttPeriod),"◆",IF(AND($E99&gt;=BX$5,$E99&lt;BX$5+GanttPeriod),"◇","")),IF(AND(BX$5&lt;=$F99,BX$5+GanttPeriod-1&gt;=$E99),"━","")))</f>
        <v/>
      </c>
      <c r="BY99" s="69" t="str">
        <f aca="false">IF($E99="","",IF($M99,IF(AND($G99&gt;=BY$5,$G99&lt;BY$5+GanttPeriod),"◆",IF(AND($E99&gt;=BY$5,$E99&lt;BY$5+GanttPeriod),"◇","")),IF(AND(BY$5&lt;=$F99,BY$5+GanttPeriod-1&gt;=$E99),"━","")))</f>
        <v/>
      </c>
      <c r="BZ99" s="69" t="str">
        <f aca="false">IF($E99="","",IF($M99,IF(AND($G99&gt;=BZ$5,$G99&lt;BZ$5+GanttPeriod),"◆",IF(AND($E99&gt;=BZ$5,$E99&lt;BZ$5+GanttPeriod),"◇","")),IF(AND(BZ$5&lt;=$F99,BZ$5+GanttPeriod-1&gt;=$E99),"━","")))</f>
        <v/>
      </c>
      <c r="CA99" s="69" t="str">
        <f aca="false">IF($E99="","",IF($M99,IF(AND($G99&gt;=CA$5,$G99&lt;CA$5+GanttPeriod),"◆",IF(AND($E99&gt;=CA$5,$E99&lt;CA$5+GanttPeriod),"◇","")),IF(AND(CA$5&lt;=$F99,CA$5+GanttPeriod-1&gt;=$E99),"━","")))</f>
        <v/>
      </c>
      <c r="CB99" s="69" t="str">
        <f aca="false">IF($E99="","",IF($M99,IF(AND($G99&gt;=CB$5,$G99&lt;CB$5+GanttPeriod),"◆",IF(AND($E99&gt;=CB$5,$E99&lt;CB$5+GanttPeriod),"◇","")),IF(AND(CB$5&lt;=$F99,CB$5+GanttPeriod-1&gt;=$E99),"━","")))</f>
        <v/>
      </c>
      <c r="CC99" s="69" t="str">
        <f aca="false">IF($E99="","",IF($M99,IF(AND($G99&gt;=CC$5,$G99&lt;CC$5+GanttPeriod),"◆",IF(AND($E99&gt;=CC$5,$E99&lt;CC$5+GanttPeriod),"◇","")),IF(AND(CC$5&lt;=$F99,CC$5+GanttPeriod-1&gt;=$E99),"━","")))</f>
        <v/>
      </c>
      <c r="CD99" s="69" t="str">
        <f aca="false">IF($E99="","",IF($M99,IF(AND($G99&gt;=CD$5,$G99&lt;CD$5+GanttPeriod),"◆",IF(AND($E99&gt;=CD$5,$E99&lt;CD$5+GanttPeriod),"◇","")),IF(AND(CD$5&lt;=$F99,CD$5+GanttPeriod-1&gt;=$E99),"━","")))</f>
        <v/>
      </c>
      <c r="CE99" s="69" t="str">
        <f aca="false">IF($E99="","",IF($M99,IF(AND($G99&gt;=CE$5,$G99&lt;CE$5+GanttPeriod),"◆",IF(AND($E99&gt;=CE$5,$E99&lt;CE$5+GanttPeriod),"◇","")),IF(AND(CE$5&lt;=$F99,CE$5+GanttPeriod-1&gt;=$E99),"━","")))</f>
        <v/>
      </c>
      <c r="CF99" s="69" t="str">
        <f aca="false">IF($E99="","",IF($M99,IF(AND($G99&gt;=CF$5,$G99&lt;CF$5+GanttPeriod),"◆",IF(AND($E99&gt;=CF$5,$E99&lt;CF$5+GanttPeriod),"◇","")),IF(AND(CF$5&lt;=$F99,CF$5+GanttPeriod-1&gt;=$E99),"━","")))</f>
        <v/>
      </c>
      <c r="CG99" s="69" t="str">
        <f aca="false">IF($E99="","",IF($M99,IF(AND($G99&gt;=CG$5,$G99&lt;CG$5+GanttPeriod),"◆",IF(AND($E99&gt;=CG$5,$E99&lt;CG$5+GanttPeriod),"◇","")),IF(AND(CG$5&lt;=$F99,CG$5+GanttPeriod-1&gt;=$E99),"━","")))</f>
        <v/>
      </c>
      <c r="CH99" s="69" t="str">
        <f aca="false">IF($E99="","",IF($M99,IF(AND($G99&gt;=CH$5,$G99&lt;CH$5+GanttPeriod),"◆",IF(AND($E99&gt;=CH$5,$E99&lt;CH$5+GanttPeriod),"◇","")),IF(AND(CH$5&lt;=$F99,CH$5+GanttPeriod-1&gt;=$E99),"━","")))</f>
        <v/>
      </c>
      <c r="CI99" s="69" t="str">
        <f aca="false">IF($E99="","",IF($M99,IF(AND($G99&gt;=CI$5,$G99&lt;CI$5+GanttPeriod),"◆",IF(AND($E99&gt;=CI$5,$E99&lt;CI$5+GanttPeriod),"◇","")),IF(AND(CI$5&lt;=$F99,CI$5+GanttPeriod-1&gt;=$E99),"━","")))</f>
        <v/>
      </c>
      <c r="CJ99" s="69" t="str">
        <f aca="false">IF($E99="","",IF($M99,IF(AND($G99&gt;=CJ$5,$G99&lt;CJ$5+GanttPeriod),"◆",IF(AND($E99&gt;=CJ$5,$E99&lt;CJ$5+GanttPeriod),"◇","")),IF(AND(CJ$5&lt;=$F99,CJ$5+GanttPeriod-1&gt;=$E99),"━","")))</f>
        <v/>
      </c>
      <c r="CK99" s="69" t="str">
        <f aca="false">IF($E99="","",IF($M99,IF(AND($G99&gt;=CK$5,$G99&lt;CK$5+GanttPeriod),"◆",IF(AND($E99&gt;=CK$5,$E99&lt;CK$5+GanttPeriod),"◇","")),IF(AND(CK$5&lt;=$F99,CK$5+GanttPeriod-1&gt;=$E99),"━","")))</f>
        <v/>
      </c>
      <c r="CL99" s="69" t="str">
        <f aca="false">IF($E99="","",IF($M99,IF(AND($G99&gt;=CL$5,$G99&lt;CL$5+GanttPeriod),"◆",IF(AND($E99&gt;=CL$5,$E99&lt;CL$5+GanttPeriod),"◇","")),IF(AND(CL$5&lt;=$F99,CL$5+GanttPeriod-1&gt;=$E99),"━","")))</f>
        <v/>
      </c>
      <c r="CM99" s="69" t="str">
        <f aca="false">IF($E99="","",IF($M99,IF(AND($G99&gt;=CM$5,$G99&lt;CM$5+GanttPeriod),"◆",IF(AND($E99&gt;=CM$5,$E99&lt;CM$5+GanttPeriod),"◇","")),IF(AND(CM$5&lt;=$F99,CM$5+GanttPeriod-1&gt;=$E99),"━","")))</f>
        <v/>
      </c>
      <c r="CN99" s="69" t="str">
        <f aca="false">IF($E99="","",IF($M99,IF(AND($G99&gt;=CN$5,$G99&lt;CN$5+GanttPeriod),"◆",IF(AND($E99&gt;=CN$5,$E99&lt;CN$5+GanttPeriod),"◇","")),IF(AND(CN$5&lt;=$F99,CN$5+GanttPeriod-1&gt;=$E99),"━","")))</f>
        <v/>
      </c>
      <c r="CO99" s="69" t="str">
        <f aca="false">IF($E99="","",IF($M99,IF(AND($G99&gt;=CO$5,$G99&lt;CO$5+GanttPeriod),"◆",IF(AND($E99&gt;=CO$5,$E99&lt;CO$5+GanttPeriod),"◇","")),IF(AND(CO$5&lt;=$F99,CO$5+GanttPeriod-1&gt;=$E99),"━","")))</f>
        <v/>
      </c>
      <c r="CP99" s="69" t="str">
        <f aca="false">IF($E99="","",IF($M99,IF(AND($G99&gt;=CP$5,$G99&lt;CP$5+GanttPeriod),"◆",IF(AND($E99&gt;=CP$5,$E99&lt;CP$5+GanttPeriod),"◇","")),IF(AND(CP$5&lt;=$F99,CP$5+GanttPeriod-1&gt;=$E99),"━","")))</f>
        <v/>
      </c>
      <c r="CQ99" s="69" t="str">
        <f aca="false">IF($E99="","",IF($M99,IF(AND($G99&gt;=CQ$5,$G99&lt;CQ$5+GanttPeriod),"◆",IF(AND($E99&gt;=CQ$5,$E99&lt;CQ$5+GanttPeriod),"◇","")),IF(AND(CQ$5&lt;=$F99,CQ$5+GanttPeriod-1&gt;=$E99),"━","")))</f>
        <v/>
      </c>
      <c r="CR99" s="69" t="str">
        <f aca="false">IF($E99="","",IF($M99,IF(AND($G99&gt;=CR$5,$G99&lt;CR$5+GanttPeriod),"◆",IF(AND($E99&gt;=CR$5,$E99&lt;CR$5+GanttPeriod),"◇","")),IF(AND(CR$5&lt;=$F99,CR$5+GanttPeriod-1&gt;=$E99),"━","")))</f>
        <v/>
      </c>
      <c r="CS99" s="69" t="str">
        <f aca="false">IF($E99="","",IF($M99,IF(AND($G99&gt;=CS$5,$G99&lt;CS$5+GanttPeriod),"◆",IF(AND($E99&gt;=CS$5,$E99&lt;CS$5+GanttPeriod),"◇","")),IF(AND(CS$5&lt;=$F99,CS$5+GanttPeriod-1&gt;=$E99),"━","")))</f>
        <v/>
      </c>
      <c r="CT99" s="69" t="str">
        <f aca="false">IF($E99="","",IF($M99,IF(AND($G99&gt;=CT$5,$G99&lt;CT$5+GanttPeriod),"◆",IF(AND($E99&gt;=CT$5,$E99&lt;CT$5+GanttPeriod),"◇","")),IF(AND(CT$5&lt;=$F99,CT$5+GanttPeriod-1&gt;=$E99),"━","")))</f>
        <v/>
      </c>
      <c r="CU99" s="69" t="str">
        <f aca="false">IF($E99="","",IF($M99,IF(AND($G99&gt;=CU$5,$G99&lt;CU$5+GanttPeriod),"◆",IF(AND($E99&gt;=CU$5,$E99&lt;CU$5+GanttPeriod),"◇","")),IF(AND(CU$5&lt;=$F99,CU$5+GanttPeriod-1&gt;=$E99),"━","")))</f>
        <v/>
      </c>
      <c r="CV99" s="69" t="str">
        <f aca="false">IF($E99="","",IF($M99,IF(AND($G99&gt;=CV$5,$G99&lt;CV$5+GanttPeriod),"◆",IF(AND($E99&gt;=CV$5,$E99&lt;CV$5+GanttPeriod),"◇","")),IF(AND(CV$5&lt;=$F99,CV$5+GanttPeriod-1&gt;=$E99),"━","")))</f>
        <v/>
      </c>
      <c r="CW99" s="69" t="str">
        <f aca="false">IF($E99="","",IF($M99,IF(AND($G99&gt;=CW$5,$G99&lt;CW$5+GanttPeriod),"◆",IF(AND($E99&gt;=CW$5,$E99&lt;CW$5+GanttPeriod),"◇","")),IF(AND(CW$5&lt;=$F99,CW$5+GanttPeriod-1&gt;=$E99),"━","")))</f>
        <v/>
      </c>
      <c r="CX99" s="69" t="str">
        <f aca="false">IF($E99="","",IF($M99,IF(AND($G99&gt;=CX$5,$G99&lt;CX$5+GanttPeriod),"◆",IF(AND($E99&gt;=CX$5,$E99&lt;CX$5+GanttPeriod),"◇","")),IF(AND(CX$5&lt;=$F99,CX$5+GanttPeriod-1&gt;=$E99),"━","")))</f>
        <v/>
      </c>
      <c r="CY99" s="69" t="str">
        <f aca="false">IF($E99="","",IF($M99,IF(AND($G99&gt;=CY$5,$G99&lt;CY$5+GanttPeriod),"◆",IF(AND($E99&gt;=CY$5,$E99&lt;CY$5+GanttPeriod),"◇","")),IF(AND(CY$5&lt;=$F99,CY$5+GanttPeriod-1&gt;=$E99),"━","")))</f>
        <v/>
      </c>
      <c r="CZ99" s="69" t="str">
        <f aca="false">IF($E99="","",IF($M99,IF(AND($G99&gt;=CZ$5,$G99&lt;CZ$5+GanttPeriod),"◆",IF(AND($E99&gt;=CZ$5,$E99&lt;CZ$5+GanttPeriod),"◇","")),IF(AND(CZ$5&lt;=$F99,CZ$5+GanttPeriod-1&gt;=$E99),"━","")))</f>
        <v/>
      </c>
      <c r="DA99" s="69" t="str">
        <f aca="false">IF($E99="","",IF($M99,IF(AND($G99&gt;=DA$5,$G99&lt;DA$5+GanttPeriod),"◆",IF(AND($E99&gt;=DA$5,$E99&lt;DA$5+GanttPeriod),"◇","")),IF(AND(DA$5&lt;=$F99,DA$5+GanttPeriod-1&gt;=$E99),"━","")))</f>
        <v/>
      </c>
      <c r="DB99" s="69" t="str">
        <f aca="false">IF($E99="","",IF($M99,IF(AND($G99&gt;=DB$5,$G99&lt;DB$5+GanttPeriod),"◆",IF(AND($E99&gt;=DB$5,$E99&lt;DB$5+GanttPeriod),"◇","")),IF(AND(DB$5&lt;=$F99,DB$5+GanttPeriod-1&gt;=$E99),"━","")))</f>
        <v/>
      </c>
      <c r="DC99" s="69" t="str">
        <f aca="false">IF($E99="","",IF($M99,IF(AND($G99&gt;=DC$5,$G99&lt;DC$5+GanttPeriod),"◆",IF(AND($E99&gt;=DC$5,$E99&lt;DC$5+GanttPeriod),"◇","")),IF(AND(DC$5&lt;=$F99,DC$5+GanttPeriod-1&gt;=$E99),"━","")))</f>
        <v/>
      </c>
      <c r="DD99" s="69" t="str">
        <f aca="false">IF($E99="","",IF($M99,IF(AND($G99&gt;=DD$5,$G99&lt;DD$5+GanttPeriod),"◆",IF(AND($E99&gt;=DD$5,$E99&lt;DD$5+GanttPeriod),"◇","")),IF(AND(DD$5&lt;=$F99,DD$5+GanttPeriod-1&gt;=$E99),"━","")))</f>
        <v/>
      </c>
      <c r="DE99" s="69" t="str">
        <f aca="false">IF($E99="","",IF($M99,IF(AND($G99&gt;=DE$5,$G99&lt;DE$5+GanttPeriod),"◆",IF(AND($E99&gt;=DE$5,$E99&lt;DE$5+GanttPeriod),"◇","")),IF(AND(DE$5&lt;=$F99,DE$5+GanttPeriod-1&gt;=$E99),"━","")))</f>
        <v/>
      </c>
      <c r="DF99" s="69" t="str">
        <f aca="false">IF($E99="","",IF($M99,IF(AND($G99&gt;=DF$5,$G99&lt;DF$5+GanttPeriod),"◆",IF(AND($E99&gt;=DF$5,$E99&lt;DF$5+GanttPeriod),"◇","")),IF(AND(DF$5&lt;=$F99,DF$5+GanttPeriod-1&gt;=$E99),"━","")))</f>
        <v/>
      </c>
      <c r="DG99" s="69" t="str">
        <f aca="false">IF($E99="","",IF($M99,IF(AND($G99&gt;=DG$5,$G99&lt;DG$5+GanttPeriod),"◆",IF(AND($E99&gt;=DG$5,$E99&lt;DG$5+GanttPeriod),"◇","")),IF(AND(DG$5&lt;=$F99,DG$5+GanttPeriod-1&gt;=$E99),"━","")))</f>
        <v/>
      </c>
      <c r="DH99" s="69" t="str">
        <f aca="false">IF($E99="","",IF($M99,IF(AND($G99&gt;=DH$5,$G99&lt;DH$5+GanttPeriod),"◆",IF(AND($E99&gt;=DH$5,$E99&lt;DH$5+GanttPeriod),"◇","")),IF(AND(DH$5&lt;=$F99,DH$5+GanttPeriod-1&gt;=$E99),"━","")))</f>
        <v/>
      </c>
      <c r="DI99" s="69" t="str">
        <f aca="false">IF($E99="","",IF($M99,IF(AND($G99&gt;=DI$5,$G99&lt;DI$5+GanttPeriod),"◆",IF(AND($E99&gt;=DI$5,$E99&lt;DI$5+GanttPeriod),"◇","")),IF(AND(DI$5&lt;=$F99,DI$5+GanttPeriod-1&gt;=$E99),"━","")))</f>
        <v/>
      </c>
      <c r="DJ99" s="69" t="str">
        <f aca="false">IF($E99="","",IF($M99,IF(AND($G99&gt;=DJ$5,$G99&lt;DJ$5+GanttPeriod),"◆",IF(AND($E99&gt;=DJ$5,$E99&lt;DJ$5+GanttPeriod),"◇","")),IF(AND(DJ$5&lt;=$F99,DJ$5+GanttPeriod-1&gt;=$E99),"━","")))</f>
        <v/>
      </c>
      <c r="DK99" s="69" t="str">
        <f aca="false">IF($E99="","",IF($M99,IF(AND($G99&gt;=DK$5,$G99&lt;DK$5+GanttPeriod),"◆",IF(AND($E99&gt;=DK$5,$E99&lt;DK$5+GanttPeriod),"◇","")),IF(AND(DK$5&lt;=$F99,DK$5+GanttPeriod-1&gt;=$E99),"━","")))</f>
        <v/>
      </c>
      <c r="DL99" s="69" t="str">
        <f aca="false">IF($E99="","",IF($M99,IF(AND($G99&gt;=DL$5,$G99&lt;DL$5+GanttPeriod),"◆",IF(AND($E99&gt;=DL$5,$E99&lt;DL$5+GanttPeriod),"◇","")),IF(AND(DL$5&lt;=$F99,DL$5+GanttPeriod-1&gt;=$E99),"━","")))</f>
        <v/>
      </c>
      <c r="DM99" s="69" t="str">
        <f aca="false">IF($E99="","",IF($M99,IF(AND($G99&gt;=DM$5,$G99&lt;DM$5+GanttPeriod),"◆",IF(AND($E99&gt;=DM$5,$E99&lt;DM$5+GanttPeriod),"◇","")),IF(AND(DM$5&lt;=$F99,DM$5+GanttPeriod-1&gt;=$E99),"━","")))</f>
        <v/>
      </c>
      <c r="DN99" s="69" t="str">
        <f aca="false">IF($E99="","",IF($M99,IF(AND($G99&gt;=DN$5,$G99&lt;DN$5+GanttPeriod),"◆",IF(AND($E99&gt;=DN$5,$E99&lt;DN$5+GanttPeriod),"◇","")),IF(AND(DN$5&lt;=$F99,DN$5+GanttPeriod-1&gt;=$E99),"━","")))</f>
        <v/>
      </c>
      <c r="DO99" s="69" t="str">
        <f aca="false">IF($E99="","",IF($M99,IF(AND($G99&gt;=DO$5,$G99&lt;DO$5+GanttPeriod),"◆",IF(AND($E99&gt;=DO$5,$E99&lt;DO$5+GanttPeriod),"◇","")),IF(AND(DO$5&lt;=$F99,DO$5+GanttPeriod-1&gt;=$E99),"━","")))</f>
        <v/>
      </c>
      <c r="DP99" s="69" t="str">
        <f aca="false">IF($E99="","",IF($M99,IF(AND($G99&gt;=DP$5,$G99&lt;DP$5+GanttPeriod),"◆",IF(AND($E99&gt;=DP$5,$E99&lt;DP$5+GanttPeriod),"◇","")),IF(AND(DP$5&lt;=$F99,DP$5+GanttPeriod-1&gt;=$E99),"━","")))</f>
        <v/>
      </c>
      <c r="DQ99" s="69" t="str">
        <f aca="false">IF($E99="","",IF($M99,IF(AND($G99&gt;=DQ$5,$G99&lt;DQ$5+GanttPeriod),"◆",IF(AND($E99&gt;=DQ$5,$E99&lt;DQ$5+GanttPeriod),"◇","")),IF(AND(DQ$5&lt;=$F99,DQ$5+GanttPeriod-1&gt;=$E99),"━","")))</f>
        <v/>
      </c>
      <c r="DR99" s="69" t="str">
        <f aca="false">IF($E99="","",IF($M99,IF(AND($G99&gt;=DR$5,$G99&lt;DR$5+GanttPeriod),"◆",IF(AND($E99&gt;=DR$5,$E99&lt;DR$5+GanttPeriod),"◇","")),IF(AND(DR$5&lt;=$F99,DR$5+GanttPeriod-1&gt;=$E99),"━","")))</f>
        <v/>
      </c>
      <c r="DS99" s="69" t="str">
        <f aca="false">IF($E99="","",IF($M99,IF(AND($G99&gt;=DS$5,$G99&lt;DS$5+GanttPeriod),"◆",IF(AND($E99&gt;=DS$5,$E99&lt;DS$5+GanttPeriod),"◇","")),IF(AND(DS$5&lt;=$F99,DS$5+GanttPeriod-1&gt;=$E99),"━","")))</f>
        <v/>
      </c>
      <c r="DT99" s="69" t="str">
        <f aca="false">IF($E99="","",IF($M99,IF(AND($G99&gt;=DT$5,$G99&lt;DT$5+GanttPeriod),"◆",IF(AND($E99&gt;=DT$5,$E99&lt;DT$5+GanttPeriod),"◇","")),IF(AND(DT$5&lt;=$F99,DT$5+GanttPeriod-1&gt;=$E99),"━","")))</f>
        <v/>
      </c>
      <c r="DU99" s="69" t="str">
        <f aca="false">IF($E99="","",IF($M99,IF(AND($G99&gt;=DU$5,$G99&lt;DU$5+GanttPeriod),"◆",IF(AND($E99&gt;=DU$5,$E99&lt;DU$5+GanttPeriod),"◇","")),IF(AND(DU$5&lt;=$F99,DU$5+GanttPeriod-1&gt;=$E99),"━","")))</f>
        <v/>
      </c>
      <c r="DV99" s="69" t="str">
        <f aca="false">IF($E99="","",IF($M99,IF(AND($G99&gt;=DV$5,$G99&lt;DV$5+GanttPeriod),"◆",IF(AND($E99&gt;=DV$5,$E99&lt;DV$5+GanttPeriod),"◇","")),IF(AND(DV$5&lt;=$F99,DV$5+GanttPeriod-1&gt;=$E99),"━","")))</f>
        <v/>
      </c>
      <c r="DW99" s="69" t="str">
        <f aca="false">IF($E99="","",IF($M99,IF(AND($G99&gt;=DW$5,$G99&lt;DW$5+GanttPeriod),"◆",IF(AND($E99&gt;=DW$5,$E99&lt;DW$5+GanttPeriod),"◇","")),IF(AND(DW$5&lt;=$F99,DW$5+GanttPeriod-1&gt;=$E99),"━","")))</f>
        <v/>
      </c>
      <c r="DX99" s="69" t="str">
        <f aca="false">IF($E99="","",IF($M99,IF(AND($G99&gt;=DX$5,$G99&lt;DX$5+GanttPeriod),"◆",IF(AND($E99&gt;=DX$5,$E99&lt;DX$5+GanttPeriod),"◇","")),IF(AND(DX$5&lt;=$F99,DX$5+GanttPeriod-1&gt;=$E99),"━","")))</f>
        <v/>
      </c>
      <c r="DY99" s="69" t="str">
        <f aca="false">IF($E99="","",IF($M99,IF(AND($G99&gt;=DY$5,$G99&lt;DY$5+GanttPeriod),"◆",IF(AND($E99&gt;=DY$5,$E99&lt;DY$5+GanttPeriod),"◇","")),IF(AND(DY$5&lt;=$F99,DY$5+GanttPeriod-1&gt;=$E99),"━","")))</f>
        <v/>
      </c>
      <c r="DZ99" s="69" t="str">
        <f aca="false">IF($E99="","",IF($M99,IF(AND($G99&gt;=DZ$5,$G99&lt;DZ$5+GanttPeriod),"◆",IF(AND($E99&gt;=DZ$5,$E99&lt;DZ$5+GanttPeriod),"◇","")),IF(AND(DZ$5&lt;=$F99,DZ$5+GanttPeriod-1&gt;=$E99),"━","")))</f>
        <v/>
      </c>
      <c r="EA99" s="69" t="str">
        <f aca="false">IF($E99="","",IF($M99,IF(AND($G99&gt;=EA$5,$G99&lt;EA$5+GanttPeriod),"◆",IF(AND($E99&gt;=EA$5,$E99&lt;EA$5+GanttPeriod),"◇","")),IF(AND(EA$5&lt;=$F99,EA$5+GanttPeriod-1&gt;=$E99),"━","")))</f>
        <v/>
      </c>
      <c r="EB99" s="69" t="str">
        <f aca="false">IF($E99="","",IF($M99,IF(AND($G99&gt;=EB$5,$G99&lt;EB$5+GanttPeriod),"◆",IF(AND($E99&gt;=EB$5,$E99&lt;EB$5+GanttPeriod),"◇","")),IF(AND(EB$5&lt;=$F99,EB$5+GanttPeriod-1&gt;=$E99),"━","")))</f>
        <v/>
      </c>
      <c r="EC99" s="69" t="str">
        <f aca="false">IF($E99="","",IF($M99,IF(AND($G99&gt;=EC$5,$G99&lt;EC$5+GanttPeriod),"◆",IF(AND($E99&gt;=EC$5,$E99&lt;EC$5+GanttPeriod),"◇","")),IF(AND(EC$5&lt;=$F99,EC$5+GanttPeriod-1&gt;=$E99),"━","")))</f>
        <v/>
      </c>
      <c r="ED99" s="69" t="str">
        <f aca="false">IF($E99="","",IF($M99,IF(AND($G99&gt;=ED$5,$G99&lt;ED$5+GanttPeriod),"◆",IF(AND($E99&gt;=ED$5,$E99&lt;ED$5+GanttPeriod),"◇","")),IF(AND(ED$5&lt;=$F99,ED$5+GanttPeriod-1&gt;=$E99),"━","")))</f>
        <v/>
      </c>
      <c r="EE99" s="69" t="str">
        <f aca="false">IF($E99="","",IF($M99,IF(AND($G99&gt;=EE$5,$G99&lt;EE$5+GanttPeriod),"◆",IF(AND($E99&gt;=EE$5,$E99&lt;EE$5+GanttPeriod),"◇","")),IF(AND(EE$5&lt;=$F99,EE$5+GanttPeriod-1&gt;=$E99),"━","")))</f>
        <v/>
      </c>
      <c r="EF99" s="69" t="str">
        <f aca="false">IF($E99="","",IF($M99,IF(AND($G99&gt;=EF$5,$G99&lt;EF$5+GanttPeriod),"◆",IF(AND($E99&gt;=EF$5,$E99&lt;EF$5+GanttPeriod),"◇","")),IF(AND(EF$5&lt;=$F99,EF$5+GanttPeriod-1&gt;=$E99),"━","")))</f>
        <v/>
      </c>
      <c r="EG99" s="69" t="str">
        <f aca="false">IF($E99="","",IF($M99,IF(AND($G99&gt;=EG$5,$G99&lt;EG$5+GanttPeriod),"◆",IF(AND($E99&gt;=EG$5,$E99&lt;EG$5+GanttPeriod),"◇","")),IF(AND(EG$5&lt;=$F99,EG$5+GanttPeriod-1&gt;=$E99),"━","")))</f>
        <v/>
      </c>
      <c r="EH99" s="69" t="str">
        <f aca="false">IF($E99="","",IF($M99,IF(AND($G99&gt;=EH$5,$G99&lt;EH$5+GanttPeriod),"◆",IF(AND($E99&gt;=EH$5,$E99&lt;EH$5+GanttPeriod),"◇","")),IF(AND(EH$5&lt;=$F99,EH$5+GanttPeriod-1&gt;=$E99),"━","")))</f>
        <v/>
      </c>
      <c r="EI99" s="69" t="str">
        <f aca="false">IF($E99="","",IF($M99,IF(AND($G99&gt;=EI$5,$G99&lt;EI$5+GanttPeriod),"◆",IF(AND($E99&gt;=EI$5,$E99&lt;EI$5+GanttPeriod),"◇","")),IF(AND(EI$5&lt;=$F99,EI$5+GanttPeriod-1&gt;=$E99),"━","")))</f>
        <v/>
      </c>
      <c r="EJ99" s="69" t="str">
        <f aca="false">IF($E99="","",IF($M99,IF(AND($G99&gt;=EJ$5,$G99&lt;EJ$5+GanttPeriod),"◆",IF(AND($E99&gt;=EJ$5,$E99&lt;EJ$5+GanttPeriod),"◇","")),IF(AND(EJ$5&lt;=$F99,EJ$5+GanttPeriod-1&gt;=$E99),"━","")))</f>
        <v/>
      </c>
      <c r="EK99" s="69" t="str">
        <f aca="false">IF($E99="","",IF($M99,IF(AND($G99&gt;=EK$5,$G99&lt;EK$5+GanttPeriod),"◆",IF(AND($E99&gt;=EK$5,$E99&lt;EK$5+GanttPeriod),"◇","")),IF(AND(EK$5&lt;=$F99,EK$5+GanttPeriod-1&gt;=$E99),"━","")))</f>
        <v/>
      </c>
      <c r="EL99" s="69" t="str">
        <f aca="false">IF($E99="","",IF($M99,IF(AND($G99&gt;=EL$5,$G99&lt;EL$5+GanttPeriod),"◆",IF(AND($E99&gt;=EL$5,$E99&lt;EL$5+GanttPeriod),"◇","")),IF(AND(EL$5&lt;=$F99,EL$5+GanttPeriod-1&gt;=$E99),"━","")))</f>
        <v/>
      </c>
      <c r="EM99" s="69" t="str">
        <f aca="false">IF($E99="","",IF($M99,IF(AND($G99&gt;=EM$5,$G99&lt;EM$5+GanttPeriod),"◆",IF(AND($E99&gt;=EM$5,$E99&lt;EM$5+GanttPeriod),"◇","")),IF(AND(EM$5&lt;=$F99,EM$5+GanttPeriod-1&gt;=$E99),"━","")))</f>
        <v/>
      </c>
      <c r="EN99" s="69" t="str">
        <f aca="false">IF($E99="","",IF($M99,IF(AND($G99&gt;=EN$5,$G99&lt;EN$5+GanttPeriod),"◆",IF(AND($E99&gt;=EN$5,$E99&lt;EN$5+GanttPeriod),"◇","")),IF(AND(EN$5&lt;=$F99,EN$5+GanttPeriod-1&gt;=$E99),"━","")))</f>
        <v/>
      </c>
      <c r="EO99" s="69" t="str">
        <f aca="false">IF($E99="","",IF($M99,IF(AND($G99&gt;=EO$5,$G99&lt;EO$5+GanttPeriod),"◆",IF(AND($E99&gt;=EO$5,$E99&lt;EO$5+GanttPeriod),"◇","")),IF(AND(EO$5&lt;=$F99,EO$5+GanttPeriod-1&gt;=$E99),"━","")))</f>
        <v/>
      </c>
      <c r="EP99" s="69" t="str">
        <f aca="false">IF($E99="","",IF($M99,IF(AND($G99&gt;=EP$5,$G99&lt;EP$5+GanttPeriod),"◆",IF(AND($E99&gt;=EP$5,$E99&lt;EP$5+GanttPeriod),"◇","")),IF(AND(EP$5&lt;=$F99,EP$5+GanttPeriod-1&gt;=$E99),"━","")))</f>
        <v/>
      </c>
      <c r="EQ99" s="69" t="str">
        <f aca="false">IF($E99="","",IF($M99,IF(AND($G99&gt;=EQ$5,$G99&lt;EQ$5+GanttPeriod),"◆",IF(AND($E99&gt;=EQ$5,$E99&lt;EQ$5+GanttPeriod),"◇","")),IF(AND(EQ$5&lt;=$F99,EQ$5+GanttPeriod-1&gt;=$E99),"━","")))</f>
        <v/>
      </c>
      <c r="ER99" s="69" t="str">
        <f aca="false">IF($E99="","",IF($M99,IF(AND($G99&gt;=ER$5,$G99&lt;ER$5+GanttPeriod),"◆",IF(AND($E99&gt;=ER$5,$E99&lt;ER$5+GanttPeriod),"◇","")),IF(AND(ER$5&lt;=$F99,ER$5+GanttPeriod-1&gt;=$E99),"━","")))</f>
        <v/>
      </c>
      <c r="ES99" s="69" t="str">
        <f aca="false">IF($E99="","",IF($M99,IF(AND($G99&gt;=ES$5,$G99&lt;ES$5+GanttPeriod),"◆",IF(AND($E99&gt;=ES$5,$E99&lt;ES$5+GanttPeriod),"◇","")),IF(AND(ES$5&lt;=$F99,ES$5+GanttPeriod-1&gt;=$E99),"━","")))</f>
        <v/>
      </c>
      <c r="ET99" s="69" t="str">
        <f aca="false">IF($E99="","",IF($M99,IF(AND($G99&gt;=ET$5,$G99&lt;ET$5+GanttPeriod),"◆",IF(AND($E99&gt;=ET$5,$E99&lt;ET$5+GanttPeriod),"◇","")),IF(AND(ET$5&lt;=$F99,ET$5+GanttPeriod-1&gt;=$E99),"━","")))</f>
        <v/>
      </c>
      <c r="EU99" s="69" t="str">
        <f aca="false">IF($E99="","",IF($M99,IF(AND($G99&gt;=EU$5,$G99&lt;EU$5+GanttPeriod),"◆",IF(AND($E99&gt;=EU$5,$E99&lt;EU$5+GanttPeriod),"◇","")),IF(AND(EU$5&lt;=$F99,EU$5+GanttPeriod-1&gt;=$E99),"━","")))</f>
        <v/>
      </c>
      <c r="EV99" s="69" t="str">
        <f aca="false">IF($E99="","",IF($M99,IF(AND($G99&gt;=EV$5,$G99&lt;EV$5+GanttPeriod),"◆",IF(AND($E99&gt;=EV$5,$E99&lt;EV$5+GanttPeriod),"◇","")),IF(AND(EV$5&lt;=$F99,EV$5+GanttPeriod-1&gt;=$E99),"━","")))</f>
        <v/>
      </c>
      <c r="EW99" s="69" t="str">
        <f aca="false">IF($E99="","",IF($M99,IF(AND($G99&gt;=EW$5,$G99&lt;EW$5+GanttPeriod),"◆",IF(AND($E99&gt;=EW$5,$E99&lt;EW$5+GanttPeriod),"◇","")),IF(AND(EW$5&lt;=$F99,EW$5+GanttPeriod-1&gt;=$E99),"━","")))</f>
        <v/>
      </c>
      <c r="EX99" s="69" t="str">
        <f aca="false">IF($E99="","",IF($M99,IF(AND($G99&gt;=EX$5,$G99&lt;EX$5+GanttPeriod),"◆",IF(AND($E99&gt;=EX$5,$E99&lt;EX$5+GanttPeriod),"◇","")),IF(AND(EX$5&lt;=$F99,EX$5+GanttPeriod-1&gt;=$E99),"━","")))</f>
        <v/>
      </c>
      <c r="EY99" s="69" t="str">
        <f aca="false">IF($E99="","",IF($M99,IF(AND($G99&gt;=EY$5,$G99&lt;EY$5+GanttPeriod),"◆",IF(AND($E99&gt;=EY$5,$E99&lt;EY$5+GanttPeriod),"◇","")),IF(AND(EY$5&lt;=$F99,EY$5+GanttPeriod-1&gt;=$E99),"━","")))</f>
        <v/>
      </c>
      <c r="EZ99" s="69" t="str">
        <f aca="false">IF($E99="","",IF($M99,IF(AND($G99&gt;=EZ$5,$G99&lt;EZ$5+GanttPeriod),"◆",IF(AND($E99&gt;=EZ$5,$E99&lt;EZ$5+GanttPeriod),"◇","")),IF(AND(EZ$5&lt;=$F99,EZ$5+GanttPeriod-1&gt;=$E99),"━","")))</f>
        <v/>
      </c>
      <c r="FA99" s="69" t="str">
        <f aca="false">IF($E99="","",IF($M99,IF(AND($G99&gt;=FA$5,$G99&lt;FA$5+GanttPeriod),"◆",IF(AND($E99&gt;=FA$5,$E99&lt;FA$5+GanttPeriod),"◇","")),IF(AND(FA$5&lt;=$F99,FA$5+GanttPeriod-1&gt;=$E99),"━","")))</f>
        <v/>
      </c>
      <c r="FB99" s="69" t="str">
        <f aca="false">IF($E99="","",IF($M99,IF(AND($G99&gt;=FB$5,$G99&lt;FB$5+GanttPeriod),"◆",IF(AND($E99&gt;=FB$5,$E99&lt;FB$5+GanttPeriod),"◇","")),IF(AND(FB$5&lt;=$F99,FB$5+GanttPeriod-1&gt;=$E99),"━","")))</f>
        <v/>
      </c>
      <c r="FC99" s="69" t="str">
        <f aca="false">IF($E99="","",IF($M99,IF(AND($G99&gt;=FC$5,$G99&lt;FC$5+GanttPeriod),"◆",IF(AND($E99&gt;=FC$5,$E99&lt;FC$5+GanttPeriod),"◇","")),IF(AND(FC$5&lt;=$F99,FC$5+GanttPeriod-1&gt;=$E99),"━","")))</f>
        <v/>
      </c>
      <c r="FD99" s="69" t="str">
        <f aca="false">IF($E99="","",IF($M99,IF(AND($G99&gt;=FD$5,$G99&lt;FD$5+GanttPeriod),"◆",IF(AND($E99&gt;=FD$5,$E99&lt;FD$5+GanttPeriod),"◇","")),IF(AND(FD$5&lt;=$F99,FD$5+GanttPeriod-1&gt;=$E99),"━","")))</f>
        <v/>
      </c>
      <c r="FE99" s="69" t="str">
        <f aca="false">IF($E99="","",IF($M99,IF(AND($G99&gt;=FE$5,$G99&lt;FE$5+GanttPeriod),"◆",IF(AND($E99&gt;=FE$5,$E99&lt;FE$5+GanttPeriod),"◇","")),IF(AND(FE$5&lt;=$F99,FE$5+GanttPeriod-1&gt;=$E99),"━","")))</f>
        <v/>
      </c>
      <c r="FF99" s="69" t="str">
        <f aca="false">IF($E99="","",IF($M99,IF(AND($G99&gt;=FF$5,$G99&lt;FF$5+GanttPeriod),"◆",IF(AND($E99&gt;=FF$5,$E99&lt;FF$5+GanttPeriod),"◇","")),IF(AND(FF$5&lt;=$F99,FF$5+GanttPeriod-1&gt;=$E99),"━","")))</f>
        <v/>
      </c>
      <c r="FG99" s="69" t="str">
        <f aca="false">IF($E99="","",IF($M99,IF(AND($G99&gt;=FG$5,$G99&lt;FG$5+GanttPeriod),"◆",IF(AND($E99&gt;=FG$5,$E99&lt;FG$5+GanttPeriod),"◇","")),IF(AND(FG$5&lt;=$F99,FG$5+GanttPeriod-1&gt;=$E99),"━","")))</f>
        <v/>
      </c>
      <c r="FH99" s="69" t="str">
        <f aca="false">IF($E99="","",IF($M99,IF(AND($G99&gt;=FH$5,$G99&lt;FH$5+GanttPeriod),"◆",IF(AND($E99&gt;=FH$5,$E99&lt;FH$5+GanttPeriod),"◇","")),IF(AND(FH$5&lt;=$F99,FH$5+GanttPeriod-1&gt;=$E99),"━","")))</f>
        <v/>
      </c>
      <c r="FI99" s="69" t="str">
        <f aca="false">IF($E99="","",IF($M99,IF(AND($G99&gt;=FI$5,$G99&lt;FI$5+GanttPeriod),"◆",IF(AND($E99&gt;=FI$5,$E99&lt;FI$5+GanttPeriod),"◇","")),IF(AND(FI$5&lt;=$F99,FI$5+GanttPeriod-1&gt;=$E99),"━","")))</f>
        <v/>
      </c>
      <c r="FJ99" s="69" t="str">
        <f aca="false">IF($E99="","",IF($M99,IF(AND($G99&gt;=FJ$5,$G99&lt;FJ$5+GanttPeriod),"◆",IF(AND($E99&gt;=FJ$5,$E99&lt;FJ$5+GanttPeriod),"◇","")),IF(AND(FJ$5&lt;=$F99,FJ$5+GanttPeriod-1&gt;=$E99),"━","")))</f>
        <v/>
      </c>
      <c r="FK99" s="69" t="str">
        <f aca="false">IF($E99="","",IF($M99,IF(AND($G99&gt;=FK$5,$G99&lt;FK$5+GanttPeriod),"◆",IF(AND($E99&gt;=FK$5,$E99&lt;FK$5+GanttPeriod),"◇","")),IF(AND(FK$5&lt;=$F99,FK$5+GanttPeriod-1&gt;=$E99),"━","")))</f>
        <v/>
      </c>
      <c r="FL99" s="69" t="str">
        <f aca="false">IF($E99="","",IF($M99,IF(AND($G99&gt;=FL$5,$G99&lt;FL$5+GanttPeriod),"◆",IF(AND($E99&gt;=FL$5,$E99&lt;FL$5+GanttPeriod),"◇","")),IF(AND(FL$5&lt;=$F99,FL$5+GanttPeriod-1&gt;=$E99),"━","")))</f>
        <v/>
      </c>
      <c r="FM99" s="69" t="str">
        <f aca="false">IF($E99="","",IF($M99,IF(AND($G99&gt;=FM$5,$G99&lt;FM$5+GanttPeriod),"◆",IF(AND($E99&gt;=FM$5,$E99&lt;FM$5+GanttPeriod),"◇","")),IF(AND(FM$5&lt;=$F99,FM$5+GanttPeriod-1&gt;=$E99),"━","")))</f>
        <v/>
      </c>
    </row>
    <row r="100" customFormat="false" ht="15" hidden="false" customHeight="false" outlineLevel="0" collapsed="false">
      <c r="A100" s="62" t="str">
        <f aca="false">IF(Tasks!$D100="","",Tasks!$A100)</f>
        <v/>
      </c>
      <c r="B100" s="62" t="str">
        <f aca="false">IF(Tasks!$D100="","",Tasks!$B100)</f>
        <v/>
      </c>
      <c r="C100" s="63" t="str">
        <f aca="false">IF(Tasks!$D100="","",REPT("    ",Tasks!$AE100-1)&amp;Tasks!$D100)</f>
        <v/>
      </c>
      <c r="D100" s="62" t="str">
        <f aca="false">IF(Tasks!$D100="","",IF(Tasks!$AI100,NETWORKDAYS.INTL(Tasks!$R100,Tasks!$S100,WorkWeek,Holidays),N(Tasks!$F100)))</f>
        <v/>
      </c>
      <c r="E100" s="64" t="str">
        <f aca="false">IF(Tasks!$D100="","",Tasks!$N100)</f>
        <v/>
      </c>
      <c r="F100" s="64" t="str">
        <f aca="false">IF(Tasks!$D100="","",Tasks!$O100)</f>
        <v/>
      </c>
      <c r="G100" s="64" t="str">
        <f aca="false">IF(Tasks!$D100="","",Tasks!$R100)</f>
        <v/>
      </c>
      <c r="H100" s="64" t="str">
        <f aca="false">IF(Tasks!$D100="","",Tasks!$S100)</f>
        <v/>
      </c>
      <c r="I100" s="65" t="str">
        <f aca="false">IF(Tasks!$D100="","",Tasks!$V100)</f>
        <v/>
      </c>
      <c r="J100" s="63" t="str">
        <f aca="false">IF(Tasks!$D100="","",Tasks!$X100&amp;"")</f>
        <v/>
      </c>
      <c r="K100" s="66" t="str">
        <f aca="false">IF(Tasks!$D100="","",Tasks!$W100)</f>
        <v/>
      </c>
      <c r="L100" s="67" t="b">
        <f aca="false">IF(Tasks!$D100="",FALSE(),Tasks!$AI100)</f>
        <v>0</v>
      </c>
      <c r="M100" s="67" t="b">
        <f aca="false">AND(Tasks!$AJ100=1,N(Tasks!$F100)=0)</f>
        <v>0</v>
      </c>
      <c r="N100" s="68" t="n">
        <f aca="false">IF(AND(Tasks!$AJ100=1,NOT($M100),N($I100)&gt;0),$G100,0)</f>
        <v>0</v>
      </c>
      <c r="O100" s="68" t="n">
        <f aca="false">IF($N100=0,0,IF($I100&gt;=1,$H100,MAX($N100,$G100+ROUND(($H100-$G100+1)*$I100,0)-1)))</f>
        <v>0</v>
      </c>
      <c r="P100" s="68" t="n">
        <f aca="false">IF(OR(Tasks!$AJ100&lt;&gt;1,$M100,N($I100)&gt;=1),0,IF($O100&gt;0,$O100+1,$G100))</f>
        <v>0</v>
      </c>
      <c r="Q100" s="68" t="n">
        <f aca="false">IF($P100=0,0,$H100)</f>
        <v>0</v>
      </c>
      <c r="R100" s="67" t="b">
        <f aca="false">AND(Tasks!$D100&lt;&gt;"",N(Tasks!$T100)&gt;0)</f>
        <v>0</v>
      </c>
      <c r="T100" s="69" t="str">
        <f aca="false">IF($E100="","",IF($M100,IF(AND($G100&gt;=T$5,$G100&lt;T$5+GanttPeriod),"◆",IF(AND($E100&gt;=T$5,$E100&lt;T$5+GanttPeriod),"◇","")),IF(AND(T$5&lt;=$F100,T$5+GanttPeriod-1&gt;=$E100),"━","")))</f>
        <v/>
      </c>
      <c r="U100" s="69" t="str">
        <f aca="false">IF($E100="","",IF($M100,IF(AND($G100&gt;=U$5,$G100&lt;U$5+GanttPeriod),"◆",IF(AND($E100&gt;=U$5,$E100&lt;U$5+GanttPeriod),"◇","")),IF(AND(U$5&lt;=$F100,U$5+GanttPeriod-1&gt;=$E100),"━","")))</f>
        <v/>
      </c>
      <c r="V100" s="69" t="str">
        <f aca="false">IF($E100="","",IF($M100,IF(AND($G100&gt;=V$5,$G100&lt;V$5+GanttPeriod),"◆",IF(AND($E100&gt;=V$5,$E100&lt;V$5+GanttPeriod),"◇","")),IF(AND(V$5&lt;=$F100,V$5+GanttPeriod-1&gt;=$E100),"━","")))</f>
        <v/>
      </c>
      <c r="W100" s="69" t="str">
        <f aca="false">IF($E100="","",IF($M100,IF(AND($G100&gt;=W$5,$G100&lt;W$5+GanttPeriod),"◆",IF(AND($E100&gt;=W$5,$E100&lt;W$5+GanttPeriod),"◇","")),IF(AND(W$5&lt;=$F100,W$5+GanttPeriod-1&gt;=$E100),"━","")))</f>
        <v/>
      </c>
      <c r="X100" s="69" t="str">
        <f aca="false">IF($E100="","",IF($M100,IF(AND($G100&gt;=X$5,$G100&lt;X$5+GanttPeriod),"◆",IF(AND($E100&gt;=X$5,$E100&lt;X$5+GanttPeriod),"◇","")),IF(AND(X$5&lt;=$F100,X$5+GanttPeriod-1&gt;=$E100),"━","")))</f>
        <v/>
      </c>
      <c r="Y100" s="69" t="str">
        <f aca="false">IF($E100="","",IF($M100,IF(AND($G100&gt;=Y$5,$G100&lt;Y$5+GanttPeriod),"◆",IF(AND($E100&gt;=Y$5,$E100&lt;Y$5+GanttPeriod),"◇","")),IF(AND(Y$5&lt;=$F100,Y$5+GanttPeriod-1&gt;=$E100),"━","")))</f>
        <v/>
      </c>
      <c r="Z100" s="69" t="str">
        <f aca="false">IF($E100="","",IF($M100,IF(AND($G100&gt;=Z$5,$G100&lt;Z$5+GanttPeriod),"◆",IF(AND($E100&gt;=Z$5,$E100&lt;Z$5+GanttPeriod),"◇","")),IF(AND(Z$5&lt;=$F100,Z$5+GanttPeriod-1&gt;=$E100),"━","")))</f>
        <v/>
      </c>
      <c r="AA100" s="69" t="str">
        <f aca="false">IF($E100="","",IF($M100,IF(AND($G100&gt;=AA$5,$G100&lt;AA$5+GanttPeriod),"◆",IF(AND($E100&gt;=AA$5,$E100&lt;AA$5+GanttPeriod),"◇","")),IF(AND(AA$5&lt;=$F100,AA$5+GanttPeriod-1&gt;=$E100),"━","")))</f>
        <v/>
      </c>
      <c r="AB100" s="69" t="str">
        <f aca="false">IF($E100="","",IF($M100,IF(AND($G100&gt;=AB$5,$G100&lt;AB$5+GanttPeriod),"◆",IF(AND($E100&gt;=AB$5,$E100&lt;AB$5+GanttPeriod),"◇","")),IF(AND(AB$5&lt;=$F100,AB$5+GanttPeriod-1&gt;=$E100),"━","")))</f>
        <v/>
      </c>
      <c r="AC100" s="69" t="str">
        <f aca="false">IF($E100="","",IF($M100,IF(AND($G100&gt;=AC$5,$G100&lt;AC$5+GanttPeriod),"◆",IF(AND($E100&gt;=AC$5,$E100&lt;AC$5+GanttPeriod),"◇","")),IF(AND(AC$5&lt;=$F100,AC$5+GanttPeriod-1&gt;=$E100),"━","")))</f>
        <v/>
      </c>
      <c r="AD100" s="69" t="str">
        <f aca="false">IF($E100="","",IF($M100,IF(AND($G100&gt;=AD$5,$G100&lt;AD$5+GanttPeriod),"◆",IF(AND($E100&gt;=AD$5,$E100&lt;AD$5+GanttPeriod),"◇","")),IF(AND(AD$5&lt;=$F100,AD$5+GanttPeriod-1&gt;=$E100),"━","")))</f>
        <v/>
      </c>
      <c r="AE100" s="69" t="str">
        <f aca="false">IF($E100="","",IF($M100,IF(AND($G100&gt;=AE$5,$G100&lt;AE$5+GanttPeriod),"◆",IF(AND($E100&gt;=AE$5,$E100&lt;AE$5+GanttPeriod),"◇","")),IF(AND(AE$5&lt;=$F100,AE$5+GanttPeriod-1&gt;=$E100),"━","")))</f>
        <v/>
      </c>
      <c r="AF100" s="69" t="str">
        <f aca="false">IF($E100="","",IF($M100,IF(AND($G100&gt;=AF$5,$G100&lt;AF$5+GanttPeriod),"◆",IF(AND($E100&gt;=AF$5,$E100&lt;AF$5+GanttPeriod),"◇","")),IF(AND(AF$5&lt;=$F100,AF$5+GanttPeriod-1&gt;=$E100),"━","")))</f>
        <v/>
      </c>
      <c r="AG100" s="69" t="str">
        <f aca="false">IF($E100="","",IF($M100,IF(AND($G100&gt;=AG$5,$G100&lt;AG$5+GanttPeriod),"◆",IF(AND($E100&gt;=AG$5,$E100&lt;AG$5+GanttPeriod),"◇","")),IF(AND(AG$5&lt;=$F100,AG$5+GanttPeriod-1&gt;=$E100),"━","")))</f>
        <v/>
      </c>
      <c r="AH100" s="69" t="str">
        <f aca="false">IF($E100="","",IF($M100,IF(AND($G100&gt;=AH$5,$G100&lt;AH$5+GanttPeriod),"◆",IF(AND($E100&gt;=AH$5,$E100&lt;AH$5+GanttPeriod),"◇","")),IF(AND(AH$5&lt;=$F100,AH$5+GanttPeriod-1&gt;=$E100),"━","")))</f>
        <v/>
      </c>
      <c r="AI100" s="69" t="str">
        <f aca="false">IF($E100="","",IF($M100,IF(AND($G100&gt;=AI$5,$G100&lt;AI$5+GanttPeriod),"◆",IF(AND($E100&gt;=AI$5,$E100&lt;AI$5+GanttPeriod),"◇","")),IF(AND(AI$5&lt;=$F100,AI$5+GanttPeriod-1&gt;=$E100),"━","")))</f>
        <v/>
      </c>
      <c r="AJ100" s="69" t="str">
        <f aca="false">IF($E100="","",IF($M100,IF(AND($G100&gt;=AJ$5,$G100&lt;AJ$5+GanttPeriod),"◆",IF(AND($E100&gt;=AJ$5,$E100&lt;AJ$5+GanttPeriod),"◇","")),IF(AND(AJ$5&lt;=$F100,AJ$5+GanttPeriod-1&gt;=$E100),"━","")))</f>
        <v/>
      </c>
      <c r="AK100" s="69" t="str">
        <f aca="false">IF($E100="","",IF($M100,IF(AND($G100&gt;=AK$5,$G100&lt;AK$5+GanttPeriod),"◆",IF(AND($E100&gt;=AK$5,$E100&lt;AK$5+GanttPeriod),"◇","")),IF(AND(AK$5&lt;=$F100,AK$5+GanttPeriod-1&gt;=$E100),"━","")))</f>
        <v/>
      </c>
      <c r="AL100" s="69" t="str">
        <f aca="false">IF($E100="","",IF($M100,IF(AND($G100&gt;=AL$5,$G100&lt;AL$5+GanttPeriod),"◆",IF(AND($E100&gt;=AL$5,$E100&lt;AL$5+GanttPeriod),"◇","")),IF(AND(AL$5&lt;=$F100,AL$5+GanttPeriod-1&gt;=$E100),"━","")))</f>
        <v/>
      </c>
      <c r="AM100" s="69" t="str">
        <f aca="false">IF($E100="","",IF($M100,IF(AND($G100&gt;=AM$5,$G100&lt;AM$5+GanttPeriod),"◆",IF(AND($E100&gt;=AM$5,$E100&lt;AM$5+GanttPeriod),"◇","")),IF(AND(AM$5&lt;=$F100,AM$5+GanttPeriod-1&gt;=$E100),"━","")))</f>
        <v/>
      </c>
      <c r="AN100" s="69" t="str">
        <f aca="false">IF($E100="","",IF($M100,IF(AND($G100&gt;=AN$5,$G100&lt;AN$5+GanttPeriod),"◆",IF(AND($E100&gt;=AN$5,$E100&lt;AN$5+GanttPeriod),"◇","")),IF(AND(AN$5&lt;=$F100,AN$5+GanttPeriod-1&gt;=$E100),"━","")))</f>
        <v/>
      </c>
      <c r="AO100" s="69" t="str">
        <f aca="false">IF($E100="","",IF($M100,IF(AND($G100&gt;=AO$5,$G100&lt;AO$5+GanttPeriod),"◆",IF(AND($E100&gt;=AO$5,$E100&lt;AO$5+GanttPeriod),"◇","")),IF(AND(AO$5&lt;=$F100,AO$5+GanttPeriod-1&gt;=$E100),"━","")))</f>
        <v/>
      </c>
      <c r="AP100" s="69" t="str">
        <f aca="false">IF($E100="","",IF($M100,IF(AND($G100&gt;=AP$5,$G100&lt;AP$5+GanttPeriod),"◆",IF(AND($E100&gt;=AP$5,$E100&lt;AP$5+GanttPeriod),"◇","")),IF(AND(AP$5&lt;=$F100,AP$5+GanttPeriod-1&gt;=$E100),"━","")))</f>
        <v/>
      </c>
      <c r="AQ100" s="69" t="str">
        <f aca="false">IF($E100="","",IF($M100,IF(AND($G100&gt;=AQ$5,$G100&lt;AQ$5+GanttPeriod),"◆",IF(AND($E100&gt;=AQ$5,$E100&lt;AQ$5+GanttPeriod),"◇","")),IF(AND(AQ$5&lt;=$F100,AQ$5+GanttPeriod-1&gt;=$E100),"━","")))</f>
        <v/>
      </c>
      <c r="AR100" s="69" t="str">
        <f aca="false">IF($E100="","",IF($M100,IF(AND($G100&gt;=AR$5,$G100&lt;AR$5+GanttPeriod),"◆",IF(AND($E100&gt;=AR$5,$E100&lt;AR$5+GanttPeriod),"◇","")),IF(AND(AR$5&lt;=$F100,AR$5+GanttPeriod-1&gt;=$E100),"━","")))</f>
        <v/>
      </c>
      <c r="AS100" s="69" t="str">
        <f aca="false">IF($E100="","",IF($M100,IF(AND($G100&gt;=AS$5,$G100&lt;AS$5+GanttPeriod),"◆",IF(AND($E100&gt;=AS$5,$E100&lt;AS$5+GanttPeriod),"◇","")),IF(AND(AS$5&lt;=$F100,AS$5+GanttPeriod-1&gt;=$E100),"━","")))</f>
        <v/>
      </c>
      <c r="AT100" s="69" t="str">
        <f aca="false">IF($E100="","",IF($M100,IF(AND($G100&gt;=AT$5,$G100&lt;AT$5+GanttPeriod),"◆",IF(AND($E100&gt;=AT$5,$E100&lt;AT$5+GanttPeriod),"◇","")),IF(AND(AT$5&lt;=$F100,AT$5+GanttPeriod-1&gt;=$E100),"━","")))</f>
        <v/>
      </c>
      <c r="AU100" s="69" t="str">
        <f aca="false">IF($E100="","",IF($M100,IF(AND($G100&gt;=AU$5,$G100&lt;AU$5+GanttPeriod),"◆",IF(AND($E100&gt;=AU$5,$E100&lt;AU$5+GanttPeriod),"◇","")),IF(AND(AU$5&lt;=$F100,AU$5+GanttPeriod-1&gt;=$E100),"━","")))</f>
        <v/>
      </c>
      <c r="AV100" s="69" t="str">
        <f aca="false">IF($E100="","",IF($M100,IF(AND($G100&gt;=AV$5,$G100&lt;AV$5+GanttPeriod),"◆",IF(AND($E100&gt;=AV$5,$E100&lt;AV$5+GanttPeriod),"◇","")),IF(AND(AV$5&lt;=$F100,AV$5+GanttPeriod-1&gt;=$E100),"━","")))</f>
        <v/>
      </c>
      <c r="AW100" s="69" t="str">
        <f aca="false">IF($E100="","",IF($M100,IF(AND($G100&gt;=AW$5,$G100&lt;AW$5+GanttPeriod),"◆",IF(AND($E100&gt;=AW$5,$E100&lt;AW$5+GanttPeriod),"◇","")),IF(AND(AW$5&lt;=$F100,AW$5+GanttPeriod-1&gt;=$E100),"━","")))</f>
        <v/>
      </c>
      <c r="AX100" s="69" t="str">
        <f aca="false">IF($E100="","",IF($M100,IF(AND($G100&gt;=AX$5,$G100&lt;AX$5+GanttPeriod),"◆",IF(AND($E100&gt;=AX$5,$E100&lt;AX$5+GanttPeriod),"◇","")),IF(AND(AX$5&lt;=$F100,AX$5+GanttPeriod-1&gt;=$E100),"━","")))</f>
        <v/>
      </c>
      <c r="AY100" s="69" t="str">
        <f aca="false">IF($E100="","",IF($M100,IF(AND($G100&gt;=AY$5,$G100&lt;AY$5+GanttPeriod),"◆",IF(AND($E100&gt;=AY$5,$E100&lt;AY$5+GanttPeriod),"◇","")),IF(AND(AY$5&lt;=$F100,AY$5+GanttPeriod-1&gt;=$E100),"━","")))</f>
        <v/>
      </c>
      <c r="AZ100" s="69" t="str">
        <f aca="false">IF($E100="","",IF($M100,IF(AND($G100&gt;=AZ$5,$G100&lt;AZ$5+GanttPeriod),"◆",IF(AND($E100&gt;=AZ$5,$E100&lt;AZ$5+GanttPeriod),"◇","")),IF(AND(AZ$5&lt;=$F100,AZ$5+GanttPeriod-1&gt;=$E100),"━","")))</f>
        <v/>
      </c>
      <c r="BA100" s="69" t="str">
        <f aca="false">IF($E100="","",IF($M100,IF(AND($G100&gt;=BA$5,$G100&lt;BA$5+GanttPeriod),"◆",IF(AND($E100&gt;=BA$5,$E100&lt;BA$5+GanttPeriod),"◇","")),IF(AND(BA$5&lt;=$F100,BA$5+GanttPeriod-1&gt;=$E100),"━","")))</f>
        <v/>
      </c>
      <c r="BB100" s="69" t="str">
        <f aca="false">IF($E100="","",IF($M100,IF(AND($G100&gt;=BB$5,$G100&lt;BB$5+GanttPeriod),"◆",IF(AND($E100&gt;=BB$5,$E100&lt;BB$5+GanttPeriod),"◇","")),IF(AND(BB$5&lt;=$F100,BB$5+GanttPeriod-1&gt;=$E100),"━","")))</f>
        <v/>
      </c>
      <c r="BC100" s="69" t="str">
        <f aca="false">IF($E100="","",IF($M100,IF(AND($G100&gt;=BC$5,$G100&lt;BC$5+GanttPeriod),"◆",IF(AND($E100&gt;=BC$5,$E100&lt;BC$5+GanttPeriod),"◇","")),IF(AND(BC$5&lt;=$F100,BC$5+GanttPeriod-1&gt;=$E100),"━","")))</f>
        <v/>
      </c>
      <c r="BD100" s="69" t="str">
        <f aca="false">IF($E100="","",IF($M100,IF(AND($G100&gt;=BD$5,$G100&lt;BD$5+GanttPeriod),"◆",IF(AND($E100&gt;=BD$5,$E100&lt;BD$5+GanttPeriod),"◇","")),IF(AND(BD$5&lt;=$F100,BD$5+GanttPeriod-1&gt;=$E100),"━","")))</f>
        <v/>
      </c>
      <c r="BE100" s="69" t="str">
        <f aca="false">IF($E100="","",IF($M100,IF(AND($G100&gt;=BE$5,$G100&lt;BE$5+GanttPeriod),"◆",IF(AND($E100&gt;=BE$5,$E100&lt;BE$5+GanttPeriod),"◇","")),IF(AND(BE$5&lt;=$F100,BE$5+GanttPeriod-1&gt;=$E100),"━","")))</f>
        <v/>
      </c>
      <c r="BF100" s="69" t="str">
        <f aca="false">IF($E100="","",IF($M100,IF(AND($G100&gt;=BF$5,$G100&lt;BF$5+GanttPeriod),"◆",IF(AND($E100&gt;=BF$5,$E100&lt;BF$5+GanttPeriod),"◇","")),IF(AND(BF$5&lt;=$F100,BF$5+GanttPeriod-1&gt;=$E100),"━","")))</f>
        <v/>
      </c>
      <c r="BG100" s="69" t="str">
        <f aca="false">IF($E100="","",IF($M100,IF(AND($G100&gt;=BG$5,$G100&lt;BG$5+GanttPeriod),"◆",IF(AND($E100&gt;=BG$5,$E100&lt;BG$5+GanttPeriod),"◇","")),IF(AND(BG$5&lt;=$F100,BG$5+GanttPeriod-1&gt;=$E100),"━","")))</f>
        <v/>
      </c>
      <c r="BH100" s="69" t="str">
        <f aca="false">IF($E100="","",IF($M100,IF(AND($G100&gt;=BH$5,$G100&lt;BH$5+GanttPeriod),"◆",IF(AND($E100&gt;=BH$5,$E100&lt;BH$5+GanttPeriod),"◇","")),IF(AND(BH$5&lt;=$F100,BH$5+GanttPeriod-1&gt;=$E100),"━","")))</f>
        <v/>
      </c>
      <c r="BI100" s="69" t="str">
        <f aca="false">IF($E100="","",IF($M100,IF(AND($G100&gt;=BI$5,$G100&lt;BI$5+GanttPeriod),"◆",IF(AND($E100&gt;=BI$5,$E100&lt;BI$5+GanttPeriod),"◇","")),IF(AND(BI$5&lt;=$F100,BI$5+GanttPeriod-1&gt;=$E100),"━","")))</f>
        <v/>
      </c>
      <c r="BJ100" s="69" t="str">
        <f aca="false">IF($E100="","",IF($M100,IF(AND($G100&gt;=BJ$5,$G100&lt;BJ$5+GanttPeriod),"◆",IF(AND($E100&gt;=BJ$5,$E100&lt;BJ$5+GanttPeriod),"◇","")),IF(AND(BJ$5&lt;=$F100,BJ$5+GanttPeriod-1&gt;=$E100),"━","")))</f>
        <v/>
      </c>
      <c r="BK100" s="69" t="str">
        <f aca="false">IF($E100="","",IF($M100,IF(AND($G100&gt;=BK$5,$G100&lt;BK$5+GanttPeriod),"◆",IF(AND($E100&gt;=BK$5,$E100&lt;BK$5+GanttPeriod),"◇","")),IF(AND(BK$5&lt;=$F100,BK$5+GanttPeriod-1&gt;=$E100),"━","")))</f>
        <v/>
      </c>
      <c r="BL100" s="69" t="str">
        <f aca="false">IF($E100="","",IF($M100,IF(AND($G100&gt;=BL$5,$G100&lt;BL$5+GanttPeriod),"◆",IF(AND($E100&gt;=BL$5,$E100&lt;BL$5+GanttPeriod),"◇","")),IF(AND(BL$5&lt;=$F100,BL$5+GanttPeriod-1&gt;=$E100),"━","")))</f>
        <v/>
      </c>
      <c r="BM100" s="69" t="str">
        <f aca="false">IF($E100="","",IF($M100,IF(AND($G100&gt;=BM$5,$G100&lt;BM$5+GanttPeriod),"◆",IF(AND($E100&gt;=BM$5,$E100&lt;BM$5+GanttPeriod),"◇","")),IF(AND(BM$5&lt;=$F100,BM$5+GanttPeriod-1&gt;=$E100),"━","")))</f>
        <v/>
      </c>
      <c r="BN100" s="69" t="str">
        <f aca="false">IF($E100="","",IF($M100,IF(AND($G100&gt;=BN$5,$G100&lt;BN$5+GanttPeriod),"◆",IF(AND($E100&gt;=BN$5,$E100&lt;BN$5+GanttPeriod),"◇","")),IF(AND(BN$5&lt;=$F100,BN$5+GanttPeriod-1&gt;=$E100),"━","")))</f>
        <v/>
      </c>
      <c r="BO100" s="69" t="str">
        <f aca="false">IF($E100="","",IF($M100,IF(AND($G100&gt;=BO$5,$G100&lt;BO$5+GanttPeriod),"◆",IF(AND($E100&gt;=BO$5,$E100&lt;BO$5+GanttPeriod),"◇","")),IF(AND(BO$5&lt;=$F100,BO$5+GanttPeriod-1&gt;=$E100),"━","")))</f>
        <v/>
      </c>
      <c r="BP100" s="69" t="str">
        <f aca="false">IF($E100="","",IF($M100,IF(AND($G100&gt;=BP$5,$G100&lt;BP$5+GanttPeriod),"◆",IF(AND($E100&gt;=BP$5,$E100&lt;BP$5+GanttPeriod),"◇","")),IF(AND(BP$5&lt;=$F100,BP$5+GanttPeriod-1&gt;=$E100),"━","")))</f>
        <v/>
      </c>
      <c r="BQ100" s="69" t="str">
        <f aca="false">IF($E100="","",IF($M100,IF(AND($G100&gt;=BQ$5,$G100&lt;BQ$5+GanttPeriod),"◆",IF(AND($E100&gt;=BQ$5,$E100&lt;BQ$5+GanttPeriod),"◇","")),IF(AND(BQ$5&lt;=$F100,BQ$5+GanttPeriod-1&gt;=$E100),"━","")))</f>
        <v/>
      </c>
      <c r="BR100" s="69" t="str">
        <f aca="false">IF($E100="","",IF($M100,IF(AND($G100&gt;=BR$5,$G100&lt;BR$5+GanttPeriod),"◆",IF(AND($E100&gt;=BR$5,$E100&lt;BR$5+GanttPeriod),"◇","")),IF(AND(BR$5&lt;=$F100,BR$5+GanttPeriod-1&gt;=$E100),"━","")))</f>
        <v/>
      </c>
      <c r="BS100" s="69" t="str">
        <f aca="false">IF($E100="","",IF($M100,IF(AND($G100&gt;=BS$5,$G100&lt;BS$5+GanttPeriod),"◆",IF(AND($E100&gt;=BS$5,$E100&lt;BS$5+GanttPeriod),"◇","")),IF(AND(BS$5&lt;=$F100,BS$5+GanttPeriod-1&gt;=$E100),"━","")))</f>
        <v/>
      </c>
      <c r="BT100" s="69" t="str">
        <f aca="false">IF($E100="","",IF($M100,IF(AND($G100&gt;=BT$5,$G100&lt;BT$5+GanttPeriod),"◆",IF(AND($E100&gt;=BT$5,$E100&lt;BT$5+GanttPeriod),"◇","")),IF(AND(BT$5&lt;=$F100,BT$5+GanttPeriod-1&gt;=$E100),"━","")))</f>
        <v/>
      </c>
      <c r="BU100" s="69" t="str">
        <f aca="false">IF($E100="","",IF($M100,IF(AND($G100&gt;=BU$5,$G100&lt;BU$5+GanttPeriod),"◆",IF(AND($E100&gt;=BU$5,$E100&lt;BU$5+GanttPeriod),"◇","")),IF(AND(BU$5&lt;=$F100,BU$5+GanttPeriod-1&gt;=$E100),"━","")))</f>
        <v/>
      </c>
      <c r="BV100" s="69" t="str">
        <f aca="false">IF($E100="","",IF($M100,IF(AND($G100&gt;=BV$5,$G100&lt;BV$5+GanttPeriod),"◆",IF(AND($E100&gt;=BV$5,$E100&lt;BV$5+GanttPeriod),"◇","")),IF(AND(BV$5&lt;=$F100,BV$5+GanttPeriod-1&gt;=$E100),"━","")))</f>
        <v/>
      </c>
      <c r="BW100" s="69" t="str">
        <f aca="false">IF($E100="","",IF($M100,IF(AND($G100&gt;=BW$5,$G100&lt;BW$5+GanttPeriod),"◆",IF(AND($E100&gt;=BW$5,$E100&lt;BW$5+GanttPeriod),"◇","")),IF(AND(BW$5&lt;=$F100,BW$5+GanttPeriod-1&gt;=$E100),"━","")))</f>
        <v/>
      </c>
      <c r="BX100" s="69" t="str">
        <f aca="false">IF($E100="","",IF($M100,IF(AND($G100&gt;=BX$5,$G100&lt;BX$5+GanttPeriod),"◆",IF(AND($E100&gt;=BX$5,$E100&lt;BX$5+GanttPeriod),"◇","")),IF(AND(BX$5&lt;=$F100,BX$5+GanttPeriod-1&gt;=$E100),"━","")))</f>
        <v/>
      </c>
      <c r="BY100" s="69" t="str">
        <f aca="false">IF($E100="","",IF($M100,IF(AND($G100&gt;=BY$5,$G100&lt;BY$5+GanttPeriod),"◆",IF(AND($E100&gt;=BY$5,$E100&lt;BY$5+GanttPeriod),"◇","")),IF(AND(BY$5&lt;=$F100,BY$5+GanttPeriod-1&gt;=$E100),"━","")))</f>
        <v/>
      </c>
      <c r="BZ100" s="69" t="str">
        <f aca="false">IF($E100="","",IF($M100,IF(AND($G100&gt;=BZ$5,$G100&lt;BZ$5+GanttPeriod),"◆",IF(AND($E100&gt;=BZ$5,$E100&lt;BZ$5+GanttPeriod),"◇","")),IF(AND(BZ$5&lt;=$F100,BZ$5+GanttPeriod-1&gt;=$E100),"━","")))</f>
        <v/>
      </c>
      <c r="CA100" s="69" t="str">
        <f aca="false">IF($E100="","",IF($M100,IF(AND($G100&gt;=CA$5,$G100&lt;CA$5+GanttPeriod),"◆",IF(AND($E100&gt;=CA$5,$E100&lt;CA$5+GanttPeriod),"◇","")),IF(AND(CA$5&lt;=$F100,CA$5+GanttPeriod-1&gt;=$E100),"━","")))</f>
        <v/>
      </c>
      <c r="CB100" s="69" t="str">
        <f aca="false">IF($E100="","",IF($M100,IF(AND($G100&gt;=CB$5,$G100&lt;CB$5+GanttPeriod),"◆",IF(AND($E100&gt;=CB$5,$E100&lt;CB$5+GanttPeriod),"◇","")),IF(AND(CB$5&lt;=$F100,CB$5+GanttPeriod-1&gt;=$E100),"━","")))</f>
        <v/>
      </c>
      <c r="CC100" s="69" t="str">
        <f aca="false">IF($E100="","",IF($M100,IF(AND($G100&gt;=CC$5,$G100&lt;CC$5+GanttPeriod),"◆",IF(AND($E100&gt;=CC$5,$E100&lt;CC$5+GanttPeriod),"◇","")),IF(AND(CC$5&lt;=$F100,CC$5+GanttPeriod-1&gt;=$E100),"━","")))</f>
        <v/>
      </c>
      <c r="CD100" s="69" t="str">
        <f aca="false">IF($E100="","",IF($M100,IF(AND($G100&gt;=CD$5,$G100&lt;CD$5+GanttPeriod),"◆",IF(AND($E100&gt;=CD$5,$E100&lt;CD$5+GanttPeriod),"◇","")),IF(AND(CD$5&lt;=$F100,CD$5+GanttPeriod-1&gt;=$E100),"━","")))</f>
        <v/>
      </c>
      <c r="CE100" s="69" t="str">
        <f aca="false">IF($E100="","",IF($M100,IF(AND($G100&gt;=CE$5,$G100&lt;CE$5+GanttPeriod),"◆",IF(AND($E100&gt;=CE$5,$E100&lt;CE$5+GanttPeriod),"◇","")),IF(AND(CE$5&lt;=$F100,CE$5+GanttPeriod-1&gt;=$E100),"━","")))</f>
        <v/>
      </c>
      <c r="CF100" s="69" t="str">
        <f aca="false">IF($E100="","",IF($M100,IF(AND($G100&gt;=CF$5,$G100&lt;CF$5+GanttPeriod),"◆",IF(AND($E100&gt;=CF$5,$E100&lt;CF$5+GanttPeriod),"◇","")),IF(AND(CF$5&lt;=$F100,CF$5+GanttPeriod-1&gt;=$E100),"━","")))</f>
        <v/>
      </c>
      <c r="CG100" s="69" t="str">
        <f aca="false">IF($E100="","",IF($M100,IF(AND($G100&gt;=CG$5,$G100&lt;CG$5+GanttPeriod),"◆",IF(AND($E100&gt;=CG$5,$E100&lt;CG$5+GanttPeriod),"◇","")),IF(AND(CG$5&lt;=$F100,CG$5+GanttPeriod-1&gt;=$E100),"━","")))</f>
        <v/>
      </c>
      <c r="CH100" s="69" t="str">
        <f aca="false">IF($E100="","",IF($M100,IF(AND($G100&gt;=CH$5,$G100&lt;CH$5+GanttPeriod),"◆",IF(AND($E100&gt;=CH$5,$E100&lt;CH$5+GanttPeriod),"◇","")),IF(AND(CH$5&lt;=$F100,CH$5+GanttPeriod-1&gt;=$E100),"━","")))</f>
        <v/>
      </c>
      <c r="CI100" s="69" t="str">
        <f aca="false">IF($E100="","",IF($M100,IF(AND($G100&gt;=CI$5,$G100&lt;CI$5+GanttPeriod),"◆",IF(AND($E100&gt;=CI$5,$E100&lt;CI$5+GanttPeriod),"◇","")),IF(AND(CI$5&lt;=$F100,CI$5+GanttPeriod-1&gt;=$E100),"━","")))</f>
        <v/>
      </c>
      <c r="CJ100" s="69" t="str">
        <f aca="false">IF($E100="","",IF($M100,IF(AND($G100&gt;=CJ$5,$G100&lt;CJ$5+GanttPeriod),"◆",IF(AND($E100&gt;=CJ$5,$E100&lt;CJ$5+GanttPeriod),"◇","")),IF(AND(CJ$5&lt;=$F100,CJ$5+GanttPeriod-1&gt;=$E100),"━","")))</f>
        <v/>
      </c>
      <c r="CK100" s="69" t="str">
        <f aca="false">IF($E100="","",IF($M100,IF(AND($G100&gt;=CK$5,$G100&lt;CK$5+GanttPeriod),"◆",IF(AND($E100&gt;=CK$5,$E100&lt;CK$5+GanttPeriod),"◇","")),IF(AND(CK$5&lt;=$F100,CK$5+GanttPeriod-1&gt;=$E100),"━","")))</f>
        <v/>
      </c>
      <c r="CL100" s="69" t="str">
        <f aca="false">IF($E100="","",IF($M100,IF(AND($G100&gt;=CL$5,$G100&lt;CL$5+GanttPeriod),"◆",IF(AND($E100&gt;=CL$5,$E100&lt;CL$5+GanttPeriod),"◇","")),IF(AND(CL$5&lt;=$F100,CL$5+GanttPeriod-1&gt;=$E100),"━","")))</f>
        <v/>
      </c>
      <c r="CM100" s="69" t="str">
        <f aca="false">IF($E100="","",IF($M100,IF(AND($G100&gt;=CM$5,$G100&lt;CM$5+GanttPeriod),"◆",IF(AND($E100&gt;=CM$5,$E100&lt;CM$5+GanttPeriod),"◇","")),IF(AND(CM$5&lt;=$F100,CM$5+GanttPeriod-1&gt;=$E100),"━","")))</f>
        <v/>
      </c>
      <c r="CN100" s="69" t="str">
        <f aca="false">IF($E100="","",IF($M100,IF(AND($G100&gt;=CN$5,$G100&lt;CN$5+GanttPeriod),"◆",IF(AND($E100&gt;=CN$5,$E100&lt;CN$5+GanttPeriod),"◇","")),IF(AND(CN$5&lt;=$F100,CN$5+GanttPeriod-1&gt;=$E100),"━","")))</f>
        <v/>
      </c>
      <c r="CO100" s="69" t="str">
        <f aca="false">IF($E100="","",IF($M100,IF(AND($G100&gt;=CO$5,$G100&lt;CO$5+GanttPeriod),"◆",IF(AND($E100&gt;=CO$5,$E100&lt;CO$5+GanttPeriod),"◇","")),IF(AND(CO$5&lt;=$F100,CO$5+GanttPeriod-1&gt;=$E100),"━","")))</f>
        <v/>
      </c>
      <c r="CP100" s="69" t="str">
        <f aca="false">IF($E100="","",IF($M100,IF(AND($G100&gt;=CP$5,$G100&lt;CP$5+GanttPeriod),"◆",IF(AND($E100&gt;=CP$5,$E100&lt;CP$5+GanttPeriod),"◇","")),IF(AND(CP$5&lt;=$F100,CP$5+GanttPeriod-1&gt;=$E100),"━","")))</f>
        <v/>
      </c>
      <c r="CQ100" s="69" t="str">
        <f aca="false">IF($E100="","",IF($M100,IF(AND($G100&gt;=CQ$5,$G100&lt;CQ$5+GanttPeriod),"◆",IF(AND($E100&gt;=CQ$5,$E100&lt;CQ$5+GanttPeriod),"◇","")),IF(AND(CQ$5&lt;=$F100,CQ$5+GanttPeriod-1&gt;=$E100),"━","")))</f>
        <v/>
      </c>
      <c r="CR100" s="69" t="str">
        <f aca="false">IF($E100="","",IF($M100,IF(AND($G100&gt;=CR$5,$G100&lt;CR$5+GanttPeriod),"◆",IF(AND($E100&gt;=CR$5,$E100&lt;CR$5+GanttPeriod),"◇","")),IF(AND(CR$5&lt;=$F100,CR$5+GanttPeriod-1&gt;=$E100),"━","")))</f>
        <v/>
      </c>
      <c r="CS100" s="69" t="str">
        <f aca="false">IF($E100="","",IF($M100,IF(AND($G100&gt;=CS$5,$G100&lt;CS$5+GanttPeriod),"◆",IF(AND($E100&gt;=CS$5,$E100&lt;CS$5+GanttPeriod),"◇","")),IF(AND(CS$5&lt;=$F100,CS$5+GanttPeriod-1&gt;=$E100),"━","")))</f>
        <v/>
      </c>
      <c r="CT100" s="69" t="str">
        <f aca="false">IF($E100="","",IF($M100,IF(AND($G100&gt;=CT$5,$G100&lt;CT$5+GanttPeriod),"◆",IF(AND($E100&gt;=CT$5,$E100&lt;CT$5+GanttPeriod),"◇","")),IF(AND(CT$5&lt;=$F100,CT$5+GanttPeriod-1&gt;=$E100),"━","")))</f>
        <v/>
      </c>
      <c r="CU100" s="69" t="str">
        <f aca="false">IF($E100="","",IF($M100,IF(AND($G100&gt;=CU$5,$G100&lt;CU$5+GanttPeriod),"◆",IF(AND($E100&gt;=CU$5,$E100&lt;CU$5+GanttPeriod),"◇","")),IF(AND(CU$5&lt;=$F100,CU$5+GanttPeriod-1&gt;=$E100),"━","")))</f>
        <v/>
      </c>
      <c r="CV100" s="69" t="str">
        <f aca="false">IF($E100="","",IF($M100,IF(AND($G100&gt;=CV$5,$G100&lt;CV$5+GanttPeriod),"◆",IF(AND($E100&gt;=CV$5,$E100&lt;CV$5+GanttPeriod),"◇","")),IF(AND(CV$5&lt;=$F100,CV$5+GanttPeriod-1&gt;=$E100),"━","")))</f>
        <v/>
      </c>
      <c r="CW100" s="69" t="str">
        <f aca="false">IF($E100="","",IF($M100,IF(AND($G100&gt;=CW$5,$G100&lt;CW$5+GanttPeriod),"◆",IF(AND($E100&gt;=CW$5,$E100&lt;CW$5+GanttPeriod),"◇","")),IF(AND(CW$5&lt;=$F100,CW$5+GanttPeriod-1&gt;=$E100),"━","")))</f>
        <v/>
      </c>
      <c r="CX100" s="69" t="str">
        <f aca="false">IF($E100="","",IF($M100,IF(AND($G100&gt;=CX$5,$G100&lt;CX$5+GanttPeriod),"◆",IF(AND($E100&gt;=CX$5,$E100&lt;CX$5+GanttPeriod),"◇","")),IF(AND(CX$5&lt;=$F100,CX$5+GanttPeriod-1&gt;=$E100),"━","")))</f>
        <v/>
      </c>
      <c r="CY100" s="69" t="str">
        <f aca="false">IF($E100="","",IF($M100,IF(AND($G100&gt;=CY$5,$G100&lt;CY$5+GanttPeriod),"◆",IF(AND($E100&gt;=CY$5,$E100&lt;CY$5+GanttPeriod),"◇","")),IF(AND(CY$5&lt;=$F100,CY$5+GanttPeriod-1&gt;=$E100),"━","")))</f>
        <v/>
      </c>
      <c r="CZ100" s="69" t="str">
        <f aca="false">IF($E100="","",IF($M100,IF(AND($G100&gt;=CZ$5,$G100&lt;CZ$5+GanttPeriod),"◆",IF(AND($E100&gt;=CZ$5,$E100&lt;CZ$5+GanttPeriod),"◇","")),IF(AND(CZ$5&lt;=$F100,CZ$5+GanttPeriod-1&gt;=$E100),"━","")))</f>
        <v/>
      </c>
      <c r="DA100" s="69" t="str">
        <f aca="false">IF($E100="","",IF($M100,IF(AND($G100&gt;=DA$5,$G100&lt;DA$5+GanttPeriod),"◆",IF(AND($E100&gt;=DA$5,$E100&lt;DA$5+GanttPeriod),"◇","")),IF(AND(DA$5&lt;=$F100,DA$5+GanttPeriod-1&gt;=$E100),"━","")))</f>
        <v/>
      </c>
      <c r="DB100" s="69" t="str">
        <f aca="false">IF($E100="","",IF($M100,IF(AND($G100&gt;=DB$5,$G100&lt;DB$5+GanttPeriod),"◆",IF(AND($E100&gt;=DB$5,$E100&lt;DB$5+GanttPeriod),"◇","")),IF(AND(DB$5&lt;=$F100,DB$5+GanttPeriod-1&gt;=$E100),"━","")))</f>
        <v/>
      </c>
      <c r="DC100" s="69" t="str">
        <f aca="false">IF($E100="","",IF($M100,IF(AND($G100&gt;=DC$5,$G100&lt;DC$5+GanttPeriod),"◆",IF(AND($E100&gt;=DC$5,$E100&lt;DC$5+GanttPeriod),"◇","")),IF(AND(DC$5&lt;=$F100,DC$5+GanttPeriod-1&gt;=$E100),"━","")))</f>
        <v/>
      </c>
      <c r="DD100" s="69" t="str">
        <f aca="false">IF($E100="","",IF($M100,IF(AND($G100&gt;=DD$5,$G100&lt;DD$5+GanttPeriod),"◆",IF(AND($E100&gt;=DD$5,$E100&lt;DD$5+GanttPeriod),"◇","")),IF(AND(DD$5&lt;=$F100,DD$5+GanttPeriod-1&gt;=$E100),"━","")))</f>
        <v/>
      </c>
      <c r="DE100" s="69" t="str">
        <f aca="false">IF($E100="","",IF($M100,IF(AND($G100&gt;=DE$5,$G100&lt;DE$5+GanttPeriod),"◆",IF(AND($E100&gt;=DE$5,$E100&lt;DE$5+GanttPeriod),"◇","")),IF(AND(DE$5&lt;=$F100,DE$5+GanttPeriod-1&gt;=$E100),"━","")))</f>
        <v/>
      </c>
      <c r="DF100" s="69" t="str">
        <f aca="false">IF($E100="","",IF($M100,IF(AND($G100&gt;=DF$5,$G100&lt;DF$5+GanttPeriod),"◆",IF(AND($E100&gt;=DF$5,$E100&lt;DF$5+GanttPeriod),"◇","")),IF(AND(DF$5&lt;=$F100,DF$5+GanttPeriod-1&gt;=$E100),"━","")))</f>
        <v/>
      </c>
      <c r="DG100" s="69" t="str">
        <f aca="false">IF($E100="","",IF($M100,IF(AND($G100&gt;=DG$5,$G100&lt;DG$5+GanttPeriod),"◆",IF(AND($E100&gt;=DG$5,$E100&lt;DG$5+GanttPeriod),"◇","")),IF(AND(DG$5&lt;=$F100,DG$5+GanttPeriod-1&gt;=$E100),"━","")))</f>
        <v/>
      </c>
      <c r="DH100" s="69" t="str">
        <f aca="false">IF($E100="","",IF($M100,IF(AND($G100&gt;=DH$5,$G100&lt;DH$5+GanttPeriod),"◆",IF(AND($E100&gt;=DH$5,$E100&lt;DH$5+GanttPeriod),"◇","")),IF(AND(DH$5&lt;=$F100,DH$5+GanttPeriod-1&gt;=$E100),"━","")))</f>
        <v/>
      </c>
      <c r="DI100" s="69" t="str">
        <f aca="false">IF($E100="","",IF($M100,IF(AND($G100&gt;=DI$5,$G100&lt;DI$5+GanttPeriod),"◆",IF(AND($E100&gt;=DI$5,$E100&lt;DI$5+GanttPeriod),"◇","")),IF(AND(DI$5&lt;=$F100,DI$5+GanttPeriod-1&gt;=$E100),"━","")))</f>
        <v/>
      </c>
      <c r="DJ100" s="69" t="str">
        <f aca="false">IF($E100="","",IF($M100,IF(AND($G100&gt;=DJ$5,$G100&lt;DJ$5+GanttPeriod),"◆",IF(AND($E100&gt;=DJ$5,$E100&lt;DJ$5+GanttPeriod),"◇","")),IF(AND(DJ$5&lt;=$F100,DJ$5+GanttPeriod-1&gt;=$E100),"━","")))</f>
        <v/>
      </c>
      <c r="DK100" s="69" t="str">
        <f aca="false">IF($E100="","",IF($M100,IF(AND($G100&gt;=DK$5,$G100&lt;DK$5+GanttPeriod),"◆",IF(AND($E100&gt;=DK$5,$E100&lt;DK$5+GanttPeriod),"◇","")),IF(AND(DK$5&lt;=$F100,DK$5+GanttPeriod-1&gt;=$E100),"━","")))</f>
        <v/>
      </c>
      <c r="DL100" s="69" t="str">
        <f aca="false">IF($E100="","",IF($M100,IF(AND($G100&gt;=DL$5,$G100&lt;DL$5+GanttPeriod),"◆",IF(AND($E100&gt;=DL$5,$E100&lt;DL$5+GanttPeriod),"◇","")),IF(AND(DL$5&lt;=$F100,DL$5+GanttPeriod-1&gt;=$E100),"━","")))</f>
        <v/>
      </c>
      <c r="DM100" s="69" t="str">
        <f aca="false">IF($E100="","",IF($M100,IF(AND($G100&gt;=DM$5,$G100&lt;DM$5+GanttPeriod),"◆",IF(AND($E100&gt;=DM$5,$E100&lt;DM$5+GanttPeriod),"◇","")),IF(AND(DM$5&lt;=$F100,DM$5+GanttPeriod-1&gt;=$E100),"━","")))</f>
        <v/>
      </c>
      <c r="DN100" s="69" t="str">
        <f aca="false">IF($E100="","",IF($M100,IF(AND($G100&gt;=DN$5,$G100&lt;DN$5+GanttPeriod),"◆",IF(AND($E100&gt;=DN$5,$E100&lt;DN$5+GanttPeriod),"◇","")),IF(AND(DN$5&lt;=$F100,DN$5+GanttPeriod-1&gt;=$E100),"━","")))</f>
        <v/>
      </c>
      <c r="DO100" s="69" t="str">
        <f aca="false">IF($E100="","",IF($M100,IF(AND($G100&gt;=DO$5,$G100&lt;DO$5+GanttPeriod),"◆",IF(AND($E100&gt;=DO$5,$E100&lt;DO$5+GanttPeriod),"◇","")),IF(AND(DO$5&lt;=$F100,DO$5+GanttPeriod-1&gt;=$E100),"━","")))</f>
        <v/>
      </c>
      <c r="DP100" s="69" t="str">
        <f aca="false">IF($E100="","",IF($M100,IF(AND($G100&gt;=DP$5,$G100&lt;DP$5+GanttPeriod),"◆",IF(AND($E100&gt;=DP$5,$E100&lt;DP$5+GanttPeriod),"◇","")),IF(AND(DP$5&lt;=$F100,DP$5+GanttPeriod-1&gt;=$E100),"━","")))</f>
        <v/>
      </c>
      <c r="DQ100" s="69" t="str">
        <f aca="false">IF($E100="","",IF($M100,IF(AND($G100&gt;=DQ$5,$G100&lt;DQ$5+GanttPeriod),"◆",IF(AND($E100&gt;=DQ$5,$E100&lt;DQ$5+GanttPeriod),"◇","")),IF(AND(DQ$5&lt;=$F100,DQ$5+GanttPeriod-1&gt;=$E100),"━","")))</f>
        <v/>
      </c>
      <c r="DR100" s="69" t="str">
        <f aca="false">IF($E100="","",IF($M100,IF(AND($G100&gt;=DR$5,$G100&lt;DR$5+GanttPeriod),"◆",IF(AND($E100&gt;=DR$5,$E100&lt;DR$5+GanttPeriod),"◇","")),IF(AND(DR$5&lt;=$F100,DR$5+GanttPeriod-1&gt;=$E100),"━","")))</f>
        <v/>
      </c>
      <c r="DS100" s="69" t="str">
        <f aca="false">IF($E100="","",IF($M100,IF(AND($G100&gt;=DS$5,$G100&lt;DS$5+GanttPeriod),"◆",IF(AND($E100&gt;=DS$5,$E100&lt;DS$5+GanttPeriod),"◇","")),IF(AND(DS$5&lt;=$F100,DS$5+GanttPeriod-1&gt;=$E100),"━","")))</f>
        <v/>
      </c>
      <c r="DT100" s="69" t="str">
        <f aca="false">IF($E100="","",IF($M100,IF(AND($G100&gt;=DT$5,$G100&lt;DT$5+GanttPeriod),"◆",IF(AND($E100&gt;=DT$5,$E100&lt;DT$5+GanttPeriod),"◇","")),IF(AND(DT$5&lt;=$F100,DT$5+GanttPeriod-1&gt;=$E100),"━","")))</f>
        <v/>
      </c>
      <c r="DU100" s="69" t="str">
        <f aca="false">IF($E100="","",IF($M100,IF(AND($G100&gt;=DU$5,$G100&lt;DU$5+GanttPeriod),"◆",IF(AND($E100&gt;=DU$5,$E100&lt;DU$5+GanttPeriod),"◇","")),IF(AND(DU$5&lt;=$F100,DU$5+GanttPeriod-1&gt;=$E100),"━","")))</f>
        <v/>
      </c>
      <c r="DV100" s="69" t="str">
        <f aca="false">IF($E100="","",IF($M100,IF(AND($G100&gt;=DV$5,$G100&lt;DV$5+GanttPeriod),"◆",IF(AND($E100&gt;=DV$5,$E100&lt;DV$5+GanttPeriod),"◇","")),IF(AND(DV$5&lt;=$F100,DV$5+GanttPeriod-1&gt;=$E100),"━","")))</f>
        <v/>
      </c>
      <c r="DW100" s="69" t="str">
        <f aca="false">IF($E100="","",IF($M100,IF(AND($G100&gt;=DW$5,$G100&lt;DW$5+GanttPeriod),"◆",IF(AND($E100&gt;=DW$5,$E100&lt;DW$5+GanttPeriod),"◇","")),IF(AND(DW$5&lt;=$F100,DW$5+GanttPeriod-1&gt;=$E100),"━","")))</f>
        <v/>
      </c>
      <c r="DX100" s="69" t="str">
        <f aca="false">IF($E100="","",IF($M100,IF(AND($G100&gt;=DX$5,$G100&lt;DX$5+GanttPeriod),"◆",IF(AND($E100&gt;=DX$5,$E100&lt;DX$5+GanttPeriod),"◇","")),IF(AND(DX$5&lt;=$F100,DX$5+GanttPeriod-1&gt;=$E100),"━","")))</f>
        <v/>
      </c>
      <c r="DY100" s="69" t="str">
        <f aca="false">IF($E100="","",IF($M100,IF(AND($G100&gt;=DY$5,$G100&lt;DY$5+GanttPeriod),"◆",IF(AND($E100&gt;=DY$5,$E100&lt;DY$5+GanttPeriod),"◇","")),IF(AND(DY$5&lt;=$F100,DY$5+GanttPeriod-1&gt;=$E100),"━","")))</f>
        <v/>
      </c>
      <c r="DZ100" s="69" t="str">
        <f aca="false">IF($E100="","",IF($M100,IF(AND($G100&gt;=DZ$5,$G100&lt;DZ$5+GanttPeriod),"◆",IF(AND($E100&gt;=DZ$5,$E100&lt;DZ$5+GanttPeriod),"◇","")),IF(AND(DZ$5&lt;=$F100,DZ$5+GanttPeriod-1&gt;=$E100),"━","")))</f>
        <v/>
      </c>
      <c r="EA100" s="69" t="str">
        <f aca="false">IF($E100="","",IF($M100,IF(AND($G100&gt;=EA$5,$G100&lt;EA$5+GanttPeriod),"◆",IF(AND($E100&gt;=EA$5,$E100&lt;EA$5+GanttPeriod),"◇","")),IF(AND(EA$5&lt;=$F100,EA$5+GanttPeriod-1&gt;=$E100),"━","")))</f>
        <v/>
      </c>
      <c r="EB100" s="69" t="str">
        <f aca="false">IF($E100="","",IF($M100,IF(AND($G100&gt;=EB$5,$G100&lt;EB$5+GanttPeriod),"◆",IF(AND($E100&gt;=EB$5,$E100&lt;EB$5+GanttPeriod),"◇","")),IF(AND(EB$5&lt;=$F100,EB$5+GanttPeriod-1&gt;=$E100),"━","")))</f>
        <v/>
      </c>
      <c r="EC100" s="69" t="str">
        <f aca="false">IF($E100="","",IF($M100,IF(AND($G100&gt;=EC$5,$G100&lt;EC$5+GanttPeriod),"◆",IF(AND($E100&gt;=EC$5,$E100&lt;EC$5+GanttPeriod),"◇","")),IF(AND(EC$5&lt;=$F100,EC$5+GanttPeriod-1&gt;=$E100),"━","")))</f>
        <v/>
      </c>
      <c r="ED100" s="69" t="str">
        <f aca="false">IF($E100="","",IF($M100,IF(AND($G100&gt;=ED$5,$G100&lt;ED$5+GanttPeriod),"◆",IF(AND($E100&gt;=ED$5,$E100&lt;ED$5+GanttPeriod),"◇","")),IF(AND(ED$5&lt;=$F100,ED$5+GanttPeriod-1&gt;=$E100),"━","")))</f>
        <v/>
      </c>
      <c r="EE100" s="69" t="str">
        <f aca="false">IF($E100="","",IF($M100,IF(AND($G100&gt;=EE$5,$G100&lt;EE$5+GanttPeriod),"◆",IF(AND($E100&gt;=EE$5,$E100&lt;EE$5+GanttPeriod),"◇","")),IF(AND(EE$5&lt;=$F100,EE$5+GanttPeriod-1&gt;=$E100),"━","")))</f>
        <v/>
      </c>
      <c r="EF100" s="69" t="str">
        <f aca="false">IF($E100="","",IF($M100,IF(AND($G100&gt;=EF$5,$G100&lt;EF$5+GanttPeriod),"◆",IF(AND($E100&gt;=EF$5,$E100&lt;EF$5+GanttPeriod),"◇","")),IF(AND(EF$5&lt;=$F100,EF$5+GanttPeriod-1&gt;=$E100),"━","")))</f>
        <v/>
      </c>
      <c r="EG100" s="69" t="str">
        <f aca="false">IF($E100="","",IF($M100,IF(AND($G100&gt;=EG$5,$G100&lt;EG$5+GanttPeriod),"◆",IF(AND($E100&gt;=EG$5,$E100&lt;EG$5+GanttPeriod),"◇","")),IF(AND(EG$5&lt;=$F100,EG$5+GanttPeriod-1&gt;=$E100),"━","")))</f>
        <v/>
      </c>
      <c r="EH100" s="69" t="str">
        <f aca="false">IF($E100="","",IF($M100,IF(AND($G100&gt;=EH$5,$G100&lt;EH$5+GanttPeriod),"◆",IF(AND($E100&gt;=EH$5,$E100&lt;EH$5+GanttPeriod),"◇","")),IF(AND(EH$5&lt;=$F100,EH$5+GanttPeriod-1&gt;=$E100),"━","")))</f>
        <v/>
      </c>
      <c r="EI100" s="69" t="str">
        <f aca="false">IF($E100="","",IF($M100,IF(AND($G100&gt;=EI$5,$G100&lt;EI$5+GanttPeriod),"◆",IF(AND($E100&gt;=EI$5,$E100&lt;EI$5+GanttPeriod),"◇","")),IF(AND(EI$5&lt;=$F100,EI$5+GanttPeriod-1&gt;=$E100),"━","")))</f>
        <v/>
      </c>
      <c r="EJ100" s="69" t="str">
        <f aca="false">IF($E100="","",IF($M100,IF(AND($G100&gt;=EJ$5,$G100&lt;EJ$5+GanttPeriod),"◆",IF(AND($E100&gt;=EJ$5,$E100&lt;EJ$5+GanttPeriod),"◇","")),IF(AND(EJ$5&lt;=$F100,EJ$5+GanttPeriod-1&gt;=$E100),"━","")))</f>
        <v/>
      </c>
      <c r="EK100" s="69" t="str">
        <f aca="false">IF($E100="","",IF($M100,IF(AND($G100&gt;=EK$5,$G100&lt;EK$5+GanttPeriod),"◆",IF(AND($E100&gt;=EK$5,$E100&lt;EK$5+GanttPeriod),"◇","")),IF(AND(EK$5&lt;=$F100,EK$5+GanttPeriod-1&gt;=$E100),"━","")))</f>
        <v/>
      </c>
      <c r="EL100" s="69" t="str">
        <f aca="false">IF($E100="","",IF($M100,IF(AND($G100&gt;=EL$5,$G100&lt;EL$5+GanttPeriod),"◆",IF(AND($E100&gt;=EL$5,$E100&lt;EL$5+GanttPeriod),"◇","")),IF(AND(EL$5&lt;=$F100,EL$5+GanttPeriod-1&gt;=$E100),"━","")))</f>
        <v/>
      </c>
      <c r="EM100" s="69" t="str">
        <f aca="false">IF($E100="","",IF($M100,IF(AND($G100&gt;=EM$5,$G100&lt;EM$5+GanttPeriod),"◆",IF(AND($E100&gt;=EM$5,$E100&lt;EM$5+GanttPeriod),"◇","")),IF(AND(EM$5&lt;=$F100,EM$5+GanttPeriod-1&gt;=$E100),"━","")))</f>
        <v/>
      </c>
      <c r="EN100" s="69" t="str">
        <f aca="false">IF($E100="","",IF($M100,IF(AND($G100&gt;=EN$5,$G100&lt;EN$5+GanttPeriod),"◆",IF(AND($E100&gt;=EN$5,$E100&lt;EN$5+GanttPeriod),"◇","")),IF(AND(EN$5&lt;=$F100,EN$5+GanttPeriod-1&gt;=$E100),"━","")))</f>
        <v/>
      </c>
      <c r="EO100" s="69" t="str">
        <f aca="false">IF($E100="","",IF($M100,IF(AND($G100&gt;=EO$5,$G100&lt;EO$5+GanttPeriod),"◆",IF(AND($E100&gt;=EO$5,$E100&lt;EO$5+GanttPeriod),"◇","")),IF(AND(EO$5&lt;=$F100,EO$5+GanttPeriod-1&gt;=$E100),"━","")))</f>
        <v/>
      </c>
      <c r="EP100" s="69" t="str">
        <f aca="false">IF($E100="","",IF($M100,IF(AND($G100&gt;=EP$5,$G100&lt;EP$5+GanttPeriod),"◆",IF(AND($E100&gt;=EP$5,$E100&lt;EP$5+GanttPeriod),"◇","")),IF(AND(EP$5&lt;=$F100,EP$5+GanttPeriod-1&gt;=$E100),"━","")))</f>
        <v/>
      </c>
      <c r="EQ100" s="69" t="str">
        <f aca="false">IF($E100="","",IF($M100,IF(AND($G100&gt;=EQ$5,$G100&lt;EQ$5+GanttPeriod),"◆",IF(AND($E100&gt;=EQ$5,$E100&lt;EQ$5+GanttPeriod),"◇","")),IF(AND(EQ$5&lt;=$F100,EQ$5+GanttPeriod-1&gt;=$E100),"━","")))</f>
        <v/>
      </c>
      <c r="ER100" s="69" t="str">
        <f aca="false">IF($E100="","",IF($M100,IF(AND($G100&gt;=ER$5,$G100&lt;ER$5+GanttPeriod),"◆",IF(AND($E100&gt;=ER$5,$E100&lt;ER$5+GanttPeriod),"◇","")),IF(AND(ER$5&lt;=$F100,ER$5+GanttPeriod-1&gt;=$E100),"━","")))</f>
        <v/>
      </c>
      <c r="ES100" s="69" t="str">
        <f aca="false">IF($E100="","",IF($M100,IF(AND($G100&gt;=ES$5,$G100&lt;ES$5+GanttPeriod),"◆",IF(AND($E100&gt;=ES$5,$E100&lt;ES$5+GanttPeriod),"◇","")),IF(AND(ES$5&lt;=$F100,ES$5+GanttPeriod-1&gt;=$E100),"━","")))</f>
        <v/>
      </c>
      <c r="ET100" s="69" t="str">
        <f aca="false">IF($E100="","",IF($M100,IF(AND($G100&gt;=ET$5,$G100&lt;ET$5+GanttPeriod),"◆",IF(AND($E100&gt;=ET$5,$E100&lt;ET$5+GanttPeriod),"◇","")),IF(AND(ET$5&lt;=$F100,ET$5+GanttPeriod-1&gt;=$E100),"━","")))</f>
        <v/>
      </c>
      <c r="EU100" s="69" t="str">
        <f aca="false">IF($E100="","",IF($M100,IF(AND($G100&gt;=EU$5,$G100&lt;EU$5+GanttPeriod),"◆",IF(AND($E100&gt;=EU$5,$E100&lt;EU$5+GanttPeriod),"◇","")),IF(AND(EU$5&lt;=$F100,EU$5+GanttPeriod-1&gt;=$E100),"━","")))</f>
        <v/>
      </c>
      <c r="EV100" s="69" t="str">
        <f aca="false">IF($E100="","",IF($M100,IF(AND($G100&gt;=EV$5,$G100&lt;EV$5+GanttPeriod),"◆",IF(AND($E100&gt;=EV$5,$E100&lt;EV$5+GanttPeriod),"◇","")),IF(AND(EV$5&lt;=$F100,EV$5+GanttPeriod-1&gt;=$E100),"━","")))</f>
        <v/>
      </c>
      <c r="EW100" s="69" t="str">
        <f aca="false">IF($E100="","",IF($M100,IF(AND($G100&gt;=EW$5,$G100&lt;EW$5+GanttPeriod),"◆",IF(AND($E100&gt;=EW$5,$E100&lt;EW$5+GanttPeriod),"◇","")),IF(AND(EW$5&lt;=$F100,EW$5+GanttPeriod-1&gt;=$E100),"━","")))</f>
        <v/>
      </c>
      <c r="EX100" s="69" t="str">
        <f aca="false">IF($E100="","",IF($M100,IF(AND($G100&gt;=EX$5,$G100&lt;EX$5+GanttPeriod),"◆",IF(AND($E100&gt;=EX$5,$E100&lt;EX$5+GanttPeriod),"◇","")),IF(AND(EX$5&lt;=$F100,EX$5+GanttPeriod-1&gt;=$E100),"━","")))</f>
        <v/>
      </c>
      <c r="EY100" s="69" t="str">
        <f aca="false">IF($E100="","",IF($M100,IF(AND($G100&gt;=EY$5,$G100&lt;EY$5+GanttPeriod),"◆",IF(AND($E100&gt;=EY$5,$E100&lt;EY$5+GanttPeriod),"◇","")),IF(AND(EY$5&lt;=$F100,EY$5+GanttPeriod-1&gt;=$E100),"━","")))</f>
        <v/>
      </c>
      <c r="EZ100" s="69" t="str">
        <f aca="false">IF($E100="","",IF($M100,IF(AND($G100&gt;=EZ$5,$G100&lt;EZ$5+GanttPeriod),"◆",IF(AND($E100&gt;=EZ$5,$E100&lt;EZ$5+GanttPeriod),"◇","")),IF(AND(EZ$5&lt;=$F100,EZ$5+GanttPeriod-1&gt;=$E100),"━","")))</f>
        <v/>
      </c>
      <c r="FA100" s="69" t="str">
        <f aca="false">IF($E100="","",IF($M100,IF(AND($G100&gt;=FA$5,$G100&lt;FA$5+GanttPeriod),"◆",IF(AND($E100&gt;=FA$5,$E100&lt;FA$5+GanttPeriod),"◇","")),IF(AND(FA$5&lt;=$F100,FA$5+GanttPeriod-1&gt;=$E100),"━","")))</f>
        <v/>
      </c>
      <c r="FB100" s="69" t="str">
        <f aca="false">IF($E100="","",IF($M100,IF(AND($G100&gt;=FB$5,$G100&lt;FB$5+GanttPeriod),"◆",IF(AND($E100&gt;=FB$5,$E100&lt;FB$5+GanttPeriod),"◇","")),IF(AND(FB$5&lt;=$F100,FB$5+GanttPeriod-1&gt;=$E100),"━","")))</f>
        <v/>
      </c>
      <c r="FC100" s="69" t="str">
        <f aca="false">IF($E100="","",IF($M100,IF(AND($G100&gt;=FC$5,$G100&lt;FC$5+GanttPeriod),"◆",IF(AND($E100&gt;=FC$5,$E100&lt;FC$5+GanttPeriod),"◇","")),IF(AND(FC$5&lt;=$F100,FC$5+GanttPeriod-1&gt;=$E100),"━","")))</f>
        <v/>
      </c>
      <c r="FD100" s="69" t="str">
        <f aca="false">IF($E100="","",IF($M100,IF(AND($G100&gt;=FD$5,$G100&lt;FD$5+GanttPeriod),"◆",IF(AND($E100&gt;=FD$5,$E100&lt;FD$5+GanttPeriod),"◇","")),IF(AND(FD$5&lt;=$F100,FD$5+GanttPeriod-1&gt;=$E100),"━","")))</f>
        <v/>
      </c>
      <c r="FE100" s="69" t="str">
        <f aca="false">IF($E100="","",IF($M100,IF(AND($G100&gt;=FE$5,$G100&lt;FE$5+GanttPeriod),"◆",IF(AND($E100&gt;=FE$5,$E100&lt;FE$5+GanttPeriod),"◇","")),IF(AND(FE$5&lt;=$F100,FE$5+GanttPeriod-1&gt;=$E100),"━","")))</f>
        <v/>
      </c>
      <c r="FF100" s="69" t="str">
        <f aca="false">IF($E100="","",IF($M100,IF(AND($G100&gt;=FF$5,$G100&lt;FF$5+GanttPeriod),"◆",IF(AND($E100&gt;=FF$5,$E100&lt;FF$5+GanttPeriod),"◇","")),IF(AND(FF$5&lt;=$F100,FF$5+GanttPeriod-1&gt;=$E100),"━","")))</f>
        <v/>
      </c>
      <c r="FG100" s="69" t="str">
        <f aca="false">IF($E100="","",IF($M100,IF(AND($G100&gt;=FG$5,$G100&lt;FG$5+GanttPeriod),"◆",IF(AND($E100&gt;=FG$5,$E100&lt;FG$5+GanttPeriod),"◇","")),IF(AND(FG$5&lt;=$F100,FG$5+GanttPeriod-1&gt;=$E100),"━","")))</f>
        <v/>
      </c>
      <c r="FH100" s="69" t="str">
        <f aca="false">IF($E100="","",IF($M100,IF(AND($G100&gt;=FH$5,$G100&lt;FH$5+GanttPeriod),"◆",IF(AND($E100&gt;=FH$5,$E100&lt;FH$5+GanttPeriod),"◇","")),IF(AND(FH$5&lt;=$F100,FH$5+GanttPeriod-1&gt;=$E100),"━","")))</f>
        <v/>
      </c>
      <c r="FI100" s="69" t="str">
        <f aca="false">IF($E100="","",IF($M100,IF(AND($G100&gt;=FI$5,$G100&lt;FI$5+GanttPeriod),"◆",IF(AND($E100&gt;=FI$5,$E100&lt;FI$5+GanttPeriod),"◇","")),IF(AND(FI$5&lt;=$F100,FI$5+GanttPeriod-1&gt;=$E100),"━","")))</f>
        <v/>
      </c>
      <c r="FJ100" s="69" t="str">
        <f aca="false">IF($E100="","",IF($M100,IF(AND($G100&gt;=FJ$5,$G100&lt;FJ$5+GanttPeriod),"◆",IF(AND($E100&gt;=FJ$5,$E100&lt;FJ$5+GanttPeriod),"◇","")),IF(AND(FJ$5&lt;=$F100,FJ$5+GanttPeriod-1&gt;=$E100),"━","")))</f>
        <v/>
      </c>
      <c r="FK100" s="69" t="str">
        <f aca="false">IF($E100="","",IF($M100,IF(AND($G100&gt;=FK$5,$G100&lt;FK$5+GanttPeriod),"◆",IF(AND($E100&gt;=FK$5,$E100&lt;FK$5+GanttPeriod),"◇","")),IF(AND(FK$5&lt;=$F100,FK$5+GanttPeriod-1&gt;=$E100),"━","")))</f>
        <v/>
      </c>
      <c r="FL100" s="69" t="str">
        <f aca="false">IF($E100="","",IF($M100,IF(AND($G100&gt;=FL$5,$G100&lt;FL$5+GanttPeriod),"◆",IF(AND($E100&gt;=FL$5,$E100&lt;FL$5+GanttPeriod),"◇","")),IF(AND(FL$5&lt;=$F100,FL$5+GanttPeriod-1&gt;=$E100),"━","")))</f>
        <v/>
      </c>
      <c r="FM100" s="69" t="str">
        <f aca="false">IF($E100="","",IF($M100,IF(AND($G100&gt;=FM$5,$G100&lt;FM$5+GanttPeriod),"◆",IF(AND($E100&gt;=FM$5,$E100&lt;FM$5+GanttPeriod),"◇","")),IF(AND(FM$5&lt;=$F100,FM$5+GanttPeriod-1&gt;=$E100),"━","")))</f>
        <v/>
      </c>
    </row>
    <row r="101" customFormat="false" ht="15" hidden="false" customHeight="false" outlineLevel="0" collapsed="false">
      <c r="A101" s="62" t="str">
        <f aca="false">IF(Tasks!$D101="","",Tasks!$A101)</f>
        <v/>
      </c>
      <c r="B101" s="62" t="str">
        <f aca="false">IF(Tasks!$D101="","",Tasks!$B101)</f>
        <v/>
      </c>
      <c r="C101" s="63" t="str">
        <f aca="false">IF(Tasks!$D101="","",REPT("    ",Tasks!$AE101-1)&amp;Tasks!$D101)</f>
        <v/>
      </c>
      <c r="D101" s="62" t="str">
        <f aca="false">IF(Tasks!$D101="","",IF(Tasks!$AI101,NETWORKDAYS.INTL(Tasks!$R101,Tasks!$S101,WorkWeek,Holidays),N(Tasks!$F101)))</f>
        <v/>
      </c>
      <c r="E101" s="64" t="str">
        <f aca="false">IF(Tasks!$D101="","",Tasks!$N101)</f>
        <v/>
      </c>
      <c r="F101" s="64" t="str">
        <f aca="false">IF(Tasks!$D101="","",Tasks!$O101)</f>
        <v/>
      </c>
      <c r="G101" s="64" t="str">
        <f aca="false">IF(Tasks!$D101="","",Tasks!$R101)</f>
        <v/>
      </c>
      <c r="H101" s="64" t="str">
        <f aca="false">IF(Tasks!$D101="","",Tasks!$S101)</f>
        <v/>
      </c>
      <c r="I101" s="65" t="str">
        <f aca="false">IF(Tasks!$D101="","",Tasks!$V101)</f>
        <v/>
      </c>
      <c r="J101" s="63" t="str">
        <f aca="false">IF(Tasks!$D101="","",Tasks!$X101&amp;"")</f>
        <v/>
      </c>
      <c r="K101" s="66" t="str">
        <f aca="false">IF(Tasks!$D101="","",Tasks!$W101)</f>
        <v/>
      </c>
      <c r="L101" s="67" t="b">
        <f aca="false">IF(Tasks!$D101="",FALSE(),Tasks!$AI101)</f>
        <v>0</v>
      </c>
      <c r="M101" s="67" t="b">
        <f aca="false">AND(Tasks!$AJ101=1,N(Tasks!$F101)=0)</f>
        <v>0</v>
      </c>
      <c r="N101" s="68" t="n">
        <f aca="false">IF(AND(Tasks!$AJ101=1,NOT($M101),N($I101)&gt;0),$G101,0)</f>
        <v>0</v>
      </c>
      <c r="O101" s="68" t="n">
        <f aca="false">IF($N101=0,0,IF($I101&gt;=1,$H101,MAX($N101,$G101+ROUND(($H101-$G101+1)*$I101,0)-1)))</f>
        <v>0</v>
      </c>
      <c r="P101" s="68" t="n">
        <f aca="false">IF(OR(Tasks!$AJ101&lt;&gt;1,$M101,N($I101)&gt;=1),0,IF($O101&gt;0,$O101+1,$G101))</f>
        <v>0</v>
      </c>
      <c r="Q101" s="68" t="n">
        <f aca="false">IF($P101=0,0,$H101)</f>
        <v>0</v>
      </c>
      <c r="R101" s="67" t="b">
        <f aca="false">AND(Tasks!$D101&lt;&gt;"",N(Tasks!$T101)&gt;0)</f>
        <v>0</v>
      </c>
      <c r="T101" s="69" t="str">
        <f aca="false">IF($E101="","",IF($M101,IF(AND($G101&gt;=T$5,$G101&lt;T$5+GanttPeriod),"◆",IF(AND($E101&gt;=T$5,$E101&lt;T$5+GanttPeriod),"◇","")),IF(AND(T$5&lt;=$F101,T$5+GanttPeriod-1&gt;=$E101),"━","")))</f>
        <v/>
      </c>
      <c r="U101" s="69" t="str">
        <f aca="false">IF($E101="","",IF($M101,IF(AND($G101&gt;=U$5,$G101&lt;U$5+GanttPeriod),"◆",IF(AND($E101&gt;=U$5,$E101&lt;U$5+GanttPeriod),"◇","")),IF(AND(U$5&lt;=$F101,U$5+GanttPeriod-1&gt;=$E101),"━","")))</f>
        <v/>
      </c>
      <c r="V101" s="69" t="str">
        <f aca="false">IF($E101="","",IF($M101,IF(AND($G101&gt;=V$5,$G101&lt;V$5+GanttPeriod),"◆",IF(AND($E101&gt;=V$5,$E101&lt;V$5+GanttPeriod),"◇","")),IF(AND(V$5&lt;=$F101,V$5+GanttPeriod-1&gt;=$E101),"━","")))</f>
        <v/>
      </c>
      <c r="W101" s="69" t="str">
        <f aca="false">IF($E101="","",IF($M101,IF(AND($G101&gt;=W$5,$G101&lt;W$5+GanttPeriod),"◆",IF(AND($E101&gt;=W$5,$E101&lt;W$5+GanttPeriod),"◇","")),IF(AND(W$5&lt;=$F101,W$5+GanttPeriod-1&gt;=$E101),"━","")))</f>
        <v/>
      </c>
      <c r="X101" s="69" t="str">
        <f aca="false">IF($E101="","",IF($M101,IF(AND($G101&gt;=X$5,$G101&lt;X$5+GanttPeriod),"◆",IF(AND($E101&gt;=X$5,$E101&lt;X$5+GanttPeriod),"◇","")),IF(AND(X$5&lt;=$F101,X$5+GanttPeriod-1&gt;=$E101),"━","")))</f>
        <v/>
      </c>
      <c r="Y101" s="69" t="str">
        <f aca="false">IF($E101="","",IF($M101,IF(AND($G101&gt;=Y$5,$G101&lt;Y$5+GanttPeriod),"◆",IF(AND($E101&gt;=Y$5,$E101&lt;Y$5+GanttPeriod),"◇","")),IF(AND(Y$5&lt;=$F101,Y$5+GanttPeriod-1&gt;=$E101),"━","")))</f>
        <v/>
      </c>
      <c r="Z101" s="69" t="str">
        <f aca="false">IF($E101="","",IF($M101,IF(AND($G101&gt;=Z$5,$G101&lt;Z$5+GanttPeriod),"◆",IF(AND($E101&gt;=Z$5,$E101&lt;Z$5+GanttPeriod),"◇","")),IF(AND(Z$5&lt;=$F101,Z$5+GanttPeriod-1&gt;=$E101),"━","")))</f>
        <v/>
      </c>
      <c r="AA101" s="69" t="str">
        <f aca="false">IF($E101="","",IF($M101,IF(AND($G101&gt;=AA$5,$G101&lt;AA$5+GanttPeriod),"◆",IF(AND($E101&gt;=AA$5,$E101&lt;AA$5+GanttPeriod),"◇","")),IF(AND(AA$5&lt;=$F101,AA$5+GanttPeriod-1&gt;=$E101),"━","")))</f>
        <v/>
      </c>
      <c r="AB101" s="69" t="str">
        <f aca="false">IF($E101="","",IF($M101,IF(AND($G101&gt;=AB$5,$G101&lt;AB$5+GanttPeriod),"◆",IF(AND($E101&gt;=AB$5,$E101&lt;AB$5+GanttPeriod),"◇","")),IF(AND(AB$5&lt;=$F101,AB$5+GanttPeriod-1&gt;=$E101),"━","")))</f>
        <v/>
      </c>
      <c r="AC101" s="69" t="str">
        <f aca="false">IF($E101="","",IF($M101,IF(AND($G101&gt;=AC$5,$G101&lt;AC$5+GanttPeriod),"◆",IF(AND($E101&gt;=AC$5,$E101&lt;AC$5+GanttPeriod),"◇","")),IF(AND(AC$5&lt;=$F101,AC$5+GanttPeriod-1&gt;=$E101),"━","")))</f>
        <v/>
      </c>
      <c r="AD101" s="69" t="str">
        <f aca="false">IF($E101="","",IF($M101,IF(AND($G101&gt;=AD$5,$G101&lt;AD$5+GanttPeriod),"◆",IF(AND($E101&gt;=AD$5,$E101&lt;AD$5+GanttPeriod),"◇","")),IF(AND(AD$5&lt;=$F101,AD$5+GanttPeriod-1&gt;=$E101),"━","")))</f>
        <v/>
      </c>
      <c r="AE101" s="69" t="str">
        <f aca="false">IF($E101="","",IF($M101,IF(AND($G101&gt;=AE$5,$G101&lt;AE$5+GanttPeriod),"◆",IF(AND($E101&gt;=AE$5,$E101&lt;AE$5+GanttPeriod),"◇","")),IF(AND(AE$5&lt;=$F101,AE$5+GanttPeriod-1&gt;=$E101),"━","")))</f>
        <v/>
      </c>
      <c r="AF101" s="69" t="str">
        <f aca="false">IF($E101="","",IF($M101,IF(AND($G101&gt;=AF$5,$G101&lt;AF$5+GanttPeriod),"◆",IF(AND($E101&gt;=AF$5,$E101&lt;AF$5+GanttPeriod),"◇","")),IF(AND(AF$5&lt;=$F101,AF$5+GanttPeriod-1&gt;=$E101),"━","")))</f>
        <v/>
      </c>
      <c r="AG101" s="69" t="str">
        <f aca="false">IF($E101="","",IF($M101,IF(AND($G101&gt;=AG$5,$G101&lt;AG$5+GanttPeriod),"◆",IF(AND($E101&gt;=AG$5,$E101&lt;AG$5+GanttPeriod),"◇","")),IF(AND(AG$5&lt;=$F101,AG$5+GanttPeriod-1&gt;=$E101),"━","")))</f>
        <v/>
      </c>
      <c r="AH101" s="69" t="str">
        <f aca="false">IF($E101="","",IF($M101,IF(AND($G101&gt;=AH$5,$G101&lt;AH$5+GanttPeriod),"◆",IF(AND($E101&gt;=AH$5,$E101&lt;AH$5+GanttPeriod),"◇","")),IF(AND(AH$5&lt;=$F101,AH$5+GanttPeriod-1&gt;=$E101),"━","")))</f>
        <v/>
      </c>
      <c r="AI101" s="69" t="str">
        <f aca="false">IF($E101="","",IF($M101,IF(AND($G101&gt;=AI$5,$G101&lt;AI$5+GanttPeriod),"◆",IF(AND($E101&gt;=AI$5,$E101&lt;AI$5+GanttPeriod),"◇","")),IF(AND(AI$5&lt;=$F101,AI$5+GanttPeriod-1&gt;=$E101),"━","")))</f>
        <v/>
      </c>
      <c r="AJ101" s="69" t="str">
        <f aca="false">IF($E101="","",IF($M101,IF(AND($G101&gt;=AJ$5,$G101&lt;AJ$5+GanttPeriod),"◆",IF(AND($E101&gt;=AJ$5,$E101&lt;AJ$5+GanttPeriod),"◇","")),IF(AND(AJ$5&lt;=$F101,AJ$5+GanttPeriod-1&gt;=$E101),"━","")))</f>
        <v/>
      </c>
      <c r="AK101" s="69" t="str">
        <f aca="false">IF($E101="","",IF($M101,IF(AND($G101&gt;=AK$5,$G101&lt;AK$5+GanttPeriod),"◆",IF(AND($E101&gt;=AK$5,$E101&lt;AK$5+GanttPeriod),"◇","")),IF(AND(AK$5&lt;=$F101,AK$5+GanttPeriod-1&gt;=$E101),"━","")))</f>
        <v/>
      </c>
      <c r="AL101" s="69" t="str">
        <f aca="false">IF($E101="","",IF($M101,IF(AND($G101&gt;=AL$5,$G101&lt;AL$5+GanttPeriod),"◆",IF(AND($E101&gt;=AL$5,$E101&lt;AL$5+GanttPeriod),"◇","")),IF(AND(AL$5&lt;=$F101,AL$5+GanttPeriod-1&gt;=$E101),"━","")))</f>
        <v/>
      </c>
      <c r="AM101" s="69" t="str">
        <f aca="false">IF($E101="","",IF($M101,IF(AND($G101&gt;=AM$5,$G101&lt;AM$5+GanttPeriod),"◆",IF(AND($E101&gt;=AM$5,$E101&lt;AM$5+GanttPeriod),"◇","")),IF(AND(AM$5&lt;=$F101,AM$5+GanttPeriod-1&gt;=$E101),"━","")))</f>
        <v/>
      </c>
      <c r="AN101" s="69" t="str">
        <f aca="false">IF($E101="","",IF($M101,IF(AND($G101&gt;=AN$5,$G101&lt;AN$5+GanttPeriod),"◆",IF(AND($E101&gt;=AN$5,$E101&lt;AN$5+GanttPeriod),"◇","")),IF(AND(AN$5&lt;=$F101,AN$5+GanttPeriod-1&gt;=$E101),"━","")))</f>
        <v/>
      </c>
      <c r="AO101" s="69" t="str">
        <f aca="false">IF($E101="","",IF($M101,IF(AND($G101&gt;=AO$5,$G101&lt;AO$5+GanttPeriod),"◆",IF(AND($E101&gt;=AO$5,$E101&lt;AO$5+GanttPeriod),"◇","")),IF(AND(AO$5&lt;=$F101,AO$5+GanttPeriod-1&gt;=$E101),"━","")))</f>
        <v/>
      </c>
      <c r="AP101" s="69" t="str">
        <f aca="false">IF($E101="","",IF($M101,IF(AND($G101&gt;=AP$5,$G101&lt;AP$5+GanttPeriod),"◆",IF(AND($E101&gt;=AP$5,$E101&lt;AP$5+GanttPeriod),"◇","")),IF(AND(AP$5&lt;=$F101,AP$5+GanttPeriod-1&gt;=$E101),"━","")))</f>
        <v/>
      </c>
      <c r="AQ101" s="69" t="str">
        <f aca="false">IF($E101="","",IF($M101,IF(AND($G101&gt;=AQ$5,$G101&lt;AQ$5+GanttPeriod),"◆",IF(AND($E101&gt;=AQ$5,$E101&lt;AQ$5+GanttPeriod),"◇","")),IF(AND(AQ$5&lt;=$F101,AQ$5+GanttPeriod-1&gt;=$E101),"━","")))</f>
        <v/>
      </c>
      <c r="AR101" s="69" t="str">
        <f aca="false">IF($E101="","",IF($M101,IF(AND($G101&gt;=AR$5,$G101&lt;AR$5+GanttPeriod),"◆",IF(AND($E101&gt;=AR$5,$E101&lt;AR$5+GanttPeriod),"◇","")),IF(AND(AR$5&lt;=$F101,AR$5+GanttPeriod-1&gt;=$E101),"━","")))</f>
        <v/>
      </c>
      <c r="AS101" s="69" t="str">
        <f aca="false">IF($E101="","",IF($M101,IF(AND($G101&gt;=AS$5,$G101&lt;AS$5+GanttPeriod),"◆",IF(AND($E101&gt;=AS$5,$E101&lt;AS$5+GanttPeriod),"◇","")),IF(AND(AS$5&lt;=$F101,AS$5+GanttPeriod-1&gt;=$E101),"━","")))</f>
        <v/>
      </c>
      <c r="AT101" s="69" t="str">
        <f aca="false">IF($E101="","",IF($M101,IF(AND($G101&gt;=AT$5,$G101&lt;AT$5+GanttPeriod),"◆",IF(AND($E101&gt;=AT$5,$E101&lt;AT$5+GanttPeriod),"◇","")),IF(AND(AT$5&lt;=$F101,AT$5+GanttPeriod-1&gt;=$E101),"━","")))</f>
        <v/>
      </c>
      <c r="AU101" s="69" t="str">
        <f aca="false">IF($E101="","",IF($M101,IF(AND($G101&gt;=AU$5,$G101&lt;AU$5+GanttPeriod),"◆",IF(AND($E101&gt;=AU$5,$E101&lt;AU$5+GanttPeriod),"◇","")),IF(AND(AU$5&lt;=$F101,AU$5+GanttPeriod-1&gt;=$E101),"━","")))</f>
        <v/>
      </c>
      <c r="AV101" s="69" t="str">
        <f aca="false">IF($E101="","",IF($M101,IF(AND($G101&gt;=AV$5,$G101&lt;AV$5+GanttPeriod),"◆",IF(AND($E101&gt;=AV$5,$E101&lt;AV$5+GanttPeriod),"◇","")),IF(AND(AV$5&lt;=$F101,AV$5+GanttPeriod-1&gt;=$E101),"━","")))</f>
        <v/>
      </c>
      <c r="AW101" s="69" t="str">
        <f aca="false">IF($E101="","",IF($M101,IF(AND($G101&gt;=AW$5,$G101&lt;AW$5+GanttPeriod),"◆",IF(AND($E101&gt;=AW$5,$E101&lt;AW$5+GanttPeriod),"◇","")),IF(AND(AW$5&lt;=$F101,AW$5+GanttPeriod-1&gt;=$E101),"━","")))</f>
        <v/>
      </c>
      <c r="AX101" s="69" t="str">
        <f aca="false">IF($E101="","",IF($M101,IF(AND($G101&gt;=AX$5,$G101&lt;AX$5+GanttPeriod),"◆",IF(AND($E101&gt;=AX$5,$E101&lt;AX$5+GanttPeriod),"◇","")),IF(AND(AX$5&lt;=$F101,AX$5+GanttPeriod-1&gt;=$E101),"━","")))</f>
        <v/>
      </c>
      <c r="AY101" s="69" t="str">
        <f aca="false">IF($E101="","",IF($M101,IF(AND($G101&gt;=AY$5,$G101&lt;AY$5+GanttPeriod),"◆",IF(AND($E101&gt;=AY$5,$E101&lt;AY$5+GanttPeriod),"◇","")),IF(AND(AY$5&lt;=$F101,AY$5+GanttPeriod-1&gt;=$E101),"━","")))</f>
        <v/>
      </c>
      <c r="AZ101" s="69" t="str">
        <f aca="false">IF($E101="","",IF($M101,IF(AND($G101&gt;=AZ$5,$G101&lt;AZ$5+GanttPeriod),"◆",IF(AND($E101&gt;=AZ$5,$E101&lt;AZ$5+GanttPeriod),"◇","")),IF(AND(AZ$5&lt;=$F101,AZ$5+GanttPeriod-1&gt;=$E101),"━","")))</f>
        <v/>
      </c>
      <c r="BA101" s="69" t="str">
        <f aca="false">IF($E101="","",IF($M101,IF(AND($G101&gt;=BA$5,$G101&lt;BA$5+GanttPeriod),"◆",IF(AND($E101&gt;=BA$5,$E101&lt;BA$5+GanttPeriod),"◇","")),IF(AND(BA$5&lt;=$F101,BA$5+GanttPeriod-1&gt;=$E101),"━","")))</f>
        <v/>
      </c>
      <c r="BB101" s="69" t="str">
        <f aca="false">IF($E101="","",IF($M101,IF(AND($G101&gt;=BB$5,$G101&lt;BB$5+GanttPeriod),"◆",IF(AND($E101&gt;=BB$5,$E101&lt;BB$5+GanttPeriod),"◇","")),IF(AND(BB$5&lt;=$F101,BB$5+GanttPeriod-1&gt;=$E101),"━","")))</f>
        <v/>
      </c>
      <c r="BC101" s="69" t="str">
        <f aca="false">IF($E101="","",IF($M101,IF(AND($G101&gt;=BC$5,$G101&lt;BC$5+GanttPeriod),"◆",IF(AND($E101&gt;=BC$5,$E101&lt;BC$5+GanttPeriod),"◇","")),IF(AND(BC$5&lt;=$F101,BC$5+GanttPeriod-1&gt;=$E101),"━","")))</f>
        <v/>
      </c>
      <c r="BD101" s="69" t="str">
        <f aca="false">IF($E101="","",IF($M101,IF(AND($G101&gt;=BD$5,$G101&lt;BD$5+GanttPeriod),"◆",IF(AND($E101&gt;=BD$5,$E101&lt;BD$5+GanttPeriod),"◇","")),IF(AND(BD$5&lt;=$F101,BD$5+GanttPeriod-1&gt;=$E101),"━","")))</f>
        <v/>
      </c>
      <c r="BE101" s="69" t="str">
        <f aca="false">IF($E101="","",IF($M101,IF(AND($G101&gt;=BE$5,$G101&lt;BE$5+GanttPeriod),"◆",IF(AND($E101&gt;=BE$5,$E101&lt;BE$5+GanttPeriod),"◇","")),IF(AND(BE$5&lt;=$F101,BE$5+GanttPeriod-1&gt;=$E101),"━","")))</f>
        <v/>
      </c>
      <c r="BF101" s="69" t="str">
        <f aca="false">IF($E101="","",IF($M101,IF(AND($G101&gt;=BF$5,$G101&lt;BF$5+GanttPeriod),"◆",IF(AND($E101&gt;=BF$5,$E101&lt;BF$5+GanttPeriod),"◇","")),IF(AND(BF$5&lt;=$F101,BF$5+GanttPeriod-1&gt;=$E101),"━","")))</f>
        <v/>
      </c>
      <c r="BG101" s="69" t="str">
        <f aca="false">IF($E101="","",IF($M101,IF(AND($G101&gt;=BG$5,$G101&lt;BG$5+GanttPeriod),"◆",IF(AND($E101&gt;=BG$5,$E101&lt;BG$5+GanttPeriod),"◇","")),IF(AND(BG$5&lt;=$F101,BG$5+GanttPeriod-1&gt;=$E101),"━","")))</f>
        <v/>
      </c>
      <c r="BH101" s="69" t="str">
        <f aca="false">IF($E101="","",IF($M101,IF(AND($G101&gt;=BH$5,$G101&lt;BH$5+GanttPeriod),"◆",IF(AND($E101&gt;=BH$5,$E101&lt;BH$5+GanttPeriod),"◇","")),IF(AND(BH$5&lt;=$F101,BH$5+GanttPeriod-1&gt;=$E101),"━","")))</f>
        <v/>
      </c>
      <c r="BI101" s="69" t="str">
        <f aca="false">IF($E101="","",IF($M101,IF(AND($G101&gt;=BI$5,$G101&lt;BI$5+GanttPeriod),"◆",IF(AND($E101&gt;=BI$5,$E101&lt;BI$5+GanttPeriod),"◇","")),IF(AND(BI$5&lt;=$F101,BI$5+GanttPeriod-1&gt;=$E101),"━","")))</f>
        <v/>
      </c>
      <c r="BJ101" s="69" t="str">
        <f aca="false">IF($E101="","",IF($M101,IF(AND($G101&gt;=BJ$5,$G101&lt;BJ$5+GanttPeriod),"◆",IF(AND($E101&gt;=BJ$5,$E101&lt;BJ$5+GanttPeriod),"◇","")),IF(AND(BJ$5&lt;=$F101,BJ$5+GanttPeriod-1&gt;=$E101),"━","")))</f>
        <v/>
      </c>
      <c r="BK101" s="69" t="str">
        <f aca="false">IF($E101="","",IF($M101,IF(AND($G101&gt;=BK$5,$G101&lt;BK$5+GanttPeriod),"◆",IF(AND($E101&gt;=BK$5,$E101&lt;BK$5+GanttPeriod),"◇","")),IF(AND(BK$5&lt;=$F101,BK$5+GanttPeriod-1&gt;=$E101),"━","")))</f>
        <v/>
      </c>
      <c r="BL101" s="69" t="str">
        <f aca="false">IF($E101="","",IF($M101,IF(AND($G101&gt;=BL$5,$G101&lt;BL$5+GanttPeriod),"◆",IF(AND($E101&gt;=BL$5,$E101&lt;BL$5+GanttPeriod),"◇","")),IF(AND(BL$5&lt;=$F101,BL$5+GanttPeriod-1&gt;=$E101),"━","")))</f>
        <v/>
      </c>
      <c r="BM101" s="69" t="str">
        <f aca="false">IF($E101="","",IF($M101,IF(AND($G101&gt;=BM$5,$G101&lt;BM$5+GanttPeriod),"◆",IF(AND($E101&gt;=BM$5,$E101&lt;BM$5+GanttPeriod),"◇","")),IF(AND(BM$5&lt;=$F101,BM$5+GanttPeriod-1&gt;=$E101),"━","")))</f>
        <v/>
      </c>
      <c r="BN101" s="69" t="str">
        <f aca="false">IF($E101="","",IF($M101,IF(AND($G101&gt;=BN$5,$G101&lt;BN$5+GanttPeriod),"◆",IF(AND($E101&gt;=BN$5,$E101&lt;BN$5+GanttPeriod),"◇","")),IF(AND(BN$5&lt;=$F101,BN$5+GanttPeriod-1&gt;=$E101),"━","")))</f>
        <v/>
      </c>
      <c r="BO101" s="69" t="str">
        <f aca="false">IF($E101="","",IF($M101,IF(AND($G101&gt;=BO$5,$G101&lt;BO$5+GanttPeriod),"◆",IF(AND($E101&gt;=BO$5,$E101&lt;BO$5+GanttPeriod),"◇","")),IF(AND(BO$5&lt;=$F101,BO$5+GanttPeriod-1&gt;=$E101),"━","")))</f>
        <v/>
      </c>
      <c r="BP101" s="69" t="str">
        <f aca="false">IF($E101="","",IF($M101,IF(AND($G101&gt;=BP$5,$G101&lt;BP$5+GanttPeriod),"◆",IF(AND($E101&gt;=BP$5,$E101&lt;BP$5+GanttPeriod),"◇","")),IF(AND(BP$5&lt;=$F101,BP$5+GanttPeriod-1&gt;=$E101),"━","")))</f>
        <v/>
      </c>
      <c r="BQ101" s="69" t="str">
        <f aca="false">IF($E101="","",IF($M101,IF(AND($G101&gt;=BQ$5,$G101&lt;BQ$5+GanttPeriod),"◆",IF(AND($E101&gt;=BQ$5,$E101&lt;BQ$5+GanttPeriod),"◇","")),IF(AND(BQ$5&lt;=$F101,BQ$5+GanttPeriod-1&gt;=$E101),"━","")))</f>
        <v/>
      </c>
      <c r="BR101" s="69" t="str">
        <f aca="false">IF($E101="","",IF($M101,IF(AND($G101&gt;=BR$5,$G101&lt;BR$5+GanttPeriod),"◆",IF(AND($E101&gt;=BR$5,$E101&lt;BR$5+GanttPeriod),"◇","")),IF(AND(BR$5&lt;=$F101,BR$5+GanttPeriod-1&gt;=$E101),"━","")))</f>
        <v/>
      </c>
      <c r="BS101" s="69" t="str">
        <f aca="false">IF($E101="","",IF($M101,IF(AND($G101&gt;=BS$5,$G101&lt;BS$5+GanttPeriod),"◆",IF(AND($E101&gt;=BS$5,$E101&lt;BS$5+GanttPeriod),"◇","")),IF(AND(BS$5&lt;=$F101,BS$5+GanttPeriod-1&gt;=$E101),"━","")))</f>
        <v/>
      </c>
      <c r="BT101" s="69" t="str">
        <f aca="false">IF($E101="","",IF($M101,IF(AND($G101&gt;=BT$5,$G101&lt;BT$5+GanttPeriod),"◆",IF(AND($E101&gt;=BT$5,$E101&lt;BT$5+GanttPeriod),"◇","")),IF(AND(BT$5&lt;=$F101,BT$5+GanttPeriod-1&gt;=$E101),"━","")))</f>
        <v/>
      </c>
      <c r="BU101" s="69" t="str">
        <f aca="false">IF($E101="","",IF($M101,IF(AND($G101&gt;=BU$5,$G101&lt;BU$5+GanttPeriod),"◆",IF(AND($E101&gt;=BU$5,$E101&lt;BU$5+GanttPeriod),"◇","")),IF(AND(BU$5&lt;=$F101,BU$5+GanttPeriod-1&gt;=$E101),"━","")))</f>
        <v/>
      </c>
      <c r="BV101" s="69" t="str">
        <f aca="false">IF($E101="","",IF($M101,IF(AND($G101&gt;=BV$5,$G101&lt;BV$5+GanttPeriod),"◆",IF(AND($E101&gt;=BV$5,$E101&lt;BV$5+GanttPeriod),"◇","")),IF(AND(BV$5&lt;=$F101,BV$5+GanttPeriod-1&gt;=$E101),"━","")))</f>
        <v/>
      </c>
      <c r="BW101" s="69" t="str">
        <f aca="false">IF($E101="","",IF($M101,IF(AND($G101&gt;=BW$5,$G101&lt;BW$5+GanttPeriod),"◆",IF(AND($E101&gt;=BW$5,$E101&lt;BW$5+GanttPeriod),"◇","")),IF(AND(BW$5&lt;=$F101,BW$5+GanttPeriod-1&gt;=$E101),"━","")))</f>
        <v/>
      </c>
      <c r="BX101" s="69" t="str">
        <f aca="false">IF($E101="","",IF($M101,IF(AND($G101&gt;=BX$5,$G101&lt;BX$5+GanttPeriod),"◆",IF(AND($E101&gt;=BX$5,$E101&lt;BX$5+GanttPeriod),"◇","")),IF(AND(BX$5&lt;=$F101,BX$5+GanttPeriod-1&gt;=$E101),"━","")))</f>
        <v/>
      </c>
      <c r="BY101" s="69" t="str">
        <f aca="false">IF($E101="","",IF($M101,IF(AND($G101&gt;=BY$5,$G101&lt;BY$5+GanttPeriod),"◆",IF(AND($E101&gt;=BY$5,$E101&lt;BY$5+GanttPeriod),"◇","")),IF(AND(BY$5&lt;=$F101,BY$5+GanttPeriod-1&gt;=$E101),"━","")))</f>
        <v/>
      </c>
      <c r="BZ101" s="69" t="str">
        <f aca="false">IF($E101="","",IF($M101,IF(AND($G101&gt;=BZ$5,$G101&lt;BZ$5+GanttPeriod),"◆",IF(AND($E101&gt;=BZ$5,$E101&lt;BZ$5+GanttPeriod),"◇","")),IF(AND(BZ$5&lt;=$F101,BZ$5+GanttPeriod-1&gt;=$E101),"━","")))</f>
        <v/>
      </c>
      <c r="CA101" s="69" t="str">
        <f aca="false">IF($E101="","",IF($M101,IF(AND($G101&gt;=CA$5,$G101&lt;CA$5+GanttPeriod),"◆",IF(AND($E101&gt;=CA$5,$E101&lt;CA$5+GanttPeriod),"◇","")),IF(AND(CA$5&lt;=$F101,CA$5+GanttPeriod-1&gt;=$E101),"━","")))</f>
        <v/>
      </c>
      <c r="CB101" s="69" t="str">
        <f aca="false">IF($E101="","",IF($M101,IF(AND($G101&gt;=CB$5,$G101&lt;CB$5+GanttPeriod),"◆",IF(AND($E101&gt;=CB$5,$E101&lt;CB$5+GanttPeriod),"◇","")),IF(AND(CB$5&lt;=$F101,CB$5+GanttPeriod-1&gt;=$E101),"━","")))</f>
        <v/>
      </c>
      <c r="CC101" s="69" t="str">
        <f aca="false">IF($E101="","",IF($M101,IF(AND($G101&gt;=CC$5,$G101&lt;CC$5+GanttPeriod),"◆",IF(AND($E101&gt;=CC$5,$E101&lt;CC$5+GanttPeriod),"◇","")),IF(AND(CC$5&lt;=$F101,CC$5+GanttPeriod-1&gt;=$E101),"━","")))</f>
        <v/>
      </c>
      <c r="CD101" s="69" t="str">
        <f aca="false">IF($E101="","",IF($M101,IF(AND($G101&gt;=CD$5,$G101&lt;CD$5+GanttPeriod),"◆",IF(AND($E101&gt;=CD$5,$E101&lt;CD$5+GanttPeriod),"◇","")),IF(AND(CD$5&lt;=$F101,CD$5+GanttPeriod-1&gt;=$E101),"━","")))</f>
        <v/>
      </c>
      <c r="CE101" s="69" t="str">
        <f aca="false">IF($E101="","",IF($M101,IF(AND($G101&gt;=CE$5,$G101&lt;CE$5+GanttPeriod),"◆",IF(AND($E101&gt;=CE$5,$E101&lt;CE$5+GanttPeriod),"◇","")),IF(AND(CE$5&lt;=$F101,CE$5+GanttPeriod-1&gt;=$E101),"━","")))</f>
        <v/>
      </c>
      <c r="CF101" s="69" t="str">
        <f aca="false">IF($E101="","",IF($M101,IF(AND($G101&gt;=CF$5,$G101&lt;CF$5+GanttPeriod),"◆",IF(AND($E101&gt;=CF$5,$E101&lt;CF$5+GanttPeriod),"◇","")),IF(AND(CF$5&lt;=$F101,CF$5+GanttPeriod-1&gt;=$E101),"━","")))</f>
        <v/>
      </c>
      <c r="CG101" s="69" t="str">
        <f aca="false">IF($E101="","",IF($M101,IF(AND($G101&gt;=CG$5,$G101&lt;CG$5+GanttPeriod),"◆",IF(AND($E101&gt;=CG$5,$E101&lt;CG$5+GanttPeriod),"◇","")),IF(AND(CG$5&lt;=$F101,CG$5+GanttPeriod-1&gt;=$E101),"━","")))</f>
        <v/>
      </c>
      <c r="CH101" s="69" t="str">
        <f aca="false">IF($E101="","",IF($M101,IF(AND($G101&gt;=CH$5,$G101&lt;CH$5+GanttPeriod),"◆",IF(AND($E101&gt;=CH$5,$E101&lt;CH$5+GanttPeriod),"◇","")),IF(AND(CH$5&lt;=$F101,CH$5+GanttPeriod-1&gt;=$E101),"━","")))</f>
        <v/>
      </c>
      <c r="CI101" s="69" t="str">
        <f aca="false">IF($E101="","",IF($M101,IF(AND($G101&gt;=CI$5,$G101&lt;CI$5+GanttPeriod),"◆",IF(AND($E101&gt;=CI$5,$E101&lt;CI$5+GanttPeriod),"◇","")),IF(AND(CI$5&lt;=$F101,CI$5+GanttPeriod-1&gt;=$E101),"━","")))</f>
        <v/>
      </c>
      <c r="CJ101" s="69" t="str">
        <f aca="false">IF($E101="","",IF($M101,IF(AND($G101&gt;=CJ$5,$G101&lt;CJ$5+GanttPeriod),"◆",IF(AND($E101&gt;=CJ$5,$E101&lt;CJ$5+GanttPeriod),"◇","")),IF(AND(CJ$5&lt;=$F101,CJ$5+GanttPeriod-1&gt;=$E101),"━","")))</f>
        <v/>
      </c>
      <c r="CK101" s="69" t="str">
        <f aca="false">IF($E101="","",IF($M101,IF(AND($G101&gt;=CK$5,$G101&lt;CK$5+GanttPeriod),"◆",IF(AND($E101&gt;=CK$5,$E101&lt;CK$5+GanttPeriod),"◇","")),IF(AND(CK$5&lt;=$F101,CK$5+GanttPeriod-1&gt;=$E101),"━","")))</f>
        <v/>
      </c>
      <c r="CL101" s="69" t="str">
        <f aca="false">IF($E101="","",IF($M101,IF(AND($G101&gt;=CL$5,$G101&lt;CL$5+GanttPeriod),"◆",IF(AND($E101&gt;=CL$5,$E101&lt;CL$5+GanttPeriod),"◇","")),IF(AND(CL$5&lt;=$F101,CL$5+GanttPeriod-1&gt;=$E101),"━","")))</f>
        <v/>
      </c>
      <c r="CM101" s="69" t="str">
        <f aca="false">IF($E101="","",IF($M101,IF(AND($G101&gt;=CM$5,$G101&lt;CM$5+GanttPeriod),"◆",IF(AND($E101&gt;=CM$5,$E101&lt;CM$5+GanttPeriod),"◇","")),IF(AND(CM$5&lt;=$F101,CM$5+GanttPeriod-1&gt;=$E101),"━","")))</f>
        <v/>
      </c>
      <c r="CN101" s="69" t="str">
        <f aca="false">IF($E101="","",IF($M101,IF(AND($G101&gt;=CN$5,$G101&lt;CN$5+GanttPeriod),"◆",IF(AND($E101&gt;=CN$5,$E101&lt;CN$5+GanttPeriod),"◇","")),IF(AND(CN$5&lt;=$F101,CN$5+GanttPeriod-1&gt;=$E101),"━","")))</f>
        <v/>
      </c>
      <c r="CO101" s="69" t="str">
        <f aca="false">IF($E101="","",IF($M101,IF(AND($G101&gt;=CO$5,$G101&lt;CO$5+GanttPeriod),"◆",IF(AND($E101&gt;=CO$5,$E101&lt;CO$5+GanttPeriod),"◇","")),IF(AND(CO$5&lt;=$F101,CO$5+GanttPeriod-1&gt;=$E101),"━","")))</f>
        <v/>
      </c>
      <c r="CP101" s="69" t="str">
        <f aca="false">IF($E101="","",IF($M101,IF(AND($G101&gt;=CP$5,$G101&lt;CP$5+GanttPeriod),"◆",IF(AND($E101&gt;=CP$5,$E101&lt;CP$5+GanttPeriod),"◇","")),IF(AND(CP$5&lt;=$F101,CP$5+GanttPeriod-1&gt;=$E101),"━","")))</f>
        <v/>
      </c>
      <c r="CQ101" s="69" t="str">
        <f aca="false">IF($E101="","",IF($M101,IF(AND($G101&gt;=CQ$5,$G101&lt;CQ$5+GanttPeriod),"◆",IF(AND($E101&gt;=CQ$5,$E101&lt;CQ$5+GanttPeriod),"◇","")),IF(AND(CQ$5&lt;=$F101,CQ$5+GanttPeriod-1&gt;=$E101),"━","")))</f>
        <v/>
      </c>
      <c r="CR101" s="69" t="str">
        <f aca="false">IF($E101="","",IF($M101,IF(AND($G101&gt;=CR$5,$G101&lt;CR$5+GanttPeriod),"◆",IF(AND($E101&gt;=CR$5,$E101&lt;CR$5+GanttPeriod),"◇","")),IF(AND(CR$5&lt;=$F101,CR$5+GanttPeriod-1&gt;=$E101),"━","")))</f>
        <v/>
      </c>
      <c r="CS101" s="69" t="str">
        <f aca="false">IF($E101="","",IF($M101,IF(AND($G101&gt;=CS$5,$G101&lt;CS$5+GanttPeriod),"◆",IF(AND($E101&gt;=CS$5,$E101&lt;CS$5+GanttPeriod),"◇","")),IF(AND(CS$5&lt;=$F101,CS$5+GanttPeriod-1&gt;=$E101),"━","")))</f>
        <v/>
      </c>
      <c r="CT101" s="69" t="str">
        <f aca="false">IF($E101="","",IF($M101,IF(AND($G101&gt;=CT$5,$G101&lt;CT$5+GanttPeriod),"◆",IF(AND($E101&gt;=CT$5,$E101&lt;CT$5+GanttPeriod),"◇","")),IF(AND(CT$5&lt;=$F101,CT$5+GanttPeriod-1&gt;=$E101),"━","")))</f>
        <v/>
      </c>
      <c r="CU101" s="69" t="str">
        <f aca="false">IF($E101="","",IF($M101,IF(AND($G101&gt;=CU$5,$G101&lt;CU$5+GanttPeriod),"◆",IF(AND($E101&gt;=CU$5,$E101&lt;CU$5+GanttPeriod),"◇","")),IF(AND(CU$5&lt;=$F101,CU$5+GanttPeriod-1&gt;=$E101),"━","")))</f>
        <v/>
      </c>
      <c r="CV101" s="69" t="str">
        <f aca="false">IF($E101="","",IF($M101,IF(AND($G101&gt;=CV$5,$G101&lt;CV$5+GanttPeriod),"◆",IF(AND($E101&gt;=CV$5,$E101&lt;CV$5+GanttPeriod),"◇","")),IF(AND(CV$5&lt;=$F101,CV$5+GanttPeriod-1&gt;=$E101),"━","")))</f>
        <v/>
      </c>
      <c r="CW101" s="69" t="str">
        <f aca="false">IF($E101="","",IF($M101,IF(AND($G101&gt;=CW$5,$G101&lt;CW$5+GanttPeriod),"◆",IF(AND($E101&gt;=CW$5,$E101&lt;CW$5+GanttPeriod),"◇","")),IF(AND(CW$5&lt;=$F101,CW$5+GanttPeriod-1&gt;=$E101),"━","")))</f>
        <v/>
      </c>
      <c r="CX101" s="69" t="str">
        <f aca="false">IF($E101="","",IF($M101,IF(AND($G101&gt;=CX$5,$G101&lt;CX$5+GanttPeriod),"◆",IF(AND($E101&gt;=CX$5,$E101&lt;CX$5+GanttPeriod),"◇","")),IF(AND(CX$5&lt;=$F101,CX$5+GanttPeriod-1&gt;=$E101),"━","")))</f>
        <v/>
      </c>
      <c r="CY101" s="69" t="str">
        <f aca="false">IF($E101="","",IF($M101,IF(AND($G101&gt;=CY$5,$G101&lt;CY$5+GanttPeriod),"◆",IF(AND($E101&gt;=CY$5,$E101&lt;CY$5+GanttPeriod),"◇","")),IF(AND(CY$5&lt;=$F101,CY$5+GanttPeriod-1&gt;=$E101),"━","")))</f>
        <v/>
      </c>
      <c r="CZ101" s="69" t="str">
        <f aca="false">IF($E101="","",IF($M101,IF(AND($G101&gt;=CZ$5,$G101&lt;CZ$5+GanttPeriod),"◆",IF(AND($E101&gt;=CZ$5,$E101&lt;CZ$5+GanttPeriod),"◇","")),IF(AND(CZ$5&lt;=$F101,CZ$5+GanttPeriod-1&gt;=$E101),"━","")))</f>
        <v/>
      </c>
      <c r="DA101" s="69" t="str">
        <f aca="false">IF($E101="","",IF($M101,IF(AND($G101&gt;=DA$5,$G101&lt;DA$5+GanttPeriod),"◆",IF(AND($E101&gt;=DA$5,$E101&lt;DA$5+GanttPeriod),"◇","")),IF(AND(DA$5&lt;=$F101,DA$5+GanttPeriod-1&gt;=$E101),"━","")))</f>
        <v/>
      </c>
      <c r="DB101" s="69" t="str">
        <f aca="false">IF($E101="","",IF($M101,IF(AND($G101&gt;=DB$5,$G101&lt;DB$5+GanttPeriod),"◆",IF(AND($E101&gt;=DB$5,$E101&lt;DB$5+GanttPeriod),"◇","")),IF(AND(DB$5&lt;=$F101,DB$5+GanttPeriod-1&gt;=$E101),"━","")))</f>
        <v/>
      </c>
      <c r="DC101" s="69" t="str">
        <f aca="false">IF($E101="","",IF($M101,IF(AND($G101&gt;=DC$5,$G101&lt;DC$5+GanttPeriod),"◆",IF(AND($E101&gt;=DC$5,$E101&lt;DC$5+GanttPeriod),"◇","")),IF(AND(DC$5&lt;=$F101,DC$5+GanttPeriod-1&gt;=$E101),"━","")))</f>
        <v/>
      </c>
      <c r="DD101" s="69" t="str">
        <f aca="false">IF($E101="","",IF($M101,IF(AND($G101&gt;=DD$5,$G101&lt;DD$5+GanttPeriod),"◆",IF(AND($E101&gt;=DD$5,$E101&lt;DD$5+GanttPeriod),"◇","")),IF(AND(DD$5&lt;=$F101,DD$5+GanttPeriod-1&gt;=$E101),"━","")))</f>
        <v/>
      </c>
      <c r="DE101" s="69" t="str">
        <f aca="false">IF($E101="","",IF($M101,IF(AND($G101&gt;=DE$5,$G101&lt;DE$5+GanttPeriod),"◆",IF(AND($E101&gt;=DE$5,$E101&lt;DE$5+GanttPeriod),"◇","")),IF(AND(DE$5&lt;=$F101,DE$5+GanttPeriod-1&gt;=$E101),"━","")))</f>
        <v/>
      </c>
      <c r="DF101" s="69" t="str">
        <f aca="false">IF($E101="","",IF($M101,IF(AND($G101&gt;=DF$5,$G101&lt;DF$5+GanttPeriod),"◆",IF(AND($E101&gt;=DF$5,$E101&lt;DF$5+GanttPeriod),"◇","")),IF(AND(DF$5&lt;=$F101,DF$5+GanttPeriod-1&gt;=$E101),"━","")))</f>
        <v/>
      </c>
      <c r="DG101" s="69" t="str">
        <f aca="false">IF($E101="","",IF($M101,IF(AND($G101&gt;=DG$5,$G101&lt;DG$5+GanttPeriod),"◆",IF(AND($E101&gt;=DG$5,$E101&lt;DG$5+GanttPeriod),"◇","")),IF(AND(DG$5&lt;=$F101,DG$5+GanttPeriod-1&gt;=$E101),"━","")))</f>
        <v/>
      </c>
      <c r="DH101" s="69" t="str">
        <f aca="false">IF($E101="","",IF($M101,IF(AND($G101&gt;=DH$5,$G101&lt;DH$5+GanttPeriod),"◆",IF(AND($E101&gt;=DH$5,$E101&lt;DH$5+GanttPeriod),"◇","")),IF(AND(DH$5&lt;=$F101,DH$5+GanttPeriod-1&gt;=$E101),"━","")))</f>
        <v/>
      </c>
      <c r="DI101" s="69" t="str">
        <f aca="false">IF($E101="","",IF($M101,IF(AND($G101&gt;=DI$5,$G101&lt;DI$5+GanttPeriod),"◆",IF(AND($E101&gt;=DI$5,$E101&lt;DI$5+GanttPeriod),"◇","")),IF(AND(DI$5&lt;=$F101,DI$5+GanttPeriod-1&gt;=$E101),"━","")))</f>
        <v/>
      </c>
      <c r="DJ101" s="69" t="str">
        <f aca="false">IF($E101="","",IF($M101,IF(AND($G101&gt;=DJ$5,$G101&lt;DJ$5+GanttPeriod),"◆",IF(AND($E101&gt;=DJ$5,$E101&lt;DJ$5+GanttPeriod),"◇","")),IF(AND(DJ$5&lt;=$F101,DJ$5+GanttPeriod-1&gt;=$E101),"━","")))</f>
        <v/>
      </c>
      <c r="DK101" s="69" t="str">
        <f aca="false">IF($E101="","",IF($M101,IF(AND($G101&gt;=DK$5,$G101&lt;DK$5+GanttPeriod),"◆",IF(AND($E101&gt;=DK$5,$E101&lt;DK$5+GanttPeriod),"◇","")),IF(AND(DK$5&lt;=$F101,DK$5+GanttPeriod-1&gt;=$E101),"━","")))</f>
        <v/>
      </c>
      <c r="DL101" s="69" t="str">
        <f aca="false">IF($E101="","",IF($M101,IF(AND($G101&gt;=DL$5,$G101&lt;DL$5+GanttPeriod),"◆",IF(AND($E101&gt;=DL$5,$E101&lt;DL$5+GanttPeriod),"◇","")),IF(AND(DL$5&lt;=$F101,DL$5+GanttPeriod-1&gt;=$E101),"━","")))</f>
        <v/>
      </c>
      <c r="DM101" s="69" t="str">
        <f aca="false">IF($E101="","",IF($M101,IF(AND($G101&gt;=DM$5,$G101&lt;DM$5+GanttPeriod),"◆",IF(AND($E101&gt;=DM$5,$E101&lt;DM$5+GanttPeriod),"◇","")),IF(AND(DM$5&lt;=$F101,DM$5+GanttPeriod-1&gt;=$E101),"━","")))</f>
        <v/>
      </c>
      <c r="DN101" s="69" t="str">
        <f aca="false">IF($E101="","",IF($M101,IF(AND($G101&gt;=DN$5,$G101&lt;DN$5+GanttPeriod),"◆",IF(AND($E101&gt;=DN$5,$E101&lt;DN$5+GanttPeriod),"◇","")),IF(AND(DN$5&lt;=$F101,DN$5+GanttPeriod-1&gt;=$E101),"━","")))</f>
        <v/>
      </c>
      <c r="DO101" s="69" t="str">
        <f aca="false">IF($E101="","",IF($M101,IF(AND($G101&gt;=DO$5,$G101&lt;DO$5+GanttPeriod),"◆",IF(AND($E101&gt;=DO$5,$E101&lt;DO$5+GanttPeriod),"◇","")),IF(AND(DO$5&lt;=$F101,DO$5+GanttPeriod-1&gt;=$E101),"━","")))</f>
        <v/>
      </c>
      <c r="DP101" s="69" t="str">
        <f aca="false">IF($E101="","",IF($M101,IF(AND($G101&gt;=DP$5,$G101&lt;DP$5+GanttPeriod),"◆",IF(AND($E101&gt;=DP$5,$E101&lt;DP$5+GanttPeriod),"◇","")),IF(AND(DP$5&lt;=$F101,DP$5+GanttPeriod-1&gt;=$E101),"━","")))</f>
        <v/>
      </c>
      <c r="DQ101" s="69" t="str">
        <f aca="false">IF($E101="","",IF($M101,IF(AND($G101&gt;=DQ$5,$G101&lt;DQ$5+GanttPeriod),"◆",IF(AND($E101&gt;=DQ$5,$E101&lt;DQ$5+GanttPeriod),"◇","")),IF(AND(DQ$5&lt;=$F101,DQ$5+GanttPeriod-1&gt;=$E101),"━","")))</f>
        <v/>
      </c>
      <c r="DR101" s="69" t="str">
        <f aca="false">IF($E101="","",IF($M101,IF(AND($G101&gt;=DR$5,$G101&lt;DR$5+GanttPeriod),"◆",IF(AND($E101&gt;=DR$5,$E101&lt;DR$5+GanttPeriod),"◇","")),IF(AND(DR$5&lt;=$F101,DR$5+GanttPeriod-1&gt;=$E101),"━","")))</f>
        <v/>
      </c>
      <c r="DS101" s="69" t="str">
        <f aca="false">IF($E101="","",IF($M101,IF(AND($G101&gt;=DS$5,$G101&lt;DS$5+GanttPeriod),"◆",IF(AND($E101&gt;=DS$5,$E101&lt;DS$5+GanttPeriod),"◇","")),IF(AND(DS$5&lt;=$F101,DS$5+GanttPeriod-1&gt;=$E101),"━","")))</f>
        <v/>
      </c>
      <c r="DT101" s="69" t="str">
        <f aca="false">IF($E101="","",IF($M101,IF(AND($G101&gt;=DT$5,$G101&lt;DT$5+GanttPeriod),"◆",IF(AND($E101&gt;=DT$5,$E101&lt;DT$5+GanttPeriod),"◇","")),IF(AND(DT$5&lt;=$F101,DT$5+GanttPeriod-1&gt;=$E101),"━","")))</f>
        <v/>
      </c>
      <c r="DU101" s="69" t="str">
        <f aca="false">IF($E101="","",IF($M101,IF(AND($G101&gt;=DU$5,$G101&lt;DU$5+GanttPeriod),"◆",IF(AND($E101&gt;=DU$5,$E101&lt;DU$5+GanttPeriod),"◇","")),IF(AND(DU$5&lt;=$F101,DU$5+GanttPeriod-1&gt;=$E101),"━","")))</f>
        <v/>
      </c>
      <c r="DV101" s="69" t="str">
        <f aca="false">IF($E101="","",IF($M101,IF(AND($G101&gt;=DV$5,$G101&lt;DV$5+GanttPeriod),"◆",IF(AND($E101&gt;=DV$5,$E101&lt;DV$5+GanttPeriod),"◇","")),IF(AND(DV$5&lt;=$F101,DV$5+GanttPeriod-1&gt;=$E101),"━","")))</f>
        <v/>
      </c>
      <c r="DW101" s="69" t="str">
        <f aca="false">IF($E101="","",IF($M101,IF(AND($G101&gt;=DW$5,$G101&lt;DW$5+GanttPeriod),"◆",IF(AND($E101&gt;=DW$5,$E101&lt;DW$5+GanttPeriod),"◇","")),IF(AND(DW$5&lt;=$F101,DW$5+GanttPeriod-1&gt;=$E101),"━","")))</f>
        <v/>
      </c>
      <c r="DX101" s="69" t="str">
        <f aca="false">IF($E101="","",IF($M101,IF(AND($G101&gt;=DX$5,$G101&lt;DX$5+GanttPeriod),"◆",IF(AND($E101&gt;=DX$5,$E101&lt;DX$5+GanttPeriod),"◇","")),IF(AND(DX$5&lt;=$F101,DX$5+GanttPeriod-1&gt;=$E101),"━","")))</f>
        <v/>
      </c>
      <c r="DY101" s="69" t="str">
        <f aca="false">IF($E101="","",IF($M101,IF(AND($G101&gt;=DY$5,$G101&lt;DY$5+GanttPeriod),"◆",IF(AND($E101&gt;=DY$5,$E101&lt;DY$5+GanttPeriod),"◇","")),IF(AND(DY$5&lt;=$F101,DY$5+GanttPeriod-1&gt;=$E101),"━","")))</f>
        <v/>
      </c>
      <c r="DZ101" s="69" t="str">
        <f aca="false">IF($E101="","",IF($M101,IF(AND($G101&gt;=DZ$5,$G101&lt;DZ$5+GanttPeriod),"◆",IF(AND($E101&gt;=DZ$5,$E101&lt;DZ$5+GanttPeriod),"◇","")),IF(AND(DZ$5&lt;=$F101,DZ$5+GanttPeriod-1&gt;=$E101),"━","")))</f>
        <v/>
      </c>
      <c r="EA101" s="69" t="str">
        <f aca="false">IF($E101="","",IF($M101,IF(AND($G101&gt;=EA$5,$G101&lt;EA$5+GanttPeriod),"◆",IF(AND($E101&gt;=EA$5,$E101&lt;EA$5+GanttPeriod),"◇","")),IF(AND(EA$5&lt;=$F101,EA$5+GanttPeriod-1&gt;=$E101),"━","")))</f>
        <v/>
      </c>
      <c r="EB101" s="69" t="str">
        <f aca="false">IF($E101="","",IF($M101,IF(AND($G101&gt;=EB$5,$G101&lt;EB$5+GanttPeriod),"◆",IF(AND($E101&gt;=EB$5,$E101&lt;EB$5+GanttPeriod),"◇","")),IF(AND(EB$5&lt;=$F101,EB$5+GanttPeriod-1&gt;=$E101),"━","")))</f>
        <v/>
      </c>
      <c r="EC101" s="69" t="str">
        <f aca="false">IF($E101="","",IF($M101,IF(AND($G101&gt;=EC$5,$G101&lt;EC$5+GanttPeriod),"◆",IF(AND($E101&gt;=EC$5,$E101&lt;EC$5+GanttPeriod),"◇","")),IF(AND(EC$5&lt;=$F101,EC$5+GanttPeriod-1&gt;=$E101),"━","")))</f>
        <v/>
      </c>
      <c r="ED101" s="69" t="str">
        <f aca="false">IF($E101="","",IF($M101,IF(AND($G101&gt;=ED$5,$G101&lt;ED$5+GanttPeriod),"◆",IF(AND($E101&gt;=ED$5,$E101&lt;ED$5+GanttPeriod),"◇","")),IF(AND(ED$5&lt;=$F101,ED$5+GanttPeriod-1&gt;=$E101),"━","")))</f>
        <v/>
      </c>
      <c r="EE101" s="69" t="str">
        <f aca="false">IF($E101="","",IF($M101,IF(AND($G101&gt;=EE$5,$G101&lt;EE$5+GanttPeriod),"◆",IF(AND($E101&gt;=EE$5,$E101&lt;EE$5+GanttPeriod),"◇","")),IF(AND(EE$5&lt;=$F101,EE$5+GanttPeriod-1&gt;=$E101),"━","")))</f>
        <v/>
      </c>
      <c r="EF101" s="69" t="str">
        <f aca="false">IF($E101="","",IF($M101,IF(AND($G101&gt;=EF$5,$G101&lt;EF$5+GanttPeriod),"◆",IF(AND($E101&gt;=EF$5,$E101&lt;EF$5+GanttPeriod),"◇","")),IF(AND(EF$5&lt;=$F101,EF$5+GanttPeriod-1&gt;=$E101),"━","")))</f>
        <v/>
      </c>
      <c r="EG101" s="69" t="str">
        <f aca="false">IF($E101="","",IF($M101,IF(AND($G101&gt;=EG$5,$G101&lt;EG$5+GanttPeriod),"◆",IF(AND($E101&gt;=EG$5,$E101&lt;EG$5+GanttPeriod),"◇","")),IF(AND(EG$5&lt;=$F101,EG$5+GanttPeriod-1&gt;=$E101),"━","")))</f>
        <v/>
      </c>
      <c r="EH101" s="69" t="str">
        <f aca="false">IF($E101="","",IF($M101,IF(AND($G101&gt;=EH$5,$G101&lt;EH$5+GanttPeriod),"◆",IF(AND($E101&gt;=EH$5,$E101&lt;EH$5+GanttPeriod),"◇","")),IF(AND(EH$5&lt;=$F101,EH$5+GanttPeriod-1&gt;=$E101),"━","")))</f>
        <v/>
      </c>
      <c r="EI101" s="69" t="str">
        <f aca="false">IF($E101="","",IF($M101,IF(AND($G101&gt;=EI$5,$G101&lt;EI$5+GanttPeriod),"◆",IF(AND($E101&gt;=EI$5,$E101&lt;EI$5+GanttPeriod),"◇","")),IF(AND(EI$5&lt;=$F101,EI$5+GanttPeriod-1&gt;=$E101),"━","")))</f>
        <v/>
      </c>
      <c r="EJ101" s="69" t="str">
        <f aca="false">IF($E101="","",IF($M101,IF(AND($G101&gt;=EJ$5,$G101&lt;EJ$5+GanttPeriod),"◆",IF(AND($E101&gt;=EJ$5,$E101&lt;EJ$5+GanttPeriod),"◇","")),IF(AND(EJ$5&lt;=$F101,EJ$5+GanttPeriod-1&gt;=$E101),"━","")))</f>
        <v/>
      </c>
      <c r="EK101" s="69" t="str">
        <f aca="false">IF($E101="","",IF($M101,IF(AND($G101&gt;=EK$5,$G101&lt;EK$5+GanttPeriod),"◆",IF(AND($E101&gt;=EK$5,$E101&lt;EK$5+GanttPeriod),"◇","")),IF(AND(EK$5&lt;=$F101,EK$5+GanttPeriod-1&gt;=$E101),"━","")))</f>
        <v/>
      </c>
      <c r="EL101" s="69" t="str">
        <f aca="false">IF($E101="","",IF($M101,IF(AND($G101&gt;=EL$5,$G101&lt;EL$5+GanttPeriod),"◆",IF(AND($E101&gt;=EL$5,$E101&lt;EL$5+GanttPeriod),"◇","")),IF(AND(EL$5&lt;=$F101,EL$5+GanttPeriod-1&gt;=$E101),"━","")))</f>
        <v/>
      </c>
      <c r="EM101" s="69" t="str">
        <f aca="false">IF($E101="","",IF($M101,IF(AND($G101&gt;=EM$5,$G101&lt;EM$5+GanttPeriod),"◆",IF(AND($E101&gt;=EM$5,$E101&lt;EM$5+GanttPeriod),"◇","")),IF(AND(EM$5&lt;=$F101,EM$5+GanttPeriod-1&gt;=$E101),"━","")))</f>
        <v/>
      </c>
      <c r="EN101" s="69" t="str">
        <f aca="false">IF($E101="","",IF($M101,IF(AND($G101&gt;=EN$5,$G101&lt;EN$5+GanttPeriod),"◆",IF(AND($E101&gt;=EN$5,$E101&lt;EN$5+GanttPeriod),"◇","")),IF(AND(EN$5&lt;=$F101,EN$5+GanttPeriod-1&gt;=$E101),"━","")))</f>
        <v/>
      </c>
      <c r="EO101" s="69" t="str">
        <f aca="false">IF($E101="","",IF($M101,IF(AND($G101&gt;=EO$5,$G101&lt;EO$5+GanttPeriod),"◆",IF(AND($E101&gt;=EO$5,$E101&lt;EO$5+GanttPeriod),"◇","")),IF(AND(EO$5&lt;=$F101,EO$5+GanttPeriod-1&gt;=$E101),"━","")))</f>
        <v/>
      </c>
      <c r="EP101" s="69" t="str">
        <f aca="false">IF($E101="","",IF($M101,IF(AND($G101&gt;=EP$5,$G101&lt;EP$5+GanttPeriod),"◆",IF(AND($E101&gt;=EP$5,$E101&lt;EP$5+GanttPeriod),"◇","")),IF(AND(EP$5&lt;=$F101,EP$5+GanttPeriod-1&gt;=$E101),"━","")))</f>
        <v/>
      </c>
      <c r="EQ101" s="69" t="str">
        <f aca="false">IF($E101="","",IF($M101,IF(AND($G101&gt;=EQ$5,$G101&lt;EQ$5+GanttPeriod),"◆",IF(AND($E101&gt;=EQ$5,$E101&lt;EQ$5+GanttPeriod),"◇","")),IF(AND(EQ$5&lt;=$F101,EQ$5+GanttPeriod-1&gt;=$E101),"━","")))</f>
        <v/>
      </c>
      <c r="ER101" s="69" t="str">
        <f aca="false">IF($E101="","",IF($M101,IF(AND($G101&gt;=ER$5,$G101&lt;ER$5+GanttPeriod),"◆",IF(AND($E101&gt;=ER$5,$E101&lt;ER$5+GanttPeriod),"◇","")),IF(AND(ER$5&lt;=$F101,ER$5+GanttPeriod-1&gt;=$E101),"━","")))</f>
        <v/>
      </c>
      <c r="ES101" s="69" t="str">
        <f aca="false">IF($E101="","",IF($M101,IF(AND($G101&gt;=ES$5,$G101&lt;ES$5+GanttPeriod),"◆",IF(AND($E101&gt;=ES$5,$E101&lt;ES$5+GanttPeriod),"◇","")),IF(AND(ES$5&lt;=$F101,ES$5+GanttPeriod-1&gt;=$E101),"━","")))</f>
        <v/>
      </c>
      <c r="ET101" s="69" t="str">
        <f aca="false">IF($E101="","",IF($M101,IF(AND($G101&gt;=ET$5,$G101&lt;ET$5+GanttPeriod),"◆",IF(AND($E101&gt;=ET$5,$E101&lt;ET$5+GanttPeriod),"◇","")),IF(AND(ET$5&lt;=$F101,ET$5+GanttPeriod-1&gt;=$E101),"━","")))</f>
        <v/>
      </c>
      <c r="EU101" s="69" t="str">
        <f aca="false">IF($E101="","",IF($M101,IF(AND($G101&gt;=EU$5,$G101&lt;EU$5+GanttPeriod),"◆",IF(AND($E101&gt;=EU$5,$E101&lt;EU$5+GanttPeriod),"◇","")),IF(AND(EU$5&lt;=$F101,EU$5+GanttPeriod-1&gt;=$E101),"━","")))</f>
        <v/>
      </c>
      <c r="EV101" s="69" t="str">
        <f aca="false">IF($E101="","",IF($M101,IF(AND($G101&gt;=EV$5,$G101&lt;EV$5+GanttPeriod),"◆",IF(AND($E101&gt;=EV$5,$E101&lt;EV$5+GanttPeriod),"◇","")),IF(AND(EV$5&lt;=$F101,EV$5+GanttPeriod-1&gt;=$E101),"━","")))</f>
        <v/>
      </c>
      <c r="EW101" s="69" t="str">
        <f aca="false">IF($E101="","",IF($M101,IF(AND($G101&gt;=EW$5,$G101&lt;EW$5+GanttPeriod),"◆",IF(AND($E101&gt;=EW$5,$E101&lt;EW$5+GanttPeriod),"◇","")),IF(AND(EW$5&lt;=$F101,EW$5+GanttPeriod-1&gt;=$E101),"━","")))</f>
        <v/>
      </c>
      <c r="EX101" s="69" t="str">
        <f aca="false">IF($E101="","",IF($M101,IF(AND($G101&gt;=EX$5,$G101&lt;EX$5+GanttPeriod),"◆",IF(AND($E101&gt;=EX$5,$E101&lt;EX$5+GanttPeriod),"◇","")),IF(AND(EX$5&lt;=$F101,EX$5+GanttPeriod-1&gt;=$E101),"━","")))</f>
        <v/>
      </c>
      <c r="EY101" s="69" t="str">
        <f aca="false">IF($E101="","",IF($M101,IF(AND($G101&gt;=EY$5,$G101&lt;EY$5+GanttPeriod),"◆",IF(AND($E101&gt;=EY$5,$E101&lt;EY$5+GanttPeriod),"◇","")),IF(AND(EY$5&lt;=$F101,EY$5+GanttPeriod-1&gt;=$E101),"━","")))</f>
        <v/>
      </c>
      <c r="EZ101" s="69" t="str">
        <f aca="false">IF($E101="","",IF($M101,IF(AND($G101&gt;=EZ$5,$G101&lt;EZ$5+GanttPeriod),"◆",IF(AND($E101&gt;=EZ$5,$E101&lt;EZ$5+GanttPeriod),"◇","")),IF(AND(EZ$5&lt;=$F101,EZ$5+GanttPeriod-1&gt;=$E101),"━","")))</f>
        <v/>
      </c>
      <c r="FA101" s="69" t="str">
        <f aca="false">IF($E101="","",IF($M101,IF(AND($G101&gt;=FA$5,$G101&lt;FA$5+GanttPeriod),"◆",IF(AND($E101&gt;=FA$5,$E101&lt;FA$5+GanttPeriod),"◇","")),IF(AND(FA$5&lt;=$F101,FA$5+GanttPeriod-1&gt;=$E101),"━","")))</f>
        <v/>
      </c>
      <c r="FB101" s="69" t="str">
        <f aca="false">IF($E101="","",IF($M101,IF(AND($G101&gt;=FB$5,$G101&lt;FB$5+GanttPeriod),"◆",IF(AND($E101&gt;=FB$5,$E101&lt;FB$5+GanttPeriod),"◇","")),IF(AND(FB$5&lt;=$F101,FB$5+GanttPeriod-1&gt;=$E101),"━","")))</f>
        <v/>
      </c>
      <c r="FC101" s="69" t="str">
        <f aca="false">IF($E101="","",IF($M101,IF(AND($G101&gt;=FC$5,$G101&lt;FC$5+GanttPeriod),"◆",IF(AND($E101&gt;=FC$5,$E101&lt;FC$5+GanttPeriod),"◇","")),IF(AND(FC$5&lt;=$F101,FC$5+GanttPeriod-1&gt;=$E101),"━","")))</f>
        <v/>
      </c>
      <c r="FD101" s="69" t="str">
        <f aca="false">IF($E101="","",IF($M101,IF(AND($G101&gt;=FD$5,$G101&lt;FD$5+GanttPeriod),"◆",IF(AND($E101&gt;=FD$5,$E101&lt;FD$5+GanttPeriod),"◇","")),IF(AND(FD$5&lt;=$F101,FD$5+GanttPeriod-1&gt;=$E101),"━","")))</f>
        <v/>
      </c>
      <c r="FE101" s="69" t="str">
        <f aca="false">IF($E101="","",IF($M101,IF(AND($G101&gt;=FE$5,$G101&lt;FE$5+GanttPeriod),"◆",IF(AND($E101&gt;=FE$5,$E101&lt;FE$5+GanttPeriod),"◇","")),IF(AND(FE$5&lt;=$F101,FE$5+GanttPeriod-1&gt;=$E101),"━","")))</f>
        <v/>
      </c>
      <c r="FF101" s="69" t="str">
        <f aca="false">IF($E101="","",IF($M101,IF(AND($G101&gt;=FF$5,$G101&lt;FF$5+GanttPeriod),"◆",IF(AND($E101&gt;=FF$5,$E101&lt;FF$5+GanttPeriod),"◇","")),IF(AND(FF$5&lt;=$F101,FF$5+GanttPeriod-1&gt;=$E101),"━","")))</f>
        <v/>
      </c>
      <c r="FG101" s="69" t="str">
        <f aca="false">IF($E101="","",IF($M101,IF(AND($G101&gt;=FG$5,$G101&lt;FG$5+GanttPeriod),"◆",IF(AND($E101&gt;=FG$5,$E101&lt;FG$5+GanttPeriod),"◇","")),IF(AND(FG$5&lt;=$F101,FG$5+GanttPeriod-1&gt;=$E101),"━","")))</f>
        <v/>
      </c>
      <c r="FH101" s="69" t="str">
        <f aca="false">IF($E101="","",IF($M101,IF(AND($G101&gt;=FH$5,$G101&lt;FH$5+GanttPeriod),"◆",IF(AND($E101&gt;=FH$5,$E101&lt;FH$5+GanttPeriod),"◇","")),IF(AND(FH$5&lt;=$F101,FH$5+GanttPeriod-1&gt;=$E101),"━","")))</f>
        <v/>
      </c>
      <c r="FI101" s="69" t="str">
        <f aca="false">IF($E101="","",IF($M101,IF(AND($G101&gt;=FI$5,$G101&lt;FI$5+GanttPeriod),"◆",IF(AND($E101&gt;=FI$5,$E101&lt;FI$5+GanttPeriod),"◇","")),IF(AND(FI$5&lt;=$F101,FI$5+GanttPeriod-1&gt;=$E101),"━","")))</f>
        <v/>
      </c>
      <c r="FJ101" s="69" t="str">
        <f aca="false">IF($E101="","",IF($M101,IF(AND($G101&gt;=FJ$5,$G101&lt;FJ$5+GanttPeriod),"◆",IF(AND($E101&gt;=FJ$5,$E101&lt;FJ$5+GanttPeriod),"◇","")),IF(AND(FJ$5&lt;=$F101,FJ$5+GanttPeriod-1&gt;=$E101),"━","")))</f>
        <v/>
      </c>
      <c r="FK101" s="69" t="str">
        <f aca="false">IF($E101="","",IF($M101,IF(AND($G101&gt;=FK$5,$G101&lt;FK$5+GanttPeriod),"◆",IF(AND($E101&gt;=FK$5,$E101&lt;FK$5+GanttPeriod),"◇","")),IF(AND(FK$5&lt;=$F101,FK$5+GanttPeriod-1&gt;=$E101),"━","")))</f>
        <v/>
      </c>
      <c r="FL101" s="69" t="str">
        <f aca="false">IF($E101="","",IF($M101,IF(AND($G101&gt;=FL$5,$G101&lt;FL$5+GanttPeriod),"◆",IF(AND($E101&gt;=FL$5,$E101&lt;FL$5+GanttPeriod),"◇","")),IF(AND(FL$5&lt;=$F101,FL$5+GanttPeriod-1&gt;=$E101),"━","")))</f>
        <v/>
      </c>
      <c r="FM101" s="69" t="str">
        <f aca="false">IF($E101="","",IF($M101,IF(AND($G101&gt;=FM$5,$G101&lt;FM$5+GanttPeriod),"◆",IF(AND($E101&gt;=FM$5,$E101&lt;FM$5+GanttPeriod),"◇","")),IF(AND(FM$5&lt;=$F101,FM$5+GanttPeriod-1&gt;=$E101),"━","")))</f>
        <v/>
      </c>
    </row>
    <row r="102" customFormat="false" ht="15" hidden="false" customHeight="false" outlineLevel="0" collapsed="false">
      <c r="A102" s="62" t="str">
        <f aca="false">IF(Tasks!$D102="","",Tasks!$A102)</f>
        <v/>
      </c>
      <c r="B102" s="62" t="str">
        <f aca="false">IF(Tasks!$D102="","",Tasks!$B102)</f>
        <v/>
      </c>
      <c r="C102" s="63" t="str">
        <f aca="false">IF(Tasks!$D102="","",REPT("    ",Tasks!$AE102-1)&amp;Tasks!$D102)</f>
        <v/>
      </c>
      <c r="D102" s="62" t="str">
        <f aca="false">IF(Tasks!$D102="","",IF(Tasks!$AI102,NETWORKDAYS.INTL(Tasks!$R102,Tasks!$S102,WorkWeek,Holidays),N(Tasks!$F102)))</f>
        <v/>
      </c>
      <c r="E102" s="64" t="str">
        <f aca="false">IF(Tasks!$D102="","",Tasks!$N102)</f>
        <v/>
      </c>
      <c r="F102" s="64" t="str">
        <f aca="false">IF(Tasks!$D102="","",Tasks!$O102)</f>
        <v/>
      </c>
      <c r="G102" s="64" t="str">
        <f aca="false">IF(Tasks!$D102="","",Tasks!$R102)</f>
        <v/>
      </c>
      <c r="H102" s="64" t="str">
        <f aca="false">IF(Tasks!$D102="","",Tasks!$S102)</f>
        <v/>
      </c>
      <c r="I102" s="65" t="str">
        <f aca="false">IF(Tasks!$D102="","",Tasks!$V102)</f>
        <v/>
      </c>
      <c r="J102" s="63" t="str">
        <f aca="false">IF(Tasks!$D102="","",Tasks!$X102&amp;"")</f>
        <v/>
      </c>
      <c r="K102" s="66" t="str">
        <f aca="false">IF(Tasks!$D102="","",Tasks!$W102)</f>
        <v/>
      </c>
      <c r="L102" s="67" t="b">
        <f aca="false">IF(Tasks!$D102="",FALSE(),Tasks!$AI102)</f>
        <v>0</v>
      </c>
      <c r="M102" s="67" t="b">
        <f aca="false">AND(Tasks!$AJ102=1,N(Tasks!$F102)=0)</f>
        <v>0</v>
      </c>
      <c r="N102" s="68" t="n">
        <f aca="false">IF(AND(Tasks!$AJ102=1,NOT($M102),N($I102)&gt;0),$G102,0)</f>
        <v>0</v>
      </c>
      <c r="O102" s="68" t="n">
        <f aca="false">IF($N102=0,0,IF($I102&gt;=1,$H102,MAX($N102,$G102+ROUND(($H102-$G102+1)*$I102,0)-1)))</f>
        <v>0</v>
      </c>
      <c r="P102" s="68" t="n">
        <f aca="false">IF(OR(Tasks!$AJ102&lt;&gt;1,$M102,N($I102)&gt;=1),0,IF($O102&gt;0,$O102+1,$G102))</f>
        <v>0</v>
      </c>
      <c r="Q102" s="68" t="n">
        <f aca="false">IF($P102=0,0,$H102)</f>
        <v>0</v>
      </c>
      <c r="R102" s="67" t="b">
        <f aca="false">AND(Tasks!$D102&lt;&gt;"",N(Tasks!$T102)&gt;0)</f>
        <v>0</v>
      </c>
      <c r="T102" s="69" t="str">
        <f aca="false">IF($E102="","",IF($M102,IF(AND($G102&gt;=T$5,$G102&lt;T$5+GanttPeriod),"◆",IF(AND($E102&gt;=T$5,$E102&lt;T$5+GanttPeriod),"◇","")),IF(AND(T$5&lt;=$F102,T$5+GanttPeriod-1&gt;=$E102),"━","")))</f>
        <v/>
      </c>
      <c r="U102" s="69" t="str">
        <f aca="false">IF($E102="","",IF($M102,IF(AND($G102&gt;=U$5,$G102&lt;U$5+GanttPeriod),"◆",IF(AND($E102&gt;=U$5,$E102&lt;U$5+GanttPeriod),"◇","")),IF(AND(U$5&lt;=$F102,U$5+GanttPeriod-1&gt;=$E102),"━","")))</f>
        <v/>
      </c>
      <c r="V102" s="69" t="str">
        <f aca="false">IF($E102="","",IF($M102,IF(AND($G102&gt;=V$5,$G102&lt;V$5+GanttPeriod),"◆",IF(AND($E102&gt;=V$5,$E102&lt;V$5+GanttPeriod),"◇","")),IF(AND(V$5&lt;=$F102,V$5+GanttPeriod-1&gt;=$E102),"━","")))</f>
        <v/>
      </c>
      <c r="W102" s="69" t="str">
        <f aca="false">IF($E102="","",IF($M102,IF(AND($G102&gt;=W$5,$G102&lt;W$5+GanttPeriod),"◆",IF(AND($E102&gt;=W$5,$E102&lt;W$5+GanttPeriod),"◇","")),IF(AND(W$5&lt;=$F102,W$5+GanttPeriod-1&gt;=$E102),"━","")))</f>
        <v/>
      </c>
      <c r="X102" s="69" t="str">
        <f aca="false">IF($E102="","",IF($M102,IF(AND($G102&gt;=X$5,$G102&lt;X$5+GanttPeriod),"◆",IF(AND($E102&gt;=X$5,$E102&lt;X$5+GanttPeriod),"◇","")),IF(AND(X$5&lt;=$F102,X$5+GanttPeriod-1&gt;=$E102),"━","")))</f>
        <v/>
      </c>
      <c r="Y102" s="69" t="str">
        <f aca="false">IF($E102="","",IF($M102,IF(AND($G102&gt;=Y$5,$G102&lt;Y$5+GanttPeriod),"◆",IF(AND($E102&gt;=Y$5,$E102&lt;Y$5+GanttPeriod),"◇","")),IF(AND(Y$5&lt;=$F102,Y$5+GanttPeriod-1&gt;=$E102),"━","")))</f>
        <v/>
      </c>
      <c r="Z102" s="69" t="str">
        <f aca="false">IF($E102="","",IF($M102,IF(AND($G102&gt;=Z$5,$G102&lt;Z$5+GanttPeriod),"◆",IF(AND($E102&gt;=Z$5,$E102&lt;Z$5+GanttPeriod),"◇","")),IF(AND(Z$5&lt;=$F102,Z$5+GanttPeriod-1&gt;=$E102),"━","")))</f>
        <v/>
      </c>
      <c r="AA102" s="69" t="str">
        <f aca="false">IF($E102="","",IF($M102,IF(AND($G102&gt;=AA$5,$G102&lt;AA$5+GanttPeriod),"◆",IF(AND($E102&gt;=AA$5,$E102&lt;AA$5+GanttPeriod),"◇","")),IF(AND(AA$5&lt;=$F102,AA$5+GanttPeriod-1&gt;=$E102),"━","")))</f>
        <v/>
      </c>
      <c r="AB102" s="69" t="str">
        <f aca="false">IF($E102="","",IF($M102,IF(AND($G102&gt;=AB$5,$G102&lt;AB$5+GanttPeriod),"◆",IF(AND($E102&gt;=AB$5,$E102&lt;AB$5+GanttPeriod),"◇","")),IF(AND(AB$5&lt;=$F102,AB$5+GanttPeriod-1&gt;=$E102),"━","")))</f>
        <v/>
      </c>
      <c r="AC102" s="69" t="str">
        <f aca="false">IF($E102="","",IF($M102,IF(AND($G102&gt;=AC$5,$G102&lt;AC$5+GanttPeriod),"◆",IF(AND($E102&gt;=AC$5,$E102&lt;AC$5+GanttPeriod),"◇","")),IF(AND(AC$5&lt;=$F102,AC$5+GanttPeriod-1&gt;=$E102),"━","")))</f>
        <v/>
      </c>
      <c r="AD102" s="69" t="str">
        <f aca="false">IF($E102="","",IF($M102,IF(AND($G102&gt;=AD$5,$G102&lt;AD$5+GanttPeriod),"◆",IF(AND($E102&gt;=AD$5,$E102&lt;AD$5+GanttPeriod),"◇","")),IF(AND(AD$5&lt;=$F102,AD$5+GanttPeriod-1&gt;=$E102),"━","")))</f>
        <v/>
      </c>
      <c r="AE102" s="69" t="str">
        <f aca="false">IF($E102="","",IF($M102,IF(AND($G102&gt;=AE$5,$G102&lt;AE$5+GanttPeriod),"◆",IF(AND($E102&gt;=AE$5,$E102&lt;AE$5+GanttPeriod),"◇","")),IF(AND(AE$5&lt;=$F102,AE$5+GanttPeriod-1&gt;=$E102),"━","")))</f>
        <v/>
      </c>
      <c r="AF102" s="69" t="str">
        <f aca="false">IF($E102="","",IF($M102,IF(AND($G102&gt;=AF$5,$G102&lt;AF$5+GanttPeriod),"◆",IF(AND($E102&gt;=AF$5,$E102&lt;AF$5+GanttPeriod),"◇","")),IF(AND(AF$5&lt;=$F102,AF$5+GanttPeriod-1&gt;=$E102),"━","")))</f>
        <v/>
      </c>
      <c r="AG102" s="69" t="str">
        <f aca="false">IF($E102="","",IF($M102,IF(AND($G102&gt;=AG$5,$G102&lt;AG$5+GanttPeriod),"◆",IF(AND($E102&gt;=AG$5,$E102&lt;AG$5+GanttPeriod),"◇","")),IF(AND(AG$5&lt;=$F102,AG$5+GanttPeriod-1&gt;=$E102),"━","")))</f>
        <v/>
      </c>
      <c r="AH102" s="69" t="str">
        <f aca="false">IF($E102="","",IF($M102,IF(AND($G102&gt;=AH$5,$G102&lt;AH$5+GanttPeriod),"◆",IF(AND($E102&gt;=AH$5,$E102&lt;AH$5+GanttPeriod),"◇","")),IF(AND(AH$5&lt;=$F102,AH$5+GanttPeriod-1&gt;=$E102),"━","")))</f>
        <v/>
      </c>
      <c r="AI102" s="69" t="str">
        <f aca="false">IF($E102="","",IF($M102,IF(AND($G102&gt;=AI$5,$G102&lt;AI$5+GanttPeriod),"◆",IF(AND($E102&gt;=AI$5,$E102&lt;AI$5+GanttPeriod),"◇","")),IF(AND(AI$5&lt;=$F102,AI$5+GanttPeriod-1&gt;=$E102),"━","")))</f>
        <v/>
      </c>
      <c r="AJ102" s="69" t="str">
        <f aca="false">IF($E102="","",IF($M102,IF(AND($G102&gt;=AJ$5,$G102&lt;AJ$5+GanttPeriod),"◆",IF(AND($E102&gt;=AJ$5,$E102&lt;AJ$5+GanttPeriod),"◇","")),IF(AND(AJ$5&lt;=$F102,AJ$5+GanttPeriod-1&gt;=$E102),"━","")))</f>
        <v/>
      </c>
      <c r="AK102" s="69" t="str">
        <f aca="false">IF($E102="","",IF($M102,IF(AND($G102&gt;=AK$5,$G102&lt;AK$5+GanttPeriod),"◆",IF(AND($E102&gt;=AK$5,$E102&lt;AK$5+GanttPeriod),"◇","")),IF(AND(AK$5&lt;=$F102,AK$5+GanttPeriod-1&gt;=$E102),"━","")))</f>
        <v/>
      </c>
      <c r="AL102" s="69" t="str">
        <f aca="false">IF($E102="","",IF($M102,IF(AND($G102&gt;=AL$5,$G102&lt;AL$5+GanttPeriod),"◆",IF(AND($E102&gt;=AL$5,$E102&lt;AL$5+GanttPeriod),"◇","")),IF(AND(AL$5&lt;=$F102,AL$5+GanttPeriod-1&gt;=$E102),"━","")))</f>
        <v/>
      </c>
      <c r="AM102" s="69" t="str">
        <f aca="false">IF($E102="","",IF($M102,IF(AND($G102&gt;=AM$5,$G102&lt;AM$5+GanttPeriod),"◆",IF(AND($E102&gt;=AM$5,$E102&lt;AM$5+GanttPeriod),"◇","")),IF(AND(AM$5&lt;=$F102,AM$5+GanttPeriod-1&gt;=$E102),"━","")))</f>
        <v/>
      </c>
      <c r="AN102" s="69" t="str">
        <f aca="false">IF($E102="","",IF($M102,IF(AND($G102&gt;=AN$5,$G102&lt;AN$5+GanttPeriod),"◆",IF(AND($E102&gt;=AN$5,$E102&lt;AN$5+GanttPeriod),"◇","")),IF(AND(AN$5&lt;=$F102,AN$5+GanttPeriod-1&gt;=$E102),"━","")))</f>
        <v/>
      </c>
      <c r="AO102" s="69" t="str">
        <f aca="false">IF($E102="","",IF($M102,IF(AND($G102&gt;=AO$5,$G102&lt;AO$5+GanttPeriod),"◆",IF(AND($E102&gt;=AO$5,$E102&lt;AO$5+GanttPeriod),"◇","")),IF(AND(AO$5&lt;=$F102,AO$5+GanttPeriod-1&gt;=$E102),"━","")))</f>
        <v/>
      </c>
      <c r="AP102" s="69" t="str">
        <f aca="false">IF($E102="","",IF($M102,IF(AND($G102&gt;=AP$5,$G102&lt;AP$5+GanttPeriod),"◆",IF(AND($E102&gt;=AP$5,$E102&lt;AP$5+GanttPeriod),"◇","")),IF(AND(AP$5&lt;=$F102,AP$5+GanttPeriod-1&gt;=$E102),"━","")))</f>
        <v/>
      </c>
      <c r="AQ102" s="69" t="str">
        <f aca="false">IF($E102="","",IF($M102,IF(AND($G102&gt;=AQ$5,$G102&lt;AQ$5+GanttPeriod),"◆",IF(AND($E102&gt;=AQ$5,$E102&lt;AQ$5+GanttPeriod),"◇","")),IF(AND(AQ$5&lt;=$F102,AQ$5+GanttPeriod-1&gt;=$E102),"━","")))</f>
        <v/>
      </c>
      <c r="AR102" s="69" t="str">
        <f aca="false">IF($E102="","",IF($M102,IF(AND($G102&gt;=AR$5,$G102&lt;AR$5+GanttPeriod),"◆",IF(AND($E102&gt;=AR$5,$E102&lt;AR$5+GanttPeriod),"◇","")),IF(AND(AR$5&lt;=$F102,AR$5+GanttPeriod-1&gt;=$E102),"━","")))</f>
        <v/>
      </c>
      <c r="AS102" s="69" t="str">
        <f aca="false">IF($E102="","",IF($M102,IF(AND($G102&gt;=AS$5,$G102&lt;AS$5+GanttPeriod),"◆",IF(AND($E102&gt;=AS$5,$E102&lt;AS$5+GanttPeriod),"◇","")),IF(AND(AS$5&lt;=$F102,AS$5+GanttPeriod-1&gt;=$E102),"━","")))</f>
        <v/>
      </c>
      <c r="AT102" s="69" t="str">
        <f aca="false">IF($E102="","",IF($M102,IF(AND($G102&gt;=AT$5,$G102&lt;AT$5+GanttPeriod),"◆",IF(AND($E102&gt;=AT$5,$E102&lt;AT$5+GanttPeriod),"◇","")),IF(AND(AT$5&lt;=$F102,AT$5+GanttPeriod-1&gt;=$E102),"━","")))</f>
        <v/>
      </c>
      <c r="AU102" s="69" t="str">
        <f aca="false">IF($E102="","",IF($M102,IF(AND($G102&gt;=AU$5,$G102&lt;AU$5+GanttPeriod),"◆",IF(AND($E102&gt;=AU$5,$E102&lt;AU$5+GanttPeriod),"◇","")),IF(AND(AU$5&lt;=$F102,AU$5+GanttPeriod-1&gt;=$E102),"━","")))</f>
        <v/>
      </c>
      <c r="AV102" s="69" t="str">
        <f aca="false">IF($E102="","",IF($M102,IF(AND($G102&gt;=AV$5,$G102&lt;AV$5+GanttPeriod),"◆",IF(AND($E102&gt;=AV$5,$E102&lt;AV$5+GanttPeriod),"◇","")),IF(AND(AV$5&lt;=$F102,AV$5+GanttPeriod-1&gt;=$E102),"━","")))</f>
        <v/>
      </c>
      <c r="AW102" s="69" t="str">
        <f aca="false">IF($E102="","",IF($M102,IF(AND($G102&gt;=AW$5,$G102&lt;AW$5+GanttPeriod),"◆",IF(AND($E102&gt;=AW$5,$E102&lt;AW$5+GanttPeriod),"◇","")),IF(AND(AW$5&lt;=$F102,AW$5+GanttPeriod-1&gt;=$E102),"━","")))</f>
        <v/>
      </c>
      <c r="AX102" s="69" t="str">
        <f aca="false">IF($E102="","",IF($M102,IF(AND($G102&gt;=AX$5,$G102&lt;AX$5+GanttPeriod),"◆",IF(AND($E102&gt;=AX$5,$E102&lt;AX$5+GanttPeriod),"◇","")),IF(AND(AX$5&lt;=$F102,AX$5+GanttPeriod-1&gt;=$E102),"━","")))</f>
        <v/>
      </c>
      <c r="AY102" s="69" t="str">
        <f aca="false">IF($E102="","",IF($M102,IF(AND($G102&gt;=AY$5,$G102&lt;AY$5+GanttPeriod),"◆",IF(AND($E102&gt;=AY$5,$E102&lt;AY$5+GanttPeriod),"◇","")),IF(AND(AY$5&lt;=$F102,AY$5+GanttPeriod-1&gt;=$E102),"━","")))</f>
        <v/>
      </c>
      <c r="AZ102" s="69" t="str">
        <f aca="false">IF($E102="","",IF($M102,IF(AND($G102&gt;=AZ$5,$G102&lt;AZ$5+GanttPeriod),"◆",IF(AND($E102&gt;=AZ$5,$E102&lt;AZ$5+GanttPeriod),"◇","")),IF(AND(AZ$5&lt;=$F102,AZ$5+GanttPeriod-1&gt;=$E102),"━","")))</f>
        <v/>
      </c>
      <c r="BA102" s="69" t="str">
        <f aca="false">IF($E102="","",IF($M102,IF(AND($G102&gt;=BA$5,$G102&lt;BA$5+GanttPeriod),"◆",IF(AND($E102&gt;=BA$5,$E102&lt;BA$5+GanttPeriod),"◇","")),IF(AND(BA$5&lt;=$F102,BA$5+GanttPeriod-1&gt;=$E102),"━","")))</f>
        <v/>
      </c>
      <c r="BB102" s="69" t="str">
        <f aca="false">IF($E102="","",IF($M102,IF(AND($G102&gt;=BB$5,$G102&lt;BB$5+GanttPeriod),"◆",IF(AND($E102&gt;=BB$5,$E102&lt;BB$5+GanttPeriod),"◇","")),IF(AND(BB$5&lt;=$F102,BB$5+GanttPeriod-1&gt;=$E102),"━","")))</f>
        <v/>
      </c>
      <c r="BC102" s="69" t="str">
        <f aca="false">IF($E102="","",IF($M102,IF(AND($G102&gt;=BC$5,$G102&lt;BC$5+GanttPeriod),"◆",IF(AND($E102&gt;=BC$5,$E102&lt;BC$5+GanttPeriod),"◇","")),IF(AND(BC$5&lt;=$F102,BC$5+GanttPeriod-1&gt;=$E102),"━","")))</f>
        <v/>
      </c>
      <c r="BD102" s="69" t="str">
        <f aca="false">IF($E102="","",IF($M102,IF(AND($G102&gt;=BD$5,$G102&lt;BD$5+GanttPeriod),"◆",IF(AND($E102&gt;=BD$5,$E102&lt;BD$5+GanttPeriod),"◇","")),IF(AND(BD$5&lt;=$F102,BD$5+GanttPeriod-1&gt;=$E102),"━","")))</f>
        <v/>
      </c>
      <c r="BE102" s="69" t="str">
        <f aca="false">IF($E102="","",IF($M102,IF(AND($G102&gt;=BE$5,$G102&lt;BE$5+GanttPeriod),"◆",IF(AND($E102&gt;=BE$5,$E102&lt;BE$5+GanttPeriod),"◇","")),IF(AND(BE$5&lt;=$F102,BE$5+GanttPeriod-1&gt;=$E102),"━","")))</f>
        <v/>
      </c>
      <c r="BF102" s="69" t="str">
        <f aca="false">IF($E102="","",IF($M102,IF(AND($G102&gt;=BF$5,$G102&lt;BF$5+GanttPeriod),"◆",IF(AND($E102&gt;=BF$5,$E102&lt;BF$5+GanttPeriod),"◇","")),IF(AND(BF$5&lt;=$F102,BF$5+GanttPeriod-1&gt;=$E102),"━","")))</f>
        <v/>
      </c>
      <c r="BG102" s="69" t="str">
        <f aca="false">IF($E102="","",IF($M102,IF(AND($G102&gt;=BG$5,$G102&lt;BG$5+GanttPeriod),"◆",IF(AND($E102&gt;=BG$5,$E102&lt;BG$5+GanttPeriod),"◇","")),IF(AND(BG$5&lt;=$F102,BG$5+GanttPeriod-1&gt;=$E102),"━","")))</f>
        <v/>
      </c>
      <c r="BH102" s="69" t="str">
        <f aca="false">IF($E102="","",IF($M102,IF(AND($G102&gt;=BH$5,$G102&lt;BH$5+GanttPeriod),"◆",IF(AND($E102&gt;=BH$5,$E102&lt;BH$5+GanttPeriod),"◇","")),IF(AND(BH$5&lt;=$F102,BH$5+GanttPeriod-1&gt;=$E102),"━","")))</f>
        <v/>
      </c>
      <c r="BI102" s="69" t="str">
        <f aca="false">IF($E102="","",IF($M102,IF(AND($G102&gt;=BI$5,$G102&lt;BI$5+GanttPeriod),"◆",IF(AND($E102&gt;=BI$5,$E102&lt;BI$5+GanttPeriod),"◇","")),IF(AND(BI$5&lt;=$F102,BI$5+GanttPeriod-1&gt;=$E102),"━","")))</f>
        <v/>
      </c>
      <c r="BJ102" s="69" t="str">
        <f aca="false">IF($E102="","",IF($M102,IF(AND($G102&gt;=BJ$5,$G102&lt;BJ$5+GanttPeriod),"◆",IF(AND($E102&gt;=BJ$5,$E102&lt;BJ$5+GanttPeriod),"◇","")),IF(AND(BJ$5&lt;=$F102,BJ$5+GanttPeriod-1&gt;=$E102),"━","")))</f>
        <v/>
      </c>
      <c r="BK102" s="69" t="str">
        <f aca="false">IF($E102="","",IF($M102,IF(AND($G102&gt;=BK$5,$G102&lt;BK$5+GanttPeriod),"◆",IF(AND($E102&gt;=BK$5,$E102&lt;BK$5+GanttPeriod),"◇","")),IF(AND(BK$5&lt;=$F102,BK$5+GanttPeriod-1&gt;=$E102),"━","")))</f>
        <v/>
      </c>
      <c r="BL102" s="69" t="str">
        <f aca="false">IF($E102="","",IF($M102,IF(AND($G102&gt;=BL$5,$G102&lt;BL$5+GanttPeriod),"◆",IF(AND($E102&gt;=BL$5,$E102&lt;BL$5+GanttPeriod),"◇","")),IF(AND(BL$5&lt;=$F102,BL$5+GanttPeriod-1&gt;=$E102),"━","")))</f>
        <v/>
      </c>
      <c r="BM102" s="69" t="str">
        <f aca="false">IF($E102="","",IF($M102,IF(AND($G102&gt;=BM$5,$G102&lt;BM$5+GanttPeriod),"◆",IF(AND($E102&gt;=BM$5,$E102&lt;BM$5+GanttPeriod),"◇","")),IF(AND(BM$5&lt;=$F102,BM$5+GanttPeriod-1&gt;=$E102),"━","")))</f>
        <v/>
      </c>
      <c r="BN102" s="69" t="str">
        <f aca="false">IF($E102="","",IF($M102,IF(AND($G102&gt;=BN$5,$G102&lt;BN$5+GanttPeriod),"◆",IF(AND($E102&gt;=BN$5,$E102&lt;BN$5+GanttPeriod),"◇","")),IF(AND(BN$5&lt;=$F102,BN$5+GanttPeriod-1&gt;=$E102),"━","")))</f>
        <v/>
      </c>
      <c r="BO102" s="69" t="str">
        <f aca="false">IF($E102="","",IF($M102,IF(AND($G102&gt;=BO$5,$G102&lt;BO$5+GanttPeriod),"◆",IF(AND($E102&gt;=BO$5,$E102&lt;BO$5+GanttPeriod),"◇","")),IF(AND(BO$5&lt;=$F102,BO$5+GanttPeriod-1&gt;=$E102),"━","")))</f>
        <v/>
      </c>
      <c r="BP102" s="69" t="str">
        <f aca="false">IF($E102="","",IF($M102,IF(AND($G102&gt;=BP$5,$G102&lt;BP$5+GanttPeriod),"◆",IF(AND($E102&gt;=BP$5,$E102&lt;BP$5+GanttPeriod),"◇","")),IF(AND(BP$5&lt;=$F102,BP$5+GanttPeriod-1&gt;=$E102),"━","")))</f>
        <v/>
      </c>
      <c r="BQ102" s="69" t="str">
        <f aca="false">IF($E102="","",IF($M102,IF(AND($G102&gt;=BQ$5,$G102&lt;BQ$5+GanttPeriod),"◆",IF(AND($E102&gt;=BQ$5,$E102&lt;BQ$5+GanttPeriod),"◇","")),IF(AND(BQ$5&lt;=$F102,BQ$5+GanttPeriod-1&gt;=$E102),"━","")))</f>
        <v/>
      </c>
      <c r="BR102" s="69" t="str">
        <f aca="false">IF($E102="","",IF($M102,IF(AND($G102&gt;=BR$5,$G102&lt;BR$5+GanttPeriod),"◆",IF(AND($E102&gt;=BR$5,$E102&lt;BR$5+GanttPeriod),"◇","")),IF(AND(BR$5&lt;=$F102,BR$5+GanttPeriod-1&gt;=$E102),"━","")))</f>
        <v/>
      </c>
      <c r="BS102" s="69" t="str">
        <f aca="false">IF($E102="","",IF($M102,IF(AND($G102&gt;=BS$5,$G102&lt;BS$5+GanttPeriod),"◆",IF(AND($E102&gt;=BS$5,$E102&lt;BS$5+GanttPeriod),"◇","")),IF(AND(BS$5&lt;=$F102,BS$5+GanttPeriod-1&gt;=$E102),"━","")))</f>
        <v/>
      </c>
      <c r="BT102" s="69" t="str">
        <f aca="false">IF($E102="","",IF($M102,IF(AND($G102&gt;=BT$5,$G102&lt;BT$5+GanttPeriod),"◆",IF(AND($E102&gt;=BT$5,$E102&lt;BT$5+GanttPeriod),"◇","")),IF(AND(BT$5&lt;=$F102,BT$5+GanttPeriod-1&gt;=$E102),"━","")))</f>
        <v/>
      </c>
      <c r="BU102" s="69" t="str">
        <f aca="false">IF($E102="","",IF($M102,IF(AND($G102&gt;=BU$5,$G102&lt;BU$5+GanttPeriod),"◆",IF(AND($E102&gt;=BU$5,$E102&lt;BU$5+GanttPeriod),"◇","")),IF(AND(BU$5&lt;=$F102,BU$5+GanttPeriod-1&gt;=$E102),"━","")))</f>
        <v/>
      </c>
      <c r="BV102" s="69" t="str">
        <f aca="false">IF($E102="","",IF($M102,IF(AND($G102&gt;=BV$5,$G102&lt;BV$5+GanttPeriod),"◆",IF(AND($E102&gt;=BV$5,$E102&lt;BV$5+GanttPeriod),"◇","")),IF(AND(BV$5&lt;=$F102,BV$5+GanttPeriod-1&gt;=$E102),"━","")))</f>
        <v/>
      </c>
      <c r="BW102" s="69" t="str">
        <f aca="false">IF($E102="","",IF($M102,IF(AND($G102&gt;=BW$5,$G102&lt;BW$5+GanttPeriod),"◆",IF(AND($E102&gt;=BW$5,$E102&lt;BW$5+GanttPeriod),"◇","")),IF(AND(BW$5&lt;=$F102,BW$5+GanttPeriod-1&gt;=$E102),"━","")))</f>
        <v/>
      </c>
      <c r="BX102" s="69" t="str">
        <f aca="false">IF($E102="","",IF($M102,IF(AND($G102&gt;=BX$5,$G102&lt;BX$5+GanttPeriod),"◆",IF(AND($E102&gt;=BX$5,$E102&lt;BX$5+GanttPeriod),"◇","")),IF(AND(BX$5&lt;=$F102,BX$5+GanttPeriod-1&gt;=$E102),"━","")))</f>
        <v/>
      </c>
      <c r="BY102" s="69" t="str">
        <f aca="false">IF($E102="","",IF($M102,IF(AND($G102&gt;=BY$5,$G102&lt;BY$5+GanttPeriod),"◆",IF(AND($E102&gt;=BY$5,$E102&lt;BY$5+GanttPeriod),"◇","")),IF(AND(BY$5&lt;=$F102,BY$5+GanttPeriod-1&gt;=$E102),"━","")))</f>
        <v/>
      </c>
      <c r="BZ102" s="69" t="str">
        <f aca="false">IF($E102="","",IF($M102,IF(AND($G102&gt;=BZ$5,$G102&lt;BZ$5+GanttPeriod),"◆",IF(AND($E102&gt;=BZ$5,$E102&lt;BZ$5+GanttPeriod),"◇","")),IF(AND(BZ$5&lt;=$F102,BZ$5+GanttPeriod-1&gt;=$E102),"━","")))</f>
        <v/>
      </c>
      <c r="CA102" s="69" t="str">
        <f aca="false">IF($E102="","",IF($M102,IF(AND($G102&gt;=CA$5,$G102&lt;CA$5+GanttPeriod),"◆",IF(AND($E102&gt;=CA$5,$E102&lt;CA$5+GanttPeriod),"◇","")),IF(AND(CA$5&lt;=$F102,CA$5+GanttPeriod-1&gt;=$E102),"━","")))</f>
        <v/>
      </c>
      <c r="CB102" s="69" t="str">
        <f aca="false">IF($E102="","",IF($M102,IF(AND($G102&gt;=CB$5,$G102&lt;CB$5+GanttPeriod),"◆",IF(AND($E102&gt;=CB$5,$E102&lt;CB$5+GanttPeriod),"◇","")),IF(AND(CB$5&lt;=$F102,CB$5+GanttPeriod-1&gt;=$E102),"━","")))</f>
        <v/>
      </c>
      <c r="CC102" s="69" t="str">
        <f aca="false">IF($E102="","",IF($M102,IF(AND($G102&gt;=CC$5,$G102&lt;CC$5+GanttPeriod),"◆",IF(AND($E102&gt;=CC$5,$E102&lt;CC$5+GanttPeriod),"◇","")),IF(AND(CC$5&lt;=$F102,CC$5+GanttPeriod-1&gt;=$E102),"━","")))</f>
        <v/>
      </c>
      <c r="CD102" s="69" t="str">
        <f aca="false">IF($E102="","",IF($M102,IF(AND($G102&gt;=CD$5,$G102&lt;CD$5+GanttPeriod),"◆",IF(AND($E102&gt;=CD$5,$E102&lt;CD$5+GanttPeriod),"◇","")),IF(AND(CD$5&lt;=$F102,CD$5+GanttPeriod-1&gt;=$E102),"━","")))</f>
        <v/>
      </c>
      <c r="CE102" s="69" t="str">
        <f aca="false">IF($E102="","",IF($M102,IF(AND($G102&gt;=CE$5,$G102&lt;CE$5+GanttPeriod),"◆",IF(AND($E102&gt;=CE$5,$E102&lt;CE$5+GanttPeriod),"◇","")),IF(AND(CE$5&lt;=$F102,CE$5+GanttPeriod-1&gt;=$E102),"━","")))</f>
        <v/>
      </c>
      <c r="CF102" s="69" t="str">
        <f aca="false">IF($E102="","",IF($M102,IF(AND($G102&gt;=CF$5,$G102&lt;CF$5+GanttPeriod),"◆",IF(AND($E102&gt;=CF$5,$E102&lt;CF$5+GanttPeriod),"◇","")),IF(AND(CF$5&lt;=$F102,CF$5+GanttPeriod-1&gt;=$E102),"━","")))</f>
        <v/>
      </c>
      <c r="CG102" s="69" t="str">
        <f aca="false">IF($E102="","",IF($M102,IF(AND($G102&gt;=CG$5,$G102&lt;CG$5+GanttPeriod),"◆",IF(AND($E102&gt;=CG$5,$E102&lt;CG$5+GanttPeriod),"◇","")),IF(AND(CG$5&lt;=$F102,CG$5+GanttPeriod-1&gt;=$E102),"━","")))</f>
        <v/>
      </c>
      <c r="CH102" s="69" t="str">
        <f aca="false">IF($E102="","",IF($M102,IF(AND($G102&gt;=CH$5,$G102&lt;CH$5+GanttPeriod),"◆",IF(AND($E102&gt;=CH$5,$E102&lt;CH$5+GanttPeriod),"◇","")),IF(AND(CH$5&lt;=$F102,CH$5+GanttPeriod-1&gt;=$E102),"━","")))</f>
        <v/>
      </c>
      <c r="CI102" s="69" t="str">
        <f aca="false">IF($E102="","",IF($M102,IF(AND($G102&gt;=CI$5,$G102&lt;CI$5+GanttPeriod),"◆",IF(AND($E102&gt;=CI$5,$E102&lt;CI$5+GanttPeriod),"◇","")),IF(AND(CI$5&lt;=$F102,CI$5+GanttPeriod-1&gt;=$E102),"━","")))</f>
        <v/>
      </c>
      <c r="CJ102" s="69" t="str">
        <f aca="false">IF($E102="","",IF($M102,IF(AND($G102&gt;=CJ$5,$G102&lt;CJ$5+GanttPeriod),"◆",IF(AND($E102&gt;=CJ$5,$E102&lt;CJ$5+GanttPeriod),"◇","")),IF(AND(CJ$5&lt;=$F102,CJ$5+GanttPeriod-1&gt;=$E102),"━","")))</f>
        <v/>
      </c>
      <c r="CK102" s="69" t="str">
        <f aca="false">IF($E102="","",IF($M102,IF(AND($G102&gt;=CK$5,$G102&lt;CK$5+GanttPeriod),"◆",IF(AND($E102&gt;=CK$5,$E102&lt;CK$5+GanttPeriod),"◇","")),IF(AND(CK$5&lt;=$F102,CK$5+GanttPeriod-1&gt;=$E102),"━","")))</f>
        <v/>
      </c>
      <c r="CL102" s="69" t="str">
        <f aca="false">IF($E102="","",IF($M102,IF(AND($G102&gt;=CL$5,$G102&lt;CL$5+GanttPeriod),"◆",IF(AND($E102&gt;=CL$5,$E102&lt;CL$5+GanttPeriod),"◇","")),IF(AND(CL$5&lt;=$F102,CL$5+GanttPeriod-1&gt;=$E102),"━","")))</f>
        <v/>
      </c>
      <c r="CM102" s="69" t="str">
        <f aca="false">IF($E102="","",IF($M102,IF(AND($G102&gt;=CM$5,$G102&lt;CM$5+GanttPeriod),"◆",IF(AND($E102&gt;=CM$5,$E102&lt;CM$5+GanttPeriod),"◇","")),IF(AND(CM$5&lt;=$F102,CM$5+GanttPeriod-1&gt;=$E102),"━","")))</f>
        <v/>
      </c>
      <c r="CN102" s="69" t="str">
        <f aca="false">IF($E102="","",IF($M102,IF(AND($G102&gt;=CN$5,$G102&lt;CN$5+GanttPeriod),"◆",IF(AND($E102&gt;=CN$5,$E102&lt;CN$5+GanttPeriod),"◇","")),IF(AND(CN$5&lt;=$F102,CN$5+GanttPeriod-1&gt;=$E102),"━","")))</f>
        <v/>
      </c>
      <c r="CO102" s="69" t="str">
        <f aca="false">IF($E102="","",IF($M102,IF(AND($G102&gt;=CO$5,$G102&lt;CO$5+GanttPeriod),"◆",IF(AND($E102&gt;=CO$5,$E102&lt;CO$5+GanttPeriod),"◇","")),IF(AND(CO$5&lt;=$F102,CO$5+GanttPeriod-1&gt;=$E102),"━","")))</f>
        <v/>
      </c>
      <c r="CP102" s="69" t="str">
        <f aca="false">IF($E102="","",IF($M102,IF(AND($G102&gt;=CP$5,$G102&lt;CP$5+GanttPeriod),"◆",IF(AND($E102&gt;=CP$5,$E102&lt;CP$5+GanttPeriod),"◇","")),IF(AND(CP$5&lt;=$F102,CP$5+GanttPeriod-1&gt;=$E102),"━","")))</f>
        <v/>
      </c>
      <c r="CQ102" s="69" t="str">
        <f aca="false">IF($E102="","",IF($M102,IF(AND($G102&gt;=CQ$5,$G102&lt;CQ$5+GanttPeriod),"◆",IF(AND($E102&gt;=CQ$5,$E102&lt;CQ$5+GanttPeriod),"◇","")),IF(AND(CQ$5&lt;=$F102,CQ$5+GanttPeriod-1&gt;=$E102),"━","")))</f>
        <v/>
      </c>
      <c r="CR102" s="69" t="str">
        <f aca="false">IF($E102="","",IF($M102,IF(AND($G102&gt;=CR$5,$G102&lt;CR$5+GanttPeriod),"◆",IF(AND($E102&gt;=CR$5,$E102&lt;CR$5+GanttPeriod),"◇","")),IF(AND(CR$5&lt;=$F102,CR$5+GanttPeriod-1&gt;=$E102),"━","")))</f>
        <v/>
      </c>
      <c r="CS102" s="69" t="str">
        <f aca="false">IF($E102="","",IF($M102,IF(AND($G102&gt;=CS$5,$G102&lt;CS$5+GanttPeriod),"◆",IF(AND($E102&gt;=CS$5,$E102&lt;CS$5+GanttPeriod),"◇","")),IF(AND(CS$5&lt;=$F102,CS$5+GanttPeriod-1&gt;=$E102),"━","")))</f>
        <v/>
      </c>
      <c r="CT102" s="69" t="str">
        <f aca="false">IF($E102="","",IF($M102,IF(AND($G102&gt;=CT$5,$G102&lt;CT$5+GanttPeriod),"◆",IF(AND($E102&gt;=CT$5,$E102&lt;CT$5+GanttPeriod),"◇","")),IF(AND(CT$5&lt;=$F102,CT$5+GanttPeriod-1&gt;=$E102),"━","")))</f>
        <v/>
      </c>
      <c r="CU102" s="69" t="str">
        <f aca="false">IF($E102="","",IF($M102,IF(AND($G102&gt;=CU$5,$G102&lt;CU$5+GanttPeriod),"◆",IF(AND($E102&gt;=CU$5,$E102&lt;CU$5+GanttPeriod),"◇","")),IF(AND(CU$5&lt;=$F102,CU$5+GanttPeriod-1&gt;=$E102),"━","")))</f>
        <v/>
      </c>
      <c r="CV102" s="69" t="str">
        <f aca="false">IF($E102="","",IF($M102,IF(AND($G102&gt;=CV$5,$G102&lt;CV$5+GanttPeriod),"◆",IF(AND($E102&gt;=CV$5,$E102&lt;CV$5+GanttPeriod),"◇","")),IF(AND(CV$5&lt;=$F102,CV$5+GanttPeriod-1&gt;=$E102),"━","")))</f>
        <v/>
      </c>
      <c r="CW102" s="69" t="str">
        <f aca="false">IF($E102="","",IF($M102,IF(AND($G102&gt;=CW$5,$G102&lt;CW$5+GanttPeriod),"◆",IF(AND($E102&gt;=CW$5,$E102&lt;CW$5+GanttPeriod),"◇","")),IF(AND(CW$5&lt;=$F102,CW$5+GanttPeriod-1&gt;=$E102),"━","")))</f>
        <v/>
      </c>
      <c r="CX102" s="69" t="str">
        <f aca="false">IF($E102="","",IF($M102,IF(AND($G102&gt;=CX$5,$G102&lt;CX$5+GanttPeriod),"◆",IF(AND($E102&gt;=CX$5,$E102&lt;CX$5+GanttPeriod),"◇","")),IF(AND(CX$5&lt;=$F102,CX$5+GanttPeriod-1&gt;=$E102),"━","")))</f>
        <v/>
      </c>
      <c r="CY102" s="69" t="str">
        <f aca="false">IF($E102="","",IF($M102,IF(AND($G102&gt;=CY$5,$G102&lt;CY$5+GanttPeriod),"◆",IF(AND($E102&gt;=CY$5,$E102&lt;CY$5+GanttPeriod),"◇","")),IF(AND(CY$5&lt;=$F102,CY$5+GanttPeriod-1&gt;=$E102),"━","")))</f>
        <v/>
      </c>
      <c r="CZ102" s="69" t="str">
        <f aca="false">IF($E102="","",IF($M102,IF(AND($G102&gt;=CZ$5,$G102&lt;CZ$5+GanttPeriod),"◆",IF(AND($E102&gt;=CZ$5,$E102&lt;CZ$5+GanttPeriod),"◇","")),IF(AND(CZ$5&lt;=$F102,CZ$5+GanttPeriod-1&gt;=$E102),"━","")))</f>
        <v/>
      </c>
      <c r="DA102" s="69" t="str">
        <f aca="false">IF($E102="","",IF($M102,IF(AND($G102&gt;=DA$5,$G102&lt;DA$5+GanttPeriod),"◆",IF(AND($E102&gt;=DA$5,$E102&lt;DA$5+GanttPeriod),"◇","")),IF(AND(DA$5&lt;=$F102,DA$5+GanttPeriod-1&gt;=$E102),"━","")))</f>
        <v/>
      </c>
      <c r="DB102" s="69" t="str">
        <f aca="false">IF($E102="","",IF($M102,IF(AND($G102&gt;=DB$5,$G102&lt;DB$5+GanttPeriod),"◆",IF(AND($E102&gt;=DB$5,$E102&lt;DB$5+GanttPeriod),"◇","")),IF(AND(DB$5&lt;=$F102,DB$5+GanttPeriod-1&gt;=$E102),"━","")))</f>
        <v/>
      </c>
      <c r="DC102" s="69" t="str">
        <f aca="false">IF($E102="","",IF($M102,IF(AND($G102&gt;=DC$5,$G102&lt;DC$5+GanttPeriod),"◆",IF(AND($E102&gt;=DC$5,$E102&lt;DC$5+GanttPeriod),"◇","")),IF(AND(DC$5&lt;=$F102,DC$5+GanttPeriod-1&gt;=$E102),"━","")))</f>
        <v/>
      </c>
      <c r="DD102" s="69" t="str">
        <f aca="false">IF($E102="","",IF($M102,IF(AND($G102&gt;=DD$5,$G102&lt;DD$5+GanttPeriod),"◆",IF(AND($E102&gt;=DD$5,$E102&lt;DD$5+GanttPeriod),"◇","")),IF(AND(DD$5&lt;=$F102,DD$5+GanttPeriod-1&gt;=$E102),"━","")))</f>
        <v/>
      </c>
      <c r="DE102" s="69" t="str">
        <f aca="false">IF($E102="","",IF($M102,IF(AND($G102&gt;=DE$5,$G102&lt;DE$5+GanttPeriod),"◆",IF(AND($E102&gt;=DE$5,$E102&lt;DE$5+GanttPeriod),"◇","")),IF(AND(DE$5&lt;=$F102,DE$5+GanttPeriod-1&gt;=$E102),"━","")))</f>
        <v/>
      </c>
      <c r="DF102" s="69" t="str">
        <f aca="false">IF($E102="","",IF($M102,IF(AND($G102&gt;=DF$5,$G102&lt;DF$5+GanttPeriod),"◆",IF(AND($E102&gt;=DF$5,$E102&lt;DF$5+GanttPeriod),"◇","")),IF(AND(DF$5&lt;=$F102,DF$5+GanttPeriod-1&gt;=$E102),"━","")))</f>
        <v/>
      </c>
      <c r="DG102" s="69" t="str">
        <f aca="false">IF($E102="","",IF($M102,IF(AND($G102&gt;=DG$5,$G102&lt;DG$5+GanttPeriod),"◆",IF(AND($E102&gt;=DG$5,$E102&lt;DG$5+GanttPeriod),"◇","")),IF(AND(DG$5&lt;=$F102,DG$5+GanttPeriod-1&gt;=$E102),"━","")))</f>
        <v/>
      </c>
      <c r="DH102" s="69" t="str">
        <f aca="false">IF($E102="","",IF($M102,IF(AND($G102&gt;=DH$5,$G102&lt;DH$5+GanttPeriod),"◆",IF(AND($E102&gt;=DH$5,$E102&lt;DH$5+GanttPeriod),"◇","")),IF(AND(DH$5&lt;=$F102,DH$5+GanttPeriod-1&gt;=$E102),"━","")))</f>
        <v/>
      </c>
      <c r="DI102" s="69" t="str">
        <f aca="false">IF($E102="","",IF($M102,IF(AND($G102&gt;=DI$5,$G102&lt;DI$5+GanttPeriod),"◆",IF(AND($E102&gt;=DI$5,$E102&lt;DI$5+GanttPeriod),"◇","")),IF(AND(DI$5&lt;=$F102,DI$5+GanttPeriod-1&gt;=$E102),"━","")))</f>
        <v/>
      </c>
      <c r="DJ102" s="69" t="str">
        <f aca="false">IF($E102="","",IF($M102,IF(AND($G102&gt;=DJ$5,$G102&lt;DJ$5+GanttPeriod),"◆",IF(AND($E102&gt;=DJ$5,$E102&lt;DJ$5+GanttPeriod),"◇","")),IF(AND(DJ$5&lt;=$F102,DJ$5+GanttPeriod-1&gt;=$E102),"━","")))</f>
        <v/>
      </c>
      <c r="DK102" s="69" t="str">
        <f aca="false">IF($E102="","",IF($M102,IF(AND($G102&gt;=DK$5,$G102&lt;DK$5+GanttPeriod),"◆",IF(AND($E102&gt;=DK$5,$E102&lt;DK$5+GanttPeriod),"◇","")),IF(AND(DK$5&lt;=$F102,DK$5+GanttPeriod-1&gt;=$E102),"━","")))</f>
        <v/>
      </c>
      <c r="DL102" s="69" t="str">
        <f aca="false">IF($E102="","",IF($M102,IF(AND($G102&gt;=DL$5,$G102&lt;DL$5+GanttPeriod),"◆",IF(AND($E102&gt;=DL$5,$E102&lt;DL$5+GanttPeriod),"◇","")),IF(AND(DL$5&lt;=$F102,DL$5+GanttPeriod-1&gt;=$E102),"━","")))</f>
        <v/>
      </c>
      <c r="DM102" s="69" t="str">
        <f aca="false">IF($E102="","",IF($M102,IF(AND($G102&gt;=DM$5,$G102&lt;DM$5+GanttPeriod),"◆",IF(AND($E102&gt;=DM$5,$E102&lt;DM$5+GanttPeriod),"◇","")),IF(AND(DM$5&lt;=$F102,DM$5+GanttPeriod-1&gt;=$E102),"━","")))</f>
        <v/>
      </c>
      <c r="DN102" s="69" t="str">
        <f aca="false">IF($E102="","",IF($M102,IF(AND($G102&gt;=DN$5,$G102&lt;DN$5+GanttPeriod),"◆",IF(AND($E102&gt;=DN$5,$E102&lt;DN$5+GanttPeriod),"◇","")),IF(AND(DN$5&lt;=$F102,DN$5+GanttPeriod-1&gt;=$E102),"━","")))</f>
        <v/>
      </c>
      <c r="DO102" s="69" t="str">
        <f aca="false">IF($E102="","",IF($M102,IF(AND($G102&gt;=DO$5,$G102&lt;DO$5+GanttPeriod),"◆",IF(AND($E102&gt;=DO$5,$E102&lt;DO$5+GanttPeriod),"◇","")),IF(AND(DO$5&lt;=$F102,DO$5+GanttPeriod-1&gt;=$E102),"━","")))</f>
        <v/>
      </c>
      <c r="DP102" s="69" t="str">
        <f aca="false">IF($E102="","",IF($M102,IF(AND($G102&gt;=DP$5,$G102&lt;DP$5+GanttPeriod),"◆",IF(AND($E102&gt;=DP$5,$E102&lt;DP$5+GanttPeriod),"◇","")),IF(AND(DP$5&lt;=$F102,DP$5+GanttPeriod-1&gt;=$E102),"━","")))</f>
        <v/>
      </c>
      <c r="DQ102" s="69" t="str">
        <f aca="false">IF($E102="","",IF($M102,IF(AND($G102&gt;=DQ$5,$G102&lt;DQ$5+GanttPeriod),"◆",IF(AND($E102&gt;=DQ$5,$E102&lt;DQ$5+GanttPeriod),"◇","")),IF(AND(DQ$5&lt;=$F102,DQ$5+GanttPeriod-1&gt;=$E102),"━","")))</f>
        <v/>
      </c>
      <c r="DR102" s="69" t="str">
        <f aca="false">IF($E102="","",IF($M102,IF(AND($G102&gt;=DR$5,$G102&lt;DR$5+GanttPeriod),"◆",IF(AND($E102&gt;=DR$5,$E102&lt;DR$5+GanttPeriod),"◇","")),IF(AND(DR$5&lt;=$F102,DR$5+GanttPeriod-1&gt;=$E102),"━","")))</f>
        <v/>
      </c>
      <c r="DS102" s="69" t="str">
        <f aca="false">IF($E102="","",IF($M102,IF(AND($G102&gt;=DS$5,$G102&lt;DS$5+GanttPeriod),"◆",IF(AND($E102&gt;=DS$5,$E102&lt;DS$5+GanttPeriod),"◇","")),IF(AND(DS$5&lt;=$F102,DS$5+GanttPeriod-1&gt;=$E102),"━","")))</f>
        <v/>
      </c>
      <c r="DT102" s="69" t="str">
        <f aca="false">IF($E102="","",IF($M102,IF(AND($G102&gt;=DT$5,$G102&lt;DT$5+GanttPeriod),"◆",IF(AND($E102&gt;=DT$5,$E102&lt;DT$5+GanttPeriod),"◇","")),IF(AND(DT$5&lt;=$F102,DT$5+GanttPeriod-1&gt;=$E102),"━","")))</f>
        <v/>
      </c>
      <c r="DU102" s="69" t="str">
        <f aca="false">IF($E102="","",IF($M102,IF(AND($G102&gt;=DU$5,$G102&lt;DU$5+GanttPeriod),"◆",IF(AND($E102&gt;=DU$5,$E102&lt;DU$5+GanttPeriod),"◇","")),IF(AND(DU$5&lt;=$F102,DU$5+GanttPeriod-1&gt;=$E102),"━","")))</f>
        <v/>
      </c>
      <c r="DV102" s="69" t="str">
        <f aca="false">IF($E102="","",IF($M102,IF(AND($G102&gt;=DV$5,$G102&lt;DV$5+GanttPeriod),"◆",IF(AND($E102&gt;=DV$5,$E102&lt;DV$5+GanttPeriod),"◇","")),IF(AND(DV$5&lt;=$F102,DV$5+GanttPeriod-1&gt;=$E102),"━","")))</f>
        <v/>
      </c>
      <c r="DW102" s="69" t="str">
        <f aca="false">IF($E102="","",IF($M102,IF(AND($G102&gt;=DW$5,$G102&lt;DW$5+GanttPeriod),"◆",IF(AND($E102&gt;=DW$5,$E102&lt;DW$5+GanttPeriod),"◇","")),IF(AND(DW$5&lt;=$F102,DW$5+GanttPeriod-1&gt;=$E102),"━","")))</f>
        <v/>
      </c>
      <c r="DX102" s="69" t="str">
        <f aca="false">IF($E102="","",IF($M102,IF(AND($G102&gt;=DX$5,$G102&lt;DX$5+GanttPeriod),"◆",IF(AND($E102&gt;=DX$5,$E102&lt;DX$5+GanttPeriod),"◇","")),IF(AND(DX$5&lt;=$F102,DX$5+GanttPeriod-1&gt;=$E102),"━","")))</f>
        <v/>
      </c>
      <c r="DY102" s="69" t="str">
        <f aca="false">IF($E102="","",IF($M102,IF(AND($G102&gt;=DY$5,$G102&lt;DY$5+GanttPeriod),"◆",IF(AND($E102&gt;=DY$5,$E102&lt;DY$5+GanttPeriod),"◇","")),IF(AND(DY$5&lt;=$F102,DY$5+GanttPeriod-1&gt;=$E102),"━","")))</f>
        <v/>
      </c>
      <c r="DZ102" s="69" t="str">
        <f aca="false">IF($E102="","",IF($M102,IF(AND($G102&gt;=DZ$5,$G102&lt;DZ$5+GanttPeriod),"◆",IF(AND($E102&gt;=DZ$5,$E102&lt;DZ$5+GanttPeriod),"◇","")),IF(AND(DZ$5&lt;=$F102,DZ$5+GanttPeriod-1&gt;=$E102),"━","")))</f>
        <v/>
      </c>
      <c r="EA102" s="69" t="str">
        <f aca="false">IF($E102="","",IF($M102,IF(AND($G102&gt;=EA$5,$G102&lt;EA$5+GanttPeriod),"◆",IF(AND($E102&gt;=EA$5,$E102&lt;EA$5+GanttPeriod),"◇","")),IF(AND(EA$5&lt;=$F102,EA$5+GanttPeriod-1&gt;=$E102),"━","")))</f>
        <v/>
      </c>
      <c r="EB102" s="69" t="str">
        <f aca="false">IF($E102="","",IF($M102,IF(AND($G102&gt;=EB$5,$G102&lt;EB$5+GanttPeriod),"◆",IF(AND($E102&gt;=EB$5,$E102&lt;EB$5+GanttPeriod),"◇","")),IF(AND(EB$5&lt;=$F102,EB$5+GanttPeriod-1&gt;=$E102),"━","")))</f>
        <v/>
      </c>
      <c r="EC102" s="69" t="str">
        <f aca="false">IF($E102="","",IF($M102,IF(AND($G102&gt;=EC$5,$G102&lt;EC$5+GanttPeriod),"◆",IF(AND($E102&gt;=EC$5,$E102&lt;EC$5+GanttPeriod),"◇","")),IF(AND(EC$5&lt;=$F102,EC$5+GanttPeriod-1&gt;=$E102),"━","")))</f>
        <v/>
      </c>
      <c r="ED102" s="69" t="str">
        <f aca="false">IF($E102="","",IF($M102,IF(AND($G102&gt;=ED$5,$G102&lt;ED$5+GanttPeriod),"◆",IF(AND($E102&gt;=ED$5,$E102&lt;ED$5+GanttPeriod),"◇","")),IF(AND(ED$5&lt;=$F102,ED$5+GanttPeriod-1&gt;=$E102),"━","")))</f>
        <v/>
      </c>
      <c r="EE102" s="69" t="str">
        <f aca="false">IF($E102="","",IF($M102,IF(AND($G102&gt;=EE$5,$G102&lt;EE$5+GanttPeriod),"◆",IF(AND($E102&gt;=EE$5,$E102&lt;EE$5+GanttPeriod),"◇","")),IF(AND(EE$5&lt;=$F102,EE$5+GanttPeriod-1&gt;=$E102),"━","")))</f>
        <v/>
      </c>
      <c r="EF102" s="69" t="str">
        <f aca="false">IF($E102="","",IF($M102,IF(AND($G102&gt;=EF$5,$G102&lt;EF$5+GanttPeriod),"◆",IF(AND($E102&gt;=EF$5,$E102&lt;EF$5+GanttPeriod),"◇","")),IF(AND(EF$5&lt;=$F102,EF$5+GanttPeriod-1&gt;=$E102),"━","")))</f>
        <v/>
      </c>
      <c r="EG102" s="69" t="str">
        <f aca="false">IF($E102="","",IF($M102,IF(AND($G102&gt;=EG$5,$G102&lt;EG$5+GanttPeriod),"◆",IF(AND($E102&gt;=EG$5,$E102&lt;EG$5+GanttPeriod),"◇","")),IF(AND(EG$5&lt;=$F102,EG$5+GanttPeriod-1&gt;=$E102),"━","")))</f>
        <v/>
      </c>
      <c r="EH102" s="69" t="str">
        <f aca="false">IF($E102="","",IF($M102,IF(AND($G102&gt;=EH$5,$G102&lt;EH$5+GanttPeriod),"◆",IF(AND($E102&gt;=EH$5,$E102&lt;EH$5+GanttPeriod),"◇","")),IF(AND(EH$5&lt;=$F102,EH$5+GanttPeriod-1&gt;=$E102),"━","")))</f>
        <v/>
      </c>
      <c r="EI102" s="69" t="str">
        <f aca="false">IF($E102="","",IF($M102,IF(AND($G102&gt;=EI$5,$G102&lt;EI$5+GanttPeriod),"◆",IF(AND($E102&gt;=EI$5,$E102&lt;EI$5+GanttPeriod),"◇","")),IF(AND(EI$5&lt;=$F102,EI$5+GanttPeriod-1&gt;=$E102),"━","")))</f>
        <v/>
      </c>
      <c r="EJ102" s="69" t="str">
        <f aca="false">IF($E102="","",IF($M102,IF(AND($G102&gt;=EJ$5,$G102&lt;EJ$5+GanttPeriod),"◆",IF(AND($E102&gt;=EJ$5,$E102&lt;EJ$5+GanttPeriod),"◇","")),IF(AND(EJ$5&lt;=$F102,EJ$5+GanttPeriod-1&gt;=$E102),"━","")))</f>
        <v/>
      </c>
      <c r="EK102" s="69" t="str">
        <f aca="false">IF($E102="","",IF($M102,IF(AND($G102&gt;=EK$5,$G102&lt;EK$5+GanttPeriod),"◆",IF(AND($E102&gt;=EK$5,$E102&lt;EK$5+GanttPeriod),"◇","")),IF(AND(EK$5&lt;=$F102,EK$5+GanttPeriod-1&gt;=$E102),"━","")))</f>
        <v/>
      </c>
      <c r="EL102" s="69" t="str">
        <f aca="false">IF($E102="","",IF($M102,IF(AND($G102&gt;=EL$5,$G102&lt;EL$5+GanttPeriod),"◆",IF(AND($E102&gt;=EL$5,$E102&lt;EL$5+GanttPeriod),"◇","")),IF(AND(EL$5&lt;=$F102,EL$5+GanttPeriod-1&gt;=$E102),"━","")))</f>
        <v/>
      </c>
      <c r="EM102" s="69" t="str">
        <f aca="false">IF($E102="","",IF($M102,IF(AND($G102&gt;=EM$5,$G102&lt;EM$5+GanttPeriod),"◆",IF(AND($E102&gt;=EM$5,$E102&lt;EM$5+GanttPeriod),"◇","")),IF(AND(EM$5&lt;=$F102,EM$5+GanttPeriod-1&gt;=$E102),"━","")))</f>
        <v/>
      </c>
      <c r="EN102" s="69" t="str">
        <f aca="false">IF($E102="","",IF($M102,IF(AND($G102&gt;=EN$5,$G102&lt;EN$5+GanttPeriod),"◆",IF(AND($E102&gt;=EN$5,$E102&lt;EN$5+GanttPeriod),"◇","")),IF(AND(EN$5&lt;=$F102,EN$5+GanttPeriod-1&gt;=$E102),"━","")))</f>
        <v/>
      </c>
      <c r="EO102" s="69" t="str">
        <f aca="false">IF($E102="","",IF($M102,IF(AND($G102&gt;=EO$5,$G102&lt;EO$5+GanttPeriod),"◆",IF(AND($E102&gt;=EO$5,$E102&lt;EO$5+GanttPeriod),"◇","")),IF(AND(EO$5&lt;=$F102,EO$5+GanttPeriod-1&gt;=$E102),"━","")))</f>
        <v/>
      </c>
      <c r="EP102" s="69" t="str">
        <f aca="false">IF($E102="","",IF($M102,IF(AND($G102&gt;=EP$5,$G102&lt;EP$5+GanttPeriod),"◆",IF(AND($E102&gt;=EP$5,$E102&lt;EP$5+GanttPeriod),"◇","")),IF(AND(EP$5&lt;=$F102,EP$5+GanttPeriod-1&gt;=$E102),"━","")))</f>
        <v/>
      </c>
      <c r="EQ102" s="69" t="str">
        <f aca="false">IF($E102="","",IF($M102,IF(AND($G102&gt;=EQ$5,$G102&lt;EQ$5+GanttPeriod),"◆",IF(AND($E102&gt;=EQ$5,$E102&lt;EQ$5+GanttPeriod),"◇","")),IF(AND(EQ$5&lt;=$F102,EQ$5+GanttPeriod-1&gt;=$E102),"━","")))</f>
        <v/>
      </c>
      <c r="ER102" s="69" t="str">
        <f aca="false">IF($E102="","",IF($M102,IF(AND($G102&gt;=ER$5,$G102&lt;ER$5+GanttPeriod),"◆",IF(AND($E102&gt;=ER$5,$E102&lt;ER$5+GanttPeriod),"◇","")),IF(AND(ER$5&lt;=$F102,ER$5+GanttPeriod-1&gt;=$E102),"━","")))</f>
        <v/>
      </c>
      <c r="ES102" s="69" t="str">
        <f aca="false">IF($E102="","",IF($M102,IF(AND($G102&gt;=ES$5,$G102&lt;ES$5+GanttPeriod),"◆",IF(AND($E102&gt;=ES$5,$E102&lt;ES$5+GanttPeriod),"◇","")),IF(AND(ES$5&lt;=$F102,ES$5+GanttPeriod-1&gt;=$E102),"━","")))</f>
        <v/>
      </c>
      <c r="ET102" s="69" t="str">
        <f aca="false">IF($E102="","",IF($M102,IF(AND($G102&gt;=ET$5,$G102&lt;ET$5+GanttPeriod),"◆",IF(AND($E102&gt;=ET$5,$E102&lt;ET$5+GanttPeriod),"◇","")),IF(AND(ET$5&lt;=$F102,ET$5+GanttPeriod-1&gt;=$E102),"━","")))</f>
        <v/>
      </c>
      <c r="EU102" s="69" t="str">
        <f aca="false">IF($E102="","",IF($M102,IF(AND($G102&gt;=EU$5,$G102&lt;EU$5+GanttPeriod),"◆",IF(AND($E102&gt;=EU$5,$E102&lt;EU$5+GanttPeriod),"◇","")),IF(AND(EU$5&lt;=$F102,EU$5+GanttPeriod-1&gt;=$E102),"━","")))</f>
        <v/>
      </c>
      <c r="EV102" s="69" t="str">
        <f aca="false">IF($E102="","",IF($M102,IF(AND($G102&gt;=EV$5,$G102&lt;EV$5+GanttPeriod),"◆",IF(AND($E102&gt;=EV$5,$E102&lt;EV$5+GanttPeriod),"◇","")),IF(AND(EV$5&lt;=$F102,EV$5+GanttPeriod-1&gt;=$E102),"━","")))</f>
        <v/>
      </c>
      <c r="EW102" s="69" t="str">
        <f aca="false">IF($E102="","",IF($M102,IF(AND($G102&gt;=EW$5,$G102&lt;EW$5+GanttPeriod),"◆",IF(AND($E102&gt;=EW$5,$E102&lt;EW$5+GanttPeriod),"◇","")),IF(AND(EW$5&lt;=$F102,EW$5+GanttPeriod-1&gt;=$E102),"━","")))</f>
        <v/>
      </c>
      <c r="EX102" s="69" t="str">
        <f aca="false">IF($E102="","",IF($M102,IF(AND($G102&gt;=EX$5,$G102&lt;EX$5+GanttPeriod),"◆",IF(AND($E102&gt;=EX$5,$E102&lt;EX$5+GanttPeriod),"◇","")),IF(AND(EX$5&lt;=$F102,EX$5+GanttPeriod-1&gt;=$E102),"━","")))</f>
        <v/>
      </c>
      <c r="EY102" s="69" t="str">
        <f aca="false">IF($E102="","",IF($M102,IF(AND($G102&gt;=EY$5,$G102&lt;EY$5+GanttPeriod),"◆",IF(AND($E102&gt;=EY$5,$E102&lt;EY$5+GanttPeriod),"◇","")),IF(AND(EY$5&lt;=$F102,EY$5+GanttPeriod-1&gt;=$E102),"━","")))</f>
        <v/>
      </c>
      <c r="EZ102" s="69" t="str">
        <f aca="false">IF($E102="","",IF($M102,IF(AND($G102&gt;=EZ$5,$G102&lt;EZ$5+GanttPeriod),"◆",IF(AND($E102&gt;=EZ$5,$E102&lt;EZ$5+GanttPeriod),"◇","")),IF(AND(EZ$5&lt;=$F102,EZ$5+GanttPeriod-1&gt;=$E102),"━","")))</f>
        <v/>
      </c>
      <c r="FA102" s="69" t="str">
        <f aca="false">IF($E102="","",IF($M102,IF(AND($G102&gt;=FA$5,$G102&lt;FA$5+GanttPeriod),"◆",IF(AND($E102&gt;=FA$5,$E102&lt;FA$5+GanttPeriod),"◇","")),IF(AND(FA$5&lt;=$F102,FA$5+GanttPeriod-1&gt;=$E102),"━","")))</f>
        <v/>
      </c>
      <c r="FB102" s="69" t="str">
        <f aca="false">IF($E102="","",IF($M102,IF(AND($G102&gt;=FB$5,$G102&lt;FB$5+GanttPeriod),"◆",IF(AND($E102&gt;=FB$5,$E102&lt;FB$5+GanttPeriod),"◇","")),IF(AND(FB$5&lt;=$F102,FB$5+GanttPeriod-1&gt;=$E102),"━","")))</f>
        <v/>
      </c>
      <c r="FC102" s="69" t="str">
        <f aca="false">IF($E102="","",IF($M102,IF(AND($G102&gt;=FC$5,$G102&lt;FC$5+GanttPeriod),"◆",IF(AND($E102&gt;=FC$5,$E102&lt;FC$5+GanttPeriod),"◇","")),IF(AND(FC$5&lt;=$F102,FC$5+GanttPeriod-1&gt;=$E102),"━","")))</f>
        <v/>
      </c>
      <c r="FD102" s="69" t="str">
        <f aca="false">IF($E102="","",IF($M102,IF(AND($G102&gt;=FD$5,$G102&lt;FD$5+GanttPeriod),"◆",IF(AND($E102&gt;=FD$5,$E102&lt;FD$5+GanttPeriod),"◇","")),IF(AND(FD$5&lt;=$F102,FD$5+GanttPeriod-1&gt;=$E102),"━","")))</f>
        <v/>
      </c>
      <c r="FE102" s="69" t="str">
        <f aca="false">IF($E102="","",IF($M102,IF(AND($G102&gt;=FE$5,$G102&lt;FE$5+GanttPeriod),"◆",IF(AND($E102&gt;=FE$5,$E102&lt;FE$5+GanttPeriod),"◇","")),IF(AND(FE$5&lt;=$F102,FE$5+GanttPeriod-1&gt;=$E102),"━","")))</f>
        <v/>
      </c>
      <c r="FF102" s="69" t="str">
        <f aca="false">IF($E102="","",IF($M102,IF(AND($G102&gt;=FF$5,$G102&lt;FF$5+GanttPeriod),"◆",IF(AND($E102&gt;=FF$5,$E102&lt;FF$5+GanttPeriod),"◇","")),IF(AND(FF$5&lt;=$F102,FF$5+GanttPeriod-1&gt;=$E102),"━","")))</f>
        <v/>
      </c>
      <c r="FG102" s="69" t="str">
        <f aca="false">IF($E102="","",IF($M102,IF(AND($G102&gt;=FG$5,$G102&lt;FG$5+GanttPeriod),"◆",IF(AND($E102&gt;=FG$5,$E102&lt;FG$5+GanttPeriod),"◇","")),IF(AND(FG$5&lt;=$F102,FG$5+GanttPeriod-1&gt;=$E102),"━","")))</f>
        <v/>
      </c>
      <c r="FH102" s="69" t="str">
        <f aca="false">IF($E102="","",IF($M102,IF(AND($G102&gt;=FH$5,$G102&lt;FH$5+GanttPeriod),"◆",IF(AND($E102&gt;=FH$5,$E102&lt;FH$5+GanttPeriod),"◇","")),IF(AND(FH$5&lt;=$F102,FH$5+GanttPeriod-1&gt;=$E102),"━","")))</f>
        <v/>
      </c>
      <c r="FI102" s="69" t="str">
        <f aca="false">IF($E102="","",IF($M102,IF(AND($G102&gt;=FI$5,$G102&lt;FI$5+GanttPeriod),"◆",IF(AND($E102&gt;=FI$5,$E102&lt;FI$5+GanttPeriod),"◇","")),IF(AND(FI$5&lt;=$F102,FI$5+GanttPeriod-1&gt;=$E102),"━","")))</f>
        <v/>
      </c>
      <c r="FJ102" s="69" t="str">
        <f aca="false">IF($E102="","",IF($M102,IF(AND($G102&gt;=FJ$5,$G102&lt;FJ$5+GanttPeriod),"◆",IF(AND($E102&gt;=FJ$5,$E102&lt;FJ$5+GanttPeriod),"◇","")),IF(AND(FJ$5&lt;=$F102,FJ$5+GanttPeriod-1&gt;=$E102),"━","")))</f>
        <v/>
      </c>
      <c r="FK102" s="69" t="str">
        <f aca="false">IF($E102="","",IF($M102,IF(AND($G102&gt;=FK$5,$G102&lt;FK$5+GanttPeriod),"◆",IF(AND($E102&gt;=FK$5,$E102&lt;FK$5+GanttPeriod),"◇","")),IF(AND(FK$5&lt;=$F102,FK$5+GanttPeriod-1&gt;=$E102),"━","")))</f>
        <v/>
      </c>
      <c r="FL102" s="69" t="str">
        <f aca="false">IF($E102="","",IF($M102,IF(AND($G102&gt;=FL$5,$G102&lt;FL$5+GanttPeriod),"◆",IF(AND($E102&gt;=FL$5,$E102&lt;FL$5+GanttPeriod),"◇","")),IF(AND(FL$5&lt;=$F102,FL$5+GanttPeriod-1&gt;=$E102),"━","")))</f>
        <v/>
      </c>
      <c r="FM102" s="69" t="str">
        <f aca="false">IF($E102="","",IF($M102,IF(AND($G102&gt;=FM$5,$G102&lt;FM$5+GanttPeriod),"◆",IF(AND($E102&gt;=FM$5,$E102&lt;FM$5+GanttPeriod),"◇","")),IF(AND(FM$5&lt;=$F102,FM$5+GanttPeriod-1&gt;=$E102),"━","")))</f>
        <v/>
      </c>
    </row>
    <row r="103" customFormat="false" ht="15" hidden="false" customHeight="false" outlineLevel="0" collapsed="false">
      <c r="A103" s="62" t="str">
        <f aca="false">IF(Tasks!$D103="","",Tasks!$A103)</f>
        <v/>
      </c>
      <c r="B103" s="62" t="str">
        <f aca="false">IF(Tasks!$D103="","",Tasks!$B103)</f>
        <v/>
      </c>
      <c r="C103" s="63" t="str">
        <f aca="false">IF(Tasks!$D103="","",REPT("    ",Tasks!$AE103-1)&amp;Tasks!$D103)</f>
        <v/>
      </c>
      <c r="D103" s="62" t="str">
        <f aca="false">IF(Tasks!$D103="","",IF(Tasks!$AI103,NETWORKDAYS.INTL(Tasks!$R103,Tasks!$S103,WorkWeek,Holidays),N(Tasks!$F103)))</f>
        <v/>
      </c>
      <c r="E103" s="64" t="str">
        <f aca="false">IF(Tasks!$D103="","",Tasks!$N103)</f>
        <v/>
      </c>
      <c r="F103" s="64" t="str">
        <f aca="false">IF(Tasks!$D103="","",Tasks!$O103)</f>
        <v/>
      </c>
      <c r="G103" s="64" t="str">
        <f aca="false">IF(Tasks!$D103="","",Tasks!$R103)</f>
        <v/>
      </c>
      <c r="H103" s="64" t="str">
        <f aca="false">IF(Tasks!$D103="","",Tasks!$S103)</f>
        <v/>
      </c>
      <c r="I103" s="65" t="str">
        <f aca="false">IF(Tasks!$D103="","",Tasks!$V103)</f>
        <v/>
      </c>
      <c r="J103" s="63" t="str">
        <f aca="false">IF(Tasks!$D103="","",Tasks!$X103&amp;"")</f>
        <v/>
      </c>
      <c r="K103" s="66" t="str">
        <f aca="false">IF(Tasks!$D103="","",Tasks!$W103)</f>
        <v/>
      </c>
      <c r="L103" s="67" t="b">
        <f aca="false">IF(Tasks!$D103="",FALSE(),Tasks!$AI103)</f>
        <v>0</v>
      </c>
      <c r="M103" s="67" t="b">
        <f aca="false">AND(Tasks!$AJ103=1,N(Tasks!$F103)=0)</f>
        <v>0</v>
      </c>
      <c r="N103" s="68" t="n">
        <f aca="false">IF(AND(Tasks!$AJ103=1,NOT($M103),N($I103)&gt;0),$G103,0)</f>
        <v>0</v>
      </c>
      <c r="O103" s="68" t="n">
        <f aca="false">IF($N103=0,0,IF($I103&gt;=1,$H103,MAX($N103,$G103+ROUND(($H103-$G103+1)*$I103,0)-1)))</f>
        <v>0</v>
      </c>
      <c r="P103" s="68" t="n">
        <f aca="false">IF(OR(Tasks!$AJ103&lt;&gt;1,$M103,N($I103)&gt;=1),0,IF($O103&gt;0,$O103+1,$G103))</f>
        <v>0</v>
      </c>
      <c r="Q103" s="68" t="n">
        <f aca="false">IF($P103=0,0,$H103)</f>
        <v>0</v>
      </c>
      <c r="R103" s="67" t="b">
        <f aca="false">AND(Tasks!$D103&lt;&gt;"",N(Tasks!$T103)&gt;0)</f>
        <v>0</v>
      </c>
      <c r="T103" s="69" t="str">
        <f aca="false">IF($E103="","",IF($M103,IF(AND($G103&gt;=T$5,$G103&lt;T$5+GanttPeriod),"◆",IF(AND($E103&gt;=T$5,$E103&lt;T$5+GanttPeriod),"◇","")),IF(AND(T$5&lt;=$F103,T$5+GanttPeriod-1&gt;=$E103),"━","")))</f>
        <v/>
      </c>
      <c r="U103" s="69" t="str">
        <f aca="false">IF($E103="","",IF($M103,IF(AND($G103&gt;=U$5,$G103&lt;U$5+GanttPeriod),"◆",IF(AND($E103&gt;=U$5,$E103&lt;U$5+GanttPeriod),"◇","")),IF(AND(U$5&lt;=$F103,U$5+GanttPeriod-1&gt;=$E103),"━","")))</f>
        <v/>
      </c>
      <c r="V103" s="69" t="str">
        <f aca="false">IF($E103="","",IF($M103,IF(AND($G103&gt;=V$5,$G103&lt;V$5+GanttPeriod),"◆",IF(AND($E103&gt;=V$5,$E103&lt;V$5+GanttPeriod),"◇","")),IF(AND(V$5&lt;=$F103,V$5+GanttPeriod-1&gt;=$E103),"━","")))</f>
        <v/>
      </c>
      <c r="W103" s="69" t="str">
        <f aca="false">IF($E103="","",IF($M103,IF(AND($G103&gt;=W$5,$G103&lt;W$5+GanttPeriod),"◆",IF(AND($E103&gt;=W$5,$E103&lt;W$5+GanttPeriod),"◇","")),IF(AND(W$5&lt;=$F103,W$5+GanttPeriod-1&gt;=$E103),"━","")))</f>
        <v/>
      </c>
      <c r="X103" s="69" t="str">
        <f aca="false">IF($E103="","",IF($M103,IF(AND($G103&gt;=X$5,$G103&lt;X$5+GanttPeriod),"◆",IF(AND($E103&gt;=X$5,$E103&lt;X$5+GanttPeriod),"◇","")),IF(AND(X$5&lt;=$F103,X$5+GanttPeriod-1&gt;=$E103),"━","")))</f>
        <v/>
      </c>
      <c r="Y103" s="69" t="str">
        <f aca="false">IF($E103="","",IF($M103,IF(AND($G103&gt;=Y$5,$G103&lt;Y$5+GanttPeriod),"◆",IF(AND($E103&gt;=Y$5,$E103&lt;Y$5+GanttPeriod),"◇","")),IF(AND(Y$5&lt;=$F103,Y$5+GanttPeriod-1&gt;=$E103),"━","")))</f>
        <v/>
      </c>
      <c r="Z103" s="69" t="str">
        <f aca="false">IF($E103="","",IF($M103,IF(AND($G103&gt;=Z$5,$G103&lt;Z$5+GanttPeriod),"◆",IF(AND($E103&gt;=Z$5,$E103&lt;Z$5+GanttPeriod),"◇","")),IF(AND(Z$5&lt;=$F103,Z$5+GanttPeriod-1&gt;=$E103),"━","")))</f>
        <v/>
      </c>
      <c r="AA103" s="69" t="str">
        <f aca="false">IF($E103="","",IF($M103,IF(AND($G103&gt;=AA$5,$G103&lt;AA$5+GanttPeriod),"◆",IF(AND($E103&gt;=AA$5,$E103&lt;AA$5+GanttPeriod),"◇","")),IF(AND(AA$5&lt;=$F103,AA$5+GanttPeriod-1&gt;=$E103),"━","")))</f>
        <v/>
      </c>
      <c r="AB103" s="69" t="str">
        <f aca="false">IF($E103="","",IF($M103,IF(AND($G103&gt;=AB$5,$G103&lt;AB$5+GanttPeriod),"◆",IF(AND($E103&gt;=AB$5,$E103&lt;AB$5+GanttPeriod),"◇","")),IF(AND(AB$5&lt;=$F103,AB$5+GanttPeriod-1&gt;=$E103),"━","")))</f>
        <v/>
      </c>
      <c r="AC103" s="69" t="str">
        <f aca="false">IF($E103="","",IF($M103,IF(AND($G103&gt;=AC$5,$G103&lt;AC$5+GanttPeriod),"◆",IF(AND($E103&gt;=AC$5,$E103&lt;AC$5+GanttPeriod),"◇","")),IF(AND(AC$5&lt;=$F103,AC$5+GanttPeriod-1&gt;=$E103),"━","")))</f>
        <v/>
      </c>
      <c r="AD103" s="69" t="str">
        <f aca="false">IF($E103="","",IF($M103,IF(AND($G103&gt;=AD$5,$G103&lt;AD$5+GanttPeriod),"◆",IF(AND($E103&gt;=AD$5,$E103&lt;AD$5+GanttPeriod),"◇","")),IF(AND(AD$5&lt;=$F103,AD$5+GanttPeriod-1&gt;=$E103),"━","")))</f>
        <v/>
      </c>
      <c r="AE103" s="69" t="str">
        <f aca="false">IF($E103="","",IF($M103,IF(AND($G103&gt;=AE$5,$G103&lt;AE$5+GanttPeriod),"◆",IF(AND($E103&gt;=AE$5,$E103&lt;AE$5+GanttPeriod),"◇","")),IF(AND(AE$5&lt;=$F103,AE$5+GanttPeriod-1&gt;=$E103),"━","")))</f>
        <v/>
      </c>
      <c r="AF103" s="69" t="str">
        <f aca="false">IF($E103="","",IF($M103,IF(AND($G103&gt;=AF$5,$G103&lt;AF$5+GanttPeriod),"◆",IF(AND($E103&gt;=AF$5,$E103&lt;AF$5+GanttPeriod),"◇","")),IF(AND(AF$5&lt;=$F103,AF$5+GanttPeriod-1&gt;=$E103),"━","")))</f>
        <v/>
      </c>
      <c r="AG103" s="69" t="str">
        <f aca="false">IF($E103="","",IF($M103,IF(AND($G103&gt;=AG$5,$G103&lt;AG$5+GanttPeriod),"◆",IF(AND($E103&gt;=AG$5,$E103&lt;AG$5+GanttPeriod),"◇","")),IF(AND(AG$5&lt;=$F103,AG$5+GanttPeriod-1&gt;=$E103),"━","")))</f>
        <v/>
      </c>
      <c r="AH103" s="69" t="str">
        <f aca="false">IF($E103="","",IF($M103,IF(AND($G103&gt;=AH$5,$G103&lt;AH$5+GanttPeriod),"◆",IF(AND($E103&gt;=AH$5,$E103&lt;AH$5+GanttPeriod),"◇","")),IF(AND(AH$5&lt;=$F103,AH$5+GanttPeriod-1&gt;=$E103),"━","")))</f>
        <v/>
      </c>
      <c r="AI103" s="69" t="str">
        <f aca="false">IF($E103="","",IF($M103,IF(AND($G103&gt;=AI$5,$G103&lt;AI$5+GanttPeriod),"◆",IF(AND($E103&gt;=AI$5,$E103&lt;AI$5+GanttPeriod),"◇","")),IF(AND(AI$5&lt;=$F103,AI$5+GanttPeriod-1&gt;=$E103),"━","")))</f>
        <v/>
      </c>
      <c r="AJ103" s="69" t="str">
        <f aca="false">IF($E103="","",IF($M103,IF(AND($G103&gt;=AJ$5,$G103&lt;AJ$5+GanttPeriod),"◆",IF(AND($E103&gt;=AJ$5,$E103&lt;AJ$5+GanttPeriod),"◇","")),IF(AND(AJ$5&lt;=$F103,AJ$5+GanttPeriod-1&gt;=$E103),"━","")))</f>
        <v/>
      </c>
      <c r="AK103" s="69" t="str">
        <f aca="false">IF($E103="","",IF($M103,IF(AND($G103&gt;=AK$5,$G103&lt;AK$5+GanttPeriod),"◆",IF(AND($E103&gt;=AK$5,$E103&lt;AK$5+GanttPeriod),"◇","")),IF(AND(AK$5&lt;=$F103,AK$5+GanttPeriod-1&gt;=$E103),"━","")))</f>
        <v/>
      </c>
      <c r="AL103" s="69" t="str">
        <f aca="false">IF($E103="","",IF($M103,IF(AND($G103&gt;=AL$5,$G103&lt;AL$5+GanttPeriod),"◆",IF(AND($E103&gt;=AL$5,$E103&lt;AL$5+GanttPeriod),"◇","")),IF(AND(AL$5&lt;=$F103,AL$5+GanttPeriod-1&gt;=$E103),"━","")))</f>
        <v/>
      </c>
      <c r="AM103" s="69" t="str">
        <f aca="false">IF($E103="","",IF($M103,IF(AND($G103&gt;=AM$5,$G103&lt;AM$5+GanttPeriod),"◆",IF(AND($E103&gt;=AM$5,$E103&lt;AM$5+GanttPeriod),"◇","")),IF(AND(AM$5&lt;=$F103,AM$5+GanttPeriod-1&gt;=$E103),"━","")))</f>
        <v/>
      </c>
      <c r="AN103" s="69" t="str">
        <f aca="false">IF($E103="","",IF($M103,IF(AND($G103&gt;=AN$5,$G103&lt;AN$5+GanttPeriod),"◆",IF(AND($E103&gt;=AN$5,$E103&lt;AN$5+GanttPeriod),"◇","")),IF(AND(AN$5&lt;=$F103,AN$5+GanttPeriod-1&gt;=$E103),"━","")))</f>
        <v/>
      </c>
      <c r="AO103" s="69" t="str">
        <f aca="false">IF($E103="","",IF($M103,IF(AND($G103&gt;=AO$5,$G103&lt;AO$5+GanttPeriod),"◆",IF(AND($E103&gt;=AO$5,$E103&lt;AO$5+GanttPeriod),"◇","")),IF(AND(AO$5&lt;=$F103,AO$5+GanttPeriod-1&gt;=$E103),"━","")))</f>
        <v/>
      </c>
      <c r="AP103" s="69" t="str">
        <f aca="false">IF($E103="","",IF($M103,IF(AND($G103&gt;=AP$5,$G103&lt;AP$5+GanttPeriod),"◆",IF(AND($E103&gt;=AP$5,$E103&lt;AP$5+GanttPeriod),"◇","")),IF(AND(AP$5&lt;=$F103,AP$5+GanttPeriod-1&gt;=$E103),"━","")))</f>
        <v/>
      </c>
      <c r="AQ103" s="69" t="str">
        <f aca="false">IF($E103="","",IF($M103,IF(AND($G103&gt;=AQ$5,$G103&lt;AQ$5+GanttPeriod),"◆",IF(AND($E103&gt;=AQ$5,$E103&lt;AQ$5+GanttPeriod),"◇","")),IF(AND(AQ$5&lt;=$F103,AQ$5+GanttPeriod-1&gt;=$E103),"━","")))</f>
        <v/>
      </c>
      <c r="AR103" s="69" t="str">
        <f aca="false">IF($E103="","",IF($M103,IF(AND($G103&gt;=AR$5,$G103&lt;AR$5+GanttPeriod),"◆",IF(AND($E103&gt;=AR$5,$E103&lt;AR$5+GanttPeriod),"◇","")),IF(AND(AR$5&lt;=$F103,AR$5+GanttPeriod-1&gt;=$E103),"━","")))</f>
        <v/>
      </c>
      <c r="AS103" s="69" t="str">
        <f aca="false">IF($E103="","",IF($M103,IF(AND($G103&gt;=AS$5,$G103&lt;AS$5+GanttPeriod),"◆",IF(AND($E103&gt;=AS$5,$E103&lt;AS$5+GanttPeriod),"◇","")),IF(AND(AS$5&lt;=$F103,AS$5+GanttPeriod-1&gt;=$E103),"━","")))</f>
        <v/>
      </c>
      <c r="AT103" s="69" t="str">
        <f aca="false">IF($E103="","",IF($M103,IF(AND($G103&gt;=AT$5,$G103&lt;AT$5+GanttPeriod),"◆",IF(AND($E103&gt;=AT$5,$E103&lt;AT$5+GanttPeriod),"◇","")),IF(AND(AT$5&lt;=$F103,AT$5+GanttPeriod-1&gt;=$E103),"━","")))</f>
        <v/>
      </c>
      <c r="AU103" s="69" t="str">
        <f aca="false">IF($E103="","",IF($M103,IF(AND($G103&gt;=AU$5,$G103&lt;AU$5+GanttPeriod),"◆",IF(AND($E103&gt;=AU$5,$E103&lt;AU$5+GanttPeriod),"◇","")),IF(AND(AU$5&lt;=$F103,AU$5+GanttPeriod-1&gt;=$E103),"━","")))</f>
        <v/>
      </c>
      <c r="AV103" s="69" t="str">
        <f aca="false">IF($E103="","",IF($M103,IF(AND($G103&gt;=AV$5,$G103&lt;AV$5+GanttPeriod),"◆",IF(AND($E103&gt;=AV$5,$E103&lt;AV$5+GanttPeriod),"◇","")),IF(AND(AV$5&lt;=$F103,AV$5+GanttPeriod-1&gt;=$E103),"━","")))</f>
        <v/>
      </c>
      <c r="AW103" s="69" t="str">
        <f aca="false">IF($E103="","",IF($M103,IF(AND($G103&gt;=AW$5,$G103&lt;AW$5+GanttPeriod),"◆",IF(AND($E103&gt;=AW$5,$E103&lt;AW$5+GanttPeriod),"◇","")),IF(AND(AW$5&lt;=$F103,AW$5+GanttPeriod-1&gt;=$E103),"━","")))</f>
        <v/>
      </c>
      <c r="AX103" s="69" t="str">
        <f aca="false">IF($E103="","",IF($M103,IF(AND($G103&gt;=AX$5,$G103&lt;AX$5+GanttPeriod),"◆",IF(AND($E103&gt;=AX$5,$E103&lt;AX$5+GanttPeriod),"◇","")),IF(AND(AX$5&lt;=$F103,AX$5+GanttPeriod-1&gt;=$E103),"━","")))</f>
        <v/>
      </c>
      <c r="AY103" s="69" t="str">
        <f aca="false">IF($E103="","",IF($M103,IF(AND($G103&gt;=AY$5,$G103&lt;AY$5+GanttPeriod),"◆",IF(AND($E103&gt;=AY$5,$E103&lt;AY$5+GanttPeriod),"◇","")),IF(AND(AY$5&lt;=$F103,AY$5+GanttPeriod-1&gt;=$E103),"━","")))</f>
        <v/>
      </c>
      <c r="AZ103" s="69" t="str">
        <f aca="false">IF($E103="","",IF($M103,IF(AND($G103&gt;=AZ$5,$G103&lt;AZ$5+GanttPeriod),"◆",IF(AND($E103&gt;=AZ$5,$E103&lt;AZ$5+GanttPeriod),"◇","")),IF(AND(AZ$5&lt;=$F103,AZ$5+GanttPeriod-1&gt;=$E103),"━","")))</f>
        <v/>
      </c>
      <c r="BA103" s="69" t="str">
        <f aca="false">IF($E103="","",IF($M103,IF(AND($G103&gt;=BA$5,$G103&lt;BA$5+GanttPeriod),"◆",IF(AND($E103&gt;=BA$5,$E103&lt;BA$5+GanttPeriod),"◇","")),IF(AND(BA$5&lt;=$F103,BA$5+GanttPeriod-1&gt;=$E103),"━","")))</f>
        <v/>
      </c>
      <c r="BB103" s="69" t="str">
        <f aca="false">IF($E103="","",IF($M103,IF(AND($G103&gt;=BB$5,$G103&lt;BB$5+GanttPeriod),"◆",IF(AND($E103&gt;=BB$5,$E103&lt;BB$5+GanttPeriod),"◇","")),IF(AND(BB$5&lt;=$F103,BB$5+GanttPeriod-1&gt;=$E103),"━","")))</f>
        <v/>
      </c>
      <c r="BC103" s="69" t="str">
        <f aca="false">IF($E103="","",IF($M103,IF(AND($G103&gt;=BC$5,$G103&lt;BC$5+GanttPeriod),"◆",IF(AND($E103&gt;=BC$5,$E103&lt;BC$5+GanttPeriod),"◇","")),IF(AND(BC$5&lt;=$F103,BC$5+GanttPeriod-1&gt;=$E103),"━","")))</f>
        <v/>
      </c>
      <c r="BD103" s="69" t="str">
        <f aca="false">IF($E103="","",IF($M103,IF(AND($G103&gt;=BD$5,$G103&lt;BD$5+GanttPeriod),"◆",IF(AND($E103&gt;=BD$5,$E103&lt;BD$5+GanttPeriod),"◇","")),IF(AND(BD$5&lt;=$F103,BD$5+GanttPeriod-1&gt;=$E103),"━","")))</f>
        <v/>
      </c>
      <c r="BE103" s="69" t="str">
        <f aca="false">IF($E103="","",IF($M103,IF(AND($G103&gt;=BE$5,$G103&lt;BE$5+GanttPeriod),"◆",IF(AND($E103&gt;=BE$5,$E103&lt;BE$5+GanttPeriod),"◇","")),IF(AND(BE$5&lt;=$F103,BE$5+GanttPeriod-1&gt;=$E103),"━","")))</f>
        <v/>
      </c>
      <c r="BF103" s="69" t="str">
        <f aca="false">IF($E103="","",IF($M103,IF(AND($G103&gt;=BF$5,$G103&lt;BF$5+GanttPeriod),"◆",IF(AND($E103&gt;=BF$5,$E103&lt;BF$5+GanttPeriod),"◇","")),IF(AND(BF$5&lt;=$F103,BF$5+GanttPeriod-1&gt;=$E103),"━","")))</f>
        <v/>
      </c>
      <c r="BG103" s="69" t="str">
        <f aca="false">IF($E103="","",IF($M103,IF(AND($G103&gt;=BG$5,$G103&lt;BG$5+GanttPeriod),"◆",IF(AND($E103&gt;=BG$5,$E103&lt;BG$5+GanttPeriod),"◇","")),IF(AND(BG$5&lt;=$F103,BG$5+GanttPeriod-1&gt;=$E103),"━","")))</f>
        <v/>
      </c>
      <c r="BH103" s="69" t="str">
        <f aca="false">IF($E103="","",IF($M103,IF(AND($G103&gt;=BH$5,$G103&lt;BH$5+GanttPeriod),"◆",IF(AND($E103&gt;=BH$5,$E103&lt;BH$5+GanttPeriod),"◇","")),IF(AND(BH$5&lt;=$F103,BH$5+GanttPeriod-1&gt;=$E103),"━","")))</f>
        <v/>
      </c>
      <c r="BI103" s="69" t="str">
        <f aca="false">IF($E103="","",IF($M103,IF(AND($G103&gt;=BI$5,$G103&lt;BI$5+GanttPeriod),"◆",IF(AND($E103&gt;=BI$5,$E103&lt;BI$5+GanttPeriod),"◇","")),IF(AND(BI$5&lt;=$F103,BI$5+GanttPeriod-1&gt;=$E103),"━","")))</f>
        <v/>
      </c>
      <c r="BJ103" s="69" t="str">
        <f aca="false">IF($E103="","",IF($M103,IF(AND($G103&gt;=BJ$5,$G103&lt;BJ$5+GanttPeriod),"◆",IF(AND($E103&gt;=BJ$5,$E103&lt;BJ$5+GanttPeriod),"◇","")),IF(AND(BJ$5&lt;=$F103,BJ$5+GanttPeriod-1&gt;=$E103),"━","")))</f>
        <v/>
      </c>
      <c r="BK103" s="69" t="str">
        <f aca="false">IF($E103="","",IF($M103,IF(AND($G103&gt;=BK$5,$G103&lt;BK$5+GanttPeriod),"◆",IF(AND($E103&gt;=BK$5,$E103&lt;BK$5+GanttPeriod),"◇","")),IF(AND(BK$5&lt;=$F103,BK$5+GanttPeriod-1&gt;=$E103),"━","")))</f>
        <v/>
      </c>
      <c r="BL103" s="69" t="str">
        <f aca="false">IF($E103="","",IF($M103,IF(AND($G103&gt;=BL$5,$G103&lt;BL$5+GanttPeriod),"◆",IF(AND($E103&gt;=BL$5,$E103&lt;BL$5+GanttPeriod),"◇","")),IF(AND(BL$5&lt;=$F103,BL$5+GanttPeriod-1&gt;=$E103),"━","")))</f>
        <v/>
      </c>
      <c r="BM103" s="69" t="str">
        <f aca="false">IF($E103="","",IF($M103,IF(AND($G103&gt;=BM$5,$G103&lt;BM$5+GanttPeriod),"◆",IF(AND($E103&gt;=BM$5,$E103&lt;BM$5+GanttPeriod),"◇","")),IF(AND(BM$5&lt;=$F103,BM$5+GanttPeriod-1&gt;=$E103),"━","")))</f>
        <v/>
      </c>
      <c r="BN103" s="69" t="str">
        <f aca="false">IF($E103="","",IF($M103,IF(AND($G103&gt;=BN$5,$G103&lt;BN$5+GanttPeriod),"◆",IF(AND($E103&gt;=BN$5,$E103&lt;BN$5+GanttPeriod),"◇","")),IF(AND(BN$5&lt;=$F103,BN$5+GanttPeriod-1&gt;=$E103),"━","")))</f>
        <v/>
      </c>
      <c r="BO103" s="69" t="str">
        <f aca="false">IF($E103="","",IF($M103,IF(AND($G103&gt;=BO$5,$G103&lt;BO$5+GanttPeriod),"◆",IF(AND($E103&gt;=BO$5,$E103&lt;BO$5+GanttPeriod),"◇","")),IF(AND(BO$5&lt;=$F103,BO$5+GanttPeriod-1&gt;=$E103),"━","")))</f>
        <v/>
      </c>
      <c r="BP103" s="69" t="str">
        <f aca="false">IF($E103="","",IF($M103,IF(AND($G103&gt;=BP$5,$G103&lt;BP$5+GanttPeriod),"◆",IF(AND($E103&gt;=BP$5,$E103&lt;BP$5+GanttPeriod),"◇","")),IF(AND(BP$5&lt;=$F103,BP$5+GanttPeriod-1&gt;=$E103),"━","")))</f>
        <v/>
      </c>
      <c r="BQ103" s="69" t="str">
        <f aca="false">IF($E103="","",IF($M103,IF(AND($G103&gt;=BQ$5,$G103&lt;BQ$5+GanttPeriod),"◆",IF(AND($E103&gt;=BQ$5,$E103&lt;BQ$5+GanttPeriod),"◇","")),IF(AND(BQ$5&lt;=$F103,BQ$5+GanttPeriod-1&gt;=$E103),"━","")))</f>
        <v/>
      </c>
      <c r="BR103" s="69" t="str">
        <f aca="false">IF($E103="","",IF($M103,IF(AND($G103&gt;=BR$5,$G103&lt;BR$5+GanttPeriod),"◆",IF(AND($E103&gt;=BR$5,$E103&lt;BR$5+GanttPeriod),"◇","")),IF(AND(BR$5&lt;=$F103,BR$5+GanttPeriod-1&gt;=$E103),"━","")))</f>
        <v/>
      </c>
      <c r="BS103" s="69" t="str">
        <f aca="false">IF($E103="","",IF($M103,IF(AND($G103&gt;=BS$5,$G103&lt;BS$5+GanttPeriod),"◆",IF(AND($E103&gt;=BS$5,$E103&lt;BS$5+GanttPeriod),"◇","")),IF(AND(BS$5&lt;=$F103,BS$5+GanttPeriod-1&gt;=$E103),"━","")))</f>
        <v/>
      </c>
      <c r="BT103" s="69" t="str">
        <f aca="false">IF($E103="","",IF($M103,IF(AND($G103&gt;=BT$5,$G103&lt;BT$5+GanttPeriod),"◆",IF(AND($E103&gt;=BT$5,$E103&lt;BT$5+GanttPeriod),"◇","")),IF(AND(BT$5&lt;=$F103,BT$5+GanttPeriod-1&gt;=$E103),"━","")))</f>
        <v/>
      </c>
      <c r="BU103" s="69" t="str">
        <f aca="false">IF($E103="","",IF($M103,IF(AND($G103&gt;=BU$5,$G103&lt;BU$5+GanttPeriod),"◆",IF(AND($E103&gt;=BU$5,$E103&lt;BU$5+GanttPeriod),"◇","")),IF(AND(BU$5&lt;=$F103,BU$5+GanttPeriod-1&gt;=$E103),"━","")))</f>
        <v/>
      </c>
      <c r="BV103" s="69" t="str">
        <f aca="false">IF($E103="","",IF($M103,IF(AND($G103&gt;=BV$5,$G103&lt;BV$5+GanttPeriod),"◆",IF(AND($E103&gt;=BV$5,$E103&lt;BV$5+GanttPeriod),"◇","")),IF(AND(BV$5&lt;=$F103,BV$5+GanttPeriod-1&gt;=$E103),"━","")))</f>
        <v/>
      </c>
      <c r="BW103" s="69" t="str">
        <f aca="false">IF($E103="","",IF($M103,IF(AND($G103&gt;=BW$5,$G103&lt;BW$5+GanttPeriod),"◆",IF(AND($E103&gt;=BW$5,$E103&lt;BW$5+GanttPeriod),"◇","")),IF(AND(BW$5&lt;=$F103,BW$5+GanttPeriod-1&gt;=$E103),"━","")))</f>
        <v/>
      </c>
      <c r="BX103" s="69" t="str">
        <f aca="false">IF($E103="","",IF($M103,IF(AND($G103&gt;=BX$5,$G103&lt;BX$5+GanttPeriod),"◆",IF(AND($E103&gt;=BX$5,$E103&lt;BX$5+GanttPeriod),"◇","")),IF(AND(BX$5&lt;=$F103,BX$5+GanttPeriod-1&gt;=$E103),"━","")))</f>
        <v/>
      </c>
      <c r="BY103" s="69" t="str">
        <f aca="false">IF($E103="","",IF($M103,IF(AND($G103&gt;=BY$5,$G103&lt;BY$5+GanttPeriod),"◆",IF(AND($E103&gt;=BY$5,$E103&lt;BY$5+GanttPeriod),"◇","")),IF(AND(BY$5&lt;=$F103,BY$5+GanttPeriod-1&gt;=$E103),"━","")))</f>
        <v/>
      </c>
      <c r="BZ103" s="69" t="str">
        <f aca="false">IF($E103="","",IF($M103,IF(AND($G103&gt;=BZ$5,$G103&lt;BZ$5+GanttPeriod),"◆",IF(AND($E103&gt;=BZ$5,$E103&lt;BZ$5+GanttPeriod),"◇","")),IF(AND(BZ$5&lt;=$F103,BZ$5+GanttPeriod-1&gt;=$E103),"━","")))</f>
        <v/>
      </c>
      <c r="CA103" s="69" t="str">
        <f aca="false">IF($E103="","",IF($M103,IF(AND($G103&gt;=CA$5,$G103&lt;CA$5+GanttPeriod),"◆",IF(AND($E103&gt;=CA$5,$E103&lt;CA$5+GanttPeriod),"◇","")),IF(AND(CA$5&lt;=$F103,CA$5+GanttPeriod-1&gt;=$E103),"━","")))</f>
        <v/>
      </c>
      <c r="CB103" s="69" t="str">
        <f aca="false">IF($E103="","",IF($M103,IF(AND($G103&gt;=CB$5,$G103&lt;CB$5+GanttPeriod),"◆",IF(AND($E103&gt;=CB$5,$E103&lt;CB$5+GanttPeriod),"◇","")),IF(AND(CB$5&lt;=$F103,CB$5+GanttPeriod-1&gt;=$E103),"━","")))</f>
        <v/>
      </c>
      <c r="CC103" s="69" t="str">
        <f aca="false">IF($E103="","",IF($M103,IF(AND($G103&gt;=CC$5,$G103&lt;CC$5+GanttPeriod),"◆",IF(AND($E103&gt;=CC$5,$E103&lt;CC$5+GanttPeriod),"◇","")),IF(AND(CC$5&lt;=$F103,CC$5+GanttPeriod-1&gt;=$E103),"━","")))</f>
        <v/>
      </c>
      <c r="CD103" s="69" t="str">
        <f aca="false">IF($E103="","",IF($M103,IF(AND($G103&gt;=CD$5,$G103&lt;CD$5+GanttPeriod),"◆",IF(AND($E103&gt;=CD$5,$E103&lt;CD$5+GanttPeriod),"◇","")),IF(AND(CD$5&lt;=$F103,CD$5+GanttPeriod-1&gt;=$E103),"━","")))</f>
        <v/>
      </c>
      <c r="CE103" s="69" t="str">
        <f aca="false">IF($E103="","",IF($M103,IF(AND($G103&gt;=CE$5,$G103&lt;CE$5+GanttPeriod),"◆",IF(AND($E103&gt;=CE$5,$E103&lt;CE$5+GanttPeriod),"◇","")),IF(AND(CE$5&lt;=$F103,CE$5+GanttPeriod-1&gt;=$E103),"━","")))</f>
        <v/>
      </c>
      <c r="CF103" s="69" t="str">
        <f aca="false">IF($E103="","",IF($M103,IF(AND($G103&gt;=CF$5,$G103&lt;CF$5+GanttPeriod),"◆",IF(AND($E103&gt;=CF$5,$E103&lt;CF$5+GanttPeriod),"◇","")),IF(AND(CF$5&lt;=$F103,CF$5+GanttPeriod-1&gt;=$E103),"━","")))</f>
        <v/>
      </c>
      <c r="CG103" s="69" t="str">
        <f aca="false">IF($E103="","",IF($M103,IF(AND($G103&gt;=CG$5,$G103&lt;CG$5+GanttPeriod),"◆",IF(AND($E103&gt;=CG$5,$E103&lt;CG$5+GanttPeriod),"◇","")),IF(AND(CG$5&lt;=$F103,CG$5+GanttPeriod-1&gt;=$E103),"━","")))</f>
        <v/>
      </c>
      <c r="CH103" s="69" t="str">
        <f aca="false">IF($E103="","",IF($M103,IF(AND($G103&gt;=CH$5,$G103&lt;CH$5+GanttPeriod),"◆",IF(AND($E103&gt;=CH$5,$E103&lt;CH$5+GanttPeriod),"◇","")),IF(AND(CH$5&lt;=$F103,CH$5+GanttPeriod-1&gt;=$E103),"━","")))</f>
        <v/>
      </c>
      <c r="CI103" s="69" t="str">
        <f aca="false">IF($E103="","",IF($M103,IF(AND($G103&gt;=CI$5,$G103&lt;CI$5+GanttPeriod),"◆",IF(AND($E103&gt;=CI$5,$E103&lt;CI$5+GanttPeriod),"◇","")),IF(AND(CI$5&lt;=$F103,CI$5+GanttPeriod-1&gt;=$E103),"━","")))</f>
        <v/>
      </c>
      <c r="CJ103" s="69" t="str">
        <f aca="false">IF($E103="","",IF($M103,IF(AND($G103&gt;=CJ$5,$G103&lt;CJ$5+GanttPeriod),"◆",IF(AND($E103&gt;=CJ$5,$E103&lt;CJ$5+GanttPeriod),"◇","")),IF(AND(CJ$5&lt;=$F103,CJ$5+GanttPeriod-1&gt;=$E103),"━","")))</f>
        <v/>
      </c>
      <c r="CK103" s="69" t="str">
        <f aca="false">IF($E103="","",IF($M103,IF(AND($G103&gt;=CK$5,$G103&lt;CK$5+GanttPeriod),"◆",IF(AND($E103&gt;=CK$5,$E103&lt;CK$5+GanttPeriod),"◇","")),IF(AND(CK$5&lt;=$F103,CK$5+GanttPeriod-1&gt;=$E103),"━","")))</f>
        <v/>
      </c>
      <c r="CL103" s="69" t="str">
        <f aca="false">IF($E103="","",IF($M103,IF(AND($G103&gt;=CL$5,$G103&lt;CL$5+GanttPeriod),"◆",IF(AND($E103&gt;=CL$5,$E103&lt;CL$5+GanttPeriod),"◇","")),IF(AND(CL$5&lt;=$F103,CL$5+GanttPeriod-1&gt;=$E103),"━","")))</f>
        <v/>
      </c>
      <c r="CM103" s="69" t="str">
        <f aca="false">IF($E103="","",IF($M103,IF(AND($G103&gt;=CM$5,$G103&lt;CM$5+GanttPeriod),"◆",IF(AND($E103&gt;=CM$5,$E103&lt;CM$5+GanttPeriod),"◇","")),IF(AND(CM$5&lt;=$F103,CM$5+GanttPeriod-1&gt;=$E103),"━","")))</f>
        <v/>
      </c>
      <c r="CN103" s="69" t="str">
        <f aca="false">IF($E103="","",IF($M103,IF(AND($G103&gt;=CN$5,$G103&lt;CN$5+GanttPeriod),"◆",IF(AND($E103&gt;=CN$5,$E103&lt;CN$5+GanttPeriod),"◇","")),IF(AND(CN$5&lt;=$F103,CN$5+GanttPeriod-1&gt;=$E103),"━","")))</f>
        <v/>
      </c>
      <c r="CO103" s="69" t="str">
        <f aca="false">IF($E103="","",IF($M103,IF(AND($G103&gt;=CO$5,$G103&lt;CO$5+GanttPeriod),"◆",IF(AND($E103&gt;=CO$5,$E103&lt;CO$5+GanttPeriod),"◇","")),IF(AND(CO$5&lt;=$F103,CO$5+GanttPeriod-1&gt;=$E103),"━","")))</f>
        <v/>
      </c>
      <c r="CP103" s="69" t="str">
        <f aca="false">IF($E103="","",IF($M103,IF(AND($G103&gt;=CP$5,$G103&lt;CP$5+GanttPeriod),"◆",IF(AND($E103&gt;=CP$5,$E103&lt;CP$5+GanttPeriod),"◇","")),IF(AND(CP$5&lt;=$F103,CP$5+GanttPeriod-1&gt;=$E103),"━","")))</f>
        <v/>
      </c>
      <c r="CQ103" s="69" t="str">
        <f aca="false">IF($E103="","",IF($M103,IF(AND($G103&gt;=CQ$5,$G103&lt;CQ$5+GanttPeriod),"◆",IF(AND($E103&gt;=CQ$5,$E103&lt;CQ$5+GanttPeriod),"◇","")),IF(AND(CQ$5&lt;=$F103,CQ$5+GanttPeriod-1&gt;=$E103),"━","")))</f>
        <v/>
      </c>
      <c r="CR103" s="69" t="str">
        <f aca="false">IF($E103="","",IF($M103,IF(AND($G103&gt;=CR$5,$G103&lt;CR$5+GanttPeriod),"◆",IF(AND($E103&gt;=CR$5,$E103&lt;CR$5+GanttPeriod),"◇","")),IF(AND(CR$5&lt;=$F103,CR$5+GanttPeriod-1&gt;=$E103),"━","")))</f>
        <v/>
      </c>
      <c r="CS103" s="69" t="str">
        <f aca="false">IF($E103="","",IF($M103,IF(AND($G103&gt;=CS$5,$G103&lt;CS$5+GanttPeriod),"◆",IF(AND($E103&gt;=CS$5,$E103&lt;CS$5+GanttPeriod),"◇","")),IF(AND(CS$5&lt;=$F103,CS$5+GanttPeriod-1&gt;=$E103),"━","")))</f>
        <v/>
      </c>
      <c r="CT103" s="69" t="str">
        <f aca="false">IF($E103="","",IF($M103,IF(AND($G103&gt;=CT$5,$G103&lt;CT$5+GanttPeriod),"◆",IF(AND($E103&gt;=CT$5,$E103&lt;CT$5+GanttPeriod),"◇","")),IF(AND(CT$5&lt;=$F103,CT$5+GanttPeriod-1&gt;=$E103),"━","")))</f>
        <v/>
      </c>
      <c r="CU103" s="69" t="str">
        <f aca="false">IF($E103="","",IF($M103,IF(AND($G103&gt;=CU$5,$G103&lt;CU$5+GanttPeriod),"◆",IF(AND($E103&gt;=CU$5,$E103&lt;CU$5+GanttPeriod),"◇","")),IF(AND(CU$5&lt;=$F103,CU$5+GanttPeriod-1&gt;=$E103),"━","")))</f>
        <v/>
      </c>
      <c r="CV103" s="69" t="str">
        <f aca="false">IF($E103="","",IF($M103,IF(AND($G103&gt;=CV$5,$G103&lt;CV$5+GanttPeriod),"◆",IF(AND($E103&gt;=CV$5,$E103&lt;CV$5+GanttPeriod),"◇","")),IF(AND(CV$5&lt;=$F103,CV$5+GanttPeriod-1&gt;=$E103),"━","")))</f>
        <v/>
      </c>
      <c r="CW103" s="69" t="str">
        <f aca="false">IF($E103="","",IF($M103,IF(AND($G103&gt;=CW$5,$G103&lt;CW$5+GanttPeriod),"◆",IF(AND($E103&gt;=CW$5,$E103&lt;CW$5+GanttPeriod),"◇","")),IF(AND(CW$5&lt;=$F103,CW$5+GanttPeriod-1&gt;=$E103),"━","")))</f>
        <v/>
      </c>
      <c r="CX103" s="69" t="str">
        <f aca="false">IF($E103="","",IF($M103,IF(AND($G103&gt;=CX$5,$G103&lt;CX$5+GanttPeriod),"◆",IF(AND($E103&gt;=CX$5,$E103&lt;CX$5+GanttPeriod),"◇","")),IF(AND(CX$5&lt;=$F103,CX$5+GanttPeriod-1&gt;=$E103),"━","")))</f>
        <v/>
      </c>
      <c r="CY103" s="69" t="str">
        <f aca="false">IF($E103="","",IF($M103,IF(AND($G103&gt;=CY$5,$G103&lt;CY$5+GanttPeriod),"◆",IF(AND($E103&gt;=CY$5,$E103&lt;CY$5+GanttPeriod),"◇","")),IF(AND(CY$5&lt;=$F103,CY$5+GanttPeriod-1&gt;=$E103),"━","")))</f>
        <v/>
      </c>
      <c r="CZ103" s="69" t="str">
        <f aca="false">IF($E103="","",IF($M103,IF(AND($G103&gt;=CZ$5,$G103&lt;CZ$5+GanttPeriod),"◆",IF(AND($E103&gt;=CZ$5,$E103&lt;CZ$5+GanttPeriod),"◇","")),IF(AND(CZ$5&lt;=$F103,CZ$5+GanttPeriod-1&gt;=$E103),"━","")))</f>
        <v/>
      </c>
      <c r="DA103" s="69" t="str">
        <f aca="false">IF($E103="","",IF($M103,IF(AND($G103&gt;=DA$5,$G103&lt;DA$5+GanttPeriod),"◆",IF(AND($E103&gt;=DA$5,$E103&lt;DA$5+GanttPeriod),"◇","")),IF(AND(DA$5&lt;=$F103,DA$5+GanttPeriod-1&gt;=$E103),"━","")))</f>
        <v/>
      </c>
      <c r="DB103" s="69" t="str">
        <f aca="false">IF($E103="","",IF($M103,IF(AND($G103&gt;=DB$5,$G103&lt;DB$5+GanttPeriod),"◆",IF(AND($E103&gt;=DB$5,$E103&lt;DB$5+GanttPeriod),"◇","")),IF(AND(DB$5&lt;=$F103,DB$5+GanttPeriod-1&gt;=$E103),"━","")))</f>
        <v/>
      </c>
      <c r="DC103" s="69" t="str">
        <f aca="false">IF($E103="","",IF($M103,IF(AND($G103&gt;=DC$5,$G103&lt;DC$5+GanttPeriod),"◆",IF(AND($E103&gt;=DC$5,$E103&lt;DC$5+GanttPeriod),"◇","")),IF(AND(DC$5&lt;=$F103,DC$5+GanttPeriod-1&gt;=$E103),"━","")))</f>
        <v/>
      </c>
      <c r="DD103" s="69" t="str">
        <f aca="false">IF($E103="","",IF($M103,IF(AND($G103&gt;=DD$5,$G103&lt;DD$5+GanttPeriod),"◆",IF(AND($E103&gt;=DD$5,$E103&lt;DD$5+GanttPeriod),"◇","")),IF(AND(DD$5&lt;=$F103,DD$5+GanttPeriod-1&gt;=$E103),"━","")))</f>
        <v/>
      </c>
      <c r="DE103" s="69" t="str">
        <f aca="false">IF($E103="","",IF($M103,IF(AND($G103&gt;=DE$5,$G103&lt;DE$5+GanttPeriod),"◆",IF(AND($E103&gt;=DE$5,$E103&lt;DE$5+GanttPeriod),"◇","")),IF(AND(DE$5&lt;=$F103,DE$5+GanttPeriod-1&gt;=$E103),"━","")))</f>
        <v/>
      </c>
      <c r="DF103" s="69" t="str">
        <f aca="false">IF($E103="","",IF($M103,IF(AND($G103&gt;=DF$5,$G103&lt;DF$5+GanttPeriod),"◆",IF(AND($E103&gt;=DF$5,$E103&lt;DF$5+GanttPeriod),"◇","")),IF(AND(DF$5&lt;=$F103,DF$5+GanttPeriod-1&gt;=$E103),"━","")))</f>
        <v/>
      </c>
      <c r="DG103" s="69" t="str">
        <f aca="false">IF($E103="","",IF($M103,IF(AND($G103&gt;=DG$5,$G103&lt;DG$5+GanttPeriod),"◆",IF(AND($E103&gt;=DG$5,$E103&lt;DG$5+GanttPeriod),"◇","")),IF(AND(DG$5&lt;=$F103,DG$5+GanttPeriod-1&gt;=$E103),"━","")))</f>
        <v/>
      </c>
      <c r="DH103" s="69" t="str">
        <f aca="false">IF($E103="","",IF($M103,IF(AND($G103&gt;=DH$5,$G103&lt;DH$5+GanttPeriod),"◆",IF(AND($E103&gt;=DH$5,$E103&lt;DH$5+GanttPeriod),"◇","")),IF(AND(DH$5&lt;=$F103,DH$5+GanttPeriod-1&gt;=$E103),"━","")))</f>
        <v/>
      </c>
      <c r="DI103" s="69" t="str">
        <f aca="false">IF($E103="","",IF($M103,IF(AND($G103&gt;=DI$5,$G103&lt;DI$5+GanttPeriod),"◆",IF(AND($E103&gt;=DI$5,$E103&lt;DI$5+GanttPeriod),"◇","")),IF(AND(DI$5&lt;=$F103,DI$5+GanttPeriod-1&gt;=$E103),"━","")))</f>
        <v/>
      </c>
      <c r="DJ103" s="69" t="str">
        <f aca="false">IF($E103="","",IF($M103,IF(AND($G103&gt;=DJ$5,$G103&lt;DJ$5+GanttPeriod),"◆",IF(AND($E103&gt;=DJ$5,$E103&lt;DJ$5+GanttPeriod),"◇","")),IF(AND(DJ$5&lt;=$F103,DJ$5+GanttPeriod-1&gt;=$E103),"━","")))</f>
        <v/>
      </c>
      <c r="DK103" s="69" t="str">
        <f aca="false">IF($E103="","",IF($M103,IF(AND($G103&gt;=DK$5,$G103&lt;DK$5+GanttPeriod),"◆",IF(AND($E103&gt;=DK$5,$E103&lt;DK$5+GanttPeriod),"◇","")),IF(AND(DK$5&lt;=$F103,DK$5+GanttPeriod-1&gt;=$E103),"━","")))</f>
        <v/>
      </c>
      <c r="DL103" s="69" t="str">
        <f aca="false">IF($E103="","",IF($M103,IF(AND($G103&gt;=DL$5,$G103&lt;DL$5+GanttPeriod),"◆",IF(AND($E103&gt;=DL$5,$E103&lt;DL$5+GanttPeriod),"◇","")),IF(AND(DL$5&lt;=$F103,DL$5+GanttPeriod-1&gt;=$E103),"━","")))</f>
        <v/>
      </c>
      <c r="DM103" s="69" t="str">
        <f aca="false">IF($E103="","",IF($M103,IF(AND($G103&gt;=DM$5,$G103&lt;DM$5+GanttPeriod),"◆",IF(AND($E103&gt;=DM$5,$E103&lt;DM$5+GanttPeriod),"◇","")),IF(AND(DM$5&lt;=$F103,DM$5+GanttPeriod-1&gt;=$E103),"━","")))</f>
        <v/>
      </c>
      <c r="DN103" s="69" t="str">
        <f aca="false">IF($E103="","",IF($M103,IF(AND($G103&gt;=DN$5,$G103&lt;DN$5+GanttPeriod),"◆",IF(AND($E103&gt;=DN$5,$E103&lt;DN$5+GanttPeriod),"◇","")),IF(AND(DN$5&lt;=$F103,DN$5+GanttPeriod-1&gt;=$E103),"━","")))</f>
        <v/>
      </c>
      <c r="DO103" s="69" t="str">
        <f aca="false">IF($E103="","",IF($M103,IF(AND($G103&gt;=DO$5,$G103&lt;DO$5+GanttPeriod),"◆",IF(AND($E103&gt;=DO$5,$E103&lt;DO$5+GanttPeriod),"◇","")),IF(AND(DO$5&lt;=$F103,DO$5+GanttPeriod-1&gt;=$E103),"━","")))</f>
        <v/>
      </c>
      <c r="DP103" s="69" t="str">
        <f aca="false">IF($E103="","",IF($M103,IF(AND($G103&gt;=DP$5,$G103&lt;DP$5+GanttPeriod),"◆",IF(AND($E103&gt;=DP$5,$E103&lt;DP$5+GanttPeriod),"◇","")),IF(AND(DP$5&lt;=$F103,DP$5+GanttPeriod-1&gt;=$E103),"━","")))</f>
        <v/>
      </c>
      <c r="DQ103" s="69" t="str">
        <f aca="false">IF($E103="","",IF($M103,IF(AND($G103&gt;=DQ$5,$G103&lt;DQ$5+GanttPeriod),"◆",IF(AND($E103&gt;=DQ$5,$E103&lt;DQ$5+GanttPeriod),"◇","")),IF(AND(DQ$5&lt;=$F103,DQ$5+GanttPeriod-1&gt;=$E103),"━","")))</f>
        <v/>
      </c>
      <c r="DR103" s="69" t="str">
        <f aca="false">IF($E103="","",IF($M103,IF(AND($G103&gt;=DR$5,$G103&lt;DR$5+GanttPeriod),"◆",IF(AND($E103&gt;=DR$5,$E103&lt;DR$5+GanttPeriod),"◇","")),IF(AND(DR$5&lt;=$F103,DR$5+GanttPeriod-1&gt;=$E103),"━","")))</f>
        <v/>
      </c>
      <c r="DS103" s="69" t="str">
        <f aca="false">IF($E103="","",IF($M103,IF(AND($G103&gt;=DS$5,$G103&lt;DS$5+GanttPeriod),"◆",IF(AND($E103&gt;=DS$5,$E103&lt;DS$5+GanttPeriod),"◇","")),IF(AND(DS$5&lt;=$F103,DS$5+GanttPeriod-1&gt;=$E103),"━","")))</f>
        <v/>
      </c>
      <c r="DT103" s="69" t="str">
        <f aca="false">IF($E103="","",IF($M103,IF(AND($G103&gt;=DT$5,$G103&lt;DT$5+GanttPeriod),"◆",IF(AND($E103&gt;=DT$5,$E103&lt;DT$5+GanttPeriod),"◇","")),IF(AND(DT$5&lt;=$F103,DT$5+GanttPeriod-1&gt;=$E103),"━","")))</f>
        <v/>
      </c>
      <c r="DU103" s="69" t="str">
        <f aca="false">IF($E103="","",IF($M103,IF(AND($G103&gt;=DU$5,$G103&lt;DU$5+GanttPeriod),"◆",IF(AND($E103&gt;=DU$5,$E103&lt;DU$5+GanttPeriod),"◇","")),IF(AND(DU$5&lt;=$F103,DU$5+GanttPeriod-1&gt;=$E103),"━","")))</f>
        <v/>
      </c>
      <c r="DV103" s="69" t="str">
        <f aca="false">IF($E103="","",IF($M103,IF(AND($G103&gt;=DV$5,$G103&lt;DV$5+GanttPeriod),"◆",IF(AND($E103&gt;=DV$5,$E103&lt;DV$5+GanttPeriod),"◇","")),IF(AND(DV$5&lt;=$F103,DV$5+GanttPeriod-1&gt;=$E103),"━","")))</f>
        <v/>
      </c>
      <c r="DW103" s="69" t="str">
        <f aca="false">IF($E103="","",IF($M103,IF(AND($G103&gt;=DW$5,$G103&lt;DW$5+GanttPeriod),"◆",IF(AND($E103&gt;=DW$5,$E103&lt;DW$5+GanttPeriod),"◇","")),IF(AND(DW$5&lt;=$F103,DW$5+GanttPeriod-1&gt;=$E103),"━","")))</f>
        <v/>
      </c>
      <c r="DX103" s="69" t="str">
        <f aca="false">IF($E103="","",IF($M103,IF(AND($G103&gt;=DX$5,$G103&lt;DX$5+GanttPeriod),"◆",IF(AND($E103&gt;=DX$5,$E103&lt;DX$5+GanttPeriod),"◇","")),IF(AND(DX$5&lt;=$F103,DX$5+GanttPeriod-1&gt;=$E103),"━","")))</f>
        <v/>
      </c>
      <c r="DY103" s="69" t="str">
        <f aca="false">IF($E103="","",IF($M103,IF(AND($G103&gt;=DY$5,$G103&lt;DY$5+GanttPeriod),"◆",IF(AND($E103&gt;=DY$5,$E103&lt;DY$5+GanttPeriod),"◇","")),IF(AND(DY$5&lt;=$F103,DY$5+GanttPeriod-1&gt;=$E103),"━","")))</f>
        <v/>
      </c>
      <c r="DZ103" s="69" t="str">
        <f aca="false">IF($E103="","",IF($M103,IF(AND($G103&gt;=DZ$5,$G103&lt;DZ$5+GanttPeriod),"◆",IF(AND($E103&gt;=DZ$5,$E103&lt;DZ$5+GanttPeriod),"◇","")),IF(AND(DZ$5&lt;=$F103,DZ$5+GanttPeriod-1&gt;=$E103),"━","")))</f>
        <v/>
      </c>
      <c r="EA103" s="69" t="str">
        <f aca="false">IF($E103="","",IF($M103,IF(AND($G103&gt;=EA$5,$G103&lt;EA$5+GanttPeriod),"◆",IF(AND($E103&gt;=EA$5,$E103&lt;EA$5+GanttPeriod),"◇","")),IF(AND(EA$5&lt;=$F103,EA$5+GanttPeriod-1&gt;=$E103),"━","")))</f>
        <v/>
      </c>
      <c r="EB103" s="69" t="str">
        <f aca="false">IF($E103="","",IF($M103,IF(AND($G103&gt;=EB$5,$G103&lt;EB$5+GanttPeriod),"◆",IF(AND($E103&gt;=EB$5,$E103&lt;EB$5+GanttPeriod),"◇","")),IF(AND(EB$5&lt;=$F103,EB$5+GanttPeriod-1&gt;=$E103),"━","")))</f>
        <v/>
      </c>
      <c r="EC103" s="69" t="str">
        <f aca="false">IF($E103="","",IF($M103,IF(AND($G103&gt;=EC$5,$G103&lt;EC$5+GanttPeriod),"◆",IF(AND($E103&gt;=EC$5,$E103&lt;EC$5+GanttPeriod),"◇","")),IF(AND(EC$5&lt;=$F103,EC$5+GanttPeriod-1&gt;=$E103),"━","")))</f>
        <v/>
      </c>
      <c r="ED103" s="69" t="str">
        <f aca="false">IF($E103="","",IF($M103,IF(AND($G103&gt;=ED$5,$G103&lt;ED$5+GanttPeriod),"◆",IF(AND($E103&gt;=ED$5,$E103&lt;ED$5+GanttPeriod),"◇","")),IF(AND(ED$5&lt;=$F103,ED$5+GanttPeriod-1&gt;=$E103),"━","")))</f>
        <v/>
      </c>
      <c r="EE103" s="69" t="str">
        <f aca="false">IF($E103="","",IF($M103,IF(AND($G103&gt;=EE$5,$G103&lt;EE$5+GanttPeriod),"◆",IF(AND($E103&gt;=EE$5,$E103&lt;EE$5+GanttPeriod),"◇","")),IF(AND(EE$5&lt;=$F103,EE$5+GanttPeriod-1&gt;=$E103),"━","")))</f>
        <v/>
      </c>
      <c r="EF103" s="69" t="str">
        <f aca="false">IF($E103="","",IF($M103,IF(AND($G103&gt;=EF$5,$G103&lt;EF$5+GanttPeriod),"◆",IF(AND($E103&gt;=EF$5,$E103&lt;EF$5+GanttPeriod),"◇","")),IF(AND(EF$5&lt;=$F103,EF$5+GanttPeriod-1&gt;=$E103),"━","")))</f>
        <v/>
      </c>
      <c r="EG103" s="69" t="str">
        <f aca="false">IF($E103="","",IF($M103,IF(AND($G103&gt;=EG$5,$G103&lt;EG$5+GanttPeriod),"◆",IF(AND($E103&gt;=EG$5,$E103&lt;EG$5+GanttPeriod),"◇","")),IF(AND(EG$5&lt;=$F103,EG$5+GanttPeriod-1&gt;=$E103),"━","")))</f>
        <v/>
      </c>
      <c r="EH103" s="69" t="str">
        <f aca="false">IF($E103="","",IF($M103,IF(AND($G103&gt;=EH$5,$G103&lt;EH$5+GanttPeriod),"◆",IF(AND($E103&gt;=EH$5,$E103&lt;EH$5+GanttPeriod),"◇","")),IF(AND(EH$5&lt;=$F103,EH$5+GanttPeriod-1&gt;=$E103),"━","")))</f>
        <v/>
      </c>
      <c r="EI103" s="69" t="str">
        <f aca="false">IF($E103="","",IF($M103,IF(AND($G103&gt;=EI$5,$G103&lt;EI$5+GanttPeriod),"◆",IF(AND($E103&gt;=EI$5,$E103&lt;EI$5+GanttPeriod),"◇","")),IF(AND(EI$5&lt;=$F103,EI$5+GanttPeriod-1&gt;=$E103),"━","")))</f>
        <v/>
      </c>
      <c r="EJ103" s="69" t="str">
        <f aca="false">IF($E103="","",IF($M103,IF(AND($G103&gt;=EJ$5,$G103&lt;EJ$5+GanttPeriod),"◆",IF(AND($E103&gt;=EJ$5,$E103&lt;EJ$5+GanttPeriod),"◇","")),IF(AND(EJ$5&lt;=$F103,EJ$5+GanttPeriod-1&gt;=$E103),"━","")))</f>
        <v/>
      </c>
      <c r="EK103" s="69" t="str">
        <f aca="false">IF($E103="","",IF($M103,IF(AND($G103&gt;=EK$5,$G103&lt;EK$5+GanttPeriod),"◆",IF(AND($E103&gt;=EK$5,$E103&lt;EK$5+GanttPeriod),"◇","")),IF(AND(EK$5&lt;=$F103,EK$5+GanttPeriod-1&gt;=$E103),"━","")))</f>
        <v/>
      </c>
      <c r="EL103" s="69" t="str">
        <f aca="false">IF($E103="","",IF($M103,IF(AND($G103&gt;=EL$5,$G103&lt;EL$5+GanttPeriod),"◆",IF(AND($E103&gt;=EL$5,$E103&lt;EL$5+GanttPeriod),"◇","")),IF(AND(EL$5&lt;=$F103,EL$5+GanttPeriod-1&gt;=$E103),"━","")))</f>
        <v/>
      </c>
      <c r="EM103" s="69" t="str">
        <f aca="false">IF($E103="","",IF($M103,IF(AND($G103&gt;=EM$5,$G103&lt;EM$5+GanttPeriod),"◆",IF(AND($E103&gt;=EM$5,$E103&lt;EM$5+GanttPeriod),"◇","")),IF(AND(EM$5&lt;=$F103,EM$5+GanttPeriod-1&gt;=$E103),"━","")))</f>
        <v/>
      </c>
      <c r="EN103" s="69" t="str">
        <f aca="false">IF($E103="","",IF($M103,IF(AND($G103&gt;=EN$5,$G103&lt;EN$5+GanttPeriod),"◆",IF(AND($E103&gt;=EN$5,$E103&lt;EN$5+GanttPeriod),"◇","")),IF(AND(EN$5&lt;=$F103,EN$5+GanttPeriod-1&gt;=$E103),"━","")))</f>
        <v/>
      </c>
      <c r="EO103" s="69" t="str">
        <f aca="false">IF($E103="","",IF($M103,IF(AND($G103&gt;=EO$5,$G103&lt;EO$5+GanttPeriod),"◆",IF(AND($E103&gt;=EO$5,$E103&lt;EO$5+GanttPeriod),"◇","")),IF(AND(EO$5&lt;=$F103,EO$5+GanttPeriod-1&gt;=$E103),"━","")))</f>
        <v/>
      </c>
      <c r="EP103" s="69" t="str">
        <f aca="false">IF($E103="","",IF($M103,IF(AND($G103&gt;=EP$5,$G103&lt;EP$5+GanttPeriod),"◆",IF(AND($E103&gt;=EP$5,$E103&lt;EP$5+GanttPeriod),"◇","")),IF(AND(EP$5&lt;=$F103,EP$5+GanttPeriod-1&gt;=$E103),"━","")))</f>
        <v/>
      </c>
      <c r="EQ103" s="69" t="str">
        <f aca="false">IF($E103="","",IF($M103,IF(AND($G103&gt;=EQ$5,$G103&lt;EQ$5+GanttPeriod),"◆",IF(AND($E103&gt;=EQ$5,$E103&lt;EQ$5+GanttPeriod),"◇","")),IF(AND(EQ$5&lt;=$F103,EQ$5+GanttPeriod-1&gt;=$E103),"━","")))</f>
        <v/>
      </c>
      <c r="ER103" s="69" t="str">
        <f aca="false">IF($E103="","",IF($M103,IF(AND($G103&gt;=ER$5,$G103&lt;ER$5+GanttPeriod),"◆",IF(AND($E103&gt;=ER$5,$E103&lt;ER$5+GanttPeriod),"◇","")),IF(AND(ER$5&lt;=$F103,ER$5+GanttPeriod-1&gt;=$E103),"━","")))</f>
        <v/>
      </c>
      <c r="ES103" s="69" t="str">
        <f aca="false">IF($E103="","",IF($M103,IF(AND($G103&gt;=ES$5,$G103&lt;ES$5+GanttPeriod),"◆",IF(AND($E103&gt;=ES$5,$E103&lt;ES$5+GanttPeriod),"◇","")),IF(AND(ES$5&lt;=$F103,ES$5+GanttPeriod-1&gt;=$E103),"━","")))</f>
        <v/>
      </c>
      <c r="ET103" s="69" t="str">
        <f aca="false">IF($E103="","",IF($M103,IF(AND($G103&gt;=ET$5,$G103&lt;ET$5+GanttPeriod),"◆",IF(AND($E103&gt;=ET$5,$E103&lt;ET$5+GanttPeriod),"◇","")),IF(AND(ET$5&lt;=$F103,ET$5+GanttPeriod-1&gt;=$E103),"━","")))</f>
        <v/>
      </c>
      <c r="EU103" s="69" t="str">
        <f aca="false">IF($E103="","",IF($M103,IF(AND($G103&gt;=EU$5,$G103&lt;EU$5+GanttPeriod),"◆",IF(AND($E103&gt;=EU$5,$E103&lt;EU$5+GanttPeriod),"◇","")),IF(AND(EU$5&lt;=$F103,EU$5+GanttPeriod-1&gt;=$E103),"━","")))</f>
        <v/>
      </c>
      <c r="EV103" s="69" t="str">
        <f aca="false">IF($E103="","",IF($M103,IF(AND($G103&gt;=EV$5,$G103&lt;EV$5+GanttPeriod),"◆",IF(AND($E103&gt;=EV$5,$E103&lt;EV$5+GanttPeriod),"◇","")),IF(AND(EV$5&lt;=$F103,EV$5+GanttPeriod-1&gt;=$E103),"━","")))</f>
        <v/>
      </c>
      <c r="EW103" s="69" t="str">
        <f aca="false">IF($E103="","",IF($M103,IF(AND($G103&gt;=EW$5,$G103&lt;EW$5+GanttPeriod),"◆",IF(AND($E103&gt;=EW$5,$E103&lt;EW$5+GanttPeriod),"◇","")),IF(AND(EW$5&lt;=$F103,EW$5+GanttPeriod-1&gt;=$E103),"━","")))</f>
        <v/>
      </c>
      <c r="EX103" s="69" t="str">
        <f aca="false">IF($E103="","",IF($M103,IF(AND($G103&gt;=EX$5,$G103&lt;EX$5+GanttPeriod),"◆",IF(AND($E103&gt;=EX$5,$E103&lt;EX$5+GanttPeriod),"◇","")),IF(AND(EX$5&lt;=$F103,EX$5+GanttPeriod-1&gt;=$E103),"━","")))</f>
        <v/>
      </c>
      <c r="EY103" s="69" t="str">
        <f aca="false">IF($E103="","",IF($M103,IF(AND($G103&gt;=EY$5,$G103&lt;EY$5+GanttPeriod),"◆",IF(AND($E103&gt;=EY$5,$E103&lt;EY$5+GanttPeriod),"◇","")),IF(AND(EY$5&lt;=$F103,EY$5+GanttPeriod-1&gt;=$E103),"━","")))</f>
        <v/>
      </c>
      <c r="EZ103" s="69" t="str">
        <f aca="false">IF($E103="","",IF($M103,IF(AND($G103&gt;=EZ$5,$G103&lt;EZ$5+GanttPeriod),"◆",IF(AND($E103&gt;=EZ$5,$E103&lt;EZ$5+GanttPeriod),"◇","")),IF(AND(EZ$5&lt;=$F103,EZ$5+GanttPeriod-1&gt;=$E103),"━","")))</f>
        <v/>
      </c>
      <c r="FA103" s="69" t="str">
        <f aca="false">IF($E103="","",IF($M103,IF(AND($G103&gt;=FA$5,$G103&lt;FA$5+GanttPeriod),"◆",IF(AND($E103&gt;=FA$5,$E103&lt;FA$5+GanttPeriod),"◇","")),IF(AND(FA$5&lt;=$F103,FA$5+GanttPeriod-1&gt;=$E103),"━","")))</f>
        <v/>
      </c>
      <c r="FB103" s="69" t="str">
        <f aca="false">IF($E103="","",IF($M103,IF(AND($G103&gt;=FB$5,$G103&lt;FB$5+GanttPeriod),"◆",IF(AND($E103&gt;=FB$5,$E103&lt;FB$5+GanttPeriod),"◇","")),IF(AND(FB$5&lt;=$F103,FB$5+GanttPeriod-1&gt;=$E103),"━","")))</f>
        <v/>
      </c>
      <c r="FC103" s="69" t="str">
        <f aca="false">IF($E103="","",IF($M103,IF(AND($G103&gt;=FC$5,$G103&lt;FC$5+GanttPeriod),"◆",IF(AND($E103&gt;=FC$5,$E103&lt;FC$5+GanttPeriod),"◇","")),IF(AND(FC$5&lt;=$F103,FC$5+GanttPeriod-1&gt;=$E103),"━","")))</f>
        <v/>
      </c>
      <c r="FD103" s="69" t="str">
        <f aca="false">IF($E103="","",IF($M103,IF(AND($G103&gt;=FD$5,$G103&lt;FD$5+GanttPeriod),"◆",IF(AND($E103&gt;=FD$5,$E103&lt;FD$5+GanttPeriod),"◇","")),IF(AND(FD$5&lt;=$F103,FD$5+GanttPeriod-1&gt;=$E103),"━","")))</f>
        <v/>
      </c>
      <c r="FE103" s="69" t="str">
        <f aca="false">IF($E103="","",IF($M103,IF(AND($G103&gt;=FE$5,$G103&lt;FE$5+GanttPeriod),"◆",IF(AND($E103&gt;=FE$5,$E103&lt;FE$5+GanttPeriod),"◇","")),IF(AND(FE$5&lt;=$F103,FE$5+GanttPeriod-1&gt;=$E103),"━","")))</f>
        <v/>
      </c>
      <c r="FF103" s="69" t="str">
        <f aca="false">IF($E103="","",IF($M103,IF(AND($G103&gt;=FF$5,$G103&lt;FF$5+GanttPeriod),"◆",IF(AND($E103&gt;=FF$5,$E103&lt;FF$5+GanttPeriod),"◇","")),IF(AND(FF$5&lt;=$F103,FF$5+GanttPeriod-1&gt;=$E103),"━","")))</f>
        <v/>
      </c>
      <c r="FG103" s="69" t="str">
        <f aca="false">IF($E103="","",IF($M103,IF(AND($G103&gt;=FG$5,$G103&lt;FG$5+GanttPeriod),"◆",IF(AND($E103&gt;=FG$5,$E103&lt;FG$5+GanttPeriod),"◇","")),IF(AND(FG$5&lt;=$F103,FG$5+GanttPeriod-1&gt;=$E103),"━","")))</f>
        <v/>
      </c>
      <c r="FH103" s="69" t="str">
        <f aca="false">IF($E103="","",IF($M103,IF(AND($G103&gt;=FH$5,$G103&lt;FH$5+GanttPeriod),"◆",IF(AND($E103&gt;=FH$5,$E103&lt;FH$5+GanttPeriod),"◇","")),IF(AND(FH$5&lt;=$F103,FH$5+GanttPeriod-1&gt;=$E103),"━","")))</f>
        <v/>
      </c>
      <c r="FI103" s="69" t="str">
        <f aca="false">IF($E103="","",IF($M103,IF(AND($G103&gt;=FI$5,$G103&lt;FI$5+GanttPeriod),"◆",IF(AND($E103&gt;=FI$5,$E103&lt;FI$5+GanttPeriod),"◇","")),IF(AND(FI$5&lt;=$F103,FI$5+GanttPeriod-1&gt;=$E103),"━","")))</f>
        <v/>
      </c>
      <c r="FJ103" s="69" t="str">
        <f aca="false">IF($E103="","",IF($M103,IF(AND($G103&gt;=FJ$5,$G103&lt;FJ$5+GanttPeriod),"◆",IF(AND($E103&gt;=FJ$5,$E103&lt;FJ$5+GanttPeriod),"◇","")),IF(AND(FJ$5&lt;=$F103,FJ$5+GanttPeriod-1&gt;=$E103),"━","")))</f>
        <v/>
      </c>
      <c r="FK103" s="69" t="str">
        <f aca="false">IF($E103="","",IF($M103,IF(AND($G103&gt;=FK$5,$G103&lt;FK$5+GanttPeriod),"◆",IF(AND($E103&gt;=FK$5,$E103&lt;FK$5+GanttPeriod),"◇","")),IF(AND(FK$5&lt;=$F103,FK$5+GanttPeriod-1&gt;=$E103),"━","")))</f>
        <v/>
      </c>
      <c r="FL103" s="69" t="str">
        <f aca="false">IF($E103="","",IF($M103,IF(AND($G103&gt;=FL$5,$G103&lt;FL$5+GanttPeriod),"◆",IF(AND($E103&gt;=FL$5,$E103&lt;FL$5+GanttPeriod),"◇","")),IF(AND(FL$5&lt;=$F103,FL$5+GanttPeriod-1&gt;=$E103),"━","")))</f>
        <v/>
      </c>
      <c r="FM103" s="69" t="str">
        <f aca="false">IF($E103="","",IF($M103,IF(AND($G103&gt;=FM$5,$G103&lt;FM$5+GanttPeriod),"◆",IF(AND($E103&gt;=FM$5,$E103&lt;FM$5+GanttPeriod),"◇","")),IF(AND(FM$5&lt;=$F103,FM$5+GanttPeriod-1&gt;=$E103),"━","")))</f>
        <v/>
      </c>
    </row>
    <row r="104" customFormat="false" ht="15" hidden="false" customHeight="false" outlineLevel="0" collapsed="false">
      <c r="A104" s="62" t="str">
        <f aca="false">IF(Tasks!$D104="","",Tasks!$A104)</f>
        <v/>
      </c>
      <c r="B104" s="62" t="str">
        <f aca="false">IF(Tasks!$D104="","",Tasks!$B104)</f>
        <v/>
      </c>
      <c r="C104" s="63" t="str">
        <f aca="false">IF(Tasks!$D104="","",REPT("    ",Tasks!$AE104-1)&amp;Tasks!$D104)</f>
        <v/>
      </c>
      <c r="D104" s="62" t="str">
        <f aca="false">IF(Tasks!$D104="","",IF(Tasks!$AI104,NETWORKDAYS.INTL(Tasks!$R104,Tasks!$S104,WorkWeek,Holidays),N(Tasks!$F104)))</f>
        <v/>
      </c>
      <c r="E104" s="64" t="str">
        <f aca="false">IF(Tasks!$D104="","",Tasks!$N104)</f>
        <v/>
      </c>
      <c r="F104" s="64" t="str">
        <f aca="false">IF(Tasks!$D104="","",Tasks!$O104)</f>
        <v/>
      </c>
      <c r="G104" s="64" t="str">
        <f aca="false">IF(Tasks!$D104="","",Tasks!$R104)</f>
        <v/>
      </c>
      <c r="H104" s="64" t="str">
        <f aca="false">IF(Tasks!$D104="","",Tasks!$S104)</f>
        <v/>
      </c>
      <c r="I104" s="65" t="str">
        <f aca="false">IF(Tasks!$D104="","",Tasks!$V104)</f>
        <v/>
      </c>
      <c r="J104" s="63" t="str">
        <f aca="false">IF(Tasks!$D104="","",Tasks!$X104&amp;"")</f>
        <v/>
      </c>
      <c r="K104" s="66" t="str">
        <f aca="false">IF(Tasks!$D104="","",Tasks!$W104)</f>
        <v/>
      </c>
      <c r="L104" s="67" t="b">
        <f aca="false">IF(Tasks!$D104="",FALSE(),Tasks!$AI104)</f>
        <v>0</v>
      </c>
      <c r="M104" s="67" t="b">
        <f aca="false">AND(Tasks!$AJ104=1,N(Tasks!$F104)=0)</f>
        <v>0</v>
      </c>
      <c r="N104" s="68" t="n">
        <f aca="false">IF(AND(Tasks!$AJ104=1,NOT($M104),N($I104)&gt;0),$G104,0)</f>
        <v>0</v>
      </c>
      <c r="O104" s="68" t="n">
        <f aca="false">IF($N104=0,0,IF($I104&gt;=1,$H104,MAX($N104,$G104+ROUND(($H104-$G104+1)*$I104,0)-1)))</f>
        <v>0</v>
      </c>
      <c r="P104" s="68" t="n">
        <f aca="false">IF(OR(Tasks!$AJ104&lt;&gt;1,$M104,N($I104)&gt;=1),0,IF($O104&gt;0,$O104+1,$G104))</f>
        <v>0</v>
      </c>
      <c r="Q104" s="68" t="n">
        <f aca="false">IF($P104=0,0,$H104)</f>
        <v>0</v>
      </c>
      <c r="R104" s="67" t="b">
        <f aca="false">AND(Tasks!$D104&lt;&gt;"",N(Tasks!$T104)&gt;0)</f>
        <v>0</v>
      </c>
      <c r="T104" s="69" t="str">
        <f aca="false">IF($E104="","",IF($M104,IF(AND($G104&gt;=T$5,$G104&lt;T$5+GanttPeriod),"◆",IF(AND($E104&gt;=T$5,$E104&lt;T$5+GanttPeriod),"◇","")),IF(AND(T$5&lt;=$F104,T$5+GanttPeriod-1&gt;=$E104),"━","")))</f>
        <v/>
      </c>
      <c r="U104" s="69" t="str">
        <f aca="false">IF($E104="","",IF($M104,IF(AND($G104&gt;=U$5,$G104&lt;U$5+GanttPeriod),"◆",IF(AND($E104&gt;=U$5,$E104&lt;U$5+GanttPeriod),"◇","")),IF(AND(U$5&lt;=$F104,U$5+GanttPeriod-1&gt;=$E104),"━","")))</f>
        <v/>
      </c>
      <c r="V104" s="69" t="str">
        <f aca="false">IF($E104="","",IF($M104,IF(AND($G104&gt;=V$5,$G104&lt;V$5+GanttPeriod),"◆",IF(AND($E104&gt;=V$5,$E104&lt;V$5+GanttPeriod),"◇","")),IF(AND(V$5&lt;=$F104,V$5+GanttPeriod-1&gt;=$E104),"━","")))</f>
        <v/>
      </c>
      <c r="W104" s="69" t="str">
        <f aca="false">IF($E104="","",IF($M104,IF(AND($G104&gt;=W$5,$G104&lt;W$5+GanttPeriod),"◆",IF(AND($E104&gt;=W$5,$E104&lt;W$5+GanttPeriod),"◇","")),IF(AND(W$5&lt;=$F104,W$5+GanttPeriod-1&gt;=$E104),"━","")))</f>
        <v/>
      </c>
      <c r="X104" s="69" t="str">
        <f aca="false">IF($E104="","",IF($M104,IF(AND($G104&gt;=X$5,$G104&lt;X$5+GanttPeriod),"◆",IF(AND($E104&gt;=X$5,$E104&lt;X$5+GanttPeriod),"◇","")),IF(AND(X$5&lt;=$F104,X$5+GanttPeriod-1&gt;=$E104),"━","")))</f>
        <v/>
      </c>
      <c r="Y104" s="69" t="str">
        <f aca="false">IF($E104="","",IF($M104,IF(AND($G104&gt;=Y$5,$G104&lt;Y$5+GanttPeriod),"◆",IF(AND($E104&gt;=Y$5,$E104&lt;Y$5+GanttPeriod),"◇","")),IF(AND(Y$5&lt;=$F104,Y$5+GanttPeriod-1&gt;=$E104),"━","")))</f>
        <v/>
      </c>
      <c r="Z104" s="69" t="str">
        <f aca="false">IF($E104="","",IF($M104,IF(AND($G104&gt;=Z$5,$G104&lt;Z$5+GanttPeriod),"◆",IF(AND($E104&gt;=Z$5,$E104&lt;Z$5+GanttPeriod),"◇","")),IF(AND(Z$5&lt;=$F104,Z$5+GanttPeriod-1&gt;=$E104),"━","")))</f>
        <v/>
      </c>
      <c r="AA104" s="69" t="str">
        <f aca="false">IF($E104="","",IF($M104,IF(AND($G104&gt;=AA$5,$G104&lt;AA$5+GanttPeriod),"◆",IF(AND($E104&gt;=AA$5,$E104&lt;AA$5+GanttPeriod),"◇","")),IF(AND(AA$5&lt;=$F104,AA$5+GanttPeriod-1&gt;=$E104),"━","")))</f>
        <v/>
      </c>
      <c r="AB104" s="69" t="str">
        <f aca="false">IF($E104="","",IF($M104,IF(AND($G104&gt;=AB$5,$G104&lt;AB$5+GanttPeriod),"◆",IF(AND($E104&gt;=AB$5,$E104&lt;AB$5+GanttPeriod),"◇","")),IF(AND(AB$5&lt;=$F104,AB$5+GanttPeriod-1&gt;=$E104),"━","")))</f>
        <v/>
      </c>
      <c r="AC104" s="69" t="str">
        <f aca="false">IF($E104="","",IF($M104,IF(AND($G104&gt;=AC$5,$G104&lt;AC$5+GanttPeriod),"◆",IF(AND($E104&gt;=AC$5,$E104&lt;AC$5+GanttPeriod),"◇","")),IF(AND(AC$5&lt;=$F104,AC$5+GanttPeriod-1&gt;=$E104),"━","")))</f>
        <v/>
      </c>
      <c r="AD104" s="69" t="str">
        <f aca="false">IF($E104="","",IF($M104,IF(AND($G104&gt;=AD$5,$G104&lt;AD$5+GanttPeriod),"◆",IF(AND($E104&gt;=AD$5,$E104&lt;AD$5+GanttPeriod),"◇","")),IF(AND(AD$5&lt;=$F104,AD$5+GanttPeriod-1&gt;=$E104),"━","")))</f>
        <v/>
      </c>
      <c r="AE104" s="69" t="str">
        <f aca="false">IF($E104="","",IF($M104,IF(AND($G104&gt;=AE$5,$G104&lt;AE$5+GanttPeriod),"◆",IF(AND($E104&gt;=AE$5,$E104&lt;AE$5+GanttPeriod),"◇","")),IF(AND(AE$5&lt;=$F104,AE$5+GanttPeriod-1&gt;=$E104),"━","")))</f>
        <v/>
      </c>
      <c r="AF104" s="69" t="str">
        <f aca="false">IF($E104="","",IF($M104,IF(AND($G104&gt;=AF$5,$G104&lt;AF$5+GanttPeriod),"◆",IF(AND($E104&gt;=AF$5,$E104&lt;AF$5+GanttPeriod),"◇","")),IF(AND(AF$5&lt;=$F104,AF$5+GanttPeriod-1&gt;=$E104),"━","")))</f>
        <v/>
      </c>
      <c r="AG104" s="69" t="str">
        <f aca="false">IF($E104="","",IF($M104,IF(AND($G104&gt;=AG$5,$G104&lt;AG$5+GanttPeriod),"◆",IF(AND($E104&gt;=AG$5,$E104&lt;AG$5+GanttPeriod),"◇","")),IF(AND(AG$5&lt;=$F104,AG$5+GanttPeriod-1&gt;=$E104),"━","")))</f>
        <v/>
      </c>
      <c r="AH104" s="69" t="str">
        <f aca="false">IF($E104="","",IF($M104,IF(AND($G104&gt;=AH$5,$G104&lt;AH$5+GanttPeriod),"◆",IF(AND($E104&gt;=AH$5,$E104&lt;AH$5+GanttPeriod),"◇","")),IF(AND(AH$5&lt;=$F104,AH$5+GanttPeriod-1&gt;=$E104),"━","")))</f>
        <v/>
      </c>
      <c r="AI104" s="69" t="str">
        <f aca="false">IF($E104="","",IF($M104,IF(AND($G104&gt;=AI$5,$G104&lt;AI$5+GanttPeriod),"◆",IF(AND($E104&gt;=AI$5,$E104&lt;AI$5+GanttPeriod),"◇","")),IF(AND(AI$5&lt;=$F104,AI$5+GanttPeriod-1&gt;=$E104),"━","")))</f>
        <v/>
      </c>
      <c r="AJ104" s="69" t="str">
        <f aca="false">IF($E104="","",IF($M104,IF(AND($G104&gt;=AJ$5,$G104&lt;AJ$5+GanttPeriod),"◆",IF(AND($E104&gt;=AJ$5,$E104&lt;AJ$5+GanttPeriod),"◇","")),IF(AND(AJ$5&lt;=$F104,AJ$5+GanttPeriod-1&gt;=$E104),"━","")))</f>
        <v/>
      </c>
      <c r="AK104" s="69" t="str">
        <f aca="false">IF($E104="","",IF($M104,IF(AND($G104&gt;=AK$5,$G104&lt;AK$5+GanttPeriod),"◆",IF(AND($E104&gt;=AK$5,$E104&lt;AK$5+GanttPeriod),"◇","")),IF(AND(AK$5&lt;=$F104,AK$5+GanttPeriod-1&gt;=$E104),"━","")))</f>
        <v/>
      </c>
      <c r="AL104" s="69" t="str">
        <f aca="false">IF($E104="","",IF($M104,IF(AND($G104&gt;=AL$5,$G104&lt;AL$5+GanttPeriod),"◆",IF(AND($E104&gt;=AL$5,$E104&lt;AL$5+GanttPeriod),"◇","")),IF(AND(AL$5&lt;=$F104,AL$5+GanttPeriod-1&gt;=$E104),"━","")))</f>
        <v/>
      </c>
      <c r="AM104" s="69" t="str">
        <f aca="false">IF($E104="","",IF($M104,IF(AND($G104&gt;=AM$5,$G104&lt;AM$5+GanttPeriod),"◆",IF(AND($E104&gt;=AM$5,$E104&lt;AM$5+GanttPeriod),"◇","")),IF(AND(AM$5&lt;=$F104,AM$5+GanttPeriod-1&gt;=$E104),"━","")))</f>
        <v/>
      </c>
      <c r="AN104" s="69" t="str">
        <f aca="false">IF($E104="","",IF($M104,IF(AND($G104&gt;=AN$5,$G104&lt;AN$5+GanttPeriod),"◆",IF(AND($E104&gt;=AN$5,$E104&lt;AN$5+GanttPeriod),"◇","")),IF(AND(AN$5&lt;=$F104,AN$5+GanttPeriod-1&gt;=$E104),"━","")))</f>
        <v/>
      </c>
      <c r="AO104" s="69" t="str">
        <f aca="false">IF($E104="","",IF($M104,IF(AND($G104&gt;=AO$5,$G104&lt;AO$5+GanttPeriod),"◆",IF(AND($E104&gt;=AO$5,$E104&lt;AO$5+GanttPeriod),"◇","")),IF(AND(AO$5&lt;=$F104,AO$5+GanttPeriod-1&gt;=$E104),"━","")))</f>
        <v/>
      </c>
      <c r="AP104" s="69" t="str">
        <f aca="false">IF($E104="","",IF($M104,IF(AND($G104&gt;=AP$5,$G104&lt;AP$5+GanttPeriod),"◆",IF(AND($E104&gt;=AP$5,$E104&lt;AP$5+GanttPeriod),"◇","")),IF(AND(AP$5&lt;=$F104,AP$5+GanttPeriod-1&gt;=$E104),"━","")))</f>
        <v/>
      </c>
      <c r="AQ104" s="69" t="str">
        <f aca="false">IF($E104="","",IF($M104,IF(AND($G104&gt;=AQ$5,$G104&lt;AQ$5+GanttPeriod),"◆",IF(AND($E104&gt;=AQ$5,$E104&lt;AQ$5+GanttPeriod),"◇","")),IF(AND(AQ$5&lt;=$F104,AQ$5+GanttPeriod-1&gt;=$E104),"━","")))</f>
        <v/>
      </c>
      <c r="AR104" s="69" t="str">
        <f aca="false">IF($E104="","",IF($M104,IF(AND($G104&gt;=AR$5,$G104&lt;AR$5+GanttPeriod),"◆",IF(AND($E104&gt;=AR$5,$E104&lt;AR$5+GanttPeriod),"◇","")),IF(AND(AR$5&lt;=$F104,AR$5+GanttPeriod-1&gt;=$E104),"━","")))</f>
        <v/>
      </c>
      <c r="AS104" s="69" t="str">
        <f aca="false">IF($E104="","",IF($M104,IF(AND($G104&gt;=AS$5,$G104&lt;AS$5+GanttPeriod),"◆",IF(AND($E104&gt;=AS$5,$E104&lt;AS$5+GanttPeriod),"◇","")),IF(AND(AS$5&lt;=$F104,AS$5+GanttPeriod-1&gt;=$E104),"━","")))</f>
        <v/>
      </c>
      <c r="AT104" s="69" t="str">
        <f aca="false">IF($E104="","",IF($M104,IF(AND($G104&gt;=AT$5,$G104&lt;AT$5+GanttPeriod),"◆",IF(AND($E104&gt;=AT$5,$E104&lt;AT$5+GanttPeriod),"◇","")),IF(AND(AT$5&lt;=$F104,AT$5+GanttPeriod-1&gt;=$E104),"━","")))</f>
        <v/>
      </c>
      <c r="AU104" s="69" t="str">
        <f aca="false">IF($E104="","",IF($M104,IF(AND($G104&gt;=AU$5,$G104&lt;AU$5+GanttPeriod),"◆",IF(AND($E104&gt;=AU$5,$E104&lt;AU$5+GanttPeriod),"◇","")),IF(AND(AU$5&lt;=$F104,AU$5+GanttPeriod-1&gt;=$E104),"━","")))</f>
        <v/>
      </c>
      <c r="AV104" s="69" t="str">
        <f aca="false">IF($E104="","",IF($M104,IF(AND($G104&gt;=AV$5,$G104&lt;AV$5+GanttPeriod),"◆",IF(AND($E104&gt;=AV$5,$E104&lt;AV$5+GanttPeriod),"◇","")),IF(AND(AV$5&lt;=$F104,AV$5+GanttPeriod-1&gt;=$E104),"━","")))</f>
        <v/>
      </c>
      <c r="AW104" s="69" t="str">
        <f aca="false">IF($E104="","",IF($M104,IF(AND($G104&gt;=AW$5,$G104&lt;AW$5+GanttPeriod),"◆",IF(AND($E104&gt;=AW$5,$E104&lt;AW$5+GanttPeriod),"◇","")),IF(AND(AW$5&lt;=$F104,AW$5+GanttPeriod-1&gt;=$E104),"━","")))</f>
        <v/>
      </c>
      <c r="AX104" s="69" t="str">
        <f aca="false">IF($E104="","",IF($M104,IF(AND($G104&gt;=AX$5,$G104&lt;AX$5+GanttPeriod),"◆",IF(AND($E104&gt;=AX$5,$E104&lt;AX$5+GanttPeriod),"◇","")),IF(AND(AX$5&lt;=$F104,AX$5+GanttPeriod-1&gt;=$E104),"━","")))</f>
        <v/>
      </c>
      <c r="AY104" s="69" t="str">
        <f aca="false">IF($E104="","",IF($M104,IF(AND($G104&gt;=AY$5,$G104&lt;AY$5+GanttPeriod),"◆",IF(AND($E104&gt;=AY$5,$E104&lt;AY$5+GanttPeriod),"◇","")),IF(AND(AY$5&lt;=$F104,AY$5+GanttPeriod-1&gt;=$E104),"━","")))</f>
        <v/>
      </c>
      <c r="AZ104" s="69" t="str">
        <f aca="false">IF($E104="","",IF($M104,IF(AND($G104&gt;=AZ$5,$G104&lt;AZ$5+GanttPeriod),"◆",IF(AND($E104&gt;=AZ$5,$E104&lt;AZ$5+GanttPeriod),"◇","")),IF(AND(AZ$5&lt;=$F104,AZ$5+GanttPeriod-1&gt;=$E104),"━","")))</f>
        <v/>
      </c>
      <c r="BA104" s="69" t="str">
        <f aca="false">IF($E104="","",IF($M104,IF(AND($G104&gt;=BA$5,$G104&lt;BA$5+GanttPeriod),"◆",IF(AND($E104&gt;=BA$5,$E104&lt;BA$5+GanttPeriod),"◇","")),IF(AND(BA$5&lt;=$F104,BA$5+GanttPeriod-1&gt;=$E104),"━","")))</f>
        <v/>
      </c>
      <c r="BB104" s="69" t="str">
        <f aca="false">IF($E104="","",IF($M104,IF(AND($G104&gt;=BB$5,$G104&lt;BB$5+GanttPeriod),"◆",IF(AND($E104&gt;=BB$5,$E104&lt;BB$5+GanttPeriod),"◇","")),IF(AND(BB$5&lt;=$F104,BB$5+GanttPeriod-1&gt;=$E104),"━","")))</f>
        <v/>
      </c>
      <c r="BC104" s="69" t="str">
        <f aca="false">IF($E104="","",IF($M104,IF(AND($G104&gt;=BC$5,$G104&lt;BC$5+GanttPeriod),"◆",IF(AND($E104&gt;=BC$5,$E104&lt;BC$5+GanttPeriod),"◇","")),IF(AND(BC$5&lt;=$F104,BC$5+GanttPeriod-1&gt;=$E104),"━","")))</f>
        <v/>
      </c>
      <c r="BD104" s="69" t="str">
        <f aca="false">IF($E104="","",IF($M104,IF(AND($G104&gt;=BD$5,$G104&lt;BD$5+GanttPeriod),"◆",IF(AND($E104&gt;=BD$5,$E104&lt;BD$5+GanttPeriod),"◇","")),IF(AND(BD$5&lt;=$F104,BD$5+GanttPeriod-1&gt;=$E104),"━","")))</f>
        <v/>
      </c>
      <c r="BE104" s="69" t="str">
        <f aca="false">IF($E104="","",IF($M104,IF(AND($G104&gt;=BE$5,$G104&lt;BE$5+GanttPeriod),"◆",IF(AND($E104&gt;=BE$5,$E104&lt;BE$5+GanttPeriod),"◇","")),IF(AND(BE$5&lt;=$F104,BE$5+GanttPeriod-1&gt;=$E104),"━","")))</f>
        <v/>
      </c>
      <c r="BF104" s="69" t="str">
        <f aca="false">IF($E104="","",IF($M104,IF(AND($G104&gt;=BF$5,$G104&lt;BF$5+GanttPeriod),"◆",IF(AND($E104&gt;=BF$5,$E104&lt;BF$5+GanttPeriod),"◇","")),IF(AND(BF$5&lt;=$F104,BF$5+GanttPeriod-1&gt;=$E104),"━","")))</f>
        <v/>
      </c>
      <c r="BG104" s="69" t="str">
        <f aca="false">IF($E104="","",IF($M104,IF(AND($G104&gt;=BG$5,$G104&lt;BG$5+GanttPeriod),"◆",IF(AND($E104&gt;=BG$5,$E104&lt;BG$5+GanttPeriod),"◇","")),IF(AND(BG$5&lt;=$F104,BG$5+GanttPeriod-1&gt;=$E104),"━","")))</f>
        <v/>
      </c>
      <c r="BH104" s="69" t="str">
        <f aca="false">IF($E104="","",IF($M104,IF(AND($G104&gt;=BH$5,$G104&lt;BH$5+GanttPeriod),"◆",IF(AND($E104&gt;=BH$5,$E104&lt;BH$5+GanttPeriod),"◇","")),IF(AND(BH$5&lt;=$F104,BH$5+GanttPeriod-1&gt;=$E104),"━","")))</f>
        <v/>
      </c>
      <c r="BI104" s="69" t="str">
        <f aca="false">IF($E104="","",IF($M104,IF(AND($G104&gt;=BI$5,$G104&lt;BI$5+GanttPeriod),"◆",IF(AND($E104&gt;=BI$5,$E104&lt;BI$5+GanttPeriod),"◇","")),IF(AND(BI$5&lt;=$F104,BI$5+GanttPeriod-1&gt;=$E104),"━","")))</f>
        <v/>
      </c>
      <c r="BJ104" s="69" t="str">
        <f aca="false">IF($E104="","",IF($M104,IF(AND($G104&gt;=BJ$5,$G104&lt;BJ$5+GanttPeriod),"◆",IF(AND($E104&gt;=BJ$5,$E104&lt;BJ$5+GanttPeriod),"◇","")),IF(AND(BJ$5&lt;=$F104,BJ$5+GanttPeriod-1&gt;=$E104),"━","")))</f>
        <v/>
      </c>
      <c r="BK104" s="69" t="str">
        <f aca="false">IF($E104="","",IF($M104,IF(AND($G104&gt;=BK$5,$G104&lt;BK$5+GanttPeriod),"◆",IF(AND($E104&gt;=BK$5,$E104&lt;BK$5+GanttPeriod),"◇","")),IF(AND(BK$5&lt;=$F104,BK$5+GanttPeriod-1&gt;=$E104),"━","")))</f>
        <v/>
      </c>
      <c r="BL104" s="69" t="str">
        <f aca="false">IF($E104="","",IF($M104,IF(AND($G104&gt;=BL$5,$G104&lt;BL$5+GanttPeriod),"◆",IF(AND($E104&gt;=BL$5,$E104&lt;BL$5+GanttPeriod),"◇","")),IF(AND(BL$5&lt;=$F104,BL$5+GanttPeriod-1&gt;=$E104),"━","")))</f>
        <v/>
      </c>
      <c r="BM104" s="69" t="str">
        <f aca="false">IF($E104="","",IF($M104,IF(AND($G104&gt;=BM$5,$G104&lt;BM$5+GanttPeriod),"◆",IF(AND($E104&gt;=BM$5,$E104&lt;BM$5+GanttPeriod),"◇","")),IF(AND(BM$5&lt;=$F104,BM$5+GanttPeriod-1&gt;=$E104),"━","")))</f>
        <v/>
      </c>
      <c r="BN104" s="69" t="str">
        <f aca="false">IF($E104="","",IF($M104,IF(AND($G104&gt;=BN$5,$G104&lt;BN$5+GanttPeriod),"◆",IF(AND($E104&gt;=BN$5,$E104&lt;BN$5+GanttPeriod),"◇","")),IF(AND(BN$5&lt;=$F104,BN$5+GanttPeriod-1&gt;=$E104),"━","")))</f>
        <v/>
      </c>
      <c r="BO104" s="69" t="str">
        <f aca="false">IF($E104="","",IF($M104,IF(AND($G104&gt;=BO$5,$G104&lt;BO$5+GanttPeriod),"◆",IF(AND($E104&gt;=BO$5,$E104&lt;BO$5+GanttPeriod),"◇","")),IF(AND(BO$5&lt;=$F104,BO$5+GanttPeriod-1&gt;=$E104),"━","")))</f>
        <v/>
      </c>
      <c r="BP104" s="69" t="str">
        <f aca="false">IF($E104="","",IF($M104,IF(AND($G104&gt;=BP$5,$G104&lt;BP$5+GanttPeriod),"◆",IF(AND($E104&gt;=BP$5,$E104&lt;BP$5+GanttPeriod),"◇","")),IF(AND(BP$5&lt;=$F104,BP$5+GanttPeriod-1&gt;=$E104),"━","")))</f>
        <v/>
      </c>
      <c r="BQ104" s="69" t="str">
        <f aca="false">IF($E104="","",IF($M104,IF(AND($G104&gt;=BQ$5,$G104&lt;BQ$5+GanttPeriod),"◆",IF(AND($E104&gt;=BQ$5,$E104&lt;BQ$5+GanttPeriod),"◇","")),IF(AND(BQ$5&lt;=$F104,BQ$5+GanttPeriod-1&gt;=$E104),"━","")))</f>
        <v/>
      </c>
      <c r="BR104" s="69" t="str">
        <f aca="false">IF($E104="","",IF($M104,IF(AND($G104&gt;=BR$5,$G104&lt;BR$5+GanttPeriod),"◆",IF(AND($E104&gt;=BR$5,$E104&lt;BR$5+GanttPeriod),"◇","")),IF(AND(BR$5&lt;=$F104,BR$5+GanttPeriod-1&gt;=$E104),"━","")))</f>
        <v/>
      </c>
      <c r="BS104" s="69" t="str">
        <f aca="false">IF($E104="","",IF($M104,IF(AND($G104&gt;=BS$5,$G104&lt;BS$5+GanttPeriod),"◆",IF(AND($E104&gt;=BS$5,$E104&lt;BS$5+GanttPeriod),"◇","")),IF(AND(BS$5&lt;=$F104,BS$5+GanttPeriod-1&gt;=$E104),"━","")))</f>
        <v/>
      </c>
      <c r="BT104" s="69" t="str">
        <f aca="false">IF($E104="","",IF($M104,IF(AND($G104&gt;=BT$5,$G104&lt;BT$5+GanttPeriod),"◆",IF(AND($E104&gt;=BT$5,$E104&lt;BT$5+GanttPeriod),"◇","")),IF(AND(BT$5&lt;=$F104,BT$5+GanttPeriod-1&gt;=$E104),"━","")))</f>
        <v/>
      </c>
      <c r="BU104" s="69" t="str">
        <f aca="false">IF($E104="","",IF($M104,IF(AND($G104&gt;=BU$5,$G104&lt;BU$5+GanttPeriod),"◆",IF(AND($E104&gt;=BU$5,$E104&lt;BU$5+GanttPeriod),"◇","")),IF(AND(BU$5&lt;=$F104,BU$5+GanttPeriod-1&gt;=$E104),"━","")))</f>
        <v/>
      </c>
      <c r="BV104" s="69" t="str">
        <f aca="false">IF($E104="","",IF($M104,IF(AND($G104&gt;=BV$5,$G104&lt;BV$5+GanttPeriod),"◆",IF(AND($E104&gt;=BV$5,$E104&lt;BV$5+GanttPeriod),"◇","")),IF(AND(BV$5&lt;=$F104,BV$5+GanttPeriod-1&gt;=$E104),"━","")))</f>
        <v/>
      </c>
      <c r="BW104" s="69" t="str">
        <f aca="false">IF($E104="","",IF($M104,IF(AND($G104&gt;=BW$5,$G104&lt;BW$5+GanttPeriod),"◆",IF(AND($E104&gt;=BW$5,$E104&lt;BW$5+GanttPeriod),"◇","")),IF(AND(BW$5&lt;=$F104,BW$5+GanttPeriod-1&gt;=$E104),"━","")))</f>
        <v/>
      </c>
      <c r="BX104" s="69" t="str">
        <f aca="false">IF($E104="","",IF($M104,IF(AND($G104&gt;=BX$5,$G104&lt;BX$5+GanttPeriod),"◆",IF(AND($E104&gt;=BX$5,$E104&lt;BX$5+GanttPeriod),"◇","")),IF(AND(BX$5&lt;=$F104,BX$5+GanttPeriod-1&gt;=$E104),"━","")))</f>
        <v/>
      </c>
      <c r="BY104" s="69" t="str">
        <f aca="false">IF($E104="","",IF($M104,IF(AND($G104&gt;=BY$5,$G104&lt;BY$5+GanttPeriod),"◆",IF(AND($E104&gt;=BY$5,$E104&lt;BY$5+GanttPeriod),"◇","")),IF(AND(BY$5&lt;=$F104,BY$5+GanttPeriod-1&gt;=$E104),"━","")))</f>
        <v/>
      </c>
      <c r="BZ104" s="69" t="str">
        <f aca="false">IF($E104="","",IF($M104,IF(AND($G104&gt;=BZ$5,$G104&lt;BZ$5+GanttPeriod),"◆",IF(AND($E104&gt;=BZ$5,$E104&lt;BZ$5+GanttPeriod),"◇","")),IF(AND(BZ$5&lt;=$F104,BZ$5+GanttPeriod-1&gt;=$E104),"━","")))</f>
        <v/>
      </c>
      <c r="CA104" s="69" t="str">
        <f aca="false">IF($E104="","",IF($M104,IF(AND($G104&gt;=CA$5,$G104&lt;CA$5+GanttPeriod),"◆",IF(AND($E104&gt;=CA$5,$E104&lt;CA$5+GanttPeriod),"◇","")),IF(AND(CA$5&lt;=$F104,CA$5+GanttPeriod-1&gt;=$E104),"━","")))</f>
        <v/>
      </c>
      <c r="CB104" s="69" t="str">
        <f aca="false">IF($E104="","",IF($M104,IF(AND($G104&gt;=CB$5,$G104&lt;CB$5+GanttPeriod),"◆",IF(AND($E104&gt;=CB$5,$E104&lt;CB$5+GanttPeriod),"◇","")),IF(AND(CB$5&lt;=$F104,CB$5+GanttPeriod-1&gt;=$E104),"━","")))</f>
        <v/>
      </c>
      <c r="CC104" s="69" t="str">
        <f aca="false">IF($E104="","",IF($M104,IF(AND($G104&gt;=CC$5,$G104&lt;CC$5+GanttPeriod),"◆",IF(AND($E104&gt;=CC$5,$E104&lt;CC$5+GanttPeriod),"◇","")),IF(AND(CC$5&lt;=$F104,CC$5+GanttPeriod-1&gt;=$E104),"━","")))</f>
        <v/>
      </c>
      <c r="CD104" s="69" t="str">
        <f aca="false">IF($E104="","",IF($M104,IF(AND($G104&gt;=CD$5,$G104&lt;CD$5+GanttPeriod),"◆",IF(AND($E104&gt;=CD$5,$E104&lt;CD$5+GanttPeriod),"◇","")),IF(AND(CD$5&lt;=$F104,CD$5+GanttPeriod-1&gt;=$E104),"━","")))</f>
        <v/>
      </c>
      <c r="CE104" s="69" t="str">
        <f aca="false">IF($E104="","",IF($M104,IF(AND($G104&gt;=CE$5,$G104&lt;CE$5+GanttPeriod),"◆",IF(AND($E104&gt;=CE$5,$E104&lt;CE$5+GanttPeriod),"◇","")),IF(AND(CE$5&lt;=$F104,CE$5+GanttPeriod-1&gt;=$E104),"━","")))</f>
        <v/>
      </c>
      <c r="CF104" s="69" t="str">
        <f aca="false">IF($E104="","",IF($M104,IF(AND($G104&gt;=CF$5,$G104&lt;CF$5+GanttPeriod),"◆",IF(AND($E104&gt;=CF$5,$E104&lt;CF$5+GanttPeriod),"◇","")),IF(AND(CF$5&lt;=$F104,CF$5+GanttPeriod-1&gt;=$E104),"━","")))</f>
        <v/>
      </c>
      <c r="CG104" s="69" t="str">
        <f aca="false">IF($E104="","",IF($M104,IF(AND($G104&gt;=CG$5,$G104&lt;CG$5+GanttPeriod),"◆",IF(AND($E104&gt;=CG$5,$E104&lt;CG$5+GanttPeriod),"◇","")),IF(AND(CG$5&lt;=$F104,CG$5+GanttPeriod-1&gt;=$E104),"━","")))</f>
        <v/>
      </c>
      <c r="CH104" s="69" t="str">
        <f aca="false">IF($E104="","",IF($M104,IF(AND($G104&gt;=CH$5,$G104&lt;CH$5+GanttPeriod),"◆",IF(AND($E104&gt;=CH$5,$E104&lt;CH$5+GanttPeriod),"◇","")),IF(AND(CH$5&lt;=$F104,CH$5+GanttPeriod-1&gt;=$E104),"━","")))</f>
        <v/>
      </c>
      <c r="CI104" s="69" t="str">
        <f aca="false">IF($E104="","",IF($M104,IF(AND($G104&gt;=CI$5,$G104&lt;CI$5+GanttPeriod),"◆",IF(AND($E104&gt;=CI$5,$E104&lt;CI$5+GanttPeriod),"◇","")),IF(AND(CI$5&lt;=$F104,CI$5+GanttPeriod-1&gt;=$E104),"━","")))</f>
        <v/>
      </c>
      <c r="CJ104" s="69" t="str">
        <f aca="false">IF($E104="","",IF($M104,IF(AND($G104&gt;=CJ$5,$G104&lt;CJ$5+GanttPeriod),"◆",IF(AND($E104&gt;=CJ$5,$E104&lt;CJ$5+GanttPeriod),"◇","")),IF(AND(CJ$5&lt;=$F104,CJ$5+GanttPeriod-1&gt;=$E104),"━","")))</f>
        <v/>
      </c>
      <c r="CK104" s="69" t="str">
        <f aca="false">IF($E104="","",IF($M104,IF(AND($G104&gt;=CK$5,$G104&lt;CK$5+GanttPeriod),"◆",IF(AND($E104&gt;=CK$5,$E104&lt;CK$5+GanttPeriod),"◇","")),IF(AND(CK$5&lt;=$F104,CK$5+GanttPeriod-1&gt;=$E104),"━","")))</f>
        <v/>
      </c>
      <c r="CL104" s="69" t="str">
        <f aca="false">IF($E104="","",IF($M104,IF(AND($G104&gt;=CL$5,$G104&lt;CL$5+GanttPeriod),"◆",IF(AND($E104&gt;=CL$5,$E104&lt;CL$5+GanttPeriod),"◇","")),IF(AND(CL$5&lt;=$F104,CL$5+GanttPeriod-1&gt;=$E104),"━","")))</f>
        <v/>
      </c>
      <c r="CM104" s="69" t="str">
        <f aca="false">IF($E104="","",IF($M104,IF(AND($G104&gt;=CM$5,$G104&lt;CM$5+GanttPeriod),"◆",IF(AND($E104&gt;=CM$5,$E104&lt;CM$5+GanttPeriod),"◇","")),IF(AND(CM$5&lt;=$F104,CM$5+GanttPeriod-1&gt;=$E104),"━","")))</f>
        <v/>
      </c>
      <c r="CN104" s="69" t="str">
        <f aca="false">IF($E104="","",IF($M104,IF(AND($G104&gt;=CN$5,$G104&lt;CN$5+GanttPeriod),"◆",IF(AND($E104&gt;=CN$5,$E104&lt;CN$5+GanttPeriod),"◇","")),IF(AND(CN$5&lt;=$F104,CN$5+GanttPeriod-1&gt;=$E104),"━","")))</f>
        <v/>
      </c>
      <c r="CO104" s="69" t="str">
        <f aca="false">IF($E104="","",IF($M104,IF(AND($G104&gt;=CO$5,$G104&lt;CO$5+GanttPeriod),"◆",IF(AND($E104&gt;=CO$5,$E104&lt;CO$5+GanttPeriod),"◇","")),IF(AND(CO$5&lt;=$F104,CO$5+GanttPeriod-1&gt;=$E104),"━","")))</f>
        <v/>
      </c>
      <c r="CP104" s="69" t="str">
        <f aca="false">IF($E104="","",IF($M104,IF(AND($G104&gt;=CP$5,$G104&lt;CP$5+GanttPeriod),"◆",IF(AND($E104&gt;=CP$5,$E104&lt;CP$5+GanttPeriod),"◇","")),IF(AND(CP$5&lt;=$F104,CP$5+GanttPeriod-1&gt;=$E104),"━","")))</f>
        <v/>
      </c>
      <c r="CQ104" s="69" t="str">
        <f aca="false">IF($E104="","",IF($M104,IF(AND($G104&gt;=CQ$5,$G104&lt;CQ$5+GanttPeriod),"◆",IF(AND($E104&gt;=CQ$5,$E104&lt;CQ$5+GanttPeriod),"◇","")),IF(AND(CQ$5&lt;=$F104,CQ$5+GanttPeriod-1&gt;=$E104),"━","")))</f>
        <v/>
      </c>
      <c r="CR104" s="69" t="str">
        <f aca="false">IF($E104="","",IF($M104,IF(AND($G104&gt;=CR$5,$G104&lt;CR$5+GanttPeriod),"◆",IF(AND($E104&gt;=CR$5,$E104&lt;CR$5+GanttPeriod),"◇","")),IF(AND(CR$5&lt;=$F104,CR$5+GanttPeriod-1&gt;=$E104),"━","")))</f>
        <v/>
      </c>
      <c r="CS104" s="69" t="str">
        <f aca="false">IF($E104="","",IF($M104,IF(AND($G104&gt;=CS$5,$G104&lt;CS$5+GanttPeriod),"◆",IF(AND($E104&gt;=CS$5,$E104&lt;CS$5+GanttPeriod),"◇","")),IF(AND(CS$5&lt;=$F104,CS$5+GanttPeriod-1&gt;=$E104),"━","")))</f>
        <v/>
      </c>
      <c r="CT104" s="69" t="str">
        <f aca="false">IF($E104="","",IF($M104,IF(AND($G104&gt;=CT$5,$G104&lt;CT$5+GanttPeriod),"◆",IF(AND($E104&gt;=CT$5,$E104&lt;CT$5+GanttPeriod),"◇","")),IF(AND(CT$5&lt;=$F104,CT$5+GanttPeriod-1&gt;=$E104),"━","")))</f>
        <v/>
      </c>
      <c r="CU104" s="69" t="str">
        <f aca="false">IF($E104="","",IF($M104,IF(AND($G104&gt;=CU$5,$G104&lt;CU$5+GanttPeriod),"◆",IF(AND($E104&gt;=CU$5,$E104&lt;CU$5+GanttPeriod),"◇","")),IF(AND(CU$5&lt;=$F104,CU$5+GanttPeriod-1&gt;=$E104),"━","")))</f>
        <v/>
      </c>
      <c r="CV104" s="69" t="str">
        <f aca="false">IF($E104="","",IF($M104,IF(AND($G104&gt;=CV$5,$G104&lt;CV$5+GanttPeriod),"◆",IF(AND($E104&gt;=CV$5,$E104&lt;CV$5+GanttPeriod),"◇","")),IF(AND(CV$5&lt;=$F104,CV$5+GanttPeriod-1&gt;=$E104),"━","")))</f>
        <v/>
      </c>
      <c r="CW104" s="69" t="str">
        <f aca="false">IF($E104="","",IF($M104,IF(AND($G104&gt;=CW$5,$G104&lt;CW$5+GanttPeriod),"◆",IF(AND($E104&gt;=CW$5,$E104&lt;CW$5+GanttPeriod),"◇","")),IF(AND(CW$5&lt;=$F104,CW$5+GanttPeriod-1&gt;=$E104),"━","")))</f>
        <v/>
      </c>
      <c r="CX104" s="69" t="str">
        <f aca="false">IF($E104="","",IF($M104,IF(AND($G104&gt;=CX$5,$G104&lt;CX$5+GanttPeriod),"◆",IF(AND($E104&gt;=CX$5,$E104&lt;CX$5+GanttPeriod),"◇","")),IF(AND(CX$5&lt;=$F104,CX$5+GanttPeriod-1&gt;=$E104),"━","")))</f>
        <v/>
      </c>
      <c r="CY104" s="69" t="str">
        <f aca="false">IF($E104="","",IF($M104,IF(AND($G104&gt;=CY$5,$G104&lt;CY$5+GanttPeriod),"◆",IF(AND($E104&gt;=CY$5,$E104&lt;CY$5+GanttPeriod),"◇","")),IF(AND(CY$5&lt;=$F104,CY$5+GanttPeriod-1&gt;=$E104),"━","")))</f>
        <v/>
      </c>
      <c r="CZ104" s="69" t="str">
        <f aca="false">IF($E104="","",IF($M104,IF(AND($G104&gt;=CZ$5,$G104&lt;CZ$5+GanttPeriod),"◆",IF(AND($E104&gt;=CZ$5,$E104&lt;CZ$5+GanttPeriod),"◇","")),IF(AND(CZ$5&lt;=$F104,CZ$5+GanttPeriod-1&gt;=$E104),"━","")))</f>
        <v/>
      </c>
      <c r="DA104" s="69" t="str">
        <f aca="false">IF($E104="","",IF($M104,IF(AND($G104&gt;=DA$5,$G104&lt;DA$5+GanttPeriod),"◆",IF(AND($E104&gt;=DA$5,$E104&lt;DA$5+GanttPeriod),"◇","")),IF(AND(DA$5&lt;=$F104,DA$5+GanttPeriod-1&gt;=$E104),"━","")))</f>
        <v/>
      </c>
      <c r="DB104" s="69" t="str">
        <f aca="false">IF($E104="","",IF($M104,IF(AND($G104&gt;=DB$5,$G104&lt;DB$5+GanttPeriod),"◆",IF(AND($E104&gt;=DB$5,$E104&lt;DB$5+GanttPeriod),"◇","")),IF(AND(DB$5&lt;=$F104,DB$5+GanttPeriod-1&gt;=$E104),"━","")))</f>
        <v/>
      </c>
      <c r="DC104" s="69" t="str">
        <f aca="false">IF($E104="","",IF($M104,IF(AND($G104&gt;=DC$5,$G104&lt;DC$5+GanttPeriod),"◆",IF(AND($E104&gt;=DC$5,$E104&lt;DC$5+GanttPeriod),"◇","")),IF(AND(DC$5&lt;=$F104,DC$5+GanttPeriod-1&gt;=$E104),"━","")))</f>
        <v/>
      </c>
      <c r="DD104" s="69" t="str">
        <f aca="false">IF($E104="","",IF($M104,IF(AND($G104&gt;=DD$5,$G104&lt;DD$5+GanttPeriod),"◆",IF(AND($E104&gt;=DD$5,$E104&lt;DD$5+GanttPeriod),"◇","")),IF(AND(DD$5&lt;=$F104,DD$5+GanttPeriod-1&gt;=$E104),"━","")))</f>
        <v/>
      </c>
      <c r="DE104" s="69" t="str">
        <f aca="false">IF($E104="","",IF($M104,IF(AND($G104&gt;=DE$5,$G104&lt;DE$5+GanttPeriod),"◆",IF(AND($E104&gt;=DE$5,$E104&lt;DE$5+GanttPeriod),"◇","")),IF(AND(DE$5&lt;=$F104,DE$5+GanttPeriod-1&gt;=$E104),"━","")))</f>
        <v/>
      </c>
      <c r="DF104" s="69" t="str">
        <f aca="false">IF($E104="","",IF($M104,IF(AND($G104&gt;=DF$5,$G104&lt;DF$5+GanttPeriod),"◆",IF(AND($E104&gt;=DF$5,$E104&lt;DF$5+GanttPeriod),"◇","")),IF(AND(DF$5&lt;=$F104,DF$5+GanttPeriod-1&gt;=$E104),"━","")))</f>
        <v/>
      </c>
      <c r="DG104" s="69" t="str">
        <f aca="false">IF($E104="","",IF($M104,IF(AND($G104&gt;=DG$5,$G104&lt;DG$5+GanttPeriod),"◆",IF(AND($E104&gt;=DG$5,$E104&lt;DG$5+GanttPeriod),"◇","")),IF(AND(DG$5&lt;=$F104,DG$5+GanttPeriod-1&gt;=$E104),"━","")))</f>
        <v/>
      </c>
      <c r="DH104" s="69" t="str">
        <f aca="false">IF($E104="","",IF($M104,IF(AND($G104&gt;=DH$5,$G104&lt;DH$5+GanttPeriod),"◆",IF(AND($E104&gt;=DH$5,$E104&lt;DH$5+GanttPeriod),"◇","")),IF(AND(DH$5&lt;=$F104,DH$5+GanttPeriod-1&gt;=$E104),"━","")))</f>
        <v/>
      </c>
      <c r="DI104" s="69" t="str">
        <f aca="false">IF($E104="","",IF($M104,IF(AND($G104&gt;=DI$5,$G104&lt;DI$5+GanttPeriod),"◆",IF(AND($E104&gt;=DI$5,$E104&lt;DI$5+GanttPeriod),"◇","")),IF(AND(DI$5&lt;=$F104,DI$5+GanttPeriod-1&gt;=$E104),"━","")))</f>
        <v/>
      </c>
      <c r="DJ104" s="69" t="str">
        <f aca="false">IF($E104="","",IF($M104,IF(AND($G104&gt;=DJ$5,$G104&lt;DJ$5+GanttPeriod),"◆",IF(AND($E104&gt;=DJ$5,$E104&lt;DJ$5+GanttPeriod),"◇","")),IF(AND(DJ$5&lt;=$F104,DJ$5+GanttPeriod-1&gt;=$E104),"━","")))</f>
        <v/>
      </c>
      <c r="DK104" s="69" t="str">
        <f aca="false">IF($E104="","",IF($M104,IF(AND($G104&gt;=DK$5,$G104&lt;DK$5+GanttPeriod),"◆",IF(AND($E104&gt;=DK$5,$E104&lt;DK$5+GanttPeriod),"◇","")),IF(AND(DK$5&lt;=$F104,DK$5+GanttPeriod-1&gt;=$E104),"━","")))</f>
        <v/>
      </c>
      <c r="DL104" s="69" t="str">
        <f aca="false">IF($E104="","",IF($M104,IF(AND($G104&gt;=DL$5,$G104&lt;DL$5+GanttPeriod),"◆",IF(AND($E104&gt;=DL$5,$E104&lt;DL$5+GanttPeriod),"◇","")),IF(AND(DL$5&lt;=$F104,DL$5+GanttPeriod-1&gt;=$E104),"━","")))</f>
        <v/>
      </c>
      <c r="DM104" s="69" t="str">
        <f aca="false">IF($E104="","",IF($M104,IF(AND($G104&gt;=DM$5,$G104&lt;DM$5+GanttPeriod),"◆",IF(AND($E104&gt;=DM$5,$E104&lt;DM$5+GanttPeriod),"◇","")),IF(AND(DM$5&lt;=$F104,DM$5+GanttPeriod-1&gt;=$E104),"━","")))</f>
        <v/>
      </c>
      <c r="DN104" s="69" t="str">
        <f aca="false">IF($E104="","",IF($M104,IF(AND($G104&gt;=DN$5,$G104&lt;DN$5+GanttPeriod),"◆",IF(AND($E104&gt;=DN$5,$E104&lt;DN$5+GanttPeriod),"◇","")),IF(AND(DN$5&lt;=$F104,DN$5+GanttPeriod-1&gt;=$E104),"━","")))</f>
        <v/>
      </c>
      <c r="DO104" s="69" t="str">
        <f aca="false">IF($E104="","",IF($M104,IF(AND($G104&gt;=DO$5,$G104&lt;DO$5+GanttPeriod),"◆",IF(AND($E104&gt;=DO$5,$E104&lt;DO$5+GanttPeriod),"◇","")),IF(AND(DO$5&lt;=$F104,DO$5+GanttPeriod-1&gt;=$E104),"━","")))</f>
        <v/>
      </c>
      <c r="DP104" s="69" t="str">
        <f aca="false">IF($E104="","",IF($M104,IF(AND($G104&gt;=DP$5,$G104&lt;DP$5+GanttPeriod),"◆",IF(AND($E104&gt;=DP$5,$E104&lt;DP$5+GanttPeriod),"◇","")),IF(AND(DP$5&lt;=$F104,DP$5+GanttPeriod-1&gt;=$E104),"━","")))</f>
        <v/>
      </c>
      <c r="DQ104" s="69" t="str">
        <f aca="false">IF($E104="","",IF($M104,IF(AND($G104&gt;=DQ$5,$G104&lt;DQ$5+GanttPeriod),"◆",IF(AND($E104&gt;=DQ$5,$E104&lt;DQ$5+GanttPeriod),"◇","")),IF(AND(DQ$5&lt;=$F104,DQ$5+GanttPeriod-1&gt;=$E104),"━","")))</f>
        <v/>
      </c>
      <c r="DR104" s="69" t="str">
        <f aca="false">IF($E104="","",IF($M104,IF(AND($G104&gt;=DR$5,$G104&lt;DR$5+GanttPeriod),"◆",IF(AND($E104&gt;=DR$5,$E104&lt;DR$5+GanttPeriod),"◇","")),IF(AND(DR$5&lt;=$F104,DR$5+GanttPeriod-1&gt;=$E104),"━","")))</f>
        <v/>
      </c>
      <c r="DS104" s="69" t="str">
        <f aca="false">IF($E104="","",IF($M104,IF(AND($G104&gt;=DS$5,$G104&lt;DS$5+GanttPeriod),"◆",IF(AND($E104&gt;=DS$5,$E104&lt;DS$5+GanttPeriod),"◇","")),IF(AND(DS$5&lt;=$F104,DS$5+GanttPeriod-1&gt;=$E104),"━","")))</f>
        <v/>
      </c>
      <c r="DT104" s="69" t="str">
        <f aca="false">IF($E104="","",IF($M104,IF(AND($G104&gt;=DT$5,$G104&lt;DT$5+GanttPeriod),"◆",IF(AND($E104&gt;=DT$5,$E104&lt;DT$5+GanttPeriod),"◇","")),IF(AND(DT$5&lt;=$F104,DT$5+GanttPeriod-1&gt;=$E104),"━","")))</f>
        <v/>
      </c>
      <c r="DU104" s="69" t="str">
        <f aca="false">IF($E104="","",IF($M104,IF(AND($G104&gt;=DU$5,$G104&lt;DU$5+GanttPeriod),"◆",IF(AND($E104&gt;=DU$5,$E104&lt;DU$5+GanttPeriod),"◇","")),IF(AND(DU$5&lt;=$F104,DU$5+GanttPeriod-1&gt;=$E104),"━","")))</f>
        <v/>
      </c>
      <c r="DV104" s="69" t="str">
        <f aca="false">IF($E104="","",IF($M104,IF(AND($G104&gt;=DV$5,$G104&lt;DV$5+GanttPeriod),"◆",IF(AND($E104&gt;=DV$5,$E104&lt;DV$5+GanttPeriod),"◇","")),IF(AND(DV$5&lt;=$F104,DV$5+GanttPeriod-1&gt;=$E104),"━","")))</f>
        <v/>
      </c>
      <c r="DW104" s="69" t="str">
        <f aca="false">IF($E104="","",IF($M104,IF(AND($G104&gt;=DW$5,$G104&lt;DW$5+GanttPeriod),"◆",IF(AND($E104&gt;=DW$5,$E104&lt;DW$5+GanttPeriod),"◇","")),IF(AND(DW$5&lt;=$F104,DW$5+GanttPeriod-1&gt;=$E104),"━","")))</f>
        <v/>
      </c>
      <c r="DX104" s="69" t="str">
        <f aca="false">IF($E104="","",IF($M104,IF(AND($G104&gt;=DX$5,$G104&lt;DX$5+GanttPeriod),"◆",IF(AND($E104&gt;=DX$5,$E104&lt;DX$5+GanttPeriod),"◇","")),IF(AND(DX$5&lt;=$F104,DX$5+GanttPeriod-1&gt;=$E104),"━","")))</f>
        <v/>
      </c>
      <c r="DY104" s="69" t="str">
        <f aca="false">IF($E104="","",IF($M104,IF(AND($G104&gt;=DY$5,$G104&lt;DY$5+GanttPeriod),"◆",IF(AND($E104&gt;=DY$5,$E104&lt;DY$5+GanttPeriod),"◇","")),IF(AND(DY$5&lt;=$F104,DY$5+GanttPeriod-1&gt;=$E104),"━","")))</f>
        <v/>
      </c>
      <c r="DZ104" s="69" t="str">
        <f aca="false">IF($E104="","",IF($M104,IF(AND($G104&gt;=DZ$5,$G104&lt;DZ$5+GanttPeriod),"◆",IF(AND($E104&gt;=DZ$5,$E104&lt;DZ$5+GanttPeriod),"◇","")),IF(AND(DZ$5&lt;=$F104,DZ$5+GanttPeriod-1&gt;=$E104),"━","")))</f>
        <v/>
      </c>
      <c r="EA104" s="69" t="str">
        <f aca="false">IF($E104="","",IF($M104,IF(AND($G104&gt;=EA$5,$G104&lt;EA$5+GanttPeriod),"◆",IF(AND($E104&gt;=EA$5,$E104&lt;EA$5+GanttPeriod),"◇","")),IF(AND(EA$5&lt;=$F104,EA$5+GanttPeriod-1&gt;=$E104),"━","")))</f>
        <v/>
      </c>
      <c r="EB104" s="69" t="str">
        <f aca="false">IF($E104="","",IF($M104,IF(AND($G104&gt;=EB$5,$G104&lt;EB$5+GanttPeriod),"◆",IF(AND($E104&gt;=EB$5,$E104&lt;EB$5+GanttPeriod),"◇","")),IF(AND(EB$5&lt;=$F104,EB$5+GanttPeriod-1&gt;=$E104),"━","")))</f>
        <v/>
      </c>
      <c r="EC104" s="69" t="str">
        <f aca="false">IF($E104="","",IF($M104,IF(AND($G104&gt;=EC$5,$G104&lt;EC$5+GanttPeriod),"◆",IF(AND($E104&gt;=EC$5,$E104&lt;EC$5+GanttPeriod),"◇","")),IF(AND(EC$5&lt;=$F104,EC$5+GanttPeriod-1&gt;=$E104),"━","")))</f>
        <v/>
      </c>
      <c r="ED104" s="69" t="str">
        <f aca="false">IF($E104="","",IF($M104,IF(AND($G104&gt;=ED$5,$G104&lt;ED$5+GanttPeriod),"◆",IF(AND($E104&gt;=ED$5,$E104&lt;ED$5+GanttPeriod),"◇","")),IF(AND(ED$5&lt;=$F104,ED$5+GanttPeriod-1&gt;=$E104),"━","")))</f>
        <v/>
      </c>
      <c r="EE104" s="69" t="str">
        <f aca="false">IF($E104="","",IF($M104,IF(AND($G104&gt;=EE$5,$G104&lt;EE$5+GanttPeriod),"◆",IF(AND($E104&gt;=EE$5,$E104&lt;EE$5+GanttPeriod),"◇","")),IF(AND(EE$5&lt;=$F104,EE$5+GanttPeriod-1&gt;=$E104),"━","")))</f>
        <v/>
      </c>
      <c r="EF104" s="69" t="str">
        <f aca="false">IF($E104="","",IF($M104,IF(AND($G104&gt;=EF$5,$G104&lt;EF$5+GanttPeriod),"◆",IF(AND($E104&gt;=EF$5,$E104&lt;EF$5+GanttPeriod),"◇","")),IF(AND(EF$5&lt;=$F104,EF$5+GanttPeriod-1&gt;=$E104),"━","")))</f>
        <v/>
      </c>
      <c r="EG104" s="69" t="str">
        <f aca="false">IF($E104="","",IF($M104,IF(AND($G104&gt;=EG$5,$G104&lt;EG$5+GanttPeriod),"◆",IF(AND($E104&gt;=EG$5,$E104&lt;EG$5+GanttPeriod),"◇","")),IF(AND(EG$5&lt;=$F104,EG$5+GanttPeriod-1&gt;=$E104),"━","")))</f>
        <v/>
      </c>
      <c r="EH104" s="69" t="str">
        <f aca="false">IF($E104="","",IF($M104,IF(AND($G104&gt;=EH$5,$G104&lt;EH$5+GanttPeriod),"◆",IF(AND($E104&gt;=EH$5,$E104&lt;EH$5+GanttPeriod),"◇","")),IF(AND(EH$5&lt;=$F104,EH$5+GanttPeriod-1&gt;=$E104),"━","")))</f>
        <v/>
      </c>
      <c r="EI104" s="69" t="str">
        <f aca="false">IF($E104="","",IF($M104,IF(AND($G104&gt;=EI$5,$G104&lt;EI$5+GanttPeriod),"◆",IF(AND($E104&gt;=EI$5,$E104&lt;EI$5+GanttPeriod),"◇","")),IF(AND(EI$5&lt;=$F104,EI$5+GanttPeriod-1&gt;=$E104),"━","")))</f>
        <v/>
      </c>
      <c r="EJ104" s="69" t="str">
        <f aca="false">IF($E104="","",IF($M104,IF(AND($G104&gt;=EJ$5,$G104&lt;EJ$5+GanttPeriod),"◆",IF(AND($E104&gt;=EJ$5,$E104&lt;EJ$5+GanttPeriod),"◇","")),IF(AND(EJ$5&lt;=$F104,EJ$5+GanttPeriod-1&gt;=$E104),"━","")))</f>
        <v/>
      </c>
      <c r="EK104" s="69" t="str">
        <f aca="false">IF($E104="","",IF($M104,IF(AND($G104&gt;=EK$5,$G104&lt;EK$5+GanttPeriod),"◆",IF(AND($E104&gt;=EK$5,$E104&lt;EK$5+GanttPeriod),"◇","")),IF(AND(EK$5&lt;=$F104,EK$5+GanttPeriod-1&gt;=$E104),"━","")))</f>
        <v/>
      </c>
      <c r="EL104" s="69" t="str">
        <f aca="false">IF($E104="","",IF($M104,IF(AND($G104&gt;=EL$5,$G104&lt;EL$5+GanttPeriod),"◆",IF(AND($E104&gt;=EL$5,$E104&lt;EL$5+GanttPeriod),"◇","")),IF(AND(EL$5&lt;=$F104,EL$5+GanttPeriod-1&gt;=$E104),"━","")))</f>
        <v/>
      </c>
      <c r="EM104" s="69" t="str">
        <f aca="false">IF($E104="","",IF($M104,IF(AND($G104&gt;=EM$5,$G104&lt;EM$5+GanttPeriod),"◆",IF(AND($E104&gt;=EM$5,$E104&lt;EM$5+GanttPeriod),"◇","")),IF(AND(EM$5&lt;=$F104,EM$5+GanttPeriod-1&gt;=$E104),"━","")))</f>
        <v/>
      </c>
      <c r="EN104" s="69" t="str">
        <f aca="false">IF($E104="","",IF($M104,IF(AND($G104&gt;=EN$5,$G104&lt;EN$5+GanttPeriod),"◆",IF(AND($E104&gt;=EN$5,$E104&lt;EN$5+GanttPeriod),"◇","")),IF(AND(EN$5&lt;=$F104,EN$5+GanttPeriod-1&gt;=$E104),"━","")))</f>
        <v/>
      </c>
      <c r="EO104" s="69" t="str">
        <f aca="false">IF($E104="","",IF($M104,IF(AND($G104&gt;=EO$5,$G104&lt;EO$5+GanttPeriod),"◆",IF(AND($E104&gt;=EO$5,$E104&lt;EO$5+GanttPeriod),"◇","")),IF(AND(EO$5&lt;=$F104,EO$5+GanttPeriod-1&gt;=$E104),"━","")))</f>
        <v/>
      </c>
      <c r="EP104" s="69" t="str">
        <f aca="false">IF($E104="","",IF($M104,IF(AND($G104&gt;=EP$5,$G104&lt;EP$5+GanttPeriod),"◆",IF(AND($E104&gt;=EP$5,$E104&lt;EP$5+GanttPeriod),"◇","")),IF(AND(EP$5&lt;=$F104,EP$5+GanttPeriod-1&gt;=$E104),"━","")))</f>
        <v/>
      </c>
      <c r="EQ104" s="69" t="str">
        <f aca="false">IF($E104="","",IF($M104,IF(AND($G104&gt;=EQ$5,$G104&lt;EQ$5+GanttPeriod),"◆",IF(AND($E104&gt;=EQ$5,$E104&lt;EQ$5+GanttPeriod),"◇","")),IF(AND(EQ$5&lt;=$F104,EQ$5+GanttPeriod-1&gt;=$E104),"━","")))</f>
        <v/>
      </c>
      <c r="ER104" s="69" t="str">
        <f aca="false">IF($E104="","",IF($M104,IF(AND($G104&gt;=ER$5,$G104&lt;ER$5+GanttPeriod),"◆",IF(AND($E104&gt;=ER$5,$E104&lt;ER$5+GanttPeriod),"◇","")),IF(AND(ER$5&lt;=$F104,ER$5+GanttPeriod-1&gt;=$E104),"━","")))</f>
        <v/>
      </c>
      <c r="ES104" s="69" t="str">
        <f aca="false">IF($E104="","",IF($M104,IF(AND($G104&gt;=ES$5,$G104&lt;ES$5+GanttPeriod),"◆",IF(AND($E104&gt;=ES$5,$E104&lt;ES$5+GanttPeriod),"◇","")),IF(AND(ES$5&lt;=$F104,ES$5+GanttPeriod-1&gt;=$E104),"━","")))</f>
        <v/>
      </c>
      <c r="ET104" s="69" t="str">
        <f aca="false">IF($E104="","",IF($M104,IF(AND($G104&gt;=ET$5,$G104&lt;ET$5+GanttPeriod),"◆",IF(AND($E104&gt;=ET$5,$E104&lt;ET$5+GanttPeriod),"◇","")),IF(AND(ET$5&lt;=$F104,ET$5+GanttPeriod-1&gt;=$E104),"━","")))</f>
        <v/>
      </c>
      <c r="EU104" s="69" t="str">
        <f aca="false">IF($E104="","",IF($M104,IF(AND($G104&gt;=EU$5,$G104&lt;EU$5+GanttPeriod),"◆",IF(AND($E104&gt;=EU$5,$E104&lt;EU$5+GanttPeriod),"◇","")),IF(AND(EU$5&lt;=$F104,EU$5+GanttPeriod-1&gt;=$E104),"━","")))</f>
        <v/>
      </c>
      <c r="EV104" s="69" t="str">
        <f aca="false">IF($E104="","",IF($M104,IF(AND($G104&gt;=EV$5,$G104&lt;EV$5+GanttPeriod),"◆",IF(AND($E104&gt;=EV$5,$E104&lt;EV$5+GanttPeriod),"◇","")),IF(AND(EV$5&lt;=$F104,EV$5+GanttPeriod-1&gt;=$E104),"━","")))</f>
        <v/>
      </c>
      <c r="EW104" s="69" t="str">
        <f aca="false">IF($E104="","",IF($M104,IF(AND($G104&gt;=EW$5,$G104&lt;EW$5+GanttPeriod),"◆",IF(AND($E104&gt;=EW$5,$E104&lt;EW$5+GanttPeriod),"◇","")),IF(AND(EW$5&lt;=$F104,EW$5+GanttPeriod-1&gt;=$E104),"━","")))</f>
        <v/>
      </c>
      <c r="EX104" s="69" t="str">
        <f aca="false">IF($E104="","",IF($M104,IF(AND($G104&gt;=EX$5,$G104&lt;EX$5+GanttPeriod),"◆",IF(AND($E104&gt;=EX$5,$E104&lt;EX$5+GanttPeriod),"◇","")),IF(AND(EX$5&lt;=$F104,EX$5+GanttPeriod-1&gt;=$E104),"━","")))</f>
        <v/>
      </c>
      <c r="EY104" s="69" t="str">
        <f aca="false">IF($E104="","",IF($M104,IF(AND($G104&gt;=EY$5,$G104&lt;EY$5+GanttPeriod),"◆",IF(AND($E104&gt;=EY$5,$E104&lt;EY$5+GanttPeriod),"◇","")),IF(AND(EY$5&lt;=$F104,EY$5+GanttPeriod-1&gt;=$E104),"━","")))</f>
        <v/>
      </c>
      <c r="EZ104" s="69" t="str">
        <f aca="false">IF($E104="","",IF($M104,IF(AND($G104&gt;=EZ$5,$G104&lt;EZ$5+GanttPeriod),"◆",IF(AND($E104&gt;=EZ$5,$E104&lt;EZ$5+GanttPeriod),"◇","")),IF(AND(EZ$5&lt;=$F104,EZ$5+GanttPeriod-1&gt;=$E104),"━","")))</f>
        <v/>
      </c>
      <c r="FA104" s="69" t="str">
        <f aca="false">IF($E104="","",IF($M104,IF(AND($G104&gt;=FA$5,$G104&lt;FA$5+GanttPeriod),"◆",IF(AND($E104&gt;=FA$5,$E104&lt;FA$5+GanttPeriod),"◇","")),IF(AND(FA$5&lt;=$F104,FA$5+GanttPeriod-1&gt;=$E104),"━","")))</f>
        <v/>
      </c>
      <c r="FB104" s="69" t="str">
        <f aca="false">IF($E104="","",IF($M104,IF(AND($G104&gt;=FB$5,$G104&lt;FB$5+GanttPeriod),"◆",IF(AND($E104&gt;=FB$5,$E104&lt;FB$5+GanttPeriod),"◇","")),IF(AND(FB$5&lt;=$F104,FB$5+GanttPeriod-1&gt;=$E104),"━","")))</f>
        <v/>
      </c>
      <c r="FC104" s="69" t="str">
        <f aca="false">IF($E104="","",IF($M104,IF(AND($G104&gt;=FC$5,$G104&lt;FC$5+GanttPeriod),"◆",IF(AND($E104&gt;=FC$5,$E104&lt;FC$5+GanttPeriod),"◇","")),IF(AND(FC$5&lt;=$F104,FC$5+GanttPeriod-1&gt;=$E104),"━","")))</f>
        <v/>
      </c>
      <c r="FD104" s="69" t="str">
        <f aca="false">IF($E104="","",IF($M104,IF(AND($G104&gt;=FD$5,$G104&lt;FD$5+GanttPeriod),"◆",IF(AND($E104&gt;=FD$5,$E104&lt;FD$5+GanttPeriod),"◇","")),IF(AND(FD$5&lt;=$F104,FD$5+GanttPeriod-1&gt;=$E104),"━","")))</f>
        <v/>
      </c>
      <c r="FE104" s="69" t="str">
        <f aca="false">IF($E104="","",IF($M104,IF(AND($G104&gt;=FE$5,$G104&lt;FE$5+GanttPeriod),"◆",IF(AND($E104&gt;=FE$5,$E104&lt;FE$5+GanttPeriod),"◇","")),IF(AND(FE$5&lt;=$F104,FE$5+GanttPeriod-1&gt;=$E104),"━","")))</f>
        <v/>
      </c>
      <c r="FF104" s="69" t="str">
        <f aca="false">IF($E104="","",IF($M104,IF(AND($G104&gt;=FF$5,$G104&lt;FF$5+GanttPeriod),"◆",IF(AND($E104&gt;=FF$5,$E104&lt;FF$5+GanttPeriod),"◇","")),IF(AND(FF$5&lt;=$F104,FF$5+GanttPeriod-1&gt;=$E104),"━","")))</f>
        <v/>
      </c>
      <c r="FG104" s="69" t="str">
        <f aca="false">IF($E104="","",IF($M104,IF(AND($G104&gt;=FG$5,$G104&lt;FG$5+GanttPeriod),"◆",IF(AND($E104&gt;=FG$5,$E104&lt;FG$5+GanttPeriod),"◇","")),IF(AND(FG$5&lt;=$F104,FG$5+GanttPeriod-1&gt;=$E104),"━","")))</f>
        <v/>
      </c>
      <c r="FH104" s="69" t="str">
        <f aca="false">IF($E104="","",IF($M104,IF(AND($G104&gt;=FH$5,$G104&lt;FH$5+GanttPeriod),"◆",IF(AND($E104&gt;=FH$5,$E104&lt;FH$5+GanttPeriod),"◇","")),IF(AND(FH$5&lt;=$F104,FH$5+GanttPeriod-1&gt;=$E104),"━","")))</f>
        <v/>
      </c>
      <c r="FI104" s="69" t="str">
        <f aca="false">IF($E104="","",IF($M104,IF(AND($G104&gt;=FI$5,$G104&lt;FI$5+GanttPeriod),"◆",IF(AND($E104&gt;=FI$5,$E104&lt;FI$5+GanttPeriod),"◇","")),IF(AND(FI$5&lt;=$F104,FI$5+GanttPeriod-1&gt;=$E104),"━","")))</f>
        <v/>
      </c>
      <c r="FJ104" s="69" t="str">
        <f aca="false">IF($E104="","",IF($M104,IF(AND($G104&gt;=FJ$5,$G104&lt;FJ$5+GanttPeriod),"◆",IF(AND($E104&gt;=FJ$5,$E104&lt;FJ$5+GanttPeriod),"◇","")),IF(AND(FJ$5&lt;=$F104,FJ$5+GanttPeriod-1&gt;=$E104),"━","")))</f>
        <v/>
      </c>
      <c r="FK104" s="69" t="str">
        <f aca="false">IF($E104="","",IF($M104,IF(AND($G104&gt;=FK$5,$G104&lt;FK$5+GanttPeriod),"◆",IF(AND($E104&gt;=FK$5,$E104&lt;FK$5+GanttPeriod),"◇","")),IF(AND(FK$5&lt;=$F104,FK$5+GanttPeriod-1&gt;=$E104),"━","")))</f>
        <v/>
      </c>
      <c r="FL104" s="69" t="str">
        <f aca="false">IF($E104="","",IF($M104,IF(AND($G104&gt;=FL$5,$G104&lt;FL$5+GanttPeriod),"◆",IF(AND($E104&gt;=FL$5,$E104&lt;FL$5+GanttPeriod),"◇","")),IF(AND(FL$5&lt;=$F104,FL$5+GanttPeriod-1&gt;=$E104),"━","")))</f>
        <v/>
      </c>
      <c r="FM104" s="69" t="str">
        <f aca="false">IF($E104="","",IF($M104,IF(AND($G104&gt;=FM$5,$G104&lt;FM$5+GanttPeriod),"◆",IF(AND($E104&gt;=FM$5,$E104&lt;FM$5+GanttPeriod),"◇","")),IF(AND(FM$5&lt;=$F104,FM$5+GanttPeriod-1&gt;=$E104),"━","")))</f>
        <v/>
      </c>
    </row>
    <row r="105" customFormat="false" ht="15" hidden="false" customHeight="false" outlineLevel="0" collapsed="false">
      <c r="A105" s="62" t="str">
        <f aca="false">IF(Tasks!$D105="","",Tasks!$A105)</f>
        <v/>
      </c>
      <c r="B105" s="62" t="str">
        <f aca="false">IF(Tasks!$D105="","",Tasks!$B105)</f>
        <v/>
      </c>
      <c r="C105" s="63" t="str">
        <f aca="false">IF(Tasks!$D105="","",REPT("    ",Tasks!$AE105-1)&amp;Tasks!$D105)</f>
        <v/>
      </c>
      <c r="D105" s="62" t="str">
        <f aca="false">IF(Tasks!$D105="","",IF(Tasks!$AI105,NETWORKDAYS.INTL(Tasks!$R105,Tasks!$S105,WorkWeek,Holidays),N(Tasks!$F105)))</f>
        <v/>
      </c>
      <c r="E105" s="64" t="str">
        <f aca="false">IF(Tasks!$D105="","",Tasks!$N105)</f>
        <v/>
      </c>
      <c r="F105" s="64" t="str">
        <f aca="false">IF(Tasks!$D105="","",Tasks!$O105)</f>
        <v/>
      </c>
      <c r="G105" s="64" t="str">
        <f aca="false">IF(Tasks!$D105="","",Tasks!$R105)</f>
        <v/>
      </c>
      <c r="H105" s="64" t="str">
        <f aca="false">IF(Tasks!$D105="","",Tasks!$S105)</f>
        <v/>
      </c>
      <c r="I105" s="65" t="str">
        <f aca="false">IF(Tasks!$D105="","",Tasks!$V105)</f>
        <v/>
      </c>
      <c r="J105" s="63" t="str">
        <f aca="false">IF(Tasks!$D105="","",Tasks!$X105&amp;"")</f>
        <v/>
      </c>
      <c r="K105" s="66" t="str">
        <f aca="false">IF(Tasks!$D105="","",Tasks!$W105)</f>
        <v/>
      </c>
      <c r="L105" s="67" t="b">
        <f aca="false">IF(Tasks!$D105="",FALSE(),Tasks!$AI105)</f>
        <v>0</v>
      </c>
      <c r="M105" s="67" t="b">
        <f aca="false">AND(Tasks!$AJ105=1,N(Tasks!$F105)=0)</f>
        <v>0</v>
      </c>
      <c r="N105" s="68" t="n">
        <f aca="false">IF(AND(Tasks!$AJ105=1,NOT($M105),N($I105)&gt;0),$G105,0)</f>
        <v>0</v>
      </c>
      <c r="O105" s="68" t="n">
        <f aca="false">IF($N105=0,0,IF($I105&gt;=1,$H105,MAX($N105,$G105+ROUND(($H105-$G105+1)*$I105,0)-1)))</f>
        <v>0</v>
      </c>
      <c r="P105" s="68" t="n">
        <f aca="false">IF(OR(Tasks!$AJ105&lt;&gt;1,$M105,N($I105)&gt;=1),0,IF($O105&gt;0,$O105+1,$G105))</f>
        <v>0</v>
      </c>
      <c r="Q105" s="68" t="n">
        <f aca="false">IF($P105=0,0,$H105)</f>
        <v>0</v>
      </c>
      <c r="R105" s="67" t="b">
        <f aca="false">AND(Tasks!$D105&lt;&gt;"",N(Tasks!$T105)&gt;0)</f>
        <v>0</v>
      </c>
      <c r="T105" s="69" t="str">
        <f aca="false">IF($E105="","",IF($M105,IF(AND($G105&gt;=T$5,$G105&lt;T$5+GanttPeriod),"◆",IF(AND($E105&gt;=T$5,$E105&lt;T$5+GanttPeriod),"◇","")),IF(AND(T$5&lt;=$F105,T$5+GanttPeriod-1&gt;=$E105),"━","")))</f>
        <v/>
      </c>
      <c r="U105" s="69" t="str">
        <f aca="false">IF($E105="","",IF($M105,IF(AND($G105&gt;=U$5,$G105&lt;U$5+GanttPeriod),"◆",IF(AND($E105&gt;=U$5,$E105&lt;U$5+GanttPeriod),"◇","")),IF(AND(U$5&lt;=$F105,U$5+GanttPeriod-1&gt;=$E105),"━","")))</f>
        <v/>
      </c>
      <c r="V105" s="69" t="str">
        <f aca="false">IF($E105="","",IF($M105,IF(AND($G105&gt;=V$5,$G105&lt;V$5+GanttPeriod),"◆",IF(AND($E105&gt;=V$5,$E105&lt;V$5+GanttPeriod),"◇","")),IF(AND(V$5&lt;=$F105,V$5+GanttPeriod-1&gt;=$E105),"━","")))</f>
        <v/>
      </c>
      <c r="W105" s="69" t="str">
        <f aca="false">IF($E105="","",IF($M105,IF(AND($G105&gt;=W$5,$G105&lt;W$5+GanttPeriod),"◆",IF(AND($E105&gt;=W$5,$E105&lt;W$5+GanttPeriod),"◇","")),IF(AND(W$5&lt;=$F105,W$5+GanttPeriod-1&gt;=$E105),"━","")))</f>
        <v/>
      </c>
      <c r="X105" s="69" t="str">
        <f aca="false">IF($E105="","",IF($M105,IF(AND($G105&gt;=X$5,$G105&lt;X$5+GanttPeriod),"◆",IF(AND($E105&gt;=X$5,$E105&lt;X$5+GanttPeriod),"◇","")),IF(AND(X$5&lt;=$F105,X$5+GanttPeriod-1&gt;=$E105),"━","")))</f>
        <v/>
      </c>
      <c r="Y105" s="69" t="str">
        <f aca="false">IF($E105="","",IF($M105,IF(AND($G105&gt;=Y$5,$G105&lt;Y$5+GanttPeriod),"◆",IF(AND($E105&gt;=Y$5,$E105&lt;Y$5+GanttPeriod),"◇","")),IF(AND(Y$5&lt;=$F105,Y$5+GanttPeriod-1&gt;=$E105),"━","")))</f>
        <v/>
      </c>
      <c r="Z105" s="69" t="str">
        <f aca="false">IF($E105="","",IF($M105,IF(AND($G105&gt;=Z$5,$G105&lt;Z$5+GanttPeriod),"◆",IF(AND($E105&gt;=Z$5,$E105&lt;Z$5+GanttPeriod),"◇","")),IF(AND(Z$5&lt;=$F105,Z$5+GanttPeriod-1&gt;=$E105),"━","")))</f>
        <v/>
      </c>
      <c r="AA105" s="69" t="str">
        <f aca="false">IF($E105="","",IF($M105,IF(AND($G105&gt;=AA$5,$G105&lt;AA$5+GanttPeriod),"◆",IF(AND($E105&gt;=AA$5,$E105&lt;AA$5+GanttPeriod),"◇","")),IF(AND(AA$5&lt;=$F105,AA$5+GanttPeriod-1&gt;=$E105),"━","")))</f>
        <v/>
      </c>
      <c r="AB105" s="69" t="str">
        <f aca="false">IF($E105="","",IF($M105,IF(AND($G105&gt;=AB$5,$G105&lt;AB$5+GanttPeriod),"◆",IF(AND($E105&gt;=AB$5,$E105&lt;AB$5+GanttPeriod),"◇","")),IF(AND(AB$5&lt;=$F105,AB$5+GanttPeriod-1&gt;=$E105),"━","")))</f>
        <v/>
      </c>
      <c r="AC105" s="69" t="str">
        <f aca="false">IF($E105="","",IF($M105,IF(AND($G105&gt;=AC$5,$G105&lt;AC$5+GanttPeriod),"◆",IF(AND($E105&gt;=AC$5,$E105&lt;AC$5+GanttPeriod),"◇","")),IF(AND(AC$5&lt;=$F105,AC$5+GanttPeriod-1&gt;=$E105),"━","")))</f>
        <v/>
      </c>
      <c r="AD105" s="69" t="str">
        <f aca="false">IF($E105="","",IF($M105,IF(AND($G105&gt;=AD$5,$G105&lt;AD$5+GanttPeriod),"◆",IF(AND($E105&gt;=AD$5,$E105&lt;AD$5+GanttPeriod),"◇","")),IF(AND(AD$5&lt;=$F105,AD$5+GanttPeriod-1&gt;=$E105),"━","")))</f>
        <v/>
      </c>
      <c r="AE105" s="69" t="str">
        <f aca="false">IF($E105="","",IF($M105,IF(AND($G105&gt;=AE$5,$G105&lt;AE$5+GanttPeriod),"◆",IF(AND($E105&gt;=AE$5,$E105&lt;AE$5+GanttPeriod),"◇","")),IF(AND(AE$5&lt;=$F105,AE$5+GanttPeriod-1&gt;=$E105),"━","")))</f>
        <v/>
      </c>
      <c r="AF105" s="69" t="str">
        <f aca="false">IF($E105="","",IF($M105,IF(AND($G105&gt;=AF$5,$G105&lt;AF$5+GanttPeriod),"◆",IF(AND($E105&gt;=AF$5,$E105&lt;AF$5+GanttPeriod),"◇","")),IF(AND(AF$5&lt;=$F105,AF$5+GanttPeriod-1&gt;=$E105),"━","")))</f>
        <v/>
      </c>
      <c r="AG105" s="69" t="str">
        <f aca="false">IF($E105="","",IF($M105,IF(AND($G105&gt;=AG$5,$G105&lt;AG$5+GanttPeriod),"◆",IF(AND($E105&gt;=AG$5,$E105&lt;AG$5+GanttPeriod),"◇","")),IF(AND(AG$5&lt;=$F105,AG$5+GanttPeriod-1&gt;=$E105),"━","")))</f>
        <v/>
      </c>
      <c r="AH105" s="69" t="str">
        <f aca="false">IF($E105="","",IF($M105,IF(AND($G105&gt;=AH$5,$G105&lt;AH$5+GanttPeriod),"◆",IF(AND($E105&gt;=AH$5,$E105&lt;AH$5+GanttPeriod),"◇","")),IF(AND(AH$5&lt;=$F105,AH$5+GanttPeriod-1&gt;=$E105),"━","")))</f>
        <v/>
      </c>
      <c r="AI105" s="69" t="str">
        <f aca="false">IF($E105="","",IF($M105,IF(AND($G105&gt;=AI$5,$G105&lt;AI$5+GanttPeriod),"◆",IF(AND($E105&gt;=AI$5,$E105&lt;AI$5+GanttPeriod),"◇","")),IF(AND(AI$5&lt;=$F105,AI$5+GanttPeriod-1&gt;=$E105),"━","")))</f>
        <v/>
      </c>
      <c r="AJ105" s="69" t="str">
        <f aca="false">IF($E105="","",IF($M105,IF(AND($G105&gt;=AJ$5,$G105&lt;AJ$5+GanttPeriod),"◆",IF(AND($E105&gt;=AJ$5,$E105&lt;AJ$5+GanttPeriod),"◇","")),IF(AND(AJ$5&lt;=$F105,AJ$5+GanttPeriod-1&gt;=$E105),"━","")))</f>
        <v/>
      </c>
      <c r="AK105" s="69" t="str">
        <f aca="false">IF($E105="","",IF($M105,IF(AND($G105&gt;=AK$5,$G105&lt;AK$5+GanttPeriod),"◆",IF(AND($E105&gt;=AK$5,$E105&lt;AK$5+GanttPeriod),"◇","")),IF(AND(AK$5&lt;=$F105,AK$5+GanttPeriod-1&gt;=$E105),"━","")))</f>
        <v/>
      </c>
      <c r="AL105" s="69" t="str">
        <f aca="false">IF($E105="","",IF($M105,IF(AND($G105&gt;=AL$5,$G105&lt;AL$5+GanttPeriod),"◆",IF(AND($E105&gt;=AL$5,$E105&lt;AL$5+GanttPeriod),"◇","")),IF(AND(AL$5&lt;=$F105,AL$5+GanttPeriod-1&gt;=$E105),"━","")))</f>
        <v/>
      </c>
      <c r="AM105" s="69" t="str">
        <f aca="false">IF($E105="","",IF($M105,IF(AND($G105&gt;=AM$5,$G105&lt;AM$5+GanttPeriod),"◆",IF(AND($E105&gt;=AM$5,$E105&lt;AM$5+GanttPeriod),"◇","")),IF(AND(AM$5&lt;=$F105,AM$5+GanttPeriod-1&gt;=$E105),"━","")))</f>
        <v/>
      </c>
      <c r="AN105" s="69" t="str">
        <f aca="false">IF($E105="","",IF($M105,IF(AND($G105&gt;=AN$5,$G105&lt;AN$5+GanttPeriod),"◆",IF(AND($E105&gt;=AN$5,$E105&lt;AN$5+GanttPeriod),"◇","")),IF(AND(AN$5&lt;=$F105,AN$5+GanttPeriod-1&gt;=$E105),"━","")))</f>
        <v/>
      </c>
      <c r="AO105" s="69" t="str">
        <f aca="false">IF($E105="","",IF($M105,IF(AND($G105&gt;=AO$5,$G105&lt;AO$5+GanttPeriod),"◆",IF(AND($E105&gt;=AO$5,$E105&lt;AO$5+GanttPeriod),"◇","")),IF(AND(AO$5&lt;=$F105,AO$5+GanttPeriod-1&gt;=$E105),"━","")))</f>
        <v/>
      </c>
      <c r="AP105" s="69" t="str">
        <f aca="false">IF($E105="","",IF($M105,IF(AND($G105&gt;=AP$5,$G105&lt;AP$5+GanttPeriod),"◆",IF(AND($E105&gt;=AP$5,$E105&lt;AP$5+GanttPeriod),"◇","")),IF(AND(AP$5&lt;=$F105,AP$5+GanttPeriod-1&gt;=$E105),"━","")))</f>
        <v/>
      </c>
      <c r="AQ105" s="69" t="str">
        <f aca="false">IF($E105="","",IF($M105,IF(AND($G105&gt;=AQ$5,$G105&lt;AQ$5+GanttPeriod),"◆",IF(AND($E105&gt;=AQ$5,$E105&lt;AQ$5+GanttPeriod),"◇","")),IF(AND(AQ$5&lt;=$F105,AQ$5+GanttPeriod-1&gt;=$E105),"━","")))</f>
        <v/>
      </c>
      <c r="AR105" s="69" t="str">
        <f aca="false">IF($E105="","",IF($M105,IF(AND($G105&gt;=AR$5,$G105&lt;AR$5+GanttPeriod),"◆",IF(AND($E105&gt;=AR$5,$E105&lt;AR$5+GanttPeriod),"◇","")),IF(AND(AR$5&lt;=$F105,AR$5+GanttPeriod-1&gt;=$E105),"━","")))</f>
        <v/>
      </c>
      <c r="AS105" s="69" t="str">
        <f aca="false">IF($E105="","",IF($M105,IF(AND($G105&gt;=AS$5,$G105&lt;AS$5+GanttPeriod),"◆",IF(AND($E105&gt;=AS$5,$E105&lt;AS$5+GanttPeriod),"◇","")),IF(AND(AS$5&lt;=$F105,AS$5+GanttPeriod-1&gt;=$E105),"━","")))</f>
        <v/>
      </c>
      <c r="AT105" s="69" t="str">
        <f aca="false">IF($E105="","",IF($M105,IF(AND($G105&gt;=AT$5,$G105&lt;AT$5+GanttPeriod),"◆",IF(AND($E105&gt;=AT$5,$E105&lt;AT$5+GanttPeriod),"◇","")),IF(AND(AT$5&lt;=$F105,AT$5+GanttPeriod-1&gt;=$E105),"━","")))</f>
        <v/>
      </c>
      <c r="AU105" s="69" t="str">
        <f aca="false">IF($E105="","",IF($M105,IF(AND($G105&gt;=AU$5,$G105&lt;AU$5+GanttPeriod),"◆",IF(AND($E105&gt;=AU$5,$E105&lt;AU$5+GanttPeriod),"◇","")),IF(AND(AU$5&lt;=$F105,AU$5+GanttPeriod-1&gt;=$E105),"━","")))</f>
        <v/>
      </c>
      <c r="AV105" s="69" t="str">
        <f aca="false">IF($E105="","",IF($M105,IF(AND($G105&gt;=AV$5,$G105&lt;AV$5+GanttPeriod),"◆",IF(AND($E105&gt;=AV$5,$E105&lt;AV$5+GanttPeriod),"◇","")),IF(AND(AV$5&lt;=$F105,AV$5+GanttPeriod-1&gt;=$E105),"━","")))</f>
        <v/>
      </c>
      <c r="AW105" s="69" t="str">
        <f aca="false">IF($E105="","",IF($M105,IF(AND($G105&gt;=AW$5,$G105&lt;AW$5+GanttPeriod),"◆",IF(AND($E105&gt;=AW$5,$E105&lt;AW$5+GanttPeriod),"◇","")),IF(AND(AW$5&lt;=$F105,AW$5+GanttPeriod-1&gt;=$E105),"━","")))</f>
        <v/>
      </c>
      <c r="AX105" s="69" t="str">
        <f aca="false">IF($E105="","",IF($M105,IF(AND($G105&gt;=AX$5,$G105&lt;AX$5+GanttPeriod),"◆",IF(AND($E105&gt;=AX$5,$E105&lt;AX$5+GanttPeriod),"◇","")),IF(AND(AX$5&lt;=$F105,AX$5+GanttPeriod-1&gt;=$E105),"━","")))</f>
        <v/>
      </c>
      <c r="AY105" s="69" t="str">
        <f aca="false">IF($E105="","",IF($M105,IF(AND($G105&gt;=AY$5,$G105&lt;AY$5+GanttPeriod),"◆",IF(AND($E105&gt;=AY$5,$E105&lt;AY$5+GanttPeriod),"◇","")),IF(AND(AY$5&lt;=$F105,AY$5+GanttPeriod-1&gt;=$E105),"━","")))</f>
        <v/>
      </c>
      <c r="AZ105" s="69" t="str">
        <f aca="false">IF($E105="","",IF($M105,IF(AND($G105&gt;=AZ$5,$G105&lt;AZ$5+GanttPeriod),"◆",IF(AND($E105&gt;=AZ$5,$E105&lt;AZ$5+GanttPeriod),"◇","")),IF(AND(AZ$5&lt;=$F105,AZ$5+GanttPeriod-1&gt;=$E105),"━","")))</f>
        <v/>
      </c>
      <c r="BA105" s="69" t="str">
        <f aca="false">IF($E105="","",IF($M105,IF(AND($G105&gt;=BA$5,$G105&lt;BA$5+GanttPeriod),"◆",IF(AND($E105&gt;=BA$5,$E105&lt;BA$5+GanttPeriod),"◇","")),IF(AND(BA$5&lt;=$F105,BA$5+GanttPeriod-1&gt;=$E105),"━","")))</f>
        <v/>
      </c>
      <c r="BB105" s="69" t="str">
        <f aca="false">IF($E105="","",IF($M105,IF(AND($G105&gt;=BB$5,$G105&lt;BB$5+GanttPeriod),"◆",IF(AND($E105&gt;=BB$5,$E105&lt;BB$5+GanttPeriod),"◇","")),IF(AND(BB$5&lt;=$F105,BB$5+GanttPeriod-1&gt;=$E105),"━","")))</f>
        <v/>
      </c>
      <c r="BC105" s="69" t="str">
        <f aca="false">IF($E105="","",IF($M105,IF(AND($G105&gt;=BC$5,$G105&lt;BC$5+GanttPeriod),"◆",IF(AND($E105&gt;=BC$5,$E105&lt;BC$5+GanttPeriod),"◇","")),IF(AND(BC$5&lt;=$F105,BC$5+GanttPeriod-1&gt;=$E105),"━","")))</f>
        <v/>
      </c>
      <c r="BD105" s="69" t="str">
        <f aca="false">IF($E105="","",IF($M105,IF(AND($G105&gt;=BD$5,$G105&lt;BD$5+GanttPeriod),"◆",IF(AND($E105&gt;=BD$5,$E105&lt;BD$5+GanttPeriod),"◇","")),IF(AND(BD$5&lt;=$F105,BD$5+GanttPeriod-1&gt;=$E105),"━","")))</f>
        <v/>
      </c>
      <c r="BE105" s="69" t="str">
        <f aca="false">IF($E105="","",IF($M105,IF(AND($G105&gt;=BE$5,$G105&lt;BE$5+GanttPeriod),"◆",IF(AND($E105&gt;=BE$5,$E105&lt;BE$5+GanttPeriod),"◇","")),IF(AND(BE$5&lt;=$F105,BE$5+GanttPeriod-1&gt;=$E105),"━","")))</f>
        <v/>
      </c>
      <c r="BF105" s="69" t="str">
        <f aca="false">IF($E105="","",IF($M105,IF(AND($G105&gt;=BF$5,$G105&lt;BF$5+GanttPeriod),"◆",IF(AND($E105&gt;=BF$5,$E105&lt;BF$5+GanttPeriod),"◇","")),IF(AND(BF$5&lt;=$F105,BF$5+GanttPeriod-1&gt;=$E105),"━","")))</f>
        <v/>
      </c>
      <c r="BG105" s="69" t="str">
        <f aca="false">IF($E105="","",IF($M105,IF(AND($G105&gt;=BG$5,$G105&lt;BG$5+GanttPeriod),"◆",IF(AND($E105&gt;=BG$5,$E105&lt;BG$5+GanttPeriod),"◇","")),IF(AND(BG$5&lt;=$F105,BG$5+GanttPeriod-1&gt;=$E105),"━","")))</f>
        <v/>
      </c>
      <c r="BH105" s="69" t="str">
        <f aca="false">IF($E105="","",IF($M105,IF(AND($G105&gt;=BH$5,$G105&lt;BH$5+GanttPeriod),"◆",IF(AND($E105&gt;=BH$5,$E105&lt;BH$5+GanttPeriod),"◇","")),IF(AND(BH$5&lt;=$F105,BH$5+GanttPeriod-1&gt;=$E105),"━","")))</f>
        <v/>
      </c>
      <c r="BI105" s="69" t="str">
        <f aca="false">IF($E105="","",IF($M105,IF(AND($G105&gt;=BI$5,$G105&lt;BI$5+GanttPeriod),"◆",IF(AND($E105&gt;=BI$5,$E105&lt;BI$5+GanttPeriod),"◇","")),IF(AND(BI$5&lt;=$F105,BI$5+GanttPeriod-1&gt;=$E105),"━","")))</f>
        <v/>
      </c>
      <c r="BJ105" s="69" t="str">
        <f aca="false">IF($E105="","",IF($M105,IF(AND($G105&gt;=BJ$5,$G105&lt;BJ$5+GanttPeriod),"◆",IF(AND($E105&gt;=BJ$5,$E105&lt;BJ$5+GanttPeriod),"◇","")),IF(AND(BJ$5&lt;=$F105,BJ$5+GanttPeriod-1&gt;=$E105),"━","")))</f>
        <v/>
      </c>
      <c r="BK105" s="69" t="str">
        <f aca="false">IF($E105="","",IF($M105,IF(AND($G105&gt;=BK$5,$G105&lt;BK$5+GanttPeriod),"◆",IF(AND($E105&gt;=BK$5,$E105&lt;BK$5+GanttPeriod),"◇","")),IF(AND(BK$5&lt;=$F105,BK$5+GanttPeriod-1&gt;=$E105),"━","")))</f>
        <v/>
      </c>
      <c r="BL105" s="69" t="str">
        <f aca="false">IF($E105="","",IF($M105,IF(AND($G105&gt;=BL$5,$G105&lt;BL$5+GanttPeriod),"◆",IF(AND($E105&gt;=BL$5,$E105&lt;BL$5+GanttPeriod),"◇","")),IF(AND(BL$5&lt;=$F105,BL$5+GanttPeriod-1&gt;=$E105),"━","")))</f>
        <v/>
      </c>
      <c r="BM105" s="69" t="str">
        <f aca="false">IF($E105="","",IF($M105,IF(AND($G105&gt;=BM$5,$G105&lt;BM$5+GanttPeriod),"◆",IF(AND($E105&gt;=BM$5,$E105&lt;BM$5+GanttPeriod),"◇","")),IF(AND(BM$5&lt;=$F105,BM$5+GanttPeriod-1&gt;=$E105),"━","")))</f>
        <v/>
      </c>
      <c r="BN105" s="69" t="str">
        <f aca="false">IF($E105="","",IF($M105,IF(AND($G105&gt;=BN$5,$G105&lt;BN$5+GanttPeriod),"◆",IF(AND($E105&gt;=BN$5,$E105&lt;BN$5+GanttPeriod),"◇","")),IF(AND(BN$5&lt;=$F105,BN$5+GanttPeriod-1&gt;=$E105),"━","")))</f>
        <v/>
      </c>
      <c r="BO105" s="69" t="str">
        <f aca="false">IF($E105="","",IF($M105,IF(AND($G105&gt;=BO$5,$G105&lt;BO$5+GanttPeriod),"◆",IF(AND($E105&gt;=BO$5,$E105&lt;BO$5+GanttPeriod),"◇","")),IF(AND(BO$5&lt;=$F105,BO$5+GanttPeriod-1&gt;=$E105),"━","")))</f>
        <v/>
      </c>
      <c r="BP105" s="69" t="str">
        <f aca="false">IF($E105="","",IF($M105,IF(AND($G105&gt;=BP$5,$G105&lt;BP$5+GanttPeriod),"◆",IF(AND($E105&gt;=BP$5,$E105&lt;BP$5+GanttPeriod),"◇","")),IF(AND(BP$5&lt;=$F105,BP$5+GanttPeriod-1&gt;=$E105),"━","")))</f>
        <v/>
      </c>
      <c r="BQ105" s="69" t="str">
        <f aca="false">IF($E105="","",IF($M105,IF(AND($G105&gt;=BQ$5,$G105&lt;BQ$5+GanttPeriod),"◆",IF(AND($E105&gt;=BQ$5,$E105&lt;BQ$5+GanttPeriod),"◇","")),IF(AND(BQ$5&lt;=$F105,BQ$5+GanttPeriod-1&gt;=$E105),"━","")))</f>
        <v/>
      </c>
      <c r="BR105" s="69" t="str">
        <f aca="false">IF($E105="","",IF($M105,IF(AND($G105&gt;=BR$5,$G105&lt;BR$5+GanttPeriod),"◆",IF(AND($E105&gt;=BR$5,$E105&lt;BR$5+GanttPeriod),"◇","")),IF(AND(BR$5&lt;=$F105,BR$5+GanttPeriod-1&gt;=$E105),"━","")))</f>
        <v/>
      </c>
      <c r="BS105" s="69" t="str">
        <f aca="false">IF($E105="","",IF($M105,IF(AND($G105&gt;=BS$5,$G105&lt;BS$5+GanttPeriod),"◆",IF(AND($E105&gt;=BS$5,$E105&lt;BS$5+GanttPeriod),"◇","")),IF(AND(BS$5&lt;=$F105,BS$5+GanttPeriod-1&gt;=$E105),"━","")))</f>
        <v/>
      </c>
      <c r="BT105" s="69" t="str">
        <f aca="false">IF($E105="","",IF($M105,IF(AND($G105&gt;=BT$5,$G105&lt;BT$5+GanttPeriod),"◆",IF(AND($E105&gt;=BT$5,$E105&lt;BT$5+GanttPeriod),"◇","")),IF(AND(BT$5&lt;=$F105,BT$5+GanttPeriod-1&gt;=$E105),"━","")))</f>
        <v/>
      </c>
      <c r="BU105" s="69" t="str">
        <f aca="false">IF($E105="","",IF($M105,IF(AND($G105&gt;=BU$5,$G105&lt;BU$5+GanttPeriod),"◆",IF(AND($E105&gt;=BU$5,$E105&lt;BU$5+GanttPeriod),"◇","")),IF(AND(BU$5&lt;=$F105,BU$5+GanttPeriod-1&gt;=$E105),"━","")))</f>
        <v/>
      </c>
      <c r="BV105" s="69" t="str">
        <f aca="false">IF($E105="","",IF($M105,IF(AND($G105&gt;=BV$5,$G105&lt;BV$5+GanttPeriod),"◆",IF(AND($E105&gt;=BV$5,$E105&lt;BV$5+GanttPeriod),"◇","")),IF(AND(BV$5&lt;=$F105,BV$5+GanttPeriod-1&gt;=$E105),"━","")))</f>
        <v/>
      </c>
      <c r="BW105" s="69" t="str">
        <f aca="false">IF($E105="","",IF($M105,IF(AND($G105&gt;=BW$5,$G105&lt;BW$5+GanttPeriod),"◆",IF(AND($E105&gt;=BW$5,$E105&lt;BW$5+GanttPeriod),"◇","")),IF(AND(BW$5&lt;=$F105,BW$5+GanttPeriod-1&gt;=$E105),"━","")))</f>
        <v/>
      </c>
      <c r="BX105" s="69" t="str">
        <f aca="false">IF($E105="","",IF($M105,IF(AND($G105&gt;=BX$5,$G105&lt;BX$5+GanttPeriod),"◆",IF(AND($E105&gt;=BX$5,$E105&lt;BX$5+GanttPeriod),"◇","")),IF(AND(BX$5&lt;=$F105,BX$5+GanttPeriod-1&gt;=$E105),"━","")))</f>
        <v/>
      </c>
      <c r="BY105" s="69" t="str">
        <f aca="false">IF($E105="","",IF($M105,IF(AND($G105&gt;=BY$5,$G105&lt;BY$5+GanttPeriod),"◆",IF(AND($E105&gt;=BY$5,$E105&lt;BY$5+GanttPeriod),"◇","")),IF(AND(BY$5&lt;=$F105,BY$5+GanttPeriod-1&gt;=$E105),"━","")))</f>
        <v/>
      </c>
      <c r="BZ105" s="69" t="str">
        <f aca="false">IF($E105="","",IF($M105,IF(AND($G105&gt;=BZ$5,$G105&lt;BZ$5+GanttPeriod),"◆",IF(AND($E105&gt;=BZ$5,$E105&lt;BZ$5+GanttPeriod),"◇","")),IF(AND(BZ$5&lt;=$F105,BZ$5+GanttPeriod-1&gt;=$E105),"━","")))</f>
        <v/>
      </c>
      <c r="CA105" s="69" t="str">
        <f aca="false">IF($E105="","",IF($M105,IF(AND($G105&gt;=CA$5,$G105&lt;CA$5+GanttPeriod),"◆",IF(AND($E105&gt;=CA$5,$E105&lt;CA$5+GanttPeriod),"◇","")),IF(AND(CA$5&lt;=$F105,CA$5+GanttPeriod-1&gt;=$E105),"━","")))</f>
        <v/>
      </c>
      <c r="CB105" s="69" t="str">
        <f aca="false">IF($E105="","",IF($M105,IF(AND($G105&gt;=CB$5,$G105&lt;CB$5+GanttPeriod),"◆",IF(AND($E105&gt;=CB$5,$E105&lt;CB$5+GanttPeriod),"◇","")),IF(AND(CB$5&lt;=$F105,CB$5+GanttPeriod-1&gt;=$E105),"━","")))</f>
        <v/>
      </c>
      <c r="CC105" s="69" t="str">
        <f aca="false">IF($E105="","",IF($M105,IF(AND($G105&gt;=CC$5,$G105&lt;CC$5+GanttPeriod),"◆",IF(AND($E105&gt;=CC$5,$E105&lt;CC$5+GanttPeriod),"◇","")),IF(AND(CC$5&lt;=$F105,CC$5+GanttPeriod-1&gt;=$E105),"━","")))</f>
        <v/>
      </c>
      <c r="CD105" s="69" t="str">
        <f aca="false">IF($E105="","",IF($M105,IF(AND($G105&gt;=CD$5,$G105&lt;CD$5+GanttPeriod),"◆",IF(AND($E105&gt;=CD$5,$E105&lt;CD$5+GanttPeriod),"◇","")),IF(AND(CD$5&lt;=$F105,CD$5+GanttPeriod-1&gt;=$E105),"━","")))</f>
        <v/>
      </c>
      <c r="CE105" s="69" t="str">
        <f aca="false">IF($E105="","",IF($M105,IF(AND($G105&gt;=CE$5,$G105&lt;CE$5+GanttPeriod),"◆",IF(AND($E105&gt;=CE$5,$E105&lt;CE$5+GanttPeriod),"◇","")),IF(AND(CE$5&lt;=$F105,CE$5+GanttPeriod-1&gt;=$E105),"━","")))</f>
        <v/>
      </c>
      <c r="CF105" s="69" t="str">
        <f aca="false">IF($E105="","",IF($M105,IF(AND($G105&gt;=CF$5,$G105&lt;CF$5+GanttPeriod),"◆",IF(AND($E105&gt;=CF$5,$E105&lt;CF$5+GanttPeriod),"◇","")),IF(AND(CF$5&lt;=$F105,CF$5+GanttPeriod-1&gt;=$E105),"━","")))</f>
        <v/>
      </c>
      <c r="CG105" s="69" t="str">
        <f aca="false">IF($E105="","",IF($M105,IF(AND($G105&gt;=CG$5,$G105&lt;CG$5+GanttPeriod),"◆",IF(AND($E105&gt;=CG$5,$E105&lt;CG$5+GanttPeriod),"◇","")),IF(AND(CG$5&lt;=$F105,CG$5+GanttPeriod-1&gt;=$E105),"━","")))</f>
        <v/>
      </c>
      <c r="CH105" s="69" t="str">
        <f aca="false">IF($E105="","",IF($M105,IF(AND($G105&gt;=CH$5,$G105&lt;CH$5+GanttPeriod),"◆",IF(AND($E105&gt;=CH$5,$E105&lt;CH$5+GanttPeriod),"◇","")),IF(AND(CH$5&lt;=$F105,CH$5+GanttPeriod-1&gt;=$E105),"━","")))</f>
        <v/>
      </c>
      <c r="CI105" s="69" t="str">
        <f aca="false">IF($E105="","",IF($M105,IF(AND($G105&gt;=CI$5,$G105&lt;CI$5+GanttPeriod),"◆",IF(AND($E105&gt;=CI$5,$E105&lt;CI$5+GanttPeriod),"◇","")),IF(AND(CI$5&lt;=$F105,CI$5+GanttPeriod-1&gt;=$E105),"━","")))</f>
        <v/>
      </c>
      <c r="CJ105" s="69" t="str">
        <f aca="false">IF($E105="","",IF($M105,IF(AND($G105&gt;=CJ$5,$G105&lt;CJ$5+GanttPeriod),"◆",IF(AND($E105&gt;=CJ$5,$E105&lt;CJ$5+GanttPeriod),"◇","")),IF(AND(CJ$5&lt;=$F105,CJ$5+GanttPeriod-1&gt;=$E105),"━","")))</f>
        <v/>
      </c>
      <c r="CK105" s="69" t="str">
        <f aca="false">IF($E105="","",IF($M105,IF(AND($G105&gt;=CK$5,$G105&lt;CK$5+GanttPeriod),"◆",IF(AND($E105&gt;=CK$5,$E105&lt;CK$5+GanttPeriod),"◇","")),IF(AND(CK$5&lt;=$F105,CK$5+GanttPeriod-1&gt;=$E105),"━","")))</f>
        <v/>
      </c>
      <c r="CL105" s="69" t="str">
        <f aca="false">IF($E105="","",IF($M105,IF(AND($G105&gt;=CL$5,$G105&lt;CL$5+GanttPeriod),"◆",IF(AND($E105&gt;=CL$5,$E105&lt;CL$5+GanttPeriod),"◇","")),IF(AND(CL$5&lt;=$F105,CL$5+GanttPeriod-1&gt;=$E105),"━","")))</f>
        <v/>
      </c>
      <c r="CM105" s="69" t="str">
        <f aca="false">IF($E105="","",IF($M105,IF(AND($G105&gt;=CM$5,$G105&lt;CM$5+GanttPeriod),"◆",IF(AND($E105&gt;=CM$5,$E105&lt;CM$5+GanttPeriod),"◇","")),IF(AND(CM$5&lt;=$F105,CM$5+GanttPeriod-1&gt;=$E105),"━","")))</f>
        <v/>
      </c>
      <c r="CN105" s="69" t="str">
        <f aca="false">IF($E105="","",IF($M105,IF(AND($G105&gt;=CN$5,$G105&lt;CN$5+GanttPeriod),"◆",IF(AND($E105&gt;=CN$5,$E105&lt;CN$5+GanttPeriod),"◇","")),IF(AND(CN$5&lt;=$F105,CN$5+GanttPeriod-1&gt;=$E105),"━","")))</f>
        <v/>
      </c>
      <c r="CO105" s="69" t="str">
        <f aca="false">IF($E105="","",IF($M105,IF(AND($G105&gt;=CO$5,$G105&lt;CO$5+GanttPeriod),"◆",IF(AND($E105&gt;=CO$5,$E105&lt;CO$5+GanttPeriod),"◇","")),IF(AND(CO$5&lt;=$F105,CO$5+GanttPeriod-1&gt;=$E105),"━","")))</f>
        <v/>
      </c>
      <c r="CP105" s="69" t="str">
        <f aca="false">IF($E105="","",IF($M105,IF(AND($G105&gt;=CP$5,$G105&lt;CP$5+GanttPeriod),"◆",IF(AND($E105&gt;=CP$5,$E105&lt;CP$5+GanttPeriod),"◇","")),IF(AND(CP$5&lt;=$F105,CP$5+GanttPeriod-1&gt;=$E105),"━","")))</f>
        <v/>
      </c>
      <c r="CQ105" s="69" t="str">
        <f aca="false">IF($E105="","",IF($M105,IF(AND($G105&gt;=CQ$5,$G105&lt;CQ$5+GanttPeriod),"◆",IF(AND($E105&gt;=CQ$5,$E105&lt;CQ$5+GanttPeriod),"◇","")),IF(AND(CQ$5&lt;=$F105,CQ$5+GanttPeriod-1&gt;=$E105),"━","")))</f>
        <v/>
      </c>
      <c r="CR105" s="69" t="str">
        <f aca="false">IF($E105="","",IF($M105,IF(AND($G105&gt;=CR$5,$G105&lt;CR$5+GanttPeriod),"◆",IF(AND($E105&gt;=CR$5,$E105&lt;CR$5+GanttPeriod),"◇","")),IF(AND(CR$5&lt;=$F105,CR$5+GanttPeriod-1&gt;=$E105),"━","")))</f>
        <v/>
      </c>
      <c r="CS105" s="69" t="str">
        <f aca="false">IF($E105="","",IF($M105,IF(AND($G105&gt;=CS$5,$G105&lt;CS$5+GanttPeriod),"◆",IF(AND($E105&gt;=CS$5,$E105&lt;CS$5+GanttPeriod),"◇","")),IF(AND(CS$5&lt;=$F105,CS$5+GanttPeriod-1&gt;=$E105),"━","")))</f>
        <v/>
      </c>
      <c r="CT105" s="69" t="str">
        <f aca="false">IF($E105="","",IF($M105,IF(AND($G105&gt;=CT$5,$G105&lt;CT$5+GanttPeriod),"◆",IF(AND($E105&gt;=CT$5,$E105&lt;CT$5+GanttPeriod),"◇","")),IF(AND(CT$5&lt;=$F105,CT$5+GanttPeriod-1&gt;=$E105),"━","")))</f>
        <v/>
      </c>
      <c r="CU105" s="69" t="str">
        <f aca="false">IF($E105="","",IF($M105,IF(AND($G105&gt;=CU$5,$G105&lt;CU$5+GanttPeriod),"◆",IF(AND($E105&gt;=CU$5,$E105&lt;CU$5+GanttPeriod),"◇","")),IF(AND(CU$5&lt;=$F105,CU$5+GanttPeriod-1&gt;=$E105),"━","")))</f>
        <v/>
      </c>
      <c r="CV105" s="69" t="str">
        <f aca="false">IF($E105="","",IF($M105,IF(AND($G105&gt;=CV$5,$G105&lt;CV$5+GanttPeriod),"◆",IF(AND($E105&gt;=CV$5,$E105&lt;CV$5+GanttPeriod),"◇","")),IF(AND(CV$5&lt;=$F105,CV$5+GanttPeriod-1&gt;=$E105),"━","")))</f>
        <v/>
      </c>
      <c r="CW105" s="69" t="str">
        <f aca="false">IF($E105="","",IF($M105,IF(AND($G105&gt;=CW$5,$G105&lt;CW$5+GanttPeriod),"◆",IF(AND($E105&gt;=CW$5,$E105&lt;CW$5+GanttPeriod),"◇","")),IF(AND(CW$5&lt;=$F105,CW$5+GanttPeriod-1&gt;=$E105),"━","")))</f>
        <v/>
      </c>
      <c r="CX105" s="69" t="str">
        <f aca="false">IF($E105="","",IF($M105,IF(AND($G105&gt;=CX$5,$G105&lt;CX$5+GanttPeriod),"◆",IF(AND($E105&gt;=CX$5,$E105&lt;CX$5+GanttPeriod),"◇","")),IF(AND(CX$5&lt;=$F105,CX$5+GanttPeriod-1&gt;=$E105),"━","")))</f>
        <v/>
      </c>
      <c r="CY105" s="69" t="str">
        <f aca="false">IF($E105="","",IF($M105,IF(AND($G105&gt;=CY$5,$G105&lt;CY$5+GanttPeriod),"◆",IF(AND($E105&gt;=CY$5,$E105&lt;CY$5+GanttPeriod),"◇","")),IF(AND(CY$5&lt;=$F105,CY$5+GanttPeriod-1&gt;=$E105),"━","")))</f>
        <v/>
      </c>
      <c r="CZ105" s="69" t="str">
        <f aca="false">IF($E105="","",IF($M105,IF(AND($G105&gt;=CZ$5,$G105&lt;CZ$5+GanttPeriod),"◆",IF(AND($E105&gt;=CZ$5,$E105&lt;CZ$5+GanttPeriod),"◇","")),IF(AND(CZ$5&lt;=$F105,CZ$5+GanttPeriod-1&gt;=$E105),"━","")))</f>
        <v/>
      </c>
      <c r="DA105" s="69" t="str">
        <f aca="false">IF($E105="","",IF($M105,IF(AND($G105&gt;=DA$5,$G105&lt;DA$5+GanttPeriod),"◆",IF(AND($E105&gt;=DA$5,$E105&lt;DA$5+GanttPeriod),"◇","")),IF(AND(DA$5&lt;=$F105,DA$5+GanttPeriod-1&gt;=$E105),"━","")))</f>
        <v/>
      </c>
      <c r="DB105" s="69" t="str">
        <f aca="false">IF($E105="","",IF($M105,IF(AND($G105&gt;=DB$5,$G105&lt;DB$5+GanttPeriod),"◆",IF(AND($E105&gt;=DB$5,$E105&lt;DB$5+GanttPeriod),"◇","")),IF(AND(DB$5&lt;=$F105,DB$5+GanttPeriod-1&gt;=$E105),"━","")))</f>
        <v/>
      </c>
      <c r="DC105" s="69" t="str">
        <f aca="false">IF($E105="","",IF($M105,IF(AND($G105&gt;=DC$5,$G105&lt;DC$5+GanttPeriod),"◆",IF(AND($E105&gt;=DC$5,$E105&lt;DC$5+GanttPeriod),"◇","")),IF(AND(DC$5&lt;=$F105,DC$5+GanttPeriod-1&gt;=$E105),"━","")))</f>
        <v/>
      </c>
      <c r="DD105" s="69" t="str">
        <f aca="false">IF($E105="","",IF($M105,IF(AND($G105&gt;=DD$5,$G105&lt;DD$5+GanttPeriod),"◆",IF(AND($E105&gt;=DD$5,$E105&lt;DD$5+GanttPeriod),"◇","")),IF(AND(DD$5&lt;=$F105,DD$5+GanttPeriod-1&gt;=$E105),"━","")))</f>
        <v/>
      </c>
      <c r="DE105" s="69" t="str">
        <f aca="false">IF($E105="","",IF($M105,IF(AND($G105&gt;=DE$5,$G105&lt;DE$5+GanttPeriod),"◆",IF(AND($E105&gt;=DE$5,$E105&lt;DE$5+GanttPeriod),"◇","")),IF(AND(DE$5&lt;=$F105,DE$5+GanttPeriod-1&gt;=$E105),"━","")))</f>
        <v/>
      </c>
      <c r="DF105" s="69" t="str">
        <f aca="false">IF($E105="","",IF($M105,IF(AND($G105&gt;=DF$5,$G105&lt;DF$5+GanttPeriod),"◆",IF(AND($E105&gt;=DF$5,$E105&lt;DF$5+GanttPeriod),"◇","")),IF(AND(DF$5&lt;=$F105,DF$5+GanttPeriod-1&gt;=$E105),"━","")))</f>
        <v/>
      </c>
      <c r="DG105" s="69" t="str">
        <f aca="false">IF($E105="","",IF($M105,IF(AND($G105&gt;=DG$5,$G105&lt;DG$5+GanttPeriod),"◆",IF(AND($E105&gt;=DG$5,$E105&lt;DG$5+GanttPeriod),"◇","")),IF(AND(DG$5&lt;=$F105,DG$5+GanttPeriod-1&gt;=$E105),"━","")))</f>
        <v/>
      </c>
      <c r="DH105" s="69" t="str">
        <f aca="false">IF($E105="","",IF($M105,IF(AND($G105&gt;=DH$5,$G105&lt;DH$5+GanttPeriod),"◆",IF(AND($E105&gt;=DH$5,$E105&lt;DH$5+GanttPeriod),"◇","")),IF(AND(DH$5&lt;=$F105,DH$5+GanttPeriod-1&gt;=$E105),"━","")))</f>
        <v/>
      </c>
      <c r="DI105" s="69" t="str">
        <f aca="false">IF($E105="","",IF($M105,IF(AND($G105&gt;=DI$5,$G105&lt;DI$5+GanttPeriod),"◆",IF(AND($E105&gt;=DI$5,$E105&lt;DI$5+GanttPeriod),"◇","")),IF(AND(DI$5&lt;=$F105,DI$5+GanttPeriod-1&gt;=$E105),"━","")))</f>
        <v/>
      </c>
      <c r="DJ105" s="69" t="str">
        <f aca="false">IF($E105="","",IF($M105,IF(AND($G105&gt;=DJ$5,$G105&lt;DJ$5+GanttPeriod),"◆",IF(AND($E105&gt;=DJ$5,$E105&lt;DJ$5+GanttPeriod),"◇","")),IF(AND(DJ$5&lt;=$F105,DJ$5+GanttPeriod-1&gt;=$E105),"━","")))</f>
        <v/>
      </c>
      <c r="DK105" s="69" t="str">
        <f aca="false">IF($E105="","",IF($M105,IF(AND($G105&gt;=DK$5,$G105&lt;DK$5+GanttPeriod),"◆",IF(AND($E105&gt;=DK$5,$E105&lt;DK$5+GanttPeriod),"◇","")),IF(AND(DK$5&lt;=$F105,DK$5+GanttPeriod-1&gt;=$E105),"━","")))</f>
        <v/>
      </c>
      <c r="DL105" s="69" t="str">
        <f aca="false">IF($E105="","",IF($M105,IF(AND($G105&gt;=DL$5,$G105&lt;DL$5+GanttPeriod),"◆",IF(AND($E105&gt;=DL$5,$E105&lt;DL$5+GanttPeriod),"◇","")),IF(AND(DL$5&lt;=$F105,DL$5+GanttPeriod-1&gt;=$E105),"━","")))</f>
        <v/>
      </c>
      <c r="DM105" s="69" t="str">
        <f aca="false">IF($E105="","",IF($M105,IF(AND($G105&gt;=DM$5,$G105&lt;DM$5+GanttPeriod),"◆",IF(AND($E105&gt;=DM$5,$E105&lt;DM$5+GanttPeriod),"◇","")),IF(AND(DM$5&lt;=$F105,DM$5+GanttPeriod-1&gt;=$E105),"━","")))</f>
        <v/>
      </c>
      <c r="DN105" s="69" t="str">
        <f aca="false">IF($E105="","",IF($M105,IF(AND($G105&gt;=DN$5,$G105&lt;DN$5+GanttPeriod),"◆",IF(AND($E105&gt;=DN$5,$E105&lt;DN$5+GanttPeriod),"◇","")),IF(AND(DN$5&lt;=$F105,DN$5+GanttPeriod-1&gt;=$E105),"━","")))</f>
        <v/>
      </c>
      <c r="DO105" s="69" t="str">
        <f aca="false">IF($E105="","",IF($M105,IF(AND($G105&gt;=DO$5,$G105&lt;DO$5+GanttPeriod),"◆",IF(AND($E105&gt;=DO$5,$E105&lt;DO$5+GanttPeriod),"◇","")),IF(AND(DO$5&lt;=$F105,DO$5+GanttPeriod-1&gt;=$E105),"━","")))</f>
        <v/>
      </c>
      <c r="DP105" s="69" t="str">
        <f aca="false">IF($E105="","",IF($M105,IF(AND($G105&gt;=DP$5,$G105&lt;DP$5+GanttPeriod),"◆",IF(AND($E105&gt;=DP$5,$E105&lt;DP$5+GanttPeriod),"◇","")),IF(AND(DP$5&lt;=$F105,DP$5+GanttPeriod-1&gt;=$E105),"━","")))</f>
        <v/>
      </c>
      <c r="DQ105" s="69" t="str">
        <f aca="false">IF($E105="","",IF($M105,IF(AND($G105&gt;=DQ$5,$G105&lt;DQ$5+GanttPeriod),"◆",IF(AND($E105&gt;=DQ$5,$E105&lt;DQ$5+GanttPeriod),"◇","")),IF(AND(DQ$5&lt;=$F105,DQ$5+GanttPeriod-1&gt;=$E105),"━","")))</f>
        <v/>
      </c>
      <c r="DR105" s="69" t="str">
        <f aca="false">IF($E105="","",IF($M105,IF(AND($G105&gt;=DR$5,$G105&lt;DR$5+GanttPeriod),"◆",IF(AND($E105&gt;=DR$5,$E105&lt;DR$5+GanttPeriod),"◇","")),IF(AND(DR$5&lt;=$F105,DR$5+GanttPeriod-1&gt;=$E105),"━","")))</f>
        <v/>
      </c>
      <c r="DS105" s="69" t="str">
        <f aca="false">IF($E105="","",IF($M105,IF(AND($G105&gt;=DS$5,$G105&lt;DS$5+GanttPeriod),"◆",IF(AND($E105&gt;=DS$5,$E105&lt;DS$5+GanttPeriod),"◇","")),IF(AND(DS$5&lt;=$F105,DS$5+GanttPeriod-1&gt;=$E105),"━","")))</f>
        <v/>
      </c>
      <c r="DT105" s="69" t="str">
        <f aca="false">IF($E105="","",IF($M105,IF(AND($G105&gt;=DT$5,$G105&lt;DT$5+GanttPeriod),"◆",IF(AND($E105&gt;=DT$5,$E105&lt;DT$5+GanttPeriod),"◇","")),IF(AND(DT$5&lt;=$F105,DT$5+GanttPeriod-1&gt;=$E105),"━","")))</f>
        <v/>
      </c>
      <c r="DU105" s="69" t="str">
        <f aca="false">IF($E105="","",IF($M105,IF(AND($G105&gt;=DU$5,$G105&lt;DU$5+GanttPeriod),"◆",IF(AND($E105&gt;=DU$5,$E105&lt;DU$5+GanttPeriod),"◇","")),IF(AND(DU$5&lt;=$F105,DU$5+GanttPeriod-1&gt;=$E105),"━","")))</f>
        <v/>
      </c>
      <c r="DV105" s="69" t="str">
        <f aca="false">IF($E105="","",IF($M105,IF(AND($G105&gt;=DV$5,$G105&lt;DV$5+GanttPeriod),"◆",IF(AND($E105&gt;=DV$5,$E105&lt;DV$5+GanttPeriod),"◇","")),IF(AND(DV$5&lt;=$F105,DV$5+GanttPeriod-1&gt;=$E105),"━","")))</f>
        <v/>
      </c>
      <c r="DW105" s="69" t="str">
        <f aca="false">IF($E105="","",IF($M105,IF(AND($G105&gt;=DW$5,$G105&lt;DW$5+GanttPeriod),"◆",IF(AND($E105&gt;=DW$5,$E105&lt;DW$5+GanttPeriod),"◇","")),IF(AND(DW$5&lt;=$F105,DW$5+GanttPeriod-1&gt;=$E105),"━","")))</f>
        <v/>
      </c>
      <c r="DX105" s="69" t="str">
        <f aca="false">IF($E105="","",IF($M105,IF(AND($G105&gt;=DX$5,$G105&lt;DX$5+GanttPeriod),"◆",IF(AND($E105&gt;=DX$5,$E105&lt;DX$5+GanttPeriod),"◇","")),IF(AND(DX$5&lt;=$F105,DX$5+GanttPeriod-1&gt;=$E105),"━","")))</f>
        <v/>
      </c>
      <c r="DY105" s="69" t="str">
        <f aca="false">IF($E105="","",IF($M105,IF(AND($G105&gt;=DY$5,$G105&lt;DY$5+GanttPeriod),"◆",IF(AND($E105&gt;=DY$5,$E105&lt;DY$5+GanttPeriod),"◇","")),IF(AND(DY$5&lt;=$F105,DY$5+GanttPeriod-1&gt;=$E105),"━","")))</f>
        <v/>
      </c>
      <c r="DZ105" s="69" t="str">
        <f aca="false">IF($E105="","",IF($M105,IF(AND($G105&gt;=DZ$5,$G105&lt;DZ$5+GanttPeriod),"◆",IF(AND($E105&gt;=DZ$5,$E105&lt;DZ$5+GanttPeriod),"◇","")),IF(AND(DZ$5&lt;=$F105,DZ$5+GanttPeriod-1&gt;=$E105),"━","")))</f>
        <v/>
      </c>
      <c r="EA105" s="69" t="str">
        <f aca="false">IF($E105="","",IF($M105,IF(AND($G105&gt;=EA$5,$G105&lt;EA$5+GanttPeriod),"◆",IF(AND($E105&gt;=EA$5,$E105&lt;EA$5+GanttPeriod),"◇","")),IF(AND(EA$5&lt;=$F105,EA$5+GanttPeriod-1&gt;=$E105),"━","")))</f>
        <v/>
      </c>
      <c r="EB105" s="69" t="str">
        <f aca="false">IF($E105="","",IF($M105,IF(AND($G105&gt;=EB$5,$G105&lt;EB$5+GanttPeriod),"◆",IF(AND($E105&gt;=EB$5,$E105&lt;EB$5+GanttPeriod),"◇","")),IF(AND(EB$5&lt;=$F105,EB$5+GanttPeriod-1&gt;=$E105),"━","")))</f>
        <v/>
      </c>
      <c r="EC105" s="69" t="str">
        <f aca="false">IF($E105="","",IF($M105,IF(AND($G105&gt;=EC$5,$G105&lt;EC$5+GanttPeriod),"◆",IF(AND($E105&gt;=EC$5,$E105&lt;EC$5+GanttPeriod),"◇","")),IF(AND(EC$5&lt;=$F105,EC$5+GanttPeriod-1&gt;=$E105),"━","")))</f>
        <v/>
      </c>
      <c r="ED105" s="69" t="str">
        <f aca="false">IF($E105="","",IF($M105,IF(AND($G105&gt;=ED$5,$G105&lt;ED$5+GanttPeriod),"◆",IF(AND($E105&gt;=ED$5,$E105&lt;ED$5+GanttPeriod),"◇","")),IF(AND(ED$5&lt;=$F105,ED$5+GanttPeriod-1&gt;=$E105),"━","")))</f>
        <v/>
      </c>
      <c r="EE105" s="69" t="str">
        <f aca="false">IF($E105="","",IF($M105,IF(AND($G105&gt;=EE$5,$G105&lt;EE$5+GanttPeriod),"◆",IF(AND($E105&gt;=EE$5,$E105&lt;EE$5+GanttPeriod),"◇","")),IF(AND(EE$5&lt;=$F105,EE$5+GanttPeriod-1&gt;=$E105),"━","")))</f>
        <v/>
      </c>
      <c r="EF105" s="69" t="str">
        <f aca="false">IF($E105="","",IF($M105,IF(AND($G105&gt;=EF$5,$G105&lt;EF$5+GanttPeriod),"◆",IF(AND($E105&gt;=EF$5,$E105&lt;EF$5+GanttPeriod),"◇","")),IF(AND(EF$5&lt;=$F105,EF$5+GanttPeriod-1&gt;=$E105),"━","")))</f>
        <v/>
      </c>
      <c r="EG105" s="69" t="str">
        <f aca="false">IF($E105="","",IF($M105,IF(AND($G105&gt;=EG$5,$G105&lt;EG$5+GanttPeriod),"◆",IF(AND($E105&gt;=EG$5,$E105&lt;EG$5+GanttPeriod),"◇","")),IF(AND(EG$5&lt;=$F105,EG$5+GanttPeriod-1&gt;=$E105),"━","")))</f>
        <v/>
      </c>
      <c r="EH105" s="69" t="str">
        <f aca="false">IF($E105="","",IF($M105,IF(AND($G105&gt;=EH$5,$G105&lt;EH$5+GanttPeriod),"◆",IF(AND($E105&gt;=EH$5,$E105&lt;EH$5+GanttPeriod),"◇","")),IF(AND(EH$5&lt;=$F105,EH$5+GanttPeriod-1&gt;=$E105),"━","")))</f>
        <v/>
      </c>
      <c r="EI105" s="69" t="str">
        <f aca="false">IF($E105="","",IF($M105,IF(AND($G105&gt;=EI$5,$G105&lt;EI$5+GanttPeriod),"◆",IF(AND($E105&gt;=EI$5,$E105&lt;EI$5+GanttPeriod),"◇","")),IF(AND(EI$5&lt;=$F105,EI$5+GanttPeriod-1&gt;=$E105),"━","")))</f>
        <v/>
      </c>
      <c r="EJ105" s="69" t="str">
        <f aca="false">IF($E105="","",IF($M105,IF(AND($G105&gt;=EJ$5,$G105&lt;EJ$5+GanttPeriod),"◆",IF(AND($E105&gt;=EJ$5,$E105&lt;EJ$5+GanttPeriod),"◇","")),IF(AND(EJ$5&lt;=$F105,EJ$5+GanttPeriod-1&gt;=$E105),"━","")))</f>
        <v/>
      </c>
      <c r="EK105" s="69" t="str">
        <f aca="false">IF($E105="","",IF($M105,IF(AND($G105&gt;=EK$5,$G105&lt;EK$5+GanttPeriod),"◆",IF(AND($E105&gt;=EK$5,$E105&lt;EK$5+GanttPeriod),"◇","")),IF(AND(EK$5&lt;=$F105,EK$5+GanttPeriod-1&gt;=$E105),"━","")))</f>
        <v/>
      </c>
      <c r="EL105" s="69" t="str">
        <f aca="false">IF($E105="","",IF($M105,IF(AND($G105&gt;=EL$5,$G105&lt;EL$5+GanttPeriod),"◆",IF(AND($E105&gt;=EL$5,$E105&lt;EL$5+GanttPeriod),"◇","")),IF(AND(EL$5&lt;=$F105,EL$5+GanttPeriod-1&gt;=$E105),"━","")))</f>
        <v/>
      </c>
      <c r="EM105" s="69" t="str">
        <f aca="false">IF($E105="","",IF($M105,IF(AND($G105&gt;=EM$5,$G105&lt;EM$5+GanttPeriod),"◆",IF(AND($E105&gt;=EM$5,$E105&lt;EM$5+GanttPeriod),"◇","")),IF(AND(EM$5&lt;=$F105,EM$5+GanttPeriod-1&gt;=$E105),"━","")))</f>
        <v/>
      </c>
      <c r="EN105" s="69" t="str">
        <f aca="false">IF($E105="","",IF($M105,IF(AND($G105&gt;=EN$5,$G105&lt;EN$5+GanttPeriod),"◆",IF(AND($E105&gt;=EN$5,$E105&lt;EN$5+GanttPeriod),"◇","")),IF(AND(EN$5&lt;=$F105,EN$5+GanttPeriod-1&gt;=$E105),"━","")))</f>
        <v/>
      </c>
      <c r="EO105" s="69" t="str">
        <f aca="false">IF($E105="","",IF($M105,IF(AND($G105&gt;=EO$5,$G105&lt;EO$5+GanttPeriod),"◆",IF(AND($E105&gt;=EO$5,$E105&lt;EO$5+GanttPeriod),"◇","")),IF(AND(EO$5&lt;=$F105,EO$5+GanttPeriod-1&gt;=$E105),"━","")))</f>
        <v/>
      </c>
      <c r="EP105" s="69" t="str">
        <f aca="false">IF($E105="","",IF($M105,IF(AND($G105&gt;=EP$5,$G105&lt;EP$5+GanttPeriod),"◆",IF(AND($E105&gt;=EP$5,$E105&lt;EP$5+GanttPeriod),"◇","")),IF(AND(EP$5&lt;=$F105,EP$5+GanttPeriod-1&gt;=$E105),"━","")))</f>
        <v/>
      </c>
      <c r="EQ105" s="69" t="str">
        <f aca="false">IF($E105="","",IF($M105,IF(AND($G105&gt;=EQ$5,$G105&lt;EQ$5+GanttPeriod),"◆",IF(AND($E105&gt;=EQ$5,$E105&lt;EQ$5+GanttPeriod),"◇","")),IF(AND(EQ$5&lt;=$F105,EQ$5+GanttPeriod-1&gt;=$E105),"━","")))</f>
        <v/>
      </c>
      <c r="ER105" s="69" t="str">
        <f aca="false">IF($E105="","",IF($M105,IF(AND($G105&gt;=ER$5,$G105&lt;ER$5+GanttPeriod),"◆",IF(AND($E105&gt;=ER$5,$E105&lt;ER$5+GanttPeriod),"◇","")),IF(AND(ER$5&lt;=$F105,ER$5+GanttPeriod-1&gt;=$E105),"━","")))</f>
        <v/>
      </c>
      <c r="ES105" s="69" t="str">
        <f aca="false">IF($E105="","",IF($M105,IF(AND($G105&gt;=ES$5,$G105&lt;ES$5+GanttPeriod),"◆",IF(AND($E105&gt;=ES$5,$E105&lt;ES$5+GanttPeriod),"◇","")),IF(AND(ES$5&lt;=$F105,ES$5+GanttPeriod-1&gt;=$E105),"━","")))</f>
        <v/>
      </c>
      <c r="ET105" s="69" t="str">
        <f aca="false">IF($E105="","",IF($M105,IF(AND($G105&gt;=ET$5,$G105&lt;ET$5+GanttPeriod),"◆",IF(AND($E105&gt;=ET$5,$E105&lt;ET$5+GanttPeriod),"◇","")),IF(AND(ET$5&lt;=$F105,ET$5+GanttPeriod-1&gt;=$E105),"━","")))</f>
        <v/>
      </c>
      <c r="EU105" s="69" t="str">
        <f aca="false">IF($E105="","",IF($M105,IF(AND($G105&gt;=EU$5,$G105&lt;EU$5+GanttPeriod),"◆",IF(AND($E105&gt;=EU$5,$E105&lt;EU$5+GanttPeriod),"◇","")),IF(AND(EU$5&lt;=$F105,EU$5+GanttPeriod-1&gt;=$E105),"━","")))</f>
        <v/>
      </c>
      <c r="EV105" s="69" t="str">
        <f aca="false">IF($E105="","",IF($M105,IF(AND($G105&gt;=EV$5,$G105&lt;EV$5+GanttPeriod),"◆",IF(AND($E105&gt;=EV$5,$E105&lt;EV$5+GanttPeriod),"◇","")),IF(AND(EV$5&lt;=$F105,EV$5+GanttPeriod-1&gt;=$E105),"━","")))</f>
        <v/>
      </c>
      <c r="EW105" s="69" t="str">
        <f aca="false">IF($E105="","",IF($M105,IF(AND($G105&gt;=EW$5,$G105&lt;EW$5+GanttPeriod),"◆",IF(AND($E105&gt;=EW$5,$E105&lt;EW$5+GanttPeriod),"◇","")),IF(AND(EW$5&lt;=$F105,EW$5+GanttPeriod-1&gt;=$E105),"━","")))</f>
        <v/>
      </c>
      <c r="EX105" s="69" t="str">
        <f aca="false">IF($E105="","",IF($M105,IF(AND($G105&gt;=EX$5,$G105&lt;EX$5+GanttPeriod),"◆",IF(AND($E105&gt;=EX$5,$E105&lt;EX$5+GanttPeriod),"◇","")),IF(AND(EX$5&lt;=$F105,EX$5+GanttPeriod-1&gt;=$E105),"━","")))</f>
        <v/>
      </c>
      <c r="EY105" s="69" t="str">
        <f aca="false">IF($E105="","",IF($M105,IF(AND($G105&gt;=EY$5,$G105&lt;EY$5+GanttPeriod),"◆",IF(AND($E105&gt;=EY$5,$E105&lt;EY$5+GanttPeriod),"◇","")),IF(AND(EY$5&lt;=$F105,EY$5+GanttPeriod-1&gt;=$E105),"━","")))</f>
        <v/>
      </c>
      <c r="EZ105" s="69" t="str">
        <f aca="false">IF($E105="","",IF($M105,IF(AND($G105&gt;=EZ$5,$G105&lt;EZ$5+GanttPeriod),"◆",IF(AND($E105&gt;=EZ$5,$E105&lt;EZ$5+GanttPeriod),"◇","")),IF(AND(EZ$5&lt;=$F105,EZ$5+GanttPeriod-1&gt;=$E105),"━","")))</f>
        <v/>
      </c>
      <c r="FA105" s="69" t="str">
        <f aca="false">IF($E105="","",IF($M105,IF(AND($G105&gt;=FA$5,$G105&lt;FA$5+GanttPeriod),"◆",IF(AND($E105&gt;=FA$5,$E105&lt;FA$5+GanttPeriod),"◇","")),IF(AND(FA$5&lt;=$F105,FA$5+GanttPeriod-1&gt;=$E105),"━","")))</f>
        <v/>
      </c>
      <c r="FB105" s="69" t="str">
        <f aca="false">IF($E105="","",IF($M105,IF(AND($G105&gt;=FB$5,$G105&lt;FB$5+GanttPeriod),"◆",IF(AND($E105&gt;=FB$5,$E105&lt;FB$5+GanttPeriod),"◇","")),IF(AND(FB$5&lt;=$F105,FB$5+GanttPeriod-1&gt;=$E105),"━","")))</f>
        <v/>
      </c>
      <c r="FC105" s="69" t="str">
        <f aca="false">IF($E105="","",IF($M105,IF(AND($G105&gt;=FC$5,$G105&lt;FC$5+GanttPeriod),"◆",IF(AND($E105&gt;=FC$5,$E105&lt;FC$5+GanttPeriod),"◇","")),IF(AND(FC$5&lt;=$F105,FC$5+GanttPeriod-1&gt;=$E105),"━","")))</f>
        <v/>
      </c>
      <c r="FD105" s="69" t="str">
        <f aca="false">IF($E105="","",IF($M105,IF(AND($G105&gt;=FD$5,$G105&lt;FD$5+GanttPeriod),"◆",IF(AND($E105&gt;=FD$5,$E105&lt;FD$5+GanttPeriod),"◇","")),IF(AND(FD$5&lt;=$F105,FD$5+GanttPeriod-1&gt;=$E105),"━","")))</f>
        <v/>
      </c>
      <c r="FE105" s="69" t="str">
        <f aca="false">IF($E105="","",IF($M105,IF(AND($G105&gt;=FE$5,$G105&lt;FE$5+GanttPeriod),"◆",IF(AND($E105&gt;=FE$5,$E105&lt;FE$5+GanttPeriod),"◇","")),IF(AND(FE$5&lt;=$F105,FE$5+GanttPeriod-1&gt;=$E105),"━","")))</f>
        <v/>
      </c>
      <c r="FF105" s="69" t="str">
        <f aca="false">IF($E105="","",IF($M105,IF(AND($G105&gt;=FF$5,$G105&lt;FF$5+GanttPeriod),"◆",IF(AND($E105&gt;=FF$5,$E105&lt;FF$5+GanttPeriod),"◇","")),IF(AND(FF$5&lt;=$F105,FF$5+GanttPeriod-1&gt;=$E105),"━","")))</f>
        <v/>
      </c>
      <c r="FG105" s="69" t="str">
        <f aca="false">IF($E105="","",IF($M105,IF(AND($G105&gt;=FG$5,$G105&lt;FG$5+GanttPeriod),"◆",IF(AND($E105&gt;=FG$5,$E105&lt;FG$5+GanttPeriod),"◇","")),IF(AND(FG$5&lt;=$F105,FG$5+GanttPeriod-1&gt;=$E105),"━","")))</f>
        <v/>
      </c>
      <c r="FH105" s="69" t="str">
        <f aca="false">IF($E105="","",IF($M105,IF(AND($G105&gt;=FH$5,$G105&lt;FH$5+GanttPeriod),"◆",IF(AND($E105&gt;=FH$5,$E105&lt;FH$5+GanttPeriod),"◇","")),IF(AND(FH$5&lt;=$F105,FH$5+GanttPeriod-1&gt;=$E105),"━","")))</f>
        <v/>
      </c>
      <c r="FI105" s="69" t="str">
        <f aca="false">IF($E105="","",IF($M105,IF(AND($G105&gt;=FI$5,$G105&lt;FI$5+GanttPeriod),"◆",IF(AND($E105&gt;=FI$5,$E105&lt;FI$5+GanttPeriod),"◇","")),IF(AND(FI$5&lt;=$F105,FI$5+GanttPeriod-1&gt;=$E105),"━","")))</f>
        <v/>
      </c>
      <c r="FJ105" s="69" t="str">
        <f aca="false">IF($E105="","",IF($M105,IF(AND($G105&gt;=FJ$5,$G105&lt;FJ$5+GanttPeriod),"◆",IF(AND($E105&gt;=FJ$5,$E105&lt;FJ$5+GanttPeriod),"◇","")),IF(AND(FJ$5&lt;=$F105,FJ$5+GanttPeriod-1&gt;=$E105),"━","")))</f>
        <v/>
      </c>
      <c r="FK105" s="69" t="str">
        <f aca="false">IF($E105="","",IF($M105,IF(AND($G105&gt;=FK$5,$G105&lt;FK$5+GanttPeriod),"◆",IF(AND($E105&gt;=FK$5,$E105&lt;FK$5+GanttPeriod),"◇","")),IF(AND(FK$5&lt;=$F105,FK$5+GanttPeriod-1&gt;=$E105),"━","")))</f>
        <v/>
      </c>
      <c r="FL105" s="69" t="str">
        <f aca="false">IF($E105="","",IF($M105,IF(AND($G105&gt;=FL$5,$G105&lt;FL$5+GanttPeriod),"◆",IF(AND($E105&gt;=FL$5,$E105&lt;FL$5+GanttPeriod),"◇","")),IF(AND(FL$5&lt;=$F105,FL$5+GanttPeriod-1&gt;=$E105),"━","")))</f>
        <v/>
      </c>
      <c r="FM105" s="69" t="str">
        <f aca="false">IF($E105="","",IF($M105,IF(AND($G105&gt;=FM$5,$G105&lt;FM$5+GanttPeriod),"◆",IF(AND($E105&gt;=FM$5,$E105&lt;FM$5+GanttPeriod),"◇","")),IF(AND(FM$5&lt;=$F105,FM$5+GanttPeriod-1&gt;=$E105),"━","")))</f>
        <v/>
      </c>
    </row>
    <row r="106" customFormat="false" ht="15" hidden="false" customHeight="false" outlineLevel="0" collapsed="false">
      <c r="A106" s="62" t="str">
        <f aca="false">IF(Tasks!$D106="","",Tasks!$A106)</f>
        <v/>
      </c>
      <c r="B106" s="62" t="str">
        <f aca="false">IF(Tasks!$D106="","",Tasks!$B106)</f>
        <v/>
      </c>
      <c r="C106" s="63" t="str">
        <f aca="false">IF(Tasks!$D106="","",REPT("    ",Tasks!$AE106-1)&amp;Tasks!$D106)</f>
        <v/>
      </c>
      <c r="D106" s="62" t="str">
        <f aca="false">IF(Tasks!$D106="","",IF(Tasks!$AI106,NETWORKDAYS.INTL(Tasks!$R106,Tasks!$S106,WorkWeek,Holidays),N(Tasks!$F106)))</f>
        <v/>
      </c>
      <c r="E106" s="64" t="str">
        <f aca="false">IF(Tasks!$D106="","",Tasks!$N106)</f>
        <v/>
      </c>
      <c r="F106" s="64" t="str">
        <f aca="false">IF(Tasks!$D106="","",Tasks!$O106)</f>
        <v/>
      </c>
      <c r="G106" s="64" t="str">
        <f aca="false">IF(Tasks!$D106="","",Tasks!$R106)</f>
        <v/>
      </c>
      <c r="H106" s="64" t="str">
        <f aca="false">IF(Tasks!$D106="","",Tasks!$S106)</f>
        <v/>
      </c>
      <c r="I106" s="65" t="str">
        <f aca="false">IF(Tasks!$D106="","",Tasks!$V106)</f>
        <v/>
      </c>
      <c r="J106" s="63" t="str">
        <f aca="false">IF(Tasks!$D106="","",Tasks!$X106&amp;"")</f>
        <v/>
      </c>
      <c r="K106" s="66" t="str">
        <f aca="false">IF(Tasks!$D106="","",Tasks!$W106)</f>
        <v/>
      </c>
      <c r="L106" s="67" t="b">
        <f aca="false">IF(Tasks!$D106="",FALSE(),Tasks!$AI106)</f>
        <v>0</v>
      </c>
      <c r="M106" s="67" t="b">
        <f aca="false">AND(Tasks!$AJ106=1,N(Tasks!$F106)=0)</f>
        <v>0</v>
      </c>
      <c r="N106" s="68" t="n">
        <f aca="false">IF(AND(Tasks!$AJ106=1,NOT($M106),N($I106)&gt;0),$G106,0)</f>
        <v>0</v>
      </c>
      <c r="O106" s="68" t="n">
        <f aca="false">IF($N106=0,0,IF($I106&gt;=1,$H106,MAX($N106,$G106+ROUND(($H106-$G106+1)*$I106,0)-1)))</f>
        <v>0</v>
      </c>
      <c r="P106" s="68" t="n">
        <f aca="false">IF(OR(Tasks!$AJ106&lt;&gt;1,$M106,N($I106)&gt;=1),0,IF($O106&gt;0,$O106+1,$G106))</f>
        <v>0</v>
      </c>
      <c r="Q106" s="68" t="n">
        <f aca="false">IF($P106=0,0,$H106)</f>
        <v>0</v>
      </c>
      <c r="R106" s="67" t="b">
        <f aca="false">AND(Tasks!$D106&lt;&gt;"",N(Tasks!$T106)&gt;0)</f>
        <v>0</v>
      </c>
      <c r="T106" s="69" t="str">
        <f aca="false">IF($E106="","",IF($M106,IF(AND($G106&gt;=T$5,$G106&lt;T$5+GanttPeriod),"◆",IF(AND($E106&gt;=T$5,$E106&lt;T$5+GanttPeriod),"◇","")),IF(AND(T$5&lt;=$F106,T$5+GanttPeriod-1&gt;=$E106),"━","")))</f>
        <v/>
      </c>
      <c r="U106" s="69" t="str">
        <f aca="false">IF($E106="","",IF($M106,IF(AND($G106&gt;=U$5,$G106&lt;U$5+GanttPeriod),"◆",IF(AND($E106&gt;=U$5,$E106&lt;U$5+GanttPeriod),"◇","")),IF(AND(U$5&lt;=$F106,U$5+GanttPeriod-1&gt;=$E106),"━","")))</f>
        <v/>
      </c>
      <c r="V106" s="69" t="str">
        <f aca="false">IF($E106="","",IF($M106,IF(AND($G106&gt;=V$5,$G106&lt;V$5+GanttPeriod),"◆",IF(AND($E106&gt;=V$5,$E106&lt;V$5+GanttPeriod),"◇","")),IF(AND(V$5&lt;=$F106,V$5+GanttPeriod-1&gt;=$E106),"━","")))</f>
        <v/>
      </c>
      <c r="W106" s="69" t="str">
        <f aca="false">IF($E106="","",IF($M106,IF(AND($G106&gt;=W$5,$G106&lt;W$5+GanttPeriod),"◆",IF(AND($E106&gt;=W$5,$E106&lt;W$5+GanttPeriod),"◇","")),IF(AND(W$5&lt;=$F106,W$5+GanttPeriod-1&gt;=$E106),"━","")))</f>
        <v/>
      </c>
      <c r="X106" s="69" t="str">
        <f aca="false">IF($E106="","",IF($M106,IF(AND($G106&gt;=X$5,$G106&lt;X$5+GanttPeriod),"◆",IF(AND($E106&gt;=X$5,$E106&lt;X$5+GanttPeriod),"◇","")),IF(AND(X$5&lt;=$F106,X$5+GanttPeriod-1&gt;=$E106),"━","")))</f>
        <v/>
      </c>
      <c r="Y106" s="69" t="str">
        <f aca="false">IF($E106="","",IF($M106,IF(AND($G106&gt;=Y$5,$G106&lt;Y$5+GanttPeriod),"◆",IF(AND($E106&gt;=Y$5,$E106&lt;Y$5+GanttPeriod),"◇","")),IF(AND(Y$5&lt;=$F106,Y$5+GanttPeriod-1&gt;=$E106),"━","")))</f>
        <v/>
      </c>
      <c r="Z106" s="69" t="str">
        <f aca="false">IF($E106="","",IF($M106,IF(AND($G106&gt;=Z$5,$G106&lt;Z$5+GanttPeriod),"◆",IF(AND($E106&gt;=Z$5,$E106&lt;Z$5+GanttPeriod),"◇","")),IF(AND(Z$5&lt;=$F106,Z$5+GanttPeriod-1&gt;=$E106),"━","")))</f>
        <v/>
      </c>
      <c r="AA106" s="69" t="str">
        <f aca="false">IF($E106="","",IF($M106,IF(AND($G106&gt;=AA$5,$G106&lt;AA$5+GanttPeriod),"◆",IF(AND($E106&gt;=AA$5,$E106&lt;AA$5+GanttPeriod),"◇","")),IF(AND(AA$5&lt;=$F106,AA$5+GanttPeriod-1&gt;=$E106),"━","")))</f>
        <v/>
      </c>
      <c r="AB106" s="69" t="str">
        <f aca="false">IF($E106="","",IF($M106,IF(AND($G106&gt;=AB$5,$G106&lt;AB$5+GanttPeriod),"◆",IF(AND($E106&gt;=AB$5,$E106&lt;AB$5+GanttPeriod),"◇","")),IF(AND(AB$5&lt;=$F106,AB$5+GanttPeriod-1&gt;=$E106),"━","")))</f>
        <v/>
      </c>
      <c r="AC106" s="69" t="str">
        <f aca="false">IF($E106="","",IF($M106,IF(AND($G106&gt;=AC$5,$G106&lt;AC$5+GanttPeriod),"◆",IF(AND($E106&gt;=AC$5,$E106&lt;AC$5+GanttPeriod),"◇","")),IF(AND(AC$5&lt;=$F106,AC$5+GanttPeriod-1&gt;=$E106),"━","")))</f>
        <v/>
      </c>
      <c r="AD106" s="69" t="str">
        <f aca="false">IF($E106="","",IF($M106,IF(AND($G106&gt;=AD$5,$G106&lt;AD$5+GanttPeriod),"◆",IF(AND($E106&gt;=AD$5,$E106&lt;AD$5+GanttPeriod),"◇","")),IF(AND(AD$5&lt;=$F106,AD$5+GanttPeriod-1&gt;=$E106),"━","")))</f>
        <v/>
      </c>
      <c r="AE106" s="69" t="str">
        <f aca="false">IF($E106="","",IF($M106,IF(AND($G106&gt;=AE$5,$G106&lt;AE$5+GanttPeriod),"◆",IF(AND($E106&gt;=AE$5,$E106&lt;AE$5+GanttPeriod),"◇","")),IF(AND(AE$5&lt;=$F106,AE$5+GanttPeriod-1&gt;=$E106),"━","")))</f>
        <v/>
      </c>
      <c r="AF106" s="69" t="str">
        <f aca="false">IF($E106="","",IF($M106,IF(AND($G106&gt;=AF$5,$G106&lt;AF$5+GanttPeriod),"◆",IF(AND($E106&gt;=AF$5,$E106&lt;AF$5+GanttPeriod),"◇","")),IF(AND(AF$5&lt;=$F106,AF$5+GanttPeriod-1&gt;=$E106),"━","")))</f>
        <v/>
      </c>
      <c r="AG106" s="69" t="str">
        <f aca="false">IF($E106="","",IF($M106,IF(AND($G106&gt;=AG$5,$G106&lt;AG$5+GanttPeriod),"◆",IF(AND($E106&gt;=AG$5,$E106&lt;AG$5+GanttPeriod),"◇","")),IF(AND(AG$5&lt;=$F106,AG$5+GanttPeriod-1&gt;=$E106),"━","")))</f>
        <v/>
      </c>
      <c r="AH106" s="69" t="str">
        <f aca="false">IF($E106="","",IF($M106,IF(AND($G106&gt;=AH$5,$G106&lt;AH$5+GanttPeriod),"◆",IF(AND($E106&gt;=AH$5,$E106&lt;AH$5+GanttPeriod),"◇","")),IF(AND(AH$5&lt;=$F106,AH$5+GanttPeriod-1&gt;=$E106),"━","")))</f>
        <v/>
      </c>
      <c r="AI106" s="69" t="str">
        <f aca="false">IF($E106="","",IF($M106,IF(AND($G106&gt;=AI$5,$G106&lt;AI$5+GanttPeriod),"◆",IF(AND($E106&gt;=AI$5,$E106&lt;AI$5+GanttPeriod),"◇","")),IF(AND(AI$5&lt;=$F106,AI$5+GanttPeriod-1&gt;=$E106),"━","")))</f>
        <v/>
      </c>
      <c r="AJ106" s="69" t="str">
        <f aca="false">IF($E106="","",IF($M106,IF(AND($G106&gt;=AJ$5,$G106&lt;AJ$5+GanttPeriod),"◆",IF(AND($E106&gt;=AJ$5,$E106&lt;AJ$5+GanttPeriod),"◇","")),IF(AND(AJ$5&lt;=$F106,AJ$5+GanttPeriod-1&gt;=$E106),"━","")))</f>
        <v/>
      </c>
      <c r="AK106" s="69" t="str">
        <f aca="false">IF($E106="","",IF($M106,IF(AND($G106&gt;=AK$5,$G106&lt;AK$5+GanttPeriod),"◆",IF(AND($E106&gt;=AK$5,$E106&lt;AK$5+GanttPeriod),"◇","")),IF(AND(AK$5&lt;=$F106,AK$5+GanttPeriod-1&gt;=$E106),"━","")))</f>
        <v/>
      </c>
      <c r="AL106" s="69" t="str">
        <f aca="false">IF($E106="","",IF($M106,IF(AND($G106&gt;=AL$5,$G106&lt;AL$5+GanttPeriod),"◆",IF(AND($E106&gt;=AL$5,$E106&lt;AL$5+GanttPeriod),"◇","")),IF(AND(AL$5&lt;=$F106,AL$5+GanttPeriod-1&gt;=$E106),"━","")))</f>
        <v/>
      </c>
      <c r="AM106" s="69" t="str">
        <f aca="false">IF($E106="","",IF($M106,IF(AND($G106&gt;=AM$5,$G106&lt;AM$5+GanttPeriod),"◆",IF(AND($E106&gt;=AM$5,$E106&lt;AM$5+GanttPeriod),"◇","")),IF(AND(AM$5&lt;=$F106,AM$5+GanttPeriod-1&gt;=$E106),"━","")))</f>
        <v/>
      </c>
      <c r="AN106" s="69" t="str">
        <f aca="false">IF($E106="","",IF($M106,IF(AND($G106&gt;=AN$5,$G106&lt;AN$5+GanttPeriod),"◆",IF(AND($E106&gt;=AN$5,$E106&lt;AN$5+GanttPeriod),"◇","")),IF(AND(AN$5&lt;=$F106,AN$5+GanttPeriod-1&gt;=$E106),"━","")))</f>
        <v/>
      </c>
      <c r="AO106" s="69" t="str">
        <f aca="false">IF($E106="","",IF($M106,IF(AND($G106&gt;=AO$5,$G106&lt;AO$5+GanttPeriod),"◆",IF(AND($E106&gt;=AO$5,$E106&lt;AO$5+GanttPeriod),"◇","")),IF(AND(AO$5&lt;=$F106,AO$5+GanttPeriod-1&gt;=$E106),"━","")))</f>
        <v/>
      </c>
      <c r="AP106" s="69" t="str">
        <f aca="false">IF($E106="","",IF($M106,IF(AND($G106&gt;=AP$5,$G106&lt;AP$5+GanttPeriod),"◆",IF(AND($E106&gt;=AP$5,$E106&lt;AP$5+GanttPeriod),"◇","")),IF(AND(AP$5&lt;=$F106,AP$5+GanttPeriod-1&gt;=$E106),"━","")))</f>
        <v/>
      </c>
      <c r="AQ106" s="69" t="str">
        <f aca="false">IF($E106="","",IF($M106,IF(AND($G106&gt;=AQ$5,$G106&lt;AQ$5+GanttPeriod),"◆",IF(AND($E106&gt;=AQ$5,$E106&lt;AQ$5+GanttPeriod),"◇","")),IF(AND(AQ$5&lt;=$F106,AQ$5+GanttPeriod-1&gt;=$E106),"━","")))</f>
        <v/>
      </c>
      <c r="AR106" s="69" t="str">
        <f aca="false">IF($E106="","",IF($M106,IF(AND($G106&gt;=AR$5,$G106&lt;AR$5+GanttPeriod),"◆",IF(AND($E106&gt;=AR$5,$E106&lt;AR$5+GanttPeriod),"◇","")),IF(AND(AR$5&lt;=$F106,AR$5+GanttPeriod-1&gt;=$E106),"━","")))</f>
        <v/>
      </c>
      <c r="AS106" s="69" t="str">
        <f aca="false">IF($E106="","",IF($M106,IF(AND($G106&gt;=AS$5,$G106&lt;AS$5+GanttPeriod),"◆",IF(AND($E106&gt;=AS$5,$E106&lt;AS$5+GanttPeriod),"◇","")),IF(AND(AS$5&lt;=$F106,AS$5+GanttPeriod-1&gt;=$E106),"━","")))</f>
        <v/>
      </c>
      <c r="AT106" s="69" t="str">
        <f aca="false">IF($E106="","",IF($M106,IF(AND($G106&gt;=AT$5,$G106&lt;AT$5+GanttPeriod),"◆",IF(AND($E106&gt;=AT$5,$E106&lt;AT$5+GanttPeriod),"◇","")),IF(AND(AT$5&lt;=$F106,AT$5+GanttPeriod-1&gt;=$E106),"━","")))</f>
        <v/>
      </c>
      <c r="AU106" s="69" t="str">
        <f aca="false">IF($E106="","",IF($M106,IF(AND($G106&gt;=AU$5,$G106&lt;AU$5+GanttPeriod),"◆",IF(AND($E106&gt;=AU$5,$E106&lt;AU$5+GanttPeriod),"◇","")),IF(AND(AU$5&lt;=$F106,AU$5+GanttPeriod-1&gt;=$E106),"━","")))</f>
        <v/>
      </c>
      <c r="AV106" s="69" t="str">
        <f aca="false">IF($E106="","",IF($M106,IF(AND($G106&gt;=AV$5,$G106&lt;AV$5+GanttPeriod),"◆",IF(AND($E106&gt;=AV$5,$E106&lt;AV$5+GanttPeriod),"◇","")),IF(AND(AV$5&lt;=$F106,AV$5+GanttPeriod-1&gt;=$E106),"━","")))</f>
        <v/>
      </c>
      <c r="AW106" s="69" t="str">
        <f aca="false">IF($E106="","",IF($M106,IF(AND($G106&gt;=AW$5,$G106&lt;AW$5+GanttPeriod),"◆",IF(AND($E106&gt;=AW$5,$E106&lt;AW$5+GanttPeriod),"◇","")),IF(AND(AW$5&lt;=$F106,AW$5+GanttPeriod-1&gt;=$E106),"━","")))</f>
        <v/>
      </c>
      <c r="AX106" s="69" t="str">
        <f aca="false">IF($E106="","",IF($M106,IF(AND($G106&gt;=AX$5,$G106&lt;AX$5+GanttPeriod),"◆",IF(AND($E106&gt;=AX$5,$E106&lt;AX$5+GanttPeriod),"◇","")),IF(AND(AX$5&lt;=$F106,AX$5+GanttPeriod-1&gt;=$E106),"━","")))</f>
        <v/>
      </c>
      <c r="AY106" s="69" t="str">
        <f aca="false">IF($E106="","",IF($M106,IF(AND($G106&gt;=AY$5,$G106&lt;AY$5+GanttPeriod),"◆",IF(AND($E106&gt;=AY$5,$E106&lt;AY$5+GanttPeriod),"◇","")),IF(AND(AY$5&lt;=$F106,AY$5+GanttPeriod-1&gt;=$E106),"━","")))</f>
        <v/>
      </c>
      <c r="AZ106" s="69" t="str">
        <f aca="false">IF($E106="","",IF($M106,IF(AND($G106&gt;=AZ$5,$G106&lt;AZ$5+GanttPeriod),"◆",IF(AND($E106&gt;=AZ$5,$E106&lt;AZ$5+GanttPeriod),"◇","")),IF(AND(AZ$5&lt;=$F106,AZ$5+GanttPeriod-1&gt;=$E106),"━","")))</f>
        <v/>
      </c>
      <c r="BA106" s="69" t="str">
        <f aca="false">IF($E106="","",IF($M106,IF(AND($G106&gt;=BA$5,$G106&lt;BA$5+GanttPeriod),"◆",IF(AND($E106&gt;=BA$5,$E106&lt;BA$5+GanttPeriod),"◇","")),IF(AND(BA$5&lt;=$F106,BA$5+GanttPeriod-1&gt;=$E106),"━","")))</f>
        <v/>
      </c>
      <c r="BB106" s="69" t="str">
        <f aca="false">IF($E106="","",IF($M106,IF(AND($G106&gt;=BB$5,$G106&lt;BB$5+GanttPeriod),"◆",IF(AND($E106&gt;=BB$5,$E106&lt;BB$5+GanttPeriod),"◇","")),IF(AND(BB$5&lt;=$F106,BB$5+GanttPeriod-1&gt;=$E106),"━","")))</f>
        <v/>
      </c>
      <c r="BC106" s="69" t="str">
        <f aca="false">IF($E106="","",IF($M106,IF(AND($G106&gt;=BC$5,$G106&lt;BC$5+GanttPeriod),"◆",IF(AND($E106&gt;=BC$5,$E106&lt;BC$5+GanttPeriod),"◇","")),IF(AND(BC$5&lt;=$F106,BC$5+GanttPeriod-1&gt;=$E106),"━","")))</f>
        <v/>
      </c>
      <c r="BD106" s="69" t="str">
        <f aca="false">IF($E106="","",IF($M106,IF(AND($G106&gt;=BD$5,$G106&lt;BD$5+GanttPeriod),"◆",IF(AND($E106&gt;=BD$5,$E106&lt;BD$5+GanttPeriod),"◇","")),IF(AND(BD$5&lt;=$F106,BD$5+GanttPeriod-1&gt;=$E106),"━","")))</f>
        <v/>
      </c>
      <c r="BE106" s="69" t="str">
        <f aca="false">IF($E106="","",IF($M106,IF(AND($G106&gt;=BE$5,$G106&lt;BE$5+GanttPeriod),"◆",IF(AND($E106&gt;=BE$5,$E106&lt;BE$5+GanttPeriod),"◇","")),IF(AND(BE$5&lt;=$F106,BE$5+GanttPeriod-1&gt;=$E106),"━","")))</f>
        <v/>
      </c>
      <c r="BF106" s="69" t="str">
        <f aca="false">IF($E106="","",IF($M106,IF(AND($G106&gt;=BF$5,$G106&lt;BF$5+GanttPeriod),"◆",IF(AND($E106&gt;=BF$5,$E106&lt;BF$5+GanttPeriod),"◇","")),IF(AND(BF$5&lt;=$F106,BF$5+GanttPeriod-1&gt;=$E106),"━","")))</f>
        <v/>
      </c>
      <c r="BG106" s="69" t="str">
        <f aca="false">IF($E106="","",IF($M106,IF(AND($G106&gt;=BG$5,$G106&lt;BG$5+GanttPeriod),"◆",IF(AND($E106&gt;=BG$5,$E106&lt;BG$5+GanttPeriod),"◇","")),IF(AND(BG$5&lt;=$F106,BG$5+GanttPeriod-1&gt;=$E106),"━","")))</f>
        <v/>
      </c>
      <c r="BH106" s="69" t="str">
        <f aca="false">IF($E106="","",IF($M106,IF(AND($G106&gt;=BH$5,$G106&lt;BH$5+GanttPeriod),"◆",IF(AND($E106&gt;=BH$5,$E106&lt;BH$5+GanttPeriod),"◇","")),IF(AND(BH$5&lt;=$F106,BH$5+GanttPeriod-1&gt;=$E106),"━","")))</f>
        <v/>
      </c>
      <c r="BI106" s="69" t="str">
        <f aca="false">IF($E106="","",IF($M106,IF(AND($G106&gt;=BI$5,$G106&lt;BI$5+GanttPeriod),"◆",IF(AND($E106&gt;=BI$5,$E106&lt;BI$5+GanttPeriod),"◇","")),IF(AND(BI$5&lt;=$F106,BI$5+GanttPeriod-1&gt;=$E106),"━","")))</f>
        <v/>
      </c>
      <c r="BJ106" s="69" t="str">
        <f aca="false">IF($E106="","",IF($M106,IF(AND($G106&gt;=BJ$5,$G106&lt;BJ$5+GanttPeriod),"◆",IF(AND($E106&gt;=BJ$5,$E106&lt;BJ$5+GanttPeriod),"◇","")),IF(AND(BJ$5&lt;=$F106,BJ$5+GanttPeriod-1&gt;=$E106),"━","")))</f>
        <v/>
      </c>
      <c r="BK106" s="69" t="str">
        <f aca="false">IF($E106="","",IF($M106,IF(AND($G106&gt;=BK$5,$G106&lt;BK$5+GanttPeriod),"◆",IF(AND($E106&gt;=BK$5,$E106&lt;BK$5+GanttPeriod),"◇","")),IF(AND(BK$5&lt;=$F106,BK$5+GanttPeriod-1&gt;=$E106),"━","")))</f>
        <v/>
      </c>
      <c r="BL106" s="69" t="str">
        <f aca="false">IF($E106="","",IF($M106,IF(AND($G106&gt;=BL$5,$G106&lt;BL$5+GanttPeriod),"◆",IF(AND($E106&gt;=BL$5,$E106&lt;BL$5+GanttPeriod),"◇","")),IF(AND(BL$5&lt;=$F106,BL$5+GanttPeriod-1&gt;=$E106),"━","")))</f>
        <v/>
      </c>
      <c r="BM106" s="69" t="str">
        <f aca="false">IF($E106="","",IF($M106,IF(AND($G106&gt;=BM$5,$G106&lt;BM$5+GanttPeriod),"◆",IF(AND($E106&gt;=BM$5,$E106&lt;BM$5+GanttPeriod),"◇","")),IF(AND(BM$5&lt;=$F106,BM$5+GanttPeriod-1&gt;=$E106),"━","")))</f>
        <v/>
      </c>
      <c r="BN106" s="69" t="str">
        <f aca="false">IF($E106="","",IF($M106,IF(AND($G106&gt;=BN$5,$G106&lt;BN$5+GanttPeriod),"◆",IF(AND($E106&gt;=BN$5,$E106&lt;BN$5+GanttPeriod),"◇","")),IF(AND(BN$5&lt;=$F106,BN$5+GanttPeriod-1&gt;=$E106),"━","")))</f>
        <v/>
      </c>
      <c r="BO106" s="69" t="str">
        <f aca="false">IF($E106="","",IF($M106,IF(AND($G106&gt;=BO$5,$G106&lt;BO$5+GanttPeriod),"◆",IF(AND($E106&gt;=BO$5,$E106&lt;BO$5+GanttPeriod),"◇","")),IF(AND(BO$5&lt;=$F106,BO$5+GanttPeriod-1&gt;=$E106),"━","")))</f>
        <v/>
      </c>
      <c r="BP106" s="69" t="str">
        <f aca="false">IF($E106="","",IF($M106,IF(AND($G106&gt;=BP$5,$G106&lt;BP$5+GanttPeriod),"◆",IF(AND($E106&gt;=BP$5,$E106&lt;BP$5+GanttPeriod),"◇","")),IF(AND(BP$5&lt;=$F106,BP$5+GanttPeriod-1&gt;=$E106),"━","")))</f>
        <v/>
      </c>
      <c r="BQ106" s="69" t="str">
        <f aca="false">IF($E106="","",IF($M106,IF(AND($G106&gt;=BQ$5,$G106&lt;BQ$5+GanttPeriod),"◆",IF(AND($E106&gt;=BQ$5,$E106&lt;BQ$5+GanttPeriod),"◇","")),IF(AND(BQ$5&lt;=$F106,BQ$5+GanttPeriod-1&gt;=$E106),"━","")))</f>
        <v/>
      </c>
      <c r="BR106" s="69" t="str">
        <f aca="false">IF($E106="","",IF($M106,IF(AND($G106&gt;=BR$5,$G106&lt;BR$5+GanttPeriod),"◆",IF(AND($E106&gt;=BR$5,$E106&lt;BR$5+GanttPeriod),"◇","")),IF(AND(BR$5&lt;=$F106,BR$5+GanttPeriod-1&gt;=$E106),"━","")))</f>
        <v/>
      </c>
      <c r="BS106" s="69" t="str">
        <f aca="false">IF($E106="","",IF($M106,IF(AND($G106&gt;=BS$5,$G106&lt;BS$5+GanttPeriod),"◆",IF(AND($E106&gt;=BS$5,$E106&lt;BS$5+GanttPeriod),"◇","")),IF(AND(BS$5&lt;=$F106,BS$5+GanttPeriod-1&gt;=$E106),"━","")))</f>
        <v/>
      </c>
      <c r="BT106" s="69" t="str">
        <f aca="false">IF($E106="","",IF($M106,IF(AND($G106&gt;=BT$5,$G106&lt;BT$5+GanttPeriod),"◆",IF(AND($E106&gt;=BT$5,$E106&lt;BT$5+GanttPeriod),"◇","")),IF(AND(BT$5&lt;=$F106,BT$5+GanttPeriod-1&gt;=$E106),"━","")))</f>
        <v/>
      </c>
      <c r="BU106" s="69" t="str">
        <f aca="false">IF($E106="","",IF($M106,IF(AND($G106&gt;=BU$5,$G106&lt;BU$5+GanttPeriod),"◆",IF(AND($E106&gt;=BU$5,$E106&lt;BU$5+GanttPeriod),"◇","")),IF(AND(BU$5&lt;=$F106,BU$5+GanttPeriod-1&gt;=$E106),"━","")))</f>
        <v/>
      </c>
      <c r="BV106" s="69" t="str">
        <f aca="false">IF($E106="","",IF($M106,IF(AND($G106&gt;=BV$5,$G106&lt;BV$5+GanttPeriod),"◆",IF(AND($E106&gt;=BV$5,$E106&lt;BV$5+GanttPeriod),"◇","")),IF(AND(BV$5&lt;=$F106,BV$5+GanttPeriod-1&gt;=$E106),"━","")))</f>
        <v/>
      </c>
      <c r="BW106" s="69" t="str">
        <f aca="false">IF($E106="","",IF($M106,IF(AND($G106&gt;=BW$5,$G106&lt;BW$5+GanttPeriod),"◆",IF(AND($E106&gt;=BW$5,$E106&lt;BW$5+GanttPeriod),"◇","")),IF(AND(BW$5&lt;=$F106,BW$5+GanttPeriod-1&gt;=$E106),"━","")))</f>
        <v/>
      </c>
      <c r="BX106" s="69" t="str">
        <f aca="false">IF($E106="","",IF($M106,IF(AND($G106&gt;=BX$5,$G106&lt;BX$5+GanttPeriod),"◆",IF(AND($E106&gt;=BX$5,$E106&lt;BX$5+GanttPeriod),"◇","")),IF(AND(BX$5&lt;=$F106,BX$5+GanttPeriod-1&gt;=$E106),"━","")))</f>
        <v/>
      </c>
      <c r="BY106" s="69" t="str">
        <f aca="false">IF($E106="","",IF($M106,IF(AND($G106&gt;=BY$5,$G106&lt;BY$5+GanttPeriod),"◆",IF(AND($E106&gt;=BY$5,$E106&lt;BY$5+GanttPeriod),"◇","")),IF(AND(BY$5&lt;=$F106,BY$5+GanttPeriod-1&gt;=$E106),"━","")))</f>
        <v/>
      </c>
      <c r="BZ106" s="69" t="str">
        <f aca="false">IF($E106="","",IF($M106,IF(AND($G106&gt;=BZ$5,$G106&lt;BZ$5+GanttPeriod),"◆",IF(AND($E106&gt;=BZ$5,$E106&lt;BZ$5+GanttPeriod),"◇","")),IF(AND(BZ$5&lt;=$F106,BZ$5+GanttPeriod-1&gt;=$E106),"━","")))</f>
        <v/>
      </c>
      <c r="CA106" s="69" t="str">
        <f aca="false">IF($E106="","",IF($M106,IF(AND($G106&gt;=CA$5,$G106&lt;CA$5+GanttPeriod),"◆",IF(AND($E106&gt;=CA$5,$E106&lt;CA$5+GanttPeriod),"◇","")),IF(AND(CA$5&lt;=$F106,CA$5+GanttPeriod-1&gt;=$E106),"━","")))</f>
        <v/>
      </c>
      <c r="CB106" s="69" t="str">
        <f aca="false">IF($E106="","",IF($M106,IF(AND($G106&gt;=CB$5,$G106&lt;CB$5+GanttPeriod),"◆",IF(AND($E106&gt;=CB$5,$E106&lt;CB$5+GanttPeriod),"◇","")),IF(AND(CB$5&lt;=$F106,CB$5+GanttPeriod-1&gt;=$E106),"━","")))</f>
        <v/>
      </c>
      <c r="CC106" s="69" t="str">
        <f aca="false">IF($E106="","",IF($M106,IF(AND($G106&gt;=CC$5,$G106&lt;CC$5+GanttPeriod),"◆",IF(AND($E106&gt;=CC$5,$E106&lt;CC$5+GanttPeriod),"◇","")),IF(AND(CC$5&lt;=$F106,CC$5+GanttPeriod-1&gt;=$E106),"━","")))</f>
        <v/>
      </c>
      <c r="CD106" s="69" t="str">
        <f aca="false">IF($E106="","",IF($M106,IF(AND($G106&gt;=CD$5,$G106&lt;CD$5+GanttPeriod),"◆",IF(AND($E106&gt;=CD$5,$E106&lt;CD$5+GanttPeriod),"◇","")),IF(AND(CD$5&lt;=$F106,CD$5+GanttPeriod-1&gt;=$E106),"━","")))</f>
        <v/>
      </c>
      <c r="CE106" s="69" t="str">
        <f aca="false">IF($E106="","",IF($M106,IF(AND($G106&gt;=CE$5,$G106&lt;CE$5+GanttPeriod),"◆",IF(AND($E106&gt;=CE$5,$E106&lt;CE$5+GanttPeriod),"◇","")),IF(AND(CE$5&lt;=$F106,CE$5+GanttPeriod-1&gt;=$E106),"━","")))</f>
        <v/>
      </c>
      <c r="CF106" s="69" t="str">
        <f aca="false">IF($E106="","",IF($M106,IF(AND($G106&gt;=CF$5,$G106&lt;CF$5+GanttPeriod),"◆",IF(AND($E106&gt;=CF$5,$E106&lt;CF$5+GanttPeriod),"◇","")),IF(AND(CF$5&lt;=$F106,CF$5+GanttPeriod-1&gt;=$E106),"━","")))</f>
        <v/>
      </c>
      <c r="CG106" s="69" t="str">
        <f aca="false">IF($E106="","",IF($M106,IF(AND($G106&gt;=CG$5,$G106&lt;CG$5+GanttPeriod),"◆",IF(AND($E106&gt;=CG$5,$E106&lt;CG$5+GanttPeriod),"◇","")),IF(AND(CG$5&lt;=$F106,CG$5+GanttPeriod-1&gt;=$E106),"━","")))</f>
        <v/>
      </c>
      <c r="CH106" s="69" t="str">
        <f aca="false">IF($E106="","",IF($M106,IF(AND($G106&gt;=CH$5,$G106&lt;CH$5+GanttPeriod),"◆",IF(AND($E106&gt;=CH$5,$E106&lt;CH$5+GanttPeriod),"◇","")),IF(AND(CH$5&lt;=$F106,CH$5+GanttPeriod-1&gt;=$E106),"━","")))</f>
        <v/>
      </c>
      <c r="CI106" s="69" t="str">
        <f aca="false">IF($E106="","",IF($M106,IF(AND($G106&gt;=CI$5,$G106&lt;CI$5+GanttPeriod),"◆",IF(AND($E106&gt;=CI$5,$E106&lt;CI$5+GanttPeriod),"◇","")),IF(AND(CI$5&lt;=$F106,CI$5+GanttPeriod-1&gt;=$E106),"━","")))</f>
        <v/>
      </c>
      <c r="CJ106" s="69" t="str">
        <f aca="false">IF($E106="","",IF($M106,IF(AND($G106&gt;=CJ$5,$G106&lt;CJ$5+GanttPeriod),"◆",IF(AND($E106&gt;=CJ$5,$E106&lt;CJ$5+GanttPeriod),"◇","")),IF(AND(CJ$5&lt;=$F106,CJ$5+GanttPeriod-1&gt;=$E106),"━","")))</f>
        <v/>
      </c>
      <c r="CK106" s="69" t="str">
        <f aca="false">IF($E106="","",IF($M106,IF(AND($G106&gt;=CK$5,$G106&lt;CK$5+GanttPeriod),"◆",IF(AND($E106&gt;=CK$5,$E106&lt;CK$5+GanttPeriod),"◇","")),IF(AND(CK$5&lt;=$F106,CK$5+GanttPeriod-1&gt;=$E106),"━","")))</f>
        <v/>
      </c>
      <c r="CL106" s="69" t="str">
        <f aca="false">IF($E106="","",IF($M106,IF(AND($G106&gt;=CL$5,$G106&lt;CL$5+GanttPeriod),"◆",IF(AND($E106&gt;=CL$5,$E106&lt;CL$5+GanttPeriod),"◇","")),IF(AND(CL$5&lt;=$F106,CL$5+GanttPeriod-1&gt;=$E106),"━","")))</f>
        <v/>
      </c>
      <c r="CM106" s="69" t="str">
        <f aca="false">IF($E106="","",IF($M106,IF(AND($G106&gt;=CM$5,$G106&lt;CM$5+GanttPeriod),"◆",IF(AND($E106&gt;=CM$5,$E106&lt;CM$5+GanttPeriod),"◇","")),IF(AND(CM$5&lt;=$F106,CM$5+GanttPeriod-1&gt;=$E106),"━","")))</f>
        <v/>
      </c>
      <c r="CN106" s="69" t="str">
        <f aca="false">IF($E106="","",IF($M106,IF(AND($G106&gt;=CN$5,$G106&lt;CN$5+GanttPeriod),"◆",IF(AND($E106&gt;=CN$5,$E106&lt;CN$5+GanttPeriod),"◇","")),IF(AND(CN$5&lt;=$F106,CN$5+GanttPeriod-1&gt;=$E106),"━","")))</f>
        <v/>
      </c>
      <c r="CO106" s="69" t="str">
        <f aca="false">IF($E106="","",IF($M106,IF(AND($G106&gt;=CO$5,$G106&lt;CO$5+GanttPeriod),"◆",IF(AND($E106&gt;=CO$5,$E106&lt;CO$5+GanttPeriod),"◇","")),IF(AND(CO$5&lt;=$F106,CO$5+GanttPeriod-1&gt;=$E106),"━","")))</f>
        <v/>
      </c>
      <c r="CP106" s="69" t="str">
        <f aca="false">IF($E106="","",IF($M106,IF(AND($G106&gt;=CP$5,$G106&lt;CP$5+GanttPeriod),"◆",IF(AND($E106&gt;=CP$5,$E106&lt;CP$5+GanttPeriod),"◇","")),IF(AND(CP$5&lt;=$F106,CP$5+GanttPeriod-1&gt;=$E106),"━","")))</f>
        <v/>
      </c>
      <c r="CQ106" s="69" t="str">
        <f aca="false">IF($E106="","",IF($M106,IF(AND($G106&gt;=CQ$5,$G106&lt;CQ$5+GanttPeriod),"◆",IF(AND($E106&gt;=CQ$5,$E106&lt;CQ$5+GanttPeriod),"◇","")),IF(AND(CQ$5&lt;=$F106,CQ$5+GanttPeriod-1&gt;=$E106),"━","")))</f>
        <v/>
      </c>
      <c r="CR106" s="69" t="str">
        <f aca="false">IF($E106="","",IF($M106,IF(AND($G106&gt;=CR$5,$G106&lt;CR$5+GanttPeriod),"◆",IF(AND($E106&gt;=CR$5,$E106&lt;CR$5+GanttPeriod),"◇","")),IF(AND(CR$5&lt;=$F106,CR$5+GanttPeriod-1&gt;=$E106),"━","")))</f>
        <v/>
      </c>
      <c r="CS106" s="69" t="str">
        <f aca="false">IF($E106="","",IF($M106,IF(AND($G106&gt;=CS$5,$G106&lt;CS$5+GanttPeriod),"◆",IF(AND($E106&gt;=CS$5,$E106&lt;CS$5+GanttPeriod),"◇","")),IF(AND(CS$5&lt;=$F106,CS$5+GanttPeriod-1&gt;=$E106),"━","")))</f>
        <v/>
      </c>
      <c r="CT106" s="69" t="str">
        <f aca="false">IF($E106="","",IF($M106,IF(AND($G106&gt;=CT$5,$G106&lt;CT$5+GanttPeriod),"◆",IF(AND($E106&gt;=CT$5,$E106&lt;CT$5+GanttPeriod),"◇","")),IF(AND(CT$5&lt;=$F106,CT$5+GanttPeriod-1&gt;=$E106),"━","")))</f>
        <v/>
      </c>
      <c r="CU106" s="69" t="str">
        <f aca="false">IF($E106="","",IF($M106,IF(AND($G106&gt;=CU$5,$G106&lt;CU$5+GanttPeriod),"◆",IF(AND($E106&gt;=CU$5,$E106&lt;CU$5+GanttPeriod),"◇","")),IF(AND(CU$5&lt;=$F106,CU$5+GanttPeriod-1&gt;=$E106),"━","")))</f>
        <v/>
      </c>
      <c r="CV106" s="69" t="str">
        <f aca="false">IF($E106="","",IF($M106,IF(AND($G106&gt;=CV$5,$G106&lt;CV$5+GanttPeriod),"◆",IF(AND($E106&gt;=CV$5,$E106&lt;CV$5+GanttPeriod),"◇","")),IF(AND(CV$5&lt;=$F106,CV$5+GanttPeriod-1&gt;=$E106),"━","")))</f>
        <v/>
      </c>
      <c r="CW106" s="69" t="str">
        <f aca="false">IF($E106="","",IF($M106,IF(AND($G106&gt;=CW$5,$G106&lt;CW$5+GanttPeriod),"◆",IF(AND($E106&gt;=CW$5,$E106&lt;CW$5+GanttPeriod),"◇","")),IF(AND(CW$5&lt;=$F106,CW$5+GanttPeriod-1&gt;=$E106),"━","")))</f>
        <v/>
      </c>
      <c r="CX106" s="69" t="str">
        <f aca="false">IF($E106="","",IF($M106,IF(AND($G106&gt;=CX$5,$G106&lt;CX$5+GanttPeriod),"◆",IF(AND($E106&gt;=CX$5,$E106&lt;CX$5+GanttPeriod),"◇","")),IF(AND(CX$5&lt;=$F106,CX$5+GanttPeriod-1&gt;=$E106),"━","")))</f>
        <v/>
      </c>
      <c r="CY106" s="69" t="str">
        <f aca="false">IF($E106="","",IF($M106,IF(AND($G106&gt;=CY$5,$G106&lt;CY$5+GanttPeriod),"◆",IF(AND($E106&gt;=CY$5,$E106&lt;CY$5+GanttPeriod),"◇","")),IF(AND(CY$5&lt;=$F106,CY$5+GanttPeriod-1&gt;=$E106),"━","")))</f>
        <v/>
      </c>
      <c r="CZ106" s="69" t="str">
        <f aca="false">IF($E106="","",IF($M106,IF(AND($G106&gt;=CZ$5,$G106&lt;CZ$5+GanttPeriod),"◆",IF(AND($E106&gt;=CZ$5,$E106&lt;CZ$5+GanttPeriod),"◇","")),IF(AND(CZ$5&lt;=$F106,CZ$5+GanttPeriod-1&gt;=$E106),"━","")))</f>
        <v/>
      </c>
      <c r="DA106" s="69" t="str">
        <f aca="false">IF($E106="","",IF($M106,IF(AND($G106&gt;=DA$5,$G106&lt;DA$5+GanttPeriod),"◆",IF(AND($E106&gt;=DA$5,$E106&lt;DA$5+GanttPeriod),"◇","")),IF(AND(DA$5&lt;=$F106,DA$5+GanttPeriod-1&gt;=$E106),"━","")))</f>
        <v/>
      </c>
      <c r="DB106" s="69" t="str">
        <f aca="false">IF($E106="","",IF($M106,IF(AND($G106&gt;=DB$5,$G106&lt;DB$5+GanttPeriod),"◆",IF(AND($E106&gt;=DB$5,$E106&lt;DB$5+GanttPeriod),"◇","")),IF(AND(DB$5&lt;=$F106,DB$5+GanttPeriod-1&gt;=$E106),"━","")))</f>
        <v/>
      </c>
      <c r="DC106" s="69" t="str">
        <f aca="false">IF($E106="","",IF($M106,IF(AND($G106&gt;=DC$5,$G106&lt;DC$5+GanttPeriod),"◆",IF(AND($E106&gt;=DC$5,$E106&lt;DC$5+GanttPeriod),"◇","")),IF(AND(DC$5&lt;=$F106,DC$5+GanttPeriod-1&gt;=$E106),"━","")))</f>
        <v/>
      </c>
      <c r="DD106" s="69" t="str">
        <f aca="false">IF($E106="","",IF($M106,IF(AND($G106&gt;=DD$5,$G106&lt;DD$5+GanttPeriod),"◆",IF(AND($E106&gt;=DD$5,$E106&lt;DD$5+GanttPeriod),"◇","")),IF(AND(DD$5&lt;=$F106,DD$5+GanttPeriod-1&gt;=$E106),"━","")))</f>
        <v/>
      </c>
      <c r="DE106" s="69" t="str">
        <f aca="false">IF($E106="","",IF($M106,IF(AND($G106&gt;=DE$5,$G106&lt;DE$5+GanttPeriod),"◆",IF(AND($E106&gt;=DE$5,$E106&lt;DE$5+GanttPeriod),"◇","")),IF(AND(DE$5&lt;=$F106,DE$5+GanttPeriod-1&gt;=$E106),"━","")))</f>
        <v/>
      </c>
      <c r="DF106" s="69" t="str">
        <f aca="false">IF($E106="","",IF($M106,IF(AND($G106&gt;=DF$5,$G106&lt;DF$5+GanttPeriod),"◆",IF(AND($E106&gt;=DF$5,$E106&lt;DF$5+GanttPeriod),"◇","")),IF(AND(DF$5&lt;=$F106,DF$5+GanttPeriod-1&gt;=$E106),"━","")))</f>
        <v/>
      </c>
      <c r="DG106" s="69" t="str">
        <f aca="false">IF($E106="","",IF($M106,IF(AND($G106&gt;=DG$5,$G106&lt;DG$5+GanttPeriod),"◆",IF(AND($E106&gt;=DG$5,$E106&lt;DG$5+GanttPeriod),"◇","")),IF(AND(DG$5&lt;=$F106,DG$5+GanttPeriod-1&gt;=$E106),"━","")))</f>
        <v/>
      </c>
      <c r="DH106" s="69" t="str">
        <f aca="false">IF($E106="","",IF($M106,IF(AND($G106&gt;=DH$5,$G106&lt;DH$5+GanttPeriod),"◆",IF(AND($E106&gt;=DH$5,$E106&lt;DH$5+GanttPeriod),"◇","")),IF(AND(DH$5&lt;=$F106,DH$5+GanttPeriod-1&gt;=$E106),"━","")))</f>
        <v/>
      </c>
      <c r="DI106" s="69" t="str">
        <f aca="false">IF($E106="","",IF($M106,IF(AND($G106&gt;=DI$5,$G106&lt;DI$5+GanttPeriod),"◆",IF(AND($E106&gt;=DI$5,$E106&lt;DI$5+GanttPeriod),"◇","")),IF(AND(DI$5&lt;=$F106,DI$5+GanttPeriod-1&gt;=$E106),"━","")))</f>
        <v/>
      </c>
      <c r="DJ106" s="69" t="str">
        <f aca="false">IF($E106="","",IF($M106,IF(AND($G106&gt;=DJ$5,$G106&lt;DJ$5+GanttPeriod),"◆",IF(AND($E106&gt;=DJ$5,$E106&lt;DJ$5+GanttPeriod),"◇","")),IF(AND(DJ$5&lt;=$F106,DJ$5+GanttPeriod-1&gt;=$E106),"━","")))</f>
        <v/>
      </c>
      <c r="DK106" s="69" t="str">
        <f aca="false">IF($E106="","",IF($M106,IF(AND($G106&gt;=DK$5,$G106&lt;DK$5+GanttPeriod),"◆",IF(AND($E106&gt;=DK$5,$E106&lt;DK$5+GanttPeriod),"◇","")),IF(AND(DK$5&lt;=$F106,DK$5+GanttPeriod-1&gt;=$E106),"━","")))</f>
        <v/>
      </c>
      <c r="DL106" s="69" t="str">
        <f aca="false">IF($E106="","",IF($M106,IF(AND($G106&gt;=DL$5,$G106&lt;DL$5+GanttPeriod),"◆",IF(AND($E106&gt;=DL$5,$E106&lt;DL$5+GanttPeriod),"◇","")),IF(AND(DL$5&lt;=$F106,DL$5+GanttPeriod-1&gt;=$E106),"━","")))</f>
        <v/>
      </c>
      <c r="DM106" s="69" t="str">
        <f aca="false">IF($E106="","",IF($M106,IF(AND($G106&gt;=DM$5,$G106&lt;DM$5+GanttPeriod),"◆",IF(AND($E106&gt;=DM$5,$E106&lt;DM$5+GanttPeriod),"◇","")),IF(AND(DM$5&lt;=$F106,DM$5+GanttPeriod-1&gt;=$E106),"━","")))</f>
        <v/>
      </c>
      <c r="DN106" s="69" t="str">
        <f aca="false">IF($E106="","",IF($M106,IF(AND($G106&gt;=DN$5,$G106&lt;DN$5+GanttPeriod),"◆",IF(AND($E106&gt;=DN$5,$E106&lt;DN$5+GanttPeriod),"◇","")),IF(AND(DN$5&lt;=$F106,DN$5+GanttPeriod-1&gt;=$E106),"━","")))</f>
        <v/>
      </c>
      <c r="DO106" s="69" t="str">
        <f aca="false">IF($E106="","",IF($M106,IF(AND($G106&gt;=DO$5,$G106&lt;DO$5+GanttPeriod),"◆",IF(AND($E106&gt;=DO$5,$E106&lt;DO$5+GanttPeriod),"◇","")),IF(AND(DO$5&lt;=$F106,DO$5+GanttPeriod-1&gt;=$E106),"━","")))</f>
        <v/>
      </c>
      <c r="DP106" s="69" t="str">
        <f aca="false">IF($E106="","",IF($M106,IF(AND($G106&gt;=DP$5,$G106&lt;DP$5+GanttPeriod),"◆",IF(AND($E106&gt;=DP$5,$E106&lt;DP$5+GanttPeriod),"◇","")),IF(AND(DP$5&lt;=$F106,DP$5+GanttPeriod-1&gt;=$E106),"━","")))</f>
        <v/>
      </c>
      <c r="DQ106" s="69" t="str">
        <f aca="false">IF($E106="","",IF($M106,IF(AND($G106&gt;=DQ$5,$G106&lt;DQ$5+GanttPeriod),"◆",IF(AND($E106&gt;=DQ$5,$E106&lt;DQ$5+GanttPeriod),"◇","")),IF(AND(DQ$5&lt;=$F106,DQ$5+GanttPeriod-1&gt;=$E106),"━","")))</f>
        <v/>
      </c>
      <c r="DR106" s="69" t="str">
        <f aca="false">IF($E106="","",IF($M106,IF(AND($G106&gt;=DR$5,$G106&lt;DR$5+GanttPeriod),"◆",IF(AND($E106&gt;=DR$5,$E106&lt;DR$5+GanttPeriod),"◇","")),IF(AND(DR$5&lt;=$F106,DR$5+GanttPeriod-1&gt;=$E106),"━","")))</f>
        <v/>
      </c>
      <c r="DS106" s="69" t="str">
        <f aca="false">IF($E106="","",IF($M106,IF(AND($G106&gt;=DS$5,$G106&lt;DS$5+GanttPeriod),"◆",IF(AND($E106&gt;=DS$5,$E106&lt;DS$5+GanttPeriod),"◇","")),IF(AND(DS$5&lt;=$F106,DS$5+GanttPeriod-1&gt;=$E106),"━","")))</f>
        <v/>
      </c>
      <c r="DT106" s="69" t="str">
        <f aca="false">IF($E106="","",IF($M106,IF(AND($G106&gt;=DT$5,$G106&lt;DT$5+GanttPeriod),"◆",IF(AND($E106&gt;=DT$5,$E106&lt;DT$5+GanttPeriod),"◇","")),IF(AND(DT$5&lt;=$F106,DT$5+GanttPeriod-1&gt;=$E106),"━","")))</f>
        <v/>
      </c>
      <c r="DU106" s="69" t="str">
        <f aca="false">IF($E106="","",IF($M106,IF(AND($G106&gt;=DU$5,$G106&lt;DU$5+GanttPeriod),"◆",IF(AND($E106&gt;=DU$5,$E106&lt;DU$5+GanttPeriod),"◇","")),IF(AND(DU$5&lt;=$F106,DU$5+GanttPeriod-1&gt;=$E106),"━","")))</f>
        <v/>
      </c>
      <c r="DV106" s="69" t="str">
        <f aca="false">IF($E106="","",IF($M106,IF(AND($G106&gt;=DV$5,$G106&lt;DV$5+GanttPeriod),"◆",IF(AND($E106&gt;=DV$5,$E106&lt;DV$5+GanttPeriod),"◇","")),IF(AND(DV$5&lt;=$F106,DV$5+GanttPeriod-1&gt;=$E106),"━","")))</f>
        <v/>
      </c>
      <c r="DW106" s="69" t="str">
        <f aca="false">IF($E106="","",IF($M106,IF(AND($G106&gt;=DW$5,$G106&lt;DW$5+GanttPeriod),"◆",IF(AND($E106&gt;=DW$5,$E106&lt;DW$5+GanttPeriod),"◇","")),IF(AND(DW$5&lt;=$F106,DW$5+GanttPeriod-1&gt;=$E106),"━","")))</f>
        <v/>
      </c>
      <c r="DX106" s="69" t="str">
        <f aca="false">IF($E106="","",IF($M106,IF(AND($G106&gt;=DX$5,$G106&lt;DX$5+GanttPeriod),"◆",IF(AND($E106&gt;=DX$5,$E106&lt;DX$5+GanttPeriod),"◇","")),IF(AND(DX$5&lt;=$F106,DX$5+GanttPeriod-1&gt;=$E106),"━","")))</f>
        <v/>
      </c>
      <c r="DY106" s="69" t="str">
        <f aca="false">IF($E106="","",IF($M106,IF(AND($G106&gt;=DY$5,$G106&lt;DY$5+GanttPeriod),"◆",IF(AND($E106&gt;=DY$5,$E106&lt;DY$5+GanttPeriod),"◇","")),IF(AND(DY$5&lt;=$F106,DY$5+GanttPeriod-1&gt;=$E106),"━","")))</f>
        <v/>
      </c>
      <c r="DZ106" s="69" t="str">
        <f aca="false">IF($E106="","",IF($M106,IF(AND($G106&gt;=DZ$5,$G106&lt;DZ$5+GanttPeriod),"◆",IF(AND($E106&gt;=DZ$5,$E106&lt;DZ$5+GanttPeriod),"◇","")),IF(AND(DZ$5&lt;=$F106,DZ$5+GanttPeriod-1&gt;=$E106),"━","")))</f>
        <v/>
      </c>
      <c r="EA106" s="69" t="str">
        <f aca="false">IF($E106="","",IF($M106,IF(AND($G106&gt;=EA$5,$G106&lt;EA$5+GanttPeriod),"◆",IF(AND($E106&gt;=EA$5,$E106&lt;EA$5+GanttPeriod),"◇","")),IF(AND(EA$5&lt;=$F106,EA$5+GanttPeriod-1&gt;=$E106),"━","")))</f>
        <v/>
      </c>
      <c r="EB106" s="69" t="str">
        <f aca="false">IF($E106="","",IF($M106,IF(AND($G106&gt;=EB$5,$G106&lt;EB$5+GanttPeriod),"◆",IF(AND($E106&gt;=EB$5,$E106&lt;EB$5+GanttPeriod),"◇","")),IF(AND(EB$5&lt;=$F106,EB$5+GanttPeriod-1&gt;=$E106),"━","")))</f>
        <v/>
      </c>
      <c r="EC106" s="69" t="str">
        <f aca="false">IF($E106="","",IF($M106,IF(AND($G106&gt;=EC$5,$G106&lt;EC$5+GanttPeriod),"◆",IF(AND($E106&gt;=EC$5,$E106&lt;EC$5+GanttPeriod),"◇","")),IF(AND(EC$5&lt;=$F106,EC$5+GanttPeriod-1&gt;=$E106),"━","")))</f>
        <v/>
      </c>
      <c r="ED106" s="69" t="str">
        <f aca="false">IF($E106="","",IF($M106,IF(AND($G106&gt;=ED$5,$G106&lt;ED$5+GanttPeriod),"◆",IF(AND($E106&gt;=ED$5,$E106&lt;ED$5+GanttPeriod),"◇","")),IF(AND(ED$5&lt;=$F106,ED$5+GanttPeriod-1&gt;=$E106),"━","")))</f>
        <v/>
      </c>
      <c r="EE106" s="69" t="str">
        <f aca="false">IF($E106="","",IF($M106,IF(AND($G106&gt;=EE$5,$G106&lt;EE$5+GanttPeriod),"◆",IF(AND($E106&gt;=EE$5,$E106&lt;EE$5+GanttPeriod),"◇","")),IF(AND(EE$5&lt;=$F106,EE$5+GanttPeriod-1&gt;=$E106),"━","")))</f>
        <v/>
      </c>
      <c r="EF106" s="69" t="str">
        <f aca="false">IF($E106="","",IF($M106,IF(AND($G106&gt;=EF$5,$G106&lt;EF$5+GanttPeriod),"◆",IF(AND($E106&gt;=EF$5,$E106&lt;EF$5+GanttPeriod),"◇","")),IF(AND(EF$5&lt;=$F106,EF$5+GanttPeriod-1&gt;=$E106),"━","")))</f>
        <v/>
      </c>
      <c r="EG106" s="69" t="str">
        <f aca="false">IF($E106="","",IF($M106,IF(AND($G106&gt;=EG$5,$G106&lt;EG$5+GanttPeriod),"◆",IF(AND($E106&gt;=EG$5,$E106&lt;EG$5+GanttPeriod),"◇","")),IF(AND(EG$5&lt;=$F106,EG$5+GanttPeriod-1&gt;=$E106),"━","")))</f>
        <v/>
      </c>
      <c r="EH106" s="69" t="str">
        <f aca="false">IF($E106="","",IF($M106,IF(AND($G106&gt;=EH$5,$G106&lt;EH$5+GanttPeriod),"◆",IF(AND($E106&gt;=EH$5,$E106&lt;EH$5+GanttPeriod),"◇","")),IF(AND(EH$5&lt;=$F106,EH$5+GanttPeriod-1&gt;=$E106),"━","")))</f>
        <v/>
      </c>
      <c r="EI106" s="69" t="str">
        <f aca="false">IF($E106="","",IF($M106,IF(AND($G106&gt;=EI$5,$G106&lt;EI$5+GanttPeriod),"◆",IF(AND($E106&gt;=EI$5,$E106&lt;EI$5+GanttPeriod),"◇","")),IF(AND(EI$5&lt;=$F106,EI$5+GanttPeriod-1&gt;=$E106),"━","")))</f>
        <v/>
      </c>
      <c r="EJ106" s="69" t="str">
        <f aca="false">IF($E106="","",IF($M106,IF(AND($G106&gt;=EJ$5,$G106&lt;EJ$5+GanttPeriod),"◆",IF(AND($E106&gt;=EJ$5,$E106&lt;EJ$5+GanttPeriod),"◇","")),IF(AND(EJ$5&lt;=$F106,EJ$5+GanttPeriod-1&gt;=$E106),"━","")))</f>
        <v/>
      </c>
      <c r="EK106" s="69" t="str">
        <f aca="false">IF($E106="","",IF($M106,IF(AND($G106&gt;=EK$5,$G106&lt;EK$5+GanttPeriod),"◆",IF(AND($E106&gt;=EK$5,$E106&lt;EK$5+GanttPeriod),"◇","")),IF(AND(EK$5&lt;=$F106,EK$5+GanttPeriod-1&gt;=$E106),"━","")))</f>
        <v/>
      </c>
      <c r="EL106" s="69" t="str">
        <f aca="false">IF($E106="","",IF($M106,IF(AND($G106&gt;=EL$5,$G106&lt;EL$5+GanttPeriod),"◆",IF(AND($E106&gt;=EL$5,$E106&lt;EL$5+GanttPeriod),"◇","")),IF(AND(EL$5&lt;=$F106,EL$5+GanttPeriod-1&gt;=$E106),"━","")))</f>
        <v/>
      </c>
      <c r="EM106" s="69" t="str">
        <f aca="false">IF($E106="","",IF($M106,IF(AND($G106&gt;=EM$5,$G106&lt;EM$5+GanttPeriod),"◆",IF(AND($E106&gt;=EM$5,$E106&lt;EM$5+GanttPeriod),"◇","")),IF(AND(EM$5&lt;=$F106,EM$5+GanttPeriod-1&gt;=$E106),"━","")))</f>
        <v/>
      </c>
      <c r="EN106" s="69" t="str">
        <f aca="false">IF($E106="","",IF($M106,IF(AND($G106&gt;=EN$5,$G106&lt;EN$5+GanttPeriod),"◆",IF(AND($E106&gt;=EN$5,$E106&lt;EN$5+GanttPeriod),"◇","")),IF(AND(EN$5&lt;=$F106,EN$5+GanttPeriod-1&gt;=$E106),"━","")))</f>
        <v/>
      </c>
      <c r="EO106" s="69" t="str">
        <f aca="false">IF($E106="","",IF($M106,IF(AND($G106&gt;=EO$5,$G106&lt;EO$5+GanttPeriod),"◆",IF(AND($E106&gt;=EO$5,$E106&lt;EO$5+GanttPeriod),"◇","")),IF(AND(EO$5&lt;=$F106,EO$5+GanttPeriod-1&gt;=$E106),"━","")))</f>
        <v/>
      </c>
      <c r="EP106" s="69" t="str">
        <f aca="false">IF($E106="","",IF($M106,IF(AND($G106&gt;=EP$5,$G106&lt;EP$5+GanttPeriod),"◆",IF(AND($E106&gt;=EP$5,$E106&lt;EP$5+GanttPeriod),"◇","")),IF(AND(EP$5&lt;=$F106,EP$5+GanttPeriod-1&gt;=$E106),"━","")))</f>
        <v/>
      </c>
      <c r="EQ106" s="69" t="str">
        <f aca="false">IF($E106="","",IF($M106,IF(AND($G106&gt;=EQ$5,$G106&lt;EQ$5+GanttPeriod),"◆",IF(AND($E106&gt;=EQ$5,$E106&lt;EQ$5+GanttPeriod),"◇","")),IF(AND(EQ$5&lt;=$F106,EQ$5+GanttPeriod-1&gt;=$E106),"━","")))</f>
        <v/>
      </c>
      <c r="ER106" s="69" t="str">
        <f aca="false">IF($E106="","",IF($M106,IF(AND($G106&gt;=ER$5,$G106&lt;ER$5+GanttPeriod),"◆",IF(AND($E106&gt;=ER$5,$E106&lt;ER$5+GanttPeriod),"◇","")),IF(AND(ER$5&lt;=$F106,ER$5+GanttPeriod-1&gt;=$E106),"━","")))</f>
        <v/>
      </c>
      <c r="ES106" s="69" t="str">
        <f aca="false">IF($E106="","",IF($M106,IF(AND($G106&gt;=ES$5,$G106&lt;ES$5+GanttPeriod),"◆",IF(AND($E106&gt;=ES$5,$E106&lt;ES$5+GanttPeriod),"◇","")),IF(AND(ES$5&lt;=$F106,ES$5+GanttPeriod-1&gt;=$E106),"━","")))</f>
        <v/>
      </c>
      <c r="ET106" s="69" t="str">
        <f aca="false">IF($E106="","",IF($M106,IF(AND($G106&gt;=ET$5,$G106&lt;ET$5+GanttPeriod),"◆",IF(AND($E106&gt;=ET$5,$E106&lt;ET$5+GanttPeriod),"◇","")),IF(AND(ET$5&lt;=$F106,ET$5+GanttPeriod-1&gt;=$E106),"━","")))</f>
        <v/>
      </c>
      <c r="EU106" s="69" t="str">
        <f aca="false">IF($E106="","",IF($M106,IF(AND($G106&gt;=EU$5,$G106&lt;EU$5+GanttPeriod),"◆",IF(AND($E106&gt;=EU$5,$E106&lt;EU$5+GanttPeriod),"◇","")),IF(AND(EU$5&lt;=$F106,EU$5+GanttPeriod-1&gt;=$E106),"━","")))</f>
        <v/>
      </c>
      <c r="EV106" s="69" t="str">
        <f aca="false">IF($E106="","",IF($M106,IF(AND($G106&gt;=EV$5,$G106&lt;EV$5+GanttPeriod),"◆",IF(AND($E106&gt;=EV$5,$E106&lt;EV$5+GanttPeriod),"◇","")),IF(AND(EV$5&lt;=$F106,EV$5+GanttPeriod-1&gt;=$E106),"━","")))</f>
        <v/>
      </c>
      <c r="EW106" s="69" t="str">
        <f aca="false">IF($E106="","",IF($M106,IF(AND($G106&gt;=EW$5,$G106&lt;EW$5+GanttPeriod),"◆",IF(AND($E106&gt;=EW$5,$E106&lt;EW$5+GanttPeriod),"◇","")),IF(AND(EW$5&lt;=$F106,EW$5+GanttPeriod-1&gt;=$E106),"━","")))</f>
        <v/>
      </c>
      <c r="EX106" s="69" t="str">
        <f aca="false">IF($E106="","",IF($M106,IF(AND($G106&gt;=EX$5,$G106&lt;EX$5+GanttPeriod),"◆",IF(AND($E106&gt;=EX$5,$E106&lt;EX$5+GanttPeriod),"◇","")),IF(AND(EX$5&lt;=$F106,EX$5+GanttPeriod-1&gt;=$E106),"━","")))</f>
        <v/>
      </c>
      <c r="EY106" s="69" t="str">
        <f aca="false">IF($E106="","",IF($M106,IF(AND($G106&gt;=EY$5,$G106&lt;EY$5+GanttPeriod),"◆",IF(AND($E106&gt;=EY$5,$E106&lt;EY$5+GanttPeriod),"◇","")),IF(AND(EY$5&lt;=$F106,EY$5+GanttPeriod-1&gt;=$E106),"━","")))</f>
        <v/>
      </c>
      <c r="EZ106" s="69" t="str">
        <f aca="false">IF($E106="","",IF($M106,IF(AND($G106&gt;=EZ$5,$G106&lt;EZ$5+GanttPeriod),"◆",IF(AND($E106&gt;=EZ$5,$E106&lt;EZ$5+GanttPeriod),"◇","")),IF(AND(EZ$5&lt;=$F106,EZ$5+GanttPeriod-1&gt;=$E106),"━","")))</f>
        <v/>
      </c>
      <c r="FA106" s="69" t="str">
        <f aca="false">IF($E106="","",IF($M106,IF(AND($G106&gt;=FA$5,$G106&lt;FA$5+GanttPeriod),"◆",IF(AND($E106&gt;=FA$5,$E106&lt;FA$5+GanttPeriod),"◇","")),IF(AND(FA$5&lt;=$F106,FA$5+GanttPeriod-1&gt;=$E106),"━","")))</f>
        <v/>
      </c>
      <c r="FB106" s="69" t="str">
        <f aca="false">IF($E106="","",IF($M106,IF(AND($G106&gt;=FB$5,$G106&lt;FB$5+GanttPeriod),"◆",IF(AND($E106&gt;=FB$5,$E106&lt;FB$5+GanttPeriod),"◇","")),IF(AND(FB$5&lt;=$F106,FB$5+GanttPeriod-1&gt;=$E106),"━","")))</f>
        <v/>
      </c>
      <c r="FC106" s="69" t="str">
        <f aca="false">IF($E106="","",IF($M106,IF(AND($G106&gt;=FC$5,$G106&lt;FC$5+GanttPeriod),"◆",IF(AND($E106&gt;=FC$5,$E106&lt;FC$5+GanttPeriod),"◇","")),IF(AND(FC$5&lt;=$F106,FC$5+GanttPeriod-1&gt;=$E106),"━","")))</f>
        <v/>
      </c>
      <c r="FD106" s="69" t="str">
        <f aca="false">IF($E106="","",IF($M106,IF(AND($G106&gt;=FD$5,$G106&lt;FD$5+GanttPeriod),"◆",IF(AND($E106&gt;=FD$5,$E106&lt;FD$5+GanttPeriod),"◇","")),IF(AND(FD$5&lt;=$F106,FD$5+GanttPeriod-1&gt;=$E106),"━","")))</f>
        <v/>
      </c>
      <c r="FE106" s="69" t="str">
        <f aca="false">IF($E106="","",IF($M106,IF(AND($G106&gt;=FE$5,$G106&lt;FE$5+GanttPeriod),"◆",IF(AND($E106&gt;=FE$5,$E106&lt;FE$5+GanttPeriod),"◇","")),IF(AND(FE$5&lt;=$F106,FE$5+GanttPeriod-1&gt;=$E106),"━","")))</f>
        <v/>
      </c>
      <c r="FF106" s="69" t="str">
        <f aca="false">IF($E106="","",IF($M106,IF(AND($G106&gt;=FF$5,$G106&lt;FF$5+GanttPeriod),"◆",IF(AND($E106&gt;=FF$5,$E106&lt;FF$5+GanttPeriod),"◇","")),IF(AND(FF$5&lt;=$F106,FF$5+GanttPeriod-1&gt;=$E106),"━","")))</f>
        <v/>
      </c>
      <c r="FG106" s="69" t="str">
        <f aca="false">IF($E106="","",IF($M106,IF(AND($G106&gt;=FG$5,$G106&lt;FG$5+GanttPeriod),"◆",IF(AND($E106&gt;=FG$5,$E106&lt;FG$5+GanttPeriod),"◇","")),IF(AND(FG$5&lt;=$F106,FG$5+GanttPeriod-1&gt;=$E106),"━","")))</f>
        <v/>
      </c>
      <c r="FH106" s="69" t="str">
        <f aca="false">IF($E106="","",IF($M106,IF(AND($G106&gt;=FH$5,$G106&lt;FH$5+GanttPeriod),"◆",IF(AND($E106&gt;=FH$5,$E106&lt;FH$5+GanttPeriod),"◇","")),IF(AND(FH$5&lt;=$F106,FH$5+GanttPeriod-1&gt;=$E106),"━","")))</f>
        <v/>
      </c>
      <c r="FI106" s="69" t="str">
        <f aca="false">IF($E106="","",IF($M106,IF(AND($G106&gt;=FI$5,$G106&lt;FI$5+GanttPeriod),"◆",IF(AND($E106&gt;=FI$5,$E106&lt;FI$5+GanttPeriod),"◇","")),IF(AND(FI$5&lt;=$F106,FI$5+GanttPeriod-1&gt;=$E106),"━","")))</f>
        <v/>
      </c>
      <c r="FJ106" s="69" t="str">
        <f aca="false">IF($E106="","",IF($M106,IF(AND($G106&gt;=FJ$5,$G106&lt;FJ$5+GanttPeriod),"◆",IF(AND($E106&gt;=FJ$5,$E106&lt;FJ$5+GanttPeriod),"◇","")),IF(AND(FJ$5&lt;=$F106,FJ$5+GanttPeriod-1&gt;=$E106),"━","")))</f>
        <v/>
      </c>
      <c r="FK106" s="69" t="str">
        <f aca="false">IF($E106="","",IF($M106,IF(AND($G106&gt;=FK$5,$G106&lt;FK$5+GanttPeriod),"◆",IF(AND($E106&gt;=FK$5,$E106&lt;FK$5+GanttPeriod),"◇","")),IF(AND(FK$5&lt;=$F106,FK$5+GanttPeriod-1&gt;=$E106),"━","")))</f>
        <v/>
      </c>
      <c r="FL106" s="69" t="str">
        <f aca="false">IF($E106="","",IF($M106,IF(AND($G106&gt;=FL$5,$G106&lt;FL$5+GanttPeriod),"◆",IF(AND($E106&gt;=FL$5,$E106&lt;FL$5+GanttPeriod),"◇","")),IF(AND(FL$5&lt;=$F106,FL$5+GanttPeriod-1&gt;=$E106),"━","")))</f>
        <v/>
      </c>
      <c r="FM106" s="69" t="str">
        <f aca="false">IF($E106="","",IF($M106,IF(AND($G106&gt;=FM$5,$G106&lt;FM$5+GanttPeriod),"◆",IF(AND($E106&gt;=FM$5,$E106&lt;FM$5+GanttPeriod),"◇","")),IF(AND(FM$5&lt;=$F106,FM$5+GanttPeriod-1&gt;=$E106),"━","")))</f>
        <v/>
      </c>
    </row>
    <row r="107" customFormat="false" ht="15" hidden="false" customHeight="false" outlineLevel="0" collapsed="false">
      <c r="A107" s="62" t="str">
        <f aca="false">IF(Tasks!$D107="","",Tasks!$A107)</f>
        <v/>
      </c>
      <c r="B107" s="62" t="str">
        <f aca="false">IF(Tasks!$D107="","",Tasks!$B107)</f>
        <v/>
      </c>
      <c r="C107" s="63" t="str">
        <f aca="false">IF(Tasks!$D107="","",REPT("    ",Tasks!$AE107-1)&amp;Tasks!$D107)</f>
        <v/>
      </c>
      <c r="D107" s="62" t="str">
        <f aca="false">IF(Tasks!$D107="","",IF(Tasks!$AI107,NETWORKDAYS.INTL(Tasks!$R107,Tasks!$S107,WorkWeek,Holidays),N(Tasks!$F107)))</f>
        <v/>
      </c>
      <c r="E107" s="64" t="str">
        <f aca="false">IF(Tasks!$D107="","",Tasks!$N107)</f>
        <v/>
      </c>
      <c r="F107" s="64" t="str">
        <f aca="false">IF(Tasks!$D107="","",Tasks!$O107)</f>
        <v/>
      </c>
      <c r="G107" s="64" t="str">
        <f aca="false">IF(Tasks!$D107="","",Tasks!$R107)</f>
        <v/>
      </c>
      <c r="H107" s="64" t="str">
        <f aca="false">IF(Tasks!$D107="","",Tasks!$S107)</f>
        <v/>
      </c>
      <c r="I107" s="65" t="str">
        <f aca="false">IF(Tasks!$D107="","",Tasks!$V107)</f>
        <v/>
      </c>
      <c r="J107" s="63" t="str">
        <f aca="false">IF(Tasks!$D107="","",Tasks!$X107&amp;"")</f>
        <v/>
      </c>
      <c r="K107" s="66" t="str">
        <f aca="false">IF(Tasks!$D107="","",Tasks!$W107)</f>
        <v/>
      </c>
      <c r="L107" s="67" t="b">
        <f aca="false">IF(Tasks!$D107="",FALSE(),Tasks!$AI107)</f>
        <v>0</v>
      </c>
      <c r="M107" s="67" t="b">
        <f aca="false">AND(Tasks!$AJ107=1,N(Tasks!$F107)=0)</f>
        <v>0</v>
      </c>
      <c r="N107" s="68" t="n">
        <f aca="false">IF(AND(Tasks!$AJ107=1,NOT($M107),N($I107)&gt;0),$G107,0)</f>
        <v>0</v>
      </c>
      <c r="O107" s="68" t="n">
        <f aca="false">IF($N107=0,0,IF($I107&gt;=1,$H107,MAX($N107,$G107+ROUND(($H107-$G107+1)*$I107,0)-1)))</f>
        <v>0</v>
      </c>
      <c r="P107" s="68" t="n">
        <f aca="false">IF(OR(Tasks!$AJ107&lt;&gt;1,$M107,N($I107)&gt;=1),0,IF($O107&gt;0,$O107+1,$G107))</f>
        <v>0</v>
      </c>
      <c r="Q107" s="68" t="n">
        <f aca="false">IF($P107=0,0,$H107)</f>
        <v>0</v>
      </c>
      <c r="R107" s="67" t="b">
        <f aca="false">AND(Tasks!$D107&lt;&gt;"",N(Tasks!$T107)&gt;0)</f>
        <v>0</v>
      </c>
      <c r="T107" s="69" t="str">
        <f aca="false">IF($E107="","",IF($M107,IF(AND($G107&gt;=T$5,$G107&lt;T$5+GanttPeriod),"◆",IF(AND($E107&gt;=T$5,$E107&lt;T$5+GanttPeriod),"◇","")),IF(AND(T$5&lt;=$F107,T$5+GanttPeriod-1&gt;=$E107),"━","")))</f>
        <v/>
      </c>
      <c r="U107" s="69" t="str">
        <f aca="false">IF($E107="","",IF($M107,IF(AND($G107&gt;=U$5,$G107&lt;U$5+GanttPeriod),"◆",IF(AND($E107&gt;=U$5,$E107&lt;U$5+GanttPeriod),"◇","")),IF(AND(U$5&lt;=$F107,U$5+GanttPeriod-1&gt;=$E107),"━","")))</f>
        <v/>
      </c>
      <c r="V107" s="69" t="str">
        <f aca="false">IF($E107="","",IF($M107,IF(AND($G107&gt;=V$5,$G107&lt;V$5+GanttPeriod),"◆",IF(AND($E107&gt;=V$5,$E107&lt;V$5+GanttPeriod),"◇","")),IF(AND(V$5&lt;=$F107,V$5+GanttPeriod-1&gt;=$E107),"━","")))</f>
        <v/>
      </c>
      <c r="W107" s="69" t="str">
        <f aca="false">IF($E107="","",IF($M107,IF(AND($G107&gt;=W$5,$G107&lt;W$5+GanttPeriod),"◆",IF(AND($E107&gt;=W$5,$E107&lt;W$5+GanttPeriod),"◇","")),IF(AND(W$5&lt;=$F107,W$5+GanttPeriod-1&gt;=$E107),"━","")))</f>
        <v/>
      </c>
      <c r="X107" s="69" t="str">
        <f aca="false">IF($E107="","",IF($M107,IF(AND($G107&gt;=X$5,$G107&lt;X$5+GanttPeriod),"◆",IF(AND($E107&gt;=X$5,$E107&lt;X$5+GanttPeriod),"◇","")),IF(AND(X$5&lt;=$F107,X$5+GanttPeriod-1&gt;=$E107),"━","")))</f>
        <v/>
      </c>
      <c r="Y107" s="69" t="str">
        <f aca="false">IF($E107="","",IF($M107,IF(AND($G107&gt;=Y$5,$G107&lt;Y$5+GanttPeriod),"◆",IF(AND($E107&gt;=Y$5,$E107&lt;Y$5+GanttPeriod),"◇","")),IF(AND(Y$5&lt;=$F107,Y$5+GanttPeriod-1&gt;=$E107),"━","")))</f>
        <v/>
      </c>
      <c r="Z107" s="69" t="str">
        <f aca="false">IF($E107="","",IF($M107,IF(AND($G107&gt;=Z$5,$G107&lt;Z$5+GanttPeriod),"◆",IF(AND($E107&gt;=Z$5,$E107&lt;Z$5+GanttPeriod),"◇","")),IF(AND(Z$5&lt;=$F107,Z$5+GanttPeriod-1&gt;=$E107),"━","")))</f>
        <v/>
      </c>
      <c r="AA107" s="69" t="str">
        <f aca="false">IF($E107="","",IF($M107,IF(AND($G107&gt;=AA$5,$G107&lt;AA$5+GanttPeriod),"◆",IF(AND($E107&gt;=AA$5,$E107&lt;AA$5+GanttPeriod),"◇","")),IF(AND(AA$5&lt;=$F107,AA$5+GanttPeriod-1&gt;=$E107),"━","")))</f>
        <v/>
      </c>
      <c r="AB107" s="69" t="str">
        <f aca="false">IF($E107="","",IF($M107,IF(AND($G107&gt;=AB$5,$G107&lt;AB$5+GanttPeriod),"◆",IF(AND($E107&gt;=AB$5,$E107&lt;AB$5+GanttPeriod),"◇","")),IF(AND(AB$5&lt;=$F107,AB$5+GanttPeriod-1&gt;=$E107),"━","")))</f>
        <v/>
      </c>
      <c r="AC107" s="69" t="str">
        <f aca="false">IF($E107="","",IF($M107,IF(AND($G107&gt;=AC$5,$G107&lt;AC$5+GanttPeriod),"◆",IF(AND($E107&gt;=AC$5,$E107&lt;AC$5+GanttPeriod),"◇","")),IF(AND(AC$5&lt;=$F107,AC$5+GanttPeriod-1&gt;=$E107),"━","")))</f>
        <v/>
      </c>
      <c r="AD107" s="69" t="str">
        <f aca="false">IF($E107="","",IF($M107,IF(AND($G107&gt;=AD$5,$G107&lt;AD$5+GanttPeriod),"◆",IF(AND($E107&gt;=AD$5,$E107&lt;AD$5+GanttPeriod),"◇","")),IF(AND(AD$5&lt;=$F107,AD$5+GanttPeriod-1&gt;=$E107),"━","")))</f>
        <v/>
      </c>
      <c r="AE107" s="69" t="str">
        <f aca="false">IF($E107="","",IF($M107,IF(AND($G107&gt;=AE$5,$G107&lt;AE$5+GanttPeriod),"◆",IF(AND($E107&gt;=AE$5,$E107&lt;AE$5+GanttPeriod),"◇","")),IF(AND(AE$5&lt;=$F107,AE$5+GanttPeriod-1&gt;=$E107),"━","")))</f>
        <v/>
      </c>
      <c r="AF107" s="69" t="str">
        <f aca="false">IF($E107="","",IF($M107,IF(AND($G107&gt;=AF$5,$G107&lt;AF$5+GanttPeriod),"◆",IF(AND($E107&gt;=AF$5,$E107&lt;AF$5+GanttPeriod),"◇","")),IF(AND(AF$5&lt;=$F107,AF$5+GanttPeriod-1&gt;=$E107),"━","")))</f>
        <v/>
      </c>
      <c r="AG107" s="69" t="str">
        <f aca="false">IF($E107="","",IF($M107,IF(AND($G107&gt;=AG$5,$G107&lt;AG$5+GanttPeriod),"◆",IF(AND($E107&gt;=AG$5,$E107&lt;AG$5+GanttPeriod),"◇","")),IF(AND(AG$5&lt;=$F107,AG$5+GanttPeriod-1&gt;=$E107),"━","")))</f>
        <v/>
      </c>
      <c r="AH107" s="69" t="str">
        <f aca="false">IF($E107="","",IF($M107,IF(AND($G107&gt;=AH$5,$G107&lt;AH$5+GanttPeriod),"◆",IF(AND($E107&gt;=AH$5,$E107&lt;AH$5+GanttPeriod),"◇","")),IF(AND(AH$5&lt;=$F107,AH$5+GanttPeriod-1&gt;=$E107),"━","")))</f>
        <v/>
      </c>
      <c r="AI107" s="69" t="str">
        <f aca="false">IF($E107="","",IF($M107,IF(AND($G107&gt;=AI$5,$G107&lt;AI$5+GanttPeriod),"◆",IF(AND($E107&gt;=AI$5,$E107&lt;AI$5+GanttPeriod),"◇","")),IF(AND(AI$5&lt;=$F107,AI$5+GanttPeriod-1&gt;=$E107),"━","")))</f>
        <v/>
      </c>
      <c r="AJ107" s="69" t="str">
        <f aca="false">IF($E107="","",IF($M107,IF(AND($G107&gt;=AJ$5,$G107&lt;AJ$5+GanttPeriod),"◆",IF(AND($E107&gt;=AJ$5,$E107&lt;AJ$5+GanttPeriod),"◇","")),IF(AND(AJ$5&lt;=$F107,AJ$5+GanttPeriod-1&gt;=$E107),"━","")))</f>
        <v/>
      </c>
      <c r="AK107" s="69" t="str">
        <f aca="false">IF($E107="","",IF($M107,IF(AND($G107&gt;=AK$5,$G107&lt;AK$5+GanttPeriod),"◆",IF(AND($E107&gt;=AK$5,$E107&lt;AK$5+GanttPeriod),"◇","")),IF(AND(AK$5&lt;=$F107,AK$5+GanttPeriod-1&gt;=$E107),"━","")))</f>
        <v/>
      </c>
      <c r="AL107" s="69" t="str">
        <f aca="false">IF($E107="","",IF($M107,IF(AND($G107&gt;=AL$5,$G107&lt;AL$5+GanttPeriod),"◆",IF(AND($E107&gt;=AL$5,$E107&lt;AL$5+GanttPeriod),"◇","")),IF(AND(AL$5&lt;=$F107,AL$5+GanttPeriod-1&gt;=$E107),"━","")))</f>
        <v/>
      </c>
      <c r="AM107" s="69" t="str">
        <f aca="false">IF($E107="","",IF($M107,IF(AND($G107&gt;=AM$5,$G107&lt;AM$5+GanttPeriod),"◆",IF(AND($E107&gt;=AM$5,$E107&lt;AM$5+GanttPeriod),"◇","")),IF(AND(AM$5&lt;=$F107,AM$5+GanttPeriod-1&gt;=$E107),"━","")))</f>
        <v/>
      </c>
      <c r="AN107" s="69" t="str">
        <f aca="false">IF($E107="","",IF($M107,IF(AND($G107&gt;=AN$5,$G107&lt;AN$5+GanttPeriod),"◆",IF(AND($E107&gt;=AN$5,$E107&lt;AN$5+GanttPeriod),"◇","")),IF(AND(AN$5&lt;=$F107,AN$5+GanttPeriod-1&gt;=$E107),"━","")))</f>
        <v/>
      </c>
      <c r="AO107" s="69" t="str">
        <f aca="false">IF($E107="","",IF($M107,IF(AND($G107&gt;=AO$5,$G107&lt;AO$5+GanttPeriod),"◆",IF(AND($E107&gt;=AO$5,$E107&lt;AO$5+GanttPeriod),"◇","")),IF(AND(AO$5&lt;=$F107,AO$5+GanttPeriod-1&gt;=$E107),"━","")))</f>
        <v/>
      </c>
      <c r="AP107" s="69" t="str">
        <f aca="false">IF($E107="","",IF($M107,IF(AND($G107&gt;=AP$5,$G107&lt;AP$5+GanttPeriod),"◆",IF(AND($E107&gt;=AP$5,$E107&lt;AP$5+GanttPeriod),"◇","")),IF(AND(AP$5&lt;=$F107,AP$5+GanttPeriod-1&gt;=$E107),"━","")))</f>
        <v/>
      </c>
      <c r="AQ107" s="69" t="str">
        <f aca="false">IF($E107="","",IF($M107,IF(AND($G107&gt;=AQ$5,$G107&lt;AQ$5+GanttPeriod),"◆",IF(AND($E107&gt;=AQ$5,$E107&lt;AQ$5+GanttPeriod),"◇","")),IF(AND(AQ$5&lt;=$F107,AQ$5+GanttPeriod-1&gt;=$E107),"━","")))</f>
        <v/>
      </c>
      <c r="AR107" s="69" t="str">
        <f aca="false">IF($E107="","",IF($M107,IF(AND($G107&gt;=AR$5,$G107&lt;AR$5+GanttPeriod),"◆",IF(AND($E107&gt;=AR$5,$E107&lt;AR$5+GanttPeriod),"◇","")),IF(AND(AR$5&lt;=$F107,AR$5+GanttPeriod-1&gt;=$E107),"━","")))</f>
        <v/>
      </c>
      <c r="AS107" s="69" t="str">
        <f aca="false">IF($E107="","",IF($M107,IF(AND($G107&gt;=AS$5,$G107&lt;AS$5+GanttPeriod),"◆",IF(AND($E107&gt;=AS$5,$E107&lt;AS$5+GanttPeriod),"◇","")),IF(AND(AS$5&lt;=$F107,AS$5+GanttPeriod-1&gt;=$E107),"━","")))</f>
        <v/>
      </c>
      <c r="AT107" s="69" t="str">
        <f aca="false">IF($E107="","",IF($M107,IF(AND($G107&gt;=AT$5,$G107&lt;AT$5+GanttPeriod),"◆",IF(AND($E107&gt;=AT$5,$E107&lt;AT$5+GanttPeriod),"◇","")),IF(AND(AT$5&lt;=$F107,AT$5+GanttPeriod-1&gt;=$E107),"━","")))</f>
        <v/>
      </c>
      <c r="AU107" s="69" t="str">
        <f aca="false">IF($E107="","",IF($M107,IF(AND($G107&gt;=AU$5,$G107&lt;AU$5+GanttPeriod),"◆",IF(AND($E107&gt;=AU$5,$E107&lt;AU$5+GanttPeriod),"◇","")),IF(AND(AU$5&lt;=$F107,AU$5+GanttPeriod-1&gt;=$E107),"━","")))</f>
        <v/>
      </c>
      <c r="AV107" s="69" t="str">
        <f aca="false">IF($E107="","",IF($M107,IF(AND($G107&gt;=AV$5,$G107&lt;AV$5+GanttPeriod),"◆",IF(AND($E107&gt;=AV$5,$E107&lt;AV$5+GanttPeriod),"◇","")),IF(AND(AV$5&lt;=$F107,AV$5+GanttPeriod-1&gt;=$E107),"━","")))</f>
        <v/>
      </c>
      <c r="AW107" s="69" t="str">
        <f aca="false">IF($E107="","",IF($M107,IF(AND($G107&gt;=AW$5,$G107&lt;AW$5+GanttPeriod),"◆",IF(AND($E107&gt;=AW$5,$E107&lt;AW$5+GanttPeriod),"◇","")),IF(AND(AW$5&lt;=$F107,AW$5+GanttPeriod-1&gt;=$E107),"━","")))</f>
        <v/>
      </c>
      <c r="AX107" s="69" t="str">
        <f aca="false">IF($E107="","",IF($M107,IF(AND($G107&gt;=AX$5,$G107&lt;AX$5+GanttPeriod),"◆",IF(AND($E107&gt;=AX$5,$E107&lt;AX$5+GanttPeriod),"◇","")),IF(AND(AX$5&lt;=$F107,AX$5+GanttPeriod-1&gt;=$E107),"━","")))</f>
        <v/>
      </c>
      <c r="AY107" s="69" t="str">
        <f aca="false">IF($E107="","",IF($M107,IF(AND($G107&gt;=AY$5,$G107&lt;AY$5+GanttPeriod),"◆",IF(AND($E107&gt;=AY$5,$E107&lt;AY$5+GanttPeriod),"◇","")),IF(AND(AY$5&lt;=$F107,AY$5+GanttPeriod-1&gt;=$E107),"━","")))</f>
        <v/>
      </c>
      <c r="AZ107" s="69" t="str">
        <f aca="false">IF($E107="","",IF($M107,IF(AND($G107&gt;=AZ$5,$G107&lt;AZ$5+GanttPeriod),"◆",IF(AND($E107&gt;=AZ$5,$E107&lt;AZ$5+GanttPeriod),"◇","")),IF(AND(AZ$5&lt;=$F107,AZ$5+GanttPeriod-1&gt;=$E107),"━","")))</f>
        <v/>
      </c>
      <c r="BA107" s="69" t="str">
        <f aca="false">IF($E107="","",IF($M107,IF(AND($G107&gt;=BA$5,$G107&lt;BA$5+GanttPeriod),"◆",IF(AND($E107&gt;=BA$5,$E107&lt;BA$5+GanttPeriod),"◇","")),IF(AND(BA$5&lt;=$F107,BA$5+GanttPeriod-1&gt;=$E107),"━","")))</f>
        <v/>
      </c>
      <c r="BB107" s="69" t="str">
        <f aca="false">IF($E107="","",IF($M107,IF(AND($G107&gt;=BB$5,$G107&lt;BB$5+GanttPeriod),"◆",IF(AND($E107&gt;=BB$5,$E107&lt;BB$5+GanttPeriod),"◇","")),IF(AND(BB$5&lt;=$F107,BB$5+GanttPeriod-1&gt;=$E107),"━","")))</f>
        <v/>
      </c>
      <c r="BC107" s="69" t="str">
        <f aca="false">IF($E107="","",IF($M107,IF(AND($G107&gt;=BC$5,$G107&lt;BC$5+GanttPeriod),"◆",IF(AND($E107&gt;=BC$5,$E107&lt;BC$5+GanttPeriod),"◇","")),IF(AND(BC$5&lt;=$F107,BC$5+GanttPeriod-1&gt;=$E107),"━","")))</f>
        <v/>
      </c>
      <c r="BD107" s="69" t="str">
        <f aca="false">IF($E107="","",IF($M107,IF(AND($G107&gt;=BD$5,$G107&lt;BD$5+GanttPeriod),"◆",IF(AND($E107&gt;=BD$5,$E107&lt;BD$5+GanttPeriod),"◇","")),IF(AND(BD$5&lt;=$F107,BD$5+GanttPeriod-1&gt;=$E107),"━","")))</f>
        <v/>
      </c>
      <c r="BE107" s="69" t="str">
        <f aca="false">IF($E107="","",IF($M107,IF(AND($G107&gt;=BE$5,$G107&lt;BE$5+GanttPeriod),"◆",IF(AND($E107&gt;=BE$5,$E107&lt;BE$5+GanttPeriod),"◇","")),IF(AND(BE$5&lt;=$F107,BE$5+GanttPeriod-1&gt;=$E107),"━","")))</f>
        <v/>
      </c>
      <c r="BF107" s="69" t="str">
        <f aca="false">IF($E107="","",IF($M107,IF(AND($G107&gt;=BF$5,$G107&lt;BF$5+GanttPeriod),"◆",IF(AND($E107&gt;=BF$5,$E107&lt;BF$5+GanttPeriod),"◇","")),IF(AND(BF$5&lt;=$F107,BF$5+GanttPeriod-1&gt;=$E107),"━","")))</f>
        <v/>
      </c>
      <c r="BG107" s="69" t="str">
        <f aca="false">IF($E107="","",IF($M107,IF(AND($G107&gt;=BG$5,$G107&lt;BG$5+GanttPeriod),"◆",IF(AND($E107&gt;=BG$5,$E107&lt;BG$5+GanttPeriod),"◇","")),IF(AND(BG$5&lt;=$F107,BG$5+GanttPeriod-1&gt;=$E107),"━","")))</f>
        <v/>
      </c>
      <c r="BH107" s="69" t="str">
        <f aca="false">IF($E107="","",IF($M107,IF(AND($G107&gt;=BH$5,$G107&lt;BH$5+GanttPeriod),"◆",IF(AND($E107&gt;=BH$5,$E107&lt;BH$5+GanttPeriod),"◇","")),IF(AND(BH$5&lt;=$F107,BH$5+GanttPeriod-1&gt;=$E107),"━","")))</f>
        <v/>
      </c>
      <c r="BI107" s="69" t="str">
        <f aca="false">IF($E107="","",IF($M107,IF(AND($G107&gt;=BI$5,$G107&lt;BI$5+GanttPeriod),"◆",IF(AND($E107&gt;=BI$5,$E107&lt;BI$5+GanttPeriod),"◇","")),IF(AND(BI$5&lt;=$F107,BI$5+GanttPeriod-1&gt;=$E107),"━","")))</f>
        <v/>
      </c>
      <c r="BJ107" s="69" t="str">
        <f aca="false">IF($E107="","",IF($M107,IF(AND($G107&gt;=BJ$5,$G107&lt;BJ$5+GanttPeriod),"◆",IF(AND($E107&gt;=BJ$5,$E107&lt;BJ$5+GanttPeriod),"◇","")),IF(AND(BJ$5&lt;=$F107,BJ$5+GanttPeriod-1&gt;=$E107),"━","")))</f>
        <v/>
      </c>
      <c r="BK107" s="69" t="str">
        <f aca="false">IF($E107="","",IF($M107,IF(AND($G107&gt;=BK$5,$G107&lt;BK$5+GanttPeriod),"◆",IF(AND($E107&gt;=BK$5,$E107&lt;BK$5+GanttPeriod),"◇","")),IF(AND(BK$5&lt;=$F107,BK$5+GanttPeriod-1&gt;=$E107),"━","")))</f>
        <v/>
      </c>
      <c r="BL107" s="69" t="str">
        <f aca="false">IF($E107="","",IF($M107,IF(AND($G107&gt;=BL$5,$G107&lt;BL$5+GanttPeriod),"◆",IF(AND($E107&gt;=BL$5,$E107&lt;BL$5+GanttPeriod),"◇","")),IF(AND(BL$5&lt;=$F107,BL$5+GanttPeriod-1&gt;=$E107),"━","")))</f>
        <v/>
      </c>
      <c r="BM107" s="69" t="str">
        <f aca="false">IF($E107="","",IF($M107,IF(AND($G107&gt;=BM$5,$G107&lt;BM$5+GanttPeriod),"◆",IF(AND($E107&gt;=BM$5,$E107&lt;BM$5+GanttPeriod),"◇","")),IF(AND(BM$5&lt;=$F107,BM$5+GanttPeriod-1&gt;=$E107),"━","")))</f>
        <v/>
      </c>
      <c r="BN107" s="69" t="str">
        <f aca="false">IF($E107="","",IF($M107,IF(AND($G107&gt;=BN$5,$G107&lt;BN$5+GanttPeriod),"◆",IF(AND($E107&gt;=BN$5,$E107&lt;BN$5+GanttPeriod),"◇","")),IF(AND(BN$5&lt;=$F107,BN$5+GanttPeriod-1&gt;=$E107),"━","")))</f>
        <v/>
      </c>
      <c r="BO107" s="69" t="str">
        <f aca="false">IF($E107="","",IF($M107,IF(AND($G107&gt;=BO$5,$G107&lt;BO$5+GanttPeriod),"◆",IF(AND($E107&gt;=BO$5,$E107&lt;BO$5+GanttPeriod),"◇","")),IF(AND(BO$5&lt;=$F107,BO$5+GanttPeriod-1&gt;=$E107),"━","")))</f>
        <v/>
      </c>
      <c r="BP107" s="69" t="str">
        <f aca="false">IF($E107="","",IF($M107,IF(AND($G107&gt;=BP$5,$G107&lt;BP$5+GanttPeriod),"◆",IF(AND($E107&gt;=BP$5,$E107&lt;BP$5+GanttPeriod),"◇","")),IF(AND(BP$5&lt;=$F107,BP$5+GanttPeriod-1&gt;=$E107),"━","")))</f>
        <v/>
      </c>
      <c r="BQ107" s="69" t="str">
        <f aca="false">IF($E107="","",IF($M107,IF(AND($G107&gt;=BQ$5,$G107&lt;BQ$5+GanttPeriod),"◆",IF(AND($E107&gt;=BQ$5,$E107&lt;BQ$5+GanttPeriod),"◇","")),IF(AND(BQ$5&lt;=$F107,BQ$5+GanttPeriod-1&gt;=$E107),"━","")))</f>
        <v/>
      </c>
      <c r="BR107" s="69" t="str">
        <f aca="false">IF($E107="","",IF($M107,IF(AND($G107&gt;=BR$5,$G107&lt;BR$5+GanttPeriod),"◆",IF(AND($E107&gt;=BR$5,$E107&lt;BR$5+GanttPeriod),"◇","")),IF(AND(BR$5&lt;=$F107,BR$5+GanttPeriod-1&gt;=$E107),"━","")))</f>
        <v/>
      </c>
      <c r="BS107" s="69" t="str">
        <f aca="false">IF($E107="","",IF($M107,IF(AND($G107&gt;=BS$5,$G107&lt;BS$5+GanttPeriod),"◆",IF(AND($E107&gt;=BS$5,$E107&lt;BS$5+GanttPeriod),"◇","")),IF(AND(BS$5&lt;=$F107,BS$5+GanttPeriod-1&gt;=$E107),"━","")))</f>
        <v/>
      </c>
      <c r="BT107" s="69" t="str">
        <f aca="false">IF($E107="","",IF($M107,IF(AND($G107&gt;=BT$5,$G107&lt;BT$5+GanttPeriod),"◆",IF(AND($E107&gt;=BT$5,$E107&lt;BT$5+GanttPeriod),"◇","")),IF(AND(BT$5&lt;=$F107,BT$5+GanttPeriod-1&gt;=$E107),"━","")))</f>
        <v/>
      </c>
      <c r="BU107" s="69" t="str">
        <f aca="false">IF($E107="","",IF($M107,IF(AND($G107&gt;=BU$5,$G107&lt;BU$5+GanttPeriod),"◆",IF(AND($E107&gt;=BU$5,$E107&lt;BU$5+GanttPeriod),"◇","")),IF(AND(BU$5&lt;=$F107,BU$5+GanttPeriod-1&gt;=$E107),"━","")))</f>
        <v/>
      </c>
      <c r="BV107" s="69" t="str">
        <f aca="false">IF($E107="","",IF($M107,IF(AND($G107&gt;=BV$5,$G107&lt;BV$5+GanttPeriod),"◆",IF(AND($E107&gt;=BV$5,$E107&lt;BV$5+GanttPeriod),"◇","")),IF(AND(BV$5&lt;=$F107,BV$5+GanttPeriod-1&gt;=$E107),"━","")))</f>
        <v/>
      </c>
      <c r="BW107" s="69" t="str">
        <f aca="false">IF($E107="","",IF($M107,IF(AND($G107&gt;=BW$5,$G107&lt;BW$5+GanttPeriod),"◆",IF(AND($E107&gt;=BW$5,$E107&lt;BW$5+GanttPeriod),"◇","")),IF(AND(BW$5&lt;=$F107,BW$5+GanttPeriod-1&gt;=$E107),"━","")))</f>
        <v/>
      </c>
      <c r="BX107" s="69" t="str">
        <f aca="false">IF($E107="","",IF($M107,IF(AND($G107&gt;=BX$5,$G107&lt;BX$5+GanttPeriod),"◆",IF(AND($E107&gt;=BX$5,$E107&lt;BX$5+GanttPeriod),"◇","")),IF(AND(BX$5&lt;=$F107,BX$5+GanttPeriod-1&gt;=$E107),"━","")))</f>
        <v/>
      </c>
      <c r="BY107" s="69" t="str">
        <f aca="false">IF($E107="","",IF($M107,IF(AND($G107&gt;=BY$5,$G107&lt;BY$5+GanttPeriod),"◆",IF(AND($E107&gt;=BY$5,$E107&lt;BY$5+GanttPeriod),"◇","")),IF(AND(BY$5&lt;=$F107,BY$5+GanttPeriod-1&gt;=$E107),"━","")))</f>
        <v/>
      </c>
      <c r="BZ107" s="69" t="str">
        <f aca="false">IF($E107="","",IF($M107,IF(AND($G107&gt;=BZ$5,$G107&lt;BZ$5+GanttPeriod),"◆",IF(AND($E107&gt;=BZ$5,$E107&lt;BZ$5+GanttPeriod),"◇","")),IF(AND(BZ$5&lt;=$F107,BZ$5+GanttPeriod-1&gt;=$E107),"━","")))</f>
        <v/>
      </c>
      <c r="CA107" s="69" t="str">
        <f aca="false">IF($E107="","",IF($M107,IF(AND($G107&gt;=CA$5,$G107&lt;CA$5+GanttPeriod),"◆",IF(AND($E107&gt;=CA$5,$E107&lt;CA$5+GanttPeriod),"◇","")),IF(AND(CA$5&lt;=$F107,CA$5+GanttPeriod-1&gt;=$E107),"━","")))</f>
        <v/>
      </c>
      <c r="CB107" s="69" t="str">
        <f aca="false">IF($E107="","",IF($M107,IF(AND($G107&gt;=CB$5,$G107&lt;CB$5+GanttPeriod),"◆",IF(AND($E107&gt;=CB$5,$E107&lt;CB$5+GanttPeriod),"◇","")),IF(AND(CB$5&lt;=$F107,CB$5+GanttPeriod-1&gt;=$E107),"━","")))</f>
        <v/>
      </c>
      <c r="CC107" s="69" t="str">
        <f aca="false">IF($E107="","",IF($M107,IF(AND($G107&gt;=CC$5,$G107&lt;CC$5+GanttPeriod),"◆",IF(AND($E107&gt;=CC$5,$E107&lt;CC$5+GanttPeriod),"◇","")),IF(AND(CC$5&lt;=$F107,CC$5+GanttPeriod-1&gt;=$E107),"━","")))</f>
        <v/>
      </c>
      <c r="CD107" s="69" t="str">
        <f aca="false">IF($E107="","",IF($M107,IF(AND($G107&gt;=CD$5,$G107&lt;CD$5+GanttPeriod),"◆",IF(AND($E107&gt;=CD$5,$E107&lt;CD$5+GanttPeriod),"◇","")),IF(AND(CD$5&lt;=$F107,CD$5+GanttPeriod-1&gt;=$E107),"━","")))</f>
        <v/>
      </c>
      <c r="CE107" s="69" t="str">
        <f aca="false">IF($E107="","",IF($M107,IF(AND($G107&gt;=CE$5,$G107&lt;CE$5+GanttPeriod),"◆",IF(AND($E107&gt;=CE$5,$E107&lt;CE$5+GanttPeriod),"◇","")),IF(AND(CE$5&lt;=$F107,CE$5+GanttPeriod-1&gt;=$E107),"━","")))</f>
        <v/>
      </c>
      <c r="CF107" s="69" t="str">
        <f aca="false">IF($E107="","",IF($M107,IF(AND($G107&gt;=CF$5,$G107&lt;CF$5+GanttPeriod),"◆",IF(AND($E107&gt;=CF$5,$E107&lt;CF$5+GanttPeriod),"◇","")),IF(AND(CF$5&lt;=$F107,CF$5+GanttPeriod-1&gt;=$E107),"━","")))</f>
        <v/>
      </c>
      <c r="CG107" s="69" t="str">
        <f aca="false">IF($E107="","",IF($M107,IF(AND($G107&gt;=CG$5,$G107&lt;CG$5+GanttPeriod),"◆",IF(AND($E107&gt;=CG$5,$E107&lt;CG$5+GanttPeriod),"◇","")),IF(AND(CG$5&lt;=$F107,CG$5+GanttPeriod-1&gt;=$E107),"━","")))</f>
        <v/>
      </c>
      <c r="CH107" s="69" t="str">
        <f aca="false">IF($E107="","",IF($M107,IF(AND($G107&gt;=CH$5,$G107&lt;CH$5+GanttPeriod),"◆",IF(AND($E107&gt;=CH$5,$E107&lt;CH$5+GanttPeriod),"◇","")),IF(AND(CH$5&lt;=$F107,CH$5+GanttPeriod-1&gt;=$E107),"━","")))</f>
        <v/>
      </c>
      <c r="CI107" s="69" t="str">
        <f aca="false">IF($E107="","",IF($M107,IF(AND($G107&gt;=CI$5,$G107&lt;CI$5+GanttPeriod),"◆",IF(AND($E107&gt;=CI$5,$E107&lt;CI$5+GanttPeriod),"◇","")),IF(AND(CI$5&lt;=$F107,CI$5+GanttPeriod-1&gt;=$E107),"━","")))</f>
        <v/>
      </c>
      <c r="CJ107" s="69" t="str">
        <f aca="false">IF($E107="","",IF($M107,IF(AND($G107&gt;=CJ$5,$G107&lt;CJ$5+GanttPeriod),"◆",IF(AND($E107&gt;=CJ$5,$E107&lt;CJ$5+GanttPeriod),"◇","")),IF(AND(CJ$5&lt;=$F107,CJ$5+GanttPeriod-1&gt;=$E107),"━","")))</f>
        <v/>
      </c>
      <c r="CK107" s="69" t="str">
        <f aca="false">IF($E107="","",IF($M107,IF(AND($G107&gt;=CK$5,$G107&lt;CK$5+GanttPeriod),"◆",IF(AND($E107&gt;=CK$5,$E107&lt;CK$5+GanttPeriod),"◇","")),IF(AND(CK$5&lt;=$F107,CK$5+GanttPeriod-1&gt;=$E107),"━","")))</f>
        <v/>
      </c>
      <c r="CL107" s="69" t="str">
        <f aca="false">IF($E107="","",IF($M107,IF(AND($G107&gt;=CL$5,$G107&lt;CL$5+GanttPeriod),"◆",IF(AND($E107&gt;=CL$5,$E107&lt;CL$5+GanttPeriod),"◇","")),IF(AND(CL$5&lt;=$F107,CL$5+GanttPeriod-1&gt;=$E107),"━","")))</f>
        <v/>
      </c>
      <c r="CM107" s="69" t="str">
        <f aca="false">IF($E107="","",IF($M107,IF(AND($G107&gt;=CM$5,$G107&lt;CM$5+GanttPeriod),"◆",IF(AND($E107&gt;=CM$5,$E107&lt;CM$5+GanttPeriod),"◇","")),IF(AND(CM$5&lt;=$F107,CM$5+GanttPeriod-1&gt;=$E107),"━","")))</f>
        <v/>
      </c>
      <c r="CN107" s="69" t="str">
        <f aca="false">IF($E107="","",IF($M107,IF(AND($G107&gt;=CN$5,$G107&lt;CN$5+GanttPeriod),"◆",IF(AND($E107&gt;=CN$5,$E107&lt;CN$5+GanttPeriod),"◇","")),IF(AND(CN$5&lt;=$F107,CN$5+GanttPeriod-1&gt;=$E107),"━","")))</f>
        <v/>
      </c>
      <c r="CO107" s="69" t="str">
        <f aca="false">IF($E107="","",IF($M107,IF(AND($G107&gt;=CO$5,$G107&lt;CO$5+GanttPeriod),"◆",IF(AND($E107&gt;=CO$5,$E107&lt;CO$5+GanttPeriod),"◇","")),IF(AND(CO$5&lt;=$F107,CO$5+GanttPeriod-1&gt;=$E107),"━","")))</f>
        <v/>
      </c>
      <c r="CP107" s="69" t="str">
        <f aca="false">IF($E107="","",IF($M107,IF(AND($G107&gt;=CP$5,$G107&lt;CP$5+GanttPeriod),"◆",IF(AND($E107&gt;=CP$5,$E107&lt;CP$5+GanttPeriod),"◇","")),IF(AND(CP$5&lt;=$F107,CP$5+GanttPeriod-1&gt;=$E107),"━","")))</f>
        <v/>
      </c>
      <c r="CQ107" s="69" t="str">
        <f aca="false">IF($E107="","",IF($M107,IF(AND($G107&gt;=CQ$5,$G107&lt;CQ$5+GanttPeriod),"◆",IF(AND($E107&gt;=CQ$5,$E107&lt;CQ$5+GanttPeriod),"◇","")),IF(AND(CQ$5&lt;=$F107,CQ$5+GanttPeriod-1&gt;=$E107),"━","")))</f>
        <v/>
      </c>
      <c r="CR107" s="69" t="str">
        <f aca="false">IF($E107="","",IF($M107,IF(AND($G107&gt;=CR$5,$G107&lt;CR$5+GanttPeriod),"◆",IF(AND($E107&gt;=CR$5,$E107&lt;CR$5+GanttPeriod),"◇","")),IF(AND(CR$5&lt;=$F107,CR$5+GanttPeriod-1&gt;=$E107),"━","")))</f>
        <v/>
      </c>
      <c r="CS107" s="69" t="str">
        <f aca="false">IF($E107="","",IF($M107,IF(AND($G107&gt;=CS$5,$G107&lt;CS$5+GanttPeriod),"◆",IF(AND($E107&gt;=CS$5,$E107&lt;CS$5+GanttPeriod),"◇","")),IF(AND(CS$5&lt;=$F107,CS$5+GanttPeriod-1&gt;=$E107),"━","")))</f>
        <v/>
      </c>
      <c r="CT107" s="69" t="str">
        <f aca="false">IF($E107="","",IF($M107,IF(AND($G107&gt;=CT$5,$G107&lt;CT$5+GanttPeriod),"◆",IF(AND($E107&gt;=CT$5,$E107&lt;CT$5+GanttPeriod),"◇","")),IF(AND(CT$5&lt;=$F107,CT$5+GanttPeriod-1&gt;=$E107),"━","")))</f>
        <v/>
      </c>
      <c r="CU107" s="69" t="str">
        <f aca="false">IF($E107="","",IF($M107,IF(AND($G107&gt;=CU$5,$G107&lt;CU$5+GanttPeriod),"◆",IF(AND($E107&gt;=CU$5,$E107&lt;CU$5+GanttPeriod),"◇","")),IF(AND(CU$5&lt;=$F107,CU$5+GanttPeriod-1&gt;=$E107),"━","")))</f>
        <v/>
      </c>
      <c r="CV107" s="69" t="str">
        <f aca="false">IF($E107="","",IF($M107,IF(AND($G107&gt;=CV$5,$G107&lt;CV$5+GanttPeriod),"◆",IF(AND($E107&gt;=CV$5,$E107&lt;CV$5+GanttPeriod),"◇","")),IF(AND(CV$5&lt;=$F107,CV$5+GanttPeriod-1&gt;=$E107),"━","")))</f>
        <v/>
      </c>
      <c r="CW107" s="69" t="str">
        <f aca="false">IF($E107="","",IF($M107,IF(AND($G107&gt;=CW$5,$G107&lt;CW$5+GanttPeriod),"◆",IF(AND($E107&gt;=CW$5,$E107&lt;CW$5+GanttPeriod),"◇","")),IF(AND(CW$5&lt;=$F107,CW$5+GanttPeriod-1&gt;=$E107),"━","")))</f>
        <v/>
      </c>
      <c r="CX107" s="69" t="str">
        <f aca="false">IF($E107="","",IF($M107,IF(AND($G107&gt;=CX$5,$G107&lt;CX$5+GanttPeriod),"◆",IF(AND($E107&gt;=CX$5,$E107&lt;CX$5+GanttPeriod),"◇","")),IF(AND(CX$5&lt;=$F107,CX$5+GanttPeriod-1&gt;=$E107),"━","")))</f>
        <v/>
      </c>
      <c r="CY107" s="69" t="str">
        <f aca="false">IF($E107="","",IF($M107,IF(AND($G107&gt;=CY$5,$G107&lt;CY$5+GanttPeriod),"◆",IF(AND($E107&gt;=CY$5,$E107&lt;CY$5+GanttPeriod),"◇","")),IF(AND(CY$5&lt;=$F107,CY$5+GanttPeriod-1&gt;=$E107),"━","")))</f>
        <v/>
      </c>
      <c r="CZ107" s="69" t="str">
        <f aca="false">IF($E107="","",IF($M107,IF(AND($G107&gt;=CZ$5,$G107&lt;CZ$5+GanttPeriod),"◆",IF(AND($E107&gt;=CZ$5,$E107&lt;CZ$5+GanttPeriod),"◇","")),IF(AND(CZ$5&lt;=$F107,CZ$5+GanttPeriod-1&gt;=$E107),"━","")))</f>
        <v/>
      </c>
      <c r="DA107" s="69" t="str">
        <f aca="false">IF($E107="","",IF($M107,IF(AND($G107&gt;=DA$5,$G107&lt;DA$5+GanttPeriod),"◆",IF(AND($E107&gt;=DA$5,$E107&lt;DA$5+GanttPeriod),"◇","")),IF(AND(DA$5&lt;=$F107,DA$5+GanttPeriod-1&gt;=$E107),"━","")))</f>
        <v/>
      </c>
      <c r="DB107" s="69" t="str">
        <f aca="false">IF($E107="","",IF($M107,IF(AND($G107&gt;=DB$5,$G107&lt;DB$5+GanttPeriod),"◆",IF(AND($E107&gt;=DB$5,$E107&lt;DB$5+GanttPeriod),"◇","")),IF(AND(DB$5&lt;=$F107,DB$5+GanttPeriod-1&gt;=$E107),"━","")))</f>
        <v/>
      </c>
      <c r="DC107" s="69" t="str">
        <f aca="false">IF($E107="","",IF($M107,IF(AND($G107&gt;=DC$5,$G107&lt;DC$5+GanttPeriod),"◆",IF(AND($E107&gt;=DC$5,$E107&lt;DC$5+GanttPeriod),"◇","")),IF(AND(DC$5&lt;=$F107,DC$5+GanttPeriod-1&gt;=$E107),"━","")))</f>
        <v/>
      </c>
      <c r="DD107" s="69" t="str">
        <f aca="false">IF($E107="","",IF($M107,IF(AND($G107&gt;=DD$5,$G107&lt;DD$5+GanttPeriod),"◆",IF(AND($E107&gt;=DD$5,$E107&lt;DD$5+GanttPeriod),"◇","")),IF(AND(DD$5&lt;=$F107,DD$5+GanttPeriod-1&gt;=$E107),"━","")))</f>
        <v/>
      </c>
      <c r="DE107" s="69" t="str">
        <f aca="false">IF($E107="","",IF($M107,IF(AND($G107&gt;=DE$5,$G107&lt;DE$5+GanttPeriod),"◆",IF(AND($E107&gt;=DE$5,$E107&lt;DE$5+GanttPeriod),"◇","")),IF(AND(DE$5&lt;=$F107,DE$5+GanttPeriod-1&gt;=$E107),"━","")))</f>
        <v/>
      </c>
      <c r="DF107" s="69" t="str">
        <f aca="false">IF($E107="","",IF($M107,IF(AND($G107&gt;=DF$5,$G107&lt;DF$5+GanttPeriod),"◆",IF(AND($E107&gt;=DF$5,$E107&lt;DF$5+GanttPeriod),"◇","")),IF(AND(DF$5&lt;=$F107,DF$5+GanttPeriod-1&gt;=$E107),"━","")))</f>
        <v/>
      </c>
      <c r="DG107" s="69" t="str">
        <f aca="false">IF($E107="","",IF($M107,IF(AND($G107&gt;=DG$5,$G107&lt;DG$5+GanttPeriod),"◆",IF(AND($E107&gt;=DG$5,$E107&lt;DG$5+GanttPeriod),"◇","")),IF(AND(DG$5&lt;=$F107,DG$5+GanttPeriod-1&gt;=$E107),"━","")))</f>
        <v/>
      </c>
      <c r="DH107" s="69" t="str">
        <f aca="false">IF($E107="","",IF($M107,IF(AND($G107&gt;=DH$5,$G107&lt;DH$5+GanttPeriod),"◆",IF(AND($E107&gt;=DH$5,$E107&lt;DH$5+GanttPeriod),"◇","")),IF(AND(DH$5&lt;=$F107,DH$5+GanttPeriod-1&gt;=$E107),"━","")))</f>
        <v/>
      </c>
      <c r="DI107" s="69" t="str">
        <f aca="false">IF($E107="","",IF($M107,IF(AND($G107&gt;=DI$5,$G107&lt;DI$5+GanttPeriod),"◆",IF(AND($E107&gt;=DI$5,$E107&lt;DI$5+GanttPeriod),"◇","")),IF(AND(DI$5&lt;=$F107,DI$5+GanttPeriod-1&gt;=$E107),"━","")))</f>
        <v/>
      </c>
      <c r="DJ107" s="69" t="str">
        <f aca="false">IF($E107="","",IF($M107,IF(AND($G107&gt;=DJ$5,$G107&lt;DJ$5+GanttPeriod),"◆",IF(AND($E107&gt;=DJ$5,$E107&lt;DJ$5+GanttPeriod),"◇","")),IF(AND(DJ$5&lt;=$F107,DJ$5+GanttPeriod-1&gt;=$E107),"━","")))</f>
        <v/>
      </c>
      <c r="DK107" s="69" t="str">
        <f aca="false">IF($E107="","",IF($M107,IF(AND($G107&gt;=DK$5,$G107&lt;DK$5+GanttPeriod),"◆",IF(AND($E107&gt;=DK$5,$E107&lt;DK$5+GanttPeriod),"◇","")),IF(AND(DK$5&lt;=$F107,DK$5+GanttPeriod-1&gt;=$E107),"━","")))</f>
        <v/>
      </c>
      <c r="DL107" s="69" t="str">
        <f aca="false">IF($E107="","",IF($M107,IF(AND($G107&gt;=DL$5,$G107&lt;DL$5+GanttPeriod),"◆",IF(AND($E107&gt;=DL$5,$E107&lt;DL$5+GanttPeriod),"◇","")),IF(AND(DL$5&lt;=$F107,DL$5+GanttPeriod-1&gt;=$E107),"━","")))</f>
        <v/>
      </c>
      <c r="DM107" s="69" t="str">
        <f aca="false">IF($E107="","",IF($M107,IF(AND($G107&gt;=DM$5,$G107&lt;DM$5+GanttPeriod),"◆",IF(AND($E107&gt;=DM$5,$E107&lt;DM$5+GanttPeriod),"◇","")),IF(AND(DM$5&lt;=$F107,DM$5+GanttPeriod-1&gt;=$E107),"━","")))</f>
        <v/>
      </c>
      <c r="DN107" s="69" t="str">
        <f aca="false">IF($E107="","",IF($M107,IF(AND($G107&gt;=DN$5,$G107&lt;DN$5+GanttPeriod),"◆",IF(AND($E107&gt;=DN$5,$E107&lt;DN$5+GanttPeriod),"◇","")),IF(AND(DN$5&lt;=$F107,DN$5+GanttPeriod-1&gt;=$E107),"━","")))</f>
        <v/>
      </c>
      <c r="DO107" s="69" t="str">
        <f aca="false">IF($E107="","",IF($M107,IF(AND($G107&gt;=DO$5,$G107&lt;DO$5+GanttPeriod),"◆",IF(AND($E107&gt;=DO$5,$E107&lt;DO$5+GanttPeriod),"◇","")),IF(AND(DO$5&lt;=$F107,DO$5+GanttPeriod-1&gt;=$E107),"━","")))</f>
        <v/>
      </c>
      <c r="DP107" s="69" t="str">
        <f aca="false">IF($E107="","",IF($M107,IF(AND($G107&gt;=DP$5,$G107&lt;DP$5+GanttPeriod),"◆",IF(AND($E107&gt;=DP$5,$E107&lt;DP$5+GanttPeriod),"◇","")),IF(AND(DP$5&lt;=$F107,DP$5+GanttPeriod-1&gt;=$E107),"━","")))</f>
        <v/>
      </c>
      <c r="DQ107" s="69" t="str">
        <f aca="false">IF($E107="","",IF($M107,IF(AND($G107&gt;=DQ$5,$G107&lt;DQ$5+GanttPeriod),"◆",IF(AND($E107&gt;=DQ$5,$E107&lt;DQ$5+GanttPeriod),"◇","")),IF(AND(DQ$5&lt;=$F107,DQ$5+GanttPeriod-1&gt;=$E107),"━","")))</f>
        <v/>
      </c>
      <c r="DR107" s="69" t="str">
        <f aca="false">IF($E107="","",IF($M107,IF(AND($G107&gt;=DR$5,$G107&lt;DR$5+GanttPeriod),"◆",IF(AND($E107&gt;=DR$5,$E107&lt;DR$5+GanttPeriod),"◇","")),IF(AND(DR$5&lt;=$F107,DR$5+GanttPeriod-1&gt;=$E107),"━","")))</f>
        <v/>
      </c>
      <c r="DS107" s="69" t="str">
        <f aca="false">IF($E107="","",IF($M107,IF(AND($G107&gt;=DS$5,$G107&lt;DS$5+GanttPeriod),"◆",IF(AND($E107&gt;=DS$5,$E107&lt;DS$5+GanttPeriod),"◇","")),IF(AND(DS$5&lt;=$F107,DS$5+GanttPeriod-1&gt;=$E107),"━","")))</f>
        <v/>
      </c>
      <c r="DT107" s="69" t="str">
        <f aca="false">IF($E107="","",IF($M107,IF(AND($G107&gt;=DT$5,$G107&lt;DT$5+GanttPeriod),"◆",IF(AND($E107&gt;=DT$5,$E107&lt;DT$5+GanttPeriod),"◇","")),IF(AND(DT$5&lt;=$F107,DT$5+GanttPeriod-1&gt;=$E107),"━","")))</f>
        <v/>
      </c>
      <c r="DU107" s="69" t="str">
        <f aca="false">IF($E107="","",IF($M107,IF(AND($G107&gt;=DU$5,$G107&lt;DU$5+GanttPeriod),"◆",IF(AND($E107&gt;=DU$5,$E107&lt;DU$5+GanttPeriod),"◇","")),IF(AND(DU$5&lt;=$F107,DU$5+GanttPeriod-1&gt;=$E107),"━","")))</f>
        <v/>
      </c>
      <c r="DV107" s="69" t="str">
        <f aca="false">IF($E107="","",IF($M107,IF(AND($G107&gt;=DV$5,$G107&lt;DV$5+GanttPeriod),"◆",IF(AND($E107&gt;=DV$5,$E107&lt;DV$5+GanttPeriod),"◇","")),IF(AND(DV$5&lt;=$F107,DV$5+GanttPeriod-1&gt;=$E107),"━","")))</f>
        <v/>
      </c>
      <c r="DW107" s="69" t="str">
        <f aca="false">IF($E107="","",IF($M107,IF(AND($G107&gt;=DW$5,$G107&lt;DW$5+GanttPeriod),"◆",IF(AND($E107&gt;=DW$5,$E107&lt;DW$5+GanttPeriod),"◇","")),IF(AND(DW$5&lt;=$F107,DW$5+GanttPeriod-1&gt;=$E107),"━","")))</f>
        <v/>
      </c>
      <c r="DX107" s="69" t="str">
        <f aca="false">IF($E107="","",IF($M107,IF(AND($G107&gt;=DX$5,$G107&lt;DX$5+GanttPeriod),"◆",IF(AND($E107&gt;=DX$5,$E107&lt;DX$5+GanttPeriod),"◇","")),IF(AND(DX$5&lt;=$F107,DX$5+GanttPeriod-1&gt;=$E107),"━","")))</f>
        <v/>
      </c>
      <c r="DY107" s="69" t="str">
        <f aca="false">IF($E107="","",IF($M107,IF(AND($G107&gt;=DY$5,$G107&lt;DY$5+GanttPeriod),"◆",IF(AND($E107&gt;=DY$5,$E107&lt;DY$5+GanttPeriod),"◇","")),IF(AND(DY$5&lt;=$F107,DY$5+GanttPeriod-1&gt;=$E107),"━","")))</f>
        <v/>
      </c>
      <c r="DZ107" s="69" t="str">
        <f aca="false">IF($E107="","",IF($M107,IF(AND($G107&gt;=DZ$5,$G107&lt;DZ$5+GanttPeriod),"◆",IF(AND($E107&gt;=DZ$5,$E107&lt;DZ$5+GanttPeriod),"◇","")),IF(AND(DZ$5&lt;=$F107,DZ$5+GanttPeriod-1&gt;=$E107),"━","")))</f>
        <v/>
      </c>
      <c r="EA107" s="69" t="str">
        <f aca="false">IF($E107="","",IF($M107,IF(AND($G107&gt;=EA$5,$G107&lt;EA$5+GanttPeriod),"◆",IF(AND($E107&gt;=EA$5,$E107&lt;EA$5+GanttPeriod),"◇","")),IF(AND(EA$5&lt;=$F107,EA$5+GanttPeriod-1&gt;=$E107),"━","")))</f>
        <v/>
      </c>
      <c r="EB107" s="69" t="str">
        <f aca="false">IF($E107="","",IF($M107,IF(AND($G107&gt;=EB$5,$G107&lt;EB$5+GanttPeriod),"◆",IF(AND($E107&gt;=EB$5,$E107&lt;EB$5+GanttPeriod),"◇","")),IF(AND(EB$5&lt;=$F107,EB$5+GanttPeriod-1&gt;=$E107),"━","")))</f>
        <v/>
      </c>
      <c r="EC107" s="69" t="str">
        <f aca="false">IF($E107="","",IF($M107,IF(AND($G107&gt;=EC$5,$G107&lt;EC$5+GanttPeriod),"◆",IF(AND($E107&gt;=EC$5,$E107&lt;EC$5+GanttPeriod),"◇","")),IF(AND(EC$5&lt;=$F107,EC$5+GanttPeriod-1&gt;=$E107),"━","")))</f>
        <v/>
      </c>
      <c r="ED107" s="69" t="str">
        <f aca="false">IF($E107="","",IF($M107,IF(AND($G107&gt;=ED$5,$G107&lt;ED$5+GanttPeriod),"◆",IF(AND($E107&gt;=ED$5,$E107&lt;ED$5+GanttPeriod),"◇","")),IF(AND(ED$5&lt;=$F107,ED$5+GanttPeriod-1&gt;=$E107),"━","")))</f>
        <v/>
      </c>
      <c r="EE107" s="69" t="str">
        <f aca="false">IF($E107="","",IF($M107,IF(AND($G107&gt;=EE$5,$G107&lt;EE$5+GanttPeriod),"◆",IF(AND($E107&gt;=EE$5,$E107&lt;EE$5+GanttPeriod),"◇","")),IF(AND(EE$5&lt;=$F107,EE$5+GanttPeriod-1&gt;=$E107),"━","")))</f>
        <v/>
      </c>
      <c r="EF107" s="69" t="str">
        <f aca="false">IF($E107="","",IF($M107,IF(AND($G107&gt;=EF$5,$G107&lt;EF$5+GanttPeriod),"◆",IF(AND($E107&gt;=EF$5,$E107&lt;EF$5+GanttPeriod),"◇","")),IF(AND(EF$5&lt;=$F107,EF$5+GanttPeriod-1&gt;=$E107),"━","")))</f>
        <v/>
      </c>
      <c r="EG107" s="69" t="str">
        <f aca="false">IF($E107="","",IF($M107,IF(AND($G107&gt;=EG$5,$G107&lt;EG$5+GanttPeriod),"◆",IF(AND($E107&gt;=EG$5,$E107&lt;EG$5+GanttPeriod),"◇","")),IF(AND(EG$5&lt;=$F107,EG$5+GanttPeriod-1&gt;=$E107),"━","")))</f>
        <v/>
      </c>
      <c r="EH107" s="69" t="str">
        <f aca="false">IF($E107="","",IF($M107,IF(AND($G107&gt;=EH$5,$G107&lt;EH$5+GanttPeriod),"◆",IF(AND($E107&gt;=EH$5,$E107&lt;EH$5+GanttPeriod),"◇","")),IF(AND(EH$5&lt;=$F107,EH$5+GanttPeriod-1&gt;=$E107),"━","")))</f>
        <v/>
      </c>
      <c r="EI107" s="69" t="str">
        <f aca="false">IF($E107="","",IF($M107,IF(AND($G107&gt;=EI$5,$G107&lt;EI$5+GanttPeriod),"◆",IF(AND($E107&gt;=EI$5,$E107&lt;EI$5+GanttPeriod),"◇","")),IF(AND(EI$5&lt;=$F107,EI$5+GanttPeriod-1&gt;=$E107),"━","")))</f>
        <v/>
      </c>
      <c r="EJ107" s="69" t="str">
        <f aca="false">IF($E107="","",IF($M107,IF(AND($G107&gt;=EJ$5,$G107&lt;EJ$5+GanttPeriod),"◆",IF(AND($E107&gt;=EJ$5,$E107&lt;EJ$5+GanttPeriod),"◇","")),IF(AND(EJ$5&lt;=$F107,EJ$5+GanttPeriod-1&gt;=$E107),"━","")))</f>
        <v/>
      </c>
      <c r="EK107" s="69" t="str">
        <f aca="false">IF($E107="","",IF($M107,IF(AND($G107&gt;=EK$5,$G107&lt;EK$5+GanttPeriod),"◆",IF(AND($E107&gt;=EK$5,$E107&lt;EK$5+GanttPeriod),"◇","")),IF(AND(EK$5&lt;=$F107,EK$5+GanttPeriod-1&gt;=$E107),"━","")))</f>
        <v/>
      </c>
      <c r="EL107" s="69" t="str">
        <f aca="false">IF($E107="","",IF($M107,IF(AND($G107&gt;=EL$5,$G107&lt;EL$5+GanttPeriod),"◆",IF(AND($E107&gt;=EL$5,$E107&lt;EL$5+GanttPeriod),"◇","")),IF(AND(EL$5&lt;=$F107,EL$5+GanttPeriod-1&gt;=$E107),"━","")))</f>
        <v/>
      </c>
      <c r="EM107" s="69" t="str">
        <f aca="false">IF($E107="","",IF($M107,IF(AND($G107&gt;=EM$5,$G107&lt;EM$5+GanttPeriod),"◆",IF(AND($E107&gt;=EM$5,$E107&lt;EM$5+GanttPeriod),"◇","")),IF(AND(EM$5&lt;=$F107,EM$5+GanttPeriod-1&gt;=$E107),"━","")))</f>
        <v/>
      </c>
      <c r="EN107" s="69" t="str">
        <f aca="false">IF($E107="","",IF($M107,IF(AND($G107&gt;=EN$5,$G107&lt;EN$5+GanttPeriod),"◆",IF(AND($E107&gt;=EN$5,$E107&lt;EN$5+GanttPeriod),"◇","")),IF(AND(EN$5&lt;=$F107,EN$5+GanttPeriod-1&gt;=$E107),"━","")))</f>
        <v/>
      </c>
      <c r="EO107" s="69" t="str">
        <f aca="false">IF($E107="","",IF($M107,IF(AND($G107&gt;=EO$5,$G107&lt;EO$5+GanttPeriod),"◆",IF(AND($E107&gt;=EO$5,$E107&lt;EO$5+GanttPeriod),"◇","")),IF(AND(EO$5&lt;=$F107,EO$5+GanttPeriod-1&gt;=$E107),"━","")))</f>
        <v/>
      </c>
      <c r="EP107" s="69" t="str">
        <f aca="false">IF($E107="","",IF($M107,IF(AND($G107&gt;=EP$5,$G107&lt;EP$5+GanttPeriod),"◆",IF(AND($E107&gt;=EP$5,$E107&lt;EP$5+GanttPeriod),"◇","")),IF(AND(EP$5&lt;=$F107,EP$5+GanttPeriod-1&gt;=$E107),"━","")))</f>
        <v/>
      </c>
      <c r="EQ107" s="69" t="str">
        <f aca="false">IF($E107="","",IF($M107,IF(AND($G107&gt;=EQ$5,$G107&lt;EQ$5+GanttPeriod),"◆",IF(AND($E107&gt;=EQ$5,$E107&lt;EQ$5+GanttPeriod),"◇","")),IF(AND(EQ$5&lt;=$F107,EQ$5+GanttPeriod-1&gt;=$E107),"━","")))</f>
        <v/>
      </c>
      <c r="ER107" s="69" t="str">
        <f aca="false">IF($E107="","",IF($M107,IF(AND($G107&gt;=ER$5,$G107&lt;ER$5+GanttPeriod),"◆",IF(AND($E107&gt;=ER$5,$E107&lt;ER$5+GanttPeriod),"◇","")),IF(AND(ER$5&lt;=$F107,ER$5+GanttPeriod-1&gt;=$E107),"━","")))</f>
        <v/>
      </c>
      <c r="ES107" s="69" t="str">
        <f aca="false">IF($E107="","",IF($M107,IF(AND($G107&gt;=ES$5,$G107&lt;ES$5+GanttPeriod),"◆",IF(AND($E107&gt;=ES$5,$E107&lt;ES$5+GanttPeriod),"◇","")),IF(AND(ES$5&lt;=$F107,ES$5+GanttPeriod-1&gt;=$E107),"━","")))</f>
        <v/>
      </c>
      <c r="ET107" s="69" t="str">
        <f aca="false">IF($E107="","",IF($M107,IF(AND($G107&gt;=ET$5,$G107&lt;ET$5+GanttPeriod),"◆",IF(AND($E107&gt;=ET$5,$E107&lt;ET$5+GanttPeriod),"◇","")),IF(AND(ET$5&lt;=$F107,ET$5+GanttPeriod-1&gt;=$E107),"━","")))</f>
        <v/>
      </c>
      <c r="EU107" s="69" t="str">
        <f aca="false">IF($E107="","",IF($M107,IF(AND($G107&gt;=EU$5,$G107&lt;EU$5+GanttPeriod),"◆",IF(AND($E107&gt;=EU$5,$E107&lt;EU$5+GanttPeriod),"◇","")),IF(AND(EU$5&lt;=$F107,EU$5+GanttPeriod-1&gt;=$E107),"━","")))</f>
        <v/>
      </c>
      <c r="EV107" s="69" t="str">
        <f aca="false">IF($E107="","",IF($M107,IF(AND($G107&gt;=EV$5,$G107&lt;EV$5+GanttPeriod),"◆",IF(AND($E107&gt;=EV$5,$E107&lt;EV$5+GanttPeriod),"◇","")),IF(AND(EV$5&lt;=$F107,EV$5+GanttPeriod-1&gt;=$E107),"━","")))</f>
        <v/>
      </c>
      <c r="EW107" s="69" t="str">
        <f aca="false">IF($E107="","",IF($M107,IF(AND($G107&gt;=EW$5,$G107&lt;EW$5+GanttPeriod),"◆",IF(AND($E107&gt;=EW$5,$E107&lt;EW$5+GanttPeriod),"◇","")),IF(AND(EW$5&lt;=$F107,EW$5+GanttPeriod-1&gt;=$E107),"━","")))</f>
        <v/>
      </c>
      <c r="EX107" s="69" t="str">
        <f aca="false">IF($E107="","",IF($M107,IF(AND($G107&gt;=EX$5,$G107&lt;EX$5+GanttPeriod),"◆",IF(AND($E107&gt;=EX$5,$E107&lt;EX$5+GanttPeriod),"◇","")),IF(AND(EX$5&lt;=$F107,EX$5+GanttPeriod-1&gt;=$E107),"━","")))</f>
        <v/>
      </c>
      <c r="EY107" s="69" t="str">
        <f aca="false">IF($E107="","",IF($M107,IF(AND($G107&gt;=EY$5,$G107&lt;EY$5+GanttPeriod),"◆",IF(AND($E107&gt;=EY$5,$E107&lt;EY$5+GanttPeriod),"◇","")),IF(AND(EY$5&lt;=$F107,EY$5+GanttPeriod-1&gt;=$E107),"━","")))</f>
        <v/>
      </c>
      <c r="EZ107" s="69" t="str">
        <f aca="false">IF($E107="","",IF($M107,IF(AND($G107&gt;=EZ$5,$G107&lt;EZ$5+GanttPeriod),"◆",IF(AND($E107&gt;=EZ$5,$E107&lt;EZ$5+GanttPeriod),"◇","")),IF(AND(EZ$5&lt;=$F107,EZ$5+GanttPeriod-1&gt;=$E107),"━","")))</f>
        <v/>
      </c>
      <c r="FA107" s="69" t="str">
        <f aca="false">IF($E107="","",IF($M107,IF(AND($G107&gt;=FA$5,$G107&lt;FA$5+GanttPeriod),"◆",IF(AND($E107&gt;=FA$5,$E107&lt;FA$5+GanttPeriod),"◇","")),IF(AND(FA$5&lt;=$F107,FA$5+GanttPeriod-1&gt;=$E107),"━","")))</f>
        <v/>
      </c>
      <c r="FB107" s="69" t="str">
        <f aca="false">IF($E107="","",IF($M107,IF(AND($G107&gt;=FB$5,$G107&lt;FB$5+GanttPeriod),"◆",IF(AND($E107&gt;=FB$5,$E107&lt;FB$5+GanttPeriod),"◇","")),IF(AND(FB$5&lt;=$F107,FB$5+GanttPeriod-1&gt;=$E107),"━","")))</f>
        <v/>
      </c>
      <c r="FC107" s="69" t="str">
        <f aca="false">IF($E107="","",IF($M107,IF(AND($G107&gt;=FC$5,$G107&lt;FC$5+GanttPeriod),"◆",IF(AND($E107&gt;=FC$5,$E107&lt;FC$5+GanttPeriod),"◇","")),IF(AND(FC$5&lt;=$F107,FC$5+GanttPeriod-1&gt;=$E107),"━","")))</f>
        <v/>
      </c>
      <c r="FD107" s="69" t="str">
        <f aca="false">IF($E107="","",IF($M107,IF(AND($G107&gt;=FD$5,$G107&lt;FD$5+GanttPeriod),"◆",IF(AND($E107&gt;=FD$5,$E107&lt;FD$5+GanttPeriod),"◇","")),IF(AND(FD$5&lt;=$F107,FD$5+GanttPeriod-1&gt;=$E107),"━","")))</f>
        <v/>
      </c>
      <c r="FE107" s="69" t="str">
        <f aca="false">IF($E107="","",IF($M107,IF(AND($G107&gt;=FE$5,$G107&lt;FE$5+GanttPeriod),"◆",IF(AND($E107&gt;=FE$5,$E107&lt;FE$5+GanttPeriod),"◇","")),IF(AND(FE$5&lt;=$F107,FE$5+GanttPeriod-1&gt;=$E107),"━","")))</f>
        <v/>
      </c>
      <c r="FF107" s="69" t="str">
        <f aca="false">IF($E107="","",IF($M107,IF(AND($G107&gt;=FF$5,$G107&lt;FF$5+GanttPeriod),"◆",IF(AND($E107&gt;=FF$5,$E107&lt;FF$5+GanttPeriod),"◇","")),IF(AND(FF$5&lt;=$F107,FF$5+GanttPeriod-1&gt;=$E107),"━","")))</f>
        <v/>
      </c>
      <c r="FG107" s="69" t="str">
        <f aca="false">IF($E107="","",IF($M107,IF(AND($G107&gt;=FG$5,$G107&lt;FG$5+GanttPeriod),"◆",IF(AND($E107&gt;=FG$5,$E107&lt;FG$5+GanttPeriod),"◇","")),IF(AND(FG$5&lt;=$F107,FG$5+GanttPeriod-1&gt;=$E107),"━","")))</f>
        <v/>
      </c>
      <c r="FH107" s="69" t="str">
        <f aca="false">IF($E107="","",IF($M107,IF(AND($G107&gt;=FH$5,$G107&lt;FH$5+GanttPeriod),"◆",IF(AND($E107&gt;=FH$5,$E107&lt;FH$5+GanttPeriod),"◇","")),IF(AND(FH$5&lt;=$F107,FH$5+GanttPeriod-1&gt;=$E107),"━","")))</f>
        <v/>
      </c>
      <c r="FI107" s="69" t="str">
        <f aca="false">IF($E107="","",IF($M107,IF(AND($G107&gt;=FI$5,$G107&lt;FI$5+GanttPeriod),"◆",IF(AND($E107&gt;=FI$5,$E107&lt;FI$5+GanttPeriod),"◇","")),IF(AND(FI$5&lt;=$F107,FI$5+GanttPeriod-1&gt;=$E107),"━","")))</f>
        <v/>
      </c>
      <c r="FJ107" s="69" t="str">
        <f aca="false">IF($E107="","",IF($M107,IF(AND($G107&gt;=FJ$5,$G107&lt;FJ$5+GanttPeriod),"◆",IF(AND($E107&gt;=FJ$5,$E107&lt;FJ$5+GanttPeriod),"◇","")),IF(AND(FJ$5&lt;=$F107,FJ$5+GanttPeriod-1&gt;=$E107),"━","")))</f>
        <v/>
      </c>
      <c r="FK107" s="69" t="str">
        <f aca="false">IF($E107="","",IF($M107,IF(AND($G107&gt;=FK$5,$G107&lt;FK$5+GanttPeriod),"◆",IF(AND($E107&gt;=FK$5,$E107&lt;FK$5+GanttPeriod),"◇","")),IF(AND(FK$5&lt;=$F107,FK$5+GanttPeriod-1&gt;=$E107),"━","")))</f>
        <v/>
      </c>
      <c r="FL107" s="69" t="str">
        <f aca="false">IF($E107="","",IF($M107,IF(AND($G107&gt;=FL$5,$G107&lt;FL$5+GanttPeriod),"◆",IF(AND($E107&gt;=FL$5,$E107&lt;FL$5+GanttPeriod),"◇","")),IF(AND(FL$5&lt;=$F107,FL$5+GanttPeriod-1&gt;=$E107),"━","")))</f>
        <v/>
      </c>
      <c r="FM107" s="69" t="str">
        <f aca="false">IF($E107="","",IF($M107,IF(AND($G107&gt;=FM$5,$G107&lt;FM$5+GanttPeriod),"◆",IF(AND($E107&gt;=FM$5,$E107&lt;FM$5+GanttPeriod),"◇","")),IF(AND(FM$5&lt;=$F107,FM$5+GanttPeriod-1&gt;=$E107),"━","")))</f>
        <v/>
      </c>
    </row>
    <row r="108" customFormat="false" ht="15" hidden="false" customHeight="false" outlineLevel="0" collapsed="false">
      <c r="A108" s="62" t="str">
        <f aca="false">IF(Tasks!$D108="","",Tasks!$A108)</f>
        <v/>
      </c>
      <c r="B108" s="62" t="str">
        <f aca="false">IF(Tasks!$D108="","",Tasks!$B108)</f>
        <v/>
      </c>
      <c r="C108" s="63" t="str">
        <f aca="false">IF(Tasks!$D108="","",REPT("    ",Tasks!$AE108-1)&amp;Tasks!$D108)</f>
        <v/>
      </c>
      <c r="D108" s="62" t="str">
        <f aca="false">IF(Tasks!$D108="","",IF(Tasks!$AI108,NETWORKDAYS.INTL(Tasks!$R108,Tasks!$S108,WorkWeek,Holidays),N(Tasks!$F108)))</f>
        <v/>
      </c>
      <c r="E108" s="64" t="str">
        <f aca="false">IF(Tasks!$D108="","",Tasks!$N108)</f>
        <v/>
      </c>
      <c r="F108" s="64" t="str">
        <f aca="false">IF(Tasks!$D108="","",Tasks!$O108)</f>
        <v/>
      </c>
      <c r="G108" s="64" t="str">
        <f aca="false">IF(Tasks!$D108="","",Tasks!$R108)</f>
        <v/>
      </c>
      <c r="H108" s="64" t="str">
        <f aca="false">IF(Tasks!$D108="","",Tasks!$S108)</f>
        <v/>
      </c>
      <c r="I108" s="65" t="str">
        <f aca="false">IF(Tasks!$D108="","",Tasks!$V108)</f>
        <v/>
      </c>
      <c r="J108" s="63" t="str">
        <f aca="false">IF(Tasks!$D108="","",Tasks!$X108&amp;"")</f>
        <v/>
      </c>
      <c r="K108" s="66" t="str">
        <f aca="false">IF(Tasks!$D108="","",Tasks!$W108)</f>
        <v/>
      </c>
      <c r="L108" s="67" t="b">
        <f aca="false">IF(Tasks!$D108="",FALSE(),Tasks!$AI108)</f>
        <v>0</v>
      </c>
      <c r="M108" s="67" t="b">
        <f aca="false">AND(Tasks!$AJ108=1,N(Tasks!$F108)=0)</f>
        <v>0</v>
      </c>
      <c r="N108" s="68" t="n">
        <f aca="false">IF(AND(Tasks!$AJ108=1,NOT($M108),N($I108)&gt;0),$G108,0)</f>
        <v>0</v>
      </c>
      <c r="O108" s="68" t="n">
        <f aca="false">IF($N108=0,0,IF($I108&gt;=1,$H108,MAX($N108,$G108+ROUND(($H108-$G108+1)*$I108,0)-1)))</f>
        <v>0</v>
      </c>
      <c r="P108" s="68" t="n">
        <f aca="false">IF(OR(Tasks!$AJ108&lt;&gt;1,$M108,N($I108)&gt;=1),0,IF($O108&gt;0,$O108+1,$G108))</f>
        <v>0</v>
      </c>
      <c r="Q108" s="68" t="n">
        <f aca="false">IF($P108=0,0,$H108)</f>
        <v>0</v>
      </c>
      <c r="R108" s="67" t="b">
        <f aca="false">AND(Tasks!$D108&lt;&gt;"",N(Tasks!$T108)&gt;0)</f>
        <v>0</v>
      </c>
      <c r="T108" s="69" t="str">
        <f aca="false">IF($E108="","",IF($M108,IF(AND($G108&gt;=T$5,$G108&lt;T$5+GanttPeriod),"◆",IF(AND($E108&gt;=T$5,$E108&lt;T$5+GanttPeriod),"◇","")),IF(AND(T$5&lt;=$F108,T$5+GanttPeriod-1&gt;=$E108),"━","")))</f>
        <v/>
      </c>
      <c r="U108" s="69" t="str">
        <f aca="false">IF($E108="","",IF($M108,IF(AND($G108&gt;=U$5,$G108&lt;U$5+GanttPeriod),"◆",IF(AND($E108&gt;=U$5,$E108&lt;U$5+GanttPeriod),"◇","")),IF(AND(U$5&lt;=$F108,U$5+GanttPeriod-1&gt;=$E108),"━","")))</f>
        <v/>
      </c>
      <c r="V108" s="69" t="str">
        <f aca="false">IF($E108="","",IF($M108,IF(AND($G108&gt;=V$5,$G108&lt;V$5+GanttPeriod),"◆",IF(AND($E108&gt;=V$5,$E108&lt;V$5+GanttPeriod),"◇","")),IF(AND(V$5&lt;=$F108,V$5+GanttPeriod-1&gt;=$E108),"━","")))</f>
        <v/>
      </c>
      <c r="W108" s="69" t="str">
        <f aca="false">IF($E108="","",IF($M108,IF(AND($G108&gt;=W$5,$G108&lt;W$5+GanttPeriod),"◆",IF(AND($E108&gt;=W$5,$E108&lt;W$5+GanttPeriod),"◇","")),IF(AND(W$5&lt;=$F108,W$5+GanttPeriod-1&gt;=$E108),"━","")))</f>
        <v/>
      </c>
      <c r="X108" s="69" t="str">
        <f aca="false">IF($E108="","",IF($M108,IF(AND($G108&gt;=X$5,$G108&lt;X$5+GanttPeriod),"◆",IF(AND($E108&gt;=X$5,$E108&lt;X$5+GanttPeriod),"◇","")),IF(AND(X$5&lt;=$F108,X$5+GanttPeriod-1&gt;=$E108),"━","")))</f>
        <v/>
      </c>
      <c r="Y108" s="69" t="str">
        <f aca="false">IF($E108="","",IF($M108,IF(AND($G108&gt;=Y$5,$G108&lt;Y$5+GanttPeriod),"◆",IF(AND($E108&gt;=Y$5,$E108&lt;Y$5+GanttPeriod),"◇","")),IF(AND(Y$5&lt;=$F108,Y$5+GanttPeriod-1&gt;=$E108),"━","")))</f>
        <v/>
      </c>
      <c r="Z108" s="69" t="str">
        <f aca="false">IF($E108="","",IF($M108,IF(AND($G108&gt;=Z$5,$G108&lt;Z$5+GanttPeriod),"◆",IF(AND($E108&gt;=Z$5,$E108&lt;Z$5+GanttPeriod),"◇","")),IF(AND(Z$5&lt;=$F108,Z$5+GanttPeriod-1&gt;=$E108),"━","")))</f>
        <v/>
      </c>
      <c r="AA108" s="69" t="str">
        <f aca="false">IF($E108="","",IF($M108,IF(AND($G108&gt;=AA$5,$G108&lt;AA$5+GanttPeriod),"◆",IF(AND($E108&gt;=AA$5,$E108&lt;AA$5+GanttPeriod),"◇","")),IF(AND(AA$5&lt;=$F108,AA$5+GanttPeriod-1&gt;=$E108),"━","")))</f>
        <v/>
      </c>
      <c r="AB108" s="69" t="str">
        <f aca="false">IF($E108="","",IF($M108,IF(AND($G108&gt;=AB$5,$G108&lt;AB$5+GanttPeriod),"◆",IF(AND($E108&gt;=AB$5,$E108&lt;AB$5+GanttPeriod),"◇","")),IF(AND(AB$5&lt;=$F108,AB$5+GanttPeriod-1&gt;=$E108),"━","")))</f>
        <v/>
      </c>
      <c r="AC108" s="69" t="str">
        <f aca="false">IF($E108="","",IF($M108,IF(AND($G108&gt;=AC$5,$G108&lt;AC$5+GanttPeriod),"◆",IF(AND($E108&gt;=AC$5,$E108&lt;AC$5+GanttPeriod),"◇","")),IF(AND(AC$5&lt;=$F108,AC$5+GanttPeriod-1&gt;=$E108),"━","")))</f>
        <v/>
      </c>
      <c r="AD108" s="69" t="str">
        <f aca="false">IF($E108="","",IF($M108,IF(AND($G108&gt;=AD$5,$G108&lt;AD$5+GanttPeriod),"◆",IF(AND($E108&gt;=AD$5,$E108&lt;AD$5+GanttPeriod),"◇","")),IF(AND(AD$5&lt;=$F108,AD$5+GanttPeriod-1&gt;=$E108),"━","")))</f>
        <v/>
      </c>
      <c r="AE108" s="69" t="str">
        <f aca="false">IF($E108="","",IF($M108,IF(AND($G108&gt;=AE$5,$G108&lt;AE$5+GanttPeriod),"◆",IF(AND($E108&gt;=AE$5,$E108&lt;AE$5+GanttPeriod),"◇","")),IF(AND(AE$5&lt;=$F108,AE$5+GanttPeriod-1&gt;=$E108),"━","")))</f>
        <v/>
      </c>
      <c r="AF108" s="69" t="str">
        <f aca="false">IF($E108="","",IF($M108,IF(AND($G108&gt;=AF$5,$G108&lt;AF$5+GanttPeriod),"◆",IF(AND($E108&gt;=AF$5,$E108&lt;AF$5+GanttPeriod),"◇","")),IF(AND(AF$5&lt;=$F108,AF$5+GanttPeriod-1&gt;=$E108),"━","")))</f>
        <v/>
      </c>
      <c r="AG108" s="69" t="str">
        <f aca="false">IF($E108="","",IF($M108,IF(AND($G108&gt;=AG$5,$G108&lt;AG$5+GanttPeriod),"◆",IF(AND($E108&gt;=AG$5,$E108&lt;AG$5+GanttPeriod),"◇","")),IF(AND(AG$5&lt;=$F108,AG$5+GanttPeriod-1&gt;=$E108),"━","")))</f>
        <v/>
      </c>
      <c r="AH108" s="69" t="str">
        <f aca="false">IF($E108="","",IF($M108,IF(AND($G108&gt;=AH$5,$G108&lt;AH$5+GanttPeriod),"◆",IF(AND($E108&gt;=AH$5,$E108&lt;AH$5+GanttPeriod),"◇","")),IF(AND(AH$5&lt;=$F108,AH$5+GanttPeriod-1&gt;=$E108),"━","")))</f>
        <v/>
      </c>
      <c r="AI108" s="69" t="str">
        <f aca="false">IF($E108="","",IF($M108,IF(AND($G108&gt;=AI$5,$G108&lt;AI$5+GanttPeriod),"◆",IF(AND($E108&gt;=AI$5,$E108&lt;AI$5+GanttPeriod),"◇","")),IF(AND(AI$5&lt;=$F108,AI$5+GanttPeriod-1&gt;=$E108),"━","")))</f>
        <v/>
      </c>
      <c r="AJ108" s="69" t="str">
        <f aca="false">IF($E108="","",IF($M108,IF(AND($G108&gt;=AJ$5,$G108&lt;AJ$5+GanttPeriod),"◆",IF(AND($E108&gt;=AJ$5,$E108&lt;AJ$5+GanttPeriod),"◇","")),IF(AND(AJ$5&lt;=$F108,AJ$5+GanttPeriod-1&gt;=$E108),"━","")))</f>
        <v/>
      </c>
      <c r="AK108" s="69" t="str">
        <f aca="false">IF($E108="","",IF($M108,IF(AND($G108&gt;=AK$5,$G108&lt;AK$5+GanttPeriod),"◆",IF(AND($E108&gt;=AK$5,$E108&lt;AK$5+GanttPeriod),"◇","")),IF(AND(AK$5&lt;=$F108,AK$5+GanttPeriod-1&gt;=$E108),"━","")))</f>
        <v/>
      </c>
      <c r="AL108" s="69" t="str">
        <f aca="false">IF($E108="","",IF($M108,IF(AND($G108&gt;=AL$5,$G108&lt;AL$5+GanttPeriod),"◆",IF(AND($E108&gt;=AL$5,$E108&lt;AL$5+GanttPeriod),"◇","")),IF(AND(AL$5&lt;=$F108,AL$5+GanttPeriod-1&gt;=$E108),"━","")))</f>
        <v/>
      </c>
      <c r="AM108" s="69" t="str">
        <f aca="false">IF($E108="","",IF($M108,IF(AND($G108&gt;=AM$5,$G108&lt;AM$5+GanttPeriod),"◆",IF(AND($E108&gt;=AM$5,$E108&lt;AM$5+GanttPeriod),"◇","")),IF(AND(AM$5&lt;=$F108,AM$5+GanttPeriod-1&gt;=$E108),"━","")))</f>
        <v/>
      </c>
      <c r="AN108" s="69" t="str">
        <f aca="false">IF($E108="","",IF($M108,IF(AND($G108&gt;=AN$5,$G108&lt;AN$5+GanttPeriod),"◆",IF(AND($E108&gt;=AN$5,$E108&lt;AN$5+GanttPeriod),"◇","")),IF(AND(AN$5&lt;=$F108,AN$5+GanttPeriod-1&gt;=$E108),"━","")))</f>
        <v/>
      </c>
      <c r="AO108" s="69" t="str">
        <f aca="false">IF($E108="","",IF($M108,IF(AND($G108&gt;=AO$5,$G108&lt;AO$5+GanttPeriod),"◆",IF(AND($E108&gt;=AO$5,$E108&lt;AO$5+GanttPeriod),"◇","")),IF(AND(AO$5&lt;=$F108,AO$5+GanttPeriod-1&gt;=$E108),"━","")))</f>
        <v/>
      </c>
      <c r="AP108" s="69" t="str">
        <f aca="false">IF($E108="","",IF($M108,IF(AND($G108&gt;=AP$5,$G108&lt;AP$5+GanttPeriod),"◆",IF(AND($E108&gt;=AP$5,$E108&lt;AP$5+GanttPeriod),"◇","")),IF(AND(AP$5&lt;=$F108,AP$5+GanttPeriod-1&gt;=$E108),"━","")))</f>
        <v/>
      </c>
      <c r="AQ108" s="69" t="str">
        <f aca="false">IF($E108="","",IF($M108,IF(AND($G108&gt;=AQ$5,$G108&lt;AQ$5+GanttPeriod),"◆",IF(AND($E108&gt;=AQ$5,$E108&lt;AQ$5+GanttPeriod),"◇","")),IF(AND(AQ$5&lt;=$F108,AQ$5+GanttPeriod-1&gt;=$E108),"━","")))</f>
        <v/>
      </c>
      <c r="AR108" s="69" t="str">
        <f aca="false">IF($E108="","",IF($M108,IF(AND($G108&gt;=AR$5,$G108&lt;AR$5+GanttPeriod),"◆",IF(AND($E108&gt;=AR$5,$E108&lt;AR$5+GanttPeriod),"◇","")),IF(AND(AR$5&lt;=$F108,AR$5+GanttPeriod-1&gt;=$E108),"━","")))</f>
        <v/>
      </c>
      <c r="AS108" s="69" t="str">
        <f aca="false">IF($E108="","",IF($M108,IF(AND($G108&gt;=AS$5,$G108&lt;AS$5+GanttPeriod),"◆",IF(AND($E108&gt;=AS$5,$E108&lt;AS$5+GanttPeriod),"◇","")),IF(AND(AS$5&lt;=$F108,AS$5+GanttPeriod-1&gt;=$E108),"━","")))</f>
        <v/>
      </c>
      <c r="AT108" s="69" t="str">
        <f aca="false">IF($E108="","",IF($M108,IF(AND($G108&gt;=AT$5,$G108&lt;AT$5+GanttPeriod),"◆",IF(AND($E108&gt;=AT$5,$E108&lt;AT$5+GanttPeriod),"◇","")),IF(AND(AT$5&lt;=$F108,AT$5+GanttPeriod-1&gt;=$E108),"━","")))</f>
        <v/>
      </c>
      <c r="AU108" s="69" t="str">
        <f aca="false">IF($E108="","",IF($M108,IF(AND($G108&gt;=AU$5,$G108&lt;AU$5+GanttPeriod),"◆",IF(AND($E108&gt;=AU$5,$E108&lt;AU$5+GanttPeriod),"◇","")),IF(AND(AU$5&lt;=$F108,AU$5+GanttPeriod-1&gt;=$E108),"━","")))</f>
        <v/>
      </c>
      <c r="AV108" s="69" t="str">
        <f aca="false">IF($E108="","",IF($M108,IF(AND($G108&gt;=AV$5,$G108&lt;AV$5+GanttPeriod),"◆",IF(AND($E108&gt;=AV$5,$E108&lt;AV$5+GanttPeriod),"◇","")),IF(AND(AV$5&lt;=$F108,AV$5+GanttPeriod-1&gt;=$E108),"━","")))</f>
        <v/>
      </c>
      <c r="AW108" s="69" t="str">
        <f aca="false">IF($E108="","",IF($M108,IF(AND($G108&gt;=AW$5,$G108&lt;AW$5+GanttPeriod),"◆",IF(AND($E108&gt;=AW$5,$E108&lt;AW$5+GanttPeriod),"◇","")),IF(AND(AW$5&lt;=$F108,AW$5+GanttPeriod-1&gt;=$E108),"━","")))</f>
        <v/>
      </c>
      <c r="AX108" s="69" t="str">
        <f aca="false">IF($E108="","",IF($M108,IF(AND($G108&gt;=AX$5,$G108&lt;AX$5+GanttPeriod),"◆",IF(AND($E108&gt;=AX$5,$E108&lt;AX$5+GanttPeriod),"◇","")),IF(AND(AX$5&lt;=$F108,AX$5+GanttPeriod-1&gt;=$E108),"━","")))</f>
        <v/>
      </c>
      <c r="AY108" s="69" t="str">
        <f aca="false">IF($E108="","",IF($M108,IF(AND($G108&gt;=AY$5,$G108&lt;AY$5+GanttPeriod),"◆",IF(AND($E108&gt;=AY$5,$E108&lt;AY$5+GanttPeriod),"◇","")),IF(AND(AY$5&lt;=$F108,AY$5+GanttPeriod-1&gt;=$E108),"━","")))</f>
        <v/>
      </c>
      <c r="AZ108" s="69" t="str">
        <f aca="false">IF($E108="","",IF($M108,IF(AND($G108&gt;=AZ$5,$G108&lt;AZ$5+GanttPeriod),"◆",IF(AND($E108&gt;=AZ$5,$E108&lt;AZ$5+GanttPeriod),"◇","")),IF(AND(AZ$5&lt;=$F108,AZ$5+GanttPeriod-1&gt;=$E108),"━","")))</f>
        <v/>
      </c>
      <c r="BA108" s="69" t="str">
        <f aca="false">IF($E108="","",IF($M108,IF(AND($G108&gt;=BA$5,$G108&lt;BA$5+GanttPeriod),"◆",IF(AND($E108&gt;=BA$5,$E108&lt;BA$5+GanttPeriod),"◇","")),IF(AND(BA$5&lt;=$F108,BA$5+GanttPeriod-1&gt;=$E108),"━","")))</f>
        <v/>
      </c>
      <c r="BB108" s="69" t="str">
        <f aca="false">IF($E108="","",IF($M108,IF(AND($G108&gt;=BB$5,$G108&lt;BB$5+GanttPeriod),"◆",IF(AND($E108&gt;=BB$5,$E108&lt;BB$5+GanttPeriod),"◇","")),IF(AND(BB$5&lt;=$F108,BB$5+GanttPeriod-1&gt;=$E108),"━","")))</f>
        <v/>
      </c>
      <c r="BC108" s="69" t="str">
        <f aca="false">IF($E108="","",IF($M108,IF(AND($G108&gt;=BC$5,$G108&lt;BC$5+GanttPeriod),"◆",IF(AND($E108&gt;=BC$5,$E108&lt;BC$5+GanttPeriod),"◇","")),IF(AND(BC$5&lt;=$F108,BC$5+GanttPeriod-1&gt;=$E108),"━","")))</f>
        <v/>
      </c>
      <c r="BD108" s="69" t="str">
        <f aca="false">IF($E108="","",IF($M108,IF(AND($G108&gt;=BD$5,$G108&lt;BD$5+GanttPeriod),"◆",IF(AND($E108&gt;=BD$5,$E108&lt;BD$5+GanttPeriod),"◇","")),IF(AND(BD$5&lt;=$F108,BD$5+GanttPeriod-1&gt;=$E108),"━","")))</f>
        <v/>
      </c>
      <c r="BE108" s="69" t="str">
        <f aca="false">IF($E108="","",IF($M108,IF(AND($G108&gt;=BE$5,$G108&lt;BE$5+GanttPeriod),"◆",IF(AND($E108&gt;=BE$5,$E108&lt;BE$5+GanttPeriod),"◇","")),IF(AND(BE$5&lt;=$F108,BE$5+GanttPeriod-1&gt;=$E108),"━","")))</f>
        <v/>
      </c>
      <c r="BF108" s="69" t="str">
        <f aca="false">IF($E108="","",IF($M108,IF(AND($G108&gt;=BF$5,$G108&lt;BF$5+GanttPeriod),"◆",IF(AND($E108&gt;=BF$5,$E108&lt;BF$5+GanttPeriod),"◇","")),IF(AND(BF$5&lt;=$F108,BF$5+GanttPeriod-1&gt;=$E108),"━","")))</f>
        <v/>
      </c>
      <c r="BG108" s="69" t="str">
        <f aca="false">IF($E108="","",IF($M108,IF(AND($G108&gt;=BG$5,$G108&lt;BG$5+GanttPeriod),"◆",IF(AND($E108&gt;=BG$5,$E108&lt;BG$5+GanttPeriod),"◇","")),IF(AND(BG$5&lt;=$F108,BG$5+GanttPeriod-1&gt;=$E108),"━","")))</f>
        <v/>
      </c>
      <c r="BH108" s="69" t="str">
        <f aca="false">IF($E108="","",IF($M108,IF(AND($G108&gt;=BH$5,$G108&lt;BH$5+GanttPeriod),"◆",IF(AND($E108&gt;=BH$5,$E108&lt;BH$5+GanttPeriod),"◇","")),IF(AND(BH$5&lt;=$F108,BH$5+GanttPeriod-1&gt;=$E108),"━","")))</f>
        <v/>
      </c>
      <c r="BI108" s="69" t="str">
        <f aca="false">IF($E108="","",IF($M108,IF(AND($G108&gt;=BI$5,$G108&lt;BI$5+GanttPeriod),"◆",IF(AND($E108&gt;=BI$5,$E108&lt;BI$5+GanttPeriod),"◇","")),IF(AND(BI$5&lt;=$F108,BI$5+GanttPeriod-1&gt;=$E108),"━","")))</f>
        <v/>
      </c>
      <c r="BJ108" s="69" t="str">
        <f aca="false">IF($E108="","",IF($M108,IF(AND($G108&gt;=BJ$5,$G108&lt;BJ$5+GanttPeriod),"◆",IF(AND($E108&gt;=BJ$5,$E108&lt;BJ$5+GanttPeriod),"◇","")),IF(AND(BJ$5&lt;=$F108,BJ$5+GanttPeriod-1&gt;=$E108),"━","")))</f>
        <v/>
      </c>
      <c r="BK108" s="69" t="str">
        <f aca="false">IF($E108="","",IF($M108,IF(AND($G108&gt;=BK$5,$G108&lt;BK$5+GanttPeriod),"◆",IF(AND($E108&gt;=BK$5,$E108&lt;BK$5+GanttPeriod),"◇","")),IF(AND(BK$5&lt;=$F108,BK$5+GanttPeriod-1&gt;=$E108),"━","")))</f>
        <v/>
      </c>
      <c r="BL108" s="69" t="str">
        <f aca="false">IF($E108="","",IF($M108,IF(AND($G108&gt;=BL$5,$G108&lt;BL$5+GanttPeriod),"◆",IF(AND($E108&gt;=BL$5,$E108&lt;BL$5+GanttPeriod),"◇","")),IF(AND(BL$5&lt;=$F108,BL$5+GanttPeriod-1&gt;=$E108),"━","")))</f>
        <v/>
      </c>
      <c r="BM108" s="69" t="str">
        <f aca="false">IF($E108="","",IF($M108,IF(AND($G108&gt;=BM$5,$G108&lt;BM$5+GanttPeriod),"◆",IF(AND($E108&gt;=BM$5,$E108&lt;BM$5+GanttPeriod),"◇","")),IF(AND(BM$5&lt;=$F108,BM$5+GanttPeriod-1&gt;=$E108),"━","")))</f>
        <v/>
      </c>
      <c r="BN108" s="69" t="str">
        <f aca="false">IF($E108="","",IF($M108,IF(AND($G108&gt;=BN$5,$G108&lt;BN$5+GanttPeriod),"◆",IF(AND($E108&gt;=BN$5,$E108&lt;BN$5+GanttPeriod),"◇","")),IF(AND(BN$5&lt;=$F108,BN$5+GanttPeriod-1&gt;=$E108),"━","")))</f>
        <v/>
      </c>
      <c r="BO108" s="69" t="str">
        <f aca="false">IF($E108="","",IF($M108,IF(AND($G108&gt;=BO$5,$G108&lt;BO$5+GanttPeriod),"◆",IF(AND($E108&gt;=BO$5,$E108&lt;BO$5+GanttPeriod),"◇","")),IF(AND(BO$5&lt;=$F108,BO$5+GanttPeriod-1&gt;=$E108),"━","")))</f>
        <v/>
      </c>
      <c r="BP108" s="69" t="str">
        <f aca="false">IF($E108="","",IF($M108,IF(AND($G108&gt;=BP$5,$G108&lt;BP$5+GanttPeriod),"◆",IF(AND($E108&gt;=BP$5,$E108&lt;BP$5+GanttPeriod),"◇","")),IF(AND(BP$5&lt;=$F108,BP$5+GanttPeriod-1&gt;=$E108),"━","")))</f>
        <v/>
      </c>
      <c r="BQ108" s="69" t="str">
        <f aca="false">IF($E108="","",IF($M108,IF(AND($G108&gt;=BQ$5,$G108&lt;BQ$5+GanttPeriod),"◆",IF(AND($E108&gt;=BQ$5,$E108&lt;BQ$5+GanttPeriod),"◇","")),IF(AND(BQ$5&lt;=$F108,BQ$5+GanttPeriod-1&gt;=$E108),"━","")))</f>
        <v/>
      </c>
      <c r="BR108" s="69" t="str">
        <f aca="false">IF($E108="","",IF($M108,IF(AND($G108&gt;=BR$5,$G108&lt;BR$5+GanttPeriod),"◆",IF(AND($E108&gt;=BR$5,$E108&lt;BR$5+GanttPeriod),"◇","")),IF(AND(BR$5&lt;=$F108,BR$5+GanttPeriod-1&gt;=$E108),"━","")))</f>
        <v/>
      </c>
      <c r="BS108" s="69" t="str">
        <f aca="false">IF($E108="","",IF($M108,IF(AND($G108&gt;=BS$5,$G108&lt;BS$5+GanttPeriod),"◆",IF(AND($E108&gt;=BS$5,$E108&lt;BS$5+GanttPeriod),"◇","")),IF(AND(BS$5&lt;=$F108,BS$5+GanttPeriod-1&gt;=$E108),"━","")))</f>
        <v/>
      </c>
      <c r="BT108" s="69" t="str">
        <f aca="false">IF($E108="","",IF($M108,IF(AND($G108&gt;=BT$5,$G108&lt;BT$5+GanttPeriod),"◆",IF(AND($E108&gt;=BT$5,$E108&lt;BT$5+GanttPeriod),"◇","")),IF(AND(BT$5&lt;=$F108,BT$5+GanttPeriod-1&gt;=$E108),"━","")))</f>
        <v/>
      </c>
      <c r="BU108" s="69" t="str">
        <f aca="false">IF($E108="","",IF($M108,IF(AND($G108&gt;=BU$5,$G108&lt;BU$5+GanttPeriod),"◆",IF(AND($E108&gt;=BU$5,$E108&lt;BU$5+GanttPeriod),"◇","")),IF(AND(BU$5&lt;=$F108,BU$5+GanttPeriod-1&gt;=$E108),"━","")))</f>
        <v/>
      </c>
      <c r="BV108" s="69" t="str">
        <f aca="false">IF($E108="","",IF($M108,IF(AND($G108&gt;=BV$5,$G108&lt;BV$5+GanttPeriod),"◆",IF(AND($E108&gt;=BV$5,$E108&lt;BV$5+GanttPeriod),"◇","")),IF(AND(BV$5&lt;=$F108,BV$5+GanttPeriod-1&gt;=$E108),"━","")))</f>
        <v/>
      </c>
      <c r="BW108" s="69" t="str">
        <f aca="false">IF($E108="","",IF($M108,IF(AND($G108&gt;=BW$5,$G108&lt;BW$5+GanttPeriod),"◆",IF(AND($E108&gt;=BW$5,$E108&lt;BW$5+GanttPeriod),"◇","")),IF(AND(BW$5&lt;=$F108,BW$5+GanttPeriod-1&gt;=$E108),"━","")))</f>
        <v/>
      </c>
      <c r="BX108" s="69" t="str">
        <f aca="false">IF($E108="","",IF($M108,IF(AND($G108&gt;=BX$5,$G108&lt;BX$5+GanttPeriod),"◆",IF(AND($E108&gt;=BX$5,$E108&lt;BX$5+GanttPeriod),"◇","")),IF(AND(BX$5&lt;=$F108,BX$5+GanttPeriod-1&gt;=$E108),"━","")))</f>
        <v/>
      </c>
      <c r="BY108" s="69" t="str">
        <f aca="false">IF($E108="","",IF($M108,IF(AND($G108&gt;=BY$5,$G108&lt;BY$5+GanttPeriod),"◆",IF(AND($E108&gt;=BY$5,$E108&lt;BY$5+GanttPeriod),"◇","")),IF(AND(BY$5&lt;=$F108,BY$5+GanttPeriod-1&gt;=$E108),"━","")))</f>
        <v/>
      </c>
      <c r="BZ108" s="69" t="str">
        <f aca="false">IF($E108="","",IF($M108,IF(AND($G108&gt;=BZ$5,$G108&lt;BZ$5+GanttPeriod),"◆",IF(AND($E108&gt;=BZ$5,$E108&lt;BZ$5+GanttPeriod),"◇","")),IF(AND(BZ$5&lt;=$F108,BZ$5+GanttPeriod-1&gt;=$E108),"━","")))</f>
        <v/>
      </c>
      <c r="CA108" s="69" t="str">
        <f aca="false">IF($E108="","",IF($M108,IF(AND($G108&gt;=CA$5,$G108&lt;CA$5+GanttPeriod),"◆",IF(AND($E108&gt;=CA$5,$E108&lt;CA$5+GanttPeriod),"◇","")),IF(AND(CA$5&lt;=$F108,CA$5+GanttPeriod-1&gt;=$E108),"━","")))</f>
        <v/>
      </c>
      <c r="CB108" s="69" t="str">
        <f aca="false">IF($E108="","",IF($M108,IF(AND($G108&gt;=CB$5,$G108&lt;CB$5+GanttPeriod),"◆",IF(AND($E108&gt;=CB$5,$E108&lt;CB$5+GanttPeriod),"◇","")),IF(AND(CB$5&lt;=$F108,CB$5+GanttPeriod-1&gt;=$E108),"━","")))</f>
        <v/>
      </c>
      <c r="CC108" s="69" t="str">
        <f aca="false">IF($E108="","",IF($M108,IF(AND($G108&gt;=CC$5,$G108&lt;CC$5+GanttPeriod),"◆",IF(AND($E108&gt;=CC$5,$E108&lt;CC$5+GanttPeriod),"◇","")),IF(AND(CC$5&lt;=$F108,CC$5+GanttPeriod-1&gt;=$E108),"━","")))</f>
        <v/>
      </c>
      <c r="CD108" s="69" t="str">
        <f aca="false">IF($E108="","",IF($M108,IF(AND($G108&gt;=CD$5,$G108&lt;CD$5+GanttPeriod),"◆",IF(AND($E108&gt;=CD$5,$E108&lt;CD$5+GanttPeriod),"◇","")),IF(AND(CD$5&lt;=$F108,CD$5+GanttPeriod-1&gt;=$E108),"━","")))</f>
        <v/>
      </c>
      <c r="CE108" s="69" t="str">
        <f aca="false">IF($E108="","",IF($M108,IF(AND($G108&gt;=CE$5,$G108&lt;CE$5+GanttPeriod),"◆",IF(AND($E108&gt;=CE$5,$E108&lt;CE$5+GanttPeriod),"◇","")),IF(AND(CE$5&lt;=$F108,CE$5+GanttPeriod-1&gt;=$E108),"━","")))</f>
        <v/>
      </c>
      <c r="CF108" s="69" t="str">
        <f aca="false">IF($E108="","",IF($M108,IF(AND($G108&gt;=CF$5,$G108&lt;CF$5+GanttPeriod),"◆",IF(AND($E108&gt;=CF$5,$E108&lt;CF$5+GanttPeriod),"◇","")),IF(AND(CF$5&lt;=$F108,CF$5+GanttPeriod-1&gt;=$E108),"━","")))</f>
        <v/>
      </c>
      <c r="CG108" s="69" t="str">
        <f aca="false">IF($E108="","",IF($M108,IF(AND($G108&gt;=CG$5,$G108&lt;CG$5+GanttPeriod),"◆",IF(AND($E108&gt;=CG$5,$E108&lt;CG$5+GanttPeriod),"◇","")),IF(AND(CG$5&lt;=$F108,CG$5+GanttPeriod-1&gt;=$E108),"━","")))</f>
        <v/>
      </c>
      <c r="CH108" s="69" t="str">
        <f aca="false">IF($E108="","",IF($M108,IF(AND($G108&gt;=CH$5,$G108&lt;CH$5+GanttPeriod),"◆",IF(AND($E108&gt;=CH$5,$E108&lt;CH$5+GanttPeriod),"◇","")),IF(AND(CH$5&lt;=$F108,CH$5+GanttPeriod-1&gt;=$E108),"━","")))</f>
        <v/>
      </c>
      <c r="CI108" s="69" t="str">
        <f aca="false">IF($E108="","",IF($M108,IF(AND($G108&gt;=CI$5,$G108&lt;CI$5+GanttPeriod),"◆",IF(AND($E108&gt;=CI$5,$E108&lt;CI$5+GanttPeriod),"◇","")),IF(AND(CI$5&lt;=$F108,CI$5+GanttPeriod-1&gt;=$E108),"━","")))</f>
        <v/>
      </c>
      <c r="CJ108" s="69" t="str">
        <f aca="false">IF($E108="","",IF($M108,IF(AND($G108&gt;=CJ$5,$G108&lt;CJ$5+GanttPeriod),"◆",IF(AND($E108&gt;=CJ$5,$E108&lt;CJ$5+GanttPeriod),"◇","")),IF(AND(CJ$5&lt;=$F108,CJ$5+GanttPeriod-1&gt;=$E108),"━","")))</f>
        <v/>
      </c>
      <c r="CK108" s="69" t="str">
        <f aca="false">IF($E108="","",IF($M108,IF(AND($G108&gt;=CK$5,$G108&lt;CK$5+GanttPeriod),"◆",IF(AND($E108&gt;=CK$5,$E108&lt;CK$5+GanttPeriod),"◇","")),IF(AND(CK$5&lt;=$F108,CK$5+GanttPeriod-1&gt;=$E108),"━","")))</f>
        <v/>
      </c>
      <c r="CL108" s="69" t="str">
        <f aca="false">IF($E108="","",IF($M108,IF(AND($G108&gt;=CL$5,$G108&lt;CL$5+GanttPeriod),"◆",IF(AND($E108&gt;=CL$5,$E108&lt;CL$5+GanttPeriod),"◇","")),IF(AND(CL$5&lt;=$F108,CL$5+GanttPeriod-1&gt;=$E108),"━","")))</f>
        <v/>
      </c>
      <c r="CM108" s="69" t="str">
        <f aca="false">IF($E108="","",IF($M108,IF(AND($G108&gt;=CM$5,$G108&lt;CM$5+GanttPeriod),"◆",IF(AND($E108&gt;=CM$5,$E108&lt;CM$5+GanttPeriod),"◇","")),IF(AND(CM$5&lt;=$F108,CM$5+GanttPeriod-1&gt;=$E108),"━","")))</f>
        <v/>
      </c>
      <c r="CN108" s="69" t="str">
        <f aca="false">IF($E108="","",IF($M108,IF(AND($G108&gt;=CN$5,$G108&lt;CN$5+GanttPeriod),"◆",IF(AND($E108&gt;=CN$5,$E108&lt;CN$5+GanttPeriod),"◇","")),IF(AND(CN$5&lt;=$F108,CN$5+GanttPeriod-1&gt;=$E108),"━","")))</f>
        <v/>
      </c>
      <c r="CO108" s="69" t="str">
        <f aca="false">IF($E108="","",IF($M108,IF(AND($G108&gt;=CO$5,$G108&lt;CO$5+GanttPeriod),"◆",IF(AND($E108&gt;=CO$5,$E108&lt;CO$5+GanttPeriod),"◇","")),IF(AND(CO$5&lt;=$F108,CO$5+GanttPeriod-1&gt;=$E108),"━","")))</f>
        <v/>
      </c>
      <c r="CP108" s="69" t="str">
        <f aca="false">IF($E108="","",IF($M108,IF(AND($G108&gt;=CP$5,$G108&lt;CP$5+GanttPeriod),"◆",IF(AND($E108&gt;=CP$5,$E108&lt;CP$5+GanttPeriod),"◇","")),IF(AND(CP$5&lt;=$F108,CP$5+GanttPeriod-1&gt;=$E108),"━","")))</f>
        <v/>
      </c>
      <c r="CQ108" s="69" t="str">
        <f aca="false">IF($E108="","",IF($M108,IF(AND($G108&gt;=CQ$5,$G108&lt;CQ$5+GanttPeriod),"◆",IF(AND($E108&gt;=CQ$5,$E108&lt;CQ$5+GanttPeriod),"◇","")),IF(AND(CQ$5&lt;=$F108,CQ$5+GanttPeriod-1&gt;=$E108),"━","")))</f>
        <v/>
      </c>
      <c r="CR108" s="69" t="str">
        <f aca="false">IF($E108="","",IF($M108,IF(AND($G108&gt;=CR$5,$G108&lt;CR$5+GanttPeriod),"◆",IF(AND($E108&gt;=CR$5,$E108&lt;CR$5+GanttPeriod),"◇","")),IF(AND(CR$5&lt;=$F108,CR$5+GanttPeriod-1&gt;=$E108),"━","")))</f>
        <v/>
      </c>
      <c r="CS108" s="69" t="str">
        <f aca="false">IF($E108="","",IF($M108,IF(AND($G108&gt;=CS$5,$G108&lt;CS$5+GanttPeriod),"◆",IF(AND($E108&gt;=CS$5,$E108&lt;CS$5+GanttPeriod),"◇","")),IF(AND(CS$5&lt;=$F108,CS$5+GanttPeriod-1&gt;=$E108),"━","")))</f>
        <v/>
      </c>
      <c r="CT108" s="69" t="str">
        <f aca="false">IF($E108="","",IF($M108,IF(AND($G108&gt;=CT$5,$G108&lt;CT$5+GanttPeriod),"◆",IF(AND($E108&gt;=CT$5,$E108&lt;CT$5+GanttPeriod),"◇","")),IF(AND(CT$5&lt;=$F108,CT$5+GanttPeriod-1&gt;=$E108),"━","")))</f>
        <v/>
      </c>
      <c r="CU108" s="69" t="str">
        <f aca="false">IF($E108="","",IF($M108,IF(AND($G108&gt;=CU$5,$G108&lt;CU$5+GanttPeriod),"◆",IF(AND($E108&gt;=CU$5,$E108&lt;CU$5+GanttPeriod),"◇","")),IF(AND(CU$5&lt;=$F108,CU$5+GanttPeriod-1&gt;=$E108),"━","")))</f>
        <v/>
      </c>
      <c r="CV108" s="69" t="str">
        <f aca="false">IF($E108="","",IF($M108,IF(AND($G108&gt;=CV$5,$G108&lt;CV$5+GanttPeriod),"◆",IF(AND($E108&gt;=CV$5,$E108&lt;CV$5+GanttPeriod),"◇","")),IF(AND(CV$5&lt;=$F108,CV$5+GanttPeriod-1&gt;=$E108),"━","")))</f>
        <v/>
      </c>
      <c r="CW108" s="69" t="str">
        <f aca="false">IF($E108="","",IF($M108,IF(AND($G108&gt;=CW$5,$G108&lt;CW$5+GanttPeriod),"◆",IF(AND($E108&gt;=CW$5,$E108&lt;CW$5+GanttPeriod),"◇","")),IF(AND(CW$5&lt;=$F108,CW$5+GanttPeriod-1&gt;=$E108),"━","")))</f>
        <v/>
      </c>
      <c r="CX108" s="69" t="str">
        <f aca="false">IF($E108="","",IF($M108,IF(AND($G108&gt;=CX$5,$G108&lt;CX$5+GanttPeriod),"◆",IF(AND($E108&gt;=CX$5,$E108&lt;CX$5+GanttPeriod),"◇","")),IF(AND(CX$5&lt;=$F108,CX$5+GanttPeriod-1&gt;=$E108),"━","")))</f>
        <v/>
      </c>
      <c r="CY108" s="69" t="str">
        <f aca="false">IF($E108="","",IF($M108,IF(AND($G108&gt;=CY$5,$G108&lt;CY$5+GanttPeriod),"◆",IF(AND($E108&gt;=CY$5,$E108&lt;CY$5+GanttPeriod),"◇","")),IF(AND(CY$5&lt;=$F108,CY$5+GanttPeriod-1&gt;=$E108),"━","")))</f>
        <v/>
      </c>
      <c r="CZ108" s="69" t="str">
        <f aca="false">IF($E108="","",IF($M108,IF(AND($G108&gt;=CZ$5,$G108&lt;CZ$5+GanttPeriod),"◆",IF(AND($E108&gt;=CZ$5,$E108&lt;CZ$5+GanttPeriod),"◇","")),IF(AND(CZ$5&lt;=$F108,CZ$5+GanttPeriod-1&gt;=$E108),"━","")))</f>
        <v/>
      </c>
      <c r="DA108" s="69" t="str">
        <f aca="false">IF($E108="","",IF($M108,IF(AND($G108&gt;=DA$5,$G108&lt;DA$5+GanttPeriod),"◆",IF(AND($E108&gt;=DA$5,$E108&lt;DA$5+GanttPeriod),"◇","")),IF(AND(DA$5&lt;=$F108,DA$5+GanttPeriod-1&gt;=$E108),"━","")))</f>
        <v/>
      </c>
      <c r="DB108" s="69" t="str">
        <f aca="false">IF($E108="","",IF($M108,IF(AND($G108&gt;=DB$5,$G108&lt;DB$5+GanttPeriod),"◆",IF(AND($E108&gt;=DB$5,$E108&lt;DB$5+GanttPeriod),"◇","")),IF(AND(DB$5&lt;=$F108,DB$5+GanttPeriod-1&gt;=$E108),"━","")))</f>
        <v/>
      </c>
      <c r="DC108" s="69" t="str">
        <f aca="false">IF($E108="","",IF($M108,IF(AND($G108&gt;=DC$5,$G108&lt;DC$5+GanttPeriod),"◆",IF(AND($E108&gt;=DC$5,$E108&lt;DC$5+GanttPeriod),"◇","")),IF(AND(DC$5&lt;=$F108,DC$5+GanttPeriod-1&gt;=$E108),"━","")))</f>
        <v/>
      </c>
      <c r="DD108" s="69" t="str">
        <f aca="false">IF($E108="","",IF($M108,IF(AND($G108&gt;=DD$5,$G108&lt;DD$5+GanttPeriod),"◆",IF(AND($E108&gt;=DD$5,$E108&lt;DD$5+GanttPeriod),"◇","")),IF(AND(DD$5&lt;=$F108,DD$5+GanttPeriod-1&gt;=$E108),"━","")))</f>
        <v/>
      </c>
      <c r="DE108" s="69" t="str">
        <f aca="false">IF($E108="","",IF($M108,IF(AND($G108&gt;=DE$5,$G108&lt;DE$5+GanttPeriod),"◆",IF(AND($E108&gt;=DE$5,$E108&lt;DE$5+GanttPeriod),"◇","")),IF(AND(DE$5&lt;=$F108,DE$5+GanttPeriod-1&gt;=$E108),"━","")))</f>
        <v/>
      </c>
      <c r="DF108" s="69" t="str">
        <f aca="false">IF($E108="","",IF($M108,IF(AND($G108&gt;=DF$5,$G108&lt;DF$5+GanttPeriod),"◆",IF(AND($E108&gt;=DF$5,$E108&lt;DF$5+GanttPeriod),"◇","")),IF(AND(DF$5&lt;=$F108,DF$5+GanttPeriod-1&gt;=$E108),"━","")))</f>
        <v/>
      </c>
      <c r="DG108" s="69" t="str">
        <f aca="false">IF($E108="","",IF($M108,IF(AND($G108&gt;=DG$5,$G108&lt;DG$5+GanttPeriod),"◆",IF(AND($E108&gt;=DG$5,$E108&lt;DG$5+GanttPeriod),"◇","")),IF(AND(DG$5&lt;=$F108,DG$5+GanttPeriod-1&gt;=$E108),"━","")))</f>
        <v/>
      </c>
      <c r="DH108" s="69" t="str">
        <f aca="false">IF($E108="","",IF($M108,IF(AND($G108&gt;=DH$5,$G108&lt;DH$5+GanttPeriod),"◆",IF(AND($E108&gt;=DH$5,$E108&lt;DH$5+GanttPeriod),"◇","")),IF(AND(DH$5&lt;=$F108,DH$5+GanttPeriod-1&gt;=$E108),"━","")))</f>
        <v/>
      </c>
      <c r="DI108" s="69" t="str">
        <f aca="false">IF($E108="","",IF($M108,IF(AND($G108&gt;=DI$5,$G108&lt;DI$5+GanttPeriod),"◆",IF(AND($E108&gt;=DI$5,$E108&lt;DI$5+GanttPeriod),"◇","")),IF(AND(DI$5&lt;=$F108,DI$5+GanttPeriod-1&gt;=$E108),"━","")))</f>
        <v/>
      </c>
      <c r="DJ108" s="69" t="str">
        <f aca="false">IF($E108="","",IF($M108,IF(AND($G108&gt;=DJ$5,$G108&lt;DJ$5+GanttPeriod),"◆",IF(AND($E108&gt;=DJ$5,$E108&lt;DJ$5+GanttPeriod),"◇","")),IF(AND(DJ$5&lt;=$F108,DJ$5+GanttPeriod-1&gt;=$E108),"━","")))</f>
        <v/>
      </c>
      <c r="DK108" s="69" t="str">
        <f aca="false">IF($E108="","",IF($M108,IF(AND($G108&gt;=DK$5,$G108&lt;DK$5+GanttPeriod),"◆",IF(AND($E108&gt;=DK$5,$E108&lt;DK$5+GanttPeriod),"◇","")),IF(AND(DK$5&lt;=$F108,DK$5+GanttPeriod-1&gt;=$E108),"━","")))</f>
        <v/>
      </c>
      <c r="DL108" s="69" t="str">
        <f aca="false">IF($E108="","",IF($M108,IF(AND($G108&gt;=DL$5,$G108&lt;DL$5+GanttPeriod),"◆",IF(AND($E108&gt;=DL$5,$E108&lt;DL$5+GanttPeriod),"◇","")),IF(AND(DL$5&lt;=$F108,DL$5+GanttPeriod-1&gt;=$E108),"━","")))</f>
        <v/>
      </c>
      <c r="DM108" s="69" t="str">
        <f aca="false">IF($E108="","",IF($M108,IF(AND($G108&gt;=DM$5,$G108&lt;DM$5+GanttPeriod),"◆",IF(AND($E108&gt;=DM$5,$E108&lt;DM$5+GanttPeriod),"◇","")),IF(AND(DM$5&lt;=$F108,DM$5+GanttPeriod-1&gt;=$E108),"━","")))</f>
        <v/>
      </c>
      <c r="DN108" s="69" t="str">
        <f aca="false">IF($E108="","",IF($M108,IF(AND($G108&gt;=DN$5,$G108&lt;DN$5+GanttPeriod),"◆",IF(AND($E108&gt;=DN$5,$E108&lt;DN$5+GanttPeriod),"◇","")),IF(AND(DN$5&lt;=$F108,DN$5+GanttPeriod-1&gt;=$E108),"━","")))</f>
        <v/>
      </c>
      <c r="DO108" s="69" t="str">
        <f aca="false">IF($E108="","",IF($M108,IF(AND($G108&gt;=DO$5,$G108&lt;DO$5+GanttPeriod),"◆",IF(AND($E108&gt;=DO$5,$E108&lt;DO$5+GanttPeriod),"◇","")),IF(AND(DO$5&lt;=$F108,DO$5+GanttPeriod-1&gt;=$E108),"━","")))</f>
        <v/>
      </c>
      <c r="DP108" s="69" t="str">
        <f aca="false">IF($E108="","",IF($M108,IF(AND($G108&gt;=DP$5,$G108&lt;DP$5+GanttPeriod),"◆",IF(AND($E108&gt;=DP$5,$E108&lt;DP$5+GanttPeriod),"◇","")),IF(AND(DP$5&lt;=$F108,DP$5+GanttPeriod-1&gt;=$E108),"━","")))</f>
        <v/>
      </c>
      <c r="DQ108" s="69" t="str">
        <f aca="false">IF($E108="","",IF($M108,IF(AND($G108&gt;=DQ$5,$G108&lt;DQ$5+GanttPeriod),"◆",IF(AND($E108&gt;=DQ$5,$E108&lt;DQ$5+GanttPeriod),"◇","")),IF(AND(DQ$5&lt;=$F108,DQ$5+GanttPeriod-1&gt;=$E108),"━","")))</f>
        <v/>
      </c>
      <c r="DR108" s="69" t="str">
        <f aca="false">IF($E108="","",IF($M108,IF(AND($G108&gt;=DR$5,$G108&lt;DR$5+GanttPeriod),"◆",IF(AND($E108&gt;=DR$5,$E108&lt;DR$5+GanttPeriod),"◇","")),IF(AND(DR$5&lt;=$F108,DR$5+GanttPeriod-1&gt;=$E108),"━","")))</f>
        <v/>
      </c>
      <c r="DS108" s="69" t="str">
        <f aca="false">IF($E108="","",IF($M108,IF(AND($G108&gt;=DS$5,$G108&lt;DS$5+GanttPeriod),"◆",IF(AND($E108&gt;=DS$5,$E108&lt;DS$5+GanttPeriod),"◇","")),IF(AND(DS$5&lt;=$F108,DS$5+GanttPeriod-1&gt;=$E108),"━","")))</f>
        <v/>
      </c>
      <c r="DT108" s="69" t="str">
        <f aca="false">IF($E108="","",IF($M108,IF(AND($G108&gt;=DT$5,$G108&lt;DT$5+GanttPeriod),"◆",IF(AND($E108&gt;=DT$5,$E108&lt;DT$5+GanttPeriod),"◇","")),IF(AND(DT$5&lt;=$F108,DT$5+GanttPeriod-1&gt;=$E108),"━","")))</f>
        <v/>
      </c>
      <c r="DU108" s="69" t="str">
        <f aca="false">IF($E108="","",IF($M108,IF(AND($G108&gt;=DU$5,$G108&lt;DU$5+GanttPeriod),"◆",IF(AND($E108&gt;=DU$5,$E108&lt;DU$5+GanttPeriod),"◇","")),IF(AND(DU$5&lt;=$F108,DU$5+GanttPeriod-1&gt;=$E108),"━","")))</f>
        <v/>
      </c>
      <c r="DV108" s="69" t="str">
        <f aca="false">IF($E108="","",IF($M108,IF(AND($G108&gt;=DV$5,$G108&lt;DV$5+GanttPeriod),"◆",IF(AND($E108&gt;=DV$5,$E108&lt;DV$5+GanttPeriod),"◇","")),IF(AND(DV$5&lt;=$F108,DV$5+GanttPeriod-1&gt;=$E108),"━","")))</f>
        <v/>
      </c>
      <c r="DW108" s="69" t="str">
        <f aca="false">IF($E108="","",IF($M108,IF(AND($G108&gt;=DW$5,$G108&lt;DW$5+GanttPeriod),"◆",IF(AND($E108&gt;=DW$5,$E108&lt;DW$5+GanttPeriod),"◇","")),IF(AND(DW$5&lt;=$F108,DW$5+GanttPeriod-1&gt;=$E108),"━","")))</f>
        <v/>
      </c>
      <c r="DX108" s="69" t="str">
        <f aca="false">IF($E108="","",IF($M108,IF(AND($G108&gt;=DX$5,$G108&lt;DX$5+GanttPeriod),"◆",IF(AND($E108&gt;=DX$5,$E108&lt;DX$5+GanttPeriod),"◇","")),IF(AND(DX$5&lt;=$F108,DX$5+GanttPeriod-1&gt;=$E108),"━","")))</f>
        <v/>
      </c>
      <c r="DY108" s="69" t="str">
        <f aca="false">IF($E108="","",IF($M108,IF(AND($G108&gt;=DY$5,$G108&lt;DY$5+GanttPeriod),"◆",IF(AND($E108&gt;=DY$5,$E108&lt;DY$5+GanttPeriod),"◇","")),IF(AND(DY$5&lt;=$F108,DY$5+GanttPeriod-1&gt;=$E108),"━","")))</f>
        <v/>
      </c>
      <c r="DZ108" s="69" t="str">
        <f aca="false">IF($E108="","",IF($M108,IF(AND($G108&gt;=DZ$5,$G108&lt;DZ$5+GanttPeriod),"◆",IF(AND($E108&gt;=DZ$5,$E108&lt;DZ$5+GanttPeriod),"◇","")),IF(AND(DZ$5&lt;=$F108,DZ$5+GanttPeriod-1&gt;=$E108),"━","")))</f>
        <v/>
      </c>
      <c r="EA108" s="69" t="str">
        <f aca="false">IF($E108="","",IF($M108,IF(AND($G108&gt;=EA$5,$G108&lt;EA$5+GanttPeriod),"◆",IF(AND($E108&gt;=EA$5,$E108&lt;EA$5+GanttPeriod),"◇","")),IF(AND(EA$5&lt;=$F108,EA$5+GanttPeriod-1&gt;=$E108),"━","")))</f>
        <v/>
      </c>
      <c r="EB108" s="69" t="str">
        <f aca="false">IF($E108="","",IF($M108,IF(AND($G108&gt;=EB$5,$G108&lt;EB$5+GanttPeriod),"◆",IF(AND($E108&gt;=EB$5,$E108&lt;EB$5+GanttPeriod),"◇","")),IF(AND(EB$5&lt;=$F108,EB$5+GanttPeriod-1&gt;=$E108),"━","")))</f>
        <v/>
      </c>
      <c r="EC108" s="69" t="str">
        <f aca="false">IF($E108="","",IF($M108,IF(AND($G108&gt;=EC$5,$G108&lt;EC$5+GanttPeriod),"◆",IF(AND($E108&gt;=EC$5,$E108&lt;EC$5+GanttPeriod),"◇","")),IF(AND(EC$5&lt;=$F108,EC$5+GanttPeriod-1&gt;=$E108),"━","")))</f>
        <v/>
      </c>
      <c r="ED108" s="69" t="str">
        <f aca="false">IF($E108="","",IF($M108,IF(AND($G108&gt;=ED$5,$G108&lt;ED$5+GanttPeriod),"◆",IF(AND($E108&gt;=ED$5,$E108&lt;ED$5+GanttPeriod),"◇","")),IF(AND(ED$5&lt;=$F108,ED$5+GanttPeriod-1&gt;=$E108),"━","")))</f>
        <v/>
      </c>
      <c r="EE108" s="69" t="str">
        <f aca="false">IF($E108="","",IF($M108,IF(AND($G108&gt;=EE$5,$G108&lt;EE$5+GanttPeriod),"◆",IF(AND($E108&gt;=EE$5,$E108&lt;EE$5+GanttPeriod),"◇","")),IF(AND(EE$5&lt;=$F108,EE$5+GanttPeriod-1&gt;=$E108),"━","")))</f>
        <v/>
      </c>
      <c r="EF108" s="69" t="str">
        <f aca="false">IF($E108="","",IF($M108,IF(AND($G108&gt;=EF$5,$G108&lt;EF$5+GanttPeriod),"◆",IF(AND($E108&gt;=EF$5,$E108&lt;EF$5+GanttPeriod),"◇","")),IF(AND(EF$5&lt;=$F108,EF$5+GanttPeriod-1&gt;=$E108),"━","")))</f>
        <v/>
      </c>
      <c r="EG108" s="69" t="str">
        <f aca="false">IF($E108="","",IF($M108,IF(AND($G108&gt;=EG$5,$G108&lt;EG$5+GanttPeriod),"◆",IF(AND($E108&gt;=EG$5,$E108&lt;EG$5+GanttPeriod),"◇","")),IF(AND(EG$5&lt;=$F108,EG$5+GanttPeriod-1&gt;=$E108),"━","")))</f>
        <v/>
      </c>
      <c r="EH108" s="69" t="str">
        <f aca="false">IF($E108="","",IF($M108,IF(AND($G108&gt;=EH$5,$G108&lt;EH$5+GanttPeriod),"◆",IF(AND($E108&gt;=EH$5,$E108&lt;EH$5+GanttPeriod),"◇","")),IF(AND(EH$5&lt;=$F108,EH$5+GanttPeriod-1&gt;=$E108),"━","")))</f>
        <v/>
      </c>
      <c r="EI108" s="69" t="str">
        <f aca="false">IF($E108="","",IF($M108,IF(AND($G108&gt;=EI$5,$G108&lt;EI$5+GanttPeriod),"◆",IF(AND($E108&gt;=EI$5,$E108&lt;EI$5+GanttPeriod),"◇","")),IF(AND(EI$5&lt;=$F108,EI$5+GanttPeriod-1&gt;=$E108),"━","")))</f>
        <v/>
      </c>
      <c r="EJ108" s="69" t="str">
        <f aca="false">IF($E108="","",IF($M108,IF(AND($G108&gt;=EJ$5,$G108&lt;EJ$5+GanttPeriod),"◆",IF(AND($E108&gt;=EJ$5,$E108&lt;EJ$5+GanttPeriod),"◇","")),IF(AND(EJ$5&lt;=$F108,EJ$5+GanttPeriod-1&gt;=$E108),"━","")))</f>
        <v/>
      </c>
      <c r="EK108" s="69" t="str">
        <f aca="false">IF($E108="","",IF($M108,IF(AND($G108&gt;=EK$5,$G108&lt;EK$5+GanttPeriod),"◆",IF(AND($E108&gt;=EK$5,$E108&lt;EK$5+GanttPeriod),"◇","")),IF(AND(EK$5&lt;=$F108,EK$5+GanttPeriod-1&gt;=$E108),"━","")))</f>
        <v/>
      </c>
      <c r="EL108" s="69" t="str">
        <f aca="false">IF($E108="","",IF($M108,IF(AND($G108&gt;=EL$5,$G108&lt;EL$5+GanttPeriod),"◆",IF(AND($E108&gt;=EL$5,$E108&lt;EL$5+GanttPeriod),"◇","")),IF(AND(EL$5&lt;=$F108,EL$5+GanttPeriod-1&gt;=$E108),"━","")))</f>
        <v/>
      </c>
      <c r="EM108" s="69" t="str">
        <f aca="false">IF($E108="","",IF($M108,IF(AND($G108&gt;=EM$5,$G108&lt;EM$5+GanttPeriod),"◆",IF(AND($E108&gt;=EM$5,$E108&lt;EM$5+GanttPeriod),"◇","")),IF(AND(EM$5&lt;=$F108,EM$5+GanttPeriod-1&gt;=$E108),"━","")))</f>
        <v/>
      </c>
      <c r="EN108" s="69" t="str">
        <f aca="false">IF($E108="","",IF($M108,IF(AND($G108&gt;=EN$5,$G108&lt;EN$5+GanttPeriod),"◆",IF(AND($E108&gt;=EN$5,$E108&lt;EN$5+GanttPeriod),"◇","")),IF(AND(EN$5&lt;=$F108,EN$5+GanttPeriod-1&gt;=$E108),"━","")))</f>
        <v/>
      </c>
      <c r="EO108" s="69" t="str">
        <f aca="false">IF($E108="","",IF($M108,IF(AND($G108&gt;=EO$5,$G108&lt;EO$5+GanttPeriod),"◆",IF(AND($E108&gt;=EO$5,$E108&lt;EO$5+GanttPeriod),"◇","")),IF(AND(EO$5&lt;=$F108,EO$5+GanttPeriod-1&gt;=$E108),"━","")))</f>
        <v/>
      </c>
      <c r="EP108" s="69" t="str">
        <f aca="false">IF($E108="","",IF($M108,IF(AND($G108&gt;=EP$5,$G108&lt;EP$5+GanttPeriod),"◆",IF(AND($E108&gt;=EP$5,$E108&lt;EP$5+GanttPeriod),"◇","")),IF(AND(EP$5&lt;=$F108,EP$5+GanttPeriod-1&gt;=$E108),"━","")))</f>
        <v/>
      </c>
      <c r="EQ108" s="69" t="str">
        <f aca="false">IF($E108="","",IF($M108,IF(AND($G108&gt;=EQ$5,$G108&lt;EQ$5+GanttPeriod),"◆",IF(AND($E108&gt;=EQ$5,$E108&lt;EQ$5+GanttPeriod),"◇","")),IF(AND(EQ$5&lt;=$F108,EQ$5+GanttPeriod-1&gt;=$E108),"━","")))</f>
        <v/>
      </c>
      <c r="ER108" s="69" t="str">
        <f aca="false">IF($E108="","",IF($M108,IF(AND($G108&gt;=ER$5,$G108&lt;ER$5+GanttPeriod),"◆",IF(AND($E108&gt;=ER$5,$E108&lt;ER$5+GanttPeriod),"◇","")),IF(AND(ER$5&lt;=$F108,ER$5+GanttPeriod-1&gt;=$E108),"━","")))</f>
        <v/>
      </c>
      <c r="ES108" s="69" t="str">
        <f aca="false">IF($E108="","",IF($M108,IF(AND($G108&gt;=ES$5,$G108&lt;ES$5+GanttPeriod),"◆",IF(AND($E108&gt;=ES$5,$E108&lt;ES$5+GanttPeriod),"◇","")),IF(AND(ES$5&lt;=$F108,ES$5+GanttPeriod-1&gt;=$E108),"━","")))</f>
        <v/>
      </c>
      <c r="ET108" s="69" t="str">
        <f aca="false">IF($E108="","",IF($M108,IF(AND($G108&gt;=ET$5,$G108&lt;ET$5+GanttPeriod),"◆",IF(AND($E108&gt;=ET$5,$E108&lt;ET$5+GanttPeriod),"◇","")),IF(AND(ET$5&lt;=$F108,ET$5+GanttPeriod-1&gt;=$E108),"━","")))</f>
        <v/>
      </c>
      <c r="EU108" s="69" t="str">
        <f aca="false">IF($E108="","",IF($M108,IF(AND($G108&gt;=EU$5,$G108&lt;EU$5+GanttPeriod),"◆",IF(AND($E108&gt;=EU$5,$E108&lt;EU$5+GanttPeriod),"◇","")),IF(AND(EU$5&lt;=$F108,EU$5+GanttPeriod-1&gt;=$E108),"━","")))</f>
        <v/>
      </c>
      <c r="EV108" s="69" t="str">
        <f aca="false">IF($E108="","",IF($M108,IF(AND($G108&gt;=EV$5,$G108&lt;EV$5+GanttPeriod),"◆",IF(AND($E108&gt;=EV$5,$E108&lt;EV$5+GanttPeriod),"◇","")),IF(AND(EV$5&lt;=$F108,EV$5+GanttPeriod-1&gt;=$E108),"━","")))</f>
        <v/>
      </c>
      <c r="EW108" s="69" t="str">
        <f aca="false">IF($E108="","",IF($M108,IF(AND($G108&gt;=EW$5,$G108&lt;EW$5+GanttPeriod),"◆",IF(AND($E108&gt;=EW$5,$E108&lt;EW$5+GanttPeriod),"◇","")),IF(AND(EW$5&lt;=$F108,EW$5+GanttPeriod-1&gt;=$E108),"━","")))</f>
        <v/>
      </c>
      <c r="EX108" s="69" t="str">
        <f aca="false">IF($E108="","",IF($M108,IF(AND($G108&gt;=EX$5,$G108&lt;EX$5+GanttPeriod),"◆",IF(AND($E108&gt;=EX$5,$E108&lt;EX$5+GanttPeriod),"◇","")),IF(AND(EX$5&lt;=$F108,EX$5+GanttPeriod-1&gt;=$E108),"━","")))</f>
        <v/>
      </c>
      <c r="EY108" s="69" t="str">
        <f aca="false">IF($E108="","",IF($M108,IF(AND($G108&gt;=EY$5,$G108&lt;EY$5+GanttPeriod),"◆",IF(AND($E108&gt;=EY$5,$E108&lt;EY$5+GanttPeriod),"◇","")),IF(AND(EY$5&lt;=$F108,EY$5+GanttPeriod-1&gt;=$E108),"━","")))</f>
        <v/>
      </c>
      <c r="EZ108" s="69" t="str">
        <f aca="false">IF($E108="","",IF($M108,IF(AND($G108&gt;=EZ$5,$G108&lt;EZ$5+GanttPeriod),"◆",IF(AND($E108&gt;=EZ$5,$E108&lt;EZ$5+GanttPeriod),"◇","")),IF(AND(EZ$5&lt;=$F108,EZ$5+GanttPeriod-1&gt;=$E108),"━","")))</f>
        <v/>
      </c>
      <c r="FA108" s="69" t="str">
        <f aca="false">IF($E108="","",IF($M108,IF(AND($G108&gt;=FA$5,$G108&lt;FA$5+GanttPeriod),"◆",IF(AND($E108&gt;=FA$5,$E108&lt;FA$5+GanttPeriod),"◇","")),IF(AND(FA$5&lt;=$F108,FA$5+GanttPeriod-1&gt;=$E108),"━","")))</f>
        <v/>
      </c>
      <c r="FB108" s="69" t="str">
        <f aca="false">IF($E108="","",IF($M108,IF(AND($G108&gt;=FB$5,$G108&lt;FB$5+GanttPeriod),"◆",IF(AND($E108&gt;=FB$5,$E108&lt;FB$5+GanttPeriod),"◇","")),IF(AND(FB$5&lt;=$F108,FB$5+GanttPeriod-1&gt;=$E108),"━","")))</f>
        <v/>
      </c>
      <c r="FC108" s="69" t="str">
        <f aca="false">IF($E108="","",IF($M108,IF(AND($G108&gt;=FC$5,$G108&lt;FC$5+GanttPeriod),"◆",IF(AND($E108&gt;=FC$5,$E108&lt;FC$5+GanttPeriod),"◇","")),IF(AND(FC$5&lt;=$F108,FC$5+GanttPeriod-1&gt;=$E108),"━","")))</f>
        <v/>
      </c>
      <c r="FD108" s="69" t="str">
        <f aca="false">IF($E108="","",IF($M108,IF(AND($G108&gt;=FD$5,$G108&lt;FD$5+GanttPeriod),"◆",IF(AND($E108&gt;=FD$5,$E108&lt;FD$5+GanttPeriod),"◇","")),IF(AND(FD$5&lt;=$F108,FD$5+GanttPeriod-1&gt;=$E108),"━","")))</f>
        <v/>
      </c>
      <c r="FE108" s="69" t="str">
        <f aca="false">IF($E108="","",IF($M108,IF(AND($G108&gt;=FE$5,$G108&lt;FE$5+GanttPeriod),"◆",IF(AND($E108&gt;=FE$5,$E108&lt;FE$5+GanttPeriod),"◇","")),IF(AND(FE$5&lt;=$F108,FE$5+GanttPeriod-1&gt;=$E108),"━","")))</f>
        <v/>
      </c>
      <c r="FF108" s="69" t="str">
        <f aca="false">IF($E108="","",IF($M108,IF(AND($G108&gt;=FF$5,$G108&lt;FF$5+GanttPeriod),"◆",IF(AND($E108&gt;=FF$5,$E108&lt;FF$5+GanttPeriod),"◇","")),IF(AND(FF$5&lt;=$F108,FF$5+GanttPeriod-1&gt;=$E108),"━","")))</f>
        <v/>
      </c>
      <c r="FG108" s="69" t="str">
        <f aca="false">IF($E108="","",IF($M108,IF(AND($G108&gt;=FG$5,$G108&lt;FG$5+GanttPeriod),"◆",IF(AND($E108&gt;=FG$5,$E108&lt;FG$5+GanttPeriod),"◇","")),IF(AND(FG$5&lt;=$F108,FG$5+GanttPeriod-1&gt;=$E108),"━","")))</f>
        <v/>
      </c>
      <c r="FH108" s="69" t="str">
        <f aca="false">IF($E108="","",IF($M108,IF(AND($G108&gt;=FH$5,$G108&lt;FH$5+GanttPeriod),"◆",IF(AND($E108&gt;=FH$5,$E108&lt;FH$5+GanttPeriod),"◇","")),IF(AND(FH$5&lt;=$F108,FH$5+GanttPeriod-1&gt;=$E108),"━","")))</f>
        <v/>
      </c>
      <c r="FI108" s="69" t="str">
        <f aca="false">IF($E108="","",IF($M108,IF(AND($G108&gt;=FI$5,$G108&lt;FI$5+GanttPeriod),"◆",IF(AND($E108&gt;=FI$5,$E108&lt;FI$5+GanttPeriod),"◇","")),IF(AND(FI$5&lt;=$F108,FI$5+GanttPeriod-1&gt;=$E108),"━","")))</f>
        <v/>
      </c>
      <c r="FJ108" s="69" t="str">
        <f aca="false">IF($E108="","",IF($M108,IF(AND($G108&gt;=FJ$5,$G108&lt;FJ$5+GanttPeriod),"◆",IF(AND($E108&gt;=FJ$5,$E108&lt;FJ$5+GanttPeriod),"◇","")),IF(AND(FJ$5&lt;=$F108,FJ$5+GanttPeriod-1&gt;=$E108),"━","")))</f>
        <v/>
      </c>
      <c r="FK108" s="69" t="str">
        <f aca="false">IF($E108="","",IF($M108,IF(AND($G108&gt;=FK$5,$G108&lt;FK$5+GanttPeriod),"◆",IF(AND($E108&gt;=FK$5,$E108&lt;FK$5+GanttPeriod),"◇","")),IF(AND(FK$5&lt;=$F108,FK$5+GanttPeriod-1&gt;=$E108),"━","")))</f>
        <v/>
      </c>
      <c r="FL108" s="69" t="str">
        <f aca="false">IF($E108="","",IF($M108,IF(AND($G108&gt;=FL$5,$G108&lt;FL$5+GanttPeriod),"◆",IF(AND($E108&gt;=FL$5,$E108&lt;FL$5+GanttPeriod),"◇","")),IF(AND(FL$5&lt;=$F108,FL$5+GanttPeriod-1&gt;=$E108),"━","")))</f>
        <v/>
      </c>
      <c r="FM108" s="69" t="str">
        <f aca="false">IF($E108="","",IF($M108,IF(AND($G108&gt;=FM$5,$G108&lt;FM$5+GanttPeriod),"◆",IF(AND($E108&gt;=FM$5,$E108&lt;FM$5+GanttPeriod),"◇","")),IF(AND(FM$5&lt;=$F108,FM$5+GanttPeriod-1&gt;=$E108),"━","")))</f>
        <v/>
      </c>
    </row>
    <row r="109" customFormat="false" ht="15" hidden="false" customHeight="false" outlineLevel="0" collapsed="false">
      <c r="A109" s="62" t="str">
        <f aca="false">IF(Tasks!$D109="","",Tasks!$A109)</f>
        <v/>
      </c>
      <c r="B109" s="62" t="str">
        <f aca="false">IF(Tasks!$D109="","",Tasks!$B109)</f>
        <v/>
      </c>
      <c r="C109" s="63" t="str">
        <f aca="false">IF(Tasks!$D109="","",REPT("    ",Tasks!$AE109-1)&amp;Tasks!$D109)</f>
        <v/>
      </c>
      <c r="D109" s="62" t="str">
        <f aca="false">IF(Tasks!$D109="","",IF(Tasks!$AI109,NETWORKDAYS.INTL(Tasks!$R109,Tasks!$S109,WorkWeek,Holidays),N(Tasks!$F109)))</f>
        <v/>
      </c>
      <c r="E109" s="64" t="str">
        <f aca="false">IF(Tasks!$D109="","",Tasks!$N109)</f>
        <v/>
      </c>
      <c r="F109" s="64" t="str">
        <f aca="false">IF(Tasks!$D109="","",Tasks!$O109)</f>
        <v/>
      </c>
      <c r="G109" s="64" t="str">
        <f aca="false">IF(Tasks!$D109="","",Tasks!$R109)</f>
        <v/>
      </c>
      <c r="H109" s="64" t="str">
        <f aca="false">IF(Tasks!$D109="","",Tasks!$S109)</f>
        <v/>
      </c>
      <c r="I109" s="65" t="str">
        <f aca="false">IF(Tasks!$D109="","",Tasks!$V109)</f>
        <v/>
      </c>
      <c r="J109" s="63" t="str">
        <f aca="false">IF(Tasks!$D109="","",Tasks!$X109&amp;"")</f>
        <v/>
      </c>
      <c r="K109" s="66" t="str">
        <f aca="false">IF(Tasks!$D109="","",Tasks!$W109)</f>
        <v/>
      </c>
      <c r="L109" s="67" t="b">
        <f aca="false">IF(Tasks!$D109="",FALSE(),Tasks!$AI109)</f>
        <v>0</v>
      </c>
      <c r="M109" s="67" t="b">
        <f aca="false">AND(Tasks!$AJ109=1,N(Tasks!$F109)=0)</f>
        <v>0</v>
      </c>
      <c r="N109" s="68" t="n">
        <f aca="false">IF(AND(Tasks!$AJ109=1,NOT($M109),N($I109)&gt;0),$G109,0)</f>
        <v>0</v>
      </c>
      <c r="O109" s="68" t="n">
        <f aca="false">IF($N109=0,0,IF($I109&gt;=1,$H109,MAX($N109,$G109+ROUND(($H109-$G109+1)*$I109,0)-1)))</f>
        <v>0</v>
      </c>
      <c r="P109" s="68" t="n">
        <f aca="false">IF(OR(Tasks!$AJ109&lt;&gt;1,$M109,N($I109)&gt;=1),0,IF($O109&gt;0,$O109+1,$G109))</f>
        <v>0</v>
      </c>
      <c r="Q109" s="68" t="n">
        <f aca="false">IF($P109=0,0,$H109)</f>
        <v>0</v>
      </c>
      <c r="R109" s="67" t="b">
        <f aca="false">AND(Tasks!$D109&lt;&gt;"",N(Tasks!$T109)&gt;0)</f>
        <v>0</v>
      </c>
      <c r="T109" s="69" t="str">
        <f aca="false">IF($E109="","",IF($M109,IF(AND($G109&gt;=T$5,$G109&lt;T$5+GanttPeriod),"◆",IF(AND($E109&gt;=T$5,$E109&lt;T$5+GanttPeriod),"◇","")),IF(AND(T$5&lt;=$F109,T$5+GanttPeriod-1&gt;=$E109),"━","")))</f>
        <v/>
      </c>
      <c r="U109" s="69" t="str">
        <f aca="false">IF($E109="","",IF($M109,IF(AND($G109&gt;=U$5,$G109&lt;U$5+GanttPeriod),"◆",IF(AND($E109&gt;=U$5,$E109&lt;U$5+GanttPeriod),"◇","")),IF(AND(U$5&lt;=$F109,U$5+GanttPeriod-1&gt;=$E109),"━","")))</f>
        <v/>
      </c>
      <c r="V109" s="69" t="str">
        <f aca="false">IF($E109="","",IF($M109,IF(AND($G109&gt;=V$5,$G109&lt;V$5+GanttPeriod),"◆",IF(AND($E109&gt;=V$5,$E109&lt;V$5+GanttPeriod),"◇","")),IF(AND(V$5&lt;=$F109,V$5+GanttPeriod-1&gt;=$E109),"━","")))</f>
        <v/>
      </c>
      <c r="W109" s="69" t="str">
        <f aca="false">IF($E109="","",IF($M109,IF(AND($G109&gt;=W$5,$G109&lt;W$5+GanttPeriod),"◆",IF(AND($E109&gt;=W$5,$E109&lt;W$5+GanttPeriod),"◇","")),IF(AND(W$5&lt;=$F109,W$5+GanttPeriod-1&gt;=$E109),"━","")))</f>
        <v/>
      </c>
      <c r="X109" s="69" t="str">
        <f aca="false">IF($E109="","",IF($M109,IF(AND($G109&gt;=X$5,$G109&lt;X$5+GanttPeriod),"◆",IF(AND($E109&gt;=X$5,$E109&lt;X$5+GanttPeriod),"◇","")),IF(AND(X$5&lt;=$F109,X$5+GanttPeriod-1&gt;=$E109),"━","")))</f>
        <v/>
      </c>
      <c r="Y109" s="69" t="str">
        <f aca="false">IF($E109="","",IF($M109,IF(AND($G109&gt;=Y$5,$G109&lt;Y$5+GanttPeriod),"◆",IF(AND($E109&gt;=Y$5,$E109&lt;Y$5+GanttPeriod),"◇","")),IF(AND(Y$5&lt;=$F109,Y$5+GanttPeriod-1&gt;=$E109),"━","")))</f>
        <v/>
      </c>
      <c r="Z109" s="69" t="str">
        <f aca="false">IF($E109="","",IF($M109,IF(AND($G109&gt;=Z$5,$G109&lt;Z$5+GanttPeriod),"◆",IF(AND($E109&gt;=Z$5,$E109&lt;Z$5+GanttPeriod),"◇","")),IF(AND(Z$5&lt;=$F109,Z$5+GanttPeriod-1&gt;=$E109),"━","")))</f>
        <v/>
      </c>
      <c r="AA109" s="69" t="str">
        <f aca="false">IF($E109="","",IF($M109,IF(AND($G109&gt;=AA$5,$G109&lt;AA$5+GanttPeriod),"◆",IF(AND($E109&gt;=AA$5,$E109&lt;AA$5+GanttPeriod),"◇","")),IF(AND(AA$5&lt;=$F109,AA$5+GanttPeriod-1&gt;=$E109),"━","")))</f>
        <v/>
      </c>
      <c r="AB109" s="69" t="str">
        <f aca="false">IF($E109="","",IF($M109,IF(AND($G109&gt;=AB$5,$G109&lt;AB$5+GanttPeriod),"◆",IF(AND($E109&gt;=AB$5,$E109&lt;AB$5+GanttPeriod),"◇","")),IF(AND(AB$5&lt;=$F109,AB$5+GanttPeriod-1&gt;=$E109),"━","")))</f>
        <v/>
      </c>
      <c r="AC109" s="69" t="str">
        <f aca="false">IF($E109="","",IF($M109,IF(AND($G109&gt;=AC$5,$G109&lt;AC$5+GanttPeriod),"◆",IF(AND($E109&gt;=AC$5,$E109&lt;AC$5+GanttPeriod),"◇","")),IF(AND(AC$5&lt;=$F109,AC$5+GanttPeriod-1&gt;=$E109),"━","")))</f>
        <v/>
      </c>
      <c r="AD109" s="69" t="str">
        <f aca="false">IF($E109="","",IF($M109,IF(AND($G109&gt;=AD$5,$G109&lt;AD$5+GanttPeriod),"◆",IF(AND($E109&gt;=AD$5,$E109&lt;AD$5+GanttPeriod),"◇","")),IF(AND(AD$5&lt;=$F109,AD$5+GanttPeriod-1&gt;=$E109),"━","")))</f>
        <v/>
      </c>
      <c r="AE109" s="69" t="str">
        <f aca="false">IF($E109="","",IF($M109,IF(AND($G109&gt;=AE$5,$G109&lt;AE$5+GanttPeriod),"◆",IF(AND($E109&gt;=AE$5,$E109&lt;AE$5+GanttPeriod),"◇","")),IF(AND(AE$5&lt;=$F109,AE$5+GanttPeriod-1&gt;=$E109),"━","")))</f>
        <v/>
      </c>
      <c r="AF109" s="69" t="str">
        <f aca="false">IF($E109="","",IF($M109,IF(AND($G109&gt;=AF$5,$G109&lt;AF$5+GanttPeriod),"◆",IF(AND($E109&gt;=AF$5,$E109&lt;AF$5+GanttPeriod),"◇","")),IF(AND(AF$5&lt;=$F109,AF$5+GanttPeriod-1&gt;=$E109),"━","")))</f>
        <v/>
      </c>
      <c r="AG109" s="69" t="str">
        <f aca="false">IF($E109="","",IF($M109,IF(AND($G109&gt;=AG$5,$G109&lt;AG$5+GanttPeriod),"◆",IF(AND($E109&gt;=AG$5,$E109&lt;AG$5+GanttPeriod),"◇","")),IF(AND(AG$5&lt;=$F109,AG$5+GanttPeriod-1&gt;=$E109),"━","")))</f>
        <v/>
      </c>
      <c r="AH109" s="69" t="str">
        <f aca="false">IF($E109="","",IF($M109,IF(AND($G109&gt;=AH$5,$G109&lt;AH$5+GanttPeriod),"◆",IF(AND($E109&gt;=AH$5,$E109&lt;AH$5+GanttPeriod),"◇","")),IF(AND(AH$5&lt;=$F109,AH$5+GanttPeriod-1&gt;=$E109),"━","")))</f>
        <v/>
      </c>
      <c r="AI109" s="69" t="str">
        <f aca="false">IF($E109="","",IF($M109,IF(AND($G109&gt;=AI$5,$G109&lt;AI$5+GanttPeriod),"◆",IF(AND($E109&gt;=AI$5,$E109&lt;AI$5+GanttPeriod),"◇","")),IF(AND(AI$5&lt;=$F109,AI$5+GanttPeriod-1&gt;=$E109),"━","")))</f>
        <v/>
      </c>
      <c r="AJ109" s="69" t="str">
        <f aca="false">IF($E109="","",IF($M109,IF(AND($G109&gt;=AJ$5,$G109&lt;AJ$5+GanttPeriod),"◆",IF(AND($E109&gt;=AJ$5,$E109&lt;AJ$5+GanttPeriod),"◇","")),IF(AND(AJ$5&lt;=$F109,AJ$5+GanttPeriod-1&gt;=$E109),"━","")))</f>
        <v/>
      </c>
      <c r="AK109" s="69" t="str">
        <f aca="false">IF($E109="","",IF($M109,IF(AND($G109&gt;=AK$5,$G109&lt;AK$5+GanttPeriod),"◆",IF(AND($E109&gt;=AK$5,$E109&lt;AK$5+GanttPeriod),"◇","")),IF(AND(AK$5&lt;=$F109,AK$5+GanttPeriod-1&gt;=$E109),"━","")))</f>
        <v/>
      </c>
      <c r="AL109" s="69" t="str">
        <f aca="false">IF($E109="","",IF($M109,IF(AND($G109&gt;=AL$5,$G109&lt;AL$5+GanttPeriod),"◆",IF(AND($E109&gt;=AL$5,$E109&lt;AL$5+GanttPeriod),"◇","")),IF(AND(AL$5&lt;=$F109,AL$5+GanttPeriod-1&gt;=$E109),"━","")))</f>
        <v/>
      </c>
      <c r="AM109" s="69" t="str">
        <f aca="false">IF($E109="","",IF($M109,IF(AND($G109&gt;=AM$5,$G109&lt;AM$5+GanttPeriod),"◆",IF(AND($E109&gt;=AM$5,$E109&lt;AM$5+GanttPeriod),"◇","")),IF(AND(AM$5&lt;=$F109,AM$5+GanttPeriod-1&gt;=$E109),"━","")))</f>
        <v/>
      </c>
      <c r="AN109" s="69" t="str">
        <f aca="false">IF($E109="","",IF($M109,IF(AND($G109&gt;=AN$5,$G109&lt;AN$5+GanttPeriod),"◆",IF(AND($E109&gt;=AN$5,$E109&lt;AN$5+GanttPeriod),"◇","")),IF(AND(AN$5&lt;=$F109,AN$5+GanttPeriod-1&gt;=$E109),"━","")))</f>
        <v/>
      </c>
      <c r="AO109" s="69" t="str">
        <f aca="false">IF($E109="","",IF($M109,IF(AND($G109&gt;=AO$5,$G109&lt;AO$5+GanttPeriod),"◆",IF(AND($E109&gt;=AO$5,$E109&lt;AO$5+GanttPeriod),"◇","")),IF(AND(AO$5&lt;=$F109,AO$5+GanttPeriod-1&gt;=$E109),"━","")))</f>
        <v/>
      </c>
      <c r="AP109" s="69" t="str">
        <f aca="false">IF($E109="","",IF($M109,IF(AND($G109&gt;=AP$5,$G109&lt;AP$5+GanttPeriod),"◆",IF(AND($E109&gt;=AP$5,$E109&lt;AP$5+GanttPeriod),"◇","")),IF(AND(AP$5&lt;=$F109,AP$5+GanttPeriod-1&gt;=$E109),"━","")))</f>
        <v/>
      </c>
      <c r="AQ109" s="69" t="str">
        <f aca="false">IF($E109="","",IF($M109,IF(AND($G109&gt;=AQ$5,$G109&lt;AQ$5+GanttPeriod),"◆",IF(AND($E109&gt;=AQ$5,$E109&lt;AQ$5+GanttPeriod),"◇","")),IF(AND(AQ$5&lt;=$F109,AQ$5+GanttPeriod-1&gt;=$E109),"━","")))</f>
        <v/>
      </c>
      <c r="AR109" s="69" t="str">
        <f aca="false">IF($E109="","",IF($M109,IF(AND($G109&gt;=AR$5,$G109&lt;AR$5+GanttPeriod),"◆",IF(AND($E109&gt;=AR$5,$E109&lt;AR$5+GanttPeriod),"◇","")),IF(AND(AR$5&lt;=$F109,AR$5+GanttPeriod-1&gt;=$E109),"━","")))</f>
        <v/>
      </c>
      <c r="AS109" s="69" t="str">
        <f aca="false">IF($E109="","",IF($M109,IF(AND($G109&gt;=AS$5,$G109&lt;AS$5+GanttPeriod),"◆",IF(AND($E109&gt;=AS$5,$E109&lt;AS$5+GanttPeriod),"◇","")),IF(AND(AS$5&lt;=$F109,AS$5+GanttPeriod-1&gt;=$E109),"━","")))</f>
        <v/>
      </c>
      <c r="AT109" s="69" t="str">
        <f aca="false">IF($E109="","",IF($M109,IF(AND($G109&gt;=AT$5,$G109&lt;AT$5+GanttPeriod),"◆",IF(AND($E109&gt;=AT$5,$E109&lt;AT$5+GanttPeriod),"◇","")),IF(AND(AT$5&lt;=$F109,AT$5+GanttPeriod-1&gt;=$E109),"━","")))</f>
        <v/>
      </c>
      <c r="AU109" s="69" t="str">
        <f aca="false">IF($E109="","",IF($M109,IF(AND($G109&gt;=AU$5,$G109&lt;AU$5+GanttPeriod),"◆",IF(AND($E109&gt;=AU$5,$E109&lt;AU$5+GanttPeriod),"◇","")),IF(AND(AU$5&lt;=$F109,AU$5+GanttPeriod-1&gt;=$E109),"━","")))</f>
        <v/>
      </c>
      <c r="AV109" s="69" t="str">
        <f aca="false">IF($E109="","",IF($M109,IF(AND($G109&gt;=AV$5,$G109&lt;AV$5+GanttPeriod),"◆",IF(AND($E109&gt;=AV$5,$E109&lt;AV$5+GanttPeriod),"◇","")),IF(AND(AV$5&lt;=$F109,AV$5+GanttPeriod-1&gt;=$E109),"━","")))</f>
        <v/>
      </c>
      <c r="AW109" s="69" t="str">
        <f aca="false">IF($E109="","",IF($M109,IF(AND($G109&gt;=AW$5,$G109&lt;AW$5+GanttPeriod),"◆",IF(AND($E109&gt;=AW$5,$E109&lt;AW$5+GanttPeriod),"◇","")),IF(AND(AW$5&lt;=$F109,AW$5+GanttPeriod-1&gt;=$E109),"━","")))</f>
        <v/>
      </c>
      <c r="AX109" s="69" t="str">
        <f aca="false">IF($E109="","",IF($M109,IF(AND($G109&gt;=AX$5,$G109&lt;AX$5+GanttPeriod),"◆",IF(AND($E109&gt;=AX$5,$E109&lt;AX$5+GanttPeriod),"◇","")),IF(AND(AX$5&lt;=$F109,AX$5+GanttPeriod-1&gt;=$E109),"━","")))</f>
        <v/>
      </c>
      <c r="AY109" s="69" t="str">
        <f aca="false">IF($E109="","",IF($M109,IF(AND($G109&gt;=AY$5,$G109&lt;AY$5+GanttPeriod),"◆",IF(AND($E109&gt;=AY$5,$E109&lt;AY$5+GanttPeriod),"◇","")),IF(AND(AY$5&lt;=$F109,AY$5+GanttPeriod-1&gt;=$E109),"━","")))</f>
        <v/>
      </c>
      <c r="AZ109" s="69" t="str">
        <f aca="false">IF($E109="","",IF($M109,IF(AND($G109&gt;=AZ$5,$G109&lt;AZ$5+GanttPeriod),"◆",IF(AND($E109&gt;=AZ$5,$E109&lt;AZ$5+GanttPeriod),"◇","")),IF(AND(AZ$5&lt;=$F109,AZ$5+GanttPeriod-1&gt;=$E109),"━","")))</f>
        <v/>
      </c>
      <c r="BA109" s="69" t="str">
        <f aca="false">IF($E109="","",IF($M109,IF(AND($G109&gt;=BA$5,$G109&lt;BA$5+GanttPeriod),"◆",IF(AND($E109&gt;=BA$5,$E109&lt;BA$5+GanttPeriod),"◇","")),IF(AND(BA$5&lt;=$F109,BA$5+GanttPeriod-1&gt;=$E109),"━","")))</f>
        <v/>
      </c>
      <c r="BB109" s="69" t="str">
        <f aca="false">IF($E109="","",IF($M109,IF(AND($G109&gt;=BB$5,$G109&lt;BB$5+GanttPeriod),"◆",IF(AND($E109&gt;=BB$5,$E109&lt;BB$5+GanttPeriod),"◇","")),IF(AND(BB$5&lt;=$F109,BB$5+GanttPeriod-1&gt;=$E109),"━","")))</f>
        <v/>
      </c>
      <c r="BC109" s="69" t="str">
        <f aca="false">IF($E109="","",IF($M109,IF(AND($G109&gt;=BC$5,$G109&lt;BC$5+GanttPeriod),"◆",IF(AND($E109&gt;=BC$5,$E109&lt;BC$5+GanttPeriod),"◇","")),IF(AND(BC$5&lt;=$F109,BC$5+GanttPeriod-1&gt;=$E109),"━","")))</f>
        <v/>
      </c>
      <c r="BD109" s="69" t="str">
        <f aca="false">IF($E109="","",IF($M109,IF(AND($G109&gt;=BD$5,$G109&lt;BD$5+GanttPeriod),"◆",IF(AND($E109&gt;=BD$5,$E109&lt;BD$5+GanttPeriod),"◇","")),IF(AND(BD$5&lt;=$F109,BD$5+GanttPeriod-1&gt;=$E109),"━","")))</f>
        <v/>
      </c>
      <c r="BE109" s="69" t="str">
        <f aca="false">IF($E109="","",IF($M109,IF(AND($G109&gt;=BE$5,$G109&lt;BE$5+GanttPeriod),"◆",IF(AND($E109&gt;=BE$5,$E109&lt;BE$5+GanttPeriod),"◇","")),IF(AND(BE$5&lt;=$F109,BE$5+GanttPeriod-1&gt;=$E109),"━","")))</f>
        <v/>
      </c>
      <c r="BF109" s="69" t="str">
        <f aca="false">IF($E109="","",IF($M109,IF(AND($G109&gt;=BF$5,$G109&lt;BF$5+GanttPeriod),"◆",IF(AND($E109&gt;=BF$5,$E109&lt;BF$5+GanttPeriod),"◇","")),IF(AND(BF$5&lt;=$F109,BF$5+GanttPeriod-1&gt;=$E109),"━","")))</f>
        <v/>
      </c>
      <c r="BG109" s="69" t="str">
        <f aca="false">IF($E109="","",IF($M109,IF(AND($G109&gt;=BG$5,$G109&lt;BG$5+GanttPeriod),"◆",IF(AND($E109&gt;=BG$5,$E109&lt;BG$5+GanttPeriod),"◇","")),IF(AND(BG$5&lt;=$F109,BG$5+GanttPeriod-1&gt;=$E109),"━","")))</f>
        <v/>
      </c>
      <c r="BH109" s="69" t="str">
        <f aca="false">IF($E109="","",IF($M109,IF(AND($G109&gt;=BH$5,$G109&lt;BH$5+GanttPeriod),"◆",IF(AND($E109&gt;=BH$5,$E109&lt;BH$5+GanttPeriod),"◇","")),IF(AND(BH$5&lt;=$F109,BH$5+GanttPeriod-1&gt;=$E109),"━","")))</f>
        <v/>
      </c>
      <c r="BI109" s="69" t="str">
        <f aca="false">IF($E109="","",IF($M109,IF(AND($G109&gt;=BI$5,$G109&lt;BI$5+GanttPeriod),"◆",IF(AND($E109&gt;=BI$5,$E109&lt;BI$5+GanttPeriod),"◇","")),IF(AND(BI$5&lt;=$F109,BI$5+GanttPeriod-1&gt;=$E109),"━","")))</f>
        <v/>
      </c>
      <c r="BJ109" s="69" t="str">
        <f aca="false">IF($E109="","",IF($M109,IF(AND($G109&gt;=BJ$5,$G109&lt;BJ$5+GanttPeriod),"◆",IF(AND($E109&gt;=BJ$5,$E109&lt;BJ$5+GanttPeriod),"◇","")),IF(AND(BJ$5&lt;=$F109,BJ$5+GanttPeriod-1&gt;=$E109),"━","")))</f>
        <v/>
      </c>
      <c r="BK109" s="69" t="str">
        <f aca="false">IF($E109="","",IF($M109,IF(AND($G109&gt;=BK$5,$G109&lt;BK$5+GanttPeriod),"◆",IF(AND($E109&gt;=BK$5,$E109&lt;BK$5+GanttPeriod),"◇","")),IF(AND(BK$5&lt;=$F109,BK$5+GanttPeriod-1&gt;=$E109),"━","")))</f>
        <v/>
      </c>
      <c r="BL109" s="69" t="str">
        <f aca="false">IF($E109="","",IF($M109,IF(AND($G109&gt;=BL$5,$G109&lt;BL$5+GanttPeriod),"◆",IF(AND($E109&gt;=BL$5,$E109&lt;BL$5+GanttPeriod),"◇","")),IF(AND(BL$5&lt;=$F109,BL$5+GanttPeriod-1&gt;=$E109),"━","")))</f>
        <v/>
      </c>
      <c r="BM109" s="69" t="str">
        <f aca="false">IF($E109="","",IF($M109,IF(AND($G109&gt;=BM$5,$G109&lt;BM$5+GanttPeriod),"◆",IF(AND($E109&gt;=BM$5,$E109&lt;BM$5+GanttPeriod),"◇","")),IF(AND(BM$5&lt;=$F109,BM$5+GanttPeriod-1&gt;=$E109),"━","")))</f>
        <v/>
      </c>
      <c r="BN109" s="69" t="str">
        <f aca="false">IF($E109="","",IF($M109,IF(AND($G109&gt;=BN$5,$G109&lt;BN$5+GanttPeriod),"◆",IF(AND($E109&gt;=BN$5,$E109&lt;BN$5+GanttPeriod),"◇","")),IF(AND(BN$5&lt;=$F109,BN$5+GanttPeriod-1&gt;=$E109),"━","")))</f>
        <v/>
      </c>
      <c r="BO109" s="69" t="str">
        <f aca="false">IF($E109="","",IF($M109,IF(AND($G109&gt;=BO$5,$G109&lt;BO$5+GanttPeriod),"◆",IF(AND($E109&gt;=BO$5,$E109&lt;BO$5+GanttPeriod),"◇","")),IF(AND(BO$5&lt;=$F109,BO$5+GanttPeriod-1&gt;=$E109),"━","")))</f>
        <v/>
      </c>
      <c r="BP109" s="69" t="str">
        <f aca="false">IF($E109="","",IF($M109,IF(AND($G109&gt;=BP$5,$G109&lt;BP$5+GanttPeriod),"◆",IF(AND($E109&gt;=BP$5,$E109&lt;BP$5+GanttPeriod),"◇","")),IF(AND(BP$5&lt;=$F109,BP$5+GanttPeriod-1&gt;=$E109),"━","")))</f>
        <v/>
      </c>
      <c r="BQ109" s="69" t="str">
        <f aca="false">IF($E109="","",IF($M109,IF(AND($G109&gt;=BQ$5,$G109&lt;BQ$5+GanttPeriod),"◆",IF(AND($E109&gt;=BQ$5,$E109&lt;BQ$5+GanttPeriod),"◇","")),IF(AND(BQ$5&lt;=$F109,BQ$5+GanttPeriod-1&gt;=$E109),"━","")))</f>
        <v/>
      </c>
      <c r="BR109" s="69" t="str">
        <f aca="false">IF($E109="","",IF($M109,IF(AND($G109&gt;=BR$5,$G109&lt;BR$5+GanttPeriod),"◆",IF(AND($E109&gt;=BR$5,$E109&lt;BR$5+GanttPeriod),"◇","")),IF(AND(BR$5&lt;=$F109,BR$5+GanttPeriod-1&gt;=$E109),"━","")))</f>
        <v/>
      </c>
      <c r="BS109" s="69" t="str">
        <f aca="false">IF($E109="","",IF($M109,IF(AND($G109&gt;=BS$5,$G109&lt;BS$5+GanttPeriod),"◆",IF(AND($E109&gt;=BS$5,$E109&lt;BS$5+GanttPeriod),"◇","")),IF(AND(BS$5&lt;=$F109,BS$5+GanttPeriod-1&gt;=$E109),"━","")))</f>
        <v/>
      </c>
      <c r="BT109" s="69" t="str">
        <f aca="false">IF($E109="","",IF($M109,IF(AND($G109&gt;=BT$5,$G109&lt;BT$5+GanttPeriod),"◆",IF(AND($E109&gt;=BT$5,$E109&lt;BT$5+GanttPeriod),"◇","")),IF(AND(BT$5&lt;=$F109,BT$5+GanttPeriod-1&gt;=$E109),"━","")))</f>
        <v/>
      </c>
      <c r="BU109" s="69" t="str">
        <f aca="false">IF($E109="","",IF($M109,IF(AND($G109&gt;=BU$5,$G109&lt;BU$5+GanttPeriod),"◆",IF(AND($E109&gt;=BU$5,$E109&lt;BU$5+GanttPeriod),"◇","")),IF(AND(BU$5&lt;=$F109,BU$5+GanttPeriod-1&gt;=$E109),"━","")))</f>
        <v/>
      </c>
      <c r="BV109" s="69" t="str">
        <f aca="false">IF($E109="","",IF($M109,IF(AND($G109&gt;=BV$5,$G109&lt;BV$5+GanttPeriod),"◆",IF(AND($E109&gt;=BV$5,$E109&lt;BV$5+GanttPeriod),"◇","")),IF(AND(BV$5&lt;=$F109,BV$5+GanttPeriod-1&gt;=$E109),"━","")))</f>
        <v/>
      </c>
      <c r="BW109" s="69" t="str">
        <f aca="false">IF($E109="","",IF($M109,IF(AND($G109&gt;=BW$5,$G109&lt;BW$5+GanttPeriod),"◆",IF(AND($E109&gt;=BW$5,$E109&lt;BW$5+GanttPeriod),"◇","")),IF(AND(BW$5&lt;=$F109,BW$5+GanttPeriod-1&gt;=$E109),"━","")))</f>
        <v/>
      </c>
      <c r="BX109" s="69" t="str">
        <f aca="false">IF($E109="","",IF($M109,IF(AND($G109&gt;=BX$5,$G109&lt;BX$5+GanttPeriod),"◆",IF(AND($E109&gt;=BX$5,$E109&lt;BX$5+GanttPeriod),"◇","")),IF(AND(BX$5&lt;=$F109,BX$5+GanttPeriod-1&gt;=$E109),"━","")))</f>
        <v/>
      </c>
      <c r="BY109" s="69" t="str">
        <f aca="false">IF($E109="","",IF($M109,IF(AND($G109&gt;=BY$5,$G109&lt;BY$5+GanttPeriod),"◆",IF(AND($E109&gt;=BY$5,$E109&lt;BY$5+GanttPeriod),"◇","")),IF(AND(BY$5&lt;=$F109,BY$5+GanttPeriod-1&gt;=$E109),"━","")))</f>
        <v/>
      </c>
      <c r="BZ109" s="69" t="str">
        <f aca="false">IF($E109="","",IF($M109,IF(AND($G109&gt;=BZ$5,$G109&lt;BZ$5+GanttPeriod),"◆",IF(AND($E109&gt;=BZ$5,$E109&lt;BZ$5+GanttPeriod),"◇","")),IF(AND(BZ$5&lt;=$F109,BZ$5+GanttPeriod-1&gt;=$E109),"━","")))</f>
        <v/>
      </c>
      <c r="CA109" s="69" t="str">
        <f aca="false">IF($E109="","",IF($M109,IF(AND($G109&gt;=CA$5,$G109&lt;CA$5+GanttPeriod),"◆",IF(AND($E109&gt;=CA$5,$E109&lt;CA$5+GanttPeriod),"◇","")),IF(AND(CA$5&lt;=$F109,CA$5+GanttPeriod-1&gt;=$E109),"━","")))</f>
        <v/>
      </c>
      <c r="CB109" s="69" t="str">
        <f aca="false">IF($E109="","",IF($M109,IF(AND($G109&gt;=CB$5,$G109&lt;CB$5+GanttPeriod),"◆",IF(AND($E109&gt;=CB$5,$E109&lt;CB$5+GanttPeriod),"◇","")),IF(AND(CB$5&lt;=$F109,CB$5+GanttPeriod-1&gt;=$E109),"━","")))</f>
        <v/>
      </c>
      <c r="CC109" s="69" t="str">
        <f aca="false">IF($E109="","",IF($M109,IF(AND($G109&gt;=CC$5,$G109&lt;CC$5+GanttPeriod),"◆",IF(AND($E109&gt;=CC$5,$E109&lt;CC$5+GanttPeriod),"◇","")),IF(AND(CC$5&lt;=$F109,CC$5+GanttPeriod-1&gt;=$E109),"━","")))</f>
        <v/>
      </c>
      <c r="CD109" s="69" t="str">
        <f aca="false">IF($E109="","",IF($M109,IF(AND($G109&gt;=CD$5,$G109&lt;CD$5+GanttPeriod),"◆",IF(AND($E109&gt;=CD$5,$E109&lt;CD$5+GanttPeriod),"◇","")),IF(AND(CD$5&lt;=$F109,CD$5+GanttPeriod-1&gt;=$E109),"━","")))</f>
        <v/>
      </c>
      <c r="CE109" s="69" t="str">
        <f aca="false">IF($E109="","",IF($M109,IF(AND($G109&gt;=CE$5,$G109&lt;CE$5+GanttPeriod),"◆",IF(AND($E109&gt;=CE$5,$E109&lt;CE$5+GanttPeriod),"◇","")),IF(AND(CE$5&lt;=$F109,CE$5+GanttPeriod-1&gt;=$E109),"━","")))</f>
        <v/>
      </c>
      <c r="CF109" s="69" t="str">
        <f aca="false">IF($E109="","",IF($M109,IF(AND($G109&gt;=CF$5,$G109&lt;CF$5+GanttPeriod),"◆",IF(AND($E109&gt;=CF$5,$E109&lt;CF$5+GanttPeriod),"◇","")),IF(AND(CF$5&lt;=$F109,CF$5+GanttPeriod-1&gt;=$E109),"━","")))</f>
        <v/>
      </c>
      <c r="CG109" s="69" t="str">
        <f aca="false">IF($E109="","",IF($M109,IF(AND($G109&gt;=CG$5,$G109&lt;CG$5+GanttPeriod),"◆",IF(AND($E109&gt;=CG$5,$E109&lt;CG$5+GanttPeriod),"◇","")),IF(AND(CG$5&lt;=$F109,CG$5+GanttPeriod-1&gt;=$E109),"━","")))</f>
        <v/>
      </c>
      <c r="CH109" s="69" t="str">
        <f aca="false">IF($E109="","",IF($M109,IF(AND($G109&gt;=CH$5,$G109&lt;CH$5+GanttPeriod),"◆",IF(AND($E109&gt;=CH$5,$E109&lt;CH$5+GanttPeriod),"◇","")),IF(AND(CH$5&lt;=$F109,CH$5+GanttPeriod-1&gt;=$E109),"━","")))</f>
        <v/>
      </c>
      <c r="CI109" s="69" t="str">
        <f aca="false">IF($E109="","",IF($M109,IF(AND($G109&gt;=CI$5,$G109&lt;CI$5+GanttPeriod),"◆",IF(AND($E109&gt;=CI$5,$E109&lt;CI$5+GanttPeriod),"◇","")),IF(AND(CI$5&lt;=$F109,CI$5+GanttPeriod-1&gt;=$E109),"━","")))</f>
        <v/>
      </c>
      <c r="CJ109" s="69" t="str">
        <f aca="false">IF($E109="","",IF($M109,IF(AND($G109&gt;=CJ$5,$G109&lt;CJ$5+GanttPeriod),"◆",IF(AND($E109&gt;=CJ$5,$E109&lt;CJ$5+GanttPeriod),"◇","")),IF(AND(CJ$5&lt;=$F109,CJ$5+GanttPeriod-1&gt;=$E109),"━","")))</f>
        <v/>
      </c>
      <c r="CK109" s="69" t="str">
        <f aca="false">IF($E109="","",IF($M109,IF(AND($G109&gt;=CK$5,$G109&lt;CK$5+GanttPeriod),"◆",IF(AND($E109&gt;=CK$5,$E109&lt;CK$5+GanttPeriod),"◇","")),IF(AND(CK$5&lt;=$F109,CK$5+GanttPeriod-1&gt;=$E109),"━","")))</f>
        <v/>
      </c>
      <c r="CL109" s="69" t="str">
        <f aca="false">IF($E109="","",IF($M109,IF(AND($G109&gt;=CL$5,$G109&lt;CL$5+GanttPeriod),"◆",IF(AND($E109&gt;=CL$5,$E109&lt;CL$5+GanttPeriod),"◇","")),IF(AND(CL$5&lt;=$F109,CL$5+GanttPeriod-1&gt;=$E109),"━","")))</f>
        <v/>
      </c>
      <c r="CM109" s="69" t="str">
        <f aca="false">IF($E109="","",IF($M109,IF(AND($G109&gt;=CM$5,$G109&lt;CM$5+GanttPeriod),"◆",IF(AND($E109&gt;=CM$5,$E109&lt;CM$5+GanttPeriod),"◇","")),IF(AND(CM$5&lt;=$F109,CM$5+GanttPeriod-1&gt;=$E109),"━","")))</f>
        <v/>
      </c>
      <c r="CN109" s="69" t="str">
        <f aca="false">IF($E109="","",IF($M109,IF(AND($G109&gt;=CN$5,$G109&lt;CN$5+GanttPeriod),"◆",IF(AND($E109&gt;=CN$5,$E109&lt;CN$5+GanttPeriod),"◇","")),IF(AND(CN$5&lt;=$F109,CN$5+GanttPeriod-1&gt;=$E109),"━","")))</f>
        <v/>
      </c>
      <c r="CO109" s="69" t="str">
        <f aca="false">IF($E109="","",IF($M109,IF(AND($G109&gt;=CO$5,$G109&lt;CO$5+GanttPeriod),"◆",IF(AND($E109&gt;=CO$5,$E109&lt;CO$5+GanttPeriod),"◇","")),IF(AND(CO$5&lt;=$F109,CO$5+GanttPeriod-1&gt;=$E109),"━","")))</f>
        <v/>
      </c>
      <c r="CP109" s="69" t="str">
        <f aca="false">IF($E109="","",IF($M109,IF(AND($G109&gt;=CP$5,$G109&lt;CP$5+GanttPeriod),"◆",IF(AND($E109&gt;=CP$5,$E109&lt;CP$5+GanttPeriod),"◇","")),IF(AND(CP$5&lt;=$F109,CP$5+GanttPeriod-1&gt;=$E109),"━","")))</f>
        <v/>
      </c>
      <c r="CQ109" s="69" t="str">
        <f aca="false">IF($E109="","",IF($M109,IF(AND($G109&gt;=CQ$5,$G109&lt;CQ$5+GanttPeriod),"◆",IF(AND($E109&gt;=CQ$5,$E109&lt;CQ$5+GanttPeriod),"◇","")),IF(AND(CQ$5&lt;=$F109,CQ$5+GanttPeriod-1&gt;=$E109),"━","")))</f>
        <v/>
      </c>
      <c r="CR109" s="69" t="str">
        <f aca="false">IF($E109="","",IF($M109,IF(AND($G109&gt;=CR$5,$G109&lt;CR$5+GanttPeriod),"◆",IF(AND($E109&gt;=CR$5,$E109&lt;CR$5+GanttPeriod),"◇","")),IF(AND(CR$5&lt;=$F109,CR$5+GanttPeriod-1&gt;=$E109),"━","")))</f>
        <v/>
      </c>
      <c r="CS109" s="69" t="str">
        <f aca="false">IF($E109="","",IF($M109,IF(AND($G109&gt;=CS$5,$G109&lt;CS$5+GanttPeriod),"◆",IF(AND($E109&gt;=CS$5,$E109&lt;CS$5+GanttPeriod),"◇","")),IF(AND(CS$5&lt;=$F109,CS$5+GanttPeriod-1&gt;=$E109),"━","")))</f>
        <v/>
      </c>
      <c r="CT109" s="69" t="str">
        <f aca="false">IF($E109="","",IF($M109,IF(AND($G109&gt;=CT$5,$G109&lt;CT$5+GanttPeriod),"◆",IF(AND($E109&gt;=CT$5,$E109&lt;CT$5+GanttPeriod),"◇","")),IF(AND(CT$5&lt;=$F109,CT$5+GanttPeriod-1&gt;=$E109),"━","")))</f>
        <v/>
      </c>
      <c r="CU109" s="69" t="str">
        <f aca="false">IF($E109="","",IF($M109,IF(AND($G109&gt;=CU$5,$G109&lt;CU$5+GanttPeriod),"◆",IF(AND($E109&gt;=CU$5,$E109&lt;CU$5+GanttPeriod),"◇","")),IF(AND(CU$5&lt;=$F109,CU$5+GanttPeriod-1&gt;=$E109),"━","")))</f>
        <v/>
      </c>
      <c r="CV109" s="69" t="str">
        <f aca="false">IF($E109="","",IF($M109,IF(AND($G109&gt;=CV$5,$G109&lt;CV$5+GanttPeriod),"◆",IF(AND($E109&gt;=CV$5,$E109&lt;CV$5+GanttPeriod),"◇","")),IF(AND(CV$5&lt;=$F109,CV$5+GanttPeriod-1&gt;=$E109),"━","")))</f>
        <v/>
      </c>
      <c r="CW109" s="69" t="str">
        <f aca="false">IF($E109="","",IF($M109,IF(AND($G109&gt;=CW$5,$G109&lt;CW$5+GanttPeriod),"◆",IF(AND($E109&gt;=CW$5,$E109&lt;CW$5+GanttPeriod),"◇","")),IF(AND(CW$5&lt;=$F109,CW$5+GanttPeriod-1&gt;=$E109),"━","")))</f>
        <v/>
      </c>
      <c r="CX109" s="69" t="str">
        <f aca="false">IF($E109="","",IF($M109,IF(AND($G109&gt;=CX$5,$G109&lt;CX$5+GanttPeriod),"◆",IF(AND($E109&gt;=CX$5,$E109&lt;CX$5+GanttPeriod),"◇","")),IF(AND(CX$5&lt;=$F109,CX$5+GanttPeriod-1&gt;=$E109),"━","")))</f>
        <v/>
      </c>
      <c r="CY109" s="69" t="str">
        <f aca="false">IF($E109="","",IF($M109,IF(AND($G109&gt;=CY$5,$G109&lt;CY$5+GanttPeriod),"◆",IF(AND($E109&gt;=CY$5,$E109&lt;CY$5+GanttPeriod),"◇","")),IF(AND(CY$5&lt;=$F109,CY$5+GanttPeriod-1&gt;=$E109),"━","")))</f>
        <v/>
      </c>
      <c r="CZ109" s="69" t="str">
        <f aca="false">IF($E109="","",IF($M109,IF(AND($G109&gt;=CZ$5,$G109&lt;CZ$5+GanttPeriod),"◆",IF(AND($E109&gt;=CZ$5,$E109&lt;CZ$5+GanttPeriod),"◇","")),IF(AND(CZ$5&lt;=$F109,CZ$5+GanttPeriod-1&gt;=$E109),"━","")))</f>
        <v/>
      </c>
      <c r="DA109" s="69" t="str">
        <f aca="false">IF($E109="","",IF($M109,IF(AND($G109&gt;=DA$5,$G109&lt;DA$5+GanttPeriod),"◆",IF(AND($E109&gt;=DA$5,$E109&lt;DA$5+GanttPeriod),"◇","")),IF(AND(DA$5&lt;=$F109,DA$5+GanttPeriod-1&gt;=$E109),"━","")))</f>
        <v/>
      </c>
      <c r="DB109" s="69" t="str">
        <f aca="false">IF($E109="","",IF($M109,IF(AND($G109&gt;=DB$5,$G109&lt;DB$5+GanttPeriod),"◆",IF(AND($E109&gt;=DB$5,$E109&lt;DB$5+GanttPeriod),"◇","")),IF(AND(DB$5&lt;=$F109,DB$5+GanttPeriod-1&gt;=$E109),"━","")))</f>
        <v/>
      </c>
      <c r="DC109" s="69" t="str">
        <f aca="false">IF($E109="","",IF($M109,IF(AND($G109&gt;=DC$5,$G109&lt;DC$5+GanttPeriod),"◆",IF(AND($E109&gt;=DC$5,$E109&lt;DC$5+GanttPeriod),"◇","")),IF(AND(DC$5&lt;=$F109,DC$5+GanttPeriod-1&gt;=$E109),"━","")))</f>
        <v/>
      </c>
      <c r="DD109" s="69" t="str">
        <f aca="false">IF($E109="","",IF($M109,IF(AND($G109&gt;=DD$5,$G109&lt;DD$5+GanttPeriod),"◆",IF(AND($E109&gt;=DD$5,$E109&lt;DD$5+GanttPeriod),"◇","")),IF(AND(DD$5&lt;=$F109,DD$5+GanttPeriod-1&gt;=$E109),"━","")))</f>
        <v/>
      </c>
      <c r="DE109" s="69" t="str">
        <f aca="false">IF($E109="","",IF($M109,IF(AND($G109&gt;=DE$5,$G109&lt;DE$5+GanttPeriod),"◆",IF(AND($E109&gt;=DE$5,$E109&lt;DE$5+GanttPeriod),"◇","")),IF(AND(DE$5&lt;=$F109,DE$5+GanttPeriod-1&gt;=$E109),"━","")))</f>
        <v/>
      </c>
      <c r="DF109" s="69" t="str">
        <f aca="false">IF($E109="","",IF($M109,IF(AND($G109&gt;=DF$5,$G109&lt;DF$5+GanttPeriod),"◆",IF(AND($E109&gt;=DF$5,$E109&lt;DF$5+GanttPeriod),"◇","")),IF(AND(DF$5&lt;=$F109,DF$5+GanttPeriod-1&gt;=$E109),"━","")))</f>
        <v/>
      </c>
      <c r="DG109" s="69" t="str">
        <f aca="false">IF($E109="","",IF($M109,IF(AND($G109&gt;=DG$5,$G109&lt;DG$5+GanttPeriod),"◆",IF(AND($E109&gt;=DG$5,$E109&lt;DG$5+GanttPeriod),"◇","")),IF(AND(DG$5&lt;=$F109,DG$5+GanttPeriod-1&gt;=$E109),"━","")))</f>
        <v/>
      </c>
      <c r="DH109" s="69" t="str">
        <f aca="false">IF($E109="","",IF($M109,IF(AND($G109&gt;=DH$5,$G109&lt;DH$5+GanttPeriod),"◆",IF(AND($E109&gt;=DH$5,$E109&lt;DH$5+GanttPeriod),"◇","")),IF(AND(DH$5&lt;=$F109,DH$5+GanttPeriod-1&gt;=$E109),"━","")))</f>
        <v/>
      </c>
      <c r="DI109" s="69" t="str">
        <f aca="false">IF($E109="","",IF($M109,IF(AND($G109&gt;=DI$5,$G109&lt;DI$5+GanttPeriod),"◆",IF(AND($E109&gt;=DI$5,$E109&lt;DI$5+GanttPeriod),"◇","")),IF(AND(DI$5&lt;=$F109,DI$5+GanttPeriod-1&gt;=$E109),"━","")))</f>
        <v/>
      </c>
      <c r="DJ109" s="69" t="str">
        <f aca="false">IF($E109="","",IF($M109,IF(AND($G109&gt;=DJ$5,$G109&lt;DJ$5+GanttPeriod),"◆",IF(AND($E109&gt;=DJ$5,$E109&lt;DJ$5+GanttPeriod),"◇","")),IF(AND(DJ$5&lt;=$F109,DJ$5+GanttPeriod-1&gt;=$E109),"━","")))</f>
        <v/>
      </c>
      <c r="DK109" s="69" t="str">
        <f aca="false">IF($E109="","",IF($M109,IF(AND($G109&gt;=DK$5,$G109&lt;DK$5+GanttPeriod),"◆",IF(AND($E109&gt;=DK$5,$E109&lt;DK$5+GanttPeriod),"◇","")),IF(AND(DK$5&lt;=$F109,DK$5+GanttPeriod-1&gt;=$E109),"━","")))</f>
        <v/>
      </c>
      <c r="DL109" s="69" t="str">
        <f aca="false">IF($E109="","",IF($M109,IF(AND($G109&gt;=DL$5,$G109&lt;DL$5+GanttPeriod),"◆",IF(AND($E109&gt;=DL$5,$E109&lt;DL$5+GanttPeriod),"◇","")),IF(AND(DL$5&lt;=$F109,DL$5+GanttPeriod-1&gt;=$E109),"━","")))</f>
        <v/>
      </c>
      <c r="DM109" s="69" t="str">
        <f aca="false">IF($E109="","",IF($M109,IF(AND($G109&gt;=DM$5,$G109&lt;DM$5+GanttPeriod),"◆",IF(AND($E109&gt;=DM$5,$E109&lt;DM$5+GanttPeriod),"◇","")),IF(AND(DM$5&lt;=$F109,DM$5+GanttPeriod-1&gt;=$E109),"━","")))</f>
        <v/>
      </c>
      <c r="DN109" s="69" t="str">
        <f aca="false">IF($E109="","",IF($M109,IF(AND($G109&gt;=DN$5,$G109&lt;DN$5+GanttPeriod),"◆",IF(AND($E109&gt;=DN$5,$E109&lt;DN$5+GanttPeriod),"◇","")),IF(AND(DN$5&lt;=$F109,DN$5+GanttPeriod-1&gt;=$E109),"━","")))</f>
        <v/>
      </c>
      <c r="DO109" s="69" t="str">
        <f aca="false">IF($E109="","",IF($M109,IF(AND($G109&gt;=DO$5,$G109&lt;DO$5+GanttPeriod),"◆",IF(AND($E109&gt;=DO$5,$E109&lt;DO$5+GanttPeriod),"◇","")),IF(AND(DO$5&lt;=$F109,DO$5+GanttPeriod-1&gt;=$E109),"━","")))</f>
        <v/>
      </c>
      <c r="DP109" s="69" t="str">
        <f aca="false">IF($E109="","",IF($M109,IF(AND($G109&gt;=DP$5,$G109&lt;DP$5+GanttPeriod),"◆",IF(AND($E109&gt;=DP$5,$E109&lt;DP$5+GanttPeriod),"◇","")),IF(AND(DP$5&lt;=$F109,DP$5+GanttPeriod-1&gt;=$E109),"━","")))</f>
        <v/>
      </c>
      <c r="DQ109" s="69" t="str">
        <f aca="false">IF($E109="","",IF($M109,IF(AND($G109&gt;=DQ$5,$G109&lt;DQ$5+GanttPeriod),"◆",IF(AND($E109&gt;=DQ$5,$E109&lt;DQ$5+GanttPeriod),"◇","")),IF(AND(DQ$5&lt;=$F109,DQ$5+GanttPeriod-1&gt;=$E109),"━","")))</f>
        <v/>
      </c>
      <c r="DR109" s="69" t="str">
        <f aca="false">IF($E109="","",IF($M109,IF(AND($G109&gt;=DR$5,$G109&lt;DR$5+GanttPeriod),"◆",IF(AND($E109&gt;=DR$5,$E109&lt;DR$5+GanttPeriod),"◇","")),IF(AND(DR$5&lt;=$F109,DR$5+GanttPeriod-1&gt;=$E109),"━","")))</f>
        <v/>
      </c>
      <c r="DS109" s="69" t="str">
        <f aca="false">IF($E109="","",IF($M109,IF(AND($G109&gt;=DS$5,$G109&lt;DS$5+GanttPeriod),"◆",IF(AND($E109&gt;=DS$5,$E109&lt;DS$5+GanttPeriod),"◇","")),IF(AND(DS$5&lt;=$F109,DS$5+GanttPeriod-1&gt;=$E109),"━","")))</f>
        <v/>
      </c>
      <c r="DT109" s="69" t="str">
        <f aca="false">IF($E109="","",IF($M109,IF(AND($G109&gt;=DT$5,$G109&lt;DT$5+GanttPeriod),"◆",IF(AND($E109&gt;=DT$5,$E109&lt;DT$5+GanttPeriod),"◇","")),IF(AND(DT$5&lt;=$F109,DT$5+GanttPeriod-1&gt;=$E109),"━","")))</f>
        <v/>
      </c>
      <c r="DU109" s="69" t="str">
        <f aca="false">IF($E109="","",IF($M109,IF(AND($G109&gt;=DU$5,$G109&lt;DU$5+GanttPeriod),"◆",IF(AND($E109&gt;=DU$5,$E109&lt;DU$5+GanttPeriod),"◇","")),IF(AND(DU$5&lt;=$F109,DU$5+GanttPeriod-1&gt;=$E109),"━","")))</f>
        <v/>
      </c>
      <c r="DV109" s="69" t="str">
        <f aca="false">IF($E109="","",IF($M109,IF(AND($G109&gt;=DV$5,$G109&lt;DV$5+GanttPeriod),"◆",IF(AND($E109&gt;=DV$5,$E109&lt;DV$5+GanttPeriod),"◇","")),IF(AND(DV$5&lt;=$F109,DV$5+GanttPeriod-1&gt;=$E109),"━","")))</f>
        <v/>
      </c>
      <c r="DW109" s="69" t="str">
        <f aca="false">IF($E109="","",IF($M109,IF(AND($G109&gt;=DW$5,$G109&lt;DW$5+GanttPeriod),"◆",IF(AND($E109&gt;=DW$5,$E109&lt;DW$5+GanttPeriod),"◇","")),IF(AND(DW$5&lt;=$F109,DW$5+GanttPeriod-1&gt;=$E109),"━","")))</f>
        <v/>
      </c>
      <c r="DX109" s="69" t="str">
        <f aca="false">IF($E109="","",IF($M109,IF(AND($G109&gt;=DX$5,$G109&lt;DX$5+GanttPeriod),"◆",IF(AND($E109&gt;=DX$5,$E109&lt;DX$5+GanttPeriod),"◇","")),IF(AND(DX$5&lt;=$F109,DX$5+GanttPeriod-1&gt;=$E109),"━","")))</f>
        <v/>
      </c>
      <c r="DY109" s="69" t="str">
        <f aca="false">IF($E109="","",IF($M109,IF(AND($G109&gt;=DY$5,$G109&lt;DY$5+GanttPeriod),"◆",IF(AND($E109&gt;=DY$5,$E109&lt;DY$5+GanttPeriod),"◇","")),IF(AND(DY$5&lt;=$F109,DY$5+GanttPeriod-1&gt;=$E109),"━","")))</f>
        <v/>
      </c>
      <c r="DZ109" s="69" t="str">
        <f aca="false">IF($E109="","",IF($M109,IF(AND($G109&gt;=DZ$5,$G109&lt;DZ$5+GanttPeriod),"◆",IF(AND($E109&gt;=DZ$5,$E109&lt;DZ$5+GanttPeriod),"◇","")),IF(AND(DZ$5&lt;=$F109,DZ$5+GanttPeriod-1&gt;=$E109),"━","")))</f>
        <v/>
      </c>
      <c r="EA109" s="69" t="str">
        <f aca="false">IF($E109="","",IF($M109,IF(AND($G109&gt;=EA$5,$G109&lt;EA$5+GanttPeriod),"◆",IF(AND($E109&gt;=EA$5,$E109&lt;EA$5+GanttPeriod),"◇","")),IF(AND(EA$5&lt;=$F109,EA$5+GanttPeriod-1&gt;=$E109),"━","")))</f>
        <v/>
      </c>
      <c r="EB109" s="69" t="str">
        <f aca="false">IF($E109="","",IF($M109,IF(AND($G109&gt;=EB$5,$G109&lt;EB$5+GanttPeriod),"◆",IF(AND($E109&gt;=EB$5,$E109&lt;EB$5+GanttPeriod),"◇","")),IF(AND(EB$5&lt;=$F109,EB$5+GanttPeriod-1&gt;=$E109),"━","")))</f>
        <v/>
      </c>
      <c r="EC109" s="69" t="str">
        <f aca="false">IF($E109="","",IF($M109,IF(AND($G109&gt;=EC$5,$G109&lt;EC$5+GanttPeriod),"◆",IF(AND($E109&gt;=EC$5,$E109&lt;EC$5+GanttPeriod),"◇","")),IF(AND(EC$5&lt;=$F109,EC$5+GanttPeriod-1&gt;=$E109),"━","")))</f>
        <v/>
      </c>
      <c r="ED109" s="69" t="str">
        <f aca="false">IF($E109="","",IF($M109,IF(AND($G109&gt;=ED$5,$G109&lt;ED$5+GanttPeriod),"◆",IF(AND($E109&gt;=ED$5,$E109&lt;ED$5+GanttPeriod),"◇","")),IF(AND(ED$5&lt;=$F109,ED$5+GanttPeriod-1&gt;=$E109),"━","")))</f>
        <v/>
      </c>
      <c r="EE109" s="69" t="str">
        <f aca="false">IF($E109="","",IF($M109,IF(AND($G109&gt;=EE$5,$G109&lt;EE$5+GanttPeriod),"◆",IF(AND($E109&gt;=EE$5,$E109&lt;EE$5+GanttPeriod),"◇","")),IF(AND(EE$5&lt;=$F109,EE$5+GanttPeriod-1&gt;=$E109),"━","")))</f>
        <v/>
      </c>
      <c r="EF109" s="69" t="str">
        <f aca="false">IF($E109="","",IF($M109,IF(AND($G109&gt;=EF$5,$G109&lt;EF$5+GanttPeriod),"◆",IF(AND($E109&gt;=EF$5,$E109&lt;EF$5+GanttPeriod),"◇","")),IF(AND(EF$5&lt;=$F109,EF$5+GanttPeriod-1&gt;=$E109),"━","")))</f>
        <v/>
      </c>
      <c r="EG109" s="69" t="str">
        <f aca="false">IF($E109="","",IF($M109,IF(AND($G109&gt;=EG$5,$G109&lt;EG$5+GanttPeriod),"◆",IF(AND($E109&gt;=EG$5,$E109&lt;EG$5+GanttPeriod),"◇","")),IF(AND(EG$5&lt;=$F109,EG$5+GanttPeriod-1&gt;=$E109),"━","")))</f>
        <v/>
      </c>
      <c r="EH109" s="69" t="str">
        <f aca="false">IF($E109="","",IF($M109,IF(AND($G109&gt;=EH$5,$G109&lt;EH$5+GanttPeriod),"◆",IF(AND($E109&gt;=EH$5,$E109&lt;EH$5+GanttPeriod),"◇","")),IF(AND(EH$5&lt;=$F109,EH$5+GanttPeriod-1&gt;=$E109),"━","")))</f>
        <v/>
      </c>
      <c r="EI109" s="69" t="str">
        <f aca="false">IF($E109="","",IF($M109,IF(AND($G109&gt;=EI$5,$G109&lt;EI$5+GanttPeriod),"◆",IF(AND($E109&gt;=EI$5,$E109&lt;EI$5+GanttPeriod),"◇","")),IF(AND(EI$5&lt;=$F109,EI$5+GanttPeriod-1&gt;=$E109),"━","")))</f>
        <v/>
      </c>
      <c r="EJ109" s="69" t="str">
        <f aca="false">IF($E109="","",IF($M109,IF(AND($G109&gt;=EJ$5,$G109&lt;EJ$5+GanttPeriod),"◆",IF(AND($E109&gt;=EJ$5,$E109&lt;EJ$5+GanttPeriod),"◇","")),IF(AND(EJ$5&lt;=$F109,EJ$5+GanttPeriod-1&gt;=$E109),"━","")))</f>
        <v/>
      </c>
      <c r="EK109" s="69" t="str">
        <f aca="false">IF($E109="","",IF($M109,IF(AND($G109&gt;=EK$5,$G109&lt;EK$5+GanttPeriod),"◆",IF(AND($E109&gt;=EK$5,$E109&lt;EK$5+GanttPeriod),"◇","")),IF(AND(EK$5&lt;=$F109,EK$5+GanttPeriod-1&gt;=$E109),"━","")))</f>
        <v/>
      </c>
      <c r="EL109" s="69" t="str">
        <f aca="false">IF($E109="","",IF($M109,IF(AND($G109&gt;=EL$5,$G109&lt;EL$5+GanttPeriod),"◆",IF(AND($E109&gt;=EL$5,$E109&lt;EL$5+GanttPeriod),"◇","")),IF(AND(EL$5&lt;=$F109,EL$5+GanttPeriod-1&gt;=$E109),"━","")))</f>
        <v/>
      </c>
      <c r="EM109" s="69" t="str">
        <f aca="false">IF($E109="","",IF($M109,IF(AND($G109&gt;=EM$5,$G109&lt;EM$5+GanttPeriod),"◆",IF(AND($E109&gt;=EM$5,$E109&lt;EM$5+GanttPeriod),"◇","")),IF(AND(EM$5&lt;=$F109,EM$5+GanttPeriod-1&gt;=$E109),"━","")))</f>
        <v/>
      </c>
      <c r="EN109" s="69" t="str">
        <f aca="false">IF($E109="","",IF($M109,IF(AND($G109&gt;=EN$5,$G109&lt;EN$5+GanttPeriod),"◆",IF(AND($E109&gt;=EN$5,$E109&lt;EN$5+GanttPeriod),"◇","")),IF(AND(EN$5&lt;=$F109,EN$5+GanttPeriod-1&gt;=$E109),"━","")))</f>
        <v/>
      </c>
      <c r="EO109" s="69" t="str">
        <f aca="false">IF($E109="","",IF($M109,IF(AND($G109&gt;=EO$5,$G109&lt;EO$5+GanttPeriod),"◆",IF(AND($E109&gt;=EO$5,$E109&lt;EO$5+GanttPeriod),"◇","")),IF(AND(EO$5&lt;=$F109,EO$5+GanttPeriod-1&gt;=$E109),"━","")))</f>
        <v/>
      </c>
      <c r="EP109" s="69" t="str">
        <f aca="false">IF($E109="","",IF($M109,IF(AND($G109&gt;=EP$5,$G109&lt;EP$5+GanttPeriod),"◆",IF(AND($E109&gt;=EP$5,$E109&lt;EP$5+GanttPeriod),"◇","")),IF(AND(EP$5&lt;=$F109,EP$5+GanttPeriod-1&gt;=$E109),"━","")))</f>
        <v/>
      </c>
      <c r="EQ109" s="69" t="str">
        <f aca="false">IF($E109="","",IF($M109,IF(AND($G109&gt;=EQ$5,$G109&lt;EQ$5+GanttPeriod),"◆",IF(AND($E109&gt;=EQ$5,$E109&lt;EQ$5+GanttPeriod),"◇","")),IF(AND(EQ$5&lt;=$F109,EQ$5+GanttPeriod-1&gt;=$E109),"━","")))</f>
        <v/>
      </c>
      <c r="ER109" s="69" t="str">
        <f aca="false">IF($E109="","",IF($M109,IF(AND($G109&gt;=ER$5,$G109&lt;ER$5+GanttPeriod),"◆",IF(AND($E109&gt;=ER$5,$E109&lt;ER$5+GanttPeriod),"◇","")),IF(AND(ER$5&lt;=$F109,ER$5+GanttPeriod-1&gt;=$E109),"━","")))</f>
        <v/>
      </c>
      <c r="ES109" s="69" t="str">
        <f aca="false">IF($E109="","",IF($M109,IF(AND($G109&gt;=ES$5,$G109&lt;ES$5+GanttPeriod),"◆",IF(AND($E109&gt;=ES$5,$E109&lt;ES$5+GanttPeriod),"◇","")),IF(AND(ES$5&lt;=$F109,ES$5+GanttPeriod-1&gt;=$E109),"━","")))</f>
        <v/>
      </c>
      <c r="ET109" s="69" t="str">
        <f aca="false">IF($E109="","",IF($M109,IF(AND($G109&gt;=ET$5,$G109&lt;ET$5+GanttPeriod),"◆",IF(AND($E109&gt;=ET$5,$E109&lt;ET$5+GanttPeriod),"◇","")),IF(AND(ET$5&lt;=$F109,ET$5+GanttPeriod-1&gt;=$E109),"━","")))</f>
        <v/>
      </c>
      <c r="EU109" s="69" t="str">
        <f aca="false">IF($E109="","",IF($M109,IF(AND($G109&gt;=EU$5,$G109&lt;EU$5+GanttPeriod),"◆",IF(AND($E109&gt;=EU$5,$E109&lt;EU$5+GanttPeriod),"◇","")),IF(AND(EU$5&lt;=$F109,EU$5+GanttPeriod-1&gt;=$E109),"━","")))</f>
        <v/>
      </c>
      <c r="EV109" s="69" t="str">
        <f aca="false">IF($E109="","",IF($M109,IF(AND($G109&gt;=EV$5,$G109&lt;EV$5+GanttPeriod),"◆",IF(AND($E109&gt;=EV$5,$E109&lt;EV$5+GanttPeriod),"◇","")),IF(AND(EV$5&lt;=$F109,EV$5+GanttPeriod-1&gt;=$E109),"━","")))</f>
        <v/>
      </c>
      <c r="EW109" s="69" t="str">
        <f aca="false">IF($E109="","",IF($M109,IF(AND($G109&gt;=EW$5,$G109&lt;EW$5+GanttPeriod),"◆",IF(AND($E109&gt;=EW$5,$E109&lt;EW$5+GanttPeriod),"◇","")),IF(AND(EW$5&lt;=$F109,EW$5+GanttPeriod-1&gt;=$E109),"━","")))</f>
        <v/>
      </c>
      <c r="EX109" s="69" t="str">
        <f aca="false">IF($E109="","",IF($M109,IF(AND($G109&gt;=EX$5,$G109&lt;EX$5+GanttPeriod),"◆",IF(AND($E109&gt;=EX$5,$E109&lt;EX$5+GanttPeriod),"◇","")),IF(AND(EX$5&lt;=$F109,EX$5+GanttPeriod-1&gt;=$E109),"━","")))</f>
        <v/>
      </c>
      <c r="EY109" s="69" t="str">
        <f aca="false">IF($E109="","",IF($M109,IF(AND($G109&gt;=EY$5,$G109&lt;EY$5+GanttPeriod),"◆",IF(AND($E109&gt;=EY$5,$E109&lt;EY$5+GanttPeriod),"◇","")),IF(AND(EY$5&lt;=$F109,EY$5+GanttPeriod-1&gt;=$E109),"━","")))</f>
        <v/>
      </c>
      <c r="EZ109" s="69" t="str">
        <f aca="false">IF($E109="","",IF($M109,IF(AND($G109&gt;=EZ$5,$G109&lt;EZ$5+GanttPeriod),"◆",IF(AND($E109&gt;=EZ$5,$E109&lt;EZ$5+GanttPeriod),"◇","")),IF(AND(EZ$5&lt;=$F109,EZ$5+GanttPeriod-1&gt;=$E109),"━","")))</f>
        <v/>
      </c>
      <c r="FA109" s="69" t="str">
        <f aca="false">IF($E109="","",IF($M109,IF(AND($G109&gt;=FA$5,$G109&lt;FA$5+GanttPeriod),"◆",IF(AND($E109&gt;=FA$5,$E109&lt;FA$5+GanttPeriod),"◇","")),IF(AND(FA$5&lt;=$F109,FA$5+GanttPeriod-1&gt;=$E109),"━","")))</f>
        <v/>
      </c>
      <c r="FB109" s="69" t="str">
        <f aca="false">IF($E109="","",IF($M109,IF(AND($G109&gt;=FB$5,$G109&lt;FB$5+GanttPeriod),"◆",IF(AND($E109&gt;=FB$5,$E109&lt;FB$5+GanttPeriod),"◇","")),IF(AND(FB$5&lt;=$F109,FB$5+GanttPeriod-1&gt;=$E109),"━","")))</f>
        <v/>
      </c>
      <c r="FC109" s="69" t="str">
        <f aca="false">IF($E109="","",IF($M109,IF(AND($G109&gt;=FC$5,$G109&lt;FC$5+GanttPeriod),"◆",IF(AND($E109&gt;=FC$5,$E109&lt;FC$5+GanttPeriod),"◇","")),IF(AND(FC$5&lt;=$F109,FC$5+GanttPeriod-1&gt;=$E109),"━","")))</f>
        <v/>
      </c>
      <c r="FD109" s="69" t="str">
        <f aca="false">IF($E109="","",IF($M109,IF(AND($G109&gt;=FD$5,$G109&lt;FD$5+GanttPeriod),"◆",IF(AND($E109&gt;=FD$5,$E109&lt;FD$5+GanttPeriod),"◇","")),IF(AND(FD$5&lt;=$F109,FD$5+GanttPeriod-1&gt;=$E109),"━","")))</f>
        <v/>
      </c>
      <c r="FE109" s="69" t="str">
        <f aca="false">IF($E109="","",IF($M109,IF(AND($G109&gt;=FE$5,$G109&lt;FE$5+GanttPeriod),"◆",IF(AND($E109&gt;=FE$5,$E109&lt;FE$5+GanttPeriod),"◇","")),IF(AND(FE$5&lt;=$F109,FE$5+GanttPeriod-1&gt;=$E109),"━","")))</f>
        <v/>
      </c>
      <c r="FF109" s="69" t="str">
        <f aca="false">IF($E109="","",IF($M109,IF(AND($G109&gt;=FF$5,$G109&lt;FF$5+GanttPeriod),"◆",IF(AND($E109&gt;=FF$5,$E109&lt;FF$5+GanttPeriod),"◇","")),IF(AND(FF$5&lt;=$F109,FF$5+GanttPeriod-1&gt;=$E109),"━","")))</f>
        <v/>
      </c>
      <c r="FG109" s="69" t="str">
        <f aca="false">IF($E109="","",IF($M109,IF(AND($G109&gt;=FG$5,$G109&lt;FG$5+GanttPeriod),"◆",IF(AND($E109&gt;=FG$5,$E109&lt;FG$5+GanttPeriod),"◇","")),IF(AND(FG$5&lt;=$F109,FG$5+GanttPeriod-1&gt;=$E109),"━","")))</f>
        <v/>
      </c>
      <c r="FH109" s="69" t="str">
        <f aca="false">IF($E109="","",IF($M109,IF(AND($G109&gt;=FH$5,$G109&lt;FH$5+GanttPeriod),"◆",IF(AND($E109&gt;=FH$5,$E109&lt;FH$5+GanttPeriod),"◇","")),IF(AND(FH$5&lt;=$F109,FH$5+GanttPeriod-1&gt;=$E109),"━","")))</f>
        <v/>
      </c>
      <c r="FI109" s="69" t="str">
        <f aca="false">IF($E109="","",IF($M109,IF(AND($G109&gt;=FI$5,$G109&lt;FI$5+GanttPeriod),"◆",IF(AND($E109&gt;=FI$5,$E109&lt;FI$5+GanttPeriod),"◇","")),IF(AND(FI$5&lt;=$F109,FI$5+GanttPeriod-1&gt;=$E109),"━","")))</f>
        <v/>
      </c>
      <c r="FJ109" s="69" t="str">
        <f aca="false">IF($E109="","",IF($M109,IF(AND($G109&gt;=FJ$5,$G109&lt;FJ$5+GanttPeriod),"◆",IF(AND($E109&gt;=FJ$5,$E109&lt;FJ$5+GanttPeriod),"◇","")),IF(AND(FJ$5&lt;=$F109,FJ$5+GanttPeriod-1&gt;=$E109),"━","")))</f>
        <v/>
      </c>
      <c r="FK109" s="69" t="str">
        <f aca="false">IF($E109="","",IF($M109,IF(AND($G109&gt;=FK$5,$G109&lt;FK$5+GanttPeriod),"◆",IF(AND($E109&gt;=FK$5,$E109&lt;FK$5+GanttPeriod),"◇","")),IF(AND(FK$5&lt;=$F109,FK$5+GanttPeriod-1&gt;=$E109),"━","")))</f>
        <v/>
      </c>
      <c r="FL109" s="69" t="str">
        <f aca="false">IF($E109="","",IF($M109,IF(AND($G109&gt;=FL$5,$G109&lt;FL$5+GanttPeriod),"◆",IF(AND($E109&gt;=FL$5,$E109&lt;FL$5+GanttPeriod),"◇","")),IF(AND(FL$5&lt;=$F109,FL$5+GanttPeriod-1&gt;=$E109),"━","")))</f>
        <v/>
      </c>
      <c r="FM109" s="69" t="str">
        <f aca="false">IF($E109="","",IF($M109,IF(AND($G109&gt;=FM$5,$G109&lt;FM$5+GanttPeriod),"◆",IF(AND($E109&gt;=FM$5,$E109&lt;FM$5+GanttPeriod),"◇","")),IF(AND(FM$5&lt;=$F109,FM$5+GanttPeriod-1&gt;=$E109),"━","")))</f>
        <v/>
      </c>
    </row>
    <row r="110" customFormat="false" ht="15" hidden="false" customHeight="false" outlineLevel="0" collapsed="false">
      <c r="A110" s="62" t="str">
        <f aca="false">IF(Tasks!$D110="","",Tasks!$A110)</f>
        <v/>
      </c>
      <c r="B110" s="62" t="str">
        <f aca="false">IF(Tasks!$D110="","",Tasks!$B110)</f>
        <v/>
      </c>
      <c r="C110" s="63" t="str">
        <f aca="false">IF(Tasks!$D110="","",REPT("    ",Tasks!$AE110-1)&amp;Tasks!$D110)</f>
        <v/>
      </c>
      <c r="D110" s="62" t="str">
        <f aca="false">IF(Tasks!$D110="","",IF(Tasks!$AI110,NETWORKDAYS.INTL(Tasks!$R110,Tasks!$S110,WorkWeek,Holidays),N(Tasks!$F110)))</f>
        <v/>
      </c>
      <c r="E110" s="64" t="str">
        <f aca="false">IF(Tasks!$D110="","",Tasks!$N110)</f>
        <v/>
      </c>
      <c r="F110" s="64" t="str">
        <f aca="false">IF(Tasks!$D110="","",Tasks!$O110)</f>
        <v/>
      </c>
      <c r="G110" s="64" t="str">
        <f aca="false">IF(Tasks!$D110="","",Tasks!$R110)</f>
        <v/>
      </c>
      <c r="H110" s="64" t="str">
        <f aca="false">IF(Tasks!$D110="","",Tasks!$S110)</f>
        <v/>
      </c>
      <c r="I110" s="65" t="str">
        <f aca="false">IF(Tasks!$D110="","",Tasks!$V110)</f>
        <v/>
      </c>
      <c r="J110" s="63" t="str">
        <f aca="false">IF(Tasks!$D110="","",Tasks!$X110&amp;"")</f>
        <v/>
      </c>
      <c r="K110" s="66" t="str">
        <f aca="false">IF(Tasks!$D110="","",Tasks!$W110)</f>
        <v/>
      </c>
      <c r="L110" s="67" t="b">
        <f aca="false">IF(Tasks!$D110="",FALSE(),Tasks!$AI110)</f>
        <v>0</v>
      </c>
      <c r="M110" s="67" t="b">
        <f aca="false">AND(Tasks!$AJ110=1,N(Tasks!$F110)=0)</f>
        <v>0</v>
      </c>
      <c r="N110" s="68" t="n">
        <f aca="false">IF(AND(Tasks!$AJ110=1,NOT($M110),N($I110)&gt;0),$G110,0)</f>
        <v>0</v>
      </c>
      <c r="O110" s="68" t="n">
        <f aca="false">IF($N110=0,0,IF($I110&gt;=1,$H110,MAX($N110,$G110+ROUND(($H110-$G110+1)*$I110,0)-1)))</f>
        <v>0</v>
      </c>
      <c r="P110" s="68" t="n">
        <f aca="false">IF(OR(Tasks!$AJ110&lt;&gt;1,$M110,N($I110)&gt;=1),0,IF($O110&gt;0,$O110+1,$G110))</f>
        <v>0</v>
      </c>
      <c r="Q110" s="68" t="n">
        <f aca="false">IF($P110=0,0,$H110)</f>
        <v>0</v>
      </c>
      <c r="R110" s="67" t="b">
        <f aca="false">AND(Tasks!$D110&lt;&gt;"",N(Tasks!$T110)&gt;0)</f>
        <v>0</v>
      </c>
      <c r="T110" s="69" t="str">
        <f aca="false">IF($E110="","",IF($M110,IF(AND($G110&gt;=T$5,$G110&lt;T$5+GanttPeriod),"◆",IF(AND($E110&gt;=T$5,$E110&lt;T$5+GanttPeriod),"◇","")),IF(AND(T$5&lt;=$F110,T$5+GanttPeriod-1&gt;=$E110),"━","")))</f>
        <v/>
      </c>
      <c r="U110" s="69" t="str">
        <f aca="false">IF($E110="","",IF($M110,IF(AND($G110&gt;=U$5,$G110&lt;U$5+GanttPeriod),"◆",IF(AND($E110&gt;=U$5,$E110&lt;U$5+GanttPeriod),"◇","")),IF(AND(U$5&lt;=$F110,U$5+GanttPeriod-1&gt;=$E110),"━","")))</f>
        <v/>
      </c>
      <c r="V110" s="69" t="str">
        <f aca="false">IF($E110="","",IF($M110,IF(AND($G110&gt;=V$5,$G110&lt;V$5+GanttPeriod),"◆",IF(AND($E110&gt;=V$5,$E110&lt;V$5+GanttPeriod),"◇","")),IF(AND(V$5&lt;=$F110,V$5+GanttPeriod-1&gt;=$E110),"━","")))</f>
        <v/>
      </c>
      <c r="W110" s="69" t="str">
        <f aca="false">IF($E110="","",IF($M110,IF(AND($G110&gt;=W$5,$G110&lt;W$5+GanttPeriod),"◆",IF(AND($E110&gt;=W$5,$E110&lt;W$5+GanttPeriod),"◇","")),IF(AND(W$5&lt;=$F110,W$5+GanttPeriod-1&gt;=$E110),"━","")))</f>
        <v/>
      </c>
      <c r="X110" s="69" t="str">
        <f aca="false">IF($E110="","",IF($M110,IF(AND($G110&gt;=X$5,$G110&lt;X$5+GanttPeriod),"◆",IF(AND($E110&gt;=X$5,$E110&lt;X$5+GanttPeriod),"◇","")),IF(AND(X$5&lt;=$F110,X$5+GanttPeriod-1&gt;=$E110),"━","")))</f>
        <v/>
      </c>
      <c r="Y110" s="69" t="str">
        <f aca="false">IF($E110="","",IF($M110,IF(AND($G110&gt;=Y$5,$G110&lt;Y$5+GanttPeriod),"◆",IF(AND($E110&gt;=Y$5,$E110&lt;Y$5+GanttPeriod),"◇","")),IF(AND(Y$5&lt;=$F110,Y$5+GanttPeriod-1&gt;=$E110),"━","")))</f>
        <v/>
      </c>
      <c r="Z110" s="69" t="str">
        <f aca="false">IF($E110="","",IF($M110,IF(AND($G110&gt;=Z$5,$G110&lt;Z$5+GanttPeriod),"◆",IF(AND($E110&gt;=Z$5,$E110&lt;Z$5+GanttPeriod),"◇","")),IF(AND(Z$5&lt;=$F110,Z$5+GanttPeriod-1&gt;=$E110),"━","")))</f>
        <v/>
      </c>
      <c r="AA110" s="69" t="str">
        <f aca="false">IF($E110="","",IF($M110,IF(AND($G110&gt;=AA$5,$G110&lt;AA$5+GanttPeriod),"◆",IF(AND($E110&gt;=AA$5,$E110&lt;AA$5+GanttPeriod),"◇","")),IF(AND(AA$5&lt;=$F110,AA$5+GanttPeriod-1&gt;=$E110),"━","")))</f>
        <v/>
      </c>
      <c r="AB110" s="69" t="str">
        <f aca="false">IF($E110="","",IF($M110,IF(AND($G110&gt;=AB$5,$G110&lt;AB$5+GanttPeriod),"◆",IF(AND($E110&gt;=AB$5,$E110&lt;AB$5+GanttPeriod),"◇","")),IF(AND(AB$5&lt;=$F110,AB$5+GanttPeriod-1&gt;=$E110),"━","")))</f>
        <v/>
      </c>
      <c r="AC110" s="69" t="str">
        <f aca="false">IF($E110="","",IF($M110,IF(AND($G110&gt;=AC$5,$G110&lt;AC$5+GanttPeriod),"◆",IF(AND($E110&gt;=AC$5,$E110&lt;AC$5+GanttPeriod),"◇","")),IF(AND(AC$5&lt;=$F110,AC$5+GanttPeriod-1&gt;=$E110),"━","")))</f>
        <v/>
      </c>
      <c r="AD110" s="69" t="str">
        <f aca="false">IF($E110="","",IF($M110,IF(AND($G110&gt;=AD$5,$G110&lt;AD$5+GanttPeriod),"◆",IF(AND($E110&gt;=AD$5,$E110&lt;AD$5+GanttPeriod),"◇","")),IF(AND(AD$5&lt;=$F110,AD$5+GanttPeriod-1&gt;=$E110),"━","")))</f>
        <v/>
      </c>
      <c r="AE110" s="69" t="str">
        <f aca="false">IF($E110="","",IF($M110,IF(AND($G110&gt;=AE$5,$G110&lt;AE$5+GanttPeriod),"◆",IF(AND($E110&gt;=AE$5,$E110&lt;AE$5+GanttPeriod),"◇","")),IF(AND(AE$5&lt;=$F110,AE$5+GanttPeriod-1&gt;=$E110),"━","")))</f>
        <v/>
      </c>
      <c r="AF110" s="69" t="str">
        <f aca="false">IF($E110="","",IF($M110,IF(AND($G110&gt;=AF$5,$G110&lt;AF$5+GanttPeriod),"◆",IF(AND($E110&gt;=AF$5,$E110&lt;AF$5+GanttPeriod),"◇","")),IF(AND(AF$5&lt;=$F110,AF$5+GanttPeriod-1&gt;=$E110),"━","")))</f>
        <v/>
      </c>
      <c r="AG110" s="69" t="str">
        <f aca="false">IF($E110="","",IF($M110,IF(AND($G110&gt;=AG$5,$G110&lt;AG$5+GanttPeriod),"◆",IF(AND($E110&gt;=AG$5,$E110&lt;AG$5+GanttPeriod),"◇","")),IF(AND(AG$5&lt;=$F110,AG$5+GanttPeriod-1&gt;=$E110),"━","")))</f>
        <v/>
      </c>
      <c r="AH110" s="69" t="str">
        <f aca="false">IF($E110="","",IF($M110,IF(AND($G110&gt;=AH$5,$G110&lt;AH$5+GanttPeriod),"◆",IF(AND($E110&gt;=AH$5,$E110&lt;AH$5+GanttPeriod),"◇","")),IF(AND(AH$5&lt;=$F110,AH$5+GanttPeriod-1&gt;=$E110),"━","")))</f>
        <v/>
      </c>
      <c r="AI110" s="69" t="str">
        <f aca="false">IF($E110="","",IF($M110,IF(AND($G110&gt;=AI$5,$G110&lt;AI$5+GanttPeriod),"◆",IF(AND($E110&gt;=AI$5,$E110&lt;AI$5+GanttPeriod),"◇","")),IF(AND(AI$5&lt;=$F110,AI$5+GanttPeriod-1&gt;=$E110),"━","")))</f>
        <v/>
      </c>
      <c r="AJ110" s="69" t="str">
        <f aca="false">IF($E110="","",IF($M110,IF(AND($G110&gt;=AJ$5,$G110&lt;AJ$5+GanttPeriod),"◆",IF(AND($E110&gt;=AJ$5,$E110&lt;AJ$5+GanttPeriod),"◇","")),IF(AND(AJ$5&lt;=$F110,AJ$5+GanttPeriod-1&gt;=$E110),"━","")))</f>
        <v/>
      </c>
      <c r="AK110" s="69" t="str">
        <f aca="false">IF($E110="","",IF($M110,IF(AND($G110&gt;=AK$5,$G110&lt;AK$5+GanttPeriod),"◆",IF(AND($E110&gt;=AK$5,$E110&lt;AK$5+GanttPeriod),"◇","")),IF(AND(AK$5&lt;=$F110,AK$5+GanttPeriod-1&gt;=$E110),"━","")))</f>
        <v/>
      </c>
      <c r="AL110" s="69" t="str">
        <f aca="false">IF($E110="","",IF($M110,IF(AND($G110&gt;=AL$5,$G110&lt;AL$5+GanttPeriod),"◆",IF(AND($E110&gt;=AL$5,$E110&lt;AL$5+GanttPeriod),"◇","")),IF(AND(AL$5&lt;=$F110,AL$5+GanttPeriod-1&gt;=$E110),"━","")))</f>
        <v/>
      </c>
      <c r="AM110" s="69" t="str">
        <f aca="false">IF($E110="","",IF($M110,IF(AND($G110&gt;=AM$5,$G110&lt;AM$5+GanttPeriod),"◆",IF(AND($E110&gt;=AM$5,$E110&lt;AM$5+GanttPeriod),"◇","")),IF(AND(AM$5&lt;=$F110,AM$5+GanttPeriod-1&gt;=$E110),"━","")))</f>
        <v/>
      </c>
      <c r="AN110" s="69" t="str">
        <f aca="false">IF($E110="","",IF($M110,IF(AND($G110&gt;=AN$5,$G110&lt;AN$5+GanttPeriod),"◆",IF(AND($E110&gt;=AN$5,$E110&lt;AN$5+GanttPeriod),"◇","")),IF(AND(AN$5&lt;=$F110,AN$5+GanttPeriod-1&gt;=$E110),"━","")))</f>
        <v/>
      </c>
      <c r="AO110" s="69" t="str">
        <f aca="false">IF($E110="","",IF($M110,IF(AND($G110&gt;=AO$5,$G110&lt;AO$5+GanttPeriod),"◆",IF(AND($E110&gt;=AO$5,$E110&lt;AO$5+GanttPeriod),"◇","")),IF(AND(AO$5&lt;=$F110,AO$5+GanttPeriod-1&gt;=$E110),"━","")))</f>
        <v/>
      </c>
      <c r="AP110" s="69" t="str">
        <f aca="false">IF($E110="","",IF($M110,IF(AND($G110&gt;=AP$5,$G110&lt;AP$5+GanttPeriod),"◆",IF(AND($E110&gt;=AP$5,$E110&lt;AP$5+GanttPeriod),"◇","")),IF(AND(AP$5&lt;=$F110,AP$5+GanttPeriod-1&gt;=$E110),"━","")))</f>
        <v/>
      </c>
      <c r="AQ110" s="69" t="str">
        <f aca="false">IF($E110="","",IF($M110,IF(AND($G110&gt;=AQ$5,$G110&lt;AQ$5+GanttPeriod),"◆",IF(AND($E110&gt;=AQ$5,$E110&lt;AQ$5+GanttPeriod),"◇","")),IF(AND(AQ$5&lt;=$F110,AQ$5+GanttPeriod-1&gt;=$E110),"━","")))</f>
        <v/>
      </c>
      <c r="AR110" s="69" t="str">
        <f aca="false">IF($E110="","",IF($M110,IF(AND($G110&gt;=AR$5,$G110&lt;AR$5+GanttPeriod),"◆",IF(AND($E110&gt;=AR$5,$E110&lt;AR$5+GanttPeriod),"◇","")),IF(AND(AR$5&lt;=$F110,AR$5+GanttPeriod-1&gt;=$E110),"━","")))</f>
        <v/>
      </c>
      <c r="AS110" s="69" t="str">
        <f aca="false">IF($E110="","",IF($M110,IF(AND($G110&gt;=AS$5,$G110&lt;AS$5+GanttPeriod),"◆",IF(AND($E110&gt;=AS$5,$E110&lt;AS$5+GanttPeriod),"◇","")),IF(AND(AS$5&lt;=$F110,AS$5+GanttPeriod-1&gt;=$E110),"━","")))</f>
        <v/>
      </c>
      <c r="AT110" s="69" t="str">
        <f aca="false">IF($E110="","",IF($M110,IF(AND($G110&gt;=AT$5,$G110&lt;AT$5+GanttPeriod),"◆",IF(AND($E110&gt;=AT$5,$E110&lt;AT$5+GanttPeriod),"◇","")),IF(AND(AT$5&lt;=$F110,AT$5+GanttPeriod-1&gt;=$E110),"━","")))</f>
        <v/>
      </c>
      <c r="AU110" s="69" t="str">
        <f aca="false">IF($E110="","",IF($M110,IF(AND($G110&gt;=AU$5,$G110&lt;AU$5+GanttPeriod),"◆",IF(AND($E110&gt;=AU$5,$E110&lt;AU$5+GanttPeriod),"◇","")),IF(AND(AU$5&lt;=$F110,AU$5+GanttPeriod-1&gt;=$E110),"━","")))</f>
        <v/>
      </c>
      <c r="AV110" s="69" t="str">
        <f aca="false">IF($E110="","",IF($M110,IF(AND($G110&gt;=AV$5,$G110&lt;AV$5+GanttPeriod),"◆",IF(AND($E110&gt;=AV$5,$E110&lt;AV$5+GanttPeriod),"◇","")),IF(AND(AV$5&lt;=$F110,AV$5+GanttPeriod-1&gt;=$E110),"━","")))</f>
        <v/>
      </c>
      <c r="AW110" s="69" t="str">
        <f aca="false">IF($E110="","",IF($M110,IF(AND($G110&gt;=AW$5,$G110&lt;AW$5+GanttPeriod),"◆",IF(AND($E110&gt;=AW$5,$E110&lt;AW$5+GanttPeriod),"◇","")),IF(AND(AW$5&lt;=$F110,AW$5+GanttPeriod-1&gt;=$E110),"━","")))</f>
        <v/>
      </c>
      <c r="AX110" s="69" t="str">
        <f aca="false">IF($E110="","",IF($M110,IF(AND($G110&gt;=AX$5,$G110&lt;AX$5+GanttPeriod),"◆",IF(AND($E110&gt;=AX$5,$E110&lt;AX$5+GanttPeriod),"◇","")),IF(AND(AX$5&lt;=$F110,AX$5+GanttPeriod-1&gt;=$E110),"━","")))</f>
        <v/>
      </c>
      <c r="AY110" s="69" t="str">
        <f aca="false">IF($E110="","",IF($M110,IF(AND($G110&gt;=AY$5,$G110&lt;AY$5+GanttPeriod),"◆",IF(AND($E110&gt;=AY$5,$E110&lt;AY$5+GanttPeriod),"◇","")),IF(AND(AY$5&lt;=$F110,AY$5+GanttPeriod-1&gt;=$E110),"━","")))</f>
        <v/>
      </c>
      <c r="AZ110" s="69" t="str">
        <f aca="false">IF($E110="","",IF($M110,IF(AND($G110&gt;=AZ$5,$G110&lt;AZ$5+GanttPeriod),"◆",IF(AND($E110&gt;=AZ$5,$E110&lt;AZ$5+GanttPeriod),"◇","")),IF(AND(AZ$5&lt;=$F110,AZ$5+GanttPeriod-1&gt;=$E110),"━","")))</f>
        <v/>
      </c>
      <c r="BA110" s="69" t="str">
        <f aca="false">IF($E110="","",IF($M110,IF(AND($G110&gt;=BA$5,$G110&lt;BA$5+GanttPeriod),"◆",IF(AND($E110&gt;=BA$5,$E110&lt;BA$5+GanttPeriod),"◇","")),IF(AND(BA$5&lt;=$F110,BA$5+GanttPeriod-1&gt;=$E110),"━","")))</f>
        <v/>
      </c>
      <c r="BB110" s="69" t="str">
        <f aca="false">IF($E110="","",IF($M110,IF(AND($G110&gt;=BB$5,$G110&lt;BB$5+GanttPeriod),"◆",IF(AND($E110&gt;=BB$5,$E110&lt;BB$5+GanttPeriod),"◇","")),IF(AND(BB$5&lt;=$F110,BB$5+GanttPeriod-1&gt;=$E110),"━","")))</f>
        <v/>
      </c>
      <c r="BC110" s="69" t="str">
        <f aca="false">IF($E110="","",IF($M110,IF(AND($G110&gt;=BC$5,$G110&lt;BC$5+GanttPeriod),"◆",IF(AND($E110&gt;=BC$5,$E110&lt;BC$5+GanttPeriod),"◇","")),IF(AND(BC$5&lt;=$F110,BC$5+GanttPeriod-1&gt;=$E110),"━","")))</f>
        <v/>
      </c>
      <c r="BD110" s="69" t="str">
        <f aca="false">IF($E110="","",IF($M110,IF(AND($G110&gt;=BD$5,$G110&lt;BD$5+GanttPeriod),"◆",IF(AND($E110&gt;=BD$5,$E110&lt;BD$5+GanttPeriod),"◇","")),IF(AND(BD$5&lt;=$F110,BD$5+GanttPeriod-1&gt;=$E110),"━","")))</f>
        <v/>
      </c>
      <c r="BE110" s="69" t="str">
        <f aca="false">IF($E110="","",IF($M110,IF(AND($G110&gt;=BE$5,$G110&lt;BE$5+GanttPeriod),"◆",IF(AND($E110&gt;=BE$5,$E110&lt;BE$5+GanttPeriod),"◇","")),IF(AND(BE$5&lt;=$F110,BE$5+GanttPeriod-1&gt;=$E110),"━","")))</f>
        <v/>
      </c>
      <c r="BF110" s="69" t="str">
        <f aca="false">IF($E110="","",IF($M110,IF(AND($G110&gt;=BF$5,$G110&lt;BF$5+GanttPeriod),"◆",IF(AND($E110&gt;=BF$5,$E110&lt;BF$5+GanttPeriod),"◇","")),IF(AND(BF$5&lt;=$F110,BF$5+GanttPeriod-1&gt;=$E110),"━","")))</f>
        <v/>
      </c>
      <c r="BG110" s="69" t="str">
        <f aca="false">IF($E110="","",IF($M110,IF(AND($G110&gt;=BG$5,$G110&lt;BG$5+GanttPeriod),"◆",IF(AND($E110&gt;=BG$5,$E110&lt;BG$5+GanttPeriod),"◇","")),IF(AND(BG$5&lt;=$F110,BG$5+GanttPeriod-1&gt;=$E110),"━","")))</f>
        <v/>
      </c>
      <c r="BH110" s="69" t="str">
        <f aca="false">IF($E110="","",IF($M110,IF(AND($G110&gt;=BH$5,$G110&lt;BH$5+GanttPeriod),"◆",IF(AND($E110&gt;=BH$5,$E110&lt;BH$5+GanttPeriod),"◇","")),IF(AND(BH$5&lt;=$F110,BH$5+GanttPeriod-1&gt;=$E110),"━","")))</f>
        <v/>
      </c>
      <c r="BI110" s="69" t="str">
        <f aca="false">IF($E110="","",IF($M110,IF(AND($G110&gt;=BI$5,$G110&lt;BI$5+GanttPeriod),"◆",IF(AND($E110&gt;=BI$5,$E110&lt;BI$5+GanttPeriod),"◇","")),IF(AND(BI$5&lt;=$F110,BI$5+GanttPeriod-1&gt;=$E110),"━","")))</f>
        <v/>
      </c>
      <c r="BJ110" s="69" t="str">
        <f aca="false">IF($E110="","",IF($M110,IF(AND($G110&gt;=BJ$5,$G110&lt;BJ$5+GanttPeriod),"◆",IF(AND($E110&gt;=BJ$5,$E110&lt;BJ$5+GanttPeriod),"◇","")),IF(AND(BJ$5&lt;=$F110,BJ$5+GanttPeriod-1&gt;=$E110),"━","")))</f>
        <v/>
      </c>
      <c r="BK110" s="69" t="str">
        <f aca="false">IF($E110="","",IF($M110,IF(AND($G110&gt;=BK$5,$G110&lt;BK$5+GanttPeriod),"◆",IF(AND($E110&gt;=BK$5,$E110&lt;BK$5+GanttPeriod),"◇","")),IF(AND(BK$5&lt;=$F110,BK$5+GanttPeriod-1&gt;=$E110),"━","")))</f>
        <v/>
      </c>
      <c r="BL110" s="69" t="str">
        <f aca="false">IF($E110="","",IF($M110,IF(AND($G110&gt;=BL$5,$G110&lt;BL$5+GanttPeriod),"◆",IF(AND($E110&gt;=BL$5,$E110&lt;BL$5+GanttPeriod),"◇","")),IF(AND(BL$5&lt;=$F110,BL$5+GanttPeriod-1&gt;=$E110),"━","")))</f>
        <v/>
      </c>
      <c r="BM110" s="69" t="str">
        <f aca="false">IF($E110="","",IF($M110,IF(AND($G110&gt;=BM$5,$G110&lt;BM$5+GanttPeriod),"◆",IF(AND($E110&gt;=BM$5,$E110&lt;BM$5+GanttPeriod),"◇","")),IF(AND(BM$5&lt;=$F110,BM$5+GanttPeriod-1&gt;=$E110),"━","")))</f>
        <v/>
      </c>
      <c r="BN110" s="69" t="str">
        <f aca="false">IF($E110="","",IF($M110,IF(AND($G110&gt;=BN$5,$G110&lt;BN$5+GanttPeriod),"◆",IF(AND($E110&gt;=BN$5,$E110&lt;BN$5+GanttPeriod),"◇","")),IF(AND(BN$5&lt;=$F110,BN$5+GanttPeriod-1&gt;=$E110),"━","")))</f>
        <v/>
      </c>
      <c r="BO110" s="69" t="str">
        <f aca="false">IF($E110="","",IF($M110,IF(AND($G110&gt;=BO$5,$G110&lt;BO$5+GanttPeriod),"◆",IF(AND($E110&gt;=BO$5,$E110&lt;BO$5+GanttPeriod),"◇","")),IF(AND(BO$5&lt;=$F110,BO$5+GanttPeriod-1&gt;=$E110),"━","")))</f>
        <v/>
      </c>
      <c r="BP110" s="69" t="str">
        <f aca="false">IF($E110="","",IF($M110,IF(AND($G110&gt;=BP$5,$G110&lt;BP$5+GanttPeriod),"◆",IF(AND($E110&gt;=BP$5,$E110&lt;BP$5+GanttPeriod),"◇","")),IF(AND(BP$5&lt;=$F110,BP$5+GanttPeriod-1&gt;=$E110),"━","")))</f>
        <v/>
      </c>
      <c r="BQ110" s="69" t="str">
        <f aca="false">IF($E110="","",IF($M110,IF(AND($G110&gt;=BQ$5,$G110&lt;BQ$5+GanttPeriod),"◆",IF(AND($E110&gt;=BQ$5,$E110&lt;BQ$5+GanttPeriod),"◇","")),IF(AND(BQ$5&lt;=$F110,BQ$5+GanttPeriod-1&gt;=$E110),"━","")))</f>
        <v/>
      </c>
      <c r="BR110" s="69" t="str">
        <f aca="false">IF($E110="","",IF($M110,IF(AND($G110&gt;=BR$5,$G110&lt;BR$5+GanttPeriod),"◆",IF(AND($E110&gt;=BR$5,$E110&lt;BR$5+GanttPeriod),"◇","")),IF(AND(BR$5&lt;=$F110,BR$5+GanttPeriod-1&gt;=$E110),"━","")))</f>
        <v/>
      </c>
      <c r="BS110" s="69" t="str">
        <f aca="false">IF($E110="","",IF($M110,IF(AND($G110&gt;=BS$5,$G110&lt;BS$5+GanttPeriod),"◆",IF(AND($E110&gt;=BS$5,$E110&lt;BS$5+GanttPeriod),"◇","")),IF(AND(BS$5&lt;=$F110,BS$5+GanttPeriod-1&gt;=$E110),"━","")))</f>
        <v/>
      </c>
      <c r="BT110" s="69" t="str">
        <f aca="false">IF($E110="","",IF($M110,IF(AND($G110&gt;=BT$5,$G110&lt;BT$5+GanttPeriod),"◆",IF(AND($E110&gt;=BT$5,$E110&lt;BT$5+GanttPeriod),"◇","")),IF(AND(BT$5&lt;=$F110,BT$5+GanttPeriod-1&gt;=$E110),"━","")))</f>
        <v/>
      </c>
      <c r="BU110" s="69" t="str">
        <f aca="false">IF($E110="","",IF($M110,IF(AND($G110&gt;=BU$5,$G110&lt;BU$5+GanttPeriod),"◆",IF(AND($E110&gt;=BU$5,$E110&lt;BU$5+GanttPeriod),"◇","")),IF(AND(BU$5&lt;=$F110,BU$5+GanttPeriod-1&gt;=$E110),"━","")))</f>
        <v/>
      </c>
      <c r="BV110" s="69" t="str">
        <f aca="false">IF($E110="","",IF($M110,IF(AND($G110&gt;=BV$5,$G110&lt;BV$5+GanttPeriod),"◆",IF(AND($E110&gt;=BV$5,$E110&lt;BV$5+GanttPeriod),"◇","")),IF(AND(BV$5&lt;=$F110,BV$5+GanttPeriod-1&gt;=$E110),"━","")))</f>
        <v/>
      </c>
      <c r="BW110" s="69" t="str">
        <f aca="false">IF($E110="","",IF($M110,IF(AND($G110&gt;=BW$5,$G110&lt;BW$5+GanttPeriod),"◆",IF(AND($E110&gt;=BW$5,$E110&lt;BW$5+GanttPeriod),"◇","")),IF(AND(BW$5&lt;=$F110,BW$5+GanttPeriod-1&gt;=$E110),"━","")))</f>
        <v/>
      </c>
      <c r="BX110" s="69" t="str">
        <f aca="false">IF($E110="","",IF($M110,IF(AND($G110&gt;=BX$5,$G110&lt;BX$5+GanttPeriod),"◆",IF(AND($E110&gt;=BX$5,$E110&lt;BX$5+GanttPeriod),"◇","")),IF(AND(BX$5&lt;=$F110,BX$5+GanttPeriod-1&gt;=$E110),"━","")))</f>
        <v/>
      </c>
      <c r="BY110" s="69" t="str">
        <f aca="false">IF($E110="","",IF($M110,IF(AND($G110&gt;=BY$5,$G110&lt;BY$5+GanttPeriod),"◆",IF(AND($E110&gt;=BY$5,$E110&lt;BY$5+GanttPeriod),"◇","")),IF(AND(BY$5&lt;=$F110,BY$5+GanttPeriod-1&gt;=$E110),"━","")))</f>
        <v/>
      </c>
      <c r="BZ110" s="69" t="str">
        <f aca="false">IF($E110="","",IF($M110,IF(AND($G110&gt;=BZ$5,$G110&lt;BZ$5+GanttPeriod),"◆",IF(AND($E110&gt;=BZ$5,$E110&lt;BZ$5+GanttPeriod),"◇","")),IF(AND(BZ$5&lt;=$F110,BZ$5+GanttPeriod-1&gt;=$E110),"━","")))</f>
        <v/>
      </c>
      <c r="CA110" s="69" t="str">
        <f aca="false">IF($E110="","",IF($M110,IF(AND($G110&gt;=CA$5,$G110&lt;CA$5+GanttPeriod),"◆",IF(AND($E110&gt;=CA$5,$E110&lt;CA$5+GanttPeriod),"◇","")),IF(AND(CA$5&lt;=$F110,CA$5+GanttPeriod-1&gt;=$E110),"━","")))</f>
        <v/>
      </c>
      <c r="CB110" s="69" t="str">
        <f aca="false">IF($E110="","",IF($M110,IF(AND($G110&gt;=CB$5,$G110&lt;CB$5+GanttPeriod),"◆",IF(AND($E110&gt;=CB$5,$E110&lt;CB$5+GanttPeriod),"◇","")),IF(AND(CB$5&lt;=$F110,CB$5+GanttPeriod-1&gt;=$E110),"━","")))</f>
        <v/>
      </c>
      <c r="CC110" s="69" t="str">
        <f aca="false">IF($E110="","",IF($M110,IF(AND($G110&gt;=CC$5,$G110&lt;CC$5+GanttPeriod),"◆",IF(AND($E110&gt;=CC$5,$E110&lt;CC$5+GanttPeriod),"◇","")),IF(AND(CC$5&lt;=$F110,CC$5+GanttPeriod-1&gt;=$E110),"━","")))</f>
        <v/>
      </c>
      <c r="CD110" s="69" t="str">
        <f aca="false">IF($E110="","",IF($M110,IF(AND($G110&gt;=CD$5,$G110&lt;CD$5+GanttPeriod),"◆",IF(AND($E110&gt;=CD$5,$E110&lt;CD$5+GanttPeriod),"◇","")),IF(AND(CD$5&lt;=$F110,CD$5+GanttPeriod-1&gt;=$E110),"━","")))</f>
        <v/>
      </c>
      <c r="CE110" s="69" t="str">
        <f aca="false">IF($E110="","",IF($M110,IF(AND($G110&gt;=CE$5,$G110&lt;CE$5+GanttPeriod),"◆",IF(AND($E110&gt;=CE$5,$E110&lt;CE$5+GanttPeriod),"◇","")),IF(AND(CE$5&lt;=$F110,CE$5+GanttPeriod-1&gt;=$E110),"━","")))</f>
        <v/>
      </c>
      <c r="CF110" s="69" t="str">
        <f aca="false">IF($E110="","",IF($M110,IF(AND($G110&gt;=CF$5,$G110&lt;CF$5+GanttPeriod),"◆",IF(AND($E110&gt;=CF$5,$E110&lt;CF$5+GanttPeriod),"◇","")),IF(AND(CF$5&lt;=$F110,CF$5+GanttPeriod-1&gt;=$E110),"━","")))</f>
        <v/>
      </c>
      <c r="CG110" s="69" t="str">
        <f aca="false">IF($E110="","",IF($M110,IF(AND($G110&gt;=CG$5,$G110&lt;CG$5+GanttPeriod),"◆",IF(AND($E110&gt;=CG$5,$E110&lt;CG$5+GanttPeriod),"◇","")),IF(AND(CG$5&lt;=$F110,CG$5+GanttPeriod-1&gt;=$E110),"━","")))</f>
        <v/>
      </c>
      <c r="CH110" s="69" t="str">
        <f aca="false">IF($E110="","",IF($M110,IF(AND($G110&gt;=CH$5,$G110&lt;CH$5+GanttPeriod),"◆",IF(AND($E110&gt;=CH$5,$E110&lt;CH$5+GanttPeriod),"◇","")),IF(AND(CH$5&lt;=$F110,CH$5+GanttPeriod-1&gt;=$E110),"━","")))</f>
        <v/>
      </c>
      <c r="CI110" s="69" t="str">
        <f aca="false">IF($E110="","",IF($M110,IF(AND($G110&gt;=CI$5,$G110&lt;CI$5+GanttPeriod),"◆",IF(AND($E110&gt;=CI$5,$E110&lt;CI$5+GanttPeriod),"◇","")),IF(AND(CI$5&lt;=$F110,CI$5+GanttPeriod-1&gt;=$E110),"━","")))</f>
        <v/>
      </c>
      <c r="CJ110" s="69" t="str">
        <f aca="false">IF($E110="","",IF($M110,IF(AND($G110&gt;=CJ$5,$G110&lt;CJ$5+GanttPeriod),"◆",IF(AND($E110&gt;=CJ$5,$E110&lt;CJ$5+GanttPeriod),"◇","")),IF(AND(CJ$5&lt;=$F110,CJ$5+GanttPeriod-1&gt;=$E110),"━","")))</f>
        <v/>
      </c>
      <c r="CK110" s="69" t="str">
        <f aca="false">IF($E110="","",IF($M110,IF(AND($G110&gt;=CK$5,$G110&lt;CK$5+GanttPeriod),"◆",IF(AND($E110&gt;=CK$5,$E110&lt;CK$5+GanttPeriod),"◇","")),IF(AND(CK$5&lt;=$F110,CK$5+GanttPeriod-1&gt;=$E110),"━","")))</f>
        <v/>
      </c>
      <c r="CL110" s="69" t="str">
        <f aca="false">IF($E110="","",IF($M110,IF(AND($G110&gt;=CL$5,$G110&lt;CL$5+GanttPeriod),"◆",IF(AND($E110&gt;=CL$5,$E110&lt;CL$5+GanttPeriod),"◇","")),IF(AND(CL$5&lt;=$F110,CL$5+GanttPeriod-1&gt;=$E110),"━","")))</f>
        <v/>
      </c>
      <c r="CM110" s="69" t="str">
        <f aca="false">IF($E110="","",IF($M110,IF(AND($G110&gt;=CM$5,$G110&lt;CM$5+GanttPeriod),"◆",IF(AND($E110&gt;=CM$5,$E110&lt;CM$5+GanttPeriod),"◇","")),IF(AND(CM$5&lt;=$F110,CM$5+GanttPeriod-1&gt;=$E110),"━","")))</f>
        <v/>
      </c>
      <c r="CN110" s="69" t="str">
        <f aca="false">IF($E110="","",IF($M110,IF(AND($G110&gt;=CN$5,$G110&lt;CN$5+GanttPeriod),"◆",IF(AND($E110&gt;=CN$5,$E110&lt;CN$5+GanttPeriod),"◇","")),IF(AND(CN$5&lt;=$F110,CN$5+GanttPeriod-1&gt;=$E110),"━","")))</f>
        <v/>
      </c>
      <c r="CO110" s="69" t="str">
        <f aca="false">IF($E110="","",IF($M110,IF(AND($G110&gt;=CO$5,$G110&lt;CO$5+GanttPeriod),"◆",IF(AND($E110&gt;=CO$5,$E110&lt;CO$5+GanttPeriod),"◇","")),IF(AND(CO$5&lt;=$F110,CO$5+GanttPeriod-1&gt;=$E110),"━","")))</f>
        <v/>
      </c>
      <c r="CP110" s="69" t="str">
        <f aca="false">IF($E110="","",IF($M110,IF(AND($G110&gt;=CP$5,$G110&lt;CP$5+GanttPeriod),"◆",IF(AND($E110&gt;=CP$5,$E110&lt;CP$5+GanttPeriod),"◇","")),IF(AND(CP$5&lt;=$F110,CP$5+GanttPeriod-1&gt;=$E110),"━","")))</f>
        <v/>
      </c>
      <c r="CQ110" s="69" t="str">
        <f aca="false">IF($E110="","",IF($M110,IF(AND($G110&gt;=CQ$5,$G110&lt;CQ$5+GanttPeriod),"◆",IF(AND($E110&gt;=CQ$5,$E110&lt;CQ$5+GanttPeriod),"◇","")),IF(AND(CQ$5&lt;=$F110,CQ$5+GanttPeriod-1&gt;=$E110),"━","")))</f>
        <v/>
      </c>
      <c r="CR110" s="69" t="str">
        <f aca="false">IF($E110="","",IF($M110,IF(AND($G110&gt;=CR$5,$G110&lt;CR$5+GanttPeriod),"◆",IF(AND($E110&gt;=CR$5,$E110&lt;CR$5+GanttPeriod),"◇","")),IF(AND(CR$5&lt;=$F110,CR$5+GanttPeriod-1&gt;=$E110),"━","")))</f>
        <v/>
      </c>
      <c r="CS110" s="69" t="str">
        <f aca="false">IF($E110="","",IF($M110,IF(AND($G110&gt;=CS$5,$G110&lt;CS$5+GanttPeriod),"◆",IF(AND($E110&gt;=CS$5,$E110&lt;CS$5+GanttPeriod),"◇","")),IF(AND(CS$5&lt;=$F110,CS$5+GanttPeriod-1&gt;=$E110),"━","")))</f>
        <v/>
      </c>
      <c r="CT110" s="69" t="str">
        <f aca="false">IF($E110="","",IF($M110,IF(AND($G110&gt;=CT$5,$G110&lt;CT$5+GanttPeriod),"◆",IF(AND($E110&gt;=CT$5,$E110&lt;CT$5+GanttPeriod),"◇","")),IF(AND(CT$5&lt;=$F110,CT$5+GanttPeriod-1&gt;=$E110),"━","")))</f>
        <v/>
      </c>
      <c r="CU110" s="69" t="str">
        <f aca="false">IF($E110="","",IF($M110,IF(AND($G110&gt;=CU$5,$G110&lt;CU$5+GanttPeriod),"◆",IF(AND($E110&gt;=CU$5,$E110&lt;CU$5+GanttPeriod),"◇","")),IF(AND(CU$5&lt;=$F110,CU$5+GanttPeriod-1&gt;=$E110),"━","")))</f>
        <v/>
      </c>
      <c r="CV110" s="69" t="str">
        <f aca="false">IF($E110="","",IF($M110,IF(AND($G110&gt;=CV$5,$G110&lt;CV$5+GanttPeriod),"◆",IF(AND($E110&gt;=CV$5,$E110&lt;CV$5+GanttPeriod),"◇","")),IF(AND(CV$5&lt;=$F110,CV$5+GanttPeriod-1&gt;=$E110),"━","")))</f>
        <v/>
      </c>
      <c r="CW110" s="69" t="str">
        <f aca="false">IF($E110="","",IF($M110,IF(AND($G110&gt;=CW$5,$G110&lt;CW$5+GanttPeriod),"◆",IF(AND($E110&gt;=CW$5,$E110&lt;CW$5+GanttPeriod),"◇","")),IF(AND(CW$5&lt;=$F110,CW$5+GanttPeriod-1&gt;=$E110),"━","")))</f>
        <v/>
      </c>
      <c r="CX110" s="69" t="str">
        <f aca="false">IF($E110="","",IF($M110,IF(AND($G110&gt;=CX$5,$G110&lt;CX$5+GanttPeriod),"◆",IF(AND($E110&gt;=CX$5,$E110&lt;CX$5+GanttPeriod),"◇","")),IF(AND(CX$5&lt;=$F110,CX$5+GanttPeriod-1&gt;=$E110),"━","")))</f>
        <v/>
      </c>
      <c r="CY110" s="69" t="str">
        <f aca="false">IF($E110="","",IF($M110,IF(AND($G110&gt;=CY$5,$G110&lt;CY$5+GanttPeriod),"◆",IF(AND($E110&gt;=CY$5,$E110&lt;CY$5+GanttPeriod),"◇","")),IF(AND(CY$5&lt;=$F110,CY$5+GanttPeriod-1&gt;=$E110),"━","")))</f>
        <v/>
      </c>
      <c r="CZ110" s="69" t="str">
        <f aca="false">IF($E110="","",IF($M110,IF(AND($G110&gt;=CZ$5,$G110&lt;CZ$5+GanttPeriod),"◆",IF(AND($E110&gt;=CZ$5,$E110&lt;CZ$5+GanttPeriod),"◇","")),IF(AND(CZ$5&lt;=$F110,CZ$5+GanttPeriod-1&gt;=$E110),"━","")))</f>
        <v/>
      </c>
      <c r="DA110" s="69" t="str">
        <f aca="false">IF($E110="","",IF($M110,IF(AND($G110&gt;=DA$5,$G110&lt;DA$5+GanttPeriod),"◆",IF(AND($E110&gt;=DA$5,$E110&lt;DA$5+GanttPeriod),"◇","")),IF(AND(DA$5&lt;=$F110,DA$5+GanttPeriod-1&gt;=$E110),"━","")))</f>
        <v/>
      </c>
      <c r="DB110" s="69" t="str">
        <f aca="false">IF($E110="","",IF($M110,IF(AND($G110&gt;=DB$5,$G110&lt;DB$5+GanttPeriod),"◆",IF(AND($E110&gt;=DB$5,$E110&lt;DB$5+GanttPeriod),"◇","")),IF(AND(DB$5&lt;=$F110,DB$5+GanttPeriod-1&gt;=$E110),"━","")))</f>
        <v/>
      </c>
      <c r="DC110" s="69" t="str">
        <f aca="false">IF($E110="","",IF($M110,IF(AND($G110&gt;=DC$5,$G110&lt;DC$5+GanttPeriod),"◆",IF(AND($E110&gt;=DC$5,$E110&lt;DC$5+GanttPeriod),"◇","")),IF(AND(DC$5&lt;=$F110,DC$5+GanttPeriod-1&gt;=$E110),"━","")))</f>
        <v/>
      </c>
      <c r="DD110" s="69" t="str">
        <f aca="false">IF($E110="","",IF($M110,IF(AND($G110&gt;=DD$5,$G110&lt;DD$5+GanttPeriod),"◆",IF(AND($E110&gt;=DD$5,$E110&lt;DD$5+GanttPeriod),"◇","")),IF(AND(DD$5&lt;=$F110,DD$5+GanttPeriod-1&gt;=$E110),"━","")))</f>
        <v/>
      </c>
      <c r="DE110" s="69" t="str">
        <f aca="false">IF($E110="","",IF($M110,IF(AND($G110&gt;=DE$5,$G110&lt;DE$5+GanttPeriod),"◆",IF(AND($E110&gt;=DE$5,$E110&lt;DE$5+GanttPeriod),"◇","")),IF(AND(DE$5&lt;=$F110,DE$5+GanttPeriod-1&gt;=$E110),"━","")))</f>
        <v/>
      </c>
      <c r="DF110" s="69" t="str">
        <f aca="false">IF($E110="","",IF($M110,IF(AND($G110&gt;=DF$5,$G110&lt;DF$5+GanttPeriod),"◆",IF(AND($E110&gt;=DF$5,$E110&lt;DF$5+GanttPeriod),"◇","")),IF(AND(DF$5&lt;=$F110,DF$5+GanttPeriod-1&gt;=$E110),"━","")))</f>
        <v/>
      </c>
      <c r="DG110" s="69" t="str">
        <f aca="false">IF($E110="","",IF($M110,IF(AND($G110&gt;=DG$5,$G110&lt;DG$5+GanttPeriod),"◆",IF(AND($E110&gt;=DG$5,$E110&lt;DG$5+GanttPeriod),"◇","")),IF(AND(DG$5&lt;=$F110,DG$5+GanttPeriod-1&gt;=$E110),"━","")))</f>
        <v/>
      </c>
      <c r="DH110" s="69" t="str">
        <f aca="false">IF($E110="","",IF($M110,IF(AND($G110&gt;=DH$5,$G110&lt;DH$5+GanttPeriod),"◆",IF(AND($E110&gt;=DH$5,$E110&lt;DH$5+GanttPeriod),"◇","")),IF(AND(DH$5&lt;=$F110,DH$5+GanttPeriod-1&gt;=$E110),"━","")))</f>
        <v/>
      </c>
      <c r="DI110" s="69" t="str">
        <f aca="false">IF($E110="","",IF($M110,IF(AND($G110&gt;=DI$5,$G110&lt;DI$5+GanttPeriod),"◆",IF(AND($E110&gt;=DI$5,$E110&lt;DI$5+GanttPeriod),"◇","")),IF(AND(DI$5&lt;=$F110,DI$5+GanttPeriod-1&gt;=$E110),"━","")))</f>
        <v/>
      </c>
      <c r="DJ110" s="69" t="str">
        <f aca="false">IF($E110="","",IF($M110,IF(AND($G110&gt;=DJ$5,$G110&lt;DJ$5+GanttPeriod),"◆",IF(AND($E110&gt;=DJ$5,$E110&lt;DJ$5+GanttPeriod),"◇","")),IF(AND(DJ$5&lt;=$F110,DJ$5+GanttPeriod-1&gt;=$E110),"━","")))</f>
        <v/>
      </c>
      <c r="DK110" s="69" t="str">
        <f aca="false">IF($E110="","",IF($M110,IF(AND($G110&gt;=DK$5,$G110&lt;DK$5+GanttPeriod),"◆",IF(AND($E110&gt;=DK$5,$E110&lt;DK$5+GanttPeriod),"◇","")),IF(AND(DK$5&lt;=$F110,DK$5+GanttPeriod-1&gt;=$E110),"━","")))</f>
        <v/>
      </c>
      <c r="DL110" s="69" t="str">
        <f aca="false">IF($E110="","",IF($M110,IF(AND($G110&gt;=DL$5,$G110&lt;DL$5+GanttPeriod),"◆",IF(AND($E110&gt;=DL$5,$E110&lt;DL$5+GanttPeriod),"◇","")),IF(AND(DL$5&lt;=$F110,DL$5+GanttPeriod-1&gt;=$E110),"━","")))</f>
        <v/>
      </c>
      <c r="DM110" s="69" t="str">
        <f aca="false">IF($E110="","",IF($M110,IF(AND($G110&gt;=DM$5,$G110&lt;DM$5+GanttPeriod),"◆",IF(AND($E110&gt;=DM$5,$E110&lt;DM$5+GanttPeriod),"◇","")),IF(AND(DM$5&lt;=$F110,DM$5+GanttPeriod-1&gt;=$E110),"━","")))</f>
        <v/>
      </c>
      <c r="DN110" s="69" t="str">
        <f aca="false">IF($E110="","",IF($M110,IF(AND($G110&gt;=DN$5,$G110&lt;DN$5+GanttPeriod),"◆",IF(AND($E110&gt;=DN$5,$E110&lt;DN$5+GanttPeriod),"◇","")),IF(AND(DN$5&lt;=$F110,DN$5+GanttPeriod-1&gt;=$E110),"━","")))</f>
        <v/>
      </c>
      <c r="DO110" s="69" t="str">
        <f aca="false">IF($E110="","",IF($M110,IF(AND($G110&gt;=DO$5,$G110&lt;DO$5+GanttPeriod),"◆",IF(AND($E110&gt;=DO$5,$E110&lt;DO$5+GanttPeriod),"◇","")),IF(AND(DO$5&lt;=$F110,DO$5+GanttPeriod-1&gt;=$E110),"━","")))</f>
        <v/>
      </c>
      <c r="DP110" s="69" t="str">
        <f aca="false">IF($E110="","",IF($M110,IF(AND($G110&gt;=DP$5,$G110&lt;DP$5+GanttPeriod),"◆",IF(AND($E110&gt;=DP$5,$E110&lt;DP$5+GanttPeriod),"◇","")),IF(AND(DP$5&lt;=$F110,DP$5+GanttPeriod-1&gt;=$E110),"━","")))</f>
        <v/>
      </c>
      <c r="DQ110" s="69" t="str">
        <f aca="false">IF($E110="","",IF($M110,IF(AND($G110&gt;=DQ$5,$G110&lt;DQ$5+GanttPeriod),"◆",IF(AND($E110&gt;=DQ$5,$E110&lt;DQ$5+GanttPeriod),"◇","")),IF(AND(DQ$5&lt;=$F110,DQ$5+GanttPeriod-1&gt;=$E110),"━","")))</f>
        <v/>
      </c>
      <c r="DR110" s="69" t="str">
        <f aca="false">IF($E110="","",IF($M110,IF(AND($G110&gt;=DR$5,$G110&lt;DR$5+GanttPeriod),"◆",IF(AND($E110&gt;=DR$5,$E110&lt;DR$5+GanttPeriod),"◇","")),IF(AND(DR$5&lt;=$F110,DR$5+GanttPeriod-1&gt;=$E110),"━","")))</f>
        <v/>
      </c>
      <c r="DS110" s="69" t="str">
        <f aca="false">IF($E110="","",IF($M110,IF(AND($G110&gt;=DS$5,$G110&lt;DS$5+GanttPeriod),"◆",IF(AND($E110&gt;=DS$5,$E110&lt;DS$5+GanttPeriod),"◇","")),IF(AND(DS$5&lt;=$F110,DS$5+GanttPeriod-1&gt;=$E110),"━","")))</f>
        <v/>
      </c>
      <c r="DT110" s="69" t="str">
        <f aca="false">IF($E110="","",IF($M110,IF(AND($G110&gt;=DT$5,$G110&lt;DT$5+GanttPeriod),"◆",IF(AND($E110&gt;=DT$5,$E110&lt;DT$5+GanttPeriod),"◇","")),IF(AND(DT$5&lt;=$F110,DT$5+GanttPeriod-1&gt;=$E110),"━","")))</f>
        <v/>
      </c>
      <c r="DU110" s="69" t="str">
        <f aca="false">IF($E110="","",IF($M110,IF(AND($G110&gt;=DU$5,$G110&lt;DU$5+GanttPeriod),"◆",IF(AND($E110&gt;=DU$5,$E110&lt;DU$5+GanttPeriod),"◇","")),IF(AND(DU$5&lt;=$F110,DU$5+GanttPeriod-1&gt;=$E110),"━","")))</f>
        <v/>
      </c>
      <c r="DV110" s="69" t="str">
        <f aca="false">IF($E110="","",IF($M110,IF(AND($G110&gt;=DV$5,$G110&lt;DV$5+GanttPeriod),"◆",IF(AND($E110&gt;=DV$5,$E110&lt;DV$5+GanttPeriod),"◇","")),IF(AND(DV$5&lt;=$F110,DV$5+GanttPeriod-1&gt;=$E110),"━","")))</f>
        <v/>
      </c>
      <c r="DW110" s="69" t="str">
        <f aca="false">IF($E110="","",IF($M110,IF(AND($G110&gt;=DW$5,$G110&lt;DW$5+GanttPeriod),"◆",IF(AND($E110&gt;=DW$5,$E110&lt;DW$5+GanttPeriod),"◇","")),IF(AND(DW$5&lt;=$F110,DW$5+GanttPeriod-1&gt;=$E110),"━","")))</f>
        <v/>
      </c>
      <c r="DX110" s="69" t="str">
        <f aca="false">IF($E110="","",IF($M110,IF(AND($G110&gt;=DX$5,$G110&lt;DX$5+GanttPeriod),"◆",IF(AND($E110&gt;=DX$5,$E110&lt;DX$5+GanttPeriod),"◇","")),IF(AND(DX$5&lt;=$F110,DX$5+GanttPeriod-1&gt;=$E110),"━","")))</f>
        <v/>
      </c>
      <c r="DY110" s="69" t="str">
        <f aca="false">IF($E110="","",IF($M110,IF(AND($G110&gt;=DY$5,$G110&lt;DY$5+GanttPeriod),"◆",IF(AND($E110&gt;=DY$5,$E110&lt;DY$5+GanttPeriod),"◇","")),IF(AND(DY$5&lt;=$F110,DY$5+GanttPeriod-1&gt;=$E110),"━","")))</f>
        <v/>
      </c>
      <c r="DZ110" s="69" t="str">
        <f aca="false">IF($E110="","",IF($M110,IF(AND($G110&gt;=DZ$5,$G110&lt;DZ$5+GanttPeriod),"◆",IF(AND($E110&gt;=DZ$5,$E110&lt;DZ$5+GanttPeriod),"◇","")),IF(AND(DZ$5&lt;=$F110,DZ$5+GanttPeriod-1&gt;=$E110),"━","")))</f>
        <v/>
      </c>
      <c r="EA110" s="69" t="str">
        <f aca="false">IF($E110="","",IF($M110,IF(AND($G110&gt;=EA$5,$G110&lt;EA$5+GanttPeriod),"◆",IF(AND($E110&gt;=EA$5,$E110&lt;EA$5+GanttPeriod),"◇","")),IF(AND(EA$5&lt;=$F110,EA$5+GanttPeriod-1&gt;=$E110),"━","")))</f>
        <v/>
      </c>
      <c r="EB110" s="69" t="str">
        <f aca="false">IF($E110="","",IF($M110,IF(AND($G110&gt;=EB$5,$G110&lt;EB$5+GanttPeriod),"◆",IF(AND($E110&gt;=EB$5,$E110&lt;EB$5+GanttPeriod),"◇","")),IF(AND(EB$5&lt;=$F110,EB$5+GanttPeriod-1&gt;=$E110),"━","")))</f>
        <v/>
      </c>
      <c r="EC110" s="69" t="str">
        <f aca="false">IF($E110="","",IF($M110,IF(AND($G110&gt;=EC$5,$G110&lt;EC$5+GanttPeriod),"◆",IF(AND($E110&gt;=EC$5,$E110&lt;EC$5+GanttPeriod),"◇","")),IF(AND(EC$5&lt;=$F110,EC$5+GanttPeriod-1&gt;=$E110),"━","")))</f>
        <v/>
      </c>
      <c r="ED110" s="69" t="str">
        <f aca="false">IF($E110="","",IF($M110,IF(AND($G110&gt;=ED$5,$G110&lt;ED$5+GanttPeriod),"◆",IF(AND($E110&gt;=ED$5,$E110&lt;ED$5+GanttPeriod),"◇","")),IF(AND(ED$5&lt;=$F110,ED$5+GanttPeriod-1&gt;=$E110),"━","")))</f>
        <v/>
      </c>
      <c r="EE110" s="69" t="str">
        <f aca="false">IF($E110="","",IF($M110,IF(AND($G110&gt;=EE$5,$G110&lt;EE$5+GanttPeriod),"◆",IF(AND($E110&gt;=EE$5,$E110&lt;EE$5+GanttPeriod),"◇","")),IF(AND(EE$5&lt;=$F110,EE$5+GanttPeriod-1&gt;=$E110),"━","")))</f>
        <v/>
      </c>
      <c r="EF110" s="69" t="str">
        <f aca="false">IF($E110="","",IF($M110,IF(AND($G110&gt;=EF$5,$G110&lt;EF$5+GanttPeriod),"◆",IF(AND($E110&gt;=EF$5,$E110&lt;EF$5+GanttPeriod),"◇","")),IF(AND(EF$5&lt;=$F110,EF$5+GanttPeriod-1&gt;=$E110),"━","")))</f>
        <v/>
      </c>
      <c r="EG110" s="69" t="str">
        <f aca="false">IF($E110="","",IF($M110,IF(AND($G110&gt;=EG$5,$G110&lt;EG$5+GanttPeriod),"◆",IF(AND($E110&gt;=EG$5,$E110&lt;EG$5+GanttPeriod),"◇","")),IF(AND(EG$5&lt;=$F110,EG$5+GanttPeriod-1&gt;=$E110),"━","")))</f>
        <v/>
      </c>
      <c r="EH110" s="69" t="str">
        <f aca="false">IF($E110="","",IF($M110,IF(AND($G110&gt;=EH$5,$G110&lt;EH$5+GanttPeriod),"◆",IF(AND($E110&gt;=EH$5,$E110&lt;EH$5+GanttPeriod),"◇","")),IF(AND(EH$5&lt;=$F110,EH$5+GanttPeriod-1&gt;=$E110),"━","")))</f>
        <v/>
      </c>
      <c r="EI110" s="69" t="str">
        <f aca="false">IF($E110="","",IF($M110,IF(AND($G110&gt;=EI$5,$G110&lt;EI$5+GanttPeriod),"◆",IF(AND($E110&gt;=EI$5,$E110&lt;EI$5+GanttPeriod),"◇","")),IF(AND(EI$5&lt;=$F110,EI$5+GanttPeriod-1&gt;=$E110),"━","")))</f>
        <v/>
      </c>
      <c r="EJ110" s="69" t="str">
        <f aca="false">IF($E110="","",IF($M110,IF(AND($G110&gt;=EJ$5,$G110&lt;EJ$5+GanttPeriod),"◆",IF(AND($E110&gt;=EJ$5,$E110&lt;EJ$5+GanttPeriod),"◇","")),IF(AND(EJ$5&lt;=$F110,EJ$5+GanttPeriod-1&gt;=$E110),"━","")))</f>
        <v/>
      </c>
      <c r="EK110" s="69" t="str">
        <f aca="false">IF($E110="","",IF($M110,IF(AND($G110&gt;=EK$5,$G110&lt;EK$5+GanttPeriod),"◆",IF(AND($E110&gt;=EK$5,$E110&lt;EK$5+GanttPeriod),"◇","")),IF(AND(EK$5&lt;=$F110,EK$5+GanttPeriod-1&gt;=$E110),"━","")))</f>
        <v/>
      </c>
      <c r="EL110" s="69" t="str">
        <f aca="false">IF($E110="","",IF($M110,IF(AND($G110&gt;=EL$5,$G110&lt;EL$5+GanttPeriod),"◆",IF(AND($E110&gt;=EL$5,$E110&lt;EL$5+GanttPeriod),"◇","")),IF(AND(EL$5&lt;=$F110,EL$5+GanttPeriod-1&gt;=$E110),"━","")))</f>
        <v/>
      </c>
      <c r="EM110" s="69" t="str">
        <f aca="false">IF($E110="","",IF($M110,IF(AND($G110&gt;=EM$5,$G110&lt;EM$5+GanttPeriod),"◆",IF(AND($E110&gt;=EM$5,$E110&lt;EM$5+GanttPeriod),"◇","")),IF(AND(EM$5&lt;=$F110,EM$5+GanttPeriod-1&gt;=$E110),"━","")))</f>
        <v/>
      </c>
      <c r="EN110" s="69" t="str">
        <f aca="false">IF($E110="","",IF($M110,IF(AND($G110&gt;=EN$5,$G110&lt;EN$5+GanttPeriod),"◆",IF(AND($E110&gt;=EN$5,$E110&lt;EN$5+GanttPeriod),"◇","")),IF(AND(EN$5&lt;=$F110,EN$5+GanttPeriod-1&gt;=$E110),"━","")))</f>
        <v/>
      </c>
      <c r="EO110" s="69" t="str">
        <f aca="false">IF($E110="","",IF($M110,IF(AND($G110&gt;=EO$5,$G110&lt;EO$5+GanttPeriod),"◆",IF(AND($E110&gt;=EO$5,$E110&lt;EO$5+GanttPeriod),"◇","")),IF(AND(EO$5&lt;=$F110,EO$5+GanttPeriod-1&gt;=$E110),"━","")))</f>
        <v/>
      </c>
      <c r="EP110" s="69" t="str">
        <f aca="false">IF($E110="","",IF($M110,IF(AND($G110&gt;=EP$5,$G110&lt;EP$5+GanttPeriod),"◆",IF(AND($E110&gt;=EP$5,$E110&lt;EP$5+GanttPeriod),"◇","")),IF(AND(EP$5&lt;=$F110,EP$5+GanttPeriod-1&gt;=$E110),"━","")))</f>
        <v/>
      </c>
      <c r="EQ110" s="69" t="str">
        <f aca="false">IF($E110="","",IF($M110,IF(AND($G110&gt;=EQ$5,$G110&lt;EQ$5+GanttPeriod),"◆",IF(AND($E110&gt;=EQ$5,$E110&lt;EQ$5+GanttPeriod),"◇","")),IF(AND(EQ$5&lt;=$F110,EQ$5+GanttPeriod-1&gt;=$E110),"━","")))</f>
        <v/>
      </c>
      <c r="ER110" s="69" t="str">
        <f aca="false">IF($E110="","",IF($M110,IF(AND($G110&gt;=ER$5,$G110&lt;ER$5+GanttPeriod),"◆",IF(AND($E110&gt;=ER$5,$E110&lt;ER$5+GanttPeriod),"◇","")),IF(AND(ER$5&lt;=$F110,ER$5+GanttPeriod-1&gt;=$E110),"━","")))</f>
        <v/>
      </c>
      <c r="ES110" s="69" t="str">
        <f aca="false">IF($E110="","",IF($M110,IF(AND($G110&gt;=ES$5,$G110&lt;ES$5+GanttPeriod),"◆",IF(AND($E110&gt;=ES$5,$E110&lt;ES$5+GanttPeriod),"◇","")),IF(AND(ES$5&lt;=$F110,ES$5+GanttPeriod-1&gt;=$E110),"━","")))</f>
        <v/>
      </c>
      <c r="ET110" s="69" t="str">
        <f aca="false">IF($E110="","",IF($M110,IF(AND($G110&gt;=ET$5,$G110&lt;ET$5+GanttPeriod),"◆",IF(AND($E110&gt;=ET$5,$E110&lt;ET$5+GanttPeriod),"◇","")),IF(AND(ET$5&lt;=$F110,ET$5+GanttPeriod-1&gt;=$E110),"━","")))</f>
        <v/>
      </c>
      <c r="EU110" s="69" t="str">
        <f aca="false">IF($E110="","",IF($M110,IF(AND($G110&gt;=EU$5,$G110&lt;EU$5+GanttPeriod),"◆",IF(AND($E110&gt;=EU$5,$E110&lt;EU$5+GanttPeriod),"◇","")),IF(AND(EU$5&lt;=$F110,EU$5+GanttPeriod-1&gt;=$E110),"━","")))</f>
        <v/>
      </c>
      <c r="EV110" s="69" t="str">
        <f aca="false">IF($E110="","",IF($M110,IF(AND($G110&gt;=EV$5,$G110&lt;EV$5+GanttPeriod),"◆",IF(AND($E110&gt;=EV$5,$E110&lt;EV$5+GanttPeriod),"◇","")),IF(AND(EV$5&lt;=$F110,EV$5+GanttPeriod-1&gt;=$E110),"━","")))</f>
        <v/>
      </c>
      <c r="EW110" s="69" t="str">
        <f aca="false">IF($E110="","",IF($M110,IF(AND($G110&gt;=EW$5,$G110&lt;EW$5+GanttPeriod),"◆",IF(AND($E110&gt;=EW$5,$E110&lt;EW$5+GanttPeriod),"◇","")),IF(AND(EW$5&lt;=$F110,EW$5+GanttPeriod-1&gt;=$E110),"━","")))</f>
        <v/>
      </c>
      <c r="EX110" s="69" t="str">
        <f aca="false">IF($E110="","",IF($M110,IF(AND($G110&gt;=EX$5,$G110&lt;EX$5+GanttPeriod),"◆",IF(AND($E110&gt;=EX$5,$E110&lt;EX$5+GanttPeriod),"◇","")),IF(AND(EX$5&lt;=$F110,EX$5+GanttPeriod-1&gt;=$E110),"━","")))</f>
        <v/>
      </c>
      <c r="EY110" s="69" t="str">
        <f aca="false">IF($E110="","",IF($M110,IF(AND($G110&gt;=EY$5,$G110&lt;EY$5+GanttPeriod),"◆",IF(AND($E110&gt;=EY$5,$E110&lt;EY$5+GanttPeriod),"◇","")),IF(AND(EY$5&lt;=$F110,EY$5+GanttPeriod-1&gt;=$E110),"━","")))</f>
        <v/>
      </c>
      <c r="EZ110" s="69" t="str">
        <f aca="false">IF($E110="","",IF($M110,IF(AND($G110&gt;=EZ$5,$G110&lt;EZ$5+GanttPeriod),"◆",IF(AND($E110&gt;=EZ$5,$E110&lt;EZ$5+GanttPeriod),"◇","")),IF(AND(EZ$5&lt;=$F110,EZ$5+GanttPeriod-1&gt;=$E110),"━","")))</f>
        <v/>
      </c>
      <c r="FA110" s="69" t="str">
        <f aca="false">IF($E110="","",IF($M110,IF(AND($G110&gt;=FA$5,$G110&lt;FA$5+GanttPeriod),"◆",IF(AND($E110&gt;=FA$5,$E110&lt;FA$5+GanttPeriod),"◇","")),IF(AND(FA$5&lt;=$F110,FA$5+GanttPeriod-1&gt;=$E110),"━","")))</f>
        <v/>
      </c>
      <c r="FB110" s="69" t="str">
        <f aca="false">IF($E110="","",IF($M110,IF(AND($G110&gt;=FB$5,$G110&lt;FB$5+GanttPeriod),"◆",IF(AND($E110&gt;=FB$5,$E110&lt;FB$5+GanttPeriod),"◇","")),IF(AND(FB$5&lt;=$F110,FB$5+GanttPeriod-1&gt;=$E110),"━","")))</f>
        <v/>
      </c>
      <c r="FC110" s="69" t="str">
        <f aca="false">IF($E110="","",IF($M110,IF(AND($G110&gt;=FC$5,$G110&lt;FC$5+GanttPeriod),"◆",IF(AND($E110&gt;=FC$5,$E110&lt;FC$5+GanttPeriod),"◇","")),IF(AND(FC$5&lt;=$F110,FC$5+GanttPeriod-1&gt;=$E110),"━","")))</f>
        <v/>
      </c>
      <c r="FD110" s="69" t="str">
        <f aca="false">IF($E110="","",IF($M110,IF(AND($G110&gt;=FD$5,$G110&lt;FD$5+GanttPeriod),"◆",IF(AND($E110&gt;=FD$5,$E110&lt;FD$5+GanttPeriod),"◇","")),IF(AND(FD$5&lt;=$F110,FD$5+GanttPeriod-1&gt;=$E110),"━","")))</f>
        <v/>
      </c>
      <c r="FE110" s="69" t="str">
        <f aca="false">IF($E110="","",IF($M110,IF(AND($G110&gt;=FE$5,$G110&lt;FE$5+GanttPeriod),"◆",IF(AND($E110&gt;=FE$5,$E110&lt;FE$5+GanttPeriod),"◇","")),IF(AND(FE$5&lt;=$F110,FE$5+GanttPeriod-1&gt;=$E110),"━","")))</f>
        <v/>
      </c>
      <c r="FF110" s="69" t="str">
        <f aca="false">IF($E110="","",IF($M110,IF(AND($G110&gt;=FF$5,$G110&lt;FF$5+GanttPeriod),"◆",IF(AND($E110&gt;=FF$5,$E110&lt;FF$5+GanttPeriod),"◇","")),IF(AND(FF$5&lt;=$F110,FF$5+GanttPeriod-1&gt;=$E110),"━","")))</f>
        <v/>
      </c>
      <c r="FG110" s="69" t="str">
        <f aca="false">IF($E110="","",IF($M110,IF(AND($G110&gt;=FG$5,$G110&lt;FG$5+GanttPeriod),"◆",IF(AND($E110&gt;=FG$5,$E110&lt;FG$5+GanttPeriod),"◇","")),IF(AND(FG$5&lt;=$F110,FG$5+GanttPeriod-1&gt;=$E110),"━","")))</f>
        <v/>
      </c>
      <c r="FH110" s="69" t="str">
        <f aca="false">IF($E110="","",IF($M110,IF(AND($G110&gt;=FH$5,$G110&lt;FH$5+GanttPeriod),"◆",IF(AND($E110&gt;=FH$5,$E110&lt;FH$5+GanttPeriod),"◇","")),IF(AND(FH$5&lt;=$F110,FH$5+GanttPeriod-1&gt;=$E110),"━","")))</f>
        <v/>
      </c>
      <c r="FI110" s="69" t="str">
        <f aca="false">IF($E110="","",IF($M110,IF(AND($G110&gt;=FI$5,$G110&lt;FI$5+GanttPeriod),"◆",IF(AND($E110&gt;=FI$5,$E110&lt;FI$5+GanttPeriod),"◇","")),IF(AND(FI$5&lt;=$F110,FI$5+GanttPeriod-1&gt;=$E110),"━","")))</f>
        <v/>
      </c>
      <c r="FJ110" s="69" t="str">
        <f aca="false">IF($E110="","",IF($M110,IF(AND($G110&gt;=FJ$5,$G110&lt;FJ$5+GanttPeriod),"◆",IF(AND($E110&gt;=FJ$5,$E110&lt;FJ$5+GanttPeriod),"◇","")),IF(AND(FJ$5&lt;=$F110,FJ$5+GanttPeriod-1&gt;=$E110),"━","")))</f>
        <v/>
      </c>
      <c r="FK110" s="69" t="str">
        <f aca="false">IF($E110="","",IF($M110,IF(AND($G110&gt;=FK$5,$G110&lt;FK$5+GanttPeriod),"◆",IF(AND($E110&gt;=FK$5,$E110&lt;FK$5+GanttPeriod),"◇","")),IF(AND(FK$5&lt;=$F110,FK$5+GanttPeriod-1&gt;=$E110),"━","")))</f>
        <v/>
      </c>
      <c r="FL110" s="69" t="str">
        <f aca="false">IF($E110="","",IF($M110,IF(AND($G110&gt;=FL$5,$G110&lt;FL$5+GanttPeriod),"◆",IF(AND($E110&gt;=FL$5,$E110&lt;FL$5+GanttPeriod),"◇","")),IF(AND(FL$5&lt;=$F110,FL$5+GanttPeriod-1&gt;=$E110),"━","")))</f>
        <v/>
      </c>
      <c r="FM110" s="69" t="str">
        <f aca="false">IF($E110="","",IF($M110,IF(AND($G110&gt;=FM$5,$G110&lt;FM$5+GanttPeriod),"◆",IF(AND($E110&gt;=FM$5,$E110&lt;FM$5+GanttPeriod),"◇","")),IF(AND(FM$5&lt;=$F110,FM$5+GanttPeriod-1&gt;=$E110),"━","")))</f>
        <v/>
      </c>
    </row>
    <row r="111" customFormat="false" ht="15" hidden="false" customHeight="false" outlineLevel="0" collapsed="false">
      <c r="A111" s="62" t="str">
        <f aca="false">IF(Tasks!$D111="","",Tasks!$A111)</f>
        <v/>
      </c>
      <c r="B111" s="62" t="str">
        <f aca="false">IF(Tasks!$D111="","",Tasks!$B111)</f>
        <v/>
      </c>
      <c r="C111" s="63" t="str">
        <f aca="false">IF(Tasks!$D111="","",REPT("    ",Tasks!$AE111-1)&amp;Tasks!$D111)</f>
        <v/>
      </c>
      <c r="D111" s="62" t="str">
        <f aca="false">IF(Tasks!$D111="","",IF(Tasks!$AI111,NETWORKDAYS.INTL(Tasks!$R111,Tasks!$S111,WorkWeek,Holidays),N(Tasks!$F111)))</f>
        <v/>
      </c>
      <c r="E111" s="64" t="str">
        <f aca="false">IF(Tasks!$D111="","",Tasks!$N111)</f>
        <v/>
      </c>
      <c r="F111" s="64" t="str">
        <f aca="false">IF(Tasks!$D111="","",Tasks!$O111)</f>
        <v/>
      </c>
      <c r="G111" s="64" t="str">
        <f aca="false">IF(Tasks!$D111="","",Tasks!$R111)</f>
        <v/>
      </c>
      <c r="H111" s="64" t="str">
        <f aca="false">IF(Tasks!$D111="","",Tasks!$S111)</f>
        <v/>
      </c>
      <c r="I111" s="65" t="str">
        <f aca="false">IF(Tasks!$D111="","",Tasks!$V111)</f>
        <v/>
      </c>
      <c r="J111" s="63" t="str">
        <f aca="false">IF(Tasks!$D111="","",Tasks!$X111&amp;"")</f>
        <v/>
      </c>
      <c r="K111" s="66" t="str">
        <f aca="false">IF(Tasks!$D111="","",Tasks!$W111)</f>
        <v/>
      </c>
      <c r="L111" s="67" t="b">
        <f aca="false">IF(Tasks!$D111="",FALSE(),Tasks!$AI111)</f>
        <v>0</v>
      </c>
      <c r="M111" s="67" t="b">
        <f aca="false">AND(Tasks!$AJ111=1,N(Tasks!$F111)=0)</f>
        <v>0</v>
      </c>
      <c r="N111" s="68" t="n">
        <f aca="false">IF(AND(Tasks!$AJ111=1,NOT($M111),N($I111)&gt;0),$G111,0)</f>
        <v>0</v>
      </c>
      <c r="O111" s="68" t="n">
        <f aca="false">IF($N111=0,0,IF($I111&gt;=1,$H111,MAX($N111,$G111+ROUND(($H111-$G111+1)*$I111,0)-1)))</f>
        <v>0</v>
      </c>
      <c r="P111" s="68" t="n">
        <f aca="false">IF(OR(Tasks!$AJ111&lt;&gt;1,$M111,N($I111)&gt;=1),0,IF($O111&gt;0,$O111+1,$G111))</f>
        <v>0</v>
      </c>
      <c r="Q111" s="68" t="n">
        <f aca="false">IF($P111=0,0,$H111)</f>
        <v>0</v>
      </c>
      <c r="R111" s="67" t="b">
        <f aca="false">AND(Tasks!$D111&lt;&gt;"",N(Tasks!$T111)&gt;0)</f>
        <v>0</v>
      </c>
      <c r="T111" s="69" t="str">
        <f aca="false">IF($E111="","",IF($M111,IF(AND($G111&gt;=T$5,$G111&lt;T$5+GanttPeriod),"◆",IF(AND($E111&gt;=T$5,$E111&lt;T$5+GanttPeriod),"◇","")),IF(AND(T$5&lt;=$F111,T$5+GanttPeriod-1&gt;=$E111),"━","")))</f>
        <v/>
      </c>
      <c r="U111" s="69" t="str">
        <f aca="false">IF($E111="","",IF($M111,IF(AND($G111&gt;=U$5,$G111&lt;U$5+GanttPeriod),"◆",IF(AND($E111&gt;=U$5,$E111&lt;U$5+GanttPeriod),"◇","")),IF(AND(U$5&lt;=$F111,U$5+GanttPeriod-1&gt;=$E111),"━","")))</f>
        <v/>
      </c>
      <c r="V111" s="69" t="str">
        <f aca="false">IF($E111="","",IF($M111,IF(AND($G111&gt;=V$5,$G111&lt;V$5+GanttPeriod),"◆",IF(AND($E111&gt;=V$5,$E111&lt;V$5+GanttPeriod),"◇","")),IF(AND(V$5&lt;=$F111,V$5+GanttPeriod-1&gt;=$E111),"━","")))</f>
        <v/>
      </c>
      <c r="W111" s="69" t="str">
        <f aca="false">IF($E111="","",IF($M111,IF(AND($G111&gt;=W$5,$G111&lt;W$5+GanttPeriod),"◆",IF(AND($E111&gt;=W$5,$E111&lt;W$5+GanttPeriod),"◇","")),IF(AND(W$5&lt;=$F111,W$5+GanttPeriod-1&gt;=$E111),"━","")))</f>
        <v/>
      </c>
      <c r="X111" s="69" t="str">
        <f aca="false">IF($E111="","",IF($M111,IF(AND($G111&gt;=X$5,$G111&lt;X$5+GanttPeriod),"◆",IF(AND($E111&gt;=X$5,$E111&lt;X$5+GanttPeriod),"◇","")),IF(AND(X$5&lt;=$F111,X$5+GanttPeriod-1&gt;=$E111),"━","")))</f>
        <v/>
      </c>
      <c r="Y111" s="69" t="str">
        <f aca="false">IF($E111="","",IF($M111,IF(AND($G111&gt;=Y$5,$G111&lt;Y$5+GanttPeriod),"◆",IF(AND($E111&gt;=Y$5,$E111&lt;Y$5+GanttPeriod),"◇","")),IF(AND(Y$5&lt;=$F111,Y$5+GanttPeriod-1&gt;=$E111),"━","")))</f>
        <v/>
      </c>
      <c r="Z111" s="69" t="str">
        <f aca="false">IF($E111="","",IF($M111,IF(AND($G111&gt;=Z$5,$G111&lt;Z$5+GanttPeriod),"◆",IF(AND($E111&gt;=Z$5,$E111&lt;Z$5+GanttPeriod),"◇","")),IF(AND(Z$5&lt;=$F111,Z$5+GanttPeriod-1&gt;=$E111),"━","")))</f>
        <v/>
      </c>
      <c r="AA111" s="69" t="str">
        <f aca="false">IF($E111="","",IF($M111,IF(AND($G111&gt;=AA$5,$G111&lt;AA$5+GanttPeriod),"◆",IF(AND($E111&gt;=AA$5,$E111&lt;AA$5+GanttPeriod),"◇","")),IF(AND(AA$5&lt;=$F111,AA$5+GanttPeriod-1&gt;=$E111),"━","")))</f>
        <v/>
      </c>
      <c r="AB111" s="69" t="str">
        <f aca="false">IF($E111="","",IF($M111,IF(AND($G111&gt;=AB$5,$G111&lt;AB$5+GanttPeriod),"◆",IF(AND($E111&gt;=AB$5,$E111&lt;AB$5+GanttPeriod),"◇","")),IF(AND(AB$5&lt;=$F111,AB$5+GanttPeriod-1&gt;=$E111),"━","")))</f>
        <v/>
      </c>
      <c r="AC111" s="69" t="str">
        <f aca="false">IF($E111="","",IF($M111,IF(AND($G111&gt;=AC$5,$G111&lt;AC$5+GanttPeriod),"◆",IF(AND($E111&gt;=AC$5,$E111&lt;AC$5+GanttPeriod),"◇","")),IF(AND(AC$5&lt;=$F111,AC$5+GanttPeriod-1&gt;=$E111),"━","")))</f>
        <v/>
      </c>
      <c r="AD111" s="69" t="str">
        <f aca="false">IF($E111="","",IF($M111,IF(AND($G111&gt;=AD$5,$G111&lt;AD$5+GanttPeriod),"◆",IF(AND($E111&gt;=AD$5,$E111&lt;AD$5+GanttPeriod),"◇","")),IF(AND(AD$5&lt;=$F111,AD$5+GanttPeriod-1&gt;=$E111),"━","")))</f>
        <v/>
      </c>
      <c r="AE111" s="69" t="str">
        <f aca="false">IF($E111="","",IF($M111,IF(AND($G111&gt;=AE$5,$G111&lt;AE$5+GanttPeriod),"◆",IF(AND($E111&gt;=AE$5,$E111&lt;AE$5+GanttPeriod),"◇","")),IF(AND(AE$5&lt;=$F111,AE$5+GanttPeriod-1&gt;=$E111),"━","")))</f>
        <v/>
      </c>
      <c r="AF111" s="69" t="str">
        <f aca="false">IF($E111="","",IF($M111,IF(AND($G111&gt;=AF$5,$G111&lt;AF$5+GanttPeriod),"◆",IF(AND($E111&gt;=AF$5,$E111&lt;AF$5+GanttPeriod),"◇","")),IF(AND(AF$5&lt;=$F111,AF$5+GanttPeriod-1&gt;=$E111),"━","")))</f>
        <v/>
      </c>
      <c r="AG111" s="69" t="str">
        <f aca="false">IF($E111="","",IF($M111,IF(AND($G111&gt;=AG$5,$G111&lt;AG$5+GanttPeriod),"◆",IF(AND($E111&gt;=AG$5,$E111&lt;AG$5+GanttPeriod),"◇","")),IF(AND(AG$5&lt;=$F111,AG$5+GanttPeriod-1&gt;=$E111),"━","")))</f>
        <v/>
      </c>
      <c r="AH111" s="69" t="str">
        <f aca="false">IF($E111="","",IF($M111,IF(AND($G111&gt;=AH$5,$G111&lt;AH$5+GanttPeriod),"◆",IF(AND($E111&gt;=AH$5,$E111&lt;AH$5+GanttPeriod),"◇","")),IF(AND(AH$5&lt;=$F111,AH$5+GanttPeriod-1&gt;=$E111),"━","")))</f>
        <v/>
      </c>
      <c r="AI111" s="69" t="str">
        <f aca="false">IF($E111="","",IF($M111,IF(AND($G111&gt;=AI$5,$G111&lt;AI$5+GanttPeriod),"◆",IF(AND($E111&gt;=AI$5,$E111&lt;AI$5+GanttPeriod),"◇","")),IF(AND(AI$5&lt;=$F111,AI$5+GanttPeriod-1&gt;=$E111),"━","")))</f>
        <v/>
      </c>
      <c r="AJ111" s="69" t="str">
        <f aca="false">IF($E111="","",IF($M111,IF(AND($G111&gt;=AJ$5,$G111&lt;AJ$5+GanttPeriod),"◆",IF(AND($E111&gt;=AJ$5,$E111&lt;AJ$5+GanttPeriod),"◇","")),IF(AND(AJ$5&lt;=$F111,AJ$5+GanttPeriod-1&gt;=$E111),"━","")))</f>
        <v/>
      </c>
      <c r="AK111" s="69" t="str">
        <f aca="false">IF($E111="","",IF($M111,IF(AND($G111&gt;=AK$5,$G111&lt;AK$5+GanttPeriod),"◆",IF(AND($E111&gt;=AK$5,$E111&lt;AK$5+GanttPeriod),"◇","")),IF(AND(AK$5&lt;=$F111,AK$5+GanttPeriod-1&gt;=$E111),"━","")))</f>
        <v/>
      </c>
      <c r="AL111" s="69" t="str">
        <f aca="false">IF($E111="","",IF($M111,IF(AND($G111&gt;=AL$5,$G111&lt;AL$5+GanttPeriod),"◆",IF(AND($E111&gt;=AL$5,$E111&lt;AL$5+GanttPeriod),"◇","")),IF(AND(AL$5&lt;=$F111,AL$5+GanttPeriod-1&gt;=$E111),"━","")))</f>
        <v/>
      </c>
      <c r="AM111" s="69" t="str">
        <f aca="false">IF($E111="","",IF($M111,IF(AND($G111&gt;=AM$5,$G111&lt;AM$5+GanttPeriod),"◆",IF(AND($E111&gt;=AM$5,$E111&lt;AM$5+GanttPeriod),"◇","")),IF(AND(AM$5&lt;=$F111,AM$5+GanttPeriod-1&gt;=$E111),"━","")))</f>
        <v/>
      </c>
      <c r="AN111" s="69" t="str">
        <f aca="false">IF($E111="","",IF($M111,IF(AND($G111&gt;=AN$5,$G111&lt;AN$5+GanttPeriod),"◆",IF(AND($E111&gt;=AN$5,$E111&lt;AN$5+GanttPeriod),"◇","")),IF(AND(AN$5&lt;=$F111,AN$5+GanttPeriod-1&gt;=$E111),"━","")))</f>
        <v/>
      </c>
      <c r="AO111" s="69" t="str">
        <f aca="false">IF($E111="","",IF($M111,IF(AND($G111&gt;=AO$5,$G111&lt;AO$5+GanttPeriod),"◆",IF(AND($E111&gt;=AO$5,$E111&lt;AO$5+GanttPeriod),"◇","")),IF(AND(AO$5&lt;=$F111,AO$5+GanttPeriod-1&gt;=$E111),"━","")))</f>
        <v/>
      </c>
      <c r="AP111" s="69" t="str">
        <f aca="false">IF($E111="","",IF($M111,IF(AND($G111&gt;=AP$5,$G111&lt;AP$5+GanttPeriod),"◆",IF(AND($E111&gt;=AP$5,$E111&lt;AP$5+GanttPeriod),"◇","")),IF(AND(AP$5&lt;=$F111,AP$5+GanttPeriod-1&gt;=$E111),"━","")))</f>
        <v/>
      </c>
      <c r="AQ111" s="69" t="str">
        <f aca="false">IF($E111="","",IF($M111,IF(AND($G111&gt;=AQ$5,$G111&lt;AQ$5+GanttPeriod),"◆",IF(AND($E111&gt;=AQ$5,$E111&lt;AQ$5+GanttPeriod),"◇","")),IF(AND(AQ$5&lt;=$F111,AQ$5+GanttPeriod-1&gt;=$E111),"━","")))</f>
        <v/>
      </c>
      <c r="AR111" s="69" t="str">
        <f aca="false">IF($E111="","",IF($M111,IF(AND($G111&gt;=AR$5,$G111&lt;AR$5+GanttPeriod),"◆",IF(AND($E111&gt;=AR$5,$E111&lt;AR$5+GanttPeriod),"◇","")),IF(AND(AR$5&lt;=$F111,AR$5+GanttPeriod-1&gt;=$E111),"━","")))</f>
        <v/>
      </c>
      <c r="AS111" s="69" t="str">
        <f aca="false">IF($E111="","",IF($M111,IF(AND($G111&gt;=AS$5,$G111&lt;AS$5+GanttPeriod),"◆",IF(AND($E111&gt;=AS$5,$E111&lt;AS$5+GanttPeriod),"◇","")),IF(AND(AS$5&lt;=$F111,AS$5+GanttPeriod-1&gt;=$E111),"━","")))</f>
        <v/>
      </c>
      <c r="AT111" s="69" t="str">
        <f aca="false">IF($E111="","",IF($M111,IF(AND($G111&gt;=AT$5,$G111&lt;AT$5+GanttPeriod),"◆",IF(AND($E111&gt;=AT$5,$E111&lt;AT$5+GanttPeriod),"◇","")),IF(AND(AT$5&lt;=$F111,AT$5+GanttPeriod-1&gt;=$E111),"━","")))</f>
        <v/>
      </c>
      <c r="AU111" s="69" t="str">
        <f aca="false">IF($E111="","",IF($M111,IF(AND($G111&gt;=AU$5,$G111&lt;AU$5+GanttPeriod),"◆",IF(AND($E111&gt;=AU$5,$E111&lt;AU$5+GanttPeriod),"◇","")),IF(AND(AU$5&lt;=$F111,AU$5+GanttPeriod-1&gt;=$E111),"━","")))</f>
        <v/>
      </c>
      <c r="AV111" s="69" t="str">
        <f aca="false">IF($E111="","",IF($M111,IF(AND($G111&gt;=AV$5,$G111&lt;AV$5+GanttPeriod),"◆",IF(AND($E111&gt;=AV$5,$E111&lt;AV$5+GanttPeriod),"◇","")),IF(AND(AV$5&lt;=$F111,AV$5+GanttPeriod-1&gt;=$E111),"━","")))</f>
        <v/>
      </c>
      <c r="AW111" s="69" t="str">
        <f aca="false">IF($E111="","",IF($M111,IF(AND($G111&gt;=AW$5,$G111&lt;AW$5+GanttPeriod),"◆",IF(AND($E111&gt;=AW$5,$E111&lt;AW$5+GanttPeriod),"◇","")),IF(AND(AW$5&lt;=$F111,AW$5+GanttPeriod-1&gt;=$E111),"━","")))</f>
        <v/>
      </c>
      <c r="AX111" s="69" t="str">
        <f aca="false">IF($E111="","",IF($M111,IF(AND($G111&gt;=AX$5,$G111&lt;AX$5+GanttPeriod),"◆",IF(AND($E111&gt;=AX$5,$E111&lt;AX$5+GanttPeriod),"◇","")),IF(AND(AX$5&lt;=$F111,AX$5+GanttPeriod-1&gt;=$E111),"━","")))</f>
        <v/>
      </c>
      <c r="AY111" s="69" t="str">
        <f aca="false">IF($E111="","",IF($M111,IF(AND($G111&gt;=AY$5,$G111&lt;AY$5+GanttPeriod),"◆",IF(AND($E111&gt;=AY$5,$E111&lt;AY$5+GanttPeriod),"◇","")),IF(AND(AY$5&lt;=$F111,AY$5+GanttPeriod-1&gt;=$E111),"━","")))</f>
        <v/>
      </c>
      <c r="AZ111" s="69" t="str">
        <f aca="false">IF($E111="","",IF($M111,IF(AND($G111&gt;=AZ$5,$G111&lt;AZ$5+GanttPeriod),"◆",IF(AND($E111&gt;=AZ$5,$E111&lt;AZ$5+GanttPeriod),"◇","")),IF(AND(AZ$5&lt;=$F111,AZ$5+GanttPeriod-1&gt;=$E111),"━","")))</f>
        <v/>
      </c>
      <c r="BA111" s="69" t="str">
        <f aca="false">IF($E111="","",IF($M111,IF(AND($G111&gt;=BA$5,$G111&lt;BA$5+GanttPeriod),"◆",IF(AND($E111&gt;=BA$5,$E111&lt;BA$5+GanttPeriod),"◇","")),IF(AND(BA$5&lt;=$F111,BA$5+GanttPeriod-1&gt;=$E111),"━","")))</f>
        <v/>
      </c>
      <c r="BB111" s="69" t="str">
        <f aca="false">IF($E111="","",IF($M111,IF(AND($G111&gt;=BB$5,$G111&lt;BB$5+GanttPeriod),"◆",IF(AND($E111&gt;=BB$5,$E111&lt;BB$5+GanttPeriod),"◇","")),IF(AND(BB$5&lt;=$F111,BB$5+GanttPeriod-1&gt;=$E111),"━","")))</f>
        <v/>
      </c>
      <c r="BC111" s="69" t="str">
        <f aca="false">IF($E111="","",IF($M111,IF(AND($G111&gt;=BC$5,$G111&lt;BC$5+GanttPeriod),"◆",IF(AND($E111&gt;=BC$5,$E111&lt;BC$5+GanttPeriod),"◇","")),IF(AND(BC$5&lt;=$F111,BC$5+GanttPeriod-1&gt;=$E111),"━","")))</f>
        <v/>
      </c>
      <c r="BD111" s="69" t="str">
        <f aca="false">IF($E111="","",IF($M111,IF(AND($G111&gt;=BD$5,$G111&lt;BD$5+GanttPeriod),"◆",IF(AND($E111&gt;=BD$5,$E111&lt;BD$5+GanttPeriod),"◇","")),IF(AND(BD$5&lt;=$F111,BD$5+GanttPeriod-1&gt;=$E111),"━","")))</f>
        <v/>
      </c>
      <c r="BE111" s="69" t="str">
        <f aca="false">IF($E111="","",IF($M111,IF(AND($G111&gt;=BE$5,$G111&lt;BE$5+GanttPeriod),"◆",IF(AND($E111&gt;=BE$5,$E111&lt;BE$5+GanttPeriod),"◇","")),IF(AND(BE$5&lt;=$F111,BE$5+GanttPeriod-1&gt;=$E111),"━","")))</f>
        <v/>
      </c>
      <c r="BF111" s="69" t="str">
        <f aca="false">IF($E111="","",IF($M111,IF(AND($G111&gt;=BF$5,$G111&lt;BF$5+GanttPeriod),"◆",IF(AND($E111&gt;=BF$5,$E111&lt;BF$5+GanttPeriod),"◇","")),IF(AND(BF$5&lt;=$F111,BF$5+GanttPeriod-1&gt;=$E111),"━","")))</f>
        <v/>
      </c>
      <c r="BG111" s="69" t="str">
        <f aca="false">IF($E111="","",IF($M111,IF(AND($G111&gt;=BG$5,$G111&lt;BG$5+GanttPeriod),"◆",IF(AND($E111&gt;=BG$5,$E111&lt;BG$5+GanttPeriod),"◇","")),IF(AND(BG$5&lt;=$F111,BG$5+GanttPeriod-1&gt;=$E111),"━","")))</f>
        <v/>
      </c>
      <c r="BH111" s="69" t="str">
        <f aca="false">IF($E111="","",IF($M111,IF(AND($G111&gt;=BH$5,$G111&lt;BH$5+GanttPeriod),"◆",IF(AND($E111&gt;=BH$5,$E111&lt;BH$5+GanttPeriod),"◇","")),IF(AND(BH$5&lt;=$F111,BH$5+GanttPeriod-1&gt;=$E111),"━","")))</f>
        <v/>
      </c>
      <c r="BI111" s="69" t="str">
        <f aca="false">IF($E111="","",IF($M111,IF(AND($G111&gt;=BI$5,$G111&lt;BI$5+GanttPeriod),"◆",IF(AND($E111&gt;=BI$5,$E111&lt;BI$5+GanttPeriod),"◇","")),IF(AND(BI$5&lt;=$F111,BI$5+GanttPeriod-1&gt;=$E111),"━","")))</f>
        <v/>
      </c>
      <c r="BJ111" s="69" t="str">
        <f aca="false">IF($E111="","",IF($M111,IF(AND($G111&gt;=BJ$5,$G111&lt;BJ$5+GanttPeriod),"◆",IF(AND($E111&gt;=BJ$5,$E111&lt;BJ$5+GanttPeriod),"◇","")),IF(AND(BJ$5&lt;=$F111,BJ$5+GanttPeriod-1&gt;=$E111),"━","")))</f>
        <v/>
      </c>
      <c r="BK111" s="69" t="str">
        <f aca="false">IF($E111="","",IF($M111,IF(AND($G111&gt;=BK$5,$G111&lt;BK$5+GanttPeriod),"◆",IF(AND($E111&gt;=BK$5,$E111&lt;BK$5+GanttPeriod),"◇","")),IF(AND(BK$5&lt;=$F111,BK$5+GanttPeriod-1&gt;=$E111),"━","")))</f>
        <v/>
      </c>
      <c r="BL111" s="69" t="str">
        <f aca="false">IF($E111="","",IF($M111,IF(AND($G111&gt;=BL$5,$G111&lt;BL$5+GanttPeriod),"◆",IF(AND($E111&gt;=BL$5,$E111&lt;BL$5+GanttPeriod),"◇","")),IF(AND(BL$5&lt;=$F111,BL$5+GanttPeriod-1&gt;=$E111),"━","")))</f>
        <v/>
      </c>
      <c r="BM111" s="69" t="str">
        <f aca="false">IF($E111="","",IF($M111,IF(AND($G111&gt;=BM$5,$G111&lt;BM$5+GanttPeriod),"◆",IF(AND($E111&gt;=BM$5,$E111&lt;BM$5+GanttPeriod),"◇","")),IF(AND(BM$5&lt;=$F111,BM$5+GanttPeriod-1&gt;=$E111),"━","")))</f>
        <v/>
      </c>
      <c r="BN111" s="69" t="str">
        <f aca="false">IF($E111="","",IF($M111,IF(AND($G111&gt;=BN$5,$G111&lt;BN$5+GanttPeriod),"◆",IF(AND($E111&gt;=BN$5,$E111&lt;BN$5+GanttPeriod),"◇","")),IF(AND(BN$5&lt;=$F111,BN$5+GanttPeriod-1&gt;=$E111),"━","")))</f>
        <v/>
      </c>
      <c r="BO111" s="69" t="str">
        <f aca="false">IF($E111="","",IF($M111,IF(AND($G111&gt;=BO$5,$G111&lt;BO$5+GanttPeriod),"◆",IF(AND($E111&gt;=BO$5,$E111&lt;BO$5+GanttPeriod),"◇","")),IF(AND(BO$5&lt;=$F111,BO$5+GanttPeriod-1&gt;=$E111),"━","")))</f>
        <v/>
      </c>
      <c r="BP111" s="69" t="str">
        <f aca="false">IF($E111="","",IF($M111,IF(AND($G111&gt;=BP$5,$G111&lt;BP$5+GanttPeriod),"◆",IF(AND($E111&gt;=BP$5,$E111&lt;BP$5+GanttPeriod),"◇","")),IF(AND(BP$5&lt;=$F111,BP$5+GanttPeriod-1&gt;=$E111),"━","")))</f>
        <v/>
      </c>
      <c r="BQ111" s="69" t="str">
        <f aca="false">IF($E111="","",IF($M111,IF(AND($G111&gt;=BQ$5,$G111&lt;BQ$5+GanttPeriod),"◆",IF(AND($E111&gt;=BQ$5,$E111&lt;BQ$5+GanttPeriod),"◇","")),IF(AND(BQ$5&lt;=$F111,BQ$5+GanttPeriod-1&gt;=$E111),"━","")))</f>
        <v/>
      </c>
      <c r="BR111" s="69" t="str">
        <f aca="false">IF($E111="","",IF($M111,IF(AND($G111&gt;=BR$5,$G111&lt;BR$5+GanttPeriod),"◆",IF(AND($E111&gt;=BR$5,$E111&lt;BR$5+GanttPeriod),"◇","")),IF(AND(BR$5&lt;=$F111,BR$5+GanttPeriod-1&gt;=$E111),"━","")))</f>
        <v/>
      </c>
      <c r="BS111" s="69" t="str">
        <f aca="false">IF($E111="","",IF($M111,IF(AND($G111&gt;=BS$5,$G111&lt;BS$5+GanttPeriod),"◆",IF(AND($E111&gt;=BS$5,$E111&lt;BS$5+GanttPeriod),"◇","")),IF(AND(BS$5&lt;=$F111,BS$5+GanttPeriod-1&gt;=$E111),"━","")))</f>
        <v/>
      </c>
      <c r="BT111" s="69" t="str">
        <f aca="false">IF($E111="","",IF($M111,IF(AND($G111&gt;=BT$5,$G111&lt;BT$5+GanttPeriod),"◆",IF(AND($E111&gt;=BT$5,$E111&lt;BT$5+GanttPeriod),"◇","")),IF(AND(BT$5&lt;=$F111,BT$5+GanttPeriod-1&gt;=$E111),"━","")))</f>
        <v/>
      </c>
      <c r="BU111" s="69" t="str">
        <f aca="false">IF($E111="","",IF($M111,IF(AND($G111&gt;=BU$5,$G111&lt;BU$5+GanttPeriod),"◆",IF(AND($E111&gt;=BU$5,$E111&lt;BU$5+GanttPeriod),"◇","")),IF(AND(BU$5&lt;=$F111,BU$5+GanttPeriod-1&gt;=$E111),"━","")))</f>
        <v/>
      </c>
      <c r="BV111" s="69" t="str">
        <f aca="false">IF($E111="","",IF($M111,IF(AND($G111&gt;=BV$5,$G111&lt;BV$5+GanttPeriod),"◆",IF(AND($E111&gt;=BV$5,$E111&lt;BV$5+GanttPeriod),"◇","")),IF(AND(BV$5&lt;=$F111,BV$5+GanttPeriod-1&gt;=$E111),"━","")))</f>
        <v/>
      </c>
      <c r="BW111" s="69" t="str">
        <f aca="false">IF($E111="","",IF($M111,IF(AND($G111&gt;=BW$5,$G111&lt;BW$5+GanttPeriod),"◆",IF(AND($E111&gt;=BW$5,$E111&lt;BW$5+GanttPeriod),"◇","")),IF(AND(BW$5&lt;=$F111,BW$5+GanttPeriod-1&gt;=$E111),"━","")))</f>
        <v/>
      </c>
      <c r="BX111" s="69" t="str">
        <f aca="false">IF($E111="","",IF($M111,IF(AND($G111&gt;=BX$5,$G111&lt;BX$5+GanttPeriod),"◆",IF(AND($E111&gt;=BX$5,$E111&lt;BX$5+GanttPeriod),"◇","")),IF(AND(BX$5&lt;=$F111,BX$5+GanttPeriod-1&gt;=$E111),"━","")))</f>
        <v/>
      </c>
      <c r="BY111" s="69" t="str">
        <f aca="false">IF($E111="","",IF($M111,IF(AND($G111&gt;=BY$5,$G111&lt;BY$5+GanttPeriod),"◆",IF(AND($E111&gt;=BY$5,$E111&lt;BY$5+GanttPeriod),"◇","")),IF(AND(BY$5&lt;=$F111,BY$5+GanttPeriod-1&gt;=$E111),"━","")))</f>
        <v/>
      </c>
      <c r="BZ111" s="69" t="str">
        <f aca="false">IF($E111="","",IF($M111,IF(AND($G111&gt;=BZ$5,$G111&lt;BZ$5+GanttPeriod),"◆",IF(AND($E111&gt;=BZ$5,$E111&lt;BZ$5+GanttPeriod),"◇","")),IF(AND(BZ$5&lt;=$F111,BZ$5+GanttPeriod-1&gt;=$E111),"━","")))</f>
        <v/>
      </c>
      <c r="CA111" s="69" t="str">
        <f aca="false">IF($E111="","",IF($M111,IF(AND($G111&gt;=CA$5,$G111&lt;CA$5+GanttPeriod),"◆",IF(AND($E111&gt;=CA$5,$E111&lt;CA$5+GanttPeriod),"◇","")),IF(AND(CA$5&lt;=$F111,CA$5+GanttPeriod-1&gt;=$E111),"━","")))</f>
        <v/>
      </c>
      <c r="CB111" s="69" t="str">
        <f aca="false">IF($E111="","",IF($M111,IF(AND($G111&gt;=CB$5,$G111&lt;CB$5+GanttPeriod),"◆",IF(AND($E111&gt;=CB$5,$E111&lt;CB$5+GanttPeriod),"◇","")),IF(AND(CB$5&lt;=$F111,CB$5+GanttPeriod-1&gt;=$E111),"━","")))</f>
        <v/>
      </c>
      <c r="CC111" s="69" t="str">
        <f aca="false">IF($E111="","",IF($M111,IF(AND($G111&gt;=CC$5,$G111&lt;CC$5+GanttPeriod),"◆",IF(AND($E111&gt;=CC$5,$E111&lt;CC$5+GanttPeriod),"◇","")),IF(AND(CC$5&lt;=$F111,CC$5+GanttPeriod-1&gt;=$E111),"━","")))</f>
        <v/>
      </c>
      <c r="CD111" s="69" t="str">
        <f aca="false">IF($E111="","",IF($M111,IF(AND($G111&gt;=CD$5,$G111&lt;CD$5+GanttPeriod),"◆",IF(AND($E111&gt;=CD$5,$E111&lt;CD$5+GanttPeriod),"◇","")),IF(AND(CD$5&lt;=$F111,CD$5+GanttPeriod-1&gt;=$E111),"━","")))</f>
        <v/>
      </c>
      <c r="CE111" s="69" t="str">
        <f aca="false">IF($E111="","",IF($M111,IF(AND($G111&gt;=CE$5,$G111&lt;CE$5+GanttPeriod),"◆",IF(AND($E111&gt;=CE$5,$E111&lt;CE$5+GanttPeriod),"◇","")),IF(AND(CE$5&lt;=$F111,CE$5+GanttPeriod-1&gt;=$E111),"━","")))</f>
        <v/>
      </c>
      <c r="CF111" s="69" t="str">
        <f aca="false">IF($E111="","",IF($M111,IF(AND($G111&gt;=CF$5,$G111&lt;CF$5+GanttPeriod),"◆",IF(AND($E111&gt;=CF$5,$E111&lt;CF$5+GanttPeriod),"◇","")),IF(AND(CF$5&lt;=$F111,CF$5+GanttPeriod-1&gt;=$E111),"━","")))</f>
        <v/>
      </c>
      <c r="CG111" s="69" t="str">
        <f aca="false">IF($E111="","",IF($M111,IF(AND($G111&gt;=CG$5,$G111&lt;CG$5+GanttPeriod),"◆",IF(AND($E111&gt;=CG$5,$E111&lt;CG$5+GanttPeriod),"◇","")),IF(AND(CG$5&lt;=$F111,CG$5+GanttPeriod-1&gt;=$E111),"━","")))</f>
        <v/>
      </c>
      <c r="CH111" s="69" t="str">
        <f aca="false">IF($E111="","",IF($M111,IF(AND($G111&gt;=CH$5,$G111&lt;CH$5+GanttPeriod),"◆",IF(AND($E111&gt;=CH$5,$E111&lt;CH$5+GanttPeriod),"◇","")),IF(AND(CH$5&lt;=$F111,CH$5+GanttPeriod-1&gt;=$E111),"━","")))</f>
        <v/>
      </c>
      <c r="CI111" s="69" t="str">
        <f aca="false">IF($E111="","",IF($M111,IF(AND($G111&gt;=CI$5,$G111&lt;CI$5+GanttPeriod),"◆",IF(AND($E111&gt;=CI$5,$E111&lt;CI$5+GanttPeriod),"◇","")),IF(AND(CI$5&lt;=$F111,CI$5+GanttPeriod-1&gt;=$E111),"━","")))</f>
        <v/>
      </c>
      <c r="CJ111" s="69" t="str">
        <f aca="false">IF($E111="","",IF($M111,IF(AND($G111&gt;=CJ$5,$G111&lt;CJ$5+GanttPeriod),"◆",IF(AND($E111&gt;=CJ$5,$E111&lt;CJ$5+GanttPeriod),"◇","")),IF(AND(CJ$5&lt;=$F111,CJ$5+GanttPeriod-1&gt;=$E111),"━","")))</f>
        <v/>
      </c>
      <c r="CK111" s="69" t="str">
        <f aca="false">IF($E111="","",IF($M111,IF(AND($G111&gt;=CK$5,$G111&lt;CK$5+GanttPeriod),"◆",IF(AND($E111&gt;=CK$5,$E111&lt;CK$5+GanttPeriod),"◇","")),IF(AND(CK$5&lt;=$F111,CK$5+GanttPeriod-1&gt;=$E111),"━","")))</f>
        <v/>
      </c>
      <c r="CL111" s="69" t="str">
        <f aca="false">IF($E111="","",IF($M111,IF(AND($G111&gt;=CL$5,$G111&lt;CL$5+GanttPeriod),"◆",IF(AND($E111&gt;=CL$5,$E111&lt;CL$5+GanttPeriod),"◇","")),IF(AND(CL$5&lt;=$F111,CL$5+GanttPeriod-1&gt;=$E111),"━","")))</f>
        <v/>
      </c>
      <c r="CM111" s="69" t="str">
        <f aca="false">IF($E111="","",IF($M111,IF(AND($G111&gt;=CM$5,$G111&lt;CM$5+GanttPeriod),"◆",IF(AND($E111&gt;=CM$5,$E111&lt;CM$5+GanttPeriod),"◇","")),IF(AND(CM$5&lt;=$F111,CM$5+GanttPeriod-1&gt;=$E111),"━","")))</f>
        <v/>
      </c>
      <c r="CN111" s="69" t="str">
        <f aca="false">IF($E111="","",IF($M111,IF(AND($G111&gt;=CN$5,$G111&lt;CN$5+GanttPeriod),"◆",IF(AND($E111&gt;=CN$5,$E111&lt;CN$5+GanttPeriod),"◇","")),IF(AND(CN$5&lt;=$F111,CN$5+GanttPeriod-1&gt;=$E111),"━","")))</f>
        <v/>
      </c>
      <c r="CO111" s="69" t="str">
        <f aca="false">IF($E111="","",IF($M111,IF(AND($G111&gt;=CO$5,$G111&lt;CO$5+GanttPeriod),"◆",IF(AND($E111&gt;=CO$5,$E111&lt;CO$5+GanttPeriod),"◇","")),IF(AND(CO$5&lt;=$F111,CO$5+GanttPeriod-1&gt;=$E111),"━","")))</f>
        <v/>
      </c>
      <c r="CP111" s="69" t="str">
        <f aca="false">IF($E111="","",IF($M111,IF(AND($G111&gt;=CP$5,$G111&lt;CP$5+GanttPeriod),"◆",IF(AND($E111&gt;=CP$5,$E111&lt;CP$5+GanttPeriod),"◇","")),IF(AND(CP$5&lt;=$F111,CP$5+GanttPeriod-1&gt;=$E111),"━","")))</f>
        <v/>
      </c>
      <c r="CQ111" s="69" t="str">
        <f aca="false">IF($E111="","",IF($M111,IF(AND($G111&gt;=CQ$5,$G111&lt;CQ$5+GanttPeriod),"◆",IF(AND($E111&gt;=CQ$5,$E111&lt;CQ$5+GanttPeriod),"◇","")),IF(AND(CQ$5&lt;=$F111,CQ$5+GanttPeriod-1&gt;=$E111),"━","")))</f>
        <v/>
      </c>
      <c r="CR111" s="69" t="str">
        <f aca="false">IF($E111="","",IF($M111,IF(AND($G111&gt;=CR$5,$G111&lt;CR$5+GanttPeriod),"◆",IF(AND($E111&gt;=CR$5,$E111&lt;CR$5+GanttPeriod),"◇","")),IF(AND(CR$5&lt;=$F111,CR$5+GanttPeriod-1&gt;=$E111),"━","")))</f>
        <v/>
      </c>
      <c r="CS111" s="69" t="str">
        <f aca="false">IF($E111="","",IF($M111,IF(AND($G111&gt;=CS$5,$G111&lt;CS$5+GanttPeriod),"◆",IF(AND($E111&gt;=CS$5,$E111&lt;CS$5+GanttPeriod),"◇","")),IF(AND(CS$5&lt;=$F111,CS$5+GanttPeriod-1&gt;=$E111),"━","")))</f>
        <v/>
      </c>
      <c r="CT111" s="69" t="str">
        <f aca="false">IF($E111="","",IF($M111,IF(AND($G111&gt;=CT$5,$G111&lt;CT$5+GanttPeriod),"◆",IF(AND($E111&gt;=CT$5,$E111&lt;CT$5+GanttPeriod),"◇","")),IF(AND(CT$5&lt;=$F111,CT$5+GanttPeriod-1&gt;=$E111),"━","")))</f>
        <v/>
      </c>
      <c r="CU111" s="69" t="str">
        <f aca="false">IF($E111="","",IF($M111,IF(AND($G111&gt;=CU$5,$G111&lt;CU$5+GanttPeriod),"◆",IF(AND($E111&gt;=CU$5,$E111&lt;CU$5+GanttPeriod),"◇","")),IF(AND(CU$5&lt;=$F111,CU$5+GanttPeriod-1&gt;=$E111),"━","")))</f>
        <v/>
      </c>
      <c r="CV111" s="69" t="str">
        <f aca="false">IF($E111="","",IF($M111,IF(AND($G111&gt;=CV$5,$G111&lt;CV$5+GanttPeriod),"◆",IF(AND($E111&gt;=CV$5,$E111&lt;CV$5+GanttPeriod),"◇","")),IF(AND(CV$5&lt;=$F111,CV$5+GanttPeriod-1&gt;=$E111),"━","")))</f>
        <v/>
      </c>
      <c r="CW111" s="69" t="str">
        <f aca="false">IF($E111="","",IF($M111,IF(AND($G111&gt;=CW$5,$G111&lt;CW$5+GanttPeriod),"◆",IF(AND($E111&gt;=CW$5,$E111&lt;CW$5+GanttPeriod),"◇","")),IF(AND(CW$5&lt;=$F111,CW$5+GanttPeriod-1&gt;=$E111),"━","")))</f>
        <v/>
      </c>
      <c r="CX111" s="69" t="str">
        <f aca="false">IF($E111="","",IF($M111,IF(AND($G111&gt;=CX$5,$G111&lt;CX$5+GanttPeriod),"◆",IF(AND($E111&gt;=CX$5,$E111&lt;CX$5+GanttPeriod),"◇","")),IF(AND(CX$5&lt;=$F111,CX$5+GanttPeriod-1&gt;=$E111),"━","")))</f>
        <v/>
      </c>
      <c r="CY111" s="69" t="str">
        <f aca="false">IF($E111="","",IF($M111,IF(AND($G111&gt;=CY$5,$G111&lt;CY$5+GanttPeriod),"◆",IF(AND($E111&gt;=CY$5,$E111&lt;CY$5+GanttPeriod),"◇","")),IF(AND(CY$5&lt;=$F111,CY$5+GanttPeriod-1&gt;=$E111),"━","")))</f>
        <v/>
      </c>
      <c r="CZ111" s="69" t="str">
        <f aca="false">IF($E111="","",IF($M111,IF(AND($G111&gt;=CZ$5,$G111&lt;CZ$5+GanttPeriod),"◆",IF(AND($E111&gt;=CZ$5,$E111&lt;CZ$5+GanttPeriod),"◇","")),IF(AND(CZ$5&lt;=$F111,CZ$5+GanttPeriod-1&gt;=$E111),"━","")))</f>
        <v/>
      </c>
      <c r="DA111" s="69" t="str">
        <f aca="false">IF($E111="","",IF($M111,IF(AND($G111&gt;=DA$5,$G111&lt;DA$5+GanttPeriod),"◆",IF(AND($E111&gt;=DA$5,$E111&lt;DA$5+GanttPeriod),"◇","")),IF(AND(DA$5&lt;=$F111,DA$5+GanttPeriod-1&gt;=$E111),"━","")))</f>
        <v/>
      </c>
      <c r="DB111" s="69" t="str">
        <f aca="false">IF($E111="","",IF($M111,IF(AND($G111&gt;=DB$5,$G111&lt;DB$5+GanttPeriod),"◆",IF(AND($E111&gt;=DB$5,$E111&lt;DB$5+GanttPeriod),"◇","")),IF(AND(DB$5&lt;=$F111,DB$5+GanttPeriod-1&gt;=$E111),"━","")))</f>
        <v/>
      </c>
      <c r="DC111" s="69" t="str">
        <f aca="false">IF($E111="","",IF($M111,IF(AND($G111&gt;=DC$5,$G111&lt;DC$5+GanttPeriod),"◆",IF(AND($E111&gt;=DC$5,$E111&lt;DC$5+GanttPeriod),"◇","")),IF(AND(DC$5&lt;=$F111,DC$5+GanttPeriod-1&gt;=$E111),"━","")))</f>
        <v/>
      </c>
      <c r="DD111" s="69" t="str">
        <f aca="false">IF($E111="","",IF($M111,IF(AND($G111&gt;=DD$5,$G111&lt;DD$5+GanttPeriod),"◆",IF(AND($E111&gt;=DD$5,$E111&lt;DD$5+GanttPeriod),"◇","")),IF(AND(DD$5&lt;=$F111,DD$5+GanttPeriod-1&gt;=$E111),"━","")))</f>
        <v/>
      </c>
      <c r="DE111" s="69" t="str">
        <f aca="false">IF($E111="","",IF($M111,IF(AND($G111&gt;=DE$5,$G111&lt;DE$5+GanttPeriod),"◆",IF(AND($E111&gt;=DE$5,$E111&lt;DE$5+GanttPeriod),"◇","")),IF(AND(DE$5&lt;=$F111,DE$5+GanttPeriod-1&gt;=$E111),"━","")))</f>
        <v/>
      </c>
      <c r="DF111" s="69" t="str">
        <f aca="false">IF($E111="","",IF($M111,IF(AND($G111&gt;=DF$5,$G111&lt;DF$5+GanttPeriod),"◆",IF(AND($E111&gt;=DF$5,$E111&lt;DF$5+GanttPeriod),"◇","")),IF(AND(DF$5&lt;=$F111,DF$5+GanttPeriod-1&gt;=$E111),"━","")))</f>
        <v/>
      </c>
      <c r="DG111" s="69" t="str">
        <f aca="false">IF($E111="","",IF($M111,IF(AND($G111&gt;=DG$5,$G111&lt;DG$5+GanttPeriod),"◆",IF(AND($E111&gt;=DG$5,$E111&lt;DG$5+GanttPeriod),"◇","")),IF(AND(DG$5&lt;=$F111,DG$5+GanttPeriod-1&gt;=$E111),"━","")))</f>
        <v/>
      </c>
      <c r="DH111" s="69" t="str">
        <f aca="false">IF($E111="","",IF($M111,IF(AND($G111&gt;=DH$5,$G111&lt;DH$5+GanttPeriod),"◆",IF(AND($E111&gt;=DH$5,$E111&lt;DH$5+GanttPeriod),"◇","")),IF(AND(DH$5&lt;=$F111,DH$5+GanttPeriod-1&gt;=$E111),"━","")))</f>
        <v/>
      </c>
      <c r="DI111" s="69" t="str">
        <f aca="false">IF($E111="","",IF($M111,IF(AND($G111&gt;=DI$5,$G111&lt;DI$5+GanttPeriod),"◆",IF(AND($E111&gt;=DI$5,$E111&lt;DI$5+GanttPeriod),"◇","")),IF(AND(DI$5&lt;=$F111,DI$5+GanttPeriod-1&gt;=$E111),"━","")))</f>
        <v/>
      </c>
      <c r="DJ111" s="69" t="str">
        <f aca="false">IF($E111="","",IF($M111,IF(AND($G111&gt;=DJ$5,$G111&lt;DJ$5+GanttPeriod),"◆",IF(AND($E111&gt;=DJ$5,$E111&lt;DJ$5+GanttPeriod),"◇","")),IF(AND(DJ$5&lt;=$F111,DJ$5+GanttPeriod-1&gt;=$E111),"━","")))</f>
        <v/>
      </c>
      <c r="DK111" s="69" t="str">
        <f aca="false">IF($E111="","",IF($M111,IF(AND($G111&gt;=DK$5,$G111&lt;DK$5+GanttPeriod),"◆",IF(AND($E111&gt;=DK$5,$E111&lt;DK$5+GanttPeriod),"◇","")),IF(AND(DK$5&lt;=$F111,DK$5+GanttPeriod-1&gt;=$E111),"━","")))</f>
        <v/>
      </c>
      <c r="DL111" s="69" t="str">
        <f aca="false">IF($E111="","",IF($M111,IF(AND($G111&gt;=DL$5,$G111&lt;DL$5+GanttPeriod),"◆",IF(AND($E111&gt;=DL$5,$E111&lt;DL$5+GanttPeriod),"◇","")),IF(AND(DL$5&lt;=$F111,DL$5+GanttPeriod-1&gt;=$E111),"━","")))</f>
        <v/>
      </c>
      <c r="DM111" s="69" t="str">
        <f aca="false">IF($E111="","",IF($M111,IF(AND($G111&gt;=DM$5,$G111&lt;DM$5+GanttPeriod),"◆",IF(AND($E111&gt;=DM$5,$E111&lt;DM$5+GanttPeriod),"◇","")),IF(AND(DM$5&lt;=$F111,DM$5+GanttPeriod-1&gt;=$E111),"━","")))</f>
        <v/>
      </c>
      <c r="DN111" s="69" t="str">
        <f aca="false">IF($E111="","",IF($M111,IF(AND($G111&gt;=DN$5,$G111&lt;DN$5+GanttPeriod),"◆",IF(AND($E111&gt;=DN$5,$E111&lt;DN$5+GanttPeriod),"◇","")),IF(AND(DN$5&lt;=$F111,DN$5+GanttPeriod-1&gt;=$E111),"━","")))</f>
        <v/>
      </c>
      <c r="DO111" s="69" t="str">
        <f aca="false">IF($E111="","",IF($M111,IF(AND($G111&gt;=DO$5,$G111&lt;DO$5+GanttPeriod),"◆",IF(AND($E111&gt;=DO$5,$E111&lt;DO$5+GanttPeriod),"◇","")),IF(AND(DO$5&lt;=$F111,DO$5+GanttPeriod-1&gt;=$E111),"━","")))</f>
        <v/>
      </c>
      <c r="DP111" s="69" t="str">
        <f aca="false">IF($E111="","",IF($M111,IF(AND($G111&gt;=DP$5,$G111&lt;DP$5+GanttPeriod),"◆",IF(AND($E111&gt;=DP$5,$E111&lt;DP$5+GanttPeriod),"◇","")),IF(AND(DP$5&lt;=$F111,DP$5+GanttPeriod-1&gt;=$E111),"━","")))</f>
        <v/>
      </c>
      <c r="DQ111" s="69" t="str">
        <f aca="false">IF($E111="","",IF($M111,IF(AND($G111&gt;=DQ$5,$G111&lt;DQ$5+GanttPeriod),"◆",IF(AND($E111&gt;=DQ$5,$E111&lt;DQ$5+GanttPeriod),"◇","")),IF(AND(DQ$5&lt;=$F111,DQ$5+GanttPeriod-1&gt;=$E111),"━","")))</f>
        <v/>
      </c>
      <c r="DR111" s="69" t="str">
        <f aca="false">IF($E111="","",IF($M111,IF(AND($G111&gt;=DR$5,$G111&lt;DR$5+GanttPeriod),"◆",IF(AND($E111&gt;=DR$5,$E111&lt;DR$5+GanttPeriod),"◇","")),IF(AND(DR$5&lt;=$F111,DR$5+GanttPeriod-1&gt;=$E111),"━","")))</f>
        <v/>
      </c>
      <c r="DS111" s="69" t="str">
        <f aca="false">IF($E111="","",IF($M111,IF(AND($G111&gt;=DS$5,$G111&lt;DS$5+GanttPeriod),"◆",IF(AND($E111&gt;=DS$5,$E111&lt;DS$5+GanttPeriod),"◇","")),IF(AND(DS$5&lt;=$F111,DS$5+GanttPeriod-1&gt;=$E111),"━","")))</f>
        <v/>
      </c>
      <c r="DT111" s="69" t="str">
        <f aca="false">IF($E111="","",IF($M111,IF(AND($G111&gt;=DT$5,$G111&lt;DT$5+GanttPeriod),"◆",IF(AND($E111&gt;=DT$5,$E111&lt;DT$5+GanttPeriod),"◇","")),IF(AND(DT$5&lt;=$F111,DT$5+GanttPeriod-1&gt;=$E111),"━","")))</f>
        <v/>
      </c>
      <c r="DU111" s="69" t="str">
        <f aca="false">IF($E111="","",IF($M111,IF(AND($G111&gt;=DU$5,$G111&lt;DU$5+GanttPeriod),"◆",IF(AND($E111&gt;=DU$5,$E111&lt;DU$5+GanttPeriod),"◇","")),IF(AND(DU$5&lt;=$F111,DU$5+GanttPeriod-1&gt;=$E111),"━","")))</f>
        <v/>
      </c>
      <c r="DV111" s="69" t="str">
        <f aca="false">IF($E111="","",IF($M111,IF(AND($G111&gt;=DV$5,$G111&lt;DV$5+GanttPeriod),"◆",IF(AND($E111&gt;=DV$5,$E111&lt;DV$5+GanttPeriod),"◇","")),IF(AND(DV$5&lt;=$F111,DV$5+GanttPeriod-1&gt;=$E111),"━","")))</f>
        <v/>
      </c>
      <c r="DW111" s="69" t="str">
        <f aca="false">IF($E111="","",IF($M111,IF(AND($G111&gt;=DW$5,$G111&lt;DW$5+GanttPeriod),"◆",IF(AND($E111&gt;=DW$5,$E111&lt;DW$5+GanttPeriod),"◇","")),IF(AND(DW$5&lt;=$F111,DW$5+GanttPeriod-1&gt;=$E111),"━","")))</f>
        <v/>
      </c>
      <c r="DX111" s="69" t="str">
        <f aca="false">IF($E111="","",IF($M111,IF(AND($G111&gt;=DX$5,$G111&lt;DX$5+GanttPeriod),"◆",IF(AND($E111&gt;=DX$5,$E111&lt;DX$5+GanttPeriod),"◇","")),IF(AND(DX$5&lt;=$F111,DX$5+GanttPeriod-1&gt;=$E111),"━","")))</f>
        <v/>
      </c>
      <c r="DY111" s="69" t="str">
        <f aca="false">IF($E111="","",IF($M111,IF(AND($G111&gt;=DY$5,$G111&lt;DY$5+GanttPeriod),"◆",IF(AND($E111&gt;=DY$5,$E111&lt;DY$5+GanttPeriod),"◇","")),IF(AND(DY$5&lt;=$F111,DY$5+GanttPeriod-1&gt;=$E111),"━","")))</f>
        <v/>
      </c>
      <c r="DZ111" s="69" t="str">
        <f aca="false">IF($E111="","",IF($M111,IF(AND($G111&gt;=DZ$5,$G111&lt;DZ$5+GanttPeriod),"◆",IF(AND($E111&gt;=DZ$5,$E111&lt;DZ$5+GanttPeriod),"◇","")),IF(AND(DZ$5&lt;=$F111,DZ$5+GanttPeriod-1&gt;=$E111),"━","")))</f>
        <v/>
      </c>
      <c r="EA111" s="69" t="str">
        <f aca="false">IF($E111="","",IF($M111,IF(AND($G111&gt;=EA$5,$G111&lt;EA$5+GanttPeriod),"◆",IF(AND($E111&gt;=EA$5,$E111&lt;EA$5+GanttPeriod),"◇","")),IF(AND(EA$5&lt;=$F111,EA$5+GanttPeriod-1&gt;=$E111),"━","")))</f>
        <v/>
      </c>
      <c r="EB111" s="69" t="str">
        <f aca="false">IF($E111="","",IF($M111,IF(AND($G111&gt;=EB$5,$G111&lt;EB$5+GanttPeriod),"◆",IF(AND($E111&gt;=EB$5,$E111&lt;EB$5+GanttPeriod),"◇","")),IF(AND(EB$5&lt;=$F111,EB$5+GanttPeriod-1&gt;=$E111),"━","")))</f>
        <v/>
      </c>
      <c r="EC111" s="69" t="str">
        <f aca="false">IF($E111="","",IF($M111,IF(AND($G111&gt;=EC$5,$G111&lt;EC$5+GanttPeriod),"◆",IF(AND($E111&gt;=EC$5,$E111&lt;EC$5+GanttPeriod),"◇","")),IF(AND(EC$5&lt;=$F111,EC$5+GanttPeriod-1&gt;=$E111),"━","")))</f>
        <v/>
      </c>
      <c r="ED111" s="69" t="str">
        <f aca="false">IF($E111="","",IF($M111,IF(AND($G111&gt;=ED$5,$G111&lt;ED$5+GanttPeriod),"◆",IF(AND($E111&gt;=ED$5,$E111&lt;ED$5+GanttPeriod),"◇","")),IF(AND(ED$5&lt;=$F111,ED$5+GanttPeriod-1&gt;=$E111),"━","")))</f>
        <v/>
      </c>
      <c r="EE111" s="69" t="str">
        <f aca="false">IF($E111="","",IF($M111,IF(AND($G111&gt;=EE$5,$G111&lt;EE$5+GanttPeriod),"◆",IF(AND($E111&gt;=EE$5,$E111&lt;EE$5+GanttPeriod),"◇","")),IF(AND(EE$5&lt;=$F111,EE$5+GanttPeriod-1&gt;=$E111),"━","")))</f>
        <v/>
      </c>
      <c r="EF111" s="69" t="str">
        <f aca="false">IF($E111="","",IF($M111,IF(AND($G111&gt;=EF$5,$G111&lt;EF$5+GanttPeriod),"◆",IF(AND($E111&gt;=EF$5,$E111&lt;EF$5+GanttPeriod),"◇","")),IF(AND(EF$5&lt;=$F111,EF$5+GanttPeriod-1&gt;=$E111),"━","")))</f>
        <v/>
      </c>
      <c r="EG111" s="69" t="str">
        <f aca="false">IF($E111="","",IF($M111,IF(AND($G111&gt;=EG$5,$G111&lt;EG$5+GanttPeriod),"◆",IF(AND($E111&gt;=EG$5,$E111&lt;EG$5+GanttPeriod),"◇","")),IF(AND(EG$5&lt;=$F111,EG$5+GanttPeriod-1&gt;=$E111),"━","")))</f>
        <v/>
      </c>
      <c r="EH111" s="69" t="str">
        <f aca="false">IF($E111="","",IF($M111,IF(AND($G111&gt;=EH$5,$G111&lt;EH$5+GanttPeriod),"◆",IF(AND($E111&gt;=EH$5,$E111&lt;EH$5+GanttPeriod),"◇","")),IF(AND(EH$5&lt;=$F111,EH$5+GanttPeriod-1&gt;=$E111),"━","")))</f>
        <v/>
      </c>
      <c r="EI111" s="69" t="str">
        <f aca="false">IF($E111="","",IF($M111,IF(AND($G111&gt;=EI$5,$G111&lt;EI$5+GanttPeriod),"◆",IF(AND($E111&gt;=EI$5,$E111&lt;EI$5+GanttPeriod),"◇","")),IF(AND(EI$5&lt;=$F111,EI$5+GanttPeriod-1&gt;=$E111),"━","")))</f>
        <v/>
      </c>
      <c r="EJ111" s="69" t="str">
        <f aca="false">IF($E111="","",IF($M111,IF(AND($G111&gt;=EJ$5,$G111&lt;EJ$5+GanttPeriod),"◆",IF(AND($E111&gt;=EJ$5,$E111&lt;EJ$5+GanttPeriod),"◇","")),IF(AND(EJ$5&lt;=$F111,EJ$5+GanttPeriod-1&gt;=$E111),"━","")))</f>
        <v/>
      </c>
      <c r="EK111" s="69" t="str">
        <f aca="false">IF($E111="","",IF($M111,IF(AND($G111&gt;=EK$5,$G111&lt;EK$5+GanttPeriod),"◆",IF(AND($E111&gt;=EK$5,$E111&lt;EK$5+GanttPeriod),"◇","")),IF(AND(EK$5&lt;=$F111,EK$5+GanttPeriod-1&gt;=$E111),"━","")))</f>
        <v/>
      </c>
      <c r="EL111" s="69" t="str">
        <f aca="false">IF($E111="","",IF($M111,IF(AND($G111&gt;=EL$5,$G111&lt;EL$5+GanttPeriod),"◆",IF(AND($E111&gt;=EL$5,$E111&lt;EL$5+GanttPeriod),"◇","")),IF(AND(EL$5&lt;=$F111,EL$5+GanttPeriod-1&gt;=$E111),"━","")))</f>
        <v/>
      </c>
      <c r="EM111" s="69" t="str">
        <f aca="false">IF($E111="","",IF($M111,IF(AND($G111&gt;=EM$5,$G111&lt;EM$5+GanttPeriod),"◆",IF(AND($E111&gt;=EM$5,$E111&lt;EM$5+GanttPeriod),"◇","")),IF(AND(EM$5&lt;=$F111,EM$5+GanttPeriod-1&gt;=$E111),"━","")))</f>
        <v/>
      </c>
      <c r="EN111" s="69" t="str">
        <f aca="false">IF($E111="","",IF($M111,IF(AND($G111&gt;=EN$5,$G111&lt;EN$5+GanttPeriod),"◆",IF(AND($E111&gt;=EN$5,$E111&lt;EN$5+GanttPeriod),"◇","")),IF(AND(EN$5&lt;=$F111,EN$5+GanttPeriod-1&gt;=$E111),"━","")))</f>
        <v/>
      </c>
      <c r="EO111" s="69" t="str">
        <f aca="false">IF($E111="","",IF($M111,IF(AND($G111&gt;=EO$5,$G111&lt;EO$5+GanttPeriod),"◆",IF(AND($E111&gt;=EO$5,$E111&lt;EO$5+GanttPeriod),"◇","")),IF(AND(EO$5&lt;=$F111,EO$5+GanttPeriod-1&gt;=$E111),"━","")))</f>
        <v/>
      </c>
      <c r="EP111" s="69" t="str">
        <f aca="false">IF($E111="","",IF($M111,IF(AND($G111&gt;=EP$5,$G111&lt;EP$5+GanttPeriod),"◆",IF(AND($E111&gt;=EP$5,$E111&lt;EP$5+GanttPeriod),"◇","")),IF(AND(EP$5&lt;=$F111,EP$5+GanttPeriod-1&gt;=$E111),"━","")))</f>
        <v/>
      </c>
      <c r="EQ111" s="69" t="str">
        <f aca="false">IF($E111="","",IF($M111,IF(AND($G111&gt;=EQ$5,$G111&lt;EQ$5+GanttPeriod),"◆",IF(AND($E111&gt;=EQ$5,$E111&lt;EQ$5+GanttPeriod),"◇","")),IF(AND(EQ$5&lt;=$F111,EQ$5+GanttPeriod-1&gt;=$E111),"━","")))</f>
        <v/>
      </c>
      <c r="ER111" s="69" t="str">
        <f aca="false">IF($E111="","",IF($M111,IF(AND($G111&gt;=ER$5,$G111&lt;ER$5+GanttPeriod),"◆",IF(AND($E111&gt;=ER$5,$E111&lt;ER$5+GanttPeriod),"◇","")),IF(AND(ER$5&lt;=$F111,ER$5+GanttPeriod-1&gt;=$E111),"━","")))</f>
        <v/>
      </c>
      <c r="ES111" s="69" t="str">
        <f aca="false">IF($E111="","",IF($M111,IF(AND($G111&gt;=ES$5,$G111&lt;ES$5+GanttPeriod),"◆",IF(AND($E111&gt;=ES$5,$E111&lt;ES$5+GanttPeriod),"◇","")),IF(AND(ES$5&lt;=$F111,ES$5+GanttPeriod-1&gt;=$E111),"━","")))</f>
        <v/>
      </c>
      <c r="ET111" s="69" t="str">
        <f aca="false">IF($E111="","",IF($M111,IF(AND($G111&gt;=ET$5,$G111&lt;ET$5+GanttPeriod),"◆",IF(AND($E111&gt;=ET$5,$E111&lt;ET$5+GanttPeriod),"◇","")),IF(AND(ET$5&lt;=$F111,ET$5+GanttPeriod-1&gt;=$E111),"━","")))</f>
        <v/>
      </c>
      <c r="EU111" s="69" t="str">
        <f aca="false">IF($E111="","",IF($M111,IF(AND($G111&gt;=EU$5,$G111&lt;EU$5+GanttPeriod),"◆",IF(AND($E111&gt;=EU$5,$E111&lt;EU$5+GanttPeriod),"◇","")),IF(AND(EU$5&lt;=$F111,EU$5+GanttPeriod-1&gt;=$E111),"━","")))</f>
        <v/>
      </c>
      <c r="EV111" s="69" t="str">
        <f aca="false">IF($E111="","",IF($M111,IF(AND($G111&gt;=EV$5,$G111&lt;EV$5+GanttPeriod),"◆",IF(AND($E111&gt;=EV$5,$E111&lt;EV$5+GanttPeriod),"◇","")),IF(AND(EV$5&lt;=$F111,EV$5+GanttPeriod-1&gt;=$E111),"━","")))</f>
        <v/>
      </c>
      <c r="EW111" s="69" t="str">
        <f aca="false">IF($E111="","",IF($M111,IF(AND($G111&gt;=EW$5,$G111&lt;EW$5+GanttPeriod),"◆",IF(AND($E111&gt;=EW$5,$E111&lt;EW$5+GanttPeriod),"◇","")),IF(AND(EW$5&lt;=$F111,EW$5+GanttPeriod-1&gt;=$E111),"━","")))</f>
        <v/>
      </c>
      <c r="EX111" s="69" t="str">
        <f aca="false">IF($E111="","",IF($M111,IF(AND($G111&gt;=EX$5,$G111&lt;EX$5+GanttPeriod),"◆",IF(AND($E111&gt;=EX$5,$E111&lt;EX$5+GanttPeriod),"◇","")),IF(AND(EX$5&lt;=$F111,EX$5+GanttPeriod-1&gt;=$E111),"━","")))</f>
        <v/>
      </c>
      <c r="EY111" s="69" t="str">
        <f aca="false">IF($E111="","",IF($M111,IF(AND($G111&gt;=EY$5,$G111&lt;EY$5+GanttPeriod),"◆",IF(AND($E111&gt;=EY$5,$E111&lt;EY$5+GanttPeriod),"◇","")),IF(AND(EY$5&lt;=$F111,EY$5+GanttPeriod-1&gt;=$E111),"━","")))</f>
        <v/>
      </c>
      <c r="EZ111" s="69" t="str">
        <f aca="false">IF($E111="","",IF($M111,IF(AND($G111&gt;=EZ$5,$G111&lt;EZ$5+GanttPeriod),"◆",IF(AND($E111&gt;=EZ$5,$E111&lt;EZ$5+GanttPeriod),"◇","")),IF(AND(EZ$5&lt;=$F111,EZ$5+GanttPeriod-1&gt;=$E111),"━","")))</f>
        <v/>
      </c>
      <c r="FA111" s="69" t="str">
        <f aca="false">IF($E111="","",IF($M111,IF(AND($G111&gt;=FA$5,$G111&lt;FA$5+GanttPeriod),"◆",IF(AND($E111&gt;=FA$5,$E111&lt;FA$5+GanttPeriod),"◇","")),IF(AND(FA$5&lt;=$F111,FA$5+GanttPeriod-1&gt;=$E111),"━","")))</f>
        <v/>
      </c>
      <c r="FB111" s="69" t="str">
        <f aca="false">IF($E111="","",IF($M111,IF(AND($G111&gt;=FB$5,$G111&lt;FB$5+GanttPeriod),"◆",IF(AND($E111&gt;=FB$5,$E111&lt;FB$5+GanttPeriod),"◇","")),IF(AND(FB$5&lt;=$F111,FB$5+GanttPeriod-1&gt;=$E111),"━","")))</f>
        <v/>
      </c>
      <c r="FC111" s="69" t="str">
        <f aca="false">IF($E111="","",IF($M111,IF(AND($G111&gt;=FC$5,$G111&lt;FC$5+GanttPeriod),"◆",IF(AND($E111&gt;=FC$5,$E111&lt;FC$5+GanttPeriod),"◇","")),IF(AND(FC$5&lt;=$F111,FC$5+GanttPeriod-1&gt;=$E111),"━","")))</f>
        <v/>
      </c>
      <c r="FD111" s="69" t="str">
        <f aca="false">IF($E111="","",IF($M111,IF(AND($G111&gt;=FD$5,$G111&lt;FD$5+GanttPeriod),"◆",IF(AND($E111&gt;=FD$5,$E111&lt;FD$5+GanttPeriod),"◇","")),IF(AND(FD$5&lt;=$F111,FD$5+GanttPeriod-1&gt;=$E111),"━","")))</f>
        <v/>
      </c>
      <c r="FE111" s="69" t="str">
        <f aca="false">IF($E111="","",IF($M111,IF(AND($G111&gt;=FE$5,$G111&lt;FE$5+GanttPeriod),"◆",IF(AND($E111&gt;=FE$5,$E111&lt;FE$5+GanttPeriod),"◇","")),IF(AND(FE$5&lt;=$F111,FE$5+GanttPeriod-1&gt;=$E111),"━","")))</f>
        <v/>
      </c>
      <c r="FF111" s="69" t="str">
        <f aca="false">IF($E111="","",IF($M111,IF(AND($G111&gt;=FF$5,$G111&lt;FF$5+GanttPeriod),"◆",IF(AND($E111&gt;=FF$5,$E111&lt;FF$5+GanttPeriod),"◇","")),IF(AND(FF$5&lt;=$F111,FF$5+GanttPeriod-1&gt;=$E111),"━","")))</f>
        <v/>
      </c>
      <c r="FG111" s="69" t="str">
        <f aca="false">IF($E111="","",IF($M111,IF(AND($G111&gt;=FG$5,$G111&lt;FG$5+GanttPeriod),"◆",IF(AND($E111&gt;=FG$5,$E111&lt;FG$5+GanttPeriod),"◇","")),IF(AND(FG$5&lt;=$F111,FG$5+GanttPeriod-1&gt;=$E111),"━","")))</f>
        <v/>
      </c>
      <c r="FH111" s="69" t="str">
        <f aca="false">IF($E111="","",IF($M111,IF(AND($G111&gt;=FH$5,$G111&lt;FH$5+GanttPeriod),"◆",IF(AND($E111&gt;=FH$5,$E111&lt;FH$5+GanttPeriod),"◇","")),IF(AND(FH$5&lt;=$F111,FH$5+GanttPeriod-1&gt;=$E111),"━","")))</f>
        <v/>
      </c>
      <c r="FI111" s="69" t="str">
        <f aca="false">IF($E111="","",IF($M111,IF(AND($G111&gt;=FI$5,$G111&lt;FI$5+GanttPeriod),"◆",IF(AND($E111&gt;=FI$5,$E111&lt;FI$5+GanttPeriod),"◇","")),IF(AND(FI$5&lt;=$F111,FI$5+GanttPeriod-1&gt;=$E111),"━","")))</f>
        <v/>
      </c>
      <c r="FJ111" s="69" t="str">
        <f aca="false">IF($E111="","",IF($M111,IF(AND($G111&gt;=FJ$5,$G111&lt;FJ$5+GanttPeriod),"◆",IF(AND($E111&gt;=FJ$5,$E111&lt;FJ$5+GanttPeriod),"◇","")),IF(AND(FJ$5&lt;=$F111,FJ$5+GanttPeriod-1&gt;=$E111),"━","")))</f>
        <v/>
      </c>
      <c r="FK111" s="69" t="str">
        <f aca="false">IF($E111="","",IF($M111,IF(AND($G111&gt;=FK$5,$G111&lt;FK$5+GanttPeriod),"◆",IF(AND($E111&gt;=FK$5,$E111&lt;FK$5+GanttPeriod),"◇","")),IF(AND(FK$5&lt;=$F111,FK$5+GanttPeriod-1&gt;=$E111),"━","")))</f>
        <v/>
      </c>
      <c r="FL111" s="69" t="str">
        <f aca="false">IF($E111="","",IF($M111,IF(AND($G111&gt;=FL$5,$G111&lt;FL$5+GanttPeriod),"◆",IF(AND($E111&gt;=FL$5,$E111&lt;FL$5+GanttPeriod),"◇","")),IF(AND(FL$5&lt;=$F111,FL$5+GanttPeriod-1&gt;=$E111),"━","")))</f>
        <v/>
      </c>
      <c r="FM111" s="69" t="str">
        <f aca="false">IF($E111="","",IF($M111,IF(AND($G111&gt;=FM$5,$G111&lt;FM$5+GanttPeriod),"◆",IF(AND($E111&gt;=FM$5,$E111&lt;FM$5+GanttPeriod),"◇","")),IF(AND(FM$5&lt;=$F111,FM$5+GanttPeriod-1&gt;=$E111),"━","")))</f>
        <v/>
      </c>
    </row>
    <row r="112" customFormat="false" ht="15" hidden="false" customHeight="false" outlineLevel="0" collapsed="false">
      <c r="A112" s="62" t="str">
        <f aca="false">IF(Tasks!$D112="","",Tasks!$A112)</f>
        <v/>
      </c>
      <c r="B112" s="62" t="str">
        <f aca="false">IF(Tasks!$D112="","",Tasks!$B112)</f>
        <v/>
      </c>
      <c r="C112" s="63" t="str">
        <f aca="false">IF(Tasks!$D112="","",REPT("    ",Tasks!$AE112-1)&amp;Tasks!$D112)</f>
        <v/>
      </c>
      <c r="D112" s="62" t="str">
        <f aca="false">IF(Tasks!$D112="","",IF(Tasks!$AI112,NETWORKDAYS.INTL(Tasks!$R112,Tasks!$S112,WorkWeek,Holidays),N(Tasks!$F112)))</f>
        <v/>
      </c>
      <c r="E112" s="64" t="str">
        <f aca="false">IF(Tasks!$D112="","",Tasks!$N112)</f>
        <v/>
      </c>
      <c r="F112" s="64" t="str">
        <f aca="false">IF(Tasks!$D112="","",Tasks!$O112)</f>
        <v/>
      </c>
      <c r="G112" s="64" t="str">
        <f aca="false">IF(Tasks!$D112="","",Tasks!$R112)</f>
        <v/>
      </c>
      <c r="H112" s="64" t="str">
        <f aca="false">IF(Tasks!$D112="","",Tasks!$S112)</f>
        <v/>
      </c>
      <c r="I112" s="65" t="str">
        <f aca="false">IF(Tasks!$D112="","",Tasks!$V112)</f>
        <v/>
      </c>
      <c r="J112" s="63" t="str">
        <f aca="false">IF(Tasks!$D112="","",Tasks!$X112&amp;"")</f>
        <v/>
      </c>
      <c r="K112" s="66" t="str">
        <f aca="false">IF(Tasks!$D112="","",Tasks!$W112)</f>
        <v/>
      </c>
      <c r="L112" s="67" t="b">
        <f aca="false">IF(Tasks!$D112="",FALSE(),Tasks!$AI112)</f>
        <v>0</v>
      </c>
      <c r="M112" s="67" t="b">
        <f aca="false">AND(Tasks!$AJ112=1,N(Tasks!$F112)=0)</f>
        <v>0</v>
      </c>
      <c r="N112" s="68" t="n">
        <f aca="false">IF(AND(Tasks!$AJ112=1,NOT($M112),N($I112)&gt;0),$G112,0)</f>
        <v>0</v>
      </c>
      <c r="O112" s="68" t="n">
        <f aca="false">IF($N112=0,0,IF($I112&gt;=1,$H112,MAX($N112,$G112+ROUND(($H112-$G112+1)*$I112,0)-1)))</f>
        <v>0</v>
      </c>
      <c r="P112" s="68" t="n">
        <f aca="false">IF(OR(Tasks!$AJ112&lt;&gt;1,$M112,N($I112)&gt;=1),0,IF($O112&gt;0,$O112+1,$G112))</f>
        <v>0</v>
      </c>
      <c r="Q112" s="68" t="n">
        <f aca="false">IF($P112=0,0,$H112)</f>
        <v>0</v>
      </c>
      <c r="R112" s="67" t="b">
        <f aca="false">AND(Tasks!$D112&lt;&gt;"",N(Tasks!$T112)&gt;0)</f>
        <v>0</v>
      </c>
      <c r="T112" s="69" t="str">
        <f aca="false">IF($E112="","",IF($M112,IF(AND($G112&gt;=T$5,$G112&lt;T$5+GanttPeriod),"◆",IF(AND($E112&gt;=T$5,$E112&lt;T$5+GanttPeriod),"◇","")),IF(AND(T$5&lt;=$F112,T$5+GanttPeriod-1&gt;=$E112),"━","")))</f>
        <v/>
      </c>
      <c r="U112" s="69" t="str">
        <f aca="false">IF($E112="","",IF($M112,IF(AND($G112&gt;=U$5,$G112&lt;U$5+GanttPeriod),"◆",IF(AND($E112&gt;=U$5,$E112&lt;U$5+GanttPeriod),"◇","")),IF(AND(U$5&lt;=$F112,U$5+GanttPeriod-1&gt;=$E112),"━","")))</f>
        <v/>
      </c>
      <c r="V112" s="69" t="str">
        <f aca="false">IF($E112="","",IF($M112,IF(AND($G112&gt;=V$5,$G112&lt;V$5+GanttPeriod),"◆",IF(AND($E112&gt;=V$5,$E112&lt;V$5+GanttPeriod),"◇","")),IF(AND(V$5&lt;=$F112,V$5+GanttPeriod-1&gt;=$E112),"━","")))</f>
        <v/>
      </c>
      <c r="W112" s="69" t="str">
        <f aca="false">IF($E112="","",IF($M112,IF(AND($G112&gt;=W$5,$G112&lt;W$5+GanttPeriod),"◆",IF(AND($E112&gt;=W$5,$E112&lt;W$5+GanttPeriod),"◇","")),IF(AND(W$5&lt;=$F112,W$5+GanttPeriod-1&gt;=$E112),"━","")))</f>
        <v/>
      </c>
      <c r="X112" s="69" t="str">
        <f aca="false">IF($E112="","",IF($M112,IF(AND($G112&gt;=X$5,$G112&lt;X$5+GanttPeriod),"◆",IF(AND($E112&gt;=X$5,$E112&lt;X$5+GanttPeriod),"◇","")),IF(AND(X$5&lt;=$F112,X$5+GanttPeriod-1&gt;=$E112),"━","")))</f>
        <v/>
      </c>
      <c r="Y112" s="69" t="str">
        <f aca="false">IF($E112="","",IF($M112,IF(AND($G112&gt;=Y$5,$G112&lt;Y$5+GanttPeriod),"◆",IF(AND($E112&gt;=Y$5,$E112&lt;Y$5+GanttPeriod),"◇","")),IF(AND(Y$5&lt;=$F112,Y$5+GanttPeriod-1&gt;=$E112),"━","")))</f>
        <v/>
      </c>
      <c r="Z112" s="69" t="str">
        <f aca="false">IF($E112="","",IF($M112,IF(AND($G112&gt;=Z$5,$G112&lt;Z$5+GanttPeriod),"◆",IF(AND($E112&gt;=Z$5,$E112&lt;Z$5+GanttPeriod),"◇","")),IF(AND(Z$5&lt;=$F112,Z$5+GanttPeriod-1&gt;=$E112),"━","")))</f>
        <v/>
      </c>
      <c r="AA112" s="69" t="str">
        <f aca="false">IF($E112="","",IF($M112,IF(AND($G112&gt;=AA$5,$G112&lt;AA$5+GanttPeriod),"◆",IF(AND($E112&gt;=AA$5,$E112&lt;AA$5+GanttPeriod),"◇","")),IF(AND(AA$5&lt;=$F112,AA$5+GanttPeriod-1&gt;=$E112),"━","")))</f>
        <v/>
      </c>
      <c r="AB112" s="69" t="str">
        <f aca="false">IF($E112="","",IF($M112,IF(AND($G112&gt;=AB$5,$G112&lt;AB$5+GanttPeriod),"◆",IF(AND($E112&gt;=AB$5,$E112&lt;AB$5+GanttPeriod),"◇","")),IF(AND(AB$5&lt;=$F112,AB$5+GanttPeriod-1&gt;=$E112),"━","")))</f>
        <v/>
      </c>
      <c r="AC112" s="69" t="str">
        <f aca="false">IF($E112="","",IF($M112,IF(AND($G112&gt;=AC$5,$G112&lt;AC$5+GanttPeriod),"◆",IF(AND($E112&gt;=AC$5,$E112&lt;AC$5+GanttPeriod),"◇","")),IF(AND(AC$5&lt;=$F112,AC$5+GanttPeriod-1&gt;=$E112),"━","")))</f>
        <v/>
      </c>
      <c r="AD112" s="69" t="str">
        <f aca="false">IF($E112="","",IF($M112,IF(AND($G112&gt;=AD$5,$G112&lt;AD$5+GanttPeriod),"◆",IF(AND($E112&gt;=AD$5,$E112&lt;AD$5+GanttPeriod),"◇","")),IF(AND(AD$5&lt;=$F112,AD$5+GanttPeriod-1&gt;=$E112),"━","")))</f>
        <v/>
      </c>
      <c r="AE112" s="69" t="str">
        <f aca="false">IF($E112="","",IF($M112,IF(AND($G112&gt;=AE$5,$G112&lt;AE$5+GanttPeriod),"◆",IF(AND($E112&gt;=AE$5,$E112&lt;AE$5+GanttPeriod),"◇","")),IF(AND(AE$5&lt;=$F112,AE$5+GanttPeriod-1&gt;=$E112),"━","")))</f>
        <v/>
      </c>
      <c r="AF112" s="69" t="str">
        <f aca="false">IF($E112="","",IF($M112,IF(AND($G112&gt;=AF$5,$G112&lt;AF$5+GanttPeriod),"◆",IF(AND($E112&gt;=AF$5,$E112&lt;AF$5+GanttPeriod),"◇","")),IF(AND(AF$5&lt;=$F112,AF$5+GanttPeriod-1&gt;=$E112),"━","")))</f>
        <v/>
      </c>
      <c r="AG112" s="69" t="str">
        <f aca="false">IF($E112="","",IF($M112,IF(AND($G112&gt;=AG$5,$G112&lt;AG$5+GanttPeriod),"◆",IF(AND($E112&gt;=AG$5,$E112&lt;AG$5+GanttPeriod),"◇","")),IF(AND(AG$5&lt;=$F112,AG$5+GanttPeriod-1&gt;=$E112),"━","")))</f>
        <v/>
      </c>
      <c r="AH112" s="69" t="str">
        <f aca="false">IF($E112="","",IF($M112,IF(AND($G112&gt;=AH$5,$G112&lt;AH$5+GanttPeriod),"◆",IF(AND($E112&gt;=AH$5,$E112&lt;AH$5+GanttPeriod),"◇","")),IF(AND(AH$5&lt;=$F112,AH$5+GanttPeriod-1&gt;=$E112),"━","")))</f>
        <v/>
      </c>
      <c r="AI112" s="69" t="str">
        <f aca="false">IF($E112="","",IF($M112,IF(AND($G112&gt;=AI$5,$G112&lt;AI$5+GanttPeriod),"◆",IF(AND($E112&gt;=AI$5,$E112&lt;AI$5+GanttPeriod),"◇","")),IF(AND(AI$5&lt;=$F112,AI$5+GanttPeriod-1&gt;=$E112),"━","")))</f>
        <v/>
      </c>
      <c r="AJ112" s="69" t="str">
        <f aca="false">IF($E112="","",IF($M112,IF(AND($G112&gt;=AJ$5,$G112&lt;AJ$5+GanttPeriod),"◆",IF(AND($E112&gt;=AJ$5,$E112&lt;AJ$5+GanttPeriod),"◇","")),IF(AND(AJ$5&lt;=$F112,AJ$5+GanttPeriod-1&gt;=$E112),"━","")))</f>
        <v/>
      </c>
      <c r="AK112" s="69" t="str">
        <f aca="false">IF($E112="","",IF($M112,IF(AND($G112&gt;=AK$5,$G112&lt;AK$5+GanttPeriod),"◆",IF(AND($E112&gt;=AK$5,$E112&lt;AK$5+GanttPeriod),"◇","")),IF(AND(AK$5&lt;=$F112,AK$5+GanttPeriod-1&gt;=$E112),"━","")))</f>
        <v/>
      </c>
      <c r="AL112" s="69" t="str">
        <f aca="false">IF($E112="","",IF($M112,IF(AND($G112&gt;=AL$5,$G112&lt;AL$5+GanttPeriod),"◆",IF(AND($E112&gt;=AL$5,$E112&lt;AL$5+GanttPeriod),"◇","")),IF(AND(AL$5&lt;=$F112,AL$5+GanttPeriod-1&gt;=$E112),"━","")))</f>
        <v/>
      </c>
      <c r="AM112" s="69" t="str">
        <f aca="false">IF($E112="","",IF($M112,IF(AND($G112&gt;=AM$5,$G112&lt;AM$5+GanttPeriod),"◆",IF(AND($E112&gt;=AM$5,$E112&lt;AM$5+GanttPeriod),"◇","")),IF(AND(AM$5&lt;=$F112,AM$5+GanttPeriod-1&gt;=$E112),"━","")))</f>
        <v/>
      </c>
      <c r="AN112" s="69" t="str">
        <f aca="false">IF($E112="","",IF($M112,IF(AND($G112&gt;=AN$5,$G112&lt;AN$5+GanttPeriod),"◆",IF(AND($E112&gt;=AN$5,$E112&lt;AN$5+GanttPeriod),"◇","")),IF(AND(AN$5&lt;=$F112,AN$5+GanttPeriod-1&gt;=$E112),"━","")))</f>
        <v/>
      </c>
      <c r="AO112" s="69" t="str">
        <f aca="false">IF($E112="","",IF($M112,IF(AND($G112&gt;=AO$5,$G112&lt;AO$5+GanttPeriod),"◆",IF(AND($E112&gt;=AO$5,$E112&lt;AO$5+GanttPeriod),"◇","")),IF(AND(AO$5&lt;=$F112,AO$5+GanttPeriod-1&gt;=$E112),"━","")))</f>
        <v/>
      </c>
      <c r="AP112" s="69" t="str">
        <f aca="false">IF($E112="","",IF($M112,IF(AND($G112&gt;=AP$5,$G112&lt;AP$5+GanttPeriod),"◆",IF(AND($E112&gt;=AP$5,$E112&lt;AP$5+GanttPeriod),"◇","")),IF(AND(AP$5&lt;=$F112,AP$5+GanttPeriod-1&gt;=$E112),"━","")))</f>
        <v/>
      </c>
      <c r="AQ112" s="69" t="str">
        <f aca="false">IF($E112="","",IF($M112,IF(AND($G112&gt;=AQ$5,$G112&lt;AQ$5+GanttPeriod),"◆",IF(AND($E112&gt;=AQ$5,$E112&lt;AQ$5+GanttPeriod),"◇","")),IF(AND(AQ$5&lt;=$F112,AQ$5+GanttPeriod-1&gt;=$E112),"━","")))</f>
        <v/>
      </c>
      <c r="AR112" s="69" t="str">
        <f aca="false">IF($E112="","",IF($M112,IF(AND($G112&gt;=AR$5,$G112&lt;AR$5+GanttPeriod),"◆",IF(AND($E112&gt;=AR$5,$E112&lt;AR$5+GanttPeriod),"◇","")),IF(AND(AR$5&lt;=$F112,AR$5+GanttPeriod-1&gt;=$E112),"━","")))</f>
        <v/>
      </c>
      <c r="AS112" s="69" t="str">
        <f aca="false">IF($E112="","",IF($M112,IF(AND($G112&gt;=AS$5,$G112&lt;AS$5+GanttPeriod),"◆",IF(AND($E112&gt;=AS$5,$E112&lt;AS$5+GanttPeriod),"◇","")),IF(AND(AS$5&lt;=$F112,AS$5+GanttPeriod-1&gt;=$E112),"━","")))</f>
        <v/>
      </c>
      <c r="AT112" s="69" t="str">
        <f aca="false">IF($E112="","",IF($M112,IF(AND($G112&gt;=AT$5,$G112&lt;AT$5+GanttPeriod),"◆",IF(AND($E112&gt;=AT$5,$E112&lt;AT$5+GanttPeriod),"◇","")),IF(AND(AT$5&lt;=$F112,AT$5+GanttPeriod-1&gt;=$E112),"━","")))</f>
        <v/>
      </c>
      <c r="AU112" s="69" t="str">
        <f aca="false">IF($E112="","",IF($M112,IF(AND($G112&gt;=AU$5,$G112&lt;AU$5+GanttPeriod),"◆",IF(AND($E112&gt;=AU$5,$E112&lt;AU$5+GanttPeriod),"◇","")),IF(AND(AU$5&lt;=$F112,AU$5+GanttPeriod-1&gt;=$E112),"━","")))</f>
        <v/>
      </c>
      <c r="AV112" s="69" t="str">
        <f aca="false">IF($E112="","",IF($M112,IF(AND($G112&gt;=AV$5,$G112&lt;AV$5+GanttPeriod),"◆",IF(AND($E112&gt;=AV$5,$E112&lt;AV$5+GanttPeriod),"◇","")),IF(AND(AV$5&lt;=$F112,AV$5+GanttPeriod-1&gt;=$E112),"━","")))</f>
        <v/>
      </c>
      <c r="AW112" s="69" t="str">
        <f aca="false">IF($E112="","",IF($M112,IF(AND($G112&gt;=AW$5,$G112&lt;AW$5+GanttPeriod),"◆",IF(AND($E112&gt;=AW$5,$E112&lt;AW$5+GanttPeriod),"◇","")),IF(AND(AW$5&lt;=$F112,AW$5+GanttPeriod-1&gt;=$E112),"━","")))</f>
        <v/>
      </c>
      <c r="AX112" s="69" t="str">
        <f aca="false">IF($E112="","",IF($M112,IF(AND($G112&gt;=AX$5,$G112&lt;AX$5+GanttPeriod),"◆",IF(AND($E112&gt;=AX$5,$E112&lt;AX$5+GanttPeriod),"◇","")),IF(AND(AX$5&lt;=$F112,AX$5+GanttPeriod-1&gt;=$E112),"━","")))</f>
        <v/>
      </c>
      <c r="AY112" s="69" t="str">
        <f aca="false">IF($E112="","",IF($M112,IF(AND($G112&gt;=AY$5,$G112&lt;AY$5+GanttPeriod),"◆",IF(AND($E112&gt;=AY$5,$E112&lt;AY$5+GanttPeriod),"◇","")),IF(AND(AY$5&lt;=$F112,AY$5+GanttPeriod-1&gt;=$E112),"━","")))</f>
        <v/>
      </c>
      <c r="AZ112" s="69" t="str">
        <f aca="false">IF($E112="","",IF($M112,IF(AND($G112&gt;=AZ$5,$G112&lt;AZ$5+GanttPeriod),"◆",IF(AND($E112&gt;=AZ$5,$E112&lt;AZ$5+GanttPeriod),"◇","")),IF(AND(AZ$5&lt;=$F112,AZ$5+GanttPeriod-1&gt;=$E112),"━","")))</f>
        <v/>
      </c>
      <c r="BA112" s="69" t="str">
        <f aca="false">IF($E112="","",IF($M112,IF(AND($G112&gt;=BA$5,$G112&lt;BA$5+GanttPeriod),"◆",IF(AND($E112&gt;=BA$5,$E112&lt;BA$5+GanttPeriod),"◇","")),IF(AND(BA$5&lt;=$F112,BA$5+GanttPeriod-1&gt;=$E112),"━","")))</f>
        <v/>
      </c>
      <c r="BB112" s="69" t="str">
        <f aca="false">IF($E112="","",IF($M112,IF(AND($G112&gt;=BB$5,$G112&lt;BB$5+GanttPeriod),"◆",IF(AND($E112&gt;=BB$5,$E112&lt;BB$5+GanttPeriod),"◇","")),IF(AND(BB$5&lt;=$F112,BB$5+GanttPeriod-1&gt;=$E112),"━","")))</f>
        <v/>
      </c>
      <c r="BC112" s="69" t="str">
        <f aca="false">IF($E112="","",IF($M112,IF(AND($G112&gt;=BC$5,$G112&lt;BC$5+GanttPeriod),"◆",IF(AND($E112&gt;=BC$5,$E112&lt;BC$5+GanttPeriod),"◇","")),IF(AND(BC$5&lt;=$F112,BC$5+GanttPeriod-1&gt;=$E112),"━","")))</f>
        <v/>
      </c>
      <c r="BD112" s="69" t="str">
        <f aca="false">IF($E112="","",IF($M112,IF(AND($G112&gt;=BD$5,$G112&lt;BD$5+GanttPeriod),"◆",IF(AND($E112&gt;=BD$5,$E112&lt;BD$5+GanttPeriod),"◇","")),IF(AND(BD$5&lt;=$F112,BD$5+GanttPeriod-1&gt;=$E112),"━","")))</f>
        <v/>
      </c>
      <c r="BE112" s="69" t="str">
        <f aca="false">IF($E112="","",IF($M112,IF(AND($G112&gt;=BE$5,$G112&lt;BE$5+GanttPeriod),"◆",IF(AND($E112&gt;=BE$5,$E112&lt;BE$5+GanttPeriod),"◇","")),IF(AND(BE$5&lt;=$F112,BE$5+GanttPeriod-1&gt;=$E112),"━","")))</f>
        <v/>
      </c>
      <c r="BF112" s="69" t="str">
        <f aca="false">IF($E112="","",IF($M112,IF(AND($G112&gt;=BF$5,$G112&lt;BF$5+GanttPeriod),"◆",IF(AND($E112&gt;=BF$5,$E112&lt;BF$5+GanttPeriod),"◇","")),IF(AND(BF$5&lt;=$F112,BF$5+GanttPeriod-1&gt;=$E112),"━","")))</f>
        <v/>
      </c>
      <c r="BG112" s="69" t="str">
        <f aca="false">IF($E112="","",IF($M112,IF(AND($G112&gt;=BG$5,$G112&lt;BG$5+GanttPeriod),"◆",IF(AND($E112&gt;=BG$5,$E112&lt;BG$5+GanttPeriod),"◇","")),IF(AND(BG$5&lt;=$F112,BG$5+GanttPeriod-1&gt;=$E112),"━","")))</f>
        <v/>
      </c>
      <c r="BH112" s="69" t="str">
        <f aca="false">IF($E112="","",IF($M112,IF(AND($G112&gt;=BH$5,$G112&lt;BH$5+GanttPeriod),"◆",IF(AND($E112&gt;=BH$5,$E112&lt;BH$5+GanttPeriod),"◇","")),IF(AND(BH$5&lt;=$F112,BH$5+GanttPeriod-1&gt;=$E112),"━","")))</f>
        <v/>
      </c>
      <c r="BI112" s="69" t="str">
        <f aca="false">IF($E112="","",IF($M112,IF(AND($G112&gt;=BI$5,$G112&lt;BI$5+GanttPeriod),"◆",IF(AND($E112&gt;=BI$5,$E112&lt;BI$5+GanttPeriod),"◇","")),IF(AND(BI$5&lt;=$F112,BI$5+GanttPeriod-1&gt;=$E112),"━","")))</f>
        <v/>
      </c>
      <c r="BJ112" s="69" t="str">
        <f aca="false">IF($E112="","",IF($M112,IF(AND($G112&gt;=BJ$5,$G112&lt;BJ$5+GanttPeriod),"◆",IF(AND($E112&gt;=BJ$5,$E112&lt;BJ$5+GanttPeriod),"◇","")),IF(AND(BJ$5&lt;=$F112,BJ$5+GanttPeriod-1&gt;=$E112),"━","")))</f>
        <v/>
      </c>
      <c r="BK112" s="69" t="str">
        <f aca="false">IF($E112="","",IF($M112,IF(AND($G112&gt;=BK$5,$G112&lt;BK$5+GanttPeriod),"◆",IF(AND($E112&gt;=BK$5,$E112&lt;BK$5+GanttPeriod),"◇","")),IF(AND(BK$5&lt;=$F112,BK$5+GanttPeriod-1&gt;=$E112),"━","")))</f>
        <v/>
      </c>
      <c r="BL112" s="69" t="str">
        <f aca="false">IF($E112="","",IF($M112,IF(AND($G112&gt;=BL$5,$G112&lt;BL$5+GanttPeriod),"◆",IF(AND($E112&gt;=BL$5,$E112&lt;BL$5+GanttPeriod),"◇","")),IF(AND(BL$5&lt;=$F112,BL$5+GanttPeriod-1&gt;=$E112),"━","")))</f>
        <v/>
      </c>
      <c r="BM112" s="69" t="str">
        <f aca="false">IF($E112="","",IF($M112,IF(AND($G112&gt;=BM$5,$G112&lt;BM$5+GanttPeriod),"◆",IF(AND($E112&gt;=BM$5,$E112&lt;BM$5+GanttPeriod),"◇","")),IF(AND(BM$5&lt;=$F112,BM$5+GanttPeriod-1&gt;=$E112),"━","")))</f>
        <v/>
      </c>
      <c r="BN112" s="69" t="str">
        <f aca="false">IF($E112="","",IF($M112,IF(AND($G112&gt;=BN$5,$G112&lt;BN$5+GanttPeriod),"◆",IF(AND($E112&gt;=BN$5,$E112&lt;BN$5+GanttPeriod),"◇","")),IF(AND(BN$5&lt;=$F112,BN$5+GanttPeriod-1&gt;=$E112),"━","")))</f>
        <v/>
      </c>
      <c r="BO112" s="69" t="str">
        <f aca="false">IF($E112="","",IF($M112,IF(AND($G112&gt;=BO$5,$G112&lt;BO$5+GanttPeriod),"◆",IF(AND($E112&gt;=BO$5,$E112&lt;BO$5+GanttPeriod),"◇","")),IF(AND(BO$5&lt;=$F112,BO$5+GanttPeriod-1&gt;=$E112),"━","")))</f>
        <v/>
      </c>
      <c r="BP112" s="69" t="str">
        <f aca="false">IF($E112="","",IF($M112,IF(AND($G112&gt;=BP$5,$G112&lt;BP$5+GanttPeriod),"◆",IF(AND($E112&gt;=BP$5,$E112&lt;BP$5+GanttPeriod),"◇","")),IF(AND(BP$5&lt;=$F112,BP$5+GanttPeriod-1&gt;=$E112),"━","")))</f>
        <v/>
      </c>
      <c r="BQ112" s="69" t="str">
        <f aca="false">IF($E112="","",IF($M112,IF(AND($G112&gt;=BQ$5,$G112&lt;BQ$5+GanttPeriod),"◆",IF(AND($E112&gt;=BQ$5,$E112&lt;BQ$5+GanttPeriod),"◇","")),IF(AND(BQ$5&lt;=$F112,BQ$5+GanttPeriod-1&gt;=$E112),"━","")))</f>
        <v/>
      </c>
      <c r="BR112" s="69" t="str">
        <f aca="false">IF($E112="","",IF($M112,IF(AND($G112&gt;=BR$5,$G112&lt;BR$5+GanttPeriod),"◆",IF(AND($E112&gt;=BR$5,$E112&lt;BR$5+GanttPeriod),"◇","")),IF(AND(BR$5&lt;=$F112,BR$5+GanttPeriod-1&gt;=$E112),"━","")))</f>
        <v/>
      </c>
      <c r="BS112" s="69" t="str">
        <f aca="false">IF($E112="","",IF($M112,IF(AND($G112&gt;=BS$5,$G112&lt;BS$5+GanttPeriod),"◆",IF(AND($E112&gt;=BS$5,$E112&lt;BS$5+GanttPeriod),"◇","")),IF(AND(BS$5&lt;=$F112,BS$5+GanttPeriod-1&gt;=$E112),"━","")))</f>
        <v/>
      </c>
      <c r="BT112" s="69" t="str">
        <f aca="false">IF($E112="","",IF($M112,IF(AND($G112&gt;=BT$5,$G112&lt;BT$5+GanttPeriod),"◆",IF(AND($E112&gt;=BT$5,$E112&lt;BT$5+GanttPeriod),"◇","")),IF(AND(BT$5&lt;=$F112,BT$5+GanttPeriod-1&gt;=$E112),"━","")))</f>
        <v/>
      </c>
      <c r="BU112" s="69" t="str">
        <f aca="false">IF($E112="","",IF($M112,IF(AND($G112&gt;=BU$5,$G112&lt;BU$5+GanttPeriod),"◆",IF(AND($E112&gt;=BU$5,$E112&lt;BU$5+GanttPeriod),"◇","")),IF(AND(BU$5&lt;=$F112,BU$5+GanttPeriod-1&gt;=$E112),"━","")))</f>
        <v/>
      </c>
      <c r="BV112" s="69" t="str">
        <f aca="false">IF($E112="","",IF($M112,IF(AND($G112&gt;=BV$5,$G112&lt;BV$5+GanttPeriod),"◆",IF(AND($E112&gt;=BV$5,$E112&lt;BV$5+GanttPeriod),"◇","")),IF(AND(BV$5&lt;=$F112,BV$5+GanttPeriod-1&gt;=$E112),"━","")))</f>
        <v/>
      </c>
      <c r="BW112" s="69" t="str">
        <f aca="false">IF($E112="","",IF($M112,IF(AND($G112&gt;=BW$5,$G112&lt;BW$5+GanttPeriod),"◆",IF(AND($E112&gt;=BW$5,$E112&lt;BW$5+GanttPeriod),"◇","")),IF(AND(BW$5&lt;=$F112,BW$5+GanttPeriod-1&gt;=$E112),"━","")))</f>
        <v/>
      </c>
      <c r="BX112" s="69" t="str">
        <f aca="false">IF($E112="","",IF($M112,IF(AND($G112&gt;=BX$5,$G112&lt;BX$5+GanttPeriod),"◆",IF(AND($E112&gt;=BX$5,$E112&lt;BX$5+GanttPeriod),"◇","")),IF(AND(BX$5&lt;=$F112,BX$5+GanttPeriod-1&gt;=$E112),"━","")))</f>
        <v/>
      </c>
      <c r="BY112" s="69" t="str">
        <f aca="false">IF($E112="","",IF($M112,IF(AND($G112&gt;=BY$5,$G112&lt;BY$5+GanttPeriod),"◆",IF(AND($E112&gt;=BY$5,$E112&lt;BY$5+GanttPeriod),"◇","")),IF(AND(BY$5&lt;=$F112,BY$5+GanttPeriod-1&gt;=$E112),"━","")))</f>
        <v/>
      </c>
      <c r="BZ112" s="69" t="str">
        <f aca="false">IF($E112="","",IF($M112,IF(AND($G112&gt;=BZ$5,$G112&lt;BZ$5+GanttPeriod),"◆",IF(AND($E112&gt;=BZ$5,$E112&lt;BZ$5+GanttPeriod),"◇","")),IF(AND(BZ$5&lt;=$F112,BZ$5+GanttPeriod-1&gt;=$E112),"━","")))</f>
        <v/>
      </c>
      <c r="CA112" s="69" t="str">
        <f aca="false">IF($E112="","",IF($M112,IF(AND($G112&gt;=CA$5,$G112&lt;CA$5+GanttPeriod),"◆",IF(AND($E112&gt;=CA$5,$E112&lt;CA$5+GanttPeriod),"◇","")),IF(AND(CA$5&lt;=$F112,CA$5+GanttPeriod-1&gt;=$E112),"━","")))</f>
        <v/>
      </c>
      <c r="CB112" s="69" t="str">
        <f aca="false">IF($E112="","",IF($M112,IF(AND($G112&gt;=CB$5,$G112&lt;CB$5+GanttPeriod),"◆",IF(AND($E112&gt;=CB$5,$E112&lt;CB$5+GanttPeriod),"◇","")),IF(AND(CB$5&lt;=$F112,CB$5+GanttPeriod-1&gt;=$E112),"━","")))</f>
        <v/>
      </c>
      <c r="CC112" s="69" t="str">
        <f aca="false">IF($E112="","",IF($M112,IF(AND($G112&gt;=CC$5,$G112&lt;CC$5+GanttPeriod),"◆",IF(AND($E112&gt;=CC$5,$E112&lt;CC$5+GanttPeriod),"◇","")),IF(AND(CC$5&lt;=$F112,CC$5+GanttPeriod-1&gt;=$E112),"━","")))</f>
        <v/>
      </c>
      <c r="CD112" s="69" t="str">
        <f aca="false">IF($E112="","",IF($M112,IF(AND($G112&gt;=CD$5,$G112&lt;CD$5+GanttPeriod),"◆",IF(AND($E112&gt;=CD$5,$E112&lt;CD$5+GanttPeriod),"◇","")),IF(AND(CD$5&lt;=$F112,CD$5+GanttPeriod-1&gt;=$E112),"━","")))</f>
        <v/>
      </c>
      <c r="CE112" s="69" t="str">
        <f aca="false">IF($E112="","",IF($M112,IF(AND($G112&gt;=CE$5,$G112&lt;CE$5+GanttPeriod),"◆",IF(AND($E112&gt;=CE$5,$E112&lt;CE$5+GanttPeriod),"◇","")),IF(AND(CE$5&lt;=$F112,CE$5+GanttPeriod-1&gt;=$E112),"━","")))</f>
        <v/>
      </c>
      <c r="CF112" s="69" t="str">
        <f aca="false">IF($E112="","",IF($M112,IF(AND($G112&gt;=CF$5,$G112&lt;CF$5+GanttPeriod),"◆",IF(AND($E112&gt;=CF$5,$E112&lt;CF$5+GanttPeriod),"◇","")),IF(AND(CF$5&lt;=$F112,CF$5+GanttPeriod-1&gt;=$E112),"━","")))</f>
        <v/>
      </c>
      <c r="CG112" s="69" t="str">
        <f aca="false">IF($E112="","",IF($M112,IF(AND($G112&gt;=CG$5,$G112&lt;CG$5+GanttPeriod),"◆",IF(AND($E112&gt;=CG$5,$E112&lt;CG$5+GanttPeriod),"◇","")),IF(AND(CG$5&lt;=$F112,CG$5+GanttPeriod-1&gt;=$E112),"━","")))</f>
        <v/>
      </c>
      <c r="CH112" s="69" t="str">
        <f aca="false">IF($E112="","",IF($M112,IF(AND($G112&gt;=CH$5,$G112&lt;CH$5+GanttPeriod),"◆",IF(AND($E112&gt;=CH$5,$E112&lt;CH$5+GanttPeriod),"◇","")),IF(AND(CH$5&lt;=$F112,CH$5+GanttPeriod-1&gt;=$E112),"━","")))</f>
        <v/>
      </c>
      <c r="CI112" s="69" t="str">
        <f aca="false">IF($E112="","",IF($M112,IF(AND($G112&gt;=CI$5,$G112&lt;CI$5+GanttPeriod),"◆",IF(AND($E112&gt;=CI$5,$E112&lt;CI$5+GanttPeriod),"◇","")),IF(AND(CI$5&lt;=$F112,CI$5+GanttPeriod-1&gt;=$E112),"━","")))</f>
        <v/>
      </c>
      <c r="CJ112" s="69" t="str">
        <f aca="false">IF($E112="","",IF($M112,IF(AND($G112&gt;=CJ$5,$G112&lt;CJ$5+GanttPeriod),"◆",IF(AND($E112&gt;=CJ$5,$E112&lt;CJ$5+GanttPeriod),"◇","")),IF(AND(CJ$5&lt;=$F112,CJ$5+GanttPeriod-1&gt;=$E112),"━","")))</f>
        <v/>
      </c>
      <c r="CK112" s="69" t="str">
        <f aca="false">IF($E112="","",IF($M112,IF(AND($G112&gt;=CK$5,$G112&lt;CK$5+GanttPeriod),"◆",IF(AND($E112&gt;=CK$5,$E112&lt;CK$5+GanttPeriod),"◇","")),IF(AND(CK$5&lt;=$F112,CK$5+GanttPeriod-1&gt;=$E112),"━","")))</f>
        <v/>
      </c>
      <c r="CL112" s="69" t="str">
        <f aca="false">IF($E112="","",IF($M112,IF(AND($G112&gt;=CL$5,$G112&lt;CL$5+GanttPeriod),"◆",IF(AND($E112&gt;=CL$5,$E112&lt;CL$5+GanttPeriod),"◇","")),IF(AND(CL$5&lt;=$F112,CL$5+GanttPeriod-1&gt;=$E112),"━","")))</f>
        <v/>
      </c>
      <c r="CM112" s="69" t="str">
        <f aca="false">IF($E112="","",IF($M112,IF(AND($G112&gt;=CM$5,$G112&lt;CM$5+GanttPeriod),"◆",IF(AND($E112&gt;=CM$5,$E112&lt;CM$5+GanttPeriod),"◇","")),IF(AND(CM$5&lt;=$F112,CM$5+GanttPeriod-1&gt;=$E112),"━","")))</f>
        <v/>
      </c>
      <c r="CN112" s="69" t="str">
        <f aca="false">IF($E112="","",IF($M112,IF(AND($G112&gt;=CN$5,$G112&lt;CN$5+GanttPeriod),"◆",IF(AND($E112&gt;=CN$5,$E112&lt;CN$5+GanttPeriod),"◇","")),IF(AND(CN$5&lt;=$F112,CN$5+GanttPeriod-1&gt;=$E112),"━","")))</f>
        <v/>
      </c>
      <c r="CO112" s="69" t="str">
        <f aca="false">IF($E112="","",IF($M112,IF(AND($G112&gt;=CO$5,$G112&lt;CO$5+GanttPeriod),"◆",IF(AND($E112&gt;=CO$5,$E112&lt;CO$5+GanttPeriod),"◇","")),IF(AND(CO$5&lt;=$F112,CO$5+GanttPeriod-1&gt;=$E112),"━","")))</f>
        <v/>
      </c>
      <c r="CP112" s="69" t="str">
        <f aca="false">IF($E112="","",IF($M112,IF(AND($G112&gt;=CP$5,$G112&lt;CP$5+GanttPeriod),"◆",IF(AND($E112&gt;=CP$5,$E112&lt;CP$5+GanttPeriod),"◇","")),IF(AND(CP$5&lt;=$F112,CP$5+GanttPeriod-1&gt;=$E112),"━","")))</f>
        <v/>
      </c>
      <c r="CQ112" s="69" t="str">
        <f aca="false">IF($E112="","",IF($M112,IF(AND($G112&gt;=CQ$5,$G112&lt;CQ$5+GanttPeriod),"◆",IF(AND($E112&gt;=CQ$5,$E112&lt;CQ$5+GanttPeriod),"◇","")),IF(AND(CQ$5&lt;=$F112,CQ$5+GanttPeriod-1&gt;=$E112),"━","")))</f>
        <v/>
      </c>
      <c r="CR112" s="69" t="str">
        <f aca="false">IF($E112="","",IF($M112,IF(AND($G112&gt;=CR$5,$G112&lt;CR$5+GanttPeriod),"◆",IF(AND($E112&gt;=CR$5,$E112&lt;CR$5+GanttPeriod),"◇","")),IF(AND(CR$5&lt;=$F112,CR$5+GanttPeriod-1&gt;=$E112),"━","")))</f>
        <v/>
      </c>
      <c r="CS112" s="69" t="str">
        <f aca="false">IF($E112="","",IF($M112,IF(AND($G112&gt;=CS$5,$G112&lt;CS$5+GanttPeriod),"◆",IF(AND($E112&gt;=CS$5,$E112&lt;CS$5+GanttPeriod),"◇","")),IF(AND(CS$5&lt;=$F112,CS$5+GanttPeriod-1&gt;=$E112),"━","")))</f>
        <v/>
      </c>
      <c r="CT112" s="69" t="str">
        <f aca="false">IF($E112="","",IF($M112,IF(AND($G112&gt;=CT$5,$G112&lt;CT$5+GanttPeriod),"◆",IF(AND($E112&gt;=CT$5,$E112&lt;CT$5+GanttPeriod),"◇","")),IF(AND(CT$5&lt;=$F112,CT$5+GanttPeriod-1&gt;=$E112),"━","")))</f>
        <v/>
      </c>
      <c r="CU112" s="69" t="str">
        <f aca="false">IF($E112="","",IF($M112,IF(AND($G112&gt;=CU$5,$G112&lt;CU$5+GanttPeriod),"◆",IF(AND($E112&gt;=CU$5,$E112&lt;CU$5+GanttPeriod),"◇","")),IF(AND(CU$5&lt;=$F112,CU$5+GanttPeriod-1&gt;=$E112),"━","")))</f>
        <v/>
      </c>
      <c r="CV112" s="69" t="str">
        <f aca="false">IF($E112="","",IF($M112,IF(AND($G112&gt;=CV$5,$G112&lt;CV$5+GanttPeriod),"◆",IF(AND($E112&gt;=CV$5,$E112&lt;CV$5+GanttPeriod),"◇","")),IF(AND(CV$5&lt;=$F112,CV$5+GanttPeriod-1&gt;=$E112),"━","")))</f>
        <v/>
      </c>
      <c r="CW112" s="69" t="str">
        <f aca="false">IF($E112="","",IF($M112,IF(AND($G112&gt;=CW$5,$G112&lt;CW$5+GanttPeriod),"◆",IF(AND($E112&gt;=CW$5,$E112&lt;CW$5+GanttPeriod),"◇","")),IF(AND(CW$5&lt;=$F112,CW$5+GanttPeriod-1&gt;=$E112),"━","")))</f>
        <v/>
      </c>
      <c r="CX112" s="69" t="str">
        <f aca="false">IF($E112="","",IF($M112,IF(AND($G112&gt;=CX$5,$G112&lt;CX$5+GanttPeriod),"◆",IF(AND($E112&gt;=CX$5,$E112&lt;CX$5+GanttPeriod),"◇","")),IF(AND(CX$5&lt;=$F112,CX$5+GanttPeriod-1&gt;=$E112),"━","")))</f>
        <v/>
      </c>
      <c r="CY112" s="69" t="str">
        <f aca="false">IF($E112="","",IF($M112,IF(AND($G112&gt;=CY$5,$G112&lt;CY$5+GanttPeriod),"◆",IF(AND($E112&gt;=CY$5,$E112&lt;CY$5+GanttPeriod),"◇","")),IF(AND(CY$5&lt;=$F112,CY$5+GanttPeriod-1&gt;=$E112),"━","")))</f>
        <v/>
      </c>
      <c r="CZ112" s="69" t="str">
        <f aca="false">IF($E112="","",IF($M112,IF(AND($G112&gt;=CZ$5,$G112&lt;CZ$5+GanttPeriod),"◆",IF(AND($E112&gt;=CZ$5,$E112&lt;CZ$5+GanttPeriod),"◇","")),IF(AND(CZ$5&lt;=$F112,CZ$5+GanttPeriod-1&gt;=$E112),"━","")))</f>
        <v/>
      </c>
      <c r="DA112" s="69" t="str">
        <f aca="false">IF($E112="","",IF($M112,IF(AND($G112&gt;=DA$5,$G112&lt;DA$5+GanttPeriod),"◆",IF(AND($E112&gt;=DA$5,$E112&lt;DA$5+GanttPeriod),"◇","")),IF(AND(DA$5&lt;=$F112,DA$5+GanttPeriod-1&gt;=$E112),"━","")))</f>
        <v/>
      </c>
      <c r="DB112" s="69" t="str">
        <f aca="false">IF($E112="","",IF($M112,IF(AND($G112&gt;=DB$5,$G112&lt;DB$5+GanttPeriod),"◆",IF(AND($E112&gt;=DB$5,$E112&lt;DB$5+GanttPeriod),"◇","")),IF(AND(DB$5&lt;=$F112,DB$5+GanttPeriod-1&gt;=$E112),"━","")))</f>
        <v/>
      </c>
      <c r="DC112" s="69" t="str">
        <f aca="false">IF($E112="","",IF($M112,IF(AND($G112&gt;=DC$5,$G112&lt;DC$5+GanttPeriod),"◆",IF(AND($E112&gt;=DC$5,$E112&lt;DC$5+GanttPeriod),"◇","")),IF(AND(DC$5&lt;=$F112,DC$5+GanttPeriod-1&gt;=$E112),"━","")))</f>
        <v/>
      </c>
      <c r="DD112" s="69" t="str">
        <f aca="false">IF($E112="","",IF($M112,IF(AND($G112&gt;=DD$5,$G112&lt;DD$5+GanttPeriod),"◆",IF(AND($E112&gt;=DD$5,$E112&lt;DD$5+GanttPeriod),"◇","")),IF(AND(DD$5&lt;=$F112,DD$5+GanttPeriod-1&gt;=$E112),"━","")))</f>
        <v/>
      </c>
      <c r="DE112" s="69" t="str">
        <f aca="false">IF($E112="","",IF($M112,IF(AND($G112&gt;=DE$5,$G112&lt;DE$5+GanttPeriod),"◆",IF(AND($E112&gt;=DE$5,$E112&lt;DE$5+GanttPeriod),"◇","")),IF(AND(DE$5&lt;=$F112,DE$5+GanttPeriod-1&gt;=$E112),"━","")))</f>
        <v/>
      </c>
      <c r="DF112" s="69" t="str">
        <f aca="false">IF($E112="","",IF($M112,IF(AND($G112&gt;=DF$5,$G112&lt;DF$5+GanttPeriod),"◆",IF(AND($E112&gt;=DF$5,$E112&lt;DF$5+GanttPeriod),"◇","")),IF(AND(DF$5&lt;=$F112,DF$5+GanttPeriod-1&gt;=$E112),"━","")))</f>
        <v/>
      </c>
      <c r="DG112" s="69" t="str">
        <f aca="false">IF($E112="","",IF($M112,IF(AND($G112&gt;=DG$5,$G112&lt;DG$5+GanttPeriod),"◆",IF(AND($E112&gt;=DG$5,$E112&lt;DG$5+GanttPeriod),"◇","")),IF(AND(DG$5&lt;=$F112,DG$5+GanttPeriod-1&gt;=$E112),"━","")))</f>
        <v/>
      </c>
      <c r="DH112" s="69" t="str">
        <f aca="false">IF($E112="","",IF($M112,IF(AND($G112&gt;=DH$5,$G112&lt;DH$5+GanttPeriod),"◆",IF(AND($E112&gt;=DH$5,$E112&lt;DH$5+GanttPeriod),"◇","")),IF(AND(DH$5&lt;=$F112,DH$5+GanttPeriod-1&gt;=$E112),"━","")))</f>
        <v/>
      </c>
      <c r="DI112" s="69" t="str">
        <f aca="false">IF($E112="","",IF($M112,IF(AND($G112&gt;=DI$5,$G112&lt;DI$5+GanttPeriod),"◆",IF(AND($E112&gt;=DI$5,$E112&lt;DI$5+GanttPeriod),"◇","")),IF(AND(DI$5&lt;=$F112,DI$5+GanttPeriod-1&gt;=$E112),"━","")))</f>
        <v/>
      </c>
      <c r="DJ112" s="69" t="str">
        <f aca="false">IF($E112="","",IF($M112,IF(AND($G112&gt;=DJ$5,$G112&lt;DJ$5+GanttPeriod),"◆",IF(AND($E112&gt;=DJ$5,$E112&lt;DJ$5+GanttPeriod),"◇","")),IF(AND(DJ$5&lt;=$F112,DJ$5+GanttPeriod-1&gt;=$E112),"━","")))</f>
        <v/>
      </c>
      <c r="DK112" s="69" t="str">
        <f aca="false">IF($E112="","",IF($M112,IF(AND($G112&gt;=DK$5,$G112&lt;DK$5+GanttPeriod),"◆",IF(AND($E112&gt;=DK$5,$E112&lt;DK$5+GanttPeriod),"◇","")),IF(AND(DK$5&lt;=$F112,DK$5+GanttPeriod-1&gt;=$E112),"━","")))</f>
        <v/>
      </c>
      <c r="DL112" s="69" t="str">
        <f aca="false">IF($E112="","",IF($M112,IF(AND($G112&gt;=DL$5,$G112&lt;DL$5+GanttPeriod),"◆",IF(AND($E112&gt;=DL$5,$E112&lt;DL$5+GanttPeriod),"◇","")),IF(AND(DL$5&lt;=$F112,DL$5+GanttPeriod-1&gt;=$E112),"━","")))</f>
        <v/>
      </c>
      <c r="DM112" s="69" t="str">
        <f aca="false">IF($E112="","",IF($M112,IF(AND($G112&gt;=DM$5,$G112&lt;DM$5+GanttPeriod),"◆",IF(AND($E112&gt;=DM$5,$E112&lt;DM$5+GanttPeriod),"◇","")),IF(AND(DM$5&lt;=$F112,DM$5+GanttPeriod-1&gt;=$E112),"━","")))</f>
        <v/>
      </c>
      <c r="DN112" s="69" t="str">
        <f aca="false">IF($E112="","",IF($M112,IF(AND($G112&gt;=DN$5,$G112&lt;DN$5+GanttPeriod),"◆",IF(AND($E112&gt;=DN$5,$E112&lt;DN$5+GanttPeriod),"◇","")),IF(AND(DN$5&lt;=$F112,DN$5+GanttPeriod-1&gt;=$E112),"━","")))</f>
        <v/>
      </c>
      <c r="DO112" s="69" t="str">
        <f aca="false">IF($E112="","",IF($M112,IF(AND($G112&gt;=DO$5,$G112&lt;DO$5+GanttPeriod),"◆",IF(AND($E112&gt;=DO$5,$E112&lt;DO$5+GanttPeriod),"◇","")),IF(AND(DO$5&lt;=$F112,DO$5+GanttPeriod-1&gt;=$E112),"━","")))</f>
        <v/>
      </c>
      <c r="DP112" s="69" t="str">
        <f aca="false">IF($E112="","",IF($M112,IF(AND($G112&gt;=DP$5,$G112&lt;DP$5+GanttPeriod),"◆",IF(AND($E112&gt;=DP$5,$E112&lt;DP$5+GanttPeriod),"◇","")),IF(AND(DP$5&lt;=$F112,DP$5+GanttPeriod-1&gt;=$E112),"━","")))</f>
        <v/>
      </c>
      <c r="DQ112" s="69" t="str">
        <f aca="false">IF($E112="","",IF($M112,IF(AND($G112&gt;=DQ$5,$G112&lt;DQ$5+GanttPeriod),"◆",IF(AND($E112&gt;=DQ$5,$E112&lt;DQ$5+GanttPeriod),"◇","")),IF(AND(DQ$5&lt;=$F112,DQ$5+GanttPeriod-1&gt;=$E112),"━","")))</f>
        <v/>
      </c>
      <c r="DR112" s="69" t="str">
        <f aca="false">IF($E112="","",IF($M112,IF(AND($G112&gt;=DR$5,$G112&lt;DR$5+GanttPeriod),"◆",IF(AND($E112&gt;=DR$5,$E112&lt;DR$5+GanttPeriod),"◇","")),IF(AND(DR$5&lt;=$F112,DR$5+GanttPeriod-1&gt;=$E112),"━","")))</f>
        <v/>
      </c>
      <c r="DS112" s="69" t="str">
        <f aca="false">IF($E112="","",IF($M112,IF(AND($G112&gt;=DS$5,$G112&lt;DS$5+GanttPeriod),"◆",IF(AND($E112&gt;=DS$5,$E112&lt;DS$5+GanttPeriod),"◇","")),IF(AND(DS$5&lt;=$F112,DS$5+GanttPeriod-1&gt;=$E112),"━","")))</f>
        <v/>
      </c>
      <c r="DT112" s="69" t="str">
        <f aca="false">IF($E112="","",IF($M112,IF(AND($G112&gt;=DT$5,$G112&lt;DT$5+GanttPeriod),"◆",IF(AND($E112&gt;=DT$5,$E112&lt;DT$5+GanttPeriod),"◇","")),IF(AND(DT$5&lt;=$F112,DT$5+GanttPeriod-1&gt;=$E112),"━","")))</f>
        <v/>
      </c>
      <c r="DU112" s="69" t="str">
        <f aca="false">IF($E112="","",IF($M112,IF(AND($G112&gt;=DU$5,$G112&lt;DU$5+GanttPeriod),"◆",IF(AND($E112&gt;=DU$5,$E112&lt;DU$5+GanttPeriod),"◇","")),IF(AND(DU$5&lt;=$F112,DU$5+GanttPeriod-1&gt;=$E112),"━","")))</f>
        <v/>
      </c>
      <c r="DV112" s="69" t="str">
        <f aca="false">IF($E112="","",IF($M112,IF(AND($G112&gt;=DV$5,$G112&lt;DV$5+GanttPeriod),"◆",IF(AND($E112&gt;=DV$5,$E112&lt;DV$5+GanttPeriod),"◇","")),IF(AND(DV$5&lt;=$F112,DV$5+GanttPeriod-1&gt;=$E112),"━","")))</f>
        <v/>
      </c>
      <c r="DW112" s="69" t="str">
        <f aca="false">IF($E112="","",IF($M112,IF(AND($G112&gt;=DW$5,$G112&lt;DW$5+GanttPeriod),"◆",IF(AND($E112&gt;=DW$5,$E112&lt;DW$5+GanttPeriod),"◇","")),IF(AND(DW$5&lt;=$F112,DW$5+GanttPeriod-1&gt;=$E112),"━","")))</f>
        <v/>
      </c>
      <c r="DX112" s="69" t="str">
        <f aca="false">IF($E112="","",IF($M112,IF(AND($G112&gt;=DX$5,$G112&lt;DX$5+GanttPeriod),"◆",IF(AND($E112&gt;=DX$5,$E112&lt;DX$5+GanttPeriod),"◇","")),IF(AND(DX$5&lt;=$F112,DX$5+GanttPeriod-1&gt;=$E112),"━","")))</f>
        <v/>
      </c>
      <c r="DY112" s="69" t="str">
        <f aca="false">IF($E112="","",IF($M112,IF(AND($G112&gt;=DY$5,$G112&lt;DY$5+GanttPeriod),"◆",IF(AND($E112&gt;=DY$5,$E112&lt;DY$5+GanttPeriod),"◇","")),IF(AND(DY$5&lt;=$F112,DY$5+GanttPeriod-1&gt;=$E112),"━","")))</f>
        <v/>
      </c>
      <c r="DZ112" s="69" t="str">
        <f aca="false">IF($E112="","",IF($M112,IF(AND($G112&gt;=DZ$5,$G112&lt;DZ$5+GanttPeriod),"◆",IF(AND($E112&gt;=DZ$5,$E112&lt;DZ$5+GanttPeriod),"◇","")),IF(AND(DZ$5&lt;=$F112,DZ$5+GanttPeriod-1&gt;=$E112),"━","")))</f>
        <v/>
      </c>
      <c r="EA112" s="69" t="str">
        <f aca="false">IF($E112="","",IF($M112,IF(AND($G112&gt;=EA$5,$G112&lt;EA$5+GanttPeriod),"◆",IF(AND($E112&gt;=EA$5,$E112&lt;EA$5+GanttPeriod),"◇","")),IF(AND(EA$5&lt;=$F112,EA$5+GanttPeriod-1&gt;=$E112),"━","")))</f>
        <v/>
      </c>
      <c r="EB112" s="69" t="str">
        <f aca="false">IF($E112="","",IF($M112,IF(AND($G112&gt;=EB$5,$G112&lt;EB$5+GanttPeriod),"◆",IF(AND($E112&gt;=EB$5,$E112&lt;EB$5+GanttPeriod),"◇","")),IF(AND(EB$5&lt;=$F112,EB$5+GanttPeriod-1&gt;=$E112),"━","")))</f>
        <v/>
      </c>
      <c r="EC112" s="69" t="str">
        <f aca="false">IF($E112="","",IF($M112,IF(AND($G112&gt;=EC$5,$G112&lt;EC$5+GanttPeriod),"◆",IF(AND($E112&gt;=EC$5,$E112&lt;EC$5+GanttPeriod),"◇","")),IF(AND(EC$5&lt;=$F112,EC$5+GanttPeriod-1&gt;=$E112),"━","")))</f>
        <v/>
      </c>
      <c r="ED112" s="69" t="str">
        <f aca="false">IF($E112="","",IF($M112,IF(AND($G112&gt;=ED$5,$G112&lt;ED$5+GanttPeriod),"◆",IF(AND($E112&gt;=ED$5,$E112&lt;ED$5+GanttPeriod),"◇","")),IF(AND(ED$5&lt;=$F112,ED$5+GanttPeriod-1&gt;=$E112),"━","")))</f>
        <v/>
      </c>
      <c r="EE112" s="69" t="str">
        <f aca="false">IF($E112="","",IF($M112,IF(AND($G112&gt;=EE$5,$G112&lt;EE$5+GanttPeriod),"◆",IF(AND($E112&gt;=EE$5,$E112&lt;EE$5+GanttPeriod),"◇","")),IF(AND(EE$5&lt;=$F112,EE$5+GanttPeriod-1&gt;=$E112),"━","")))</f>
        <v/>
      </c>
      <c r="EF112" s="69" t="str">
        <f aca="false">IF($E112="","",IF($M112,IF(AND($G112&gt;=EF$5,$G112&lt;EF$5+GanttPeriod),"◆",IF(AND($E112&gt;=EF$5,$E112&lt;EF$5+GanttPeriod),"◇","")),IF(AND(EF$5&lt;=$F112,EF$5+GanttPeriod-1&gt;=$E112),"━","")))</f>
        <v/>
      </c>
      <c r="EG112" s="69" t="str">
        <f aca="false">IF($E112="","",IF($M112,IF(AND($G112&gt;=EG$5,$G112&lt;EG$5+GanttPeriod),"◆",IF(AND($E112&gt;=EG$5,$E112&lt;EG$5+GanttPeriod),"◇","")),IF(AND(EG$5&lt;=$F112,EG$5+GanttPeriod-1&gt;=$E112),"━","")))</f>
        <v/>
      </c>
      <c r="EH112" s="69" t="str">
        <f aca="false">IF($E112="","",IF($M112,IF(AND($G112&gt;=EH$5,$G112&lt;EH$5+GanttPeriod),"◆",IF(AND($E112&gt;=EH$5,$E112&lt;EH$5+GanttPeriod),"◇","")),IF(AND(EH$5&lt;=$F112,EH$5+GanttPeriod-1&gt;=$E112),"━","")))</f>
        <v/>
      </c>
      <c r="EI112" s="69" t="str">
        <f aca="false">IF($E112="","",IF($M112,IF(AND($G112&gt;=EI$5,$G112&lt;EI$5+GanttPeriod),"◆",IF(AND($E112&gt;=EI$5,$E112&lt;EI$5+GanttPeriod),"◇","")),IF(AND(EI$5&lt;=$F112,EI$5+GanttPeriod-1&gt;=$E112),"━","")))</f>
        <v/>
      </c>
      <c r="EJ112" s="69" t="str">
        <f aca="false">IF($E112="","",IF($M112,IF(AND($G112&gt;=EJ$5,$G112&lt;EJ$5+GanttPeriod),"◆",IF(AND($E112&gt;=EJ$5,$E112&lt;EJ$5+GanttPeriod),"◇","")),IF(AND(EJ$5&lt;=$F112,EJ$5+GanttPeriod-1&gt;=$E112),"━","")))</f>
        <v/>
      </c>
      <c r="EK112" s="69" t="str">
        <f aca="false">IF($E112="","",IF($M112,IF(AND($G112&gt;=EK$5,$G112&lt;EK$5+GanttPeriod),"◆",IF(AND($E112&gt;=EK$5,$E112&lt;EK$5+GanttPeriod),"◇","")),IF(AND(EK$5&lt;=$F112,EK$5+GanttPeriod-1&gt;=$E112),"━","")))</f>
        <v/>
      </c>
      <c r="EL112" s="69" t="str">
        <f aca="false">IF($E112="","",IF($M112,IF(AND($G112&gt;=EL$5,$G112&lt;EL$5+GanttPeriod),"◆",IF(AND($E112&gt;=EL$5,$E112&lt;EL$5+GanttPeriod),"◇","")),IF(AND(EL$5&lt;=$F112,EL$5+GanttPeriod-1&gt;=$E112),"━","")))</f>
        <v/>
      </c>
      <c r="EM112" s="69" t="str">
        <f aca="false">IF($E112="","",IF($M112,IF(AND($G112&gt;=EM$5,$G112&lt;EM$5+GanttPeriod),"◆",IF(AND($E112&gt;=EM$5,$E112&lt;EM$5+GanttPeriod),"◇","")),IF(AND(EM$5&lt;=$F112,EM$5+GanttPeriod-1&gt;=$E112),"━","")))</f>
        <v/>
      </c>
      <c r="EN112" s="69" t="str">
        <f aca="false">IF($E112="","",IF($M112,IF(AND($G112&gt;=EN$5,$G112&lt;EN$5+GanttPeriod),"◆",IF(AND($E112&gt;=EN$5,$E112&lt;EN$5+GanttPeriod),"◇","")),IF(AND(EN$5&lt;=$F112,EN$5+GanttPeriod-1&gt;=$E112),"━","")))</f>
        <v/>
      </c>
      <c r="EO112" s="69" t="str">
        <f aca="false">IF($E112="","",IF($M112,IF(AND($G112&gt;=EO$5,$G112&lt;EO$5+GanttPeriod),"◆",IF(AND($E112&gt;=EO$5,$E112&lt;EO$5+GanttPeriod),"◇","")),IF(AND(EO$5&lt;=$F112,EO$5+GanttPeriod-1&gt;=$E112),"━","")))</f>
        <v/>
      </c>
      <c r="EP112" s="69" t="str">
        <f aca="false">IF($E112="","",IF($M112,IF(AND($G112&gt;=EP$5,$G112&lt;EP$5+GanttPeriod),"◆",IF(AND($E112&gt;=EP$5,$E112&lt;EP$5+GanttPeriod),"◇","")),IF(AND(EP$5&lt;=$F112,EP$5+GanttPeriod-1&gt;=$E112),"━","")))</f>
        <v/>
      </c>
      <c r="EQ112" s="69" t="str">
        <f aca="false">IF($E112="","",IF($M112,IF(AND($G112&gt;=EQ$5,$G112&lt;EQ$5+GanttPeriod),"◆",IF(AND($E112&gt;=EQ$5,$E112&lt;EQ$5+GanttPeriod),"◇","")),IF(AND(EQ$5&lt;=$F112,EQ$5+GanttPeriod-1&gt;=$E112),"━","")))</f>
        <v/>
      </c>
      <c r="ER112" s="69" t="str">
        <f aca="false">IF($E112="","",IF($M112,IF(AND($G112&gt;=ER$5,$G112&lt;ER$5+GanttPeriod),"◆",IF(AND($E112&gt;=ER$5,$E112&lt;ER$5+GanttPeriod),"◇","")),IF(AND(ER$5&lt;=$F112,ER$5+GanttPeriod-1&gt;=$E112),"━","")))</f>
        <v/>
      </c>
      <c r="ES112" s="69" t="str">
        <f aca="false">IF($E112="","",IF($M112,IF(AND($G112&gt;=ES$5,$G112&lt;ES$5+GanttPeriod),"◆",IF(AND($E112&gt;=ES$5,$E112&lt;ES$5+GanttPeriod),"◇","")),IF(AND(ES$5&lt;=$F112,ES$5+GanttPeriod-1&gt;=$E112),"━","")))</f>
        <v/>
      </c>
      <c r="ET112" s="69" t="str">
        <f aca="false">IF($E112="","",IF($M112,IF(AND($G112&gt;=ET$5,$G112&lt;ET$5+GanttPeriod),"◆",IF(AND($E112&gt;=ET$5,$E112&lt;ET$5+GanttPeriod),"◇","")),IF(AND(ET$5&lt;=$F112,ET$5+GanttPeriod-1&gt;=$E112),"━","")))</f>
        <v/>
      </c>
      <c r="EU112" s="69" t="str">
        <f aca="false">IF($E112="","",IF($M112,IF(AND($G112&gt;=EU$5,$G112&lt;EU$5+GanttPeriod),"◆",IF(AND($E112&gt;=EU$5,$E112&lt;EU$5+GanttPeriod),"◇","")),IF(AND(EU$5&lt;=$F112,EU$5+GanttPeriod-1&gt;=$E112),"━","")))</f>
        <v/>
      </c>
      <c r="EV112" s="69" t="str">
        <f aca="false">IF($E112="","",IF($M112,IF(AND($G112&gt;=EV$5,$G112&lt;EV$5+GanttPeriod),"◆",IF(AND($E112&gt;=EV$5,$E112&lt;EV$5+GanttPeriod),"◇","")),IF(AND(EV$5&lt;=$F112,EV$5+GanttPeriod-1&gt;=$E112),"━","")))</f>
        <v/>
      </c>
      <c r="EW112" s="69" t="str">
        <f aca="false">IF($E112="","",IF($M112,IF(AND($G112&gt;=EW$5,$G112&lt;EW$5+GanttPeriod),"◆",IF(AND($E112&gt;=EW$5,$E112&lt;EW$5+GanttPeriod),"◇","")),IF(AND(EW$5&lt;=$F112,EW$5+GanttPeriod-1&gt;=$E112),"━","")))</f>
        <v/>
      </c>
      <c r="EX112" s="69" t="str">
        <f aca="false">IF($E112="","",IF($M112,IF(AND($G112&gt;=EX$5,$G112&lt;EX$5+GanttPeriod),"◆",IF(AND($E112&gt;=EX$5,$E112&lt;EX$5+GanttPeriod),"◇","")),IF(AND(EX$5&lt;=$F112,EX$5+GanttPeriod-1&gt;=$E112),"━","")))</f>
        <v/>
      </c>
      <c r="EY112" s="69" t="str">
        <f aca="false">IF($E112="","",IF($M112,IF(AND($G112&gt;=EY$5,$G112&lt;EY$5+GanttPeriod),"◆",IF(AND($E112&gt;=EY$5,$E112&lt;EY$5+GanttPeriod),"◇","")),IF(AND(EY$5&lt;=$F112,EY$5+GanttPeriod-1&gt;=$E112),"━","")))</f>
        <v/>
      </c>
      <c r="EZ112" s="69" t="str">
        <f aca="false">IF($E112="","",IF($M112,IF(AND($G112&gt;=EZ$5,$G112&lt;EZ$5+GanttPeriod),"◆",IF(AND($E112&gt;=EZ$5,$E112&lt;EZ$5+GanttPeriod),"◇","")),IF(AND(EZ$5&lt;=$F112,EZ$5+GanttPeriod-1&gt;=$E112),"━","")))</f>
        <v/>
      </c>
      <c r="FA112" s="69" t="str">
        <f aca="false">IF($E112="","",IF($M112,IF(AND($G112&gt;=FA$5,$G112&lt;FA$5+GanttPeriod),"◆",IF(AND($E112&gt;=FA$5,$E112&lt;FA$5+GanttPeriod),"◇","")),IF(AND(FA$5&lt;=$F112,FA$5+GanttPeriod-1&gt;=$E112),"━","")))</f>
        <v/>
      </c>
      <c r="FB112" s="69" t="str">
        <f aca="false">IF($E112="","",IF($M112,IF(AND($G112&gt;=FB$5,$G112&lt;FB$5+GanttPeriod),"◆",IF(AND($E112&gt;=FB$5,$E112&lt;FB$5+GanttPeriod),"◇","")),IF(AND(FB$5&lt;=$F112,FB$5+GanttPeriod-1&gt;=$E112),"━","")))</f>
        <v/>
      </c>
      <c r="FC112" s="69" t="str">
        <f aca="false">IF($E112="","",IF($M112,IF(AND($G112&gt;=FC$5,$G112&lt;FC$5+GanttPeriod),"◆",IF(AND($E112&gt;=FC$5,$E112&lt;FC$5+GanttPeriod),"◇","")),IF(AND(FC$5&lt;=$F112,FC$5+GanttPeriod-1&gt;=$E112),"━","")))</f>
        <v/>
      </c>
      <c r="FD112" s="69" t="str">
        <f aca="false">IF($E112="","",IF($M112,IF(AND($G112&gt;=FD$5,$G112&lt;FD$5+GanttPeriod),"◆",IF(AND($E112&gt;=FD$5,$E112&lt;FD$5+GanttPeriod),"◇","")),IF(AND(FD$5&lt;=$F112,FD$5+GanttPeriod-1&gt;=$E112),"━","")))</f>
        <v/>
      </c>
      <c r="FE112" s="69" t="str">
        <f aca="false">IF($E112="","",IF($M112,IF(AND($G112&gt;=FE$5,$G112&lt;FE$5+GanttPeriod),"◆",IF(AND($E112&gt;=FE$5,$E112&lt;FE$5+GanttPeriod),"◇","")),IF(AND(FE$5&lt;=$F112,FE$5+GanttPeriod-1&gt;=$E112),"━","")))</f>
        <v/>
      </c>
      <c r="FF112" s="69" t="str">
        <f aca="false">IF($E112="","",IF($M112,IF(AND($G112&gt;=FF$5,$G112&lt;FF$5+GanttPeriod),"◆",IF(AND($E112&gt;=FF$5,$E112&lt;FF$5+GanttPeriod),"◇","")),IF(AND(FF$5&lt;=$F112,FF$5+GanttPeriod-1&gt;=$E112),"━","")))</f>
        <v/>
      </c>
      <c r="FG112" s="69" t="str">
        <f aca="false">IF($E112="","",IF($M112,IF(AND($G112&gt;=FG$5,$G112&lt;FG$5+GanttPeriod),"◆",IF(AND($E112&gt;=FG$5,$E112&lt;FG$5+GanttPeriod),"◇","")),IF(AND(FG$5&lt;=$F112,FG$5+GanttPeriod-1&gt;=$E112),"━","")))</f>
        <v/>
      </c>
      <c r="FH112" s="69" t="str">
        <f aca="false">IF($E112="","",IF($M112,IF(AND($G112&gt;=FH$5,$G112&lt;FH$5+GanttPeriod),"◆",IF(AND($E112&gt;=FH$5,$E112&lt;FH$5+GanttPeriod),"◇","")),IF(AND(FH$5&lt;=$F112,FH$5+GanttPeriod-1&gt;=$E112),"━","")))</f>
        <v/>
      </c>
      <c r="FI112" s="69" t="str">
        <f aca="false">IF($E112="","",IF($M112,IF(AND($G112&gt;=FI$5,$G112&lt;FI$5+GanttPeriod),"◆",IF(AND($E112&gt;=FI$5,$E112&lt;FI$5+GanttPeriod),"◇","")),IF(AND(FI$5&lt;=$F112,FI$5+GanttPeriod-1&gt;=$E112),"━","")))</f>
        <v/>
      </c>
      <c r="FJ112" s="69" t="str">
        <f aca="false">IF($E112="","",IF($M112,IF(AND($G112&gt;=FJ$5,$G112&lt;FJ$5+GanttPeriod),"◆",IF(AND($E112&gt;=FJ$5,$E112&lt;FJ$5+GanttPeriod),"◇","")),IF(AND(FJ$5&lt;=$F112,FJ$5+GanttPeriod-1&gt;=$E112),"━","")))</f>
        <v/>
      </c>
      <c r="FK112" s="69" t="str">
        <f aca="false">IF($E112="","",IF($M112,IF(AND($G112&gt;=FK$5,$G112&lt;FK$5+GanttPeriod),"◆",IF(AND($E112&gt;=FK$5,$E112&lt;FK$5+GanttPeriod),"◇","")),IF(AND(FK$5&lt;=$F112,FK$5+GanttPeriod-1&gt;=$E112),"━","")))</f>
        <v/>
      </c>
      <c r="FL112" s="69" t="str">
        <f aca="false">IF($E112="","",IF($M112,IF(AND($G112&gt;=FL$5,$G112&lt;FL$5+GanttPeriod),"◆",IF(AND($E112&gt;=FL$5,$E112&lt;FL$5+GanttPeriod),"◇","")),IF(AND(FL$5&lt;=$F112,FL$5+GanttPeriod-1&gt;=$E112),"━","")))</f>
        <v/>
      </c>
      <c r="FM112" s="69" t="str">
        <f aca="false">IF($E112="","",IF($M112,IF(AND($G112&gt;=FM$5,$G112&lt;FM$5+GanttPeriod),"◆",IF(AND($E112&gt;=FM$5,$E112&lt;FM$5+GanttPeriod),"◇","")),IF(AND(FM$5&lt;=$F112,FM$5+GanttPeriod-1&gt;=$E112),"━","")))</f>
        <v/>
      </c>
    </row>
    <row r="113" customFormat="false" ht="15" hidden="false" customHeight="false" outlineLevel="0" collapsed="false">
      <c r="A113" s="62" t="str">
        <f aca="false">IF(Tasks!$D113="","",Tasks!$A113)</f>
        <v/>
      </c>
      <c r="B113" s="62" t="str">
        <f aca="false">IF(Tasks!$D113="","",Tasks!$B113)</f>
        <v/>
      </c>
      <c r="C113" s="63" t="str">
        <f aca="false">IF(Tasks!$D113="","",REPT("    ",Tasks!$AE113-1)&amp;Tasks!$D113)</f>
        <v/>
      </c>
      <c r="D113" s="62" t="str">
        <f aca="false">IF(Tasks!$D113="","",IF(Tasks!$AI113,NETWORKDAYS.INTL(Tasks!$R113,Tasks!$S113,WorkWeek,Holidays),N(Tasks!$F113)))</f>
        <v/>
      </c>
      <c r="E113" s="64" t="str">
        <f aca="false">IF(Tasks!$D113="","",Tasks!$N113)</f>
        <v/>
      </c>
      <c r="F113" s="64" t="str">
        <f aca="false">IF(Tasks!$D113="","",Tasks!$O113)</f>
        <v/>
      </c>
      <c r="G113" s="64" t="str">
        <f aca="false">IF(Tasks!$D113="","",Tasks!$R113)</f>
        <v/>
      </c>
      <c r="H113" s="64" t="str">
        <f aca="false">IF(Tasks!$D113="","",Tasks!$S113)</f>
        <v/>
      </c>
      <c r="I113" s="65" t="str">
        <f aca="false">IF(Tasks!$D113="","",Tasks!$V113)</f>
        <v/>
      </c>
      <c r="J113" s="63" t="str">
        <f aca="false">IF(Tasks!$D113="","",Tasks!$X113&amp;"")</f>
        <v/>
      </c>
      <c r="K113" s="66" t="str">
        <f aca="false">IF(Tasks!$D113="","",Tasks!$W113)</f>
        <v/>
      </c>
      <c r="L113" s="67" t="b">
        <f aca="false">IF(Tasks!$D113="",FALSE(),Tasks!$AI113)</f>
        <v>0</v>
      </c>
      <c r="M113" s="67" t="b">
        <f aca="false">AND(Tasks!$AJ113=1,N(Tasks!$F113)=0)</f>
        <v>0</v>
      </c>
      <c r="N113" s="68" t="n">
        <f aca="false">IF(AND(Tasks!$AJ113=1,NOT($M113),N($I113)&gt;0),$G113,0)</f>
        <v>0</v>
      </c>
      <c r="O113" s="68" t="n">
        <f aca="false">IF($N113=0,0,IF($I113&gt;=1,$H113,MAX($N113,$G113+ROUND(($H113-$G113+1)*$I113,0)-1)))</f>
        <v>0</v>
      </c>
      <c r="P113" s="68" t="n">
        <f aca="false">IF(OR(Tasks!$AJ113&lt;&gt;1,$M113,N($I113)&gt;=1),0,IF($O113&gt;0,$O113+1,$G113))</f>
        <v>0</v>
      </c>
      <c r="Q113" s="68" t="n">
        <f aca="false">IF($P113=0,0,$H113)</f>
        <v>0</v>
      </c>
      <c r="R113" s="67" t="b">
        <f aca="false">AND(Tasks!$D113&lt;&gt;"",N(Tasks!$T113)&gt;0)</f>
        <v>0</v>
      </c>
      <c r="T113" s="69" t="str">
        <f aca="false">IF($E113="","",IF($M113,IF(AND($G113&gt;=T$5,$G113&lt;T$5+GanttPeriod),"◆",IF(AND($E113&gt;=T$5,$E113&lt;T$5+GanttPeriod),"◇","")),IF(AND(T$5&lt;=$F113,T$5+GanttPeriod-1&gt;=$E113),"━","")))</f>
        <v/>
      </c>
      <c r="U113" s="69" t="str">
        <f aca="false">IF($E113="","",IF($M113,IF(AND($G113&gt;=U$5,$G113&lt;U$5+GanttPeriod),"◆",IF(AND($E113&gt;=U$5,$E113&lt;U$5+GanttPeriod),"◇","")),IF(AND(U$5&lt;=$F113,U$5+GanttPeriod-1&gt;=$E113),"━","")))</f>
        <v/>
      </c>
      <c r="V113" s="69" t="str">
        <f aca="false">IF($E113="","",IF($M113,IF(AND($G113&gt;=V$5,$G113&lt;V$5+GanttPeriod),"◆",IF(AND($E113&gt;=V$5,$E113&lt;V$5+GanttPeriod),"◇","")),IF(AND(V$5&lt;=$F113,V$5+GanttPeriod-1&gt;=$E113),"━","")))</f>
        <v/>
      </c>
      <c r="W113" s="69" t="str">
        <f aca="false">IF($E113="","",IF($M113,IF(AND($G113&gt;=W$5,$G113&lt;W$5+GanttPeriod),"◆",IF(AND($E113&gt;=W$5,$E113&lt;W$5+GanttPeriod),"◇","")),IF(AND(W$5&lt;=$F113,W$5+GanttPeriod-1&gt;=$E113),"━","")))</f>
        <v/>
      </c>
      <c r="X113" s="69" t="str">
        <f aca="false">IF($E113="","",IF($M113,IF(AND($G113&gt;=X$5,$G113&lt;X$5+GanttPeriod),"◆",IF(AND($E113&gt;=X$5,$E113&lt;X$5+GanttPeriod),"◇","")),IF(AND(X$5&lt;=$F113,X$5+GanttPeriod-1&gt;=$E113),"━","")))</f>
        <v/>
      </c>
      <c r="Y113" s="69" t="str">
        <f aca="false">IF($E113="","",IF($M113,IF(AND($G113&gt;=Y$5,$G113&lt;Y$5+GanttPeriod),"◆",IF(AND($E113&gt;=Y$5,$E113&lt;Y$5+GanttPeriod),"◇","")),IF(AND(Y$5&lt;=$F113,Y$5+GanttPeriod-1&gt;=$E113),"━","")))</f>
        <v/>
      </c>
      <c r="Z113" s="69" t="str">
        <f aca="false">IF($E113="","",IF($M113,IF(AND($G113&gt;=Z$5,$G113&lt;Z$5+GanttPeriod),"◆",IF(AND($E113&gt;=Z$5,$E113&lt;Z$5+GanttPeriod),"◇","")),IF(AND(Z$5&lt;=$F113,Z$5+GanttPeriod-1&gt;=$E113),"━","")))</f>
        <v/>
      </c>
      <c r="AA113" s="69" t="str">
        <f aca="false">IF($E113="","",IF($M113,IF(AND($G113&gt;=AA$5,$G113&lt;AA$5+GanttPeriod),"◆",IF(AND($E113&gt;=AA$5,$E113&lt;AA$5+GanttPeriod),"◇","")),IF(AND(AA$5&lt;=$F113,AA$5+GanttPeriod-1&gt;=$E113),"━","")))</f>
        <v/>
      </c>
      <c r="AB113" s="69" t="str">
        <f aca="false">IF($E113="","",IF($M113,IF(AND($G113&gt;=AB$5,$G113&lt;AB$5+GanttPeriod),"◆",IF(AND($E113&gt;=AB$5,$E113&lt;AB$5+GanttPeriod),"◇","")),IF(AND(AB$5&lt;=$F113,AB$5+GanttPeriod-1&gt;=$E113),"━","")))</f>
        <v/>
      </c>
      <c r="AC113" s="69" t="str">
        <f aca="false">IF($E113="","",IF($M113,IF(AND($G113&gt;=AC$5,$G113&lt;AC$5+GanttPeriod),"◆",IF(AND($E113&gt;=AC$5,$E113&lt;AC$5+GanttPeriod),"◇","")),IF(AND(AC$5&lt;=$F113,AC$5+GanttPeriod-1&gt;=$E113),"━","")))</f>
        <v/>
      </c>
      <c r="AD113" s="69" t="str">
        <f aca="false">IF($E113="","",IF($M113,IF(AND($G113&gt;=AD$5,$G113&lt;AD$5+GanttPeriod),"◆",IF(AND($E113&gt;=AD$5,$E113&lt;AD$5+GanttPeriod),"◇","")),IF(AND(AD$5&lt;=$F113,AD$5+GanttPeriod-1&gt;=$E113),"━","")))</f>
        <v/>
      </c>
      <c r="AE113" s="69" t="str">
        <f aca="false">IF($E113="","",IF($M113,IF(AND($G113&gt;=AE$5,$G113&lt;AE$5+GanttPeriod),"◆",IF(AND($E113&gt;=AE$5,$E113&lt;AE$5+GanttPeriod),"◇","")),IF(AND(AE$5&lt;=$F113,AE$5+GanttPeriod-1&gt;=$E113),"━","")))</f>
        <v/>
      </c>
      <c r="AF113" s="69" t="str">
        <f aca="false">IF($E113="","",IF($M113,IF(AND($G113&gt;=AF$5,$G113&lt;AF$5+GanttPeriod),"◆",IF(AND($E113&gt;=AF$5,$E113&lt;AF$5+GanttPeriod),"◇","")),IF(AND(AF$5&lt;=$F113,AF$5+GanttPeriod-1&gt;=$E113),"━","")))</f>
        <v/>
      </c>
      <c r="AG113" s="69" t="str">
        <f aca="false">IF($E113="","",IF($M113,IF(AND($G113&gt;=AG$5,$G113&lt;AG$5+GanttPeriod),"◆",IF(AND($E113&gt;=AG$5,$E113&lt;AG$5+GanttPeriod),"◇","")),IF(AND(AG$5&lt;=$F113,AG$5+GanttPeriod-1&gt;=$E113),"━","")))</f>
        <v/>
      </c>
      <c r="AH113" s="69" t="str">
        <f aca="false">IF($E113="","",IF($M113,IF(AND($G113&gt;=AH$5,$G113&lt;AH$5+GanttPeriod),"◆",IF(AND($E113&gt;=AH$5,$E113&lt;AH$5+GanttPeriod),"◇","")),IF(AND(AH$5&lt;=$F113,AH$5+GanttPeriod-1&gt;=$E113),"━","")))</f>
        <v/>
      </c>
      <c r="AI113" s="69" t="str">
        <f aca="false">IF($E113="","",IF($M113,IF(AND($G113&gt;=AI$5,$G113&lt;AI$5+GanttPeriod),"◆",IF(AND($E113&gt;=AI$5,$E113&lt;AI$5+GanttPeriod),"◇","")),IF(AND(AI$5&lt;=$F113,AI$5+GanttPeriod-1&gt;=$E113),"━","")))</f>
        <v/>
      </c>
      <c r="AJ113" s="69" t="str">
        <f aca="false">IF($E113="","",IF($M113,IF(AND($G113&gt;=AJ$5,$G113&lt;AJ$5+GanttPeriod),"◆",IF(AND($E113&gt;=AJ$5,$E113&lt;AJ$5+GanttPeriod),"◇","")),IF(AND(AJ$5&lt;=$F113,AJ$5+GanttPeriod-1&gt;=$E113),"━","")))</f>
        <v/>
      </c>
      <c r="AK113" s="69" t="str">
        <f aca="false">IF($E113="","",IF($M113,IF(AND($G113&gt;=AK$5,$G113&lt;AK$5+GanttPeriod),"◆",IF(AND($E113&gt;=AK$5,$E113&lt;AK$5+GanttPeriod),"◇","")),IF(AND(AK$5&lt;=$F113,AK$5+GanttPeriod-1&gt;=$E113),"━","")))</f>
        <v/>
      </c>
      <c r="AL113" s="69" t="str">
        <f aca="false">IF($E113="","",IF($M113,IF(AND($G113&gt;=AL$5,$G113&lt;AL$5+GanttPeriod),"◆",IF(AND($E113&gt;=AL$5,$E113&lt;AL$5+GanttPeriod),"◇","")),IF(AND(AL$5&lt;=$F113,AL$5+GanttPeriod-1&gt;=$E113),"━","")))</f>
        <v/>
      </c>
      <c r="AM113" s="69" t="str">
        <f aca="false">IF($E113="","",IF($M113,IF(AND($G113&gt;=AM$5,$G113&lt;AM$5+GanttPeriod),"◆",IF(AND($E113&gt;=AM$5,$E113&lt;AM$5+GanttPeriod),"◇","")),IF(AND(AM$5&lt;=$F113,AM$5+GanttPeriod-1&gt;=$E113),"━","")))</f>
        <v/>
      </c>
      <c r="AN113" s="69" t="str">
        <f aca="false">IF($E113="","",IF($M113,IF(AND($G113&gt;=AN$5,$G113&lt;AN$5+GanttPeriod),"◆",IF(AND($E113&gt;=AN$5,$E113&lt;AN$5+GanttPeriod),"◇","")),IF(AND(AN$5&lt;=$F113,AN$5+GanttPeriod-1&gt;=$E113),"━","")))</f>
        <v/>
      </c>
      <c r="AO113" s="69" t="str">
        <f aca="false">IF($E113="","",IF($M113,IF(AND($G113&gt;=AO$5,$G113&lt;AO$5+GanttPeriod),"◆",IF(AND($E113&gt;=AO$5,$E113&lt;AO$5+GanttPeriod),"◇","")),IF(AND(AO$5&lt;=$F113,AO$5+GanttPeriod-1&gt;=$E113),"━","")))</f>
        <v/>
      </c>
      <c r="AP113" s="69" t="str">
        <f aca="false">IF($E113="","",IF($M113,IF(AND($G113&gt;=AP$5,$G113&lt;AP$5+GanttPeriod),"◆",IF(AND($E113&gt;=AP$5,$E113&lt;AP$5+GanttPeriod),"◇","")),IF(AND(AP$5&lt;=$F113,AP$5+GanttPeriod-1&gt;=$E113),"━","")))</f>
        <v/>
      </c>
      <c r="AQ113" s="69" t="str">
        <f aca="false">IF($E113="","",IF($M113,IF(AND($G113&gt;=AQ$5,$G113&lt;AQ$5+GanttPeriod),"◆",IF(AND($E113&gt;=AQ$5,$E113&lt;AQ$5+GanttPeriod),"◇","")),IF(AND(AQ$5&lt;=$F113,AQ$5+GanttPeriod-1&gt;=$E113),"━","")))</f>
        <v/>
      </c>
      <c r="AR113" s="69" t="str">
        <f aca="false">IF($E113="","",IF($M113,IF(AND($G113&gt;=AR$5,$G113&lt;AR$5+GanttPeriod),"◆",IF(AND($E113&gt;=AR$5,$E113&lt;AR$5+GanttPeriod),"◇","")),IF(AND(AR$5&lt;=$F113,AR$5+GanttPeriod-1&gt;=$E113),"━","")))</f>
        <v/>
      </c>
      <c r="AS113" s="69" t="str">
        <f aca="false">IF($E113="","",IF($M113,IF(AND($G113&gt;=AS$5,$G113&lt;AS$5+GanttPeriod),"◆",IF(AND($E113&gt;=AS$5,$E113&lt;AS$5+GanttPeriod),"◇","")),IF(AND(AS$5&lt;=$F113,AS$5+GanttPeriod-1&gt;=$E113),"━","")))</f>
        <v/>
      </c>
      <c r="AT113" s="69" t="str">
        <f aca="false">IF($E113="","",IF($M113,IF(AND($G113&gt;=AT$5,$G113&lt;AT$5+GanttPeriod),"◆",IF(AND($E113&gt;=AT$5,$E113&lt;AT$5+GanttPeriod),"◇","")),IF(AND(AT$5&lt;=$F113,AT$5+GanttPeriod-1&gt;=$E113),"━","")))</f>
        <v/>
      </c>
      <c r="AU113" s="69" t="str">
        <f aca="false">IF($E113="","",IF($M113,IF(AND($G113&gt;=AU$5,$G113&lt;AU$5+GanttPeriod),"◆",IF(AND($E113&gt;=AU$5,$E113&lt;AU$5+GanttPeriod),"◇","")),IF(AND(AU$5&lt;=$F113,AU$5+GanttPeriod-1&gt;=$E113),"━","")))</f>
        <v/>
      </c>
      <c r="AV113" s="69" t="str">
        <f aca="false">IF($E113="","",IF($M113,IF(AND($G113&gt;=AV$5,$G113&lt;AV$5+GanttPeriod),"◆",IF(AND($E113&gt;=AV$5,$E113&lt;AV$5+GanttPeriod),"◇","")),IF(AND(AV$5&lt;=$F113,AV$5+GanttPeriod-1&gt;=$E113),"━","")))</f>
        <v/>
      </c>
      <c r="AW113" s="69" t="str">
        <f aca="false">IF($E113="","",IF($M113,IF(AND($G113&gt;=AW$5,$G113&lt;AW$5+GanttPeriod),"◆",IF(AND($E113&gt;=AW$5,$E113&lt;AW$5+GanttPeriod),"◇","")),IF(AND(AW$5&lt;=$F113,AW$5+GanttPeriod-1&gt;=$E113),"━","")))</f>
        <v/>
      </c>
      <c r="AX113" s="69" t="str">
        <f aca="false">IF($E113="","",IF($M113,IF(AND($G113&gt;=AX$5,$G113&lt;AX$5+GanttPeriod),"◆",IF(AND($E113&gt;=AX$5,$E113&lt;AX$5+GanttPeriod),"◇","")),IF(AND(AX$5&lt;=$F113,AX$5+GanttPeriod-1&gt;=$E113),"━","")))</f>
        <v/>
      </c>
      <c r="AY113" s="69" t="str">
        <f aca="false">IF($E113="","",IF($M113,IF(AND($G113&gt;=AY$5,$G113&lt;AY$5+GanttPeriod),"◆",IF(AND($E113&gt;=AY$5,$E113&lt;AY$5+GanttPeriod),"◇","")),IF(AND(AY$5&lt;=$F113,AY$5+GanttPeriod-1&gt;=$E113),"━","")))</f>
        <v/>
      </c>
      <c r="AZ113" s="69" t="str">
        <f aca="false">IF($E113="","",IF($M113,IF(AND($G113&gt;=AZ$5,$G113&lt;AZ$5+GanttPeriod),"◆",IF(AND($E113&gt;=AZ$5,$E113&lt;AZ$5+GanttPeriod),"◇","")),IF(AND(AZ$5&lt;=$F113,AZ$5+GanttPeriod-1&gt;=$E113),"━","")))</f>
        <v/>
      </c>
      <c r="BA113" s="69" t="str">
        <f aca="false">IF($E113="","",IF($M113,IF(AND($G113&gt;=BA$5,$G113&lt;BA$5+GanttPeriod),"◆",IF(AND($E113&gt;=BA$5,$E113&lt;BA$5+GanttPeriod),"◇","")),IF(AND(BA$5&lt;=$F113,BA$5+GanttPeriod-1&gt;=$E113),"━","")))</f>
        <v/>
      </c>
      <c r="BB113" s="69" t="str">
        <f aca="false">IF($E113="","",IF($M113,IF(AND($G113&gt;=BB$5,$G113&lt;BB$5+GanttPeriod),"◆",IF(AND($E113&gt;=BB$5,$E113&lt;BB$5+GanttPeriod),"◇","")),IF(AND(BB$5&lt;=$F113,BB$5+GanttPeriod-1&gt;=$E113),"━","")))</f>
        <v/>
      </c>
      <c r="BC113" s="69" t="str">
        <f aca="false">IF($E113="","",IF($M113,IF(AND($G113&gt;=BC$5,$G113&lt;BC$5+GanttPeriod),"◆",IF(AND($E113&gt;=BC$5,$E113&lt;BC$5+GanttPeriod),"◇","")),IF(AND(BC$5&lt;=$F113,BC$5+GanttPeriod-1&gt;=$E113),"━","")))</f>
        <v/>
      </c>
      <c r="BD113" s="69" t="str">
        <f aca="false">IF($E113="","",IF($M113,IF(AND($G113&gt;=BD$5,$G113&lt;BD$5+GanttPeriod),"◆",IF(AND($E113&gt;=BD$5,$E113&lt;BD$5+GanttPeriod),"◇","")),IF(AND(BD$5&lt;=$F113,BD$5+GanttPeriod-1&gt;=$E113),"━","")))</f>
        <v/>
      </c>
      <c r="BE113" s="69" t="str">
        <f aca="false">IF($E113="","",IF($M113,IF(AND($G113&gt;=BE$5,$G113&lt;BE$5+GanttPeriod),"◆",IF(AND($E113&gt;=BE$5,$E113&lt;BE$5+GanttPeriod),"◇","")),IF(AND(BE$5&lt;=$F113,BE$5+GanttPeriod-1&gt;=$E113),"━","")))</f>
        <v/>
      </c>
      <c r="BF113" s="69" t="str">
        <f aca="false">IF($E113="","",IF($M113,IF(AND($G113&gt;=BF$5,$G113&lt;BF$5+GanttPeriod),"◆",IF(AND($E113&gt;=BF$5,$E113&lt;BF$5+GanttPeriod),"◇","")),IF(AND(BF$5&lt;=$F113,BF$5+GanttPeriod-1&gt;=$E113),"━","")))</f>
        <v/>
      </c>
      <c r="BG113" s="69" t="str">
        <f aca="false">IF($E113="","",IF($M113,IF(AND($G113&gt;=BG$5,$G113&lt;BG$5+GanttPeriod),"◆",IF(AND($E113&gt;=BG$5,$E113&lt;BG$5+GanttPeriod),"◇","")),IF(AND(BG$5&lt;=$F113,BG$5+GanttPeriod-1&gt;=$E113),"━","")))</f>
        <v/>
      </c>
      <c r="BH113" s="69" t="str">
        <f aca="false">IF($E113="","",IF($M113,IF(AND($G113&gt;=BH$5,$G113&lt;BH$5+GanttPeriod),"◆",IF(AND($E113&gt;=BH$5,$E113&lt;BH$5+GanttPeriod),"◇","")),IF(AND(BH$5&lt;=$F113,BH$5+GanttPeriod-1&gt;=$E113),"━","")))</f>
        <v/>
      </c>
      <c r="BI113" s="69" t="str">
        <f aca="false">IF($E113="","",IF($M113,IF(AND($G113&gt;=BI$5,$G113&lt;BI$5+GanttPeriod),"◆",IF(AND($E113&gt;=BI$5,$E113&lt;BI$5+GanttPeriod),"◇","")),IF(AND(BI$5&lt;=$F113,BI$5+GanttPeriod-1&gt;=$E113),"━","")))</f>
        <v/>
      </c>
      <c r="BJ113" s="69" t="str">
        <f aca="false">IF($E113="","",IF($M113,IF(AND($G113&gt;=BJ$5,$G113&lt;BJ$5+GanttPeriod),"◆",IF(AND($E113&gt;=BJ$5,$E113&lt;BJ$5+GanttPeriod),"◇","")),IF(AND(BJ$5&lt;=$F113,BJ$5+GanttPeriod-1&gt;=$E113),"━","")))</f>
        <v/>
      </c>
      <c r="BK113" s="69" t="str">
        <f aca="false">IF($E113="","",IF($M113,IF(AND($G113&gt;=BK$5,$G113&lt;BK$5+GanttPeriod),"◆",IF(AND($E113&gt;=BK$5,$E113&lt;BK$5+GanttPeriod),"◇","")),IF(AND(BK$5&lt;=$F113,BK$5+GanttPeriod-1&gt;=$E113),"━","")))</f>
        <v/>
      </c>
      <c r="BL113" s="69" t="str">
        <f aca="false">IF($E113="","",IF($M113,IF(AND($G113&gt;=BL$5,$G113&lt;BL$5+GanttPeriod),"◆",IF(AND($E113&gt;=BL$5,$E113&lt;BL$5+GanttPeriod),"◇","")),IF(AND(BL$5&lt;=$F113,BL$5+GanttPeriod-1&gt;=$E113),"━","")))</f>
        <v/>
      </c>
      <c r="BM113" s="69" t="str">
        <f aca="false">IF($E113="","",IF($M113,IF(AND($G113&gt;=BM$5,$G113&lt;BM$5+GanttPeriod),"◆",IF(AND($E113&gt;=BM$5,$E113&lt;BM$5+GanttPeriod),"◇","")),IF(AND(BM$5&lt;=$F113,BM$5+GanttPeriod-1&gt;=$E113),"━","")))</f>
        <v/>
      </c>
      <c r="BN113" s="69" t="str">
        <f aca="false">IF($E113="","",IF($M113,IF(AND($G113&gt;=BN$5,$G113&lt;BN$5+GanttPeriod),"◆",IF(AND($E113&gt;=BN$5,$E113&lt;BN$5+GanttPeriod),"◇","")),IF(AND(BN$5&lt;=$F113,BN$5+GanttPeriod-1&gt;=$E113),"━","")))</f>
        <v/>
      </c>
      <c r="BO113" s="69" t="str">
        <f aca="false">IF($E113="","",IF($M113,IF(AND($G113&gt;=BO$5,$G113&lt;BO$5+GanttPeriod),"◆",IF(AND($E113&gt;=BO$5,$E113&lt;BO$5+GanttPeriod),"◇","")),IF(AND(BO$5&lt;=$F113,BO$5+GanttPeriod-1&gt;=$E113),"━","")))</f>
        <v/>
      </c>
      <c r="BP113" s="69" t="str">
        <f aca="false">IF($E113="","",IF($M113,IF(AND($G113&gt;=BP$5,$G113&lt;BP$5+GanttPeriod),"◆",IF(AND($E113&gt;=BP$5,$E113&lt;BP$5+GanttPeriod),"◇","")),IF(AND(BP$5&lt;=$F113,BP$5+GanttPeriod-1&gt;=$E113),"━","")))</f>
        <v/>
      </c>
      <c r="BQ113" s="69" t="str">
        <f aca="false">IF($E113="","",IF($M113,IF(AND($G113&gt;=BQ$5,$G113&lt;BQ$5+GanttPeriod),"◆",IF(AND($E113&gt;=BQ$5,$E113&lt;BQ$5+GanttPeriod),"◇","")),IF(AND(BQ$5&lt;=$F113,BQ$5+GanttPeriod-1&gt;=$E113),"━","")))</f>
        <v/>
      </c>
      <c r="BR113" s="69" t="str">
        <f aca="false">IF($E113="","",IF($M113,IF(AND($G113&gt;=BR$5,$G113&lt;BR$5+GanttPeriod),"◆",IF(AND($E113&gt;=BR$5,$E113&lt;BR$5+GanttPeriod),"◇","")),IF(AND(BR$5&lt;=$F113,BR$5+GanttPeriod-1&gt;=$E113),"━","")))</f>
        <v/>
      </c>
      <c r="BS113" s="69" t="str">
        <f aca="false">IF($E113="","",IF($M113,IF(AND($G113&gt;=BS$5,$G113&lt;BS$5+GanttPeriod),"◆",IF(AND($E113&gt;=BS$5,$E113&lt;BS$5+GanttPeriod),"◇","")),IF(AND(BS$5&lt;=$F113,BS$5+GanttPeriod-1&gt;=$E113),"━","")))</f>
        <v/>
      </c>
      <c r="BT113" s="69" t="str">
        <f aca="false">IF($E113="","",IF($M113,IF(AND($G113&gt;=BT$5,$G113&lt;BT$5+GanttPeriod),"◆",IF(AND($E113&gt;=BT$5,$E113&lt;BT$5+GanttPeriod),"◇","")),IF(AND(BT$5&lt;=$F113,BT$5+GanttPeriod-1&gt;=$E113),"━","")))</f>
        <v/>
      </c>
      <c r="BU113" s="69" t="str">
        <f aca="false">IF($E113="","",IF($M113,IF(AND($G113&gt;=BU$5,$G113&lt;BU$5+GanttPeriod),"◆",IF(AND($E113&gt;=BU$5,$E113&lt;BU$5+GanttPeriod),"◇","")),IF(AND(BU$5&lt;=$F113,BU$5+GanttPeriod-1&gt;=$E113),"━","")))</f>
        <v/>
      </c>
      <c r="BV113" s="69" t="str">
        <f aca="false">IF($E113="","",IF($M113,IF(AND($G113&gt;=BV$5,$G113&lt;BV$5+GanttPeriod),"◆",IF(AND($E113&gt;=BV$5,$E113&lt;BV$5+GanttPeriod),"◇","")),IF(AND(BV$5&lt;=$F113,BV$5+GanttPeriod-1&gt;=$E113),"━","")))</f>
        <v/>
      </c>
      <c r="BW113" s="69" t="str">
        <f aca="false">IF($E113="","",IF($M113,IF(AND($G113&gt;=BW$5,$G113&lt;BW$5+GanttPeriod),"◆",IF(AND($E113&gt;=BW$5,$E113&lt;BW$5+GanttPeriod),"◇","")),IF(AND(BW$5&lt;=$F113,BW$5+GanttPeriod-1&gt;=$E113),"━","")))</f>
        <v/>
      </c>
      <c r="BX113" s="69" t="str">
        <f aca="false">IF($E113="","",IF($M113,IF(AND($G113&gt;=BX$5,$G113&lt;BX$5+GanttPeriod),"◆",IF(AND($E113&gt;=BX$5,$E113&lt;BX$5+GanttPeriod),"◇","")),IF(AND(BX$5&lt;=$F113,BX$5+GanttPeriod-1&gt;=$E113),"━","")))</f>
        <v/>
      </c>
      <c r="BY113" s="69" t="str">
        <f aca="false">IF($E113="","",IF($M113,IF(AND($G113&gt;=BY$5,$G113&lt;BY$5+GanttPeriod),"◆",IF(AND($E113&gt;=BY$5,$E113&lt;BY$5+GanttPeriod),"◇","")),IF(AND(BY$5&lt;=$F113,BY$5+GanttPeriod-1&gt;=$E113),"━","")))</f>
        <v/>
      </c>
      <c r="BZ113" s="69" t="str">
        <f aca="false">IF($E113="","",IF($M113,IF(AND($G113&gt;=BZ$5,$G113&lt;BZ$5+GanttPeriod),"◆",IF(AND($E113&gt;=BZ$5,$E113&lt;BZ$5+GanttPeriod),"◇","")),IF(AND(BZ$5&lt;=$F113,BZ$5+GanttPeriod-1&gt;=$E113),"━","")))</f>
        <v/>
      </c>
      <c r="CA113" s="69" t="str">
        <f aca="false">IF($E113="","",IF($M113,IF(AND($G113&gt;=CA$5,$G113&lt;CA$5+GanttPeriod),"◆",IF(AND($E113&gt;=CA$5,$E113&lt;CA$5+GanttPeriod),"◇","")),IF(AND(CA$5&lt;=$F113,CA$5+GanttPeriod-1&gt;=$E113),"━","")))</f>
        <v/>
      </c>
      <c r="CB113" s="69" t="str">
        <f aca="false">IF($E113="","",IF($M113,IF(AND($G113&gt;=CB$5,$G113&lt;CB$5+GanttPeriod),"◆",IF(AND($E113&gt;=CB$5,$E113&lt;CB$5+GanttPeriod),"◇","")),IF(AND(CB$5&lt;=$F113,CB$5+GanttPeriod-1&gt;=$E113),"━","")))</f>
        <v/>
      </c>
      <c r="CC113" s="69" t="str">
        <f aca="false">IF($E113="","",IF($M113,IF(AND($G113&gt;=CC$5,$G113&lt;CC$5+GanttPeriod),"◆",IF(AND($E113&gt;=CC$5,$E113&lt;CC$5+GanttPeriod),"◇","")),IF(AND(CC$5&lt;=$F113,CC$5+GanttPeriod-1&gt;=$E113),"━","")))</f>
        <v/>
      </c>
      <c r="CD113" s="69" t="str">
        <f aca="false">IF($E113="","",IF($M113,IF(AND($G113&gt;=CD$5,$G113&lt;CD$5+GanttPeriod),"◆",IF(AND($E113&gt;=CD$5,$E113&lt;CD$5+GanttPeriod),"◇","")),IF(AND(CD$5&lt;=$F113,CD$5+GanttPeriod-1&gt;=$E113),"━","")))</f>
        <v/>
      </c>
      <c r="CE113" s="69" t="str">
        <f aca="false">IF($E113="","",IF($M113,IF(AND($G113&gt;=CE$5,$G113&lt;CE$5+GanttPeriod),"◆",IF(AND($E113&gt;=CE$5,$E113&lt;CE$5+GanttPeriod),"◇","")),IF(AND(CE$5&lt;=$F113,CE$5+GanttPeriod-1&gt;=$E113),"━","")))</f>
        <v/>
      </c>
      <c r="CF113" s="69" t="str">
        <f aca="false">IF($E113="","",IF($M113,IF(AND($G113&gt;=CF$5,$G113&lt;CF$5+GanttPeriod),"◆",IF(AND($E113&gt;=CF$5,$E113&lt;CF$5+GanttPeriod),"◇","")),IF(AND(CF$5&lt;=$F113,CF$5+GanttPeriod-1&gt;=$E113),"━","")))</f>
        <v/>
      </c>
      <c r="CG113" s="69" t="str">
        <f aca="false">IF($E113="","",IF($M113,IF(AND($G113&gt;=CG$5,$G113&lt;CG$5+GanttPeriod),"◆",IF(AND($E113&gt;=CG$5,$E113&lt;CG$5+GanttPeriod),"◇","")),IF(AND(CG$5&lt;=$F113,CG$5+GanttPeriod-1&gt;=$E113),"━","")))</f>
        <v/>
      </c>
      <c r="CH113" s="69" t="str">
        <f aca="false">IF($E113="","",IF($M113,IF(AND($G113&gt;=CH$5,$G113&lt;CH$5+GanttPeriod),"◆",IF(AND($E113&gt;=CH$5,$E113&lt;CH$5+GanttPeriod),"◇","")),IF(AND(CH$5&lt;=$F113,CH$5+GanttPeriod-1&gt;=$E113),"━","")))</f>
        <v/>
      </c>
      <c r="CI113" s="69" t="str">
        <f aca="false">IF($E113="","",IF($M113,IF(AND($G113&gt;=CI$5,$G113&lt;CI$5+GanttPeriod),"◆",IF(AND($E113&gt;=CI$5,$E113&lt;CI$5+GanttPeriod),"◇","")),IF(AND(CI$5&lt;=$F113,CI$5+GanttPeriod-1&gt;=$E113),"━","")))</f>
        <v/>
      </c>
      <c r="CJ113" s="69" t="str">
        <f aca="false">IF($E113="","",IF($M113,IF(AND($G113&gt;=CJ$5,$G113&lt;CJ$5+GanttPeriod),"◆",IF(AND($E113&gt;=CJ$5,$E113&lt;CJ$5+GanttPeriod),"◇","")),IF(AND(CJ$5&lt;=$F113,CJ$5+GanttPeriod-1&gt;=$E113),"━","")))</f>
        <v/>
      </c>
      <c r="CK113" s="69" t="str">
        <f aca="false">IF($E113="","",IF($M113,IF(AND($G113&gt;=CK$5,$G113&lt;CK$5+GanttPeriod),"◆",IF(AND($E113&gt;=CK$5,$E113&lt;CK$5+GanttPeriod),"◇","")),IF(AND(CK$5&lt;=$F113,CK$5+GanttPeriod-1&gt;=$E113),"━","")))</f>
        <v/>
      </c>
      <c r="CL113" s="69" t="str">
        <f aca="false">IF($E113="","",IF($M113,IF(AND($G113&gt;=CL$5,$G113&lt;CL$5+GanttPeriod),"◆",IF(AND($E113&gt;=CL$5,$E113&lt;CL$5+GanttPeriod),"◇","")),IF(AND(CL$5&lt;=$F113,CL$5+GanttPeriod-1&gt;=$E113),"━","")))</f>
        <v/>
      </c>
      <c r="CM113" s="69" t="str">
        <f aca="false">IF($E113="","",IF($M113,IF(AND($G113&gt;=CM$5,$G113&lt;CM$5+GanttPeriod),"◆",IF(AND($E113&gt;=CM$5,$E113&lt;CM$5+GanttPeriod),"◇","")),IF(AND(CM$5&lt;=$F113,CM$5+GanttPeriod-1&gt;=$E113),"━","")))</f>
        <v/>
      </c>
      <c r="CN113" s="69" t="str">
        <f aca="false">IF($E113="","",IF($M113,IF(AND($G113&gt;=CN$5,$G113&lt;CN$5+GanttPeriod),"◆",IF(AND($E113&gt;=CN$5,$E113&lt;CN$5+GanttPeriod),"◇","")),IF(AND(CN$5&lt;=$F113,CN$5+GanttPeriod-1&gt;=$E113),"━","")))</f>
        <v/>
      </c>
      <c r="CO113" s="69" t="str">
        <f aca="false">IF($E113="","",IF($M113,IF(AND($G113&gt;=CO$5,$G113&lt;CO$5+GanttPeriod),"◆",IF(AND($E113&gt;=CO$5,$E113&lt;CO$5+GanttPeriod),"◇","")),IF(AND(CO$5&lt;=$F113,CO$5+GanttPeriod-1&gt;=$E113),"━","")))</f>
        <v/>
      </c>
      <c r="CP113" s="69" t="str">
        <f aca="false">IF($E113="","",IF($M113,IF(AND($G113&gt;=CP$5,$G113&lt;CP$5+GanttPeriod),"◆",IF(AND($E113&gt;=CP$5,$E113&lt;CP$5+GanttPeriod),"◇","")),IF(AND(CP$5&lt;=$F113,CP$5+GanttPeriod-1&gt;=$E113),"━","")))</f>
        <v/>
      </c>
      <c r="CQ113" s="69" t="str">
        <f aca="false">IF($E113="","",IF($M113,IF(AND($G113&gt;=CQ$5,$G113&lt;CQ$5+GanttPeriod),"◆",IF(AND($E113&gt;=CQ$5,$E113&lt;CQ$5+GanttPeriod),"◇","")),IF(AND(CQ$5&lt;=$F113,CQ$5+GanttPeriod-1&gt;=$E113),"━","")))</f>
        <v/>
      </c>
      <c r="CR113" s="69" t="str">
        <f aca="false">IF($E113="","",IF($M113,IF(AND($G113&gt;=CR$5,$G113&lt;CR$5+GanttPeriod),"◆",IF(AND($E113&gt;=CR$5,$E113&lt;CR$5+GanttPeriod),"◇","")),IF(AND(CR$5&lt;=$F113,CR$5+GanttPeriod-1&gt;=$E113),"━","")))</f>
        <v/>
      </c>
      <c r="CS113" s="69" t="str">
        <f aca="false">IF($E113="","",IF($M113,IF(AND($G113&gt;=CS$5,$G113&lt;CS$5+GanttPeriod),"◆",IF(AND($E113&gt;=CS$5,$E113&lt;CS$5+GanttPeriod),"◇","")),IF(AND(CS$5&lt;=$F113,CS$5+GanttPeriod-1&gt;=$E113),"━","")))</f>
        <v/>
      </c>
      <c r="CT113" s="69" t="str">
        <f aca="false">IF($E113="","",IF($M113,IF(AND($G113&gt;=CT$5,$G113&lt;CT$5+GanttPeriod),"◆",IF(AND($E113&gt;=CT$5,$E113&lt;CT$5+GanttPeriod),"◇","")),IF(AND(CT$5&lt;=$F113,CT$5+GanttPeriod-1&gt;=$E113),"━","")))</f>
        <v/>
      </c>
      <c r="CU113" s="69" t="str">
        <f aca="false">IF($E113="","",IF($M113,IF(AND($G113&gt;=CU$5,$G113&lt;CU$5+GanttPeriod),"◆",IF(AND($E113&gt;=CU$5,$E113&lt;CU$5+GanttPeriod),"◇","")),IF(AND(CU$5&lt;=$F113,CU$5+GanttPeriod-1&gt;=$E113),"━","")))</f>
        <v/>
      </c>
      <c r="CV113" s="69" t="str">
        <f aca="false">IF($E113="","",IF($M113,IF(AND($G113&gt;=CV$5,$G113&lt;CV$5+GanttPeriod),"◆",IF(AND($E113&gt;=CV$5,$E113&lt;CV$5+GanttPeriod),"◇","")),IF(AND(CV$5&lt;=$F113,CV$5+GanttPeriod-1&gt;=$E113),"━","")))</f>
        <v/>
      </c>
      <c r="CW113" s="69" t="str">
        <f aca="false">IF($E113="","",IF($M113,IF(AND($G113&gt;=CW$5,$G113&lt;CW$5+GanttPeriod),"◆",IF(AND($E113&gt;=CW$5,$E113&lt;CW$5+GanttPeriod),"◇","")),IF(AND(CW$5&lt;=$F113,CW$5+GanttPeriod-1&gt;=$E113),"━","")))</f>
        <v/>
      </c>
      <c r="CX113" s="69" t="str">
        <f aca="false">IF($E113="","",IF($M113,IF(AND($G113&gt;=CX$5,$G113&lt;CX$5+GanttPeriod),"◆",IF(AND($E113&gt;=CX$5,$E113&lt;CX$5+GanttPeriod),"◇","")),IF(AND(CX$5&lt;=$F113,CX$5+GanttPeriod-1&gt;=$E113),"━","")))</f>
        <v/>
      </c>
      <c r="CY113" s="69" t="str">
        <f aca="false">IF($E113="","",IF($M113,IF(AND($G113&gt;=CY$5,$G113&lt;CY$5+GanttPeriod),"◆",IF(AND($E113&gt;=CY$5,$E113&lt;CY$5+GanttPeriod),"◇","")),IF(AND(CY$5&lt;=$F113,CY$5+GanttPeriod-1&gt;=$E113),"━","")))</f>
        <v/>
      </c>
      <c r="CZ113" s="69" t="str">
        <f aca="false">IF($E113="","",IF($M113,IF(AND($G113&gt;=CZ$5,$G113&lt;CZ$5+GanttPeriod),"◆",IF(AND($E113&gt;=CZ$5,$E113&lt;CZ$5+GanttPeriod),"◇","")),IF(AND(CZ$5&lt;=$F113,CZ$5+GanttPeriod-1&gt;=$E113),"━","")))</f>
        <v/>
      </c>
      <c r="DA113" s="69" t="str">
        <f aca="false">IF($E113="","",IF($M113,IF(AND($G113&gt;=DA$5,$G113&lt;DA$5+GanttPeriod),"◆",IF(AND($E113&gt;=DA$5,$E113&lt;DA$5+GanttPeriod),"◇","")),IF(AND(DA$5&lt;=$F113,DA$5+GanttPeriod-1&gt;=$E113),"━","")))</f>
        <v/>
      </c>
      <c r="DB113" s="69" t="str">
        <f aca="false">IF($E113="","",IF($M113,IF(AND($G113&gt;=DB$5,$G113&lt;DB$5+GanttPeriod),"◆",IF(AND($E113&gt;=DB$5,$E113&lt;DB$5+GanttPeriod),"◇","")),IF(AND(DB$5&lt;=$F113,DB$5+GanttPeriod-1&gt;=$E113),"━","")))</f>
        <v/>
      </c>
      <c r="DC113" s="69" t="str">
        <f aca="false">IF($E113="","",IF($M113,IF(AND($G113&gt;=DC$5,$G113&lt;DC$5+GanttPeriod),"◆",IF(AND($E113&gt;=DC$5,$E113&lt;DC$5+GanttPeriod),"◇","")),IF(AND(DC$5&lt;=$F113,DC$5+GanttPeriod-1&gt;=$E113),"━","")))</f>
        <v/>
      </c>
      <c r="DD113" s="69" t="str">
        <f aca="false">IF($E113="","",IF($M113,IF(AND($G113&gt;=DD$5,$G113&lt;DD$5+GanttPeriod),"◆",IF(AND($E113&gt;=DD$5,$E113&lt;DD$5+GanttPeriod),"◇","")),IF(AND(DD$5&lt;=$F113,DD$5+GanttPeriod-1&gt;=$E113),"━","")))</f>
        <v/>
      </c>
      <c r="DE113" s="69" t="str">
        <f aca="false">IF($E113="","",IF($M113,IF(AND($G113&gt;=DE$5,$G113&lt;DE$5+GanttPeriod),"◆",IF(AND($E113&gt;=DE$5,$E113&lt;DE$5+GanttPeriod),"◇","")),IF(AND(DE$5&lt;=$F113,DE$5+GanttPeriod-1&gt;=$E113),"━","")))</f>
        <v/>
      </c>
      <c r="DF113" s="69" t="str">
        <f aca="false">IF($E113="","",IF($M113,IF(AND($G113&gt;=DF$5,$G113&lt;DF$5+GanttPeriod),"◆",IF(AND($E113&gt;=DF$5,$E113&lt;DF$5+GanttPeriod),"◇","")),IF(AND(DF$5&lt;=$F113,DF$5+GanttPeriod-1&gt;=$E113),"━","")))</f>
        <v/>
      </c>
      <c r="DG113" s="69" t="str">
        <f aca="false">IF($E113="","",IF($M113,IF(AND($G113&gt;=DG$5,$G113&lt;DG$5+GanttPeriod),"◆",IF(AND($E113&gt;=DG$5,$E113&lt;DG$5+GanttPeriod),"◇","")),IF(AND(DG$5&lt;=$F113,DG$5+GanttPeriod-1&gt;=$E113),"━","")))</f>
        <v/>
      </c>
      <c r="DH113" s="69" t="str">
        <f aca="false">IF($E113="","",IF($M113,IF(AND($G113&gt;=DH$5,$G113&lt;DH$5+GanttPeriod),"◆",IF(AND($E113&gt;=DH$5,$E113&lt;DH$5+GanttPeriod),"◇","")),IF(AND(DH$5&lt;=$F113,DH$5+GanttPeriod-1&gt;=$E113),"━","")))</f>
        <v/>
      </c>
      <c r="DI113" s="69" t="str">
        <f aca="false">IF($E113="","",IF($M113,IF(AND($G113&gt;=DI$5,$G113&lt;DI$5+GanttPeriod),"◆",IF(AND($E113&gt;=DI$5,$E113&lt;DI$5+GanttPeriod),"◇","")),IF(AND(DI$5&lt;=$F113,DI$5+GanttPeriod-1&gt;=$E113),"━","")))</f>
        <v/>
      </c>
      <c r="DJ113" s="69" t="str">
        <f aca="false">IF($E113="","",IF($M113,IF(AND($G113&gt;=DJ$5,$G113&lt;DJ$5+GanttPeriod),"◆",IF(AND($E113&gt;=DJ$5,$E113&lt;DJ$5+GanttPeriod),"◇","")),IF(AND(DJ$5&lt;=$F113,DJ$5+GanttPeriod-1&gt;=$E113),"━","")))</f>
        <v/>
      </c>
      <c r="DK113" s="69" t="str">
        <f aca="false">IF($E113="","",IF($M113,IF(AND($G113&gt;=DK$5,$G113&lt;DK$5+GanttPeriod),"◆",IF(AND($E113&gt;=DK$5,$E113&lt;DK$5+GanttPeriod),"◇","")),IF(AND(DK$5&lt;=$F113,DK$5+GanttPeriod-1&gt;=$E113),"━","")))</f>
        <v/>
      </c>
      <c r="DL113" s="69" t="str">
        <f aca="false">IF($E113="","",IF($M113,IF(AND($G113&gt;=DL$5,$G113&lt;DL$5+GanttPeriod),"◆",IF(AND($E113&gt;=DL$5,$E113&lt;DL$5+GanttPeriod),"◇","")),IF(AND(DL$5&lt;=$F113,DL$5+GanttPeriod-1&gt;=$E113),"━","")))</f>
        <v/>
      </c>
      <c r="DM113" s="69" t="str">
        <f aca="false">IF($E113="","",IF($M113,IF(AND($G113&gt;=DM$5,$G113&lt;DM$5+GanttPeriod),"◆",IF(AND($E113&gt;=DM$5,$E113&lt;DM$5+GanttPeriod),"◇","")),IF(AND(DM$5&lt;=$F113,DM$5+GanttPeriod-1&gt;=$E113),"━","")))</f>
        <v/>
      </c>
      <c r="DN113" s="69" t="str">
        <f aca="false">IF($E113="","",IF($M113,IF(AND($G113&gt;=DN$5,$G113&lt;DN$5+GanttPeriod),"◆",IF(AND($E113&gt;=DN$5,$E113&lt;DN$5+GanttPeriod),"◇","")),IF(AND(DN$5&lt;=$F113,DN$5+GanttPeriod-1&gt;=$E113),"━","")))</f>
        <v/>
      </c>
      <c r="DO113" s="69" t="str">
        <f aca="false">IF($E113="","",IF($M113,IF(AND($G113&gt;=DO$5,$G113&lt;DO$5+GanttPeriod),"◆",IF(AND($E113&gt;=DO$5,$E113&lt;DO$5+GanttPeriod),"◇","")),IF(AND(DO$5&lt;=$F113,DO$5+GanttPeriod-1&gt;=$E113),"━","")))</f>
        <v/>
      </c>
      <c r="DP113" s="69" t="str">
        <f aca="false">IF($E113="","",IF($M113,IF(AND($G113&gt;=DP$5,$G113&lt;DP$5+GanttPeriod),"◆",IF(AND($E113&gt;=DP$5,$E113&lt;DP$5+GanttPeriod),"◇","")),IF(AND(DP$5&lt;=$F113,DP$5+GanttPeriod-1&gt;=$E113),"━","")))</f>
        <v/>
      </c>
      <c r="DQ113" s="69" t="str">
        <f aca="false">IF($E113="","",IF($M113,IF(AND($G113&gt;=DQ$5,$G113&lt;DQ$5+GanttPeriod),"◆",IF(AND($E113&gt;=DQ$5,$E113&lt;DQ$5+GanttPeriod),"◇","")),IF(AND(DQ$5&lt;=$F113,DQ$5+GanttPeriod-1&gt;=$E113),"━","")))</f>
        <v/>
      </c>
      <c r="DR113" s="69" t="str">
        <f aca="false">IF($E113="","",IF($M113,IF(AND($G113&gt;=DR$5,$G113&lt;DR$5+GanttPeriod),"◆",IF(AND($E113&gt;=DR$5,$E113&lt;DR$5+GanttPeriod),"◇","")),IF(AND(DR$5&lt;=$F113,DR$5+GanttPeriod-1&gt;=$E113),"━","")))</f>
        <v/>
      </c>
      <c r="DS113" s="69" t="str">
        <f aca="false">IF($E113="","",IF($M113,IF(AND($G113&gt;=DS$5,$G113&lt;DS$5+GanttPeriod),"◆",IF(AND($E113&gt;=DS$5,$E113&lt;DS$5+GanttPeriod),"◇","")),IF(AND(DS$5&lt;=$F113,DS$5+GanttPeriod-1&gt;=$E113),"━","")))</f>
        <v/>
      </c>
      <c r="DT113" s="69" t="str">
        <f aca="false">IF($E113="","",IF($M113,IF(AND($G113&gt;=DT$5,$G113&lt;DT$5+GanttPeriod),"◆",IF(AND($E113&gt;=DT$5,$E113&lt;DT$5+GanttPeriod),"◇","")),IF(AND(DT$5&lt;=$F113,DT$5+GanttPeriod-1&gt;=$E113),"━","")))</f>
        <v/>
      </c>
      <c r="DU113" s="69" t="str">
        <f aca="false">IF($E113="","",IF($M113,IF(AND($G113&gt;=DU$5,$G113&lt;DU$5+GanttPeriod),"◆",IF(AND($E113&gt;=DU$5,$E113&lt;DU$5+GanttPeriod),"◇","")),IF(AND(DU$5&lt;=$F113,DU$5+GanttPeriod-1&gt;=$E113),"━","")))</f>
        <v/>
      </c>
      <c r="DV113" s="69" t="str">
        <f aca="false">IF($E113="","",IF($M113,IF(AND($G113&gt;=DV$5,$G113&lt;DV$5+GanttPeriod),"◆",IF(AND($E113&gt;=DV$5,$E113&lt;DV$5+GanttPeriod),"◇","")),IF(AND(DV$5&lt;=$F113,DV$5+GanttPeriod-1&gt;=$E113),"━","")))</f>
        <v/>
      </c>
      <c r="DW113" s="69" t="str">
        <f aca="false">IF($E113="","",IF($M113,IF(AND($G113&gt;=DW$5,$G113&lt;DW$5+GanttPeriod),"◆",IF(AND($E113&gt;=DW$5,$E113&lt;DW$5+GanttPeriod),"◇","")),IF(AND(DW$5&lt;=$F113,DW$5+GanttPeriod-1&gt;=$E113),"━","")))</f>
        <v/>
      </c>
      <c r="DX113" s="69" t="str">
        <f aca="false">IF($E113="","",IF($M113,IF(AND($G113&gt;=DX$5,$G113&lt;DX$5+GanttPeriod),"◆",IF(AND($E113&gt;=DX$5,$E113&lt;DX$5+GanttPeriod),"◇","")),IF(AND(DX$5&lt;=$F113,DX$5+GanttPeriod-1&gt;=$E113),"━","")))</f>
        <v/>
      </c>
      <c r="DY113" s="69" t="str">
        <f aca="false">IF($E113="","",IF($M113,IF(AND($G113&gt;=DY$5,$G113&lt;DY$5+GanttPeriod),"◆",IF(AND($E113&gt;=DY$5,$E113&lt;DY$5+GanttPeriod),"◇","")),IF(AND(DY$5&lt;=$F113,DY$5+GanttPeriod-1&gt;=$E113),"━","")))</f>
        <v/>
      </c>
      <c r="DZ113" s="69" t="str">
        <f aca="false">IF($E113="","",IF($M113,IF(AND($G113&gt;=DZ$5,$G113&lt;DZ$5+GanttPeriod),"◆",IF(AND($E113&gt;=DZ$5,$E113&lt;DZ$5+GanttPeriod),"◇","")),IF(AND(DZ$5&lt;=$F113,DZ$5+GanttPeriod-1&gt;=$E113),"━","")))</f>
        <v/>
      </c>
      <c r="EA113" s="69" t="str">
        <f aca="false">IF($E113="","",IF($M113,IF(AND($G113&gt;=EA$5,$G113&lt;EA$5+GanttPeriod),"◆",IF(AND($E113&gt;=EA$5,$E113&lt;EA$5+GanttPeriod),"◇","")),IF(AND(EA$5&lt;=$F113,EA$5+GanttPeriod-1&gt;=$E113),"━","")))</f>
        <v/>
      </c>
      <c r="EB113" s="69" t="str">
        <f aca="false">IF($E113="","",IF($M113,IF(AND($G113&gt;=EB$5,$G113&lt;EB$5+GanttPeriod),"◆",IF(AND($E113&gt;=EB$5,$E113&lt;EB$5+GanttPeriod),"◇","")),IF(AND(EB$5&lt;=$F113,EB$5+GanttPeriod-1&gt;=$E113),"━","")))</f>
        <v/>
      </c>
      <c r="EC113" s="69" t="str">
        <f aca="false">IF($E113="","",IF($M113,IF(AND($G113&gt;=EC$5,$G113&lt;EC$5+GanttPeriod),"◆",IF(AND($E113&gt;=EC$5,$E113&lt;EC$5+GanttPeriod),"◇","")),IF(AND(EC$5&lt;=$F113,EC$5+GanttPeriod-1&gt;=$E113),"━","")))</f>
        <v/>
      </c>
      <c r="ED113" s="69" t="str">
        <f aca="false">IF($E113="","",IF($M113,IF(AND($G113&gt;=ED$5,$G113&lt;ED$5+GanttPeriod),"◆",IF(AND($E113&gt;=ED$5,$E113&lt;ED$5+GanttPeriod),"◇","")),IF(AND(ED$5&lt;=$F113,ED$5+GanttPeriod-1&gt;=$E113),"━","")))</f>
        <v/>
      </c>
      <c r="EE113" s="69" t="str">
        <f aca="false">IF($E113="","",IF($M113,IF(AND($G113&gt;=EE$5,$G113&lt;EE$5+GanttPeriod),"◆",IF(AND($E113&gt;=EE$5,$E113&lt;EE$5+GanttPeriod),"◇","")),IF(AND(EE$5&lt;=$F113,EE$5+GanttPeriod-1&gt;=$E113),"━","")))</f>
        <v/>
      </c>
      <c r="EF113" s="69" t="str">
        <f aca="false">IF($E113="","",IF($M113,IF(AND($G113&gt;=EF$5,$G113&lt;EF$5+GanttPeriod),"◆",IF(AND($E113&gt;=EF$5,$E113&lt;EF$5+GanttPeriod),"◇","")),IF(AND(EF$5&lt;=$F113,EF$5+GanttPeriod-1&gt;=$E113),"━","")))</f>
        <v/>
      </c>
      <c r="EG113" s="69" t="str">
        <f aca="false">IF($E113="","",IF($M113,IF(AND($G113&gt;=EG$5,$G113&lt;EG$5+GanttPeriod),"◆",IF(AND($E113&gt;=EG$5,$E113&lt;EG$5+GanttPeriod),"◇","")),IF(AND(EG$5&lt;=$F113,EG$5+GanttPeriod-1&gt;=$E113),"━","")))</f>
        <v/>
      </c>
      <c r="EH113" s="69" t="str">
        <f aca="false">IF($E113="","",IF($M113,IF(AND($G113&gt;=EH$5,$G113&lt;EH$5+GanttPeriod),"◆",IF(AND($E113&gt;=EH$5,$E113&lt;EH$5+GanttPeriod),"◇","")),IF(AND(EH$5&lt;=$F113,EH$5+GanttPeriod-1&gt;=$E113),"━","")))</f>
        <v/>
      </c>
      <c r="EI113" s="69" t="str">
        <f aca="false">IF($E113="","",IF($M113,IF(AND($G113&gt;=EI$5,$G113&lt;EI$5+GanttPeriod),"◆",IF(AND($E113&gt;=EI$5,$E113&lt;EI$5+GanttPeriod),"◇","")),IF(AND(EI$5&lt;=$F113,EI$5+GanttPeriod-1&gt;=$E113),"━","")))</f>
        <v/>
      </c>
      <c r="EJ113" s="69" t="str">
        <f aca="false">IF($E113="","",IF($M113,IF(AND($G113&gt;=EJ$5,$G113&lt;EJ$5+GanttPeriod),"◆",IF(AND($E113&gt;=EJ$5,$E113&lt;EJ$5+GanttPeriod),"◇","")),IF(AND(EJ$5&lt;=$F113,EJ$5+GanttPeriod-1&gt;=$E113),"━","")))</f>
        <v/>
      </c>
      <c r="EK113" s="69" t="str">
        <f aca="false">IF($E113="","",IF($M113,IF(AND($G113&gt;=EK$5,$G113&lt;EK$5+GanttPeriod),"◆",IF(AND($E113&gt;=EK$5,$E113&lt;EK$5+GanttPeriod),"◇","")),IF(AND(EK$5&lt;=$F113,EK$5+GanttPeriod-1&gt;=$E113),"━","")))</f>
        <v/>
      </c>
      <c r="EL113" s="69" t="str">
        <f aca="false">IF($E113="","",IF($M113,IF(AND($G113&gt;=EL$5,$G113&lt;EL$5+GanttPeriod),"◆",IF(AND($E113&gt;=EL$5,$E113&lt;EL$5+GanttPeriod),"◇","")),IF(AND(EL$5&lt;=$F113,EL$5+GanttPeriod-1&gt;=$E113),"━","")))</f>
        <v/>
      </c>
      <c r="EM113" s="69" t="str">
        <f aca="false">IF($E113="","",IF($M113,IF(AND($G113&gt;=EM$5,$G113&lt;EM$5+GanttPeriod),"◆",IF(AND($E113&gt;=EM$5,$E113&lt;EM$5+GanttPeriod),"◇","")),IF(AND(EM$5&lt;=$F113,EM$5+GanttPeriod-1&gt;=$E113),"━","")))</f>
        <v/>
      </c>
      <c r="EN113" s="69" t="str">
        <f aca="false">IF($E113="","",IF($M113,IF(AND($G113&gt;=EN$5,$G113&lt;EN$5+GanttPeriod),"◆",IF(AND($E113&gt;=EN$5,$E113&lt;EN$5+GanttPeriod),"◇","")),IF(AND(EN$5&lt;=$F113,EN$5+GanttPeriod-1&gt;=$E113),"━","")))</f>
        <v/>
      </c>
      <c r="EO113" s="69" t="str">
        <f aca="false">IF($E113="","",IF($M113,IF(AND($G113&gt;=EO$5,$G113&lt;EO$5+GanttPeriod),"◆",IF(AND($E113&gt;=EO$5,$E113&lt;EO$5+GanttPeriod),"◇","")),IF(AND(EO$5&lt;=$F113,EO$5+GanttPeriod-1&gt;=$E113),"━","")))</f>
        <v/>
      </c>
      <c r="EP113" s="69" t="str">
        <f aca="false">IF($E113="","",IF($M113,IF(AND($G113&gt;=EP$5,$G113&lt;EP$5+GanttPeriod),"◆",IF(AND($E113&gt;=EP$5,$E113&lt;EP$5+GanttPeriod),"◇","")),IF(AND(EP$5&lt;=$F113,EP$5+GanttPeriod-1&gt;=$E113),"━","")))</f>
        <v/>
      </c>
      <c r="EQ113" s="69" t="str">
        <f aca="false">IF($E113="","",IF($M113,IF(AND($G113&gt;=EQ$5,$G113&lt;EQ$5+GanttPeriod),"◆",IF(AND($E113&gt;=EQ$5,$E113&lt;EQ$5+GanttPeriod),"◇","")),IF(AND(EQ$5&lt;=$F113,EQ$5+GanttPeriod-1&gt;=$E113),"━","")))</f>
        <v/>
      </c>
      <c r="ER113" s="69" t="str">
        <f aca="false">IF($E113="","",IF($M113,IF(AND($G113&gt;=ER$5,$G113&lt;ER$5+GanttPeriod),"◆",IF(AND($E113&gt;=ER$5,$E113&lt;ER$5+GanttPeriod),"◇","")),IF(AND(ER$5&lt;=$F113,ER$5+GanttPeriod-1&gt;=$E113),"━","")))</f>
        <v/>
      </c>
      <c r="ES113" s="69" t="str">
        <f aca="false">IF($E113="","",IF($M113,IF(AND($G113&gt;=ES$5,$G113&lt;ES$5+GanttPeriod),"◆",IF(AND($E113&gt;=ES$5,$E113&lt;ES$5+GanttPeriod),"◇","")),IF(AND(ES$5&lt;=$F113,ES$5+GanttPeriod-1&gt;=$E113),"━","")))</f>
        <v/>
      </c>
      <c r="ET113" s="69" t="str">
        <f aca="false">IF($E113="","",IF($M113,IF(AND($G113&gt;=ET$5,$G113&lt;ET$5+GanttPeriod),"◆",IF(AND($E113&gt;=ET$5,$E113&lt;ET$5+GanttPeriod),"◇","")),IF(AND(ET$5&lt;=$F113,ET$5+GanttPeriod-1&gt;=$E113),"━","")))</f>
        <v/>
      </c>
      <c r="EU113" s="69" t="str">
        <f aca="false">IF($E113="","",IF($M113,IF(AND($G113&gt;=EU$5,$G113&lt;EU$5+GanttPeriod),"◆",IF(AND($E113&gt;=EU$5,$E113&lt;EU$5+GanttPeriod),"◇","")),IF(AND(EU$5&lt;=$F113,EU$5+GanttPeriod-1&gt;=$E113),"━","")))</f>
        <v/>
      </c>
      <c r="EV113" s="69" t="str">
        <f aca="false">IF($E113="","",IF($M113,IF(AND($G113&gt;=EV$5,$G113&lt;EV$5+GanttPeriod),"◆",IF(AND($E113&gt;=EV$5,$E113&lt;EV$5+GanttPeriod),"◇","")),IF(AND(EV$5&lt;=$F113,EV$5+GanttPeriod-1&gt;=$E113),"━","")))</f>
        <v/>
      </c>
      <c r="EW113" s="69" t="str">
        <f aca="false">IF($E113="","",IF($M113,IF(AND($G113&gt;=EW$5,$G113&lt;EW$5+GanttPeriod),"◆",IF(AND($E113&gt;=EW$5,$E113&lt;EW$5+GanttPeriod),"◇","")),IF(AND(EW$5&lt;=$F113,EW$5+GanttPeriod-1&gt;=$E113),"━","")))</f>
        <v/>
      </c>
      <c r="EX113" s="69" t="str">
        <f aca="false">IF($E113="","",IF($M113,IF(AND($G113&gt;=EX$5,$G113&lt;EX$5+GanttPeriod),"◆",IF(AND($E113&gt;=EX$5,$E113&lt;EX$5+GanttPeriod),"◇","")),IF(AND(EX$5&lt;=$F113,EX$5+GanttPeriod-1&gt;=$E113),"━","")))</f>
        <v/>
      </c>
      <c r="EY113" s="69" t="str">
        <f aca="false">IF($E113="","",IF($M113,IF(AND($G113&gt;=EY$5,$G113&lt;EY$5+GanttPeriod),"◆",IF(AND($E113&gt;=EY$5,$E113&lt;EY$5+GanttPeriod),"◇","")),IF(AND(EY$5&lt;=$F113,EY$5+GanttPeriod-1&gt;=$E113),"━","")))</f>
        <v/>
      </c>
      <c r="EZ113" s="69" t="str">
        <f aca="false">IF($E113="","",IF($M113,IF(AND($G113&gt;=EZ$5,$G113&lt;EZ$5+GanttPeriod),"◆",IF(AND($E113&gt;=EZ$5,$E113&lt;EZ$5+GanttPeriod),"◇","")),IF(AND(EZ$5&lt;=$F113,EZ$5+GanttPeriod-1&gt;=$E113),"━","")))</f>
        <v/>
      </c>
      <c r="FA113" s="69" t="str">
        <f aca="false">IF($E113="","",IF($M113,IF(AND($G113&gt;=FA$5,$G113&lt;FA$5+GanttPeriod),"◆",IF(AND($E113&gt;=FA$5,$E113&lt;FA$5+GanttPeriod),"◇","")),IF(AND(FA$5&lt;=$F113,FA$5+GanttPeriod-1&gt;=$E113),"━","")))</f>
        <v/>
      </c>
      <c r="FB113" s="69" t="str">
        <f aca="false">IF($E113="","",IF($M113,IF(AND($G113&gt;=FB$5,$G113&lt;FB$5+GanttPeriod),"◆",IF(AND($E113&gt;=FB$5,$E113&lt;FB$5+GanttPeriod),"◇","")),IF(AND(FB$5&lt;=$F113,FB$5+GanttPeriod-1&gt;=$E113),"━","")))</f>
        <v/>
      </c>
      <c r="FC113" s="69" t="str">
        <f aca="false">IF($E113="","",IF($M113,IF(AND($G113&gt;=FC$5,$G113&lt;FC$5+GanttPeriod),"◆",IF(AND($E113&gt;=FC$5,$E113&lt;FC$5+GanttPeriod),"◇","")),IF(AND(FC$5&lt;=$F113,FC$5+GanttPeriod-1&gt;=$E113),"━","")))</f>
        <v/>
      </c>
      <c r="FD113" s="69" t="str">
        <f aca="false">IF($E113="","",IF($M113,IF(AND($G113&gt;=FD$5,$G113&lt;FD$5+GanttPeriod),"◆",IF(AND($E113&gt;=FD$5,$E113&lt;FD$5+GanttPeriod),"◇","")),IF(AND(FD$5&lt;=$F113,FD$5+GanttPeriod-1&gt;=$E113),"━","")))</f>
        <v/>
      </c>
      <c r="FE113" s="69" t="str">
        <f aca="false">IF($E113="","",IF($M113,IF(AND($G113&gt;=FE$5,$G113&lt;FE$5+GanttPeriod),"◆",IF(AND($E113&gt;=FE$5,$E113&lt;FE$5+GanttPeriod),"◇","")),IF(AND(FE$5&lt;=$F113,FE$5+GanttPeriod-1&gt;=$E113),"━","")))</f>
        <v/>
      </c>
      <c r="FF113" s="69" t="str">
        <f aca="false">IF($E113="","",IF($M113,IF(AND($G113&gt;=FF$5,$G113&lt;FF$5+GanttPeriod),"◆",IF(AND($E113&gt;=FF$5,$E113&lt;FF$5+GanttPeriod),"◇","")),IF(AND(FF$5&lt;=$F113,FF$5+GanttPeriod-1&gt;=$E113),"━","")))</f>
        <v/>
      </c>
      <c r="FG113" s="69" t="str">
        <f aca="false">IF($E113="","",IF($M113,IF(AND($G113&gt;=FG$5,$G113&lt;FG$5+GanttPeriod),"◆",IF(AND($E113&gt;=FG$5,$E113&lt;FG$5+GanttPeriod),"◇","")),IF(AND(FG$5&lt;=$F113,FG$5+GanttPeriod-1&gt;=$E113),"━","")))</f>
        <v/>
      </c>
      <c r="FH113" s="69" t="str">
        <f aca="false">IF($E113="","",IF($M113,IF(AND($G113&gt;=FH$5,$G113&lt;FH$5+GanttPeriod),"◆",IF(AND($E113&gt;=FH$5,$E113&lt;FH$5+GanttPeriod),"◇","")),IF(AND(FH$5&lt;=$F113,FH$5+GanttPeriod-1&gt;=$E113),"━","")))</f>
        <v/>
      </c>
      <c r="FI113" s="69" t="str">
        <f aca="false">IF($E113="","",IF($M113,IF(AND($G113&gt;=FI$5,$G113&lt;FI$5+GanttPeriod),"◆",IF(AND($E113&gt;=FI$5,$E113&lt;FI$5+GanttPeriod),"◇","")),IF(AND(FI$5&lt;=$F113,FI$5+GanttPeriod-1&gt;=$E113),"━","")))</f>
        <v/>
      </c>
      <c r="FJ113" s="69" t="str">
        <f aca="false">IF($E113="","",IF($M113,IF(AND($G113&gt;=FJ$5,$G113&lt;FJ$5+GanttPeriod),"◆",IF(AND($E113&gt;=FJ$5,$E113&lt;FJ$5+GanttPeriod),"◇","")),IF(AND(FJ$5&lt;=$F113,FJ$5+GanttPeriod-1&gt;=$E113),"━","")))</f>
        <v/>
      </c>
      <c r="FK113" s="69" t="str">
        <f aca="false">IF($E113="","",IF($M113,IF(AND($G113&gt;=FK$5,$G113&lt;FK$5+GanttPeriod),"◆",IF(AND($E113&gt;=FK$5,$E113&lt;FK$5+GanttPeriod),"◇","")),IF(AND(FK$5&lt;=$F113,FK$5+GanttPeriod-1&gt;=$E113),"━","")))</f>
        <v/>
      </c>
      <c r="FL113" s="69" t="str">
        <f aca="false">IF($E113="","",IF($M113,IF(AND($G113&gt;=FL$5,$G113&lt;FL$5+GanttPeriod),"◆",IF(AND($E113&gt;=FL$5,$E113&lt;FL$5+GanttPeriod),"◇","")),IF(AND(FL$5&lt;=$F113,FL$5+GanttPeriod-1&gt;=$E113),"━","")))</f>
        <v/>
      </c>
      <c r="FM113" s="69" t="str">
        <f aca="false">IF($E113="","",IF($M113,IF(AND($G113&gt;=FM$5,$G113&lt;FM$5+GanttPeriod),"◆",IF(AND($E113&gt;=FM$5,$E113&lt;FM$5+GanttPeriod),"◇","")),IF(AND(FM$5&lt;=$F113,FM$5+GanttPeriod-1&gt;=$E113),"━","")))</f>
        <v/>
      </c>
    </row>
    <row r="114" customFormat="false" ht="15" hidden="false" customHeight="false" outlineLevel="0" collapsed="false">
      <c r="A114" s="62" t="str">
        <f aca="false">IF(Tasks!$D114="","",Tasks!$A114)</f>
        <v/>
      </c>
      <c r="B114" s="62" t="str">
        <f aca="false">IF(Tasks!$D114="","",Tasks!$B114)</f>
        <v/>
      </c>
      <c r="C114" s="63" t="str">
        <f aca="false">IF(Tasks!$D114="","",REPT("    ",Tasks!$AE114-1)&amp;Tasks!$D114)</f>
        <v/>
      </c>
      <c r="D114" s="62" t="str">
        <f aca="false">IF(Tasks!$D114="","",IF(Tasks!$AI114,NETWORKDAYS.INTL(Tasks!$R114,Tasks!$S114,WorkWeek,Holidays),N(Tasks!$F114)))</f>
        <v/>
      </c>
      <c r="E114" s="64" t="str">
        <f aca="false">IF(Tasks!$D114="","",Tasks!$N114)</f>
        <v/>
      </c>
      <c r="F114" s="64" t="str">
        <f aca="false">IF(Tasks!$D114="","",Tasks!$O114)</f>
        <v/>
      </c>
      <c r="G114" s="64" t="str">
        <f aca="false">IF(Tasks!$D114="","",Tasks!$R114)</f>
        <v/>
      </c>
      <c r="H114" s="64" t="str">
        <f aca="false">IF(Tasks!$D114="","",Tasks!$S114)</f>
        <v/>
      </c>
      <c r="I114" s="65" t="str">
        <f aca="false">IF(Tasks!$D114="","",Tasks!$V114)</f>
        <v/>
      </c>
      <c r="J114" s="63" t="str">
        <f aca="false">IF(Tasks!$D114="","",Tasks!$X114&amp;"")</f>
        <v/>
      </c>
      <c r="K114" s="66" t="str">
        <f aca="false">IF(Tasks!$D114="","",Tasks!$W114)</f>
        <v/>
      </c>
      <c r="L114" s="67" t="b">
        <f aca="false">IF(Tasks!$D114="",FALSE(),Tasks!$AI114)</f>
        <v>0</v>
      </c>
      <c r="M114" s="67" t="b">
        <f aca="false">AND(Tasks!$AJ114=1,N(Tasks!$F114)=0)</f>
        <v>0</v>
      </c>
      <c r="N114" s="68" t="n">
        <f aca="false">IF(AND(Tasks!$AJ114=1,NOT($M114),N($I114)&gt;0),$G114,0)</f>
        <v>0</v>
      </c>
      <c r="O114" s="68" t="n">
        <f aca="false">IF($N114=0,0,IF($I114&gt;=1,$H114,MAX($N114,$G114+ROUND(($H114-$G114+1)*$I114,0)-1)))</f>
        <v>0</v>
      </c>
      <c r="P114" s="68" t="n">
        <f aca="false">IF(OR(Tasks!$AJ114&lt;&gt;1,$M114,N($I114)&gt;=1),0,IF($O114&gt;0,$O114+1,$G114))</f>
        <v>0</v>
      </c>
      <c r="Q114" s="68" t="n">
        <f aca="false">IF($P114=0,0,$H114)</f>
        <v>0</v>
      </c>
      <c r="R114" s="67" t="b">
        <f aca="false">AND(Tasks!$D114&lt;&gt;"",N(Tasks!$T114)&gt;0)</f>
        <v>0</v>
      </c>
      <c r="T114" s="69" t="str">
        <f aca="false">IF($E114="","",IF($M114,IF(AND($G114&gt;=T$5,$G114&lt;T$5+GanttPeriod),"◆",IF(AND($E114&gt;=T$5,$E114&lt;T$5+GanttPeriod),"◇","")),IF(AND(T$5&lt;=$F114,T$5+GanttPeriod-1&gt;=$E114),"━","")))</f>
        <v/>
      </c>
      <c r="U114" s="69" t="str">
        <f aca="false">IF($E114="","",IF($M114,IF(AND($G114&gt;=U$5,$G114&lt;U$5+GanttPeriod),"◆",IF(AND($E114&gt;=U$5,$E114&lt;U$5+GanttPeriod),"◇","")),IF(AND(U$5&lt;=$F114,U$5+GanttPeriod-1&gt;=$E114),"━","")))</f>
        <v/>
      </c>
      <c r="V114" s="69" t="str">
        <f aca="false">IF($E114="","",IF($M114,IF(AND($G114&gt;=V$5,$G114&lt;V$5+GanttPeriod),"◆",IF(AND($E114&gt;=V$5,$E114&lt;V$5+GanttPeriod),"◇","")),IF(AND(V$5&lt;=$F114,V$5+GanttPeriod-1&gt;=$E114),"━","")))</f>
        <v/>
      </c>
      <c r="W114" s="69" t="str">
        <f aca="false">IF($E114="","",IF($M114,IF(AND($G114&gt;=W$5,$G114&lt;W$5+GanttPeriod),"◆",IF(AND($E114&gt;=W$5,$E114&lt;W$5+GanttPeriod),"◇","")),IF(AND(W$5&lt;=$F114,W$5+GanttPeriod-1&gt;=$E114),"━","")))</f>
        <v/>
      </c>
      <c r="X114" s="69" t="str">
        <f aca="false">IF($E114="","",IF($M114,IF(AND($G114&gt;=X$5,$G114&lt;X$5+GanttPeriod),"◆",IF(AND($E114&gt;=X$5,$E114&lt;X$5+GanttPeriod),"◇","")),IF(AND(X$5&lt;=$F114,X$5+GanttPeriod-1&gt;=$E114),"━","")))</f>
        <v/>
      </c>
      <c r="Y114" s="69" t="str">
        <f aca="false">IF($E114="","",IF($M114,IF(AND($G114&gt;=Y$5,$G114&lt;Y$5+GanttPeriod),"◆",IF(AND($E114&gt;=Y$5,$E114&lt;Y$5+GanttPeriod),"◇","")),IF(AND(Y$5&lt;=$F114,Y$5+GanttPeriod-1&gt;=$E114),"━","")))</f>
        <v/>
      </c>
      <c r="Z114" s="69" t="str">
        <f aca="false">IF($E114="","",IF($M114,IF(AND($G114&gt;=Z$5,$G114&lt;Z$5+GanttPeriod),"◆",IF(AND($E114&gt;=Z$5,$E114&lt;Z$5+GanttPeriod),"◇","")),IF(AND(Z$5&lt;=$F114,Z$5+GanttPeriod-1&gt;=$E114),"━","")))</f>
        <v/>
      </c>
      <c r="AA114" s="69" t="str">
        <f aca="false">IF($E114="","",IF($M114,IF(AND($G114&gt;=AA$5,$G114&lt;AA$5+GanttPeriod),"◆",IF(AND($E114&gt;=AA$5,$E114&lt;AA$5+GanttPeriod),"◇","")),IF(AND(AA$5&lt;=$F114,AA$5+GanttPeriod-1&gt;=$E114),"━","")))</f>
        <v/>
      </c>
      <c r="AB114" s="69" t="str">
        <f aca="false">IF($E114="","",IF($M114,IF(AND($G114&gt;=AB$5,$G114&lt;AB$5+GanttPeriod),"◆",IF(AND($E114&gt;=AB$5,$E114&lt;AB$5+GanttPeriod),"◇","")),IF(AND(AB$5&lt;=$F114,AB$5+GanttPeriod-1&gt;=$E114),"━","")))</f>
        <v/>
      </c>
      <c r="AC114" s="69" t="str">
        <f aca="false">IF($E114="","",IF($M114,IF(AND($G114&gt;=AC$5,$G114&lt;AC$5+GanttPeriod),"◆",IF(AND($E114&gt;=AC$5,$E114&lt;AC$5+GanttPeriod),"◇","")),IF(AND(AC$5&lt;=$F114,AC$5+GanttPeriod-1&gt;=$E114),"━","")))</f>
        <v/>
      </c>
      <c r="AD114" s="69" t="str">
        <f aca="false">IF($E114="","",IF($M114,IF(AND($G114&gt;=AD$5,$G114&lt;AD$5+GanttPeriod),"◆",IF(AND($E114&gt;=AD$5,$E114&lt;AD$5+GanttPeriod),"◇","")),IF(AND(AD$5&lt;=$F114,AD$5+GanttPeriod-1&gt;=$E114),"━","")))</f>
        <v/>
      </c>
      <c r="AE114" s="69" t="str">
        <f aca="false">IF($E114="","",IF($M114,IF(AND($G114&gt;=AE$5,$G114&lt;AE$5+GanttPeriod),"◆",IF(AND($E114&gt;=AE$5,$E114&lt;AE$5+GanttPeriod),"◇","")),IF(AND(AE$5&lt;=$F114,AE$5+GanttPeriod-1&gt;=$E114),"━","")))</f>
        <v/>
      </c>
      <c r="AF114" s="69" t="str">
        <f aca="false">IF($E114="","",IF($M114,IF(AND($G114&gt;=AF$5,$G114&lt;AF$5+GanttPeriod),"◆",IF(AND($E114&gt;=AF$5,$E114&lt;AF$5+GanttPeriod),"◇","")),IF(AND(AF$5&lt;=$F114,AF$5+GanttPeriod-1&gt;=$E114),"━","")))</f>
        <v/>
      </c>
      <c r="AG114" s="69" t="str">
        <f aca="false">IF($E114="","",IF($M114,IF(AND($G114&gt;=AG$5,$G114&lt;AG$5+GanttPeriod),"◆",IF(AND($E114&gt;=AG$5,$E114&lt;AG$5+GanttPeriod),"◇","")),IF(AND(AG$5&lt;=$F114,AG$5+GanttPeriod-1&gt;=$E114),"━","")))</f>
        <v/>
      </c>
      <c r="AH114" s="69" t="str">
        <f aca="false">IF($E114="","",IF($M114,IF(AND($G114&gt;=AH$5,$G114&lt;AH$5+GanttPeriod),"◆",IF(AND($E114&gt;=AH$5,$E114&lt;AH$5+GanttPeriod),"◇","")),IF(AND(AH$5&lt;=$F114,AH$5+GanttPeriod-1&gt;=$E114),"━","")))</f>
        <v/>
      </c>
      <c r="AI114" s="69" t="str">
        <f aca="false">IF($E114="","",IF($M114,IF(AND($G114&gt;=AI$5,$G114&lt;AI$5+GanttPeriod),"◆",IF(AND($E114&gt;=AI$5,$E114&lt;AI$5+GanttPeriod),"◇","")),IF(AND(AI$5&lt;=$F114,AI$5+GanttPeriod-1&gt;=$E114),"━","")))</f>
        <v/>
      </c>
      <c r="AJ114" s="69" t="str">
        <f aca="false">IF($E114="","",IF($M114,IF(AND($G114&gt;=AJ$5,$G114&lt;AJ$5+GanttPeriod),"◆",IF(AND($E114&gt;=AJ$5,$E114&lt;AJ$5+GanttPeriod),"◇","")),IF(AND(AJ$5&lt;=$F114,AJ$5+GanttPeriod-1&gt;=$E114),"━","")))</f>
        <v/>
      </c>
      <c r="AK114" s="69" t="str">
        <f aca="false">IF($E114="","",IF($M114,IF(AND($G114&gt;=AK$5,$G114&lt;AK$5+GanttPeriod),"◆",IF(AND($E114&gt;=AK$5,$E114&lt;AK$5+GanttPeriod),"◇","")),IF(AND(AK$5&lt;=$F114,AK$5+GanttPeriod-1&gt;=$E114),"━","")))</f>
        <v/>
      </c>
      <c r="AL114" s="69" t="str">
        <f aca="false">IF($E114="","",IF($M114,IF(AND($G114&gt;=AL$5,$G114&lt;AL$5+GanttPeriod),"◆",IF(AND($E114&gt;=AL$5,$E114&lt;AL$5+GanttPeriod),"◇","")),IF(AND(AL$5&lt;=$F114,AL$5+GanttPeriod-1&gt;=$E114),"━","")))</f>
        <v/>
      </c>
      <c r="AM114" s="69" t="str">
        <f aca="false">IF($E114="","",IF($M114,IF(AND($G114&gt;=AM$5,$G114&lt;AM$5+GanttPeriod),"◆",IF(AND($E114&gt;=AM$5,$E114&lt;AM$5+GanttPeriod),"◇","")),IF(AND(AM$5&lt;=$F114,AM$5+GanttPeriod-1&gt;=$E114),"━","")))</f>
        <v/>
      </c>
      <c r="AN114" s="69" t="str">
        <f aca="false">IF($E114="","",IF($M114,IF(AND($G114&gt;=AN$5,$G114&lt;AN$5+GanttPeriod),"◆",IF(AND($E114&gt;=AN$5,$E114&lt;AN$5+GanttPeriod),"◇","")),IF(AND(AN$5&lt;=$F114,AN$5+GanttPeriod-1&gt;=$E114),"━","")))</f>
        <v/>
      </c>
      <c r="AO114" s="69" t="str">
        <f aca="false">IF($E114="","",IF($M114,IF(AND($G114&gt;=AO$5,$G114&lt;AO$5+GanttPeriod),"◆",IF(AND($E114&gt;=AO$5,$E114&lt;AO$5+GanttPeriod),"◇","")),IF(AND(AO$5&lt;=$F114,AO$5+GanttPeriod-1&gt;=$E114),"━","")))</f>
        <v/>
      </c>
      <c r="AP114" s="69" t="str">
        <f aca="false">IF($E114="","",IF($M114,IF(AND($G114&gt;=AP$5,$G114&lt;AP$5+GanttPeriod),"◆",IF(AND($E114&gt;=AP$5,$E114&lt;AP$5+GanttPeriod),"◇","")),IF(AND(AP$5&lt;=$F114,AP$5+GanttPeriod-1&gt;=$E114),"━","")))</f>
        <v/>
      </c>
      <c r="AQ114" s="69" t="str">
        <f aca="false">IF($E114="","",IF($M114,IF(AND($G114&gt;=AQ$5,$G114&lt;AQ$5+GanttPeriod),"◆",IF(AND($E114&gt;=AQ$5,$E114&lt;AQ$5+GanttPeriod),"◇","")),IF(AND(AQ$5&lt;=$F114,AQ$5+GanttPeriod-1&gt;=$E114),"━","")))</f>
        <v/>
      </c>
      <c r="AR114" s="69" t="str">
        <f aca="false">IF($E114="","",IF($M114,IF(AND($G114&gt;=AR$5,$G114&lt;AR$5+GanttPeriod),"◆",IF(AND($E114&gt;=AR$5,$E114&lt;AR$5+GanttPeriod),"◇","")),IF(AND(AR$5&lt;=$F114,AR$5+GanttPeriod-1&gt;=$E114),"━","")))</f>
        <v/>
      </c>
      <c r="AS114" s="69" t="str">
        <f aca="false">IF($E114="","",IF($M114,IF(AND($G114&gt;=AS$5,$G114&lt;AS$5+GanttPeriod),"◆",IF(AND($E114&gt;=AS$5,$E114&lt;AS$5+GanttPeriod),"◇","")),IF(AND(AS$5&lt;=$F114,AS$5+GanttPeriod-1&gt;=$E114),"━","")))</f>
        <v/>
      </c>
      <c r="AT114" s="69" t="str">
        <f aca="false">IF($E114="","",IF($M114,IF(AND($G114&gt;=AT$5,$G114&lt;AT$5+GanttPeriod),"◆",IF(AND($E114&gt;=AT$5,$E114&lt;AT$5+GanttPeriod),"◇","")),IF(AND(AT$5&lt;=$F114,AT$5+GanttPeriod-1&gt;=$E114),"━","")))</f>
        <v/>
      </c>
      <c r="AU114" s="69" t="str">
        <f aca="false">IF($E114="","",IF($M114,IF(AND($G114&gt;=AU$5,$G114&lt;AU$5+GanttPeriod),"◆",IF(AND($E114&gt;=AU$5,$E114&lt;AU$5+GanttPeriod),"◇","")),IF(AND(AU$5&lt;=$F114,AU$5+GanttPeriod-1&gt;=$E114),"━","")))</f>
        <v/>
      </c>
      <c r="AV114" s="69" t="str">
        <f aca="false">IF($E114="","",IF($M114,IF(AND($G114&gt;=AV$5,$G114&lt;AV$5+GanttPeriod),"◆",IF(AND($E114&gt;=AV$5,$E114&lt;AV$5+GanttPeriod),"◇","")),IF(AND(AV$5&lt;=$F114,AV$5+GanttPeriod-1&gt;=$E114),"━","")))</f>
        <v/>
      </c>
      <c r="AW114" s="69" t="str">
        <f aca="false">IF($E114="","",IF($M114,IF(AND($G114&gt;=AW$5,$G114&lt;AW$5+GanttPeriod),"◆",IF(AND($E114&gt;=AW$5,$E114&lt;AW$5+GanttPeriod),"◇","")),IF(AND(AW$5&lt;=$F114,AW$5+GanttPeriod-1&gt;=$E114),"━","")))</f>
        <v/>
      </c>
      <c r="AX114" s="69" t="str">
        <f aca="false">IF($E114="","",IF($M114,IF(AND($G114&gt;=AX$5,$G114&lt;AX$5+GanttPeriod),"◆",IF(AND($E114&gt;=AX$5,$E114&lt;AX$5+GanttPeriod),"◇","")),IF(AND(AX$5&lt;=$F114,AX$5+GanttPeriod-1&gt;=$E114),"━","")))</f>
        <v/>
      </c>
      <c r="AY114" s="69" t="str">
        <f aca="false">IF($E114="","",IF($M114,IF(AND($G114&gt;=AY$5,$G114&lt;AY$5+GanttPeriod),"◆",IF(AND($E114&gt;=AY$5,$E114&lt;AY$5+GanttPeriod),"◇","")),IF(AND(AY$5&lt;=$F114,AY$5+GanttPeriod-1&gt;=$E114),"━","")))</f>
        <v/>
      </c>
      <c r="AZ114" s="69" t="str">
        <f aca="false">IF($E114="","",IF($M114,IF(AND($G114&gt;=AZ$5,$G114&lt;AZ$5+GanttPeriod),"◆",IF(AND($E114&gt;=AZ$5,$E114&lt;AZ$5+GanttPeriod),"◇","")),IF(AND(AZ$5&lt;=$F114,AZ$5+GanttPeriod-1&gt;=$E114),"━","")))</f>
        <v/>
      </c>
      <c r="BA114" s="69" t="str">
        <f aca="false">IF($E114="","",IF($M114,IF(AND($G114&gt;=BA$5,$G114&lt;BA$5+GanttPeriod),"◆",IF(AND($E114&gt;=BA$5,$E114&lt;BA$5+GanttPeriod),"◇","")),IF(AND(BA$5&lt;=$F114,BA$5+GanttPeriod-1&gt;=$E114),"━","")))</f>
        <v/>
      </c>
      <c r="BB114" s="69" t="str">
        <f aca="false">IF($E114="","",IF($M114,IF(AND($G114&gt;=BB$5,$G114&lt;BB$5+GanttPeriod),"◆",IF(AND($E114&gt;=BB$5,$E114&lt;BB$5+GanttPeriod),"◇","")),IF(AND(BB$5&lt;=$F114,BB$5+GanttPeriod-1&gt;=$E114),"━","")))</f>
        <v/>
      </c>
      <c r="BC114" s="69" t="str">
        <f aca="false">IF($E114="","",IF($M114,IF(AND($G114&gt;=BC$5,$G114&lt;BC$5+GanttPeriod),"◆",IF(AND($E114&gt;=BC$5,$E114&lt;BC$5+GanttPeriod),"◇","")),IF(AND(BC$5&lt;=$F114,BC$5+GanttPeriod-1&gt;=$E114),"━","")))</f>
        <v/>
      </c>
      <c r="BD114" s="69" t="str">
        <f aca="false">IF($E114="","",IF($M114,IF(AND($G114&gt;=BD$5,$G114&lt;BD$5+GanttPeriod),"◆",IF(AND($E114&gt;=BD$5,$E114&lt;BD$5+GanttPeriod),"◇","")),IF(AND(BD$5&lt;=$F114,BD$5+GanttPeriod-1&gt;=$E114),"━","")))</f>
        <v/>
      </c>
      <c r="BE114" s="69" t="str">
        <f aca="false">IF($E114="","",IF($M114,IF(AND($G114&gt;=BE$5,$G114&lt;BE$5+GanttPeriod),"◆",IF(AND($E114&gt;=BE$5,$E114&lt;BE$5+GanttPeriod),"◇","")),IF(AND(BE$5&lt;=$F114,BE$5+GanttPeriod-1&gt;=$E114),"━","")))</f>
        <v/>
      </c>
      <c r="BF114" s="69" t="str">
        <f aca="false">IF($E114="","",IF($M114,IF(AND($G114&gt;=BF$5,$G114&lt;BF$5+GanttPeriod),"◆",IF(AND($E114&gt;=BF$5,$E114&lt;BF$5+GanttPeriod),"◇","")),IF(AND(BF$5&lt;=$F114,BF$5+GanttPeriod-1&gt;=$E114),"━","")))</f>
        <v/>
      </c>
      <c r="BG114" s="69" t="str">
        <f aca="false">IF($E114="","",IF($M114,IF(AND($G114&gt;=BG$5,$G114&lt;BG$5+GanttPeriod),"◆",IF(AND($E114&gt;=BG$5,$E114&lt;BG$5+GanttPeriod),"◇","")),IF(AND(BG$5&lt;=$F114,BG$5+GanttPeriod-1&gt;=$E114),"━","")))</f>
        <v/>
      </c>
      <c r="BH114" s="69" t="str">
        <f aca="false">IF($E114="","",IF($M114,IF(AND($G114&gt;=BH$5,$G114&lt;BH$5+GanttPeriod),"◆",IF(AND($E114&gt;=BH$5,$E114&lt;BH$5+GanttPeriod),"◇","")),IF(AND(BH$5&lt;=$F114,BH$5+GanttPeriod-1&gt;=$E114),"━","")))</f>
        <v/>
      </c>
      <c r="BI114" s="69" t="str">
        <f aca="false">IF($E114="","",IF($M114,IF(AND($G114&gt;=BI$5,$G114&lt;BI$5+GanttPeriod),"◆",IF(AND($E114&gt;=BI$5,$E114&lt;BI$5+GanttPeriod),"◇","")),IF(AND(BI$5&lt;=$F114,BI$5+GanttPeriod-1&gt;=$E114),"━","")))</f>
        <v/>
      </c>
      <c r="BJ114" s="69" t="str">
        <f aca="false">IF($E114="","",IF($M114,IF(AND($G114&gt;=BJ$5,$G114&lt;BJ$5+GanttPeriod),"◆",IF(AND($E114&gt;=BJ$5,$E114&lt;BJ$5+GanttPeriod),"◇","")),IF(AND(BJ$5&lt;=$F114,BJ$5+GanttPeriod-1&gt;=$E114),"━","")))</f>
        <v/>
      </c>
      <c r="BK114" s="69" t="str">
        <f aca="false">IF($E114="","",IF($M114,IF(AND($G114&gt;=BK$5,$G114&lt;BK$5+GanttPeriod),"◆",IF(AND($E114&gt;=BK$5,$E114&lt;BK$5+GanttPeriod),"◇","")),IF(AND(BK$5&lt;=$F114,BK$5+GanttPeriod-1&gt;=$E114),"━","")))</f>
        <v/>
      </c>
      <c r="BL114" s="69" t="str">
        <f aca="false">IF($E114="","",IF($M114,IF(AND($G114&gt;=BL$5,$G114&lt;BL$5+GanttPeriod),"◆",IF(AND($E114&gt;=BL$5,$E114&lt;BL$5+GanttPeriod),"◇","")),IF(AND(BL$5&lt;=$F114,BL$5+GanttPeriod-1&gt;=$E114),"━","")))</f>
        <v/>
      </c>
      <c r="BM114" s="69" t="str">
        <f aca="false">IF($E114="","",IF($M114,IF(AND($G114&gt;=BM$5,$G114&lt;BM$5+GanttPeriod),"◆",IF(AND($E114&gt;=BM$5,$E114&lt;BM$5+GanttPeriod),"◇","")),IF(AND(BM$5&lt;=$F114,BM$5+GanttPeriod-1&gt;=$E114),"━","")))</f>
        <v/>
      </c>
      <c r="BN114" s="69" t="str">
        <f aca="false">IF($E114="","",IF($M114,IF(AND($G114&gt;=BN$5,$G114&lt;BN$5+GanttPeriod),"◆",IF(AND($E114&gt;=BN$5,$E114&lt;BN$5+GanttPeriod),"◇","")),IF(AND(BN$5&lt;=$F114,BN$5+GanttPeriod-1&gt;=$E114),"━","")))</f>
        <v/>
      </c>
      <c r="BO114" s="69" t="str">
        <f aca="false">IF($E114="","",IF($M114,IF(AND($G114&gt;=BO$5,$G114&lt;BO$5+GanttPeriod),"◆",IF(AND($E114&gt;=BO$5,$E114&lt;BO$5+GanttPeriod),"◇","")),IF(AND(BO$5&lt;=$F114,BO$5+GanttPeriod-1&gt;=$E114),"━","")))</f>
        <v/>
      </c>
      <c r="BP114" s="69" t="str">
        <f aca="false">IF($E114="","",IF($M114,IF(AND($G114&gt;=BP$5,$G114&lt;BP$5+GanttPeriod),"◆",IF(AND($E114&gt;=BP$5,$E114&lt;BP$5+GanttPeriod),"◇","")),IF(AND(BP$5&lt;=$F114,BP$5+GanttPeriod-1&gt;=$E114),"━","")))</f>
        <v/>
      </c>
      <c r="BQ114" s="69" t="str">
        <f aca="false">IF($E114="","",IF($M114,IF(AND($G114&gt;=BQ$5,$G114&lt;BQ$5+GanttPeriod),"◆",IF(AND($E114&gt;=BQ$5,$E114&lt;BQ$5+GanttPeriod),"◇","")),IF(AND(BQ$5&lt;=$F114,BQ$5+GanttPeriod-1&gt;=$E114),"━","")))</f>
        <v/>
      </c>
      <c r="BR114" s="69" t="str">
        <f aca="false">IF($E114="","",IF($M114,IF(AND($G114&gt;=BR$5,$G114&lt;BR$5+GanttPeriod),"◆",IF(AND($E114&gt;=BR$5,$E114&lt;BR$5+GanttPeriod),"◇","")),IF(AND(BR$5&lt;=$F114,BR$5+GanttPeriod-1&gt;=$E114),"━","")))</f>
        <v/>
      </c>
      <c r="BS114" s="69" t="str">
        <f aca="false">IF($E114="","",IF($M114,IF(AND($G114&gt;=BS$5,$G114&lt;BS$5+GanttPeriod),"◆",IF(AND($E114&gt;=BS$5,$E114&lt;BS$5+GanttPeriod),"◇","")),IF(AND(BS$5&lt;=$F114,BS$5+GanttPeriod-1&gt;=$E114),"━","")))</f>
        <v/>
      </c>
      <c r="BT114" s="69" t="str">
        <f aca="false">IF($E114="","",IF($M114,IF(AND($G114&gt;=BT$5,$G114&lt;BT$5+GanttPeriod),"◆",IF(AND($E114&gt;=BT$5,$E114&lt;BT$5+GanttPeriod),"◇","")),IF(AND(BT$5&lt;=$F114,BT$5+GanttPeriod-1&gt;=$E114),"━","")))</f>
        <v/>
      </c>
      <c r="BU114" s="69" t="str">
        <f aca="false">IF($E114="","",IF($M114,IF(AND($G114&gt;=BU$5,$G114&lt;BU$5+GanttPeriod),"◆",IF(AND($E114&gt;=BU$5,$E114&lt;BU$5+GanttPeriod),"◇","")),IF(AND(BU$5&lt;=$F114,BU$5+GanttPeriod-1&gt;=$E114),"━","")))</f>
        <v/>
      </c>
      <c r="BV114" s="69" t="str">
        <f aca="false">IF($E114="","",IF($M114,IF(AND($G114&gt;=BV$5,$G114&lt;BV$5+GanttPeriod),"◆",IF(AND($E114&gt;=BV$5,$E114&lt;BV$5+GanttPeriod),"◇","")),IF(AND(BV$5&lt;=$F114,BV$5+GanttPeriod-1&gt;=$E114),"━","")))</f>
        <v/>
      </c>
      <c r="BW114" s="69" t="str">
        <f aca="false">IF($E114="","",IF($M114,IF(AND($G114&gt;=BW$5,$G114&lt;BW$5+GanttPeriod),"◆",IF(AND($E114&gt;=BW$5,$E114&lt;BW$5+GanttPeriod),"◇","")),IF(AND(BW$5&lt;=$F114,BW$5+GanttPeriod-1&gt;=$E114),"━","")))</f>
        <v/>
      </c>
      <c r="BX114" s="69" t="str">
        <f aca="false">IF($E114="","",IF($M114,IF(AND($G114&gt;=BX$5,$G114&lt;BX$5+GanttPeriod),"◆",IF(AND($E114&gt;=BX$5,$E114&lt;BX$5+GanttPeriod),"◇","")),IF(AND(BX$5&lt;=$F114,BX$5+GanttPeriod-1&gt;=$E114),"━","")))</f>
        <v/>
      </c>
      <c r="BY114" s="69" t="str">
        <f aca="false">IF($E114="","",IF($M114,IF(AND($G114&gt;=BY$5,$G114&lt;BY$5+GanttPeriod),"◆",IF(AND($E114&gt;=BY$5,$E114&lt;BY$5+GanttPeriod),"◇","")),IF(AND(BY$5&lt;=$F114,BY$5+GanttPeriod-1&gt;=$E114),"━","")))</f>
        <v/>
      </c>
      <c r="BZ114" s="69" t="str">
        <f aca="false">IF($E114="","",IF($M114,IF(AND($G114&gt;=BZ$5,$G114&lt;BZ$5+GanttPeriod),"◆",IF(AND($E114&gt;=BZ$5,$E114&lt;BZ$5+GanttPeriod),"◇","")),IF(AND(BZ$5&lt;=$F114,BZ$5+GanttPeriod-1&gt;=$E114),"━","")))</f>
        <v/>
      </c>
      <c r="CA114" s="69" t="str">
        <f aca="false">IF($E114="","",IF($M114,IF(AND($G114&gt;=CA$5,$G114&lt;CA$5+GanttPeriod),"◆",IF(AND($E114&gt;=CA$5,$E114&lt;CA$5+GanttPeriod),"◇","")),IF(AND(CA$5&lt;=$F114,CA$5+GanttPeriod-1&gt;=$E114),"━","")))</f>
        <v/>
      </c>
      <c r="CB114" s="69" t="str">
        <f aca="false">IF($E114="","",IF($M114,IF(AND($G114&gt;=CB$5,$G114&lt;CB$5+GanttPeriod),"◆",IF(AND($E114&gt;=CB$5,$E114&lt;CB$5+GanttPeriod),"◇","")),IF(AND(CB$5&lt;=$F114,CB$5+GanttPeriod-1&gt;=$E114),"━","")))</f>
        <v/>
      </c>
      <c r="CC114" s="69" t="str">
        <f aca="false">IF($E114="","",IF($M114,IF(AND($G114&gt;=CC$5,$G114&lt;CC$5+GanttPeriod),"◆",IF(AND($E114&gt;=CC$5,$E114&lt;CC$5+GanttPeriod),"◇","")),IF(AND(CC$5&lt;=$F114,CC$5+GanttPeriod-1&gt;=$E114),"━","")))</f>
        <v/>
      </c>
      <c r="CD114" s="69" t="str">
        <f aca="false">IF($E114="","",IF($M114,IF(AND($G114&gt;=CD$5,$G114&lt;CD$5+GanttPeriod),"◆",IF(AND($E114&gt;=CD$5,$E114&lt;CD$5+GanttPeriod),"◇","")),IF(AND(CD$5&lt;=$F114,CD$5+GanttPeriod-1&gt;=$E114),"━","")))</f>
        <v/>
      </c>
      <c r="CE114" s="69" t="str">
        <f aca="false">IF($E114="","",IF($M114,IF(AND($G114&gt;=CE$5,$G114&lt;CE$5+GanttPeriod),"◆",IF(AND($E114&gt;=CE$5,$E114&lt;CE$5+GanttPeriod),"◇","")),IF(AND(CE$5&lt;=$F114,CE$5+GanttPeriod-1&gt;=$E114),"━","")))</f>
        <v/>
      </c>
      <c r="CF114" s="69" t="str">
        <f aca="false">IF($E114="","",IF($M114,IF(AND($G114&gt;=CF$5,$G114&lt;CF$5+GanttPeriod),"◆",IF(AND($E114&gt;=CF$5,$E114&lt;CF$5+GanttPeriod),"◇","")),IF(AND(CF$5&lt;=$F114,CF$5+GanttPeriod-1&gt;=$E114),"━","")))</f>
        <v/>
      </c>
      <c r="CG114" s="69" t="str">
        <f aca="false">IF($E114="","",IF($M114,IF(AND($G114&gt;=CG$5,$G114&lt;CG$5+GanttPeriod),"◆",IF(AND($E114&gt;=CG$5,$E114&lt;CG$5+GanttPeriod),"◇","")),IF(AND(CG$5&lt;=$F114,CG$5+GanttPeriod-1&gt;=$E114),"━","")))</f>
        <v/>
      </c>
      <c r="CH114" s="69" t="str">
        <f aca="false">IF($E114="","",IF($M114,IF(AND($G114&gt;=CH$5,$G114&lt;CH$5+GanttPeriod),"◆",IF(AND($E114&gt;=CH$5,$E114&lt;CH$5+GanttPeriod),"◇","")),IF(AND(CH$5&lt;=$F114,CH$5+GanttPeriod-1&gt;=$E114),"━","")))</f>
        <v/>
      </c>
      <c r="CI114" s="69" t="str">
        <f aca="false">IF($E114="","",IF($M114,IF(AND($G114&gt;=CI$5,$G114&lt;CI$5+GanttPeriod),"◆",IF(AND($E114&gt;=CI$5,$E114&lt;CI$5+GanttPeriod),"◇","")),IF(AND(CI$5&lt;=$F114,CI$5+GanttPeriod-1&gt;=$E114),"━","")))</f>
        <v/>
      </c>
      <c r="CJ114" s="69" t="str">
        <f aca="false">IF($E114="","",IF($M114,IF(AND($G114&gt;=CJ$5,$G114&lt;CJ$5+GanttPeriod),"◆",IF(AND($E114&gt;=CJ$5,$E114&lt;CJ$5+GanttPeriod),"◇","")),IF(AND(CJ$5&lt;=$F114,CJ$5+GanttPeriod-1&gt;=$E114),"━","")))</f>
        <v/>
      </c>
      <c r="CK114" s="69" t="str">
        <f aca="false">IF($E114="","",IF($M114,IF(AND($G114&gt;=CK$5,$G114&lt;CK$5+GanttPeriod),"◆",IF(AND($E114&gt;=CK$5,$E114&lt;CK$5+GanttPeriod),"◇","")),IF(AND(CK$5&lt;=$F114,CK$5+GanttPeriod-1&gt;=$E114),"━","")))</f>
        <v/>
      </c>
      <c r="CL114" s="69" t="str">
        <f aca="false">IF($E114="","",IF($M114,IF(AND($G114&gt;=CL$5,$G114&lt;CL$5+GanttPeriod),"◆",IF(AND($E114&gt;=CL$5,$E114&lt;CL$5+GanttPeriod),"◇","")),IF(AND(CL$5&lt;=$F114,CL$5+GanttPeriod-1&gt;=$E114),"━","")))</f>
        <v/>
      </c>
      <c r="CM114" s="69" t="str">
        <f aca="false">IF($E114="","",IF($M114,IF(AND($G114&gt;=CM$5,$G114&lt;CM$5+GanttPeriod),"◆",IF(AND($E114&gt;=CM$5,$E114&lt;CM$5+GanttPeriod),"◇","")),IF(AND(CM$5&lt;=$F114,CM$5+GanttPeriod-1&gt;=$E114),"━","")))</f>
        <v/>
      </c>
      <c r="CN114" s="69" t="str">
        <f aca="false">IF($E114="","",IF($M114,IF(AND($G114&gt;=CN$5,$G114&lt;CN$5+GanttPeriod),"◆",IF(AND($E114&gt;=CN$5,$E114&lt;CN$5+GanttPeriod),"◇","")),IF(AND(CN$5&lt;=$F114,CN$5+GanttPeriod-1&gt;=$E114),"━","")))</f>
        <v/>
      </c>
      <c r="CO114" s="69" t="str">
        <f aca="false">IF($E114="","",IF($M114,IF(AND($G114&gt;=CO$5,$G114&lt;CO$5+GanttPeriod),"◆",IF(AND($E114&gt;=CO$5,$E114&lt;CO$5+GanttPeriod),"◇","")),IF(AND(CO$5&lt;=$F114,CO$5+GanttPeriod-1&gt;=$E114),"━","")))</f>
        <v/>
      </c>
      <c r="CP114" s="69" t="str">
        <f aca="false">IF($E114="","",IF($M114,IF(AND($G114&gt;=CP$5,$G114&lt;CP$5+GanttPeriod),"◆",IF(AND($E114&gt;=CP$5,$E114&lt;CP$5+GanttPeriod),"◇","")),IF(AND(CP$5&lt;=$F114,CP$5+GanttPeriod-1&gt;=$E114),"━","")))</f>
        <v/>
      </c>
      <c r="CQ114" s="69" t="str">
        <f aca="false">IF($E114="","",IF($M114,IF(AND($G114&gt;=CQ$5,$G114&lt;CQ$5+GanttPeriod),"◆",IF(AND($E114&gt;=CQ$5,$E114&lt;CQ$5+GanttPeriod),"◇","")),IF(AND(CQ$5&lt;=$F114,CQ$5+GanttPeriod-1&gt;=$E114),"━","")))</f>
        <v/>
      </c>
      <c r="CR114" s="69" t="str">
        <f aca="false">IF($E114="","",IF($M114,IF(AND($G114&gt;=CR$5,$G114&lt;CR$5+GanttPeriod),"◆",IF(AND($E114&gt;=CR$5,$E114&lt;CR$5+GanttPeriod),"◇","")),IF(AND(CR$5&lt;=$F114,CR$5+GanttPeriod-1&gt;=$E114),"━","")))</f>
        <v/>
      </c>
      <c r="CS114" s="69" t="str">
        <f aca="false">IF($E114="","",IF($M114,IF(AND($G114&gt;=CS$5,$G114&lt;CS$5+GanttPeriod),"◆",IF(AND($E114&gt;=CS$5,$E114&lt;CS$5+GanttPeriod),"◇","")),IF(AND(CS$5&lt;=$F114,CS$5+GanttPeriod-1&gt;=$E114),"━","")))</f>
        <v/>
      </c>
      <c r="CT114" s="69" t="str">
        <f aca="false">IF($E114="","",IF($M114,IF(AND($G114&gt;=CT$5,$G114&lt;CT$5+GanttPeriod),"◆",IF(AND($E114&gt;=CT$5,$E114&lt;CT$5+GanttPeriod),"◇","")),IF(AND(CT$5&lt;=$F114,CT$5+GanttPeriod-1&gt;=$E114),"━","")))</f>
        <v/>
      </c>
      <c r="CU114" s="69" t="str">
        <f aca="false">IF($E114="","",IF($M114,IF(AND($G114&gt;=CU$5,$G114&lt;CU$5+GanttPeriod),"◆",IF(AND($E114&gt;=CU$5,$E114&lt;CU$5+GanttPeriod),"◇","")),IF(AND(CU$5&lt;=$F114,CU$5+GanttPeriod-1&gt;=$E114),"━","")))</f>
        <v/>
      </c>
      <c r="CV114" s="69" t="str">
        <f aca="false">IF($E114="","",IF($M114,IF(AND($G114&gt;=CV$5,$G114&lt;CV$5+GanttPeriod),"◆",IF(AND($E114&gt;=CV$5,$E114&lt;CV$5+GanttPeriod),"◇","")),IF(AND(CV$5&lt;=$F114,CV$5+GanttPeriod-1&gt;=$E114),"━","")))</f>
        <v/>
      </c>
      <c r="CW114" s="69" t="str">
        <f aca="false">IF($E114="","",IF($M114,IF(AND($G114&gt;=CW$5,$G114&lt;CW$5+GanttPeriod),"◆",IF(AND($E114&gt;=CW$5,$E114&lt;CW$5+GanttPeriod),"◇","")),IF(AND(CW$5&lt;=$F114,CW$5+GanttPeriod-1&gt;=$E114),"━","")))</f>
        <v/>
      </c>
      <c r="CX114" s="69" t="str">
        <f aca="false">IF($E114="","",IF($M114,IF(AND($G114&gt;=CX$5,$G114&lt;CX$5+GanttPeriod),"◆",IF(AND($E114&gt;=CX$5,$E114&lt;CX$5+GanttPeriod),"◇","")),IF(AND(CX$5&lt;=$F114,CX$5+GanttPeriod-1&gt;=$E114),"━","")))</f>
        <v/>
      </c>
      <c r="CY114" s="69" t="str">
        <f aca="false">IF($E114="","",IF($M114,IF(AND($G114&gt;=CY$5,$G114&lt;CY$5+GanttPeriod),"◆",IF(AND($E114&gt;=CY$5,$E114&lt;CY$5+GanttPeriod),"◇","")),IF(AND(CY$5&lt;=$F114,CY$5+GanttPeriod-1&gt;=$E114),"━","")))</f>
        <v/>
      </c>
      <c r="CZ114" s="69" t="str">
        <f aca="false">IF($E114="","",IF($M114,IF(AND($G114&gt;=CZ$5,$G114&lt;CZ$5+GanttPeriod),"◆",IF(AND($E114&gt;=CZ$5,$E114&lt;CZ$5+GanttPeriod),"◇","")),IF(AND(CZ$5&lt;=$F114,CZ$5+GanttPeriod-1&gt;=$E114),"━","")))</f>
        <v/>
      </c>
      <c r="DA114" s="69" t="str">
        <f aca="false">IF($E114="","",IF($M114,IF(AND($G114&gt;=DA$5,$G114&lt;DA$5+GanttPeriod),"◆",IF(AND($E114&gt;=DA$5,$E114&lt;DA$5+GanttPeriod),"◇","")),IF(AND(DA$5&lt;=$F114,DA$5+GanttPeriod-1&gt;=$E114),"━","")))</f>
        <v/>
      </c>
      <c r="DB114" s="69" t="str">
        <f aca="false">IF($E114="","",IF($M114,IF(AND($G114&gt;=DB$5,$G114&lt;DB$5+GanttPeriod),"◆",IF(AND($E114&gt;=DB$5,$E114&lt;DB$5+GanttPeriod),"◇","")),IF(AND(DB$5&lt;=$F114,DB$5+GanttPeriod-1&gt;=$E114),"━","")))</f>
        <v/>
      </c>
      <c r="DC114" s="69" t="str">
        <f aca="false">IF($E114="","",IF($M114,IF(AND($G114&gt;=DC$5,$G114&lt;DC$5+GanttPeriod),"◆",IF(AND($E114&gt;=DC$5,$E114&lt;DC$5+GanttPeriod),"◇","")),IF(AND(DC$5&lt;=$F114,DC$5+GanttPeriod-1&gt;=$E114),"━","")))</f>
        <v/>
      </c>
      <c r="DD114" s="69" t="str">
        <f aca="false">IF($E114="","",IF($M114,IF(AND($G114&gt;=DD$5,$G114&lt;DD$5+GanttPeriod),"◆",IF(AND($E114&gt;=DD$5,$E114&lt;DD$5+GanttPeriod),"◇","")),IF(AND(DD$5&lt;=$F114,DD$5+GanttPeriod-1&gt;=$E114),"━","")))</f>
        <v/>
      </c>
      <c r="DE114" s="69" t="str">
        <f aca="false">IF($E114="","",IF($M114,IF(AND($G114&gt;=DE$5,$G114&lt;DE$5+GanttPeriod),"◆",IF(AND($E114&gt;=DE$5,$E114&lt;DE$5+GanttPeriod),"◇","")),IF(AND(DE$5&lt;=$F114,DE$5+GanttPeriod-1&gt;=$E114),"━","")))</f>
        <v/>
      </c>
      <c r="DF114" s="69" t="str">
        <f aca="false">IF($E114="","",IF($M114,IF(AND($G114&gt;=DF$5,$G114&lt;DF$5+GanttPeriod),"◆",IF(AND($E114&gt;=DF$5,$E114&lt;DF$5+GanttPeriod),"◇","")),IF(AND(DF$5&lt;=$F114,DF$5+GanttPeriod-1&gt;=$E114),"━","")))</f>
        <v/>
      </c>
      <c r="DG114" s="69" t="str">
        <f aca="false">IF($E114="","",IF($M114,IF(AND($G114&gt;=DG$5,$G114&lt;DG$5+GanttPeriod),"◆",IF(AND($E114&gt;=DG$5,$E114&lt;DG$5+GanttPeriod),"◇","")),IF(AND(DG$5&lt;=$F114,DG$5+GanttPeriod-1&gt;=$E114),"━","")))</f>
        <v/>
      </c>
      <c r="DH114" s="69" t="str">
        <f aca="false">IF($E114="","",IF($M114,IF(AND($G114&gt;=DH$5,$G114&lt;DH$5+GanttPeriod),"◆",IF(AND($E114&gt;=DH$5,$E114&lt;DH$5+GanttPeriod),"◇","")),IF(AND(DH$5&lt;=$F114,DH$5+GanttPeriod-1&gt;=$E114),"━","")))</f>
        <v/>
      </c>
      <c r="DI114" s="69" t="str">
        <f aca="false">IF($E114="","",IF($M114,IF(AND($G114&gt;=DI$5,$G114&lt;DI$5+GanttPeriod),"◆",IF(AND($E114&gt;=DI$5,$E114&lt;DI$5+GanttPeriod),"◇","")),IF(AND(DI$5&lt;=$F114,DI$5+GanttPeriod-1&gt;=$E114),"━","")))</f>
        <v/>
      </c>
      <c r="DJ114" s="69" t="str">
        <f aca="false">IF($E114="","",IF($M114,IF(AND($G114&gt;=DJ$5,$G114&lt;DJ$5+GanttPeriod),"◆",IF(AND($E114&gt;=DJ$5,$E114&lt;DJ$5+GanttPeriod),"◇","")),IF(AND(DJ$5&lt;=$F114,DJ$5+GanttPeriod-1&gt;=$E114),"━","")))</f>
        <v/>
      </c>
      <c r="DK114" s="69" t="str">
        <f aca="false">IF($E114="","",IF($M114,IF(AND($G114&gt;=DK$5,$G114&lt;DK$5+GanttPeriod),"◆",IF(AND($E114&gt;=DK$5,$E114&lt;DK$5+GanttPeriod),"◇","")),IF(AND(DK$5&lt;=$F114,DK$5+GanttPeriod-1&gt;=$E114),"━","")))</f>
        <v/>
      </c>
      <c r="DL114" s="69" t="str">
        <f aca="false">IF($E114="","",IF($M114,IF(AND($G114&gt;=DL$5,$G114&lt;DL$5+GanttPeriod),"◆",IF(AND($E114&gt;=DL$5,$E114&lt;DL$5+GanttPeriod),"◇","")),IF(AND(DL$5&lt;=$F114,DL$5+GanttPeriod-1&gt;=$E114),"━","")))</f>
        <v/>
      </c>
      <c r="DM114" s="69" t="str">
        <f aca="false">IF($E114="","",IF($M114,IF(AND($G114&gt;=DM$5,$G114&lt;DM$5+GanttPeriod),"◆",IF(AND($E114&gt;=DM$5,$E114&lt;DM$5+GanttPeriod),"◇","")),IF(AND(DM$5&lt;=$F114,DM$5+GanttPeriod-1&gt;=$E114),"━","")))</f>
        <v/>
      </c>
      <c r="DN114" s="69" t="str">
        <f aca="false">IF($E114="","",IF($M114,IF(AND($G114&gt;=DN$5,$G114&lt;DN$5+GanttPeriod),"◆",IF(AND($E114&gt;=DN$5,$E114&lt;DN$5+GanttPeriod),"◇","")),IF(AND(DN$5&lt;=$F114,DN$5+GanttPeriod-1&gt;=$E114),"━","")))</f>
        <v/>
      </c>
      <c r="DO114" s="69" t="str">
        <f aca="false">IF($E114="","",IF($M114,IF(AND($G114&gt;=DO$5,$G114&lt;DO$5+GanttPeriod),"◆",IF(AND($E114&gt;=DO$5,$E114&lt;DO$5+GanttPeriod),"◇","")),IF(AND(DO$5&lt;=$F114,DO$5+GanttPeriod-1&gt;=$E114),"━","")))</f>
        <v/>
      </c>
      <c r="DP114" s="69" t="str">
        <f aca="false">IF($E114="","",IF($M114,IF(AND($G114&gt;=DP$5,$G114&lt;DP$5+GanttPeriod),"◆",IF(AND($E114&gt;=DP$5,$E114&lt;DP$5+GanttPeriod),"◇","")),IF(AND(DP$5&lt;=$F114,DP$5+GanttPeriod-1&gt;=$E114),"━","")))</f>
        <v/>
      </c>
      <c r="DQ114" s="69" t="str">
        <f aca="false">IF($E114="","",IF($M114,IF(AND($G114&gt;=DQ$5,$G114&lt;DQ$5+GanttPeriod),"◆",IF(AND($E114&gt;=DQ$5,$E114&lt;DQ$5+GanttPeriod),"◇","")),IF(AND(DQ$5&lt;=$F114,DQ$5+GanttPeriod-1&gt;=$E114),"━","")))</f>
        <v/>
      </c>
      <c r="DR114" s="69" t="str">
        <f aca="false">IF($E114="","",IF($M114,IF(AND($G114&gt;=DR$5,$G114&lt;DR$5+GanttPeriod),"◆",IF(AND($E114&gt;=DR$5,$E114&lt;DR$5+GanttPeriod),"◇","")),IF(AND(DR$5&lt;=$F114,DR$5+GanttPeriod-1&gt;=$E114),"━","")))</f>
        <v/>
      </c>
      <c r="DS114" s="69" t="str">
        <f aca="false">IF($E114="","",IF($M114,IF(AND($G114&gt;=DS$5,$G114&lt;DS$5+GanttPeriod),"◆",IF(AND($E114&gt;=DS$5,$E114&lt;DS$5+GanttPeriod),"◇","")),IF(AND(DS$5&lt;=$F114,DS$5+GanttPeriod-1&gt;=$E114),"━","")))</f>
        <v/>
      </c>
      <c r="DT114" s="69" t="str">
        <f aca="false">IF($E114="","",IF($M114,IF(AND($G114&gt;=DT$5,$G114&lt;DT$5+GanttPeriod),"◆",IF(AND($E114&gt;=DT$5,$E114&lt;DT$5+GanttPeriod),"◇","")),IF(AND(DT$5&lt;=$F114,DT$5+GanttPeriod-1&gt;=$E114),"━","")))</f>
        <v/>
      </c>
      <c r="DU114" s="69" t="str">
        <f aca="false">IF($E114="","",IF($M114,IF(AND($G114&gt;=DU$5,$G114&lt;DU$5+GanttPeriod),"◆",IF(AND($E114&gt;=DU$5,$E114&lt;DU$5+GanttPeriod),"◇","")),IF(AND(DU$5&lt;=$F114,DU$5+GanttPeriod-1&gt;=$E114),"━","")))</f>
        <v/>
      </c>
      <c r="DV114" s="69" t="str">
        <f aca="false">IF($E114="","",IF($M114,IF(AND($G114&gt;=DV$5,$G114&lt;DV$5+GanttPeriod),"◆",IF(AND($E114&gt;=DV$5,$E114&lt;DV$5+GanttPeriod),"◇","")),IF(AND(DV$5&lt;=$F114,DV$5+GanttPeriod-1&gt;=$E114),"━","")))</f>
        <v/>
      </c>
      <c r="DW114" s="69" t="str">
        <f aca="false">IF($E114="","",IF($M114,IF(AND($G114&gt;=DW$5,$G114&lt;DW$5+GanttPeriod),"◆",IF(AND($E114&gt;=DW$5,$E114&lt;DW$5+GanttPeriod),"◇","")),IF(AND(DW$5&lt;=$F114,DW$5+GanttPeriod-1&gt;=$E114),"━","")))</f>
        <v/>
      </c>
      <c r="DX114" s="69" t="str">
        <f aca="false">IF($E114="","",IF($M114,IF(AND($G114&gt;=DX$5,$G114&lt;DX$5+GanttPeriod),"◆",IF(AND($E114&gt;=DX$5,$E114&lt;DX$5+GanttPeriod),"◇","")),IF(AND(DX$5&lt;=$F114,DX$5+GanttPeriod-1&gt;=$E114),"━","")))</f>
        <v/>
      </c>
      <c r="DY114" s="69" t="str">
        <f aca="false">IF($E114="","",IF($M114,IF(AND($G114&gt;=DY$5,$G114&lt;DY$5+GanttPeriod),"◆",IF(AND($E114&gt;=DY$5,$E114&lt;DY$5+GanttPeriod),"◇","")),IF(AND(DY$5&lt;=$F114,DY$5+GanttPeriod-1&gt;=$E114),"━","")))</f>
        <v/>
      </c>
      <c r="DZ114" s="69" t="str">
        <f aca="false">IF($E114="","",IF($M114,IF(AND($G114&gt;=DZ$5,$G114&lt;DZ$5+GanttPeriod),"◆",IF(AND($E114&gt;=DZ$5,$E114&lt;DZ$5+GanttPeriod),"◇","")),IF(AND(DZ$5&lt;=$F114,DZ$5+GanttPeriod-1&gt;=$E114),"━","")))</f>
        <v/>
      </c>
      <c r="EA114" s="69" t="str">
        <f aca="false">IF($E114="","",IF($M114,IF(AND($G114&gt;=EA$5,$G114&lt;EA$5+GanttPeriod),"◆",IF(AND($E114&gt;=EA$5,$E114&lt;EA$5+GanttPeriod),"◇","")),IF(AND(EA$5&lt;=$F114,EA$5+GanttPeriod-1&gt;=$E114),"━","")))</f>
        <v/>
      </c>
      <c r="EB114" s="69" t="str">
        <f aca="false">IF($E114="","",IF($M114,IF(AND($G114&gt;=EB$5,$G114&lt;EB$5+GanttPeriod),"◆",IF(AND($E114&gt;=EB$5,$E114&lt;EB$5+GanttPeriod),"◇","")),IF(AND(EB$5&lt;=$F114,EB$5+GanttPeriod-1&gt;=$E114),"━","")))</f>
        <v/>
      </c>
      <c r="EC114" s="69" t="str">
        <f aca="false">IF($E114="","",IF($M114,IF(AND($G114&gt;=EC$5,$G114&lt;EC$5+GanttPeriod),"◆",IF(AND($E114&gt;=EC$5,$E114&lt;EC$5+GanttPeriod),"◇","")),IF(AND(EC$5&lt;=$F114,EC$5+GanttPeriod-1&gt;=$E114),"━","")))</f>
        <v/>
      </c>
      <c r="ED114" s="69" t="str">
        <f aca="false">IF($E114="","",IF($M114,IF(AND($G114&gt;=ED$5,$G114&lt;ED$5+GanttPeriod),"◆",IF(AND($E114&gt;=ED$5,$E114&lt;ED$5+GanttPeriod),"◇","")),IF(AND(ED$5&lt;=$F114,ED$5+GanttPeriod-1&gt;=$E114),"━","")))</f>
        <v/>
      </c>
      <c r="EE114" s="69" t="str">
        <f aca="false">IF($E114="","",IF($M114,IF(AND($G114&gt;=EE$5,$G114&lt;EE$5+GanttPeriod),"◆",IF(AND($E114&gt;=EE$5,$E114&lt;EE$5+GanttPeriod),"◇","")),IF(AND(EE$5&lt;=$F114,EE$5+GanttPeriod-1&gt;=$E114),"━","")))</f>
        <v/>
      </c>
      <c r="EF114" s="69" t="str">
        <f aca="false">IF($E114="","",IF($M114,IF(AND($G114&gt;=EF$5,$G114&lt;EF$5+GanttPeriod),"◆",IF(AND($E114&gt;=EF$5,$E114&lt;EF$5+GanttPeriod),"◇","")),IF(AND(EF$5&lt;=$F114,EF$5+GanttPeriod-1&gt;=$E114),"━","")))</f>
        <v/>
      </c>
      <c r="EG114" s="69" t="str">
        <f aca="false">IF($E114="","",IF($M114,IF(AND($G114&gt;=EG$5,$G114&lt;EG$5+GanttPeriod),"◆",IF(AND($E114&gt;=EG$5,$E114&lt;EG$5+GanttPeriod),"◇","")),IF(AND(EG$5&lt;=$F114,EG$5+GanttPeriod-1&gt;=$E114),"━","")))</f>
        <v/>
      </c>
      <c r="EH114" s="69" t="str">
        <f aca="false">IF($E114="","",IF($M114,IF(AND($G114&gt;=EH$5,$G114&lt;EH$5+GanttPeriod),"◆",IF(AND($E114&gt;=EH$5,$E114&lt;EH$5+GanttPeriod),"◇","")),IF(AND(EH$5&lt;=$F114,EH$5+GanttPeriod-1&gt;=$E114),"━","")))</f>
        <v/>
      </c>
      <c r="EI114" s="69" t="str">
        <f aca="false">IF($E114="","",IF($M114,IF(AND($G114&gt;=EI$5,$G114&lt;EI$5+GanttPeriod),"◆",IF(AND($E114&gt;=EI$5,$E114&lt;EI$5+GanttPeriod),"◇","")),IF(AND(EI$5&lt;=$F114,EI$5+GanttPeriod-1&gt;=$E114),"━","")))</f>
        <v/>
      </c>
      <c r="EJ114" s="69" t="str">
        <f aca="false">IF($E114="","",IF($M114,IF(AND($G114&gt;=EJ$5,$G114&lt;EJ$5+GanttPeriod),"◆",IF(AND($E114&gt;=EJ$5,$E114&lt;EJ$5+GanttPeriod),"◇","")),IF(AND(EJ$5&lt;=$F114,EJ$5+GanttPeriod-1&gt;=$E114),"━","")))</f>
        <v/>
      </c>
      <c r="EK114" s="69" t="str">
        <f aca="false">IF($E114="","",IF($M114,IF(AND($G114&gt;=EK$5,$G114&lt;EK$5+GanttPeriod),"◆",IF(AND($E114&gt;=EK$5,$E114&lt;EK$5+GanttPeriod),"◇","")),IF(AND(EK$5&lt;=$F114,EK$5+GanttPeriod-1&gt;=$E114),"━","")))</f>
        <v/>
      </c>
      <c r="EL114" s="69" t="str">
        <f aca="false">IF($E114="","",IF($M114,IF(AND($G114&gt;=EL$5,$G114&lt;EL$5+GanttPeriod),"◆",IF(AND($E114&gt;=EL$5,$E114&lt;EL$5+GanttPeriod),"◇","")),IF(AND(EL$5&lt;=$F114,EL$5+GanttPeriod-1&gt;=$E114),"━","")))</f>
        <v/>
      </c>
      <c r="EM114" s="69" t="str">
        <f aca="false">IF($E114="","",IF($M114,IF(AND($G114&gt;=EM$5,$G114&lt;EM$5+GanttPeriod),"◆",IF(AND($E114&gt;=EM$5,$E114&lt;EM$5+GanttPeriod),"◇","")),IF(AND(EM$5&lt;=$F114,EM$5+GanttPeriod-1&gt;=$E114),"━","")))</f>
        <v/>
      </c>
      <c r="EN114" s="69" t="str">
        <f aca="false">IF($E114="","",IF($M114,IF(AND($G114&gt;=EN$5,$G114&lt;EN$5+GanttPeriod),"◆",IF(AND($E114&gt;=EN$5,$E114&lt;EN$5+GanttPeriod),"◇","")),IF(AND(EN$5&lt;=$F114,EN$5+GanttPeriod-1&gt;=$E114),"━","")))</f>
        <v/>
      </c>
      <c r="EO114" s="69" t="str">
        <f aca="false">IF($E114="","",IF($M114,IF(AND($G114&gt;=EO$5,$G114&lt;EO$5+GanttPeriod),"◆",IF(AND($E114&gt;=EO$5,$E114&lt;EO$5+GanttPeriod),"◇","")),IF(AND(EO$5&lt;=$F114,EO$5+GanttPeriod-1&gt;=$E114),"━","")))</f>
        <v/>
      </c>
      <c r="EP114" s="69" t="str">
        <f aca="false">IF($E114="","",IF($M114,IF(AND($G114&gt;=EP$5,$G114&lt;EP$5+GanttPeriod),"◆",IF(AND($E114&gt;=EP$5,$E114&lt;EP$5+GanttPeriod),"◇","")),IF(AND(EP$5&lt;=$F114,EP$5+GanttPeriod-1&gt;=$E114),"━","")))</f>
        <v/>
      </c>
      <c r="EQ114" s="69" t="str">
        <f aca="false">IF($E114="","",IF($M114,IF(AND($G114&gt;=EQ$5,$G114&lt;EQ$5+GanttPeriod),"◆",IF(AND($E114&gt;=EQ$5,$E114&lt;EQ$5+GanttPeriod),"◇","")),IF(AND(EQ$5&lt;=$F114,EQ$5+GanttPeriod-1&gt;=$E114),"━","")))</f>
        <v/>
      </c>
      <c r="ER114" s="69" t="str">
        <f aca="false">IF($E114="","",IF($M114,IF(AND($G114&gt;=ER$5,$G114&lt;ER$5+GanttPeriod),"◆",IF(AND($E114&gt;=ER$5,$E114&lt;ER$5+GanttPeriod),"◇","")),IF(AND(ER$5&lt;=$F114,ER$5+GanttPeriod-1&gt;=$E114),"━","")))</f>
        <v/>
      </c>
      <c r="ES114" s="69" t="str">
        <f aca="false">IF($E114="","",IF($M114,IF(AND($G114&gt;=ES$5,$G114&lt;ES$5+GanttPeriod),"◆",IF(AND($E114&gt;=ES$5,$E114&lt;ES$5+GanttPeriod),"◇","")),IF(AND(ES$5&lt;=$F114,ES$5+GanttPeriod-1&gt;=$E114),"━","")))</f>
        <v/>
      </c>
      <c r="ET114" s="69" t="str">
        <f aca="false">IF($E114="","",IF($M114,IF(AND($G114&gt;=ET$5,$G114&lt;ET$5+GanttPeriod),"◆",IF(AND($E114&gt;=ET$5,$E114&lt;ET$5+GanttPeriod),"◇","")),IF(AND(ET$5&lt;=$F114,ET$5+GanttPeriod-1&gt;=$E114),"━","")))</f>
        <v/>
      </c>
      <c r="EU114" s="69" t="str">
        <f aca="false">IF($E114="","",IF($M114,IF(AND($G114&gt;=EU$5,$G114&lt;EU$5+GanttPeriod),"◆",IF(AND($E114&gt;=EU$5,$E114&lt;EU$5+GanttPeriod),"◇","")),IF(AND(EU$5&lt;=$F114,EU$5+GanttPeriod-1&gt;=$E114),"━","")))</f>
        <v/>
      </c>
      <c r="EV114" s="69" t="str">
        <f aca="false">IF($E114="","",IF($M114,IF(AND($G114&gt;=EV$5,$G114&lt;EV$5+GanttPeriod),"◆",IF(AND($E114&gt;=EV$5,$E114&lt;EV$5+GanttPeriod),"◇","")),IF(AND(EV$5&lt;=$F114,EV$5+GanttPeriod-1&gt;=$E114),"━","")))</f>
        <v/>
      </c>
      <c r="EW114" s="69" t="str">
        <f aca="false">IF($E114="","",IF($M114,IF(AND($G114&gt;=EW$5,$G114&lt;EW$5+GanttPeriod),"◆",IF(AND($E114&gt;=EW$5,$E114&lt;EW$5+GanttPeriod),"◇","")),IF(AND(EW$5&lt;=$F114,EW$5+GanttPeriod-1&gt;=$E114),"━","")))</f>
        <v/>
      </c>
      <c r="EX114" s="69" t="str">
        <f aca="false">IF($E114="","",IF($M114,IF(AND($G114&gt;=EX$5,$G114&lt;EX$5+GanttPeriod),"◆",IF(AND($E114&gt;=EX$5,$E114&lt;EX$5+GanttPeriod),"◇","")),IF(AND(EX$5&lt;=$F114,EX$5+GanttPeriod-1&gt;=$E114),"━","")))</f>
        <v/>
      </c>
      <c r="EY114" s="69" t="str">
        <f aca="false">IF($E114="","",IF($M114,IF(AND($G114&gt;=EY$5,$G114&lt;EY$5+GanttPeriod),"◆",IF(AND($E114&gt;=EY$5,$E114&lt;EY$5+GanttPeriod),"◇","")),IF(AND(EY$5&lt;=$F114,EY$5+GanttPeriod-1&gt;=$E114),"━","")))</f>
        <v/>
      </c>
      <c r="EZ114" s="69" t="str">
        <f aca="false">IF($E114="","",IF($M114,IF(AND($G114&gt;=EZ$5,$G114&lt;EZ$5+GanttPeriod),"◆",IF(AND($E114&gt;=EZ$5,$E114&lt;EZ$5+GanttPeriod),"◇","")),IF(AND(EZ$5&lt;=$F114,EZ$5+GanttPeriod-1&gt;=$E114),"━","")))</f>
        <v/>
      </c>
      <c r="FA114" s="69" t="str">
        <f aca="false">IF($E114="","",IF($M114,IF(AND($G114&gt;=FA$5,$G114&lt;FA$5+GanttPeriod),"◆",IF(AND($E114&gt;=FA$5,$E114&lt;FA$5+GanttPeriod),"◇","")),IF(AND(FA$5&lt;=$F114,FA$5+GanttPeriod-1&gt;=$E114),"━","")))</f>
        <v/>
      </c>
      <c r="FB114" s="69" t="str">
        <f aca="false">IF($E114="","",IF($M114,IF(AND($G114&gt;=FB$5,$G114&lt;FB$5+GanttPeriod),"◆",IF(AND($E114&gt;=FB$5,$E114&lt;FB$5+GanttPeriod),"◇","")),IF(AND(FB$5&lt;=$F114,FB$5+GanttPeriod-1&gt;=$E114),"━","")))</f>
        <v/>
      </c>
      <c r="FC114" s="69" t="str">
        <f aca="false">IF($E114="","",IF($M114,IF(AND($G114&gt;=FC$5,$G114&lt;FC$5+GanttPeriod),"◆",IF(AND($E114&gt;=FC$5,$E114&lt;FC$5+GanttPeriod),"◇","")),IF(AND(FC$5&lt;=$F114,FC$5+GanttPeriod-1&gt;=$E114),"━","")))</f>
        <v/>
      </c>
      <c r="FD114" s="69" t="str">
        <f aca="false">IF($E114="","",IF($M114,IF(AND($G114&gt;=FD$5,$G114&lt;FD$5+GanttPeriod),"◆",IF(AND($E114&gt;=FD$5,$E114&lt;FD$5+GanttPeriod),"◇","")),IF(AND(FD$5&lt;=$F114,FD$5+GanttPeriod-1&gt;=$E114),"━","")))</f>
        <v/>
      </c>
      <c r="FE114" s="69" t="str">
        <f aca="false">IF($E114="","",IF($M114,IF(AND($G114&gt;=FE$5,$G114&lt;FE$5+GanttPeriod),"◆",IF(AND($E114&gt;=FE$5,$E114&lt;FE$5+GanttPeriod),"◇","")),IF(AND(FE$5&lt;=$F114,FE$5+GanttPeriod-1&gt;=$E114),"━","")))</f>
        <v/>
      </c>
      <c r="FF114" s="69" t="str">
        <f aca="false">IF($E114="","",IF($M114,IF(AND($G114&gt;=FF$5,$G114&lt;FF$5+GanttPeriod),"◆",IF(AND($E114&gt;=FF$5,$E114&lt;FF$5+GanttPeriod),"◇","")),IF(AND(FF$5&lt;=$F114,FF$5+GanttPeriod-1&gt;=$E114),"━","")))</f>
        <v/>
      </c>
      <c r="FG114" s="69" t="str">
        <f aca="false">IF($E114="","",IF($M114,IF(AND($G114&gt;=FG$5,$G114&lt;FG$5+GanttPeriod),"◆",IF(AND($E114&gt;=FG$5,$E114&lt;FG$5+GanttPeriod),"◇","")),IF(AND(FG$5&lt;=$F114,FG$5+GanttPeriod-1&gt;=$E114),"━","")))</f>
        <v/>
      </c>
      <c r="FH114" s="69" t="str">
        <f aca="false">IF($E114="","",IF($M114,IF(AND($G114&gt;=FH$5,$G114&lt;FH$5+GanttPeriod),"◆",IF(AND($E114&gt;=FH$5,$E114&lt;FH$5+GanttPeriod),"◇","")),IF(AND(FH$5&lt;=$F114,FH$5+GanttPeriod-1&gt;=$E114),"━","")))</f>
        <v/>
      </c>
      <c r="FI114" s="69" t="str">
        <f aca="false">IF($E114="","",IF($M114,IF(AND($G114&gt;=FI$5,$G114&lt;FI$5+GanttPeriod),"◆",IF(AND($E114&gt;=FI$5,$E114&lt;FI$5+GanttPeriod),"◇","")),IF(AND(FI$5&lt;=$F114,FI$5+GanttPeriod-1&gt;=$E114),"━","")))</f>
        <v/>
      </c>
      <c r="FJ114" s="69" t="str">
        <f aca="false">IF($E114="","",IF($M114,IF(AND($G114&gt;=FJ$5,$G114&lt;FJ$5+GanttPeriod),"◆",IF(AND($E114&gt;=FJ$5,$E114&lt;FJ$5+GanttPeriod),"◇","")),IF(AND(FJ$5&lt;=$F114,FJ$5+GanttPeriod-1&gt;=$E114),"━","")))</f>
        <v/>
      </c>
      <c r="FK114" s="69" t="str">
        <f aca="false">IF($E114="","",IF($M114,IF(AND($G114&gt;=FK$5,$G114&lt;FK$5+GanttPeriod),"◆",IF(AND($E114&gt;=FK$5,$E114&lt;FK$5+GanttPeriod),"◇","")),IF(AND(FK$5&lt;=$F114,FK$5+GanttPeriod-1&gt;=$E114),"━","")))</f>
        <v/>
      </c>
      <c r="FL114" s="69" t="str">
        <f aca="false">IF($E114="","",IF($M114,IF(AND($G114&gt;=FL$5,$G114&lt;FL$5+GanttPeriod),"◆",IF(AND($E114&gt;=FL$5,$E114&lt;FL$5+GanttPeriod),"◇","")),IF(AND(FL$5&lt;=$F114,FL$5+GanttPeriod-1&gt;=$E114),"━","")))</f>
        <v/>
      </c>
      <c r="FM114" s="69" t="str">
        <f aca="false">IF($E114="","",IF($M114,IF(AND($G114&gt;=FM$5,$G114&lt;FM$5+GanttPeriod),"◆",IF(AND($E114&gt;=FM$5,$E114&lt;FM$5+GanttPeriod),"◇","")),IF(AND(FM$5&lt;=$F114,FM$5+GanttPeriod-1&gt;=$E114),"━","")))</f>
        <v/>
      </c>
    </row>
    <row r="115" customFormat="false" ht="15" hidden="false" customHeight="false" outlineLevel="0" collapsed="false">
      <c r="A115" s="62" t="str">
        <f aca="false">IF(Tasks!$D115="","",Tasks!$A115)</f>
        <v/>
      </c>
      <c r="B115" s="62" t="str">
        <f aca="false">IF(Tasks!$D115="","",Tasks!$B115)</f>
        <v/>
      </c>
      <c r="C115" s="63" t="str">
        <f aca="false">IF(Tasks!$D115="","",REPT("    ",Tasks!$AE115-1)&amp;Tasks!$D115)</f>
        <v/>
      </c>
      <c r="D115" s="62" t="str">
        <f aca="false">IF(Tasks!$D115="","",IF(Tasks!$AI115,NETWORKDAYS.INTL(Tasks!$R115,Tasks!$S115,WorkWeek,Holidays),N(Tasks!$F115)))</f>
        <v/>
      </c>
      <c r="E115" s="64" t="str">
        <f aca="false">IF(Tasks!$D115="","",Tasks!$N115)</f>
        <v/>
      </c>
      <c r="F115" s="64" t="str">
        <f aca="false">IF(Tasks!$D115="","",Tasks!$O115)</f>
        <v/>
      </c>
      <c r="G115" s="64" t="str">
        <f aca="false">IF(Tasks!$D115="","",Tasks!$R115)</f>
        <v/>
      </c>
      <c r="H115" s="64" t="str">
        <f aca="false">IF(Tasks!$D115="","",Tasks!$S115)</f>
        <v/>
      </c>
      <c r="I115" s="65" t="str">
        <f aca="false">IF(Tasks!$D115="","",Tasks!$V115)</f>
        <v/>
      </c>
      <c r="J115" s="63" t="str">
        <f aca="false">IF(Tasks!$D115="","",Tasks!$X115&amp;"")</f>
        <v/>
      </c>
      <c r="K115" s="66" t="str">
        <f aca="false">IF(Tasks!$D115="","",Tasks!$W115)</f>
        <v/>
      </c>
      <c r="L115" s="67" t="b">
        <f aca="false">IF(Tasks!$D115="",FALSE(),Tasks!$AI115)</f>
        <v>0</v>
      </c>
      <c r="M115" s="67" t="b">
        <f aca="false">AND(Tasks!$AJ115=1,N(Tasks!$F115)=0)</f>
        <v>0</v>
      </c>
      <c r="N115" s="68" t="n">
        <f aca="false">IF(AND(Tasks!$AJ115=1,NOT($M115),N($I115)&gt;0),$G115,0)</f>
        <v>0</v>
      </c>
      <c r="O115" s="68" t="n">
        <f aca="false">IF($N115=0,0,IF($I115&gt;=1,$H115,MAX($N115,$G115+ROUND(($H115-$G115+1)*$I115,0)-1)))</f>
        <v>0</v>
      </c>
      <c r="P115" s="68" t="n">
        <f aca="false">IF(OR(Tasks!$AJ115&lt;&gt;1,$M115,N($I115)&gt;=1),0,IF($O115&gt;0,$O115+1,$G115))</f>
        <v>0</v>
      </c>
      <c r="Q115" s="68" t="n">
        <f aca="false">IF($P115=0,0,$H115)</f>
        <v>0</v>
      </c>
      <c r="R115" s="67" t="b">
        <f aca="false">AND(Tasks!$D115&lt;&gt;"",N(Tasks!$T115)&gt;0)</f>
        <v>0</v>
      </c>
      <c r="T115" s="69" t="str">
        <f aca="false">IF($E115="","",IF($M115,IF(AND($G115&gt;=T$5,$G115&lt;T$5+GanttPeriod),"◆",IF(AND($E115&gt;=T$5,$E115&lt;T$5+GanttPeriod),"◇","")),IF(AND(T$5&lt;=$F115,T$5+GanttPeriod-1&gt;=$E115),"━","")))</f>
        <v/>
      </c>
      <c r="U115" s="69" t="str">
        <f aca="false">IF($E115="","",IF($M115,IF(AND($G115&gt;=U$5,$G115&lt;U$5+GanttPeriod),"◆",IF(AND($E115&gt;=U$5,$E115&lt;U$5+GanttPeriod),"◇","")),IF(AND(U$5&lt;=$F115,U$5+GanttPeriod-1&gt;=$E115),"━","")))</f>
        <v/>
      </c>
      <c r="V115" s="69" t="str">
        <f aca="false">IF($E115="","",IF($M115,IF(AND($G115&gt;=V$5,$G115&lt;V$5+GanttPeriod),"◆",IF(AND($E115&gt;=V$5,$E115&lt;V$5+GanttPeriod),"◇","")),IF(AND(V$5&lt;=$F115,V$5+GanttPeriod-1&gt;=$E115),"━","")))</f>
        <v/>
      </c>
      <c r="W115" s="69" t="str">
        <f aca="false">IF($E115="","",IF($M115,IF(AND($G115&gt;=W$5,$G115&lt;W$5+GanttPeriod),"◆",IF(AND($E115&gt;=W$5,$E115&lt;W$5+GanttPeriod),"◇","")),IF(AND(W$5&lt;=$F115,W$5+GanttPeriod-1&gt;=$E115),"━","")))</f>
        <v/>
      </c>
      <c r="X115" s="69" t="str">
        <f aca="false">IF($E115="","",IF($M115,IF(AND($G115&gt;=X$5,$G115&lt;X$5+GanttPeriod),"◆",IF(AND($E115&gt;=X$5,$E115&lt;X$5+GanttPeriod),"◇","")),IF(AND(X$5&lt;=$F115,X$5+GanttPeriod-1&gt;=$E115),"━","")))</f>
        <v/>
      </c>
      <c r="Y115" s="69" t="str">
        <f aca="false">IF($E115="","",IF($M115,IF(AND($G115&gt;=Y$5,$G115&lt;Y$5+GanttPeriod),"◆",IF(AND($E115&gt;=Y$5,$E115&lt;Y$5+GanttPeriod),"◇","")),IF(AND(Y$5&lt;=$F115,Y$5+GanttPeriod-1&gt;=$E115),"━","")))</f>
        <v/>
      </c>
      <c r="Z115" s="69" t="str">
        <f aca="false">IF($E115="","",IF($M115,IF(AND($G115&gt;=Z$5,$G115&lt;Z$5+GanttPeriod),"◆",IF(AND($E115&gt;=Z$5,$E115&lt;Z$5+GanttPeriod),"◇","")),IF(AND(Z$5&lt;=$F115,Z$5+GanttPeriod-1&gt;=$E115),"━","")))</f>
        <v/>
      </c>
      <c r="AA115" s="69" t="str">
        <f aca="false">IF($E115="","",IF($M115,IF(AND($G115&gt;=AA$5,$G115&lt;AA$5+GanttPeriod),"◆",IF(AND($E115&gt;=AA$5,$E115&lt;AA$5+GanttPeriod),"◇","")),IF(AND(AA$5&lt;=$F115,AA$5+GanttPeriod-1&gt;=$E115),"━","")))</f>
        <v/>
      </c>
      <c r="AB115" s="69" t="str">
        <f aca="false">IF($E115="","",IF($M115,IF(AND($G115&gt;=AB$5,$G115&lt;AB$5+GanttPeriod),"◆",IF(AND($E115&gt;=AB$5,$E115&lt;AB$5+GanttPeriod),"◇","")),IF(AND(AB$5&lt;=$F115,AB$5+GanttPeriod-1&gt;=$E115),"━","")))</f>
        <v/>
      </c>
      <c r="AC115" s="69" t="str">
        <f aca="false">IF($E115="","",IF($M115,IF(AND($G115&gt;=AC$5,$G115&lt;AC$5+GanttPeriod),"◆",IF(AND($E115&gt;=AC$5,$E115&lt;AC$5+GanttPeriod),"◇","")),IF(AND(AC$5&lt;=$F115,AC$5+GanttPeriod-1&gt;=$E115),"━","")))</f>
        <v/>
      </c>
      <c r="AD115" s="69" t="str">
        <f aca="false">IF($E115="","",IF($M115,IF(AND($G115&gt;=AD$5,$G115&lt;AD$5+GanttPeriod),"◆",IF(AND($E115&gt;=AD$5,$E115&lt;AD$5+GanttPeriod),"◇","")),IF(AND(AD$5&lt;=$F115,AD$5+GanttPeriod-1&gt;=$E115),"━","")))</f>
        <v/>
      </c>
      <c r="AE115" s="69" t="str">
        <f aca="false">IF($E115="","",IF($M115,IF(AND($G115&gt;=AE$5,$G115&lt;AE$5+GanttPeriod),"◆",IF(AND($E115&gt;=AE$5,$E115&lt;AE$5+GanttPeriod),"◇","")),IF(AND(AE$5&lt;=$F115,AE$5+GanttPeriod-1&gt;=$E115),"━","")))</f>
        <v/>
      </c>
      <c r="AF115" s="69" t="str">
        <f aca="false">IF($E115="","",IF($M115,IF(AND($G115&gt;=AF$5,$G115&lt;AF$5+GanttPeriod),"◆",IF(AND($E115&gt;=AF$5,$E115&lt;AF$5+GanttPeriod),"◇","")),IF(AND(AF$5&lt;=$F115,AF$5+GanttPeriod-1&gt;=$E115),"━","")))</f>
        <v/>
      </c>
      <c r="AG115" s="69" t="str">
        <f aca="false">IF($E115="","",IF($M115,IF(AND($G115&gt;=AG$5,$G115&lt;AG$5+GanttPeriod),"◆",IF(AND($E115&gt;=AG$5,$E115&lt;AG$5+GanttPeriod),"◇","")),IF(AND(AG$5&lt;=$F115,AG$5+GanttPeriod-1&gt;=$E115),"━","")))</f>
        <v/>
      </c>
      <c r="AH115" s="69" t="str">
        <f aca="false">IF($E115="","",IF($M115,IF(AND($G115&gt;=AH$5,$G115&lt;AH$5+GanttPeriod),"◆",IF(AND($E115&gt;=AH$5,$E115&lt;AH$5+GanttPeriod),"◇","")),IF(AND(AH$5&lt;=$F115,AH$5+GanttPeriod-1&gt;=$E115),"━","")))</f>
        <v/>
      </c>
      <c r="AI115" s="69" t="str">
        <f aca="false">IF($E115="","",IF($M115,IF(AND($G115&gt;=AI$5,$G115&lt;AI$5+GanttPeriod),"◆",IF(AND($E115&gt;=AI$5,$E115&lt;AI$5+GanttPeriod),"◇","")),IF(AND(AI$5&lt;=$F115,AI$5+GanttPeriod-1&gt;=$E115),"━","")))</f>
        <v/>
      </c>
      <c r="AJ115" s="69" t="str">
        <f aca="false">IF($E115="","",IF($M115,IF(AND($G115&gt;=AJ$5,$G115&lt;AJ$5+GanttPeriod),"◆",IF(AND($E115&gt;=AJ$5,$E115&lt;AJ$5+GanttPeriod),"◇","")),IF(AND(AJ$5&lt;=$F115,AJ$5+GanttPeriod-1&gt;=$E115),"━","")))</f>
        <v/>
      </c>
      <c r="AK115" s="69" t="str">
        <f aca="false">IF($E115="","",IF($M115,IF(AND($G115&gt;=AK$5,$G115&lt;AK$5+GanttPeriod),"◆",IF(AND($E115&gt;=AK$5,$E115&lt;AK$5+GanttPeriod),"◇","")),IF(AND(AK$5&lt;=$F115,AK$5+GanttPeriod-1&gt;=$E115),"━","")))</f>
        <v/>
      </c>
      <c r="AL115" s="69" t="str">
        <f aca="false">IF($E115="","",IF($M115,IF(AND($G115&gt;=AL$5,$G115&lt;AL$5+GanttPeriod),"◆",IF(AND($E115&gt;=AL$5,$E115&lt;AL$5+GanttPeriod),"◇","")),IF(AND(AL$5&lt;=$F115,AL$5+GanttPeriod-1&gt;=$E115),"━","")))</f>
        <v/>
      </c>
      <c r="AM115" s="69" t="str">
        <f aca="false">IF($E115="","",IF($M115,IF(AND($G115&gt;=AM$5,$G115&lt;AM$5+GanttPeriod),"◆",IF(AND($E115&gt;=AM$5,$E115&lt;AM$5+GanttPeriod),"◇","")),IF(AND(AM$5&lt;=$F115,AM$5+GanttPeriod-1&gt;=$E115),"━","")))</f>
        <v/>
      </c>
      <c r="AN115" s="69" t="str">
        <f aca="false">IF($E115="","",IF($M115,IF(AND($G115&gt;=AN$5,$G115&lt;AN$5+GanttPeriod),"◆",IF(AND($E115&gt;=AN$5,$E115&lt;AN$5+GanttPeriod),"◇","")),IF(AND(AN$5&lt;=$F115,AN$5+GanttPeriod-1&gt;=$E115),"━","")))</f>
        <v/>
      </c>
      <c r="AO115" s="69" t="str">
        <f aca="false">IF($E115="","",IF($M115,IF(AND($G115&gt;=AO$5,$G115&lt;AO$5+GanttPeriod),"◆",IF(AND($E115&gt;=AO$5,$E115&lt;AO$5+GanttPeriod),"◇","")),IF(AND(AO$5&lt;=$F115,AO$5+GanttPeriod-1&gt;=$E115),"━","")))</f>
        <v/>
      </c>
      <c r="AP115" s="69" t="str">
        <f aca="false">IF($E115="","",IF($M115,IF(AND($G115&gt;=AP$5,$G115&lt;AP$5+GanttPeriod),"◆",IF(AND($E115&gt;=AP$5,$E115&lt;AP$5+GanttPeriod),"◇","")),IF(AND(AP$5&lt;=$F115,AP$5+GanttPeriod-1&gt;=$E115),"━","")))</f>
        <v/>
      </c>
      <c r="AQ115" s="69" t="str">
        <f aca="false">IF($E115="","",IF($M115,IF(AND($G115&gt;=AQ$5,$G115&lt;AQ$5+GanttPeriod),"◆",IF(AND($E115&gt;=AQ$5,$E115&lt;AQ$5+GanttPeriod),"◇","")),IF(AND(AQ$5&lt;=$F115,AQ$5+GanttPeriod-1&gt;=$E115),"━","")))</f>
        <v/>
      </c>
      <c r="AR115" s="69" t="str">
        <f aca="false">IF($E115="","",IF($M115,IF(AND($G115&gt;=AR$5,$G115&lt;AR$5+GanttPeriod),"◆",IF(AND($E115&gt;=AR$5,$E115&lt;AR$5+GanttPeriod),"◇","")),IF(AND(AR$5&lt;=$F115,AR$5+GanttPeriod-1&gt;=$E115),"━","")))</f>
        <v/>
      </c>
      <c r="AS115" s="69" t="str">
        <f aca="false">IF($E115="","",IF($M115,IF(AND($G115&gt;=AS$5,$G115&lt;AS$5+GanttPeriod),"◆",IF(AND($E115&gt;=AS$5,$E115&lt;AS$5+GanttPeriod),"◇","")),IF(AND(AS$5&lt;=$F115,AS$5+GanttPeriod-1&gt;=$E115),"━","")))</f>
        <v/>
      </c>
      <c r="AT115" s="69" t="str">
        <f aca="false">IF($E115="","",IF($M115,IF(AND($G115&gt;=AT$5,$G115&lt;AT$5+GanttPeriod),"◆",IF(AND($E115&gt;=AT$5,$E115&lt;AT$5+GanttPeriod),"◇","")),IF(AND(AT$5&lt;=$F115,AT$5+GanttPeriod-1&gt;=$E115),"━","")))</f>
        <v/>
      </c>
      <c r="AU115" s="69" t="str">
        <f aca="false">IF($E115="","",IF($M115,IF(AND($G115&gt;=AU$5,$G115&lt;AU$5+GanttPeriod),"◆",IF(AND($E115&gt;=AU$5,$E115&lt;AU$5+GanttPeriod),"◇","")),IF(AND(AU$5&lt;=$F115,AU$5+GanttPeriod-1&gt;=$E115),"━","")))</f>
        <v/>
      </c>
      <c r="AV115" s="69" t="str">
        <f aca="false">IF($E115="","",IF($M115,IF(AND($G115&gt;=AV$5,$G115&lt;AV$5+GanttPeriod),"◆",IF(AND($E115&gt;=AV$5,$E115&lt;AV$5+GanttPeriod),"◇","")),IF(AND(AV$5&lt;=$F115,AV$5+GanttPeriod-1&gt;=$E115),"━","")))</f>
        <v/>
      </c>
      <c r="AW115" s="69" t="str">
        <f aca="false">IF($E115="","",IF($M115,IF(AND($G115&gt;=AW$5,$G115&lt;AW$5+GanttPeriod),"◆",IF(AND($E115&gt;=AW$5,$E115&lt;AW$5+GanttPeriod),"◇","")),IF(AND(AW$5&lt;=$F115,AW$5+GanttPeriod-1&gt;=$E115),"━","")))</f>
        <v/>
      </c>
      <c r="AX115" s="69" t="str">
        <f aca="false">IF($E115="","",IF($M115,IF(AND($G115&gt;=AX$5,$G115&lt;AX$5+GanttPeriod),"◆",IF(AND($E115&gt;=AX$5,$E115&lt;AX$5+GanttPeriod),"◇","")),IF(AND(AX$5&lt;=$F115,AX$5+GanttPeriod-1&gt;=$E115),"━","")))</f>
        <v/>
      </c>
      <c r="AY115" s="69" t="str">
        <f aca="false">IF($E115="","",IF($M115,IF(AND($G115&gt;=AY$5,$G115&lt;AY$5+GanttPeriod),"◆",IF(AND($E115&gt;=AY$5,$E115&lt;AY$5+GanttPeriod),"◇","")),IF(AND(AY$5&lt;=$F115,AY$5+GanttPeriod-1&gt;=$E115),"━","")))</f>
        <v/>
      </c>
      <c r="AZ115" s="69" t="str">
        <f aca="false">IF($E115="","",IF($M115,IF(AND($G115&gt;=AZ$5,$G115&lt;AZ$5+GanttPeriod),"◆",IF(AND($E115&gt;=AZ$5,$E115&lt;AZ$5+GanttPeriod),"◇","")),IF(AND(AZ$5&lt;=$F115,AZ$5+GanttPeriod-1&gt;=$E115),"━","")))</f>
        <v/>
      </c>
      <c r="BA115" s="69" t="str">
        <f aca="false">IF($E115="","",IF($M115,IF(AND($G115&gt;=BA$5,$G115&lt;BA$5+GanttPeriod),"◆",IF(AND($E115&gt;=BA$5,$E115&lt;BA$5+GanttPeriod),"◇","")),IF(AND(BA$5&lt;=$F115,BA$5+GanttPeriod-1&gt;=$E115),"━","")))</f>
        <v/>
      </c>
      <c r="BB115" s="69" t="str">
        <f aca="false">IF($E115="","",IF($M115,IF(AND($G115&gt;=BB$5,$G115&lt;BB$5+GanttPeriod),"◆",IF(AND($E115&gt;=BB$5,$E115&lt;BB$5+GanttPeriod),"◇","")),IF(AND(BB$5&lt;=$F115,BB$5+GanttPeriod-1&gt;=$E115),"━","")))</f>
        <v/>
      </c>
      <c r="BC115" s="69" t="str">
        <f aca="false">IF($E115="","",IF($M115,IF(AND($G115&gt;=BC$5,$G115&lt;BC$5+GanttPeriod),"◆",IF(AND($E115&gt;=BC$5,$E115&lt;BC$5+GanttPeriod),"◇","")),IF(AND(BC$5&lt;=$F115,BC$5+GanttPeriod-1&gt;=$E115),"━","")))</f>
        <v/>
      </c>
      <c r="BD115" s="69" t="str">
        <f aca="false">IF($E115="","",IF($M115,IF(AND($G115&gt;=BD$5,$G115&lt;BD$5+GanttPeriod),"◆",IF(AND($E115&gt;=BD$5,$E115&lt;BD$5+GanttPeriod),"◇","")),IF(AND(BD$5&lt;=$F115,BD$5+GanttPeriod-1&gt;=$E115),"━","")))</f>
        <v/>
      </c>
      <c r="BE115" s="69" t="str">
        <f aca="false">IF($E115="","",IF($M115,IF(AND($G115&gt;=BE$5,$G115&lt;BE$5+GanttPeriod),"◆",IF(AND($E115&gt;=BE$5,$E115&lt;BE$5+GanttPeriod),"◇","")),IF(AND(BE$5&lt;=$F115,BE$5+GanttPeriod-1&gt;=$E115),"━","")))</f>
        <v/>
      </c>
      <c r="BF115" s="69" t="str">
        <f aca="false">IF($E115="","",IF($M115,IF(AND($G115&gt;=BF$5,$G115&lt;BF$5+GanttPeriod),"◆",IF(AND($E115&gt;=BF$5,$E115&lt;BF$5+GanttPeriod),"◇","")),IF(AND(BF$5&lt;=$F115,BF$5+GanttPeriod-1&gt;=$E115),"━","")))</f>
        <v/>
      </c>
      <c r="BG115" s="69" t="str">
        <f aca="false">IF($E115="","",IF($M115,IF(AND($G115&gt;=BG$5,$G115&lt;BG$5+GanttPeriod),"◆",IF(AND($E115&gt;=BG$5,$E115&lt;BG$5+GanttPeriod),"◇","")),IF(AND(BG$5&lt;=$F115,BG$5+GanttPeriod-1&gt;=$E115),"━","")))</f>
        <v/>
      </c>
      <c r="BH115" s="69" t="str">
        <f aca="false">IF($E115="","",IF($M115,IF(AND($G115&gt;=BH$5,$G115&lt;BH$5+GanttPeriod),"◆",IF(AND($E115&gt;=BH$5,$E115&lt;BH$5+GanttPeriod),"◇","")),IF(AND(BH$5&lt;=$F115,BH$5+GanttPeriod-1&gt;=$E115),"━","")))</f>
        <v/>
      </c>
      <c r="BI115" s="69" t="str">
        <f aca="false">IF($E115="","",IF($M115,IF(AND($G115&gt;=BI$5,$G115&lt;BI$5+GanttPeriod),"◆",IF(AND($E115&gt;=BI$5,$E115&lt;BI$5+GanttPeriod),"◇","")),IF(AND(BI$5&lt;=$F115,BI$5+GanttPeriod-1&gt;=$E115),"━","")))</f>
        <v/>
      </c>
      <c r="BJ115" s="69" t="str">
        <f aca="false">IF($E115="","",IF($M115,IF(AND($G115&gt;=BJ$5,$G115&lt;BJ$5+GanttPeriod),"◆",IF(AND($E115&gt;=BJ$5,$E115&lt;BJ$5+GanttPeriod),"◇","")),IF(AND(BJ$5&lt;=$F115,BJ$5+GanttPeriod-1&gt;=$E115),"━","")))</f>
        <v/>
      </c>
      <c r="BK115" s="69" t="str">
        <f aca="false">IF($E115="","",IF($M115,IF(AND($G115&gt;=BK$5,$G115&lt;BK$5+GanttPeriod),"◆",IF(AND($E115&gt;=BK$5,$E115&lt;BK$5+GanttPeriod),"◇","")),IF(AND(BK$5&lt;=$F115,BK$5+GanttPeriod-1&gt;=$E115),"━","")))</f>
        <v/>
      </c>
      <c r="BL115" s="69" t="str">
        <f aca="false">IF($E115="","",IF($M115,IF(AND($G115&gt;=BL$5,$G115&lt;BL$5+GanttPeriod),"◆",IF(AND($E115&gt;=BL$5,$E115&lt;BL$5+GanttPeriod),"◇","")),IF(AND(BL$5&lt;=$F115,BL$5+GanttPeriod-1&gt;=$E115),"━","")))</f>
        <v/>
      </c>
      <c r="BM115" s="69" t="str">
        <f aca="false">IF($E115="","",IF($M115,IF(AND($G115&gt;=BM$5,$G115&lt;BM$5+GanttPeriod),"◆",IF(AND($E115&gt;=BM$5,$E115&lt;BM$5+GanttPeriod),"◇","")),IF(AND(BM$5&lt;=$F115,BM$5+GanttPeriod-1&gt;=$E115),"━","")))</f>
        <v/>
      </c>
      <c r="BN115" s="69" t="str">
        <f aca="false">IF($E115="","",IF($M115,IF(AND($G115&gt;=BN$5,$G115&lt;BN$5+GanttPeriod),"◆",IF(AND($E115&gt;=BN$5,$E115&lt;BN$5+GanttPeriod),"◇","")),IF(AND(BN$5&lt;=$F115,BN$5+GanttPeriod-1&gt;=$E115),"━","")))</f>
        <v/>
      </c>
      <c r="BO115" s="69" t="str">
        <f aca="false">IF($E115="","",IF($M115,IF(AND($G115&gt;=BO$5,$G115&lt;BO$5+GanttPeriod),"◆",IF(AND($E115&gt;=BO$5,$E115&lt;BO$5+GanttPeriod),"◇","")),IF(AND(BO$5&lt;=$F115,BO$5+GanttPeriod-1&gt;=$E115),"━","")))</f>
        <v/>
      </c>
      <c r="BP115" s="69" t="str">
        <f aca="false">IF($E115="","",IF($M115,IF(AND($G115&gt;=BP$5,$G115&lt;BP$5+GanttPeriod),"◆",IF(AND($E115&gt;=BP$5,$E115&lt;BP$5+GanttPeriod),"◇","")),IF(AND(BP$5&lt;=$F115,BP$5+GanttPeriod-1&gt;=$E115),"━","")))</f>
        <v/>
      </c>
      <c r="BQ115" s="69" t="str">
        <f aca="false">IF($E115="","",IF($M115,IF(AND($G115&gt;=BQ$5,$G115&lt;BQ$5+GanttPeriod),"◆",IF(AND($E115&gt;=BQ$5,$E115&lt;BQ$5+GanttPeriod),"◇","")),IF(AND(BQ$5&lt;=$F115,BQ$5+GanttPeriod-1&gt;=$E115),"━","")))</f>
        <v/>
      </c>
      <c r="BR115" s="69" t="str">
        <f aca="false">IF($E115="","",IF($M115,IF(AND($G115&gt;=BR$5,$G115&lt;BR$5+GanttPeriod),"◆",IF(AND($E115&gt;=BR$5,$E115&lt;BR$5+GanttPeriod),"◇","")),IF(AND(BR$5&lt;=$F115,BR$5+GanttPeriod-1&gt;=$E115),"━","")))</f>
        <v/>
      </c>
      <c r="BS115" s="69" t="str">
        <f aca="false">IF($E115="","",IF($M115,IF(AND($G115&gt;=BS$5,$G115&lt;BS$5+GanttPeriod),"◆",IF(AND($E115&gt;=BS$5,$E115&lt;BS$5+GanttPeriod),"◇","")),IF(AND(BS$5&lt;=$F115,BS$5+GanttPeriod-1&gt;=$E115),"━","")))</f>
        <v/>
      </c>
      <c r="BT115" s="69" t="str">
        <f aca="false">IF($E115="","",IF($M115,IF(AND($G115&gt;=BT$5,$G115&lt;BT$5+GanttPeriod),"◆",IF(AND($E115&gt;=BT$5,$E115&lt;BT$5+GanttPeriod),"◇","")),IF(AND(BT$5&lt;=$F115,BT$5+GanttPeriod-1&gt;=$E115),"━","")))</f>
        <v/>
      </c>
      <c r="BU115" s="69" t="str">
        <f aca="false">IF($E115="","",IF($M115,IF(AND($G115&gt;=BU$5,$G115&lt;BU$5+GanttPeriod),"◆",IF(AND($E115&gt;=BU$5,$E115&lt;BU$5+GanttPeriod),"◇","")),IF(AND(BU$5&lt;=$F115,BU$5+GanttPeriod-1&gt;=$E115),"━","")))</f>
        <v/>
      </c>
      <c r="BV115" s="69" t="str">
        <f aca="false">IF($E115="","",IF($M115,IF(AND($G115&gt;=BV$5,$G115&lt;BV$5+GanttPeriod),"◆",IF(AND($E115&gt;=BV$5,$E115&lt;BV$5+GanttPeriod),"◇","")),IF(AND(BV$5&lt;=$F115,BV$5+GanttPeriod-1&gt;=$E115),"━","")))</f>
        <v/>
      </c>
      <c r="BW115" s="69" t="str">
        <f aca="false">IF($E115="","",IF($M115,IF(AND($G115&gt;=BW$5,$G115&lt;BW$5+GanttPeriod),"◆",IF(AND($E115&gt;=BW$5,$E115&lt;BW$5+GanttPeriod),"◇","")),IF(AND(BW$5&lt;=$F115,BW$5+GanttPeriod-1&gt;=$E115),"━","")))</f>
        <v/>
      </c>
      <c r="BX115" s="69" t="str">
        <f aca="false">IF($E115="","",IF($M115,IF(AND($G115&gt;=BX$5,$G115&lt;BX$5+GanttPeriod),"◆",IF(AND($E115&gt;=BX$5,$E115&lt;BX$5+GanttPeriod),"◇","")),IF(AND(BX$5&lt;=$F115,BX$5+GanttPeriod-1&gt;=$E115),"━","")))</f>
        <v/>
      </c>
      <c r="BY115" s="69" t="str">
        <f aca="false">IF($E115="","",IF($M115,IF(AND($G115&gt;=BY$5,$G115&lt;BY$5+GanttPeriod),"◆",IF(AND($E115&gt;=BY$5,$E115&lt;BY$5+GanttPeriod),"◇","")),IF(AND(BY$5&lt;=$F115,BY$5+GanttPeriod-1&gt;=$E115),"━","")))</f>
        <v/>
      </c>
      <c r="BZ115" s="69" t="str">
        <f aca="false">IF($E115="","",IF($M115,IF(AND($G115&gt;=BZ$5,$G115&lt;BZ$5+GanttPeriod),"◆",IF(AND($E115&gt;=BZ$5,$E115&lt;BZ$5+GanttPeriod),"◇","")),IF(AND(BZ$5&lt;=$F115,BZ$5+GanttPeriod-1&gt;=$E115),"━","")))</f>
        <v/>
      </c>
      <c r="CA115" s="69" t="str">
        <f aca="false">IF($E115="","",IF($M115,IF(AND($G115&gt;=CA$5,$G115&lt;CA$5+GanttPeriod),"◆",IF(AND($E115&gt;=CA$5,$E115&lt;CA$5+GanttPeriod),"◇","")),IF(AND(CA$5&lt;=$F115,CA$5+GanttPeriod-1&gt;=$E115),"━","")))</f>
        <v/>
      </c>
      <c r="CB115" s="69" t="str">
        <f aca="false">IF($E115="","",IF($M115,IF(AND($G115&gt;=CB$5,$G115&lt;CB$5+GanttPeriod),"◆",IF(AND($E115&gt;=CB$5,$E115&lt;CB$5+GanttPeriod),"◇","")),IF(AND(CB$5&lt;=$F115,CB$5+GanttPeriod-1&gt;=$E115),"━","")))</f>
        <v/>
      </c>
      <c r="CC115" s="69" t="str">
        <f aca="false">IF($E115="","",IF($M115,IF(AND($G115&gt;=CC$5,$G115&lt;CC$5+GanttPeriod),"◆",IF(AND($E115&gt;=CC$5,$E115&lt;CC$5+GanttPeriod),"◇","")),IF(AND(CC$5&lt;=$F115,CC$5+GanttPeriod-1&gt;=$E115),"━","")))</f>
        <v/>
      </c>
      <c r="CD115" s="69" t="str">
        <f aca="false">IF($E115="","",IF($M115,IF(AND($G115&gt;=CD$5,$G115&lt;CD$5+GanttPeriod),"◆",IF(AND($E115&gt;=CD$5,$E115&lt;CD$5+GanttPeriod),"◇","")),IF(AND(CD$5&lt;=$F115,CD$5+GanttPeriod-1&gt;=$E115),"━","")))</f>
        <v/>
      </c>
      <c r="CE115" s="69" t="str">
        <f aca="false">IF($E115="","",IF($M115,IF(AND($G115&gt;=CE$5,$G115&lt;CE$5+GanttPeriod),"◆",IF(AND($E115&gt;=CE$5,$E115&lt;CE$5+GanttPeriod),"◇","")),IF(AND(CE$5&lt;=$F115,CE$5+GanttPeriod-1&gt;=$E115),"━","")))</f>
        <v/>
      </c>
      <c r="CF115" s="69" t="str">
        <f aca="false">IF($E115="","",IF($M115,IF(AND($G115&gt;=CF$5,$G115&lt;CF$5+GanttPeriod),"◆",IF(AND($E115&gt;=CF$5,$E115&lt;CF$5+GanttPeriod),"◇","")),IF(AND(CF$5&lt;=$F115,CF$5+GanttPeriod-1&gt;=$E115),"━","")))</f>
        <v/>
      </c>
      <c r="CG115" s="69" t="str">
        <f aca="false">IF($E115="","",IF($M115,IF(AND($G115&gt;=CG$5,$G115&lt;CG$5+GanttPeriod),"◆",IF(AND($E115&gt;=CG$5,$E115&lt;CG$5+GanttPeriod),"◇","")),IF(AND(CG$5&lt;=$F115,CG$5+GanttPeriod-1&gt;=$E115),"━","")))</f>
        <v/>
      </c>
      <c r="CH115" s="69" t="str">
        <f aca="false">IF($E115="","",IF($M115,IF(AND($G115&gt;=CH$5,$G115&lt;CH$5+GanttPeriod),"◆",IF(AND($E115&gt;=CH$5,$E115&lt;CH$5+GanttPeriod),"◇","")),IF(AND(CH$5&lt;=$F115,CH$5+GanttPeriod-1&gt;=$E115),"━","")))</f>
        <v/>
      </c>
      <c r="CI115" s="69" t="str">
        <f aca="false">IF($E115="","",IF($M115,IF(AND($G115&gt;=CI$5,$G115&lt;CI$5+GanttPeriod),"◆",IF(AND($E115&gt;=CI$5,$E115&lt;CI$5+GanttPeriod),"◇","")),IF(AND(CI$5&lt;=$F115,CI$5+GanttPeriod-1&gt;=$E115),"━","")))</f>
        <v/>
      </c>
      <c r="CJ115" s="69" t="str">
        <f aca="false">IF($E115="","",IF($M115,IF(AND($G115&gt;=CJ$5,$G115&lt;CJ$5+GanttPeriod),"◆",IF(AND($E115&gt;=CJ$5,$E115&lt;CJ$5+GanttPeriod),"◇","")),IF(AND(CJ$5&lt;=$F115,CJ$5+GanttPeriod-1&gt;=$E115),"━","")))</f>
        <v/>
      </c>
      <c r="CK115" s="69" t="str">
        <f aca="false">IF($E115="","",IF($M115,IF(AND($G115&gt;=CK$5,$G115&lt;CK$5+GanttPeriod),"◆",IF(AND($E115&gt;=CK$5,$E115&lt;CK$5+GanttPeriod),"◇","")),IF(AND(CK$5&lt;=$F115,CK$5+GanttPeriod-1&gt;=$E115),"━","")))</f>
        <v/>
      </c>
      <c r="CL115" s="69" t="str">
        <f aca="false">IF($E115="","",IF($M115,IF(AND($G115&gt;=CL$5,$G115&lt;CL$5+GanttPeriod),"◆",IF(AND($E115&gt;=CL$5,$E115&lt;CL$5+GanttPeriod),"◇","")),IF(AND(CL$5&lt;=$F115,CL$5+GanttPeriod-1&gt;=$E115),"━","")))</f>
        <v/>
      </c>
      <c r="CM115" s="69" t="str">
        <f aca="false">IF($E115="","",IF($M115,IF(AND($G115&gt;=CM$5,$G115&lt;CM$5+GanttPeriod),"◆",IF(AND($E115&gt;=CM$5,$E115&lt;CM$5+GanttPeriod),"◇","")),IF(AND(CM$5&lt;=$F115,CM$5+GanttPeriod-1&gt;=$E115),"━","")))</f>
        <v/>
      </c>
      <c r="CN115" s="69" t="str">
        <f aca="false">IF($E115="","",IF($M115,IF(AND($G115&gt;=CN$5,$G115&lt;CN$5+GanttPeriod),"◆",IF(AND($E115&gt;=CN$5,$E115&lt;CN$5+GanttPeriod),"◇","")),IF(AND(CN$5&lt;=$F115,CN$5+GanttPeriod-1&gt;=$E115),"━","")))</f>
        <v/>
      </c>
      <c r="CO115" s="69" t="str">
        <f aca="false">IF($E115="","",IF($M115,IF(AND($G115&gt;=CO$5,$G115&lt;CO$5+GanttPeriod),"◆",IF(AND($E115&gt;=CO$5,$E115&lt;CO$5+GanttPeriod),"◇","")),IF(AND(CO$5&lt;=$F115,CO$5+GanttPeriod-1&gt;=$E115),"━","")))</f>
        <v/>
      </c>
      <c r="CP115" s="69" t="str">
        <f aca="false">IF($E115="","",IF($M115,IF(AND($G115&gt;=CP$5,$G115&lt;CP$5+GanttPeriod),"◆",IF(AND($E115&gt;=CP$5,$E115&lt;CP$5+GanttPeriod),"◇","")),IF(AND(CP$5&lt;=$F115,CP$5+GanttPeriod-1&gt;=$E115),"━","")))</f>
        <v/>
      </c>
      <c r="CQ115" s="69" t="str">
        <f aca="false">IF($E115="","",IF($M115,IF(AND($G115&gt;=CQ$5,$G115&lt;CQ$5+GanttPeriod),"◆",IF(AND($E115&gt;=CQ$5,$E115&lt;CQ$5+GanttPeriod),"◇","")),IF(AND(CQ$5&lt;=$F115,CQ$5+GanttPeriod-1&gt;=$E115),"━","")))</f>
        <v/>
      </c>
      <c r="CR115" s="69" t="str">
        <f aca="false">IF($E115="","",IF($M115,IF(AND($G115&gt;=CR$5,$G115&lt;CR$5+GanttPeriod),"◆",IF(AND($E115&gt;=CR$5,$E115&lt;CR$5+GanttPeriod),"◇","")),IF(AND(CR$5&lt;=$F115,CR$5+GanttPeriod-1&gt;=$E115),"━","")))</f>
        <v/>
      </c>
      <c r="CS115" s="69" t="str">
        <f aca="false">IF($E115="","",IF($M115,IF(AND($G115&gt;=CS$5,$G115&lt;CS$5+GanttPeriod),"◆",IF(AND($E115&gt;=CS$5,$E115&lt;CS$5+GanttPeriod),"◇","")),IF(AND(CS$5&lt;=$F115,CS$5+GanttPeriod-1&gt;=$E115),"━","")))</f>
        <v/>
      </c>
      <c r="CT115" s="69" t="str">
        <f aca="false">IF($E115="","",IF($M115,IF(AND($G115&gt;=CT$5,$G115&lt;CT$5+GanttPeriod),"◆",IF(AND($E115&gt;=CT$5,$E115&lt;CT$5+GanttPeriod),"◇","")),IF(AND(CT$5&lt;=$F115,CT$5+GanttPeriod-1&gt;=$E115),"━","")))</f>
        <v/>
      </c>
      <c r="CU115" s="69" t="str">
        <f aca="false">IF($E115="","",IF($M115,IF(AND($G115&gt;=CU$5,$G115&lt;CU$5+GanttPeriod),"◆",IF(AND($E115&gt;=CU$5,$E115&lt;CU$5+GanttPeriod),"◇","")),IF(AND(CU$5&lt;=$F115,CU$5+GanttPeriod-1&gt;=$E115),"━","")))</f>
        <v/>
      </c>
      <c r="CV115" s="69" t="str">
        <f aca="false">IF($E115="","",IF($M115,IF(AND($G115&gt;=CV$5,$G115&lt;CV$5+GanttPeriod),"◆",IF(AND($E115&gt;=CV$5,$E115&lt;CV$5+GanttPeriod),"◇","")),IF(AND(CV$5&lt;=$F115,CV$5+GanttPeriod-1&gt;=$E115),"━","")))</f>
        <v/>
      </c>
      <c r="CW115" s="69" t="str">
        <f aca="false">IF($E115="","",IF($M115,IF(AND($G115&gt;=CW$5,$G115&lt;CW$5+GanttPeriod),"◆",IF(AND($E115&gt;=CW$5,$E115&lt;CW$5+GanttPeriod),"◇","")),IF(AND(CW$5&lt;=$F115,CW$5+GanttPeriod-1&gt;=$E115),"━","")))</f>
        <v/>
      </c>
      <c r="CX115" s="69" t="str">
        <f aca="false">IF($E115="","",IF($M115,IF(AND($G115&gt;=CX$5,$G115&lt;CX$5+GanttPeriod),"◆",IF(AND($E115&gt;=CX$5,$E115&lt;CX$5+GanttPeriod),"◇","")),IF(AND(CX$5&lt;=$F115,CX$5+GanttPeriod-1&gt;=$E115),"━","")))</f>
        <v/>
      </c>
      <c r="CY115" s="69" t="str">
        <f aca="false">IF($E115="","",IF($M115,IF(AND($G115&gt;=CY$5,$G115&lt;CY$5+GanttPeriod),"◆",IF(AND($E115&gt;=CY$5,$E115&lt;CY$5+GanttPeriod),"◇","")),IF(AND(CY$5&lt;=$F115,CY$5+GanttPeriod-1&gt;=$E115),"━","")))</f>
        <v/>
      </c>
      <c r="CZ115" s="69" t="str">
        <f aca="false">IF($E115="","",IF($M115,IF(AND($G115&gt;=CZ$5,$G115&lt;CZ$5+GanttPeriod),"◆",IF(AND($E115&gt;=CZ$5,$E115&lt;CZ$5+GanttPeriod),"◇","")),IF(AND(CZ$5&lt;=$F115,CZ$5+GanttPeriod-1&gt;=$E115),"━","")))</f>
        <v/>
      </c>
      <c r="DA115" s="69" t="str">
        <f aca="false">IF($E115="","",IF($M115,IF(AND($G115&gt;=DA$5,$G115&lt;DA$5+GanttPeriod),"◆",IF(AND($E115&gt;=DA$5,$E115&lt;DA$5+GanttPeriod),"◇","")),IF(AND(DA$5&lt;=$F115,DA$5+GanttPeriod-1&gt;=$E115),"━","")))</f>
        <v/>
      </c>
      <c r="DB115" s="69" t="str">
        <f aca="false">IF($E115="","",IF($M115,IF(AND($G115&gt;=DB$5,$G115&lt;DB$5+GanttPeriod),"◆",IF(AND($E115&gt;=DB$5,$E115&lt;DB$5+GanttPeriod),"◇","")),IF(AND(DB$5&lt;=$F115,DB$5+GanttPeriod-1&gt;=$E115),"━","")))</f>
        <v/>
      </c>
      <c r="DC115" s="69" t="str">
        <f aca="false">IF($E115="","",IF($M115,IF(AND($G115&gt;=DC$5,$G115&lt;DC$5+GanttPeriod),"◆",IF(AND($E115&gt;=DC$5,$E115&lt;DC$5+GanttPeriod),"◇","")),IF(AND(DC$5&lt;=$F115,DC$5+GanttPeriod-1&gt;=$E115),"━","")))</f>
        <v/>
      </c>
      <c r="DD115" s="69" t="str">
        <f aca="false">IF($E115="","",IF($M115,IF(AND($G115&gt;=DD$5,$G115&lt;DD$5+GanttPeriod),"◆",IF(AND($E115&gt;=DD$5,$E115&lt;DD$5+GanttPeriod),"◇","")),IF(AND(DD$5&lt;=$F115,DD$5+GanttPeriod-1&gt;=$E115),"━","")))</f>
        <v/>
      </c>
      <c r="DE115" s="69" t="str">
        <f aca="false">IF($E115="","",IF($M115,IF(AND($G115&gt;=DE$5,$G115&lt;DE$5+GanttPeriod),"◆",IF(AND($E115&gt;=DE$5,$E115&lt;DE$5+GanttPeriod),"◇","")),IF(AND(DE$5&lt;=$F115,DE$5+GanttPeriod-1&gt;=$E115),"━","")))</f>
        <v/>
      </c>
      <c r="DF115" s="69" t="str">
        <f aca="false">IF($E115="","",IF($M115,IF(AND($G115&gt;=DF$5,$G115&lt;DF$5+GanttPeriod),"◆",IF(AND($E115&gt;=DF$5,$E115&lt;DF$5+GanttPeriod),"◇","")),IF(AND(DF$5&lt;=$F115,DF$5+GanttPeriod-1&gt;=$E115),"━","")))</f>
        <v/>
      </c>
      <c r="DG115" s="69" t="str">
        <f aca="false">IF($E115="","",IF($M115,IF(AND($G115&gt;=DG$5,$G115&lt;DG$5+GanttPeriod),"◆",IF(AND($E115&gt;=DG$5,$E115&lt;DG$5+GanttPeriod),"◇","")),IF(AND(DG$5&lt;=$F115,DG$5+GanttPeriod-1&gt;=$E115),"━","")))</f>
        <v/>
      </c>
      <c r="DH115" s="69" t="str">
        <f aca="false">IF($E115="","",IF($M115,IF(AND($G115&gt;=DH$5,$G115&lt;DH$5+GanttPeriod),"◆",IF(AND($E115&gt;=DH$5,$E115&lt;DH$5+GanttPeriod),"◇","")),IF(AND(DH$5&lt;=$F115,DH$5+GanttPeriod-1&gt;=$E115),"━","")))</f>
        <v/>
      </c>
      <c r="DI115" s="69" t="str">
        <f aca="false">IF($E115="","",IF($M115,IF(AND($G115&gt;=DI$5,$G115&lt;DI$5+GanttPeriod),"◆",IF(AND($E115&gt;=DI$5,$E115&lt;DI$5+GanttPeriod),"◇","")),IF(AND(DI$5&lt;=$F115,DI$5+GanttPeriod-1&gt;=$E115),"━","")))</f>
        <v/>
      </c>
      <c r="DJ115" s="69" t="str">
        <f aca="false">IF($E115="","",IF($M115,IF(AND($G115&gt;=DJ$5,$G115&lt;DJ$5+GanttPeriod),"◆",IF(AND($E115&gt;=DJ$5,$E115&lt;DJ$5+GanttPeriod),"◇","")),IF(AND(DJ$5&lt;=$F115,DJ$5+GanttPeriod-1&gt;=$E115),"━","")))</f>
        <v/>
      </c>
      <c r="DK115" s="69" t="str">
        <f aca="false">IF($E115="","",IF($M115,IF(AND($G115&gt;=DK$5,$G115&lt;DK$5+GanttPeriod),"◆",IF(AND($E115&gt;=DK$5,$E115&lt;DK$5+GanttPeriod),"◇","")),IF(AND(DK$5&lt;=$F115,DK$5+GanttPeriod-1&gt;=$E115),"━","")))</f>
        <v/>
      </c>
      <c r="DL115" s="69" t="str">
        <f aca="false">IF($E115="","",IF($M115,IF(AND($G115&gt;=DL$5,$G115&lt;DL$5+GanttPeriod),"◆",IF(AND($E115&gt;=DL$5,$E115&lt;DL$5+GanttPeriod),"◇","")),IF(AND(DL$5&lt;=$F115,DL$5+GanttPeriod-1&gt;=$E115),"━","")))</f>
        <v/>
      </c>
      <c r="DM115" s="69" t="str">
        <f aca="false">IF($E115="","",IF($M115,IF(AND($G115&gt;=DM$5,$G115&lt;DM$5+GanttPeriod),"◆",IF(AND($E115&gt;=DM$5,$E115&lt;DM$5+GanttPeriod),"◇","")),IF(AND(DM$5&lt;=$F115,DM$5+GanttPeriod-1&gt;=$E115),"━","")))</f>
        <v/>
      </c>
      <c r="DN115" s="69" t="str">
        <f aca="false">IF($E115="","",IF($M115,IF(AND($G115&gt;=DN$5,$G115&lt;DN$5+GanttPeriod),"◆",IF(AND($E115&gt;=DN$5,$E115&lt;DN$5+GanttPeriod),"◇","")),IF(AND(DN$5&lt;=$F115,DN$5+GanttPeriod-1&gt;=$E115),"━","")))</f>
        <v/>
      </c>
      <c r="DO115" s="69" t="str">
        <f aca="false">IF($E115="","",IF($M115,IF(AND($G115&gt;=DO$5,$G115&lt;DO$5+GanttPeriod),"◆",IF(AND($E115&gt;=DO$5,$E115&lt;DO$5+GanttPeriod),"◇","")),IF(AND(DO$5&lt;=$F115,DO$5+GanttPeriod-1&gt;=$E115),"━","")))</f>
        <v/>
      </c>
      <c r="DP115" s="69" t="str">
        <f aca="false">IF($E115="","",IF($M115,IF(AND($G115&gt;=DP$5,$G115&lt;DP$5+GanttPeriod),"◆",IF(AND($E115&gt;=DP$5,$E115&lt;DP$5+GanttPeriod),"◇","")),IF(AND(DP$5&lt;=$F115,DP$5+GanttPeriod-1&gt;=$E115),"━","")))</f>
        <v/>
      </c>
      <c r="DQ115" s="69" t="str">
        <f aca="false">IF($E115="","",IF($M115,IF(AND($G115&gt;=DQ$5,$G115&lt;DQ$5+GanttPeriod),"◆",IF(AND($E115&gt;=DQ$5,$E115&lt;DQ$5+GanttPeriod),"◇","")),IF(AND(DQ$5&lt;=$F115,DQ$5+GanttPeriod-1&gt;=$E115),"━","")))</f>
        <v/>
      </c>
      <c r="DR115" s="69" t="str">
        <f aca="false">IF($E115="","",IF($M115,IF(AND($G115&gt;=DR$5,$G115&lt;DR$5+GanttPeriod),"◆",IF(AND($E115&gt;=DR$5,$E115&lt;DR$5+GanttPeriod),"◇","")),IF(AND(DR$5&lt;=$F115,DR$5+GanttPeriod-1&gt;=$E115),"━","")))</f>
        <v/>
      </c>
      <c r="DS115" s="69" t="str">
        <f aca="false">IF($E115="","",IF($M115,IF(AND($G115&gt;=DS$5,$G115&lt;DS$5+GanttPeriod),"◆",IF(AND($E115&gt;=DS$5,$E115&lt;DS$5+GanttPeriod),"◇","")),IF(AND(DS$5&lt;=$F115,DS$5+GanttPeriod-1&gt;=$E115),"━","")))</f>
        <v/>
      </c>
      <c r="DT115" s="69" t="str">
        <f aca="false">IF($E115="","",IF($M115,IF(AND($G115&gt;=DT$5,$G115&lt;DT$5+GanttPeriod),"◆",IF(AND($E115&gt;=DT$5,$E115&lt;DT$5+GanttPeriod),"◇","")),IF(AND(DT$5&lt;=$F115,DT$5+GanttPeriod-1&gt;=$E115),"━","")))</f>
        <v/>
      </c>
      <c r="DU115" s="69" t="str">
        <f aca="false">IF($E115="","",IF($M115,IF(AND($G115&gt;=DU$5,$G115&lt;DU$5+GanttPeriod),"◆",IF(AND($E115&gt;=DU$5,$E115&lt;DU$5+GanttPeriod),"◇","")),IF(AND(DU$5&lt;=$F115,DU$5+GanttPeriod-1&gt;=$E115),"━","")))</f>
        <v/>
      </c>
      <c r="DV115" s="69" t="str">
        <f aca="false">IF($E115="","",IF($M115,IF(AND($G115&gt;=DV$5,$G115&lt;DV$5+GanttPeriod),"◆",IF(AND($E115&gt;=DV$5,$E115&lt;DV$5+GanttPeriod),"◇","")),IF(AND(DV$5&lt;=$F115,DV$5+GanttPeriod-1&gt;=$E115),"━","")))</f>
        <v/>
      </c>
      <c r="DW115" s="69" t="str">
        <f aca="false">IF($E115="","",IF($M115,IF(AND($G115&gt;=DW$5,$G115&lt;DW$5+GanttPeriod),"◆",IF(AND($E115&gt;=DW$5,$E115&lt;DW$5+GanttPeriod),"◇","")),IF(AND(DW$5&lt;=$F115,DW$5+GanttPeriod-1&gt;=$E115),"━","")))</f>
        <v/>
      </c>
      <c r="DX115" s="69" t="str">
        <f aca="false">IF($E115="","",IF($M115,IF(AND($G115&gt;=DX$5,$G115&lt;DX$5+GanttPeriod),"◆",IF(AND($E115&gt;=DX$5,$E115&lt;DX$5+GanttPeriod),"◇","")),IF(AND(DX$5&lt;=$F115,DX$5+GanttPeriod-1&gt;=$E115),"━","")))</f>
        <v/>
      </c>
      <c r="DY115" s="69" t="str">
        <f aca="false">IF($E115="","",IF($M115,IF(AND($G115&gt;=DY$5,$G115&lt;DY$5+GanttPeriod),"◆",IF(AND($E115&gt;=DY$5,$E115&lt;DY$5+GanttPeriod),"◇","")),IF(AND(DY$5&lt;=$F115,DY$5+GanttPeriod-1&gt;=$E115),"━","")))</f>
        <v/>
      </c>
      <c r="DZ115" s="69" t="str">
        <f aca="false">IF($E115="","",IF($M115,IF(AND($G115&gt;=DZ$5,$G115&lt;DZ$5+GanttPeriod),"◆",IF(AND($E115&gt;=DZ$5,$E115&lt;DZ$5+GanttPeriod),"◇","")),IF(AND(DZ$5&lt;=$F115,DZ$5+GanttPeriod-1&gt;=$E115),"━","")))</f>
        <v/>
      </c>
      <c r="EA115" s="69" t="str">
        <f aca="false">IF($E115="","",IF($M115,IF(AND($G115&gt;=EA$5,$G115&lt;EA$5+GanttPeriod),"◆",IF(AND($E115&gt;=EA$5,$E115&lt;EA$5+GanttPeriod),"◇","")),IF(AND(EA$5&lt;=$F115,EA$5+GanttPeriod-1&gt;=$E115),"━","")))</f>
        <v/>
      </c>
      <c r="EB115" s="69" t="str">
        <f aca="false">IF($E115="","",IF($M115,IF(AND($G115&gt;=EB$5,$G115&lt;EB$5+GanttPeriod),"◆",IF(AND($E115&gt;=EB$5,$E115&lt;EB$5+GanttPeriod),"◇","")),IF(AND(EB$5&lt;=$F115,EB$5+GanttPeriod-1&gt;=$E115),"━","")))</f>
        <v/>
      </c>
      <c r="EC115" s="69" t="str">
        <f aca="false">IF($E115="","",IF($M115,IF(AND($G115&gt;=EC$5,$G115&lt;EC$5+GanttPeriod),"◆",IF(AND($E115&gt;=EC$5,$E115&lt;EC$5+GanttPeriod),"◇","")),IF(AND(EC$5&lt;=$F115,EC$5+GanttPeriod-1&gt;=$E115),"━","")))</f>
        <v/>
      </c>
      <c r="ED115" s="69" t="str">
        <f aca="false">IF($E115="","",IF($M115,IF(AND($G115&gt;=ED$5,$G115&lt;ED$5+GanttPeriod),"◆",IF(AND($E115&gt;=ED$5,$E115&lt;ED$5+GanttPeriod),"◇","")),IF(AND(ED$5&lt;=$F115,ED$5+GanttPeriod-1&gt;=$E115),"━","")))</f>
        <v/>
      </c>
      <c r="EE115" s="69" t="str">
        <f aca="false">IF($E115="","",IF($M115,IF(AND($G115&gt;=EE$5,$G115&lt;EE$5+GanttPeriod),"◆",IF(AND($E115&gt;=EE$5,$E115&lt;EE$5+GanttPeriod),"◇","")),IF(AND(EE$5&lt;=$F115,EE$5+GanttPeriod-1&gt;=$E115),"━","")))</f>
        <v/>
      </c>
      <c r="EF115" s="69" t="str">
        <f aca="false">IF($E115="","",IF($M115,IF(AND($G115&gt;=EF$5,$G115&lt;EF$5+GanttPeriod),"◆",IF(AND($E115&gt;=EF$5,$E115&lt;EF$5+GanttPeriod),"◇","")),IF(AND(EF$5&lt;=$F115,EF$5+GanttPeriod-1&gt;=$E115),"━","")))</f>
        <v/>
      </c>
      <c r="EG115" s="69" t="str">
        <f aca="false">IF($E115="","",IF($M115,IF(AND($G115&gt;=EG$5,$G115&lt;EG$5+GanttPeriod),"◆",IF(AND($E115&gt;=EG$5,$E115&lt;EG$5+GanttPeriod),"◇","")),IF(AND(EG$5&lt;=$F115,EG$5+GanttPeriod-1&gt;=$E115),"━","")))</f>
        <v/>
      </c>
      <c r="EH115" s="69" t="str">
        <f aca="false">IF($E115="","",IF($M115,IF(AND($G115&gt;=EH$5,$G115&lt;EH$5+GanttPeriod),"◆",IF(AND($E115&gt;=EH$5,$E115&lt;EH$5+GanttPeriod),"◇","")),IF(AND(EH$5&lt;=$F115,EH$5+GanttPeriod-1&gt;=$E115),"━","")))</f>
        <v/>
      </c>
      <c r="EI115" s="69" t="str">
        <f aca="false">IF($E115="","",IF($M115,IF(AND($G115&gt;=EI$5,$G115&lt;EI$5+GanttPeriod),"◆",IF(AND($E115&gt;=EI$5,$E115&lt;EI$5+GanttPeriod),"◇","")),IF(AND(EI$5&lt;=$F115,EI$5+GanttPeriod-1&gt;=$E115),"━","")))</f>
        <v/>
      </c>
      <c r="EJ115" s="69" t="str">
        <f aca="false">IF($E115="","",IF($M115,IF(AND($G115&gt;=EJ$5,$G115&lt;EJ$5+GanttPeriod),"◆",IF(AND($E115&gt;=EJ$5,$E115&lt;EJ$5+GanttPeriod),"◇","")),IF(AND(EJ$5&lt;=$F115,EJ$5+GanttPeriod-1&gt;=$E115),"━","")))</f>
        <v/>
      </c>
      <c r="EK115" s="69" t="str">
        <f aca="false">IF($E115="","",IF($M115,IF(AND($G115&gt;=EK$5,$G115&lt;EK$5+GanttPeriod),"◆",IF(AND($E115&gt;=EK$5,$E115&lt;EK$5+GanttPeriod),"◇","")),IF(AND(EK$5&lt;=$F115,EK$5+GanttPeriod-1&gt;=$E115),"━","")))</f>
        <v/>
      </c>
      <c r="EL115" s="69" t="str">
        <f aca="false">IF($E115="","",IF($M115,IF(AND($G115&gt;=EL$5,$G115&lt;EL$5+GanttPeriod),"◆",IF(AND($E115&gt;=EL$5,$E115&lt;EL$5+GanttPeriod),"◇","")),IF(AND(EL$5&lt;=$F115,EL$5+GanttPeriod-1&gt;=$E115),"━","")))</f>
        <v/>
      </c>
      <c r="EM115" s="69" t="str">
        <f aca="false">IF($E115="","",IF($M115,IF(AND($G115&gt;=EM$5,$G115&lt;EM$5+GanttPeriod),"◆",IF(AND($E115&gt;=EM$5,$E115&lt;EM$5+GanttPeriod),"◇","")),IF(AND(EM$5&lt;=$F115,EM$5+GanttPeriod-1&gt;=$E115),"━","")))</f>
        <v/>
      </c>
      <c r="EN115" s="69" t="str">
        <f aca="false">IF($E115="","",IF($M115,IF(AND($G115&gt;=EN$5,$G115&lt;EN$5+GanttPeriod),"◆",IF(AND($E115&gt;=EN$5,$E115&lt;EN$5+GanttPeriod),"◇","")),IF(AND(EN$5&lt;=$F115,EN$5+GanttPeriod-1&gt;=$E115),"━","")))</f>
        <v/>
      </c>
      <c r="EO115" s="69" t="str">
        <f aca="false">IF($E115="","",IF($M115,IF(AND($G115&gt;=EO$5,$G115&lt;EO$5+GanttPeriod),"◆",IF(AND($E115&gt;=EO$5,$E115&lt;EO$5+GanttPeriod),"◇","")),IF(AND(EO$5&lt;=$F115,EO$5+GanttPeriod-1&gt;=$E115),"━","")))</f>
        <v/>
      </c>
      <c r="EP115" s="69" t="str">
        <f aca="false">IF($E115="","",IF($M115,IF(AND($G115&gt;=EP$5,$G115&lt;EP$5+GanttPeriod),"◆",IF(AND($E115&gt;=EP$5,$E115&lt;EP$5+GanttPeriod),"◇","")),IF(AND(EP$5&lt;=$F115,EP$5+GanttPeriod-1&gt;=$E115),"━","")))</f>
        <v/>
      </c>
      <c r="EQ115" s="69" t="str">
        <f aca="false">IF($E115="","",IF($M115,IF(AND($G115&gt;=EQ$5,$G115&lt;EQ$5+GanttPeriod),"◆",IF(AND($E115&gt;=EQ$5,$E115&lt;EQ$5+GanttPeriod),"◇","")),IF(AND(EQ$5&lt;=$F115,EQ$5+GanttPeriod-1&gt;=$E115),"━","")))</f>
        <v/>
      </c>
      <c r="ER115" s="69" t="str">
        <f aca="false">IF($E115="","",IF($M115,IF(AND($G115&gt;=ER$5,$G115&lt;ER$5+GanttPeriod),"◆",IF(AND($E115&gt;=ER$5,$E115&lt;ER$5+GanttPeriod),"◇","")),IF(AND(ER$5&lt;=$F115,ER$5+GanttPeriod-1&gt;=$E115),"━","")))</f>
        <v/>
      </c>
      <c r="ES115" s="69" t="str">
        <f aca="false">IF($E115="","",IF($M115,IF(AND($G115&gt;=ES$5,$G115&lt;ES$5+GanttPeriod),"◆",IF(AND($E115&gt;=ES$5,$E115&lt;ES$5+GanttPeriod),"◇","")),IF(AND(ES$5&lt;=$F115,ES$5+GanttPeriod-1&gt;=$E115),"━","")))</f>
        <v/>
      </c>
      <c r="ET115" s="69" t="str">
        <f aca="false">IF($E115="","",IF($M115,IF(AND($G115&gt;=ET$5,$G115&lt;ET$5+GanttPeriod),"◆",IF(AND($E115&gt;=ET$5,$E115&lt;ET$5+GanttPeriod),"◇","")),IF(AND(ET$5&lt;=$F115,ET$5+GanttPeriod-1&gt;=$E115),"━","")))</f>
        <v/>
      </c>
      <c r="EU115" s="69" t="str">
        <f aca="false">IF($E115="","",IF($M115,IF(AND($G115&gt;=EU$5,$G115&lt;EU$5+GanttPeriod),"◆",IF(AND($E115&gt;=EU$5,$E115&lt;EU$5+GanttPeriod),"◇","")),IF(AND(EU$5&lt;=$F115,EU$5+GanttPeriod-1&gt;=$E115),"━","")))</f>
        <v/>
      </c>
      <c r="EV115" s="69" t="str">
        <f aca="false">IF($E115="","",IF($M115,IF(AND($G115&gt;=EV$5,$G115&lt;EV$5+GanttPeriod),"◆",IF(AND($E115&gt;=EV$5,$E115&lt;EV$5+GanttPeriod),"◇","")),IF(AND(EV$5&lt;=$F115,EV$5+GanttPeriod-1&gt;=$E115),"━","")))</f>
        <v/>
      </c>
      <c r="EW115" s="69" t="str">
        <f aca="false">IF($E115="","",IF($M115,IF(AND($G115&gt;=EW$5,$G115&lt;EW$5+GanttPeriod),"◆",IF(AND($E115&gt;=EW$5,$E115&lt;EW$5+GanttPeriod),"◇","")),IF(AND(EW$5&lt;=$F115,EW$5+GanttPeriod-1&gt;=$E115),"━","")))</f>
        <v/>
      </c>
      <c r="EX115" s="69" t="str">
        <f aca="false">IF($E115="","",IF($M115,IF(AND($G115&gt;=EX$5,$G115&lt;EX$5+GanttPeriod),"◆",IF(AND($E115&gt;=EX$5,$E115&lt;EX$5+GanttPeriod),"◇","")),IF(AND(EX$5&lt;=$F115,EX$5+GanttPeriod-1&gt;=$E115),"━","")))</f>
        <v/>
      </c>
      <c r="EY115" s="69" t="str">
        <f aca="false">IF($E115="","",IF($M115,IF(AND($G115&gt;=EY$5,$G115&lt;EY$5+GanttPeriod),"◆",IF(AND($E115&gt;=EY$5,$E115&lt;EY$5+GanttPeriod),"◇","")),IF(AND(EY$5&lt;=$F115,EY$5+GanttPeriod-1&gt;=$E115),"━","")))</f>
        <v/>
      </c>
      <c r="EZ115" s="69" t="str">
        <f aca="false">IF($E115="","",IF($M115,IF(AND($G115&gt;=EZ$5,$G115&lt;EZ$5+GanttPeriod),"◆",IF(AND($E115&gt;=EZ$5,$E115&lt;EZ$5+GanttPeriod),"◇","")),IF(AND(EZ$5&lt;=$F115,EZ$5+GanttPeriod-1&gt;=$E115),"━","")))</f>
        <v/>
      </c>
      <c r="FA115" s="69" t="str">
        <f aca="false">IF($E115="","",IF($M115,IF(AND($G115&gt;=FA$5,$G115&lt;FA$5+GanttPeriod),"◆",IF(AND($E115&gt;=FA$5,$E115&lt;FA$5+GanttPeriod),"◇","")),IF(AND(FA$5&lt;=$F115,FA$5+GanttPeriod-1&gt;=$E115),"━","")))</f>
        <v/>
      </c>
      <c r="FB115" s="69" t="str">
        <f aca="false">IF($E115="","",IF($M115,IF(AND($G115&gt;=FB$5,$G115&lt;FB$5+GanttPeriod),"◆",IF(AND($E115&gt;=FB$5,$E115&lt;FB$5+GanttPeriod),"◇","")),IF(AND(FB$5&lt;=$F115,FB$5+GanttPeriod-1&gt;=$E115),"━","")))</f>
        <v/>
      </c>
      <c r="FC115" s="69" t="str">
        <f aca="false">IF($E115="","",IF($M115,IF(AND($G115&gt;=FC$5,$G115&lt;FC$5+GanttPeriod),"◆",IF(AND($E115&gt;=FC$5,$E115&lt;FC$5+GanttPeriod),"◇","")),IF(AND(FC$5&lt;=$F115,FC$5+GanttPeriod-1&gt;=$E115),"━","")))</f>
        <v/>
      </c>
      <c r="FD115" s="69" t="str">
        <f aca="false">IF($E115="","",IF($M115,IF(AND($G115&gt;=FD$5,$G115&lt;FD$5+GanttPeriod),"◆",IF(AND($E115&gt;=FD$5,$E115&lt;FD$5+GanttPeriod),"◇","")),IF(AND(FD$5&lt;=$F115,FD$5+GanttPeriod-1&gt;=$E115),"━","")))</f>
        <v/>
      </c>
      <c r="FE115" s="69" t="str">
        <f aca="false">IF($E115="","",IF($M115,IF(AND($G115&gt;=FE$5,$G115&lt;FE$5+GanttPeriod),"◆",IF(AND($E115&gt;=FE$5,$E115&lt;FE$5+GanttPeriod),"◇","")),IF(AND(FE$5&lt;=$F115,FE$5+GanttPeriod-1&gt;=$E115),"━","")))</f>
        <v/>
      </c>
      <c r="FF115" s="69" t="str">
        <f aca="false">IF($E115="","",IF($M115,IF(AND($G115&gt;=FF$5,$G115&lt;FF$5+GanttPeriod),"◆",IF(AND($E115&gt;=FF$5,$E115&lt;FF$5+GanttPeriod),"◇","")),IF(AND(FF$5&lt;=$F115,FF$5+GanttPeriod-1&gt;=$E115),"━","")))</f>
        <v/>
      </c>
      <c r="FG115" s="69" t="str">
        <f aca="false">IF($E115="","",IF($M115,IF(AND($G115&gt;=FG$5,$G115&lt;FG$5+GanttPeriod),"◆",IF(AND($E115&gt;=FG$5,$E115&lt;FG$5+GanttPeriod),"◇","")),IF(AND(FG$5&lt;=$F115,FG$5+GanttPeriod-1&gt;=$E115),"━","")))</f>
        <v/>
      </c>
      <c r="FH115" s="69" t="str">
        <f aca="false">IF($E115="","",IF($M115,IF(AND($G115&gt;=FH$5,$G115&lt;FH$5+GanttPeriod),"◆",IF(AND($E115&gt;=FH$5,$E115&lt;FH$5+GanttPeriod),"◇","")),IF(AND(FH$5&lt;=$F115,FH$5+GanttPeriod-1&gt;=$E115),"━","")))</f>
        <v/>
      </c>
      <c r="FI115" s="69" t="str">
        <f aca="false">IF($E115="","",IF($M115,IF(AND($G115&gt;=FI$5,$G115&lt;FI$5+GanttPeriod),"◆",IF(AND($E115&gt;=FI$5,$E115&lt;FI$5+GanttPeriod),"◇","")),IF(AND(FI$5&lt;=$F115,FI$5+GanttPeriod-1&gt;=$E115),"━","")))</f>
        <v/>
      </c>
      <c r="FJ115" s="69" t="str">
        <f aca="false">IF($E115="","",IF($M115,IF(AND($G115&gt;=FJ$5,$G115&lt;FJ$5+GanttPeriod),"◆",IF(AND($E115&gt;=FJ$5,$E115&lt;FJ$5+GanttPeriod),"◇","")),IF(AND(FJ$5&lt;=$F115,FJ$5+GanttPeriod-1&gt;=$E115),"━","")))</f>
        <v/>
      </c>
      <c r="FK115" s="69" t="str">
        <f aca="false">IF($E115="","",IF($M115,IF(AND($G115&gt;=FK$5,$G115&lt;FK$5+GanttPeriod),"◆",IF(AND($E115&gt;=FK$5,$E115&lt;FK$5+GanttPeriod),"◇","")),IF(AND(FK$5&lt;=$F115,FK$5+GanttPeriod-1&gt;=$E115),"━","")))</f>
        <v/>
      </c>
      <c r="FL115" s="69" t="str">
        <f aca="false">IF($E115="","",IF($M115,IF(AND($G115&gt;=FL$5,$G115&lt;FL$5+GanttPeriod),"◆",IF(AND($E115&gt;=FL$5,$E115&lt;FL$5+GanttPeriod),"◇","")),IF(AND(FL$5&lt;=$F115,FL$5+GanttPeriod-1&gt;=$E115),"━","")))</f>
        <v/>
      </c>
      <c r="FM115" s="69" t="str">
        <f aca="false">IF($E115="","",IF($M115,IF(AND($G115&gt;=FM$5,$G115&lt;FM$5+GanttPeriod),"◆",IF(AND($E115&gt;=FM$5,$E115&lt;FM$5+GanttPeriod),"◇","")),IF(AND(FM$5&lt;=$F115,FM$5+GanttPeriod-1&gt;=$E115),"━","")))</f>
        <v/>
      </c>
    </row>
    <row r="116" customFormat="false" ht="15" hidden="false" customHeight="false" outlineLevel="0" collapsed="false">
      <c r="A116" s="62" t="str">
        <f aca="false">IF(Tasks!$D116="","",Tasks!$A116)</f>
        <v/>
      </c>
      <c r="B116" s="62" t="str">
        <f aca="false">IF(Tasks!$D116="","",Tasks!$B116)</f>
        <v/>
      </c>
      <c r="C116" s="63" t="str">
        <f aca="false">IF(Tasks!$D116="","",REPT("    ",Tasks!$AE116-1)&amp;Tasks!$D116)</f>
        <v/>
      </c>
      <c r="D116" s="62" t="str">
        <f aca="false">IF(Tasks!$D116="","",IF(Tasks!$AI116,NETWORKDAYS.INTL(Tasks!$R116,Tasks!$S116,WorkWeek,Holidays),N(Tasks!$F116)))</f>
        <v/>
      </c>
      <c r="E116" s="64" t="str">
        <f aca="false">IF(Tasks!$D116="","",Tasks!$N116)</f>
        <v/>
      </c>
      <c r="F116" s="64" t="str">
        <f aca="false">IF(Tasks!$D116="","",Tasks!$O116)</f>
        <v/>
      </c>
      <c r="G116" s="64" t="str">
        <f aca="false">IF(Tasks!$D116="","",Tasks!$R116)</f>
        <v/>
      </c>
      <c r="H116" s="64" t="str">
        <f aca="false">IF(Tasks!$D116="","",Tasks!$S116)</f>
        <v/>
      </c>
      <c r="I116" s="65" t="str">
        <f aca="false">IF(Tasks!$D116="","",Tasks!$V116)</f>
        <v/>
      </c>
      <c r="J116" s="63" t="str">
        <f aca="false">IF(Tasks!$D116="","",Tasks!$X116&amp;"")</f>
        <v/>
      </c>
      <c r="K116" s="66" t="str">
        <f aca="false">IF(Tasks!$D116="","",Tasks!$W116)</f>
        <v/>
      </c>
      <c r="L116" s="67" t="b">
        <f aca="false">IF(Tasks!$D116="",FALSE(),Tasks!$AI116)</f>
        <v>0</v>
      </c>
      <c r="M116" s="67" t="b">
        <f aca="false">AND(Tasks!$AJ116=1,N(Tasks!$F116)=0)</f>
        <v>0</v>
      </c>
      <c r="N116" s="68" t="n">
        <f aca="false">IF(AND(Tasks!$AJ116=1,NOT($M116),N($I116)&gt;0),$G116,0)</f>
        <v>0</v>
      </c>
      <c r="O116" s="68" t="n">
        <f aca="false">IF($N116=0,0,IF($I116&gt;=1,$H116,MAX($N116,$G116+ROUND(($H116-$G116+1)*$I116,0)-1)))</f>
        <v>0</v>
      </c>
      <c r="P116" s="68" t="n">
        <f aca="false">IF(OR(Tasks!$AJ116&lt;&gt;1,$M116,N($I116)&gt;=1),0,IF($O116&gt;0,$O116+1,$G116))</f>
        <v>0</v>
      </c>
      <c r="Q116" s="68" t="n">
        <f aca="false">IF($P116=0,0,$H116)</f>
        <v>0</v>
      </c>
      <c r="R116" s="67" t="b">
        <f aca="false">AND(Tasks!$D116&lt;&gt;"",N(Tasks!$T116)&gt;0)</f>
        <v>0</v>
      </c>
      <c r="T116" s="69" t="str">
        <f aca="false">IF($E116="","",IF($M116,IF(AND($G116&gt;=T$5,$G116&lt;T$5+GanttPeriod),"◆",IF(AND($E116&gt;=T$5,$E116&lt;T$5+GanttPeriod),"◇","")),IF(AND(T$5&lt;=$F116,T$5+GanttPeriod-1&gt;=$E116),"━","")))</f>
        <v/>
      </c>
      <c r="U116" s="69" t="str">
        <f aca="false">IF($E116="","",IF($M116,IF(AND($G116&gt;=U$5,$G116&lt;U$5+GanttPeriod),"◆",IF(AND($E116&gt;=U$5,$E116&lt;U$5+GanttPeriod),"◇","")),IF(AND(U$5&lt;=$F116,U$5+GanttPeriod-1&gt;=$E116),"━","")))</f>
        <v/>
      </c>
      <c r="V116" s="69" t="str">
        <f aca="false">IF($E116="","",IF($M116,IF(AND($G116&gt;=V$5,$G116&lt;V$5+GanttPeriod),"◆",IF(AND($E116&gt;=V$5,$E116&lt;V$5+GanttPeriod),"◇","")),IF(AND(V$5&lt;=$F116,V$5+GanttPeriod-1&gt;=$E116),"━","")))</f>
        <v/>
      </c>
      <c r="W116" s="69" t="str">
        <f aca="false">IF($E116="","",IF($M116,IF(AND($G116&gt;=W$5,$G116&lt;W$5+GanttPeriod),"◆",IF(AND($E116&gt;=W$5,$E116&lt;W$5+GanttPeriod),"◇","")),IF(AND(W$5&lt;=$F116,W$5+GanttPeriod-1&gt;=$E116),"━","")))</f>
        <v/>
      </c>
      <c r="X116" s="69" t="str">
        <f aca="false">IF($E116="","",IF($M116,IF(AND($G116&gt;=X$5,$G116&lt;X$5+GanttPeriod),"◆",IF(AND($E116&gt;=X$5,$E116&lt;X$5+GanttPeriod),"◇","")),IF(AND(X$5&lt;=$F116,X$5+GanttPeriod-1&gt;=$E116),"━","")))</f>
        <v/>
      </c>
      <c r="Y116" s="69" t="str">
        <f aca="false">IF($E116="","",IF($M116,IF(AND($G116&gt;=Y$5,$G116&lt;Y$5+GanttPeriod),"◆",IF(AND($E116&gt;=Y$5,$E116&lt;Y$5+GanttPeriod),"◇","")),IF(AND(Y$5&lt;=$F116,Y$5+GanttPeriod-1&gt;=$E116),"━","")))</f>
        <v/>
      </c>
      <c r="Z116" s="69" t="str">
        <f aca="false">IF($E116="","",IF($M116,IF(AND($G116&gt;=Z$5,$G116&lt;Z$5+GanttPeriod),"◆",IF(AND($E116&gt;=Z$5,$E116&lt;Z$5+GanttPeriod),"◇","")),IF(AND(Z$5&lt;=$F116,Z$5+GanttPeriod-1&gt;=$E116),"━","")))</f>
        <v/>
      </c>
      <c r="AA116" s="69" t="str">
        <f aca="false">IF($E116="","",IF($M116,IF(AND($G116&gt;=AA$5,$G116&lt;AA$5+GanttPeriod),"◆",IF(AND($E116&gt;=AA$5,$E116&lt;AA$5+GanttPeriod),"◇","")),IF(AND(AA$5&lt;=$F116,AA$5+GanttPeriod-1&gt;=$E116),"━","")))</f>
        <v/>
      </c>
      <c r="AB116" s="69" t="str">
        <f aca="false">IF($E116="","",IF($M116,IF(AND($G116&gt;=AB$5,$G116&lt;AB$5+GanttPeriod),"◆",IF(AND($E116&gt;=AB$5,$E116&lt;AB$5+GanttPeriod),"◇","")),IF(AND(AB$5&lt;=$F116,AB$5+GanttPeriod-1&gt;=$E116),"━","")))</f>
        <v/>
      </c>
      <c r="AC116" s="69" t="str">
        <f aca="false">IF($E116="","",IF($M116,IF(AND($G116&gt;=AC$5,$G116&lt;AC$5+GanttPeriod),"◆",IF(AND($E116&gt;=AC$5,$E116&lt;AC$5+GanttPeriod),"◇","")),IF(AND(AC$5&lt;=$F116,AC$5+GanttPeriod-1&gt;=$E116),"━","")))</f>
        <v/>
      </c>
      <c r="AD116" s="69" t="str">
        <f aca="false">IF($E116="","",IF($M116,IF(AND($G116&gt;=AD$5,$G116&lt;AD$5+GanttPeriod),"◆",IF(AND($E116&gt;=AD$5,$E116&lt;AD$5+GanttPeriod),"◇","")),IF(AND(AD$5&lt;=$F116,AD$5+GanttPeriod-1&gt;=$E116),"━","")))</f>
        <v/>
      </c>
      <c r="AE116" s="69" t="str">
        <f aca="false">IF($E116="","",IF($M116,IF(AND($G116&gt;=AE$5,$G116&lt;AE$5+GanttPeriod),"◆",IF(AND($E116&gt;=AE$5,$E116&lt;AE$5+GanttPeriod),"◇","")),IF(AND(AE$5&lt;=$F116,AE$5+GanttPeriod-1&gt;=$E116),"━","")))</f>
        <v/>
      </c>
      <c r="AF116" s="69" t="str">
        <f aca="false">IF($E116="","",IF($M116,IF(AND($G116&gt;=AF$5,$G116&lt;AF$5+GanttPeriod),"◆",IF(AND($E116&gt;=AF$5,$E116&lt;AF$5+GanttPeriod),"◇","")),IF(AND(AF$5&lt;=$F116,AF$5+GanttPeriod-1&gt;=$E116),"━","")))</f>
        <v/>
      </c>
      <c r="AG116" s="69" t="str">
        <f aca="false">IF($E116="","",IF($M116,IF(AND($G116&gt;=AG$5,$G116&lt;AG$5+GanttPeriod),"◆",IF(AND($E116&gt;=AG$5,$E116&lt;AG$5+GanttPeriod),"◇","")),IF(AND(AG$5&lt;=$F116,AG$5+GanttPeriod-1&gt;=$E116),"━","")))</f>
        <v/>
      </c>
      <c r="AH116" s="69" t="str">
        <f aca="false">IF($E116="","",IF($M116,IF(AND($G116&gt;=AH$5,$G116&lt;AH$5+GanttPeriod),"◆",IF(AND($E116&gt;=AH$5,$E116&lt;AH$5+GanttPeriod),"◇","")),IF(AND(AH$5&lt;=$F116,AH$5+GanttPeriod-1&gt;=$E116),"━","")))</f>
        <v/>
      </c>
      <c r="AI116" s="69" t="str">
        <f aca="false">IF($E116="","",IF($M116,IF(AND($G116&gt;=AI$5,$G116&lt;AI$5+GanttPeriod),"◆",IF(AND($E116&gt;=AI$5,$E116&lt;AI$5+GanttPeriod),"◇","")),IF(AND(AI$5&lt;=$F116,AI$5+GanttPeriod-1&gt;=$E116),"━","")))</f>
        <v/>
      </c>
      <c r="AJ116" s="69" t="str">
        <f aca="false">IF($E116="","",IF($M116,IF(AND($G116&gt;=AJ$5,$G116&lt;AJ$5+GanttPeriod),"◆",IF(AND($E116&gt;=AJ$5,$E116&lt;AJ$5+GanttPeriod),"◇","")),IF(AND(AJ$5&lt;=$F116,AJ$5+GanttPeriod-1&gt;=$E116),"━","")))</f>
        <v/>
      </c>
      <c r="AK116" s="69" t="str">
        <f aca="false">IF($E116="","",IF($M116,IF(AND($G116&gt;=AK$5,$G116&lt;AK$5+GanttPeriod),"◆",IF(AND($E116&gt;=AK$5,$E116&lt;AK$5+GanttPeriod),"◇","")),IF(AND(AK$5&lt;=$F116,AK$5+GanttPeriod-1&gt;=$E116),"━","")))</f>
        <v/>
      </c>
      <c r="AL116" s="69" t="str">
        <f aca="false">IF($E116="","",IF($M116,IF(AND($G116&gt;=AL$5,$G116&lt;AL$5+GanttPeriod),"◆",IF(AND($E116&gt;=AL$5,$E116&lt;AL$5+GanttPeriod),"◇","")),IF(AND(AL$5&lt;=$F116,AL$5+GanttPeriod-1&gt;=$E116),"━","")))</f>
        <v/>
      </c>
      <c r="AM116" s="69" t="str">
        <f aca="false">IF($E116="","",IF($M116,IF(AND($G116&gt;=AM$5,$G116&lt;AM$5+GanttPeriod),"◆",IF(AND($E116&gt;=AM$5,$E116&lt;AM$5+GanttPeriod),"◇","")),IF(AND(AM$5&lt;=$F116,AM$5+GanttPeriod-1&gt;=$E116),"━","")))</f>
        <v/>
      </c>
      <c r="AN116" s="69" t="str">
        <f aca="false">IF($E116="","",IF($M116,IF(AND($G116&gt;=AN$5,$G116&lt;AN$5+GanttPeriod),"◆",IF(AND($E116&gt;=AN$5,$E116&lt;AN$5+GanttPeriod),"◇","")),IF(AND(AN$5&lt;=$F116,AN$5+GanttPeriod-1&gt;=$E116),"━","")))</f>
        <v/>
      </c>
      <c r="AO116" s="69" t="str">
        <f aca="false">IF($E116="","",IF($M116,IF(AND($G116&gt;=AO$5,$G116&lt;AO$5+GanttPeriod),"◆",IF(AND($E116&gt;=AO$5,$E116&lt;AO$5+GanttPeriod),"◇","")),IF(AND(AO$5&lt;=$F116,AO$5+GanttPeriod-1&gt;=$E116),"━","")))</f>
        <v/>
      </c>
      <c r="AP116" s="69" t="str">
        <f aca="false">IF($E116="","",IF($M116,IF(AND($G116&gt;=AP$5,$G116&lt;AP$5+GanttPeriod),"◆",IF(AND($E116&gt;=AP$5,$E116&lt;AP$5+GanttPeriod),"◇","")),IF(AND(AP$5&lt;=$F116,AP$5+GanttPeriod-1&gt;=$E116),"━","")))</f>
        <v/>
      </c>
      <c r="AQ116" s="69" t="str">
        <f aca="false">IF($E116="","",IF($M116,IF(AND($G116&gt;=AQ$5,$G116&lt;AQ$5+GanttPeriod),"◆",IF(AND($E116&gt;=AQ$5,$E116&lt;AQ$5+GanttPeriod),"◇","")),IF(AND(AQ$5&lt;=$F116,AQ$5+GanttPeriod-1&gt;=$E116),"━","")))</f>
        <v/>
      </c>
      <c r="AR116" s="69" t="str">
        <f aca="false">IF($E116="","",IF($M116,IF(AND($G116&gt;=AR$5,$G116&lt;AR$5+GanttPeriod),"◆",IF(AND($E116&gt;=AR$5,$E116&lt;AR$5+GanttPeriod),"◇","")),IF(AND(AR$5&lt;=$F116,AR$5+GanttPeriod-1&gt;=$E116),"━","")))</f>
        <v/>
      </c>
      <c r="AS116" s="69" t="str">
        <f aca="false">IF($E116="","",IF($M116,IF(AND($G116&gt;=AS$5,$G116&lt;AS$5+GanttPeriod),"◆",IF(AND($E116&gt;=AS$5,$E116&lt;AS$5+GanttPeriod),"◇","")),IF(AND(AS$5&lt;=$F116,AS$5+GanttPeriod-1&gt;=$E116),"━","")))</f>
        <v/>
      </c>
      <c r="AT116" s="69" t="str">
        <f aca="false">IF($E116="","",IF($M116,IF(AND($G116&gt;=AT$5,$G116&lt;AT$5+GanttPeriod),"◆",IF(AND($E116&gt;=AT$5,$E116&lt;AT$5+GanttPeriod),"◇","")),IF(AND(AT$5&lt;=$F116,AT$5+GanttPeriod-1&gt;=$E116),"━","")))</f>
        <v/>
      </c>
      <c r="AU116" s="69" t="str">
        <f aca="false">IF($E116="","",IF($M116,IF(AND($G116&gt;=AU$5,$G116&lt;AU$5+GanttPeriod),"◆",IF(AND($E116&gt;=AU$5,$E116&lt;AU$5+GanttPeriod),"◇","")),IF(AND(AU$5&lt;=$F116,AU$5+GanttPeriod-1&gt;=$E116),"━","")))</f>
        <v/>
      </c>
      <c r="AV116" s="69" t="str">
        <f aca="false">IF($E116="","",IF($M116,IF(AND($G116&gt;=AV$5,$G116&lt;AV$5+GanttPeriod),"◆",IF(AND($E116&gt;=AV$5,$E116&lt;AV$5+GanttPeriod),"◇","")),IF(AND(AV$5&lt;=$F116,AV$5+GanttPeriod-1&gt;=$E116),"━","")))</f>
        <v/>
      </c>
      <c r="AW116" s="69" t="str">
        <f aca="false">IF($E116="","",IF($M116,IF(AND($G116&gt;=AW$5,$G116&lt;AW$5+GanttPeriod),"◆",IF(AND($E116&gt;=AW$5,$E116&lt;AW$5+GanttPeriod),"◇","")),IF(AND(AW$5&lt;=$F116,AW$5+GanttPeriod-1&gt;=$E116),"━","")))</f>
        <v/>
      </c>
      <c r="AX116" s="69" t="str">
        <f aca="false">IF($E116="","",IF($M116,IF(AND($G116&gt;=AX$5,$G116&lt;AX$5+GanttPeriod),"◆",IF(AND($E116&gt;=AX$5,$E116&lt;AX$5+GanttPeriod),"◇","")),IF(AND(AX$5&lt;=$F116,AX$5+GanttPeriod-1&gt;=$E116),"━","")))</f>
        <v/>
      </c>
      <c r="AY116" s="69" t="str">
        <f aca="false">IF($E116="","",IF($M116,IF(AND($G116&gt;=AY$5,$G116&lt;AY$5+GanttPeriod),"◆",IF(AND($E116&gt;=AY$5,$E116&lt;AY$5+GanttPeriod),"◇","")),IF(AND(AY$5&lt;=$F116,AY$5+GanttPeriod-1&gt;=$E116),"━","")))</f>
        <v/>
      </c>
      <c r="AZ116" s="69" t="str">
        <f aca="false">IF($E116="","",IF($M116,IF(AND($G116&gt;=AZ$5,$G116&lt;AZ$5+GanttPeriod),"◆",IF(AND($E116&gt;=AZ$5,$E116&lt;AZ$5+GanttPeriod),"◇","")),IF(AND(AZ$5&lt;=$F116,AZ$5+GanttPeriod-1&gt;=$E116),"━","")))</f>
        <v/>
      </c>
      <c r="BA116" s="69" t="str">
        <f aca="false">IF($E116="","",IF($M116,IF(AND($G116&gt;=BA$5,$G116&lt;BA$5+GanttPeriod),"◆",IF(AND($E116&gt;=BA$5,$E116&lt;BA$5+GanttPeriod),"◇","")),IF(AND(BA$5&lt;=$F116,BA$5+GanttPeriod-1&gt;=$E116),"━","")))</f>
        <v/>
      </c>
      <c r="BB116" s="69" t="str">
        <f aca="false">IF($E116="","",IF($M116,IF(AND($G116&gt;=BB$5,$G116&lt;BB$5+GanttPeriod),"◆",IF(AND($E116&gt;=BB$5,$E116&lt;BB$5+GanttPeriod),"◇","")),IF(AND(BB$5&lt;=$F116,BB$5+GanttPeriod-1&gt;=$E116),"━","")))</f>
        <v/>
      </c>
      <c r="BC116" s="69" t="str">
        <f aca="false">IF($E116="","",IF($M116,IF(AND($G116&gt;=BC$5,$G116&lt;BC$5+GanttPeriod),"◆",IF(AND($E116&gt;=BC$5,$E116&lt;BC$5+GanttPeriod),"◇","")),IF(AND(BC$5&lt;=$F116,BC$5+GanttPeriod-1&gt;=$E116),"━","")))</f>
        <v/>
      </c>
      <c r="BD116" s="69" t="str">
        <f aca="false">IF($E116="","",IF($M116,IF(AND($G116&gt;=BD$5,$G116&lt;BD$5+GanttPeriod),"◆",IF(AND($E116&gt;=BD$5,$E116&lt;BD$5+GanttPeriod),"◇","")),IF(AND(BD$5&lt;=$F116,BD$5+GanttPeriod-1&gt;=$E116),"━","")))</f>
        <v/>
      </c>
      <c r="BE116" s="69" t="str">
        <f aca="false">IF($E116="","",IF($M116,IF(AND($G116&gt;=BE$5,$G116&lt;BE$5+GanttPeriod),"◆",IF(AND($E116&gt;=BE$5,$E116&lt;BE$5+GanttPeriod),"◇","")),IF(AND(BE$5&lt;=$F116,BE$5+GanttPeriod-1&gt;=$E116),"━","")))</f>
        <v/>
      </c>
      <c r="BF116" s="69" t="str">
        <f aca="false">IF($E116="","",IF($M116,IF(AND($G116&gt;=BF$5,$G116&lt;BF$5+GanttPeriod),"◆",IF(AND($E116&gt;=BF$5,$E116&lt;BF$5+GanttPeriod),"◇","")),IF(AND(BF$5&lt;=$F116,BF$5+GanttPeriod-1&gt;=$E116),"━","")))</f>
        <v/>
      </c>
      <c r="BG116" s="69" t="str">
        <f aca="false">IF($E116="","",IF($M116,IF(AND($G116&gt;=BG$5,$G116&lt;BG$5+GanttPeriod),"◆",IF(AND($E116&gt;=BG$5,$E116&lt;BG$5+GanttPeriod),"◇","")),IF(AND(BG$5&lt;=$F116,BG$5+GanttPeriod-1&gt;=$E116),"━","")))</f>
        <v/>
      </c>
      <c r="BH116" s="69" t="str">
        <f aca="false">IF($E116="","",IF($M116,IF(AND($G116&gt;=BH$5,$G116&lt;BH$5+GanttPeriod),"◆",IF(AND($E116&gt;=BH$5,$E116&lt;BH$5+GanttPeriod),"◇","")),IF(AND(BH$5&lt;=$F116,BH$5+GanttPeriod-1&gt;=$E116),"━","")))</f>
        <v/>
      </c>
      <c r="BI116" s="69" t="str">
        <f aca="false">IF($E116="","",IF($M116,IF(AND($G116&gt;=BI$5,$G116&lt;BI$5+GanttPeriod),"◆",IF(AND($E116&gt;=BI$5,$E116&lt;BI$5+GanttPeriod),"◇","")),IF(AND(BI$5&lt;=$F116,BI$5+GanttPeriod-1&gt;=$E116),"━","")))</f>
        <v/>
      </c>
      <c r="BJ116" s="69" t="str">
        <f aca="false">IF($E116="","",IF($M116,IF(AND($G116&gt;=BJ$5,$G116&lt;BJ$5+GanttPeriod),"◆",IF(AND($E116&gt;=BJ$5,$E116&lt;BJ$5+GanttPeriod),"◇","")),IF(AND(BJ$5&lt;=$F116,BJ$5+GanttPeriod-1&gt;=$E116),"━","")))</f>
        <v/>
      </c>
      <c r="BK116" s="69" t="str">
        <f aca="false">IF($E116="","",IF($M116,IF(AND($G116&gt;=BK$5,$G116&lt;BK$5+GanttPeriod),"◆",IF(AND($E116&gt;=BK$5,$E116&lt;BK$5+GanttPeriod),"◇","")),IF(AND(BK$5&lt;=$F116,BK$5+GanttPeriod-1&gt;=$E116),"━","")))</f>
        <v/>
      </c>
      <c r="BL116" s="69" t="str">
        <f aca="false">IF($E116="","",IF($M116,IF(AND($G116&gt;=BL$5,$G116&lt;BL$5+GanttPeriod),"◆",IF(AND($E116&gt;=BL$5,$E116&lt;BL$5+GanttPeriod),"◇","")),IF(AND(BL$5&lt;=$F116,BL$5+GanttPeriod-1&gt;=$E116),"━","")))</f>
        <v/>
      </c>
      <c r="BM116" s="69" t="str">
        <f aca="false">IF($E116="","",IF($M116,IF(AND($G116&gt;=BM$5,$G116&lt;BM$5+GanttPeriod),"◆",IF(AND($E116&gt;=BM$5,$E116&lt;BM$5+GanttPeriod),"◇","")),IF(AND(BM$5&lt;=$F116,BM$5+GanttPeriod-1&gt;=$E116),"━","")))</f>
        <v/>
      </c>
      <c r="BN116" s="69" t="str">
        <f aca="false">IF($E116="","",IF($M116,IF(AND($G116&gt;=BN$5,$G116&lt;BN$5+GanttPeriod),"◆",IF(AND($E116&gt;=BN$5,$E116&lt;BN$5+GanttPeriod),"◇","")),IF(AND(BN$5&lt;=$F116,BN$5+GanttPeriod-1&gt;=$E116),"━","")))</f>
        <v/>
      </c>
      <c r="BO116" s="69" t="str">
        <f aca="false">IF($E116="","",IF($M116,IF(AND($G116&gt;=BO$5,$G116&lt;BO$5+GanttPeriod),"◆",IF(AND($E116&gt;=BO$5,$E116&lt;BO$5+GanttPeriod),"◇","")),IF(AND(BO$5&lt;=$F116,BO$5+GanttPeriod-1&gt;=$E116),"━","")))</f>
        <v/>
      </c>
      <c r="BP116" s="69" t="str">
        <f aca="false">IF($E116="","",IF($M116,IF(AND($G116&gt;=BP$5,$G116&lt;BP$5+GanttPeriod),"◆",IF(AND($E116&gt;=BP$5,$E116&lt;BP$5+GanttPeriod),"◇","")),IF(AND(BP$5&lt;=$F116,BP$5+GanttPeriod-1&gt;=$E116),"━","")))</f>
        <v/>
      </c>
      <c r="BQ116" s="69" t="str">
        <f aca="false">IF($E116="","",IF($M116,IF(AND($G116&gt;=BQ$5,$G116&lt;BQ$5+GanttPeriod),"◆",IF(AND($E116&gt;=BQ$5,$E116&lt;BQ$5+GanttPeriod),"◇","")),IF(AND(BQ$5&lt;=$F116,BQ$5+GanttPeriod-1&gt;=$E116),"━","")))</f>
        <v/>
      </c>
      <c r="BR116" s="69" t="str">
        <f aca="false">IF($E116="","",IF($M116,IF(AND($G116&gt;=BR$5,$G116&lt;BR$5+GanttPeriod),"◆",IF(AND($E116&gt;=BR$5,$E116&lt;BR$5+GanttPeriod),"◇","")),IF(AND(BR$5&lt;=$F116,BR$5+GanttPeriod-1&gt;=$E116),"━","")))</f>
        <v/>
      </c>
      <c r="BS116" s="69" t="str">
        <f aca="false">IF($E116="","",IF($M116,IF(AND($G116&gt;=BS$5,$G116&lt;BS$5+GanttPeriod),"◆",IF(AND($E116&gt;=BS$5,$E116&lt;BS$5+GanttPeriod),"◇","")),IF(AND(BS$5&lt;=$F116,BS$5+GanttPeriod-1&gt;=$E116),"━","")))</f>
        <v/>
      </c>
      <c r="BT116" s="69" t="str">
        <f aca="false">IF($E116="","",IF($M116,IF(AND($G116&gt;=BT$5,$G116&lt;BT$5+GanttPeriod),"◆",IF(AND($E116&gt;=BT$5,$E116&lt;BT$5+GanttPeriod),"◇","")),IF(AND(BT$5&lt;=$F116,BT$5+GanttPeriod-1&gt;=$E116),"━","")))</f>
        <v/>
      </c>
      <c r="BU116" s="69" t="str">
        <f aca="false">IF($E116="","",IF($M116,IF(AND($G116&gt;=BU$5,$G116&lt;BU$5+GanttPeriod),"◆",IF(AND($E116&gt;=BU$5,$E116&lt;BU$5+GanttPeriod),"◇","")),IF(AND(BU$5&lt;=$F116,BU$5+GanttPeriod-1&gt;=$E116),"━","")))</f>
        <v/>
      </c>
      <c r="BV116" s="69" t="str">
        <f aca="false">IF($E116="","",IF($M116,IF(AND($G116&gt;=BV$5,$G116&lt;BV$5+GanttPeriod),"◆",IF(AND($E116&gt;=BV$5,$E116&lt;BV$5+GanttPeriod),"◇","")),IF(AND(BV$5&lt;=$F116,BV$5+GanttPeriod-1&gt;=$E116),"━","")))</f>
        <v/>
      </c>
      <c r="BW116" s="69" t="str">
        <f aca="false">IF($E116="","",IF($M116,IF(AND($G116&gt;=BW$5,$G116&lt;BW$5+GanttPeriod),"◆",IF(AND($E116&gt;=BW$5,$E116&lt;BW$5+GanttPeriod),"◇","")),IF(AND(BW$5&lt;=$F116,BW$5+GanttPeriod-1&gt;=$E116),"━","")))</f>
        <v/>
      </c>
      <c r="BX116" s="69" t="str">
        <f aca="false">IF($E116="","",IF($M116,IF(AND($G116&gt;=BX$5,$G116&lt;BX$5+GanttPeriod),"◆",IF(AND($E116&gt;=BX$5,$E116&lt;BX$5+GanttPeriod),"◇","")),IF(AND(BX$5&lt;=$F116,BX$5+GanttPeriod-1&gt;=$E116),"━","")))</f>
        <v/>
      </c>
      <c r="BY116" s="69" t="str">
        <f aca="false">IF($E116="","",IF($M116,IF(AND($G116&gt;=BY$5,$G116&lt;BY$5+GanttPeriod),"◆",IF(AND($E116&gt;=BY$5,$E116&lt;BY$5+GanttPeriod),"◇","")),IF(AND(BY$5&lt;=$F116,BY$5+GanttPeriod-1&gt;=$E116),"━","")))</f>
        <v/>
      </c>
      <c r="BZ116" s="69" t="str">
        <f aca="false">IF($E116="","",IF($M116,IF(AND($G116&gt;=BZ$5,$G116&lt;BZ$5+GanttPeriod),"◆",IF(AND($E116&gt;=BZ$5,$E116&lt;BZ$5+GanttPeriod),"◇","")),IF(AND(BZ$5&lt;=$F116,BZ$5+GanttPeriod-1&gt;=$E116),"━","")))</f>
        <v/>
      </c>
      <c r="CA116" s="69" t="str">
        <f aca="false">IF($E116="","",IF($M116,IF(AND($G116&gt;=CA$5,$G116&lt;CA$5+GanttPeriod),"◆",IF(AND($E116&gt;=CA$5,$E116&lt;CA$5+GanttPeriod),"◇","")),IF(AND(CA$5&lt;=$F116,CA$5+GanttPeriod-1&gt;=$E116),"━","")))</f>
        <v/>
      </c>
      <c r="CB116" s="69" t="str">
        <f aca="false">IF($E116="","",IF($M116,IF(AND($G116&gt;=CB$5,$G116&lt;CB$5+GanttPeriod),"◆",IF(AND($E116&gt;=CB$5,$E116&lt;CB$5+GanttPeriod),"◇","")),IF(AND(CB$5&lt;=$F116,CB$5+GanttPeriod-1&gt;=$E116),"━","")))</f>
        <v/>
      </c>
      <c r="CC116" s="69" t="str">
        <f aca="false">IF($E116="","",IF($M116,IF(AND($G116&gt;=CC$5,$G116&lt;CC$5+GanttPeriod),"◆",IF(AND($E116&gt;=CC$5,$E116&lt;CC$5+GanttPeriod),"◇","")),IF(AND(CC$5&lt;=$F116,CC$5+GanttPeriod-1&gt;=$E116),"━","")))</f>
        <v/>
      </c>
      <c r="CD116" s="69" t="str">
        <f aca="false">IF($E116="","",IF($M116,IF(AND($G116&gt;=CD$5,$G116&lt;CD$5+GanttPeriod),"◆",IF(AND($E116&gt;=CD$5,$E116&lt;CD$5+GanttPeriod),"◇","")),IF(AND(CD$5&lt;=$F116,CD$5+GanttPeriod-1&gt;=$E116),"━","")))</f>
        <v/>
      </c>
      <c r="CE116" s="69" t="str">
        <f aca="false">IF($E116="","",IF($M116,IF(AND($G116&gt;=CE$5,$G116&lt;CE$5+GanttPeriod),"◆",IF(AND($E116&gt;=CE$5,$E116&lt;CE$5+GanttPeriod),"◇","")),IF(AND(CE$5&lt;=$F116,CE$5+GanttPeriod-1&gt;=$E116),"━","")))</f>
        <v/>
      </c>
      <c r="CF116" s="69" t="str">
        <f aca="false">IF($E116="","",IF($M116,IF(AND($G116&gt;=CF$5,$G116&lt;CF$5+GanttPeriod),"◆",IF(AND($E116&gt;=CF$5,$E116&lt;CF$5+GanttPeriod),"◇","")),IF(AND(CF$5&lt;=$F116,CF$5+GanttPeriod-1&gt;=$E116),"━","")))</f>
        <v/>
      </c>
      <c r="CG116" s="69" t="str">
        <f aca="false">IF($E116="","",IF($M116,IF(AND($G116&gt;=CG$5,$G116&lt;CG$5+GanttPeriod),"◆",IF(AND($E116&gt;=CG$5,$E116&lt;CG$5+GanttPeriod),"◇","")),IF(AND(CG$5&lt;=$F116,CG$5+GanttPeriod-1&gt;=$E116),"━","")))</f>
        <v/>
      </c>
      <c r="CH116" s="69" t="str">
        <f aca="false">IF($E116="","",IF($M116,IF(AND($G116&gt;=CH$5,$G116&lt;CH$5+GanttPeriod),"◆",IF(AND($E116&gt;=CH$5,$E116&lt;CH$5+GanttPeriod),"◇","")),IF(AND(CH$5&lt;=$F116,CH$5+GanttPeriod-1&gt;=$E116),"━","")))</f>
        <v/>
      </c>
      <c r="CI116" s="69" t="str">
        <f aca="false">IF($E116="","",IF($M116,IF(AND($G116&gt;=CI$5,$G116&lt;CI$5+GanttPeriod),"◆",IF(AND($E116&gt;=CI$5,$E116&lt;CI$5+GanttPeriod),"◇","")),IF(AND(CI$5&lt;=$F116,CI$5+GanttPeriod-1&gt;=$E116),"━","")))</f>
        <v/>
      </c>
      <c r="CJ116" s="69" t="str">
        <f aca="false">IF($E116="","",IF($M116,IF(AND($G116&gt;=CJ$5,$G116&lt;CJ$5+GanttPeriod),"◆",IF(AND($E116&gt;=CJ$5,$E116&lt;CJ$5+GanttPeriod),"◇","")),IF(AND(CJ$5&lt;=$F116,CJ$5+GanttPeriod-1&gt;=$E116),"━","")))</f>
        <v/>
      </c>
      <c r="CK116" s="69" t="str">
        <f aca="false">IF($E116="","",IF($M116,IF(AND($G116&gt;=CK$5,$G116&lt;CK$5+GanttPeriod),"◆",IF(AND($E116&gt;=CK$5,$E116&lt;CK$5+GanttPeriod),"◇","")),IF(AND(CK$5&lt;=$F116,CK$5+GanttPeriod-1&gt;=$E116),"━","")))</f>
        <v/>
      </c>
      <c r="CL116" s="69" t="str">
        <f aca="false">IF($E116="","",IF($M116,IF(AND($G116&gt;=CL$5,$G116&lt;CL$5+GanttPeriod),"◆",IF(AND($E116&gt;=CL$5,$E116&lt;CL$5+GanttPeriod),"◇","")),IF(AND(CL$5&lt;=$F116,CL$5+GanttPeriod-1&gt;=$E116),"━","")))</f>
        <v/>
      </c>
      <c r="CM116" s="69" t="str">
        <f aca="false">IF($E116="","",IF($M116,IF(AND($G116&gt;=CM$5,$G116&lt;CM$5+GanttPeriod),"◆",IF(AND($E116&gt;=CM$5,$E116&lt;CM$5+GanttPeriod),"◇","")),IF(AND(CM$5&lt;=$F116,CM$5+GanttPeriod-1&gt;=$E116),"━","")))</f>
        <v/>
      </c>
      <c r="CN116" s="69" t="str">
        <f aca="false">IF($E116="","",IF($M116,IF(AND($G116&gt;=CN$5,$G116&lt;CN$5+GanttPeriod),"◆",IF(AND($E116&gt;=CN$5,$E116&lt;CN$5+GanttPeriod),"◇","")),IF(AND(CN$5&lt;=$F116,CN$5+GanttPeriod-1&gt;=$E116),"━","")))</f>
        <v/>
      </c>
      <c r="CO116" s="69" t="str">
        <f aca="false">IF($E116="","",IF($M116,IF(AND($G116&gt;=CO$5,$G116&lt;CO$5+GanttPeriod),"◆",IF(AND($E116&gt;=CO$5,$E116&lt;CO$5+GanttPeriod),"◇","")),IF(AND(CO$5&lt;=$F116,CO$5+GanttPeriod-1&gt;=$E116),"━","")))</f>
        <v/>
      </c>
      <c r="CP116" s="69" t="str">
        <f aca="false">IF($E116="","",IF($M116,IF(AND($G116&gt;=CP$5,$G116&lt;CP$5+GanttPeriod),"◆",IF(AND($E116&gt;=CP$5,$E116&lt;CP$5+GanttPeriod),"◇","")),IF(AND(CP$5&lt;=$F116,CP$5+GanttPeriod-1&gt;=$E116),"━","")))</f>
        <v/>
      </c>
      <c r="CQ116" s="69" t="str">
        <f aca="false">IF($E116="","",IF($M116,IF(AND($G116&gt;=CQ$5,$G116&lt;CQ$5+GanttPeriod),"◆",IF(AND($E116&gt;=CQ$5,$E116&lt;CQ$5+GanttPeriod),"◇","")),IF(AND(CQ$5&lt;=$F116,CQ$5+GanttPeriod-1&gt;=$E116),"━","")))</f>
        <v/>
      </c>
      <c r="CR116" s="69" t="str">
        <f aca="false">IF($E116="","",IF($M116,IF(AND($G116&gt;=CR$5,$G116&lt;CR$5+GanttPeriod),"◆",IF(AND($E116&gt;=CR$5,$E116&lt;CR$5+GanttPeriod),"◇","")),IF(AND(CR$5&lt;=$F116,CR$5+GanttPeriod-1&gt;=$E116),"━","")))</f>
        <v/>
      </c>
      <c r="CS116" s="69" t="str">
        <f aca="false">IF($E116="","",IF($M116,IF(AND($G116&gt;=CS$5,$G116&lt;CS$5+GanttPeriod),"◆",IF(AND($E116&gt;=CS$5,$E116&lt;CS$5+GanttPeriod),"◇","")),IF(AND(CS$5&lt;=$F116,CS$5+GanttPeriod-1&gt;=$E116),"━","")))</f>
        <v/>
      </c>
      <c r="CT116" s="69" t="str">
        <f aca="false">IF($E116="","",IF($M116,IF(AND($G116&gt;=CT$5,$G116&lt;CT$5+GanttPeriod),"◆",IF(AND($E116&gt;=CT$5,$E116&lt;CT$5+GanttPeriod),"◇","")),IF(AND(CT$5&lt;=$F116,CT$5+GanttPeriod-1&gt;=$E116),"━","")))</f>
        <v/>
      </c>
      <c r="CU116" s="69" t="str">
        <f aca="false">IF($E116="","",IF($M116,IF(AND($G116&gt;=CU$5,$G116&lt;CU$5+GanttPeriod),"◆",IF(AND($E116&gt;=CU$5,$E116&lt;CU$5+GanttPeriod),"◇","")),IF(AND(CU$5&lt;=$F116,CU$5+GanttPeriod-1&gt;=$E116),"━","")))</f>
        <v/>
      </c>
      <c r="CV116" s="69" t="str">
        <f aca="false">IF($E116="","",IF($M116,IF(AND($G116&gt;=CV$5,$G116&lt;CV$5+GanttPeriod),"◆",IF(AND($E116&gt;=CV$5,$E116&lt;CV$5+GanttPeriod),"◇","")),IF(AND(CV$5&lt;=$F116,CV$5+GanttPeriod-1&gt;=$E116),"━","")))</f>
        <v/>
      </c>
      <c r="CW116" s="69" t="str">
        <f aca="false">IF($E116="","",IF($M116,IF(AND($G116&gt;=CW$5,$G116&lt;CW$5+GanttPeriod),"◆",IF(AND($E116&gt;=CW$5,$E116&lt;CW$5+GanttPeriod),"◇","")),IF(AND(CW$5&lt;=$F116,CW$5+GanttPeriod-1&gt;=$E116),"━","")))</f>
        <v/>
      </c>
      <c r="CX116" s="69" t="str">
        <f aca="false">IF($E116="","",IF($M116,IF(AND($G116&gt;=CX$5,$G116&lt;CX$5+GanttPeriod),"◆",IF(AND($E116&gt;=CX$5,$E116&lt;CX$5+GanttPeriod),"◇","")),IF(AND(CX$5&lt;=$F116,CX$5+GanttPeriod-1&gt;=$E116),"━","")))</f>
        <v/>
      </c>
      <c r="CY116" s="69" t="str">
        <f aca="false">IF($E116="","",IF($M116,IF(AND($G116&gt;=CY$5,$G116&lt;CY$5+GanttPeriod),"◆",IF(AND($E116&gt;=CY$5,$E116&lt;CY$5+GanttPeriod),"◇","")),IF(AND(CY$5&lt;=$F116,CY$5+GanttPeriod-1&gt;=$E116),"━","")))</f>
        <v/>
      </c>
      <c r="CZ116" s="69" t="str">
        <f aca="false">IF($E116="","",IF($M116,IF(AND($G116&gt;=CZ$5,$G116&lt;CZ$5+GanttPeriod),"◆",IF(AND($E116&gt;=CZ$5,$E116&lt;CZ$5+GanttPeriod),"◇","")),IF(AND(CZ$5&lt;=$F116,CZ$5+GanttPeriod-1&gt;=$E116),"━","")))</f>
        <v/>
      </c>
      <c r="DA116" s="69" t="str">
        <f aca="false">IF($E116="","",IF($M116,IF(AND($G116&gt;=DA$5,$G116&lt;DA$5+GanttPeriod),"◆",IF(AND($E116&gt;=DA$5,$E116&lt;DA$5+GanttPeriod),"◇","")),IF(AND(DA$5&lt;=$F116,DA$5+GanttPeriod-1&gt;=$E116),"━","")))</f>
        <v/>
      </c>
      <c r="DB116" s="69" t="str">
        <f aca="false">IF($E116="","",IF($M116,IF(AND($G116&gt;=DB$5,$G116&lt;DB$5+GanttPeriod),"◆",IF(AND($E116&gt;=DB$5,$E116&lt;DB$5+GanttPeriod),"◇","")),IF(AND(DB$5&lt;=$F116,DB$5+GanttPeriod-1&gt;=$E116),"━","")))</f>
        <v/>
      </c>
      <c r="DC116" s="69" t="str">
        <f aca="false">IF($E116="","",IF($M116,IF(AND($G116&gt;=DC$5,$G116&lt;DC$5+GanttPeriod),"◆",IF(AND($E116&gt;=DC$5,$E116&lt;DC$5+GanttPeriod),"◇","")),IF(AND(DC$5&lt;=$F116,DC$5+GanttPeriod-1&gt;=$E116),"━","")))</f>
        <v/>
      </c>
      <c r="DD116" s="69" t="str">
        <f aca="false">IF($E116="","",IF($M116,IF(AND($G116&gt;=DD$5,$G116&lt;DD$5+GanttPeriod),"◆",IF(AND($E116&gt;=DD$5,$E116&lt;DD$5+GanttPeriod),"◇","")),IF(AND(DD$5&lt;=$F116,DD$5+GanttPeriod-1&gt;=$E116),"━","")))</f>
        <v/>
      </c>
      <c r="DE116" s="69" t="str">
        <f aca="false">IF($E116="","",IF($M116,IF(AND($G116&gt;=DE$5,$G116&lt;DE$5+GanttPeriod),"◆",IF(AND($E116&gt;=DE$5,$E116&lt;DE$5+GanttPeriod),"◇","")),IF(AND(DE$5&lt;=$F116,DE$5+GanttPeriod-1&gt;=$E116),"━","")))</f>
        <v/>
      </c>
      <c r="DF116" s="69" t="str">
        <f aca="false">IF($E116="","",IF($M116,IF(AND($G116&gt;=DF$5,$G116&lt;DF$5+GanttPeriod),"◆",IF(AND($E116&gt;=DF$5,$E116&lt;DF$5+GanttPeriod),"◇","")),IF(AND(DF$5&lt;=$F116,DF$5+GanttPeriod-1&gt;=$E116),"━","")))</f>
        <v/>
      </c>
      <c r="DG116" s="69" t="str">
        <f aca="false">IF($E116="","",IF($M116,IF(AND($G116&gt;=DG$5,$G116&lt;DG$5+GanttPeriod),"◆",IF(AND($E116&gt;=DG$5,$E116&lt;DG$5+GanttPeriod),"◇","")),IF(AND(DG$5&lt;=$F116,DG$5+GanttPeriod-1&gt;=$E116),"━","")))</f>
        <v/>
      </c>
      <c r="DH116" s="69" t="str">
        <f aca="false">IF($E116="","",IF($M116,IF(AND($G116&gt;=DH$5,$G116&lt;DH$5+GanttPeriod),"◆",IF(AND($E116&gt;=DH$5,$E116&lt;DH$5+GanttPeriod),"◇","")),IF(AND(DH$5&lt;=$F116,DH$5+GanttPeriod-1&gt;=$E116),"━","")))</f>
        <v/>
      </c>
      <c r="DI116" s="69" t="str">
        <f aca="false">IF($E116="","",IF($M116,IF(AND($G116&gt;=DI$5,$G116&lt;DI$5+GanttPeriod),"◆",IF(AND($E116&gt;=DI$5,$E116&lt;DI$5+GanttPeriod),"◇","")),IF(AND(DI$5&lt;=$F116,DI$5+GanttPeriod-1&gt;=$E116),"━","")))</f>
        <v/>
      </c>
      <c r="DJ116" s="69" t="str">
        <f aca="false">IF($E116="","",IF($M116,IF(AND($G116&gt;=DJ$5,$G116&lt;DJ$5+GanttPeriod),"◆",IF(AND($E116&gt;=DJ$5,$E116&lt;DJ$5+GanttPeriod),"◇","")),IF(AND(DJ$5&lt;=$F116,DJ$5+GanttPeriod-1&gt;=$E116),"━","")))</f>
        <v/>
      </c>
      <c r="DK116" s="69" t="str">
        <f aca="false">IF($E116="","",IF($M116,IF(AND($G116&gt;=DK$5,$G116&lt;DK$5+GanttPeriod),"◆",IF(AND($E116&gt;=DK$5,$E116&lt;DK$5+GanttPeriod),"◇","")),IF(AND(DK$5&lt;=$F116,DK$5+GanttPeriod-1&gt;=$E116),"━","")))</f>
        <v/>
      </c>
      <c r="DL116" s="69" t="str">
        <f aca="false">IF($E116="","",IF($M116,IF(AND($G116&gt;=DL$5,$G116&lt;DL$5+GanttPeriod),"◆",IF(AND($E116&gt;=DL$5,$E116&lt;DL$5+GanttPeriod),"◇","")),IF(AND(DL$5&lt;=$F116,DL$5+GanttPeriod-1&gt;=$E116),"━","")))</f>
        <v/>
      </c>
      <c r="DM116" s="69" t="str">
        <f aca="false">IF($E116="","",IF($M116,IF(AND($G116&gt;=DM$5,$G116&lt;DM$5+GanttPeriod),"◆",IF(AND($E116&gt;=DM$5,$E116&lt;DM$5+GanttPeriod),"◇","")),IF(AND(DM$5&lt;=$F116,DM$5+GanttPeriod-1&gt;=$E116),"━","")))</f>
        <v/>
      </c>
      <c r="DN116" s="69" t="str">
        <f aca="false">IF($E116="","",IF($M116,IF(AND($G116&gt;=DN$5,$G116&lt;DN$5+GanttPeriod),"◆",IF(AND($E116&gt;=DN$5,$E116&lt;DN$5+GanttPeriod),"◇","")),IF(AND(DN$5&lt;=$F116,DN$5+GanttPeriod-1&gt;=$E116),"━","")))</f>
        <v/>
      </c>
      <c r="DO116" s="69" t="str">
        <f aca="false">IF($E116="","",IF($M116,IF(AND($G116&gt;=DO$5,$G116&lt;DO$5+GanttPeriod),"◆",IF(AND($E116&gt;=DO$5,$E116&lt;DO$5+GanttPeriod),"◇","")),IF(AND(DO$5&lt;=$F116,DO$5+GanttPeriod-1&gt;=$E116),"━","")))</f>
        <v/>
      </c>
      <c r="DP116" s="69" t="str">
        <f aca="false">IF($E116="","",IF($M116,IF(AND($G116&gt;=DP$5,$G116&lt;DP$5+GanttPeriod),"◆",IF(AND($E116&gt;=DP$5,$E116&lt;DP$5+GanttPeriod),"◇","")),IF(AND(DP$5&lt;=$F116,DP$5+GanttPeriod-1&gt;=$E116),"━","")))</f>
        <v/>
      </c>
      <c r="DQ116" s="69" t="str">
        <f aca="false">IF($E116="","",IF($M116,IF(AND($G116&gt;=DQ$5,$G116&lt;DQ$5+GanttPeriod),"◆",IF(AND($E116&gt;=DQ$5,$E116&lt;DQ$5+GanttPeriod),"◇","")),IF(AND(DQ$5&lt;=$F116,DQ$5+GanttPeriod-1&gt;=$E116),"━","")))</f>
        <v/>
      </c>
      <c r="DR116" s="69" t="str">
        <f aca="false">IF($E116="","",IF($M116,IF(AND($G116&gt;=DR$5,$G116&lt;DR$5+GanttPeriod),"◆",IF(AND($E116&gt;=DR$5,$E116&lt;DR$5+GanttPeriod),"◇","")),IF(AND(DR$5&lt;=$F116,DR$5+GanttPeriod-1&gt;=$E116),"━","")))</f>
        <v/>
      </c>
      <c r="DS116" s="69" t="str">
        <f aca="false">IF($E116="","",IF($M116,IF(AND($G116&gt;=DS$5,$G116&lt;DS$5+GanttPeriod),"◆",IF(AND($E116&gt;=DS$5,$E116&lt;DS$5+GanttPeriod),"◇","")),IF(AND(DS$5&lt;=$F116,DS$5+GanttPeriod-1&gt;=$E116),"━","")))</f>
        <v/>
      </c>
      <c r="DT116" s="69" t="str">
        <f aca="false">IF($E116="","",IF($M116,IF(AND($G116&gt;=DT$5,$G116&lt;DT$5+GanttPeriod),"◆",IF(AND($E116&gt;=DT$5,$E116&lt;DT$5+GanttPeriod),"◇","")),IF(AND(DT$5&lt;=$F116,DT$5+GanttPeriod-1&gt;=$E116),"━","")))</f>
        <v/>
      </c>
      <c r="DU116" s="69" t="str">
        <f aca="false">IF($E116="","",IF($M116,IF(AND($G116&gt;=DU$5,$G116&lt;DU$5+GanttPeriod),"◆",IF(AND($E116&gt;=DU$5,$E116&lt;DU$5+GanttPeriod),"◇","")),IF(AND(DU$5&lt;=$F116,DU$5+GanttPeriod-1&gt;=$E116),"━","")))</f>
        <v/>
      </c>
      <c r="DV116" s="69" t="str">
        <f aca="false">IF($E116="","",IF($M116,IF(AND($G116&gt;=DV$5,$G116&lt;DV$5+GanttPeriod),"◆",IF(AND($E116&gt;=DV$5,$E116&lt;DV$5+GanttPeriod),"◇","")),IF(AND(DV$5&lt;=$F116,DV$5+GanttPeriod-1&gt;=$E116),"━","")))</f>
        <v/>
      </c>
      <c r="DW116" s="69" t="str">
        <f aca="false">IF($E116="","",IF($M116,IF(AND($G116&gt;=DW$5,$G116&lt;DW$5+GanttPeriod),"◆",IF(AND($E116&gt;=DW$5,$E116&lt;DW$5+GanttPeriod),"◇","")),IF(AND(DW$5&lt;=$F116,DW$5+GanttPeriod-1&gt;=$E116),"━","")))</f>
        <v/>
      </c>
      <c r="DX116" s="69" t="str">
        <f aca="false">IF($E116="","",IF($M116,IF(AND($G116&gt;=DX$5,$G116&lt;DX$5+GanttPeriod),"◆",IF(AND($E116&gt;=DX$5,$E116&lt;DX$5+GanttPeriod),"◇","")),IF(AND(DX$5&lt;=$F116,DX$5+GanttPeriod-1&gt;=$E116),"━","")))</f>
        <v/>
      </c>
      <c r="DY116" s="69" t="str">
        <f aca="false">IF($E116="","",IF($M116,IF(AND($G116&gt;=DY$5,$G116&lt;DY$5+GanttPeriod),"◆",IF(AND($E116&gt;=DY$5,$E116&lt;DY$5+GanttPeriod),"◇","")),IF(AND(DY$5&lt;=$F116,DY$5+GanttPeriod-1&gt;=$E116),"━","")))</f>
        <v/>
      </c>
      <c r="DZ116" s="69" t="str">
        <f aca="false">IF($E116="","",IF($M116,IF(AND($G116&gt;=DZ$5,$G116&lt;DZ$5+GanttPeriod),"◆",IF(AND($E116&gt;=DZ$5,$E116&lt;DZ$5+GanttPeriod),"◇","")),IF(AND(DZ$5&lt;=$F116,DZ$5+GanttPeriod-1&gt;=$E116),"━","")))</f>
        <v/>
      </c>
      <c r="EA116" s="69" t="str">
        <f aca="false">IF($E116="","",IF($M116,IF(AND($G116&gt;=EA$5,$G116&lt;EA$5+GanttPeriod),"◆",IF(AND($E116&gt;=EA$5,$E116&lt;EA$5+GanttPeriod),"◇","")),IF(AND(EA$5&lt;=$F116,EA$5+GanttPeriod-1&gt;=$E116),"━","")))</f>
        <v/>
      </c>
      <c r="EB116" s="69" t="str">
        <f aca="false">IF($E116="","",IF($M116,IF(AND($G116&gt;=EB$5,$G116&lt;EB$5+GanttPeriod),"◆",IF(AND($E116&gt;=EB$5,$E116&lt;EB$5+GanttPeriod),"◇","")),IF(AND(EB$5&lt;=$F116,EB$5+GanttPeriod-1&gt;=$E116),"━","")))</f>
        <v/>
      </c>
      <c r="EC116" s="69" t="str">
        <f aca="false">IF($E116="","",IF($M116,IF(AND($G116&gt;=EC$5,$G116&lt;EC$5+GanttPeriod),"◆",IF(AND($E116&gt;=EC$5,$E116&lt;EC$5+GanttPeriod),"◇","")),IF(AND(EC$5&lt;=$F116,EC$5+GanttPeriod-1&gt;=$E116),"━","")))</f>
        <v/>
      </c>
      <c r="ED116" s="69" t="str">
        <f aca="false">IF($E116="","",IF($M116,IF(AND($G116&gt;=ED$5,$G116&lt;ED$5+GanttPeriod),"◆",IF(AND($E116&gt;=ED$5,$E116&lt;ED$5+GanttPeriod),"◇","")),IF(AND(ED$5&lt;=$F116,ED$5+GanttPeriod-1&gt;=$E116),"━","")))</f>
        <v/>
      </c>
      <c r="EE116" s="69" t="str">
        <f aca="false">IF($E116="","",IF($M116,IF(AND($G116&gt;=EE$5,$G116&lt;EE$5+GanttPeriod),"◆",IF(AND($E116&gt;=EE$5,$E116&lt;EE$5+GanttPeriod),"◇","")),IF(AND(EE$5&lt;=$F116,EE$5+GanttPeriod-1&gt;=$E116),"━","")))</f>
        <v/>
      </c>
      <c r="EF116" s="69" t="str">
        <f aca="false">IF($E116="","",IF($M116,IF(AND($G116&gt;=EF$5,$G116&lt;EF$5+GanttPeriod),"◆",IF(AND($E116&gt;=EF$5,$E116&lt;EF$5+GanttPeriod),"◇","")),IF(AND(EF$5&lt;=$F116,EF$5+GanttPeriod-1&gt;=$E116),"━","")))</f>
        <v/>
      </c>
      <c r="EG116" s="69" t="str">
        <f aca="false">IF($E116="","",IF($M116,IF(AND($G116&gt;=EG$5,$G116&lt;EG$5+GanttPeriod),"◆",IF(AND($E116&gt;=EG$5,$E116&lt;EG$5+GanttPeriod),"◇","")),IF(AND(EG$5&lt;=$F116,EG$5+GanttPeriod-1&gt;=$E116),"━","")))</f>
        <v/>
      </c>
      <c r="EH116" s="69" t="str">
        <f aca="false">IF($E116="","",IF($M116,IF(AND($G116&gt;=EH$5,$G116&lt;EH$5+GanttPeriod),"◆",IF(AND($E116&gt;=EH$5,$E116&lt;EH$5+GanttPeriod),"◇","")),IF(AND(EH$5&lt;=$F116,EH$5+GanttPeriod-1&gt;=$E116),"━","")))</f>
        <v/>
      </c>
      <c r="EI116" s="69" t="str">
        <f aca="false">IF($E116="","",IF($M116,IF(AND($G116&gt;=EI$5,$G116&lt;EI$5+GanttPeriod),"◆",IF(AND($E116&gt;=EI$5,$E116&lt;EI$5+GanttPeriod),"◇","")),IF(AND(EI$5&lt;=$F116,EI$5+GanttPeriod-1&gt;=$E116),"━","")))</f>
        <v/>
      </c>
      <c r="EJ116" s="69" t="str">
        <f aca="false">IF($E116="","",IF($M116,IF(AND($G116&gt;=EJ$5,$G116&lt;EJ$5+GanttPeriod),"◆",IF(AND($E116&gt;=EJ$5,$E116&lt;EJ$5+GanttPeriod),"◇","")),IF(AND(EJ$5&lt;=$F116,EJ$5+GanttPeriod-1&gt;=$E116),"━","")))</f>
        <v/>
      </c>
      <c r="EK116" s="69" t="str">
        <f aca="false">IF($E116="","",IF($M116,IF(AND($G116&gt;=EK$5,$G116&lt;EK$5+GanttPeriod),"◆",IF(AND($E116&gt;=EK$5,$E116&lt;EK$5+GanttPeriod),"◇","")),IF(AND(EK$5&lt;=$F116,EK$5+GanttPeriod-1&gt;=$E116),"━","")))</f>
        <v/>
      </c>
      <c r="EL116" s="69" t="str">
        <f aca="false">IF($E116="","",IF($M116,IF(AND($G116&gt;=EL$5,$G116&lt;EL$5+GanttPeriod),"◆",IF(AND($E116&gt;=EL$5,$E116&lt;EL$5+GanttPeriod),"◇","")),IF(AND(EL$5&lt;=$F116,EL$5+GanttPeriod-1&gt;=$E116),"━","")))</f>
        <v/>
      </c>
      <c r="EM116" s="69" t="str">
        <f aca="false">IF($E116="","",IF($M116,IF(AND($G116&gt;=EM$5,$G116&lt;EM$5+GanttPeriod),"◆",IF(AND($E116&gt;=EM$5,$E116&lt;EM$5+GanttPeriod),"◇","")),IF(AND(EM$5&lt;=$F116,EM$5+GanttPeriod-1&gt;=$E116),"━","")))</f>
        <v/>
      </c>
      <c r="EN116" s="69" t="str">
        <f aca="false">IF($E116="","",IF($M116,IF(AND($G116&gt;=EN$5,$G116&lt;EN$5+GanttPeriod),"◆",IF(AND($E116&gt;=EN$5,$E116&lt;EN$5+GanttPeriod),"◇","")),IF(AND(EN$5&lt;=$F116,EN$5+GanttPeriod-1&gt;=$E116),"━","")))</f>
        <v/>
      </c>
      <c r="EO116" s="69" t="str">
        <f aca="false">IF($E116="","",IF($M116,IF(AND($G116&gt;=EO$5,$G116&lt;EO$5+GanttPeriod),"◆",IF(AND($E116&gt;=EO$5,$E116&lt;EO$5+GanttPeriod),"◇","")),IF(AND(EO$5&lt;=$F116,EO$5+GanttPeriod-1&gt;=$E116),"━","")))</f>
        <v/>
      </c>
      <c r="EP116" s="69" t="str">
        <f aca="false">IF($E116="","",IF($M116,IF(AND($G116&gt;=EP$5,$G116&lt;EP$5+GanttPeriod),"◆",IF(AND($E116&gt;=EP$5,$E116&lt;EP$5+GanttPeriod),"◇","")),IF(AND(EP$5&lt;=$F116,EP$5+GanttPeriod-1&gt;=$E116),"━","")))</f>
        <v/>
      </c>
      <c r="EQ116" s="69" t="str">
        <f aca="false">IF($E116="","",IF($M116,IF(AND($G116&gt;=EQ$5,$G116&lt;EQ$5+GanttPeriod),"◆",IF(AND($E116&gt;=EQ$5,$E116&lt;EQ$5+GanttPeriod),"◇","")),IF(AND(EQ$5&lt;=$F116,EQ$5+GanttPeriod-1&gt;=$E116),"━","")))</f>
        <v/>
      </c>
      <c r="ER116" s="69" t="str">
        <f aca="false">IF($E116="","",IF($M116,IF(AND($G116&gt;=ER$5,$G116&lt;ER$5+GanttPeriod),"◆",IF(AND($E116&gt;=ER$5,$E116&lt;ER$5+GanttPeriod),"◇","")),IF(AND(ER$5&lt;=$F116,ER$5+GanttPeriod-1&gt;=$E116),"━","")))</f>
        <v/>
      </c>
      <c r="ES116" s="69" t="str">
        <f aca="false">IF($E116="","",IF($M116,IF(AND($G116&gt;=ES$5,$G116&lt;ES$5+GanttPeriod),"◆",IF(AND($E116&gt;=ES$5,$E116&lt;ES$5+GanttPeriod),"◇","")),IF(AND(ES$5&lt;=$F116,ES$5+GanttPeriod-1&gt;=$E116),"━","")))</f>
        <v/>
      </c>
      <c r="ET116" s="69" t="str">
        <f aca="false">IF($E116="","",IF($M116,IF(AND($G116&gt;=ET$5,$G116&lt;ET$5+GanttPeriod),"◆",IF(AND($E116&gt;=ET$5,$E116&lt;ET$5+GanttPeriod),"◇","")),IF(AND(ET$5&lt;=$F116,ET$5+GanttPeriod-1&gt;=$E116),"━","")))</f>
        <v/>
      </c>
      <c r="EU116" s="69" t="str">
        <f aca="false">IF($E116="","",IF($M116,IF(AND($G116&gt;=EU$5,$G116&lt;EU$5+GanttPeriod),"◆",IF(AND($E116&gt;=EU$5,$E116&lt;EU$5+GanttPeriod),"◇","")),IF(AND(EU$5&lt;=$F116,EU$5+GanttPeriod-1&gt;=$E116),"━","")))</f>
        <v/>
      </c>
      <c r="EV116" s="69" t="str">
        <f aca="false">IF($E116="","",IF($M116,IF(AND($G116&gt;=EV$5,$G116&lt;EV$5+GanttPeriod),"◆",IF(AND($E116&gt;=EV$5,$E116&lt;EV$5+GanttPeriod),"◇","")),IF(AND(EV$5&lt;=$F116,EV$5+GanttPeriod-1&gt;=$E116),"━","")))</f>
        <v/>
      </c>
      <c r="EW116" s="69" t="str">
        <f aca="false">IF($E116="","",IF($M116,IF(AND($G116&gt;=EW$5,$G116&lt;EW$5+GanttPeriod),"◆",IF(AND($E116&gt;=EW$5,$E116&lt;EW$5+GanttPeriod),"◇","")),IF(AND(EW$5&lt;=$F116,EW$5+GanttPeriod-1&gt;=$E116),"━","")))</f>
        <v/>
      </c>
      <c r="EX116" s="69" t="str">
        <f aca="false">IF($E116="","",IF($M116,IF(AND($G116&gt;=EX$5,$G116&lt;EX$5+GanttPeriod),"◆",IF(AND($E116&gt;=EX$5,$E116&lt;EX$5+GanttPeriod),"◇","")),IF(AND(EX$5&lt;=$F116,EX$5+GanttPeriod-1&gt;=$E116),"━","")))</f>
        <v/>
      </c>
      <c r="EY116" s="69" t="str">
        <f aca="false">IF($E116="","",IF($M116,IF(AND($G116&gt;=EY$5,$G116&lt;EY$5+GanttPeriod),"◆",IF(AND($E116&gt;=EY$5,$E116&lt;EY$5+GanttPeriod),"◇","")),IF(AND(EY$5&lt;=$F116,EY$5+GanttPeriod-1&gt;=$E116),"━","")))</f>
        <v/>
      </c>
      <c r="EZ116" s="69" t="str">
        <f aca="false">IF($E116="","",IF($M116,IF(AND($G116&gt;=EZ$5,$G116&lt;EZ$5+GanttPeriod),"◆",IF(AND($E116&gt;=EZ$5,$E116&lt;EZ$5+GanttPeriod),"◇","")),IF(AND(EZ$5&lt;=$F116,EZ$5+GanttPeriod-1&gt;=$E116),"━","")))</f>
        <v/>
      </c>
      <c r="FA116" s="69" t="str">
        <f aca="false">IF($E116="","",IF($M116,IF(AND($G116&gt;=FA$5,$G116&lt;FA$5+GanttPeriod),"◆",IF(AND($E116&gt;=FA$5,$E116&lt;FA$5+GanttPeriod),"◇","")),IF(AND(FA$5&lt;=$F116,FA$5+GanttPeriod-1&gt;=$E116),"━","")))</f>
        <v/>
      </c>
      <c r="FB116" s="69" t="str">
        <f aca="false">IF($E116="","",IF($M116,IF(AND($G116&gt;=FB$5,$G116&lt;FB$5+GanttPeriod),"◆",IF(AND($E116&gt;=FB$5,$E116&lt;FB$5+GanttPeriod),"◇","")),IF(AND(FB$5&lt;=$F116,FB$5+GanttPeriod-1&gt;=$E116),"━","")))</f>
        <v/>
      </c>
      <c r="FC116" s="69" t="str">
        <f aca="false">IF($E116="","",IF($M116,IF(AND($G116&gt;=FC$5,$G116&lt;FC$5+GanttPeriod),"◆",IF(AND($E116&gt;=FC$5,$E116&lt;FC$5+GanttPeriod),"◇","")),IF(AND(FC$5&lt;=$F116,FC$5+GanttPeriod-1&gt;=$E116),"━","")))</f>
        <v/>
      </c>
      <c r="FD116" s="69" t="str">
        <f aca="false">IF($E116="","",IF($M116,IF(AND($G116&gt;=FD$5,$G116&lt;FD$5+GanttPeriod),"◆",IF(AND($E116&gt;=FD$5,$E116&lt;FD$5+GanttPeriod),"◇","")),IF(AND(FD$5&lt;=$F116,FD$5+GanttPeriod-1&gt;=$E116),"━","")))</f>
        <v/>
      </c>
      <c r="FE116" s="69" t="str">
        <f aca="false">IF($E116="","",IF($M116,IF(AND($G116&gt;=FE$5,$G116&lt;FE$5+GanttPeriod),"◆",IF(AND($E116&gt;=FE$5,$E116&lt;FE$5+GanttPeriod),"◇","")),IF(AND(FE$5&lt;=$F116,FE$5+GanttPeriod-1&gt;=$E116),"━","")))</f>
        <v/>
      </c>
      <c r="FF116" s="69" t="str">
        <f aca="false">IF($E116="","",IF($M116,IF(AND($G116&gt;=FF$5,$G116&lt;FF$5+GanttPeriod),"◆",IF(AND($E116&gt;=FF$5,$E116&lt;FF$5+GanttPeriod),"◇","")),IF(AND(FF$5&lt;=$F116,FF$5+GanttPeriod-1&gt;=$E116),"━","")))</f>
        <v/>
      </c>
      <c r="FG116" s="69" t="str">
        <f aca="false">IF($E116="","",IF($M116,IF(AND($G116&gt;=FG$5,$G116&lt;FG$5+GanttPeriod),"◆",IF(AND($E116&gt;=FG$5,$E116&lt;FG$5+GanttPeriod),"◇","")),IF(AND(FG$5&lt;=$F116,FG$5+GanttPeriod-1&gt;=$E116),"━","")))</f>
        <v/>
      </c>
      <c r="FH116" s="69" t="str">
        <f aca="false">IF($E116="","",IF($M116,IF(AND($G116&gt;=FH$5,$G116&lt;FH$5+GanttPeriod),"◆",IF(AND($E116&gt;=FH$5,$E116&lt;FH$5+GanttPeriod),"◇","")),IF(AND(FH$5&lt;=$F116,FH$5+GanttPeriod-1&gt;=$E116),"━","")))</f>
        <v/>
      </c>
      <c r="FI116" s="69" t="str">
        <f aca="false">IF($E116="","",IF($M116,IF(AND($G116&gt;=FI$5,$G116&lt;FI$5+GanttPeriod),"◆",IF(AND($E116&gt;=FI$5,$E116&lt;FI$5+GanttPeriod),"◇","")),IF(AND(FI$5&lt;=$F116,FI$5+GanttPeriod-1&gt;=$E116),"━","")))</f>
        <v/>
      </c>
      <c r="FJ116" s="69" t="str">
        <f aca="false">IF($E116="","",IF($M116,IF(AND($G116&gt;=FJ$5,$G116&lt;FJ$5+GanttPeriod),"◆",IF(AND($E116&gt;=FJ$5,$E116&lt;FJ$5+GanttPeriod),"◇","")),IF(AND(FJ$5&lt;=$F116,FJ$5+GanttPeriod-1&gt;=$E116),"━","")))</f>
        <v/>
      </c>
      <c r="FK116" s="69" t="str">
        <f aca="false">IF($E116="","",IF($M116,IF(AND($G116&gt;=FK$5,$G116&lt;FK$5+GanttPeriod),"◆",IF(AND($E116&gt;=FK$5,$E116&lt;FK$5+GanttPeriod),"◇","")),IF(AND(FK$5&lt;=$F116,FK$5+GanttPeriod-1&gt;=$E116),"━","")))</f>
        <v/>
      </c>
      <c r="FL116" s="69" t="str">
        <f aca="false">IF($E116="","",IF($M116,IF(AND($G116&gt;=FL$5,$G116&lt;FL$5+GanttPeriod),"◆",IF(AND($E116&gt;=FL$5,$E116&lt;FL$5+GanttPeriod),"◇","")),IF(AND(FL$5&lt;=$F116,FL$5+GanttPeriod-1&gt;=$E116),"━","")))</f>
        <v/>
      </c>
      <c r="FM116" s="69" t="str">
        <f aca="false">IF($E116="","",IF($M116,IF(AND($G116&gt;=FM$5,$G116&lt;FM$5+GanttPeriod),"◆",IF(AND($E116&gt;=FM$5,$E116&lt;FM$5+GanttPeriod),"◇","")),IF(AND(FM$5&lt;=$F116,FM$5+GanttPeriod-1&gt;=$E116),"━","")))</f>
        <v/>
      </c>
    </row>
    <row r="117" customFormat="false" ht="15" hidden="false" customHeight="false" outlineLevel="0" collapsed="false">
      <c r="A117" s="62" t="str">
        <f aca="false">IF(Tasks!$D117="","",Tasks!$A117)</f>
        <v/>
      </c>
      <c r="B117" s="62" t="str">
        <f aca="false">IF(Tasks!$D117="","",Tasks!$B117)</f>
        <v/>
      </c>
      <c r="C117" s="63" t="str">
        <f aca="false">IF(Tasks!$D117="","",REPT("    ",Tasks!$AE117-1)&amp;Tasks!$D117)</f>
        <v/>
      </c>
      <c r="D117" s="62" t="str">
        <f aca="false">IF(Tasks!$D117="","",IF(Tasks!$AI117,NETWORKDAYS.INTL(Tasks!$R117,Tasks!$S117,WorkWeek,Holidays),N(Tasks!$F117)))</f>
        <v/>
      </c>
      <c r="E117" s="64" t="str">
        <f aca="false">IF(Tasks!$D117="","",Tasks!$N117)</f>
        <v/>
      </c>
      <c r="F117" s="64" t="str">
        <f aca="false">IF(Tasks!$D117="","",Tasks!$O117)</f>
        <v/>
      </c>
      <c r="G117" s="64" t="str">
        <f aca="false">IF(Tasks!$D117="","",Tasks!$R117)</f>
        <v/>
      </c>
      <c r="H117" s="64" t="str">
        <f aca="false">IF(Tasks!$D117="","",Tasks!$S117)</f>
        <v/>
      </c>
      <c r="I117" s="65" t="str">
        <f aca="false">IF(Tasks!$D117="","",Tasks!$V117)</f>
        <v/>
      </c>
      <c r="J117" s="63" t="str">
        <f aca="false">IF(Tasks!$D117="","",Tasks!$X117&amp;"")</f>
        <v/>
      </c>
      <c r="K117" s="66" t="str">
        <f aca="false">IF(Tasks!$D117="","",Tasks!$W117)</f>
        <v/>
      </c>
      <c r="L117" s="67" t="b">
        <f aca="false">IF(Tasks!$D117="",FALSE(),Tasks!$AI117)</f>
        <v>0</v>
      </c>
      <c r="M117" s="67" t="b">
        <f aca="false">AND(Tasks!$AJ117=1,N(Tasks!$F117)=0)</f>
        <v>0</v>
      </c>
      <c r="N117" s="68" t="n">
        <f aca="false">IF(AND(Tasks!$AJ117=1,NOT($M117),N($I117)&gt;0),$G117,0)</f>
        <v>0</v>
      </c>
      <c r="O117" s="68" t="n">
        <f aca="false">IF($N117=0,0,IF($I117&gt;=1,$H117,MAX($N117,$G117+ROUND(($H117-$G117+1)*$I117,0)-1)))</f>
        <v>0</v>
      </c>
      <c r="P117" s="68" t="n">
        <f aca="false">IF(OR(Tasks!$AJ117&lt;&gt;1,$M117,N($I117)&gt;=1),0,IF($O117&gt;0,$O117+1,$G117))</f>
        <v>0</v>
      </c>
      <c r="Q117" s="68" t="n">
        <f aca="false">IF($P117=0,0,$H117)</f>
        <v>0</v>
      </c>
      <c r="R117" s="67" t="b">
        <f aca="false">AND(Tasks!$D117&lt;&gt;"",N(Tasks!$T117)&gt;0)</f>
        <v>0</v>
      </c>
      <c r="T117" s="69" t="str">
        <f aca="false">IF($E117="","",IF($M117,IF(AND($G117&gt;=T$5,$G117&lt;T$5+GanttPeriod),"◆",IF(AND($E117&gt;=T$5,$E117&lt;T$5+GanttPeriod),"◇","")),IF(AND(T$5&lt;=$F117,T$5+GanttPeriod-1&gt;=$E117),"━","")))</f>
        <v/>
      </c>
      <c r="U117" s="69" t="str">
        <f aca="false">IF($E117="","",IF($M117,IF(AND($G117&gt;=U$5,$G117&lt;U$5+GanttPeriod),"◆",IF(AND($E117&gt;=U$5,$E117&lt;U$5+GanttPeriod),"◇","")),IF(AND(U$5&lt;=$F117,U$5+GanttPeriod-1&gt;=$E117),"━","")))</f>
        <v/>
      </c>
      <c r="V117" s="69" t="str">
        <f aca="false">IF($E117="","",IF($M117,IF(AND($G117&gt;=V$5,$G117&lt;V$5+GanttPeriod),"◆",IF(AND($E117&gt;=V$5,$E117&lt;V$5+GanttPeriod),"◇","")),IF(AND(V$5&lt;=$F117,V$5+GanttPeriod-1&gt;=$E117),"━","")))</f>
        <v/>
      </c>
      <c r="W117" s="69" t="str">
        <f aca="false">IF($E117="","",IF($M117,IF(AND($G117&gt;=W$5,$G117&lt;W$5+GanttPeriod),"◆",IF(AND($E117&gt;=W$5,$E117&lt;W$5+GanttPeriod),"◇","")),IF(AND(W$5&lt;=$F117,W$5+GanttPeriod-1&gt;=$E117),"━","")))</f>
        <v/>
      </c>
      <c r="X117" s="69" t="str">
        <f aca="false">IF($E117="","",IF($M117,IF(AND($G117&gt;=X$5,$G117&lt;X$5+GanttPeriod),"◆",IF(AND($E117&gt;=X$5,$E117&lt;X$5+GanttPeriod),"◇","")),IF(AND(X$5&lt;=$F117,X$5+GanttPeriod-1&gt;=$E117),"━","")))</f>
        <v/>
      </c>
      <c r="Y117" s="69" t="str">
        <f aca="false">IF($E117="","",IF($M117,IF(AND($G117&gt;=Y$5,$G117&lt;Y$5+GanttPeriod),"◆",IF(AND($E117&gt;=Y$5,$E117&lt;Y$5+GanttPeriod),"◇","")),IF(AND(Y$5&lt;=$F117,Y$5+GanttPeriod-1&gt;=$E117),"━","")))</f>
        <v/>
      </c>
      <c r="Z117" s="69" t="str">
        <f aca="false">IF($E117="","",IF($M117,IF(AND($G117&gt;=Z$5,$G117&lt;Z$5+GanttPeriod),"◆",IF(AND($E117&gt;=Z$5,$E117&lt;Z$5+GanttPeriod),"◇","")),IF(AND(Z$5&lt;=$F117,Z$5+GanttPeriod-1&gt;=$E117),"━","")))</f>
        <v/>
      </c>
      <c r="AA117" s="69" t="str">
        <f aca="false">IF($E117="","",IF($M117,IF(AND($G117&gt;=AA$5,$G117&lt;AA$5+GanttPeriod),"◆",IF(AND($E117&gt;=AA$5,$E117&lt;AA$5+GanttPeriod),"◇","")),IF(AND(AA$5&lt;=$F117,AA$5+GanttPeriod-1&gt;=$E117),"━","")))</f>
        <v/>
      </c>
      <c r="AB117" s="69" t="str">
        <f aca="false">IF($E117="","",IF($M117,IF(AND($G117&gt;=AB$5,$G117&lt;AB$5+GanttPeriod),"◆",IF(AND($E117&gt;=AB$5,$E117&lt;AB$5+GanttPeriod),"◇","")),IF(AND(AB$5&lt;=$F117,AB$5+GanttPeriod-1&gt;=$E117),"━","")))</f>
        <v/>
      </c>
      <c r="AC117" s="69" t="str">
        <f aca="false">IF($E117="","",IF($M117,IF(AND($G117&gt;=AC$5,$G117&lt;AC$5+GanttPeriod),"◆",IF(AND($E117&gt;=AC$5,$E117&lt;AC$5+GanttPeriod),"◇","")),IF(AND(AC$5&lt;=$F117,AC$5+GanttPeriod-1&gt;=$E117),"━","")))</f>
        <v/>
      </c>
      <c r="AD117" s="69" t="str">
        <f aca="false">IF($E117="","",IF($M117,IF(AND($G117&gt;=AD$5,$G117&lt;AD$5+GanttPeriod),"◆",IF(AND($E117&gt;=AD$5,$E117&lt;AD$5+GanttPeriod),"◇","")),IF(AND(AD$5&lt;=$F117,AD$5+GanttPeriod-1&gt;=$E117),"━","")))</f>
        <v/>
      </c>
      <c r="AE117" s="69" t="str">
        <f aca="false">IF($E117="","",IF($M117,IF(AND($G117&gt;=AE$5,$G117&lt;AE$5+GanttPeriod),"◆",IF(AND($E117&gt;=AE$5,$E117&lt;AE$5+GanttPeriod),"◇","")),IF(AND(AE$5&lt;=$F117,AE$5+GanttPeriod-1&gt;=$E117),"━","")))</f>
        <v/>
      </c>
      <c r="AF117" s="69" t="str">
        <f aca="false">IF($E117="","",IF($M117,IF(AND($G117&gt;=AF$5,$G117&lt;AF$5+GanttPeriod),"◆",IF(AND($E117&gt;=AF$5,$E117&lt;AF$5+GanttPeriod),"◇","")),IF(AND(AF$5&lt;=$F117,AF$5+GanttPeriod-1&gt;=$E117),"━","")))</f>
        <v/>
      </c>
      <c r="AG117" s="69" t="str">
        <f aca="false">IF($E117="","",IF($M117,IF(AND($G117&gt;=AG$5,$G117&lt;AG$5+GanttPeriod),"◆",IF(AND($E117&gt;=AG$5,$E117&lt;AG$5+GanttPeriod),"◇","")),IF(AND(AG$5&lt;=$F117,AG$5+GanttPeriod-1&gt;=$E117),"━","")))</f>
        <v/>
      </c>
      <c r="AH117" s="69" t="str">
        <f aca="false">IF($E117="","",IF($M117,IF(AND($G117&gt;=AH$5,$G117&lt;AH$5+GanttPeriod),"◆",IF(AND($E117&gt;=AH$5,$E117&lt;AH$5+GanttPeriod),"◇","")),IF(AND(AH$5&lt;=$F117,AH$5+GanttPeriod-1&gt;=$E117),"━","")))</f>
        <v/>
      </c>
      <c r="AI117" s="69" t="str">
        <f aca="false">IF($E117="","",IF($M117,IF(AND($G117&gt;=AI$5,$G117&lt;AI$5+GanttPeriod),"◆",IF(AND($E117&gt;=AI$5,$E117&lt;AI$5+GanttPeriod),"◇","")),IF(AND(AI$5&lt;=$F117,AI$5+GanttPeriod-1&gt;=$E117),"━","")))</f>
        <v/>
      </c>
      <c r="AJ117" s="69" t="str">
        <f aca="false">IF($E117="","",IF($M117,IF(AND($G117&gt;=AJ$5,$G117&lt;AJ$5+GanttPeriod),"◆",IF(AND($E117&gt;=AJ$5,$E117&lt;AJ$5+GanttPeriod),"◇","")),IF(AND(AJ$5&lt;=$F117,AJ$5+GanttPeriod-1&gt;=$E117),"━","")))</f>
        <v/>
      </c>
      <c r="AK117" s="69" t="str">
        <f aca="false">IF($E117="","",IF($M117,IF(AND($G117&gt;=AK$5,$G117&lt;AK$5+GanttPeriod),"◆",IF(AND($E117&gt;=AK$5,$E117&lt;AK$5+GanttPeriod),"◇","")),IF(AND(AK$5&lt;=$F117,AK$5+GanttPeriod-1&gt;=$E117),"━","")))</f>
        <v/>
      </c>
      <c r="AL117" s="69" t="str">
        <f aca="false">IF($E117="","",IF($M117,IF(AND($G117&gt;=AL$5,$G117&lt;AL$5+GanttPeriod),"◆",IF(AND($E117&gt;=AL$5,$E117&lt;AL$5+GanttPeriod),"◇","")),IF(AND(AL$5&lt;=$F117,AL$5+GanttPeriod-1&gt;=$E117),"━","")))</f>
        <v/>
      </c>
      <c r="AM117" s="69" t="str">
        <f aca="false">IF($E117="","",IF($M117,IF(AND($G117&gt;=AM$5,$G117&lt;AM$5+GanttPeriod),"◆",IF(AND($E117&gt;=AM$5,$E117&lt;AM$5+GanttPeriod),"◇","")),IF(AND(AM$5&lt;=$F117,AM$5+GanttPeriod-1&gt;=$E117),"━","")))</f>
        <v/>
      </c>
      <c r="AN117" s="69" t="str">
        <f aca="false">IF($E117="","",IF($M117,IF(AND($G117&gt;=AN$5,$G117&lt;AN$5+GanttPeriod),"◆",IF(AND($E117&gt;=AN$5,$E117&lt;AN$5+GanttPeriod),"◇","")),IF(AND(AN$5&lt;=$F117,AN$5+GanttPeriod-1&gt;=$E117),"━","")))</f>
        <v/>
      </c>
      <c r="AO117" s="69" t="str">
        <f aca="false">IF($E117="","",IF($M117,IF(AND($G117&gt;=AO$5,$G117&lt;AO$5+GanttPeriod),"◆",IF(AND($E117&gt;=AO$5,$E117&lt;AO$5+GanttPeriod),"◇","")),IF(AND(AO$5&lt;=$F117,AO$5+GanttPeriod-1&gt;=$E117),"━","")))</f>
        <v/>
      </c>
      <c r="AP117" s="69" t="str">
        <f aca="false">IF($E117="","",IF($M117,IF(AND($G117&gt;=AP$5,$G117&lt;AP$5+GanttPeriod),"◆",IF(AND($E117&gt;=AP$5,$E117&lt;AP$5+GanttPeriod),"◇","")),IF(AND(AP$5&lt;=$F117,AP$5+GanttPeriod-1&gt;=$E117),"━","")))</f>
        <v/>
      </c>
      <c r="AQ117" s="69" t="str">
        <f aca="false">IF($E117="","",IF($M117,IF(AND($G117&gt;=AQ$5,$G117&lt;AQ$5+GanttPeriod),"◆",IF(AND($E117&gt;=AQ$5,$E117&lt;AQ$5+GanttPeriod),"◇","")),IF(AND(AQ$5&lt;=$F117,AQ$5+GanttPeriod-1&gt;=$E117),"━","")))</f>
        <v/>
      </c>
      <c r="AR117" s="69" t="str">
        <f aca="false">IF($E117="","",IF($M117,IF(AND($G117&gt;=AR$5,$G117&lt;AR$5+GanttPeriod),"◆",IF(AND($E117&gt;=AR$5,$E117&lt;AR$5+GanttPeriod),"◇","")),IF(AND(AR$5&lt;=$F117,AR$5+GanttPeriod-1&gt;=$E117),"━","")))</f>
        <v/>
      </c>
      <c r="AS117" s="69" t="str">
        <f aca="false">IF($E117="","",IF($M117,IF(AND($G117&gt;=AS$5,$G117&lt;AS$5+GanttPeriod),"◆",IF(AND($E117&gt;=AS$5,$E117&lt;AS$5+GanttPeriod),"◇","")),IF(AND(AS$5&lt;=$F117,AS$5+GanttPeriod-1&gt;=$E117),"━","")))</f>
        <v/>
      </c>
      <c r="AT117" s="69" t="str">
        <f aca="false">IF($E117="","",IF($M117,IF(AND($G117&gt;=AT$5,$G117&lt;AT$5+GanttPeriod),"◆",IF(AND($E117&gt;=AT$5,$E117&lt;AT$5+GanttPeriod),"◇","")),IF(AND(AT$5&lt;=$F117,AT$5+GanttPeriod-1&gt;=$E117),"━","")))</f>
        <v/>
      </c>
      <c r="AU117" s="69" t="str">
        <f aca="false">IF($E117="","",IF($M117,IF(AND($G117&gt;=AU$5,$G117&lt;AU$5+GanttPeriod),"◆",IF(AND($E117&gt;=AU$5,$E117&lt;AU$5+GanttPeriod),"◇","")),IF(AND(AU$5&lt;=$F117,AU$5+GanttPeriod-1&gt;=$E117),"━","")))</f>
        <v/>
      </c>
      <c r="AV117" s="69" t="str">
        <f aca="false">IF($E117="","",IF($M117,IF(AND($G117&gt;=AV$5,$G117&lt;AV$5+GanttPeriod),"◆",IF(AND($E117&gt;=AV$5,$E117&lt;AV$5+GanttPeriod),"◇","")),IF(AND(AV$5&lt;=$F117,AV$5+GanttPeriod-1&gt;=$E117),"━","")))</f>
        <v/>
      </c>
      <c r="AW117" s="69" t="str">
        <f aca="false">IF($E117="","",IF($M117,IF(AND($G117&gt;=AW$5,$G117&lt;AW$5+GanttPeriod),"◆",IF(AND($E117&gt;=AW$5,$E117&lt;AW$5+GanttPeriod),"◇","")),IF(AND(AW$5&lt;=$F117,AW$5+GanttPeriod-1&gt;=$E117),"━","")))</f>
        <v/>
      </c>
      <c r="AX117" s="69" t="str">
        <f aca="false">IF($E117="","",IF($M117,IF(AND($G117&gt;=AX$5,$G117&lt;AX$5+GanttPeriod),"◆",IF(AND($E117&gt;=AX$5,$E117&lt;AX$5+GanttPeriod),"◇","")),IF(AND(AX$5&lt;=$F117,AX$5+GanttPeriod-1&gt;=$E117),"━","")))</f>
        <v/>
      </c>
      <c r="AY117" s="69" t="str">
        <f aca="false">IF($E117="","",IF($M117,IF(AND($G117&gt;=AY$5,$G117&lt;AY$5+GanttPeriod),"◆",IF(AND($E117&gt;=AY$5,$E117&lt;AY$5+GanttPeriod),"◇","")),IF(AND(AY$5&lt;=$F117,AY$5+GanttPeriod-1&gt;=$E117),"━","")))</f>
        <v/>
      </c>
      <c r="AZ117" s="69" t="str">
        <f aca="false">IF($E117="","",IF($M117,IF(AND($G117&gt;=AZ$5,$G117&lt;AZ$5+GanttPeriod),"◆",IF(AND($E117&gt;=AZ$5,$E117&lt;AZ$5+GanttPeriod),"◇","")),IF(AND(AZ$5&lt;=$F117,AZ$5+GanttPeriod-1&gt;=$E117),"━","")))</f>
        <v/>
      </c>
      <c r="BA117" s="69" t="str">
        <f aca="false">IF($E117="","",IF($M117,IF(AND($G117&gt;=BA$5,$G117&lt;BA$5+GanttPeriod),"◆",IF(AND($E117&gt;=BA$5,$E117&lt;BA$5+GanttPeriod),"◇","")),IF(AND(BA$5&lt;=$F117,BA$5+GanttPeriod-1&gt;=$E117),"━","")))</f>
        <v/>
      </c>
      <c r="BB117" s="69" t="str">
        <f aca="false">IF($E117="","",IF($M117,IF(AND($G117&gt;=BB$5,$G117&lt;BB$5+GanttPeriod),"◆",IF(AND($E117&gt;=BB$5,$E117&lt;BB$5+GanttPeriod),"◇","")),IF(AND(BB$5&lt;=$F117,BB$5+GanttPeriod-1&gt;=$E117),"━","")))</f>
        <v/>
      </c>
      <c r="BC117" s="69" t="str">
        <f aca="false">IF($E117="","",IF($M117,IF(AND($G117&gt;=BC$5,$G117&lt;BC$5+GanttPeriod),"◆",IF(AND($E117&gt;=BC$5,$E117&lt;BC$5+GanttPeriod),"◇","")),IF(AND(BC$5&lt;=$F117,BC$5+GanttPeriod-1&gt;=$E117),"━","")))</f>
        <v/>
      </c>
      <c r="BD117" s="69" t="str">
        <f aca="false">IF($E117="","",IF($M117,IF(AND($G117&gt;=BD$5,$G117&lt;BD$5+GanttPeriod),"◆",IF(AND($E117&gt;=BD$5,$E117&lt;BD$5+GanttPeriod),"◇","")),IF(AND(BD$5&lt;=$F117,BD$5+GanttPeriod-1&gt;=$E117),"━","")))</f>
        <v/>
      </c>
      <c r="BE117" s="69" t="str">
        <f aca="false">IF($E117="","",IF($M117,IF(AND($G117&gt;=BE$5,$G117&lt;BE$5+GanttPeriod),"◆",IF(AND($E117&gt;=BE$5,$E117&lt;BE$5+GanttPeriod),"◇","")),IF(AND(BE$5&lt;=$F117,BE$5+GanttPeriod-1&gt;=$E117),"━","")))</f>
        <v/>
      </c>
      <c r="BF117" s="69" t="str">
        <f aca="false">IF($E117="","",IF($M117,IF(AND($G117&gt;=BF$5,$G117&lt;BF$5+GanttPeriod),"◆",IF(AND($E117&gt;=BF$5,$E117&lt;BF$5+GanttPeriod),"◇","")),IF(AND(BF$5&lt;=$F117,BF$5+GanttPeriod-1&gt;=$E117),"━","")))</f>
        <v/>
      </c>
      <c r="BG117" s="69" t="str">
        <f aca="false">IF($E117="","",IF($M117,IF(AND($G117&gt;=BG$5,$G117&lt;BG$5+GanttPeriod),"◆",IF(AND($E117&gt;=BG$5,$E117&lt;BG$5+GanttPeriod),"◇","")),IF(AND(BG$5&lt;=$F117,BG$5+GanttPeriod-1&gt;=$E117),"━","")))</f>
        <v/>
      </c>
      <c r="BH117" s="69" t="str">
        <f aca="false">IF($E117="","",IF($M117,IF(AND($G117&gt;=BH$5,$G117&lt;BH$5+GanttPeriod),"◆",IF(AND($E117&gt;=BH$5,$E117&lt;BH$5+GanttPeriod),"◇","")),IF(AND(BH$5&lt;=$F117,BH$5+GanttPeriod-1&gt;=$E117),"━","")))</f>
        <v/>
      </c>
      <c r="BI117" s="69" t="str">
        <f aca="false">IF($E117="","",IF($M117,IF(AND($G117&gt;=BI$5,$G117&lt;BI$5+GanttPeriod),"◆",IF(AND($E117&gt;=BI$5,$E117&lt;BI$5+GanttPeriod),"◇","")),IF(AND(BI$5&lt;=$F117,BI$5+GanttPeriod-1&gt;=$E117),"━","")))</f>
        <v/>
      </c>
      <c r="BJ117" s="69" t="str">
        <f aca="false">IF($E117="","",IF($M117,IF(AND($G117&gt;=BJ$5,$G117&lt;BJ$5+GanttPeriod),"◆",IF(AND($E117&gt;=BJ$5,$E117&lt;BJ$5+GanttPeriod),"◇","")),IF(AND(BJ$5&lt;=$F117,BJ$5+GanttPeriod-1&gt;=$E117),"━","")))</f>
        <v/>
      </c>
      <c r="BK117" s="69" t="str">
        <f aca="false">IF($E117="","",IF($M117,IF(AND($G117&gt;=BK$5,$G117&lt;BK$5+GanttPeriod),"◆",IF(AND($E117&gt;=BK$5,$E117&lt;BK$5+GanttPeriod),"◇","")),IF(AND(BK$5&lt;=$F117,BK$5+GanttPeriod-1&gt;=$E117),"━","")))</f>
        <v/>
      </c>
      <c r="BL117" s="69" t="str">
        <f aca="false">IF($E117="","",IF($M117,IF(AND($G117&gt;=BL$5,$G117&lt;BL$5+GanttPeriod),"◆",IF(AND($E117&gt;=BL$5,$E117&lt;BL$5+GanttPeriod),"◇","")),IF(AND(BL$5&lt;=$F117,BL$5+GanttPeriod-1&gt;=$E117),"━","")))</f>
        <v/>
      </c>
      <c r="BM117" s="69" t="str">
        <f aca="false">IF($E117="","",IF($M117,IF(AND($G117&gt;=BM$5,$G117&lt;BM$5+GanttPeriod),"◆",IF(AND($E117&gt;=BM$5,$E117&lt;BM$5+GanttPeriod),"◇","")),IF(AND(BM$5&lt;=$F117,BM$5+GanttPeriod-1&gt;=$E117),"━","")))</f>
        <v/>
      </c>
      <c r="BN117" s="69" t="str">
        <f aca="false">IF($E117="","",IF($M117,IF(AND($G117&gt;=BN$5,$G117&lt;BN$5+GanttPeriod),"◆",IF(AND($E117&gt;=BN$5,$E117&lt;BN$5+GanttPeriod),"◇","")),IF(AND(BN$5&lt;=$F117,BN$5+GanttPeriod-1&gt;=$E117),"━","")))</f>
        <v/>
      </c>
      <c r="BO117" s="69" t="str">
        <f aca="false">IF($E117="","",IF($M117,IF(AND($G117&gt;=BO$5,$G117&lt;BO$5+GanttPeriod),"◆",IF(AND($E117&gt;=BO$5,$E117&lt;BO$5+GanttPeriod),"◇","")),IF(AND(BO$5&lt;=$F117,BO$5+GanttPeriod-1&gt;=$E117),"━","")))</f>
        <v/>
      </c>
      <c r="BP117" s="69" t="str">
        <f aca="false">IF($E117="","",IF($M117,IF(AND($G117&gt;=BP$5,$G117&lt;BP$5+GanttPeriod),"◆",IF(AND($E117&gt;=BP$5,$E117&lt;BP$5+GanttPeriod),"◇","")),IF(AND(BP$5&lt;=$F117,BP$5+GanttPeriod-1&gt;=$E117),"━","")))</f>
        <v/>
      </c>
      <c r="BQ117" s="69" t="str">
        <f aca="false">IF($E117="","",IF($M117,IF(AND($G117&gt;=BQ$5,$G117&lt;BQ$5+GanttPeriod),"◆",IF(AND($E117&gt;=BQ$5,$E117&lt;BQ$5+GanttPeriod),"◇","")),IF(AND(BQ$5&lt;=$F117,BQ$5+GanttPeriod-1&gt;=$E117),"━","")))</f>
        <v/>
      </c>
      <c r="BR117" s="69" t="str">
        <f aca="false">IF($E117="","",IF($M117,IF(AND($G117&gt;=BR$5,$G117&lt;BR$5+GanttPeriod),"◆",IF(AND($E117&gt;=BR$5,$E117&lt;BR$5+GanttPeriod),"◇","")),IF(AND(BR$5&lt;=$F117,BR$5+GanttPeriod-1&gt;=$E117),"━","")))</f>
        <v/>
      </c>
      <c r="BS117" s="69" t="str">
        <f aca="false">IF($E117="","",IF($M117,IF(AND($G117&gt;=BS$5,$G117&lt;BS$5+GanttPeriod),"◆",IF(AND($E117&gt;=BS$5,$E117&lt;BS$5+GanttPeriod),"◇","")),IF(AND(BS$5&lt;=$F117,BS$5+GanttPeriod-1&gt;=$E117),"━","")))</f>
        <v/>
      </c>
      <c r="BT117" s="69" t="str">
        <f aca="false">IF($E117="","",IF($M117,IF(AND($G117&gt;=BT$5,$G117&lt;BT$5+GanttPeriod),"◆",IF(AND($E117&gt;=BT$5,$E117&lt;BT$5+GanttPeriod),"◇","")),IF(AND(BT$5&lt;=$F117,BT$5+GanttPeriod-1&gt;=$E117),"━","")))</f>
        <v/>
      </c>
      <c r="BU117" s="69" t="str">
        <f aca="false">IF($E117="","",IF($M117,IF(AND($G117&gt;=BU$5,$G117&lt;BU$5+GanttPeriod),"◆",IF(AND($E117&gt;=BU$5,$E117&lt;BU$5+GanttPeriod),"◇","")),IF(AND(BU$5&lt;=$F117,BU$5+GanttPeriod-1&gt;=$E117),"━","")))</f>
        <v/>
      </c>
      <c r="BV117" s="69" t="str">
        <f aca="false">IF($E117="","",IF($M117,IF(AND($G117&gt;=BV$5,$G117&lt;BV$5+GanttPeriod),"◆",IF(AND($E117&gt;=BV$5,$E117&lt;BV$5+GanttPeriod),"◇","")),IF(AND(BV$5&lt;=$F117,BV$5+GanttPeriod-1&gt;=$E117),"━","")))</f>
        <v/>
      </c>
      <c r="BW117" s="69" t="str">
        <f aca="false">IF($E117="","",IF($M117,IF(AND($G117&gt;=BW$5,$G117&lt;BW$5+GanttPeriod),"◆",IF(AND($E117&gt;=BW$5,$E117&lt;BW$5+GanttPeriod),"◇","")),IF(AND(BW$5&lt;=$F117,BW$5+GanttPeriod-1&gt;=$E117),"━","")))</f>
        <v/>
      </c>
      <c r="BX117" s="69" t="str">
        <f aca="false">IF($E117="","",IF($M117,IF(AND($G117&gt;=BX$5,$G117&lt;BX$5+GanttPeriod),"◆",IF(AND($E117&gt;=BX$5,$E117&lt;BX$5+GanttPeriod),"◇","")),IF(AND(BX$5&lt;=$F117,BX$5+GanttPeriod-1&gt;=$E117),"━","")))</f>
        <v/>
      </c>
      <c r="BY117" s="69" t="str">
        <f aca="false">IF($E117="","",IF($M117,IF(AND($G117&gt;=BY$5,$G117&lt;BY$5+GanttPeriod),"◆",IF(AND($E117&gt;=BY$5,$E117&lt;BY$5+GanttPeriod),"◇","")),IF(AND(BY$5&lt;=$F117,BY$5+GanttPeriod-1&gt;=$E117),"━","")))</f>
        <v/>
      </c>
      <c r="BZ117" s="69" t="str">
        <f aca="false">IF($E117="","",IF($M117,IF(AND($G117&gt;=BZ$5,$G117&lt;BZ$5+GanttPeriod),"◆",IF(AND($E117&gt;=BZ$5,$E117&lt;BZ$5+GanttPeriod),"◇","")),IF(AND(BZ$5&lt;=$F117,BZ$5+GanttPeriod-1&gt;=$E117),"━","")))</f>
        <v/>
      </c>
      <c r="CA117" s="69" t="str">
        <f aca="false">IF($E117="","",IF($M117,IF(AND($G117&gt;=CA$5,$G117&lt;CA$5+GanttPeriod),"◆",IF(AND($E117&gt;=CA$5,$E117&lt;CA$5+GanttPeriod),"◇","")),IF(AND(CA$5&lt;=$F117,CA$5+GanttPeriod-1&gt;=$E117),"━","")))</f>
        <v/>
      </c>
      <c r="CB117" s="69" t="str">
        <f aca="false">IF($E117="","",IF($M117,IF(AND($G117&gt;=CB$5,$G117&lt;CB$5+GanttPeriod),"◆",IF(AND($E117&gt;=CB$5,$E117&lt;CB$5+GanttPeriod),"◇","")),IF(AND(CB$5&lt;=$F117,CB$5+GanttPeriod-1&gt;=$E117),"━","")))</f>
        <v/>
      </c>
      <c r="CC117" s="69" t="str">
        <f aca="false">IF($E117="","",IF($M117,IF(AND($G117&gt;=CC$5,$G117&lt;CC$5+GanttPeriod),"◆",IF(AND($E117&gt;=CC$5,$E117&lt;CC$5+GanttPeriod),"◇","")),IF(AND(CC$5&lt;=$F117,CC$5+GanttPeriod-1&gt;=$E117),"━","")))</f>
        <v/>
      </c>
      <c r="CD117" s="69" t="str">
        <f aca="false">IF($E117="","",IF($M117,IF(AND($G117&gt;=CD$5,$G117&lt;CD$5+GanttPeriod),"◆",IF(AND($E117&gt;=CD$5,$E117&lt;CD$5+GanttPeriod),"◇","")),IF(AND(CD$5&lt;=$F117,CD$5+GanttPeriod-1&gt;=$E117),"━","")))</f>
        <v/>
      </c>
      <c r="CE117" s="69" t="str">
        <f aca="false">IF($E117="","",IF($M117,IF(AND($G117&gt;=CE$5,$G117&lt;CE$5+GanttPeriod),"◆",IF(AND($E117&gt;=CE$5,$E117&lt;CE$5+GanttPeriod),"◇","")),IF(AND(CE$5&lt;=$F117,CE$5+GanttPeriod-1&gt;=$E117),"━","")))</f>
        <v/>
      </c>
      <c r="CF117" s="69" t="str">
        <f aca="false">IF($E117="","",IF($M117,IF(AND($G117&gt;=CF$5,$G117&lt;CF$5+GanttPeriod),"◆",IF(AND($E117&gt;=CF$5,$E117&lt;CF$5+GanttPeriod),"◇","")),IF(AND(CF$5&lt;=$F117,CF$5+GanttPeriod-1&gt;=$E117),"━","")))</f>
        <v/>
      </c>
      <c r="CG117" s="69" t="str">
        <f aca="false">IF($E117="","",IF($M117,IF(AND($G117&gt;=CG$5,$G117&lt;CG$5+GanttPeriod),"◆",IF(AND($E117&gt;=CG$5,$E117&lt;CG$5+GanttPeriod),"◇","")),IF(AND(CG$5&lt;=$F117,CG$5+GanttPeriod-1&gt;=$E117),"━","")))</f>
        <v/>
      </c>
      <c r="CH117" s="69" t="str">
        <f aca="false">IF($E117="","",IF($M117,IF(AND($G117&gt;=CH$5,$G117&lt;CH$5+GanttPeriod),"◆",IF(AND($E117&gt;=CH$5,$E117&lt;CH$5+GanttPeriod),"◇","")),IF(AND(CH$5&lt;=$F117,CH$5+GanttPeriod-1&gt;=$E117),"━","")))</f>
        <v/>
      </c>
      <c r="CI117" s="69" t="str">
        <f aca="false">IF($E117="","",IF($M117,IF(AND($G117&gt;=CI$5,$G117&lt;CI$5+GanttPeriod),"◆",IF(AND($E117&gt;=CI$5,$E117&lt;CI$5+GanttPeriod),"◇","")),IF(AND(CI$5&lt;=$F117,CI$5+GanttPeriod-1&gt;=$E117),"━","")))</f>
        <v/>
      </c>
      <c r="CJ117" s="69" t="str">
        <f aca="false">IF($E117="","",IF($M117,IF(AND($G117&gt;=CJ$5,$G117&lt;CJ$5+GanttPeriod),"◆",IF(AND($E117&gt;=CJ$5,$E117&lt;CJ$5+GanttPeriod),"◇","")),IF(AND(CJ$5&lt;=$F117,CJ$5+GanttPeriod-1&gt;=$E117),"━","")))</f>
        <v/>
      </c>
      <c r="CK117" s="69" t="str">
        <f aca="false">IF($E117="","",IF($M117,IF(AND($G117&gt;=CK$5,$G117&lt;CK$5+GanttPeriod),"◆",IF(AND($E117&gt;=CK$5,$E117&lt;CK$5+GanttPeriod),"◇","")),IF(AND(CK$5&lt;=$F117,CK$5+GanttPeriod-1&gt;=$E117),"━","")))</f>
        <v/>
      </c>
      <c r="CL117" s="69" t="str">
        <f aca="false">IF($E117="","",IF($M117,IF(AND($G117&gt;=CL$5,$G117&lt;CL$5+GanttPeriod),"◆",IF(AND($E117&gt;=CL$5,$E117&lt;CL$5+GanttPeriod),"◇","")),IF(AND(CL$5&lt;=$F117,CL$5+GanttPeriod-1&gt;=$E117),"━","")))</f>
        <v/>
      </c>
      <c r="CM117" s="69" t="str">
        <f aca="false">IF($E117="","",IF($M117,IF(AND($G117&gt;=CM$5,$G117&lt;CM$5+GanttPeriod),"◆",IF(AND($E117&gt;=CM$5,$E117&lt;CM$5+GanttPeriod),"◇","")),IF(AND(CM$5&lt;=$F117,CM$5+GanttPeriod-1&gt;=$E117),"━","")))</f>
        <v/>
      </c>
      <c r="CN117" s="69" t="str">
        <f aca="false">IF($E117="","",IF($M117,IF(AND($G117&gt;=CN$5,$G117&lt;CN$5+GanttPeriod),"◆",IF(AND($E117&gt;=CN$5,$E117&lt;CN$5+GanttPeriod),"◇","")),IF(AND(CN$5&lt;=$F117,CN$5+GanttPeriod-1&gt;=$E117),"━","")))</f>
        <v/>
      </c>
      <c r="CO117" s="69" t="str">
        <f aca="false">IF($E117="","",IF($M117,IF(AND($G117&gt;=CO$5,$G117&lt;CO$5+GanttPeriod),"◆",IF(AND($E117&gt;=CO$5,$E117&lt;CO$5+GanttPeriod),"◇","")),IF(AND(CO$5&lt;=$F117,CO$5+GanttPeriod-1&gt;=$E117),"━","")))</f>
        <v/>
      </c>
      <c r="CP117" s="69" t="str">
        <f aca="false">IF($E117="","",IF($M117,IF(AND($G117&gt;=CP$5,$G117&lt;CP$5+GanttPeriod),"◆",IF(AND($E117&gt;=CP$5,$E117&lt;CP$5+GanttPeriod),"◇","")),IF(AND(CP$5&lt;=$F117,CP$5+GanttPeriod-1&gt;=$E117),"━","")))</f>
        <v/>
      </c>
      <c r="CQ117" s="69" t="str">
        <f aca="false">IF($E117="","",IF($M117,IF(AND($G117&gt;=CQ$5,$G117&lt;CQ$5+GanttPeriod),"◆",IF(AND($E117&gt;=CQ$5,$E117&lt;CQ$5+GanttPeriod),"◇","")),IF(AND(CQ$5&lt;=$F117,CQ$5+GanttPeriod-1&gt;=$E117),"━","")))</f>
        <v/>
      </c>
      <c r="CR117" s="69" t="str">
        <f aca="false">IF($E117="","",IF($M117,IF(AND($G117&gt;=CR$5,$G117&lt;CR$5+GanttPeriod),"◆",IF(AND($E117&gt;=CR$5,$E117&lt;CR$5+GanttPeriod),"◇","")),IF(AND(CR$5&lt;=$F117,CR$5+GanttPeriod-1&gt;=$E117),"━","")))</f>
        <v/>
      </c>
      <c r="CS117" s="69" t="str">
        <f aca="false">IF($E117="","",IF($M117,IF(AND($G117&gt;=CS$5,$G117&lt;CS$5+GanttPeriod),"◆",IF(AND($E117&gt;=CS$5,$E117&lt;CS$5+GanttPeriod),"◇","")),IF(AND(CS$5&lt;=$F117,CS$5+GanttPeriod-1&gt;=$E117),"━","")))</f>
        <v/>
      </c>
      <c r="CT117" s="69" t="str">
        <f aca="false">IF($E117="","",IF($M117,IF(AND($G117&gt;=CT$5,$G117&lt;CT$5+GanttPeriod),"◆",IF(AND($E117&gt;=CT$5,$E117&lt;CT$5+GanttPeriod),"◇","")),IF(AND(CT$5&lt;=$F117,CT$5+GanttPeriod-1&gt;=$E117),"━","")))</f>
        <v/>
      </c>
      <c r="CU117" s="69" t="str">
        <f aca="false">IF($E117="","",IF($M117,IF(AND($G117&gt;=CU$5,$G117&lt;CU$5+GanttPeriod),"◆",IF(AND($E117&gt;=CU$5,$E117&lt;CU$5+GanttPeriod),"◇","")),IF(AND(CU$5&lt;=$F117,CU$5+GanttPeriod-1&gt;=$E117),"━","")))</f>
        <v/>
      </c>
      <c r="CV117" s="69" t="str">
        <f aca="false">IF($E117="","",IF($M117,IF(AND($G117&gt;=CV$5,$G117&lt;CV$5+GanttPeriod),"◆",IF(AND($E117&gt;=CV$5,$E117&lt;CV$5+GanttPeriod),"◇","")),IF(AND(CV$5&lt;=$F117,CV$5+GanttPeriod-1&gt;=$E117),"━","")))</f>
        <v/>
      </c>
      <c r="CW117" s="69" t="str">
        <f aca="false">IF($E117="","",IF($M117,IF(AND($G117&gt;=CW$5,$G117&lt;CW$5+GanttPeriod),"◆",IF(AND($E117&gt;=CW$5,$E117&lt;CW$5+GanttPeriod),"◇","")),IF(AND(CW$5&lt;=$F117,CW$5+GanttPeriod-1&gt;=$E117),"━","")))</f>
        <v/>
      </c>
      <c r="CX117" s="69" t="str">
        <f aca="false">IF($E117="","",IF($M117,IF(AND($G117&gt;=CX$5,$G117&lt;CX$5+GanttPeriod),"◆",IF(AND($E117&gt;=CX$5,$E117&lt;CX$5+GanttPeriod),"◇","")),IF(AND(CX$5&lt;=$F117,CX$5+GanttPeriod-1&gt;=$E117),"━","")))</f>
        <v/>
      </c>
      <c r="CY117" s="69" t="str">
        <f aca="false">IF($E117="","",IF($M117,IF(AND($G117&gt;=CY$5,$G117&lt;CY$5+GanttPeriod),"◆",IF(AND($E117&gt;=CY$5,$E117&lt;CY$5+GanttPeriod),"◇","")),IF(AND(CY$5&lt;=$F117,CY$5+GanttPeriod-1&gt;=$E117),"━","")))</f>
        <v/>
      </c>
      <c r="CZ117" s="69" t="str">
        <f aca="false">IF($E117="","",IF($M117,IF(AND($G117&gt;=CZ$5,$G117&lt;CZ$5+GanttPeriod),"◆",IF(AND($E117&gt;=CZ$5,$E117&lt;CZ$5+GanttPeriod),"◇","")),IF(AND(CZ$5&lt;=$F117,CZ$5+GanttPeriod-1&gt;=$E117),"━","")))</f>
        <v/>
      </c>
      <c r="DA117" s="69" t="str">
        <f aca="false">IF($E117="","",IF($M117,IF(AND($G117&gt;=DA$5,$G117&lt;DA$5+GanttPeriod),"◆",IF(AND($E117&gt;=DA$5,$E117&lt;DA$5+GanttPeriod),"◇","")),IF(AND(DA$5&lt;=$F117,DA$5+GanttPeriod-1&gt;=$E117),"━","")))</f>
        <v/>
      </c>
      <c r="DB117" s="69" t="str">
        <f aca="false">IF($E117="","",IF($M117,IF(AND($G117&gt;=DB$5,$G117&lt;DB$5+GanttPeriod),"◆",IF(AND($E117&gt;=DB$5,$E117&lt;DB$5+GanttPeriod),"◇","")),IF(AND(DB$5&lt;=$F117,DB$5+GanttPeriod-1&gt;=$E117),"━","")))</f>
        <v/>
      </c>
      <c r="DC117" s="69" t="str">
        <f aca="false">IF($E117="","",IF($M117,IF(AND($G117&gt;=DC$5,$G117&lt;DC$5+GanttPeriod),"◆",IF(AND($E117&gt;=DC$5,$E117&lt;DC$5+GanttPeriod),"◇","")),IF(AND(DC$5&lt;=$F117,DC$5+GanttPeriod-1&gt;=$E117),"━","")))</f>
        <v/>
      </c>
      <c r="DD117" s="69" t="str">
        <f aca="false">IF($E117="","",IF($M117,IF(AND($G117&gt;=DD$5,$G117&lt;DD$5+GanttPeriod),"◆",IF(AND($E117&gt;=DD$5,$E117&lt;DD$5+GanttPeriod),"◇","")),IF(AND(DD$5&lt;=$F117,DD$5+GanttPeriod-1&gt;=$E117),"━","")))</f>
        <v/>
      </c>
      <c r="DE117" s="69" t="str">
        <f aca="false">IF($E117="","",IF($M117,IF(AND($G117&gt;=DE$5,$G117&lt;DE$5+GanttPeriod),"◆",IF(AND($E117&gt;=DE$5,$E117&lt;DE$5+GanttPeriod),"◇","")),IF(AND(DE$5&lt;=$F117,DE$5+GanttPeriod-1&gt;=$E117),"━","")))</f>
        <v/>
      </c>
      <c r="DF117" s="69" t="str">
        <f aca="false">IF($E117="","",IF($M117,IF(AND($G117&gt;=DF$5,$G117&lt;DF$5+GanttPeriod),"◆",IF(AND($E117&gt;=DF$5,$E117&lt;DF$5+GanttPeriod),"◇","")),IF(AND(DF$5&lt;=$F117,DF$5+GanttPeriod-1&gt;=$E117),"━","")))</f>
        <v/>
      </c>
      <c r="DG117" s="69" t="str">
        <f aca="false">IF($E117="","",IF($M117,IF(AND($G117&gt;=DG$5,$G117&lt;DG$5+GanttPeriod),"◆",IF(AND($E117&gt;=DG$5,$E117&lt;DG$5+GanttPeriod),"◇","")),IF(AND(DG$5&lt;=$F117,DG$5+GanttPeriod-1&gt;=$E117),"━","")))</f>
        <v/>
      </c>
      <c r="DH117" s="69" t="str">
        <f aca="false">IF($E117="","",IF($M117,IF(AND($G117&gt;=DH$5,$G117&lt;DH$5+GanttPeriod),"◆",IF(AND($E117&gt;=DH$5,$E117&lt;DH$5+GanttPeriod),"◇","")),IF(AND(DH$5&lt;=$F117,DH$5+GanttPeriod-1&gt;=$E117),"━","")))</f>
        <v/>
      </c>
      <c r="DI117" s="69" t="str">
        <f aca="false">IF($E117="","",IF($M117,IF(AND($G117&gt;=DI$5,$G117&lt;DI$5+GanttPeriod),"◆",IF(AND($E117&gt;=DI$5,$E117&lt;DI$5+GanttPeriod),"◇","")),IF(AND(DI$5&lt;=$F117,DI$5+GanttPeriod-1&gt;=$E117),"━","")))</f>
        <v/>
      </c>
      <c r="DJ117" s="69" t="str">
        <f aca="false">IF($E117="","",IF($M117,IF(AND($G117&gt;=DJ$5,$G117&lt;DJ$5+GanttPeriod),"◆",IF(AND($E117&gt;=DJ$5,$E117&lt;DJ$5+GanttPeriod),"◇","")),IF(AND(DJ$5&lt;=$F117,DJ$5+GanttPeriod-1&gt;=$E117),"━","")))</f>
        <v/>
      </c>
      <c r="DK117" s="69" t="str">
        <f aca="false">IF($E117="","",IF($M117,IF(AND($G117&gt;=DK$5,$G117&lt;DK$5+GanttPeriod),"◆",IF(AND($E117&gt;=DK$5,$E117&lt;DK$5+GanttPeriod),"◇","")),IF(AND(DK$5&lt;=$F117,DK$5+GanttPeriod-1&gt;=$E117),"━","")))</f>
        <v/>
      </c>
      <c r="DL117" s="69" t="str">
        <f aca="false">IF($E117="","",IF($M117,IF(AND($G117&gt;=DL$5,$G117&lt;DL$5+GanttPeriod),"◆",IF(AND($E117&gt;=DL$5,$E117&lt;DL$5+GanttPeriod),"◇","")),IF(AND(DL$5&lt;=$F117,DL$5+GanttPeriod-1&gt;=$E117),"━","")))</f>
        <v/>
      </c>
      <c r="DM117" s="69" t="str">
        <f aca="false">IF($E117="","",IF($M117,IF(AND($G117&gt;=DM$5,$G117&lt;DM$5+GanttPeriod),"◆",IF(AND($E117&gt;=DM$5,$E117&lt;DM$5+GanttPeriod),"◇","")),IF(AND(DM$5&lt;=$F117,DM$5+GanttPeriod-1&gt;=$E117),"━","")))</f>
        <v/>
      </c>
      <c r="DN117" s="69" t="str">
        <f aca="false">IF($E117="","",IF($M117,IF(AND($G117&gt;=DN$5,$G117&lt;DN$5+GanttPeriod),"◆",IF(AND($E117&gt;=DN$5,$E117&lt;DN$5+GanttPeriod),"◇","")),IF(AND(DN$5&lt;=$F117,DN$5+GanttPeriod-1&gt;=$E117),"━","")))</f>
        <v/>
      </c>
      <c r="DO117" s="69" t="str">
        <f aca="false">IF($E117="","",IF($M117,IF(AND($G117&gt;=DO$5,$G117&lt;DO$5+GanttPeriod),"◆",IF(AND($E117&gt;=DO$5,$E117&lt;DO$5+GanttPeriod),"◇","")),IF(AND(DO$5&lt;=$F117,DO$5+GanttPeriod-1&gt;=$E117),"━","")))</f>
        <v/>
      </c>
      <c r="DP117" s="69" t="str">
        <f aca="false">IF($E117="","",IF($M117,IF(AND($G117&gt;=DP$5,$G117&lt;DP$5+GanttPeriod),"◆",IF(AND($E117&gt;=DP$5,$E117&lt;DP$5+GanttPeriod),"◇","")),IF(AND(DP$5&lt;=$F117,DP$5+GanttPeriod-1&gt;=$E117),"━","")))</f>
        <v/>
      </c>
      <c r="DQ117" s="69" t="str">
        <f aca="false">IF($E117="","",IF($M117,IF(AND($G117&gt;=DQ$5,$G117&lt;DQ$5+GanttPeriod),"◆",IF(AND($E117&gt;=DQ$5,$E117&lt;DQ$5+GanttPeriod),"◇","")),IF(AND(DQ$5&lt;=$F117,DQ$5+GanttPeriod-1&gt;=$E117),"━","")))</f>
        <v/>
      </c>
      <c r="DR117" s="69" t="str">
        <f aca="false">IF($E117="","",IF($M117,IF(AND($G117&gt;=DR$5,$G117&lt;DR$5+GanttPeriod),"◆",IF(AND($E117&gt;=DR$5,$E117&lt;DR$5+GanttPeriod),"◇","")),IF(AND(DR$5&lt;=$F117,DR$5+GanttPeriod-1&gt;=$E117),"━","")))</f>
        <v/>
      </c>
      <c r="DS117" s="69" t="str">
        <f aca="false">IF($E117="","",IF($M117,IF(AND($G117&gt;=DS$5,$G117&lt;DS$5+GanttPeriod),"◆",IF(AND($E117&gt;=DS$5,$E117&lt;DS$5+GanttPeriod),"◇","")),IF(AND(DS$5&lt;=$F117,DS$5+GanttPeriod-1&gt;=$E117),"━","")))</f>
        <v/>
      </c>
      <c r="DT117" s="69" t="str">
        <f aca="false">IF($E117="","",IF($M117,IF(AND($G117&gt;=DT$5,$G117&lt;DT$5+GanttPeriod),"◆",IF(AND($E117&gt;=DT$5,$E117&lt;DT$5+GanttPeriod),"◇","")),IF(AND(DT$5&lt;=$F117,DT$5+GanttPeriod-1&gt;=$E117),"━","")))</f>
        <v/>
      </c>
      <c r="DU117" s="69" t="str">
        <f aca="false">IF($E117="","",IF($M117,IF(AND($G117&gt;=DU$5,$G117&lt;DU$5+GanttPeriod),"◆",IF(AND($E117&gt;=DU$5,$E117&lt;DU$5+GanttPeriod),"◇","")),IF(AND(DU$5&lt;=$F117,DU$5+GanttPeriod-1&gt;=$E117),"━","")))</f>
        <v/>
      </c>
      <c r="DV117" s="69" t="str">
        <f aca="false">IF($E117="","",IF($M117,IF(AND($G117&gt;=DV$5,$G117&lt;DV$5+GanttPeriod),"◆",IF(AND($E117&gt;=DV$5,$E117&lt;DV$5+GanttPeriod),"◇","")),IF(AND(DV$5&lt;=$F117,DV$5+GanttPeriod-1&gt;=$E117),"━","")))</f>
        <v/>
      </c>
      <c r="DW117" s="69" t="str">
        <f aca="false">IF($E117="","",IF($M117,IF(AND($G117&gt;=DW$5,$G117&lt;DW$5+GanttPeriod),"◆",IF(AND($E117&gt;=DW$5,$E117&lt;DW$5+GanttPeriod),"◇","")),IF(AND(DW$5&lt;=$F117,DW$5+GanttPeriod-1&gt;=$E117),"━","")))</f>
        <v/>
      </c>
      <c r="DX117" s="69" t="str">
        <f aca="false">IF($E117="","",IF($M117,IF(AND($G117&gt;=DX$5,$G117&lt;DX$5+GanttPeriod),"◆",IF(AND($E117&gt;=DX$5,$E117&lt;DX$5+GanttPeriod),"◇","")),IF(AND(DX$5&lt;=$F117,DX$5+GanttPeriod-1&gt;=$E117),"━","")))</f>
        <v/>
      </c>
      <c r="DY117" s="69" t="str">
        <f aca="false">IF($E117="","",IF($M117,IF(AND($G117&gt;=DY$5,$G117&lt;DY$5+GanttPeriod),"◆",IF(AND($E117&gt;=DY$5,$E117&lt;DY$5+GanttPeriod),"◇","")),IF(AND(DY$5&lt;=$F117,DY$5+GanttPeriod-1&gt;=$E117),"━","")))</f>
        <v/>
      </c>
      <c r="DZ117" s="69" t="str">
        <f aca="false">IF($E117="","",IF($M117,IF(AND($G117&gt;=DZ$5,$G117&lt;DZ$5+GanttPeriod),"◆",IF(AND($E117&gt;=DZ$5,$E117&lt;DZ$5+GanttPeriod),"◇","")),IF(AND(DZ$5&lt;=$F117,DZ$5+GanttPeriod-1&gt;=$E117),"━","")))</f>
        <v/>
      </c>
      <c r="EA117" s="69" t="str">
        <f aca="false">IF($E117="","",IF($M117,IF(AND($G117&gt;=EA$5,$G117&lt;EA$5+GanttPeriod),"◆",IF(AND($E117&gt;=EA$5,$E117&lt;EA$5+GanttPeriod),"◇","")),IF(AND(EA$5&lt;=$F117,EA$5+GanttPeriod-1&gt;=$E117),"━","")))</f>
        <v/>
      </c>
      <c r="EB117" s="69" t="str">
        <f aca="false">IF($E117="","",IF($M117,IF(AND($G117&gt;=EB$5,$G117&lt;EB$5+GanttPeriod),"◆",IF(AND($E117&gt;=EB$5,$E117&lt;EB$5+GanttPeriod),"◇","")),IF(AND(EB$5&lt;=$F117,EB$5+GanttPeriod-1&gt;=$E117),"━","")))</f>
        <v/>
      </c>
      <c r="EC117" s="69" t="str">
        <f aca="false">IF($E117="","",IF($M117,IF(AND($G117&gt;=EC$5,$G117&lt;EC$5+GanttPeriod),"◆",IF(AND($E117&gt;=EC$5,$E117&lt;EC$5+GanttPeriod),"◇","")),IF(AND(EC$5&lt;=$F117,EC$5+GanttPeriod-1&gt;=$E117),"━","")))</f>
        <v/>
      </c>
      <c r="ED117" s="69" t="str">
        <f aca="false">IF($E117="","",IF($M117,IF(AND($G117&gt;=ED$5,$G117&lt;ED$5+GanttPeriod),"◆",IF(AND($E117&gt;=ED$5,$E117&lt;ED$5+GanttPeriod),"◇","")),IF(AND(ED$5&lt;=$F117,ED$5+GanttPeriod-1&gt;=$E117),"━","")))</f>
        <v/>
      </c>
      <c r="EE117" s="69" t="str">
        <f aca="false">IF($E117="","",IF($M117,IF(AND($G117&gt;=EE$5,$G117&lt;EE$5+GanttPeriod),"◆",IF(AND($E117&gt;=EE$5,$E117&lt;EE$5+GanttPeriod),"◇","")),IF(AND(EE$5&lt;=$F117,EE$5+GanttPeriod-1&gt;=$E117),"━","")))</f>
        <v/>
      </c>
      <c r="EF117" s="69" t="str">
        <f aca="false">IF($E117="","",IF($M117,IF(AND($G117&gt;=EF$5,$G117&lt;EF$5+GanttPeriod),"◆",IF(AND($E117&gt;=EF$5,$E117&lt;EF$5+GanttPeriod),"◇","")),IF(AND(EF$5&lt;=$F117,EF$5+GanttPeriod-1&gt;=$E117),"━","")))</f>
        <v/>
      </c>
      <c r="EG117" s="69" t="str">
        <f aca="false">IF($E117="","",IF($M117,IF(AND($G117&gt;=EG$5,$G117&lt;EG$5+GanttPeriod),"◆",IF(AND($E117&gt;=EG$5,$E117&lt;EG$5+GanttPeriod),"◇","")),IF(AND(EG$5&lt;=$F117,EG$5+GanttPeriod-1&gt;=$E117),"━","")))</f>
        <v/>
      </c>
      <c r="EH117" s="69" t="str">
        <f aca="false">IF($E117="","",IF($M117,IF(AND($G117&gt;=EH$5,$G117&lt;EH$5+GanttPeriod),"◆",IF(AND($E117&gt;=EH$5,$E117&lt;EH$5+GanttPeriod),"◇","")),IF(AND(EH$5&lt;=$F117,EH$5+GanttPeriod-1&gt;=$E117),"━","")))</f>
        <v/>
      </c>
      <c r="EI117" s="69" t="str">
        <f aca="false">IF($E117="","",IF($M117,IF(AND($G117&gt;=EI$5,$G117&lt;EI$5+GanttPeriod),"◆",IF(AND($E117&gt;=EI$5,$E117&lt;EI$5+GanttPeriod),"◇","")),IF(AND(EI$5&lt;=$F117,EI$5+GanttPeriod-1&gt;=$E117),"━","")))</f>
        <v/>
      </c>
      <c r="EJ117" s="69" t="str">
        <f aca="false">IF($E117="","",IF($M117,IF(AND($G117&gt;=EJ$5,$G117&lt;EJ$5+GanttPeriod),"◆",IF(AND($E117&gt;=EJ$5,$E117&lt;EJ$5+GanttPeriod),"◇","")),IF(AND(EJ$5&lt;=$F117,EJ$5+GanttPeriod-1&gt;=$E117),"━","")))</f>
        <v/>
      </c>
      <c r="EK117" s="69" t="str">
        <f aca="false">IF($E117="","",IF($M117,IF(AND($G117&gt;=EK$5,$G117&lt;EK$5+GanttPeriod),"◆",IF(AND($E117&gt;=EK$5,$E117&lt;EK$5+GanttPeriod),"◇","")),IF(AND(EK$5&lt;=$F117,EK$5+GanttPeriod-1&gt;=$E117),"━","")))</f>
        <v/>
      </c>
      <c r="EL117" s="69" t="str">
        <f aca="false">IF($E117="","",IF($M117,IF(AND($G117&gt;=EL$5,$G117&lt;EL$5+GanttPeriod),"◆",IF(AND($E117&gt;=EL$5,$E117&lt;EL$5+GanttPeriod),"◇","")),IF(AND(EL$5&lt;=$F117,EL$5+GanttPeriod-1&gt;=$E117),"━","")))</f>
        <v/>
      </c>
      <c r="EM117" s="69" t="str">
        <f aca="false">IF($E117="","",IF($M117,IF(AND($G117&gt;=EM$5,$G117&lt;EM$5+GanttPeriod),"◆",IF(AND($E117&gt;=EM$5,$E117&lt;EM$5+GanttPeriod),"◇","")),IF(AND(EM$5&lt;=$F117,EM$5+GanttPeriod-1&gt;=$E117),"━","")))</f>
        <v/>
      </c>
      <c r="EN117" s="69" t="str">
        <f aca="false">IF($E117="","",IF($M117,IF(AND($G117&gt;=EN$5,$G117&lt;EN$5+GanttPeriod),"◆",IF(AND($E117&gt;=EN$5,$E117&lt;EN$5+GanttPeriod),"◇","")),IF(AND(EN$5&lt;=$F117,EN$5+GanttPeriod-1&gt;=$E117),"━","")))</f>
        <v/>
      </c>
      <c r="EO117" s="69" t="str">
        <f aca="false">IF($E117="","",IF($M117,IF(AND($G117&gt;=EO$5,$G117&lt;EO$5+GanttPeriod),"◆",IF(AND($E117&gt;=EO$5,$E117&lt;EO$5+GanttPeriod),"◇","")),IF(AND(EO$5&lt;=$F117,EO$5+GanttPeriod-1&gt;=$E117),"━","")))</f>
        <v/>
      </c>
      <c r="EP117" s="69" t="str">
        <f aca="false">IF($E117="","",IF($M117,IF(AND($G117&gt;=EP$5,$G117&lt;EP$5+GanttPeriod),"◆",IF(AND($E117&gt;=EP$5,$E117&lt;EP$5+GanttPeriod),"◇","")),IF(AND(EP$5&lt;=$F117,EP$5+GanttPeriod-1&gt;=$E117),"━","")))</f>
        <v/>
      </c>
      <c r="EQ117" s="69" t="str">
        <f aca="false">IF($E117="","",IF($M117,IF(AND($G117&gt;=EQ$5,$G117&lt;EQ$5+GanttPeriod),"◆",IF(AND($E117&gt;=EQ$5,$E117&lt;EQ$5+GanttPeriod),"◇","")),IF(AND(EQ$5&lt;=$F117,EQ$5+GanttPeriod-1&gt;=$E117),"━","")))</f>
        <v/>
      </c>
      <c r="ER117" s="69" t="str">
        <f aca="false">IF($E117="","",IF($M117,IF(AND($G117&gt;=ER$5,$G117&lt;ER$5+GanttPeriod),"◆",IF(AND($E117&gt;=ER$5,$E117&lt;ER$5+GanttPeriod),"◇","")),IF(AND(ER$5&lt;=$F117,ER$5+GanttPeriod-1&gt;=$E117),"━","")))</f>
        <v/>
      </c>
      <c r="ES117" s="69" t="str">
        <f aca="false">IF($E117="","",IF($M117,IF(AND($G117&gt;=ES$5,$G117&lt;ES$5+GanttPeriod),"◆",IF(AND($E117&gt;=ES$5,$E117&lt;ES$5+GanttPeriod),"◇","")),IF(AND(ES$5&lt;=$F117,ES$5+GanttPeriod-1&gt;=$E117),"━","")))</f>
        <v/>
      </c>
      <c r="ET117" s="69" t="str">
        <f aca="false">IF($E117="","",IF($M117,IF(AND($G117&gt;=ET$5,$G117&lt;ET$5+GanttPeriod),"◆",IF(AND($E117&gt;=ET$5,$E117&lt;ET$5+GanttPeriod),"◇","")),IF(AND(ET$5&lt;=$F117,ET$5+GanttPeriod-1&gt;=$E117),"━","")))</f>
        <v/>
      </c>
      <c r="EU117" s="69" t="str">
        <f aca="false">IF($E117="","",IF($M117,IF(AND($G117&gt;=EU$5,$G117&lt;EU$5+GanttPeriod),"◆",IF(AND($E117&gt;=EU$5,$E117&lt;EU$5+GanttPeriod),"◇","")),IF(AND(EU$5&lt;=$F117,EU$5+GanttPeriod-1&gt;=$E117),"━","")))</f>
        <v/>
      </c>
      <c r="EV117" s="69" t="str">
        <f aca="false">IF($E117="","",IF($M117,IF(AND($G117&gt;=EV$5,$G117&lt;EV$5+GanttPeriod),"◆",IF(AND($E117&gt;=EV$5,$E117&lt;EV$5+GanttPeriod),"◇","")),IF(AND(EV$5&lt;=$F117,EV$5+GanttPeriod-1&gt;=$E117),"━","")))</f>
        <v/>
      </c>
      <c r="EW117" s="69" t="str">
        <f aca="false">IF($E117="","",IF($M117,IF(AND($G117&gt;=EW$5,$G117&lt;EW$5+GanttPeriod),"◆",IF(AND($E117&gt;=EW$5,$E117&lt;EW$5+GanttPeriod),"◇","")),IF(AND(EW$5&lt;=$F117,EW$5+GanttPeriod-1&gt;=$E117),"━","")))</f>
        <v/>
      </c>
      <c r="EX117" s="69" t="str">
        <f aca="false">IF($E117="","",IF($M117,IF(AND($G117&gt;=EX$5,$G117&lt;EX$5+GanttPeriod),"◆",IF(AND($E117&gt;=EX$5,$E117&lt;EX$5+GanttPeriod),"◇","")),IF(AND(EX$5&lt;=$F117,EX$5+GanttPeriod-1&gt;=$E117),"━","")))</f>
        <v/>
      </c>
      <c r="EY117" s="69" t="str">
        <f aca="false">IF($E117="","",IF($M117,IF(AND($G117&gt;=EY$5,$G117&lt;EY$5+GanttPeriod),"◆",IF(AND($E117&gt;=EY$5,$E117&lt;EY$5+GanttPeriod),"◇","")),IF(AND(EY$5&lt;=$F117,EY$5+GanttPeriod-1&gt;=$E117),"━","")))</f>
        <v/>
      </c>
      <c r="EZ117" s="69" t="str">
        <f aca="false">IF($E117="","",IF($M117,IF(AND($G117&gt;=EZ$5,$G117&lt;EZ$5+GanttPeriod),"◆",IF(AND($E117&gt;=EZ$5,$E117&lt;EZ$5+GanttPeriod),"◇","")),IF(AND(EZ$5&lt;=$F117,EZ$5+GanttPeriod-1&gt;=$E117),"━","")))</f>
        <v/>
      </c>
      <c r="FA117" s="69" t="str">
        <f aca="false">IF($E117="","",IF($M117,IF(AND($G117&gt;=FA$5,$G117&lt;FA$5+GanttPeriod),"◆",IF(AND($E117&gt;=FA$5,$E117&lt;FA$5+GanttPeriod),"◇","")),IF(AND(FA$5&lt;=$F117,FA$5+GanttPeriod-1&gt;=$E117),"━","")))</f>
        <v/>
      </c>
      <c r="FB117" s="69" t="str">
        <f aca="false">IF($E117="","",IF($M117,IF(AND($G117&gt;=FB$5,$G117&lt;FB$5+GanttPeriod),"◆",IF(AND($E117&gt;=FB$5,$E117&lt;FB$5+GanttPeriod),"◇","")),IF(AND(FB$5&lt;=$F117,FB$5+GanttPeriod-1&gt;=$E117),"━","")))</f>
        <v/>
      </c>
      <c r="FC117" s="69" t="str">
        <f aca="false">IF($E117="","",IF($M117,IF(AND($G117&gt;=FC$5,$G117&lt;FC$5+GanttPeriod),"◆",IF(AND($E117&gt;=FC$5,$E117&lt;FC$5+GanttPeriod),"◇","")),IF(AND(FC$5&lt;=$F117,FC$5+GanttPeriod-1&gt;=$E117),"━","")))</f>
        <v/>
      </c>
      <c r="FD117" s="69" t="str">
        <f aca="false">IF($E117="","",IF($M117,IF(AND($G117&gt;=FD$5,$G117&lt;FD$5+GanttPeriod),"◆",IF(AND($E117&gt;=FD$5,$E117&lt;FD$5+GanttPeriod),"◇","")),IF(AND(FD$5&lt;=$F117,FD$5+GanttPeriod-1&gt;=$E117),"━","")))</f>
        <v/>
      </c>
      <c r="FE117" s="69" t="str">
        <f aca="false">IF($E117="","",IF($M117,IF(AND($G117&gt;=FE$5,$G117&lt;FE$5+GanttPeriod),"◆",IF(AND($E117&gt;=FE$5,$E117&lt;FE$5+GanttPeriod),"◇","")),IF(AND(FE$5&lt;=$F117,FE$5+GanttPeriod-1&gt;=$E117),"━","")))</f>
        <v/>
      </c>
      <c r="FF117" s="69" t="str">
        <f aca="false">IF($E117="","",IF($M117,IF(AND($G117&gt;=FF$5,$G117&lt;FF$5+GanttPeriod),"◆",IF(AND($E117&gt;=FF$5,$E117&lt;FF$5+GanttPeriod),"◇","")),IF(AND(FF$5&lt;=$F117,FF$5+GanttPeriod-1&gt;=$E117),"━","")))</f>
        <v/>
      </c>
      <c r="FG117" s="69" t="str">
        <f aca="false">IF($E117="","",IF($M117,IF(AND($G117&gt;=FG$5,$G117&lt;FG$5+GanttPeriod),"◆",IF(AND($E117&gt;=FG$5,$E117&lt;FG$5+GanttPeriod),"◇","")),IF(AND(FG$5&lt;=$F117,FG$5+GanttPeriod-1&gt;=$E117),"━","")))</f>
        <v/>
      </c>
      <c r="FH117" s="69" t="str">
        <f aca="false">IF($E117="","",IF($M117,IF(AND($G117&gt;=FH$5,$G117&lt;FH$5+GanttPeriod),"◆",IF(AND($E117&gt;=FH$5,$E117&lt;FH$5+GanttPeriod),"◇","")),IF(AND(FH$5&lt;=$F117,FH$5+GanttPeriod-1&gt;=$E117),"━","")))</f>
        <v/>
      </c>
      <c r="FI117" s="69" t="str">
        <f aca="false">IF($E117="","",IF($M117,IF(AND($G117&gt;=FI$5,$G117&lt;FI$5+GanttPeriod),"◆",IF(AND($E117&gt;=FI$5,$E117&lt;FI$5+GanttPeriod),"◇","")),IF(AND(FI$5&lt;=$F117,FI$5+GanttPeriod-1&gt;=$E117),"━","")))</f>
        <v/>
      </c>
      <c r="FJ117" s="69" t="str">
        <f aca="false">IF($E117="","",IF($M117,IF(AND($G117&gt;=FJ$5,$G117&lt;FJ$5+GanttPeriod),"◆",IF(AND($E117&gt;=FJ$5,$E117&lt;FJ$5+GanttPeriod),"◇","")),IF(AND(FJ$5&lt;=$F117,FJ$5+GanttPeriod-1&gt;=$E117),"━","")))</f>
        <v/>
      </c>
      <c r="FK117" s="69" t="str">
        <f aca="false">IF($E117="","",IF($M117,IF(AND($G117&gt;=FK$5,$G117&lt;FK$5+GanttPeriod),"◆",IF(AND($E117&gt;=FK$5,$E117&lt;FK$5+GanttPeriod),"◇","")),IF(AND(FK$5&lt;=$F117,FK$5+GanttPeriod-1&gt;=$E117),"━","")))</f>
        <v/>
      </c>
      <c r="FL117" s="69" t="str">
        <f aca="false">IF($E117="","",IF($M117,IF(AND($G117&gt;=FL$5,$G117&lt;FL$5+GanttPeriod),"◆",IF(AND($E117&gt;=FL$5,$E117&lt;FL$5+GanttPeriod),"◇","")),IF(AND(FL$5&lt;=$F117,FL$5+GanttPeriod-1&gt;=$E117),"━","")))</f>
        <v/>
      </c>
      <c r="FM117" s="69" t="str">
        <f aca="false">IF($E117="","",IF($M117,IF(AND($G117&gt;=FM$5,$G117&lt;FM$5+GanttPeriod),"◆",IF(AND($E117&gt;=FM$5,$E117&lt;FM$5+GanttPeriod),"◇","")),IF(AND(FM$5&lt;=$F117,FM$5+GanttPeriod-1&gt;=$E117),"━","")))</f>
        <v/>
      </c>
    </row>
    <row r="118" customFormat="false" ht="15" hidden="false" customHeight="false" outlineLevel="0" collapsed="false">
      <c r="A118" s="62" t="str">
        <f aca="false">IF(Tasks!$D118="","",Tasks!$A118)</f>
        <v/>
      </c>
      <c r="B118" s="62" t="str">
        <f aca="false">IF(Tasks!$D118="","",Tasks!$B118)</f>
        <v/>
      </c>
      <c r="C118" s="63" t="str">
        <f aca="false">IF(Tasks!$D118="","",REPT("    ",Tasks!$AE118-1)&amp;Tasks!$D118)</f>
        <v/>
      </c>
      <c r="D118" s="62" t="str">
        <f aca="false">IF(Tasks!$D118="","",IF(Tasks!$AI118,NETWORKDAYS.INTL(Tasks!$R118,Tasks!$S118,WorkWeek,Holidays),N(Tasks!$F118)))</f>
        <v/>
      </c>
      <c r="E118" s="64" t="str">
        <f aca="false">IF(Tasks!$D118="","",Tasks!$N118)</f>
        <v/>
      </c>
      <c r="F118" s="64" t="str">
        <f aca="false">IF(Tasks!$D118="","",Tasks!$O118)</f>
        <v/>
      </c>
      <c r="G118" s="64" t="str">
        <f aca="false">IF(Tasks!$D118="","",Tasks!$R118)</f>
        <v/>
      </c>
      <c r="H118" s="64" t="str">
        <f aca="false">IF(Tasks!$D118="","",Tasks!$S118)</f>
        <v/>
      </c>
      <c r="I118" s="65" t="str">
        <f aca="false">IF(Tasks!$D118="","",Tasks!$V118)</f>
        <v/>
      </c>
      <c r="J118" s="63" t="str">
        <f aca="false">IF(Tasks!$D118="","",Tasks!$X118&amp;"")</f>
        <v/>
      </c>
      <c r="K118" s="66" t="str">
        <f aca="false">IF(Tasks!$D118="","",Tasks!$W118)</f>
        <v/>
      </c>
      <c r="L118" s="67" t="b">
        <f aca="false">IF(Tasks!$D118="",FALSE(),Tasks!$AI118)</f>
        <v>0</v>
      </c>
      <c r="M118" s="67" t="b">
        <f aca="false">AND(Tasks!$AJ118=1,N(Tasks!$F118)=0)</f>
        <v>0</v>
      </c>
      <c r="N118" s="68" t="n">
        <f aca="false">IF(AND(Tasks!$AJ118=1,NOT($M118),N($I118)&gt;0),$G118,0)</f>
        <v>0</v>
      </c>
      <c r="O118" s="68" t="n">
        <f aca="false">IF($N118=0,0,IF($I118&gt;=1,$H118,MAX($N118,$G118+ROUND(($H118-$G118+1)*$I118,0)-1)))</f>
        <v>0</v>
      </c>
      <c r="P118" s="68" t="n">
        <f aca="false">IF(OR(Tasks!$AJ118&lt;&gt;1,$M118,N($I118)&gt;=1),0,IF($O118&gt;0,$O118+1,$G118))</f>
        <v>0</v>
      </c>
      <c r="Q118" s="68" t="n">
        <f aca="false">IF($P118=0,0,$H118)</f>
        <v>0</v>
      </c>
      <c r="R118" s="67" t="b">
        <f aca="false">AND(Tasks!$D118&lt;&gt;"",N(Tasks!$T118)&gt;0)</f>
        <v>0</v>
      </c>
      <c r="T118" s="69" t="str">
        <f aca="false">IF($E118="","",IF($M118,IF(AND($G118&gt;=T$5,$G118&lt;T$5+GanttPeriod),"◆",IF(AND($E118&gt;=T$5,$E118&lt;T$5+GanttPeriod),"◇","")),IF(AND(T$5&lt;=$F118,T$5+GanttPeriod-1&gt;=$E118),"━","")))</f>
        <v/>
      </c>
      <c r="U118" s="69" t="str">
        <f aca="false">IF($E118="","",IF($M118,IF(AND($G118&gt;=U$5,$G118&lt;U$5+GanttPeriod),"◆",IF(AND($E118&gt;=U$5,$E118&lt;U$5+GanttPeriod),"◇","")),IF(AND(U$5&lt;=$F118,U$5+GanttPeriod-1&gt;=$E118),"━","")))</f>
        <v/>
      </c>
      <c r="V118" s="69" t="str">
        <f aca="false">IF($E118="","",IF($M118,IF(AND($G118&gt;=V$5,$G118&lt;V$5+GanttPeriod),"◆",IF(AND($E118&gt;=V$5,$E118&lt;V$5+GanttPeriod),"◇","")),IF(AND(V$5&lt;=$F118,V$5+GanttPeriod-1&gt;=$E118),"━","")))</f>
        <v/>
      </c>
      <c r="W118" s="69" t="str">
        <f aca="false">IF($E118="","",IF($M118,IF(AND($G118&gt;=W$5,$G118&lt;W$5+GanttPeriod),"◆",IF(AND($E118&gt;=W$5,$E118&lt;W$5+GanttPeriod),"◇","")),IF(AND(W$5&lt;=$F118,W$5+GanttPeriod-1&gt;=$E118),"━","")))</f>
        <v/>
      </c>
      <c r="X118" s="69" t="str">
        <f aca="false">IF($E118="","",IF($M118,IF(AND($G118&gt;=X$5,$G118&lt;X$5+GanttPeriod),"◆",IF(AND($E118&gt;=X$5,$E118&lt;X$5+GanttPeriod),"◇","")),IF(AND(X$5&lt;=$F118,X$5+GanttPeriod-1&gt;=$E118),"━","")))</f>
        <v/>
      </c>
      <c r="Y118" s="69" t="str">
        <f aca="false">IF($E118="","",IF($M118,IF(AND($G118&gt;=Y$5,$G118&lt;Y$5+GanttPeriod),"◆",IF(AND($E118&gt;=Y$5,$E118&lt;Y$5+GanttPeriod),"◇","")),IF(AND(Y$5&lt;=$F118,Y$5+GanttPeriod-1&gt;=$E118),"━","")))</f>
        <v/>
      </c>
      <c r="Z118" s="69" t="str">
        <f aca="false">IF($E118="","",IF($M118,IF(AND($G118&gt;=Z$5,$G118&lt;Z$5+GanttPeriod),"◆",IF(AND($E118&gt;=Z$5,$E118&lt;Z$5+GanttPeriod),"◇","")),IF(AND(Z$5&lt;=$F118,Z$5+GanttPeriod-1&gt;=$E118),"━","")))</f>
        <v/>
      </c>
      <c r="AA118" s="69" t="str">
        <f aca="false">IF($E118="","",IF($M118,IF(AND($G118&gt;=AA$5,$G118&lt;AA$5+GanttPeriod),"◆",IF(AND($E118&gt;=AA$5,$E118&lt;AA$5+GanttPeriod),"◇","")),IF(AND(AA$5&lt;=$F118,AA$5+GanttPeriod-1&gt;=$E118),"━","")))</f>
        <v/>
      </c>
      <c r="AB118" s="69" t="str">
        <f aca="false">IF($E118="","",IF($M118,IF(AND($G118&gt;=AB$5,$G118&lt;AB$5+GanttPeriod),"◆",IF(AND($E118&gt;=AB$5,$E118&lt;AB$5+GanttPeriod),"◇","")),IF(AND(AB$5&lt;=$F118,AB$5+GanttPeriod-1&gt;=$E118),"━","")))</f>
        <v/>
      </c>
      <c r="AC118" s="69" t="str">
        <f aca="false">IF($E118="","",IF($M118,IF(AND($G118&gt;=AC$5,$G118&lt;AC$5+GanttPeriod),"◆",IF(AND($E118&gt;=AC$5,$E118&lt;AC$5+GanttPeriod),"◇","")),IF(AND(AC$5&lt;=$F118,AC$5+GanttPeriod-1&gt;=$E118),"━","")))</f>
        <v/>
      </c>
      <c r="AD118" s="69" t="str">
        <f aca="false">IF($E118="","",IF($M118,IF(AND($G118&gt;=AD$5,$G118&lt;AD$5+GanttPeriod),"◆",IF(AND($E118&gt;=AD$5,$E118&lt;AD$5+GanttPeriod),"◇","")),IF(AND(AD$5&lt;=$F118,AD$5+GanttPeriod-1&gt;=$E118),"━","")))</f>
        <v/>
      </c>
      <c r="AE118" s="69" t="str">
        <f aca="false">IF($E118="","",IF($M118,IF(AND($G118&gt;=AE$5,$G118&lt;AE$5+GanttPeriod),"◆",IF(AND($E118&gt;=AE$5,$E118&lt;AE$5+GanttPeriod),"◇","")),IF(AND(AE$5&lt;=$F118,AE$5+GanttPeriod-1&gt;=$E118),"━","")))</f>
        <v/>
      </c>
      <c r="AF118" s="69" t="str">
        <f aca="false">IF($E118="","",IF($M118,IF(AND($G118&gt;=AF$5,$G118&lt;AF$5+GanttPeriod),"◆",IF(AND($E118&gt;=AF$5,$E118&lt;AF$5+GanttPeriod),"◇","")),IF(AND(AF$5&lt;=$F118,AF$5+GanttPeriod-1&gt;=$E118),"━","")))</f>
        <v/>
      </c>
      <c r="AG118" s="69" t="str">
        <f aca="false">IF($E118="","",IF($M118,IF(AND($G118&gt;=AG$5,$G118&lt;AG$5+GanttPeriod),"◆",IF(AND($E118&gt;=AG$5,$E118&lt;AG$5+GanttPeriod),"◇","")),IF(AND(AG$5&lt;=$F118,AG$5+GanttPeriod-1&gt;=$E118),"━","")))</f>
        <v/>
      </c>
      <c r="AH118" s="69" t="str">
        <f aca="false">IF($E118="","",IF($M118,IF(AND($G118&gt;=AH$5,$G118&lt;AH$5+GanttPeriod),"◆",IF(AND($E118&gt;=AH$5,$E118&lt;AH$5+GanttPeriod),"◇","")),IF(AND(AH$5&lt;=$F118,AH$5+GanttPeriod-1&gt;=$E118),"━","")))</f>
        <v/>
      </c>
      <c r="AI118" s="69" t="str">
        <f aca="false">IF($E118="","",IF($M118,IF(AND($G118&gt;=AI$5,$G118&lt;AI$5+GanttPeriod),"◆",IF(AND($E118&gt;=AI$5,$E118&lt;AI$5+GanttPeriod),"◇","")),IF(AND(AI$5&lt;=$F118,AI$5+GanttPeriod-1&gt;=$E118),"━","")))</f>
        <v/>
      </c>
      <c r="AJ118" s="69" t="str">
        <f aca="false">IF($E118="","",IF($M118,IF(AND($G118&gt;=AJ$5,$G118&lt;AJ$5+GanttPeriod),"◆",IF(AND($E118&gt;=AJ$5,$E118&lt;AJ$5+GanttPeriod),"◇","")),IF(AND(AJ$5&lt;=$F118,AJ$5+GanttPeriod-1&gt;=$E118),"━","")))</f>
        <v/>
      </c>
      <c r="AK118" s="69" t="str">
        <f aca="false">IF($E118="","",IF($M118,IF(AND($G118&gt;=AK$5,$G118&lt;AK$5+GanttPeriod),"◆",IF(AND($E118&gt;=AK$5,$E118&lt;AK$5+GanttPeriod),"◇","")),IF(AND(AK$5&lt;=$F118,AK$5+GanttPeriod-1&gt;=$E118),"━","")))</f>
        <v/>
      </c>
      <c r="AL118" s="69" t="str">
        <f aca="false">IF($E118="","",IF($M118,IF(AND($G118&gt;=AL$5,$G118&lt;AL$5+GanttPeriod),"◆",IF(AND($E118&gt;=AL$5,$E118&lt;AL$5+GanttPeriod),"◇","")),IF(AND(AL$5&lt;=$F118,AL$5+GanttPeriod-1&gt;=$E118),"━","")))</f>
        <v/>
      </c>
      <c r="AM118" s="69" t="str">
        <f aca="false">IF($E118="","",IF($M118,IF(AND($G118&gt;=AM$5,$G118&lt;AM$5+GanttPeriod),"◆",IF(AND($E118&gt;=AM$5,$E118&lt;AM$5+GanttPeriod),"◇","")),IF(AND(AM$5&lt;=$F118,AM$5+GanttPeriod-1&gt;=$E118),"━","")))</f>
        <v/>
      </c>
      <c r="AN118" s="69" t="str">
        <f aca="false">IF($E118="","",IF($M118,IF(AND($G118&gt;=AN$5,$G118&lt;AN$5+GanttPeriod),"◆",IF(AND($E118&gt;=AN$5,$E118&lt;AN$5+GanttPeriod),"◇","")),IF(AND(AN$5&lt;=$F118,AN$5+GanttPeriod-1&gt;=$E118),"━","")))</f>
        <v/>
      </c>
      <c r="AO118" s="69" t="str">
        <f aca="false">IF($E118="","",IF($M118,IF(AND($G118&gt;=AO$5,$G118&lt;AO$5+GanttPeriod),"◆",IF(AND($E118&gt;=AO$5,$E118&lt;AO$5+GanttPeriod),"◇","")),IF(AND(AO$5&lt;=$F118,AO$5+GanttPeriod-1&gt;=$E118),"━","")))</f>
        <v/>
      </c>
      <c r="AP118" s="69" t="str">
        <f aca="false">IF($E118="","",IF($M118,IF(AND($G118&gt;=AP$5,$G118&lt;AP$5+GanttPeriod),"◆",IF(AND($E118&gt;=AP$5,$E118&lt;AP$5+GanttPeriod),"◇","")),IF(AND(AP$5&lt;=$F118,AP$5+GanttPeriod-1&gt;=$E118),"━","")))</f>
        <v/>
      </c>
      <c r="AQ118" s="69" t="str">
        <f aca="false">IF($E118="","",IF($M118,IF(AND($G118&gt;=AQ$5,$G118&lt;AQ$5+GanttPeriod),"◆",IF(AND($E118&gt;=AQ$5,$E118&lt;AQ$5+GanttPeriod),"◇","")),IF(AND(AQ$5&lt;=$F118,AQ$5+GanttPeriod-1&gt;=$E118),"━","")))</f>
        <v/>
      </c>
      <c r="AR118" s="69" t="str">
        <f aca="false">IF($E118="","",IF($M118,IF(AND($G118&gt;=AR$5,$G118&lt;AR$5+GanttPeriod),"◆",IF(AND($E118&gt;=AR$5,$E118&lt;AR$5+GanttPeriod),"◇","")),IF(AND(AR$5&lt;=$F118,AR$5+GanttPeriod-1&gt;=$E118),"━","")))</f>
        <v/>
      </c>
      <c r="AS118" s="69" t="str">
        <f aca="false">IF($E118="","",IF($M118,IF(AND($G118&gt;=AS$5,$G118&lt;AS$5+GanttPeriod),"◆",IF(AND($E118&gt;=AS$5,$E118&lt;AS$5+GanttPeriod),"◇","")),IF(AND(AS$5&lt;=$F118,AS$5+GanttPeriod-1&gt;=$E118),"━","")))</f>
        <v/>
      </c>
      <c r="AT118" s="69" t="str">
        <f aca="false">IF($E118="","",IF($M118,IF(AND($G118&gt;=AT$5,$G118&lt;AT$5+GanttPeriod),"◆",IF(AND($E118&gt;=AT$5,$E118&lt;AT$5+GanttPeriod),"◇","")),IF(AND(AT$5&lt;=$F118,AT$5+GanttPeriod-1&gt;=$E118),"━","")))</f>
        <v/>
      </c>
      <c r="AU118" s="69" t="str">
        <f aca="false">IF($E118="","",IF($M118,IF(AND($G118&gt;=AU$5,$G118&lt;AU$5+GanttPeriod),"◆",IF(AND($E118&gt;=AU$5,$E118&lt;AU$5+GanttPeriod),"◇","")),IF(AND(AU$5&lt;=$F118,AU$5+GanttPeriod-1&gt;=$E118),"━","")))</f>
        <v/>
      </c>
      <c r="AV118" s="69" t="str">
        <f aca="false">IF($E118="","",IF($M118,IF(AND($G118&gt;=AV$5,$G118&lt;AV$5+GanttPeriod),"◆",IF(AND($E118&gt;=AV$5,$E118&lt;AV$5+GanttPeriod),"◇","")),IF(AND(AV$5&lt;=$F118,AV$5+GanttPeriod-1&gt;=$E118),"━","")))</f>
        <v/>
      </c>
      <c r="AW118" s="69" t="str">
        <f aca="false">IF($E118="","",IF($M118,IF(AND($G118&gt;=AW$5,$G118&lt;AW$5+GanttPeriod),"◆",IF(AND($E118&gt;=AW$5,$E118&lt;AW$5+GanttPeriod),"◇","")),IF(AND(AW$5&lt;=$F118,AW$5+GanttPeriod-1&gt;=$E118),"━","")))</f>
        <v/>
      </c>
      <c r="AX118" s="69" t="str">
        <f aca="false">IF($E118="","",IF($M118,IF(AND($G118&gt;=AX$5,$G118&lt;AX$5+GanttPeriod),"◆",IF(AND($E118&gt;=AX$5,$E118&lt;AX$5+GanttPeriod),"◇","")),IF(AND(AX$5&lt;=$F118,AX$5+GanttPeriod-1&gt;=$E118),"━","")))</f>
        <v/>
      </c>
      <c r="AY118" s="69" t="str">
        <f aca="false">IF($E118="","",IF($M118,IF(AND($G118&gt;=AY$5,$G118&lt;AY$5+GanttPeriod),"◆",IF(AND($E118&gt;=AY$5,$E118&lt;AY$5+GanttPeriod),"◇","")),IF(AND(AY$5&lt;=$F118,AY$5+GanttPeriod-1&gt;=$E118),"━","")))</f>
        <v/>
      </c>
      <c r="AZ118" s="69" t="str">
        <f aca="false">IF($E118="","",IF($M118,IF(AND($G118&gt;=AZ$5,$G118&lt;AZ$5+GanttPeriod),"◆",IF(AND($E118&gt;=AZ$5,$E118&lt;AZ$5+GanttPeriod),"◇","")),IF(AND(AZ$5&lt;=$F118,AZ$5+GanttPeriod-1&gt;=$E118),"━","")))</f>
        <v/>
      </c>
      <c r="BA118" s="69" t="str">
        <f aca="false">IF($E118="","",IF($M118,IF(AND($G118&gt;=BA$5,$G118&lt;BA$5+GanttPeriod),"◆",IF(AND($E118&gt;=BA$5,$E118&lt;BA$5+GanttPeriod),"◇","")),IF(AND(BA$5&lt;=$F118,BA$5+GanttPeriod-1&gt;=$E118),"━","")))</f>
        <v/>
      </c>
      <c r="BB118" s="69" t="str">
        <f aca="false">IF($E118="","",IF($M118,IF(AND($G118&gt;=BB$5,$G118&lt;BB$5+GanttPeriod),"◆",IF(AND($E118&gt;=BB$5,$E118&lt;BB$5+GanttPeriod),"◇","")),IF(AND(BB$5&lt;=$F118,BB$5+GanttPeriod-1&gt;=$E118),"━","")))</f>
        <v/>
      </c>
      <c r="BC118" s="69" t="str">
        <f aca="false">IF($E118="","",IF($M118,IF(AND($G118&gt;=BC$5,$G118&lt;BC$5+GanttPeriod),"◆",IF(AND($E118&gt;=BC$5,$E118&lt;BC$5+GanttPeriod),"◇","")),IF(AND(BC$5&lt;=$F118,BC$5+GanttPeriod-1&gt;=$E118),"━","")))</f>
        <v/>
      </c>
      <c r="BD118" s="69" t="str">
        <f aca="false">IF($E118="","",IF($M118,IF(AND($G118&gt;=BD$5,$G118&lt;BD$5+GanttPeriod),"◆",IF(AND($E118&gt;=BD$5,$E118&lt;BD$5+GanttPeriod),"◇","")),IF(AND(BD$5&lt;=$F118,BD$5+GanttPeriod-1&gt;=$E118),"━","")))</f>
        <v/>
      </c>
      <c r="BE118" s="69" t="str">
        <f aca="false">IF($E118="","",IF($M118,IF(AND($G118&gt;=BE$5,$G118&lt;BE$5+GanttPeriod),"◆",IF(AND($E118&gt;=BE$5,$E118&lt;BE$5+GanttPeriod),"◇","")),IF(AND(BE$5&lt;=$F118,BE$5+GanttPeriod-1&gt;=$E118),"━","")))</f>
        <v/>
      </c>
      <c r="BF118" s="69" t="str">
        <f aca="false">IF($E118="","",IF($M118,IF(AND($G118&gt;=BF$5,$G118&lt;BF$5+GanttPeriod),"◆",IF(AND($E118&gt;=BF$5,$E118&lt;BF$5+GanttPeriod),"◇","")),IF(AND(BF$5&lt;=$F118,BF$5+GanttPeriod-1&gt;=$E118),"━","")))</f>
        <v/>
      </c>
      <c r="BG118" s="69" t="str">
        <f aca="false">IF($E118="","",IF($M118,IF(AND($G118&gt;=BG$5,$G118&lt;BG$5+GanttPeriod),"◆",IF(AND($E118&gt;=BG$5,$E118&lt;BG$5+GanttPeriod),"◇","")),IF(AND(BG$5&lt;=$F118,BG$5+GanttPeriod-1&gt;=$E118),"━","")))</f>
        <v/>
      </c>
      <c r="BH118" s="69" t="str">
        <f aca="false">IF($E118="","",IF($M118,IF(AND($G118&gt;=BH$5,$G118&lt;BH$5+GanttPeriod),"◆",IF(AND($E118&gt;=BH$5,$E118&lt;BH$5+GanttPeriod),"◇","")),IF(AND(BH$5&lt;=$F118,BH$5+GanttPeriod-1&gt;=$E118),"━","")))</f>
        <v/>
      </c>
      <c r="BI118" s="69" t="str">
        <f aca="false">IF($E118="","",IF($M118,IF(AND($G118&gt;=BI$5,$G118&lt;BI$5+GanttPeriod),"◆",IF(AND($E118&gt;=BI$5,$E118&lt;BI$5+GanttPeriod),"◇","")),IF(AND(BI$5&lt;=$F118,BI$5+GanttPeriod-1&gt;=$E118),"━","")))</f>
        <v/>
      </c>
      <c r="BJ118" s="69" t="str">
        <f aca="false">IF($E118="","",IF($M118,IF(AND($G118&gt;=BJ$5,$G118&lt;BJ$5+GanttPeriod),"◆",IF(AND($E118&gt;=BJ$5,$E118&lt;BJ$5+GanttPeriod),"◇","")),IF(AND(BJ$5&lt;=$F118,BJ$5+GanttPeriod-1&gt;=$E118),"━","")))</f>
        <v/>
      </c>
      <c r="BK118" s="69" t="str">
        <f aca="false">IF($E118="","",IF($M118,IF(AND($G118&gt;=BK$5,$G118&lt;BK$5+GanttPeriod),"◆",IF(AND($E118&gt;=BK$5,$E118&lt;BK$5+GanttPeriod),"◇","")),IF(AND(BK$5&lt;=$F118,BK$5+GanttPeriod-1&gt;=$E118),"━","")))</f>
        <v/>
      </c>
      <c r="BL118" s="69" t="str">
        <f aca="false">IF($E118="","",IF($M118,IF(AND($G118&gt;=BL$5,$G118&lt;BL$5+GanttPeriod),"◆",IF(AND($E118&gt;=BL$5,$E118&lt;BL$5+GanttPeriod),"◇","")),IF(AND(BL$5&lt;=$F118,BL$5+GanttPeriod-1&gt;=$E118),"━","")))</f>
        <v/>
      </c>
      <c r="BM118" s="69" t="str">
        <f aca="false">IF($E118="","",IF($M118,IF(AND($G118&gt;=BM$5,$G118&lt;BM$5+GanttPeriod),"◆",IF(AND($E118&gt;=BM$5,$E118&lt;BM$5+GanttPeriod),"◇","")),IF(AND(BM$5&lt;=$F118,BM$5+GanttPeriod-1&gt;=$E118),"━","")))</f>
        <v/>
      </c>
      <c r="BN118" s="69" t="str">
        <f aca="false">IF($E118="","",IF($M118,IF(AND($G118&gt;=BN$5,$G118&lt;BN$5+GanttPeriod),"◆",IF(AND($E118&gt;=BN$5,$E118&lt;BN$5+GanttPeriod),"◇","")),IF(AND(BN$5&lt;=$F118,BN$5+GanttPeriod-1&gt;=$E118),"━","")))</f>
        <v/>
      </c>
      <c r="BO118" s="69" t="str">
        <f aca="false">IF($E118="","",IF($M118,IF(AND($G118&gt;=BO$5,$G118&lt;BO$5+GanttPeriod),"◆",IF(AND($E118&gt;=BO$5,$E118&lt;BO$5+GanttPeriod),"◇","")),IF(AND(BO$5&lt;=$F118,BO$5+GanttPeriod-1&gt;=$E118),"━","")))</f>
        <v/>
      </c>
      <c r="BP118" s="69" t="str">
        <f aca="false">IF($E118="","",IF($M118,IF(AND($G118&gt;=BP$5,$G118&lt;BP$5+GanttPeriod),"◆",IF(AND($E118&gt;=BP$5,$E118&lt;BP$5+GanttPeriod),"◇","")),IF(AND(BP$5&lt;=$F118,BP$5+GanttPeriod-1&gt;=$E118),"━","")))</f>
        <v/>
      </c>
      <c r="BQ118" s="69" t="str">
        <f aca="false">IF($E118="","",IF($M118,IF(AND($G118&gt;=BQ$5,$G118&lt;BQ$5+GanttPeriod),"◆",IF(AND($E118&gt;=BQ$5,$E118&lt;BQ$5+GanttPeriod),"◇","")),IF(AND(BQ$5&lt;=$F118,BQ$5+GanttPeriod-1&gt;=$E118),"━","")))</f>
        <v/>
      </c>
      <c r="BR118" s="69" t="str">
        <f aca="false">IF($E118="","",IF($M118,IF(AND($G118&gt;=BR$5,$G118&lt;BR$5+GanttPeriod),"◆",IF(AND($E118&gt;=BR$5,$E118&lt;BR$5+GanttPeriod),"◇","")),IF(AND(BR$5&lt;=$F118,BR$5+GanttPeriod-1&gt;=$E118),"━","")))</f>
        <v/>
      </c>
      <c r="BS118" s="69" t="str">
        <f aca="false">IF($E118="","",IF($M118,IF(AND($G118&gt;=BS$5,$G118&lt;BS$5+GanttPeriod),"◆",IF(AND($E118&gt;=BS$5,$E118&lt;BS$5+GanttPeriod),"◇","")),IF(AND(BS$5&lt;=$F118,BS$5+GanttPeriod-1&gt;=$E118),"━","")))</f>
        <v/>
      </c>
      <c r="BT118" s="69" t="str">
        <f aca="false">IF($E118="","",IF($M118,IF(AND($G118&gt;=BT$5,$G118&lt;BT$5+GanttPeriod),"◆",IF(AND($E118&gt;=BT$5,$E118&lt;BT$5+GanttPeriod),"◇","")),IF(AND(BT$5&lt;=$F118,BT$5+GanttPeriod-1&gt;=$E118),"━","")))</f>
        <v/>
      </c>
      <c r="BU118" s="69" t="str">
        <f aca="false">IF($E118="","",IF($M118,IF(AND($G118&gt;=BU$5,$G118&lt;BU$5+GanttPeriod),"◆",IF(AND($E118&gt;=BU$5,$E118&lt;BU$5+GanttPeriod),"◇","")),IF(AND(BU$5&lt;=$F118,BU$5+GanttPeriod-1&gt;=$E118),"━","")))</f>
        <v/>
      </c>
      <c r="BV118" s="69" t="str">
        <f aca="false">IF($E118="","",IF($M118,IF(AND($G118&gt;=BV$5,$G118&lt;BV$5+GanttPeriod),"◆",IF(AND($E118&gt;=BV$5,$E118&lt;BV$5+GanttPeriod),"◇","")),IF(AND(BV$5&lt;=$F118,BV$5+GanttPeriod-1&gt;=$E118),"━","")))</f>
        <v/>
      </c>
      <c r="BW118" s="69" t="str">
        <f aca="false">IF($E118="","",IF($M118,IF(AND($G118&gt;=BW$5,$G118&lt;BW$5+GanttPeriod),"◆",IF(AND($E118&gt;=BW$5,$E118&lt;BW$5+GanttPeriod),"◇","")),IF(AND(BW$5&lt;=$F118,BW$5+GanttPeriod-1&gt;=$E118),"━","")))</f>
        <v/>
      </c>
      <c r="BX118" s="69" t="str">
        <f aca="false">IF($E118="","",IF($M118,IF(AND($G118&gt;=BX$5,$G118&lt;BX$5+GanttPeriod),"◆",IF(AND($E118&gt;=BX$5,$E118&lt;BX$5+GanttPeriod),"◇","")),IF(AND(BX$5&lt;=$F118,BX$5+GanttPeriod-1&gt;=$E118),"━","")))</f>
        <v/>
      </c>
      <c r="BY118" s="69" t="str">
        <f aca="false">IF($E118="","",IF($M118,IF(AND($G118&gt;=BY$5,$G118&lt;BY$5+GanttPeriod),"◆",IF(AND($E118&gt;=BY$5,$E118&lt;BY$5+GanttPeriod),"◇","")),IF(AND(BY$5&lt;=$F118,BY$5+GanttPeriod-1&gt;=$E118),"━","")))</f>
        <v/>
      </c>
      <c r="BZ118" s="69" t="str">
        <f aca="false">IF($E118="","",IF($M118,IF(AND($G118&gt;=BZ$5,$G118&lt;BZ$5+GanttPeriod),"◆",IF(AND($E118&gt;=BZ$5,$E118&lt;BZ$5+GanttPeriod),"◇","")),IF(AND(BZ$5&lt;=$F118,BZ$5+GanttPeriod-1&gt;=$E118),"━","")))</f>
        <v/>
      </c>
      <c r="CA118" s="69" t="str">
        <f aca="false">IF($E118="","",IF($M118,IF(AND($G118&gt;=CA$5,$G118&lt;CA$5+GanttPeriod),"◆",IF(AND($E118&gt;=CA$5,$E118&lt;CA$5+GanttPeriod),"◇","")),IF(AND(CA$5&lt;=$F118,CA$5+GanttPeriod-1&gt;=$E118),"━","")))</f>
        <v/>
      </c>
      <c r="CB118" s="69" t="str">
        <f aca="false">IF($E118="","",IF($M118,IF(AND($G118&gt;=CB$5,$G118&lt;CB$5+GanttPeriod),"◆",IF(AND($E118&gt;=CB$5,$E118&lt;CB$5+GanttPeriod),"◇","")),IF(AND(CB$5&lt;=$F118,CB$5+GanttPeriod-1&gt;=$E118),"━","")))</f>
        <v/>
      </c>
      <c r="CC118" s="69" t="str">
        <f aca="false">IF($E118="","",IF($M118,IF(AND($G118&gt;=CC$5,$G118&lt;CC$5+GanttPeriod),"◆",IF(AND($E118&gt;=CC$5,$E118&lt;CC$5+GanttPeriod),"◇","")),IF(AND(CC$5&lt;=$F118,CC$5+GanttPeriod-1&gt;=$E118),"━","")))</f>
        <v/>
      </c>
      <c r="CD118" s="69" t="str">
        <f aca="false">IF($E118="","",IF($M118,IF(AND($G118&gt;=CD$5,$G118&lt;CD$5+GanttPeriod),"◆",IF(AND($E118&gt;=CD$5,$E118&lt;CD$5+GanttPeriod),"◇","")),IF(AND(CD$5&lt;=$F118,CD$5+GanttPeriod-1&gt;=$E118),"━","")))</f>
        <v/>
      </c>
      <c r="CE118" s="69" t="str">
        <f aca="false">IF($E118="","",IF($M118,IF(AND($G118&gt;=CE$5,$G118&lt;CE$5+GanttPeriod),"◆",IF(AND($E118&gt;=CE$5,$E118&lt;CE$5+GanttPeriod),"◇","")),IF(AND(CE$5&lt;=$F118,CE$5+GanttPeriod-1&gt;=$E118),"━","")))</f>
        <v/>
      </c>
      <c r="CF118" s="69" t="str">
        <f aca="false">IF($E118="","",IF($M118,IF(AND($G118&gt;=CF$5,$G118&lt;CF$5+GanttPeriod),"◆",IF(AND($E118&gt;=CF$5,$E118&lt;CF$5+GanttPeriod),"◇","")),IF(AND(CF$5&lt;=$F118,CF$5+GanttPeriod-1&gt;=$E118),"━","")))</f>
        <v/>
      </c>
      <c r="CG118" s="69" t="str">
        <f aca="false">IF($E118="","",IF($M118,IF(AND($G118&gt;=CG$5,$G118&lt;CG$5+GanttPeriod),"◆",IF(AND($E118&gt;=CG$5,$E118&lt;CG$5+GanttPeriod),"◇","")),IF(AND(CG$5&lt;=$F118,CG$5+GanttPeriod-1&gt;=$E118),"━","")))</f>
        <v/>
      </c>
      <c r="CH118" s="69" t="str">
        <f aca="false">IF($E118="","",IF($M118,IF(AND($G118&gt;=CH$5,$G118&lt;CH$5+GanttPeriod),"◆",IF(AND($E118&gt;=CH$5,$E118&lt;CH$5+GanttPeriod),"◇","")),IF(AND(CH$5&lt;=$F118,CH$5+GanttPeriod-1&gt;=$E118),"━","")))</f>
        <v/>
      </c>
      <c r="CI118" s="69" t="str">
        <f aca="false">IF($E118="","",IF($M118,IF(AND($G118&gt;=CI$5,$G118&lt;CI$5+GanttPeriod),"◆",IF(AND($E118&gt;=CI$5,$E118&lt;CI$5+GanttPeriod),"◇","")),IF(AND(CI$5&lt;=$F118,CI$5+GanttPeriod-1&gt;=$E118),"━","")))</f>
        <v/>
      </c>
      <c r="CJ118" s="69" t="str">
        <f aca="false">IF($E118="","",IF($M118,IF(AND($G118&gt;=CJ$5,$G118&lt;CJ$5+GanttPeriod),"◆",IF(AND($E118&gt;=CJ$5,$E118&lt;CJ$5+GanttPeriod),"◇","")),IF(AND(CJ$5&lt;=$F118,CJ$5+GanttPeriod-1&gt;=$E118),"━","")))</f>
        <v/>
      </c>
      <c r="CK118" s="69" t="str">
        <f aca="false">IF($E118="","",IF($M118,IF(AND($G118&gt;=CK$5,$G118&lt;CK$5+GanttPeriod),"◆",IF(AND($E118&gt;=CK$5,$E118&lt;CK$5+GanttPeriod),"◇","")),IF(AND(CK$5&lt;=$F118,CK$5+GanttPeriod-1&gt;=$E118),"━","")))</f>
        <v/>
      </c>
      <c r="CL118" s="69" t="str">
        <f aca="false">IF($E118="","",IF($M118,IF(AND($G118&gt;=CL$5,$G118&lt;CL$5+GanttPeriod),"◆",IF(AND($E118&gt;=CL$5,$E118&lt;CL$5+GanttPeriod),"◇","")),IF(AND(CL$5&lt;=$F118,CL$5+GanttPeriod-1&gt;=$E118),"━","")))</f>
        <v/>
      </c>
      <c r="CM118" s="69" t="str">
        <f aca="false">IF($E118="","",IF($M118,IF(AND($G118&gt;=CM$5,$G118&lt;CM$5+GanttPeriod),"◆",IF(AND($E118&gt;=CM$5,$E118&lt;CM$5+GanttPeriod),"◇","")),IF(AND(CM$5&lt;=$F118,CM$5+GanttPeriod-1&gt;=$E118),"━","")))</f>
        <v/>
      </c>
      <c r="CN118" s="69" t="str">
        <f aca="false">IF($E118="","",IF($M118,IF(AND($G118&gt;=CN$5,$G118&lt;CN$5+GanttPeriod),"◆",IF(AND($E118&gt;=CN$5,$E118&lt;CN$5+GanttPeriod),"◇","")),IF(AND(CN$5&lt;=$F118,CN$5+GanttPeriod-1&gt;=$E118),"━","")))</f>
        <v/>
      </c>
      <c r="CO118" s="69" t="str">
        <f aca="false">IF($E118="","",IF($M118,IF(AND($G118&gt;=CO$5,$G118&lt;CO$5+GanttPeriod),"◆",IF(AND($E118&gt;=CO$5,$E118&lt;CO$5+GanttPeriod),"◇","")),IF(AND(CO$5&lt;=$F118,CO$5+GanttPeriod-1&gt;=$E118),"━","")))</f>
        <v/>
      </c>
      <c r="CP118" s="69" t="str">
        <f aca="false">IF($E118="","",IF($M118,IF(AND($G118&gt;=CP$5,$G118&lt;CP$5+GanttPeriod),"◆",IF(AND($E118&gt;=CP$5,$E118&lt;CP$5+GanttPeriod),"◇","")),IF(AND(CP$5&lt;=$F118,CP$5+GanttPeriod-1&gt;=$E118),"━","")))</f>
        <v/>
      </c>
      <c r="CQ118" s="69" t="str">
        <f aca="false">IF($E118="","",IF($M118,IF(AND($G118&gt;=CQ$5,$G118&lt;CQ$5+GanttPeriod),"◆",IF(AND($E118&gt;=CQ$5,$E118&lt;CQ$5+GanttPeriod),"◇","")),IF(AND(CQ$5&lt;=$F118,CQ$5+GanttPeriod-1&gt;=$E118),"━","")))</f>
        <v/>
      </c>
      <c r="CR118" s="69" t="str">
        <f aca="false">IF($E118="","",IF($M118,IF(AND($G118&gt;=CR$5,$G118&lt;CR$5+GanttPeriod),"◆",IF(AND($E118&gt;=CR$5,$E118&lt;CR$5+GanttPeriod),"◇","")),IF(AND(CR$5&lt;=$F118,CR$5+GanttPeriod-1&gt;=$E118),"━","")))</f>
        <v/>
      </c>
      <c r="CS118" s="69" t="str">
        <f aca="false">IF($E118="","",IF($M118,IF(AND($G118&gt;=CS$5,$G118&lt;CS$5+GanttPeriod),"◆",IF(AND($E118&gt;=CS$5,$E118&lt;CS$5+GanttPeriod),"◇","")),IF(AND(CS$5&lt;=$F118,CS$5+GanttPeriod-1&gt;=$E118),"━","")))</f>
        <v/>
      </c>
      <c r="CT118" s="69" t="str">
        <f aca="false">IF($E118="","",IF($M118,IF(AND($G118&gt;=CT$5,$G118&lt;CT$5+GanttPeriod),"◆",IF(AND($E118&gt;=CT$5,$E118&lt;CT$5+GanttPeriod),"◇","")),IF(AND(CT$5&lt;=$F118,CT$5+GanttPeriod-1&gt;=$E118),"━","")))</f>
        <v/>
      </c>
      <c r="CU118" s="69" t="str">
        <f aca="false">IF($E118="","",IF($M118,IF(AND($G118&gt;=CU$5,$G118&lt;CU$5+GanttPeriod),"◆",IF(AND($E118&gt;=CU$5,$E118&lt;CU$5+GanttPeriod),"◇","")),IF(AND(CU$5&lt;=$F118,CU$5+GanttPeriod-1&gt;=$E118),"━","")))</f>
        <v/>
      </c>
      <c r="CV118" s="69" t="str">
        <f aca="false">IF($E118="","",IF($M118,IF(AND($G118&gt;=CV$5,$G118&lt;CV$5+GanttPeriod),"◆",IF(AND($E118&gt;=CV$5,$E118&lt;CV$5+GanttPeriod),"◇","")),IF(AND(CV$5&lt;=$F118,CV$5+GanttPeriod-1&gt;=$E118),"━","")))</f>
        <v/>
      </c>
      <c r="CW118" s="69" t="str">
        <f aca="false">IF($E118="","",IF($M118,IF(AND($G118&gt;=CW$5,$G118&lt;CW$5+GanttPeriod),"◆",IF(AND($E118&gt;=CW$5,$E118&lt;CW$5+GanttPeriod),"◇","")),IF(AND(CW$5&lt;=$F118,CW$5+GanttPeriod-1&gt;=$E118),"━","")))</f>
        <v/>
      </c>
      <c r="CX118" s="69" t="str">
        <f aca="false">IF($E118="","",IF($M118,IF(AND($G118&gt;=CX$5,$G118&lt;CX$5+GanttPeriod),"◆",IF(AND($E118&gt;=CX$5,$E118&lt;CX$5+GanttPeriod),"◇","")),IF(AND(CX$5&lt;=$F118,CX$5+GanttPeriod-1&gt;=$E118),"━","")))</f>
        <v/>
      </c>
      <c r="CY118" s="69" t="str">
        <f aca="false">IF($E118="","",IF($M118,IF(AND($G118&gt;=CY$5,$G118&lt;CY$5+GanttPeriod),"◆",IF(AND($E118&gt;=CY$5,$E118&lt;CY$5+GanttPeriod),"◇","")),IF(AND(CY$5&lt;=$F118,CY$5+GanttPeriod-1&gt;=$E118),"━","")))</f>
        <v/>
      </c>
      <c r="CZ118" s="69" t="str">
        <f aca="false">IF($E118="","",IF($M118,IF(AND($G118&gt;=CZ$5,$G118&lt;CZ$5+GanttPeriod),"◆",IF(AND($E118&gt;=CZ$5,$E118&lt;CZ$5+GanttPeriod),"◇","")),IF(AND(CZ$5&lt;=$F118,CZ$5+GanttPeriod-1&gt;=$E118),"━","")))</f>
        <v/>
      </c>
      <c r="DA118" s="69" t="str">
        <f aca="false">IF($E118="","",IF($M118,IF(AND($G118&gt;=DA$5,$G118&lt;DA$5+GanttPeriod),"◆",IF(AND($E118&gt;=DA$5,$E118&lt;DA$5+GanttPeriod),"◇","")),IF(AND(DA$5&lt;=$F118,DA$5+GanttPeriod-1&gt;=$E118),"━","")))</f>
        <v/>
      </c>
      <c r="DB118" s="69" t="str">
        <f aca="false">IF($E118="","",IF($M118,IF(AND($G118&gt;=DB$5,$G118&lt;DB$5+GanttPeriod),"◆",IF(AND($E118&gt;=DB$5,$E118&lt;DB$5+GanttPeriod),"◇","")),IF(AND(DB$5&lt;=$F118,DB$5+GanttPeriod-1&gt;=$E118),"━","")))</f>
        <v/>
      </c>
      <c r="DC118" s="69" t="str">
        <f aca="false">IF($E118="","",IF($M118,IF(AND($G118&gt;=DC$5,$G118&lt;DC$5+GanttPeriod),"◆",IF(AND($E118&gt;=DC$5,$E118&lt;DC$5+GanttPeriod),"◇","")),IF(AND(DC$5&lt;=$F118,DC$5+GanttPeriod-1&gt;=$E118),"━","")))</f>
        <v/>
      </c>
      <c r="DD118" s="69" t="str">
        <f aca="false">IF($E118="","",IF($M118,IF(AND($G118&gt;=DD$5,$G118&lt;DD$5+GanttPeriod),"◆",IF(AND($E118&gt;=DD$5,$E118&lt;DD$5+GanttPeriod),"◇","")),IF(AND(DD$5&lt;=$F118,DD$5+GanttPeriod-1&gt;=$E118),"━","")))</f>
        <v/>
      </c>
      <c r="DE118" s="69" t="str">
        <f aca="false">IF($E118="","",IF($M118,IF(AND($G118&gt;=DE$5,$G118&lt;DE$5+GanttPeriod),"◆",IF(AND($E118&gt;=DE$5,$E118&lt;DE$5+GanttPeriod),"◇","")),IF(AND(DE$5&lt;=$F118,DE$5+GanttPeriod-1&gt;=$E118),"━","")))</f>
        <v/>
      </c>
      <c r="DF118" s="69" t="str">
        <f aca="false">IF($E118="","",IF($M118,IF(AND($G118&gt;=DF$5,$G118&lt;DF$5+GanttPeriod),"◆",IF(AND($E118&gt;=DF$5,$E118&lt;DF$5+GanttPeriod),"◇","")),IF(AND(DF$5&lt;=$F118,DF$5+GanttPeriod-1&gt;=$E118),"━","")))</f>
        <v/>
      </c>
      <c r="DG118" s="69" t="str">
        <f aca="false">IF($E118="","",IF($M118,IF(AND($G118&gt;=DG$5,$G118&lt;DG$5+GanttPeriod),"◆",IF(AND($E118&gt;=DG$5,$E118&lt;DG$5+GanttPeriod),"◇","")),IF(AND(DG$5&lt;=$F118,DG$5+GanttPeriod-1&gt;=$E118),"━","")))</f>
        <v/>
      </c>
      <c r="DH118" s="69" t="str">
        <f aca="false">IF($E118="","",IF($M118,IF(AND($G118&gt;=DH$5,$G118&lt;DH$5+GanttPeriod),"◆",IF(AND($E118&gt;=DH$5,$E118&lt;DH$5+GanttPeriod),"◇","")),IF(AND(DH$5&lt;=$F118,DH$5+GanttPeriod-1&gt;=$E118),"━","")))</f>
        <v/>
      </c>
      <c r="DI118" s="69" t="str">
        <f aca="false">IF($E118="","",IF($M118,IF(AND($G118&gt;=DI$5,$G118&lt;DI$5+GanttPeriod),"◆",IF(AND($E118&gt;=DI$5,$E118&lt;DI$5+GanttPeriod),"◇","")),IF(AND(DI$5&lt;=$F118,DI$5+GanttPeriod-1&gt;=$E118),"━","")))</f>
        <v/>
      </c>
      <c r="DJ118" s="69" t="str">
        <f aca="false">IF($E118="","",IF($M118,IF(AND($G118&gt;=DJ$5,$G118&lt;DJ$5+GanttPeriod),"◆",IF(AND($E118&gt;=DJ$5,$E118&lt;DJ$5+GanttPeriod),"◇","")),IF(AND(DJ$5&lt;=$F118,DJ$5+GanttPeriod-1&gt;=$E118),"━","")))</f>
        <v/>
      </c>
      <c r="DK118" s="69" t="str">
        <f aca="false">IF($E118="","",IF($M118,IF(AND($G118&gt;=DK$5,$G118&lt;DK$5+GanttPeriod),"◆",IF(AND($E118&gt;=DK$5,$E118&lt;DK$5+GanttPeriod),"◇","")),IF(AND(DK$5&lt;=$F118,DK$5+GanttPeriod-1&gt;=$E118),"━","")))</f>
        <v/>
      </c>
      <c r="DL118" s="69" t="str">
        <f aca="false">IF($E118="","",IF($M118,IF(AND($G118&gt;=DL$5,$G118&lt;DL$5+GanttPeriod),"◆",IF(AND($E118&gt;=DL$5,$E118&lt;DL$5+GanttPeriod),"◇","")),IF(AND(DL$5&lt;=$F118,DL$5+GanttPeriod-1&gt;=$E118),"━","")))</f>
        <v/>
      </c>
      <c r="DM118" s="69" t="str">
        <f aca="false">IF($E118="","",IF($M118,IF(AND($G118&gt;=DM$5,$G118&lt;DM$5+GanttPeriod),"◆",IF(AND($E118&gt;=DM$5,$E118&lt;DM$5+GanttPeriod),"◇","")),IF(AND(DM$5&lt;=$F118,DM$5+GanttPeriod-1&gt;=$E118),"━","")))</f>
        <v/>
      </c>
      <c r="DN118" s="69" t="str">
        <f aca="false">IF($E118="","",IF($M118,IF(AND($G118&gt;=DN$5,$G118&lt;DN$5+GanttPeriod),"◆",IF(AND($E118&gt;=DN$5,$E118&lt;DN$5+GanttPeriod),"◇","")),IF(AND(DN$5&lt;=$F118,DN$5+GanttPeriod-1&gt;=$E118),"━","")))</f>
        <v/>
      </c>
      <c r="DO118" s="69" t="str">
        <f aca="false">IF($E118="","",IF($M118,IF(AND($G118&gt;=DO$5,$G118&lt;DO$5+GanttPeriod),"◆",IF(AND($E118&gt;=DO$5,$E118&lt;DO$5+GanttPeriod),"◇","")),IF(AND(DO$5&lt;=$F118,DO$5+GanttPeriod-1&gt;=$E118),"━","")))</f>
        <v/>
      </c>
      <c r="DP118" s="69" t="str">
        <f aca="false">IF($E118="","",IF($M118,IF(AND($G118&gt;=DP$5,$G118&lt;DP$5+GanttPeriod),"◆",IF(AND($E118&gt;=DP$5,$E118&lt;DP$5+GanttPeriod),"◇","")),IF(AND(DP$5&lt;=$F118,DP$5+GanttPeriod-1&gt;=$E118),"━","")))</f>
        <v/>
      </c>
      <c r="DQ118" s="69" t="str">
        <f aca="false">IF($E118="","",IF($M118,IF(AND($G118&gt;=DQ$5,$G118&lt;DQ$5+GanttPeriod),"◆",IF(AND($E118&gt;=DQ$5,$E118&lt;DQ$5+GanttPeriod),"◇","")),IF(AND(DQ$5&lt;=$F118,DQ$5+GanttPeriod-1&gt;=$E118),"━","")))</f>
        <v/>
      </c>
      <c r="DR118" s="69" t="str">
        <f aca="false">IF($E118="","",IF($M118,IF(AND($G118&gt;=DR$5,$G118&lt;DR$5+GanttPeriod),"◆",IF(AND($E118&gt;=DR$5,$E118&lt;DR$5+GanttPeriod),"◇","")),IF(AND(DR$5&lt;=$F118,DR$5+GanttPeriod-1&gt;=$E118),"━","")))</f>
        <v/>
      </c>
      <c r="DS118" s="69" t="str">
        <f aca="false">IF($E118="","",IF($M118,IF(AND($G118&gt;=DS$5,$G118&lt;DS$5+GanttPeriod),"◆",IF(AND($E118&gt;=DS$5,$E118&lt;DS$5+GanttPeriod),"◇","")),IF(AND(DS$5&lt;=$F118,DS$5+GanttPeriod-1&gt;=$E118),"━","")))</f>
        <v/>
      </c>
      <c r="DT118" s="69" t="str">
        <f aca="false">IF($E118="","",IF($M118,IF(AND($G118&gt;=DT$5,$G118&lt;DT$5+GanttPeriod),"◆",IF(AND($E118&gt;=DT$5,$E118&lt;DT$5+GanttPeriod),"◇","")),IF(AND(DT$5&lt;=$F118,DT$5+GanttPeriod-1&gt;=$E118),"━","")))</f>
        <v/>
      </c>
      <c r="DU118" s="69" t="str">
        <f aca="false">IF($E118="","",IF($M118,IF(AND($G118&gt;=DU$5,$G118&lt;DU$5+GanttPeriod),"◆",IF(AND($E118&gt;=DU$5,$E118&lt;DU$5+GanttPeriod),"◇","")),IF(AND(DU$5&lt;=$F118,DU$5+GanttPeriod-1&gt;=$E118),"━","")))</f>
        <v/>
      </c>
      <c r="DV118" s="69" t="str">
        <f aca="false">IF($E118="","",IF($M118,IF(AND($G118&gt;=DV$5,$G118&lt;DV$5+GanttPeriod),"◆",IF(AND($E118&gt;=DV$5,$E118&lt;DV$5+GanttPeriod),"◇","")),IF(AND(DV$5&lt;=$F118,DV$5+GanttPeriod-1&gt;=$E118),"━","")))</f>
        <v/>
      </c>
      <c r="DW118" s="69" t="str">
        <f aca="false">IF($E118="","",IF($M118,IF(AND($G118&gt;=DW$5,$G118&lt;DW$5+GanttPeriod),"◆",IF(AND($E118&gt;=DW$5,$E118&lt;DW$5+GanttPeriod),"◇","")),IF(AND(DW$5&lt;=$F118,DW$5+GanttPeriod-1&gt;=$E118),"━","")))</f>
        <v/>
      </c>
      <c r="DX118" s="69" t="str">
        <f aca="false">IF($E118="","",IF($M118,IF(AND($G118&gt;=DX$5,$G118&lt;DX$5+GanttPeriod),"◆",IF(AND($E118&gt;=DX$5,$E118&lt;DX$5+GanttPeriod),"◇","")),IF(AND(DX$5&lt;=$F118,DX$5+GanttPeriod-1&gt;=$E118),"━","")))</f>
        <v/>
      </c>
      <c r="DY118" s="69" t="str">
        <f aca="false">IF($E118="","",IF($M118,IF(AND($G118&gt;=DY$5,$G118&lt;DY$5+GanttPeriod),"◆",IF(AND($E118&gt;=DY$5,$E118&lt;DY$5+GanttPeriod),"◇","")),IF(AND(DY$5&lt;=$F118,DY$5+GanttPeriod-1&gt;=$E118),"━","")))</f>
        <v/>
      </c>
      <c r="DZ118" s="69" t="str">
        <f aca="false">IF($E118="","",IF($M118,IF(AND($G118&gt;=DZ$5,$G118&lt;DZ$5+GanttPeriod),"◆",IF(AND($E118&gt;=DZ$5,$E118&lt;DZ$5+GanttPeriod),"◇","")),IF(AND(DZ$5&lt;=$F118,DZ$5+GanttPeriod-1&gt;=$E118),"━","")))</f>
        <v/>
      </c>
      <c r="EA118" s="69" t="str">
        <f aca="false">IF($E118="","",IF($M118,IF(AND($G118&gt;=EA$5,$G118&lt;EA$5+GanttPeriod),"◆",IF(AND($E118&gt;=EA$5,$E118&lt;EA$5+GanttPeriod),"◇","")),IF(AND(EA$5&lt;=$F118,EA$5+GanttPeriod-1&gt;=$E118),"━","")))</f>
        <v/>
      </c>
      <c r="EB118" s="69" t="str">
        <f aca="false">IF($E118="","",IF($M118,IF(AND($G118&gt;=EB$5,$G118&lt;EB$5+GanttPeriod),"◆",IF(AND($E118&gt;=EB$5,$E118&lt;EB$5+GanttPeriod),"◇","")),IF(AND(EB$5&lt;=$F118,EB$5+GanttPeriod-1&gt;=$E118),"━","")))</f>
        <v/>
      </c>
      <c r="EC118" s="69" t="str">
        <f aca="false">IF($E118="","",IF($M118,IF(AND($G118&gt;=EC$5,$G118&lt;EC$5+GanttPeriod),"◆",IF(AND($E118&gt;=EC$5,$E118&lt;EC$5+GanttPeriod),"◇","")),IF(AND(EC$5&lt;=$F118,EC$5+GanttPeriod-1&gt;=$E118),"━","")))</f>
        <v/>
      </c>
      <c r="ED118" s="69" t="str">
        <f aca="false">IF($E118="","",IF($M118,IF(AND($G118&gt;=ED$5,$G118&lt;ED$5+GanttPeriod),"◆",IF(AND($E118&gt;=ED$5,$E118&lt;ED$5+GanttPeriod),"◇","")),IF(AND(ED$5&lt;=$F118,ED$5+GanttPeriod-1&gt;=$E118),"━","")))</f>
        <v/>
      </c>
      <c r="EE118" s="69" t="str">
        <f aca="false">IF($E118="","",IF($M118,IF(AND($G118&gt;=EE$5,$G118&lt;EE$5+GanttPeriod),"◆",IF(AND($E118&gt;=EE$5,$E118&lt;EE$5+GanttPeriod),"◇","")),IF(AND(EE$5&lt;=$F118,EE$5+GanttPeriod-1&gt;=$E118),"━","")))</f>
        <v/>
      </c>
      <c r="EF118" s="69" t="str">
        <f aca="false">IF($E118="","",IF($M118,IF(AND($G118&gt;=EF$5,$G118&lt;EF$5+GanttPeriod),"◆",IF(AND($E118&gt;=EF$5,$E118&lt;EF$5+GanttPeriod),"◇","")),IF(AND(EF$5&lt;=$F118,EF$5+GanttPeriod-1&gt;=$E118),"━","")))</f>
        <v/>
      </c>
      <c r="EG118" s="69" t="str">
        <f aca="false">IF($E118="","",IF($M118,IF(AND($G118&gt;=EG$5,$G118&lt;EG$5+GanttPeriod),"◆",IF(AND($E118&gt;=EG$5,$E118&lt;EG$5+GanttPeriod),"◇","")),IF(AND(EG$5&lt;=$F118,EG$5+GanttPeriod-1&gt;=$E118),"━","")))</f>
        <v/>
      </c>
      <c r="EH118" s="69" t="str">
        <f aca="false">IF($E118="","",IF($M118,IF(AND($G118&gt;=EH$5,$G118&lt;EH$5+GanttPeriod),"◆",IF(AND($E118&gt;=EH$5,$E118&lt;EH$5+GanttPeriod),"◇","")),IF(AND(EH$5&lt;=$F118,EH$5+GanttPeriod-1&gt;=$E118),"━","")))</f>
        <v/>
      </c>
      <c r="EI118" s="69" t="str">
        <f aca="false">IF($E118="","",IF($M118,IF(AND($G118&gt;=EI$5,$G118&lt;EI$5+GanttPeriod),"◆",IF(AND($E118&gt;=EI$5,$E118&lt;EI$5+GanttPeriod),"◇","")),IF(AND(EI$5&lt;=$F118,EI$5+GanttPeriod-1&gt;=$E118),"━","")))</f>
        <v/>
      </c>
      <c r="EJ118" s="69" t="str">
        <f aca="false">IF($E118="","",IF($M118,IF(AND($G118&gt;=EJ$5,$G118&lt;EJ$5+GanttPeriod),"◆",IF(AND($E118&gt;=EJ$5,$E118&lt;EJ$5+GanttPeriod),"◇","")),IF(AND(EJ$5&lt;=$F118,EJ$5+GanttPeriod-1&gt;=$E118),"━","")))</f>
        <v/>
      </c>
      <c r="EK118" s="69" t="str">
        <f aca="false">IF($E118="","",IF($M118,IF(AND($G118&gt;=EK$5,$G118&lt;EK$5+GanttPeriod),"◆",IF(AND($E118&gt;=EK$5,$E118&lt;EK$5+GanttPeriod),"◇","")),IF(AND(EK$5&lt;=$F118,EK$5+GanttPeriod-1&gt;=$E118),"━","")))</f>
        <v/>
      </c>
      <c r="EL118" s="69" t="str">
        <f aca="false">IF($E118="","",IF($M118,IF(AND($G118&gt;=EL$5,$G118&lt;EL$5+GanttPeriod),"◆",IF(AND($E118&gt;=EL$5,$E118&lt;EL$5+GanttPeriod),"◇","")),IF(AND(EL$5&lt;=$F118,EL$5+GanttPeriod-1&gt;=$E118),"━","")))</f>
        <v/>
      </c>
      <c r="EM118" s="69" t="str">
        <f aca="false">IF($E118="","",IF($M118,IF(AND($G118&gt;=EM$5,$G118&lt;EM$5+GanttPeriod),"◆",IF(AND($E118&gt;=EM$5,$E118&lt;EM$5+GanttPeriod),"◇","")),IF(AND(EM$5&lt;=$F118,EM$5+GanttPeriod-1&gt;=$E118),"━","")))</f>
        <v/>
      </c>
      <c r="EN118" s="69" t="str">
        <f aca="false">IF($E118="","",IF($M118,IF(AND($G118&gt;=EN$5,$G118&lt;EN$5+GanttPeriod),"◆",IF(AND($E118&gt;=EN$5,$E118&lt;EN$5+GanttPeriod),"◇","")),IF(AND(EN$5&lt;=$F118,EN$5+GanttPeriod-1&gt;=$E118),"━","")))</f>
        <v/>
      </c>
      <c r="EO118" s="69" t="str">
        <f aca="false">IF($E118="","",IF($M118,IF(AND($G118&gt;=EO$5,$G118&lt;EO$5+GanttPeriod),"◆",IF(AND($E118&gt;=EO$5,$E118&lt;EO$5+GanttPeriod),"◇","")),IF(AND(EO$5&lt;=$F118,EO$5+GanttPeriod-1&gt;=$E118),"━","")))</f>
        <v/>
      </c>
      <c r="EP118" s="69" t="str">
        <f aca="false">IF($E118="","",IF($M118,IF(AND($G118&gt;=EP$5,$G118&lt;EP$5+GanttPeriod),"◆",IF(AND($E118&gt;=EP$5,$E118&lt;EP$5+GanttPeriod),"◇","")),IF(AND(EP$5&lt;=$F118,EP$5+GanttPeriod-1&gt;=$E118),"━","")))</f>
        <v/>
      </c>
      <c r="EQ118" s="69" t="str">
        <f aca="false">IF($E118="","",IF($M118,IF(AND($G118&gt;=EQ$5,$G118&lt;EQ$5+GanttPeriod),"◆",IF(AND($E118&gt;=EQ$5,$E118&lt;EQ$5+GanttPeriod),"◇","")),IF(AND(EQ$5&lt;=$F118,EQ$5+GanttPeriod-1&gt;=$E118),"━","")))</f>
        <v/>
      </c>
      <c r="ER118" s="69" t="str">
        <f aca="false">IF($E118="","",IF($M118,IF(AND($G118&gt;=ER$5,$G118&lt;ER$5+GanttPeriod),"◆",IF(AND($E118&gt;=ER$5,$E118&lt;ER$5+GanttPeriod),"◇","")),IF(AND(ER$5&lt;=$F118,ER$5+GanttPeriod-1&gt;=$E118),"━","")))</f>
        <v/>
      </c>
      <c r="ES118" s="69" t="str">
        <f aca="false">IF($E118="","",IF($M118,IF(AND($G118&gt;=ES$5,$G118&lt;ES$5+GanttPeriod),"◆",IF(AND($E118&gt;=ES$5,$E118&lt;ES$5+GanttPeriod),"◇","")),IF(AND(ES$5&lt;=$F118,ES$5+GanttPeriod-1&gt;=$E118),"━","")))</f>
        <v/>
      </c>
      <c r="ET118" s="69" t="str">
        <f aca="false">IF($E118="","",IF($M118,IF(AND($G118&gt;=ET$5,$G118&lt;ET$5+GanttPeriod),"◆",IF(AND($E118&gt;=ET$5,$E118&lt;ET$5+GanttPeriod),"◇","")),IF(AND(ET$5&lt;=$F118,ET$5+GanttPeriod-1&gt;=$E118),"━","")))</f>
        <v/>
      </c>
      <c r="EU118" s="69" t="str">
        <f aca="false">IF($E118="","",IF($M118,IF(AND($G118&gt;=EU$5,$G118&lt;EU$5+GanttPeriod),"◆",IF(AND($E118&gt;=EU$5,$E118&lt;EU$5+GanttPeriod),"◇","")),IF(AND(EU$5&lt;=$F118,EU$5+GanttPeriod-1&gt;=$E118),"━","")))</f>
        <v/>
      </c>
      <c r="EV118" s="69" t="str">
        <f aca="false">IF($E118="","",IF($M118,IF(AND($G118&gt;=EV$5,$G118&lt;EV$5+GanttPeriod),"◆",IF(AND($E118&gt;=EV$5,$E118&lt;EV$5+GanttPeriod),"◇","")),IF(AND(EV$5&lt;=$F118,EV$5+GanttPeriod-1&gt;=$E118),"━","")))</f>
        <v/>
      </c>
      <c r="EW118" s="69" t="str">
        <f aca="false">IF($E118="","",IF($M118,IF(AND($G118&gt;=EW$5,$G118&lt;EW$5+GanttPeriod),"◆",IF(AND($E118&gt;=EW$5,$E118&lt;EW$5+GanttPeriod),"◇","")),IF(AND(EW$5&lt;=$F118,EW$5+GanttPeriod-1&gt;=$E118),"━","")))</f>
        <v/>
      </c>
      <c r="EX118" s="69" t="str">
        <f aca="false">IF($E118="","",IF($M118,IF(AND($G118&gt;=EX$5,$G118&lt;EX$5+GanttPeriod),"◆",IF(AND($E118&gt;=EX$5,$E118&lt;EX$5+GanttPeriod),"◇","")),IF(AND(EX$5&lt;=$F118,EX$5+GanttPeriod-1&gt;=$E118),"━","")))</f>
        <v/>
      </c>
      <c r="EY118" s="69" t="str">
        <f aca="false">IF($E118="","",IF($M118,IF(AND($G118&gt;=EY$5,$G118&lt;EY$5+GanttPeriod),"◆",IF(AND($E118&gt;=EY$5,$E118&lt;EY$5+GanttPeriod),"◇","")),IF(AND(EY$5&lt;=$F118,EY$5+GanttPeriod-1&gt;=$E118),"━","")))</f>
        <v/>
      </c>
      <c r="EZ118" s="69" t="str">
        <f aca="false">IF($E118="","",IF($M118,IF(AND($G118&gt;=EZ$5,$G118&lt;EZ$5+GanttPeriod),"◆",IF(AND($E118&gt;=EZ$5,$E118&lt;EZ$5+GanttPeriod),"◇","")),IF(AND(EZ$5&lt;=$F118,EZ$5+GanttPeriod-1&gt;=$E118),"━","")))</f>
        <v/>
      </c>
      <c r="FA118" s="69" t="str">
        <f aca="false">IF($E118="","",IF($M118,IF(AND($G118&gt;=FA$5,$G118&lt;FA$5+GanttPeriod),"◆",IF(AND($E118&gt;=FA$5,$E118&lt;FA$5+GanttPeriod),"◇","")),IF(AND(FA$5&lt;=$F118,FA$5+GanttPeriod-1&gt;=$E118),"━","")))</f>
        <v/>
      </c>
      <c r="FB118" s="69" t="str">
        <f aca="false">IF($E118="","",IF($M118,IF(AND($G118&gt;=FB$5,$G118&lt;FB$5+GanttPeriod),"◆",IF(AND($E118&gt;=FB$5,$E118&lt;FB$5+GanttPeriod),"◇","")),IF(AND(FB$5&lt;=$F118,FB$5+GanttPeriod-1&gt;=$E118),"━","")))</f>
        <v/>
      </c>
      <c r="FC118" s="69" t="str">
        <f aca="false">IF($E118="","",IF($M118,IF(AND($G118&gt;=FC$5,$G118&lt;FC$5+GanttPeriod),"◆",IF(AND($E118&gt;=FC$5,$E118&lt;FC$5+GanttPeriod),"◇","")),IF(AND(FC$5&lt;=$F118,FC$5+GanttPeriod-1&gt;=$E118),"━","")))</f>
        <v/>
      </c>
      <c r="FD118" s="69" t="str">
        <f aca="false">IF($E118="","",IF($M118,IF(AND($G118&gt;=FD$5,$G118&lt;FD$5+GanttPeriod),"◆",IF(AND($E118&gt;=FD$5,$E118&lt;FD$5+GanttPeriod),"◇","")),IF(AND(FD$5&lt;=$F118,FD$5+GanttPeriod-1&gt;=$E118),"━","")))</f>
        <v/>
      </c>
      <c r="FE118" s="69" t="str">
        <f aca="false">IF($E118="","",IF($M118,IF(AND($G118&gt;=FE$5,$G118&lt;FE$5+GanttPeriod),"◆",IF(AND($E118&gt;=FE$5,$E118&lt;FE$5+GanttPeriod),"◇","")),IF(AND(FE$5&lt;=$F118,FE$5+GanttPeriod-1&gt;=$E118),"━","")))</f>
        <v/>
      </c>
      <c r="FF118" s="69" t="str">
        <f aca="false">IF($E118="","",IF($M118,IF(AND($G118&gt;=FF$5,$G118&lt;FF$5+GanttPeriod),"◆",IF(AND($E118&gt;=FF$5,$E118&lt;FF$5+GanttPeriod),"◇","")),IF(AND(FF$5&lt;=$F118,FF$5+GanttPeriod-1&gt;=$E118),"━","")))</f>
        <v/>
      </c>
      <c r="FG118" s="69" t="str">
        <f aca="false">IF($E118="","",IF($M118,IF(AND($G118&gt;=FG$5,$G118&lt;FG$5+GanttPeriod),"◆",IF(AND($E118&gt;=FG$5,$E118&lt;FG$5+GanttPeriod),"◇","")),IF(AND(FG$5&lt;=$F118,FG$5+GanttPeriod-1&gt;=$E118),"━","")))</f>
        <v/>
      </c>
      <c r="FH118" s="69" t="str">
        <f aca="false">IF($E118="","",IF($M118,IF(AND($G118&gt;=FH$5,$G118&lt;FH$5+GanttPeriod),"◆",IF(AND($E118&gt;=FH$5,$E118&lt;FH$5+GanttPeriod),"◇","")),IF(AND(FH$5&lt;=$F118,FH$5+GanttPeriod-1&gt;=$E118),"━","")))</f>
        <v/>
      </c>
      <c r="FI118" s="69" t="str">
        <f aca="false">IF($E118="","",IF($M118,IF(AND($G118&gt;=FI$5,$G118&lt;FI$5+GanttPeriod),"◆",IF(AND($E118&gt;=FI$5,$E118&lt;FI$5+GanttPeriod),"◇","")),IF(AND(FI$5&lt;=$F118,FI$5+GanttPeriod-1&gt;=$E118),"━","")))</f>
        <v/>
      </c>
      <c r="FJ118" s="69" t="str">
        <f aca="false">IF($E118="","",IF($M118,IF(AND($G118&gt;=FJ$5,$G118&lt;FJ$5+GanttPeriod),"◆",IF(AND($E118&gt;=FJ$5,$E118&lt;FJ$5+GanttPeriod),"◇","")),IF(AND(FJ$5&lt;=$F118,FJ$5+GanttPeriod-1&gt;=$E118),"━","")))</f>
        <v/>
      </c>
      <c r="FK118" s="69" t="str">
        <f aca="false">IF($E118="","",IF($M118,IF(AND($G118&gt;=FK$5,$G118&lt;FK$5+GanttPeriod),"◆",IF(AND($E118&gt;=FK$5,$E118&lt;FK$5+GanttPeriod),"◇","")),IF(AND(FK$5&lt;=$F118,FK$5+GanttPeriod-1&gt;=$E118),"━","")))</f>
        <v/>
      </c>
      <c r="FL118" s="69" t="str">
        <f aca="false">IF($E118="","",IF($M118,IF(AND($G118&gt;=FL$5,$G118&lt;FL$5+GanttPeriod),"◆",IF(AND($E118&gt;=FL$5,$E118&lt;FL$5+GanttPeriod),"◇","")),IF(AND(FL$5&lt;=$F118,FL$5+GanttPeriod-1&gt;=$E118),"━","")))</f>
        <v/>
      </c>
      <c r="FM118" s="69" t="str">
        <f aca="false">IF($E118="","",IF($M118,IF(AND($G118&gt;=FM$5,$G118&lt;FM$5+GanttPeriod),"◆",IF(AND($E118&gt;=FM$5,$E118&lt;FM$5+GanttPeriod),"◇","")),IF(AND(FM$5&lt;=$F118,FM$5+GanttPeriod-1&gt;=$E118),"━","")))</f>
        <v/>
      </c>
    </row>
    <row r="119" customFormat="false" ht="15" hidden="false" customHeight="false" outlineLevel="0" collapsed="false">
      <c r="A119" s="62" t="str">
        <f aca="false">IF(Tasks!$D119="","",Tasks!$A119)</f>
        <v/>
      </c>
      <c r="B119" s="62" t="str">
        <f aca="false">IF(Tasks!$D119="","",Tasks!$B119)</f>
        <v/>
      </c>
      <c r="C119" s="63" t="str">
        <f aca="false">IF(Tasks!$D119="","",REPT("    ",Tasks!$AE119-1)&amp;Tasks!$D119)</f>
        <v/>
      </c>
      <c r="D119" s="62" t="str">
        <f aca="false">IF(Tasks!$D119="","",IF(Tasks!$AI119,NETWORKDAYS.INTL(Tasks!$R119,Tasks!$S119,WorkWeek,Holidays),N(Tasks!$F119)))</f>
        <v/>
      </c>
      <c r="E119" s="64" t="str">
        <f aca="false">IF(Tasks!$D119="","",Tasks!$N119)</f>
        <v/>
      </c>
      <c r="F119" s="64" t="str">
        <f aca="false">IF(Tasks!$D119="","",Tasks!$O119)</f>
        <v/>
      </c>
      <c r="G119" s="64" t="str">
        <f aca="false">IF(Tasks!$D119="","",Tasks!$R119)</f>
        <v/>
      </c>
      <c r="H119" s="64" t="str">
        <f aca="false">IF(Tasks!$D119="","",Tasks!$S119)</f>
        <v/>
      </c>
      <c r="I119" s="65" t="str">
        <f aca="false">IF(Tasks!$D119="","",Tasks!$V119)</f>
        <v/>
      </c>
      <c r="J119" s="63" t="str">
        <f aca="false">IF(Tasks!$D119="","",Tasks!$X119&amp;"")</f>
        <v/>
      </c>
      <c r="K119" s="66" t="str">
        <f aca="false">IF(Tasks!$D119="","",Tasks!$W119)</f>
        <v/>
      </c>
      <c r="L119" s="67" t="b">
        <f aca="false">IF(Tasks!$D119="",FALSE(),Tasks!$AI119)</f>
        <v>0</v>
      </c>
      <c r="M119" s="67" t="b">
        <f aca="false">AND(Tasks!$AJ119=1,N(Tasks!$F119)=0)</f>
        <v>0</v>
      </c>
      <c r="N119" s="68" t="n">
        <f aca="false">IF(AND(Tasks!$AJ119=1,NOT($M119),N($I119)&gt;0),$G119,0)</f>
        <v>0</v>
      </c>
      <c r="O119" s="68" t="n">
        <f aca="false">IF($N119=0,0,IF($I119&gt;=1,$H119,MAX($N119,$G119+ROUND(($H119-$G119+1)*$I119,0)-1)))</f>
        <v>0</v>
      </c>
      <c r="P119" s="68" t="n">
        <f aca="false">IF(OR(Tasks!$AJ119&lt;&gt;1,$M119,N($I119)&gt;=1),0,IF($O119&gt;0,$O119+1,$G119))</f>
        <v>0</v>
      </c>
      <c r="Q119" s="68" t="n">
        <f aca="false">IF($P119=0,0,$H119)</f>
        <v>0</v>
      </c>
      <c r="R119" s="67" t="b">
        <f aca="false">AND(Tasks!$D119&lt;&gt;"",N(Tasks!$T119)&gt;0)</f>
        <v>0</v>
      </c>
      <c r="T119" s="69" t="str">
        <f aca="false">IF($E119="","",IF($M119,IF(AND($G119&gt;=T$5,$G119&lt;T$5+GanttPeriod),"◆",IF(AND($E119&gt;=T$5,$E119&lt;T$5+GanttPeriod),"◇","")),IF(AND(T$5&lt;=$F119,T$5+GanttPeriod-1&gt;=$E119),"━","")))</f>
        <v/>
      </c>
      <c r="U119" s="69" t="str">
        <f aca="false">IF($E119="","",IF($M119,IF(AND($G119&gt;=U$5,$G119&lt;U$5+GanttPeriod),"◆",IF(AND($E119&gt;=U$5,$E119&lt;U$5+GanttPeriod),"◇","")),IF(AND(U$5&lt;=$F119,U$5+GanttPeriod-1&gt;=$E119),"━","")))</f>
        <v/>
      </c>
      <c r="V119" s="69" t="str">
        <f aca="false">IF($E119="","",IF($M119,IF(AND($G119&gt;=V$5,$G119&lt;V$5+GanttPeriod),"◆",IF(AND($E119&gt;=V$5,$E119&lt;V$5+GanttPeriod),"◇","")),IF(AND(V$5&lt;=$F119,V$5+GanttPeriod-1&gt;=$E119),"━","")))</f>
        <v/>
      </c>
      <c r="W119" s="69" t="str">
        <f aca="false">IF($E119="","",IF($M119,IF(AND($G119&gt;=W$5,$G119&lt;W$5+GanttPeriod),"◆",IF(AND($E119&gt;=W$5,$E119&lt;W$5+GanttPeriod),"◇","")),IF(AND(W$5&lt;=$F119,W$5+GanttPeriod-1&gt;=$E119),"━","")))</f>
        <v/>
      </c>
      <c r="X119" s="69" t="str">
        <f aca="false">IF($E119="","",IF($M119,IF(AND($G119&gt;=X$5,$G119&lt;X$5+GanttPeriod),"◆",IF(AND($E119&gt;=X$5,$E119&lt;X$5+GanttPeriod),"◇","")),IF(AND(X$5&lt;=$F119,X$5+GanttPeriod-1&gt;=$E119),"━","")))</f>
        <v/>
      </c>
      <c r="Y119" s="69" t="str">
        <f aca="false">IF($E119="","",IF($M119,IF(AND($G119&gt;=Y$5,$G119&lt;Y$5+GanttPeriod),"◆",IF(AND($E119&gt;=Y$5,$E119&lt;Y$5+GanttPeriod),"◇","")),IF(AND(Y$5&lt;=$F119,Y$5+GanttPeriod-1&gt;=$E119),"━","")))</f>
        <v/>
      </c>
      <c r="Z119" s="69" t="str">
        <f aca="false">IF($E119="","",IF($M119,IF(AND($G119&gt;=Z$5,$G119&lt;Z$5+GanttPeriod),"◆",IF(AND($E119&gt;=Z$5,$E119&lt;Z$5+GanttPeriod),"◇","")),IF(AND(Z$5&lt;=$F119,Z$5+GanttPeriod-1&gt;=$E119),"━","")))</f>
        <v/>
      </c>
      <c r="AA119" s="69" t="str">
        <f aca="false">IF($E119="","",IF($M119,IF(AND($G119&gt;=AA$5,$G119&lt;AA$5+GanttPeriod),"◆",IF(AND($E119&gt;=AA$5,$E119&lt;AA$5+GanttPeriod),"◇","")),IF(AND(AA$5&lt;=$F119,AA$5+GanttPeriod-1&gt;=$E119),"━","")))</f>
        <v/>
      </c>
      <c r="AB119" s="69" t="str">
        <f aca="false">IF($E119="","",IF($M119,IF(AND($G119&gt;=AB$5,$G119&lt;AB$5+GanttPeriod),"◆",IF(AND($E119&gt;=AB$5,$E119&lt;AB$5+GanttPeriod),"◇","")),IF(AND(AB$5&lt;=$F119,AB$5+GanttPeriod-1&gt;=$E119),"━","")))</f>
        <v/>
      </c>
      <c r="AC119" s="69" t="str">
        <f aca="false">IF($E119="","",IF($M119,IF(AND($G119&gt;=AC$5,$G119&lt;AC$5+GanttPeriod),"◆",IF(AND($E119&gt;=AC$5,$E119&lt;AC$5+GanttPeriod),"◇","")),IF(AND(AC$5&lt;=$F119,AC$5+GanttPeriod-1&gt;=$E119),"━","")))</f>
        <v/>
      </c>
      <c r="AD119" s="69" t="str">
        <f aca="false">IF($E119="","",IF($M119,IF(AND($G119&gt;=AD$5,$G119&lt;AD$5+GanttPeriod),"◆",IF(AND($E119&gt;=AD$5,$E119&lt;AD$5+GanttPeriod),"◇","")),IF(AND(AD$5&lt;=$F119,AD$5+GanttPeriod-1&gt;=$E119),"━","")))</f>
        <v/>
      </c>
      <c r="AE119" s="69" t="str">
        <f aca="false">IF($E119="","",IF($M119,IF(AND($G119&gt;=AE$5,$G119&lt;AE$5+GanttPeriod),"◆",IF(AND($E119&gt;=AE$5,$E119&lt;AE$5+GanttPeriod),"◇","")),IF(AND(AE$5&lt;=$F119,AE$5+GanttPeriod-1&gt;=$E119),"━","")))</f>
        <v/>
      </c>
      <c r="AF119" s="69" t="str">
        <f aca="false">IF($E119="","",IF($M119,IF(AND($G119&gt;=AF$5,$G119&lt;AF$5+GanttPeriod),"◆",IF(AND($E119&gt;=AF$5,$E119&lt;AF$5+GanttPeriod),"◇","")),IF(AND(AF$5&lt;=$F119,AF$5+GanttPeriod-1&gt;=$E119),"━","")))</f>
        <v/>
      </c>
      <c r="AG119" s="69" t="str">
        <f aca="false">IF($E119="","",IF($M119,IF(AND($G119&gt;=AG$5,$G119&lt;AG$5+GanttPeriod),"◆",IF(AND($E119&gt;=AG$5,$E119&lt;AG$5+GanttPeriod),"◇","")),IF(AND(AG$5&lt;=$F119,AG$5+GanttPeriod-1&gt;=$E119),"━","")))</f>
        <v/>
      </c>
      <c r="AH119" s="69" t="str">
        <f aca="false">IF($E119="","",IF($M119,IF(AND($G119&gt;=AH$5,$G119&lt;AH$5+GanttPeriod),"◆",IF(AND($E119&gt;=AH$5,$E119&lt;AH$5+GanttPeriod),"◇","")),IF(AND(AH$5&lt;=$F119,AH$5+GanttPeriod-1&gt;=$E119),"━","")))</f>
        <v/>
      </c>
      <c r="AI119" s="69" t="str">
        <f aca="false">IF($E119="","",IF($M119,IF(AND($G119&gt;=AI$5,$G119&lt;AI$5+GanttPeriod),"◆",IF(AND($E119&gt;=AI$5,$E119&lt;AI$5+GanttPeriod),"◇","")),IF(AND(AI$5&lt;=$F119,AI$5+GanttPeriod-1&gt;=$E119),"━","")))</f>
        <v/>
      </c>
      <c r="AJ119" s="69" t="str">
        <f aca="false">IF($E119="","",IF($M119,IF(AND($G119&gt;=AJ$5,$G119&lt;AJ$5+GanttPeriod),"◆",IF(AND($E119&gt;=AJ$5,$E119&lt;AJ$5+GanttPeriod),"◇","")),IF(AND(AJ$5&lt;=$F119,AJ$5+GanttPeriod-1&gt;=$E119),"━","")))</f>
        <v/>
      </c>
      <c r="AK119" s="69" t="str">
        <f aca="false">IF($E119="","",IF($M119,IF(AND($G119&gt;=AK$5,$G119&lt;AK$5+GanttPeriod),"◆",IF(AND($E119&gt;=AK$5,$E119&lt;AK$5+GanttPeriod),"◇","")),IF(AND(AK$5&lt;=$F119,AK$5+GanttPeriod-1&gt;=$E119),"━","")))</f>
        <v/>
      </c>
      <c r="AL119" s="69" t="str">
        <f aca="false">IF($E119="","",IF($M119,IF(AND($G119&gt;=AL$5,$G119&lt;AL$5+GanttPeriod),"◆",IF(AND($E119&gt;=AL$5,$E119&lt;AL$5+GanttPeriod),"◇","")),IF(AND(AL$5&lt;=$F119,AL$5+GanttPeriod-1&gt;=$E119),"━","")))</f>
        <v/>
      </c>
      <c r="AM119" s="69" t="str">
        <f aca="false">IF($E119="","",IF($M119,IF(AND($G119&gt;=AM$5,$G119&lt;AM$5+GanttPeriod),"◆",IF(AND($E119&gt;=AM$5,$E119&lt;AM$5+GanttPeriod),"◇","")),IF(AND(AM$5&lt;=$F119,AM$5+GanttPeriod-1&gt;=$E119),"━","")))</f>
        <v/>
      </c>
      <c r="AN119" s="69" t="str">
        <f aca="false">IF($E119="","",IF($M119,IF(AND($G119&gt;=AN$5,$G119&lt;AN$5+GanttPeriod),"◆",IF(AND($E119&gt;=AN$5,$E119&lt;AN$5+GanttPeriod),"◇","")),IF(AND(AN$5&lt;=$F119,AN$5+GanttPeriod-1&gt;=$E119),"━","")))</f>
        <v/>
      </c>
      <c r="AO119" s="69" t="str">
        <f aca="false">IF($E119="","",IF($M119,IF(AND($G119&gt;=AO$5,$G119&lt;AO$5+GanttPeriod),"◆",IF(AND($E119&gt;=AO$5,$E119&lt;AO$5+GanttPeriod),"◇","")),IF(AND(AO$5&lt;=$F119,AO$5+GanttPeriod-1&gt;=$E119),"━","")))</f>
        <v/>
      </c>
      <c r="AP119" s="69" t="str">
        <f aca="false">IF($E119="","",IF($M119,IF(AND($G119&gt;=AP$5,$G119&lt;AP$5+GanttPeriod),"◆",IF(AND($E119&gt;=AP$5,$E119&lt;AP$5+GanttPeriod),"◇","")),IF(AND(AP$5&lt;=$F119,AP$5+GanttPeriod-1&gt;=$E119),"━","")))</f>
        <v/>
      </c>
      <c r="AQ119" s="69" t="str">
        <f aca="false">IF($E119="","",IF($M119,IF(AND($G119&gt;=AQ$5,$G119&lt;AQ$5+GanttPeriod),"◆",IF(AND($E119&gt;=AQ$5,$E119&lt;AQ$5+GanttPeriod),"◇","")),IF(AND(AQ$5&lt;=$F119,AQ$5+GanttPeriod-1&gt;=$E119),"━","")))</f>
        <v/>
      </c>
      <c r="AR119" s="69" t="str">
        <f aca="false">IF($E119="","",IF($M119,IF(AND($G119&gt;=AR$5,$G119&lt;AR$5+GanttPeriod),"◆",IF(AND($E119&gt;=AR$5,$E119&lt;AR$5+GanttPeriod),"◇","")),IF(AND(AR$5&lt;=$F119,AR$5+GanttPeriod-1&gt;=$E119),"━","")))</f>
        <v/>
      </c>
      <c r="AS119" s="69" t="str">
        <f aca="false">IF($E119="","",IF($M119,IF(AND($G119&gt;=AS$5,$G119&lt;AS$5+GanttPeriod),"◆",IF(AND($E119&gt;=AS$5,$E119&lt;AS$5+GanttPeriod),"◇","")),IF(AND(AS$5&lt;=$F119,AS$5+GanttPeriod-1&gt;=$E119),"━","")))</f>
        <v/>
      </c>
      <c r="AT119" s="69" t="str">
        <f aca="false">IF($E119="","",IF($M119,IF(AND($G119&gt;=AT$5,$G119&lt;AT$5+GanttPeriod),"◆",IF(AND($E119&gt;=AT$5,$E119&lt;AT$5+GanttPeriod),"◇","")),IF(AND(AT$5&lt;=$F119,AT$5+GanttPeriod-1&gt;=$E119),"━","")))</f>
        <v/>
      </c>
      <c r="AU119" s="69" t="str">
        <f aca="false">IF($E119="","",IF($M119,IF(AND($G119&gt;=AU$5,$G119&lt;AU$5+GanttPeriod),"◆",IF(AND($E119&gt;=AU$5,$E119&lt;AU$5+GanttPeriod),"◇","")),IF(AND(AU$5&lt;=$F119,AU$5+GanttPeriod-1&gt;=$E119),"━","")))</f>
        <v/>
      </c>
      <c r="AV119" s="69" t="str">
        <f aca="false">IF($E119="","",IF($M119,IF(AND($G119&gt;=AV$5,$G119&lt;AV$5+GanttPeriod),"◆",IF(AND($E119&gt;=AV$5,$E119&lt;AV$5+GanttPeriod),"◇","")),IF(AND(AV$5&lt;=$F119,AV$5+GanttPeriod-1&gt;=$E119),"━","")))</f>
        <v/>
      </c>
      <c r="AW119" s="69" t="str">
        <f aca="false">IF($E119="","",IF($M119,IF(AND($G119&gt;=AW$5,$G119&lt;AW$5+GanttPeriod),"◆",IF(AND($E119&gt;=AW$5,$E119&lt;AW$5+GanttPeriod),"◇","")),IF(AND(AW$5&lt;=$F119,AW$5+GanttPeriod-1&gt;=$E119),"━","")))</f>
        <v/>
      </c>
      <c r="AX119" s="69" t="str">
        <f aca="false">IF($E119="","",IF($M119,IF(AND($G119&gt;=AX$5,$G119&lt;AX$5+GanttPeriod),"◆",IF(AND($E119&gt;=AX$5,$E119&lt;AX$5+GanttPeriod),"◇","")),IF(AND(AX$5&lt;=$F119,AX$5+GanttPeriod-1&gt;=$E119),"━","")))</f>
        <v/>
      </c>
      <c r="AY119" s="69" t="str">
        <f aca="false">IF($E119="","",IF($M119,IF(AND($G119&gt;=AY$5,$G119&lt;AY$5+GanttPeriod),"◆",IF(AND($E119&gt;=AY$5,$E119&lt;AY$5+GanttPeriod),"◇","")),IF(AND(AY$5&lt;=$F119,AY$5+GanttPeriod-1&gt;=$E119),"━","")))</f>
        <v/>
      </c>
      <c r="AZ119" s="69" t="str">
        <f aca="false">IF($E119="","",IF($M119,IF(AND($G119&gt;=AZ$5,$G119&lt;AZ$5+GanttPeriod),"◆",IF(AND($E119&gt;=AZ$5,$E119&lt;AZ$5+GanttPeriod),"◇","")),IF(AND(AZ$5&lt;=$F119,AZ$5+GanttPeriod-1&gt;=$E119),"━","")))</f>
        <v/>
      </c>
      <c r="BA119" s="69" t="str">
        <f aca="false">IF($E119="","",IF($M119,IF(AND($G119&gt;=BA$5,$G119&lt;BA$5+GanttPeriod),"◆",IF(AND($E119&gt;=BA$5,$E119&lt;BA$5+GanttPeriod),"◇","")),IF(AND(BA$5&lt;=$F119,BA$5+GanttPeriod-1&gt;=$E119),"━","")))</f>
        <v/>
      </c>
      <c r="BB119" s="69" t="str">
        <f aca="false">IF($E119="","",IF($M119,IF(AND($G119&gt;=BB$5,$G119&lt;BB$5+GanttPeriod),"◆",IF(AND($E119&gt;=BB$5,$E119&lt;BB$5+GanttPeriod),"◇","")),IF(AND(BB$5&lt;=$F119,BB$5+GanttPeriod-1&gt;=$E119),"━","")))</f>
        <v/>
      </c>
      <c r="BC119" s="69" t="str">
        <f aca="false">IF($E119="","",IF($M119,IF(AND($G119&gt;=BC$5,$G119&lt;BC$5+GanttPeriod),"◆",IF(AND($E119&gt;=BC$5,$E119&lt;BC$5+GanttPeriod),"◇","")),IF(AND(BC$5&lt;=$F119,BC$5+GanttPeriod-1&gt;=$E119),"━","")))</f>
        <v/>
      </c>
      <c r="BD119" s="69" t="str">
        <f aca="false">IF($E119="","",IF($M119,IF(AND($G119&gt;=BD$5,$G119&lt;BD$5+GanttPeriod),"◆",IF(AND($E119&gt;=BD$5,$E119&lt;BD$5+GanttPeriod),"◇","")),IF(AND(BD$5&lt;=$F119,BD$5+GanttPeriod-1&gt;=$E119),"━","")))</f>
        <v/>
      </c>
      <c r="BE119" s="69" t="str">
        <f aca="false">IF($E119="","",IF($M119,IF(AND($G119&gt;=BE$5,$G119&lt;BE$5+GanttPeriod),"◆",IF(AND($E119&gt;=BE$5,$E119&lt;BE$5+GanttPeriod),"◇","")),IF(AND(BE$5&lt;=$F119,BE$5+GanttPeriod-1&gt;=$E119),"━","")))</f>
        <v/>
      </c>
      <c r="BF119" s="69" t="str">
        <f aca="false">IF($E119="","",IF($M119,IF(AND($G119&gt;=BF$5,$G119&lt;BF$5+GanttPeriod),"◆",IF(AND($E119&gt;=BF$5,$E119&lt;BF$5+GanttPeriod),"◇","")),IF(AND(BF$5&lt;=$F119,BF$5+GanttPeriod-1&gt;=$E119),"━","")))</f>
        <v/>
      </c>
      <c r="BG119" s="69" t="str">
        <f aca="false">IF($E119="","",IF($M119,IF(AND($G119&gt;=BG$5,$G119&lt;BG$5+GanttPeriod),"◆",IF(AND($E119&gt;=BG$5,$E119&lt;BG$5+GanttPeriod),"◇","")),IF(AND(BG$5&lt;=$F119,BG$5+GanttPeriod-1&gt;=$E119),"━","")))</f>
        <v/>
      </c>
      <c r="BH119" s="69" t="str">
        <f aca="false">IF($E119="","",IF($M119,IF(AND($G119&gt;=BH$5,$G119&lt;BH$5+GanttPeriod),"◆",IF(AND($E119&gt;=BH$5,$E119&lt;BH$5+GanttPeriod),"◇","")),IF(AND(BH$5&lt;=$F119,BH$5+GanttPeriod-1&gt;=$E119),"━","")))</f>
        <v/>
      </c>
      <c r="BI119" s="69" t="str">
        <f aca="false">IF($E119="","",IF($M119,IF(AND($G119&gt;=BI$5,$G119&lt;BI$5+GanttPeriod),"◆",IF(AND($E119&gt;=BI$5,$E119&lt;BI$5+GanttPeriod),"◇","")),IF(AND(BI$5&lt;=$F119,BI$5+GanttPeriod-1&gt;=$E119),"━","")))</f>
        <v/>
      </c>
      <c r="BJ119" s="69" t="str">
        <f aca="false">IF($E119="","",IF($M119,IF(AND($G119&gt;=BJ$5,$G119&lt;BJ$5+GanttPeriod),"◆",IF(AND($E119&gt;=BJ$5,$E119&lt;BJ$5+GanttPeriod),"◇","")),IF(AND(BJ$5&lt;=$F119,BJ$5+GanttPeriod-1&gt;=$E119),"━","")))</f>
        <v/>
      </c>
      <c r="BK119" s="69" t="str">
        <f aca="false">IF($E119="","",IF($M119,IF(AND($G119&gt;=BK$5,$G119&lt;BK$5+GanttPeriod),"◆",IF(AND($E119&gt;=BK$5,$E119&lt;BK$5+GanttPeriod),"◇","")),IF(AND(BK$5&lt;=$F119,BK$5+GanttPeriod-1&gt;=$E119),"━","")))</f>
        <v/>
      </c>
      <c r="BL119" s="69" t="str">
        <f aca="false">IF($E119="","",IF($M119,IF(AND($G119&gt;=BL$5,$G119&lt;BL$5+GanttPeriod),"◆",IF(AND($E119&gt;=BL$5,$E119&lt;BL$5+GanttPeriod),"◇","")),IF(AND(BL$5&lt;=$F119,BL$5+GanttPeriod-1&gt;=$E119),"━","")))</f>
        <v/>
      </c>
      <c r="BM119" s="69" t="str">
        <f aca="false">IF($E119="","",IF($M119,IF(AND($G119&gt;=BM$5,$G119&lt;BM$5+GanttPeriod),"◆",IF(AND($E119&gt;=BM$5,$E119&lt;BM$5+GanttPeriod),"◇","")),IF(AND(BM$5&lt;=$F119,BM$5+GanttPeriod-1&gt;=$E119),"━","")))</f>
        <v/>
      </c>
      <c r="BN119" s="69" t="str">
        <f aca="false">IF($E119="","",IF($M119,IF(AND($G119&gt;=BN$5,$G119&lt;BN$5+GanttPeriod),"◆",IF(AND($E119&gt;=BN$5,$E119&lt;BN$5+GanttPeriod),"◇","")),IF(AND(BN$5&lt;=$F119,BN$5+GanttPeriod-1&gt;=$E119),"━","")))</f>
        <v/>
      </c>
      <c r="BO119" s="69" t="str">
        <f aca="false">IF($E119="","",IF($M119,IF(AND($G119&gt;=BO$5,$G119&lt;BO$5+GanttPeriod),"◆",IF(AND($E119&gt;=BO$5,$E119&lt;BO$5+GanttPeriod),"◇","")),IF(AND(BO$5&lt;=$F119,BO$5+GanttPeriod-1&gt;=$E119),"━","")))</f>
        <v/>
      </c>
      <c r="BP119" s="69" t="str">
        <f aca="false">IF($E119="","",IF($M119,IF(AND($G119&gt;=BP$5,$G119&lt;BP$5+GanttPeriod),"◆",IF(AND($E119&gt;=BP$5,$E119&lt;BP$5+GanttPeriod),"◇","")),IF(AND(BP$5&lt;=$F119,BP$5+GanttPeriod-1&gt;=$E119),"━","")))</f>
        <v/>
      </c>
      <c r="BQ119" s="69" t="str">
        <f aca="false">IF($E119="","",IF($M119,IF(AND($G119&gt;=BQ$5,$G119&lt;BQ$5+GanttPeriod),"◆",IF(AND($E119&gt;=BQ$5,$E119&lt;BQ$5+GanttPeriod),"◇","")),IF(AND(BQ$5&lt;=$F119,BQ$5+GanttPeriod-1&gt;=$E119),"━","")))</f>
        <v/>
      </c>
      <c r="BR119" s="69" t="str">
        <f aca="false">IF($E119="","",IF($M119,IF(AND($G119&gt;=BR$5,$G119&lt;BR$5+GanttPeriod),"◆",IF(AND($E119&gt;=BR$5,$E119&lt;BR$5+GanttPeriod),"◇","")),IF(AND(BR$5&lt;=$F119,BR$5+GanttPeriod-1&gt;=$E119),"━","")))</f>
        <v/>
      </c>
      <c r="BS119" s="69" t="str">
        <f aca="false">IF($E119="","",IF($M119,IF(AND($G119&gt;=BS$5,$G119&lt;BS$5+GanttPeriod),"◆",IF(AND($E119&gt;=BS$5,$E119&lt;BS$5+GanttPeriod),"◇","")),IF(AND(BS$5&lt;=$F119,BS$5+GanttPeriod-1&gt;=$E119),"━","")))</f>
        <v/>
      </c>
      <c r="BT119" s="69" t="str">
        <f aca="false">IF($E119="","",IF($M119,IF(AND($G119&gt;=BT$5,$G119&lt;BT$5+GanttPeriod),"◆",IF(AND($E119&gt;=BT$5,$E119&lt;BT$5+GanttPeriod),"◇","")),IF(AND(BT$5&lt;=$F119,BT$5+GanttPeriod-1&gt;=$E119),"━","")))</f>
        <v/>
      </c>
      <c r="BU119" s="69" t="str">
        <f aca="false">IF($E119="","",IF($M119,IF(AND($G119&gt;=BU$5,$G119&lt;BU$5+GanttPeriod),"◆",IF(AND($E119&gt;=BU$5,$E119&lt;BU$5+GanttPeriod),"◇","")),IF(AND(BU$5&lt;=$F119,BU$5+GanttPeriod-1&gt;=$E119),"━","")))</f>
        <v/>
      </c>
      <c r="BV119" s="69" t="str">
        <f aca="false">IF($E119="","",IF($M119,IF(AND($G119&gt;=BV$5,$G119&lt;BV$5+GanttPeriod),"◆",IF(AND($E119&gt;=BV$5,$E119&lt;BV$5+GanttPeriod),"◇","")),IF(AND(BV$5&lt;=$F119,BV$5+GanttPeriod-1&gt;=$E119),"━","")))</f>
        <v/>
      </c>
      <c r="BW119" s="69" t="str">
        <f aca="false">IF($E119="","",IF($M119,IF(AND($G119&gt;=BW$5,$G119&lt;BW$5+GanttPeriod),"◆",IF(AND($E119&gt;=BW$5,$E119&lt;BW$5+GanttPeriod),"◇","")),IF(AND(BW$5&lt;=$F119,BW$5+GanttPeriod-1&gt;=$E119),"━","")))</f>
        <v/>
      </c>
      <c r="BX119" s="69" t="str">
        <f aca="false">IF($E119="","",IF($M119,IF(AND($G119&gt;=BX$5,$G119&lt;BX$5+GanttPeriod),"◆",IF(AND($E119&gt;=BX$5,$E119&lt;BX$5+GanttPeriod),"◇","")),IF(AND(BX$5&lt;=$F119,BX$5+GanttPeriod-1&gt;=$E119),"━","")))</f>
        <v/>
      </c>
      <c r="BY119" s="69" t="str">
        <f aca="false">IF($E119="","",IF($M119,IF(AND($G119&gt;=BY$5,$G119&lt;BY$5+GanttPeriod),"◆",IF(AND($E119&gt;=BY$5,$E119&lt;BY$5+GanttPeriod),"◇","")),IF(AND(BY$5&lt;=$F119,BY$5+GanttPeriod-1&gt;=$E119),"━","")))</f>
        <v/>
      </c>
      <c r="BZ119" s="69" t="str">
        <f aca="false">IF($E119="","",IF($M119,IF(AND($G119&gt;=BZ$5,$G119&lt;BZ$5+GanttPeriod),"◆",IF(AND($E119&gt;=BZ$5,$E119&lt;BZ$5+GanttPeriod),"◇","")),IF(AND(BZ$5&lt;=$F119,BZ$5+GanttPeriod-1&gt;=$E119),"━","")))</f>
        <v/>
      </c>
      <c r="CA119" s="69" t="str">
        <f aca="false">IF($E119="","",IF($M119,IF(AND($G119&gt;=CA$5,$G119&lt;CA$5+GanttPeriod),"◆",IF(AND($E119&gt;=CA$5,$E119&lt;CA$5+GanttPeriod),"◇","")),IF(AND(CA$5&lt;=$F119,CA$5+GanttPeriod-1&gt;=$E119),"━","")))</f>
        <v/>
      </c>
      <c r="CB119" s="69" t="str">
        <f aca="false">IF($E119="","",IF($M119,IF(AND($G119&gt;=CB$5,$G119&lt;CB$5+GanttPeriod),"◆",IF(AND($E119&gt;=CB$5,$E119&lt;CB$5+GanttPeriod),"◇","")),IF(AND(CB$5&lt;=$F119,CB$5+GanttPeriod-1&gt;=$E119),"━","")))</f>
        <v/>
      </c>
      <c r="CC119" s="69" t="str">
        <f aca="false">IF($E119="","",IF($M119,IF(AND($G119&gt;=CC$5,$G119&lt;CC$5+GanttPeriod),"◆",IF(AND($E119&gt;=CC$5,$E119&lt;CC$5+GanttPeriod),"◇","")),IF(AND(CC$5&lt;=$F119,CC$5+GanttPeriod-1&gt;=$E119),"━","")))</f>
        <v/>
      </c>
      <c r="CD119" s="69" t="str">
        <f aca="false">IF($E119="","",IF($M119,IF(AND($G119&gt;=CD$5,$G119&lt;CD$5+GanttPeriod),"◆",IF(AND($E119&gt;=CD$5,$E119&lt;CD$5+GanttPeriod),"◇","")),IF(AND(CD$5&lt;=$F119,CD$5+GanttPeriod-1&gt;=$E119),"━","")))</f>
        <v/>
      </c>
      <c r="CE119" s="69" t="str">
        <f aca="false">IF($E119="","",IF($M119,IF(AND($G119&gt;=CE$5,$G119&lt;CE$5+GanttPeriod),"◆",IF(AND($E119&gt;=CE$5,$E119&lt;CE$5+GanttPeriod),"◇","")),IF(AND(CE$5&lt;=$F119,CE$5+GanttPeriod-1&gt;=$E119),"━","")))</f>
        <v/>
      </c>
      <c r="CF119" s="69" t="str">
        <f aca="false">IF($E119="","",IF($M119,IF(AND($G119&gt;=CF$5,$G119&lt;CF$5+GanttPeriod),"◆",IF(AND($E119&gt;=CF$5,$E119&lt;CF$5+GanttPeriod),"◇","")),IF(AND(CF$5&lt;=$F119,CF$5+GanttPeriod-1&gt;=$E119),"━","")))</f>
        <v/>
      </c>
      <c r="CG119" s="69" t="str">
        <f aca="false">IF($E119="","",IF($M119,IF(AND($G119&gt;=CG$5,$G119&lt;CG$5+GanttPeriod),"◆",IF(AND($E119&gt;=CG$5,$E119&lt;CG$5+GanttPeriod),"◇","")),IF(AND(CG$5&lt;=$F119,CG$5+GanttPeriod-1&gt;=$E119),"━","")))</f>
        <v/>
      </c>
      <c r="CH119" s="69" t="str">
        <f aca="false">IF($E119="","",IF($M119,IF(AND($G119&gt;=CH$5,$G119&lt;CH$5+GanttPeriod),"◆",IF(AND($E119&gt;=CH$5,$E119&lt;CH$5+GanttPeriod),"◇","")),IF(AND(CH$5&lt;=$F119,CH$5+GanttPeriod-1&gt;=$E119),"━","")))</f>
        <v/>
      </c>
      <c r="CI119" s="69" t="str">
        <f aca="false">IF($E119="","",IF($M119,IF(AND($G119&gt;=CI$5,$G119&lt;CI$5+GanttPeriod),"◆",IF(AND($E119&gt;=CI$5,$E119&lt;CI$5+GanttPeriod),"◇","")),IF(AND(CI$5&lt;=$F119,CI$5+GanttPeriod-1&gt;=$E119),"━","")))</f>
        <v/>
      </c>
      <c r="CJ119" s="69" t="str">
        <f aca="false">IF($E119="","",IF($M119,IF(AND($G119&gt;=CJ$5,$G119&lt;CJ$5+GanttPeriod),"◆",IF(AND($E119&gt;=CJ$5,$E119&lt;CJ$5+GanttPeriod),"◇","")),IF(AND(CJ$5&lt;=$F119,CJ$5+GanttPeriod-1&gt;=$E119),"━","")))</f>
        <v/>
      </c>
      <c r="CK119" s="69" t="str">
        <f aca="false">IF($E119="","",IF($M119,IF(AND($G119&gt;=CK$5,$G119&lt;CK$5+GanttPeriod),"◆",IF(AND($E119&gt;=CK$5,$E119&lt;CK$5+GanttPeriod),"◇","")),IF(AND(CK$5&lt;=$F119,CK$5+GanttPeriod-1&gt;=$E119),"━","")))</f>
        <v/>
      </c>
      <c r="CL119" s="69" t="str">
        <f aca="false">IF($E119="","",IF($M119,IF(AND($G119&gt;=CL$5,$G119&lt;CL$5+GanttPeriod),"◆",IF(AND($E119&gt;=CL$5,$E119&lt;CL$5+GanttPeriod),"◇","")),IF(AND(CL$5&lt;=$F119,CL$5+GanttPeriod-1&gt;=$E119),"━","")))</f>
        <v/>
      </c>
      <c r="CM119" s="69" t="str">
        <f aca="false">IF($E119="","",IF($M119,IF(AND($G119&gt;=CM$5,$G119&lt;CM$5+GanttPeriod),"◆",IF(AND($E119&gt;=CM$5,$E119&lt;CM$5+GanttPeriod),"◇","")),IF(AND(CM$5&lt;=$F119,CM$5+GanttPeriod-1&gt;=$E119),"━","")))</f>
        <v/>
      </c>
      <c r="CN119" s="69" t="str">
        <f aca="false">IF($E119="","",IF($M119,IF(AND($G119&gt;=CN$5,$G119&lt;CN$5+GanttPeriod),"◆",IF(AND($E119&gt;=CN$5,$E119&lt;CN$5+GanttPeriod),"◇","")),IF(AND(CN$5&lt;=$F119,CN$5+GanttPeriod-1&gt;=$E119),"━","")))</f>
        <v/>
      </c>
      <c r="CO119" s="69" t="str">
        <f aca="false">IF($E119="","",IF($M119,IF(AND($G119&gt;=CO$5,$G119&lt;CO$5+GanttPeriod),"◆",IF(AND($E119&gt;=CO$5,$E119&lt;CO$5+GanttPeriod),"◇","")),IF(AND(CO$5&lt;=$F119,CO$5+GanttPeriod-1&gt;=$E119),"━","")))</f>
        <v/>
      </c>
      <c r="CP119" s="69" t="str">
        <f aca="false">IF($E119="","",IF($M119,IF(AND($G119&gt;=CP$5,$G119&lt;CP$5+GanttPeriod),"◆",IF(AND($E119&gt;=CP$5,$E119&lt;CP$5+GanttPeriod),"◇","")),IF(AND(CP$5&lt;=$F119,CP$5+GanttPeriod-1&gt;=$E119),"━","")))</f>
        <v/>
      </c>
      <c r="CQ119" s="69" t="str">
        <f aca="false">IF($E119="","",IF($M119,IF(AND($G119&gt;=CQ$5,$G119&lt;CQ$5+GanttPeriod),"◆",IF(AND($E119&gt;=CQ$5,$E119&lt;CQ$5+GanttPeriod),"◇","")),IF(AND(CQ$5&lt;=$F119,CQ$5+GanttPeriod-1&gt;=$E119),"━","")))</f>
        <v/>
      </c>
      <c r="CR119" s="69" t="str">
        <f aca="false">IF($E119="","",IF($M119,IF(AND($G119&gt;=CR$5,$G119&lt;CR$5+GanttPeriod),"◆",IF(AND($E119&gt;=CR$5,$E119&lt;CR$5+GanttPeriod),"◇","")),IF(AND(CR$5&lt;=$F119,CR$5+GanttPeriod-1&gt;=$E119),"━","")))</f>
        <v/>
      </c>
      <c r="CS119" s="69" t="str">
        <f aca="false">IF($E119="","",IF($M119,IF(AND($G119&gt;=CS$5,$G119&lt;CS$5+GanttPeriod),"◆",IF(AND($E119&gt;=CS$5,$E119&lt;CS$5+GanttPeriod),"◇","")),IF(AND(CS$5&lt;=$F119,CS$5+GanttPeriod-1&gt;=$E119),"━","")))</f>
        <v/>
      </c>
      <c r="CT119" s="69" t="str">
        <f aca="false">IF($E119="","",IF($M119,IF(AND($G119&gt;=CT$5,$G119&lt;CT$5+GanttPeriod),"◆",IF(AND($E119&gt;=CT$5,$E119&lt;CT$5+GanttPeriod),"◇","")),IF(AND(CT$5&lt;=$F119,CT$5+GanttPeriod-1&gt;=$E119),"━","")))</f>
        <v/>
      </c>
      <c r="CU119" s="69" t="str">
        <f aca="false">IF($E119="","",IF($M119,IF(AND($G119&gt;=CU$5,$G119&lt;CU$5+GanttPeriod),"◆",IF(AND($E119&gt;=CU$5,$E119&lt;CU$5+GanttPeriod),"◇","")),IF(AND(CU$5&lt;=$F119,CU$5+GanttPeriod-1&gt;=$E119),"━","")))</f>
        <v/>
      </c>
      <c r="CV119" s="69" t="str">
        <f aca="false">IF($E119="","",IF($M119,IF(AND($G119&gt;=CV$5,$G119&lt;CV$5+GanttPeriod),"◆",IF(AND($E119&gt;=CV$5,$E119&lt;CV$5+GanttPeriod),"◇","")),IF(AND(CV$5&lt;=$F119,CV$5+GanttPeriod-1&gt;=$E119),"━","")))</f>
        <v/>
      </c>
      <c r="CW119" s="69" t="str">
        <f aca="false">IF($E119="","",IF($M119,IF(AND($G119&gt;=CW$5,$G119&lt;CW$5+GanttPeriod),"◆",IF(AND($E119&gt;=CW$5,$E119&lt;CW$5+GanttPeriod),"◇","")),IF(AND(CW$5&lt;=$F119,CW$5+GanttPeriod-1&gt;=$E119),"━","")))</f>
        <v/>
      </c>
      <c r="CX119" s="69" t="str">
        <f aca="false">IF($E119="","",IF($M119,IF(AND($G119&gt;=CX$5,$G119&lt;CX$5+GanttPeriod),"◆",IF(AND($E119&gt;=CX$5,$E119&lt;CX$5+GanttPeriod),"◇","")),IF(AND(CX$5&lt;=$F119,CX$5+GanttPeriod-1&gt;=$E119),"━","")))</f>
        <v/>
      </c>
      <c r="CY119" s="69" t="str">
        <f aca="false">IF($E119="","",IF($M119,IF(AND($G119&gt;=CY$5,$G119&lt;CY$5+GanttPeriod),"◆",IF(AND($E119&gt;=CY$5,$E119&lt;CY$5+GanttPeriod),"◇","")),IF(AND(CY$5&lt;=$F119,CY$5+GanttPeriod-1&gt;=$E119),"━","")))</f>
        <v/>
      </c>
      <c r="CZ119" s="69" t="str">
        <f aca="false">IF($E119="","",IF($M119,IF(AND($G119&gt;=CZ$5,$G119&lt;CZ$5+GanttPeriod),"◆",IF(AND($E119&gt;=CZ$5,$E119&lt;CZ$5+GanttPeriod),"◇","")),IF(AND(CZ$5&lt;=$F119,CZ$5+GanttPeriod-1&gt;=$E119),"━","")))</f>
        <v/>
      </c>
      <c r="DA119" s="69" t="str">
        <f aca="false">IF($E119="","",IF($M119,IF(AND($G119&gt;=DA$5,$G119&lt;DA$5+GanttPeriod),"◆",IF(AND($E119&gt;=DA$5,$E119&lt;DA$5+GanttPeriod),"◇","")),IF(AND(DA$5&lt;=$F119,DA$5+GanttPeriod-1&gt;=$E119),"━","")))</f>
        <v/>
      </c>
      <c r="DB119" s="69" t="str">
        <f aca="false">IF($E119="","",IF($M119,IF(AND($G119&gt;=DB$5,$G119&lt;DB$5+GanttPeriod),"◆",IF(AND($E119&gt;=DB$5,$E119&lt;DB$5+GanttPeriod),"◇","")),IF(AND(DB$5&lt;=$F119,DB$5+GanttPeriod-1&gt;=$E119),"━","")))</f>
        <v/>
      </c>
      <c r="DC119" s="69" t="str">
        <f aca="false">IF($E119="","",IF($M119,IF(AND($G119&gt;=DC$5,$G119&lt;DC$5+GanttPeriod),"◆",IF(AND($E119&gt;=DC$5,$E119&lt;DC$5+GanttPeriod),"◇","")),IF(AND(DC$5&lt;=$F119,DC$5+GanttPeriod-1&gt;=$E119),"━","")))</f>
        <v/>
      </c>
      <c r="DD119" s="69" t="str">
        <f aca="false">IF($E119="","",IF($M119,IF(AND($G119&gt;=DD$5,$G119&lt;DD$5+GanttPeriod),"◆",IF(AND($E119&gt;=DD$5,$E119&lt;DD$5+GanttPeriod),"◇","")),IF(AND(DD$5&lt;=$F119,DD$5+GanttPeriod-1&gt;=$E119),"━","")))</f>
        <v/>
      </c>
      <c r="DE119" s="69" t="str">
        <f aca="false">IF($E119="","",IF($M119,IF(AND($G119&gt;=DE$5,$G119&lt;DE$5+GanttPeriod),"◆",IF(AND($E119&gt;=DE$5,$E119&lt;DE$5+GanttPeriod),"◇","")),IF(AND(DE$5&lt;=$F119,DE$5+GanttPeriod-1&gt;=$E119),"━","")))</f>
        <v/>
      </c>
      <c r="DF119" s="69" t="str">
        <f aca="false">IF($E119="","",IF($M119,IF(AND($G119&gt;=DF$5,$G119&lt;DF$5+GanttPeriod),"◆",IF(AND($E119&gt;=DF$5,$E119&lt;DF$5+GanttPeriod),"◇","")),IF(AND(DF$5&lt;=$F119,DF$5+GanttPeriod-1&gt;=$E119),"━","")))</f>
        <v/>
      </c>
      <c r="DG119" s="69" t="str">
        <f aca="false">IF($E119="","",IF($M119,IF(AND($G119&gt;=DG$5,$G119&lt;DG$5+GanttPeriod),"◆",IF(AND($E119&gt;=DG$5,$E119&lt;DG$5+GanttPeriod),"◇","")),IF(AND(DG$5&lt;=$F119,DG$5+GanttPeriod-1&gt;=$E119),"━","")))</f>
        <v/>
      </c>
      <c r="DH119" s="69" t="str">
        <f aca="false">IF($E119="","",IF($M119,IF(AND($G119&gt;=DH$5,$G119&lt;DH$5+GanttPeriod),"◆",IF(AND($E119&gt;=DH$5,$E119&lt;DH$5+GanttPeriod),"◇","")),IF(AND(DH$5&lt;=$F119,DH$5+GanttPeriod-1&gt;=$E119),"━","")))</f>
        <v/>
      </c>
      <c r="DI119" s="69" t="str">
        <f aca="false">IF($E119="","",IF($M119,IF(AND($G119&gt;=DI$5,$G119&lt;DI$5+GanttPeriod),"◆",IF(AND($E119&gt;=DI$5,$E119&lt;DI$5+GanttPeriod),"◇","")),IF(AND(DI$5&lt;=$F119,DI$5+GanttPeriod-1&gt;=$E119),"━","")))</f>
        <v/>
      </c>
      <c r="DJ119" s="69" t="str">
        <f aca="false">IF($E119="","",IF($M119,IF(AND($G119&gt;=DJ$5,$G119&lt;DJ$5+GanttPeriod),"◆",IF(AND($E119&gt;=DJ$5,$E119&lt;DJ$5+GanttPeriod),"◇","")),IF(AND(DJ$5&lt;=$F119,DJ$5+GanttPeriod-1&gt;=$E119),"━","")))</f>
        <v/>
      </c>
      <c r="DK119" s="69" t="str">
        <f aca="false">IF($E119="","",IF($M119,IF(AND($G119&gt;=DK$5,$G119&lt;DK$5+GanttPeriod),"◆",IF(AND($E119&gt;=DK$5,$E119&lt;DK$5+GanttPeriod),"◇","")),IF(AND(DK$5&lt;=$F119,DK$5+GanttPeriod-1&gt;=$E119),"━","")))</f>
        <v/>
      </c>
      <c r="DL119" s="69" t="str">
        <f aca="false">IF($E119="","",IF($M119,IF(AND($G119&gt;=DL$5,$G119&lt;DL$5+GanttPeriod),"◆",IF(AND($E119&gt;=DL$5,$E119&lt;DL$5+GanttPeriod),"◇","")),IF(AND(DL$5&lt;=$F119,DL$5+GanttPeriod-1&gt;=$E119),"━","")))</f>
        <v/>
      </c>
      <c r="DM119" s="69" t="str">
        <f aca="false">IF($E119="","",IF($M119,IF(AND($G119&gt;=DM$5,$G119&lt;DM$5+GanttPeriod),"◆",IF(AND($E119&gt;=DM$5,$E119&lt;DM$5+GanttPeriod),"◇","")),IF(AND(DM$5&lt;=$F119,DM$5+GanttPeriod-1&gt;=$E119),"━","")))</f>
        <v/>
      </c>
      <c r="DN119" s="69" t="str">
        <f aca="false">IF($E119="","",IF($M119,IF(AND($G119&gt;=DN$5,$G119&lt;DN$5+GanttPeriod),"◆",IF(AND($E119&gt;=DN$5,$E119&lt;DN$5+GanttPeriod),"◇","")),IF(AND(DN$5&lt;=$F119,DN$5+GanttPeriod-1&gt;=$E119),"━","")))</f>
        <v/>
      </c>
      <c r="DO119" s="69" t="str">
        <f aca="false">IF($E119="","",IF($M119,IF(AND($G119&gt;=DO$5,$G119&lt;DO$5+GanttPeriod),"◆",IF(AND($E119&gt;=DO$5,$E119&lt;DO$5+GanttPeriod),"◇","")),IF(AND(DO$5&lt;=$F119,DO$5+GanttPeriod-1&gt;=$E119),"━","")))</f>
        <v/>
      </c>
      <c r="DP119" s="69" t="str">
        <f aca="false">IF($E119="","",IF($M119,IF(AND($G119&gt;=DP$5,$G119&lt;DP$5+GanttPeriod),"◆",IF(AND($E119&gt;=DP$5,$E119&lt;DP$5+GanttPeriod),"◇","")),IF(AND(DP$5&lt;=$F119,DP$5+GanttPeriod-1&gt;=$E119),"━","")))</f>
        <v/>
      </c>
      <c r="DQ119" s="69" t="str">
        <f aca="false">IF($E119="","",IF($M119,IF(AND($G119&gt;=DQ$5,$G119&lt;DQ$5+GanttPeriod),"◆",IF(AND($E119&gt;=DQ$5,$E119&lt;DQ$5+GanttPeriod),"◇","")),IF(AND(DQ$5&lt;=$F119,DQ$5+GanttPeriod-1&gt;=$E119),"━","")))</f>
        <v/>
      </c>
      <c r="DR119" s="69" t="str">
        <f aca="false">IF($E119="","",IF($M119,IF(AND($G119&gt;=DR$5,$G119&lt;DR$5+GanttPeriod),"◆",IF(AND($E119&gt;=DR$5,$E119&lt;DR$5+GanttPeriod),"◇","")),IF(AND(DR$5&lt;=$F119,DR$5+GanttPeriod-1&gt;=$E119),"━","")))</f>
        <v/>
      </c>
      <c r="DS119" s="69" t="str">
        <f aca="false">IF($E119="","",IF($M119,IF(AND($G119&gt;=DS$5,$G119&lt;DS$5+GanttPeriod),"◆",IF(AND($E119&gt;=DS$5,$E119&lt;DS$5+GanttPeriod),"◇","")),IF(AND(DS$5&lt;=$F119,DS$5+GanttPeriod-1&gt;=$E119),"━","")))</f>
        <v/>
      </c>
      <c r="DT119" s="69" t="str">
        <f aca="false">IF($E119="","",IF($M119,IF(AND($G119&gt;=DT$5,$G119&lt;DT$5+GanttPeriod),"◆",IF(AND($E119&gt;=DT$5,$E119&lt;DT$5+GanttPeriod),"◇","")),IF(AND(DT$5&lt;=$F119,DT$5+GanttPeriod-1&gt;=$E119),"━","")))</f>
        <v/>
      </c>
      <c r="DU119" s="69" t="str">
        <f aca="false">IF($E119="","",IF($M119,IF(AND($G119&gt;=DU$5,$G119&lt;DU$5+GanttPeriod),"◆",IF(AND($E119&gt;=DU$5,$E119&lt;DU$5+GanttPeriod),"◇","")),IF(AND(DU$5&lt;=$F119,DU$5+GanttPeriod-1&gt;=$E119),"━","")))</f>
        <v/>
      </c>
      <c r="DV119" s="69" t="str">
        <f aca="false">IF($E119="","",IF($M119,IF(AND($G119&gt;=DV$5,$G119&lt;DV$5+GanttPeriod),"◆",IF(AND($E119&gt;=DV$5,$E119&lt;DV$5+GanttPeriod),"◇","")),IF(AND(DV$5&lt;=$F119,DV$5+GanttPeriod-1&gt;=$E119),"━","")))</f>
        <v/>
      </c>
      <c r="DW119" s="69" t="str">
        <f aca="false">IF($E119="","",IF($M119,IF(AND($G119&gt;=DW$5,$G119&lt;DW$5+GanttPeriod),"◆",IF(AND($E119&gt;=DW$5,$E119&lt;DW$5+GanttPeriod),"◇","")),IF(AND(DW$5&lt;=$F119,DW$5+GanttPeriod-1&gt;=$E119),"━","")))</f>
        <v/>
      </c>
      <c r="DX119" s="69" t="str">
        <f aca="false">IF($E119="","",IF($M119,IF(AND($G119&gt;=DX$5,$G119&lt;DX$5+GanttPeriod),"◆",IF(AND($E119&gt;=DX$5,$E119&lt;DX$5+GanttPeriod),"◇","")),IF(AND(DX$5&lt;=$F119,DX$5+GanttPeriod-1&gt;=$E119),"━","")))</f>
        <v/>
      </c>
      <c r="DY119" s="69" t="str">
        <f aca="false">IF($E119="","",IF($M119,IF(AND($G119&gt;=DY$5,$G119&lt;DY$5+GanttPeriod),"◆",IF(AND($E119&gt;=DY$5,$E119&lt;DY$5+GanttPeriod),"◇","")),IF(AND(DY$5&lt;=$F119,DY$5+GanttPeriod-1&gt;=$E119),"━","")))</f>
        <v/>
      </c>
      <c r="DZ119" s="69" t="str">
        <f aca="false">IF($E119="","",IF($M119,IF(AND($G119&gt;=DZ$5,$G119&lt;DZ$5+GanttPeriod),"◆",IF(AND($E119&gt;=DZ$5,$E119&lt;DZ$5+GanttPeriod),"◇","")),IF(AND(DZ$5&lt;=$F119,DZ$5+GanttPeriod-1&gt;=$E119),"━","")))</f>
        <v/>
      </c>
      <c r="EA119" s="69" t="str">
        <f aca="false">IF($E119="","",IF($M119,IF(AND($G119&gt;=EA$5,$G119&lt;EA$5+GanttPeriod),"◆",IF(AND($E119&gt;=EA$5,$E119&lt;EA$5+GanttPeriod),"◇","")),IF(AND(EA$5&lt;=$F119,EA$5+GanttPeriod-1&gt;=$E119),"━","")))</f>
        <v/>
      </c>
      <c r="EB119" s="69" t="str">
        <f aca="false">IF($E119="","",IF($M119,IF(AND($G119&gt;=EB$5,$G119&lt;EB$5+GanttPeriod),"◆",IF(AND($E119&gt;=EB$5,$E119&lt;EB$5+GanttPeriod),"◇","")),IF(AND(EB$5&lt;=$F119,EB$5+GanttPeriod-1&gt;=$E119),"━","")))</f>
        <v/>
      </c>
      <c r="EC119" s="69" t="str">
        <f aca="false">IF($E119="","",IF($M119,IF(AND($G119&gt;=EC$5,$G119&lt;EC$5+GanttPeriod),"◆",IF(AND($E119&gt;=EC$5,$E119&lt;EC$5+GanttPeriod),"◇","")),IF(AND(EC$5&lt;=$F119,EC$5+GanttPeriod-1&gt;=$E119),"━","")))</f>
        <v/>
      </c>
      <c r="ED119" s="69" t="str">
        <f aca="false">IF($E119="","",IF($M119,IF(AND($G119&gt;=ED$5,$G119&lt;ED$5+GanttPeriod),"◆",IF(AND($E119&gt;=ED$5,$E119&lt;ED$5+GanttPeriod),"◇","")),IF(AND(ED$5&lt;=$F119,ED$5+GanttPeriod-1&gt;=$E119),"━","")))</f>
        <v/>
      </c>
      <c r="EE119" s="69" t="str">
        <f aca="false">IF($E119="","",IF($M119,IF(AND($G119&gt;=EE$5,$G119&lt;EE$5+GanttPeriod),"◆",IF(AND($E119&gt;=EE$5,$E119&lt;EE$5+GanttPeriod),"◇","")),IF(AND(EE$5&lt;=$F119,EE$5+GanttPeriod-1&gt;=$E119),"━","")))</f>
        <v/>
      </c>
      <c r="EF119" s="69" t="str">
        <f aca="false">IF($E119="","",IF($M119,IF(AND($G119&gt;=EF$5,$G119&lt;EF$5+GanttPeriod),"◆",IF(AND($E119&gt;=EF$5,$E119&lt;EF$5+GanttPeriod),"◇","")),IF(AND(EF$5&lt;=$F119,EF$5+GanttPeriod-1&gt;=$E119),"━","")))</f>
        <v/>
      </c>
      <c r="EG119" s="69" t="str">
        <f aca="false">IF($E119="","",IF($M119,IF(AND($G119&gt;=EG$5,$G119&lt;EG$5+GanttPeriod),"◆",IF(AND($E119&gt;=EG$5,$E119&lt;EG$5+GanttPeriod),"◇","")),IF(AND(EG$5&lt;=$F119,EG$5+GanttPeriod-1&gt;=$E119),"━","")))</f>
        <v/>
      </c>
      <c r="EH119" s="69" t="str">
        <f aca="false">IF($E119="","",IF($M119,IF(AND($G119&gt;=EH$5,$G119&lt;EH$5+GanttPeriod),"◆",IF(AND($E119&gt;=EH$5,$E119&lt;EH$5+GanttPeriod),"◇","")),IF(AND(EH$5&lt;=$F119,EH$5+GanttPeriod-1&gt;=$E119),"━","")))</f>
        <v/>
      </c>
      <c r="EI119" s="69" t="str">
        <f aca="false">IF($E119="","",IF($M119,IF(AND($G119&gt;=EI$5,$G119&lt;EI$5+GanttPeriod),"◆",IF(AND($E119&gt;=EI$5,$E119&lt;EI$5+GanttPeriod),"◇","")),IF(AND(EI$5&lt;=$F119,EI$5+GanttPeriod-1&gt;=$E119),"━","")))</f>
        <v/>
      </c>
      <c r="EJ119" s="69" t="str">
        <f aca="false">IF($E119="","",IF($M119,IF(AND($G119&gt;=EJ$5,$G119&lt;EJ$5+GanttPeriod),"◆",IF(AND($E119&gt;=EJ$5,$E119&lt;EJ$5+GanttPeriod),"◇","")),IF(AND(EJ$5&lt;=$F119,EJ$5+GanttPeriod-1&gt;=$E119),"━","")))</f>
        <v/>
      </c>
      <c r="EK119" s="69" t="str">
        <f aca="false">IF($E119="","",IF($M119,IF(AND($G119&gt;=EK$5,$G119&lt;EK$5+GanttPeriod),"◆",IF(AND($E119&gt;=EK$5,$E119&lt;EK$5+GanttPeriod),"◇","")),IF(AND(EK$5&lt;=$F119,EK$5+GanttPeriod-1&gt;=$E119),"━","")))</f>
        <v/>
      </c>
      <c r="EL119" s="69" t="str">
        <f aca="false">IF($E119="","",IF($M119,IF(AND($G119&gt;=EL$5,$G119&lt;EL$5+GanttPeriod),"◆",IF(AND($E119&gt;=EL$5,$E119&lt;EL$5+GanttPeriod),"◇","")),IF(AND(EL$5&lt;=$F119,EL$5+GanttPeriod-1&gt;=$E119),"━","")))</f>
        <v/>
      </c>
      <c r="EM119" s="69" t="str">
        <f aca="false">IF($E119="","",IF($M119,IF(AND($G119&gt;=EM$5,$G119&lt;EM$5+GanttPeriod),"◆",IF(AND($E119&gt;=EM$5,$E119&lt;EM$5+GanttPeriod),"◇","")),IF(AND(EM$5&lt;=$F119,EM$5+GanttPeriod-1&gt;=$E119),"━","")))</f>
        <v/>
      </c>
      <c r="EN119" s="69" t="str">
        <f aca="false">IF($E119="","",IF($M119,IF(AND($G119&gt;=EN$5,$G119&lt;EN$5+GanttPeriod),"◆",IF(AND($E119&gt;=EN$5,$E119&lt;EN$5+GanttPeriod),"◇","")),IF(AND(EN$5&lt;=$F119,EN$5+GanttPeriod-1&gt;=$E119),"━","")))</f>
        <v/>
      </c>
      <c r="EO119" s="69" t="str">
        <f aca="false">IF($E119="","",IF($M119,IF(AND($G119&gt;=EO$5,$G119&lt;EO$5+GanttPeriod),"◆",IF(AND($E119&gt;=EO$5,$E119&lt;EO$5+GanttPeriod),"◇","")),IF(AND(EO$5&lt;=$F119,EO$5+GanttPeriod-1&gt;=$E119),"━","")))</f>
        <v/>
      </c>
      <c r="EP119" s="69" t="str">
        <f aca="false">IF($E119="","",IF($M119,IF(AND($G119&gt;=EP$5,$G119&lt;EP$5+GanttPeriod),"◆",IF(AND($E119&gt;=EP$5,$E119&lt;EP$5+GanttPeriod),"◇","")),IF(AND(EP$5&lt;=$F119,EP$5+GanttPeriod-1&gt;=$E119),"━","")))</f>
        <v/>
      </c>
      <c r="EQ119" s="69" t="str">
        <f aca="false">IF($E119="","",IF($M119,IF(AND($G119&gt;=EQ$5,$G119&lt;EQ$5+GanttPeriod),"◆",IF(AND($E119&gt;=EQ$5,$E119&lt;EQ$5+GanttPeriod),"◇","")),IF(AND(EQ$5&lt;=$F119,EQ$5+GanttPeriod-1&gt;=$E119),"━","")))</f>
        <v/>
      </c>
      <c r="ER119" s="69" t="str">
        <f aca="false">IF($E119="","",IF($M119,IF(AND($G119&gt;=ER$5,$G119&lt;ER$5+GanttPeriod),"◆",IF(AND($E119&gt;=ER$5,$E119&lt;ER$5+GanttPeriod),"◇","")),IF(AND(ER$5&lt;=$F119,ER$5+GanttPeriod-1&gt;=$E119),"━","")))</f>
        <v/>
      </c>
      <c r="ES119" s="69" t="str">
        <f aca="false">IF($E119="","",IF($M119,IF(AND($G119&gt;=ES$5,$G119&lt;ES$5+GanttPeriod),"◆",IF(AND($E119&gt;=ES$5,$E119&lt;ES$5+GanttPeriod),"◇","")),IF(AND(ES$5&lt;=$F119,ES$5+GanttPeriod-1&gt;=$E119),"━","")))</f>
        <v/>
      </c>
      <c r="ET119" s="69" t="str">
        <f aca="false">IF($E119="","",IF($M119,IF(AND($G119&gt;=ET$5,$G119&lt;ET$5+GanttPeriod),"◆",IF(AND($E119&gt;=ET$5,$E119&lt;ET$5+GanttPeriod),"◇","")),IF(AND(ET$5&lt;=$F119,ET$5+GanttPeriod-1&gt;=$E119),"━","")))</f>
        <v/>
      </c>
      <c r="EU119" s="69" t="str">
        <f aca="false">IF($E119="","",IF($M119,IF(AND($G119&gt;=EU$5,$G119&lt;EU$5+GanttPeriod),"◆",IF(AND($E119&gt;=EU$5,$E119&lt;EU$5+GanttPeriod),"◇","")),IF(AND(EU$5&lt;=$F119,EU$5+GanttPeriod-1&gt;=$E119),"━","")))</f>
        <v/>
      </c>
      <c r="EV119" s="69" t="str">
        <f aca="false">IF($E119="","",IF($M119,IF(AND($G119&gt;=EV$5,$G119&lt;EV$5+GanttPeriod),"◆",IF(AND($E119&gt;=EV$5,$E119&lt;EV$5+GanttPeriod),"◇","")),IF(AND(EV$5&lt;=$F119,EV$5+GanttPeriod-1&gt;=$E119),"━","")))</f>
        <v/>
      </c>
      <c r="EW119" s="69" t="str">
        <f aca="false">IF($E119="","",IF($M119,IF(AND($G119&gt;=EW$5,$G119&lt;EW$5+GanttPeriod),"◆",IF(AND($E119&gt;=EW$5,$E119&lt;EW$5+GanttPeriod),"◇","")),IF(AND(EW$5&lt;=$F119,EW$5+GanttPeriod-1&gt;=$E119),"━","")))</f>
        <v/>
      </c>
      <c r="EX119" s="69" t="str">
        <f aca="false">IF($E119="","",IF($M119,IF(AND($G119&gt;=EX$5,$G119&lt;EX$5+GanttPeriod),"◆",IF(AND($E119&gt;=EX$5,$E119&lt;EX$5+GanttPeriod),"◇","")),IF(AND(EX$5&lt;=$F119,EX$5+GanttPeriod-1&gt;=$E119),"━","")))</f>
        <v/>
      </c>
      <c r="EY119" s="69" t="str">
        <f aca="false">IF($E119="","",IF($M119,IF(AND($G119&gt;=EY$5,$G119&lt;EY$5+GanttPeriod),"◆",IF(AND($E119&gt;=EY$5,$E119&lt;EY$5+GanttPeriod),"◇","")),IF(AND(EY$5&lt;=$F119,EY$5+GanttPeriod-1&gt;=$E119),"━","")))</f>
        <v/>
      </c>
      <c r="EZ119" s="69" t="str">
        <f aca="false">IF($E119="","",IF($M119,IF(AND($G119&gt;=EZ$5,$G119&lt;EZ$5+GanttPeriod),"◆",IF(AND($E119&gt;=EZ$5,$E119&lt;EZ$5+GanttPeriod),"◇","")),IF(AND(EZ$5&lt;=$F119,EZ$5+GanttPeriod-1&gt;=$E119),"━","")))</f>
        <v/>
      </c>
      <c r="FA119" s="69" t="str">
        <f aca="false">IF($E119="","",IF($M119,IF(AND($G119&gt;=FA$5,$G119&lt;FA$5+GanttPeriod),"◆",IF(AND($E119&gt;=FA$5,$E119&lt;FA$5+GanttPeriod),"◇","")),IF(AND(FA$5&lt;=$F119,FA$5+GanttPeriod-1&gt;=$E119),"━","")))</f>
        <v/>
      </c>
      <c r="FB119" s="69" t="str">
        <f aca="false">IF($E119="","",IF($M119,IF(AND($G119&gt;=FB$5,$G119&lt;FB$5+GanttPeriod),"◆",IF(AND($E119&gt;=FB$5,$E119&lt;FB$5+GanttPeriod),"◇","")),IF(AND(FB$5&lt;=$F119,FB$5+GanttPeriod-1&gt;=$E119),"━","")))</f>
        <v/>
      </c>
      <c r="FC119" s="69" t="str">
        <f aca="false">IF($E119="","",IF($M119,IF(AND($G119&gt;=FC$5,$G119&lt;FC$5+GanttPeriod),"◆",IF(AND($E119&gt;=FC$5,$E119&lt;FC$5+GanttPeriod),"◇","")),IF(AND(FC$5&lt;=$F119,FC$5+GanttPeriod-1&gt;=$E119),"━","")))</f>
        <v/>
      </c>
      <c r="FD119" s="69" t="str">
        <f aca="false">IF($E119="","",IF($M119,IF(AND($G119&gt;=FD$5,$G119&lt;FD$5+GanttPeriod),"◆",IF(AND($E119&gt;=FD$5,$E119&lt;FD$5+GanttPeriod),"◇","")),IF(AND(FD$5&lt;=$F119,FD$5+GanttPeriod-1&gt;=$E119),"━","")))</f>
        <v/>
      </c>
      <c r="FE119" s="69" t="str">
        <f aca="false">IF($E119="","",IF($M119,IF(AND($G119&gt;=FE$5,$G119&lt;FE$5+GanttPeriod),"◆",IF(AND($E119&gt;=FE$5,$E119&lt;FE$5+GanttPeriod),"◇","")),IF(AND(FE$5&lt;=$F119,FE$5+GanttPeriod-1&gt;=$E119),"━","")))</f>
        <v/>
      </c>
      <c r="FF119" s="69" t="str">
        <f aca="false">IF($E119="","",IF($M119,IF(AND($G119&gt;=FF$5,$G119&lt;FF$5+GanttPeriod),"◆",IF(AND($E119&gt;=FF$5,$E119&lt;FF$5+GanttPeriod),"◇","")),IF(AND(FF$5&lt;=$F119,FF$5+GanttPeriod-1&gt;=$E119),"━","")))</f>
        <v/>
      </c>
      <c r="FG119" s="69" t="str">
        <f aca="false">IF($E119="","",IF($M119,IF(AND($G119&gt;=FG$5,$G119&lt;FG$5+GanttPeriod),"◆",IF(AND($E119&gt;=FG$5,$E119&lt;FG$5+GanttPeriod),"◇","")),IF(AND(FG$5&lt;=$F119,FG$5+GanttPeriod-1&gt;=$E119),"━","")))</f>
        <v/>
      </c>
      <c r="FH119" s="69" t="str">
        <f aca="false">IF($E119="","",IF($M119,IF(AND($G119&gt;=FH$5,$G119&lt;FH$5+GanttPeriod),"◆",IF(AND($E119&gt;=FH$5,$E119&lt;FH$5+GanttPeriod),"◇","")),IF(AND(FH$5&lt;=$F119,FH$5+GanttPeriod-1&gt;=$E119),"━","")))</f>
        <v/>
      </c>
      <c r="FI119" s="69" t="str">
        <f aca="false">IF($E119="","",IF($M119,IF(AND($G119&gt;=FI$5,$G119&lt;FI$5+GanttPeriod),"◆",IF(AND($E119&gt;=FI$5,$E119&lt;FI$5+GanttPeriod),"◇","")),IF(AND(FI$5&lt;=$F119,FI$5+GanttPeriod-1&gt;=$E119),"━","")))</f>
        <v/>
      </c>
      <c r="FJ119" s="69" t="str">
        <f aca="false">IF($E119="","",IF($M119,IF(AND($G119&gt;=FJ$5,$G119&lt;FJ$5+GanttPeriod),"◆",IF(AND($E119&gt;=FJ$5,$E119&lt;FJ$5+GanttPeriod),"◇","")),IF(AND(FJ$5&lt;=$F119,FJ$5+GanttPeriod-1&gt;=$E119),"━","")))</f>
        <v/>
      </c>
      <c r="FK119" s="69" t="str">
        <f aca="false">IF($E119="","",IF($M119,IF(AND($G119&gt;=FK$5,$G119&lt;FK$5+GanttPeriod),"◆",IF(AND($E119&gt;=FK$5,$E119&lt;FK$5+GanttPeriod),"◇","")),IF(AND(FK$5&lt;=$F119,FK$5+GanttPeriod-1&gt;=$E119),"━","")))</f>
        <v/>
      </c>
      <c r="FL119" s="69" t="str">
        <f aca="false">IF($E119="","",IF($M119,IF(AND($G119&gt;=FL$5,$G119&lt;FL$5+GanttPeriod),"◆",IF(AND($E119&gt;=FL$5,$E119&lt;FL$5+GanttPeriod),"◇","")),IF(AND(FL$5&lt;=$F119,FL$5+GanttPeriod-1&gt;=$E119),"━","")))</f>
        <v/>
      </c>
      <c r="FM119" s="69" t="str">
        <f aca="false">IF($E119="","",IF($M119,IF(AND($G119&gt;=FM$5,$G119&lt;FM$5+GanttPeriod),"◆",IF(AND($E119&gt;=FM$5,$E119&lt;FM$5+GanttPeriod),"◇","")),IF(AND(FM$5&lt;=$F119,FM$5+GanttPeriod-1&gt;=$E119),"━","")))</f>
        <v/>
      </c>
    </row>
    <row r="120" customFormat="false" ht="15" hidden="false" customHeight="false" outlineLevel="0" collapsed="false">
      <c r="A120" s="62" t="str">
        <f aca="false">IF(Tasks!$D120="","",Tasks!$A120)</f>
        <v/>
      </c>
      <c r="B120" s="62" t="str">
        <f aca="false">IF(Tasks!$D120="","",Tasks!$B120)</f>
        <v/>
      </c>
      <c r="C120" s="63" t="str">
        <f aca="false">IF(Tasks!$D120="","",REPT("    ",Tasks!$AE120-1)&amp;Tasks!$D120)</f>
        <v/>
      </c>
      <c r="D120" s="62" t="str">
        <f aca="false">IF(Tasks!$D120="","",IF(Tasks!$AI120,NETWORKDAYS.INTL(Tasks!$R120,Tasks!$S120,WorkWeek,Holidays),N(Tasks!$F120)))</f>
        <v/>
      </c>
      <c r="E120" s="64" t="str">
        <f aca="false">IF(Tasks!$D120="","",Tasks!$N120)</f>
        <v/>
      </c>
      <c r="F120" s="64" t="str">
        <f aca="false">IF(Tasks!$D120="","",Tasks!$O120)</f>
        <v/>
      </c>
      <c r="G120" s="64" t="str">
        <f aca="false">IF(Tasks!$D120="","",Tasks!$R120)</f>
        <v/>
      </c>
      <c r="H120" s="64" t="str">
        <f aca="false">IF(Tasks!$D120="","",Tasks!$S120)</f>
        <v/>
      </c>
      <c r="I120" s="65" t="str">
        <f aca="false">IF(Tasks!$D120="","",Tasks!$V120)</f>
        <v/>
      </c>
      <c r="J120" s="63" t="str">
        <f aca="false">IF(Tasks!$D120="","",Tasks!$X120&amp;"")</f>
        <v/>
      </c>
      <c r="K120" s="66" t="str">
        <f aca="false">IF(Tasks!$D120="","",Tasks!$W120)</f>
        <v/>
      </c>
      <c r="L120" s="67" t="b">
        <f aca="false">IF(Tasks!$D120="",FALSE(),Tasks!$AI120)</f>
        <v>0</v>
      </c>
      <c r="M120" s="67" t="b">
        <f aca="false">AND(Tasks!$AJ120=1,N(Tasks!$F120)=0)</f>
        <v>0</v>
      </c>
      <c r="N120" s="68" t="n">
        <f aca="false">IF(AND(Tasks!$AJ120=1,NOT($M120),N($I120)&gt;0),$G120,0)</f>
        <v>0</v>
      </c>
      <c r="O120" s="68" t="n">
        <f aca="false">IF($N120=0,0,IF($I120&gt;=1,$H120,MAX($N120,$G120+ROUND(($H120-$G120+1)*$I120,0)-1)))</f>
        <v>0</v>
      </c>
      <c r="P120" s="68" t="n">
        <f aca="false">IF(OR(Tasks!$AJ120&lt;&gt;1,$M120,N($I120)&gt;=1),0,IF($O120&gt;0,$O120+1,$G120))</f>
        <v>0</v>
      </c>
      <c r="Q120" s="68" t="n">
        <f aca="false">IF($P120=0,0,$H120)</f>
        <v>0</v>
      </c>
      <c r="R120" s="67" t="b">
        <f aca="false">AND(Tasks!$D120&lt;&gt;"",N(Tasks!$T120)&gt;0)</f>
        <v>0</v>
      </c>
      <c r="T120" s="69" t="str">
        <f aca="false">IF($E120="","",IF($M120,IF(AND($G120&gt;=T$5,$G120&lt;T$5+GanttPeriod),"◆",IF(AND($E120&gt;=T$5,$E120&lt;T$5+GanttPeriod),"◇","")),IF(AND(T$5&lt;=$F120,T$5+GanttPeriod-1&gt;=$E120),"━","")))</f>
        <v/>
      </c>
      <c r="U120" s="69" t="str">
        <f aca="false">IF($E120="","",IF($M120,IF(AND($G120&gt;=U$5,$G120&lt;U$5+GanttPeriod),"◆",IF(AND($E120&gt;=U$5,$E120&lt;U$5+GanttPeriod),"◇","")),IF(AND(U$5&lt;=$F120,U$5+GanttPeriod-1&gt;=$E120),"━","")))</f>
        <v/>
      </c>
      <c r="V120" s="69" t="str">
        <f aca="false">IF($E120="","",IF($M120,IF(AND($G120&gt;=V$5,$G120&lt;V$5+GanttPeriod),"◆",IF(AND($E120&gt;=V$5,$E120&lt;V$5+GanttPeriod),"◇","")),IF(AND(V$5&lt;=$F120,V$5+GanttPeriod-1&gt;=$E120),"━","")))</f>
        <v/>
      </c>
      <c r="W120" s="69" t="str">
        <f aca="false">IF($E120="","",IF($M120,IF(AND($G120&gt;=W$5,$G120&lt;W$5+GanttPeriod),"◆",IF(AND($E120&gt;=W$5,$E120&lt;W$5+GanttPeriod),"◇","")),IF(AND(W$5&lt;=$F120,W$5+GanttPeriod-1&gt;=$E120),"━","")))</f>
        <v/>
      </c>
      <c r="X120" s="69" t="str">
        <f aca="false">IF($E120="","",IF($M120,IF(AND($G120&gt;=X$5,$G120&lt;X$5+GanttPeriod),"◆",IF(AND($E120&gt;=X$5,$E120&lt;X$5+GanttPeriod),"◇","")),IF(AND(X$5&lt;=$F120,X$5+GanttPeriod-1&gt;=$E120),"━","")))</f>
        <v/>
      </c>
      <c r="Y120" s="69" t="str">
        <f aca="false">IF($E120="","",IF($M120,IF(AND($G120&gt;=Y$5,$G120&lt;Y$5+GanttPeriod),"◆",IF(AND($E120&gt;=Y$5,$E120&lt;Y$5+GanttPeriod),"◇","")),IF(AND(Y$5&lt;=$F120,Y$5+GanttPeriod-1&gt;=$E120),"━","")))</f>
        <v/>
      </c>
      <c r="Z120" s="69" t="str">
        <f aca="false">IF($E120="","",IF($M120,IF(AND($G120&gt;=Z$5,$G120&lt;Z$5+GanttPeriod),"◆",IF(AND($E120&gt;=Z$5,$E120&lt;Z$5+GanttPeriod),"◇","")),IF(AND(Z$5&lt;=$F120,Z$5+GanttPeriod-1&gt;=$E120),"━","")))</f>
        <v/>
      </c>
      <c r="AA120" s="69" t="str">
        <f aca="false">IF($E120="","",IF($M120,IF(AND($G120&gt;=AA$5,$G120&lt;AA$5+GanttPeriod),"◆",IF(AND($E120&gt;=AA$5,$E120&lt;AA$5+GanttPeriod),"◇","")),IF(AND(AA$5&lt;=$F120,AA$5+GanttPeriod-1&gt;=$E120),"━","")))</f>
        <v/>
      </c>
      <c r="AB120" s="69" t="str">
        <f aca="false">IF($E120="","",IF($M120,IF(AND($G120&gt;=AB$5,$G120&lt;AB$5+GanttPeriod),"◆",IF(AND($E120&gt;=AB$5,$E120&lt;AB$5+GanttPeriod),"◇","")),IF(AND(AB$5&lt;=$F120,AB$5+GanttPeriod-1&gt;=$E120),"━","")))</f>
        <v/>
      </c>
      <c r="AC120" s="69" t="str">
        <f aca="false">IF($E120="","",IF($M120,IF(AND($G120&gt;=AC$5,$G120&lt;AC$5+GanttPeriod),"◆",IF(AND($E120&gt;=AC$5,$E120&lt;AC$5+GanttPeriod),"◇","")),IF(AND(AC$5&lt;=$F120,AC$5+GanttPeriod-1&gt;=$E120),"━","")))</f>
        <v/>
      </c>
      <c r="AD120" s="69" t="str">
        <f aca="false">IF($E120="","",IF($M120,IF(AND($G120&gt;=AD$5,$G120&lt;AD$5+GanttPeriod),"◆",IF(AND($E120&gt;=AD$5,$E120&lt;AD$5+GanttPeriod),"◇","")),IF(AND(AD$5&lt;=$F120,AD$5+GanttPeriod-1&gt;=$E120),"━","")))</f>
        <v/>
      </c>
      <c r="AE120" s="69" t="str">
        <f aca="false">IF($E120="","",IF($M120,IF(AND($G120&gt;=AE$5,$G120&lt;AE$5+GanttPeriod),"◆",IF(AND($E120&gt;=AE$5,$E120&lt;AE$5+GanttPeriod),"◇","")),IF(AND(AE$5&lt;=$F120,AE$5+GanttPeriod-1&gt;=$E120),"━","")))</f>
        <v/>
      </c>
      <c r="AF120" s="69" t="str">
        <f aca="false">IF($E120="","",IF($M120,IF(AND($G120&gt;=AF$5,$G120&lt;AF$5+GanttPeriod),"◆",IF(AND($E120&gt;=AF$5,$E120&lt;AF$5+GanttPeriod),"◇","")),IF(AND(AF$5&lt;=$F120,AF$5+GanttPeriod-1&gt;=$E120),"━","")))</f>
        <v/>
      </c>
      <c r="AG120" s="69" t="str">
        <f aca="false">IF($E120="","",IF($M120,IF(AND($G120&gt;=AG$5,$G120&lt;AG$5+GanttPeriod),"◆",IF(AND($E120&gt;=AG$5,$E120&lt;AG$5+GanttPeriod),"◇","")),IF(AND(AG$5&lt;=$F120,AG$5+GanttPeriod-1&gt;=$E120),"━","")))</f>
        <v/>
      </c>
      <c r="AH120" s="69" t="str">
        <f aca="false">IF($E120="","",IF($M120,IF(AND($G120&gt;=AH$5,$G120&lt;AH$5+GanttPeriod),"◆",IF(AND($E120&gt;=AH$5,$E120&lt;AH$5+GanttPeriod),"◇","")),IF(AND(AH$5&lt;=$F120,AH$5+GanttPeriod-1&gt;=$E120),"━","")))</f>
        <v/>
      </c>
      <c r="AI120" s="69" t="str">
        <f aca="false">IF($E120="","",IF($M120,IF(AND($G120&gt;=AI$5,$G120&lt;AI$5+GanttPeriod),"◆",IF(AND($E120&gt;=AI$5,$E120&lt;AI$5+GanttPeriod),"◇","")),IF(AND(AI$5&lt;=$F120,AI$5+GanttPeriod-1&gt;=$E120),"━","")))</f>
        <v/>
      </c>
      <c r="AJ120" s="69" t="str">
        <f aca="false">IF($E120="","",IF($M120,IF(AND($G120&gt;=AJ$5,$G120&lt;AJ$5+GanttPeriod),"◆",IF(AND($E120&gt;=AJ$5,$E120&lt;AJ$5+GanttPeriod),"◇","")),IF(AND(AJ$5&lt;=$F120,AJ$5+GanttPeriod-1&gt;=$E120),"━","")))</f>
        <v/>
      </c>
      <c r="AK120" s="69" t="str">
        <f aca="false">IF($E120="","",IF($M120,IF(AND($G120&gt;=AK$5,$G120&lt;AK$5+GanttPeriod),"◆",IF(AND($E120&gt;=AK$5,$E120&lt;AK$5+GanttPeriod),"◇","")),IF(AND(AK$5&lt;=$F120,AK$5+GanttPeriod-1&gt;=$E120),"━","")))</f>
        <v/>
      </c>
      <c r="AL120" s="69" t="str">
        <f aca="false">IF($E120="","",IF($M120,IF(AND($G120&gt;=AL$5,$G120&lt;AL$5+GanttPeriod),"◆",IF(AND($E120&gt;=AL$5,$E120&lt;AL$5+GanttPeriod),"◇","")),IF(AND(AL$5&lt;=$F120,AL$5+GanttPeriod-1&gt;=$E120),"━","")))</f>
        <v/>
      </c>
      <c r="AM120" s="69" t="str">
        <f aca="false">IF($E120="","",IF($M120,IF(AND($G120&gt;=AM$5,$G120&lt;AM$5+GanttPeriod),"◆",IF(AND($E120&gt;=AM$5,$E120&lt;AM$5+GanttPeriod),"◇","")),IF(AND(AM$5&lt;=$F120,AM$5+GanttPeriod-1&gt;=$E120),"━","")))</f>
        <v/>
      </c>
      <c r="AN120" s="69" t="str">
        <f aca="false">IF($E120="","",IF($M120,IF(AND($G120&gt;=AN$5,$G120&lt;AN$5+GanttPeriod),"◆",IF(AND($E120&gt;=AN$5,$E120&lt;AN$5+GanttPeriod),"◇","")),IF(AND(AN$5&lt;=$F120,AN$5+GanttPeriod-1&gt;=$E120),"━","")))</f>
        <v/>
      </c>
      <c r="AO120" s="69" t="str">
        <f aca="false">IF($E120="","",IF($M120,IF(AND($G120&gt;=AO$5,$G120&lt;AO$5+GanttPeriod),"◆",IF(AND($E120&gt;=AO$5,$E120&lt;AO$5+GanttPeriod),"◇","")),IF(AND(AO$5&lt;=$F120,AO$5+GanttPeriod-1&gt;=$E120),"━","")))</f>
        <v/>
      </c>
      <c r="AP120" s="69" t="str">
        <f aca="false">IF($E120="","",IF($M120,IF(AND($G120&gt;=AP$5,$G120&lt;AP$5+GanttPeriod),"◆",IF(AND($E120&gt;=AP$5,$E120&lt;AP$5+GanttPeriod),"◇","")),IF(AND(AP$5&lt;=$F120,AP$5+GanttPeriod-1&gt;=$E120),"━","")))</f>
        <v/>
      </c>
      <c r="AQ120" s="69" t="str">
        <f aca="false">IF($E120="","",IF($M120,IF(AND($G120&gt;=AQ$5,$G120&lt;AQ$5+GanttPeriod),"◆",IF(AND($E120&gt;=AQ$5,$E120&lt;AQ$5+GanttPeriod),"◇","")),IF(AND(AQ$5&lt;=$F120,AQ$5+GanttPeriod-1&gt;=$E120),"━","")))</f>
        <v/>
      </c>
      <c r="AR120" s="69" t="str">
        <f aca="false">IF($E120="","",IF($M120,IF(AND($G120&gt;=AR$5,$G120&lt;AR$5+GanttPeriod),"◆",IF(AND($E120&gt;=AR$5,$E120&lt;AR$5+GanttPeriod),"◇","")),IF(AND(AR$5&lt;=$F120,AR$5+GanttPeriod-1&gt;=$E120),"━","")))</f>
        <v/>
      </c>
      <c r="AS120" s="69" t="str">
        <f aca="false">IF($E120="","",IF($M120,IF(AND($G120&gt;=AS$5,$G120&lt;AS$5+GanttPeriod),"◆",IF(AND($E120&gt;=AS$5,$E120&lt;AS$5+GanttPeriod),"◇","")),IF(AND(AS$5&lt;=$F120,AS$5+GanttPeriod-1&gt;=$E120),"━","")))</f>
        <v/>
      </c>
      <c r="AT120" s="69" t="str">
        <f aca="false">IF($E120="","",IF($M120,IF(AND($G120&gt;=AT$5,$G120&lt;AT$5+GanttPeriod),"◆",IF(AND($E120&gt;=AT$5,$E120&lt;AT$5+GanttPeriod),"◇","")),IF(AND(AT$5&lt;=$F120,AT$5+GanttPeriod-1&gt;=$E120),"━","")))</f>
        <v/>
      </c>
      <c r="AU120" s="69" t="str">
        <f aca="false">IF($E120="","",IF($M120,IF(AND($G120&gt;=AU$5,$G120&lt;AU$5+GanttPeriod),"◆",IF(AND($E120&gt;=AU$5,$E120&lt;AU$5+GanttPeriod),"◇","")),IF(AND(AU$5&lt;=$F120,AU$5+GanttPeriod-1&gt;=$E120),"━","")))</f>
        <v/>
      </c>
      <c r="AV120" s="69" t="str">
        <f aca="false">IF($E120="","",IF($M120,IF(AND($G120&gt;=AV$5,$G120&lt;AV$5+GanttPeriod),"◆",IF(AND($E120&gt;=AV$5,$E120&lt;AV$5+GanttPeriod),"◇","")),IF(AND(AV$5&lt;=$F120,AV$5+GanttPeriod-1&gt;=$E120),"━","")))</f>
        <v/>
      </c>
      <c r="AW120" s="69" t="str">
        <f aca="false">IF($E120="","",IF($M120,IF(AND($G120&gt;=AW$5,$G120&lt;AW$5+GanttPeriod),"◆",IF(AND($E120&gt;=AW$5,$E120&lt;AW$5+GanttPeriod),"◇","")),IF(AND(AW$5&lt;=$F120,AW$5+GanttPeriod-1&gt;=$E120),"━","")))</f>
        <v/>
      </c>
      <c r="AX120" s="69" t="str">
        <f aca="false">IF($E120="","",IF($M120,IF(AND($G120&gt;=AX$5,$G120&lt;AX$5+GanttPeriod),"◆",IF(AND($E120&gt;=AX$5,$E120&lt;AX$5+GanttPeriod),"◇","")),IF(AND(AX$5&lt;=$F120,AX$5+GanttPeriod-1&gt;=$E120),"━","")))</f>
        <v/>
      </c>
      <c r="AY120" s="69" t="str">
        <f aca="false">IF($E120="","",IF($M120,IF(AND($G120&gt;=AY$5,$G120&lt;AY$5+GanttPeriod),"◆",IF(AND($E120&gt;=AY$5,$E120&lt;AY$5+GanttPeriod),"◇","")),IF(AND(AY$5&lt;=$F120,AY$5+GanttPeriod-1&gt;=$E120),"━","")))</f>
        <v/>
      </c>
      <c r="AZ120" s="69" t="str">
        <f aca="false">IF($E120="","",IF($M120,IF(AND($G120&gt;=AZ$5,$G120&lt;AZ$5+GanttPeriod),"◆",IF(AND($E120&gt;=AZ$5,$E120&lt;AZ$5+GanttPeriod),"◇","")),IF(AND(AZ$5&lt;=$F120,AZ$5+GanttPeriod-1&gt;=$E120),"━","")))</f>
        <v/>
      </c>
      <c r="BA120" s="69" t="str">
        <f aca="false">IF($E120="","",IF($M120,IF(AND($G120&gt;=BA$5,$G120&lt;BA$5+GanttPeriod),"◆",IF(AND($E120&gt;=BA$5,$E120&lt;BA$5+GanttPeriod),"◇","")),IF(AND(BA$5&lt;=$F120,BA$5+GanttPeriod-1&gt;=$E120),"━","")))</f>
        <v/>
      </c>
      <c r="BB120" s="69" t="str">
        <f aca="false">IF($E120="","",IF($M120,IF(AND($G120&gt;=BB$5,$G120&lt;BB$5+GanttPeriod),"◆",IF(AND($E120&gt;=BB$5,$E120&lt;BB$5+GanttPeriod),"◇","")),IF(AND(BB$5&lt;=$F120,BB$5+GanttPeriod-1&gt;=$E120),"━","")))</f>
        <v/>
      </c>
      <c r="BC120" s="69" t="str">
        <f aca="false">IF($E120="","",IF($M120,IF(AND($G120&gt;=BC$5,$G120&lt;BC$5+GanttPeriod),"◆",IF(AND($E120&gt;=BC$5,$E120&lt;BC$5+GanttPeriod),"◇","")),IF(AND(BC$5&lt;=$F120,BC$5+GanttPeriod-1&gt;=$E120),"━","")))</f>
        <v/>
      </c>
      <c r="BD120" s="69" t="str">
        <f aca="false">IF($E120="","",IF($M120,IF(AND($G120&gt;=BD$5,$G120&lt;BD$5+GanttPeriod),"◆",IF(AND($E120&gt;=BD$5,$E120&lt;BD$5+GanttPeriod),"◇","")),IF(AND(BD$5&lt;=$F120,BD$5+GanttPeriod-1&gt;=$E120),"━","")))</f>
        <v/>
      </c>
      <c r="BE120" s="69" t="str">
        <f aca="false">IF($E120="","",IF($M120,IF(AND($G120&gt;=BE$5,$G120&lt;BE$5+GanttPeriod),"◆",IF(AND($E120&gt;=BE$5,$E120&lt;BE$5+GanttPeriod),"◇","")),IF(AND(BE$5&lt;=$F120,BE$5+GanttPeriod-1&gt;=$E120),"━","")))</f>
        <v/>
      </c>
      <c r="BF120" s="69" t="str">
        <f aca="false">IF($E120="","",IF($M120,IF(AND($G120&gt;=BF$5,$G120&lt;BF$5+GanttPeriod),"◆",IF(AND($E120&gt;=BF$5,$E120&lt;BF$5+GanttPeriod),"◇","")),IF(AND(BF$5&lt;=$F120,BF$5+GanttPeriod-1&gt;=$E120),"━","")))</f>
        <v/>
      </c>
      <c r="BG120" s="69" t="str">
        <f aca="false">IF($E120="","",IF($M120,IF(AND($G120&gt;=BG$5,$G120&lt;BG$5+GanttPeriod),"◆",IF(AND($E120&gt;=BG$5,$E120&lt;BG$5+GanttPeriod),"◇","")),IF(AND(BG$5&lt;=$F120,BG$5+GanttPeriod-1&gt;=$E120),"━","")))</f>
        <v/>
      </c>
      <c r="BH120" s="69" t="str">
        <f aca="false">IF($E120="","",IF($M120,IF(AND($G120&gt;=BH$5,$G120&lt;BH$5+GanttPeriod),"◆",IF(AND($E120&gt;=BH$5,$E120&lt;BH$5+GanttPeriod),"◇","")),IF(AND(BH$5&lt;=$F120,BH$5+GanttPeriod-1&gt;=$E120),"━","")))</f>
        <v/>
      </c>
      <c r="BI120" s="69" t="str">
        <f aca="false">IF($E120="","",IF($M120,IF(AND($G120&gt;=BI$5,$G120&lt;BI$5+GanttPeriod),"◆",IF(AND($E120&gt;=BI$5,$E120&lt;BI$5+GanttPeriod),"◇","")),IF(AND(BI$5&lt;=$F120,BI$5+GanttPeriod-1&gt;=$E120),"━","")))</f>
        <v/>
      </c>
      <c r="BJ120" s="69" t="str">
        <f aca="false">IF($E120="","",IF($M120,IF(AND($G120&gt;=BJ$5,$G120&lt;BJ$5+GanttPeriod),"◆",IF(AND($E120&gt;=BJ$5,$E120&lt;BJ$5+GanttPeriod),"◇","")),IF(AND(BJ$5&lt;=$F120,BJ$5+GanttPeriod-1&gt;=$E120),"━","")))</f>
        <v/>
      </c>
      <c r="BK120" s="69" t="str">
        <f aca="false">IF($E120="","",IF($M120,IF(AND($G120&gt;=BK$5,$G120&lt;BK$5+GanttPeriod),"◆",IF(AND($E120&gt;=BK$5,$E120&lt;BK$5+GanttPeriod),"◇","")),IF(AND(BK$5&lt;=$F120,BK$5+GanttPeriod-1&gt;=$E120),"━","")))</f>
        <v/>
      </c>
      <c r="BL120" s="69" t="str">
        <f aca="false">IF($E120="","",IF($M120,IF(AND($G120&gt;=BL$5,$G120&lt;BL$5+GanttPeriod),"◆",IF(AND($E120&gt;=BL$5,$E120&lt;BL$5+GanttPeriod),"◇","")),IF(AND(BL$5&lt;=$F120,BL$5+GanttPeriod-1&gt;=$E120),"━","")))</f>
        <v/>
      </c>
      <c r="BM120" s="69" t="str">
        <f aca="false">IF($E120="","",IF($M120,IF(AND($G120&gt;=BM$5,$G120&lt;BM$5+GanttPeriod),"◆",IF(AND($E120&gt;=BM$5,$E120&lt;BM$5+GanttPeriod),"◇","")),IF(AND(BM$5&lt;=$F120,BM$5+GanttPeriod-1&gt;=$E120),"━","")))</f>
        <v/>
      </c>
      <c r="BN120" s="69" t="str">
        <f aca="false">IF($E120="","",IF($M120,IF(AND($G120&gt;=BN$5,$G120&lt;BN$5+GanttPeriod),"◆",IF(AND($E120&gt;=BN$5,$E120&lt;BN$5+GanttPeriod),"◇","")),IF(AND(BN$5&lt;=$F120,BN$5+GanttPeriod-1&gt;=$E120),"━","")))</f>
        <v/>
      </c>
      <c r="BO120" s="69" t="str">
        <f aca="false">IF($E120="","",IF($M120,IF(AND($G120&gt;=BO$5,$G120&lt;BO$5+GanttPeriod),"◆",IF(AND($E120&gt;=BO$5,$E120&lt;BO$5+GanttPeriod),"◇","")),IF(AND(BO$5&lt;=$F120,BO$5+GanttPeriod-1&gt;=$E120),"━","")))</f>
        <v/>
      </c>
      <c r="BP120" s="69" t="str">
        <f aca="false">IF($E120="","",IF($M120,IF(AND($G120&gt;=BP$5,$G120&lt;BP$5+GanttPeriod),"◆",IF(AND($E120&gt;=BP$5,$E120&lt;BP$5+GanttPeriod),"◇","")),IF(AND(BP$5&lt;=$F120,BP$5+GanttPeriod-1&gt;=$E120),"━","")))</f>
        <v/>
      </c>
      <c r="BQ120" s="69" t="str">
        <f aca="false">IF($E120="","",IF($M120,IF(AND($G120&gt;=BQ$5,$G120&lt;BQ$5+GanttPeriod),"◆",IF(AND($E120&gt;=BQ$5,$E120&lt;BQ$5+GanttPeriod),"◇","")),IF(AND(BQ$5&lt;=$F120,BQ$5+GanttPeriod-1&gt;=$E120),"━","")))</f>
        <v/>
      </c>
      <c r="BR120" s="69" t="str">
        <f aca="false">IF($E120="","",IF($M120,IF(AND($G120&gt;=BR$5,$G120&lt;BR$5+GanttPeriod),"◆",IF(AND($E120&gt;=BR$5,$E120&lt;BR$5+GanttPeriod),"◇","")),IF(AND(BR$5&lt;=$F120,BR$5+GanttPeriod-1&gt;=$E120),"━","")))</f>
        <v/>
      </c>
      <c r="BS120" s="69" t="str">
        <f aca="false">IF($E120="","",IF($M120,IF(AND($G120&gt;=BS$5,$G120&lt;BS$5+GanttPeriod),"◆",IF(AND($E120&gt;=BS$5,$E120&lt;BS$5+GanttPeriod),"◇","")),IF(AND(BS$5&lt;=$F120,BS$5+GanttPeriod-1&gt;=$E120),"━","")))</f>
        <v/>
      </c>
      <c r="BT120" s="69" t="str">
        <f aca="false">IF($E120="","",IF($M120,IF(AND($G120&gt;=BT$5,$G120&lt;BT$5+GanttPeriod),"◆",IF(AND($E120&gt;=BT$5,$E120&lt;BT$5+GanttPeriod),"◇","")),IF(AND(BT$5&lt;=$F120,BT$5+GanttPeriod-1&gt;=$E120),"━","")))</f>
        <v/>
      </c>
      <c r="BU120" s="69" t="str">
        <f aca="false">IF($E120="","",IF($M120,IF(AND($G120&gt;=BU$5,$G120&lt;BU$5+GanttPeriod),"◆",IF(AND($E120&gt;=BU$5,$E120&lt;BU$5+GanttPeriod),"◇","")),IF(AND(BU$5&lt;=$F120,BU$5+GanttPeriod-1&gt;=$E120),"━","")))</f>
        <v/>
      </c>
      <c r="BV120" s="69" t="str">
        <f aca="false">IF($E120="","",IF($M120,IF(AND($G120&gt;=BV$5,$G120&lt;BV$5+GanttPeriod),"◆",IF(AND($E120&gt;=BV$5,$E120&lt;BV$5+GanttPeriod),"◇","")),IF(AND(BV$5&lt;=$F120,BV$5+GanttPeriod-1&gt;=$E120),"━","")))</f>
        <v/>
      </c>
      <c r="BW120" s="69" t="str">
        <f aca="false">IF($E120="","",IF($M120,IF(AND($G120&gt;=BW$5,$G120&lt;BW$5+GanttPeriod),"◆",IF(AND($E120&gt;=BW$5,$E120&lt;BW$5+GanttPeriod),"◇","")),IF(AND(BW$5&lt;=$F120,BW$5+GanttPeriod-1&gt;=$E120),"━","")))</f>
        <v/>
      </c>
      <c r="BX120" s="69" t="str">
        <f aca="false">IF($E120="","",IF($M120,IF(AND($G120&gt;=BX$5,$G120&lt;BX$5+GanttPeriod),"◆",IF(AND($E120&gt;=BX$5,$E120&lt;BX$5+GanttPeriod),"◇","")),IF(AND(BX$5&lt;=$F120,BX$5+GanttPeriod-1&gt;=$E120),"━","")))</f>
        <v/>
      </c>
      <c r="BY120" s="69" t="str">
        <f aca="false">IF($E120="","",IF($M120,IF(AND($G120&gt;=BY$5,$G120&lt;BY$5+GanttPeriod),"◆",IF(AND($E120&gt;=BY$5,$E120&lt;BY$5+GanttPeriod),"◇","")),IF(AND(BY$5&lt;=$F120,BY$5+GanttPeriod-1&gt;=$E120),"━","")))</f>
        <v/>
      </c>
      <c r="BZ120" s="69" t="str">
        <f aca="false">IF($E120="","",IF($M120,IF(AND($G120&gt;=BZ$5,$G120&lt;BZ$5+GanttPeriod),"◆",IF(AND($E120&gt;=BZ$5,$E120&lt;BZ$5+GanttPeriod),"◇","")),IF(AND(BZ$5&lt;=$F120,BZ$5+GanttPeriod-1&gt;=$E120),"━","")))</f>
        <v/>
      </c>
      <c r="CA120" s="69" t="str">
        <f aca="false">IF($E120="","",IF($M120,IF(AND($G120&gt;=CA$5,$G120&lt;CA$5+GanttPeriod),"◆",IF(AND($E120&gt;=CA$5,$E120&lt;CA$5+GanttPeriod),"◇","")),IF(AND(CA$5&lt;=$F120,CA$5+GanttPeriod-1&gt;=$E120),"━","")))</f>
        <v/>
      </c>
      <c r="CB120" s="69" t="str">
        <f aca="false">IF($E120="","",IF($M120,IF(AND($G120&gt;=CB$5,$G120&lt;CB$5+GanttPeriod),"◆",IF(AND($E120&gt;=CB$5,$E120&lt;CB$5+GanttPeriod),"◇","")),IF(AND(CB$5&lt;=$F120,CB$5+GanttPeriod-1&gt;=$E120),"━","")))</f>
        <v/>
      </c>
      <c r="CC120" s="69" t="str">
        <f aca="false">IF($E120="","",IF($M120,IF(AND($G120&gt;=CC$5,$G120&lt;CC$5+GanttPeriod),"◆",IF(AND($E120&gt;=CC$5,$E120&lt;CC$5+GanttPeriod),"◇","")),IF(AND(CC$5&lt;=$F120,CC$5+GanttPeriod-1&gt;=$E120),"━","")))</f>
        <v/>
      </c>
      <c r="CD120" s="69" t="str">
        <f aca="false">IF($E120="","",IF($M120,IF(AND($G120&gt;=CD$5,$G120&lt;CD$5+GanttPeriod),"◆",IF(AND($E120&gt;=CD$5,$E120&lt;CD$5+GanttPeriod),"◇","")),IF(AND(CD$5&lt;=$F120,CD$5+GanttPeriod-1&gt;=$E120),"━","")))</f>
        <v/>
      </c>
      <c r="CE120" s="69" t="str">
        <f aca="false">IF($E120="","",IF($M120,IF(AND($G120&gt;=CE$5,$G120&lt;CE$5+GanttPeriod),"◆",IF(AND($E120&gt;=CE$5,$E120&lt;CE$5+GanttPeriod),"◇","")),IF(AND(CE$5&lt;=$F120,CE$5+GanttPeriod-1&gt;=$E120),"━","")))</f>
        <v/>
      </c>
      <c r="CF120" s="69" t="str">
        <f aca="false">IF($E120="","",IF($M120,IF(AND($G120&gt;=CF$5,$G120&lt;CF$5+GanttPeriod),"◆",IF(AND($E120&gt;=CF$5,$E120&lt;CF$5+GanttPeriod),"◇","")),IF(AND(CF$5&lt;=$F120,CF$5+GanttPeriod-1&gt;=$E120),"━","")))</f>
        <v/>
      </c>
      <c r="CG120" s="69" t="str">
        <f aca="false">IF($E120="","",IF($M120,IF(AND($G120&gt;=CG$5,$G120&lt;CG$5+GanttPeriod),"◆",IF(AND($E120&gt;=CG$5,$E120&lt;CG$5+GanttPeriod),"◇","")),IF(AND(CG$5&lt;=$F120,CG$5+GanttPeriod-1&gt;=$E120),"━","")))</f>
        <v/>
      </c>
      <c r="CH120" s="69" t="str">
        <f aca="false">IF($E120="","",IF($M120,IF(AND($G120&gt;=CH$5,$G120&lt;CH$5+GanttPeriod),"◆",IF(AND($E120&gt;=CH$5,$E120&lt;CH$5+GanttPeriod),"◇","")),IF(AND(CH$5&lt;=$F120,CH$5+GanttPeriod-1&gt;=$E120),"━","")))</f>
        <v/>
      </c>
      <c r="CI120" s="69" t="str">
        <f aca="false">IF($E120="","",IF($M120,IF(AND($G120&gt;=CI$5,$G120&lt;CI$5+GanttPeriod),"◆",IF(AND($E120&gt;=CI$5,$E120&lt;CI$5+GanttPeriod),"◇","")),IF(AND(CI$5&lt;=$F120,CI$5+GanttPeriod-1&gt;=$E120),"━","")))</f>
        <v/>
      </c>
      <c r="CJ120" s="69" t="str">
        <f aca="false">IF($E120="","",IF($M120,IF(AND($G120&gt;=CJ$5,$G120&lt;CJ$5+GanttPeriod),"◆",IF(AND($E120&gt;=CJ$5,$E120&lt;CJ$5+GanttPeriod),"◇","")),IF(AND(CJ$5&lt;=$F120,CJ$5+GanttPeriod-1&gt;=$E120),"━","")))</f>
        <v/>
      </c>
      <c r="CK120" s="69" t="str">
        <f aca="false">IF($E120="","",IF($M120,IF(AND($G120&gt;=CK$5,$G120&lt;CK$5+GanttPeriod),"◆",IF(AND($E120&gt;=CK$5,$E120&lt;CK$5+GanttPeriod),"◇","")),IF(AND(CK$5&lt;=$F120,CK$5+GanttPeriod-1&gt;=$E120),"━","")))</f>
        <v/>
      </c>
      <c r="CL120" s="69" t="str">
        <f aca="false">IF($E120="","",IF($M120,IF(AND($G120&gt;=CL$5,$G120&lt;CL$5+GanttPeriod),"◆",IF(AND($E120&gt;=CL$5,$E120&lt;CL$5+GanttPeriod),"◇","")),IF(AND(CL$5&lt;=$F120,CL$5+GanttPeriod-1&gt;=$E120),"━","")))</f>
        <v/>
      </c>
      <c r="CM120" s="69" t="str">
        <f aca="false">IF($E120="","",IF($M120,IF(AND($G120&gt;=CM$5,$G120&lt;CM$5+GanttPeriod),"◆",IF(AND($E120&gt;=CM$5,$E120&lt;CM$5+GanttPeriod),"◇","")),IF(AND(CM$5&lt;=$F120,CM$5+GanttPeriod-1&gt;=$E120),"━","")))</f>
        <v/>
      </c>
      <c r="CN120" s="69" t="str">
        <f aca="false">IF($E120="","",IF($M120,IF(AND($G120&gt;=CN$5,$G120&lt;CN$5+GanttPeriod),"◆",IF(AND($E120&gt;=CN$5,$E120&lt;CN$5+GanttPeriod),"◇","")),IF(AND(CN$5&lt;=$F120,CN$5+GanttPeriod-1&gt;=$E120),"━","")))</f>
        <v/>
      </c>
      <c r="CO120" s="69" t="str">
        <f aca="false">IF($E120="","",IF($M120,IF(AND($G120&gt;=CO$5,$G120&lt;CO$5+GanttPeriod),"◆",IF(AND($E120&gt;=CO$5,$E120&lt;CO$5+GanttPeriod),"◇","")),IF(AND(CO$5&lt;=$F120,CO$5+GanttPeriod-1&gt;=$E120),"━","")))</f>
        <v/>
      </c>
      <c r="CP120" s="69" t="str">
        <f aca="false">IF($E120="","",IF($M120,IF(AND($G120&gt;=CP$5,$G120&lt;CP$5+GanttPeriod),"◆",IF(AND($E120&gt;=CP$5,$E120&lt;CP$5+GanttPeriod),"◇","")),IF(AND(CP$5&lt;=$F120,CP$5+GanttPeriod-1&gt;=$E120),"━","")))</f>
        <v/>
      </c>
      <c r="CQ120" s="69" t="str">
        <f aca="false">IF($E120="","",IF($M120,IF(AND($G120&gt;=CQ$5,$G120&lt;CQ$5+GanttPeriod),"◆",IF(AND($E120&gt;=CQ$5,$E120&lt;CQ$5+GanttPeriod),"◇","")),IF(AND(CQ$5&lt;=$F120,CQ$5+GanttPeriod-1&gt;=$E120),"━","")))</f>
        <v/>
      </c>
      <c r="CR120" s="69" t="str">
        <f aca="false">IF($E120="","",IF($M120,IF(AND($G120&gt;=CR$5,$G120&lt;CR$5+GanttPeriod),"◆",IF(AND($E120&gt;=CR$5,$E120&lt;CR$5+GanttPeriod),"◇","")),IF(AND(CR$5&lt;=$F120,CR$5+GanttPeriod-1&gt;=$E120),"━","")))</f>
        <v/>
      </c>
      <c r="CS120" s="69" t="str">
        <f aca="false">IF($E120="","",IF($M120,IF(AND($G120&gt;=CS$5,$G120&lt;CS$5+GanttPeriod),"◆",IF(AND($E120&gt;=CS$5,$E120&lt;CS$5+GanttPeriod),"◇","")),IF(AND(CS$5&lt;=$F120,CS$5+GanttPeriod-1&gt;=$E120),"━","")))</f>
        <v/>
      </c>
      <c r="CT120" s="69" t="str">
        <f aca="false">IF($E120="","",IF($M120,IF(AND($G120&gt;=CT$5,$G120&lt;CT$5+GanttPeriod),"◆",IF(AND($E120&gt;=CT$5,$E120&lt;CT$5+GanttPeriod),"◇","")),IF(AND(CT$5&lt;=$F120,CT$5+GanttPeriod-1&gt;=$E120),"━","")))</f>
        <v/>
      </c>
      <c r="CU120" s="69" t="str">
        <f aca="false">IF($E120="","",IF($M120,IF(AND($G120&gt;=CU$5,$G120&lt;CU$5+GanttPeriod),"◆",IF(AND($E120&gt;=CU$5,$E120&lt;CU$5+GanttPeriod),"◇","")),IF(AND(CU$5&lt;=$F120,CU$5+GanttPeriod-1&gt;=$E120),"━","")))</f>
        <v/>
      </c>
      <c r="CV120" s="69" t="str">
        <f aca="false">IF($E120="","",IF($M120,IF(AND($G120&gt;=CV$5,$G120&lt;CV$5+GanttPeriod),"◆",IF(AND($E120&gt;=CV$5,$E120&lt;CV$5+GanttPeriod),"◇","")),IF(AND(CV$5&lt;=$F120,CV$5+GanttPeriod-1&gt;=$E120),"━","")))</f>
        <v/>
      </c>
      <c r="CW120" s="69" t="str">
        <f aca="false">IF($E120="","",IF($M120,IF(AND($G120&gt;=CW$5,$G120&lt;CW$5+GanttPeriod),"◆",IF(AND($E120&gt;=CW$5,$E120&lt;CW$5+GanttPeriod),"◇","")),IF(AND(CW$5&lt;=$F120,CW$5+GanttPeriod-1&gt;=$E120),"━","")))</f>
        <v/>
      </c>
      <c r="CX120" s="69" t="str">
        <f aca="false">IF($E120="","",IF($M120,IF(AND($G120&gt;=CX$5,$G120&lt;CX$5+GanttPeriod),"◆",IF(AND($E120&gt;=CX$5,$E120&lt;CX$5+GanttPeriod),"◇","")),IF(AND(CX$5&lt;=$F120,CX$5+GanttPeriod-1&gt;=$E120),"━","")))</f>
        <v/>
      </c>
      <c r="CY120" s="69" t="str">
        <f aca="false">IF($E120="","",IF($M120,IF(AND($G120&gt;=CY$5,$G120&lt;CY$5+GanttPeriod),"◆",IF(AND($E120&gt;=CY$5,$E120&lt;CY$5+GanttPeriod),"◇","")),IF(AND(CY$5&lt;=$F120,CY$5+GanttPeriod-1&gt;=$E120),"━","")))</f>
        <v/>
      </c>
      <c r="CZ120" s="69" t="str">
        <f aca="false">IF($E120="","",IF($M120,IF(AND($G120&gt;=CZ$5,$G120&lt;CZ$5+GanttPeriod),"◆",IF(AND($E120&gt;=CZ$5,$E120&lt;CZ$5+GanttPeriod),"◇","")),IF(AND(CZ$5&lt;=$F120,CZ$5+GanttPeriod-1&gt;=$E120),"━","")))</f>
        <v/>
      </c>
      <c r="DA120" s="69" t="str">
        <f aca="false">IF($E120="","",IF($M120,IF(AND($G120&gt;=DA$5,$G120&lt;DA$5+GanttPeriod),"◆",IF(AND($E120&gt;=DA$5,$E120&lt;DA$5+GanttPeriod),"◇","")),IF(AND(DA$5&lt;=$F120,DA$5+GanttPeriod-1&gt;=$E120),"━","")))</f>
        <v/>
      </c>
      <c r="DB120" s="69" t="str">
        <f aca="false">IF($E120="","",IF($M120,IF(AND($G120&gt;=DB$5,$G120&lt;DB$5+GanttPeriod),"◆",IF(AND($E120&gt;=DB$5,$E120&lt;DB$5+GanttPeriod),"◇","")),IF(AND(DB$5&lt;=$F120,DB$5+GanttPeriod-1&gt;=$E120),"━","")))</f>
        <v/>
      </c>
      <c r="DC120" s="69" t="str">
        <f aca="false">IF($E120="","",IF($M120,IF(AND($G120&gt;=DC$5,$G120&lt;DC$5+GanttPeriod),"◆",IF(AND($E120&gt;=DC$5,$E120&lt;DC$5+GanttPeriod),"◇","")),IF(AND(DC$5&lt;=$F120,DC$5+GanttPeriod-1&gt;=$E120),"━","")))</f>
        <v/>
      </c>
      <c r="DD120" s="69" t="str">
        <f aca="false">IF($E120="","",IF($M120,IF(AND($G120&gt;=DD$5,$G120&lt;DD$5+GanttPeriod),"◆",IF(AND($E120&gt;=DD$5,$E120&lt;DD$5+GanttPeriod),"◇","")),IF(AND(DD$5&lt;=$F120,DD$5+GanttPeriod-1&gt;=$E120),"━","")))</f>
        <v/>
      </c>
      <c r="DE120" s="69" t="str">
        <f aca="false">IF($E120="","",IF($M120,IF(AND($G120&gt;=DE$5,$G120&lt;DE$5+GanttPeriod),"◆",IF(AND($E120&gt;=DE$5,$E120&lt;DE$5+GanttPeriod),"◇","")),IF(AND(DE$5&lt;=$F120,DE$5+GanttPeriod-1&gt;=$E120),"━","")))</f>
        <v/>
      </c>
      <c r="DF120" s="69" t="str">
        <f aca="false">IF($E120="","",IF($M120,IF(AND($G120&gt;=DF$5,$G120&lt;DF$5+GanttPeriod),"◆",IF(AND($E120&gt;=DF$5,$E120&lt;DF$5+GanttPeriod),"◇","")),IF(AND(DF$5&lt;=$F120,DF$5+GanttPeriod-1&gt;=$E120),"━","")))</f>
        <v/>
      </c>
      <c r="DG120" s="69" t="str">
        <f aca="false">IF($E120="","",IF($M120,IF(AND($G120&gt;=DG$5,$G120&lt;DG$5+GanttPeriod),"◆",IF(AND($E120&gt;=DG$5,$E120&lt;DG$5+GanttPeriod),"◇","")),IF(AND(DG$5&lt;=$F120,DG$5+GanttPeriod-1&gt;=$E120),"━","")))</f>
        <v/>
      </c>
      <c r="DH120" s="69" t="str">
        <f aca="false">IF($E120="","",IF($M120,IF(AND($G120&gt;=DH$5,$G120&lt;DH$5+GanttPeriod),"◆",IF(AND($E120&gt;=DH$5,$E120&lt;DH$5+GanttPeriod),"◇","")),IF(AND(DH$5&lt;=$F120,DH$5+GanttPeriod-1&gt;=$E120),"━","")))</f>
        <v/>
      </c>
      <c r="DI120" s="69" t="str">
        <f aca="false">IF($E120="","",IF($M120,IF(AND($G120&gt;=DI$5,$G120&lt;DI$5+GanttPeriod),"◆",IF(AND($E120&gt;=DI$5,$E120&lt;DI$5+GanttPeriod),"◇","")),IF(AND(DI$5&lt;=$F120,DI$5+GanttPeriod-1&gt;=$E120),"━","")))</f>
        <v/>
      </c>
      <c r="DJ120" s="69" t="str">
        <f aca="false">IF($E120="","",IF($M120,IF(AND($G120&gt;=DJ$5,$G120&lt;DJ$5+GanttPeriod),"◆",IF(AND($E120&gt;=DJ$5,$E120&lt;DJ$5+GanttPeriod),"◇","")),IF(AND(DJ$5&lt;=$F120,DJ$5+GanttPeriod-1&gt;=$E120),"━","")))</f>
        <v/>
      </c>
      <c r="DK120" s="69" t="str">
        <f aca="false">IF($E120="","",IF($M120,IF(AND($G120&gt;=DK$5,$G120&lt;DK$5+GanttPeriod),"◆",IF(AND($E120&gt;=DK$5,$E120&lt;DK$5+GanttPeriod),"◇","")),IF(AND(DK$5&lt;=$F120,DK$5+GanttPeriod-1&gt;=$E120),"━","")))</f>
        <v/>
      </c>
      <c r="DL120" s="69" t="str">
        <f aca="false">IF($E120="","",IF($M120,IF(AND($G120&gt;=DL$5,$G120&lt;DL$5+GanttPeriod),"◆",IF(AND($E120&gt;=DL$5,$E120&lt;DL$5+GanttPeriod),"◇","")),IF(AND(DL$5&lt;=$F120,DL$5+GanttPeriod-1&gt;=$E120),"━","")))</f>
        <v/>
      </c>
      <c r="DM120" s="69" t="str">
        <f aca="false">IF($E120="","",IF($M120,IF(AND($G120&gt;=DM$5,$G120&lt;DM$5+GanttPeriod),"◆",IF(AND($E120&gt;=DM$5,$E120&lt;DM$5+GanttPeriod),"◇","")),IF(AND(DM$5&lt;=$F120,DM$5+GanttPeriod-1&gt;=$E120),"━","")))</f>
        <v/>
      </c>
      <c r="DN120" s="69" t="str">
        <f aca="false">IF($E120="","",IF($M120,IF(AND($G120&gt;=DN$5,$G120&lt;DN$5+GanttPeriod),"◆",IF(AND($E120&gt;=DN$5,$E120&lt;DN$5+GanttPeriod),"◇","")),IF(AND(DN$5&lt;=$F120,DN$5+GanttPeriod-1&gt;=$E120),"━","")))</f>
        <v/>
      </c>
      <c r="DO120" s="69" t="str">
        <f aca="false">IF($E120="","",IF($M120,IF(AND($G120&gt;=DO$5,$G120&lt;DO$5+GanttPeriod),"◆",IF(AND($E120&gt;=DO$5,$E120&lt;DO$5+GanttPeriod),"◇","")),IF(AND(DO$5&lt;=$F120,DO$5+GanttPeriod-1&gt;=$E120),"━","")))</f>
        <v/>
      </c>
      <c r="DP120" s="69" t="str">
        <f aca="false">IF($E120="","",IF($M120,IF(AND($G120&gt;=DP$5,$G120&lt;DP$5+GanttPeriod),"◆",IF(AND($E120&gt;=DP$5,$E120&lt;DP$5+GanttPeriod),"◇","")),IF(AND(DP$5&lt;=$F120,DP$5+GanttPeriod-1&gt;=$E120),"━","")))</f>
        <v/>
      </c>
      <c r="DQ120" s="69" t="str">
        <f aca="false">IF($E120="","",IF($M120,IF(AND($G120&gt;=DQ$5,$G120&lt;DQ$5+GanttPeriod),"◆",IF(AND($E120&gt;=DQ$5,$E120&lt;DQ$5+GanttPeriod),"◇","")),IF(AND(DQ$5&lt;=$F120,DQ$5+GanttPeriod-1&gt;=$E120),"━","")))</f>
        <v/>
      </c>
      <c r="DR120" s="69" t="str">
        <f aca="false">IF($E120="","",IF($M120,IF(AND($G120&gt;=DR$5,$G120&lt;DR$5+GanttPeriod),"◆",IF(AND($E120&gt;=DR$5,$E120&lt;DR$5+GanttPeriod),"◇","")),IF(AND(DR$5&lt;=$F120,DR$5+GanttPeriod-1&gt;=$E120),"━","")))</f>
        <v/>
      </c>
      <c r="DS120" s="69" t="str">
        <f aca="false">IF($E120="","",IF($M120,IF(AND($G120&gt;=DS$5,$G120&lt;DS$5+GanttPeriod),"◆",IF(AND($E120&gt;=DS$5,$E120&lt;DS$5+GanttPeriod),"◇","")),IF(AND(DS$5&lt;=$F120,DS$5+GanttPeriod-1&gt;=$E120),"━","")))</f>
        <v/>
      </c>
      <c r="DT120" s="69" t="str">
        <f aca="false">IF($E120="","",IF($M120,IF(AND($G120&gt;=DT$5,$G120&lt;DT$5+GanttPeriod),"◆",IF(AND($E120&gt;=DT$5,$E120&lt;DT$5+GanttPeriod),"◇","")),IF(AND(DT$5&lt;=$F120,DT$5+GanttPeriod-1&gt;=$E120),"━","")))</f>
        <v/>
      </c>
      <c r="DU120" s="69" t="str">
        <f aca="false">IF($E120="","",IF($M120,IF(AND($G120&gt;=DU$5,$G120&lt;DU$5+GanttPeriod),"◆",IF(AND($E120&gt;=DU$5,$E120&lt;DU$5+GanttPeriod),"◇","")),IF(AND(DU$5&lt;=$F120,DU$5+GanttPeriod-1&gt;=$E120),"━","")))</f>
        <v/>
      </c>
      <c r="DV120" s="69" t="str">
        <f aca="false">IF($E120="","",IF($M120,IF(AND($G120&gt;=DV$5,$G120&lt;DV$5+GanttPeriod),"◆",IF(AND($E120&gt;=DV$5,$E120&lt;DV$5+GanttPeriod),"◇","")),IF(AND(DV$5&lt;=$F120,DV$5+GanttPeriod-1&gt;=$E120),"━","")))</f>
        <v/>
      </c>
      <c r="DW120" s="69" t="str">
        <f aca="false">IF($E120="","",IF($M120,IF(AND($G120&gt;=DW$5,$G120&lt;DW$5+GanttPeriod),"◆",IF(AND($E120&gt;=DW$5,$E120&lt;DW$5+GanttPeriod),"◇","")),IF(AND(DW$5&lt;=$F120,DW$5+GanttPeriod-1&gt;=$E120),"━","")))</f>
        <v/>
      </c>
      <c r="DX120" s="69" t="str">
        <f aca="false">IF($E120="","",IF($M120,IF(AND($G120&gt;=DX$5,$G120&lt;DX$5+GanttPeriod),"◆",IF(AND($E120&gt;=DX$5,$E120&lt;DX$5+GanttPeriod),"◇","")),IF(AND(DX$5&lt;=$F120,DX$5+GanttPeriod-1&gt;=$E120),"━","")))</f>
        <v/>
      </c>
      <c r="DY120" s="69" t="str">
        <f aca="false">IF($E120="","",IF($M120,IF(AND($G120&gt;=DY$5,$G120&lt;DY$5+GanttPeriod),"◆",IF(AND($E120&gt;=DY$5,$E120&lt;DY$5+GanttPeriod),"◇","")),IF(AND(DY$5&lt;=$F120,DY$5+GanttPeriod-1&gt;=$E120),"━","")))</f>
        <v/>
      </c>
      <c r="DZ120" s="69" t="str">
        <f aca="false">IF($E120="","",IF($M120,IF(AND($G120&gt;=DZ$5,$G120&lt;DZ$5+GanttPeriod),"◆",IF(AND($E120&gt;=DZ$5,$E120&lt;DZ$5+GanttPeriod),"◇","")),IF(AND(DZ$5&lt;=$F120,DZ$5+GanttPeriod-1&gt;=$E120),"━","")))</f>
        <v/>
      </c>
      <c r="EA120" s="69" t="str">
        <f aca="false">IF($E120="","",IF($M120,IF(AND($G120&gt;=EA$5,$G120&lt;EA$5+GanttPeriod),"◆",IF(AND($E120&gt;=EA$5,$E120&lt;EA$5+GanttPeriod),"◇","")),IF(AND(EA$5&lt;=$F120,EA$5+GanttPeriod-1&gt;=$E120),"━","")))</f>
        <v/>
      </c>
      <c r="EB120" s="69" t="str">
        <f aca="false">IF($E120="","",IF($M120,IF(AND($G120&gt;=EB$5,$G120&lt;EB$5+GanttPeriod),"◆",IF(AND($E120&gt;=EB$5,$E120&lt;EB$5+GanttPeriod),"◇","")),IF(AND(EB$5&lt;=$F120,EB$5+GanttPeriod-1&gt;=$E120),"━","")))</f>
        <v/>
      </c>
      <c r="EC120" s="69" t="str">
        <f aca="false">IF($E120="","",IF($M120,IF(AND($G120&gt;=EC$5,$G120&lt;EC$5+GanttPeriod),"◆",IF(AND($E120&gt;=EC$5,$E120&lt;EC$5+GanttPeriod),"◇","")),IF(AND(EC$5&lt;=$F120,EC$5+GanttPeriod-1&gt;=$E120),"━","")))</f>
        <v/>
      </c>
      <c r="ED120" s="69" t="str">
        <f aca="false">IF($E120="","",IF($M120,IF(AND($G120&gt;=ED$5,$G120&lt;ED$5+GanttPeriod),"◆",IF(AND($E120&gt;=ED$5,$E120&lt;ED$5+GanttPeriod),"◇","")),IF(AND(ED$5&lt;=$F120,ED$5+GanttPeriod-1&gt;=$E120),"━","")))</f>
        <v/>
      </c>
      <c r="EE120" s="69" t="str">
        <f aca="false">IF($E120="","",IF($M120,IF(AND($G120&gt;=EE$5,$G120&lt;EE$5+GanttPeriod),"◆",IF(AND($E120&gt;=EE$5,$E120&lt;EE$5+GanttPeriod),"◇","")),IF(AND(EE$5&lt;=$F120,EE$5+GanttPeriod-1&gt;=$E120),"━","")))</f>
        <v/>
      </c>
      <c r="EF120" s="69" t="str">
        <f aca="false">IF($E120="","",IF($M120,IF(AND($G120&gt;=EF$5,$G120&lt;EF$5+GanttPeriod),"◆",IF(AND($E120&gt;=EF$5,$E120&lt;EF$5+GanttPeriod),"◇","")),IF(AND(EF$5&lt;=$F120,EF$5+GanttPeriod-1&gt;=$E120),"━","")))</f>
        <v/>
      </c>
      <c r="EG120" s="69" t="str">
        <f aca="false">IF($E120="","",IF($M120,IF(AND($G120&gt;=EG$5,$G120&lt;EG$5+GanttPeriod),"◆",IF(AND($E120&gt;=EG$5,$E120&lt;EG$5+GanttPeriod),"◇","")),IF(AND(EG$5&lt;=$F120,EG$5+GanttPeriod-1&gt;=$E120),"━","")))</f>
        <v/>
      </c>
      <c r="EH120" s="69" t="str">
        <f aca="false">IF($E120="","",IF($M120,IF(AND($G120&gt;=EH$5,$G120&lt;EH$5+GanttPeriod),"◆",IF(AND($E120&gt;=EH$5,$E120&lt;EH$5+GanttPeriod),"◇","")),IF(AND(EH$5&lt;=$F120,EH$5+GanttPeriod-1&gt;=$E120),"━","")))</f>
        <v/>
      </c>
      <c r="EI120" s="69" t="str">
        <f aca="false">IF($E120="","",IF($M120,IF(AND($G120&gt;=EI$5,$G120&lt;EI$5+GanttPeriod),"◆",IF(AND($E120&gt;=EI$5,$E120&lt;EI$5+GanttPeriod),"◇","")),IF(AND(EI$5&lt;=$F120,EI$5+GanttPeriod-1&gt;=$E120),"━","")))</f>
        <v/>
      </c>
      <c r="EJ120" s="69" t="str">
        <f aca="false">IF($E120="","",IF($M120,IF(AND($G120&gt;=EJ$5,$G120&lt;EJ$5+GanttPeriod),"◆",IF(AND($E120&gt;=EJ$5,$E120&lt;EJ$5+GanttPeriod),"◇","")),IF(AND(EJ$5&lt;=$F120,EJ$5+GanttPeriod-1&gt;=$E120),"━","")))</f>
        <v/>
      </c>
      <c r="EK120" s="69" t="str">
        <f aca="false">IF($E120="","",IF($M120,IF(AND($G120&gt;=EK$5,$G120&lt;EK$5+GanttPeriod),"◆",IF(AND($E120&gt;=EK$5,$E120&lt;EK$5+GanttPeriod),"◇","")),IF(AND(EK$5&lt;=$F120,EK$5+GanttPeriod-1&gt;=$E120),"━","")))</f>
        <v/>
      </c>
      <c r="EL120" s="69" t="str">
        <f aca="false">IF($E120="","",IF($M120,IF(AND($G120&gt;=EL$5,$G120&lt;EL$5+GanttPeriod),"◆",IF(AND($E120&gt;=EL$5,$E120&lt;EL$5+GanttPeriod),"◇","")),IF(AND(EL$5&lt;=$F120,EL$5+GanttPeriod-1&gt;=$E120),"━","")))</f>
        <v/>
      </c>
      <c r="EM120" s="69" t="str">
        <f aca="false">IF($E120="","",IF($M120,IF(AND($G120&gt;=EM$5,$G120&lt;EM$5+GanttPeriod),"◆",IF(AND($E120&gt;=EM$5,$E120&lt;EM$5+GanttPeriod),"◇","")),IF(AND(EM$5&lt;=$F120,EM$5+GanttPeriod-1&gt;=$E120),"━","")))</f>
        <v/>
      </c>
      <c r="EN120" s="69" t="str">
        <f aca="false">IF($E120="","",IF($M120,IF(AND($G120&gt;=EN$5,$G120&lt;EN$5+GanttPeriod),"◆",IF(AND($E120&gt;=EN$5,$E120&lt;EN$5+GanttPeriod),"◇","")),IF(AND(EN$5&lt;=$F120,EN$5+GanttPeriod-1&gt;=$E120),"━","")))</f>
        <v/>
      </c>
      <c r="EO120" s="69" t="str">
        <f aca="false">IF($E120="","",IF($M120,IF(AND($G120&gt;=EO$5,$G120&lt;EO$5+GanttPeriod),"◆",IF(AND($E120&gt;=EO$5,$E120&lt;EO$5+GanttPeriod),"◇","")),IF(AND(EO$5&lt;=$F120,EO$5+GanttPeriod-1&gt;=$E120),"━","")))</f>
        <v/>
      </c>
      <c r="EP120" s="69" t="str">
        <f aca="false">IF($E120="","",IF($M120,IF(AND($G120&gt;=EP$5,$G120&lt;EP$5+GanttPeriod),"◆",IF(AND($E120&gt;=EP$5,$E120&lt;EP$5+GanttPeriod),"◇","")),IF(AND(EP$5&lt;=$F120,EP$5+GanttPeriod-1&gt;=$E120),"━","")))</f>
        <v/>
      </c>
      <c r="EQ120" s="69" t="str">
        <f aca="false">IF($E120="","",IF($M120,IF(AND($G120&gt;=EQ$5,$G120&lt;EQ$5+GanttPeriod),"◆",IF(AND($E120&gt;=EQ$5,$E120&lt;EQ$5+GanttPeriod),"◇","")),IF(AND(EQ$5&lt;=$F120,EQ$5+GanttPeriod-1&gt;=$E120),"━","")))</f>
        <v/>
      </c>
      <c r="ER120" s="69" t="str">
        <f aca="false">IF($E120="","",IF($M120,IF(AND($G120&gt;=ER$5,$G120&lt;ER$5+GanttPeriod),"◆",IF(AND($E120&gt;=ER$5,$E120&lt;ER$5+GanttPeriod),"◇","")),IF(AND(ER$5&lt;=$F120,ER$5+GanttPeriod-1&gt;=$E120),"━","")))</f>
        <v/>
      </c>
      <c r="ES120" s="69" t="str">
        <f aca="false">IF($E120="","",IF($M120,IF(AND($G120&gt;=ES$5,$G120&lt;ES$5+GanttPeriod),"◆",IF(AND($E120&gt;=ES$5,$E120&lt;ES$5+GanttPeriod),"◇","")),IF(AND(ES$5&lt;=$F120,ES$5+GanttPeriod-1&gt;=$E120),"━","")))</f>
        <v/>
      </c>
      <c r="ET120" s="69" t="str">
        <f aca="false">IF($E120="","",IF($M120,IF(AND($G120&gt;=ET$5,$G120&lt;ET$5+GanttPeriod),"◆",IF(AND($E120&gt;=ET$5,$E120&lt;ET$5+GanttPeriod),"◇","")),IF(AND(ET$5&lt;=$F120,ET$5+GanttPeriod-1&gt;=$E120),"━","")))</f>
        <v/>
      </c>
      <c r="EU120" s="69" t="str">
        <f aca="false">IF($E120="","",IF($M120,IF(AND($G120&gt;=EU$5,$G120&lt;EU$5+GanttPeriod),"◆",IF(AND($E120&gt;=EU$5,$E120&lt;EU$5+GanttPeriod),"◇","")),IF(AND(EU$5&lt;=$F120,EU$5+GanttPeriod-1&gt;=$E120),"━","")))</f>
        <v/>
      </c>
      <c r="EV120" s="69" t="str">
        <f aca="false">IF($E120="","",IF($M120,IF(AND($G120&gt;=EV$5,$G120&lt;EV$5+GanttPeriod),"◆",IF(AND($E120&gt;=EV$5,$E120&lt;EV$5+GanttPeriod),"◇","")),IF(AND(EV$5&lt;=$F120,EV$5+GanttPeriod-1&gt;=$E120),"━","")))</f>
        <v/>
      </c>
      <c r="EW120" s="69" t="str">
        <f aca="false">IF($E120="","",IF($M120,IF(AND($G120&gt;=EW$5,$G120&lt;EW$5+GanttPeriod),"◆",IF(AND($E120&gt;=EW$5,$E120&lt;EW$5+GanttPeriod),"◇","")),IF(AND(EW$5&lt;=$F120,EW$5+GanttPeriod-1&gt;=$E120),"━","")))</f>
        <v/>
      </c>
      <c r="EX120" s="69" t="str">
        <f aca="false">IF($E120="","",IF($M120,IF(AND($G120&gt;=EX$5,$G120&lt;EX$5+GanttPeriod),"◆",IF(AND($E120&gt;=EX$5,$E120&lt;EX$5+GanttPeriod),"◇","")),IF(AND(EX$5&lt;=$F120,EX$5+GanttPeriod-1&gt;=$E120),"━","")))</f>
        <v/>
      </c>
      <c r="EY120" s="69" t="str">
        <f aca="false">IF($E120="","",IF($M120,IF(AND($G120&gt;=EY$5,$G120&lt;EY$5+GanttPeriod),"◆",IF(AND($E120&gt;=EY$5,$E120&lt;EY$5+GanttPeriod),"◇","")),IF(AND(EY$5&lt;=$F120,EY$5+GanttPeriod-1&gt;=$E120),"━","")))</f>
        <v/>
      </c>
      <c r="EZ120" s="69" t="str">
        <f aca="false">IF($E120="","",IF($M120,IF(AND($G120&gt;=EZ$5,$G120&lt;EZ$5+GanttPeriod),"◆",IF(AND($E120&gt;=EZ$5,$E120&lt;EZ$5+GanttPeriod),"◇","")),IF(AND(EZ$5&lt;=$F120,EZ$5+GanttPeriod-1&gt;=$E120),"━","")))</f>
        <v/>
      </c>
      <c r="FA120" s="69" t="str">
        <f aca="false">IF($E120="","",IF($M120,IF(AND($G120&gt;=FA$5,$G120&lt;FA$5+GanttPeriod),"◆",IF(AND($E120&gt;=FA$5,$E120&lt;FA$5+GanttPeriod),"◇","")),IF(AND(FA$5&lt;=$F120,FA$5+GanttPeriod-1&gt;=$E120),"━","")))</f>
        <v/>
      </c>
      <c r="FB120" s="69" t="str">
        <f aca="false">IF($E120="","",IF($M120,IF(AND($G120&gt;=FB$5,$G120&lt;FB$5+GanttPeriod),"◆",IF(AND($E120&gt;=FB$5,$E120&lt;FB$5+GanttPeriod),"◇","")),IF(AND(FB$5&lt;=$F120,FB$5+GanttPeriod-1&gt;=$E120),"━","")))</f>
        <v/>
      </c>
      <c r="FC120" s="69" t="str">
        <f aca="false">IF($E120="","",IF($M120,IF(AND($G120&gt;=FC$5,$G120&lt;FC$5+GanttPeriod),"◆",IF(AND($E120&gt;=FC$5,$E120&lt;FC$5+GanttPeriod),"◇","")),IF(AND(FC$5&lt;=$F120,FC$5+GanttPeriod-1&gt;=$E120),"━","")))</f>
        <v/>
      </c>
      <c r="FD120" s="69" t="str">
        <f aca="false">IF($E120="","",IF($M120,IF(AND($G120&gt;=FD$5,$G120&lt;FD$5+GanttPeriod),"◆",IF(AND($E120&gt;=FD$5,$E120&lt;FD$5+GanttPeriod),"◇","")),IF(AND(FD$5&lt;=$F120,FD$5+GanttPeriod-1&gt;=$E120),"━","")))</f>
        <v/>
      </c>
      <c r="FE120" s="69" t="str">
        <f aca="false">IF($E120="","",IF($M120,IF(AND($G120&gt;=FE$5,$G120&lt;FE$5+GanttPeriod),"◆",IF(AND($E120&gt;=FE$5,$E120&lt;FE$5+GanttPeriod),"◇","")),IF(AND(FE$5&lt;=$F120,FE$5+GanttPeriod-1&gt;=$E120),"━","")))</f>
        <v/>
      </c>
      <c r="FF120" s="69" t="str">
        <f aca="false">IF($E120="","",IF($M120,IF(AND($G120&gt;=FF$5,$G120&lt;FF$5+GanttPeriod),"◆",IF(AND($E120&gt;=FF$5,$E120&lt;FF$5+GanttPeriod),"◇","")),IF(AND(FF$5&lt;=$F120,FF$5+GanttPeriod-1&gt;=$E120),"━","")))</f>
        <v/>
      </c>
      <c r="FG120" s="69" t="str">
        <f aca="false">IF($E120="","",IF($M120,IF(AND($G120&gt;=FG$5,$G120&lt;FG$5+GanttPeriod),"◆",IF(AND($E120&gt;=FG$5,$E120&lt;FG$5+GanttPeriod),"◇","")),IF(AND(FG$5&lt;=$F120,FG$5+GanttPeriod-1&gt;=$E120),"━","")))</f>
        <v/>
      </c>
      <c r="FH120" s="69" t="str">
        <f aca="false">IF($E120="","",IF($M120,IF(AND($G120&gt;=FH$5,$G120&lt;FH$5+GanttPeriod),"◆",IF(AND($E120&gt;=FH$5,$E120&lt;FH$5+GanttPeriod),"◇","")),IF(AND(FH$5&lt;=$F120,FH$5+GanttPeriod-1&gt;=$E120),"━","")))</f>
        <v/>
      </c>
      <c r="FI120" s="69" t="str">
        <f aca="false">IF($E120="","",IF($M120,IF(AND($G120&gt;=FI$5,$G120&lt;FI$5+GanttPeriod),"◆",IF(AND($E120&gt;=FI$5,$E120&lt;FI$5+GanttPeriod),"◇","")),IF(AND(FI$5&lt;=$F120,FI$5+GanttPeriod-1&gt;=$E120),"━","")))</f>
        <v/>
      </c>
      <c r="FJ120" s="69" t="str">
        <f aca="false">IF($E120="","",IF($M120,IF(AND($G120&gt;=FJ$5,$G120&lt;FJ$5+GanttPeriod),"◆",IF(AND($E120&gt;=FJ$5,$E120&lt;FJ$5+GanttPeriod),"◇","")),IF(AND(FJ$5&lt;=$F120,FJ$5+GanttPeriod-1&gt;=$E120),"━","")))</f>
        <v/>
      </c>
      <c r="FK120" s="69" t="str">
        <f aca="false">IF($E120="","",IF($M120,IF(AND($G120&gt;=FK$5,$G120&lt;FK$5+GanttPeriod),"◆",IF(AND($E120&gt;=FK$5,$E120&lt;FK$5+GanttPeriod),"◇","")),IF(AND(FK$5&lt;=$F120,FK$5+GanttPeriod-1&gt;=$E120),"━","")))</f>
        <v/>
      </c>
      <c r="FL120" s="69" t="str">
        <f aca="false">IF($E120="","",IF($M120,IF(AND($G120&gt;=FL$5,$G120&lt;FL$5+GanttPeriod),"◆",IF(AND($E120&gt;=FL$5,$E120&lt;FL$5+GanttPeriod),"◇","")),IF(AND(FL$5&lt;=$F120,FL$5+GanttPeriod-1&gt;=$E120),"━","")))</f>
        <v/>
      </c>
      <c r="FM120" s="69" t="str">
        <f aca="false">IF($E120="","",IF($M120,IF(AND($G120&gt;=FM$5,$G120&lt;FM$5+GanttPeriod),"◆",IF(AND($E120&gt;=FM$5,$E120&lt;FM$5+GanttPeriod),"◇","")),IF(AND(FM$5&lt;=$F120,FM$5+GanttPeriod-1&gt;=$E120),"━","")))</f>
        <v/>
      </c>
    </row>
    <row r="121" customFormat="false" ht="15" hidden="false" customHeight="false" outlineLevel="0" collapsed="false">
      <c r="A121" s="62" t="str">
        <f aca="false">IF(Tasks!$D121="","",Tasks!$A121)</f>
        <v/>
      </c>
      <c r="B121" s="62" t="str">
        <f aca="false">IF(Tasks!$D121="","",Tasks!$B121)</f>
        <v/>
      </c>
      <c r="C121" s="63" t="str">
        <f aca="false">IF(Tasks!$D121="","",REPT("    ",Tasks!$AE121-1)&amp;Tasks!$D121)</f>
        <v/>
      </c>
      <c r="D121" s="62" t="str">
        <f aca="false">IF(Tasks!$D121="","",IF(Tasks!$AI121,NETWORKDAYS.INTL(Tasks!$R121,Tasks!$S121,WorkWeek,Holidays),N(Tasks!$F121)))</f>
        <v/>
      </c>
      <c r="E121" s="64" t="str">
        <f aca="false">IF(Tasks!$D121="","",Tasks!$N121)</f>
        <v/>
      </c>
      <c r="F121" s="64" t="str">
        <f aca="false">IF(Tasks!$D121="","",Tasks!$O121)</f>
        <v/>
      </c>
      <c r="G121" s="64" t="str">
        <f aca="false">IF(Tasks!$D121="","",Tasks!$R121)</f>
        <v/>
      </c>
      <c r="H121" s="64" t="str">
        <f aca="false">IF(Tasks!$D121="","",Tasks!$S121)</f>
        <v/>
      </c>
      <c r="I121" s="65" t="str">
        <f aca="false">IF(Tasks!$D121="","",Tasks!$V121)</f>
        <v/>
      </c>
      <c r="J121" s="63" t="str">
        <f aca="false">IF(Tasks!$D121="","",Tasks!$X121&amp;"")</f>
        <v/>
      </c>
      <c r="K121" s="66" t="str">
        <f aca="false">IF(Tasks!$D121="","",Tasks!$W121)</f>
        <v/>
      </c>
      <c r="L121" s="67" t="b">
        <f aca="false">IF(Tasks!$D121="",FALSE(),Tasks!$AI121)</f>
        <v>0</v>
      </c>
      <c r="M121" s="67" t="b">
        <f aca="false">AND(Tasks!$AJ121=1,N(Tasks!$F121)=0)</f>
        <v>0</v>
      </c>
      <c r="N121" s="68" t="n">
        <f aca="false">IF(AND(Tasks!$AJ121=1,NOT($M121),N($I121)&gt;0),$G121,0)</f>
        <v>0</v>
      </c>
      <c r="O121" s="68" t="n">
        <f aca="false">IF($N121=0,0,IF($I121&gt;=1,$H121,MAX($N121,$G121+ROUND(($H121-$G121+1)*$I121,0)-1)))</f>
        <v>0</v>
      </c>
      <c r="P121" s="68" t="n">
        <f aca="false">IF(OR(Tasks!$AJ121&lt;&gt;1,$M121,N($I121)&gt;=1),0,IF($O121&gt;0,$O121+1,$G121))</f>
        <v>0</v>
      </c>
      <c r="Q121" s="68" t="n">
        <f aca="false">IF($P121=0,0,$H121)</f>
        <v>0</v>
      </c>
      <c r="R121" s="67" t="b">
        <f aca="false">AND(Tasks!$D121&lt;&gt;"",N(Tasks!$T121)&gt;0)</f>
        <v>0</v>
      </c>
      <c r="T121" s="69" t="str">
        <f aca="false">IF($E121="","",IF($M121,IF(AND($G121&gt;=T$5,$G121&lt;T$5+GanttPeriod),"◆",IF(AND($E121&gt;=T$5,$E121&lt;T$5+GanttPeriod),"◇","")),IF(AND(T$5&lt;=$F121,T$5+GanttPeriod-1&gt;=$E121),"━","")))</f>
        <v/>
      </c>
      <c r="U121" s="69" t="str">
        <f aca="false">IF($E121="","",IF($M121,IF(AND($G121&gt;=U$5,$G121&lt;U$5+GanttPeriod),"◆",IF(AND($E121&gt;=U$5,$E121&lt;U$5+GanttPeriod),"◇","")),IF(AND(U$5&lt;=$F121,U$5+GanttPeriod-1&gt;=$E121),"━","")))</f>
        <v/>
      </c>
      <c r="V121" s="69" t="str">
        <f aca="false">IF($E121="","",IF($M121,IF(AND($G121&gt;=V$5,$G121&lt;V$5+GanttPeriod),"◆",IF(AND($E121&gt;=V$5,$E121&lt;V$5+GanttPeriod),"◇","")),IF(AND(V$5&lt;=$F121,V$5+GanttPeriod-1&gt;=$E121),"━","")))</f>
        <v/>
      </c>
      <c r="W121" s="69" t="str">
        <f aca="false">IF($E121="","",IF($M121,IF(AND($G121&gt;=W$5,$G121&lt;W$5+GanttPeriod),"◆",IF(AND($E121&gt;=W$5,$E121&lt;W$5+GanttPeriod),"◇","")),IF(AND(W$5&lt;=$F121,W$5+GanttPeriod-1&gt;=$E121),"━","")))</f>
        <v/>
      </c>
      <c r="X121" s="69" t="str">
        <f aca="false">IF($E121="","",IF($M121,IF(AND($G121&gt;=X$5,$G121&lt;X$5+GanttPeriod),"◆",IF(AND($E121&gt;=X$5,$E121&lt;X$5+GanttPeriod),"◇","")),IF(AND(X$5&lt;=$F121,X$5+GanttPeriod-1&gt;=$E121),"━","")))</f>
        <v/>
      </c>
      <c r="Y121" s="69" t="str">
        <f aca="false">IF($E121="","",IF($M121,IF(AND($G121&gt;=Y$5,$G121&lt;Y$5+GanttPeriod),"◆",IF(AND($E121&gt;=Y$5,$E121&lt;Y$5+GanttPeriod),"◇","")),IF(AND(Y$5&lt;=$F121,Y$5+GanttPeriod-1&gt;=$E121),"━","")))</f>
        <v/>
      </c>
      <c r="Z121" s="69" t="str">
        <f aca="false">IF($E121="","",IF($M121,IF(AND($G121&gt;=Z$5,$G121&lt;Z$5+GanttPeriod),"◆",IF(AND($E121&gt;=Z$5,$E121&lt;Z$5+GanttPeriod),"◇","")),IF(AND(Z$5&lt;=$F121,Z$5+GanttPeriod-1&gt;=$E121),"━","")))</f>
        <v/>
      </c>
      <c r="AA121" s="69" t="str">
        <f aca="false">IF($E121="","",IF($M121,IF(AND($G121&gt;=AA$5,$G121&lt;AA$5+GanttPeriod),"◆",IF(AND($E121&gt;=AA$5,$E121&lt;AA$5+GanttPeriod),"◇","")),IF(AND(AA$5&lt;=$F121,AA$5+GanttPeriod-1&gt;=$E121),"━","")))</f>
        <v/>
      </c>
      <c r="AB121" s="69" t="str">
        <f aca="false">IF($E121="","",IF($M121,IF(AND($G121&gt;=AB$5,$G121&lt;AB$5+GanttPeriod),"◆",IF(AND($E121&gt;=AB$5,$E121&lt;AB$5+GanttPeriod),"◇","")),IF(AND(AB$5&lt;=$F121,AB$5+GanttPeriod-1&gt;=$E121),"━","")))</f>
        <v/>
      </c>
      <c r="AC121" s="69" t="str">
        <f aca="false">IF($E121="","",IF($M121,IF(AND($G121&gt;=AC$5,$G121&lt;AC$5+GanttPeriod),"◆",IF(AND($E121&gt;=AC$5,$E121&lt;AC$5+GanttPeriod),"◇","")),IF(AND(AC$5&lt;=$F121,AC$5+GanttPeriod-1&gt;=$E121),"━","")))</f>
        <v/>
      </c>
      <c r="AD121" s="69" t="str">
        <f aca="false">IF($E121="","",IF($M121,IF(AND($G121&gt;=AD$5,$G121&lt;AD$5+GanttPeriod),"◆",IF(AND($E121&gt;=AD$5,$E121&lt;AD$5+GanttPeriod),"◇","")),IF(AND(AD$5&lt;=$F121,AD$5+GanttPeriod-1&gt;=$E121),"━","")))</f>
        <v/>
      </c>
      <c r="AE121" s="69" t="str">
        <f aca="false">IF($E121="","",IF($M121,IF(AND($G121&gt;=AE$5,$G121&lt;AE$5+GanttPeriod),"◆",IF(AND($E121&gt;=AE$5,$E121&lt;AE$5+GanttPeriod),"◇","")),IF(AND(AE$5&lt;=$F121,AE$5+GanttPeriod-1&gt;=$E121),"━","")))</f>
        <v/>
      </c>
      <c r="AF121" s="69" t="str">
        <f aca="false">IF($E121="","",IF($M121,IF(AND($G121&gt;=AF$5,$G121&lt;AF$5+GanttPeriod),"◆",IF(AND($E121&gt;=AF$5,$E121&lt;AF$5+GanttPeriod),"◇","")),IF(AND(AF$5&lt;=$F121,AF$5+GanttPeriod-1&gt;=$E121),"━","")))</f>
        <v/>
      </c>
      <c r="AG121" s="69" t="str">
        <f aca="false">IF($E121="","",IF($M121,IF(AND($G121&gt;=AG$5,$G121&lt;AG$5+GanttPeriod),"◆",IF(AND($E121&gt;=AG$5,$E121&lt;AG$5+GanttPeriod),"◇","")),IF(AND(AG$5&lt;=$F121,AG$5+GanttPeriod-1&gt;=$E121),"━","")))</f>
        <v/>
      </c>
      <c r="AH121" s="69" t="str">
        <f aca="false">IF($E121="","",IF($M121,IF(AND($G121&gt;=AH$5,$G121&lt;AH$5+GanttPeriod),"◆",IF(AND($E121&gt;=AH$5,$E121&lt;AH$5+GanttPeriod),"◇","")),IF(AND(AH$5&lt;=$F121,AH$5+GanttPeriod-1&gt;=$E121),"━","")))</f>
        <v/>
      </c>
      <c r="AI121" s="69" t="str">
        <f aca="false">IF($E121="","",IF($M121,IF(AND($G121&gt;=AI$5,$G121&lt;AI$5+GanttPeriod),"◆",IF(AND($E121&gt;=AI$5,$E121&lt;AI$5+GanttPeriod),"◇","")),IF(AND(AI$5&lt;=$F121,AI$5+GanttPeriod-1&gt;=$E121),"━","")))</f>
        <v/>
      </c>
      <c r="AJ121" s="69" t="str">
        <f aca="false">IF($E121="","",IF($M121,IF(AND($G121&gt;=AJ$5,$G121&lt;AJ$5+GanttPeriod),"◆",IF(AND($E121&gt;=AJ$5,$E121&lt;AJ$5+GanttPeriod),"◇","")),IF(AND(AJ$5&lt;=$F121,AJ$5+GanttPeriod-1&gt;=$E121),"━","")))</f>
        <v/>
      </c>
      <c r="AK121" s="69" t="str">
        <f aca="false">IF($E121="","",IF($M121,IF(AND($G121&gt;=AK$5,$G121&lt;AK$5+GanttPeriod),"◆",IF(AND($E121&gt;=AK$5,$E121&lt;AK$5+GanttPeriod),"◇","")),IF(AND(AK$5&lt;=$F121,AK$5+GanttPeriod-1&gt;=$E121),"━","")))</f>
        <v/>
      </c>
      <c r="AL121" s="69" t="str">
        <f aca="false">IF($E121="","",IF($M121,IF(AND($G121&gt;=AL$5,$G121&lt;AL$5+GanttPeriod),"◆",IF(AND($E121&gt;=AL$5,$E121&lt;AL$5+GanttPeriod),"◇","")),IF(AND(AL$5&lt;=$F121,AL$5+GanttPeriod-1&gt;=$E121),"━","")))</f>
        <v/>
      </c>
      <c r="AM121" s="69" t="str">
        <f aca="false">IF($E121="","",IF($M121,IF(AND($G121&gt;=AM$5,$G121&lt;AM$5+GanttPeriod),"◆",IF(AND($E121&gt;=AM$5,$E121&lt;AM$5+GanttPeriod),"◇","")),IF(AND(AM$5&lt;=$F121,AM$5+GanttPeriod-1&gt;=$E121),"━","")))</f>
        <v/>
      </c>
      <c r="AN121" s="69" t="str">
        <f aca="false">IF($E121="","",IF($M121,IF(AND($G121&gt;=AN$5,$G121&lt;AN$5+GanttPeriod),"◆",IF(AND($E121&gt;=AN$5,$E121&lt;AN$5+GanttPeriod),"◇","")),IF(AND(AN$5&lt;=$F121,AN$5+GanttPeriod-1&gt;=$E121),"━","")))</f>
        <v/>
      </c>
      <c r="AO121" s="69" t="str">
        <f aca="false">IF($E121="","",IF($M121,IF(AND($G121&gt;=AO$5,$G121&lt;AO$5+GanttPeriod),"◆",IF(AND($E121&gt;=AO$5,$E121&lt;AO$5+GanttPeriod),"◇","")),IF(AND(AO$5&lt;=$F121,AO$5+GanttPeriod-1&gt;=$E121),"━","")))</f>
        <v/>
      </c>
      <c r="AP121" s="69" t="str">
        <f aca="false">IF($E121="","",IF($M121,IF(AND($G121&gt;=AP$5,$G121&lt;AP$5+GanttPeriod),"◆",IF(AND($E121&gt;=AP$5,$E121&lt;AP$5+GanttPeriod),"◇","")),IF(AND(AP$5&lt;=$F121,AP$5+GanttPeriod-1&gt;=$E121),"━","")))</f>
        <v/>
      </c>
      <c r="AQ121" s="69" t="str">
        <f aca="false">IF($E121="","",IF($M121,IF(AND($G121&gt;=AQ$5,$G121&lt;AQ$5+GanttPeriod),"◆",IF(AND($E121&gt;=AQ$5,$E121&lt;AQ$5+GanttPeriod),"◇","")),IF(AND(AQ$5&lt;=$F121,AQ$5+GanttPeriod-1&gt;=$E121),"━","")))</f>
        <v/>
      </c>
      <c r="AR121" s="69" t="str">
        <f aca="false">IF($E121="","",IF($M121,IF(AND($G121&gt;=AR$5,$G121&lt;AR$5+GanttPeriod),"◆",IF(AND($E121&gt;=AR$5,$E121&lt;AR$5+GanttPeriod),"◇","")),IF(AND(AR$5&lt;=$F121,AR$5+GanttPeriod-1&gt;=$E121),"━","")))</f>
        <v/>
      </c>
      <c r="AS121" s="69" t="str">
        <f aca="false">IF($E121="","",IF($M121,IF(AND($G121&gt;=AS$5,$G121&lt;AS$5+GanttPeriod),"◆",IF(AND($E121&gt;=AS$5,$E121&lt;AS$5+GanttPeriod),"◇","")),IF(AND(AS$5&lt;=$F121,AS$5+GanttPeriod-1&gt;=$E121),"━","")))</f>
        <v/>
      </c>
      <c r="AT121" s="69" t="str">
        <f aca="false">IF($E121="","",IF($M121,IF(AND($G121&gt;=AT$5,$G121&lt;AT$5+GanttPeriod),"◆",IF(AND($E121&gt;=AT$5,$E121&lt;AT$5+GanttPeriod),"◇","")),IF(AND(AT$5&lt;=$F121,AT$5+GanttPeriod-1&gt;=$E121),"━","")))</f>
        <v/>
      </c>
      <c r="AU121" s="69" t="str">
        <f aca="false">IF($E121="","",IF($M121,IF(AND($G121&gt;=AU$5,$G121&lt;AU$5+GanttPeriod),"◆",IF(AND($E121&gt;=AU$5,$E121&lt;AU$5+GanttPeriod),"◇","")),IF(AND(AU$5&lt;=$F121,AU$5+GanttPeriod-1&gt;=$E121),"━","")))</f>
        <v/>
      </c>
      <c r="AV121" s="69" t="str">
        <f aca="false">IF($E121="","",IF($M121,IF(AND($G121&gt;=AV$5,$G121&lt;AV$5+GanttPeriod),"◆",IF(AND($E121&gt;=AV$5,$E121&lt;AV$5+GanttPeriod),"◇","")),IF(AND(AV$5&lt;=$F121,AV$5+GanttPeriod-1&gt;=$E121),"━","")))</f>
        <v/>
      </c>
      <c r="AW121" s="69" t="str">
        <f aca="false">IF($E121="","",IF($M121,IF(AND($G121&gt;=AW$5,$G121&lt;AW$5+GanttPeriod),"◆",IF(AND($E121&gt;=AW$5,$E121&lt;AW$5+GanttPeriod),"◇","")),IF(AND(AW$5&lt;=$F121,AW$5+GanttPeriod-1&gt;=$E121),"━","")))</f>
        <v/>
      </c>
      <c r="AX121" s="69" t="str">
        <f aca="false">IF($E121="","",IF($M121,IF(AND($G121&gt;=AX$5,$G121&lt;AX$5+GanttPeriod),"◆",IF(AND($E121&gt;=AX$5,$E121&lt;AX$5+GanttPeriod),"◇","")),IF(AND(AX$5&lt;=$F121,AX$5+GanttPeriod-1&gt;=$E121),"━","")))</f>
        <v/>
      </c>
      <c r="AY121" s="69" t="str">
        <f aca="false">IF($E121="","",IF($M121,IF(AND($G121&gt;=AY$5,$G121&lt;AY$5+GanttPeriod),"◆",IF(AND($E121&gt;=AY$5,$E121&lt;AY$5+GanttPeriod),"◇","")),IF(AND(AY$5&lt;=$F121,AY$5+GanttPeriod-1&gt;=$E121),"━","")))</f>
        <v/>
      </c>
      <c r="AZ121" s="69" t="str">
        <f aca="false">IF($E121="","",IF($M121,IF(AND($G121&gt;=AZ$5,$G121&lt;AZ$5+GanttPeriod),"◆",IF(AND($E121&gt;=AZ$5,$E121&lt;AZ$5+GanttPeriod),"◇","")),IF(AND(AZ$5&lt;=$F121,AZ$5+GanttPeriod-1&gt;=$E121),"━","")))</f>
        <v/>
      </c>
      <c r="BA121" s="69" t="str">
        <f aca="false">IF($E121="","",IF($M121,IF(AND($G121&gt;=BA$5,$G121&lt;BA$5+GanttPeriod),"◆",IF(AND($E121&gt;=BA$5,$E121&lt;BA$5+GanttPeriod),"◇","")),IF(AND(BA$5&lt;=$F121,BA$5+GanttPeriod-1&gt;=$E121),"━","")))</f>
        <v/>
      </c>
      <c r="BB121" s="69" t="str">
        <f aca="false">IF($E121="","",IF($M121,IF(AND($G121&gt;=BB$5,$G121&lt;BB$5+GanttPeriod),"◆",IF(AND($E121&gt;=BB$5,$E121&lt;BB$5+GanttPeriod),"◇","")),IF(AND(BB$5&lt;=$F121,BB$5+GanttPeriod-1&gt;=$E121),"━","")))</f>
        <v/>
      </c>
      <c r="BC121" s="69" t="str">
        <f aca="false">IF($E121="","",IF($M121,IF(AND($G121&gt;=BC$5,$G121&lt;BC$5+GanttPeriod),"◆",IF(AND($E121&gt;=BC$5,$E121&lt;BC$5+GanttPeriod),"◇","")),IF(AND(BC$5&lt;=$F121,BC$5+GanttPeriod-1&gt;=$E121),"━","")))</f>
        <v/>
      </c>
      <c r="BD121" s="69" t="str">
        <f aca="false">IF($E121="","",IF($M121,IF(AND($G121&gt;=BD$5,$G121&lt;BD$5+GanttPeriod),"◆",IF(AND($E121&gt;=BD$5,$E121&lt;BD$5+GanttPeriod),"◇","")),IF(AND(BD$5&lt;=$F121,BD$5+GanttPeriod-1&gt;=$E121),"━","")))</f>
        <v/>
      </c>
      <c r="BE121" s="69" t="str">
        <f aca="false">IF($E121="","",IF($M121,IF(AND($G121&gt;=BE$5,$G121&lt;BE$5+GanttPeriod),"◆",IF(AND($E121&gt;=BE$5,$E121&lt;BE$5+GanttPeriod),"◇","")),IF(AND(BE$5&lt;=$F121,BE$5+GanttPeriod-1&gt;=$E121),"━","")))</f>
        <v/>
      </c>
      <c r="BF121" s="69" t="str">
        <f aca="false">IF($E121="","",IF($M121,IF(AND($G121&gt;=BF$5,$G121&lt;BF$5+GanttPeriod),"◆",IF(AND($E121&gt;=BF$5,$E121&lt;BF$5+GanttPeriod),"◇","")),IF(AND(BF$5&lt;=$F121,BF$5+GanttPeriod-1&gt;=$E121),"━","")))</f>
        <v/>
      </c>
      <c r="BG121" s="69" t="str">
        <f aca="false">IF($E121="","",IF($M121,IF(AND($G121&gt;=BG$5,$G121&lt;BG$5+GanttPeriod),"◆",IF(AND($E121&gt;=BG$5,$E121&lt;BG$5+GanttPeriod),"◇","")),IF(AND(BG$5&lt;=$F121,BG$5+GanttPeriod-1&gt;=$E121),"━","")))</f>
        <v/>
      </c>
      <c r="BH121" s="69" t="str">
        <f aca="false">IF($E121="","",IF($M121,IF(AND($G121&gt;=BH$5,$G121&lt;BH$5+GanttPeriod),"◆",IF(AND($E121&gt;=BH$5,$E121&lt;BH$5+GanttPeriod),"◇","")),IF(AND(BH$5&lt;=$F121,BH$5+GanttPeriod-1&gt;=$E121),"━","")))</f>
        <v/>
      </c>
      <c r="BI121" s="69" t="str">
        <f aca="false">IF($E121="","",IF($M121,IF(AND($G121&gt;=BI$5,$G121&lt;BI$5+GanttPeriod),"◆",IF(AND($E121&gt;=BI$5,$E121&lt;BI$5+GanttPeriod),"◇","")),IF(AND(BI$5&lt;=$F121,BI$5+GanttPeriod-1&gt;=$E121),"━","")))</f>
        <v/>
      </c>
      <c r="BJ121" s="69" t="str">
        <f aca="false">IF($E121="","",IF($M121,IF(AND($G121&gt;=BJ$5,$G121&lt;BJ$5+GanttPeriod),"◆",IF(AND($E121&gt;=BJ$5,$E121&lt;BJ$5+GanttPeriod),"◇","")),IF(AND(BJ$5&lt;=$F121,BJ$5+GanttPeriod-1&gt;=$E121),"━","")))</f>
        <v/>
      </c>
      <c r="BK121" s="69" t="str">
        <f aca="false">IF($E121="","",IF($M121,IF(AND($G121&gt;=BK$5,$G121&lt;BK$5+GanttPeriod),"◆",IF(AND($E121&gt;=BK$5,$E121&lt;BK$5+GanttPeriod),"◇","")),IF(AND(BK$5&lt;=$F121,BK$5+GanttPeriod-1&gt;=$E121),"━","")))</f>
        <v/>
      </c>
      <c r="BL121" s="69" t="str">
        <f aca="false">IF($E121="","",IF($M121,IF(AND($G121&gt;=BL$5,$G121&lt;BL$5+GanttPeriod),"◆",IF(AND($E121&gt;=BL$5,$E121&lt;BL$5+GanttPeriod),"◇","")),IF(AND(BL$5&lt;=$F121,BL$5+GanttPeriod-1&gt;=$E121),"━","")))</f>
        <v/>
      </c>
      <c r="BM121" s="69" t="str">
        <f aca="false">IF($E121="","",IF($M121,IF(AND($G121&gt;=BM$5,$G121&lt;BM$5+GanttPeriod),"◆",IF(AND($E121&gt;=BM$5,$E121&lt;BM$5+GanttPeriod),"◇","")),IF(AND(BM$5&lt;=$F121,BM$5+GanttPeriod-1&gt;=$E121),"━","")))</f>
        <v/>
      </c>
      <c r="BN121" s="69" t="str">
        <f aca="false">IF($E121="","",IF($M121,IF(AND($G121&gt;=BN$5,$G121&lt;BN$5+GanttPeriod),"◆",IF(AND($E121&gt;=BN$5,$E121&lt;BN$5+GanttPeriod),"◇","")),IF(AND(BN$5&lt;=$F121,BN$5+GanttPeriod-1&gt;=$E121),"━","")))</f>
        <v/>
      </c>
      <c r="BO121" s="69" t="str">
        <f aca="false">IF($E121="","",IF($M121,IF(AND($G121&gt;=BO$5,$G121&lt;BO$5+GanttPeriod),"◆",IF(AND($E121&gt;=BO$5,$E121&lt;BO$5+GanttPeriod),"◇","")),IF(AND(BO$5&lt;=$F121,BO$5+GanttPeriod-1&gt;=$E121),"━","")))</f>
        <v/>
      </c>
      <c r="BP121" s="69" t="str">
        <f aca="false">IF($E121="","",IF($M121,IF(AND($G121&gt;=BP$5,$G121&lt;BP$5+GanttPeriod),"◆",IF(AND($E121&gt;=BP$5,$E121&lt;BP$5+GanttPeriod),"◇","")),IF(AND(BP$5&lt;=$F121,BP$5+GanttPeriod-1&gt;=$E121),"━","")))</f>
        <v/>
      </c>
      <c r="BQ121" s="69" t="str">
        <f aca="false">IF($E121="","",IF($M121,IF(AND($G121&gt;=BQ$5,$G121&lt;BQ$5+GanttPeriod),"◆",IF(AND($E121&gt;=BQ$5,$E121&lt;BQ$5+GanttPeriod),"◇","")),IF(AND(BQ$5&lt;=$F121,BQ$5+GanttPeriod-1&gt;=$E121),"━","")))</f>
        <v/>
      </c>
      <c r="BR121" s="69" t="str">
        <f aca="false">IF($E121="","",IF($M121,IF(AND($G121&gt;=BR$5,$G121&lt;BR$5+GanttPeriod),"◆",IF(AND($E121&gt;=BR$5,$E121&lt;BR$5+GanttPeriod),"◇","")),IF(AND(BR$5&lt;=$F121,BR$5+GanttPeriod-1&gt;=$E121),"━","")))</f>
        <v/>
      </c>
      <c r="BS121" s="69" t="str">
        <f aca="false">IF($E121="","",IF($M121,IF(AND($G121&gt;=BS$5,$G121&lt;BS$5+GanttPeriod),"◆",IF(AND($E121&gt;=BS$5,$E121&lt;BS$5+GanttPeriod),"◇","")),IF(AND(BS$5&lt;=$F121,BS$5+GanttPeriod-1&gt;=$E121),"━","")))</f>
        <v/>
      </c>
      <c r="BT121" s="69" t="str">
        <f aca="false">IF($E121="","",IF($M121,IF(AND($G121&gt;=BT$5,$G121&lt;BT$5+GanttPeriod),"◆",IF(AND($E121&gt;=BT$5,$E121&lt;BT$5+GanttPeriod),"◇","")),IF(AND(BT$5&lt;=$F121,BT$5+GanttPeriod-1&gt;=$E121),"━","")))</f>
        <v/>
      </c>
      <c r="BU121" s="69" t="str">
        <f aca="false">IF($E121="","",IF($M121,IF(AND($G121&gt;=BU$5,$G121&lt;BU$5+GanttPeriod),"◆",IF(AND($E121&gt;=BU$5,$E121&lt;BU$5+GanttPeriod),"◇","")),IF(AND(BU$5&lt;=$F121,BU$5+GanttPeriod-1&gt;=$E121),"━","")))</f>
        <v/>
      </c>
      <c r="BV121" s="69" t="str">
        <f aca="false">IF($E121="","",IF($M121,IF(AND($G121&gt;=BV$5,$G121&lt;BV$5+GanttPeriod),"◆",IF(AND($E121&gt;=BV$5,$E121&lt;BV$5+GanttPeriod),"◇","")),IF(AND(BV$5&lt;=$F121,BV$5+GanttPeriod-1&gt;=$E121),"━","")))</f>
        <v/>
      </c>
      <c r="BW121" s="69" t="str">
        <f aca="false">IF($E121="","",IF($M121,IF(AND($G121&gt;=BW$5,$G121&lt;BW$5+GanttPeriod),"◆",IF(AND($E121&gt;=BW$5,$E121&lt;BW$5+GanttPeriod),"◇","")),IF(AND(BW$5&lt;=$F121,BW$5+GanttPeriod-1&gt;=$E121),"━","")))</f>
        <v/>
      </c>
      <c r="BX121" s="69" t="str">
        <f aca="false">IF($E121="","",IF($M121,IF(AND($G121&gt;=BX$5,$G121&lt;BX$5+GanttPeriod),"◆",IF(AND($E121&gt;=BX$5,$E121&lt;BX$5+GanttPeriod),"◇","")),IF(AND(BX$5&lt;=$F121,BX$5+GanttPeriod-1&gt;=$E121),"━","")))</f>
        <v/>
      </c>
      <c r="BY121" s="69" t="str">
        <f aca="false">IF($E121="","",IF($M121,IF(AND($G121&gt;=BY$5,$G121&lt;BY$5+GanttPeriod),"◆",IF(AND($E121&gt;=BY$5,$E121&lt;BY$5+GanttPeriod),"◇","")),IF(AND(BY$5&lt;=$F121,BY$5+GanttPeriod-1&gt;=$E121),"━","")))</f>
        <v/>
      </c>
      <c r="BZ121" s="69" t="str">
        <f aca="false">IF($E121="","",IF($M121,IF(AND($G121&gt;=BZ$5,$G121&lt;BZ$5+GanttPeriod),"◆",IF(AND($E121&gt;=BZ$5,$E121&lt;BZ$5+GanttPeriod),"◇","")),IF(AND(BZ$5&lt;=$F121,BZ$5+GanttPeriod-1&gt;=$E121),"━","")))</f>
        <v/>
      </c>
      <c r="CA121" s="69" t="str">
        <f aca="false">IF($E121="","",IF($M121,IF(AND($G121&gt;=CA$5,$G121&lt;CA$5+GanttPeriod),"◆",IF(AND($E121&gt;=CA$5,$E121&lt;CA$5+GanttPeriod),"◇","")),IF(AND(CA$5&lt;=$F121,CA$5+GanttPeriod-1&gt;=$E121),"━","")))</f>
        <v/>
      </c>
      <c r="CB121" s="69" t="str">
        <f aca="false">IF($E121="","",IF($M121,IF(AND($G121&gt;=CB$5,$G121&lt;CB$5+GanttPeriod),"◆",IF(AND($E121&gt;=CB$5,$E121&lt;CB$5+GanttPeriod),"◇","")),IF(AND(CB$5&lt;=$F121,CB$5+GanttPeriod-1&gt;=$E121),"━","")))</f>
        <v/>
      </c>
      <c r="CC121" s="69" t="str">
        <f aca="false">IF($E121="","",IF($M121,IF(AND($G121&gt;=CC$5,$G121&lt;CC$5+GanttPeriod),"◆",IF(AND($E121&gt;=CC$5,$E121&lt;CC$5+GanttPeriod),"◇","")),IF(AND(CC$5&lt;=$F121,CC$5+GanttPeriod-1&gt;=$E121),"━","")))</f>
        <v/>
      </c>
      <c r="CD121" s="69" t="str">
        <f aca="false">IF($E121="","",IF($M121,IF(AND($G121&gt;=CD$5,$G121&lt;CD$5+GanttPeriod),"◆",IF(AND($E121&gt;=CD$5,$E121&lt;CD$5+GanttPeriod),"◇","")),IF(AND(CD$5&lt;=$F121,CD$5+GanttPeriod-1&gt;=$E121),"━","")))</f>
        <v/>
      </c>
      <c r="CE121" s="69" t="str">
        <f aca="false">IF($E121="","",IF($M121,IF(AND($G121&gt;=CE$5,$G121&lt;CE$5+GanttPeriod),"◆",IF(AND($E121&gt;=CE$5,$E121&lt;CE$5+GanttPeriod),"◇","")),IF(AND(CE$5&lt;=$F121,CE$5+GanttPeriod-1&gt;=$E121),"━","")))</f>
        <v/>
      </c>
      <c r="CF121" s="69" t="str">
        <f aca="false">IF($E121="","",IF($M121,IF(AND($G121&gt;=CF$5,$G121&lt;CF$5+GanttPeriod),"◆",IF(AND($E121&gt;=CF$5,$E121&lt;CF$5+GanttPeriod),"◇","")),IF(AND(CF$5&lt;=$F121,CF$5+GanttPeriod-1&gt;=$E121),"━","")))</f>
        <v/>
      </c>
      <c r="CG121" s="69" t="str">
        <f aca="false">IF($E121="","",IF($M121,IF(AND($G121&gt;=CG$5,$G121&lt;CG$5+GanttPeriod),"◆",IF(AND($E121&gt;=CG$5,$E121&lt;CG$5+GanttPeriod),"◇","")),IF(AND(CG$5&lt;=$F121,CG$5+GanttPeriod-1&gt;=$E121),"━","")))</f>
        <v/>
      </c>
      <c r="CH121" s="69" t="str">
        <f aca="false">IF($E121="","",IF($M121,IF(AND($G121&gt;=CH$5,$G121&lt;CH$5+GanttPeriod),"◆",IF(AND($E121&gt;=CH$5,$E121&lt;CH$5+GanttPeriod),"◇","")),IF(AND(CH$5&lt;=$F121,CH$5+GanttPeriod-1&gt;=$E121),"━","")))</f>
        <v/>
      </c>
      <c r="CI121" s="69" t="str">
        <f aca="false">IF($E121="","",IF($M121,IF(AND($G121&gt;=CI$5,$G121&lt;CI$5+GanttPeriod),"◆",IF(AND($E121&gt;=CI$5,$E121&lt;CI$5+GanttPeriod),"◇","")),IF(AND(CI$5&lt;=$F121,CI$5+GanttPeriod-1&gt;=$E121),"━","")))</f>
        <v/>
      </c>
      <c r="CJ121" s="69" t="str">
        <f aca="false">IF($E121="","",IF($M121,IF(AND($G121&gt;=CJ$5,$G121&lt;CJ$5+GanttPeriod),"◆",IF(AND($E121&gt;=CJ$5,$E121&lt;CJ$5+GanttPeriod),"◇","")),IF(AND(CJ$5&lt;=$F121,CJ$5+GanttPeriod-1&gt;=$E121),"━","")))</f>
        <v/>
      </c>
      <c r="CK121" s="69" t="str">
        <f aca="false">IF($E121="","",IF($M121,IF(AND($G121&gt;=CK$5,$G121&lt;CK$5+GanttPeriod),"◆",IF(AND($E121&gt;=CK$5,$E121&lt;CK$5+GanttPeriod),"◇","")),IF(AND(CK$5&lt;=$F121,CK$5+GanttPeriod-1&gt;=$E121),"━","")))</f>
        <v/>
      </c>
      <c r="CL121" s="69" t="str">
        <f aca="false">IF($E121="","",IF($M121,IF(AND($G121&gt;=CL$5,$G121&lt;CL$5+GanttPeriod),"◆",IF(AND($E121&gt;=CL$5,$E121&lt;CL$5+GanttPeriod),"◇","")),IF(AND(CL$5&lt;=$F121,CL$5+GanttPeriod-1&gt;=$E121),"━","")))</f>
        <v/>
      </c>
      <c r="CM121" s="69" t="str">
        <f aca="false">IF($E121="","",IF($M121,IF(AND($G121&gt;=CM$5,$G121&lt;CM$5+GanttPeriod),"◆",IF(AND($E121&gt;=CM$5,$E121&lt;CM$5+GanttPeriod),"◇","")),IF(AND(CM$5&lt;=$F121,CM$5+GanttPeriod-1&gt;=$E121),"━","")))</f>
        <v/>
      </c>
      <c r="CN121" s="69" t="str">
        <f aca="false">IF($E121="","",IF($M121,IF(AND($G121&gt;=CN$5,$G121&lt;CN$5+GanttPeriod),"◆",IF(AND($E121&gt;=CN$5,$E121&lt;CN$5+GanttPeriod),"◇","")),IF(AND(CN$5&lt;=$F121,CN$5+GanttPeriod-1&gt;=$E121),"━","")))</f>
        <v/>
      </c>
      <c r="CO121" s="69" t="str">
        <f aca="false">IF($E121="","",IF($M121,IF(AND($G121&gt;=CO$5,$G121&lt;CO$5+GanttPeriod),"◆",IF(AND($E121&gt;=CO$5,$E121&lt;CO$5+GanttPeriod),"◇","")),IF(AND(CO$5&lt;=$F121,CO$5+GanttPeriod-1&gt;=$E121),"━","")))</f>
        <v/>
      </c>
      <c r="CP121" s="69" t="str">
        <f aca="false">IF($E121="","",IF($M121,IF(AND($G121&gt;=CP$5,$G121&lt;CP$5+GanttPeriod),"◆",IF(AND($E121&gt;=CP$5,$E121&lt;CP$5+GanttPeriod),"◇","")),IF(AND(CP$5&lt;=$F121,CP$5+GanttPeriod-1&gt;=$E121),"━","")))</f>
        <v/>
      </c>
      <c r="CQ121" s="69" t="str">
        <f aca="false">IF($E121="","",IF($M121,IF(AND($G121&gt;=CQ$5,$G121&lt;CQ$5+GanttPeriod),"◆",IF(AND($E121&gt;=CQ$5,$E121&lt;CQ$5+GanttPeriod),"◇","")),IF(AND(CQ$5&lt;=$F121,CQ$5+GanttPeriod-1&gt;=$E121),"━","")))</f>
        <v/>
      </c>
      <c r="CR121" s="69" t="str">
        <f aca="false">IF($E121="","",IF($M121,IF(AND($G121&gt;=CR$5,$G121&lt;CR$5+GanttPeriod),"◆",IF(AND($E121&gt;=CR$5,$E121&lt;CR$5+GanttPeriod),"◇","")),IF(AND(CR$5&lt;=$F121,CR$5+GanttPeriod-1&gt;=$E121),"━","")))</f>
        <v/>
      </c>
      <c r="CS121" s="69" t="str">
        <f aca="false">IF($E121="","",IF($M121,IF(AND($G121&gt;=CS$5,$G121&lt;CS$5+GanttPeriod),"◆",IF(AND($E121&gt;=CS$5,$E121&lt;CS$5+GanttPeriod),"◇","")),IF(AND(CS$5&lt;=$F121,CS$5+GanttPeriod-1&gt;=$E121),"━","")))</f>
        <v/>
      </c>
      <c r="CT121" s="69" t="str">
        <f aca="false">IF($E121="","",IF($M121,IF(AND($G121&gt;=CT$5,$G121&lt;CT$5+GanttPeriod),"◆",IF(AND($E121&gt;=CT$5,$E121&lt;CT$5+GanttPeriod),"◇","")),IF(AND(CT$5&lt;=$F121,CT$5+GanttPeriod-1&gt;=$E121),"━","")))</f>
        <v/>
      </c>
      <c r="CU121" s="69" t="str">
        <f aca="false">IF($E121="","",IF($M121,IF(AND($G121&gt;=CU$5,$G121&lt;CU$5+GanttPeriod),"◆",IF(AND($E121&gt;=CU$5,$E121&lt;CU$5+GanttPeriod),"◇","")),IF(AND(CU$5&lt;=$F121,CU$5+GanttPeriod-1&gt;=$E121),"━","")))</f>
        <v/>
      </c>
      <c r="CV121" s="69" t="str">
        <f aca="false">IF($E121="","",IF($M121,IF(AND($G121&gt;=CV$5,$G121&lt;CV$5+GanttPeriod),"◆",IF(AND($E121&gt;=CV$5,$E121&lt;CV$5+GanttPeriod),"◇","")),IF(AND(CV$5&lt;=$F121,CV$5+GanttPeriod-1&gt;=$E121),"━","")))</f>
        <v/>
      </c>
      <c r="CW121" s="69" t="str">
        <f aca="false">IF($E121="","",IF($M121,IF(AND($G121&gt;=CW$5,$G121&lt;CW$5+GanttPeriod),"◆",IF(AND($E121&gt;=CW$5,$E121&lt;CW$5+GanttPeriod),"◇","")),IF(AND(CW$5&lt;=$F121,CW$5+GanttPeriod-1&gt;=$E121),"━","")))</f>
        <v/>
      </c>
      <c r="CX121" s="69" t="str">
        <f aca="false">IF($E121="","",IF($M121,IF(AND($G121&gt;=CX$5,$G121&lt;CX$5+GanttPeriod),"◆",IF(AND($E121&gt;=CX$5,$E121&lt;CX$5+GanttPeriod),"◇","")),IF(AND(CX$5&lt;=$F121,CX$5+GanttPeriod-1&gt;=$E121),"━","")))</f>
        <v/>
      </c>
      <c r="CY121" s="69" t="str">
        <f aca="false">IF($E121="","",IF($M121,IF(AND($G121&gt;=CY$5,$G121&lt;CY$5+GanttPeriod),"◆",IF(AND($E121&gt;=CY$5,$E121&lt;CY$5+GanttPeriod),"◇","")),IF(AND(CY$5&lt;=$F121,CY$5+GanttPeriod-1&gt;=$E121),"━","")))</f>
        <v/>
      </c>
      <c r="CZ121" s="69" t="str">
        <f aca="false">IF($E121="","",IF($M121,IF(AND($G121&gt;=CZ$5,$G121&lt;CZ$5+GanttPeriod),"◆",IF(AND($E121&gt;=CZ$5,$E121&lt;CZ$5+GanttPeriod),"◇","")),IF(AND(CZ$5&lt;=$F121,CZ$5+GanttPeriod-1&gt;=$E121),"━","")))</f>
        <v/>
      </c>
      <c r="DA121" s="69" t="str">
        <f aca="false">IF($E121="","",IF($M121,IF(AND($G121&gt;=DA$5,$G121&lt;DA$5+GanttPeriod),"◆",IF(AND($E121&gt;=DA$5,$E121&lt;DA$5+GanttPeriod),"◇","")),IF(AND(DA$5&lt;=$F121,DA$5+GanttPeriod-1&gt;=$E121),"━","")))</f>
        <v/>
      </c>
      <c r="DB121" s="69" t="str">
        <f aca="false">IF($E121="","",IF($M121,IF(AND($G121&gt;=DB$5,$G121&lt;DB$5+GanttPeriod),"◆",IF(AND($E121&gt;=DB$5,$E121&lt;DB$5+GanttPeriod),"◇","")),IF(AND(DB$5&lt;=$F121,DB$5+GanttPeriod-1&gt;=$E121),"━","")))</f>
        <v/>
      </c>
      <c r="DC121" s="69" t="str">
        <f aca="false">IF($E121="","",IF($M121,IF(AND($G121&gt;=DC$5,$G121&lt;DC$5+GanttPeriod),"◆",IF(AND($E121&gt;=DC$5,$E121&lt;DC$5+GanttPeriod),"◇","")),IF(AND(DC$5&lt;=$F121,DC$5+GanttPeriod-1&gt;=$E121),"━","")))</f>
        <v/>
      </c>
      <c r="DD121" s="69" t="str">
        <f aca="false">IF($E121="","",IF($M121,IF(AND($G121&gt;=DD$5,$G121&lt;DD$5+GanttPeriod),"◆",IF(AND($E121&gt;=DD$5,$E121&lt;DD$5+GanttPeriod),"◇","")),IF(AND(DD$5&lt;=$F121,DD$5+GanttPeriod-1&gt;=$E121),"━","")))</f>
        <v/>
      </c>
      <c r="DE121" s="69" t="str">
        <f aca="false">IF($E121="","",IF($M121,IF(AND($G121&gt;=DE$5,$G121&lt;DE$5+GanttPeriod),"◆",IF(AND($E121&gt;=DE$5,$E121&lt;DE$5+GanttPeriod),"◇","")),IF(AND(DE$5&lt;=$F121,DE$5+GanttPeriod-1&gt;=$E121),"━","")))</f>
        <v/>
      </c>
      <c r="DF121" s="69" t="str">
        <f aca="false">IF($E121="","",IF($M121,IF(AND($G121&gt;=DF$5,$G121&lt;DF$5+GanttPeriod),"◆",IF(AND($E121&gt;=DF$5,$E121&lt;DF$5+GanttPeriod),"◇","")),IF(AND(DF$5&lt;=$F121,DF$5+GanttPeriod-1&gt;=$E121),"━","")))</f>
        <v/>
      </c>
      <c r="DG121" s="69" t="str">
        <f aca="false">IF($E121="","",IF($M121,IF(AND($G121&gt;=DG$5,$G121&lt;DG$5+GanttPeriod),"◆",IF(AND($E121&gt;=DG$5,$E121&lt;DG$5+GanttPeriod),"◇","")),IF(AND(DG$5&lt;=$F121,DG$5+GanttPeriod-1&gt;=$E121),"━","")))</f>
        <v/>
      </c>
      <c r="DH121" s="69" t="str">
        <f aca="false">IF($E121="","",IF($M121,IF(AND($G121&gt;=DH$5,$G121&lt;DH$5+GanttPeriod),"◆",IF(AND($E121&gt;=DH$5,$E121&lt;DH$5+GanttPeriod),"◇","")),IF(AND(DH$5&lt;=$F121,DH$5+GanttPeriod-1&gt;=$E121),"━","")))</f>
        <v/>
      </c>
      <c r="DI121" s="69" t="str">
        <f aca="false">IF($E121="","",IF($M121,IF(AND($G121&gt;=DI$5,$G121&lt;DI$5+GanttPeriod),"◆",IF(AND($E121&gt;=DI$5,$E121&lt;DI$5+GanttPeriod),"◇","")),IF(AND(DI$5&lt;=$F121,DI$5+GanttPeriod-1&gt;=$E121),"━","")))</f>
        <v/>
      </c>
      <c r="DJ121" s="69" t="str">
        <f aca="false">IF($E121="","",IF($M121,IF(AND($G121&gt;=DJ$5,$G121&lt;DJ$5+GanttPeriod),"◆",IF(AND($E121&gt;=DJ$5,$E121&lt;DJ$5+GanttPeriod),"◇","")),IF(AND(DJ$5&lt;=$F121,DJ$5+GanttPeriod-1&gt;=$E121),"━","")))</f>
        <v/>
      </c>
      <c r="DK121" s="69" t="str">
        <f aca="false">IF($E121="","",IF($M121,IF(AND($G121&gt;=DK$5,$G121&lt;DK$5+GanttPeriod),"◆",IF(AND($E121&gt;=DK$5,$E121&lt;DK$5+GanttPeriod),"◇","")),IF(AND(DK$5&lt;=$F121,DK$5+GanttPeriod-1&gt;=$E121),"━","")))</f>
        <v/>
      </c>
      <c r="DL121" s="69" t="str">
        <f aca="false">IF($E121="","",IF($M121,IF(AND($G121&gt;=DL$5,$G121&lt;DL$5+GanttPeriod),"◆",IF(AND($E121&gt;=DL$5,$E121&lt;DL$5+GanttPeriod),"◇","")),IF(AND(DL$5&lt;=$F121,DL$5+GanttPeriod-1&gt;=$E121),"━","")))</f>
        <v/>
      </c>
      <c r="DM121" s="69" t="str">
        <f aca="false">IF($E121="","",IF($M121,IF(AND($G121&gt;=DM$5,$G121&lt;DM$5+GanttPeriod),"◆",IF(AND($E121&gt;=DM$5,$E121&lt;DM$5+GanttPeriod),"◇","")),IF(AND(DM$5&lt;=$F121,DM$5+GanttPeriod-1&gt;=$E121),"━","")))</f>
        <v/>
      </c>
      <c r="DN121" s="69" t="str">
        <f aca="false">IF($E121="","",IF($M121,IF(AND($G121&gt;=DN$5,$G121&lt;DN$5+GanttPeriod),"◆",IF(AND($E121&gt;=DN$5,$E121&lt;DN$5+GanttPeriod),"◇","")),IF(AND(DN$5&lt;=$F121,DN$5+GanttPeriod-1&gt;=$E121),"━","")))</f>
        <v/>
      </c>
      <c r="DO121" s="69" t="str">
        <f aca="false">IF($E121="","",IF($M121,IF(AND($G121&gt;=DO$5,$G121&lt;DO$5+GanttPeriod),"◆",IF(AND($E121&gt;=DO$5,$E121&lt;DO$5+GanttPeriod),"◇","")),IF(AND(DO$5&lt;=$F121,DO$5+GanttPeriod-1&gt;=$E121),"━","")))</f>
        <v/>
      </c>
      <c r="DP121" s="69" t="str">
        <f aca="false">IF($E121="","",IF($M121,IF(AND($G121&gt;=DP$5,$G121&lt;DP$5+GanttPeriod),"◆",IF(AND($E121&gt;=DP$5,$E121&lt;DP$5+GanttPeriod),"◇","")),IF(AND(DP$5&lt;=$F121,DP$5+GanttPeriod-1&gt;=$E121),"━","")))</f>
        <v/>
      </c>
      <c r="DQ121" s="69" t="str">
        <f aca="false">IF($E121="","",IF($M121,IF(AND($G121&gt;=DQ$5,$G121&lt;DQ$5+GanttPeriod),"◆",IF(AND($E121&gt;=DQ$5,$E121&lt;DQ$5+GanttPeriod),"◇","")),IF(AND(DQ$5&lt;=$F121,DQ$5+GanttPeriod-1&gt;=$E121),"━","")))</f>
        <v/>
      </c>
      <c r="DR121" s="69" t="str">
        <f aca="false">IF($E121="","",IF($M121,IF(AND($G121&gt;=DR$5,$G121&lt;DR$5+GanttPeriod),"◆",IF(AND($E121&gt;=DR$5,$E121&lt;DR$5+GanttPeriod),"◇","")),IF(AND(DR$5&lt;=$F121,DR$5+GanttPeriod-1&gt;=$E121),"━","")))</f>
        <v/>
      </c>
      <c r="DS121" s="69" t="str">
        <f aca="false">IF($E121="","",IF($M121,IF(AND($G121&gt;=DS$5,$G121&lt;DS$5+GanttPeriod),"◆",IF(AND($E121&gt;=DS$5,$E121&lt;DS$5+GanttPeriod),"◇","")),IF(AND(DS$5&lt;=$F121,DS$5+GanttPeriod-1&gt;=$E121),"━","")))</f>
        <v/>
      </c>
      <c r="DT121" s="69" t="str">
        <f aca="false">IF($E121="","",IF($M121,IF(AND($G121&gt;=DT$5,$G121&lt;DT$5+GanttPeriod),"◆",IF(AND($E121&gt;=DT$5,$E121&lt;DT$5+GanttPeriod),"◇","")),IF(AND(DT$5&lt;=$F121,DT$5+GanttPeriod-1&gt;=$E121),"━","")))</f>
        <v/>
      </c>
      <c r="DU121" s="69" t="str">
        <f aca="false">IF($E121="","",IF($M121,IF(AND($G121&gt;=DU$5,$G121&lt;DU$5+GanttPeriod),"◆",IF(AND($E121&gt;=DU$5,$E121&lt;DU$5+GanttPeriod),"◇","")),IF(AND(DU$5&lt;=$F121,DU$5+GanttPeriod-1&gt;=$E121),"━","")))</f>
        <v/>
      </c>
      <c r="DV121" s="69" t="str">
        <f aca="false">IF($E121="","",IF($M121,IF(AND($G121&gt;=DV$5,$G121&lt;DV$5+GanttPeriod),"◆",IF(AND($E121&gt;=DV$5,$E121&lt;DV$5+GanttPeriod),"◇","")),IF(AND(DV$5&lt;=$F121,DV$5+GanttPeriod-1&gt;=$E121),"━","")))</f>
        <v/>
      </c>
      <c r="DW121" s="69" t="str">
        <f aca="false">IF($E121="","",IF($M121,IF(AND($G121&gt;=DW$5,$G121&lt;DW$5+GanttPeriod),"◆",IF(AND($E121&gt;=DW$5,$E121&lt;DW$5+GanttPeriod),"◇","")),IF(AND(DW$5&lt;=$F121,DW$5+GanttPeriod-1&gt;=$E121),"━","")))</f>
        <v/>
      </c>
      <c r="DX121" s="69" t="str">
        <f aca="false">IF($E121="","",IF($M121,IF(AND($G121&gt;=DX$5,$G121&lt;DX$5+GanttPeriod),"◆",IF(AND($E121&gt;=DX$5,$E121&lt;DX$5+GanttPeriod),"◇","")),IF(AND(DX$5&lt;=$F121,DX$5+GanttPeriod-1&gt;=$E121),"━","")))</f>
        <v/>
      </c>
      <c r="DY121" s="69" t="str">
        <f aca="false">IF($E121="","",IF($M121,IF(AND($G121&gt;=DY$5,$G121&lt;DY$5+GanttPeriod),"◆",IF(AND($E121&gt;=DY$5,$E121&lt;DY$5+GanttPeriod),"◇","")),IF(AND(DY$5&lt;=$F121,DY$5+GanttPeriod-1&gt;=$E121),"━","")))</f>
        <v/>
      </c>
      <c r="DZ121" s="69" t="str">
        <f aca="false">IF($E121="","",IF($M121,IF(AND($G121&gt;=DZ$5,$G121&lt;DZ$5+GanttPeriod),"◆",IF(AND($E121&gt;=DZ$5,$E121&lt;DZ$5+GanttPeriod),"◇","")),IF(AND(DZ$5&lt;=$F121,DZ$5+GanttPeriod-1&gt;=$E121),"━","")))</f>
        <v/>
      </c>
      <c r="EA121" s="69" t="str">
        <f aca="false">IF($E121="","",IF($M121,IF(AND($G121&gt;=EA$5,$G121&lt;EA$5+GanttPeriod),"◆",IF(AND($E121&gt;=EA$5,$E121&lt;EA$5+GanttPeriod),"◇","")),IF(AND(EA$5&lt;=$F121,EA$5+GanttPeriod-1&gt;=$E121),"━","")))</f>
        <v/>
      </c>
      <c r="EB121" s="69" t="str">
        <f aca="false">IF($E121="","",IF($M121,IF(AND($G121&gt;=EB$5,$G121&lt;EB$5+GanttPeriod),"◆",IF(AND($E121&gt;=EB$5,$E121&lt;EB$5+GanttPeriod),"◇","")),IF(AND(EB$5&lt;=$F121,EB$5+GanttPeriod-1&gt;=$E121),"━","")))</f>
        <v/>
      </c>
      <c r="EC121" s="69" t="str">
        <f aca="false">IF($E121="","",IF($M121,IF(AND($G121&gt;=EC$5,$G121&lt;EC$5+GanttPeriod),"◆",IF(AND($E121&gt;=EC$5,$E121&lt;EC$5+GanttPeriod),"◇","")),IF(AND(EC$5&lt;=$F121,EC$5+GanttPeriod-1&gt;=$E121),"━","")))</f>
        <v/>
      </c>
      <c r="ED121" s="69" t="str">
        <f aca="false">IF($E121="","",IF($M121,IF(AND($G121&gt;=ED$5,$G121&lt;ED$5+GanttPeriod),"◆",IF(AND($E121&gt;=ED$5,$E121&lt;ED$5+GanttPeriod),"◇","")),IF(AND(ED$5&lt;=$F121,ED$5+GanttPeriod-1&gt;=$E121),"━","")))</f>
        <v/>
      </c>
      <c r="EE121" s="69" t="str">
        <f aca="false">IF($E121="","",IF($M121,IF(AND($G121&gt;=EE$5,$G121&lt;EE$5+GanttPeriod),"◆",IF(AND($E121&gt;=EE$5,$E121&lt;EE$5+GanttPeriod),"◇","")),IF(AND(EE$5&lt;=$F121,EE$5+GanttPeriod-1&gt;=$E121),"━","")))</f>
        <v/>
      </c>
      <c r="EF121" s="69" t="str">
        <f aca="false">IF($E121="","",IF($M121,IF(AND($G121&gt;=EF$5,$G121&lt;EF$5+GanttPeriod),"◆",IF(AND($E121&gt;=EF$5,$E121&lt;EF$5+GanttPeriod),"◇","")),IF(AND(EF$5&lt;=$F121,EF$5+GanttPeriod-1&gt;=$E121),"━","")))</f>
        <v/>
      </c>
      <c r="EG121" s="69" t="str">
        <f aca="false">IF($E121="","",IF($M121,IF(AND($G121&gt;=EG$5,$G121&lt;EG$5+GanttPeriod),"◆",IF(AND($E121&gt;=EG$5,$E121&lt;EG$5+GanttPeriod),"◇","")),IF(AND(EG$5&lt;=$F121,EG$5+GanttPeriod-1&gt;=$E121),"━","")))</f>
        <v/>
      </c>
      <c r="EH121" s="69" t="str">
        <f aca="false">IF($E121="","",IF($M121,IF(AND($G121&gt;=EH$5,$G121&lt;EH$5+GanttPeriod),"◆",IF(AND($E121&gt;=EH$5,$E121&lt;EH$5+GanttPeriod),"◇","")),IF(AND(EH$5&lt;=$F121,EH$5+GanttPeriod-1&gt;=$E121),"━","")))</f>
        <v/>
      </c>
      <c r="EI121" s="69" t="str">
        <f aca="false">IF($E121="","",IF($M121,IF(AND($G121&gt;=EI$5,$G121&lt;EI$5+GanttPeriod),"◆",IF(AND($E121&gt;=EI$5,$E121&lt;EI$5+GanttPeriod),"◇","")),IF(AND(EI$5&lt;=$F121,EI$5+GanttPeriod-1&gt;=$E121),"━","")))</f>
        <v/>
      </c>
      <c r="EJ121" s="69" t="str">
        <f aca="false">IF($E121="","",IF($M121,IF(AND($G121&gt;=EJ$5,$G121&lt;EJ$5+GanttPeriod),"◆",IF(AND($E121&gt;=EJ$5,$E121&lt;EJ$5+GanttPeriod),"◇","")),IF(AND(EJ$5&lt;=$F121,EJ$5+GanttPeriod-1&gt;=$E121),"━","")))</f>
        <v/>
      </c>
      <c r="EK121" s="69" t="str">
        <f aca="false">IF($E121="","",IF($M121,IF(AND($G121&gt;=EK$5,$G121&lt;EK$5+GanttPeriod),"◆",IF(AND($E121&gt;=EK$5,$E121&lt;EK$5+GanttPeriod),"◇","")),IF(AND(EK$5&lt;=$F121,EK$5+GanttPeriod-1&gt;=$E121),"━","")))</f>
        <v/>
      </c>
      <c r="EL121" s="69" t="str">
        <f aca="false">IF($E121="","",IF($M121,IF(AND($G121&gt;=EL$5,$G121&lt;EL$5+GanttPeriod),"◆",IF(AND($E121&gt;=EL$5,$E121&lt;EL$5+GanttPeriod),"◇","")),IF(AND(EL$5&lt;=$F121,EL$5+GanttPeriod-1&gt;=$E121),"━","")))</f>
        <v/>
      </c>
      <c r="EM121" s="69" t="str">
        <f aca="false">IF($E121="","",IF($M121,IF(AND($G121&gt;=EM$5,$G121&lt;EM$5+GanttPeriod),"◆",IF(AND($E121&gt;=EM$5,$E121&lt;EM$5+GanttPeriod),"◇","")),IF(AND(EM$5&lt;=$F121,EM$5+GanttPeriod-1&gt;=$E121),"━","")))</f>
        <v/>
      </c>
      <c r="EN121" s="69" t="str">
        <f aca="false">IF($E121="","",IF($M121,IF(AND($G121&gt;=EN$5,$G121&lt;EN$5+GanttPeriod),"◆",IF(AND($E121&gt;=EN$5,$E121&lt;EN$5+GanttPeriod),"◇","")),IF(AND(EN$5&lt;=$F121,EN$5+GanttPeriod-1&gt;=$E121),"━","")))</f>
        <v/>
      </c>
      <c r="EO121" s="69" t="str">
        <f aca="false">IF($E121="","",IF($M121,IF(AND($G121&gt;=EO$5,$G121&lt;EO$5+GanttPeriod),"◆",IF(AND($E121&gt;=EO$5,$E121&lt;EO$5+GanttPeriod),"◇","")),IF(AND(EO$5&lt;=$F121,EO$5+GanttPeriod-1&gt;=$E121),"━","")))</f>
        <v/>
      </c>
      <c r="EP121" s="69" t="str">
        <f aca="false">IF($E121="","",IF($M121,IF(AND($G121&gt;=EP$5,$G121&lt;EP$5+GanttPeriod),"◆",IF(AND($E121&gt;=EP$5,$E121&lt;EP$5+GanttPeriod),"◇","")),IF(AND(EP$5&lt;=$F121,EP$5+GanttPeriod-1&gt;=$E121),"━","")))</f>
        <v/>
      </c>
      <c r="EQ121" s="69" t="str">
        <f aca="false">IF($E121="","",IF($M121,IF(AND($G121&gt;=EQ$5,$G121&lt;EQ$5+GanttPeriod),"◆",IF(AND($E121&gt;=EQ$5,$E121&lt;EQ$5+GanttPeriod),"◇","")),IF(AND(EQ$5&lt;=$F121,EQ$5+GanttPeriod-1&gt;=$E121),"━","")))</f>
        <v/>
      </c>
      <c r="ER121" s="69" t="str">
        <f aca="false">IF($E121="","",IF($M121,IF(AND($G121&gt;=ER$5,$G121&lt;ER$5+GanttPeriod),"◆",IF(AND($E121&gt;=ER$5,$E121&lt;ER$5+GanttPeriod),"◇","")),IF(AND(ER$5&lt;=$F121,ER$5+GanttPeriod-1&gt;=$E121),"━","")))</f>
        <v/>
      </c>
      <c r="ES121" s="69" t="str">
        <f aca="false">IF($E121="","",IF($M121,IF(AND($G121&gt;=ES$5,$G121&lt;ES$5+GanttPeriod),"◆",IF(AND($E121&gt;=ES$5,$E121&lt;ES$5+GanttPeriod),"◇","")),IF(AND(ES$5&lt;=$F121,ES$5+GanttPeriod-1&gt;=$E121),"━","")))</f>
        <v/>
      </c>
      <c r="ET121" s="69" t="str">
        <f aca="false">IF($E121="","",IF($M121,IF(AND($G121&gt;=ET$5,$G121&lt;ET$5+GanttPeriod),"◆",IF(AND($E121&gt;=ET$5,$E121&lt;ET$5+GanttPeriod),"◇","")),IF(AND(ET$5&lt;=$F121,ET$5+GanttPeriod-1&gt;=$E121),"━","")))</f>
        <v/>
      </c>
      <c r="EU121" s="69" t="str">
        <f aca="false">IF($E121="","",IF($M121,IF(AND($G121&gt;=EU$5,$G121&lt;EU$5+GanttPeriod),"◆",IF(AND($E121&gt;=EU$5,$E121&lt;EU$5+GanttPeriod),"◇","")),IF(AND(EU$5&lt;=$F121,EU$5+GanttPeriod-1&gt;=$E121),"━","")))</f>
        <v/>
      </c>
      <c r="EV121" s="69" t="str">
        <f aca="false">IF($E121="","",IF($M121,IF(AND($G121&gt;=EV$5,$G121&lt;EV$5+GanttPeriod),"◆",IF(AND($E121&gt;=EV$5,$E121&lt;EV$5+GanttPeriod),"◇","")),IF(AND(EV$5&lt;=$F121,EV$5+GanttPeriod-1&gt;=$E121),"━","")))</f>
        <v/>
      </c>
      <c r="EW121" s="69" t="str">
        <f aca="false">IF($E121="","",IF($M121,IF(AND($G121&gt;=EW$5,$G121&lt;EW$5+GanttPeriod),"◆",IF(AND($E121&gt;=EW$5,$E121&lt;EW$5+GanttPeriod),"◇","")),IF(AND(EW$5&lt;=$F121,EW$5+GanttPeriod-1&gt;=$E121),"━","")))</f>
        <v/>
      </c>
      <c r="EX121" s="69" t="str">
        <f aca="false">IF($E121="","",IF($M121,IF(AND($G121&gt;=EX$5,$G121&lt;EX$5+GanttPeriod),"◆",IF(AND($E121&gt;=EX$5,$E121&lt;EX$5+GanttPeriod),"◇","")),IF(AND(EX$5&lt;=$F121,EX$5+GanttPeriod-1&gt;=$E121),"━","")))</f>
        <v/>
      </c>
      <c r="EY121" s="69" t="str">
        <f aca="false">IF($E121="","",IF($M121,IF(AND($G121&gt;=EY$5,$G121&lt;EY$5+GanttPeriod),"◆",IF(AND($E121&gt;=EY$5,$E121&lt;EY$5+GanttPeriod),"◇","")),IF(AND(EY$5&lt;=$F121,EY$5+GanttPeriod-1&gt;=$E121),"━","")))</f>
        <v/>
      </c>
      <c r="EZ121" s="69" t="str">
        <f aca="false">IF($E121="","",IF($M121,IF(AND($G121&gt;=EZ$5,$G121&lt;EZ$5+GanttPeriod),"◆",IF(AND($E121&gt;=EZ$5,$E121&lt;EZ$5+GanttPeriod),"◇","")),IF(AND(EZ$5&lt;=$F121,EZ$5+GanttPeriod-1&gt;=$E121),"━","")))</f>
        <v/>
      </c>
      <c r="FA121" s="69" t="str">
        <f aca="false">IF($E121="","",IF($M121,IF(AND($G121&gt;=FA$5,$G121&lt;FA$5+GanttPeriod),"◆",IF(AND($E121&gt;=FA$5,$E121&lt;FA$5+GanttPeriod),"◇","")),IF(AND(FA$5&lt;=$F121,FA$5+GanttPeriod-1&gt;=$E121),"━","")))</f>
        <v/>
      </c>
      <c r="FB121" s="69" t="str">
        <f aca="false">IF($E121="","",IF($M121,IF(AND($G121&gt;=FB$5,$G121&lt;FB$5+GanttPeriod),"◆",IF(AND($E121&gt;=FB$5,$E121&lt;FB$5+GanttPeriod),"◇","")),IF(AND(FB$5&lt;=$F121,FB$5+GanttPeriod-1&gt;=$E121),"━","")))</f>
        <v/>
      </c>
      <c r="FC121" s="69" t="str">
        <f aca="false">IF($E121="","",IF($M121,IF(AND($G121&gt;=FC$5,$G121&lt;FC$5+GanttPeriod),"◆",IF(AND($E121&gt;=FC$5,$E121&lt;FC$5+GanttPeriod),"◇","")),IF(AND(FC$5&lt;=$F121,FC$5+GanttPeriod-1&gt;=$E121),"━","")))</f>
        <v/>
      </c>
      <c r="FD121" s="69" t="str">
        <f aca="false">IF($E121="","",IF($M121,IF(AND($G121&gt;=FD$5,$G121&lt;FD$5+GanttPeriod),"◆",IF(AND($E121&gt;=FD$5,$E121&lt;FD$5+GanttPeriod),"◇","")),IF(AND(FD$5&lt;=$F121,FD$5+GanttPeriod-1&gt;=$E121),"━","")))</f>
        <v/>
      </c>
      <c r="FE121" s="69" t="str">
        <f aca="false">IF($E121="","",IF($M121,IF(AND($G121&gt;=FE$5,$G121&lt;FE$5+GanttPeriod),"◆",IF(AND($E121&gt;=FE$5,$E121&lt;FE$5+GanttPeriod),"◇","")),IF(AND(FE$5&lt;=$F121,FE$5+GanttPeriod-1&gt;=$E121),"━","")))</f>
        <v/>
      </c>
      <c r="FF121" s="69" t="str">
        <f aca="false">IF($E121="","",IF($M121,IF(AND($G121&gt;=FF$5,$G121&lt;FF$5+GanttPeriod),"◆",IF(AND($E121&gt;=FF$5,$E121&lt;FF$5+GanttPeriod),"◇","")),IF(AND(FF$5&lt;=$F121,FF$5+GanttPeriod-1&gt;=$E121),"━","")))</f>
        <v/>
      </c>
      <c r="FG121" s="69" t="str">
        <f aca="false">IF($E121="","",IF($M121,IF(AND($G121&gt;=FG$5,$G121&lt;FG$5+GanttPeriod),"◆",IF(AND($E121&gt;=FG$5,$E121&lt;FG$5+GanttPeriod),"◇","")),IF(AND(FG$5&lt;=$F121,FG$5+GanttPeriod-1&gt;=$E121),"━","")))</f>
        <v/>
      </c>
      <c r="FH121" s="69" t="str">
        <f aca="false">IF($E121="","",IF($M121,IF(AND($G121&gt;=FH$5,$G121&lt;FH$5+GanttPeriod),"◆",IF(AND($E121&gt;=FH$5,$E121&lt;FH$5+GanttPeriod),"◇","")),IF(AND(FH$5&lt;=$F121,FH$5+GanttPeriod-1&gt;=$E121),"━","")))</f>
        <v/>
      </c>
      <c r="FI121" s="69" t="str">
        <f aca="false">IF($E121="","",IF($M121,IF(AND($G121&gt;=FI$5,$G121&lt;FI$5+GanttPeriod),"◆",IF(AND($E121&gt;=FI$5,$E121&lt;FI$5+GanttPeriod),"◇","")),IF(AND(FI$5&lt;=$F121,FI$5+GanttPeriod-1&gt;=$E121),"━","")))</f>
        <v/>
      </c>
      <c r="FJ121" s="69" t="str">
        <f aca="false">IF($E121="","",IF($M121,IF(AND($G121&gt;=FJ$5,$G121&lt;FJ$5+GanttPeriod),"◆",IF(AND($E121&gt;=FJ$5,$E121&lt;FJ$5+GanttPeriod),"◇","")),IF(AND(FJ$5&lt;=$F121,FJ$5+GanttPeriod-1&gt;=$E121),"━","")))</f>
        <v/>
      </c>
      <c r="FK121" s="69" t="str">
        <f aca="false">IF($E121="","",IF($M121,IF(AND($G121&gt;=FK$5,$G121&lt;FK$5+GanttPeriod),"◆",IF(AND($E121&gt;=FK$5,$E121&lt;FK$5+GanttPeriod),"◇","")),IF(AND(FK$5&lt;=$F121,FK$5+GanttPeriod-1&gt;=$E121),"━","")))</f>
        <v/>
      </c>
      <c r="FL121" s="69" t="str">
        <f aca="false">IF($E121="","",IF($M121,IF(AND($G121&gt;=FL$5,$G121&lt;FL$5+GanttPeriod),"◆",IF(AND($E121&gt;=FL$5,$E121&lt;FL$5+GanttPeriod),"◇","")),IF(AND(FL$5&lt;=$F121,FL$5+GanttPeriod-1&gt;=$E121),"━","")))</f>
        <v/>
      </c>
      <c r="FM121" s="69" t="str">
        <f aca="false">IF($E121="","",IF($M121,IF(AND($G121&gt;=FM$5,$G121&lt;FM$5+GanttPeriod),"◆",IF(AND($E121&gt;=FM$5,$E121&lt;FM$5+GanttPeriod),"◇","")),IF(AND(FM$5&lt;=$F121,FM$5+GanttPeriod-1&gt;=$E121),"━","")))</f>
        <v/>
      </c>
    </row>
    <row r="122" customFormat="false" ht="15" hidden="false" customHeight="false" outlineLevel="0" collapsed="false">
      <c r="A122" s="62" t="str">
        <f aca="false">IF(Tasks!$D122="","",Tasks!$A122)</f>
        <v/>
      </c>
      <c r="B122" s="62" t="str">
        <f aca="false">IF(Tasks!$D122="","",Tasks!$B122)</f>
        <v/>
      </c>
      <c r="C122" s="63" t="str">
        <f aca="false">IF(Tasks!$D122="","",REPT("    ",Tasks!$AE122-1)&amp;Tasks!$D122)</f>
        <v/>
      </c>
      <c r="D122" s="62" t="str">
        <f aca="false">IF(Tasks!$D122="","",IF(Tasks!$AI122,NETWORKDAYS.INTL(Tasks!$R122,Tasks!$S122,WorkWeek,Holidays),N(Tasks!$F122)))</f>
        <v/>
      </c>
      <c r="E122" s="64" t="str">
        <f aca="false">IF(Tasks!$D122="","",Tasks!$N122)</f>
        <v/>
      </c>
      <c r="F122" s="64" t="str">
        <f aca="false">IF(Tasks!$D122="","",Tasks!$O122)</f>
        <v/>
      </c>
      <c r="G122" s="64" t="str">
        <f aca="false">IF(Tasks!$D122="","",Tasks!$R122)</f>
        <v/>
      </c>
      <c r="H122" s="64" t="str">
        <f aca="false">IF(Tasks!$D122="","",Tasks!$S122)</f>
        <v/>
      </c>
      <c r="I122" s="65" t="str">
        <f aca="false">IF(Tasks!$D122="","",Tasks!$V122)</f>
        <v/>
      </c>
      <c r="J122" s="63" t="str">
        <f aca="false">IF(Tasks!$D122="","",Tasks!$X122&amp;"")</f>
        <v/>
      </c>
      <c r="K122" s="66" t="str">
        <f aca="false">IF(Tasks!$D122="","",Tasks!$W122)</f>
        <v/>
      </c>
      <c r="L122" s="67" t="b">
        <f aca="false">IF(Tasks!$D122="",FALSE(),Tasks!$AI122)</f>
        <v>0</v>
      </c>
      <c r="M122" s="67" t="b">
        <f aca="false">AND(Tasks!$AJ122=1,N(Tasks!$F122)=0)</f>
        <v>0</v>
      </c>
      <c r="N122" s="68" t="n">
        <f aca="false">IF(AND(Tasks!$AJ122=1,NOT($M122),N($I122)&gt;0),$G122,0)</f>
        <v>0</v>
      </c>
      <c r="O122" s="68" t="n">
        <f aca="false">IF($N122=0,0,IF($I122&gt;=1,$H122,MAX($N122,$G122+ROUND(($H122-$G122+1)*$I122,0)-1)))</f>
        <v>0</v>
      </c>
      <c r="P122" s="68" t="n">
        <f aca="false">IF(OR(Tasks!$AJ122&lt;&gt;1,$M122,N($I122)&gt;=1),0,IF($O122&gt;0,$O122+1,$G122))</f>
        <v>0</v>
      </c>
      <c r="Q122" s="68" t="n">
        <f aca="false">IF($P122=0,0,$H122)</f>
        <v>0</v>
      </c>
      <c r="R122" s="67" t="b">
        <f aca="false">AND(Tasks!$D122&lt;&gt;"",N(Tasks!$T122)&gt;0)</f>
        <v>0</v>
      </c>
      <c r="T122" s="69" t="str">
        <f aca="false">IF($E122="","",IF($M122,IF(AND($G122&gt;=T$5,$G122&lt;T$5+GanttPeriod),"◆",IF(AND($E122&gt;=T$5,$E122&lt;T$5+GanttPeriod),"◇","")),IF(AND(T$5&lt;=$F122,T$5+GanttPeriod-1&gt;=$E122),"━","")))</f>
        <v/>
      </c>
      <c r="U122" s="69" t="str">
        <f aca="false">IF($E122="","",IF($M122,IF(AND($G122&gt;=U$5,$G122&lt;U$5+GanttPeriod),"◆",IF(AND($E122&gt;=U$5,$E122&lt;U$5+GanttPeriod),"◇","")),IF(AND(U$5&lt;=$F122,U$5+GanttPeriod-1&gt;=$E122),"━","")))</f>
        <v/>
      </c>
      <c r="V122" s="69" t="str">
        <f aca="false">IF($E122="","",IF($M122,IF(AND($G122&gt;=V$5,$G122&lt;V$5+GanttPeriod),"◆",IF(AND($E122&gt;=V$5,$E122&lt;V$5+GanttPeriod),"◇","")),IF(AND(V$5&lt;=$F122,V$5+GanttPeriod-1&gt;=$E122),"━","")))</f>
        <v/>
      </c>
      <c r="W122" s="69" t="str">
        <f aca="false">IF($E122="","",IF($M122,IF(AND($G122&gt;=W$5,$G122&lt;W$5+GanttPeriod),"◆",IF(AND($E122&gt;=W$5,$E122&lt;W$5+GanttPeriod),"◇","")),IF(AND(W$5&lt;=$F122,W$5+GanttPeriod-1&gt;=$E122),"━","")))</f>
        <v/>
      </c>
      <c r="X122" s="69" t="str">
        <f aca="false">IF($E122="","",IF($M122,IF(AND($G122&gt;=X$5,$G122&lt;X$5+GanttPeriod),"◆",IF(AND($E122&gt;=X$5,$E122&lt;X$5+GanttPeriod),"◇","")),IF(AND(X$5&lt;=$F122,X$5+GanttPeriod-1&gt;=$E122),"━","")))</f>
        <v/>
      </c>
      <c r="Y122" s="69" t="str">
        <f aca="false">IF($E122="","",IF($M122,IF(AND($G122&gt;=Y$5,$G122&lt;Y$5+GanttPeriod),"◆",IF(AND($E122&gt;=Y$5,$E122&lt;Y$5+GanttPeriod),"◇","")),IF(AND(Y$5&lt;=$F122,Y$5+GanttPeriod-1&gt;=$E122),"━","")))</f>
        <v/>
      </c>
      <c r="Z122" s="69" t="str">
        <f aca="false">IF($E122="","",IF($M122,IF(AND($G122&gt;=Z$5,$G122&lt;Z$5+GanttPeriod),"◆",IF(AND($E122&gt;=Z$5,$E122&lt;Z$5+GanttPeriod),"◇","")),IF(AND(Z$5&lt;=$F122,Z$5+GanttPeriod-1&gt;=$E122),"━","")))</f>
        <v/>
      </c>
      <c r="AA122" s="69" t="str">
        <f aca="false">IF($E122="","",IF($M122,IF(AND($G122&gt;=AA$5,$G122&lt;AA$5+GanttPeriod),"◆",IF(AND($E122&gt;=AA$5,$E122&lt;AA$5+GanttPeriod),"◇","")),IF(AND(AA$5&lt;=$F122,AA$5+GanttPeriod-1&gt;=$E122),"━","")))</f>
        <v/>
      </c>
      <c r="AB122" s="69" t="str">
        <f aca="false">IF($E122="","",IF($M122,IF(AND($G122&gt;=AB$5,$G122&lt;AB$5+GanttPeriod),"◆",IF(AND($E122&gt;=AB$5,$E122&lt;AB$5+GanttPeriod),"◇","")),IF(AND(AB$5&lt;=$F122,AB$5+GanttPeriod-1&gt;=$E122),"━","")))</f>
        <v/>
      </c>
      <c r="AC122" s="69" t="str">
        <f aca="false">IF($E122="","",IF($M122,IF(AND($G122&gt;=AC$5,$G122&lt;AC$5+GanttPeriod),"◆",IF(AND($E122&gt;=AC$5,$E122&lt;AC$5+GanttPeriod),"◇","")),IF(AND(AC$5&lt;=$F122,AC$5+GanttPeriod-1&gt;=$E122),"━","")))</f>
        <v/>
      </c>
      <c r="AD122" s="69" t="str">
        <f aca="false">IF($E122="","",IF($M122,IF(AND($G122&gt;=AD$5,$G122&lt;AD$5+GanttPeriod),"◆",IF(AND($E122&gt;=AD$5,$E122&lt;AD$5+GanttPeriod),"◇","")),IF(AND(AD$5&lt;=$F122,AD$5+GanttPeriod-1&gt;=$E122),"━","")))</f>
        <v/>
      </c>
      <c r="AE122" s="69" t="str">
        <f aca="false">IF($E122="","",IF($M122,IF(AND($G122&gt;=AE$5,$G122&lt;AE$5+GanttPeriod),"◆",IF(AND($E122&gt;=AE$5,$E122&lt;AE$5+GanttPeriod),"◇","")),IF(AND(AE$5&lt;=$F122,AE$5+GanttPeriod-1&gt;=$E122),"━","")))</f>
        <v/>
      </c>
      <c r="AF122" s="69" t="str">
        <f aca="false">IF($E122="","",IF($M122,IF(AND($G122&gt;=AF$5,$G122&lt;AF$5+GanttPeriod),"◆",IF(AND($E122&gt;=AF$5,$E122&lt;AF$5+GanttPeriod),"◇","")),IF(AND(AF$5&lt;=$F122,AF$5+GanttPeriod-1&gt;=$E122),"━","")))</f>
        <v/>
      </c>
      <c r="AG122" s="69" t="str">
        <f aca="false">IF($E122="","",IF($M122,IF(AND($G122&gt;=AG$5,$G122&lt;AG$5+GanttPeriod),"◆",IF(AND($E122&gt;=AG$5,$E122&lt;AG$5+GanttPeriod),"◇","")),IF(AND(AG$5&lt;=$F122,AG$5+GanttPeriod-1&gt;=$E122),"━","")))</f>
        <v/>
      </c>
      <c r="AH122" s="69" t="str">
        <f aca="false">IF($E122="","",IF($M122,IF(AND($G122&gt;=AH$5,$G122&lt;AH$5+GanttPeriod),"◆",IF(AND($E122&gt;=AH$5,$E122&lt;AH$5+GanttPeriod),"◇","")),IF(AND(AH$5&lt;=$F122,AH$5+GanttPeriod-1&gt;=$E122),"━","")))</f>
        <v/>
      </c>
      <c r="AI122" s="69" t="str">
        <f aca="false">IF($E122="","",IF($M122,IF(AND($G122&gt;=AI$5,$G122&lt;AI$5+GanttPeriod),"◆",IF(AND($E122&gt;=AI$5,$E122&lt;AI$5+GanttPeriod),"◇","")),IF(AND(AI$5&lt;=$F122,AI$5+GanttPeriod-1&gt;=$E122),"━","")))</f>
        <v/>
      </c>
      <c r="AJ122" s="69" t="str">
        <f aca="false">IF($E122="","",IF($M122,IF(AND($G122&gt;=AJ$5,$G122&lt;AJ$5+GanttPeriod),"◆",IF(AND($E122&gt;=AJ$5,$E122&lt;AJ$5+GanttPeriod),"◇","")),IF(AND(AJ$5&lt;=$F122,AJ$5+GanttPeriod-1&gt;=$E122),"━","")))</f>
        <v/>
      </c>
      <c r="AK122" s="69" t="str">
        <f aca="false">IF($E122="","",IF($M122,IF(AND($G122&gt;=AK$5,$G122&lt;AK$5+GanttPeriod),"◆",IF(AND($E122&gt;=AK$5,$E122&lt;AK$5+GanttPeriod),"◇","")),IF(AND(AK$5&lt;=$F122,AK$5+GanttPeriod-1&gt;=$E122),"━","")))</f>
        <v/>
      </c>
      <c r="AL122" s="69" t="str">
        <f aca="false">IF($E122="","",IF($M122,IF(AND($G122&gt;=AL$5,$G122&lt;AL$5+GanttPeriod),"◆",IF(AND($E122&gt;=AL$5,$E122&lt;AL$5+GanttPeriod),"◇","")),IF(AND(AL$5&lt;=$F122,AL$5+GanttPeriod-1&gt;=$E122),"━","")))</f>
        <v/>
      </c>
      <c r="AM122" s="69" t="str">
        <f aca="false">IF($E122="","",IF($M122,IF(AND($G122&gt;=AM$5,$G122&lt;AM$5+GanttPeriod),"◆",IF(AND($E122&gt;=AM$5,$E122&lt;AM$5+GanttPeriod),"◇","")),IF(AND(AM$5&lt;=$F122,AM$5+GanttPeriod-1&gt;=$E122),"━","")))</f>
        <v/>
      </c>
      <c r="AN122" s="69" t="str">
        <f aca="false">IF($E122="","",IF($M122,IF(AND($G122&gt;=AN$5,$G122&lt;AN$5+GanttPeriod),"◆",IF(AND($E122&gt;=AN$5,$E122&lt;AN$5+GanttPeriod),"◇","")),IF(AND(AN$5&lt;=$F122,AN$5+GanttPeriod-1&gt;=$E122),"━","")))</f>
        <v/>
      </c>
      <c r="AO122" s="69" t="str">
        <f aca="false">IF($E122="","",IF($M122,IF(AND($G122&gt;=AO$5,$G122&lt;AO$5+GanttPeriod),"◆",IF(AND($E122&gt;=AO$5,$E122&lt;AO$5+GanttPeriod),"◇","")),IF(AND(AO$5&lt;=$F122,AO$5+GanttPeriod-1&gt;=$E122),"━","")))</f>
        <v/>
      </c>
      <c r="AP122" s="69" t="str">
        <f aca="false">IF($E122="","",IF($M122,IF(AND($G122&gt;=AP$5,$G122&lt;AP$5+GanttPeriod),"◆",IF(AND($E122&gt;=AP$5,$E122&lt;AP$5+GanttPeriod),"◇","")),IF(AND(AP$5&lt;=$F122,AP$5+GanttPeriod-1&gt;=$E122),"━","")))</f>
        <v/>
      </c>
      <c r="AQ122" s="69" t="str">
        <f aca="false">IF($E122="","",IF($M122,IF(AND($G122&gt;=AQ$5,$G122&lt;AQ$5+GanttPeriod),"◆",IF(AND($E122&gt;=AQ$5,$E122&lt;AQ$5+GanttPeriod),"◇","")),IF(AND(AQ$5&lt;=$F122,AQ$5+GanttPeriod-1&gt;=$E122),"━","")))</f>
        <v/>
      </c>
      <c r="AR122" s="69" t="str">
        <f aca="false">IF($E122="","",IF($M122,IF(AND($G122&gt;=AR$5,$G122&lt;AR$5+GanttPeriod),"◆",IF(AND($E122&gt;=AR$5,$E122&lt;AR$5+GanttPeriod),"◇","")),IF(AND(AR$5&lt;=$F122,AR$5+GanttPeriod-1&gt;=$E122),"━","")))</f>
        <v/>
      </c>
      <c r="AS122" s="69" t="str">
        <f aca="false">IF($E122="","",IF($M122,IF(AND($G122&gt;=AS$5,$G122&lt;AS$5+GanttPeriod),"◆",IF(AND($E122&gt;=AS$5,$E122&lt;AS$5+GanttPeriod),"◇","")),IF(AND(AS$5&lt;=$F122,AS$5+GanttPeriod-1&gt;=$E122),"━","")))</f>
        <v/>
      </c>
      <c r="AT122" s="69" t="str">
        <f aca="false">IF($E122="","",IF($M122,IF(AND($G122&gt;=AT$5,$G122&lt;AT$5+GanttPeriod),"◆",IF(AND($E122&gt;=AT$5,$E122&lt;AT$5+GanttPeriod),"◇","")),IF(AND(AT$5&lt;=$F122,AT$5+GanttPeriod-1&gt;=$E122),"━","")))</f>
        <v/>
      </c>
      <c r="AU122" s="69" t="str">
        <f aca="false">IF($E122="","",IF($M122,IF(AND($G122&gt;=AU$5,$G122&lt;AU$5+GanttPeriod),"◆",IF(AND($E122&gt;=AU$5,$E122&lt;AU$5+GanttPeriod),"◇","")),IF(AND(AU$5&lt;=$F122,AU$5+GanttPeriod-1&gt;=$E122),"━","")))</f>
        <v/>
      </c>
      <c r="AV122" s="69" t="str">
        <f aca="false">IF($E122="","",IF($M122,IF(AND($G122&gt;=AV$5,$G122&lt;AV$5+GanttPeriod),"◆",IF(AND($E122&gt;=AV$5,$E122&lt;AV$5+GanttPeriod),"◇","")),IF(AND(AV$5&lt;=$F122,AV$5+GanttPeriod-1&gt;=$E122),"━","")))</f>
        <v/>
      </c>
      <c r="AW122" s="69" t="str">
        <f aca="false">IF($E122="","",IF($M122,IF(AND($G122&gt;=AW$5,$G122&lt;AW$5+GanttPeriod),"◆",IF(AND($E122&gt;=AW$5,$E122&lt;AW$5+GanttPeriod),"◇","")),IF(AND(AW$5&lt;=$F122,AW$5+GanttPeriod-1&gt;=$E122),"━","")))</f>
        <v/>
      </c>
      <c r="AX122" s="69" t="str">
        <f aca="false">IF($E122="","",IF($M122,IF(AND($G122&gt;=AX$5,$G122&lt;AX$5+GanttPeriod),"◆",IF(AND($E122&gt;=AX$5,$E122&lt;AX$5+GanttPeriod),"◇","")),IF(AND(AX$5&lt;=$F122,AX$5+GanttPeriod-1&gt;=$E122),"━","")))</f>
        <v/>
      </c>
      <c r="AY122" s="69" t="str">
        <f aca="false">IF($E122="","",IF($M122,IF(AND($G122&gt;=AY$5,$G122&lt;AY$5+GanttPeriod),"◆",IF(AND($E122&gt;=AY$5,$E122&lt;AY$5+GanttPeriod),"◇","")),IF(AND(AY$5&lt;=$F122,AY$5+GanttPeriod-1&gt;=$E122),"━","")))</f>
        <v/>
      </c>
      <c r="AZ122" s="69" t="str">
        <f aca="false">IF($E122="","",IF($M122,IF(AND($G122&gt;=AZ$5,$G122&lt;AZ$5+GanttPeriod),"◆",IF(AND($E122&gt;=AZ$5,$E122&lt;AZ$5+GanttPeriod),"◇","")),IF(AND(AZ$5&lt;=$F122,AZ$5+GanttPeriod-1&gt;=$E122),"━","")))</f>
        <v/>
      </c>
      <c r="BA122" s="69" t="str">
        <f aca="false">IF($E122="","",IF($M122,IF(AND($G122&gt;=BA$5,$G122&lt;BA$5+GanttPeriod),"◆",IF(AND($E122&gt;=BA$5,$E122&lt;BA$5+GanttPeriod),"◇","")),IF(AND(BA$5&lt;=$F122,BA$5+GanttPeriod-1&gt;=$E122),"━","")))</f>
        <v/>
      </c>
      <c r="BB122" s="69" t="str">
        <f aca="false">IF($E122="","",IF($M122,IF(AND($G122&gt;=BB$5,$G122&lt;BB$5+GanttPeriod),"◆",IF(AND($E122&gt;=BB$5,$E122&lt;BB$5+GanttPeriod),"◇","")),IF(AND(BB$5&lt;=$F122,BB$5+GanttPeriod-1&gt;=$E122),"━","")))</f>
        <v/>
      </c>
      <c r="BC122" s="69" t="str">
        <f aca="false">IF($E122="","",IF($M122,IF(AND($G122&gt;=BC$5,$G122&lt;BC$5+GanttPeriod),"◆",IF(AND($E122&gt;=BC$5,$E122&lt;BC$5+GanttPeriod),"◇","")),IF(AND(BC$5&lt;=$F122,BC$5+GanttPeriod-1&gt;=$E122),"━","")))</f>
        <v/>
      </c>
      <c r="BD122" s="69" t="str">
        <f aca="false">IF($E122="","",IF($M122,IF(AND($G122&gt;=BD$5,$G122&lt;BD$5+GanttPeriod),"◆",IF(AND($E122&gt;=BD$5,$E122&lt;BD$5+GanttPeriod),"◇","")),IF(AND(BD$5&lt;=$F122,BD$5+GanttPeriod-1&gt;=$E122),"━","")))</f>
        <v/>
      </c>
      <c r="BE122" s="69" t="str">
        <f aca="false">IF($E122="","",IF($M122,IF(AND($G122&gt;=BE$5,$G122&lt;BE$5+GanttPeriod),"◆",IF(AND($E122&gt;=BE$5,$E122&lt;BE$5+GanttPeriod),"◇","")),IF(AND(BE$5&lt;=$F122,BE$5+GanttPeriod-1&gt;=$E122),"━","")))</f>
        <v/>
      </c>
      <c r="BF122" s="69" t="str">
        <f aca="false">IF($E122="","",IF($M122,IF(AND($G122&gt;=BF$5,$G122&lt;BF$5+GanttPeriod),"◆",IF(AND($E122&gt;=BF$5,$E122&lt;BF$5+GanttPeriod),"◇","")),IF(AND(BF$5&lt;=$F122,BF$5+GanttPeriod-1&gt;=$E122),"━","")))</f>
        <v/>
      </c>
      <c r="BG122" s="69" t="str">
        <f aca="false">IF($E122="","",IF($M122,IF(AND($G122&gt;=BG$5,$G122&lt;BG$5+GanttPeriod),"◆",IF(AND($E122&gt;=BG$5,$E122&lt;BG$5+GanttPeriod),"◇","")),IF(AND(BG$5&lt;=$F122,BG$5+GanttPeriod-1&gt;=$E122),"━","")))</f>
        <v/>
      </c>
      <c r="BH122" s="69" t="str">
        <f aca="false">IF($E122="","",IF($M122,IF(AND($G122&gt;=BH$5,$G122&lt;BH$5+GanttPeriod),"◆",IF(AND($E122&gt;=BH$5,$E122&lt;BH$5+GanttPeriod),"◇","")),IF(AND(BH$5&lt;=$F122,BH$5+GanttPeriod-1&gt;=$E122),"━","")))</f>
        <v/>
      </c>
      <c r="BI122" s="69" t="str">
        <f aca="false">IF($E122="","",IF($M122,IF(AND($G122&gt;=BI$5,$G122&lt;BI$5+GanttPeriod),"◆",IF(AND($E122&gt;=BI$5,$E122&lt;BI$5+GanttPeriod),"◇","")),IF(AND(BI$5&lt;=$F122,BI$5+GanttPeriod-1&gt;=$E122),"━","")))</f>
        <v/>
      </c>
      <c r="BJ122" s="69" t="str">
        <f aca="false">IF($E122="","",IF($M122,IF(AND($G122&gt;=BJ$5,$G122&lt;BJ$5+GanttPeriod),"◆",IF(AND($E122&gt;=BJ$5,$E122&lt;BJ$5+GanttPeriod),"◇","")),IF(AND(BJ$5&lt;=$F122,BJ$5+GanttPeriod-1&gt;=$E122),"━","")))</f>
        <v/>
      </c>
      <c r="BK122" s="69" t="str">
        <f aca="false">IF($E122="","",IF($M122,IF(AND($G122&gt;=BK$5,$G122&lt;BK$5+GanttPeriod),"◆",IF(AND($E122&gt;=BK$5,$E122&lt;BK$5+GanttPeriod),"◇","")),IF(AND(BK$5&lt;=$F122,BK$5+GanttPeriod-1&gt;=$E122),"━","")))</f>
        <v/>
      </c>
      <c r="BL122" s="69" t="str">
        <f aca="false">IF($E122="","",IF($M122,IF(AND($G122&gt;=BL$5,$G122&lt;BL$5+GanttPeriod),"◆",IF(AND($E122&gt;=BL$5,$E122&lt;BL$5+GanttPeriod),"◇","")),IF(AND(BL$5&lt;=$F122,BL$5+GanttPeriod-1&gt;=$E122),"━","")))</f>
        <v/>
      </c>
      <c r="BM122" s="69" t="str">
        <f aca="false">IF($E122="","",IF($M122,IF(AND($G122&gt;=BM$5,$G122&lt;BM$5+GanttPeriod),"◆",IF(AND($E122&gt;=BM$5,$E122&lt;BM$5+GanttPeriod),"◇","")),IF(AND(BM$5&lt;=$F122,BM$5+GanttPeriod-1&gt;=$E122),"━","")))</f>
        <v/>
      </c>
      <c r="BN122" s="69" t="str">
        <f aca="false">IF($E122="","",IF($M122,IF(AND($G122&gt;=BN$5,$G122&lt;BN$5+GanttPeriod),"◆",IF(AND($E122&gt;=BN$5,$E122&lt;BN$5+GanttPeriod),"◇","")),IF(AND(BN$5&lt;=$F122,BN$5+GanttPeriod-1&gt;=$E122),"━","")))</f>
        <v/>
      </c>
      <c r="BO122" s="69" t="str">
        <f aca="false">IF($E122="","",IF($M122,IF(AND($G122&gt;=BO$5,$G122&lt;BO$5+GanttPeriod),"◆",IF(AND($E122&gt;=BO$5,$E122&lt;BO$5+GanttPeriod),"◇","")),IF(AND(BO$5&lt;=$F122,BO$5+GanttPeriod-1&gt;=$E122),"━","")))</f>
        <v/>
      </c>
      <c r="BP122" s="69" t="str">
        <f aca="false">IF($E122="","",IF($M122,IF(AND($G122&gt;=BP$5,$G122&lt;BP$5+GanttPeriod),"◆",IF(AND($E122&gt;=BP$5,$E122&lt;BP$5+GanttPeriod),"◇","")),IF(AND(BP$5&lt;=$F122,BP$5+GanttPeriod-1&gt;=$E122),"━","")))</f>
        <v/>
      </c>
      <c r="BQ122" s="69" t="str">
        <f aca="false">IF($E122="","",IF($M122,IF(AND($G122&gt;=BQ$5,$G122&lt;BQ$5+GanttPeriod),"◆",IF(AND($E122&gt;=BQ$5,$E122&lt;BQ$5+GanttPeriod),"◇","")),IF(AND(BQ$5&lt;=$F122,BQ$5+GanttPeriod-1&gt;=$E122),"━","")))</f>
        <v/>
      </c>
      <c r="BR122" s="69" t="str">
        <f aca="false">IF($E122="","",IF($M122,IF(AND($G122&gt;=BR$5,$G122&lt;BR$5+GanttPeriod),"◆",IF(AND($E122&gt;=BR$5,$E122&lt;BR$5+GanttPeriod),"◇","")),IF(AND(BR$5&lt;=$F122,BR$5+GanttPeriod-1&gt;=$E122),"━","")))</f>
        <v/>
      </c>
      <c r="BS122" s="69" t="str">
        <f aca="false">IF($E122="","",IF($M122,IF(AND($G122&gt;=BS$5,$G122&lt;BS$5+GanttPeriod),"◆",IF(AND($E122&gt;=BS$5,$E122&lt;BS$5+GanttPeriod),"◇","")),IF(AND(BS$5&lt;=$F122,BS$5+GanttPeriod-1&gt;=$E122),"━","")))</f>
        <v/>
      </c>
      <c r="BT122" s="69" t="str">
        <f aca="false">IF($E122="","",IF($M122,IF(AND($G122&gt;=BT$5,$G122&lt;BT$5+GanttPeriod),"◆",IF(AND($E122&gt;=BT$5,$E122&lt;BT$5+GanttPeriod),"◇","")),IF(AND(BT$5&lt;=$F122,BT$5+GanttPeriod-1&gt;=$E122),"━","")))</f>
        <v/>
      </c>
      <c r="BU122" s="69" t="str">
        <f aca="false">IF($E122="","",IF($M122,IF(AND($G122&gt;=BU$5,$G122&lt;BU$5+GanttPeriod),"◆",IF(AND($E122&gt;=BU$5,$E122&lt;BU$5+GanttPeriod),"◇","")),IF(AND(BU$5&lt;=$F122,BU$5+GanttPeriod-1&gt;=$E122),"━","")))</f>
        <v/>
      </c>
      <c r="BV122" s="69" t="str">
        <f aca="false">IF($E122="","",IF($M122,IF(AND($G122&gt;=BV$5,$G122&lt;BV$5+GanttPeriod),"◆",IF(AND($E122&gt;=BV$5,$E122&lt;BV$5+GanttPeriod),"◇","")),IF(AND(BV$5&lt;=$F122,BV$5+GanttPeriod-1&gt;=$E122),"━","")))</f>
        <v/>
      </c>
      <c r="BW122" s="69" t="str">
        <f aca="false">IF($E122="","",IF($M122,IF(AND($G122&gt;=BW$5,$G122&lt;BW$5+GanttPeriod),"◆",IF(AND($E122&gt;=BW$5,$E122&lt;BW$5+GanttPeriod),"◇","")),IF(AND(BW$5&lt;=$F122,BW$5+GanttPeriod-1&gt;=$E122),"━","")))</f>
        <v/>
      </c>
      <c r="BX122" s="69" t="str">
        <f aca="false">IF($E122="","",IF($M122,IF(AND($G122&gt;=BX$5,$G122&lt;BX$5+GanttPeriod),"◆",IF(AND($E122&gt;=BX$5,$E122&lt;BX$5+GanttPeriod),"◇","")),IF(AND(BX$5&lt;=$F122,BX$5+GanttPeriod-1&gt;=$E122),"━","")))</f>
        <v/>
      </c>
      <c r="BY122" s="69" t="str">
        <f aca="false">IF($E122="","",IF($M122,IF(AND($G122&gt;=BY$5,$G122&lt;BY$5+GanttPeriod),"◆",IF(AND($E122&gt;=BY$5,$E122&lt;BY$5+GanttPeriod),"◇","")),IF(AND(BY$5&lt;=$F122,BY$5+GanttPeriod-1&gt;=$E122),"━","")))</f>
        <v/>
      </c>
      <c r="BZ122" s="69" t="str">
        <f aca="false">IF($E122="","",IF($M122,IF(AND($G122&gt;=BZ$5,$G122&lt;BZ$5+GanttPeriod),"◆",IF(AND($E122&gt;=BZ$5,$E122&lt;BZ$5+GanttPeriod),"◇","")),IF(AND(BZ$5&lt;=$F122,BZ$5+GanttPeriod-1&gt;=$E122),"━","")))</f>
        <v/>
      </c>
      <c r="CA122" s="69" t="str">
        <f aca="false">IF($E122="","",IF($M122,IF(AND($G122&gt;=CA$5,$G122&lt;CA$5+GanttPeriod),"◆",IF(AND($E122&gt;=CA$5,$E122&lt;CA$5+GanttPeriod),"◇","")),IF(AND(CA$5&lt;=$F122,CA$5+GanttPeriod-1&gt;=$E122),"━","")))</f>
        <v/>
      </c>
      <c r="CB122" s="69" t="str">
        <f aca="false">IF($E122="","",IF($M122,IF(AND($G122&gt;=CB$5,$G122&lt;CB$5+GanttPeriod),"◆",IF(AND($E122&gt;=CB$5,$E122&lt;CB$5+GanttPeriod),"◇","")),IF(AND(CB$5&lt;=$F122,CB$5+GanttPeriod-1&gt;=$E122),"━","")))</f>
        <v/>
      </c>
      <c r="CC122" s="69" t="str">
        <f aca="false">IF($E122="","",IF($M122,IF(AND($G122&gt;=CC$5,$G122&lt;CC$5+GanttPeriod),"◆",IF(AND($E122&gt;=CC$5,$E122&lt;CC$5+GanttPeriod),"◇","")),IF(AND(CC$5&lt;=$F122,CC$5+GanttPeriod-1&gt;=$E122),"━","")))</f>
        <v/>
      </c>
      <c r="CD122" s="69" t="str">
        <f aca="false">IF($E122="","",IF($M122,IF(AND($G122&gt;=CD$5,$G122&lt;CD$5+GanttPeriod),"◆",IF(AND($E122&gt;=CD$5,$E122&lt;CD$5+GanttPeriod),"◇","")),IF(AND(CD$5&lt;=$F122,CD$5+GanttPeriod-1&gt;=$E122),"━","")))</f>
        <v/>
      </c>
      <c r="CE122" s="69" t="str">
        <f aca="false">IF($E122="","",IF($M122,IF(AND($G122&gt;=CE$5,$G122&lt;CE$5+GanttPeriod),"◆",IF(AND($E122&gt;=CE$5,$E122&lt;CE$5+GanttPeriod),"◇","")),IF(AND(CE$5&lt;=$F122,CE$5+GanttPeriod-1&gt;=$E122),"━","")))</f>
        <v/>
      </c>
      <c r="CF122" s="69" t="str">
        <f aca="false">IF($E122="","",IF($M122,IF(AND($G122&gt;=CF$5,$G122&lt;CF$5+GanttPeriod),"◆",IF(AND($E122&gt;=CF$5,$E122&lt;CF$5+GanttPeriod),"◇","")),IF(AND(CF$5&lt;=$F122,CF$5+GanttPeriod-1&gt;=$E122),"━","")))</f>
        <v/>
      </c>
      <c r="CG122" s="69" t="str">
        <f aca="false">IF($E122="","",IF($M122,IF(AND($G122&gt;=CG$5,$G122&lt;CG$5+GanttPeriod),"◆",IF(AND($E122&gt;=CG$5,$E122&lt;CG$5+GanttPeriod),"◇","")),IF(AND(CG$5&lt;=$F122,CG$5+GanttPeriod-1&gt;=$E122),"━","")))</f>
        <v/>
      </c>
      <c r="CH122" s="69" t="str">
        <f aca="false">IF($E122="","",IF($M122,IF(AND($G122&gt;=CH$5,$G122&lt;CH$5+GanttPeriod),"◆",IF(AND($E122&gt;=CH$5,$E122&lt;CH$5+GanttPeriod),"◇","")),IF(AND(CH$5&lt;=$F122,CH$5+GanttPeriod-1&gt;=$E122),"━","")))</f>
        <v/>
      </c>
      <c r="CI122" s="69" t="str">
        <f aca="false">IF($E122="","",IF($M122,IF(AND($G122&gt;=CI$5,$G122&lt;CI$5+GanttPeriod),"◆",IF(AND($E122&gt;=CI$5,$E122&lt;CI$5+GanttPeriod),"◇","")),IF(AND(CI$5&lt;=$F122,CI$5+GanttPeriod-1&gt;=$E122),"━","")))</f>
        <v/>
      </c>
      <c r="CJ122" s="69" t="str">
        <f aca="false">IF($E122="","",IF($M122,IF(AND($G122&gt;=CJ$5,$G122&lt;CJ$5+GanttPeriod),"◆",IF(AND($E122&gt;=CJ$5,$E122&lt;CJ$5+GanttPeriod),"◇","")),IF(AND(CJ$5&lt;=$F122,CJ$5+GanttPeriod-1&gt;=$E122),"━","")))</f>
        <v/>
      </c>
      <c r="CK122" s="69" t="str">
        <f aca="false">IF($E122="","",IF($M122,IF(AND($G122&gt;=CK$5,$G122&lt;CK$5+GanttPeriod),"◆",IF(AND($E122&gt;=CK$5,$E122&lt;CK$5+GanttPeriod),"◇","")),IF(AND(CK$5&lt;=$F122,CK$5+GanttPeriod-1&gt;=$E122),"━","")))</f>
        <v/>
      </c>
      <c r="CL122" s="69" t="str">
        <f aca="false">IF($E122="","",IF($M122,IF(AND($G122&gt;=CL$5,$G122&lt;CL$5+GanttPeriod),"◆",IF(AND($E122&gt;=CL$5,$E122&lt;CL$5+GanttPeriod),"◇","")),IF(AND(CL$5&lt;=$F122,CL$5+GanttPeriod-1&gt;=$E122),"━","")))</f>
        <v/>
      </c>
      <c r="CM122" s="69" t="str">
        <f aca="false">IF($E122="","",IF($M122,IF(AND($G122&gt;=CM$5,$G122&lt;CM$5+GanttPeriod),"◆",IF(AND($E122&gt;=CM$5,$E122&lt;CM$5+GanttPeriod),"◇","")),IF(AND(CM$5&lt;=$F122,CM$5+GanttPeriod-1&gt;=$E122),"━","")))</f>
        <v/>
      </c>
      <c r="CN122" s="69" t="str">
        <f aca="false">IF($E122="","",IF($M122,IF(AND($G122&gt;=CN$5,$G122&lt;CN$5+GanttPeriod),"◆",IF(AND($E122&gt;=CN$5,$E122&lt;CN$5+GanttPeriod),"◇","")),IF(AND(CN$5&lt;=$F122,CN$5+GanttPeriod-1&gt;=$E122),"━","")))</f>
        <v/>
      </c>
      <c r="CO122" s="69" t="str">
        <f aca="false">IF($E122="","",IF($M122,IF(AND($G122&gt;=CO$5,$G122&lt;CO$5+GanttPeriod),"◆",IF(AND($E122&gt;=CO$5,$E122&lt;CO$5+GanttPeriod),"◇","")),IF(AND(CO$5&lt;=$F122,CO$5+GanttPeriod-1&gt;=$E122),"━","")))</f>
        <v/>
      </c>
      <c r="CP122" s="69" t="str">
        <f aca="false">IF($E122="","",IF($M122,IF(AND($G122&gt;=CP$5,$G122&lt;CP$5+GanttPeriod),"◆",IF(AND($E122&gt;=CP$5,$E122&lt;CP$5+GanttPeriod),"◇","")),IF(AND(CP$5&lt;=$F122,CP$5+GanttPeriod-1&gt;=$E122),"━","")))</f>
        <v/>
      </c>
      <c r="CQ122" s="69" t="str">
        <f aca="false">IF($E122="","",IF($M122,IF(AND($G122&gt;=CQ$5,$G122&lt;CQ$5+GanttPeriod),"◆",IF(AND($E122&gt;=CQ$5,$E122&lt;CQ$5+GanttPeriod),"◇","")),IF(AND(CQ$5&lt;=$F122,CQ$5+GanttPeriod-1&gt;=$E122),"━","")))</f>
        <v/>
      </c>
      <c r="CR122" s="69" t="str">
        <f aca="false">IF($E122="","",IF($M122,IF(AND($G122&gt;=CR$5,$G122&lt;CR$5+GanttPeriod),"◆",IF(AND($E122&gt;=CR$5,$E122&lt;CR$5+GanttPeriod),"◇","")),IF(AND(CR$5&lt;=$F122,CR$5+GanttPeriod-1&gt;=$E122),"━","")))</f>
        <v/>
      </c>
      <c r="CS122" s="69" t="str">
        <f aca="false">IF($E122="","",IF($M122,IF(AND($G122&gt;=CS$5,$G122&lt;CS$5+GanttPeriod),"◆",IF(AND($E122&gt;=CS$5,$E122&lt;CS$5+GanttPeriod),"◇","")),IF(AND(CS$5&lt;=$F122,CS$5+GanttPeriod-1&gt;=$E122),"━","")))</f>
        <v/>
      </c>
      <c r="CT122" s="69" t="str">
        <f aca="false">IF($E122="","",IF($M122,IF(AND($G122&gt;=CT$5,$G122&lt;CT$5+GanttPeriod),"◆",IF(AND($E122&gt;=CT$5,$E122&lt;CT$5+GanttPeriod),"◇","")),IF(AND(CT$5&lt;=$F122,CT$5+GanttPeriod-1&gt;=$E122),"━","")))</f>
        <v/>
      </c>
      <c r="CU122" s="69" t="str">
        <f aca="false">IF($E122="","",IF($M122,IF(AND($G122&gt;=CU$5,$G122&lt;CU$5+GanttPeriod),"◆",IF(AND($E122&gt;=CU$5,$E122&lt;CU$5+GanttPeriod),"◇","")),IF(AND(CU$5&lt;=$F122,CU$5+GanttPeriod-1&gt;=$E122),"━","")))</f>
        <v/>
      </c>
      <c r="CV122" s="69" t="str">
        <f aca="false">IF($E122="","",IF($M122,IF(AND($G122&gt;=CV$5,$G122&lt;CV$5+GanttPeriod),"◆",IF(AND($E122&gt;=CV$5,$E122&lt;CV$5+GanttPeriod),"◇","")),IF(AND(CV$5&lt;=$F122,CV$5+GanttPeriod-1&gt;=$E122),"━","")))</f>
        <v/>
      </c>
      <c r="CW122" s="69" t="str">
        <f aca="false">IF($E122="","",IF($M122,IF(AND($G122&gt;=CW$5,$G122&lt;CW$5+GanttPeriod),"◆",IF(AND($E122&gt;=CW$5,$E122&lt;CW$5+GanttPeriod),"◇","")),IF(AND(CW$5&lt;=$F122,CW$5+GanttPeriod-1&gt;=$E122),"━","")))</f>
        <v/>
      </c>
      <c r="CX122" s="69" t="str">
        <f aca="false">IF($E122="","",IF($M122,IF(AND($G122&gt;=CX$5,$G122&lt;CX$5+GanttPeriod),"◆",IF(AND($E122&gt;=CX$5,$E122&lt;CX$5+GanttPeriod),"◇","")),IF(AND(CX$5&lt;=$F122,CX$5+GanttPeriod-1&gt;=$E122),"━","")))</f>
        <v/>
      </c>
      <c r="CY122" s="69" t="str">
        <f aca="false">IF($E122="","",IF($M122,IF(AND($G122&gt;=CY$5,$G122&lt;CY$5+GanttPeriod),"◆",IF(AND($E122&gt;=CY$5,$E122&lt;CY$5+GanttPeriod),"◇","")),IF(AND(CY$5&lt;=$F122,CY$5+GanttPeriod-1&gt;=$E122),"━","")))</f>
        <v/>
      </c>
      <c r="CZ122" s="69" t="str">
        <f aca="false">IF($E122="","",IF($M122,IF(AND($G122&gt;=CZ$5,$G122&lt;CZ$5+GanttPeriod),"◆",IF(AND($E122&gt;=CZ$5,$E122&lt;CZ$5+GanttPeriod),"◇","")),IF(AND(CZ$5&lt;=$F122,CZ$5+GanttPeriod-1&gt;=$E122),"━","")))</f>
        <v/>
      </c>
      <c r="DA122" s="69" t="str">
        <f aca="false">IF($E122="","",IF($M122,IF(AND($G122&gt;=DA$5,$G122&lt;DA$5+GanttPeriod),"◆",IF(AND($E122&gt;=DA$5,$E122&lt;DA$5+GanttPeriod),"◇","")),IF(AND(DA$5&lt;=$F122,DA$5+GanttPeriod-1&gt;=$E122),"━","")))</f>
        <v/>
      </c>
      <c r="DB122" s="69" t="str">
        <f aca="false">IF($E122="","",IF($M122,IF(AND($G122&gt;=DB$5,$G122&lt;DB$5+GanttPeriod),"◆",IF(AND($E122&gt;=DB$5,$E122&lt;DB$5+GanttPeriod),"◇","")),IF(AND(DB$5&lt;=$F122,DB$5+GanttPeriod-1&gt;=$E122),"━","")))</f>
        <v/>
      </c>
      <c r="DC122" s="69" t="str">
        <f aca="false">IF($E122="","",IF($M122,IF(AND($G122&gt;=DC$5,$G122&lt;DC$5+GanttPeriod),"◆",IF(AND($E122&gt;=DC$5,$E122&lt;DC$5+GanttPeriod),"◇","")),IF(AND(DC$5&lt;=$F122,DC$5+GanttPeriod-1&gt;=$E122),"━","")))</f>
        <v/>
      </c>
      <c r="DD122" s="69" t="str">
        <f aca="false">IF($E122="","",IF($M122,IF(AND($G122&gt;=DD$5,$G122&lt;DD$5+GanttPeriod),"◆",IF(AND($E122&gt;=DD$5,$E122&lt;DD$5+GanttPeriod),"◇","")),IF(AND(DD$5&lt;=$F122,DD$5+GanttPeriod-1&gt;=$E122),"━","")))</f>
        <v/>
      </c>
      <c r="DE122" s="69" t="str">
        <f aca="false">IF($E122="","",IF($M122,IF(AND($G122&gt;=DE$5,$G122&lt;DE$5+GanttPeriod),"◆",IF(AND($E122&gt;=DE$5,$E122&lt;DE$5+GanttPeriod),"◇","")),IF(AND(DE$5&lt;=$F122,DE$5+GanttPeriod-1&gt;=$E122),"━","")))</f>
        <v/>
      </c>
      <c r="DF122" s="69" t="str">
        <f aca="false">IF($E122="","",IF($M122,IF(AND($G122&gt;=DF$5,$G122&lt;DF$5+GanttPeriod),"◆",IF(AND($E122&gt;=DF$5,$E122&lt;DF$5+GanttPeriod),"◇","")),IF(AND(DF$5&lt;=$F122,DF$5+GanttPeriod-1&gt;=$E122),"━","")))</f>
        <v/>
      </c>
      <c r="DG122" s="69" t="str">
        <f aca="false">IF($E122="","",IF($M122,IF(AND($G122&gt;=DG$5,$G122&lt;DG$5+GanttPeriod),"◆",IF(AND($E122&gt;=DG$5,$E122&lt;DG$5+GanttPeriod),"◇","")),IF(AND(DG$5&lt;=$F122,DG$5+GanttPeriod-1&gt;=$E122),"━","")))</f>
        <v/>
      </c>
      <c r="DH122" s="69" t="str">
        <f aca="false">IF($E122="","",IF($M122,IF(AND($G122&gt;=DH$5,$G122&lt;DH$5+GanttPeriod),"◆",IF(AND($E122&gt;=DH$5,$E122&lt;DH$5+GanttPeriod),"◇","")),IF(AND(DH$5&lt;=$F122,DH$5+GanttPeriod-1&gt;=$E122),"━","")))</f>
        <v/>
      </c>
      <c r="DI122" s="69" t="str">
        <f aca="false">IF($E122="","",IF($M122,IF(AND($G122&gt;=DI$5,$G122&lt;DI$5+GanttPeriod),"◆",IF(AND($E122&gt;=DI$5,$E122&lt;DI$5+GanttPeriod),"◇","")),IF(AND(DI$5&lt;=$F122,DI$5+GanttPeriod-1&gt;=$E122),"━","")))</f>
        <v/>
      </c>
      <c r="DJ122" s="69" t="str">
        <f aca="false">IF($E122="","",IF($M122,IF(AND($G122&gt;=DJ$5,$G122&lt;DJ$5+GanttPeriod),"◆",IF(AND($E122&gt;=DJ$5,$E122&lt;DJ$5+GanttPeriod),"◇","")),IF(AND(DJ$5&lt;=$F122,DJ$5+GanttPeriod-1&gt;=$E122),"━","")))</f>
        <v/>
      </c>
      <c r="DK122" s="69" t="str">
        <f aca="false">IF($E122="","",IF($M122,IF(AND($G122&gt;=DK$5,$G122&lt;DK$5+GanttPeriod),"◆",IF(AND($E122&gt;=DK$5,$E122&lt;DK$5+GanttPeriod),"◇","")),IF(AND(DK$5&lt;=$F122,DK$5+GanttPeriod-1&gt;=$E122),"━","")))</f>
        <v/>
      </c>
      <c r="DL122" s="69" t="str">
        <f aca="false">IF($E122="","",IF($M122,IF(AND($G122&gt;=DL$5,$G122&lt;DL$5+GanttPeriod),"◆",IF(AND($E122&gt;=DL$5,$E122&lt;DL$5+GanttPeriod),"◇","")),IF(AND(DL$5&lt;=$F122,DL$5+GanttPeriod-1&gt;=$E122),"━","")))</f>
        <v/>
      </c>
      <c r="DM122" s="69" t="str">
        <f aca="false">IF($E122="","",IF($M122,IF(AND($G122&gt;=DM$5,$G122&lt;DM$5+GanttPeriod),"◆",IF(AND($E122&gt;=DM$5,$E122&lt;DM$5+GanttPeriod),"◇","")),IF(AND(DM$5&lt;=$F122,DM$5+GanttPeriod-1&gt;=$E122),"━","")))</f>
        <v/>
      </c>
      <c r="DN122" s="69" t="str">
        <f aca="false">IF($E122="","",IF($M122,IF(AND($G122&gt;=DN$5,$G122&lt;DN$5+GanttPeriod),"◆",IF(AND($E122&gt;=DN$5,$E122&lt;DN$5+GanttPeriod),"◇","")),IF(AND(DN$5&lt;=$F122,DN$5+GanttPeriod-1&gt;=$E122),"━","")))</f>
        <v/>
      </c>
      <c r="DO122" s="69" t="str">
        <f aca="false">IF($E122="","",IF($M122,IF(AND($G122&gt;=DO$5,$G122&lt;DO$5+GanttPeriod),"◆",IF(AND($E122&gt;=DO$5,$E122&lt;DO$5+GanttPeriod),"◇","")),IF(AND(DO$5&lt;=$F122,DO$5+GanttPeriod-1&gt;=$E122),"━","")))</f>
        <v/>
      </c>
      <c r="DP122" s="69" t="str">
        <f aca="false">IF($E122="","",IF($M122,IF(AND($G122&gt;=DP$5,$G122&lt;DP$5+GanttPeriod),"◆",IF(AND($E122&gt;=DP$5,$E122&lt;DP$5+GanttPeriod),"◇","")),IF(AND(DP$5&lt;=$F122,DP$5+GanttPeriod-1&gt;=$E122),"━","")))</f>
        <v/>
      </c>
      <c r="DQ122" s="69" t="str">
        <f aca="false">IF($E122="","",IF($M122,IF(AND($G122&gt;=DQ$5,$G122&lt;DQ$5+GanttPeriod),"◆",IF(AND($E122&gt;=DQ$5,$E122&lt;DQ$5+GanttPeriod),"◇","")),IF(AND(DQ$5&lt;=$F122,DQ$5+GanttPeriod-1&gt;=$E122),"━","")))</f>
        <v/>
      </c>
      <c r="DR122" s="69" t="str">
        <f aca="false">IF($E122="","",IF($M122,IF(AND($G122&gt;=DR$5,$G122&lt;DR$5+GanttPeriod),"◆",IF(AND($E122&gt;=DR$5,$E122&lt;DR$5+GanttPeriod),"◇","")),IF(AND(DR$5&lt;=$F122,DR$5+GanttPeriod-1&gt;=$E122),"━","")))</f>
        <v/>
      </c>
      <c r="DS122" s="69" t="str">
        <f aca="false">IF($E122="","",IF($M122,IF(AND($G122&gt;=DS$5,$G122&lt;DS$5+GanttPeriod),"◆",IF(AND($E122&gt;=DS$5,$E122&lt;DS$5+GanttPeriod),"◇","")),IF(AND(DS$5&lt;=$F122,DS$5+GanttPeriod-1&gt;=$E122),"━","")))</f>
        <v/>
      </c>
      <c r="DT122" s="69" t="str">
        <f aca="false">IF($E122="","",IF($M122,IF(AND($G122&gt;=DT$5,$G122&lt;DT$5+GanttPeriod),"◆",IF(AND($E122&gt;=DT$5,$E122&lt;DT$5+GanttPeriod),"◇","")),IF(AND(DT$5&lt;=$F122,DT$5+GanttPeriod-1&gt;=$E122),"━","")))</f>
        <v/>
      </c>
      <c r="DU122" s="69" t="str">
        <f aca="false">IF($E122="","",IF($M122,IF(AND($G122&gt;=DU$5,$G122&lt;DU$5+GanttPeriod),"◆",IF(AND($E122&gt;=DU$5,$E122&lt;DU$5+GanttPeriod),"◇","")),IF(AND(DU$5&lt;=$F122,DU$5+GanttPeriod-1&gt;=$E122),"━","")))</f>
        <v/>
      </c>
      <c r="DV122" s="69" t="str">
        <f aca="false">IF($E122="","",IF($M122,IF(AND($G122&gt;=DV$5,$G122&lt;DV$5+GanttPeriod),"◆",IF(AND($E122&gt;=DV$5,$E122&lt;DV$5+GanttPeriod),"◇","")),IF(AND(DV$5&lt;=$F122,DV$5+GanttPeriod-1&gt;=$E122),"━","")))</f>
        <v/>
      </c>
      <c r="DW122" s="69" t="str">
        <f aca="false">IF($E122="","",IF($M122,IF(AND($G122&gt;=DW$5,$G122&lt;DW$5+GanttPeriod),"◆",IF(AND($E122&gt;=DW$5,$E122&lt;DW$5+GanttPeriod),"◇","")),IF(AND(DW$5&lt;=$F122,DW$5+GanttPeriod-1&gt;=$E122),"━","")))</f>
        <v/>
      </c>
      <c r="DX122" s="69" t="str">
        <f aca="false">IF($E122="","",IF($M122,IF(AND($G122&gt;=DX$5,$G122&lt;DX$5+GanttPeriod),"◆",IF(AND($E122&gt;=DX$5,$E122&lt;DX$5+GanttPeriod),"◇","")),IF(AND(DX$5&lt;=$F122,DX$5+GanttPeriod-1&gt;=$E122),"━","")))</f>
        <v/>
      </c>
      <c r="DY122" s="69" t="str">
        <f aca="false">IF($E122="","",IF($M122,IF(AND($G122&gt;=DY$5,$G122&lt;DY$5+GanttPeriod),"◆",IF(AND($E122&gt;=DY$5,$E122&lt;DY$5+GanttPeriod),"◇","")),IF(AND(DY$5&lt;=$F122,DY$5+GanttPeriod-1&gt;=$E122),"━","")))</f>
        <v/>
      </c>
      <c r="DZ122" s="69" t="str">
        <f aca="false">IF($E122="","",IF($M122,IF(AND($G122&gt;=DZ$5,$G122&lt;DZ$5+GanttPeriod),"◆",IF(AND($E122&gt;=DZ$5,$E122&lt;DZ$5+GanttPeriod),"◇","")),IF(AND(DZ$5&lt;=$F122,DZ$5+GanttPeriod-1&gt;=$E122),"━","")))</f>
        <v/>
      </c>
      <c r="EA122" s="69" t="str">
        <f aca="false">IF($E122="","",IF($M122,IF(AND($G122&gt;=EA$5,$G122&lt;EA$5+GanttPeriod),"◆",IF(AND($E122&gt;=EA$5,$E122&lt;EA$5+GanttPeriod),"◇","")),IF(AND(EA$5&lt;=$F122,EA$5+GanttPeriod-1&gt;=$E122),"━","")))</f>
        <v/>
      </c>
      <c r="EB122" s="69" t="str">
        <f aca="false">IF($E122="","",IF($M122,IF(AND($G122&gt;=EB$5,$G122&lt;EB$5+GanttPeriod),"◆",IF(AND($E122&gt;=EB$5,$E122&lt;EB$5+GanttPeriod),"◇","")),IF(AND(EB$5&lt;=$F122,EB$5+GanttPeriod-1&gt;=$E122),"━","")))</f>
        <v/>
      </c>
      <c r="EC122" s="69" t="str">
        <f aca="false">IF($E122="","",IF($M122,IF(AND($G122&gt;=EC$5,$G122&lt;EC$5+GanttPeriod),"◆",IF(AND($E122&gt;=EC$5,$E122&lt;EC$5+GanttPeriod),"◇","")),IF(AND(EC$5&lt;=$F122,EC$5+GanttPeriod-1&gt;=$E122),"━","")))</f>
        <v/>
      </c>
      <c r="ED122" s="69" t="str">
        <f aca="false">IF($E122="","",IF($M122,IF(AND($G122&gt;=ED$5,$G122&lt;ED$5+GanttPeriod),"◆",IF(AND($E122&gt;=ED$5,$E122&lt;ED$5+GanttPeriod),"◇","")),IF(AND(ED$5&lt;=$F122,ED$5+GanttPeriod-1&gt;=$E122),"━","")))</f>
        <v/>
      </c>
      <c r="EE122" s="69" t="str">
        <f aca="false">IF($E122="","",IF($M122,IF(AND($G122&gt;=EE$5,$G122&lt;EE$5+GanttPeriod),"◆",IF(AND($E122&gt;=EE$5,$E122&lt;EE$5+GanttPeriod),"◇","")),IF(AND(EE$5&lt;=$F122,EE$5+GanttPeriod-1&gt;=$E122),"━","")))</f>
        <v/>
      </c>
      <c r="EF122" s="69" t="str">
        <f aca="false">IF($E122="","",IF($M122,IF(AND($G122&gt;=EF$5,$G122&lt;EF$5+GanttPeriod),"◆",IF(AND($E122&gt;=EF$5,$E122&lt;EF$5+GanttPeriod),"◇","")),IF(AND(EF$5&lt;=$F122,EF$5+GanttPeriod-1&gt;=$E122),"━","")))</f>
        <v/>
      </c>
      <c r="EG122" s="69" t="str">
        <f aca="false">IF($E122="","",IF($M122,IF(AND($G122&gt;=EG$5,$G122&lt;EG$5+GanttPeriod),"◆",IF(AND($E122&gt;=EG$5,$E122&lt;EG$5+GanttPeriod),"◇","")),IF(AND(EG$5&lt;=$F122,EG$5+GanttPeriod-1&gt;=$E122),"━","")))</f>
        <v/>
      </c>
      <c r="EH122" s="69" t="str">
        <f aca="false">IF($E122="","",IF($M122,IF(AND($G122&gt;=EH$5,$G122&lt;EH$5+GanttPeriod),"◆",IF(AND($E122&gt;=EH$5,$E122&lt;EH$5+GanttPeriod),"◇","")),IF(AND(EH$5&lt;=$F122,EH$5+GanttPeriod-1&gt;=$E122),"━","")))</f>
        <v/>
      </c>
      <c r="EI122" s="69" t="str">
        <f aca="false">IF($E122="","",IF($M122,IF(AND($G122&gt;=EI$5,$G122&lt;EI$5+GanttPeriod),"◆",IF(AND($E122&gt;=EI$5,$E122&lt;EI$5+GanttPeriod),"◇","")),IF(AND(EI$5&lt;=$F122,EI$5+GanttPeriod-1&gt;=$E122),"━","")))</f>
        <v/>
      </c>
      <c r="EJ122" s="69" t="str">
        <f aca="false">IF($E122="","",IF($M122,IF(AND($G122&gt;=EJ$5,$G122&lt;EJ$5+GanttPeriod),"◆",IF(AND($E122&gt;=EJ$5,$E122&lt;EJ$5+GanttPeriod),"◇","")),IF(AND(EJ$5&lt;=$F122,EJ$5+GanttPeriod-1&gt;=$E122),"━","")))</f>
        <v/>
      </c>
      <c r="EK122" s="69" t="str">
        <f aca="false">IF($E122="","",IF($M122,IF(AND($G122&gt;=EK$5,$G122&lt;EK$5+GanttPeriod),"◆",IF(AND($E122&gt;=EK$5,$E122&lt;EK$5+GanttPeriod),"◇","")),IF(AND(EK$5&lt;=$F122,EK$5+GanttPeriod-1&gt;=$E122),"━","")))</f>
        <v/>
      </c>
      <c r="EL122" s="69" t="str">
        <f aca="false">IF($E122="","",IF($M122,IF(AND($G122&gt;=EL$5,$G122&lt;EL$5+GanttPeriod),"◆",IF(AND($E122&gt;=EL$5,$E122&lt;EL$5+GanttPeriod),"◇","")),IF(AND(EL$5&lt;=$F122,EL$5+GanttPeriod-1&gt;=$E122),"━","")))</f>
        <v/>
      </c>
      <c r="EM122" s="69" t="str">
        <f aca="false">IF($E122="","",IF($M122,IF(AND($G122&gt;=EM$5,$G122&lt;EM$5+GanttPeriod),"◆",IF(AND($E122&gt;=EM$5,$E122&lt;EM$5+GanttPeriod),"◇","")),IF(AND(EM$5&lt;=$F122,EM$5+GanttPeriod-1&gt;=$E122),"━","")))</f>
        <v/>
      </c>
      <c r="EN122" s="69" t="str">
        <f aca="false">IF($E122="","",IF($M122,IF(AND($G122&gt;=EN$5,$G122&lt;EN$5+GanttPeriod),"◆",IF(AND($E122&gt;=EN$5,$E122&lt;EN$5+GanttPeriod),"◇","")),IF(AND(EN$5&lt;=$F122,EN$5+GanttPeriod-1&gt;=$E122),"━","")))</f>
        <v/>
      </c>
      <c r="EO122" s="69" t="str">
        <f aca="false">IF($E122="","",IF($M122,IF(AND($G122&gt;=EO$5,$G122&lt;EO$5+GanttPeriod),"◆",IF(AND($E122&gt;=EO$5,$E122&lt;EO$5+GanttPeriod),"◇","")),IF(AND(EO$5&lt;=$F122,EO$5+GanttPeriod-1&gt;=$E122),"━","")))</f>
        <v/>
      </c>
      <c r="EP122" s="69" t="str">
        <f aca="false">IF($E122="","",IF($M122,IF(AND($G122&gt;=EP$5,$G122&lt;EP$5+GanttPeriod),"◆",IF(AND($E122&gt;=EP$5,$E122&lt;EP$5+GanttPeriod),"◇","")),IF(AND(EP$5&lt;=$F122,EP$5+GanttPeriod-1&gt;=$E122),"━","")))</f>
        <v/>
      </c>
      <c r="EQ122" s="69" t="str">
        <f aca="false">IF($E122="","",IF($M122,IF(AND($G122&gt;=EQ$5,$G122&lt;EQ$5+GanttPeriod),"◆",IF(AND($E122&gt;=EQ$5,$E122&lt;EQ$5+GanttPeriod),"◇","")),IF(AND(EQ$5&lt;=$F122,EQ$5+GanttPeriod-1&gt;=$E122),"━","")))</f>
        <v/>
      </c>
      <c r="ER122" s="69" t="str">
        <f aca="false">IF($E122="","",IF($M122,IF(AND($G122&gt;=ER$5,$G122&lt;ER$5+GanttPeriod),"◆",IF(AND($E122&gt;=ER$5,$E122&lt;ER$5+GanttPeriod),"◇","")),IF(AND(ER$5&lt;=$F122,ER$5+GanttPeriod-1&gt;=$E122),"━","")))</f>
        <v/>
      </c>
      <c r="ES122" s="69" t="str">
        <f aca="false">IF($E122="","",IF($M122,IF(AND($G122&gt;=ES$5,$G122&lt;ES$5+GanttPeriod),"◆",IF(AND($E122&gt;=ES$5,$E122&lt;ES$5+GanttPeriod),"◇","")),IF(AND(ES$5&lt;=$F122,ES$5+GanttPeriod-1&gt;=$E122),"━","")))</f>
        <v/>
      </c>
      <c r="ET122" s="69" t="str">
        <f aca="false">IF($E122="","",IF($M122,IF(AND($G122&gt;=ET$5,$G122&lt;ET$5+GanttPeriod),"◆",IF(AND($E122&gt;=ET$5,$E122&lt;ET$5+GanttPeriod),"◇","")),IF(AND(ET$5&lt;=$F122,ET$5+GanttPeriod-1&gt;=$E122),"━","")))</f>
        <v/>
      </c>
      <c r="EU122" s="69" t="str">
        <f aca="false">IF($E122="","",IF($M122,IF(AND($G122&gt;=EU$5,$G122&lt;EU$5+GanttPeriod),"◆",IF(AND($E122&gt;=EU$5,$E122&lt;EU$5+GanttPeriod),"◇","")),IF(AND(EU$5&lt;=$F122,EU$5+GanttPeriod-1&gt;=$E122),"━","")))</f>
        <v/>
      </c>
      <c r="EV122" s="69" t="str">
        <f aca="false">IF($E122="","",IF($M122,IF(AND($G122&gt;=EV$5,$G122&lt;EV$5+GanttPeriod),"◆",IF(AND($E122&gt;=EV$5,$E122&lt;EV$5+GanttPeriod),"◇","")),IF(AND(EV$5&lt;=$F122,EV$5+GanttPeriod-1&gt;=$E122),"━","")))</f>
        <v/>
      </c>
      <c r="EW122" s="69" t="str">
        <f aca="false">IF($E122="","",IF($M122,IF(AND($G122&gt;=EW$5,$G122&lt;EW$5+GanttPeriod),"◆",IF(AND($E122&gt;=EW$5,$E122&lt;EW$5+GanttPeriod),"◇","")),IF(AND(EW$5&lt;=$F122,EW$5+GanttPeriod-1&gt;=$E122),"━","")))</f>
        <v/>
      </c>
      <c r="EX122" s="69" t="str">
        <f aca="false">IF($E122="","",IF($M122,IF(AND($G122&gt;=EX$5,$G122&lt;EX$5+GanttPeriod),"◆",IF(AND($E122&gt;=EX$5,$E122&lt;EX$5+GanttPeriod),"◇","")),IF(AND(EX$5&lt;=$F122,EX$5+GanttPeriod-1&gt;=$E122),"━","")))</f>
        <v/>
      </c>
      <c r="EY122" s="69" t="str">
        <f aca="false">IF($E122="","",IF($M122,IF(AND($G122&gt;=EY$5,$G122&lt;EY$5+GanttPeriod),"◆",IF(AND($E122&gt;=EY$5,$E122&lt;EY$5+GanttPeriod),"◇","")),IF(AND(EY$5&lt;=$F122,EY$5+GanttPeriod-1&gt;=$E122),"━","")))</f>
        <v/>
      </c>
      <c r="EZ122" s="69" t="str">
        <f aca="false">IF($E122="","",IF($M122,IF(AND($G122&gt;=EZ$5,$G122&lt;EZ$5+GanttPeriod),"◆",IF(AND($E122&gt;=EZ$5,$E122&lt;EZ$5+GanttPeriod),"◇","")),IF(AND(EZ$5&lt;=$F122,EZ$5+GanttPeriod-1&gt;=$E122),"━","")))</f>
        <v/>
      </c>
      <c r="FA122" s="69" t="str">
        <f aca="false">IF($E122="","",IF($M122,IF(AND($G122&gt;=FA$5,$G122&lt;FA$5+GanttPeriod),"◆",IF(AND($E122&gt;=FA$5,$E122&lt;FA$5+GanttPeriod),"◇","")),IF(AND(FA$5&lt;=$F122,FA$5+GanttPeriod-1&gt;=$E122),"━","")))</f>
        <v/>
      </c>
      <c r="FB122" s="69" t="str">
        <f aca="false">IF($E122="","",IF($M122,IF(AND($G122&gt;=FB$5,$G122&lt;FB$5+GanttPeriod),"◆",IF(AND($E122&gt;=FB$5,$E122&lt;FB$5+GanttPeriod),"◇","")),IF(AND(FB$5&lt;=$F122,FB$5+GanttPeriod-1&gt;=$E122),"━","")))</f>
        <v/>
      </c>
      <c r="FC122" s="69" t="str">
        <f aca="false">IF($E122="","",IF($M122,IF(AND($G122&gt;=FC$5,$G122&lt;FC$5+GanttPeriod),"◆",IF(AND($E122&gt;=FC$5,$E122&lt;FC$5+GanttPeriod),"◇","")),IF(AND(FC$5&lt;=$F122,FC$5+GanttPeriod-1&gt;=$E122),"━","")))</f>
        <v/>
      </c>
      <c r="FD122" s="69" t="str">
        <f aca="false">IF($E122="","",IF($M122,IF(AND($G122&gt;=FD$5,$G122&lt;FD$5+GanttPeriod),"◆",IF(AND($E122&gt;=FD$5,$E122&lt;FD$5+GanttPeriod),"◇","")),IF(AND(FD$5&lt;=$F122,FD$5+GanttPeriod-1&gt;=$E122),"━","")))</f>
        <v/>
      </c>
      <c r="FE122" s="69" t="str">
        <f aca="false">IF($E122="","",IF($M122,IF(AND($G122&gt;=FE$5,$G122&lt;FE$5+GanttPeriod),"◆",IF(AND($E122&gt;=FE$5,$E122&lt;FE$5+GanttPeriod),"◇","")),IF(AND(FE$5&lt;=$F122,FE$5+GanttPeriod-1&gt;=$E122),"━","")))</f>
        <v/>
      </c>
      <c r="FF122" s="69" t="str">
        <f aca="false">IF($E122="","",IF($M122,IF(AND($G122&gt;=FF$5,$G122&lt;FF$5+GanttPeriod),"◆",IF(AND($E122&gt;=FF$5,$E122&lt;FF$5+GanttPeriod),"◇","")),IF(AND(FF$5&lt;=$F122,FF$5+GanttPeriod-1&gt;=$E122),"━","")))</f>
        <v/>
      </c>
      <c r="FG122" s="69" t="str">
        <f aca="false">IF($E122="","",IF($M122,IF(AND($G122&gt;=FG$5,$G122&lt;FG$5+GanttPeriod),"◆",IF(AND($E122&gt;=FG$5,$E122&lt;FG$5+GanttPeriod),"◇","")),IF(AND(FG$5&lt;=$F122,FG$5+GanttPeriod-1&gt;=$E122),"━","")))</f>
        <v/>
      </c>
      <c r="FH122" s="69" t="str">
        <f aca="false">IF($E122="","",IF($M122,IF(AND($G122&gt;=FH$5,$G122&lt;FH$5+GanttPeriod),"◆",IF(AND($E122&gt;=FH$5,$E122&lt;FH$5+GanttPeriod),"◇","")),IF(AND(FH$5&lt;=$F122,FH$5+GanttPeriod-1&gt;=$E122),"━","")))</f>
        <v/>
      </c>
      <c r="FI122" s="69" t="str">
        <f aca="false">IF($E122="","",IF($M122,IF(AND($G122&gt;=FI$5,$G122&lt;FI$5+GanttPeriod),"◆",IF(AND($E122&gt;=FI$5,$E122&lt;FI$5+GanttPeriod),"◇","")),IF(AND(FI$5&lt;=$F122,FI$5+GanttPeriod-1&gt;=$E122),"━","")))</f>
        <v/>
      </c>
      <c r="FJ122" s="69" t="str">
        <f aca="false">IF($E122="","",IF($M122,IF(AND($G122&gt;=FJ$5,$G122&lt;FJ$5+GanttPeriod),"◆",IF(AND($E122&gt;=FJ$5,$E122&lt;FJ$5+GanttPeriod),"◇","")),IF(AND(FJ$5&lt;=$F122,FJ$5+GanttPeriod-1&gt;=$E122),"━","")))</f>
        <v/>
      </c>
      <c r="FK122" s="69" t="str">
        <f aca="false">IF($E122="","",IF($M122,IF(AND($G122&gt;=FK$5,$G122&lt;FK$5+GanttPeriod),"◆",IF(AND($E122&gt;=FK$5,$E122&lt;FK$5+GanttPeriod),"◇","")),IF(AND(FK$5&lt;=$F122,FK$5+GanttPeriod-1&gt;=$E122),"━","")))</f>
        <v/>
      </c>
      <c r="FL122" s="69" t="str">
        <f aca="false">IF($E122="","",IF($M122,IF(AND($G122&gt;=FL$5,$G122&lt;FL$5+GanttPeriod),"◆",IF(AND($E122&gt;=FL$5,$E122&lt;FL$5+GanttPeriod),"◇","")),IF(AND(FL$5&lt;=$F122,FL$5+GanttPeriod-1&gt;=$E122),"━","")))</f>
        <v/>
      </c>
      <c r="FM122" s="69" t="str">
        <f aca="false">IF($E122="","",IF($M122,IF(AND($G122&gt;=FM$5,$G122&lt;FM$5+GanttPeriod),"◆",IF(AND($E122&gt;=FM$5,$E122&lt;FM$5+GanttPeriod),"◇","")),IF(AND(FM$5&lt;=$F122,FM$5+GanttPeriod-1&gt;=$E122),"━","")))</f>
        <v/>
      </c>
    </row>
    <row r="123" customFormat="false" ht="15" hidden="false" customHeight="false" outlineLevel="0" collapsed="false">
      <c r="A123" s="62" t="str">
        <f aca="false">IF(Tasks!$D123="","",Tasks!$A123)</f>
        <v/>
      </c>
      <c r="B123" s="62" t="str">
        <f aca="false">IF(Tasks!$D123="","",Tasks!$B123)</f>
        <v/>
      </c>
      <c r="C123" s="63" t="str">
        <f aca="false">IF(Tasks!$D123="","",REPT("    ",Tasks!$AE123-1)&amp;Tasks!$D123)</f>
        <v/>
      </c>
      <c r="D123" s="62" t="str">
        <f aca="false">IF(Tasks!$D123="","",IF(Tasks!$AI123,NETWORKDAYS.INTL(Tasks!$R123,Tasks!$S123,WorkWeek,Holidays),N(Tasks!$F123)))</f>
        <v/>
      </c>
      <c r="E123" s="64" t="str">
        <f aca="false">IF(Tasks!$D123="","",Tasks!$N123)</f>
        <v/>
      </c>
      <c r="F123" s="64" t="str">
        <f aca="false">IF(Tasks!$D123="","",Tasks!$O123)</f>
        <v/>
      </c>
      <c r="G123" s="64" t="str">
        <f aca="false">IF(Tasks!$D123="","",Tasks!$R123)</f>
        <v/>
      </c>
      <c r="H123" s="64" t="str">
        <f aca="false">IF(Tasks!$D123="","",Tasks!$S123)</f>
        <v/>
      </c>
      <c r="I123" s="65" t="str">
        <f aca="false">IF(Tasks!$D123="","",Tasks!$V123)</f>
        <v/>
      </c>
      <c r="J123" s="63" t="str">
        <f aca="false">IF(Tasks!$D123="","",Tasks!$X123&amp;"")</f>
        <v/>
      </c>
      <c r="K123" s="66" t="str">
        <f aca="false">IF(Tasks!$D123="","",Tasks!$W123)</f>
        <v/>
      </c>
      <c r="L123" s="67" t="b">
        <f aca="false">IF(Tasks!$D123="",FALSE(),Tasks!$AI123)</f>
        <v>0</v>
      </c>
      <c r="M123" s="67" t="b">
        <f aca="false">AND(Tasks!$AJ123=1,N(Tasks!$F123)=0)</f>
        <v>0</v>
      </c>
      <c r="N123" s="68" t="n">
        <f aca="false">IF(AND(Tasks!$AJ123=1,NOT($M123),N($I123)&gt;0),$G123,0)</f>
        <v>0</v>
      </c>
      <c r="O123" s="68" t="n">
        <f aca="false">IF($N123=0,0,IF($I123&gt;=1,$H123,MAX($N123,$G123+ROUND(($H123-$G123+1)*$I123,0)-1)))</f>
        <v>0</v>
      </c>
      <c r="P123" s="68" t="n">
        <f aca="false">IF(OR(Tasks!$AJ123&lt;&gt;1,$M123,N($I123)&gt;=1),0,IF($O123&gt;0,$O123+1,$G123))</f>
        <v>0</v>
      </c>
      <c r="Q123" s="68" t="n">
        <f aca="false">IF($P123=0,0,$H123)</f>
        <v>0</v>
      </c>
      <c r="R123" s="67" t="b">
        <f aca="false">AND(Tasks!$D123&lt;&gt;"",N(Tasks!$T123)&gt;0)</f>
        <v>0</v>
      </c>
      <c r="T123" s="69" t="str">
        <f aca="false">IF($E123="","",IF($M123,IF(AND($G123&gt;=T$5,$G123&lt;T$5+GanttPeriod),"◆",IF(AND($E123&gt;=T$5,$E123&lt;T$5+GanttPeriod),"◇","")),IF(AND(T$5&lt;=$F123,T$5+GanttPeriod-1&gt;=$E123),"━","")))</f>
        <v/>
      </c>
      <c r="U123" s="69" t="str">
        <f aca="false">IF($E123="","",IF($M123,IF(AND($G123&gt;=U$5,$G123&lt;U$5+GanttPeriod),"◆",IF(AND($E123&gt;=U$5,$E123&lt;U$5+GanttPeriod),"◇","")),IF(AND(U$5&lt;=$F123,U$5+GanttPeriod-1&gt;=$E123),"━","")))</f>
        <v/>
      </c>
      <c r="V123" s="69" t="str">
        <f aca="false">IF($E123="","",IF($M123,IF(AND($G123&gt;=V$5,$G123&lt;V$5+GanttPeriod),"◆",IF(AND($E123&gt;=V$5,$E123&lt;V$5+GanttPeriod),"◇","")),IF(AND(V$5&lt;=$F123,V$5+GanttPeriod-1&gt;=$E123),"━","")))</f>
        <v/>
      </c>
      <c r="W123" s="69" t="str">
        <f aca="false">IF($E123="","",IF($M123,IF(AND($G123&gt;=W$5,$G123&lt;W$5+GanttPeriod),"◆",IF(AND($E123&gt;=W$5,$E123&lt;W$5+GanttPeriod),"◇","")),IF(AND(W$5&lt;=$F123,W$5+GanttPeriod-1&gt;=$E123),"━","")))</f>
        <v/>
      </c>
      <c r="X123" s="69" t="str">
        <f aca="false">IF($E123="","",IF($M123,IF(AND($G123&gt;=X$5,$G123&lt;X$5+GanttPeriod),"◆",IF(AND($E123&gt;=X$5,$E123&lt;X$5+GanttPeriod),"◇","")),IF(AND(X$5&lt;=$F123,X$5+GanttPeriod-1&gt;=$E123),"━","")))</f>
        <v/>
      </c>
      <c r="Y123" s="69" t="str">
        <f aca="false">IF($E123="","",IF($M123,IF(AND($G123&gt;=Y$5,$G123&lt;Y$5+GanttPeriod),"◆",IF(AND($E123&gt;=Y$5,$E123&lt;Y$5+GanttPeriod),"◇","")),IF(AND(Y$5&lt;=$F123,Y$5+GanttPeriod-1&gt;=$E123),"━","")))</f>
        <v/>
      </c>
      <c r="Z123" s="69" t="str">
        <f aca="false">IF($E123="","",IF($M123,IF(AND($G123&gt;=Z$5,$G123&lt;Z$5+GanttPeriod),"◆",IF(AND($E123&gt;=Z$5,$E123&lt;Z$5+GanttPeriod),"◇","")),IF(AND(Z$5&lt;=$F123,Z$5+GanttPeriod-1&gt;=$E123),"━","")))</f>
        <v/>
      </c>
      <c r="AA123" s="69" t="str">
        <f aca="false">IF($E123="","",IF($M123,IF(AND($G123&gt;=AA$5,$G123&lt;AA$5+GanttPeriod),"◆",IF(AND($E123&gt;=AA$5,$E123&lt;AA$5+GanttPeriod),"◇","")),IF(AND(AA$5&lt;=$F123,AA$5+GanttPeriod-1&gt;=$E123),"━","")))</f>
        <v/>
      </c>
      <c r="AB123" s="69" t="str">
        <f aca="false">IF($E123="","",IF($M123,IF(AND($G123&gt;=AB$5,$G123&lt;AB$5+GanttPeriod),"◆",IF(AND($E123&gt;=AB$5,$E123&lt;AB$5+GanttPeriod),"◇","")),IF(AND(AB$5&lt;=$F123,AB$5+GanttPeriod-1&gt;=$E123),"━","")))</f>
        <v/>
      </c>
      <c r="AC123" s="69" t="str">
        <f aca="false">IF($E123="","",IF($M123,IF(AND($G123&gt;=AC$5,$G123&lt;AC$5+GanttPeriod),"◆",IF(AND($E123&gt;=AC$5,$E123&lt;AC$5+GanttPeriod),"◇","")),IF(AND(AC$5&lt;=$F123,AC$5+GanttPeriod-1&gt;=$E123),"━","")))</f>
        <v/>
      </c>
      <c r="AD123" s="69" t="str">
        <f aca="false">IF($E123="","",IF($M123,IF(AND($G123&gt;=AD$5,$G123&lt;AD$5+GanttPeriod),"◆",IF(AND($E123&gt;=AD$5,$E123&lt;AD$5+GanttPeriod),"◇","")),IF(AND(AD$5&lt;=$F123,AD$5+GanttPeriod-1&gt;=$E123),"━","")))</f>
        <v/>
      </c>
      <c r="AE123" s="69" t="str">
        <f aca="false">IF($E123="","",IF($M123,IF(AND($G123&gt;=AE$5,$G123&lt;AE$5+GanttPeriod),"◆",IF(AND($E123&gt;=AE$5,$E123&lt;AE$5+GanttPeriod),"◇","")),IF(AND(AE$5&lt;=$F123,AE$5+GanttPeriod-1&gt;=$E123),"━","")))</f>
        <v/>
      </c>
      <c r="AF123" s="69" t="str">
        <f aca="false">IF($E123="","",IF($M123,IF(AND($G123&gt;=AF$5,$G123&lt;AF$5+GanttPeriod),"◆",IF(AND($E123&gt;=AF$5,$E123&lt;AF$5+GanttPeriod),"◇","")),IF(AND(AF$5&lt;=$F123,AF$5+GanttPeriod-1&gt;=$E123),"━","")))</f>
        <v/>
      </c>
      <c r="AG123" s="69" t="str">
        <f aca="false">IF($E123="","",IF($M123,IF(AND($G123&gt;=AG$5,$G123&lt;AG$5+GanttPeriod),"◆",IF(AND($E123&gt;=AG$5,$E123&lt;AG$5+GanttPeriod),"◇","")),IF(AND(AG$5&lt;=$F123,AG$5+GanttPeriod-1&gt;=$E123),"━","")))</f>
        <v/>
      </c>
      <c r="AH123" s="69" t="str">
        <f aca="false">IF($E123="","",IF($M123,IF(AND($G123&gt;=AH$5,$G123&lt;AH$5+GanttPeriod),"◆",IF(AND($E123&gt;=AH$5,$E123&lt;AH$5+GanttPeriod),"◇","")),IF(AND(AH$5&lt;=$F123,AH$5+GanttPeriod-1&gt;=$E123),"━","")))</f>
        <v/>
      </c>
      <c r="AI123" s="69" t="str">
        <f aca="false">IF($E123="","",IF($M123,IF(AND($G123&gt;=AI$5,$G123&lt;AI$5+GanttPeriod),"◆",IF(AND($E123&gt;=AI$5,$E123&lt;AI$5+GanttPeriod),"◇","")),IF(AND(AI$5&lt;=$F123,AI$5+GanttPeriod-1&gt;=$E123),"━","")))</f>
        <v/>
      </c>
      <c r="AJ123" s="69" t="str">
        <f aca="false">IF($E123="","",IF($M123,IF(AND($G123&gt;=AJ$5,$G123&lt;AJ$5+GanttPeriod),"◆",IF(AND($E123&gt;=AJ$5,$E123&lt;AJ$5+GanttPeriod),"◇","")),IF(AND(AJ$5&lt;=$F123,AJ$5+GanttPeriod-1&gt;=$E123),"━","")))</f>
        <v/>
      </c>
      <c r="AK123" s="69" t="str">
        <f aca="false">IF($E123="","",IF($M123,IF(AND($G123&gt;=AK$5,$G123&lt;AK$5+GanttPeriod),"◆",IF(AND($E123&gt;=AK$5,$E123&lt;AK$5+GanttPeriod),"◇","")),IF(AND(AK$5&lt;=$F123,AK$5+GanttPeriod-1&gt;=$E123),"━","")))</f>
        <v/>
      </c>
      <c r="AL123" s="69" t="str">
        <f aca="false">IF($E123="","",IF($M123,IF(AND($G123&gt;=AL$5,$G123&lt;AL$5+GanttPeriod),"◆",IF(AND($E123&gt;=AL$5,$E123&lt;AL$5+GanttPeriod),"◇","")),IF(AND(AL$5&lt;=$F123,AL$5+GanttPeriod-1&gt;=$E123),"━","")))</f>
        <v/>
      </c>
      <c r="AM123" s="69" t="str">
        <f aca="false">IF($E123="","",IF($M123,IF(AND($G123&gt;=AM$5,$G123&lt;AM$5+GanttPeriod),"◆",IF(AND($E123&gt;=AM$5,$E123&lt;AM$5+GanttPeriod),"◇","")),IF(AND(AM$5&lt;=$F123,AM$5+GanttPeriod-1&gt;=$E123),"━","")))</f>
        <v/>
      </c>
      <c r="AN123" s="69" t="str">
        <f aca="false">IF($E123="","",IF($M123,IF(AND($G123&gt;=AN$5,$G123&lt;AN$5+GanttPeriod),"◆",IF(AND($E123&gt;=AN$5,$E123&lt;AN$5+GanttPeriod),"◇","")),IF(AND(AN$5&lt;=$F123,AN$5+GanttPeriod-1&gt;=$E123),"━","")))</f>
        <v/>
      </c>
      <c r="AO123" s="69" t="str">
        <f aca="false">IF($E123="","",IF($M123,IF(AND($G123&gt;=AO$5,$G123&lt;AO$5+GanttPeriod),"◆",IF(AND($E123&gt;=AO$5,$E123&lt;AO$5+GanttPeriod),"◇","")),IF(AND(AO$5&lt;=$F123,AO$5+GanttPeriod-1&gt;=$E123),"━","")))</f>
        <v/>
      </c>
      <c r="AP123" s="69" t="str">
        <f aca="false">IF($E123="","",IF($M123,IF(AND($G123&gt;=AP$5,$G123&lt;AP$5+GanttPeriod),"◆",IF(AND($E123&gt;=AP$5,$E123&lt;AP$5+GanttPeriod),"◇","")),IF(AND(AP$5&lt;=$F123,AP$5+GanttPeriod-1&gt;=$E123),"━","")))</f>
        <v/>
      </c>
      <c r="AQ123" s="69" t="str">
        <f aca="false">IF($E123="","",IF($M123,IF(AND($G123&gt;=AQ$5,$G123&lt;AQ$5+GanttPeriod),"◆",IF(AND($E123&gt;=AQ$5,$E123&lt;AQ$5+GanttPeriod),"◇","")),IF(AND(AQ$5&lt;=$F123,AQ$5+GanttPeriod-1&gt;=$E123),"━","")))</f>
        <v/>
      </c>
      <c r="AR123" s="69" t="str">
        <f aca="false">IF($E123="","",IF($M123,IF(AND($G123&gt;=AR$5,$G123&lt;AR$5+GanttPeriod),"◆",IF(AND($E123&gt;=AR$5,$E123&lt;AR$5+GanttPeriod),"◇","")),IF(AND(AR$5&lt;=$F123,AR$5+GanttPeriod-1&gt;=$E123),"━","")))</f>
        <v/>
      </c>
      <c r="AS123" s="69" t="str">
        <f aca="false">IF($E123="","",IF($M123,IF(AND($G123&gt;=AS$5,$G123&lt;AS$5+GanttPeriod),"◆",IF(AND($E123&gt;=AS$5,$E123&lt;AS$5+GanttPeriod),"◇","")),IF(AND(AS$5&lt;=$F123,AS$5+GanttPeriod-1&gt;=$E123),"━","")))</f>
        <v/>
      </c>
      <c r="AT123" s="69" t="str">
        <f aca="false">IF($E123="","",IF($M123,IF(AND($G123&gt;=AT$5,$G123&lt;AT$5+GanttPeriod),"◆",IF(AND($E123&gt;=AT$5,$E123&lt;AT$5+GanttPeriod),"◇","")),IF(AND(AT$5&lt;=$F123,AT$5+GanttPeriod-1&gt;=$E123),"━","")))</f>
        <v/>
      </c>
      <c r="AU123" s="69" t="str">
        <f aca="false">IF($E123="","",IF($M123,IF(AND($G123&gt;=AU$5,$G123&lt;AU$5+GanttPeriod),"◆",IF(AND($E123&gt;=AU$5,$E123&lt;AU$5+GanttPeriod),"◇","")),IF(AND(AU$5&lt;=$F123,AU$5+GanttPeriod-1&gt;=$E123),"━","")))</f>
        <v/>
      </c>
      <c r="AV123" s="69" t="str">
        <f aca="false">IF($E123="","",IF($M123,IF(AND($G123&gt;=AV$5,$G123&lt;AV$5+GanttPeriod),"◆",IF(AND($E123&gt;=AV$5,$E123&lt;AV$5+GanttPeriod),"◇","")),IF(AND(AV$5&lt;=$F123,AV$5+GanttPeriod-1&gt;=$E123),"━","")))</f>
        <v/>
      </c>
      <c r="AW123" s="69" t="str">
        <f aca="false">IF($E123="","",IF($M123,IF(AND($G123&gt;=AW$5,$G123&lt;AW$5+GanttPeriod),"◆",IF(AND($E123&gt;=AW$5,$E123&lt;AW$5+GanttPeriod),"◇","")),IF(AND(AW$5&lt;=$F123,AW$5+GanttPeriod-1&gt;=$E123),"━","")))</f>
        <v/>
      </c>
      <c r="AX123" s="69" t="str">
        <f aca="false">IF($E123="","",IF($M123,IF(AND($G123&gt;=AX$5,$G123&lt;AX$5+GanttPeriod),"◆",IF(AND($E123&gt;=AX$5,$E123&lt;AX$5+GanttPeriod),"◇","")),IF(AND(AX$5&lt;=$F123,AX$5+GanttPeriod-1&gt;=$E123),"━","")))</f>
        <v/>
      </c>
      <c r="AY123" s="69" t="str">
        <f aca="false">IF($E123="","",IF($M123,IF(AND($G123&gt;=AY$5,$G123&lt;AY$5+GanttPeriod),"◆",IF(AND($E123&gt;=AY$5,$E123&lt;AY$5+GanttPeriod),"◇","")),IF(AND(AY$5&lt;=$F123,AY$5+GanttPeriod-1&gt;=$E123),"━","")))</f>
        <v/>
      </c>
      <c r="AZ123" s="69" t="str">
        <f aca="false">IF($E123="","",IF($M123,IF(AND($G123&gt;=AZ$5,$G123&lt;AZ$5+GanttPeriod),"◆",IF(AND($E123&gt;=AZ$5,$E123&lt;AZ$5+GanttPeriod),"◇","")),IF(AND(AZ$5&lt;=$F123,AZ$5+GanttPeriod-1&gt;=$E123),"━","")))</f>
        <v/>
      </c>
      <c r="BA123" s="69" t="str">
        <f aca="false">IF($E123="","",IF($M123,IF(AND($G123&gt;=BA$5,$G123&lt;BA$5+GanttPeriod),"◆",IF(AND($E123&gt;=BA$5,$E123&lt;BA$5+GanttPeriod),"◇","")),IF(AND(BA$5&lt;=$F123,BA$5+GanttPeriod-1&gt;=$E123),"━","")))</f>
        <v/>
      </c>
      <c r="BB123" s="69" t="str">
        <f aca="false">IF($E123="","",IF($M123,IF(AND($G123&gt;=BB$5,$G123&lt;BB$5+GanttPeriod),"◆",IF(AND($E123&gt;=BB$5,$E123&lt;BB$5+GanttPeriod),"◇","")),IF(AND(BB$5&lt;=$F123,BB$5+GanttPeriod-1&gt;=$E123),"━","")))</f>
        <v/>
      </c>
      <c r="BC123" s="69" t="str">
        <f aca="false">IF($E123="","",IF($M123,IF(AND($G123&gt;=BC$5,$G123&lt;BC$5+GanttPeriod),"◆",IF(AND($E123&gt;=BC$5,$E123&lt;BC$5+GanttPeriod),"◇","")),IF(AND(BC$5&lt;=$F123,BC$5+GanttPeriod-1&gt;=$E123),"━","")))</f>
        <v/>
      </c>
      <c r="BD123" s="69" t="str">
        <f aca="false">IF($E123="","",IF($M123,IF(AND($G123&gt;=BD$5,$G123&lt;BD$5+GanttPeriod),"◆",IF(AND($E123&gt;=BD$5,$E123&lt;BD$5+GanttPeriod),"◇","")),IF(AND(BD$5&lt;=$F123,BD$5+GanttPeriod-1&gt;=$E123),"━","")))</f>
        <v/>
      </c>
      <c r="BE123" s="69" t="str">
        <f aca="false">IF($E123="","",IF($M123,IF(AND($G123&gt;=BE$5,$G123&lt;BE$5+GanttPeriod),"◆",IF(AND($E123&gt;=BE$5,$E123&lt;BE$5+GanttPeriod),"◇","")),IF(AND(BE$5&lt;=$F123,BE$5+GanttPeriod-1&gt;=$E123),"━","")))</f>
        <v/>
      </c>
      <c r="BF123" s="69" t="str">
        <f aca="false">IF($E123="","",IF($M123,IF(AND($G123&gt;=BF$5,$G123&lt;BF$5+GanttPeriod),"◆",IF(AND($E123&gt;=BF$5,$E123&lt;BF$5+GanttPeriod),"◇","")),IF(AND(BF$5&lt;=$F123,BF$5+GanttPeriod-1&gt;=$E123),"━","")))</f>
        <v/>
      </c>
      <c r="BG123" s="69" t="str">
        <f aca="false">IF($E123="","",IF($M123,IF(AND($G123&gt;=BG$5,$G123&lt;BG$5+GanttPeriod),"◆",IF(AND($E123&gt;=BG$5,$E123&lt;BG$5+GanttPeriod),"◇","")),IF(AND(BG$5&lt;=$F123,BG$5+GanttPeriod-1&gt;=$E123),"━","")))</f>
        <v/>
      </c>
      <c r="BH123" s="69" t="str">
        <f aca="false">IF($E123="","",IF($M123,IF(AND($G123&gt;=BH$5,$G123&lt;BH$5+GanttPeriod),"◆",IF(AND($E123&gt;=BH$5,$E123&lt;BH$5+GanttPeriod),"◇","")),IF(AND(BH$5&lt;=$F123,BH$5+GanttPeriod-1&gt;=$E123),"━","")))</f>
        <v/>
      </c>
      <c r="BI123" s="69" t="str">
        <f aca="false">IF($E123="","",IF($M123,IF(AND($G123&gt;=BI$5,$G123&lt;BI$5+GanttPeriod),"◆",IF(AND($E123&gt;=BI$5,$E123&lt;BI$5+GanttPeriod),"◇","")),IF(AND(BI$5&lt;=$F123,BI$5+GanttPeriod-1&gt;=$E123),"━","")))</f>
        <v/>
      </c>
      <c r="BJ123" s="69" t="str">
        <f aca="false">IF($E123="","",IF($M123,IF(AND($G123&gt;=BJ$5,$G123&lt;BJ$5+GanttPeriod),"◆",IF(AND($E123&gt;=BJ$5,$E123&lt;BJ$5+GanttPeriod),"◇","")),IF(AND(BJ$5&lt;=$F123,BJ$5+GanttPeriod-1&gt;=$E123),"━","")))</f>
        <v/>
      </c>
      <c r="BK123" s="69" t="str">
        <f aca="false">IF($E123="","",IF($M123,IF(AND($G123&gt;=BK$5,$G123&lt;BK$5+GanttPeriod),"◆",IF(AND($E123&gt;=BK$5,$E123&lt;BK$5+GanttPeriod),"◇","")),IF(AND(BK$5&lt;=$F123,BK$5+GanttPeriod-1&gt;=$E123),"━","")))</f>
        <v/>
      </c>
      <c r="BL123" s="69" t="str">
        <f aca="false">IF($E123="","",IF($M123,IF(AND($G123&gt;=BL$5,$G123&lt;BL$5+GanttPeriod),"◆",IF(AND($E123&gt;=BL$5,$E123&lt;BL$5+GanttPeriod),"◇","")),IF(AND(BL$5&lt;=$F123,BL$5+GanttPeriod-1&gt;=$E123),"━","")))</f>
        <v/>
      </c>
      <c r="BM123" s="69" t="str">
        <f aca="false">IF($E123="","",IF($M123,IF(AND($G123&gt;=BM$5,$G123&lt;BM$5+GanttPeriod),"◆",IF(AND($E123&gt;=BM$5,$E123&lt;BM$5+GanttPeriod),"◇","")),IF(AND(BM$5&lt;=$F123,BM$5+GanttPeriod-1&gt;=$E123),"━","")))</f>
        <v/>
      </c>
      <c r="BN123" s="69" t="str">
        <f aca="false">IF($E123="","",IF($M123,IF(AND($G123&gt;=BN$5,$G123&lt;BN$5+GanttPeriod),"◆",IF(AND($E123&gt;=BN$5,$E123&lt;BN$5+GanttPeriod),"◇","")),IF(AND(BN$5&lt;=$F123,BN$5+GanttPeriod-1&gt;=$E123),"━","")))</f>
        <v/>
      </c>
      <c r="BO123" s="69" t="str">
        <f aca="false">IF($E123="","",IF($M123,IF(AND($G123&gt;=BO$5,$G123&lt;BO$5+GanttPeriod),"◆",IF(AND($E123&gt;=BO$5,$E123&lt;BO$5+GanttPeriod),"◇","")),IF(AND(BO$5&lt;=$F123,BO$5+GanttPeriod-1&gt;=$E123),"━","")))</f>
        <v/>
      </c>
      <c r="BP123" s="69" t="str">
        <f aca="false">IF($E123="","",IF($M123,IF(AND($G123&gt;=BP$5,$G123&lt;BP$5+GanttPeriod),"◆",IF(AND($E123&gt;=BP$5,$E123&lt;BP$5+GanttPeriod),"◇","")),IF(AND(BP$5&lt;=$F123,BP$5+GanttPeriod-1&gt;=$E123),"━","")))</f>
        <v/>
      </c>
      <c r="BQ123" s="69" t="str">
        <f aca="false">IF($E123="","",IF($M123,IF(AND($G123&gt;=BQ$5,$G123&lt;BQ$5+GanttPeriod),"◆",IF(AND($E123&gt;=BQ$5,$E123&lt;BQ$5+GanttPeriod),"◇","")),IF(AND(BQ$5&lt;=$F123,BQ$5+GanttPeriod-1&gt;=$E123),"━","")))</f>
        <v/>
      </c>
      <c r="BR123" s="69" t="str">
        <f aca="false">IF($E123="","",IF($M123,IF(AND($G123&gt;=BR$5,$G123&lt;BR$5+GanttPeriod),"◆",IF(AND($E123&gt;=BR$5,$E123&lt;BR$5+GanttPeriod),"◇","")),IF(AND(BR$5&lt;=$F123,BR$5+GanttPeriod-1&gt;=$E123),"━","")))</f>
        <v/>
      </c>
      <c r="BS123" s="69" t="str">
        <f aca="false">IF($E123="","",IF($M123,IF(AND($G123&gt;=BS$5,$G123&lt;BS$5+GanttPeriod),"◆",IF(AND($E123&gt;=BS$5,$E123&lt;BS$5+GanttPeriod),"◇","")),IF(AND(BS$5&lt;=$F123,BS$5+GanttPeriod-1&gt;=$E123),"━","")))</f>
        <v/>
      </c>
      <c r="BT123" s="69" t="str">
        <f aca="false">IF($E123="","",IF($M123,IF(AND($G123&gt;=BT$5,$G123&lt;BT$5+GanttPeriod),"◆",IF(AND($E123&gt;=BT$5,$E123&lt;BT$5+GanttPeriod),"◇","")),IF(AND(BT$5&lt;=$F123,BT$5+GanttPeriod-1&gt;=$E123),"━","")))</f>
        <v/>
      </c>
      <c r="BU123" s="69" t="str">
        <f aca="false">IF($E123="","",IF($M123,IF(AND($G123&gt;=BU$5,$G123&lt;BU$5+GanttPeriod),"◆",IF(AND($E123&gt;=BU$5,$E123&lt;BU$5+GanttPeriod),"◇","")),IF(AND(BU$5&lt;=$F123,BU$5+GanttPeriod-1&gt;=$E123),"━","")))</f>
        <v/>
      </c>
      <c r="BV123" s="69" t="str">
        <f aca="false">IF($E123="","",IF($M123,IF(AND($G123&gt;=BV$5,$G123&lt;BV$5+GanttPeriod),"◆",IF(AND($E123&gt;=BV$5,$E123&lt;BV$5+GanttPeriod),"◇","")),IF(AND(BV$5&lt;=$F123,BV$5+GanttPeriod-1&gt;=$E123),"━","")))</f>
        <v/>
      </c>
      <c r="BW123" s="69" t="str">
        <f aca="false">IF($E123="","",IF($M123,IF(AND($G123&gt;=BW$5,$G123&lt;BW$5+GanttPeriod),"◆",IF(AND($E123&gt;=BW$5,$E123&lt;BW$5+GanttPeriod),"◇","")),IF(AND(BW$5&lt;=$F123,BW$5+GanttPeriod-1&gt;=$E123),"━","")))</f>
        <v/>
      </c>
      <c r="BX123" s="69" t="str">
        <f aca="false">IF($E123="","",IF($M123,IF(AND($G123&gt;=BX$5,$G123&lt;BX$5+GanttPeriod),"◆",IF(AND($E123&gt;=BX$5,$E123&lt;BX$5+GanttPeriod),"◇","")),IF(AND(BX$5&lt;=$F123,BX$5+GanttPeriod-1&gt;=$E123),"━","")))</f>
        <v/>
      </c>
      <c r="BY123" s="69" t="str">
        <f aca="false">IF($E123="","",IF($M123,IF(AND($G123&gt;=BY$5,$G123&lt;BY$5+GanttPeriod),"◆",IF(AND($E123&gt;=BY$5,$E123&lt;BY$5+GanttPeriod),"◇","")),IF(AND(BY$5&lt;=$F123,BY$5+GanttPeriod-1&gt;=$E123),"━","")))</f>
        <v/>
      </c>
      <c r="BZ123" s="69" t="str">
        <f aca="false">IF($E123="","",IF($M123,IF(AND($G123&gt;=BZ$5,$G123&lt;BZ$5+GanttPeriod),"◆",IF(AND($E123&gt;=BZ$5,$E123&lt;BZ$5+GanttPeriod),"◇","")),IF(AND(BZ$5&lt;=$F123,BZ$5+GanttPeriod-1&gt;=$E123),"━","")))</f>
        <v/>
      </c>
      <c r="CA123" s="69" t="str">
        <f aca="false">IF($E123="","",IF($M123,IF(AND($G123&gt;=CA$5,$G123&lt;CA$5+GanttPeriod),"◆",IF(AND($E123&gt;=CA$5,$E123&lt;CA$5+GanttPeriod),"◇","")),IF(AND(CA$5&lt;=$F123,CA$5+GanttPeriod-1&gt;=$E123),"━","")))</f>
        <v/>
      </c>
      <c r="CB123" s="69" t="str">
        <f aca="false">IF($E123="","",IF($M123,IF(AND($G123&gt;=CB$5,$G123&lt;CB$5+GanttPeriod),"◆",IF(AND($E123&gt;=CB$5,$E123&lt;CB$5+GanttPeriod),"◇","")),IF(AND(CB$5&lt;=$F123,CB$5+GanttPeriod-1&gt;=$E123),"━","")))</f>
        <v/>
      </c>
      <c r="CC123" s="69" t="str">
        <f aca="false">IF($E123="","",IF($M123,IF(AND($G123&gt;=CC$5,$G123&lt;CC$5+GanttPeriod),"◆",IF(AND($E123&gt;=CC$5,$E123&lt;CC$5+GanttPeriod),"◇","")),IF(AND(CC$5&lt;=$F123,CC$5+GanttPeriod-1&gt;=$E123),"━","")))</f>
        <v/>
      </c>
      <c r="CD123" s="69" t="str">
        <f aca="false">IF($E123="","",IF($M123,IF(AND($G123&gt;=CD$5,$G123&lt;CD$5+GanttPeriod),"◆",IF(AND($E123&gt;=CD$5,$E123&lt;CD$5+GanttPeriod),"◇","")),IF(AND(CD$5&lt;=$F123,CD$5+GanttPeriod-1&gt;=$E123),"━","")))</f>
        <v/>
      </c>
      <c r="CE123" s="69" t="str">
        <f aca="false">IF($E123="","",IF($M123,IF(AND($G123&gt;=CE$5,$G123&lt;CE$5+GanttPeriod),"◆",IF(AND($E123&gt;=CE$5,$E123&lt;CE$5+GanttPeriod),"◇","")),IF(AND(CE$5&lt;=$F123,CE$5+GanttPeriod-1&gt;=$E123),"━","")))</f>
        <v/>
      </c>
      <c r="CF123" s="69" t="str">
        <f aca="false">IF($E123="","",IF($M123,IF(AND($G123&gt;=CF$5,$G123&lt;CF$5+GanttPeriod),"◆",IF(AND($E123&gt;=CF$5,$E123&lt;CF$5+GanttPeriod),"◇","")),IF(AND(CF$5&lt;=$F123,CF$5+GanttPeriod-1&gt;=$E123),"━","")))</f>
        <v/>
      </c>
      <c r="CG123" s="69" t="str">
        <f aca="false">IF($E123="","",IF($M123,IF(AND($G123&gt;=CG$5,$G123&lt;CG$5+GanttPeriod),"◆",IF(AND($E123&gt;=CG$5,$E123&lt;CG$5+GanttPeriod),"◇","")),IF(AND(CG$5&lt;=$F123,CG$5+GanttPeriod-1&gt;=$E123),"━","")))</f>
        <v/>
      </c>
      <c r="CH123" s="69" t="str">
        <f aca="false">IF($E123="","",IF($M123,IF(AND($G123&gt;=CH$5,$G123&lt;CH$5+GanttPeriod),"◆",IF(AND($E123&gt;=CH$5,$E123&lt;CH$5+GanttPeriod),"◇","")),IF(AND(CH$5&lt;=$F123,CH$5+GanttPeriod-1&gt;=$E123),"━","")))</f>
        <v/>
      </c>
      <c r="CI123" s="69" t="str">
        <f aca="false">IF($E123="","",IF($M123,IF(AND($G123&gt;=CI$5,$G123&lt;CI$5+GanttPeriod),"◆",IF(AND($E123&gt;=CI$5,$E123&lt;CI$5+GanttPeriod),"◇","")),IF(AND(CI$5&lt;=$F123,CI$5+GanttPeriod-1&gt;=$E123),"━","")))</f>
        <v/>
      </c>
      <c r="CJ123" s="69" t="str">
        <f aca="false">IF($E123="","",IF($M123,IF(AND($G123&gt;=CJ$5,$G123&lt;CJ$5+GanttPeriod),"◆",IF(AND($E123&gt;=CJ$5,$E123&lt;CJ$5+GanttPeriod),"◇","")),IF(AND(CJ$5&lt;=$F123,CJ$5+GanttPeriod-1&gt;=$E123),"━","")))</f>
        <v/>
      </c>
      <c r="CK123" s="69" t="str">
        <f aca="false">IF($E123="","",IF($M123,IF(AND($G123&gt;=CK$5,$G123&lt;CK$5+GanttPeriod),"◆",IF(AND($E123&gt;=CK$5,$E123&lt;CK$5+GanttPeriod),"◇","")),IF(AND(CK$5&lt;=$F123,CK$5+GanttPeriod-1&gt;=$E123),"━","")))</f>
        <v/>
      </c>
      <c r="CL123" s="69" t="str">
        <f aca="false">IF($E123="","",IF($M123,IF(AND($G123&gt;=CL$5,$G123&lt;CL$5+GanttPeriod),"◆",IF(AND($E123&gt;=CL$5,$E123&lt;CL$5+GanttPeriod),"◇","")),IF(AND(CL$5&lt;=$F123,CL$5+GanttPeriod-1&gt;=$E123),"━","")))</f>
        <v/>
      </c>
      <c r="CM123" s="69" t="str">
        <f aca="false">IF($E123="","",IF($M123,IF(AND($G123&gt;=CM$5,$G123&lt;CM$5+GanttPeriod),"◆",IF(AND($E123&gt;=CM$5,$E123&lt;CM$5+GanttPeriod),"◇","")),IF(AND(CM$5&lt;=$F123,CM$5+GanttPeriod-1&gt;=$E123),"━","")))</f>
        <v/>
      </c>
      <c r="CN123" s="69" t="str">
        <f aca="false">IF($E123="","",IF($M123,IF(AND($G123&gt;=CN$5,$G123&lt;CN$5+GanttPeriod),"◆",IF(AND($E123&gt;=CN$5,$E123&lt;CN$5+GanttPeriod),"◇","")),IF(AND(CN$5&lt;=$F123,CN$5+GanttPeriod-1&gt;=$E123),"━","")))</f>
        <v/>
      </c>
      <c r="CO123" s="69" t="str">
        <f aca="false">IF($E123="","",IF($M123,IF(AND($G123&gt;=CO$5,$G123&lt;CO$5+GanttPeriod),"◆",IF(AND($E123&gt;=CO$5,$E123&lt;CO$5+GanttPeriod),"◇","")),IF(AND(CO$5&lt;=$F123,CO$5+GanttPeriod-1&gt;=$E123),"━","")))</f>
        <v/>
      </c>
      <c r="CP123" s="69" t="str">
        <f aca="false">IF($E123="","",IF($M123,IF(AND($G123&gt;=CP$5,$G123&lt;CP$5+GanttPeriod),"◆",IF(AND($E123&gt;=CP$5,$E123&lt;CP$5+GanttPeriod),"◇","")),IF(AND(CP$5&lt;=$F123,CP$5+GanttPeriod-1&gt;=$E123),"━","")))</f>
        <v/>
      </c>
      <c r="CQ123" s="69" t="str">
        <f aca="false">IF($E123="","",IF($M123,IF(AND($G123&gt;=CQ$5,$G123&lt;CQ$5+GanttPeriod),"◆",IF(AND($E123&gt;=CQ$5,$E123&lt;CQ$5+GanttPeriod),"◇","")),IF(AND(CQ$5&lt;=$F123,CQ$5+GanttPeriod-1&gt;=$E123),"━","")))</f>
        <v/>
      </c>
      <c r="CR123" s="69" t="str">
        <f aca="false">IF($E123="","",IF($M123,IF(AND($G123&gt;=CR$5,$G123&lt;CR$5+GanttPeriod),"◆",IF(AND($E123&gt;=CR$5,$E123&lt;CR$5+GanttPeriod),"◇","")),IF(AND(CR$5&lt;=$F123,CR$5+GanttPeriod-1&gt;=$E123),"━","")))</f>
        <v/>
      </c>
      <c r="CS123" s="69" t="str">
        <f aca="false">IF($E123="","",IF($M123,IF(AND($G123&gt;=CS$5,$G123&lt;CS$5+GanttPeriod),"◆",IF(AND($E123&gt;=CS$5,$E123&lt;CS$5+GanttPeriod),"◇","")),IF(AND(CS$5&lt;=$F123,CS$5+GanttPeriod-1&gt;=$E123),"━","")))</f>
        <v/>
      </c>
      <c r="CT123" s="69" t="str">
        <f aca="false">IF($E123="","",IF($M123,IF(AND($G123&gt;=CT$5,$G123&lt;CT$5+GanttPeriod),"◆",IF(AND($E123&gt;=CT$5,$E123&lt;CT$5+GanttPeriod),"◇","")),IF(AND(CT$5&lt;=$F123,CT$5+GanttPeriod-1&gt;=$E123),"━","")))</f>
        <v/>
      </c>
      <c r="CU123" s="69" t="str">
        <f aca="false">IF($E123="","",IF($M123,IF(AND($G123&gt;=CU$5,$G123&lt;CU$5+GanttPeriod),"◆",IF(AND($E123&gt;=CU$5,$E123&lt;CU$5+GanttPeriod),"◇","")),IF(AND(CU$5&lt;=$F123,CU$5+GanttPeriod-1&gt;=$E123),"━","")))</f>
        <v/>
      </c>
      <c r="CV123" s="69" t="str">
        <f aca="false">IF($E123="","",IF($M123,IF(AND($G123&gt;=CV$5,$G123&lt;CV$5+GanttPeriod),"◆",IF(AND($E123&gt;=CV$5,$E123&lt;CV$5+GanttPeriod),"◇","")),IF(AND(CV$5&lt;=$F123,CV$5+GanttPeriod-1&gt;=$E123),"━","")))</f>
        <v/>
      </c>
      <c r="CW123" s="69" t="str">
        <f aca="false">IF($E123="","",IF($M123,IF(AND($G123&gt;=CW$5,$G123&lt;CW$5+GanttPeriod),"◆",IF(AND($E123&gt;=CW$5,$E123&lt;CW$5+GanttPeriod),"◇","")),IF(AND(CW$5&lt;=$F123,CW$5+GanttPeriod-1&gt;=$E123),"━","")))</f>
        <v/>
      </c>
      <c r="CX123" s="69" t="str">
        <f aca="false">IF($E123="","",IF($M123,IF(AND($G123&gt;=CX$5,$G123&lt;CX$5+GanttPeriod),"◆",IF(AND($E123&gt;=CX$5,$E123&lt;CX$5+GanttPeriod),"◇","")),IF(AND(CX$5&lt;=$F123,CX$5+GanttPeriod-1&gt;=$E123),"━","")))</f>
        <v/>
      </c>
      <c r="CY123" s="69" t="str">
        <f aca="false">IF($E123="","",IF($M123,IF(AND($G123&gt;=CY$5,$G123&lt;CY$5+GanttPeriod),"◆",IF(AND($E123&gt;=CY$5,$E123&lt;CY$5+GanttPeriod),"◇","")),IF(AND(CY$5&lt;=$F123,CY$5+GanttPeriod-1&gt;=$E123),"━","")))</f>
        <v/>
      </c>
      <c r="CZ123" s="69" t="str">
        <f aca="false">IF($E123="","",IF($M123,IF(AND($G123&gt;=CZ$5,$G123&lt;CZ$5+GanttPeriod),"◆",IF(AND($E123&gt;=CZ$5,$E123&lt;CZ$5+GanttPeriod),"◇","")),IF(AND(CZ$5&lt;=$F123,CZ$5+GanttPeriod-1&gt;=$E123),"━","")))</f>
        <v/>
      </c>
      <c r="DA123" s="69" t="str">
        <f aca="false">IF($E123="","",IF($M123,IF(AND($G123&gt;=DA$5,$G123&lt;DA$5+GanttPeriod),"◆",IF(AND($E123&gt;=DA$5,$E123&lt;DA$5+GanttPeriod),"◇","")),IF(AND(DA$5&lt;=$F123,DA$5+GanttPeriod-1&gt;=$E123),"━","")))</f>
        <v/>
      </c>
      <c r="DB123" s="69" t="str">
        <f aca="false">IF($E123="","",IF($M123,IF(AND($G123&gt;=DB$5,$G123&lt;DB$5+GanttPeriod),"◆",IF(AND($E123&gt;=DB$5,$E123&lt;DB$5+GanttPeriod),"◇","")),IF(AND(DB$5&lt;=$F123,DB$5+GanttPeriod-1&gt;=$E123),"━","")))</f>
        <v/>
      </c>
      <c r="DC123" s="69" t="str">
        <f aca="false">IF($E123="","",IF($M123,IF(AND($G123&gt;=DC$5,$G123&lt;DC$5+GanttPeriod),"◆",IF(AND($E123&gt;=DC$5,$E123&lt;DC$5+GanttPeriod),"◇","")),IF(AND(DC$5&lt;=$F123,DC$5+GanttPeriod-1&gt;=$E123),"━","")))</f>
        <v/>
      </c>
      <c r="DD123" s="69" t="str">
        <f aca="false">IF($E123="","",IF($M123,IF(AND($G123&gt;=DD$5,$G123&lt;DD$5+GanttPeriod),"◆",IF(AND($E123&gt;=DD$5,$E123&lt;DD$5+GanttPeriod),"◇","")),IF(AND(DD$5&lt;=$F123,DD$5+GanttPeriod-1&gt;=$E123),"━","")))</f>
        <v/>
      </c>
      <c r="DE123" s="69" t="str">
        <f aca="false">IF($E123="","",IF($M123,IF(AND($G123&gt;=DE$5,$G123&lt;DE$5+GanttPeriod),"◆",IF(AND($E123&gt;=DE$5,$E123&lt;DE$5+GanttPeriod),"◇","")),IF(AND(DE$5&lt;=$F123,DE$5+GanttPeriod-1&gt;=$E123),"━","")))</f>
        <v/>
      </c>
      <c r="DF123" s="69" t="str">
        <f aca="false">IF($E123="","",IF($M123,IF(AND($G123&gt;=DF$5,$G123&lt;DF$5+GanttPeriod),"◆",IF(AND($E123&gt;=DF$5,$E123&lt;DF$5+GanttPeriod),"◇","")),IF(AND(DF$5&lt;=$F123,DF$5+GanttPeriod-1&gt;=$E123),"━","")))</f>
        <v/>
      </c>
      <c r="DG123" s="69" t="str">
        <f aca="false">IF($E123="","",IF($M123,IF(AND($G123&gt;=DG$5,$G123&lt;DG$5+GanttPeriod),"◆",IF(AND($E123&gt;=DG$5,$E123&lt;DG$5+GanttPeriod),"◇","")),IF(AND(DG$5&lt;=$F123,DG$5+GanttPeriod-1&gt;=$E123),"━","")))</f>
        <v/>
      </c>
      <c r="DH123" s="69" t="str">
        <f aca="false">IF($E123="","",IF($M123,IF(AND($G123&gt;=DH$5,$G123&lt;DH$5+GanttPeriod),"◆",IF(AND($E123&gt;=DH$5,$E123&lt;DH$5+GanttPeriod),"◇","")),IF(AND(DH$5&lt;=$F123,DH$5+GanttPeriod-1&gt;=$E123),"━","")))</f>
        <v/>
      </c>
      <c r="DI123" s="69" t="str">
        <f aca="false">IF($E123="","",IF($M123,IF(AND($G123&gt;=DI$5,$G123&lt;DI$5+GanttPeriod),"◆",IF(AND($E123&gt;=DI$5,$E123&lt;DI$5+GanttPeriod),"◇","")),IF(AND(DI$5&lt;=$F123,DI$5+GanttPeriod-1&gt;=$E123),"━","")))</f>
        <v/>
      </c>
      <c r="DJ123" s="69" t="str">
        <f aca="false">IF($E123="","",IF($M123,IF(AND($G123&gt;=DJ$5,$G123&lt;DJ$5+GanttPeriod),"◆",IF(AND($E123&gt;=DJ$5,$E123&lt;DJ$5+GanttPeriod),"◇","")),IF(AND(DJ$5&lt;=$F123,DJ$5+GanttPeriod-1&gt;=$E123),"━","")))</f>
        <v/>
      </c>
      <c r="DK123" s="69" t="str">
        <f aca="false">IF($E123="","",IF($M123,IF(AND($G123&gt;=DK$5,$G123&lt;DK$5+GanttPeriod),"◆",IF(AND($E123&gt;=DK$5,$E123&lt;DK$5+GanttPeriod),"◇","")),IF(AND(DK$5&lt;=$F123,DK$5+GanttPeriod-1&gt;=$E123),"━","")))</f>
        <v/>
      </c>
      <c r="DL123" s="69" t="str">
        <f aca="false">IF($E123="","",IF($M123,IF(AND($G123&gt;=DL$5,$G123&lt;DL$5+GanttPeriod),"◆",IF(AND($E123&gt;=DL$5,$E123&lt;DL$5+GanttPeriod),"◇","")),IF(AND(DL$5&lt;=$F123,DL$5+GanttPeriod-1&gt;=$E123),"━","")))</f>
        <v/>
      </c>
      <c r="DM123" s="69" t="str">
        <f aca="false">IF($E123="","",IF($M123,IF(AND($G123&gt;=DM$5,$G123&lt;DM$5+GanttPeriod),"◆",IF(AND($E123&gt;=DM$5,$E123&lt;DM$5+GanttPeriod),"◇","")),IF(AND(DM$5&lt;=$F123,DM$5+GanttPeriod-1&gt;=$E123),"━","")))</f>
        <v/>
      </c>
      <c r="DN123" s="69" t="str">
        <f aca="false">IF($E123="","",IF($M123,IF(AND($G123&gt;=DN$5,$G123&lt;DN$5+GanttPeriod),"◆",IF(AND($E123&gt;=DN$5,$E123&lt;DN$5+GanttPeriod),"◇","")),IF(AND(DN$5&lt;=$F123,DN$5+GanttPeriod-1&gt;=$E123),"━","")))</f>
        <v/>
      </c>
      <c r="DO123" s="69" t="str">
        <f aca="false">IF($E123="","",IF($M123,IF(AND($G123&gt;=DO$5,$G123&lt;DO$5+GanttPeriod),"◆",IF(AND($E123&gt;=DO$5,$E123&lt;DO$5+GanttPeriod),"◇","")),IF(AND(DO$5&lt;=$F123,DO$5+GanttPeriod-1&gt;=$E123),"━","")))</f>
        <v/>
      </c>
      <c r="DP123" s="69" t="str">
        <f aca="false">IF($E123="","",IF($M123,IF(AND($G123&gt;=DP$5,$G123&lt;DP$5+GanttPeriod),"◆",IF(AND($E123&gt;=DP$5,$E123&lt;DP$5+GanttPeriod),"◇","")),IF(AND(DP$5&lt;=$F123,DP$5+GanttPeriod-1&gt;=$E123),"━","")))</f>
        <v/>
      </c>
      <c r="DQ123" s="69" t="str">
        <f aca="false">IF($E123="","",IF($M123,IF(AND($G123&gt;=DQ$5,$G123&lt;DQ$5+GanttPeriod),"◆",IF(AND($E123&gt;=DQ$5,$E123&lt;DQ$5+GanttPeriod),"◇","")),IF(AND(DQ$5&lt;=$F123,DQ$5+GanttPeriod-1&gt;=$E123),"━","")))</f>
        <v/>
      </c>
      <c r="DR123" s="69" t="str">
        <f aca="false">IF($E123="","",IF($M123,IF(AND($G123&gt;=DR$5,$G123&lt;DR$5+GanttPeriod),"◆",IF(AND($E123&gt;=DR$5,$E123&lt;DR$5+GanttPeriod),"◇","")),IF(AND(DR$5&lt;=$F123,DR$5+GanttPeriod-1&gt;=$E123),"━","")))</f>
        <v/>
      </c>
      <c r="DS123" s="69" t="str">
        <f aca="false">IF($E123="","",IF($M123,IF(AND($G123&gt;=DS$5,$G123&lt;DS$5+GanttPeriod),"◆",IF(AND($E123&gt;=DS$5,$E123&lt;DS$5+GanttPeriod),"◇","")),IF(AND(DS$5&lt;=$F123,DS$5+GanttPeriod-1&gt;=$E123),"━","")))</f>
        <v/>
      </c>
      <c r="DT123" s="69" t="str">
        <f aca="false">IF($E123="","",IF($M123,IF(AND($G123&gt;=DT$5,$G123&lt;DT$5+GanttPeriod),"◆",IF(AND($E123&gt;=DT$5,$E123&lt;DT$5+GanttPeriod),"◇","")),IF(AND(DT$5&lt;=$F123,DT$5+GanttPeriod-1&gt;=$E123),"━","")))</f>
        <v/>
      </c>
      <c r="DU123" s="69" t="str">
        <f aca="false">IF($E123="","",IF($M123,IF(AND($G123&gt;=DU$5,$G123&lt;DU$5+GanttPeriod),"◆",IF(AND($E123&gt;=DU$5,$E123&lt;DU$5+GanttPeriod),"◇","")),IF(AND(DU$5&lt;=$F123,DU$5+GanttPeriod-1&gt;=$E123),"━","")))</f>
        <v/>
      </c>
      <c r="DV123" s="69" t="str">
        <f aca="false">IF($E123="","",IF($M123,IF(AND($G123&gt;=DV$5,$G123&lt;DV$5+GanttPeriod),"◆",IF(AND($E123&gt;=DV$5,$E123&lt;DV$5+GanttPeriod),"◇","")),IF(AND(DV$5&lt;=$F123,DV$5+GanttPeriod-1&gt;=$E123),"━","")))</f>
        <v/>
      </c>
      <c r="DW123" s="69" t="str">
        <f aca="false">IF($E123="","",IF($M123,IF(AND($G123&gt;=DW$5,$G123&lt;DW$5+GanttPeriod),"◆",IF(AND($E123&gt;=DW$5,$E123&lt;DW$5+GanttPeriod),"◇","")),IF(AND(DW$5&lt;=$F123,DW$5+GanttPeriod-1&gt;=$E123),"━","")))</f>
        <v/>
      </c>
      <c r="DX123" s="69" t="str">
        <f aca="false">IF($E123="","",IF($M123,IF(AND($G123&gt;=DX$5,$G123&lt;DX$5+GanttPeriod),"◆",IF(AND($E123&gt;=DX$5,$E123&lt;DX$5+GanttPeriod),"◇","")),IF(AND(DX$5&lt;=$F123,DX$5+GanttPeriod-1&gt;=$E123),"━","")))</f>
        <v/>
      </c>
      <c r="DY123" s="69" t="str">
        <f aca="false">IF($E123="","",IF($M123,IF(AND($G123&gt;=DY$5,$G123&lt;DY$5+GanttPeriod),"◆",IF(AND($E123&gt;=DY$5,$E123&lt;DY$5+GanttPeriod),"◇","")),IF(AND(DY$5&lt;=$F123,DY$5+GanttPeriod-1&gt;=$E123),"━","")))</f>
        <v/>
      </c>
      <c r="DZ123" s="69" t="str">
        <f aca="false">IF($E123="","",IF($M123,IF(AND($G123&gt;=DZ$5,$G123&lt;DZ$5+GanttPeriod),"◆",IF(AND($E123&gt;=DZ$5,$E123&lt;DZ$5+GanttPeriod),"◇","")),IF(AND(DZ$5&lt;=$F123,DZ$5+GanttPeriod-1&gt;=$E123),"━","")))</f>
        <v/>
      </c>
      <c r="EA123" s="69" t="str">
        <f aca="false">IF($E123="","",IF($M123,IF(AND($G123&gt;=EA$5,$G123&lt;EA$5+GanttPeriod),"◆",IF(AND($E123&gt;=EA$5,$E123&lt;EA$5+GanttPeriod),"◇","")),IF(AND(EA$5&lt;=$F123,EA$5+GanttPeriod-1&gt;=$E123),"━","")))</f>
        <v/>
      </c>
      <c r="EB123" s="69" t="str">
        <f aca="false">IF($E123="","",IF($M123,IF(AND($G123&gt;=EB$5,$G123&lt;EB$5+GanttPeriod),"◆",IF(AND($E123&gt;=EB$5,$E123&lt;EB$5+GanttPeriod),"◇","")),IF(AND(EB$5&lt;=$F123,EB$5+GanttPeriod-1&gt;=$E123),"━","")))</f>
        <v/>
      </c>
      <c r="EC123" s="69" t="str">
        <f aca="false">IF($E123="","",IF($M123,IF(AND($G123&gt;=EC$5,$G123&lt;EC$5+GanttPeriod),"◆",IF(AND($E123&gt;=EC$5,$E123&lt;EC$5+GanttPeriod),"◇","")),IF(AND(EC$5&lt;=$F123,EC$5+GanttPeriod-1&gt;=$E123),"━","")))</f>
        <v/>
      </c>
      <c r="ED123" s="69" t="str">
        <f aca="false">IF($E123="","",IF($M123,IF(AND($G123&gt;=ED$5,$G123&lt;ED$5+GanttPeriod),"◆",IF(AND($E123&gt;=ED$5,$E123&lt;ED$5+GanttPeriod),"◇","")),IF(AND(ED$5&lt;=$F123,ED$5+GanttPeriod-1&gt;=$E123),"━","")))</f>
        <v/>
      </c>
      <c r="EE123" s="69" t="str">
        <f aca="false">IF($E123="","",IF($M123,IF(AND($G123&gt;=EE$5,$G123&lt;EE$5+GanttPeriod),"◆",IF(AND($E123&gt;=EE$5,$E123&lt;EE$5+GanttPeriod),"◇","")),IF(AND(EE$5&lt;=$F123,EE$5+GanttPeriod-1&gt;=$E123),"━","")))</f>
        <v/>
      </c>
      <c r="EF123" s="69" t="str">
        <f aca="false">IF($E123="","",IF($M123,IF(AND($G123&gt;=EF$5,$G123&lt;EF$5+GanttPeriod),"◆",IF(AND($E123&gt;=EF$5,$E123&lt;EF$5+GanttPeriod),"◇","")),IF(AND(EF$5&lt;=$F123,EF$5+GanttPeriod-1&gt;=$E123),"━","")))</f>
        <v/>
      </c>
      <c r="EG123" s="69" t="str">
        <f aca="false">IF($E123="","",IF($M123,IF(AND($G123&gt;=EG$5,$G123&lt;EG$5+GanttPeriod),"◆",IF(AND($E123&gt;=EG$5,$E123&lt;EG$5+GanttPeriod),"◇","")),IF(AND(EG$5&lt;=$F123,EG$5+GanttPeriod-1&gt;=$E123),"━","")))</f>
        <v/>
      </c>
      <c r="EH123" s="69" t="str">
        <f aca="false">IF($E123="","",IF($M123,IF(AND($G123&gt;=EH$5,$G123&lt;EH$5+GanttPeriod),"◆",IF(AND($E123&gt;=EH$5,$E123&lt;EH$5+GanttPeriod),"◇","")),IF(AND(EH$5&lt;=$F123,EH$5+GanttPeriod-1&gt;=$E123),"━","")))</f>
        <v/>
      </c>
      <c r="EI123" s="69" t="str">
        <f aca="false">IF($E123="","",IF($M123,IF(AND($G123&gt;=EI$5,$G123&lt;EI$5+GanttPeriod),"◆",IF(AND($E123&gt;=EI$5,$E123&lt;EI$5+GanttPeriod),"◇","")),IF(AND(EI$5&lt;=$F123,EI$5+GanttPeriod-1&gt;=$E123),"━","")))</f>
        <v/>
      </c>
      <c r="EJ123" s="69" t="str">
        <f aca="false">IF($E123="","",IF($M123,IF(AND($G123&gt;=EJ$5,$G123&lt;EJ$5+GanttPeriod),"◆",IF(AND($E123&gt;=EJ$5,$E123&lt;EJ$5+GanttPeriod),"◇","")),IF(AND(EJ$5&lt;=$F123,EJ$5+GanttPeriod-1&gt;=$E123),"━","")))</f>
        <v/>
      </c>
      <c r="EK123" s="69" t="str">
        <f aca="false">IF($E123="","",IF($M123,IF(AND($G123&gt;=EK$5,$G123&lt;EK$5+GanttPeriod),"◆",IF(AND($E123&gt;=EK$5,$E123&lt;EK$5+GanttPeriod),"◇","")),IF(AND(EK$5&lt;=$F123,EK$5+GanttPeriod-1&gt;=$E123),"━","")))</f>
        <v/>
      </c>
      <c r="EL123" s="69" t="str">
        <f aca="false">IF($E123="","",IF($M123,IF(AND($G123&gt;=EL$5,$G123&lt;EL$5+GanttPeriod),"◆",IF(AND($E123&gt;=EL$5,$E123&lt;EL$5+GanttPeriod),"◇","")),IF(AND(EL$5&lt;=$F123,EL$5+GanttPeriod-1&gt;=$E123),"━","")))</f>
        <v/>
      </c>
      <c r="EM123" s="69" t="str">
        <f aca="false">IF($E123="","",IF($M123,IF(AND($G123&gt;=EM$5,$G123&lt;EM$5+GanttPeriod),"◆",IF(AND($E123&gt;=EM$5,$E123&lt;EM$5+GanttPeriod),"◇","")),IF(AND(EM$5&lt;=$F123,EM$5+GanttPeriod-1&gt;=$E123),"━","")))</f>
        <v/>
      </c>
      <c r="EN123" s="69" t="str">
        <f aca="false">IF($E123="","",IF($M123,IF(AND($G123&gt;=EN$5,$G123&lt;EN$5+GanttPeriod),"◆",IF(AND($E123&gt;=EN$5,$E123&lt;EN$5+GanttPeriod),"◇","")),IF(AND(EN$5&lt;=$F123,EN$5+GanttPeriod-1&gt;=$E123),"━","")))</f>
        <v/>
      </c>
      <c r="EO123" s="69" t="str">
        <f aca="false">IF($E123="","",IF($M123,IF(AND($G123&gt;=EO$5,$G123&lt;EO$5+GanttPeriod),"◆",IF(AND($E123&gt;=EO$5,$E123&lt;EO$5+GanttPeriod),"◇","")),IF(AND(EO$5&lt;=$F123,EO$5+GanttPeriod-1&gt;=$E123),"━","")))</f>
        <v/>
      </c>
      <c r="EP123" s="69" t="str">
        <f aca="false">IF($E123="","",IF($M123,IF(AND($G123&gt;=EP$5,$G123&lt;EP$5+GanttPeriod),"◆",IF(AND($E123&gt;=EP$5,$E123&lt;EP$5+GanttPeriod),"◇","")),IF(AND(EP$5&lt;=$F123,EP$5+GanttPeriod-1&gt;=$E123),"━","")))</f>
        <v/>
      </c>
      <c r="EQ123" s="69" t="str">
        <f aca="false">IF($E123="","",IF($M123,IF(AND($G123&gt;=EQ$5,$G123&lt;EQ$5+GanttPeriod),"◆",IF(AND($E123&gt;=EQ$5,$E123&lt;EQ$5+GanttPeriod),"◇","")),IF(AND(EQ$5&lt;=$F123,EQ$5+GanttPeriod-1&gt;=$E123),"━","")))</f>
        <v/>
      </c>
      <c r="ER123" s="69" t="str">
        <f aca="false">IF($E123="","",IF($M123,IF(AND($G123&gt;=ER$5,$G123&lt;ER$5+GanttPeriod),"◆",IF(AND($E123&gt;=ER$5,$E123&lt;ER$5+GanttPeriod),"◇","")),IF(AND(ER$5&lt;=$F123,ER$5+GanttPeriod-1&gt;=$E123),"━","")))</f>
        <v/>
      </c>
      <c r="ES123" s="69" t="str">
        <f aca="false">IF($E123="","",IF($M123,IF(AND($G123&gt;=ES$5,$G123&lt;ES$5+GanttPeriod),"◆",IF(AND($E123&gt;=ES$5,$E123&lt;ES$5+GanttPeriod),"◇","")),IF(AND(ES$5&lt;=$F123,ES$5+GanttPeriod-1&gt;=$E123),"━","")))</f>
        <v/>
      </c>
      <c r="ET123" s="69" t="str">
        <f aca="false">IF($E123="","",IF($M123,IF(AND($G123&gt;=ET$5,$G123&lt;ET$5+GanttPeriod),"◆",IF(AND($E123&gt;=ET$5,$E123&lt;ET$5+GanttPeriod),"◇","")),IF(AND(ET$5&lt;=$F123,ET$5+GanttPeriod-1&gt;=$E123),"━","")))</f>
        <v/>
      </c>
      <c r="EU123" s="69" t="str">
        <f aca="false">IF($E123="","",IF($M123,IF(AND($G123&gt;=EU$5,$G123&lt;EU$5+GanttPeriod),"◆",IF(AND($E123&gt;=EU$5,$E123&lt;EU$5+GanttPeriod),"◇","")),IF(AND(EU$5&lt;=$F123,EU$5+GanttPeriod-1&gt;=$E123),"━","")))</f>
        <v/>
      </c>
      <c r="EV123" s="69" t="str">
        <f aca="false">IF($E123="","",IF($M123,IF(AND($G123&gt;=EV$5,$G123&lt;EV$5+GanttPeriod),"◆",IF(AND($E123&gt;=EV$5,$E123&lt;EV$5+GanttPeriod),"◇","")),IF(AND(EV$5&lt;=$F123,EV$5+GanttPeriod-1&gt;=$E123),"━","")))</f>
        <v/>
      </c>
      <c r="EW123" s="69" t="str">
        <f aca="false">IF($E123="","",IF($M123,IF(AND($G123&gt;=EW$5,$G123&lt;EW$5+GanttPeriod),"◆",IF(AND($E123&gt;=EW$5,$E123&lt;EW$5+GanttPeriod),"◇","")),IF(AND(EW$5&lt;=$F123,EW$5+GanttPeriod-1&gt;=$E123),"━","")))</f>
        <v/>
      </c>
      <c r="EX123" s="69" t="str">
        <f aca="false">IF($E123="","",IF($M123,IF(AND($G123&gt;=EX$5,$G123&lt;EX$5+GanttPeriod),"◆",IF(AND($E123&gt;=EX$5,$E123&lt;EX$5+GanttPeriod),"◇","")),IF(AND(EX$5&lt;=$F123,EX$5+GanttPeriod-1&gt;=$E123),"━","")))</f>
        <v/>
      </c>
      <c r="EY123" s="69" t="str">
        <f aca="false">IF($E123="","",IF($M123,IF(AND($G123&gt;=EY$5,$G123&lt;EY$5+GanttPeriod),"◆",IF(AND($E123&gt;=EY$5,$E123&lt;EY$5+GanttPeriod),"◇","")),IF(AND(EY$5&lt;=$F123,EY$5+GanttPeriod-1&gt;=$E123),"━","")))</f>
        <v/>
      </c>
      <c r="EZ123" s="69" t="str">
        <f aca="false">IF($E123="","",IF($M123,IF(AND($G123&gt;=EZ$5,$G123&lt;EZ$5+GanttPeriod),"◆",IF(AND($E123&gt;=EZ$5,$E123&lt;EZ$5+GanttPeriod),"◇","")),IF(AND(EZ$5&lt;=$F123,EZ$5+GanttPeriod-1&gt;=$E123),"━","")))</f>
        <v/>
      </c>
      <c r="FA123" s="69" t="str">
        <f aca="false">IF($E123="","",IF($M123,IF(AND($G123&gt;=FA$5,$G123&lt;FA$5+GanttPeriod),"◆",IF(AND($E123&gt;=FA$5,$E123&lt;FA$5+GanttPeriod),"◇","")),IF(AND(FA$5&lt;=$F123,FA$5+GanttPeriod-1&gt;=$E123),"━","")))</f>
        <v/>
      </c>
      <c r="FB123" s="69" t="str">
        <f aca="false">IF($E123="","",IF($M123,IF(AND($G123&gt;=FB$5,$G123&lt;FB$5+GanttPeriod),"◆",IF(AND($E123&gt;=FB$5,$E123&lt;FB$5+GanttPeriod),"◇","")),IF(AND(FB$5&lt;=$F123,FB$5+GanttPeriod-1&gt;=$E123),"━","")))</f>
        <v/>
      </c>
      <c r="FC123" s="69" t="str">
        <f aca="false">IF($E123="","",IF($M123,IF(AND($G123&gt;=FC$5,$G123&lt;FC$5+GanttPeriod),"◆",IF(AND($E123&gt;=FC$5,$E123&lt;FC$5+GanttPeriod),"◇","")),IF(AND(FC$5&lt;=$F123,FC$5+GanttPeriod-1&gt;=$E123),"━","")))</f>
        <v/>
      </c>
      <c r="FD123" s="69" t="str">
        <f aca="false">IF($E123="","",IF($M123,IF(AND($G123&gt;=FD$5,$G123&lt;FD$5+GanttPeriod),"◆",IF(AND($E123&gt;=FD$5,$E123&lt;FD$5+GanttPeriod),"◇","")),IF(AND(FD$5&lt;=$F123,FD$5+GanttPeriod-1&gt;=$E123),"━","")))</f>
        <v/>
      </c>
      <c r="FE123" s="69" t="str">
        <f aca="false">IF($E123="","",IF($M123,IF(AND($G123&gt;=FE$5,$G123&lt;FE$5+GanttPeriod),"◆",IF(AND($E123&gt;=FE$5,$E123&lt;FE$5+GanttPeriod),"◇","")),IF(AND(FE$5&lt;=$F123,FE$5+GanttPeriod-1&gt;=$E123),"━","")))</f>
        <v/>
      </c>
      <c r="FF123" s="69" t="str">
        <f aca="false">IF($E123="","",IF($M123,IF(AND($G123&gt;=FF$5,$G123&lt;FF$5+GanttPeriod),"◆",IF(AND($E123&gt;=FF$5,$E123&lt;FF$5+GanttPeriod),"◇","")),IF(AND(FF$5&lt;=$F123,FF$5+GanttPeriod-1&gt;=$E123),"━","")))</f>
        <v/>
      </c>
      <c r="FG123" s="69" t="str">
        <f aca="false">IF($E123="","",IF($M123,IF(AND($G123&gt;=FG$5,$G123&lt;FG$5+GanttPeriod),"◆",IF(AND($E123&gt;=FG$5,$E123&lt;FG$5+GanttPeriod),"◇","")),IF(AND(FG$5&lt;=$F123,FG$5+GanttPeriod-1&gt;=$E123),"━","")))</f>
        <v/>
      </c>
      <c r="FH123" s="69" t="str">
        <f aca="false">IF($E123="","",IF($M123,IF(AND($G123&gt;=FH$5,$G123&lt;FH$5+GanttPeriod),"◆",IF(AND($E123&gt;=FH$5,$E123&lt;FH$5+GanttPeriod),"◇","")),IF(AND(FH$5&lt;=$F123,FH$5+GanttPeriod-1&gt;=$E123),"━","")))</f>
        <v/>
      </c>
      <c r="FI123" s="69" t="str">
        <f aca="false">IF($E123="","",IF($M123,IF(AND($G123&gt;=FI$5,$G123&lt;FI$5+GanttPeriod),"◆",IF(AND($E123&gt;=FI$5,$E123&lt;FI$5+GanttPeriod),"◇","")),IF(AND(FI$5&lt;=$F123,FI$5+GanttPeriod-1&gt;=$E123),"━","")))</f>
        <v/>
      </c>
      <c r="FJ123" s="69" t="str">
        <f aca="false">IF($E123="","",IF($M123,IF(AND($G123&gt;=FJ$5,$G123&lt;FJ$5+GanttPeriod),"◆",IF(AND($E123&gt;=FJ$5,$E123&lt;FJ$5+GanttPeriod),"◇","")),IF(AND(FJ$5&lt;=$F123,FJ$5+GanttPeriod-1&gt;=$E123),"━","")))</f>
        <v/>
      </c>
      <c r="FK123" s="69" t="str">
        <f aca="false">IF($E123="","",IF($M123,IF(AND($G123&gt;=FK$5,$G123&lt;FK$5+GanttPeriod),"◆",IF(AND($E123&gt;=FK$5,$E123&lt;FK$5+GanttPeriod),"◇","")),IF(AND(FK$5&lt;=$F123,FK$5+GanttPeriod-1&gt;=$E123),"━","")))</f>
        <v/>
      </c>
      <c r="FL123" s="69" t="str">
        <f aca="false">IF($E123="","",IF($M123,IF(AND($G123&gt;=FL$5,$G123&lt;FL$5+GanttPeriod),"◆",IF(AND($E123&gt;=FL$5,$E123&lt;FL$5+GanttPeriod),"◇","")),IF(AND(FL$5&lt;=$F123,FL$5+GanttPeriod-1&gt;=$E123),"━","")))</f>
        <v/>
      </c>
      <c r="FM123" s="69" t="str">
        <f aca="false">IF($E123="","",IF($M123,IF(AND($G123&gt;=FM$5,$G123&lt;FM$5+GanttPeriod),"◆",IF(AND($E123&gt;=FM$5,$E123&lt;FM$5+GanttPeriod),"◇","")),IF(AND(FM$5&lt;=$F123,FM$5+GanttPeriod-1&gt;=$E123),"━","")))</f>
        <v/>
      </c>
    </row>
    <row r="124" customFormat="false" ht="15" hidden="false" customHeight="false" outlineLevel="0" collapsed="false">
      <c r="A124" s="62" t="str">
        <f aca="false">IF(Tasks!$D124="","",Tasks!$A124)</f>
        <v/>
      </c>
      <c r="B124" s="62" t="str">
        <f aca="false">IF(Tasks!$D124="","",Tasks!$B124)</f>
        <v/>
      </c>
      <c r="C124" s="63" t="str">
        <f aca="false">IF(Tasks!$D124="","",REPT("    ",Tasks!$AE124-1)&amp;Tasks!$D124)</f>
        <v/>
      </c>
      <c r="D124" s="62" t="str">
        <f aca="false">IF(Tasks!$D124="","",IF(Tasks!$AI124,NETWORKDAYS.INTL(Tasks!$R124,Tasks!$S124,WorkWeek,Holidays),N(Tasks!$F124)))</f>
        <v/>
      </c>
      <c r="E124" s="64" t="str">
        <f aca="false">IF(Tasks!$D124="","",Tasks!$N124)</f>
        <v/>
      </c>
      <c r="F124" s="64" t="str">
        <f aca="false">IF(Tasks!$D124="","",Tasks!$O124)</f>
        <v/>
      </c>
      <c r="G124" s="64" t="str">
        <f aca="false">IF(Tasks!$D124="","",Tasks!$R124)</f>
        <v/>
      </c>
      <c r="H124" s="64" t="str">
        <f aca="false">IF(Tasks!$D124="","",Tasks!$S124)</f>
        <v/>
      </c>
      <c r="I124" s="65" t="str">
        <f aca="false">IF(Tasks!$D124="","",Tasks!$V124)</f>
        <v/>
      </c>
      <c r="J124" s="63" t="str">
        <f aca="false">IF(Tasks!$D124="","",Tasks!$X124&amp;"")</f>
        <v/>
      </c>
      <c r="K124" s="66" t="str">
        <f aca="false">IF(Tasks!$D124="","",Tasks!$W124)</f>
        <v/>
      </c>
      <c r="L124" s="67" t="b">
        <f aca="false">IF(Tasks!$D124="",FALSE(),Tasks!$AI124)</f>
        <v>0</v>
      </c>
      <c r="M124" s="67" t="b">
        <f aca="false">AND(Tasks!$AJ124=1,N(Tasks!$F124)=0)</f>
        <v>0</v>
      </c>
      <c r="N124" s="68" t="n">
        <f aca="false">IF(AND(Tasks!$AJ124=1,NOT($M124),N($I124)&gt;0),$G124,0)</f>
        <v>0</v>
      </c>
      <c r="O124" s="68" t="n">
        <f aca="false">IF($N124=0,0,IF($I124&gt;=1,$H124,MAX($N124,$G124+ROUND(($H124-$G124+1)*$I124,0)-1)))</f>
        <v>0</v>
      </c>
      <c r="P124" s="68" t="n">
        <f aca="false">IF(OR(Tasks!$AJ124&lt;&gt;1,$M124,N($I124)&gt;=1),0,IF($O124&gt;0,$O124+1,$G124))</f>
        <v>0</v>
      </c>
      <c r="Q124" s="68" t="n">
        <f aca="false">IF($P124=0,0,$H124)</f>
        <v>0</v>
      </c>
      <c r="R124" s="67" t="b">
        <f aca="false">AND(Tasks!$D124&lt;&gt;"",N(Tasks!$T124)&gt;0)</f>
        <v>0</v>
      </c>
      <c r="T124" s="69" t="str">
        <f aca="false">IF($E124="","",IF($M124,IF(AND($G124&gt;=T$5,$G124&lt;T$5+GanttPeriod),"◆",IF(AND($E124&gt;=T$5,$E124&lt;T$5+GanttPeriod),"◇","")),IF(AND(T$5&lt;=$F124,T$5+GanttPeriod-1&gt;=$E124),"━","")))</f>
        <v/>
      </c>
      <c r="U124" s="69" t="str">
        <f aca="false">IF($E124="","",IF($M124,IF(AND($G124&gt;=U$5,$G124&lt;U$5+GanttPeriod),"◆",IF(AND($E124&gt;=U$5,$E124&lt;U$5+GanttPeriod),"◇","")),IF(AND(U$5&lt;=$F124,U$5+GanttPeriod-1&gt;=$E124),"━","")))</f>
        <v/>
      </c>
      <c r="V124" s="69" t="str">
        <f aca="false">IF($E124="","",IF($M124,IF(AND($G124&gt;=V$5,$G124&lt;V$5+GanttPeriod),"◆",IF(AND($E124&gt;=V$5,$E124&lt;V$5+GanttPeriod),"◇","")),IF(AND(V$5&lt;=$F124,V$5+GanttPeriod-1&gt;=$E124),"━","")))</f>
        <v/>
      </c>
      <c r="W124" s="69" t="str">
        <f aca="false">IF($E124="","",IF($M124,IF(AND($G124&gt;=W$5,$G124&lt;W$5+GanttPeriod),"◆",IF(AND($E124&gt;=W$5,$E124&lt;W$5+GanttPeriod),"◇","")),IF(AND(W$5&lt;=$F124,W$5+GanttPeriod-1&gt;=$E124),"━","")))</f>
        <v/>
      </c>
      <c r="X124" s="69" t="str">
        <f aca="false">IF($E124="","",IF($M124,IF(AND($G124&gt;=X$5,$G124&lt;X$5+GanttPeriod),"◆",IF(AND($E124&gt;=X$5,$E124&lt;X$5+GanttPeriod),"◇","")),IF(AND(X$5&lt;=$F124,X$5+GanttPeriod-1&gt;=$E124),"━","")))</f>
        <v/>
      </c>
      <c r="Y124" s="69" t="str">
        <f aca="false">IF($E124="","",IF($M124,IF(AND($G124&gt;=Y$5,$G124&lt;Y$5+GanttPeriod),"◆",IF(AND($E124&gt;=Y$5,$E124&lt;Y$5+GanttPeriod),"◇","")),IF(AND(Y$5&lt;=$F124,Y$5+GanttPeriod-1&gt;=$E124),"━","")))</f>
        <v/>
      </c>
      <c r="Z124" s="69" t="str">
        <f aca="false">IF($E124="","",IF($M124,IF(AND($G124&gt;=Z$5,$G124&lt;Z$5+GanttPeriod),"◆",IF(AND($E124&gt;=Z$5,$E124&lt;Z$5+GanttPeriod),"◇","")),IF(AND(Z$5&lt;=$F124,Z$5+GanttPeriod-1&gt;=$E124),"━","")))</f>
        <v/>
      </c>
      <c r="AA124" s="69" t="str">
        <f aca="false">IF($E124="","",IF($M124,IF(AND($G124&gt;=AA$5,$G124&lt;AA$5+GanttPeriod),"◆",IF(AND($E124&gt;=AA$5,$E124&lt;AA$5+GanttPeriod),"◇","")),IF(AND(AA$5&lt;=$F124,AA$5+GanttPeriod-1&gt;=$E124),"━","")))</f>
        <v/>
      </c>
      <c r="AB124" s="69" t="str">
        <f aca="false">IF($E124="","",IF($M124,IF(AND($G124&gt;=AB$5,$G124&lt;AB$5+GanttPeriod),"◆",IF(AND($E124&gt;=AB$5,$E124&lt;AB$5+GanttPeriod),"◇","")),IF(AND(AB$5&lt;=$F124,AB$5+GanttPeriod-1&gt;=$E124),"━","")))</f>
        <v/>
      </c>
      <c r="AC124" s="69" t="str">
        <f aca="false">IF($E124="","",IF($M124,IF(AND($G124&gt;=AC$5,$G124&lt;AC$5+GanttPeriod),"◆",IF(AND($E124&gt;=AC$5,$E124&lt;AC$5+GanttPeriod),"◇","")),IF(AND(AC$5&lt;=$F124,AC$5+GanttPeriod-1&gt;=$E124),"━","")))</f>
        <v/>
      </c>
      <c r="AD124" s="69" t="str">
        <f aca="false">IF($E124="","",IF($M124,IF(AND($G124&gt;=AD$5,$G124&lt;AD$5+GanttPeriod),"◆",IF(AND($E124&gt;=AD$5,$E124&lt;AD$5+GanttPeriod),"◇","")),IF(AND(AD$5&lt;=$F124,AD$5+GanttPeriod-1&gt;=$E124),"━","")))</f>
        <v/>
      </c>
      <c r="AE124" s="69" t="str">
        <f aca="false">IF($E124="","",IF($M124,IF(AND($G124&gt;=AE$5,$G124&lt;AE$5+GanttPeriod),"◆",IF(AND($E124&gt;=AE$5,$E124&lt;AE$5+GanttPeriod),"◇","")),IF(AND(AE$5&lt;=$F124,AE$5+GanttPeriod-1&gt;=$E124),"━","")))</f>
        <v/>
      </c>
      <c r="AF124" s="69" t="str">
        <f aca="false">IF($E124="","",IF($M124,IF(AND($G124&gt;=AF$5,$G124&lt;AF$5+GanttPeriod),"◆",IF(AND($E124&gt;=AF$5,$E124&lt;AF$5+GanttPeriod),"◇","")),IF(AND(AF$5&lt;=$F124,AF$5+GanttPeriod-1&gt;=$E124),"━","")))</f>
        <v/>
      </c>
      <c r="AG124" s="69" t="str">
        <f aca="false">IF($E124="","",IF($M124,IF(AND($G124&gt;=AG$5,$G124&lt;AG$5+GanttPeriod),"◆",IF(AND($E124&gt;=AG$5,$E124&lt;AG$5+GanttPeriod),"◇","")),IF(AND(AG$5&lt;=$F124,AG$5+GanttPeriod-1&gt;=$E124),"━","")))</f>
        <v/>
      </c>
      <c r="AH124" s="69" t="str">
        <f aca="false">IF($E124="","",IF($M124,IF(AND($G124&gt;=AH$5,$G124&lt;AH$5+GanttPeriod),"◆",IF(AND($E124&gt;=AH$5,$E124&lt;AH$5+GanttPeriod),"◇","")),IF(AND(AH$5&lt;=$F124,AH$5+GanttPeriod-1&gt;=$E124),"━","")))</f>
        <v/>
      </c>
      <c r="AI124" s="69" t="str">
        <f aca="false">IF($E124="","",IF($M124,IF(AND($G124&gt;=AI$5,$G124&lt;AI$5+GanttPeriod),"◆",IF(AND($E124&gt;=AI$5,$E124&lt;AI$5+GanttPeriod),"◇","")),IF(AND(AI$5&lt;=$F124,AI$5+GanttPeriod-1&gt;=$E124),"━","")))</f>
        <v/>
      </c>
      <c r="AJ124" s="69" t="str">
        <f aca="false">IF($E124="","",IF($M124,IF(AND($G124&gt;=AJ$5,$G124&lt;AJ$5+GanttPeriod),"◆",IF(AND($E124&gt;=AJ$5,$E124&lt;AJ$5+GanttPeriod),"◇","")),IF(AND(AJ$5&lt;=$F124,AJ$5+GanttPeriod-1&gt;=$E124),"━","")))</f>
        <v/>
      </c>
      <c r="AK124" s="69" t="str">
        <f aca="false">IF($E124="","",IF($M124,IF(AND($G124&gt;=AK$5,$G124&lt;AK$5+GanttPeriod),"◆",IF(AND($E124&gt;=AK$5,$E124&lt;AK$5+GanttPeriod),"◇","")),IF(AND(AK$5&lt;=$F124,AK$5+GanttPeriod-1&gt;=$E124),"━","")))</f>
        <v/>
      </c>
      <c r="AL124" s="69" t="str">
        <f aca="false">IF($E124="","",IF($M124,IF(AND($G124&gt;=AL$5,$G124&lt;AL$5+GanttPeriod),"◆",IF(AND($E124&gt;=AL$5,$E124&lt;AL$5+GanttPeriod),"◇","")),IF(AND(AL$5&lt;=$F124,AL$5+GanttPeriod-1&gt;=$E124),"━","")))</f>
        <v/>
      </c>
      <c r="AM124" s="69" t="str">
        <f aca="false">IF($E124="","",IF($M124,IF(AND($G124&gt;=AM$5,$G124&lt;AM$5+GanttPeriod),"◆",IF(AND($E124&gt;=AM$5,$E124&lt;AM$5+GanttPeriod),"◇","")),IF(AND(AM$5&lt;=$F124,AM$5+GanttPeriod-1&gt;=$E124),"━","")))</f>
        <v/>
      </c>
      <c r="AN124" s="69" t="str">
        <f aca="false">IF($E124="","",IF($M124,IF(AND($G124&gt;=AN$5,$G124&lt;AN$5+GanttPeriod),"◆",IF(AND($E124&gt;=AN$5,$E124&lt;AN$5+GanttPeriod),"◇","")),IF(AND(AN$5&lt;=$F124,AN$5+GanttPeriod-1&gt;=$E124),"━","")))</f>
        <v/>
      </c>
      <c r="AO124" s="69" t="str">
        <f aca="false">IF($E124="","",IF($M124,IF(AND($G124&gt;=AO$5,$G124&lt;AO$5+GanttPeriod),"◆",IF(AND($E124&gt;=AO$5,$E124&lt;AO$5+GanttPeriod),"◇","")),IF(AND(AO$5&lt;=$F124,AO$5+GanttPeriod-1&gt;=$E124),"━","")))</f>
        <v/>
      </c>
      <c r="AP124" s="69" t="str">
        <f aca="false">IF($E124="","",IF($M124,IF(AND($G124&gt;=AP$5,$G124&lt;AP$5+GanttPeriod),"◆",IF(AND($E124&gt;=AP$5,$E124&lt;AP$5+GanttPeriod),"◇","")),IF(AND(AP$5&lt;=$F124,AP$5+GanttPeriod-1&gt;=$E124),"━","")))</f>
        <v/>
      </c>
      <c r="AQ124" s="69" t="str">
        <f aca="false">IF($E124="","",IF($M124,IF(AND($G124&gt;=AQ$5,$G124&lt;AQ$5+GanttPeriod),"◆",IF(AND($E124&gt;=AQ$5,$E124&lt;AQ$5+GanttPeriod),"◇","")),IF(AND(AQ$5&lt;=$F124,AQ$5+GanttPeriod-1&gt;=$E124),"━","")))</f>
        <v/>
      </c>
      <c r="AR124" s="69" t="str">
        <f aca="false">IF($E124="","",IF($M124,IF(AND($G124&gt;=AR$5,$G124&lt;AR$5+GanttPeriod),"◆",IF(AND($E124&gt;=AR$5,$E124&lt;AR$5+GanttPeriod),"◇","")),IF(AND(AR$5&lt;=$F124,AR$5+GanttPeriod-1&gt;=$E124),"━","")))</f>
        <v/>
      </c>
      <c r="AS124" s="69" t="str">
        <f aca="false">IF($E124="","",IF($M124,IF(AND($G124&gt;=AS$5,$G124&lt;AS$5+GanttPeriod),"◆",IF(AND($E124&gt;=AS$5,$E124&lt;AS$5+GanttPeriod),"◇","")),IF(AND(AS$5&lt;=$F124,AS$5+GanttPeriod-1&gt;=$E124),"━","")))</f>
        <v/>
      </c>
      <c r="AT124" s="69" t="str">
        <f aca="false">IF($E124="","",IF($M124,IF(AND($G124&gt;=AT$5,$G124&lt;AT$5+GanttPeriod),"◆",IF(AND($E124&gt;=AT$5,$E124&lt;AT$5+GanttPeriod),"◇","")),IF(AND(AT$5&lt;=$F124,AT$5+GanttPeriod-1&gt;=$E124),"━","")))</f>
        <v/>
      </c>
      <c r="AU124" s="69" t="str">
        <f aca="false">IF($E124="","",IF($M124,IF(AND($G124&gt;=AU$5,$G124&lt;AU$5+GanttPeriod),"◆",IF(AND($E124&gt;=AU$5,$E124&lt;AU$5+GanttPeriod),"◇","")),IF(AND(AU$5&lt;=$F124,AU$5+GanttPeriod-1&gt;=$E124),"━","")))</f>
        <v/>
      </c>
      <c r="AV124" s="69" t="str">
        <f aca="false">IF($E124="","",IF($M124,IF(AND($G124&gt;=AV$5,$G124&lt;AV$5+GanttPeriod),"◆",IF(AND($E124&gt;=AV$5,$E124&lt;AV$5+GanttPeriod),"◇","")),IF(AND(AV$5&lt;=$F124,AV$5+GanttPeriod-1&gt;=$E124),"━","")))</f>
        <v/>
      </c>
      <c r="AW124" s="69" t="str">
        <f aca="false">IF($E124="","",IF($M124,IF(AND($G124&gt;=AW$5,$G124&lt;AW$5+GanttPeriod),"◆",IF(AND($E124&gt;=AW$5,$E124&lt;AW$5+GanttPeriod),"◇","")),IF(AND(AW$5&lt;=$F124,AW$5+GanttPeriod-1&gt;=$E124),"━","")))</f>
        <v/>
      </c>
      <c r="AX124" s="69" t="str">
        <f aca="false">IF($E124="","",IF($M124,IF(AND($G124&gt;=AX$5,$G124&lt;AX$5+GanttPeriod),"◆",IF(AND($E124&gt;=AX$5,$E124&lt;AX$5+GanttPeriod),"◇","")),IF(AND(AX$5&lt;=$F124,AX$5+GanttPeriod-1&gt;=$E124),"━","")))</f>
        <v/>
      </c>
      <c r="AY124" s="69" t="str">
        <f aca="false">IF($E124="","",IF($M124,IF(AND($G124&gt;=AY$5,$G124&lt;AY$5+GanttPeriod),"◆",IF(AND($E124&gt;=AY$5,$E124&lt;AY$5+GanttPeriod),"◇","")),IF(AND(AY$5&lt;=$F124,AY$5+GanttPeriod-1&gt;=$E124),"━","")))</f>
        <v/>
      </c>
      <c r="AZ124" s="69" t="str">
        <f aca="false">IF($E124="","",IF($M124,IF(AND($G124&gt;=AZ$5,$G124&lt;AZ$5+GanttPeriod),"◆",IF(AND($E124&gt;=AZ$5,$E124&lt;AZ$5+GanttPeriod),"◇","")),IF(AND(AZ$5&lt;=$F124,AZ$5+GanttPeriod-1&gt;=$E124),"━","")))</f>
        <v/>
      </c>
      <c r="BA124" s="69" t="str">
        <f aca="false">IF($E124="","",IF($M124,IF(AND($G124&gt;=BA$5,$G124&lt;BA$5+GanttPeriod),"◆",IF(AND($E124&gt;=BA$5,$E124&lt;BA$5+GanttPeriod),"◇","")),IF(AND(BA$5&lt;=$F124,BA$5+GanttPeriod-1&gt;=$E124),"━","")))</f>
        <v/>
      </c>
      <c r="BB124" s="69" t="str">
        <f aca="false">IF($E124="","",IF($M124,IF(AND($G124&gt;=BB$5,$G124&lt;BB$5+GanttPeriod),"◆",IF(AND($E124&gt;=BB$5,$E124&lt;BB$5+GanttPeriod),"◇","")),IF(AND(BB$5&lt;=$F124,BB$5+GanttPeriod-1&gt;=$E124),"━","")))</f>
        <v/>
      </c>
      <c r="BC124" s="69" t="str">
        <f aca="false">IF($E124="","",IF($M124,IF(AND($G124&gt;=BC$5,$G124&lt;BC$5+GanttPeriod),"◆",IF(AND($E124&gt;=BC$5,$E124&lt;BC$5+GanttPeriod),"◇","")),IF(AND(BC$5&lt;=$F124,BC$5+GanttPeriod-1&gt;=$E124),"━","")))</f>
        <v/>
      </c>
      <c r="BD124" s="69" t="str">
        <f aca="false">IF($E124="","",IF($M124,IF(AND($G124&gt;=BD$5,$G124&lt;BD$5+GanttPeriod),"◆",IF(AND($E124&gt;=BD$5,$E124&lt;BD$5+GanttPeriod),"◇","")),IF(AND(BD$5&lt;=$F124,BD$5+GanttPeriod-1&gt;=$E124),"━","")))</f>
        <v/>
      </c>
      <c r="BE124" s="69" t="str">
        <f aca="false">IF($E124="","",IF($M124,IF(AND($G124&gt;=BE$5,$G124&lt;BE$5+GanttPeriod),"◆",IF(AND($E124&gt;=BE$5,$E124&lt;BE$5+GanttPeriod),"◇","")),IF(AND(BE$5&lt;=$F124,BE$5+GanttPeriod-1&gt;=$E124),"━","")))</f>
        <v/>
      </c>
      <c r="BF124" s="69" t="str">
        <f aca="false">IF($E124="","",IF($M124,IF(AND($G124&gt;=BF$5,$G124&lt;BF$5+GanttPeriod),"◆",IF(AND($E124&gt;=BF$5,$E124&lt;BF$5+GanttPeriod),"◇","")),IF(AND(BF$5&lt;=$F124,BF$5+GanttPeriod-1&gt;=$E124),"━","")))</f>
        <v/>
      </c>
      <c r="BG124" s="69" t="str">
        <f aca="false">IF($E124="","",IF($M124,IF(AND($G124&gt;=BG$5,$G124&lt;BG$5+GanttPeriod),"◆",IF(AND($E124&gt;=BG$5,$E124&lt;BG$5+GanttPeriod),"◇","")),IF(AND(BG$5&lt;=$F124,BG$5+GanttPeriod-1&gt;=$E124),"━","")))</f>
        <v/>
      </c>
      <c r="BH124" s="69" t="str">
        <f aca="false">IF($E124="","",IF($M124,IF(AND($G124&gt;=BH$5,$G124&lt;BH$5+GanttPeriod),"◆",IF(AND($E124&gt;=BH$5,$E124&lt;BH$5+GanttPeriod),"◇","")),IF(AND(BH$5&lt;=$F124,BH$5+GanttPeriod-1&gt;=$E124),"━","")))</f>
        <v/>
      </c>
      <c r="BI124" s="69" t="str">
        <f aca="false">IF($E124="","",IF($M124,IF(AND($G124&gt;=BI$5,$G124&lt;BI$5+GanttPeriod),"◆",IF(AND($E124&gt;=BI$5,$E124&lt;BI$5+GanttPeriod),"◇","")),IF(AND(BI$5&lt;=$F124,BI$5+GanttPeriod-1&gt;=$E124),"━","")))</f>
        <v/>
      </c>
      <c r="BJ124" s="69" t="str">
        <f aca="false">IF($E124="","",IF($M124,IF(AND($G124&gt;=BJ$5,$G124&lt;BJ$5+GanttPeriod),"◆",IF(AND($E124&gt;=BJ$5,$E124&lt;BJ$5+GanttPeriod),"◇","")),IF(AND(BJ$5&lt;=$F124,BJ$5+GanttPeriod-1&gt;=$E124),"━","")))</f>
        <v/>
      </c>
      <c r="BK124" s="69" t="str">
        <f aca="false">IF($E124="","",IF($M124,IF(AND($G124&gt;=BK$5,$G124&lt;BK$5+GanttPeriod),"◆",IF(AND($E124&gt;=BK$5,$E124&lt;BK$5+GanttPeriod),"◇","")),IF(AND(BK$5&lt;=$F124,BK$5+GanttPeriod-1&gt;=$E124),"━","")))</f>
        <v/>
      </c>
      <c r="BL124" s="69" t="str">
        <f aca="false">IF($E124="","",IF($M124,IF(AND($G124&gt;=BL$5,$G124&lt;BL$5+GanttPeriod),"◆",IF(AND($E124&gt;=BL$5,$E124&lt;BL$5+GanttPeriod),"◇","")),IF(AND(BL$5&lt;=$F124,BL$5+GanttPeriod-1&gt;=$E124),"━","")))</f>
        <v/>
      </c>
      <c r="BM124" s="69" t="str">
        <f aca="false">IF($E124="","",IF($M124,IF(AND($G124&gt;=BM$5,$G124&lt;BM$5+GanttPeriod),"◆",IF(AND($E124&gt;=BM$5,$E124&lt;BM$5+GanttPeriod),"◇","")),IF(AND(BM$5&lt;=$F124,BM$5+GanttPeriod-1&gt;=$E124),"━","")))</f>
        <v/>
      </c>
      <c r="BN124" s="69" t="str">
        <f aca="false">IF($E124="","",IF($M124,IF(AND($G124&gt;=BN$5,$G124&lt;BN$5+GanttPeriod),"◆",IF(AND($E124&gt;=BN$5,$E124&lt;BN$5+GanttPeriod),"◇","")),IF(AND(BN$5&lt;=$F124,BN$5+GanttPeriod-1&gt;=$E124),"━","")))</f>
        <v/>
      </c>
      <c r="BO124" s="69" t="str">
        <f aca="false">IF($E124="","",IF($M124,IF(AND($G124&gt;=BO$5,$G124&lt;BO$5+GanttPeriod),"◆",IF(AND($E124&gt;=BO$5,$E124&lt;BO$5+GanttPeriod),"◇","")),IF(AND(BO$5&lt;=$F124,BO$5+GanttPeriod-1&gt;=$E124),"━","")))</f>
        <v/>
      </c>
      <c r="BP124" s="69" t="str">
        <f aca="false">IF($E124="","",IF($M124,IF(AND($G124&gt;=BP$5,$G124&lt;BP$5+GanttPeriod),"◆",IF(AND($E124&gt;=BP$5,$E124&lt;BP$5+GanttPeriod),"◇","")),IF(AND(BP$5&lt;=$F124,BP$5+GanttPeriod-1&gt;=$E124),"━","")))</f>
        <v/>
      </c>
      <c r="BQ124" s="69" t="str">
        <f aca="false">IF($E124="","",IF($M124,IF(AND($G124&gt;=BQ$5,$G124&lt;BQ$5+GanttPeriod),"◆",IF(AND($E124&gt;=BQ$5,$E124&lt;BQ$5+GanttPeriod),"◇","")),IF(AND(BQ$5&lt;=$F124,BQ$5+GanttPeriod-1&gt;=$E124),"━","")))</f>
        <v/>
      </c>
      <c r="BR124" s="69" t="str">
        <f aca="false">IF($E124="","",IF($M124,IF(AND($G124&gt;=BR$5,$G124&lt;BR$5+GanttPeriod),"◆",IF(AND($E124&gt;=BR$5,$E124&lt;BR$5+GanttPeriod),"◇","")),IF(AND(BR$5&lt;=$F124,BR$5+GanttPeriod-1&gt;=$E124),"━","")))</f>
        <v/>
      </c>
      <c r="BS124" s="69" t="str">
        <f aca="false">IF($E124="","",IF($M124,IF(AND($G124&gt;=BS$5,$G124&lt;BS$5+GanttPeriod),"◆",IF(AND($E124&gt;=BS$5,$E124&lt;BS$5+GanttPeriod),"◇","")),IF(AND(BS$5&lt;=$F124,BS$5+GanttPeriod-1&gt;=$E124),"━","")))</f>
        <v/>
      </c>
      <c r="BT124" s="69" t="str">
        <f aca="false">IF($E124="","",IF($M124,IF(AND($G124&gt;=BT$5,$G124&lt;BT$5+GanttPeriod),"◆",IF(AND($E124&gt;=BT$5,$E124&lt;BT$5+GanttPeriod),"◇","")),IF(AND(BT$5&lt;=$F124,BT$5+GanttPeriod-1&gt;=$E124),"━","")))</f>
        <v/>
      </c>
      <c r="BU124" s="69" t="str">
        <f aca="false">IF($E124="","",IF($M124,IF(AND($G124&gt;=BU$5,$G124&lt;BU$5+GanttPeriod),"◆",IF(AND($E124&gt;=BU$5,$E124&lt;BU$5+GanttPeriod),"◇","")),IF(AND(BU$5&lt;=$F124,BU$5+GanttPeriod-1&gt;=$E124),"━","")))</f>
        <v/>
      </c>
      <c r="BV124" s="69" t="str">
        <f aca="false">IF($E124="","",IF($M124,IF(AND($G124&gt;=BV$5,$G124&lt;BV$5+GanttPeriod),"◆",IF(AND($E124&gt;=BV$5,$E124&lt;BV$5+GanttPeriod),"◇","")),IF(AND(BV$5&lt;=$F124,BV$5+GanttPeriod-1&gt;=$E124),"━","")))</f>
        <v/>
      </c>
      <c r="BW124" s="69" t="str">
        <f aca="false">IF($E124="","",IF($M124,IF(AND($G124&gt;=BW$5,$G124&lt;BW$5+GanttPeriod),"◆",IF(AND($E124&gt;=BW$5,$E124&lt;BW$5+GanttPeriod),"◇","")),IF(AND(BW$5&lt;=$F124,BW$5+GanttPeriod-1&gt;=$E124),"━","")))</f>
        <v/>
      </c>
      <c r="BX124" s="69" t="str">
        <f aca="false">IF($E124="","",IF($M124,IF(AND($G124&gt;=BX$5,$G124&lt;BX$5+GanttPeriod),"◆",IF(AND($E124&gt;=BX$5,$E124&lt;BX$5+GanttPeriod),"◇","")),IF(AND(BX$5&lt;=$F124,BX$5+GanttPeriod-1&gt;=$E124),"━","")))</f>
        <v/>
      </c>
      <c r="BY124" s="69" t="str">
        <f aca="false">IF($E124="","",IF($M124,IF(AND($G124&gt;=BY$5,$G124&lt;BY$5+GanttPeriod),"◆",IF(AND($E124&gt;=BY$5,$E124&lt;BY$5+GanttPeriod),"◇","")),IF(AND(BY$5&lt;=$F124,BY$5+GanttPeriod-1&gt;=$E124),"━","")))</f>
        <v/>
      </c>
      <c r="BZ124" s="69" t="str">
        <f aca="false">IF($E124="","",IF($M124,IF(AND($G124&gt;=BZ$5,$G124&lt;BZ$5+GanttPeriod),"◆",IF(AND($E124&gt;=BZ$5,$E124&lt;BZ$5+GanttPeriod),"◇","")),IF(AND(BZ$5&lt;=$F124,BZ$5+GanttPeriod-1&gt;=$E124),"━","")))</f>
        <v/>
      </c>
      <c r="CA124" s="69" t="str">
        <f aca="false">IF($E124="","",IF($M124,IF(AND($G124&gt;=CA$5,$G124&lt;CA$5+GanttPeriod),"◆",IF(AND($E124&gt;=CA$5,$E124&lt;CA$5+GanttPeriod),"◇","")),IF(AND(CA$5&lt;=$F124,CA$5+GanttPeriod-1&gt;=$E124),"━","")))</f>
        <v/>
      </c>
      <c r="CB124" s="69" t="str">
        <f aca="false">IF($E124="","",IF($M124,IF(AND($G124&gt;=CB$5,$G124&lt;CB$5+GanttPeriod),"◆",IF(AND($E124&gt;=CB$5,$E124&lt;CB$5+GanttPeriod),"◇","")),IF(AND(CB$5&lt;=$F124,CB$5+GanttPeriod-1&gt;=$E124),"━","")))</f>
        <v/>
      </c>
      <c r="CC124" s="69" t="str">
        <f aca="false">IF($E124="","",IF($M124,IF(AND($G124&gt;=CC$5,$G124&lt;CC$5+GanttPeriod),"◆",IF(AND($E124&gt;=CC$5,$E124&lt;CC$5+GanttPeriod),"◇","")),IF(AND(CC$5&lt;=$F124,CC$5+GanttPeriod-1&gt;=$E124),"━","")))</f>
        <v/>
      </c>
      <c r="CD124" s="69" t="str">
        <f aca="false">IF($E124="","",IF($M124,IF(AND($G124&gt;=CD$5,$G124&lt;CD$5+GanttPeriod),"◆",IF(AND($E124&gt;=CD$5,$E124&lt;CD$5+GanttPeriod),"◇","")),IF(AND(CD$5&lt;=$F124,CD$5+GanttPeriod-1&gt;=$E124),"━","")))</f>
        <v/>
      </c>
      <c r="CE124" s="69" t="str">
        <f aca="false">IF($E124="","",IF($M124,IF(AND($G124&gt;=CE$5,$G124&lt;CE$5+GanttPeriod),"◆",IF(AND($E124&gt;=CE$5,$E124&lt;CE$5+GanttPeriod),"◇","")),IF(AND(CE$5&lt;=$F124,CE$5+GanttPeriod-1&gt;=$E124),"━","")))</f>
        <v/>
      </c>
      <c r="CF124" s="69" t="str">
        <f aca="false">IF($E124="","",IF($M124,IF(AND($G124&gt;=CF$5,$G124&lt;CF$5+GanttPeriod),"◆",IF(AND($E124&gt;=CF$5,$E124&lt;CF$5+GanttPeriod),"◇","")),IF(AND(CF$5&lt;=$F124,CF$5+GanttPeriod-1&gt;=$E124),"━","")))</f>
        <v/>
      </c>
      <c r="CG124" s="69" t="str">
        <f aca="false">IF($E124="","",IF($M124,IF(AND($G124&gt;=CG$5,$G124&lt;CG$5+GanttPeriod),"◆",IF(AND($E124&gt;=CG$5,$E124&lt;CG$5+GanttPeriod),"◇","")),IF(AND(CG$5&lt;=$F124,CG$5+GanttPeriod-1&gt;=$E124),"━","")))</f>
        <v/>
      </c>
      <c r="CH124" s="69" t="str">
        <f aca="false">IF($E124="","",IF($M124,IF(AND($G124&gt;=CH$5,$G124&lt;CH$5+GanttPeriod),"◆",IF(AND($E124&gt;=CH$5,$E124&lt;CH$5+GanttPeriod),"◇","")),IF(AND(CH$5&lt;=$F124,CH$5+GanttPeriod-1&gt;=$E124),"━","")))</f>
        <v/>
      </c>
      <c r="CI124" s="69" t="str">
        <f aca="false">IF($E124="","",IF($M124,IF(AND($G124&gt;=CI$5,$G124&lt;CI$5+GanttPeriod),"◆",IF(AND($E124&gt;=CI$5,$E124&lt;CI$5+GanttPeriod),"◇","")),IF(AND(CI$5&lt;=$F124,CI$5+GanttPeriod-1&gt;=$E124),"━","")))</f>
        <v/>
      </c>
      <c r="CJ124" s="69" t="str">
        <f aca="false">IF($E124="","",IF($M124,IF(AND($G124&gt;=CJ$5,$G124&lt;CJ$5+GanttPeriod),"◆",IF(AND($E124&gt;=CJ$5,$E124&lt;CJ$5+GanttPeriod),"◇","")),IF(AND(CJ$5&lt;=$F124,CJ$5+GanttPeriod-1&gt;=$E124),"━","")))</f>
        <v/>
      </c>
      <c r="CK124" s="69" t="str">
        <f aca="false">IF($E124="","",IF($M124,IF(AND($G124&gt;=CK$5,$G124&lt;CK$5+GanttPeriod),"◆",IF(AND($E124&gt;=CK$5,$E124&lt;CK$5+GanttPeriod),"◇","")),IF(AND(CK$5&lt;=$F124,CK$5+GanttPeriod-1&gt;=$E124),"━","")))</f>
        <v/>
      </c>
      <c r="CL124" s="69" t="str">
        <f aca="false">IF($E124="","",IF($M124,IF(AND($G124&gt;=CL$5,$G124&lt;CL$5+GanttPeriod),"◆",IF(AND($E124&gt;=CL$5,$E124&lt;CL$5+GanttPeriod),"◇","")),IF(AND(CL$5&lt;=$F124,CL$5+GanttPeriod-1&gt;=$E124),"━","")))</f>
        <v/>
      </c>
      <c r="CM124" s="69" t="str">
        <f aca="false">IF($E124="","",IF($M124,IF(AND($G124&gt;=CM$5,$G124&lt;CM$5+GanttPeriod),"◆",IF(AND($E124&gt;=CM$5,$E124&lt;CM$5+GanttPeriod),"◇","")),IF(AND(CM$5&lt;=$F124,CM$5+GanttPeriod-1&gt;=$E124),"━","")))</f>
        <v/>
      </c>
      <c r="CN124" s="69" t="str">
        <f aca="false">IF($E124="","",IF($M124,IF(AND($G124&gt;=CN$5,$G124&lt;CN$5+GanttPeriod),"◆",IF(AND($E124&gt;=CN$5,$E124&lt;CN$5+GanttPeriod),"◇","")),IF(AND(CN$5&lt;=$F124,CN$5+GanttPeriod-1&gt;=$E124),"━","")))</f>
        <v/>
      </c>
      <c r="CO124" s="69" t="str">
        <f aca="false">IF($E124="","",IF($M124,IF(AND($G124&gt;=CO$5,$G124&lt;CO$5+GanttPeriod),"◆",IF(AND($E124&gt;=CO$5,$E124&lt;CO$5+GanttPeriod),"◇","")),IF(AND(CO$5&lt;=$F124,CO$5+GanttPeriod-1&gt;=$E124),"━","")))</f>
        <v/>
      </c>
      <c r="CP124" s="69" t="str">
        <f aca="false">IF($E124="","",IF($M124,IF(AND($G124&gt;=CP$5,$G124&lt;CP$5+GanttPeriod),"◆",IF(AND($E124&gt;=CP$5,$E124&lt;CP$5+GanttPeriod),"◇","")),IF(AND(CP$5&lt;=$F124,CP$5+GanttPeriod-1&gt;=$E124),"━","")))</f>
        <v/>
      </c>
      <c r="CQ124" s="69" t="str">
        <f aca="false">IF($E124="","",IF($M124,IF(AND($G124&gt;=CQ$5,$G124&lt;CQ$5+GanttPeriod),"◆",IF(AND($E124&gt;=CQ$5,$E124&lt;CQ$5+GanttPeriod),"◇","")),IF(AND(CQ$5&lt;=$F124,CQ$5+GanttPeriod-1&gt;=$E124),"━","")))</f>
        <v/>
      </c>
      <c r="CR124" s="69" t="str">
        <f aca="false">IF($E124="","",IF($M124,IF(AND($G124&gt;=CR$5,$G124&lt;CR$5+GanttPeriod),"◆",IF(AND($E124&gt;=CR$5,$E124&lt;CR$5+GanttPeriod),"◇","")),IF(AND(CR$5&lt;=$F124,CR$5+GanttPeriod-1&gt;=$E124),"━","")))</f>
        <v/>
      </c>
      <c r="CS124" s="69" t="str">
        <f aca="false">IF($E124="","",IF($M124,IF(AND($G124&gt;=CS$5,$G124&lt;CS$5+GanttPeriod),"◆",IF(AND($E124&gt;=CS$5,$E124&lt;CS$5+GanttPeriod),"◇","")),IF(AND(CS$5&lt;=$F124,CS$5+GanttPeriod-1&gt;=$E124),"━","")))</f>
        <v/>
      </c>
      <c r="CT124" s="69" t="str">
        <f aca="false">IF($E124="","",IF($M124,IF(AND($G124&gt;=CT$5,$G124&lt;CT$5+GanttPeriod),"◆",IF(AND($E124&gt;=CT$5,$E124&lt;CT$5+GanttPeriod),"◇","")),IF(AND(CT$5&lt;=$F124,CT$5+GanttPeriod-1&gt;=$E124),"━","")))</f>
        <v/>
      </c>
      <c r="CU124" s="69" t="str">
        <f aca="false">IF($E124="","",IF($M124,IF(AND($G124&gt;=CU$5,$G124&lt;CU$5+GanttPeriod),"◆",IF(AND($E124&gt;=CU$5,$E124&lt;CU$5+GanttPeriod),"◇","")),IF(AND(CU$5&lt;=$F124,CU$5+GanttPeriod-1&gt;=$E124),"━","")))</f>
        <v/>
      </c>
      <c r="CV124" s="69" t="str">
        <f aca="false">IF($E124="","",IF($M124,IF(AND($G124&gt;=CV$5,$G124&lt;CV$5+GanttPeriod),"◆",IF(AND($E124&gt;=CV$5,$E124&lt;CV$5+GanttPeriod),"◇","")),IF(AND(CV$5&lt;=$F124,CV$5+GanttPeriod-1&gt;=$E124),"━","")))</f>
        <v/>
      </c>
      <c r="CW124" s="69" t="str">
        <f aca="false">IF($E124="","",IF($M124,IF(AND($G124&gt;=CW$5,$G124&lt;CW$5+GanttPeriod),"◆",IF(AND($E124&gt;=CW$5,$E124&lt;CW$5+GanttPeriod),"◇","")),IF(AND(CW$5&lt;=$F124,CW$5+GanttPeriod-1&gt;=$E124),"━","")))</f>
        <v/>
      </c>
      <c r="CX124" s="69" t="str">
        <f aca="false">IF($E124="","",IF($M124,IF(AND($G124&gt;=CX$5,$G124&lt;CX$5+GanttPeriod),"◆",IF(AND($E124&gt;=CX$5,$E124&lt;CX$5+GanttPeriod),"◇","")),IF(AND(CX$5&lt;=$F124,CX$5+GanttPeriod-1&gt;=$E124),"━","")))</f>
        <v/>
      </c>
      <c r="CY124" s="69" t="str">
        <f aca="false">IF($E124="","",IF($M124,IF(AND($G124&gt;=CY$5,$G124&lt;CY$5+GanttPeriod),"◆",IF(AND($E124&gt;=CY$5,$E124&lt;CY$5+GanttPeriod),"◇","")),IF(AND(CY$5&lt;=$F124,CY$5+GanttPeriod-1&gt;=$E124),"━","")))</f>
        <v/>
      </c>
      <c r="CZ124" s="69" t="str">
        <f aca="false">IF($E124="","",IF($M124,IF(AND($G124&gt;=CZ$5,$G124&lt;CZ$5+GanttPeriod),"◆",IF(AND($E124&gt;=CZ$5,$E124&lt;CZ$5+GanttPeriod),"◇","")),IF(AND(CZ$5&lt;=$F124,CZ$5+GanttPeriod-1&gt;=$E124),"━","")))</f>
        <v/>
      </c>
      <c r="DA124" s="69" t="str">
        <f aca="false">IF($E124="","",IF($M124,IF(AND($G124&gt;=DA$5,$G124&lt;DA$5+GanttPeriod),"◆",IF(AND($E124&gt;=DA$5,$E124&lt;DA$5+GanttPeriod),"◇","")),IF(AND(DA$5&lt;=$F124,DA$5+GanttPeriod-1&gt;=$E124),"━","")))</f>
        <v/>
      </c>
      <c r="DB124" s="69" t="str">
        <f aca="false">IF($E124="","",IF($M124,IF(AND($G124&gt;=DB$5,$G124&lt;DB$5+GanttPeriod),"◆",IF(AND($E124&gt;=DB$5,$E124&lt;DB$5+GanttPeriod),"◇","")),IF(AND(DB$5&lt;=$F124,DB$5+GanttPeriod-1&gt;=$E124),"━","")))</f>
        <v/>
      </c>
      <c r="DC124" s="69" t="str">
        <f aca="false">IF($E124="","",IF($M124,IF(AND($G124&gt;=DC$5,$G124&lt;DC$5+GanttPeriod),"◆",IF(AND($E124&gt;=DC$5,$E124&lt;DC$5+GanttPeriod),"◇","")),IF(AND(DC$5&lt;=$F124,DC$5+GanttPeriod-1&gt;=$E124),"━","")))</f>
        <v/>
      </c>
      <c r="DD124" s="69" t="str">
        <f aca="false">IF($E124="","",IF($M124,IF(AND($G124&gt;=DD$5,$G124&lt;DD$5+GanttPeriod),"◆",IF(AND($E124&gt;=DD$5,$E124&lt;DD$5+GanttPeriod),"◇","")),IF(AND(DD$5&lt;=$F124,DD$5+GanttPeriod-1&gt;=$E124),"━","")))</f>
        <v/>
      </c>
      <c r="DE124" s="69" t="str">
        <f aca="false">IF($E124="","",IF($M124,IF(AND($G124&gt;=DE$5,$G124&lt;DE$5+GanttPeriod),"◆",IF(AND($E124&gt;=DE$5,$E124&lt;DE$5+GanttPeriod),"◇","")),IF(AND(DE$5&lt;=$F124,DE$5+GanttPeriod-1&gt;=$E124),"━","")))</f>
        <v/>
      </c>
      <c r="DF124" s="69" t="str">
        <f aca="false">IF($E124="","",IF($M124,IF(AND($G124&gt;=DF$5,$G124&lt;DF$5+GanttPeriod),"◆",IF(AND($E124&gt;=DF$5,$E124&lt;DF$5+GanttPeriod),"◇","")),IF(AND(DF$5&lt;=$F124,DF$5+GanttPeriod-1&gt;=$E124),"━","")))</f>
        <v/>
      </c>
      <c r="DG124" s="69" t="str">
        <f aca="false">IF($E124="","",IF($M124,IF(AND($G124&gt;=DG$5,$G124&lt;DG$5+GanttPeriod),"◆",IF(AND($E124&gt;=DG$5,$E124&lt;DG$5+GanttPeriod),"◇","")),IF(AND(DG$5&lt;=$F124,DG$5+GanttPeriod-1&gt;=$E124),"━","")))</f>
        <v/>
      </c>
      <c r="DH124" s="69" t="str">
        <f aca="false">IF($E124="","",IF($M124,IF(AND($G124&gt;=DH$5,$G124&lt;DH$5+GanttPeriod),"◆",IF(AND($E124&gt;=DH$5,$E124&lt;DH$5+GanttPeriod),"◇","")),IF(AND(DH$5&lt;=$F124,DH$5+GanttPeriod-1&gt;=$E124),"━","")))</f>
        <v/>
      </c>
      <c r="DI124" s="69" t="str">
        <f aca="false">IF($E124="","",IF($M124,IF(AND($G124&gt;=DI$5,$G124&lt;DI$5+GanttPeriod),"◆",IF(AND($E124&gt;=DI$5,$E124&lt;DI$5+GanttPeriod),"◇","")),IF(AND(DI$5&lt;=$F124,DI$5+GanttPeriod-1&gt;=$E124),"━","")))</f>
        <v/>
      </c>
      <c r="DJ124" s="69" t="str">
        <f aca="false">IF($E124="","",IF($M124,IF(AND($G124&gt;=DJ$5,$G124&lt;DJ$5+GanttPeriod),"◆",IF(AND($E124&gt;=DJ$5,$E124&lt;DJ$5+GanttPeriod),"◇","")),IF(AND(DJ$5&lt;=$F124,DJ$5+GanttPeriod-1&gt;=$E124),"━","")))</f>
        <v/>
      </c>
      <c r="DK124" s="69" t="str">
        <f aca="false">IF($E124="","",IF($M124,IF(AND($G124&gt;=DK$5,$G124&lt;DK$5+GanttPeriod),"◆",IF(AND($E124&gt;=DK$5,$E124&lt;DK$5+GanttPeriod),"◇","")),IF(AND(DK$5&lt;=$F124,DK$5+GanttPeriod-1&gt;=$E124),"━","")))</f>
        <v/>
      </c>
      <c r="DL124" s="69" t="str">
        <f aca="false">IF($E124="","",IF($M124,IF(AND($G124&gt;=DL$5,$G124&lt;DL$5+GanttPeriod),"◆",IF(AND($E124&gt;=DL$5,$E124&lt;DL$5+GanttPeriod),"◇","")),IF(AND(DL$5&lt;=$F124,DL$5+GanttPeriod-1&gt;=$E124),"━","")))</f>
        <v/>
      </c>
      <c r="DM124" s="69" t="str">
        <f aca="false">IF($E124="","",IF($M124,IF(AND($G124&gt;=DM$5,$G124&lt;DM$5+GanttPeriod),"◆",IF(AND($E124&gt;=DM$5,$E124&lt;DM$5+GanttPeriod),"◇","")),IF(AND(DM$5&lt;=$F124,DM$5+GanttPeriod-1&gt;=$E124),"━","")))</f>
        <v/>
      </c>
      <c r="DN124" s="69" t="str">
        <f aca="false">IF($E124="","",IF($M124,IF(AND($G124&gt;=DN$5,$G124&lt;DN$5+GanttPeriod),"◆",IF(AND($E124&gt;=DN$5,$E124&lt;DN$5+GanttPeriod),"◇","")),IF(AND(DN$5&lt;=$F124,DN$5+GanttPeriod-1&gt;=$E124),"━","")))</f>
        <v/>
      </c>
      <c r="DO124" s="69" t="str">
        <f aca="false">IF($E124="","",IF($M124,IF(AND($G124&gt;=DO$5,$G124&lt;DO$5+GanttPeriod),"◆",IF(AND($E124&gt;=DO$5,$E124&lt;DO$5+GanttPeriod),"◇","")),IF(AND(DO$5&lt;=$F124,DO$5+GanttPeriod-1&gt;=$E124),"━","")))</f>
        <v/>
      </c>
      <c r="DP124" s="69" t="str">
        <f aca="false">IF($E124="","",IF($M124,IF(AND($G124&gt;=DP$5,$G124&lt;DP$5+GanttPeriod),"◆",IF(AND($E124&gt;=DP$5,$E124&lt;DP$5+GanttPeriod),"◇","")),IF(AND(DP$5&lt;=$F124,DP$5+GanttPeriod-1&gt;=$E124),"━","")))</f>
        <v/>
      </c>
      <c r="DQ124" s="69" t="str">
        <f aca="false">IF($E124="","",IF($M124,IF(AND($G124&gt;=DQ$5,$G124&lt;DQ$5+GanttPeriod),"◆",IF(AND($E124&gt;=DQ$5,$E124&lt;DQ$5+GanttPeriod),"◇","")),IF(AND(DQ$5&lt;=$F124,DQ$5+GanttPeriod-1&gt;=$E124),"━","")))</f>
        <v/>
      </c>
      <c r="DR124" s="69" t="str">
        <f aca="false">IF($E124="","",IF($M124,IF(AND($G124&gt;=DR$5,$G124&lt;DR$5+GanttPeriod),"◆",IF(AND($E124&gt;=DR$5,$E124&lt;DR$5+GanttPeriod),"◇","")),IF(AND(DR$5&lt;=$F124,DR$5+GanttPeriod-1&gt;=$E124),"━","")))</f>
        <v/>
      </c>
      <c r="DS124" s="69" t="str">
        <f aca="false">IF($E124="","",IF($M124,IF(AND($G124&gt;=DS$5,$G124&lt;DS$5+GanttPeriod),"◆",IF(AND($E124&gt;=DS$5,$E124&lt;DS$5+GanttPeriod),"◇","")),IF(AND(DS$5&lt;=$F124,DS$5+GanttPeriod-1&gt;=$E124),"━","")))</f>
        <v/>
      </c>
      <c r="DT124" s="69" t="str">
        <f aca="false">IF($E124="","",IF($M124,IF(AND($G124&gt;=DT$5,$G124&lt;DT$5+GanttPeriod),"◆",IF(AND($E124&gt;=DT$5,$E124&lt;DT$5+GanttPeriod),"◇","")),IF(AND(DT$5&lt;=$F124,DT$5+GanttPeriod-1&gt;=$E124),"━","")))</f>
        <v/>
      </c>
      <c r="DU124" s="69" t="str">
        <f aca="false">IF($E124="","",IF($M124,IF(AND($G124&gt;=DU$5,$G124&lt;DU$5+GanttPeriod),"◆",IF(AND($E124&gt;=DU$5,$E124&lt;DU$5+GanttPeriod),"◇","")),IF(AND(DU$5&lt;=$F124,DU$5+GanttPeriod-1&gt;=$E124),"━","")))</f>
        <v/>
      </c>
      <c r="DV124" s="69" t="str">
        <f aca="false">IF($E124="","",IF($M124,IF(AND($G124&gt;=DV$5,$G124&lt;DV$5+GanttPeriod),"◆",IF(AND($E124&gt;=DV$5,$E124&lt;DV$5+GanttPeriod),"◇","")),IF(AND(DV$5&lt;=$F124,DV$5+GanttPeriod-1&gt;=$E124),"━","")))</f>
        <v/>
      </c>
      <c r="DW124" s="69" t="str">
        <f aca="false">IF($E124="","",IF($M124,IF(AND($G124&gt;=DW$5,$G124&lt;DW$5+GanttPeriod),"◆",IF(AND($E124&gt;=DW$5,$E124&lt;DW$5+GanttPeriod),"◇","")),IF(AND(DW$5&lt;=$F124,DW$5+GanttPeriod-1&gt;=$E124),"━","")))</f>
        <v/>
      </c>
      <c r="DX124" s="69" t="str">
        <f aca="false">IF($E124="","",IF($M124,IF(AND($G124&gt;=DX$5,$G124&lt;DX$5+GanttPeriod),"◆",IF(AND($E124&gt;=DX$5,$E124&lt;DX$5+GanttPeriod),"◇","")),IF(AND(DX$5&lt;=$F124,DX$5+GanttPeriod-1&gt;=$E124),"━","")))</f>
        <v/>
      </c>
      <c r="DY124" s="69" t="str">
        <f aca="false">IF($E124="","",IF($M124,IF(AND($G124&gt;=DY$5,$G124&lt;DY$5+GanttPeriod),"◆",IF(AND($E124&gt;=DY$5,$E124&lt;DY$5+GanttPeriod),"◇","")),IF(AND(DY$5&lt;=$F124,DY$5+GanttPeriod-1&gt;=$E124),"━","")))</f>
        <v/>
      </c>
      <c r="DZ124" s="69" t="str">
        <f aca="false">IF($E124="","",IF($M124,IF(AND($G124&gt;=DZ$5,$G124&lt;DZ$5+GanttPeriod),"◆",IF(AND($E124&gt;=DZ$5,$E124&lt;DZ$5+GanttPeriod),"◇","")),IF(AND(DZ$5&lt;=$F124,DZ$5+GanttPeriod-1&gt;=$E124),"━","")))</f>
        <v/>
      </c>
      <c r="EA124" s="69" t="str">
        <f aca="false">IF($E124="","",IF($M124,IF(AND($G124&gt;=EA$5,$G124&lt;EA$5+GanttPeriod),"◆",IF(AND($E124&gt;=EA$5,$E124&lt;EA$5+GanttPeriod),"◇","")),IF(AND(EA$5&lt;=$F124,EA$5+GanttPeriod-1&gt;=$E124),"━","")))</f>
        <v/>
      </c>
      <c r="EB124" s="69" t="str">
        <f aca="false">IF($E124="","",IF($M124,IF(AND($G124&gt;=EB$5,$G124&lt;EB$5+GanttPeriod),"◆",IF(AND($E124&gt;=EB$5,$E124&lt;EB$5+GanttPeriod),"◇","")),IF(AND(EB$5&lt;=$F124,EB$5+GanttPeriod-1&gt;=$E124),"━","")))</f>
        <v/>
      </c>
      <c r="EC124" s="69" t="str">
        <f aca="false">IF($E124="","",IF($M124,IF(AND($G124&gt;=EC$5,$G124&lt;EC$5+GanttPeriod),"◆",IF(AND($E124&gt;=EC$5,$E124&lt;EC$5+GanttPeriod),"◇","")),IF(AND(EC$5&lt;=$F124,EC$5+GanttPeriod-1&gt;=$E124),"━","")))</f>
        <v/>
      </c>
      <c r="ED124" s="69" t="str">
        <f aca="false">IF($E124="","",IF($M124,IF(AND($G124&gt;=ED$5,$G124&lt;ED$5+GanttPeriod),"◆",IF(AND($E124&gt;=ED$5,$E124&lt;ED$5+GanttPeriod),"◇","")),IF(AND(ED$5&lt;=$F124,ED$5+GanttPeriod-1&gt;=$E124),"━","")))</f>
        <v/>
      </c>
      <c r="EE124" s="69" t="str">
        <f aca="false">IF($E124="","",IF($M124,IF(AND($G124&gt;=EE$5,$G124&lt;EE$5+GanttPeriod),"◆",IF(AND($E124&gt;=EE$5,$E124&lt;EE$5+GanttPeriod),"◇","")),IF(AND(EE$5&lt;=$F124,EE$5+GanttPeriod-1&gt;=$E124),"━","")))</f>
        <v/>
      </c>
      <c r="EF124" s="69" t="str">
        <f aca="false">IF($E124="","",IF($M124,IF(AND($G124&gt;=EF$5,$G124&lt;EF$5+GanttPeriod),"◆",IF(AND($E124&gt;=EF$5,$E124&lt;EF$5+GanttPeriod),"◇","")),IF(AND(EF$5&lt;=$F124,EF$5+GanttPeriod-1&gt;=$E124),"━","")))</f>
        <v/>
      </c>
      <c r="EG124" s="69" t="str">
        <f aca="false">IF($E124="","",IF($M124,IF(AND($G124&gt;=EG$5,$G124&lt;EG$5+GanttPeriod),"◆",IF(AND($E124&gt;=EG$5,$E124&lt;EG$5+GanttPeriod),"◇","")),IF(AND(EG$5&lt;=$F124,EG$5+GanttPeriod-1&gt;=$E124),"━","")))</f>
        <v/>
      </c>
      <c r="EH124" s="69" t="str">
        <f aca="false">IF($E124="","",IF($M124,IF(AND($G124&gt;=EH$5,$G124&lt;EH$5+GanttPeriod),"◆",IF(AND($E124&gt;=EH$5,$E124&lt;EH$5+GanttPeriod),"◇","")),IF(AND(EH$5&lt;=$F124,EH$5+GanttPeriod-1&gt;=$E124),"━","")))</f>
        <v/>
      </c>
      <c r="EI124" s="69" t="str">
        <f aca="false">IF($E124="","",IF($M124,IF(AND($G124&gt;=EI$5,$G124&lt;EI$5+GanttPeriod),"◆",IF(AND($E124&gt;=EI$5,$E124&lt;EI$5+GanttPeriod),"◇","")),IF(AND(EI$5&lt;=$F124,EI$5+GanttPeriod-1&gt;=$E124),"━","")))</f>
        <v/>
      </c>
      <c r="EJ124" s="69" t="str">
        <f aca="false">IF($E124="","",IF($M124,IF(AND($G124&gt;=EJ$5,$G124&lt;EJ$5+GanttPeriod),"◆",IF(AND($E124&gt;=EJ$5,$E124&lt;EJ$5+GanttPeriod),"◇","")),IF(AND(EJ$5&lt;=$F124,EJ$5+GanttPeriod-1&gt;=$E124),"━","")))</f>
        <v/>
      </c>
      <c r="EK124" s="69" t="str">
        <f aca="false">IF($E124="","",IF($M124,IF(AND($G124&gt;=EK$5,$G124&lt;EK$5+GanttPeriod),"◆",IF(AND($E124&gt;=EK$5,$E124&lt;EK$5+GanttPeriod),"◇","")),IF(AND(EK$5&lt;=$F124,EK$5+GanttPeriod-1&gt;=$E124),"━","")))</f>
        <v/>
      </c>
      <c r="EL124" s="69" t="str">
        <f aca="false">IF($E124="","",IF($M124,IF(AND($G124&gt;=EL$5,$G124&lt;EL$5+GanttPeriod),"◆",IF(AND($E124&gt;=EL$5,$E124&lt;EL$5+GanttPeriod),"◇","")),IF(AND(EL$5&lt;=$F124,EL$5+GanttPeriod-1&gt;=$E124),"━","")))</f>
        <v/>
      </c>
      <c r="EM124" s="69" t="str">
        <f aca="false">IF($E124="","",IF($M124,IF(AND($G124&gt;=EM$5,$G124&lt;EM$5+GanttPeriod),"◆",IF(AND($E124&gt;=EM$5,$E124&lt;EM$5+GanttPeriod),"◇","")),IF(AND(EM$5&lt;=$F124,EM$5+GanttPeriod-1&gt;=$E124),"━","")))</f>
        <v/>
      </c>
      <c r="EN124" s="69" t="str">
        <f aca="false">IF($E124="","",IF($M124,IF(AND($G124&gt;=EN$5,$G124&lt;EN$5+GanttPeriod),"◆",IF(AND($E124&gt;=EN$5,$E124&lt;EN$5+GanttPeriod),"◇","")),IF(AND(EN$5&lt;=$F124,EN$5+GanttPeriod-1&gt;=$E124),"━","")))</f>
        <v/>
      </c>
      <c r="EO124" s="69" t="str">
        <f aca="false">IF($E124="","",IF($M124,IF(AND($G124&gt;=EO$5,$G124&lt;EO$5+GanttPeriod),"◆",IF(AND($E124&gt;=EO$5,$E124&lt;EO$5+GanttPeriod),"◇","")),IF(AND(EO$5&lt;=$F124,EO$5+GanttPeriod-1&gt;=$E124),"━","")))</f>
        <v/>
      </c>
      <c r="EP124" s="69" t="str">
        <f aca="false">IF($E124="","",IF($M124,IF(AND($G124&gt;=EP$5,$G124&lt;EP$5+GanttPeriod),"◆",IF(AND($E124&gt;=EP$5,$E124&lt;EP$5+GanttPeriod),"◇","")),IF(AND(EP$5&lt;=$F124,EP$5+GanttPeriod-1&gt;=$E124),"━","")))</f>
        <v/>
      </c>
      <c r="EQ124" s="69" t="str">
        <f aca="false">IF($E124="","",IF($M124,IF(AND($G124&gt;=EQ$5,$G124&lt;EQ$5+GanttPeriod),"◆",IF(AND($E124&gt;=EQ$5,$E124&lt;EQ$5+GanttPeriod),"◇","")),IF(AND(EQ$5&lt;=$F124,EQ$5+GanttPeriod-1&gt;=$E124),"━","")))</f>
        <v/>
      </c>
      <c r="ER124" s="69" t="str">
        <f aca="false">IF($E124="","",IF($M124,IF(AND($G124&gt;=ER$5,$G124&lt;ER$5+GanttPeriod),"◆",IF(AND($E124&gt;=ER$5,$E124&lt;ER$5+GanttPeriod),"◇","")),IF(AND(ER$5&lt;=$F124,ER$5+GanttPeriod-1&gt;=$E124),"━","")))</f>
        <v/>
      </c>
      <c r="ES124" s="69" t="str">
        <f aca="false">IF($E124="","",IF($M124,IF(AND($G124&gt;=ES$5,$G124&lt;ES$5+GanttPeriod),"◆",IF(AND($E124&gt;=ES$5,$E124&lt;ES$5+GanttPeriod),"◇","")),IF(AND(ES$5&lt;=$F124,ES$5+GanttPeriod-1&gt;=$E124),"━","")))</f>
        <v/>
      </c>
      <c r="ET124" s="69" t="str">
        <f aca="false">IF($E124="","",IF($M124,IF(AND($G124&gt;=ET$5,$G124&lt;ET$5+GanttPeriod),"◆",IF(AND($E124&gt;=ET$5,$E124&lt;ET$5+GanttPeriod),"◇","")),IF(AND(ET$5&lt;=$F124,ET$5+GanttPeriod-1&gt;=$E124),"━","")))</f>
        <v/>
      </c>
      <c r="EU124" s="69" t="str">
        <f aca="false">IF($E124="","",IF($M124,IF(AND($G124&gt;=EU$5,$G124&lt;EU$5+GanttPeriod),"◆",IF(AND($E124&gt;=EU$5,$E124&lt;EU$5+GanttPeriod),"◇","")),IF(AND(EU$5&lt;=$F124,EU$5+GanttPeriod-1&gt;=$E124),"━","")))</f>
        <v/>
      </c>
      <c r="EV124" s="69" t="str">
        <f aca="false">IF($E124="","",IF($M124,IF(AND($G124&gt;=EV$5,$G124&lt;EV$5+GanttPeriod),"◆",IF(AND($E124&gt;=EV$5,$E124&lt;EV$5+GanttPeriod),"◇","")),IF(AND(EV$5&lt;=$F124,EV$5+GanttPeriod-1&gt;=$E124),"━","")))</f>
        <v/>
      </c>
      <c r="EW124" s="69" t="str">
        <f aca="false">IF($E124="","",IF($M124,IF(AND($G124&gt;=EW$5,$G124&lt;EW$5+GanttPeriod),"◆",IF(AND($E124&gt;=EW$5,$E124&lt;EW$5+GanttPeriod),"◇","")),IF(AND(EW$5&lt;=$F124,EW$5+GanttPeriod-1&gt;=$E124),"━","")))</f>
        <v/>
      </c>
      <c r="EX124" s="69" t="str">
        <f aca="false">IF($E124="","",IF($M124,IF(AND($G124&gt;=EX$5,$G124&lt;EX$5+GanttPeriod),"◆",IF(AND($E124&gt;=EX$5,$E124&lt;EX$5+GanttPeriod),"◇","")),IF(AND(EX$5&lt;=$F124,EX$5+GanttPeriod-1&gt;=$E124),"━","")))</f>
        <v/>
      </c>
      <c r="EY124" s="69" t="str">
        <f aca="false">IF($E124="","",IF($M124,IF(AND($G124&gt;=EY$5,$G124&lt;EY$5+GanttPeriod),"◆",IF(AND($E124&gt;=EY$5,$E124&lt;EY$5+GanttPeriod),"◇","")),IF(AND(EY$5&lt;=$F124,EY$5+GanttPeriod-1&gt;=$E124),"━","")))</f>
        <v/>
      </c>
      <c r="EZ124" s="69" t="str">
        <f aca="false">IF($E124="","",IF($M124,IF(AND($G124&gt;=EZ$5,$G124&lt;EZ$5+GanttPeriod),"◆",IF(AND($E124&gt;=EZ$5,$E124&lt;EZ$5+GanttPeriod),"◇","")),IF(AND(EZ$5&lt;=$F124,EZ$5+GanttPeriod-1&gt;=$E124),"━","")))</f>
        <v/>
      </c>
      <c r="FA124" s="69" t="str">
        <f aca="false">IF($E124="","",IF($M124,IF(AND($G124&gt;=FA$5,$G124&lt;FA$5+GanttPeriod),"◆",IF(AND($E124&gt;=FA$5,$E124&lt;FA$5+GanttPeriod),"◇","")),IF(AND(FA$5&lt;=$F124,FA$5+GanttPeriod-1&gt;=$E124),"━","")))</f>
        <v/>
      </c>
      <c r="FB124" s="69" t="str">
        <f aca="false">IF($E124="","",IF($M124,IF(AND($G124&gt;=FB$5,$G124&lt;FB$5+GanttPeriod),"◆",IF(AND($E124&gt;=FB$5,$E124&lt;FB$5+GanttPeriod),"◇","")),IF(AND(FB$5&lt;=$F124,FB$5+GanttPeriod-1&gt;=$E124),"━","")))</f>
        <v/>
      </c>
      <c r="FC124" s="69" t="str">
        <f aca="false">IF($E124="","",IF($M124,IF(AND($G124&gt;=FC$5,$G124&lt;FC$5+GanttPeriod),"◆",IF(AND($E124&gt;=FC$5,$E124&lt;FC$5+GanttPeriod),"◇","")),IF(AND(FC$5&lt;=$F124,FC$5+GanttPeriod-1&gt;=$E124),"━","")))</f>
        <v/>
      </c>
      <c r="FD124" s="69" t="str">
        <f aca="false">IF($E124="","",IF($M124,IF(AND($G124&gt;=FD$5,$G124&lt;FD$5+GanttPeriod),"◆",IF(AND($E124&gt;=FD$5,$E124&lt;FD$5+GanttPeriod),"◇","")),IF(AND(FD$5&lt;=$F124,FD$5+GanttPeriod-1&gt;=$E124),"━","")))</f>
        <v/>
      </c>
      <c r="FE124" s="69" t="str">
        <f aca="false">IF($E124="","",IF($M124,IF(AND($G124&gt;=FE$5,$G124&lt;FE$5+GanttPeriod),"◆",IF(AND($E124&gt;=FE$5,$E124&lt;FE$5+GanttPeriod),"◇","")),IF(AND(FE$5&lt;=$F124,FE$5+GanttPeriod-1&gt;=$E124),"━","")))</f>
        <v/>
      </c>
      <c r="FF124" s="69" t="str">
        <f aca="false">IF($E124="","",IF($M124,IF(AND($G124&gt;=FF$5,$G124&lt;FF$5+GanttPeriod),"◆",IF(AND($E124&gt;=FF$5,$E124&lt;FF$5+GanttPeriod),"◇","")),IF(AND(FF$5&lt;=$F124,FF$5+GanttPeriod-1&gt;=$E124),"━","")))</f>
        <v/>
      </c>
      <c r="FG124" s="69" t="str">
        <f aca="false">IF($E124="","",IF($M124,IF(AND($G124&gt;=FG$5,$G124&lt;FG$5+GanttPeriod),"◆",IF(AND($E124&gt;=FG$5,$E124&lt;FG$5+GanttPeriod),"◇","")),IF(AND(FG$5&lt;=$F124,FG$5+GanttPeriod-1&gt;=$E124),"━","")))</f>
        <v/>
      </c>
      <c r="FH124" s="69" t="str">
        <f aca="false">IF($E124="","",IF($M124,IF(AND($G124&gt;=FH$5,$G124&lt;FH$5+GanttPeriod),"◆",IF(AND($E124&gt;=FH$5,$E124&lt;FH$5+GanttPeriod),"◇","")),IF(AND(FH$5&lt;=$F124,FH$5+GanttPeriod-1&gt;=$E124),"━","")))</f>
        <v/>
      </c>
      <c r="FI124" s="69" t="str">
        <f aca="false">IF($E124="","",IF($M124,IF(AND($G124&gt;=FI$5,$G124&lt;FI$5+GanttPeriod),"◆",IF(AND($E124&gt;=FI$5,$E124&lt;FI$5+GanttPeriod),"◇","")),IF(AND(FI$5&lt;=$F124,FI$5+GanttPeriod-1&gt;=$E124),"━","")))</f>
        <v/>
      </c>
      <c r="FJ124" s="69" t="str">
        <f aca="false">IF($E124="","",IF($M124,IF(AND($G124&gt;=FJ$5,$G124&lt;FJ$5+GanttPeriod),"◆",IF(AND($E124&gt;=FJ$5,$E124&lt;FJ$5+GanttPeriod),"◇","")),IF(AND(FJ$5&lt;=$F124,FJ$5+GanttPeriod-1&gt;=$E124),"━","")))</f>
        <v/>
      </c>
      <c r="FK124" s="69" t="str">
        <f aca="false">IF($E124="","",IF($M124,IF(AND($G124&gt;=FK$5,$G124&lt;FK$5+GanttPeriod),"◆",IF(AND($E124&gt;=FK$5,$E124&lt;FK$5+GanttPeriod),"◇","")),IF(AND(FK$5&lt;=$F124,FK$5+GanttPeriod-1&gt;=$E124),"━","")))</f>
        <v/>
      </c>
      <c r="FL124" s="69" t="str">
        <f aca="false">IF($E124="","",IF($M124,IF(AND($G124&gt;=FL$5,$G124&lt;FL$5+GanttPeriod),"◆",IF(AND($E124&gt;=FL$5,$E124&lt;FL$5+GanttPeriod),"◇","")),IF(AND(FL$5&lt;=$F124,FL$5+GanttPeriod-1&gt;=$E124),"━","")))</f>
        <v/>
      </c>
      <c r="FM124" s="69" t="str">
        <f aca="false">IF($E124="","",IF($M124,IF(AND($G124&gt;=FM$5,$G124&lt;FM$5+GanttPeriod),"◆",IF(AND($E124&gt;=FM$5,$E124&lt;FM$5+GanttPeriod),"◇","")),IF(AND(FM$5&lt;=$F124,FM$5+GanttPeriod-1&gt;=$E124),"━","")))</f>
        <v/>
      </c>
    </row>
    <row r="125" customFormat="false" ht="15" hidden="false" customHeight="false" outlineLevel="0" collapsed="false">
      <c r="A125" s="62" t="str">
        <f aca="false">IF(Tasks!$D125="","",Tasks!$A125)</f>
        <v/>
      </c>
      <c r="B125" s="62" t="str">
        <f aca="false">IF(Tasks!$D125="","",Tasks!$B125)</f>
        <v/>
      </c>
      <c r="C125" s="63" t="str">
        <f aca="false">IF(Tasks!$D125="","",REPT("    ",Tasks!$AE125-1)&amp;Tasks!$D125)</f>
        <v/>
      </c>
      <c r="D125" s="62" t="str">
        <f aca="false">IF(Tasks!$D125="","",IF(Tasks!$AI125,NETWORKDAYS.INTL(Tasks!$R125,Tasks!$S125,WorkWeek,Holidays),N(Tasks!$F125)))</f>
        <v/>
      </c>
      <c r="E125" s="64" t="str">
        <f aca="false">IF(Tasks!$D125="","",Tasks!$N125)</f>
        <v/>
      </c>
      <c r="F125" s="64" t="str">
        <f aca="false">IF(Tasks!$D125="","",Tasks!$O125)</f>
        <v/>
      </c>
      <c r="G125" s="64" t="str">
        <f aca="false">IF(Tasks!$D125="","",Tasks!$R125)</f>
        <v/>
      </c>
      <c r="H125" s="64" t="str">
        <f aca="false">IF(Tasks!$D125="","",Tasks!$S125)</f>
        <v/>
      </c>
      <c r="I125" s="65" t="str">
        <f aca="false">IF(Tasks!$D125="","",Tasks!$V125)</f>
        <v/>
      </c>
      <c r="J125" s="63" t="str">
        <f aca="false">IF(Tasks!$D125="","",Tasks!$X125&amp;"")</f>
        <v/>
      </c>
      <c r="K125" s="66" t="str">
        <f aca="false">IF(Tasks!$D125="","",Tasks!$W125)</f>
        <v/>
      </c>
      <c r="L125" s="67" t="b">
        <f aca="false">IF(Tasks!$D125="",FALSE(),Tasks!$AI125)</f>
        <v>0</v>
      </c>
      <c r="M125" s="67" t="b">
        <f aca="false">AND(Tasks!$AJ125=1,N(Tasks!$F125)=0)</f>
        <v>0</v>
      </c>
      <c r="N125" s="68" t="n">
        <f aca="false">IF(AND(Tasks!$AJ125=1,NOT($M125),N($I125)&gt;0),$G125,0)</f>
        <v>0</v>
      </c>
      <c r="O125" s="68" t="n">
        <f aca="false">IF($N125=0,0,IF($I125&gt;=1,$H125,MAX($N125,$G125+ROUND(($H125-$G125+1)*$I125,0)-1)))</f>
        <v>0</v>
      </c>
      <c r="P125" s="68" t="n">
        <f aca="false">IF(OR(Tasks!$AJ125&lt;&gt;1,$M125,N($I125)&gt;=1),0,IF($O125&gt;0,$O125+1,$G125))</f>
        <v>0</v>
      </c>
      <c r="Q125" s="68" t="n">
        <f aca="false">IF($P125=0,0,$H125)</f>
        <v>0</v>
      </c>
      <c r="R125" s="67" t="b">
        <f aca="false">AND(Tasks!$D125&lt;&gt;"",N(Tasks!$T125)&gt;0)</f>
        <v>0</v>
      </c>
      <c r="T125" s="69" t="str">
        <f aca="false">IF($E125="","",IF($M125,IF(AND($G125&gt;=T$5,$G125&lt;T$5+GanttPeriod),"◆",IF(AND($E125&gt;=T$5,$E125&lt;T$5+GanttPeriod),"◇","")),IF(AND(T$5&lt;=$F125,T$5+GanttPeriod-1&gt;=$E125),"━","")))</f>
        <v/>
      </c>
      <c r="U125" s="69" t="str">
        <f aca="false">IF($E125="","",IF($M125,IF(AND($G125&gt;=U$5,$G125&lt;U$5+GanttPeriod),"◆",IF(AND($E125&gt;=U$5,$E125&lt;U$5+GanttPeriod),"◇","")),IF(AND(U$5&lt;=$F125,U$5+GanttPeriod-1&gt;=$E125),"━","")))</f>
        <v/>
      </c>
      <c r="V125" s="69" t="str">
        <f aca="false">IF($E125="","",IF($M125,IF(AND($G125&gt;=V$5,$G125&lt;V$5+GanttPeriod),"◆",IF(AND($E125&gt;=V$5,$E125&lt;V$5+GanttPeriod),"◇","")),IF(AND(V$5&lt;=$F125,V$5+GanttPeriod-1&gt;=$E125),"━","")))</f>
        <v/>
      </c>
      <c r="W125" s="69" t="str">
        <f aca="false">IF($E125="","",IF($M125,IF(AND($G125&gt;=W$5,$G125&lt;W$5+GanttPeriod),"◆",IF(AND($E125&gt;=W$5,$E125&lt;W$5+GanttPeriod),"◇","")),IF(AND(W$5&lt;=$F125,W$5+GanttPeriod-1&gt;=$E125),"━","")))</f>
        <v/>
      </c>
      <c r="X125" s="69" t="str">
        <f aca="false">IF($E125="","",IF($M125,IF(AND($G125&gt;=X$5,$G125&lt;X$5+GanttPeriod),"◆",IF(AND($E125&gt;=X$5,$E125&lt;X$5+GanttPeriod),"◇","")),IF(AND(X$5&lt;=$F125,X$5+GanttPeriod-1&gt;=$E125),"━","")))</f>
        <v/>
      </c>
      <c r="Y125" s="69" t="str">
        <f aca="false">IF($E125="","",IF($M125,IF(AND($G125&gt;=Y$5,$G125&lt;Y$5+GanttPeriod),"◆",IF(AND($E125&gt;=Y$5,$E125&lt;Y$5+GanttPeriod),"◇","")),IF(AND(Y$5&lt;=$F125,Y$5+GanttPeriod-1&gt;=$E125),"━","")))</f>
        <v/>
      </c>
      <c r="Z125" s="69" t="str">
        <f aca="false">IF($E125="","",IF($M125,IF(AND($G125&gt;=Z$5,$G125&lt;Z$5+GanttPeriod),"◆",IF(AND($E125&gt;=Z$5,$E125&lt;Z$5+GanttPeriod),"◇","")),IF(AND(Z$5&lt;=$F125,Z$5+GanttPeriod-1&gt;=$E125),"━","")))</f>
        <v/>
      </c>
      <c r="AA125" s="69" t="str">
        <f aca="false">IF($E125="","",IF($M125,IF(AND($G125&gt;=AA$5,$G125&lt;AA$5+GanttPeriod),"◆",IF(AND($E125&gt;=AA$5,$E125&lt;AA$5+GanttPeriod),"◇","")),IF(AND(AA$5&lt;=$F125,AA$5+GanttPeriod-1&gt;=$E125),"━","")))</f>
        <v/>
      </c>
      <c r="AB125" s="69" t="str">
        <f aca="false">IF($E125="","",IF($M125,IF(AND($G125&gt;=AB$5,$G125&lt;AB$5+GanttPeriod),"◆",IF(AND($E125&gt;=AB$5,$E125&lt;AB$5+GanttPeriod),"◇","")),IF(AND(AB$5&lt;=$F125,AB$5+GanttPeriod-1&gt;=$E125),"━","")))</f>
        <v/>
      </c>
      <c r="AC125" s="69" t="str">
        <f aca="false">IF($E125="","",IF($M125,IF(AND($G125&gt;=AC$5,$G125&lt;AC$5+GanttPeriod),"◆",IF(AND($E125&gt;=AC$5,$E125&lt;AC$5+GanttPeriod),"◇","")),IF(AND(AC$5&lt;=$F125,AC$5+GanttPeriod-1&gt;=$E125),"━","")))</f>
        <v/>
      </c>
      <c r="AD125" s="69" t="str">
        <f aca="false">IF($E125="","",IF($M125,IF(AND($G125&gt;=AD$5,$G125&lt;AD$5+GanttPeriod),"◆",IF(AND($E125&gt;=AD$5,$E125&lt;AD$5+GanttPeriod),"◇","")),IF(AND(AD$5&lt;=$F125,AD$5+GanttPeriod-1&gt;=$E125),"━","")))</f>
        <v/>
      </c>
      <c r="AE125" s="69" t="str">
        <f aca="false">IF($E125="","",IF($M125,IF(AND($G125&gt;=AE$5,$G125&lt;AE$5+GanttPeriod),"◆",IF(AND($E125&gt;=AE$5,$E125&lt;AE$5+GanttPeriod),"◇","")),IF(AND(AE$5&lt;=$F125,AE$5+GanttPeriod-1&gt;=$E125),"━","")))</f>
        <v/>
      </c>
      <c r="AF125" s="69" t="str">
        <f aca="false">IF($E125="","",IF($M125,IF(AND($G125&gt;=AF$5,$G125&lt;AF$5+GanttPeriod),"◆",IF(AND($E125&gt;=AF$5,$E125&lt;AF$5+GanttPeriod),"◇","")),IF(AND(AF$5&lt;=$F125,AF$5+GanttPeriod-1&gt;=$E125),"━","")))</f>
        <v/>
      </c>
      <c r="AG125" s="69" t="str">
        <f aca="false">IF($E125="","",IF($M125,IF(AND($G125&gt;=AG$5,$G125&lt;AG$5+GanttPeriod),"◆",IF(AND($E125&gt;=AG$5,$E125&lt;AG$5+GanttPeriod),"◇","")),IF(AND(AG$5&lt;=$F125,AG$5+GanttPeriod-1&gt;=$E125),"━","")))</f>
        <v/>
      </c>
      <c r="AH125" s="69" t="str">
        <f aca="false">IF($E125="","",IF($M125,IF(AND($G125&gt;=AH$5,$G125&lt;AH$5+GanttPeriod),"◆",IF(AND($E125&gt;=AH$5,$E125&lt;AH$5+GanttPeriod),"◇","")),IF(AND(AH$5&lt;=$F125,AH$5+GanttPeriod-1&gt;=$E125),"━","")))</f>
        <v/>
      </c>
      <c r="AI125" s="69" t="str">
        <f aca="false">IF($E125="","",IF($M125,IF(AND($G125&gt;=AI$5,$G125&lt;AI$5+GanttPeriod),"◆",IF(AND($E125&gt;=AI$5,$E125&lt;AI$5+GanttPeriod),"◇","")),IF(AND(AI$5&lt;=$F125,AI$5+GanttPeriod-1&gt;=$E125),"━","")))</f>
        <v/>
      </c>
      <c r="AJ125" s="69" t="str">
        <f aca="false">IF($E125="","",IF($M125,IF(AND($G125&gt;=AJ$5,$G125&lt;AJ$5+GanttPeriod),"◆",IF(AND($E125&gt;=AJ$5,$E125&lt;AJ$5+GanttPeriod),"◇","")),IF(AND(AJ$5&lt;=$F125,AJ$5+GanttPeriod-1&gt;=$E125),"━","")))</f>
        <v/>
      </c>
      <c r="AK125" s="69" t="str">
        <f aca="false">IF($E125="","",IF($M125,IF(AND($G125&gt;=AK$5,$G125&lt;AK$5+GanttPeriod),"◆",IF(AND($E125&gt;=AK$5,$E125&lt;AK$5+GanttPeriod),"◇","")),IF(AND(AK$5&lt;=$F125,AK$5+GanttPeriod-1&gt;=$E125),"━","")))</f>
        <v/>
      </c>
      <c r="AL125" s="69" t="str">
        <f aca="false">IF($E125="","",IF($M125,IF(AND($G125&gt;=AL$5,$G125&lt;AL$5+GanttPeriod),"◆",IF(AND($E125&gt;=AL$5,$E125&lt;AL$5+GanttPeriod),"◇","")),IF(AND(AL$5&lt;=$F125,AL$5+GanttPeriod-1&gt;=$E125),"━","")))</f>
        <v/>
      </c>
      <c r="AM125" s="69" t="str">
        <f aca="false">IF($E125="","",IF($M125,IF(AND($G125&gt;=AM$5,$G125&lt;AM$5+GanttPeriod),"◆",IF(AND($E125&gt;=AM$5,$E125&lt;AM$5+GanttPeriod),"◇","")),IF(AND(AM$5&lt;=$F125,AM$5+GanttPeriod-1&gt;=$E125),"━","")))</f>
        <v/>
      </c>
      <c r="AN125" s="69" t="str">
        <f aca="false">IF($E125="","",IF($M125,IF(AND($G125&gt;=AN$5,$G125&lt;AN$5+GanttPeriod),"◆",IF(AND($E125&gt;=AN$5,$E125&lt;AN$5+GanttPeriod),"◇","")),IF(AND(AN$5&lt;=$F125,AN$5+GanttPeriod-1&gt;=$E125),"━","")))</f>
        <v/>
      </c>
      <c r="AO125" s="69" t="str">
        <f aca="false">IF($E125="","",IF($M125,IF(AND($G125&gt;=AO$5,$G125&lt;AO$5+GanttPeriod),"◆",IF(AND($E125&gt;=AO$5,$E125&lt;AO$5+GanttPeriod),"◇","")),IF(AND(AO$5&lt;=$F125,AO$5+GanttPeriod-1&gt;=$E125),"━","")))</f>
        <v/>
      </c>
      <c r="AP125" s="69" t="str">
        <f aca="false">IF($E125="","",IF($M125,IF(AND($G125&gt;=AP$5,$G125&lt;AP$5+GanttPeriod),"◆",IF(AND($E125&gt;=AP$5,$E125&lt;AP$5+GanttPeriod),"◇","")),IF(AND(AP$5&lt;=$F125,AP$5+GanttPeriod-1&gt;=$E125),"━","")))</f>
        <v/>
      </c>
      <c r="AQ125" s="69" t="str">
        <f aca="false">IF($E125="","",IF($M125,IF(AND($G125&gt;=AQ$5,$G125&lt;AQ$5+GanttPeriod),"◆",IF(AND($E125&gt;=AQ$5,$E125&lt;AQ$5+GanttPeriod),"◇","")),IF(AND(AQ$5&lt;=$F125,AQ$5+GanttPeriod-1&gt;=$E125),"━","")))</f>
        <v/>
      </c>
      <c r="AR125" s="69" t="str">
        <f aca="false">IF($E125="","",IF($M125,IF(AND($G125&gt;=AR$5,$G125&lt;AR$5+GanttPeriod),"◆",IF(AND($E125&gt;=AR$5,$E125&lt;AR$5+GanttPeriod),"◇","")),IF(AND(AR$5&lt;=$F125,AR$5+GanttPeriod-1&gt;=$E125),"━","")))</f>
        <v/>
      </c>
      <c r="AS125" s="69" t="str">
        <f aca="false">IF($E125="","",IF($M125,IF(AND($G125&gt;=AS$5,$G125&lt;AS$5+GanttPeriod),"◆",IF(AND($E125&gt;=AS$5,$E125&lt;AS$5+GanttPeriod),"◇","")),IF(AND(AS$5&lt;=$F125,AS$5+GanttPeriod-1&gt;=$E125),"━","")))</f>
        <v/>
      </c>
      <c r="AT125" s="69" t="str">
        <f aca="false">IF($E125="","",IF($M125,IF(AND($G125&gt;=AT$5,$G125&lt;AT$5+GanttPeriod),"◆",IF(AND($E125&gt;=AT$5,$E125&lt;AT$5+GanttPeriod),"◇","")),IF(AND(AT$5&lt;=$F125,AT$5+GanttPeriod-1&gt;=$E125),"━","")))</f>
        <v/>
      </c>
      <c r="AU125" s="69" t="str">
        <f aca="false">IF($E125="","",IF($M125,IF(AND($G125&gt;=AU$5,$G125&lt;AU$5+GanttPeriod),"◆",IF(AND($E125&gt;=AU$5,$E125&lt;AU$5+GanttPeriod),"◇","")),IF(AND(AU$5&lt;=$F125,AU$5+GanttPeriod-1&gt;=$E125),"━","")))</f>
        <v/>
      </c>
      <c r="AV125" s="69" t="str">
        <f aca="false">IF($E125="","",IF($M125,IF(AND($G125&gt;=AV$5,$G125&lt;AV$5+GanttPeriod),"◆",IF(AND($E125&gt;=AV$5,$E125&lt;AV$5+GanttPeriod),"◇","")),IF(AND(AV$5&lt;=$F125,AV$5+GanttPeriod-1&gt;=$E125),"━","")))</f>
        <v/>
      </c>
      <c r="AW125" s="69" t="str">
        <f aca="false">IF($E125="","",IF($M125,IF(AND($G125&gt;=AW$5,$G125&lt;AW$5+GanttPeriod),"◆",IF(AND($E125&gt;=AW$5,$E125&lt;AW$5+GanttPeriod),"◇","")),IF(AND(AW$5&lt;=$F125,AW$5+GanttPeriod-1&gt;=$E125),"━","")))</f>
        <v/>
      </c>
      <c r="AX125" s="69" t="str">
        <f aca="false">IF($E125="","",IF($M125,IF(AND($G125&gt;=AX$5,$G125&lt;AX$5+GanttPeriod),"◆",IF(AND($E125&gt;=AX$5,$E125&lt;AX$5+GanttPeriod),"◇","")),IF(AND(AX$5&lt;=$F125,AX$5+GanttPeriod-1&gt;=$E125),"━","")))</f>
        <v/>
      </c>
      <c r="AY125" s="69" t="str">
        <f aca="false">IF($E125="","",IF($M125,IF(AND($G125&gt;=AY$5,$G125&lt;AY$5+GanttPeriod),"◆",IF(AND($E125&gt;=AY$5,$E125&lt;AY$5+GanttPeriod),"◇","")),IF(AND(AY$5&lt;=$F125,AY$5+GanttPeriod-1&gt;=$E125),"━","")))</f>
        <v/>
      </c>
      <c r="AZ125" s="69" t="str">
        <f aca="false">IF($E125="","",IF($M125,IF(AND($G125&gt;=AZ$5,$G125&lt;AZ$5+GanttPeriod),"◆",IF(AND($E125&gt;=AZ$5,$E125&lt;AZ$5+GanttPeriod),"◇","")),IF(AND(AZ$5&lt;=$F125,AZ$5+GanttPeriod-1&gt;=$E125),"━","")))</f>
        <v/>
      </c>
      <c r="BA125" s="69" t="str">
        <f aca="false">IF($E125="","",IF($M125,IF(AND($G125&gt;=BA$5,$G125&lt;BA$5+GanttPeriod),"◆",IF(AND($E125&gt;=BA$5,$E125&lt;BA$5+GanttPeriod),"◇","")),IF(AND(BA$5&lt;=$F125,BA$5+GanttPeriod-1&gt;=$E125),"━","")))</f>
        <v/>
      </c>
      <c r="BB125" s="69" t="str">
        <f aca="false">IF($E125="","",IF($M125,IF(AND($G125&gt;=BB$5,$G125&lt;BB$5+GanttPeriod),"◆",IF(AND($E125&gt;=BB$5,$E125&lt;BB$5+GanttPeriod),"◇","")),IF(AND(BB$5&lt;=$F125,BB$5+GanttPeriod-1&gt;=$E125),"━","")))</f>
        <v/>
      </c>
      <c r="BC125" s="69" t="str">
        <f aca="false">IF($E125="","",IF($M125,IF(AND($G125&gt;=BC$5,$G125&lt;BC$5+GanttPeriod),"◆",IF(AND($E125&gt;=BC$5,$E125&lt;BC$5+GanttPeriod),"◇","")),IF(AND(BC$5&lt;=$F125,BC$5+GanttPeriod-1&gt;=$E125),"━","")))</f>
        <v/>
      </c>
      <c r="BD125" s="69" t="str">
        <f aca="false">IF($E125="","",IF($M125,IF(AND($G125&gt;=BD$5,$G125&lt;BD$5+GanttPeriod),"◆",IF(AND($E125&gt;=BD$5,$E125&lt;BD$5+GanttPeriod),"◇","")),IF(AND(BD$5&lt;=$F125,BD$5+GanttPeriod-1&gt;=$E125),"━","")))</f>
        <v/>
      </c>
      <c r="BE125" s="69" t="str">
        <f aca="false">IF($E125="","",IF($M125,IF(AND($G125&gt;=BE$5,$G125&lt;BE$5+GanttPeriod),"◆",IF(AND($E125&gt;=BE$5,$E125&lt;BE$5+GanttPeriod),"◇","")),IF(AND(BE$5&lt;=$F125,BE$5+GanttPeriod-1&gt;=$E125),"━","")))</f>
        <v/>
      </c>
      <c r="BF125" s="69" t="str">
        <f aca="false">IF($E125="","",IF($M125,IF(AND($G125&gt;=BF$5,$G125&lt;BF$5+GanttPeriod),"◆",IF(AND($E125&gt;=BF$5,$E125&lt;BF$5+GanttPeriod),"◇","")),IF(AND(BF$5&lt;=$F125,BF$5+GanttPeriod-1&gt;=$E125),"━","")))</f>
        <v/>
      </c>
      <c r="BG125" s="69" t="str">
        <f aca="false">IF($E125="","",IF($M125,IF(AND($G125&gt;=BG$5,$G125&lt;BG$5+GanttPeriod),"◆",IF(AND($E125&gt;=BG$5,$E125&lt;BG$5+GanttPeriod),"◇","")),IF(AND(BG$5&lt;=$F125,BG$5+GanttPeriod-1&gt;=$E125),"━","")))</f>
        <v/>
      </c>
      <c r="BH125" s="69" t="str">
        <f aca="false">IF($E125="","",IF($M125,IF(AND($G125&gt;=BH$5,$G125&lt;BH$5+GanttPeriod),"◆",IF(AND($E125&gt;=BH$5,$E125&lt;BH$5+GanttPeriod),"◇","")),IF(AND(BH$5&lt;=$F125,BH$5+GanttPeriod-1&gt;=$E125),"━","")))</f>
        <v/>
      </c>
      <c r="BI125" s="69" t="str">
        <f aca="false">IF($E125="","",IF($M125,IF(AND($G125&gt;=BI$5,$G125&lt;BI$5+GanttPeriod),"◆",IF(AND($E125&gt;=BI$5,$E125&lt;BI$5+GanttPeriod),"◇","")),IF(AND(BI$5&lt;=$F125,BI$5+GanttPeriod-1&gt;=$E125),"━","")))</f>
        <v/>
      </c>
      <c r="BJ125" s="69" t="str">
        <f aca="false">IF($E125="","",IF($M125,IF(AND($G125&gt;=BJ$5,$G125&lt;BJ$5+GanttPeriod),"◆",IF(AND($E125&gt;=BJ$5,$E125&lt;BJ$5+GanttPeriod),"◇","")),IF(AND(BJ$5&lt;=$F125,BJ$5+GanttPeriod-1&gt;=$E125),"━","")))</f>
        <v/>
      </c>
      <c r="BK125" s="69" t="str">
        <f aca="false">IF($E125="","",IF($M125,IF(AND($G125&gt;=BK$5,$G125&lt;BK$5+GanttPeriod),"◆",IF(AND($E125&gt;=BK$5,$E125&lt;BK$5+GanttPeriod),"◇","")),IF(AND(BK$5&lt;=$F125,BK$5+GanttPeriod-1&gt;=$E125),"━","")))</f>
        <v/>
      </c>
      <c r="BL125" s="69" t="str">
        <f aca="false">IF($E125="","",IF($M125,IF(AND($G125&gt;=BL$5,$G125&lt;BL$5+GanttPeriod),"◆",IF(AND($E125&gt;=BL$5,$E125&lt;BL$5+GanttPeriod),"◇","")),IF(AND(BL$5&lt;=$F125,BL$5+GanttPeriod-1&gt;=$E125),"━","")))</f>
        <v/>
      </c>
      <c r="BM125" s="69" t="str">
        <f aca="false">IF($E125="","",IF($M125,IF(AND($G125&gt;=BM$5,$G125&lt;BM$5+GanttPeriod),"◆",IF(AND($E125&gt;=BM$5,$E125&lt;BM$5+GanttPeriod),"◇","")),IF(AND(BM$5&lt;=$F125,BM$5+GanttPeriod-1&gt;=$E125),"━","")))</f>
        <v/>
      </c>
      <c r="BN125" s="69" t="str">
        <f aca="false">IF($E125="","",IF($M125,IF(AND($G125&gt;=BN$5,$G125&lt;BN$5+GanttPeriod),"◆",IF(AND($E125&gt;=BN$5,$E125&lt;BN$5+GanttPeriod),"◇","")),IF(AND(BN$5&lt;=$F125,BN$5+GanttPeriod-1&gt;=$E125),"━","")))</f>
        <v/>
      </c>
      <c r="BO125" s="69" t="str">
        <f aca="false">IF($E125="","",IF($M125,IF(AND($G125&gt;=BO$5,$G125&lt;BO$5+GanttPeriod),"◆",IF(AND($E125&gt;=BO$5,$E125&lt;BO$5+GanttPeriod),"◇","")),IF(AND(BO$5&lt;=$F125,BO$5+GanttPeriod-1&gt;=$E125),"━","")))</f>
        <v/>
      </c>
      <c r="BP125" s="69" t="str">
        <f aca="false">IF($E125="","",IF($M125,IF(AND($G125&gt;=BP$5,$G125&lt;BP$5+GanttPeriod),"◆",IF(AND($E125&gt;=BP$5,$E125&lt;BP$5+GanttPeriod),"◇","")),IF(AND(BP$5&lt;=$F125,BP$5+GanttPeriod-1&gt;=$E125),"━","")))</f>
        <v/>
      </c>
      <c r="BQ125" s="69" t="str">
        <f aca="false">IF($E125="","",IF($M125,IF(AND($G125&gt;=BQ$5,$G125&lt;BQ$5+GanttPeriod),"◆",IF(AND($E125&gt;=BQ$5,$E125&lt;BQ$5+GanttPeriod),"◇","")),IF(AND(BQ$5&lt;=$F125,BQ$5+GanttPeriod-1&gt;=$E125),"━","")))</f>
        <v/>
      </c>
      <c r="BR125" s="69" t="str">
        <f aca="false">IF($E125="","",IF($M125,IF(AND($G125&gt;=BR$5,$G125&lt;BR$5+GanttPeriod),"◆",IF(AND($E125&gt;=BR$5,$E125&lt;BR$5+GanttPeriod),"◇","")),IF(AND(BR$5&lt;=$F125,BR$5+GanttPeriod-1&gt;=$E125),"━","")))</f>
        <v/>
      </c>
      <c r="BS125" s="69" t="str">
        <f aca="false">IF($E125="","",IF($M125,IF(AND($G125&gt;=BS$5,$G125&lt;BS$5+GanttPeriod),"◆",IF(AND($E125&gt;=BS$5,$E125&lt;BS$5+GanttPeriod),"◇","")),IF(AND(BS$5&lt;=$F125,BS$5+GanttPeriod-1&gt;=$E125),"━","")))</f>
        <v/>
      </c>
      <c r="BT125" s="69" t="str">
        <f aca="false">IF($E125="","",IF($M125,IF(AND($G125&gt;=BT$5,$G125&lt;BT$5+GanttPeriod),"◆",IF(AND($E125&gt;=BT$5,$E125&lt;BT$5+GanttPeriod),"◇","")),IF(AND(BT$5&lt;=$F125,BT$5+GanttPeriod-1&gt;=$E125),"━","")))</f>
        <v/>
      </c>
      <c r="BU125" s="69" t="str">
        <f aca="false">IF($E125="","",IF($M125,IF(AND($G125&gt;=BU$5,$G125&lt;BU$5+GanttPeriod),"◆",IF(AND($E125&gt;=BU$5,$E125&lt;BU$5+GanttPeriod),"◇","")),IF(AND(BU$5&lt;=$F125,BU$5+GanttPeriod-1&gt;=$E125),"━","")))</f>
        <v/>
      </c>
      <c r="BV125" s="69" t="str">
        <f aca="false">IF($E125="","",IF($M125,IF(AND($G125&gt;=BV$5,$G125&lt;BV$5+GanttPeriod),"◆",IF(AND($E125&gt;=BV$5,$E125&lt;BV$5+GanttPeriod),"◇","")),IF(AND(BV$5&lt;=$F125,BV$5+GanttPeriod-1&gt;=$E125),"━","")))</f>
        <v/>
      </c>
      <c r="BW125" s="69" t="str">
        <f aca="false">IF($E125="","",IF($M125,IF(AND($G125&gt;=BW$5,$G125&lt;BW$5+GanttPeriod),"◆",IF(AND($E125&gt;=BW$5,$E125&lt;BW$5+GanttPeriod),"◇","")),IF(AND(BW$5&lt;=$F125,BW$5+GanttPeriod-1&gt;=$E125),"━","")))</f>
        <v/>
      </c>
      <c r="BX125" s="69" t="str">
        <f aca="false">IF($E125="","",IF($M125,IF(AND($G125&gt;=BX$5,$G125&lt;BX$5+GanttPeriod),"◆",IF(AND($E125&gt;=BX$5,$E125&lt;BX$5+GanttPeriod),"◇","")),IF(AND(BX$5&lt;=$F125,BX$5+GanttPeriod-1&gt;=$E125),"━","")))</f>
        <v/>
      </c>
      <c r="BY125" s="69" t="str">
        <f aca="false">IF($E125="","",IF($M125,IF(AND($G125&gt;=BY$5,$G125&lt;BY$5+GanttPeriod),"◆",IF(AND($E125&gt;=BY$5,$E125&lt;BY$5+GanttPeriod),"◇","")),IF(AND(BY$5&lt;=$F125,BY$5+GanttPeriod-1&gt;=$E125),"━","")))</f>
        <v/>
      </c>
      <c r="BZ125" s="69" t="str">
        <f aca="false">IF($E125="","",IF($M125,IF(AND($G125&gt;=BZ$5,$G125&lt;BZ$5+GanttPeriod),"◆",IF(AND($E125&gt;=BZ$5,$E125&lt;BZ$5+GanttPeriod),"◇","")),IF(AND(BZ$5&lt;=$F125,BZ$5+GanttPeriod-1&gt;=$E125),"━","")))</f>
        <v/>
      </c>
      <c r="CA125" s="69" t="str">
        <f aca="false">IF($E125="","",IF($M125,IF(AND($G125&gt;=CA$5,$G125&lt;CA$5+GanttPeriod),"◆",IF(AND($E125&gt;=CA$5,$E125&lt;CA$5+GanttPeriod),"◇","")),IF(AND(CA$5&lt;=$F125,CA$5+GanttPeriod-1&gt;=$E125),"━","")))</f>
        <v/>
      </c>
      <c r="CB125" s="69" t="str">
        <f aca="false">IF($E125="","",IF($M125,IF(AND($G125&gt;=CB$5,$G125&lt;CB$5+GanttPeriod),"◆",IF(AND($E125&gt;=CB$5,$E125&lt;CB$5+GanttPeriod),"◇","")),IF(AND(CB$5&lt;=$F125,CB$5+GanttPeriod-1&gt;=$E125),"━","")))</f>
        <v/>
      </c>
      <c r="CC125" s="69" t="str">
        <f aca="false">IF($E125="","",IF($M125,IF(AND($G125&gt;=CC$5,$G125&lt;CC$5+GanttPeriod),"◆",IF(AND($E125&gt;=CC$5,$E125&lt;CC$5+GanttPeriod),"◇","")),IF(AND(CC$5&lt;=$F125,CC$5+GanttPeriod-1&gt;=$E125),"━","")))</f>
        <v/>
      </c>
      <c r="CD125" s="69" t="str">
        <f aca="false">IF($E125="","",IF($M125,IF(AND($G125&gt;=CD$5,$G125&lt;CD$5+GanttPeriod),"◆",IF(AND($E125&gt;=CD$5,$E125&lt;CD$5+GanttPeriod),"◇","")),IF(AND(CD$5&lt;=$F125,CD$5+GanttPeriod-1&gt;=$E125),"━","")))</f>
        <v/>
      </c>
      <c r="CE125" s="69" t="str">
        <f aca="false">IF($E125="","",IF($M125,IF(AND($G125&gt;=CE$5,$G125&lt;CE$5+GanttPeriod),"◆",IF(AND($E125&gt;=CE$5,$E125&lt;CE$5+GanttPeriod),"◇","")),IF(AND(CE$5&lt;=$F125,CE$5+GanttPeriod-1&gt;=$E125),"━","")))</f>
        <v/>
      </c>
      <c r="CF125" s="69" t="str">
        <f aca="false">IF($E125="","",IF($M125,IF(AND($G125&gt;=CF$5,$G125&lt;CF$5+GanttPeriod),"◆",IF(AND($E125&gt;=CF$5,$E125&lt;CF$5+GanttPeriod),"◇","")),IF(AND(CF$5&lt;=$F125,CF$5+GanttPeriod-1&gt;=$E125),"━","")))</f>
        <v/>
      </c>
      <c r="CG125" s="69" t="str">
        <f aca="false">IF($E125="","",IF($M125,IF(AND($G125&gt;=CG$5,$G125&lt;CG$5+GanttPeriod),"◆",IF(AND($E125&gt;=CG$5,$E125&lt;CG$5+GanttPeriod),"◇","")),IF(AND(CG$5&lt;=$F125,CG$5+GanttPeriod-1&gt;=$E125),"━","")))</f>
        <v/>
      </c>
      <c r="CH125" s="69" t="str">
        <f aca="false">IF($E125="","",IF($M125,IF(AND($G125&gt;=CH$5,$G125&lt;CH$5+GanttPeriod),"◆",IF(AND($E125&gt;=CH$5,$E125&lt;CH$5+GanttPeriod),"◇","")),IF(AND(CH$5&lt;=$F125,CH$5+GanttPeriod-1&gt;=$E125),"━","")))</f>
        <v/>
      </c>
      <c r="CI125" s="69" t="str">
        <f aca="false">IF($E125="","",IF($M125,IF(AND($G125&gt;=CI$5,$G125&lt;CI$5+GanttPeriod),"◆",IF(AND($E125&gt;=CI$5,$E125&lt;CI$5+GanttPeriod),"◇","")),IF(AND(CI$5&lt;=$F125,CI$5+GanttPeriod-1&gt;=$E125),"━","")))</f>
        <v/>
      </c>
      <c r="CJ125" s="69" t="str">
        <f aca="false">IF($E125="","",IF($M125,IF(AND($G125&gt;=CJ$5,$G125&lt;CJ$5+GanttPeriod),"◆",IF(AND($E125&gt;=CJ$5,$E125&lt;CJ$5+GanttPeriod),"◇","")),IF(AND(CJ$5&lt;=$F125,CJ$5+GanttPeriod-1&gt;=$E125),"━","")))</f>
        <v/>
      </c>
      <c r="CK125" s="69" t="str">
        <f aca="false">IF($E125="","",IF($M125,IF(AND($G125&gt;=CK$5,$G125&lt;CK$5+GanttPeriod),"◆",IF(AND($E125&gt;=CK$5,$E125&lt;CK$5+GanttPeriod),"◇","")),IF(AND(CK$5&lt;=$F125,CK$5+GanttPeriod-1&gt;=$E125),"━","")))</f>
        <v/>
      </c>
      <c r="CL125" s="69" t="str">
        <f aca="false">IF($E125="","",IF($M125,IF(AND($G125&gt;=CL$5,$G125&lt;CL$5+GanttPeriod),"◆",IF(AND($E125&gt;=CL$5,$E125&lt;CL$5+GanttPeriod),"◇","")),IF(AND(CL$5&lt;=$F125,CL$5+GanttPeriod-1&gt;=$E125),"━","")))</f>
        <v/>
      </c>
      <c r="CM125" s="69" t="str">
        <f aca="false">IF($E125="","",IF($M125,IF(AND($G125&gt;=CM$5,$G125&lt;CM$5+GanttPeriod),"◆",IF(AND($E125&gt;=CM$5,$E125&lt;CM$5+GanttPeriod),"◇","")),IF(AND(CM$5&lt;=$F125,CM$5+GanttPeriod-1&gt;=$E125),"━","")))</f>
        <v/>
      </c>
      <c r="CN125" s="69" t="str">
        <f aca="false">IF($E125="","",IF($M125,IF(AND($G125&gt;=CN$5,$G125&lt;CN$5+GanttPeriod),"◆",IF(AND($E125&gt;=CN$5,$E125&lt;CN$5+GanttPeriod),"◇","")),IF(AND(CN$5&lt;=$F125,CN$5+GanttPeriod-1&gt;=$E125),"━","")))</f>
        <v/>
      </c>
      <c r="CO125" s="69" t="str">
        <f aca="false">IF($E125="","",IF($M125,IF(AND($G125&gt;=CO$5,$G125&lt;CO$5+GanttPeriod),"◆",IF(AND($E125&gt;=CO$5,$E125&lt;CO$5+GanttPeriod),"◇","")),IF(AND(CO$5&lt;=$F125,CO$5+GanttPeriod-1&gt;=$E125),"━","")))</f>
        <v/>
      </c>
      <c r="CP125" s="69" t="str">
        <f aca="false">IF($E125="","",IF($M125,IF(AND($G125&gt;=CP$5,$G125&lt;CP$5+GanttPeriod),"◆",IF(AND($E125&gt;=CP$5,$E125&lt;CP$5+GanttPeriod),"◇","")),IF(AND(CP$5&lt;=$F125,CP$5+GanttPeriod-1&gt;=$E125),"━","")))</f>
        <v/>
      </c>
      <c r="CQ125" s="69" t="str">
        <f aca="false">IF($E125="","",IF($M125,IF(AND($G125&gt;=CQ$5,$G125&lt;CQ$5+GanttPeriod),"◆",IF(AND($E125&gt;=CQ$5,$E125&lt;CQ$5+GanttPeriod),"◇","")),IF(AND(CQ$5&lt;=$F125,CQ$5+GanttPeriod-1&gt;=$E125),"━","")))</f>
        <v/>
      </c>
      <c r="CR125" s="69" t="str">
        <f aca="false">IF($E125="","",IF($M125,IF(AND($G125&gt;=CR$5,$G125&lt;CR$5+GanttPeriod),"◆",IF(AND($E125&gt;=CR$5,$E125&lt;CR$5+GanttPeriod),"◇","")),IF(AND(CR$5&lt;=$F125,CR$5+GanttPeriod-1&gt;=$E125),"━","")))</f>
        <v/>
      </c>
      <c r="CS125" s="69" t="str">
        <f aca="false">IF($E125="","",IF($M125,IF(AND($G125&gt;=CS$5,$G125&lt;CS$5+GanttPeriod),"◆",IF(AND($E125&gt;=CS$5,$E125&lt;CS$5+GanttPeriod),"◇","")),IF(AND(CS$5&lt;=$F125,CS$5+GanttPeriod-1&gt;=$E125),"━","")))</f>
        <v/>
      </c>
      <c r="CT125" s="69" t="str">
        <f aca="false">IF($E125="","",IF($M125,IF(AND($G125&gt;=CT$5,$G125&lt;CT$5+GanttPeriod),"◆",IF(AND($E125&gt;=CT$5,$E125&lt;CT$5+GanttPeriod),"◇","")),IF(AND(CT$5&lt;=$F125,CT$5+GanttPeriod-1&gt;=$E125),"━","")))</f>
        <v/>
      </c>
      <c r="CU125" s="69" t="str">
        <f aca="false">IF($E125="","",IF($M125,IF(AND($G125&gt;=CU$5,$G125&lt;CU$5+GanttPeriod),"◆",IF(AND($E125&gt;=CU$5,$E125&lt;CU$5+GanttPeriod),"◇","")),IF(AND(CU$5&lt;=$F125,CU$5+GanttPeriod-1&gt;=$E125),"━","")))</f>
        <v/>
      </c>
      <c r="CV125" s="69" t="str">
        <f aca="false">IF($E125="","",IF($M125,IF(AND($G125&gt;=CV$5,$G125&lt;CV$5+GanttPeriod),"◆",IF(AND($E125&gt;=CV$5,$E125&lt;CV$5+GanttPeriod),"◇","")),IF(AND(CV$5&lt;=$F125,CV$5+GanttPeriod-1&gt;=$E125),"━","")))</f>
        <v/>
      </c>
      <c r="CW125" s="69" t="str">
        <f aca="false">IF($E125="","",IF($M125,IF(AND($G125&gt;=CW$5,$G125&lt;CW$5+GanttPeriod),"◆",IF(AND($E125&gt;=CW$5,$E125&lt;CW$5+GanttPeriod),"◇","")),IF(AND(CW$5&lt;=$F125,CW$5+GanttPeriod-1&gt;=$E125),"━","")))</f>
        <v/>
      </c>
      <c r="CX125" s="69" t="str">
        <f aca="false">IF($E125="","",IF($M125,IF(AND($G125&gt;=CX$5,$G125&lt;CX$5+GanttPeriod),"◆",IF(AND($E125&gt;=CX$5,$E125&lt;CX$5+GanttPeriod),"◇","")),IF(AND(CX$5&lt;=$F125,CX$5+GanttPeriod-1&gt;=$E125),"━","")))</f>
        <v/>
      </c>
      <c r="CY125" s="69" t="str">
        <f aca="false">IF($E125="","",IF($M125,IF(AND($G125&gt;=CY$5,$G125&lt;CY$5+GanttPeriod),"◆",IF(AND($E125&gt;=CY$5,$E125&lt;CY$5+GanttPeriod),"◇","")),IF(AND(CY$5&lt;=$F125,CY$5+GanttPeriod-1&gt;=$E125),"━","")))</f>
        <v/>
      </c>
      <c r="CZ125" s="69" t="str">
        <f aca="false">IF($E125="","",IF($M125,IF(AND($G125&gt;=CZ$5,$G125&lt;CZ$5+GanttPeriod),"◆",IF(AND($E125&gt;=CZ$5,$E125&lt;CZ$5+GanttPeriod),"◇","")),IF(AND(CZ$5&lt;=$F125,CZ$5+GanttPeriod-1&gt;=$E125),"━","")))</f>
        <v/>
      </c>
      <c r="DA125" s="69" t="str">
        <f aca="false">IF($E125="","",IF($M125,IF(AND($G125&gt;=DA$5,$G125&lt;DA$5+GanttPeriod),"◆",IF(AND($E125&gt;=DA$5,$E125&lt;DA$5+GanttPeriod),"◇","")),IF(AND(DA$5&lt;=$F125,DA$5+GanttPeriod-1&gt;=$E125),"━","")))</f>
        <v/>
      </c>
      <c r="DB125" s="69" t="str">
        <f aca="false">IF($E125="","",IF($M125,IF(AND($G125&gt;=DB$5,$G125&lt;DB$5+GanttPeriod),"◆",IF(AND($E125&gt;=DB$5,$E125&lt;DB$5+GanttPeriod),"◇","")),IF(AND(DB$5&lt;=$F125,DB$5+GanttPeriod-1&gt;=$E125),"━","")))</f>
        <v/>
      </c>
      <c r="DC125" s="69" t="str">
        <f aca="false">IF($E125="","",IF($M125,IF(AND($G125&gt;=DC$5,$G125&lt;DC$5+GanttPeriod),"◆",IF(AND($E125&gt;=DC$5,$E125&lt;DC$5+GanttPeriod),"◇","")),IF(AND(DC$5&lt;=$F125,DC$5+GanttPeriod-1&gt;=$E125),"━","")))</f>
        <v/>
      </c>
      <c r="DD125" s="69" t="str">
        <f aca="false">IF($E125="","",IF($M125,IF(AND($G125&gt;=DD$5,$G125&lt;DD$5+GanttPeriod),"◆",IF(AND($E125&gt;=DD$5,$E125&lt;DD$5+GanttPeriod),"◇","")),IF(AND(DD$5&lt;=$F125,DD$5+GanttPeriod-1&gt;=$E125),"━","")))</f>
        <v/>
      </c>
      <c r="DE125" s="69" t="str">
        <f aca="false">IF($E125="","",IF($M125,IF(AND($G125&gt;=DE$5,$G125&lt;DE$5+GanttPeriod),"◆",IF(AND($E125&gt;=DE$5,$E125&lt;DE$5+GanttPeriod),"◇","")),IF(AND(DE$5&lt;=$F125,DE$5+GanttPeriod-1&gt;=$E125),"━","")))</f>
        <v/>
      </c>
      <c r="DF125" s="69" t="str">
        <f aca="false">IF($E125="","",IF($M125,IF(AND($G125&gt;=DF$5,$G125&lt;DF$5+GanttPeriod),"◆",IF(AND($E125&gt;=DF$5,$E125&lt;DF$5+GanttPeriod),"◇","")),IF(AND(DF$5&lt;=$F125,DF$5+GanttPeriod-1&gt;=$E125),"━","")))</f>
        <v/>
      </c>
      <c r="DG125" s="69" t="str">
        <f aca="false">IF($E125="","",IF($M125,IF(AND($G125&gt;=DG$5,$G125&lt;DG$5+GanttPeriod),"◆",IF(AND($E125&gt;=DG$5,$E125&lt;DG$5+GanttPeriod),"◇","")),IF(AND(DG$5&lt;=$F125,DG$5+GanttPeriod-1&gt;=$E125),"━","")))</f>
        <v/>
      </c>
      <c r="DH125" s="69" t="str">
        <f aca="false">IF($E125="","",IF($M125,IF(AND($G125&gt;=DH$5,$G125&lt;DH$5+GanttPeriod),"◆",IF(AND($E125&gt;=DH$5,$E125&lt;DH$5+GanttPeriod),"◇","")),IF(AND(DH$5&lt;=$F125,DH$5+GanttPeriod-1&gt;=$E125),"━","")))</f>
        <v/>
      </c>
      <c r="DI125" s="69" t="str">
        <f aca="false">IF($E125="","",IF($M125,IF(AND($G125&gt;=DI$5,$G125&lt;DI$5+GanttPeriod),"◆",IF(AND($E125&gt;=DI$5,$E125&lt;DI$5+GanttPeriod),"◇","")),IF(AND(DI$5&lt;=$F125,DI$5+GanttPeriod-1&gt;=$E125),"━","")))</f>
        <v/>
      </c>
      <c r="DJ125" s="69" t="str">
        <f aca="false">IF($E125="","",IF($M125,IF(AND($G125&gt;=DJ$5,$G125&lt;DJ$5+GanttPeriod),"◆",IF(AND($E125&gt;=DJ$5,$E125&lt;DJ$5+GanttPeriod),"◇","")),IF(AND(DJ$5&lt;=$F125,DJ$5+GanttPeriod-1&gt;=$E125),"━","")))</f>
        <v/>
      </c>
      <c r="DK125" s="69" t="str">
        <f aca="false">IF($E125="","",IF($M125,IF(AND($G125&gt;=DK$5,$G125&lt;DK$5+GanttPeriod),"◆",IF(AND($E125&gt;=DK$5,$E125&lt;DK$5+GanttPeriod),"◇","")),IF(AND(DK$5&lt;=$F125,DK$5+GanttPeriod-1&gt;=$E125),"━","")))</f>
        <v/>
      </c>
      <c r="DL125" s="69" t="str">
        <f aca="false">IF($E125="","",IF($M125,IF(AND($G125&gt;=DL$5,$G125&lt;DL$5+GanttPeriod),"◆",IF(AND($E125&gt;=DL$5,$E125&lt;DL$5+GanttPeriod),"◇","")),IF(AND(DL$5&lt;=$F125,DL$5+GanttPeriod-1&gt;=$E125),"━","")))</f>
        <v/>
      </c>
      <c r="DM125" s="69" t="str">
        <f aca="false">IF($E125="","",IF($M125,IF(AND($G125&gt;=DM$5,$G125&lt;DM$5+GanttPeriod),"◆",IF(AND($E125&gt;=DM$5,$E125&lt;DM$5+GanttPeriod),"◇","")),IF(AND(DM$5&lt;=$F125,DM$5+GanttPeriod-1&gt;=$E125),"━","")))</f>
        <v/>
      </c>
      <c r="DN125" s="69" t="str">
        <f aca="false">IF($E125="","",IF($M125,IF(AND($G125&gt;=DN$5,$G125&lt;DN$5+GanttPeriod),"◆",IF(AND($E125&gt;=DN$5,$E125&lt;DN$5+GanttPeriod),"◇","")),IF(AND(DN$5&lt;=$F125,DN$5+GanttPeriod-1&gt;=$E125),"━","")))</f>
        <v/>
      </c>
      <c r="DO125" s="69" t="str">
        <f aca="false">IF($E125="","",IF($M125,IF(AND($G125&gt;=DO$5,$G125&lt;DO$5+GanttPeriod),"◆",IF(AND($E125&gt;=DO$5,$E125&lt;DO$5+GanttPeriod),"◇","")),IF(AND(DO$5&lt;=$F125,DO$5+GanttPeriod-1&gt;=$E125),"━","")))</f>
        <v/>
      </c>
      <c r="DP125" s="69" t="str">
        <f aca="false">IF($E125="","",IF($M125,IF(AND($G125&gt;=DP$5,$G125&lt;DP$5+GanttPeriod),"◆",IF(AND($E125&gt;=DP$5,$E125&lt;DP$5+GanttPeriod),"◇","")),IF(AND(DP$5&lt;=$F125,DP$5+GanttPeriod-1&gt;=$E125),"━","")))</f>
        <v/>
      </c>
      <c r="DQ125" s="69" t="str">
        <f aca="false">IF($E125="","",IF($M125,IF(AND($G125&gt;=DQ$5,$G125&lt;DQ$5+GanttPeriod),"◆",IF(AND($E125&gt;=DQ$5,$E125&lt;DQ$5+GanttPeriod),"◇","")),IF(AND(DQ$5&lt;=$F125,DQ$5+GanttPeriod-1&gt;=$E125),"━","")))</f>
        <v/>
      </c>
      <c r="DR125" s="69" t="str">
        <f aca="false">IF($E125="","",IF($M125,IF(AND($G125&gt;=DR$5,$G125&lt;DR$5+GanttPeriod),"◆",IF(AND($E125&gt;=DR$5,$E125&lt;DR$5+GanttPeriod),"◇","")),IF(AND(DR$5&lt;=$F125,DR$5+GanttPeriod-1&gt;=$E125),"━","")))</f>
        <v/>
      </c>
      <c r="DS125" s="69" t="str">
        <f aca="false">IF($E125="","",IF($M125,IF(AND($G125&gt;=DS$5,$G125&lt;DS$5+GanttPeriod),"◆",IF(AND($E125&gt;=DS$5,$E125&lt;DS$5+GanttPeriod),"◇","")),IF(AND(DS$5&lt;=$F125,DS$5+GanttPeriod-1&gt;=$E125),"━","")))</f>
        <v/>
      </c>
      <c r="DT125" s="69" t="str">
        <f aca="false">IF($E125="","",IF($M125,IF(AND($G125&gt;=DT$5,$G125&lt;DT$5+GanttPeriod),"◆",IF(AND($E125&gt;=DT$5,$E125&lt;DT$5+GanttPeriod),"◇","")),IF(AND(DT$5&lt;=$F125,DT$5+GanttPeriod-1&gt;=$E125),"━","")))</f>
        <v/>
      </c>
      <c r="DU125" s="69" t="str">
        <f aca="false">IF($E125="","",IF($M125,IF(AND($G125&gt;=DU$5,$G125&lt;DU$5+GanttPeriod),"◆",IF(AND($E125&gt;=DU$5,$E125&lt;DU$5+GanttPeriod),"◇","")),IF(AND(DU$5&lt;=$F125,DU$5+GanttPeriod-1&gt;=$E125),"━","")))</f>
        <v/>
      </c>
      <c r="DV125" s="69" t="str">
        <f aca="false">IF($E125="","",IF($M125,IF(AND($G125&gt;=DV$5,$G125&lt;DV$5+GanttPeriod),"◆",IF(AND($E125&gt;=DV$5,$E125&lt;DV$5+GanttPeriod),"◇","")),IF(AND(DV$5&lt;=$F125,DV$5+GanttPeriod-1&gt;=$E125),"━","")))</f>
        <v/>
      </c>
      <c r="DW125" s="69" t="str">
        <f aca="false">IF($E125="","",IF($M125,IF(AND($G125&gt;=DW$5,$G125&lt;DW$5+GanttPeriod),"◆",IF(AND($E125&gt;=DW$5,$E125&lt;DW$5+GanttPeriod),"◇","")),IF(AND(DW$5&lt;=$F125,DW$5+GanttPeriod-1&gt;=$E125),"━","")))</f>
        <v/>
      </c>
      <c r="DX125" s="69" t="str">
        <f aca="false">IF($E125="","",IF($M125,IF(AND($G125&gt;=DX$5,$G125&lt;DX$5+GanttPeriod),"◆",IF(AND($E125&gt;=DX$5,$E125&lt;DX$5+GanttPeriod),"◇","")),IF(AND(DX$5&lt;=$F125,DX$5+GanttPeriod-1&gt;=$E125),"━","")))</f>
        <v/>
      </c>
      <c r="DY125" s="69" t="str">
        <f aca="false">IF($E125="","",IF($M125,IF(AND($G125&gt;=DY$5,$G125&lt;DY$5+GanttPeriod),"◆",IF(AND($E125&gt;=DY$5,$E125&lt;DY$5+GanttPeriod),"◇","")),IF(AND(DY$5&lt;=$F125,DY$5+GanttPeriod-1&gt;=$E125),"━","")))</f>
        <v/>
      </c>
      <c r="DZ125" s="69" t="str">
        <f aca="false">IF($E125="","",IF($M125,IF(AND($G125&gt;=DZ$5,$G125&lt;DZ$5+GanttPeriod),"◆",IF(AND($E125&gt;=DZ$5,$E125&lt;DZ$5+GanttPeriod),"◇","")),IF(AND(DZ$5&lt;=$F125,DZ$5+GanttPeriod-1&gt;=$E125),"━","")))</f>
        <v/>
      </c>
      <c r="EA125" s="69" t="str">
        <f aca="false">IF($E125="","",IF($M125,IF(AND($G125&gt;=EA$5,$G125&lt;EA$5+GanttPeriod),"◆",IF(AND($E125&gt;=EA$5,$E125&lt;EA$5+GanttPeriod),"◇","")),IF(AND(EA$5&lt;=$F125,EA$5+GanttPeriod-1&gt;=$E125),"━","")))</f>
        <v/>
      </c>
      <c r="EB125" s="69" t="str">
        <f aca="false">IF($E125="","",IF($M125,IF(AND($G125&gt;=EB$5,$G125&lt;EB$5+GanttPeriod),"◆",IF(AND($E125&gt;=EB$5,$E125&lt;EB$5+GanttPeriod),"◇","")),IF(AND(EB$5&lt;=$F125,EB$5+GanttPeriod-1&gt;=$E125),"━","")))</f>
        <v/>
      </c>
      <c r="EC125" s="69" t="str">
        <f aca="false">IF($E125="","",IF($M125,IF(AND($G125&gt;=EC$5,$G125&lt;EC$5+GanttPeriod),"◆",IF(AND($E125&gt;=EC$5,$E125&lt;EC$5+GanttPeriod),"◇","")),IF(AND(EC$5&lt;=$F125,EC$5+GanttPeriod-1&gt;=$E125),"━","")))</f>
        <v/>
      </c>
      <c r="ED125" s="69" t="str">
        <f aca="false">IF($E125="","",IF($M125,IF(AND($G125&gt;=ED$5,$G125&lt;ED$5+GanttPeriod),"◆",IF(AND($E125&gt;=ED$5,$E125&lt;ED$5+GanttPeriod),"◇","")),IF(AND(ED$5&lt;=$F125,ED$5+GanttPeriod-1&gt;=$E125),"━","")))</f>
        <v/>
      </c>
      <c r="EE125" s="69" t="str">
        <f aca="false">IF($E125="","",IF($M125,IF(AND($G125&gt;=EE$5,$G125&lt;EE$5+GanttPeriod),"◆",IF(AND($E125&gt;=EE$5,$E125&lt;EE$5+GanttPeriod),"◇","")),IF(AND(EE$5&lt;=$F125,EE$5+GanttPeriod-1&gt;=$E125),"━","")))</f>
        <v/>
      </c>
      <c r="EF125" s="69" t="str">
        <f aca="false">IF($E125="","",IF($M125,IF(AND($G125&gt;=EF$5,$G125&lt;EF$5+GanttPeriod),"◆",IF(AND($E125&gt;=EF$5,$E125&lt;EF$5+GanttPeriod),"◇","")),IF(AND(EF$5&lt;=$F125,EF$5+GanttPeriod-1&gt;=$E125),"━","")))</f>
        <v/>
      </c>
      <c r="EG125" s="69" t="str">
        <f aca="false">IF($E125="","",IF($M125,IF(AND($G125&gt;=EG$5,$G125&lt;EG$5+GanttPeriod),"◆",IF(AND($E125&gt;=EG$5,$E125&lt;EG$5+GanttPeriod),"◇","")),IF(AND(EG$5&lt;=$F125,EG$5+GanttPeriod-1&gt;=$E125),"━","")))</f>
        <v/>
      </c>
      <c r="EH125" s="69" t="str">
        <f aca="false">IF($E125="","",IF($M125,IF(AND($G125&gt;=EH$5,$G125&lt;EH$5+GanttPeriod),"◆",IF(AND($E125&gt;=EH$5,$E125&lt;EH$5+GanttPeriod),"◇","")),IF(AND(EH$5&lt;=$F125,EH$5+GanttPeriod-1&gt;=$E125),"━","")))</f>
        <v/>
      </c>
      <c r="EI125" s="69" t="str">
        <f aca="false">IF($E125="","",IF($M125,IF(AND($G125&gt;=EI$5,$G125&lt;EI$5+GanttPeriod),"◆",IF(AND($E125&gt;=EI$5,$E125&lt;EI$5+GanttPeriod),"◇","")),IF(AND(EI$5&lt;=$F125,EI$5+GanttPeriod-1&gt;=$E125),"━","")))</f>
        <v/>
      </c>
      <c r="EJ125" s="69" t="str">
        <f aca="false">IF($E125="","",IF($M125,IF(AND($G125&gt;=EJ$5,$G125&lt;EJ$5+GanttPeriod),"◆",IF(AND($E125&gt;=EJ$5,$E125&lt;EJ$5+GanttPeriod),"◇","")),IF(AND(EJ$5&lt;=$F125,EJ$5+GanttPeriod-1&gt;=$E125),"━","")))</f>
        <v/>
      </c>
      <c r="EK125" s="69" t="str">
        <f aca="false">IF($E125="","",IF($M125,IF(AND($G125&gt;=EK$5,$G125&lt;EK$5+GanttPeriod),"◆",IF(AND($E125&gt;=EK$5,$E125&lt;EK$5+GanttPeriod),"◇","")),IF(AND(EK$5&lt;=$F125,EK$5+GanttPeriod-1&gt;=$E125),"━","")))</f>
        <v/>
      </c>
      <c r="EL125" s="69" t="str">
        <f aca="false">IF($E125="","",IF($M125,IF(AND($G125&gt;=EL$5,$G125&lt;EL$5+GanttPeriod),"◆",IF(AND($E125&gt;=EL$5,$E125&lt;EL$5+GanttPeriod),"◇","")),IF(AND(EL$5&lt;=$F125,EL$5+GanttPeriod-1&gt;=$E125),"━","")))</f>
        <v/>
      </c>
      <c r="EM125" s="69" t="str">
        <f aca="false">IF($E125="","",IF($M125,IF(AND($G125&gt;=EM$5,$G125&lt;EM$5+GanttPeriod),"◆",IF(AND($E125&gt;=EM$5,$E125&lt;EM$5+GanttPeriod),"◇","")),IF(AND(EM$5&lt;=$F125,EM$5+GanttPeriod-1&gt;=$E125),"━","")))</f>
        <v/>
      </c>
      <c r="EN125" s="69" t="str">
        <f aca="false">IF($E125="","",IF($M125,IF(AND($G125&gt;=EN$5,$G125&lt;EN$5+GanttPeriod),"◆",IF(AND($E125&gt;=EN$5,$E125&lt;EN$5+GanttPeriod),"◇","")),IF(AND(EN$5&lt;=$F125,EN$5+GanttPeriod-1&gt;=$E125),"━","")))</f>
        <v/>
      </c>
      <c r="EO125" s="69" t="str">
        <f aca="false">IF($E125="","",IF($M125,IF(AND($G125&gt;=EO$5,$G125&lt;EO$5+GanttPeriod),"◆",IF(AND($E125&gt;=EO$5,$E125&lt;EO$5+GanttPeriod),"◇","")),IF(AND(EO$5&lt;=$F125,EO$5+GanttPeriod-1&gt;=$E125),"━","")))</f>
        <v/>
      </c>
      <c r="EP125" s="69" t="str">
        <f aca="false">IF($E125="","",IF($M125,IF(AND($G125&gt;=EP$5,$G125&lt;EP$5+GanttPeriod),"◆",IF(AND($E125&gt;=EP$5,$E125&lt;EP$5+GanttPeriod),"◇","")),IF(AND(EP$5&lt;=$F125,EP$5+GanttPeriod-1&gt;=$E125),"━","")))</f>
        <v/>
      </c>
      <c r="EQ125" s="69" t="str">
        <f aca="false">IF($E125="","",IF($M125,IF(AND($G125&gt;=EQ$5,$G125&lt;EQ$5+GanttPeriod),"◆",IF(AND($E125&gt;=EQ$5,$E125&lt;EQ$5+GanttPeriod),"◇","")),IF(AND(EQ$5&lt;=$F125,EQ$5+GanttPeriod-1&gt;=$E125),"━","")))</f>
        <v/>
      </c>
      <c r="ER125" s="69" t="str">
        <f aca="false">IF($E125="","",IF($M125,IF(AND($G125&gt;=ER$5,$G125&lt;ER$5+GanttPeriod),"◆",IF(AND($E125&gt;=ER$5,$E125&lt;ER$5+GanttPeriod),"◇","")),IF(AND(ER$5&lt;=$F125,ER$5+GanttPeriod-1&gt;=$E125),"━","")))</f>
        <v/>
      </c>
      <c r="ES125" s="69" t="str">
        <f aca="false">IF($E125="","",IF($M125,IF(AND($G125&gt;=ES$5,$G125&lt;ES$5+GanttPeriod),"◆",IF(AND($E125&gt;=ES$5,$E125&lt;ES$5+GanttPeriod),"◇","")),IF(AND(ES$5&lt;=$F125,ES$5+GanttPeriod-1&gt;=$E125),"━","")))</f>
        <v/>
      </c>
      <c r="ET125" s="69" t="str">
        <f aca="false">IF($E125="","",IF($M125,IF(AND($G125&gt;=ET$5,$G125&lt;ET$5+GanttPeriod),"◆",IF(AND($E125&gt;=ET$5,$E125&lt;ET$5+GanttPeriod),"◇","")),IF(AND(ET$5&lt;=$F125,ET$5+GanttPeriod-1&gt;=$E125),"━","")))</f>
        <v/>
      </c>
      <c r="EU125" s="69" t="str">
        <f aca="false">IF($E125="","",IF($M125,IF(AND($G125&gt;=EU$5,$G125&lt;EU$5+GanttPeriod),"◆",IF(AND($E125&gt;=EU$5,$E125&lt;EU$5+GanttPeriod),"◇","")),IF(AND(EU$5&lt;=$F125,EU$5+GanttPeriod-1&gt;=$E125),"━","")))</f>
        <v/>
      </c>
      <c r="EV125" s="69" t="str">
        <f aca="false">IF($E125="","",IF($M125,IF(AND($G125&gt;=EV$5,$G125&lt;EV$5+GanttPeriod),"◆",IF(AND($E125&gt;=EV$5,$E125&lt;EV$5+GanttPeriod),"◇","")),IF(AND(EV$5&lt;=$F125,EV$5+GanttPeriod-1&gt;=$E125),"━","")))</f>
        <v/>
      </c>
      <c r="EW125" s="69" t="str">
        <f aca="false">IF($E125="","",IF($M125,IF(AND($G125&gt;=EW$5,$G125&lt;EW$5+GanttPeriod),"◆",IF(AND($E125&gt;=EW$5,$E125&lt;EW$5+GanttPeriod),"◇","")),IF(AND(EW$5&lt;=$F125,EW$5+GanttPeriod-1&gt;=$E125),"━","")))</f>
        <v/>
      </c>
      <c r="EX125" s="69" t="str">
        <f aca="false">IF($E125="","",IF($M125,IF(AND($G125&gt;=EX$5,$G125&lt;EX$5+GanttPeriod),"◆",IF(AND($E125&gt;=EX$5,$E125&lt;EX$5+GanttPeriod),"◇","")),IF(AND(EX$5&lt;=$F125,EX$5+GanttPeriod-1&gt;=$E125),"━","")))</f>
        <v/>
      </c>
      <c r="EY125" s="69" t="str">
        <f aca="false">IF($E125="","",IF($M125,IF(AND($G125&gt;=EY$5,$G125&lt;EY$5+GanttPeriod),"◆",IF(AND($E125&gt;=EY$5,$E125&lt;EY$5+GanttPeriod),"◇","")),IF(AND(EY$5&lt;=$F125,EY$5+GanttPeriod-1&gt;=$E125),"━","")))</f>
        <v/>
      </c>
      <c r="EZ125" s="69" t="str">
        <f aca="false">IF($E125="","",IF($M125,IF(AND($G125&gt;=EZ$5,$G125&lt;EZ$5+GanttPeriod),"◆",IF(AND($E125&gt;=EZ$5,$E125&lt;EZ$5+GanttPeriod),"◇","")),IF(AND(EZ$5&lt;=$F125,EZ$5+GanttPeriod-1&gt;=$E125),"━","")))</f>
        <v/>
      </c>
      <c r="FA125" s="69" t="str">
        <f aca="false">IF($E125="","",IF($M125,IF(AND($G125&gt;=FA$5,$G125&lt;FA$5+GanttPeriod),"◆",IF(AND($E125&gt;=FA$5,$E125&lt;FA$5+GanttPeriod),"◇","")),IF(AND(FA$5&lt;=$F125,FA$5+GanttPeriod-1&gt;=$E125),"━","")))</f>
        <v/>
      </c>
      <c r="FB125" s="69" t="str">
        <f aca="false">IF($E125="","",IF($M125,IF(AND($G125&gt;=FB$5,$G125&lt;FB$5+GanttPeriod),"◆",IF(AND($E125&gt;=FB$5,$E125&lt;FB$5+GanttPeriod),"◇","")),IF(AND(FB$5&lt;=$F125,FB$5+GanttPeriod-1&gt;=$E125),"━","")))</f>
        <v/>
      </c>
      <c r="FC125" s="69" t="str">
        <f aca="false">IF($E125="","",IF($M125,IF(AND($G125&gt;=FC$5,$G125&lt;FC$5+GanttPeriod),"◆",IF(AND($E125&gt;=FC$5,$E125&lt;FC$5+GanttPeriod),"◇","")),IF(AND(FC$5&lt;=$F125,FC$5+GanttPeriod-1&gt;=$E125),"━","")))</f>
        <v/>
      </c>
      <c r="FD125" s="69" t="str">
        <f aca="false">IF($E125="","",IF($M125,IF(AND($G125&gt;=FD$5,$G125&lt;FD$5+GanttPeriod),"◆",IF(AND($E125&gt;=FD$5,$E125&lt;FD$5+GanttPeriod),"◇","")),IF(AND(FD$5&lt;=$F125,FD$5+GanttPeriod-1&gt;=$E125),"━","")))</f>
        <v/>
      </c>
      <c r="FE125" s="69" t="str">
        <f aca="false">IF($E125="","",IF($M125,IF(AND($G125&gt;=FE$5,$G125&lt;FE$5+GanttPeriod),"◆",IF(AND($E125&gt;=FE$5,$E125&lt;FE$5+GanttPeriod),"◇","")),IF(AND(FE$5&lt;=$F125,FE$5+GanttPeriod-1&gt;=$E125),"━","")))</f>
        <v/>
      </c>
      <c r="FF125" s="69" t="str">
        <f aca="false">IF($E125="","",IF($M125,IF(AND($G125&gt;=FF$5,$G125&lt;FF$5+GanttPeriod),"◆",IF(AND($E125&gt;=FF$5,$E125&lt;FF$5+GanttPeriod),"◇","")),IF(AND(FF$5&lt;=$F125,FF$5+GanttPeriod-1&gt;=$E125),"━","")))</f>
        <v/>
      </c>
      <c r="FG125" s="69" t="str">
        <f aca="false">IF($E125="","",IF($M125,IF(AND($G125&gt;=FG$5,$G125&lt;FG$5+GanttPeriod),"◆",IF(AND($E125&gt;=FG$5,$E125&lt;FG$5+GanttPeriod),"◇","")),IF(AND(FG$5&lt;=$F125,FG$5+GanttPeriod-1&gt;=$E125),"━","")))</f>
        <v/>
      </c>
      <c r="FH125" s="69" t="str">
        <f aca="false">IF($E125="","",IF($M125,IF(AND($G125&gt;=FH$5,$G125&lt;FH$5+GanttPeriod),"◆",IF(AND($E125&gt;=FH$5,$E125&lt;FH$5+GanttPeriod),"◇","")),IF(AND(FH$5&lt;=$F125,FH$5+GanttPeriod-1&gt;=$E125),"━","")))</f>
        <v/>
      </c>
      <c r="FI125" s="69" t="str">
        <f aca="false">IF($E125="","",IF($M125,IF(AND($G125&gt;=FI$5,$G125&lt;FI$5+GanttPeriod),"◆",IF(AND($E125&gt;=FI$5,$E125&lt;FI$5+GanttPeriod),"◇","")),IF(AND(FI$5&lt;=$F125,FI$5+GanttPeriod-1&gt;=$E125),"━","")))</f>
        <v/>
      </c>
      <c r="FJ125" s="69" t="str">
        <f aca="false">IF($E125="","",IF($M125,IF(AND($G125&gt;=FJ$5,$G125&lt;FJ$5+GanttPeriod),"◆",IF(AND($E125&gt;=FJ$5,$E125&lt;FJ$5+GanttPeriod),"◇","")),IF(AND(FJ$5&lt;=$F125,FJ$5+GanttPeriod-1&gt;=$E125),"━","")))</f>
        <v/>
      </c>
      <c r="FK125" s="69" t="str">
        <f aca="false">IF($E125="","",IF($M125,IF(AND($G125&gt;=FK$5,$G125&lt;FK$5+GanttPeriod),"◆",IF(AND($E125&gt;=FK$5,$E125&lt;FK$5+GanttPeriod),"◇","")),IF(AND(FK$5&lt;=$F125,FK$5+GanttPeriod-1&gt;=$E125),"━","")))</f>
        <v/>
      </c>
      <c r="FL125" s="69" t="str">
        <f aca="false">IF($E125="","",IF($M125,IF(AND($G125&gt;=FL$5,$G125&lt;FL$5+GanttPeriod),"◆",IF(AND($E125&gt;=FL$5,$E125&lt;FL$5+GanttPeriod),"◇","")),IF(AND(FL$5&lt;=$F125,FL$5+GanttPeriod-1&gt;=$E125),"━","")))</f>
        <v/>
      </c>
      <c r="FM125" s="69" t="str">
        <f aca="false">IF($E125="","",IF($M125,IF(AND($G125&gt;=FM$5,$G125&lt;FM$5+GanttPeriod),"◆",IF(AND($E125&gt;=FM$5,$E125&lt;FM$5+GanttPeriod),"◇","")),IF(AND(FM$5&lt;=$F125,FM$5+GanttPeriod-1&gt;=$E125),"━","")))</f>
        <v/>
      </c>
    </row>
    <row r="126" customFormat="false" ht="15" hidden="false" customHeight="false" outlineLevel="0" collapsed="false">
      <c r="A126" s="62" t="str">
        <f aca="false">IF(Tasks!$D126="","",Tasks!$A126)</f>
        <v/>
      </c>
      <c r="B126" s="62" t="str">
        <f aca="false">IF(Tasks!$D126="","",Tasks!$B126)</f>
        <v/>
      </c>
      <c r="C126" s="63" t="str">
        <f aca="false">IF(Tasks!$D126="","",REPT("    ",Tasks!$AE126-1)&amp;Tasks!$D126)</f>
        <v/>
      </c>
      <c r="D126" s="62" t="str">
        <f aca="false">IF(Tasks!$D126="","",IF(Tasks!$AI126,NETWORKDAYS.INTL(Tasks!$R126,Tasks!$S126,WorkWeek,Holidays),N(Tasks!$F126)))</f>
        <v/>
      </c>
      <c r="E126" s="64" t="str">
        <f aca="false">IF(Tasks!$D126="","",Tasks!$N126)</f>
        <v/>
      </c>
      <c r="F126" s="64" t="str">
        <f aca="false">IF(Tasks!$D126="","",Tasks!$O126)</f>
        <v/>
      </c>
      <c r="G126" s="64" t="str">
        <f aca="false">IF(Tasks!$D126="","",Tasks!$R126)</f>
        <v/>
      </c>
      <c r="H126" s="64" t="str">
        <f aca="false">IF(Tasks!$D126="","",Tasks!$S126)</f>
        <v/>
      </c>
      <c r="I126" s="65" t="str">
        <f aca="false">IF(Tasks!$D126="","",Tasks!$V126)</f>
        <v/>
      </c>
      <c r="J126" s="63" t="str">
        <f aca="false">IF(Tasks!$D126="","",Tasks!$X126&amp;"")</f>
        <v/>
      </c>
      <c r="K126" s="66" t="str">
        <f aca="false">IF(Tasks!$D126="","",Tasks!$W126)</f>
        <v/>
      </c>
      <c r="L126" s="67" t="b">
        <f aca="false">IF(Tasks!$D126="",FALSE(),Tasks!$AI126)</f>
        <v>0</v>
      </c>
      <c r="M126" s="67" t="b">
        <f aca="false">AND(Tasks!$AJ126=1,N(Tasks!$F126)=0)</f>
        <v>0</v>
      </c>
      <c r="N126" s="68" t="n">
        <f aca="false">IF(AND(Tasks!$AJ126=1,NOT($M126),N($I126)&gt;0),$G126,0)</f>
        <v>0</v>
      </c>
      <c r="O126" s="68" t="n">
        <f aca="false">IF($N126=0,0,IF($I126&gt;=1,$H126,MAX($N126,$G126+ROUND(($H126-$G126+1)*$I126,0)-1)))</f>
        <v>0</v>
      </c>
      <c r="P126" s="68" t="n">
        <f aca="false">IF(OR(Tasks!$AJ126&lt;&gt;1,$M126,N($I126)&gt;=1),0,IF($O126&gt;0,$O126+1,$G126))</f>
        <v>0</v>
      </c>
      <c r="Q126" s="68" t="n">
        <f aca="false">IF($P126=0,0,$H126)</f>
        <v>0</v>
      </c>
      <c r="R126" s="67" t="b">
        <f aca="false">AND(Tasks!$D126&lt;&gt;"",N(Tasks!$T126)&gt;0)</f>
        <v>0</v>
      </c>
      <c r="T126" s="69" t="str">
        <f aca="false">IF($E126="","",IF($M126,IF(AND($G126&gt;=T$5,$G126&lt;T$5+GanttPeriod),"◆",IF(AND($E126&gt;=T$5,$E126&lt;T$5+GanttPeriod),"◇","")),IF(AND(T$5&lt;=$F126,T$5+GanttPeriod-1&gt;=$E126),"━","")))</f>
        <v/>
      </c>
      <c r="U126" s="69" t="str">
        <f aca="false">IF($E126="","",IF($M126,IF(AND($G126&gt;=U$5,$G126&lt;U$5+GanttPeriod),"◆",IF(AND($E126&gt;=U$5,$E126&lt;U$5+GanttPeriod),"◇","")),IF(AND(U$5&lt;=$F126,U$5+GanttPeriod-1&gt;=$E126),"━","")))</f>
        <v/>
      </c>
      <c r="V126" s="69" t="str">
        <f aca="false">IF($E126="","",IF($M126,IF(AND($G126&gt;=V$5,$G126&lt;V$5+GanttPeriod),"◆",IF(AND($E126&gt;=V$5,$E126&lt;V$5+GanttPeriod),"◇","")),IF(AND(V$5&lt;=$F126,V$5+GanttPeriod-1&gt;=$E126),"━","")))</f>
        <v/>
      </c>
      <c r="W126" s="69" t="str">
        <f aca="false">IF($E126="","",IF($M126,IF(AND($G126&gt;=W$5,$G126&lt;W$5+GanttPeriod),"◆",IF(AND($E126&gt;=W$5,$E126&lt;W$5+GanttPeriod),"◇","")),IF(AND(W$5&lt;=$F126,W$5+GanttPeriod-1&gt;=$E126),"━","")))</f>
        <v/>
      </c>
      <c r="X126" s="69" t="str">
        <f aca="false">IF($E126="","",IF($M126,IF(AND($G126&gt;=X$5,$G126&lt;X$5+GanttPeriod),"◆",IF(AND($E126&gt;=X$5,$E126&lt;X$5+GanttPeriod),"◇","")),IF(AND(X$5&lt;=$F126,X$5+GanttPeriod-1&gt;=$E126),"━","")))</f>
        <v/>
      </c>
      <c r="Y126" s="69" t="str">
        <f aca="false">IF($E126="","",IF($M126,IF(AND($G126&gt;=Y$5,$G126&lt;Y$5+GanttPeriod),"◆",IF(AND($E126&gt;=Y$5,$E126&lt;Y$5+GanttPeriod),"◇","")),IF(AND(Y$5&lt;=$F126,Y$5+GanttPeriod-1&gt;=$E126),"━","")))</f>
        <v/>
      </c>
      <c r="Z126" s="69" t="str">
        <f aca="false">IF($E126="","",IF($M126,IF(AND($G126&gt;=Z$5,$G126&lt;Z$5+GanttPeriod),"◆",IF(AND($E126&gt;=Z$5,$E126&lt;Z$5+GanttPeriod),"◇","")),IF(AND(Z$5&lt;=$F126,Z$5+GanttPeriod-1&gt;=$E126),"━","")))</f>
        <v/>
      </c>
      <c r="AA126" s="69" t="str">
        <f aca="false">IF($E126="","",IF($M126,IF(AND($G126&gt;=AA$5,$G126&lt;AA$5+GanttPeriod),"◆",IF(AND($E126&gt;=AA$5,$E126&lt;AA$5+GanttPeriod),"◇","")),IF(AND(AA$5&lt;=$F126,AA$5+GanttPeriod-1&gt;=$E126),"━","")))</f>
        <v/>
      </c>
      <c r="AB126" s="69" t="str">
        <f aca="false">IF($E126="","",IF($M126,IF(AND($G126&gt;=AB$5,$G126&lt;AB$5+GanttPeriod),"◆",IF(AND($E126&gt;=AB$5,$E126&lt;AB$5+GanttPeriod),"◇","")),IF(AND(AB$5&lt;=$F126,AB$5+GanttPeriod-1&gt;=$E126),"━","")))</f>
        <v/>
      </c>
      <c r="AC126" s="69" t="str">
        <f aca="false">IF($E126="","",IF($M126,IF(AND($G126&gt;=AC$5,$G126&lt;AC$5+GanttPeriod),"◆",IF(AND($E126&gt;=AC$5,$E126&lt;AC$5+GanttPeriod),"◇","")),IF(AND(AC$5&lt;=$F126,AC$5+GanttPeriod-1&gt;=$E126),"━","")))</f>
        <v/>
      </c>
      <c r="AD126" s="69" t="str">
        <f aca="false">IF($E126="","",IF($M126,IF(AND($G126&gt;=AD$5,$G126&lt;AD$5+GanttPeriod),"◆",IF(AND($E126&gt;=AD$5,$E126&lt;AD$5+GanttPeriod),"◇","")),IF(AND(AD$5&lt;=$F126,AD$5+GanttPeriod-1&gt;=$E126),"━","")))</f>
        <v/>
      </c>
      <c r="AE126" s="69" t="str">
        <f aca="false">IF($E126="","",IF($M126,IF(AND($G126&gt;=AE$5,$G126&lt;AE$5+GanttPeriod),"◆",IF(AND($E126&gt;=AE$5,$E126&lt;AE$5+GanttPeriod),"◇","")),IF(AND(AE$5&lt;=$F126,AE$5+GanttPeriod-1&gt;=$E126),"━","")))</f>
        <v/>
      </c>
      <c r="AF126" s="69" t="str">
        <f aca="false">IF($E126="","",IF($M126,IF(AND($G126&gt;=AF$5,$G126&lt;AF$5+GanttPeriod),"◆",IF(AND($E126&gt;=AF$5,$E126&lt;AF$5+GanttPeriod),"◇","")),IF(AND(AF$5&lt;=$F126,AF$5+GanttPeriod-1&gt;=$E126),"━","")))</f>
        <v/>
      </c>
      <c r="AG126" s="69" t="str">
        <f aca="false">IF($E126="","",IF($M126,IF(AND($G126&gt;=AG$5,$G126&lt;AG$5+GanttPeriod),"◆",IF(AND($E126&gt;=AG$5,$E126&lt;AG$5+GanttPeriod),"◇","")),IF(AND(AG$5&lt;=$F126,AG$5+GanttPeriod-1&gt;=$E126),"━","")))</f>
        <v/>
      </c>
      <c r="AH126" s="69" t="str">
        <f aca="false">IF($E126="","",IF($M126,IF(AND($G126&gt;=AH$5,$G126&lt;AH$5+GanttPeriod),"◆",IF(AND($E126&gt;=AH$5,$E126&lt;AH$5+GanttPeriod),"◇","")),IF(AND(AH$5&lt;=$F126,AH$5+GanttPeriod-1&gt;=$E126),"━","")))</f>
        <v/>
      </c>
      <c r="AI126" s="69" t="str">
        <f aca="false">IF($E126="","",IF($M126,IF(AND($G126&gt;=AI$5,$G126&lt;AI$5+GanttPeriod),"◆",IF(AND($E126&gt;=AI$5,$E126&lt;AI$5+GanttPeriod),"◇","")),IF(AND(AI$5&lt;=$F126,AI$5+GanttPeriod-1&gt;=$E126),"━","")))</f>
        <v/>
      </c>
      <c r="AJ126" s="69" t="str">
        <f aca="false">IF($E126="","",IF($M126,IF(AND($G126&gt;=AJ$5,$G126&lt;AJ$5+GanttPeriod),"◆",IF(AND($E126&gt;=AJ$5,$E126&lt;AJ$5+GanttPeriod),"◇","")),IF(AND(AJ$5&lt;=$F126,AJ$5+GanttPeriod-1&gt;=$E126),"━","")))</f>
        <v/>
      </c>
      <c r="AK126" s="69" t="str">
        <f aca="false">IF($E126="","",IF($M126,IF(AND($G126&gt;=AK$5,$G126&lt;AK$5+GanttPeriod),"◆",IF(AND($E126&gt;=AK$5,$E126&lt;AK$5+GanttPeriod),"◇","")),IF(AND(AK$5&lt;=$F126,AK$5+GanttPeriod-1&gt;=$E126),"━","")))</f>
        <v/>
      </c>
      <c r="AL126" s="69" t="str">
        <f aca="false">IF($E126="","",IF($M126,IF(AND($G126&gt;=AL$5,$G126&lt;AL$5+GanttPeriod),"◆",IF(AND($E126&gt;=AL$5,$E126&lt;AL$5+GanttPeriod),"◇","")),IF(AND(AL$5&lt;=$F126,AL$5+GanttPeriod-1&gt;=$E126),"━","")))</f>
        <v/>
      </c>
      <c r="AM126" s="69" t="str">
        <f aca="false">IF($E126="","",IF($M126,IF(AND($G126&gt;=AM$5,$G126&lt;AM$5+GanttPeriod),"◆",IF(AND($E126&gt;=AM$5,$E126&lt;AM$5+GanttPeriod),"◇","")),IF(AND(AM$5&lt;=$F126,AM$5+GanttPeriod-1&gt;=$E126),"━","")))</f>
        <v/>
      </c>
      <c r="AN126" s="69" t="str">
        <f aca="false">IF($E126="","",IF($M126,IF(AND($G126&gt;=AN$5,$G126&lt;AN$5+GanttPeriod),"◆",IF(AND($E126&gt;=AN$5,$E126&lt;AN$5+GanttPeriod),"◇","")),IF(AND(AN$5&lt;=$F126,AN$5+GanttPeriod-1&gt;=$E126),"━","")))</f>
        <v/>
      </c>
      <c r="AO126" s="69" t="str">
        <f aca="false">IF($E126="","",IF($M126,IF(AND($G126&gt;=AO$5,$G126&lt;AO$5+GanttPeriod),"◆",IF(AND($E126&gt;=AO$5,$E126&lt;AO$5+GanttPeriod),"◇","")),IF(AND(AO$5&lt;=$F126,AO$5+GanttPeriod-1&gt;=$E126),"━","")))</f>
        <v/>
      </c>
      <c r="AP126" s="69" t="str">
        <f aca="false">IF($E126="","",IF($M126,IF(AND($G126&gt;=AP$5,$G126&lt;AP$5+GanttPeriod),"◆",IF(AND($E126&gt;=AP$5,$E126&lt;AP$5+GanttPeriod),"◇","")),IF(AND(AP$5&lt;=$F126,AP$5+GanttPeriod-1&gt;=$E126),"━","")))</f>
        <v/>
      </c>
      <c r="AQ126" s="69" t="str">
        <f aca="false">IF($E126="","",IF($M126,IF(AND($G126&gt;=AQ$5,$G126&lt;AQ$5+GanttPeriod),"◆",IF(AND($E126&gt;=AQ$5,$E126&lt;AQ$5+GanttPeriod),"◇","")),IF(AND(AQ$5&lt;=$F126,AQ$5+GanttPeriod-1&gt;=$E126),"━","")))</f>
        <v/>
      </c>
      <c r="AR126" s="69" t="str">
        <f aca="false">IF($E126="","",IF($M126,IF(AND($G126&gt;=AR$5,$G126&lt;AR$5+GanttPeriod),"◆",IF(AND($E126&gt;=AR$5,$E126&lt;AR$5+GanttPeriod),"◇","")),IF(AND(AR$5&lt;=$F126,AR$5+GanttPeriod-1&gt;=$E126),"━","")))</f>
        <v/>
      </c>
      <c r="AS126" s="69" t="str">
        <f aca="false">IF($E126="","",IF($M126,IF(AND($G126&gt;=AS$5,$G126&lt;AS$5+GanttPeriod),"◆",IF(AND($E126&gt;=AS$5,$E126&lt;AS$5+GanttPeriod),"◇","")),IF(AND(AS$5&lt;=$F126,AS$5+GanttPeriod-1&gt;=$E126),"━","")))</f>
        <v/>
      </c>
      <c r="AT126" s="69" t="str">
        <f aca="false">IF($E126="","",IF($M126,IF(AND($G126&gt;=AT$5,$G126&lt;AT$5+GanttPeriod),"◆",IF(AND($E126&gt;=AT$5,$E126&lt;AT$5+GanttPeriod),"◇","")),IF(AND(AT$5&lt;=$F126,AT$5+GanttPeriod-1&gt;=$E126),"━","")))</f>
        <v/>
      </c>
      <c r="AU126" s="69" t="str">
        <f aca="false">IF($E126="","",IF($M126,IF(AND($G126&gt;=AU$5,$G126&lt;AU$5+GanttPeriod),"◆",IF(AND($E126&gt;=AU$5,$E126&lt;AU$5+GanttPeriod),"◇","")),IF(AND(AU$5&lt;=$F126,AU$5+GanttPeriod-1&gt;=$E126),"━","")))</f>
        <v/>
      </c>
      <c r="AV126" s="69" t="str">
        <f aca="false">IF($E126="","",IF($M126,IF(AND($G126&gt;=AV$5,$G126&lt;AV$5+GanttPeriod),"◆",IF(AND($E126&gt;=AV$5,$E126&lt;AV$5+GanttPeriod),"◇","")),IF(AND(AV$5&lt;=$F126,AV$5+GanttPeriod-1&gt;=$E126),"━","")))</f>
        <v/>
      </c>
      <c r="AW126" s="69" t="str">
        <f aca="false">IF($E126="","",IF($M126,IF(AND($G126&gt;=AW$5,$G126&lt;AW$5+GanttPeriod),"◆",IF(AND($E126&gt;=AW$5,$E126&lt;AW$5+GanttPeriod),"◇","")),IF(AND(AW$5&lt;=$F126,AW$5+GanttPeriod-1&gt;=$E126),"━","")))</f>
        <v/>
      </c>
      <c r="AX126" s="69" t="str">
        <f aca="false">IF($E126="","",IF($M126,IF(AND($G126&gt;=AX$5,$G126&lt;AX$5+GanttPeriod),"◆",IF(AND($E126&gt;=AX$5,$E126&lt;AX$5+GanttPeriod),"◇","")),IF(AND(AX$5&lt;=$F126,AX$5+GanttPeriod-1&gt;=$E126),"━","")))</f>
        <v/>
      </c>
      <c r="AY126" s="69" t="str">
        <f aca="false">IF($E126="","",IF($M126,IF(AND($G126&gt;=AY$5,$G126&lt;AY$5+GanttPeriod),"◆",IF(AND($E126&gt;=AY$5,$E126&lt;AY$5+GanttPeriod),"◇","")),IF(AND(AY$5&lt;=$F126,AY$5+GanttPeriod-1&gt;=$E126),"━","")))</f>
        <v/>
      </c>
      <c r="AZ126" s="69" t="str">
        <f aca="false">IF($E126="","",IF($M126,IF(AND($G126&gt;=AZ$5,$G126&lt;AZ$5+GanttPeriod),"◆",IF(AND($E126&gt;=AZ$5,$E126&lt;AZ$5+GanttPeriod),"◇","")),IF(AND(AZ$5&lt;=$F126,AZ$5+GanttPeriod-1&gt;=$E126),"━","")))</f>
        <v/>
      </c>
      <c r="BA126" s="69" t="str">
        <f aca="false">IF($E126="","",IF($M126,IF(AND($G126&gt;=BA$5,$G126&lt;BA$5+GanttPeriod),"◆",IF(AND($E126&gt;=BA$5,$E126&lt;BA$5+GanttPeriod),"◇","")),IF(AND(BA$5&lt;=$F126,BA$5+GanttPeriod-1&gt;=$E126),"━","")))</f>
        <v/>
      </c>
      <c r="BB126" s="69" t="str">
        <f aca="false">IF($E126="","",IF($M126,IF(AND($G126&gt;=BB$5,$G126&lt;BB$5+GanttPeriod),"◆",IF(AND($E126&gt;=BB$5,$E126&lt;BB$5+GanttPeriod),"◇","")),IF(AND(BB$5&lt;=$F126,BB$5+GanttPeriod-1&gt;=$E126),"━","")))</f>
        <v/>
      </c>
      <c r="BC126" s="69" t="str">
        <f aca="false">IF($E126="","",IF($M126,IF(AND($G126&gt;=BC$5,$G126&lt;BC$5+GanttPeriod),"◆",IF(AND($E126&gt;=BC$5,$E126&lt;BC$5+GanttPeriod),"◇","")),IF(AND(BC$5&lt;=$F126,BC$5+GanttPeriod-1&gt;=$E126),"━","")))</f>
        <v/>
      </c>
      <c r="BD126" s="69" t="str">
        <f aca="false">IF($E126="","",IF($M126,IF(AND($G126&gt;=BD$5,$G126&lt;BD$5+GanttPeriod),"◆",IF(AND($E126&gt;=BD$5,$E126&lt;BD$5+GanttPeriod),"◇","")),IF(AND(BD$5&lt;=$F126,BD$5+GanttPeriod-1&gt;=$E126),"━","")))</f>
        <v/>
      </c>
      <c r="BE126" s="69" t="str">
        <f aca="false">IF($E126="","",IF($M126,IF(AND($G126&gt;=BE$5,$G126&lt;BE$5+GanttPeriod),"◆",IF(AND($E126&gt;=BE$5,$E126&lt;BE$5+GanttPeriod),"◇","")),IF(AND(BE$5&lt;=$F126,BE$5+GanttPeriod-1&gt;=$E126),"━","")))</f>
        <v/>
      </c>
      <c r="BF126" s="69" t="str">
        <f aca="false">IF($E126="","",IF($M126,IF(AND($G126&gt;=BF$5,$G126&lt;BF$5+GanttPeriod),"◆",IF(AND($E126&gt;=BF$5,$E126&lt;BF$5+GanttPeriod),"◇","")),IF(AND(BF$5&lt;=$F126,BF$5+GanttPeriod-1&gt;=$E126),"━","")))</f>
        <v/>
      </c>
      <c r="BG126" s="69" t="str">
        <f aca="false">IF($E126="","",IF($M126,IF(AND($G126&gt;=BG$5,$G126&lt;BG$5+GanttPeriod),"◆",IF(AND($E126&gt;=BG$5,$E126&lt;BG$5+GanttPeriod),"◇","")),IF(AND(BG$5&lt;=$F126,BG$5+GanttPeriod-1&gt;=$E126),"━","")))</f>
        <v/>
      </c>
      <c r="BH126" s="69" t="str">
        <f aca="false">IF($E126="","",IF($M126,IF(AND($G126&gt;=BH$5,$G126&lt;BH$5+GanttPeriod),"◆",IF(AND($E126&gt;=BH$5,$E126&lt;BH$5+GanttPeriod),"◇","")),IF(AND(BH$5&lt;=$F126,BH$5+GanttPeriod-1&gt;=$E126),"━","")))</f>
        <v/>
      </c>
      <c r="BI126" s="69" t="str">
        <f aca="false">IF($E126="","",IF($M126,IF(AND($G126&gt;=BI$5,$G126&lt;BI$5+GanttPeriod),"◆",IF(AND($E126&gt;=BI$5,$E126&lt;BI$5+GanttPeriod),"◇","")),IF(AND(BI$5&lt;=$F126,BI$5+GanttPeriod-1&gt;=$E126),"━","")))</f>
        <v/>
      </c>
      <c r="BJ126" s="69" t="str">
        <f aca="false">IF($E126="","",IF($M126,IF(AND($G126&gt;=BJ$5,$G126&lt;BJ$5+GanttPeriod),"◆",IF(AND($E126&gt;=BJ$5,$E126&lt;BJ$5+GanttPeriod),"◇","")),IF(AND(BJ$5&lt;=$F126,BJ$5+GanttPeriod-1&gt;=$E126),"━","")))</f>
        <v/>
      </c>
      <c r="BK126" s="69" t="str">
        <f aca="false">IF($E126="","",IF($M126,IF(AND($G126&gt;=BK$5,$G126&lt;BK$5+GanttPeriod),"◆",IF(AND($E126&gt;=BK$5,$E126&lt;BK$5+GanttPeriod),"◇","")),IF(AND(BK$5&lt;=$F126,BK$5+GanttPeriod-1&gt;=$E126),"━","")))</f>
        <v/>
      </c>
      <c r="BL126" s="69" t="str">
        <f aca="false">IF($E126="","",IF($M126,IF(AND($G126&gt;=BL$5,$G126&lt;BL$5+GanttPeriod),"◆",IF(AND($E126&gt;=BL$5,$E126&lt;BL$5+GanttPeriod),"◇","")),IF(AND(BL$5&lt;=$F126,BL$5+GanttPeriod-1&gt;=$E126),"━","")))</f>
        <v/>
      </c>
      <c r="BM126" s="69" t="str">
        <f aca="false">IF($E126="","",IF($M126,IF(AND($G126&gt;=BM$5,$G126&lt;BM$5+GanttPeriod),"◆",IF(AND($E126&gt;=BM$5,$E126&lt;BM$5+GanttPeriod),"◇","")),IF(AND(BM$5&lt;=$F126,BM$5+GanttPeriod-1&gt;=$E126),"━","")))</f>
        <v/>
      </c>
      <c r="BN126" s="69" t="str">
        <f aca="false">IF($E126="","",IF($M126,IF(AND($G126&gt;=BN$5,$G126&lt;BN$5+GanttPeriod),"◆",IF(AND($E126&gt;=BN$5,$E126&lt;BN$5+GanttPeriod),"◇","")),IF(AND(BN$5&lt;=$F126,BN$5+GanttPeriod-1&gt;=$E126),"━","")))</f>
        <v/>
      </c>
      <c r="BO126" s="69" t="str">
        <f aca="false">IF($E126="","",IF($M126,IF(AND($G126&gt;=BO$5,$G126&lt;BO$5+GanttPeriod),"◆",IF(AND($E126&gt;=BO$5,$E126&lt;BO$5+GanttPeriod),"◇","")),IF(AND(BO$5&lt;=$F126,BO$5+GanttPeriod-1&gt;=$E126),"━","")))</f>
        <v/>
      </c>
      <c r="BP126" s="69" t="str">
        <f aca="false">IF($E126="","",IF($M126,IF(AND($G126&gt;=BP$5,$G126&lt;BP$5+GanttPeriod),"◆",IF(AND($E126&gt;=BP$5,$E126&lt;BP$5+GanttPeriod),"◇","")),IF(AND(BP$5&lt;=$F126,BP$5+GanttPeriod-1&gt;=$E126),"━","")))</f>
        <v/>
      </c>
      <c r="BQ126" s="69" t="str">
        <f aca="false">IF($E126="","",IF($M126,IF(AND($G126&gt;=BQ$5,$G126&lt;BQ$5+GanttPeriod),"◆",IF(AND($E126&gt;=BQ$5,$E126&lt;BQ$5+GanttPeriod),"◇","")),IF(AND(BQ$5&lt;=$F126,BQ$5+GanttPeriod-1&gt;=$E126),"━","")))</f>
        <v/>
      </c>
      <c r="BR126" s="69" t="str">
        <f aca="false">IF($E126="","",IF($M126,IF(AND($G126&gt;=BR$5,$G126&lt;BR$5+GanttPeriod),"◆",IF(AND($E126&gt;=BR$5,$E126&lt;BR$5+GanttPeriod),"◇","")),IF(AND(BR$5&lt;=$F126,BR$5+GanttPeriod-1&gt;=$E126),"━","")))</f>
        <v/>
      </c>
      <c r="BS126" s="69" t="str">
        <f aca="false">IF($E126="","",IF($M126,IF(AND($G126&gt;=BS$5,$G126&lt;BS$5+GanttPeriod),"◆",IF(AND($E126&gt;=BS$5,$E126&lt;BS$5+GanttPeriod),"◇","")),IF(AND(BS$5&lt;=$F126,BS$5+GanttPeriod-1&gt;=$E126),"━","")))</f>
        <v/>
      </c>
      <c r="BT126" s="69" t="str">
        <f aca="false">IF($E126="","",IF($M126,IF(AND($G126&gt;=BT$5,$G126&lt;BT$5+GanttPeriod),"◆",IF(AND($E126&gt;=BT$5,$E126&lt;BT$5+GanttPeriod),"◇","")),IF(AND(BT$5&lt;=$F126,BT$5+GanttPeriod-1&gt;=$E126),"━","")))</f>
        <v/>
      </c>
      <c r="BU126" s="69" t="str">
        <f aca="false">IF($E126="","",IF($M126,IF(AND($G126&gt;=BU$5,$G126&lt;BU$5+GanttPeriod),"◆",IF(AND($E126&gt;=BU$5,$E126&lt;BU$5+GanttPeriod),"◇","")),IF(AND(BU$5&lt;=$F126,BU$5+GanttPeriod-1&gt;=$E126),"━","")))</f>
        <v/>
      </c>
      <c r="BV126" s="69" t="str">
        <f aca="false">IF($E126="","",IF($M126,IF(AND($G126&gt;=BV$5,$G126&lt;BV$5+GanttPeriod),"◆",IF(AND($E126&gt;=BV$5,$E126&lt;BV$5+GanttPeriod),"◇","")),IF(AND(BV$5&lt;=$F126,BV$5+GanttPeriod-1&gt;=$E126),"━","")))</f>
        <v/>
      </c>
      <c r="BW126" s="69" t="str">
        <f aca="false">IF($E126="","",IF($M126,IF(AND($G126&gt;=BW$5,$G126&lt;BW$5+GanttPeriod),"◆",IF(AND($E126&gt;=BW$5,$E126&lt;BW$5+GanttPeriod),"◇","")),IF(AND(BW$5&lt;=$F126,BW$5+GanttPeriod-1&gt;=$E126),"━","")))</f>
        <v/>
      </c>
      <c r="BX126" s="69" t="str">
        <f aca="false">IF($E126="","",IF($M126,IF(AND($G126&gt;=BX$5,$G126&lt;BX$5+GanttPeriod),"◆",IF(AND($E126&gt;=BX$5,$E126&lt;BX$5+GanttPeriod),"◇","")),IF(AND(BX$5&lt;=$F126,BX$5+GanttPeriod-1&gt;=$E126),"━","")))</f>
        <v/>
      </c>
      <c r="BY126" s="69" t="str">
        <f aca="false">IF($E126="","",IF($M126,IF(AND($G126&gt;=BY$5,$G126&lt;BY$5+GanttPeriod),"◆",IF(AND($E126&gt;=BY$5,$E126&lt;BY$5+GanttPeriod),"◇","")),IF(AND(BY$5&lt;=$F126,BY$5+GanttPeriod-1&gt;=$E126),"━","")))</f>
        <v/>
      </c>
      <c r="BZ126" s="69" t="str">
        <f aca="false">IF($E126="","",IF($M126,IF(AND($G126&gt;=BZ$5,$G126&lt;BZ$5+GanttPeriod),"◆",IF(AND($E126&gt;=BZ$5,$E126&lt;BZ$5+GanttPeriod),"◇","")),IF(AND(BZ$5&lt;=$F126,BZ$5+GanttPeriod-1&gt;=$E126),"━","")))</f>
        <v/>
      </c>
      <c r="CA126" s="69" t="str">
        <f aca="false">IF($E126="","",IF($M126,IF(AND($G126&gt;=CA$5,$G126&lt;CA$5+GanttPeriod),"◆",IF(AND($E126&gt;=CA$5,$E126&lt;CA$5+GanttPeriod),"◇","")),IF(AND(CA$5&lt;=$F126,CA$5+GanttPeriod-1&gt;=$E126),"━","")))</f>
        <v/>
      </c>
      <c r="CB126" s="69" t="str">
        <f aca="false">IF($E126="","",IF($M126,IF(AND($G126&gt;=CB$5,$G126&lt;CB$5+GanttPeriod),"◆",IF(AND($E126&gt;=CB$5,$E126&lt;CB$5+GanttPeriod),"◇","")),IF(AND(CB$5&lt;=$F126,CB$5+GanttPeriod-1&gt;=$E126),"━","")))</f>
        <v/>
      </c>
      <c r="CC126" s="69" t="str">
        <f aca="false">IF($E126="","",IF($M126,IF(AND($G126&gt;=CC$5,$G126&lt;CC$5+GanttPeriod),"◆",IF(AND($E126&gt;=CC$5,$E126&lt;CC$5+GanttPeriod),"◇","")),IF(AND(CC$5&lt;=$F126,CC$5+GanttPeriod-1&gt;=$E126),"━","")))</f>
        <v/>
      </c>
      <c r="CD126" s="69" t="str">
        <f aca="false">IF($E126="","",IF($M126,IF(AND($G126&gt;=CD$5,$G126&lt;CD$5+GanttPeriod),"◆",IF(AND($E126&gt;=CD$5,$E126&lt;CD$5+GanttPeriod),"◇","")),IF(AND(CD$5&lt;=$F126,CD$5+GanttPeriod-1&gt;=$E126),"━","")))</f>
        <v/>
      </c>
      <c r="CE126" s="69" t="str">
        <f aca="false">IF($E126="","",IF($M126,IF(AND($G126&gt;=CE$5,$G126&lt;CE$5+GanttPeriod),"◆",IF(AND($E126&gt;=CE$5,$E126&lt;CE$5+GanttPeriod),"◇","")),IF(AND(CE$5&lt;=$F126,CE$5+GanttPeriod-1&gt;=$E126),"━","")))</f>
        <v/>
      </c>
      <c r="CF126" s="69" t="str">
        <f aca="false">IF($E126="","",IF($M126,IF(AND($G126&gt;=CF$5,$G126&lt;CF$5+GanttPeriod),"◆",IF(AND($E126&gt;=CF$5,$E126&lt;CF$5+GanttPeriod),"◇","")),IF(AND(CF$5&lt;=$F126,CF$5+GanttPeriod-1&gt;=$E126),"━","")))</f>
        <v/>
      </c>
      <c r="CG126" s="69" t="str">
        <f aca="false">IF($E126="","",IF($M126,IF(AND($G126&gt;=CG$5,$G126&lt;CG$5+GanttPeriod),"◆",IF(AND($E126&gt;=CG$5,$E126&lt;CG$5+GanttPeriod),"◇","")),IF(AND(CG$5&lt;=$F126,CG$5+GanttPeriod-1&gt;=$E126),"━","")))</f>
        <v/>
      </c>
      <c r="CH126" s="69" t="str">
        <f aca="false">IF($E126="","",IF($M126,IF(AND($G126&gt;=CH$5,$G126&lt;CH$5+GanttPeriod),"◆",IF(AND($E126&gt;=CH$5,$E126&lt;CH$5+GanttPeriod),"◇","")),IF(AND(CH$5&lt;=$F126,CH$5+GanttPeriod-1&gt;=$E126),"━","")))</f>
        <v/>
      </c>
      <c r="CI126" s="69" t="str">
        <f aca="false">IF($E126="","",IF($M126,IF(AND($G126&gt;=CI$5,$G126&lt;CI$5+GanttPeriod),"◆",IF(AND($E126&gt;=CI$5,$E126&lt;CI$5+GanttPeriod),"◇","")),IF(AND(CI$5&lt;=$F126,CI$5+GanttPeriod-1&gt;=$E126),"━","")))</f>
        <v/>
      </c>
      <c r="CJ126" s="69" t="str">
        <f aca="false">IF($E126="","",IF($M126,IF(AND($G126&gt;=CJ$5,$G126&lt;CJ$5+GanttPeriod),"◆",IF(AND($E126&gt;=CJ$5,$E126&lt;CJ$5+GanttPeriod),"◇","")),IF(AND(CJ$5&lt;=$F126,CJ$5+GanttPeriod-1&gt;=$E126),"━","")))</f>
        <v/>
      </c>
      <c r="CK126" s="69" t="str">
        <f aca="false">IF($E126="","",IF($M126,IF(AND($G126&gt;=CK$5,$G126&lt;CK$5+GanttPeriod),"◆",IF(AND($E126&gt;=CK$5,$E126&lt;CK$5+GanttPeriod),"◇","")),IF(AND(CK$5&lt;=$F126,CK$5+GanttPeriod-1&gt;=$E126),"━","")))</f>
        <v/>
      </c>
      <c r="CL126" s="69" t="str">
        <f aca="false">IF($E126="","",IF($M126,IF(AND($G126&gt;=CL$5,$G126&lt;CL$5+GanttPeriod),"◆",IF(AND($E126&gt;=CL$5,$E126&lt;CL$5+GanttPeriod),"◇","")),IF(AND(CL$5&lt;=$F126,CL$5+GanttPeriod-1&gt;=$E126),"━","")))</f>
        <v/>
      </c>
      <c r="CM126" s="69" t="str">
        <f aca="false">IF($E126="","",IF($M126,IF(AND($G126&gt;=CM$5,$G126&lt;CM$5+GanttPeriod),"◆",IF(AND($E126&gt;=CM$5,$E126&lt;CM$5+GanttPeriod),"◇","")),IF(AND(CM$5&lt;=$F126,CM$5+GanttPeriod-1&gt;=$E126),"━","")))</f>
        <v/>
      </c>
      <c r="CN126" s="69" t="str">
        <f aca="false">IF($E126="","",IF($M126,IF(AND($G126&gt;=CN$5,$G126&lt;CN$5+GanttPeriod),"◆",IF(AND($E126&gt;=CN$5,$E126&lt;CN$5+GanttPeriod),"◇","")),IF(AND(CN$5&lt;=$F126,CN$5+GanttPeriod-1&gt;=$E126),"━","")))</f>
        <v/>
      </c>
      <c r="CO126" s="69" t="str">
        <f aca="false">IF($E126="","",IF($M126,IF(AND($G126&gt;=CO$5,$G126&lt;CO$5+GanttPeriod),"◆",IF(AND($E126&gt;=CO$5,$E126&lt;CO$5+GanttPeriod),"◇","")),IF(AND(CO$5&lt;=$F126,CO$5+GanttPeriod-1&gt;=$E126),"━","")))</f>
        <v/>
      </c>
      <c r="CP126" s="69" t="str">
        <f aca="false">IF($E126="","",IF($M126,IF(AND($G126&gt;=CP$5,$G126&lt;CP$5+GanttPeriod),"◆",IF(AND($E126&gt;=CP$5,$E126&lt;CP$5+GanttPeriod),"◇","")),IF(AND(CP$5&lt;=$F126,CP$5+GanttPeriod-1&gt;=$E126),"━","")))</f>
        <v/>
      </c>
      <c r="CQ126" s="69" t="str">
        <f aca="false">IF($E126="","",IF($M126,IF(AND($G126&gt;=CQ$5,$G126&lt;CQ$5+GanttPeriod),"◆",IF(AND($E126&gt;=CQ$5,$E126&lt;CQ$5+GanttPeriod),"◇","")),IF(AND(CQ$5&lt;=$F126,CQ$5+GanttPeriod-1&gt;=$E126),"━","")))</f>
        <v/>
      </c>
      <c r="CR126" s="69" t="str">
        <f aca="false">IF($E126="","",IF($M126,IF(AND($G126&gt;=CR$5,$G126&lt;CR$5+GanttPeriod),"◆",IF(AND($E126&gt;=CR$5,$E126&lt;CR$5+GanttPeriod),"◇","")),IF(AND(CR$5&lt;=$F126,CR$5+GanttPeriod-1&gt;=$E126),"━","")))</f>
        <v/>
      </c>
      <c r="CS126" s="69" t="str">
        <f aca="false">IF($E126="","",IF($M126,IF(AND($G126&gt;=CS$5,$G126&lt;CS$5+GanttPeriod),"◆",IF(AND($E126&gt;=CS$5,$E126&lt;CS$5+GanttPeriod),"◇","")),IF(AND(CS$5&lt;=$F126,CS$5+GanttPeriod-1&gt;=$E126),"━","")))</f>
        <v/>
      </c>
      <c r="CT126" s="69" t="str">
        <f aca="false">IF($E126="","",IF($M126,IF(AND($G126&gt;=CT$5,$G126&lt;CT$5+GanttPeriod),"◆",IF(AND($E126&gt;=CT$5,$E126&lt;CT$5+GanttPeriod),"◇","")),IF(AND(CT$5&lt;=$F126,CT$5+GanttPeriod-1&gt;=$E126),"━","")))</f>
        <v/>
      </c>
      <c r="CU126" s="69" t="str">
        <f aca="false">IF($E126="","",IF($M126,IF(AND($G126&gt;=CU$5,$G126&lt;CU$5+GanttPeriod),"◆",IF(AND($E126&gt;=CU$5,$E126&lt;CU$5+GanttPeriod),"◇","")),IF(AND(CU$5&lt;=$F126,CU$5+GanttPeriod-1&gt;=$E126),"━","")))</f>
        <v/>
      </c>
      <c r="CV126" s="69" t="str">
        <f aca="false">IF($E126="","",IF($M126,IF(AND($G126&gt;=CV$5,$G126&lt;CV$5+GanttPeriod),"◆",IF(AND($E126&gt;=CV$5,$E126&lt;CV$5+GanttPeriod),"◇","")),IF(AND(CV$5&lt;=$F126,CV$5+GanttPeriod-1&gt;=$E126),"━","")))</f>
        <v/>
      </c>
      <c r="CW126" s="69" t="str">
        <f aca="false">IF($E126="","",IF($M126,IF(AND($G126&gt;=CW$5,$G126&lt;CW$5+GanttPeriod),"◆",IF(AND($E126&gt;=CW$5,$E126&lt;CW$5+GanttPeriod),"◇","")),IF(AND(CW$5&lt;=$F126,CW$5+GanttPeriod-1&gt;=$E126),"━","")))</f>
        <v/>
      </c>
      <c r="CX126" s="69" t="str">
        <f aca="false">IF($E126="","",IF($M126,IF(AND($G126&gt;=CX$5,$G126&lt;CX$5+GanttPeriod),"◆",IF(AND($E126&gt;=CX$5,$E126&lt;CX$5+GanttPeriod),"◇","")),IF(AND(CX$5&lt;=$F126,CX$5+GanttPeriod-1&gt;=$E126),"━","")))</f>
        <v/>
      </c>
      <c r="CY126" s="69" t="str">
        <f aca="false">IF($E126="","",IF($M126,IF(AND($G126&gt;=CY$5,$G126&lt;CY$5+GanttPeriod),"◆",IF(AND($E126&gt;=CY$5,$E126&lt;CY$5+GanttPeriod),"◇","")),IF(AND(CY$5&lt;=$F126,CY$5+GanttPeriod-1&gt;=$E126),"━","")))</f>
        <v/>
      </c>
      <c r="CZ126" s="69" t="str">
        <f aca="false">IF($E126="","",IF($M126,IF(AND($G126&gt;=CZ$5,$G126&lt;CZ$5+GanttPeriod),"◆",IF(AND($E126&gt;=CZ$5,$E126&lt;CZ$5+GanttPeriod),"◇","")),IF(AND(CZ$5&lt;=$F126,CZ$5+GanttPeriod-1&gt;=$E126),"━","")))</f>
        <v/>
      </c>
      <c r="DA126" s="69" t="str">
        <f aca="false">IF($E126="","",IF($M126,IF(AND($G126&gt;=DA$5,$G126&lt;DA$5+GanttPeriod),"◆",IF(AND($E126&gt;=DA$5,$E126&lt;DA$5+GanttPeriod),"◇","")),IF(AND(DA$5&lt;=$F126,DA$5+GanttPeriod-1&gt;=$E126),"━","")))</f>
        <v/>
      </c>
      <c r="DB126" s="69" t="str">
        <f aca="false">IF($E126="","",IF($M126,IF(AND($G126&gt;=DB$5,$G126&lt;DB$5+GanttPeriod),"◆",IF(AND($E126&gt;=DB$5,$E126&lt;DB$5+GanttPeriod),"◇","")),IF(AND(DB$5&lt;=$F126,DB$5+GanttPeriod-1&gt;=$E126),"━","")))</f>
        <v/>
      </c>
      <c r="DC126" s="69" t="str">
        <f aca="false">IF($E126="","",IF($M126,IF(AND($G126&gt;=DC$5,$G126&lt;DC$5+GanttPeriod),"◆",IF(AND($E126&gt;=DC$5,$E126&lt;DC$5+GanttPeriod),"◇","")),IF(AND(DC$5&lt;=$F126,DC$5+GanttPeriod-1&gt;=$E126),"━","")))</f>
        <v/>
      </c>
      <c r="DD126" s="69" t="str">
        <f aca="false">IF($E126="","",IF($M126,IF(AND($G126&gt;=DD$5,$G126&lt;DD$5+GanttPeriod),"◆",IF(AND($E126&gt;=DD$5,$E126&lt;DD$5+GanttPeriod),"◇","")),IF(AND(DD$5&lt;=$F126,DD$5+GanttPeriod-1&gt;=$E126),"━","")))</f>
        <v/>
      </c>
      <c r="DE126" s="69" t="str">
        <f aca="false">IF($E126="","",IF($M126,IF(AND($G126&gt;=DE$5,$G126&lt;DE$5+GanttPeriod),"◆",IF(AND($E126&gt;=DE$5,$E126&lt;DE$5+GanttPeriod),"◇","")),IF(AND(DE$5&lt;=$F126,DE$5+GanttPeriod-1&gt;=$E126),"━","")))</f>
        <v/>
      </c>
      <c r="DF126" s="69" t="str">
        <f aca="false">IF($E126="","",IF($M126,IF(AND($G126&gt;=DF$5,$G126&lt;DF$5+GanttPeriod),"◆",IF(AND($E126&gt;=DF$5,$E126&lt;DF$5+GanttPeriod),"◇","")),IF(AND(DF$5&lt;=$F126,DF$5+GanttPeriod-1&gt;=$E126),"━","")))</f>
        <v/>
      </c>
      <c r="DG126" s="69" t="str">
        <f aca="false">IF($E126="","",IF($M126,IF(AND($G126&gt;=DG$5,$G126&lt;DG$5+GanttPeriod),"◆",IF(AND($E126&gt;=DG$5,$E126&lt;DG$5+GanttPeriod),"◇","")),IF(AND(DG$5&lt;=$F126,DG$5+GanttPeriod-1&gt;=$E126),"━","")))</f>
        <v/>
      </c>
      <c r="DH126" s="69" t="str">
        <f aca="false">IF($E126="","",IF($M126,IF(AND($G126&gt;=DH$5,$G126&lt;DH$5+GanttPeriod),"◆",IF(AND($E126&gt;=DH$5,$E126&lt;DH$5+GanttPeriod),"◇","")),IF(AND(DH$5&lt;=$F126,DH$5+GanttPeriod-1&gt;=$E126),"━","")))</f>
        <v/>
      </c>
      <c r="DI126" s="69" t="str">
        <f aca="false">IF($E126="","",IF($M126,IF(AND($G126&gt;=DI$5,$G126&lt;DI$5+GanttPeriod),"◆",IF(AND($E126&gt;=DI$5,$E126&lt;DI$5+GanttPeriod),"◇","")),IF(AND(DI$5&lt;=$F126,DI$5+GanttPeriod-1&gt;=$E126),"━","")))</f>
        <v/>
      </c>
      <c r="DJ126" s="69" t="str">
        <f aca="false">IF($E126="","",IF($M126,IF(AND($G126&gt;=DJ$5,$G126&lt;DJ$5+GanttPeriod),"◆",IF(AND($E126&gt;=DJ$5,$E126&lt;DJ$5+GanttPeriod),"◇","")),IF(AND(DJ$5&lt;=$F126,DJ$5+GanttPeriod-1&gt;=$E126),"━","")))</f>
        <v/>
      </c>
      <c r="DK126" s="69" t="str">
        <f aca="false">IF($E126="","",IF($M126,IF(AND($G126&gt;=DK$5,$G126&lt;DK$5+GanttPeriod),"◆",IF(AND($E126&gt;=DK$5,$E126&lt;DK$5+GanttPeriod),"◇","")),IF(AND(DK$5&lt;=$F126,DK$5+GanttPeriod-1&gt;=$E126),"━","")))</f>
        <v/>
      </c>
      <c r="DL126" s="69" t="str">
        <f aca="false">IF($E126="","",IF($M126,IF(AND($G126&gt;=DL$5,$G126&lt;DL$5+GanttPeriod),"◆",IF(AND($E126&gt;=DL$5,$E126&lt;DL$5+GanttPeriod),"◇","")),IF(AND(DL$5&lt;=$F126,DL$5+GanttPeriod-1&gt;=$E126),"━","")))</f>
        <v/>
      </c>
      <c r="DM126" s="69" t="str">
        <f aca="false">IF($E126="","",IF($M126,IF(AND($G126&gt;=DM$5,$G126&lt;DM$5+GanttPeriod),"◆",IF(AND($E126&gt;=DM$5,$E126&lt;DM$5+GanttPeriod),"◇","")),IF(AND(DM$5&lt;=$F126,DM$5+GanttPeriod-1&gt;=$E126),"━","")))</f>
        <v/>
      </c>
      <c r="DN126" s="69" t="str">
        <f aca="false">IF($E126="","",IF($M126,IF(AND($G126&gt;=DN$5,$G126&lt;DN$5+GanttPeriod),"◆",IF(AND($E126&gt;=DN$5,$E126&lt;DN$5+GanttPeriod),"◇","")),IF(AND(DN$5&lt;=$F126,DN$5+GanttPeriod-1&gt;=$E126),"━","")))</f>
        <v/>
      </c>
      <c r="DO126" s="69" t="str">
        <f aca="false">IF($E126="","",IF($M126,IF(AND($G126&gt;=DO$5,$G126&lt;DO$5+GanttPeriod),"◆",IF(AND($E126&gt;=DO$5,$E126&lt;DO$5+GanttPeriod),"◇","")),IF(AND(DO$5&lt;=$F126,DO$5+GanttPeriod-1&gt;=$E126),"━","")))</f>
        <v/>
      </c>
      <c r="DP126" s="69" t="str">
        <f aca="false">IF($E126="","",IF($M126,IF(AND($G126&gt;=DP$5,$G126&lt;DP$5+GanttPeriod),"◆",IF(AND($E126&gt;=DP$5,$E126&lt;DP$5+GanttPeriod),"◇","")),IF(AND(DP$5&lt;=$F126,DP$5+GanttPeriod-1&gt;=$E126),"━","")))</f>
        <v/>
      </c>
      <c r="DQ126" s="69" t="str">
        <f aca="false">IF($E126="","",IF($M126,IF(AND($G126&gt;=DQ$5,$G126&lt;DQ$5+GanttPeriod),"◆",IF(AND($E126&gt;=DQ$5,$E126&lt;DQ$5+GanttPeriod),"◇","")),IF(AND(DQ$5&lt;=$F126,DQ$5+GanttPeriod-1&gt;=$E126),"━","")))</f>
        <v/>
      </c>
      <c r="DR126" s="69" t="str">
        <f aca="false">IF($E126="","",IF($M126,IF(AND($G126&gt;=DR$5,$G126&lt;DR$5+GanttPeriod),"◆",IF(AND($E126&gt;=DR$5,$E126&lt;DR$5+GanttPeriod),"◇","")),IF(AND(DR$5&lt;=$F126,DR$5+GanttPeriod-1&gt;=$E126),"━","")))</f>
        <v/>
      </c>
      <c r="DS126" s="69" t="str">
        <f aca="false">IF($E126="","",IF($M126,IF(AND($G126&gt;=DS$5,$G126&lt;DS$5+GanttPeriod),"◆",IF(AND($E126&gt;=DS$5,$E126&lt;DS$5+GanttPeriod),"◇","")),IF(AND(DS$5&lt;=$F126,DS$5+GanttPeriod-1&gt;=$E126),"━","")))</f>
        <v/>
      </c>
      <c r="DT126" s="69" t="str">
        <f aca="false">IF($E126="","",IF($M126,IF(AND($G126&gt;=DT$5,$G126&lt;DT$5+GanttPeriod),"◆",IF(AND($E126&gt;=DT$5,$E126&lt;DT$5+GanttPeriod),"◇","")),IF(AND(DT$5&lt;=$F126,DT$5+GanttPeriod-1&gt;=$E126),"━","")))</f>
        <v/>
      </c>
      <c r="DU126" s="69" t="str">
        <f aca="false">IF($E126="","",IF($M126,IF(AND($G126&gt;=DU$5,$G126&lt;DU$5+GanttPeriod),"◆",IF(AND($E126&gt;=DU$5,$E126&lt;DU$5+GanttPeriod),"◇","")),IF(AND(DU$5&lt;=$F126,DU$5+GanttPeriod-1&gt;=$E126),"━","")))</f>
        <v/>
      </c>
      <c r="DV126" s="69" t="str">
        <f aca="false">IF($E126="","",IF($M126,IF(AND($G126&gt;=DV$5,$G126&lt;DV$5+GanttPeriod),"◆",IF(AND($E126&gt;=DV$5,$E126&lt;DV$5+GanttPeriod),"◇","")),IF(AND(DV$5&lt;=$F126,DV$5+GanttPeriod-1&gt;=$E126),"━","")))</f>
        <v/>
      </c>
      <c r="DW126" s="69" t="str">
        <f aca="false">IF($E126="","",IF($M126,IF(AND($G126&gt;=DW$5,$G126&lt;DW$5+GanttPeriod),"◆",IF(AND($E126&gt;=DW$5,$E126&lt;DW$5+GanttPeriod),"◇","")),IF(AND(DW$5&lt;=$F126,DW$5+GanttPeriod-1&gt;=$E126),"━","")))</f>
        <v/>
      </c>
      <c r="DX126" s="69" t="str">
        <f aca="false">IF($E126="","",IF($M126,IF(AND($G126&gt;=DX$5,$G126&lt;DX$5+GanttPeriod),"◆",IF(AND($E126&gt;=DX$5,$E126&lt;DX$5+GanttPeriod),"◇","")),IF(AND(DX$5&lt;=$F126,DX$5+GanttPeriod-1&gt;=$E126),"━","")))</f>
        <v/>
      </c>
      <c r="DY126" s="69" t="str">
        <f aca="false">IF($E126="","",IF($M126,IF(AND($G126&gt;=DY$5,$G126&lt;DY$5+GanttPeriod),"◆",IF(AND($E126&gt;=DY$5,$E126&lt;DY$5+GanttPeriod),"◇","")),IF(AND(DY$5&lt;=$F126,DY$5+GanttPeriod-1&gt;=$E126),"━","")))</f>
        <v/>
      </c>
      <c r="DZ126" s="69" t="str">
        <f aca="false">IF($E126="","",IF($M126,IF(AND($G126&gt;=DZ$5,$G126&lt;DZ$5+GanttPeriod),"◆",IF(AND($E126&gt;=DZ$5,$E126&lt;DZ$5+GanttPeriod),"◇","")),IF(AND(DZ$5&lt;=$F126,DZ$5+GanttPeriod-1&gt;=$E126),"━","")))</f>
        <v/>
      </c>
      <c r="EA126" s="69" t="str">
        <f aca="false">IF($E126="","",IF($M126,IF(AND($G126&gt;=EA$5,$G126&lt;EA$5+GanttPeriod),"◆",IF(AND($E126&gt;=EA$5,$E126&lt;EA$5+GanttPeriod),"◇","")),IF(AND(EA$5&lt;=$F126,EA$5+GanttPeriod-1&gt;=$E126),"━","")))</f>
        <v/>
      </c>
      <c r="EB126" s="69" t="str">
        <f aca="false">IF($E126="","",IF($M126,IF(AND($G126&gt;=EB$5,$G126&lt;EB$5+GanttPeriod),"◆",IF(AND($E126&gt;=EB$5,$E126&lt;EB$5+GanttPeriod),"◇","")),IF(AND(EB$5&lt;=$F126,EB$5+GanttPeriod-1&gt;=$E126),"━","")))</f>
        <v/>
      </c>
      <c r="EC126" s="69" t="str">
        <f aca="false">IF($E126="","",IF($M126,IF(AND($G126&gt;=EC$5,$G126&lt;EC$5+GanttPeriod),"◆",IF(AND($E126&gt;=EC$5,$E126&lt;EC$5+GanttPeriod),"◇","")),IF(AND(EC$5&lt;=$F126,EC$5+GanttPeriod-1&gt;=$E126),"━","")))</f>
        <v/>
      </c>
      <c r="ED126" s="69" t="str">
        <f aca="false">IF($E126="","",IF($M126,IF(AND($G126&gt;=ED$5,$G126&lt;ED$5+GanttPeriod),"◆",IF(AND($E126&gt;=ED$5,$E126&lt;ED$5+GanttPeriod),"◇","")),IF(AND(ED$5&lt;=$F126,ED$5+GanttPeriod-1&gt;=$E126),"━","")))</f>
        <v/>
      </c>
      <c r="EE126" s="69" t="str">
        <f aca="false">IF($E126="","",IF($M126,IF(AND($G126&gt;=EE$5,$G126&lt;EE$5+GanttPeriod),"◆",IF(AND($E126&gt;=EE$5,$E126&lt;EE$5+GanttPeriod),"◇","")),IF(AND(EE$5&lt;=$F126,EE$5+GanttPeriod-1&gt;=$E126),"━","")))</f>
        <v/>
      </c>
      <c r="EF126" s="69" t="str">
        <f aca="false">IF($E126="","",IF($M126,IF(AND($G126&gt;=EF$5,$G126&lt;EF$5+GanttPeriod),"◆",IF(AND($E126&gt;=EF$5,$E126&lt;EF$5+GanttPeriod),"◇","")),IF(AND(EF$5&lt;=$F126,EF$5+GanttPeriod-1&gt;=$E126),"━","")))</f>
        <v/>
      </c>
      <c r="EG126" s="69" t="str">
        <f aca="false">IF($E126="","",IF($M126,IF(AND($G126&gt;=EG$5,$G126&lt;EG$5+GanttPeriod),"◆",IF(AND($E126&gt;=EG$5,$E126&lt;EG$5+GanttPeriod),"◇","")),IF(AND(EG$5&lt;=$F126,EG$5+GanttPeriod-1&gt;=$E126),"━","")))</f>
        <v/>
      </c>
      <c r="EH126" s="69" t="str">
        <f aca="false">IF($E126="","",IF($M126,IF(AND($G126&gt;=EH$5,$G126&lt;EH$5+GanttPeriod),"◆",IF(AND($E126&gt;=EH$5,$E126&lt;EH$5+GanttPeriod),"◇","")),IF(AND(EH$5&lt;=$F126,EH$5+GanttPeriod-1&gt;=$E126),"━","")))</f>
        <v/>
      </c>
      <c r="EI126" s="69" t="str">
        <f aca="false">IF($E126="","",IF($M126,IF(AND($G126&gt;=EI$5,$G126&lt;EI$5+GanttPeriod),"◆",IF(AND($E126&gt;=EI$5,$E126&lt;EI$5+GanttPeriod),"◇","")),IF(AND(EI$5&lt;=$F126,EI$5+GanttPeriod-1&gt;=$E126),"━","")))</f>
        <v/>
      </c>
      <c r="EJ126" s="69" t="str">
        <f aca="false">IF($E126="","",IF($M126,IF(AND($G126&gt;=EJ$5,$G126&lt;EJ$5+GanttPeriod),"◆",IF(AND($E126&gt;=EJ$5,$E126&lt;EJ$5+GanttPeriod),"◇","")),IF(AND(EJ$5&lt;=$F126,EJ$5+GanttPeriod-1&gt;=$E126),"━","")))</f>
        <v/>
      </c>
      <c r="EK126" s="69" t="str">
        <f aca="false">IF($E126="","",IF($M126,IF(AND($G126&gt;=EK$5,$G126&lt;EK$5+GanttPeriod),"◆",IF(AND($E126&gt;=EK$5,$E126&lt;EK$5+GanttPeriod),"◇","")),IF(AND(EK$5&lt;=$F126,EK$5+GanttPeriod-1&gt;=$E126),"━","")))</f>
        <v/>
      </c>
      <c r="EL126" s="69" t="str">
        <f aca="false">IF($E126="","",IF($M126,IF(AND($G126&gt;=EL$5,$G126&lt;EL$5+GanttPeriod),"◆",IF(AND($E126&gt;=EL$5,$E126&lt;EL$5+GanttPeriod),"◇","")),IF(AND(EL$5&lt;=$F126,EL$5+GanttPeriod-1&gt;=$E126),"━","")))</f>
        <v/>
      </c>
      <c r="EM126" s="69" t="str">
        <f aca="false">IF($E126="","",IF($M126,IF(AND($G126&gt;=EM$5,$G126&lt;EM$5+GanttPeriod),"◆",IF(AND($E126&gt;=EM$5,$E126&lt;EM$5+GanttPeriod),"◇","")),IF(AND(EM$5&lt;=$F126,EM$5+GanttPeriod-1&gt;=$E126),"━","")))</f>
        <v/>
      </c>
      <c r="EN126" s="69" t="str">
        <f aca="false">IF($E126="","",IF($M126,IF(AND($G126&gt;=EN$5,$G126&lt;EN$5+GanttPeriod),"◆",IF(AND($E126&gt;=EN$5,$E126&lt;EN$5+GanttPeriod),"◇","")),IF(AND(EN$5&lt;=$F126,EN$5+GanttPeriod-1&gt;=$E126),"━","")))</f>
        <v/>
      </c>
      <c r="EO126" s="69" t="str">
        <f aca="false">IF($E126="","",IF($M126,IF(AND($G126&gt;=EO$5,$G126&lt;EO$5+GanttPeriod),"◆",IF(AND($E126&gt;=EO$5,$E126&lt;EO$5+GanttPeriod),"◇","")),IF(AND(EO$5&lt;=$F126,EO$5+GanttPeriod-1&gt;=$E126),"━","")))</f>
        <v/>
      </c>
      <c r="EP126" s="69" t="str">
        <f aca="false">IF($E126="","",IF($M126,IF(AND($G126&gt;=EP$5,$G126&lt;EP$5+GanttPeriod),"◆",IF(AND($E126&gt;=EP$5,$E126&lt;EP$5+GanttPeriod),"◇","")),IF(AND(EP$5&lt;=$F126,EP$5+GanttPeriod-1&gt;=$E126),"━","")))</f>
        <v/>
      </c>
      <c r="EQ126" s="69" t="str">
        <f aca="false">IF($E126="","",IF($M126,IF(AND($G126&gt;=EQ$5,$G126&lt;EQ$5+GanttPeriod),"◆",IF(AND($E126&gt;=EQ$5,$E126&lt;EQ$5+GanttPeriod),"◇","")),IF(AND(EQ$5&lt;=$F126,EQ$5+GanttPeriod-1&gt;=$E126),"━","")))</f>
        <v/>
      </c>
      <c r="ER126" s="69" t="str">
        <f aca="false">IF($E126="","",IF($M126,IF(AND($G126&gt;=ER$5,$G126&lt;ER$5+GanttPeriod),"◆",IF(AND($E126&gt;=ER$5,$E126&lt;ER$5+GanttPeriod),"◇","")),IF(AND(ER$5&lt;=$F126,ER$5+GanttPeriod-1&gt;=$E126),"━","")))</f>
        <v/>
      </c>
      <c r="ES126" s="69" t="str">
        <f aca="false">IF($E126="","",IF($M126,IF(AND($G126&gt;=ES$5,$G126&lt;ES$5+GanttPeriod),"◆",IF(AND($E126&gt;=ES$5,$E126&lt;ES$5+GanttPeriod),"◇","")),IF(AND(ES$5&lt;=$F126,ES$5+GanttPeriod-1&gt;=$E126),"━","")))</f>
        <v/>
      </c>
      <c r="ET126" s="69" t="str">
        <f aca="false">IF($E126="","",IF($M126,IF(AND($G126&gt;=ET$5,$G126&lt;ET$5+GanttPeriod),"◆",IF(AND($E126&gt;=ET$5,$E126&lt;ET$5+GanttPeriod),"◇","")),IF(AND(ET$5&lt;=$F126,ET$5+GanttPeriod-1&gt;=$E126),"━","")))</f>
        <v/>
      </c>
      <c r="EU126" s="69" t="str">
        <f aca="false">IF($E126="","",IF($M126,IF(AND($G126&gt;=EU$5,$G126&lt;EU$5+GanttPeriod),"◆",IF(AND($E126&gt;=EU$5,$E126&lt;EU$5+GanttPeriod),"◇","")),IF(AND(EU$5&lt;=$F126,EU$5+GanttPeriod-1&gt;=$E126),"━","")))</f>
        <v/>
      </c>
      <c r="EV126" s="69" t="str">
        <f aca="false">IF($E126="","",IF($M126,IF(AND($G126&gt;=EV$5,$G126&lt;EV$5+GanttPeriod),"◆",IF(AND($E126&gt;=EV$5,$E126&lt;EV$5+GanttPeriod),"◇","")),IF(AND(EV$5&lt;=$F126,EV$5+GanttPeriod-1&gt;=$E126),"━","")))</f>
        <v/>
      </c>
      <c r="EW126" s="69" t="str">
        <f aca="false">IF($E126="","",IF($M126,IF(AND($G126&gt;=EW$5,$G126&lt;EW$5+GanttPeriod),"◆",IF(AND($E126&gt;=EW$5,$E126&lt;EW$5+GanttPeriod),"◇","")),IF(AND(EW$5&lt;=$F126,EW$5+GanttPeriod-1&gt;=$E126),"━","")))</f>
        <v/>
      </c>
      <c r="EX126" s="69" t="str">
        <f aca="false">IF($E126="","",IF($M126,IF(AND($G126&gt;=EX$5,$G126&lt;EX$5+GanttPeriod),"◆",IF(AND($E126&gt;=EX$5,$E126&lt;EX$5+GanttPeriod),"◇","")),IF(AND(EX$5&lt;=$F126,EX$5+GanttPeriod-1&gt;=$E126),"━","")))</f>
        <v/>
      </c>
      <c r="EY126" s="69" t="str">
        <f aca="false">IF($E126="","",IF($M126,IF(AND($G126&gt;=EY$5,$G126&lt;EY$5+GanttPeriod),"◆",IF(AND($E126&gt;=EY$5,$E126&lt;EY$5+GanttPeriod),"◇","")),IF(AND(EY$5&lt;=$F126,EY$5+GanttPeriod-1&gt;=$E126),"━","")))</f>
        <v/>
      </c>
      <c r="EZ126" s="69" t="str">
        <f aca="false">IF($E126="","",IF($M126,IF(AND($G126&gt;=EZ$5,$G126&lt;EZ$5+GanttPeriod),"◆",IF(AND($E126&gt;=EZ$5,$E126&lt;EZ$5+GanttPeriod),"◇","")),IF(AND(EZ$5&lt;=$F126,EZ$5+GanttPeriod-1&gt;=$E126),"━","")))</f>
        <v/>
      </c>
      <c r="FA126" s="69" t="str">
        <f aca="false">IF($E126="","",IF($M126,IF(AND($G126&gt;=FA$5,$G126&lt;FA$5+GanttPeriod),"◆",IF(AND($E126&gt;=FA$5,$E126&lt;FA$5+GanttPeriod),"◇","")),IF(AND(FA$5&lt;=$F126,FA$5+GanttPeriod-1&gt;=$E126),"━","")))</f>
        <v/>
      </c>
      <c r="FB126" s="69" t="str">
        <f aca="false">IF($E126="","",IF($M126,IF(AND($G126&gt;=FB$5,$G126&lt;FB$5+GanttPeriod),"◆",IF(AND($E126&gt;=FB$5,$E126&lt;FB$5+GanttPeriod),"◇","")),IF(AND(FB$5&lt;=$F126,FB$5+GanttPeriod-1&gt;=$E126),"━","")))</f>
        <v/>
      </c>
      <c r="FC126" s="69" t="str">
        <f aca="false">IF($E126="","",IF($M126,IF(AND($G126&gt;=FC$5,$G126&lt;FC$5+GanttPeriod),"◆",IF(AND($E126&gt;=FC$5,$E126&lt;FC$5+GanttPeriod),"◇","")),IF(AND(FC$5&lt;=$F126,FC$5+GanttPeriod-1&gt;=$E126),"━","")))</f>
        <v/>
      </c>
      <c r="FD126" s="69" t="str">
        <f aca="false">IF($E126="","",IF($M126,IF(AND($G126&gt;=FD$5,$G126&lt;FD$5+GanttPeriod),"◆",IF(AND($E126&gt;=FD$5,$E126&lt;FD$5+GanttPeriod),"◇","")),IF(AND(FD$5&lt;=$F126,FD$5+GanttPeriod-1&gt;=$E126),"━","")))</f>
        <v/>
      </c>
      <c r="FE126" s="69" t="str">
        <f aca="false">IF($E126="","",IF($M126,IF(AND($G126&gt;=FE$5,$G126&lt;FE$5+GanttPeriod),"◆",IF(AND($E126&gt;=FE$5,$E126&lt;FE$5+GanttPeriod),"◇","")),IF(AND(FE$5&lt;=$F126,FE$5+GanttPeriod-1&gt;=$E126),"━","")))</f>
        <v/>
      </c>
      <c r="FF126" s="69" t="str">
        <f aca="false">IF($E126="","",IF($M126,IF(AND($G126&gt;=FF$5,$G126&lt;FF$5+GanttPeriod),"◆",IF(AND($E126&gt;=FF$5,$E126&lt;FF$5+GanttPeriod),"◇","")),IF(AND(FF$5&lt;=$F126,FF$5+GanttPeriod-1&gt;=$E126),"━","")))</f>
        <v/>
      </c>
      <c r="FG126" s="69" t="str">
        <f aca="false">IF($E126="","",IF($M126,IF(AND($G126&gt;=FG$5,$G126&lt;FG$5+GanttPeriod),"◆",IF(AND($E126&gt;=FG$5,$E126&lt;FG$5+GanttPeriod),"◇","")),IF(AND(FG$5&lt;=$F126,FG$5+GanttPeriod-1&gt;=$E126),"━","")))</f>
        <v/>
      </c>
      <c r="FH126" s="69" t="str">
        <f aca="false">IF($E126="","",IF($M126,IF(AND($G126&gt;=FH$5,$G126&lt;FH$5+GanttPeriod),"◆",IF(AND($E126&gt;=FH$5,$E126&lt;FH$5+GanttPeriod),"◇","")),IF(AND(FH$5&lt;=$F126,FH$5+GanttPeriod-1&gt;=$E126),"━","")))</f>
        <v/>
      </c>
      <c r="FI126" s="69" t="str">
        <f aca="false">IF($E126="","",IF($M126,IF(AND($G126&gt;=FI$5,$G126&lt;FI$5+GanttPeriod),"◆",IF(AND($E126&gt;=FI$5,$E126&lt;FI$5+GanttPeriod),"◇","")),IF(AND(FI$5&lt;=$F126,FI$5+GanttPeriod-1&gt;=$E126),"━","")))</f>
        <v/>
      </c>
      <c r="FJ126" s="69" t="str">
        <f aca="false">IF($E126="","",IF($M126,IF(AND($G126&gt;=FJ$5,$G126&lt;FJ$5+GanttPeriod),"◆",IF(AND($E126&gt;=FJ$5,$E126&lt;FJ$5+GanttPeriod),"◇","")),IF(AND(FJ$5&lt;=$F126,FJ$5+GanttPeriod-1&gt;=$E126),"━","")))</f>
        <v/>
      </c>
      <c r="FK126" s="69" t="str">
        <f aca="false">IF($E126="","",IF($M126,IF(AND($G126&gt;=FK$5,$G126&lt;FK$5+GanttPeriod),"◆",IF(AND($E126&gt;=FK$5,$E126&lt;FK$5+GanttPeriod),"◇","")),IF(AND(FK$5&lt;=$F126,FK$5+GanttPeriod-1&gt;=$E126),"━","")))</f>
        <v/>
      </c>
      <c r="FL126" s="69" t="str">
        <f aca="false">IF($E126="","",IF($M126,IF(AND($G126&gt;=FL$5,$G126&lt;FL$5+GanttPeriod),"◆",IF(AND($E126&gt;=FL$5,$E126&lt;FL$5+GanttPeriod),"◇","")),IF(AND(FL$5&lt;=$F126,FL$5+GanttPeriod-1&gt;=$E126),"━","")))</f>
        <v/>
      </c>
      <c r="FM126" s="69" t="str">
        <f aca="false">IF($E126="","",IF($M126,IF(AND($G126&gt;=FM$5,$G126&lt;FM$5+GanttPeriod),"◆",IF(AND($E126&gt;=FM$5,$E126&lt;FM$5+GanttPeriod),"◇","")),IF(AND(FM$5&lt;=$F126,FM$5+GanttPeriod-1&gt;=$E126),"━","")))</f>
        <v/>
      </c>
    </row>
    <row r="127" customFormat="false" ht="15" hidden="false" customHeight="false" outlineLevel="0" collapsed="false">
      <c r="A127" s="62" t="str">
        <f aca="false">IF(Tasks!$D127="","",Tasks!$A127)</f>
        <v/>
      </c>
      <c r="B127" s="62" t="str">
        <f aca="false">IF(Tasks!$D127="","",Tasks!$B127)</f>
        <v/>
      </c>
      <c r="C127" s="63" t="str">
        <f aca="false">IF(Tasks!$D127="","",REPT("    ",Tasks!$AE127-1)&amp;Tasks!$D127)</f>
        <v/>
      </c>
      <c r="D127" s="62" t="str">
        <f aca="false">IF(Tasks!$D127="","",IF(Tasks!$AI127,NETWORKDAYS.INTL(Tasks!$R127,Tasks!$S127,WorkWeek,Holidays),N(Tasks!$F127)))</f>
        <v/>
      </c>
      <c r="E127" s="64" t="str">
        <f aca="false">IF(Tasks!$D127="","",Tasks!$N127)</f>
        <v/>
      </c>
      <c r="F127" s="64" t="str">
        <f aca="false">IF(Tasks!$D127="","",Tasks!$O127)</f>
        <v/>
      </c>
      <c r="G127" s="64" t="str">
        <f aca="false">IF(Tasks!$D127="","",Tasks!$R127)</f>
        <v/>
      </c>
      <c r="H127" s="64" t="str">
        <f aca="false">IF(Tasks!$D127="","",Tasks!$S127)</f>
        <v/>
      </c>
      <c r="I127" s="65" t="str">
        <f aca="false">IF(Tasks!$D127="","",Tasks!$V127)</f>
        <v/>
      </c>
      <c r="J127" s="63" t="str">
        <f aca="false">IF(Tasks!$D127="","",Tasks!$X127&amp;"")</f>
        <v/>
      </c>
      <c r="K127" s="66" t="str">
        <f aca="false">IF(Tasks!$D127="","",Tasks!$W127)</f>
        <v/>
      </c>
      <c r="L127" s="67" t="b">
        <f aca="false">IF(Tasks!$D127="",FALSE(),Tasks!$AI127)</f>
        <v>0</v>
      </c>
      <c r="M127" s="67" t="b">
        <f aca="false">AND(Tasks!$AJ127=1,N(Tasks!$F127)=0)</f>
        <v>0</v>
      </c>
      <c r="N127" s="68" t="n">
        <f aca="false">IF(AND(Tasks!$AJ127=1,NOT($M127),N($I127)&gt;0),$G127,0)</f>
        <v>0</v>
      </c>
      <c r="O127" s="68" t="n">
        <f aca="false">IF($N127=0,0,IF($I127&gt;=1,$H127,MAX($N127,$G127+ROUND(($H127-$G127+1)*$I127,0)-1)))</f>
        <v>0</v>
      </c>
      <c r="P127" s="68" t="n">
        <f aca="false">IF(OR(Tasks!$AJ127&lt;&gt;1,$M127,N($I127)&gt;=1),0,IF($O127&gt;0,$O127+1,$G127))</f>
        <v>0</v>
      </c>
      <c r="Q127" s="68" t="n">
        <f aca="false">IF($P127=0,0,$H127)</f>
        <v>0</v>
      </c>
      <c r="R127" s="67" t="b">
        <f aca="false">AND(Tasks!$D127&lt;&gt;"",N(Tasks!$T127)&gt;0)</f>
        <v>0</v>
      </c>
      <c r="T127" s="69" t="str">
        <f aca="false">IF($E127="","",IF($M127,IF(AND($G127&gt;=T$5,$G127&lt;T$5+GanttPeriod),"◆",IF(AND($E127&gt;=T$5,$E127&lt;T$5+GanttPeriod),"◇","")),IF(AND(T$5&lt;=$F127,T$5+GanttPeriod-1&gt;=$E127),"━","")))</f>
        <v/>
      </c>
      <c r="U127" s="69" t="str">
        <f aca="false">IF($E127="","",IF($M127,IF(AND($G127&gt;=U$5,$G127&lt;U$5+GanttPeriod),"◆",IF(AND($E127&gt;=U$5,$E127&lt;U$5+GanttPeriod),"◇","")),IF(AND(U$5&lt;=$F127,U$5+GanttPeriod-1&gt;=$E127),"━","")))</f>
        <v/>
      </c>
      <c r="V127" s="69" t="str">
        <f aca="false">IF($E127="","",IF($M127,IF(AND($G127&gt;=V$5,$G127&lt;V$5+GanttPeriod),"◆",IF(AND($E127&gt;=V$5,$E127&lt;V$5+GanttPeriod),"◇","")),IF(AND(V$5&lt;=$F127,V$5+GanttPeriod-1&gt;=$E127),"━","")))</f>
        <v/>
      </c>
      <c r="W127" s="69" t="str">
        <f aca="false">IF($E127="","",IF($M127,IF(AND($G127&gt;=W$5,$G127&lt;W$5+GanttPeriod),"◆",IF(AND($E127&gt;=W$5,$E127&lt;W$5+GanttPeriod),"◇","")),IF(AND(W$5&lt;=$F127,W$5+GanttPeriod-1&gt;=$E127),"━","")))</f>
        <v/>
      </c>
      <c r="X127" s="69" t="str">
        <f aca="false">IF($E127="","",IF($M127,IF(AND($G127&gt;=X$5,$G127&lt;X$5+GanttPeriod),"◆",IF(AND($E127&gt;=X$5,$E127&lt;X$5+GanttPeriod),"◇","")),IF(AND(X$5&lt;=$F127,X$5+GanttPeriod-1&gt;=$E127),"━","")))</f>
        <v/>
      </c>
      <c r="Y127" s="69" t="str">
        <f aca="false">IF($E127="","",IF($M127,IF(AND($G127&gt;=Y$5,$G127&lt;Y$5+GanttPeriod),"◆",IF(AND($E127&gt;=Y$5,$E127&lt;Y$5+GanttPeriod),"◇","")),IF(AND(Y$5&lt;=$F127,Y$5+GanttPeriod-1&gt;=$E127),"━","")))</f>
        <v/>
      </c>
      <c r="Z127" s="69" t="str">
        <f aca="false">IF($E127="","",IF($M127,IF(AND($G127&gt;=Z$5,$G127&lt;Z$5+GanttPeriod),"◆",IF(AND($E127&gt;=Z$5,$E127&lt;Z$5+GanttPeriod),"◇","")),IF(AND(Z$5&lt;=$F127,Z$5+GanttPeriod-1&gt;=$E127),"━","")))</f>
        <v/>
      </c>
      <c r="AA127" s="69" t="str">
        <f aca="false">IF($E127="","",IF($M127,IF(AND($G127&gt;=AA$5,$G127&lt;AA$5+GanttPeriod),"◆",IF(AND($E127&gt;=AA$5,$E127&lt;AA$5+GanttPeriod),"◇","")),IF(AND(AA$5&lt;=$F127,AA$5+GanttPeriod-1&gt;=$E127),"━","")))</f>
        <v/>
      </c>
      <c r="AB127" s="69" t="str">
        <f aca="false">IF($E127="","",IF($M127,IF(AND($G127&gt;=AB$5,$G127&lt;AB$5+GanttPeriod),"◆",IF(AND($E127&gt;=AB$5,$E127&lt;AB$5+GanttPeriod),"◇","")),IF(AND(AB$5&lt;=$F127,AB$5+GanttPeriod-1&gt;=$E127),"━","")))</f>
        <v/>
      </c>
      <c r="AC127" s="69" t="str">
        <f aca="false">IF($E127="","",IF($M127,IF(AND($G127&gt;=AC$5,$G127&lt;AC$5+GanttPeriod),"◆",IF(AND($E127&gt;=AC$5,$E127&lt;AC$5+GanttPeriod),"◇","")),IF(AND(AC$5&lt;=$F127,AC$5+GanttPeriod-1&gt;=$E127),"━","")))</f>
        <v/>
      </c>
      <c r="AD127" s="69" t="str">
        <f aca="false">IF($E127="","",IF($M127,IF(AND($G127&gt;=AD$5,$G127&lt;AD$5+GanttPeriod),"◆",IF(AND($E127&gt;=AD$5,$E127&lt;AD$5+GanttPeriod),"◇","")),IF(AND(AD$5&lt;=$F127,AD$5+GanttPeriod-1&gt;=$E127),"━","")))</f>
        <v/>
      </c>
      <c r="AE127" s="69" t="str">
        <f aca="false">IF($E127="","",IF($M127,IF(AND($G127&gt;=AE$5,$G127&lt;AE$5+GanttPeriod),"◆",IF(AND($E127&gt;=AE$5,$E127&lt;AE$5+GanttPeriod),"◇","")),IF(AND(AE$5&lt;=$F127,AE$5+GanttPeriod-1&gt;=$E127),"━","")))</f>
        <v/>
      </c>
      <c r="AF127" s="69" t="str">
        <f aca="false">IF($E127="","",IF($M127,IF(AND($G127&gt;=AF$5,$G127&lt;AF$5+GanttPeriod),"◆",IF(AND($E127&gt;=AF$5,$E127&lt;AF$5+GanttPeriod),"◇","")),IF(AND(AF$5&lt;=$F127,AF$5+GanttPeriod-1&gt;=$E127),"━","")))</f>
        <v/>
      </c>
      <c r="AG127" s="69" t="str">
        <f aca="false">IF($E127="","",IF($M127,IF(AND($G127&gt;=AG$5,$G127&lt;AG$5+GanttPeriod),"◆",IF(AND($E127&gt;=AG$5,$E127&lt;AG$5+GanttPeriod),"◇","")),IF(AND(AG$5&lt;=$F127,AG$5+GanttPeriod-1&gt;=$E127),"━","")))</f>
        <v/>
      </c>
      <c r="AH127" s="69" t="str">
        <f aca="false">IF($E127="","",IF($M127,IF(AND($G127&gt;=AH$5,$G127&lt;AH$5+GanttPeriod),"◆",IF(AND($E127&gt;=AH$5,$E127&lt;AH$5+GanttPeriod),"◇","")),IF(AND(AH$5&lt;=$F127,AH$5+GanttPeriod-1&gt;=$E127),"━","")))</f>
        <v/>
      </c>
      <c r="AI127" s="69" t="str">
        <f aca="false">IF($E127="","",IF($M127,IF(AND($G127&gt;=AI$5,$G127&lt;AI$5+GanttPeriod),"◆",IF(AND($E127&gt;=AI$5,$E127&lt;AI$5+GanttPeriod),"◇","")),IF(AND(AI$5&lt;=$F127,AI$5+GanttPeriod-1&gt;=$E127),"━","")))</f>
        <v/>
      </c>
      <c r="AJ127" s="69" t="str">
        <f aca="false">IF($E127="","",IF($M127,IF(AND($G127&gt;=AJ$5,$G127&lt;AJ$5+GanttPeriod),"◆",IF(AND($E127&gt;=AJ$5,$E127&lt;AJ$5+GanttPeriod),"◇","")),IF(AND(AJ$5&lt;=$F127,AJ$5+GanttPeriod-1&gt;=$E127),"━","")))</f>
        <v/>
      </c>
      <c r="AK127" s="69" t="str">
        <f aca="false">IF($E127="","",IF($M127,IF(AND($G127&gt;=AK$5,$G127&lt;AK$5+GanttPeriod),"◆",IF(AND($E127&gt;=AK$5,$E127&lt;AK$5+GanttPeriod),"◇","")),IF(AND(AK$5&lt;=$F127,AK$5+GanttPeriod-1&gt;=$E127),"━","")))</f>
        <v/>
      </c>
      <c r="AL127" s="69" t="str">
        <f aca="false">IF($E127="","",IF($M127,IF(AND($G127&gt;=AL$5,$G127&lt;AL$5+GanttPeriod),"◆",IF(AND($E127&gt;=AL$5,$E127&lt;AL$5+GanttPeriod),"◇","")),IF(AND(AL$5&lt;=$F127,AL$5+GanttPeriod-1&gt;=$E127),"━","")))</f>
        <v/>
      </c>
      <c r="AM127" s="69" t="str">
        <f aca="false">IF($E127="","",IF($M127,IF(AND($G127&gt;=AM$5,$G127&lt;AM$5+GanttPeriod),"◆",IF(AND($E127&gt;=AM$5,$E127&lt;AM$5+GanttPeriod),"◇","")),IF(AND(AM$5&lt;=$F127,AM$5+GanttPeriod-1&gt;=$E127),"━","")))</f>
        <v/>
      </c>
      <c r="AN127" s="69" t="str">
        <f aca="false">IF($E127="","",IF($M127,IF(AND($G127&gt;=AN$5,$G127&lt;AN$5+GanttPeriod),"◆",IF(AND($E127&gt;=AN$5,$E127&lt;AN$5+GanttPeriod),"◇","")),IF(AND(AN$5&lt;=$F127,AN$5+GanttPeriod-1&gt;=$E127),"━","")))</f>
        <v/>
      </c>
      <c r="AO127" s="69" t="str">
        <f aca="false">IF($E127="","",IF($M127,IF(AND($G127&gt;=AO$5,$G127&lt;AO$5+GanttPeriod),"◆",IF(AND($E127&gt;=AO$5,$E127&lt;AO$5+GanttPeriod),"◇","")),IF(AND(AO$5&lt;=$F127,AO$5+GanttPeriod-1&gt;=$E127),"━","")))</f>
        <v/>
      </c>
      <c r="AP127" s="69" t="str">
        <f aca="false">IF($E127="","",IF($M127,IF(AND($G127&gt;=AP$5,$G127&lt;AP$5+GanttPeriod),"◆",IF(AND($E127&gt;=AP$5,$E127&lt;AP$5+GanttPeriod),"◇","")),IF(AND(AP$5&lt;=$F127,AP$5+GanttPeriod-1&gt;=$E127),"━","")))</f>
        <v/>
      </c>
      <c r="AQ127" s="69" t="str">
        <f aca="false">IF($E127="","",IF($M127,IF(AND($G127&gt;=AQ$5,$G127&lt;AQ$5+GanttPeriod),"◆",IF(AND($E127&gt;=AQ$5,$E127&lt;AQ$5+GanttPeriod),"◇","")),IF(AND(AQ$5&lt;=$F127,AQ$5+GanttPeriod-1&gt;=$E127),"━","")))</f>
        <v/>
      </c>
      <c r="AR127" s="69" t="str">
        <f aca="false">IF($E127="","",IF($M127,IF(AND($G127&gt;=AR$5,$G127&lt;AR$5+GanttPeriod),"◆",IF(AND($E127&gt;=AR$5,$E127&lt;AR$5+GanttPeriod),"◇","")),IF(AND(AR$5&lt;=$F127,AR$5+GanttPeriod-1&gt;=$E127),"━","")))</f>
        <v/>
      </c>
      <c r="AS127" s="69" t="str">
        <f aca="false">IF($E127="","",IF($M127,IF(AND($G127&gt;=AS$5,$G127&lt;AS$5+GanttPeriod),"◆",IF(AND($E127&gt;=AS$5,$E127&lt;AS$5+GanttPeriod),"◇","")),IF(AND(AS$5&lt;=$F127,AS$5+GanttPeriod-1&gt;=$E127),"━","")))</f>
        <v/>
      </c>
      <c r="AT127" s="69" t="str">
        <f aca="false">IF($E127="","",IF($M127,IF(AND($G127&gt;=AT$5,$G127&lt;AT$5+GanttPeriod),"◆",IF(AND($E127&gt;=AT$5,$E127&lt;AT$5+GanttPeriod),"◇","")),IF(AND(AT$5&lt;=$F127,AT$5+GanttPeriod-1&gt;=$E127),"━","")))</f>
        <v/>
      </c>
      <c r="AU127" s="69" t="str">
        <f aca="false">IF($E127="","",IF($M127,IF(AND($G127&gt;=AU$5,$G127&lt;AU$5+GanttPeriod),"◆",IF(AND($E127&gt;=AU$5,$E127&lt;AU$5+GanttPeriod),"◇","")),IF(AND(AU$5&lt;=$F127,AU$5+GanttPeriod-1&gt;=$E127),"━","")))</f>
        <v/>
      </c>
      <c r="AV127" s="69" t="str">
        <f aca="false">IF($E127="","",IF($M127,IF(AND($G127&gt;=AV$5,$G127&lt;AV$5+GanttPeriod),"◆",IF(AND($E127&gt;=AV$5,$E127&lt;AV$5+GanttPeriod),"◇","")),IF(AND(AV$5&lt;=$F127,AV$5+GanttPeriod-1&gt;=$E127),"━","")))</f>
        <v/>
      </c>
      <c r="AW127" s="69" t="str">
        <f aca="false">IF($E127="","",IF($M127,IF(AND($G127&gt;=AW$5,$G127&lt;AW$5+GanttPeriod),"◆",IF(AND($E127&gt;=AW$5,$E127&lt;AW$5+GanttPeriod),"◇","")),IF(AND(AW$5&lt;=$F127,AW$5+GanttPeriod-1&gt;=$E127),"━","")))</f>
        <v/>
      </c>
      <c r="AX127" s="69" t="str">
        <f aca="false">IF($E127="","",IF($M127,IF(AND($G127&gt;=AX$5,$G127&lt;AX$5+GanttPeriod),"◆",IF(AND($E127&gt;=AX$5,$E127&lt;AX$5+GanttPeriod),"◇","")),IF(AND(AX$5&lt;=$F127,AX$5+GanttPeriod-1&gt;=$E127),"━","")))</f>
        <v/>
      </c>
      <c r="AY127" s="69" t="str">
        <f aca="false">IF($E127="","",IF($M127,IF(AND($G127&gt;=AY$5,$G127&lt;AY$5+GanttPeriod),"◆",IF(AND($E127&gt;=AY$5,$E127&lt;AY$5+GanttPeriod),"◇","")),IF(AND(AY$5&lt;=$F127,AY$5+GanttPeriod-1&gt;=$E127),"━","")))</f>
        <v/>
      </c>
      <c r="AZ127" s="69" t="str">
        <f aca="false">IF($E127="","",IF($M127,IF(AND($G127&gt;=AZ$5,$G127&lt;AZ$5+GanttPeriod),"◆",IF(AND($E127&gt;=AZ$5,$E127&lt;AZ$5+GanttPeriod),"◇","")),IF(AND(AZ$5&lt;=$F127,AZ$5+GanttPeriod-1&gt;=$E127),"━","")))</f>
        <v/>
      </c>
      <c r="BA127" s="69" t="str">
        <f aca="false">IF($E127="","",IF($M127,IF(AND($G127&gt;=BA$5,$G127&lt;BA$5+GanttPeriod),"◆",IF(AND($E127&gt;=BA$5,$E127&lt;BA$5+GanttPeriod),"◇","")),IF(AND(BA$5&lt;=$F127,BA$5+GanttPeriod-1&gt;=$E127),"━","")))</f>
        <v/>
      </c>
      <c r="BB127" s="69" t="str">
        <f aca="false">IF($E127="","",IF($M127,IF(AND($G127&gt;=BB$5,$G127&lt;BB$5+GanttPeriod),"◆",IF(AND($E127&gt;=BB$5,$E127&lt;BB$5+GanttPeriod),"◇","")),IF(AND(BB$5&lt;=$F127,BB$5+GanttPeriod-1&gt;=$E127),"━","")))</f>
        <v/>
      </c>
      <c r="BC127" s="69" t="str">
        <f aca="false">IF($E127="","",IF($M127,IF(AND($G127&gt;=BC$5,$G127&lt;BC$5+GanttPeriod),"◆",IF(AND($E127&gt;=BC$5,$E127&lt;BC$5+GanttPeriod),"◇","")),IF(AND(BC$5&lt;=$F127,BC$5+GanttPeriod-1&gt;=$E127),"━","")))</f>
        <v/>
      </c>
      <c r="BD127" s="69" t="str">
        <f aca="false">IF($E127="","",IF($M127,IF(AND($G127&gt;=BD$5,$G127&lt;BD$5+GanttPeriod),"◆",IF(AND($E127&gt;=BD$5,$E127&lt;BD$5+GanttPeriod),"◇","")),IF(AND(BD$5&lt;=$F127,BD$5+GanttPeriod-1&gt;=$E127),"━","")))</f>
        <v/>
      </c>
      <c r="BE127" s="69" t="str">
        <f aca="false">IF($E127="","",IF($M127,IF(AND($G127&gt;=BE$5,$G127&lt;BE$5+GanttPeriod),"◆",IF(AND($E127&gt;=BE$5,$E127&lt;BE$5+GanttPeriod),"◇","")),IF(AND(BE$5&lt;=$F127,BE$5+GanttPeriod-1&gt;=$E127),"━","")))</f>
        <v/>
      </c>
      <c r="BF127" s="69" t="str">
        <f aca="false">IF($E127="","",IF($M127,IF(AND($G127&gt;=BF$5,$G127&lt;BF$5+GanttPeriod),"◆",IF(AND($E127&gt;=BF$5,$E127&lt;BF$5+GanttPeriod),"◇","")),IF(AND(BF$5&lt;=$F127,BF$5+GanttPeriod-1&gt;=$E127),"━","")))</f>
        <v/>
      </c>
      <c r="BG127" s="69" t="str">
        <f aca="false">IF($E127="","",IF($M127,IF(AND($G127&gt;=BG$5,$G127&lt;BG$5+GanttPeriod),"◆",IF(AND($E127&gt;=BG$5,$E127&lt;BG$5+GanttPeriod),"◇","")),IF(AND(BG$5&lt;=$F127,BG$5+GanttPeriod-1&gt;=$E127),"━","")))</f>
        <v/>
      </c>
      <c r="BH127" s="69" t="str">
        <f aca="false">IF($E127="","",IF($M127,IF(AND($G127&gt;=BH$5,$G127&lt;BH$5+GanttPeriod),"◆",IF(AND($E127&gt;=BH$5,$E127&lt;BH$5+GanttPeriod),"◇","")),IF(AND(BH$5&lt;=$F127,BH$5+GanttPeriod-1&gt;=$E127),"━","")))</f>
        <v/>
      </c>
      <c r="BI127" s="69" t="str">
        <f aca="false">IF($E127="","",IF($M127,IF(AND($G127&gt;=BI$5,$G127&lt;BI$5+GanttPeriod),"◆",IF(AND($E127&gt;=BI$5,$E127&lt;BI$5+GanttPeriod),"◇","")),IF(AND(BI$5&lt;=$F127,BI$5+GanttPeriod-1&gt;=$E127),"━","")))</f>
        <v/>
      </c>
      <c r="BJ127" s="69" t="str">
        <f aca="false">IF($E127="","",IF($M127,IF(AND($G127&gt;=BJ$5,$G127&lt;BJ$5+GanttPeriod),"◆",IF(AND($E127&gt;=BJ$5,$E127&lt;BJ$5+GanttPeriod),"◇","")),IF(AND(BJ$5&lt;=$F127,BJ$5+GanttPeriod-1&gt;=$E127),"━","")))</f>
        <v/>
      </c>
      <c r="BK127" s="69" t="str">
        <f aca="false">IF($E127="","",IF($M127,IF(AND($G127&gt;=BK$5,$G127&lt;BK$5+GanttPeriod),"◆",IF(AND($E127&gt;=BK$5,$E127&lt;BK$5+GanttPeriod),"◇","")),IF(AND(BK$5&lt;=$F127,BK$5+GanttPeriod-1&gt;=$E127),"━","")))</f>
        <v/>
      </c>
      <c r="BL127" s="69" t="str">
        <f aca="false">IF($E127="","",IF($M127,IF(AND($G127&gt;=BL$5,$G127&lt;BL$5+GanttPeriod),"◆",IF(AND($E127&gt;=BL$5,$E127&lt;BL$5+GanttPeriod),"◇","")),IF(AND(BL$5&lt;=$F127,BL$5+GanttPeriod-1&gt;=$E127),"━","")))</f>
        <v/>
      </c>
      <c r="BM127" s="69" t="str">
        <f aca="false">IF($E127="","",IF($M127,IF(AND($G127&gt;=BM$5,$G127&lt;BM$5+GanttPeriod),"◆",IF(AND($E127&gt;=BM$5,$E127&lt;BM$5+GanttPeriod),"◇","")),IF(AND(BM$5&lt;=$F127,BM$5+GanttPeriod-1&gt;=$E127),"━","")))</f>
        <v/>
      </c>
      <c r="BN127" s="69" t="str">
        <f aca="false">IF($E127="","",IF($M127,IF(AND($G127&gt;=BN$5,$G127&lt;BN$5+GanttPeriod),"◆",IF(AND($E127&gt;=BN$5,$E127&lt;BN$5+GanttPeriod),"◇","")),IF(AND(BN$5&lt;=$F127,BN$5+GanttPeriod-1&gt;=$E127),"━","")))</f>
        <v/>
      </c>
      <c r="BO127" s="69" t="str">
        <f aca="false">IF($E127="","",IF($M127,IF(AND($G127&gt;=BO$5,$G127&lt;BO$5+GanttPeriod),"◆",IF(AND($E127&gt;=BO$5,$E127&lt;BO$5+GanttPeriod),"◇","")),IF(AND(BO$5&lt;=$F127,BO$5+GanttPeriod-1&gt;=$E127),"━","")))</f>
        <v/>
      </c>
      <c r="BP127" s="69" t="str">
        <f aca="false">IF($E127="","",IF($M127,IF(AND($G127&gt;=BP$5,$G127&lt;BP$5+GanttPeriod),"◆",IF(AND($E127&gt;=BP$5,$E127&lt;BP$5+GanttPeriod),"◇","")),IF(AND(BP$5&lt;=$F127,BP$5+GanttPeriod-1&gt;=$E127),"━","")))</f>
        <v/>
      </c>
      <c r="BQ127" s="69" t="str">
        <f aca="false">IF($E127="","",IF($M127,IF(AND($G127&gt;=BQ$5,$G127&lt;BQ$5+GanttPeriod),"◆",IF(AND($E127&gt;=BQ$5,$E127&lt;BQ$5+GanttPeriod),"◇","")),IF(AND(BQ$5&lt;=$F127,BQ$5+GanttPeriod-1&gt;=$E127),"━","")))</f>
        <v/>
      </c>
      <c r="BR127" s="69" t="str">
        <f aca="false">IF($E127="","",IF($M127,IF(AND($G127&gt;=BR$5,$G127&lt;BR$5+GanttPeriod),"◆",IF(AND($E127&gt;=BR$5,$E127&lt;BR$5+GanttPeriod),"◇","")),IF(AND(BR$5&lt;=$F127,BR$5+GanttPeriod-1&gt;=$E127),"━","")))</f>
        <v/>
      </c>
      <c r="BS127" s="69" t="str">
        <f aca="false">IF($E127="","",IF($M127,IF(AND($G127&gt;=BS$5,$G127&lt;BS$5+GanttPeriod),"◆",IF(AND($E127&gt;=BS$5,$E127&lt;BS$5+GanttPeriod),"◇","")),IF(AND(BS$5&lt;=$F127,BS$5+GanttPeriod-1&gt;=$E127),"━","")))</f>
        <v/>
      </c>
      <c r="BT127" s="69" t="str">
        <f aca="false">IF($E127="","",IF($M127,IF(AND($G127&gt;=BT$5,$G127&lt;BT$5+GanttPeriod),"◆",IF(AND($E127&gt;=BT$5,$E127&lt;BT$5+GanttPeriod),"◇","")),IF(AND(BT$5&lt;=$F127,BT$5+GanttPeriod-1&gt;=$E127),"━","")))</f>
        <v/>
      </c>
      <c r="BU127" s="69" t="str">
        <f aca="false">IF($E127="","",IF($M127,IF(AND($G127&gt;=BU$5,$G127&lt;BU$5+GanttPeriod),"◆",IF(AND($E127&gt;=BU$5,$E127&lt;BU$5+GanttPeriod),"◇","")),IF(AND(BU$5&lt;=$F127,BU$5+GanttPeriod-1&gt;=$E127),"━","")))</f>
        <v/>
      </c>
      <c r="BV127" s="69" t="str">
        <f aca="false">IF($E127="","",IF($M127,IF(AND($G127&gt;=BV$5,$G127&lt;BV$5+GanttPeriod),"◆",IF(AND($E127&gt;=BV$5,$E127&lt;BV$5+GanttPeriod),"◇","")),IF(AND(BV$5&lt;=$F127,BV$5+GanttPeriod-1&gt;=$E127),"━","")))</f>
        <v/>
      </c>
      <c r="BW127" s="69" t="str">
        <f aca="false">IF($E127="","",IF($M127,IF(AND($G127&gt;=BW$5,$G127&lt;BW$5+GanttPeriod),"◆",IF(AND($E127&gt;=BW$5,$E127&lt;BW$5+GanttPeriod),"◇","")),IF(AND(BW$5&lt;=$F127,BW$5+GanttPeriod-1&gt;=$E127),"━","")))</f>
        <v/>
      </c>
      <c r="BX127" s="69" t="str">
        <f aca="false">IF($E127="","",IF($M127,IF(AND($G127&gt;=BX$5,$G127&lt;BX$5+GanttPeriod),"◆",IF(AND($E127&gt;=BX$5,$E127&lt;BX$5+GanttPeriod),"◇","")),IF(AND(BX$5&lt;=$F127,BX$5+GanttPeriod-1&gt;=$E127),"━","")))</f>
        <v/>
      </c>
      <c r="BY127" s="69" t="str">
        <f aca="false">IF($E127="","",IF($M127,IF(AND($G127&gt;=BY$5,$G127&lt;BY$5+GanttPeriod),"◆",IF(AND($E127&gt;=BY$5,$E127&lt;BY$5+GanttPeriod),"◇","")),IF(AND(BY$5&lt;=$F127,BY$5+GanttPeriod-1&gt;=$E127),"━","")))</f>
        <v/>
      </c>
      <c r="BZ127" s="69" t="str">
        <f aca="false">IF($E127="","",IF($M127,IF(AND($G127&gt;=BZ$5,$G127&lt;BZ$5+GanttPeriod),"◆",IF(AND($E127&gt;=BZ$5,$E127&lt;BZ$5+GanttPeriod),"◇","")),IF(AND(BZ$5&lt;=$F127,BZ$5+GanttPeriod-1&gt;=$E127),"━","")))</f>
        <v/>
      </c>
      <c r="CA127" s="69" t="str">
        <f aca="false">IF($E127="","",IF($M127,IF(AND($G127&gt;=CA$5,$G127&lt;CA$5+GanttPeriod),"◆",IF(AND($E127&gt;=CA$5,$E127&lt;CA$5+GanttPeriod),"◇","")),IF(AND(CA$5&lt;=$F127,CA$5+GanttPeriod-1&gt;=$E127),"━","")))</f>
        <v/>
      </c>
      <c r="CB127" s="69" t="str">
        <f aca="false">IF($E127="","",IF($M127,IF(AND($G127&gt;=CB$5,$G127&lt;CB$5+GanttPeriod),"◆",IF(AND($E127&gt;=CB$5,$E127&lt;CB$5+GanttPeriod),"◇","")),IF(AND(CB$5&lt;=$F127,CB$5+GanttPeriod-1&gt;=$E127),"━","")))</f>
        <v/>
      </c>
      <c r="CC127" s="69" t="str">
        <f aca="false">IF($E127="","",IF($M127,IF(AND($G127&gt;=CC$5,$G127&lt;CC$5+GanttPeriod),"◆",IF(AND($E127&gt;=CC$5,$E127&lt;CC$5+GanttPeriod),"◇","")),IF(AND(CC$5&lt;=$F127,CC$5+GanttPeriod-1&gt;=$E127),"━","")))</f>
        <v/>
      </c>
      <c r="CD127" s="69" t="str">
        <f aca="false">IF($E127="","",IF($M127,IF(AND($G127&gt;=CD$5,$G127&lt;CD$5+GanttPeriod),"◆",IF(AND($E127&gt;=CD$5,$E127&lt;CD$5+GanttPeriod),"◇","")),IF(AND(CD$5&lt;=$F127,CD$5+GanttPeriod-1&gt;=$E127),"━","")))</f>
        <v/>
      </c>
      <c r="CE127" s="69" t="str">
        <f aca="false">IF($E127="","",IF($M127,IF(AND($G127&gt;=CE$5,$G127&lt;CE$5+GanttPeriod),"◆",IF(AND($E127&gt;=CE$5,$E127&lt;CE$5+GanttPeriod),"◇","")),IF(AND(CE$5&lt;=$F127,CE$5+GanttPeriod-1&gt;=$E127),"━","")))</f>
        <v/>
      </c>
      <c r="CF127" s="69" t="str">
        <f aca="false">IF($E127="","",IF($M127,IF(AND($G127&gt;=CF$5,$G127&lt;CF$5+GanttPeriod),"◆",IF(AND($E127&gt;=CF$5,$E127&lt;CF$5+GanttPeriod),"◇","")),IF(AND(CF$5&lt;=$F127,CF$5+GanttPeriod-1&gt;=$E127),"━","")))</f>
        <v/>
      </c>
      <c r="CG127" s="69" t="str">
        <f aca="false">IF($E127="","",IF($M127,IF(AND($G127&gt;=CG$5,$G127&lt;CG$5+GanttPeriod),"◆",IF(AND($E127&gt;=CG$5,$E127&lt;CG$5+GanttPeriod),"◇","")),IF(AND(CG$5&lt;=$F127,CG$5+GanttPeriod-1&gt;=$E127),"━","")))</f>
        <v/>
      </c>
      <c r="CH127" s="69" t="str">
        <f aca="false">IF($E127="","",IF($M127,IF(AND($G127&gt;=CH$5,$G127&lt;CH$5+GanttPeriod),"◆",IF(AND($E127&gt;=CH$5,$E127&lt;CH$5+GanttPeriod),"◇","")),IF(AND(CH$5&lt;=$F127,CH$5+GanttPeriod-1&gt;=$E127),"━","")))</f>
        <v/>
      </c>
      <c r="CI127" s="69" t="str">
        <f aca="false">IF($E127="","",IF($M127,IF(AND($G127&gt;=CI$5,$G127&lt;CI$5+GanttPeriod),"◆",IF(AND($E127&gt;=CI$5,$E127&lt;CI$5+GanttPeriod),"◇","")),IF(AND(CI$5&lt;=$F127,CI$5+GanttPeriod-1&gt;=$E127),"━","")))</f>
        <v/>
      </c>
      <c r="CJ127" s="69" t="str">
        <f aca="false">IF($E127="","",IF($M127,IF(AND($G127&gt;=CJ$5,$G127&lt;CJ$5+GanttPeriod),"◆",IF(AND($E127&gt;=CJ$5,$E127&lt;CJ$5+GanttPeriod),"◇","")),IF(AND(CJ$5&lt;=$F127,CJ$5+GanttPeriod-1&gt;=$E127),"━","")))</f>
        <v/>
      </c>
      <c r="CK127" s="69" t="str">
        <f aca="false">IF($E127="","",IF($M127,IF(AND($G127&gt;=CK$5,$G127&lt;CK$5+GanttPeriod),"◆",IF(AND($E127&gt;=CK$5,$E127&lt;CK$5+GanttPeriod),"◇","")),IF(AND(CK$5&lt;=$F127,CK$5+GanttPeriod-1&gt;=$E127),"━","")))</f>
        <v/>
      </c>
      <c r="CL127" s="69" t="str">
        <f aca="false">IF($E127="","",IF($M127,IF(AND($G127&gt;=CL$5,$G127&lt;CL$5+GanttPeriod),"◆",IF(AND($E127&gt;=CL$5,$E127&lt;CL$5+GanttPeriod),"◇","")),IF(AND(CL$5&lt;=$F127,CL$5+GanttPeriod-1&gt;=$E127),"━","")))</f>
        <v/>
      </c>
      <c r="CM127" s="69" t="str">
        <f aca="false">IF($E127="","",IF($M127,IF(AND($G127&gt;=CM$5,$G127&lt;CM$5+GanttPeriod),"◆",IF(AND($E127&gt;=CM$5,$E127&lt;CM$5+GanttPeriod),"◇","")),IF(AND(CM$5&lt;=$F127,CM$5+GanttPeriod-1&gt;=$E127),"━","")))</f>
        <v/>
      </c>
      <c r="CN127" s="69" t="str">
        <f aca="false">IF($E127="","",IF($M127,IF(AND($G127&gt;=CN$5,$G127&lt;CN$5+GanttPeriod),"◆",IF(AND($E127&gt;=CN$5,$E127&lt;CN$5+GanttPeriod),"◇","")),IF(AND(CN$5&lt;=$F127,CN$5+GanttPeriod-1&gt;=$E127),"━","")))</f>
        <v/>
      </c>
      <c r="CO127" s="69" t="str">
        <f aca="false">IF($E127="","",IF($M127,IF(AND($G127&gt;=CO$5,$G127&lt;CO$5+GanttPeriod),"◆",IF(AND($E127&gt;=CO$5,$E127&lt;CO$5+GanttPeriod),"◇","")),IF(AND(CO$5&lt;=$F127,CO$5+GanttPeriod-1&gt;=$E127),"━","")))</f>
        <v/>
      </c>
      <c r="CP127" s="69" t="str">
        <f aca="false">IF($E127="","",IF($M127,IF(AND($G127&gt;=CP$5,$G127&lt;CP$5+GanttPeriod),"◆",IF(AND($E127&gt;=CP$5,$E127&lt;CP$5+GanttPeriod),"◇","")),IF(AND(CP$5&lt;=$F127,CP$5+GanttPeriod-1&gt;=$E127),"━","")))</f>
        <v/>
      </c>
      <c r="CQ127" s="69" t="str">
        <f aca="false">IF($E127="","",IF($M127,IF(AND($G127&gt;=CQ$5,$G127&lt;CQ$5+GanttPeriod),"◆",IF(AND($E127&gt;=CQ$5,$E127&lt;CQ$5+GanttPeriod),"◇","")),IF(AND(CQ$5&lt;=$F127,CQ$5+GanttPeriod-1&gt;=$E127),"━","")))</f>
        <v/>
      </c>
      <c r="CR127" s="69" t="str">
        <f aca="false">IF($E127="","",IF($M127,IF(AND($G127&gt;=CR$5,$G127&lt;CR$5+GanttPeriod),"◆",IF(AND($E127&gt;=CR$5,$E127&lt;CR$5+GanttPeriod),"◇","")),IF(AND(CR$5&lt;=$F127,CR$5+GanttPeriod-1&gt;=$E127),"━","")))</f>
        <v/>
      </c>
      <c r="CS127" s="69" t="str">
        <f aca="false">IF($E127="","",IF($M127,IF(AND($G127&gt;=CS$5,$G127&lt;CS$5+GanttPeriod),"◆",IF(AND($E127&gt;=CS$5,$E127&lt;CS$5+GanttPeriod),"◇","")),IF(AND(CS$5&lt;=$F127,CS$5+GanttPeriod-1&gt;=$E127),"━","")))</f>
        <v/>
      </c>
      <c r="CT127" s="69" t="str">
        <f aca="false">IF($E127="","",IF($M127,IF(AND($G127&gt;=CT$5,$G127&lt;CT$5+GanttPeriod),"◆",IF(AND($E127&gt;=CT$5,$E127&lt;CT$5+GanttPeriod),"◇","")),IF(AND(CT$5&lt;=$F127,CT$5+GanttPeriod-1&gt;=$E127),"━","")))</f>
        <v/>
      </c>
      <c r="CU127" s="69" t="str">
        <f aca="false">IF($E127="","",IF($M127,IF(AND($G127&gt;=CU$5,$G127&lt;CU$5+GanttPeriod),"◆",IF(AND($E127&gt;=CU$5,$E127&lt;CU$5+GanttPeriod),"◇","")),IF(AND(CU$5&lt;=$F127,CU$5+GanttPeriod-1&gt;=$E127),"━","")))</f>
        <v/>
      </c>
      <c r="CV127" s="69" t="str">
        <f aca="false">IF($E127="","",IF($M127,IF(AND($G127&gt;=CV$5,$G127&lt;CV$5+GanttPeriod),"◆",IF(AND($E127&gt;=CV$5,$E127&lt;CV$5+GanttPeriod),"◇","")),IF(AND(CV$5&lt;=$F127,CV$5+GanttPeriod-1&gt;=$E127),"━","")))</f>
        <v/>
      </c>
      <c r="CW127" s="69" t="str">
        <f aca="false">IF($E127="","",IF($M127,IF(AND($G127&gt;=CW$5,$G127&lt;CW$5+GanttPeriod),"◆",IF(AND($E127&gt;=CW$5,$E127&lt;CW$5+GanttPeriod),"◇","")),IF(AND(CW$5&lt;=$F127,CW$5+GanttPeriod-1&gt;=$E127),"━","")))</f>
        <v/>
      </c>
      <c r="CX127" s="69" t="str">
        <f aca="false">IF($E127="","",IF($M127,IF(AND($G127&gt;=CX$5,$G127&lt;CX$5+GanttPeriod),"◆",IF(AND($E127&gt;=CX$5,$E127&lt;CX$5+GanttPeriod),"◇","")),IF(AND(CX$5&lt;=$F127,CX$5+GanttPeriod-1&gt;=$E127),"━","")))</f>
        <v/>
      </c>
      <c r="CY127" s="69" t="str">
        <f aca="false">IF($E127="","",IF($M127,IF(AND($G127&gt;=CY$5,$G127&lt;CY$5+GanttPeriod),"◆",IF(AND($E127&gt;=CY$5,$E127&lt;CY$5+GanttPeriod),"◇","")),IF(AND(CY$5&lt;=$F127,CY$5+GanttPeriod-1&gt;=$E127),"━","")))</f>
        <v/>
      </c>
      <c r="CZ127" s="69" t="str">
        <f aca="false">IF($E127="","",IF($M127,IF(AND($G127&gt;=CZ$5,$G127&lt;CZ$5+GanttPeriod),"◆",IF(AND($E127&gt;=CZ$5,$E127&lt;CZ$5+GanttPeriod),"◇","")),IF(AND(CZ$5&lt;=$F127,CZ$5+GanttPeriod-1&gt;=$E127),"━","")))</f>
        <v/>
      </c>
      <c r="DA127" s="69" t="str">
        <f aca="false">IF($E127="","",IF($M127,IF(AND($G127&gt;=DA$5,$G127&lt;DA$5+GanttPeriod),"◆",IF(AND($E127&gt;=DA$5,$E127&lt;DA$5+GanttPeriod),"◇","")),IF(AND(DA$5&lt;=$F127,DA$5+GanttPeriod-1&gt;=$E127),"━","")))</f>
        <v/>
      </c>
      <c r="DB127" s="69" t="str">
        <f aca="false">IF($E127="","",IF($M127,IF(AND($G127&gt;=DB$5,$G127&lt;DB$5+GanttPeriod),"◆",IF(AND($E127&gt;=DB$5,$E127&lt;DB$5+GanttPeriod),"◇","")),IF(AND(DB$5&lt;=$F127,DB$5+GanttPeriod-1&gt;=$E127),"━","")))</f>
        <v/>
      </c>
      <c r="DC127" s="69" t="str">
        <f aca="false">IF($E127="","",IF($M127,IF(AND($G127&gt;=DC$5,$G127&lt;DC$5+GanttPeriod),"◆",IF(AND($E127&gt;=DC$5,$E127&lt;DC$5+GanttPeriod),"◇","")),IF(AND(DC$5&lt;=$F127,DC$5+GanttPeriod-1&gt;=$E127),"━","")))</f>
        <v/>
      </c>
      <c r="DD127" s="69" t="str">
        <f aca="false">IF($E127="","",IF($M127,IF(AND($G127&gt;=DD$5,$G127&lt;DD$5+GanttPeriod),"◆",IF(AND($E127&gt;=DD$5,$E127&lt;DD$5+GanttPeriod),"◇","")),IF(AND(DD$5&lt;=$F127,DD$5+GanttPeriod-1&gt;=$E127),"━","")))</f>
        <v/>
      </c>
      <c r="DE127" s="69" t="str">
        <f aca="false">IF($E127="","",IF($M127,IF(AND($G127&gt;=DE$5,$G127&lt;DE$5+GanttPeriod),"◆",IF(AND($E127&gt;=DE$5,$E127&lt;DE$5+GanttPeriod),"◇","")),IF(AND(DE$5&lt;=$F127,DE$5+GanttPeriod-1&gt;=$E127),"━","")))</f>
        <v/>
      </c>
      <c r="DF127" s="69" t="str">
        <f aca="false">IF($E127="","",IF($M127,IF(AND($G127&gt;=DF$5,$G127&lt;DF$5+GanttPeriod),"◆",IF(AND($E127&gt;=DF$5,$E127&lt;DF$5+GanttPeriod),"◇","")),IF(AND(DF$5&lt;=$F127,DF$5+GanttPeriod-1&gt;=$E127),"━","")))</f>
        <v/>
      </c>
      <c r="DG127" s="69" t="str">
        <f aca="false">IF($E127="","",IF($M127,IF(AND($G127&gt;=DG$5,$G127&lt;DG$5+GanttPeriod),"◆",IF(AND($E127&gt;=DG$5,$E127&lt;DG$5+GanttPeriod),"◇","")),IF(AND(DG$5&lt;=$F127,DG$5+GanttPeriod-1&gt;=$E127),"━","")))</f>
        <v/>
      </c>
      <c r="DH127" s="69" t="str">
        <f aca="false">IF($E127="","",IF($M127,IF(AND($G127&gt;=DH$5,$G127&lt;DH$5+GanttPeriod),"◆",IF(AND($E127&gt;=DH$5,$E127&lt;DH$5+GanttPeriod),"◇","")),IF(AND(DH$5&lt;=$F127,DH$5+GanttPeriod-1&gt;=$E127),"━","")))</f>
        <v/>
      </c>
      <c r="DI127" s="69" t="str">
        <f aca="false">IF($E127="","",IF($M127,IF(AND($G127&gt;=DI$5,$G127&lt;DI$5+GanttPeriod),"◆",IF(AND($E127&gt;=DI$5,$E127&lt;DI$5+GanttPeriod),"◇","")),IF(AND(DI$5&lt;=$F127,DI$5+GanttPeriod-1&gt;=$E127),"━","")))</f>
        <v/>
      </c>
      <c r="DJ127" s="69" t="str">
        <f aca="false">IF($E127="","",IF($M127,IF(AND($G127&gt;=DJ$5,$G127&lt;DJ$5+GanttPeriod),"◆",IF(AND($E127&gt;=DJ$5,$E127&lt;DJ$5+GanttPeriod),"◇","")),IF(AND(DJ$5&lt;=$F127,DJ$5+GanttPeriod-1&gt;=$E127),"━","")))</f>
        <v/>
      </c>
      <c r="DK127" s="69" t="str">
        <f aca="false">IF($E127="","",IF($M127,IF(AND($G127&gt;=DK$5,$G127&lt;DK$5+GanttPeriod),"◆",IF(AND($E127&gt;=DK$5,$E127&lt;DK$5+GanttPeriod),"◇","")),IF(AND(DK$5&lt;=$F127,DK$5+GanttPeriod-1&gt;=$E127),"━","")))</f>
        <v/>
      </c>
      <c r="DL127" s="69" t="str">
        <f aca="false">IF($E127="","",IF($M127,IF(AND($G127&gt;=DL$5,$G127&lt;DL$5+GanttPeriod),"◆",IF(AND($E127&gt;=DL$5,$E127&lt;DL$5+GanttPeriod),"◇","")),IF(AND(DL$5&lt;=$F127,DL$5+GanttPeriod-1&gt;=$E127),"━","")))</f>
        <v/>
      </c>
      <c r="DM127" s="69" t="str">
        <f aca="false">IF($E127="","",IF($M127,IF(AND($G127&gt;=DM$5,$G127&lt;DM$5+GanttPeriod),"◆",IF(AND($E127&gt;=DM$5,$E127&lt;DM$5+GanttPeriod),"◇","")),IF(AND(DM$5&lt;=$F127,DM$5+GanttPeriod-1&gt;=$E127),"━","")))</f>
        <v/>
      </c>
      <c r="DN127" s="69" t="str">
        <f aca="false">IF($E127="","",IF($M127,IF(AND($G127&gt;=DN$5,$G127&lt;DN$5+GanttPeriod),"◆",IF(AND($E127&gt;=DN$5,$E127&lt;DN$5+GanttPeriod),"◇","")),IF(AND(DN$5&lt;=$F127,DN$5+GanttPeriod-1&gt;=$E127),"━","")))</f>
        <v/>
      </c>
      <c r="DO127" s="69" t="str">
        <f aca="false">IF($E127="","",IF($M127,IF(AND($G127&gt;=DO$5,$G127&lt;DO$5+GanttPeriod),"◆",IF(AND($E127&gt;=DO$5,$E127&lt;DO$5+GanttPeriod),"◇","")),IF(AND(DO$5&lt;=$F127,DO$5+GanttPeriod-1&gt;=$E127),"━","")))</f>
        <v/>
      </c>
      <c r="DP127" s="69" t="str">
        <f aca="false">IF($E127="","",IF($M127,IF(AND($G127&gt;=DP$5,$G127&lt;DP$5+GanttPeriod),"◆",IF(AND($E127&gt;=DP$5,$E127&lt;DP$5+GanttPeriod),"◇","")),IF(AND(DP$5&lt;=$F127,DP$5+GanttPeriod-1&gt;=$E127),"━","")))</f>
        <v/>
      </c>
      <c r="DQ127" s="69" t="str">
        <f aca="false">IF($E127="","",IF($M127,IF(AND($G127&gt;=DQ$5,$G127&lt;DQ$5+GanttPeriod),"◆",IF(AND($E127&gt;=DQ$5,$E127&lt;DQ$5+GanttPeriod),"◇","")),IF(AND(DQ$5&lt;=$F127,DQ$5+GanttPeriod-1&gt;=$E127),"━","")))</f>
        <v/>
      </c>
      <c r="DR127" s="69" t="str">
        <f aca="false">IF($E127="","",IF($M127,IF(AND($G127&gt;=DR$5,$G127&lt;DR$5+GanttPeriod),"◆",IF(AND($E127&gt;=DR$5,$E127&lt;DR$5+GanttPeriod),"◇","")),IF(AND(DR$5&lt;=$F127,DR$5+GanttPeriod-1&gt;=$E127),"━","")))</f>
        <v/>
      </c>
      <c r="DS127" s="69" t="str">
        <f aca="false">IF($E127="","",IF($M127,IF(AND($G127&gt;=DS$5,$G127&lt;DS$5+GanttPeriod),"◆",IF(AND($E127&gt;=DS$5,$E127&lt;DS$5+GanttPeriod),"◇","")),IF(AND(DS$5&lt;=$F127,DS$5+GanttPeriod-1&gt;=$E127),"━","")))</f>
        <v/>
      </c>
      <c r="DT127" s="69" t="str">
        <f aca="false">IF($E127="","",IF($M127,IF(AND($G127&gt;=DT$5,$G127&lt;DT$5+GanttPeriod),"◆",IF(AND($E127&gt;=DT$5,$E127&lt;DT$5+GanttPeriod),"◇","")),IF(AND(DT$5&lt;=$F127,DT$5+GanttPeriod-1&gt;=$E127),"━","")))</f>
        <v/>
      </c>
      <c r="DU127" s="69" t="str">
        <f aca="false">IF($E127="","",IF($M127,IF(AND($G127&gt;=DU$5,$G127&lt;DU$5+GanttPeriod),"◆",IF(AND($E127&gt;=DU$5,$E127&lt;DU$5+GanttPeriod),"◇","")),IF(AND(DU$5&lt;=$F127,DU$5+GanttPeriod-1&gt;=$E127),"━","")))</f>
        <v/>
      </c>
      <c r="DV127" s="69" t="str">
        <f aca="false">IF($E127="","",IF($M127,IF(AND($G127&gt;=DV$5,$G127&lt;DV$5+GanttPeriod),"◆",IF(AND($E127&gt;=DV$5,$E127&lt;DV$5+GanttPeriod),"◇","")),IF(AND(DV$5&lt;=$F127,DV$5+GanttPeriod-1&gt;=$E127),"━","")))</f>
        <v/>
      </c>
      <c r="DW127" s="69" t="str">
        <f aca="false">IF($E127="","",IF($M127,IF(AND($G127&gt;=DW$5,$G127&lt;DW$5+GanttPeriod),"◆",IF(AND($E127&gt;=DW$5,$E127&lt;DW$5+GanttPeriod),"◇","")),IF(AND(DW$5&lt;=$F127,DW$5+GanttPeriod-1&gt;=$E127),"━","")))</f>
        <v/>
      </c>
      <c r="DX127" s="69" t="str">
        <f aca="false">IF($E127="","",IF($M127,IF(AND($G127&gt;=DX$5,$G127&lt;DX$5+GanttPeriod),"◆",IF(AND($E127&gt;=DX$5,$E127&lt;DX$5+GanttPeriod),"◇","")),IF(AND(DX$5&lt;=$F127,DX$5+GanttPeriod-1&gt;=$E127),"━","")))</f>
        <v/>
      </c>
      <c r="DY127" s="69" t="str">
        <f aca="false">IF($E127="","",IF($M127,IF(AND($G127&gt;=DY$5,$G127&lt;DY$5+GanttPeriod),"◆",IF(AND($E127&gt;=DY$5,$E127&lt;DY$5+GanttPeriod),"◇","")),IF(AND(DY$5&lt;=$F127,DY$5+GanttPeriod-1&gt;=$E127),"━","")))</f>
        <v/>
      </c>
      <c r="DZ127" s="69" t="str">
        <f aca="false">IF($E127="","",IF($M127,IF(AND($G127&gt;=DZ$5,$G127&lt;DZ$5+GanttPeriod),"◆",IF(AND($E127&gt;=DZ$5,$E127&lt;DZ$5+GanttPeriod),"◇","")),IF(AND(DZ$5&lt;=$F127,DZ$5+GanttPeriod-1&gt;=$E127),"━","")))</f>
        <v/>
      </c>
      <c r="EA127" s="69" t="str">
        <f aca="false">IF($E127="","",IF($M127,IF(AND($G127&gt;=EA$5,$G127&lt;EA$5+GanttPeriod),"◆",IF(AND($E127&gt;=EA$5,$E127&lt;EA$5+GanttPeriod),"◇","")),IF(AND(EA$5&lt;=$F127,EA$5+GanttPeriod-1&gt;=$E127),"━","")))</f>
        <v/>
      </c>
      <c r="EB127" s="69" t="str">
        <f aca="false">IF($E127="","",IF($M127,IF(AND($G127&gt;=EB$5,$G127&lt;EB$5+GanttPeriod),"◆",IF(AND($E127&gt;=EB$5,$E127&lt;EB$5+GanttPeriod),"◇","")),IF(AND(EB$5&lt;=$F127,EB$5+GanttPeriod-1&gt;=$E127),"━","")))</f>
        <v/>
      </c>
      <c r="EC127" s="69" t="str">
        <f aca="false">IF($E127="","",IF($M127,IF(AND($G127&gt;=EC$5,$G127&lt;EC$5+GanttPeriod),"◆",IF(AND($E127&gt;=EC$5,$E127&lt;EC$5+GanttPeriod),"◇","")),IF(AND(EC$5&lt;=$F127,EC$5+GanttPeriod-1&gt;=$E127),"━","")))</f>
        <v/>
      </c>
      <c r="ED127" s="69" t="str">
        <f aca="false">IF($E127="","",IF($M127,IF(AND($G127&gt;=ED$5,$G127&lt;ED$5+GanttPeriod),"◆",IF(AND($E127&gt;=ED$5,$E127&lt;ED$5+GanttPeriod),"◇","")),IF(AND(ED$5&lt;=$F127,ED$5+GanttPeriod-1&gt;=$E127),"━","")))</f>
        <v/>
      </c>
      <c r="EE127" s="69" t="str">
        <f aca="false">IF($E127="","",IF($M127,IF(AND($G127&gt;=EE$5,$G127&lt;EE$5+GanttPeriod),"◆",IF(AND($E127&gt;=EE$5,$E127&lt;EE$5+GanttPeriod),"◇","")),IF(AND(EE$5&lt;=$F127,EE$5+GanttPeriod-1&gt;=$E127),"━","")))</f>
        <v/>
      </c>
      <c r="EF127" s="69" t="str">
        <f aca="false">IF($E127="","",IF($M127,IF(AND($G127&gt;=EF$5,$G127&lt;EF$5+GanttPeriod),"◆",IF(AND($E127&gt;=EF$5,$E127&lt;EF$5+GanttPeriod),"◇","")),IF(AND(EF$5&lt;=$F127,EF$5+GanttPeriod-1&gt;=$E127),"━","")))</f>
        <v/>
      </c>
      <c r="EG127" s="69" t="str">
        <f aca="false">IF($E127="","",IF($M127,IF(AND($G127&gt;=EG$5,$G127&lt;EG$5+GanttPeriod),"◆",IF(AND($E127&gt;=EG$5,$E127&lt;EG$5+GanttPeriod),"◇","")),IF(AND(EG$5&lt;=$F127,EG$5+GanttPeriod-1&gt;=$E127),"━","")))</f>
        <v/>
      </c>
      <c r="EH127" s="69" t="str">
        <f aca="false">IF($E127="","",IF($M127,IF(AND($G127&gt;=EH$5,$G127&lt;EH$5+GanttPeriod),"◆",IF(AND($E127&gt;=EH$5,$E127&lt;EH$5+GanttPeriod),"◇","")),IF(AND(EH$5&lt;=$F127,EH$5+GanttPeriod-1&gt;=$E127),"━","")))</f>
        <v/>
      </c>
      <c r="EI127" s="69" t="str">
        <f aca="false">IF($E127="","",IF($M127,IF(AND($G127&gt;=EI$5,$G127&lt;EI$5+GanttPeriod),"◆",IF(AND($E127&gt;=EI$5,$E127&lt;EI$5+GanttPeriod),"◇","")),IF(AND(EI$5&lt;=$F127,EI$5+GanttPeriod-1&gt;=$E127),"━","")))</f>
        <v/>
      </c>
      <c r="EJ127" s="69" t="str">
        <f aca="false">IF($E127="","",IF($M127,IF(AND($G127&gt;=EJ$5,$G127&lt;EJ$5+GanttPeriod),"◆",IF(AND($E127&gt;=EJ$5,$E127&lt;EJ$5+GanttPeriod),"◇","")),IF(AND(EJ$5&lt;=$F127,EJ$5+GanttPeriod-1&gt;=$E127),"━","")))</f>
        <v/>
      </c>
      <c r="EK127" s="69" t="str">
        <f aca="false">IF($E127="","",IF($M127,IF(AND($G127&gt;=EK$5,$G127&lt;EK$5+GanttPeriod),"◆",IF(AND($E127&gt;=EK$5,$E127&lt;EK$5+GanttPeriod),"◇","")),IF(AND(EK$5&lt;=$F127,EK$5+GanttPeriod-1&gt;=$E127),"━","")))</f>
        <v/>
      </c>
      <c r="EL127" s="69" t="str">
        <f aca="false">IF($E127="","",IF($M127,IF(AND($G127&gt;=EL$5,$G127&lt;EL$5+GanttPeriod),"◆",IF(AND($E127&gt;=EL$5,$E127&lt;EL$5+GanttPeriod),"◇","")),IF(AND(EL$5&lt;=$F127,EL$5+GanttPeriod-1&gt;=$E127),"━","")))</f>
        <v/>
      </c>
      <c r="EM127" s="69" t="str">
        <f aca="false">IF($E127="","",IF($M127,IF(AND($G127&gt;=EM$5,$G127&lt;EM$5+GanttPeriod),"◆",IF(AND($E127&gt;=EM$5,$E127&lt;EM$5+GanttPeriod),"◇","")),IF(AND(EM$5&lt;=$F127,EM$5+GanttPeriod-1&gt;=$E127),"━","")))</f>
        <v/>
      </c>
      <c r="EN127" s="69" t="str">
        <f aca="false">IF($E127="","",IF($M127,IF(AND($G127&gt;=EN$5,$G127&lt;EN$5+GanttPeriod),"◆",IF(AND($E127&gt;=EN$5,$E127&lt;EN$5+GanttPeriod),"◇","")),IF(AND(EN$5&lt;=$F127,EN$5+GanttPeriod-1&gt;=$E127),"━","")))</f>
        <v/>
      </c>
      <c r="EO127" s="69" t="str">
        <f aca="false">IF($E127="","",IF($M127,IF(AND($G127&gt;=EO$5,$G127&lt;EO$5+GanttPeriod),"◆",IF(AND($E127&gt;=EO$5,$E127&lt;EO$5+GanttPeriod),"◇","")),IF(AND(EO$5&lt;=$F127,EO$5+GanttPeriod-1&gt;=$E127),"━","")))</f>
        <v/>
      </c>
      <c r="EP127" s="69" t="str">
        <f aca="false">IF($E127="","",IF($M127,IF(AND($G127&gt;=EP$5,$G127&lt;EP$5+GanttPeriod),"◆",IF(AND($E127&gt;=EP$5,$E127&lt;EP$5+GanttPeriod),"◇","")),IF(AND(EP$5&lt;=$F127,EP$5+GanttPeriod-1&gt;=$E127),"━","")))</f>
        <v/>
      </c>
      <c r="EQ127" s="69" t="str">
        <f aca="false">IF($E127="","",IF($M127,IF(AND($G127&gt;=EQ$5,$G127&lt;EQ$5+GanttPeriod),"◆",IF(AND($E127&gt;=EQ$5,$E127&lt;EQ$5+GanttPeriod),"◇","")),IF(AND(EQ$5&lt;=$F127,EQ$5+GanttPeriod-1&gt;=$E127),"━","")))</f>
        <v/>
      </c>
      <c r="ER127" s="69" t="str">
        <f aca="false">IF($E127="","",IF($M127,IF(AND($G127&gt;=ER$5,$G127&lt;ER$5+GanttPeriod),"◆",IF(AND($E127&gt;=ER$5,$E127&lt;ER$5+GanttPeriod),"◇","")),IF(AND(ER$5&lt;=$F127,ER$5+GanttPeriod-1&gt;=$E127),"━","")))</f>
        <v/>
      </c>
      <c r="ES127" s="69" t="str">
        <f aca="false">IF($E127="","",IF($M127,IF(AND($G127&gt;=ES$5,$G127&lt;ES$5+GanttPeriod),"◆",IF(AND($E127&gt;=ES$5,$E127&lt;ES$5+GanttPeriod),"◇","")),IF(AND(ES$5&lt;=$F127,ES$5+GanttPeriod-1&gt;=$E127),"━","")))</f>
        <v/>
      </c>
      <c r="ET127" s="69" t="str">
        <f aca="false">IF($E127="","",IF($M127,IF(AND($G127&gt;=ET$5,$G127&lt;ET$5+GanttPeriod),"◆",IF(AND($E127&gt;=ET$5,$E127&lt;ET$5+GanttPeriod),"◇","")),IF(AND(ET$5&lt;=$F127,ET$5+GanttPeriod-1&gt;=$E127),"━","")))</f>
        <v/>
      </c>
      <c r="EU127" s="69" t="str">
        <f aca="false">IF($E127="","",IF($M127,IF(AND($G127&gt;=EU$5,$G127&lt;EU$5+GanttPeriod),"◆",IF(AND($E127&gt;=EU$5,$E127&lt;EU$5+GanttPeriod),"◇","")),IF(AND(EU$5&lt;=$F127,EU$5+GanttPeriod-1&gt;=$E127),"━","")))</f>
        <v/>
      </c>
      <c r="EV127" s="69" t="str">
        <f aca="false">IF($E127="","",IF($M127,IF(AND($G127&gt;=EV$5,$G127&lt;EV$5+GanttPeriod),"◆",IF(AND($E127&gt;=EV$5,$E127&lt;EV$5+GanttPeriod),"◇","")),IF(AND(EV$5&lt;=$F127,EV$5+GanttPeriod-1&gt;=$E127),"━","")))</f>
        <v/>
      </c>
      <c r="EW127" s="69" t="str">
        <f aca="false">IF($E127="","",IF($M127,IF(AND($G127&gt;=EW$5,$G127&lt;EW$5+GanttPeriod),"◆",IF(AND($E127&gt;=EW$5,$E127&lt;EW$5+GanttPeriod),"◇","")),IF(AND(EW$5&lt;=$F127,EW$5+GanttPeriod-1&gt;=$E127),"━","")))</f>
        <v/>
      </c>
      <c r="EX127" s="69" t="str">
        <f aca="false">IF($E127="","",IF($M127,IF(AND($G127&gt;=EX$5,$G127&lt;EX$5+GanttPeriod),"◆",IF(AND($E127&gt;=EX$5,$E127&lt;EX$5+GanttPeriod),"◇","")),IF(AND(EX$5&lt;=$F127,EX$5+GanttPeriod-1&gt;=$E127),"━","")))</f>
        <v/>
      </c>
      <c r="EY127" s="69" t="str">
        <f aca="false">IF($E127="","",IF($M127,IF(AND($G127&gt;=EY$5,$G127&lt;EY$5+GanttPeriod),"◆",IF(AND($E127&gt;=EY$5,$E127&lt;EY$5+GanttPeriod),"◇","")),IF(AND(EY$5&lt;=$F127,EY$5+GanttPeriod-1&gt;=$E127),"━","")))</f>
        <v/>
      </c>
      <c r="EZ127" s="69" t="str">
        <f aca="false">IF($E127="","",IF($M127,IF(AND($G127&gt;=EZ$5,$G127&lt;EZ$5+GanttPeriod),"◆",IF(AND($E127&gt;=EZ$5,$E127&lt;EZ$5+GanttPeriod),"◇","")),IF(AND(EZ$5&lt;=$F127,EZ$5+GanttPeriod-1&gt;=$E127),"━","")))</f>
        <v/>
      </c>
      <c r="FA127" s="69" t="str">
        <f aca="false">IF($E127="","",IF($M127,IF(AND($G127&gt;=FA$5,$G127&lt;FA$5+GanttPeriod),"◆",IF(AND($E127&gt;=FA$5,$E127&lt;FA$5+GanttPeriod),"◇","")),IF(AND(FA$5&lt;=$F127,FA$5+GanttPeriod-1&gt;=$E127),"━","")))</f>
        <v/>
      </c>
      <c r="FB127" s="69" t="str">
        <f aca="false">IF($E127="","",IF($M127,IF(AND($G127&gt;=FB$5,$G127&lt;FB$5+GanttPeriod),"◆",IF(AND($E127&gt;=FB$5,$E127&lt;FB$5+GanttPeriod),"◇","")),IF(AND(FB$5&lt;=$F127,FB$5+GanttPeriod-1&gt;=$E127),"━","")))</f>
        <v/>
      </c>
      <c r="FC127" s="69" t="str">
        <f aca="false">IF($E127="","",IF($M127,IF(AND($G127&gt;=FC$5,$G127&lt;FC$5+GanttPeriod),"◆",IF(AND($E127&gt;=FC$5,$E127&lt;FC$5+GanttPeriod),"◇","")),IF(AND(FC$5&lt;=$F127,FC$5+GanttPeriod-1&gt;=$E127),"━","")))</f>
        <v/>
      </c>
      <c r="FD127" s="69" t="str">
        <f aca="false">IF($E127="","",IF($M127,IF(AND($G127&gt;=FD$5,$G127&lt;FD$5+GanttPeriod),"◆",IF(AND($E127&gt;=FD$5,$E127&lt;FD$5+GanttPeriod),"◇","")),IF(AND(FD$5&lt;=$F127,FD$5+GanttPeriod-1&gt;=$E127),"━","")))</f>
        <v/>
      </c>
      <c r="FE127" s="69" t="str">
        <f aca="false">IF($E127="","",IF($M127,IF(AND($G127&gt;=FE$5,$G127&lt;FE$5+GanttPeriod),"◆",IF(AND($E127&gt;=FE$5,$E127&lt;FE$5+GanttPeriod),"◇","")),IF(AND(FE$5&lt;=$F127,FE$5+GanttPeriod-1&gt;=$E127),"━","")))</f>
        <v/>
      </c>
      <c r="FF127" s="69" t="str">
        <f aca="false">IF($E127="","",IF($M127,IF(AND($G127&gt;=FF$5,$G127&lt;FF$5+GanttPeriod),"◆",IF(AND($E127&gt;=FF$5,$E127&lt;FF$5+GanttPeriod),"◇","")),IF(AND(FF$5&lt;=$F127,FF$5+GanttPeriod-1&gt;=$E127),"━","")))</f>
        <v/>
      </c>
      <c r="FG127" s="69" t="str">
        <f aca="false">IF($E127="","",IF($M127,IF(AND($G127&gt;=FG$5,$G127&lt;FG$5+GanttPeriod),"◆",IF(AND($E127&gt;=FG$5,$E127&lt;FG$5+GanttPeriod),"◇","")),IF(AND(FG$5&lt;=$F127,FG$5+GanttPeriod-1&gt;=$E127),"━","")))</f>
        <v/>
      </c>
      <c r="FH127" s="69" t="str">
        <f aca="false">IF($E127="","",IF($M127,IF(AND($G127&gt;=FH$5,$G127&lt;FH$5+GanttPeriod),"◆",IF(AND($E127&gt;=FH$5,$E127&lt;FH$5+GanttPeriod),"◇","")),IF(AND(FH$5&lt;=$F127,FH$5+GanttPeriod-1&gt;=$E127),"━","")))</f>
        <v/>
      </c>
      <c r="FI127" s="69" t="str">
        <f aca="false">IF($E127="","",IF($M127,IF(AND($G127&gt;=FI$5,$G127&lt;FI$5+GanttPeriod),"◆",IF(AND($E127&gt;=FI$5,$E127&lt;FI$5+GanttPeriod),"◇","")),IF(AND(FI$5&lt;=$F127,FI$5+GanttPeriod-1&gt;=$E127),"━","")))</f>
        <v/>
      </c>
      <c r="FJ127" s="69" t="str">
        <f aca="false">IF($E127="","",IF($M127,IF(AND($G127&gt;=FJ$5,$G127&lt;FJ$5+GanttPeriod),"◆",IF(AND($E127&gt;=FJ$5,$E127&lt;FJ$5+GanttPeriod),"◇","")),IF(AND(FJ$5&lt;=$F127,FJ$5+GanttPeriod-1&gt;=$E127),"━","")))</f>
        <v/>
      </c>
      <c r="FK127" s="69" t="str">
        <f aca="false">IF($E127="","",IF($M127,IF(AND($G127&gt;=FK$5,$G127&lt;FK$5+GanttPeriod),"◆",IF(AND($E127&gt;=FK$5,$E127&lt;FK$5+GanttPeriod),"◇","")),IF(AND(FK$5&lt;=$F127,FK$5+GanttPeriod-1&gt;=$E127),"━","")))</f>
        <v/>
      </c>
      <c r="FL127" s="69" t="str">
        <f aca="false">IF($E127="","",IF($M127,IF(AND($G127&gt;=FL$5,$G127&lt;FL$5+GanttPeriod),"◆",IF(AND($E127&gt;=FL$5,$E127&lt;FL$5+GanttPeriod),"◇","")),IF(AND(FL$5&lt;=$F127,FL$5+GanttPeriod-1&gt;=$E127),"━","")))</f>
        <v/>
      </c>
      <c r="FM127" s="69" t="str">
        <f aca="false">IF($E127="","",IF($M127,IF(AND($G127&gt;=FM$5,$G127&lt;FM$5+GanttPeriod),"◆",IF(AND($E127&gt;=FM$5,$E127&lt;FM$5+GanttPeriod),"◇","")),IF(AND(FM$5&lt;=$F127,FM$5+GanttPeriod-1&gt;=$E127),"━","")))</f>
        <v/>
      </c>
    </row>
    <row r="128" customFormat="false" ht="15" hidden="false" customHeight="false" outlineLevel="0" collapsed="false">
      <c r="A128" s="62" t="str">
        <f aca="false">IF(Tasks!$D128="","",Tasks!$A128)</f>
        <v/>
      </c>
      <c r="B128" s="62" t="str">
        <f aca="false">IF(Tasks!$D128="","",Tasks!$B128)</f>
        <v/>
      </c>
      <c r="C128" s="63" t="str">
        <f aca="false">IF(Tasks!$D128="","",REPT("    ",Tasks!$AE128-1)&amp;Tasks!$D128)</f>
        <v/>
      </c>
      <c r="D128" s="62" t="str">
        <f aca="false">IF(Tasks!$D128="","",IF(Tasks!$AI128,NETWORKDAYS.INTL(Tasks!$R128,Tasks!$S128,WorkWeek,Holidays),N(Tasks!$F128)))</f>
        <v/>
      </c>
      <c r="E128" s="64" t="str">
        <f aca="false">IF(Tasks!$D128="","",Tasks!$N128)</f>
        <v/>
      </c>
      <c r="F128" s="64" t="str">
        <f aca="false">IF(Tasks!$D128="","",Tasks!$O128)</f>
        <v/>
      </c>
      <c r="G128" s="64" t="str">
        <f aca="false">IF(Tasks!$D128="","",Tasks!$R128)</f>
        <v/>
      </c>
      <c r="H128" s="64" t="str">
        <f aca="false">IF(Tasks!$D128="","",Tasks!$S128)</f>
        <v/>
      </c>
      <c r="I128" s="65" t="str">
        <f aca="false">IF(Tasks!$D128="","",Tasks!$V128)</f>
        <v/>
      </c>
      <c r="J128" s="63" t="str">
        <f aca="false">IF(Tasks!$D128="","",Tasks!$X128&amp;"")</f>
        <v/>
      </c>
      <c r="K128" s="66" t="str">
        <f aca="false">IF(Tasks!$D128="","",Tasks!$W128)</f>
        <v/>
      </c>
      <c r="L128" s="67" t="b">
        <f aca="false">IF(Tasks!$D128="",FALSE(),Tasks!$AI128)</f>
        <v>0</v>
      </c>
      <c r="M128" s="67" t="b">
        <f aca="false">AND(Tasks!$AJ128=1,N(Tasks!$F128)=0)</f>
        <v>0</v>
      </c>
      <c r="N128" s="68" t="n">
        <f aca="false">IF(AND(Tasks!$AJ128=1,NOT($M128),N($I128)&gt;0),$G128,0)</f>
        <v>0</v>
      </c>
      <c r="O128" s="68" t="n">
        <f aca="false">IF($N128=0,0,IF($I128&gt;=1,$H128,MAX($N128,$G128+ROUND(($H128-$G128+1)*$I128,0)-1)))</f>
        <v>0</v>
      </c>
      <c r="P128" s="68" t="n">
        <f aca="false">IF(OR(Tasks!$AJ128&lt;&gt;1,$M128,N($I128)&gt;=1),0,IF($O128&gt;0,$O128+1,$G128))</f>
        <v>0</v>
      </c>
      <c r="Q128" s="68" t="n">
        <f aca="false">IF($P128=0,0,$H128)</f>
        <v>0</v>
      </c>
      <c r="R128" s="67" t="b">
        <f aca="false">AND(Tasks!$D128&lt;&gt;"",N(Tasks!$T128)&gt;0)</f>
        <v>0</v>
      </c>
      <c r="T128" s="69" t="str">
        <f aca="false">IF($E128="","",IF($M128,IF(AND($G128&gt;=T$5,$G128&lt;T$5+GanttPeriod),"◆",IF(AND($E128&gt;=T$5,$E128&lt;T$5+GanttPeriod),"◇","")),IF(AND(T$5&lt;=$F128,T$5+GanttPeriod-1&gt;=$E128),"━","")))</f>
        <v/>
      </c>
      <c r="U128" s="69" t="str">
        <f aca="false">IF($E128="","",IF($M128,IF(AND($G128&gt;=U$5,$G128&lt;U$5+GanttPeriod),"◆",IF(AND($E128&gt;=U$5,$E128&lt;U$5+GanttPeriod),"◇","")),IF(AND(U$5&lt;=$F128,U$5+GanttPeriod-1&gt;=$E128),"━","")))</f>
        <v/>
      </c>
      <c r="V128" s="69" t="str">
        <f aca="false">IF($E128="","",IF($M128,IF(AND($G128&gt;=V$5,$G128&lt;V$5+GanttPeriod),"◆",IF(AND($E128&gt;=V$5,$E128&lt;V$5+GanttPeriod),"◇","")),IF(AND(V$5&lt;=$F128,V$5+GanttPeriod-1&gt;=$E128),"━","")))</f>
        <v/>
      </c>
      <c r="W128" s="69" t="str">
        <f aca="false">IF($E128="","",IF($M128,IF(AND($G128&gt;=W$5,$G128&lt;W$5+GanttPeriod),"◆",IF(AND($E128&gt;=W$5,$E128&lt;W$5+GanttPeriod),"◇","")),IF(AND(W$5&lt;=$F128,W$5+GanttPeriod-1&gt;=$E128),"━","")))</f>
        <v/>
      </c>
      <c r="X128" s="69" t="str">
        <f aca="false">IF($E128="","",IF($M128,IF(AND($G128&gt;=X$5,$G128&lt;X$5+GanttPeriod),"◆",IF(AND($E128&gt;=X$5,$E128&lt;X$5+GanttPeriod),"◇","")),IF(AND(X$5&lt;=$F128,X$5+GanttPeriod-1&gt;=$E128),"━","")))</f>
        <v/>
      </c>
      <c r="Y128" s="69" t="str">
        <f aca="false">IF($E128="","",IF($M128,IF(AND($G128&gt;=Y$5,$G128&lt;Y$5+GanttPeriod),"◆",IF(AND($E128&gt;=Y$5,$E128&lt;Y$5+GanttPeriod),"◇","")),IF(AND(Y$5&lt;=$F128,Y$5+GanttPeriod-1&gt;=$E128),"━","")))</f>
        <v/>
      </c>
      <c r="Z128" s="69" t="str">
        <f aca="false">IF($E128="","",IF($M128,IF(AND($G128&gt;=Z$5,$G128&lt;Z$5+GanttPeriod),"◆",IF(AND($E128&gt;=Z$5,$E128&lt;Z$5+GanttPeriod),"◇","")),IF(AND(Z$5&lt;=$F128,Z$5+GanttPeriod-1&gt;=$E128),"━","")))</f>
        <v/>
      </c>
      <c r="AA128" s="69" t="str">
        <f aca="false">IF($E128="","",IF($M128,IF(AND($G128&gt;=AA$5,$G128&lt;AA$5+GanttPeriod),"◆",IF(AND($E128&gt;=AA$5,$E128&lt;AA$5+GanttPeriod),"◇","")),IF(AND(AA$5&lt;=$F128,AA$5+GanttPeriod-1&gt;=$E128),"━","")))</f>
        <v/>
      </c>
      <c r="AB128" s="69" t="str">
        <f aca="false">IF($E128="","",IF($M128,IF(AND($G128&gt;=AB$5,$G128&lt;AB$5+GanttPeriod),"◆",IF(AND($E128&gt;=AB$5,$E128&lt;AB$5+GanttPeriod),"◇","")),IF(AND(AB$5&lt;=$F128,AB$5+GanttPeriod-1&gt;=$E128),"━","")))</f>
        <v/>
      </c>
      <c r="AC128" s="69" t="str">
        <f aca="false">IF($E128="","",IF($M128,IF(AND($G128&gt;=AC$5,$G128&lt;AC$5+GanttPeriod),"◆",IF(AND($E128&gt;=AC$5,$E128&lt;AC$5+GanttPeriod),"◇","")),IF(AND(AC$5&lt;=$F128,AC$5+GanttPeriod-1&gt;=$E128),"━","")))</f>
        <v/>
      </c>
      <c r="AD128" s="69" t="str">
        <f aca="false">IF($E128="","",IF($M128,IF(AND($G128&gt;=AD$5,$G128&lt;AD$5+GanttPeriod),"◆",IF(AND($E128&gt;=AD$5,$E128&lt;AD$5+GanttPeriod),"◇","")),IF(AND(AD$5&lt;=$F128,AD$5+GanttPeriod-1&gt;=$E128),"━","")))</f>
        <v/>
      </c>
      <c r="AE128" s="69" t="str">
        <f aca="false">IF($E128="","",IF($M128,IF(AND($G128&gt;=AE$5,$G128&lt;AE$5+GanttPeriod),"◆",IF(AND($E128&gt;=AE$5,$E128&lt;AE$5+GanttPeriod),"◇","")),IF(AND(AE$5&lt;=$F128,AE$5+GanttPeriod-1&gt;=$E128),"━","")))</f>
        <v/>
      </c>
      <c r="AF128" s="69" t="str">
        <f aca="false">IF($E128="","",IF($M128,IF(AND($G128&gt;=AF$5,$G128&lt;AF$5+GanttPeriod),"◆",IF(AND($E128&gt;=AF$5,$E128&lt;AF$5+GanttPeriod),"◇","")),IF(AND(AF$5&lt;=$F128,AF$5+GanttPeriod-1&gt;=$E128),"━","")))</f>
        <v/>
      </c>
      <c r="AG128" s="69" t="str">
        <f aca="false">IF($E128="","",IF($M128,IF(AND($G128&gt;=AG$5,$G128&lt;AG$5+GanttPeriod),"◆",IF(AND($E128&gt;=AG$5,$E128&lt;AG$5+GanttPeriod),"◇","")),IF(AND(AG$5&lt;=$F128,AG$5+GanttPeriod-1&gt;=$E128),"━","")))</f>
        <v/>
      </c>
      <c r="AH128" s="69" t="str">
        <f aca="false">IF($E128="","",IF($M128,IF(AND($G128&gt;=AH$5,$G128&lt;AH$5+GanttPeriod),"◆",IF(AND($E128&gt;=AH$5,$E128&lt;AH$5+GanttPeriod),"◇","")),IF(AND(AH$5&lt;=$F128,AH$5+GanttPeriod-1&gt;=$E128),"━","")))</f>
        <v/>
      </c>
      <c r="AI128" s="69" t="str">
        <f aca="false">IF($E128="","",IF($M128,IF(AND($G128&gt;=AI$5,$G128&lt;AI$5+GanttPeriod),"◆",IF(AND($E128&gt;=AI$5,$E128&lt;AI$5+GanttPeriod),"◇","")),IF(AND(AI$5&lt;=$F128,AI$5+GanttPeriod-1&gt;=$E128),"━","")))</f>
        <v/>
      </c>
      <c r="AJ128" s="69" t="str">
        <f aca="false">IF($E128="","",IF($M128,IF(AND($G128&gt;=AJ$5,$G128&lt;AJ$5+GanttPeriod),"◆",IF(AND($E128&gt;=AJ$5,$E128&lt;AJ$5+GanttPeriod),"◇","")),IF(AND(AJ$5&lt;=$F128,AJ$5+GanttPeriod-1&gt;=$E128),"━","")))</f>
        <v/>
      </c>
      <c r="AK128" s="69" t="str">
        <f aca="false">IF($E128="","",IF($M128,IF(AND($G128&gt;=AK$5,$G128&lt;AK$5+GanttPeriod),"◆",IF(AND($E128&gt;=AK$5,$E128&lt;AK$5+GanttPeriod),"◇","")),IF(AND(AK$5&lt;=$F128,AK$5+GanttPeriod-1&gt;=$E128),"━","")))</f>
        <v/>
      </c>
      <c r="AL128" s="69" t="str">
        <f aca="false">IF($E128="","",IF($M128,IF(AND($G128&gt;=AL$5,$G128&lt;AL$5+GanttPeriod),"◆",IF(AND($E128&gt;=AL$5,$E128&lt;AL$5+GanttPeriod),"◇","")),IF(AND(AL$5&lt;=$F128,AL$5+GanttPeriod-1&gt;=$E128),"━","")))</f>
        <v/>
      </c>
      <c r="AM128" s="69" t="str">
        <f aca="false">IF($E128="","",IF($M128,IF(AND($G128&gt;=AM$5,$G128&lt;AM$5+GanttPeriod),"◆",IF(AND($E128&gt;=AM$5,$E128&lt;AM$5+GanttPeriod),"◇","")),IF(AND(AM$5&lt;=$F128,AM$5+GanttPeriod-1&gt;=$E128),"━","")))</f>
        <v/>
      </c>
      <c r="AN128" s="69" t="str">
        <f aca="false">IF($E128="","",IF($M128,IF(AND($G128&gt;=AN$5,$G128&lt;AN$5+GanttPeriod),"◆",IF(AND($E128&gt;=AN$5,$E128&lt;AN$5+GanttPeriod),"◇","")),IF(AND(AN$5&lt;=$F128,AN$5+GanttPeriod-1&gt;=$E128),"━","")))</f>
        <v/>
      </c>
      <c r="AO128" s="69" t="str">
        <f aca="false">IF($E128="","",IF($M128,IF(AND($G128&gt;=AO$5,$G128&lt;AO$5+GanttPeriod),"◆",IF(AND($E128&gt;=AO$5,$E128&lt;AO$5+GanttPeriod),"◇","")),IF(AND(AO$5&lt;=$F128,AO$5+GanttPeriod-1&gt;=$E128),"━","")))</f>
        <v/>
      </c>
      <c r="AP128" s="69" t="str">
        <f aca="false">IF($E128="","",IF($M128,IF(AND($G128&gt;=AP$5,$G128&lt;AP$5+GanttPeriod),"◆",IF(AND($E128&gt;=AP$5,$E128&lt;AP$5+GanttPeriod),"◇","")),IF(AND(AP$5&lt;=$F128,AP$5+GanttPeriod-1&gt;=$E128),"━","")))</f>
        <v/>
      </c>
      <c r="AQ128" s="69" t="str">
        <f aca="false">IF($E128="","",IF($M128,IF(AND($G128&gt;=AQ$5,$G128&lt;AQ$5+GanttPeriod),"◆",IF(AND($E128&gt;=AQ$5,$E128&lt;AQ$5+GanttPeriod),"◇","")),IF(AND(AQ$5&lt;=$F128,AQ$5+GanttPeriod-1&gt;=$E128),"━","")))</f>
        <v/>
      </c>
      <c r="AR128" s="69" t="str">
        <f aca="false">IF($E128="","",IF($M128,IF(AND($G128&gt;=AR$5,$G128&lt;AR$5+GanttPeriod),"◆",IF(AND($E128&gt;=AR$5,$E128&lt;AR$5+GanttPeriod),"◇","")),IF(AND(AR$5&lt;=$F128,AR$5+GanttPeriod-1&gt;=$E128),"━","")))</f>
        <v/>
      </c>
      <c r="AS128" s="69" t="str">
        <f aca="false">IF($E128="","",IF($M128,IF(AND($G128&gt;=AS$5,$G128&lt;AS$5+GanttPeriod),"◆",IF(AND($E128&gt;=AS$5,$E128&lt;AS$5+GanttPeriod),"◇","")),IF(AND(AS$5&lt;=$F128,AS$5+GanttPeriod-1&gt;=$E128),"━","")))</f>
        <v/>
      </c>
      <c r="AT128" s="69" t="str">
        <f aca="false">IF($E128="","",IF($M128,IF(AND($G128&gt;=AT$5,$G128&lt;AT$5+GanttPeriod),"◆",IF(AND($E128&gt;=AT$5,$E128&lt;AT$5+GanttPeriod),"◇","")),IF(AND(AT$5&lt;=$F128,AT$5+GanttPeriod-1&gt;=$E128),"━","")))</f>
        <v/>
      </c>
      <c r="AU128" s="69" t="str">
        <f aca="false">IF($E128="","",IF($M128,IF(AND($G128&gt;=AU$5,$G128&lt;AU$5+GanttPeriod),"◆",IF(AND($E128&gt;=AU$5,$E128&lt;AU$5+GanttPeriod),"◇","")),IF(AND(AU$5&lt;=$F128,AU$5+GanttPeriod-1&gt;=$E128),"━","")))</f>
        <v/>
      </c>
      <c r="AV128" s="69" t="str">
        <f aca="false">IF($E128="","",IF($M128,IF(AND($G128&gt;=AV$5,$G128&lt;AV$5+GanttPeriod),"◆",IF(AND($E128&gt;=AV$5,$E128&lt;AV$5+GanttPeriod),"◇","")),IF(AND(AV$5&lt;=$F128,AV$5+GanttPeriod-1&gt;=$E128),"━","")))</f>
        <v/>
      </c>
      <c r="AW128" s="69" t="str">
        <f aca="false">IF($E128="","",IF($M128,IF(AND($G128&gt;=AW$5,$G128&lt;AW$5+GanttPeriod),"◆",IF(AND($E128&gt;=AW$5,$E128&lt;AW$5+GanttPeriod),"◇","")),IF(AND(AW$5&lt;=$F128,AW$5+GanttPeriod-1&gt;=$E128),"━","")))</f>
        <v/>
      </c>
      <c r="AX128" s="69" t="str">
        <f aca="false">IF($E128="","",IF($M128,IF(AND($G128&gt;=AX$5,$G128&lt;AX$5+GanttPeriod),"◆",IF(AND($E128&gt;=AX$5,$E128&lt;AX$5+GanttPeriod),"◇","")),IF(AND(AX$5&lt;=$F128,AX$5+GanttPeriod-1&gt;=$E128),"━","")))</f>
        <v/>
      </c>
      <c r="AY128" s="69" t="str">
        <f aca="false">IF($E128="","",IF($M128,IF(AND($G128&gt;=AY$5,$G128&lt;AY$5+GanttPeriod),"◆",IF(AND($E128&gt;=AY$5,$E128&lt;AY$5+GanttPeriod),"◇","")),IF(AND(AY$5&lt;=$F128,AY$5+GanttPeriod-1&gt;=$E128),"━","")))</f>
        <v/>
      </c>
      <c r="AZ128" s="69" t="str">
        <f aca="false">IF($E128="","",IF($M128,IF(AND($G128&gt;=AZ$5,$G128&lt;AZ$5+GanttPeriod),"◆",IF(AND($E128&gt;=AZ$5,$E128&lt;AZ$5+GanttPeriod),"◇","")),IF(AND(AZ$5&lt;=$F128,AZ$5+GanttPeriod-1&gt;=$E128),"━","")))</f>
        <v/>
      </c>
      <c r="BA128" s="69" t="str">
        <f aca="false">IF($E128="","",IF($M128,IF(AND($G128&gt;=BA$5,$G128&lt;BA$5+GanttPeriod),"◆",IF(AND($E128&gt;=BA$5,$E128&lt;BA$5+GanttPeriod),"◇","")),IF(AND(BA$5&lt;=$F128,BA$5+GanttPeriod-1&gt;=$E128),"━","")))</f>
        <v/>
      </c>
      <c r="BB128" s="69" t="str">
        <f aca="false">IF($E128="","",IF($M128,IF(AND($G128&gt;=BB$5,$G128&lt;BB$5+GanttPeriod),"◆",IF(AND($E128&gt;=BB$5,$E128&lt;BB$5+GanttPeriod),"◇","")),IF(AND(BB$5&lt;=$F128,BB$5+GanttPeriod-1&gt;=$E128),"━","")))</f>
        <v/>
      </c>
      <c r="BC128" s="69" t="str">
        <f aca="false">IF($E128="","",IF($M128,IF(AND($G128&gt;=BC$5,$G128&lt;BC$5+GanttPeriod),"◆",IF(AND($E128&gt;=BC$5,$E128&lt;BC$5+GanttPeriod),"◇","")),IF(AND(BC$5&lt;=$F128,BC$5+GanttPeriod-1&gt;=$E128),"━","")))</f>
        <v/>
      </c>
      <c r="BD128" s="69" t="str">
        <f aca="false">IF($E128="","",IF($M128,IF(AND($G128&gt;=BD$5,$G128&lt;BD$5+GanttPeriod),"◆",IF(AND($E128&gt;=BD$5,$E128&lt;BD$5+GanttPeriod),"◇","")),IF(AND(BD$5&lt;=$F128,BD$5+GanttPeriod-1&gt;=$E128),"━","")))</f>
        <v/>
      </c>
      <c r="BE128" s="69" t="str">
        <f aca="false">IF($E128="","",IF($M128,IF(AND($G128&gt;=BE$5,$G128&lt;BE$5+GanttPeriod),"◆",IF(AND($E128&gt;=BE$5,$E128&lt;BE$5+GanttPeriod),"◇","")),IF(AND(BE$5&lt;=$F128,BE$5+GanttPeriod-1&gt;=$E128),"━","")))</f>
        <v/>
      </c>
      <c r="BF128" s="69" t="str">
        <f aca="false">IF($E128="","",IF($M128,IF(AND($G128&gt;=BF$5,$G128&lt;BF$5+GanttPeriod),"◆",IF(AND($E128&gt;=BF$5,$E128&lt;BF$5+GanttPeriod),"◇","")),IF(AND(BF$5&lt;=$F128,BF$5+GanttPeriod-1&gt;=$E128),"━","")))</f>
        <v/>
      </c>
      <c r="BG128" s="69" t="str">
        <f aca="false">IF($E128="","",IF($M128,IF(AND($G128&gt;=BG$5,$G128&lt;BG$5+GanttPeriod),"◆",IF(AND($E128&gt;=BG$5,$E128&lt;BG$5+GanttPeriod),"◇","")),IF(AND(BG$5&lt;=$F128,BG$5+GanttPeriod-1&gt;=$E128),"━","")))</f>
        <v/>
      </c>
      <c r="BH128" s="69" t="str">
        <f aca="false">IF($E128="","",IF($M128,IF(AND($G128&gt;=BH$5,$G128&lt;BH$5+GanttPeriod),"◆",IF(AND($E128&gt;=BH$5,$E128&lt;BH$5+GanttPeriod),"◇","")),IF(AND(BH$5&lt;=$F128,BH$5+GanttPeriod-1&gt;=$E128),"━","")))</f>
        <v/>
      </c>
      <c r="BI128" s="69" t="str">
        <f aca="false">IF($E128="","",IF($M128,IF(AND($G128&gt;=BI$5,$G128&lt;BI$5+GanttPeriod),"◆",IF(AND($E128&gt;=BI$5,$E128&lt;BI$5+GanttPeriod),"◇","")),IF(AND(BI$5&lt;=$F128,BI$5+GanttPeriod-1&gt;=$E128),"━","")))</f>
        <v/>
      </c>
      <c r="BJ128" s="69" t="str">
        <f aca="false">IF($E128="","",IF($M128,IF(AND($G128&gt;=BJ$5,$G128&lt;BJ$5+GanttPeriod),"◆",IF(AND($E128&gt;=BJ$5,$E128&lt;BJ$5+GanttPeriod),"◇","")),IF(AND(BJ$5&lt;=$F128,BJ$5+GanttPeriod-1&gt;=$E128),"━","")))</f>
        <v/>
      </c>
      <c r="BK128" s="69" t="str">
        <f aca="false">IF($E128="","",IF($M128,IF(AND($G128&gt;=BK$5,$G128&lt;BK$5+GanttPeriod),"◆",IF(AND($E128&gt;=BK$5,$E128&lt;BK$5+GanttPeriod),"◇","")),IF(AND(BK$5&lt;=$F128,BK$5+GanttPeriod-1&gt;=$E128),"━","")))</f>
        <v/>
      </c>
      <c r="BL128" s="69" t="str">
        <f aca="false">IF($E128="","",IF($M128,IF(AND($G128&gt;=BL$5,$G128&lt;BL$5+GanttPeriod),"◆",IF(AND($E128&gt;=BL$5,$E128&lt;BL$5+GanttPeriod),"◇","")),IF(AND(BL$5&lt;=$F128,BL$5+GanttPeriod-1&gt;=$E128),"━","")))</f>
        <v/>
      </c>
      <c r="BM128" s="69" t="str">
        <f aca="false">IF($E128="","",IF($M128,IF(AND($G128&gt;=BM$5,$G128&lt;BM$5+GanttPeriod),"◆",IF(AND($E128&gt;=BM$5,$E128&lt;BM$5+GanttPeriod),"◇","")),IF(AND(BM$5&lt;=$F128,BM$5+GanttPeriod-1&gt;=$E128),"━","")))</f>
        <v/>
      </c>
      <c r="BN128" s="69" t="str">
        <f aca="false">IF($E128="","",IF($M128,IF(AND($G128&gt;=BN$5,$G128&lt;BN$5+GanttPeriod),"◆",IF(AND($E128&gt;=BN$5,$E128&lt;BN$5+GanttPeriod),"◇","")),IF(AND(BN$5&lt;=$F128,BN$5+GanttPeriod-1&gt;=$E128),"━","")))</f>
        <v/>
      </c>
      <c r="BO128" s="69" t="str">
        <f aca="false">IF($E128="","",IF($M128,IF(AND($G128&gt;=BO$5,$G128&lt;BO$5+GanttPeriod),"◆",IF(AND($E128&gt;=BO$5,$E128&lt;BO$5+GanttPeriod),"◇","")),IF(AND(BO$5&lt;=$F128,BO$5+GanttPeriod-1&gt;=$E128),"━","")))</f>
        <v/>
      </c>
      <c r="BP128" s="69" t="str">
        <f aca="false">IF($E128="","",IF($M128,IF(AND($G128&gt;=BP$5,$G128&lt;BP$5+GanttPeriod),"◆",IF(AND($E128&gt;=BP$5,$E128&lt;BP$5+GanttPeriod),"◇","")),IF(AND(BP$5&lt;=$F128,BP$5+GanttPeriod-1&gt;=$E128),"━","")))</f>
        <v/>
      </c>
      <c r="BQ128" s="69" t="str">
        <f aca="false">IF($E128="","",IF($M128,IF(AND($G128&gt;=BQ$5,$G128&lt;BQ$5+GanttPeriod),"◆",IF(AND($E128&gt;=BQ$5,$E128&lt;BQ$5+GanttPeriod),"◇","")),IF(AND(BQ$5&lt;=$F128,BQ$5+GanttPeriod-1&gt;=$E128),"━","")))</f>
        <v/>
      </c>
      <c r="BR128" s="69" t="str">
        <f aca="false">IF($E128="","",IF($M128,IF(AND($G128&gt;=BR$5,$G128&lt;BR$5+GanttPeriod),"◆",IF(AND($E128&gt;=BR$5,$E128&lt;BR$5+GanttPeriod),"◇","")),IF(AND(BR$5&lt;=$F128,BR$5+GanttPeriod-1&gt;=$E128),"━","")))</f>
        <v/>
      </c>
      <c r="BS128" s="69" t="str">
        <f aca="false">IF($E128="","",IF($M128,IF(AND($G128&gt;=BS$5,$G128&lt;BS$5+GanttPeriod),"◆",IF(AND($E128&gt;=BS$5,$E128&lt;BS$5+GanttPeriod),"◇","")),IF(AND(BS$5&lt;=$F128,BS$5+GanttPeriod-1&gt;=$E128),"━","")))</f>
        <v/>
      </c>
      <c r="BT128" s="69" t="str">
        <f aca="false">IF($E128="","",IF($M128,IF(AND($G128&gt;=BT$5,$G128&lt;BT$5+GanttPeriod),"◆",IF(AND($E128&gt;=BT$5,$E128&lt;BT$5+GanttPeriod),"◇","")),IF(AND(BT$5&lt;=$F128,BT$5+GanttPeriod-1&gt;=$E128),"━","")))</f>
        <v/>
      </c>
      <c r="BU128" s="69" t="str">
        <f aca="false">IF($E128="","",IF($M128,IF(AND($G128&gt;=BU$5,$G128&lt;BU$5+GanttPeriod),"◆",IF(AND($E128&gt;=BU$5,$E128&lt;BU$5+GanttPeriod),"◇","")),IF(AND(BU$5&lt;=$F128,BU$5+GanttPeriod-1&gt;=$E128),"━","")))</f>
        <v/>
      </c>
      <c r="BV128" s="69" t="str">
        <f aca="false">IF($E128="","",IF($M128,IF(AND($G128&gt;=BV$5,$G128&lt;BV$5+GanttPeriod),"◆",IF(AND($E128&gt;=BV$5,$E128&lt;BV$5+GanttPeriod),"◇","")),IF(AND(BV$5&lt;=$F128,BV$5+GanttPeriod-1&gt;=$E128),"━","")))</f>
        <v/>
      </c>
      <c r="BW128" s="69" t="str">
        <f aca="false">IF($E128="","",IF($M128,IF(AND($G128&gt;=BW$5,$G128&lt;BW$5+GanttPeriod),"◆",IF(AND($E128&gt;=BW$5,$E128&lt;BW$5+GanttPeriod),"◇","")),IF(AND(BW$5&lt;=$F128,BW$5+GanttPeriod-1&gt;=$E128),"━","")))</f>
        <v/>
      </c>
      <c r="BX128" s="69" t="str">
        <f aca="false">IF($E128="","",IF($M128,IF(AND($G128&gt;=BX$5,$G128&lt;BX$5+GanttPeriod),"◆",IF(AND($E128&gt;=BX$5,$E128&lt;BX$5+GanttPeriod),"◇","")),IF(AND(BX$5&lt;=$F128,BX$5+GanttPeriod-1&gt;=$E128),"━","")))</f>
        <v/>
      </c>
      <c r="BY128" s="69" t="str">
        <f aca="false">IF($E128="","",IF($M128,IF(AND($G128&gt;=BY$5,$G128&lt;BY$5+GanttPeriod),"◆",IF(AND($E128&gt;=BY$5,$E128&lt;BY$5+GanttPeriod),"◇","")),IF(AND(BY$5&lt;=$F128,BY$5+GanttPeriod-1&gt;=$E128),"━","")))</f>
        <v/>
      </c>
      <c r="BZ128" s="69" t="str">
        <f aca="false">IF($E128="","",IF($M128,IF(AND($G128&gt;=BZ$5,$G128&lt;BZ$5+GanttPeriod),"◆",IF(AND($E128&gt;=BZ$5,$E128&lt;BZ$5+GanttPeriod),"◇","")),IF(AND(BZ$5&lt;=$F128,BZ$5+GanttPeriod-1&gt;=$E128),"━","")))</f>
        <v/>
      </c>
      <c r="CA128" s="69" t="str">
        <f aca="false">IF($E128="","",IF($M128,IF(AND($G128&gt;=CA$5,$G128&lt;CA$5+GanttPeriod),"◆",IF(AND($E128&gt;=CA$5,$E128&lt;CA$5+GanttPeriod),"◇","")),IF(AND(CA$5&lt;=$F128,CA$5+GanttPeriod-1&gt;=$E128),"━","")))</f>
        <v/>
      </c>
      <c r="CB128" s="69" t="str">
        <f aca="false">IF($E128="","",IF($M128,IF(AND($G128&gt;=CB$5,$G128&lt;CB$5+GanttPeriod),"◆",IF(AND($E128&gt;=CB$5,$E128&lt;CB$5+GanttPeriod),"◇","")),IF(AND(CB$5&lt;=$F128,CB$5+GanttPeriod-1&gt;=$E128),"━","")))</f>
        <v/>
      </c>
      <c r="CC128" s="69" t="str">
        <f aca="false">IF($E128="","",IF($M128,IF(AND($G128&gt;=CC$5,$G128&lt;CC$5+GanttPeriod),"◆",IF(AND($E128&gt;=CC$5,$E128&lt;CC$5+GanttPeriod),"◇","")),IF(AND(CC$5&lt;=$F128,CC$5+GanttPeriod-1&gt;=$E128),"━","")))</f>
        <v/>
      </c>
      <c r="CD128" s="69" t="str">
        <f aca="false">IF($E128="","",IF($M128,IF(AND($G128&gt;=CD$5,$G128&lt;CD$5+GanttPeriod),"◆",IF(AND($E128&gt;=CD$5,$E128&lt;CD$5+GanttPeriod),"◇","")),IF(AND(CD$5&lt;=$F128,CD$5+GanttPeriod-1&gt;=$E128),"━","")))</f>
        <v/>
      </c>
      <c r="CE128" s="69" t="str">
        <f aca="false">IF($E128="","",IF($M128,IF(AND($G128&gt;=CE$5,$G128&lt;CE$5+GanttPeriod),"◆",IF(AND($E128&gt;=CE$5,$E128&lt;CE$5+GanttPeriod),"◇","")),IF(AND(CE$5&lt;=$F128,CE$5+GanttPeriod-1&gt;=$E128),"━","")))</f>
        <v/>
      </c>
      <c r="CF128" s="69" t="str">
        <f aca="false">IF($E128="","",IF($M128,IF(AND($G128&gt;=CF$5,$G128&lt;CF$5+GanttPeriod),"◆",IF(AND($E128&gt;=CF$5,$E128&lt;CF$5+GanttPeriod),"◇","")),IF(AND(CF$5&lt;=$F128,CF$5+GanttPeriod-1&gt;=$E128),"━","")))</f>
        <v/>
      </c>
      <c r="CG128" s="69" t="str">
        <f aca="false">IF($E128="","",IF($M128,IF(AND($G128&gt;=CG$5,$G128&lt;CG$5+GanttPeriod),"◆",IF(AND($E128&gt;=CG$5,$E128&lt;CG$5+GanttPeriod),"◇","")),IF(AND(CG$5&lt;=$F128,CG$5+GanttPeriod-1&gt;=$E128),"━","")))</f>
        <v/>
      </c>
      <c r="CH128" s="69" t="str">
        <f aca="false">IF($E128="","",IF($M128,IF(AND($G128&gt;=CH$5,$G128&lt;CH$5+GanttPeriod),"◆",IF(AND($E128&gt;=CH$5,$E128&lt;CH$5+GanttPeriod),"◇","")),IF(AND(CH$5&lt;=$F128,CH$5+GanttPeriod-1&gt;=$E128),"━","")))</f>
        <v/>
      </c>
      <c r="CI128" s="69" t="str">
        <f aca="false">IF($E128="","",IF($M128,IF(AND($G128&gt;=CI$5,$G128&lt;CI$5+GanttPeriod),"◆",IF(AND($E128&gt;=CI$5,$E128&lt;CI$5+GanttPeriod),"◇","")),IF(AND(CI$5&lt;=$F128,CI$5+GanttPeriod-1&gt;=$E128),"━","")))</f>
        <v/>
      </c>
      <c r="CJ128" s="69" t="str">
        <f aca="false">IF($E128="","",IF($M128,IF(AND($G128&gt;=CJ$5,$G128&lt;CJ$5+GanttPeriod),"◆",IF(AND($E128&gt;=CJ$5,$E128&lt;CJ$5+GanttPeriod),"◇","")),IF(AND(CJ$5&lt;=$F128,CJ$5+GanttPeriod-1&gt;=$E128),"━","")))</f>
        <v/>
      </c>
      <c r="CK128" s="69" t="str">
        <f aca="false">IF($E128="","",IF($M128,IF(AND($G128&gt;=CK$5,$G128&lt;CK$5+GanttPeriod),"◆",IF(AND($E128&gt;=CK$5,$E128&lt;CK$5+GanttPeriod),"◇","")),IF(AND(CK$5&lt;=$F128,CK$5+GanttPeriod-1&gt;=$E128),"━","")))</f>
        <v/>
      </c>
      <c r="CL128" s="69" t="str">
        <f aca="false">IF($E128="","",IF($M128,IF(AND($G128&gt;=CL$5,$G128&lt;CL$5+GanttPeriod),"◆",IF(AND($E128&gt;=CL$5,$E128&lt;CL$5+GanttPeriod),"◇","")),IF(AND(CL$5&lt;=$F128,CL$5+GanttPeriod-1&gt;=$E128),"━","")))</f>
        <v/>
      </c>
      <c r="CM128" s="69" t="str">
        <f aca="false">IF($E128="","",IF($M128,IF(AND($G128&gt;=CM$5,$G128&lt;CM$5+GanttPeriod),"◆",IF(AND($E128&gt;=CM$5,$E128&lt;CM$5+GanttPeriod),"◇","")),IF(AND(CM$5&lt;=$F128,CM$5+GanttPeriod-1&gt;=$E128),"━","")))</f>
        <v/>
      </c>
      <c r="CN128" s="69" t="str">
        <f aca="false">IF($E128="","",IF($M128,IF(AND($G128&gt;=CN$5,$G128&lt;CN$5+GanttPeriod),"◆",IF(AND($E128&gt;=CN$5,$E128&lt;CN$5+GanttPeriod),"◇","")),IF(AND(CN$5&lt;=$F128,CN$5+GanttPeriod-1&gt;=$E128),"━","")))</f>
        <v/>
      </c>
      <c r="CO128" s="69" t="str">
        <f aca="false">IF($E128="","",IF($M128,IF(AND($G128&gt;=CO$5,$G128&lt;CO$5+GanttPeriod),"◆",IF(AND($E128&gt;=CO$5,$E128&lt;CO$5+GanttPeriod),"◇","")),IF(AND(CO$5&lt;=$F128,CO$5+GanttPeriod-1&gt;=$E128),"━","")))</f>
        <v/>
      </c>
      <c r="CP128" s="69" t="str">
        <f aca="false">IF($E128="","",IF($M128,IF(AND($G128&gt;=CP$5,$G128&lt;CP$5+GanttPeriod),"◆",IF(AND($E128&gt;=CP$5,$E128&lt;CP$5+GanttPeriod),"◇","")),IF(AND(CP$5&lt;=$F128,CP$5+GanttPeriod-1&gt;=$E128),"━","")))</f>
        <v/>
      </c>
      <c r="CQ128" s="69" t="str">
        <f aca="false">IF($E128="","",IF($M128,IF(AND($G128&gt;=CQ$5,$G128&lt;CQ$5+GanttPeriod),"◆",IF(AND($E128&gt;=CQ$5,$E128&lt;CQ$5+GanttPeriod),"◇","")),IF(AND(CQ$5&lt;=$F128,CQ$5+GanttPeriod-1&gt;=$E128),"━","")))</f>
        <v/>
      </c>
      <c r="CR128" s="69" t="str">
        <f aca="false">IF($E128="","",IF($M128,IF(AND($G128&gt;=CR$5,$G128&lt;CR$5+GanttPeriod),"◆",IF(AND($E128&gt;=CR$5,$E128&lt;CR$5+GanttPeriod),"◇","")),IF(AND(CR$5&lt;=$F128,CR$5+GanttPeriod-1&gt;=$E128),"━","")))</f>
        <v/>
      </c>
      <c r="CS128" s="69" t="str">
        <f aca="false">IF($E128="","",IF($M128,IF(AND($G128&gt;=CS$5,$G128&lt;CS$5+GanttPeriod),"◆",IF(AND($E128&gt;=CS$5,$E128&lt;CS$5+GanttPeriod),"◇","")),IF(AND(CS$5&lt;=$F128,CS$5+GanttPeriod-1&gt;=$E128),"━","")))</f>
        <v/>
      </c>
      <c r="CT128" s="69" t="str">
        <f aca="false">IF($E128="","",IF($M128,IF(AND($G128&gt;=CT$5,$G128&lt;CT$5+GanttPeriod),"◆",IF(AND($E128&gt;=CT$5,$E128&lt;CT$5+GanttPeriod),"◇","")),IF(AND(CT$5&lt;=$F128,CT$5+GanttPeriod-1&gt;=$E128),"━","")))</f>
        <v/>
      </c>
      <c r="CU128" s="69" t="str">
        <f aca="false">IF($E128="","",IF($M128,IF(AND($G128&gt;=CU$5,$G128&lt;CU$5+GanttPeriod),"◆",IF(AND($E128&gt;=CU$5,$E128&lt;CU$5+GanttPeriod),"◇","")),IF(AND(CU$5&lt;=$F128,CU$5+GanttPeriod-1&gt;=$E128),"━","")))</f>
        <v/>
      </c>
      <c r="CV128" s="69" t="str">
        <f aca="false">IF($E128="","",IF($M128,IF(AND($G128&gt;=CV$5,$G128&lt;CV$5+GanttPeriod),"◆",IF(AND($E128&gt;=CV$5,$E128&lt;CV$5+GanttPeriod),"◇","")),IF(AND(CV$5&lt;=$F128,CV$5+GanttPeriod-1&gt;=$E128),"━","")))</f>
        <v/>
      </c>
      <c r="CW128" s="69" t="str">
        <f aca="false">IF($E128="","",IF($M128,IF(AND($G128&gt;=CW$5,$G128&lt;CW$5+GanttPeriod),"◆",IF(AND($E128&gt;=CW$5,$E128&lt;CW$5+GanttPeriod),"◇","")),IF(AND(CW$5&lt;=$F128,CW$5+GanttPeriod-1&gt;=$E128),"━","")))</f>
        <v/>
      </c>
      <c r="CX128" s="69" t="str">
        <f aca="false">IF($E128="","",IF($M128,IF(AND($G128&gt;=CX$5,$G128&lt;CX$5+GanttPeriod),"◆",IF(AND($E128&gt;=CX$5,$E128&lt;CX$5+GanttPeriod),"◇","")),IF(AND(CX$5&lt;=$F128,CX$5+GanttPeriod-1&gt;=$E128),"━","")))</f>
        <v/>
      </c>
      <c r="CY128" s="69" t="str">
        <f aca="false">IF($E128="","",IF($M128,IF(AND($G128&gt;=CY$5,$G128&lt;CY$5+GanttPeriod),"◆",IF(AND($E128&gt;=CY$5,$E128&lt;CY$5+GanttPeriod),"◇","")),IF(AND(CY$5&lt;=$F128,CY$5+GanttPeriod-1&gt;=$E128),"━","")))</f>
        <v/>
      </c>
      <c r="CZ128" s="69" t="str">
        <f aca="false">IF($E128="","",IF($M128,IF(AND($G128&gt;=CZ$5,$G128&lt;CZ$5+GanttPeriod),"◆",IF(AND($E128&gt;=CZ$5,$E128&lt;CZ$5+GanttPeriod),"◇","")),IF(AND(CZ$5&lt;=$F128,CZ$5+GanttPeriod-1&gt;=$E128),"━","")))</f>
        <v/>
      </c>
      <c r="DA128" s="69" t="str">
        <f aca="false">IF($E128="","",IF($M128,IF(AND($G128&gt;=DA$5,$G128&lt;DA$5+GanttPeriod),"◆",IF(AND($E128&gt;=DA$5,$E128&lt;DA$5+GanttPeriod),"◇","")),IF(AND(DA$5&lt;=$F128,DA$5+GanttPeriod-1&gt;=$E128),"━","")))</f>
        <v/>
      </c>
      <c r="DB128" s="69" t="str">
        <f aca="false">IF($E128="","",IF($M128,IF(AND($G128&gt;=DB$5,$G128&lt;DB$5+GanttPeriod),"◆",IF(AND($E128&gt;=DB$5,$E128&lt;DB$5+GanttPeriod),"◇","")),IF(AND(DB$5&lt;=$F128,DB$5+GanttPeriod-1&gt;=$E128),"━","")))</f>
        <v/>
      </c>
      <c r="DC128" s="69" t="str">
        <f aca="false">IF($E128="","",IF($M128,IF(AND($G128&gt;=DC$5,$G128&lt;DC$5+GanttPeriod),"◆",IF(AND($E128&gt;=DC$5,$E128&lt;DC$5+GanttPeriod),"◇","")),IF(AND(DC$5&lt;=$F128,DC$5+GanttPeriod-1&gt;=$E128),"━","")))</f>
        <v/>
      </c>
      <c r="DD128" s="69" t="str">
        <f aca="false">IF($E128="","",IF($M128,IF(AND($G128&gt;=DD$5,$G128&lt;DD$5+GanttPeriod),"◆",IF(AND($E128&gt;=DD$5,$E128&lt;DD$5+GanttPeriod),"◇","")),IF(AND(DD$5&lt;=$F128,DD$5+GanttPeriod-1&gt;=$E128),"━","")))</f>
        <v/>
      </c>
      <c r="DE128" s="69" t="str">
        <f aca="false">IF($E128="","",IF($M128,IF(AND($G128&gt;=DE$5,$G128&lt;DE$5+GanttPeriod),"◆",IF(AND($E128&gt;=DE$5,$E128&lt;DE$5+GanttPeriod),"◇","")),IF(AND(DE$5&lt;=$F128,DE$5+GanttPeriod-1&gt;=$E128),"━","")))</f>
        <v/>
      </c>
      <c r="DF128" s="69" t="str">
        <f aca="false">IF($E128="","",IF($M128,IF(AND($G128&gt;=DF$5,$G128&lt;DF$5+GanttPeriod),"◆",IF(AND($E128&gt;=DF$5,$E128&lt;DF$5+GanttPeriod),"◇","")),IF(AND(DF$5&lt;=$F128,DF$5+GanttPeriod-1&gt;=$E128),"━","")))</f>
        <v/>
      </c>
      <c r="DG128" s="69" t="str">
        <f aca="false">IF($E128="","",IF($M128,IF(AND($G128&gt;=DG$5,$G128&lt;DG$5+GanttPeriod),"◆",IF(AND($E128&gt;=DG$5,$E128&lt;DG$5+GanttPeriod),"◇","")),IF(AND(DG$5&lt;=$F128,DG$5+GanttPeriod-1&gt;=$E128),"━","")))</f>
        <v/>
      </c>
      <c r="DH128" s="69" t="str">
        <f aca="false">IF($E128="","",IF($M128,IF(AND($G128&gt;=DH$5,$G128&lt;DH$5+GanttPeriod),"◆",IF(AND($E128&gt;=DH$5,$E128&lt;DH$5+GanttPeriod),"◇","")),IF(AND(DH$5&lt;=$F128,DH$5+GanttPeriod-1&gt;=$E128),"━","")))</f>
        <v/>
      </c>
      <c r="DI128" s="69" t="str">
        <f aca="false">IF($E128="","",IF($M128,IF(AND($G128&gt;=DI$5,$G128&lt;DI$5+GanttPeriod),"◆",IF(AND($E128&gt;=DI$5,$E128&lt;DI$5+GanttPeriod),"◇","")),IF(AND(DI$5&lt;=$F128,DI$5+GanttPeriod-1&gt;=$E128),"━","")))</f>
        <v/>
      </c>
      <c r="DJ128" s="69" t="str">
        <f aca="false">IF($E128="","",IF($M128,IF(AND($G128&gt;=DJ$5,$G128&lt;DJ$5+GanttPeriod),"◆",IF(AND($E128&gt;=DJ$5,$E128&lt;DJ$5+GanttPeriod),"◇","")),IF(AND(DJ$5&lt;=$F128,DJ$5+GanttPeriod-1&gt;=$E128),"━","")))</f>
        <v/>
      </c>
      <c r="DK128" s="69" t="str">
        <f aca="false">IF($E128="","",IF($M128,IF(AND($G128&gt;=DK$5,$G128&lt;DK$5+GanttPeriod),"◆",IF(AND($E128&gt;=DK$5,$E128&lt;DK$5+GanttPeriod),"◇","")),IF(AND(DK$5&lt;=$F128,DK$5+GanttPeriod-1&gt;=$E128),"━","")))</f>
        <v/>
      </c>
      <c r="DL128" s="69" t="str">
        <f aca="false">IF($E128="","",IF($M128,IF(AND($G128&gt;=DL$5,$G128&lt;DL$5+GanttPeriod),"◆",IF(AND($E128&gt;=DL$5,$E128&lt;DL$5+GanttPeriod),"◇","")),IF(AND(DL$5&lt;=$F128,DL$5+GanttPeriod-1&gt;=$E128),"━","")))</f>
        <v/>
      </c>
      <c r="DM128" s="69" t="str">
        <f aca="false">IF($E128="","",IF($M128,IF(AND($G128&gt;=DM$5,$G128&lt;DM$5+GanttPeriod),"◆",IF(AND($E128&gt;=DM$5,$E128&lt;DM$5+GanttPeriod),"◇","")),IF(AND(DM$5&lt;=$F128,DM$5+GanttPeriod-1&gt;=$E128),"━","")))</f>
        <v/>
      </c>
      <c r="DN128" s="69" t="str">
        <f aca="false">IF($E128="","",IF($M128,IF(AND($G128&gt;=DN$5,$G128&lt;DN$5+GanttPeriod),"◆",IF(AND($E128&gt;=DN$5,$E128&lt;DN$5+GanttPeriod),"◇","")),IF(AND(DN$5&lt;=$F128,DN$5+GanttPeriod-1&gt;=$E128),"━","")))</f>
        <v/>
      </c>
      <c r="DO128" s="69" t="str">
        <f aca="false">IF($E128="","",IF($M128,IF(AND($G128&gt;=DO$5,$G128&lt;DO$5+GanttPeriod),"◆",IF(AND($E128&gt;=DO$5,$E128&lt;DO$5+GanttPeriod),"◇","")),IF(AND(DO$5&lt;=$F128,DO$5+GanttPeriod-1&gt;=$E128),"━","")))</f>
        <v/>
      </c>
      <c r="DP128" s="69" t="str">
        <f aca="false">IF($E128="","",IF($M128,IF(AND($G128&gt;=DP$5,$G128&lt;DP$5+GanttPeriod),"◆",IF(AND($E128&gt;=DP$5,$E128&lt;DP$5+GanttPeriod),"◇","")),IF(AND(DP$5&lt;=$F128,DP$5+GanttPeriod-1&gt;=$E128),"━","")))</f>
        <v/>
      </c>
      <c r="DQ128" s="69" t="str">
        <f aca="false">IF($E128="","",IF($M128,IF(AND($G128&gt;=DQ$5,$G128&lt;DQ$5+GanttPeriod),"◆",IF(AND($E128&gt;=DQ$5,$E128&lt;DQ$5+GanttPeriod),"◇","")),IF(AND(DQ$5&lt;=$F128,DQ$5+GanttPeriod-1&gt;=$E128),"━","")))</f>
        <v/>
      </c>
      <c r="DR128" s="69" t="str">
        <f aca="false">IF($E128="","",IF($M128,IF(AND($G128&gt;=DR$5,$G128&lt;DR$5+GanttPeriod),"◆",IF(AND($E128&gt;=DR$5,$E128&lt;DR$5+GanttPeriod),"◇","")),IF(AND(DR$5&lt;=$F128,DR$5+GanttPeriod-1&gt;=$E128),"━","")))</f>
        <v/>
      </c>
      <c r="DS128" s="69" t="str">
        <f aca="false">IF($E128="","",IF($M128,IF(AND($G128&gt;=DS$5,$G128&lt;DS$5+GanttPeriod),"◆",IF(AND($E128&gt;=DS$5,$E128&lt;DS$5+GanttPeriod),"◇","")),IF(AND(DS$5&lt;=$F128,DS$5+GanttPeriod-1&gt;=$E128),"━","")))</f>
        <v/>
      </c>
      <c r="DT128" s="69" t="str">
        <f aca="false">IF($E128="","",IF($M128,IF(AND($G128&gt;=DT$5,$G128&lt;DT$5+GanttPeriod),"◆",IF(AND($E128&gt;=DT$5,$E128&lt;DT$5+GanttPeriod),"◇","")),IF(AND(DT$5&lt;=$F128,DT$5+GanttPeriod-1&gt;=$E128),"━","")))</f>
        <v/>
      </c>
      <c r="DU128" s="69" t="str">
        <f aca="false">IF($E128="","",IF($M128,IF(AND($G128&gt;=DU$5,$G128&lt;DU$5+GanttPeriod),"◆",IF(AND($E128&gt;=DU$5,$E128&lt;DU$5+GanttPeriod),"◇","")),IF(AND(DU$5&lt;=$F128,DU$5+GanttPeriod-1&gt;=$E128),"━","")))</f>
        <v/>
      </c>
      <c r="DV128" s="69" t="str">
        <f aca="false">IF($E128="","",IF($M128,IF(AND($G128&gt;=DV$5,$G128&lt;DV$5+GanttPeriod),"◆",IF(AND($E128&gt;=DV$5,$E128&lt;DV$5+GanttPeriod),"◇","")),IF(AND(DV$5&lt;=$F128,DV$5+GanttPeriod-1&gt;=$E128),"━","")))</f>
        <v/>
      </c>
      <c r="DW128" s="69" t="str">
        <f aca="false">IF($E128="","",IF($M128,IF(AND($G128&gt;=DW$5,$G128&lt;DW$5+GanttPeriod),"◆",IF(AND($E128&gt;=DW$5,$E128&lt;DW$5+GanttPeriod),"◇","")),IF(AND(DW$5&lt;=$F128,DW$5+GanttPeriod-1&gt;=$E128),"━","")))</f>
        <v/>
      </c>
      <c r="DX128" s="69" t="str">
        <f aca="false">IF($E128="","",IF($M128,IF(AND($G128&gt;=DX$5,$G128&lt;DX$5+GanttPeriod),"◆",IF(AND($E128&gt;=DX$5,$E128&lt;DX$5+GanttPeriod),"◇","")),IF(AND(DX$5&lt;=$F128,DX$5+GanttPeriod-1&gt;=$E128),"━","")))</f>
        <v/>
      </c>
      <c r="DY128" s="69" t="str">
        <f aca="false">IF($E128="","",IF($M128,IF(AND($G128&gt;=DY$5,$G128&lt;DY$5+GanttPeriod),"◆",IF(AND($E128&gt;=DY$5,$E128&lt;DY$5+GanttPeriod),"◇","")),IF(AND(DY$5&lt;=$F128,DY$5+GanttPeriod-1&gt;=$E128),"━","")))</f>
        <v/>
      </c>
      <c r="DZ128" s="69" t="str">
        <f aca="false">IF($E128="","",IF($M128,IF(AND($G128&gt;=DZ$5,$G128&lt;DZ$5+GanttPeriod),"◆",IF(AND($E128&gt;=DZ$5,$E128&lt;DZ$5+GanttPeriod),"◇","")),IF(AND(DZ$5&lt;=$F128,DZ$5+GanttPeriod-1&gt;=$E128),"━","")))</f>
        <v/>
      </c>
      <c r="EA128" s="69" t="str">
        <f aca="false">IF($E128="","",IF($M128,IF(AND($G128&gt;=EA$5,$G128&lt;EA$5+GanttPeriod),"◆",IF(AND($E128&gt;=EA$5,$E128&lt;EA$5+GanttPeriod),"◇","")),IF(AND(EA$5&lt;=$F128,EA$5+GanttPeriod-1&gt;=$E128),"━","")))</f>
        <v/>
      </c>
      <c r="EB128" s="69" t="str">
        <f aca="false">IF($E128="","",IF($M128,IF(AND($G128&gt;=EB$5,$G128&lt;EB$5+GanttPeriod),"◆",IF(AND($E128&gt;=EB$5,$E128&lt;EB$5+GanttPeriod),"◇","")),IF(AND(EB$5&lt;=$F128,EB$5+GanttPeriod-1&gt;=$E128),"━","")))</f>
        <v/>
      </c>
      <c r="EC128" s="69" t="str">
        <f aca="false">IF($E128="","",IF($M128,IF(AND($G128&gt;=EC$5,$G128&lt;EC$5+GanttPeriod),"◆",IF(AND($E128&gt;=EC$5,$E128&lt;EC$5+GanttPeriod),"◇","")),IF(AND(EC$5&lt;=$F128,EC$5+GanttPeriod-1&gt;=$E128),"━","")))</f>
        <v/>
      </c>
      <c r="ED128" s="69" t="str">
        <f aca="false">IF($E128="","",IF($M128,IF(AND($G128&gt;=ED$5,$G128&lt;ED$5+GanttPeriod),"◆",IF(AND($E128&gt;=ED$5,$E128&lt;ED$5+GanttPeriod),"◇","")),IF(AND(ED$5&lt;=$F128,ED$5+GanttPeriod-1&gt;=$E128),"━","")))</f>
        <v/>
      </c>
      <c r="EE128" s="69" t="str">
        <f aca="false">IF($E128="","",IF($M128,IF(AND($G128&gt;=EE$5,$G128&lt;EE$5+GanttPeriod),"◆",IF(AND($E128&gt;=EE$5,$E128&lt;EE$5+GanttPeriod),"◇","")),IF(AND(EE$5&lt;=$F128,EE$5+GanttPeriod-1&gt;=$E128),"━","")))</f>
        <v/>
      </c>
      <c r="EF128" s="69" t="str">
        <f aca="false">IF($E128="","",IF($M128,IF(AND($G128&gt;=EF$5,$G128&lt;EF$5+GanttPeriod),"◆",IF(AND($E128&gt;=EF$5,$E128&lt;EF$5+GanttPeriod),"◇","")),IF(AND(EF$5&lt;=$F128,EF$5+GanttPeriod-1&gt;=$E128),"━","")))</f>
        <v/>
      </c>
      <c r="EG128" s="69" t="str">
        <f aca="false">IF($E128="","",IF($M128,IF(AND($G128&gt;=EG$5,$G128&lt;EG$5+GanttPeriod),"◆",IF(AND($E128&gt;=EG$5,$E128&lt;EG$5+GanttPeriod),"◇","")),IF(AND(EG$5&lt;=$F128,EG$5+GanttPeriod-1&gt;=$E128),"━","")))</f>
        <v/>
      </c>
      <c r="EH128" s="69" t="str">
        <f aca="false">IF($E128="","",IF($M128,IF(AND($G128&gt;=EH$5,$G128&lt;EH$5+GanttPeriod),"◆",IF(AND($E128&gt;=EH$5,$E128&lt;EH$5+GanttPeriod),"◇","")),IF(AND(EH$5&lt;=$F128,EH$5+GanttPeriod-1&gt;=$E128),"━","")))</f>
        <v/>
      </c>
      <c r="EI128" s="69" t="str">
        <f aca="false">IF($E128="","",IF($M128,IF(AND($G128&gt;=EI$5,$G128&lt;EI$5+GanttPeriod),"◆",IF(AND($E128&gt;=EI$5,$E128&lt;EI$5+GanttPeriod),"◇","")),IF(AND(EI$5&lt;=$F128,EI$5+GanttPeriod-1&gt;=$E128),"━","")))</f>
        <v/>
      </c>
      <c r="EJ128" s="69" t="str">
        <f aca="false">IF($E128="","",IF($M128,IF(AND($G128&gt;=EJ$5,$G128&lt;EJ$5+GanttPeriod),"◆",IF(AND($E128&gt;=EJ$5,$E128&lt;EJ$5+GanttPeriod),"◇","")),IF(AND(EJ$5&lt;=$F128,EJ$5+GanttPeriod-1&gt;=$E128),"━","")))</f>
        <v/>
      </c>
      <c r="EK128" s="69" t="str">
        <f aca="false">IF($E128="","",IF($M128,IF(AND($G128&gt;=EK$5,$G128&lt;EK$5+GanttPeriod),"◆",IF(AND($E128&gt;=EK$5,$E128&lt;EK$5+GanttPeriod),"◇","")),IF(AND(EK$5&lt;=$F128,EK$5+GanttPeriod-1&gt;=$E128),"━","")))</f>
        <v/>
      </c>
      <c r="EL128" s="69" t="str">
        <f aca="false">IF($E128="","",IF($M128,IF(AND($G128&gt;=EL$5,$G128&lt;EL$5+GanttPeriod),"◆",IF(AND($E128&gt;=EL$5,$E128&lt;EL$5+GanttPeriod),"◇","")),IF(AND(EL$5&lt;=$F128,EL$5+GanttPeriod-1&gt;=$E128),"━","")))</f>
        <v/>
      </c>
      <c r="EM128" s="69" t="str">
        <f aca="false">IF($E128="","",IF($M128,IF(AND($G128&gt;=EM$5,$G128&lt;EM$5+GanttPeriod),"◆",IF(AND($E128&gt;=EM$5,$E128&lt;EM$5+GanttPeriod),"◇","")),IF(AND(EM$5&lt;=$F128,EM$5+GanttPeriod-1&gt;=$E128),"━","")))</f>
        <v/>
      </c>
      <c r="EN128" s="69" t="str">
        <f aca="false">IF($E128="","",IF($M128,IF(AND($G128&gt;=EN$5,$G128&lt;EN$5+GanttPeriod),"◆",IF(AND($E128&gt;=EN$5,$E128&lt;EN$5+GanttPeriod),"◇","")),IF(AND(EN$5&lt;=$F128,EN$5+GanttPeriod-1&gt;=$E128),"━","")))</f>
        <v/>
      </c>
      <c r="EO128" s="69" t="str">
        <f aca="false">IF($E128="","",IF($M128,IF(AND($G128&gt;=EO$5,$G128&lt;EO$5+GanttPeriod),"◆",IF(AND($E128&gt;=EO$5,$E128&lt;EO$5+GanttPeriod),"◇","")),IF(AND(EO$5&lt;=$F128,EO$5+GanttPeriod-1&gt;=$E128),"━","")))</f>
        <v/>
      </c>
      <c r="EP128" s="69" t="str">
        <f aca="false">IF($E128="","",IF($M128,IF(AND($G128&gt;=EP$5,$G128&lt;EP$5+GanttPeriod),"◆",IF(AND($E128&gt;=EP$5,$E128&lt;EP$5+GanttPeriod),"◇","")),IF(AND(EP$5&lt;=$F128,EP$5+GanttPeriod-1&gt;=$E128),"━","")))</f>
        <v/>
      </c>
      <c r="EQ128" s="69" t="str">
        <f aca="false">IF($E128="","",IF($M128,IF(AND($G128&gt;=EQ$5,$G128&lt;EQ$5+GanttPeriod),"◆",IF(AND($E128&gt;=EQ$5,$E128&lt;EQ$5+GanttPeriod),"◇","")),IF(AND(EQ$5&lt;=$F128,EQ$5+GanttPeriod-1&gt;=$E128),"━","")))</f>
        <v/>
      </c>
      <c r="ER128" s="69" t="str">
        <f aca="false">IF($E128="","",IF($M128,IF(AND($G128&gt;=ER$5,$G128&lt;ER$5+GanttPeriod),"◆",IF(AND($E128&gt;=ER$5,$E128&lt;ER$5+GanttPeriod),"◇","")),IF(AND(ER$5&lt;=$F128,ER$5+GanttPeriod-1&gt;=$E128),"━","")))</f>
        <v/>
      </c>
      <c r="ES128" s="69" t="str">
        <f aca="false">IF($E128="","",IF($M128,IF(AND($G128&gt;=ES$5,$G128&lt;ES$5+GanttPeriod),"◆",IF(AND($E128&gt;=ES$5,$E128&lt;ES$5+GanttPeriod),"◇","")),IF(AND(ES$5&lt;=$F128,ES$5+GanttPeriod-1&gt;=$E128),"━","")))</f>
        <v/>
      </c>
      <c r="ET128" s="69" t="str">
        <f aca="false">IF($E128="","",IF($M128,IF(AND($G128&gt;=ET$5,$G128&lt;ET$5+GanttPeriod),"◆",IF(AND($E128&gt;=ET$5,$E128&lt;ET$5+GanttPeriod),"◇","")),IF(AND(ET$5&lt;=$F128,ET$5+GanttPeriod-1&gt;=$E128),"━","")))</f>
        <v/>
      </c>
      <c r="EU128" s="69" t="str">
        <f aca="false">IF($E128="","",IF($M128,IF(AND($G128&gt;=EU$5,$G128&lt;EU$5+GanttPeriod),"◆",IF(AND($E128&gt;=EU$5,$E128&lt;EU$5+GanttPeriod),"◇","")),IF(AND(EU$5&lt;=$F128,EU$5+GanttPeriod-1&gt;=$E128),"━","")))</f>
        <v/>
      </c>
      <c r="EV128" s="69" t="str">
        <f aca="false">IF($E128="","",IF($M128,IF(AND($G128&gt;=EV$5,$G128&lt;EV$5+GanttPeriod),"◆",IF(AND($E128&gt;=EV$5,$E128&lt;EV$5+GanttPeriod),"◇","")),IF(AND(EV$5&lt;=$F128,EV$5+GanttPeriod-1&gt;=$E128),"━","")))</f>
        <v/>
      </c>
      <c r="EW128" s="69" t="str">
        <f aca="false">IF($E128="","",IF($M128,IF(AND($G128&gt;=EW$5,$G128&lt;EW$5+GanttPeriod),"◆",IF(AND($E128&gt;=EW$5,$E128&lt;EW$5+GanttPeriod),"◇","")),IF(AND(EW$5&lt;=$F128,EW$5+GanttPeriod-1&gt;=$E128),"━","")))</f>
        <v/>
      </c>
      <c r="EX128" s="69" t="str">
        <f aca="false">IF($E128="","",IF($M128,IF(AND($G128&gt;=EX$5,$G128&lt;EX$5+GanttPeriod),"◆",IF(AND($E128&gt;=EX$5,$E128&lt;EX$5+GanttPeriod),"◇","")),IF(AND(EX$5&lt;=$F128,EX$5+GanttPeriod-1&gt;=$E128),"━","")))</f>
        <v/>
      </c>
      <c r="EY128" s="69" t="str">
        <f aca="false">IF($E128="","",IF($M128,IF(AND($G128&gt;=EY$5,$G128&lt;EY$5+GanttPeriod),"◆",IF(AND($E128&gt;=EY$5,$E128&lt;EY$5+GanttPeriod),"◇","")),IF(AND(EY$5&lt;=$F128,EY$5+GanttPeriod-1&gt;=$E128),"━","")))</f>
        <v/>
      </c>
      <c r="EZ128" s="69" t="str">
        <f aca="false">IF($E128="","",IF($M128,IF(AND($G128&gt;=EZ$5,$G128&lt;EZ$5+GanttPeriod),"◆",IF(AND($E128&gt;=EZ$5,$E128&lt;EZ$5+GanttPeriod),"◇","")),IF(AND(EZ$5&lt;=$F128,EZ$5+GanttPeriod-1&gt;=$E128),"━","")))</f>
        <v/>
      </c>
      <c r="FA128" s="69" t="str">
        <f aca="false">IF($E128="","",IF($M128,IF(AND($G128&gt;=FA$5,$G128&lt;FA$5+GanttPeriod),"◆",IF(AND($E128&gt;=FA$5,$E128&lt;FA$5+GanttPeriod),"◇","")),IF(AND(FA$5&lt;=$F128,FA$5+GanttPeriod-1&gt;=$E128),"━","")))</f>
        <v/>
      </c>
      <c r="FB128" s="69" t="str">
        <f aca="false">IF($E128="","",IF($M128,IF(AND($G128&gt;=FB$5,$G128&lt;FB$5+GanttPeriod),"◆",IF(AND($E128&gt;=FB$5,$E128&lt;FB$5+GanttPeriod),"◇","")),IF(AND(FB$5&lt;=$F128,FB$5+GanttPeriod-1&gt;=$E128),"━","")))</f>
        <v/>
      </c>
      <c r="FC128" s="69" t="str">
        <f aca="false">IF($E128="","",IF($M128,IF(AND($G128&gt;=FC$5,$G128&lt;FC$5+GanttPeriod),"◆",IF(AND($E128&gt;=FC$5,$E128&lt;FC$5+GanttPeriod),"◇","")),IF(AND(FC$5&lt;=$F128,FC$5+GanttPeriod-1&gt;=$E128),"━","")))</f>
        <v/>
      </c>
      <c r="FD128" s="69" t="str">
        <f aca="false">IF($E128="","",IF($M128,IF(AND($G128&gt;=FD$5,$G128&lt;FD$5+GanttPeriod),"◆",IF(AND($E128&gt;=FD$5,$E128&lt;FD$5+GanttPeriod),"◇","")),IF(AND(FD$5&lt;=$F128,FD$5+GanttPeriod-1&gt;=$E128),"━","")))</f>
        <v/>
      </c>
      <c r="FE128" s="69" t="str">
        <f aca="false">IF($E128="","",IF($M128,IF(AND($G128&gt;=FE$5,$G128&lt;FE$5+GanttPeriod),"◆",IF(AND($E128&gt;=FE$5,$E128&lt;FE$5+GanttPeriod),"◇","")),IF(AND(FE$5&lt;=$F128,FE$5+GanttPeriod-1&gt;=$E128),"━","")))</f>
        <v/>
      </c>
      <c r="FF128" s="69" t="str">
        <f aca="false">IF($E128="","",IF($M128,IF(AND($G128&gt;=FF$5,$G128&lt;FF$5+GanttPeriod),"◆",IF(AND($E128&gt;=FF$5,$E128&lt;FF$5+GanttPeriod),"◇","")),IF(AND(FF$5&lt;=$F128,FF$5+GanttPeriod-1&gt;=$E128),"━","")))</f>
        <v/>
      </c>
      <c r="FG128" s="69" t="str">
        <f aca="false">IF($E128="","",IF($M128,IF(AND($G128&gt;=FG$5,$G128&lt;FG$5+GanttPeriod),"◆",IF(AND($E128&gt;=FG$5,$E128&lt;FG$5+GanttPeriod),"◇","")),IF(AND(FG$5&lt;=$F128,FG$5+GanttPeriod-1&gt;=$E128),"━","")))</f>
        <v/>
      </c>
      <c r="FH128" s="69" t="str">
        <f aca="false">IF($E128="","",IF($M128,IF(AND($G128&gt;=FH$5,$G128&lt;FH$5+GanttPeriod),"◆",IF(AND($E128&gt;=FH$5,$E128&lt;FH$5+GanttPeriod),"◇","")),IF(AND(FH$5&lt;=$F128,FH$5+GanttPeriod-1&gt;=$E128),"━","")))</f>
        <v/>
      </c>
      <c r="FI128" s="69" t="str">
        <f aca="false">IF($E128="","",IF($M128,IF(AND($G128&gt;=FI$5,$G128&lt;FI$5+GanttPeriod),"◆",IF(AND($E128&gt;=FI$5,$E128&lt;FI$5+GanttPeriod),"◇","")),IF(AND(FI$5&lt;=$F128,FI$5+GanttPeriod-1&gt;=$E128),"━","")))</f>
        <v/>
      </c>
      <c r="FJ128" s="69" t="str">
        <f aca="false">IF($E128="","",IF($M128,IF(AND($G128&gt;=FJ$5,$G128&lt;FJ$5+GanttPeriod),"◆",IF(AND($E128&gt;=FJ$5,$E128&lt;FJ$5+GanttPeriod),"◇","")),IF(AND(FJ$5&lt;=$F128,FJ$5+GanttPeriod-1&gt;=$E128),"━","")))</f>
        <v/>
      </c>
      <c r="FK128" s="69" t="str">
        <f aca="false">IF($E128="","",IF($M128,IF(AND($G128&gt;=FK$5,$G128&lt;FK$5+GanttPeriod),"◆",IF(AND($E128&gt;=FK$5,$E128&lt;FK$5+GanttPeriod),"◇","")),IF(AND(FK$5&lt;=$F128,FK$5+GanttPeriod-1&gt;=$E128),"━","")))</f>
        <v/>
      </c>
      <c r="FL128" s="69" t="str">
        <f aca="false">IF($E128="","",IF($M128,IF(AND($G128&gt;=FL$5,$G128&lt;FL$5+GanttPeriod),"◆",IF(AND($E128&gt;=FL$5,$E128&lt;FL$5+GanttPeriod),"◇","")),IF(AND(FL$5&lt;=$F128,FL$5+GanttPeriod-1&gt;=$E128),"━","")))</f>
        <v/>
      </c>
      <c r="FM128" s="69" t="str">
        <f aca="false">IF($E128="","",IF($M128,IF(AND($G128&gt;=FM$5,$G128&lt;FM$5+GanttPeriod),"◆",IF(AND($E128&gt;=FM$5,$E128&lt;FM$5+GanttPeriod),"◇","")),IF(AND(FM$5&lt;=$F128,FM$5+GanttPeriod-1&gt;=$E128),"━","")))</f>
        <v/>
      </c>
    </row>
    <row r="129" customFormat="false" ht="15" hidden="false" customHeight="false" outlineLevel="0" collapsed="false">
      <c r="A129" s="62" t="str">
        <f aca="false">IF(Tasks!$D129="","",Tasks!$A129)</f>
        <v/>
      </c>
      <c r="B129" s="62" t="str">
        <f aca="false">IF(Tasks!$D129="","",Tasks!$B129)</f>
        <v/>
      </c>
      <c r="C129" s="63" t="str">
        <f aca="false">IF(Tasks!$D129="","",REPT("    ",Tasks!$AE129-1)&amp;Tasks!$D129)</f>
        <v/>
      </c>
      <c r="D129" s="62" t="str">
        <f aca="false">IF(Tasks!$D129="","",IF(Tasks!$AI129,NETWORKDAYS.INTL(Tasks!$R129,Tasks!$S129,WorkWeek,Holidays),N(Tasks!$F129)))</f>
        <v/>
      </c>
      <c r="E129" s="64" t="str">
        <f aca="false">IF(Tasks!$D129="","",Tasks!$N129)</f>
        <v/>
      </c>
      <c r="F129" s="64" t="str">
        <f aca="false">IF(Tasks!$D129="","",Tasks!$O129)</f>
        <v/>
      </c>
      <c r="G129" s="64" t="str">
        <f aca="false">IF(Tasks!$D129="","",Tasks!$R129)</f>
        <v/>
      </c>
      <c r="H129" s="64" t="str">
        <f aca="false">IF(Tasks!$D129="","",Tasks!$S129)</f>
        <v/>
      </c>
      <c r="I129" s="65" t="str">
        <f aca="false">IF(Tasks!$D129="","",Tasks!$V129)</f>
        <v/>
      </c>
      <c r="J129" s="63" t="str">
        <f aca="false">IF(Tasks!$D129="","",Tasks!$X129&amp;"")</f>
        <v/>
      </c>
      <c r="K129" s="66" t="str">
        <f aca="false">IF(Tasks!$D129="","",Tasks!$W129)</f>
        <v/>
      </c>
      <c r="L129" s="67" t="b">
        <f aca="false">IF(Tasks!$D129="",FALSE(),Tasks!$AI129)</f>
        <v>0</v>
      </c>
      <c r="M129" s="67" t="b">
        <f aca="false">AND(Tasks!$AJ129=1,N(Tasks!$F129)=0)</f>
        <v>0</v>
      </c>
      <c r="N129" s="68" t="n">
        <f aca="false">IF(AND(Tasks!$AJ129=1,NOT($M129),N($I129)&gt;0),$G129,0)</f>
        <v>0</v>
      </c>
      <c r="O129" s="68" t="n">
        <f aca="false">IF($N129=0,0,IF($I129&gt;=1,$H129,MAX($N129,$G129+ROUND(($H129-$G129+1)*$I129,0)-1)))</f>
        <v>0</v>
      </c>
      <c r="P129" s="68" t="n">
        <f aca="false">IF(OR(Tasks!$AJ129&lt;&gt;1,$M129,N($I129)&gt;=1),0,IF($O129&gt;0,$O129+1,$G129))</f>
        <v>0</v>
      </c>
      <c r="Q129" s="68" t="n">
        <f aca="false">IF($P129=0,0,$H129)</f>
        <v>0</v>
      </c>
      <c r="R129" s="67" t="b">
        <f aca="false">AND(Tasks!$D129&lt;&gt;"",N(Tasks!$T129)&gt;0)</f>
        <v>0</v>
      </c>
      <c r="T129" s="69" t="str">
        <f aca="false">IF($E129="","",IF($M129,IF(AND($G129&gt;=T$5,$G129&lt;T$5+GanttPeriod),"◆",IF(AND($E129&gt;=T$5,$E129&lt;T$5+GanttPeriod),"◇","")),IF(AND(T$5&lt;=$F129,T$5+GanttPeriod-1&gt;=$E129),"━","")))</f>
        <v/>
      </c>
      <c r="U129" s="69" t="str">
        <f aca="false">IF($E129="","",IF($M129,IF(AND($G129&gt;=U$5,$G129&lt;U$5+GanttPeriod),"◆",IF(AND($E129&gt;=U$5,$E129&lt;U$5+GanttPeriod),"◇","")),IF(AND(U$5&lt;=$F129,U$5+GanttPeriod-1&gt;=$E129),"━","")))</f>
        <v/>
      </c>
      <c r="V129" s="69" t="str">
        <f aca="false">IF($E129="","",IF($M129,IF(AND($G129&gt;=V$5,$G129&lt;V$5+GanttPeriod),"◆",IF(AND($E129&gt;=V$5,$E129&lt;V$5+GanttPeriod),"◇","")),IF(AND(V$5&lt;=$F129,V$5+GanttPeriod-1&gt;=$E129),"━","")))</f>
        <v/>
      </c>
      <c r="W129" s="69" t="str">
        <f aca="false">IF($E129="","",IF($M129,IF(AND($G129&gt;=W$5,$G129&lt;W$5+GanttPeriod),"◆",IF(AND($E129&gt;=W$5,$E129&lt;W$5+GanttPeriod),"◇","")),IF(AND(W$5&lt;=$F129,W$5+GanttPeriod-1&gt;=$E129),"━","")))</f>
        <v/>
      </c>
      <c r="X129" s="69" t="str">
        <f aca="false">IF($E129="","",IF($M129,IF(AND($G129&gt;=X$5,$G129&lt;X$5+GanttPeriod),"◆",IF(AND($E129&gt;=X$5,$E129&lt;X$5+GanttPeriod),"◇","")),IF(AND(X$5&lt;=$F129,X$5+GanttPeriod-1&gt;=$E129),"━","")))</f>
        <v/>
      </c>
      <c r="Y129" s="69" t="str">
        <f aca="false">IF($E129="","",IF($M129,IF(AND($G129&gt;=Y$5,$G129&lt;Y$5+GanttPeriod),"◆",IF(AND($E129&gt;=Y$5,$E129&lt;Y$5+GanttPeriod),"◇","")),IF(AND(Y$5&lt;=$F129,Y$5+GanttPeriod-1&gt;=$E129),"━","")))</f>
        <v/>
      </c>
      <c r="Z129" s="69" t="str">
        <f aca="false">IF($E129="","",IF($M129,IF(AND($G129&gt;=Z$5,$G129&lt;Z$5+GanttPeriod),"◆",IF(AND($E129&gt;=Z$5,$E129&lt;Z$5+GanttPeriod),"◇","")),IF(AND(Z$5&lt;=$F129,Z$5+GanttPeriod-1&gt;=$E129),"━","")))</f>
        <v/>
      </c>
      <c r="AA129" s="69" t="str">
        <f aca="false">IF($E129="","",IF($M129,IF(AND($G129&gt;=AA$5,$G129&lt;AA$5+GanttPeriod),"◆",IF(AND($E129&gt;=AA$5,$E129&lt;AA$5+GanttPeriod),"◇","")),IF(AND(AA$5&lt;=$F129,AA$5+GanttPeriod-1&gt;=$E129),"━","")))</f>
        <v/>
      </c>
      <c r="AB129" s="69" t="str">
        <f aca="false">IF($E129="","",IF($M129,IF(AND($G129&gt;=AB$5,$G129&lt;AB$5+GanttPeriod),"◆",IF(AND($E129&gt;=AB$5,$E129&lt;AB$5+GanttPeriod),"◇","")),IF(AND(AB$5&lt;=$F129,AB$5+GanttPeriod-1&gt;=$E129),"━","")))</f>
        <v/>
      </c>
      <c r="AC129" s="69" t="str">
        <f aca="false">IF($E129="","",IF($M129,IF(AND($G129&gt;=AC$5,$G129&lt;AC$5+GanttPeriod),"◆",IF(AND($E129&gt;=AC$5,$E129&lt;AC$5+GanttPeriod),"◇","")),IF(AND(AC$5&lt;=$F129,AC$5+GanttPeriod-1&gt;=$E129),"━","")))</f>
        <v/>
      </c>
      <c r="AD129" s="69" t="str">
        <f aca="false">IF($E129="","",IF($M129,IF(AND($G129&gt;=AD$5,$G129&lt;AD$5+GanttPeriod),"◆",IF(AND($E129&gt;=AD$5,$E129&lt;AD$5+GanttPeriod),"◇","")),IF(AND(AD$5&lt;=$F129,AD$5+GanttPeriod-1&gt;=$E129),"━","")))</f>
        <v/>
      </c>
      <c r="AE129" s="69" t="str">
        <f aca="false">IF($E129="","",IF($M129,IF(AND($G129&gt;=AE$5,$G129&lt;AE$5+GanttPeriod),"◆",IF(AND($E129&gt;=AE$5,$E129&lt;AE$5+GanttPeriod),"◇","")),IF(AND(AE$5&lt;=$F129,AE$5+GanttPeriod-1&gt;=$E129),"━","")))</f>
        <v/>
      </c>
      <c r="AF129" s="69" t="str">
        <f aca="false">IF($E129="","",IF($M129,IF(AND($G129&gt;=AF$5,$G129&lt;AF$5+GanttPeriod),"◆",IF(AND($E129&gt;=AF$5,$E129&lt;AF$5+GanttPeriod),"◇","")),IF(AND(AF$5&lt;=$F129,AF$5+GanttPeriod-1&gt;=$E129),"━","")))</f>
        <v/>
      </c>
      <c r="AG129" s="69" t="str">
        <f aca="false">IF($E129="","",IF($M129,IF(AND($G129&gt;=AG$5,$G129&lt;AG$5+GanttPeriod),"◆",IF(AND($E129&gt;=AG$5,$E129&lt;AG$5+GanttPeriod),"◇","")),IF(AND(AG$5&lt;=$F129,AG$5+GanttPeriod-1&gt;=$E129),"━","")))</f>
        <v/>
      </c>
      <c r="AH129" s="69" t="str">
        <f aca="false">IF($E129="","",IF($M129,IF(AND($G129&gt;=AH$5,$G129&lt;AH$5+GanttPeriod),"◆",IF(AND($E129&gt;=AH$5,$E129&lt;AH$5+GanttPeriod),"◇","")),IF(AND(AH$5&lt;=$F129,AH$5+GanttPeriod-1&gt;=$E129),"━","")))</f>
        <v/>
      </c>
      <c r="AI129" s="69" t="str">
        <f aca="false">IF($E129="","",IF($M129,IF(AND($G129&gt;=AI$5,$G129&lt;AI$5+GanttPeriod),"◆",IF(AND($E129&gt;=AI$5,$E129&lt;AI$5+GanttPeriod),"◇","")),IF(AND(AI$5&lt;=$F129,AI$5+GanttPeriod-1&gt;=$E129),"━","")))</f>
        <v/>
      </c>
      <c r="AJ129" s="69" t="str">
        <f aca="false">IF($E129="","",IF($M129,IF(AND($G129&gt;=AJ$5,$G129&lt;AJ$5+GanttPeriod),"◆",IF(AND($E129&gt;=AJ$5,$E129&lt;AJ$5+GanttPeriod),"◇","")),IF(AND(AJ$5&lt;=$F129,AJ$5+GanttPeriod-1&gt;=$E129),"━","")))</f>
        <v/>
      </c>
      <c r="AK129" s="69" t="str">
        <f aca="false">IF($E129="","",IF($M129,IF(AND($G129&gt;=AK$5,$G129&lt;AK$5+GanttPeriod),"◆",IF(AND($E129&gt;=AK$5,$E129&lt;AK$5+GanttPeriod),"◇","")),IF(AND(AK$5&lt;=$F129,AK$5+GanttPeriod-1&gt;=$E129),"━","")))</f>
        <v/>
      </c>
      <c r="AL129" s="69" t="str">
        <f aca="false">IF($E129="","",IF($M129,IF(AND($G129&gt;=AL$5,$G129&lt;AL$5+GanttPeriod),"◆",IF(AND($E129&gt;=AL$5,$E129&lt;AL$5+GanttPeriod),"◇","")),IF(AND(AL$5&lt;=$F129,AL$5+GanttPeriod-1&gt;=$E129),"━","")))</f>
        <v/>
      </c>
      <c r="AM129" s="69" t="str">
        <f aca="false">IF($E129="","",IF($M129,IF(AND($G129&gt;=AM$5,$G129&lt;AM$5+GanttPeriod),"◆",IF(AND($E129&gt;=AM$5,$E129&lt;AM$5+GanttPeriod),"◇","")),IF(AND(AM$5&lt;=$F129,AM$5+GanttPeriod-1&gt;=$E129),"━","")))</f>
        <v/>
      </c>
      <c r="AN129" s="69" t="str">
        <f aca="false">IF($E129="","",IF($M129,IF(AND($G129&gt;=AN$5,$G129&lt;AN$5+GanttPeriod),"◆",IF(AND($E129&gt;=AN$5,$E129&lt;AN$5+GanttPeriod),"◇","")),IF(AND(AN$5&lt;=$F129,AN$5+GanttPeriod-1&gt;=$E129),"━","")))</f>
        <v/>
      </c>
      <c r="AO129" s="69" t="str">
        <f aca="false">IF($E129="","",IF($M129,IF(AND($G129&gt;=AO$5,$G129&lt;AO$5+GanttPeriod),"◆",IF(AND($E129&gt;=AO$5,$E129&lt;AO$5+GanttPeriod),"◇","")),IF(AND(AO$5&lt;=$F129,AO$5+GanttPeriod-1&gt;=$E129),"━","")))</f>
        <v/>
      </c>
      <c r="AP129" s="69" t="str">
        <f aca="false">IF($E129="","",IF($M129,IF(AND($G129&gt;=AP$5,$G129&lt;AP$5+GanttPeriod),"◆",IF(AND($E129&gt;=AP$5,$E129&lt;AP$5+GanttPeriod),"◇","")),IF(AND(AP$5&lt;=$F129,AP$5+GanttPeriod-1&gt;=$E129),"━","")))</f>
        <v/>
      </c>
      <c r="AQ129" s="69" t="str">
        <f aca="false">IF($E129="","",IF($M129,IF(AND($G129&gt;=AQ$5,$G129&lt;AQ$5+GanttPeriod),"◆",IF(AND($E129&gt;=AQ$5,$E129&lt;AQ$5+GanttPeriod),"◇","")),IF(AND(AQ$5&lt;=$F129,AQ$5+GanttPeriod-1&gt;=$E129),"━","")))</f>
        <v/>
      </c>
      <c r="AR129" s="69" t="str">
        <f aca="false">IF($E129="","",IF($M129,IF(AND($G129&gt;=AR$5,$G129&lt;AR$5+GanttPeriod),"◆",IF(AND($E129&gt;=AR$5,$E129&lt;AR$5+GanttPeriod),"◇","")),IF(AND(AR$5&lt;=$F129,AR$5+GanttPeriod-1&gt;=$E129),"━","")))</f>
        <v/>
      </c>
      <c r="AS129" s="69" t="str">
        <f aca="false">IF($E129="","",IF($M129,IF(AND($G129&gt;=AS$5,$G129&lt;AS$5+GanttPeriod),"◆",IF(AND($E129&gt;=AS$5,$E129&lt;AS$5+GanttPeriod),"◇","")),IF(AND(AS$5&lt;=$F129,AS$5+GanttPeriod-1&gt;=$E129),"━","")))</f>
        <v/>
      </c>
      <c r="AT129" s="69" t="str">
        <f aca="false">IF($E129="","",IF($M129,IF(AND($G129&gt;=AT$5,$G129&lt;AT$5+GanttPeriod),"◆",IF(AND($E129&gt;=AT$5,$E129&lt;AT$5+GanttPeriod),"◇","")),IF(AND(AT$5&lt;=$F129,AT$5+GanttPeriod-1&gt;=$E129),"━","")))</f>
        <v/>
      </c>
      <c r="AU129" s="69" t="str">
        <f aca="false">IF($E129="","",IF($M129,IF(AND($G129&gt;=AU$5,$G129&lt;AU$5+GanttPeriod),"◆",IF(AND($E129&gt;=AU$5,$E129&lt;AU$5+GanttPeriod),"◇","")),IF(AND(AU$5&lt;=$F129,AU$5+GanttPeriod-1&gt;=$E129),"━","")))</f>
        <v/>
      </c>
      <c r="AV129" s="69" t="str">
        <f aca="false">IF($E129="","",IF($M129,IF(AND($G129&gt;=AV$5,$G129&lt;AV$5+GanttPeriod),"◆",IF(AND($E129&gt;=AV$5,$E129&lt;AV$5+GanttPeriod),"◇","")),IF(AND(AV$5&lt;=$F129,AV$5+GanttPeriod-1&gt;=$E129),"━","")))</f>
        <v/>
      </c>
      <c r="AW129" s="69" t="str">
        <f aca="false">IF($E129="","",IF($M129,IF(AND($G129&gt;=AW$5,$G129&lt;AW$5+GanttPeriod),"◆",IF(AND($E129&gt;=AW$5,$E129&lt;AW$5+GanttPeriod),"◇","")),IF(AND(AW$5&lt;=$F129,AW$5+GanttPeriod-1&gt;=$E129),"━","")))</f>
        <v/>
      </c>
      <c r="AX129" s="69" t="str">
        <f aca="false">IF($E129="","",IF($M129,IF(AND($G129&gt;=AX$5,$G129&lt;AX$5+GanttPeriod),"◆",IF(AND($E129&gt;=AX$5,$E129&lt;AX$5+GanttPeriod),"◇","")),IF(AND(AX$5&lt;=$F129,AX$5+GanttPeriod-1&gt;=$E129),"━","")))</f>
        <v/>
      </c>
      <c r="AY129" s="69" t="str">
        <f aca="false">IF($E129="","",IF($M129,IF(AND($G129&gt;=AY$5,$G129&lt;AY$5+GanttPeriod),"◆",IF(AND($E129&gt;=AY$5,$E129&lt;AY$5+GanttPeriod),"◇","")),IF(AND(AY$5&lt;=$F129,AY$5+GanttPeriod-1&gt;=$E129),"━","")))</f>
        <v/>
      </c>
      <c r="AZ129" s="69" t="str">
        <f aca="false">IF($E129="","",IF($M129,IF(AND($G129&gt;=AZ$5,$G129&lt;AZ$5+GanttPeriod),"◆",IF(AND($E129&gt;=AZ$5,$E129&lt;AZ$5+GanttPeriod),"◇","")),IF(AND(AZ$5&lt;=$F129,AZ$5+GanttPeriod-1&gt;=$E129),"━","")))</f>
        <v/>
      </c>
      <c r="BA129" s="69" t="str">
        <f aca="false">IF($E129="","",IF($M129,IF(AND($G129&gt;=BA$5,$G129&lt;BA$5+GanttPeriod),"◆",IF(AND($E129&gt;=BA$5,$E129&lt;BA$5+GanttPeriod),"◇","")),IF(AND(BA$5&lt;=$F129,BA$5+GanttPeriod-1&gt;=$E129),"━","")))</f>
        <v/>
      </c>
      <c r="BB129" s="69" t="str">
        <f aca="false">IF($E129="","",IF($M129,IF(AND($G129&gt;=BB$5,$G129&lt;BB$5+GanttPeriod),"◆",IF(AND($E129&gt;=BB$5,$E129&lt;BB$5+GanttPeriod),"◇","")),IF(AND(BB$5&lt;=$F129,BB$5+GanttPeriod-1&gt;=$E129),"━","")))</f>
        <v/>
      </c>
      <c r="BC129" s="69" t="str">
        <f aca="false">IF($E129="","",IF($M129,IF(AND($G129&gt;=BC$5,$G129&lt;BC$5+GanttPeriod),"◆",IF(AND($E129&gt;=BC$5,$E129&lt;BC$5+GanttPeriod),"◇","")),IF(AND(BC$5&lt;=$F129,BC$5+GanttPeriod-1&gt;=$E129),"━","")))</f>
        <v/>
      </c>
      <c r="BD129" s="69" t="str">
        <f aca="false">IF($E129="","",IF($M129,IF(AND($G129&gt;=BD$5,$G129&lt;BD$5+GanttPeriod),"◆",IF(AND($E129&gt;=BD$5,$E129&lt;BD$5+GanttPeriod),"◇","")),IF(AND(BD$5&lt;=$F129,BD$5+GanttPeriod-1&gt;=$E129),"━","")))</f>
        <v/>
      </c>
      <c r="BE129" s="69" t="str">
        <f aca="false">IF($E129="","",IF($M129,IF(AND($G129&gt;=BE$5,$G129&lt;BE$5+GanttPeriod),"◆",IF(AND($E129&gt;=BE$5,$E129&lt;BE$5+GanttPeriod),"◇","")),IF(AND(BE$5&lt;=$F129,BE$5+GanttPeriod-1&gt;=$E129),"━","")))</f>
        <v/>
      </c>
      <c r="BF129" s="69" t="str">
        <f aca="false">IF($E129="","",IF($M129,IF(AND($G129&gt;=BF$5,$G129&lt;BF$5+GanttPeriod),"◆",IF(AND($E129&gt;=BF$5,$E129&lt;BF$5+GanttPeriod),"◇","")),IF(AND(BF$5&lt;=$F129,BF$5+GanttPeriod-1&gt;=$E129),"━","")))</f>
        <v/>
      </c>
      <c r="BG129" s="69" t="str">
        <f aca="false">IF($E129="","",IF($M129,IF(AND($G129&gt;=BG$5,$G129&lt;BG$5+GanttPeriod),"◆",IF(AND($E129&gt;=BG$5,$E129&lt;BG$5+GanttPeriod),"◇","")),IF(AND(BG$5&lt;=$F129,BG$5+GanttPeriod-1&gt;=$E129),"━","")))</f>
        <v/>
      </c>
      <c r="BH129" s="69" t="str">
        <f aca="false">IF($E129="","",IF($M129,IF(AND($G129&gt;=BH$5,$G129&lt;BH$5+GanttPeriod),"◆",IF(AND($E129&gt;=BH$5,$E129&lt;BH$5+GanttPeriod),"◇","")),IF(AND(BH$5&lt;=$F129,BH$5+GanttPeriod-1&gt;=$E129),"━","")))</f>
        <v/>
      </c>
      <c r="BI129" s="69" t="str">
        <f aca="false">IF($E129="","",IF($M129,IF(AND($G129&gt;=BI$5,$G129&lt;BI$5+GanttPeriod),"◆",IF(AND($E129&gt;=BI$5,$E129&lt;BI$5+GanttPeriod),"◇","")),IF(AND(BI$5&lt;=$F129,BI$5+GanttPeriod-1&gt;=$E129),"━","")))</f>
        <v/>
      </c>
      <c r="BJ129" s="69" t="str">
        <f aca="false">IF($E129="","",IF($M129,IF(AND($G129&gt;=BJ$5,$G129&lt;BJ$5+GanttPeriod),"◆",IF(AND($E129&gt;=BJ$5,$E129&lt;BJ$5+GanttPeriod),"◇","")),IF(AND(BJ$5&lt;=$F129,BJ$5+GanttPeriod-1&gt;=$E129),"━","")))</f>
        <v/>
      </c>
      <c r="BK129" s="69" t="str">
        <f aca="false">IF($E129="","",IF($M129,IF(AND($G129&gt;=BK$5,$G129&lt;BK$5+GanttPeriod),"◆",IF(AND($E129&gt;=BK$5,$E129&lt;BK$5+GanttPeriod),"◇","")),IF(AND(BK$5&lt;=$F129,BK$5+GanttPeriod-1&gt;=$E129),"━","")))</f>
        <v/>
      </c>
      <c r="BL129" s="69" t="str">
        <f aca="false">IF($E129="","",IF($M129,IF(AND($G129&gt;=BL$5,$G129&lt;BL$5+GanttPeriod),"◆",IF(AND($E129&gt;=BL$5,$E129&lt;BL$5+GanttPeriod),"◇","")),IF(AND(BL$5&lt;=$F129,BL$5+GanttPeriod-1&gt;=$E129),"━","")))</f>
        <v/>
      </c>
      <c r="BM129" s="69" t="str">
        <f aca="false">IF($E129="","",IF($M129,IF(AND($G129&gt;=BM$5,$G129&lt;BM$5+GanttPeriod),"◆",IF(AND($E129&gt;=BM$5,$E129&lt;BM$5+GanttPeriod),"◇","")),IF(AND(BM$5&lt;=$F129,BM$5+GanttPeriod-1&gt;=$E129),"━","")))</f>
        <v/>
      </c>
      <c r="BN129" s="69" t="str">
        <f aca="false">IF($E129="","",IF($M129,IF(AND($G129&gt;=BN$5,$G129&lt;BN$5+GanttPeriod),"◆",IF(AND($E129&gt;=BN$5,$E129&lt;BN$5+GanttPeriod),"◇","")),IF(AND(BN$5&lt;=$F129,BN$5+GanttPeriod-1&gt;=$E129),"━","")))</f>
        <v/>
      </c>
      <c r="BO129" s="69" t="str">
        <f aca="false">IF($E129="","",IF($M129,IF(AND($G129&gt;=BO$5,$G129&lt;BO$5+GanttPeriod),"◆",IF(AND($E129&gt;=BO$5,$E129&lt;BO$5+GanttPeriod),"◇","")),IF(AND(BO$5&lt;=$F129,BO$5+GanttPeriod-1&gt;=$E129),"━","")))</f>
        <v/>
      </c>
      <c r="BP129" s="69" t="str">
        <f aca="false">IF($E129="","",IF($M129,IF(AND($G129&gt;=BP$5,$G129&lt;BP$5+GanttPeriod),"◆",IF(AND($E129&gt;=BP$5,$E129&lt;BP$5+GanttPeriod),"◇","")),IF(AND(BP$5&lt;=$F129,BP$5+GanttPeriod-1&gt;=$E129),"━","")))</f>
        <v/>
      </c>
      <c r="BQ129" s="69" t="str">
        <f aca="false">IF($E129="","",IF($M129,IF(AND($G129&gt;=BQ$5,$G129&lt;BQ$5+GanttPeriod),"◆",IF(AND($E129&gt;=BQ$5,$E129&lt;BQ$5+GanttPeriod),"◇","")),IF(AND(BQ$5&lt;=$F129,BQ$5+GanttPeriod-1&gt;=$E129),"━","")))</f>
        <v/>
      </c>
      <c r="BR129" s="69" t="str">
        <f aca="false">IF($E129="","",IF($M129,IF(AND($G129&gt;=BR$5,$G129&lt;BR$5+GanttPeriod),"◆",IF(AND($E129&gt;=BR$5,$E129&lt;BR$5+GanttPeriod),"◇","")),IF(AND(BR$5&lt;=$F129,BR$5+GanttPeriod-1&gt;=$E129),"━","")))</f>
        <v/>
      </c>
      <c r="BS129" s="69" t="str">
        <f aca="false">IF($E129="","",IF($M129,IF(AND($G129&gt;=BS$5,$G129&lt;BS$5+GanttPeriod),"◆",IF(AND($E129&gt;=BS$5,$E129&lt;BS$5+GanttPeriod),"◇","")),IF(AND(BS$5&lt;=$F129,BS$5+GanttPeriod-1&gt;=$E129),"━","")))</f>
        <v/>
      </c>
      <c r="BT129" s="69" t="str">
        <f aca="false">IF($E129="","",IF($M129,IF(AND($G129&gt;=BT$5,$G129&lt;BT$5+GanttPeriod),"◆",IF(AND($E129&gt;=BT$5,$E129&lt;BT$5+GanttPeriod),"◇","")),IF(AND(BT$5&lt;=$F129,BT$5+GanttPeriod-1&gt;=$E129),"━","")))</f>
        <v/>
      </c>
      <c r="BU129" s="69" t="str">
        <f aca="false">IF($E129="","",IF($M129,IF(AND($G129&gt;=BU$5,$G129&lt;BU$5+GanttPeriod),"◆",IF(AND($E129&gt;=BU$5,$E129&lt;BU$5+GanttPeriod),"◇","")),IF(AND(BU$5&lt;=$F129,BU$5+GanttPeriod-1&gt;=$E129),"━","")))</f>
        <v/>
      </c>
      <c r="BV129" s="69" t="str">
        <f aca="false">IF($E129="","",IF($M129,IF(AND($G129&gt;=BV$5,$G129&lt;BV$5+GanttPeriod),"◆",IF(AND($E129&gt;=BV$5,$E129&lt;BV$5+GanttPeriod),"◇","")),IF(AND(BV$5&lt;=$F129,BV$5+GanttPeriod-1&gt;=$E129),"━","")))</f>
        <v/>
      </c>
      <c r="BW129" s="69" t="str">
        <f aca="false">IF($E129="","",IF($M129,IF(AND($G129&gt;=BW$5,$G129&lt;BW$5+GanttPeriod),"◆",IF(AND($E129&gt;=BW$5,$E129&lt;BW$5+GanttPeriod),"◇","")),IF(AND(BW$5&lt;=$F129,BW$5+GanttPeriod-1&gt;=$E129),"━","")))</f>
        <v/>
      </c>
      <c r="BX129" s="69" t="str">
        <f aca="false">IF($E129="","",IF($M129,IF(AND($G129&gt;=BX$5,$G129&lt;BX$5+GanttPeriod),"◆",IF(AND($E129&gt;=BX$5,$E129&lt;BX$5+GanttPeriod),"◇","")),IF(AND(BX$5&lt;=$F129,BX$5+GanttPeriod-1&gt;=$E129),"━","")))</f>
        <v/>
      </c>
      <c r="BY129" s="69" t="str">
        <f aca="false">IF($E129="","",IF($M129,IF(AND($G129&gt;=BY$5,$G129&lt;BY$5+GanttPeriod),"◆",IF(AND($E129&gt;=BY$5,$E129&lt;BY$5+GanttPeriod),"◇","")),IF(AND(BY$5&lt;=$F129,BY$5+GanttPeriod-1&gt;=$E129),"━","")))</f>
        <v/>
      </c>
      <c r="BZ129" s="69" t="str">
        <f aca="false">IF($E129="","",IF($M129,IF(AND($G129&gt;=BZ$5,$G129&lt;BZ$5+GanttPeriod),"◆",IF(AND($E129&gt;=BZ$5,$E129&lt;BZ$5+GanttPeriod),"◇","")),IF(AND(BZ$5&lt;=$F129,BZ$5+GanttPeriod-1&gt;=$E129),"━","")))</f>
        <v/>
      </c>
      <c r="CA129" s="69" t="str">
        <f aca="false">IF($E129="","",IF($M129,IF(AND($G129&gt;=CA$5,$G129&lt;CA$5+GanttPeriod),"◆",IF(AND($E129&gt;=CA$5,$E129&lt;CA$5+GanttPeriod),"◇","")),IF(AND(CA$5&lt;=$F129,CA$5+GanttPeriod-1&gt;=$E129),"━","")))</f>
        <v/>
      </c>
      <c r="CB129" s="69" t="str">
        <f aca="false">IF($E129="","",IF($M129,IF(AND($G129&gt;=CB$5,$G129&lt;CB$5+GanttPeriod),"◆",IF(AND($E129&gt;=CB$5,$E129&lt;CB$5+GanttPeriod),"◇","")),IF(AND(CB$5&lt;=$F129,CB$5+GanttPeriod-1&gt;=$E129),"━","")))</f>
        <v/>
      </c>
      <c r="CC129" s="69" t="str">
        <f aca="false">IF($E129="","",IF($M129,IF(AND($G129&gt;=CC$5,$G129&lt;CC$5+GanttPeriod),"◆",IF(AND($E129&gt;=CC$5,$E129&lt;CC$5+GanttPeriod),"◇","")),IF(AND(CC$5&lt;=$F129,CC$5+GanttPeriod-1&gt;=$E129),"━","")))</f>
        <v/>
      </c>
      <c r="CD129" s="69" t="str">
        <f aca="false">IF($E129="","",IF($M129,IF(AND($G129&gt;=CD$5,$G129&lt;CD$5+GanttPeriod),"◆",IF(AND($E129&gt;=CD$5,$E129&lt;CD$5+GanttPeriod),"◇","")),IF(AND(CD$5&lt;=$F129,CD$5+GanttPeriod-1&gt;=$E129),"━","")))</f>
        <v/>
      </c>
      <c r="CE129" s="69" t="str">
        <f aca="false">IF($E129="","",IF($M129,IF(AND($G129&gt;=CE$5,$G129&lt;CE$5+GanttPeriod),"◆",IF(AND($E129&gt;=CE$5,$E129&lt;CE$5+GanttPeriod),"◇","")),IF(AND(CE$5&lt;=$F129,CE$5+GanttPeriod-1&gt;=$E129),"━","")))</f>
        <v/>
      </c>
      <c r="CF129" s="69" t="str">
        <f aca="false">IF($E129="","",IF($M129,IF(AND($G129&gt;=CF$5,$G129&lt;CF$5+GanttPeriod),"◆",IF(AND($E129&gt;=CF$5,$E129&lt;CF$5+GanttPeriod),"◇","")),IF(AND(CF$5&lt;=$F129,CF$5+GanttPeriod-1&gt;=$E129),"━","")))</f>
        <v/>
      </c>
      <c r="CG129" s="69" t="str">
        <f aca="false">IF($E129="","",IF($M129,IF(AND($G129&gt;=CG$5,$G129&lt;CG$5+GanttPeriod),"◆",IF(AND($E129&gt;=CG$5,$E129&lt;CG$5+GanttPeriod),"◇","")),IF(AND(CG$5&lt;=$F129,CG$5+GanttPeriod-1&gt;=$E129),"━","")))</f>
        <v/>
      </c>
      <c r="CH129" s="69" t="str">
        <f aca="false">IF($E129="","",IF($M129,IF(AND($G129&gt;=CH$5,$G129&lt;CH$5+GanttPeriod),"◆",IF(AND($E129&gt;=CH$5,$E129&lt;CH$5+GanttPeriod),"◇","")),IF(AND(CH$5&lt;=$F129,CH$5+GanttPeriod-1&gt;=$E129),"━","")))</f>
        <v/>
      </c>
      <c r="CI129" s="69" t="str">
        <f aca="false">IF($E129="","",IF($M129,IF(AND($G129&gt;=CI$5,$G129&lt;CI$5+GanttPeriod),"◆",IF(AND($E129&gt;=CI$5,$E129&lt;CI$5+GanttPeriod),"◇","")),IF(AND(CI$5&lt;=$F129,CI$5+GanttPeriod-1&gt;=$E129),"━","")))</f>
        <v/>
      </c>
      <c r="CJ129" s="69" t="str">
        <f aca="false">IF($E129="","",IF($M129,IF(AND($G129&gt;=CJ$5,$G129&lt;CJ$5+GanttPeriod),"◆",IF(AND($E129&gt;=CJ$5,$E129&lt;CJ$5+GanttPeriod),"◇","")),IF(AND(CJ$5&lt;=$F129,CJ$5+GanttPeriod-1&gt;=$E129),"━","")))</f>
        <v/>
      </c>
      <c r="CK129" s="69" t="str">
        <f aca="false">IF($E129="","",IF($M129,IF(AND($G129&gt;=CK$5,$G129&lt;CK$5+GanttPeriod),"◆",IF(AND($E129&gt;=CK$5,$E129&lt;CK$5+GanttPeriod),"◇","")),IF(AND(CK$5&lt;=$F129,CK$5+GanttPeriod-1&gt;=$E129),"━","")))</f>
        <v/>
      </c>
      <c r="CL129" s="69" t="str">
        <f aca="false">IF($E129="","",IF($M129,IF(AND($G129&gt;=CL$5,$G129&lt;CL$5+GanttPeriod),"◆",IF(AND($E129&gt;=CL$5,$E129&lt;CL$5+GanttPeriod),"◇","")),IF(AND(CL$5&lt;=$F129,CL$5+GanttPeriod-1&gt;=$E129),"━","")))</f>
        <v/>
      </c>
      <c r="CM129" s="69" t="str">
        <f aca="false">IF($E129="","",IF($M129,IF(AND($G129&gt;=CM$5,$G129&lt;CM$5+GanttPeriod),"◆",IF(AND($E129&gt;=CM$5,$E129&lt;CM$5+GanttPeriod),"◇","")),IF(AND(CM$5&lt;=$F129,CM$5+GanttPeriod-1&gt;=$E129),"━","")))</f>
        <v/>
      </c>
      <c r="CN129" s="69" t="str">
        <f aca="false">IF($E129="","",IF($M129,IF(AND($G129&gt;=CN$5,$G129&lt;CN$5+GanttPeriod),"◆",IF(AND($E129&gt;=CN$5,$E129&lt;CN$5+GanttPeriod),"◇","")),IF(AND(CN$5&lt;=$F129,CN$5+GanttPeriod-1&gt;=$E129),"━","")))</f>
        <v/>
      </c>
      <c r="CO129" s="69" t="str">
        <f aca="false">IF($E129="","",IF($M129,IF(AND($G129&gt;=CO$5,$G129&lt;CO$5+GanttPeriod),"◆",IF(AND($E129&gt;=CO$5,$E129&lt;CO$5+GanttPeriod),"◇","")),IF(AND(CO$5&lt;=$F129,CO$5+GanttPeriod-1&gt;=$E129),"━","")))</f>
        <v/>
      </c>
      <c r="CP129" s="69" t="str">
        <f aca="false">IF($E129="","",IF($M129,IF(AND($G129&gt;=CP$5,$G129&lt;CP$5+GanttPeriod),"◆",IF(AND($E129&gt;=CP$5,$E129&lt;CP$5+GanttPeriod),"◇","")),IF(AND(CP$5&lt;=$F129,CP$5+GanttPeriod-1&gt;=$E129),"━","")))</f>
        <v/>
      </c>
      <c r="CQ129" s="69" t="str">
        <f aca="false">IF($E129="","",IF($M129,IF(AND($G129&gt;=CQ$5,$G129&lt;CQ$5+GanttPeriod),"◆",IF(AND($E129&gt;=CQ$5,$E129&lt;CQ$5+GanttPeriod),"◇","")),IF(AND(CQ$5&lt;=$F129,CQ$5+GanttPeriod-1&gt;=$E129),"━","")))</f>
        <v/>
      </c>
      <c r="CR129" s="69" t="str">
        <f aca="false">IF($E129="","",IF($M129,IF(AND($G129&gt;=CR$5,$G129&lt;CR$5+GanttPeriod),"◆",IF(AND($E129&gt;=CR$5,$E129&lt;CR$5+GanttPeriod),"◇","")),IF(AND(CR$5&lt;=$F129,CR$5+GanttPeriod-1&gt;=$E129),"━","")))</f>
        <v/>
      </c>
      <c r="CS129" s="69" t="str">
        <f aca="false">IF($E129="","",IF($M129,IF(AND($G129&gt;=CS$5,$G129&lt;CS$5+GanttPeriod),"◆",IF(AND($E129&gt;=CS$5,$E129&lt;CS$5+GanttPeriod),"◇","")),IF(AND(CS$5&lt;=$F129,CS$5+GanttPeriod-1&gt;=$E129),"━","")))</f>
        <v/>
      </c>
      <c r="CT129" s="69" t="str">
        <f aca="false">IF($E129="","",IF($M129,IF(AND($G129&gt;=CT$5,$G129&lt;CT$5+GanttPeriod),"◆",IF(AND($E129&gt;=CT$5,$E129&lt;CT$5+GanttPeriod),"◇","")),IF(AND(CT$5&lt;=$F129,CT$5+GanttPeriod-1&gt;=$E129),"━","")))</f>
        <v/>
      </c>
      <c r="CU129" s="69" t="str">
        <f aca="false">IF($E129="","",IF($M129,IF(AND($G129&gt;=CU$5,$G129&lt;CU$5+GanttPeriod),"◆",IF(AND($E129&gt;=CU$5,$E129&lt;CU$5+GanttPeriod),"◇","")),IF(AND(CU$5&lt;=$F129,CU$5+GanttPeriod-1&gt;=$E129),"━","")))</f>
        <v/>
      </c>
      <c r="CV129" s="69" t="str">
        <f aca="false">IF($E129="","",IF($M129,IF(AND($G129&gt;=CV$5,$G129&lt;CV$5+GanttPeriod),"◆",IF(AND($E129&gt;=CV$5,$E129&lt;CV$5+GanttPeriod),"◇","")),IF(AND(CV$5&lt;=$F129,CV$5+GanttPeriod-1&gt;=$E129),"━","")))</f>
        <v/>
      </c>
      <c r="CW129" s="69" t="str">
        <f aca="false">IF($E129="","",IF($M129,IF(AND($G129&gt;=CW$5,$G129&lt;CW$5+GanttPeriod),"◆",IF(AND($E129&gt;=CW$5,$E129&lt;CW$5+GanttPeriod),"◇","")),IF(AND(CW$5&lt;=$F129,CW$5+GanttPeriod-1&gt;=$E129),"━","")))</f>
        <v/>
      </c>
      <c r="CX129" s="69" t="str">
        <f aca="false">IF($E129="","",IF($M129,IF(AND($G129&gt;=CX$5,$G129&lt;CX$5+GanttPeriod),"◆",IF(AND($E129&gt;=CX$5,$E129&lt;CX$5+GanttPeriod),"◇","")),IF(AND(CX$5&lt;=$F129,CX$5+GanttPeriod-1&gt;=$E129),"━","")))</f>
        <v/>
      </c>
      <c r="CY129" s="69" t="str">
        <f aca="false">IF($E129="","",IF($M129,IF(AND($G129&gt;=CY$5,$G129&lt;CY$5+GanttPeriod),"◆",IF(AND($E129&gt;=CY$5,$E129&lt;CY$5+GanttPeriod),"◇","")),IF(AND(CY$5&lt;=$F129,CY$5+GanttPeriod-1&gt;=$E129),"━","")))</f>
        <v/>
      </c>
      <c r="CZ129" s="69" t="str">
        <f aca="false">IF($E129="","",IF($M129,IF(AND($G129&gt;=CZ$5,$G129&lt;CZ$5+GanttPeriod),"◆",IF(AND($E129&gt;=CZ$5,$E129&lt;CZ$5+GanttPeriod),"◇","")),IF(AND(CZ$5&lt;=$F129,CZ$5+GanttPeriod-1&gt;=$E129),"━","")))</f>
        <v/>
      </c>
      <c r="DA129" s="69" t="str">
        <f aca="false">IF($E129="","",IF($M129,IF(AND($G129&gt;=DA$5,$G129&lt;DA$5+GanttPeriod),"◆",IF(AND($E129&gt;=DA$5,$E129&lt;DA$5+GanttPeriod),"◇","")),IF(AND(DA$5&lt;=$F129,DA$5+GanttPeriod-1&gt;=$E129),"━","")))</f>
        <v/>
      </c>
      <c r="DB129" s="69" t="str">
        <f aca="false">IF($E129="","",IF($M129,IF(AND($G129&gt;=DB$5,$G129&lt;DB$5+GanttPeriod),"◆",IF(AND($E129&gt;=DB$5,$E129&lt;DB$5+GanttPeriod),"◇","")),IF(AND(DB$5&lt;=$F129,DB$5+GanttPeriod-1&gt;=$E129),"━","")))</f>
        <v/>
      </c>
      <c r="DC129" s="69" t="str">
        <f aca="false">IF($E129="","",IF($M129,IF(AND($G129&gt;=DC$5,$G129&lt;DC$5+GanttPeriod),"◆",IF(AND($E129&gt;=DC$5,$E129&lt;DC$5+GanttPeriod),"◇","")),IF(AND(DC$5&lt;=$F129,DC$5+GanttPeriod-1&gt;=$E129),"━","")))</f>
        <v/>
      </c>
      <c r="DD129" s="69" t="str">
        <f aca="false">IF($E129="","",IF($M129,IF(AND($G129&gt;=DD$5,$G129&lt;DD$5+GanttPeriod),"◆",IF(AND($E129&gt;=DD$5,$E129&lt;DD$5+GanttPeriod),"◇","")),IF(AND(DD$5&lt;=$F129,DD$5+GanttPeriod-1&gt;=$E129),"━","")))</f>
        <v/>
      </c>
      <c r="DE129" s="69" t="str">
        <f aca="false">IF($E129="","",IF($M129,IF(AND($G129&gt;=DE$5,$G129&lt;DE$5+GanttPeriod),"◆",IF(AND($E129&gt;=DE$5,$E129&lt;DE$5+GanttPeriod),"◇","")),IF(AND(DE$5&lt;=$F129,DE$5+GanttPeriod-1&gt;=$E129),"━","")))</f>
        <v/>
      </c>
      <c r="DF129" s="69" t="str">
        <f aca="false">IF($E129="","",IF($M129,IF(AND($G129&gt;=DF$5,$G129&lt;DF$5+GanttPeriod),"◆",IF(AND($E129&gt;=DF$5,$E129&lt;DF$5+GanttPeriod),"◇","")),IF(AND(DF$5&lt;=$F129,DF$5+GanttPeriod-1&gt;=$E129),"━","")))</f>
        <v/>
      </c>
      <c r="DG129" s="69" t="str">
        <f aca="false">IF($E129="","",IF($M129,IF(AND($G129&gt;=DG$5,$G129&lt;DG$5+GanttPeriod),"◆",IF(AND($E129&gt;=DG$5,$E129&lt;DG$5+GanttPeriod),"◇","")),IF(AND(DG$5&lt;=$F129,DG$5+GanttPeriod-1&gt;=$E129),"━","")))</f>
        <v/>
      </c>
      <c r="DH129" s="69" t="str">
        <f aca="false">IF($E129="","",IF($M129,IF(AND($G129&gt;=DH$5,$G129&lt;DH$5+GanttPeriod),"◆",IF(AND($E129&gt;=DH$5,$E129&lt;DH$5+GanttPeriod),"◇","")),IF(AND(DH$5&lt;=$F129,DH$5+GanttPeriod-1&gt;=$E129),"━","")))</f>
        <v/>
      </c>
      <c r="DI129" s="69" t="str">
        <f aca="false">IF($E129="","",IF($M129,IF(AND($G129&gt;=DI$5,$G129&lt;DI$5+GanttPeriod),"◆",IF(AND($E129&gt;=DI$5,$E129&lt;DI$5+GanttPeriod),"◇","")),IF(AND(DI$5&lt;=$F129,DI$5+GanttPeriod-1&gt;=$E129),"━","")))</f>
        <v/>
      </c>
      <c r="DJ129" s="69" t="str">
        <f aca="false">IF($E129="","",IF($M129,IF(AND($G129&gt;=DJ$5,$G129&lt;DJ$5+GanttPeriod),"◆",IF(AND($E129&gt;=DJ$5,$E129&lt;DJ$5+GanttPeriod),"◇","")),IF(AND(DJ$5&lt;=$F129,DJ$5+GanttPeriod-1&gt;=$E129),"━","")))</f>
        <v/>
      </c>
      <c r="DK129" s="69" t="str">
        <f aca="false">IF($E129="","",IF($M129,IF(AND($G129&gt;=DK$5,$G129&lt;DK$5+GanttPeriod),"◆",IF(AND($E129&gt;=DK$5,$E129&lt;DK$5+GanttPeriod),"◇","")),IF(AND(DK$5&lt;=$F129,DK$5+GanttPeriod-1&gt;=$E129),"━","")))</f>
        <v/>
      </c>
      <c r="DL129" s="69" t="str">
        <f aca="false">IF($E129="","",IF($M129,IF(AND($G129&gt;=DL$5,$G129&lt;DL$5+GanttPeriod),"◆",IF(AND($E129&gt;=DL$5,$E129&lt;DL$5+GanttPeriod),"◇","")),IF(AND(DL$5&lt;=$F129,DL$5+GanttPeriod-1&gt;=$E129),"━","")))</f>
        <v/>
      </c>
      <c r="DM129" s="69" t="str">
        <f aca="false">IF($E129="","",IF($M129,IF(AND($G129&gt;=DM$5,$G129&lt;DM$5+GanttPeriod),"◆",IF(AND($E129&gt;=DM$5,$E129&lt;DM$5+GanttPeriod),"◇","")),IF(AND(DM$5&lt;=$F129,DM$5+GanttPeriod-1&gt;=$E129),"━","")))</f>
        <v/>
      </c>
      <c r="DN129" s="69" t="str">
        <f aca="false">IF($E129="","",IF($M129,IF(AND($G129&gt;=DN$5,$G129&lt;DN$5+GanttPeriod),"◆",IF(AND($E129&gt;=DN$5,$E129&lt;DN$5+GanttPeriod),"◇","")),IF(AND(DN$5&lt;=$F129,DN$5+GanttPeriod-1&gt;=$E129),"━","")))</f>
        <v/>
      </c>
      <c r="DO129" s="69" t="str">
        <f aca="false">IF($E129="","",IF($M129,IF(AND($G129&gt;=DO$5,$G129&lt;DO$5+GanttPeriod),"◆",IF(AND($E129&gt;=DO$5,$E129&lt;DO$5+GanttPeriod),"◇","")),IF(AND(DO$5&lt;=$F129,DO$5+GanttPeriod-1&gt;=$E129),"━","")))</f>
        <v/>
      </c>
      <c r="DP129" s="69" t="str">
        <f aca="false">IF($E129="","",IF($M129,IF(AND($G129&gt;=DP$5,$G129&lt;DP$5+GanttPeriod),"◆",IF(AND($E129&gt;=DP$5,$E129&lt;DP$5+GanttPeriod),"◇","")),IF(AND(DP$5&lt;=$F129,DP$5+GanttPeriod-1&gt;=$E129),"━","")))</f>
        <v/>
      </c>
      <c r="DQ129" s="69" t="str">
        <f aca="false">IF($E129="","",IF($M129,IF(AND($G129&gt;=DQ$5,$G129&lt;DQ$5+GanttPeriod),"◆",IF(AND($E129&gt;=DQ$5,$E129&lt;DQ$5+GanttPeriod),"◇","")),IF(AND(DQ$5&lt;=$F129,DQ$5+GanttPeriod-1&gt;=$E129),"━","")))</f>
        <v/>
      </c>
      <c r="DR129" s="69" t="str">
        <f aca="false">IF($E129="","",IF($M129,IF(AND($G129&gt;=DR$5,$G129&lt;DR$5+GanttPeriod),"◆",IF(AND($E129&gt;=DR$5,$E129&lt;DR$5+GanttPeriod),"◇","")),IF(AND(DR$5&lt;=$F129,DR$5+GanttPeriod-1&gt;=$E129),"━","")))</f>
        <v/>
      </c>
      <c r="DS129" s="69" t="str">
        <f aca="false">IF($E129="","",IF($M129,IF(AND($G129&gt;=DS$5,$G129&lt;DS$5+GanttPeriod),"◆",IF(AND($E129&gt;=DS$5,$E129&lt;DS$5+GanttPeriod),"◇","")),IF(AND(DS$5&lt;=$F129,DS$5+GanttPeriod-1&gt;=$E129),"━","")))</f>
        <v/>
      </c>
      <c r="DT129" s="69" t="str">
        <f aca="false">IF($E129="","",IF($M129,IF(AND($G129&gt;=DT$5,$G129&lt;DT$5+GanttPeriod),"◆",IF(AND($E129&gt;=DT$5,$E129&lt;DT$5+GanttPeriod),"◇","")),IF(AND(DT$5&lt;=$F129,DT$5+GanttPeriod-1&gt;=$E129),"━","")))</f>
        <v/>
      </c>
      <c r="DU129" s="69" t="str">
        <f aca="false">IF($E129="","",IF($M129,IF(AND($G129&gt;=DU$5,$G129&lt;DU$5+GanttPeriod),"◆",IF(AND($E129&gt;=DU$5,$E129&lt;DU$5+GanttPeriod),"◇","")),IF(AND(DU$5&lt;=$F129,DU$5+GanttPeriod-1&gt;=$E129),"━","")))</f>
        <v/>
      </c>
      <c r="DV129" s="69" t="str">
        <f aca="false">IF($E129="","",IF($M129,IF(AND($G129&gt;=DV$5,$G129&lt;DV$5+GanttPeriod),"◆",IF(AND($E129&gt;=DV$5,$E129&lt;DV$5+GanttPeriod),"◇","")),IF(AND(DV$5&lt;=$F129,DV$5+GanttPeriod-1&gt;=$E129),"━","")))</f>
        <v/>
      </c>
      <c r="DW129" s="69" t="str">
        <f aca="false">IF($E129="","",IF($M129,IF(AND($G129&gt;=DW$5,$G129&lt;DW$5+GanttPeriod),"◆",IF(AND($E129&gt;=DW$5,$E129&lt;DW$5+GanttPeriod),"◇","")),IF(AND(DW$5&lt;=$F129,DW$5+GanttPeriod-1&gt;=$E129),"━","")))</f>
        <v/>
      </c>
      <c r="DX129" s="69" t="str">
        <f aca="false">IF($E129="","",IF($M129,IF(AND($G129&gt;=DX$5,$G129&lt;DX$5+GanttPeriod),"◆",IF(AND($E129&gt;=DX$5,$E129&lt;DX$5+GanttPeriod),"◇","")),IF(AND(DX$5&lt;=$F129,DX$5+GanttPeriod-1&gt;=$E129),"━","")))</f>
        <v/>
      </c>
      <c r="DY129" s="69" t="str">
        <f aca="false">IF($E129="","",IF($M129,IF(AND($G129&gt;=DY$5,$G129&lt;DY$5+GanttPeriod),"◆",IF(AND($E129&gt;=DY$5,$E129&lt;DY$5+GanttPeriod),"◇","")),IF(AND(DY$5&lt;=$F129,DY$5+GanttPeriod-1&gt;=$E129),"━","")))</f>
        <v/>
      </c>
      <c r="DZ129" s="69" t="str">
        <f aca="false">IF($E129="","",IF($M129,IF(AND($G129&gt;=DZ$5,$G129&lt;DZ$5+GanttPeriod),"◆",IF(AND($E129&gt;=DZ$5,$E129&lt;DZ$5+GanttPeriod),"◇","")),IF(AND(DZ$5&lt;=$F129,DZ$5+GanttPeriod-1&gt;=$E129),"━","")))</f>
        <v/>
      </c>
      <c r="EA129" s="69" t="str">
        <f aca="false">IF($E129="","",IF($M129,IF(AND($G129&gt;=EA$5,$G129&lt;EA$5+GanttPeriod),"◆",IF(AND($E129&gt;=EA$5,$E129&lt;EA$5+GanttPeriod),"◇","")),IF(AND(EA$5&lt;=$F129,EA$5+GanttPeriod-1&gt;=$E129),"━","")))</f>
        <v/>
      </c>
      <c r="EB129" s="69" t="str">
        <f aca="false">IF($E129="","",IF($M129,IF(AND($G129&gt;=EB$5,$G129&lt;EB$5+GanttPeriod),"◆",IF(AND($E129&gt;=EB$5,$E129&lt;EB$5+GanttPeriod),"◇","")),IF(AND(EB$5&lt;=$F129,EB$5+GanttPeriod-1&gt;=$E129),"━","")))</f>
        <v/>
      </c>
      <c r="EC129" s="69" t="str">
        <f aca="false">IF($E129="","",IF($M129,IF(AND($G129&gt;=EC$5,$G129&lt;EC$5+GanttPeriod),"◆",IF(AND($E129&gt;=EC$5,$E129&lt;EC$5+GanttPeriod),"◇","")),IF(AND(EC$5&lt;=$F129,EC$5+GanttPeriod-1&gt;=$E129),"━","")))</f>
        <v/>
      </c>
      <c r="ED129" s="69" t="str">
        <f aca="false">IF($E129="","",IF($M129,IF(AND($G129&gt;=ED$5,$G129&lt;ED$5+GanttPeriod),"◆",IF(AND($E129&gt;=ED$5,$E129&lt;ED$5+GanttPeriod),"◇","")),IF(AND(ED$5&lt;=$F129,ED$5+GanttPeriod-1&gt;=$E129),"━","")))</f>
        <v/>
      </c>
      <c r="EE129" s="69" t="str">
        <f aca="false">IF($E129="","",IF($M129,IF(AND($G129&gt;=EE$5,$G129&lt;EE$5+GanttPeriod),"◆",IF(AND($E129&gt;=EE$5,$E129&lt;EE$5+GanttPeriod),"◇","")),IF(AND(EE$5&lt;=$F129,EE$5+GanttPeriod-1&gt;=$E129),"━","")))</f>
        <v/>
      </c>
      <c r="EF129" s="69" t="str">
        <f aca="false">IF($E129="","",IF($M129,IF(AND($G129&gt;=EF$5,$G129&lt;EF$5+GanttPeriod),"◆",IF(AND($E129&gt;=EF$5,$E129&lt;EF$5+GanttPeriod),"◇","")),IF(AND(EF$5&lt;=$F129,EF$5+GanttPeriod-1&gt;=$E129),"━","")))</f>
        <v/>
      </c>
      <c r="EG129" s="69" t="str">
        <f aca="false">IF($E129="","",IF($M129,IF(AND($G129&gt;=EG$5,$G129&lt;EG$5+GanttPeriod),"◆",IF(AND($E129&gt;=EG$5,$E129&lt;EG$5+GanttPeriod),"◇","")),IF(AND(EG$5&lt;=$F129,EG$5+GanttPeriod-1&gt;=$E129),"━","")))</f>
        <v/>
      </c>
      <c r="EH129" s="69" t="str">
        <f aca="false">IF($E129="","",IF($M129,IF(AND($G129&gt;=EH$5,$G129&lt;EH$5+GanttPeriod),"◆",IF(AND($E129&gt;=EH$5,$E129&lt;EH$5+GanttPeriod),"◇","")),IF(AND(EH$5&lt;=$F129,EH$5+GanttPeriod-1&gt;=$E129),"━","")))</f>
        <v/>
      </c>
      <c r="EI129" s="69" t="str">
        <f aca="false">IF($E129="","",IF($M129,IF(AND($G129&gt;=EI$5,$G129&lt;EI$5+GanttPeriod),"◆",IF(AND($E129&gt;=EI$5,$E129&lt;EI$5+GanttPeriod),"◇","")),IF(AND(EI$5&lt;=$F129,EI$5+GanttPeriod-1&gt;=$E129),"━","")))</f>
        <v/>
      </c>
      <c r="EJ129" s="69" t="str">
        <f aca="false">IF($E129="","",IF($M129,IF(AND($G129&gt;=EJ$5,$G129&lt;EJ$5+GanttPeriod),"◆",IF(AND($E129&gt;=EJ$5,$E129&lt;EJ$5+GanttPeriod),"◇","")),IF(AND(EJ$5&lt;=$F129,EJ$5+GanttPeriod-1&gt;=$E129),"━","")))</f>
        <v/>
      </c>
      <c r="EK129" s="69" t="str">
        <f aca="false">IF($E129="","",IF($M129,IF(AND($G129&gt;=EK$5,$G129&lt;EK$5+GanttPeriod),"◆",IF(AND($E129&gt;=EK$5,$E129&lt;EK$5+GanttPeriod),"◇","")),IF(AND(EK$5&lt;=$F129,EK$5+GanttPeriod-1&gt;=$E129),"━","")))</f>
        <v/>
      </c>
      <c r="EL129" s="69" t="str">
        <f aca="false">IF($E129="","",IF($M129,IF(AND($G129&gt;=EL$5,$G129&lt;EL$5+GanttPeriod),"◆",IF(AND($E129&gt;=EL$5,$E129&lt;EL$5+GanttPeriod),"◇","")),IF(AND(EL$5&lt;=$F129,EL$5+GanttPeriod-1&gt;=$E129),"━","")))</f>
        <v/>
      </c>
      <c r="EM129" s="69" t="str">
        <f aca="false">IF($E129="","",IF($M129,IF(AND($G129&gt;=EM$5,$G129&lt;EM$5+GanttPeriod),"◆",IF(AND($E129&gt;=EM$5,$E129&lt;EM$5+GanttPeriod),"◇","")),IF(AND(EM$5&lt;=$F129,EM$5+GanttPeriod-1&gt;=$E129),"━","")))</f>
        <v/>
      </c>
      <c r="EN129" s="69" t="str">
        <f aca="false">IF($E129="","",IF($M129,IF(AND($G129&gt;=EN$5,$G129&lt;EN$5+GanttPeriod),"◆",IF(AND($E129&gt;=EN$5,$E129&lt;EN$5+GanttPeriod),"◇","")),IF(AND(EN$5&lt;=$F129,EN$5+GanttPeriod-1&gt;=$E129),"━","")))</f>
        <v/>
      </c>
      <c r="EO129" s="69" t="str">
        <f aca="false">IF($E129="","",IF($M129,IF(AND($G129&gt;=EO$5,$G129&lt;EO$5+GanttPeriod),"◆",IF(AND($E129&gt;=EO$5,$E129&lt;EO$5+GanttPeriod),"◇","")),IF(AND(EO$5&lt;=$F129,EO$5+GanttPeriod-1&gt;=$E129),"━","")))</f>
        <v/>
      </c>
      <c r="EP129" s="69" t="str">
        <f aca="false">IF($E129="","",IF($M129,IF(AND($G129&gt;=EP$5,$G129&lt;EP$5+GanttPeriod),"◆",IF(AND($E129&gt;=EP$5,$E129&lt;EP$5+GanttPeriod),"◇","")),IF(AND(EP$5&lt;=$F129,EP$5+GanttPeriod-1&gt;=$E129),"━","")))</f>
        <v/>
      </c>
      <c r="EQ129" s="69" t="str">
        <f aca="false">IF($E129="","",IF($M129,IF(AND($G129&gt;=EQ$5,$G129&lt;EQ$5+GanttPeriod),"◆",IF(AND($E129&gt;=EQ$5,$E129&lt;EQ$5+GanttPeriod),"◇","")),IF(AND(EQ$5&lt;=$F129,EQ$5+GanttPeriod-1&gt;=$E129),"━","")))</f>
        <v/>
      </c>
      <c r="ER129" s="69" t="str">
        <f aca="false">IF($E129="","",IF($M129,IF(AND($G129&gt;=ER$5,$G129&lt;ER$5+GanttPeriod),"◆",IF(AND($E129&gt;=ER$5,$E129&lt;ER$5+GanttPeriod),"◇","")),IF(AND(ER$5&lt;=$F129,ER$5+GanttPeriod-1&gt;=$E129),"━","")))</f>
        <v/>
      </c>
      <c r="ES129" s="69" t="str">
        <f aca="false">IF($E129="","",IF($M129,IF(AND($G129&gt;=ES$5,$G129&lt;ES$5+GanttPeriod),"◆",IF(AND($E129&gt;=ES$5,$E129&lt;ES$5+GanttPeriod),"◇","")),IF(AND(ES$5&lt;=$F129,ES$5+GanttPeriod-1&gt;=$E129),"━","")))</f>
        <v/>
      </c>
      <c r="ET129" s="69" t="str">
        <f aca="false">IF($E129="","",IF($M129,IF(AND($G129&gt;=ET$5,$G129&lt;ET$5+GanttPeriod),"◆",IF(AND($E129&gt;=ET$5,$E129&lt;ET$5+GanttPeriod),"◇","")),IF(AND(ET$5&lt;=$F129,ET$5+GanttPeriod-1&gt;=$E129),"━","")))</f>
        <v/>
      </c>
      <c r="EU129" s="69" t="str">
        <f aca="false">IF($E129="","",IF($M129,IF(AND($G129&gt;=EU$5,$G129&lt;EU$5+GanttPeriod),"◆",IF(AND($E129&gt;=EU$5,$E129&lt;EU$5+GanttPeriod),"◇","")),IF(AND(EU$5&lt;=$F129,EU$5+GanttPeriod-1&gt;=$E129),"━","")))</f>
        <v/>
      </c>
      <c r="EV129" s="69" t="str">
        <f aca="false">IF($E129="","",IF($M129,IF(AND($G129&gt;=EV$5,$G129&lt;EV$5+GanttPeriod),"◆",IF(AND($E129&gt;=EV$5,$E129&lt;EV$5+GanttPeriod),"◇","")),IF(AND(EV$5&lt;=$F129,EV$5+GanttPeriod-1&gt;=$E129),"━","")))</f>
        <v/>
      </c>
      <c r="EW129" s="69" t="str">
        <f aca="false">IF($E129="","",IF($M129,IF(AND($G129&gt;=EW$5,$G129&lt;EW$5+GanttPeriod),"◆",IF(AND($E129&gt;=EW$5,$E129&lt;EW$5+GanttPeriod),"◇","")),IF(AND(EW$5&lt;=$F129,EW$5+GanttPeriod-1&gt;=$E129),"━","")))</f>
        <v/>
      </c>
      <c r="EX129" s="69" t="str">
        <f aca="false">IF($E129="","",IF($M129,IF(AND($G129&gt;=EX$5,$G129&lt;EX$5+GanttPeriod),"◆",IF(AND($E129&gt;=EX$5,$E129&lt;EX$5+GanttPeriod),"◇","")),IF(AND(EX$5&lt;=$F129,EX$5+GanttPeriod-1&gt;=$E129),"━","")))</f>
        <v/>
      </c>
      <c r="EY129" s="69" t="str">
        <f aca="false">IF($E129="","",IF($M129,IF(AND($G129&gt;=EY$5,$G129&lt;EY$5+GanttPeriod),"◆",IF(AND($E129&gt;=EY$5,$E129&lt;EY$5+GanttPeriod),"◇","")),IF(AND(EY$5&lt;=$F129,EY$5+GanttPeriod-1&gt;=$E129),"━","")))</f>
        <v/>
      </c>
      <c r="EZ129" s="69" t="str">
        <f aca="false">IF($E129="","",IF($M129,IF(AND($G129&gt;=EZ$5,$G129&lt;EZ$5+GanttPeriod),"◆",IF(AND($E129&gt;=EZ$5,$E129&lt;EZ$5+GanttPeriod),"◇","")),IF(AND(EZ$5&lt;=$F129,EZ$5+GanttPeriod-1&gt;=$E129),"━","")))</f>
        <v/>
      </c>
      <c r="FA129" s="69" t="str">
        <f aca="false">IF($E129="","",IF($M129,IF(AND($G129&gt;=FA$5,$G129&lt;FA$5+GanttPeriod),"◆",IF(AND($E129&gt;=FA$5,$E129&lt;FA$5+GanttPeriod),"◇","")),IF(AND(FA$5&lt;=$F129,FA$5+GanttPeriod-1&gt;=$E129),"━","")))</f>
        <v/>
      </c>
      <c r="FB129" s="69" t="str">
        <f aca="false">IF($E129="","",IF($M129,IF(AND($G129&gt;=FB$5,$G129&lt;FB$5+GanttPeriod),"◆",IF(AND($E129&gt;=FB$5,$E129&lt;FB$5+GanttPeriod),"◇","")),IF(AND(FB$5&lt;=$F129,FB$5+GanttPeriod-1&gt;=$E129),"━","")))</f>
        <v/>
      </c>
      <c r="FC129" s="69" t="str">
        <f aca="false">IF($E129="","",IF($M129,IF(AND($G129&gt;=FC$5,$G129&lt;FC$5+GanttPeriod),"◆",IF(AND($E129&gt;=FC$5,$E129&lt;FC$5+GanttPeriod),"◇","")),IF(AND(FC$5&lt;=$F129,FC$5+GanttPeriod-1&gt;=$E129),"━","")))</f>
        <v/>
      </c>
      <c r="FD129" s="69" t="str">
        <f aca="false">IF($E129="","",IF($M129,IF(AND($G129&gt;=FD$5,$G129&lt;FD$5+GanttPeriod),"◆",IF(AND($E129&gt;=FD$5,$E129&lt;FD$5+GanttPeriod),"◇","")),IF(AND(FD$5&lt;=$F129,FD$5+GanttPeriod-1&gt;=$E129),"━","")))</f>
        <v/>
      </c>
      <c r="FE129" s="69" t="str">
        <f aca="false">IF($E129="","",IF($M129,IF(AND($G129&gt;=FE$5,$G129&lt;FE$5+GanttPeriod),"◆",IF(AND($E129&gt;=FE$5,$E129&lt;FE$5+GanttPeriod),"◇","")),IF(AND(FE$5&lt;=$F129,FE$5+GanttPeriod-1&gt;=$E129),"━","")))</f>
        <v/>
      </c>
      <c r="FF129" s="69" t="str">
        <f aca="false">IF($E129="","",IF($M129,IF(AND($G129&gt;=FF$5,$G129&lt;FF$5+GanttPeriod),"◆",IF(AND($E129&gt;=FF$5,$E129&lt;FF$5+GanttPeriod),"◇","")),IF(AND(FF$5&lt;=$F129,FF$5+GanttPeriod-1&gt;=$E129),"━","")))</f>
        <v/>
      </c>
      <c r="FG129" s="69" t="str">
        <f aca="false">IF($E129="","",IF($M129,IF(AND($G129&gt;=FG$5,$G129&lt;FG$5+GanttPeriod),"◆",IF(AND($E129&gt;=FG$5,$E129&lt;FG$5+GanttPeriod),"◇","")),IF(AND(FG$5&lt;=$F129,FG$5+GanttPeriod-1&gt;=$E129),"━","")))</f>
        <v/>
      </c>
      <c r="FH129" s="69" t="str">
        <f aca="false">IF($E129="","",IF($M129,IF(AND($G129&gt;=FH$5,$G129&lt;FH$5+GanttPeriod),"◆",IF(AND($E129&gt;=FH$5,$E129&lt;FH$5+GanttPeriod),"◇","")),IF(AND(FH$5&lt;=$F129,FH$5+GanttPeriod-1&gt;=$E129),"━","")))</f>
        <v/>
      </c>
      <c r="FI129" s="69" t="str">
        <f aca="false">IF($E129="","",IF($M129,IF(AND($G129&gt;=FI$5,$G129&lt;FI$5+GanttPeriod),"◆",IF(AND($E129&gt;=FI$5,$E129&lt;FI$5+GanttPeriod),"◇","")),IF(AND(FI$5&lt;=$F129,FI$5+GanttPeriod-1&gt;=$E129),"━","")))</f>
        <v/>
      </c>
      <c r="FJ129" s="69" t="str">
        <f aca="false">IF($E129="","",IF($M129,IF(AND($G129&gt;=FJ$5,$G129&lt;FJ$5+GanttPeriod),"◆",IF(AND($E129&gt;=FJ$5,$E129&lt;FJ$5+GanttPeriod),"◇","")),IF(AND(FJ$5&lt;=$F129,FJ$5+GanttPeriod-1&gt;=$E129),"━","")))</f>
        <v/>
      </c>
      <c r="FK129" s="69" t="str">
        <f aca="false">IF($E129="","",IF($M129,IF(AND($G129&gt;=FK$5,$G129&lt;FK$5+GanttPeriod),"◆",IF(AND($E129&gt;=FK$5,$E129&lt;FK$5+GanttPeriod),"◇","")),IF(AND(FK$5&lt;=$F129,FK$5+GanttPeriod-1&gt;=$E129),"━","")))</f>
        <v/>
      </c>
      <c r="FL129" s="69" t="str">
        <f aca="false">IF($E129="","",IF($M129,IF(AND($G129&gt;=FL$5,$G129&lt;FL$5+GanttPeriod),"◆",IF(AND($E129&gt;=FL$5,$E129&lt;FL$5+GanttPeriod),"◇","")),IF(AND(FL$5&lt;=$F129,FL$5+GanttPeriod-1&gt;=$E129),"━","")))</f>
        <v/>
      </c>
      <c r="FM129" s="69" t="str">
        <f aca="false">IF($E129="","",IF($M129,IF(AND($G129&gt;=FM$5,$G129&lt;FM$5+GanttPeriod),"◆",IF(AND($E129&gt;=FM$5,$E129&lt;FM$5+GanttPeriod),"◇","")),IF(AND(FM$5&lt;=$F129,FM$5+GanttPeriod-1&gt;=$E129),"━","")))</f>
        <v/>
      </c>
    </row>
    <row r="130" customFormat="false" ht="15" hidden="false" customHeight="false" outlineLevel="0" collapsed="false">
      <c r="A130" s="62" t="str">
        <f aca="false">IF(Tasks!$D130="","",Tasks!$A130)</f>
        <v/>
      </c>
      <c r="B130" s="62" t="str">
        <f aca="false">IF(Tasks!$D130="","",Tasks!$B130)</f>
        <v/>
      </c>
      <c r="C130" s="63" t="str">
        <f aca="false">IF(Tasks!$D130="","",REPT("    ",Tasks!$AE130-1)&amp;Tasks!$D130)</f>
        <v/>
      </c>
      <c r="D130" s="62" t="str">
        <f aca="false">IF(Tasks!$D130="","",IF(Tasks!$AI130,NETWORKDAYS.INTL(Tasks!$R130,Tasks!$S130,WorkWeek,Holidays),N(Tasks!$F130)))</f>
        <v/>
      </c>
      <c r="E130" s="64" t="str">
        <f aca="false">IF(Tasks!$D130="","",Tasks!$N130)</f>
        <v/>
      </c>
      <c r="F130" s="64" t="str">
        <f aca="false">IF(Tasks!$D130="","",Tasks!$O130)</f>
        <v/>
      </c>
      <c r="G130" s="64" t="str">
        <f aca="false">IF(Tasks!$D130="","",Tasks!$R130)</f>
        <v/>
      </c>
      <c r="H130" s="64" t="str">
        <f aca="false">IF(Tasks!$D130="","",Tasks!$S130)</f>
        <v/>
      </c>
      <c r="I130" s="65" t="str">
        <f aca="false">IF(Tasks!$D130="","",Tasks!$V130)</f>
        <v/>
      </c>
      <c r="J130" s="63" t="str">
        <f aca="false">IF(Tasks!$D130="","",Tasks!$X130&amp;"")</f>
        <v/>
      </c>
      <c r="K130" s="66" t="str">
        <f aca="false">IF(Tasks!$D130="","",Tasks!$W130)</f>
        <v/>
      </c>
      <c r="L130" s="67" t="b">
        <f aca="false">IF(Tasks!$D130="",FALSE(),Tasks!$AI130)</f>
        <v>0</v>
      </c>
      <c r="M130" s="67" t="b">
        <f aca="false">AND(Tasks!$AJ130=1,N(Tasks!$F130)=0)</f>
        <v>0</v>
      </c>
      <c r="N130" s="68" t="n">
        <f aca="false">IF(AND(Tasks!$AJ130=1,NOT($M130),N($I130)&gt;0),$G130,0)</f>
        <v>0</v>
      </c>
      <c r="O130" s="68" t="n">
        <f aca="false">IF($N130=0,0,IF($I130&gt;=1,$H130,MAX($N130,$G130+ROUND(($H130-$G130+1)*$I130,0)-1)))</f>
        <v>0</v>
      </c>
      <c r="P130" s="68" t="n">
        <f aca="false">IF(OR(Tasks!$AJ130&lt;&gt;1,$M130,N($I130)&gt;=1),0,IF($O130&gt;0,$O130+1,$G130))</f>
        <v>0</v>
      </c>
      <c r="Q130" s="68" t="n">
        <f aca="false">IF($P130=0,0,$H130)</f>
        <v>0</v>
      </c>
      <c r="R130" s="67" t="b">
        <f aca="false">AND(Tasks!$D130&lt;&gt;"",N(Tasks!$T130)&gt;0)</f>
        <v>0</v>
      </c>
      <c r="T130" s="69" t="str">
        <f aca="false">IF($E130="","",IF($M130,IF(AND($G130&gt;=T$5,$G130&lt;T$5+GanttPeriod),"◆",IF(AND($E130&gt;=T$5,$E130&lt;T$5+GanttPeriod),"◇","")),IF(AND(T$5&lt;=$F130,T$5+GanttPeriod-1&gt;=$E130),"━","")))</f>
        <v/>
      </c>
      <c r="U130" s="69" t="str">
        <f aca="false">IF($E130="","",IF($M130,IF(AND($G130&gt;=U$5,$G130&lt;U$5+GanttPeriod),"◆",IF(AND($E130&gt;=U$5,$E130&lt;U$5+GanttPeriod),"◇","")),IF(AND(U$5&lt;=$F130,U$5+GanttPeriod-1&gt;=$E130),"━","")))</f>
        <v/>
      </c>
      <c r="V130" s="69" t="str">
        <f aca="false">IF($E130="","",IF($M130,IF(AND($G130&gt;=V$5,$G130&lt;V$5+GanttPeriod),"◆",IF(AND($E130&gt;=V$5,$E130&lt;V$5+GanttPeriod),"◇","")),IF(AND(V$5&lt;=$F130,V$5+GanttPeriod-1&gt;=$E130),"━","")))</f>
        <v/>
      </c>
      <c r="W130" s="69" t="str">
        <f aca="false">IF($E130="","",IF($M130,IF(AND($G130&gt;=W$5,$G130&lt;W$5+GanttPeriod),"◆",IF(AND($E130&gt;=W$5,$E130&lt;W$5+GanttPeriod),"◇","")),IF(AND(W$5&lt;=$F130,W$5+GanttPeriod-1&gt;=$E130),"━","")))</f>
        <v/>
      </c>
      <c r="X130" s="69" t="str">
        <f aca="false">IF($E130="","",IF($M130,IF(AND($G130&gt;=X$5,$G130&lt;X$5+GanttPeriod),"◆",IF(AND($E130&gt;=X$5,$E130&lt;X$5+GanttPeriod),"◇","")),IF(AND(X$5&lt;=$F130,X$5+GanttPeriod-1&gt;=$E130),"━","")))</f>
        <v/>
      </c>
      <c r="Y130" s="69" t="str">
        <f aca="false">IF($E130="","",IF($M130,IF(AND($G130&gt;=Y$5,$G130&lt;Y$5+GanttPeriod),"◆",IF(AND($E130&gt;=Y$5,$E130&lt;Y$5+GanttPeriod),"◇","")),IF(AND(Y$5&lt;=$F130,Y$5+GanttPeriod-1&gt;=$E130),"━","")))</f>
        <v/>
      </c>
      <c r="Z130" s="69" t="str">
        <f aca="false">IF($E130="","",IF($M130,IF(AND($G130&gt;=Z$5,$G130&lt;Z$5+GanttPeriod),"◆",IF(AND($E130&gt;=Z$5,$E130&lt;Z$5+GanttPeriod),"◇","")),IF(AND(Z$5&lt;=$F130,Z$5+GanttPeriod-1&gt;=$E130),"━","")))</f>
        <v/>
      </c>
      <c r="AA130" s="69" t="str">
        <f aca="false">IF($E130="","",IF($M130,IF(AND($G130&gt;=AA$5,$G130&lt;AA$5+GanttPeriod),"◆",IF(AND($E130&gt;=AA$5,$E130&lt;AA$5+GanttPeriod),"◇","")),IF(AND(AA$5&lt;=$F130,AA$5+GanttPeriod-1&gt;=$E130),"━","")))</f>
        <v/>
      </c>
      <c r="AB130" s="69" t="str">
        <f aca="false">IF($E130="","",IF($M130,IF(AND($G130&gt;=AB$5,$G130&lt;AB$5+GanttPeriod),"◆",IF(AND($E130&gt;=AB$5,$E130&lt;AB$5+GanttPeriod),"◇","")),IF(AND(AB$5&lt;=$F130,AB$5+GanttPeriod-1&gt;=$E130),"━","")))</f>
        <v/>
      </c>
      <c r="AC130" s="69" t="str">
        <f aca="false">IF($E130="","",IF($M130,IF(AND($G130&gt;=AC$5,$G130&lt;AC$5+GanttPeriod),"◆",IF(AND($E130&gt;=AC$5,$E130&lt;AC$5+GanttPeriod),"◇","")),IF(AND(AC$5&lt;=$F130,AC$5+GanttPeriod-1&gt;=$E130),"━","")))</f>
        <v/>
      </c>
      <c r="AD130" s="69" t="str">
        <f aca="false">IF($E130="","",IF($M130,IF(AND($G130&gt;=AD$5,$G130&lt;AD$5+GanttPeriod),"◆",IF(AND($E130&gt;=AD$5,$E130&lt;AD$5+GanttPeriod),"◇","")),IF(AND(AD$5&lt;=$F130,AD$5+GanttPeriod-1&gt;=$E130),"━","")))</f>
        <v/>
      </c>
      <c r="AE130" s="69" t="str">
        <f aca="false">IF($E130="","",IF($M130,IF(AND($G130&gt;=AE$5,$G130&lt;AE$5+GanttPeriod),"◆",IF(AND($E130&gt;=AE$5,$E130&lt;AE$5+GanttPeriod),"◇","")),IF(AND(AE$5&lt;=$F130,AE$5+GanttPeriod-1&gt;=$E130),"━","")))</f>
        <v/>
      </c>
      <c r="AF130" s="69" t="str">
        <f aca="false">IF($E130="","",IF($M130,IF(AND($G130&gt;=AF$5,$G130&lt;AF$5+GanttPeriod),"◆",IF(AND($E130&gt;=AF$5,$E130&lt;AF$5+GanttPeriod),"◇","")),IF(AND(AF$5&lt;=$F130,AF$5+GanttPeriod-1&gt;=$E130),"━","")))</f>
        <v/>
      </c>
      <c r="AG130" s="69" t="str">
        <f aca="false">IF($E130="","",IF($M130,IF(AND($G130&gt;=AG$5,$G130&lt;AG$5+GanttPeriod),"◆",IF(AND($E130&gt;=AG$5,$E130&lt;AG$5+GanttPeriod),"◇","")),IF(AND(AG$5&lt;=$F130,AG$5+GanttPeriod-1&gt;=$E130),"━","")))</f>
        <v/>
      </c>
      <c r="AH130" s="69" t="str">
        <f aca="false">IF($E130="","",IF($M130,IF(AND($G130&gt;=AH$5,$G130&lt;AH$5+GanttPeriod),"◆",IF(AND($E130&gt;=AH$5,$E130&lt;AH$5+GanttPeriod),"◇","")),IF(AND(AH$5&lt;=$F130,AH$5+GanttPeriod-1&gt;=$E130),"━","")))</f>
        <v/>
      </c>
      <c r="AI130" s="69" t="str">
        <f aca="false">IF($E130="","",IF($M130,IF(AND($G130&gt;=AI$5,$G130&lt;AI$5+GanttPeriod),"◆",IF(AND($E130&gt;=AI$5,$E130&lt;AI$5+GanttPeriod),"◇","")),IF(AND(AI$5&lt;=$F130,AI$5+GanttPeriod-1&gt;=$E130),"━","")))</f>
        <v/>
      </c>
      <c r="AJ130" s="69" t="str">
        <f aca="false">IF($E130="","",IF($M130,IF(AND($G130&gt;=AJ$5,$G130&lt;AJ$5+GanttPeriod),"◆",IF(AND($E130&gt;=AJ$5,$E130&lt;AJ$5+GanttPeriod),"◇","")),IF(AND(AJ$5&lt;=$F130,AJ$5+GanttPeriod-1&gt;=$E130),"━","")))</f>
        <v/>
      </c>
      <c r="AK130" s="69" t="str">
        <f aca="false">IF($E130="","",IF($M130,IF(AND($G130&gt;=AK$5,$G130&lt;AK$5+GanttPeriod),"◆",IF(AND($E130&gt;=AK$5,$E130&lt;AK$5+GanttPeriod),"◇","")),IF(AND(AK$5&lt;=$F130,AK$5+GanttPeriod-1&gt;=$E130),"━","")))</f>
        <v/>
      </c>
      <c r="AL130" s="69" t="str">
        <f aca="false">IF($E130="","",IF($M130,IF(AND($G130&gt;=AL$5,$G130&lt;AL$5+GanttPeriod),"◆",IF(AND($E130&gt;=AL$5,$E130&lt;AL$5+GanttPeriod),"◇","")),IF(AND(AL$5&lt;=$F130,AL$5+GanttPeriod-1&gt;=$E130),"━","")))</f>
        <v/>
      </c>
      <c r="AM130" s="69" t="str">
        <f aca="false">IF($E130="","",IF($M130,IF(AND($G130&gt;=AM$5,$G130&lt;AM$5+GanttPeriod),"◆",IF(AND($E130&gt;=AM$5,$E130&lt;AM$5+GanttPeriod),"◇","")),IF(AND(AM$5&lt;=$F130,AM$5+GanttPeriod-1&gt;=$E130),"━","")))</f>
        <v/>
      </c>
      <c r="AN130" s="69" t="str">
        <f aca="false">IF($E130="","",IF($M130,IF(AND($G130&gt;=AN$5,$G130&lt;AN$5+GanttPeriod),"◆",IF(AND($E130&gt;=AN$5,$E130&lt;AN$5+GanttPeriod),"◇","")),IF(AND(AN$5&lt;=$F130,AN$5+GanttPeriod-1&gt;=$E130),"━","")))</f>
        <v/>
      </c>
      <c r="AO130" s="69" t="str">
        <f aca="false">IF($E130="","",IF($M130,IF(AND($G130&gt;=AO$5,$G130&lt;AO$5+GanttPeriod),"◆",IF(AND($E130&gt;=AO$5,$E130&lt;AO$5+GanttPeriod),"◇","")),IF(AND(AO$5&lt;=$F130,AO$5+GanttPeriod-1&gt;=$E130),"━","")))</f>
        <v/>
      </c>
      <c r="AP130" s="69" t="str">
        <f aca="false">IF($E130="","",IF($M130,IF(AND($G130&gt;=AP$5,$G130&lt;AP$5+GanttPeriod),"◆",IF(AND($E130&gt;=AP$5,$E130&lt;AP$5+GanttPeriod),"◇","")),IF(AND(AP$5&lt;=$F130,AP$5+GanttPeriod-1&gt;=$E130),"━","")))</f>
        <v/>
      </c>
      <c r="AQ130" s="69" t="str">
        <f aca="false">IF($E130="","",IF($M130,IF(AND($G130&gt;=AQ$5,$G130&lt;AQ$5+GanttPeriod),"◆",IF(AND($E130&gt;=AQ$5,$E130&lt;AQ$5+GanttPeriod),"◇","")),IF(AND(AQ$5&lt;=$F130,AQ$5+GanttPeriod-1&gt;=$E130),"━","")))</f>
        <v/>
      </c>
      <c r="AR130" s="69" t="str">
        <f aca="false">IF($E130="","",IF($M130,IF(AND($G130&gt;=AR$5,$G130&lt;AR$5+GanttPeriod),"◆",IF(AND($E130&gt;=AR$5,$E130&lt;AR$5+GanttPeriod),"◇","")),IF(AND(AR$5&lt;=$F130,AR$5+GanttPeriod-1&gt;=$E130),"━","")))</f>
        <v/>
      </c>
      <c r="AS130" s="69" t="str">
        <f aca="false">IF($E130="","",IF($M130,IF(AND($G130&gt;=AS$5,$G130&lt;AS$5+GanttPeriod),"◆",IF(AND($E130&gt;=AS$5,$E130&lt;AS$5+GanttPeriod),"◇","")),IF(AND(AS$5&lt;=$F130,AS$5+GanttPeriod-1&gt;=$E130),"━","")))</f>
        <v/>
      </c>
      <c r="AT130" s="69" t="str">
        <f aca="false">IF($E130="","",IF($M130,IF(AND($G130&gt;=AT$5,$G130&lt;AT$5+GanttPeriod),"◆",IF(AND($E130&gt;=AT$5,$E130&lt;AT$5+GanttPeriod),"◇","")),IF(AND(AT$5&lt;=$F130,AT$5+GanttPeriod-1&gt;=$E130),"━","")))</f>
        <v/>
      </c>
      <c r="AU130" s="69" t="str">
        <f aca="false">IF($E130="","",IF($M130,IF(AND($G130&gt;=AU$5,$G130&lt;AU$5+GanttPeriod),"◆",IF(AND($E130&gt;=AU$5,$E130&lt;AU$5+GanttPeriod),"◇","")),IF(AND(AU$5&lt;=$F130,AU$5+GanttPeriod-1&gt;=$E130),"━","")))</f>
        <v/>
      </c>
      <c r="AV130" s="69" t="str">
        <f aca="false">IF($E130="","",IF($M130,IF(AND($G130&gt;=AV$5,$G130&lt;AV$5+GanttPeriod),"◆",IF(AND($E130&gt;=AV$5,$E130&lt;AV$5+GanttPeriod),"◇","")),IF(AND(AV$5&lt;=$F130,AV$5+GanttPeriod-1&gt;=$E130),"━","")))</f>
        <v/>
      </c>
      <c r="AW130" s="69" t="str">
        <f aca="false">IF($E130="","",IF($M130,IF(AND($G130&gt;=AW$5,$G130&lt;AW$5+GanttPeriod),"◆",IF(AND($E130&gt;=AW$5,$E130&lt;AW$5+GanttPeriod),"◇","")),IF(AND(AW$5&lt;=$F130,AW$5+GanttPeriod-1&gt;=$E130),"━","")))</f>
        <v/>
      </c>
      <c r="AX130" s="69" t="str">
        <f aca="false">IF($E130="","",IF($M130,IF(AND($G130&gt;=AX$5,$G130&lt;AX$5+GanttPeriod),"◆",IF(AND($E130&gt;=AX$5,$E130&lt;AX$5+GanttPeriod),"◇","")),IF(AND(AX$5&lt;=$F130,AX$5+GanttPeriod-1&gt;=$E130),"━","")))</f>
        <v/>
      </c>
      <c r="AY130" s="69" t="str">
        <f aca="false">IF($E130="","",IF($M130,IF(AND($G130&gt;=AY$5,$G130&lt;AY$5+GanttPeriod),"◆",IF(AND($E130&gt;=AY$5,$E130&lt;AY$5+GanttPeriod),"◇","")),IF(AND(AY$5&lt;=$F130,AY$5+GanttPeriod-1&gt;=$E130),"━","")))</f>
        <v/>
      </c>
      <c r="AZ130" s="69" t="str">
        <f aca="false">IF($E130="","",IF($M130,IF(AND($G130&gt;=AZ$5,$G130&lt;AZ$5+GanttPeriod),"◆",IF(AND($E130&gt;=AZ$5,$E130&lt;AZ$5+GanttPeriod),"◇","")),IF(AND(AZ$5&lt;=$F130,AZ$5+GanttPeriod-1&gt;=$E130),"━","")))</f>
        <v/>
      </c>
      <c r="BA130" s="69" t="str">
        <f aca="false">IF($E130="","",IF($M130,IF(AND($G130&gt;=BA$5,$G130&lt;BA$5+GanttPeriod),"◆",IF(AND($E130&gt;=BA$5,$E130&lt;BA$5+GanttPeriod),"◇","")),IF(AND(BA$5&lt;=$F130,BA$5+GanttPeriod-1&gt;=$E130),"━","")))</f>
        <v/>
      </c>
      <c r="BB130" s="69" t="str">
        <f aca="false">IF($E130="","",IF($M130,IF(AND($G130&gt;=BB$5,$G130&lt;BB$5+GanttPeriod),"◆",IF(AND($E130&gt;=BB$5,$E130&lt;BB$5+GanttPeriod),"◇","")),IF(AND(BB$5&lt;=$F130,BB$5+GanttPeriod-1&gt;=$E130),"━","")))</f>
        <v/>
      </c>
      <c r="BC130" s="69" t="str">
        <f aca="false">IF($E130="","",IF($M130,IF(AND($G130&gt;=BC$5,$G130&lt;BC$5+GanttPeriod),"◆",IF(AND($E130&gt;=BC$5,$E130&lt;BC$5+GanttPeriod),"◇","")),IF(AND(BC$5&lt;=$F130,BC$5+GanttPeriod-1&gt;=$E130),"━","")))</f>
        <v/>
      </c>
      <c r="BD130" s="69" t="str">
        <f aca="false">IF($E130="","",IF($M130,IF(AND($G130&gt;=BD$5,$G130&lt;BD$5+GanttPeriod),"◆",IF(AND($E130&gt;=BD$5,$E130&lt;BD$5+GanttPeriod),"◇","")),IF(AND(BD$5&lt;=$F130,BD$5+GanttPeriod-1&gt;=$E130),"━","")))</f>
        <v/>
      </c>
      <c r="BE130" s="69" t="str">
        <f aca="false">IF($E130="","",IF($M130,IF(AND($G130&gt;=BE$5,$G130&lt;BE$5+GanttPeriod),"◆",IF(AND($E130&gt;=BE$5,$E130&lt;BE$5+GanttPeriod),"◇","")),IF(AND(BE$5&lt;=$F130,BE$5+GanttPeriod-1&gt;=$E130),"━","")))</f>
        <v/>
      </c>
      <c r="BF130" s="69" t="str">
        <f aca="false">IF($E130="","",IF($M130,IF(AND($G130&gt;=BF$5,$G130&lt;BF$5+GanttPeriod),"◆",IF(AND($E130&gt;=BF$5,$E130&lt;BF$5+GanttPeriod),"◇","")),IF(AND(BF$5&lt;=$F130,BF$5+GanttPeriod-1&gt;=$E130),"━","")))</f>
        <v/>
      </c>
      <c r="BG130" s="69" t="str">
        <f aca="false">IF($E130="","",IF($M130,IF(AND($G130&gt;=BG$5,$G130&lt;BG$5+GanttPeriod),"◆",IF(AND($E130&gt;=BG$5,$E130&lt;BG$5+GanttPeriod),"◇","")),IF(AND(BG$5&lt;=$F130,BG$5+GanttPeriod-1&gt;=$E130),"━","")))</f>
        <v/>
      </c>
      <c r="BH130" s="69" t="str">
        <f aca="false">IF($E130="","",IF($M130,IF(AND($G130&gt;=BH$5,$G130&lt;BH$5+GanttPeriod),"◆",IF(AND($E130&gt;=BH$5,$E130&lt;BH$5+GanttPeriod),"◇","")),IF(AND(BH$5&lt;=$F130,BH$5+GanttPeriod-1&gt;=$E130),"━","")))</f>
        <v/>
      </c>
      <c r="BI130" s="69" t="str">
        <f aca="false">IF($E130="","",IF($M130,IF(AND($G130&gt;=BI$5,$G130&lt;BI$5+GanttPeriod),"◆",IF(AND($E130&gt;=BI$5,$E130&lt;BI$5+GanttPeriod),"◇","")),IF(AND(BI$5&lt;=$F130,BI$5+GanttPeriod-1&gt;=$E130),"━","")))</f>
        <v/>
      </c>
      <c r="BJ130" s="69" t="str">
        <f aca="false">IF($E130="","",IF($M130,IF(AND($G130&gt;=BJ$5,$G130&lt;BJ$5+GanttPeriod),"◆",IF(AND($E130&gt;=BJ$5,$E130&lt;BJ$5+GanttPeriod),"◇","")),IF(AND(BJ$5&lt;=$F130,BJ$5+GanttPeriod-1&gt;=$E130),"━","")))</f>
        <v/>
      </c>
      <c r="BK130" s="69" t="str">
        <f aca="false">IF($E130="","",IF($M130,IF(AND($G130&gt;=BK$5,$G130&lt;BK$5+GanttPeriod),"◆",IF(AND($E130&gt;=BK$5,$E130&lt;BK$5+GanttPeriod),"◇","")),IF(AND(BK$5&lt;=$F130,BK$5+GanttPeriod-1&gt;=$E130),"━","")))</f>
        <v/>
      </c>
      <c r="BL130" s="69" t="str">
        <f aca="false">IF($E130="","",IF($M130,IF(AND($G130&gt;=BL$5,$G130&lt;BL$5+GanttPeriod),"◆",IF(AND($E130&gt;=BL$5,$E130&lt;BL$5+GanttPeriod),"◇","")),IF(AND(BL$5&lt;=$F130,BL$5+GanttPeriod-1&gt;=$E130),"━","")))</f>
        <v/>
      </c>
      <c r="BM130" s="69" t="str">
        <f aca="false">IF($E130="","",IF($M130,IF(AND($G130&gt;=BM$5,$G130&lt;BM$5+GanttPeriod),"◆",IF(AND($E130&gt;=BM$5,$E130&lt;BM$5+GanttPeriod),"◇","")),IF(AND(BM$5&lt;=$F130,BM$5+GanttPeriod-1&gt;=$E130),"━","")))</f>
        <v/>
      </c>
      <c r="BN130" s="69" t="str">
        <f aca="false">IF($E130="","",IF($M130,IF(AND($G130&gt;=BN$5,$G130&lt;BN$5+GanttPeriod),"◆",IF(AND($E130&gt;=BN$5,$E130&lt;BN$5+GanttPeriod),"◇","")),IF(AND(BN$5&lt;=$F130,BN$5+GanttPeriod-1&gt;=$E130),"━","")))</f>
        <v/>
      </c>
      <c r="BO130" s="69" t="str">
        <f aca="false">IF($E130="","",IF($M130,IF(AND($G130&gt;=BO$5,$G130&lt;BO$5+GanttPeriod),"◆",IF(AND($E130&gt;=BO$5,$E130&lt;BO$5+GanttPeriod),"◇","")),IF(AND(BO$5&lt;=$F130,BO$5+GanttPeriod-1&gt;=$E130),"━","")))</f>
        <v/>
      </c>
      <c r="BP130" s="69" t="str">
        <f aca="false">IF($E130="","",IF($M130,IF(AND($G130&gt;=BP$5,$G130&lt;BP$5+GanttPeriod),"◆",IF(AND($E130&gt;=BP$5,$E130&lt;BP$5+GanttPeriod),"◇","")),IF(AND(BP$5&lt;=$F130,BP$5+GanttPeriod-1&gt;=$E130),"━","")))</f>
        <v/>
      </c>
      <c r="BQ130" s="69" t="str">
        <f aca="false">IF($E130="","",IF($M130,IF(AND($G130&gt;=BQ$5,$G130&lt;BQ$5+GanttPeriod),"◆",IF(AND($E130&gt;=BQ$5,$E130&lt;BQ$5+GanttPeriod),"◇","")),IF(AND(BQ$5&lt;=$F130,BQ$5+GanttPeriod-1&gt;=$E130),"━","")))</f>
        <v/>
      </c>
      <c r="BR130" s="69" t="str">
        <f aca="false">IF($E130="","",IF($M130,IF(AND($G130&gt;=BR$5,$G130&lt;BR$5+GanttPeriod),"◆",IF(AND($E130&gt;=BR$5,$E130&lt;BR$5+GanttPeriod),"◇","")),IF(AND(BR$5&lt;=$F130,BR$5+GanttPeriod-1&gt;=$E130),"━","")))</f>
        <v/>
      </c>
      <c r="BS130" s="69" t="str">
        <f aca="false">IF($E130="","",IF($M130,IF(AND($G130&gt;=BS$5,$G130&lt;BS$5+GanttPeriod),"◆",IF(AND($E130&gt;=BS$5,$E130&lt;BS$5+GanttPeriod),"◇","")),IF(AND(BS$5&lt;=$F130,BS$5+GanttPeriod-1&gt;=$E130),"━","")))</f>
        <v/>
      </c>
      <c r="BT130" s="69" t="str">
        <f aca="false">IF($E130="","",IF($M130,IF(AND($G130&gt;=BT$5,$G130&lt;BT$5+GanttPeriod),"◆",IF(AND($E130&gt;=BT$5,$E130&lt;BT$5+GanttPeriod),"◇","")),IF(AND(BT$5&lt;=$F130,BT$5+GanttPeriod-1&gt;=$E130),"━","")))</f>
        <v/>
      </c>
      <c r="BU130" s="69" t="str">
        <f aca="false">IF($E130="","",IF($M130,IF(AND($G130&gt;=BU$5,$G130&lt;BU$5+GanttPeriod),"◆",IF(AND($E130&gt;=BU$5,$E130&lt;BU$5+GanttPeriod),"◇","")),IF(AND(BU$5&lt;=$F130,BU$5+GanttPeriod-1&gt;=$E130),"━","")))</f>
        <v/>
      </c>
      <c r="BV130" s="69" t="str">
        <f aca="false">IF($E130="","",IF($M130,IF(AND($G130&gt;=BV$5,$G130&lt;BV$5+GanttPeriod),"◆",IF(AND($E130&gt;=BV$5,$E130&lt;BV$5+GanttPeriod),"◇","")),IF(AND(BV$5&lt;=$F130,BV$5+GanttPeriod-1&gt;=$E130),"━","")))</f>
        <v/>
      </c>
      <c r="BW130" s="69" t="str">
        <f aca="false">IF($E130="","",IF($M130,IF(AND($G130&gt;=BW$5,$G130&lt;BW$5+GanttPeriod),"◆",IF(AND($E130&gt;=BW$5,$E130&lt;BW$5+GanttPeriod),"◇","")),IF(AND(BW$5&lt;=$F130,BW$5+GanttPeriod-1&gt;=$E130),"━","")))</f>
        <v/>
      </c>
      <c r="BX130" s="69" t="str">
        <f aca="false">IF($E130="","",IF($M130,IF(AND($G130&gt;=BX$5,$G130&lt;BX$5+GanttPeriod),"◆",IF(AND($E130&gt;=BX$5,$E130&lt;BX$5+GanttPeriod),"◇","")),IF(AND(BX$5&lt;=$F130,BX$5+GanttPeriod-1&gt;=$E130),"━","")))</f>
        <v/>
      </c>
      <c r="BY130" s="69" t="str">
        <f aca="false">IF($E130="","",IF($M130,IF(AND($G130&gt;=BY$5,$G130&lt;BY$5+GanttPeriod),"◆",IF(AND($E130&gt;=BY$5,$E130&lt;BY$5+GanttPeriod),"◇","")),IF(AND(BY$5&lt;=$F130,BY$5+GanttPeriod-1&gt;=$E130),"━","")))</f>
        <v/>
      </c>
      <c r="BZ130" s="69" t="str">
        <f aca="false">IF($E130="","",IF($M130,IF(AND($G130&gt;=BZ$5,$G130&lt;BZ$5+GanttPeriod),"◆",IF(AND($E130&gt;=BZ$5,$E130&lt;BZ$5+GanttPeriod),"◇","")),IF(AND(BZ$5&lt;=$F130,BZ$5+GanttPeriod-1&gt;=$E130),"━","")))</f>
        <v/>
      </c>
      <c r="CA130" s="69" t="str">
        <f aca="false">IF($E130="","",IF($M130,IF(AND($G130&gt;=CA$5,$G130&lt;CA$5+GanttPeriod),"◆",IF(AND($E130&gt;=CA$5,$E130&lt;CA$5+GanttPeriod),"◇","")),IF(AND(CA$5&lt;=$F130,CA$5+GanttPeriod-1&gt;=$E130),"━","")))</f>
        <v/>
      </c>
      <c r="CB130" s="69" t="str">
        <f aca="false">IF($E130="","",IF($M130,IF(AND($G130&gt;=CB$5,$G130&lt;CB$5+GanttPeriod),"◆",IF(AND($E130&gt;=CB$5,$E130&lt;CB$5+GanttPeriod),"◇","")),IF(AND(CB$5&lt;=$F130,CB$5+GanttPeriod-1&gt;=$E130),"━","")))</f>
        <v/>
      </c>
      <c r="CC130" s="69" t="str">
        <f aca="false">IF($E130="","",IF($M130,IF(AND($G130&gt;=CC$5,$G130&lt;CC$5+GanttPeriod),"◆",IF(AND($E130&gt;=CC$5,$E130&lt;CC$5+GanttPeriod),"◇","")),IF(AND(CC$5&lt;=$F130,CC$5+GanttPeriod-1&gt;=$E130),"━","")))</f>
        <v/>
      </c>
      <c r="CD130" s="69" t="str">
        <f aca="false">IF($E130="","",IF($M130,IF(AND($G130&gt;=CD$5,$G130&lt;CD$5+GanttPeriod),"◆",IF(AND($E130&gt;=CD$5,$E130&lt;CD$5+GanttPeriod),"◇","")),IF(AND(CD$5&lt;=$F130,CD$5+GanttPeriod-1&gt;=$E130),"━","")))</f>
        <v/>
      </c>
      <c r="CE130" s="69" t="str">
        <f aca="false">IF($E130="","",IF($M130,IF(AND($G130&gt;=CE$5,$G130&lt;CE$5+GanttPeriod),"◆",IF(AND($E130&gt;=CE$5,$E130&lt;CE$5+GanttPeriod),"◇","")),IF(AND(CE$5&lt;=$F130,CE$5+GanttPeriod-1&gt;=$E130),"━","")))</f>
        <v/>
      </c>
      <c r="CF130" s="69" t="str">
        <f aca="false">IF($E130="","",IF($M130,IF(AND($G130&gt;=CF$5,$G130&lt;CF$5+GanttPeriod),"◆",IF(AND($E130&gt;=CF$5,$E130&lt;CF$5+GanttPeriod),"◇","")),IF(AND(CF$5&lt;=$F130,CF$5+GanttPeriod-1&gt;=$E130),"━","")))</f>
        <v/>
      </c>
      <c r="CG130" s="69" t="str">
        <f aca="false">IF($E130="","",IF($M130,IF(AND($G130&gt;=CG$5,$G130&lt;CG$5+GanttPeriod),"◆",IF(AND($E130&gt;=CG$5,$E130&lt;CG$5+GanttPeriod),"◇","")),IF(AND(CG$5&lt;=$F130,CG$5+GanttPeriod-1&gt;=$E130),"━","")))</f>
        <v/>
      </c>
      <c r="CH130" s="69" t="str">
        <f aca="false">IF($E130="","",IF($M130,IF(AND($G130&gt;=CH$5,$G130&lt;CH$5+GanttPeriod),"◆",IF(AND($E130&gt;=CH$5,$E130&lt;CH$5+GanttPeriod),"◇","")),IF(AND(CH$5&lt;=$F130,CH$5+GanttPeriod-1&gt;=$E130),"━","")))</f>
        <v/>
      </c>
      <c r="CI130" s="69" t="str">
        <f aca="false">IF($E130="","",IF($M130,IF(AND($G130&gt;=CI$5,$G130&lt;CI$5+GanttPeriod),"◆",IF(AND($E130&gt;=CI$5,$E130&lt;CI$5+GanttPeriod),"◇","")),IF(AND(CI$5&lt;=$F130,CI$5+GanttPeriod-1&gt;=$E130),"━","")))</f>
        <v/>
      </c>
      <c r="CJ130" s="69" t="str">
        <f aca="false">IF($E130="","",IF($M130,IF(AND($G130&gt;=CJ$5,$G130&lt;CJ$5+GanttPeriod),"◆",IF(AND($E130&gt;=CJ$5,$E130&lt;CJ$5+GanttPeriod),"◇","")),IF(AND(CJ$5&lt;=$F130,CJ$5+GanttPeriod-1&gt;=$E130),"━","")))</f>
        <v/>
      </c>
      <c r="CK130" s="69" t="str">
        <f aca="false">IF($E130="","",IF($M130,IF(AND($G130&gt;=CK$5,$G130&lt;CK$5+GanttPeriod),"◆",IF(AND($E130&gt;=CK$5,$E130&lt;CK$5+GanttPeriod),"◇","")),IF(AND(CK$5&lt;=$F130,CK$5+GanttPeriod-1&gt;=$E130),"━","")))</f>
        <v/>
      </c>
      <c r="CL130" s="69" t="str">
        <f aca="false">IF($E130="","",IF($M130,IF(AND($G130&gt;=CL$5,$G130&lt;CL$5+GanttPeriod),"◆",IF(AND($E130&gt;=CL$5,$E130&lt;CL$5+GanttPeriod),"◇","")),IF(AND(CL$5&lt;=$F130,CL$5+GanttPeriod-1&gt;=$E130),"━","")))</f>
        <v/>
      </c>
      <c r="CM130" s="69" t="str">
        <f aca="false">IF($E130="","",IF($M130,IF(AND($G130&gt;=CM$5,$G130&lt;CM$5+GanttPeriod),"◆",IF(AND($E130&gt;=CM$5,$E130&lt;CM$5+GanttPeriod),"◇","")),IF(AND(CM$5&lt;=$F130,CM$5+GanttPeriod-1&gt;=$E130),"━","")))</f>
        <v/>
      </c>
      <c r="CN130" s="69" t="str">
        <f aca="false">IF($E130="","",IF($M130,IF(AND($G130&gt;=CN$5,$G130&lt;CN$5+GanttPeriod),"◆",IF(AND($E130&gt;=CN$5,$E130&lt;CN$5+GanttPeriod),"◇","")),IF(AND(CN$5&lt;=$F130,CN$5+GanttPeriod-1&gt;=$E130),"━","")))</f>
        <v/>
      </c>
      <c r="CO130" s="69" t="str">
        <f aca="false">IF($E130="","",IF($M130,IF(AND($G130&gt;=CO$5,$G130&lt;CO$5+GanttPeriod),"◆",IF(AND($E130&gt;=CO$5,$E130&lt;CO$5+GanttPeriod),"◇","")),IF(AND(CO$5&lt;=$F130,CO$5+GanttPeriod-1&gt;=$E130),"━","")))</f>
        <v/>
      </c>
      <c r="CP130" s="69" t="str">
        <f aca="false">IF($E130="","",IF($M130,IF(AND($G130&gt;=CP$5,$G130&lt;CP$5+GanttPeriod),"◆",IF(AND($E130&gt;=CP$5,$E130&lt;CP$5+GanttPeriod),"◇","")),IF(AND(CP$5&lt;=$F130,CP$5+GanttPeriod-1&gt;=$E130),"━","")))</f>
        <v/>
      </c>
      <c r="CQ130" s="69" t="str">
        <f aca="false">IF($E130="","",IF($M130,IF(AND($G130&gt;=CQ$5,$G130&lt;CQ$5+GanttPeriod),"◆",IF(AND($E130&gt;=CQ$5,$E130&lt;CQ$5+GanttPeriod),"◇","")),IF(AND(CQ$5&lt;=$F130,CQ$5+GanttPeriod-1&gt;=$E130),"━","")))</f>
        <v/>
      </c>
      <c r="CR130" s="69" t="str">
        <f aca="false">IF($E130="","",IF($M130,IF(AND($G130&gt;=CR$5,$G130&lt;CR$5+GanttPeriod),"◆",IF(AND($E130&gt;=CR$5,$E130&lt;CR$5+GanttPeriod),"◇","")),IF(AND(CR$5&lt;=$F130,CR$5+GanttPeriod-1&gt;=$E130),"━","")))</f>
        <v/>
      </c>
      <c r="CS130" s="69" t="str">
        <f aca="false">IF($E130="","",IF($M130,IF(AND($G130&gt;=CS$5,$G130&lt;CS$5+GanttPeriod),"◆",IF(AND($E130&gt;=CS$5,$E130&lt;CS$5+GanttPeriod),"◇","")),IF(AND(CS$5&lt;=$F130,CS$5+GanttPeriod-1&gt;=$E130),"━","")))</f>
        <v/>
      </c>
      <c r="CT130" s="69" t="str">
        <f aca="false">IF($E130="","",IF($M130,IF(AND($G130&gt;=CT$5,$G130&lt;CT$5+GanttPeriod),"◆",IF(AND($E130&gt;=CT$5,$E130&lt;CT$5+GanttPeriod),"◇","")),IF(AND(CT$5&lt;=$F130,CT$5+GanttPeriod-1&gt;=$E130),"━","")))</f>
        <v/>
      </c>
      <c r="CU130" s="69" t="str">
        <f aca="false">IF($E130="","",IF($M130,IF(AND($G130&gt;=CU$5,$G130&lt;CU$5+GanttPeriod),"◆",IF(AND($E130&gt;=CU$5,$E130&lt;CU$5+GanttPeriod),"◇","")),IF(AND(CU$5&lt;=$F130,CU$5+GanttPeriod-1&gt;=$E130),"━","")))</f>
        <v/>
      </c>
      <c r="CV130" s="69" t="str">
        <f aca="false">IF($E130="","",IF($M130,IF(AND($G130&gt;=CV$5,$G130&lt;CV$5+GanttPeriod),"◆",IF(AND($E130&gt;=CV$5,$E130&lt;CV$5+GanttPeriod),"◇","")),IF(AND(CV$5&lt;=$F130,CV$5+GanttPeriod-1&gt;=$E130),"━","")))</f>
        <v/>
      </c>
      <c r="CW130" s="69" t="str">
        <f aca="false">IF($E130="","",IF($M130,IF(AND($G130&gt;=CW$5,$G130&lt;CW$5+GanttPeriod),"◆",IF(AND($E130&gt;=CW$5,$E130&lt;CW$5+GanttPeriod),"◇","")),IF(AND(CW$5&lt;=$F130,CW$5+GanttPeriod-1&gt;=$E130),"━","")))</f>
        <v/>
      </c>
      <c r="CX130" s="69" t="str">
        <f aca="false">IF($E130="","",IF($M130,IF(AND($G130&gt;=CX$5,$G130&lt;CX$5+GanttPeriod),"◆",IF(AND($E130&gt;=CX$5,$E130&lt;CX$5+GanttPeriod),"◇","")),IF(AND(CX$5&lt;=$F130,CX$5+GanttPeriod-1&gt;=$E130),"━","")))</f>
        <v/>
      </c>
      <c r="CY130" s="69" t="str">
        <f aca="false">IF($E130="","",IF($M130,IF(AND($G130&gt;=CY$5,$G130&lt;CY$5+GanttPeriod),"◆",IF(AND($E130&gt;=CY$5,$E130&lt;CY$5+GanttPeriod),"◇","")),IF(AND(CY$5&lt;=$F130,CY$5+GanttPeriod-1&gt;=$E130),"━","")))</f>
        <v/>
      </c>
      <c r="CZ130" s="69" t="str">
        <f aca="false">IF($E130="","",IF($M130,IF(AND($G130&gt;=CZ$5,$G130&lt;CZ$5+GanttPeriod),"◆",IF(AND($E130&gt;=CZ$5,$E130&lt;CZ$5+GanttPeriod),"◇","")),IF(AND(CZ$5&lt;=$F130,CZ$5+GanttPeriod-1&gt;=$E130),"━","")))</f>
        <v/>
      </c>
      <c r="DA130" s="69" t="str">
        <f aca="false">IF($E130="","",IF($M130,IF(AND($G130&gt;=DA$5,$G130&lt;DA$5+GanttPeriod),"◆",IF(AND($E130&gt;=DA$5,$E130&lt;DA$5+GanttPeriod),"◇","")),IF(AND(DA$5&lt;=$F130,DA$5+GanttPeriod-1&gt;=$E130),"━","")))</f>
        <v/>
      </c>
      <c r="DB130" s="69" t="str">
        <f aca="false">IF($E130="","",IF($M130,IF(AND($G130&gt;=DB$5,$G130&lt;DB$5+GanttPeriod),"◆",IF(AND($E130&gt;=DB$5,$E130&lt;DB$5+GanttPeriod),"◇","")),IF(AND(DB$5&lt;=$F130,DB$5+GanttPeriod-1&gt;=$E130),"━","")))</f>
        <v/>
      </c>
      <c r="DC130" s="69" t="str">
        <f aca="false">IF($E130="","",IF($M130,IF(AND($G130&gt;=DC$5,$G130&lt;DC$5+GanttPeriod),"◆",IF(AND($E130&gt;=DC$5,$E130&lt;DC$5+GanttPeriod),"◇","")),IF(AND(DC$5&lt;=$F130,DC$5+GanttPeriod-1&gt;=$E130),"━","")))</f>
        <v/>
      </c>
      <c r="DD130" s="69" t="str">
        <f aca="false">IF($E130="","",IF($M130,IF(AND($G130&gt;=DD$5,$G130&lt;DD$5+GanttPeriod),"◆",IF(AND($E130&gt;=DD$5,$E130&lt;DD$5+GanttPeriod),"◇","")),IF(AND(DD$5&lt;=$F130,DD$5+GanttPeriod-1&gt;=$E130),"━","")))</f>
        <v/>
      </c>
      <c r="DE130" s="69" t="str">
        <f aca="false">IF($E130="","",IF($M130,IF(AND($G130&gt;=DE$5,$G130&lt;DE$5+GanttPeriod),"◆",IF(AND($E130&gt;=DE$5,$E130&lt;DE$5+GanttPeriod),"◇","")),IF(AND(DE$5&lt;=$F130,DE$5+GanttPeriod-1&gt;=$E130),"━","")))</f>
        <v/>
      </c>
      <c r="DF130" s="69" t="str">
        <f aca="false">IF($E130="","",IF($M130,IF(AND($G130&gt;=DF$5,$G130&lt;DF$5+GanttPeriod),"◆",IF(AND($E130&gt;=DF$5,$E130&lt;DF$5+GanttPeriod),"◇","")),IF(AND(DF$5&lt;=$F130,DF$5+GanttPeriod-1&gt;=$E130),"━","")))</f>
        <v/>
      </c>
      <c r="DG130" s="69" t="str">
        <f aca="false">IF($E130="","",IF($M130,IF(AND($G130&gt;=DG$5,$G130&lt;DG$5+GanttPeriod),"◆",IF(AND($E130&gt;=DG$5,$E130&lt;DG$5+GanttPeriod),"◇","")),IF(AND(DG$5&lt;=$F130,DG$5+GanttPeriod-1&gt;=$E130),"━","")))</f>
        <v/>
      </c>
      <c r="DH130" s="69" t="str">
        <f aca="false">IF($E130="","",IF($M130,IF(AND($G130&gt;=DH$5,$G130&lt;DH$5+GanttPeriod),"◆",IF(AND($E130&gt;=DH$5,$E130&lt;DH$5+GanttPeriod),"◇","")),IF(AND(DH$5&lt;=$F130,DH$5+GanttPeriod-1&gt;=$E130),"━","")))</f>
        <v/>
      </c>
      <c r="DI130" s="69" t="str">
        <f aca="false">IF($E130="","",IF($M130,IF(AND($G130&gt;=DI$5,$G130&lt;DI$5+GanttPeriod),"◆",IF(AND($E130&gt;=DI$5,$E130&lt;DI$5+GanttPeriod),"◇","")),IF(AND(DI$5&lt;=$F130,DI$5+GanttPeriod-1&gt;=$E130),"━","")))</f>
        <v/>
      </c>
      <c r="DJ130" s="69" t="str">
        <f aca="false">IF($E130="","",IF($M130,IF(AND($G130&gt;=DJ$5,$G130&lt;DJ$5+GanttPeriod),"◆",IF(AND($E130&gt;=DJ$5,$E130&lt;DJ$5+GanttPeriod),"◇","")),IF(AND(DJ$5&lt;=$F130,DJ$5+GanttPeriod-1&gt;=$E130),"━","")))</f>
        <v/>
      </c>
      <c r="DK130" s="69" t="str">
        <f aca="false">IF($E130="","",IF($M130,IF(AND($G130&gt;=DK$5,$G130&lt;DK$5+GanttPeriod),"◆",IF(AND($E130&gt;=DK$5,$E130&lt;DK$5+GanttPeriod),"◇","")),IF(AND(DK$5&lt;=$F130,DK$5+GanttPeriod-1&gt;=$E130),"━","")))</f>
        <v/>
      </c>
      <c r="DL130" s="69" t="str">
        <f aca="false">IF($E130="","",IF($M130,IF(AND($G130&gt;=DL$5,$G130&lt;DL$5+GanttPeriod),"◆",IF(AND($E130&gt;=DL$5,$E130&lt;DL$5+GanttPeriod),"◇","")),IF(AND(DL$5&lt;=$F130,DL$5+GanttPeriod-1&gt;=$E130),"━","")))</f>
        <v/>
      </c>
      <c r="DM130" s="69" t="str">
        <f aca="false">IF($E130="","",IF($M130,IF(AND($G130&gt;=DM$5,$G130&lt;DM$5+GanttPeriod),"◆",IF(AND($E130&gt;=DM$5,$E130&lt;DM$5+GanttPeriod),"◇","")),IF(AND(DM$5&lt;=$F130,DM$5+GanttPeriod-1&gt;=$E130),"━","")))</f>
        <v/>
      </c>
      <c r="DN130" s="69" t="str">
        <f aca="false">IF($E130="","",IF($M130,IF(AND($G130&gt;=DN$5,$G130&lt;DN$5+GanttPeriod),"◆",IF(AND($E130&gt;=DN$5,$E130&lt;DN$5+GanttPeriod),"◇","")),IF(AND(DN$5&lt;=$F130,DN$5+GanttPeriod-1&gt;=$E130),"━","")))</f>
        <v/>
      </c>
      <c r="DO130" s="69" t="str">
        <f aca="false">IF($E130="","",IF($M130,IF(AND($G130&gt;=DO$5,$G130&lt;DO$5+GanttPeriod),"◆",IF(AND($E130&gt;=DO$5,$E130&lt;DO$5+GanttPeriod),"◇","")),IF(AND(DO$5&lt;=$F130,DO$5+GanttPeriod-1&gt;=$E130),"━","")))</f>
        <v/>
      </c>
      <c r="DP130" s="69" t="str">
        <f aca="false">IF($E130="","",IF($M130,IF(AND($G130&gt;=DP$5,$G130&lt;DP$5+GanttPeriod),"◆",IF(AND($E130&gt;=DP$5,$E130&lt;DP$5+GanttPeriod),"◇","")),IF(AND(DP$5&lt;=$F130,DP$5+GanttPeriod-1&gt;=$E130),"━","")))</f>
        <v/>
      </c>
      <c r="DQ130" s="69" t="str">
        <f aca="false">IF($E130="","",IF($M130,IF(AND($G130&gt;=DQ$5,$G130&lt;DQ$5+GanttPeriod),"◆",IF(AND($E130&gt;=DQ$5,$E130&lt;DQ$5+GanttPeriod),"◇","")),IF(AND(DQ$5&lt;=$F130,DQ$5+GanttPeriod-1&gt;=$E130),"━","")))</f>
        <v/>
      </c>
      <c r="DR130" s="69" t="str">
        <f aca="false">IF($E130="","",IF($M130,IF(AND($G130&gt;=DR$5,$G130&lt;DR$5+GanttPeriod),"◆",IF(AND($E130&gt;=DR$5,$E130&lt;DR$5+GanttPeriod),"◇","")),IF(AND(DR$5&lt;=$F130,DR$5+GanttPeriod-1&gt;=$E130),"━","")))</f>
        <v/>
      </c>
      <c r="DS130" s="69" t="str">
        <f aca="false">IF($E130="","",IF($M130,IF(AND($G130&gt;=DS$5,$G130&lt;DS$5+GanttPeriod),"◆",IF(AND($E130&gt;=DS$5,$E130&lt;DS$5+GanttPeriod),"◇","")),IF(AND(DS$5&lt;=$F130,DS$5+GanttPeriod-1&gt;=$E130),"━","")))</f>
        <v/>
      </c>
      <c r="DT130" s="69" t="str">
        <f aca="false">IF($E130="","",IF($M130,IF(AND($G130&gt;=DT$5,$G130&lt;DT$5+GanttPeriod),"◆",IF(AND($E130&gt;=DT$5,$E130&lt;DT$5+GanttPeriod),"◇","")),IF(AND(DT$5&lt;=$F130,DT$5+GanttPeriod-1&gt;=$E130),"━","")))</f>
        <v/>
      </c>
      <c r="DU130" s="69" t="str">
        <f aca="false">IF($E130="","",IF($M130,IF(AND($G130&gt;=DU$5,$G130&lt;DU$5+GanttPeriod),"◆",IF(AND($E130&gt;=DU$5,$E130&lt;DU$5+GanttPeriod),"◇","")),IF(AND(DU$5&lt;=$F130,DU$5+GanttPeriod-1&gt;=$E130),"━","")))</f>
        <v/>
      </c>
      <c r="DV130" s="69" t="str">
        <f aca="false">IF($E130="","",IF($M130,IF(AND($G130&gt;=DV$5,$G130&lt;DV$5+GanttPeriod),"◆",IF(AND($E130&gt;=DV$5,$E130&lt;DV$5+GanttPeriod),"◇","")),IF(AND(DV$5&lt;=$F130,DV$5+GanttPeriod-1&gt;=$E130),"━","")))</f>
        <v/>
      </c>
      <c r="DW130" s="69" t="str">
        <f aca="false">IF($E130="","",IF($M130,IF(AND($G130&gt;=DW$5,$G130&lt;DW$5+GanttPeriod),"◆",IF(AND($E130&gt;=DW$5,$E130&lt;DW$5+GanttPeriod),"◇","")),IF(AND(DW$5&lt;=$F130,DW$5+GanttPeriod-1&gt;=$E130),"━","")))</f>
        <v/>
      </c>
      <c r="DX130" s="69" t="str">
        <f aca="false">IF($E130="","",IF($M130,IF(AND($G130&gt;=DX$5,$G130&lt;DX$5+GanttPeriod),"◆",IF(AND($E130&gt;=DX$5,$E130&lt;DX$5+GanttPeriod),"◇","")),IF(AND(DX$5&lt;=$F130,DX$5+GanttPeriod-1&gt;=$E130),"━","")))</f>
        <v/>
      </c>
      <c r="DY130" s="69" t="str">
        <f aca="false">IF($E130="","",IF($M130,IF(AND($G130&gt;=DY$5,$G130&lt;DY$5+GanttPeriod),"◆",IF(AND($E130&gt;=DY$5,$E130&lt;DY$5+GanttPeriod),"◇","")),IF(AND(DY$5&lt;=$F130,DY$5+GanttPeriod-1&gt;=$E130),"━","")))</f>
        <v/>
      </c>
      <c r="DZ130" s="69" t="str">
        <f aca="false">IF($E130="","",IF($M130,IF(AND($G130&gt;=DZ$5,$G130&lt;DZ$5+GanttPeriod),"◆",IF(AND($E130&gt;=DZ$5,$E130&lt;DZ$5+GanttPeriod),"◇","")),IF(AND(DZ$5&lt;=$F130,DZ$5+GanttPeriod-1&gt;=$E130),"━","")))</f>
        <v/>
      </c>
      <c r="EA130" s="69" t="str">
        <f aca="false">IF($E130="","",IF($M130,IF(AND($G130&gt;=EA$5,$G130&lt;EA$5+GanttPeriod),"◆",IF(AND($E130&gt;=EA$5,$E130&lt;EA$5+GanttPeriod),"◇","")),IF(AND(EA$5&lt;=$F130,EA$5+GanttPeriod-1&gt;=$E130),"━","")))</f>
        <v/>
      </c>
      <c r="EB130" s="69" t="str">
        <f aca="false">IF($E130="","",IF($M130,IF(AND($G130&gt;=EB$5,$G130&lt;EB$5+GanttPeriod),"◆",IF(AND($E130&gt;=EB$5,$E130&lt;EB$5+GanttPeriod),"◇","")),IF(AND(EB$5&lt;=$F130,EB$5+GanttPeriod-1&gt;=$E130),"━","")))</f>
        <v/>
      </c>
      <c r="EC130" s="69" t="str">
        <f aca="false">IF($E130="","",IF($M130,IF(AND($G130&gt;=EC$5,$G130&lt;EC$5+GanttPeriod),"◆",IF(AND($E130&gt;=EC$5,$E130&lt;EC$5+GanttPeriod),"◇","")),IF(AND(EC$5&lt;=$F130,EC$5+GanttPeriod-1&gt;=$E130),"━","")))</f>
        <v/>
      </c>
      <c r="ED130" s="69" t="str">
        <f aca="false">IF($E130="","",IF($M130,IF(AND($G130&gt;=ED$5,$G130&lt;ED$5+GanttPeriod),"◆",IF(AND($E130&gt;=ED$5,$E130&lt;ED$5+GanttPeriod),"◇","")),IF(AND(ED$5&lt;=$F130,ED$5+GanttPeriod-1&gt;=$E130),"━","")))</f>
        <v/>
      </c>
      <c r="EE130" s="69" t="str">
        <f aca="false">IF($E130="","",IF($M130,IF(AND($G130&gt;=EE$5,$G130&lt;EE$5+GanttPeriod),"◆",IF(AND($E130&gt;=EE$5,$E130&lt;EE$5+GanttPeriod),"◇","")),IF(AND(EE$5&lt;=$F130,EE$5+GanttPeriod-1&gt;=$E130),"━","")))</f>
        <v/>
      </c>
      <c r="EF130" s="69" t="str">
        <f aca="false">IF($E130="","",IF($M130,IF(AND($G130&gt;=EF$5,$G130&lt;EF$5+GanttPeriod),"◆",IF(AND($E130&gt;=EF$5,$E130&lt;EF$5+GanttPeriod),"◇","")),IF(AND(EF$5&lt;=$F130,EF$5+GanttPeriod-1&gt;=$E130),"━","")))</f>
        <v/>
      </c>
      <c r="EG130" s="69" t="str">
        <f aca="false">IF($E130="","",IF($M130,IF(AND($G130&gt;=EG$5,$G130&lt;EG$5+GanttPeriod),"◆",IF(AND($E130&gt;=EG$5,$E130&lt;EG$5+GanttPeriod),"◇","")),IF(AND(EG$5&lt;=$F130,EG$5+GanttPeriod-1&gt;=$E130),"━","")))</f>
        <v/>
      </c>
      <c r="EH130" s="69" t="str">
        <f aca="false">IF($E130="","",IF($M130,IF(AND($G130&gt;=EH$5,$G130&lt;EH$5+GanttPeriod),"◆",IF(AND($E130&gt;=EH$5,$E130&lt;EH$5+GanttPeriod),"◇","")),IF(AND(EH$5&lt;=$F130,EH$5+GanttPeriod-1&gt;=$E130),"━","")))</f>
        <v/>
      </c>
      <c r="EI130" s="69" t="str">
        <f aca="false">IF($E130="","",IF($M130,IF(AND($G130&gt;=EI$5,$G130&lt;EI$5+GanttPeriod),"◆",IF(AND($E130&gt;=EI$5,$E130&lt;EI$5+GanttPeriod),"◇","")),IF(AND(EI$5&lt;=$F130,EI$5+GanttPeriod-1&gt;=$E130),"━","")))</f>
        <v/>
      </c>
      <c r="EJ130" s="69" t="str">
        <f aca="false">IF($E130="","",IF($M130,IF(AND($G130&gt;=EJ$5,$G130&lt;EJ$5+GanttPeriod),"◆",IF(AND($E130&gt;=EJ$5,$E130&lt;EJ$5+GanttPeriod),"◇","")),IF(AND(EJ$5&lt;=$F130,EJ$5+GanttPeriod-1&gt;=$E130),"━","")))</f>
        <v/>
      </c>
      <c r="EK130" s="69" t="str">
        <f aca="false">IF($E130="","",IF($M130,IF(AND($G130&gt;=EK$5,$G130&lt;EK$5+GanttPeriod),"◆",IF(AND($E130&gt;=EK$5,$E130&lt;EK$5+GanttPeriod),"◇","")),IF(AND(EK$5&lt;=$F130,EK$5+GanttPeriod-1&gt;=$E130),"━","")))</f>
        <v/>
      </c>
      <c r="EL130" s="69" t="str">
        <f aca="false">IF($E130="","",IF($M130,IF(AND($G130&gt;=EL$5,$G130&lt;EL$5+GanttPeriod),"◆",IF(AND($E130&gt;=EL$5,$E130&lt;EL$5+GanttPeriod),"◇","")),IF(AND(EL$5&lt;=$F130,EL$5+GanttPeriod-1&gt;=$E130),"━","")))</f>
        <v/>
      </c>
      <c r="EM130" s="69" t="str">
        <f aca="false">IF($E130="","",IF($M130,IF(AND($G130&gt;=EM$5,$G130&lt;EM$5+GanttPeriod),"◆",IF(AND($E130&gt;=EM$5,$E130&lt;EM$5+GanttPeriod),"◇","")),IF(AND(EM$5&lt;=$F130,EM$5+GanttPeriod-1&gt;=$E130),"━","")))</f>
        <v/>
      </c>
      <c r="EN130" s="69" t="str">
        <f aca="false">IF($E130="","",IF($M130,IF(AND($G130&gt;=EN$5,$G130&lt;EN$5+GanttPeriod),"◆",IF(AND($E130&gt;=EN$5,$E130&lt;EN$5+GanttPeriod),"◇","")),IF(AND(EN$5&lt;=$F130,EN$5+GanttPeriod-1&gt;=$E130),"━","")))</f>
        <v/>
      </c>
      <c r="EO130" s="69" t="str">
        <f aca="false">IF($E130="","",IF($M130,IF(AND($G130&gt;=EO$5,$G130&lt;EO$5+GanttPeriod),"◆",IF(AND($E130&gt;=EO$5,$E130&lt;EO$5+GanttPeriod),"◇","")),IF(AND(EO$5&lt;=$F130,EO$5+GanttPeriod-1&gt;=$E130),"━","")))</f>
        <v/>
      </c>
      <c r="EP130" s="69" t="str">
        <f aca="false">IF($E130="","",IF($M130,IF(AND($G130&gt;=EP$5,$G130&lt;EP$5+GanttPeriod),"◆",IF(AND($E130&gt;=EP$5,$E130&lt;EP$5+GanttPeriod),"◇","")),IF(AND(EP$5&lt;=$F130,EP$5+GanttPeriod-1&gt;=$E130),"━","")))</f>
        <v/>
      </c>
      <c r="EQ130" s="69" t="str">
        <f aca="false">IF($E130="","",IF($M130,IF(AND($G130&gt;=EQ$5,$G130&lt;EQ$5+GanttPeriod),"◆",IF(AND($E130&gt;=EQ$5,$E130&lt;EQ$5+GanttPeriod),"◇","")),IF(AND(EQ$5&lt;=$F130,EQ$5+GanttPeriod-1&gt;=$E130),"━","")))</f>
        <v/>
      </c>
      <c r="ER130" s="69" t="str">
        <f aca="false">IF($E130="","",IF($M130,IF(AND($G130&gt;=ER$5,$G130&lt;ER$5+GanttPeriod),"◆",IF(AND($E130&gt;=ER$5,$E130&lt;ER$5+GanttPeriod),"◇","")),IF(AND(ER$5&lt;=$F130,ER$5+GanttPeriod-1&gt;=$E130),"━","")))</f>
        <v/>
      </c>
      <c r="ES130" s="69" t="str">
        <f aca="false">IF($E130="","",IF($M130,IF(AND($G130&gt;=ES$5,$G130&lt;ES$5+GanttPeriod),"◆",IF(AND($E130&gt;=ES$5,$E130&lt;ES$5+GanttPeriod),"◇","")),IF(AND(ES$5&lt;=$F130,ES$5+GanttPeriod-1&gt;=$E130),"━","")))</f>
        <v/>
      </c>
      <c r="ET130" s="69" t="str">
        <f aca="false">IF($E130="","",IF($M130,IF(AND($G130&gt;=ET$5,$G130&lt;ET$5+GanttPeriod),"◆",IF(AND($E130&gt;=ET$5,$E130&lt;ET$5+GanttPeriod),"◇","")),IF(AND(ET$5&lt;=$F130,ET$5+GanttPeriod-1&gt;=$E130),"━","")))</f>
        <v/>
      </c>
      <c r="EU130" s="69" t="str">
        <f aca="false">IF($E130="","",IF($M130,IF(AND($G130&gt;=EU$5,$G130&lt;EU$5+GanttPeriod),"◆",IF(AND($E130&gt;=EU$5,$E130&lt;EU$5+GanttPeriod),"◇","")),IF(AND(EU$5&lt;=$F130,EU$5+GanttPeriod-1&gt;=$E130),"━","")))</f>
        <v/>
      </c>
      <c r="EV130" s="69" t="str">
        <f aca="false">IF($E130="","",IF($M130,IF(AND($G130&gt;=EV$5,$G130&lt;EV$5+GanttPeriod),"◆",IF(AND($E130&gt;=EV$5,$E130&lt;EV$5+GanttPeriod),"◇","")),IF(AND(EV$5&lt;=$F130,EV$5+GanttPeriod-1&gt;=$E130),"━","")))</f>
        <v/>
      </c>
      <c r="EW130" s="69" t="str">
        <f aca="false">IF($E130="","",IF($M130,IF(AND($G130&gt;=EW$5,$G130&lt;EW$5+GanttPeriod),"◆",IF(AND($E130&gt;=EW$5,$E130&lt;EW$5+GanttPeriod),"◇","")),IF(AND(EW$5&lt;=$F130,EW$5+GanttPeriod-1&gt;=$E130),"━","")))</f>
        <v/>
      </c>
      <c r="EX130" s="69" t="str">
        <f aca="false">IF($E130="","",IF($M130,IF(AND($G130&gt;=EX$5,$G130&lt;EX$5+GanttPeriod),"◆",IF(AND($E130&gt;=EX$5,$E130&lt;EX$5+GanttPeriod),"◇","")),IF(AND(EX$5&lt;=$F130,EX$5+GanttPeriod-1&gt;=$E130),"━","")))</f>
        <v/>
      </c>
      <c r="EY130" s="69" t="str">
        <f aca="false">IF($E130="","",IF($M130,IF(AND($G130&gt;=EY$5,$G130&lt;EY$5+GanttPeriod),"◆",IF(AND($E130&gt;=EY$5,$E130&lt;EY$5+GanttPeriod),"◇","")),IF(AND(EY$5&lt;=$F130,EY$5+GanttPeriod-1&gt;=$E130),"━","")))</f>
        <v/>
      </c>
      <c r="EZ130" s="69" t="str">
        <f aca="false">IF($E130="","",IF($M130,IF(AND($G130&gt;=EZ$5,$G130&lt;EZ$5+GanttPeriod),"◆",IF(AND($E130&gt;=EZ$5,$E130&lt;EZ$5+GanttPeriod),"◇","")),IF(AND(EZ$5&lt;=$F130,EZ$5+GanttPeriod-1&gt;=$E130),"━","")))</f>
        <v/>
      </c>
      <c r="FA130" s="69" t="str">
        <f aca="false">IF($E130="","",IF($M130,IF(AND($G130&gt;=FA$5,$G130&lt;FA$5+GanttPeriod),"◆",IF(AND($E130&gt;=FA$5,$E130&lt;FA$5+GanttPeriod),"◇","")),IF(AND(FA$5&lt;=$F130,FA$5+GanttPeriod-1&gt;=$E130),"━","")))</f>
        <v/>
      </c>
      <c r="FB130" s="69" t="str">
        <f aca="false">IF($E130="","",IF($M130,IF(AND($G130&gt;=FB$5,$G130&lt;FB$5+GanttPeriod),"◆",IF(AND($E130&gt;=FB$5,$E130&lt;FB$5+GanttPeriod),"◇","")),IF(AND(FB$5&lt;=$F130,FB$5+GanttPeriod-1&gt;=$E130),"━","")))</f>
        <v/>
      </c>
      <c r="FC130" s="69" t="str">
        <f aca="false">IF($E130="","",IF($M130,IF(AND($G130&gt;=FC$5,$G130&lt;FC$5+GanttPeriod),"◆",IF(AND($E130&gt;=FC$5,$E130&lt;FC$5+GanttPeriod),"◇","")),IF(AND(FC$5&lt;=$F130,FC$5+GanttPeriod-1&gt;=$E130),"━","")))</f>
        <v/>
      </c>
      <c r="FD130" s="69" t="str">
        <f aca="false">IF($E130="","",IF($M130,IF(AND($G130&gt;=FD$5,$G130&lt;FD$5+GanttPeriod),"◆",IF(AND($E130&gt;=FD$5,$E130&lt;FD$5+GanttPeriod),"◇","")),IF(AND(FD$5&lt;=$F130,FD$5+GanttPeriod-1&gt;=$E130),"━","")))</f>
        <v/>
      </c>
      <c r="FE130" s="69" t="str">
        <f aca="false">IF($E130="","",IF($M130,IF(AND($G130&gt;=FE$5,$G130&lt;FE$5+GanttPeriod),"◆",IF(AND($E130&gt;=FE$5,$E130&lt;FE$5+GanttPeriod),"◇","")),IF(AND(FE$5&lt;=$F130,FE$5+GanttPeriod-1&gt;=$E130),"━","")))</f>
        <v/>
      </c>
      <c r="FF130" s="69" t="str">
        <f aca="false">IF($E130="","",IF($M130,IF(AND($G130&gt;=FF$5,$G130&lt;FF$5+GanttPeriod),"◆",IF(AND($E130&gt;=FF$5,$E130&lt;FF$5+GanttPeriod),"◇","")),IF(AND(FF$5&lt;=$F130,FF$5+GanttPeriod-1&gt;=$E130),"━","")))</f>
        <v/>
      </c>
      <c r="FG130" s="69" t="str">
        <f aca="false">IF($E130="","",IF($M130,IF(AND($G130&gt;=FG$5,$G130&lt;FG$5+GanttPeriod),"◆",IF(AND($E130&gt;=FG$5,$E130&lt;FG$5+GanttPeriod),"◇","")),IF(AND(FG$5&lt;=$F130,FG$5+GanttPeriod-1&gt;=$E130),"━","")))</f>
        <v/>
      </c>
      <c r="FH130" s="69" t="str">
        <f aca="false">IF($E130="","",IF($M130,IF(AND($G130&gt;=FH$5,$G130&lt;FH$5+GanttPeriod),"◆",IF(AND($E130&gt;=FH$5,$E130&lt;FH$5+GanttPeriod),"◇","")),IF(AND(FH$5&lt;=$F130,FH$5+GanttPeriod-1&gt;=$E130),"━","")))</f>
        <v/>
      </c>
      <c r="FI130" s="69" t="str">
        <f aca="false">IF($E130="","",IF($M130,IF(AND($G130&gt;=FI$5,$G130&lt;FI$5+GanttPeriod),"◆",IF(AND($E130&gt;=FI$5,$E130&lt;FI$5+GanttPeriod),"◇","")),IF(AND(FI$5&lt;=$F130,FI$5+GanttPeriod-1&gt;=$E130),"━","")))</f>
        <v/>
      </c>
      <c r="FJ130" s="69" t="str">
        <f aca="false">IF($E130="","",IF($M130,IF(AND($G130&gt;=FJ$5,$G130&lt;FJ$5+GanttPeriod),"◆",IF(AND($E130&gt;=FJ$5,$E130&lt;FJ$5+GanttPeriod),"◇","")),IF(AND(FJ$5&lt;=$F130,FJ$5+GanttPeriod-1&gt;=$E130),"━","")))</f>
        <v/>
      </c>
      <c r="FK130" s="69" t="str">
        <f aca="false">IF($E130="","",IF($M130,IF(AND($G130&gt;=FK$5,$G130&lt;FK$5+GanttPeriod),"◆",IF(AND($E130&gt;=FK$5,$E130&lt;FK$5+GanttPeriod),"◇","")),IF(AND(FK$5&lt;=$F130,FK$5+GanttPeriod-1&gt;=$E130),"━","")))</f>
        <v/>
      </c>
      <c r="FL130" s="69" t="str">
        <f aca="false">IF($E130="","",IF($M130,IF(AND($G130&gt;=FL$5,$G130&lt;FL$5+GanttPeriod),"◆",IF(AND($E130&gt;=FL$5,$E130&lt;FL$5+GanttPeriod),"◇","")),IF(AND(FL$5&lt;=$F130,FL$5+GanttPeriod-1&gt;=$E130),"━","")))</f>
        <v/>
      </c>
      <c r="FM130" s="69" t="str">
        <f aca="false">IF($E130="","",IF($M130,IF(AND($G130&gt;=FM$5,$G130&lt;FM$5+GanttPeriod),"◆",IF(AND($E130&gt;=FM$5,$E130&lt;FM$5+GanttPeriod),"◇","")),IF(AND(FM$5&lt;=$F130,FM$5+GanttPeriod-1&gt;=$E130),"━","")))</f>
        <v/>
      </c>
    </row>
    <row r="131" customFormat="false" ht="15" hidden="false" customHeight="false" outlineLevel="0" collapsed="false">
      <c r="A131" s="62" t="str">
        <f aca="false">IF(Tasks!$D131="","",Tasks!$A131)</f>
        <v/>
      </c>
      <c r="B131" s="62" t="str">
        <f aca="false">IF(Tasks!$D131="","",Tasks!$B131)</f>
        <v/>
      </c>
      <c r="C131" s="63" t="str">
        <f aca="false">IF(Tasks!$D131="","",REPT("    ",Tasks!$AE131-1)&amp;Tasks!$D131)</f>
        <v/>
      </c>
      <c r="D131" s="62" t="str">
        <f aca="false">IF(Tasks!$D131="","",IF(Tasks!$AI131,NETWORKDAYS.INTL(Tasks!$R131,Tasks!$S131,WorkWeek,Holidays),N(Tasks!$F131)))</f>
        <v/>
      </c>
      <c r="E131" s="64" t="str">
        <f aca="false">IF(Tasks!$D131="","",Tasks!$N131)</f>
        <v/>
      </c>
      <c r="F131" s="64" t="str">
        <f aca="false">IF(Tasks!$D131="","",Tasks!$O131)</f>
        <v/>
      </c>
      <c r="G131" s="64" t="str">
        <f aca="false">IF(Tasks!$D131="","",Tasks!$R131)</f>
        <v/>
      </c>
      <c r="H131" s="64" t="str">
        <f aca="false">IF(Tasks!$D131="","",Tasks!$S131)</f>
        <v/>
      </c>
      <c r="I131" s="65" t="str">
        <f aca="false">IF(Tasks!$D131="","",Tasks!$V131)</f>
        <v/>
      </c>
      <c r="J131" s="63" t="str">
        <f aca="false">IF(Tasks!$D131="","",Tasks!$X131&amp;"")</f>
        <v/>
      </c>
      <c r="K131" s="66" t="str">
        <f aca="false">IF(Tasks!$D131="","",Tasks!$W131)</f>
        <v/>
      </c>
      <c r="L131" s="67" t="b">
        <f aca="false">IF(Tasks!$D131="",FALSE(),Tasks!$AI131)</f>
        <v>0</v>
      </c>
      <c r="M131" s="67" t="b">
        <f aca="false">AND(Tasks!$AJ131=1,N(Tasks!$F131)=0)</f>
        <v>0</v>
      </c>
      <c r="N131" s="68" t="n">
        <f aca="false">IF(AND(Tasks!$AJ131=1,NOT($M131),N($I131)&gt;0),$G131,0)</f>
        <v>0</v>
      </c>
      <c r="O131" s="68" t="n">
        <f aca="false">IF($N131=0,0,IF($I131&gt;=1,$H131,MAX($N131,$G131+ROUND(($H131-$G131+1)*$I131,0)-1)))</f>
        <v>0</v>
      </c>
      <c r="P131" s="68" t="n">
        <f aca="false">IF(OR(Tasks!$AJ131&lt;&gt;1,$M131,N($I131)&gt;=1),0,IF($O131&gt;0,$O131+1,$G131))</f>
        <v>0</v>
      </c>
      <c r="Q131" s="68" t="n">
        <f aca="false">IF($P131=0,0,$H131)</f>
        <v>0</v>
      </c>
      <c r="R131" s="67" t="b">
        <f aca="false">AND(Tasks!$D131&lt;&gt;"",N(Tasks!$T131)&gt;0)</f>
        <v>0</v>
      </c>
      <c r="T131" s="69" t="str">
        <f aca="false">IF($E131="","",IF($M131,IF(AND($G131&gt;=T$5,$G131&lt;T$5+GanttPeriod),"◆",IF(AND($E131&gt;=T$5,$E131&lt;T$5+GanttPeriod),"◇","")),IF(AND(T$5&lt;=$F131,T$5+GanttPeriod-1&gt;=$E131),"━","")))</f>
        <v/>
      </c>
      <c r="U131" s="69" t="str">
        <f aca="false">IF($E131="","",IF($M131,IF(AND($G131&gt;=U$5,$G131&lt;U$5+GanttPeriod),"◆",IF(AND($E131&gt;=U$5,$E131&lt;U$5+GanttPeriod),"◇","")),IF(AND(U$5&lt;=$F131,U$5+GanttPeriod-1&gt;=$E131),"━","")))</f>
        <v/>
      </c>
      <c r="V131" s="69" t="str">
        <f aca="false">IF($E131="","",IF($M131,IF(AND($G131&gt;=V$5,$G131&lt;V$5+GanttPeriod),"◆",IF(AND($E131&gt;=V$5,$E131&lt;V$5+GanttPeriod),"◇","")),IF(AND(V$5&lt;=$F131,V$5+GanttPeriod-1&gt;=$E131),"━","")))</f>
        <v/>
      </c>
      <c r="W131" s="69" t="str">
        <f aca="false">IF($E131="","",IF($M131,IF(AND($G131&gt;=W$5,$G131&lt;W$5+GanttPeriod),"◆",IF(AND($E131&gt;=W$5,$E131&lt;W$5+GanttPeriod),"◇","")),IF(AND(W$5&lt;=$F131,W$5+GanttPeriod-1&gt;=$E131),"━","")))</f>
        <v/>
      </c>
      <c r="X131" s="69" t="str">
        <f aca="false">IF($E131="","",IF($M131,IF(AND($G131&gt;=X$5,$G131&lt;X$5+GanttPeriod),"◆",IF(AND($E131&gt;=X$5,$E131&lt;X$5+GanttPeriod),"◇","")),IF(AND(X$5&lt;=$F131,X$5+GanttPeriod-1&gt;=$E131),"━","")))</f>
        <v/>
      </c>
      <c r="Y131" s="69" t="str">
        <f aca="false">IF($E131="","",IF($M131,IF(AND($G131&gt;=Y$5,$G131&lt;Y$5+GanttPeriod),"◆",IF(AND($E131&gt;=Y$5,$E131&lt;Y$5+GanttPeriod),"◇","")),IF(AND(Y$5&lt;=$F131,Y$5+GanttPeriod-1&gt;=$E131),"━","")))</f>
        <v/>
      </c>
      <c r="Z131" s="69" t="str">
        <f aca="false">IF($E131="","",IF($M131,IF(AND($G131&gt;=Z$5,$G131&lt;Z$5+GanttPeriod),"◆",IF(AND($E131&gt;=Z$5,$E131&lt;Z$5+GanttPeriod),"◇","")),IF(AND(Z$5&lt;=$F131,Z$5+GanttPeriod-1&gt;=$E131),"━","")))</f>
        <v/>
      </c>
      <c r="AA131" s="69" t="str">
        <f aca="false">IF($E131="","",IF($M131,IF(AND($G131&gt;=AA$5,$G131&lt;AA$5+GanttPeriod),"◆",IF(AND($E131&gt;=AA$5,$E131&lt;AA$5+GanttPeriod),"◇","")),IF(AND(AA$5&lt;=$F131,AA$5+GanttPeriod-1&gt;=$E131),"━","")))</f>
        <v/>
      </c>
      <c r="AB131" s="69" t="str">
        <f aca="false">IF($E131="","",IF($M131,IF(AND($G131&gt;=AB$5,$G131&lt;AB$5+GanttPeriod),"◆",IF(AND($E131&gt;=AB$5,$E131&lt;AB$5+GanttPeriod),"◇","")),IF(AND(AB$5&lt;=$F131,AB$5+GanttPeriod-1&gt;=$E131),"━","")))</f>
        <v/>
      </c>
      <c r="AC131" s="69" t="str">
        <f aca="false">IF($E131="","",IF($M131,IF(AND($G131&gt;=AC$5,$G131&lt;AC$5+GanttPeriod),"◆",IF(AND($E131&gt;=AC$5,$E131&lt;AC$5+GanttPeriod),"◇","")),IF(AND(AC$5&lt;=$F131,AC$5+GanttPeriod-1&gt;=$E131),"━","")))</f>
        <v/>
      </c>
      <c r="AD131" s="69" t="str">
        <f aca="false">IF($E131="","",IF($M131,IF(AND($G131&gt;=AD$5,$G131&lt;AD$5+GanttPeriod),"◆",IF(AND($E131&gt;=AD$5,$E131&lt;AD$5+GanttPeriod),"◇","")),IF(AND(AD$5&lt;=$F131,AD$5+GanttPeriod-1&gt;=$E131),"━","")))</f>
        <v/>
      </c>
      <c r="AE131" s="69" t="str">
        <f aca="false">IF($E131="","",IF($M131,IF(AND($G131&gt;=AE$5,$G131&lt;AE$5+GanttPeriod),"◆",IF(AND($E131&gt;=AE$5,$E131&lt;AE$5+GanttPeriod),"◇","")),IF(AND(AE$5&lt;=$F131,AE$5+GanttPeriod-1&gt;=$E131),"━","")))</f>
        <v/>
      </c>
      <c r="AF131" s="69" t="str">
        <f aca="false">IF($E131="","",IF($M131,IF(AND($G131&gt;=AF$5,$G131&lt;AF$5+GanttPeriod),"◆",IF(AND($E131&gt;=AF$5,$E131&lt;AF$5+GanttPeriod),"◇","")),IF(AND(AF$5&lt;=$F131,AF$5+GanttPeriod-1&gt;=$E131),"━","")))</f>
        <v/>
      </c>
      <c r="AG131" s="69" t="str">
        <f aca="false">IF($E131="","",IF($M131,IF(AND($G131&gt;=AG$5,$G131&lt;AG$5+GanttPeriod),"◆",IF(AND($E131&gt;=AG$5,$E131&lt;AG$5+GanttPeriod),"◇","")),IF(AND(AG$5&lt;=$F131,AG$5+GanttPeriod-1&gt;=$E131),"━","")))</f>
        <v/>
      </c>
      <c r="AH131" s="69" t="str">
        <f aca="false">IF($E131="","",IF($M131,IF(AND($G131&gt;=AH$5,$G131&lt;AH$5+GanttPeriod),"◆",IF(AND($E131&gt;=AH$5,$E131&lt;AH$5+GanttPeriod),"◇","")),IF(AND(AH$5&lt;=$F131,AH$5+GanttPeriod-1&gt;=$E131),"━","")))</f>
        <v/>
      </c>
      <c r="AI131" s="69" t="str">
        <f aca="false">IF($E131="","",IF($M131,IF(AND($G131&gt;=AI$5,$G131&lt;AI$5+GanttPeriod),"◆",IF(AND($E131&gt;=AI$5,$E131&lt;AI$5+GanttPeriod),"◇","")),IF(AND(AI$5&lt;=$F131,AI$5+GanttPeriod-1&gt;=$E131),"━","")))</f>
        <v/>
      </c>
      <c r="AJ131" s="69" t="str">
        <f aca="false">IF($E131="","",IF($M131,IF(AND($G131&gt;=AJ$5,$G131&lt;AJ$5+GanttPeriod),"◆",IF(AND($E131&gt;=AJ$5,$E131&lt;AJ$5+GanttPeriod),"◇","")),IF(AND(AJ$5&lt;=$F131,AJ$5+GanttPeriod-1&gt;=$E131),"━","")))</f>
        <v/>
      </c>
      <c r="AK131" s="69" t="str">
        <f aca="false">IF($E131="","",IF($M131,IF(AND($G131&gt;=AK$5,$G131&lt;AK$5+GanttPeriod),"◆",IF(AND($E131&gt;=AK$5,$E131&lt;AK$5+GanttPeriod),"◇","")),IF(AND(AK$5&lt;=$F131,AK$5+GanttPeriod-1&gt;=$E131),"━","")))</f>
        <v/>
      </c>
      <c r="AL131" s="69" t="str">
        <f aca="false">IF($E131="","",IF($M131,IF(AND($G131&gt;=AL$5,$G131&lt;AL$5+GanttPeriod),"◆",IF(AND($E131&gt;=AL$5,$E131&lt;AL$5+GanttPeriod),"◇","")),IF(AND(AL$5&lt;=$F131,AL$5+GanttPeriod-1&gt;=$E131),"━","")))</f>
        <v/>
      </c>
      <c r="AM131" s="69" t="str">
        <f aca="false">IF($E131="","",IF($M131,IF(AND($G131&gt;=AM$5,$G131&lt;AM$5+GanttPeriod),"◆",IF(AND($E131&gt;=AM$5,$E131&lt;AM$5+GanttPeriod),"◇","")),IF(AND(AM$5&lt;=$F131,AM$5+GanttPeriod-1&gt;=$E131),"━","")))</f>
        <v/>
      </c>
      <c r="AN131" s="69" t="str">
        <f aca="false">IF($E131="","",IF($M131,IF(AND($G131&gt;=AN$5,$G131&lt;AN$5+GanttPeriod),"◆",IF(AND($E131&gt;=AN$5,$E131&lt;AN$5+GanttPeriod),"◇","")),IF(AND(AN$5&lt;=$F131,AN$5+GanttPeriod-1&gt;=$E131),"━","")))</f>
        <v/>
      </c>
      <c r="AO131" s="69" t="str">
        <f aca="false">IF($E131="","",IF($M131,IF(AND($G131&gt;=AO$5,$G131&lt;AO$5+GanttPeriod),"◆",IF(AND($E131&gt;=AO$5,$E131&lt;AO$5+GanttPeriod),"◇","")),IF(AND(AO$5&lt;=$F131,AO$5+GanttPeriod-1&gt;=$E131),"━","")))</f>
        <v/>
      </c>
      <c r="AP131" s="69" t="str">
        <f aca="false">IF($E131="","",IF($M131,IF(AND($G131&gt;=AP$5,$G131&lt;AP$5+GanttPeriod),"◆",IF(AND($E131&gt;=AP$5,$E131&lt;AP$5+GanttPeriod),"◇","")),IF(AND(AP$5&lt;=$F131,AP$5+GanttPeriod-1&gt;=$E131),"━","")))</f>
        <v/>
      </c>
      <c r="AQ131" s="69" t="str">
        <f aca="false">IF($E131="","",IF($M131,IF(AND($G131&gt;=AQ$5,$G131&lt;AQ$5+GanttPeriod),"◆",IF(AND($E131&gt;=AQ$5,$E131&lt;AQ$5+GanttPeriod),"◇","")),IF(AND(AQ$5&lt;=$F131,AQ$5+GanttPeriod-1&gt;=$E131),"━","")))</f>
        <v/>
      </c>
      <c r="AR131" s="69" t="str">
        <f aca="false">IF($E131="","",IF($M131,IF(AND($G131&gt;=AR$5,$G131&lt;AR$5+GanttPeriod),"◆",IF(AND($E131&gt;=AR$5,$E131&lt;AR$5+GanttPeriod),"◇","")),IF(AND(AR$5&lt;=$F131,AR$5+GanttPeriod-1&gt;=$E131),"━","")))</f>
        <v/>
      </c>
      <c r="AS131" s="69" t="str">
        <f aca="false">IF($E131="","",IF($M131,IF(AND($G131&gt;=AS$5,$G131&lt;AS$5+GanttPeriod),"◆",IF(AND($E131&gt;=AS$5,$E131&lt;AS$5+GanttPeriod),"◇","")),IF(AND(AS$5&lt;=$F131,AS$5+GanttPeriod-1&gt;=$E131),"━","")))</f>
        <v/>
      </c>
      <c r="AT131" s="69" t="str">
        <f aca="false">IF($E131="","",IF($M131,IF(AND($G131&gt;=AT$5,$G131&lt;AT$5+GanttPeriod),"◆",IF(AND($E131&gt;=AT$5,$E131&lt;AT$5+GanttPeriod),"◇","")),IF(AND(AT$5&lt;=$F131,AT$5+GanttPeriod-1&gt;=$E131),"━","")))</f>
        <v/>
      </c>
      <c r="AU131" s="69" t="str">
        <f aca="false">IF($E131="","",IF($M131,IF(AND($G131&gt;=AU$5,$G131&lt;AU$5+GanttPeriod),"◆",IF(AND($E131&gt;=AU$5,$E131&lt;AU$5+GanttPeriod),"◇","")),IF(AND(AU$5&lt;=$F131,AU$5+GanttPeriod-1&gt;=$E131),"━","")))</f>
        <v/>
      </c>
      <c r="AV131" s="69" t="str">
        <f aca="false">IF($E131="","",IF($M131,IF(AND($G131&gt;=AV$5,$G131&lt;AV$5+GanttPeriod),"◆",IF(AND($E131&gt;=AV$5,$E131&lt;AV$5+GanttPeriod),"◇","")),IF(AND(AV$5&lt;=$F131,AV$5+GanttPeriod-1&gt;=$E131),"━","")))</f>
        <v/>
      </c>
      <c r="AW131" s="69" t="str">
        <f aca="false">IF($E131="","",IF($M131,IF(AND($G131&gt;=AW$5,$G131&lt;AW$5+GanttPeriod),"◆",IF(AND($E131&gt;=AW$5,$E131&lt;AW$5+GanttPeriod),"◇","")),IF(AND(AW$5&lt;=$F131,AW$5+GanttPeriod-1&gt;=$E131),"━","")))</f>
        <v/>
      </c>
      <c r="AX131" s="69" t="str">
        <f aca="false">IF($E131="","",IF($M131,IF(AND($G131&gt;=AX$5,$G131&lt;AX$5+GanttPeriod),"◆",IF(AND($E131&gt;=AX$5,$E131&lt;AX$5+GanttPeriod),"◇","")),IF(AND(AX$5&lt;=$F131,AX$5+GanttPeriod-1&gt;=$E131),"━","")))</f>
        <v/>
      </c>
      <c r="AY131" s="69" t="str">
        <f aca="false">IF($E131="","",IF($M131,IF(AND($G131&gt;=AY$5,$G131&lt;AY$5+GanttPeriod),"◆",IF(AND($E131&gt;=AY$5,$E131&lt;AY$5+GanttPeriod),"◇","")),IF(AND(AY$5&lt;=$F131,AY$5+GanttPeriod-1&gt;=$E131),"━","")))</f>
        <v/>
      </c>
      <c r="AZ131" s="69" t="str">
        <f aca="false">IF($E131="","",IF($M131,IF(AND($G131&gt;=AZ$5,$G131&lt;AZ$5+GanttPeriod),"◆",IF(AND($E131&gt;=AZ$5,$E131&lt;AZ$5+GanttPeriod),"◇","")),IF(AND(AZ$5&lt;=$F131,AZ$5+GanttPeriod-1&gt;=$E131),"━","")))</f>
        <v/>
      </c>
      <c r="BA131" s="69" t="str">
        <f aca="false">IF($E131="","",IF($M131,IF(AND($G131&gt;=BA$5,$G131&lt;BA$5+GanttPeriod),"◆",IF(AND($E131&gt;=BA$5,$E131&lt;BA$5+GanttPeriod),"◇","")),IF(AND(BA$5&lt;=$F131,BA$5+GanttPeriod-1&gt;=$E131),"━","")))</f>
        <v/>
      </c>
      <c r="BB131" s="69" t="str">
        <f aca="false">IF($E131="","",IF($M131,IF(AND($G131&gt;=BB$5,$G131&lt;BB$5+GanttPeriod),"◆",IF(AND($E131&gt;=BB$5,$E131&lt;BB$5+GanttPeriod),"◇","")),IF(AND(BB$5&lt;=$F131,BB$5+GanttPeriod-1&gt;=$E131),"━","")))</f>
        <v/>
      </c>
      <c r="BC131" s="69" t="str">
        <f aca="false">IF($E131="","",IF($M131,IF(AND($G131&gt;=BC$5,$G131&lt;BC$5+GanttPeriod),"◆",IF(AND($E131&gt;=BC$5,$E131&lt;BC$5+GanttPeriod),"◇","")),IF(AND(BC$5&lt;=$F131,BC$5+GanttPeriod-1&gt;=$E131),"━","")))</f>
        <v/>
      </c>
      <c r="BD131" s="69" t="str">
        <f aca="false">IF($E131="","",IF($M131,IF(AND($G131&gt;=BD$5,$G131&lt;BD$5+GanttPeriod),"◆",IF(AND($E131&gt;=BD$5,$E131&lt;BD$5+GanttPeriod),"◇","")),IF(AND(BD$5&lt;=$F131,BD$5+GanttPeriod-1&gt;=$E131),"━","")))</f>
        <v/>
      </c>
      <c r="BE131" s="69" t="str">
        <f aca="false">IF($E131="","",IF($M131,IF(AND($G131&gt;=BE$5,$G131&lt;BE$5+GanttPeriod),"◆",IF(AND($E131&gt;=BE$5,$E131&lt;BE$5+GanttPeriod),"◇","")),IF(AND(BE$5&lt;=$F131,BE$5+GanttPeriod-1&gt;=$E131),"━","")))</f>
        <v/>
      </c>
      <c r="BF131" s="69" t="str">
        <f aca="false">IF($E131="","",IF($M131,IF(AND($G131&gt;=BF$5,$G131&lt;BF$5+GanttPeriod),"◆",IF(AND($E131&gt;=BF$5,$E131&lt;BF$5+GanttPeriod),"◇","")),IF(AND(BF$5&lt;=$F131,BF$5+GanttPeriod-1&gt;=$E131),"━","")))</f>
        <v/>
      </c>
      <c r="BG131" s="69" t="str">
        <f aca="false">IF($E131="","",IF($M131,IF(AND($G131&gt;=BG$5,$G131&lt;BG$5+GanttPeriod),"◆",IF(AND($E131&gt;=BG$5,$E131&lt;BG$5+GanttPeriod),"◇","")),IF(AND(BG$5&lt;=$F131,BG$5+GanttPeriod-1&gt;=$E131),"━","")))</f>
        <v/>
      </c>
      <c r="BH131" s="69" t="str">
        <f aca="false">IF($E131="","",IF($M131,IF(AND($G131&gt;=BH$5,$G131&lt;BH$5+GanttPeriod),"◆",IF(AND($E131&gt;=BH$5,$E131&lt;BH$5+GanttPeriod),"◇","")),IF(AND(BH$5&lt;=$F131,BH$5+GanttPeriod-1&gt;=$E131),"━","")))</f>
        <v/>
      </c>
      <c r="BI131" s="69" t="str">
        <f aca="false">IF($E131="","",IF($M131,IF(AND($G131&gt;=BI$5,$G131&lt;BI$5+GanttPeriod),"◆",IF(AND($E131&gt;=BI$5,$E131&lt;BI$5+GanttPeriod),"◇","")),IF(AND(BI$5&lt;=$F131,BI$5+GanttPeriod-1&gt;=$E131),"━","")))</f>
        <v/>
      </c>
      <c r="BJ131" s="69" t="str">
        <f aca="false">IF($E131="","",IF($M131,IF(AND($G131&gt;=BJ$5,$G131&lt;BJ$5+GanttPeriod),"◆",IF(AND($E131&gt;=BJ$5,$E131&lt;BJ$5+GanttPeriod),"◇","")),IF(AND(BJ$5&lt;=$F131,BJ$5+GanttPeriod-1&gt;=$E131),"━","")))</f>
        <v/>
      </c>
      <c r="BK131" s="69" t="str">
        <f aca="false">IF($E131="","",IF($M131,IF(AND($G131&gt;=BK$5,$G131&lt;BK$5+GanttPeriod),"◆",IF(AND($E131&gt;=BK$5,$E131&lt;BK$5+GanttPeriod),"◇","")),IF(AND(BK$5&lt;=$F131,BK$5+GanttPeriod-1&gt;=$E131),"━","")))</f>
        <v/>
      </c>
      <c r="BL131" s="69" t="str">
        <f aca="false">IF($E131="","",IF($M131,IF(AND($G131&gt;=BL$5,$G131&lt;BL$5+GanttPeriod),"◆",IF(AND($E131&gt;=BL$5,$E131&lt;BL$5+GanttPeriod),"◇","")),IF(AND(BL$5&lt;=$F131,BL$5+GanttPeriod-1&gt;=$E131),"━","")))</f>
        <v/>
      </c>
      <c r="BM131" s="69" t="str">
        <f aca="false">IF($E131="","",IF($M131,IF(AND($G131&gt;=BM$5,$G131&lt;BM$5+GanttPeriod),"◆",IF(AND($E131&gt;=BM$5,$E131&lt;BM$5+GanttPeriod),"◇","")),IF(AND(BM$5&lt;=$F131,BM$5+GanttPeriod-1&gt;=$E131),"━","")))</f>
        <v/>
      </c>
      <c r="BN131" s="69" t="str">
        <f aca="false">IF($E131="","",IF($M131,IF(AND($G131&gt;=BN$5,$G131&lt;BN$5+GanttPeriod),"◆",IF(AND($E131&gt;=BN$5,$E131&lt;BN$5+GanttPeriod),"◇","")),IF(AND(BN$5&lt;=$F131,BN$5+GanttPeriod-1&gt;=$E131),"━","")))</f>
        <v/>
      </c>
      <c r="BO131" s="69" t="str">
        <f aca="false">IF($E131="","",IF($M131,IF(AND($G131&gt;=BO$5,$G131&lt;BO$5+GanttPeriod),"◆",IF(AND($E131&gt;=BO$5,$E131&lt;BO$5+GanttPeriod),"◇","")),IF(AND(BO$5&lt;=$F131,BO$5+GanttPeriod-1&gt;=$E131),"━","")))</f>
        <v/>
      </c>
      <c r="BP131" s="69" t="str">
        <f aca="false">IF($E131="","",IF($M131,IF(AND($G131&gt;=BP$5,$G131&lt;BP$5+GanttPeriod),"◆",IF(AND($E131&gt;=BP$5,$E131&lt;BP$5+GanttPeriod),"◇","")),IF(AND(BP$5&lt;=$F131,BP$5+GanttPeriod-1&gt;=$E131),"━","")))</f>
        <v/>
      </c>
      <c r="BQ131" s="69" t="str">
        <f aca="false">IF($E131="","",IF($M131,IF(AND($G131&gt;=BQ$5,$G131&lt;BQ$5+GanttPeriod),"◆",IF(AND($E131&gt;=BQ$5,$E131&lt;BQ$5+GanttPeriod),"◇","")),IF(AND(BQ$5&lt;=$F131,BQ$5+GanttPeriod-1&gt;=$E131),"━","")))</f>
        <v/>
      </c>
      <c r="BR131" s="69" t="str">
        <f aca="false">IF($E131="","",IF($M131,IF(AND($G131&gt;=BR$5,$G131&lt;BR$5+GanttPeriod),"◆",IF(AND($E131&gt;=BR$5,$E131&lt;BR$5+GanttPeriod),"◇","")),IF(AND(BR$5&lt;=$F131,BR$5+GanttPeriod-1&gt;=$E131),"━","")))</f>
        <v/>
      </c>
      <c r="BS131" s="69" t="str">
        <f aca="false">IF($E131="","",IF($M131,IF(AND($G131&gt;=BS$5,$G131&lt;BS$5+GanttPeriod),"◆",IF(AND($E131&gt;=BS$5,$E131&lt;BS$5+GanttPeriod),"◇","")),IF(AND(BS$5&lt;=$F131,BS$5+GanttPeriod-1&gt;=$E131),"━","")))</f>
        <v/>
      </c>
      <c r="BT131" s="69" t="str">
        <f aca="false">IF($E131="","",IF($M131,IF(AND($G131&gt;=BT$5,$G131&lt;BT$5+GanttPeriod),"◆",IF(AND($E131&gt;=BT$5,$E131&lt;BT$5+GanttPeriod),"◇","")),IF(AND(BT$5&lt;=$F131,BT$5+GanttPeriod-1&gt;=$E131),"━","")))</f>
        <v/>
      </c>
      <c r="BU131" s="69" t="str">
        <f aca="false">IF($E131="","",IF($M131,IF(AND($G131&gt;=BU$5,$G131&lt;BU$5+GanttPeriod),"◆",IF(AND($E131&gt;=BU$5,$E131&lt;BU$5+GanttPeriod),"◇","")),IF(AND(BU$5&lt;=$F131,BU$5+GanttPeriod-1&gt;=$E131),"━","")))</f>
        <v/>
      </c>
      <c r="BV131" s="69" t="str">
        <f aca="false">IF($E131="","",IF($M131,IF(AND($G131&gt;=BV$5,$G131&lt;BV$5+GanttPeriod),"◆",IF(AND($E131&gt;=BV$5,$E131&lt;BV$5+GanttPeriod),"◇","")),IF(AND(BV$5&lt;=$F131,BV$5+GanttPeriod-1&gt;=$E131),"━","")))</f>
        <v/>
      </c>
      <c r="BW131" s="69" t="str">
        <f aca="false">IF($E131="","",IF($M131,IF(AND($G131&gt;=BW$5,$G131&lt;BW$5+GanttPeriod),"◆",IF(AND($E131&gt;=BW$5,$E131&lt;BW$5+GanttPeriod),"◇","")),IF(AND(BW$5&lt;=$F131,BW$5+GanttPeriod-1&gt;=$E131),"━","")))</f>
        <v/>
      </c>
      <c r="BX131" s="69" t="str">
        <f aca="false">IF($E131="","",IF($M131,IF(AND($G131&gt;=BX$5,$G131&lt;BX$5+GanttPeriod),"◆",IF(AND($E131&gt;=BX$5,$E131&lt;BX$5+GanttPeriod),"◇","")),IF(AND(BX$5&lt;=$F131,BX$5+GanttPeriod-1&gt;=$E131),"━","")))</f>
        <v/>
      </c>
      <c r="BY131" s="69" t="str">
        <f aca="false">IF($E131="","",IF($M131,IF(AND($G131&gt;=BY$5,$G131&lt;BY$5+GanttPeriod),"◆",IF(AND($E131&gt;=BY$5,$E131&lt;BY$5+GanttPeriod),"◇","")),IF(AND(BY$5&lt;=$F131,BY$5+GanttPeriod-1&gt;=$E131),"━","")))</f>
        <v/>
      </c>
      <c r="BZ131" s="69" t="str">
        <f aca="false">IF($E131="","",IF($M131,IF(AND($G131&gt;=BZ$5,$G131&lt;BZ$5+GanttPeriod),"◆",IF(AND($E131&gt;=BZ$5,$E131&lt;BZ$5+GanttPeriod),"◇","")),IF(AND(BZ$5&lt;=$F131,BZ$5+GanttPeriod-1&gt;=$E131),"━","")))</f>
        <v/>
      </c>
      <c r="CA131" s="69" t="str">
        <f aca="false">IF($E131="","",IF($M131,IF(AND($G131&gt;=CA$5,$G131&lt;CA$5+GanttPeriod),"◆",IF(AND($E131&gt;=CA$5,$E131&lt;CA$5+GanttPeriod),"◇","")),IF(AND(CA$5&lt;=$F131,CA$5+GanttPeriod-1&gt;=$E131),"━","")))</f>
        <v/>
      </c>
      <c r="CB131" s="69" t="str">
        <f aca="false">IF($E131="","",IF($M131,IF(AND($G131&gt;=CB$5,$G131&lt;CB$5+GanttPeriod),"◆",IF(AND($E131&gt;=CB$5,$E131&lt;CB$5+GanttPeriod),"◇","")),IF(AND(CB$5&lt;=$F131,CB$5+GanttPeriod-1&gt;=$E131),"━","")))</f>
        <v/>
      </c>
      <c r="CC131" s="69" t="str">
        <f aca="false">IF($E131="","",IF($M131,IF(AND($G131&gt;=CC$5,$G131&lt;CC$5+GanttPeriod),"◆",IF(AND($E131&gt;=CC$5,$E131&lt;CC$5+GanttPeriod),"◇","")),IF(AND(CC$5&lt;=$F131,CC$5+GanttPeriod-1&gt;=$E131),"━","")))</f>
        <v/>
      </c>
      <c r="CD131" s="69" t="str">
        <f aca="false">IF($E131="","",IF($M131,IF(AND($G131&gt;=CD$5,$G131&lt;CD$5+GanttPeriod),"◆",IF(AND($E131&gt;=CD$5,$E131&lt;CD$5+GanttPeriod),"◇","")),IF(AND(CD$5&lt;=$F131,CD$5+GanttPeriod-1&gt;=$E131),"━","")))</f>
        <v/>
      </c>
      <c r="CE131" s="69" t="str">
        <f aca="false">IF($E131="","",IF($M131,IF(AND($G131&gt;=CE$5,$G131&lt;CE$5+GanttPeriod),"◆",IF(AND($E131&gt;=CE$5,$E131&lt;CE$5+GanttPeriod),"◇","")),IF(AND(CE$5&lt;=$F131,CE$5+GanttPeriod-1&gt;=$E131),"━","")))</f>
        <v/>
      </c>
      <c r="CF131" s="69" t="str">
        <f aca="false">IF($E131="","",IF($M131,IF(AND($G131&gt;=CF$5,$G131&lt;CF$5+GanttPeriod),"◆",IF(AND($E131&gt;=CF$5,$E131&lt;CF$5+GanttPeriod),"◇","")),IF(AND(CF$5&lt;=$F131,CF$5+GanttPeriod-1&gt;=$E131),"━","")))</f>
        <v/>
      </c>
      <c r="CG131" s="69" t="str">
        <f aca="false">IF($E131="","",IF($M131,IF(AND($G131&gt;=CG$5,$G131&lt;CG$5+GanttPeriod),"◆",IF(AND($E131&gt;=CG$5,$E131&lt;CG$5+GanttPeriod),"◇","")),IF(AND(CG$5&lt;=$F131,CG$5+GanttPeriod-1&gt;=$E131),"━","")))</f>
        <v/>
      </c>
      <c r="CH131" s="69" t="str">
        <f aca="false">IF($E131="","",IF($M131,IF(AND($G131&gt;=CH$5,$G131&lt;CH$5+GanttPeriod),"◆",IF(AND($E131&gt;=CH$5,$E131&lt;CH$5+GanttPeriod),"◇","")),IF(AND(CH$5&lt;=$F131,CH$5+GanttPeriod-1&gt;=$E131),"━","")))</f>
        <v/>
      </c>
      <c r="CI131" s="69" t="str">
        <f aca="false">IF($E131="","",IF($M131,IF(AND($G131&gt;=CI$5,$G131&lt;CI$5+GanttPeriod),"◆",IF(AND($E131&gt;=CI$5,$E131&lt;CI$5+GanttPeriod),"◇","")),IF(AND(CI$5&lt;=$F131,CI$5+GanttPeriod-1&gt;=$E131),"━","")))</f>
        <v/>
      </c>
      <c r="CJ131" s="69" t="str">
        <f aca="false">IF($E131="","",IF($M131,IF(AND($G131&gt;=CJ$5,$G131&lt;CJ$5+GanttPeriod),"◆",IF(AND($E131&gt;=CJ$5,$E131&lt;CJ$5+GanttPeriod),"◇","")),IF(AND(CJ$5&lt;=$F131,CJ$5+GanttPeriod-1&gt;=$E131),"━","")))</f>
        <v/>
      </c>
      <c r="CK131" s="69" t="str">
        <f aca="false">IF($E131="","",IF($M131,IF(AND($G131&gt;=CK$5,$G131&lt;CK$5+GanttPeriod),"◆",IF(AND($E131&gt;=CK$5,$E131&lt;CK$5+GanttPeriod),"◇","")),IF(AND(CK$5&lt;=$F131,CK$5+GanttPeriod-1&gt;=$E131),"━","")))</f>
        <v/>
      </c>
      <c r="CL131" s="69" t="str">
        <f aca="false">IF($E131="","",IF($M131,IF(AND($G131&gt;=CL$5,$G131&lt;CL$5+GanttPeriod),"◆",IF(AND($E131&gt;=CL$5,$E131&lt;CL$5+GanttPeriod),"◇","")),IF(AND(CL$5&lt;=$F131,CL$5+GanttPeriod-1&gt;=$E131),"━","")))</f>
        <v/>
      </c>
      <c r="CM131" s="69" t="str">
        <f aca="false">IF($E131="","",IF($M131,IF(AND($G131&gt;=CM$5,$G131&lt;CM$5+GanttPeriod),"◆",IF(AND($E131&gt;=CM$5,$E131&lt;CM$5+GanttPeriod),"◇","")),IF(AND(CM$5&lt;=$F131,CM$5+GanttPeriod-1&gt;=$E131),"━","")))</f>
        <v/>
      </c>
      <c r="CN131" s="69" t="str">
        <f aca="false">IF($E131="","",IF($M131,IF(AND($G131&gt;=CN$5,$G131&lt;CN$5+GanttPeriod),"◆",IF(AND($E131&gt;=CN$5,$E131&lt;CN$5+GanttPeriod),"◇","")),IF(AND(CN$5&lt;=$F131,CN$5+GanttPeriod-1&gt;=$E131),"━","")))</f>
        <v/>
      </c>
      <c r="CO131" s="69" t="str">
        <f aca="false">IF($E131="","",IF($M131,IF(AND($G131&gt;=CO$5,$G131&lt;CO$5+GanttPeriod),"◆",IF(AND($E131&gt;=CO$5,$E131&lt;CO$5+GanttPeriod),"◇","")),IF(AND(CO$5&lt;=$F131,CO$5+GanttPeriod-1&gt;=$E131),"━","")))</f>
        <v/>
      </c>
      <c r="CP131" s="69" t="str">
        <f aca="false">IF($E131="","",IF($M131,IF(AND($G131&gt;=CP$5,$G131&lt;CP$5+GanttPeriod),"◆",IF(AND($E131&gt;=CP$5,$E131&lt;CP$5+GanttPeriod),"◇","")),IF(AND(CP$5&lt;=$F131,CP$5+GanttPeriod-1&gt;=$E131),"━","")))</f>
        <v/>
      </c>
      <c r="CQ131" s="69" t="str">
        <f aca="false">IF($E131="","",IF($M131,IF(AND($G131&gt;=CQ$5,$G131&lt;CQ$5+GanttPeriod),"◆",IF(AND($E131&gt;=CQ$5,$E131&lt;CQ$5+GanttPeriod),"◇","")),IF(AND(CQ$5&lt;=$F131,CQ$5+GanttPeriod-1&gt;=$E131),"━","")))</f>
        <v/>
      </c>
      <c r="CR131" s="69" t="str">
        <f aca="false">IF($E131="","",IF($M131,IF(AND($G131&gt;=CR$5,$G131&lt;CR$5+GanttPeriod),"◆",IF(AND($E131&gt;=CR$5,$E131&lt;CR$5+GanttPeriod),"◇","")),IF(AND(CR$5&lt;=$F131,CR$5+GanttPeriod-1&gt;=$E131),"━","")))</f>
        <v/>
      </c>
      <c r="CS131" s="69" t="str">
        <f aca="false">IF($E131="","",IF($M131,IF(AND($G131&gt;=CS$5,$G131&lt;CS$5+GanttPeriod),"◆",IF(AND($E131&gt;=CS$5,$E131&lt;CS$5+GanttPeriod),"◇","")),IF(AND(CS$5&lt;=$F131,CS$5+GanttPeriod-1&gt;=$E131),"━","")))</f>
        <v/>
      </c>
      <c r="CT131" s="69" t="str">
        <f aca="false">IF($E131="","",IF($M131,IF(AND($G131&gt;=CT$5,$G131&lt;CT$5+GanttPeriod),"◆",IF(AND($E131&gt;=CT$5,$E131&lt;CT$5+GanttPeriod),"◇","")),IF(AND(CT$5&lt;=$F131,CT$5+GanttPeriod-1&gt;=$E131),"━","")))</f>
        <v/>
      </c>
      <c r="CU131" s="69" t="str">
        <f aca="false">IF($E131="","",IF($M131,IF(AND($G131&gt;=CU$5,$G131&lt;CU$5+GanttPeriod),"◆",IF(AND($E131&gt;=CU$5,$E131&lt;CU$5+GanttPeriod),"◇","")),IF(AND(CU$5&lt;=$F131,CU$5+GanttPeriod-1&gt;=$E131),"━","")))</f>
        <v/>
      </c>
      <c r="CV131" s="69" t="str">
        <f aca="false">IF($E131="","",IF($M131,IF(AND($G131&gt;=CV$5,$G131&lt;CV$5+GanttPeriod),"◆",IF(AND($E131&gt;=CV$5,$E131&lt;CV$5+GanttPeriod),"◇","")),IF(AND(CV$5&lt;=$F131,CV$5+GanttPeriod-1&gt;=$E131),"━","")))</f>
        <v/>
      </c>
      <c r="CW131" s="69" t="str">
        <f aca="false">IF($E131="","",IF($M131,IF(AND($G131&gt;=CW$5,$G131&lt;CW$5+GanttPeriod),"◆",IF(AND($E131&gt;=CW$5,$E131&lt;CW$5+GanttPeriod),"◇","")),IF(AND(CW$5&lt;=$F131,CW$5+GanttPeriod-1&gt;=$E131),"━","")))</f>
        <v/>
      </c>
      <c r="CX131" s="69" t="str">
        <f aca="false">IF($E131="","",IF($M131,IF(AND($G131&gt;=CX$5,$G131&lt;CX$5+GanttPeriod),"◆",IF(AND($E131&gt;=CX$5,$E131&lt;CX$5+GanttPeriod),"◇","")),IF(AND(CX$5&lt;=$F131,CX$5+GanttPeriod-1&gt;=$E131),"━","")))</f>
        <v/>
      </c>
      <c r="CY131" s="69" t="str">
        <f aca="false">IF($E131="","",IF($M131,IF(AND($G131&gt;=CY$5,$G131&lt;CY$5+GanttPeriod),"◆",IF(AND($E131&gt;=CY$5,$E131&lt;CY$5+GanttPeriod),"◇","")),IF(AND(CY$5&lt;=$F131,CY$5+GanttPeriod-1&gt;=$E131),"━","")))</f>
        <v/>
      </c>
      <c r="CZ131" s="69" t="str">
        <f aca="false">IF($E131="","",IF($M131,IF(AND($G131&gt;=CZ$5,$G131&lt;CZ$5+GanttPeriod),"◆",IF(AND($E131&gt;=CZ$5,$E131&lt;CZ$5+GanttPeriod),"◇","")),IF(AND(CZ$5&lt;=$F131,CZ$5+GanttPeriod-1&gt;=$E131),"━","")))</f>
        <v/>
      </c>
      <c r="DA131" s="69" t="str">
        <f aca="false">IF($E131="","",IF($M131,IF(AND($G131&gt;=DA$5,$G131&lt;DA$5+GanttPeriod),"◆",IF(AND($E131&gt;=DA$5,$E131&lt;DA$5+GanttPeriod),"◇","")),IF(AND(DA$5&lt;=$F131,DA$5+GanttPeriod-1&gt;=$E131),"━","")))</f>
        <v/>
      </c>
      <c r="DB131" s="69" t="str">
        <f aca="false">IF($E131="","",IF($M131,IF(AND($G131&gt;=DB$5,$G131&lt;DB$5+GanttPeriod),"◆",IF(AND($E131&gt;=DB$5,$E131&lt;DB$5+GanttPeriod),"◇","")),IF(AND(DB$5&lt;=$F131,DB$5+GanttPeriod-1&gt;=$E131),"━","")))</f>
        <v/>
      </c>
      <c r="DC131" s="69" t="str">
        <f aca="false">IF($E131="","",IF($M131,IF(AND($G131&gt;=DC$5,$G131&lt;DC$5+GanttPeriod),"◆",IF(AND($E131&gt;=DC$5,$E131&lt;DC$5+GanttPeriod),"◇","")),IF(AND(DC$5&lt;=$F131,DC$5+GanttPeriod-1&gt;=$E131),"━","")))</f>
        <v/>
      </c>
      <c r="DD131" s="69" t="str">
        <f aca="false">IF($E131="","",IF($M131,IF(AND($G131&gt;=DD$5,$G131&lt;DD$5+GanttPeriod),"◆",IF(AND($E131&gt;=DD$5,$E131&lt;DD$5+GanttPeriod),"◇","")),IF(AND(DD$5&lt;=$F131,DD$5+GanttPeriod-1&gt;=$E131),"━","")))</f>
        <v/>
      </c>
      <c r="DE131" s="69" t="str">
        <f aca="false">IF($E131="","",IF($M131,IF(AND($G131&gt;=DE$5,$G131&lt;DE$5+GanttPeriod),"◆",IF(AND($E131&gt;=DE$5,$E131&lt;DE$5+GanttPeriod),"◇","")),IF(AND(DE$5&lt;=$F131,DE$5+GanttPeriod-1&gt;=$E131),"━","")))</f>
        <v/>
      </c>
      <c r="DF131" s="69" t="str">
        <f aca="false">IF($E131="","",IF($M131,IF(AND($G131&gt;=DF$5,$G131&lt;DF$5+GanttPeriod),"◆",IF(AND($E131&gt;=DF$5,$E131&lt;DF$5+GanttPeriod),"◇","")),IF(AND(DF$5&lt;=$F131,DF$5+GanttPeriod-1&gt;=$E131),"━","")))</f>
        <v/>
      </c>
      <c r="DG131" s="69" t="str">
        <f aca="false">IF($E131="","",IF($M131,IF(AND($G131&gt;=DG$5,$G131&lt;DG$5+GanttPeriod),"◆",IF(AND($E131&gt;=DG$5,$E131&lt;DG$5+GanttPeriod),"◇","")),IF(AND(DG$5&lt;=$F131,DG$5+GanttPeriod-1&gt;=$E131),"━","")))</f>
        <v/>
      </c>
      <c r="DH131" s="69" t="str">
        <f aca="false">IF($E131="","",IF($M131,IF(AND($G131&gt;=DH$5,$G131&lt;DH$5+GanttPeriod),"◆",IF(AND($E131&gt;=DH$5,$E131&lt;DH$5+GanttPeriod),"◇","")),IF(AND(DH$5&lt;=$F131,DH$5+GanttPeriod-1&gt;=$E131),"━","")))</f>
        <v/>
      </c>
      <c r="DI131" s="69" t="str">
        <f aca="false">IF($E131="","",IF($M131,IF(AND($G131&gt;=DI$5,$G131&lt;DI$5+GanttPeriod),"◆",IF(AND($E131&gt;=DI$5,$E131&lt;DI$5+GanttPeriod),"◇","")),IF(AND(DI$5&lt;=$F131,DI$5+GanttPeriod-1&gt;=$E131),"━","")))</f>
        <v/>
      </c>
      <c r="DJ131" s="69" t="str">
        <f aca="false">IF($E131="","",IF($M131,IF(AND($G131&gt;=DJ$5,$G131&lt;DJ$5+GanttPeriod),"◆",IF(AND($E131&gt;=DJ$5,$E131&lt;DJ$5+GanttPeriod),"◇","")),IF(AND(DJ$5&lt;=$F131,DJ$5+GanttPeriod-1&gt;=$E131),"━","")))</f>
        <v/>
      </c>
      <c r="DK131" s="69" t="str">
        <f aca="false">IF($E131="","",IF($M131,IF(AND($G131&gt;=DK$5,$G131&lt;DK$5+GanttPeriod),"◆",IF(AND($E131&gt;=DK$5,$E131&lt;DK$5+GanttPeriod),"◇","")),IF(AND(DK$5&lt;=$F131,DK$5+GanttPeriod-1&gt;=$E131),"━","")))</f>
        <v/>
      </c>
      <c r="DL131" s="69" t="str">
        <f aca="false">IF($E131="","",IF($M131,IF(AND($G131&gt;=DL$5,$G131&lt;DL$5+GanttPeriod),"◆",IF(AND($E131&gt;=DL$5,$E131&lt;DL$5+GanttPeriod),"◇","")),IF(AND(DL$5&lt;=$F131,DL$5+GanttPeriod-1&gt;=$E131),"━","")))</f>
        <v/>
      </c>
      <c r="DM131" s="69" t="str">
        <f aca="false">IF($E131="","",IF($M131,IF(AND($G131&gt;=DM$5,$G131&lt;DM$5+GanttPeriod),"◆",IF(AND($E131&gt;=DM$5,$E131&lt;DM$5+GanttPeriod),"◇","")),IF(AND(DM$5&lt;=$F131,DM$5+GanttPeriod-1&gt;=$E131),"━","")))</f>
        <v/>
      </c>
      <c r="DN131" s="69" t="str">
        <f aca="false">IF($E131="","",IF($M131,IF(AND($G131&gt;=DN$5,$G131&lt;DN$5+GanttPeriod),"◆",IF(AND($E131&gt;=DN$5,$E131&lt;DN$5+GanttPeriod),"◇","")),IF(AND(DN$5&lt;=$F131,DN$5+GanttPeriod-1&gt;=$E131),"━","")))</f>
        <v/>
      </c>
      <c r="DO131" s="69" t="str">
        <f aca="false">IF($E131="","",IF($M131,IF(AND($G131&gt;=DO$5,$G131&lt;DO$5+GanttPeriod),"◆",IF(AND($E131&gt;=DO$5,$E131&lt;DO$5+GanttPeriod),"◇","")),IF(AND(DO$5&lt;=$F131,DO$5+GanttPeriod-1&gt;=$E131),"━","")))</f>
        <v/>
      </c>
      <c r="DP131" s="69" t="str">
        <f aca="false">IF($E131="","",IF($M131,IF(AND($G131&gt;=DP$5,$G131&lt;DP$5+GanttPeriod),"◆",IF(AND($E131&gt;=DP$5,$E131&lt;DP$5+GanttPeriod),"◇","")),IF(AND(DP$5&lt;=$F131,DP$5+GanttPeriod-1&gt;=$E131),"━","")))</f>
        <v/>
      </c>
      <c r="DQ131" s="69" t="str">
        <f aca="false">IF($E131="","",IF($M131,IF(AND($G131&gt;=DQ$5,$G131&lt;DQ$5+GanttPeriod),"◆",IF(AND($E131&gt;=DQ$5,$E131&lt;DQ$5+GanttPeriod),"◇","")),IF(AND(DQ$5&lt;=$F131,DQ$5+GanttPeriod-1&gt;=$E131),"━","")))</f>
        <v/>
      </c>
      <c r="DR131" s="69" t="str">
        <f aca="false">IF($E131="","",IF($M131,IF(AND($G131&gt;=DR$5,$G131&lt;DR$5+GanttPeriod),"◆",IF(AND($E131&gt;=DR$5,$E131&lt;DR$5+GanttPeriod),"◇","")),IF(AND(DR$5&lt;=$F131,DR$5+GanttPeriod-1&gt;=$E131),"━","")))</f>
        <v/>
      </c>
      <c r="DS131" s="69" t="str">
        <f aca="false">IF($E131="","",IF($M131,IF(AND($G131&gt;=DS$5,$G131&lt;DS$5+GanttPeriod),"◆",IF(AND($E131&gt;=DS$5,$E131&lt;DS$5+GanttPeriod),"◇","")),IF(AND(DS$5&lt;=$F131,DS$5+GanttPeriod-1&gt;=$E131),"━","")))</f>
        <v/>
      </c>
      <c r="DT131" s="69" t="str">
        <f aca="false">IF($E131="","",IF($M131,IF(AND($G131&gt;=DT$5,$G131&lt;DT$5+GanttPeriod),"◆",IF(AND($E131&gt;=DT$5,$E131&lt;DT$5+GanttPeriod),"◇","")),IF(AND(DT$5&lt;=$F131,DT$5+GanttPeriod-1&gt;=$E131),"━","")))</f>
        <v/>
      </c>
      <c r="DU131" s="69" t="str">
        <f aca="false">IF($E131="","",IF($M131,IF(AND($G131&gt;=DU$5,$G131&lt;DU$5+GanttPeriod),"◆",IF(AND($E131&gt;=DU$5,$E131&lt;DU$5+GanttPeriod),"◇","")),IF(AND(DU$5&lt;=$F131,DU$5+GanttPeriod-1&gt;=$E131),"━","")))</f>
        <v/>
      </c>
      <c r="DV131" s="69" t="str">
        <f aca="false">IF($E131="","",IF($M131,IF(AND($G131&gt;=DV$5,$G131&lt;DV$5+GanttPeriod),"◆",IF(AND($E131&gt;=DV$5,$E131&lt;DV$5+GanttPeriod),"◇","")),IF(AND(DV$5&lt;=$F131,DV$5+GanttPeriod-1&gt;=$E131),"━","")))</f>
        <v/>
      </c>
      <c r="DW131" s="69" t="str">
        <f aca="false">IF($E131="","",IF($M131,IF(AND($G131&gt;=DW$5,$G131&lt;DW$5+GanttPeriod),"◆",IF(AND($E131&gt;=DW$5,$E131&lt;DW$5+GanttPeriod),"◇","")),IF(AND(DW$5&lt;=$F131,DW$5+GanttPeriod-1&gt;=$E131),"━","")))</f>
        <v/>
      </c>
      <c r="DX131" s="69" t="str">
        <f aca="false">IF($E131="","",IF($M131,IF(AND($G131&gt;=DX$5,$G131&lt;DX$5+GanttPeriod),"◆",IF(AND($E131&gt;=DX$5,$E131&lt;DX$5+GanttPeriod),"◇","")),IF(AND(DX$5&lt;=$F131,DX$5+GanttPeriod-1&gt;=$E131),"━","")))</f>
        <v/>
      </c>
      <c r="DY131" s="69" t="str">
        <f aca="false">IF($E131="","",IF($M131,IF(AND($G131&gt;=DY$5,$G131&lt;DY$5+GanttPeriod),"◆",IF(AND($E131&gt;=DY$5,$E131&lt;DY$5+GanttPeriod),"◇","")),IF(AND(DY$5&lt;=$F131,DY$5+GanttPeriod-1&gt;=$E131),"━","")))</f>
        <v/>
      </c>
      <c r="DZ131" s="69" t="str">
        <f aca="false">IF($E131="","",IF($M131,IF(AND($G131&gt;=DZ$5,$G131&lt;DZ$5+GanttPeriod),"◆",IF(AND($E131&gt;=DZ$5,$E131&lt;DZ$5+GanttPeriod),"◇","")),IF(AND(DZ$5&lt;=$F131,DZ$5+GanttPeriod-1&gt;=$E131),"━","")))</f>
        <v/>
      </c>
      <c r="EA131" s="69" t="str">
        <f aca="false">IF($E131="","",IF($M131,IF(AND($G131&gt;=EA$5,$G131&lt;EA$5+GanttPeriod),"◆",IF(AND($E131&gt;=EA$5,$E131&lt;EA$5+GanttPeriod),"◇","")),IF(AND(EA$5&lt;=$F131,EA$5+GanttPeriod-1&gt;=$E131),"━","")))</f>
        <v/>
      </c>
      <c r="EB131" s="69" t="str">
        <f aca="false">IF($E131="","",IF($M131,IF(AND($G131&gt;=EB$5,$G131&lt;EB$5+GanttPeriod),"◆",IF(AND($E131&gt;=EB$5,$E131&lt;EB$5+GanttPeriod),"◇","")),IF(AND(EB$5&lt;=$F131,EB$5+GanttPeriod-1&gt;=$E131),"━","")))</f>
        <v/>
      </c>
      <c r="EC131" s="69" t="str">
        <f aca="false">IF($E131="","",IF($M131,IF(AND($G131&gt;=EC$5,$G131&lt;EC$5+GanttPeriod),"◆",IF(AND($E131&gt;=EC$5,$E131&lt;EC$5+GanttPeriod),"◇","")),IF(AND(EC$5&lt;=$F131,EC$5+GanttPeriod-1&gt;=$E131),"━","")))</f>
        <v/>
      </c>
      <c r="ED131" s="69" t="str">
        <f aca="false">IF($E131="","",IF($M131,IF(AND($G131&gt;=ED$5,$G131&lt;ED$5+GanttPeriod),"◆",IF(AND($E131&gt;=ED$5,$E131&lt;ED$5+GanttPeriod),"◇","")),IF(AND(ED$5&lt;=$F131,ED$5+GanttPeriod-1&gt;=$E131),"━","")))</f>
        <v/>
      </c>
      <c r="EE131" s="69" t="str">
        <f aca="false">IF($E131="","",IF($M131,IF(AND($G131&gt;=EE$5,$G131&lt;EE$5+GanttPeriod),"◆",IF(AND($E131&gt;=EE$5,$E131&lt;EE$5+GanttPeriod),"◇","")),IF(AND(EE$5&lt;=$F131,EE$5+GanttPeriod-1&gt;=$E131),"━","")))</f>
        <v/>
      </c>
      <c r="EF131" s="69" t="str">
        <f aca="false">IF($E131="","",IF($M131,IF(AND($G131&gt;=EF$5,$G131&lt;EF$5+GanttPeriod),"◆",IF(AND($E131&gt;=EF$5,$E131&lt;EF$5+GanttPeriod),"◇","")),IF(AND(EF$5&lt;=$F131,EF$5+GanttPeriod-1&gt;=$E131),"━","")))</f>
        <v/>
      </c>
      <c r="EG131" s="69" t="str">
        <f aca="false">IF($E131="","",IF($M131,IF(AND($G131&gt;=EG$5,$G131&lt;EG$5+GanttPeriod),"◆",IF(AND($E131&gt;=EG$5,$E131&lt;EG$5+GanttPeriod),"◇","")),IF(AND(EG$5&lt;=$F131,EG$5+GanttPeriod-1&gt;=$E131),"━","")))</f>
        <v/>
      </c>
      <c r="EH131" s="69" t="str">
        <f aca="false">IF($E131="","",IF($M131,IF(AND($G131&gt;=EH$5,$G131&lt;EH$5+GanttPeriod),"◆",IF(AND($E131&gt;=EH$5,$E131&lt;EH$5+GanttPeriod),"◇","")),IF(AND(EH$5&lt;=$F131,EH$5+GanttPeriod-1&gt;=$E131),"━","")))</f>
        <v/>
      </c>
      <c r="EI131" s="69" t="str">
        <f aca="false">IF($E131="","",IF($M131,IF(AND($G131&gt;=EI$5,$G131&lt;EI$5+GanttPeriod),"◆",IF(AND($E131&gt;=EI$5,$E131&lt;EI$5+GanttPeriod),"◇","")),IF(AND(EI$5&lt;=$F131,EI$5+GanttPeriod-1&gt;=$E131),"━","")))</f>
        <v/>
      </c>
      <c r="EJ131" s="69" t="str">
        <f aca="false">IF($E131="","",IF($M131,IF(AND($G131&gt;=EJ$5,$G131&lt;EJ$5+GanttPeriod),"◆",IF(AND($E131&gt;=EJ$5,$E131&lt;EJ$5+GanttPeriod),"◇","")),IF(AND(EJ$5&lt;=$F131,EJ$5+GanttPeriod-1&gt;=$E131),"━","")))</f>
        <v/>
      </c>
      <c r="EK131" s="69" t="str">
        <f aca="false">IF($E131="","",IF($M131,IF(AND($G131&gt;=EK$5,$G131&lt;EK$5+GanttPeriod),"◆",IF(AND($E131&gt;=EK$5,$E131&lt;EK$5+GanttPeriod),"◇","")),IF(AND(EK$5&lt;=$F131,EK$5+GanttPeriod-1&gt;=$E131),"━","")))</f>
        <v/>
      </c>
      <c r="EL131" s="69" t="str">
        <f aca="false">IF($E131="","",IF($M131,IF(AND($G131&gt;=EL$5,$G131&lt;EL$5+GanttPeriod),"◆",IF(AND($E131&gt;=EL$5,$E131&lt;EL$5+GanttPeriod),"◇","")),IF(AND(EL$5&lt;=$F131,EL$5+GanttPeriod-1&gt;=$E131),"━","")))</f>
        <v/>
      </c>
      <c r="EM131" s="69" t="str">
        <f aca="false">IF($E131="","",IF($M131,IF(AND($G131&gt;=EM$5,$G131&lt;EM$5+GanttPeriod),"◆",IF(AND($E131&gt;=EM$5,$E131&lt;EM$5+GanttPeriod),"◇","")),IF(AND(EM$5&lt;=$F131,EM$5+GanttPeriod-1&gt;=$E131),"━","")))</f>
        <v/>
      </c>
      <c r="EN131" s="69" t="str">
        <f aca="false">IF($E131="","",IF($M131,IF(AND($G131&gt;=EN$5,$G131&lt;EN$5+GanttPeriod),"◆",IF(AND($E131&gt;=EN$5,$E131&lt;EN$5+GanttPeriod),"◇","")),IF(AND(EN$5&lt;=$F131,EN$5+GanttPeriod-1&gt;=$E131),"━","")))</f>
        <v/>
      </c>
      <c r="EO131" s="69" t="str">
        <f aca="false">IF($E131="","",IF($M131,IF(AND($G131&gt;=EO$5,$G131&lt;EO$5+GanttPeriod),"◆",IF(AND($E131&gt;=EO$5,$E131&lt;EO$5+GanttPeriod),"◇","")),IF(AND(EO$5&lt;=$F131,EO$5+GanttPeriod-1&gt;=$E131),"━","")))</f>
        <v/>
      </c>
      <c r="EP131" s="69" t="str">
        <f aca="false">IF($E131="","",IF($M131,IF(AND($G131&gt;=EP$5,$G131&lt;EP$5+GanttPeriod),"◆",IF(AND($E131&gt;=EP$5,$E131&lt;EP$5+GanttPeriod),"◇","")),IF(AND(EP$5&lt;=$F131,EP$5+GanttPeriod-1&gt;=$E131),"━","")))</f>
        <v/>
      </c>
      <c r="EQ131" s="69" t="str">
        <f aca="false">IF($E131="","",IF($M131,IF(AND($G131&gt;=EQ$5,$G131&lt;EQ$5+GanttPeriod),"◆",IF(AND($E131&gt;=EQ$5,$E131&lt;EQ$5+GanttPeriod),"◇","")),IF(AND(EQ$5&lt;=$F131,EQ$5+GanttPeriod-1&gt;=$E131),"━","")))</f>
        <v/>
      </c>
      <c r="ER131" s="69" t="str">
        <f aca="false">IF($E131="","",IF($M131,IF(AND($G131&gt;=ER$5,$G131&lt;ER$5+GanttPeriod),"◆",IF(AND($E131&gt;=ER$5,$E131&lt;ER$5+GanttPeriod),"◇","")),IF(AND(ER$5&lt;=$F131,ER$5+GanttPeriod-1&gt;=$E131),"━","")))</f>
        <v/>
      </c>
      <c r="ES131" s="69" t="str">
        <f aca="false">IF($E131="","",IF($M131,IF(AND($G131&gt;=ES$5,$G131&lt;ES$5+GanttPeriod),"◆",IF(AND($E131&gt;=ES$5,$E131&lt;ES$5+GanttPeriod),"◇","")),IF(AND(ES$5&lt;=$F131,ES$5+GanttPeriod-1&gt;=$E131),"━","")))</f>
        <v/>
      </c>
      <c r="ET131" s="69" t="str">
        <f aca="false">IF($E131="","",IF($M131,IF(AND($G131&gt;=ET$5,$G131&lt;ET$5+GanttPeriod),"◆",IF(AND($E131&gt;=ET$5,$E131&lt;ET$5+GanttPeriod),"◇","")),IF(AND(ET$5&lt;=$F131,ET$5+GanttPeriod-1&gt;=$E131),"━","")))</f>
        <v/>
      </c>
      <c r="EU131" s="69" t="str">
        <f aca="false">IF($E131="","",IF($M131,IF(AND($G131&gt;=EU$5,$G131&lt;EU$5+GanttPeriod),"◆",IF(AND($E131&gt;=EU$5,$E131&lt;EU$5+GanttPeriod),"◇","")),IF(AND(EU$5&lt;=$F131,EU$5+GanttPeriod-1&gt;=$E131),"━","")))</f>
        <v/>
      </c>
      <c r="EV131" s="69" t="str">
        <f aca="false">IF($E131="","",IF($M131,IF(AND($G131&gt;=EV$5,$G131&lt;EV$5+GanttPeriod),"◆",IF(AND($E131&gt;=EV$5,$E131&lt;EV$5+GanttPeriod),"◇","")),IF(AND(EV$5&lt;=$F131,EV$5+GanttPeriod-1&gt;=$E131),"━","")))</f>
        <v/>
      </c>
      <c r="EW131" s="69" t="str">
        <f aca="false">IF($E131="","",IF($M131,IF(AND($G131&gt;=EW$5,$G131&lt;EW$5+GanttPeriod),"◆",IF(AND($E131&gt;=EW$5,$E131&lt;EW$5+GanttPeriod),"◇","")),IF(AND(EW$5&lt;=$F131,EW$5+GanttPeriod-1&gt;=$E131),"━","")))</f>
        <v/>
      </c>
      <c r="EX131" s="69" t="str">
        <f aca="false">IF($E131="","",IF($M131,IF(AND($G131&gt;=EX$5,$G131&lt;EX$5+GanttPeriod),"◆",IF(AND($E131&gt;=EX$5,$E131&lt;EX$5+GanttPeriod),"◇","")),IF(AND(EX$5&lt;=$F131,EX$5+GanttPeriod-1&gt;=$E131),"━","")))</f>
        <v/>
      </c>
      <c r="EY131" s="69" t="str">
        <f aca="false">IF($E131="","",IF($M131,IF(AND($G131&gt;=EY$5,$G131&lt;EY$5+GanttPeriod),"◆",IF(AND($E131&gt;=EY$5,$E131&lt;EY$5+GanttPeriod),"◇","")),IF(AND(EY$5&lt;=$F131,EY$5+GanttPeriod-1&gt;=$E131),"━","")))</f>
        <v/>
      </c>
      <c r="EZ131" s="69" t="str">
        <f aca="false">IF($E131="","",IF($M131,IF(AND($G131&gt;=EZ$5,$G131&lt;EZ$5+GanttPeriod),"◆",IF(AND($E131&gt;=EZ$5,$E131&lt;EZ$5+GanttPeriod),"◇","")),IF(AND(EZ$5&lt;=$F131,EZ$5+GanttPeriod-1&gt;=$E131),"━","")))</f>
        <v/>
      </c>
      <c r="FA131" s="69" t="str">
        <f aca="false">IF($E131="","",IF($M131,IF(AND($G131&gt;=FA$5,$G131&lt;FA$5+GanttPeriod),"◆",IF(AND($E131&gt;=FA$5,$E131&lt;FA$5+GanttPeriod),"◇","")),IF(AND(FA$5&lt;=$F131,FA$5+GanttPeriod-1&gt;=$E131),"━","")))</f>
        <v/>
      </c>
      <c r="FB131" s="69" t="str">
        <f aca="false">IF($E131="","",IF($M131,IF(AND($G131&gt;=FB$5,$G131&lt;FB$5+GanttPeriod),"◆",IF(AND($E131&gt;=FB$5,$E131&lt;FB$5+GanttPeriod),"◇","")),IF(AND(FB$5&lt;=$F131,FB$5+GanttPeriod-1&gt;=$E131),"━","")))</f>
        <v/>
      </c>
      <c r="FC131" s="69" t="str">
        <f aca="false">IF($E131="","",IF($M131,IF(AND($G131&gt;=FC$5,$G131&lt;FC$5+GanttPeriod),"◆",IF(AND($E131&gt;=FC$5,$E131&lt;FC$5+GanttPeriod),"◇","")),IF(AND(FC$5&lt;=$F131,FC$5+GanttPeriod-1&gt;=$E131),"━","")))</f>
        <v/>
      </c>
      <c r="FD131" s="69" t="str">
        <f aca="false">IF($E131="","",IF($M131,IF(AND($G131&gt;=FD$5,$G131&lt;FD$5+GanttPeriod),"◆",IF(AND($E131&gt;=FD$5,$E131&lt;FD$5+GanttPeriod),"◇","")),IF(AND(FD$5&lt;=$F131,FD$5+GanttPeriod-1&gt;=$E131),"━","")))</f>
        <v/>
      </c>
      <c r="FE131" s="69" t="str">
        <f aca="false">IF($E131="","",IF($M131,IF(AND($G131&gt;=FE$5,$G131&lt;FE$5+GanttPeriod),"◆",IF(AND($E131&gt;=FE$5,$E131&lt;FE$5+GanttPeriod),"◇","")),IF(AND(FE$5&lt;=$F131,FE$5+GanttPeriod-1&gt;=$E131),"━","")))</f>
        <v/>
      </c>
      <c r="FF131" s="69" t="str">
        <f aca="false">IF($E131="","",IF($M131,IF(AND($G131&gt;=FF$5,$G131&lt;FF$5+GanttPeriod),"◆",IF(AND($E131&gt;=FF$5,$E131&lt;FF$5+GanttPeriod),"◇","")),IF(AND(FF$5&lt;=$F131,FF$5+GanttPeriod-1&gt;=$E131),"━","")))</f>
        <v/>
      </c>
      <c r="FG131" s="69" t="str">
        <f aca="false">IF($E131="","",IF($M131,IF(AND($G131&gt;=FG$5,$G131&lt;FG$5+GanttPeriod),"◆",IF(AND($E131&gt;=FG$5,$E131&lt;FG$5+GanttPeriod),"◇","")),IF(AND(FG$5&lt;=$F131,FG$5+GanttPeriod-1&gt;=$E131),"━","")))</f>
        <v/>
      </c>
      <c r="FH131" s="69" t="str">
        <f aca="false">IF($E131="","",IF($M131,IF(AND($G131&gt;=FH$5,$G131&lt;FH$5+GanttPeriod),"◆",IF(AND($E131&gt;=FH$5,$E131&lt;FH$5+GanttPeriod),"◇","")),IF(AND(FH$5&lt;=$F131,FH$5+GanttPeriod-1&gt;=$E131),"━","")))</f>
        <v/>
      </c>
      <c r="FI131" s="69" t="str">
        <f aca="false">IF($E131="","",IF($M131,IF(AND($G131&gt;=FI$5,$G131&lt;FI$5+GanttPeriod),"◆",IF(AND($E131&gt;=FI$5,$E131&lt;FI$5+GanttPeriod),"◇","")),IF(AND(FI$5&lt;=$F131,FI$5+GanttPeriod-1&gt;=$E131),"━","")))</f>
        <v/>
      </c>
      <c r="FJ131" s="69" t="str">
        <f aca="false">IF($E131="","",IF($M131,IF(AND($G131&gt;=FJ$5,$G131&lt;FJ$5+GanttPeriod),"◆",IF(AND($E131&gt;=FJ$5,$E131&lt;FJ$5+GanttPeriod),"◇","")),IF(AND(FJ$5&lt;=$F131,FJ$5+GanttPeriod-1&gt;=$E131),"━","")))</f>
        <v/>
      </c>
      <c r="FK131" s="69" t="str">
        <f aca="false">IF($E131="","",IF($M131,IF(AND($G131&gt;=FK$5,$G131&lt;FK$5+GanttPeriod),"◆",IF(AND($E131&gt;=FK$5,$E131&lt;FK$5+GanttPeriod),"◇","")),IF(AND(FK$5&lt;=$F131,FK$5+GanttPeriod-1&gt;=$E131),"━","")))</f>
        <v/>
      </c>
      <c r="FL131" s="69" t="str">
        <f aca="false">IF($E131="","",IF($M131,IF(AND($G131&gt;=FL$5,$G131&lt;FL$5+GanttPeriod),"◆",IF(AND($E131&gt;=FL$5,$E131&lt;FL$5+GanttPeriod),"◇","")),IF(AND(FL$5&lt;=$F131,FL$5+GanttPeriod-1&gt;=$E131),"━","")))</f>
        <v/>
      </c>
      <c r="FM131" s="69" t="str">
        <f aca="false">IF($E131="","",IF($M131,IF(AND($G131&gt;=FM$5,$G131&lt;FM$5+GanttPeriod),"◆",IF(AND($E131&gt;=FM$5,$E131&lt;FM$5+GanttPeriod),"◇","")),IF(AND(FM$5&lt;=$F131,FM$5+GanttPeriod-1&gt;=$E131),"━","")))</f>
        <v/>
      </c>
    </row>
    <row r="132" customFormat="false" ht="15" hidden="false" customHeight="false" outlineLevel="0" collapsed="false">
      <c r="A132" s="62" t="str">
        <f aca="false">IF(Tasks!$D132="","",Tasks!$A132)</f>
        <v/>
      </c>
      <c r="B132" s="62" t="str">
        <f aca="false">IF(Tasks!$D132="","",Tasks!$B132)</f>
        <v/>
      </c>
      <c r="C132" s="63" t="str">
        <f aca="false">IF(Tasks!$D132="","",REPT("    ",Tasks!$AE132-1)&amp;Tasks!$D132)</f>
        <v/>
      </c>
      <c r="D132" s="62" t="str">
        <f aca="false">IF(Tasks!$D132="","",IF(Tasks!$AI132,NETWORKDAYS.INTL(Tasks!$R132,Tasks!$S132,WorkWeek,Holidays),N(Tasks!$F132)))</f>
        <v/>
      </c>
      <c r="E132" s="64" t="str">
        <f aca="false">IF(Tasks!$D132="","",Tasks!$N132)</f>
        <v/>
      </c>
      <c r="F132" s="64" t="str">
        <f aca="false">IF(Tasks!$D132="","",Tasks!$O132)</f>
        <v/>
      </c>
      <c r="G132" s="64" t="str">
        <f aca="false">IF(Tasks!$D132="","",Tasks!$R132)</f>
        <v/>
      </c>
      <c r="H132" s="64" t="str">
        <f aca="false">IF(Tasks!$D132="","",Tasks!$S132)</f>
        <v/>
      </c>
      <c r="I132" s="65" t="str">
        <f aca="false">IF(Tasks!$D132="","",Tasks!$V132)</f>
        <v/>
      </c>
      <c r="J132" s="63" t="str">
        <f aca="false">IF(Tasks!$D132="","",Tasks!$X132&amp;"")</f>
        <v/>
      </c>
      <c r="K132" s="66" t="str">
        <f aca="false">IF(Tasks!$D132="","",Tasks!$W132)</f>
        <v/>
      </c>
      <c r="L132" s="67" t="b">
        <f aca="false">IF(Tasks!$D132="",FALSE(),Tasks!$AI132)</f>
        <v>0</v>
      </c>
      <c r="M132" s="67" t="b">
        <f aca="false">AND(Tasks!$AJ132=1,N(Tasks!$F132)=0)</f>
        <v>0</v>
      </c>
      <c r="N132" s="68" t="n">
        <f aca="false">IF(AND(Tasks!$AJ132=1,NOT($M132),N($I132)&gt;0),$G132,0)</f>
        <v>0</v>
      </c>
      <c r="O132" s="68" t="n">
        <f aca="false">IF($N132=0,0,IF($I132&gt;=1,$H132,MAX($N132,$G132+ROUND(($H132-$G132+1)*$I132,0)-1)))</f>
        <v>0</v>
      </c>
      <c r="P132" s="68" t="n">
        <f aca="false">IF(OR(Tasks!$AJ132&lt;&gt;1,$M132,N($I132)&gt;=1),0,IF($O132&gt;0,$O132+1,$G132))</f>
        <v>0</v>
      </c>
      <c r="Q132" s="68" t="n">
        <f aca="false">IF($P132=0,0,$H132)</f>
        <v>0</v>
      </c>
      <c r="R132" s="67" t="b">
        <f aca="false">AND(Tasks!$D132&lt;&gt;"",N(Tasks!$T132)&gt;0)</f>
        <v>0</v>
      </c>
      <c r="T132" s="69" t="str">
        <f aca="false">IF($E132="","",IF($M132,IF(AND($G132&gt;=T$5,$G132&lt;T$5+GanttPeriod),"◆",IF(AND($E132&gt;=T$5,$E132&lt;T$5+GanttPeriod),"◇","")),IF(AND(T$5&lt;=$F132,T$5+GanttPeriod-1&gt;=$E132),"━","")))</f>
        <v/>
      </c>
      <c r="U132" s="69" t="str">
        <f aca="false">IF($E132="","",IF($M132,IF(AND($G132&gt;=U$5,$G132&lt;U$5+GanttPeriod),"◆",IF(AND($E132&gt;=U$5,$E132&lt;U$5+GanttPeriod),"◇","")),IF(AND(U$5&lt;=$F132,U$5+GanttPeriod-1&gt;=$E132),"━","")))</f>
        <v/>
      </c>
      <c r="V132" s="69" t="str">
        <f aca="false">IF($E132="","",IF($M132,IF(AND($G132&gt;=V$5,$G132&lt;V$5+GanttPeriod),"◆",IF(AND($E132&gt;=V$5,$E132&lt;V$5+GanttPeriod),"◇","")),IF(AND(V$5&lt;=$F132,V$5+GanttPeriod-1&gt;=$E132),"━","")))</f>
        <v/>
      </c>
      <c r="W132" s="69" t="str">
        <f aca="false">IF($E132="","",IF($M132,IF(AND($G132&gt;=W$5,$G132&lt;W$5+GanttPeriod),"◆",IF(AND($E132&gt;=W$5,$E132&lt;W$5+GanttPeriod),"◇","")),IF(AND(W$5&lt;=$F132,W$5+GanttPeriod-1&gt;=$E132),"━","")))</f>
        <v/>
      </c>
      <c r="X132" s="69" t="str">
        <f aca="false">IF($E132="","",IF($M132,IF(AND($G132&gt;=X$5,$G132&lt;X$5+GanttPeriod),"◆",IF(AND($E132&gt;=X$5,$E132&lt;X$5+GanttPeriod),"◇","")),IF(AND(X$5&lt;=$F132,X$5+GanttPeriod-1&gt;=$E132),"━","")))</f>
        <v/>
      </c>
      <c r="Y132" s="69" t="str">
        <f aca="false">IF($E132="","",IF($M132,IF(AND($G132&gt;=Y$5,$G132&lt;Y$5+GanttPeriod),"◆",IF(AND($E132&gt;=Y$5,$E132&lt;Y$5+GanttPeriod),"◇","")),IF(AND(Y$5&lt;=$F132,Y$5+GanttPeriod-1&gt;=$E132),"━","")))</f>
        <v/>
      </c>
      <c r="Z132" s="69" t="str">
        <f aca="false">IF($E132="","",IF($M132,IF(AND($G132&gt;=Z$5,$G132&lt;Z$5+GanttPeriod),"◆",IF(AND($E132&gt;=Z$5,$E132&lt;Z$5+GanttPeriod),"◇","")),IF(AND(Z$5&lt;=$F132,Z$5+GanttPeriod-1&gt;=$E132),"━","")))</f>
        <v/>
      </c>
      <c r="AA132" s="69" t="str">
        <f aca="false">IF($E132="","",IF($M132,IF(AND($G132&gt;=AA$5,$G132&lt;AA$5+GanttPeriod),"◆",IF(AND($E132&gt;=AA$5,$E132&lt;AA$5+GanttPeriod),"◇","")),IF(AND(AA$5&lt;=$F132,AA$5+GanttPeriod-1&gt;=$E132),"━","")))</f>
        <v/>
      </c>
      <c r="AB132" s="69" t="str">
        <f aca="false">IF($E132="","",IF($M132,IF(AND($G132&gt;=AB$5,$G132&lt;AB$5+GanttPeriod),"◆",IF(AND($E132&gt;=AB$5,$E132&lt;AB$5+GanttPeriod),"◇","")),IF(AND(AB$5&lt;=$F132,AB$5+GanttPeriod-1&gt;=$E132),"━","")))</f>
        <v/>
      </c>
      <c r="AC132" s="69" t="str">
        <f aca="false">IF($E132="","",IF($M132,IF(AND($G132&gt;=AC$5,$G132&lt;AC$5+GanttPeriod),"◆",IF(AND($E132&gt;=AC$5,$E132&lt;AC$5+GanttPeriod),"◇","")),IF(AND(AC$5&lt;=$F132,AC$5+GanttPeriod-1&gt;=$E132),"━","")))</f>
        <v/>
      </c>
      <c r="AD132" s="69" t="str">
        <f aca="false">IF($E132="","",IF($M132,IF(AND($G132&gt;=AD$5,$G132&lt;AD$5+GanttPeriod),"◆",IF(AND($E132&gt;=AD$5,$E132&lt;AD$5+GanttPeriod),"◇","")),IF(AND(AD$5&lt;=$F132,AD$5+GanttPeriod-1&gt;=$E132),"━","")))</f>
        <v/>
      </c>
      <c r="AE132" s="69" t="str">
        <f aca="false">IF($E132="","",IF($M132,IF(AND($G132&gt;=AE$5,$G132&lt;AE$5+GanttPeriod),"◆",IF(AND($E132&gt;=AE$5,$E132&lt;AE$5+GanttPeriod),"◇","")),IF(AND(AE$5&lt;=$F132,AE$5+GanttPeriod-1&gt;=$E132),"━","")))</f>
        <v/>
      </c>
      <c r="AF132" s="69" t="str">
        <f aca="false">IF($E132="","",IF($M132,IF(AND($G132&gt;=AF$5,$G132&lt;AF$5+GanttPeriod),"◆",IF(AND($E132&gt;=AF$5,$E132&lt;AF$5+GanttPeriod),"◇","")),IF(AND(AF$5&lt;=$F132,AF$5+GanttPeriod-1&gt;=$E132),"━","")))</f>
        <v/>
      </c>
      <c r="AG132" s="69" t="str">
        <f aca="false">IF($E132="","",IF($M132,IF(AND($G132&gt;=AG$5,$G132&lt;AG$5+GanttPeriod),"◆",IF(AND($E132&gt;=AG$5,$E132&lt;AG$5+GanttPeriod),"◇","")),IF(AND(AG$5&lt;=$F132,AG$5+GanttPeriod-1&gt;=$E132),"━","")))</f>
        <v/>
      </c>
      <c r="AH132" s="69" t="str">
        <f aca="false">IF($E132="","",IF($M132,IF(AND($G132&gt;=AH$5,$G132&lt;AH$5+GanttPeriod),"◆",IF(AND($E132&gt;=AH$5,$E132&lt;AH$5+GanttPeriod),"◇","")),IF(AND(AH$5&lt;=$F132,AH$5+GanttPeriod-1&gt;=$E132),"━","")))</f>
        <v/>
      </c>
      <c r="AI132" s="69" t="str">
        <f aca="false">IF($E132="","",IF($M132,IF(AND($G132&gt;=AI$5,$G132&lt;AI$5+GanttPeriod),"◆",IF(AND($E132&gt;=AI$5,$E132&lt;AI$5+GanttPeriod),"◇","")),IF(AND(AI$5&lt;=$F132,AI$5+GanttPeriod-1&gt;=$E132),"━","")))</f>
        <v/>
      </c>
      <c r="AJ132" s="69" t="str">
        <f aca="false">IF($E132="","",IF($M132,IF(AND($G132&gt;=AJ$5,$G132&lt;AJ$5+GanttPeriod),"◆",IF(AND($E132&gt;=AJ$5,$E132&lt;AJ$5+GanttPeriod),"◇","")),IF(AND(AJ$5&lt;=$F132,AJ$5+GanttPeriod-1&gt;=$E132),"━","")))</f>
        <v/>
      </c>
      <c r="AK132" s="69" t="str">
        <f aca="false">IF($E132="","",IF($M132,IF(AND($G132&gt;=AK$5,$G132&lt;AK$5+GanttPeriod),"◆",IF(AND($E132&gt;=AK$5,$E132&lt;AK$5+GanttPeriod),"◇","")),IF(AND(AK$5&lt;=$F132,AK$5+GanttPeriod-1&gt;=$E132),"━","")))</f>
        <v/>
      </c>
      <c r="AL132" s="69" t="str">
        <f aca="false">IF($E132="","",IF($M132,IF(AND($G132&gt;=AL$5,$G132&lt;AL$5+GanttPeriod),"◆",IF(AND($E132&gt;=AL$5,$E132&lt;AL$5+GanttPeriod),"◇","")),IF(AND(AL$5&lt;=$F132,AL$5+GanttPeriod-1&gt;=$E132),"━","")))</f>
        <v/>
      </c>
      <c r="AM132" s="69" t="str">
        <f aca="false">IF($E132="","",IF($M132,IF(AND($G132&gt;=AM$5,$G132&lt;AM$5+GanttPeriod),"◆",IF(AND($E132&gt;=AM$5,$E132&lt;AM$5+GanttPeriod),"◇","")),IF(AND(AM$5&lt;=$F132,AM$5+GanttPeriod-1&gt;=$E132),"━","")))</f>
        <v/>
      </c>
      <c r="AN132" s="69" t="str">
        <f aca="false">IF($E132="","",IF($M132,IF(AND($G132&gt;=AN$5,$G132&lt;AN$5+GanttPeriod),"◆",IF(AND($E132&gt;=AN$5,$E132&lt;AN$5+GanttPeriod),"◇","")),IF(AND(AN$5&lt;=$F132,AN$5+GanttPeriod-1&gt;=$E132),"━","")))</f>
        <v/>
      </c>
      <c r="AO132" s="69" t="str">
        <f aca="false">IF($E132="","",IF($M132,IF(AND($G132&gt;=AO$5,$G132&lt;AO$5+GanttPeriod),"◆",IF(AND($E132&gt;=AO$5,$E132&lt;AO$5+GanttPeriod),"◇","")),IF(AND(AO$5&lt;=$F132,AO$5+GanttPeriod-1&gt;=$E132),"━","")))</f>
        <v/>
      </c>
      <c r="AP132" s="69" t="str">
        <f aca="false">IF($E132="","",IF($M132,IF(AND($G132&gt;=AP$5,$G132&lt;AP$5+GanttPeriod),"◆",IF(AND($E132&gt;=AP$5,$E132&lt;AP$5+GanttPeriod),"◇","")),IF(AND(AP$5&lt;=$F132,AP$5+GanttPeriod-1&gt;=$E132),"━","")))</f>
        <v/>
      </c>
      <c r="AQ132" s="69" t="str">
        <f aca="false">IF($E132="","",IF($M132,IF(AND($G132&gt;=AQ$5,$G132&lt;AQ$5+GanttPeriod),"◆",IF(AND($E132&gt;=AQ$5,$E132&lt;AQ$5+GanttPeriod),"◇","")),IF(AND(AQ$5&lt;=$F132,AQ$5+GanttPeriod-1&gt;=$E132),"━","")))</f>
        <v/>
      </c>
      <c r="AR132" s="69" t="str">
        <f aca="false">IF($E132="","",IF($M132,IF(AND($G132&gt;=AR$5,$G132&lt;AR$5+GanttPeriod),"◆",IF(AND($E132&gt;=AR$5,$E132&lt;AR$5+GanttPeriod),"◇","")),IF(AND(AR$5&lt;=$F132,AR$5+GanttPeriod-1&gt;=$E132),"━","")))</f>
        <v/>
      </c>
      <c r="AS132" s="69" t="str">
        <f aca="false">IF($E132="","",IF($M132,IF(AND($G132&gt;=AS$5,$G132&lt;AS$5+GanttPeriod),"◆",IF(AND($E132&gt;=AS$5,$E132&lt;AS$5+GanttPeriod),"◇","")),IF(AND(AS$5&lt;=$F132,AS$5+GanttPeriod-1&gt;=$E132),"━","")))</f>
        <v/>
      </c>
      <c r="AT132" s="69" t="str">
        <f aca="false">IF($E132="","",IF($M132,IF(AND($G132&gt;=AT$5,$G132&lt;AT$5+GanttPeriod),"◆",IF(AND($E132&gt;=AT$5,$E132&lt;AT$5+GanttPeriod),"◇","")),IF(AND(AT$5&lt;=$F132,AT$5+GanttPeriod-1&gt;=$E132),"━","")))</f>
        <v/>
      </c>
      <c r="AU132" s="69" t="str">
        <f aca="false">IF($E132="","",IF($M132,IF(AND($G132&gt;=AU$5,$G132&lt;AU$5+GanttPeriod),"◆",IF(AND($E132&gt;=AU$5,$E132&lt;AU$5+GanttPeriod),"◇","")),IF(AND(AU$5&lt;=$F132,AU$5+GanttPeriod-1&gt;=$E132),"━","")))</f>
        <v/>
      </c>
      <c r="AV132" s="69" t="str">
        <f aca="false">IF($E132="","",IF($M132,IF(AND($G132&gt;=AV$5,$G132&lt;AV$5+GanttPeriod),"◆",IF(AND($E132&gt;=AV$5,$E132&lt;AV$5+GanttPeriod),"◇","")),IF(AND(AV$5&lt;=$F132,AV$5+GanttPeriod-1&gt;=$E132),"━","")))</f>
        <v/>
      </c>
      <c r="AW132" s="69" t="str">
        <f aca="false">IF($E132="","",IF($M132,IF(AND($G132&gt;=AW$5,$G132&lt;AW$5+GanttPeriod),"◆",IF(AND($E132&gt;=AW$5,$E132&lt;AW$5+GanttPeriod),"◇","")),IF(AND(AW$5&lt;=$F132,AW$5+GanttPeriod-1&gt;=$E132),"━","")))</f>
        <v/>
      </c>
      <c r="AX132" s="69" t="str">
        <f aca="false">IF($E132="","",IF($M132,IF(AND($G132&gt;=AX$5,$G132&lt;AX$5+GanttPeriod),"◆",IF(AND($E132&gt;=AX$5,$E132&lt;AX$5+GanttPeriod),"◇","")),IF(AND(AX$5&lt;=$F132,AX$5+GanttPeriod-1&gt;=$E132),"━","")))</f>
        <v/>
      </c>
      <c r="AY132" s="69" t="str">
        <f aca="false">IF($E132="","",IF($M132,IF(AND($G132&gt;=AY$5,$G132&lt;AY$5+GanttPeriod),"◆",IF(AND($E132&gt;=AY$5,$E132&lt;AY$5+GanttPeriod),"◇","")),IF(AND(AY$5&lt;=$F132,AY$5+GanttPeriod-1&gt;=$E132),"━","")))</f>
        <v/>
      </c>
      <c r="AZ132" s="69" t="str">
        <f aca="false">IF($E132="","",IF($M132,IF(AND($G132&gt;=AZ$5,$G132&lt;AZ$5+GanttPeriod),"◆",IF(AND($E132&gt;=AZ$5,$E132&lt;AZ$5+GanttPeriod),"◇","")),IF(AND(AZ$5&lt;=$F132,AZ$5+GanttPeriod-1&gt;=$E132),"━","")))</f>
        <v/>
      </c>
      <c r="BA132" s="69" t="str">
        <f aca="false">IF($E132="","",IF($M132,IF(AND($G132&gt;=BA$5,$G132&lt;BA$5+GanttPeriod),"◆",IF(AND($E132&gt;=BA$5,$E132&lt;BA$5+GanttPeriod),"◇","")),IF(AND(BA$5&lt;=$F132,BA$5+GanttPeriod-1&gt;=$E132),"━","")))</f>
        <v/>
      </c>
      <c r="BB132" s="69" t="str">
        <f aca="false">IF($E132="","",IF($M132,IF(AND($G132&gt;=BB$5,$G132&lt;BB$5+GanttPeriod),"◆",IF(AND($E132&gt;=BB$5,$E132&lt;BB$5+GanttPeriod),"◇","")),IF(AND(BB$5&lt;=$F132,BB$5+GanttPeriod-1&gt;=$E132),"━","")))</f>
        <v/>
      </c>
      <c r="BC132" s="69" t="str">
        <f aca="false">IF($E132="","",IF($M132,IF(AND($G132&gt;=BC$5,$G132&lt;BC$5+GanttPeriod),"◆",IF(AND($E132&gt;=BC$5,$E132&lt;BC$5+GanttPeriod),"◇","")),IF(AND(BC$5&lt;=$F132,BC$5+GanttPeriod-1&gt;=$E132),"━","")))</f>
        <v/>
      </c>
      <c r="BD132" s="69" t="str">
        <f aca="false">IF($E132="","",IF($M132,IF(AND($G132&gt;=BD$5,$G132&lt;BD$5+GanttPeriod),"◆",IF(AND($E132&gt;=BD$5,$E132&lt;BD$5+GanttPeriod),"◇","")),IF(AND(BD$5&lt;=$F132,BD$5+GanttPeriod-1&gt;=$E132),"━","")))</f>
        <v/>
      </c>
      <c r="BE132" s="69" t="str">
        <f aca="false">IF($E132="","",IF($M132,IF(AND($G132&gt;=BE$5,$G132&lt;BE$5+GanttPeriod),"◆",IF(AND($E132&gt;=BE$5,$E132&lt;BE$5+GanttPeriod),"◇","")),IF(AND(BE$5&lt;=$F132,BE$5+GanttPeriod-1&gt;=$E132),"━","")))</f>
        <v/>
      </c>
      <c r="BF132" s="69" t="str">
        <f aca="false">IF($E132="","",IF($M132,IF(AND($G132&gt;=BF$5,$G132&lt;BF$5+GanttPeriod),"◆",IF(AND($E132&gt;=BF$5,$E132&lt;BF$5+GanttPeriod),"◇","")),IF(AND(BF$5&lt;=$F132,BF$5+GanttPeriod-1&gt;=$E132),"━","")))</f>
        <v/>
      </c>
      <c r="BG132" s="69" t="str">
        <f aca="false">IF($E132="","",IF($M132,IF(AND($G132&gt;=BG$5,$G132&lt;BG$5+GanttPeriod),"◆",IF(AND($E132&gt;=BG$5,$E132&lt;BG$5+GanttPeriod),"◇","")),IF(AND(BG$5&lt;=$F132,BG$5+GanttPeriod-1&gt;=$E132),"━","")))</f>
        <v/>
      </c>
      <c r="BH132" s="69" t="str">
        <f aca="false">IF($E132="","",IF($M132,IF(AND($G132&gt;=BH$5,$G132&lt;BH$5+GanttPeriod),"◆",IF(AND($E132&gt;=BH$5,$E132&lt;BH$5+GanttPeriod),"◇","")),IF(AND(BH$5&lt;=$F132,BH$5+GanttPeriod-1&gt;=$E132),"━","")))</f>
        <v/>
      </c>
      <c r="BI132" s="69" t="str">
        <f aca="false">IF($E132="","",IF($M132,IF(AND($G132&gt;=BI$5,$G132&lt;BI$5+GanttPeriod),"◆",IF(AND($E132&gt;=BI$5,$E132&lt;BI$5+GanttPeriod),"◇","")),IF(AND(BI$5&lt;=$F132,BI$5+GanttPeriod-1&gt;=$E132),"━","")))</f>
        <v/>
      </c>
      <c r="BJ132" s="69" t="str">
        <f aca="false">IF($E132="","",IF($M132,IF(AND($G132&gt;=BJ$5,$G132&lt;BJ$5+GanttPeriod),"◆",IF(AND($E132&gt;=BJ$5,$E132&lt;BJ$5+GanttPeriod),"◇","")),IF(AND(BJ$5&lt;=$F132,BJ$5+GanttPeriod-1&gt;=$E132),"━","")))</f>
        <v/>
      </c>
      <c r="BK132" s="69" t="str">
        <f aca="false">IF($E132="","",IF($M132,IF(AND($G132&gt;=BK$5,$G132&lt;BK$5+GanttPeriod),"◆",IF(AND($E132&gt;=BK$5,$E132&lt;BK$5+GanttPeriod),"◇","")),IF(AND(BK$5&lt;=$F132,BK$5+GanttPeriod-1&gt;=$E132),"━","")))</f>
        <v/>
      </c>
      <c r="BL132" s="69" t="str">
        <f aca="false">IF($E132="","",IF($M132,IF(AND($G132&gt;=BL$5,$G132&lt;BL$5+GanttPeriod),"◆",IF(AND($E132&gt;=BL$5,$E132&lt;BL$5+GanttPeriod),"◇","")),IF(AND(BL$5&lt;=$F132,BL$5+GanttPeriod-1&gt;=$E132),"━","")))</f>
        <v/>
      </c>
      <c r="BM132" s="69" t="str">
        <f aca="false">IF($E132="","",IF($M132,IF(AND($G132&gt;=BM$5,$G132&lt;BM$5+GanttPeriod),"◆",IF(AND($E132&gt;=BM$5,$E132&lt;BM$5+GanttPeriod),"◇","")),IF(AND(BM$5&lt;=$F132,BM$5+GanttPeriod-1&gt;=$E132),"━","")))</f>
        <v/>
      </c>
      <c r="BN132" s="69" t="str">
        <f aca="false">IF($E132="","",IF($M132,IF(AND($G132&gt;=BN$5,$G132&lt;BN$5+GanttPeriod),"◆",IF(AND($E132&gt;=BN$5,$E132&lt;BN$5+GanttPeriod),"◇","")),IF(AND(BN$5&lt;=$F132,BN$5+GanttPeriod-1&gt;=$E132),"━","")))</f>
        <v/>
      </c>
      <c r="BO132" s="69" t="str">
        <f aca="false">IF($E132="","",IF($M132,IF(AND($G132&gt;=BO$5,$G132&lt;BO$5+GanttPeriod),"◆",IF(AND($E132&gt;=BO$5,$E132&lt;BO$5+GanttPeriod),"◇","")),IF(AND(BO$5&lt;=$F132,BO$5+GanttPeriod-1&gt;=$E132),"━","")))</f>
        <v/>
      </c>
      <c r="BP132" s="69" t="str">
        <f aca="false">IF($E132="","",IF($M132,IF(AND($G132&gt;=BP$5,$G132&lt;BP$5+GanttPeriod),"◆",IF(AND($E132&gt;=BP$5,$E132&lt;BP$5+GanttPeriod),"◇","")),IF(AND(BP$5&lt;=$F132,BP$5+GanttPeriod-1&gt;=$E132),"━","")))</f>
        <v/>
      </c>
      <c r="BQ132" s="69" t="str">
        <f aca="false">IF($E132="","",IF($M132,IF(AND($G132&gt;=BQ$5,$G132&lt;BQ$5+GanttPeriod),"◆",IF(AND($E132&gt;=BQ$5,$E132&lt;BQ$5+GanttPeriod),"◇","")),IF(AND(BQ$5&lt;=$F132,BQ$5+GanttPeriod-1&gt;=$E132),"━","")))</f>
        <v/>
      </c>
      <c r="BR132" s="69" t="str">
        <f aca="false">IF($E132="","",IF($M132,IF(AND($G132&gt;=BR$5,$G132&lt;BR$5+GanttPeriod),"◆",IF(AND($E132&gt;=BR$5,$E132&lt;BR$5+GanttPeriod),"◇","")),IF(AND(BR$5&lt;=$F132,BR$5+GanttPeriod-1&gt;=$E132),"━","")))</f>
        <v/>
      </c>
      <c r="BS132" s="69" t="str">
        <f aca="false">IF($E132="","",IF($M132,IF(AND($G132&gt;=BS$5,$G132&lt;BS$5+GanttPeriod),"◆",IF(AND($E132&gt;=BS$5,$E132&lt;BS$5+GanttPeriod),"◇","")),IF(AND(BS$5&lt;=$F132,BS$5+GanttPeriod-1&gt;=$E132),"━","")))</f>
        <v/>
      </c>
      <c r="BT132" s="69" t="str">
        <f aca="false">IF($E132="","",IF($M132,IF(AND($G132&gt;=BT$5,$G132&lt;BT$5+GanttPeriod),"◆",IF(AND($E132&gt;=BT$5,$E132&lt;BT$5+GanttPeriod),"◇","")),IF(AND(BT$5&lt;=$F132,BT$5+GanttPeriod-1&gt;=$E132),"━","")))</f>
        <v/>
      </c>
      <c r="BU132" s="69" t="str">
        <f aca="false">IF($E132="","",IF($M132,IF(AND($G132&gt;=BU$5,$G132&lt;BU$5+GanttPeriod),"◆",IF(AND($E132&gt;=BU$5,$E132&lt;BU$5+GanttPeriod),"◇","")),IF(AND(BU$5&lt;=$F132,BU$5+GanttPeriod-1&gt;=$E132),"━","")))</f>
        <v/>
      </c>
      <c r="BV132" s="69" t="str">
        <f aca="false">IF($E132="","",IF($M132,IF(AND($G132&gt;=BV$5,$G132&lt;BV$5+GanttPeriod),"◆",IF(AND($E132&gt;=BV$5,$E132&lt;BV$5+GanttPeriod),"◇","")),IF(AND(BV$5&lt;=$F132,BV$5+GanttPeriod-1&gt;=$E132),"━","")))</f>
        <v/>
      </c>
      <c r="BW132" s="69" t="str">
        <f aca="false">IF($E132="","",IF($M132,IF(AND($G132&gt;=BW$5,$G132&lt;BW$5+GanttPeriod),"◆",IF(AND($E132&gt;=BW$5,$E132&lt;BW$5+GanttPeriod),"◇","")),IF(AND(BW$5&lt;=$F132,BW$5+GanttPeriod-1&gt;=$E132),"━","")))</f>
        <v/>
      </c>
      <c r="BX132" s="69" t="str">
        <f aca="false">IF($E132="","",IF($M132,IF(AND($G132&gt;=BX$5,$G132&lt;BX$5+GanttPeriod),"◆",IF(AND($E132&gt;=BX$5,$E132&lt;BX$5+GanttPeriod),"◇","")),IF(AND(BX$5&lt;=$F132,BX$5+GanttPeriod-1&gt;=$E132),"━","")))</f>
        <v/>
      </c>
      <c r="BY132" s="69" t="str">
        <f aca="false">IF($E132="","",IF($M132,IF(AND($G132&gt;=BY$5,$G132&lt;BY$5+GanttPeriod),"◆",IF(AND($E132&gt;=BY$5,$E132&lt;BY$5+GanttPeriod),"◇","")),IF(AND(BY$5&lt;=$F132,BY$5+GanttPeriod-1&gt;=$E132),"━","")))</f>
        <v/>
      </c>
      <c r="BZ132" s="69" t="str">
        <f aca="false">IF($E132="","",IF($M132,IF(AND($G132&gt;=BZ$5,$G132&lt;BZ$5+GanttPeriod),"◆",IF(AND($E132&gt;=BZ$5,$E132&lt;BZ$5+GanttPeriod),"◇","")),IF(AND(BZ$5&lt;=$F132,BZ$5+GanttPeriod-1&gt;=$E132),"━","")))</f>
        <v/>
      </c>
      <c r="CA132" s="69" t="str">
        <f aca="false">IF($E132="","",IF($M132,IF(AND($G132&gt;=CA$5,$G132&lt;CA$5+GanttPeriod),"◆",IF(AND($E132&gt;=CA$5,$E132&lt;CA$5+GanttPeriod),"◇","")),IF(AND(CA$5&lt;=$F132,CA$5+GanttPeriod-1&gt;=$E132),"━","")))</f>
        <v/>
      </c>
      <c r="CB132" s="69" t="str">
        <f aca="false">IF($E132="","",IF($M132,IF(AND($G132&gt;=CB$5,$G132&lt;CB$5+GanttPeriod),"◆",IF(AND($E132&gt;=CB$5,$E132&lt;CB$5+GanttPeriod),"◇","")),IF(AND(CB$5&lt;=$F132,CB$5+GanttPeriod-1&gt;=$E132),"━","")))</f>
        <v/>
      </c>
      <c r="CC132" s="69" t="str">
        <f aca="false">IF($E132="","",IF($M132,IF(AND($G132&gt;=CC$5,$G132&lt;CC$5+GanttPeriod),"◆",IF(AND($E132&gt;=CC$5,$E132&lt;CC$5+GanttPeriod),"◇","")),IF(AND(CC$5&lt;=$F132,CC$5+GanttPeriod-1&gt;=$E132),"━","")))</f>
        <v/>
      </c>
      <c r="CD132" s="69" t="str">
        <f aca="false">IF($E132="","",IF($M132,IF(AND($G132&gt;=CD$5,$G132&lt;CD$5+GanttPeriod),"◆",IF(AND($E132&gt;=CD$5,$E132&lt;CD$5+GanttPeriod),"◇","")),IF(AND(CD$5&lt;=$F132,CD$5+GanttPeriod-1&gt;=$E132),"━","")))</f>
        <v/>
      </c>
      <c r="CE132" s="69" t="str">
        <f aca="false">IF($E132="","",IF($M132,IF(AND($G132&gt;=CE$5,$G132&lt;CE$5+GanttPeriod),"◆",IF(AND($E132&gt;=CE$5,$E132&lt;CE$5+GanttPeriod),"◇","")),IF(AND(CE$5&lt;=$F132,CE$5+GanttPeriod-1&gt;=$E132),"━","")))</f>
        <v/>
      </c>
      <c r="CF132" s="69" t="str">
        <f aca="false">IF($E132="","",IF($M132,IF(AND($G132&gt;=CF$5,$G132&lt;CF$5+GanttPeriod),"◆",IF(AND($E132&gt;=CF$5,$E132&lt;CF$5+GanttPeriod),"◇","")),IF(AND(CF$5&lt;=$F132,CF$5+GanttPeriod-1&gt;=$E132),"━","")))</f>
        <v/>
      </c>
      <c r="CG132" s="69" t="str">
        <f aca="false">IF($E132="","",IF($M132,IF(AND($G132&gt;=CG$5,$G132&lt;CG$5+GanttPeriod),"◆",IF(AND($E132&gt;=CG$5,$E132&lt;CG$5+GanttPeriod),"◇","")),IF(AND(CG$5&lt;=$F132,CG$5+GanttPeriod-1&gt;=$E132),"━","")))</f>
        <v/>
      </c>
      <c r="CH132" s="69" t="str">
        <f aca="false">IF($E132="","",IF($M132,IF(AND($G132&gt;=CH$5,$G132&lt;CH$5+GanttPeriod),"◆",IF(AND($E132&gt;=CH$5,$E132&lt;CH$5+GanttPeriod),"◇","")),IF(AND(CH$5&lt;=$F132,CH$5+GanttPeriod-1&gt;=$E132),"━","")))</f>
        <v/>
      </c>
      <c r="CI132" s="69" t="str">
        <f aca="false">IF($E132="","",IF($M132,IF(AND($G132&gt;=CI$5,$G132&lt;CI$5+GanttPeriod),"◆",IF(AND($E132&gt;=CI$5,$E132&lt;CI$5+GanttPeriod),"◇","")),IF(AND(CI$5&lt;=$F132,CI$5+GanttPeriod-1&gt;=$E132),"━","")))</f>
        <v/>
      </c>
      <c r="CJ132" s="69" t="str">
        <f aca="false">IF($E132="","",IF($M132,IF(AND($G132&gt;=CJ$5,$G132&lt;CJ$5+GanttPeriod),"◆",IF(AND($E132&gt;=CJ$5,$E132&lt;CJ$5+GanttPeriod),"◇","")),IF(AND(CJ$5&lt;=$F132,CJ$5+GanttPeriod-1&gt;=$E132),"━","")))</f>
        <v/>
      </c>
      <c r="CK132" s="69" t="str">
        <f aca="false">IF($E132="","",IF($M132,IF(AND($G132&gt;=CK$5,$G132&lt;CK$5+GanttPeriod),"◆",IF(AND($E132&gt;=CK$5,$E132&lt;CK$5+GanttPeriod),"◇","")),IF(AND(CK$5&lt;=$F132,CK$5+GanttPeriod-1&gt;=$E132),"━","")))</f>
        <v/>
      </c>
      <c r="CL132" s="69" t="str">
        <f aca="false">IF($E132="","",IF($M132,IF(AND($G132&gt;=CL$5,$G132&lt;CL$5+GanttPeriod),"◆",IF(AND($E132&gt;=CL$5,$E132&lt;CL$5+GanttPeriod),"◇","")),IF(AND(CL$5&lt;=$F132,CL$5+GanttPeriod-1&gt;=$E132),"━","")))</f>
        <v/>
      </c>
      <c r="CM132" s="69" t="str">
        <f aca="false">IF($E132="","",IF($M132,IF(AND($G132&gt;=CM$5,$G132&lt;CM$5+GanttPeriod),"◆",IF(AND($E132&gt;=CM$5,$E132&lt;CM$5+GanttPeriod),"◇","")),IF(AND(CM$5&lt;=$F132,CM$5+GanttPeriod-1&gt;=$E132),"━","")))</f>
        <v/>
      </c>
      <c r="CN132" s="69" t="str">
        <f aca="false">IF($E132="","",IF($M132,IF(AND($G132&gt;=CN$5,$G132&lt;CN$5+GanttPeriod),"◆",IF(AND($E132&gt;=CN$5,$E132&lt;CN$5+GanttPeriod),"◇","")),IF(AND(CN$5&lt;=$F132,CN$5+GanttPeriod-1&gt;=$E132),"━","")))</f>
        <v/>
      </c>
      <c r="CO132" s="69" t="str">
        <f aca="false">IF($E132="","",IF($M132,IF(AND($G132&gt;=CO$5,$G132&lt;CO$5+GanttPeriod),"◆",IF(AND($E132&gt;=CO$5,$E132&lt;CO$5+GanttPeriod),"◇","")),IF(AND(CO$5&lt;=$F132,CO$5+GanttPeriod-1&gt;=$E132),"━","")))</f>
        <v/>
      </c>
      <c r="CP132" s="69" t="str">
        <f aca="false">IF($E132="","",IF($M132,IF(AND($G132&gt;=CP$5,$G132&lt;CP$5+GanttPeriod),"◆",IF(AND($E132&gt;=CP$5,$E132&lt;CP$5+GanttPeriod),"◇","")),IF(AND(CP$5&lt;=$F132,CP$5+GanttPeriod-1&gt;=$E132),"━","")))</f>
        <v/>
      </c>
      <c r="CQ132" s="69" t="str">
        <f aca="false">IF($E132="","",IF($M132,IF(AND($G132&gt;=CQ$5,$G132&lt;CQ$5+GanttPeriod),"◆",IF(AND($E132&gt;=CQ$5,$E132&lt;CQ$5+GanttPeriod),"◇","")),IF(AND(CQ$5&lt;=$F132,CQ$5+GanttPeriod-1&gt;=$E132),"━","")))</f>
        <v/>
      </c>
      <c r="CR132" s="69" t="str">
        <f aca="false">IF($E132="","",IF($M132,IF(AND($G132&gt;=CR$5,$G132&lt;CR$5+GanttPeriod),"◆",IF(AND($E132&gt;=CR$5,$E132&lt;CR$5+GanttPeriod),"◇","")),IF(AND(CR$5&lt;=$F132,CR$5+GanttPeriod-1&gt;=$E132),"━","")))</f>
        <v/>
      </c>
      <c r="CS132" s="69" t="str">
        <f aca="false">IF($E132="","",IF($M132,IF(AND($G132&gt;=CS$5,$G132&lt;CS$5+GanttPeriod),"◆",IF(AND($E132&gt;=CS$5,$E132&lt;CS$5+GanttPeriod),"◇","")),IF(AND(CS$5&lt;=$F132,CS$5+GanttPeriod-1&gt;=$E132),"━","")))</f>
        <v/>
      </c>
      <c r="CT132" s="69" t="str">
        <f aca="false">IF($E132="","",IF($M132,IF(AND($G132&gt;=CT$5,$G132&lt;CT$5+GanttPeriod),"◆",IF(AND($E132&gt;=CT$5,$E132&lt;CT$5+GanttPeriod),"◇","")),IF(AND(CT$5&lt;=$F132,CT$5+GanttPeriod-1&gt;=$E132),"━","")))</f>
        <v/>
      </c>
      <c r="CU132" s="69" t="str">
        <f aca="false">IF($E132="","",IF($M132,IF(AND($G132&gt;=CU$5,$G132&lt;CU$5+GanttPeriod),"◆",IF(AND($E132&gt;=CU$5,$E132&lt;CU$5+GanttPeriod),"◇","")),IF(AND(CU$5&lt;=$F132,CU$5+GanttPeriod-1&gt;=$E132),"━","")))</f>
        <v/>
      </c>
      <c r="CV132" s="69" t="str">
        <f aca="false">IF($E132="","",IF($M132,IF(AND($G132&gt;=CV$5,$G132&lt;CV$5+GanttPeriod),"◆",IF(AND($E132&gt;=CV$5,$E132&lt;CV$5+GanttPeriod),"◇","")),IF(AND(CV$5&lt;=$F132,CV$5+GanttPeriod-1&gt;=$E132),"━","")))</f>
        <v/>
      </c>
      <c r="CW132" s="69" t="str">
        <f aca="false">IF($E132="","",IF($M132,IF(AND($G132&gt;=CW$5,$G132&lt;CW$5+GanttPeriod),"◆",IF(AND($E132&gt;=CW$5,$E132&lt;CW$5+GanttPeriod),"◇","")),IF(AND(CW$5&lt;=$F132,CW$5+GanttPeriod-1&gt;=$E132),"━","")))</f>
        <v/>
      </c>
      <c r="CX132" s="69" t="str">
        <f aca="false">IF($E132="","",IF($M132,IF(AND($G132&gt;=CX$5,$G132&lt;CX$5+GanttPeriod),"◆",IF(AND($E132&gt;=CX$5,$E132&lt;CX$5+GanttPeriod),"◇","")),IF(AND(CX$5&lt;=$F132,CX$5+GanttPeriod-1&gt;=$E132),"━","")))</f>
        <v/>
      </c>
      <c r="CY132" s="69" t="str">
        <f aca="false">IF($E132="","",IF($M132,IF(AND($G132&gt;=CY$5,$G132&lt;CY$5+GanttPeriod),"◆",IF(AND($E132&gt;=CY$5,$E132&lt;CY$5+GanttPeriod),"◇","")),IF(AND(CY$5&lt;=$F132,CY$5+GanttPeriod-1&gt;=$E132),"━","")))</f>
        <v/>
      </c>
      <c r="CZ132" s="69" t="str">
        <f aca="false">IF($E132="","",IF($M132,IF(AND($G132&gt;=CZ$5,$G132&lt;CZ$5+GanttPeriod),"◆",IF(AND($E132&gt;=CZ$5,$E132&lt;CZ$5+GanttPeriod),"◇","")),IF(AND(CZ$5&lt;=$F132,CZ$5+GanttPeriod-1&gt;=$E132),"━","")))</f>
        <v/>
      </c>
      <c r="DA132" s="69" t="str">
        <f aca="false">IF($E132="","",IF($M132,IF(AND($G132&gt;=DA$5,$G132&lt;DA$5+GanttPeriod),"◆",IF(AND($E132&gt;=DA$5,$E132&lt;DA$5+GanttPeriod),"◇","")),IF(AND(DA$5&lt;=$F132,DA$5+GanttPeriod-1&gt;=$E132),"━","")))</f>
        <v/>
      </c>
      <c r="DB132" s="69" t="str">
        <f aca="false">IF($E132="","",IF($M132,IF(AND($G132&gt;=DB$5,$G132&lt;DB$5+GanttPeriod),"◆",IF(AND($E132&gt;=DB$5,$E132&lt;DB$5+GanttPeriod),"◇","")),IF(AND(DB$5&lt;=$F132,DB$5+GanttPeriod-1&gt;=$E132),"━","")))</f>
        <v/>
      </c>
      <c r="DC132" s="69" t="str">
        <f aca="false">IF($E132="","",IF($M132,IF(AND($G132&gt;=DC$5,$G132&lt;DC$5+GanttPeriod),"◆",IF(AND($E132&gt;=DC$5,$E132&lt;DC$5+GanttPeriod),"◇","")),IF(AND(DC$5&lt;=$F132,DC$5+GanttPeriod-1&gt;=$E132),"━","")))</f>
        <v/>
      </c>
      <c r="DD132" s="69" t="str">
        <f aca="false">IF($E132="","",IF($M132,IF(AND($G132&gt;=DD$5,$G132&lt;DD$5+GanttPeriod),"◆",IF(AND($E132&gt;=DD$5,$E132&lt;DD$5+GanttPeriod),"◇","")),IF(AND(DD$5&lt;=$F132,DD$5+GanttPeriod-1&gt;=$E132),"━","")))</f>
        <v/>
      </c>
      <c r="DE132" s="69" t="str">
        <f aca="false">IF($E132="","",IF($M132,IF(AND($G132&gt;=DE$5,$G132&lt;DE$5+GanttPeriod),"◆",IF(AND($E132&gt;=DE$5,$E132&lt;DE$5+GanttPeriod),"◇","")),IF(AND(DE$5&lt;=$F132,DE$5+GanttPeriod-1&gt;=$E132),"━","")))</f>
        <v/>
      </c>
      <c r="DF132" s="69" t="str">
        <f aca="false">IF($E132="","",IF($M132,IF(AND($G132&gt;=DF$5,$G132&lt;DF$5+GanttPeriod),"◆",IF(AND($E132&gt;=DF$5,$E132&lt;DF$5+GanttPeriod),"◇","")),IF(AND(DF$5&lt;=$F132,DF$5+GanttPeriod-1&gt;=$E132),"━","")))</f>
        <v/>
      </c>
      <c r="DG132" s="69" t="str">
        <f aca="false">IF($E132="","",IF($M132,IF(AND($G132&gt;=DG$5,$G132&lt;DG$5+GanttPeriod),"◆",IF(AND($E132&gt;=DG$5,$E132&lt;DG$5+GanttPeriod),"◇","")),IF(AND(DG$5&lt;=$F132,DG$5+GanttPeriod-1&gt;=$E132),"━","")))</f>
        <v/>
      </c>
      <c r="DH132" s="69" t="str">
        <f aca="false">IF($E132="","",IF($M132,IF(AND($G132&gt;=DH$5,$G132&lt;DH$5+GanttPeriod),"◆",IF(AND($E132&gt;=DH$5,$E132&lt;DH$5+GanttPeriod),"◇","")),IF(AND(DH$5&lt;=$F132,DH$5+GanttPeriod-1&gt;=$E132),"━","")))</f>
        <v/>
      </c>
      <c r="DI132" s="69" t="str">
        <f aca="false">IF($E132="","",IF($M132,IF(AND($G132&gt;=DI$5,$G132&lt;DI$5+GanttPeriod),"◆",IF(AND($E132&gt;=DI$5,$E132&lt;DI$5+GanttPeriod),"◇","")),IF(AND(DI$5&lt;=$F132,DI$5+GanttPeriod-1&gt;=$E132),"━","")))</f>
        <v/>
      </c>
      <c r="DJ132" s="69" t="str">
        <f aca="false">IF($E132="","",IF($M132,IF(AND($G132&gt;=DJ$5,$G132&lt;DJ$5+GanttPeriod),"◆",IF(AND($E132&gt;=DJ$5,$E132&lt;DJ$5+GanttPeriod),"◇","")),IF(AND(DJ$5&lt;=$F132,DJ$5+GanttPeriod-1&gt;=$E132),"━","")))</f>
        <v/>
      </c>
      <c r="DK132" s="69" t="str">
        <f aca="false">IF($E132="","",IF($M132,IF(AND($G132&gt;=DK$5,$G132&lt;DK$5+GanttPeriod),"◆",IF(AND($E132&gt;=DK$5,$E132&lt;DK$5+GanttPeriod),"◇","")),IF(AND(DK$5&lt;=$F132,DK$5+GanttPeriod-1&gt;=$E132),"━","")))</f>
        <v/>
      </c>
      <c r="DL132" s="69" t="str">
        <f aca="false">IF($E132="","",IF($M132,IF(AND($G132&gt;=DL$5,$G132&lt;DL$5+GanttPeriod),"◆",IF(AND($E132&gt;=DL$5,$E132&lt;DL$5+GanttPeriod),"◇","")),IF(AND(DL$5&lt;=$F132,DL$5+GanttPeriod-1&gt;=$E132),"━","")))</f>
        <v/>
      </c>
      <c r="DM132" s="69" t="str">
        <f aca="false">IF($E132="","",IF($M132,IF(AND($G132&gt;=DM$5,$G132&lt;DM$5+GanttPeriod),"◆",IF(AND($E132&gt;=DM$5,$E132&lt;DM$5+GanttPeriod),"◇","")),IF(AND(DM$5&lt;=$F132,DM$5+GanttPeriod-1&gt;=$E132),"━","")))</f>
        <v/>
      </c>
      <c r="DN132" s="69" t="str">
        <f aca="false">IF($E132="","",IF($M132,IF(AND($G132&gt;=DN$5,$G132&lt;DN$5+GanttPeriod),"◆",IF(AND($E132&gt;=DN$5,$E132&lt;DN$5+GanttPeriod),"◇","")),IF(AND(DN$5&lt;=$F132,DN$5+GanttPeriod-1&gt;=$E132),"━","")))</f>
        <v/>
      </c>
      <c r="DO132" s="69" t="str">
        <f aca="false">IF($E132="","",IF($M132,IF(AND($G132&gt;=DO$5,$G132&lt;DO$5+GanttPeriod),"◆",IF(AND($E132&gt;=DO$5,$E132&lt;DO$5+GanttPeriod),"◇","")),IF(AND(DO$5&lt;=$F132,DO$5+GanttPeriod-1&gt;=$E132),"━","")))</f>
        <v/>
      </c>
      <c r="DP132" s="69" t="str">
        <f aca="false">IF($E132="","",IF($M132,IF(AND($G132&gt;=DP$5,$G132&lt;DP$5+GanttPeriod),"◆",IF(AND($E132&gt;=DP$5,$E132&lt;DP$5+GanttPeriod),"◇","")),IF(AND(DP$5&lt;=$F132,DP$5+GanttPeriod-1&gt;=$E132),"━","")))</f>
        <v/>
      </c>
      <c r="DQ132" s="69" t="str">
        <f aca="false">IF($E132="","",IF($M132,IF(AND($G132&gt;=DQ$5,$G132&lt;DQ$5+GanttPeriod),"◆",IF(AND($E132&gt;=DQ$5,$E132&lt;DQ$5+GanttPeriod),"◇","")),IF(AND(DQ$5&lt;=$F132,DQ$5+GanttPeriod-1&gt;=$E132),"━","")))</f>
        <v/>
      </c>
      <c r="DR132" s="69" t="str">
        <f aca="false">IF($E132="","",IF($M132,IF(AND($G132&gt;=DR$5,$G132&lt;DR$5+GanttPeriod),"◆",IF(AND($E132&gt;=DR$5,$E132&lt;DR$5+GanttPeriod),"◇","")),IF(AND(DR$5&lt;=$F132,DR$5+GanttPeriod-1&gt;=$E132),"━","")))</f>
        <v/>
      </c>
      <c r="DS132" s="69" t="str">
        <f aca="false">IF($E132="","",IF($M132,IF(AND($G132&gt;=DS$5,$G132&lt;DS$5+GanttPeriod),"◆",IF(AND($E132&gt;=DS$5,$E132&lt;DS$5+GanttPeriod),"◇","")),IF(AND(DS$5&lt;=$F132,DS$5+GanttPeriod-1&gt;=$E132),"━","")))</f>
        <v/>
      </c>
      <c r="DT132" s="69" t="str">
        <f aca="false">IF($E132="","",IF($M132,IF(AND($G132&gt;=DT$5,$G132&lt;DT$5+GanttPeriod),"◆",IF(AND($E132&gt;=DT$5,$E132&lt;DT$5+GanttPeriod),"◇","")),IF(AND(DT$5&lt;=$F132,DT$5+GanttPeriod-1&gt;=$E132),"━","")))</f>
        <v/>
      </c>
      <c r="DU132" s="69" t="str">
        <f aca="false">IF($E132="","",IF($M132,IF(AND($G132&gt;=DU$5,$G132&lt;DU$5+GanttPeriod),"◆",IF(AND($E132&gt;=DU$5,$E132&lt;DU$5+GanttPeriod),"◇","")),IF(AND(DU$5&lt;=$F132,DU$5+GanttPeriod-1&gt;=$E132),"━","")))</f>
        <v/>
      </c>
      <c r="DV132" s="69" t="str">
        <f aca="false">IF($E132="","",IF($M132,IF(AND($G132&gt;=DV$5,$G132&lt;DV$5+GanttPeriod),"◆",IF(AND($E132&gt;=DV$5,$E132&lt;DV$5+GanttPeriod),"◇","")),IF(AND(DV$5&lt;=$F132,DV$5+GanttPeriod-1&gt;=$E132),"━","")))</f>
        <v/>
      </c>
      <c r="DW132" s="69" t="str">
        <f aca="false">IF($E132="","",IF($M132,IF(AND($G132&gt;=DW$5,$G132&lt;DW$5+GanttPeriod),"◆",IF(AND($E132&gt;=DW$5,$E132&lt;DW$5+GanttPeriod),"◇","")),IF(AND(DW$5&lt;=$F132,DW$5+GanttPeriod-1&gt;=$E132),"━","")))</f>
        <v/>
      </c>
      <c r="DX132" s="69" t="str">
        <f aca="false">IF($E132="","",IF($M132,IF(AND($G132&gt;=DX$5,$G132&lt;DX$5+GanttPeriod),"◆",IF(AND($E132&gt;=DX$5,$E132&lt;DX$5+GanttPeriod),"◇","")),IF(AND(DX$5&lt;=$F132,DX$5+GanttPeriod-1&gt;=$E132),"━","")))</f>
        <v/>
      </c>
      <c r="DY132" s="69" t="str">
        <f aca="false">IF($E132="","",IF($M132,IF(AND($G132&gt;=DY$5,$G132&lt;DY$5+GanttPeriod),"◆",IF(AND($E132&gt;=DY$5,$E132&lt;DY$5+GanttPeriod),"◇","")),IF(AND(DY$5&lt;=$F132,DY$5+GanttPeriod-1&gt;=$E132),"━","")))</f>
        <v/>
      </c>
      <c r="DZ132" s="69" t="str">
        <f aca="false">IF($E132="","",IF($M132,IF(AND($G132&gt;=DZ$5,$G132&lt;DZ$5+GanttPeriod),"◆",IF(AND($E132&gt;=DZ$5,$E132&lt;DZ$5+GanttPeriod),"◇","")),IF(AND(DZ$5&lt;=$F132,DZ$5+GanttPeriod-1&gt;=$E132),"━","")))</f>
        <v/>
      </c>
      <c r="EA132" s="69" t="str">
        <f aca="false">IF($E132="","",IF($M132,IF(AND($G132&gt;=EA$5,$G132&lt;EA$5+GanttPeriod),"◆",IF(AND($E132&gt;=EA$5,$E132&lt;EA$5+GanttPeriod),"◇","")),IF(AND(EA$5&lt;=$F132,EA$5+GanttPeriod-1&gt;=$E132),"━","")))</f>
        <v/>
      </c>
      <c r="EB132" s="69" t="str">
        <f aca="false">IF($E132="","",IF($M132,IF(AND($G132&gt;=EB$5,$G132&lt;EB$5+GanttPeriod),"◆",IF(AND($E132&gt;=EB$5,$E132&lt;EB$5+GanttPeriod),"◇","")),IF(AND(EB$5&lt;=$F132,EB$5+GanttPeriod-1&gt;=$E132),"━","")))</f>
        <v/>
      </c>
      <c r="EC132" s="69" t="str">
        <f aca="false">IF($E132="","",IF($M132,IF(AND($G132&gt;=EC$5,$G132&lt;EC$5+GanttPeriod),"◆",IF(AND($E132&gt;=EC$5,$E132&lt;EC$5+GanttPeriod),"◇","")),IF(AND(EC$5&lt;=$F132,EC$5+GanttPeriod-1&gt;=$E132),"━","")))</f>
        <v/>
      </c>
      <c r="ED132" s="69" t="str">
        <f aca="false">IF($E132="","",IF($M132,IF(AND($G132&gt;=ED$5,$G132&lt;ED$5+GanttPeriod),"◆",IF(AND($E132&gt;=ED$5,$E132&lt;ED$5+GanttPeriod),"◇","")),IF(AND(ED$5&lt;=$F132,ED$5+GanttPeriod-1&gt;=$E132),"━","")))</f>
        <v/>
      </c>
      <c r="EE132" s="69" t="str">
        <f aca="false">IF($E132="","",IF($M132,IF(AND($G132&gt;=EE$5,$G132&lt;EE$5+GanttPeriod),"◆",IF(AND($E132&gt;=EE$5,$E132&lt;EE$5+GanttPeriod),"◇","")),IF(AND(EE$5&lt;=$F132,EE$5+GanttPeriod-1&gt;=$E132),"━","")))</f>
        <v/>
      </c>
      <c r="EF132" s="69" t="str">
        <f aca="false">IF($E132="","",IF($M132,IF(AND($G132&gt;=EF$5,$G132&lt;EF$5+GanttPeriod),"◆",IF(AND($E132&gt;=EF$5,$E132&lt;EF$5+GanttPeriod),"◇","")),IF(AND(EF$5&lt;=$F132,EF$5+GanttPeriod-1&gt;=$E132),"━","")))</f>
        <v/>
      </c>
      <c r="EG132" s="69" t="str">
        <f aca="false">IF($E132="","",IF($M132,IF(AND($G132&gt;=EG$5,$G132&lt;EG$5+GanttPeriod),"◆",IF(AND($E132&gt;=EG$5,$E132&lt;EG$5+GanttPeriod),"◇","")),IF(AND(EG$5&lt;=$F132,EG$5+GanttPeriod-1&gt;=$E132),"━","")))</f>
        <v/>
      </c>
      <c r="EH132" s="69" t="str">
        <f aca="false">IF($E132="","",IF($M132,IF(AND($G132&gt;=EH$5,$G132&lt;EH$5+GanttPeriod),"◆",IF(AND($E132&gt;=EH$5,$E132&lt;EH$5+GanttPeriod),"◇","")),IF(AND(EH$5&lt;=$F132,EH$5+GanttPeriod-1&gt;=$E132),"━","")))</f>
        <v/>
      </c>
      <c r="EI132" s="69" t="str">
        <f aca="false">IF($E132="","",IF($M132,IF(AND($G132&gt;=EI$5,$G132&lt;EI$5+GanttPeriod),"◆",IF(AND($E132&gt;=EI$5,$E132&lt;EI$5+GanttPeriod),"◇","")),IF(AND(EI$5&lt;=$F132,EI$5+GanttPeriod-1&gt;=$E132),"━","")))</f>
        <v/>
      </c>
      <c r="EJ132" s="69" t="str">
        <f aca="false">IF($E132="","",IF($M132,IF(AND($G132&gt;=EJ$5,$G132&lt;EJ$5+GanttPeriod),"◆",IF(AND($E132&gt;=EJ$5,$E132&lt;EJ$5+GanttPeriod),"◇","")),IF(AND(EJ$5&lt;=$F132,EJ$5+GanttPeriod-1&gt;=$E132),"━","")))</f>
        <v/>
      </c>
      <c r="EK132" s="69" t="str">
        <f aca="false">IF($E132="","",IF($M132,IF(AND($G132&gt;=EK$5,$G132&lt;EK$5+GanttPeriod),"◆",IF(AND($E132&gt;=EK$5,$E132&lt;EK$5+GanttPeriod),"◇","")),IF(AND(EK$5&lt;=$F132,EK$5+GanttPeriod-1&gt;=$E132),"━","")))</f>
        <v/>
      </c>
      <c r="EL132" s="69" t="str">
        <f aca="false">IF($E132="","",IF($M132,IF(AND($G132&gt;=EL$5,$G132&lt;EL$5+GanttPeriod),"◆",IF(AND($E132&gt;=EL$5,$E132&lt;EL$5+GanttPeriod),"◇","")),IF(AND(EL$5&lt;=$F132,EL$5+GanttPeriod-1&gt;=$E132),"━","")))</f>
        <v/>
      </c>
      <c r="EM132" s="69" t="str">
        <f aca="false">IF($E132="","",IF($M132,IF(AND($G132&gt;=EM$5,$G132&lt;EM$5+GanttPeriod),"◆",IF(AND($E132&gt;=EM$5,$E132&lt;EM$5+GanttPeriod),"◇","")),IF(AND(EM$5&lt;=$F132,EM$5+GanttPeriod-1&gt;=$E132),"━","")))</f>
        <v/>
      </c>
      <c r="EN132" s="69" t="str">
        <f aca="false">IF($E132="","",IF($M132,IF(AND($G132&gt;=EN$5,$G132&lt;EN$5+GanttPeriod),"◆",IF(AND($E132&gt;=EN$5,$E132&lt;EN$5+GanttPeriod),"◇","")),IF(AND(EN$5&lt;=$F132,EN$5+GanttPeriod-1&gt;=$E132),"━","")))</f>
        <v/>
      </c>
      <c r="EO132" s="69" t="str">
        <f aca="false">IF($E132="","",IF($M132,IF(AND($G132&gt;=EO$5,$G132&lt;EO$5+GanttPeriod),"◆",IF(AND($E132&gt;=EO$5,$E132&lt;EO$5+GanttPeriod),"◇","")),IF(AND(EO$5&lt;=$F132,EO$5+GanttPeriod-1&gt;=$E132),"━","")))</f>
        <v/>
      </c>
      <c r="EP132" s="69" t="str">
        <f aca="false">IF($E132="","",IF($M132,IF(AND($G132&gt;=EP$5,$G132&lt;EP$5+GanttPeriod),"◆",IF(AND($E132&gt;=EP$5,$E132&lt;EP$5+GanttPeriod),"◇","")),IF(AND(EP$5&lt;=$F132,EP$5+GanttPeriod-1&gt;=$E132),"━","")))</f>
        <v/>
      </c>
      <c r="EQ132" s="69" t="str">
        <f aca="false">IF($E132="","",IF($M132,IF(AND($G132&gt;=EQ$5,$G132&lt;EQ$5+GanttPeriod),"◆",IF(AND($E132&gt;=EQ$5,$E132&lt;EQ$5+GanttPeriod),"◇","")),IF(AND(EQ$5&lt;=$F132,EQ$5+GanttPeriod-1&gt;=$E132),"━","")))</f>
        <v/>
      </c>
      <c r="ER132" s="69" t="str">
        <f aca="false">IF($E132="","",IF($M132,IF(AND($G132&gt;=ER$5,$G132&lt;ER$5+GanttPeriod),"◆",IF(AND($E132&gt;=ER$5,$E132&lt;ER$5+GanttPeriod),"◇","")),IF(AND(ER$5&lt;=$F132,ER$5+GanttPeriod-1&gt;=$E132),"━","")))</f>
        <v/>
      </c>
      <c r="ES132" s="69" t="str">
        <f aca="false">IF($E132="","",IF($M132,IF(AND($G132&gt;=ES$5,$G132&lt;ES$5+GanttPeriod),"◆",IF(AND($E132&gt;=ES$5,$E132&lt;ES$5+GanttPeriod),"◇","")),IF(AND(ES$5&lt;=$F132,ES$5+GanttPeriod-1&gt;=$E132),"━","")))</f>
        <v/>
      </c>
      <c r="ET132" s="69" t="str">
        <f aca="false">IF($E132="","",IF($M132,IF(AND($G132&gt;=ET$5,$G132&lt;ET$5+GanttPeriod),"◆",IF(AND($E132&gt;=ET$5,$E132&lt;ET$5+GanttPeriod),"◇","")),IF(AND(ET$5&lt;=$F132,ET$5+GanttPeriod-1&gt;=$E132),"━","")))</f>
        <v/>
      </c>
      <c r="EU132" s="69" t="str">
        <f aca="false">IF($E132="","",IF($M132,IF(AND($G132&gt;=EU$5,$G132&lt;EU$5+GanttPeriod),"◆",IF(AND($E132&gt;=EU$5,$E132&lt;EU$5+GanttPeriod),"◇","")),IF(AND(EU$5&lt;=$F132,EU$5+GanttPeriod-1&gt;=$E132),"━","")))</f>
        <v/>
      </c>
      <c r="EV132" s="69" t="str">
        <f aca="false">IF($E132="","",IF($M132,IF(AND($G132&gt;=EV$5,$G132&lt;EV$5+GanttPeriod),"◆",IF(AND($E132&gt;=EV$5,$E132&lt;EV$5+GanttPeriod),"◇","")),IF(AND(EV$5&lt;=$F132,EV$5+GanttPeriod-1&gt;=$E132),"━","")))</f>
        <v/>
      </c>
      <c r="EW132" s="69" t="str">
        <f aca="false">IF($E132="","",IF($M132,IF(AND($G132&gt;=EW$5,$G132&lt;EW$5+GanttPeriod),"◆",IF(AND($E132&gt;=EW$5,$E132&lt;EW$5+GanttPeriod),"◇","")),IF(AND(EW$5&lt;=$F132,EW$5+GanttPeriod-1&gt;=$E132),"━","")))</f>
        <v/>
      </c>
      <c r="EX132" s="69" t="str">
        <f aca="false">IF($E132="","",IF($M132,IF(AND($G132&gt;=EX$5,$G132&lt;EX$5+GanttPeriod),"◆",IF(AND($E132&gt;=EX$5,$E132&lt;EX$5+GanttPeriod),"◇","")),IF(AND(EX$5&lt;=$F132,EX$5+GanttPeriod-1&gt;=$E132),"━","")))</f>
        <v/>
      </c>
      <c r="EY132" s="69" t="str">
        <f aca="false">IF($E132="","",IF($M132,IF(AND($G132&gt;=EY$5,$G132&lt;EY$5+GanttPeriod),"◆",IF(AND($E132&gt;=EY$5,$E132&lt;EY$5+GanttPeriod),"◇","")),IF(AND(EY$5&lt;=$F132,EY$5+GanttPeriod-1&gt;=$E132),"━","")))</f>
        <v/>
      </c>
      <c r="EZ132" s="69" t="str">
        <f aca="false">IF($E132="","",IF($M132,IF(AND($G132&gt;=EZ$5,$G132&lt;EZ$5+GanttPeriod),"◆",IF(AND($E132&gt;=EZ$5,$E132&lt;EZ$5+GanttPeriod),"◇","")),IF(AND(EZ$5&lt;=$F132,EZ$5+GanttPeriod-1&gt;=$E132),"━","")))</f>
        <v/>
      </c>
      <c r="FA132" s="69" t="str">
        <f aca="false">IF($E132="","",IF($M132,IF(AND($G132&gt;=FA$5,$G132&lt;FA$5+GanttPeriod),"◆",IF(AND($E132&gt;=FA$5,$E132&lt;FA$5+GanttPeriod),"◇","")),IF(AND(FA$5&lt;=$F132,FA$5+GanttPeriod-1&gt;=$E132),"━","")))</f>
        <v/>
      </c>
      <c r="FB132" s="69" t="str">
        <f aca="false">IF($E132="","",IF($M132,IF(AND($G132&gt;=FB$5,$G132&lt;FB$5+GanttPeriod),"◆",IF(AND($E132&gt;=FB$5,$E132&lt;FB$5+GanttPeriod),"◇","")),IF(AND(FB$5&lt;=$F132,FB$5+GanttPeriod-1&gt;=$E132),"━","")))</f>
        <v/>
      </c>
      <c r="FC132" s="69" t="str">
        <f aca="false">IF($E132="","",IF($M132,IF(AND($G132&gt;=FC$5,$G132&lt;FC$5+GanttPeriod),"◆",IF(AND($E132&gt;=FC$5,$E132&lt;FC$5+GanttPeriod),"◇","")),IF(AND(FC$5&lt;=$F132,FC$5+GanttPeriod-1&gt;=$E132),"━","")))</f>
        <v/>
      </c>
      <c r="FD132" s="69" t="str">
        <f aca="false">IF($E132="","",IF($M132,IF(AND($G132&gt;=FD$5,$G132&lt;FD$5+GanttPeriod),"◆",IF(AND($E132&gt;=FD$5,$E132&lt;FD$5+GanttPeriod),"◇","")),IF(AND(FD$5&lt;=$F132,FD$5+GanttPeriod-1&gt;=$E132),"━","")))</f>
        <v/>
      </c>
      <c r="FE132" s="69" t="str">
        <f aca="false">IF($E132="","",IF($M132,IF(AND($G132&gt;=FE$5,$G132&lt;FE$5+GanttPeriod),"◆",IF(AND($E132&gt;=FE$5,$E132&lt;FE$5+GanttPeriod),"◇","")),IF(AND(FE$5&lt;=$F132,FE$5+GanttPeriod-1&gt;=$E132),"━","")))</f>
        <v/>
      </c>
      <c r="FF132" s="69" t="str">
        <f aca="false">IF($E132="","",IF($M132,IF(AND($G132&gt;=FF$5,$G132&lt;FF$5+GanttPeriod),"◆",IF(AND($E132&gt;=FF$5,$E132&lt;FF$5+GanttPeriod),"◇","")),IF(AND(FF$5&lt;=$F132,FF$5+GanttPeriod-1&gt;=$E132),"━","")))</f>
        <v/>
      </c>
      <c r="FG132" s="69" t="str">
        <f aca="false">IF($E132="","",IF($M132,IF(AND($G132&gt;=FG$5,$G132&lt;FG$5+GanttPeriod),"◆",IF(AND($E132&gt;=FG$5,$E132&lt;FG$5+GanttPeriod),"◇","")),IF(AND(FG$5&lt;=$F132,FG$5+GanttPeriod-1&gt;=$E132),"━","")))</f>
        <v/>
      </c>
      <c r="FH132" s="69" t="str">
        <f aca="false">IF($E132="","",IF($M132,IF(AND($G132&gt;=FH$5,$G132&lt;FH$5+GanttPeriod),"◆",IF(AND($E132&gt;=FH$5,$E132&lt;FH$5+GanttPeriod),"◇","")),IF(AND(FH$5&lt;=$F132,FH$5+GanttPeriod-1&gt;=$E132),"━","")))</f>
        <v/>
      </c>
      <c r="FI132" s="69" t="str">
        <f aca="false">IF($E132="","",IF($M132,IF(AND($G132&gt;=FI$5,$G132&lt;FI$5+GanttPeriod),"◆",IF(AND($E132&gt;=FI$5,$E132&lt;FI$5+GanttPeriod),"◇","")),IF(AND(FI$5&lt;=$F132,FI$5+GanttPeriod-1&gt;=$E132),"━","")))</f>
        <v/>
      </c>
      <c r="FJ132" s="69" t="str">
        <f aca="false">IF($E132="","",IF($M132,IF(AND($G132&gt;=FJ$5,$G132&lt;FJ$5+GanttPeriod),"◆",IF(AND($E132&gt;=FJ$5,$E132&lt;FJ$5+GanttPeriod),"◇","")),IF(AND(FJ$5&lt;=$F132,FJ$5+GanttPeriod-1&gt;=$E132),"━","")))</f>
        <v/>
      </c>
      <c r="FK132" s="69" t="str">
        <f aca="false">IF($E132="","",IF($M132,IF(AND($G132&gt;=FK$5,$G132&lt;FK$5+GanttPeriod),"◆",IF(AND($E132&gt;=FK$5,$E132&lt;FK$5+GanttPeriod),"◇","")),IF(AND(FK$5&lt;=$F132,FK$5+GanttPeriod-1&gt;=$E132),"━","")))</f>
        <v/>
      </c>
      <c r="FL132" s="69" t="str">
        <f aca="false">IF($E132="","",IF($M132,IF(AND($G132&gt;=FL$5,$G132&lt;FL$5+GanttPeriod),"◆",IF(AND($E132&gt;=FL$5,$E132&lt;FL$5+GanttPeriod),"◇","")),IF(AND(FL$5&lt;=$F132,FL$5+GanttPeriod-1&gt;=$E132),"━","")))</f>
        <v/>
      </c>
      <c r="FM132" s="69" t="str">
        <f aca="false">IF($E132="","",IF($M132,IF(AND($G132&gt;=FM$5,$G132&lt;FM$5+GanttPeriod),"◆",IF(AND($E132&gt;=FM$5,$E132&lt;FM$5+GanttPeriod),"◇","")),IF(AND(FM$5&lt;=$F132,FM$5+GanttPeriod-1&gt;=$E132),"━","")))</f>
        <v/>
      </c>
    </row>
    <row r="133" customFormat="false" ht="15" hidden="false" customHeight="false" outlineLevel="0" collapsed="false">
      <c r="A133" s="62" t="str">
        <f aca="false">IF(Tasks!$D133="","",Tasks!$A133)</f>
        <v/>
      </c>
      <c r="B133" s="62" t="str">
        <f aca="false">IF(Tasks!$D133="","",Tasks!$B133)</f>
        <v/>
      </c>
      <c r="C133" s="63" t="str">
        <f aca="false">IF(Tasks!$D133="","",REPT("    ",Tasks!$AE133-1)&amp;Tasks!$D133)</f>
        <v/>
      </c>
      <c r="D133" s="62" t="str">
        <f aca="false">IF(Tasks!$D133="","",IF(Tasks!$AI133,NETWORKDAYS.INTL(Tasks!$R133,Tasks!$S133,WorkWeek,Holidays),N(Tasks!$F133)))</f>
        <v/>
      </c>
      <c r="E133" s="64" t="str">
        <f aca="false">IF(Tasks!$D133="","",Tasks!$N133)</f>
        <v/>
      </c>
      <c r="F133" s="64" t="str">
        <f aca="false">IF(Tasks!$D133="","",Tasks!$O133)</f>
        <v/>
      </c>
      <c r="G133" s="64" t="str">
        <f aca="false">IF(Tasks!$D133="","",Tasks!$R133)</f>
        <v/>
      </c>
      <c r="H133" s="64" t="str">
        <f aca="false">IF(Tasks!$D133="","",Tasks!$S133)</f>
        <v/>
      </c>
      <c r="I133" s="65" t="str">
        <f aca="false">IF(Tasks!$D133="","",Tasks!$V133)</f>
        <v/>
      </c>
      <c r="J133" s="63" t="str">
        <f aca="false">IF(Tasks!$D133="","",Tasks!$X133&amp;"")</f>
        <v/>
      </c>
      <c r="K133" s="66" t="str">
        <f aca="false">IF(Tasks!$D133="","",Tasks!$W133)</f>
        <v/>
      </c>
      <c r="L133" s="67" t="b">
        <f aca="false">IF(Tasks!$D133="",FALSE(),Tasks!$AI133)</f>
        <v>0</v>
      </c>
      <c r="M133" s="67" t="b">
        <f aca="false">AND(Tasks!$AJ133=1,N(Tasks!$F133)=0)</f>
        <v>0</v>
      </c>
      <c r="N133" s="68" t="n">
        <f aca="false">IF(AND(Tasks!$AJ133=1,NOT($M133),N($I133)&gt;0),$G133,0)</f>
        <v>0</v>
      </c>
      <c r="O133" s="68" t="n">
        <f aca="false">IF($N133=0,0,IF($I133&gt;=1,$H133,MAX($N133,$G133+ROUND(($H133-$G133+1)*$I133,0)-1)))</f>
        <v>0</v>
      </c>
      <c r="P133" s="68" t="n">
        <f aca="false">IF(OR(Tasks!$AJ133&lt;&gt;1,$M133,N($I133)&gt;=1),0,IF($O133&gt;0,$O133+1,$G133))</f>
        <v>0</v>
      </c>
      <c r="Q133" s="68" t="n">
        <f aca="false">IF($P133=0,0,$H133)</f>
        <v>0</v>
      </c>
      <c r="R133" s="67" t="b">
        <f aca="false">AND(Tasks!$D133&lt;&gt;"",N(Tasks!$T133)&gt;0)</f>
        <v>0</v>
      </c>
      <c r="T133" s="69" t="str">
        <f aca="false">IF($E133="","",IF($M133,IF(AND($G133&gt;=T$5,$G133&lt;T$5+GanttPeriod),"◆",IF(AND($E133&gt;=T$5,$E133&lt;T$5+GanttPeriod),"◇","")),IF(AND(T$5&lt;=$F133,T$5+GanttPeriod-1&gt;=$E133),"━","")))</f>
        <v/>
      </c>
      <c r="U133" s="69" t="str">
        <f aca="false">IF($E133="","",IF($M133,IF(AND($G133&gt;=U$5,$G133&lt;U$5+GanttPeriod),"◆",IF(AND($E133&gt;=U$5,$E133&lt;U$5+GanttPeriod),"◇","")),IF(AND(U$5&lt;=$F133,U$5+GanttPeriod-1&gt;=$E133),"━","")))</f>
        <v/>
      </c>
      <c r="V133" s="69" t="str">
        <f aca="false">IF($E133="","",IF($M133,IF(AND($G133&gt;=V$5,$G133&lt;V$5+GanttPeriod),"◆",IF(AND($E133&gt;=V$5,$E133&lt;V$5+GanttPeriod),"◇","")),IF(AND(V$5&lt;=$F133,V$5+GanttPeriod-1&gt;=$E133),"━","")))</f>
        <v/>
      </c>
      <c r="W133" s="69" t="str">
        <f aca="false">IF($E133="","",IF($M133,IF(AND($G133&gt;=W$5,$G133&lt;W$5+GanttPeriod),"◆",IF(AND($E133&gt;=W$5,$E133&lt;W$5+GanttPeriod),"◇","")),IF(AND(W$5&lt;=$F133,W$5+GanttPeriod-1&gt;=$E133),"━","")))</f>
        <v/>
      </c>
      <c r="X133" s="69" t="str">
        <f aca="false">IF($E133="","",IF($M133,IF(AND($G133&gt;=X$5,$G133&lt;X$5+GanttPeriod),"◆",IF(AND($E133&gt;=X$5,$E133&lt;X$5+GanttPeriod),"◇","")),IF(AND(X$5&lt;=$F133,X$5+GanttPeriod-1&gt;=$E133),"━","")))</f>
        <v/>
      </c>
      <c r="Y133" s="69" t="str">
        <f aca="false">IF($E133="","",IF($M133,IF(AND($G133&gt;=Y$5,$G133&lt;Y$5+GanttPeriod),"◆",IF(AND($E133&gt;=Y$5,$E133&lt;Y$5+GanttPeriod),"◇","")),IF(AND(Y$5&lt;=$F133,Y$5+GanttPeriod-1&gt;=$E133),"━","")))</f>
        <v/>
      </c>
      <c r="Z133" s="69" t="str">
        <f aca="false">IF($E133="","",IF($M133,IF(AND($G133&gt;=Z$5,$G133&lt;Z$5+GanttPeriod),"◆",IF(AND($E133&gt;=Z$5,$E133&lt;Z$5+GanttPeriod),"◇","")),IF(AND(Z$5&lt;=$F133,Z$5+GanttPeriod-1&gt;=$E133),"━","")))</f>
        <v/>
      </c>
      <c r="AA133" s="69" t="str">
        <f aca="false">IF($E133="","",IF($M133,IF(AND($G133&gt;=AA$5,$G133&lt;AA$5+GanttPeriod),"◆",IF(AND($E133&gt;=AA$5,$E133&lt;AA$5+GanttPeriod),"◇","")),IF(AND(AA$5&lt;=$F133,AA$5+GanttPeriod-1&gt;=$E133),"━","")))</f>
        <v/>
      </c>
      <c r="AB133" s="69" t="str">
        <f aca="false">IF($E133="","",IF($M133,IF(AND($G133&gt;=AB$5,$G133&lt;AB$5+GanttPeriod),"◆",IF(AND($E133&gt;=AB$5,$E133&lt;AB$5+GanttPeriod),"◇","")),IF(AND(AB$5&lt;=$F133,AB$5+GanttPeriod-1&gt;=$E133),"━","")))</f>
        <v/>
      </c>
      <c r="AC133" s="69" t="str">
        <f aca="false">IF($E133="","",IF($M133,IF(AND($G133&gt;=AC$5,$G133&lt;AC$5+GanttPeriod),"◆",IF(AND($E133&gt;=AC$5,$E133&lt;AC$5+GanttPeriod),"◇","")),IF(AND(AC$5&lt;=$F133,AC$5+GanttPeriod-1&gt;=$E133),"━","")))</f>
        <v/>
      </c>
      <c r="AD133" s="69" t="str">
        <f aca="false">IF($E133="","",IF($M133,IF(AND($G133&gt;=AD$5,$G133&lt;AD$5+GanttPeriod),"◆",IF(AND($E133&gt;=AD$5,$E133&lt;AD$5+GanttPeriod),"◇","")),IF(AND(AD$5&lt;=$F133,AD$5+GanttPeriod-1&gt;=$E133),"━","")))</f>
        <v/>
      </c>
      <c r="AE133" s="69" t="str">
        <f aca="false">IF($E133="","",IF($M133,IF(AND($G133&gt;=AE$5,$G133&lt;AE$5+GanttPeriod),"◆",IF(AND($E133&gt;=AE$5,$E133&lt;AE$5+GanttPeriod),"◇","")),IF(AND(AE$5&lt;=$F133,AE$5+GanttPeriod-1&gt;=$E133),"━","")))</f>
        <v/>
      </c>
      <c r="AF133" s="69" t="str">
        <f aca="false">IF($E133="","",IF($M133,IF(AND($G133&gt;=AF$5,$G133&lt;AF$5+GanttPeriod),"◆",IF(AND($E133&gt;=AF$5,$E133&lt;AF$5+GanttPeriod),"◇","")),IF(AND(AF$5&lt;=$F133,AF$5+GanttPeriod-1&gt;=$E133),"━","")))</f>
        <v/>
      </c>
      <c r="AG133" s="69" t="str">
        <f aca="false">IF($E133="","",IF($M133,IF(AND($G133&gt;=AG$5,$G133&lt;AG$5+GanttPeriod),"◆",IF(AND($E133&gt;=AG$5,$E133&lt;AG$5+GanttPeriod),"◇","")),IF(AND(AG$5&lt;=$F133,AG$5+GanttPeriod-1&gt;=$E133),"━","")))</f>
        <v/>
      </c>
      <c r="AH133" s="69" t="str">
        <f aca="false">IF($E133="","",IF($M133,IF(AND($G133&gt;=AH$5,$G133&lt;AH$5+GanttPeriod),"◆",IF(AND($E133&gt;=AH$5,$E133&lt;AH$5+GanttPeriod),"◇","")),IF(AND(AH$5&lt;=$F133,AH$5+GanttPeriod-1&gt;=$E133),"━","")))</f>
        <v/>
      </c>
      <c r="AI133" s="69" t="str">
        <f aca="false">IF($E133="","",IF($M133,IF(AND($G133&gt;=AI$5,$G133&lt;AI$5+GanttPeriod),"◆",IF(AND($E133&gt;=AI$5,$E133&lt;AI$5+GanttPeriod),"◇","")),IF(AND(AI$5&lt;=$F133,AI$5+GanttPeriod-1&gt;=$E133),"━","")))</f>
        <v/>
      </c>
      <c r="AJ133" s="69" t="str">
        <f aca="false">IF($E133="","",IF($M133,IF(AND($G133&gt;=AJ$5,$G133&lt;AJ$5+GanttPeriod),"◆",IF(AND($E133&gt;=AJ$5,$E133&lt;AJ$5+GanttPeriod),"◇","")),IF(AND(AJ$5&lt;=$F133,AJ$5+GanttPeriod-1&gt;=$E133),"━","")))</f>
        <v/>
      </c>
      <c r="AK133" s="69" t="str">
        <f aca="false">IF($E133="","",IF($M133,IF(AND($G133&gt;=AK$5,$G133&lt;AK$5+GanttPeriod),"◆",IF(AND($E133&gt;=AK$5,$E133&lt;AK$5+GanttPeriod),"◇","")),IF(AND(AK$5&lt;=$F133,AK$5+GanttPeriod-1&gt;=$E133),"━","")))</f>
        <v/>
      </c>
      <c r="AL133" s="69" t="str">
        <f aca="false">IF($E133="","",IF($M133,IF(AND($G133&gt;=AL$5,$G133&lt;AL$5+GanttPeriod),"◆",IF(AND($E133&gt;=AL$5,$E133&lt;AL$5+GanttPeriod),"◇","")),IF(AND(AL$5&lt;=$F133,AL$5+GanttPeriod-1&gt;=$E133),"━","")))</f>
        <v/>
      </c>
      <c r="AM133" s="69" t="str">
        <f aca="false">IF($E133="","",IF($M133,IF(AND($G133&gt;=AM$5,$G133&lt;AM$5+GanttPeriod),"◆",IF(AND($E133&gt;=AM$5,$E133&lt;AM$5+GanttPeriod),"◇","")),IF(AND(AM$5&lt;=$F133,AM$5+GanttPeriod-1&gt;=$E133),"━","")))</f>
        <v/>
      </c>
      <c r="AN133" s="69" t="str">
        <f aca="false">IF($E133="","",IF($M133,IF(AND($G133&gt;=AN$5,$G133&lt;AN$5+GanttPeriod),"◆",IF(AND($E133&gt;=AN$5,$E133&lt;AN$5+GanttPeriod),"◇","")),IF(AND(AN$5&lt;=$F133,AN$5+GanttPeriod-1&gt;=$E133),"━","")))</f>
        <v/>
      </c>
      <c r="AO133" s="69" t="str">
        <f aca="false">IF($E133="","",IF($M133,IF(AND($G133&gt;=AO$5,$G133&lt;AO$5+GanttPeriod),"◆",IF(AND($E133&gt;=AO$5,$E133&lt;AO$5+GanttPeriod),"◇","")),IF(AND(AO$5&lt;=$F133,AO$5+GanttPeriod-1&gt;=$E133),"━","")))</f>
        <v/>
      </c>
      <c r="AP133" s="69" t="str">
        <f aca="false">IF($E133="","",IF($M133,IF(AND($G133&gt;=AP$5,$G133&lt;AP$5+GanttPeriod),"◆",IF(AND($E133&gt;=AP$5,$E133&lt;AP$5+GanttPeriod),"◇","")),IF(AND(AP$5&lt;=$F133,AP$5+GanttPeriod-1&gt;=$E133),"━","")))</f>
        <v/>
      </c>
      <c r="AQ133" s="69" t="str">
        <f aca="false">IF($E133="","",IF($M133,IF(AND($G133&gt;=AQ$5,$G133&lt;AQ$5+GanttPeriod),"◆",IF(AND($E133&gt;=AQ$5,$E133&lt;AQ$5+GanttPeriod),"◇","")),IF(AND(AQ$5&lt;=$F133,AQ$5+GanttPeriod-1&gt;=$E133),"━","")))</f>
        <v/>
      </c>
      <c r="AR133" s="69" t="str">
        <f aca="false">IF($E133="","",IF($M133,IF(AND($G133&gt;=AR$5,$G133&lt;AR$5+GanttPeriod),"◆",IF(AND($E133&gt;=AR$5,$E133&lt;AR$5+GanttPeriod),"◇","")),IF(AND(AR$5&lt;=$F133,AR$5+GanttPeriod-1&gt;=$E133),"━","")))</f>
        <v/>
      </c>
      <c r="AS133" s="69" t="str">
        <f aca="false">IF($E133="","",IF($M133,IF(AND($G133&gt;=AS$5,$G133&lt;AS$5+GanttPeriod),"◆",IF(AND($E133&gt;=AS$5,$E133&lt;AS$5+GanttPeriod),"◇","")),IF(AND(AS$5&lt;=$F133,AS$5+GanttPeriod-1&gt;=$E133),"━","")))</f>
        <v/>
      </c>
      <c r="AT133" s="69" t="str">
        <f aca="false">IF($E133="","",IF($M133,IF(AND($G133&gt;=AT$5,$G133&lt;AT$5+GanttPeriod),"◆",IF(AND($E133&gt;=AT$5,$E133&lt;AT$5+GanttPeriod),"◇","")),IF(AND(AT$5&lt;=$F133,AT$5+GanttPeriod-1&gt;=$E133),"━","")))</f>
        <v/>
      </c>
      <c r="AU133" s="69" t="str">
        <f aca="false">IF($E133="","",IF($M133,IF(AND($G133&gt;=AU$5,$G133&lt;AU$5+GanttPeriod),"◆",IF(AND($E133&gt;=AU$5,$E133&lt;AU$5+GanttPeriod),"◇","")),IF(AND(AU$5&lt;=$F133,AU$5+GanttPeriod-1&gt;=$E133),"━","")))</f>
        <v/>
      </c>
      <c r="AV133" s="69" t="str">
        <f aca="false">IF($E133="","",IF($M133,IF(AND($G133&gt;=AV$5,$G133&lt;AV$5+GanttPeriod),"◆",IF(AND($E133&gt;=AV$5,$E133&lt;AV$5+GanttPeriod),"◇","")),IF(AND(AV$5&lt;=$F133,AV$5+GanttPeriod-1&gt;=$E133),"━","")))</f>
        <v/>
      </c>
      <c r="AW133" s="69" t="str">
        <f aca="false">IF($E133="","",IF($M133,IF(AND($G133&gt;=AW$5,$G133&lt;AW$5+GanttPeriod),"◆",IF(AND($E133&gt;=AW$5,$E133&lt;AW$5+GanttPeriod),"◇","")),IF(AND(AW$5&lt;=$F133,AW$5+GanttPeriod-1&gt;=$E133),"━","")))</f>
        <v/>
      </c>
      <c r="AX133" s="69" t="str">
        <f aca="false">IF($E133="","",IF($M133,IF(AND($G133&gt;=AX$5,$G133&lt;AX$5+GanttPeriod),"◆",IF(AND($E133&gt;=AX$5,$E133&lt;AX$5+GanttPeriod),"◇","")),IF(AND(AX$5&lt;=$F133,AX$5+GanttPeriod-1&gt;=$E133),"━","")))</f>
        <v/>
      </c>
      <c r="AY133" s="69" t="str">
        <f aca="false">IF($E133="","",IF($M133,IF(AND($G133&gt;=AY$5,$G133&lt;AY$5+GanttPeriod),"◆",IF(AND($E133&gt;=AY$5,$E133&lt;AY$5+GanttPeriod),"◇","")),IF(AND(AY$5&lt;=$F133,AY$5+GanttPeriod-1&gt;=$E133),"━","")))</f>
        <v/>
      </c>
      <c r="AZ133" s="69" t="str">
        <f aca="false">IF($E133="","",IF($M133,IF(AND($G133&gt;=AZ$5,$G133&lt;AZ$5+GanttPeriod),"◆",IF(AND($E133&gt;=AZ$5,$E133&lt;AZ$5+GanttPeriod),"◇","")),IF(AND(AZ$5&lt;=$F133,AZ$5+GanttPeriod-1&gt;=$E133),"━","")))</f>
        <v/>
      </c>
      <c r="BA133" s="69" t="str">
        <f aca="false">IF($E133="","",IF($M133,IF(AND($G133&gt;=BA$5,$G133&lt;BA$5+GanttPeriod),"◆",IF(AND($E133&gt;=BA$5,$E133&lt;BA$5+GanttPeriod),"◇","")),IF(AND(BA$5&lt;=$F133,BA$5+GanttPeriod-1&gt;=$E133),"━","")))</f>
        <v/>
      </c>
      <c r="BB133" s="69" t="str">
        <f aca="false">IF($E133="","",IF($M133,IF(AND($G133&gt;=BB$5,$G133&lt;BB$5+GanttPeriod),"◆",IF(AND($E133&gt;=BB$5,$E133&lt;BB$5+GanttPeriod),"◇","")),IF(AND(BB$5&lt;=$F133,BB$5+GanttPeriod-1&gt;=$E133),"━","")))</f>
        <v/>
      </c>
      <c r="BC133" s="69" t="str">
        <f aca="false">IF($E133="","",IF($M133,IF(AND($G133&gt;=BC$5,$G133&lt;BC$5+GanttPeriod),"◆",IF(AND($E133&gt;=BC$5,$E133&lt;BC$5+GanttPeriod),"◇","")),IF(AND(BC$5&lt;=$F133,BC$5+GanttPeriod-1&gt;=$E133),"━","")))</f>
        <v/>
      </c>
      <c r="BD133" s="69" t="str">
        <f aca="false">IF($E133="","",IF($M133,IF(AND($G133&gt;=BD$5,$G133&lt;BD$5+GanttPeriod),"◆",IF(AND($E133&gt;=BD$5,$E133&lt;BD$5+GanttPeriod),"◇","")),IF(AND(BD$5&lt;=$F133,BD$5+GanttPeriod-1&gt;=$E133),"━","")))</f>
        <v/>
      </c>
      <c r="BE133" s="69" t="str">
        <f aca="false">IF($E133="","",IF($M133,IF(AND($G133&gt;=BE$5,$G133&lt;BE$5+GanttPeriod),"◆",IF(AND($E133&gt;=BE$5,$E133&lt;BE$5+GanttPeriod),"◇","")),IF(AND(BE$5&lt;=$F133,BE$5+GanttPeriod-1&gt;=$E133),"━","")))</f>
        <v/>
      </c>
      <c r="BF133" s="69" t="str">
        <f aca="false">IF($E133="","",IF($M133,IF(AND($G133&gt;=BF$5,$G133&lt;BF$5+GanttPeriod),"◆",IF(AND($E133&gt;=BF$5,$E133&lt;BF$5+GanttPeriod),"◇","")),IF(AND(BF$5&lt;=$F133,BF$5+GanttPeriod-1&gt;=$E133),"━","")))</f>
        <v/>
      </c>
      <c r="BG133" s="69" t="str">
        <f aca="false">IF($E133="","",IF($M133,IF(AND($G133&gt;=BG$5,$G133&lt;BG$5+GanttPeriod),"◆",IF(AND($E133&gt;=BG$5,$E133&lt;BG$5+GanttPeriod),"◇","")),IF(AND(BG$5&lt;=$F133,BG$5+GanttPeriod-1&gt;=$E133),"━","")))</f>
        <v/>
      </c>
      <c r="BH133" s="69" t="str">
        <f aca="false">IF($E133="","",IF($M133,IF(AND($G133&gt;=BH$5,$G133&lt;BH$5+GanttPeriod),"◆",IF(AND($E133&gt;=BH$5,$E133&lt;BH$5+GanttPeriod),"◇","")),IF(AND(BH$5&lt;=$F133,BH$5+GanttPeriod-1&gt;=$E133),"━","")))</f>
        <v/>
      </c>
      <c r="BI133" s="69" t="str">
        <f aca="false">IF($E133="","",IF($M133,IF(AND($G133&gt;=BI$5,$G133&lt;BI$5+GanttPeriod),"◆",IF(AND($E133&gt;=BI$5,$E133&lt;BI$5+GanttPeriod),"◇","")),IF(AND(BI$5&lt;=$F133,BI$5+GanttPeriod-1&gt;=$E133),"━","")))</f>
        <v/>
      </c>
      <c r="BJ133" s="69" t="str">
        <f aca="false">IF($E133="","",IF($M133,IF(AND($G133&gt;=BJ$5,$G133&lt;BJ$5+GanttPeriod),"◆",IF(AND($E133&gt;=BJ$5,$E133&lt;BJ$5+GanttPeriod),"◇","")),IF(AND(BJ$5&lt;=$F133,BJ$5+GanttPeriod-1&gt;=$E133),"━","")))</f>
        <v/>
      </c>
      <c r="BK133" s="69" t="str">
        <f aca="false">IF($E133="","",IF($M133,IF(AND($G133&gt;=BK$5,$G133&lt;BK$5+GanttPeriod),"◆",IF(AND($E133&gt;=BK$5,$E133&lt;BK$5+GanttPeriod),"◇","")),IF(AND(BK$5&lt;=$F133,BK$5+GanttPeriod-1&gt;=$E133),"━","")))</f>
        <v/>
      </c>
      <c r="BL133" s="69" t="str">
        <f aca="false">IF($E133="","",IF($M133,IF(AND($G133&gt;=BL$5,$G133&lt;BL$5+GanttPeriod),"◆",IF(AND($E133&gt;=BL$5,$E133&lt;BL$5+GanttPeriod),"◇","")),IF(AND(BL$5&lt;=$F133,BL$5+GanttPeriod-1&gt;=$E133),"━","")))</f>
        <v/>
      </c>
      <c r="BM133" s="69" t="str">
        <f aca="false">IF($E133="","",IF($M133,IF(AND($G133&gt;=BM$5,$G133&lt;BM$5+GanttPeriod),"◆",IF(AND($E133&gt;=BM$5,$E133&lt;BM$5+GanttPeriod),"◇","")),IF(AND(BM$5&lt;=$F133,BM$5+GanttPeriod-1&gt;=$E133),"━","")))</f>
        <v/>
      </c>
      <c r="BN133" s="69" t="str">
        <f aca="false">IF($E133="","",IF($M133,IF(AND($G133&gt;=BN$5,$G133&lt;BN$5+GanttPeriod),"◆",IF(AND($E133&gt;=BN$5,$E133&lt;BN$5+GanttPeriod),"◇","")),IF(AND(BN$5&lt;=$F133,BN$5+GanttPeriod-1&gt;=$E133),"━","")))</f>
        <v/>
      </c>
      <c r="BO133" s="69" t="str">
        <f aca="false">IF($E133="","",IF($M133,IF(AND($G133&gt;=BO$5,$G133&lt;BO$5+GanttPeriod),"◆",IF(AND($E133&gt;=BO$5,$E133&lt;BO$5+GanttPeriod),"◇","")),IF(AND(BO$5&lt;=$F133,BO$5+GanttPeriod-1&gt;=$E133),"━","")))</f>
        <v/>
      </c>
      <c r="BP133" s="69" t="str">
        <f aca="false">IF($E133="","",IF($M133,IF(AND($G133&gt;=BP$5,$G133&lt;BP$5+GanttPeriod),"◆",IF(AND($E133&gt;=BP$5,$E133&lt;BP$5+GanttPeriod),"◇","")),IF(AND(BP$5&lt;=$F133,BP$5+GanttPeriod-1&gt;=$E133),"━","")))</f>
        <v/>
      </c>
      <c r="BQ133" s="69" t="str">
        <f aca="false">IF($E133="","",IF($M133,IF(AND($G133&gt;=BQ$5,$G133&lt;BQ$5+GanttPeriod),"◆",IF(AND($E133&gt;=BQ$5,$E133&lt;BQ$5+GanttPeriod),"◇","")),IF(AND(BQ$5&lt;=$F133,BQ$5+GanttPeriod-1&gt;=$E133),"━","")))</f>
        <v/>
      </c>
      <c r="BR133" s="69" t="str">
        <f aca="false">IF($E133="","",IF($M133,IF(AND($G133&gt;=BR$5,$G133&lt;BR$5+GanttPeriod),"◆",IF(AND($E133&gt;=BR$5,$E133&lt;BR$5+GanttPeriod),"◇","")),IF(AND(BR$5&lt;=$F133,BR$5+GanttPeriod-1&gt;=$E133),"━","")))</f>
        <v/>
      </c>
      <c r="BS133" s="69" t="str">
        <f aca="false">IF($E133="","",IF($M133,IF(AND($G133&gt;=BS$5,$G133&lt;BS$5+GanttPeriod),"◆",IF(AND($E133&gt;=BS$5,$E133&lt;BS$5+GanttPeriod),"◇","")),IF(AND(BS$5&lt;=$F133,BS$5+GanttPeriod-1&gt;=$E133),"━","")))</f>
        <v/>
      </c>
      <c r="BT133" s="69" t="str">
        <f aca="false">IF($E133="","",IF($M133,IF(AND($G133&gt;=BT$5,$G133&lt;BT$5+GanttPeriod),"◆",IF(AND($E133&gt;=BT$5,$E133&lt;BT$5+GanttPeriod),"◇","")),IF(AND(BT$5&lt;=$F133,BT$5+GanttPeriod-1&gt;=$E133),"━","")))</f>
        <v/>
      </c>
      <c r="BU133" s="69" t="str">
        <f aca="false">IF($E133="","",IF($M133,IF(AND($G133&gt;=BU$5,$G133&lt;BU$5+GanttPeriod),"◆",IF(AND($E133&gt;=BU$5,$E133&lt;BU$5+GanttPeriod),"◇","")),IF(AND(BU$5&lt;=$F133,BU$5+GanttPeriod-1&gt;=$E133),"━","")))</f>
        <v/>
      </c>
      <c r="BV133" s="69" t="str">
        <f aca="false">IF($E133="","",IF($M133,IF(AND($G133&gt;=BV$5,$G133&lt;BV$5+GanttPeriod),"◆",IF(AND($E133&gt;=BV$5,$E133&lt;BV$5+GanttPeriod),"◇","")),IF(AND(BV$5&lt;=$F133,BV$5+GanttPeriod-1&gt;=$E133),"━","")))</f>
        <v/>
      </c>
      <c r="BW133" s="69" t="str">
        <f aca="false">IF($E133="","",IF($M133,IF(AND($G133&gt;=BW$5,$G133&lt;BW$5+GanttPeriod),"◆",IF(AND($E133&gt;=BW$5,$E133&lt;BW$5+GanttPeriod),"◇","")),IF(AND(BW$5&lt;=$F133,BW$5+GanttPeriod-1&gt;=$E133),"━","")))</f>
        <v/>
      </c>
      <c r="BX133" s="69" t="str">
        <f aca="false">IF($E133="","",IF($M133,IF(AND($G133&gt;=BX$5,$G133&lt;BX$5+GanttPeriod),"◆",IF(AND($E133&gt;=BX$5,$E133&lt;BX$5+GanttPeriod),"◇","")),IF(AND(BX$5&lt;=$F133,BX$5+GanttPeriod-1&gt;=$E133),"━","")))</f>
        <v/>
      </c>
      <c r="BY133" s="69" t="str">
        <f aca="false">IF($E133="","",IF($M133,IF(AND($G133&gt;=BY$5,$G133&lt;BY$5+GanttPeriod),"◆",IF(AND($E133&gt;=BY$5,$E133&lt;BY$5+GanttPeriod),"◇","")),IF(AND(BY$5&lt;=$F133,BY$5+GanttPeriod-1&gt;=$E133),"━","")))</f>
        <v/>
      </c>
      <c r="BZ133" s="69" t="str">
        <f aca="false">IF($E133="","",IF($M133,IF(AND($G133&gt;=BZ$5,$G133&lt;BZ$5+GanttPeriod),"◆",IF(AND($E133&gt;=BZ$5,$E133&lt;BZ$5+GanttPeriod),"◇","")),IF(AND(BZ$5&lt;=$F133,BZ$5+GanttPeriod-1&gt;=$E133),"━","")))</f>
        <v/>
      </c>
      <c r="CA133" s="69" t="str">
        <f aca="false">IF($E133="","",IF($M133,IF(AND($G133&gt;=CA$5,$G133&lt;CA$5+GanttPeriod),"◆",IF(AND($E133&gt;=CA$5,$E133&lt;CA$5+GanttPeriod),"◇","")),IF(AND(CA$5&lt;=$F133,CA$5+GanttPeriod-1&gt;=$E133),"━","")))</f>
        <v/>
      </c>
      <c r="CB133" s="69" t="str">
        <f aca="false">IF($E133="","",IF($M133,IF(AND($G133&gt;=CB$5,$G133&lt;CB$5+GanttPeriod),"◆",IF(AND($E133&gt;=CB$5,$E133&lt;CB$5+GanttPeriod),"◇","")),IF(AND(CB$5&lt;=$F133,CB$5+GanttPeriod-1&gt;=$E133),"━","")))</f>
        <v/>
      </c>
      <c r="CC133" s="69" t="str">
        <f aca="false">IF($E133="","",IF($M133,IF(AND($G133&gt;=CC$5,$G133&lt;CC$5+GanttPeriod),"◆",IF(AND($E133&gt;=CC$5,$E133&lt;CC$5+GanttPeriod),"◇","")),IF(AND(CC$5&lt;=$F133,CC$5+GanttPeriod-1&gt;=$E133),"━","")))</f>
        <v/>
      </c>
      <c r="CD133" s="69" t="str">
        <f aca="false">IF($E133="","",IF($M133,IF(AND($G133&gt;=CD$5,$G133&lt;CD$5+GanttPeriod),"◆",IF(AND($E133&gt;=CD$5,$E133&lt;CD$5+GanttPeriod),"◇","")),IF(AND(CD$5&lt;=$F133,CD$5+GanttPeriod-1&gt;=$E133),"━","")))</f>
        <v/>
      </c>
      <c r="CE133" s="69" t="str">
        <f aca="false">IF($E133="","",IF($M133,IF(AND($G133&gt;=CE$5,$G133&lt;CE$5+GanttPeriod),"◆",IF(AND($E133&gt;=CE$5,$E133&lt;CE$5+GanttPeriod),"◇","")),IF(AND(CE$5&lt;=$F133,CE$5+GanttPeriod-1&gt;=$E133),"━","")))</f>
        <v/>
      </c>
      <c r="CF133" s="69" t="str">
        <f aca="false">IF($E133="","",IF($M133,IF(AND($G133&gt;=CF$5,$G133&lt;CF$5+GanttPeriod),"◆",IF(AND($E133&gt;=CF$5,$E133&lt;CF$5+GanttPeriod),"◇","")),IF(AND(CF$5&lt;=$F133,CF$5+GanttPeriod-1&gt;=$E133),"━","")))</f>
        <v/>
      </c>
      <c r="CG133" s="69" t="str">
        <f aca="false">IF($E133="","",IF($M133,IF(AND($G133&gt;=CG$5,$G133&lt;CG$5+GanttPeriod),"◆",IF(AND($E133&gt;=CG$5,$E133&lt;CG$5+GanttPeriod),"◇","")),IF(AND(CG$5&lt;=$F133,CG$5+GanttPeriod-1&gt;=$E133),"━","")))</f>
        <v/>
      </c>
      <c r="CH133" s="69" t="str">
        <f aca="false">IF($E133="","",IF($M133,IF(AND($G133&gt;=CH$5,$G133&lt;CH$5+GanttPeriod),"◆",IF(AND($E133&gt;=CH$5,$E133&lt;CH$5+GanttPeriod),"◇","")),IF(AND(CH$5&lt;=$F133,CH$5+GanttPeriod-1&gt;=$E133),"━","")))</f>
        <v/>
      </c>
      <c r="CI133" s="69" t="str">
        <f aca="false">IF($E133="","",IF($M133,IF(AND($G133&gt;=CI$5,$G133&lt;CI$5+GanttPeriod),"◆",IF(AND($E133&gt;=CI$5,$E133&lt;CI$5+GanttPeriod),"◇","")),IF(AND(CI$5&lt;=$F133,CI$5+GanttPeriod-1&gt;=$E133),"━","")))</f>
        <v/>
      </c>
      <c r="CJ133" s="69" t="str">
        <f aca="false">IF($E133="","",IF($M133,IF(AND($G133&gt;=CJ$5,$G133&lt;CJ$5+GanttPeriod),"◆",IF(AND($E133&gt;=CJ$5,$E133&lt;CJ$5+GanttPeriod),"◇","")),IF(AND(CJ$5&lt;=$F133,CJ$5+GanttPeriod-1&gt;=$E133),"━","")))</f>
        <v/>
      </c>
      <c r="CK133" s="69" t="str">
        <f aca="false">IF($E133="","",IF($M133,IF(AND($G133&gt;=CK$5,$G133&lt;CK$5+GanttPeriod),"◆",IF(AND($E133&gt;=CK$5,$E133&lt;CK$5+GanttPeriod),"◇","")),IF(AND(CK$5&lt;=$F133,CK$5+GanttPeriod-1&gt;=$E133),"━","")))</f>
        <v/>
      </c>
      <c r="CL133" s="69" t="str">
        <f aca="false">IF($E133="","",IF($M133,IF(AND($G133&gt;=CL$5,$G133&lt;CL$5+GanttPeriod),"◆",IF(AND($E133&gt;=CL$5,$E133&lt;CL$5+GanttPeriod),"◇","")),IF(AND(CL$5&lt;=$F133,CL$5+GanttPeriod-1&gt;=$E133),"━","")))</f>
        <v/>
      </c>
      <c r="CM133" s="69" t="str">
        <f aca="false">IF($E133="","",IF($M133,IF(AND($G133&gt;=CM$5,$G133&lt;CM$5+GanttPeriod),"◆",IF(AND($E133&gt;=CM$5,$E133&lt;CM$5+GanttPeriod),"◇","")),IF(AND(CM$5&lt;=$F133,CM$5+GanttPeriod-1&gt;=$E133),"━","")))</f>
        <v/>
      </c>
      <c r="CN133" s="69" t="str">
        <f aca="false">IF($E133="","",IF($M133,IF(AND($G133&gt;=CN$5,$G133&lt;CN$5+GanttPeriod),"◆",IF(AND($E133&gt;=CN$5,$E133&lt;CN$5+GanttPeriod),"◇","")),IF(AND(CN$5&lt;=$F133,CN$5+GanttPeriod-1&gt;=$E133),"━","")))</f>
        <v/>
      </c>
      <c r="CO133" s="69" t="str">
        <f aca="false">IF($E133="","",IF($M133,IF(AND($G133&gt;=CO$5,$G133&lt;CO$5+GanttPeriod),"◆",IF(AND($E133&gt;=CO$5,$E133&lt;CO$5+GanttPeriod),"◇","")),IF(AND(CO$5&lt;=$F133,CO$5+GanttPeriod-1&gt;=$E133),"━","")))</f>
        <v/>
      </c>
      <c r="CP133" s="69" t="str">
        <f aca="false">IF($E133="","",IF($M133,IF(AND($G133&gt;=CP$5,$G133&lt;CP$5+GanttPeriod),"◆",IF(AND($E133&gt;=CP$5,$E133&lt;CP$5+GanttPeriod),"◇","")),IF(AND(CP$5&lt;=$F133,CP$5+GanttPeriod-1&gt;=$E133),"━","")))</f>
        <v/>
      </c>
      <c r="CQ133" s="69" t="str">
        <f aca="false">IF($E133="","",IF($M133,IF(AND($G133&gt;=CQ$5,$G133&lt;CQ$5+GanttPeriod),"◆",IF(AND($E133&gt;=CQ$5,$E133&lt;CQ$5+GanttPeriod),"◇","")),IF(AND(CQ$5&lt;=$F133,CQ$5+GanttPeriod-1&gt;=$E133),"━","")))</f>
        <v/>
      </c>
      <c r="CR133" s="69" t="str">
        <f aca="false">IF($E133="","",IF($M133,IF(AND($G133&gt;=CR$5,$G133&lt;CR$5+GanttPeriod),"◆",IF(AND($E133&gt;=CR$5,$E133&lt;CR$5+GanttPeriod),"◇","")),IF(AND(CR$5&lt;=$F133,CR$5+GanttPeriod-1&gt;=$E133),"━","")))</f>
        <v/>
      </c>
      <c r="CS133" s="69" t="str">
        <f aca="false">IF($E133="","",IF($M133,IF(AND($G133&gt;=CS$5,$G133&lt;CS$5+GanttPeriod),"◆",IF(AND($E133&gt;=CS$5,$E133&lt;CS$5+GanttPeriod),"◇","")),IF(AND(CS$5&lt;=$F133,CS$5+GanttPeriod-1&gt;=$E133),"━","")))</f>
        <v/>
      </c>
      <c r="CT133" s="69" t="str">
        <f aca="false">IF($E133="","",IF($M133,IF(AND($G133&gt;=CT$5,$G133&lt;CT$5+GanttPeriod),"◆",IF(AND($E133&gt;=CT$5,$E133&lt;CT$5+GanttPeriod),"◇","")),IF(AND(CT$5&lt;=$F133,CT$5+GanttPeriod-1&gt;=$E133),"━","")))</f>
        <v/>
      </c>
      <c r="CU133" s="69" t="str">
        <f aca="false">IF($E133="","",IF($M133,IF(AND($G133&gt;=CU$5,$G133&lt;CU$5+GanttPeriod),"◆",IF(AND($E133&gt;=CU$5,$E133&lt;CU$5+GanttPeriod),"◇","")),IF(AND(CU$5&lt;=$F133,CU$5+GanttPeriod-1&gt;=$E133),"━","")))</f>
        <v/>
      </c>
      <c r="CV133" s="69" t="str">
        <f aca="false">IF($E133="","",IF($M133,IF(AND($G133&gt;=CV$5,$G133&lt;CV$5+GanttPeriod),"◆",IF(AND($E133&gt;=CV$5,$E133&lt;CV$5+GanttPeriod),"◇","")),IF(AND(CV$5&lt;=$F133,CV$5+GanttPeriod-1&gt;=$E133),"━","")))</f>
        <v/>
      </c>
      <c r="CW133" s="69" t="str">
        <f aca="false">IF($E133="","",IF($M133,IF(AND($G133&gt;=CW$5,$G133&lt;CW$5+GanttPeriod),"◆",IF(AND($E133&gt;=CW$5,$E133&lt;CW$5+GanttPeriod),"◇","")),IF(AND(CW$5&lt;=$F133,CW$5+GanttPeriod-1&gt;=$E133),"━","")))</f>
        <v/>
      </c>
      <c r="CX133" s="69" t="str">
        <f aca="false">IF($E133="","",IF($M133,IF(AND($G133&gt;=CX$5,$G133&lt;CX$5+GanttPeriod),"◆",IF(AND($E133&gt;=CX$5,$E133&lt;CX$5+GanttPeriod),"◇","")),IF(AND(CX$5&lt;=$F133,CX$5+GanttPeriod-1&gt;=$E133),"━","")))</f>
        <v/>
      </c>
      <c r="CY133" s="69" t="str">
        <f aca="false">IF($E133="","",IF($M133,IF(AND($G133&gt;=CY$5,$G133&lt;CY$5+GanttPeriod),"◆",IF(AND($E133&gt;=CY$5,$E133&lt;CY$5+GanttPeriod),"◇","")),IF(AND(CY$5&lt;=$F133,CY$5+GanttPeriod-1&gt;=$E133),"━","")))</f>
        <v/>
      </c>
      <c r="CZ133" s="69" t="str">
        <f aca="false">IF($E133="","",IF($M133,IF(AND($G133&gt;=CZ$5,$G133&lt;CZ$5+GanttPeriod),"◆",IF(AND($E133&gt;=CZ$5,$E133&lt;CZ$5+GanttPeriod),"◇","")),IF(AND(CZ$5&lt;=$F133,CZ$5+GanttPeriod-1&gt;=$E133),"━","")))</f>
        <v/>
      </c>
      <c r="DA133" s="69" t="str">
        <f aca="false">IF($E133="","",IF($M133,IF(AND($G133&gt;=DA$5,$G133&lt;DA$5+GanttPeriod),"◆",IF(AND($E133&gt;=DA$5,$E133&lt;DA$5+GanttPeriod),"◇","")),IF(AND(DA$5&lt;=$F133,DA$5+GanttPeriod-1&gt;=$E133),"━","")))</f>
        <v/>
      </c>
      <c r="DB133" s="69" t="str">
        <f aca="false">IF($E133="","",IF($M133,IF(AND($G133&gt;=DB$5,$G133&lt;DB$5+GanttPeriod),"◆",IF(AND($E133&gt;=DB$5,$E133&lt;DB$5+GanttPeriod),"◇","")),IF(AND(DB$5&lt;=$F133,DB$5+GanttPeriod-1&gt;=$E133),"━","")))</f>
        <v/>
      </c>
      <c r="DC133" s="69" t="str">
        <f aca="false">IF($E133="","",IF($M133,IF(AND($G133&gt;=DC$5,$G133&lt;DC$5+GanttPeriod),"◆",IF(AND($E133&gt;=DC$5,$E133&lt;DC$5+GanttPeriod),"◇","")),IF(AND(DC$5&lt;=$F133,DC$5+GanttPeriod-1&gt;=$E133),"━","")))</f>
        <v/>
      </c>
      <c r="DD133" s="69" t="str">
        <f aca="false">IF($E133="","",IF($M133,IF(AND($G133&gt;=DD$5,$G133&lt;DD$5+GanttPeriod),"◆",IF(AND($E133&gt;=DD$5,$E133&lt;DD$5+GanttPeriod),"◇","")),IF(AND(DD$5&lt;=$F133,DD$5+GanttPeriod-1&gt;=$E133),"━","")))</f>
        <v/>
      </c>
      <c r="DE133" s="69" t="str">
        <f aca="false">IF($E133="","",IF($M133,IF(AND($G133&gt;=DE$5,$G133&lt;DE$5+GanttPeriod),"◆",IF(AND($E133&gt;=DE$5,$E133&lt;DE$5+GanttPeriod),"◇","")),IF(AND(DE$5&lt;=$F133,DE$5+GanttPeriod-1&gt;=$E133),"━","")))</f>
        <v/>
      </c>
      <c r="DF133" s="69" t="str">
        <f aca="false">IF($E133="","",IF($M133,IF(AND($G133&gt;=DF$5,$G133&lt;DF$5+GanttPeriod),"◆",IF(AND($E133&gt;=DF$5,$E133&lt;DF$5+GanttPeriod),"◇","")),IF(AND(DF$5&lt;=$F133,DF$5+GanttPeriod-1&gt;=$E133),"━","")))</f>
        <v/>
      </c>
      <c r="DG133" s="69" t="str">
        <f aca="false">IF($E133="","",IF($M133,IF(AND($G133&gt;=DG$5,$G133&lt;DG$5+GanttPeriod),"◆",IF(AND($E133&gt;=DG$5,$E133&lt;DG$5+GanttPeriod),"◇","")),IF(AND(DG$5&lt;=$F133,DG$5+GanttPeriod-1&gt;=$E133),"━","")))</f>
        <v/>
      </c>
      <c r="DH133" s="69" t="str">
        <f aca="false">IF($E133="","",IF($M133,IF(AND($G133&gt;=DH$5,$G133&lt;DH$5+GanttPeriod),"◆",IF(AND($E133&gt;=DH$5,$E133&lt;DH$5+GanttPeriod),"◇","")),IF(AND(DH$5&lt;=$F133,DH$5+GanttPeriod-1&gt;=$E133),"━","")))</f>
        <v/>
      </c>
      <c r="DI133" s="69" t="str">
        <f aca="false">IF($E133="","",IF($M133,IF(AND($G133&gt;=DI$5,$G133&lt;DI$5+GanttPeriod),"◆",IF(AND($E133&gt;=DI$5,$E133&lt;DI$5+GanttPeriod),"◇","")),IF(AND(DI$5&lt;=$F133,DI$5+GanttPeriod-1&gt;=$E133),"━","")))</f>
        <v/>
      </c>
      <c r="DJ133" s="69" t="str">
        <f aca="false">IF($E133="","",IF($M133,IF(AND($G133&gt;=DJ$5,$G133&lt;DJ$5+GanttPeriod),"◆",IF(AND($E133&gt;=DJ$5,$E133&lt;DJ$5+GanttPeriod),"◇","")),IF(AND(DJ$5&lt;=$F133,DJ$5+GanttPeriod-1&gt;=$E133),"━","")))</f>
        <v/>
      </c>
      <c r="DK133" s="69" t="str">
        <f aca="false">IF($E133="","",IF($M133,IF(AND($G133&gt;=DK$5,$G133&lt;DK$5+GanttPeriod),"◆",IF(AND($E133&gt;=DK$5,$E133&lt;DK$5+GanttPeriod),"◇","")),IF(AND(DK$5&lt;=$F133,DK$5+GanttPeriod-1&gt;=$E133),"━","")))</f>
        <v/>
      </c>
      <c r="DL133" s="69" t="str">
        <f aca="false">IF($E133="","",IF($M133,IF(AND($G133&gt;=DL$5,$G133&lt;DL$5+GanttPeriod),"◆",IF(AND($E133&gt;=DL$5,$E133&lt;DL$5+GanttPeriod),"◇","")),IF(AND(DL$5&lt;=$F133,DL$5+GanttPeriod-1&gt;=$E133),"━","")))</f>
        <v/>
      </c>
      <c r="DM133" s="69" t="str">
        <f aca="false">IF($E133="","",IF($M133,IF(AND($G133&gt;=DM$5,$G133&lt;DM$5+GanttPeriod),"◆",IF(AND($E133&gt;=DM$5,$E133&lt;DM$5+GanttPeriod),"◇","")),IF(AND(DM$5&lt;=$F133,DM$5+GanttPeriod-1&gt;=$E133),"━","")))</f>
        <v/>
      </c>
      <c r="DN133" s="69" t="str">
        <f aca="false">IF($E133="","",IF($M133,IF(AND($G133&gt;=DN$5,$G133&lt;DN$5+GanttPeriod),"◆",IF(AND($E133&gt;=DN$5,$E133&lt;DN$5+GanttPeriod),"◇","")),IF(AND(DN$5&lt;=$F133,DN$5+GanttPeriod-1&gt;=$E133),"━","")))</f>
        <v/>
      </c>
      <c r="DO133" s="69" t="str">
        <f aca="false">IF($E133="","",IF($M133,IF(AND($G133&gt;=DO$5,$G133&lt;DO$5+GanttPeriod),"◆",IF(AND($E133&gt;=DO$5,$E133&lt;DO$5+GanttPeriod),"◇","")),IF(AND(DO$5&lt;=$F133,DO$5+GanttPeriod-1&gt;=$E133),"━","")))</f>
        <v/>
      </c>
      <c r="DP133" s="69" t="str">
        <f aca="false">IF($E133="","",IF($M133,IF(AND($G133&gt;=DP$5,$G133&lt;DP$5+GanttPeriod),"◆",IF(AND($E133&gt;=DP$5,$E133&lt;DP$5+GanttPeriod),"◇","")),IF(AND(DP$5&lt;=$F133,DP$5+GanttPeriod-1&gt;=$E133),"━","")))</f>
        <v/>
      </c>
      <c r="DQ133" s="69" t="str">
        <f aca="false">IF($E133="","",IF($M133,IF(AND($G133&gt;=DQ$5,$G133&lt;DQ$5+GanttPeriod),"◆",IF(AND($E133&gt;=DQ$5,$E133&lt;DQ$5+GanttPeriod),"◇","")),IF(AND(DQ$5&lt;=$F133,DQ$5+GanttPeriod-1&gt;=$E133),"━","")))</f>
        <v/>
      </c>
      <c r="DR133" s="69" t="str">
        <f aca="false">IF($E133="","",IF($M133,IF(AND($G133&gt;=DR$5,$G133&lt;DR$5+GanttPeriod),"◆",IF(AND($E133&gt;=DR$5,$E133&lt;DR$5+GanttPeriod),"◇","")),IF(AND(DR$5&lt;=$F133,DR$5+GanttPeriod-1&gt;=$E133),"━","")))</f>
        <v/>
      </c>
      <c r="DS133" s="69" t="str">
        <f aca="false">IF($E133="","",IF($M133,IF(AND($G133&gt;=DS$5,$G133&lt;DS$5+GanttPeriod),"◆",IF(AND($E133&gt;=DS$5,$E133&lt;DS$5+GanttPeriod),"◇","")),IF(AND(DS$5&lt;=$F133,DS$5+GanttPeriod-1&gt;=$E133),"━","")))</f>
        <v/>
      </c>
      <c r="DT133" s="69" t="str">
        <f aca="false">IF($E133="","",IF($M133,IF(AND($G133&gt;=DT$5,$G133&lt;DT$5+GanttPeriod),"◆",IF(AND($E133&gt;=DT$5,$E133&lt;DT$5+GanttPeriod),"◇","")),IF(AND(DT$5&lt;=$F133,DT$5+GanttPeriod-1&gt;=$E133),"━","")))</f>
        <v/>
      </c>
      <c r="DU133" s="69" t="str">
        <f aca="false">IF($E133="","",IF($M133,IF(AND($G133&gt;=DU$5,$G133&lt;DU$5+GanttPeriod),"◆",IF(AND($E133&gt;=DU$5,$E133&lt;DU$5+GanttPeriod),"◇","")),IF(AND(DU$5&lt;=$F133,DU$5+GanttPeriod-1&gt;=$E133),"━","")))</f>
        <v/>
      </c>
      <c r="DV133" s="69" t="str">
        <f aca="false">IF($E133="","",IF($M133,IF(AND($G133&gt;=DV$5,$G133&lt;DV$5+GanttPeriod),"◆",IF(AND($E133&gt;=DV$5,$E133&lt;DV$5+GanttPeriod),"◇","")),IF(AND(DV$5&lt;=$F133,DV$5+GanttPeriod-1&gt;=$E133),"━","")))</f>
        <v/>
      </c>
      <c r="DW133" s="69" t="str">
        <f aca="false">IF($E133="","",IF($M133,IF(AND($G133&gt;=DW$5,$G133&lt;DW$5+GanttPeriod),"◆",IF(AND($E133&gt;=DW$5,$E133&lt;DW$5+GanttPeriod),"◇","")),IF(AND(DW$5&lt;=$F133,DW$5+GanttPeriod-1&gt;=$E133),"━","")))</f>
        <v/>
      </c>
      <c r="DX133" s="69" t="str">
        <f aca="false">IF($E133="","",IF($M133,IF(AND($G133&gt;=DX$5,$G133&lt;DX$5+GanttPeriod),"◆",IF(AND($E133&gt;=DX$5,$E133&lt;DX$5+GanttPeriod),"◇","")),IF(AND(DX$5&lt;=$F133,DX$5+GanttPeriod-1&gt;=$E133),"━","")))</f>
        <v/>
      </c>
      <c r="DY133" s="69" t="str">
        <f aca="false">IF($E133="","",IF($M133,IF(AND($G133&gt;=DY$5,$G133&lt;DY$5+GanttPeriod),"◆",IF(AND($E133&gt;=DY$5,$E133&lt;DY$5+GanttPeriod),"◇","")),IF(AND(DY$5&lt;=$F133,DY$5+GanttPeriod-1&gt;=$E133),"━","")))</f>
        <v/>
      </c>
      <c r="DZ133" s="69" t="str">
        <f aca="false">IF($E133="","",IF($M133,IF(AND($G133&gt;=DZ$5,$G133&lt;DZ$5+GanttPeriod),"◆",IF(AND($E133&gt;=DZ$5,$E133&lt;DZ$5+GanttPeriod),"◇","")),IF(AND(DZ$5&lt;=$F133,DZ$5+GanttPeriod-1&gt;=$E133),"━","")))</f>
        <v/>
      </c>
      <c r="EA133" s="69" t="str">
        <f aca="false">IF($E133="","",IF($M133,IF(AND($G133&gt;=EA$5,$G133&lt;EA$5+GanttPeriod),"◆",IF(AND($E133&gt;=EA$5,$E133&lt;EA$5+GanttPeriod),"◇","")),IF(AND(EA$5&lt;=$F133,EA$5+GanttPeriod-1&gt;=$E133),"━","")))</f>
        <v/>
      </c>
      <c r="EB133" s="69" t="str">
        <f aca="false">IF($E133="","",IF($M133,IF(AND($G133&gt;=EB$5,$G133&lt;EB$5+GanttPeriod),"◆",IF(AND($E133&gt;=EB$5,$E133&lt;EB$5+GanttPeriod),"◇","")),IF(AND(EB$5&lt;=$F133,EB$5+GanttPeriod-1&gt;=$E133),"━","")))</f>
        <v/>
      </c>
      <c r="EC133" s="69" t="str">
        <f aca="false">IF($E133="","",IF($M133,IF(AND($G133&gt;=EC$5,$G133&lt;EC$5+GanttPeriod),"◆",IF(AND($E133&gt;=EC$5,$E133&lt;EC$5+GanttPeriod),"◇","")),IF(AND(EC$5&lt;=$F133,EC$5+GanttPeriod-1&gt;=$E133),"━","")))</f>
        <v/>
      </c>
      <c r="ED133" s="69" t="str">
        <f aca="false">IF($E133="","",IF($M133,IF(AND($G133&gt;=ED$5,$G133&lt;ED$5+GanttPeriod),"◆",IF(AND($E133&gt;=ED$5,$E133&lt;ED$5+GanttPeriod),"◇","")),IF(AND(ED$5&lt;=$F133,ED$5+GanttPeriod-1&gt;=$E133),"━","")))</f>
        <v/>
      </c>
      <c r="EE133" s="69" t="str">
        <f aca="false">IF($E133="","",IF($M133,IF(AND($G133&gt;=EE$5,$G133&lt;EE$5+GanttPeriod),"◆",IF(AND($E133&gt;=EE$5,$E133&lt;EE$5+GanttPeriod),"◇","")),IF(AND(EE$5&lt;=$F133,EE$5+GanttPeriod-1&gt;=$E133),"━","")))</f>
        <v/>
      </c>
      <c r="EF133" s="69" t="str">
        <f aca="false">IF($E133="","",IF($M133,IF(AND($G133&gt;=EF$5,$G133&lt;EF$5+GanttPeriod),"◆",IF(AND($E133&gt;=EF$5,$E133&lt;EF$5+GanttPeriod),"◇","")),IF(AND(EF$5&lt;=$F133,EF$5+GanttPeriod-1&gt;=$E133),"━","")))</f>
        <v/>
      </c>
      <c r="EG133" s="69" t="str">
        <f aca="false">IF($E133="","",IF($M133,IF(AND($G133&gt;=EG$5,$G133&lt;EG$5+GanttPeriod),"◆",IF(AND($E133&gt;=EG$5,$E133&lt;EG$5+GanttPeriod),"◇","")),IF(AND(EG$5&lt;=$F133,EG$5+GanttPeriod-1&gt;=$E133),"━","")))</f>
        <v/>
      </c>
      <c r="EH133" s="69" t="str">
        <f aca="false">IF($E133="","",IF($M133,IF(AND($G133&gt;=EH$5,$G133&lt;EH$5+GanttPeriod),"◆",IF(AND($E133&gt;=EH$5,$E133&lt;EH$5+GanttPeriod),"◇","")),IF(AND(EH$5&lt;=$F133,EH$5+GanttPeriod-1&gt;=$E133),"━","")))</f>
        <v/>
      </c>
      <c r="EI133" s="69" t="str">
        <f aca="false">IF($E133="","",IF($M133,IF(AND($G133&gt;=EI$5,$G133&lt;EI$5+GanttPeriod),"◆",IF(AND($E133&gt;=EI$5,$E133&lt;EI$5+GanttPeriod),"◇","")),IF(AND(EI$5&lt;=$F133,EI$5+GanttPeriod-1&gt;=$E133),"━","")))</f>
        <v/>
      </c>
      <c r="EJ133" s="69" t="str">
        <f aca="false">IF($E133="","",IF($M133,IF(AND($G133&gt;=EJ$5,$G133&lt;EJ$5+GanttPeriod),"◆",IF(AND($E133&gt;=EJ$5,$E133&lt;EJ$5+GanttPeriod),"◇","")),IF(AND(EJ$5&lt;=$F133,EJ$5+GanttPeriod-1&gt;=$E133),"━","")))</f>
        <v/>
      </c>
      <c r="EK133" s="69" t="str">
        <f aca="false">IF($E133="","",IF($M133,IF(AND($G133&gt;=EK$5,$G133&lt;EK$5+GanttPeriod),"◆",IF(AND($E133&gt;=EK$5,$E133&lt;EK$5+GanttPeriod),"◇","")),IF(AND(EK$5&lt;=$F133,EK$5+GanttPeriod-1&gt;=$E133),"━","")))</f>
        <v/>
      </c>
      <c r="EL133" s="69" t="str">
        <f aca="false">IF($E133="","",IF($M133,IF(AND($G133&gt;=EL$5,$G133&lt;EL$5+GanttPeriod),"◆",IF(AND($E133&gt;=EL$5,$E133&lt;EL$5+GanttPeriod),"◇","")),IF(AND(EL$5&lt;=$F133,EL$5+GanttPeriod-1&gt;=$E133),"━","")))</f>
        <v/>
      </c>
      <c r="EM133" s="69" t="str">
        <f aca="false">IF($E133="","",IF($M133,IF(AND($G133&gt;=EM$5,$G133&lt;EM$5+GanttPeriod),"◆",IF(AND($E133&gt;=EM$5,$E133&lt;EM$5+GanttPeriod),"◇","")),IF(AND(EM$5&lt;=$F133,EM$5+GanttPeriod-1&gt;=$E133),"━","")))</f>
        <v/>
      </c>
      <c r="EN133" s="69" t="str">
        <f aca="false">IF($E133="","",IF($M133,IF(AND($G133&gt;=EN$5,$G133&lt;EN$5+GanttPeriod),"◆",IF(AND($E133&gt;=EN$5,$E133&lt;EN$5+GanttPeriod),"◇","")),IF(AND(EN$5&lt;=$F133,EN$5+GanttPeriod-1&gt;=$E133),"━","")))</f>
        <v/>
      </c>
      <c r="EO133" s="69" t="str">
        <f aca="false">IF($E133="","",IF($M133,IF(AND($G133&gt;=EO$5,$G133&lt;EO$5+GanttPeriod),"◆",IF(AND($E133&gt;=EO$5,$E133&lt;EO$5+GanttPeriod),"◇","")),IF(AND(EO$5&lt;=$F133,EO$5+GanttPeriod-1&gt;=$E133),"━","")))</f>
        <v/>
      </c>
      <c r="EP133" s="69" t="str">
        <f aca="false">IF($E133="","",IF($M133,IF(AND($G133&gt;=EP$5,$G133&lt;EP$5+GanttPeriod),"◆",IF(AND($E133&gt;=EP$5,$E133&lt;EP$5+GanttPeriod),"◇","")),IF(AND(EP$5&lt;=$F133,EP$5+GanttPeriod-1&gt;=$E133),"━","")))</f>
        <v/>
      </c>
      <c r="EQ133" s="69" t="str">
        <f aca="false">IF($E133="","",IF($M133,IF(AND($G133&gt;=EQ$5,$G133&lt;EQ$5+GanttPeriod),"◆",IF(AND($E133&gt;=EQ$5,$E133&lt;EQ$5+GanttPeriod),"◇","")),IF(AND(EQ$5&lt;=$F133,EQ$5+GanttPeriod-1&gt;=$E133),"━","")))</f>
        <v/>
      </c>
      <c r="ER133" s="69" t="str">
        <f aca="false">IF($E133="","",IF($M133,IF(AND($G133&gt;=ER$5,$G133&lt;ER$5+GanttPeriod),"◆",IF(AND($E133&gt;=ER$5,$E133&lt;ER$5+GanttPeriod),"◇","")),IF(AND(ER$5&lt;=$F133,ER$5+GanttPeriod-1&gt;=$E133),"━","")))</f>
        <v/>
      </c>
      <c r="ES133" s="69" t="str">
        <f aca="false">IF($E133="","",IF($M133,IF(AND($G133&gt;=ES$5,$G133&lt;ES$5+GanttPeriod),"◆",IF(AND($E133&gt;=ES$5,$E133&lt;ES$5+GanttPeriod),"◇","")),IF(AND(ES$5&lt;=$F133,ES$5+GanttPeriod-1&gt;=$E133),"━","")))</f>
        <v/>
      </c>
      <c r="ET133" s="69" t="str">
        <f aca="false">IF($E133="","",IF($M133,IF(AND($G133&gt;=ET$5,$G133&lt;ET$5+GanttPeriod),"◆",IF(AND($E133&gt;=ET$5,$E133&lt;ET$5+GanttPeriod),"◇","")),IF(AND(ET$5&lt;=$F133,ET$5+GanttPeriod-1&gt;=$E133),"━","")))</f>
        <v/>
      </c>
      <c r="EU133" s="69" t="str">
        <f aca="false">IF($E133="","",IF($M133,IF(AND($G133&gt;=EU$5,$G133&lt;EU$5+GanttPeriod),"◆",IF(AND($E133&gt;=EU$5,$E133&lt;EU$5+GanttPeriod),"◇","")),IF(AND(EU$5&lt;=$F133,EU$5+GanttPeriod-1&gt;=$E133),"━","")))</f>
        <v/>
      </c>
      <c r="EV133" s="69" t="str">
        <f aca="false">IF($E133="","",IF($M133,IF(AND($G133&gt;=EV$5,$G133&lt;EV$5+GanttPeriod),"◆",IF(AND($E133&gt;=EV$5,$E133&lt;EV$5+GanttPeriod),"◇","")),IF(AND(EV$5&lt;=$F133,EV$5+GanttPeriod-1&gt;=$E133),"━","")))</f>
        <v/>
      </c>
      <c r="EW133" s="69" t="str">
        <f aca="false">IF($E133="","",IF($M133,IF(AND($G133&gt;=EW$5,$G133&lt;EW$5+GanttPeriod),"◆",IF(AND($E133&gt;=EW$5,$E133&lt;EW$5+GanttPeriod),"◇","")),IF(AND(EW$5&lt;=$F133,EW$5+GanttPeriod-1&gt;=$E133),"━","")))</f>
        <v/>
      </c>
      <c r="EX133" s="69" t="str">
        <f aca="false">IF($E133="","",IF($M133,IF(AND($G133&gt;=EX$5,$G133&lt;EX$5+GanttPeriod),"◆",IF(AND($E133&gt;=EX$5,$E133&lt;EX$5+GanttPeriod),"◇","")),IF(AND(EX$5&lt;=$F133,EX$5+GanttPeriod-1&gt;=$E133),"━","")))</f>
        <v/>
      </c>
      <c r="EY133" s="69" t="str">
        <f aca="false">IF($E133="","",IF($M133,IF(AND($G133&gt;=EY$5,$G133&lt;EY$5+GanttPeriod),"◆",IF(AND($E133&gt;=EY$5,$E133&lt;EY$5+GanttPeriod),"◇","")),IF(AND(EY$5&lt;=$F133,EY$5+GanttPeriod-1&gt;=$E133),"━","")))</f>
        <v/>
      </c>
      <c r="EZ133" s="69" t="str">
        <f aca="false">IF($E133="","",IF($M133,IF(AND($G133&gt;=EZ$5,$G133&lt;EZ$5+GanttPeriod),"◆",IF(AND($E133&gt;=EZ$5,$E133&lt;EZ$5+GanttPeriod),"◇","")),IF(AND(EZ$5&lt;=$F133,EZ$5+GanttPeriod-1&gt;=$E133),"━","")))</f>
        <v/>
      </c>
      <c r="FA133" s="69" t="str">
        <f aca="false">IF($E133="","",IF($M133,IF(AND($G133&gt;=FA$5,$G133&lt;FA$5+GanttPeriod),"◆",IF(AND($E133&gt;=FA$5,$E133&lt;FA$5+GanttPeriod),"◇","")),IF(AND(FA$5&lt;=$F133,FA$5+GanttPeriod-1&gt;=$E133),"━","")))</f>
        <v/>
      </c>
      <c r="FB133" s="69" t="str">
        <f aca="false">IF($E133="","",IF($M133,IF(AND($G133&gt;=FB$5,$G133&lt;FB$5+GanttPeriod),"◆",IF(AND($E133&gt;=FB$5,$E133&lt;FB$5+GanttPeriod),"◇","")),IF(AND(FB$5&lt;=$F133,FB$5+GanttPeriod-1&gt;=$E133),"━","")))</f>
        <v/>
      </c>
      <c r="FC133" s="69" t="str">
        <f aca="false">IF($E133="","",IF($M133,IF(AND($G133&gt;=FC$5,$G133&lt;FC$5+GanttPeriod),"◆",IF(AND($E133&gt;=FC$5,$E133&lt;FC$5+GanttPeriod),"◇","")),IF(AND(FC$5&lt;=$F133,FC$5+GanttPeriod-1&gt;=$E133),"━","")))</f>
        <v/>
      </c>
      <c r="FD133" s="69" t="str">
        <f aca="false">IF($E133="","",IF($M133,IF(AND($G133&gt;=FD$5,$G133&lt;FD$5+GanttPeriod),"◆",IF(AND($E133&gt;=FD$5,$E133&lt;FD$5+GanttPeriod),"◇","")),IF(AND(FD$5&lt;=$F133,FD$5+GanttPeriod-1&gt;=$E133),"━","")))</f>
        <v/>
      </c>
      <c r="FE133" s="69" t="str">
        <f aca="false">IF($E133="","",IF($M133,IF(AND($G133&gt;=FE$5,$G133&lt;FE$5+GanttPeriod),"◆",IF(AND($E133&gt;=FE$5,$E133&lt;FE$5+GanttPeriod),"◇","")),IF(AND(FE$5&lt;=$F133,FE$5+GanttPeriod-1&gt;=$E133),"━","")))</f>
        <v/>
      </c>
      <c r="FF133" s="69" t="str">
        <f aca="false">IF($E133="","",IF($M133,IF(AND($G133&gt;=FF$5,$G133&lt;FF$5+GanttPeriod),"◆",IF(AND($E133&gt;=FF$5,$E133&lt;FF$5+GanttPeriod),"◇","")),IF(AND(FF$5&lt;=$F133,FF$5+GanttPeriod-1&gt;=$E133),"━","")))</f>
        <v/>
      </c>
      <c r="FG133" s="69" t="str">
        <f aca="false">IF($E133="","",IF($M133,IF(AND($G133&gt;=FG$5,$G133&lt;FG$5+GanttPeriod),"◆",IF(AND($E133&gt;=FG$5,$E133&lt;FG$5+GanttPeriod),"◇","")),IF(AND(FG$5&lt;=$F133,FG$5+GanttPeriod-1&gt;=$E133),"━","")))</f>
        <v/>
      </c>
      <c r="FH133" s="69" t="str">
        <f aca="false">IF($E133="","",IF($M133,IF(AND($G133&gt;=FH$5,$G133&lt;FH$5+GanttPeriod),"◆",IF(AND($E133&gt;=FH$5,$E133&lt;FH$5+GanttPeriod),"◇","")),IF(AND(FH$5&lt;=$F133,FH$5+GanttPeriod-1&gt;=$E133),"━","")))</f>
        <v/>
      </c>
      <c r="FI133" s="69" t="str">
        <f aca="false">IF($E133="","",IF($M133,IF(AND($G133&gt;=FI$5,$G133&lt;FI$5+GanttPeriod),"◆",IF(AND($E133&gt;=FI$5,$E133&lt;FI$5+GanttPeriod),"◇","")),IF(AND(FI$5&lt;=$F133,FI$5+GanttPeriod-1&gt;=$E133),"━","")))</f>
        <v/>
      </c>
      <c r="FJ133" s="69" t="str">
        <f aca="false">IF($E133="","",IF($M133,IF(AND($G133&gt;=FJ$5,$G133&lt;FJ$5+GanttPeriod),"◆",IF(AND($E133&gt;=FJ$5,$E133&lt;FJ$5+GanttPeriod),"◇","")),IF(AND(FJ$5&lt;=$F133,FJ$5+GanttPeriod-1&gt;=$E133),"━","")))</f>
        <v/>
      </c>
      <c r="FK133" s="69" t="str">
        <f aca="false">IF($E133="","",IF($M133,IF(AND($G133&gt;=FK$5,$G133&lt;FK$5+GanttPeriod),"◆",IF(AND($E133&gt;=FK$5,$E133&lt;FK$5+GanttPeriod),"◇","")),IF(AND(FK$5&lt;=$F133,FK$5+GanttPeriod-1&gt;=$E133),"━","")))</f>
        <v/>
      </c>
      <c r="FL133" s="69" t="str">
        <f aca="false">IF($E133="","",IF($M133,IF(AND($G133&gt;=FL$5,$G133&lt;FL$5+GanttPeriod),"◆",IF(AND($E133&gt;=FL$5,$E133&lt;FL$5+GanttPeriod),"◇","")),IF(AND(FL$5&lt;=$F133,FL$5+GanttPeriod-1&gt;=$E133),"━","")))</f>
        <v/>
      </c>
      <c r="FM133" s="69" t="str">
        <f aca="false">IF($E133="","",IF($M133,IF(AND($G133&gt;=FM$5,$G133&lt;FM$5+GanttPeriod),"◆",IF(AND($E133&gt;=FM$5,$E133&lt;FM$5+GanttPeriod),"◇","")),IF(AND(FM$5&lt;=$F133,FM$5+GanttPeriod-1&gt;=$E133),"━","")))</f>
        <v/>
      </c>
    </row>
    <row r="134" customFormat="false" ht="15" hidden="false" customHeight="false" outlineLevel="0" collapsed="false">
      <c r="A134" s="62" t="str">
        <f aca="false">IF(Tasks!$D134="","",Tasks!$A134)</f>
        <v/>
      </c>
      <c r="B134" s="62" t="str">
        <f aca="false">IF(Tasks!$D134="","",Tasks!$B134)</f>
        <v/>
      </c>
      <c r="C134" s="63" t="str">
        <f aca="false">IF(Tasks!$D134="","",REPT("    ",Tasks!$AE134-1)&amp;Tasks!$D134)</f>
        <v/>
      </c>
      <c r="D134" s="62" t="str">
        <f aca="false">IF(Tasks!$D134="","",IF(Tasks!$AI134,NETWORKDAYS.INTL(Tasks!$R134,Tasks!$S134,WorkWeek,Holidays),N(Tasks!$F134)))</f>
        <v/>
      </c>
      <c r="E134" s="64" t="str">
        <f aca="false">IF(Tasks!$D134="","",Tasks!$N134)</f>
        <v/>
      </c>
      <c r="F134" s="64" t="str">
        <f aca="false">IF(Tasks!$D134="","",Tasks!$O134)</f>
        <v/>
      </c>
      <c r="G134" s="64" t="str">
        <f aca="false">IF(Tasks!$D134="","",Tasks!$R134)</f>
        <v/>
      </c>
      <c r="H134" s="64" t="str">
        <f aca="false">IF(Tasks!$D134="","",Tasks!$S134)</f>
        <v/>
      </c>
      <c r="I134" s="65" t="str">
        <f aca="false">IF(Tasks!$D134="","",Tasks!$V134)</f>
        <v/>
      </c>
      <c r="J134" s="63" t="str">
        <f aca="false">IF(Tasks!$D134="","",Tasks!$X134&amp;"")</f>
        <v/>
      </c>
      <c r="K134" s="66" t="str">
        <f aca="false">IF(Tasks!$D134="","",Tasks!$W134)</f>
        <v/>
      </c>
      <c r="L134" s="67" t="b">
        <f aca="false">IF(Tasks!$D134="",FALSE(),Tasks!$AI134)</f>
        <v>0</v>
      </c>
      <c r="M134" s="67" t="b">
        <f aca="false">AND(Tasks!$AJ134=1,N(Tasks!$F134)=0)</f>
        <v>0</v>
      </c>
      <c r="N134" s="68" t="n">
        <f aca="false">IF(AND(Tasks!$AJ134=1,NOT($M134),N($I134)&gt;0),$G134,0)</f>
        <v>0</v>
      </c>
      <c r="O134" s="68" t="n">
        <f aca="false">IF($N134=0,0,IF($I134&gt;=1,$H134,MAX($N134,$G134+ROUND(($H134-$G134+1)*$I134,0)-1)))</f>
        <v>0</v>
      </c>
      <c r="P134" s="68" t="n">
        <f aca="false">IF(OR(Tasks!$AJ134&lt;&gt;1,$M134,N($I134)&gt;=1),0,IF($O134&gt;0,$O134+1,$G134))</f>
        <v>0</v>
      </c>
      <c r="Q134" s="68" t="n">
        <f aca="false">IF($P134=0,0,$H134)</f>
        <v>0</v>
      </c>
      <c r="R134" s="67" t="b">
        <f aca="false">AND(Tasks!$D134&lt;&gt;"",N(Tasks!$T134)&gt;0)</f>
        <v>0</v>
      </c>
      <c r="T134" s="69" t="str">
        <f aca="false">IF($E134="","",IF($M134,IF(AND($G134&gt;=T$5,$G134&lt;T$5+GanttPeriod),"◆",IF(AND($E134&gt;=T$5,$E134&lt;T$5+GanttPeriod),"◇","")),IF(AND(T$5&lt;=$F134,T$5+GanttPeriod-1&gt;=$E134),"━","")))</f>
        <v/>
      </c>
      <c r="U134" s="69" t="str">
        <f aca="false">IF($E134="","",IF($M134,IF(AND($G134&gt;=U$5,$G134&lt;U$5+GanttPeriod),"◆",IF(AND($E134&gt;=U$5,$E134&lt;U$5+GanttPeriod),"◇","")),IF(AND(U$5&lt;=$F134,U$5+GanttPeriod-1&gt;=$E134),"━","")))</f>
        <v/>
      </c>
      <c r="V134" s="69" t="str">
        <f aca="false">IF($E134="","",IF($M134,IF(AND($G134&gt;=V$5,$G134&lt;V$5+GanttPeriod),"◆",IF(AND($E134&gt;=V$5,$E134&lt;V$5+GanttPeriod),"◇","")),IF(AND(V$5&lt;=$F134,V$5+GanttPeriod-1&gt;=$E134),"━","")))</f>
        <v/>
      </c>
      <c r="W134" s="69" t="str">
        <f aca="false">IF($E134="","",IF($M134,IF(AND($G134&gt;=W$5,$G134&lt;W$5+GanttPeriod),"◆",IF(AND($E134&gt;=W$5,$E134&lt;W$5+GanttPeriod),"◇","")),IF(AND(W$5&lt;=$F134,W$5+GanttPeriod-1&gt;=$E134),"━","")))</f>
        <v/>
      </c>
      <c r="X134" s="69" t="str">
        <f aca="false">IF($E134="","",IF($M134,IF(AND($G134&gt;=X$5,$G134&lt;X$5+GanttPeriod),"◆",IF(AND($E134&gt;=X$5,$E134&lt;X$5+GanttPeriod),"◇","")),IF(AND(X$5&lt;=$F134,X$5+GanttPeriod-1&gt;=$E134),"━","")))</f>
        <v/>
      </c>
      <c r="Y134" s="69" t="str">
        <f aca="false">IF($E134="","",IF($M134,IF(AND($G134&gt;=Y$5,$G134&lt;Y$5+GanttPeriod),"◆",IF(AND($E134&gt;=Y$5,$E134&lt;Y$5+GanttPeriod),"◇","")),IF(AND(Y$5&lt;=$F134,Y$5+GanttPeriod-1&gt;=$E134),"━","")))</f>
        <v/>
      </c>
      <c r="Z134" s="69" t="str">
        <f aca="false">IF($E134="","",IF($M134,IF(AND($G134&gt;=Z$5,$G134&lt;Z$5+GanttPeriod),"◆",IF(AND($E134&gt;=Z$5,$E134&lt;Z$5+GanttPeriod),"◇","")),IF(AND(Z$5&lt;=$F134,Z$5+GanttPeriod-1&gt;=$E134),"━","")))</f>
        <v/>
      </c>
      <c r="AA134" s="69" t="str">
        <f aca="false">IF($E134="","",IF($M134,IF(AND($G134&gt;=AA$5,$G134&lt;AA$5+GanttPeriod),"◆",IF(AND($E134&gt;=AA$5,$E134&lt;AA$5+GanttPeriod),"◇","")),IF(AND(AA$5&lt;=$F134,AA$5+GanttPeriod-1&gt;=$E134),"━","")))</f>
        <v/>
      </c>
      <c r="AB134" s="69" t="str">
        <f aca="false">IF($E134="","",IF($M134,IF(AND($G134&gt;=AB$5,$G134&lt;AB$5+GanttPeriod),"◆",IF(AND($E134&gt;=AB$5,$E134&lt;AB$5+GanttPeriod),"◇","")),IF(AND(AB$5&lt;=$F134,AB$5+GanttPeriod-1&gt;=$E134),"━","")))</f>
        <v/>
      </c>
      <c r="AC134" s="69" t="str">
        <f aca="false">IF($E134="","",IF($M134,IF(AND($G134&gt;=AC$5,$G134&lt;AC$5+GanttPeriod),"◆",IF(AND($E134&gt;=AC$5,$E134&lt;AC$5+GanttPeriod),"◇","")),IF(AND(AC$5&lt;=$F134,AC$5+GanttPeriod-1&gt;=$E134),"━","")))</f>
        <v/>
      </c>
      <c r="AD134" s="69" t="str">
        <f aca="false">IF($E134="","",IF($M134,IF(AND($G134&gt;=AD$5,$G134&lt;AD$5+GanttPeriod),"◆",IF(AND($E134&gt;=AD$5,$E134&lt;AD$5+GanttPeriod),"◇","")),IF(AND(AD$5&lt;=$F134,AD$5+GanttPeriod-1&gt;=$E134),"━","")))</f>
        <v/>
      </c>
      <c r="AE134" s="69" t="str">
        <f aca="false">IF($E134="","",IF($M134,IF(AND($G134&gt;=AE$5,$G134&lt;AE$5+GanttPeriod),"◆",IF(AND($E134&gt;=AE$5,$E134&lt;AE$5+GanttPeriod),"◇","")),IF(AND(AE$5&lt;=$F134,AE$5+GanttPeriod-1&gt;=$E134),"━","")))</f>
        <v/>
      </c>
      <c r="AF134" s="69" t="str">
        <f aca="false">IF($E134="","",IF($M134,IF(AND($G134&gt;=AF$5,$G134&lt;AF$5+GanttPeriod),"◆",IF(AND($E134&gt;=AF$5,$E134&lt;AF$5+GanttPeriod),"◇","")),IF(AND(AF$5&lt;=$F134,AF$5+GanttPeriod-1&gt;=$E134),"━","")))</f>
        <v/>
      </c>
      <c r="AG134" s="69" t="str">
        <f aca="false">IF($E134="","",IF($M134,IF(AND($G134&gt;=AG$5,$G134&lt;AG$5+GanttPeriod),"◆",IF(AND($E134&gt;=AG$5,$E134&lt;AG$5+GanttPeriod),"◇","")),IF(AND(AG$5&lt;=$F134,AG$5+GanttPeriod-1&gt;=$E134),"━","")))</f>
        <v/>
      </c>
      <c r="AH134" s="69" t="str">
        <f aca="false">IF($E134="","",IF($M134,IF(AND($G134&gt;=AH$5,$G134&lt;AH$5+GanttPeriod),"◆",IF(AND($E134&gt;=AH$5,$E134&lt;AH$5+GanttPeriod),"◇","")),IF(AND(AH$5&lt;=$F134,AH$5+GanttPeriod-1&gt;=$E134),"━","")))</f>
        <v/>
      </c>
      <c r="AI134" s="69" t="str">
        <f aca="false">IF($E134="","",IF($M134,IF(AND($G134&gt;=AI$5,$G134&lt;AI$5+GanttPeriod),"◆",IF(AND($E134&gt;=AI$5,$E134&lt;AI$5+GanttPeriod),"◇","")),IF(AND(AI$5&lt;=$F134,AI$5+GanttPeriod-1&gt;=$E134),"━","")))</f>
        <v/>
      </c>
      <c r="AJ134" s="69" t="str">
        <f aca="false">IF($E134="","",IF($M134,IF(AND($G134&gt;=AJ$5,$G134&lt;AJ$5+GanttPeriod),"◆",IF(AND($E134&gt;=AJ$5,$E134&lt;AJ$5+GanttPeriod),"◇","")),IF(AND(AJ$5&lt;=$F134,AJ$5+GanttPeriod-1&gt;=$E134),"━","")))</f>
        <v/>
      </c>
      <c r="AK134" s="69" t="str">
        <f aca="false">IF($E134="","",IF($M134,IF(AND($G134&gt;=AK$5,$G134&lt;AK$5+GanttPeriod),"◆",IF(AND($E134&gt;=AK$5,$E134&lt;AK$5+GanttPeriod),"◇","")),IF(AND(AK$5&lt;=$F134,AK$5+GanttPeriod-1&gt;=$E134),"━","")))</f>
        <v/>
      </c>
      <c r="AL134" s="69" t="str">
        <f aca="false">IF($E134="","",IF($M134,IF(AND($G134&gt;=AL$5,$G134&lt;AL$5+GanttPeriod),"◆",IF(AND($E134&gt;=AL$5,$E134&lt;AL$5+GanttPeriod),"◇","")),IF(AND(AL$5&lt;=$F134,AL$5+GanttPeriod-1&gt;=$E134),"━","")))</f>
        <v/>
      </c>
      <c r="AM134" s="69" t="str">
        <f aca="false">IF($E134="","",IF($M134,IF(AND($G134&gt;=AM$5,$G134&lt;AM$5+GanttPeriod),"◆",IF(AND($E134&gt;=AM$5,$E134&lt;AM$5+GanttPeriod),"◇","")),IF(AND(AM$5&lt;=$F134,AM$5+GanttPeriod-1&gt;=$E134),"━","")))</f>
        <v/>
      </c>
      <c r="AN134" s="69" t="str">
        <f aca="false">IF($E134="","",IF($M134,IF(AND($G134&gt;=AN$5,$G134&lt;AN$5+GanttPeriod),"◆",IF(AND($E134&gt;=AN$5,$E134&lt;AN$5+GanttPeriod),"◇","")),IF(AND(AN$5&lt;=$F134,AN$5+GanttPeriod-1&gt;=$E134),"━","")))</f>
        <v/>
      </c>
      <c r="AO134" s="69" t="str">
        <f aca="false">IF($E134="","",IF($M134,IF(AND($G134&gt;=AO$5,$G134&lt;AO$5+GanttPeriod),"◆",IF(AND($E134&gt;=AO$5,$E134&lt;AO$5+GanttPeriod),"◇","")),IF(AND(AO$5&lt;=$F134,AO$5+GanttPeriod-1&gt;=$E134),"━","")))</f>
        <v/>
      </c>
      <c r="AP134" s="69" t="str">
        <f aca="false">IF($E134="","",IF($M134,IF(AND($G134&gt;=AP$5,$G134&lt;AP$5+GanttPeriod),"◆",IF(AND($E134&gt;=AP$5,$E134&lt;AP$5+GanttPeriod),"◇","")),IF(AND(AP$5&lt;=$F134,AP$5+GanttPeriod-1&gt;=$E134),"━","")))</f>
        <v/>
      </c>
      <c r="AQ134" s="69" t="str">
        <f aca="false">IF($E134="","",IF($M134,IF(AND($G134&gt;=AQ$5,$G134&lt;AQ$5+GanttPeriod),"◆",IF(AND($E134&gt;=AQ$5,$E134&lt;AQ$5+GanttPeriod),"◇","")),IF(AND(AQ$5&lt;=$F134,AQ$5+GanttPeriod-1&gt;=$E134),"━","")))</f>
        <v/>
      </c>
      <c r="AR134" s="69" t="str">
        <f aca="false">IF($E134="","",IF($M134,IF(AND($G134&gt;=AR$5,$G134&lt;AR$5+GanttPeriod),"◆",IF(AND($E134&gt;=AR$5,$E134&lt;AR$5+GanttPeriod),"◇","")),IF(AND(AR$5&lt;=$F134,AR$5+GanttPeriod-1&gt;=$E134),"━","")))</f>
        <v/>
      </c>
      <c r="AS134" s="69" t="str">
        <f aca="false">IF($E134="","",IF($M134,IF(AND($G134&gt;=AS$5,$G134&lt;AS$5+GanttPeriod),"◆",IF(AND($E134&gt;=AS$5,$E134&lt;AS$5+GanttPeriod),"◇","")),IF(AND(AS$5&lt;=$F134,AS$5+GanttPeriod-1&gt;=$E134),"━","")))</f>
        <v/>
      </c>
      <c r="AT134" s="69" t="str">
        <f aca="false">IF($E134="","",IF($M134,IF(AND($G134&gt;=AT$5,$G134&lt;AT$5+GanttPeriod),"◆",IF(AND($E134&gt;=AT$5,$E134&lt;AT$5+GanttPeriod),"◇","")),IF(AND(AT$5&lt;=$F134,AT$5+GanttPeriod-1&gt;=$E134),"━","")))</f>
        <v/>
      </c>
      <c r="AU134" s="69" t="str">
        <f aca="false">IF($E134="","",IF($M134,IF(AND($G134&gt;=AU$5,$G134&lt;AU$5+GanttPeriod),"◆",IF(AND($E134&gt;=AU$5,$E134&lt;AU$5+GanttPeriod),"◇","")),IF(AND(AU$5&lt;=$F134,AU$5+GanttPeriod-1&gt;=$E134),"━","")))</f>
        <v/>
      </c>
      <c r="AV134" s="69" t="str">
        <f aca="false">IF($E134="","",IF($M134,IF(AND($G134&gt;=AV$5,$G134&lt;AV$5+GanttPeriod),"◆",IF(AND($E134&gt;=AV$5,$E134&lt;AV$5+GanttPeriod),"◇","")),IF(AND(AV$5&lt;=$F134,AV$5+GanttPeriod-1&gt;=$E134),"━","")))</f>
        <v/>
      </c>
      <c r="AW134" s="69" t="str">
        <f aca="false">IF($E134="","",IF($M134,IF(AND($G134&gt;=AW$5,$G134&lt;AW$5+GanttPeriod),"◆",IF(AND($E134&gt;=AW$5,$E134&lt;AW$5+GanttPeriod),"◇","")),IF(AND(AW$5&lt;=$F134,AW$5+GanttPeriod-1&gt;=$E134),"━","")))</f>
        <v/>
      </c>
      <c r="AX134" s="69" t="str">
        <f aca="false">IF($E134="","",IF($M134,IF(AND($G134&gt;=AX$5,$G134&lt;AX$5+GanttPeriod),"◆",IF(AND($E134&gt;=AX$5,$E134&lt;AX$5+GanttPeriod),"◇","")),IF(AND(AX$5&lt;=$F134,AX$5+GanttPeriod-1&gt;=$E134),"━","")))</f>
        <v/>
      </c>
      <c r="AY134" s="69" t="str">
        <f aca="false">IF($E134="","",IF($M134,IF(AND($G134&gt;=AY$5,$G134&lt;AY$5+GanttPeriod),"◆",IF(AND($E134&gt;=AY$5,$E134&lt;AY$5+GanttPeriod),"◇","")),IF(AND(AY$5&lt;=$F134,AY$5+GanttPeriod-1&gt;=$E134),"━","")))</f>
        <v/>
      </c>
      <c r="AZ134" s="69" t="str">
        <f aca="false">IF($E134="","",IF($M134,IF(AND($G134&gt;=AZ$5,$G134&lt;AZ$5+GanttPeriod),"◆",IF(AND($E134&gt;=AZ$5,$E134&lt;AZ$5+GanttPeriod),"◇","")),IF(AND(AZ$5&lt;=$F134,AZ$5+GanttPeriod-1&gt;=$E134),"━","")))</f>
        <v/>
      </c>
      <c r="BA134" s="69" t="str">
        <f aca="false">IF($E134="","",IF($M134,IF(AND($G134&gt;=BA$5,$G134&lt;BA$5+GanttPeriod),"◆",IF(AND($E134&gt;=BA$5,$E134&lt;BA$5+GanttPeriod),"◇","")),IF(AND(BA$5&lt;=$F134,BA$5+GanttPeriod-1&gt;=$E134),"━","")))</f>
        <v/>
      </c>
      <c r="BB134" s="69" t="str">
        <f aca="false">IF($E134="","",IF($M134,IF(AND($G134&gt;=BB$5,$G134&lt;BB$5+GanttPeriod),"◆",IF(AND($E134&gt;=BB$5,$E134&lt;BB$5+GanttPeriod),"◇","")),IF(AND(BB$5&lt;=$F134,BB$5+GanttPeriod-1&gt;=$E134),"━","")))</f>
        <v/>
      </c>
      <c r="BC134" s="69" t="str">
        <f aca="false">IF($E134="","",IF($M134,IF(AND($G134&gt;=BC$5,$G134&lt;BC$5+GanttPeriod),"◆",IF(AND($E134&gt;=BC$5,$E134&lt;BC$5+GanttPeriod),"◇","")),IF(AND(BC$5&lt;=$F134,BC$5+GanttPeriod-1&gt;=$E134),"━","")))</f>
        <v/>
      </c>
      <c r="BD134" s="69" t="str">
        <f aca="false">IF($E134="","",IF($M134,IF(AND($G134&gt;=BD$5,$G134&lt;BD$5+GanttPeriod),"◆",IF(AND($E134&gt;=BD$5,$E134&lt;BD$5+GanttPeriod),"◇","")),IF(AND(BD$5&lt;=$F134,BD$5+GanttPeriod-1&gt;=$E134),"━","")))</f>
        <v/>
      </c>
      <c r="BE134" s="69" t="str">
        <f aca="false">IF($E134="","",IF($M134,IF(AND($G134&gt;=BE$5,$G134&lt;BE$5+GanttPeriod),"◆",IF(AND($E134&gt;=BE$5,$E134&lt;BE$5+GanttPeriod),"◇","")),IF(AND(BE$5&lt;=$F134,BE$5+GanttPeriod-1&gt;=$E134),"━","")))</f>
        <v/>
      </c>
      <c r="BF134" s="69" t="str">
        <f aca="false">IF($E134="","",IF($M134,IF(AND($G134&gt;=BF$5,$G134&lt;BF$5+GanttPeriod),"◆",IF(AND($E134&gt;=BF$5,$E134&lt;BF$5+GanttPeriod),"◇","")),IF(AND(BF$5&lt;=$F134,BF$5+GanttPeriod-1&gt;=$E134),"━","")))</f>
        <v/>
      </c>
      <c r="BG134" s="69" t="str">
        <f aca="false">IF($E134="","",IF($M134,IF(AND($G134&gt;=BG$5,$G134&lt;BG$5+GanttPeriod),"◆",IF(AND($E134&gt;=BG$5,$E134&lt;BG$5+GanttPeriod),"◇","")),IF(AND(BG$5&lt;=$F134,BG$5+GanttPeriod-1&gt;=$E134),"━","")))</f>
        <v/>
      </c>
      <c r="BH134" s="69" t="str">
        <f aca="false">IF($E134="","",IF($M134,IF(AND($G134&gt;=BH$5,$G134&lt;BH$5+GanttPeriod),"◆",IF(AND($E134&gt;=BH$5,$E134&lt;BH$5+GanttPeriod),"◇","")),IF(AND(BH$5&lt;=$F134,BH$5+GanttPeriod-1&gt;=$E134),"━","")))</f>
        <v/>
      </c>
      <c r="BI134" s="69" t="str">
        <f aca="false">IF($E134="","",IF($M134,IF(AND($G134&gt;=BI$5,$G134&lt;BI$5+GanttPeriod),"◆",IF(AND($E134&gt;=BI$5,$E134&lt;BI$5+GanttPeriod),"◇","")),IF(AND(BI$5&lt;=$F134,BI$5+GanttPeriod-1&gt;=$E134),"━","")))</f>
        <v/>
      </c>
      <c r="BJ134" s="69" t="str">
        <f aca="false">IF($E134="","",IF($M134,IF(AND($G134&gt;=BJ$5,$G134&lt;BJ$5+GanttPeriod),"◆",IF(AND($E134&gt;=BJ$5,$E134&lt;BJ$5+GanttPeriod),"◇","")),IF(AND(BJ$5&lt;=$F134,BJ$5+GanttPeriod-1&gt;=$E134),"━","")))</f>
        <v/>
      </c>
      <c r="BK134" s="69" t="str">
        <f aca="false">IF($E134="","",IF($M134,IF(AND($G134&gt;=BK$5,$G134&lt;BK$5+GanttPeriod),"◆",IF(AND($E134&gt;=BK$5,$E134&lt;BK$5+GanttPeriod),"◇","")),IF(AND(BK$5&lt;=$F134,BK$5+GanttPeriod-1&gt;=$E134),"━","")))</f>
        <v/>
      </c>
      <c r="BL134" s="69" t="str">
        <f aca="false">IF($E134="","",IF($M134,IF(AND($G134&gt;=BL$5,$G134&lt;BL$5+GanttPeriod),"◆",IF(AND($E134&gt;=BL$5,$E134&lt;BL$5+GanttPeriod),"◇","")),IF(AND(BL$5&lt;=$F134,BL$5+GanttPeriod-1&gt;=$E134),"━","")))</f>
        <v/>
      </c>
      <c r="BM134" s="69" t="str">
        <f aca="false">IF($E134="","",IF($M134,IF(AND($G134&gt;=BM$5,$G134&lt;BM$5+GanttPeriod),"◆",IF(AND($E134&gt;=BM$5,$E134&lt;BM$5+GanttPeriod),"◇","")),IF(AND(BM$5&lt;=$F134,BM$5+GanttPeriod-1&gt;=$E134),"━","")))</f>
        <v/>
      </c>
      <c r="BN134" s="69" t="str">
        <f aca="false">IF($E134="","",IF($M134,IF(AND($G134&gt;=BN$5,$G134&lt;BN$5+GanttPeriod),"◆",IF(AND($E134&gt;=BN$5,$E134&lt;BN$5+GanttPeriod),"◇","")),IF(AND(BN$5&lt;=$F134,BN$5+GanttPeriod-1&gt;=$E134),"━","")))</f>
        <v/>
      </c>
      <c r="BO134" s="69" t="str">
        <f aca="false">IF($E134="","",IF($M134,IF(AND($G134&gt;=BO$5,$G134&lt;BO$5+GanttPeriod),"◆",IF(AND($E134&gt;=BO$5,$E134&lt;BO$5+GanttPeriod),"◇","")),IF(AND(BO$5&lt;=$F134,BO$5+GanttPeriod-1&gt;=$E134),"━","")))</f>
        <v/>
      </c>
      <c r="BP134" s="69" t="str">
        <f aca="false">IF($E134="","",IF($M134,IF(AND($G134&gt;=BP$5,$G134&lt;BP$5+GanttPeriod),"◆",IF(AND($E134&gt;=BP$5,$E134&lt;BP$5+GanttPeriod),"◇","")),IF(AND(BP$5&lt;=$F134,BP$5+GanttPeriod-1&gt;=$E134),"━","")))</f>
        <v/>
      </c>
      <c r="BQ134" s="69" t="str">
        <f aca="false">IF($E134="","",IF($M134,IF(AND($G134&gt;=BQ$5,$G134&lt;BQ$5+GanttPeriod),"◆",IF(AND($E134&gt;=BQ$5,$E134&lt;BQ$5+GanttPeriod),"◇","")),IF(AND(BQ$5&lt;=$F134,BQ$5+GanttPeriod-1&gt;=$E134),"━","")))</f>
        <v/>
      </c>
      <c r="BR134" s="69" t="str">
        <f aca="false">IF($E134="","",IF($M134,IF(AND($G134&gt;=BR$5,$G134&lt;BR$5+GanttPeriod),"◆",IF(AND($E134&gt;=BR$5,$E134&lt;BR$5+GanttPeriod),"◇","")),IF(AND(BR$5&lt;=$F134,BR$5+GanttPeriod-1&gt;=$E134),"━","")))</f>
        <v/>
      </c>
      <c r="BS134" s="69" t="str">
        <f aca="false">IF($E134="","",IF($M134,IF(AND($G134&gt;=BS$5,$G134&lt;BS$5+GanttPeriod),"◆",IF(AND($E134&gt;=BS$5,$E134&lt;BS$5+GanttPeriod),"◇","")),IF(AND(BS$5&lt;=$F134,BS$5+GanttPeriod-1&gt;=$E134),"━","")))</f>
        <v/>
      </c>
      <c r="BT134" s="69" t="str">
        <f aca="false">IF($E134="","",IF($M134,IF(AND($G134&gt;=BT$5,$G134&lt;BT$5+GanttPeriod),"◆",IF(AND($E134&gt;=BT$5,$E134&lt;BT$5+GanttPeriod),"◇","")),IF(AND(BT$5&lt;=$F134,BT$5+GanttPeriod-1&gt;=$E134),"━","")))</f>
        <v/>
      </c>
      <c r="BU134" s="69" t="str">
        <f aca="false">IF($E134="","",IF($M134,IF(AND($G134&gt;=BU$5,$G134&lt;BU$5+GanttPeriod),"◆",IF(AND($E134&gt;=BU$5,$E134&lt;BU$5+GanttPeriod),"◇","")),IF(AND(BU$5&lt;=$F134,BU$5+GanttPeriod-1&gt;=$E134),"━","")))</f>
        <v/>
      </c>
      <c r="BV134" s="69" t="str">
        <f aca="false">IF($E134="","",IF($M134,IF(AND($G134&gt;=BV$5,$G134&lt;BV$5+GanttPeriod),"◆",IF(AND($E134&gt;=BV$5,$E134&lt;BV$5+GanttPeriod),"◇","")),IF(AND(BV$5&lt;=$F134,BV$5+GanttPeriod-1&gt;=$E134),"━","")))</f>
        <v/>
      </c>
      <c r="BW134" s="69" t="str">
        <f aca="false">IF($E134="","",IF($M134,IF(AND($G134&gt;=BW$5,$G134&lt;BW$5+GanttPeriod),"◆",IF(AND($E134&gt;=BW$5,$E134&lt;BW$5+GanttPeriod),"◇","")),IF(AND(BW$5&lt;=$F134,BW$5+GanttPeriod-1&gt;=$E134),"━","")))</f>
        <v/>
      </c>
      <c r="BX134" s="69" t="str">
        <f aca="false">IF($E134="","",IF($M134,IF(AND($G134&gt;=BX$5,$G134&lt;BX$5+GanttPeriod),"◆",IF(AND($E134&gt;=BX$5,$E134&lt;BX$5+GanttPeriod),"◇","")),IF(AND(BX$5&lt;=$F134,BX$5+GanttPeriod-1&gt;=$E134),"━","")))</f>
        <v/>
      </c>
      <c r="BY134" s="69" t="str">
        <f aca="false">IF($E134="","",IF($M134,IF(AND($G134&gt;=BY$5,$G134&lt;BY$5+GanttPeriod),"◆",IF(AND($E134&gt;=BY$5,$E134&lt;BY$5+GanttPeriod),"◇","")),IF(AND(BY$5&lt;=$F134,BY$5+GanttPeriod-1&gt;=$E134),"━","")))</f>
        <v/>
      </c>
      <c r="BZ134" s="69" t="str">
        <f aca="false">IF($E134="","",IF($M134,IF(AND($G134&gt;=BZ$5,$G134&lt;BZ$5+GanttPeriod),"◆",IF(AND($E134&gt;=BZ$5,$E134&lt;BZ$5+GanttPeriod),"◇","")),IF(AND(BZ$5&lt;=$F134,BZ$5+GanttPeriod-1&gt;=$E134),"━","")))</f>
        <v/>
      </c>
      <c r="CA134" s="69" t="str">
        <f aca="false">IF($E134="","",IF($M134,IF(AND($G134&gt;=CA$5,$G134&lt;CA$5+GanttPeriod),"◆",IF(AND($E134&gt;=CA$5,$E134&lt;CA$5+GanttPeriod),"◇","")),IF(AND(CA$5&lt;=$F134,CA$5+GanttPeriod-1&gt;=$E134),"━","")))</f>
        <v/>
      </c>
      <c r="CB134" s="69" t="str">
        <f aca="false">IF($E134="","",IF($M134,IF(AND($G134&gt;=CB$5,$G134&lt;CB$5+GanttPeriod),"◆",IF(AND($E134&gt;=CB$5,$E134&lt;CB$5+GanttPeriod),"◇","")),IF(AND(CB$5&lt;=$F134,CB$5+GanttPeriod-1&gt;=$E134),"━","")))</f>
        <v/>
      </c>
      <c r="CC134" s="69" t="str">
        <f aca="false">IF($E134="","",IF($M134,IF(AND($G134&gt;=CC$5,$G134&lt;CC$5+GanttPeriod),"◆",IF(AND($E134&gt;=CC$5,$E134&lt;CC$5+GanttPeriod),"◇","")),IF(AND(CC$5&lt;=$F134,CC$5+GanttPeriod-1&gt;=$E134),"━","")))</f>
        <v/>
      </c>
      <c r="CD134" s="69" t="str">
        <f aca="false">IF($E134="","",IF($M134,IF(AND($G134&gt;=CD$5,$G134&lt;CD$5+GanttPeriod),"◆",IF(AND($E134&gt;=CD$5,$E134&lt;CD$5+GanttPeriod),"◇","")),IF(AND(CD$5&lt;=$F134,CD$5+GanttPeriod-1&gt;=$E134),"━","")))</f>
        <v/>
      </c>
      <c r="CE134" s="69" t="str">
        <f aca="false">IF($E134="","",IF($M134,IF(AND($G134&gt;=CE$5,$G134&lt;CE$5+GanttPeriod),"◆",IF(AND($E134&gt;=CE$5,$E134&lt;CE$5+GanttPeriod),"◇","")),IF(AND(CE$5&lt;=$F134,CE$5+GanttPeriod-1&gt;=$E134),"━","")))</f>
        <v/>
      </c>
      <c r="CF134" s="69" t="str">
        <f aca="false">IF($E134="","",IF($M134,IF(AND($G134&gt;=CF$5,$G134&lt;CF$5+GanttPeriod),"◆",IF(AND($E134&gt;=CF$5,$E134&lt;CF$5+GanttPeriod),"◇","")),IF(AND(CF$5&lt;=$F134,CF$5+GanttPeriod-1&gt;=$E134),"━","")))</f>
        <v/>
      </c>
      <c r="CG134" s="69" t="str">
        <f aca="false">IF($E134="","",IF($M134,IF(AND($G134&gt;=CG$5,$G134&lt;CG$5+GanttPeriod),"◆",IF(AND($E134&gt;=CG$5,$E134&lt;CG$5+GanttPeriod),"◇","")),IF(AND(CG$5&lt;=$F134,CG$5+GanttPeriod-1&gt;=$E134),"━","")))</f>
        <v/>
      </c>
      <c r="CH134" s="69" t="str">
        <f aca="false">IF($E134="","",IF($M134,IF(AND($G134&gt;=CH$5,$G134&lt;CH$5+GanttPeriod),"◆",IF(AND($E134&gt;=CH$5,$E134&lt;CH$5+GanttPeriod),"◇","")),IF(AND(CH$5&lt;=$F134,CH$5+GanttPeriod-1&gt;=$E134),"━","")))</f>
        <v/>
      </c>
      <c r="CI134" s="69" t="str">
        <f aca="false">IF($E134="","",IF($M134,IF(AND($G134&gt;=CI$5,$G134&lt;CI$5+GanttPeriod),"◆",IF(AND($E134&gt;=CI$5,$E134&lt;CI$5+GanttPeriod),"◇","")),IF(AND(CI$5&lt;=$F134,CI$5+GanttPeriod-1&gt;=$E134),"━","")))</f>
        <v/>
      </c>
      <c r="CJ134" s="69" t="str">
        <f aca="false">IF($E134="","",IF($M134,IF(AND($G134&gt;=CJ$5,$G134&lt;CJ$5+GanttPeriod),"◆",IF(AND($E134&gt;=CJ$5,$E134&lt;CJ$5+GanttPeriod),"◇","")),IF(AND(CJ$5&lt;=$F134,CJ$5+GanttPeriod-1&gt;=$E134),"━","")))</f>
        <v/>
      </c>
      <c r="CK134" s="69" t="str">
        <f aca="false">IF($E134="","",IF($M134,IF(AND($G134&gt;=CK$5,$G134&lt;CK$5+GanttPeriod),"◆",IF(AND($E134&gt;=CK$5,$E134&lt;CK$5+GanttPeriod),"◇","")),IF(AND(CK$5&lt;=$F134,CK$5+GanttPeriod-1&gt;=$E134),"━","")))</f>
        <v/>
      </c>
      <c r="CL134" s="69" t="str">
        <f aca="false">IF($E134="","",IF($M134,IF(AND($G134&gt;=CL$5,$G134&lt;CL$5+GanttPeriod),"◆",IF(AND($E134&gt;=CL$5,$E134&lt;CL$5+GanttPeriod),"◇","")),IF(AND(CL$5&lt;=$F134,CL$5+GanttPeriod-1&gt;=$E134),"━","")))</f>
        <v/>
      </c>
      <c r="CM134" s="69" t="str">
        <f aca="false">IF($E134="","",IF($M134,IF(AND($G134&gt;=CM$5,$G134&lt;CM$5+GanttPeriod),"◆",IF(AND($E134&gt;=CM$5,$E134&lt;CM$5+GanttPeriod),"◇","")),IF(AND(CM$5&lt;=$F134,CM$5+GanttPeriod-1&gt;=$E134),"━","")))</f>
        <v/>
      </c>
      <c r="CN134" s="69" t="str">
        <f aca="false">IF($E134="","",IF($M134,IF(AND($G134&gt;=CN$5,$G134&lt;CN$5+GanttPeriod),"◆",IF(AND($E134&gt;=CN$5,$E134&lt;CN$5+GanttPeriod),"◇","")),IF(AND(CN$5&lt;=$F134,CN$5+GanttPeriod-1&gt;=$E134),"━","")))</f>
        <v/>
      </c>
      <c r="CO134" s="69" t="str">
        <f aca="false">IF($E134="","",IF($M134,IF(AND($G134&gt;=CO$5,$G134&lt;CO$5+GanttPeriod),"◆",IF(AND($E134&gt;=CO$5,$E134&lt;CO$5+GanttPeriod),"◇","")),IF(AND(CO$5&lt;=$F134,CO$5+GanttPeriod-1&gt;=$E134),"━","")))</f>
        <v/>
      </c>
      <c r="CP134" s="69" t="str">
        <f aca="false">IF($E134="","",IF($M134,IF(AND($G134&gt;=CP$5,$G134&lt;CP$5+GanttPeriod),"◆",IF(AND($E134&gt;=CP$5,$E134&lt;CP$5+GanttPeriod),"◇","")),IF(AND(CP$5&lt;=$F134,CP$5+GanttPeriod-1&gt;=$E134),"━","")))</f>
        <v/>
      </c>
      <c r="CQ134" s="69" t="str">
        <f aca="false">IF($E134="","",IF($M134,IF(AND($G134&gt;=CQ$5,$G134&lt;CQ$5+GanttPeriod),"◆",IF(AND($E134&gt;=CQ$5,$E134&lt;CQ$5+GanttPeriod),"◇","")),IF(AND(CQ$5&lt;=$F134,CQ$5+GanttPeriod-1&gt;=$E134),"━","")))</f>
        <v/>
      </c>
      <c r="CR134" s="69" t="str">
        <f aca="false">IF($E134="","",IF($M134,IF(AND($G134&gt;=CR$5,$G134&lt;CR$5+GanttPeriod),"◆",IF(AND($E134&gt;=CR$5,$E134&lt;CR$5+GanttPeriod),"◇","")),IF(AND(CR$5&lt;=$F134,CR$5+GanttPeriod-1&gt;=$E134),"━","")))</f>
        <v/>
      </c>
      <c r="CS134" s="69" t="str">
        <f aca="false">IF($E134="","",IF($M134,IF(AND($G134&gt;=CS$5,$G134&lt;CS$5+GanttPeriod),"◆",IF(AND($E134&gt;=CS$5,$E134&lt;CS$5+GanttPeriod),"◇","")),IF(AND(CS$5&lt;=$F134,CS$5+GanttPeriod-1&gt;=$E134),"━","")))</f>
        <v/>
      </c>
      <c r="CT134" s="69" t="str">
        <f aca="false">IF($E134="","",IF($M134,IF(AND($G134&gt;=CT$5,$G134&lt;CT$5+GanttPeriod),"◆",IF(AND($E134&gt;=CT$5,$E134&lt;CT$5+GanttPeriod),"◇","")),IF(AND(CT$5&lt;=$F134,CT$5+GanttPeriod-1&gt;=$E134),"━","")))</f>
        <v/>
      </c>
      <c r="CU134" s="69" t="str">
        <f aca="false">IF($E134="","",IF($M134,IF(AND($G134&gt;=CU$5,$G134&lt;CU$5+GanttPeriod),"◆",IF(AND($E134&gt;=CU$5,$E134&lt;CU$5+GanttPeriod),"◇","")),IF(AND(CU$5&lt;=$F134,CU$5+GanttPeriod-1&gt;=$E134),"━","")))</f>
        <v/>
      </c>
      <c r="CV134" s="69" t="str">
        <f aca="false">IF($E134="","",IF($M134,IF(AND($G134&gt;=CV$5,$G134&lt;CV$5+GanttPeriod),"◆",IF(AND($E134&gt;=CV$5,$E134&lt;CV$5+GanttPeriod),"◇","")),IF(AND(CV$5&lt;=$F134,CV$5+GanttPeriod-1&gt;=$E134),"━","")))</f>
        <v/>
      </c>
      <c r="CW134" s="69" t="str">
        <f aca="false">IF($E134="","",IF($M134,IF(AND($G134&gt;=CW$5,$G134&lt;CW$5+GanttPeriod),"◆",IF(AND($E134&gt;=CW$5,$E134&lt;CW$5+GanttPeriod),"◇","")),IF(AND(CW$5&lt;=$F134,CW$5+GanttPeriod-1&gt;=$E134),"━","")))</f>
        <v/>
      </c>
      <c r="CX134" s="69" t="str">
        <f aca="false">IF($E134="","",IF($M134,IF(AND($G134&gt;=CX$5,$G134&lt;CX$5+GanttPeriod),"◆",IF(AND($E134&gt;=CX$5,$E134&lt;CX$5+GanttPeriod),"◇","")),IF(AND(CX$5&lt;=$F134,CX$5+GanttPeriod-1&gt;=$E134),"━","")))</f>
        <v/>
      </c>
      <c r="CY134" s="69" t="str">
        <f aca="false">IF($E134="","",IF($M134,IF(AND($G134&gt;=CY$5,$G134&lt;CY$5+GanttPeriod),"◆",IF(AND($E134&gt;=CY$5,$E134&lt;CY$5+GanttPeriod),"◇","")),IF(AND(CY$5&lt;=$F134,CY$5+GanttPeriod-1&gt;=$E134),"━","")))</f>
        <v/>
      </c>
      <c r="CZ134" s="69" t="str">
        <f aca="false">IF($E134="","",IF($M134,IF(AND($G134&gt;=CZ$5,$G134&lt;CZ$5+GanttPeriod),"◆",IF(AND($E134&gt;=CZ$5,$E134&lt;CZ$5+GanttPeriod),"◇","")),IF(AND(CZ$5&lt;=$F134,CZ$5+GanttPeriod-1&gt;=$E134),"━","")))</f>
        <v/>
      </c>
      <c r="DA134" s="69" t="str">
        <f aca="false">IF($E134="","",IF($M134,IF(AND($G134&gt;=DA$5,$G134&lt;DA$5+GanttPeriod),"◆",IF(AND($E134&gt;=DA$5,$E134&lt;DA$5+GanttPeriod),"◇","")),IF(AND(DA$5&lt;=$F134,DA$5+GanttPeriod-1&gt;=$E134),"━","")))</f>
        <v/>
      </c>
      <c r="DB134" s="69" t="str">
        <f aca="false">IF($E134="","",IF($M134,IF(AND($G134&gt;=DB$5,$G134&lt;DB$5+GanttPeriod),"◆",IF(AND($E134&gt;=DB$5,$E134&lt;DB$5+GanttPeriod),"◇","")),IF(AND(DB$5&lt;=$F134,DB$5+GanttPeriod-1&gt;=$E134),"━","")))</f>
        <v/>
      </c>
      <c r="DC134" s="69" t="str">
        <f aca="false">IF($E134="","",IF($M134,IF(AND($G134&gt;=DC$5,$G134&lt;DC$5+GanttPeriod),"◆",IF(AND($E134&gt;=DC$5,$E134&lt;DC$5+GanttPeriod),"◇","")),IF(AND(DC$5&lt;=$F134,DC$5+GanttPeriod-1&gt;=$E134),"━","")))</f>
        <v/>
      </c>
      <c r="DD134" s="69" t="str">
        <f aca="false">IF($E134="","",IF($M134,IF(AND($G134&gt;=DD$5,$G134&lt;DD$5+GanttPeriod),"◆",IF(AND($E134&gt;=DD$5,$E134&lt;DD$5+GanttPeriod),"◇","")),IF(AND(DD$5&lt;=$F134,DD$5+GanttPeriod-1&gt;=$E134),"━","")))</f>
        <v/>
      </c>
      <c r="DE134" s="69" t="str">
        <f aca="false">IF($E134="","",IF($M134,IF(AND($G134&gt;=DE$5,$G134&lt;DE$5+GanttPeriod),"◆",IF(AND($E134&gt;=DE$5,$E134&lt;DE$5+GanttPeriod),"◇","")),IF(AND(DE$5&lt;=$F134,DE$5+GanttPeriod-1&gt;=$E134),"━","")))</f>
        <v/>
      </c>
      <c r="DF134" s="69" t="str">
        <f aca="false">IF($E134="","",IF($M134,IF(AND($G134&gt;=DF$5,$G134&lt;DF$5+GanttPeriod),"◆",IF(AND($E134&gt;=DF$5,$E134&lt;DF$5+GanttPeriod),"◇","")),IF(AND(DF$5&lt;=$F134,DF$5+GanttPeriod-1&gt;=$E134),"━","")))</f>
        <v/>
      </c>
      <c r="DG134" s="69" t="str">
        <f aca="false">IF($E134="","",IF($M134,IF(AND($G134&gt;=DG$5,$G134&lt;DG$5+GanttPeriod),"◆",IF(AND($E134&gt;=DG$5,$E134&lt;DG$5+GanttPeriod),"◇","")),IF(AND(DG$5&lt;=$F134,DG$5+GanttPeriod-1&gt;=$E134),"━","")))</f>
        <v/>
      </c>
      <c r="DH134" s="69" t="str">
        <f aca="false">IF($E134="","",IF($M134,IF(AND($G134&gt;=DH$5,$G134&lt;DH$5+GanttPeriod),"◆",IF(AND($E134&gt;=DH$5,$E134&lt;DH$5+GanttPeriod),"◇","")),IF(AND(DH$5&lt;=$F134,DH$5+GanttPeriod-1&gt;=$E134),"━","")))</f>
        <v/>
      </c>
      <c r="DI134" s="69" t="str">
        <f aca="false">IF($E134="","",IF($M134,IF(AND($G134&gt;=DI$5,$G134&lt;DI$5+GanttPeriod),"◆",IF(AND($E134&gt;=DI$5,$E134&lt;DI$5+GanttPeriod),"◇","")),IF(AND(DI$5&lt;=$F134,DI$5+GanttPeriod-1&gt;=$E134),"━","")))</f>
        <v/>
      </c>
      <c r="DJ134" s="69" t="str">
        <f aca="false">IF($E134="","",IF($M134,IF(AND($G134&gt;=DJ$5,$G134&lt;DJ$5+GanttPeriod),"◆",IF(AND($E134&gt;=DJ$5,$E134&lt;DJ$5+GanttPeriod),"◇","")),IF(AND(DJ$5&lt;=$F134,DJ$5+GanttPeriod-1&gt;=$E134),"━","")))</f>
        <v/>
      </c>
      <c r="DK134" s="69" t="str">
        <f aca="false">IF($E134="","",IF($M134,IF(AND($G134&gt;=DK$5,$G134&lt;DK$5+GanttPeriod),"◆",IF(AND($E134&gt;=DK$5,$E134&lt;DK$5+GanttPeriod),"◇","")),IF(AND(DK$5&lt;=$F134,DK$5+GanttPeriod-1&gt;=$E134),"━","")))</f>
        <v/>
      </c>
      <c r="DL134" s="69" t="str">
        <f aca="false">IF($E134="","",IF($M134,IF(AND($G134&gt;=DL$5,$G134&lt;DL$5+GanttPeriod),"◆",IF(AND($E134&gt;=DL$5,$E134&lt;DL$5+GanttPeriod),"◇","")),IF(AND(DL$5&lt;=$F134,DL$5+GanttPeriod-1&gt;=$E134),"━","")))</f>
        <v/>
      </c>
      <c r="DM134" s="69" t="str">
        <f aca="false">IF($E134="","",IF($M134,IF(AND($G134&gt;=DM$5,$G134&lt;DM$5+GanttPeriod),"◆",IF(AND($E134&gt;=DM$5,$E134&lt;DM$5+GanttPeriod),"◇","")),IF(AND(DM$5&lt;=$F134,DM$5+GanttPeriod-1&gt;=$E134),"━","")))</f>
        <v/>
      </c>
      <c r="DN134" s="69" t="str">
        <f aca="false">IF($E134="","",IF($M134,IF(AND($G134&gt;=DN$5,$G134&lt;DN$5+GanttPeriod),"◆",IF(AND($E134&gt;=DN$5,$E134&lt;DN$5+GanttPeriod),"◇","")),IF(AND(DN$5&lt;=$F134,DN$5+GanttPeriod-1&gt;=$E134),"━","")))</f>
        <v/>
      </c>
      <c r="DO134" s="69" t="str">
        <f aca="false">IF($E134="","",IF($M134,IF(AND($G134&gt;=DO$5,$G134&lt;DO$5+GanttPeriod),"◆",IF(AND($E134&gt;=DO$5,$E134&lt;DO$5+GanttPeriod),"◇","")),IF(AND(DO$5&lt;=$F134,DO$5+GanttPeriod-1&gt;=$E134),"━","")))</f>
        <v/>
      </c>
      <c r="DP134" s="69" t="str">
        <f aca="false">IF($E134="","",IF($M134,IF(AND($G134&gt;=DP$5,$G134&lt;DP$5+GanttPeriod),"◆",IF(AND($E134&gt;=DP$5,$E134&lt;DP$5+GanttPeriod),"◇","")),IF(AND(DP$5&lt;=$F134,DP$5+GanttPeriod-1&gt;=$E134),"━","")))</f>
        <v/>
      </c>
      <c r="DQ134" s="69" t="str">
        <f aca="false">IF($E134="","",IF($M134,IF(AND($G134&gt;=DQ$5,$G134&lt;DQ$5+GanttPeriod),"◆",IF(AND($E134&gt;=DQ$5,$E134&lt;DQ$5+GanttPeriod),"◇","")),IF(AND(DQ$5&lt;=$F134,DQ$5+GanttPeriod-1&gt;=$E134),"━","")))</f>
        <v/>
      </c>
      <c r="DR134" s="69" t="str">
        <f aca="false">IF($E134="","",IF($M134,IF(AND($G134&gt;=DR$5,$G134&lt;DR$5+GanttPeriod),"◆",IF(AND($E134&gt;=DR$5,$E134&lt;DR$5+GanttPeriod),"◇","")),IF(AND(DR$5&lt;=$F134,DR$5+GanttPeriod-1&gt;=$E134),"━","")))</f>
        <v/>
      </c>
      <c r="DS134" s="69" t="str">
        <f aca="false">IF($E134="","",IF($M134,IF(AND($G134&gt;=DS$5,$G134&lt;DS$5+GanttPeriod),"◆",IF(AND($E134&gt;=DS$5,$E134&lt;DS$5+GanttPeriod),"◇","")),IF(AND(DS$5&lt;=$F134,DS$5+GanttPeriod-1&gt;=$E134),"━","")))</f>
        <v/>
      </c>
      <c r="DT134" s="69" t="str">
        <f aca="false">IF($E134="","",IF($M134,IF(AND($G134&gt;=DT$5,$G134&lt;DT$5+GanttPeriod),"◆",IF(AND($E134&gt;=DT$5,$E134&lt;DT$5+GanttPeriod),"◇","")),IF(AND(DT$5&lt;=$F134,DT$5+GanttPeriod-1&gt;=$E134),"━","")))</f>
        <v/>
      </c>
      <c r="DU134" s="69" t="str">
        <f aca="false">IF($E134="","",IF($M134,IF(AND($G134&gt;=DU$5,$G134&lt;DU$5+GanttPeriod),"◆",IF(AND($E134&gt;=DU$5,$E134&lt;DU$5+GanttPeriod),"◇","")),IF(AND(DU$5&lt;=$F134,DU$5+GanttPeriod-1&gt;=$E134),"━","")))</f>
        <v/>
      </c>
      <c r="DV134" s="69" t="str">
        <f aca="false">IF($E134="","",IF($M134,IF(AND($G134&gt;=DV$5,$G134&lt;DV$5+GanttPeriod),"◆",IF(AND($E134&gt;=DV$5,$E134&lt;DV$5+GanttPeriod),"◇","")),IF(AND(DV$5&lt;=$F134,DV$5+GanttPeriod-1&gt;=$E134),"━","")))</f>
        <v/>
      </c>
      <c r="DW134" s="69" t="str">
        <f aca="false">IF($E134="","",IF($M134,IF(AND($G134&gt;=DW$5,$G134&lt;DW$5+GanttPeriod),"◆",IF(AND($E134&gt;=DW$5,$E134&lt;DW$5+GanttPeriod),"◇","")),IF(AND(DW$5&lt;=$F134,DW$5+GanttPeriod-1&gt;=$E134),"━","")))</f>
        <v/>
      </c>
      <c r="DX134" s="69" t="str">
        <f aca="false">IF($E134="","",IF($M134,IF(AND($G134&gt;=DX$5,$G134&lt;DX$5+GanttPeriod),"◆",IF(AND($E134&gt;=DX$5,$E134&lt;DX$5+GanttPeriod),"◇","")),IF(AND(DX$5&lt;=$F134,DX$5+GanttPeriod-1&gt;=$E134),"━","")))</f>
        <v/>
      </c>
      <c r="DY134" s="69" t="str">
        <f aca="false">IF($E134="","",IF($M134,IF(AND($G134&gt;=DY$5,$G134&lt;DY$5+GanttPeriod),"◆",IF(AND($E134&gt;=DY$5,$E134&lt;DY$5+GanttPeriod),"◇","")),IF(AND(DY$5&lt;=$F134,DY$5+GanttPeriod-1&gt;=$E134),"━","")))</f>
        <v/>
      </c>
      <c r="DZ134" s="69" t="str">
        <f aca="false">IF($E134="","",IF($M134,IF(AND($G134&gt;=DZ$5,$G134&lt;DZ$5+GanttPeriod),"◆",IF(AND($E134&gt;=DZ$5,$E134&lt;DZ$5+GanttPeriod),"◇","")),IF(AND(DZ$5&lt;=$F134,DZ$5+GanttPeriod-1&gt;=$E134),"━","")))</f>
        <v/>
      </c>
      <c r="EA134" s="69" t="str">
        <f aca="false">IF($E134="","",IF($M134,IF(AND($G134&gt;=EA$5,$G134&lt;EA$5+GanttPeriod),"◆",IF(AND($E134&gt;=EA$5,$E134&lt;EA$5+GanttPeriod),"◇","")),IF(AND(EA$5&lt;=$F134,EA$5+GanttPeriod-1&gt;=$E134),"━","")))</f>
        <v/>
      </c>
      <c r="EB134" s="69" t="str">
        <f aca="false">IF($E134="","",IF($M134,IF(AND($G134&gt;=EB$5,$G134&lt;EB$5+GanttPeriod),"◆",IF(AND($E134&gt;=EB$5,$E134&lt;EB$5+GanttPeriod),"◇","")),IF(AND(EB$5&lt;=$F134,EB$5+GanttPeriod-1&gt;=$E134),"━","")))</f>
        <v/>
      </c>
      <c r="EC134" s="69" t="str">
        <f aca="false">IF($E134="","",IF($M134,IF(AND($G134&gt;=EC$5,$G134&lt;EC$5+GanttPeriod),"◆",IF(AND($E134&gt;=EC$5,$E134&lt;EC$5+GanttPeriod),"◇","")),IF(AND(EC$5&lt;=$F134,EC$5+GanttPeriod-1&gt;=$E134),"━","")))</f>
        <v/>
      </c>
      <c r="ED134" s="69" t="str">
        <f aca="false">IF($E134="","",IF($M134,IF(AND($G134&gt;=ED$5,$G134&lt;ED$5+GanttPeriod),"◆",IF(AND($E134&gt;=ED$5,$E134&lt;ED$5+GanttPeriod),"◇","")),IF(AND(ED$5&lt;=$F134,ED$5+GanttPeriod-1&gt;=$E134),"━","")))</f>
        <v/>
      </c>
      <c r="EE134" s="69" t="str">
        <f aca="false">IF($E134="","",IF($M134,IF(AND($G134&gt;=EE$5,$G134&lt;EE$5+GanttPeriod),"◆",IF(AND($E134&gt;=EE$5,$E134&lt;EE$5+GanttPeriod),"◇","")),IF(AND(EE$5&lt;=$F134,EE$5+GanttPeriod-1&gt;=$E134),"━","")))</f>
        <v/>
      </c>
      <c r="EF134" s="69" t="str">
        <f aca="false">IF($E134="","",IF($M134,IF(AND($G134&gt;=EF$5,$G134&lt;EF$5+GanttPeriod),"◆",IF(AND($E134&gt;=EF$5,$E134&lt;EF$5+GanttPeriod),"◇","")),IF(AND(EF$5&lt;=$F134,EF$5+GanttPeriod-1&gt;=$E134),"━","")))</f>
        <v/>
      </c>
      <c r="EG134" s="69" t="str">
        <f aca="false">IF($E134="","",IF($M134,IF(AND($G134&gt;=EG$5,$G134&lt;EG$5+GanttPeriod),"◆",IF(AND($E134&gt;=EG$5,$E134&lt;EG$5+GanttPeriod),"◇","")),IF(AND(EG$5&lt;=$F134,EG$5+GanttPeriod-1&gt;=$E134),"━","")))</f>
        <v/>
      </c>
      <c r="EH134" s="69" t="str">
        <f aca="false">IF($E134="","",IF($M134,IF(AND($G134&gt;=EH$5,$G134&lt;EH$5+GanttPeriod),"◆",IF(AND($E134&gt;=EH$5,$E134&lt;EH$5+GanttPeriod),"◇","")),IF(AND(EH$5&lt;=$F134,EH$5+GanttPeriod-1&gt;=$E134),"━","")))</f>
        <v/>
      </c>
      <c r="EI134" s="69" t="str">
        <f aca="false">IF($E134="","",IF($M134,IF(AND($G134&gt;=EI$5,$G134&lt;EI$5+GanttPeriod),"◆",IF(AND($E134&gt;=EI$5,$E134&lt;EI$5+GanttPeriod),"◇","")),IF(AND(EI$5&lt;=$F134,EI$5+GanttPeriod-1&gt;=$E134),"━","")))</f>
        <v/>
      </c>
      <c r="EJ134" s="69" t="str">
        <f aca="false">IF($E134="","",IF($M134,IF(AND($G134&gt;=EJ$5,$G134&lt;EJ$5+GanttPeriod),"◆",IF(AND($E134&gt;=EJ$5,$E134&lt;EJ$5+GanttPeriod),"◇","")),IF(AND(EJ$5&lt;=$F134,EJ$5+GanttPeriod-1&gt;=$E134),"━","")))</f>
        <v/>
      </c>
      <c r="EK134" s="69" t="str">
        <f aca="false">IF($E134="","",IF($M134,IF(AND($G134&gt;=EK$5,$G134&lt;EK$5+GanttPeriod),"◆",IF(AND($E134&gt;=EK$5,$E134&lt;EK$5+GanttPeriod),"◇","")),IF(AND(EK$5&lt;=$F134,EK$5+GanttPeriod-1&gt;=$E134),"━","")))</f>
        <v/>
      </c>
      <c r="EL134" s="69" t="str">
        <f aca="false">IF($E134="","",IF($M134,IF(AND($G134&gt;=EL$5,$G134&lt;EL$5+GanttPeriod),"◆",IF(AND($E134&gt;=EL$5,$E134&lt;EL$5+GanttPeriod),"◇","")),IF(AND(EL$5&lt;=$F134,EL$5+GanttPeriod-1&gt;=$E134),"━","")))</f>
        <v/>
      </c>
      <c r="EM134" s="69" t="str">
        <f aca="false">IF($E134="","",IF($M134,IF(AND($G134&gt;=EM$5,$G134&lt;EM$5+GanttPeriod),"◆",IF(AND($E134&gt;=EM$5,$E134&lt;EM$5+GanttPeriod),"◇","")),IF(AND(EM$5&lt;=$F134,EM$5+GanttPeriod-1&gt;=$E134),"━","")))</f>
        <v/>
      </c>
      <c r="EN134" s="69" t="str">
        <f aca="false">IF($E134="","",IF($M134,IF(AND($G134&gt;=EN$5,$G134&lt;EN$5+GanttPeriod),"◆",IF(AND($E134&gt;=EN$5,$E134&lt;EN$5+GanttPeriod),"◇","")),IF(AND(EN$5&lt;=$F134,EN$5+GanttPeriod-1&gt;=$E134),"━","")))</f>
        <v/>
      </c>
      <c r="EO134" s="69" t="str">
        <f aca="false">IF($E134="","",IF($M134,IF(AND($G134&gt;=EO$5,$G134&lt;EO$5+GanttPeriod),"◆",IF(AND($E134&gt;=EO$5,$E134&lt;EO$5+GanttPeriod),"◇","")),IF(AND(EO$5&lt;=$F134,EO$5+GanttPeriod-1&gt;=$E134),"━","")))</f>
        <v/>
      </c>
      <c r="EP134" s="69" t="str">
        <f aca="false">IF($E134="","",IF($M134,IF(AND($G134&gt;=EP$5,$G134&lt;EP$5+GanttPeriod),"◆",IF(AND($E134&gt;=EP$5,$E134&lt;EP$5+GanttPeriod),"◇","")),IF(AND(EP$5&lt;=$F134,EP$5+GanttPeriod-1&gt;=$E134),"━","")))</f>
        <v/>
      </c>
      <c r="EQ134" s="69" t="str">
        <f aca="false">IF($E134="","",IF($M134,IF(AND($G134&gt;=EQ$5,$G134&lt;EQ$5+GanttPeriod),"◆",IF(AND($E134&gt;=EQ$5,$E134&lt;EQ$5+GanttPeriod),"◇","")),IF(AND(EQ$5&lt;=$F134,EQ$5+GanttPeriod-1&gt;=$E134),"━","")))</f>
        <v/>
      </c>
      <c r="ER134" s="69" t="str">
        <f aca="false">IF($E134="","",IF($M134,IF(AND($G134&gt;=ER$5,$G134&lt;ER$5+GanttPeriod),"◆",IF(AND($E134&gt;=ER$5,$E134&lt;ER$5+GanttPeriod),"◇","")),IF(AND(ER$5&lt;=$F134,ER$5+GanttPeriod-1&gt;=$E134),"━","")))</f>
        <v/>
      </c>
      <c r="ES134" s="69" t="str">
        <f aca="false">IF($E134="","",IF($M134,IF(AND($G134&gt;=ES$5,$G134&lt;ES$5+GanttPeriod),"◆",IF(AND($E134&gt;=ES$5,$E134&lt;ES$5+GanttPeriod),"◇","")),IF(AND(ES$5&lt;=$F134,ES$5+GanttPeriod-1&gt;=$E134),"━","")))</f>
        <v/>
      </c>
      <c r="ET134" s="69" t="str">
        <f aca="false">IF($E134="","",IF($M134,IF(AND($G134&gt;=ET$5,$G134&lt;ET$5+GanttPeriod),"◆",IF(AND($E134&gt;=ET$5,$E134&lt;ET$5+GanttPeriod),"◇","")),IF(AND(ET$5&lt;=$F134,ET$5+GanttPeriod-1&gt;=$E134),"━","")))</f>
        <v/>
      </c>
      <c r="EU134" s="69" t="str">
        <f aca="false">IF($E134="","",IF($M134,IF(AND($G134&gt;=EU$5,$G134&lt;EU$5+GanttPeriod),"◆",IF(AND($E134&gt;=EU$5,$E134&lt;EU$5+GanttPeriod),"◇","")),IF(AND(EU$5&lt;=$F134,EU$5+GanttPeriod-1&gt;=$E134),"━","")))</f>
        <v/>
      </c>
      <c r="EV134" s="69" t="str">
        <f aca="false">IF($E134="","",IF($M134,IF(AND($G134&gt;=EV$5,$G134&lt;EV$5+GanttPeriod),"◆",IF(AND($E134&gt;=EV$5,$E134&lt;EV$5+GanttPeriod),"◇","")),IF(AND(EV$5&lt;=$F134,EV$5+GanttPeriod-1&gt;=$E134),"━","")))</f>
        <v/>
      </c>
      <c r="EW134" s="69" t="str">
        <f aca="false">IF($E134="","",IF($M134,IF(AND($G134&gt;=EW$5,$G134&lt;EW$5+GanttPeriod),"◆",IF(AND($E134&gt;=EW$5,$E134&lt;EW$5+GanttPeriod),"◇","")),IF(AND(EW$5&lt;=$F134,EW$5+GanttPeriod-1&gt;=$E134),"━","")))</f>
        <v/>
      </c>
      <c r="EX134" s="69" t="str">
        <f aca="false">IF($E134="","",IF($M134,IF(AND($G134&gt;=EX$5,$G134&lt;EX$5+GanttPeriod),"◆",IF(AND($E134&gt;=EX$5,$E134&lt;EX$5+GanttPeriod),"◇","")),IF(AND(EX$5&lt;=$F134,EX$5+GanttPeriod-1&gt;=$E134),"━","")))</f>
        <v/>
      </c>
      <c r="EY134" s="69" t="str">
        <f aca="false">IF($E134="","",IF($M134,IF(AND($G134&gt;=EY$5,$G134&lt;EY$5+GanttPeriod),"◆",IF(AND($E134&gt;=EY$5,$E134&lt;EY$5+GanttPeriod),"◇","")),IF(AND(EY$5&lt;=$F134,EY$5+GanttPeriod-1&gt;=$E134),"━","")))</f>
        <v/>
      </c>
      <c r="EZ134" s="69" t="str">
        <f aca="false">IF($E134="","",IF($M134,IF(AND($G134&gt;=EZ$5,$G134&lt;EZ$5+GanttPeriod),"◆",IF(AND($E134&gt;=EZ$5,$E134&lt;EZ$5+GanttPeriod),"◇","")),IF(AND(EZ$5&lt;=$F134,EZ$5+GanttPeriod-1&gt;=$E134),"━","")))</f>
        <v/>
      </c>
      <c r="FA134" s="69" t="str">
        <f aca="false">IF($E134="","",IF($M134,IF(AND($G134&gt;=FA$5,$G134&lt;FA$5+GanttPeriod),"◆",IF(AND($E134&gt;=FA$5,$E134&lt;FA$5+GanttPeriod),"◇","")),IF(AND(FA$5&lt;=$F134,FA$5+GanttPeriod-1&gt;=$E134),"━","")))</f>
        <v/>
      </c>
      <c r="FB134" s="69" t="str">
        <f aca="false">IF($E134="","",IF($M134,IF(AND($G134&gt;=FB$5,$G134&lt;FB$5+GanttPeriod),"◆",IF(AND($E134&gt;=FB$5,$E134&lt;FB$5+GanttPeriod),"◇","")),IF(AND(FB$5&lt;=$F134,FB$5+GanttPeriod-1&gt;=$E134),"━","")))</f>
        <v/>
      </c>
      <c r="FC134" s="69" t="str">
        <f aca="false">IF($E134="","",IF($M134,IF(AND($G134&gt;=FC$5,$G134&lt;FC$5+GanttPeriod),"◆",IF(AND($E134&gt;=FC$5,$E134&lt;FC$5+GanttPeriod),"◇","")),IF(AND(FC$5&lt;=$F134,FC$5+GanttPeriod-1&gt;=$E134),"━","")))</f>
        <v/>
      </c>
      <c r="FD134" s="69" t="str">
        <f aca="false">IF($E134="","",IF($M134,IF(AND($G134&gt;=FD$5,$G134&lt;FD$5+GanttPeriod),"◆",IF(AND($E134&gt;=FD$5,$E134&lt;FD$5+GanttPeriod),"◇","")),IF(AND(FD$5&lt;=$F134,FD$5+GanttPeriod-1&gt;=$E134),"━","")))</f>
        <v/>
      </c>
      <c r="FE134" s="69" t="str">
        <f aca="false">IF($E134="","",IF($M134,IF(AND($G134&gt;=FE$5,$G134&lt;FE$5+GanttPeriod),"◆",IF(AND($E134&gt;=FE$5,$E134&lt;FE$5+GanttPeriod),"◇","")),IF(AND(FE$5&lt;=$F134,FE$5+GanttPeriod-1&gt;=$E134),"━","")))</f>
        <v/>
      </c>
      <c r="FF134" s="69" t="str">
        <f aca="false">IF($E134="","",IF($M134,IF(AND($G134&gt;=FF$5,$G134&lt;FF$5+GanttPeriod),"◆",IF(AND($E134&gt;=FF$5,$E134&lt;FF$5+GanttPeriod),"◇","")),IF(AND(FF$5&lt;=$F134,FF$5+GanttPeriod-1&gt;=$E134),"━","")))</f>
        <v/>
      </c>
      <c r="FG134" s="69" t="str">
        <f aca="false">IF($E134="","",IF($M134,IF(AND($G134&gt;=FG$5,$G134&lt;FG$5+GanttPeriod),"◆",IF(AND($E134&gt;=FG$5,$E134&lt;FG$5+GanttPeriod),"◇","")),IF(AND(FG$5&lt;=$F134,FG$5+GanttPeriod-1&gt;=$E134),"━","")))</f>
        <v/>
      </c>
      <c r="FH134" s="69" t="str">
        <f aca="false">IF($E134="","",IF($M134,IF(AND($G134&gt;=FH$5,$G134&lt;FH$5+GanttPeriod),"◆",IF(AND($E134&gt;=FH$5,$E134&lt;FH$5+GanttPeriod),"◇","")),IF(AND(FH$5&lt;=$F134,FH$5+GanttPeriod-1&gt;=$E134),"━","")))</f>
        <v/>
      </c>
      <c r="FI134" s="69" t="str">
        <f aca="false">IF($E134="","",IF($M134,IF(AND($G134&gt;=FI$5,$G134&lt;FI$5+GanttPeriod),"◆",IF(AND($E134&gt;=FI$5,$E134&lt;FI$5+GanttPeriod),"◇","")),IF(AND(FI$5&lt;=$F134,FI$5+GanttPeriod-1&gt;=$E134),"━","")))</f>
        <v/>
      </c>
      <c r="FJ134" s="69" t="str">
        <f aca="false">IF($E134="","",IF($M134,IF(AND($G134&gt;=FJ$5,$G134&lt;FJ$5+GanttPeriod),"◆",IF(AND($E134&gt;=FJ$5,$E134&lt;FJ$5+GanttPeriod),"◇","")),IF(AND(FJ$5&lt;=$F134,FJ$5+GanttPeriod-1&gt;=$E134),"━","")))</f>
        <v/>
      </c>
      <c r="FK134" s="69" t="str">
        <f aca="false">IF($E134="","",IF($M134,IF(AND($G134&gt;=FK$5,$G134&lt;FK$5+GanttPeriod),"◆",IF(AND($E134&gt;=FK$5,$E134&lt;FK$5+GanttPeriod),"◇","")),IF(AND(FK$5&lt;=$F134,FK$5+GanttPeriod-1&gt;=$E134),"━","")))</f>
        <v/>
      </c>
      <c r="FL134" s="69" t="str">
        <f aca="false">IF($E134="","",IF($M134,IF(AND($G134&gt;=FL$5,$G134&lt;FL$5+GanttPeriod),"◆",IF(AND($E134&gt;=FL$5,$E134&lt;FL$5+GanttPeriod),"◇","")),IF(AND(FL$5&lt;=$F134,FL$5+GanttPeriod-1&gt;=$E134),"━","")))</f>
        <v/>
      </c>
      <c r="FM134" s="69" t="str">
        <f aca="false">IF($E134="","",IF($M134,IF(AND($G134&gt;=FM$5,$G134&lt;FM$5+GanttPeriod),"◆",IF(AND($E134&gt;=FM$5,$E134&lt;FM$5+GanttPeriod),"◇","")),IF(AND(FM$5&lt;=$F134,FM$5+GanttPeriod-1&gt;=$E134),"━","")))</f>
        <v/>
      </c>
    </row>
    <row r="135" customFormat="false" ht="15" hidden="false" customHeight="false" outlineLevel="0" collapsed="false">
      <c r="A135" s="62" t="str">
        <f aca="false">IF(Tasks!$D135="","",Tasks!$A135)</f>
        <v/>
      </c>
      <c r="B135" s="62" t="str">
        <f aca="false">IF(Tasks!$D135="","",Tasks!$B135)</f>
        <v/>
      </c>
      <c r="C135" s="63" t="str">
        <f aca="false">IF(Tasks!$D135="","",REPT("    ",Tasks!$AE135-1)&amp;Tasks!$D135)</f>
        <v/>
      </c>
      <c r="D135" s="62" t="str">
        <f aca="false">IF(Tasks!$D135="","",IF(Tasks!$AI135,NETWORKDAYS.INTL(Tasks!$R135,Tasks!$S135,WorkWeek,Holidays),N(Tasks!$F135)))</f>
        <v/>
      </c>
      <c r="E135" s="64" t="str">
        <f aca="false">IF(Tasks!$D135="","",Tasks!$N135)</f>
        <v/>
      </c>
      <c r="F135" s="64" t="str">
        <f aca="false">IF(Tasks!$D135="","",Tasks!$O135)</f>
        <v/>
      </c>
      <c r="G135" s="64" t="str">
        <f aca="false">IF(Tasks!$D135="","",Tasks!$R135)</f>
        <v/>
      </c>
      <c r="H135" s="64" t="str">
        <f aca="false">IF(Tasks!$D135="","",Tasks!$S135)</f>
        <v/>
      </c>
      <c r="I135" s="65" t="str">
        <f aca="false">IF(Tasks!$D135="","",Tasks!$V135)</f>
        <v/>
      </c>
      <c r="J135" s="63" t="str">
        <f aca="false">IF(Tasks!$D135="","",Tasks!$X135&amp;"")</f>
        <v/>
      </c>
      <c r="K135" s="66" t="str">
        <f aca="false">IF(Tasks!$D135="","",Tasks!$W135)</f>
        <v/>
      </c>
      <c r="L135" s="67" t="b">
        <f aca="false">IF(Tasks!$D135="",FALSE(),Tasks!$AI135)</f>
        <v>0</v>
      </c>
      <c r="M135" s="67" t="b">
        <f aca="false">AND(Tasks!$AJ135=1,N(Tasks!$F135)=0)</f>
        <v>0</v>
      </c>
      <c r="N135" s="68" t="n">
        <f aca="false">IF(AND(Tasks!$AJ135=1,NOT($M135),N($I135)&gt;0),$G135,0)</f>
        <v>0</v>
      </c>
      <c r="O135" s="68" t="n">
        <f aca="false">IF($N135=0,0,IF($I135&gt;=1,$H135,MAX($N135,$G135+ROUND(($H135-$G135+1)*$I135,0)-1)))</f>
        <v>0</v>
      </c>
      <c r="P135" s="68" t="n">
        <f aca="false">IF(OR(Tasks!$AJ135&lt;&gt;1,$M135,N($I135)&gt;=1),0,IF($O135&gt;0,$O135+1,$G135))</f>
        <v>0</v>
      </c>
      <c r="Q135" s="68" t="n">
        <f aca="false">IF($P135=0,0,$H135)</f>
        <v>0</v>
      </c>
      <c r="R135" s="67" t="b">
        <f aca="false">AND(Tasks!$D135&lt;&gt;"",N(Tasks!$T135)&gt;0)</f>
        <v>0</v>
      </c>
      <c r="T135" s="69" t="str">
        <f aca="false">IF($E135="","",IF($M135,IF(AND($G135&gt;=T$5,$G135&lt;T$5+GanttPeriod),"◆",IF(AND($E135&gt;=T$5,$E135&lt;T$5+GanttPeriod),"◇","")),IF(AND(T$5&lt;=$F135,T$5+GanttPeriod-1&gt;=$E135),"━","")))</f>
        <v/>
      </c>
      <c r="U135" s="69" t="str">
        <f aca="false">IF($E135="","",IF($M135,IF(AND($G135&gt;=U$5,$G135&lt;U$5+GanttPeriod),"◆",IF(AND($E135&gt;=U$5,$E135&lt;U$5+GanttPeriod),"◇","")),IF(AND(U$5&lt;=$F135,U$5+GanttPeriod-1&gt;=$E135),"━","")))</f>
        <v/>
      </c>
      <c r="V135" s="69" t="str">
        <f aca="false">IF($E135="","",IF($M135,IF(AND($G135&gt;=V$5,$G135&lt;V$5+GanttPeriod),"◆",IF(AND($E135&gt;=V$5,$E135&lt;V$5+GanttPeriod),"◇","")),IF(AND(V$5&lt;=$F135,V$5+GanttPeriod-1&gt;=$E135),"━","")))</f>
        <v/>
      </c>
      <c r="W135" s="69" t="str">
        <f aca="false">IF($E135="","",IF($M135,IF(AND($G135&gt;=W$5,$G135&lt;W$5+GanttPeriod),"◆",IF(AND($E135&gt;=W$5,$E135&lt;W$5+GanttPeriod),"◇","")),IF(AND(W$5&lt;=$F135,W$5+GanttPeriod-1&gt;=$E135),"━","")))</f>
        <v/>
      </c>
      <c r="X135" s="69" t="str">
        <f aca="false">IF($E135="","",IF($M135,IF(AND($G135&gt;=X$5,$G135&lt;X$5+GanttPeriod),"◆",IF(AND($E135&gt;=X$5,$E135&lt;X$5+GanttPeriod),"◇","")),IF(AND(X$5&lt;=$F135,X$5+GanttPeriod-1&gt;=$E135),"━","")))</f>
        <v/>
      </c>
      <c r="Y135" s="69" t="str">
        <f aca="false">IF($E135="","",IF($M135,IF(AND($G135&gt;=Y$5,$G135&lt;Y$5+GanttPeriod),"◆",IF(AND($E135&gt;=Y$5,$E135&lt;Y$5+GanttPeriod),"◇","")),IF(AND(Y$5&lt;=$F135,Y$5+GanttPeriod-1&gt;=$E135),"━","")))</f>
        <v/>
      </c>
      <c r="Z135" s="69" t="str">
        <f aca="false">IF($E135="","",IF($M135,IF(AND($G135&gt;=Z$5,$G135&lt;Z$5+GanttPeriod),"◆",IF(AND($E135&gt;=Z$5,$E135&lt;Z$5+GanttPeriod),"◇","")),IF(AND(Z$5&lt;=$F135,Z$5+GanttPeriod-1&gt;=$E135),"━","")))</f>
        <v/>
      </c>
      <c r="AA135" s="69" t="str">
        <f aca="false">IF($E135="","",IF($M135,IF(AND($G135&gt;=AA$5,$G135&lt;AA$5+GanttPeriod),"◆",IF(AND($E135&gt;=AA$5,$E135&lt;AA$5+GanttPeriod),"◇","")),IF(AND(AA$5&lt;=$F135,AA$5+GanttPeriod-1&gt;=$E135),"━","")))</f>
        <v/>
      </c>
      <c r="AB135" s="69" t="str">
        <f aca="false">IF($E135="","",IF($M135,IF(AND($G135&gt;=AB$5,$G135&lt;AB$5+GanttPeriod),"◆",IF(AND($E135&gt;=AB$5,$E135&lt;AB$5+GanttPeriod),"◇","")),IF(AND(AB$5&lt;=$F135,AB$5+GanttPeriod-1&gt;=$E135),"━","")))</f>
        <v/>
      </c>
      <c r="AC135" s="69" t="str">
        <f aca="false">IF($E135="","",IF($M135,IF(AND($G135&gt;=AC$5,$G135&lt;AC$5+GanttPeriod),"◆",IF(AND($E135&gt;=AC$5,$E135&lt;AC$5+GanttPeriod),"◇","")),IF(AND(AC$5&lt;=$F135,AC$5+GanttPeriod-1&gt;=$E135),"━","")))</f>
        <v/>
      </c>
      <c r="AD135" s="69" t="str">
        <f aca="false">IF($E135="","",IF($M135,IF(AND($G135&gt;=AD$5,$G135&lt;AD$5+GanttPeriod),"◆",IF(AND($E135&gt;=AD$5,$E135&lt;AD$5+GanttPeriod),"◇","")),IF(AND(AD$5&lt;=$F135,AD$5+GanttPeriod-1&gt;=$E135),"━","")))</f>
        <v/>
      </c>
      <c r="AE135" s="69" t="str">
        <f aca="false">IF($E135="","",IF($M135,IF(AND($G135&gt;=AE$5,$G135&lt;AE$5+GanttPeriod),"◆",IF(AND($E135&gt;=AE$5,$E135&lt;AE$5+GanttPeriod),"◇","")),IF(AND(AE$5&lt;=$F135,AE$5+GanttPeriod-1&gt;=$E135),"━","")))</f>
        <v/>
      </c>
      <c r="AF135" s="69" t="str">
        <f aca="false">IF($E135="","",IF($M135,IF(AND($G135&gt;=AF$5,$G135&lt;AF$5+GanttPeriod),"◆",IF(AND($E135&gt;=AF$5,$E135&lt;AF$5+GanttPeriod),"◇","")),IF(AND(AF$5&lt;=$F135,AF$5+GanttPeriod-1&gt;=$E135),"━","")))</f>
        <v/>
      </c>
      <c r="AG135" s="69" t="str">
        <f aca="false">IF($E135="","",IF($M135,IF(AND($G135&gt;=AG$5,$G135&lt;AG$5+GanttPeriod),"◆",IF(AND($E135&gt;=AG$5,$E135&lt;AG$5+GanttPeriod),"◇","")),IF(AND(AG$5&lt;=$F135,AG$5+GanttPeriod-1&gt;=$E135),"━","")))</f>
        <v/>
      </c>
      <c r="AH135" s="69" t="str">
        <f aca="false">IF($E135="","",IF($M135,IF(AND($G135&gt;=AH$5,$G135&lt;AH$5+GanttPeriod),"◆",IF(AND($E135&gt;=AH$5,$E135&lt;AH$5+GanttPeriod),"◇","")),IF(AND(AH$5&lt;=$F135,AH$5+GanttPeriod-1&gt;=$E135),"━","")))</f>
        <v/>
      </c>
      <c r="AI135" s="69" t="str">
        <f aca="false">IF($E135="","",IF($M135,IF(AND($G135&gt;=AI$5,$G135&lt;AI$5+GanttPeriod),"◆",IF(AND($E135&gt;=AI$5,$E135&lt;AI$5+GanttPeriod),"◇","")),IF(AND(AI$5&lt;=$F135,AI$5+GanttPeriod-1&gt;=$E135),"━","")))</f>
        <v/>
      </c>
      <c r="AJ135" s="69" t="str">
        <f aca="false">IF($E135="","",IF($M135,IF(AND($G135&gt;=AJ$5,$G135&lt;AJ$5+GanttPeriod),"◆",IF(AND($E135&gt;=AJ$5,$E135&lt;AJ$5+GanttPeriod),"◇","")),IF(AND(AJ$5&lt;=$F135,AJ$5+GanttPeriod-1&gt;=$E135),"━","")))</f>
        <v/>
      </c>
      <c r="AK135" s="69" t="str">
        <f aca="false">IF($E135="","",IF($M135,IF(AND($G135&gt;=AK$5,$G135&lt;AK$5+GanttPeriod),"◆",IF(AND($E135&gt;=AK$5,$E135&lt;AK$5+GanttPeriod),"◇","")),IF(AND(AK$5&lt;=$F135,AK$5+GanttPeriod-1&gt;=$E135),"━","")))</f>
        <v/>
      </c>
      <c r="AL135" s="69" t="str">
        <f aca="false">IF($E135="","",IF($M135,IF(AND($G135&gt;=AL$5,$G135&lt;AL$5+GanttPeriod),"◆",IF(AND($E135&gt;=AL$5,$E135&lt;AL$5+GanttPeriod),"◇","")),IF(AND(AL$5&lt;=$F135,AL$5+GanttPeriod-1&gt;=$E135),"━","")))</f>
        <v/>
      </c>
      <c r="AM135" s="69" t="str">
        <f aca="false">IF($E135="","",IF($M135,IF(AND($G135&gt;=AM$5,$G135&lt;AM$5+GanttPeriod),"◆",IF(AND($E135&gt;=AM$5,$E135&lt;AM$5+GanttPeriod),"◇","")),IF(AND(AM$5&lt;=$F135,AM$5+GanttPeriod-1&gt;=$E135),"━","")))</f>
        <v/>
      </c>
      <c r="AN135" s="69" t="str">
        <f aca="false">IF($E135="","",IF($M135,IF(AND($G135&gt;=AN$5,$G135&lt;AN$5+GanttPeriod),"◆",IF(AND($E135&gt;=AN$5,$E135&lt;AN$5+GanttPeriod),"◇","")),IF(AND(AN$5&lt;=$F135,AN$5+GanttPeriod-1&gt;=$E135),"━","")))</f>
        <v/>
      </c>
      <c r="AO135" s="69" t="str">
        <f aca="false">IF($E135="","",IF($M135,IF(AND($G135&gt;=AO$5,$G135&lt;AO$5+GanttPeriod),"◆",IF(AND($E135&gt;=AO$5,$E135&lt;AO$5+GanttPeriod),"◇","")),IF(AND(AO$5&lt;=$F135,AO$5+GanttPeriod-1&gt;=$E135),"━","")))</f>
        <v/>
      </c>
      <c r="AP135" s="69" t="str">
        <f aca="false">IF($E135="","",IF($M135,IF(AND($G135&gt;=AP$5,$G135&lt;AP$5+GanttPeriod),"◆",IF(AND($E135&gt;=AP$5,$E135&lt;AP$5+GanttPeriod),"◇","")),IF(AND(AP$5&lt;=$F135,AP$5+GanttPeriod-1&gt;=$E135),"━","")))</f>
        <v/>
      </c>
      <c r="AQ135" s="69" t="str">
        <f aca="false">IF($E135="","",IF($M135,IF(AND($G135&gt;=AQ$5,$G135&lt;AQ$5+GanttPeriod),"◆",IF(AND($E135&gt;=AQ$5,$E135&lt;AQ$5+GanttPeriod),"◇","")),IF(AND(AQ$5&lt;=$F135,AQ$5+GanttPeriod-1&gt;=$E135),"━","")))</f>
        <v/>
      </c>
      <c r="AR135" s="69" t="str">
        <f aca="false">IF($E135="","",IF($M135,IF(AND($G135&gt;=AR$5,$G135&lt;AR$5+GanttPeriod),"◆",IF(AND($E135&gt;=AR$5,$E135&lt;AR$5+GanttPeriod),"◇","")),IF(AND(AR$5&lt;=$F135,AR$5+GanttPeriod-1&gt;=$E135),"━","")))</f>
        <v/>
      </c>
      <c r="AS135" s="69" t="str">
        <f aca="false">IF($E135="","",IF($M135,IF(AND($G135&gt;=AS$5,$G135&lt;AS$5+GanttPeriod),"◆",IF(AND($E135&gt;=AS$5,$E135&lt;AS$5+GanttPeriod),"◇","")),IF(AND(AS$5&lt;=$F135,AS$5+GanttPeriod-1&gt;=$E135),"━","")))</f>
        <v/>
      </c>
      <c r="AT135" s="69" t="str">
        <f aca="false">IF($E135="","",IF($M135,IF(AND($G135&gt;=AT$5,$G135&lt;AT$5+GanttPeriod),"◆",IF(AND($E135&gt;=AT$5,$E135&lt;AT$5+GanttPeriod),"◇","")),IF(AND(AT$5&lt;=$F135,AT$5+GanttPeriod-1&gt;=$E135),"━","")))</f>
        <v/>
      </c>
      <c r="AU135" s="69" t="str">
        <f aca="false">IF($E135="","",IF($M135,IF(AND($G135&gt;=AU$5,$G135&lt;AU$5+GanttPeriod),"◆",IF(AND($E135&gt;=AU$5,$E135&lt;AU$5+GanttPeriod),"◇","")),IF(AND(AU$5&lt;=$F135,AU$5+GanttPeriod-1&gt;=$E135),"━","")))</f>
        <v/>
      </c>
      <c r="AV135" s="69" t="str">
        <f aca="false">IF($E135="","",IF($M135,IF(AND($G135&gt;=AV$5,$G135&lt;AV$5+GanttPeriod),"◆",IF(AND($E135&gt;=AV$5,$E135&lt;AV$5+GanttPeriod),"◇","")),IF(AND(AV$5&lt;=$F135,AV$5+GanttPeriod-1&gt;=$E135),"━","")))</f>
        <v/>
      </c>
      <c r="AW135" s="69" t="str">
        <f aca="false">IF($E135="","",IF($M135,IF(AND($G135&gt;=AW$5,$G135&lt;AW$5+GanttPeriod),"◆",IF(AND($E135&gt;=AW$5,$E135&lt;AW$5+GanttPeriod),"◇","")),IF(AND(AW$5&lt;=$F135,AW$5+GanttPeriod-1&gt;=$E135),"━","")))</f>
        <v/>
      </c>
      <c r="AX135" s="69" t="str">
        <f aca="false">IF($E135="","",IF($M135,IF(AND($G135&gt;=AX$5,$G135&lt;AX$5+GanttPeriod),"◆",IF(AND($E135&gt;=AX$5,$E135&lt;AX$5+GanttPeriod),"◇","")),IF(AND(AX$5&lt;=$F135,AX$5+GanttPeriod-1&gt;=$E135),"━","")))</f>
        <v/>
      </c>
      <c r="AY135" s="69" t="str">
        <f aca="false">IF($E135="","",IF($M135,IF(AND($G135&gt;=AY$5,$G135&lt;AY$5+GanttPeriod),"◆",IF(AND($E135&gt;=AY$5,$E135&lt;AY$5+GanttPeriod),"◇","")),IF(AND(AY$5&lt;=$F135,AY$5+GanttPeriod-1&gt;=$E135),"━","")))</f>
        <v/>
      </c>
      <c r="AZ135" s="69" t="str">
        <f aca="false">IF($E135="","",IF($M135,IF(AND($G135&gt;=AZ$5,$G135&lt;AZ$5+GanttPeriod),"◆",IF(AND($E135&gt;=AZ$5,$E135&lt;AZ$5+GanttPeriod),"◇","")),IF(AND(AZ$5&lt;=$F135,AZ$5+GanttPeriod-1&gt;=$E135),"━","")))</f>
        <v/>
      </c>
      <c r="BA135" s="69" t="str">
        <f aca="false">IF($E135="","",IF($M135,IF(AND($G135&gt;=BA$5,$G135&lt;BA$5+GanttPeriod),"◆",IF(AND($E135&gt;=BA$5,$E135&lt;BA$5+GanttPeriod),"◇","")),IF(AND(BA$5&lt;=$F135,BA$5+GanttPeriod-1&gt;=$E135),"━","")))</f>
        <v/>
      </c>
      <c r="BB135" s="69" t="str">
        <f aca="false">IF($E135="","",IF($M135,IF(AND($G135&gt;=BB$5,$G135&lt;BB$5+GanttPeriod),"◆",IF(AND($E135&gt;=BB$5,$E135&lt;BB$5+GanttPeriod),"◇","")),IF(AND(BB$5&lt;=$F135,BB$5+GanttPeriod-1&gt;=$E135),"━","")))</f>
        <v/>
      </c>
      <c r="BC135" s="69" t="str">
        <f aca="false">IF($E135="","",IF($M135,IF(AND($G135&gt;=BC$5,$G135&lt;BC$5+GanttPeriod),"◆",IF(AND($E135&gt;=BC$5,$E135&lt;BC$5+GanttPeriod),"◇","")),IF(AND(BC$5&lt;=$F135,BC$5+GanttPeriod-1&gt;=$E135),"━","")))</f>
        <v/>
      </c>
      <c r="BD135" s="69" t="str">
        <f aca="false">IF($E135="","",IF($M135,IF(AND($G135&gt;=BD$5,$G135&lt;BD$5+GanttPeriod),"◆",IF(AND($E135&gt;=BD$5,$E135&lt;BD$5+GanttPeriod),"◇","")),IF(AND(BD$5&lt;=$F135,BD$5+GanttPeriod-1&gt;=$E135),"━","")))</f>
        <v/>
      </c>
      <c r="BE135" s="69" t="str">
        <f aca="false">IF($E135="","",IF($M135,IF(AND($G135&gt;=BE$5,$G135&lt;BE$5+GanttPeriod),"◆",IF(AND($E135&gt;=BE$5,$E135&lt;BE$5+GanttPeriod),"◇","")),IF(AND(BE$5&lt;=$F135,BE$5+GanttPeriod-1&gt;=$E135),"━","")))</f>
        <v/>
      </c>
      <c r="BF135" s="69" t="str">
        <f aca="false">IF($E135="","",IF($M135,IF(AND($G135&gt;=BF$5,$G135&lt;BF$5+GanttPeriod),"◆",IF(AND($E135&gt;=BF$5,$E135&lt;BF$5+GanttPeriod),"◇","")),IF(AND(BF$5&lt;=$F135,BF$5+GanttPeriod-1&gt;=$E135),"━","")))</f>
        <v/>
      </c>
      <c r="BG135" s="69" t="str">
        <f aca="false">IF($E135="","",IF($M135,IF(AND($G135&gt;=BG$5,$G135&lt;BG$5+GanttPeriod),"◆",IF(AND($E135&gt;=BG$5,$E135&lt;BG$5+GanttPeriod),"◇","")),IF(AND(BG$5&lt;=$F135,BG$5+GanttPeriod-1&gt;=$E135),"━","")))</f>
        <v/>
      </c>
      <c r="BH135" s="69" t="str">
        <f aca="false">IF($E135="","",IF($M135,IF(AND($G135&gt;=BH$5,$G135&lt;BH$5+GanttPeriod),"◆",IF(AND($E135&gt;=BH$5,$E135&lt;BH$5+GanttPeriod),"◇","")),IF(AND(BH$5&lt;=$F135,BH$5+GanttPeriod-1&gt;=$E135),"━","")))</f>
        <v/>
      </c>
      <c r="BI135" s="69" t="str">
        <f aca="false">IF($E135="","",IF($M135,IF(AND($G135&gt;=BI$5,$G135&lt;BI$5+GanttPeriod),"◆",IF(AND($E135&gt;=BI$5,$E135&lt;BI$5+GanttPeriod),"◇","")),IF(AND(BI$5&lt;=$F135,BI$5+GanttPeriod-1&gt;=$E135),"━","")))</f>
        <v/>
      </c>
      <c r="BJ135" s="69" t="str">
        <f aca="false">IF($E135="","",IF($M135,IF(AND($G135&gt;=BJ$5,$G135&lt;BJ$5+GanttPeriod),"◆",IF(AND($E135&gt;=BJ$5,$E135&lt;BJ$5+GanttPeriod),"◇","")),IF(AND(BJ$5&lt;=$F135,BJ$5+GanttPeriod-1&gt;=$E135),"━","")))</f>
        <v/>
      </c>
      <c r="BK135" s="69" t="str">
        <f aca="false">IF($E135="","",IF($M135,IF(AND($G135&gt;=BK$5,$G135&lt;BK$5+GanttPeriod),"◆",IF(AND($E135&gt;=BK$5,$E135&lt;BK$5+GanttPeriod),"◇","")),IF(AND(BK$5&lt;=$F135,BK$5+GanttPeriod-1&gt;=$E135),"━","")))</f>
        <v/>
      </c>
      <c r="BL135" s="69" t="str">
        <f aca="false">IF($E135="","",IF($M135,IF(AND($G135&gt;=BL$5,$G135&lt;BL$5+GanttPeriod),"◆",IF(AND($E135&gt;=BL$5,$E135&lt;BL$5+GanttPeriod),"◇","")),IF(AND(BL$5&lt;=$F135,BL$5+GanttPeriod-1&gt;=$E135),"━","")))</f>
        <v/>
      </c>
      <c r="BM135" s="69" t="str">
        <f aca="false">IF($E135="","",IF($M135,IF(AND($G135&gt;=BM$5,$G135&lt;BM$5+GanttPeriod),"◆",IF(AND($E135&gt;=BM$5,$E135&lt;BM$5+GanttPeriod),"◇","")),IF(AND(BM$5&lt;=$F135,BM$5+GanttPeriod-1&gt;=$E135),"━","")))</f>
        <v/>
      </c>
      <c r="BN135" s="69" t="str">
        <f aca="false">IF($E135="","",IF($M135,IF(AND($G135&gt;=BN$5,$G135&lt;BN$5+GanttPeriod),"◆",IF(AND($E135&gt;=BN$5,$E135&lt;BN$5+GanttPeriod),"◇","")),IF(AND(BN$5&lt;=$F135,BN$5+GanttPeriod-1&gt;=$E135),"━","")))</f>
        <v/>
      </c>
      <c r="BO135" s="69" t="str">
        <f aca="false">IF($E135="","",IF($M135,IF(AND($G135&gt;=BO$5,$G135&lt;BO$5+GanttPeriod),"◆",IF(AND($E135&gt;=BO$5,$E135&lt;BO$5+GanttPeriod),"◇","")),IF(AND(BO$5&lt;=$F135,BO$5+GanttPeriod-1&gt;=$E135),"━","")))</f>
        <v/>
      </c>
      <c r="BP135" s="69" t="str">
        <f aca="false">IF($E135="","",IF($M135,IF(AND($G135&gt;=BP$5,$G135&lt;BP$5+GanttPeriod),"◆",IF(AND($E135&gt;=BP$5,$E135&lt;BP$5+GanttPeriod),"◇","")),IF(AND(BP$5&lt;=$F135,BP$5+GanttPeriod-1&gt;=$E135),"━","")))</f>
        <v/>
      </c>
      <c r="BQ135" s="69" t="str">
        <f aca="false">IF($E135="","",IF($M135,IF(AND($G135&gt;=BQ$5,$G135&lt;BQ$5+GanttPeriod),"◆",IF(AND($E135&gt;=BQ$5,$E135&lt;BQ$5+GanttPeriod),"◇","")),IF(AND(BQ$5&lt;=$F135,BQ$5+GanttPeriod-1&gt;=$E135),"━","")))</f>
        <v/>
      </c>
      <c r="BR135" s="69" t="str">
        <f aca="false">IF($E135="","",IF($M135,IF(AND($G135&gt;=BR$5,$G135&lt;BR$5+GanttPeriod),"◆",IF(AND($E135&gt;=BR$5,$E135&lt;BR$5+GanttPeriod),"◇","")),IF(AND(BR$5&lt;=$F135,BR$5+GanttPeriod-1&gt;=$E135),"━","")))</f>
        <v/>
      </c>
      <c r="BS135" s="69" t="str">
        <f aca="false">IF($E135="","",IF($M135,IF(AND($G135&gt;=BS$5,$G135&lt;BS$5+GanttPeriod),"◆",IF(AND($E135&gt;=BS$5,$E135&lt;BS$5+GanttPeriod),"◇","")),IF(AND(BS$5&lt;=$F135,BS$5+GanttPeriod-1&gt;=$E135),"━","")))</f>
        <v/>
      </c>
      <c r="BT135" s="69" t="str">
        <f aca="false">IF($E135="","",IF($M135,IF(AND($G135&gt;=BT$5,$G135&lt;BT$5+GanttPeriod),"◆",IF(AND($E135&gt;=BT$5,$E135&lt;BT$5+GanttPeriod),"◇","")),IF(AND(BT$5&lt;=$F135,BT$5+GanttPeriod-1&gt;=$E135),"━","")))</f>
        <v/>
      </c>
      <c r="BU135" s="69" t="str">
        <f aca="false">IF($E135="","",IF($M135,IF(AND($G135&gt;=BU$5,$G135&lt;BU$5+GanttPeriod),"◆",IF(AND($E135&gt;=BU$5,$E135&lt;BU$5+GanttPeriod),"◇","")),IF(AND(BU$5&lt;=$F135,BU$5+GanttPeriod-1&gt;=$E135),"━","")))</f>
        <v/>
      </c>
      <c r="BV135" s="69" t="str">
        <f aca="false">IF($E135="","",IF($M135,IF(AND($G135&gt;=BV$5,$G135&lt;BV$5+GanttPeriod),"◆",IF(AND($E135&gt;=BV$5,$E135&lt;BV$5+GanttPeriod),"◇","")),IF(AND(BV$5&lt;=$F135,BV$5+GanttPeriod-1&gt;=$E135),"━","")))</f>
        <v/>
      </c>
      <c r="BW135" s="69" t="str">
        <f aca="false">IF($E135="","",IF($M135,IF(AND($G135&gt;=BW$5,$G135&lt;BW$5+GanttPeriod),"◆",IF(AND($E135&gt;=BW$5,$E135&lt;BW$5+GanttPeriod),"◇","")),IF(AND(BW$5&lt;=$F135,BW$5+GanttPeriod-1&gt;=$E135),"━","")))</f>
        <v/>
      </c>
      <c r="BX135" s="69" t="str">
        <f aca="false">IF($E135="","",IF($M135,IF(AND($G135&gt;=BX$5,$G135&lt;BX$5+GanttPeriod),"◆",IF(AND($E135&gt;=BX$5,$E135&lt;BX$5+GanttPeriod),"◇","")),IF(AND(BX$5&lt;=$F135,BX$5+GanttPeriod-1&gt;=$E135),"━","")))</f>
        <v/>
      </c>
      <c r="BY135" s="69" t="str">
        <f aca="false">IF($E135="","",IF($M135,IF(AND($G135&gt;=BY$5,$G135&lt;BY$5+GanttPeriod),"◆",IF(AND($E135&gt;=BY$5,$E135&lt;BY$5+GanttPeriod),"◇","")),IF(AND(BY$5&lt;=$F135,BY$5+GanttPeriod-1&gt;=$E135),"━","")))</f>
        <v/>
      </c>
      <c r="BZ135" s="69" t="str">
        <f aca="false">IF($E135="","",IF($M135,IF(AND($G135&gt;=BZ$5,$G135&lt;BZ$5+GanttPeriod),"◆",IF(AND($E135&gt;=BZ$5,$E135&lt;BZ$5+GanttPeriod),"◇","")),IF(AND(BZ$5&lt;=$F135,BZ$5+GanttPeriod-1&gt;=$E135),"━","")))</f>
        <v/>
      </c>
      <c r="CA135" s="69" t="str">
        <f aca="false">IF($E135="","",IF($M135,IF(AND($G135&gt;=CA$5,$G135&lt;CA$5+GanttPeriod),"◆",IF(AND($E135&gt;=CA$5,$E135&lt;CA$5+GanttPeriod),"◇","")),IF(AND(CA$5&lt;=$F135,CA$5+GanttPeriod-1&gt;=$E135),"━","")))</f>
        <v/>
      </c>
      <c r="CB135" s="69" t="str">
        <f aca="false">IF($E135="","",IF($M135,IF(AND($G135&gt;=CB$5,$G135&lt;CB$5+GanttPeriod),"◆",IF(AND($E135&gt;=CB$5,$E135&lt;CB$5+GanttPeriod),"◇","")),IF(AND(CB$5&lt;=$F135,CB$5+GanttPeriod-1&gt;=$E135),"━","")))</f>
        <v/>
      </c>
      <c r="CC135" s="69" t="str">
        <f aca="false">IF($E135="","",IF($M135,IF(AND($G135&gt;=CC$5,$G135&lt;CC$5+GanttPeriod),"◆",IF(AND($E135&gt;=CC$5,$E135&lt;CC$5+GanttPeriod),"◇","")),IF(AND(CC$5&lt;=$F135,CC$5+GanttPeriod-1&gt;=$E135),"━","")))</f>
        <v/>
      </c>
      <c r="CD135" s="69" t="str">
        <f aca="false">IF($E135="","",IF($M135,IF(AND($G135&gt;=CD$5,$G135&lt;CD$5+GanttPeriod),"◆",IF(AND($E135&gt;=CD$5,$E135&lt;CD$5+GanttPeriod),"◇","")),IF(AND(CD$5&lt;=$F135,CD$5+GanttPeriod-1&gt;=$E135),"━","")))</f>
        <v/>
      </c>
      <c r="CE135" s="69" t="str">
        <f aca="false">IF($E135="","",IF($M135,IF(AND($G135&gt;=CE$5,$G135&lt;CE$5+GanttPeriod),"◆",IF(AND($E135&gt;=CE$5,$E135&lt;CE$5+GanttPeriod),"◇","")),IF(AND(CE$5&lt;=$F135,CE$5+GanttPeriod-1&gt;=$E135),"━","")))</f>
        <v/>
      </c>
      <c r="CF135" s="69" t="str">
        <f aca="false">IF($E135="","",IF($M135,IF(AND($G135&gt;=CF$5,$G135&lt;CF$5+GanttPeriod),"◆",IF(AND($E135&gt;=CF$5,$E135&lt;CF$5+GanttPeriod),"◇","")),IF(AND(CF$5&lt;=$F135,CF$5+GanttPeriod-1&gt;=$E135),"━","")))</f>
        <v/>
      </c>
      <c r="CG135" s="69" t="str">
        <f aca="false">IF($E135="","",IF($M135,IF(AND($G135&gt;=CG$5,$G135&lt;CG$5+GanttPeriod),"◆",IF(AND($E135&gt;=CG$5,$E135&lt;CG$5+GanttPeriod),"◇","")),IF(AND(CG$5&lt;=$F135,CG$5+GanttPeriod-1&gt;=$E135),"━","")))</f>
        <v/>
      </c>
      <c r="CH135" s="69" t="str">
        <f aca="false">IF($E135="","",IF($M135,IF(AND($G135&gt;=CH$5,$G135&lt;CH$5+GanttPeriod),"◆",IF(AND($E135&gt;=CH$5,$E135&lt;CH$5+GanttPeriod),"◇","")),IF(AND(CH$5&lt;=$F135,CH$5+GanttPeriod-1&gt;=$E135),"━","")))</f>
        <v/>
      </c>
      <c r="CI135" s="69" t="str">
        <f aca="false">IF($E135="","",IF($M135,IF(AND($G135&gt;=CI$5,$G135&lt;CI$5+GanttPeriod),"◆",IF(AND($E135&gt;=CI$5,$E135&lt;CI$5+GanttPeriod),"◇","")),IF(AND(CI$5&lt;=$F135,CI$5+GanttPeriod-1&gt;=$E135),"━","")))</f>
        <v/>
      </c>
      <c r="CJ135" s="69" t="str">
        <f aca="false">IF($E135="","",IF($M135,IF(AND($G135&gt;=CJ$5,$G135&lt;CJ$5+GanttPeriod),"◆",IF(AND($E135&gt;=CJ$5,$E135&lt;CJ$5+GanttPeriod),"◇","")),IF(AND(CJ$5&lt;=$F135,CJ$5+GanttPeriod-1&gt;=$E135),"━","")))</f>
        <v/>
      </c>
      <c r="CK135" s="69" t="str">
        <f aca="false">IF($E135="","",IF($M135,IF(AND($G135&gt;=CK$5,$G135&lt;CK$5+GanttPeriod),"◆",IF(AND($E135&gt;=CK$5,$E135&lt;CK$5+GanttPeriod),"◇","")),IF(AND(CK$5&lt;=$F135,CK$5+GanttPeriod-1&gt;=$E135),"━","")))</f>
        <v/>
      </c>
      <c r="CL135" s="69" t="str">
        <f aca="false">IF($E135="","",IF($M135,IF(AND($G135&gt;=CL$5,$G135&lt;CL$5+GanttPeriod),"◆",IF(AND($E135&gt;=CL$5,$E135&lt;CL$5+GanttPeriod),"◇","")),IF(AND(CL$5&lt;=$F135,CL$5+GanttPeriod-1&gt;=$E135),"━","")))</f>
        <v/>
      </c>
      <c r="CM135" s="69" t="str">
        <f aca="false">IF($E135="","",IF($M135,IF(AND($G135&gt;=CM$5,$G135&lt;CM$5+GanttPeriod),"◆",IF(AND($E135&gt;=CM$5,$E135&lt;CM$5+GanttPeriod),"◇","")),IF(AND(CM$5&lt;=$F135,CM$5+GanttPeriod-1&gt;=$E135),"━","")))</f>
        <v/>
      </c>
      <c r="CN135" s="69" t="str">
        <f aca="false">IF($E135="","",IF($M135,IF(AND($G135&gt;=CN$5,$G135&lt;CN$5+GanttPeriod),"◆",IF(AND($E135&gt;=CN$5,$E135&lt;CN$5+GanttPeriod),"◇","")),IF(AND(CN$5&lt;=$F135,CN$5+GanttPeriod-1&gt;=$E135),"━","")))</f>
        <v/>
      </c>
      <c r="CO135" s="69" t="str">
        <f aca="false">IF($E135="","",IF($M135,IF(AND($G135&gt;=CO$5,$G135&lt;CO$5+GanttPeriod),"◆",IF(AND($E135&gt;=CO$5,$E135&lt;CO$5+GanttPeriod),"◇","")),IF(AND(CO$5&lt;=$F135,CO$5+GanttPeriod-1&gt;=$E135),"━","")))</f>
        <v/>
      </c>
      <c r="CP135" s="69" t="str">
        <f aca="false">IF($E135="","",IF($M135,IF(AND($G135&gt;=CP$5,$G135&lt;CP$5+GanttPeriod),"◆",IF(AND($E135&gt;=CP$5,$E135&lt;CP$5+GanttPeriod),"◇","")),IF(AND(CP$5&lt;=$F135,CP$5+GanttPeriod-1&gt;=$E135),"━","")))</f>
        <v/>
      </c>
      <c r="CQ135" s="69" t="str">
        <f aca="false">IF($E135="","",IF($M135,IF(AND($G135&gt;=CQ$5,$G135&lt;CQ$5+GanttPeriod),"◆",IF(AND($E135&gt;=CQ$5,$E135&lt;CQ$5+GanttPeriod),"◇","")),IF(AND(CQ$5&lt;=$F135,CQ$5+GanttPeriod-1&gt;=$E135),"━","")))</f>
        <v/>
      </c>
      <c r="CR135" s="69" t="str">
        <f aca="false">IF($E135="","",IF($M135,IF(AND($G135&gt;=CR$5,$G135&lt;CR$5+GanttPeriod),"◆",IF(AND($E135&gt;=CR$5,$E135&lt;CR$5+GanttPeriod),"◇","")),IF(AND(CR$5&lt;=$F135,CR$5+GanttPeriod-1&gt;=$E135),"━","")))</f>
        <v/>
      </c>
      <c r="CS135" s="69" t="str">
        <f aca="false">IF($E135="","",IF($M135,IF(AND($G135&gt;=CS$5,$G135&lt;CS$5+GanttPeriod),"◆",IF(AND($E135&gt;=CS$5,$E135&lt;CS$5+GanttPeriod),"◇","")),IF(AND(CS$5&lt;=$F135,CS$5+GanttPeriod-1&gt;=$E135),"━","")))</f>
        <v/>
      </c>
      <c r="CT135" s="69" t="str">
        <f aca="false">IF($E135="","",IF($M135,IF(AND($G135&gt;=CT$5,$G135&lt;CT$5+GanttPeriod),"◆",IF(AND($E135&gt;=CT$5,$E135&lt;CT$5+GanttPeriod),"◇","")),IF(AND(CT$5&lt;=$F135,CT$5+GanttPeriod-1&gt;=$E135),"━","")))</f>
        <v/>
      </c>
      <c r="CU135" s="69" t="str">
        <f aca="false">IF($E135="","",IF($M135,IF(AND($G135&gt;=CU$5,$G135&lt;CU$5+GanttPeriod),"◆",IF(AND($E135&gt;=CU$5,$E135&lt;CU$5+GanttPeriod),"◇","")),IF(AND(CU$5&lt;=$F135,CU$5+GanttPeriod-1&gt;=$E135),"━","")))</f>
        <v/>
      </c>
      <c r="CV135" s="69" t="str">
        <f aca="false">IF($E135="","",IF($M135,IF(AND($G135&gt;=CV$5,$G135&lt;CV$5+GanttPeriod),"◆",IF(AND($E135&gt;=CV$5,$E135&lt;CV$5+GanttPeriod),"◇","")),IF(AND(CV$5&lt;=$F135,CV$5+GanttPeriod-1&gt;=$E135),"━","")))</f>
        <v/>
      </c>
      <c r="CW135" s="69" t="str">
        <f aca="false">IF($E135="","",IF($M135,IF(AND($G135&gt;=CW$5,$G135&lt;CW$5+GanttPeriod),"◆",IF(AND($E135&gt;=CW$5,$E135&lt;CW$5+GanttPeriod),"◇","")),IF(AND(CW$5&lt;=$F135,CW$5+GanttPeriod-1&gt;=$E135),"━","")))</f>
        <v/>
      </c>
      <c r="CX135" s="69" t="str">
        <f aca="false">IF($E135="","",IF($M135,IF(AND($G135&gt;=CX$5,$G135&lt;CX$5+GanttPeriod),"◆",IF(AND($E135&gt;=CX$5,$E135&lt;CX$5+GanttPeriod),"◇","")),IF(AND(CX$5&lt;=$F135,CX$5+GanttPeriod-1&gt;=$E135),"━","")))</f>
        <v/>
      </c>
      <c r="CY135" s="69" t="str">
        <f aca="false">IF($E135="","",IF($M135,IF(AND($G135&gt;=CY$5,$G135&lt;CY$5+GanttPeriod),"◆",IF(AND($E135&gt;=CY$5,$E135&lt;CY$5+GanttPeriod),"◇","")),IF(AND(CY$5&lt;=$F135,CY$5+GanttPeriod-1&gt;=$E135),"━","")))</f>
        <v/>
      </c>
      <c r="CZ135" s="69" t="str">
        <f aca="false">IF($E135="","",IF($M135,IF(AND($G135&gt;=CZ$5,$G135&lt;CZ$5+GanttPeriod),"◆",IF(AND($E135&gt;=CZ$5,$E135&lt;CZ$5+GanttPeriod),"◇","")),IF(AND(CZ$5&lt;=$F135,CZ$5+GanttPeriod-1&gt;=$E135),"━","")))</f>
        <v/>
      </c>
      <c r="DA135" s="69" t="str">
        <f aca="false">IF($E135="","",IF($M135,IF(AND($G135&gt;=DA$5,$G135&lt;DA$5+GanttPeriod),"◆",IF(AND($E135&gt;=DA$5,$E135&lt;DA$5+GanttPeriod),"◇","")),IF(AND(DA$5&lt;=$F135,DA$5+GanttPeriod-1&gt;=$E135),"━","")))</f>
        <v/>
      </c>
      <c r="DB135" s="69" t="str">
        <f aca="false">IF($E135="","",IF($M135,IF(AND($G135&gt;=DB$5,$G135&lt;DB$5+GanttPeriod),"◆",IF(AND($E135&gt;=DB$5,$E135&lt;DB$5+GanttPeriod),"◇","")),IF(AND(DB$5&lt;=$F135,DB$5+GanttPeriod-1&gt;=$E135),"━","")))</f>
        <v/>
      </c>
      <c r="DC135" s="69" t="str">
        <f aca="false">IF($E135="","",IF($M135,IF(AND($G135&gt;=DC$5,$G135&lt;DC$5+GanttPeriod),"◆",IF(AND($E135&gt;=DC$5,$E135&lt;DC$5+GanttPeriod),"◇","")),IF(AND(DC$5&lt;=$F135,DC$5+GanttPeriod-1&gt;=$E135),"━","")))</f>
        <v/>
      </c>
      <c r="DD135" s="69" t="str">
        <f aca="false">IF($E135="","",IF($M135,IF(AND($G135&gt;=DD$5,$G135&lt;DD$5+GanttPeriod),"◆",IF(AND($E135&gt;=DD$5,$E135&lt;DD$5+GanttPeriod),"◇","")),IF(AND(DD$5&lt;=$F135,DD$5+GanttPeriod-1&gt;=$E135),"━","")))</f>
        <v/>
      </c>
      <c r="DE135" s="69" t="str">
        <f aca="false">IF($E135="","",IF($M135,IF(AND($G135&gt;=DE$5,$G135&lt;DE$5+GanttPeriod),"◆",IF(AND($E135&gt;=DE$5,$E135&lt;DE$5+GanttPeriod),"◇","")),IF(AND(DE$5&lt;=$F135,DE$5+GanttPeriod-1&gt;=$E135),"━","")))</f>
        <v/>
      </c>
      <c r="DF135" s="69" t="str">
        <f aca="false">IF($E135="","",IF($M135,IF(AND($G135&gt;=DF$5,$G135&lt;DF$5+GanttPeriod),"◆",IF(AND($E135&gt;=DF$5,$E135&lt;DF$5+GanttPeriod),"◇","")),IF(AND(DF$5&lt;=$F135,DF$5+GanttPeriod-1&gt;=$E135),"━","")))</f>
        <v/>
      </c>
      <c r="DG135" s="69" t="str">
        <f aca="false">IF($E135="","",IF($M135,IF(AND($G135&gt;=DG$5,$G135&lt;DG$5+GanttPeriod),"◆",IF(AND($E135&gt;=DG$5,$E135&lt;DG$5+GanttPeriod),"◇","")),IF(AND(DG$5&lt;=$F135,DG$5+GanttPeriod-1&gt;=$E135),"━","")))</f>
        <v/>
      </c>
      <c r="DH135" s="69" t="str">
        <f aca="false">IF($E135="","",IF($M135,IF(AND($G135&gt;=DH$5,$G135&lt;DH$5+GanttPeriod),"◆",IF(AND($E135&gt;=DH$5,$E135&lt;DH$5+GanttPeriod),"◇","")),IF(AND(DH$5&lt;=$F135,DH$5+GanttPeriod-1&gt;=$E135),"━","")))</f>
        <v/>
      </c>
      <c r="DI135" s="69" t="str">
        <f aca="false">IF($E135="","",IF($M135,IF(AND($G135&gt;=DI$5,$G135&lt;DI$5+GanttPeriod),"◆",IF(AND($E135&gt;=DI$5,$E135&lt;DI$5+GanttPeriod),"◇","")),IF(AND(DI$5&lt;=$F135,DI$5+GanttPeriod-1&gt;=$E135),"━","")))</f>
        <v/>
      </c>
      <c r="DJ135" s="69" t="str">
        <f aca="false">IF($E135="","",IF($M135,IF(AND($G135&gt;=DJ$5,$G135&lt;DJ$5+GanttPeriod),"◆",IF(AND($E135&gt;=DJ$5,$E135&lt;DJ$5+GanttPeriod),"◇","")),IF(AND(DJ$5&lt;=$F135,DJ$5+GanttPeriod-1&gt;=$E135),"━","")))</f>
        <v/>
      </c>
      <c r="DK135" s="69" t="str">
        <f aca="false">IF($E135="","",IF($M135,IF(AND($G135&gt;=DK$5,$G135&lt;DK$5+GanttPeriod),"◆",IF(AND($E135&gt;=DK$5,$E135&lt;DK$5+GanttPeriod),"◇","")),IF(AND(DK$5&lt;=$F135,DK$5+GanttPeriod-1&gt;=$E135),"━","")))</f>
        <v/>
      </c>
      <c r="DL135" s="69" t="str">
        <f aca="false">IF($E135="","",IF($M135,IF(AND($G135&gt;=DL$5,$G135&lt;DL$5+GanttPeriod),"◆",IF(AND($E135&gt;=DL$5,$E135&lt;DL$5+GanttPeriod),"◇","")),IF(AND(DL$5&lt;=$F135,DL$5+GanttPeriod-1&gt;=$E135),"━","")))</f>
        <v/>
      </c>
      <c r="DM135" s="69" t="str">
        <f aca="false">IF($E135="","",IF($M135,IF(AND($G135&gt;=DM$5,$G135&lt;DM$5+GanttPeriod),"◆",IF(AND($E135&gt;=DM$5,$E135&lt;DM$5+GanttPeriod),"◇","")),IF(AND(DM$5&lt;=$F135,DM$5+GanttPeriod-1&gt;=$E135),"━","")))</f>
        <v/>
      </c>
      <c r="DN135" s="69" t="str">
        <f aca="false">IF($E135="","",IF($M135,IF(AND($G135&gt;=DN$5,$G135&lt;DN$5+GanttPeriod),"◆",IF(AND($E135&gt;=DN$5,$E135&lt;DN$5+GanttPeriod),"◇","")),IF(AND(DN$5&lt;=$F135,DN$5+GanttPeriod-1&gt;=$E135),"━","")))</f>
        <v/>
      </c>
      <c r="DO135" s="69" t="str">
        <f aca="false">IF($E135="","",IF($M135,IF(AND($G135&gt;=DO$5,$G135&lt;DO$5+GanttPeriod),"◆",IF(AND($E135&gt;=DO$5,$E135&lt;DO$5+GanttPeriod),"◇","")),IF(AND(DO$5&lt;=$F135,DO$5+GanttPeriod-1&gt;=$E135),"━","")))</f>
        <v/>
      </c>
      <c r="DP135" s="69" t="str">
        <f aca="false">IF($E135="","",IF($M135,IF(AND($G135&gt;=DP$5,$G135&lt;DP$5+GanttPeriod),"◆",IF(AND($E135&gt;=DP$5,$E135&lt;DP$5+GanttPeriod),"◇","")),IF(AND(DP$5&lt;=$F135,DP$5+GanttPeriod-1&gt;=$E135),"━","")))</f>
        <v/>
      </c>
      <c r="DQ135" s="69" t="str">
        <f aca="false">IF($E135="","",IF($M135,IF(AND($G135&gt;=DQ$5,$G135&lt;DQ$5+GanttPeriod),"◆",IF(AND($E135&gt;=DQ$5,$E135&lt;DQ$5+GanttPeriod),"◇","")),IF(AND(DQ$5&lt;=$F135,DQ$5+GanttPeriod-1&gt;=$E135),"━","")))</f>
        <v/>
      </c>
      <c r="DR135" s="69" t="str">
        <f aca="false">IF($E135="","",IF($M135,IF(AND($G135&gt;=DR$5,$G135&lt;DR$5+GanttPeriod),"◆",IF(AND($E135&gt;=DR$5,$E135&lt;DR$5+GanttPeriod),"◇","")),IF(AND(DR$5&lt;=$F135,DR$5+GanttPeriod-1&gt;=$E135),"━","")))</f>
        <v/>
      </c>
      <c r="DS135" s="69" t="str">
        <f aca="false">IF($E135="","",IF($M135,IF(AND($G135&gt;=DS$5,$G135&lt;DS$5+GanttPeriod),"◆",IF(AND($E135&gt;=DS$5,$E135&lt;DS$5+GanttPeriod),"◇","")),IF(AND(DS$5&lt;=$F135,DS$5+GanttPeriod-1&gt;=$E135),"━","")))</f>
        <v/>
      </c>
      <c r="DT135" s="69" t="str">
        <f aca="false">IF($E135="","",IF($M135,IF(AND($G135&gt;=DT$5,$G135&lt;DT$5+GanttPeriod),"◆",IF(AND($E135&gt;=DT$5,$E135&lt;DT$5+GanttPeriod),"◇","")),IF(AND(DT$5&lt;=$F135,DT$5+GanttPeriod-1&gt;=$E135),"━","")))</f>
        <v/>
      </c>
      <c r="DU135" s="69" t="str">
        <f aca="false">IF($E135="","",IF($M135,IF(AND($G135&gt;=DU$5,$G135&lt;DU$5+GanttPeriod),"◆",IF(AND($E135&gt;=DU$5,$E135&lt;DU$5+GanttPeriod),"◇","")),IF(AND(DU$5&lt;=$F135,DU$5+GanttPeriod-1&gt;=$E135),"━","")))</f>
        <v/>
      </c>
      <c r="DV135" s="69" t="str">
        <f aca="false">IF($E135="","",IF($M135,IF(AND($G135&gt;=DV$5,$G135&lt;DV$5+GanttPeriod),"◆",IF(AND($E135&gt;=DV$5,$E135&lt;DV$5+GanttPeriod),"◇","")),IF(AND(DV$5&lt;=$F135,DV$5+GanttPeriod-1&gt;=$E135),"━","")))</f>
        <v/>
      </c>
      <c r="DW135" s="69" t="str">
        <f aca="false">IF($E135="","",IF($M135,IF(AND($G135&gt;=DW$5,$G135&lt;DW$5+GanttPeriod),"◆",IF(AND($E135&gt;=DW$5,$E135&lt;DW$5+GanttPeriod),"◇","")),IF(AND(DW$5&lt;=$F135,DW$5+GanttPeriod-1&gt;=$E135),"━","")))</f>
        <v/>
      </c>
      <c r="DX135" s="69" t="str">
        <f aca="false">IF($E135="","",IF($M135,IF(AND($G135&gt;=DX$5,$G135&lt;DX$5+GanttPeriod),"◆",IF(AND($E135&gt;=DX$5,$E135&lt;DX$5+GanttPeriod),"◇","")),IF(AND(DX$5&lt;=$F135,DX$5+GanttPeriod-1&gt;=$E135),"━","")))</f>
        <v/>
      </c>
      <c r="DY135" s="69" t="str">
        <f aca="false">IF($E135="","",IF($M135,IF(AND($G135&gt;=DY$5,$G135&lt;DY$5+GanttPeriod),"◆",IF(AND($E135&gt;=DY$5,$E135&lt;DY$5+GanttPeriod),"◇","")),IF(AND(DY$5&lt;=$F135,DY$5+GanttPeriod-1&gt;=$E135),"━","")))</f>
        <v/>
      </c>
      <c r="DZ135" s="69" t="str">
        <f aca="false">IF($E135="","",IF($M135,IF(AND($G135&gt;=DZ$5,$G135&lt;DZ$5+GanttPeriod),"◆",IF(AND($E135&gt;=DZ$5,$E135&lt;DZ$5+GanttPeriod),"◇","")),IF(AND(DZ$5&lt;=$F135,DZ$5+GanttPeriod-1&gt;=$E135),"━","")))</f>
        <v/>
      </c>
      <c r="EA135" s="69" t="str">
        <f aca="false">IF($E135="","",IF($M135,IF(AND($G135&gt;=EA$5,$G135&lt;EA$5+GanttPeriod),"◆",IF(AND($E135&gt;=EA$5,$E135&lt;EA$5+GanttPeriod),"◇","")),IF(AND(EA$5&lt;=$F135,EA$5+GanttPeriod-1&gt;=$E135),"━","")))</f>
        <v/>
      </c>
      <c r="EB135" s="69" t="str">
        <f aca="false">IF($E135="","",IF($M135,IF(AND($G135&gt;=EB$5,$G135&lt;EB$5+GanttPeriod),"◆",IF(AND($E135&gt;=EB$5,$E135&lt;EB$5+GanttPeriod),"◇","")),IF(AND(EB$5&lt;=$F135,EB$5+GanttPeriod-1&gt;=$E135),"━","")))</f>
        <v/>
      </c>
      <c r="EC135" s="69" t="str">
        <f aca="false">IF($E135="","",IF($M135,IF(AND($G135&gt;=EC$5,$G135&lt;EC$5+GanttPeriod),"◆",IF(AND($E135&gt;=EC$5,$E135&lt;EC$5+GanttPeriod),"◇","")),IF(AND(EC$5&lt;=$F135,EC$5+GanttPeriod-1&gt;=$E135),"━","")))</f>
        <v/>
      </c>
      <c r="ED135" s="69" t="str">
        <f aca="false">IF($E135="","",IF($M135,IF(AND($G135&gt;=ED$5,$G135&lt;ED$5+GanttPeriod),"◆",IF(AND($E135&gt;=ED$5,$E135&lt;ED$5+GanttPeriod),"◇","")),IF(AND(ED$5&lt;=$F135,ED$5+GanttPeriod-1&gt;=$E135),"━","")))</f>
        <v/>
      </c>
      <c r="EE135" s="69" t="str">
        <f aca="false">IF($E135="","",IF($M135,IF(AND($G135&gt;=EE$5,$G135&lt;EE$5+GanttPeriod),"◆",IF(AND($E135&gt;=EE$5,$E135&lt;EE$5+GanttPeriod),"◇","")),IF(AND(EE$5&lt;=$F135,EE$5+GanttPeriod-1&gt;=$E135),"━","")))</f>
        <v/>
      </c>
      <c r="EF135" s="69" t="str">
        <f aca="false">IF($E135="","",IF($M135,IF(AND($G135&gt;=EF$5,$G135&lt;EF$5+GanttPeriod),"◆",IF(AND($E135&gt;=EF$5,$E135&lt;EF$5+GanttPeriod),"◇","")),IF(AND(EF$5&lt;=$F135,EF$5+GanttPeriod-1&gt;=$E135),"━","")))</f>
        <v/>
      </c>
      <c r="EG135" s="69" t="str">
        <f aca="false">IF($E135="","",IF($M135,IF(AND($G135&gt;=EG$5,$G135&lt;EG$5+GanttPeriod),"◆",IF(AND($E135&gt;=EG$5,$E135&lt;EG$5+GanttPeriod),"◇","")),IF(AND(EG$5&lt;=$F135,EG$5+GanttPeriod-1&gt;=$E135),"━","")))</f>
        <v/>
      </c>
      <c r="EH135" s="69" t="str">
        <f aca="false">IF($E135="","",IF($M135,IF(AND($G135&gt;=EH$5,$G135&lt;EH$5+GanttPeriod),"◆",IF(AND($E135&gt;=EH$5,$E135&lt;EH$5+GanttPeriod),"◇","")),IF(AND(EH$5&lt;=$F135,EH$5+GanttPeriod-1&gt;=$E135),"━","")))</f>
        <v/>
      </c>
      <c r="EI135" s="69" t="str">
        <f aca="false">IF($E135="","",IF($M135,IF(AND($G135&gt;=EI$5,$G135&lt;EI$5+GanttPeriod),"◆",IF(AND($E135&gt;=EI$5,$E135&lt;EI$5+GanttPeriod),"◇","")),IF(AND(EI$5&lt;=$F135,EI$5+GanttPeriod-1&gt;=$E135),"━","")))</f>
        <v/>
      </c>
      <c r="EJ135" s="69" t="str">
        <f aca="false">IF($E135="","",IF($M135,IF(AND($G135&gt;=EJ$5,$G135&lt;EJ$5+GanttPeriod),"◆",IF(AND($E135&gt;=EJ$5,$E135&lt;EJ$5+GanttPeriod),"◇","")),IF(AND(EJ$5&lt;=$F135,EJ$5+GanttPeriod-1&gt;=$E135),"━","")))</f>
        <v/>
      </c>
      <c r="EK135" s="69" t="str">
        <f aca="false">IF($E135="","",IF($M135,IF(AND($G135&gt;=EK$5,$G135&lt;EK$5+GanttPeriod),"◆",IF(AND($E135&gt;=EK$5,$E135&lt;EK$5+GanttPeriod),"◇","")),IF(AND(EK$5&lt;=$F135,EK$5+GanttPeriod-1&gt;=$E135),"━","")))</f>
        <v/>
      </c>
      <c r="EL135" s="69" t="str">
        <f aca="false">IF($E135="","",IF($M135,IF(AND($G135&gt;=EL$5,$G135&lt;EL$5+GanttPeriod),"◆",IF(AND($E135&gt;=EL$5,$E135&lt;EL$5+GanttPeriod),"◇","")),IF(AND(EL$5&lt;=$F135,EL$5+GanttPeriod-1&gt;=$E135),"━","")))</f>
        <v/>
      </c>
      <c r="EM135" s="69" t="str">
        <f aca="false">IF($E135="","",IF($M135,IF(AND($G135&gt;=EM$5,$G135&lt;EM$5+GanttPeriod),"◆",IF(AND($E135&gt;=EM$5,$E135&lt;EM$5+GanttPeriod),"◇","")),IF(AND(EM$5&lt;=$F135,EM$5+GanttPeriod-1&gt;=$E135),"━","")))</f>
        <v/>
      </c>
      <c r="EN135" s="69" t="str">
        <f aca="false">IF($E135="","",IF($M135,IF(AND($G135&gt;=EN$5,$G135&lt;EN$5+GanttPeriod),"◆",IF(AND($E135&gt;=EN$5,$E135&lt;EN$5+GanttPeriod),"◇","")),IF(AND(EN$5&lt;=$F135,EN$5+GanttPeriod-1&gt;=$E135),"━","")))</f>
        <v/>
      </c>
      <c r="EO135" s="69" t="str">
        <f aca="false">IF($E135="","",IF($M135,IF(AND($G135&gt;=EO$5,$G135&lt;EO$5+GanttPeriod),"◆",IF(AND($E135&gt;=EO$5,$E135&lt;EO$5+GanttPeriod),"◇","")),IF(AND(EO$5&lt;=$F135,EO$5+GanttPeriod-1&gt;=$E135),"━","")))</f>
        <v/>
      </c>
      <c r="EP135" s="69" t="str">
        <f aca="false">IF($E135="","",IF($M135,IF(AND($G135&gt;=EP$5,$G135&lt;EP$5+GanttPeriod),"◆",IF(AND($E135&gt;=EP$5,$E135&lt;EP$5+GanttPeriod),"◇","")),IF(AND(EP$5&lt;=$F135,EP$5+GanttPeriod-1&gt;=$E135),"━","")))</f>
        <v/>
      </c>
      <c r="EQ135" s="69" t="str">
        <f aca="false">IF($E135="","",IF($M135,IF(AND($G135&gt;=EQ$5,$G135&lt;EQ$5+GanttPeriod),"◆",IF(AND($E135&gt;=EQ$5,$E135&lt;EQ$5+GanttPeriod),"◇","")),IF(AND(EQ$5&lt;=$F135,EQ$5+GanttPeriod-1&gt;=$E135),"━","")))</f>
        <v/>
      </c>
      <c r="ER135" s="69" t="str">
        <f aca="false">IF($E135="","",IF($M135,IF(AND($G135&gt;=ER$5,$G135&lt;ER$5+GanttPeriod),"◆",IF(AND($E135&gt;=ER$5,$E135&lt;ER$5+GanttPeriod),"◇","")),IF(AND(ER$5&lt;=$F135,ER$5+GanttPeriod-1&gt;=$E135),"━","")))</f>
        <v/>
      </c>
      <c r="ES135" s="69" t="str">
        <f aca="false">IF($E135="","",IF($M135,IF(AND($G135&gt;=ES$5,$G135&lt;ES$5+GanttPeriod),"◆",IF(AND($E135&gt;=ES$5,$E135&lt;ES$5+GanttPeriod),"◇","")),IF(AND(ES$5&lt;=$F135,ES$5+GanttPeriod-1&gt;=$E135),"━","")))</f>
        <v/>
      </c>
      <c r="ET135" s="69" t="str">
        <f aca="false">IF($E135="","",IF($M135,IF(AND($G135&gt;=ET$5,$G135&lt;ET$5+GanttPeriod),"◆",IF(AND($E135&gt;=ET$5,$E135&lt;ET$5+GanttPeriod),"◇","")),IF(AND(ET$5&lt;=$F135,ET$5+GanttPeriod-1&gt;=$E135),"━","")))</f>
        <v/>
      </c>
      <c r="EU135" s="69" t="str">
        <f aca="false">IF($E135="","",IF($M135,IF(AND($G135&gt;=EU$5,$G135&lt;EU$5+GanttPeriod),"◆",IF(AND($E135&gt;=EU$5,$E135&lt;EU$5+GanttPeriod),"◇","")),IF(AND(EU$5&lt;=$F135,EU$5+GanttPeriod-1&gt;=$E135),"━","")))</f>
        <v/>
      </c>
      <c r="EV135" s="69" t="str">
        <f aca="false">IF($E135="","",IF($M135,IF(AND($G135&gt;=EV$5,$G135&lt;EV$5+GanttPeriod),"◆",IF(AND($E135&gt;=EV$5,$E135&lt;EV$5+GanttPeriod),"◇","")),IF(AND(EV$5&lt;=$F135,EV$5+GanttPeriod-1&gt;=$E135),"━","")))</f>
        <v/>
      </c>
      <c r="EW135" s="69" t="str">
        <f aca="false">IF($E135="","",IF($M135,IF(AND($G135&gt;=EW$5,$G135&lt;EW$5+GanttPeriod),"◆",IF(AND($E135&gt;=EW$5,$E135&lt;EW$5+GanttPeriod),"◇","")),IF(AND(EW$5&lt;=$F135,EW$5+GanttPeriod-1&gt;=$E135),"━","")))</f>
        <v/>
      </c>
      <c r="EX135" s="69" t="str">
        <f aca="false">IF($E135="","",IF($M135,IF(AND($G135&gt;=EX$5,$G135&lt;EX$5+GanttPeriod),"◆",IF(AND($E135&gt;=EX$5,$E135&lt;EX$5+GanttPeriod),"◇","")),IF(AND(EX$5&lt;=$F135,EX$5+GanttPeriod-1&gt;=$E135),"━","")))</f>
        <v/>
      </c>
      <c r="EY135" s="69" t="str">
        <f aca="false">IF($E135="","",IF($M135,IF(AND($G135&gt;=EY$5,$G135&lt;EY$5+GanttPeriod),"◆",IF(AND($E135&gt;=EY$5,$E135&lt;EY$5+GanttPeriod),"◇","")),IF(AND(EY$5&lt;=$F135,EY$5+GanttPeriod-1&gt;=$E135),"━","")))</f>
        <v/>
      </c>
      <c r="EZ135" s="69" t="str">
        <f aca="false">IF($E135="","",IF($M135,IF(AND($G135&gt;=EZ$5,$G135&lt;EZ$5+GanttPeriod),"◆",IF(AND($E135&gt;=EZ$5,$E135&lt;EZ$5+GanttPeriod),"◇","")),IF(AND(EZ$5&lt;=$F135,EZ$5+GanttPeriod-1&gt;=$E135),"━","")))</f>
        <v/>
      </c>
      <c r="FA135" s="69" t="str">
        <f aca="false">IF($E135="","",IF($M135,IF(AND($G135&gt;=FA$5,$G135&lt;FA$5+GanttPeriod),"◆",IF(AND($E135&gt;=FA$5,$E135&lt;FA$5+GanttPeriod),"◇","")),IF(AND(FA$5&lt;=$F135,FA$5+GanttPeriod-1&gt;=$E135),"━","")))</f>
        <v/>
      </c>
      <c r="FB135" s="69" t="str">
        <f aca="false">IF($E135="","",IF($M135,IF(AND($G135&gt;=FB$5,$G135&lt;FB$5+GanttPeriod),"◆",IF(AND($E135&gt;=FB$5,$E135&lt;FB$5+GanttPeriod),"◇","")),IF(AND(FB$5&lt;=$F135,FB$5+GanttPeriod-1&gt;=$E135),"━","")))</f>
        <v/>
      </c>
      <c r="FC135" s="69" t="str">
        <f aca="false">IF($E135="","",IF($M135,IF(AND($G135&gt;=FC$5,$G135&lt;FC$5+GanttPeriod),"◆",IF(AND($E135&gt;=FC$5,$E135&lt;FC$5+GanttPeriod),"◇","")),IF(AND(FC$5&lt;=$F135,FC$5+GanttPeriod-1&gt;=$E135),"━","")))</f>
        <v/>
      </c>
      <c r="FD135" s="69" t="str">
        <f aca="false">IF($E135="","",IF($M135,IF(AND($G135&gt;=FD$5,$G135&lt;FD$5+GanttPeriod),"◆",IF(AND($E135&gt;=FD$5,$E135&lt;FD$5+GanttPeriod),"◇","")),IF(AND(FD$5&lt;=$F135,FD$5+GanttPeriod-1&gt;=$E135),"━","")))</f>
        <v/>
      </c>
      <c r="FE135" s="69" t="str">
        <f aca="false">IF($E135="","",IF($M135,IF(AND($G135&gt;=FE$5,$G135&lt;FE$5+GanttPeriod),"◆",IF(AND($E135&gt;=FE$5,$E135&lt;FE$5+GanttPeriod),"◇","")),IF(AND(FE$5&lt;=$F135,FE$5+GanttPeriod-1&gt;=$E135),"━","")))</f>
        <v/>
      </c>
      <c r="FF135" s="69" t="str">
        <f aca="false">IF($E135="","",IF($M135,IF(AND($G135&gt;=FF$5,$G135&lt;FF$5+GanttPeriod),"◆",IF(AND($E135&gt;=FF$5,$E135&lt;FF$5+GanttPeriod),"◇","")),IF(AND(FF$5&lt;=$F135,FF$5+GanttPeriod-1&gt;=$E135),"━","")))</f>
        <v/>
      </c>
      <c r="FG135" s="69" t="str">
        <f aca="false">IF($E135="","",IF($M135,IF(AND($G135&gt;=FG$5,$G135&lt;FG$5+GanttPeriod),"◆",IF(AND($E135&gt;=FG$5,$E135&lt;FG$5+GanttPeriod),"◇","")),IF(AND(FG$5&lt;=$F135,FG$5+GanttPeriod-1&gt;=$E135),"━","")))</f>
        <v/>
      </c>
      <c r="FH135" s="69" t="str">
        <f aca="false">IF($E135="","",IF($M135,IF(AND($G135&gt;=FH$5,$G135&lt;FH$5+GanttPeriod),"◆",IF(AND($E135&gt;=FH$5,$E135&lt;FH$5+GanttPeriod),"◇","")),IF(AND(FH$5&lt;=$F135,FH$5+GanttPeriod-1&gt;=$E135),"━","")))</f>
        <v/>
      </c>
      <c r="FI135" s="69" t="str">
        <f aca="false">IF($E135="","",IF($M135,IF(AND($G135&gt;=FI$5,$G135&lt;FI$5+GanttPeriod),"◆",IF(AND($E135&gt;=FI$5,$E135&lt;FI$5+GanttPeriod),"◇","")),IF(AND(FI$5&lt;=$F135,FI$5+GanttPeriod-1&gt;=$E135),"━","")))</f>
        <v/>
      </c>
      <c r="FJ135" s="69" t="str">
        <f aca="false">IF($E135="","",IF($M135,IF(AND($G135&gt;=FJ$5,$G135&lt;FJ$5+GanttPeriod),"◆",IF(AND($E135&gt;=FJ$5,$E135&lt;FJ$5+GanttPeriod),"◇","")),IF(AND(FJ$5&lt;=$F135,FJ$5+GanttPeriod-1&gt;=$E135),"━","")))</f>
        <v/>
      </c>
      <c r="FK135" s="69" t="str">
        <f aca="false">IF($E135="","",IF($M135,IF(AND($G135&gt;=FK$5,$G135&lt;FK$5+GanttPeriod),"◆",IF(AND($E135&gt;=FK$5,$E135&lt;FK$5+GanttPeriod),"◇","")),IF(AND(FK$5&lt;=$F135,FK$5+GanttPeriod-1&gt;=$E135),"━","")))</f>
        <v/>
      </c>
      <c r="FL135" s="69" t="str">
        <f aca="false">IF($E135="","",IF($M135,IF(AND($G135&gt;=FL$5,$G135&lt;FL$5+GanttPeriod),"◆",IF(AND($E135&gt;=FL$5,$E135&lt;FL$5+GanttPeriod),"◇","")),IF(AND(FL$5&lt;=$F135,FL$5+GanttPeriod-1&gt;=$E135),"━","")))</f>
        <v/>
      </c>
      <c r="FM135" s="69" t="str">
        <f aca="false">IF($E135="","",IF($M135,IF(AND($G135&gt;=FM$5,$G135&lt;FM$5+GanttPeriod),"◆",IF(AND($E135&gt;=FM$5,$E135&lt;FM$5+GanttPeriod),"◇","")),IF(AND(FM$5&lt;=$F135,FM$5+GanttPeriod-1&gt;=$E135),"━","")))</f>
        <v/>
      </c>
    </row>
    <row r="136" customFormat="false" ht="15" hidden="false" customHeight="false" outlineLevel="0" collapsed="false">
      <c r="A136" s="62" t="str">
        <f aca="false">IF(Tasks!$D136="","",Tasks!$A136)</f>
        <v/>
      </c>
      <c r="B136" s="62" t="str">
        <f aca="false">IF(Tasks!$D136="","",Tasks!$B136)</f>
        <v/>
      </c>
      <c r="C136" s="63" t="str">
        <f aca="false">IF(Tasks!$D136="","",REPT("    ",Tasks!$AE136-1)&amp;Tasks!$D136)</f>
        <v/>
      </c>
      <c r="D136" s="62" t="str">
        <f aca="false">IF(Tasks!$D136="","",IF(Tasks!$AI136,NETWORKDAYS.INTL(Tasks!$R136,Tasks!$S136,WorkWeek,Holidays),N(Tasks!$F136)))</f>
        <v/>
      </c>
      <c r="E136" s="64" t="str">
        <f aca="false">IF(Tasks!$D136="","",Tasks!$N136)</f>
        <v/>
      </c>
      <c r="F136" s="64" t="str">
        <f aca="false">IF(Tasks!$D136="","",Tasks!$O136)</f>
        <v/>
      </c>
      <c r="G136" s="64" t="str">
        <f aca="false">IF(Tasks!$D136="","",Tasks!$R136)</f>
        <v/>
      </c>
      <c r="H136" s="64" t="str">
        <f aca="false">IF(Tasks!$D136="","",Tasks!$S136)</f>
        <v/>
      </c>
      <c r="I136" s="65" t="str">
        <f aca="false">IF(Tasks!$D136="","",Tasks!$V136)</f>
        <v/>
      </c>
      <c r="J136" s="63" t="str">
        <f aca="false">IF(Tasks!$D136="","",Tasks!$X136&amp;"")</f>
        <v/>
      </c>
      <c r="K136" s="66" t="str">
        <f aca="false">IF(Tasks!$D136="","",Tasks!$W136)</f>
        <v/>
      </c>
      <c r="L136" s="67" t="b">
        <f aca="false">IF(Tasks!$D136="",FALSE(),Tasks!$AI136)</f>
        <v>0</v>
      </c>
      <c r="M136" s="67" t="b">
        <f aca="false">AND(Tasks!$AJ136=1,N(Tasks!$F136)=0)</f>
        <v>0</v>
      </c>
      <c r="N136" s="68" t="n">
        <f aca="false">IF(AND(Tasks!$AJ136=1,NOT($M136),N($I136)&gt;0),$G136,0)</f>
        <v>0</v>
      </c>
      <c r="O136" s="68" t="n">
        <f aca="false">IF($N136=0,0,IF($I136&gt;=1,$H136,MAX($N136,$G136+ROUND(($H136-$G136+1)*$I136,0)-1)))</f>
        <v>0</v>
      </c>
      <c r="P136" s="68" t="n">
        <f aca="false">IF(OR(Tasks!$AJ136&lt;&gt;1,$M136,N($I136)&gt;=1),0,IF($O136&gt;0,$O136+1,$G136))</f>
        <v>0</v>
      </c>
      <c r="Q136" s="68" t="n">
        <f aca="false">IF($P136=0,0,$H136)</f>
        <v>0</v>
      </c>
      <c r="R136" s="67" t="b">
        <f aca="false">AND(Tasks!$D136&lt;&gt;"",N(Tasks!$T136)&gt;0)</f>
        <v>0</v>
      </c>
      <c r="T136" s="69" t="str">
        <f aca="false">IF($E136="","",IF($M136,IF(AND($G136&gt;=T$5,$G136&lt;T$5+GanttPeriod),"◆",IF(AND($E136&gt;=T$5,$E136&lt;T$5+GanttPeriod),"◇","")),IF(AND(T$5&lt;=$F136,T$5+GanttPeriod-1&gt;=$E136),"━","")))</f>
        <v/>
      </c>
      <c r="U136" s="69" t="str">
        <f aca="false">IF($E136="","",IF($M136,IF(AND($G136&gt;=U$5,$G136&lt;U$5+GanttPeriod),"◆",IF(AND($E136&gt;=U$5,$E136&lt;U$5+GanttPeriod),"◇","")),IF(AND(U$5&lt;=$F136,U$5+GanttPeriod-1&gt;=$E136),"━","")))</f>
        <v/>
      </c>
      <c r="V136" s="69" t="str">
        <f aca="false">IF($E136="","",IF($M136,IF(AND($G136&gt;=V$5,$G136&lt;V$5+GanttPeriod),"◆",IF(AND($E136&gt;=V$5,$E136&lt;V$5+GanttPeriod),"◇","")),IF(AND(V$5&lt;=$F136,V$5+GanttPeriod-1&gt;=$E136),"━","")))</f>
        <v/>
      </c>
      <c r="W136" s="69" t="str">
        <f aca="false">IF($E136="","",IF($M136,IF(AND($G136&gt;=W$5,$G136&lt;W$5+GanttPeriod),"◆",IF(AND($E136&gt;=W$5,$E136&lt;W$5+GanttPeriod),"◇","")),IF(AND(W$5&lt;=$F136,W$5+GanttPeriod-1&gt;=$E136),"━","")))</f>
        <v/>
      </c>
      <c r="X136" s="69" t="str">
        <f aca="false">IF($E136="","",IF($M136,IF(AND($G136&gt;=X$5,$G136&lt;X$5+GanttPeriod),"◆",IF(AND($E136&gt;=X$5,$E136&lt;X$5+GanttPeriod),"◇","")),IF(AND(X$5&lt;=$F136,X$5+GanttPeriod-1&gt;=$E136),"━","")))</f>
        <v/>
      </c>
      <c r="Y136" s="69" t="str">
        <f aca="false">IF($E136="","",IF($M136,IF(AND($G136&gt;=Y$5,$G136&lt;Y$5+GanttPeriod),"◆",IF(AND($E136&gt;=Y$5,$E136&lt;Y$5+GanttPeriod),"◇","")),IF(AND(Y$5&lt;=$F136,Y$5+GanttPeriod-1&gt;=$E136),"━","")))</f>
        <v/>
      </c>
      <c r="Z136" s="69" t="str">
        <f aca="false">IF($E136="","",IF($M136,IF(AND($G136&gt;=Z$5,$G136&lt;Z$5+GanttPeriod),"◆",IF(AND($E136&gt;=Z$5,$E136&lt;Z$5+GanttPeriod),"◇","")),IF(AND(Z$5&lt;=$F136,Z$5+GanttPeriod-1&gt;=$E136),"━","")))</f>
        <v/>
      </c>
      <c r="AA136" s="69" t="str">
        <f aca="false">IF($E136="","",IF($M136,IF(AND($G136&gt;=AA$5,$G136&lt;AA$5+GanttPeriod),"◆",IF(AND($E136&gt;=AA$5,$E136&lt;AA$5+GanttPeriod),"◇","")),IF(AND(AA$5&lt;=$F136,AA$5+GanttPeriod-1&gt;=$E136),"━","")))</f>
        <v/>
      </c>
      <c r="AB136" s="69" t="str">
        <f aca="false">IF($E136="","",IF($M136,IF(AND($G136&gt;=AB$5,$G136&lt;AB$5+GanttPeriod),"◆",IF(AND($E136&gt;=AB$5,$E136&lt;AB$5+GanttPeriod),"◇","")),IF(AND(AB$5&lt;=$F136,AB$5+GanttPeriod-1&gt;=$E136),"━","")))</f>
        <v/>
      </c>
      <c r="AC136" s="69" t="str">
        <f aca="false">IF($E136="","",IF($M136,IF(AND($G136&gt;=AC$5,$G136&lt;AC$5+GanttPeriod),"◆",IF(AND($E136&gt;=AC$5,$E136&lt;AC$5+GanttPeriod),"◇","")),IF(AND(AC$5&lt;=$F136,AC$5+GanttPeriod-1&gt;=$E136),"━","")))</f>
        <v/>
      </c>
      <c r="AD136" s="69" t="str">
        <f aca="false">IF($E136="","",IF($M136,IF(AND($G136&gt;=AD$5,$G136&lt;AD$5+GanttPeriod),"◆",IF(AND($E136&gt;=AD$5,$E136&lt;AD$5+GanttPeriod),"◇","")),IF(AND(AD$5&lt;=$F136,AD$5+GanttPeriod-1&gt;=$E136),"━","")))</f>
        <v/>
      </c>
      <c r="AE136" s="69" t="str">
        <f aca="false">IF($E136="","",IF($M136,IF(AND($G136&gt;=AE$5,$G136&lt;AE$5+GanttPeriod),"◆",IF(AND($E136&gt;=AE$5,$E136&lt;AE$5+GanttPeriod),"◇","")),IF(AND(AE$5&lt;=$F136,AE$5+GanttPeriod-1&gt;=$E136),"━","")))</f>
        <v/>
      </c>
      <c r="AF136" s="69" t="str">
        <f aca="false">IF($E136="","",IF($M136,IF(AND($G136&gt;=AF$5,$G136&lt;AF$5+GanttPeriod),"◆",IF(AND($E136&gt;=AF$5,$E136&lt;AF$5+GanttPeriod),"◇","")),IF(AND(AF$5&lt;=$F136,AF$5+GanttPeriod-1&gt;=$E136),"━","")))</f>
        <v/>
      </c>
      <c r="AG136" s="69" t="str">
        <f aca="false">IF($E136="","",IF($M136,IF(AND($G136&gt;=AG$5,$G136&lt;AG$5+GanttPeriod),"◆",IF(AND($E136&gt;=AG$5,$E136&lt;AG$5+GanttPeriod),"◇","")),IF(AND(AG$5&lt;=$F136,AG$5+GanttPeriod-1&gt;=$E136),"━","")))</f>
        <v/>
      </c>
      <c r="AH136" s="69" t="str">
        <f aca="false">IF($E136="","",IF($M136,IF(AND($G136&gt;=AH$5,$G136&lt;AH$5+GanttPeriod),"◆",IF(AND($E136&gt;=AH$5,$E136&lt;AH$5+GanttPeriod),"◇","")),IF(AND(AH$5&lt;=$F136,AH$5+GanttPeriod-1&gt;=$E136),"━","")))</f>
        <v/>
      </c>
      <c r="AI136" s="69" t="str">
        <f aca="false">IF($E136="","",IF($M136,IF(AND($G136&gt;=AI$5,$G136&lt;AI$5+GanttPeriod),"◆",IF(AND($E136&gt;=AI$5,$E136&lt;AI$5+GanttPeriod),"◇","")),IF(AND(AI$5&lt;=$F136,AI$5+GanttPeriod-1&gt;=$E136),"━","")))</f>
        <v/>
      </c>
      <c r="AJ136" s="69" t="str">
        <f aca="false">IF($E136="","",IF($M136,IF(AND($G136&gt;=AJ$5,$G136&lt;AJ$5+GanttPeriod),"◆",IF(AND($E136&gt;=AJ$5,$E136&lt;AJ$5+GanttPeriod),"◇","")),IF(AND(AJ$5&lt;=$F136,AJ$5+GanttPeriod-1&gt;=$E136),"━","")))</f>
        <v/>
      </c>
      <c r="AK136" s="69" t="str">
        <f aca="false">IF($E136="","",IF($M136,IF(AND($G136&gt;=AK$5,$G136&lt;AK$5+GanttPeriod),"◆",IF(AND($E136&gt;=AK$5,$E136&lt;AK$5+GanttPeriod),"◇","")),IF(AND(AK$5&lt;=$F136,AK$5+GanttPeriod-1&gt;=$E136),"━","")))</f>
        <v/>
      </c>
      <c r="AL136" s="69" t="str">
        <f aca="false">IF($E136="","",IF($M136,IF(AND($G136&gt;=AL$5,$G136&lt;AL$5+GanttPeriod),"◆",IF(AND($E136&gt;=AL$5,$E136&lt;AL$5+GanttPeriod),"◇","")),IF(AND(AL$5&lt;=$F136,AL$5+GanttPeriod-1&gt;=$E136),"━","")))</f>
        <v/>
      </c>
      <c r="AM136" s="69" t="str">
        <f aca="false">IF($E136="","",IF($M136,IF(AND($G136&gt;=AM$5,$G136&lt;AM$5+GanttPeriod),"◆",IF(AND($E136&gt;=AM$5,$E136&lt;AM$5+GanttPeriod),"◇","")),IF(AND(AM$5&lt;=$F136,AM$5+GanttPeriod-1&gt;=$E136),"━","")))</f>
        <v/>
      </c>
      <c r="AN136" s="69" t="str">
        <f aca="false">IF($E136="","",IF($M136,IF(AND($G136&gt;=AN$5,$G136&lt;AN$5+GanttPeriod),"◆",IF(AND($E136&gt;=AN$5,$E136&lt;AN$5+GanttPeriod),"◇","")),IF(AND(AN$5&lt;=$F136,AN$5+GanttPeriod-1&gt;=$E136),"━","")))</f>
        <v/>
      </c>
      <c r="AO136" s="69" t="str">
        <f aca="false">IF($E136="","",IF($M136,IF(AND($G136&gt;=AO$5,$G136&lt;AO$5+GanttPeriod),"◆",IF(AND($E136&gt;=AO$5,$E136&lt;AO$5+GanttPeriod),"◇","")),IF(AND(AO$5&lt;=$F136,AO$5+GanttPeriod-1&gt;=$E136),"━","")))</f>
        <v/>
      </c>
      <c r="AP136" s="69" t="str">
        <f aca="false">IF($E136="","",IF($M136,IF(AND($G136&gt;=AP$5,$G136&lt;AP$5+GanttPeriod),"◆",IF(AND($E136&gt;=AP$5,$E136&lt;AP$5+GanttPeriod),"◇","")),IF(AND(AP$5&lt;=$F136,AP$5+GanttPeriod-1&gt;=$E136),"━","")))</f>
        <v/>
      </c>
      <c r="AQ136" s="69" t="str">
        <f aca="false">IF($E136="","",IF($M136,IF(AND($G136&gt;=AQ$5,$G136&lt;AQ$5+GanttPeriod),"◆",IF(AND($E136&gt;=AQ$5,$E136&lt;AQ$5+GanttPeriod),"◇","")),IF(AND(AQ$5&lt;=$F136,AQ$5+GanttPeriod-1&gt;=$E136),"━","")))</f>
        <v/>
      </c>
      <c r="AR136" s="69" t="str">
        <f aca="false">IF($E136="","",IF($M136,IF(AND($G136&gt;=AR$5,$G136&lt;AR$5+GanttPeriod),"◆",IF(AND($E136&gt;=AR$5,$E136&lt;AR$5+GanttPeriod),"◇","")),IF(AND(AR$5&lt;=$F136,AR$5+GanttPeriod-1&gt;=$E136),"━","")))</f>
        <v/>
      </c>
      <c r="AS136" s="69" t="str">
        <f aca="false">IF($E136="","",IF($M136,IF(AND($G136&gt;=AS$5,$G136&lt;AS$5+GanttPeriod),"◆",IF(AND($E136&gt;=AS$5,$E136&lt;AS$5+GanttPeriod),"◇","")),IF(AND(AS$5&lt;=$F136,AS$5+GanttPeriod-1&gt;=$E136),"━","")))</f>
        <v/>
      </c>
      <c r="AT136" s="69" t="str">
        <f aca="false">IF($E136="","",IF($M136,IF(AND($G136&gt;=AT$5,$G136&lt;AT$5+GanttPeriod),"◆",IF(AND($E136&gt;=AT$5,$E136&lt;AT$5+GanttPeriod),"◇","")),IF(AND(AT$5&lt;=$F136,AT$5+GanttPeriod-1&gt;=$E136),"━","")))</f>
        <v/>
      </c>
      <c r="AU136" s="69" t="str">
        <f aca="false">IF($E136="","",IF($M136,IF(AND($G136&gt;=AU$5,$G136&lt;AU$5+GanttPeriod),"◆",IF(AND($E136&gt;=AU$5,$E136&lt;AU$5+GanttPeriod),"◇","")),IF(AND(AU$5&lt;=$F136,AU$5+GanttPeriod-1&gt;=$E136),"━","")))</f>
        <v/>
      </c>
      <c r="AV136" s="69" t="str">
        <f aca="false">IF($E136="","",IF($M136,IF(AND($G136&gt;=AV$5,$G136&lt;AV$5+GanttPeriod),"◆",IF(AND($E136&gt;=AV$5,$E136&lt;AV$5+GanttPeriod),"◇","")),IF(AND(AV$5&lt;=$F136,AV$5+GanttPeriod-1&gt;=$E136),"━","")))</f>
        <v/>
      </c>
      <c r="AW136" s="69" t="str">
        <f aca="false">IF($E136="","",IF($M136,IF(AND($G136&gt;=AW$5,$G136&lt;AW$5+GanttPeriod),"◆",IF(AND($E136&gt;=AW$5,$E136&lt;AW$5+GanttPeriod),"◇","")),IF(AND(AW$5&lt;=$F136,AW$5+GanttPeriod-1&gt;=$E136),"━","")))</f>
        <v/>
      </c>
      <c r="AX136" s="69" t="str">
        <f aca="false">IF($E136="","",IF($M136,IF(AND($G136&gt;=AX$5,$G136&lt;AX$5+GanttPeriod),"◆",IF(AND($E136&gt;=AX$5,$E136&lt;AX$5+GanttPeriod),"◇","")),IF(AND(AX$5&lt;=$F136,AX$5+GanttPeriod-1&gt;=$E136),"━","")))</f>
        <v/>
      </c>
      <c r="AY136" s="69" t="str">
        <f aca="false">IF($E136="","",IF($M136,IF(AND($G136&gt;=AY$5,$G136&lt;AY$5+GanttPeriod),"◆",IF(AND($E136&gt;=AY$5,$E136&lt;AY$5+GanttPeriod),"◇","")),IF(AND(AY$5&lt;=$F136,AY$5+GanttPeriod-1&gt;=$E136),"━","")))</f>
        <v/>
      </c>
      <c r="AZ136" s="69" t="str">
        <f aca="false">IF($E136="","",IF($M136,IF(AND($G136&gt;=AZ$5,$G136&lt;AZ$5+GanttPeriod),"◆",IF(AND($E136&gt;=AZ$5,$E136&lt;AZ$5+GanttPeriod),"◇","")),IF(AND(AZ$5&lt;=$F136,AZ$5+GanttPeriod-1&gt;=$E136),"━","")))</f>
        <v/>
      </c>
      <c r="BA136" s="69" t="str">
        <f aca="false">IF($E136="","",IF($M136,IF(AND($G136&gt;=BA$5,$G136&lt;BA$5+GanttPeriod),"◆",IF(AND($E136&gt;=BA$5,$E136&lt;BA$5+GanttPeriod),"◇","")),IF(AND(BA$5&lt;=$F136,BA$5+GanttPeriod-1&gt;=$E136),"━","")))</f>
        <v/>
      </c>
      <c r="BB136" s="69" t="str">
        <f aca="false">IF($E136="","",IF($M136,IF(AND($G136&gt;=BB$5,$G136&lt;BB$5+GanttPeriod),"◆",IF(AND($E136&gt;=BB$5,$E136&lt;BB$5+GanttPeriod),"◇","")),IF(AND(BB$5&lt;=$F136,BB$5+GanttPeriod-1&gt;=$E136),"━","")))</f>
        <v/>
      </c>
      <c r="BC136" s="69" t="str">
        <f aca="false">IF($E136="","",IF($M136,IF(AND($G136&gt;=BC$5,$G136&lt;BC$5+GanttPeriod),"◆",IF(AND($E136&gt;=BC$5,$E136&lt;BC$5+GanttPeriod),"◇","")),IF(AND(BC$5&lt;=$F136,BC$5+GanttPeriod-1&gt;=$E136),"━","")))</f>
        <v/>
      </c>
      <c r="BD136" s="69" t="str">
        <f aca="false">IF($E136="","",IF($M136,IF(AND($G136&gt;=BD$5,$G136&lt;BD$5+GanttPeriod),"◆",IF(AND($E136&gt;=BD$5,$E136&lt;BD$5+GanttPeriod),"◇","")),IF(AND(BD$5&lt;=$F136,BD$5+GanttPeriod-1&gt;=$E136),"━","")))</f>
        <v/>
      </c>
      <c r="BE136" s="69" t="str">
        <f aca="false">IF($E136="","",IF($M136,IF(AND($G136&gt;=BE$5,$G136&lt;BE$5+GanttPeriod),"◆",IF(AND($E136&gt;=BE$5,$E136&lt;BE$5+GanttPeriod),"◇","")),IF(AND(BE$5&lt;=$F136,BE$5+GanttPeriod-1&gt;=$E136),"━","")))</f>
        <v/>
      </c>
      <c r="BF136" s="69" t="str">
        <f aca="false">IF($E136="","",IF($M136,IF(AND($G136&gt;=BF$5,$G136&lt;BF$5+GanttPeriod),"◆",IF(AND($E136&gt;=BF$5,$E136&lt;BF$5+GanttPeriod),"◇","")),IF(AND(BF$5&lt;=$F136,BF$5+GanttPeriod-1&gt;=$E136),"━","")))</f>
        <v/>
      </c>
      <c r="BG136" s="69" t="str">
        <f aca="false">IF($E136="","",IF($M136,IF(AND($G136&gt;=BG$5,$G136&lt;BG$5+GanttPeriod),"◆",IF(AND($E136&gt;=BG$5,$E136&lt;BG$5+GanttPeriod),"◇","")),IF(AND(BG$5&lt;=$F136,BG$5+GanttPeriod-1&gt;=$E136),"━","")))</f>
        <v/>
      </c>
      <c r="BH136" s="69" t="str">
        <f aca="false">IF($E136="","",IF($M136,IF(AND($G136&gt;=BH$5,$G136&lt;BH$5+GanttPeriod),"◆",IF(AND($E136&gt;=BH$5,$E136&lt;BH$5+GanttPeriod),"◇","")),IF(AND(BH$5&lt;=$F136,BH$5+GanttPeriod-1&gt;=$E136),"━","")))</f>
        <v/>
      </c>
      <c r="BI136" s="69" t="str">
        <f aca="false">IF($E136="","",IF($M136,IF(AND($G136&gt;=BI$5,$G136&lt;BI$5+GanttPeriod),"◆",IF(AND($E136&gt;=BI$5,$E136&lt;BI$5+GanttPeriod),"◇","")),IF(AND(BI$5&lt;=$F136,BI$5+GanttPeriod-1&gt;=$E136),"━","")))</f>
        <v/>
      </c>
      <c r="BJ136" s="69" t="str">
        <f aca="false">IF($E136="","",IF($M136,IF(AND($G136&gt;=BJ$5,$G136&lt;BJ$5+GanttPeriod),"◆",IF(AND($E136&gt;=BJ$5,$E136&lt;BJ$5+GanttPeriod),"◇","")),IF(AND(BJ$5&lt;=$F136,BJ$5+GanttPeriod-1&gt;=$E136),"━","")))</f>
        <v/>
      </c>
      <c r="BK136" s="69" t="str">
        <f aca="false">IF($E136="","",IF($M136,IF(AND($G136&gt;=BK$5,$G136&lt;BK$5+GanttPeriod),"◆",IF(AND($E136&gt;=BK$5,$E136&lt;BK$5+GanttPeriod),"◇","")),IF(AND(BK$5&lt;=$F136,BK$5+GanttPeriod-1&gt;=$E136),"━","")))</f>
        <v/>
      </c>
      <c r="BL136" s="69" t="str">
        <f aca="false">IF($E136="","",IF($M136,IF(AND($G136&gt;=BL$5,$G136&lt;BL$5+GanttPeriod),"◆",IF(AND($E136&gt;=BL$5,$E136&lt;BL$5+GanttPeriod),"◇","")),IF(AND(BL$5&lt;=$F136,BL$5+GanttPeriod-1&gt;=$E136),"━","")))</f>
        <v/>
      </c>
      <c r="BM136" s="69" t="str">
        <f aca="false">IF($E136="","",IF($M136,IF(AND($G136&gt;=BM$5,$G136&lt;BM$5+GanttPeriod),"◆",IF(AND($E136&gt;=BM$5,$E136&lt;BM$5+GanttPeriod),"◇","")),IF(AND(BM$5&lt;=$F136,BM$5+GanttPeriod-1&gt;=$E136),"━","")))</f>
        <v/>
      </c>
      <c r="BN136" s="69" t="str">
        <f aca="false">IF($E136="","",IF($M136,IF(AND($G136&gt;=BN$5,$G136&lt;BN$5+GanttPeriod),"◆",IF(AND($E136&gt;=BN$5,$E136&lt;BN$5+GanttPeriod),"◇","")),IF(AND(BN$5&lt;=$F136,BN$5+GanttPeriod-1&gt;=$E136),"━","")))</f>
        <v/>
      </c>
      <c r="BO136" s="69" t="str">
        <f aca="false">IF($E136="","",IF($M136,IF(AND($G136&gt;=BO$5,$G136&lt;BO$5+GanttPeriod),"◆",IF(AND($E136&gt;=BO$5,$E136&lt;BO$5+GanttPeriod),"◇","")),IF(AND(BO$5&lt;=$F136,BO$5+GanttPeriod-1&gt;=$E136),"━","")))</f>
        <v/>
      </c>
      <c r="BP136" s="69" t="str">
        <f aca="false">IF($E136="","",IF($M136,IF(AND($G136&gt;=BP$5,$G136&lt;BP$5+GanttPeriod),"◆",IF(AND($E136&gt;=BP$5,$E136&lt;BP$5+GanttPeriod),"◇","")),IF(AND(BP$5&lt;=$F136,BP$5+GanttPeriod-1&gt;=$E136),"━","")))</f>
        <v/>
      </c>
      <c r="BQ136" s="69" t="str">
        <f aca="false">IF($E136="","",IF($M136,IF(AND($G136&gt;=BQ$5,$G136&lt;BQ$5+GanttPeriod),"◆",IF(AND($E136&gt;=BQ$5,$E136&lt;BQ$5+GanttPeriod),"◇","")),IF(AND(BQ$5&lt;=$F136,BQ$5+GanttPeriod-1&gt;=$E136),"━","")))</f>
        <v/>
      </c>
      <c r="BR136" s="69" t="str">
        <f aca="false">IF($E136="","",IF($M136,IF(AND($G136&gt;=BR$5,$G136&lt;BR$5+GanttPeriod),"◆",IF(AND($E136&gt;=BR$5,$E136&lt;BR$5+GanttPeriod),"◇","")),IF(AND(BR$5&lt;=$F136,BR$5+GanttPeriod-1&gt;=$E136),"━","")))</f>
        <v/>
      </c>
      <c r="BS136" s="69" t="str">
        <f aca="false">IF($E136="","",IF($M136,IF(AND($G136&gt;=BS$5,$G136&lt;BS$5+GanttPeriod),"◆",IF(AND($E136&gt;=BS$5,$E136&lt;BS$5+GanttPeriod),"◇","")),IF(AND(BS$5&lt;=$F136,BS$5+GanttPeriod-1&gt;=$E136),"━","")))</f>
        <v/>
      </c>
      <c r="BT136" s="69" t="str">
        <f aca="false">IF($E136="","",IF($M136,IF(AND($G136&gt;=BT$5,$G136&lt;BT$5+GanttPeriod),"◆",IF(AND($E136&gt;=BT$5,$E136&lt;BT$5+GanttPeriod),"◇","")),IF(AND(BT$5&lt;=$F136,BT$5+GanttPeriod-1&gt;=$E136),"━","")))</f>
        <v/>
      </c>
      <c r="BU136" s="69" t="str">
        <f aca="false">IF($E136="","",IF($M136,IF(AND($G136&gt;=BU$5,$G136&lt;BU$5+GanttPeriod),"◆",IF(AND($E136&gt;=BU$5,$E136&lt;BU$5+GanttPeriod),"◇","")),IF(AND(BU$5&lt;=$F136,BU$5+GanttPeriod-1&gt;=$E136),"━","")))</f>
        <v/>
      </c>
      <c r="BV136" s="69" t="str">
        <f aca="false">IF($E136="","",IF($M136,IF(AND($G136&gt;=BV$5,$G136&lt;BV$5+GanttPeriod),"◆",IF(AND($E136&gt;=BV$5,$E136&lt;BV$5+GanttPeriod),"◇","")),IF(AND(BV$5&lt;=$F136,BV$5+GanttPeriod-1&gt;=$E136),"━","")))</f>
        <v/>
      </c>
      <c r="BW136" s="69" t="str">
        <f aca="false">IF($E136="","",IF($M136,IF(AND($G136&gt;=BW$5,$G136&lt;BW$5+GanttPeriod),"◆",IF(AND($E136&gt;=BW$5,$E136&lt;BW$5+GanttPeriod),"◇","")),IF(AND(BW$5&lt;=$F136,BW$5+GanttPeriod-1&gt;=$E136),"━","")))</f>
        <v/>
      </c>
      <c r="BX136" s="69" t="str">
        <f aca="false">IF($E136="","",IF($M136,IF(AND($G136&gt;=BX$5,$G136&lt;BX$5+GanttPeriod),"◆",IF(AND($E136&gt;=BX$5,$E136&lt;BX$5+GanttPeriod),"◇","")),IF(AND(BX$5&lt;=$F136,BX$5+GanttPeriod-1&gt;=$E136),"━","")))</f>
        <v/>
      </c>
      <c r="BY136" s="69" t="str">
        <f aca="false">IF($E136="","",IF($M136,IF(AND($G136&gt;=BY$5,$G136&lt;BY$5+GanttPeriod),"◆",IF(AND($E136&gt;=BY$5,$E136&lt;BY$5+GanttPeriod),"◇","")),IF(AND(BY$5&lt;=$F136,BY$5+GanttPeriod-1&gt;=$E136),"━","")))</f>
        <v/>
      </c>
      <c r="BZ136" s="69" t="str">
        <f aca="false">IF($E136="","",IF($M136,IF(AND($G136&gt;=BZ$5,$G136&lt;BZ$5+GanttPeriod),"◆",IF(AND($E136&gt;=BZ$5,$E136&lt;BZ$5+GanttPeriod),"◇","")),IF(AND(BZ$5&lt;=$F136,BZ$5+GanttPeriod-1&gt;=$E136),"━","")))</f>
        <v/>
      </c>
      <c r="CA136" s="69" t="str">
        <f aca="false">IF($E136="","",IF($M136,IF(AND($G136&gt;=CA$5,$G136&lt;CA$5+GanttPeriod),"◆",IF(AND($E136&gt;=CA$5,$E136&lt;CA$5+GanttPeriod),"◇","")),IF(AND(CA$5&lt;=$F136,CA$5+GanttPeriod-1&gt;=$E136),"━","")))</f>
        <v/>
      </c>
      <c r="CB136" s="69" t="str">
        <f aca="false">IF($E136="","",IF($M136,IF(AND($G136&gt;=CB$5,$G136&lt;CB$5+GanttPeriod),"◆",IF(AND($E136&gt;=CB$5,$E136&lt;CB$5+GanttPeriod),"◇","")),IF(AND(CB$5&lt;=$F136,CB$5+GanttPeriod-1&gt;=$E136),"━","")))</f>
        <v/>
      </c>
      <c r="CC136" s="69" t="str">
        <f aca="false">IF($E136="","",IF($M136,IF(AND($G136&gt;=CC$5,$G136&lt;CC$5+GanttPeriod),"◆",IF(AND($E136&gt;=CC$5,$E136&lt;CC$5+GanttPeriod),"◇","")),IF(AND(CC$5&lt;=$F136,CC$5+GanttPeriod-1&gt;=$E136),"━","")))</f>
        <v/>
      </c>
      <c r="CD136" s="69" t="str">
        <f aca="false">IF($E136="","",IF($M136,IF(AND($G136&gt;=CD$5,$G136&lt;CD$5+GanttPeriod),"◆",IF(AND($E136&gt;=CD$5,$E136&lt;CD$5+GanttPeriod),"◇","")),IF(AND(CD$5&lt;=$F136,CD$5+GanttPeriod-1&gt;=$E136),"━","")))</f>
        <v/>
      </c>
      <c r="CE136" s="69" t="str">
        <f aca="false">IF($E136="","",IF($M136,IF(AND($G136&gt;=CE$5,$G136&lt;CE$5+GanttPeriod),"◆",IF(AND($E136&gt;=CE$5,$E136&lt;CE$5+GanttPeriod),"◇","")),IF(AND(CE$5&lt;=$F136,CE$5+GanttPeriod-1&gt;=$E136),"━","")))</f>
        <v/>
      </c>
      <c r="CF136" s="69" t="str">
        <f aca="false">IF($E136="","",IF($M136,IF(AND($G136&gt;=CF$5,$G136&lt;CF$5+GanttPeriod),"◆",IF(AND($E136&gt;=CF$5,$E136&lt;CF$5+GanttPeriod),"◇","")),IF(AND(CF$5&lt;=$F136,CF$5+GanttPeriod-1&gt;=$E136),"━","")))</f>
        <v/>
      </c>
      <c r="CG136" s="69" t="str">
        <f aca="false">IF($E136="","",IF($M136,IF(AND($G136&gt;=CG$5,$G136&lt;CG$5+GanttPeriod),"◆",IF(AND($E136&gt;=CG$5,$E136&lt;CG$5+GanttPeriod),"◇","")),IF(AND(CG$5&lt;=$F136,CG$5+GanttPeriod-1&gt;=$E136),"━","")))</f>
        <v/>
      </c>
      <c r="CH136" s="69" t="str">
        <f aca="false">IF($E136="","",IF($M136,IF(AND($G136&gt;=CH$5,$G136&lt;CH$5+GanttPeriod),"◆",IF(AND($E136&gt;=CH$5,$E136&lt;CH$5+GanttPeriod),"◇","")),IF(AND(CH$5&lt;=$F136,CH$5+GanttPeriod-1&gt;=$E136),"━","")))</f>
        <v/>
      </c>
      <c r="CI136" s="69" t="str">
        <f aca="false">IF($E136="","",IF($M136,IF(AND($G136&gt;=CI$5,$G136&lt;CI$5+GanttPeriod),"◆",IF(AND($E136&gt;=CI$5,$E136&lt;CI$5+GanttPeriod),"◇","")),IF(AND(CI$5&lt;=$F136,CI$5+GanttPeriod-1&gt;=$E136),"━","")))</f>
        <v/>
      </c>
      <c r="CJ136" s="69" t="str">
        <f aca="false">IF($E136="","",IF($M136,IF(AND($G136&gt;=CJ$5,$G136&lt;CJ$5+GanttPeriod),"◆",IF(AND($E136&gt;=CJ$5,$E136&lt;CJ$5+GanttPeriod),"◇","")),IF(AND(CJ$5&lt;=$F136,CJ$5+GanttPeriod-1&gt;=$E136),"━","")))</f>
        <v/>
      </c>
      <c r="CK136" s="69" t="str">
        <f aca="false">IF($E136="","",IF($M136,IF(AND($G136&gt;=CK$5,$G136&lt;CK$5+GanttPeriod),"◆",IF(AND($E136&gt;=CK$5,$E136&lt;CK$5+GanttPeriod),"◇","")),IF(AND(CK$5&lt;=$F136,CK$5+GanttPeriod-1&gt;=$E136),"━","")))</f>
        <v/>
      </c>
      <c r="CL136" s="69" t="str">
        <f aca="false">IF($E136="","",IF($M136,IF(AND($G136&gt;=CL$5,$G136&lt;CL$5+GanttPeriod),"◆",IF(AND($E136&gt;=CL$5,$E136&lt;CL$5+GanttPeriod),"◇","")),IF(AND(CL$5&lt;=$F136,CL$5+GanttPeriod-1&gt;=$E136),"━","")))</f>
        <v/>
      </c>
      <c r="CM136" s="69" t="str">
        <f aca="false">IF($E136="","",IF($M136,IF(AND($G136&gt;=CM$5,$G136&lt;CM$5+GanttPeriod),"◆",IF(AND($E136&gt;=CM$5,$E136&lt;CM$5+GanttPeriod),"◇","")),IF(AND(CM$5&lt;=$F136,CM$5+GanttPeriod-1&gt;=$E136),"━","")))</f>
        <v/>
      </c>
      <c r="CN136" s="69" t="str">
        <f aca="false">IF($E136="","",IF($M136,IF(AND($G136&gt;=CN$5,$G136&lt;CN$5+GanttPeriod),"◆",IF(AND($E136&gt;=CN$5,$E136&lt;CN$5+GanttPeriod),"◇","")),IF(AND(CN$5&lt;=$F136,CN$5+GanttPeriod-1&gt;=$E136),"━","")))</f>
        <v/>
      </c>
      <c r="CO136" s="69" t="str">
        <f aca="false">IF($E136="","",IF($M136,IF(AND($G136&gt;=CO$5,$G136&lt;CO$5+GanttPeriod),"◆",IF(AND($E136&gt;=CO$5,$E136&lt;CO$5+GanttPeriod),"◇","")),IF(AND(CO$5&lt;=$F136,CO$5+GanttPeriod-1&gt;=$E136),"━","")))</f>
        <v/>
      </c>
      <c r="CP136" s="69" t="str">
        <f aca="false">IF($E136="","",IF($M136,IF(AND($G136&gt;=CP$5,$G136&lt;CP$5+GanttPeriod),"◆",IF(AND($E136&gt;=CP$5,$E136&lt;CP$5+GanttPeriod),"◇","")),IF(AND(CP$5&lt;=$F136,CP$5+GanttPeriod-1&gt;=$E136),"━","")))</f>
        <v/>
      </c>
      <c r="CQ136" s="69" t="str">
        <f aca="false">IF($E136="","",IF($M136,IF(AND($G136&gt;=CQ$5,$G136&lt;CQ$5+GanttPeriod),"◆",IF(AND($E136&gt;=CQ$5,$E136&lt;CQ$5+GanttPeriod),"◇","")),IF(AND(CQ$5&lt;=$F136,CQ$5+GanttPeriod-1&gt;=$E136),"━","")))</f>
        <v/>
      </c>
      <c r="CR136" s="69" t="str">
        <f aca="false">IF($E136="","",IF($M136,IF(AND($G136&gt;=CR$5,$G136&lt;CR$5+GanttPeriod),"◆",IF(AND($E136&gt;=CR$5,$E136&lt;CR$5+GanttPeriod),"◇","")),IF(AND(CR$5&lt;=$F136,CR$5+GanttPeriod-1&gt;=$E136),"━","")))</f>
        <v/>
      </c>
      <c r="CS136" s="69" t="str">
        <f aca="false">IF($E136="","",IF($M136,IF(AND($G136&gt;=CS$5,$G136&lt;CS$5+GanttPeriod),"◆",IF(AND($E136&gt;=CS$5,$E136&lt;CS$5+GanttPeriod),"◇","")),IF(AND(CS$5&lt;=$F136,CS$5+GanttPeriod-1&gt;=$E136),"━","")))</f>
        <v/>
      </c>
      <c r="CT136" s="69" t="str">
        <f aca="false">IF($E136="","",IF($M136,IF(AND($G136&gt;=CT$5,$G136&lt;CT$5+GanttPeriod),"◆",IF(AND($E136&gt;=CT$5,$E136&lt;CT$5+GanttPeriod),"◇","")),IF(AND(CT$5&lt;=$F136,CT$5+GanttPeriod-1&gt;=$E136),"━","")))</f>
        <v/>
      </c>
      <c r="CU136" s="69" t="str">
        <f aca="false">IF($E136="","",IF($M136,IF(AND($G136&gt;=CU$5,$G136&lt;CU$5+GanttPeriod),"◆",IF(AND($E136&gt;=CU$5,$E136&lt;CU$5+GanttPeriod),"◇","")),IF(AND(CU$5&lt;=$F136,CU$5+GanttPeriod-1&gt;=$E136),"━","")))</f>
        <v/>
      </c>
      <c r="CV136" s="69" t="str">
        <f aca="false">IF($E136="","",IF($M136,IF(AND($G136&gt;=CV$5,$G136&lt;CV$5+GanttPeriod),"◆",IF(AND($E136&gt;=CV$5,$E136&lt;CV$5+GanttPeriod),"◇","")),IF(AND(CV$5&lt;=$F136,CV$5+GanttPeriod-1&gt;=$E136),"━","")))</f>
        <v/>
      </c>
      <c r="CW136" s="69" t="str">
        <f aca="false">IF($E136="","",IF($M136,IF(AND($G136&gt;=CW$5,$G136&lt;CW$5+GanttPeriod),"◆",IF(AND($E136&gt;=CW$5,$E136&lt;CW$5+GanttPeriod),"◇","")),IF(AND(CW$5&lt;=$F136,CW$5+GanttPeriod-1&gt;=$E136),"━","")))</f>
        <v/>
      </c>
      <c r="CX136" s="69" t="str">
        <f aca="false">IF($E136="","",IF($M136,IF(AND($G136&gt;=CX$5,$G136&lt;CX$5+GanttPeriod),"◆",IF(AND($E136&gt;=CX$5,$E136&lt;CX$5+GanttPeriod),"◇","")),IF(AND(CX$5&lt;=$F136,CX$5+GanttPeriod-1&gt;=$E136),"━","")))</f>
        <v/>
      </c>
      <c r="CY136" s="69" t="str">
        <f aca="false">IF($E136="","",IF($M136,IF(AND($G136&gt;=CY$5,$G136&lt;CY$5+GanttPeriod),"◆",IF(AND($E136&gt;=CY$5,$E136&lt;CY$5+GanttPeriod),"◇","")),IF(AND(CY$5&lt;=$F136,CY$5+GanttPeriod-1&gt;=$E136),"━","")))</f>
        <v/>
      </c>
      <c r="CZ136" s="69" t="str">
        <f aca="false">IF($E136="","",IF($M136,IF(AND($G136&gt;=CZ$5,$G136&lt;CZ$5+GanttPeriod),"◆",IF(AND($E136&gt;=CZ$5,$E136&lt;CZ$5+GanttPeriod),"◇","")),IF(AND(CZ$5&lt;=$F136,CZ$5+GanttPeriod-1&gt;=$E136),"━","")))</f>
        <v/>
      </c>
      <c r="DA136" s="69" t="str">
        <f aca="false">IF($E136="","",IF($M136,IF(AND($G136&gt;=DA$5,$G136&lt;DA$5+GanttPeriod),"◆",IF(AND($E136&gt;=DA$5,$E136&lt;DA$5+GanttPeriod),"◇","")),IF(AND(DA$5&lt;=$F136,DA$5+GanttPeriod-1&gt;=$E136),"━","")))</f>
        <v/>
      </c>
      <c r="DB136" s="69" t="str">
        <f aca="false">IF($E136="","",IF($M136,IF(AND($G136&gt;=DB$5,$G136&lt;DB$5+GanttPeriod),"◆",IF(AND($E136&gt;=DB$5,$E136&lt;DB$5+GanttPeriod),"◇","")),IF(AND(DB$5&lt;=$F136,DB$5+GanttPeriod-1&gt;=$E136),"━","")))</f>
        <v/>
      </c>
      <c r="DC136" s="69" t="str">
        <f aca="false">IF($E136="","",IF($M136,IF(AND($G136&gt;=DC$5,$G136&lt;DC$5+GanttPeriod),"◆",IF(AND($E136&gt;=DC$5,$E136&lt;DC$5+GanttPeriod),"◇","")),IF(AND(DC$5&lt;=$F136,DC$5+GanttPeriod-1&gt;=$E136),"━","")))</f>
        <v/>
      </c>
      <c r="DD136" s="69" t="str">
        <f aca="false">IF($E136="","",IF($M136,IF(AND($G136&gt;=DD$5,$G136&lt;DD$5+GanttPeriod),"◆",IF(AND($E136&gt;=DD$5,$E136&lt;DD$5+GanttPeriod),"◇","")),IF(AND(DD$5&lt;=$F136,DD$5+GanttPeriod-1&gt;=$E136),"━","")))</f>
        <v/>
      </c>
      <c r="DE136" s="69" t="str">
        <f aca="false">IF($E136="","",IF($M136,IF(AND($G136&gt;=DE$5,$G136&lt;DE$5+GanttPeriod),"◆",IF(AND($E136&gt;=DE$5,$E136&lt;DE$5+GanttPeriod),"◇","")),IF(AND(DE$5&lt;=$F136,DE$5+GanttPeriod-1&gt;=$E136),"━","")))</f>
        <v/>
      </c>
      <c r="DF136" s="69" t="str">
        <f aca="false">IF($E136="","",IF($M136,IF(AND($G136&gt;=DF$5,$G136&lt;DF$5+GanttPeriod),"◆",IF(AND($E136&gt;=DF$5,$E136&lt;DF$5+GanttPeriod),"◇","")),IF(AND(DF$5&lt;=$F136,DF$5+GanttPeriod-1&gt;=$E136),"━","")))</f>
        <v/>
      </c>
      <c r="DG136" s="69" t="str">
        <f aca="false">IF($E136="","",IF($M136,IF(AND($G136&gt;=DG$5,$G136&lt;DG$5+GanttPeriod),"◆",IF(AND($E136&gt;=DG$5,$E136&lt;DG$5+GanttPeriod),"◇","")),IF(AND(DG$5&lt;=$F136,DG$5+GanttPeriod-1&gt;=$E136),"━","")))</f>
        <v/>
      </c>
      <c r="DH136" s="69" t="str">
        <f aca="false">IF($E136="","",IF($M136,IF(AND($G136&gt;=DH$5,$G136&lt;DH$5+GanttPeriod),"◆",IF(AND($E136&gt;=DH$5,$E136&lt;DH$5+GanttPeriod),"◇","")),IF(AND(DH$5&lt;=$F136,DH$5+GanttPeriod-1&gt;=$E136),"━","")))</f>
        <v/>
      </c>
      <c r="DI136" s="69" t="str">
        <f aca="false">IF($E136="","",IF($M136,IF(AND($G136&gt;=DI$5,$G136&lt;DI$5+GanttPeriod),"◆",IF(AND($E136&gt;=DI$5,$E136&lt;DI$5+GanttPeriod),"◇","")),IF(AND(DI$5&lt;=$F136,DI$5+GanttPeriod-1&gt;=$E136),"━","")))</f>
        <v/>
      </c>
      <c r="DJ136" s="69" t="str">
        <f aca="false">IF($E136="","",IF($M136,IF(AND($G136&gt;=DJ$5,$G136&lt;DJ$5+GanttPeriod),"◆",IF(AND($E136&gt;=DJ$5,$E136&lt;DJ$5+GanttPeriod),"◇","")),IF(AND(DJ$5&lt;=$F136,DJ$5+GanttPeriod-1&gt;=$E136),"━","")))</f>
        <v/>
      </c>
      <c r="DK136" s="69" t="str">
        <f aca="false">IF($E136="","",IF($M136,IF(AND($G136&gt;=DK$5,$G136&lt;DK$5+GanttPeriod),"◆",IF(AND($E136&gt;=DK$5,$E136&lt;DK$5+GanttPeriod),"◇","")),IF(AND(DK$5&lt;=$F136,DK$5+GanttPeriod-1&gt;=$E136),"━","")))</f>
        <v/>
      </c>
      <c r="DL136" s="69" t="str">
        <f aca="false">IF($E136="","",IF($M136,IF(AND($G136&gt;=DL$5,$G136&lt;DL$5+GanttPeriod),"◆",IF(AND($E136&gt;=DL$5,$E136&lt;DL$5+GanttPeriod),"◇","")),IF(AND(DL$5&lt;=$F136,DL$5+GanttPeriod-1&gt;=$E136),"━","")))</f>
        <v/>
      </c>
      <c r="DM136" s="69" t="str">
        <f aca="false">IF($E136="","",IF($M136,IF(AND($G136&gt;=DM$5,$G136&lt;DM$5+GanttPeriod),"◆",IF(AND($E136&gt;=DM$5,$E136&lt;DM$5+GanttPeriod),"◇","")),IF(AND(DM$5&lt;=$F136,DM$5+GanttPeriod-1&gt;=$E136),"━","")))</f>
        <v/>
      </c>
      <c r="DN136" s="69" t="str">
        <f aca="false">IF($E136="","",IF($M136,IF(AND($G136&gt;=DN$5,$G136&lt;DN$5+GanttPeriod),"◆",IF(AND($E136&gt;=DN$5,$E136&lt;DN$5+GanttPeriod),"◇","")),IF(AND(DN$5&lt;=$F136,DN$5+GanttPeriod-1&gt;=$E136),"━","")))</f>
        <v/>
      </c>
      <c r="DO136" s="69" t="str">
        <f aca="false">IF($E136="","",IF($M136,IF(AND($G136&gt;=DO$5,$G136&lt;DO$5+GanttPeriod),"◆",IF(AND($E136&gt;=DO$5,$E136&lt;DO$5+GanttPeriod),"◇","")),IF(AND(DO$5&lt;=$F136,DO$5+GanttPeriod-1&gt;=$E136),"━","")))</f>
        <v/>
      </c>
      <c r="DP136" s="69" t="str">
        <f aca="false">IF($E136="","",IF($M136,IF(AND($G136&gt;=DP$5,$G136&lt;DP$5+GanttPeriod),"◆",IF(AND($E136&gt;=DP$5,$E136&lt;DP$5+GanttPeriod),"◇","")),IF(AND(DP$5&lt;=$F136,DP$5+GanttPeriod-1&gt;=$E136),"━","")))</f>
        <v/>
      </c>
      <c r="DQ136" s="69" t="str">
        <f aca="false">IF($E136="","",IF($M136,IF(AND($G136&gt;=DQ$5,$G136&lt;DQ$5+GanttPeriod),"◆",IF(AND($E136&gt;=DQ$5,$E136&lt;DQ$5+GanttPeriod),"◇","")),IF(AND(DQ$5&lt;=$F136,DQ$5+GanttPeriod-1&gt;=$E136),"━","")))</f>
        <v/>
      </c>
      <c r="DR136" s="69" t="str">
        <f aca="false">IF($E136="","",IF($M136,IF(AND($G136&gt;=DR$5,$G136&lt;DR$5+GanttPeriod),"◆",IF(AND($E136&gt;=DR$5,$E136&lt;DR$5+GanttPeriod),"◇","")),IF(AND(DR$5&lt;=$F136,DR$5+GanttPeriod-1&gt;=$E136),"━","")))</f>
        <v/>
      </c>
      <c r="DS136" s="69" t="str">
        <f aca="false">IF($E136="","",IF($M136,IF(AND($G136&gt;=DS$5,$G136&lt;DS$5+GanttPeriod),"◆",IF(AND($E136&gt;=DS$5,$E136&lt;DS$5+GanttPeriod),"◇","")),IF(AND(DS$5&lt;=$F136,DS$5+GanttPeriod-1&gt;=$E136),"━","")))</f>
        <v/>
      </c>
      <c r="DT136" s="69" t="str">
        <f aca="false">IF($E136="","",IF($M136,IF(AND($G136&gt;=DT$5,$G136&lt;DT$5+GanttPeriod),"◆",IF(AND($E136&gt;=DT$5,$E136&lt;DT$5+GanttPeriod),"◇","")),IF(AND(DT$5&lt;=$F136,DT$5+GanttPeriod-1&gt;=$E136),"━","")))</f>
        <v/>
      </c>
      <c r="DU136" s="69" t="str">
        <f aca="false">IF($E136="","",IF($M136,IF(AND($G136&gt;=DU$5,$G136&lt;DU$5+GanttPeriod),"◆",IF(AND($E136&gt;=DU$5,$E136&lt;DU$5+GanttPeriod),"◇","")),IF(AND(DU$5&lt;=$F136,DU$5+GanttPeriod-1&gt;=$E136),"━","")))</f>
        <v/>
      </c>
      <c r="DV136" s="69" t="str">
        <f aca="false">IF($E136="","",IF($M136,IF(AND($G136&gt;=DV$5,$G136&lt;DV$5+GanttPeriod),"◆",IF(AND($E136&gt;=DV$5,$E136&lt;DV$5+GanttPeriod),"◇","")),IF(AND(DV$5&lt;=$F136,DV$5+GanttPeriod-1&gt;=$E136),"━","")))</f>
        <v/>
      </c>
      <c r="DW136" s="69" t="str">
        <f aca="false">IF($E136="","",IF($M136,IF(AND($G136&gt;=DW$5,$G136&lt;DW$5+GanttPeriod),"◆",IF(AND($E136&gt;=DW$5,$E136&lt;DW$5+GanttPeriod),"◇","")),IF(AND(DW$5&lt;=$F136,DW$5+GanttPeriod-1&gt;=$E136),"━","")))</f>
        <v/>
      </c>
      <c r="DX136" s="69" t="str">
        <f aca="false">IF($E136="","",IF($M136,IF(AND($G136&gt;=DX$5,$G136&lt;DX$5+GanttPeriod),"◆",IF(AND($E136&gt;=DX$5,$E136&lt;DX$5+GanttPeriod),"◇","")),IF(AND(DX$5&lt;=$F136,DX$5+GanttPeriod-1&gt;=$E136),"━","")))</f>
        <v/>
      </c>
      <c r="DY136" s="69" t="str">
        <f aca="false">IF($E136="","",IF($M136,IF(AND($G136&gt;=DY$5,$G136&lt;DY$5+GanttPeriod),"◆",IF(AND($E136&gt;=DY$5,$E136&lt;DY$5+GanttPeriod),"◇","")),IF(AND(DY$5&lt;=$F136,DY$5+GanttPeriod-1&gt;=$E136),"━","")))</f>
        <v/>
      </c>
      <c r="DZ136" s="69" t="str">
        <f aca="false">IF($E136="","",IF($M136,IF(AND($G136&gt;=DZ$5,$G136&lt;DZ$5+GanttPeriod),"◆",IF(AND($E136&gt;=DZ$5,$E136&lt;DZ$5+GanttPeriod),"◇","")),IF(AND(DZ$5&lt;=$F136,DZ$5+GanttPeriod-1&gt;=$E136),"━","")))</f>
        <v/>
      </c>
      <c r="EA136" s="69" t="str">
        <f aca="false">IF($E136="","",IF($M136,IF(AND($G136&gt;=EA$5,$G136&lt;EA$5+GanttPeriod),"◆",IF(AND($E136&gt;=EA$5,$E136&lt;EA$5+GanttPeriod),"◇","")),IF(AND(EA$5&lt;=$F136,EA$5+GanttPeriod-1&gt;=$E136),"━","")))</f>
        <v/>
      </c>
      <c r="EB136" s="69" t="str">
        <f aca="false">IF($E136="","",IF($M136,IF(AND($G136&gt;=EB$5,$G136&lt;EB$5+GanttPeriod),"◆",IF(AND($E136&gt;=EB$5,$E136&lt;EB$5+GanttPeriod),"◇","")),IF(AND(EB$5&lt;=$F136,EB$5+GanttPeriod-1&gt;=$E136),"━","")))</f>
        <v/>
      </c>
      <c r="EC136" s="69" t="str">
        <f aca="false">IF($E136="","",IF($M136,IF(AND($G136&gt;=EC$5,$G136&lt;EC$5+GanttPeriod),"◆",IF(AND($E136&gt;=EC$5,$E136&lt;EC$5+GanttPeriod),"◇","")),IF(AND(EC$5&lt;=$F136,EC$5+GanttPeriod-1&gt;=$E136),"━","")))</f>
        <v/>
      </c>
      <c r="ED136" s="69" t="str">
        <f aca="false">IF($E136="","",IF($M136,IF(AND($G136&gt;=ED$5,$G136&lt;ED$5+GanttPeriod),"◆",IF(AND($E136&gt;=ED$5,$E136&lt;ED$5+GanttPeriod),"◇","")),IF(AND(ED$5&lt;=$F136,ED$5+GanttPeriod-1&gt;=$E136),"━","")))</f>
        <v/>
      </c>
      <c r="EE136" s="69" t="str">
        <f aca="false">IF($E136="","",IF($M136,IF(AND($G136&gt;=EE$5,$G136&lt;EE$5+GanttPeriod),"◆",IF(AND($E136&gt;=EE$5,$E136&lt;EE$5+GanttPeriod),"◇","")),IF(AND(EE$5&lt;=$F136,EE$5+GanttPeriod-1&gt;=$E136),"━","")))</f>
        <v/>
      </c>
      <c r="EF136" s="69" t="str">
        <f aca="false">IF($E136="","",IF($M136,IF(AND($G136&gt;=EF$5,$G136&lt;EF$5+GanttPeriod),"◆",IF(AND($E136&gt;=EF$5,$E136&lt;EF$5+GanttPeriod),"◇","")),IF(AND(EF$5&lt;=$F136,EF$5+GanttPeriod-1&gt;=$E136),"━","")))</f>
        <v/>
      </c>
      <c r="EG136" s="69" t="str">
        <f aca="false">IF($E136="","",IF($M136,IF(AND($G136&gt;=EG$5,$G136&lt;EG$5+GanttPeriod),"◆",IF(AND($E136&gt;=EG$5,$E136&lt;EG$5+GanttPeriod),"◇","")),IF(AND(EG$5&lt;=$F136,EG$5+GanttPeriod-1&gt;=$E136),"━","")))</f>
        <v/>
      </c>
      <c r="EH136" s="69" t="str">
        <f aca="false">IF($E136="","",IF($M136,IF(AND($G136&gt;=EH$5,$G136&lt;EH$5+GanttPeriod),"◆",IF(AND($E136&gt;=EH$5,$E136&lt;EH$5+GanttPeriod),"◇","")),IF(AND(EH$5&lt;=$F136,EH$5+GanttPeriod-1&gt;=$E136),"━","")))</f>
        <v/>
      </c>
      <c r="EI136" s="69" t="str">
        <f aca="false">IF($E136="","",IF($M136,IF(AND($G136&gt;=EI$5,$G136&lt;EI$5+GanttPeriod),"◆",IF(AND($E136&gt;=EI$5,$E136&lt;EI$5+GanttPeriod),"◇","")),IF(AND(EI$5&lt;=$F136,EI$5+GanttPeriod-1&gt;=$E136),"━","")))</f>
        <v/>
      </c>
      <c r="EJ136" s="69" t="str">
        <f aca="false">IF($E136="","",IF($M136,IF(AND($G136&gt;=EJ$5,$G136&lt;EJ$5+GanttPeriod),"◆",IF(AND($E136&gt;=EJ$5,$E136&lt;EJ$5+GanttPeriod),"◇","")),IF(AND(EJ$5&lt;=$F136,EJ$5+GanttPeriod-1&gt;=$E136),"━","")))</f>
        <v/>
      </c>
      <c r="EK136" s="69" t="str">
        <f aca="false">IF($E136="","",IF($M136,IF(AND($G136&gt;=EK$5,$G136&lt;EK$5+GanttPeriod),"◆",IF(AND($E136&gt;=EK$5,$E136&lt;EK$5+GanttPeriod),"◇","")),IF(AND(EK$5&lt;=$F136,EK$5+GanttPeriod-1&gt;=$E136),"━","")))</f>
        <v/>
      </c>
      <c r="EL136" s="69" t="str">
        <f aca="false">IF($E136="","",IF($M136,IF(AND($G136&gt;=EL$5,$G136&lt;EL$5+GanttPeriod),"◆",IF(AND($E136&gt;=EL$5,$E136&lt;EL$5+GanttPeriod),"◇","")),IF(AND(EL$5&lt;=$F136,EL$5+GanttPeriod-1&gt;=$E136),"━","")))</f>
        <v/>
      </c>
      <c r="EM136" s="69" t="str">
        <f aca="false">IF($E136="","",IF($M136,IF(AND($G136&gt;=EM$5,$G136&lt;EM$5+GanttPeriod),"◆",IF(AND($E136&gt;=EM$5,$E136&lt;EM$5+GanttPeriod),"◇","")),IF(AND(EM$5&lt;=$F136,EM$5+GanttPeriod-1&gt;=$E136),"━","")))</f>
        <v/>
      </c>
      <c r="EN136" s="69" t="str">
        <f aca="false">IF($E136="","",IF($M136,IF(AND($G136&gt;=EN$5,$G136&lt;EN$5+GanttPeriod),"◆",IF(AND($E136&gt;=EN$5,$E136&lt;EN$5+GanttPeriod),"◇","")),IF(AND(EN$5&lt;=$F136,EN$5+GanttPeriod-1&gt;=$E136),"━","")))</f>
        <v/>
      </c>
      <c r="EO136" s="69" t="str">
        <f aca="false">IF($E136="","",IF($M136,IF(AND($G136&gt;=EO$5,$G136&lt;EO$5+GanttPeriod),"◆",IF(AND($E136&gt;=EO$5,$E136&lt;EO$5+GanttPeriod),"◇","")),IF(AND(EO$5&lt;=$F136,EO$5+GanttPeriod-1&gt;=$E136),"━","")))</f>
        <v/>
      </c>
      <c r="EP136" s="69" t="str">
        <f aca="false">IF($E136="","",IF($M136,IF(AND($G136&gt;=EP$5,$G136&lt;EP$5+GanttPeriod),"◆",IF(AND($E136&gt;=EP$5,$E136&lt;EP$5+GanttPeriod),"◇","")),IF(AND(EP$5&lt;=$F136,EP$5+GanttPeriod-1&gt;=$E136),"━","")))</f>
        <v/>
      </c>
      <c r="EQ136" s="69" t="str">
        <f aca="false">IF($E136="","",IF($M136,IF(AND($G136&gt;=EQ$5,$G136&lt;EQ$5+GanttPeriod),"◆",IF(AND($E136&gt;=EQ$5,$E136&lt;EQ$5+GanttPeriod),"◇","")),IF(AND(EQ$5&lt;=$F136,EQ$5+GanttPeriod-1&gt;=$E136),"━","")))</f>
        <v/>
      </c>
      <c r="ER136" s="69" t="str">
        <f aca="false">IF($E136="","",IF($M136,IF(AND($G136&gt;=ER$5,$G136&lt;ER$5+GanttPeriod),"◆",IF(AND($E136&gt;=ER$5,$E136&lt;ER$5+GanttPeriod),"◇","")),IF(AND(ER$5&lt;=$F136,ER$5+GanttPeriod-1&gt;=$E136),"━","")))</f>
        <v/>
      </c>
      <c r="ES136" s="69" t="str">
        <f aca="false">IF($E136="","",IF($M136,IF(AND($G136&gt;=ES$5,$G136&lt;ES$5+GanttPeriod),"◆",IF(AND($E136&gt;=ES$5,$E136&lt;ES$5+GanttPeriod),"◇","")),IF(AND(ES$5&lt;=$F136,ES$5+GanttPeriod-1&gt;=$E136),"━","")))</f>
        <v/>
      </c>
      <c r="ET136" s="69" t="str">
        <f aca="false">IF($E136="","",IF($M136,IF(AND($G136&gt;=ET$5,$G136&lt;ET$5+GanttPeriod),"◆",IF(AND($E136&gt;=ET$5,$E136&lt;ET$5+GanttPeriod),"◇","")),IF(AND(ET$5&lt;=$F136,ET$5+GanttPeriod-1&gt;=$E136),"━","")))</f>
        <v/>
      </c>
      <c r="EU136" s="69" t="str">
        <f aca="false">IF($E136="","",IF($M136,IF(AND($G136&gt;=EU$5,$G136&lt;EU$5+GanttPeriod),"◆",IF(AND($E136&gt;=EU$5,$E136&lt;EU$5+GanttPeriod),"◇","")),IF(AND(EU$5&lt;=$F136,EU$5+GanttPeriod-1&gt;=$E136),"━","")))</f>
        <v/>
      </c>
      <c r="EV136" s="69" t="str">
        <f aca="false">IF($E136="","",IF($M136,IF(AND($G136&gt;=EV$5,$G136&lt;EV$5+GanttPeriod),"◆",IF(AND($E136&gt;=EV$5,$E136&lt;EV$5+GanttPeriod),"◇","")),IF(AND(EV$5&lt;=$F136,EV$5+GanttPeriod-1&gt;=$E136),"━","")))</f>
        <v/>
      </c>
      <c r="EW136" s="69" t="str">
        <f aca="false">IF($E136="","",IF($M136,IF(AND($G136&gt;=EW$5,$G136&lt;EW$5+GanttPeriod),"◆",IF(AND($E136&gt;=EW$5,$E136&lt;EW$5+GanttPeriod),"◇","")),IF(AND(EW$5&lt;=$F136,EW$5+GanttPeriod-1&gt;=$E136),"━","")))</f>
        <v/>
      </c>
      <c r="EX136" s="69" t="str">
        <f aca="false">IF($E136="","",IF($M136,IF(AND($G136&gt;=EX$5,$G136&lt;EX$5+GanttPeriod),"◆",IF(AND($E136&gt;=EX$5,$E136&lt;EX$5+GanttPeriod),"◇","")),IF(AND(EX$5&lt;=$F136,EX$5+GanttPeriod-1&gt;=$E136),"━","")))</f>
        <v/>
      </c>
      <c r="EY136" s="69" t="str">
        <f aca="false">IF($E136="","",IF($M136,IF(AND($G136&gt;=EY$5,$G136&lt;EY$5+GanttPeriod),"◆",IF(AND($E136&gt;=EY$5,$E136&lt;EY$5+GanttPeriod),"◇","")),IF(AND(EY$5&lt;=$F136,EY$5+GanttPeriod-1&gt;=$E136),"━","")))</f>
        <v/>
      </c>
      <c r="EZ136" s="69" t="str">
        <f aca="false">IF($E136="","",IF($M136,IF(AND($G136&gt;=EZ$5,$G136&lt;EZ$5+GanttPeriod),"◆",IF(AND($E136&gt;=EZ$5,$E136&lt;EZ$5+GanttPeriod),"◇","")),IF(AND(EZ$5&lt;=$F136,EZ$5+GanttPeriod-1&gt;=$E136),"━","")))</f>
        <v/>
      </c>
      <c r="FA136" s="69" t="str">
        <f aca="false">IF($E136="","",IF($M136,IF(AND($G136&gt;=FA$5,$G136&lt;FA$5+GanttPeriod),"◆",IF(AND($E136&gt;=FA$5,$E136&lt;FA$5+GanttPeriod),"◇","")),IF(AND(FA$5&lt;=$F136,FA$5+GanttPeriod-1&gt;=$E136),"━","")))</f>
        <v/>
      </c>
      <c r="FB136" s="69" t="str">
        <f aca="false">IF($E136="","",IF($M136,IF(AND($G136&gt;=FB$5,$G136&lt;FB$5+GanttPeriod),"◆",IF(AND($E136&gt;=FB$5,$E136&lt;FB$5+GanttPeriod),"◇","")),IF(AND(FB$5&lt;=$F136,FB$5+GanttPeriod-1&gt;=$E136),"━","")))</f>
        <v/>
      </c>
      <c r="FC136" s="69" t="str">
        <f aca="false">IF($E136="","",IF($M136,IF(AND($G136&gt;=FC$5,$G136&lt;FC$5+GanttPeriod),"◆",IF(AND($E136&gt;=FC$5,$E136&lt;FC$5+GanttPeriod),"◇","")),IF(AND(FC$5&lt;=$F136,FC$5+GanttPeriod-1&gt;=$E136),"━","")))</f>
        <v/>
      </c>
      <c r="FD136" s="69" t="str">
        <f aca="false">IF($E136="","",IF($M136,IF(AND($G136&gt;=FD$5,$G136&lt;FD$5+GanttPeriod),"◆",IF(AND($E136&gt;=FD$5,$E136&lt;FD$5+GanttPeriod),"◇","")),IF(AND(FD$5&lt;=$F136,FD$5+GanttPeriod-1&gt;=$E136),"━","")))</f>
        <v/>
      </c>
      <c r="FE136" s="69" t="str">
        <f aca="false">IF($E136="","",IF($M136,IF(AND($G136&gt;=FE$5,$G136&lt;FE$5+GanttPeriod),"◆",IF(AND($E136&gt;=FE$5,$E136&lt;FE$5+GanttPeriod),"◇","")),IF(AND(FE$5&lt;=$F136,FE$5+GanttPeriod-1&gt;=$E136),"━","")))</f>
        <v/>
      </c>
      <c r="FF136" s="69" t="str">
        <f aca="false">IF($E136="","",IF($M136,IF(AND($G136&gt;=FF$5,$G136&lt;FF$5+GanttPeriod),"◆",IF(AND($E136&gt;=FF$5,$E136&lt;FF$5+GanttPeriod),"◇","")),IF(AND(FF$5&lt;=$F136,FF$5+GanttPeriod-1&gt;=$E136),"━","")))</f>
        <v/>
      </c>
      <c r="FG136" s="69" t="str">
        <f aca="false">IF($E136="","",IF($M136,IF(AND($G136&gt;=FG$5,$G136&lt;FG$5+GanttPeriod),"◆",IF(AND($E136&gt;=FG$5,$E136&lt;FG$5+GanttPeriod),"◇","")),IF(AND(FG$5&lt;=$F136,FG$5+GanttPeriod-1&gt;=$E136),"━","")))</f>
        <v/>
      </c>
      <c r="FH136" s="69" t="str">
        <f aca="false">IF($E136="","",IF($M136,IF(AND($G136&gt;=FH$5,$G136&lt;FH$5+GanttPeriod),"◆",IF(AND($E136&gt;=FH$5,$E136&lt;FH$5+GanttPeriod),"◇","")),IF(AND(FH$5&lt;=$F136,FH$5+GanttPeriod-1&gt;=$E136),"━","")))</f>
        <v/>
      </c>
      <c r="FI136" s="69" t="str">
        <f aca="false">IF($E136="","",IF($M136,IF(AND($G136&gt;=FI$5,$G136&lt;FI$5+GanttPeriod),"◆",IF(AND($E136&gt;=FI$5,$E136&lt;FI$5+GanttPeriod),"◇","")),IF(AND(FI$5&lt;=$F136,FI$5+GanttPeriod-1&gt;=$E136),"━","")))</f>
        <v/>
      </c>
      <c r="FJ136" s="69" t="str">
        <f aca="false">IF($E136="","",IF($M136,IF(AND($G136&gt;=FJ$5,$G136&lt;FJ$5+GanttPeriod),"◆",IF(AND($E136&gt;=FJ$5,$E136&lt;FJ$5+GanttPeriod),"◇","")),IF(AND(FJ$5&lt;=$F136,FJ$5+GanttPeriod-1&gt;=$E136),"━","")))</f>
        <v/>
      </c>
      <c r="FK136" s="69" t="str">
        <f aca="false">IF($E136="","",IF($M136,IF(AND($G136&gt;=FK$5,$G136&lt;FK$5+GanttPeriod),"◆",IF(AND($E136&gt;=FK$5,$E136&lt;FK$5+GanttPeriod),"◇","")),IF(AND(FK$5&lt;=$F136,FK$5+GanttPeriod-1&gt;=$E136),"━","")))</f>
        <v/>
      </c>
      <c r="FL136" s="69" t="str">
        <f aca="false">IF($E136="","",IF($M136,IF(AND($G136&gt;=FL$5,$G136&lt;FL$5+GanttPeriod),"◆",IF(AND($E136&gt;=FL$5,$E136&lt;FL$5+GanttPeriod),"◇","")),IF(AND(FL$5&lt;=$F136,FL$5+GanttPeriod-1&gt;=$E136),"━","")))</f>
        <v/>
      </c>
      <c r="FM136" s="69" t="str">
        <f aca="false">IF($E136="","",IF($M136,IF(AND($G136&gt;=FM$5,$G136&lt;FM$5+GanttPeriod),"◆",IF(AND($E136&gt;=FM$5,$E136&lt;FM$5+GanttPeriod),"◇","")),IF(AND(FM$5&lt;=$F136,FM$5+GanttPeriod-1&gt;=$E136),"━","")))</f>
        <v/>
      </c>
    </row>
    <row r="137" customFormat="false" ht="15" hidden="false" customHeight="false" outlineLevel="0" collapsed="false">
      <c r="A137" s="62" t="str">
        <f aca="false">IF(Tasks!$D137="","",Tasks!$A137)</f>
        <v/>
      </c>
      <c r="B137" s="62" t="str">
        <f aca="false">IF(Tasks!$D137="","",Tasks!$B137)</f>
        <v/>
      </c>
      <c r="C137" s="63" t="str">
        <f aca="false">IF(Tasks!$D137="","",REPT("    ",Tasks!$AE137-1)&amp;Tasks!$D137)</f>
        <v/>
      </c>
      <c r="D137" s="62" t="str">
        <f aca="false">IF(Tasks!$D137="","",IF(Tasks!$AI137,NETWORKDAYS.INTL(Tasks!$R137,Tasks!$S137,WorkWeek,Holidays),N(Tasks!$F137)))</f>
        <v/>
      </c>
      <c r="E137" s="64" t="str">
        <f aca="false">IF(Tasks!$D137="","",Tasks!$N137)</f>
        <v/>
      </c>
      <c r="F137" s="64" t="str">
        <f aca="false">IF(Tasks!$D137="","",Tasks!$O137)</f>
        <v/>
      </c>
      <c r="G137" s="64" t="str">
        <f aca="false">IF(Tasks!$D137="","",Tasks!$R137)</f>
        <v/>
      </c>
      <c r="H137" s="64" t="str">
        <f aca="false">IF(Tasks!$D137="","",Tasks!$S137)</f>
        <v/>
      </c>
      <c r="I137" s="65" t="str">
        <f aca="false">IF(Tasks!$D137="","",Tasks!$V137)</f>
        <v/>
      </c>
      <c r="J137" s="63" t="str">
        <f aca="false">IF(Tasks!$D137="","",Tasks!$X137&amp;"")</f>
        <v/>
      </c>
      <c r="K137" s="66" t="str">
        <f aca="false">IF(Tasks!$D137="","",Tasks!$W137)</f>
        <v/>
      </c>
      <c r="L137" s="67" t="b">
        <f aca="false">IF(Tasks!$D137="",FALSE(),Tasks!$AI137)</f>
        <v>0</v>
      </c>
      <c r="M137" s="67" t="b">
        <f aca="false">AND(Tasks!$AJ137=1,N(Tasks!$F137)=0)</f>
        <v>0</v>
      </c>
      <c r="N137" s="68" t="n">
        <f aca="false">IF(AND(Tasks!$AJ137=1,NOT($M137),N($I137)&gt;0),$G137,0)</f>
        <v>0</v>
      </c>
      <c r="O137" s="68" t="n">
        <f aca="false">IF($N137=0,0,IF($I137&gt;=1,$H137,MAX($N137,$G137+ROUND(($H137-$G137+1)*$I137,0)-1)))</f>
        <v>0</v>
      </c>
      <c r="P137" s="68" t="n">
        <f aca="false">IF(OR(Tasks!$AJ137&lt;&gt;1,$M137,N($I137)&gt;=1),0,IF($O137&gt;0,$O137+1,$G137))</f>
        <v>0</v>
      </c>
      <c r="Q137" s="68" t="n">
        <f aca="false">IF($P137=0,0,$H137)</f>
        <v>0</v>
      </c>
      <c r="R137" s="67" t="b">
        <f aca="false">AND(Tasks!$D137&lt;&gt;"",N(Tasks!$T137)&gt;0)</f>
        <v>0</v>
      </c>
      <c r="T137" s="69" t="str">
        <f aca="false">IF($E137="","",IF($M137,IF(AND($G137&gt;=T$5,$G137&lt;T$5+GanttPeriod),"◆",IF(AND($E137&gt;=T$5,$E137&lt;T$5+GanttPeriod),"◇","")),IF(AND(T$5&lt;=$F137,T$5+GanttPeriod-1&gt;=$E137),"━","")))</f>
        <v/>
      </c>
      <c r="U137" s="69" t="str">
        <f aca="false">IF($E137="","",IF($M137,IF(AND($G137&gt;=U$5,$G137&lt;U$5+GanttPeriod),"◆",IF(AND($E137&gt;=U$5,$E137&lt;U$5+GanttPeriod),"◇","")),IF(AND(U$5&lt;=$F137,U$5+GanttPeriod-1&gt;=$E137),"━","")))</f>
        <v/>
      </c>
      <c r="V137" s="69" t="str">
        <f aca="false">IF($E137="","",IF($M137,IF(AND($G137&gt;=V$5,$G137&lt;V$5+GanttPeriod),"◆",IF(AND($E137&gt;=V$5,$E137&lt;V$5+GanttPeriod),"◇","")),IF(AND(V$5&lt;=$F137,V$5+GanttPeriod-1&gt;=$E137),"━","")))</f>
        <v/>
      </c>
      <c r="W137" s="69" t="str">
        <f aca="false">IF($E137="","",IF($M137,IF(AND($G137&gt;=W$5,$G137&lt;W$5+GanttPeriod),"◆",IF(AND($E137&gt;=W$5,$E137&lt;W$5+GanttPeriod),"◇","")),IF(AND(W$5&lt;=$F137,W$5+GanttPeriod-1&gt;=$E137),"━","")))</f>
        <v/>
      </c>
      <c r="X137" s="69" t="str">
        <f aca="false">IF($E137="","",IF($M137,IF(AND($G137&gt;=X$5,$G137&lt;X$5+GanttPeriod),"◆",IF(AND($E137&gt;=X$5,$E137&lt;X$5+GanttPeriod),"◇","")),IF(AND(X$5&lt;=$F137,X$5+GanttPeriod-1&gt;=$E137),"━","")))</f>
        <v/>
      </c>
      <c r="Y137" s="69" t="str">
        <f aca="false">IF($E137="","",IF($M137,IF(AND($G137&gt;=Y$5,$G137&lt;Y$5+GanttPeriod),"◆",IF(AND($E137&gt;=Y$5,$E137&lt;Y$5+GanttPeriod),"◇","")),IF(AND(Y$5&lt;=$F137,Y$5+GanttPeriod-1&gt;=$E137),"━","")))</f>
        <v/>
      </c>
      <c r="Z137" s="69" t="str">
        <f aca="false">IF($E137="","",IF($M137,IF(AND($G137&gt;=Z$5,$G137&lt;Z$5+GanttPeriod),"◆",IF(AND($E137&gt;=Z$5,$E137&lt;Z$5+GanttPeriod),"◇","")),IF(AND(Z$5&lt;=$F137,Z$5+GanttPeriod-1&gt;=$E137),"━","")))</f>
        <v/>
      </c>
      <c r="AA137" s="69" t="str">
        <f aca="false">IF($E137="","",IF($M137,IF(AND($G137&gt;=AA$5,$G137&lt;AA$5+GanttPeriod),"◆",IF(AND($E137&gt;=AA$5,$E137&lt;AA$5+GanttPeriod),"◇","")),IF(AND(AA$5&lt;=$F137,AA$5+GanttPeriod-1&gt;=$E137),"━","")))</f>
        <v/>
      </c>
      <c r="AB137" s="69" t="str">
        <f aca="false">IF($E137="","",IF($M137,IF(AND($G137&gt;=AB$5,$G137&lt;AB$5+GanttPeriod),"◆",IF(AND($E137&gt;=AB$5,$E137&lt;AB$5+GanttPeriod),"◇","")),IF(AND(AB$5&lt;=$F137,AB$5+GanttPeriod-1&gt;=$E137),"━","")))</f>
        <v/>
      </c>
      <c r="AC137" s="69" t="str">
        <f aca="false">IF($E137="","",IF($M137,IF(AND($G137&gt;=AC$5,$G137&lt;AC$5+GanttPeriod),"◆",IF(AND($E137&gt;=AC$5,$E137&lt;AC$5+GanttPeriod),"◇","")),IF(AND(AC$5&lt;=$F137,AC$5+GanttPeriod-1&gt;=$E137),"━","")))</f>
        <v/>
      </c>
      <c r="AD137" s="69" t="str">
        <f aca="false">IF($E137="","",IF($M137,IF(AND($G137&gt;=AD$5,$G137&lt;AD$5+GanttPeriod),"◆",IF(AND($E137&gt;=AD$5,$E137&lt;AD$5+GanttPeriod),"◇","")),IF(AND(AD$5&lt;=$F137,AD$5+GanttPeriod-1&gt;=$E137),"━","")))</f>
        <v/>
      </c>
      <c r="AE137" s="69" t="str">
        <f aca="false">IF($E137="","",IF($M137,IF(AND($G137&gt;=AE$5,$G137&lt;AE$5+GanttPeriod),"◆",IF(AND($E137&gt;=AE$5,$E137&lt;AE$5+GanttPeriod),"◇","")),IF(AND(AE$5&lt;=$F137,AE$5+GanttPeriod-1&gt;=$E137),"━","")))</f>
        <v/>
      </c>
      <c r="AF137" s="69" t="str">
        <f aca="false">IF($E137="","",IF($M137,IF(AND($G137&gt;=AF$5,$G137&lt;AF$5+GanttPeriod),"◆",IF(AND($E137&gt;=AF$5,$E137&lt;AF$5+GanttPeriod),"◇","")),IF(AND(AF$5&lt;=$F137,AF$5+GanttPeriod-1&gt;=$E137),"━","")))</f>
        <v/>
      </c>
      <c r="AG137" s="69" t="str">
        <f aca="false">IF($E137="","",IF($M137,IF(AND($G137&gt;=AG$5,$G137&lt;AG$5+GanttPeriod),"◆",IF(AND($E137&gt;=AG$5,$E137&lt;AG$5+GanttPeriod),"◇","")),IF(AND(AG$5&lt;=$F137,AG$5+GanttPeriod-1&gt;=$E137),"━","")))</f>
        <v/>
      </c>
      <c r="AH137" s="69" t="str">
        <f aca="false">IF($E137="","",IF($M137,IF(AND($G137&gt;=AH$5,$G137&lt;AH$5+GanttPeriod),"◆",IF(AND($E137&gt;=AH$5,$E137&lt;AH$5+GanttPeriod),"◇","")),IF(AND(AH$5&lt;=$F137,AH$5+GanttPeriod-1&gt;=$E137),"━","")))</f>
        <v/>
      </c>
      <c r="AI137" s="69" t="str">
        <f aca="false">IF($E137="","",IF($M137,IF(AND($G137&gt;=AI$5,$G137&lt;AI$5+GanttPeriod),"◆",IF(AND($E137&gt;=AI$5,$E137&lt;AI$5+GanttPeriod),"◇","")),IF(AND(AI$5&lt;=$F137,AI$5+GanttPeriod-1&gt;=$E137),"━","")))</f>
        <v/>
      </c>
      <c r="AJ137" s="69" t="str">
        <f aca="false">IF($E137="","",IF($M137,IF(AND($G137&gt;=AJ$5,$G137&lt;AJ$5+GanttPeriod),"◆",IF(AND($E137&gt;=AJ$5,$E137&lt;AJ$5+GanttPeriod),"◇","")),IF(AND(AJ$5&lt;=$F137,AJ$5+GanttPeriod-1&gt;=$E137),"━","")))</f>
        <v/>
      </c>
      <c r="AK137" s="69" t="str">
        <f aca="false">IF($E137="","",IF($M137,IF(AND($G137&gt;=AK$5,$G137&lt;AK$5+GanttPeriod),"◆",IF(AND($E137&gt;=AK$5,$E137&lt;AK$5+GanttPeriod),"◇","")),IF(AND(AK$5&lt;=$F137,AK$5+GanttPeriod-1&gt;=$E137),"━","")))</f>
        <v/>
      </c>
      <c r="AL137" s="69" t="str">
        <f aca="false">IF($E137="","",IF($M137,IF(AND($G137&gt;=AL$5,$G137&lt;AL$5+GanttPeriod),"◆",IF(AND($E137&gt;=AL$5,$E137&lt;AL$5+GanttPeriod),"◇","")),IF(AND(AL$5&lt;=$F137,AL$5+GanttPeriod-1&gt;=$E137),"━","")))</f>
        <v/>
      </c>
      <c r="AM137" s="69" t="str">
        <f aca="false">IF($E137="","",IF($M137,IF(AND($G137&gt;=AM$5,$G137&lt;AM$5+GanttPeriod),"◆",IF(AND($E137&gt;=AM$5,$E137&lt;AM$5+GanttPeriod),"◇","")),IF(AND(AM$5&lt;=$F137,AM$5+GanttPeriod-1&gt;=$E137),"━","")))</f>
        <v/>
      </c>
      <c r="AN137" s="69" t="str">
        <f aca="false">IF($E137="","",IF($M137,IF(AND($G137&gt;=AN$5,$G137&lt;AN$5+GanttPeriod),"◆",IF(AND($E137&gt;=AN$5,$E137&lt;AN$5+GanttPeriod),"◇","")),IF(AND(AN$5&lt;=$F137,AN$5+GanttPeriod-1&gt;=$E137),"━","")))</f>
        <v/>
      </c>
      <c r="AO137" s="69" t="str">
        <f aca="false">IF($E137="","",IF($M137,IF(AND($G137&gt;=AO$5,$G137&lt;AO$5+GanttPeriod),"◆",IF(AND($E137&gt;=AO$5,$E137&lt;AO$5+GanttPeriod),"◇","")),IF(AND(AO$5&lt;=$F137,AO$5+GanttPeriod-1&gt;=$E137),"━","")))</f>
        <v/>
      </c>
      <c r="AP137" s="69" t="str">
        <f aca="false">IF($E137="","",IF($M137,IF(AND($G137&gt;=AP$5,$G137&lt;AP$5+GanttPeriod),"◆",IF(AND($E137&gt;=AP$5,$E137&lt;AP$5+GanttPeriod),"◇","")),IF(AND(AP$5&lt;=$F137,AP$5+GanttPeriod-1&gt;=$E137),"━","")))</f>
        <v/>
      </c>
      <c r="AQ137" s="69" t="str">
        <f aca="false">IF($E137="","",IF($M137,IF(AND($G137&gt;=AQ$5,$G137&lt;AQ$5+GanttPeriod),"◆",IF(AND($E137&gt;=AQ$5,$E137&lt;AQ$5+GanttPeriod),"◇","")),IF(AND(AQ$5&lt;=$F137,AQ$5+GanttPeriod-1&gt;=$E137),"━","")))</f>
        <v/>
      </c>
      <c r="AR137" s="69" t="str">
        <f aca="false">IF($E137="","",IF($M137,IF(AND($G137&gt;=AR$5,$G137&lt;AR$5+GanttPeriod),"◆",IF(AND($E137&gt;=AR$5,$E137&lt;AR$5+GanttPeriod),"◇","")),IF(AND(AR$5&lt;=$F137,AR$5+GanttPeriod-1&gt;=$E137),"━","")))</f>
        <v/>
      </c>
      <c r="AS137" s="69" t="str">
        <f aca="false">IF($E137="","",IF($M137,IF(AND($G137&gt;=AS$5,$G137&lt;AS$5+GanttPeriod),"◆",IF(AND($E137&gt;=AS$5,$E137&lt;AS$5+GanttPeriod),"◇","")),IF(AND(AS$5&lt;=$F137,AS$5+GanttPeriod-1&gt;=$E137),"━","")))</f>
        <v/>
      </c>
      <c r="AT137" s="69" t="str">
        <f aca="false">IF($E137="","",IF($M137,IF(AND($G137&gt;=AT$5,$G137&lt;AT$5+GanttPeriod),"◆",IF(AND($E137&gt;=AT$5,$E137&lt;AT$5+GanttPeriod),"◇","")),IF(AND(AT$5&lt;=$F137,AT$5+GanttPeriod-1&gt;=$E137),"━","")))</f>
        <v/>
      </c>
      <c r="AU137" s="69" t="str">
        <f aca="false">IF($E137="","",IF($M137,IF(AND($G137&gt;=AU$5,$G137&lt;AU$5+GanttPeriod),"◆",IF(AND($E137&gt;=AU$5,$E137&lt;AU$5+GanttPeriod),"◇","")),IF(AND(AU$5&lt;=$F137,AU$5+GanttPeriod-1&gt;=$E137),"━","")))</f>
        <v/>
      </c>
      <c r="AV137" s="69" t="str">
        <f aca="false">IF($E137="","",IF($M137,IF(AND($G137&gt;=AV$5,$G137&lt;AV$5+GanttPeriod),"◆",IF(AND($E137&gt;=AV$5,$E137&lt;AV$5+GanttPeriod),"◇","")),IF(AND(AV$5&lt;=$F137,AV$5+GanttPeriod-1&gt;=$E137),"━","")))</f>
        <v/>
      </c>
      <c r="AW137" s="69" t="str">
        <f aca="false">IF($E137="","",IF($M137,IF(AND($G137&gt;=AW$5,$G137&lt;AW$5+GanttPeriod),"◆",IF(AND($E137&gt;=AW$5,$E137&lt;AW$5+GanttPeriod),"◇","")),IF(AND(AW$5&lt;=$F137,AW$5+GanttPeriod-1&gt;=$E137),"━","")))</f>
        <v/>
      </c>
      <c r="AX137" s="69" t="str">
        <f aca="false">IF($E137="","",IF($M137,IF(AND($G137&gt;=AX$5,$G137&lt;AX$5+GanttPeriod),"◆",IF(AND($E137&gt;=AX$5,$E137&lt;AX$5+GanttPeriod),"◇","")),IF(AND(AX$5&lt;=$F137,AX$5+GanttPeriod-1&gt;=$E137),"━","")))</f>
        <v/>
      </c>
      <c r="AY137" s="69" t="str">
        <f aca="false">IF($E137="","",IF($M137,IF(AND($G137&gt;=AY$5,$G137&lt;AY$5+GanttPeriod),"◆",IF(AND($E137&gt;=AY$5,$E137&lt;AY$5+GanttPeriod),"◇","")),IF(AND(AY$5&lt;=$F137,AY$5+GanttPeriod-1&gt;=$E137),"━","")))</f>
        <v/>
      </c>
      <c r="AZ137" s="69" t="str">
        <f aca="false">IF($E137="","",IF($M137,IF(AND($G137&gt;=AZ$5,$G137&lt;AZ$5+GanttPeriod),"◆",IF(AND($E137&gt;=AZ$5,$E137&lt;AZ$5+GanttPeriod),"◇","")),IF(AND(AZ$5&lt;=$F137,AZ$5+GanttPeriod-1&gt;=$E137),"━","")))</f>
        <v/>
      </c>
      <c r="BA137" s="69" t="str">
        <f aca="false">IF($E137="","",IF($M137,IF(AND($G137&gt;=BA$5,$G137&lt;BA$5+GanttPeriod),"◆",IF(AND($E137&gt;=BA$5,$E137&lt;BA$5+GanttPeriod),"◇","")),IF(AND(BA$5&lt;=$F137,BA$5+GanttPeriod-1&gt;=$E137),"━","")))</f>
        <v/>
      </c>
      <c r="BB137" s="69" t="str">
        <f aca="false">IF($E137="","",IF($M137,IF(AND($G137&gt;=BB$5,$G137&lt;BB$5+GanttPeriod),"◆",IF(AND($E137&gt;=BB$5,$E137&lt;BB$5+GanttPeriod),"◇","")),IF(AND(BB$5&lt;=$F137,BB$5+GanttPeriod-1&gt;=$E137),"━","")))</f>
        <v/>
      </c>
      <c r="BC137" s="69" t="str">
        <f aca="false">IF($E137="","",IF($M137,IF(AND($G137&gt;=BC$5,$G137&lt;BC$5+GanttPeriod),"◆",IF(AND($E137&gt;=BC$5,$E137&lt;BC$5+GanttPeriod),"◇","")),IF(AND(BC$5&lt;=$F137,BC$5+GanttPeriod-1&gt;=$E137),"━","")))</f>
        <v/>
      </c>
      <c r="BD137" s="69" t="str">
        <f aca="false">IF($E137="","",IF($M137,IF(AND($G137&gt;=BD$5,$G137&lt;BD$5+GanttPeriod),"◆",IF(AND($E137&gt;=BD$5,$E137&lt;BD$5+GanttPeriod),"◇","")),IF(AND(BD$5&lt;=$F137,BD$5+GanttPeriod-1&gt;=$E137),"━","")))</f>
        <v/>
      </c>
      <c r="BE137" s="69" t="str">
        <f aca="false">IF($E137="","",IF($M137,IF(AND($G137&gt;=BE$5,$G137&lt;BE$5+GanttPeriod),"◆",IF(AND($E137&gt;=BE$5,$E137&lt;BE$5+GanttPeriod),"◇","")),IF(AND(BE$5&lt;=$F137,BE$5+GanttPeriod-1&gt;=$E137),"━","")))</f>
        <v/>
      </c>
      <c r="BF137" s="69" t="str">
        <f aca="false">IF($E137="","",IF($M137,IF(AND($G137&gt;=BF$5,$G137&lt;BF$5+GanttPeriod),"◆",IF(AND($E137&gt;=BF$5,$E137&lt;BF$5+GanttPeriod),"◇","")),IF(AND(BF$5&lt;=$F137,BF$5+GanttPeriod-1&gt;=$E137),"━","")))</f>
        <v/>
      </c>
      <c r="BG137" s="69" t="str">
        <f aca="false">IF($E137="","",IF($M137,IF(AND($G137&gt;=BG$5,$G137&lt;BG$5+GanttPeriod),"◆",IF(AND($E137&gt;=BG$5,$E137&lt;BG$5+GanttPeriod),"◇","")),IF(AND(BG$5&lt;=$F137,BG$5+GanttPeriod-1&gt;=$E137),"━","")))</f>
        <v/>
      </c>
      <c r="BH137" s="69" t="str">
        <f aca="false">IF($E137="","",IF($M137,IF(AND($G137&gt;=BH$5,$G137&lt;BH$5+GanttPeriod),"◆",IF(AND($E137&gt;=BH$5,$E137&lt;BH$5+GanttPeriod),"◇","")),IF(AND(BH$5&lt;=$F137,BH$5+GanttPeriod-1&gt;=$E137),"━","")))</f>
        <v/>
      </c>
      <c r="BI137" s="69" t="str">
        <f aca="false">IF($E137="","",IF($M137,IF(AND($G137&gt;=BI$5,$G137&lt;BI$5+GanttPeriod),"◆",IF(AND($E137&gt;=BI$5,$E137&lt;BI$5+GanttPeriod),"◇","")),IF(AND(BI$5&lt;=$F137,BI$5+GanttPeriod-1&gt;=$E137),"━","")))</f>
        <v/>
      </c>
      <c r="BJ137" s="69" t="str">
        <f aca="false">IF($E137="","",IF($M137,IF(AND($G137&gt;=BJ$5,$G137&lt;BJ$5+GanttPeriod),"◆",IF(AND($E137&gt;=BJ$5,$E137&lt;BJ$5+GanttPeriod),"◇","")),IF(AND(BJ$5&lt;=$F137,BJ$5+GanttPeriod-1&gt;=$E137),"━","")))</f>
        <v/>
      </c>
      <c r="BK137" s="69" t="str">
        <f aca="false">IF($E137="","",IF($M137,IF(AND($G137&gt;=BK$5,$G137&lt;BK$5+GanttPeriod),"◆",IF(AND($E137&gt;=BK$5,$E137&lt;BK$5+GanttPeriod),"◇","")),IF(AND(BK$5&lt;=$F137,BK$5+GanttPeriod-1&gt;=$E137),"━","")))</f>
        <v/>
      </c>
      <c r="BL137" s="69" t="str">
        <f aca="false">IF($E137="","",IF($M137,IF(AND($G137&gt;=BL$5,$G137&lt;BL$5+GanttPeriod),"◆",IF(AND($E137&gt;=BL$5,$E137&lt;BL$5+GanttPeriod),"◇","")),IF(AND(BL$5&lt;=$F137,BL$5+GanttPeriod-1&gt;=$E137),"━","")))</f>
        <v/>
      </c>
      <c r="BM137" s="69" t="str">
        <f aca="false">IF($E137="","",IF($M137,IF(AND($G137&gt;=BM$5,$G137&lt;BM$5+GanttPeriod),"◆",IF(AND($E137&gt;=BM$5,$E137&lt;BM$5+GanttPeriod),"◇","")),IF(AND(BM$5&lt;=$F137,BM$5+GanttPeriod-1&gt;=$E137),"━","")))</f>
        <v/>
      </c>
      <c r="BN137" s="69" t="str">
        <f aca="false">IF($E137="","",IF($M137,IF(AND($G137&gt;=BN$5,$G137&lt;BN$5+GanttPeriod),"◆",IF(AND($E137&gt;=BN$5,$E137&lt;BN$5+GanttPeriod),"◇","")),IF(AND(BN$5&lt;=$F137,BN$5+GanttPeriod-1&gt;=$E137),"━","")))</f>
        <v/>
      </c>
      <c r="BO137" s="69" t="str">
        <f aca="false">IF($E137="","",IF($M137,IF(AND($G137&gt;=BO$5,$G137&lt;BO$5+GanttPeriod),"◆",IF(AND($E137&gt;=BO$5,$E137&lt;BO$5+GanttPeriod),"◇","")),IF(AND(BO$5&lt;=$F137,BO$5+GanttPeriod-1&gt;=$E137),"━","")))</f>
        <v/>
      </c>
      <c r="BP137" s="69" t="str">
        <f aca="false">IF($E137="","",IF($M137,IF(AND($G137&gt;=BP$5,$G137&lt;BP$5+GanttPeriod),"◆",IF(AND($E137&gt;=BP$5,$E137&lt;BP$5+GanttPeriod),"◇","")),IF(AND(BP$5&lt;=$F137,BP$5+GanttPeriod-1&gt;=$E137),"━","")))</f>
        <v/>
      </c>
      <c r="BQ137" s="69" t="str">
        <f aca="false">IF($E137="","",IF($M137,IF(AND($G137&gt;=BQ$5,$G137&lt;BQ$5+GanttPeriod),"◆",IF(AND($E137&gt;=BQ$5,$E137&lt;BQ$5+GanttPeriod),"◇","")),IF(AND(BQ$5&lt;=$F137,BQ$5+GanttPeriod-1&gt;=$E137),"━","")))</f>
        <v/>
      </c>
      <c r="BR137" s="69" t="str">
        <f aca="false">IF($E137="","",IF($M137,IF(AND($G137&gt;=BR$5,$G137&lt;BR$5+GanttPeriod),"◆",IF(AND($E137&gt;=BR$5,$E137&lt;BR$5+GanttPeriod),"◇","")),IF(AND(BR$5&lt;=$F137,BR$5+GanttPeriod-1&gt;=$E137),"━","")))</f>
        <v/>
      </c>
      <c r="BS137" s="69" t="str">
        <f aca="false">IF($E137="","",IF($M137,IF(AND($G137&gt;=BS$5,$G137&lt;BS$5+GanttPeriod),"◆",IF(AND($E137&gt;=BS$5,$E137&lt;BS$5+GanttPeriod),"◇","")),IF(AND(BS$5&lt;=$F137,BS$5+GanttPeriod-1&gt;=$E137),"━","")))</f>
        <v/>
      </c>
      <c r="BT137" s="69" t="str">
        <f aca="false">IF($E137="","",IF($M137,IF(AND($G137&gt;=BT$5,$G137&lt;BT$5+GanttPeriod),"◆",IF(AND($E137&gt;=BT$5,$E137&lt;BT$5+GanttPeriod),"◇","")),IF(AND(BT$5&lt;=$F137,BT$5+GanttPeriod-1&gt;=$E137),"━","")))</f>
        <v/>
      </c>
      <c r="BU137" s="69" t="str">
        <f aca="false">IF($E137="","",IF($M137,IF(AND($G137&gt;=BU$5,$G137&lt;BU$5+GanttPeriod),"◆",IF(AND($E137&gt;=BU$5,$E137&lt;BU$5+GanttPeriod),"◇","")),IF(AND(BU$5&lt;=$F137,BU$5+GanttPeriod-1&gt;=$E137),"━","")))</f>
        <v/>
      </c>
      <c r="BV137" s="69" t="str">
        <f aca="false">IF($E137="","",IF($M137,IF(AND($G137&gt;=BV$5,$G137&lt;BV$5+GanttPeriod),"◆",IF(AND($E137&gt;=BV$5,$E137&lt;BV$5+GanttPeriod),"◇","")),IF(AND(BV$5&lt;=$F137,BV$5+GanttPeriod-1&gt;=$E137),"━","")))</f>
        <v/>
      </c>
      <c r="BW137" s="69" t="str">
        <f aca="false">IF($E137="","",IF($M137,IF(AND($G137&gt;=BW$5,$G137&lt;BW$5+GanttPeriod),"◆",IF(AND($E137&gt;=BW$5,$E137&lt;BW$5+GanttPeriod),"◇","")),IF(AND(BW$5&lt;=$F137,BW$5+GanttPeriod-1&gt;=$E137),"━","")))</f>
        <v/>
      </c>
      <c r="BX137" s="69" t="str">
        <f aca="false">IF($E137="","",IF($M137,IF(AND($G137&gt;=BX$5,$G137&lt;BX$5+GanttPeriod),"◆",IF(AND($E137&gt;=BX$5,$E137&lt;BX$5+GanttPeriod),"◇","")),IF(AND(BX$5&lt;=$F137,BX$5+GanttPeriod-1&gt;=$E137),"━","")))</f>
        <v/>
      </c>
      <c r="BY137" s="69" t="str">
        <f aca="false">IF($E137="","",IF($M137,IF(AND($G137&gt;=BY$5,$G137&lt;BY$5+GanttPeriod),"◆",IF(AND($E137&gt;=BY$5,$E137&lt;BY$5+GanttPeriod),"◇","")),IF(AND(BY$5&lt;=$F137,BY$5+GanttPeriod-1&gt;=$E137),"━","")))</f>
        <v/>
      </c>
      <c r="BZ137" s="69" t="str">
        <f aca="false">IF($E137="","",IF($M137,IF(AND($G137&gt;=BZ$5,$G137&lt;BZ$5+GanttPeriod),"◆",IF(AND($E137&gt;=BZ$5,$E137&lt;BZ$5+GanttPeriod),"◇","")),IF(AND(BZ$5&lt;=$F137,BZ$5+GanttPeriod-1&gt;=$E137),"━","")))</f>
        <v/>
      </c>
      <c r="CA137" s="69" t="str">
        <f aca="false">IF($E137="","",IF($M137,IF(AND($G137&gt;=CA$5,$G137&lt;CA$5+GanttPeriod),"◆",IF(AND($E137&gt;=CA$5,$E137&lt;CA$5+GanttPeriod),"◇","")),IF(AND(CA$5&lt;=$F137,CA$5+GanttPeriod-1&gt;=$E137),"━","")))</f>
        <v/>
      </c>
      <c r="CB137" s="69" t="str">
        <f aca="false">IF($E137="","",IF($M137,IF(AND($G137&gt;=CB$5,$G137&lt;CB$5+GanttPeriod),"◆",IF(AND($E137&gt;=CB$5,$E137&lt;CB$5+GanttPeriod),"◇","")),IF(AND(CB$5&lt;=$F137,CB$5+GanttPeriod-1&gt;=$E137),"━","")))</f>
        <v/>
      </c>
      <c r="CC137" s="69" t="str">
        <f aca="false">IF($E137="","",IF($M137,IF(AND($G137&gt;=CC$5,$G137&lt;CC$5+GanttPeriod),"◆",IF(AND($E137&gt;=CC$5,$E137&lt;CC$5+GanttPeriod),"◇","")),IF(AND(CC$5&lt;=$F137,CC$5+GanttPeriod-1&gt;=$E137),"━","")))</f>
        <v/>
      </c>
      <c r="CD137" s="69" t="str">
        <f aca="false">IF($E137="","",IF($M137,IF(AND($G137&gt;=CD$5,$G137&lt;CD$5+GanttPeriod),"◆",IF(AND($E137&gt;=CD$5,$E137&lt;CD$5+GanttPeriod),"◇","")),IF(AND(CD$5&lt;=$F137,CD$5+GanttPeriod-1&gt;=$E137),"━","")))</f>
        <v/>
      </c>
      <c r="CE137" s="69" t="str">
        <f aca="false">IF($E137="","",IF($M137,IF(AND($G137&gt;=CE$5,$G137&lt;CE$5+GanttPeriod),"◆",IF(AND($E137&gt;=CE$5,$E137&lt;CE$5+GanttPeriod),"◇","")),IF(AND(CE$5&lt;=$F137,CE$5+GanttPeriod-1&gt;=$E137),"━","")))</f>
        <v/>
      </c>
      <c r="CF137" s="69" t="str">
        <f aca="false">IF($E137="","",IF($M137,IF(AND($G137&gt;=CF$5,$G137&lt;CF$5+GanttPeriod),"◆",IF(AND($E137&gt;=CF$5,$E137&lt;CF$5+GanttPeriod),"◇","")),IF(AND(CF$5&lt;=$F137,CF$5+GanttPeriod-1&gt;=$E137),"━","")))</f>
        <v/>
      </c>
      <c r="CG137" s="69" t="str">
        <f aca="false">IF($E137="","",IF($M137,IF(AND($G137&gt;=CG$5,$G137&lt;CG$5+GanttPeriod),"◆",IF(AND($E137&gt;=CG$5,$E137&lt;CG$5+GanttPeriod),"◇","")),IF(AND(CG$5&lt;=$F137,CG$5+GanttPeriod-1&gt;=$E137),"━","")))</f>
        <v/>
      </c>
      <c r="CH137" s="69" t="str">
        <f aca="false">IF($E137="","",IF($M137,IF(AND($G137&gt;=CH$5,$G137&lt;CH$5+GanttPeriod),"◆",IF(AND($E137&gt;=CH$5,$E137&lt;CH$5+GanttPeriod),"◇","")),IF(AND(CH$5&lt;=$F137,CH$5+GanttPeriod-1&gt;=$E137),"━","")))</f>
        <v/>
      </c>
      <c r="CI137" s="69" t="str">
        <f aca="false">IF($E137="","",IF($M137,IF(AND($G137&gt;=CI$5,$G137&lt;CI$5+GanttPeriod),"◆",IF(AND($E137&gt;=CI$5,$E137&lt;CI$5+GanttPeriod),"◇","")),IF(AND(CI$5&lt;=$F137,CI$5+GanttPeriod-1&gt;=$E137),"━","")))</f>
        <v/>
      </c>
      <c r="CJ137" s="69" t="str">
        <f aca="false">IF($E137="","",IF($M137,IF(AND($G137&gt;=CJ$5,$G137&lt;CJ$5+GanttPeriod),"◆",IF(AND($E137&gt;=CJ$5,$E137&lt;CJ$5+GanttPeriod),"◇","")),IF(AND(CJ$5&lt;=$F137,CJ$5+GanttPeriod-1&gt;=$E137),"━","")))</f>
        <v/>
      </c>
      <c r="CK137" s="69" t="str">
        <f aca="false">IF($E137="","",IF($M137,IF(AND($G137&gt;=CK$5,$G137&lt;CK$5+GanttPeriod),"◆",IF(AND($E137&gt;=CK$5,$E137&lt;CK$5+GanttPeriod),"◇","")),IF(AND(CK$5&lt;=$F137,CK$5+GanttPeriod-1&gt;=$E137),"━","")))</f>
        <v/>
      </c>
      <c r="CL137" s="69" t="str">
        <f aca="false">IF($E137="","",IF($M137,IF(AND($G137&gt;=CL$5,$G137&lt;CL$5+GanttPeriod),"◆",IF(AND($E137&gt;=CL$5,$E137&lt;CL$5+GanttPeriod),"◇","")),IF(AND(CL$5&lt;=$F137,CL$5+GanttPeriod-1&gt;=$E137),"━","")))</f>
        <v/>
      </c>
      <c r="CM137" s="69" t="str">
        <f aca="false">IF($E137="","",IF($M137,IF(AND($G137&gt;=CM$5,$G137&lt;CM$5+GanttPeriod),"◆",IF(AND($E137&gt;=CM$5,$E137&lt;CM$5+GanttPeriod),"◇","")),IF(AND(CM$5&lt;=$F137,CM$5+GanttPeriod-1&gt;=$E137),"━","")))</f>
        <v/>
      </c>
      <c r="CN137" s="69" t="str">
        <f aca="false">IF($E137="","",IF($M137,IF(AND($G137&gt;=CN$5,$G137&lt;CN$5+GanttPeriod),"◆",IF(AND($E137&gt;=CN$5,$E137&lt;CN$5+GanttPeriod),"◇","")),IF(AND(CN$5&lt;=$F137,CN$5+GanttPeriod-1&gt;=$E137),"━","")))</f>
        <v/>
      </c>
      <c r="CO137" s="69" t="str">
        <f aca="false">IF($E137="","",IF($M137,IF(AND($G137&gt;=CO$5,$G137&lt;CO$5+GanttPeriod),"◆",IF(AND($E137&gt;=CO$5,$E137&lt;CO$5+GanttPeriod),"◇","")),IF(AND(CO$5&lt;=$F137,CO$5+GanttPeriod-1&gt;=$E137),"━","")))</f>
        <v/>
      </c>
      <c r="CP137" s="69" t="str">
        <f aca="false">IF($E137="","",IF($M137,IF(AND($G137&gt;=CP$5,$G137&lt;CP$5+GanttPeriod),"◆",IF(AND($E137&gt;=CP$5,$E137&lt;CP$5+GanttPeriod),"◇","")),IF(AND(CP$5&lt;=$F137,CP$5+GanttPeriod-1&gt;=$E137),"━","")))</f>
        <v/>
      </c>
      <c r="CQ137" s="69" t="str">
        <f aca="false">IF($E137="","",IF($M137,IF(AND($G137&gt;=CQ$5,$G137&lt;CQ$5+GanttPeriod),"◆",IF(AND($E137&gt;=CQ$5,$E137&lt;CQ$5+GanttPeriod),"◇","")),IF(AND(CQ$5&lt;=$F137,CQ$5+GanttPeriod-1&gt;=$E137),"━","")))</f>
        <v/>
      </c>
      <c r="CR137" s="69" t="str">
        <f aca="false">IF($E137="","",IF($M137,IF(AND($G137&gt;=CR$5,$G137&lt;CR$5+GanttPeriod),"◆",IF(AND($E137&gt;=CR$5,$E137&lt;CR$5+GanttPeriod),"◇","")),IF(AND(CR$5&lt;=$F137,CR$5+GanttPeriod-1&gt;=$E137),"━","")))</f>
        <v/>
      </c>
      <c r="CS137" s="69" t="str">
        <f aca="false">IF($E137="","",IF($M137,IF(AND($G137&gt;=CS$5,$G137&lt;CS$5+GanttPeriod),"◆",IF(AND($E137&gt;=CS$5,$E137&lt;CS$5+GanttPeriod),"◇","")),IF(AND(CS$5&lt;=$F137,CS$5+GanttPeriod-1&gt;=$E137),"━","")))</f>
        <v/>
      </c>
      <c r="CT137" s="69" t="str">
        <f aca="false">IF($E137="","",IF($M137,IF(AND($G137&gt;=CT$5,$G137&lt;CT$5+GanttPeriod),"◆",IF(AND($E137&gt;=CT$5,$E137&lt;CT$5+GanttPeriod),"◇","")),IF(AND(CT$5&lt;=$F137,CT$5+GanttPeriod-1&gt;=$E137),"━","")))</f>
        <v/>
      </c>
      <c r="CU137" s="69" t="str">
        <f aca="false">IF($E137="","",IF($M137,IF(AND($G137&gt;=CU$5,$G137&lt;CU$5+GanttPeriod),"◆",IF(AND($E137&gt;=CU$5,$E137&lt;CU$5+GanttPeriod),"◇","")),IF(AND(CU$5&lt;=$F137,CU$5+GanttPeriod-1&gt;=$E137),"━","")))</f>
        <v/>
      </c>
      <c r="CV137" s="69" t="str">
        <f aca="false">IF($E137="","",IF($M137,IF(AND($G137&gt;=CV$5,$G137&lt;CV$5+GanttPeriod),"◆",IF(AND($E137&gt;=CV$5,$E137&lt;CV$5+GanttPeriod),"◇","")),IF(AND(CV$5&lt;=$F137,CV$5+GanttPeriod-1&gt;=$E137),"━","")))</f>
        <v/>
      </c>
      <c r="CW137" s="69" t="str">
        <f aca="false">IF($E137="","",IF($M137,IF(AND($G137&gt;=CW$5,$G137&lt;CW$5+GanttPeriod),"◆",IF(AND($E137&gt;=CW$5,$E137&lt;CW$5+GanttPeriod),"◇","")),IF(AND(CW$5&lt;=$F137,CW$5+GanttPeriod-1&gt;=$E137),"━","")))</f>
        <v/>
      </c>
      <c r="CX137" s="69" t="str">
        <f aca="false">IF($E137="","",IF($M137,IF(AND($G137&gt;=CX$5,$G137&lt;CX$5+GanttPeriod),"◆",IF(AND($E137&gt;=CX$5,$E137&lt;CX$5+GanttPeriod),"◇","")),IF(AND(CX$5&lt;=$F137,CX$5+GanttPeriod-1&gt;=$E137),"━","")))</f>
        <v/>
      </c>
      <c r="CY137" s="69" t="str">
        <f aca="false">IF($E137="","",IF($M137,IF(AND($G137&gt;=CY$5,$G137&lt;CY$5+GanttPeriod),"◆",IF(AND($E137&gt;=CY$5,$E137&lt;CY$5+GanttPeriod),"◇","")),IF(AND(CY$5&lt;=$F137,CY$5+GanttPeriod-1&gt;=$E137),"━","")))</f>
        <v/>
      </c>
      <c r="CZ137" s="69" t="str">
        <f aca="false">IF($E137="","",IF($M137,IF(AND($G137&gt;=CZ$5,$G137&lt;CZ$5+GanttPeriod),"◆",IF(AND($E137&gt;=CZ$5,$E137&lt;CZ$5+GanttPeriod),"◇","")),IF(AND(CZ$5&lt;=$F137,CZ$5+GanttPeriod-1&gt;=$E137),"━","")))</f>
        <v/>
      </c>
      <c r="DA137" s="69" t="str">
        <f aca="false">IF($E137="","",IF($M137,IF(AND($G137&gt;=DA$5,$G137&lt;DA$5+GanttPeriod),"◆",IF(AND($E137&gt;=DA$5,$E137&lt;DA$5+GanttPeriod),"◇","")),IF(AND(DA$5&lt;=$F137,DA$5+GanttPeriod-1&gt;=$E137),"━","")))</f>
        <v/>
      </c>
      <c r="DB137" s="69" t="str">
        <f aca="false">IF($E137="","",IF($M137,IF(AND($G137&gt;=DB$5,$G137&lt;DB$5+GanttPeriod),"◆",IF(AND($E137&gt;=DB$5,$E137&lt;DB$5+GanttPeriod),"◇","")),IF(AND(DB$5&lt;=$F137,DB$5+GanttPeriod-1&gt;=$E137),"━","")))</f>
        <v/>
      </c>
      <c r="DC137" s="69" t="str">
        <f aca="false">IF($E137="","",IF($M137,IF(AND($G137&gt;=DC$5,$G137&lt;DC$5+GanttPeriod),"◆",IF(AND($E137&gt;=DC$5,$E137&lt;DC$5+GanttPeriod),"◇","")),IF(AND(DC$5&lt;=$F137,DC$5+GanttPeriod-1&gt;=$E137),"━","")))</f>
        <v/>
      </c>
      <c r="DD137" s="69" t="str">
        <f aca="false">IF($E137="","",IF($M137,IF(AND($G137&gt;=DD$5,$G137&lt;DD$5+GanttPeriod),"◆",IF(AND($E137&gt;=DD$5,$E137&lt;DD$5+GanttPeriod),"◇","")),IF(AND(DD$5&lt;=$F137,DD$5+GanttPeriod-1&gt;=$E137),"━","")))</f>
        <v/>
      </c>
      <c r="DE137" s="69" t="str">
        <f aca="false">IF($E137="","",IF($M137,IF(AND($G137&gt;=DE$5,$G137&lt;DE$5+GanttPeriod),"◆",IF(AND($E137&gt;=DE$5,$E137&lt;DE$5+GanttPeriod),"◇","")),IF(AND(DE$5&lt;=$F137,DE$5+GanttPeriod-1&gt;=$E137),"━","")))</f>
        <v/>
      </c>
      <c r="DF137" s="69" t="str">
        <f aca="false">IF($E137="","",IF($M137,IF(AND($G137&gt;=DF$5,$G137&lt;DF$5+GanttPeriod),"◆",IF(AND($E137&gt;=DF$5,$E137&lt;DF$5+GanttPeriod),"◇","")),IF(AND(DF$5&lt;=$F137,DF$5+GanttPeriod-1&gt;=$E137),"━","")))</f>
        <v/>
      </c>
      <c r="DG137" s="69" t="str">
        <f aca="false">IF($E137="","",IF($M137,IF(AND($G137&gt;=DG$5,$G137&lt;DG$5+GanttPeriod),"◆",IF(AND($E137&gt;=DG$5,$E137&lt;DG$5+GanttPeriod),"◇","")),IF(AND(DG$5&lt;=$F137,DG$5+GanttPeriod-1&gt;=$E137),"━","")))</f>
        <v/>
      </c>
      <c r="DH137" s="69" t="str">
        <f aca="false">IF($E137="","",IF($M137,IF(AND($G137&gt;=DH$5,$G137&lt;DH$5+GanttPeriod),"◆",IF(AND($E137&gt;=DH$5,$E137&lt;DH$5+GanttPeriod),"◇","")),IF(AND(DH$5&lt;=$F137,DH$5+GanttPeriod-1&gt;=$E137),"━","")))</f>
        <v/>
      </c>
      <c r="DI137" s="69" t="str">
        <f aca="false">IF($E137="","",IF($M137,IF(AND($G137&gt;=DI$5,$G137&lt;DI$5+GanttPeriod),"◆",IF(AND($E137&gt;=DI$5,$E137&lt;DI$5+GanttPeriod),"◇","")),IF(AND(DI$5&lt;=$F137,DI$5+GanttPeriod-1&gt;=$E137),"━","")))</f>
        <v/>
      </c>
      <c r="DJ137" s="69" t="str">
        <f aca="false">IF($E137="","",IF($M137,IF(AND($G137&gt;=DJ$5,$G137&lt;DJ$5+GanttPeriod),"◆",IF(AND($E137&gt;=DJ$5,$E137&lt;DJ$5+GanttPeriod),"◇","")),IF(AND(DJ$5&lt;=$F137,DJ$5+GanttPeriod-1&gt;=$E137),"━","")))</f>
        <v/>
      </c>
      <c r="DK137" s="69" t="str">
        <f aca="false">IF($E137="","",IF($M137,IF(AND($G137&gt;=DK$5,$G137&lt;DK$5+GanttPeriod),"◆",IF(AND($E137&gt;=DK$5,$E137&lt;DK$5+GanttPeriod),"◇","")),IF(AND(DK$5&lt;=$F137,DK$5+GanttPeriod-1&gt;=$E137),"━","")))</f>
        <v/>
      </c>
      <c r="DL137" s="69" t="str">
        <f aca="false">IF($E137="","",IF($M137,IF(AND($G137&gt;=DL$5,$G137&lt;DL$5+GanttPeriod),"◆",IF(AND($E137&gt;=DL$5,$E137&lt;DL$5+GanttPeriod),"◇","")),IF(AND(DL$5&lt;=$F137,DL$5+GanttPeriod-1&gt;=$E137),"━","")))</f>
        <v/>
      </c>
      <c r="DM137" s="69" t="str">
        <f aca="false">IF($E137="","",IF($M137,IF(AND($G137&gt;=DM$5,$G137&lt;DM$5+GanttPeriod),"◆",IF(AND($E137&gt;=DM$5,$E137&lt;DM$5+GanttPeriod),"◇","")),IF(AND(DM$5&lt;=$F137,DM$5+GanttPeriod-1&gt;=$E137),"━","")))</f>
        <v/>
      </c>
      <c r="DN137" s="69" t="str">
        <f aca="false">IF($E137="","",IF($M137,IF(AND($G137&gt;=DN$5,$G137&lt;DN$5+GanttPeriod),"◆",IF(AND($E137&gt;=DN$5,$E137&lt;DN$5+GanttPeriod),"◇","")),IF(AND(DN$5&lt;=$F137,DN$5+GanttPeriod-1&gt;=$E137),"━","")))</f>
        <v/>
      </c>
      <c r="DO137" s="69" t="str">
        <f aca="false">IF($E137="","",IF($M137,IF(AND($G137&gt;=DO$5,$G137&lt;DO$5+GanttPeriod),"◆",IF(AND($E137&gt;=DO$5,$E137&lt;DO$5+GanttPeriod),"◇","")),IF(AND(DO$5&lt;=$F137,DO$5+GanttPeriod-1&gt;=$E137),"━","")))</f>
        <v/>
      </c>
      <c r="DP137" s="69" t="str">
        <f aca="false">IF($E137="","",IF($M137,IF(AND($G137&gt;=DP$5,$G137&lt;DP$5+GanttPeriod),"◆",IF(AND($E137&gt;=DP$5,$E137&lt;DP$5+GanttPeriod),"◇","")),IF(AND(DP$5&lt;=$F137,DP$5+GanttPeriod-1&gt;=$E137),"━","")))</f>
        <v/>
      </c>
      <c r="DQ137" s="69" t="str">
        <f aca="false">IF($E137="","",IF($M137,IF(AND($G137&gt;=DQ$5,$G137&lt;DQ$5+GanttPeriod),"◆",IF(AND($E137&gt;=DQ$5,$E137&lt;DQ$5+GanttPeriod),"◇","")),IF(AND(DQ$5&lt;=$F137,DQ$5+GanttPeriod-1&gt;=$E137),"━","")))</f>
        <v/>
      </c>
      <c r="DR137" s="69" t="str">
        <f aca="false">IF($E137="","",IF($M137,IF(AND($G137&gt;=DR$5,$G137&lt;DR$5+GanttPeriod),"◆",IF(AND($E137&gt;=DR$5,$E137&lt;DR$5+GanttPeriod),"◇","")),IF(AND(DR$5&lt;=$F137,DR$5+GanttPeriod-1&gt;=$E137),"━","")))</f>
        <v/>
      </c>
      <c r="DS137" s="69" t="str">
        <f aca="false">IF($E137="","",IF($M137,IF(AND($G137&gt;=DS$5,$G137&lt;DS$5+GanttPeriod),"◆",IF(AND($E137&gt;=DS$5,$E137&lt;DS$5+GanttPeriod),"◇","")),IF(AND(DS$5&lt;=$F137,DS$5+GanttPeriod-1&gt;=$E137),"━","")))</f>
        <v/>
      </c>
      <c r="DT137" s="69" t="str">
        <f aca="false">IF($E137="","",IF($M137,IF(AND($G137&gt;=DT$5,$G137&lt;DT$5+GanttPeriod),"◆",IF(AND($E137&gt;=DT$5,$E137&lt;DT$5+GanttPeriod),"◇","")),IF(AND(DT$5&lt;=$F137,DT$5+GanttPeriod-1&gt;=$E137),"━","")))</f>
        <v/>
      </c>
      <c r="DU137" s="69" t="str">
        <f aca="false">IF($E137="","",IF($M137,IF(AND($G137&gt;=DU$5,$G137&lt;DU$5+GanttPeriod),"◆",IF(AND($E137&gt;=DU$5,$E137&lt;DU$5+GanttPeriod),"◇","")),IF(AND(DU$5&lt;=$F137,DU$5+GanttPeriod-1&gt;=$E137),"━","")))</f>
        <v/>
      </c>
      <c r="DV137" s="69" t="str">
        <f aca="false">IF($E137="","",IF($M137,IF(AND($G137&gt;=DV$5,$G137&lt;DV$5+GanttPeriod),"◆",IF(AND($E137&gt;=DV$5,$E137&lt;DV$5+GanttPeriod),"◇","")),IF(AND(DV$5&lt;=$F137,DV$5+GanttPeriod-1&gt;=$E137),"━","")))</f>
        <v/>
      </c>
      <c r="DW137" s="69" t="str">
        <f aca="false">IF($E137="","",IF($M137,IF(AND($G137&gt;=DW$5,$G137&lt;DW$5+GanttPeriod),"◆",IF(AND($E137&gt;=DW$5,$E137&lt;DW$5+GanttPeriod),"◇","")),IF(AND(DW$5&lt;=$F137,DW$5+GanttPeriod-1&gt;=$E137),"━","")))</f>
        <v/>
      </c>
      <c r="DX137" s="69" t="str">
        <f aca="false">IF($E137="","",IF($M137,IF(AND($G137&gt;=DX$5,$G137&lt;DX$5+GanttPeriod),"◆",IF(AND($E137&gt;=DX$5,$E137&lt;DX$5+GanttPeriod),"◇","")),IF(AND(DX$5&lt;=$F137,DX$5+GanttPeriod-1&gt;=$E137),"━","")))</f>
        <v/>
      </c>
      <c r="DY137" s="69" t="str">
        <f aca="false">IF($E137="","",IF($M137,IF(AND($G137&gt;=DY$5,$G137&lt;DY$5+GanttPeriod),"◆",IF(AND($E137&gt;=DY$5,$E137&lt;DY$5+GanttPeriod),"◇","")),IF(AND(DY$5&lt;=$F137,DY$5+GanttPeriod-1&gt;=$E137),"━","")))</f>
        <v/>
      </c>
      <c r="DZ137" s="69" t="str">
        <f aca="false">IF($E137="","",IF($M137,IF(AND($G137&gt;=DZ$5,$G137&lt;DZ$5+GanttPeriod),"◆",IF(AND($E137&gt;=DZ$5,$E137&lt;DZ$5+GanttPeriod),"◇","")),IF(AND(DZ$5&lt;=$F137,DZ$5+GanttPeriod-1&gt;=$E137),"━","")))</f>
        <v/>
      </c>
      <c r="EA137" s="69" t="str">
        <f aca="false">IF($E137="","",IF($M137,IF(AND($G137&gt;=EA$5,$G137&lt;EA$5+GanttPeriod),"◆",IF(AND($E137&gt;=EA$5,$E137&lt;EA$5+GanttPeriod),"◇","")),IF(AND(EA$5&lt;=$F137,EA$5+GanttPeriod-1&gt;=$E137),"━","")))</f>
        <v/>
      </c>
      <c r="EB137" s="69" t="str">
        <f aca="false">IF($E137="","",IF($M137,IF(AND($G137&gt;=EB$5,$G137&lt;EB$5+GanttPeriod),"◆",IF(AND($E137&gt;=EB$5,$E137&lt;EB$5+GanttPeriod),"◇","")),IF(AND(EB$5&lt;=$F137,EB$5+GanttPeriod-1&gt;=$E137),"━","")))</f>
        <v/>
      </c>
      <c r="EC137" s="69" t="str">
        <f aca="false">IF($E137="","",IF($M137,IF(AND($G137&gt;=EC$5,$G137&lt;EC$5+GanttPeriod),"◆",IF(AND($E137&gt;=EC$5,$E137&lt;EC$5+GanttPeriod),"◇","")),IF(AND(EC$5&lt;=$F137,EC$5+GanttPeriod-1&gt;=$E137),"━","")))</f>
        <v/>
      </c>
      <c r="ED137" s="69" t="str">
        <f aca="false">IF($E137="","",IF($M137,IF(AND($G137&gt;=ED$5,$G137&lt;ED$5+GanttPeriod),"◆",IF(AND($E137&gt;=ED$5,$E137&lt;ED$5+GanttPeriod),"◇","")),IF(AND(ED$5&lt;=$F137,ED$5+GanttPeriod-1&gt;=$E137),"━","")))</f>
        <v/>
      </c>
      <c r="EE137" s="69" t="str">
        <f aca="false">IF($E137="","",IF($M137,IF(AND($G137&gt;=EE$5,$G137&lt;EE$5+GanttPeriod),"◆",IF(AND($E137&gt;=EE$5,$E137&lt;EE$5+GanttPeriod),"◇","")),IF(AND(EE$5&lt;=$F137,EE$5+GanttPeriod-1&gt;=$E137),"━","")))</f>
        <v/>
      </c>
      <c r="EF137" s="69" t="str">
        <f aca="false">IF($E137="","",IF($M137,IF(AND($G137&gt;=EF$5,$G137&lt;EF$5+GanttPeriod),"◆",IF(AND($E137&gt;=EF$5,$E137&lt;EF$5+GanttPeriod),"◇","")),IF(AND(EF$5&lt;=$F137,EF$5+GanttPeriod-1&gt;=$E137),"━","")))</f>
        <v/>
      </c>
      <c r="EG137" s="69" t="str">
        <f aca="false">IF($E137="","",IF($M137,IF(AND($G137&gt;=EG$5,$G137&lt;EG$5+GanttPeriod),"◆",IF(AND($E137&gt;=EG$5,$E137&lt;EG$5+GanttPeriod),"◇","")),IF(AND(EG$5&lt;=$F137,EG$5+GanttPeriod-1&gt;=$E137),"━","")))</f>
        <v/>
      </c>
      <c r="EH137" s="69" t="str">
        <f aca="false">IF($E137="","",IF($M137,IF(AND($G137&gt;=EH$5,$G137&lt;EH$5+GanttPeriod),"◆",IF(AND($E137&gt;=EH$5,$E137&lt;EH$5+GanttPeriod),"◇","")),IF(AND(EH$5&lt;=$F137,EH$5+GanttPeriod-1&gt;=$E137),"━","")))</f>
        <v/>
      </c>
      <c r="EI137" s="69" t="str">
        <f aca="false">IF($E137="","",IF($M137,IF(AND($G137&gt;=EI$5,$G137&lt;EI$5+GanttPeriod),"◆",IF(AND($E137&gt;=EI$5,$E137&lt;EI$5+GanttPeriod),"◇","")),IF(AND(EI$5&lt;=$F137,EI$5+GanttPeriod-1&gt;=$E137),"━","")))</f>
        <v/>
      </c>
      <c r="EJ137" s="69" t="str">
        <f aca="false">IF($E137="","",IF($M137,IF(AND($G137&gt;=EJ$5,$G137&lt;EJ$5+GanttPeriod),"◆",IF(AND($E137&gt;=EJ$5,$E137&lt;EJ$5+GanttPeriod),"◇","")),IF(AND(EJ$5&lt;=$F137,EJ$5+GanttPeriod-1&gt;=$E137),"━","")))</f>
        <v/>
      </c>
      <c r="EK137" s="69" t="str">
        <f aca="false">IF($E137="","",IF($M137,IF(AND($G137&gt;=EK$5,$G137&lt;EK$5+GanttPeriod),"◆",IF(AND($E137&gt;=EK$5,$E137&lt;EK$5+GanttPeriod),"◇","")),IF(AND(EK$5&lt;=$F137,EK$5+GanttPeriod-1&gt;=$E137),"━","")))</f>
        <v/>
      </c>
      <c r="EL137" s="69" t="str">
        <f aca="false">IF($E137="","",IF($M137,IF(AND($G137&gt;=EL$5,$G137&lt;EL$5+GanttPeriod),"◆",IF(AND($E137&gt;=EL$5,$E137&lt;EL$5+GanttPeriod),"◇","")),IF(AND(EL$5&lt;=$F137,EL$5+GanttPeriod-1&gt;=$E137),"━","")))</f>
        <v/>
      </c>
      <c r="EM137" s="69" t="str">
        <f aca="false">IF($E137="","",IF($M137,IF(AND($G137&gt;=EM$5,$G137&lt;EM$5+GanttPeriod),"◆",IF(AND($E137&gt;=EM$5,$E137&lt;EM$5+GanttPeriod),"◇","")),IF(AND(EM$5&lt;=$F137,EM$5+GanttPeriod-1&gt;=$E137),"━","")))</f>
        <v/>
      </c>
      <c r="EN137" s="69" t="str">
        <f aca="false">IF($E137="","",IF($M137,IF(AND($G137&gt;=EN$5,$G137&lt;EN$5+GanttPeriod),"◆",IF(AND($E137&gt;=EN$5,$E137&lt;EN$5+GanttPeriod),"◇","")),IF(AND(EN$5&lt;=$F137,EN$5+GanttPeriod-1&gt;=$E137),"━","")))</f>
        <v/>
      </c>
      <c r="EO137" s="69" t="str">
        <f aca="false">IF($E137="","",IF($M137,IF(AND($G137&gt;=EO$5,$G137&lt;EO$5+GanttPeriod),"◆",IF(AND($E137&gt;=EO$5,$E137&lt;EO$5+GanttPeriod),"◇","")),IF(AND(EO$5&lt;=$F137,EO$5+GanttPeriod-1&gt;=$E137),"━","")))</f>
        <v/>
      </c>
      <c r="EP137" s="69" t="str">
        <f aca="false">IF($E137="","",IF($M137,IF(AND($G137&gt;=EP$5,$G137&lt;EP$5+GanttPeriod),"◆",IF(AND($E137&gt;=EP$5,$E137&lt;EP$5+GanttPeriod),"◇","")),IF(AND(EP$5&lt;=$F137,EP$5+GanttPeriod-1&gt;=$E137),"━","")))</f>
        <v/>
      </c>
      <c r="EQ137" s="69" t="str">
        <f aca="false">IF($E137="","",IF($M137,IF(AND($G137&gt;=EQ$5,$G137&lt;EQ$5+GanttPeriod),"◆",IF(AND($E137&gt;=EQ$5,$E137&lt;EQ$5+GanttPeriod),"◇","")),IF(AND(EQ$5&lt;=$F137,EQ$5+GanttPeriod-1&gt;=$E137),"━","")))</f>
        <v/>
      </c>
      <c r="ER137" s="69" t="str">
        <f aca="false">IF($E137="","",IF($M137,IF(AND($G137&gt;=ER$5,$G137&lt;ER$5+GanttPeriod),"◆",IF(AND($E137&gt;=ER$5,$E137&lt;ER$5+GanttPeriod),"◇","")),IF(AND(ER$5&lt;=$F137,ER$5+GanttPeriod-1&gt;=$E137),"━","")))</f>
        <v/>
      </c>
      <c r="ES137" s="69" t="str">
        <f aca="false">IF($E137="","",IF($M137,IF(AND($G137&gt;=ES$5,$G137&lt;ES$5+GanttPeriod),"◆",IF(AND($E137&gt;=ES$5,$E137&lt;ES$5+GanttPeriod),"◇","")),IF(AND(ES$5&lt;=$F137,ES$5+GanttPeriod-1&gt;=$E137),"━","")))</f>
        <v/>
      </c>
      <c r="ET137" s="69" t="str">
        <f aca="false">IF($E137="","",IF($M137,IF(AND($G137&gt;=ET$5,$G137&lt;ET$5+GanttPeriod),"◆",IF(AND($E137&gt;=ET$5,$E137&lt;ET$5+GanttPeriod),"◇","")),IF(AND(ET$5&lt;=$F137,ET$5+GanttPeriod-1&gt;=$E137),"━","")))</f>
        <v/>
      </c>
      <c r="EU137" s="69" t="str">
        <f aca="false">IF($E137="","",IF($M137,IF(AND($G137&gt;=EU$5,$G137&lt;EU$5+GanttPeriod),"◆",IF(AND($E137&gt;=EU$5,$E137&lt;EU$5+GanttPeriod),"◇","")),IF(AND(EU$5&lt;=$F137,EU$5+GanttPeriod-1&gt;=$E137),"━","")))</f>
        <v/>
      </c>
      <c r="EV137" s="69" t="str">
        <f aca="false">IF($E137="","",IF($M137,IF(AND($G137&gt;=EV$5,$G137&lt;EV$5+GanttPeriod),"◆",IF(AND($E137&gt;=EV$5,$E137&lt;EV$5+GanttPeriod),"◇","")),IF(AND(EV$5&lt;=$F137,EV$5+GanttPeriod-1&gt;=$E137),"━","")))</f>
        <v/>
      </c>
      <c r="EW137" s="69" t="str">
        <f aca="false">IF($E137="","",IF($M137,IF(AND($G137&gt;=EW$5,$G137&lt;EW$5+GanttPeriod),"◆",IF(AND($E137&gt;=EW$5,$E137&lt;EW$5+GanttPeriod),"◇","")),IF(AND(EW$5&lt;=$F137,EW$5+GanttPeriod-1&gt;=$E137),"━","")))</f>
        <v/>
      </c>
      <c r="EX137" s="69" t="str">
        <f aca="false">IF($E137="","",IF($M137,IF(AND($G137&gt;=EX$5,$G137&lt;EX$5+GanttPeriod),"◆",IF(AND($E137&gt;=EX$5,$E137&lt;EX$5+GanttPeriod),"◇","")),IF(AND(EX$5&lt;=$F137,EX$5+GanttPeriod-1&gt;=$E137),"━","")))</f>
        <v/>
      </c>
      <c r="EY137" s="69" t="str">
        <f aca="false">IF($E137="","",IF($M137,IF(AND($G137&gt;=EY$5,$G137&lt;EY$5+GanttPeriod),"◆",IF(AND($E137&gt;=EY$5,$E137&lt;EY$5+GanttPeriod),"◇","")),IF(AND(EY$5&lt;=$F137,EY$5+GanttPeriod-1&gt;=$E137),"━","")))</f>
        <v/>
      </c>
      <c r="EZ137" s="69" t="str">
        <f aca="false">IF($E137="","",IF($M137,IF(AND($G137&gt;=EZ$5,$G137&lt;EZ$5+GanttPeriod),"◆",IF(AND($E137&gt;=EZ$5,$E137&lt;EZ$5+GanttPeriod),"◇","")),IF(AND(EZ$5&lt;=$F137,EZ$5+GanttPeriod-1&gt;=$E137),"━","")))</f>
        <v/>
      </c>
      <c r="FA137" s="69" t="str">
        <f aca="false">IF($E137="","",IF($M137,IF(AND($G137&gt;=FA$5,$G137&lt;FA$5+GanttPeriod),"◆",IF(AND($E137&gt;=FA$5,$E137&lt;FA$5+GanttPeriod),"◇","")),IF(AND(FA$5&lt;=$F137,FA$5+GanttPeriod-1&gt;=$E137),"━","")))</f>
        <v/>
      </c>
      <c r="FB137" s="69" t="str">
        <f aca="false">IF($E137="","",IF($M137,IF(AND($G137&gt;=FB$5,$G137&lt;FB$5+GanttPeriod),"◆",IF(AND($E137&gt;=FB$5,$E137&lt;FB$5+GanttPeriod),"◇","")),IF(AND(FB$5&lt;=$F137,FB$5+GanttPeriod-1&gt;=$E137),"━","")))</f>
        <v/>
      </c>
      <c r="FC137" s="69" t="str">
        <f aca="false">IF($E137="","",IF($M137,IF(AND($G137&gt;=FC$5,$G137&lt;FC$5+GanttPeriod),"◆",IF(AND($E137&gt;=FC$5,$E137&lt;FC$5+GanttPeriod),"◇","")),IF(AND(FC$5&lt;=$F137,FC$5+GanttPeriod-1&gt;=$E137),"━","")))</f>
        <v/>
      </c>
      <c r="FD137" s="69" t="str">
        <f aca="false">IF($E137="","",IF($M137,IF(AND($G137&gt;=FD$5,$G137&lt;FD$5+GanttPeriod),"◆",IF(AND($E137&gt;=FD$5,$E137&lt;FD$5+GanttPeriod),"◇","")),IF(AND(FD$5&lt;=$F137,FD$5+GanttPeriod-1&gt;=$E137),"━","")))</f>
        <v/>
      </c>
      <c r="FE137" s="69" t="str">
        <f aca="false">IF($E137="","",IF($M137,IF(AND($G137&gt;=FE$5,$G137&lt;FE$5+GanttPeriod),"◆",IF(AND($E137&gt;=FE$5,$E137&lt;FE$5+GanttPeriod),"◇","")),IF(AND(FE$5&lt;=$F137,FE$5+GanttPeriod-1&gt;=$E137),"━","")))</f>
        <v/>
      </c>
      <c r="FF137" s="69" t="str">
        <f aca="false">IF($E137="","",IF($M137,IF(AND($G137&gt;=FF$5,$G137&lt;FF$5+GanttPeriod),"◆",IF(AND($E137&gt;=FF$5,$E137&lt;FF$5+GanttPeriod),"◇","")),IF(AND(FF$5&lt;=$F137,FF$5+GanttPeriod-1&gt;=$E137),"━","")))</f>
        <v/>
      </c>
      <c r="FG137" s="69" t="str">
        <f aca="false">IF($E137="","",IF($M137,IF(AND($G137&gt;=FG$5,$G137&lt;FG$5+GanttPeriod),"◆",IF(AND($E137&gt;=FG$5,$E137&lt;FG$5+GanttPeriod),"◇","")),IF(AND(FG$5&lt;=$F137,FG$5+GanttPeriod-1&gt;=$E137),"━","")))</f>
        <v/>
      </c>
      <c r="FH137" s="69" t="str">
        <f aca="false">IF($E137="","",IF($M137,IF(AND($G137&gt;=FH$5,$G137&lt;FH$5+GanttPeriod),"◆",IF(AND($E137&gt;=FH$5,$E137&lt;FH$5+GanttPeriod),"◇","")),IF(AND(FH$5&lt;=$F137,FH$5+GanttPeriod-1&gt;=$E137),"━","")))</f>
        <v/>
      </c>
      <c r="FI137" s="69" t="str">
        <f aca="false">IF($E137="","",IF($M137,IF(AND($G137&gt;=FI$5,$G137&lt;FI$5+GanttPeriod),"◆",IF(AND($E137&gt;=FI$5,$E137&lt;FI$5+GanttPeriod),"◇","")),IF(AND(FI$5&lt;=$F137,FI$5+GanttPeriod-1&gt;=$E137),"━","")))</f>
        <v/>
      </c>
      <c r="FJ137" s="69" t="str">
        <f aca="false">IF($E137="","",IF($M137,IF(AND($G137&gt;=FJ$5,$G137&lt;FJ$5+GanttPeriod),"◆",IF(AND($E137&gt;=FJ$5,$E137&lt;FJ$5+GanttPeriod),"◇","")),IF(AND(FJ$5&lt;=$F137,FJ$5+GanttPeriod-1&gt;=$E137),"━","")))</f>
        <v/>
      </c>
      <c r="FK137" s="69" t="str">
        <f aca="false">IF($E137="","",IF($M137,IF(AND($G137&gt;=FK$5,$G137&lt;FK$5+GanttPeriod),"◆",IF(AND($E137&gt;=FK$5,$E137&lt;FK$5+GanttPeriod),"◇","")),IF(AND(FK$5&lt;=$F137,FK$5+GanttPeriod-1&gt;=$E137),"━","")))</f>
        <v/>
      </c>
      <c r="FL137" s="69" t="str">
        <f aca="false">IF($E137="","",IF($M137,IF(AND($G137&gt;=FL$5,$G137&lt;FL$5+GanttPeriod),"◆",IF(AND($E137&gt;=FL$5,$E137&lt;FL$5+GanttPeriod),"◇","")),IF(AND(FL$5&lt;=$F137,FL$5+GanttPeriod-1&gt;=$E137),"━","")))</f>
        <v/>
      </c>
      <c r="FM137" s="69" t="str">
        <f aca="false">IF($E137="","",IF($M137,IF(AND($G137&gt;=FM$5,$G137&lt;FM$5+GanttPeriod),"◆",IF(AND($E137&gt;=FM$5,$E137&lt;FM$5+GanttPeriod),"◇","")),IF(AND(FM$5&lt;=$F137,FM$5+GanttPeriod-1&gt;=$E137),"━","")))</f>
        <v/>
      </c>
    </row>
    <row r="138" customFormat="false" ht="15" hidden="false" customHeight="false" outlineLevel="0" collapsed="false">
      <c r="A138" s="62" t="str">
        <f aca="false">IF(Tasks!$D138="","",Tasks!$A138)</f>
        <v/>
      </c>
      <c r="B138" s="62" t="str">
        <f aca="false">IF(Tasks!$D138="","",Tasks!$B138)</f>
        <v/>
      </c>
      <c r="C138" s="63" t="str">
        <f aca="false">IF(Tasks!$D138="","",REPT("    ",Tasks!$AE138-1)&amp;Tasks!$D138)</f>
        <v/>
      </c>
      <c r="D138" s="62" t="str">
        <f aca="false">IF(Tasks!$D138="","",IF(Tasks!$AI138,NETWORKDAYS.INTL(Tasks!$R138,Tasks!$S138,WorkWeek,Holidays),N(Tasks!$F138)))</f>
        <v/>
      </c>
      <c r="E138" s="64" t="str">
        <f aca="false">IF(Tasks!$D138="","",Tasks!$N138)</f>
        <v/>
      </c>
      <c r="F138" s="64" t="str">
        <f aca="false">IF(Tasks!$D138="","",Tasks!$O138)</f>
        <v/>
      </c>
      <c r="G138" s="64" t="str">
        <f aca="false">IF(Tasks!$D138="","",Tasks!$R138)</f>
        <v/>
      </c>
      <c r="H138" s="64" t="str">
        <f aca="false">IF(Tasks!$D138="","",Tasks!$S138)</f>
        <v/>
      </c>
      <c r="I138" s="65" t="str">
        <f aca="false">IF(Tasks!$D138="","",Tasks!$V138)</f>
        <v/>
      </c>
      <c r="J138" s="63" t="str">
        <f aca="false">IF(Tasks!$D138="","",Tasks!$X138&amp;"")</f>
        <v/>
      </c>
      <c r="K138" s="66" t="str">
        <f aca="false">IF(Tasks!$D138="","",Tasks!$W138)</f>
        <v/>
      </c>
      <c r="L138" s="67" t="b">
        <f aca="false">IF(Tasks!$D138="",FALSE(),Tasks!$AI138)</f>
        <v>0</v>
      </c>
      <c r="M138" s="67" t="b">
        <f aca="false">AND(Tasks!$AJ138=1,N(Tasks!$F138)=0)</f>
        <v>0</v>
      </c>
      <c r="N138" s="68" t="n">
        <f aca="false">IF(AND(Tasks!$AJ138=1,NOT($M138),N($I138)&gt;0),$G138,0)</f>
        <v>0</v>
      </c>
      <c r="O138" s="68" t="n">
        <f aca="false">IF($N138=0,0,IF($I138&gt;=1,$H138,MAX($N138,$G138+ROUND(($H138-$G138+1)*$I138,0)-1)))</f>
        <v>0</v>
      </c>
      <c r="P138" s="68" t="n">
        <f aca="false">IF(OR(Tasks!$AJ138&lt;&gt;1,$M138,N($I138)&gt;=1),0,IF($O138&gt;0,$O138+1,$G138))</f>
        <v>0</v>
      </c>
      <c r="Q138" s="68" t="n">
        <f aca="false">IF($P138=0,0,$H138)</f>
        <v>0</v>
      </c>
      <c r="R138" s="67" t="b">
        <f aca="false">AND(Tasks!$D138&lt;&gt;"",N(Tasks!$T138)&gt;0)</f>
        <v>0</v>
      </c>
      <c r="T138" s="69" t="str">
        <f aca="false">IF($E138="","",IF($M138,IF(AND($G138&gt;=T$5,$G138&lt;T$5+GanttPeriod),"◆",IF(AND($E138&gt;=T$5,$E138&lt;T$5+GanttPeriod),"◇","")),IF(AND(T$5&lt;=$F138,T$5+GanttPeriod-1&gt;=$E138),"━","")))</f>
        <v/>
      </c>
      <c r="U138" s="69" t="str">
        <f aca="false">IF($E138="","",IF($M138,IF(AND($G138&gt;=U$5,$G138&lt;U$5+GanttPeriod),"◆",IF(AND($E138&gt;=U$5,$E138&lt;U$5+GanttPeriod),"◇","")),IF(AND(U$5&lt;=$F138,U$5+GanttPeriod-1&gt;=$E138),"━","")))</f>
        <v/>
      </c>
      <c r="V138" s="69" t="str">
        <f aca="false">IF($E138="","",IF($M138,IF(AND($G138&gt;=V$5,$G138&lt;V$5+GanttPeriod),"◆",IF(AND($E138&gt;=V$5,$E138&lt;V$5+GanttPeriod),"◇","")),IF(AND(V$5&lt;=$F138,V$5+GanttPeriod-1&gt;=$E138),"━","")))</f>
        <v/>
      </c>
      <c r="W138" s="69" t="str">
        <f aca="false">IF($E138="","",IF($M138,IF(AND($G138&gt;=W$5,$G138&lt;W$5+GanttPeriod),"◆",IF(AND($E138&gt;=W$5,$E138&lt;W$5+GanttPeriod),"◇","")),IF(AND(W$5&lt;=$F138,W$5+GanttPeriod-1&gt;=$E138),"━","")))</f>
        <v/>
      </c>
      <c r="X138" s="69" t="str">
        <f aca="false">IF($E138="","",IF($M138,IF(AND($G138&gt;=X$5,$G138&lt;X$5+GanttPeriod),"◆",IF(AND($E138&gt;=X$5,$E138&lt;X$5+GanttPeriod),"◇","")),IF(AND(X$5&lt;=$F138,X$5+GanttPeriod-1&gt;=$E138),"━","")))</f>
        <v/>
      </c>
      <c r="Y138" s="69" t="str">
        <f aca="false">IF($E138="","",IF($M138,IF(AND($G138&gt;=Y$5,$G138&lt;Y$5+GanttPeriod),"◆",IF(AND($E138&gt;=Y$5,$E138&lt;Y$5+GanttPeriod),"◇","")),IF(AND(Y$5&lt;=$F138,Y$5+GanttPeriod-1&gt;=$E138),"━","")))</f>
        <v/>
      </c>
      <c r="Z138" s="69" t="str">
        <f aca="false">IF($E138="","",IF($M138,IF(AND($G138&gt;=Z$5,$G138&lt;Z$5+GanttPeriod),"◆",IF(AND($E138&gt;=Z$5,$E138&lt;Z$5+GanttPeriod),"◇","")),IF(AND(Z$5&lt;=$F138,Z$5+GanttPeriod-1&gt;=$E138),"━","")))</f>
        <v/>
      </c>
      <c r="AA138" s="69" t="str">
        <f aca="false">IF($E138="","",IF($M138,IF(AND($G138&gt;=AA$5,$G138&lt;AA$5+GanttPeriod),"◆",IF(AND($E138&gt;=AA$5,$E138&lt;AA$5+GanttPeriod),"◇","")),IF(AND(AA$5&lt;=$F138,AA$5+GanttPeriod-1&gt;=$E138),"━","")))</f>
        <v/>
      </c>
      <c r="AB138" s="69" t="str">
        <f aca="false">IF($E138="","",IF($M138,IF(AND($G138&gt;=AB$5,$G138&lt;AB$5+GanttPeriod),"◆",IF(AND($E138&gt;=AB$5,$E138&lt;AB$5+GanttPeriod),"◇","")),IF(AND(AB$5&lt;=$F138,AB$5+GanttPeriod-1&gt;=$E138),"━","")))</f>
        <v/>
      </c>
      <c r="AC138" s="69" t="str">
        <f aca="false">IF($E138="","",IF($M138,IF(AND($G138&gt;=AC$5,$G138&lt;AC$5+GanttPeriod),"◆",IF(AND($E138&gt;=AC$5,$E138&lt;AC$5+GanttPeriod),"◇","")),IF(AND(AC$5&lt;=$F138,AC$5+GanttPeriod-1&gt;=$E138),"━","")))</f>
        <v/>
      </c>
      <c r="AD138" s="69" t="str">
        <f aca="false">IF($E138="","",IF($M138,IF(AND($G138&gt;=AD$5,$G138&lt;AD$5+GanttPeriod),"◆",IF(AND($E138&gt;=AD$5,$E138&lt;AD$5+GanttPeriod),"◇","")),IF(AND(AD$5&lt;=$F138,AD$5+GanttPeriod-1&gt;=$E138),"━","")))</f>
        <v/>
      </c>
      <c r="AE138" s="69" t="str">
        <f aca="false">IF($E138="","",IF($M138,IF(AND($G138&gt;=AE$5,$G138&lt;AE$5+GanttPeriod),"◆",IF(AND($E138&gt;=AE$5,$E138&lt;AE$5+GanttPeriod),"◇","")),IF(AND(AE$5&lt;=$F138,AE$5+GanttPeriod-1&gt;=$E138),"━","")))</f>
        <v/>
      </c>
      <c r="AF138" s="69" t="str">
        <f aca="false">IF($E138="","",IF($M138,IF(AND($G138&gt;=AF$5,$G138&lt;AF$5+GanttPeriod),"◆",IF(AND($E138&gt;=AF$5,$E138&lt;AF$5+GanttPeriod),"◇","")),IF(AND(AF$5&lt;=$F138,AF$5+GanttPeriod-1&gt;=$E138),"━","")))</f>
        <v/>
      </c>
      <c r="AG138" s="69" t="str">
        <f aca="false">IF($E138="","",IF($M138,IF(AND($G138&gt;=AG$5,$G138&lt;AG$5+GanttPeriod),"◆",IF(AND($E138&gt;=AG$5,$E138&lt;AG$5+GanttPeriod),"◇","")),IF(AND(AG$5&lt;=$F138,AG$5+GanttPeriod-1&gt;=$E138),"━","")))</f>
        <v/>
      </c>
      <c r="AH138" s="69" t="str">
        <f aca="false">IF($E138="","",IF($M138,IF(AND($G138&gt;=AH$5,$G138&lt;AH$5+GanttPeriod),"◆",IF(AND($E138&gt;=AH$5,$E138&lt;AH$5+GanttPeriod),"◇","")),IF(AND(AH$5&lt;=$F138,AH$5+GanttPeriod-1&gt;=$E138),"━","")))</f>
        <v/>
      </c>
      <c r="AI138" s="69" t="str">
        <f aca="false">IF($E138="","",IF($M138,IF(AND($G138&gt;=AI$5,$G138&lt;AI$5+GanttPeriod),"◆",IF(AND($E138&gt;=AI$5,$E138&lt;AI$5+GanttPeriod),"◇","")),IF(AND(AI$5&lt;=$F138,AI$5+GanttPeriod-1&gt;=$E138),"━","")))</f>
        <v/>
      </c>
      <c r="AJ138" s="69" t="str">
        <f aca="false">IF($E138="","",IF($M138,IF(AND($G138&gt;=AJ$5,$G138&lt;AJ$5+GanttPeriod),"◆",IF(AND($E138&gt;=AJ$5,$E138&lt;AJ$5+GanttPeriod),"◇","")),IF(AND(AJ$5&lt;=$F138,AJ$5+GanttPeriod-1&gt;=$E138),"━","")))</f>
        <v/>
      </c>
      <c r="AK138" s="69" t="str">
        <f aca="false">IF($E138="","",IF($M138,IF(AND($G138&gt;=AK$5,$G138&lt;AK$5+GanttPeriod),"◆",IF(AND($E138&gt;=AK$5,$E138&lt;AK$5+GanttPeriod),"◇","")),IF(AND(AK$5&lt;=$F138,AK$5+GanttPeriod-1&gt;=$E138),"━","")))</f>
        <v/>
      </c>
      <c r="AL138" s="69" t="str">
        <f aca="false">IF($E138="","",IF($M138,IF(AND($G138&gt;=AL$5,$G138&lt;AL$5+GanttPeriod),"◆",IF(AND($E138&gt;=AL$5,$E138&lt;AL$5+GanttPeriod),"◇","")),IF(AND(AL$5&lt;=$F138,AL$5+GanttPeriod-1&gt;=$E138),"━","")))</f>
        <v/>
      </c>
      <c r="AM138" s="69" t="str">
        <f aca="false">IF($E138="","",IF($M138,IF(AND($G138&gt;=AM$5,$G138&lt;AM$5+GanttPeriod),"◆",IF(AND($E138&gt;=AM$5,$E138&lt;AM$5+GanttPeriod),"◇","")),IF(AND(AM$5&lt;=$F138,AM$5+GanttPeriod-1&gt;=$E138),"━","")))</f>
        <v/>
      </c>
      <c r="AN138" s="69" t="str">
        <f aca="false">IF($E138="","",IF($M138,IF(AND($G138&gt;=AN$5,$G138&lt;AN$5+GanttPeriod),"◆",IF(AND($E138&gt;=AN$5,$E138&lt;AN$5+GanttPeriod),"◇","")),IF(AND(AN$5&lt;=$F138,AN$5+GanttPeriod-1&gt;=$E138),"━","")))</f>
        <v/>
      </c>
      <c r="AO138" s="69" t="str">
        <f aca="false">IF($E138="","",IF($M138,IF(AND($G138&gt;=AO$5,$G138&lt;AO$5+GanttPeriod),"◆",IF(AND($E138&gt;=AO$5,$E138&lt;AO$5+GanttPeriod),"◇","")),IF(AND(AO$5&lt;=$F138,AO$5+GanttPeriod-1&gt;=$E138),"━","")))</f>
        <v/>
      </c>
      <c r="AP138" s="69" t="str">
        <f aca="false">IF($E138="","",IF($M138,IF(AND($G138&gt;=AP$5,$G138&lt;AP$5+GanttPeriod),"◆",IF(AND($E138&gt;=AP$5,$E138&lt;AP$5+GanttPeriod),"◇","")),IF(AND(AP$5&lt;=$F138,AP$5+GanttPeriod-1&gt;=$E138),"━","")))</f>
        <v/>
      </c>
      <c r="AQ138" s="69" t="str">
        <f aca="false">IF($E138="","",IF($M138,IF(AND($G138&gt;=AQ$5,$G138&lt;AQ$5+GanttPeriod),"◆",IF(AND($E138&gt;=AQ$5,$E138&lt;AQ$5+GanttPeriod),"◇","")),IF(AND(AQ$5&lt;=$F138,AQ$5+GanttPeriod-1&gt;=$E138),"━","")))</f>
        <v/>
      </c>
      <c r="AR138" s="69" t="str">
        <f aca="false">IF($E138="","",IF($M138,IF(AND($G138&gt;=AR$5,$G138&lt;AR$5+GanttPeriod),"◆",IF(AND($E138&gt;=AR$5,$E138&lt;AR$5+GanttPeriod),"◇","")),IF(AND(AR$5&lt;=$F138,AR$5+GanttPeriod-1&gt;=$E138),"━","")))</f>
        <v/>
      </c>
      <c r="AS138" s="69" t="str">
        <f aca="false">IF($E138="","",IF($M138,IF(AND($G138&gt;=AS$5,$G138&lt;AS$5+GanttPeriod),"◆",IF(AND($E138&gt;=AS$5,$E138&lt;AS$5+GanttPeriod),"◇","")),IF(AND(AS$5&lt;=$F138,AS$5+GanttPeriod-1&gt;=$E138),"━","")))</f>
        <v/>
      </c>
      <c r="AT138" s="69" t="str">
        <f aca="false">IF($E138="","",IF($M138,IF(AND($G138&gt;=AT$5,$G138&lt;AT$5+GanttPeriod),"◆",IF(AND($E138&gt;=AT$5,$E138&lt;AT$5+GanttPeriod),"◇","")),IF(AND(AT$5&lt;=$F138,AT$5+GanttPeriod-1&gt;=$E138),"━","")))</f>
        <v/>
      </c>
      <c r="AU138" s="69" t="str">
        <f aca="false">IF($E138="","",IF($M138,IF(AND($G138&gt;=AU$5,$G138&lt;AU$5+GanttPeriod),"◆",IF(AND($E138&gt;=AU$5,$E138&lt;AU$5+GanttPeriod),"◇","")),IF(AND(AU$5&lt;=$F138,AU$5+GanttPeriod-1&gt;=$E138),"━","")))</f>
        <v/>
      </c>
      <c r="AV138" s="69" t="str">
        <f aca="false">IF($E138="","",IF($M138,IF(AND($G138&gt;=AV$5,$G138&lt;AV$5+GanttPeriod),"◆",IF(AND($E138&gt;=AV$5,$E138&lt;AV$5+GanttPeriod),"◇","")),IF(AND(AV$5&lt;=$F138,AV$5+GanttPeriod-1&gt;=$E138),"━","")))</f>
        <v/>
      </c>
      <c r="AW138" s="69" t="str">
        <f aca="false">IF($E138="","",IF($M138,IF(AND($G138&gt;=AW$5,$G138&lt;AW$5+GanttPeriod),"◆",IF(AND($E138&gt;=AW$5,$E138&lt;AW$5+GanttPeriod),"◇","")),IF(AND(AW$5&lt;=$F138,AW$5+GanttPeriod-1&gt;=$E138),"━","")))</f>
        <v/>
      </c>
      <c r="AX138" s="69" t="str">
        <f aca="false">IF($E138="","",IF($M138,IF(AND($G138&gt;=AX$5,$G138&lt;AX$5+GanttPeriod),"◆",IF(AND($E138&gt;=AX$5,$E138&lt;AX$5+GanttPeriod),"◇","")),IF(AND(AX$5&lt;=$F138,AX$5+GanttPeriod-1&gt;=$E138),"━","")))</f>
        <v/>
      </c>
      <c r="AY138" s="69" t="str">
        <f aca="false">IF($E138="","",IF($M138,IF(AND($G138&gt;=AY$5,$G138&lt;AY$5+GanttPeriod),"◆",IF(AND($E138&gt;=AY$5,$E138&lt;AY$5+GanttPeriod),"◇","")),IF(AND(AY$5&lt;=$F138,AY$5+GanttPeriod-1&gt;=$E138),"━","")))</f>
        <v/>
      </c>
      <c r="AZ138" s="69" t="str">
        <f aca="false">IF($E138="","",IF($M138,IF(AND($G138&gt;=AZ$5,$G138&lt;AZ$5+GanttPeriod),"◆",IF(AND($E138&gt;=AZ$5,$E138&lt;AZ$5+GanttPeriod),"◇","")),IF(AND(AZ$5&lt;=$F138,AZ$5+GanttPeriod-1&gt;=$E138),"━","")))</f>
        <v/>
      </c>
      <c r="BA138" s="69" t="str">
        <f aca="false">IF($E138="","",IF($M138,IF(AND($G138&gt;=BA$5,$G138&lt;BA$5+GanttPeriod),"◆",IF(AND($E138&gt;=BA$5,$E138&lt;BA$5+GanttPeriod),"◇","")),IF(AND(BA$5&lt;=$F138,BA$5+GanttPeriod-1&gt;=$E138),"━","")))</f>
        <v/>
      </c>
      <c r="BB138" s="69" t="str">
        <f aca="false">IF($E138="","",IF($M138,IF(AND($G138&gt;=BB$5,$G138&lt;BB$5+GanttPeriod),"◆",IF(AND($E138&gt;=BB$5,$E138&lt;BB$5+GanttPeriod),"◇","")),IF(AND(BB$5&lt;=$F138,BB$5+GanttPeriod-1&gt;=$E138),"━","")))</f>
        <v/>
      </c>
      <c r="BC138" s="69" t="str">
        <f aca="false">IF($E138="","",IF($M138,IF(AND($G138&gt;=BC$5,$G138&lt;BC$5+GanttPeriod),"◆",IF(AND($E138&gt;=BC$5,$E138&lt;BC$5+GanttPeriod),"◇","")),IF(AND(BC$5&lt;=$F138,BC$5+GanttPeriod-1&gt;=$E138),"━","")))</f>
        <v/>
      </c>
      <c r="BD138" s="69" t="str">
        <f aca="false">IF($E138="","",IF($M138,IF(AND($G138&gt;=BD$5,$G138&lt;BD$5+GanttPeriod),"◆",IF(AND($E138&gt;=BD$5,$E138&lt;BD$5+GanttPeriod),"◇","")),IF(AND(BD$5&lt;=$F138,BD$5+GanttPeriod-1&gt;=$E138),"━","")))</f>
        <v/>
      </c>
      <c r="BE138" s="69" t="str">
        <f aca="false">IF($E138="","",IF($M138,IF(AND($G138&gt;=BE$5,$G138&lt;BE$5+GanttPeriod),"◆",IF(AND($E138&gt;=BE$5,$E138&lt;BE$5+GanttPeriod),"◇","")),IF(AND(BE$5&lt;=$F138,BE$5+GanttPeriod-1&gt;=$E138),"━","")))</f>
        <v/>
      </c>
      <c r="BF138" s="69" t="str">
        <f aca="false">IF($E138="","",IF($M138,IF(AND($G138&gt;=BF$5,$G138&lt;BF$5+GanttPeriod),"◆",IF(AND($E138&gt;=BF$5,$E138&lt;BF$5+GanttPeriod),"◇","")),IF(AND(BF$5&lt;=$F138,BF$5+GanttPeriod-1&gt;=$E138),"━","")))</f>
        <v/>
      </c>
      <c r="BG138" s="69" t="str">
        <f aca="false">IF($E138="","",IF($M138,IF(AND($G138&gt;=BG$5,$G138&lt;BG$5+GanttPeriod),"◆",IF(AND($E138&gt;=BG$5,$E138&lt;BG$5+GanttPeriod),"◇","")),IF(AND(BG$5&lt;=$F138,BG$5+GanttPeriod-1&gt;=$E138),"━","")))</f>
        <v/>
      </c>
      <c r="BH138" s="69" t="str">
        <f aca="false">IF($E138="","",IF($M138,IF(AND($G138&gt;=BH$5,$G138&lt;BH$5+GanttPeriod),"◆",IF(AND($E138&gt;=BH$5,$E138&lt;BH$5+GanttPeriod),"◇","")),IF(AND(BH$5&lt;=$F138,BH$5+GanttPeriod-1&gt;=$E138),"━","")))</f>
        <v/>
      </c>
      <c r="BI138" s="69" t="str">
        <f aca="false">IF($E138="","",IF($M138,IF(AND($G138&gt;=BI$5,$G138&lt;BI$5+GanttPeriod),"◆",IF(AND($E138&gt;=BI$5,$E138&lt;BI$5+GanttPeriod),"◇","")),IF(AND(BI$5&lt;=$F138,BI$5+GanttPeriod-1&gt;=$E138),"━","")))</f>
        <v/>
      </c>
      <c r="BJ138" s="69" t="str">
        <f aca="false">IF($E138="","",IF($M138,IF(AND($G138&gt;=BJ$5,$G138&lt;BJ$5+GanttPeriod),"◆",IF(AND($E138&gt;=BJ$5,$E138&lt;BJ$5+GanttPeriod),"◇","")),IF(AND(BJ$5&lt;=$F138,BJ$5+GanttPeriod-1&gt;=$E138),"━","")))</f>
        <v/>
      </c>
      <c r="BK138" s="69" t="str">
        <f aca="false">IF($E138="","",IF($M138,IF(AND($G138&gt;=BK$5,$G138&lt;BK$5+GanttPeriod),"◆",IF(AND($E138&gt;=BK$5,$E138&lt;BK$5+GanttPeriod),"◇","")),IF(AND(BK$5&lt;=$F138,BK$5+GanttPeriod-1&gt;=$E138),"━","")))</f>
        <v/>
      </c>
      <c r="BL138" s="69" t="str">
        <f aca="false">IF($E138="","",IF($M138,IF(AND($G138&gt;=BL$5,$G138&lt;BL$5+GanttPeriod),"◆",IF(AND($E138&gt;=BL$5,$E138&lt;BL$5+GanttPeriod),"◇","")),IF(AND(BL$5&lt;=$F138,BL$5+GanttPeriod-1&gt;=$E138),"━","")))</f>
        <v/>
      </c>
      <c r="BM138" s="69" t="str">
        <f aca="false">IF($E138="","",IF($M138,IF(AND($G138&gt;=BM$5,$G138&lt;BM$5+GanttPeriod),"◆",IF(AND($E138&gt;=BM$5,$E138&lt;BM$5+GanttPeriod),"◇","")),IF(AND(BM$5&lt;=$F138,BM$5+GanttPeriod-1&gt;=$E138),"━","")))</f>
        <v/>
      </c>
      <c r="BN138" s="69" t="str">
        <f aca="false">IF($E138="","",IF($M138,IF(AND($G138&gt;=BN$5,$G138&lt;BN$5+GanttPeriod),"◆",IF(AND($E138&gt;=BN$5,$E138&lt;BN$5+GanttPeriod),"◇","")),IF(AND(BN$5&lt;=$F138,BN$5+GanttPeriod-1&gt;=$E138),"━","")))</f>
        <v/>
      </c>
      <c r="BO138" s="69" t="str">
        <f aca="false">IF($E138="","",IF($M138,IF(AND($G138&gt;=BO$5,$G138&lt;BO$5+GanttPeriod),"◆",IF(AND($E138&gt;=BO$5,$E138&lt;BO$5+GanttPeriod),"◇","")),IF(AND(BO$5&lt;=$F138,BO$5+GanttPeriod-1&gt;=$E138),"━","")))</f>
        <v/>
      </c>
      <c r="BP138" s="69" t="str">
        <f aca="false">IF($E138="","",IF($M138,IF(AND($G138&gt;=BP$5,$G138&lt;BP$5+GanttPeriod),"◆",IF(AND($E138&gt;=BP$5,$E138&lt;BP$5+GanttPeriod),"◇","")),IF(AND(BP$5&lt;=$F138,BP$5+GanttPeriod-1&gt;=$E138),"━","")))</f>
        <v/>
      </c>
      <c r="BQ138" s="69" t="str">
        <f aca="false">IF($E138="","",IF($M138,IF(AND($G138&gt;=BQ$5,$G138&lt;BQ$5+GanttPeriod),"◆",IF(AND($E138&gt;=BQ$5,$E138&lt;BQ$5+GanttPeriod),"◇","")),IF(AND(BQ$5&lt;=$F138,BQ$5+GanttPeriod-1&gt;=$E138),"━","")))</f>
        <v/>
      </c>
      <c r="BR138" s="69" t="str">
        <f aca="false">IF($E138="","",IF($M138,IF(AND($G138&gt;=BR$5,$G138&lt;BR$5+GanttPeriod),"◆",IF(AND($E138&gt;=BR$5,$E138&lt;BR$5+GanttPeriod),"◇","")),IF(AND(BR$5&lt;=$F138,BR$5+GanttPeriod-1&gt;=$E138),"━","")))</f>
        <v/>
      </c>
      <c r="BS138" s="69" t="str">
        <f aca="false">IF($E138="","",IF($M138,IF(AND($G138&gt;=BS$5,$G138&lt;BS$5+GanttPeriod),"◆",IF(AND($E138&gt;=BS$5,$E138&lt;BS$5+GanttPeriod),"◇","")),IF(AND(BS$5&lt;=$F138,BS$5+GanttPeriod-1&gt;=$E138),"━","")))</f>
        <v/>
      </c>
      <c r="BT138" s="69" t="str">
        <f aca="false">IF($E138="","",IF($M138,IF(AND($G138&gt;=BT$5,$G138&lt;BT$5+GanttPeriod),"◆",IF(AND($E138&gt;=BT$5,$E138&lt;BT$5+GanttPeriod),"◇","")),IF(AND(BT$5&lt;=$F138,BT$5+GanttPeriod-1&gt;=$E138),"━","")))</f>
        <v/>
      </c>
      <c r="BU138" s="69" t="str">
        <f aca="false">IF($E138="","",IF($M138,IF(AND($G138&gt;=BU$5,$G138&lt;BU$5+GanttPeriod),"◆",IF(AND($E138&gt;=BU$5,$E138&lt;BU$5+GanttPeriod),"◇","")),IF(AND(BU$5&lt;=$F138,BU$5+GanttPeriod-1&gt;=$E138),"━","")))</f>
        <v/>
      </c>
      <c r="BV138" s="69" t="str">
        <f aca="false">IF($E138="","",IF($M138,IF(AND($G138&gt;=BV$5,$G138&lt;BV$5+GanttPeriod),"◆",IF(AND($E138&gt;=BV$5,$E138&lt;BV$5+GanttPeriod),"◇","")),IF(AND(BV$5&lt;=$F138,BV$5+GanttPeriod-1&gt;=$E138),"━","")))</f>
        <v/>
      </c>
      <c r="BW138" s="69" t="str">
        <f aca="false">IF($E138="","",IF($M138,IF(AND($G138&gt;=BW$5,$G138&lt;BW$5+GanttPeriod),"◆",IF(AND($E138&gt;=BW$5,$E138&lt;BW$5+GanttPeriod),"◇","")),IF(AND(BW$5&lt;=$F138,BW$5+GanttPeriod-1&gt;=$E138),"━","")))</f>
        <v/>
      </c>
      <c r="BX138" s="69" t="str">
        <f aca="false">IF($E138="","",IF($M138,IF(AND($G138&gt;=BX$5,$G138&lt;BX$5+GanttPeriod),"◆",IF(AND($E138&gt;=BX$5,$E138&lt;BX$5+GanttPeriod),"◇","")),IF(AND(BX$5&lt;=$F138,BX$5+GanttPeriod-1&gt;=$E138),"━","")))</f>
        <v/>
      </c>
      <c r="BY138" s="69" t="str">
        <f aca="false">IF($E138="","",IF($M138,IF(AND($G138&gt;=BY$5,$G138&lt;BY$5+GanttPeriod),"◆",IF(AND($E138&gt;=BY$5,$E138&lt;BY$5+GanttPeriod),"◇","")),IF(AND(BY$5&lt;=$F138,BY$5+GanttPeriod-1&gt;=$E138),"━","")))</f>
        <v/>
      </c>
      <c r="BZ138" s="69" t="str">
        <f aca="false">IF($E138="","",IF($M138,IF(AND($G138&gt;=BZ$5,$G138&lt;BZ$5+GanttPeriod),"◆",IF(AND($E138&gt;=BZ$5,$E138&lt;BZ$5+GanttPeriod),"◇","")),IF(AND(BZ$5&lt;=$F138,BZ$5+GanttPeriod-1&gt;=$E138),"━","")))</f>
        <v/>
      </c>
      <c r="CA138" s="69" t="str">
        <f aca="false">IF($E138="","",IF($M138,IF(AND($G138&gt;=CA$5,$G138&lt;CA$5+GanttPeriod),"◆",IF(AND($E138&gt;=CA$5,$E138&lt;CA$5+GanttPeriod),"◇","")),IF(AND(CA$5&lt;=$F138,CA$5+GanttPeriod-1&gt;=$E138),"━","")))</f>
        <v/>
      </c>
      <c r="CB138" s="69" t="str">
        <f aca="false">IF($E138="","",IF($M138,IF(AND($G138&gt;=CB$5,$G138&lt;CB$5+GanttPeriod),"◆",IF(AND($E138&gt;=CB$5,$E138&lt;CB$5+GanttPeriod),"◇","")),IF(AND(CB$5&lt;=$F138,CB$5+GanttPeriod-1&gt;=$E138),"━","")))</f>
        <v/>
      </c>
      <c r="CC138" s="69" t="str">
        <f aca="false">IF($E138="","",IF($M138,IF(AND($G138&gt;=CC$5,$G138&lt;CC$5+GanttPeriod),"◆",IF(AND($E138&gt;=CC$5,$E138&lt;CC$5+GanttPeriod),"◇","")),IF(AND(CC$5&lt;=$F138,CC$5+GanttPeriod-1&gt;=$E138),"━","")))</f>
        <v/>
      </c>
      <c r="CD138" s="69" t="str">
        <f aca="false">IF($E138="","",IF($M138,IF(AND($G138&gt;=CD$5,$G138&lt;CD$5+GanttPeriod),"◆",IF(AND($E138&gt;=CD$5,$E138&lt;CD$5+GanttPeriod),"◇","")),IF(AND(CD$5&lt;=$F138,CD$5+GanttPeriod-1&gt;=$E138),"━","")))</f>
        <v/>
      </c>
      <c r="CE138" s="69" t="str">
        <f aca="false">IF($E138="","",IF($M138,IF(AND($G138&gt;=CE$5,$G138&lt;CE$5+GanttPeriod),"◆",IF(AND($E138&gt;=CE$5,$E138&lt;CE$5+GanttPeriod),"◇","")),IF(AND(CE$5&lt;=$F138,CE$5+GanttPeriod-1&gt;=$E138),"━","")))</f>
        <v/>
      </c>
      <c r="CF138" s="69" t="str">
        <f aca="false">IF($E138="","",IF($M138,IF(AND($G138&gt;=CF$5,$G138&lt;CF$5+GanttPeriod),"◆",IF(AND($E138&gt;=CF$5,$E138&lt;CF$5+GanttPeriod),"◇","")),IF(AND(CF$5&lt;=$F138,CF$5+GanttPeriod-1&gt;=$E138),"━","")))</f>
        <v/>
      </c>
      <c r="CG138" s="69" t="str">
        <f aca="false">IF($E138="","",IF($M138,IF(AND($G138&gt;=CG$5,$G138&lt;CG$5+GanttPeriod),"◆",IF(AND($E138&gt;=CG$5,$E138&lt;CG$5+GanttPeriod),"◇","")),IF(AND(CG$5&lt;=$F138,CG$5+GanttPeriod-1&gt;=$E138),"━","")))</f>
        <v/>
      </c>
      <c r="CH138" s="69" t="str">
        <f aca="false">IF($E138="","",IF($M138,IF(AND($G138&gt;=CH$5,$G138&lt;CH$5+GanttPeriod),"◆",IF(AND($E138&gt;=CH$5,$E138&lt;CH$5+GanttPeriod),"◇","")),IF(AND(CH$5&lt;=$F138,CH$5+GanttPeriod-1&gt;=$E138),"━","")))</f>
        <v/>
      </c>
      <c r="CI138" s="69" t="str">
        <f aca="false">IF($E138="","",IF($M138,IF(AND($G138&gt;=CI$5,$G138&lt;CI$5+GanttPeriod),"◆",IF(AND($E138&gt;=CI$5,$E138&lt;CI$5+GanttPeriod),"◇","")),IF(AND(CI$5&lt;=$F138,CI$5+GanttPeriod-1&gt;=$E138),"━","")))</f>
        <v/>
      </c>
      <c r="CJ138" s="69" t="str">
        <f aca="false">IF($E138="","",IF($M138,IF(AND($G138&gt;=CJ$5,$G138&lt;CJ$5+GanttPeriod),"◆",IF(AND($E138&gt;=CJ$5,$E138&lt;CJ$5+GanttPeriod),"◇","")),IF(AND(CJ$5&lt;=$F138,CJ$5+GanttPeriod-1&gt;=$E138),"━","")))</f>
        <v/>
      </c>
      <c r="CK138" s="69" t="str">
        <f aca="false">IF($E138="","",IF($M138,IF(AND($G138&gt;=CK$5,$G138&lt;CK$5+GanttPeriod),"◆",IF(AND($E138&gt;=CK$5,$E138&lt;CK$5+GanttPeriod),"◇","")),IF(AND(CK$5&lt;=$F138,CK$5+GanttPeriod-1&gt;=$E138),"━","")))</f>
        <v/>
      </c>
      <c r="CL138" s="69" t="str">
        <f aca="false">IF($E138="","",IF($M138,IF(AND($G138&gt;=CL$5,$G138&lt;CL$5+GanttPeriod),"◆",IF(AND($E138&gt;=CL$5,$E138&lt;CL$5+GanttPeriod),"◇","")),IF(AND(CL$5&lt;=$F138,CL$5+GanttPeriod-1&gt;=$E138),"━","")))</f>
        <v/>
      </c>
      <c r="CM138" s="69" t="str">
        <f aca="false">IF($E138="","",IF($M138,IF(AND($G138&gt;=CM$5,$G138&lt;CM$5+GanttPeriod),"◆",IF(AND($E138&gt;=CM$5,$E138&lt;CM$5+GanttPeriod),"◇","")),IF(AND(CM$5&lt;=$F138,CM$5+GanttPeriod-1&gt;=$E138),"━","")))</f>
        <v/>
      </c>
      <c r="CN138" s="69" t="str">
        <f aca="false">IF($E138="","",IF($M138,IF(AND($G138&gt;=CN$5,$G138&lt;CN$5+GanttPeriod),"◆",IF(AND($E138&gt;=CN$5,$E138&lt;CN$5+GanttPeriod),"◇","")),IF(AND(CN$5&lt;=$F138,CN$5+GanttPeriod-1&gt;=$E138),"━","")))</f>
        <v/>
      </c>
      <c r="CO138" s="69" t="str">
        <f aca="false">IF($E138="","",IF($M138,IF(AND($G138&gt;=CO$5,$G138&lt;CO$5+GanttPeriod),"◆",IF(AND($E138&gt;=CO$5,$E138&lt;CO$5+GanttPeriod),"◇","")),IF(AND(CO$5&lt;=$F138,CO$5+GanttPeriod-1&gt;=$E138),"━","")))</f>
        <v/>
      </c>
      <c r="CP138" s="69" t="str">
        <f aca="false">IF($E138="","",IF($M138,IF(AND($G138&gt;=CP$5,$G138&lt;CP$5+GanttPeriod),"◆",IF(AND($E138&gt;=CP$5,$E138&lt;CP$5+GanttPeriod),"◇","")),IF(AND(CP$5&lt;=$F138,CP$5+GanttPeriod-1&gt;=$E138),"━","")))</f>
        <v/>
      </c>
      <c r="CQ138" s="69" t="str">
        <f aca="false">IF($E138="","",IF($M138,IF(AND($G138&gt;=CQ$5,$G138&lt;CQ$5+GanttPeriod),"◆",IF(AND($E138&gt;=CQ$5,$E138&lt;CQ$5+GanttPeriod),"◇","")),IF(AND(CQ$5&lt;=$F138,CQ$5+GanttPeriod-1&gt;=$E138),"━","")))</f>
        <v/>
      </c>
      <c r="CR138" s="69" t="str">
        <f aca="false">IF($E138="","",IF($M138,IF(AND($G138&gt;=CR$5,$G138&lt;CR$5+GanttPeriod),"◆",IF(AND($E138&gt;=CR$5,$E138&lt;CR$5+GanttPeriod),"◇","")),IF(AND(CR$5&lt;=$F138,CR$5+GanttPeriod-1&gt;=$E138),"━","")))</f>
        <v/>
      </c>
      <c r="CS138" s="69" t="str">
        <f aca="false">IF($E138="","",IF($M138,IF(AND($G138&gt;=CS$5,$G138&lt;CS$5+GanttPeriod),"◆",IF(AND($E138&gt;=CS$5,$E138&lt;CS$5+GanttPeriod),"◇","")),IF(AND(CS$5&lt;=$F138,CS$5+GanttPeriod-1&gt;=$E138),"━","")))</f>
        <v/>
      </c>
      <c r="CT138" s="69" t="str">
        <f aca="false">IF($E138="","",IF($M138,IF(AND($G138&gt;=CT$5,$G138&lt;CT$5+GanttPeriod),"◆",IF(AND($E138&gt;=CT$5,$E138&lt;CT$5+GanttPeriod),"◇","")),IF(AND(CT$5&lt;=$F138,CT$5+GanttPeriod-1&gt;=$E138),"━","")))</f>
        <v/>
      </c>
      <c r="CU138" s="69" t="str">
        <f aca="false">IF($E138="","",IF($M138,IF(AND($G138&gt;=CU$5,$G138&lt;CU$5+GanttPeriod),"◆",IF(AND($E138&gt;=CU$5,$E138&lt;CU$5+GanttPeriod),"◇","")),IF(AND(CU$5&lt;=$F138,CU$5+GanttPeriod-1&gt;=$E138),"━","")))</f>
        <v/>
      </c>
      <c r="CV138" s="69" t="str">
        <f aca="false">IF($E138="","",IF($M138,IF(AND($G138&gt;=CV$5,$G138&lt;CV$5+GanttPeriod),"◆",IF(AND($E138&gt;=CV$5,$E138&lt;CV$5+GanttPeriod),"◇","")),IF(AND(CV$5&lt;=$F138,CV$5+GanttPeriod-1&gt;=$E138),"━","")))</f>
        <v/>
      </c>
      <c r="CW138" s="69" t="str">
        <f aca="false">IF($E138="","",IF($M138,IF(AND($G138&gt;=CW$5,$G138&lt;CW$5+GanttPeriod),"◆",IF(AND($E138&gt;=CW$5,$E138&lt;CW$5+GanttPeriod),"◇","")),IF(AND(CW$5&lt;=$F138,CW$5+GanttPeriod-1&gt;=$E138),"━","")))</f>
        <v/>
      </c>
      <c r="CX138" s="69" t="str">
        <f aca="false">IF($E138="","",IF($M138,IF(AND($G138&gt;=CX$5,$G138&lt;CX$5+GanttPeriod),"◆",IF(AND($E138&gt;=CX$5,$E138&lt;CX$5+GanttPeriod),"◇","")),IF(AND(CX$5&lt;=$F138,CX$5+GanttPeriod-1&gt;=$E138),"━","")))</f>
        <v/>
      </c>
      <c r="CY138" s="69" t="str">
        <f aca="false">IF($E138="","",IF($M138,IF(AND($G138&gt;=CY$5,$G138&lt;CY$5+GanttPeriod),"◆",IF(AND($E138&gt;=CY$5,$E138&lt;CY$5+GanttPeriod),"◇","")),IF(AND(CY$5&lt;=$F138,CY$5+GanttPeriod-1&gt;=$E138),"━","")))</f>
        <v/>
      </c>
      <c r="CZ138" s="69" t="str">
        <f aca="false">IF($E138="","",IF($M138,IF(AND($G138&gt;=CZ$5,$G138&lt;CZ$5+GanttPeriod),"◆",IF(AND($E138&gt;=CZ$5,$E138&lt;CZ$5+GanttPeriod),"◇","")),IF(AND(CZ$5&lt;=$F138,CZ$5+GanttPeriod-1&gt;=$E138),"━","")))</f>
        <v/>
      </c>
      <c r="DA138" s="69" t="str">
        <f aca="false">IF($E138="","",IF($M138,IF(AND($G138&gt;=DA$5,$G138&lt;DA$5+GanttPeriod),"◆",IF(AND($E138&gt;=DA$5,$E138&lt;DA$5+GanttPeriod),"◇","")),IF(AND(DA$5&lt;=$F138,DA$5+GanttPeriod-1&gt;=$E138),"━","")))</f>
        <v/>
      </c>
      <c r="DB138" s="69" t="str">
        <f aca="false">IF($E138="","",IF($M138,IF(AND($G138&gt;=DB$5,$G138&lt;DB$5+GanttPeriod),"◆",IF(AND($E138&gt;=DB$5,$E138&lt;DB$5+GanttPeriod),"◇","")),IF(AND(DB$5&lt;=$F138,DB$5+GanttPeriod-1&gt;=$E138),"━","")))</f>
        <v/>
      </c>
      <c r="DC138" s="69" t="str">
        <f aca="false">IF($E138="","",IF($M138,IF(AND($G138&gt;=DC$5,$G138&lt;DC$5+GanttPeriod),"◆",IF(AND($E138&gt;=DC$5,$E138&lt;DC$5+GanttPeriod),"◇","")),IF(AND(DC$5&lt;=$F138,DC$5+GanttPeriod-1&gt;=$E138),"━","")))</f>
        <v/>
      </c>
      <c r="DD138" s="69" t="str">
        <f aca="false">IF($E138="","",IF($M138,IF(AND($G138&gt;=DD$5,$G138&lt;DD$5+GanttPeriod),"◆",IF(AND($E138&gt;=DD$5,$E138&lt;DD$5+GanttPeriod),"◇","")),IF(AND(DD$5&lt;=$F138,DD$5+GanttPeriod-1&gt;=$E138),"━","")))</f>
        <v/>
      </c>
      <c r="DE138" s="69" t="str">
        <f aca="false">IF($E138="","",IF($M138,IF(AND($G138&gt;=DE$5,$G138&lt;DE$5+GanttPeriod),"◆",IF(AND($E138&gt;=DE$5,$E138&lt;DE$5+GanttPeriod),"◇","")),IF(AND(DE$5&lt;=$F138,DE$5+GanttPeriod-1&gt;=$E138),"━","")))</f>
        <v/>
      </c>
      <c r="DF138" s="69" t="str">
        <f aca="false">IF($E138="","",IF($M138,IF(AND($G138&gt;=DF$5,$G138&lt;DF$5+GanttPeriod),"◆",IF(AND($E138&gt;=DF$5,$E138&lt;DF$5+GanttPeriod),"◇","")),IF(AND(DF$5&lt;=$F138,DF$5+GanttPeriod-1&gt;=$E138),"━","")))</f>
        <v/>
      </c>
      <c r="DG138" s="69" t="str">
        <f aca="false">IF($E138="","",IF($M138,IF(AND($G138&gt;=DG$5,$G138&lt;DG$5+GanttPeriod),"◆",IF(AND($E138&gt;=DG$5,$E138&lt;DG$5+GanttPeriod),"◇","")),IF(AND(DG$5&lt;=$F138,DG$5+GanttPeriod-1&gt;=$E138),"━","")))</f>
        <v/>
      </c>
      <c r="DH138" s="69" t="str">
        <f aca="false">IF($E138="","",IF($M138,IF(AND($G138&gt;=DH$5,$G138&lt;DH$5+GanttPeriod),"◆",IF(AND($E138&gt;=DH$5,$E138&lt;DH$5+GanttPeriod),"◇","")),IF(AND(DH$5&lt;=$F138,DH$5+GanttPeriod-1&gt;=$E138),"━","")))</f>
        <v/>
      </c>
      <c r="DI138" s="69" t="str">
        <f aca="false">IF($E138="","",IF($M138,IF(AND($G138&gt;=DI$5,$G138&lt;DI$5+GanttPeriod),"◆",IF(AND($E138&gt;=DI$5,$E138&lt;DI$5+GanttPeriod),"◇","")),IF(AND(DI$5&lt;=$F138,DI$5+GanttPeriod-1&gt;=$E138),"━","")))</f>
        <v/>
      </c>
      <c r="DJ138" s="69" t="str">
        <f aca="false">IF($E138="","",IF($M138,IF(AND($G138&gt;=DJ$5,$G138&lt;DJ$5+GanttPeriod),"◆",IF(AND($E138&gt;=DJ$5,$E138&lt;DJ$5+GanttPeriod),"◇","")),IF(AND(DJ$5&lt;=$F138,DJ$5+GanttPeriod-1&gt;=$E138),"━","")))</f>
        <v/>
      </c>
      <c r="DK138" s="69" t="str">
        <f aca="false">IF($E138="","",IF($M138,IF(AND($G138&gt;=DK$5,$G138&lt;DK$5+GanttPeriod),"◆",IF(AND($E138&gt;=DK$5,$E138&lt;DK$5+GanttPeriod),"◇","")),IF(AND(DK$5&lt;=$F138,DK$5+GanttPeriod-1&gt;=$E138),"━","")))</f>
        <v/>
      </c>
      <c r="DL138" s="69" t="str">
        <f aca="false">IF($E138="","",IF($M138,IF(AND($G138&gt;=DL$5,$G138&lt;DL$5+GanttPeriod),"◆",IF(AND($E138&gt;=DL$5,$E138&lt;DL$5+GanttPeriod),"◇","")),IF(AND(DL$5&lt;=$F138,DL$5+GanttPeriod-1&gt;=$E138),"━","")))</f>
        <v/>
      </c>
      <c r="DM138" s="69" t="str">
        <f aca="false">IF($E138="","",IF($M138,IF(AND($G138&gt;=DM$5,$G138&lt;DM$5+GanttPeriod),"◆",IF(AND($E138&gt;=DM$5,$E138&lt;DM$5+GanttPeriod),"◇","")),IF(AND(DM$5&lt;=$F138,DM$5+GanttPeriod-1&gt;=$E138),"━","")))</f>
        <v/>
      </c>
      <c r="DN138" s="69" t="str">
        <f aca="false">IF($E138="","",IF($M138,IF(AND($G138&gt;=DN$5,$G138&lt;DN$5+GanttPeriod),"◆",IF(AND($E138&gt;=DN$5,$E138&lt;DN$5+GanttPeriod),"◇","")),IF(AND(DN$5&lt;=$F138,DN$5+GanttPeriod-1&gt;=$E138),"━","")))</f>
        <v/>
      </c>
      <c r="DO138" s="69" t="str">
        <f aca="false">IF($E138="","",IF($M138,IF(AND($G138&gt;=DO$5,$G138&lt;DO$5+GanttPeriod),"◆",IF(AND($E138&gt;=DO$5,$E138&lt;DO$5+GanttPeriod),"◇","")),IF(AND(DO$5&lt;=$F138,DO$5+GanttPeriod-1&gt;=$E138),"━","")))</f>
        <v/>
      </c>
      <c r="DP138" s="69" t="str">
        <f aca="false">IF($E138="","",IF($M138,IF(AND($G138&gt;=DP$5,$G138&lt;DP$5+GanttPeriod),"◆",IF(AND($E138&gt;=DP$5,$E138&lt;DP$5+GanttPeriod),"◇","")),IF(AND(DP$5&lt;=$F138,DP$5+GanttPeriod-1&gt;=$E138),"━","")))</f>
        <v/>
      </c>
      <c r="DQ138" s="69" t="str">
        <f aca="false">IF($E138="","",IF($M138,IF(AND($G138&gt;=DQ$5,$G138&lt;DQ$5+GanttPeriod),"◆",IF(AND($E138&gt;=DQ$5,$E138&lt;DQ$5+GanttPeriod),"◇","")),IF(AND(DQ$5&lt;=$F138,DQ$5+GanttPeriod-1&gt;=$E138),"━","")))</f>
        <v/>
      </c>
      <c r="DR138" s="69" t="str">
        <f aca="false">IF($E138="","",IF($M138,IF(AND($G138&gt;=DR$5,$G138&lt;DR$5+GanttPeriod),"◆",IF(AND($E138&gt;=DR$5,$E138&lt;DR$5+GanttPeriod),"◇","")),IF(AND(DR$5&lt;=$F138,DR$5+GanttPeriod-1&gt;=$E138),"━","")))</f>
        <v/>
      </c>
      <c r="DS138" s="69" t="str">
        <f aca="false">IF($E138="","",IF($M138,IF(AND($G138&gt;=DS$5,$G138&lt;DS$5+GanttPeriod),"◆",IF(AND($E138&gt;=DS$5,$E138&lt;DS$5+GanttPeriod),"◇","")),IF(AND(DS$5&lt;=$F138,DS$5+GanttPeriod-1&gt;=$E138),"━","")))</f>
        <v/>
      </c>
      <c r="DT138" s="69" t="str">
        <f aca="false">IF($E138="","",IF($M138,IF(AND($G138&gt;=DT$5,$G138&lt;DT$5+GanttPeriod),"◆",IF(AND($E138&gt;=DT$5,$E138&lt;DT$5+GanttPeriod),"◇","")),IF(AND(DT$5&lt;=$F138,DT$5+GanttPeriod-1&gt;=$E138),"━","")))</f>
        <v/>
      </c>
      <c r="DU138" s="69" t="str">
        <f aca="false">IF($E138="","",IF($M138,IF(AND($G138&gt;=DU$5,$G138&lt;DU$5+GanttPeriod),"◆",IF(AND($E138&gt;=DU$5,$E138&lt;DU$5+GanttPeriod),"◇","")),IF(AND(DU$5&lt;=$F138,DU$5+GanttPeriod-1&gt;=$E138),"━","")))</f>
        <v/>
      </c>
      <c r="DV138" s="69" t="str">
        <f aca="false">IF($E138="","",IF($M138,IF(AND($G138&gt;=DV$5,$G138&lt;DV$5+GanttPeriod),"◆",IF(AND($E138&gt;=DV$5,$E138&lt;DV$5+GanttPeriod),"◇","")),IF(AND(DV$5&lt;=$F138,DV$5+GanttPeriod-1&gt;=$E138),"━","")))</f>
        <v/>
      </c>
      <c r="DW138" s="69" t="str">
        <f aca="false">IF($E138="","",IF($M138,IF(AND($G138&gt;=DW$5,$G138&lt;DW$5+GanttPeriod),"◆",IF(AND($E138&gt;=DW$5,$E138&lt;DW$5+GanttPeriod),"◇","")),IF(AND(DW$5&lt;=$F138,DW$5+GanttPeriod-1&gt;=$E138),"━","")))</f>
        <v/>
      </c>
      <c r="DX138" s="69" t="str">
        <f aca="false">IF($E138="","",IF($M138,IF(AND($G138&gt;=DX$5,$G138&lt;DX$5+GanttPeriod),"◆",IF(AND($E138&gt;=DX$5,$E138&lt;DX$5+GanttPeriod),"◇","")),IF(AND(DX$5&lt;=$F138,DX$5+GanttPeriod-1&gt;=$E138),"━","")))</f>
        <v/>
      </c>
      <c r="DY138" s="69" t="str">
        <f aca="false">IF($E138="","",IF($M138,IF(AND($G138&gt;=DY$5,$G138&lt;DY$5+GanttPeriod),"◆",IF(AND($E138&gt;=DY$5,$E138&lt;DY$5+GanttPeriod),"◇","")),IF(AND(DY$5&lt;=$F138,DY$5+GanttPeriod-1&gt;=$E138),"━","")))</f>
        <v/>
      </c>
      <c r="DZ138" s="69" t="str">
        <f aca="false">IF($E138="","",IF($M138,IF(AND($G138&gt;=DZ$5,$G138&lt;DZ$5+GanttPeriod),"◆",IF(AND($E138&gt;=DZ$5,$E138&lt;DZ$5+GanttPeriod),"◇","")),IF(AND(DZ$5&lt;=$F138,DZ$5+GanttPeriod-1&gt;=$E138),"━","")))</f>
        <v/>
      </c>
      <c r="EA138" s="69" t="str">
        <f aca="false">IF($E138="","",IF($M138,IF(AND($G138&gt;=EA$5,$G138&lt;EA$5+GanttPeriod),"◆",IF(AND($E138&gt;=EA$5,$E138&lt;EA$5+GanttPeriod),"◇","")),IF(AND(EA$5&lt;=$F138,EA$5+GanttPeriod-1&gt;=$E138),"━","")))</f>
        <v/>
      </c>
      <c r="EB138" s="69" t="str">
        <f aca="false">IF($E138="","",IF($M138,IF(AND($G138&gt;=EB$5,$G138&lt;EB$5+GanttPeriod),"◆",IF(AND($E138&gt;=EB$5,$E138&lt;EB$5+GanttPeriod),"◇","")),IF(AND(EB$5&lt;=$F138,EB$5+GanttPeriod-1&gt;=$E138),"━","")))</f>
        <v/>
      </c>
      <c r="EC138" s="69" t="str">
        <f aca="false">IF($E138="","",IF($M138,IF(AND($G138&gt;=EC$5,$G138&lt;EC$5+GanttPeriod),"◆",IF(AND($E138&gt;=EC$5,$E138&lt;EC$5+GanttPeriod),"◇","")),IF(AND(EC$5&lt;=$F138,EC$5+GanttPeriod-1&gt;=$E138),"━","")))</f>
        <v/>
      </c>
      <c r="ED138" s="69" t="str">
        <f aca="false">IF($E138="","",IF($M138,IF(AND($G138&gt;=ED$5,$G138&lt;ED$5+GanttPeriod),"◆",IF(AND($E138&gt;=ED$5,$E138&lt;ED$5+GanttPeriod),"◇","")),IF(AND(ED$5&lt;=$F138,ED$5+GanttPeriod-1&gt;=$E138),"━","")))</f>
        <v/>
      </c>
      <c r="EE138" s="69" t="str">
        <f aca="false">IF($E138="","",IF($M138,IF(AND($G138&gt;=EE$5,$G138&lt;EE$5+GanttPeriod),"◆",IF(AND($E138&gt;=EE$5,$E138&lt;EE$5+GanttPeriod),"◇","")),IF(AND(EE$5&lt;=$F138,EE$5+GanttPeriod-1&gt;=$E138),"━","")))</f>
        <v/>
      </c>
      <c r="EF138" s="69" t="str">
        <f aca="false">IF($E138="","",IF($M138,IF(AND($G138&gt;=EF$5,$G138&lt;EF$5+GanttPeriod),"◆",IF(AND($E138&gt;=EF$5,$E138&lt;EF$5+GanttPeriod),"◇","")),IF(AND(EF$5&lt;=$F138,EF$5+GanttPeriod-1&gt;=$E138),"━","")))</f>
        <v/>
      </c>
      <c r="EG138" s="69" t="str">
        <f aca="false">IF($E138="","",IF($M138,IF(AND($G138&gt;=EG$5,$G138&lt;EG$5+GanttPeriod),"◆",IF(AND($E138&gt;=EG$5,$E138&lt;EG$5+GanttPeriod),"◇","")),IF(AND(EG$5&lt;=$F138,EG$5+GanttPeriod-1&gt;=$E138),"━","")))</f>
        <v/>
      </c>
      <c r="EH138" s="69" t="str">
        <f aca="false">IF($E138="","",IF($M138,IF(AND($G138&gt;=EH$5,$G138&lt;EH$5+GanttPeriod),"◆",IF(AND($E138&gt;=EH$5,$E138&lt;EH$5+GanttPeriod),"◇","")),IF(AND(EH$5&lt;=$F138,EH$5+GanttPeriod-1&gt;=$E138),"━","")))</f>
        <v/>
      </c>
      <c r="EI138" s="69" t="str">
        <f aca="false">IF($E138="","",IF($M138,IF(AND($G138&gt;=EI$5,$G138&lt;EI$5+GanttPeriod),"◆",IF(AND($E138&gt;=EI$5,$E138&lt;EI$5+GanttPeriod),"◇","")),IF(AND(EI$5&lt;=$F138,EI$5+GanttPeriod-1&gt;=$E138),"━","")))</f>
        <v/>
      </c>
      <c r="EJ138" s="69" t="str">
        <f aca="false">IF($E138="","",IF($M138,IF(AND($G138&gt;=EJ$5,$G138&lt;EJ$5+GanttPeriod),"◆",IF(AND($E138&gt;=EJ$5,$E138&lt;EJ$5+GanttPeriod),"◇","")),IF(AND(EJ$5&lt;=$F138,EJ$5+GanttPeriod-1&gt;=$E138),"━","")))</f>
        <v/>
      </c>
      <c r="EK138" s="69" t="str">
        <f aca="false">IF($E138="","",IF($M138,IF(AND($G138&gt;=EK$5,$G138&lt;EK$5+GanttPeriod),"◆",IF(AND($E138&gt;=EK$5,$E138&lt;EK$5+GanttPeriod),"◇","")),IF(AND(EK$5&lt;=$F138,EK$5+GanttPeriod-1&gt;=$E138),"━","")))</f>
        <v/>
      </c>
      <c r="EL138" s="69" t="str">
        <f aca="false">IF($E138="","",IF($M138,IF(AND($G138&gt;=EL$5,$G138&lt;EL$5+GanttPeriod),"◆",IF(AND($E138&gt;=EL$5,$E138&lt;EL$5+GanttPeriod),"◇","")),IF(AND(EL$5&lt;=$F138,EL$5+GanttPeriod-1&gt;=$E138),"━","")))</f>
        <v/>
      </c>
      <c r="EM138" s="69" t="str">
        <f aca="false">IF($E138="","",IF($M138,IF(AND($G138&gt;=EM$5,$G138&lt;EM$5+GanttPeriod),"◆",IF(AND($E138&gt;=EM$5,$E138&lt;EM$5+GanttPeriod),"◇","")),IF(AND(EM$5&lt;=$F138,EM$5+GanttPeriod-1&gt;=$E138),"━","")))</f>
        <v/>
      </c>
      <c r="EN138" s="69" t="str">
        <f aca="false">IF($E138="","",IF($M138,IF(AND($G138&gt;=EN$5,$G138&lt;EN$5+GanttPeriod),"◆",IF(AND($E138&gt;=EN$5,$E138&lt;EN$5+GanttPeriod),"◇","")),IF(AND(EN$5&lt;=$F138,EN$5+GanttPeriod-1&gt;=$E138),"━","")))</f>
        <v/>
      </c>
      <c r="EO138" s="69" t="str">
        <f aca="false">IF($E138="","",IF($M138,IF(AND($G138&gt;=EO$5,$G138&lt;EO$5+GanttPeriod),"◆",IF(AND($E138&gt;=EO$5,$E138&lt;EO$5+GanttPeriod),"◇","")),IF(AND(EO$5&lt;=$F138,EO$5+GanttPeriod-1&gt;=$E138),"━","")))</f>
        <v/>
      </c>
      <c r="EP138" s="69" t="str">
        <f aca="false">IF($E138="","",IF($M138,IF(AND($G138&gt;=EP$5,$G138&lt;EP$5+GanttPeriod),"◆",IF(AND($E138&gt;=EP$5,$E138&lt;EP$5+GanttPeriod),"◇","")),IF(AND(EP$5&lt;=$F138,EP$5+GanttPeriod-1&gt;=$E138),"━","")))</f>
        <v/>
      </c>
      <c r="EQ138" s="69" t="str">
        <f aca="false">IF($E138="","",IF($M138,IF(AND($G138&gt;=EQ$5,$G138&lt;EQ$5+GanttPeriod),"◆",IF(AND($E138&gt;=EQ$5,$E138&lt;EQ$5+GanttPeriod),"◇","")),IF(AND(EQ$5&lt;=$F138,EQ$5+GanttPeriod-1&gt;=$E138),"━","")))</f>
        <v/>
      </c>
      <c r="ER138" s="69" t="str">
        <f aca="false">IF($E138="","",IF($M138,IF(AND($G138&gt;=ER$5,$G138&lt;ER$5+GanttPeriod),"◆",IF(AND($E138&gt;=ER$5,$E138&lt;ER$5+GanttPeriod),"◇","")),IF(AND(ER$5&lt;=$F138,ER$5+GanttPeriod-1&gt;=$E138),"━","")))</f>
        <v/>
      </c>
      <c r="ES138" s="69" t="str">
        <f aca="false">IF($E138="","",IF($M138,IF(AND($G138&gt;=ES$5,$G138&lt;ES$5+GanttPeriod),"◆",IF(AND($E138&gt;=ES$5,$E138&lt;ES$5+GanttPeriod),"◇","")),IF(AND(ES$5&lt;=$F138,ES$5+GanttPeriod-1&gt;=$E138),"━","")))</f>
        <v/>
      </c>
      <c r="ET138" s="69" t="str">
        <f aca="false">IF($E138="","",IF($M138,IF(AND($G138&gt;=ET$5,$G138&lt;ET$5+GanttPeriod),"◆",IF(AND($E138&gt;=ET$5,$E138&lt;ET$5+GanttPeriod),"◇","")),IF(AND(ET$5&lt;=$F138,ET$5+GanttPeriod-1&gt;=$E138),"━","")))</f>
        <v/>
      </c>
      <c r="EU138" s="69" t="str">
        <f aca="false">IF($E138="","",IF($M138,IF(AND($G138&gt;=EU$5,$G138&lt;EU$5+GanttPeriod),"◆",IF(AND($E138&gt;=EU$5,$E138&lt;EU$5+GanttPeriod),"◇","")),IF(AND(EU$5&lt;=$F138,EU$5+GanttPeriod-1&gt;=$E138),"━","")))</f>
        <v/>
      </c>
      <c r="EV138" s="69" t="str">
        <f aca="false">IF($E138="","",IF($M138,IF(AND($G138&gt;=EV$5,$G138&lt;EV$5+GanttPeriod),"◆",IF(AND($E138&gt;=EV$5,$E138&lt;EV$5+GanttPeriod),"◇","")),IF(AND(EV$5&lt;=$F138,EV$5+GanttPeriod-1&gt;=$E138),"━","")))</f>
        <v/>
      </c>
      <c r="EW138" s="69" t="str">
        <f aca="false">IF($E138="","",IF($M138,IF(AND($G138&gt;=EW$5,$G138&lt;EW$5+GanttPeriod),"◆",IF(AND($E138&gt;=EW$5,$E138&lt;EW$5+GanttPeriod),"◇","")),IF(AND(EW$5&lt;=$F138,EW$5+GanttPeriod-1&gt;=$E138),"━","")))</f>
        <v/>
      </c>
      <c r="EX138" s="69" t="str">
        <f aca="false">IF($E138="","",IF($M138,IF(AND($G138&gt;=EX$5,$G138&lt;EX$5+GanttPeriod),"◆",IF(AND($E138&gt;=EX$5,$E138&lt;EX$5+GanttPeriod),"◇","")),IF(AND(EX$5&lt;=$F138,EX$5+GanttPeriod-1&gt;=$E138),"━","")))</f>
        <v/>
      </c>
      <c r="EY138" s="69" t="str">
        <f aca="false">IF($E138="","",IF($M138,IF(AND($G138&gt;=EY$5,$G138&lt;EY$5+GanttPeriod),"◆",IF(AND($E138&gt;=EY$5,$E138&lt;EY$5+GanttPeriod),"◇","")),IF(AND(EY$5&lt;=$F138,EY$5+GanttPeriod-1&gt;=$E138),"━","")))</f>
        <v/>
      </c>
      <c r="EZ138" s="69" t="str">
        <f aca="false">IF($E138="","",IF($M138,IF(AND($G138&gt;=EZ$5,$G138&lt;EZ$5+GanttPeriod),"◆",IF(AND($E138&gt;=EZ$5,$E138&lt;EZ$5+GanttPeriod),"◇","")),IF(AND(EZ$5&lt;=$F138,EZ$5+GanttPeriod-1&gt;=$E138),"━","")))</f>
        <v/>
      </c>
      <c r="FA138" s="69" t="str">
        <f aca="false">IF($E138="","",IF($M138,IF(AND($G138&gt;=FA$5,$G138&lt;FA$5+GanttPeriod),"◆",IF(AND($E138&gt;=FA$5,$E138&lt;FA$5+GanttPeriod),"◇","")),IF(AND(FA$5&lt;=$F138,FA$5+GanttPeriod-1&gt;=$E138),"━","")))</f>
        <v/>
      </c>
      <c r="FB138" s="69" t="str">
        <f aca="false">IF($E138="","",IF($M138,IF(AND($G138&gt;=FB$5,$G138&lt;FB$5+GanttPeriod),"◆",IF(AND($E138&gt;=FB$5,$E138&lt;FB$5+GanttPeriod),"◇","")),IF(AND(FB$5&lt;=$F138,FB$5+GanttPeriod-1&gt;=$E138),"━","")))</f>
        <v/>
      </c>
      <c r="FC138" s="69" t="str">
        <f aca="false">IF($E138="","",IF($M138,IF(AND($G138&gt;=FC$5,$G138&lt;FC$5+GanttPeriod),"◆",IF(AND($E138&gt;=FC$5,$E138&lt;FC$5+GanttPeriod),"◇","")),IF(AND(FC$5&lt;=$F138,FC$5+GanttPeriod-1&gt;=$E138),"━","")))</f>
        <v/>
      </c>
      <c r="FD138" s="69" t="str">
        <f aca="false">IF($E138="","",IF($M138,IF(AND($G138&gt;=FD$5,$G138&lt;FD$5+GanttPeriod),"◆",IF(AND($E138&gt;=FD$5,$E138&lt;FD$5+GanttPeriod),"◇","")),IF(AND(FD$5&lt;=$F138,FD$5+GanttPeriod-1&gt;=$E138),"━","")))</f>
        <v/>
      </c>
      <c r="FE138" s="69" t="str">
        <f aca="false">IF($E138="","",IF($M138,IF(AND($G138&gt;=FE$5,$G138&lt;FE$5+GanttPeriod),"◆",IF(AND($E138&gt;=FE$5,$E138&lt;FE$5+GanttPeriod),"◇","")),IF(AND(FE$5&lt;=$F138,FE$5+GanttPeriod-1&gt;=$E138),"━","")))</f>
        <v/>
      </c>
      <c r="FF138" s="69" t="str">
        <f aca="false">IF($E138="","",IF($M138,IF(AND($G138&gt;=FF$5,$G138&lt;FF$5+GanttPeriod),"◆",IF(AND($E138&gt;=FF$5,$E138&lt;FF$5+GanttPeriod),"◇","")),IF(AND(FF$5&lt;=$F138,FF$5+GanttPeriod-1&gt;=$E138),"━","")))</f>
        <v/>
      </c>
      <c r="FG138" s="69" t="str">
        <f aca="false">IF($E138="","",IF($M138,IF(AND($G138&gt;=FG$5,$G138&lt;FG$5+GanttPeriod),"◆",IF(AND($E138&gt;=FG$5,$E138&lt;FG$5+GanttPeriod),"◇","")),IF(AND(FG$5&lt;=$F138,FG$5+GanttPeriod-1&gt;=$E138),"━","")))</f>
        <v/>
      </c>
      <c r="FH138" s="69" t="str">
        <f aca="false">IF($E138="","",IF($M138,IF(AND($G138&gt;=FH$5,$G138&lt;FH$5+GanttPeriod),"◆",IF(AND($E138&gt;=FH$5,$E138&lt;FH$5+GanttPeriod),"◇","")),IF(AND(FH$5&lt;=$F138,FH$5+GanttPeriod-1&gt;=$E138),"━","")))</f>
        <v/>
      </c>
      <c r="FI138" s="69" t="str">
        <f aca="false">IF($E138="","",IF($M138,IF(AND($G138&gt;=FI$5,$G138&lt;FI$5+GanttPeriod),"◆",IF(AND($E138&gt;=FI$5,$E138&lt;FI$5+GanttPeriod),"◇","")),IF(AND(FI$5&lt;=$F138,FI$5+GanttPeriod-1&gt;=$E138),"━","")))</f>
        <v/>
      </c>
      <c r="FJ138" s="69" t="str">
        <f aca="false">IF($E138="","",IF($M138,IF(AND($G138&gt;=FJ$5,$G138&lt;FJ$5+GanttPeriod),"◆",IF(AND($E138&gt;=FJ$5,$E138&lt;FJ$5+GanttPeriod),"◇","")),IF(AND(FJ$5&lt;=$F138,FJ$5+GanttPeriod-1&gt;=$E138),"━","")))</f>
        <v/>
      </c>
      <c r="FK138" s="69" t="str">
        <f aca="false">IF($E138="","",IF($M138,IF(AND($G138&gt;=FK$5,$G138&lt;FK$5+GanttPeriod),"◆",IF(AND($E138&gt;=FK$5,$E138&lt;FK$5+GanttPeriod),"◇","")),IF(AND(FK$5&lt;=$F138,FK$5+GanttPeriod-1&gt;=$E138),"━","")))</f>
        <v/>
      </c>
      <c r="FL138" s="69" t="str">
        <f aca="false">IF($E138="","",IF($M138,IF(AND($G138&gt;=FL$5,$G138&lt;FL$5+GanttPeriod),"◆",IF(AND($E138&gt;=FL$5,$E138&lt;FL$5+GanttPeriod),"◇","")),IF(AND(FL$5&lt;=$F138,FL$5+GanttPeriod-1&gt;=$E138),"━","")))</f>
        <v/>
      </c>
      <c r="FM138" s="69" t="str">
        <f aca="false">IF($E138="","",IF($M138,IF(AND($G138&gt;=FM$5,$G138&lt;FM$5+GanttPeriod),"◆",IF(AND($E138&gt;=FM$5,$E138&lt;FM$5+GanttPeriod),"◇","")),IF(AND(FM$5&lt;=$F138,FM$5+GanttPeriod-1&gt;=$E138),"━","")))</f>
        <v/>
      </c>
    </row>
    <row r="139" customFormat="false" ht="15" hidden="false" customHeight="false" outlineLevel="0" collapsed="false">
      <c r="A139" s="62" t="str">
        <f aca="false">IF(Tasks!$D139="","",Tasks!$A139)</f>
        <v/>
      </c>
      <c r="B139" s="62" t="str">
        <f aca="false">IF(Tasks!$D139="","",Tasks!$B139)</f>
        <v/>
      </c>
      <c r="C139" s="63" t="str">
        <f aca="false">IF(Tasks!$D139="","",REPT("    ",Tasks!$AE139-1)&amp;Tasks!$D139)</f>
        <v/>
      </c>
      <c r="D139" s="62" t="str">
        <f aca="false">IF(Tasks!$D139="","",IF(Tasks!$AI139,NETWORKDAYS.INTL(Tasks!$R139,Tasks!$S139,WorkWeek,Holidays),N(Tasks!$F139)))</f>
        <v/>
      </c>
      <c r="E139" s="64" t="str">
        <f aca="false">IF(Tasks!$D139="","",Tasks!$N139)</f>
        <v/>
      </c>
      <c r="F139" s="64" t="str">
        <f aca="false">IF(Tasks!$D139="","",Tasks!$O139)</f>
        <v/>
      </c>
      <c r="G139" s="64" t="str">
        <f aca="false">IF(Tasks!$D139="","",Tasks!$R139)</f>
        <v/>
      </c>
      <c r="H139" s="64" t="str">
        <f aca="false">IF(Tasks!$D139="","",Tasks!$S139)</f>
        <v/>
      </c>
      <c r="I139" s="65" t="str">
        <f aca="false">IF(Tasks!$D139="","",Tasks!$V139)</f>
        <v/>
      </c>
      <c r="J139" s="63" t="str">
        <f aca="false">IF(Tasks!$D139="","",Tasks!$X139&amp;"")</f>
        <v/>
      </c>
      <c r="K139" s="66" t="str">
        <f aca="false">IF(Tasks!$D139="","",Tasks!$W139)</f>
        <v/>
      </c>
      <c r="L139" s="67" t="b">
        <f aca="false">IF(Tasks!$D139="",FALSE(),Tasks!$AI139)</f>
        <v>0</v>
      </c>
      <c r="M139" s="67" t="b">
        <f aca="false">AND(Tasks!$AJ139=1,N(Tasks!$F139)=0)</f>
        <v>0</v>
      </c>
      <c r="N139" s="68" t="n">
        <f aca="false">IF(AND(Tasks!$AJ139=1,NOT($M139),N($I139)&gt;0),$G139,0)</f>
        <v>0</v>
      </c>
      <c r="O139" s="68" t="n">
        <f aca="false">IF($N139=0,0,IF($I139&gt;=1,$H139,MAX($N139,$G139+ROUND(($H139-$G139+1)*$I139,0)-1)))</f>
        <v>0</v>
      </c>
      <c r="P139" s="68" t="n">
        <f aca="false">IF(OR(Tasks!$AJ139&lt;&gt;1,$M139,N($I139)&gt;=1),0,IF($O139&gt;0,$O139+1,$G139))</f>
        <v>0</v>
      </c>
      <c r="Q139" s="68" t="n">
        <f aca="false">IF($P139=0,0,$H139)</f>
        <v>0</v>
      </c>
      <c r="R139" s="67" t="b">
        <f aca="false">AND(Tasks!$D139&lt;&gt;"",N(Tasks!$T139)&gt;0)</f>
        <v>0</v>
      </c>
      <c r="T139" s="69" t="str">
        <f aca="false">IF($E139="","",IF($M139,IF(AND($G139&gt;=T$5,$G139&lt;T$5+GanttPeriod),"◆",IF(AND($E139&gt;=T$5,$E139&lt;T$5+GanttPeriod),"◇","")),IF(AND(T$5&lt;=$F139,T$5+GanttPeriod-1&gt;=$E139),"━","")))</f>
        <v/>
      </c>
      <c r="U139" s="69" t="str">
        <f aca="false">IF($E139="","",IF($M139,IF(AND($G139&gt;=U$5,$G139&lt;U$5+GanttPeriod),"◆",IF(AND($E139&gt;=U$5,$E139&lt;U$5+GanttPeriod),"◇","")),IF(AND(U$5&lt;=$F139,U$5+GanttPeriod-1&gt;=$E139),"━","")))</f>
        <v/>
      </c>
      <c r="V139" s="69" t="str">
        <f aca="false">IF($E139="","",IF($M139,IF(AND($G139&gt;=V$5,$G139&lt;V$5+GanttPeriod),"◆",IF(AND($E139&gt;=V$5,$E139&lt;V$5+GanttPeriod),"◇","")),IF(AND(V$5&lt;=$F139,V$5+GanttPeriod-1&gt;=$E139),"━","")))</f>
        <v/>
      </c>
      <c r="W139" s="69" t="str">
        <f aca="false">IF($E139="","",IF($M139,IF(AND($G139&gt;=W$5,$G139&lt;W$5+GanttPeriod),"◆",IF(AND($E139&gt;=W$5,$E139&lt;W$5+GanttPeriod),"◇","")),IF(AND(W$5&lt;=$F139,W$5+GanttPeriod-1&gt;=$E139),"━","")))</f>
        <v/>
      </c>
      <c r="X139" s="69" t="str">
        <f aca="false">IF($E139="","",IF($M139,IF(AND($G139&gt;=X$5,$G139&lt;X$5+GanttPeriod),"◆",IF(AND($E139&gt;=X$5,$E139&lt;X$5+GanttPeriod),"◇","")),IF(AND(X$5&lt;=$F139,X$5+GanttPeriod-1&gt;=$E139),"━","")))</f>
        <v/>
      </c>
      <c r="Y139" s="69" t="str">
        <f aca="false">IF($E139="","",IF($M139,IF(AND($G139&gt;=Y$5,$G139&lt;Y$5+GanttPeriod),"◆",IF(AND($E139&gt;=Y$5,$E139&lt;Y$5+GanttPeriod),"◇","")),IF(AND(Y$5&lt;=$F139,Y$5+GanttPeriod-1&gt;=$E139),"━","")))</f>
        <v/>
      </c>
      <c r="Z139" s="69" t="str">
        <f aca="false">IF($E139="","",IF($M139,IF(AND($G139&gt;=Z$5,$G139&lt;Z$5+GanttPeriod),"◆",IF(AND($E139&gt;=Z$5,$E139&lt;Z$5+GanttPeriod),"◇","")),IF(AND(Z$5&lt;=$F139,Z$5+GanttPeriod-1&gt;=$E139),"━","")))</f>
        <v/>
      </c>
      <c r="AA139" s="69" t="str">
        <f aca="false">IF($E139="","",IF($M139,IF(AND($G139&gt;=AA$5,$G139&lt;AA$5+GanttPeriod),"◆",IF(AND($E139&gt;=AA$5,$E139&lt;AA$5+GanttPeriod),"◇","")),IF(AND(AA$5&lt;=$F139,AA$5+GanttPeriod-1&gt;=$E139),"━","")))</f>
        <v/>
      </c>
      <c r="AB139" s="69" t="str">
        <f aca="false">IF($E139="","",IF($M139,IF(AND($G139&gt;=AB$5,$G139&lt;AB$5+GanttPeriod),"◆",IF(AND($E139&gt;=AB$5,$E139&lt;AB$5+GanttPeriod),"◇","")),IF(AND(AB$5&lt;=$F139,AB$5+GanttPeriod-1&gt;=$E139),"━","")))</f>
        <v/>
      </c>
      <c r="AC139" s="69" t="str">
        <f aca="false">IF($E139="","",IF($M139,IF(AND($G139&gt;=AC$5,$G139&lt;AC$5+GanttPeriod),"◆",IF(AND($E139&gt;=AC$5,$E139&lt;AC$5+GanttPeriod),"◇","")),IF(AND(AC$5&lt;=$F139,AC$5+GanttPeriod-1&gt;=$E139),"━","")))</f>
        <v/>
      </c>
      <c r="AD139" s="69" t="str">
        <f aca="false">IF($E139="","",IF($M139,IF(AND($G139&gt;=AD$5,$G139&lt;AD$5+GanttPeriod),"◆",IF(AND($E139&gt;=AD$5,$E139&lt;AD$5+GanttPeriod),"◇","")),IF(AND(AD$5&lt;=$F139,AD$5+GanttPeriod-1&gt;=$E139),"━","")))</f>
        <v/>
      </c>
      <c r="AE139" s="69" t="str">
        <f aca="false">IF($E139="","",IF($M139,IF(AND($G139&gt;=AE$5,$G139&lt;AE$5+GanttPeriod),"◆",IF(AND($E139&gt;=AE$5,$E139&lt;AE$5+GanttPeriod),"◇","")),IF(AND(AE$5&lt;=$F139,AE$5+GanttPeriod-1&gt;=$E139),"━","")))</f>
        <v/>
      </c>
      <c r="AF139" s="69" t="str">
        <f aca="false">IF($E139="","",IF($M139,IF(AND($G139&gt;=AF$5,$G139&lt;AF$5+GanttPeriod),"◆",IF(AND($E139&gt;=AF$5,$E139&lt;AF$5+GanttPeriod),"◇","")),IF(AND(AF$5&lt;=$F139,AF$5+GanttPeriod-1&gt;=$E139),"━","")))</f>
        <v/>
      </c>
      <c r="AG139" s="69" t="str">
        <f aca="false">IF($E139="","",IF($M139,IF(AND($G139&gt;=AG$5,$G139&lt;AG$5+GanttPeriod),"◆",IF(AND($E139&gt;=AG$5,$E139&lt;AG$5+GanttPeriod),"◇","")),IF(AND(AG$5&lt;=$F139,AG$5+GanttPeriod-1&gt;=$E139),"━","")))</f>
        <v/>
      </c>
      <c r="AH139" s="69" t="str">
        <f aca="false">IF($E139="","",IF($M139,IF(AND($G139&gt;=AH$5,$G139&lt;AH$5+GanttPeriod),"◆",IF(AND($E139&gt;=AH$5,$E139&lt;AH$5+GanttPeriod),"◇","")),IF(AND(AH$5&lt;=$F139,AH$5+GanttPeriod-1&gt;=$E139),"━","")))</f>
        <v/>
      </c>
      <c r="AI139" s="69" t="str">
        <f aca="false">IF($E139="","",IF($M139,IF(AND($G139&gt;=AI$5,$G139&lt;AI$5+GanttPeriod),"◆",IF(AND($E139&gt;=AI$5,$E139&lt;AI$5+GanttPeriod),"◇","")),IF(AND(AI$5&lt;=$F139,AI$5+GanttPeriod-1&gt;=$E139),"━","")))</f>
        <v/>
      </c>
      <c r="AJ139" s="69" t="str">
        <f aca="false">IF($E139="","",IF($M139,IF(AND($G139&gt;=AJ$5,$G139&lt;AJ$5+GanttPeriod),"◆",IF(AND($E139&gt;=AJ$5,$E139&lt;AJ$5+GanttPeriod),"◇","")),IF(AND(AJ$5&lt;=$F139,AJ$5+GanttPeriod-1&gt;=$E139),"━","")))</f>
        <v/>
      </c>
      <c r="AK139" s="69" t="str">
        <f aca="false">IF($E139="","",IF($M139,IF(AND($G139&gt;=AK$5,$G139&lt;AK$5+GanttPeriod),"◆",IF(AND($E139&gt;=AK$5,$E139&lt;AK$5+GanttPeriod),"◇","")),IF(AND(AK$5&lt;=$F139,AK$5+GanttPeriod-1&gt;=$E139),"━","")))</f>
        <v/>
      </c>
      <c r="AL139" s="69" t="str">
        <f aca="false">IF($E139="","",IF($M139,IF(AND($G139&gt;=AL$5,$G139&lt;AL$5+GanttPeriod),"◆",IF(AND($E139&gt;=AL$5,$E139&lt;AL$5+GanttPeriod),"◇","")),IF(AND(AL$5&lt;=$F139,AL$5+GanttPeriod-1&gt;=$E139),"━","")))</f>
        <v/>
      </c>
      <c r="AM139" s="69" t="str">
        <f aca="false">IF($E139="","",IF($M139,IF(AND($G139&gt;=AM$5,$G139&lt;AM$5+GanttPeriod),"◆",IF(AND($E139&gt;=AM$5,$E139&lt;AM$5+GanttPeriod),"◇","")),IF(AND(AM$5&lt;=$F139,AM$5+GanttPeriod-1&gt;=$E139),"━","")))</f>
        <v/>
      </c>
      <c r="AN139" s="69" t="str">
        <f aca="false">IF($E139="","",IF($M139,IF(AND($G139&gt;=AN$5,$G139&lt;AN$5+GanttPeriod),"◆",IF(AND($E139&gt;=AN$5,$E139&lt;AN$5+GanttPeriod),"◇","")),IF(AND(AN$5&lt;=$F139,AN$5+GanttPeriod-1&gt;=$E139),"━","")))</f>
        <v/>
      </c>
      <c r="AO139" s="69" t="str">
        <f aca="false">IF($E139="","",IF($M139,IF(AND($G139&gt;=AO$5,$G139&lt;AO$5+GanttPeriod),"◆",IF(AND($E139&gt;=AO$5,$E139&lt;AO$5+GanttPeriod),"◇","")),IF(AND(AO$5&lt;=$F139,AO$5+GanttPeriod-1&gt;=$E139),"━","")))</f>
        <v/>
      </c>
      <c r="AP139" s="69" t="str">
        <f aca="false">IF($E139="","",IF($M139,IF(AND($G139&gt;=AP$5,$G139&lt;AP$5+GanttPeriod),"◆",IF(AND($E139&gt;=AP$5,$E139&lt;AP$5+GanttPeriod),"◇","")),IF(AND(AP$5&lt;=$F139,AP$5+GanttPeriod-1&gt;=$E139),"━","")))</f>
        <v/>
      </c>
      <c r="AQ139" s="69" t="str">
        <f aca="false">IF($E139="","",IF($M139,IF(AND($G139&gt;=AQ$5,$G139&lt;AQ$5+GanttPeriod),"◆",IF(AND($E139&gt;=AQ$5,$E139&lt;AQ$5+GanttPeriod),"◇","")),IF(AND(AQ$5&lt;=$F139,AQ$5+GanttPeriod-1&gt;=$E139),"━","")))</f>
        <v/>
      </c>
      <c r="AR139" s="69" t="str">
        <f aca="false">IF($E139="","",IF($M139,IF(AND($G139&gt;=AR$5,$G139&lt;AR$5+GanttPeriod),"◆",IF(AND($E139&gt;=AR$5,$E139&lt;AR$5+GanttPeriod),"◇","")),IF(AND(AR$5&lt;=$F139,AR$5+GanttPeriod-1&gt;=$E139),"━","")))</f>
        <v/>
      </c>
      <c r="AS139" s="69" t="str">
        <f aca="false">IF($E139="","",IF($M139,IF(AND($G139&gt;=AS$5,$G139&lt;AS$5+GanttPeriod),"◆",IF(AND($E139&gt;=AS$5,$E139&lt;AS$5+GanttPeriod),"◇","")),IF(AND(AS$5&lt;=$F139,AS$5+GanttPeriod-1&gt;=$E139),"━","")))</f>
        <v/>
      </c>
      <c r="AT139" s="69" t="str">
        <f aca="false">IF($E139="","",IF($M139,IF(AND($G139&gt;=AT$5,$G139&lt;AT$5+GanttPeriod),"◆",IF(AND($E139&gt;=AT$5,$E139&lt;AT$5+GanttPeriod),"◇","")),IF(AND(AT$5&lt;=$F139,AT$5+GanttPeriod-1&gt;=$E139),"━","")))</f>
        <v/>
      </c>
      <c r="AU139" s="69" t="str">
        <f aca="false">IF($E139="","",IF($M139,IF(AND($G139&gt;=AU$5,$G139&lt;AU$5+GanttPeriod),"◆",IF(AND($E139&gt;=AU$5,$E139&lt;AU$5+GanttPeriod),"◇","")),IF(AND(AU$5&lt;=$F139,AU$5+GanttPeriod-1&gt;=$E139),"━","")))</f>
        <v/>
      </c>
      <c r="AV139" s="69" t="str">
        <f aca="false">IF($E139="","",IF($M139,IF(AND($G139&gt;=AV$5,$G139&lt;AV$5+GanttPeriod),"◆",IF(AND($E139&gt;=AV$5,$E139&lt;AV$5+GanttPeriod),"◇","")),IF(AND(AV$5&lt;=$F139,AV$5+GanttPeriod-1&gt;=$E139),"━","")))</f>
        <v/>
      </c>
      <c r="AW139" s="69" t="str">
        <f aca="false">IF($E139="","",IF($M139,IF(AND($G139&gt;=AW$5,$G139&lt;AW$5+GanttPeriod),"◆",IF(AND($E139&gt;=AW$5,$E139&lt;AW$5+GanttPeriod),"◇","")),IF(AND(AW$5&lt;=$F139,AW$5+GanttPeriod-1&gt;=$E139),"━","")))</f>
        <v/>
      </c>
      <c r="AX139" s="69" t="str">
        <f aca="false">IF($E139="","",IF($M139,IF(AND($G139&gt;=AX$5,$G139&lt;AX$5+GanttPeriod),"◆",IF(AND($E139&gt;=AX$5,$E139&lt;AX$5+GanttPeriod),"◇","")),IF(AND(AX$5&lt;=$F139,AX$5+GanttPeriod-1&gt;=$E139),"━","")))</f>
        <v/>
      </c>
      <c r="AY139" s="69" t="str">
        <f aca="false">IF($E139="","",IF($M139,IF(AND($G139&gt;=AY$5,$G139&lt;AY$5+GanttPeriod),"◆",IF(AND($E139&gt;=AY$5,$E139&lt;AY$5+GanttPeriod),"◇","")),IF(AND(AY$5&lt;=$F139,AY$5+GanttPeriod-1&gt;=$E139),"━","")))</f>
        <v/>
      </c>
      <c r="AZ139" s="69" t="str">
        <f aca="false">IF($E139="","",IF($M139,IF(AND($G139&gt;=AZ$5,$G139&lt;AZ$5+GanttPeriod),"◆",IF(AND($E139&gt;=AZ$5,$E139&lt;AZ$5+GanttPeriod),"◇","")),IF(AND(AZ$5&lt;=$F139,AZ$5+GanttPeriod-1&gt;=$E139),"━","")))</f>
        <v/>
      </c>
      <c r="BA139" s="69" t="str">
        <f aca="false">IF($E139="","",IF($M139,IF(AND($G139&gt;=BA$5,$G139&lt;BA$5+GanttPeriod),"◆",IF(AND($E139&gt;=BA$5,$E139&lt;BA$5+GanttPeriod),"◇","")),IF(AND(BA$5&lt;=$F139,BA$5+GanttPeriod-1&gt;=$E139),"━","")))</f>
        <v/>
      </c>
      <c r="BB139" s="69" t="str">
        <f aca="false">IF($E139="","",IF($M139,IF(AND($G139&gt;=BB$5,$G139&lt;BB$5+GanttPeriod),"◆",IF(AND($E139&gt;=BB$5,$E139&lt;BB$5+GanttPeriod),"◇","")),IF(AND(BB$5&lt;=$F139,BB$5+GanttPeriod-1&gt;=$E139),"━","")))</f>
        <v/>
      </c>
      <c r="BC139" s="69" t="str">
        <f aca="false">IF($E139="","",IF($M139,IF(AND($G139&gt;=BC$5,$G139&lt;BC$5+GanttPeriod),"◆",IF(AND($E139&gt;=BC$5,$E139&lt;BC$5+GanttPeriod),"◇","")),IF(AND(BC$5&lt;=$F139,BC$5+GanttPeriod-1&gt;=$E139),"━","")))</f>
        <v/>
      </c>
      <c r="BD139" s="69" t="str">
        <f aca="false">IF($E139="","",IF($M139,IF(AND($G139&gt;=BD$5,$G139&lt;BD$5+GanttPeriod),"◆",IF(AND($E139&gt;=BD$5,$E139&lt;BD$5+GanttPeriod),"◇","")),IF(AND(BD$5&lt;=$F139,BD$5+GanttPeriod-1&gt;=$E139),"━","")))</f>
        <v/>
      </c>
      <c r="BE139" s="69" t="str">
        <f aca="false">IF($E139="","",IF($M139,IF(AND($G139&gt;=BE$5,$G139&lt;BE$5+GanttPeriod),"◆",IF(AND($E139&gt;=BE$5,$E139&lt;BE$5+GanttPeriod),"◇","")),IF(AND(BE$5&lt;=$F139,BE$5+GanttPeriod-1&gt;=$E139),"━","")))</f>
        <v/>
      </c>
      <c r="BF139" s="69" t="str">
        <f aca="false">IF($E139="","",IF($M139,IF(AND($G139&gt;=BF$5,$G139&lt;BF$5+GanttPeriod),"◆",IF(AND($E139&gt;=BF$5,$E139&lt;BF$5+GanttPeriod),"◇","")),IF(AND(BF$5&lt;=$F139,BF$5+GanttPeriod-1&gt;=$E139),"━","")))</f>
        <v/>
      </c>
      <c r="BG139" s="69" t="str">
        <f aca="false">IF($E139="","",IF($M139,IF(AND($G139&gt;=BG$5,$G139&lt;BG$5+GanttPeriod),"◆",IF(AND($E139&gt;=BG$5,$E139&lt;BG$5+GanttPeriod),"◇","")),IF(AND(BG$5&lt;=$F139,BG$5+GanttPeriod-1&gt;=$E139),"━","")))</f>
        <v/>
      </c>
      <c r="BH139" s="69" t="str">
        <f aca="false">IF($E139="","",IF($M139,IF(AND($G139&gt;=BH$5,$G139&lt;BH$5+GanttPeriod),"◆",IF(AND($E139&gt;=BH$5,$E139&lt;BH$5+GanttPeriod),"◇","")),IF(AND(BH$5&lt;=$F139,BH$5+GanttPeriod-1&gt;=$E139),"━","")))</f>
        <v/>
      </c>
      <c r="BI139" s="69" t="str">
        <f aca="false">IF($E139="","",IF($M139,IF(AND($G139&gt;=BI$5,$G139&lt;BI$5+GanttPeriod),"◆",IF(AND($E139&gt;=BI$5,$E139&lt;BI$5+GanttPeriod),"◇","")),IF(AND(BI$5&lt;=$F139,BI$5+GanttPeriod-1&gt;=$E139),"━","")))</f>
        <v/>
      </c>
      <c r="BJ139" s="69" t="str">
        <f aca="false">IF($E139="","",IF($M139,IF(AND($G139&gt;=BJ$5,$G139&lt;BJ$5+GanttPeriod),"◆",IF(AND($E139&gt;=BJ$5,$E139&lt;BJ$5+GanttPeriod),"◇","")),IF(AND(BJ$5&lt;=$F139,BJ$5+GanttPeriod-1&gt;=$E139),"━","")))</f>
        <v/>
      </c>
      <c r="BK139" s="69" t="str">
        <f aca="false">IF($E139="","",IF($M139,IF(AND($G139&gt;=BK$5,$G139&lt;BK$5+GanttPeriod),"◆",IF(AND($E139&gt;=BK$5,$E139&lt;BK$5+GanttPeriod),"◇","")),IF(AND(BK$5&lt;=$F139,BK$5+GanttPeriod-1&gt;=$E139),"━","")))</f>
        <v/>
      </c>
      <c r="BL139" s="69" t="str">
        <f aca="false">IF($E139="","",IF($M139,IF(AND($G139&gt;=BL$5,$G139&lt;BL$5+GanttPeriod),"◆",IF(AND($E139&gt;=BL$5,$E139&lt;BL$5+GanttPeriod),"◇","")),IF(AND(BL$5&lt;=$F139,BL$5+GanttPeriod-1&gt;=$E139),"━","")))</f>
        <v/>
      </c>
      <c r="BM139" s="69" t="str">
        <f aca="false">IF($E139="","",IF($M139,IF(AND($G139&gt;=BM$5,$G139&lt;BM$5+GanttPeriod),"◆",IF(AND($E139&gt;=BM$5,$E139&lt;BM$5+GanttPeriod),"◇","")),IF(AND(BM$5&lt;=$F139,BM$5+GanttPeriod-1&gt;=$E139),"━","")))</f>
        <v/>
      </c>
      <c r="BN139" s="69" t="str">
        <f aca="false">IF($E139="","",IF($M139,IF(AND($G139&gt;=BN$5,$G139&lt;BN$5+GanttPeriod),"◆",IF(AND($E139&gt;=BN$5,$E139&lt;BN$5+GanttPeriod),"◇","")),IF(AND(BN$5&lt;=$F139,BN$5+GanttPeriod-1&gt;=$E139),"━","")))</f>
        <v/>
      </c>
      <c r="BO139" s="69" t="str">
        <f aca="false">IF($E139="","",IF($M139,IF(AND($G139&gt;=BO$5,$G139&lt;BO$5+GanttPeriod),"◆",IF(AND($E139&gt;=BO$5,$E139&lt;BO$5+GanttPeriod),"◇","")),IF(AND(BO$5&lt;=$F139,BO$5+GanttPeriod-1&gt;=$E139),"━","")))</f>
        <v/>
      </c>
      <c r="BP139" s="69" t="str">
        <f aca="false">IF($E139="","",IF($M139,IF(AND($G139&gt;=BP$5,$G139&lt;BP$5+GanttPeriod),"◆",IF(AND($E139&gt;=BP$5,$E139&lt;BP$5+GanttPeriod),"◇","")),IF(AND(BP$5&lt;=$F139,BP$5+GanttPeriod-1&gt;=$E139),"━","")))</f>
        <v/>
      </c>
      <c r="BQ139" s="69" t="str">
        <f aca="false">IF($E139="","",IF($M139,IF(AND($G139&gt;=BQ$5,$G139&lt;BQ$5+GanttPeriod),"◆",IF(AND($E139&gt;=BQ$5,$E139&lt;BQ$5+GanttPeriod),"◇","")),IF(AND(BQ$5&lt;=$F139,BQ$5+GanttPeriod-1&gt;=$E139),"━","")))</f>
        <v/>
      </c>
      <c r="BR139" s="69" t="str">
        <f aca="false">IF($E139="","",IF($M139,IF(AND($G139&gt;=BR$5,$G139&lt;BR$5+GanttPeriod),"◆",IF(AND($E139&gt;=BR$5,$E139&lt;BR$5+GanttPeriod),"◇","")),IF(AND(BR$5&lt;=$F139,BR$5+GanttPeriod-1&gt;=$E139),"━","")))</f>
        <v/>
      </c>
      <c r="BS139" s="69" t="str">
        <f aca="false">IF($E139="","",IF($M139,IF(AND($G139&gt;=BS$5,$G139&lt;BS$5+GanttPeriod),"◆",IF(AND($E139&gt;=BS$5,$E139&lt;BS$5+GanttPeriod),"◇","")),IF(AND(BS$5&lt;=$F139,BS$5+GanttPeriod-1&gt;=$E139),"━","")))</f>
        <v/>
      </c>
      <c r="BT139" s="69" t="str">
        <f aca="false">IF($E139="","",IF($M139,IF(AND($G139&gt;=BT$5,$G139&lt;BT$5+GanttPeriod),"◆",IF(AND($E139&gt;=BT$5,$E139&lt;BT$5+GanttPeriod),"◇","")),IF(AND(BT$5&lt;=$F139,BT$5+GanttPeriod-1&gt;=$E139),"━","")))</f>
        <v/>
      </c>
      <c r="BU139" s="69" t="str">
        <f aca="false">IF($E139="","",IF($M139,IF(AND($G139&gt;=BU$5,$G139&lt;BU$5+GanttPeriod),"◆",IF(AND($E139&gt;=BU$5,$E139&lt;BU$5+GanttPeriod),"◇","")),IF(AND(BU$5&lt;=$F139,BU$5+GanttPeriod-1&gt;=$E139),"━","")))</f>
        <v/>
      </c>
      <c r="BV139" s="69" t="str">
        <f aca="false">IF($E139="","",IF($M139,IF(AND($G139&gt;=BV$5,$G139&lt;BV$5+GanttPeriod),"◆",IF(AND($E139&gt;=BV$5,$E139&lt;BV$5+GanttPeriod),"◇","")),IF(AND(BV$5&lt;=$F139,BV$5+GanttPeriod-1&gt;=$E139),"━","")))</f>
        <v/>
      </c>
      <c r="BW139" s="69" t="str">
        <f aca="false">IF($E139="","",IF($M139,IF(AND($G139&gt;=BW$5,$G139&lt;BW$5+GanttPeriod),"◆",IF(AND($E139&gt;=BW$5,$E139&lt;BW$5+GanttPeriod),"◇","")),IF(AND(BW$5&lt;=$F139,BW$5+GanttPeriod-1&gt;=$E139),"━","")))</f>
        <v/>
      </c>
      <c r="BX139" s="69" t="str">
        <f aca="false">IF($E139="","",IF($M139,IF(AND($G139&gt;=BX$5,$G139&lt;BX$5+GanttPeriod),"◆",IF(AND($E139&gt;=BX$5,$E139&lt;BX$5+GanttPeriod),"◇","")),IF(AND(BX$5&lt;=$F139,BX$5+GanttPeriod-1&gt;=$E139),"━","")))</f>
        <v/>
      </c>
      <c r="BY139" s="69" t="str">
        <f aca="false">IF($E139="","",IF($M139,IF(AND($G139&gt;=BY$5,$G139&lt;BY$5+GanttPeriod),"◆",IF(AND($E139&gt;=BY$5,$E139&lt;BY$5+GanttPeriod),"◇","")),IF(AND(BY$5&lt;=$F139,BY$5+GanttPeriod-1&gt;=$E139),"━","")))</f>
        <v/>
      </c>
      <c r="BZ139" s="69" t="str">
        <f aca="false">IF($E139="","",IF($M139,IF(AND($G139&gt;=BZ$5,$G139&lt;BZ$5+GanttPeriod),"◆",IF(AND($E139&gt;=BZ$5,$E139&lt;BZ$5+GanttPeriod),"◇","")),IF(AND(BZ$5&lt;=$F139,BZ$5+GanttPeriod-1&gt;=$E139),"━","")))</f>
        <v/>
      </c>
      <c r="CA139" s="69" t="str">
        <f aca="false">IF($E139="","",IF($M139,IF(AND($G139&gt;=CA$5,$G139&lt;CA$5+GanttPeriod),"◆",IF(AND($E139&gt;=CA$5,$E139&lt;CA$5+GanttPeriod),"◇","")),IF(AND(CA$5&lt;=$F139,CA$5+GanttPeriod-1&gt;=$E139),"━","")))</f>
        <v/>
      </c>
      <c r="CB139" s="69" t="str">
        <f aca="false">IF($E139="","",IF($M139,IF(AND($G139&gt;=CB$5,$G139&lt;CB$5+GanttPeriod),"◆",IF(AND($E139&gt;=CB$5,$E139&lt;CB$5+GanttPeriod),"◇","")),IF(AND(CB$5&lt;=$F139,CB$5+GanttPeriod-1&gt;=$E139),"━","")))</f>
        <v/>
      </c>
      <c r="CC139" s="69" t="str">
        <f aca="false">IF($E139="","",IF($M139,IF(AND($G139&gt;=CC$5,$G139&lt;CC$5+GanttPeriod),"◆",IF(AND($E139&gt;=CC$5,$E139&lt;CC$5+GanttPeriod),"◇","")),IF(AND(CC$5&lt;=$F139,CC$5+GanttPeriod-1&gt;=$E139),"━","")))</f>
        <v/>
      </c>
      <c r="CD139" s="69" t="str">
        <f aca="false">IF($E139="","",IF($M139,IF(AND($G139&gt;=CD$5,$G139&lt;CD$5+GanttPeriod),"◆",IF(AND($E139&gt;=CD$5,$E139&lt;CD$5+GanttPeriod),"◇","")),IF(AND(CD$5&lt;=$F139,CD$5+GanttPeriod-1&gt;=$E139),"━","")))</f>
        <v/>
      </c>
      <c r="CE139" s="69" t="str">
        <f aca="false">IF($E139="","",IF($M139,IF(AND($G139&gt;=CE$5,$G139&lt;CE$5+GanttPeriod),"◆",IF(AND($E139&gt;=CE$5,$E139&lt;CE$5+GanttPeriod),"◇","")),IF(AND(CE$5&lt;=$F139,CE$5+GanttPeriod-1&gt;=$E139),"━","")))</f>
        <v/>
      </c>
      <c r="CF139" s="69" t="str">
        <f aca="false">IF($E139="","",IF($M139,IF(AND($G139&gt;=CF$5,$G139&lt;CF$5+GanttPeriod),"◆",IF(AND($E139&gt;=CF$5,$E139&lt;CF$5+GanttPeriod),"◇","")),IF(AND(CF$5&lt;=$F139,CF$5+GanttPeriod-1&gt;=$E139),"━","")))</f>
        <v/>
      </c>
      <c r="CG139" s="69" t="str">
        <f aca="false">IF($E139="","",IF($M139,IF(AND($G139&gt;=CG$5,$G139&lt;CG$5+GanttPeriod),"◆",IF(AND($E139&gt;=CG$5,$E139&lt;CG$5+GanttPeriod),"◇","")),IF(AND(CG$5&lt;=$F139,CG$5+GanttPeriod-1&gt;=$E139),"━","")))</f>
        <v/>
      </c>
      <c r="CH139" s="69" t="str">
        <f aca="false">IF($E139="","",IF($M139,IF(AND($G139&gt;=CH$5,$G139&lt;CH$5+GanttPeriod),"◆",IF(AND($E139&gt;=CH$5,$E139&lt;CH$5+GanttPeriod),"◇","")),IF(AND(CH$5&lt;=$F139,CH$5+GanttPeriod-1&gt;=$E139),"━","")))</f>
        <v/>
      </c>
      <c r="CI139" s="69" t="str">
        <f aca="false">IF($E139="","",IF($M139,IF(AND($G139&gt;=CI$5,$G139&lt;CI$5+GanttPeriod),"◆",IF(AND($E139&gt;=CI$5,$E139&lt;CI$5+GanttPeriod),"◇","")),IF(AND(CI$5&lt;=$F139,CI$5+GanttPeriod-1&gt;=$E139),"━","")))</f>
        <v/>
      </c>
      <c r="CJ139" s="69" t="str">
        <f aca="false">IF($E139="","",IF($M139,IF(AND($G139&gt;=CJ$5,$G139&lt;CJ$5+GanttPeriod),"◆",IF(AND($E139&gt;=CJ$5,$E139&lt;CJ$5+GanttPeriod),"◇","")),IF(AND(CJ$5&lt;=$F139,CJ$5+GanttPeriod-1&gt;=$E139),"━","")))</f>
        <v/>
      </c>
      <c r="CK139" s="69" t="str">
        <f aca="false">IF($E139="","",IF($M139,IF(AND($G139&gt;=CK$5,$G139&lt;CK$5+GanttPeriod),"◆",IF(AND($E139&gt;=CK$5,$E139&lt;CK$5+GanttPeriod),"◇","")),IF(AND(CK$5&lt;=$F139,CK$5+GanttPeriod-1&gt;=$E139),"━","")))</f>
        <v/>
      </c>
      <c r="CL139" s="69" t="str">
        <f aca="false">IF($E139="","",IF($M139,IF(AND($G139&gt;=CL$5,$G139&lt;CL$5+GanttPeriod),"◆",IF(AND($E139&gt;=CL$5,$E139&lt;CL$5+GanttPeriod),"◇","")),IF(AND(CL$5&lt;=$F139,CL$5+GanttPeriod-1&gt;=$E139),"━","")))</f>
        <v/>
      </c>
      <c r="CM139" s="69" t="str">
        <f aca="false">IF($E139="","",IF($M139,IF(AND($G139&gt;=CM$5,$G139&lt;CM$5+GanttPeriod),"◆",IF(AND($E139&gt;=CM$5,$E139&lt;CM$5+GanttPeriod),"◇","")),IF(AND(CM$5&lt;=$F139,CM$5+GanttPeriod-1&gt;=$E139),"━","")))</f>
        <v/>
      </c>
      <c r="CN139" s="69" t="str">
        <f aca="false">IF($E139="","",IF($M139,IF(AND($G139&gt;=CN$5,$G139&lt;CN$5+GanttPeriod),"◆",IF(AND($E139&gt;=CN$5,$E139&lt;CN$5+GanttPeriod),"◇","")),IF(AND(CN$5&lt;=$F139,CN$5+GanttPeriod-1&gt;=$E139),"━","")))</f>
        <v/>
      </c>
      <c r="CO139" s="69" t="str">
        <f aca="false">IF($E139="","",IF($M139,IF(AND($G139&gt;=CO$5,$G139&lt;CO$5+GanttPeriod),"◆",IF(AND($E139&gt;=CO$5,$E139&lt;CO$5+GanttPeriod),"◇","")),IF(AND(CO$5&lt;=$F139,CO$5+GanttPeriod-1&gt;=$E139),"━","")))</f>
        <v/>
      </c>
      <c r="CP139" s="69" t="str">
        <f aca="false">IF($E139="","",IF($M139,IF(AND($G139&gt;=CP$5,$G139&lt;CP$5+GanttPeriod),"◆",IF(AND($E139&gt;=CP$5,$E139&lt;CP$5+GanttPeriod),"◇","")),IF(AND(CP$5&lt;=$F139,CP$5+GanttPeriod-1&gt;=$E139),"━","")))</f>
        <v/>
      </c>
      <c r="CQ139" s="69" t="str">
        <f aca="false">IF($E139="","",IF($M139,IF(AND($G139&gt;=CQ$5,$G139&lt;CQ$5+GanttPeriod),"◆",IF(AND($E139&gt;=CQ$5,$E139&lt;CQ$5+GanttPeriod),"◇","")),IF(AND(CQ$5&lt;=$F139,CQ$5+GanttPeriod-1&gt;=$E139),"━","")))</f>
        <v/>
      </c>
      <c r="CR139" s="69" t="str">
        <f aca="false">IF($E139="","",IF($M139,IF(AND($G139&gt;=CR$5,$G139&lt;CR$5+GanttPeriod),"◆",IF(AND($E139&gt;=CR$5,$E139&lt;CR$5+GanttPeriod),"◇","")),IF(AND(CR$5&lt;=$F139,CR$5+GanttPeriod-1&gt;=$E139),"━","")))</f>
        <v/>
      </c>
      <c r="CS139" s="69" t="str">
        <f aca="false">IF($E139="","",IF($M139,IF(AND($G139&gt;=CS$5,$G139&lt;CS$5+GanttPeriod),"◆",IF(AND($E139&gt;=CS$5,$E139&lt;CS$5+GanttPeriod),"◇","")),IF(AND(CS$5&lt;=$F139,CS$5+GanttPeriod-1&gt;=$E139),"━","")))</f>
        <v/>
      </c>
      <c r="CT139" s="69" t="str">
        <f aca="false">IF($E139="","",IF($M139,IF(AND($G139&gt;=CT$5,$G139&lt;CT$5+GanttPeriod),"◆",IF(AND($E139&gt;=CT$5,$E139&lt;CT$5+GanttPeriod),"◇","")),IF(AND(CT$5&lt;=$F139,CT$5+GanttPeriod-1&gt;=$E139),"━","")))</f>
        <v/>
      </c>
      <c r="CU139" s="69" t="str">
        <f aca="false">IF($E139="","",IF($M139,IF(AND($G139&gt;=CU$5,$G139&lt;CU$5+GanttPeriod),"◆",IF(AND($E139&gt;=CU$5,$E139&lt;CU$5+GanttPeriod),"◇","")),IF(AND(CU$5&lt;=$F139,CU$5+GanttPeriod-1&gt;=$E139),"━","")))</f>
        <v/>
      </c>
      <c r="CV139" s="69" t="str">
        <f aca="false">IF($E139="","",IF($M139,IF(AND($G139&gt;=CV$5,$G139&lt;CV$5+GanttPeriod),"◆",IF(AND($E139&gt;=CV$5,$E139&lt;CV$5+GanttPeriod),"◇","")),IF(AND(CV$5&lt;=$F139,CV$5+GanttPeriod-1&gt;=$E139),"━","")))</f>
        <v/>
      </c>
      <c r="CW139" s="69" t="str">
        <f aca="false">IF($E139="","",IF($M139,IF(AND($G139&gt;=CW$5,$G139&lt;CW$5+GanttPeriod),"◆",IF(AND($E139&gt;=CW$5,$E139&lt;CW$5+GanttPeriod),"◇","")),IF(AND(CW$5&lt;=$F139,CW$5+GanttPeriod-1&gt;=$E139),"━","")))</f>
        <v/>
      </c>
      <c r="CX139" s="69" t="str">
        <f aca="false">IF($E139="","",IF($M139,IF(AND($G139&gt;=CX$5,$G139&lt;CX$5+GanttPeriod),"◆",IF(AND($E139&gt;=CX$5,$E139&lt;CX$5+GanttPeriod),"◇","")),IF(AND(CX$5&lt;=$F139,CX$5+GanttPeriod-1&gt;=$E139),"━","")))</f>
        <v/>
      </c>
      <c r="CY139" s="69" t="str">
        <f aca="false">IF($E139="","",IF($M139,IF(AND($G139&gt;=CY$5,$G139&lt;CY$5+GanttPeriod),"◆",IF(AND($E139&gt;=CY$5,$E139&lt;CY$5+GanttPeriod),"◇","")),IF(AND(CY$5&lt;=$F139,CY$5+GanttPeriod-1&gt;=$E139),"━","")))</f>
        <v/>
      </c>
      <c r="CZ139" s="69" t="str">
        <f aca="false">IF($E139="","",IF($M139,IF(AND($G139&gt;=CZ$5,$G139&lt;CZ$5+GanttPeriod),"◆",IF(AND($E139&gt;=CZ$5,$E139&lt;CZ$5+GanttPeriod),"◇","")),IF(AND(CZ$5&lt;=$F139,CZ$5+GanttPeriod-1&gt;=$E139),"━","")))</f>
        <v/>
      </c>
      <c r="DA139" s="69" t="str">
        <f aca="false">IF($E139="","",IF($M139,IF(AND($G139&gt;=DA$5,$G139&lt;DA$5+GanttPeriod),"◆",IF(AND($E139&gt;=DA$5,$E139&lt;DA$5+GanttPeriod),"◇","")),IF(AND(DA$5&lt;=$F139,DA$5+GanttPeriod-1&gt;=$E139),"━","")))</f>
        <v/>
      </c>
      <c r="DB139" s="69" t="str">
        <f aca="false">IF($E139="","",IF($M139,IF(AND($G139&gt;=DB$5,$G139&lt;DB$5+GanttPeriod),"◆",IF(AND($E139&gt;=DB$5,$E139&lt;DB$5+GanttPeriod),"◇","")),IF(AND(DB$5&lt;=$F139,DB$5+GanttPeriod-1&gt;=$E139),"━","")))</f>
        <v/>
      </c>
      <c r="DC139" s="69" t="str">
        <f aca="false">IF($E139="","",IF($M139,IF(AND($G139&gt;=DC$5,$G139&lt;DC$5+GanttPeriod),"◆",IF(AND($E139&gt;=DC$5,$E139&lt;DC$5+GanttPeriod),"◇","")),IF(AND(DC$5&lt;=$F139,DC$5+GanttPeriod-1&gt;=$E139),"━","")))</f>
        <v/>
      </c>
      <c r="DD139" s="69" t="str">
        <f aca="false">IF($E139="","",IF($M139,IF(AND($G139&gt;=DD$5,$G139&lt;DD$5+GanttPeriod),"◆",IF(AND($E139&gt;=DD$5,$E139&lt;DD$5+GanttPeriod),"◇","")),IF(AND(DD$5&lt;=$F139,DD$5+GanttPeriod-1&gt;=$E139),"━","")))</f>
        <v/>
      </c>
      <c r="DE139" s="69" t="str">
        <f aca="false">IF($E139="","",IF($M139,IF(AND($G139&gt;=DE$5,$G139&lt;DE$5+GanttPeriod),"◆",IF(AND($E139&gt;=DE$5,$E139&lt;DE$5+GanttPeriod),"◇","")),IF(AND(DE$5&lt;=$F139,DE$5+GanttPeriod-1&gt;=$E139),"━","")))</f>
        <v/>
      </c>
      <c r="DF139" s="69" t="str">
        <f aca="false">IF($E139="","",IF($M139,IF(AND($G139&gt;=DF$5,$G139&lt;DF$5+GanttPeriod),"◆",IF(AND($E139&gt;=DF$5,$E139&lt;DF$5+GanttPeriod),"◇","")),IF(AND(DF$5&lt;=$F139,DF$5+GanttPeriod-1&gt;=$E139),"━","")))</f>
        <v/>
      </c>
      <c r="DG139" s="69" t="str">
        <f aca="false">IF($E139="","",IF($M139,IF(AND($G139&gt;=DG$5,$G139&lt;DG$5+GanttPeriod),"◆",IF(AND($E139&gt;=DG$5,$E139&lt;DG$5+GanttPeriod),"◇","")),IF(AND(DG$5&lt;=$F139,DG$5+GanttPeriod-1&gt;=$E139),"━","")))</f>
        <v/>
      </c>
      <c r="DH139" s="69" t="str">
        <f aca="false">IF($E139="","",IF($M139,IF(AND($G139&gt;=DH$5,$G139&lt;DH$5+GanttPeriod),"◆",IF(AND($E139&gt;=DH$5,$E139&lt;DH$5+GanttPeriod),"◇","")),IF(AND(DH$5&lt;=$F139,DH$5+GanttPeriod-1&gt;=$E139),"━","")))</f>
        <v/>
      </c>
      <c r="DI139" s="69" t="str">
        <f aca="false">IF($E139="","",IF($M139,IF(AND($G139&gt;=DI$5,$G139&lt;DI$5+GanttPeriod),"◆",IF(AND($E139&gt;=DI$5,$E139&lt;DI$5+GanttPeriod),"◇","")),IF(AND(DI$5&lt;=$F139,DI$5+GanttPeriod-1&gt;=$E139),"━","")))</f>
        <v/>
      </c>
      <c r="DJ139" s="69" t="str">
        <f aca="false">IF($E139="","",IF($M139,IF(AND($G139&gt;=DJ$5,$G139&lt;DJ$5+GanttPeriod),"◆",IF(AND($E139&gt;=DJ$5,$E139&lt;DJ$5+GanttPeriod),"◇","")),IF(AND(DJ$5&lt;=$F139,DJ$5+GanttPeriod-1&gt;=$E139),"━","")))</f>
        <v/>
      </c>
      <c r="DK139" s="69" t="str">
        <f aca="false">IF($E139="","",IF($M139,IF(AND($G139&gt;=DK$5,$G139&lt;DK$5+GanttPeriod),"◆",IF(AND($E139&gt;=DK$5,$E139&lt;DK$5+GanttPeriod),"◇","")),IF(AND(DK$5&lt;=$F139,DK$5+GanttPeriod-1&gt;=$E139),"━","")))</f>
        <v/>
      </c>
      <c r="DL139" s="69" t="str">
        <f aca="false">IF($E139="","",IF($M139,IF(AND($G139&gt;=DL$5,$G139&lt;DL$5+GanttPeriod),"◆",IF(AND($E139&gt;=DL$5,$E139&lt;DL$5+GanttPeriod),"◇","")),IF(AND(DL$5&lt;=$F139,DL$5+GanttPeriod-1&gt;=$E139),"━","")))</f>
        <v/>
      </c>
      <c r="DM139" s="69" t="str">
        <f aca="false">IF($E139="","",IF($M139,IF(AND($G139&gt;=DM$5,$G139&lt;DM$5+GanttPeriod),"◆",IF(AND($E139&gt;=DM$5,$E139&lt;DM$5+GanttPeriod),"◇","")),IF(AND(DM$5&lt;=$F139,DM$5+GanttPeriod-1&gt;=$E139),"━","")))</f>
        <v/>
      </c>
      <c r="DN139" s="69" t="str">
        <f aca="false">IF($E139="","",IF($M139,IF(AND($G139&gt;=DN$5,$G139&lt;DN$5+GanttPeriod),"◆",IF(AND($E139&gt;=DN$5,$E139&lt;DN$5+GanttPeriod),"◇","")),IF(AND(DN$5&lt;=$F139,DN$5+GanttPeriod-1&gt;=$E139),"━","")))</f>
        <v/>
      </c>
      <c r="DO139" s="69" t="str">
        <f aca="false">IF($E139="","",IF($M139,IF(AND($G139&gt;=DO$5,$G139&lt;DO$5+GanttPeriod),"◆",IF(AND($E139&gt;=DO$5,$E139&lt;DO$5+GanttPeriod),"◇","")),IF(AND(DO$5&lt;=$F139,DO$5+GanttPeriod-1&gt;=$E139),"━","")))</f>
        <v/>
      </c>
      <c r="DP139" s="69" t="str">
        <f aca="false">IF($E139="","",IF($M139,IF(AND($G139&gt;=DP$5,$G139&lt;DP$5+GanttPeriod),"◆",IF(AND($E139&gt;=DP$5,$E139&lt;DP$5+GanttPeriod),"◇","")),IF(AND(DP$5&lt;=$F139,DP$5+GanttPeriod-1&gt;=$E139),"━","")))</f>
        <v/>
      </c>
      <c r="DQ139" s="69" t="str">
        <f aca="false">IF($E139="","",IF($M139,IF(AND($G139&gt;=DQ$5,$G139&lt;DQ$5+GanttPeriod),"◆",IF(AND($E139&gt;=DQ$5,$E139&lt;DQ$5+GanttPeriod),"◇","")),IF(AND(DQ$5&lt;=$F139,DQ$5+GanttPeriod-1&gt;=$E139),"━","")))</f>
        <v/>
      </c>
      <c r="DR139" s="69" t="str">
        <f aca="false">IF($E139="","",IF($M139,IF(AND($G139&gt;=DR$5,$G139&lt;DR$5+GanttPeriod),"◆",IF(AND($E139&gt;=DR$5,$E139&lt;DR$5+GanttPeriod),"◇","")),IF(AND(DR$5&lt;=$F139,DR$5+GanttPeriod-1&gt;=$E139),"━","")))</f>
        <v/>
      </c>
      <c r="DS139" s="69" t="str">
        <f aca="false">IF($E139="","",IF($M139,IF(AND($G139&gt;=DS$5,$G139&lt;DS$5+GanttPeriod),"◆",IF(AND($E139&gt;=DS$5,$E139&lt;DS$5+GanttPeriod),"◇","")),IF(AND(DS$5&lt;=$F139,DS$5+GanttPeriod-1&gt;=$E139),"━","")))</f>
        <v/>
      </c>
      <c r="DT139" s="69" t="str">
        <f aca="false">IF($E139="","",IF($M139,IF(AND($G139&gt;=DT$5,$G139&lt;DT$5+GanttPeriod),"◆",IF(AND($E139&gt;=DT$5,$E139&lt;DT$5+GanttPeriod),"◇","")),IF(AND(DT$5&lt;=$F139,DT$5+GanttPeriod-1&gt;=$E139),"━","")))</f>
        <v/>
      </c>
      <c r="DU139" s="69" t="str">
        <f aca="false">IF($E139="","",IF($M139,IF(AND($G139&gt;=DU$5,$G139&lt;DU$5+GanttPeriod),"◆",IF(AND($E139&gt;=DU$5,$E139&lt;DU$5+GanttPeriod),"◇","")),IF(AND(DU$5&lt;=$F139,DU$5+GanttPeriod-1&gt;=$E139),"━","")))</f>
        <v/>
      </c>
      <c r="DV139" s="69" t="str">
        <f aca="false">IF($E139="","",IF($M139,IF(AND($G139&gt;=DV$5,$G139&lt;DV$5+GanttPeriod),"◆",IF(AND($E139&gt;=DV$5,$E139&lt;DV$5+GanttPeriod),"◇","")),IF(AND(DV$5&lt;=$F139,DV$5+GanttPeriod-1&gt;=$E139),"━","")))</f>
        <v/>
      </c>
      <c r="DW139" s="69" t="str">
        <f aca="false">IF($E139="","",IF($M139,IF(AND($G139&gt;=DW$5,$G139&lt;DW$5+GanttPeriod),"◆",IF(AND($E139&gt;=DW$5,$E139&lt;DW$5+GanttPeriod),"◇","")),IF(AND(DW$5&lt;=$F139,DW$5+GanttPeriod-1&gt;=$E139),"━","")))</f>
        <v/>
      </c>
      <c r="DX139" s="69" t="str">
        <f aca="false">IF($E139="","",IF($M139,IF(AND($G139&gt;=DX$5,$G139&lt;DX$5+GanttPeriod),"◆",IF(AND($E139&gt;=DX$5,$E139&lt;DX$5+GanttPeriod),"◇","")),IF(AND(DX$5&lt;=$F139,DX$5+GanttPeriod-1&gt;=$E139),"━","")))</f>
        <v/>
      </c>
      <c r="DY139" s="69" t="str">
        <f aca="false">IF($E139="","",IF($M139,IF(AND($G139&gt;=DY$5,$G139&lt;DY$5+GanttPeriod),"◆",IF(AND($E139&gt;=DY$5,$E139&lt;DY$5+GanttPeriod),"◇","")),IF(AND(DY$5&lt;=$F139,DY$5+GanttPeriod-1&gt;=$E139),"━","")))</f>
        <v/>
      </c>
      <c r="DZ139" s="69" t="str">
        <f aca="false">IF($E139="","",IF($M139,IF(AND($G139&gt;=DZ$5,$G139&lt;DZ$5+GanttPeriod),"◆",IF(AND($E139&gt;=DZ$5,$E139&lt;DZ$5+GanttPeriod),"◇","")),IF(AND(DZ$5&lt;=$F139,DZ$5+GanttPeriod-1&gt;=$E139),"━","")))</f>
        <v/>
      </c>
      <c r="EA139" s="69" t="str">
        <f aca="false">IF($E139="","",IF($M139,IF(AND($G139&gt;=EA$5,$G139&lt;EA$5+GanttPeriod),"◆",IF(AND($E139&gt;=EA$5,$E139&lt;EA$5+GanttPeriod),"◇","")),IF(AND(EA$5&lt;=$F139,EA$5+GanttPeriod-1&gt;=$E139),"━","")))</f>
        <v/>
      </c>
      <c r="EB139" s="69" t="str">
        <f aca="false">IF($E139="","",IF($M139,IF(AND($G139&gt;=EB$5,$G139&lt;EB$5+GanttPeriod),"◆",IF(AND($E139&gt;=EB$5,$E139&lt;EB$5+GanttPeriod),"◇","")),IF(AND(EB$5&lt;=$F139,EB$5+GanttPeriod-1&gt;=$E139),"━","")))</f>
        <v/>
      </c>
      <c r="EC139" s="69" t="str">
        <f aca="false">IF($E139="","",IF($M139,IF(AND($G139&gt;=EC$5,$G139&lt;EC$5+GanttPeriod),"◆",IF(AND($E139&gt;=EC$5,$E139&lt;EC$5+GanttPeriod),"◇","")),IF(AND(EC$5&lt;=$F139,EC$5+GanttPeriod-1&gt;=$E139),"━","")))</f>
        <v/>
      </c>
      <c r="ED139" s="69" t="str">
        <f aca="false">IF($E139="","",IF($M139,IF(AND($G139&gt;=ED$5,$G139&lt;ED$5+GanttPeriod),"◆",IF(AND($E139&gt;=ED$5,$E139&lt;ED$5+GanttPeriod),"◇","")),IF(AND(ED$5&lt;=$F139,ED$5+GanttPeriod-1&gt;=$E139),"━","")))</f>
        <v/>
      </c>
      <c r="EE139" s="69" t="str">
        <f aca="false">IF($E139="","",IF($M139,IF(AND($G139&gt;=EE$5,$G139&lt;EE$5+GanttPeriod),"◆",IF(AND($E139&gt;=EE$5,$E139&lt;EE$5+GanttPeriod),"◇","")),IF(AND(EE$5&lt;=$F139,EE$5+GanttPeriod-1&gt;=$E139),"━","")))</f>
        <v/>
      </c>
      <c r="EF139" s="69" t="str">
        <f aca="false">IF($E139="","",IF($M139,IF(AND($G139&gt;=EF$5,$G139&lt;EF$5+GanttPeriod),"◆",IF(AND($E139&gt;=EF$5,$E139&lt;EF$5+GanttPeriod),"◇","")),IF(AND(EF$5&lt;=$F139,EF$5+GanttPeriod-1&gt;=$E139),"━","")))</f>
        <v/>
      </c>
      <c r="EG139" s="69" t="str">
        <f aca="false">IF($E139="","",IF($M139,IF(AND($G139&gt;=EG$5,$G139&lt;EG$5+GanttPeriod),"◆",IF(AND($E139&gt;=EG$5,$E139&lt;EG$5+GanttPeriod),"◇","")),IF(AND(EG$5&lt;=$F139,EG$5+GanttPeriod-1&gt;=$E139),"━","")))</f>
        <v/>
      </c>
      <c r="EH139" s="69" t="str">
        <f aca="false">IF($E139="","",IF($M139,IF(AND($G139&gt;=EH$5,$G139&lt;EH$5+GanttPeriod),"◆",IF(AND($E139&gt;=EH$5,$E139&lt;EH$5+GanttPeriod),"◇","")),IF(AND(EH$5&lt;=$F139,EH$5+GanttPeriod-1&gt;=$E139),"━","")))</f>
        <v/>
      </c>
      <c r="EI139" s="69" t="str">
        <f aca="false">IF($E139="","",IF($M139,IF(AND($G139&gt;=EI$5,$G139&lt;EI$5+GanttPeriod),"◆",IF(AND($E139&gt;=EI$5,$E139&lt;EI$5+GanttPeriod),"◇","")),IF(AND(EI$5&lt;=$F139,EI$5+GanttPeriod-1&gt;=$E139),"━","")))</f>
        <v/>
      </c>
      <c r="EJ139" s="69" t="str">
        <f aca="false">IF($E139="","",IF($M139,IF(AND($G139&gt;=EJ$5,$G139&lt;EJ$5+GanttPeriod),"◆",IF(AND($E139&gt;=EJ$5,$E139&lt;EJ$5+GanttPeriod),"◇","")),IF(AND(EJ$5&lt;=$F139,EJ$5+GanttPeriod-1&gt;=$E139),"━","")))</f>
        <v/>
      </c>
      <c r="EK139" s="69" t="str">
        <f aca="false">IF($E139="","",IF($M139,IF(AND($G139&gt;=EK$5,$G139&lt;EK$5+GanttPeriod),"◆",IF(AND($E139&gt;=EK$5,$E139&lt;EK$5+GanttPeriod),"◇","")),IF(AND(EK$5&lt;=$F139,EK$5+GanttPeriod-1&gt;=$E139),"━","")))</f>
        <v/>
      </c>
      <c r="EL139" s="69" t="str">
        <f aca="false">IF($E139="","",IF($M139,IF(AND($G139&gt;=EL$5,$G139&lt;EL$5+GanttPeriod),"◆",IF(AND($E139&gt;=EL$5,$E139&lt;EL$5+GanttPeriod),"◇","")),IF(AND(EL$5&lt;=$F139,EL$5+GanttPeriod-1&gt;=$E139),"━","")))</f>
        <v/>
      </c>
      <c r="EM139" s="69" t="str">
        <f aca="false">IF($E139="","",IF($M139,IF(AND($G139&gt;=EM$5,$G139&lt;EM$5+GanttPeriod),"◆",IF(AND($E139&gt;=EM$5,$E139&lt;EM$5+GanttPeriod),"◇","")),IF(AND(EM$5&lt;=$F139,EM$5+GanttPeriod-1&gt;=$E139),"━","")))</f>
        <v/>
      </c>
      <c r="EN139" s="69" t="str">
        <f aca="false">IF($E139="","",IF($M139,IF(AND($G139&gt;=EN$5,$G139&lt;EN$5+GanttPeriod),"◆",IF(AND($E139&gt;=EN$5,$E139&lt;EN$5+GanttPeriod),"◇","")),IF(AND(EN$5&lt;=$F139,EN$5+GanttPeriod-1&gt;=$E139),"━","")))</f>
        <v/>
      </c>
      <c r="EO139" s="69" t="str">
        <f aca="false">IF($E139="","",IF($M139,IF(AND($G139&gt;=EO$5,$G139&lt;EO$5+GanttPeriod),"◆",IF(AND($E139&gt;=EO$5,$E139&lt;EO$5+GanttPeriod),"◇","")),IF(AND(EO$5&lt;=$F139,EO$5+GanttPeriod-1&gt;=$E139),"━","")))</f>
        <v/>
      </c>
      <c r="EP139" s="69" t="str">
        <f aca="false">IF($E139="","",IF($M139,IF(AND($G139&gt;=EP$5,$G139&lt;EP$5+GanttPeriod),"◆",IF(AND($E139&gt;=EP$5,$E139&lt;EP$5+GanttPeriod),"◇","")),IF(AND(EP$5&lt;=$F139,EP$5+GanttPeriod-1&gt;=$E139),"━","")))</f>
        <v/>
      </c>
      <c r="EQ139" s="69" t="str">
        <f aca="false">IF($E139="","",IF($M139,IF(AND($G139&gt;=EQ$5,$G139&lt;EQ$5+GanttPeriod),"◆",IF(AND($E139&gt;=EQ$5,$E139&lt;EQ$5+GanttPeriod),"◇","")),IF(AND(EQ$5&lt;=$F139,EQ$5+GanttPeriod-1&gt;=$E139),"━","")))</f>
        <v/>
      </c>
      <c r="ER139" s="69" t="str">
        <f aca="false">IF($E139="","",IF($M139,IF(AND($G139&gt;=ER$5,$G139&lt;ER$5+GanttPeriod),"◆",IF(AND($E139&gt;=ER$5,$E139&lt;ER$5+GanttPeriod),"◇","")),IF(AND(ER$5&lt;=$F139,ER$5+GanttPeriod-1&gt;=$E139),"━","")))</f>
        <v/>
      </c>
      <c r="ES139" s="69" t="str">
        <f aca="false">IF($E139="","",IF($M139,IF(AND($G139&gt;=ES$5,$G139&lt;ES$5+GanttPeriod),"◆",IF(AND($E139&gt;=ES$5,$E139&lt;ES$5+GanttPeriod),"◇","")),IF(AND(ES$5&lt;=$F139,ES$5+GanttPeriod-1&gt;=$E139),"━","")))</f>
        <v/>
      </c>
      <c r="ET139" s="69" t="str">
        <f aca="false">IF($E139="","",IF($M139,IF(AND($G139&gt;=ET$5,$G139&lt;ET$5+GanttPeriod),"◆",IF(AND($E139&gt;=ET$5,$E139&lt;ET$5+GanttPeriod),"◇","")),IF(AND(ET$5&lt;=$F139,ET$5+GanttPeriod-1&gt;=$E139),"━","")))</f>
        <v/>
      </c>
      <c r="EU139" s="69" t="str">
        <f aca="false">IF($E139="","",IF($M139,IF(AND($G139&gt;=EU$5,$G139&lt;EU$5+GanttPeriod),"◆",IF(AND($E139&gt;=EU$5,$E139&lt;EU$5+GanttPeriod),"◇","")),IF(AND(EU$5&lt;=$F139,EU$5+GanttPeriod-1&gt;=$E139),"━","")))</f>
        <v/>
      </c>
      <c r="EV139" s="69" t="str">
        <f aca="false">IF($E139="","",IF($M139,IF(AND($G139&gt;=EV$5,$G139&lt;EV$5+GanttPeriod),"◆",IF(AND($E139&gt;=EV$5,$E139&lt;EV$5+GanttPeriod),"◇","")),IF(AND(EV$5&lt;=$F139,EV$5+GanttPeriod-1&gt;=$E139),"━","")))</f>
        <v/>
      </c>
      <c r="EW139" s="69" t="str">
        <f aca="false">IF($E139="","",IF($M139,IF(AND($G139&gt;=EW$5,$G139&lt;EW$5+GanttPeriod),"◆",IF(AND($E139&gt;=EW$5,$E139&lt;EW$5+GanttPeriod),"◇","")),IF(AND(EW$5&lt;=$F139,EW$5+GanttPeriod-1&gt;=$E139),"━","")))</f>
        <v/>
      </c>
      <c r="EX139" s="69" t="str">
        <f aca="false">IF($E139="","",IF($M139,IF(AND($G139&gt;=EX$5,$G139&lt;EX$5+GanttPeriod),"◆",IF(AND($E139&gt;=EX$5,$E139&lt;EX$5+GanttPeriod),"◇","")),IF(AND(EX$5&lt;=$F139,EX$5+GanttPeriod-1&gt;=$E139),"━","")))</f>
        <v/>
      </c>
      <c r="EY139" s="69" t="str">
        <f aca="false">IF($E139="","",IF($M139,IF(AND($G139&gt;=EY$5,$G139&lt;EY$5+GanttPeriod),"◆",IF(AND($E139&gt;=EY$5,$E139&lt;EY$5+GanttPeriod),"◇","")),IF(AND(EY$5&lt;=$F139,EY$5+GanttPeriod-1&gt;=$E139),"━","")))</f>
        <v/>
      </c>
      <c r="EZ139" s="69" t="str">
        <f aca="false">IF($E139="","",IF($M139,IF(AND($G139&gt;=EZ$5,$G139&lt;EZ$5+GanttPeriod),"◆",IF(AND($E139&gt;=EZ$5,$E139&lt;EZ$5+GanttPeriod),"◇","")),IF(AND(EZ$5&lt;=$F139,EZ$5+GanttPeriod-1&gt;=$E139),"━","")))</f>
        <v/>
      </c>
      <c r="FA139" s="69" t="str">
        <f aca="false">IF($E139="","",IF($M139,IF(AND($G139&gt;=FA$5,$G139&lt;FA$5+GanttPeriod),"◆",IF(AND($E139&gt;=FA$5,$E139&lt;FA$5+GanttPeriod),"◇","")),IF(AND(FA$5&lt;=$F139,FA$5+GanttPeriod-1&gt;=$E139),"━","")))</f>
        <v/>
      </c>
      <c r="FB139" s="69" t="str">
        <f aca="false">IF($E139="","",IF($M139,IF(AND($G139&gt;=FB$5,$G139&lt;FB$5+GanttPeriod),"◆",IF(AND($E139&gt;=FB$5,$E139&lt;FB$5+GanttPeriod),"◇","")),IF(AND(FB$5&lt;=$F139,FB$5+GanttPeriod-1&gt;=$E139),"━","")))</f>
        <v/>
      </c>
      <c r="FC139" s="69" t="str">
        <f aca="false">IF($E139="","",IF($M139,IF(AND($G139&gt;=FC$5,$G139&lt;FC$5+GanttPeriod),"◆",IF(AND($E139&gt;=FC$5,$E139&lt;FC$5+GanttPeriod),"◇","")),IF(AND(FC$5&lt;=$F139,FC$5+GanttPeriod-1&gt;=$E139),"━","")))</f>
        <v/>
      </c>
      <c r="FD139" s="69" t="str">
        <f aca="false">IF($E139="","",IF($M139,IF(AND($G139&gt;=FD$5,$G139&lt;FD$5+GanttPeriod),"◆",IF(AND($E139&gt;=FD$5,$E139&lt;FD$5+GanttPeriod),"◇","")),IF(AND(FD$5&lt;=$F139,FD$5+GanttPeriod-1&gt;=$E139),"━","")))</f>
        <v/>
      </c>
      <c r="FE139" s="69" t="str">
        <f aca="false">IF($E139="","",IF($M139,IF(AND($G139&gt;=FE$5,$G139&lt;FE$5+GanttPeriod),"◆",IF(AND($E139&gt;=FE$5,$E139&lt;FE$5+GanttPeriod),"◇","")),IF(AND(FE$5&lt;=$F139,FE$5+GanttPeriod-1&gt;=$E139),"━","")))</f>
        <v/>
      </c>
      <c r="FF139" s="69" t="str">
        <f aca="false">IF($E139="","",IF($M139,IF(AND($G139&gt;=FF$5,$G139&lt;FF$5+GanttPeriod),"◆",IF(AND($E139&gt;=FF$5,$E139&lt;FF$5+GanttPeriod),"◇","")),IF(AND(FF$5&lt;=$F139,FF$5+GanttPeriod-1&gt;=$E139),"━","")))</f>
        <v/>
      </c>
      <c r="FG139" s="69" t="str">
        <f aca="false">IF($E139="","",IF($M139,IF(AND($G139&gt;=FG$5,$G139&lt;FG$5+GanttPeriod),"◆",IF(AND($E139&gt;=FG$5,$E139&lt;FG$5+GanttPeriod),"◇","")),IF(AND(FG$5&lt;=$F139,FG$5+GanttPeriod-1&gt;=$E139),"━","")))</f>
        <v/>
      </c>
      <c r="FH139" s="69" t="str">
        <f aca="false">IF($E139="","",IF($M139,IF(AND($G139&gt;=FH$5,$G139&lt;FH$5+GanttPeriod),"◆",IF(AND($E139&gt;=FH$5,$E139&lt;FH$5+GanttPeriod),"◇","")),IF(AND(FH$5&lt;=$F139,FH$5+GanttPeriod-1&gt;=$E139),"━","")))</f>
        <v/>
      </c>
      <c r="FI139" s="69" t="str">
        <f aca="false">IF($E139="","",IF($M139,IF(AND($G139&gt;=FI$5,$G139&lt;FI$5+GanttPeriod),"◆",IF(AND($E139&gt;=FI$5,$E139&lt;FI$5+GanttPeriod),"◇","")),IF(AND(FI$5&lt;=$F139,FI$5+GanttPeriod-1&gt;=$E139),"━","")))</f>
        <v/>
      </c>
      <c r="FJ139" s="69" t="str">
        <f aca="false">IF($E139="","",IF($M139,IF(AND($G139&gt;=FJ$5,$G139&lt;FJ$5+GanttPeriod),"◆",IF(AND($E139&gt;=FJ$5,$E139&lt;FJ$5+GanttPeriod),"◇","")),IF(AND(FJ$5&lt;=$F139,FJ$5+GanttPeriod-1&gt;=$E139),"━","")))</f>
        <v/>
      </c>
      <c r="FK139" s="69" t="str">
        <f aca="false">IF($E139="","",IF($M139,IF(AND($G139&gt;=FK$5,$G139&lt;FK$5+GanttPeriod),"◆",IF(AND($E139&gt;=FK$5,$E139&lt;FK$5+GanttPeriod),"◇","")),IF(AND(FK$5&lt;=$F139,FK$5+GanttPeriod-1&gt;=$E139),"━","")))</f>
        <v/>
      </c>
      <c r="FL139" s="69" t="str">
        <f aca="false">IF($E139="","",IF($M139,IF(AND($G139&gt;=FL$5,$G139&lt;FL$5+GanttPeriod),"◆",IF(AND($E139&gt;=FL$5,$E139&lt;FL$5+GanttPeriod),"◇","")),IF(AND(FL$5&lt;=$F139,FL$5+GanttPeriod-1&gt;=$E139),"━","")))</f>
        <v/>
      </c>
      <c r="FM139" s="69" t="str">
        <f aca="false">IF($E139="","",IF($M139,IF(AND($G139&gt;=FM$5,$G139&lt;FM$5+GanttPeriod),"◆",IF(AND($E139&gt;=FM$5,$E139&lt;FM$5+GanttPeriod),"◇","")),IF(AND(FM$5&lt;=$F139,FM$5+GanttPeriod-1&gt;=$E139),"━","")))</f>
        <v/>
      </c>
    </row>
    <row r="140" customFormat="false" ht="15" hidden="false" customHeight="false" outlineLevel="0" collapsed="false">
      <c r="A140" s="62" t="str">
        <f aca="false">IF(Tasks!$D140="","",Tasks!$A140)</f>
        <v/>
      </c>
      <c r="B140" s="62" t="str">
        <f aca="false">IF(Tasks!$D140="","",Tasks!$B140)</f>
        <v/>
      </c>
      <c r="C140" s="63" t="str">
        <f aca="false">IF(Tasks!$D140="","",REPT("    ",Tasks!$AE140-1)&amp;Tasks!$D140)</f>
        <v/>
      </c>
      <c r="D140" s="62" t="str">
        <f aca="false">IF(Tasks!$D140="","",IF(Tasks!$AI140,NETWORKDAYS.INTL(Tasks!$R140,Tasks!$S140,WorkWeek,Holidays),N(Tasks!$F140)))</f>
        <v/>
      </c>
      <c r="E140" s="64" t="str">
        <f aca="false">IF(Tasks!$D140="","",Tasks!$N140)</f>
        <v/>
      </c>
      <c r="F140" s="64" t="str">
        <f aca="false">IF(Tasks!$D140="","",Tasks!$O140)</f>
        <v/>
      </c>
      <c r="G140" s="64" t="str">
        <f aca="false">IF(Tasks!$D140="","",Tasks!$R140)</f>
        <v/>
      </c>
      <c r="H140" s="64" t="str">
        <f aca="false">IF(Tasks!$D140="","",Tasks!$S140)</f>
        <v/>
      </c>
      <c r="I140" s="65" t="str">
        <f aca="false">IF(Tasks!$D140="","",Tasks!$V140)</f>
        <v/>
      </c>
      <c r="J140" s="63" t="str">
        <f aca="false">IF(Tasks!$D140="","",Tasks!$X140&amp;"")</f>
        <v/>
      </c>
      <c r="K140" s="66" t="str">
        <f aca="false">IF(Tasks!$D140="","",Tasks!$W140)</f>
        <v/>
      </c>
      <c r="L140" s="67" t="b">
        <f aca="false">IF(Tasks!$D140="",FALSE(),Tasks!$AI140)</f>
        <v>0</v>
      </c>
      <c r="M140" s="67" t="b">
        <f aca="false">AND(Tasks!$AJ140=1,N(Tasks!$F140)=0)</f>
        <v>0</v>
      </c>
      <c r="N140" s="68" t="n">
        <f aca="false">IF(AND(Tasks!$AJ140=1,NOT($M140),N($I140)&gt;0),$G140,0)</f>
        <v>0</v>
      </c>
      <c r="O140" s="68" t="n">
        <f aca="false">IF($N140=0,0,IF($I140&gt;=1,$H140,MAX($N140,$G140+ROUND(($H140-$G140+1)*$I140,0)-1)))</f>
        <v>0</v>
      </c>
      <c r="P140" s="68" t="n">
        <f aca="false">IF(OR(Tasks!$AJ140&lt;&gt;1,$M140,N($I140)&gt;=1),0,IF($O140&gt;0,$O140+1,$G140))</f>
        <v>0</v>
      </c>
      <c r="Q140" s="68" t="n">
        <f aca="false">IF($P140=0,0,$H140)</f>
        <v>0</v>
      </c>
      <c r="R140" s="67" t="b">
        <f aca="false">AND(Tasks!$D140&lt;&gt;"",N(Tasks!$T140)&gt;0)</f>
        <v>0</v>
      </c>
      <c r="T140" s="69" t="str">
        <f aca="false">IF($E140="","",IF($M140,IF(AND($G140&gt;=T$5,$G140&lt;T$5+GanttPeriod),"◆",IF(AND($E140&gt;=T$5,$E140&lt;T$5+GanttPeriod),"◇","")),IF(AND(T$5&lt;=$F140,T$5+GanttPeriod-1&gt;=$E140),"━","")))</f>
        <v/>
      </c>
      <c r="U140" s="69" t="str">
        <f aca="false">IF($E140="","",IF($M140,IF(AND($G140&gt;=U$5,$G140&lt;U$5+GanttPeriod),"◆",IF(AND($E140&gt;=U$5,$E140&lt;U$5+GanttPeriod),"◇","")),IF(AND(U$5&lt;=$F140,U$5+GanttPeriod-1&gt;=$E140),"━","")))</f>
        <v/>
      </c>
      <c r="V140" s="69" t="str">
        <f aca="false">IF($E140="","",IF($M140,IF(AND($G140&gt;=V$5,$G140&lt;V$5+GanttPeriod),"◆",IF(AND($E140&gt;=V$5,$E140&lt;V$5+GanttPeriod),"◇","")),IF(AND(V$5&lt;=$F140,V$5+GanttPeriod-1&gt;=$E140),"━","")))</f>
        <v/>
      </c>
      <c r="W140" s="69" t="str">
        <f aca="false">IF($E140="","",IF($M140,IF(AND($G140&gt;=W$5,$G140&lt;W$5+GanttPeriod),"◆",IF(AND($E140&gt;=W$5,$E140&lt;W$5+GanttPeriod),"◇","")),IF(AND(W$5&lt;=$F140,W$5+GanttPeriod-1&gt;=$E140),"━","")))</f>
        <v/>
      </c>
      <c r="X140" s="69" t="str">
        <f aca="false">IF($E140="","",IF($M140,IF(AND($G140&gt;=X$5,$G140&lt;X$5+GanttPeriod),"◆",IF(AND($E140&gt;=X$5,$E140&lt;X$5+GanttPeriod),"◇","")),IF(AND(X$5&lt;=$F140,X$5+GanttPeriod-1&gt;=$E140),"━","")))</f>
        <v/>
      </c>
      <c r="Y140" s="69" t="str">
        <f aca="false">IF($E140="","",IF($M140,IF(AND($G140&gt;=Y$5,$G140&lt;Y$5+GanttPeriod),"◆",IF(AND($E140&gt;=Y$5,$E140&lt;Y$5+GanttPeriod),"◇","")),IF(AND(Y$5&lt;=$F140,Y$5+GanttPeriod-1&gt;=$E140),"━","")))</f>
        <v/>
      </c>
      <c r="Z140" s="69" t="str">
        <f aca="false">IF($E140="","",IF($M140,IF(AND($G140&gt;=Z$5,$G140&lt;Z$5+GanttPeriod),"◆",IF(AND($E140&gt;=Z$5,$E140&lt;Z$5+GanttPeriod),"◇","")),IF(AND(Z$5&lt;=$F140,Z$5+GanttPeriod-1&gt;=$E140),"━","")))</f>
        <v/>
      </c>
      <c r="AA140" s="69" t="str">
        <f aca="false">IF($E140="","",IF($M140,IF(AND($G140&gt;=AA$5,$G140&lt;AA$5+GanttPeriod),"◆",IF(AND($E140&gt;=AA$5,$E140&lt;AA$5+GanttPeriod),"◇","")),IF(AND(AA$5&lt;=$F140,AA$5+GanttPeriod-1&gt;=$E140),"━","")))</f>
        <v/>
      </c>
      <c r="AB140" s="69" t="str">
        <f aca="false">IF($E140="","",IF($M140,IF(AND($G140&gt;=AB$5,$G140&lt;AB$5+GanttPeriod),"◆",IF(AND($E140&gt;=AB$5,$E140&lt;AB$5+GanttPeriod),"◇","")),IF(AND(AB$5&lt;=$F140,AB$5+GanttPeriod-1&gt;=$E140),"━","")))</f>
        <v/>
      </c>
      <c r="AC140" s="69" t="str">
        <f aca="false">IF($E140="","",IF($M140,IF(AND($G140&gt;=AC$5,$G140&lt;AC$5+GanttPeriod),"◆",IF(AND($E140&gt;=AC$5,$E140&lt;AC$5+GanttPeriod),"◇","")),IF(AND(AC$5&lt;=$F140,AC$5+GanttPeriod-1&gt;=$E140),"━","")))</f>
        <v/>
      </c>
      <c r="AD140" s="69" t="str">
        <f aca="false">IF($E140="","",IF($M140,IF(AND($G140&gt;=AD$5,$G140&lt;AD$5+GanttPeriod),"◆",IF(AND($E140&gt;=AD$5,$E140&lt;AD$5+GanttPeriod),"◇","")),IF(AND(AD$5&lt;=$F140,AD$5+GanttPeriod-1&gt;=$E140),"━","")))</f>
        <v/>
      </c>
      <c r="AE140" s="69" t="str">
        <f aca="false">IF($E140="","",IF($M140,IF(AND($G140&gt;=AE$5,$G140&lt;AE$5+GanttPeriod),"◆",IF(AND($E140&gt;=AE$5,$E140&lt;AE$5+GanttPeriod),"◇","")),IF(AND(AE$5&lt;=$F140,AE$5+GanttPeriod-1&gt;=$E140),"━","")))</f>
        <v/>
      </c>
      <c r="AF140" s="69" t="str">
        <f aca="false">IF($E140="","",IF($M140,IF(AND($G140&gt;=AF$5,$G140&lt;AF$5+GanttPeriod),"◆",IF(AND($E140&gt;=AF$5,$E140&lt;AF$5+GanttPeriod),"◇","")),IF(AND(AF$5&lt;=$F140,AF$5+GanttPeriod-1&gt;=$E140),"━","")))</f>
        <v/>
      </c>
      <c r="AG140" s="69" t="str">
        <f aca="false">IF($E140="","",IF($M140,IF(AND($G140&gt;=AG$5,$G140&lt;AG$5+GanttPeriod),"◆",IF(AND($E140&gt;=AG$5,$E140&lt;AG$5+GanttPeriod),"◇","")),IF(AND(AG$5&lt;=$F140,AG$5+GanttPeriod-1&gt;=$E140),"━","")))</f>
        <v/>
      </c>
      <c r="AH140" s="69" t="str">
        <f aca="false">IF($E140="","",IF($M140,IF(AND($G140&gt;=AH$5,$G140&lt;AH$5+GanttPeriod),"◆",IF(AND($E140&gt;=AH$5,$E140&lt;AH$5+GanttPeriod),"◇","")),IF(AND(AH$5&lt;=$F140,AH$5+GanttPeriod-1&gt;=$E140),"━","")))</f>
        <v/>
      </c>
      <c r="AI140" s="69" t="str">
        <f aca="false">IF($E140="","",IF($M140,IF(AND($G140&gt;=AI$5,$G140&lt;AI$5+GanttPeriod),"◆",IF(AND($E140&gt;=AI$5,$E140&lt;AI$5+GanttPeriod),"◇","")),IF(AND(AI$5&lt;=$F140,AI$5+GanttPeriod-1&gt;=$E140),"━","")))</f>
        <v/>
      </c>
      <c r="AJ140" s="69" t="str">
        <f aca="false">IF($E140="","",IF($M140,IF(AND($G140&gt;=AJ$5,$G140&lt;AJ$5+GanttPeriod),"◆",IF(AND($E140&gt;=AJ$5,$E140&lt;AJ$5+GanttPeriod),"◇","")),IF(AND(AJ$5&lt;=$F140,AJ$5+GanttPeriod-1&gt;=$E140),"━","")))</f>
        <v/>
      </c>
      <c r="AK140" s="69" t="str">
        <f aca="false">IF($E140="","",IF($M140,IF(AND($G140&gt;=AK$5,$G140&lt;AK$5+GanttPeriod),"◆",IF(AND($E140&gt;=AK$5,$E140&lt;AK$5+GanttPeriod),"◇","")),IF(AND(AK$5&lt;=$F140,AK$5+GanttPeriod-1&gt;=$E140),"━","")))</f>
        <v/>
      </c>
      <c r="AL140" s="69" t="str">
        <f aca="false">IF($E140="","",IF($M140,IF(AND($G140&gt;=AL$5,$G140&lt;AL$5+GanttPeriod),"◆",IF(AND($E140&gt;=AL$5,$E140&lt;AL$5+GanttPeriod),"◇","")),IF(AND(AL$5&lt;=$F140,AL$5+GanttPeriod-1&gt;=$E140),"━","")))</f>
        <v/>
      </c>
      <c r="AM140" s="69" t="str">
        <f aca="false">IF($E140="","",IF($M140,IF(AND($G140&gt;=AM$5,$G140&lt;AM$5+GanttPeriod),"◆",IF(AND($E140&gt;=AM$5,$E140&lt;AM$5+GanttPeriod),"◇","")),IF(AND(AM$5&lt;=$F140,AM$5+GanttPeriod-1&gt;=$E140),"━","")))</f>
        <v/>
      </c>
      <c r="AN140" s="69" t="str">
        <f aca="false">IF($E140="","",IF($M140,IF(AND($G140&gt;=AN$5,$G140&lt;AN$5+GanttPeriod),"◆",IF(AND($E140&gt;=AN$5,$E140&lt;AN$5+GanttPeriod),"◇","")),IF(AND(AN$5&lt;=$F140,AN$5+GanttPeriod-1&gt;=$E140),"━","")))</f>
        <v/>
      </c>
      <c r="AO140" s="69" t="str">
        <f aca="false">IF($E140="","",IF($M140,IF(AND($G140&gt;=AO$5,$G140&lt;AO$5+GanttPeriod),"◆",IF(AND($E140&gt;=AO$5,$E140&lt;AO$5+GanttPeriod),"◇","")),IF(AND(AO$5&lt;=$F140,AO$5+GanttPeriod-1&gt;=$E140),"━","")))</f>
        <v/>
      </c>
      <c r="AP140" s="69" t="str">
        <f aca="false">IF($E140="","",IF($M140,IF(AND($G140&gt;=AP$5,$G140&lt;AP$5+GanttPeriod),"◆",IF(AND($E140&gt;=AP$5,$E140&lt;AP$5+GanttPeriod),"◇","")),IF(AND(AP$5&lt;=$F140,AP$5+GanttPeriod-1&gt;=$E140),"━","")))</f>
        <v/>
      </c>
      <c r="AQ140" s="69" t="str">
        <f aca="false">IF($E140="","",IF($M140,IF(AND($G140&gt;=AQ$5,$G140&lt;AQ$5+GanttPeriod),"◆",IF(AND($E140&gt;=AQ$5,$E140&lt;AQ$5+GanttPeriod),"◇","")),IF(AND(AQ$5&lt;=$F140,AQ$5+GanttPeriod-1&gt;=$E140),"━","")))</f>
        <v/>
      </c>
      <c r="AR140" s="69" t="str">
        <f aca="false">IF($E140="","",IF($M140,IF(AND($G140&gt;=AR$5,$G140&lt;AR$5+GanttPeriod),"◆",IF(AND($E140&gt;=AR$5,$E140&lt;AR$5+GanttPeriod),"◇","")),IF(AND(AR$5&lt;=$F140,AR$5+GanttPeriod-1&gt;=$E140),"━","")))</f>
        <v/>
      </c>
      <c r="AS140" s="69" t="str">
        <f aca="false">IF($E140="","",IF($M140,IF(AND($G140&gt;=AS$5,$G140&lt;AS$5+GanttPeriod),"◆",IF(AND($E140&gt;=AS$5,$E140&lt;AS$5+GanttPeriod),"◇","")),IF(AND(AS$5&lt;=$F140,AS$5+GanttPeriod-1&gt;=$E140),"━","")))</f>
        <v/>
      </c>
      <c r="AT140" s="69" t="str">
        <f aca="false">IF($E140="","",IF($M140,IF(AND($G140&gt;=AT$5,$G140&lt;AT$5+GanttPeriod),"◆",IF(AND($E140&gt;=AT$5,$E140&lt;AT$5+GanttPeriod),"◇","")),IF(AND(AT$5&lt;=$F140,AT$5+GanttPeriod-1&gt;=$E140),"━","")))</f>
        <v/>
      </c>
      <c r="AU140" s="69" t="str">
        <f aca="false">IF($E140="","",IF($M140,IF(AND($G140&gt;=AU$5,$G140&lt;AU$5+GanttPeriod),"◆",IF(AND($E140&gt;=AU$5,$E140&lt;AU$5+GanttPeriod),"◇","")),IF(AND(AU$5&lt;=$F140,AU$5+GanttPeriod-1&gt;=$E140),"━","")))</f>
        <v/>
      </c>
      <c r="AV140" s="69" t="str">
        <f aca="false">IF($E140="","",IF($M140,IF(AND($G140&gt;=AV$5,$G140&lt;AV$5+GanttPeriod),"◆",IF(AND($E140&gt;=AV$5,$E140&lt;AV$5+GanttPeriod),"◇","")),IF(AND(AV$5&lt;=$F140,AV$5+GanttPeriod-1&gt;=$E140),"━","")))</f>
        <v/>
      </c>
      <c r="AW140" s="69" t="str">
        <f aca="false">IF($E140="","",IF($M140,IF(AND($G140&gt;=AW$5,$G140&lt;AW$5+GanttPeriod),"◆",IF(AND($E140&gt;=AW$5,$E140&lt;AW$5+GanttPeriod),"◇","")),IF(AND(AW$5&lt;=$F140,AW$5+GanttPeriod-1&gt;=$E140),"━","")))</f>
        <v/>
      </c>
      <c r="AX140" s="69" t="str">
        <f aca="false">IF($E140="","",IF($M140,IF(AND($G140&gt;=AX$5,$G140&lt;AX$5+GanttPeriod),"◆",IF(AND($E140&gt;=AX$5,$E140&lt;AX$5+GanttPeriod),"◇","")),IF(AND(AX$5&lt;=$F140,AX$5+GanttPeriod-1&gt;=$E140),"━","")))</f>
        <v/>
      </c>
      <c r="AY140" s="69" t="str">
        <f aca="false">IF($E140="","",IF($M140,IF(AND($G140&gt;=AY$5,$G140&lt;AY$5+GanttPeriod),"◆",IF(AND($E140&gt;=AY$5,$E140&lt;AY$5+GanttPeriod),"◇","")),IF(AND(AY$5&lt;=$F140,AY$5+GanttPeriod-1&gt;=$E140),"━","")))</f>
        <v/>
      </c>
      <c r="AZ140" s="69" t="str">
        <f aca="false">IF($E140="","",IF($M140,IF(AND($G140&gt;=AZ$5,$G140&lt;AZ$5+GanttPeriod),"◆",IF(AND($E140&gt;=AZ$5,$E140&lt;AZ$5+GanttPeriod),"◇","")),IF(AND(AZ$5&lt;=$F140,AZ$5+GanttPeriod-1&gt;=$E140),"━","")))</f>
        <v/>
      </c>
      <c r="BA140" s="69" t="str">
        <f aca="false">IF($E140="","",IF($M140,IF(AND($G140&gt;=BA$5,$G140&lt;BA$5+GanttPeriod),"◆",IF(AND($E140&gt;=BA$5,$E140&lt;BA$5+GanttPeriod),"◇","")),IF(AND(BA$5&lt;=$F140,BA$5+GanttPeriod-1&gt;=$E140),"━","")))</f>
        <v/>
      </c>
      <c r="BB140" s="69" t="str">
        <f aca="false">IF($E140="","",IF($M140,IF(AND($G140&gt;=BB$5,$G140&lt;BB$5+GanttPeriod),"◆",IF(AND($E140&gt;=BB$5,$E140&lt;BB$5+GanttPeriod),"◇","")),IF(AND(BB$5&lt;=$F140,BB$5+GanttPeriod-1&gt;=$E140),"━","")))</f>
        <v/>
      </c>
      <c r="BC140" s="69" t="str">
        <f aca="false">IF($E140="","",IF($M140,IF(AND($G140&gt;=BC$5,$G140&lt;BC$5+GanttPeriod),"◆",IF(AND($E140&gt;=BC$5,$E140&lt;BC$5+GanttPeriod),"◇","")),IF(AND(BC$5&lt;=$F140,BC$5+GanttPeriod-1&gt;=$E140),"━","")))</f>
        <v/>
      </c>
      <c r="BD140" s="69" t="str">
        <f aca="false">IF($E140="","",IF($M140,IF(AND($G140&gt;=BD$5,$G140&lt;BD$5+GanttPeriod),"◆",IF(AND($E140&gt;=BD$5,$E140&lt;BD$5+GanttPeriod),"◇","")),IF(AND(BD$5&lt;=$F140,BD$5+GanttPeriod-1&gt;=$E140),"━","")))</f>
        <v/>
      </c>
      <c r="BE140" s="69" t="str">
        <f aca="false">IF($E140="","",IF($M140,IF(AND($G140&gt;=BE$5,$G140&lt;BE$5+GanttPeriod),"◆",IF(AND($E140&gt;=BE$5,$E140&lt;BE$5+GanttPeriod),"◇","")),IF(AND(BE$5&lt;=$F140,BE$5+GanttPeriod-1&gt;=$E140),"━","")))</f>
        <v/>
      </c>
      <c r="BF140" s="69" t="str">
        <f aca="false">IF($E140="","",IF($M140,IF(AND($G140&gt;=BF$5,$G140&lt;BF$5+GanttPeriod),"◆",IF(AND($E140&gt;=BF$5,$E140&lt;BF$5+GanttPeriod),"◇","")),IF(AND(BF$5&lt;=$F140,BF$5+GanttPeriod-1&gt;=$E140),"━","")))</f>
        <v/>
      </c>
      <c r="BG140" s="69" t="str">
        <f aca="false">IF($E140="","",IF($M140,IF(AND($G140&gt;=BG$5,$G140&lt;BG$5+GanttPeriod),"◆",IF(AND($E140&gt;=BG$5,$E140&lt;BG$5+GanttPeriod),"◇","")),IF(AND(BG$5&lt;=$F140,BG$5+GanttPeriod-1&gt;=$E140),"━","")))</f>
        <v/>
      </c>
      <c r="BH140" s="69" t="str">
        <f aca="false">IF($E140="","",IF($M140,IF(AND($G140&gt;=BH$5,$G140&lt;BH$5+GanttPeriod),"◆",IF(AND($E140&gt;=BH$5,$E140&lt;BH$5+GanttPeriod),"◇","")),IF(AND(BH$5&lt;=$F140,BH$5+GanttPeriod-1&gt;=$E140),"━","")))</f>
        <v/>
      </c>
      <c r="BI140" s="69" t="str">
        <f aca="false">IF($E140="","",IF($M140,IF(AND($G140&gt;=BI$5,$G140&lt;BI$5+GanttPeriod),"◆",IF(AND($E140&gt;=BI$5,$E140&lt;BI$5+GanttPeriod),"◇","")),IF(AND(BI$5&lt;=$F140,BI$5+GanttPeriod-1&gt;=$E140),"━","")))</f>
        <v/>
      </c>
      <c r="BJ140" s="69" t="str">
        <f aca="false">IF($E140="","",IF($M140,IF(AND($G140&gt;=BJ$5,$G140&lt;BJ$5+GanttPeriod),"◆",IF(AND($E140&gt;=BJ$5,$E140&lt;BJ$5+GanttPeriod),"◇","")),IF(AND(BJ$5&lt;=$F140,BJ$5+GanttPeriod-1&gt;=$E140),"━","")))</f>
        <v/>
      </c>
      <c r="BK140" s="69" t="str">
        <f aca="false">IF($E140="","",IF($M140,IF(AND($G140&gt;=BK$5,$G140&lt;BK$5+GanttPeriod),"◆",IF(AND($E140&gt;=BK$5,$E140&lt;BK$5+GanttPeriod),"◇","")),IF(AND(BK$5&lt;=$F140,BK$5+GanttPeriod-1&gt;=$E140),"━","")))</f>
        <v/>
      </c>
      <c r="BL140" s="69" t="str">
        <f aca="false">IF($E140="","",IF($M140,IF(AND($G140&gt;=BL$5,$G140&lt;BL$5+GanttPeriod),"◆",IF(AND($E140&gt;=BL$5,$E140&lt;BL$5+GanttPeriod),"◇","")),IF(AND(BL$5&lt;=$F140,BL$5+GanttPeriod-1&gt;=$E140),"━","")))</f>
        <v/>
      </c>
      <c r="BM140" s="69" t="str">
        <f aca="false">IF($E140="","",IF($M140,IF(AND($G140&gt;=BM$5,$G140&lt;BM$5+GanttPeriod),"◆",IF(AND($E140&gt;=BM$5,$E140&lt;BM$5+GanttPeriod),"◇","")),IF(AND(BM$5&lt;=$F140,BM$5+GanttPeriod-1&gt;=$E140),"━","")))</f>
        <v/>
      </c>
      <c r="BN140" s="69" t="str">
        <f aca="false">IF($E140="","",IF($M140,IF(AND($G140&gt;=BN$5,$G140&lt;BN$5+GanttPeriod),"◆",IF(AND($E140&gt;=BN$5,$E140&lt;BN$5+GanttPeriod),"◇","")),IF(AND(BN$5&lt;=$F140,BN$5+GanttPeriod-1&gt;=$E140),"━","")))</f>
        <v/>
      </c>
      <c r="BO140" s="69" t="str">
        <f aca="false">IF($E140="","",IF($M140,IF(AND($G140&gt;=BO$5,$G140&lt;BO$5+GanttPeriod),"◆",IF(AND($E140&gt;=BO$5,$E140&lt;BO$5+GanttPeriod),"◇","")),IF(AND(BO$5&lt;=$F140,BO$5+GanttPeriod-1&gt;=$E140),"━","")))</f>
        <v/>
      </c>
      <c r="BP140" s="69" t="str">
        <f aca="false">IF($E140="","",IF($M140,IF(AND($G140&gt;=BP$5,$G140&lt;BP$5+GanttPeriod),"◆",IF(AND($E140&gt;=BP$5,$E140&lt;BP$5+GanttPeriod),"◇","")),IF(AND(BP$5&lt;=$F140,BP$5+GanttPeriod-1&gt;=$E140),"━","")))</f>
        <v/>
      </c>
      <c r="BQ140" s="69" t="str">
        <f aca="false">IF($E140="","",IF($M140,IF(AND($G140&gt;=BQ$5,$G140&lt;BQ$5+GanttPeriod),"◆",IF(AND($E140&gt;=BQ$5,$E140&lt;BQ$5+GanttPeriod),"◇","")),IF(AND(BQ$5&lt;=$F140,BQ$5+GanttPeriod-1&gt;=$E140),"━","")))</f>
        <v/>
      </c>
      <c r="BR140" s="69" t="str">
        <f aca="false">IF($E140="","",IF($M140,IF(AND($G140&gt;=BR$5,$G140&lt;BR$5+GanttPeriod),"◆",IF(AND($E140&gt;=BR$5,$E140&lt;BR$5+GanttPeriod),"◇","")),IF(AND(BR$5&lt;=$F140,BR$5+GanttPeriod-1&gt;=$E140),"━","")))</f>
        <v/>
      </c>
      <c r="BS140" s="69" t="str">
        <f aca="false">IF($E140="","",IF($M140,IF(AND($G140&gt;=BS$5,$G140&lt;BS$5+GanttPeriod),"◆",IF(AND($E140&gt;=BS$5,$E140&lt;BS$5+GanttPeriod),"◇","")),IF(AND(BS$5&lt;=$F140,BS$5+GanttPeriod-1&gt;=$E140),"━","")))</f>
        <v/>
      </c>
      <c r="BT140" s="69" t="str">
        <f aca="false">IF($E140="","",IF($M140,IF(AND($G140&gt;=BT$5,$G140&lt;BT$5+GanttPeriod),"◆",IF(AND($E140&gt;=BT$5,$E140&lt;BT$5+GanttPeriod),"◇","")),IF(AND(BT$5&lt;=$F140,BT$5+GanttPeriod-1&gt;=$E140),"━","")))</f>
        <v/>
      </c>
      <c r="BU140" s="69" t="str">
        <f aca="false">IF($E140="","",IF($M140,IF(AND($G140&gt;=BU$5,$G140&lt;BU$5+GanttPeriod),"◆",IF(AND($E140&gt;=BU$5,$E140&lt;BU$5+GanttPeriod),"◇","")),IF(AND(BU$5&lt;=$F140,BU$5+GanttPeriod-1&gt;=$E140),"━","")))</f>
        <v/>
      </c>
      <c r="BV140" s="69" t="str">
        <f aca="false">IF($E140="","",IF($M140,IF(AND($G140&gt;=BV$5,$G140&lt;BV$5+GanttPeriod),"◆",IF(AND($E140&gt;=BV$5,$E140&lt;BV$5+GanttPeriod),"◇","")),IF(AND(BV$5&lt;=$F140,BV$5+GanttPeriod-1&gt;=$E140),"━","")))</f>
        <v/>
      </c>
      <c r="BW140" s="69" t="str">
        <f aca="false">IF($E140="","",IF($M140,IF(AND($G140&gt;=BW$5,$G140&lt;BW$5+GanttPeriod),"◆",IF(AND($E140&gt;=BW$5,$E140&lt;BW$5+GanttPeriod),"◇","")),IF(AND(BW$5&lt;=$F140,BW$5+GanttPeriod-1&gt;=$E140),"━","")))</f>
        <v/>
      </c>
      <c r="BX140" s="69" t="str">
        <f aca="false">IF($E140="","",IF($M140,IF(AND($G140&gt;=BX$5,$G140&lt;BX$5+GanttPeriod),"◆",IF(AND($E140&gt;=BX$5,$E140&lt;BX$5+GanttPeriod),"◇","")),IF(AND(BX$5&lt;=$F140,BX$5+GanttPeriod-1&gt;=$E140),"━","")))</f>
        <v/>
      </c>
      <c r="BY140" s="69" t="str">
        <f aca="false">IF($E140="","",IF($M140,IF(AND($G140&gt;=BY$5,$G140&lt;BY$5+GanttPeriod),"◆",IF(AND($E140&gt;=BY$5,$E140&lt;BY$5+GanttPeriod),"◇","")),IF(AND(BY$5&lt;=$F140,BY$5+GanttPeriod-1&gt;=$E140),"━","")))</f>
        <v/>
      </c>
      <c r="BZ140" s="69" t="str">
        <f aca="false">IF($E140="","",IF($M140,IF(AND($G140&gt;=BZ$5,$G140&lt;BZ$5+GanttPeriod),"◆",IF(AND($E140&gt;=BZ$5,$E140&lt;BZ$5+GanttPeriod),"◇","")),IF(AND(BZ$5&lt;=$F140,BZ$5+GanttPeriod-1&gt;=$E140),"━","")))</f>
        <v/>
      </c>
      <c r="CA140" s="69" t="str">
        <f aca="false">IF($E140="","",IF($M140,IF(AND($G140&gt;=CA$5,$G140&lt;CA$5+GanttPeriod),"◆",IF(AND($E140&gt;=CA$5,$E140&lt;CA$5+GanttPeriod),"◇","")),IF(AND(CA$5&lt;=$F140,CA$5+GanttPeriod-1&gt;=$E140),"━","")))</f>
        <v/>
      </c>
      <c r="CB140" s="69" t="str">
        <f aca="false">IF($E140="","",IF($M140,IF(AND($G140&gt;=CB$5,$G140&lt;CB$5+GanttPeriod),"◆",IF(AND($E140&gt;=CB$5,$E140&lt;CB$5+GanttPeriod),"◇","")),IF(AND(CB$5&lt;=$F140,CB$5+GanttPeriod-1&gt;=$E140),"━","")))</f>
        <v/>
      </c>
      <c r="CC140" s="69" t="str">
        <f aca="false">IF($E140="","",IF($M140,IF(AND($G140&gt;=CC$5,$G140&lt;CC$5+GanttPeriod),"◆",IF(AND($E140&gt;=CC$5,$E140&lt;CC$5+GanttPeriod),"◇","")),IF(AND(CC$5&lt;=$F140,CC$5+GanttPeriod-1&gt;=$E140),"━","")))</f>
        <v/>
      </c>
      <c r="CD140" s="69" t="str">
        <f aca="false">IF($E140="","",IF($M140,IF(AND($G140&gt;=CD$5,$G140&lt;CD$5+GanttPeriod),"◆",IF(AND($E140&gt;=CD$5,$E140&lt;CD$5+GanttPeriod),"◇","")),IF(AND(CD$5&lt;=$F140,CD$5+GanttPeriod-1&gt;=$E140),"━","")))</f>
        <v/>
      </c>
      <c r="CE140" s="69" t="str">
        <f aca="false">IF($E140="","",IF($M140,IF(AND($G140&gt;=CE$5,$G140&lt;CE$5+GanttPeriod),"◆",IF(AND($E140&gt;=CE$5,$E140&lt;CE$5+GanttPeriod),"◇","")),IF(AND(CE$5&lt;=$F140,CE$5+GanttPeriod-1&gt;=$E140),"━","")))</f>
        <v/>
      </c>
      <c r="CF140" s="69" t="str">
        <f aca="false">IF($E140="","",IF($M140,IF(AND($G140&gt;=CF$5,$G140&lt;CF$5+GanttPeriod),"◆",IF(AND($E140&gt;=CF$5,$E140&lt;CF$5+GanttPeriod),"◇","")),IF(AND(CF$5&lt;=$F140,CF$5+GanttPeriod-1&gt;=$E140),"━","")))</f>
        <v/>
      </c>
      <c r="CG140" s="69" t="str">
        <f aca="false">IF($E140="","",IF($M140,IF(AND($G140&gt;=CG$5,$G140&lt;CG$5+GanttPeriod),"◆",IF(AND($E140&gt;=CG$5,$E140&lt;CG$5+GanttPeriod),"◇","")),IF(AND(CG$5&lt;=$F140,CG$5+GanttPeriod-1&gt;=$E140),"━","")))</f>
        <v/>
      </c>
      <c r="CH140" s="69" t="str">
        <f aca="false">IF($E140="","",IF($M140,IF(AND($G140&gt;=CH$5,$G140&lt;CH$5+GanttPeriod),"◆",IF(AND($E140&gt;=CH$5,$E140&lt;CH$5+GanttPeriod),"◇","")),IF(AND(CH$5&lt;=$F140,CH$5+GanttPeriod-1&gt;=$E140),"━","")))</f>
        <v/>
      </c>
      <c r="CI140" s="69" t="str">
        <f aca="false">IF($E140="","",IF($M140,IF(AND($G140&gt;=CI$5,$G140&lt;CI$5+GanttPeriod),"◆",IF(AND($E140&gt;=CI$5,$E140&lt;CI$5+GanttPeriod),"◇","")),IF(AND(CI$5&lt;=$F140,CI$5+GanttPeriod-1&gt;=$E140),"━","")))</f>
        <v/>
      </c>
      <c r="CJ140" s="69" t="str">
        <f aca="false">IF($E140="","",IF($M140,IF(AND($G140&gt;=CJ$5,$G140&lt;CJ$5+GanttPeriod),"◆",IF(AND($E140&gt;=CJ$5,$E140&lt;CJ$5+GanttPeriod),"◇","")),IF(AND(CJ$5&lt;=$F140,CJ$5+GanttPeriod-1&gt;=$E140),"━","")))</f>
        <v/>
      </c>
      <c r="CK140" s="69" t="str">
        <f aca="false">IF($E140="","",IF($M140,IF(AND($G140&gt;=CK$5,$G140&lt;CK$5+GanttPeriod),"◆",IF(AND($E140&gt;=CK$5,$E140&lt;CK$5+GanttPeriod),"◇","")),IF(AND(CK$5&lt;=$F140,CK$5+GanttPeriod-1&gt;=$E140),"━","")))</f>
        <v/>
      </c>
      <c r="CL140" s="69" t="str">
        <f aca="false">IF($E140="","",IF($M140,IF(AND($G140&gt;=CL$5,$G140&lt;CL$5+GanttPeriod),"◆",IF(AND($E140&gt;=CL$5,$E140&lt;CL$5+GanttPeriod),"◇","")),IF(AND(CL$5&lt;=$F140,CL$5+GanttPeriod-1&gt;=$E140),"━","")))</f>
        <v/>
      </c>
      <c r="CM140" s="69" t="str">
        <f aca="false">IF($E140="","",IF($M140,IF(AND($G140&gt;=CM$5,$G140&lt;CM$5+GanttPeriod),"◆",IF(AND($E140&gt;=CM$5,$E140&lt;CM$5+GanttPeriod),"◇","")),IF(AND(CM$5&lt;=$F140,CM$5+GanttPeriod-1&gt;=$E140),"━","")))</f>
        <v/>
      </c>
      <c r="CN140" s="69" t="str">
        <f aca="false">IF($E140="","",IF($M140,IF(AND($G140&gt;=CN$5,$G140&lt;CN$5+GanttPeriod),"◆",IF(AND($E140&gt;=CN$5,$E140&lt;CN$5+GanttPeriod),"◇","")),IF(AND(CN$5&lt;=$F140,CN$5+GanttPeriod-1&gt;=$E140),"━","")))</f>
        <v/>
      </c>
      <c r="CO140" s="69" t="str">
        <f aca="false">IF($E140="","",IF($M140,IF(AND($G140&gt;=CO$5,$G140&lt;CO$5+GanttPeriod),"◆",IF(AND($E140&gt;=CO$5,$E140&lt;CO$5+GanttPeriod),"◇","")),IF(AND(CO$5&lt;=$F140,CO$5+GanttPeriod-1&gt;=$E140),"━","")))</f>
        <v/>
      </c>
      <c r="CP140" s="69" t="str">
        <f aca="false">IF($E140="","",IF($M140,IF(AND($G140&gt;=CP$5,$G140&lt;CP$5+GanttPeriod),"◆",IF(AND($E140&gt;=CP$5,$E140&lt;CP$5+GanttPeriod),"◇","")),IF(AND(CP$5&lt;=$F140,CP$5+GanttPeriod-1&gt;=$E140),"━","")))</f>
        <v/>
      </c>
      <c r="CQ140" s="69" t="str">
        <f aca="false">IF($E140="","",IF($M140,IF(AND($G140&gt;=CQ$5,$G140&lt;CQ$5+GanttPeriod),"◆",IF(AND($E140&gt;=CQ$5,$E140&lt;CQ$5+GanttPeriod),"◇","")),IF(AND(CQ$5&lt;=$F140,CQ$5+GanttPeriod-1&gt;=$E140),"━","")))</f>
        <v/>
      </c>
      <c r="CR140" s="69" t="str">
        <f aca="false">IF($E140="","",IF($M140,IF(AND($G140&gt;=CR$5,$G140&lt;CR$5+GanttPeriod),"◆",IF(AND($E140&gt;=CR$5,$E140&lt;CR$5+GanttPeriod),"◇","")),IF(AND(CR$5&lt;=$F140,CR$5+GanttPeriod-1&gt;=$E140),"━","")))</f>
        <v/>
      </c>
      <c r="CS140" s="69" t="str">
        <f aca="false">IF($E140="","",IF($M140,IF(AND($G140&gt;=CS$5,$G140&lt;CS$5+GanttPeriod),"◆",IF(AND($E140&gt;=CS$5,$E140&lt;CS$5+GanttPeriod),"◇","")),IF(AND(CS$5&lt;=$F140,CS$5+GanttPeriod-1&gt;=$E140),"━","")))</f>
        <v/>
      </c>
      <c r="CT140" s="69" t="str">
        <f aca="false">IF($E140="","",IF($M140,IF(AND($G140&gt;=CT$5,$G140&lt;CT$5+GanttPeriod),"◆",IF(AND($E140&gt;=CT$5,$E140&lt;CT$5+GanttPeriod),"◇","")),IF(AND(CT$5&lt;=$F140,CT$5+GanttPeriod-1&gt;=$E140),"━","")))</f>
        <v/>
      </c>
      <c r="CU140" s="69" t="str">
        <f aca="false">IF($E140="","",IF($M140,IF(AND($G140&gt;=CU$5,$G140&lt;CU$5+GanttPeriod),"◆",IF(AND($E140&gt;=CU$5,$E140&lt;CU$5+GanttPeriod),"◇","")),IF(AND(CU$5&lt;=$F140,CU$5+GanttPeriod-1&gt;=$E140),"━","")))</f>
        <v/>
      </c>
      <c r="CV140" s="69" t="str">
        <f aca="false">IF($E140="","",IF($M140,IF(AND($G140&gt;=CV$5,$G140&lt;CV$5+GanttPeriod),"◆",IF(AND($E140&gt;=CV$5,$E140&lt;CV$5+GanttPeriod),"◇","")),IF(AND(CV$5&lt;=$F140,CV$5+GanttPeriod-1&gt;=$E140),"━","")))</f>
        <v/>
      </c>
      <c r="CW140" s="69" t="str">
        <f aca="false">IF($E140="","",IF($M140,IF(AND($G140&gt;=CW$5,$G140&lt;CW$5+GanttPeriod),"◆",IF(AND($E140&gt;=CW$5,$E140&lt;CW$5+GanttPeriod),"◇","")),IF(AND(CW$5&lt;=$F140,CW$5+GanttPeriod-1&gt;=$E140),"━","")))</f>
        <v/>
      </c>
      <c r="CX140" s="69" t="str">
        <f aca="false">IF($E140="","",IF($M140,IF(AND($G140&gt;=CX$5,$G140&lt;CX$5+GanttPeriod),"◆",IF(AND($E140&gt;=CX$5,$E140&lt;CX$5+GanttPeriod),"◇","")),IF(AND(CX$5&lt;=$F140,CX$5+GanttPeriod-1&gt;=$E140),"━","")))</f>
        <v/>
      </c>
      <c r="CY140" s="69" t="str">
        <f aca="false">IF($E140="","",IF($M140,IF(AND($G140&gt;=CY$5,$G140&lt;CY$5+GanttPeriod),"◆",IF(AND($E140&gt;=CY$5,$E140&lt;CY$5+GanttPeriod),"◇","")),IF(AND(CY$5&lt;=$F140,CY$5+GanttPeriod-1&gt;=$E140),"━","")))</f>
        <v/>
      </c>
      <c r="CZ140" s="69" t="str">
        <f aca="false">IF($E140="","",IF($M140,IF(AND($G140&gt;=CZ$5,$G140&lt;CZ$5+GanttPeriod),"◆",IF(AND($E140&gt;=CZ$5,$E140&lt;CZ$5+GanttPeriod),"◇","")),IF(AND(CZ$5&lt;=$F140,CZ$5+GanttPeriod-1&gt;=$E140),"━","")))</f>
        <v/>
      </c>
      <c r="DA140" s="69" t="str">
        <f aca="false">IF($E140="","",IF($M140,IF(AND($G140&gt;=DA$5,$G140&lt;DA$5+GanttPeriod),"◆",IF(AND($E140&gt;=DA$5,$E140&lt;DA$5+GanttPeriod),"◇","")),IF(AND(DA$5&lt;=$F140,DA$5+GanttPeriod-1&gt;=$E140),"━","")))</f>
        <v/>
      </c>
      <c r="DB140" s="69" t="str">
        <f aca="false">IF($E140="","",IF($M140,IF(AND($G140&gt;=DB$5,$G140&lt;DB$5+GanttPeriod),"◆",IF(AND($E140&gt;=DB$5,$E140&lt;DB$5+GanttPeriod),"◇","")),IF(AND(DB$5&lt;=$F140,DB$5+GanttPeriod-1&gt;=$E140),"━","")))</f>
        <v/>
      </c>
      <c r="DC140" s="69" t="str">
        <f aca="false">IF($E140="","",IF($M140,IF(AND($G140&gt;=DC$5,$G140&lt;DC$5+GanttPeriod),"◆",IF(AND($E140&gt;=DC$5,$E140&lt;DC$5+GanttPeriod),"◇","")),IF(AND(DC$5&lt;=$F140,DC$5+GanttPeriod-1&gt;=$E140),"━","")))</f>
        <v/>
      </c>
      <c r="DD140" s="69" t="str">
        <f aca="false">IF($E140="","",IF($M140,IF(AND($G140&gt;=DD$5,$G140&lt;DD$5+GanttPeriod),"◆",IF(AND($E140&gt;=DD$5,$E140&lt;DD$5+GanttPeriod),"◇","")),IF(AND(DD$5&lt;=$F140,DD$5+GanttPeriod-1&gt;=$E140),"━","")))</f>
        <v/>
      </c>
      <c r="DE140" s="69" t="str">
        <f aca="false">IF($E140="","",IF($M140,IF(AND($G140&gt;=DE$5,$G140&lt;DE$5+GanttPeriod),"◆",IF(AND($E140&gt;=DE$5,$E140&lt;DE$5+GanttPeriod),"◇","")),IF(AND(DE$5&lt;=$F140,DE$5+GanttPeriod-1&gt;=$E140),"━","")))</f>
        <v/>
      </c>
      <c r="DF140" s="69" t="str">
        <f aca="false">IF($E140="","",IF($M140,IF(AND($G140&gt;=DF$5,$G140&lt;DF$5+GanttPeriod),"◆",IF(AND($E140&gt;=DF$5,$E140&lt;DF$5+GanttPeriod),"◇","")),IF(AND(DF$5&lt;=$F140,DF$5+GanttPeriod-1&gt;=$E140),"━","")))</f>
        <v/>
      </c>
      <c r="DG140" s="69" t="str">
        <f aca="false">IF($E140="","",IF($M140,IF(AND($G140&gt;=DG$5,$G140&lt;DG$5+GanttPeriod),"◆",IF(AND($E140&gt;=DG$5,$E140&lt;DG$5+GanttPeriod),"◇","")),IF(AND(DG$5&lt;=$F140,DG$5+GanttPeriod-1&gt;=$E140),"━","")))</f>
        <v/>
      </c>
      <c r="DH140" s="69" t="str">
        <f aca="false">IF($E140="","",IF($M140,IF(AND($G140&gt;=DH$5,$G140&lt;DH$5+GanttPeriod),"◆",IF(AND($E140&gt;=DH$5,$E140&lt;DH$5+GanttPeriod),"◇","")),IF(AND(DH$5&lt;=$F140,DH$5+GanttPeriod-1&gt;=$E140),"━","")))</f>
        <v/>
      </c>
      <c r="DI140" s="69" t="str">
        <f aca="false">IF($E140="","",IF($M140,IF(AND($G140&gt;=DI$5,$G140&lt;DI$5+GanttPeriod),"◆",IF(AND($E140&gt;=DI$5,$E140&lt;DI$5+GanttPeriod),"◇","")),IF(AND(DI$5&lt;=$F140,DI$5+GanttPeriod-1&gt;=$E140),"━","")))</f>
        <v/>
      </c>
      <c r="DJ140" s="69" t="str">
        <f aca="false">IF($E140="","",IF($M140,IF(AND($G140&gt;=DJ$5,$G140&lt;DJ$5+GanttPeriod),"◆",IF(AND($E140&gt;=DJ$5,$E140&lt;DJ$5+GanttPeriod),"◇","")),IF(AND(DJ$5&lt;=$F140,DJ$5+GanttPeriod-1&gt;=$E140),"━","")))</f>
        <v/>
      </c>
      <c r="DK140" s="69" t="str">
        <f aca="false">IF($E140="","",IF($M140,IF(AND($G140&gt;=DK$5,$G140&lt;DK$5+GanttPeriod),"◆",IF(AND($E140&gt;=DK$5,$E140&lt;DK$5+GanttPeriod),"◇","")),IF(AND(DK$5&lt;=$F140,DK$5+GanttPeriod-1&gt;=$E140),"━","")))</f>
        <v/>
      </c>
      <c r="DL140" s="69" t="str">
        <f aca="false">IF($E140="","",IF($M140,IF(AND($G140&gt;=DL$5,$G140&lt;DL$5+GanttPeriod),"◆",IF(AND($E140&gt;=DL$5,$E140&lt;DL$5+GanttPeriod),"◇","")),IF(AND(DL$5&lt;=$F140,DL$5+GanttPeriod-1&gt;=$E140),"━","")))</f>
        <v/>
      </c>
      <c r="DM140" s="69" t="str">
        <f aca="false">IF($E140="","",IF($M140,IF(AND($G140&gt;=DM$5,$G140&lt;DM$5+GanttPeriod),"◆",IF(AND($E140&gt;=DM$5,$E140&lt;DM$5+GanttPeriod),"◇","")),IF(AND(DM$5&lt;=$F140,DM$5+GanttPeriod-1&gt;=$E140),"━","")))</f>
        <v/>
      </c>
      <c r="DN140" s="69" t="str">
        <f aca="false">IF($E140="","",IF($M140,IF(AND($G140&gt;=DN$5,$G140&lt;DN$5+GanttPeriod),"◆",IF(AND($E140&gt;=DN$5,$E140&lt;DN$5+GanttPeriod),"◇","")),IF(AND(DN$5&lt;=$F140,DN$5+GanttPeriod-1&gt;=$E140),"━","")))</f>
        <v/>
      </c>
      <c r="DO140" s="69" t="str">
        <f aca="false">IF($E140="","",IF($M140,IF(AND($G140&gt;=DO$5,$G140&lt;DO$5+GanttPeriod),"◆",IF(AND($E140&gt;=DO$5,$E140&lt;DO$5+GanttPeriod),"◇","")),IF(AND(DO$5&lt;=$F140,DO$5+GanttPeriod-1&gt;=$E140),"━","")))</f>
        <v/>
      </c>
      <c r="DP140" s="69" t="str">
        <f aca="false">IF($E140="","",IF($M140,IF(AND($G140&gt;=DP$5,$G140&lt;DP$5+GanttPeriod),"◆",IF(AND($E140&gt;=DP$5,$E140&lt;DP$5+GanttPeriod),"◇","")),IF(AND(DP$5&lt;=$F140,DP$5+GanttPeriod-1&gt;=$E140),"━","")))</f>
        <v/>
      </c>
      <c r="DQ140" s="69" t="str">
        <f aca="false">IF($E140="","",IF($M140,IF(AND($G140&gt;=DQ$5,$G140&lt;DQ$5+GanttPeriod),"◆",IF(AND($E140&gt;=DQ$5,$E140&lt;DQ$5+GanttPeriod),"◇","")),IF(AND(DQ$5&lt;=$F140,DQ$5+GanttPeriod-1&gt;=$E140),"━","")))</f>
        <v/>
      </c>
      <c r="DR140" s="69" t="str">
        <f aca="false">IF($E140="","",IF($M140,IF(AND($G140&gt;=DR$5,$G140&lt;DR$5+GanttPeriod),"◆",IF(AND($E140&gt;=DR$5,$E140&lt;DR$5+GanttPeriod),"◇","")),IF(AND(DR$5&lt;=$F140,DR$5+GanttPeriod-1&gt;=$E140),"━","")))</f>
        <v/>
      </c>
      <c r="DS140" s="69" t="str">
        <f aca="false">IF($E140="","",IF($M140,IF(AND($G140&gt;=DS$5,$G140&lt;DS$5+GanttPeriod),"◆",IF(AND($E140&gt;=DS$5,$E140&lt;DS$5+GanttPeriod),"◇","")),IF(AND(DS$5&lt;=$F140,DS$5+GanttPeriod-1&gt;=$E140),"━","")))</f>
        <v/>
      </c>
      <c r="DT140" s="69" t="str">
        <f aca="false">IF($E140="","",IF($M140,IF(AND($G140&gt;=DT$5,$G140&lt;DT$5+GanttPeriod),"◆",IF(AND($E140&gt;=DT$5,$E140&lt;DT$5+GanttPeriod),"◇","")),IF(AND(DT$5&lt;=$F140,DT$5+GanttPeriod-1&gt;=$E140),"━","")))</f>
        <v/>
      </c>
      <c r="DU140" s="69" t="str">
        <f aca="false">IF($E140="","",IF($M140,IF(AND($G140&gt;=DU$5,$G140&lt;DU$5+GanttPeriod),"◆",IF(AND($E140&gt;=DU$5,$E140&lt;DU$5+GanttPeriod),"◇","")),IF(AND(DU$5&lt;=$F140,DU$5+GanttPeriod-1&gt;=$E140),"━","")))</f>
        <v/>
      </c>
      <c r="DV140" s="69" t="str">
        <f aca="false">IF($E140="","",IF($M140,IF(AND($G140&gt;=DV$5,$G140&lt;DV$5+GanttPeriod),"◆",IF(AND($E140&gt;=DV$5,$E140&lt;DV$5+GanttPeriod),"◇","")),IF(AND(DV$5&lt;=$F140,DV$5+GanttPeriod-1&gt;=$E140),"━","")))</f>
        <v/>
      </c>
      <c r="DW140" s="69" t="str">
        <f aca="false">IF($E140="","",IF($M140,IF(AND($G140&gt;=DW$5,$G140&lt;DW$5+GanttPeriod),"◆",IF(AND($E140&gt;=DW$5,$E140&lt;DW$5+GanttPeriod),"◇","")),IF(AND(DW$5&lt;=$F140,DW$5+GanttPeriod-1&gt;=$E140),"━","")))</f>
        <v/>
      </c>
      <c r="DX140" s="69" t="str">
        <f aca="false">IF($E140="","",IF($M140,IF(AND($G140&gt;=DX$5,$G140&lt;DX$5+GanttPeriod),"◆",IF(AND($E140&gt;=DX$5,$E140&lt;DX$5+GanttPeriod),"◇","")),IF(AND(DX$5&lt;=$F140,DX$5+GanttPeriod-1&gt;=$E140),"━","")))</f>
        <v/>
      </c>
      <c r="DY140" s="69" t="str">
        <f aca="false">IF($E140="","",IF($M140,IF(AND($G140&gt;=DY$5,$G140&lt;DY$5+GanttPeriod),"◆",IF(AND($E140&gt;=DY$5,$E140&lt;DY$5+GanttPeriod),"◇","")),IF(AND(DY$5&lt;=$F140,DY$5+GanttPeriod-1&gt;=$E140),"━","")))</f>
        <v/>
      </c>
      <c r="DZ140" s="69" t="str">
        <f aca="false">IF($E140="","",IF($M140,IF(AND($G140&gt;=DZ$5,$G140&lt;DZ$5+GanttPeriod),"◆",IF(AND($E140&gt;=DZ$5,$E140&lt;DZ$5+GanttPeriod),"◇","")),IF(AND(DZ$5&lt;=$F140,DZ$5+GanttPeriod-1&gt;=$E140),"━","")))</f>
        <v/>
      </c>
      <c r="EA140" s="69" t="str">
        <f aca="false">IF($E140="","",IF($M140,IF(AND($G140&gt;=EA$5,$G140&lt;EA$5+GanttPeriod),"◆",IF(AND($E140&gt;=EA$5,$E140&lt;EA$5+GanttPeriod),"◇","")),IF(AND(EA$5&lt;=$F140,EA$5+GanttPeriod-1&gt;=$E140),"━","")))</f>
        <v/>
      </c>
      <c r="EB140" s="69" t="str">
        <f aca="false">IF($E140="","",IF($M140,IF(AND($G140&gt;=EB$5,$G140&lt;EB$5+GanttPeriod),"◆",IF(AND($E140&gt;=EB$5,$E140&lt;EB$5+GanttPeriod),"◇","")),IF(AND(EB$5&lt;=$F140,EB$5+GanttPeriod-1&gt;=$E140),"━","")))</f>
        <v/>
      </c>
      <c r="EC140" s="69" t="str">
        <f aca="false">IF($E140="","",IF($M140,IF(AND($G140&gt;=EC$5,$G140&lt;EC$5+GanttPeriod),"◆",IF(AND($E140&gt;=EC$5,$E140&lt;EC$5+GanttPeriod),"◇","")),IF(AND(EC$5&lt;=$F140,EC$5+GanttPeriod-1&gt;=$E140),"━","")))</f>
        <v/>
      </c>
      <c r="ED140" s="69" t="str">
        <f aca="false">IF($E140="","",IF($M140,IF(AND($G140&gt;=ED$5,$G140&lt;ED$5+GanttPeriod),"◆",IF(AND($E140&gt;=ED$5,$E140&lt;ED$5+GanttPeriod),"◇","")),IF(AND(ED$5&lt;=$F140,ED$5+GanttPeriod-1&gt;=$E140),"━","")))</f>
        <v/>
      </c>
      <c r="EE140" s="69" t="str">
        <f aca="false">IF($E140="","",IF($M140,IF(AND($G140&gt;=EE$5,$G140&lt;EE$5+GanttPeriod),"◆",IF(AND($E140&gt;=EE$5,$E140&lt;EE$5+GanttPeriod),"◇","")),IF(AND(EE$5&lt;=$F140,EE$5+GanttPeriod-1&gt;=$E140),"━","")))</f>
        <v/>
      </c>
      <c r="EF140" s="69" t="str">
        <f aca="false">IF($E140="","",IF($M140,IF(AND($G140&gt;=EF$5,$G140&lt;EF$5+GanttPeriod),"◆",IF(AND($E140&gt;=EF$5,$E140&lt;EF$5+GanttPeriod),"◇","")),IF(AND(EF$5&lt;=$F140,EF$5+GanttPeriod-1&gt;=$E140),"━","")))</f>
        <v/>
      </c>
      <c r="EG140" s="69" t="str">
        <f aca="false">IF($E140="","",IF($M140,IF(AND($G140&gt;=EG$5,$G140&lt;EG$5+GanttPeriod),"◆",IF(AND($E140&gt;=EG$5,$E140&lt;EG$5+GanttPeriod),"◇","")),IF(AND(EG$5&lt;=$F140,EG$5+GanttPeriod-1&gt;=$E140),"━","")))</f>
        <v/>
      </c>
      <c r="EH140" s="69" t="str">
        <f aca="false">IF($E140="","",IF($M140,IF(AND($G140&gt;=EH$5,$G140&lt;EH$5+GanttPeriod),"◆",IF(AND($E140&gt;=EH$5,$E140&lt;EH$5+GanttPeriod),"◇","")),IF(AND(EH$5&lt;=$F140,EH$5+GanttPeriod-1&gt;=$E140),"━","")))</f>
        <v/>
      </c>
      <c r="EI140" s="69" t="str">
        <f aca="false">IF($E140="","",IF($M140,IF(AND($G140&gt;=EI$5,$G140&lt;EI$5+GanttPeriod),"◆",IF(AND($E140&gt;=EI$5,$E140&lt;EI$5+GanttPeriod),"◇","")),IF(AND(EI$5&lt;=$F140,EI$5+GanttPeriod-1&gt;=$E140),"━","")))</f>
        <v/>
      </c>
      <c r="EJ140" s="69" t="str">
        <f aca="false">IF($E140="","",IF($M140,IF(AND($G140&gt;=EJ$5,$G140&lt;EJ$5+GanttPeriod),"◆",IF(AND($E140&gt;=EJ$5,$E140&lt;EJ$5+GanttPeriod),"◇","")),IF(AND(EJ$5&lt;=$F140,EJ$5+GanttPeriod-1&gt;=$E140),"━","")))</f>
        <v/>
      </c>
      <c r="EK140" s="69" t="str">
        <f aca="false">IF($E140="","",IF($M140,IF(AND($G140&gt;=EK$5,$G140&lt;EK$5+GanttPeriod),"◆",IF(AND($E140&gt;=EK$5,$E140&lt;EK$5+GanttPeriod),"◇","")),IF(AND(EK$5&lt;=$F140,EK$5+GanttPeriod-1&gt;=$E140),"━","")))</f>
        <v/>
      </c>
      <c r="EL140" s="69" t="str">
        <f aca="false">IF($E140="","",IF($M140,IF(AND($G140&gt;=EL$5,$G140&lt;EL$5+GanttPeriod),"◆",IF(AND($E140&gt;=EL$5,$E140&lt;EL$5+GanttPeriod),"◇","")),IF(AND(EL$5&lt;=$F140,EL$5+GanttPeriod-1&gt;=$E140),"━","")))</f>
        <v/>
      </c>
      <c r="EM140" s="69" t="str">
        <f aca="false">IF($E140="","",IF($M140,IF(AND($G140&gt;=EM$5,$G140&lt;EM$5+GanttPeriod),"◆",IF(AND($E140&gt;=EM$5,$E140&lt;EM$5+GanttPeriod),"◇","")),IF(AND(EM$5&lt;=$F140,EM$5+GanttPeriod-1&gt;=$E140),"━","")))</f>
        <v/>
      </c>
      <c r="EN140" s="69" t="str">
        <f aca="false">IF($E140="","",IF($M140,IF(AND($G140&gt;=EN$5,$G140&lt;EN$5+GanttPeriod),"◆",IF(AND($E140&gt;=EN$5,$E140&lt;EN$5+GanttPeriod),"◇","")),IF(AND(EN$5&lt;=$F140,EN$5+GanttPeriod-1&gt;=$E140),"━","")))</f>
        <v/>
      </c>
      <c r="EO140" s="69" t="str">
        <f aca="false">IF($E140="","",IF($M140,IF(AND($G140&gt;=EO$5,$G140&lt;EO$5+GanttPeriod),"◆",IF(AND($E140&gt;=EO$5,$E140&lt;EO$5+GanttPeriod),"◇","")),IF(AND(EO$5&lt;=$F140,EO$5+GanttPeriod-1&gt;=$E140),"━","")))</f>
        <v/>
      </c>
      <c r="EP140" s="69" t="str">
        <f aca="false">IF($E140="","",IF($M140,IF(AND($G140&gt;=EP$5,$G140&lt;EP$5+GanttPeriod),"◆",IF(AND($E140&gt;=EP$5,$E140&lt;EP$5+GanttPeriod),"◇","")),IF(AND(EP$5&lt;=$F140,EP$5+GanttPeriod-1&gt;=$E140),"━","")))</f>
        <v/>
      </c>
      <c r="EQ140" s="69" t="str">
        <f aca="false">IF($E140="","",IF($M140,IF(AND($G140&gt;=EQ$5,$G140&lt;EQ$5+GanttPeriod),"◆",IF(AND($E140&gt;=EQ$5,$E140&lt;EQ$5+GanttPeriod),"◇","")),IF(AND(EQ$5&lt;=$F140,EQ$5+GanttPeriod-1&gt;=$E140),"━","")))</f>
        <v/>
      </c>
      <c r="ER140" s="69" t="str">
        <f aca="false">IF($E140="","",IF($M140,IF(AND($G140&gt;=ER$5,$G140&lt;ER$5+GanttPeriod),"◆",IF(AND($E140&gt;=ER$5,$E140&lt;ER$5+GanttPeriod),"◇","")),IF(AND(ER$5&lt;=$F140,ER$5+GanttPeriod-1&gt;=$E140),"━","")))</f>
        <v/>
      </c>
      <c r="ES140" s="69" t="str">
        <f aca="false">IF($E140="","",IF($M140,IF(AND($G140&gt;=ES$5,$G140&lt;ES$5+GanttPeriod),"◆",IF(AND($E140&gt;=ES$5,$E140&lt;ES$5+GanttPeriod),"◇","")),IF(AND(ES$5&lt;=$F140,ES$5+GanttPeriod-1&gt;=$E140),"━","")))</f>
        <v/>
      </c>
      <c r="ET140" s="69" t="str">
        <f aca="false">IF($E140="","",IF($M140,IF(AND($G140&gt;=ET$5,$G140&lt;ET$5+GanttPeriod),"◆",IF(AND($E140&gt;=ET$5,$E140&lt;ET$5+GanttPeriod),"◇","")),IF(AND(ET$5&lt;=$F140,ET$5+GanttPeriod-1&gt;=$E140),"━","")))</f>
        <v/>
      </c>
      <c r="EU140" s="69" t="str">
        <f aca="false">IF($E140="","",IF($M140,IF(AND($G140&gt;=EU$5,$G140&lt;EU$5+GanttPeriod),"◆",IF(AND($E140&gt;=EU$5,$E140&lt;EU$5+GanttPeriod),"◇","")),IF(AND(EU$5&lt;=$F140,EU$5+GanttPeriod-1&gt;=$E140),"━","")))</f>
        <v/>
      </c>
      <c r="EV140" s="69" t="str">
        <f aca="false">IF($E140="","",IF($M140,IF(AND($G140&gt;=EV$5,$G140&lt;EV$5+GanttPeriod),"◆",IF(AND($E140&gt;=EV$5,$E140&lt;EV$5+GanttPeriod),"◇","")),IF(AND(EV$5&lt;=$F140,EV$5+GanttPeriod-1&gt;=$E140),"━","")))</f>
        <v/>
      </c>
      <c r="EW140" s="69" t="str">
        <f aca="false">IF($E140="","",IF($M140,IF(AND($G140&gt;=EW$5,$G140&lt;EW$5+GanttPeriod),"◆",IF(AND($E140&gt;=EW$5,$E140&lt;EW$5+GanttPeriod),"◇","")),IF(AND(EW$5&lt;=$F140,EW$5+GanttPeriod-1&gt;=$E140),"━","")))</f>
        <v/>
      </c>
      <c r="EX140" s="69" t="str">
        <f aca="false">IF($E140="","",IF($M140,IF(AND($G140&gt;=EX$5,$G140&lt;EX$5+GanttPeriod),"◆",IF(AND($E140&gt;=EX$5,$E140&lt;EX$5+GanttPeriod),"◇","")),IF(AND(EX$5&lt;=$F140,EX$5+GanttPeriod-1&gt;=$E140),"━","")))</f>
        <v/>
      </c>
      <c r="EY140" s="69" t="str">
        <f aca="false">IF($E140="","",IF($M140,IF(AND($G140&gt;=EY$5,$G140&lt;EY$5+GanttPeriod),"◆",IF(AND($E140&gt;=EY$5,$E140&lt;EY$5+GanttPeriod),"◇","")),IF(AND(EY$5&lt;=$F140,EY$5+GanttPeriod-1&gt;=$E140),"━","")))</f>
        <v/>
      </c>
      <c r="EZ140" s="69" t="str">
        <f aca="false">IF($E140="","",IF($M140,IF(AND($G140&gt;=EZ$5,$G140&lt;EZ$5+GanttPeriod),"◆",IF(AND($E140&gt;=EZ$5,$E140&lt;EZ$5+GanttPeriod),"◇","")),IF(AND(EZ$5&lt;=$F140,EZ$5+GanttPeriod-1&gt;=$E140),"━","")))</f>
        <v/>
      </c>
      <c r="FA140" s="69" t="str">
        <f aca="false">IF($E140="","",IF($M140,IF(AND($G140&gt;=FA$5,$G140&lt;FA$5+GanttPeriod),"◆",IF(AND($E140&gt;=FA$5,$E140&lt;FA$5+GanttPeriod),"◇","")),IF(AND(FA$5&lt;=$F140,FA$5+GanttPeriod-1&gt;=$E140),"━","")))</f>
        <v/>
      </c>
      <c r="FB140" s="69" t="str">
        <f aca="false">IF($E140="","",IF($M140,IF(AND($G140&gt;=FB$5,$G140&lt;FB$5+GanttPeriod),"◆",IF(AND($E140&gt;=FB$5,$E140&lt;FB$5+GanttPeriod),"◇","")),IF(AND(FB$5&lt;=$F140,FB$5+GanttPeriod-1&gt;=$E140),"━","")))</f>
        <v/>
      </c>
      <c r="FC140" s="69" t="str">
        <f aca="false">IF($E140="","",IF($M140,IF(AND($G140&gt;=FC$5,$G140&lt;FC$5+GanttPeriod),"◆",IF(AND($E140&gt;=FC$5,$E140&lt;FC$5+GanttPeriod),"◇","")),IF(AND(FC$5&lt;=$F140,FC$5+GanttPeriod-1&gt;=$E140),"━","")))</f>
        <v/>
      </c>
      <c r="FD140" s="69" t="str">
        <f aca="false">IF($E140="","",IF($M140,IF(AND($G140&gt;=FD$5,$G140&lt;FD$5+GanttPeriod),"◆",IF(AND($E140&gt;=FD$5,$E140&lt;FD$5+GanttPeriod),"◇","")),IF(AND(FD$5&lt;=$F140,FD$5+GanttPeriod-1&gt;=$E140),"━","")))</f>
        <v/>
      </c>
      <c r="FE140" s="69" t="str">
        <f aca="false">IF($E140="","",IF($M140,IF(AND($G140&gt;=FE$5,$G140&lt;FE$5+GanttPeriod),"◆",IF(AND($E140&gt;=FE$5,$E140&lt;FE$5+GanttPeriod),"◇","")),IF(AND(FE$5&lt;=$F140,FE$5+GanttPeriod-1&gt;=$E140),"━","")))</f>
        <v/>
      </c>
      <c r="FF140" s="69" t="str">
        <f aca="false">IF($E140="","",IF($M140,IF(AND($G140&gt;=FF$5,$G140&lt;FF$5+GanttPeriod),"◆",IF(AND($E140&gt;=FF$5,$E140&lt;FF$5+GanttPeriod),"◇","")),IF(AND(FF$5&lt;=$F140,FF$5+GanttPeriod-1&gt;=$E140),"━","")))</f>
        <v/>
      </c>
      <c r="FG140" s="69" t="str">
        <f aca="false">IF($E140="","",IF($M140,IF(AND($G140&gt;=FG$5,$G140&lt;FG$5+GanttPeriod),"◆",IF(AND($E140&gt;=FG$5,$E140&lt;FG$5+GanttPeriod),"◇","")),IF(AND(FG$5&lt;=$F140,FG$5+GanttPeriod-1&gt;=$E140),"━","")))</f>
        <v/>
      </c>
      <c r="FH140" s="69" t="str">
        <f aca="false">IF($E140="","",IF($M140,IF(AND($G140&gt;=FH$5,$G140&lt;FH$5+GanttPeriod),"◆",IF(AND($E140&gt;=FH$5,$E140&lt;FH$5+GanttPeriod),"◇","")),IF(AND(FH$5&lt;=$F140,FH$5+GanttPeriod-1&gt;=$E140),"━","")))</f>
        <v/>
      </c>
      <c r="FI140" s="69" t="str">
        <f aca="false">IF($E140="","",IF($M140,IF(AND($G140&gt;=FI$5,$G140&lt;FI$5+GanttPeriod),"◆",IF(AND($E140&gt;=FI$5,$E140&lt;FI$5+GanttPeriod),"◇","")),IF(AND(FI$5&lt;=$F140,FI$5+GanttPeriod-1&gt;=$E140),"━","")))</f>
        <v/>
      </c>
      <c r="FJ140" s="69" t="str">
        <f aca="false">IF($E140="","",IF($M140,IF(AND($G140&gt;=FJ$5,$G140&lt;FJ$5+GanttPeriod),"◆",IF(AND($E140&gt;=FJ$5,$E140&lt;FJ$5+GanttPeriod),"◇","")),IF(AND(FJ$5&lt;=$F140,FJ$5+GanttPeriod-1&gt;=$E140),"━","")))</f>
        <v/>
      </c>
      <c r="FK140" s="69" t="str">
        <f aca="false">IF($E140="","",IF($M140,IF(AND($G140&gt;=FK$5,$G140&lt;FK$5+GanttPeriod),"◆",IF(AND($E140&gt;=FK$5,$E140&lt;FK$5+GanttPeriod),"◇","")),IF(AND(FK$5&lt;=$F140,FK$5+GanttPeriod-1&gt;=$E140),"━","")))</f>
        <v/>
      </c>
      <c r="FL140" s="69" t="str">
        <f aca="false">IF($E140="","",IF($M140,IF(AND($G140&gt;=FL$5,$G140&lt;FL$5+GanttPeriod),"◆",IF(AND($E140&gt;=FL$5,$E140&lt;FL$5+GanttPeriod),"◇","")),IF(AND(FL$5&lt;=$F140,FL$5+GanttPeriod-1&gt;=$E140),"━","")))</f>
        <v/>
      </c>
      <c r="FM140" s="69" t="str">
        <f aca="false">IF($E140="","",IF($M140,IF(AND($G140&gt;=FM$5,$G140&lt;FM$5+GanttPeriod),"◆",IF(AND($E140&gt;=FM$5,$E140&lt;FM$5+GanttPeriod),"◇","")),IF(AND(FM$5&lt;=$F140,FM$5+GanttPeriod-1&gt;=$E140),"━","")))</f>
        <v/>
      </c>
    </row>
    <row r="141" customFormat="false" ht="15" hidden="false" customHeight="false" outlineLevel="0" collapsed="false">
      <c r="A141" s="62" t="str">
        <f aca="false">IF(Tasks!$D141="","",Tasks!$A141)</f>
        <v/>
      </c>
      <c r="B141" s="62" t="str">
        <f aca="false">IF(Tasks!$D141="","",Tasks!$B141)</f>
        <v/>
      </c>
      <c r="C141" s="63" t="str">
        <f aca="false">IF(Tasks!$D141="","",REPT("    ",Tasks!$AE141-1)&amp;Tasks!$D141)</f>
        <v/>
      </c>
      <c r="D141" s="62" t="str">
        <f aca="false">IF(Tasks!$D141="","",IF(Tasks!$AI141,NETWORKDAYS.INTL(Tasks!$R141,Tasks!$S141,WorkWeek,Holidays),N(Tasks!$F141)))</f>
        <v/>
      </c>
      <c r="E141" s="64" t="str">
        <f aca="false">IF(Tasks!$D141="","",Tasks!$N141)</f>
        <v/>
      </c>
      <c r="F141" s="64" t="str">
        <f aca="false">IF(Tasks!$D141="","",Tasks!$O141)</f>
        <v/>
      </c>
      <c r="G141" s="64" t="str">
        <f aca="false">IF(Tasks!$D141="","",Tasks!$R141)</f>
        <v/>
      </c>
      <c r="H141" s="64" t="str">
        <f aca="false">IF(Tasks!$D141="","",Tasks!$S141)</f>
        <v/>
      </c>
      <c r="I141" s="65" t="str">
        <f aca="false">IF(Tasks!$D141="","",Tasks!$V141)</f>
        <v/>
      </c>
      <c r="J141" s="63" t="str">
        <f aca="false">IF(Tasks!$D141="","",Tasks!$X141&amp;"")</f>
        <v/>
      </c>
      <c r="K141" s="66" t="str">
        <f aca="false">IF(Tasks!$D141="","",Tasks!$W141)</f>
        <v/>
      </c>
      <c r="L141" s="67" t="b">
        <f aca="false">IF(Tasks!$D141="",FALSE(),Tasks!$AI141)</f>
        <v>0</v>
      </c>
      <c r="M141" s="67" t="b">
        <f aca="false">AND(Tasks!$AJ141=1,N(Tasks!$F141)=0)</f>
        <v>0</v>
      </c>
      <c r="N141" s="68" t="n">
        <f aca="false">IF(AND(Tasks!$AJ141=1,NOT($M141),N($I141)&gt;0),$G141,0)</f>
        <v>0</v>
      </c>
      <c r="O141" s="68" t="n">
        <f aca="false">IF($N141=0,0,IF($I141&gt;=1,$H141,MAX($N141,$G141+ROUND(($H141-$G141+1)*$I141,0)-1)))</f>
        <v>0</v>
      </c>
      <c r="P141" s="68" t="n">
        <f aca="false">IF(OR(Tasks!$AJ141&lt;&gt;1,$M141,N($I141)&gt;=1),0,IF($O141&gt;0,$O141+1,$G141))</f>
        <v>0</v>
      </c>
      <c r="Q141" s="68" t="n">
        <f aca="false">IF($P141=0,0,$H141)</f>
        <v>0</v>
      </c>
      <c r="R141" s="67" t="b">
        <f aca="false">AND(Tasks!$D141&lt;&gt;"",N(Tasks!$T141)&gt;0)</f>
        <v>0</v>
      </c>
      <c r="T141" s="69" t="str">
        <f aca="false">IF($E141="","",IF($M141,IF(AND($G141&gt;=T$5,$G141&lt;T$5+GanttPeriod),"◆",IF(AND($E141&gt;=T$5,$E141&lt;T$5+GanttPeriod),"◇","")),IF(AND(T$5&lt;=$F141,T$5+GanttPeriod-1&gt;=$E141),"━","")))</f>
        <v/>
      </c>
      <c r="U141" s="69" t="str">
        <f aca="false">IF($E141="","",IF($M141,IF(AND($G141&gt;=U$5,$G141&lt;U$5+GanttPeriod),"◆",IF(AND($E141&gt;=U$5,$E141&lt;U$5+GanttPeriod),"◇","")),IF(AND(U$5&lt;=$F141,U$5+GanttPeriod-1&gt;=$E141),"━","")))</f>
        <v/>
      </c>
      <c r="V141" s="69" t="str">
        <f aca="false">IF($E141="","",IF($M141,IF(AND($G141&gt;=V$5,$G141&lt;V$5+GanttPeriod),"◆",IF(AND($E141&gt;=V$5,$E141&lt;V$5+GanttPeriod),"◇","")),IF(AND(V$5&lt;=$F141,V$5+GanttPeriod-1&gt;=$E141),"━","")))</f>
        <v/>
      </c>
      <c r="W141" s="69" t="str">
        <f aca="false">IF($E141="","",IF($M141,IF(AND($G141&gt;=W$5,$G141&lt;W$5+GanttPeriod),"◆",IF(AND($E141&gt;=W$5,$E141&lt;W$5+GanttPeriod),"◇","")),IF(AND(W$5&lt;=$F141,W$5+GanttPeriod-1&gt;=$E141),"━","")))</f>
        <v/>
      </c>
      <c r="X141" s="69" t="str">
        <f aca="false">IF($E141="","",IF($M141,IF(AND($G141&gt;=X$5,$G141&lt;X$5+GanttPeriod),"◆",IF(AND($E141&gt;=X$5,$E141&lt;X$5+GanttPeriod),"◇","")),IF(AND(X$5&lt;=$F141,X$5+GanttPeriod-1&gt;=$E141),"━","")))</f>
        <v/>
      </c>
      <c r="Y141" s="69" t="str">
        <f aca="false">IF($E141="","",IF($M141,IF(AND($G141&gt;=Y$5,$G141&lt;Y$5+GanttPeriod),"◆",IF(AND($E141&gt;=Y$5,$E141&lt;Y$5+GanttPeriod),"◇","")),IF(AND(Y$5&lt;=$F141,Y$5+GanttPeriod-1&gt;=$E141),"━","")))</f>
        <v/>
      </c>
      <c r="Z141" s="69" t="str">
        <f aca="false">IF($E141="","",IF($M141,IF(AND($G141&gt;=Z$5,$G141&lt;Z$5+GanttPeriod),"◆",IF(AND($E141&gt;=Z$5,$E141&lt;Z$5+GanttPeriod),"◇","")),IF(AND(Z$5&lt;=$F141,Z$5+GanttPeriod-1&gt;=$E141),"━","")))</f>
        <v/>
      </c>
      <c r="AA141" s="69" t="str">
        <f aca="false">IF($E141="","",IF($M141,IF(AND($G141&gt;=AA$5,$G141&lt;AA$5+GanttPeriod),"◆",IF(AND($E141&gt;=AA$5,$E141&lt;AA$5+GanttPeriod),"◇","")),IF(AND(AA$5&lt;=$F141,AA$5+GanttPeriod-1&gt;=$E141),"━","")))</f>
        <v/>
      </c>
      <c r="AB141" s="69" t="str">
        <f aca="false">IF($E141="","",IF($M141,IF(AND($G141&gt;=AB$5,$G141&lt;AB$5+GanttPeriod),"◆",IF(AND($E141&gt;=AB$5,$E141&lt;AB$5+GanttPeriod),"◇","")),IF(AND(AB$5&lt;=$F141,AB$5+GanttPeriod-1&gt;=$E141),"━","")))</f>
        <v/>
      </c>
      <c r="AC141" s="69" t="str">
        <f aca="false">IF($E141="","",IF($M141,IF(AND($G141&gt;=AC$5,$G141&lt;AC$5+GanttPeriod),"◆",IF(AND($E141&gt;=AC$5,$E141&lt;AC$5+GanttPeriod),"◇","")),IF(AND(AC$5&lt;=$F141,AC$5+GanttPeriod-1&gt;=$E141),"━","")))</f>
        <v/>
      </c>
      <c r="AD141" s="69" t="str">
        <f aca="false">IF($E141="","",IF($M141,IF(AND($G141&gt;=AD$5,$G141&lt;AD$5+GanttPeriod),"◆",IF(AND($E141&gt;=AD$5,$E141&lt;AD$5+GanttPeriod),"◇","")),IF(AND(AD$5&lt;=$F141,AD$5+GanttPeriod-1&gt;=$E141),"━","")))</f>
        <v/>
      </c>
      <c r="AE141" s="69" t="str">
        <f aca="false">IF($E141="","",IF($M141,IF(AND($G141&gt;=AE$5,$G141&lt;AE$5+GanttPeriod),"◆",IF(AND($E141&gt;=AE$5,$E141&lt;AE$5+GanttPeriod),"◇","")),IF(AND(AE$5&lt;=$F141,AE$5+GanttPeriod-1&gt;=$E141),"━","")))</f>
        <v/>
      </c>
      <c r="AF141" s="69" t="str">
        <f aca="false">IF($E141="","",IF($M141,IF(AND($G141&gt;=AF$5,$G141&lt;AF$5+GanttPeriod),"◆",IF(AND($E141&gt;=AF$5,$E141&lt;AF$5+GanttPeriod),"◇","")),IF(AND(AF$5&lt;=$F141,AF$5+GanttPeriod-1&gt;=$E141),"━","")))</f>
        <v/>
      </c>
      <c r="AG141" s="69" t="str">
        <f aca="false">IF($E141="","",IF($M141,IF(AND($G141&gt;=AG$5,$G141&lt;AG$5+GanttPeriod),"◆",IF(AND($E141&gt;=AG$5,$E141&lt;AG$5+GanttPeriod),"◇","")),IF(AND(AG$5&lt;=$F141,AG$5+GanttPeriod-1&gt;=$E141),"━","")))</f>
        <v/>
      </c>
      <c r="AH141" s="69" t="str">
        <f aca="false">IF($E141="","",IF($M141,IF(AND($G141&gt;=AH$5,$G141&lt;AH$5+GanttPeriod),"◆",IF(AND($E141&gt;=AH$5,$E141&lt;AH$5+GanttPeriod),"◇","")),IF(AND(AH$5&lt;=$F141,AH$5+GanttPeriod-1&gt;=$E141),"━","")))</f>
        <v/>
      </c>
      <c r="AI141" s="69" t="str">
        <f aca="false">IF($E141="","",IF($M141,IF(AND($G141&gt;=AI$5,$G141&lt;AI$5+GanttPeriod),"◆",IF(AND($E141&gt;=AI$5,$E141&lt;AI$5+GanttPeriod),"◇","")),IF(AND(AI$5&lt;=$F141,AI$5+GanttPeriod-1&gt;=$E141),"━","")))</f>
        <v/>
      </c>
      <c r="AJ141" s="69" t="str">
        <f aca="false">IF($E141="","",IF($M141,IF(AND($G141&gt;=AJ$5,$G141&lt;AJ$5+GanttPeriod),"◆",IF(AND($E141&gt;=AJ$5,$E141&lt;AJ$5+GanttPeriod),"◇","")),IF(AND(AJ$5&lt;=$F141,AJ$5+GanttPeriod-1&gt;=$E141),"━","")))</f>
        <v/>
      </c>
      <c r="AK141" s="69" t="str">
        <f aca="false">IF($E141="","",IF($M141,IF(AND($G141&gt;=AK$5,$G141&lt;AK$5+GanttPeriod),"◆",IF(AND($E141&gt;=AK$5,$E141&lt;AK$5+GanttPeriod),"◇","")),IF(AND(AK$5&lt;=$F141,AK$5+GanttPeriod-1&gt;=$E141),"━","")))</f>
        <v/>
      </c>
      <c r="AL141" s="69" t="str">
        <f aca="false">IF($E141="","",IF($M141,IF(AND($G141&gt;=AL$5,$G141&lt;AL$5+GanttPeriod),"◆",IF(AND($E141&gt;=AL$5,$E141&lt;AL$5+GanttPeriod),"◇","")),IF(AND(AL$5&lt;=$F141,AL$5+GanttPeriod-1&gt;=$E141),"━","")))</f>
        <v/>
      </c>
      <c r="AM141" s="69" t="str">
        <f aca="false">IF($E141="","",IF($M141,IF(AND($G141&gt;=AM$5,$G141&lt;AM$5+GanttPeriod),"◆",IF(AND($E141&gt;=AM$5,$E141&lt;AM$5+GanttPeriod),"◇","")),IF(AND(AM$5&lt;=$F141,AM$5+GanttPeriod-1&gt;=$E141),"━","")))</f>
        <v/>
      </c>
      <c r="AN141" s="69" t="str">
        <f aca="false">IF($E141="","",IF($M141,IF(AND($G141&gt;=AN$5,$G141&lt;AN$5+GanttPeriod),"◆",IF(AND($E141&gt;=AN$5,$E141&lt;AN$5+GanttPeriod),"◇","")),IF(AND(AN$5&lt;=$F141,AN$5+GanttPeriod-1&gt;=$E141),"━","")))</f>
        <v/>
      </c>
      <c r="AO141" s="69" t="str">
        <f aca="false">IF($E141="","",IF($M141,IF(AND($G141&gt;=AO$5,$G141&lt;AO$5+GanttPeriod),"◆",IF(AND($E141&gt;=AO$5,$E141&lt;AO$5+GanttPeriod),"◇","")),IF(AND(AO$5&lt;=$F141,AO$5+GanttPeriod-1&gt;=$E141),"━","")))</f>
        <v/>
      </c>
      <c r="AP141" s="69" t="str">
        <f aca="false">IF($E141="","",IF($M141,IF(AND($G141&gt;=AP$5,$G141&lt;AP$5+GanttPeriod),"◆",IF(AND($E141&gt;=AP$5,$E141&lt;AP$5+GanttPeriod),"◇","")),IF(AND(AP$5&lt;=$F141,AP$5+GanttPeriod-1&gt;=$E141),"━","")))</f>
        <v/>
      </c>
      <c r="AQ141" s="69" t="str">
        <f aca="false">IF($E141="","",IF($M141,IF(AND($G141&gt;=AQ$5,$G141&lt;AQ$5+GanttPeriod),"◆",IF(AND($E141&gt;=AQ$5,$E141&lt;AQ$5+GanttPeriod),"◇","")),IF(AND(AQ$5&lt;=$F141,AQ$5+GanttPeriod-1&gt;=$E141),"━","")))</f>
        <v/>
      </c>
      <c r="AR141" s="69" t="str">
        <f aca="false">IF($E141="","",IF($M141,IF(AND($G141&gt;=AR$5,$G141&lt;AR$5+GanttPeriod),"◆",IF(AND($E141&gt;=AR$5,$E141&lt;AR$5+GanttPeriod),"◇","")),IF(AND(AR$5&lt;=$F141,AR$5+GanttPeriod-1&gt;=$E141),"━","")))</f>
        <v/>
      </c>
      <c r="AS141" s="69" t="str">
        <f aca="false">IF($E141="","",IF($M141,IF(AND($G141&gt;=AS$5,$G141&lt;AS$5+GanttPeriod),"◆",IF(AND($E141&gt;=AS$5,$E141&lt;AS$5+GanttPeriod),"◇","")),IF(AND(AS$5&lt;=$F141,AS$5+GanttPeriod-1&gt;=$E141),"━","")))</f>
        <v/>
      </c>
      <c r="AT141" s="69" t="str">
        <f aca="false">IF($E141="","",IF($M141,IF(AND($G141&gt;=AT$5,$G141&lt;AT$5+GanttPeriod),"◆",IF(AND($E141&gt;=AT$5,$E141&lt;AT$5+GanttPeriod),"◇","")),IF(AND(AT$5&lt;=$F141,AT$5+GanttPeriod-1&gt;=$E141),"━","")))</f>
        <v/>
      </c>
      <c r="AU141" s="69" t="str">
        <f aca="false">IF($E141="","",IF($M141,IF(AND($G141&gt;=AU$5,$G141&lt;AU$5+GanttPeriod),"◆",IF(AND($E141&gt;=AU$5,$E141&lt;AU$5+GanttPeriod),"◇","")),IF(AND(AU$5&lt;=$F141,AU$5+GanttPeriod-1&gt;=$E141),"━","")))</f>
        <v/>
      </c>
      <c r="AV141" s="69" t="str">
        <f aca="false">IF($E141="","",IF($M141,IF(AND($G141&gt;=AV$5,$G141&lt;AV$5+GanttPeriod),"◆",IF(AND($E141&gt;=AV$5,$E141&lt;AV$5+GanttPeriod),"◇","")),IF(AND(AV$5&lt;=$F141,AV$5+GanttPeriod-1&gt;=$E141),"━","")))</f>
        <v/>
      </c>
      <c r="AW141" s="69" t="str">
        <f aca="false">IF($E141="","",IF($M141,IF(AND($G141&gt;=AW$5,$G141&lt;AW$5+GanttPeriod),"◆",IF(AND($E141&gt;=AW$5,$E141&lt;AW$5+GanttPeriod),"◇","")),IF(AND(AW$5&lt;=$F141,AW$5+GanttPeriod-1&gt;=$E141),"━","")))</f>
        <v/>
      </c>
      <c r="AX141" s="69" t="str">
        <f aca="false">IF($E141="","",IF($M141,IF(AND($G141&gt;=AX$5,$G141&lt;AX$5+GanttPeriod),"◆",IF(AND($E141&gt;=AX$5,$E141&lt;AX$5+GanttPeriod),"◇","")),IF(AND(AX$5&lt;=$F141,AX$5+GanttPeriod-1&gt;=$E141),"━","")))</f>
        <v/>
      </c>
      <c r="AY141" s="69" t="str">
        <f aca="false">IF($E141="","",IF($M141,IF(AND($G141&gt;=AY$5,$G141&lt;AY$5+GanttPeriod),"◆",IF(AND($E141&gt;=AY$5,$E141&lt;AY$5+GanttPeriod),"◇","")),IF(AND(AY$5&lt;=$F141,AY$5+GanttPeriod-1&gt;=$E141),"━","")))</f>
        <v/>
      </c>
      <c r="AZ141" s="69" t="str">
        <f aca="false">IF($E141="","",IF($M141,IF(AND($G141&gt;=AZ$5,$G141&lt;AZ$5+GanttPeriod),"◆",IF(AND($E141&gt;=AZ$5,$E141&lt;AZ$5+GanttPeriod),"◇","")),IF(AND(AZ$5&lt;=$F141,AZ$5+GanttPeriod-1&gt;=$E141),"━","")))</f>
        <v/>
      </c>
      <c r="BA141" s="69" t="str">
        <f aca="false">IF($E141="","",IF($M141,IF(AND($G141&gt;=BA$5,$G141&lt;BA$5+GanttPeriod),"◆",IF(AND($E141&gt;=BA$5,$E141&lt;BA$5+GanttPeriod),"◇","")),IF(AND(BA$5&lt;=$F141,BA$5+GanttPeriod-1&gt;=$E141),"━","")))</f>
        <v/>
      </c>
      <c r="BB141" s="69" t="str">
        <f aca="false">IF($E141="","",IF($M141,IF(AND($G141&gt;=BB$5,$G141&lt;BB$5+GanttPeriod),"◆",IF(AND($E141&gt;=BB$5,$E141&lt;BB$5+GanttPeriod),"◇","")),IF(AND(BB$5&lt;=$F141,BB$5+GanttPeriod-1&gt;=$E141),"━","")))</f>
        <v/>
      </c>
      <c r="BC141" s="69" t="str">
        <f aca="false">IF($E141="","",IF($M141,IF(AND($G141&gt;=BC$5,$G141&lt;BC$5+GanttPeriod),"◆",IF(AND($E141&gt;=BC$5,$E141&lt;BC$5+GanttPeriod),"◇","")),IF(AND(BC$5&lt;=$F141,BC$5+GanttPeriod-1&gt;=$E141),"━","")))</f>
        <v/>
      </c>
      <c r="BD141" s="69" t="str">
        <f aca="false">IF($E141="","",IF($M141,IF(AND($G141&gt;=BD$5,$G141&lt;BD$5+GanttPeriod),"◆",IF(AND($E141&gt;=BD$5,$E141&lt;BD$5+GanttPeriod),"◇","")),IF(AND(BD$5&lt;=$F141,BD$5+GanttPeriod-1&gt;=$E141),"━","")))</f>
        <v/>
      </c>
      <c r="BE141" s="69" t="str">
        <f aca="false">IF($E141="","",IF($M141,IF(AND($G141&gt;=BE$5,$G141&lt;BE$5+GanttPeriod),"◆",IF(AND($E141&gt;=BE$5,$E141&lt;BE$5+GanttPeriod),"◇","")),IF(AND(BE$5&lt;=$F141,BE$5+GanttPeriod-1&gt;=$E141),"━","")))</f>
        <v/>
      </c>
      <c r="BF141" s="69" t="str">
        <f aca="false">IF($E141="","",IF($M141,IF(AND($G141&gt;=BF$5,$G141&lt;BF$5+GanttPeriod),"◆",IF(AND($E141&gt;=BF$5,$E141&lt;BF$5+GanttPeriod),"◇","")),IF(AND(BF$5&lt;=$F141,BF$5+GanttPeriod-1&gt;=$E141),"━","")))</f>
        <v/>
      </c>
      <c r="BG141" s="69" t="str">
        <f aca="false">IF($E141="","",IF($M141,IF(AND($G141&gt;=BG$5,$G141&lt;BG$5+GanttPeriod),"◆",IF(AND($E141&gt;=BG$5,$E141&lt;BG$5+GanttPeriod),"◇","")),IF(AND(BG$5&lt;=$F141,BG$5+GanttPeriod-1&gt;=$E141),"━","")))</f>
        <v/>
      </c>
      <c r="BH141" s="69" t="str">
        <f aca="false">IF($E141="","",IF($M141,IF(AND($G141&gt;=BH$5,$G141&lt;BH$5+GanttPeriod),"◆",IF(AND($E141&gt;=BH$5,$E141&lt;BH$5+GanttPeriod),"◇","")),IF(AND(BH$5&lt;=$F141,BH$5+GanttPeriod-1&gt;=$E141),"━","")))</f>
        <v/>
      </c>
      <c r="BI141" s="69" t="str">
        <f aca="false">IF($E141="","",IF($M141,IF(AND($G141&gt;=BI$5,$G141&lt;BI$5+GanttPeriod),"◆",IF(AND($E141&gt;=BI$5,$E141&lt;BI$5+GanttPeriod),"◇","")),IF(AND(BI$5&lt;=$F141,BI$5+GanttPeriod-1&gt;=$E141),"━","")))</f>
        <v/>
      </c>
      <c r="BJ141" s="69" t="str">
        <f aca="false">IF($E141="","",IF($M141,IF(AND($G141&gt;=BJ$5,$G141&lt;BJ$5+GanttPeriod),"◆",IF(AND($E141&gt;=BJ$5,$E141&lt;BJ$5+GanttPeriod),"◇","")),IF(AND(BJ$5&lt;=$F141,BJ$5+GanttPeriod-1&gt;=$E141),"━","")))</f>
        <v/>
      </c>
      <c r="BK141" s="69" t="str">
        <f aca="false">IF($E141="","",IF($M141,IF(AND($G141&gt;=BK$5,$G141&lt;BK$5+GanttPeriod),"◆",IF(AND($E141&gt;=BK$5,$E141&lt;BK$5+GanttPeriod),"◇","")),IF(AND(BK$5&lt;=$F141,BK$5+GanttPeriod-1&gt;=$E141),"━","")))</f>
        <v/>
      </c>
      <c r="BL141" s="69" t="str">
        <f aca="false">IF($E141="","",IF($M141,IF(AND($G141&gt;=BL$5,$G141&lt;BL$5+GanttPeriod),"◆",IF(AND($E141&gt;=BL$5,$E141&lt;BL$5+GanttPeriod),"◇","")),IF(AND(BL$5&lt;=$F141,BL$5+GanttPeriod-1&gt;=$E141),"━","")))</f>
        <v/>
      </c>
      <c r="BM141" s="69" t="str">
        <f aca="false">IF($E141="","",IF($M141,IF(AND($G141&gt;=BM$5,$G141&lt;BM$5+GanttPeriod),"◆",IF(AND($E141&gt;=BM$5,$E141&lt;BM$5+GanttPeriod),"◇","")),IF(AND(BM$5&lt;=$F141,BM$5+GanttPeriod-1&gt;=$E141),"━","")))</f>
        <v/>
      </c>
      <c r="BN141" s="69" t="str">
        <f aca="false">IF($E141="","",IF($M141,IF(AND($G141&gt;=BN$5,$G141&lt;BN$5+GanttPeriod),"◆",IF(AND($E141&gt;=BN$5,$E141&lt;BN$5+GanttPeriod),"◇","")),IF(AND(BN$5&lt;=$F141,BN$5+GanttPeriod-1&gt;=$E141),"━","")))</f>
        <v/>
      </c>
      <c r="BO141" s="69" t="str">
        <f aca="false">IF($E141="","",IF($M141,IF(AND($G141&gt;=BO$5,$G141&lt;BO$5+GanttPeriod),"◆",IF(AND($E141&gt;=BO$5,$E141&lt;BO$5+GanttPeriod),"◇","")),IF(AND(BO$5&lt;=$F141,BO$5+GanttPeriod-1&gt;=$E141),"━","")))</f>
        <v/>
      </c>
      <c r="BP141" s="69" t="str">
        <f aca="false">IF($E141="","",IF($M141,IF(AND($G141&gt;=BP$5,$G141&lt;BP$5+GanttPeriod),"◆",IF(AND($E141&gt;=BP$5,$E141&lt;BP$5+GanttPeriod),"◇","")),IF(AND(BP$5&lt;=$F141,BP$5+GanttPeriod-1&gt;=$E141),"━","")))</f>
        <v/>
      </c>
      <c r="BQ141" s="69" t="str">
        <f aca="false">IF($E141="","",IF($M141,IF(AND($G141&gt;=BQ$5,$G141&lt;BQ$5+GanttPeriod),"◆",IF(AND($E141&gt;=BQ$5,$E141&lt;BQ$5+GanttPeriod),"◇","")),IF(AND(BQ$5&lt;=$F141,BQ$5+GanttPeriod-1&gt;=$E141),"━","")))</f>
        <v/>
      </c>
      <c r="BR141" s="69" t="str">
        <f aca="false">IF($E141="","",IF($M141,IF(AND($G141&gt;=BR$5,$G141&lt;BR$5+GanttPeriod),"◆",IF(AND($E141&gt;=BR$5,$E141&lt;BR$5+GanttPeriod),"◇","")),IF(AND(BR$5&lt;=$F141,BR$5+GanttPeriod-1&gt;=$E141),"━","")))</f>
        <v/>
      </c>
      <c r="BS141" s="69" t="str">
        <f aca="false">IF($E141="","",IF($M141,IF(AND($G141&gt;=BS$5,$G141&lt;BS$5+GanttPeriod),"◆",IF(AND($E141&gt;=BS$5,$E141&lt;BS$5+GanttPeriod),"◇","")),IF(AND(BS$5&lt;=$F141,BS$5+GanttPeriod-1&gt;=$E141),"━","")))</f>
        <v/>
      </c>
      <c r="BT141" s="69" t="str">
        <f aca="false">IF($E141="","",IF($M141,IF(AND($G141&gt;=BT$5,$G141&lt;BT$5+GanttPeriod),"◆",IF(AND($E141&gt;=BT$5,$E141&lt;BT$5+GanttPeriod),"◇","")),IF(AND(BT$5&lt;=$F141,BT$5+GanttPeriod-1&gt;=$E141),"━","")))</f>
        <v/>
      </c>
      <c r="BU141" s="69" t="str">
        <f aca="false">IF($E141="","",IF($M141,IF(AND($G141&gt;=BU$5,$G141&lt;BU$5+GanttPeriod),"◆",IF(AND($E141&gt;=BU$5,$E141&lt;BU$5+GanttPeriod),"◇","")),IF(AND(BU$5&lt;=$F141,BU$5+GanttPeriod-1&gt;=$E141),"━","")))</f>
        <v/>
      </c>
      <c r="BV141" s="69" t="str">
        <f aca="false">IF($E141="","",IF($M141,IF(AND($G141&gt;=BV$5,$G141&lt;BV$5+GanttPeriod),"◆",IF(AND($E141&gt;=BV$5,$E141&lt;BV$5+GanttPeriod),"◇","")),IF(AND(BV$5&lt;=$F141,BV$5+GanttPeriod-1&gt;=$E141),"━","")))</f>
        <v/>
      </c>
      <c r="BW141" s="69" t="str">
        <f aca="false">IF($E141="","",IF($M141,IF(AND($G141&gt;=BW$5,$G141&lt;BW$5+GanttPeriod),"◆",IF(AND($E141&gt;=BW$5,$E141&lt;BW$5+GanttPeriod),"◇","")),IF(AND(BW$5&lt;=$F141,BW$5+GanttPeriod-1&gt;=$E141),"━","")))</f>
        <v/>
      </c>
      <c r="BX141" s="69" t="str">
        <f aca="false">IF($E141="","",IF($M141,IF(AND($G141&gt;=BX$5,$G141&lt;BX$5+GanttPeriod),"◆",IF(AND($E141&gt;=BX$5,$E141&lt;BX$5+GanttPeriod),"◇","")),IF(AND(BX$5&lt;=$F141,BX$5+GanttPeriod-1&gt;=$E141),"━","")))</f>
        <v/>
      </c>
      <c r="BY141" s="69" t="str">
        <f aca="false">IF($E141="","",IF($M141,IF(AND($G141&gt;=BY$5,$G141&lt;BY$5+GanttPeriod),"◆",IF(AND($E141&gt;=BY$5,$E141&lt;BY$5+GanttPeriod),"◇","")),IF(AND(BY$5&lt;=$F141,BY$5+GanttPeriod-1&gt;=$E141),"━","")))</f>
        <v/>
      </c>
      <c r="BZ141" s="69" t="str">
        <f aca="false">IF($E141="","",IF($M141,IF(AND($G141&gt;=BZ$5,$G141&lt;BZ$5+GanttPeriod),"◆",IF(AND($E141&gt;=BZ$5,$E141&lt;BZ$5+GanttPeriod),"◇","")),IF(AND(BZ$5&lt;=$F141,BZ$5+GanttPeriod-1&gt;=$E141),"━","")))</f>
        <v/>
      </c>
      <c r="CA141" s="69" t="str">
        <f aca="false">IF($E141="","",IF($M141,IF(AND($G141&gt;=CA$5,$G141&lt;CA$5+GanttPeriod),"◆",IF(AND($E141&gt;=CA$5,$E141&lt;CA$5+GanttPeriod),"◇","")),IF(AND(CA$5&lt;=$F141,CA$5+GanttPeriod-1&gt;=$E141),"━","")))</f>
        <v/>
      </c>
      <c r="CB141" s="69" t="str">
        <f aca="false">IF($E141="","",IF($M141,IF(AND($G141&gt;=CB$5,$G141&lt;CB$5+GanttPeriod),"◆",IF(AND($E141&gt;=CB$5,$E141&lt;CB$5+GanttPeriod),"◇","")),IF(AND(CB$5&lt;=$F141,CB$5+GanttPeriod-1&gt;=$E141),"━","")))</f>
        <v/>
      </c>
      <c r="CC141" s="69" t="str">
        <f aca="false">IF($E141="","",IF($M141,IF(AND($G141&gt;=CC$5,$G141&lt;CC$5+GanttPeriod),"◆",IF(AND($E141&gt;=CC$5,$E141&lt;CC$5+GanttPeriod),"◇","")),IF(AND(CC$5&lt;=$F141,CC$5+GanttPeriod-1&gt;=$E141),"━","")))</f>
        <v/>
      </c>
      <c r="CD141" s="69" t="str">
        <f aca="false">IF($E141="","",IF($M141,IF(AND($G141&gt;=CD$5,$G141&lt;CD$5+GanttPeriod),"◆",IF(AND($E141&gt;=CD$5,$E141&lt;CD$5+GanttPeriod),"◇","")),IF(AND(CD$5&lt;=$F141,CD$5+GanttPeriod-1&gt;=$E141),"━","")))</f>
        <v/>
      </c>
      <c r="CE141" s="69" t="str">
        <f aca="false">IF($E141="","",IF($M141,IF(AND($G141&gt;=CE$5,$G141&lt;CE$5+GanttPeriod),"◆",IF(AND($E141&gt;=CE$5,$E141&lt;CE$5+GanttPeriod),"◇","")),IF(AND(CE$5&lt;=$F141,CE$5+GanttPeriod-1&gt;=$E141),"━","")))</f>
        <v/>
      </c>
      <c r="CF141" s="69" t="str">
        <f aca="false">IF($E141="","",IF($M141,IF(AND($G141&gt;=CF$5,$G141&lt;CF$5+GanttPeriod),"◆",IF(AND($E141&gt;=CF$5,$E141&lt;CF$5+GanttPeriod),"◇","")),IF(AND(CF$5&lt;=$F141,CF$5+GanttPeriod-1&gt;=$E141),"━","")))</f>
        <v/>
      </c>
      <c r="CG141" s="69" t="str">
        <f aca="false">IF($E141="","",IF($M141,IF(AND($G141&gt;=CG$5,$G141&lt;CG$5+GanttPeriod),"◆",IF(AND($E141&gt;=CG$5,$E141&lt;CG$5+GanttPeriod),"◇","")),IF(AND(CG$5&lt;=$F141,CG$5+GanttPeriod-1&gt;=$E141),"━","")))</f>
        <v/>
      </c>
      <c r="CH141" s="69" t="str">
        <f aca="false">IF($E141="","",IF($M141,IF(AND($G141&gt;=CH$5,$G141&lt;CH$5+GanttPeriod),"◆",IF(AND($E141&gt;=CH$5,$E141&lt;CH$5+GanttPeriod),"◇","")),IF(AND(CH$5&lt;=$F141,CH$5+GanttPeriod-1&gt;=$E141),"━","")))</f>
        <v/>
      </c>
      <c r="CI141" s="69" t="str">
        <f aca="false">IF($E141="","",IF($M141,IF(AND($G141&gt;=CI$5,$G141&lt;CI$5+GanttPeriod),"◆",IF(AND($E141&gt;=CI$5,$E141&lt;CI$5+GanttPeriod),"◇","")),IF(AND(CI$5&lt;=$F141,CI$5+GanttPeriod-1&gt;=$E141),"━","")))</f>
        <v/>
      </c>
      <c r="CJ141" s="69" t="str">
        <f aca="false">IF($E141="","",IF($M141,IF(AND($G141&gt;=CJ$5,$G141&lt;CJ$5+GanttPeriod),"◆",IF(AND($E141&gt;=CJ$5,$E141&lt;CJ$5+GanttPeriod),"◇","")),IF(AND(CJ$5&lt;=$F141,CJ$5+GanttPeriod-1&gt;=$E141),"━","")))</f>
        <v/>
      </c>
      <c r="CK141" s="69" t="str">
        <f aca="false">IF($E141="","",IF($M141,IF(AND($G141&gt;=CK$5,$G141&lt;CK$5+GanttPeriod),"◆",IF(AND($E141&gt;=CK$5,$E141&lt;CK$5+GanttPeriod),"◇","")),IF(AND(CK$5&lt;=$F141,CK$5+GanttPeriod-1&gt;=$E141),"━","")))</f>
        <v/>
      </c>
      <c r="CL141" s="69" t="str">
        <f aca="false">IF($E141="","",IF($M141,IF(AND($G141&gt;=CL$5,$G141&lt;CL$5+GanttPeriod),"◆",IF(AND($E141&gt;=CL$5,$E141&lt;CL$5+GanttPeriod),"◇","")),IF(AND(CL$5&lt;=$F141,CL$5+GanttPeriod-1&gt;=$E141),"━","")))</f>
        <v/>
      </c>
      <c r="CM141" s="69" t="str">
        <f aca="false">IF($E141="","",IF($M141,IF(AND($G141&gt;=CM$5,$G141&lt;CM$5+GanttPeriod),"◆",IF(AND($E141&gt;=CM$5,$E141&lt;CM$5+GanttPeriod),"◇","")),IF(AND(CM$5&lt;=$F141,CM$5+GanttPeriod-1&gt;=$E141),"━","")))</f>
        <v/>
      </c>
      <c r="CN141" s="69" t="str">
        <f aca="false">IF($E141="","",IF($M141,IF(AND($G141&gt;=CN$5,$G141&lt;CN$5+GanttPeriod),"◆",IF(AND($E141&gt;=CN$5,$E141&lt;CN$5+GanttPeriod),"◇","")),IF(AND(CN$5&lt;=$F141,CN$5+GanttPeriod-1&gt;=$E141),"━","")))</f>
        <v/>
      </c>
      <c r="CO141" s="69" t="str">
        <f aca="false">IF($E141="","",IF($M141,IF(AND($G141&gt;=CO$5,$G141&lt;CO$5+GanttPeriod),"◆",IF(AND($E141&gt;=CO$5,$E141&lt;CO$5+GanttPeriod),"◇","")),IF(AND(CO$5&lt;=$F141,CO$5+GanttPeriod-1&gt;=$E141),"━","")))</f>
        <v/>
      </c>
      <c r="CP141" s="69" t="str">
        <f aca="false">IF($E141="","",IF($M141,IF(AND($G141&gt;=CP$5,$G141&lt;CP$5+GanttPeriod),"◆",IF(AND($E141&gt;=CP$5,$E141&lt;CP$5+GanttPeriod),"◇","")),IF(AND(CP$5&lt;=$F141,CP$5+GanttPeriod-1&gt;=$E141),"━","")))</f>
        <v/>
      </c>
      <c r="CQ141" s="69" t="str">
        <f aca="false">IF($E141="","",IF($M141,IF(AND($G141&gt;=CQ$5,$G141&lt;CQ$5+GanttPeriod),"◆",IF(AND($E141&gt;=CQ$5,$E141&lt;CQ$5+GanttPeriod),"◇","")),IF(AND(CQ$5&lt;=$F141,CQ$5+GanttPeriod-1&gt;=$E141),"━","")))</f>
        <v/>
      </c>
      <c r="CR141" s="69" t="str">
        <f aca="false">IF($E141="","",IF($M141,IF(AND($G141&gt;=CR$5,$G141&lt;CR$5+GanttPeriod),"◆",IF(AND($E141&gt;=CR$5,$E141&lt;CR$5+GanttPeriod),"◇","")),IF(AND(CR$5&lt;=$F141,CR$5+GanttPeriod-1&gt;=$E141),"━","")))</f>
        <v/>
      </c>
      <c r="CS141" s="69" t="str">
        <f aca="false">IF($E141="","",IF($M141,IF(AND($G141&gt;=CS$5,$G141&lt;CS$5+GanttPeriod),"◆",IF(AND($E141&gt;=CS$5,$E141&lt;CS$5+GanttPeriod),"◇","")),IF(AND(CS$5&lt;=$F141,CS$5+GanttPeriod-1&gt;=$E141),"━","")))</f>
        <v/>
      </c>
      <c r="CT141" s="69" t="str">
        <f aca="false">IF($E141="","",IF($M141,IF(AND($G141&gt;=CT$5,$G141&lt;CT$5+GanttPeriod),"◆",IF(AND($E141&gt;=CT$5,$E141&lt;CT$5+GanttPeriod),"◇","")),IF(AND(CT$5&lt;=$F141,CT$5+GanttPeriod-1&gt;=$E141),"━","")))</f>
        <v/>
      </c>
      <c r="CU141" s="69" t="str">
        <f aca="false">IF($E141="","",IF($M141,IF(AND($G141&gt;=CU$5,$G141&lt;CU$5+GanttPeriod),"◆",IF(AND($E141&gt;=CU$5,$E141&lt;CU$5+GanttPeriod),"◇","")),IF(AND(CU$5&lt;=$F141,CU$5+GanttPeriod-1&gt;=$E141),"━","")))</f>
        <v/>
      </c>
      <c r="CV141" s="69" t="str">
        <f aca="false">IF($E141="","",IF($M141,IF(AND($G141&gt;=CV$5,$G141&lt;CV$5+GanttPeriod),"◆",IF(AND($E141&gt;=CV$5,$E141&lt;CV$5+GanttPeriod),"◇","")),IF(AND(CV$5&lt;=$F141,CV$5+GanttPeriod-1&gt;=$E141),"━","")))</f>
        <v/>
      </c>
      <c r="CW141" s="69" t="str">
        <f aca="false">IF($E141="","",IF($M141,IF(AND($G141&gt;=CW$5,$G141&lt;CW$5+GanttPeriod),"◆",IF(AND($E141&gt;=CW$5,$E141&lt;CW$5+GanttPeriod),"◇","")),IF(AND(CW$5&lt;=$F141,CW$5+GanttPeriod-1&gt;=$E141),"━","")))</f>
        <v/>
      </c>
      <c r="CX141" s="69" t="str">
        <f aca="false">IF($E141="","",IF($M141,IF(AND($G141&gt;=CX$5,$G141&lt;CX$5+GanttPeriod),"◆",IF(AND($E141&gt;=CX$5,$E141&lt;CX$5+GanttPeriod),"◇","")),IF(AND(CX$5&lt;=$F141,CX$5+GanttPeriod-1&gt;=$E141),"━","")))</f>
        <v/>
      </c>
      <c r="CY141" s="69" t="str">
        <f aca="false">IF($E141="","",IF($M141,IF(AND($G141&gt;=CY$5,$G141&lt;CY$5+GanttPeriod),"◆",IF(AND($E141&gt;=CY$5,$E141&lt;CY$5+GanttPeriod),"◇","")),IF(AND(CY$5&lt;=$F141,CY$5+GanttPeriod-1&gt;=$E141),"━","")))</f>
        <v/>
      </c>
      <c r="CZ141" s="69" t="str">
        <f aca="false">IF($E141="","",IF($M141,IF(AND($G141&gt;=CZ$5,$G141&lt;CZ$5+GanttPeriod),"◆",IF(AND($E141&gt;=CZ$5,$E141&lt;CZ$5+GanttPeriod),"◇","")),IF(AND(CZ$5&lt;=$F141,CZ$5+GanttPeriod-1&gt;=$E141),"━","")))</f>
        <v/>
      </c>
      <c r="DA141" s="69" t="str">
        <f aca="false">IF($E141="","",IF($M141,IF(AND($G141&gt;=DA$5,$G141&lt;DA$5+GanttPeriod),"◆",IF(AND($E141&gt;=DA$5,$E141&lt;DA$5+GanttPeriod),"◇","")),IF(AND(DA$5&lt;=$F141,DA$5+GanttPeriod-1&gt;=$E141),"━","")))</f>
        <v/>
      </c>
      <c r="DB141" s="69" t="str">
        <f aca="false">IF($E141="","",IF($M141,IF(AND($G141&gt;=DB$5,$G141&lt;DB$5+GanttPeriod),"◆",IF(AND($E141&gt;=DB$5,$E141&lt;DB$5+GanttPeriod),"◇","")),IF(AND(DB$5&lt;=$F141,DB$5+GanttPeriod-1&gt;=$E141),"━","")))</f>
        <v/>
      </c>
      <c r="DC141" s="69" t="str">
        <f aca="false">IF($E141="","",IF($M141,IF(AND($G141&gt;=DC$5,$G141&lt;DC$5+GanttPeriod),"◆",IF(AND($E141&gt;=DC$5,$E141&lt;DC$5+GanttPeriod),"◇","")),IF(AND(DC$5&lt;=$F141,DC$5+GanttPeriod-1&gt;=$E141),"━","")))</f>
        <v/>
      </c>
      <c r="DD141" s="69" t="str">
        <f aca="false">IF($E141="","",IF($M141,IF(AND($G141&gt;=DD$5,$G141&lt;DD$5+GanttPeriod),"◆",IF(AND($E141&gt;=DD$5,$E141&lt;DD$5+GanttPeriod),"◇","")),IF(AND(DD$5&lt;=$F141,DD$5+GanttPeriod-1&gt;=$E141),"━","")))</f>
        <v/>
      </c>
      <c r="DE141" s="69" t="str">
        <f aca="false">IF($E141="","",IF($M141,IF(AND($G141&gt;=DE$5,$G141&lt;DE$5+GanttPeriod),"◆",IF(AND($E141&gt;=DE$5,$E141&lt;DE$5+GanttPeriod),"◇","")),IF(AND(DE$5&lt;=$F141,DE$5+GanttPeriod-1&gt;=$E141),"━","")))</f>
        <v/>
      </c>
      <c r="DF141" s="69" t="str">
        <f aca="false">IF($E141="","",IF($M141,IF(AND($G141&gt;=DF$5,$G141&lt;DF$5+GanttPeriod),"◆",IF(AND($E141&gt;=DF$5,$E141&lt;DF$5+GanttPeriod),"◇","")),IF(AND(DF$5&lt;=$F141,DF$5+GanttPeriod-1&gt;=$E141),"━","")))</f>
        <v/>
      </c>
      <c r="DG141" s="69" t="str">
        <f aca="false">IF($E141="","",IF($M141,IF(AND($G141&gt;=DG$5,$G141&lt;DG$5+GanttPeriod),"◆",IF(AND($E141&gt;=DG$5,$E141&lt;DG$5+GanttPeriod),"◇","")),IF(AND(DG$5&lt;=$F141,DG$5+GanttPeriod-1&gt;=$E141),"━","")))</f>
        <v/>
      </c>
      <c r="DH141" s="69" t="str">
        <f aca="false">IF($E141="","",IF($M141,IF(AND($G141&gt;=DH$5,$G141&lt;DH$5+GanttPeriod),"◆",IF(AND($E141&gt;=DH$5,$E141&lt;DH$5+GanttPeriod),"◇","")),IF(AND(DH$5&lt;=$F141,DH$5+GanttPeriod-1&gt;=$E141),"━","")))</f>
        <v/>
      </c>
      <c r="DI141" s="69" t="str">
        <f aca="false">IF($E141="","",IF($M141,IF(AND($G141&gt;=DI$5,$G141&lt;DI$5+GanttPeriod),"◆",IF(AND($E141&gt;=DI$5,$E141&lt;DI$5+GanttPeriod),"◇","")),IF(AND(DI$5&lt;=$F141,DI$5+GanttPeriod-1&gt;=$E141),"━","")))</f>
        <v/>
      </c>
      <c r="DJ141" s="69" t="str">
        <f aca="false">IF($E141="","",IF($M141,IF(AND($G141&gt;=DJ$5,$G141&lt;DJ$5+GanttPeriod),"◆",IF(AND($E141&gt;=DJ$5,$E141&lt;DJ$5+GanttPeriod),"◇","")),IF(AND(DJ$5&lt;=$F141,DJ$5+GanttPeriod-1&gt;=$E141),"━","")))</f>
        <v/>
      </c>
      <c r="DK141" s="69" t="str">
        <f aca="false">IF($E141="","",IF($M141,IF(AND($G141&gt;=DK$5,$G141&lt;DK$5+GanttPeriod),"◆",IF(AND($E141&gt;=DK$5,$E141&lt;DK$5+GanttPeriod),"◇","")),IF(AND(DK$5&lt;=$F141,DK$5+GanttPeriod-1&gt;=$E141),"━","")))</f>
        <v/>
      </c>
      <c r="DL141" s="69" t="str">
        <f aca="false">IF($E141="","",IF($M141,IF(AND($G141&gt;=DL$5,$G141&lt;DL$5+GanttPeriod),"◆",IF(AND($E141&gt;=DL$5,$E141&lt;DL$5+GanttPeriod),"◇","")),IF(AND(DL$5&lt;=$F141,DL$5+GanttPeriod-1&gt;=$E141),"━","")))</f>
        <v/>
      </c>
      <c r="DM141" s="69" t="str">
        <f aca="false">IF($E141="","",IF($M141,IF(AND($G141&gt;=DM$5,$G141&lt;DM$5+GanttPeriod),"◆",IF(AND($E141&gt;=DM$5,$E141&lt;DM$5+GanttPeriod),"◇","")),IF(AND(DM$5&lt;=$F141,DM$5+GanttPeriod-1&gt;=$E141),"━","")))</f>
        <v/>
      </c>
      <c r="DN141" s="69" t="str">
        <f aca="false">IF($E141="","",IF($M141,IF(AND($G141&gt;=DN$5,$G141&lt;DN$5+GanttPeriod),"◆",IF(AND($E141&gt;=DN$5,$E141&lt;DN$5+GanttPeriod),"◇","")),IF(AND(DN$5&lt;=$F141,DN$5+GanttPeriod-1&gt;=$E141),"━","")))</f>
        <v/>
      </c>
      <c r="DO141" s="69" t="str">
        <f aca="false">IF($E141="","",IF($M141,IF(AND($G141&gt;=DO$5,$G141&lt;DO$5+GanttPeriod),"◆",IF(AND($E141&gt;=DO$5,$E141&lt;DO$5+GanttPeriod),"◇","")),IF(AND(DO$5&lt;=$F141,DO$5+GanttPeriod-1&gt;=$E141),"━","")))</f>
        <v/>
      </c>
      <c r="DP141" s="69" t="str">
        <f aca="false">IF($E141="","",IF($M141,IF(AND($G141&gt;=DP$5,$G141&lt;DP$5+GanttPeriod),"◆",IF(AND($E141&gt;=DP$5,$E141&lt;DP$5+GanttPeriod),"◇","")),IF(AND(DP$5&lt;=$F141,DP$5+GanttPeriod-1&gt;=$E141),"━","")))</f>
        <v/>
      </c>
      <c r="DQ141" s="69" t="str">
        <f aca="false">IF($E141="","",IF($M141,IF(AND($G141&gt;=DQ$5,$G141&lt;DQ$5+GanttPeriod),"◆",IF(AND($E141&gt;=DQ$5,$E141&lt;DQ$5+GanttPeriod),"◇","")),IF(AND(DQ$5&lt;=$F141,DQ$5+GanttPeriod-1&gt;=$E141),"━","")))</f>
        <v/>
      </c>
      <c r="DR141" s="69" t="str">
        <f aca="false">IF($E141="","",IF($M141,IF(AND($G141&gt;=DR$5,$G141&lt;DR$5+GanttPeriod),"◆",IF(AND($E141&gt;=DR$5,$E141&lt;DR$5+GanttPeriod),"◇","")),IF(AND(DR$5&lt;=$F141,DR$5+GanttPeriod-1&gt;=$E141),"━","")))</f>
        <v/>
      </c>
      <c r="DS141" s="69" t="str">
        <f aca="false">IF($E141="","",IF($M141,IF(AND($G141&gt;=DS$5,$G141&lt;DS$5+GanttPeriod),"◆",IF(AND($E141&gt;=DS$5,$E141&lt;DS$5+GanttPeriod),"◇","")),IF(AND(DS$5&lt;=$F141,DS$5+GanttPeriod-1&gt;=$E141),"━","")))</f>
        <v/>
      </c>
      <c r="DT141" s="69" t="str">
        <f aca="false">IF($E141="","",IF($M141,IF(AND($G141&gt;=DT$5,$G141&lt;DT$5+GanttPeriod),"◆",IF(AND($E141&gt;=DT$5,$E141&lt;DT$5+GanttPeriod),"◇","")),IF(AND(DT$5&lt;=$F141,DT$5+GanttPeriod-1&gt;=$E141),"━","")))</f>
        <v/>
      </c>
      <c r="DU141" s="69" t="str">
        <f aca="false">IF($E141="","",IF($M141,IF(AND($G141&gt;=DU$5,$G141&lt;DU$5+GanttPeriod),"◆",IF(AND($E141&gt;=DU$5,$E141&lt;DU$5+GanttPeriod),"◇","")),IF(AND(DU$5&lt;=$F141,DU$5+GanttPeriod-1&gt;=$E141),"━","")))</f>
        <v/>
      </c>
      <c r="DV141" s="69" t="str">
        <f aca="false">IF($E141="","",IF($M141,IF(AND($G141&gt;=DV$5,$G141&lt;DV$5+GanttPeriod),"◆",IF(AND($E141&gt;=DV$5,$E141&lt;DV$5+GanttPeriod),"◇","")),IF(AND(DV$5&lt;=$F141,DV$5+GanttPeriod-1&gt;=$E141),"━","")))</f>
        <v/>
      </c>
      <c r="DW141" s="69" t="str">
        <f aca="false">IF($E141="","",IF($M141,IF(AND($G141&gt;=DW$5,$G141&lt;DW$5+GanttPeriod),"◆",IF(AND($E141&gt;=DW$5,$E141&lt;DW$5+GanttPeriod),"◇","")),IF(AND(DW$5&lt;=$F141,DW$5+GanttPeriod-1&gt;=$E141),"━","")))</f>
        <v/>
      </c>
      <c r="DX141" s="69" t="str">
        <f aca="false">IF($E141="","",IF($M141,IF(AND($G141&gt;=DX$5,$G141&lt;DX$5+GanttPeriod),"◆",IF(AND($E141&gt;=DX$5,$E141&lt;DX$5+GanttPeriod),"◇","")),IF(AND(DX$5&lt;=$F141,DX$5+GanttPeriod-1&gt;=$E141),"━","")))</f>
        <v/>
      </c>
      <c r="DY141" s="69" t="str">
        <f aca="false">IF($E141="","",IF($M141,IF(AND($G141&gt;=DY$5,$G141&lt;DY$5+GanttPeriod),"◆",IF(AND($E141&gt;=DY$5,$E141&lt;DY$5+GanttPeriod),"◇","")),IF(AND(DY$5&lt;=$F141,DY$5+GanttPeriod-1&gt;=$E141),"━","")))</f>
        <v/>
      </c>
      <c r="DZ141" s="69" t="str">
        <f aca="false">IF($E141="","",IF($M141,IF(AND($G141&gt;=DZ$5,$G141&lt;DZ$5+GanttPeriod),"◆",IF(AND($E141&gt;=DZ$5,$E141&lt;DZ$5+GanttPeriod),"◇","")),IF(AND(DZ$5&lt;=$F141,DZ$5+GanttPeriod-1&gt;=$E141),"━","")))</f>
        <v/>
      </c>
      <c r="EA141" s="69" t="str">
        <f aca="false">IF($E141="","",IF($M141,IF(AND($G141&gt;=EA$5,$G141&lt;EA$5+GanttPeriod),"◆",IF(AND($E141&gt;=EA$5,$E141&lt;EA$5+GanttPeriod),"◇","")),IF(AND(EA$5&lt;=$F141,EA$5+GanttPeriod-1&gt;=$E141),"━","")))</f>
        <v/>
      </c>
      <c r="EB141" s="69" t="str">
        <f aca="false">IF($E141="","",IF($M141,IF(AND($G141&gt;=EB$5,$G141&lt;EB$5+GanttPeriod),"◆",IF(AND($E141&gt;=EB$5,$E141&lt;EB$5+GanttPeriod),"◇","")),IF(AND(EB$5&lt;=$F141,EB$5+GanttPeriod-1&gt;=$E141),"━","")))</f>
        <v/>
      </c>
      <c r="EC141" s="69" t="str">
        <f aca="false">IF($E141="","",IF($M141,IF(AND($G141&gt;=EC$5,$G141&lt;EC$5+GanttPeriod),"◆",IF(AND($E141&gt;=EC$5,$E141&lt;EC$5+GanttPeriod),"◇","")),IF(AND(EC$5&lt;=$F141,EC$5+GanttPeriod-1&gt;=$E141),"━","")))</f>
        <v/>
      </c>
      <c r="ED141" s="69" t="str">
        <f aca="false">IF($E141="","",IF($M141,IF(AND($G141&gt;=ED$5,$G141&lt;ED$5+GanttPeriod),"◆",IF(AND($E141&gt;=ED$5,$E141&lt;ED$5+GanttPeriod),"◇","")),IF(AND(ED$5&lt;=$F141,ED$5+GanttPeriod-1&gt;=$E141),"━","")))</f>
        <v/>
      </c>
      <c r="EE141" s="69" t="str">
        <f aca="false">IF($E141="","",IF($M141,IF(AND($G141&gt;=EE$5,$G141&lt;EE$5+GanttPeriod),"◆",IF(AND($E141&gt;=EE$5,$E141&lt;EE$5+GanttPeriod),"◇","")),IF(AND(EE$5&lt;=$F141,EE$5+GanttPeriod-1&gt;=$E141),"━","")))</f>
        <v/>
      </c>
      <c r="EF141" s="69" t="str">
        <f aca="false">IF($E141="","",IF($M141,IF(AND($G141&gt;=EF$5,$G141&lt;EF$5+GanttPeriod),"◆",IF(AND($E141&gt;=EF$5,$E141&lt;EF$5+GanttPeriod),"◇","")),IF(AND(EF$5&lt;=$F141,EF$5+GanttPeriod-1&gt;=$E141),"━","")))</f>
        <v/>
      </c>
      <c r="EG141" s="69" t="str">
        <f aca="false">IF($E141="","",IF($M141,IF(AND($G141&gt;=EG$5,$G141&lt;EG$5+GanttPeriod),"◆",IF(AND($E141&gt;=EG$5,$E141&lt;EG$5+GanttPeriod),"◇","")),IF(AND(EG$5&lt;=$F141,EG$5+GanttPeriod-1&gt;=$E141),"━","")))</f>
        <v/>
      </c>
      <c r="EH141" s="69" t="str">
        <f aca="false">IF($E141="","",IF($M141,IF(AND($G141&gt;=EH$5,$G141&lt;EH$5+GanttPeriod),"◆",IF(AND($E141&gt;=EH$5,$E141&lt;EH$5+GanttPeriod),"◇","")),IF(AND(EH$5&lt;=$F141,EH$5+GanttPeriod-1&gt;=$E141),"━","")))</f>
        <v/>
      </c>
      <c r="EI141" s="69" t="str">
        <f aca="false">IF($E141="","",IF($M141,IF(AND($G141&gt;=EI$5,$G141&lt;EI$5+GanttPeriod),"◆",IF(AND($E141&gt;=EI$5,$E141&lt;EI$5+GanttPeriod),"◇","")),IF(AND(EI$5&lt;=$F141,EI$5+GanttPeriod-1&gt;=$E141),"━","")))</f>
        <v/>
      </c>
      <c r="EJ141" s="69" t="str">
        <f aca="false">IF($E141="","",IF($M141,IF(AND($G141&gt;=EJ$5,$G141&lt;EJ$5+GanttPeriod),"◆",IF(AND($E141&gt;=EJ$5,$E141&lt;EJ$5+GanttPeriod),"◇","")),IF(AND(EJ$5&lt;=$F141,EJ$5+GanttPeriod-1&gt;=$E141),"━","")))</f>
        <v/>
      </c>
      <c r="EK141" s="69" t="str">
        <f aca="false">IF($E141="","",IF($M141,IF(AND($G141&gt;=EK$5,$G141&lt;EK$5+GanttPeriod),"◆",IF(AND($E141&gt;=EK$5,$E141&lt;EK$5+GanttPeriod),"◇","")),IF(AND(EK$5&lt;=$F141,EK$5+GanttPeriod-1&gt;=$E141),"━","")))</f>
        <v/>
      </c>
      <c r="EL141" s="69" t="str">
        <f aca="false">IF($E141="","",IF($M141,IF(AND($G141&gt;=EL$5,$G141&lt;EL$5+GanttPeriod),"◆",IF(AND($E141&gt;=EL$5,$E141&lt;EL$5+GanttPeriod),"◇","")),IF(AND(EL$5&lt;=$F141,EL$5+GanttPeriod-1&gt;=$E141),"━","")))</f>
        <v/>
      </c>
      <c r="EM141" s="69" t="str">
        <f aca="false">IF($E141="","",IF($M141,IF(AND($G141&gt;=EM$5,$G141&lt;EM$5+GanttPeriod),"◆",IF(AND($E141&gt;=EM$5,$E141&lt;EM$5+GanttPeriod),"◇","")),IF(AND(EM$5&lt;=$F141,EM$5+GanttPeriod-1&gt;=$E141),"━","")))</f>
        <v/>
      </c>
      <c r="EN141" s="69" t="str">
        <f aca="false">IF($E141="","",IF($M141,IF(AND($G141&gt;=EN$5,$G141&lt;EN$5+GanttPeriod),"◆",IF(AND($E141&gt;=EN$5,$E141&lt;EN$5+GanttPeriod),"◇","")),IF(AND(EN$5&lt;=$F141,EN$5+GanttPeriod-1&gt;=$E141),"━","")))</f>
        <v/>
      </c>
      <c r="EO141" s="69" t="str">
        <f aca="false">IF($E141="","",IF($M141,IF(AND($G141&gt;=EO$5,$G141&lt;EO$5+GanttPeriod),"◆",IF(AND($E141&gt;=EO$5,$E141&lt;EO$5+GanttPeriod),"◇","")),IF(AND(EO$5&lt;=$F141,EO$5+GanttPeriod-1&gt;=$E141),"━","")))</f>
        <v/>
      </c>
      <c r="EP141" s="69" t="str">
        <f aca="false">IF($E141="","",IF($M141,IF(AND($G141&gt;=EP$5,$G141&lt;EP$5+GanttPeriod),"◆",IF(AND($E141&gt;=EP$5,$E141&lt;EP$5+GanttPeriod),"◇","")),IF(AND(EP$5&lt;=$F141,EP$5+GanttPeriod-1&gt;=$E141),"━","")))</f>
        <v/>
      </c>
      <c r="EQ141" s="69" t="str">
        <f aca="false">IF($E141="","",IF($M141,IF(AND($G141&gt;=EQ$5,$G141&lt;EQ$5+GanttPeriod),"◆",IF(AND($E141&gt;=EQ$5,$E141&lt;EQ$5+GanttPeriod),"◇","")),IF(AND(EQ$5&lt;=$F141,EQ$5+GanttPeriod-1&gt;=$E141),"━","")))</f>
        <v/>
      </c>
      <c r="ER141" s="69" t="str">
        <f aca="false">IF($E141="","",IF($M141,IF(AND($G141&gt;=ER$5,$G141&lt;ER$5+GanttPeriod),"◆",IF(AND($E141&gt;=ER$5,$E141&lt;ER$5+GanttPeriod),"◇","")),IF(AND(ER$5&lt;=$F141,ER$5+GanttPeriod-1&gt;=$E141),"━","")))</f>
        <v/>
      </c>
      <c r="ES141" s="69" t="str">
        <f aca="false">IF($E141="","",IF($M141,IF(AND($G141&gt;=ES$5,$G141&lt;ES$5+GanttPeriod),"◆",IF(AND($E141&gt;=ES$5,$E141&lt;ES$5+GanttPeriod),"◇","")),IF(AND(ES$5&lt;=$F141,ES$5+GanttPeriod-1&gt;=$E141),"━","")))</f>
        <v/>
      </c>
      <c r="ET141" s="69" t="str">
        <f aca="false">IF($E141="","",IF($M141,IF(AND($G141&gt;=ET$5,$G141&lt;ET$5+GanttPeriod),"◆",IF(AND($E141&gt;=ET$5,$E141&lt;ET$5+GanttPeriod),"◇","")),IF(AND(ET$5&lt;=$F141,ET$5+GanttPeriod-1&gt;=$E141),"━","")))</f>
        <v/>
      </c>
      <c r="EU141" s="69" t="str">
        <f aca="false">IF($E141="","",IF($M141,IF(AND($G141&gt;=EU$5,$G141&lt;EU$5+GanttPeriod),"◆",IF(AND($E141&gt;=EU$5,$E141&lt;EU$5+GanttPeriod),"◇","")),IF(AND(EU$5&lt;=$F141,EU$5+GanttPeriod-1&gt;=$E141),"━","")))</f>
        <v/>
      </c>
      <c r="EV141" s="69" t="str">
        <f aca="false">IF($E141="","",IF($M141,IF(AND($G141&gt;=EV$5,$G141&lt;EV$5+GanttPeriod),"◆",IF(AND($E141&gt;=EV$5,$E141&lt;EV$5+GanttPeriod),"◇","")),IF(AND(EV$5&lt;=$F141,EV$5+GanttPeriod-1&gt;=$E141),"━","")))</f>
        <v/>
      </c>
      <c r="EW141" s="69" t="str">
        <f aca="false">IF($E141="","",IF($M141,IF(AND($G141&gt;=EW$5,$G141&lt;EW$5+GanttPeriod),"◆",IF(AND($E141&gt;=EW$5,$E141&lt;EW$5+GanttPeriod),"◇","")),IF(AND(EW$5&lt;=$F141,EW$5+GanttPeriod-1&gt;=$E141),"━","")))</f>
        <v/>
      </c>
      <c r="EX141" s="69" t="str">
        <f aca="false">IF($E141="","",IF($M141,IF(AND($G141&gt;=EX$5,$G141&lt;EX$5+GanttPeriod),"◆",IF(AND($E141&gt;=EX$5,$E141&lt;EX$5+GanttPeriod),"◇","")),IF(AND(EX$5&lt;=$F141,EX$5+GanttPeriod-1&gt;=$E141),"━","")))</f>
        <v/>
      </c>
      <c r="EY141" s="69" t="str">
        <f aca="false">IF($E141="","",IF($M141,IF(AND($G141&gt;=EY$5,$G141&lt;EY$5+GanttPeriod),"◆",IF(AND($E141&gt;=EY$5,$E141&lt;EY$5+GanttPeriod),"◇","")),IF(AND(EY$5&lt;=$F141,EY$5+GanttPeriod-1&gt;=$E141),"━","")))</f>
        <v/>
      </c>
      <c r="EZ141" s="69" t="str">
        <f aca="false">IF($E141="","",IF($M141,IF(AND($G141&gt;=EZ$5,$G141&lt;EZ$5+GanttPeriod),"◆",IF(AND($E141&gt;=EZ$5,$E141&lt;EZ$5+GanttPeriod),"◇","")),IF(AND(EZ$5&lt;=$F141,EZ$5+GanttPeriod-1&gt;=$E141),"━","")))</f>
        <v/>
      </c>
      <c r="FA141" s="69" t="str">
        <f aca="false">IF($E141="","",IF($M141,IF(AND($G141&gt;=FA$5,$G141&lt;FA$5+GanttPeriod),"◆",IF(AND($E141&gt;=FA$5,$E141&lt;FA$5+GanttPeriod),"◇","")),IF(AND(FA$5&lt;=$F141,FA$5+GanttPeriod-1&gt;=$E141),"━","")))</f>
        <v/>
      </c>
      <c r="FB141" s="69" t="str">
        <f aca="false">IF($E141="","",IF($M141,IF(AND($G141&gt;=FB$5,$G141&lt;FB$5+GanttPeriod),"◆",IF(AND($E141&gt;=FB$5,$E141&lt;FB$5+GanttPeriod),"◇","")),IF(AND(FB$5&lt;=$F141,FB$5+GanttPeriod-1&gt;=$E141),"━","")))</f>
        <v/>
      </c>
      <c r="FC141" s="69" t="str">
        <f aca="false">IF($E141="","",IF($M141,IF(AND($G141&gt;=FC$5,$G141&lt;FC$5+GanttPeriod),"◆",IF(AND($E141&gt;=FC$5,$E141&lt;FC$5+GanttPeriod),"◇","")),IF(AND(FC$5&lt;=$F141,FC$5+GanttPeriod-1&gt;=$E141),"━","")))</f>
        <v/>
      </c>
      <c r="FD141" s="69" t="str">
        <f aca="false">IF($E141="","",IF($M141,IF(AND($G141&gt;=FD$5,$G141&lt;FD$5+GanttPeriod),"◆",IF(AND($E141&gt;=FD$5,$E141&lt;FD$5+GanttPeriod),"◇","")),IF(AND(FD$5&lt;=$F141,FD$5+GanttPeriod-1&gt;=$E141),"━","")))</f>
        <v/>
      </c>
      <c r="FE141" s="69" t="str">
        <f aca="false">IF($E141="","",IF($M141,IF(AND($G141&gt;=FE$5,$G141&lt;FE$5+GanttPeriod),"◆",IF(AND($E141&gt;=FE$5,$E141&lt;FE$5+GanttPeriod),"◇","")),IF(AND(FE$5&lt;=$F141,FE$5+GanttPeriod-1&gt;=$E141),"━","")))</f>
        <v/>
      </c>
      <c r="FF141" s="69" t="str">
        <f aca="false">IF($E141="","",IF($M141,IF(AND($G141&gt;=FF$5,$G141&lt;FF$5+GanttPeriod),"◆",IF(AND($E141&gt;=FF$5,$E141&lt;FF$5+GanttPeriod),"◇","")),IF(AND(FF$5&lt;=$F141,FF$5+GanttPeriod-1&gt;=$E141),"━","")))</f>
        <v/>
      </c>
      <c r="FG141" s="69" t="str">
        <f aca="false">IF($E141="","",IF($M141,IF(AND($G141&gt;=FG$5,$G141&lt;FG$5+GanttPeriod),"◆",IF(AND($E141&gt;=FG$5,$E141&lt;FG$5+GanttPeriod),"◇","")),IF(AND(FG$5&lt;=$F141,FG$5+GanttPeriod-1&gt;=$E141),"━","")))</f>
        <v/>
      </c>
      <c r="FH141" s="69" t="str">
        <f aca="false">IF($E141="","",IF($M141,IF(AND($G141&gt;=FH$5,$G141&lt;FH$5+GanttPeriod),"◆",IF(AND($E141&gt;=FH$5,$E141&lt;FH$5+GanttPeriod),"◇","")),IF(AND(FH$5&lt;=$F141,FH$5+GanttPeriod-1&gt;=$E141),"━","")))</f>
        <v/>
      </c>
      <c r="FI141" s="69" t="str">
        <f aca="false">IF($E141="","",IF($M141,IF(AND($G141&gt;=FI$5,$G141&lt;FI$5+GanttPeriod),"◆",IF(AND($E141&gt;=FI$5,$E141&lt;FI$5+GanttPeriod),"◇","")),IF(AND(FI$5&lt;=$F141,FI$5+GanttPeriod-1&gt;=$E141),"━","")))</f>
        <v/>
      </c>
      <c r="FJ141" s="69" t="str">
        <f aca="false">IF($E141="","",IF($M141,IF(AND($G141&gt;=FJ$5,$G141&lt;FJ$5+GanttPeriod),"◆",IF(AND($E141&gt;=FJ$5,$E141&lt;FJ$5+GanttPeriod),"◇","")),IF(AND(FJ$5&lt;=$F141,FJ$5+GanttPeriod-1&gt;=$E141),"━","")))</f>
        <v/>
      </c>
      <c r="FK141" s="69" t="str">
        <f aca="false">IF($E141="","",IF($M141,IF(AND($G141&gt;=FK$5,$G141&lt;FK$5+GanttPeriod),"◆",IF(AND($E141&gt;=FK$5,$E141&lt;FK$5+GanttPeriod),"◇","")),IF(AND(FK$5&lt;=$F141,FK$5+GanttPeriod-1&gt;=$E141),"━","")))</f>
        <v/>
      </c>
      <c r="FL141" s="69" t="str">
        <f aca="false">IF($E141="","",IF($M141,IF(AND($G141&gt;=FL$5,$G141&lt;FL$5+GanttPeriod),"◆",IF(AND($E141&gt;=FL$5,$E141&lt;FL$5+GanttPeriod),"◇","")),IF(AND(FL$5&lt;=$F141,FL$5+GanttPeriod-1&gt;=$E141),"━","")))</f>
        <v/>
      </c>
      <c r="FM141" s="69" t="str">
        <f aca="false">IF($E141="","",IF($M141,IF(AND($G141&gt;=FM$5,$G141&lt;FM$5+GanttPeriod),"◆",IF(AND($E141&gt;=FM$5,$E141&lt;FM$5+GanttPeriod),"◇","")),IF(AND(FM$5&lt;=$F141,FM$5+GanttPeriod-1&gt;=$E141),"━","")))</f>
        <v/>
      </c>
    </row>
    <row r="142" customFormat="false" ht="15" hidden="false" customHeight="false" outlineLevel="0" collapsed="false">
      <c r="A142" s="62" t="str">
        <f aca="false">IF(Tasks!$D142="","",Tasks!$A142)</f>
        <v/>
      </c>
      <c r="B142" s="62" t="str">
        <f aca="false">IF(Tasks!$D142="","",Tasks!$B142)</f>
        <v/>
      </c>
      <c r="C142" s="63" t="str">
        <f aca="false">IF(Tasks!$D142="","",REPT("    ",Tasks!$AE142-1)&amp;Tasks!$D142)</f>
        <v/>
      </c>
      <c r="D142" s="62" t="str">
        <f aca="false">IF(Tasks!$D142="","",IF(Tasks!$AI142,NETWORKDAYS.INTL(Tasks!$R142,Tasks!$S142,WorkWeek,Holidays),N(Tasks!$F142)))</f>
        <v/>
      </c>
      <c r="E142" s="64" t="str">
        <f aca="false">IF(Tasks!$D142="","",Tasks!$N142)</f>
        <v/>
      </c>
      <c r="F142" s="64" t="str">
        <f aca="false">IF(Tasks!$D142="","",Tasks!$O142)</f>
        <v/>
      </c>
      <c r="G142" s="64" t="str">
        <f aca="false">IF(Tasks!$D142="","",Tasks!$R142)</f>
        <v/>
      </c>
      <c r="H142" s="64" t="str">
        <f aca="false">IF(Tasks!$D142="","",Tasks!$S142)</f>
        <v/>
      </c>
      <c r="I142" s="65" t="str">
        <f aca="false">IF(Tasks!$D142="","",Tasks!$V142)</f>
        <v/>
      </c>
      <c r="J142" s="63" t="str">
        <f aca="false">IF(Tasks!$D142="","",Tasks!$X142&amp;"")</f>
        <v/>
      </c>
      <c r="K142" s="66" t="str">
        <f aca="false">IF(Tasks!$D142="","",Tasks!$W142)</f>
        <v/>
      </c>
      <c r="L142" s="67" t="b">
        <f aca="false">IF(Tasks!$D142="",FALSE(),Tasks!$AI142)</f>
        <v>0</v>
      </c>
      <c r="M142" s="67" t="b">
        <f aca="false">AND(Tasks!$AJ142=1,N(Tasks!$F142)=0)</f>
        <v>0</v>
      </c>
      <c r="N142" s="68" t="n">
        <f aca="false">IF(AND(Tasks!$AJ142=1,NOT($M142),N($I142)&gt;0),$G142,0)</f>
        <v>0</v>
      </c>
      <c r="O142" s="68" t="n">
        <f aca="false">IF($N142=0,0,IF($I142&gt;=1,$H142,MAX($N142,$G142+ROUND(($H142-$G142+1)*$I142,0)-1)))</f>
        <v>0</v>
      </c>
      <c r="P142" s="68" t="n">
        <f aca="false">IF(OR(Tasks!$AJ142&lt;&gt;1,$M142,N($I142)&gt;=1),0,IF($O142&gt;0,$O142+1,$G142))</f>
        <v>0</v>
      </c>
      <c r="Q142" s="68" t="n">
        <f aca="false">IF($P142=0,0,$H142)</f>
        <v>0</v>
      </c>
      <c r="R142" s="67" t="b">
        <f aca="false">AND(Tasks!$D142&lt;&gt;"",N(Tasks!$T142)&gt;0)</f>
        <v>0</v>
      </c>
      <c r="T142" s="69" t="str">
        <f aca="false">IF($E142="","",IF($M142,IF(AND($G142&gt;=T$5,$G142&lt;T$5+GanttPeriod),"◆",IF(AND($E142&gt;=T$5,$E142&lt;T$5+GanttPeriod),"◇","")),IF(AND(T$5&lt;=$F142,T$5+GanttPeriod-1&gt;=$E142),"━","")))</f>
        <v/>
      </c>
      <c r="U142" s="69" t="str">
        <f aca="false">IF($E142="","",IF($M142,IF(AND($G142&gt;=U$5,$G142&lt;U$5+GanttPeriod),"◆",IF(AND($E142&gt;=U$5,$E142&lt;U$5+GanttPeriod),"◇","")),IF(AND(U$5&lt;=$F142,U$5+GanttPeriod-1&gt;=$E142),"━","")))</f>
        <v/>
      </c>
      <c r="V142" s="69" t="str">
        <f aca="false">IF($E142="","",IF($M142,IF(AND($G142&gt;=V$5,$G142&lt;V$5+GanttPeriod),"◆",IF(AND($E142&gt;=V$5,$E142&lt;V$5+GanttPeriod),"◇","")),IF(AND(V$5&lt;=$F142,V$5+GanttPeriod-1&gt;=$E142),"━","")))</f>
        <v/>
      </c>
      <c r="W142" s="69" t="str">
        <f aca="false">IF($E142="","",IF($M142,IF(AND($G142&gt;=W$5,$G142&lt;W$5+GanttPeriod),"◆",IF(AND($E142&gt;=W$5,$E142&lt;W$5+GanttPeriod),"◇","")),IF(AND(W$5&lt;=$F142,W$5+GanttPeriod-1&gt;=$E142),"━","")))</f>
        <v/>
      </c>
      <c r="X142" s="69" t="str">
        <f aca="false">IF($E142="","",IF($M142,IF(AND($G142&gt;=X$5,$G142&lt;X$5+GanttPeriod),"◆",IF(AND($E142&gt;=X$5,$E142&lt;X$5+GanttPeriod),"◇","")),IF(AND(X$5&lt;=$F142,X$5+GanttPeriod-1&gt;=$E142),"━","")))</f>
        <v/>
      </c>
      <c r="Y142" s="69" t="str">
        <f aca="false">IF($E142="","",IF($M142,IF(AND($G142&gt;=Y$5,$G142&lt;Y$5+GanttPeriod),"◆",IF(AND($E142&gt;=Y$5,$E142&lt;Y$5+GanttPeriod),"◇","")),IF(AND(Y$5&lt;=$F142,Y$5+GanttPeriod-1&gt;=$E142),"━","")))</f>
        <v/>
      </c>
      <c r="Z142" s="69" t="str">
        <f aca="false">IF($E142="","",IF($M142,IF(AND($G142&gt;=Z$5,$G142&lt;Z$5+GanttPeriod),"◆",IF(AND($E142&gt;=Z$5,$E142&lt;Z$5+GanttPeriod),"◇","")),IF(AND(Z$5&lt;=$F142,Z$5+GanttPeriod-1&gt;=$E142),"━","")))</f>
        <v/>
      </c>
      <c r="AA142" s="69" t="str">
        <f aca="false">IF($E142="","",IF($M142,IF(AND($G142&gt;=AA$5,$G142&lt;AA$5+GanttPeriod),"◆",IF(AND($E142&gt;=AA$5,$E142&lt;AA$5+GanttPeriod),"◇","")),IF(AND(AA$5&lt;=$F142,AA$5+GanttPeriod-1&gt;=$E142),"━","")))</f>
        <v/>
      </c>
      <c r="AB142" s="69" t="str">
        <f aca="false">IF($E142="","",IF($M142,IF(AND($G142&gt;=AB$5,$G142&lt;AB$5+GanttPeriod),"◆",IF(AND($E142&gt;=AB$5,$E142&lt;AB$5+GanttPeriod),"◇","")),IF(AND(AB$5&lt;=$F142,AB$5+GanttPeriod-1&gt;=$E142),"━","")))</f>
        <v/>
      </c>
      <c r="AC142" s="69" t="str">
        <f aca="false">IF($E142="","",IF($M142,IF(AND($G142&gt;=AC$5,$G142&lt;AC$5+GanttPeriod),"◆",IF(AND($E142&gt;=AC$5,$E142&lt;AC$5+GanttPeriod),"◇","")),IF(AND(AC$5&lt;=$F142,AC$5+GanttPeriod-1&gt;=$E142),"━","")))</f>
        <v/>
      </c>
      <c r="AD142" s="69" t="str">
        <f aca="false">IF($E142="","",IF($M142,IF(AND($G142&gt;=AD$5,$G142&lt;AD$5+GanttPeriod),"◆",IF(AND($E142&gt;=AD$5,$E142&lt;AD$5+GanttPeriod),"◇","")),IF(AND(AD$5&lt;=$F142,AD$5+GanttPeriod-1&gt;=$E142),"━","")))</f>
        <v/>
      </c>
      <c r="AE142" s="69" t="str">
        <f aca="false">IF($E142="","",IF($M142,IF(AND($G142&gt;=AE$5,$G142&lt;AE$5+GanttPeriod),"◆",IF(AND($E142&gt;=AE$5,$E142&lt;AE$5+GanttPeriod),"◇","")),IF(AND(AE$5&lt;=$F142,AE$5+GanttPeriod-1&gt;=$E142),"━","")))</f>
        <v/>
      </c>
      <c r="AF142" s="69" t="str">
        <f aca="false">IF($E142="","",IF($M142,IF(AND($G142&gt;=AF$5,$G142&lt;AF$5+GanttPeriod),"◆",IF(AND($E142&gt;=AF$5,$E142&lt;AF$5+GanttPeriod),"◇","")),IF(AND(AF$5&lt;=$F142,AF$5+GanttPeriod-1&gt;=$E142),"━","")))</f>
        <v/>
      </c>
      <c r="AG142" s="69" t="str">
        <f aca="false">IF($E142="","",IF($M142,IF(AND($G142&gt;=AG$5,$G142&lt;AG$5+GanttPeriod),"◆",IF(AND($E142&gt;=AG$5,$E142&lt;AG$5+GanttPeriod),"◇","")),IF(AND(AG$5&lt;=$F142,AG$5+GanttPeriod-1&gt;=$E142),"━","")))</f>
        <v/>
      </c>
      <c r="AH142" s="69" t="str">
        <f aca="false">IF($E142="","",IF($M142,IF(AND($G142&gt;=AH$5,$G142&lt;AH$5+GanttPeriod),"◆",IF(AND($E142&gt;=AH$5,$E142&lt;AH$5+GanttPeriod),"◇","")),IF(AND(AH$5&lt;=$F142,AH$5+GanttPeriod-1&gt;=$E142),"━","")))</f>
        <v/>
      </c>
      <c r="AI142" s="69" t="str">
        <f aca="false">IF($E142="","",IF($M142,IF(AND($G142&gt;=AI$5,$G142&lt;AI$5+GanttPeriod),"◆",IF(AND($E142&gt;=AI$5,$E142&lt;AI$5+GanttPeriod),"◇","")),IF(AND(AI$5&lt;=$F142,AI$5+GanttPeriod-1&gt;=$E142),"━","")))</f>
        <v/>
      </c>
      <c r="AJ142" s="69" t="str">
        <f aca="false">IF($E142="","",IF($M142,IF(AND($G142&gt;=AJ$5,$G142&lt;AJ$5+GanttPeriod),"◆",IF(AND($E142&gt;=AJ$5,$E142&lt;AJ$5+GanttPeriod),"◇","")),IF(AND(AJ$5&lt;=$F142,AJ$5+GanttPeriod-1&gt;=$E142),"━","")))</f>
        <v/>
      </c>
      <c r="AK142" s="69" t="str">
        <f aca="false">IF($E142="","",IF($M142,IF(AND($G142&gt;=AK$5,$G142&lt;AK$5+GanttPeriod),"◆",IF(AND($E142&gt;=AK$5,$E142&lt;AK$5+GanttPeriod),"◇","")),IF(AND(AK$5&lt;=$F142,AK$5+GanttPeriod-1&gt;=$E142),"━","")))</f>
        <v/>
      </c>
      <c r="AL142" s="69" t="str">
        <f aca="false">IF($E142="","",IF($M142,IF(AND($G142&gt;=AL$5,$G142&lt;AL$5+GanttPeriod),"◆",IF(AND($E142&gt;=AL$5,$E142&lt;AL$5+GanttPeriod),"◇","")),IF(AND(AL$5&lt;=$F142,AL$5+GanttPeriod-1&gt;=$E142),"━","")))</f>
        <v/>
      </c>
      <c r="AM142" s="69" t="str">
        <f aca="false">IF($E142="","",IF($M142,IF(AND($G142&gt;=AM$5,$G142&lt;AM$5+GanttPeriod),"◆",IF(AND($E142&gt;=AM$5,$E142&lt;AM$5+GanttPeriod),"◇","")),IF(AND(AM$5&lt;=$F142,AM$5+GanttPeriod-1&gt;=$E142),"━","")))</f>
        <v/>
      </c>
      <c r="AN142" s="69" t="str">
        <f aca="false">IF($E142="","",IF($M142,IF(AND($G142&gt;=AN$5,$G142&lt;AN$5+GanttPeriod),"◆",IF(AND($E142&gt;=AN$5,$E142&lt;AN$5+GanttPeriod),"◇","")),IF(AND(AN$5&lt;=$F142,AN$5+GanttPeriod-1&gt;=$E142),"━","")))</f>
        <v/>
      </c>
      <c r="AO142" s="69" t="str">
        <f aca="false">IF($E142="","",IF($M142,IF(AND($G142&gt;=AO$5,$G142&lt;AO$5+GanttPeriod),"◆",IF(AND($E142&gt;=AO$5,$E142&lt;AO$5+GanttPeriod),"◇","")),IF(AND(AO$5&lt;=$F142,AO$5+GanttPeriod-1&gt;=$E142),"━","")))</f>
        <v/>
      </c>
      <c r="AP142" s="69" t="str">
        <f aca="false">IF($E142="","",IF($M142,IF(AND($G142&gt;=AP$5,$G142&lt;AP$5+GanttPeriod),"◆",IF(AND($E142&gt;=AP$5,$E142&lt;AP$5+GanttPeriod),"◇","")),IF(AND(AP$5&lt;=$F142,AP$5+GanttPeriod-1&gt;=$E142),"━","")))</f>
        <v/>
      </c>
      <c r="AQ142" s="69" t="str">
        <f aca="false">IF($E142="","",IF($M142,IF(AND($G142&gt;=AQ$5,$G142&lt;AQ$5+GanttPeriod),"◆",IF(AND($E142&gt;=AQ$5,$E142&lt;AQ$5+GanttPeriod),"◇","")),IF(AND(AQ$5&lt;=$F142,AQ$5+GanttPeriod-1&gt;=$E142),"━","")))</f>
        <v/>
      </c>
      <c r="AR142" s="69" t="str">
        <f aca="false">IF($E142="","",IF($M142,IF(AND($G142&gt;=AR$5,$G142&lt;AR$5+GanttPeriod),"◆",IF(AND($E142&gt;=AR$5,$E142&lt;AR$5+GanttPeriod),"◇","")),IF(AND(AR$5&lt;=$F142,AR$5+GanttPeriod-1&gt;=$E142),"━","")))</f>
        <v/>
      </c>
      <c r="AS142" s="69" t="str">
        <f aca="false">IF($E142="","",IF($M142,IF(AND($G142&gt;=AS$5,$G142&lt;AS$5+GanttPeriod),"◆",IF(AND($E142&gt;=AS$5,$E142&lt;AS$5+GanttPeriod),"◇","")),IF(AND(AS$5&lt;=$F142,AS$5+GanttPeriod-1&gt;=$E142),"━","")))</f>
        <v/>
      </c>
      <c r="AT142" s="69" t="str">
        <f aca="false">IF($E142="","",IF($M142,IF(AND($G142&gt;=AT$5,$G142&lt;AT$5+GanttPeriod),"◆",IF(AND($E142&gt;=AT$5,$E142&lt;AT$5+GanttPeriod),"◇","")),IF(AND(AT$5&lt;=$F142,AT$5+GanttPeriod-1&gt;=$E142),"━","")))</f>
        <v/>
      </c>
      <c r="AU142" s="69" t="str">
        <f aca="false">IF($E142="","",IF($M142,IF(AND($G142&gt;=AU$5,$G142&lt;AU$5+GanttPeriod),"◆",IF(AND($E142&gt;=AU$5,$E142&lt;AU$5+GanttPeriod),"◇","")),IF(AND(AU$5&lt;=$F142,AU$5+GanttPeriod-1&gt;=$E142),"━","")))</f>
        <v/>
      </c>
      <c r="AV142" s="69" t="str">
        <f aca="false">IF($E142="","",IF($M142,IF(AND($G142&gt;=AV$5,$G142&lt;AV$5+GanttPeriod),"◆",IF(AND($E142&gt;=AV$5,$E142&lt;AV$5+GanttPeriod),"◇","")),IF(AND(AV$5&lt;=$F142,AV$5+GanttPeriod-1&gt;=$E142),"━","")))</f>
        <v/>
      </c>
      <c r="AW142" s="69" t="str">
        <f aca="false">IF($E142="","",IF($M142,IF(AND($G142&gt;=AW$5,$G142&lt;AW$5+GanttPeriod),"◆",IF(AND($E142&gt;=AW$5,$E142&lt;AW$5+GanttPeriod),"◇","")),IF(AND(AW$5&lt;=$F142,AW$5+GanttPeriod-1&gt;=$E142),"━","")))</f>
        <v/>
      </c>
      <c r="AX142" s="69" t="str">
        <f aca="false">IF($E142="","",IF($M142,IF(AND($G142&gt;=AX$5,$G142&lt;AX$5+GanttPeriod),"◆",IF(AND($E142&gt;=AX$5,$E142&lt;AX$5+GanttPeriod),"◇","")),IF(AND(AX$5&lt;=$F142,AX$5+GanttPeriod-1&gt;=$E142),"━","")))</f>
        <v/>
      </c>
      <c r="AY142" s="69" t="str">
        <f aca="false">IF($E142="","",IF($M142,IF(AND($G142&gt;=AY$5,$G142&lt;AY$5+GanttPeriod),"◆",IF(AND($E142&gt;=AY$5,$E142&lt;AY$5+GanttPeriod),"◇","")),IF(AND(AY$5&lt;=$F142,AY$5+GanttPeriod-1&gt;=$E142),"━","")))</f>
        <v/>
      </c>
      <c r="AZ142" s="69" t="str">
        <f aca="false">IF($E142="","",IF($M142,IF(AND($G142&gt;=AZ$5,$G142&lt;AZ$5+GanttPeriod),"◆",IF(AND($E142&gt;=AZ$5,$E142&lt;AZ$5+GanttPeriod),"◇","")),IF(AND(AZ$5&lt;=$F142,AZ$5+GanttPeriod-1&gt;=$E142),"━","")))</f>
        <v/>
      </c>
      <c r="BA142" s="69" t="str">
        <f aca="false">IF($E142="","",IF($M142,IF(AND($G142&gt;=BA$5,$G142&lt;BA$5+GanttPeriod),"◆",IF(AND($E142&gt;=BA$5,$E142&lt;BA$5+GanttPeriod),"◇","")),IF(AND(BA$5&lt;=$F142,BA$5+GanttPeriod-1&gt;=$E142),"━","")))</f>
        <v/>
      </c>
      <c r="BB142" s="69" t="str">
        <f aca="false">IF($E142="","",IF($M142,IF(AND($G142&gt;=BB$5,$G142&lt;BB$5+GanttPeriod),"◆",IF(AND($E142&gt;=BB$5,$E142&lt;BB$5+GanttPeriod),"◇","")),IF(AND(BB$5&lt;=$F142,BB$5+GanttPeriod-1&gt;=$E142),"━","")))</f>
        <v/>
      </c>
      <c r="BC142" s="69" t="str">
        <f aca="false">IF($E142="","",IF($M142,IF(AND($G142&gt;=BC$5,$G142&lt;BC$5+GanttPeriod),"◆",IF(AND($E142&gt;=BC$5,$E142&lt;BC$5+GanttPeriod),"◇","")),IF(AND(BC$5&lt;=$F142,BC$5+GanttPeriod-1&gt;=$E142),"━","")))</f>
        <v/>
      </c>
      <c r="BD142" s="69" t="str">
        <f aca="false">IF($E142="","",IF($M142,IF(AND($G142&gt;=BD$5,$G142&lt;BD$5+GanttPeriod),"◆",IF(AND($E142&gt;=BD$5,$E142&lt;BD$5+GanttPeriod),"◇","")),IF(AND(BD$5&lt;=$F142,BD$5+GanttPeriod-1&gt;=$E142),"━","")))</f>
        <v/>
      </c>
      <c r="BE142" s="69" t="str">
        <f aca="false">IF($E142="","",IF($M142,IF(AND($G142&gt;=BE$5,$G142&lt;BE$5+GanttPeriod),"◆",IF(AND($E142&gt;=BE$5,$E142&lt;BE$5+GanttPeriod),"◇","")),IF(AND(BE$5&lt;=$F142,BE$5+GanttPeriod-1&gt;=$E142),"━","")))</f>
        <v/>
      </c>
      <c r="BF142" s="69" t="str">
        <f aca="false">IF($E142="","",IF($M142,IF(AND($G142&gt;=BF$5,$G142&lt;BF$5+GanttPeriod),"◆",IF(AND($E142&gt;=BF$5,$E142&lt;BF$5+GanttPeriod),"◇","")),IF(AND(BF$5&lt;=$F142,BF$5+GanttPeriod-1&gt;=$E142),"━","")))</f>
        <v/>
      </c>
      <c r="BG142" s="69" t="str">
        <f aca="false">IF($E142="","",IF($M142,IF(AND($G142&gt;=BG$5,$G142&lt;BG$5+GanttPeriod),"◆",IF(AND($E142&gt;=BG$5,$E142&lt;BG$5+GanttPeriod),"◇","")),IF(AND(BG$5&lt;=$F142,BG$5+GanttPeriod-1&gt;=$E142),"━","")))</f>
        <v/>
      </c>
      <c r="BH142" s="69" t="str">
        <f aca="false">IF($E142="","",IF($M142,IF(AND($G142&gt;=BH$5,$G142&lt;BH$5+GanttPeriod),"◆",IF(AND($E142&gt;=BH$5,$E142&lt;BH$5+GanttPeriod),"◇","")),IF(AND(BH$5&lt;=$F142,BH$5+GanttPeriod-1&gt;=$E142),"━","")))</f>
        <v/>
      </c>
      <c r="BI142" s="69" t="str">
        <f aca="false">IF($E142="","",IF($M142,IF(AND($G142&gt;=BI$5,$G142&lt;BI$5+GanttPeriod),"◆",IF(AND($E142&gt;=BI$5,$E142&lt;BI$5+GanttPeriod),"◇","")),IF(AND(BI$5&lt;=$F142,BI$5+GanttPeriod-1&gt;=$E142),"━","")))</f>
        <v/>
      </c>
      <c r="BJ142" s="69" t="str">
        <f aca="false">IF($E142="","",IF($M142,IF(AND($G142&gt;=BJ$5,$G142&lt;BJ$5+GanttPeriod),"◆",IF(AND($E142&gt;=BJ$5,$E142&lt;BJ$5+GanttPeriod),"◇","")),IF(AND(BJ$5&lt;=$F142,BJ$5+GanttPeriod-1&gt;=$E142),"━","")))</f>
        <v/>
      </c>
      <c r="BK142" s="69" t="str">
        <f aca="false">IF($E142="","",IF($M142,IF(AND($G142&gt;=BK$5,$G142&lt;BK$5+GanttPeriod),"◆",IF(AND($E142&gt;=BK$5,$E142&lt;BK$5+GanttPeriod),"◇","")),IF(AND(BK$5&lt;=$F142,BK$5+GanttPeriod-1&gt;=$E142),"━","")))</f>
        <v/>
      </c>
      <c r="BL142" s="69" t="str">
        <f aca="false">IF($E142="","",IF($M142,IF(AND($G142&gt;=BL$5,$G142&lt;BL$5+GanttPeriod),"◆",IF(AND($E142&gt;=BL$5,$E142&lt;BL$5+GanttPeriod),"◇","")),IF(AND(BL$5&lt;=$F142,BL$5+GanttPeriod-1&gt;=$E142),"━","")))</f>
        <v/>
      </c>
      <c r="BM142" s="69" t="str">
        <f aca="false">IF($E142="","",IF($M142,IF(AND($G142&gt;=BM$5,$G142&lt;BM$5+GanttPeriod),"◆",IF(AND($E142&gt;=BM$5,$E142&lt;BM$5+GanttPeriod),"◇","")),IF(AND(BM$5&lt;=$F142,BM$5+GanttPeriod-1&gt;=$E142),"━","")))</f>
        <v/>
      </c>
      <c r="BN142" s="69" t="str">
        <f aca="false">IF($E142="","",IF($M142,IF(AND($G142&gt;=BN$5,$G142&lt;BN$5+GanttPeriod),"◆",IF(AND($E142&gt;=BN$5,$E142&lt;BN$5+GanttPeriod),"◇","")),IF(AND(BN$5&lt;=$F142,BN$5+GanttPeriod-1&gt;=$E142),"━","")))</f>
        <v/>
      </c>
      <c r="BO142" s="69" t="str">
        <f aca="false">IF($E142="","",IF($M142,IF(AND($G142&gt;=BO$5,$G142&lt;BO$5+GanttPeriod),"◆",IF(AND($E142&gt;=BO$5,$E142&lt;BO$5+GanttPeriod),"◇","")),IF(AND(BO$5&lt;=$F142,BO$5+GanttPeriod-1&gt;=$E142),"━","")))</f>
        <v/>
      </c>
      <c r="BP142" s="69" t="str">
        <f aca="false">IF($E142="","",IF($M142,IF(AND($G142&gt;=BP$5,$G142&lt;BP$5+GanttPeriod),"◆",IF(AND($E142&gt;=BP$5,$E142&lt;BP$5+GanttPeriod),"◇","")),IF(AND(BP$5&lt;=$F142,BP$5+GanttPeriod-1&gt;=$E142),"━","")))</f>
        <v/>
      </c>
      <c r="BQ142" s="69" t="str">
        <f aca="false">IF($E142="","",IF($M142,IF(AND($G142&gt;=BQ$5,$G142&lt;BQ$5+GanttPeriod),"◆",IF(AND($E142&gt;=BQ$5,$E142&lt;BQ$5+GanttPeriod),"◇","")),IF(AND(BQ$5&lt;=$F142,BQ$5+GanttPeriod-1&gt;=$E142),"━","")))</f>
        <v/>
      </c>
      <c r="BR142" s="69" t="str">
        <f aca="false">IF($E142="","",IF($M142,IF(AND($G142&gt;=BR$5,$G142&lt;BR$5+GanttPeriod),"◆",IF(AND($E142&gt;=BR$5,$E142&lt;BR$5+GanttPeriod),"◇","")),IF(AND(BR$5&lt;=$F142,BR$5+GanttPeriod-1&gt;=$E142),"━","")))</f>
        <v/>
      </c>
      <c r="BS142" s="69" t="str">
        <f aca="false">IF($E142="","",IF($M142,IF(AND($G142&gt;=BS$5,$G142&lt;BS$5+GanttPeriod),"◆",IF(AND($E142&gt;=BS$5,$E142&lt;BS$5+GanttPeriod),"◇","")),IF(AND(BS$5&lt;=$F142,BS$5+GanttPeriod-1&gt;=$E142),"━","")))</f>
        <v/>
      </c>
      <c r="BT142" s="69" t="str">
        <f aca="false">IF($E142="","",IF($M142,IF(AND($G142&gt;=BT$5,$G142&lt;BT$5+GanttPeriod),"◆",IF(AND($E142&gt;=BT$5,$E142&lt;BT$5+GanttPeriod),"◇","")),IF(AND(BT$5&lt;=$F142,BT$5+GanttPeriod-1&gt;=$E142),"━","")))</f>
        <v/>
      </c>
      <c r="BU142" s="69" t="str">
        <f aca="false">IF($E142="","",IF($M142,IF(AND($G142&gt;=BU$5,$G142&lt;BU$5+GanttPeriod),"◆",IF(AND($E142&gt;=BU$5,$E142&lt;BU$5+GanttPeriod),"◇","")),IF(AND(BU$5&lt;=$F142,BU$5+GanttPeriod-1&gt;=$E142),"━","")))</f>
        <v/>
      </c>
      <c r="BV142" s="69" t="str">
        <f aca="false">IF($E142="","",IF($M142,IF(AND($G142&gt;=BV$5,$G142&lt;BV$5+GanttPeriod),"◆",IF(AND($E142&gt;=BV$5,$E142&lt;BV$5+GanttPeriod),"◇","")),IF(AND(BV$5&lt;=$F142,BV$5+GanttPeriod-1&gt;=$E142),"━","")))</f>
        <v/>
      </c>
      <c r="BW142" s="69" t="str">
        <f aca="false">IF($E142="","",IF($M142,IF(AND($G142&gt;=BW$5,$G142&lt;BW$5+GanttPeriod),"◆",IF(AND($E142&gt;=BW$5,$E142&lt;BW$5+GanttPeriod),"◇","")),IF(AND(BW$5&lt;=$F142,BW$5+GanttPeriod-1&gt;=$E142),"━","")))</f>
        <v/>
      </c>
      <c r="BX142" s="69" t="str">
        <f aca="false">IF($E142="","",IF($M142,IF(AND($G142&gt;=BX$5,$G142&lt;BX$5+GanttPeriod),"◆",IF(AND($E142&gt;=BX$5,$E142&lt;BX$5+GanttPeriod),"◇","")),IF(AND(BX$5&lt;=$F142,BX$5+GanttPeriod-1&gt;=$E142),"━","")))</f>
        <v/>
      </c>
      <c r="BY142" s="69" t="str">
        <f aca="false">IF($E142="","",IF($M142,IF(AND($G142&gt;=BY$5,$G142&lt;BY$5+GanttPeriod),"◆",IF(AND($E142&gt;=BY$5,$E142&lt;BY$5+GanttPeriod),"◇","")),IF(AND(BY$5&lt;=$F142,BY$5+GanttPeriod-1&gt;=$E142),"━","")))</f>
        <v/>
      </c>
      <c r="BZ142" s="69" t="str">
        <f aca="false">IF($E142="","",IF($M142,IF(AND($G142&gt;=BZ$5,$G142&lt;BZ$5+GanttPeriod),"◆",IF(AND($E142&gt;=BZ$5,$E142&lt;BZ$5+GanttPeriod),"◇","")),IF(AND(BZ$5&lt;=$F142,BZ$5+GanttPeriod-1&gt;=$E142),"━","")))</f>
        <v/>
      </c>
      <c r="CA142" s="69" t="str">
        <f aca="false">IF($E142="","",IF($M142,IF(AND($G142&gt;=CA$5,$G142&lt;CA$5+GanttPeriod),"◆",IF(AND($E142&gt;=CA$5,$E142&lt;CA$5+GanttPeriod),"◇","")),IF(AND(CA$5&lt;=$F142,CA$5+GanttPeriod-1&gt;=$E142),"━","")))</f>
        <v/>
      </c>
      <c r="CB142" s="69" t="str">
        <f aca="false">IF($E142="","",IF($M142,IF(AND($G142&gt;=CB$5,$G142&lt;CB$5+GanttPeriod),"◆",IF(AND($E142&gt;=CB$5,$E142&lt;CB$5+GanttPeriod),"◇","")),IF(AND(CB$5&lt;=$F142,CB$5+GanttPeriod-1&gt;=$E142),"━","")))</f>
        <v/>
      </c>
      <c r="CC142" s="69" t="str">
        <f aca="false">IF($E142="","",IF($M142,IF(AND($G142&gt;=CC$5,$G142&lt;CC$5+GanttPeriod),"◆",IF(AND($E142&gt;=CC$5,$E142&lt;CC$5+GanttPeriod),"◇","")),IF(AND(CC$5&lt;=$F142,CC$5+GanttPeriod-1&gt;=$E142),"━","")))</f>
        <v/>
      </c>
      <c r="CD142" s="69" t="str">
        <f aca="false">IF($E142="","",IF($M142,IF(AND($G142&gt;=CD$5,$G142&lt;CD$5+GanttPeriod),"◆",IF(AND($E142&gt;=CD$5,$E142&lt;CD$5+GanttPeriod),"◇","")),IF(AND(CD$5&lt;=$F142,CD$5+GanttPeriod-1&gt;=$E142),"━","")))</f>
        <v/>
      </c>
      <c r="CE142" s="69" t="str">
        <f aca="false">IF($E142="","",IF($M142,IF(AND($G142&gt;=CE$5,$G142&lt;CE$5+GanttPeriod),"◆",IF(AND($E142&gt;=CE$5,$E142&lt;CE$5+GanttPeriod),"◇","")),IF(AND(CE$5&lt;=$F142,CE$5+GanttPeriod-1&gt;=$E142),"━","")))</f>
        <v/>
      </c>
      <c r="CF142" s="69" t="str">
        <f aca="false">IF($E142="","",IF($M142,IF(AND($G142&gt;=CF$5,$G142&lt;CF$5+GanttPeriod),"◆",IF(AND($E142&gt;=CF$5,$E142&lt;CF$5+GanttPeriod),"◇","")),IF(AND(CF$5&lt;=$F142,CF$5+GanttPeriod-1&gt;=$E142),"━","")))</f>
        <v/>
      </c>
      <c r="CG142" s="69" t="str">
        <f aca="false">IF($E142="","",IF($M142,IF(AND($G142&gt;=CG$5,$G142&lt;CG$5+GanttPeriod),"◆",IF(AND($E142&gt;=CG$5,$E142&lt;CG$5+GanttPeriod),"◇","")),IF(AND(CG$5&lt;=$F142,CG$5+GanttPeriod-1&gt;=$E142),"━","")))</f>
        <v/>
      </c>
      <c r="CH142" s="69" t="str">
        <f aca="false">IF($E142="","",IF($M142,IF(AND($G142&gt;=CH$5,$G142&lt;CH$5+GanttPeriod),"◆",IF(AND($E142&gt;=CH$5,$E142&lt;CH$5+GanttPeriod),"◇","")),IF(AND(CH$5&lt;=$F142,CH$5+GanttPeriod-1&gt;=$E142),"━","")))</f>
        <v/>
      </c>
      <c r="CI142" s="69" t="str">
        <f aca="false">IF($E142="","",IF($M142,IF(AND($G142&gt;=CI$5,$G142&lt;CI$5+GanttPeriod),"◆",IF(AND($E142&gt;=CI$5,$E142&lt;CI$5+GanttPeriod),"◇","")),IF(AND(CI$5&lt;=$F142,CI$5+GanttPeriod-1&gt;=$E142),"━","")))</f>
        <v/>
      </c>
      <c r="CJ142" s="69" t="str">
        <f aca="false">IF($E142="","",IF($M142,IF(AND($G142&gt;=CJ$5,$G142&lt;CJ$5+GanttPeriod),"◆",IF(AND($E142&gt;=CJ$5,$E142&lt;CJ$5+GanttPeriod),"◇","")),IF(AND(CJ$5&lt;=$F142,CJ$5+GanttPeriod-1&gt;=$E142),"━","")))</f>
        <v/>
      </c>
      <c r="CK142" s="69" t="str">
        <f aca="false">IF($E142="","",IF($M142,IF(AND($G142&gt;=CK$5,$G142&lt;CK$5+GanttPeriod),"◆",IF(AND($E142&gt;=CK$5,$E142&lt;CK$5+GanttPeriod),"◇","")),IF(AND(CK$5&lt;=$F142,CK$5+GanttPeriod-1&gt;=$E142),"━","")))</f>
        <v/>
      </c>
      <c r="CL142" s="69" t="str">
        <f aca="false">IF($E142="","",IF($M142,IF(AND($G142&gt;=CL$5,$G142&lt;CL$5+GanttPeriod),"◆",IF(AND($E142&gt;=CL$5,$E142&lt;CL$5+GanttPeriod),"◇","")),IF(AND(CL$5&lt;=$F142,CL$5+GanttPeriod-1&gt;=$E142),"━","")))</f>
        <v/>
      </c>
      <c r="CM142" s="69" t="str">
        <f aca="false">IF($E142="","",IF($M142,IF(AND($G142&gt;=CM$5,$G142&lt;CM$5+GanttPeriod),"◆",IF(AND($E142&gt;=CM$5,$E142&lt;CM$5+GanttPeriod),"◇","")),IF(AND(CM$5&lt;=$F142,CM$5+GanttPeriod-1&gt;=$E142),"━","")))</f>
        <v/>
      </c>
      <c r="CN142" s="69" t="str">
        <f aca="false">IF($E142="","",IF($M142,IF(AND($G142&gt;=CN$5,$G142&lt;CN$5+GanttPeriod),"◆",IF(AND($E142&gt;=CN$5,$E142&lt;CN$5+GanttPeriod),"◇","")),IF(AND(CN$5&lt;=$F142,CN$5+GanttPeriod-1&gt;=$E142),"━","")))</f>
        <v/>
      </c>
      <c r="CO142" s="69" t="str">
        <f aca="false">IF($E142="","",IF($M142,IF(AND($G142&gt;=CO$5,$G142&lt;CO$5+GanttPeriod),"◆",IF(AND($E142&gt;=CO$5,$E142&lt;CO$5+GanttPeriod),"◇","")),IF(AND(CO$5&lt;=$F142,CO$5+GanttPeriod-1&gt;=$E142),"━","")))</f>
        <v/>
      </c>
      <c r="CP142" s="69" t="str">
        <f aca="false">IF($E142="","",IF($M142,IF(AND($G142&gt;=CP$5,$G142&lt;CP$5+GanttPeriod),"◆",IF(AND($E142&gt;=CP$5,$E142&lt;CP$5+GanttPeriod),"◇","")),IF(AND(CP$5&lt;=$F142,CP$5+GanttPeriod-1&gt;=$E142),"━","")))</f>
        <v/>
      </c>
      <c r="CQ142" s="69" t="str">
        <f aca="false">IF($E142="","",IF($M142,IF(AND($G142&gt;=CQ$5,$G142&lt;CQ$5+GanttPeriod),"◆",IF(AND($E142&gt;=CQ$5,$E142&lt;CQ$5+GanttPeriod),"◇","")),IF(AND(CQ$5&lt;=$F142,CQ$5+GanttPeriod-1&gt;=$E142),"━","")))</f>
        <v/>
      </c>
      <c r="CR142" s="69" t="str">
        <f aca="false">IF($E142="","",IF($M142,IF(AND($G142&gt;=CR$5,$G142&lt;CR$5+GanttPeriod),"◆",IF(AND($E142&gt;=CR$5,$E142&lt;CR$5+GanttPeriod),"◇","")),IF(AND(CR$5&lt;=$F142,CR$5+GanttPeriod-1&gt;=$E142),"━","")))</f>
        <v/>
      </c>
      <c r="CS142" s="69" t="str">
        <f aca="false">IF($E142="","",IF($M142,IF(AND($G142&gt;=CS$5,$G142&lt;CS$5+GanttPeriod),"◆",IF(AND($E142&gt;=CS$5,$E142&lt;CS$5+GanttPeriod),"◇","")),IF(AND(CS$5&lt;=$F142,CS$5+GanttPeriod-1&gt;=$E142),"━","")))</f>
        <v/>
      </c>
      <c r="CT142" s="69" t="str">
        <f aca="false">IF($E142="","",IF($M142,IF(AND($G142&gt;=CT$5,$G142&lt;CT$5+GanttPeriod),"◆",IF(AND($E142&gt;=CT$5,$E142&lt;CT$5+GanttPeriod),"◇","")),IF(AND(CT$5&lt;=$F142,CT$5+GanttPeriod-1&gt;=$E142),"━","")))</f>
        <v/>
      </c>
      <c r="CU142" s="69" t="str">
        <f aca="false">IF($E142="","",IF($M142,IF(AND($G142&gt;=CU$5,$G142&lt;CU$5+GanttPeriod),"◆",IF(AND($E142&gt;=CU$5,$E142&lt;CU$5+GanttPeriod),"◇","")),IF(AND(CU$5&lt;=$F142,CU$5+GanttPeriod-1&gt;=$E142),"━","")))</f>
        <v/>
      </c>
      <c r="CV142" s="69" t="str">
        <f aca="false">IF($E142="","",IF($M142,IF(AND($G142&gt;=CV$5,$G142&lt;CV$5+GanttPeriod),"◆",IF(AND($E142&gt;=CV$5,$E142&lt;CV$5+GanttPeriod),"◇","")),IF(AND(CV$5&lt;=$F142,CV$5+GanttPeriod-1&gt;=$E142),"━","")))</f>
        <v/>
      </c>
      <c r="CW142" s="69" t="str">
        <f aca="false">IF($E142="","",IF($M142,IF(AND($G142&gt;=CW$5,$G142&lt;CW$5+GanttPeriod),"◆",IF(AND($E142&gt;=CW$5,$E142&lt;CW$5+GanttPeriod),"◇","")),IF(AND(CW$5&lt;=$F142,CW$5+GanttPeriod-1&gt;=$E142),"━","")))</f>
        <v/>
      </c>
      <c r="CX142" s="69" t="str">
        <f aca="false">IF($E142="","",IF($M142,IF(AND($G142&gt;=CX$5,$G142&lt;CX$5+GanttPeriod),"◆",IF(AND($E142&gt;=CX$5,$E142&lt;CX$5+GanttPeriod),"◇","")),IF(AND(CX$5&lt;=$F142,CX$5+GanttPeriod-1&gt;=$E142),"━","")))</f>
        <v/>
      </c>
      <c r="CY142" s="69" t="str">
        <f aca="false">IF($E142="","",IF($M142,IF(AND($G142&gt;=CY$5,$G142&lt;CY$5+GanttPeriod),"◆",IF(AND($E142&gt;=CY$5,$E142&lt;CY$5+GanttPeriod),"◇","")),IF(AND(CY$5&lt;=$F142,CY$5+GanttPeriod-1&gt;=$E142),"━","")))</f>
        <v/>
      </c>
      <c r="CZ142" s="69" t="str">
        <f aca="false">IF($E142="","",IF($M142,IF(AND($G142&gt;=CZ$5,$G142&lt;CZ$5+GanttPeriod),"◆",IF(AND($E142&gt;=CZ$5,$E142&lt;CZ$5+GanttPeriod),"◇","")),IF(AND(CZ$5&lt;=$F142,CZ$5+GanttPeriod-1&gt;=$E142),"━","")))</f>
        <v/>
      </c>
      <c r="DA142" s="69" t="str">
        <f aca="false">IF($E142="","",IF($M142,IF(AND($G142&gt;=DA$5,$G142&lt;DA$5+GanttPeriod),"◆",IF(AND($E142&gt;=DA$5,$E142&lt;DA$5+GanttPeriod),"◇","")),IF(AND(DA$5&lt;=$F142,DA$5+GanttPeriod-1&gt;=$E142),"━","")))</f>
        <v/>
      </c>
      <c r="DB142" s="69" t="str">
        <f aca="false">IF($E142="","",IF($M142,IF(AND($G142&gt;=DB$5,$G142&lt;DB$5+GanttPeriod),"◆",IF(AND($E142&gt;=DB$5,$E142&lt;DB$5+GanttPeriod),"◇","")),IF(AND(DB$5&lt;=$F142,DB$5+GanttPeriod-1&gt;=$E142),"━","")))</f>
        <v/>
      </c>
      <c r="DC142" s="69" t="str">
        <f aca="false">IF($E142="","",IF($M142,IF(AND($G142&gt;=DC$5,$G142&lt;DC$5+GanttPeriod),"◆",IF(AND($E142&gt;=DC$5,$E142&lt;DC$5+GanttPeriod),"◇","")),IF(AND(DC$5&lt;=$F142,DC$5+GanttPeriod-1&gt;=$E142),"━","")))</f>
        <v/>
      </c>
      <c r="DD142" s="69" t="str">
        <f aca="false">IF($E142="","",IF($M142,IF(AND($G142&gt;=DD$5,$G142&lt;DD$5+GanttPeriod),"◆",IF(AND($E142&gt;=DD$5,$E142&lt;DD$5+GanttPeriod),"◇","")),IF(AND(DD$5&lt;=$F142,DD$5+GanttPeriod-1&gt;=$E142),"━","")))</f>
        <v/>
      </c>
      <c r="DE142" s="69" t="str">
        <f aca="false">IF($E142="","",IF($M142,IF(AND($G142&gt;=DE$5,$G142&lt;DE$5+GanttPeriod),"◆",IF(AND($E142&gt;=DE$5,$E142&lt;DE$5+GanttPeriod),"◇","")),IF(AND(DE$5&lt;=$F142,DE$5+GanttPeriod-1&gt;=$E142),"━","")))</f>
        <v/>
      </c>
      <c r="DF142" s="69" t="str">
        <f aca="false">IF($E142="","",IF($M142,IF(AND($G142&gt;=DF$5,$G142&lt;DF$5+GanttPeriod),"◆",IF(AND($E142&gt;=DF$5,$E142&lt;DF$5+GanttPeriod),"◇","")),IF(AND(DF$5&lt;=$F142,DF$5+GanttPeriod-1&gt;=$E142),"━","")))</f>
        <v/>
      </c>
      <c r="DG142" s="69" t="str">
        <f aca="false">IF($E142="","",IF($M142,IF(AND($G142&gt;=DG$5,$G142&lt;DG$5+GanttPeriod),"◆",IF(AND($E142&gt;=DG$5,$E142&lt;DG$5+GanttPeriod),"◇","")),IF(AND(DG$5&lt;=$F142,DG$5+GanttPeriod-1&gt;=$E142),"━","")))</f>
        <v/>
      </c>
      <c r="DH142" s="69" t="str">
        <f aca="false">IF($E142="","",IF($M142,IF(AND($G142&gt;=DH$5,$G142&lt;DH$5+GanttPeriod),"◆",IF(AND($E142&gt;=DH$5,$E142&lt;DH$5+GanttPeriod),"◇","")),IF(AND(DH$5&lt;=$F142,DH$5+GanttPeriod-1&gt;=$E142),"━","")))</f>
        <v/>
      </c>
      <c r="DI142" s="69" t="str">
        <f aca="false">IF($E142="","",IF($M142,IF(AND($G142&gt;=DI$5,$G142&lt;DI$5+GanttPeriod),"◆",IF(AND($E142&gt;=DI$5,$E142&lt;DI$5+GanttPeriod),"◇","")),IF(AND(DI$5&lt;=$F142,DI$5+GanttPeriod-1&gt;=$E142),"━","")))</f>
        <v/>
      </c>
      <c r="DJ142" s="69" t="str">
        <f aca="false">IF($E142="","",IF($M142,IF(AND($G142&gt;=DJ$5,$G142&lt;DJ$5+GanttPeriod),"◆",IF(AND($E142&gt;=DJ$5,$E142&lt;DJ$5+GanttPeriod),"◇","")),IF(AND(DJ$5&lt;=$F142,DJ$5+GanttPeriod-1&gt;=$E142),"━","")))</f>
        <v/>
      </c>
      <c r="DK142" s="69" t="str">
        <f aca="false">IF($E142="","",IF($M142,IF(AND($G142&gt;=DK$5,$G142&lt;DK$5+GanttPeriod),"◆",IF(AND($E142&gt;=DK$5,$E142&lt;DK$5+GanttPeriod),"◇","")),IF(AND(DK$5&lt;=$F142,DK$5+GanttPeriod-1&gt;=$E142),"━","")))</f>
        <v/>
      </c>
      <c r="DL142" s="69" t="str">
        <f aca="false">IF($E142="","",IF($M142,IF(AND($G142&gt;=DL$5,$G142&lt;DL$5+GanttPeriod),"◆",IF(AND($E142&gt;=DL$5,$E142&lt;DL$5+GanttPeriod),"◇","")),IF(AND(DL$5&lt;=$F142,DL$5+GanttPeriod-1&gt;=$E142),"━","")))</f>
        <v/>
      </c>
      <c r="DM142" s="69" t="str">
        <f aca="false">IF($E142="","",IF($M142,IF(AND($G142&gt;=DM$5,$G142&lt;DM$5+GanttPeriod),"◆",IF(AND($E142&gt;=DM$5,$E142&lt;DM$5+GanttPeriod),"◇","")),IF(AND(DM$5&lt;=$F142,DM$5+GanttPeriod-1&gt;=$E142),"━","")))</f>
        <v/>
      </c>
      <c r="DN142" s="69" t="str">
        <f aca="false">IF($E142="","",IF($M142,IF(AND($G142&gt;=DN$5,$G142&lt;DN$5+GanttPeriod),"◆",IF(AND($E142&gt;=DN$5,$E142&lt;DN$5+GanttPeriod),"◇","")),IF(AND(DN$5&lt;=$F142,DN$5+GanttPeriod-1&gt;=$E142),"━","")))</f>
        <v/>
      </c>
      <c r="DO142" s="69" t="str">
        <f aca="false">IF($E142="","",IF($M142,IF(AND($G142&gt;=DO$5,$G142&lt;DO$5+GanttPeriod),"◆",IF(AND($E142&gt;=DO$5,$E142&lt;DO$5+GanttPeriod),"◇","")),IF(AND(DO$5&lt;=$F142,DO$5+GanttPeriod-1&gt;=$E142),"━","")))</f>
        <v/>
      </c>
      <c r="DP142" s="69" t="str">
        <f aca="false">IF($E142="","",IF($M142,IF(AND($G142&gt;=DP$5,$G142&lt;DP$5+GanttPeriod),"◆",IF(AND($E142&gt;=DP$5,$E142&lt;DP$5+GanttPeriod),"◇","")),IF(AND(DP$5&lt;=$F142,DP$5+GanttPeriod-1&gt;=$E142),"━","")))</f>
        <v/>
      </c>
      <c r="DQ142" s="69" t="str">
        <f aca="false">IF($E142="","",IF($M142,IF(AND($G142&gt;=DQ$5,$G142&lt;DQ$5+GanttPeriod),"◆",IF(AND($E142&gt;=DQ$5,$E142&lt;DQ$5+GanttPeriod),"◇","")),IF(AND(DQ$5&lt;=$F142,DQ$5+GanttPeriod-1&gt;=$E142),"━","")))</f>
        <v/>
      </c>
      <c r="DR142" s="69" t="str">
        <f aca="false">IF($E142="","",IF($M142,IF(AND($G142&gt;=DR$5,$G142&lt;DR$5+GanttPeriod),"◆",IF(AND($E142&gt;=DR$5,$E142&lt;DR$5+GanttPeriod),"◇","")),IF(AND(DR$5&lt;=$F142,DR$5+GanttPeriod-1&gt;=$E142),"━","")))</f>
        <v/>
      </c>
      <c r="DS142" s="69" t="str">
        <f aca="false">IF($E142="","",IF($M142,IF(AND($G142&gt;=DS$5,$G142&lt;DS$5+GanttPeriod),"◆",IF(AND($E142&gt;=DS$5,$E142&lt;DS$5+GanttPeriod),"◇","")),IF(AND(DS$5&lt;=$F142,DS$5+GanttPeriod-1&gt;=$E142),"━","")))</f>
        <v/>
      </c>
      <c r="DT142" s="69" t="str">
        <f aca="false">IF($E142="","",IF($M142,IF(AND($G142&gt;=DT$5,$G142&lt;DT$5+GanttPeriod),"◆",IF(AND($E142&gt;=DT$5,$E142&lt;DT$5+GanttPeriod),"◇","")),IF(AND(DT$5&lt;=$F142,DT$5+GanttPeriod-1&gt;=$E142),"━","")))</f>
        <v/>
      </c>
      <c r="DU142" s="69" t="str">
        <f aca="false">IF($E142="","",IF($M142,IF(AND($G142&gt;=DU$5,$G142&lt;DU$5+GanttPeriod),"◆",IF(AND($E142&gt;=DU$5,$E142&lt;DU$5+GanttPeriod),"◇","")),IF(AND(DU$5&lt;=$F142,DU$5+GanttPeriod-1&gt;=$E142),"━","")))</f>
        <v/>
      </c>
      <c r="DV142" s="69" t="str">
        <f aca="false">IF($E142="","",IF($M142,IF(AND($G142&gt;=DV$5,$G142&lt;DV$5+GanttPeriod),"◆",IF(AND($E142&gt;=DV$5,$E142&lt;DV$5+GanttPeriod),"◇","")),IF(AND(DV$5&lt;=$F142,DV$5+GanttPeriod-1&gt;=$E142),"━","")))</f>
        <v/>
      </c>
      <c r="DW142" s="69" t="str">
        <f aca="false">IF($E142="","",IF($M142,IF(AND($G142&gt;=DW$5,$G142&lt;DW$5+GanttPeriod),"◆",IF(AND($E142&gt;=DW$5,$E142&lt;DW$5+GanttPeriod),"◇","")),IF(AND(DW$5&lt;=$F142,DW$5+GanttPeriod-1&gt;=$E142),"━","")))</f>
        <v/>
      </c>
      <c r="DX142" s="69" t="str">
        <f aca="false">IF($E142="","",IF($M142,IF(AND($G142&gt;=DX$5,$G142&lt;DX$5+GanttPeriod),"◆",IF(AND($E142&gt;=DX$5,$E142&lt;DX$5+GanttPeriod),"◇","")),IF(AND(DX$5&lt;=$F142,DX$5+GanttPeriod-1&gt;=$E142),"━","")))</f>
        <v/>
      </c>
      <c r="DY142" s="69" t="str">
        <f aca="false">IF($E142="","",IF($M142,IF(AND($G142&gt;=DY$5,$G142&lt;DY$5+GanttPeriod),"◆",IF(AND($E142&gt;=DY$5,$E142&lt;DY$5+GanttPeriod),"◇","")),IF(AND(DY$5&lt;=$F142,DY$5+GanttPeriod-1&gt;=$E142),"━","")))</f>
        <v/>
      </c>
      <c r="DZ142" s="69" t="str">
        <f aca="false">IF($E142="","",IF($M142,IF(AND($G142&gt;=DZ$5,$G142&lt;DZ$5+GanttPeriod),"◆",IF(AND($E142&gt;=DZ$5,$E142&lt;DZ$5+GanttPeriod),"◇","")),IF(AND(DZ$5&lt;=$F142,DZ$5+GanttPeriod-1&gt;=$E142),"━","")))</f>
        <v/>
      </c>
      <c r="EA142" s="69" t="str">
        <f aca="false">IF($E142="","",IF($M142,IF(AND($G142&gt;=EA$5,$G142&lt;EA$5+GanttPeriod),"◆",IF(AND($E142&gt;=EA$5,$E142&lt;EA$5+GanttPeriod),"◇","")),IF(AND(EA$5&lt;=$F142,EA$5+GanttPeriod-1&gt;=$E142),"━","")))</f>
        <v/>
      </c>
      <c r="EB142" s="69" t="str">
        <f aca="false">IF($E142="","",IF($M142,IF(AND($G142&gt;=EB$5,$G142&lt;EB$5+GanttPeriod),"◆",IF(AND($E142&gt;=EB$5,$E142&lt;EB$5+GanttPeriod),"◇","")),IF(AND(EB$5&lt;=$F142,EB$5+GanttPeriod-1&gt;=$E142),"━","")))</f>
        <v/>
      </c>
      <c r="EC142" s="69" t="str">
        <f aca="false">IF($E142="","",IF($M142,IF(AND($G142&gt;=EC$5,$G142&lt;EC$5+GanttPeriod),"◆",IF(AND($E142&gt;=EC$5,$E142&lt;EC$5+GanttPeriod),"◇","")),IF(AND(EC$5&lt;=$F142,EC$5+GanttPeriod-1&gt;=$E142),"━","")))</f>
        <v/>
      </c>
      <c r="ED142" s="69" t="str">
        <f aca="false">IF($E142="","",IF($M142,IF(AND($G142&gt;=ED$5,$G142&lt;ED$5+GanttPeriod),"◆",IF(AND($E142&gt;=ED$5,$E142&lt;ED$5+GanttPeriod),"◇","")),IF(AND(ED$5&lt;=$F142,ED$5+GanttPeriod-1&gt;=$E142),"━","")))</f>
        <v/>
      </c>
      <c r="EE142" s="69" t="str">
        <f aca="false">IF($E142="","",IF($M142,IF(AND($G142&gt;=EE$5,$G142&lt;EE$5+GanttPeriod),"◆",IF(AND($E142&gt;=EE$5,$E142&lt;EE$5+GanttPeriod),"◇","")),IF(AND(EE$5&lt;=$F142,EE$5+GanttPeriod-1&gt;=$E142),"━","")))</f>
        <v/>
      </c>
      <c r="EF142" s="69" t="str">
        <f aca="false">IF($E142="","",IF($M142,IF(AND($G142&gt;=EF$5,$G142&lt;EF$5+GanttPeriod),"◆",IF(AND($E142&gt;=EF$5,$E142&lt;EF$5+GanttPeriod),"◇","")),IF(AND(EF$5&lt;=$F142,EF$5+GanttPeriod-1&gt;=$E142),"━","")))</f>
        <v/>
      </c>
      <c r="EG142" s="69" t="str">
        <f aca="false">IF($E142="","",IF($M142,IF(AND($G142&gt;=EG$5,$G142&lt;EG$5+GanttPeriod),"◆",IF(AND($E142&gt;=EG$5,$E142&lt;EG$5+GanttPeriod),"◇","")),IF(AND(EG$5&lt;=$F142,EG$5+GanttPeriod-1&gt;=$E142),"━","")))</f>
        <v/>
      </c>
      <c r="EH142" s="69" t="str">
        <f aca="false">IF($E142="","",IF($M142,IF(AND($G142&gt;=EH$5,$G142&lt;EH$5+GanttPeriod),"◆",IF(AND($E142&gt;=EH$5,$E142&lt;EH$5+GanttPeriod),"◇","")),IF(AND(EH$5&lt;=$F142,EH$5+GanttPeriod-1&gt;=$E142),"━","")))</f>
        <v/>
      </c>
      <c r="EI142" s="69" t="str">
        <f aca="false">IF($E142="","",IF($M142,IF(AND($G142&gt;=EI$5,$G142&lt;EI$5+GanttPeriod),"◆",IF(AND($E142&gt;=EI$5,$E142&lt;EI$5+GanttPeriod),"◇","")),IF(AND(EI$5&lt;=$F142,EI$5+GanttPeriod-1&gt;=$E142),"━","")))</f>
        <v/>
      </c>
      <c r="EJ142" s="69" t="str">
        <f aca="false">IF($E142="","",IF($M142,IF(AND($G142&gt;=EJ$5,$G142&lt;EJ$5+GanttPeriod),"◆",IF(AND($E142&gt;=EJ$5,$E142&lt;EJ$5+GanttPeriod),"◇","")),IF(AND(EJ$5&lt;=$F142,EJ$5+GanttPeriod-1&gt;=$E142),"━","")))</f>
        <v/>
      </c>
      <c r="EK142" s="69" t="str">
        <f aca="false">IF($E142="","",IF($M142,IF(AND($G142&gt;=EK$5,$G142&lt;EK$5+GanttPeriod),"◆",IF(AND($E142&gt;=EK$5,$E142&lt;EK$5+GanttPeriod),"◇","")),IF(AND(EK$5&lt;=$F142,EK$5+GanttPeriod-1&gt;=$E142),"━","")))</f>
        <v/>
      </c>
      <c r="EL142" s="69" t="str">
        <f aca="false">IF($E142="","",IF($M142,IF(AND($G142&gt;=EL$5,$G142&lt;EL$5+GanttPeriod),"◆",IF(AND($E142&gt;=EL$5,$E142&lt;EL$5+GanttPeriod),"◇","")),IF(AND(EL$5&lt;=$F142,EL$5+GanttPeriod-1&gt;=$E142),"━","")))</f>
        <v/>
      </c>
      <c r="EM142" s="69" t="str">
        <f aca="false">IF($E142="","",IF($M142,IF(AND($G142&gt;=EM$5,$G142&lt;EM$5+GanttPeriod),"◆",IF(AND($E142&gt;=EM$5,$E142&lt;EM$5+GanttPeriod),"◇","")),IF(AND(EM$5&lt;=$F142,EM$5+GanttPeriod-1&gt;=$E142),"━","")))</f>
        <v/>
      </c>
      <c r="EN142" s="69" t="str">
        <f aca="false">IF($E142="","",IF($M142,IF(AND($G142&gt;=EN$5,$G142&lt;EN$5+GanttPeriod),"◆",IF(AND($E142&gt;=EN$5,$E142&lt;EN$5+GanttPeriod),"◇","")),IF(AND(EN$5&lt;=$F142,EN$5+GanttPeriod-1&gt;=$E142),"━","")))</f>
        <v/>
      </c>
      <c r="EO142" s="69" t="str">
        <f aca="false">IF($E142="","",IF($M142,IF(AND($G142&gt;=EO$5,$G142&lt;EO$5+GanttPeriod),"◆",IF(AND($E142&gt;=EO$5,$E142&lt;EO$5+GanttPeriod),"◇","")),IF(AND(EO$5&lt;=$F142,EO$5+GanttPeriod-1&gt;=$E142),"━","")))</f>
        <v/>
      </c>
      <c r="EP142" s="69" t="str">
        <f aca="false">IF($E142="","",IF($M142,IF(AND($G142&gt;=EP$5,$G142&lt;EP$5+GanttPeriod),"◆",IF(AND($E142&gt;=EP$5,$E142&lt;EP$5+GanttPeriod),"◇","")),IF(AND(EP$5&lt;=$F142,EP$5+GanttPeriod-1&gt;=$E142),"━","")))</f>
        <v/>
      </c>
      <c r="EQ142" s="69" t="str">
        <f aca="false">IF($E142="","",IF($M142,IF(AND($G142&gt;=EQ$5,$G142&lt;EQ$5+GanttPeriod),"◆",IF(AND($E142&gt;=EQ$5,$E142&lt;EQ$5+GanttPeriod),"◇","")),IF(AND(EQ$5&lt;=$F142,EQ$5+GanttPeriod-1&gt;=$E142),"━","")))</f>
        <v/>
      </c>
      <c r="ER142" s="69" t="str">
        <f aca="false">IF($E142="","",IF($M142,IF(AND($G142&gt;=ER$5,$G142&lt;ER$5+GanttPeriod),"◆",IF(AND($E142&gt;=ER$5,$E142&lt;ER$5+GanttPeriod),"◇","")),IF(AND(ER$5&lt;=$F142,ER$5+GanttPeriod-1&gt;=$E142),"━","")))</f>
        <v/>
      </c>
      <c r="ES142" s="69" t="str">
        <f aca="false">IF($E142="","",IF($M142,IF(AND($G142&gt;=ES$5,$G142&lt;ES$5+GanttPeriod),"◆",IF(AND($E142&gt;=ES$5,$E142&lt;ES$5+GanttPeriod),"◇","")),IF(AND(ES$5&lt;=$F142,ES$5+GanttPeriod-1&gt;=$E142),"━","")))</f>
        <v/>
      </c>
      <c r="ET142" s="69" t="str">
        <f aca="false">IF($E142="","",IF($M142,IF(AND($G142&gt;=ET$5,$G142&lt;ET$5+GanttPeriod),"◆",IF(AND($E142&gt;=ET$5,$E142&lt;ET$5+GanttPeriod),"◇","")),IF(AND(ET$5&lt;=$F142,ET$5+GanttPeriod-1&gt;=$E142),"━","")))</f>
        <v/>
      </c>
      <c r="EU142" s="69" t="str">
        <f aca="false">IF($E142="","",IF($M142,IF(AND($G142&gt;=EU$5,$G142&lt;EU$5+GanttPeriod),"◆",IF(AND($E142&gt;=EU$5,$E142&lt;EU$5+GanttPeriod),"◇","")),IF(AND(EU$5&lt;=$F142,EU$5+GanttPeriod-1&gt;=$E142),"━","")))</f>
        <v/>
      </c>
      <c r="EV142" s="69" t="str">
        <f aca="false">IF($E142="","",IF($M142,IF(AND($G142&gt;=EV$5,$G142&lt;EV$5+GanttPeriod),"◆",IF(AND($E142&gt;=EV$5,$E142&lt;EV$5+GanttPeriod),"◇","")),IF(AND(EV$5&lt;=$F142,EV$5+GanttPeriod-1&gt;=$E142),"━","")))</f>
        <v/>
      </c>
      <c r="EW142" s="69" t="str">
        <f aca="false">IF($E142="","",IF($M142,IF(AND($G142&gt;=EW$5,$G142&lt;EW$5+GanttPeriod),"◆",IF(AND($E142&gt;=EW$5,$E142&lt;EW$5+GanttPeriod),"◇","")),IF(AND(EW$5&lt;=$F142,EW$5+GanttPeriod-1&gt;=$E142),"━","")))</f>
        <v/>
      </c>
      <c r="EX142" s="69" t="str">
        <f aca="false">IF($E142="","",IF($M142,IF(AND($G142&gt;=EX$5,$G142&lt;EX$5+GanttPeriod),"◆",IF(AND($E142&gt;=EX$5,$E142&lt;EX$5+GanttPeriod),"◇","")),IF(AND(EX$5&lt;=$F142,EX$5+GanttPeriod-1&gt;=$E142),"━","")))</f>
        <v/>
      </c>
      <c r="EY142" s="69" t="str">
        <f aca="false">IF($E142="","",IF($M142,IF(AND($G142&gt;=EY$5,$G142&lt;EY$5+GanttPeriod),"◆",IF(AND($E142&gt;=EY$5,$E142&lt;EY$5+GanttPeriod),"◇","")),IF(AND(EY$5&lt;=$F142,EY$5+GanttPeriod-1&gt;=$E142),"━","")))</f>
        <v/>
      </c>
      <c r="EZ142" s="69" t="str">
        <f aca="false">IF($E142="","",IF($M142,IF(AND($G142&gt;=EZ$5,$G142&lt;EZ$5+GanttPeriod),"◆",IF(AND($E142&gt;=EZ$5,$E142&lt;EZ$5+GanttPeriod),"◇","")),IF(AND(EZ$5&lt;=$F142,EZ$5+GanttPeriod-1&gt;=$E142),"━","")))</f>
        <v/>
      </c>
      <c r="FA142" s="69" t="str">
        <f aca="false">IF($E142="","",IF($M142,IF(AND($G142&gt;=FA$5,$G142&lt;FA$5+GanttPeriod),"◆",IF(AND($E142&gt;=FA$5,$E142&lt;FA$5+GanttPeriod),"◇","")),IF(AND(FA$5&lt;=$F142,FA$5+GanttPeriod-1&gt;=$E142),"━","")))</f>
        <v/>
      </c>
      <c r="FB142" s="69" t="str">
        <f aca="false">IF($E142="","",IF($M142,IF(AND($G142&gt;=FB$5,$G142&lt;FB$5+GanttPeriod),"◆",IF(AND($E142&gt;=FB$5,$E142&lt;FB$5+GanttPeriod),"◇","")),IF(AND(FB$5&lt;=$F142,FB$5+GanttPeriod-1&gt;=$E142),"━","")))</f>
        <v/>
      </c>
      <c r="FC142" s="69" t="str">
        <f aca="false">IF($E142="","",IF($M142,IF(AND($G142&gt;=FC$5,$G142&lt;FC$5+GanttPeriod),"◆",IF(AND($E142&gt;=FC$5,$E142&lt;FC$5+GanttPeriod),"◇","")),IF(AND(FC$5&lt;=$F142,FC$5+GanttPeriod-1&gt;=$E142),"━","")))</f>
        <v/>
      </c>
      <c r="FD142" s="69" t="str">
        <f aca="false">IF($E142="","",IF($M142,IF(AND($G142&gt;=FD$5,$G142&lt;FD$5+GanttPeriod),"◆",IF(AND($E142&gt;=FD$5,$E142&lt;FD$5+GanttPeriod),"◇","")),IF(AND(FD$5&lt;=$F142,FD$5+GanttPeriod-1&gt;=$E142),"━","")))</f>
        <v/>
      </c>
      <c r="FE142" s="69" t="str">
        <f aca="false">IF($E142="","",IF($M142,IF(AND($G142&gt;=FE$5,$G142&lt;FE$5+GanttPeriod),"◆",IF(AND($E142&gt;=FE$5,$E142&lt;FE$5+GanttPeriod),"◇","")),IF(AND(FE$5&lt;=$F142,FE$5+GanttPeriod-1&gt;=$E142),"━","")))</f>
        <v/>
      </c>
      <c r="FF142" s="69" t="str">
        <f aca="false">IF($E142="","",IF($M142,IF(AND($G142&gt;=FF$5,$G142&lt;FF$5+GanttPeriod),"◆",IF(AND($E142&gt;=FF$5,$E142&lt;FF$5+GanttPeriod),"◇","")),IF(AND(FF$5&lt;=$F142,FF$5+GanttPeriod-1&gt;=$E142),"━","")))</f>
        <v/>
      </c>
      <c r="FG142" s="69" t="str">
        <f aca="false">IF($E142="","",IF($M142,IF(AND($G142&gt;=FG$5,$G142&lt;FG$5+GanttPeriod),"◆",IF(AND($E142&gt;=FG$5,$E142&lt;FG$5+GanttPeriod),"◇","")),IF(AND(FG$5&lt;=$F142,FG$5+GanttPeriod-1&gt;=$E142),"━","")))</f>
        <v/>
      </c>
      <c r="FH142" s="69" t="str">
        <f aca="false">IF($E142="","",IF($M142,IF(AND($G142&gt;=FH$5,$G142&lt;FH$5+GanttPeriod),"◆",IF(AND($E142&gt;=FH$5,$E142&lt;FH$5+GanttPeriod),"◇","")),IF(AND(FH$5&lt;=$F142,FH$5+GanttPeriod-1&gt;=$E142),"━","")))</f>
        <v/>
      </c>
      <c r="FI142" s="69" t="str">
        <f aca="false">IF($E142="","",IF($M142,IF(AND($G142&gt;=FI$5,$G142&lt;FI$5+GanttPeriod),"◆",IF(AND($E142&gt;=FI$5,$E142&lt;FI$5+GanttPeriod),"◇","")),IF(AND(FI$5&lt;=$F142,FI$5+GanttPeriod-1&gt;=$E142),"━","")))</f>
        <v/>
      </c>
      <c r="FJ142" s="69" t="str">
        <f aca="false">IF($E142="","",IF($M142,IF(AND($G142&gt;=FJ$5,$G142&lt;FJ$5+GanttPeriod),"◆",IF(AND($E142&gt;=FJ$5,$E142&lt;FJ$5+GanttPeriod),"◇","")),IF(AND(FJ$5&lt;=$F142,FJ$5+GanttPeriod-1&gt;=$E142),"━","")))</f>
        <v/>
      </c>
      <c r="FK142" s="69" t="str">
        <f aca="false">IF($E142="","",IF($M142,IF(AND($G142&gt;=FK$5,$G142&lt;FK$5+GanttPeriod),"◆",IF(AND($E142&gt;=FK$5,$E142&lt;FK$5+GanttPeriod),"◇","")),IF(AND(FK$5&lt;=$F142,FK$5+GanttPeriod-1&gt;=$E142),"━","")))</f>
        <v/>
      </c>
      <c r="FL142" s="69" t="str">
        <f aca="false">IF($E142="","",IF($M142,IF(AND($G142&gt;=FL$5,$G142&lt;FL$5+GanttPeriod),"◆",IF(AND($E142&gt;=FL$5,$E142&lt;FL$5+GanttPeriod),"◇","")),IF(AND(FL$5&lt;=$F142,FL$5+GanttPeriod-1&gt;=$E142),"━","")))</f>
        <v/>
      </c>
      <c r="FM142" s="69" t="str">
        <f aca="false">IF($E142="","",IF($M142,IF(AND($G142&gt;=FM$5,$G142&lt;FM$5+GanttPeriod),"◆",IF(AND($E142&gt;=FM$5,$E142&lt;FM$5+GanttPeriod),"◇","")),IF(AND(FM$5&lt;=$F142,FM$5+GanttPeriod-1&gt;=$E142),"━","")))</f>
        <v/>
      </c>
    </row>
    <row r="143" customFormat="false" ht="15" hidden="false" customHeight="false" outlineLevel="0" collapsed="false">
      <c r="A143" s="62" t="str">
        <f aca="false">IF(Tasks!$D143="","",Tasks!$A143)</f>
        <v/>
      </c>
      <c r="B143" s="62" t="str">
        <f aca="false">IF(Tasks!$D143="","",Tasks!$B143)</f>
        <v/>
      </c>
      <c r="C143" s="63" t="str">
        <f aca="false">IF(Tasks!$D143="","",REPT("    ",Tasks!$AE143-1)&amp;Tasks!$D143)</f>
        <v/>
      </c>
      <c r="D143" s="62" t="str">
        <f aca="false">IF(Tasks!$D143="","",IF(Tasks!$AI143,NETWORKDAYS.INTL(Tasks!$R143,Tasks!$S143,WorkWeek,Holidays),N(Tasks!$F143)))</f>
        <v/>
      </c>
      <c r="E143" s="64" t="str">
        <f aca="false">IF(Tasks!$D143="","",Tasks!$N143)</f>
        <v/>
      </c>
      <c r="F143" s="64" t="str">
        <f aca="false">IF(Tasks!$D143="","",Tasks!$O143)</f>
        <v/>
      </c>
      <c r="G143" s="64" t="str">
        <f aca="false">IF(Tasks!$D143="","",Tasks!$R143)</f>
        <v/>
      </c>
      <c r="H143" s="64" t="str">
        <f aca="false">IF(Tasks!$D143="","",Tasks!$S143)</f>
        <v/>
      </c>
      <c r="I143" s="65" t="str">
        <f aca="false">IF(Tasks!$D143="","",Tasks!$V143)</f>
        <v/>
      </c>
      <c r="J143" s="63" t="str">
        <f aca="false">IF(Tasks!$D143="","",Tasks!$X143&amp;"")</f>
        <v/>
      </c>
      <c r="K143" s="66" t="str">
        <f aca="false">IF(Tasks!$D143="","",Tasks!$W143)</f>
        <v/>
      </c>
      <c r="L143" s="67" t="b">
        <f aca="false">IF(Tasks!$D143="",FALSE(),Tasks!$AI143)</f>
        <v>0</v>
      </c>
      <c r="M143" s="67" t="b">
        <f aca="false">AND(Tasks!$AJ143=1,N(Tasks!$F143)=0)</f>
        <v>0</v>
      </c>
      <c r="N143" s="68" t="n">
        <f aca="false">IF(AND(Tasks!$AJ143=1,NOT($M143),N($I143)&gt;0),$G143,0)</f>
        <v>0</v>
      </c>
      <c r="O143" s="68" t="n">
        <f aca="false">IF($N143=0,0,IF($I143&gt;=1,$H143,MAX($N143,$G143+ROUND(($H143-$G143+1)*$I143,0)-1)))</f>
        <v>0</v>
      </c>
      <c r="P143" s="68" t="n">
        <f aca="false">IF(OR(Tasks!$AJ143&lt;&gt;1,$M143,N($I143)&gt;=1),0,IF($O143&gt;0,$O143+1,$G143))</f>
        <v>0</v>
      </c>
      <c r="Q143" s="68" t="n">
        <f aca="false">IF($P143=0,0,$H143)</f>
        <v>0</v>
      </c>
      <c r="R143" s="67" t="b">
        <f aca="false">AND(Tasks!$D143&lt;&gt;"",N(Tasks!$T143)&gt;0)</f>
        <v>0</v>
      </c>
      <c r="T143" s="69" t="str">
        <f aca="false">IF($E143="","",IF($M143,IF(AND($G143&gt;=T$5,$G143&lt;T$5+GanttPeriod),"◆",IF(AND($E143&gt;=T$5,$E143&lt;T$5+GanttPeriod),"◇","")),IF(AND(T$5&lt;=$F143,T$5+GanttPeriod-1&gt;=$E143),"━","")))</f>
        <v/>
      </c>
      <c r="U143" s="69" t="str">
        <f aca="false">IF($E143="","",IF($M143,IF(AND($G143&gt;=U$5,$G143&lt;U$5+GanttPeriod),"◆",IF(AND($E143&gt;=U$5,$E143&lt;U$5+GanttPeriod),"◇","")),IF(AND(U$5&lt;=$F143,U$5+GanttPeriod-1&gt;=$E143),"━","")))</f>
        <v/>
      </c>
      <c r="V143" s="69" t="str">
        <f aca="false">IF($E143="","",IF($M143,IF(AND($G143&gt;=V$5,$G143&lt;V$5+GanttPeriod),"◆",IF(AND($E143&gt;=V$5,$E143&lt;V$5+GanttPeriod),"◇","")),IF(AND(V$5&lt;=$F143,V$5+GanttPeriod-1&gt;=$E143),"━","")))</f>
        <v/>
      </c>
      <c r="W143" s="69" t="str">
        <f aca="false">IF($E143="","",IF($M143,IF(AND($G143&gt;=W$5,$G143&lt;W$5+GanttPeriod),"◆",IF(AND($E143&gt;=W$5,$E143&lt;W$5+GanttPeriod),"◇","")),IF(AND(W$5&lt;=$F143,W$5+GanttPeriod-1&gt;=$E143),"━","")))</f>
        <v/>
      </c>
      <c r="X143" s="69" t="str">
        <f aca="false">IF($E143="","",IF($M143,IF(AND($G143&gt;=X$5,$G143&lt;X$5+GanttPeriod),"◆",IF(AND($E143&gt;=X$5,$E143&lt;X$5+GanttPeriod),"◇","")),IF(AND(X$5&lt;=$F143,X$5+GanttPeriod-1&gt;=$E143),"━","")))</f>
        <v/>
      </c>
      <c r="Y143" s="69" t="str">
        <f aca="false">IF($E143="","",IF($M143,IF(AND($G143&gt;=Y$5,$G143&lt;Y$5+GanttPeriod),"◆",IF(AND($E143&gt;=Y$5,$E143&lt;Y$5+GanttPeriod),"◇","")),IF(AND(Y$5&lt;=$F143,Y$5+GanttPeriod-1&gt;=$E143),"━","")))</f>
        <v/>
      </c>
      <c r="Z143" s="69" t="str">
        <f aca="false">IF($E143="","",IF($M143,IF(AND($G143&gt;=Z$5,$G143&lt;Z$5+GanttPeriod),"◆",IF(AND($E143&gt;=Z$5,$E143&lt;Z$5+GanttPeriod),"◇","")),IF(AND(Z$5&lt;=$F143,Z$5+GanttPeriod-1&gt;=$E143),"━","")))</f>
        <v/>
      </c>
      <c r="AA143" s="69" t="str">
        <f aca="false">IF($E143="","",IF($M143,IF(AND($G143&gt;=AA$5,$G143&lt;AA$5+GanttPeriod),"◆",IF(AND($E143&gt;=AA$5,$E143&lt;AA$5+GanttPeriod),"◇","")),IF(AND(AA$5&lt;=$F143,AA$5+GanttPeriod-1&gt;=$E143),"━","")))</f>
        <v/>
      </c>
      <c r="AB143" s="69" t="str">
        <f aca="false">IF($E143="","",IF($M143,IF(AND($G143&gt;=AB$5,$G143&lt;AB$5+GanttPeriod),"◆",IF(AND($E143&gt;=AB$5,$E143&lt;AB$5+GanttPeriod),"◇","")),IF(AND(AB$5&lt;=$F143,AB$5+GanttPeriod-1&gt;=$E143),"━","")))</f>
        <v/>
      </c>
      <c r="AC143" s="69" t="str">
        <f aca="false">IF($E143="","",IF($M143,IF(AND($G143&gt;=AC$5,$G143&lt;AC$5+GanttPeriod),"◆",IF(AND($E143&gt;=AC$5,$E143&lt;AC$5+GanttPeriod),"◇","")),IF(AND(AC$5&lt;=$F143,AC$5+GanttPeriod-1&gt;=$E143),"━","")))</f>
        <v/>
      </c>
      <c r="AD143" s="69" t="str">
        <f aca="false">IF($E143="","",IF($M143,IF(AND($G143&gt;=AD$5,$G143&lt;AD$5+GanttPeriod),"◆",IF(AND($E143&gt;=AD$5,$E143&lt;AD$5+GanttPeriod),"◇","")),IF(AND(AD$5&lt;=$F143,AD$5+GanttPeriod-1&gt;=$E143),"━","")))</f>
        <v/>
      </c>
      <c r="AE143" s="69" t="str">
        <f aca="false">IF($E143="","",IF($M143,IF(AND($G143&gt;=AE$5,$G143&lt;AE$5+GanttPeriod),"◆",IF(AND($E143&gt;=AE$5,$E143&lt;AE$5+GanttPeriod),"◇","")),IF(AND(AE$5&lt;=$F143,AE$5+GanttPeriod-1&gt;=$E143),"━","")))</f>
        <v/>
      </c>
      <c r="AF143" s="69" t="str">
        <f aca="false">IF($E143="","",IF($M143,IF(AND($G143&gt;=AF$5,$G143&lt;AF$5+GanttPeriod),"◆",IF(AND($E143&gt;=AF$5,$E143&lt;AF$5+GanttPeriod),"◇","")),IF(AND(AF$5&lt;=$F143,AF$5+GanttPeriod-1&gt;=$E143),"━","")))</f>
        <v/>
      </c>
      <c r="AG143" s="69" t="str">
        <f aca="false">IF($E143="","",IF($M143,IF(AND($G143&gt;=AG$5,$G143&lt;AG$5+GanttPeriod),"◆",IF(AND($E143&gt;=AG$5,$E143&lt;AG$5+GanttPeriod),"◇","")),IF(AND(AG$5&lt;=$F143,AG$5+GanttPeriod-1&gt;=$E143),"━","")))</f>
        <v/>
      </c>
      <c r="AH143" s="69" t="str">
        <f aca="false">IF($E143="","",IF($M143,IF(AND($G143&gt;=AH$5,$G143&lt;AH$5+GanttPeriod),"◆",IF(AND($E143&gt;=AH$5,$E143&lt;AH$5+GanttPeriod),"◇","")),IF(AND(AH$5&lt;=$F143,AH$5+GanttPeriod-1&gt;=$E143),"━","")))</f>
        <v/>
      </c>
      <c r="AI143" s="69" t="str">
        <f aca="false">IF($E143="","",IF($M143,IF(AND($G143&gt;=AI$5,$G143&lt;AI$5+GanttPeriod),"◆",IF(AND($E143&gt;=AI$5,$E143&lt;AI$5+GanttPeriod),"◇","")),IF(AND(AI$5&lt;=$F143,AI$5+GanttPeriod-1&gt;=$E143),"━","")))</f>
        <v/>
      </c>
      <c r="AJ143" s="69" t="str">
        <f aca="false">IF($E143="","",IF($M143,IF(AND($G143&gt;=AJ$5,$G143&lt;AJ$5+GanttPeriod),"◆",IF(AND($E143&gt;=AJ$5,$E143&lt;AJ$5+GanttPeriod),"◇","")),IF(AND(AJ$5&lt;=$F143,AJ$5+GanttPeriod-1&gt;=$E143),"━","")))</f>
        <v/>
      </c>
      <c r="AK143" s="69" t="str">
        <f aca="false">IF($E143="","",IF($M143,IF(AND($G143&gt;=AK$5,$G143&lt;AK$5+GanttPeriod),"◆",IF(AND($E143&gt;=AK$5,$E143&lt;AK$5+GanttPeriod),"◇","")),IF(AND(AK$5&lt;=$F143,AK$5+GanttPeriod-1&gt;=$E143),"━","")))</f>
        <v/>
      </c>
      <c r="AL143" s="69" t="str">
        <f aca="false">IF($E143="","",IF($M143,IF(AND($G143&gt;=AL$5,$G143&lt;AL$5+GanttPeriod),"◆",IF(AND($E143&gt;=AL$5,$E143&lt;AL$5+GanttPeriod),"◇","")),IF(AND(AL$5&lt;=$F143,AL$5+GanttPeriod-1&gt;=$E143),"━","")))</f>
        <v/>
      </c>
      <c r="AM143" s="69" t="str">
        <f aca="false">IF($E143="","",IF($M143,IF(AND($G143&gt;=AM$5,$G143&lt;AM$5+GanttPeriod),"◆",IF(AND($E143&gt;=AM$5,$E143&lt;AM$5+GanttPeriod),"◇","")),IF(AND(AM$5&lt;=$F143,AM$5+GanttPeriod-1&gt;=$E143),"━","")))</f>
        <v/>
      </c>
      <c r="AN143" s="69" t="str">
        <f aca="false">IF($E143="","",IF($M143,IF(AND($G143&gt;=AN$5,$G143&lt;AN$5+GanttPeriod),"◆",IF(AND($E143&gt;=AN$5,$E143&lt;AN$5+GanttPeriod),"◇","")),IF(AND(AN$5&lt;=$F143,AN$5+GanttPeriod-1&gt;=$E143),"━","")))</f>
        <v/>
      </c>
      <c r="AO143" s="69" t="str">
        <f aca="false">IF($E143="","",IF($M143,IF(AND($G143&gt;=AO$5,$G143&lt;AO$5+GanttPeriod),"◆",IF(AND($E143&gt;=AO$5,$E143&lt;AO$5+GanttPeriod),"◇","")),IF(AND(AO$5&lt;=$F143,AO$5+GanttPeriod-1&gt;=$E143),"━","")))</f>
        <v/>
      </c>
      <c r="AP143" s="69" t="str">
        <f aca="false">IF($E143="","",IF($M143,IF(AND($G143&gt;=AP$5,$G143&lt;AP$5+GanttPeriod),"◆",IF(AND($E143&gt;=AP$5,$E143&lt;AP$5+GanttPeriod),"◇","")),IF(AND(AP$5&lt;=$F143,AP$5+GanttPeriod-1&gt;=$E143),"━","")))</f>
        <v/>
      </c>
      <c r="AQ143" s="69" t="str">
        <f aca="false">IF($E143="","",IF($M143,IF(AND($G143&gt;=AQ$5,$G143&lt;AQ$5+GanttPeriod),"◆",IF(AND($E143&gt;=AQ$5,$E143&lt;AQ$5+GanttPeriod),"◇","")),IF(AND(AQ$5&lt;=$F143,AQ$5+GanttPeriod-1&gt;=$E143),"━","")))</f>
        <v/>
      </c>
      <c r="AR143" s="69" t="str">
        <f aca="false">IF($E143="","",IF($M143,IF(AND($G143&gt;=AR$5,$G143&lt;AR$5+GanttPeriod),"◆",IF(AND($E143&gt;=AR$5,$E143&lt;AR$5+GanttPeriod),"◇","")),IF(AND(AR$5&lt;=$F143,AR$5+GanttPeriod-1&gt;=$E143),"━","")))</f>
        <v/>
      </c>
      <c r="AS143" s="69" t="str">
        <f aca="false">IF($E143="","",IF($M143,IF(AND($G143&gt;=AS$5,$G143&lt;AS$5+GanttPeriod),"◆",IF(AND($E143&gt;=AS$5,$E143&lt;AS$5+GanttPeriod),"◇","")),IF(AND(AS$5&lt;=$F143,AS$5+GanttPeriod-1&gt;=$E143),"━","")))</f>
        <v/>
      </c>
      <c r="AT143" s="69" t="str">
        <f aca="false">IF($E143="","",IF($M143,IF(AND($G143&gt;=AT$5,$G143&lt;AT$5+GanttPeriod),"◆",IF(AND($E143&gt;=AT$5,$E143&lt;AT$5+GanttPeriod),"◇","")),IF(AND(AT$5&lt;=$F143,AT$5+GanttPeriod-1&gt;=$E143),"━","")))</f>
        <v/>
      </c>
      <c r="AU143" s="69" t="str">
        <f aca="false">IF($E143="","",IF($M143,IF(AND($G143&gt;=AU$5,$G143&lt;AU$5+GanttPeriod),"◆",IF(AND($E143&gt;=AU$5,$E143&lt;AU$5+GanttPeriod),"◇","")),IF(AND(AU$5&lt;=$F143,AU$5+GanttPeriod-1&gt;=$E143),"━","")))</f>
        <v/>
      </c>
      <c r="AV143" s="69" t="str">
        <f aca="false">IF($E143="","",IF($M143,IF(AND($G143&gt;=AV$5,$G143&lt;AV$5+GanttPeriod),"◆",IF(AND($E143&gt;=AV$5,$E143&lt;AV$5+GanttPeriod),"◇","")),IF(AND(AV$5&lt;=$F143,AV$5+GanttPeriod-1&gt;=$E143),"━","")))</f>
        <v/>
      </c>
      <c r="AW143" s="69" t="str">
        <f aca="false">IF($E143="","",IF($M143,IF(AND($G143&gt;=AW$5,$G143&lt;AW$5+GanttPeriod),"◆",IF(AND($E143&gt;=AW$5,$E143&lt;AW$5+GanttPeriod),"◇","")),IF(AND(AW$5&lt;=$F143,AW$5+GanttPeriod-1&gt;=$E143),"━","")))</f>
        <v/>
      </c>
      <c r="AX143" s="69" t="str">
        <f aca="false">IF($E143="","",IF($M143,IF(AND($G143&gt;=AX$5,$G143&lt;AX$5+GanttPeriod),"◆",IF(AND($E143&gt;=AX$5,$E143&lt;AX$5+GanttPeriod),"◇","")),IF(AND(AX$5&lt;=$F143,AX$5+GanttPeriod-1&gt;=$E143),"━","")))</f>
        <v/>
      </c>
      <c r="AY143" s="69" t="str">
        <f aca="false">IF($E143="","",IF($M143,IF(AND($G143&gt;=AY$5,$G143&lt;AY$5+GanttPeriod),"◆",IF(AND($E143&gt;=AY$5,$E143&lt;AY$5+GanttPeriod),"◇","")),IF(AND(AY$5&lt;=$F143,AY$5+GanttPeriod-1&gt;=$E143),"━","")))</f>
        <v/>
      </c>
      <c r="AZ143" s="69" t="str">
        <f aca="false">IF($E143="","",IF($M143,IF(AND($G143&gt;=AZ$5,$G143&lt;AZ$5+GanttPeriod),"◆",IF(AND($E143&gt;=AZ$5,$E143&lt;AZ$5+GanttPeriod),"◇","")),IF(AND(AZ$5&lt;=$F143,AZ$5+GanttPeriod-1&gt;=$E143),"━","")))</f>
        <v/>
      </c>
      <c r="BA143" s="69" t="str">
        <f aca="false">IF($E143="","",IF($M143,IF(AND($G143&gt;=BA$5,$G143&lt;BA$5+GanttPeriod),"◆",IF(AND($E143&gt;=BA$5,$E143&lt;BA$5+GanttPeriod),"◇","")),IF(AND(BA$5&lt;=$F143,BA$5+GanttPeriod-1&gt;=$E143),"━","")))</f>
        <v/>
      </c>
      <c r="BB143" s="69" t="str">
        <f aca="false">IF($E143="","",IF($M143,IF(AND($G143&gt;=BB$5,$G143&lt;BB$5+GanttPeriod),"◆",IF(AND($E143&gt;=BB$5,$E143&lt;BB$5+GanttPeriod),"◇","")),IF(AND(BB$5&lt;=$F143,BB$5+GanttPeriod-1&gt;=$E143),"━","")))</f>
        <v/>
      </c>
      <c r="BC143" s="69" t="str">
        <f aca="false">IF($E143="","",IF($M143,IF(AND($G143&gt;=BC$5,$G143&lt;BC$5+GanttPeriod),"◆",IF(AND($E143&gt;=BC$5,$E143&lt;BC$5+GanttPeriod),"◇","")),IF(AND(BC$5&lt;=$F143,BC$5+GanttPeriod-1&gt;=$E143),"━","")))</f>
        <v/>
      </c>
      <c r="BD143" s="69" t="str">
        <f aca="false">IF($E143="","",IF($M143,IF(AND($G143&gt;=BD$5,$G143&lt;BD$5+GanttPeriod),"◆",IF(AND($E143&gt;=BD$5,$E143&lt;BD$5+GanttPeriod),"◇","")),IF(AND(BD$5&lt;=$F143,BD$5+GanttPeriod-1&gt;=$E143),"━","")))</f>
        <v/>
      </c>
      <c r="BE143" s="69" t="str">
        <f aca="false">IF($E143="","",IF($M143,IF(AND($G143&gt;=BE$5,$G143&lt;BE$5+GanttPeriod),"◆",IF(AND($E143&gt;=BE$5,$E143&lt;BE$5+GanttPeriod),"◇","")),IF(AND(BE$5&lt;=$F143,BE$5+GanttPeriod-1&gt;=$E143),"━","")))</f>
        <v/>
      </c>
      <c r="BF143" s="69" t="str">
        <f aca="false">IF($E143="","",IF($M143,IF(AND($G143&gt;=BF$5,$G143&lt;BF$5+GanttPeriod),"◆",IF(AND($E143&gt;=BF$5,$E143&lt;BF$5+GanttPeriod),"◇","")),IF(AND(BF$5&lt;=$F143,BF$5+GanttPeriod-1&gt;=$E143),"━","")))</f>
        <v/>
      </c>
      <c r="BG143" s="69" t="str">
        <f aca="false">IF($E143="","",IF($M143,IF(AND($G143&gt;=BG$5,$G143&lt;BG$5+GanttPeriod),"◆",IF(AND($E143&gt;=BG$5,$E143&lt;BG$5+GanttPeriod),"◇","")),IF(AND(BG$5&lt;=$F143,BG$5+GanttPeriod-1&gt;=$E143),"━","")))</f>
        <v/>
      </c>
      <c r="BH143" s="69" t="str">
        <f aca="false">IF($E143="","",IF($M143,IF(AND($G143&gt;=BH$5,$G143&lt;BH$5+GanttPeriod),"◆",IF(AND($E143&gt;=BH$5,$E143&lt;BH$5+GanttPeriod),"◇","")),IF(AND(BH$5&lt;=$F143,BH$5+GanttPeriod-1&gt;=$E143),"━","")))</f>
        <v/>
      </c>
      <c r="BI143" s="69" t="str">
        <f aca="false">IF($E143="","",IF($M143,IF(AND($G143&gt;=BI$5,$G143&lt;BI$5+GanttPeriod),"◆",IF(AND($E143&gt;=BI$5,$E143&lt;BI$5+GanttPeriod),"◇","")),IF(AND(BI$5&lt;=$F143,BI$5+GanttPeriod-1&gt;=$E143),"━","")))</f>
        <v/>
      </c>
      <c r="BJ143" s="69" t="str">
        <f aca="false">IF($E143="","",IF($M143,IF(AND($G143&gt;=BJ$5,$G143&lt;BJ$5+GanttPeriod),"◆",IF(AND($E143&gt;=BJ$5,$E143&lt;BJ$5+GanttPeriod),"◇","")),IF(AND(BJ$5&lt;=$F143,BJ$5+GanttPeriod-1&gt;=$E143),"━","")))</f>
        <v/>
      </c>
      <c r="BK143" s="69" t="str">
        <f aca="false">IF($E143="","",IF($M143,IF(AND($G143&gt;=BK$5,$G143&lt;BK$5+GanttPeriod),"◆",IF(AND($E143&gt;=BK$5,$E143&lt;BK$5+GanttPeriod),"◇","")),IF(AND(BK$5&lt;=$F143,BK$5+GanttPeriod-1&gt;=$E143),"━","")))</f>
        <v/>
      </c>
      <c r="BL143" s="69" t="str">
        <f aca="false">IF($E143="","",IF($M143,IF(AND($G143&gt;=BL$5,$G143&lt;BL$5+GanttPeriod),"◆",IF(AND($E143&gt;=BL$5,$E143&lt;BL$5+GanttPeriod),"◇","")),IF(AND(BL$5&lt;=$F143,BL$5+GanttPeriod-1&gt;=$E143),"━","")))</f>
        <v/>
      </c>
      <c r="BM143" s="69" t="str">
        <f aca="false">IF($E143="","",IF($M143,IF(AND($G143&gt;=BM$5,$G143&lt;BM$5+GanttPeriod),"◆",IF(AND($E143&gt;=BM$5,$E143&lt;BM$5+GanttPeriod),"◇","")),IF(AND(BM$5&lt;=$F143,BM$5+GanttPeriod-1&gt;=$E143),"━","")))</f>
        <v/>
      </c>
      <c r="BN143" s="69" t="str">
        <f aca="false">IF($E143="","",IF($M143,IF(AND($G143&gt;=BN$5,$G143&lt;BN$5+GanttPeriod),"◆",IF(AND($E143&gt;=BN$5,$E143&lt;BN$5+GanttPeriod),"◇","")),IF(AND(BN$5&lt;=$F143,BN$5+GanttPeriod-1&gt;=$E143),"━","")))</f>
        <v/>
      </c>
      <c r="BO143" s="69" t="str">
        <f aca="false">IF($E143="","",IF($M143,IF(AND($G143&gt;=BO$5,$G143&lt;BO$5+GanttPeriod),"◆",IF(AND($E143&gt;=BO$5,$E143&lt;BO$5+GanttPeriod),"◇","")),IF(AND(BO$5&lt;=$F143,BO$5+GanttPeriod-1&gt;=$E143),"━","")))</f>
        <v/>
      </c>
      <c r="BP143" s="69" t="str">
        <f aca="false">IF($E143="","",IF($M143,IF(AND($G143&gt;=BP$5,$G143&lt;BP$5+GanttPeriod),"◆",IF(AND($E143&gt;=BP$5,$E143&lt;BP$5+GanttPeriod),"◇","")),IF(AND(BP$5&lt;=$F143,BP$5+GanttPeriod-1&gt;=$E143),"━","")))</f>
        <v/>
      </c>
      <c r="BQ143" s="69" t="str">
        <f aca="false">IF($E143="","",IF($M143,IF(AND($G143&gt;=BQ$5,$G143&lt;BQ$5+GanttPeriod),"◆",IF(AND($E143&gt;=BQ$5,$E143&lt;BQ$5+GanttPeriod),"◇","")),IF(AND(BQ$5&lt;=$F143,BQ$5+GanttPeriod-1&gt;=$E143),"━","")))</f>
        <v/>
      </c>
      <c r="BR143" s="69" t="str">
        <f aca="false">IF($E143="","",IF($M143,IF(AND($G143&gt;=BR$5,$G143&lt;BR$5+GanttPeriod),"◆",IF(AND($E143&gt;=BR$5,$E143&lt;BR$5+GanttPeriod),"◇","")),IF(AND(BR$5&lt;=$F143,BR$5+GanttPeriod-1&gt;=$E143),"━","")))</f>
        <v/>
      </c>
      <c r="BS143" s="69" t="str">
        <f aca="false">IF($E143="","",IF($M143,IF(AND($G143&gt;=BS$5,$G143&lt;BS$5+GanttPeriod),"◆",IF(AND($E143&gt;=BS$5,$E143&lt;BS$5+GanttPeriod),"◇","")),IF(AND(BS$5&lt;=$F143,BS$5+GanttPeriod-1&gt;=$E143),"━","")))</f>
        <v/>
      </c>
      <c r="BT143" s="69" t="str">
        <f aca="false">IF($E143="","",IF($M143,IF(AND($G143&gt;=BT$5,$G143&lt;BT$5+GanttPeriod),"◆",IF(AND($E143&gt;=BT$5,$E143&lt;BT$5+GanttPeriod),"◇","")),IF(AND(BT$5&lt;=$F143,BT$5+GanttPeriod-1&gt;=$E143),"━","")))</f>
        <v/>
      </c>
      <c r="BU143" s="69" t="str">
        <f aca="false">IF($E143="","",IF($M143,IF(AND($G143&gt;=BU$5,$G143&lt;BU$5+GanttPeriod),"◆",IF(AND($E143&gt;=BU$5,$E143&lt;BU$5+GanttPeriod),"◇","")),IF(AND(BU$5&lt;=$F143,BU$5+GanttPeriod-1&gt;=$E143),"━","")))</f>
        <v/>
      </c>
      <c r="BV143" s="69" t="str">
        <f aca="false">IF($E143="","",IF($M143,IF(AND($G143&gt;=BV$5,$G143&lt;BV$5+GanttPeriod),"◆",IF(AND($E143&gt;=BV$5,$E143&lt;BV$5+GanttPeriod),"◇","")),IF(AND(BV$5&lt;=$F143,BV$5+GanttPeriod-1&gt;=$E143),"━","")))</f>
        <v/>
      </c>
      <c r="BW143" s="69" t="str">
        <f aca="false">IF($E143="","",IF($M143,IF(AND($G143&gt;=BW$5,$G143&lt;BW$5+GanttPeriod),"◆",IF(AND($E143&gt;=BW$5,$E143&lt;BW$5+GanttPeriod),"◇","")),IF(AND(BW$5&lt;=$F143,BW$5+GanttPeriod-1&gt;=$E143),"━","")))</f>
        <v/>
      </c>
      <c r="BX143" s="69" t="str">
        <f aca="false">IF($E143="","",IF($M143,IF(AND($G143&gt;=BX$5,$G143&lt;BX$5+GanttPeriod),"◆",IF(AND($E143&gt;=BX$5,$E143&lt;BX$5+GanttPeriod),"◇","")),IF(AND(BX$5&lt;=$F143,BX$5+GanttPeriod-1&gt;=$E143),"━","")))</f>
        <v/>
      </c>
      <c r="BY143" s="69" t="str">
        <f aca="false">IF($E143="","",IF($M143,IF(AND($G143&gt;=BY$5,$G143&lt;BY$5+GanttPeriod),"◆",IF(AND($E143&gt;=BY$5,$E143&lt;BY$5+GanttPeriod),"◇","")),IF(AND(BY$5&lt;=$F143,BY$5+GanttPeriod-1&gt;=$E143),"━","")))</f>
        <v/>
      </c>
      <c r="BZ143" s="69" t="str">
        <f aca="false">IF($E143="","",IF($M143,IF(AND($G143&gt;=BZ$5,$G143&lt;BZ$5+GanttPeriod),"◆",IF(AND($E143&gt;=BZ$5,$E143&lt;BZ$5+GanttPeriod),"◇","")),IF(AND(BZ$5&lt;=$F143,BZ$5+GanttPeriod-1&gt;=$E143),"━","")))</f>
        <v/>
      </c>
      <c r="CA143" s="69" t="str">
        <f aca="false">IF($E143="","",IF($M143,IF(AND($G143&gt;=CA$5,$G143&lt;CA$5+GanttPeriod),"◆",IF(AND($E143&gt;=CA$5,$E143&lt;CA$5+GanttPeriod),"◇","")),IF(AND(CA$5&lt;=$F143,CA$5+GanttPeriod-1&gt;=$E143),"━","")))</f>
        <v/>
      </c>
      <c r="CB143" s="69" t="str">
        <f aca="false">IF($E143="","",IF($M143,IF(AND($G143&gt;=CB$5,$G143&lt;CB$5+GanttPeriod),"◆",IF(AND($E143&gt;=CB$5,$E143&lt;CB$5+GanttPeriod),"◇","")),IF(AND(CB$5&lt;=$F143,CB$5+GanttPeriod-1&gt;=$E143),"━","")))</f>
        <v/>
      </c>
      <c r="CC143" s="69" t="str">
        <f aca="false">IF($E143="","",IF($M143,IF(AND($G143&gt;=CC$5,$G143&lt;CC$5+GanttPeriod),"◆",IF(AND($E143&gt;=CC$5,$E143&lt;CC$5+GanttPeriod),"◇","")),IF(AND(CC$5&lt;=$F143,CC$5+GanttPeriod-1&gt;=$E143),"━","")))</f>
        <v/>
      </c>
      <c r="CD143" s="69" t="str">
        <f aca="false">IF($E143="","",IF($M143,IF(AND($G143&gt;=CD$5,$G143&lt;CD$5+GanttPeriod),"◆",IF(AND($E143&gt;=CD$5,$E143&lt;CD$5+GanttPeriod),"◇","")),IF(AND(CD$5&lt;=$F143,CD$5+GanttPeriod-1&gt;=$E143),"━","")))</f>
        <v/>
      </c>
      <c r="CE143" s="69" t="str">
        <f aca="false">IF($E143="","",IF($M143,IF(AND($G143&gt;=CE$5,$G143&lt;CE$5+GanttPeriod),"◆",IF(AND($E143&gt;=CE$5,$E143&lt;CE$5+GanttPeriod),"◇","")),IF(AND(CE$5&lt;=$F143,CE$5+GanttPeriod-1&gt;=$E143),"━","")))</f>
        <v/>
      </c>
      <c r="CF143" s="69" t="str">
        <f aca="false">IF($E143="","",IF($M143,IF(AND($G143&gt;=CF$5,$G143&lt;CF$5+GanttPeriod),"◆",IF(AND($E143&gt;=CF$5,$E143&lt;CF$5+GanttPeriod),"◇","")),IF(AND(CF$5&lt;=$F143,CF$5+GanttPeriod-1&gt;=$E143),"━","")))</f>
        <v/>
      </c>
      <c r="CG143" s="69" t="str">
        <f aca="false">IF($E143="","",IF($M143,IF(AND($G143&gt;=CG$5,$G143&lt;CG$5+GanttPeriod),"◆",IF(AND($E143&gt;=CG$5,$E143&lt;CG$5+GanttPeriod),"◇","")),IF(AND(CG$5&lt;=$F143,CG$5+GanttPeriod-1&gt;=$E143),"━","")))</f>
        <v/>
      </c>
      <c r="CH143" s="69" t="str">
        <f aca="false">IF($E143="","",IF($M143,IF(AND($G143&gt;=CH$5,$G143&lt;CH$5+GanttPeriod),"◆",IF(AND($E143&gt;=CH$5,$E143&lt;CH$5+GanttPeriod),"◇","")),IF(AND(CH$5&lt;=$F143,CH$5+GanttPeriod-1&gt;=$E143),"━","")))</f>
        <v/>
      </c>
      <c r="CI143" s="69" t="str">
        <f aca="false">IF($E143="","",IF($M143,IF(AND($G143&gt;=CI$5,$G143&lt;CI$5+GanttPeriod),"◆",IF(AND($E143&gt;=CI$5,$E143&lt;CI$5+GanttPeriod),"◇","")),IF(AND(CI$5&lt;=$F143,CI$5+GanttPeriod-1&gt;=$E143),"━","")))</f>
        <v/>
      </c>
      <c r="CJ143" s="69" t="str">
        <f aca="false">IF($E143="","",IF($M143,IF(AND($G143&gt;=CJ$5,$G143&lt;CJ$5+GanttPeriod),"◆",IF(AND($E143&gt;=CJ$5,$E143&lt;CJ$5+GanttPeriod),"◇","")),IF(AND(CJ$5&lt;=$F143,CJ$5+GanttPeriod-1&gt;=$E143),"━","")))</f>
        <v/>
      </c>
      <c r="CK143" s="69" t="str">
        <f aca="false">IF($E143="","",IF($M143,IF(AND($G143&gt;=CK$5,$G143&lt;CK$5+GanttPeriod),"◆",IF(AND($E143&gt;=CK$5,$E143&lt;CK$5+GanttPeriod),"◇","")),IF(AND(CK$5&lt;=$F143,CK$5+GanttPeriod-1&gt;=$E143),"━","")))</f>
        <v/>
      </c>
      <c r="CL143" s="69" t="str">
        <f aca="false">IF($E143="","",IF($M143,IF(AND($G143&gt;=CL$5,$G143&lt;CL$5+GanttPeriod),"◆",IF(AND($E143&gt;=CL$5,$E143&lt;CL$5+GanttPeriod),"◇","")),IF(AND(CL$5&lt;=$F143,CL$5+GanttPeriod-1&gt;=$E143),"━","")))</f>
        <v/>
      </c>
      <c r="CM143" s="69" t="str">
        <f aca="false">IF($E143="","",IF($M143,IF(AND($G143&gt;=CM$5,$G143&lt;CM$5+GanttPeriod),"◆",IF(AND($E143&gt;=CM$5,$E143&lt;CM$5+GanttPeriod),"◇","")),IF(AND(CM$5&lt;=$F143,CM$5+GanttPeriod-1&gt;=$E143),"━","")))</f>
        <v/>
      </c>
      <c r="CN143" s="69" t="str">
        <f aca="false">IF($E143="","",IF($M143,IF(AND($G143&gt;=CN$5,$G143&lt;CN$5+GanttPeriod),"◆",IF(AND($E143&gt;=CN$5,$E143&lt;CN$5+GanttPeriod),"◇","")),IF(AND(CN$5&lt;=$F143,CN$5+GanttPeriod-1&gt;=$E143),"━","")))</f>
        <v/>
      </c>
      <c r="CO143" s="69" t="str">
        <f aca="false">IF($E143="","",IF($M143,IF(AND($G143&gt;=CO$5,$G143&lt;CO$5+GanttPeriod),"◆",IF(AND($E143&gt;=CO$5,$E143&lt;CO$5+GanttPeriod),"◇","")),IF(AND(CO$5&lt;=$F143,CO$5+GanttPeriod-1&gt;=$E143),"━","")))</f>
        <v/>
      </c>
      <c r="CP143" s="69" t="str">
        <f aca="false">IF($E143="","",IF($M143,IF(AND($G143&gt;=CP$5,$G143&lt;CP$5+GanttPeriod),"◆",IF(AND($E143&gt;=CP$5,$E143&lt;CP$5+GanttPeriod),"◇","")),IF(AND(CP$5&lt;=$F143,CP$5+GanttPeriod-1&gt;=$E143),"━","")))</f>
        <v/>
      </c>
      <c r="CQ143" s="69" t="str">
        <f aca="false">IF($E143="","",IF($M143,IF(AND($G143&gt;=CQ$5,$G143&lt;CQ$5+GanttPeriod),"◆",IF(AND($E143&gt;=CQ$5,$E143&lt;CQ$5+GanttPeriod),"◇","")),IF(AND(CQ$5&lt;=$F143,CQ$5+GanttPeriod-1&gt;=$E143),"━","")))</f>
        <v/>
      </c>
      <c r="CR143" s="69" t="str">
        <f aca="false">IF($E143="","",IF($M143,IF(AND($G143&gt;=CR$5,$G143&lt;CR$5+GanttPeriod),"◆",IF(AND($E143&gt;=CR$5,$E143&lt;CR$5+GanttPeriod),"◇","")),IF(AND(CR$5&lt;=$F143,CR$5+GanttPeriod-1&gt;=$E143),"━","")))</f>
        <v/>
      </c>
      <c r="CS143" s="69" t="str">
        <f aca="false">IF($E143="","",IF($M143,IF(AND($G143&gt;=CS$5,$G143&lt;CS$5+GanttPeriod),"◆",IF(AND($E143&gt;=CS$5,$E143&lt;CS$5+GanttPeriod),"◇","")),IF(AND(CS$5&lt;=$F143,CS$5+GanttPeriod-1&gt;=$E143),"━","")))</f>
        <v/>
      </c>
      <c r="CT143" s="69" t="str">
        <f aca="false">IF($E143="","",IF($M143,IF(AND($G143&gt;=CT$5,$G143&lt;CT$5+GanttPeriod),"◆",IF(AND($E143&gt;=CT$5,$E143&lt;CT$5+GanttPeriod),"◇","")),IF(AND(CT$5&lt;=$F143,CT$5+GanttPeriod-1&gt;=$E143),"━","")))</f>
        <v/>
      </c>
      <c r="CU143" s="69" t="str">
        <f aca="false">IF($E143="","",IF($M143,IF(AND($G143&gt;=CU$5,$G143&lt;CU$5+GanttPeriod),"◆",IF(AND($E143&gt;=CU$5,$E143&lt;CU$5+GanttPeriod),"◇","")),IF(AND(CU$5&lt;=$F143,CU$5+GanttPeriod-1&gt;=$E143),"━","")))</f>
        <v/>
      </c>
      <c r="CV143" s="69" t="str">
        <f aca="false">IF($E143="","",IF($M143,IF(AND($G143&gt;=CV$5,$G143&lt;CV$5+GanttPeriod),"◆",IF(AND($E143&gt;=CV$5,$E143&lt;CV$5+GanttPeriod),"◇","")),IF(AND(CV$5&lt;=$F143,CV$5+GanttPeriod-1&gt;=$E143),"━","")))</f>
        <v/>
      </c>
      <c r="CW143" s="69" t="str">
        <f aca="false">IF($E143="","",IF($M143,IF(AND($G143&gt;=CW$5,$G143&lt;CW$5+GanttPeriod),"◆",IF(AND($E143&gt;=CW$5,$E143&lt;CW$5+GanttPeriod),"◇","")),IF(AND(CW$5&lt;=$F143,CW$5+GanttPeriod-1&gt;=$E143),"━","")))</f>
        <v/>
      </c>
      <c r="CX143" s="69" t="str">
        <f aca="false">IF($E143="","",IF($M143,IF(AND($G143&gt;=CX$5,$G143&lt;CX$5+GanttPeriod),"◆",IF(AND($E143&gt;=CX$5,$E143&lt;CX$5+GanttPeriod),"◇","")),IF(AND(CX$5&lt;=$F143,CX$5+GanttPeriod-1&gt;=$E143),"━","")))</f>
        <v/>
      </c>
      <c r="CY143" s="69" t="str">
        <f aca="false">IF($E143="","",IF($M143,IF(AND($G143&gt;=CY$5,$G143&lt;CY$5+GanttPeriod),"◆",IF(AND($E143&gt;=CY$5,$E143&lt;CY$5+GanttPeriod),"◇","")),IF(AND(CY$5&lt;=$F143,CY$5+GanttPeriod-1&gt;=$E143),"━","")))</f>
        <v/>
      </c>
      <c r="CZ143" s="69" t="str">
        <f aca="false">IF($E143="","",IF($M143,IF(AND($G143&gt;=CZ$5,$G143&lt;CZ$5+GanttPeriod),"◆",IF(AND($E143&gt;=CZ$5,$E143&lt;CZ$5+GanttPeriod),"◇","")),IF(AND(CZ$5&lt;=$F143,CZ$5+GanttPeriod-1&gt;=$E143),"━","")))</f>
        <v/>
      </c>
      <c r="DA143" s="69" t="str">
        <f aca="false">IF($E143="","",IF($M143,IF(AND($G143&gt;=DA$5,$G143&lt;DA$5+GanttPeriod),"◆",IF(AND($E143&gt;=DA$5,$E143&lt;DA$5+GanttPeriod),"◇","")),IF(AND(DA$5&lt;=$F143,DA$5+GanttPeriod-1&gt;=$E143),"━","")))</f>
        <v/>
      </c>
      <c r="DB143" s="69" t="str">
        <f aca="false">IF($E143="","",IF($M143,IF(AND($G143&gt;=DB$5,$G143&lt;DB$5+GanttPeriod),"◆",IF(AND($E143&gt;=DB$5,$E143&lt;DB$5+GanttPeriod),"◇","")),IF(AND(DB$5&lt;=$F143,DB$5+GanttPeriod-1&gt;=$E143),"━","")))</f>
        <v/>
      </c>
      <c r="DC143" s="69" t="str">
        <f aca="false">IF($E143="","",IF($M143,IF(AND($G143&gt;=DC$5,$G143&lt;DC$5+GanttPeriod),"◆",IF(AND($E143&gt;=DC$5,$E143&lt;DC$5+GanttPeriod),"◇","")),IF(AND(DC$5&lt;=$F143,DC$5+GanttPeriod-1&gt;=$E143),"━","")))</f>
        <v/>
      </c>
      <c r="DD143" s="69" t="str">
        <f aca="false">IF($E143="","",IF($M143,IF(AND($G143&gt;=DD$5,$G143&lt;DD$5+GanttPeriod),"◆",IF(AND($E143&gt;=DD$5,$E143&lt;DD$5+GanttPeriod),"◇","")),IF(AND(DD$5&lt;=$F143,DD$5+GanttPeriod-1&gt;=$E143),"━","")))</f>
        <v/>
      </c>
      <c r="DE143" s="69" t="str">
        <f aca="false">IF($E143="","",IF($M143,IF(AND($G143&gt;=DE$5,$G143&lt;DE$5+GanttPeriod),"◆",IF(AND($E143&gt;=DE$5,$E143&lt;DE$5+GanttPeriod),"◇","")),IF(AND(DE$5&lt;=$F143,DE$5+GanttPeriod-1&gt;=$E143),"━","")))</f>
        <v/>
      </c>
      <c r="DF143" s="69" t="str">
        <f aca="false">IF($E143="","",IF($M143,IF(AND($G143&gt;=DF$5,$G143&lt;DF$5+GanttPeriod),"◆",IF(AND($E143&gt;=DF$5,$E143&lt;DF$5+GanttPeriod),"◇","")),IF(AND(DF$5&lt;=$F143,DF$5+GanttPeriod-1&gt;=$E143),"━","")))</f>
        <v/>
      </c>
      <c r="DG143" s="69" t="str">
        <f aca="false">IF($E143="","",IF($M143,IF(AND($G143&gt;=DG$5,$G143&lt;DG$5+GanttPeriod),"◆",IF(AND($E143&gt;=DG$5,$E143&lt;DG$5+GanttPeriod),"◇","")),IF(AND(DG$5&lt;=$F143,DG$5+GanttPeriod-1&gt;=$E143),"━","")))</f>
        <v/>
      </c>
      <c r="DH143" s="69" t="str">
        <f aca="false">IF($E143="","",IF($M143,IF(AND($G143&gt;=DH$5,$G143&lt;DH$5+GanttPeriod),"◆",IF(AND($E143&gt;=DH$5,$E143&lt;DH$5+GanttPeriod),"◇","")),IF(AND(DH$5&lt;=$F143,DH$5+GanttPeriod-1&gt;=$E143),"━","")))</f>
        <v/>
      </c>
      <c r="DI143" s="69" t="str">
        <f aca="false">IF($E143="","",IF($M143,IF(AND($G143&gt;=DI$5,$G143&lt;DI$5+GanttPeriod),"◆",IF(AND($E143&gt;=DI$5,$E143&lt;DI$5+GanttPeriod),"◇","")),IF(AND(DI$5&lt;=$F143,DI$5+GanttPeriod-1&gt;=$E143),"━","")))</f>
        <v/>
      </c>
      <c r="DJ143" s="69" t="str">
        <f aca="false">IF($E143="","",IF($M143,IF(AND($G143&gt;=DJ$5,$G143&lt;DJ$5+GanttPeriod),"◆",IF(AND($E143&gt;=DJ$5,$E143&lt;DJ$5+GanttPeriod),"◇","")),IF(AND(DJ$5&lt;=$F143,DJ$5+GanttPeriod-1&gt;=$E143),"━","")))</f>
        <v/>
      </c>
      <c r="DK143" s="69" t="str">
        <f aca="false">IF($E143="","",IF($M143,IF(AND($G143&gt;=DK$5,$G143&lt;DK$5+GanttPeriod),"◆",IF(AND($E143&gt;=DK$5,$E143&lt;DK$5+GanttPeriod),"◇","")),IF(AND(DK$5&lt;=$F143,DK$5+GanttPeriod-1&gt;=$E143),"━","")))</f>
        <v/>
      </c>
      <c r="DL143" s="69" t="str">
        <f aca="false">IF($E143="","",IF($M143,IF(AND($G143&gt;=DL$5,$G143&lt;DL$5+GanttPeriod),"◆",IF(AND($E143&gt;=DL$5,$E143&lt;DL$5+GanttPeriod),"◇","")),IF(AND(DL$5&lt;=$F143,DL$5+GanttPeriod-1&gt;=$E143),"━","")))</f>
        <v/>
      </c>
      <c r="DM143" s="69" t="str">
        <f aca="false">IF($E143="","",IF($M143,IF(AND($G143&gt;=DM$5,$G143&lt;DM$5+GanttPeriod),"◆",IF(AND($E143&gt;=DM$5,$E143&lt;DM$5+GanttPeriod),"◇","")),IF(AND(DM$5&lt;=$F143,DM$5+GanttPeriod-1&gt;=$E143),"━","")))</f>
        <v/>
      </c>
      <c r="DN143" s="69" t="str">
        <f aca="false">IF($E143="","",IF($M143,IF(AND($G143&gt;=DN$5,$G143&lt;DN$5+GanttPeriod),"◆",IF(AND($E143&gt;=DN$5,$E143&lt;DN$5+GanttPeriod),"◇","")),IF(AND(DN$5&lt;=$F143,DN$5+GanttPeriod-1&gt;=$E143),"━","")))</f>
        <v/>
      </c>
      <c r="DO143" s="69" t="str">
        <f aca="false">IF($E143="","",IF($M143,IF(AND($G143&gt;=DO$5,$G143&lt;DO$5+GanttPeriod),"◆",IF(AND($E143&gt;=DO$5,$E143&lt;DO$5+GanttPeriod),"◇","")),IF(AND(DO$5&lt;=$F143,DO$5+GanttPeriod-1&gt;=$E143),"━","")))</f>
        <v/>
      </c>
      <c r="DP143" s="69" t="str">
        <f aca="false">IF($E143="","",IF($M143,IF(AND($G143&gt;=DP$5,$G143&lt;DP$5+GanttPeriod),"◆",IF(AND($E143&gt;=DP$5,$E143&lt;DP$5+GanttPeriod),"◇","")),IF(AND(DP$5&lt;=$F143,DP$5+GanttPeriod-1&gt;=$E143),"━","")))</f>
        <v/>
      </c>
      <c r="DQ143" s="69" t="str">
        <f aca="false">IF($E143="","",IF($M143,IF(AND($G143&gt;=DQ$5,$G143&lt;DQ$5+GanttPeriod),"◆",IF(AND($E143&gt;=DQ$5,$E143&lt;DQ$5+GanttPeriod),"◇","")),IF(AND(DQ$5&lt;=$F143,DQ$5+GanttPeriod-1&gt;=$E143),"━","")))</f>
        <v/>
      </c>
      <c r="DR143" s="69" t="str">
        <f aca="false">IF($E143="","",IF($M143,IF(AND($G143&gt;=DR$5,$G143&lt;DR$5+GanttPeriod),"◆",IF(AND($E143&gt;=DR$5,$E143&lt;DR$5+GanttPeriod),"◇","")),IF(AND(DR$5&lt;=$F143,DR$5+GanttPeriod-1&gt;=$E143),"━","")))</f>
        <v/>
      </c>
      <c r="DS143" s="69" t="str">
        <f aca="false">IF($E143="","",IF($M143,IF(AND($G143&gt;=DS$5,$G143&lt;DS$5+GanttPeriod),"◆",IF(AND($E143&gt;=DS$5,$E143&lt;DS$5+GanttPeriod),"◇","")),IF(AND(DS$5&lt;=$F143,DS$5+GanttPeriod-1&gt;=$E143),"━","")))</f>
        <v/>
      </c>
      <c r="DT143" s="69" t="str">
        <f aca="false">IF($E143="","",IF($M143,IF(AND($G143&gt;=DT$5,$G143&lt;DT$5+GanttPeriod),"◆",IF(AND($E143&gt;=DT$5,$E143&lt;DT$5+GanttPeriod),"◇","")),IF(AND(DT$5&lt;=$F143,DT$5+GanttPeriod-1&gt;=$E143),"━","")))</f>
        <v/>
      </c>
      <c r="DU143" s="69" t="str">
        <f aca="false">IF($E143="","",IF($M143,IF(AND($G143&gt;=DU$5,$G143&lt;DU$5+GanttPeriod),"◆",IF(AND($E143&gt;=DU$5,$E143&lt;DU$5+GanttPeriod),"◇","")),IF(AND(DU$5&lt;=$F143,DU$5+GanttPeriod-1&gt;=$E143),"━","")))</f>
        <v/>
      </c>
      <c r="DV143" s="69" t="str">
        <f aca="false">IF($E143="","",IF($M143,IF(AND($G143&gt;=DV$5,$G143&lt;DV$5+GanttPeriod),"◆",IF(AND($E143&gt;=DV$5,$E143&lt;DV$5+GanttPeriod),"◇","")),IF(AND(DV$5&lt;=$F143,DV$5+GanttPeriod-1&gt;=$E143),"━","")))</f>
        <v/>
      </c>
      <c r="DW143" s="69" t="str">
        <f aca="false">IF($E143="","",IF($M143,IF(AND($G143&gt;=DW$5,$G143&lt;DW$5+GanttPeriod),"◆",IF(AND($E143&gt;=DW$5,$E143&lt;DW$5+GanttPeriod),"◇","")),IF(AND(DW$5&lt;=$F143,DW$5+GanttPeriod-1&gt;=$E143),"━","")))</f>
        <v/>
      </c>
      <c r="DX143" s="69" t="str">
        <f aca="false">IF($E143="","",IF($M143,IF(AND($G143&gt;=DX$5,$G143&lt;DX$5+GanttPeriod),"◆",IF(AND($E143&gt;=DX$5,$E143&lt;DX$5+GanttPeriod),"◇","")),IF(AND(DX$5&lt;=$F143,DX$5+GanttPeriod-1&gt;=$E143),"━","")))</f>
        <v/>
      </c>
      <c r="DY143" s="69" t="str">
        <f aca="false">IF($E143="","",IF($M143,IF(AND($G143&gt;=DY$5,$G143&lt;DY$5+GanttPeriod),"◆",IF(AND($E143&gt;=DY$5,$E143&lt;DY$5+GanttPeriod),"◇","")),IF(AND(DY$5&lt;=$F143,DY$5+GanttPeriod-1&gt;=$E143),"━","")))</f>
        <v/>
      </c>
      <c r="DZ143" s="69" t="str">
        <f aca="false">IF($E143="","",IF($M143,IF(AND($G143&gt;=DZ$5,$G143&lt;DZ$5+GanttPeriod),"◆",IF(AND($E143&gt;=DZ$5,$E143&lt;DZ$5+GanttPeriod),"◇","")),IF(AND(DZ$5&lt;=$F143,DZ$5+GanttPeriod-1&gt;=$E143),"━","")))</f>
        <v/>
      </c>
      <c r="EA143" s="69" t="str">
        <f aca="false">IF($E143="","",IF($M143,IF(AND($G143&gt;=EA$5,$G143&lt;EA$5+GanttPeriod),"◆",IF(AND($E143&gt;=EA$5,$E143&lt;EA$5+GanttPeriod),"◇","")),IF(AND(EA$5&lt;=$F143,EA$5+GanttPeriod-1&gt;=$E143),"━","")))</f>
        <v/>
      </c>
      <c r="EB143" s="69" t="str">
        <f aca="false">IF($E143="","",IF($M143,IF(AND($G143&gt;=EB$5,$G143&lt;EB$5+GanttPeriod),"◆",IF(AND($E143&gt;=EB$5,$E143&lt;EB$5+GanttPeriod),"◇","")),IF(AND(EB$5&lt;=$F143,EB$5+GanttPeriod-1&gt;=$E143),"━","")))</f>
        <v/>
      </c>
      <c r="EC143" s="69" t="str">
        <f aca="false">IF($E143="","",IF($M143,IF(AND($G143&gt;=EC$5,$G143&lt;EC$5+GanttPeriod),"◆",IF(AND($E143&gt;=EC$5,$E143&lt;EC$5+GanttPeriod),"◇","")),IF(AND(EC$5&lt;=$F143,EC$5+GanttPeriod-1&gt;=$E143),"━","")))</f>
        <v/>
      </c>
      <c r="ED143" s="69" t="str">
        <f aca="false">IF($E143="","",IF($M143,IF(AND($G143&gt;=ED$5,$G143&lt;ED$5+GanttPeriod),"◆",IF(AND($E143&gt;=ED$5,$E143&lt;ED$5+GanttPeriod),"◇","")),IF(AND(ED$5&lt;=$F143,ED$5+GanttPeriod-1&gt;=$E143),"━","")))</f>
        <v/>
      </c>
      <c r="EE143" s="69" t="str">
        <f aca="false">IF($E143="","",IF($M143,IF(AND($G143&gt;=EE$5,$G143&lt;EE$5+GanttPeriod),"◆",IF(AND($E143&gt;=EE$5,$E143&lt;EE$5+GanttPeriod),"◇","")),IF(AND(EE$5&lt;=$F143,EE$5+GanttPeriod-1&gt;=$E143),"━","")))</f>
        <v/>
      </c>
      <c r="EF143" s="69" t="str">
        <f aca="false">IF($E143="","",IF($M143,IF(AND($G143&gt;=EF$5,$G143&lt;EF$5+GanttPeriod),"◆",IF(AND($E143&gt;=EF$5,$E143&lt;EF$5+GanttPeriod),"◇","")),IF(AND(EF$5&lt;=$F143,EF$5+GanttPeriod-1&gt;=$E143),"━","")))</f>
        <v/>
      </c>
      <c r="EG143" s="69" t="str">
        <f aca="false">IF($E143="","",IF($M143,IF(AND($G143&gt;=EG$5,$G143&lt;EG$5+GanttPeriod),"◆",IF(AND($E143&gt;=EG$5,$E143&lt;EG$5+GanttPeriod),"◇","")),IF(AND(EG$5&lt;=$F143,EG$5+GanttPeriod-1&gt;=$E143),"━","")))</f>
        <v/>
      </c>
      <c r="EH143" s="69" t="str">
        <f aca="false">IF($E143="","",IF($M143,IF(AND($G143&gt;=EH$5,$G143&lt;EH$5+GanttPeriod),"◆",IF(AND($E143&gt;=EH$5,$E143&lt;EH$5+GanttPeriod),"◇","")),IF(AND(EH$5&lt;=$F143,EH$5+GanttPeriod-1&gt;=$E143),"━","")))</f>
        <v/>
      </c>
      <c r="EI143" s="69" t="str">
        <f aca="false">IF($E143="","",IF($M143,IF(AND($G143&gt;=EI$5,$G143&lt;EI$5+GanttPeriod),"◆",IF(AND($E143&gt;=EI$5,$E143&lt;EI$5+GanttPeriod),"◇","")),IF(AND(EI$5&lt;=$F143,EI$5+GanttPeriod-1&gt;=$E143),"━","")))</f>
        <v/>
      </c>
      <c r="EJ143" s="69" t="str">
        <f aca="false">IF($E143="","",IF($M143,IF(AND($G143&gt;=EJ$5,$G143&lt;EJ$5+GanttPeriod),"◆",IF(AND($E143&gt;=EJ$5,$E143&lt;EJ$5+GanttPeriod),"◇","")),IF(AND(EJ$5&lt;=$F143,EJ$5+GanttPeriod-1&gt;=$E143),"━","")))</f>
        <v/>
      </c>
      <c r="EK143" s="69" t="str">
        <f aca="false">IF($E143="","",IF($M143,IF(AND($G143&gt;=EK$5,$G143&lt;EK$5+GanttPeriod),"◆",IF(AND($E143&gt;=EK$5,$E143&lt;EK$5+GanttPeriod),"◇","")),IF(AND(EK$5&lt;=$F143,EK$5+GanttPeriod-1&gt;=$E143),"━","")))</f>
        <v/>
      </c>
      <c r="EL143" s="69" t="str">
        <f aca="false">IF($E143="","",IF($M143,IF(AND($G143&gt;=EL$5,$G143&lt;EL$5+GanttPeriod),"◆",IF(AND($E143&gt;=EL$5,$E143&lt;EL$5+GanttPeriod),"◇","")),IF(AND(EL$5&lt;=$F143,EL$5+GanttPeriod-1&gt;=$E143),"━","")))</f>
        <v/>
      </c>
      <c r="EM143" s="69" t="str">
        <f aca="false">IF($E143="","",IF($M143,IF(AND($G143&gt;=EM$5,$G143&lt;EM$5+GanttPeriod),"◆",IF(AND($E143&gt;=EM$5,$E143&lt;EM$5+GanttPeriod),"◇","")),IF(AND(EM$5&lt;=$F143,EM$5+GanttPeriod-1&gt;=$E143),"━","")))</f>
        <v/>
      </c>
      <c r="EN143" s="69" t="str">
        <f aca="false">IF($E143="","",IF($M143,IF(AND($G143&gt;=EN$5,$G143&lt;EN$5+GanttPeriod),"◆",IF(AND($E143&gt;=EN$5,$E143&lt;EN$5+GanttPeriod),"◇","")),IF(AND(EN$5&lt;=$F143,EN$5+GanttPeriod-1&gt;=$E143),"━","")))</f>
        <v/>
      </c>
      <c r="EO143" s="69" t="str">
        <f aca="false">IF($E143="","",IF($M143,IF(AND($G143&gt;=EO$5,$G143&lt;EO$5+GanttPeriod),"◆",IF(AND($E143&gt;=EO$5,$E143&lt;EO$5+GanttPeriod),"◇","")),IF(AND(EO$5&lt;=$F143,EO$5+GanttPeriod-1&gt;=$E143),"━","")))</f>
        <v/>
      </c>
      <c r="EP143" s="69" t="str">
        <f aca="false">IF($E143="","",IF($M143,IF(AND($G143&gt;=EP$5,$G143&lt;EP$5+GanttPeriod),"◆",IF(AND($E143&gt;=EP$5,$E143&lt;EP$5+GanttPeriod),"◇","")),IF(AND(EP$5&lt;=$F143,EP$5+GanttPeriod-1&gt;=$E143),"━","")))</f>
        <v/>
      </c>
      <c r="EQ143" s="69" t="str">
        <f aca="false">IF($E143="","",IF($M143,IF(AND($G143&gt;=EQ$5,$G143&lt;EQ$5+GanttPeriod),"◆",IF(AND($E143&gt;=EQ$5,$E143&lt;EQ$5+GanttPeriod),"◇","")),IF(AND(EQ$5&lt;=$F143,EQ$5+GanttPeriod-1&gt;=$E143),"━","")))</f>
        <v/>
      </c>
      <c r="ER143" s="69" t="str">
        <f aca="false">IF($E143="","",IF($M143,IF(AND($G143&gt;=ER$5,$G143&lt;ER$5+GanttPeriod),"◆",IF(AND($E143&gt;=ER$5,$E143&lt;ER$5+GanttPeriod),"◇","")),IF(AND(ER$5&lt;=$F143,ER$5+GanttPeriod-1&gt;=$E143),"━","")))</f>
        <v/>
      </c>
      <c r="ES143" s="69" t="str">
        <f aca="false">IF($E143="","",IF($M143,IF(AND($G143&gt;=ES$5,$G143&lt;ES$5+GanttPeriod),"◆",IF(AND($E143&gt;=ES$5,$E143&lt;ES$5+GanttPeriod),"◇","")),IF(AND(ES$5&lt;=$F143,ES$5+GanttPeriod-1&gt;=$E143),"━","")))</f>
        <v/>
      </c>
      <c r="ET143" s="69" t="str">
        <f aca="false">IF($E143="","",IF($M143,IF(AND($G143&gt;=ET$5,$G143&lt;ET$5+GanttPeriod),"◆",IF(AND($E143&gt;=ET$5,$E143&lt;ET$5+GanttPeriod),"◇","")),IF(AND(ET$5&lt;=$F143,ET$5+GanttPeriod-1&gt;=$E143),"━","")))</f>
        <v/>
      </c>
      <c r="EU143" s="69" t="str">
        <f aca="false">IF($E143="","",IF($M143,IF(AND($G143&gt;=EU$5,$G143&lt;EU$5+GanttPeriod),"◆",IF(AND($E143&gt;=EU$5,$E143&lt;EU$5+GanttPeriod),"◇","")),IF(AND(EU$5&lt;=$F143,EU$5+GanttPeriod-1&gt;=$E143),"━","")))</f>
        <v/>
      </c>
      <c r="EV143" s="69" t="str">
        <f aca="false">IF($E143="","",IF($M143,IF(AND($G143&gt;=EV$5,$G143&lt;EV$5+GanttPeriod),"◆",IF(AND($E143&gt;=EV$5,$E143&lt;EV$5+GanttPeriod),"◇","")),IF(AND(EV$5&lt;=$F143,EV$5+GanttPeriod-1&gt;=$E143),"━","")))</f>
        <v/>
      </c>
      <c r="EW143" s="69" t="str">
        <f aca="false">IF($E143="","",IF($M143,IF(AND($G143&gt;=EW$5,$G143&lt;EW$5+GanttPeriod),"◆",IF(AND($E143&gt;=EW$5,$E143&lt;EW$5+GanttPeriod),"◇","")),IF(AND(EW$5&lt;=$F143,EW$5+GanttPeriod-1&gt;=$E143),"━","")))</f>
        <v/>
      </c>
      <c r="EX143" s="69" t="str">
        <f aca="false">IF($E143="","",IF($M143,IF(AND($G143&gt;=EX$5,$G143&lt;EX$5+GanttPeriod),"◆",IF(AND($E143&gt;=EX$5,$E143&lt;EX$5+GanttPeriod),"◇","")),IF(AND(EX$5&lt;=$F143,EX$5+GanttPeriod-1&gt;=$E143),"━","")))</f>
        <v/>
      </c>
      <c r="EY143" s="69" t="str">
        <f aca="false">IF($E143="","",IF($M143,IF(AND($G143&gt;=EY$5,$G143&lt;EY$5+GanttPeriod),"◆",IF(AND($E143&gt;=EY$5,$E143&lt;EY$5+GanttPeriod),"◇","")),IF(AND(EY$5&lt;=$F143,EY$5+GanttPeriod-1&gt;=$E143),"━","")))</f>
        <v/>
      </c>
      <c r="EZ143" s="69" t="str">
        <f aca="false">IF($E143="","",IF($M143,IF(AND($G143&gt;=EZ$5,$G143&lt;EZ$5+GanttPeriod),"◆",IF(AND($E143&gt;=EZ$5,$E143&lt;EZ$5+GanttPeriod),"◇","")),IF(AND(EZ$5&lt;=$F143,EZ$5+GanttPeriod-1&gt;=$E143),"━","")))</f>
        <v/>
      </c>
      <c r="FA143" s="69" t="str">
        <f aca="false">IF($E143="","",IF($M143,IF(AND($G143&gt;=FA$5,$G143&lt;FA$5+GanttPeriod),"◆",IF(AND($E143&gt;=FA$5,$E143&lt;FA$5+GanttPeriod),"◇","")),IF(AND(FA$5&lt;=$F143,FA$5+GanttPeriod-1&gt;=$E143),"━","")))</f>
        <v/>
      </c>
      <c r="FB143" s="69" t="str">
        <f aca="false">IF($E143="","",IF($M143,IF(AND($G143&gt;=FB$5,$G143&lt;FB$5+GanttPeriod),"◆",IF(AND($E143&gt;=FB$5,$E143&lt;FB$5+GanttPeriod),"◇","")),IF(AND(FB$5&lt;=$F143,FB$5+GanttPeriod-1&gt;=$E143),"━","")))</f>
        <v/>
      </c>
      <c r="FC143" s="69" t="str">
        <f aca="false">IF($E143="","",IF($M143,IF(AND($G143&gt;=FC$5,$G143&lt;FC$5+GanttPeriod),"◆",IF(AND($E143&gt;=FC$5,$E143&lt;FC$5+GanttPeriod),"◇","")),IF(AND(FC$5&lt;=$F143,FC$5+GanttPeriod-1&gt;=$E143),"━","")))</f>
        <v/>
      </c>
      <c r="FD143" s="69" t="str">
        <f aca="false">IF($E143="","",IF($M143,IF(AND($G143&gt;=FD$5,$G143&lt;FD$5+GanttPeriod),"◆",IF(AND($E143&gt;=FD$5,$E143&lt;FD$5+GanttPeriod),"◇","")),IF(AND(FD$5&lt;=$F143,FD$5+GanttPeriod-1&gt;=$E143),"━","")))</f>
        <v/>
      </c>
      <c r="FE143" s="69" t="str">
        <f aca="false">IF($E143="","",IF($M143,IF(AND($G143&gt;=FE$5,$G143&lt;FE$5+GanttPeriod),"◆",IF(AND($E143&gt;=FE$5,$E143&lt;FE$5+GanttPeriod),"◇","")),IF(AND(FE$5&lt;=$F143,FE$5+GanttPeriod-1&gt;=$E143),"━","")))</f>
        <v/>
      </c>
      <c r="FF143" s="69" t="str">
        <f aca="false">IF($E143="","",IF($M143,IF(AND($G143&gt;=FF$5,$G143&lt;FF$5+GanttPeriod),"◆",IF(AND($E143&gt;=FF$5,$E143&lt;FF$5+GanttPeriod),"◇","")),IF(AND(FF$5&lt;=$F143,FF$5+GanttPeriod-1&gt;=$E143),"━","")))</f>
        <v/>
      </c>
      <c r="FG143" s="69" t="str">
        <f aca="false">IF($E143="","",IF($M143,IF(AND($G143&gt;=FG$5,$G143&lt;FG$5+GanttPeriod),"◆",IF(AND($E143&gt;=FG$5,$E143&lt;FG$5+GanttPeriod),"◇","")),IF(AND(FG$5&lt;=$F143,FG$5+GanttPeriod-1&gt;=$E143),"━","")))</f>
        <v/>
      </c>
      <c r="FH143" s="69" t="str">
        <f aca="false">IF($E143="","",IF($M143,IF(AND($G143&gt;=FH$5,$G143&lt;FH$5+GanttPeriod),"◆",IF(AND($E143&gt;=FH$5,$E143&lt;FH$5+GanttPeriod),"◇","")),IF(AND(FH$5&lt;=$F143,FH$5+GanttPeriod-1&gt;=$E143),"━","")))</f>
        <v/>
      </c>
      <c r="FI143" s="69" t="str">
        <f aca="false">IF($E143="","",IF($M143,IF(AND($G143&gt;=FI$5,$G143&lt;FI$5+GanttPeriod),"◆",IF(AND($E143&gt;=FI$5,$E143&lt;FI$5+GanttPeriod),"◇","")),IF(AND(FI$5&lt;=$F143,FI$5+GanttPeriod-1&gt;=$E143),"━","")))</f>
        <v/>
      </c>
      <c r="FJ143" s="69" t="str">
        <f aca="false">IF($E143="","",IF($M143,IF(AND($G143&gt;=FJ$5,$G143&lt;FJ$5+GanttPeriod),"◆",IF(AND($E143&gt;=FJ$5,$E143&lt;FJ$5+GanttPeriod),"◇","")),IF(AND(FJ$5&lt;=$F143,FJ$5+GanttPeriod-1&gt;=$E143),"━","")))</f>
        <v/>
      </c>
      <c r="FK143" s="69" t="str">
        <f aca="false">IF($E143="","",IF($M143,IF(AND($G143&gt;=FK$5,$G143&lt;FK$5+GanttPeriod),"◆",IF(AND($E143&gt;=FK$5,$E143&lt;FK$5+GanttPeriod),"◇","")),IF(AND(FK$5&lt;=$F143,FK$5+GanttPeriod-1&gt;=$E143),"━","")))</f>
        <v/>
      </c>
      <c r="FL143" s="69" t="str">
        <f aca="false">IF($E143="","",IF($M143,IF(AND($G143&gt;=FL$5,$G143&lt;FL$5+GanttPeriod),"◆",IF(AND($E143&gt;=FL$5,$E143&lt;FL$5+GanttPeriod),"◇","")),IF(AND(FL$5&lt;=$F143,FL$5+GanttPeriod-1&gt;=$E143),"━","")))</f>
        <v/>
      </c>
      <c r="FM143" s="69" t="str">
        <f aca="false">IF($E143="","",IF($M143,IF(AND($G143&gt;=FM$5,$G143&lt;FM$5+GanttPeriod),"◆",IF(AND($E143&gt;=FM$5,$E143&lt;FM$5+GanttPeriod),"◇","")),IF(AND(FM$5&lt;=$F143,FM$5+GanttPeriod-1&gt;=$E143),"━","")))</f>
        <v/>
      </c>
    </row>
    <row r="144" customFormat="false" ht="15" hidden="false" customHeight="false" outlineLevel="0" collapsed="false">
      <c r="A144" s="62" t="str">
        <f aca="false">IF(Tasks!$D144="","",Tasks!$A144)</f>
        <v/>
      </c>
      <c r="B144" s="62" t="str">
        <f aca="false">IF(Tasks!$D144="","",Tasks!$B144)</f>
        <v/>
      </c>
      <c r="C144" s="63" t="str">
        <f aca="false">IF(Tasks!$D144="","",REPT("    ",Tasks!$AE144-1)&amp;Tasks!$D144)</f>
        <v/>
      </c>
      <c r="D144" s="62" t="str">
        <f aca="false">IF(Tasks!$D144="","",IF(Tasks!$AI144,NETWORKDAYS.INTL(Tasks!$R144,Tasks!$S144,WorkWeek,Holidays),N(Tasks!$F144)))</f>
        <v/>
      </c>
      <c r="E144" s="64" t="str">
        <f aca="false">IF(Tasks!$D144="","",Tasks!$N144)</f>
        <v/>
      </c>
      <c r="F144" s="64" t="str">
        <f aca="false">IF(Tasks!$D144="","",Tasks!$O144)</f>
        <v/>
      </c>
      <c r="G144" s="64" t="str">
        <f aca="false">IF(Tasks!$D144="","",Tasks!$R144)</f>
        <v/>
      </c>
      <c r="H144" s="64" t="str">
        <f aca="false">IF(Tasks!$D144="","",Tasks!$S144)</f>
        <v/>
      </c>
      <c r="I144" s="65" t="str">
        <f aca="false">IF(Tasks!$D144="","",Tasks!$V144)</f>
        <v/>
      </c>
      <c r="J144" s="63" t="str">
        <f aca="false">IF(Tasks!$D144="","",Tasks!$X144&amp;"")</f>
        <v/>
      </c>
      <c r="K144" s="66" t="str">
        <f aca="false">IF(Tasks!$D144="","",Tasks!$W144)</f>
        <v/>
      </c>
      <c r="L144" s="67" t="b">
        <f aca="false">IF(Tasks!$D144="",FALSE(),Tasks!$AI144)</f>
        <v>0</v>
      </c>
      <c r="M144" s="67" t="b">
        <f aca="false">AND(Tasks!$AJ144=1,N(Tasks!$F144)=0)</f>
        <v>0</v>
      </c>
      <c r="N144" s="68" t="n">
        <f aca="false">IF(AND(Tasks!$AJ144=1,NOT($M144),N($I144)&gt;0),$G144,0)</f>
        <v>0</v>
      </c>
      <c r="O144" s="68" t="n">
        <f aca="false">IF($N144=0,0,IF($I144&gt;=1,$H144,MAX($N144,$G144+ROUND(($H144-$G144+1)*$I144,0)-1)))</f>
        <v>0</v>
      </c>
      <c r="P144" s="68" t="n">
        <f aca="false">IF(OR(Tasks!$AJ144&lt;&gt;1,$M144,N($I144)&gt;=1),0,IF($O144&gt;0,$O144+1,$G144))</f>
        <v>0</v>
      </c>
      <c r="Q144" s="68" t="n">
        <f aca="false">IF($P144=0,0,$H144)</f>
        <v>0</v>
      </c>
      <c r="R144" s="67" t="b">
        <f aca="false">AND(Tasks!$D144&lt;&gt;"",N(Tasks!$T144)&gt;0)</f>
        <v>0</v>
      </c>
      <c r="T144" s="69" t="str">
        <f aca="false">IF($E144="","",IF($M144,IF(AND($G144&gt;=T$5,$G144&lt;T$5+GanttPeriod),"◆",IF(AND($E144&gt;=T$5,$E144&lt;T$5+GanttPeriod),"◇","")),IF(AND(T$5&lt;=$F144,T$5+GanttPeriod-1&gt;=$E144),"━","")))</f>
        <v/>
      </c>
      <c r="U144" s="69" t="str">
        <f aca="false">IF($E144="","",IF($M144,IF(AND($G144&gt;=U$5,$G144&lt;U$5+GanttPeriod),"◆",IF(AND($E144&gt;=U$5,$E144&lt;U$5+GanttPeriod),"◇","")),IF(AND(U$5&lt;=$F144,U$5+GanttPeriod-1&gt;=$E144),"━","")))</f>
        <v/>
      </c>
      <c r="V144" s="69" t="str">
        <f aca="false">IF($E144="","",IF($M144,IF(AND($G144&gt;=V$5,$G144&lt;V$5+GanttPeriod),"◆",IF(AND($E144&gt;=V$5,$E144&lt;V$5+GanttPeriod),"◇","")),IF(AND(V$5&lt;=$F144,V$5+GanttPeriod-1&gt;=$E144),"━","")))</f>
        <v/>
      </c>
      <c r="W144" s="69" t="str">
        <f aca="false">IF($E144="","",IF($M144,IF(AND($G144&gt;=W$5,$G144&lt;W$5+GanttPeriod),"◆",IF(AND($E144&gt;=W$5,$E144&lt;W$5+GanttPeriod),"◇","")),IF(AND(W$5&lt;=$F144,W$5+GanttPeriod-1&gt;=$E144),"━","")))</f>
        <v/>
      </c>
      <c r="X144" s="69" t="str">
        <f aca="false">IF($E144="","",IF($M144,IF(AND($G144&gt;=X$5,$G144&lt;X$5+GanttPeriod),"◆",IF(AND($E144&gt;=X$5,$E144&lt;X$5+GanttPeriod),"◇","")),IF(AND(X$5&lt;=$F144,X$5+GanttPeriod-1&gt;=$E144),"━","")))</f>
        <v/>
      </c>
      <c r="Y144" s="69" t="str">
        <f aca="false">IF($E144="","",IF($M144,IF(AND($G144&gt;=Y$5,$G144&lt;Y$5+GanttPeriod),"◆",IF(AND($E144&gt;=Y$5,$E144&lt;Y$5+GanttPeriod),"◇","")),IF(AND(Y$5&lt;=$F144,Y$5+GanttPeriod-1&gt;=$E144),"━","")))</f>
        <v/>
      </c>
      <c r="Z144" s="69" t="str">
        <f aca="false">IF($E144="","",IF($M144,IF(AND($G144&gt;=Z$5,$G144&lt;Z$5+GanttPeriod),"◆",IF(AND($E144&gt;=Z$5,$E144&lt;Z$5+GanttPeriod),"◇","")),IF(AND(Z$5&lt;=$F144,Z$5+GanttPeriod-1&gt;=$E144),"━","")))</f>
        <v/>
      </c>
      <c r="AA144" s="69" t="str">
        <f aca="false">IF($E144="","",IF($M144,IF(AND($G144&gt;=AA$5,$G144&lt;AA$5+GanttPeriod),"◆",IF(AND($E144&gt;=AA$5,$E144&lt;AA$5+GanttPeriod),"◇","")),IF(AND(AA$5&lt;=$F144,AA$5+GanttPeriod-1&gt;=$E144),"━","")))</f>
        <v/>
      </c>
      <c r="AB144" s="69" t="str">
        <f aca="false">IF($E144="","",IF($M144,IF(AND($G144&gt;=AB$5,$G144&lt;AB$5+GanttPeriod),"◆",IF(AND($E144&gt;=AB$5,$E144&lt;AB$5+GanttPeriod),"◇","")),IF(AND(AB$5&lt;=$F144,AB$5+GanttPeriod-1&gt;=$E144),"━","")))</f>
        <v/>
      </c>
      <c r="AC144" s="69" t="str">
        <f aca="false">IF($E144="","",IF($M144,IF(AND($G144&gt;=AC$5,$G144&lt;AC$5+GanttPeriod),"◆",IF(AND($E144&gt;=AC$5,$E144&lt;AC$5+GanttPeriod),"◇","")),IF(AND(AC$5&lt;=$F144,AC$5+GanttPeriod-1&gt;=$E144),"━","")))</f>
        <v/>
      </c>
      <c r="AD144" s="69" t="str">
        <f aca="false">IF($E144="","",IF($M144,IF(AND($G144&gt;=AD$5,$G144&lt;AD$5+GanttPeriod),"◆",IF(AND($E144&gt;=AD$5,$E144&lt;AD$5+GanttPeriod),"◇","")),IF(AND(AD$5&lt;=$F144,AD$5+GanttPeriod-1&gt;=$E144),"━","")))</f>
        <v/>
      </c>
      <c r="AE144" s="69" t="str">
        <f aca="false">IF($E144="","",IF($M144,IF(AND($G144&gt;=AE$5,$G144&lt;AE$5+GanttPeriod),"◆",IF(AND($E144&gt;=AE$5,$E144&lt;AE$5+GanttPeriod),"◇","")),IF(AND(AE$5&lt;=$F144,AE$5+GanttPeriod-1&gt;=$E144),"━","")))</f>
        <v/>
      </c>
      <c r="AF144" s="69" t="str">
        <f aca="false">IF($E144="","",IF($M144,IF(AND($G144&gt;=AF$5,$G144&lt;AF$5+GanttPeriod),"◆",IF(AND($E144&gt;=AF$5,$E144&lt;AF$5+GanttPeriod),"◇","")),IF(AND(AF$5&lt;=$F144,AF$5+GanttPeriod-1&gt;=$E144),"━","")))</f>
        <v/>
      </c>
      <c r="AG144" s="69" t="str">
        <f aca="false">IF($E144="","",IF($M144,IF(AND($G144&gt;=AG$5,$G144&lt;AG$5+GanttPeriod),"◆",IF(AND($E144&gt;=AG$5,$E144&lt;AG$5+GanttPeriod),"◇","")),IF(AND(AG$5&lt;=$F144,AG$5+GanttPeriod-1&gt;=$E144),"━","")))</f>
        <v/>
      </c>
      <c r="AH144" s="69" t="str">
        <f aca="false">IF($E144="","",IF($M144,IF(AND($G144&gt;=AH$5,$G144&lt;AH$5+GanttPeriod),"◆",IF(AND($E144&gt;=AH$5,$E144&lt;AH$5+GanttPeriod),"◇","")),IF(AND(AH$5&lt;=$F144,AH$5+GanttPeriod-1&gt;=$E144),"━","")))</f>
        <v/>
      </c>
      <c r="AI144" s="69" t="str">
        <f aca="false">IF($E144="","",IF($M144,IF(AND($G144&gt;=AI$5,$G144&lt;AI$5+GanttPeriod),"◆",IF(AND($E144&gt;=AI$5,$E144&lt;AI$5+GanttPeriod),"◇","")),IF(AND(AI$5&lt;=$F144,AI$5+GanttPeriod-1&gt;=$E144),"━","")))</f>
        <v/>
      </c>
      <c r="AJ144" s="69" t="str">
        <f aca="false">IF($E144="","",IF($M144,IF(AND($G144&gt;=AJ$5,$G144&lt;AJ$5+GanttPeriod),"◆",IF(AND($E144&gt;=AJ$5,$E144&lt;AJ$5+GanttPeriod),"◇","")),IF(AND(AJ$5&lt;=$F144,AJ$5+GanttPeriod-1&gt;=$E144),"━","")))</f>
        <v/>
      </c>
      <c r="AK144" s="69" t="str">
        <f aca="false">IF($E144="","",IF($M144,IF(AND($G144&gt;=AK$5,$G144&lt;AK$5+GanttPeriod),"◆",IF(AND($E144&gt;=AK$5,$E144&lt;AK$5+GanttPeriod),"◇","")),IF(AND(AK$5&lt;=$F144,AK$5+GanttPeriod-1&gt;=$E144),"━","")))</f>
        <v/>
      </c>
      <c r="AL144" s="69" t="str">
        <f aca="false">IF($E144="","",IF($M144,IF(AND($G144&gt;=AL$5,$G144&lt;AL$5+GanttPeriod),"◆",IF(AND($E144&gt;=AL$5,$E144&lt;AL$5+GanttPeriod),"◇","")),IF(AND(AL$5&lt;=$F144,AL$5+GanttPeriod-1&gt;=$E144),"━","")))</f>
        <v/>
      </c>
      <c r="AM144" s="69" t="str">
        <f aca="false">IF($E144="","",IF($M144,IF(AND($G144&gt;=AM$5,$G144&lt;AM$5+GanttPeriod),"◆",IF(AND($E144&gt;=AM$5,$E144&lt;AM$5+GanttPeriod),"◇","")),IF(AND(AM$5&lt;=$F144,AM$5+GanttPeriod-1&gt;=$E144),"━","")))</f>
        <v/>
      </c>
      <c r="AN144" s="69" t="str">
        <f aca="false">IF($E144="","",IF($M144,IF(AND($G144&gt;=AN$5,$G144&lt;AN$5+GanttPeriod),"◆",IF(AND($E144&gt;=AN$5,$E144&lt;AN$5+GanttPeriod),"◇","")),IF(AND(AN$5&lt;=$F144,AN$5+GanttPeriod-1&gt;=$E144),"━","")))</f>
        <v/>
      </c>
      <c r="AO144" s="69" t="str">
        <f aca="false">IF($E144="","",IF($M144,IF(AND($G144&gt;=AO$5,$G144&lt;AO$5+GanttPeriod),"◆",IF(AND($E144&gt;=AO$5,$E144&lt;AO$5+GanttPeriod),"◇","")),IF(AND(AO$5&lt;=$F144,AO$5+GanttPeriod-1&gt;=$E144),"━","")))</f>
        <v/>
      </c>
      <c r="AP144" s="69" t="str">
        <f aca="false">IF($E144="","",IF($M144,IF(AND($G144&gt;=AP$5,$G144&lt;AP$5+GanttPeriod),"◆",IF(AND($E144&gt;=AP$5,$E144&lt;AP$5+GanttPeriod),"◇","")),IF(AND(AP$5&lt;=$F144,AP$5+GanttPeriod-1&gt;=$E144),"━","")))</f>
        <v/>
      </c>
      <c r="AQ144" s="69" t="str">
        <f aca="false">IF($E144="","",IF($M144,IF(AND($G144&gt;=AQ$5,$G144&lt;AQ$5+GanttPeriod),"◆",IF(AND($E144&gt;=AQ$5,$E144&lt;AQ$5+GanttPeriod),"◇","")),IF(AND(AQ$5&lt;=$F144,AQ$5+GanttPeriod-1&gt;=$E144),"━","")))</f>
        <v/>
      </c>
      <c r="AR144" s="69" t="str">
        <f aca="false">IF($E144="","",IF($M144,IF(AND($G144&gt;=AR$5,$G144&lt;AR$5+GanttPeriod),"◆",IF(AND($E144&gt;=AR$5,$E144&lt;AR$5+GanttPeriod),"◇","")),IF(AND(AR$5&lt;=$F144,AR$5+GanttPeriod-1&gt;=$E144),"━","")))</f>
        <v/>
      </c>
      <c r="AS144" s="69" t="str">
        <f aca="false">IF($E144="","",IF($M144,IF(AND($G144&gt;=AS$5,$G144&lt;AS$5+GanttPeriod),"◆",IF(AND($E144&gt;=AS$5,$E144&lt;AS$5+GanttPeriod),"◇","")),IF(AND(AS$5&lt;=$F144,AS$5+GanttPeriod-1&gt;=$E144),"━","")))</f>
        <v/>
      </c>
      <c r="AT144" s="69" t="str">
        <f aca="false">IF($E144="","",IF($M144,IF(AND($G144&gt;=AT$5,$G144&lt;AT$5+GanttPeriod),"◆",IF(AND($E144&gt;=AT$5,$E144&lt;AT$5+GanttPeriod),"◇","")),IF(AND(AT$5&lt;=$F144,AT$5+GanttPeriod-1&gt;=$E144),"━","")))</f>
        <v/>
      </c>
      <c r="AU144" s="69" t="str">
        <f aca="false">IF($E144="","",IF($M144,IF(AND($G144&gt;=AU$5,$G144&lt;AU$5+GanttPeriod),"◆",IF(AND($E144&gt;=AU$5,$E144&lt;AU$5+GanttPeriod),"◇","")),IF(AND(AU$5&lt;=$F144,AU$5+GanttPeriod-1&gt;=$E144),"━","")))</f>
        <v/>
      </c>
      <c r="AV144" s="69" t="str">
        <f aca="false">IF($E144="","",IF($M144,IF(AND($G144&gt;=AV$5,$G144&lt;AV$5+GanttPeriod),"◆",IF(AND($E144&gt;=AV$5,$E144&lt;AV$5+GanttPeriod),"◇","")),IF(AND(AV$5&lt;=$F144,AV$5+GanttPeriod-1&gt;=$E144),"━","")))</f>
        <v/>
      </c>
      <c r="AW144" s="69" t="str">
        <f aca="false">IF($E144="","",IF($M144,IF(AND($G144&gt;=AW$5,$G144&lt;AW$5+GanttPeriod),"◆",IF(AND($E144&gt;=AW$5,$E144&lt;AW$5+GanttPeriod),"◇","")),IF(AND(AW$5&lt;=$F144,AW$5+GanttPeriod-1&gt;=$E144),"━","")))</f>
        <v/>
      </c>
      <c r="AX144" s="69" t="str">
        <f aca="false">IF($E144="","",IF($M144,IF(AND($G144&gt;=AX$5,$G144&lt;AX$5+GanttPeriod),"◆",IF(AND($E144&gt;=AX$5,$E144&lt;AX$5+GanttPeriod),"◇","")),IF(AND(AX$5&lt;=$F144,AX$5+GanttPeriod-1&gt;=$E144),"━","")))</f>
        <v/>
      </c>
      <c r="AY144" s="69" t="str">
        <f aca="false">IF($E144="","",IF($M144,IF(AND($G144&gt;=AY$5,$G144&lt;AY$5+GanttPeriod),"◆",IF(AND($E144&gt;=AY$5,$E144&lt;AY$5+GanttPeriod),"◇","")),IF(AND(AY$5&lt;=$F144,AY$5+GanttPeriod-1&gt;=$E144),"━","")))</f>
        <v/>
      </c>
      <c r="AZ144" s="69" t="str">
        <f aca="false">IF($E144="","",IF($M144,IF(AND($G144&gt;=AZ$5,$G144&lt;AZ$5+GanttPeriod),"◆",IF(AND($E144&gt;=AZ$5,$E144&lt;AZ$5+GanttPeriod),"◇","")),IF(AND(AZ$5&lt;=$F144,AZ$5+GanttPeriod-1&gt;=$E144),"━","")))</f>
        <v/>
      </c>
      <c r="BA144" s="69" t="str">
        <f aca="false">IF($E144="","",IF($M144,IF(AND($G144&gt;=BA$5,$G144&lt;BA$5+GanttPeriod),"◆",IF(AND($E144&gt;=BA$5,$E144&lt;BA$5+GanttPeriod),"◇","")),IF(AND(BA$5&lt;=$F144,BA$5+GanttPeriod-1&gt;=$E144),"━","")))</f>
        <v/>
      </c>
      <c r="BB144" s="69" t="str">
        <f aca="false">IF($E144="","",IF($M144,IF(AND($G144&gt;=BB$5,$G144&lt;BB$5+GanttPeriod),"◆",IF(AND($E144&gt;=BB$5,$E144&lt;BB$5+GanttPeriod),"◇","")),IF(AND(BB$5&lt;=$F144,BB$5+GanttPeriod-1&gt;=$E144),"━","")))</f>
        <v/>
      </c>
      <c r="BC144" s="69" t="str">
        <f aca="false">IF($E144="","",IF($M144,IF(AND($G144&gt;=BC$5,$G144&lt;BC$5+GanttPeriod),"◆",IF(AND($E144&gt;=BC$5,$E144&lt;BC$5+GanttPeriod),"◇","")),IF(AND(BC$5&lt;=$F144,BC$5+GanttPeriod-1&gt;=$E144),"━","")))</f>
        <v/>
      </c>
      <c r="BD144" s="69" t="str">
        <f aca="false">IF($E144="","",IF($M144,IF(AND($G144&gt;=BD$5,$G144&lt;BD$5+GanttPeriod),"◆",IF(AND($E144&gt;=BD$5,$E144&lt;BD$5+GanttPeriod),"◇","")),IF(AND(BD$5&lt;=$F144,BD$5+GanttPeriod-1&gt;=$E144),"━","")))</f>
        <v/>
      </c>
      <c r="BE144" s="69" t="str">
        <f aca="false">IF($E144="","",IF($M144,IF(AND($G144&gt;=BE$5,$G144&lt;BE$5+GanttPeriod),"◆",IF(AND($E144&gt;=BE$5,$E144&lt;BE$5+GanttPeriod),"◇","")),IF(AND(BE$5&lt;=$F144,BE$5+GanttPeriod-1&gt;=$E144),"━","")))</f>
        <v/>
      </c>
      <c r="BF144" s="69" t="str">
        <f aca="false">IF($E144="","",IF($M144,IF(AND($G144&gt;=BF$5,$G144&lt;BF$5+GanttPeriod),"◆",IF(AND($E144&gt;=BF$5,$E144&lt;BF$5+GanttPeriod),"◇","")),IF(AND(BF$5&lt;=$F144,BF$5+GanttPeriod-1&gt;=$E144),"━","")))</f>
        <v/>
      </c>
      <c r="BG144" s="69" t="str">
        <f aca="false">IF($E144="","",IF($M144,IF(AND($G144&gt;=BG$5,$G144&lt;BG$5+GanttPeriod),"◆",IF(AND($E144&gt;=BG$5,$E144&lt;BG$5+GanttPeriod),"◇","")),IF(AND(BG$5&lt;=$F144,BG$5+GanttPeriod-1&gt;=$E144),"━","")))</f>
        <v/>
      </c>
      <c r="BH144" s="69" t="str">
        <f aca="false">IF($E144="","",IF($M144,IF(AND($G144&gt;=BH$5,$G144&lt;BH$5+GanttPeriod),"◆",IF(AND($E144&gt;=BH$5,$E144&lt;BH$5+GanttPeriod),"◇","")),IF(AND(BH$5&lt;=$F144,BH$5+GanttPeriod-1&gt;=$E144),"━","")))</f>
        <v/>
      </c>
      <c r="BI144" s="69" t="str">
        <f aca="false">IF($E144="","",IF($M144,IF(AND($G144&gt;=BI$5,$G144&lt;BI$5+GanttPeriod),"◆",IF(AND($E144&gt;=BI$5,$E144&lt;BI$5+GanttPeriod),"◇","")),IF(AND(BI$5&lt;=$F144,BI$5+GanttPeriod-1&gt;=$E144),"━","")))</f>
        <v/>
      </c>
      <c r="BJ144" s="69" t="str">
        <f aca="false">IF($E144="","",IF($M144,IF(AND($G144&gt;=BJ$5,$G144&lt;BJ$5+GanttPeriod),"◆",IF(AND($E144&gt;=BJ$5,$E144&lt;BJ$5+GanttPeriod),"◇","")),IF(AND(BJ$5&lt;=$F144,BJ$5+GanttPeriod-1&gt;=$E144),"━","")))</f>
        <v/>
      </c>
      <c r="BK144" s="69" t="str">
        <f aca="false">IF($E144="","",IF($M144,IF(AND($G144&gt;=BK$5,$G144&lt;BK$5+GanttPeriod),"◆",IF(AND($E144&gt;=BK$5,$E144&lt;BK$5+GanttPeriod),"◇","")),IF(AND(BK$5&lt;=$F144,BK$5+GanttPeriod-1&gt;=$E144),"━","")))</f>
        <v/>
      </c>
      <c r="BL144" s="69" t="str">
        <f aca="false">IF($E144="","",IF($M144,IF(AND($G144&gt;=BL$5,$G144&lt;BL$5+GanttPeriod),"◆",IF(AND($E144&gt;=BL$5,$E144&lt;BL$5+GanttPeriod),"◇","")),IF(AND(BL$5&lt;=$F144,BL$5+GanttPeriod-1&gt;=$E144),"━","")))</f>
        <v/>
      </c>
      <c r="BM144" s="69" t="str">
        <f aca="false">IF($E144="","",IF($M144,IF(AND($G144&gt;=BM$5,$G144&lt;BM$5+GanttPeriod),"◆",IF(AND($E144&gt;=BM$5,$E144&lt;BM$5+GanttPeriod),"◇","")),IF(AND(BM$5&lt;=$F144,BM$5+GanttPeriod-1&gt;=$E144),"━","")))</f>
        <v/>
      </c>
      <c r="BN144" s="69" t="str">
        <f aca="false">IF($E144="","",IF($M144,IF(AND($G144&gt;=BN$5,$G144&lt;BN$5+GanttPeriod),"◆",IF(AND($E144&gt;=BN$5,$E144&lt;BN$5+GanttPeriod),"◇","")),IF(AND(BN$5&lt;=$F144,BN$5+GanttPeriod-1&gt;=$E144),"━","")))</f>
        <v/>
      </c>
      <c r="BO144" s="69" t="str">
        <f aca="false">IF($E144="","",IF($M144,IF(AND($G144&gt;=BO$5,$G144&lt;BO$5+GanttPeriod),"◆",IF(AND($E144&gt;=BO$5,$E144&lt;BO$5+GanttPeriod),"◇","")),IF(AND(BO$5&lt;=$F144,BO$5+GanttPeriod-1&gt;=$E144),"━","")))</f>
        <v/>
      </c>
      <c r="BP144" s="69" t="str">
        <f aca="false">IF($E144="","",IF($M144,IF(AND($G144&gt;=BP$5,$G144&lt;BP$5+GanttPeriod),"◆",IF(AND($E144&gt;=BP$5,$E144&lt;BP$5+GanttPeriod),"◇","")),IF(AND(BP$5&lt;=$F144,BP$5+GanttPeriod-1&gt;=$E144),"━","")))</f>
        <v/>
      </c>
      <c r="BQ144" s="69" t="str">
        <f aca="false">IF($E144="","",IF($M144,IF(AND($G144&gt;=BQ$5,$G144&lt;BQ$5+GanttPeriod),"◆",IF(AND($E144&gt;=BQ$5,$E144&lt;BQ$5+GanttPeriod),"◇","")),IF(AND(BQ$5&lt;=$F144,BQ$5+GanttPeriod-1&gt;=$E144),"━","")))</f>
        <v/>
      </c>
      <c r="BR144" s="69" t="str">
        <f aca="false">IF($E144="","",IF($M144,IF(AND($G144&gt;=BR$5,$G144&lt;BR$5+GanttPeriod),"◆",IF(AND($E144&gt;=BR$5,$E144&lt;BR$5+GanttPeriod),"◇","")),IF(AND(BR$5&lt;=$F144,BR$5+GanttPeriod-1&gt;=$E144),"━","")))</f>
        <v/>
      </c>
      <c r="BS144" s="69" t="str">
        <f aca="false">IF($E144="","",IF($M144,IF(AND($G144&gt;=BS$5,$G144&lt;BS$5+GanttPeriod),"◆",IF(AND($E144&gt;=BS$5,$E144&lt;BS$5+GanttPeriod),"◇","")),IF(AND(BS$5&lt;=$F144,BS$5+GanttPeriod-1&gt;=$E144),"━","")))</f>
        <v/>
      </c>
      <c r="BT144" s="69" t="str">
        <f aca="false">IF($E144="","",IF($M144,IF(AND($G144&gt;=BT$5,$G144&lt;BT$5+GanttPeriod),"◆",IF(AND($E144&gt;=BT$5,$E144&lt;BT$5+GanttPeriod),"◇","")),IF(AND(BT$5&lt;=$F144,BT$5+GanttPeriod-1&gt;=$E144),"━","")))</f>
        <v/>
      </c>
      <c r="BU144" s="69" t="str">
        <f aca="false">IF($E144="","",IF($M144,IF(AND($G144&gt;=BU$5,$G144&lt;BU$5+GanttPeriod),"◆",IF(AND($E144&gt;=BU$5,$E144&lt;BU$5+GanttPeriod),"◇","")),IF(AND(BU$5&lt;=$F144,BU$5+GanttPeriod-1&gt;=$E144),"━","")))</f>
        <v/>
      </c>
      <c r="BV144" s="69" t="str">
        <f aca="false">IF($E144="","",IF($M144,IF(AND($G144&gt;=BV$5,$G144&lt;BV$5+GanttPeriod),"◆",IF(AND($E144&gt;=BV$5,$E144&lt;BV$5+GanttPeriod),"◇","")),IF(AND(BV$5&lt;=$F144,BV$5+GanttPeriod-1&gt;=$E144),"━","")))</f>
        <v/>
      </c>
      <c r="BW144" s="69" t="str">
        <f aca="false">IF($E144="","",IF($M144,IF(AND($G144&gt;=BW$5,$G144&lt;BW$5+GanttPeriod),"◆",IF(AND($E144&gt;=BW$5,$E144&lt;BW$5+GanttPeriod),"◇","")),IF(AND(BW$5&lt;=$F144,BW$5+GanttPeriod-1&gt;=$E144),"━","")))</f>
        <v/>
      </c>
      <c r="BX144" s="69" t="str">
        <f aca="false">IF($E144="","",IF($M144,IF(AND($G144&gt;=BX$5,$G144&lt;BX$5+GanttPeriod),"◆",IF(AND($E144&gt;=BX$5,$E144&lt;BX$5+GanttPeriod),"◇","")),IF(AND(BX$5&lt;=$F144,BX$5+GanttPeriod-1&gt;=$E144),"━","")))</f>
        <v/>
      </c>
      <c r="BY144" s="69" t="str">
        <f aca="false">IF($E144="","",IF($M144,IF(AND($G144&gt;=BY$5,$G144&lt;BY$5+GanttPeriod),"◆",IF(AND($E144&gt;=BY$5,$E144&lt;BY$5+GanttPeriod),"◇","")),IF(AND(BY$5&lt;=$F144,BY$5+GanttPeriod-1&gt;=$E144),"━","")))</f>
        <v/>
      </c>
      <c r="BZ144" s="69" t="str">
        <f aca="false">IF($E144="","",IF($M144,IF(AND($G144&gt;=BZ$5,$G144&lt;BZ$5+GanttPeriod),"◆",IF(AND($E144&gt;=BZ$5,$E144&lt;BZ$5+GanttPeriod),"◇","")),IF(AND(BZ$5&lt;=$F144,BZ$5+GanttPeriod-1&gt;=$E144),"━","")))</f>
        <v/>
      </c>
      <c r="CA144" s="69" t="str">
        <f aca="false">IF($E144="","",IF($M144,IF(AND($G144&gt;=CA$5,$G144&lt;CA$5+GanttPeriod),"◆",IF(AND($E144&gt;=CA$5,$E144&lt;CA$5+GanttPeriod),"◇","")),IF(AND(CA$5&lt;=$F144,CA$5+GanttPeriod-1&gt;=$E144),"━","")))</f>
        <v/>
      </c>
      <c r="CB144" s="69" t="str">
        <f aca="false">IF($E144="","",IF($M144,IF(AND($G144&gt;=CB$5,$G144&lt;CB$5+GanttPeriod),"◆",IF(AND($E144&gt;=CB$5,$E144&lt;CB$5+GanttPeriod),"◇","")),IF(AND(CB$5&lt;=$F144,CB$5+GanttPeriod-1&gt;=$E144),"━","")))</f>
        <v/>
      </c>
      <c r="CC144" s="69" t="str">
        <f aca="false">IF($E144="","",IF($M144,IF(AND($G144&gt;=CC$5,$G144&lt;CC$5+GanttPeriod),"◆",IF(AND($E144&gt;=CC$5,$E144&lt;CC$5+GanttPeriod),"◇","")),IF(AND(CC$5&lt;=$F144,CC$5+GanttPeriod-1&gt;=$E144),"━","")))</f>
        <v/>
      </c>
      <c r="CD144" s="69" t="str">
        <f aca="false">IF($E144="","",IF($M144,IF(AND($G144&gt;=CD$5,$G144&lt;CD$5+GanttPeriod),"◆",IF(AND($E144&gt;=CD$5,$E144&lt;CD$5+GanttPeriod),"◇","")),IF(AND(CD$5&lt;=$F144,CD$5+GanttPeriod-1&gt;=$E144),"━","")))</f>
        <v/>
      </c>
      <c r="CE144" s="69" t="str">
        <f aca="false">IF($E144="","",IF($M144,IF(AND($G144&gt;=CE$5,$G144&lt;CE$5+GanttPeriod),"◆",IF(AND($E144&gt;=CE$5,$E144&lt;CE$5+GanttPeriod),"◇","")),IF(AND(CE$5&lt;=$F144,CE$5+GanttPeriod-1&gt;=$E144),"━","")))</f>
        <v/>
      </c>
      <c r="CF144" s="69" t="str">
        <f aca="false">IF($E144="","",IF($M144,IF(AND($G144&gt;=CF$5,$G144&lt;CF$5+GanttPeriod),"◆",IF(AND($E144&gt;=CF$5,$E144&lt;CF$5+GanttPeriod),"◇","")),IF(AND(CF$5&lt;=$F144,CF$5+GanttPeriod-1&gt;=$E144),"━","")))</f>
        <v/>
      </c>
      <c r="CG144" s="69" t="str">
        <f aca="false">IF($E144="","",IF($M144,IF(AND($G144&gt;=CG$5,$G144&lt;CG$5+GanttPeriod),"◆",IF(AND($E144&gt;=CG$5,$E144&lt;CG$5+GanttPeriod),"◇","")),IF(AND(CG$5&lt;=$F144,CG$5+GanttPeriod-1&gt;=$E144),"━","")))</f>
        <v/>
      </c>
      <c r="CH144" s="69" t="str">
        <f aca="false">IF($E144="","",IF($M144,IF(AND($G144&gt;=CH$5,$G144&lt;CH$5+GanttPeriod),"◆",IF(AND($E144&gt;=CH$5,$E144&lt;CH$5+GanttPeriod),"◇","")),IF(AND(CH$5&lt;=$F144,CH$5+GanttPeriod-1&gt;=$E144),"━","")))</f>
        <v/>
      </c>
      <c r="CI144" s="69" t="str">
        <f aca="false">IF($E144="","",IF($M144,IF(AND($G144&gt;=CI$5,$G144&lt;CI$5+GanttPeriod),"◆",IF(AND($E144&gt;=CI$5,$E144&lt;CI$5+GanttPeriod),"◇","")),IF(AND(CI$5&lt;=$F144,CI$5+GanttPeriod-1&gt;=$E144),"━","")))</f>
        <v/>
      </c>
      <c r="CJ144" s="69" t="str">
        <f aca="false">IF($E144="","",IF($M144,IF(AND($G144&gt;=CJ$5,$G144&lt;CJ$5+GanttPeriod),"◆",IF(AND($E144&gt;=CJ$5,$E144&lt;CJ$5+GanttPeriod),"◇","")),IF(AND(CJ$5&lt;=$F144,CJ$5+GanttPeriod-1&gt;=$E144),"━","")))</f>
        <v/>
      </c>
      <c r="CK144" s="69" t="str">
        <f aca="false">IF($E144="","",IF($M144,IF(AND($G144&gt;=CK$5,$G144&lt;CK$5+GanttPeriod),"◆",IF(AND($E144&gt;=CK$5,$E144&lt;CK$5+GanttPeriod),"◇","")),IF(AND(CK$5&lt;=$F144,CK$5+GanttPeriod-1&gt;=$E144),"━","")))</f>
        <v/>
      </c>
      <c r="CL144" s="69" t="str">
        <f aca="false">IF($E144="","",IF($M144,IF(AND($G144&gt;=CL$5,$G144&lt;CL$5+GanttPeriod),"◆",IF(AND($E144&gt;=CL$5,$E144&lt;CL$5+GanttPeriod),"◇","")),IF(AND(CL$5&lt;=$F144,CL$5+GanttPeriod-1&gt;=$E144),"━","")))</f>
        <v/>
      </c>
      <c r="CM144" s="69" t="str">
        <f aca="false">IF($E144="","",IF($M144,IF(AND($G144&gt;=CM$5,$G144&lt;CM$5+GanttPeriod),"◆",IF(AND($E144&gt;=CM$5,$E144&lt;CM$5+GanttPeriod),"◇","")),IF(AND(CM$5&lt;=$F144,CM$5+GanttPeriod-1&gt;=$E144),"━","")))</f>
        <v/>
      </c>
      <c r="CN144" s="69" t="str">
        <f aca="false">IF($E144="","",IF($M144,IF(AND($G144&gt;=CN$5,$G144&lt;CN$5+GanttPeriod),"◆",IF(AND($E144&gt;=CN$5,$E144&lt;CN$5+GanttPeriod),"◇","")),IF(AND(CN$5&lt;=$F144,CN$5+GanttPeriod-1&gt;=$E144),"━","")))</f>
        <v/>
      </c>
      <c r="CO144" s="69" t="str">
        <f aca="false">IF($E144="","",IF($M144,IF(AND($G144&gt;=CO$5,$G144&lt;CO$5+GanttPeriod),"◆",IF(AND($E144&gt;=CO$5,$E144&lt;CO$5+GanttPeriod),"◇","")),IF(AND(CO$5&lt;=$F144,CO$5+GanttPeriod-1&gt;=$E144),"━","")))</f>
        <v/>
      </c>
      <c r="CP144" s="69" t="str">
        <f aca="false">IF($E144="","",IF($M144,IF(AND($G144&gt;=CP$5,$G144&lt;CP$5+GanttPeriod),"◆",IF(AND($E144&gt;=CP$5,$E144&lt;CP$5+GanttPeriod),"◇","")),IF(AND(CP$5&lt;=$F144,CP$5+GanttPeriod-1&gt;=$E144),"━","")))</f>
        <v/>
      </c>
      <c r="CQ144" s="69" t="str">
        <f aca="false">IF($E144="","",IF($M144,IF(AND($G144&gt;=CQ$5,$G144&lt;CQ$5+GanttPeriod),"◆",IF(AND($E144&gt;=CQ$5,$E144&lt;CQ$5+GanttPeriod),"◇","")),IF(AND(CQ$5&lt;=$F144,CQ$5+GanttPeriod-1&gt;=$E144),"━","")))</f>
        <v/>
      </c>
      <c r="CR144" s="69" t="str">
        <f aca="false">IF($E144="","",IF($M144,IF(AND($G144&gt;=CR$5,$G144&lt;CR$5+GanttPeriod),"◆",IF(AND($E144&gt;=CR$5,$E144&lt;CR$5+GanttPeriod),"◇","")),IF(AND(CR$5&lt;=$F144,CR$5+GanttPeriod-1&gt;=$E144),"━","")))</f>
        <v/>
      </c>
      <c r="CS144" s="69" t="str">
        <f aca="false">IF($E144="","",IF($M144,IF(AND($G144&gt;=CS$5,$G144&lt;CS$5+GanttPeriod),"◆",IF(AND($E144&gt;=CS$5,$E144&lt;CS$5+GanttPeriod),"◇","")),IF(AND(CS$5&lt;=$F144,CS$5+GanttPeriod-1&gt;=$E144),"━","")))</f>
        <v/>
      </c>
      <c r="CT144" s="69" t="str">
        <f aca="false">IF($E144="","",IF($M144,IF(AND($G144&gt;=CT$5,$G144&lt;CT$5+GanttPeriod),"◆",IF(AND($E144&gt;=CT$5,$E144&lt;CT$5+GanttPeriod),"◇","")),IF(AND(CT$5&lt;=$F144,CT$5+GanttPeriod-1&gt;=$E144),"━","")))</f>
        <v/>
      </c>
      <c r="CU144" s="69" t="str">
        <f aca="false">IF($E144="","",IF($M144,IF(AND($G144&gt;=CU$5,$G144&lt;CU$5+GanttPeriod),"◆",IF(AND($E144&gt;=CU$5,$E144&lt;CU$5+GanttPeriod),"◇","")),IF(AND(CU$5&lt;=$F144,CU$5+GanttPeriod-1&gt;=$E144),"━","")))</f>
        <v/>
      </c>
      <c r="CV144" s="69" t="str">
        <f aca="false">IF($E144="","",IF($M144,IF(AND($G144&gt;=CV$5,$G144&lt;CV$5+GanttPeriod),"◆",IF(AND($E144&gt;=CV$5,$E144&lt;CV$5+GanttPeriod),"◇","")),IF(AND(CV$5&lt;=$F144,CV$5+GanttPeriod-1&gt;=$E144),"━","")))</f>
        <v/>
      </c>
      <c r="CW144" s="69" t="str">
        <f aca="false">IF($E144="","",IF($M144,IF(AND($G144&gt;=CW$5,$G144&lt;CW$5+GanttPeriod),"◆",IF(AND($E144&gt;=CW$5,$E144&lt;CW$5+GanttPeriod),"◇","")),IF(AND(CW$5&lt;=$F144,CW$5+GanttPeriod-1&gt;=$E144),"━","")))</f>
        <v/>
      </c>
      <c r="CX144" s="69" t="str">
        <f aca="false">IF($E144="","",IF($M144,IF(AND($G144&gt;=CX$5,$G144&lt;CX$5+GanttPeriod),"◆",IF(AND($E144&gt;=CX$5,$E144&lt;CX$5+GanttPeriod),"◇","")),IF(AND(CX$5&lt;=$F144,CX$5+GanttPeriod-1&gt;=$E144),"━","")))</f>
        <v/>
      </c>
      <c r="CY144" s="69" t="str">
        <f aca="false">IF($E144="","",IF($M144,IF(AND($G144&gt;=CY$5,$G144&lt;CY$5+GanttPeriod),"◆",IF(AND($E144&gt;=CY$5,$E144&lt;CY$5+GanttPeriod),"◇","")),IF(AND(CY$5&lt;=$F144,CY$5+GanttPeriod-1&gt;=$E144),"━","")))</f>
        <v/>
      </c>
      <c r="CZ144" s="69" t="str">
        <f aca="false">IF($E144="","",IF($M144,IF(AND($G144&gt;=CZ$5,$G144&lt;CZ$5+GanttPeriod),"◆",IF(AND($E144&gt;=CZ$5,$E144&lt;CZ$5+GanttPeriod),"◇","")),IF(AND(CZ$5&lt;=$F144,CZ$5+GanttPeriod-1&gt;=$E144),"━","")))</f>
        <v/>
      </c>
      <c r="DA144" s="69" t="str">
        <f aca="false">IF($E144="","",IF($M144,IF(AND($G144&gt;=DA$5,$G144&lt;DA$5+GanttPeriod),"◆",IF(AND($E144&gt;=DA$5,$E144&lt;DA$5+GanttPeriod),"◇","")),IF(AND(DA$5&lt;=$F144,DA$5+GanttPeriod-1&gt;=$E144),"━","")))</f>
        <v/>
      </c>
      <c r="DB144" s="69" t="str">
        <f aca="false">IF($E144="","",IF($M144,IF(AND($G144&gt;=DB$5,$G144&lt;DB$5+GanttPeriod),"◆",IF(AND($E144&gt;=DB$5,$E144&lt;DB$5+GanttPeriod),"◇","")),IF(AND(DB$5&lt;=$F144,DB$5+GanttPeriod-1&gt;=$E144),"━","")))</f>
        <v/>
      </c>
      <c r="DC144" s="69" t="str">
        <f aca="false">IF($E144="","",IF($M144,IF(AND($G144&gt;=DC$5,$G144&lt;DC$5+GanttPeriod),"◆",IF(AND($E144&gt;=DC$5,$E144&lt;DC$5+GanttPeriod),"◇","")),IF(AND(DC$5&lt;=$F144,DC$5+GanttPeriod-1&gt;=$E144),"━","")))</f>
        <v/>
      </c>
      <c r="DD144" s="69" t="str">
        <f aca="false">IF($E144="","",IF($M144,IF(AND($G144&gt;=DD$5,$G144&lt;DD$5+GanttPeriod),"◆",IF(AND($E144&gt;=DD$5,$E144&lt;DD$5+GanttPeriod),"◇","")),IF(AND(DD$5&lt;=$F144,DD$5+GanttPeriod-1&gt;=$E144),"━","")))</f>
        <v/>
      </c>
      <c r="DE144" s="69" t="str">
        <f aca="false">IF($E144="","",IF($M144,IF(AND($G144&gt;=DE$5,$G144&lt;DE$5+GanttPeriod),"◆",IF(AND($E144&gt;=DE$5,$E144&lt;DE$5+GanttPeriod),"◇","")),IF(AND(DE$5&lt;=$F144,DE$5+GanttPeriod-1&gt;=$E144),"━","")))</f>
        <v/>
      </c>
      <c r="DF144" s="69" t="str">
        <f aca="false">IF($E144="","",IF($M144,IF(AND($G144&gt;=DF$5,$G144&lt;DF$5+GanttPeriod),"◆",IF(AND($E144&gt;=DF$5,$E144&lt;DF$5+GanttPeriod),"◇","")),IF(AND(DF$5&lt;=$F144,DF$5+GanttPeriod-1&gt;=$E144),"━","")))</f>
        <v/>
      </c>
      <c r="DG144" s="69" t="str">
        <f aca="false">IF($E144="","",IF($M144,IF(AND($G144&gt;=DG$5,$G144&lt;DG$5+GanttPeriod),"◆",IF(AND($E144&gt;=DG$5,$E144&lt;DG$5+GanttPeriod),"◇","")),IF(AND(DG$5&lt;=$F144,DG$5+GanttPeriod-1&gt;=$E144),"━","")))</f>
        <v/>
      </c>
      <c r="DH144" s="69" t="str">
        <f aca="false">IF($E144="","",IF($M144,IF(AND($G144&gt;=DH$5,$G144&lt;DH$5+GanttPeriod),"◆",IF(AND($E144&gt;=DH$5,$E144&lt;DH$5+GanttPeriod),"◇","")),IF(AND(DH$5&lt;=$F144,DH$5+GanttPeriod-1&gt;=$E144),"━","")))</f>
        <v/>
      </c>
      <c r="DI144" s="69" t="str">
        <f aca="false">IF($E144="","",IF($M144,IF(AND($G144&gt;=DI$5,$G144&lt;DI$5+GanttPeriod),"◆",IF(AND($E144&gt;=DI$5,$E144&lt;DI$5+GanttPeriod),"◇","")),IF(AND(DI$5&lt;=$F144,DI$5+GanttPeriod-1&gt;=$E144),"━","")))</f>
        <v/>
      </c>
      <c r="DJ144" s="69" t="str">
        <f aca="false">IF($E144="","",IF($M144,IF(AND($G144&gt;=DJ$5,$G144&lt;DJ$5+GanttPeriod),"◆",IF(AND($E144&gt;=DJ$5,$E144&lt;DJ$5+GanttPeriod),"◇","")),IF(AND(DJ$5&lt;=$F144,DJ$5+GanttPeriod-1&gt;=$E144),"━","")))</f>
        <v/>
      </c>
      <c r="DK144" s="69" t="str">
        <f aca="false">IF($E144="","",IF($M144,IF(AND($G144&gt;=DK$5,$G144&lt;DK$5+GanttPeriod),"◆",IF(AND($E144&gt;=DK$5,$E144&lt;DK$5+GanttPeriod),"◇","")),IF(AND(DK$5&lt;=$F144,DK$5+GanttPeriod-1&gt;=$E144),"━","")))</f>
        <v/>
      </c>
      <c r="DL144" s="69" t="str">
        <f aca="false">IF($E144="","",IF($M144,IF(AND($G144&gt;=DL$5,$G144&lt;DL$5+GanttPeriod),"◆",IF(AND($E144&gt;=DL$5,$E144&lt;DL$5+GanttPeriod),"◇","")),IF(AND(DL$5&lt;=$F144,DL$5+GanttPeriod-1&gt;=$E144),"━","")))</f>
        <v/>
      </c>
      <c r="DM144" s="69" t="str">
        <f aca="false">IF($E144="","",IF($M144,IF(AND($G144&gt;=DM$5,$G144&lt;DM$5+GanttPeriod),"◆",IF(AND($E144&gt;=DM$5,$E144&lt;DM$5+GanttPeriod),"◇","")),IF(AND(DM$5&lt;=$F144,DM$5+GanttPeriod-1&gt;=$E144),"━","")))</f>
        <v/>
      </c>
      <c r="DN144" s="69" t="str">
        <f aca="false">IF($E144="","",IF($M144,IF(AND($G144&gt;=DN$5,$G144&lt;DN$5+GanttPeriod),"◆",IF(AND($E144&gt;=DN$5,$E144&lt;DN$5+GanttPeriod),"◇","")),IF(AND(DN$5&lt;=$F144,DN$5+GanttPeriod-1&gt;=$E144),"━","")))</f>
        <v/>
      </c>
      <c r="DO144" s="69" t="str">
        <f aca="false">IF($E144="","",IF($M144,IF(AND($G144&gt;=DO$5,$G144&lt;DO$5+GanttPeriod),"◆",IF(AND($E144&gt;=DO$5,$E144&lt;DO$5+GanttPeriod),"◇","")),IF(AND(DO$5&lt;=$F144,DO$5+GanttPeriod-1&gt;=$E144),"━","")))</f>
        <v/>
      </c>
      <c r="DP144" s="69" t="str">
        <f aca="false">IF($E144="","",IF($M144,IF(AND($G144&gt;=DP$5,$G144&lt;DP$5+GanttPeriod),"◆",IF(AND($E144&gt;=DP$5,$E144&lt;DP$5+GanttPeriod),"◇","")),IF(AND(DP$5&lt;=$F144,DP$5+GanttPeriod-1&gt;=$E144),"━","")))</f>
        <v/>
      </c>
      <c r="DQ144" s="69" t="str">
        <f aca="false">IF($E144="","",IF($M144,IF(AND($G144&gt;=DQ$5,$G144&lt;DQ$5+GanttPeriod),"◆",IF(AND($E144&gt;=DQ$5,$E144&lt;DQ$5+GanttPeriod),"◇","")),IF(AND(DQ$5&lt;=$F144,DQ$5+GanttPeriod-1&gt;=$E144),"━","")))</f>
        <v/>
      </c>
      <c r="DR144" s="69" t="str">
        <f aca="false">IF($E144="","",IF($M144,IF(AND($G144&gt;=DR$5,$G144&lt;DR$5+GanttPeriod),"◆",IF(AND($E144&gt;=DR$5,$E144&lt;DR$5+GanttPeriod),"◇","")),IF(AND(DR$5&lt;=$F144,DR$5+GanttPeriod-1&gt;=$E144),"━","")))</f>
        <v/>
      </c>
      <c r="DS144" s="69" t="str">
        <f aca="false">IF($E144="","",IF($M144,IF(AND($G144&gt;=DS$5,$G144&lt;DS$5+GanttPeriod),"◆",IF(AND($E144&gt;=DS$5,$E144&lt;DS$5+GanttPeriod),"◇","")),IF(AND(DS$5&lt;=$F144,DS$5+GanttPeriod-1&gt;=$E144),"━","")))</f>
        <v/>
      </c>
      <c r="DT144" s="69" t="str">
        <f aca="false">IF($E144="","",IF($M144,IF(AND($G144&gt;=DT$5,$G144&lt;DT$5+GanttPeriod),"◆",IF(AND($E144&gt;=DT$5,$E144&lt;DT$5+GanttPeriod),"◇","")),IF(AND(DT$5&lt;=$F144,DT$5+GanttPeriod-1&gt;=$E144),"━","")))</f>
        <v/>
      </c>
      <c r="DU144" s="69" t="str">
        <f aca="false">IF($E144="","",IF($M144,IF(AND($G144&gt;=DU$5,$G144&lt;DU$5+GanttPeriod),"◆",IF(AND($E144&gt;=DU$5,$E144&lt;DU$5+GanttPeriod),"◇","")),IF(AND(DU$5&lt;=$F144,DU$5+GanttPeriod-1&gt;=$E144),"━","")))</f>
        <v/>
      </c>
      <c r="DV144" s="69" t="str">
        <f aca="false">IF($E144="","",IF($M144,IF(AND($G144&gt;=DV$5,$G144&lt;DV$5+GanttPeriod),"◆",IF(AND($E144&gt;=DV$5,$E144&lt;DV$5+GanttPeriod),"◇","")),IF(AND(DV$5&lt;=$F144,DV$5+GanttPeriod-1&gt;=$E144),"━","")))</f>
        <v/>
      </c>
      <c r="DW144" s="69" t="str">
        <f aca="false">IF($E144="","",IF($M144,IF(AND($G144&gt;=DW$5,$G144&lt;DW$5+GanttPeriod),"◆",IF(AND($E144&gt;=DW$5,$E144&lt;DW$5+GanttPeriod),"◇","")),IF(AND(DW$5&lt;=$F144,DW$5+GanttPeriod-1&gt;=$E144),"━","")))</f>
        <v/>
      </c>
      <c r="DX144" s="69" t="str">
        <f aca="false">IF($E144="","",IF($M144,IF(AND($G144&gt;=DX$5,$G144&lt;DX$5+GanttPeriod),"◆",IF(AND($E144&gt;=DX$5,$E144&lt;DX$5+GanttPeriod),"◇","")),IF(AND(DX$5&lt;=$F144,DX$5+GanttPeriod-1&gt;=$E144),"━","")))</f>
        <v/>
      </c>
      <c r="DY144" s="69" t="str">
        <f aca="false">IF($E144="","",IF($M144,IF(AND($G144&gt;=DY$5,$G144&lt;DY$5+GanttPeriod),"◆",IF(AND($E144&gt;=DY$5,$E144&lt;DY$5+GanttPeriod),"◇","")),IF(AND(DY$5&lt;=$F144,DY$5+GanttPeriod-1&gt;=$E144),"━","")))</f>
        <v/>
      </c>
      <c r="DZ144" s="69" t="str">
        <f aca="false">IF($E144="","",IF($M144,IF(AND($G144&gt;=DZ$5,$G144&lt;DZ$5+GanttPeriod),"◆",IF(AND($E144&gt;=DZ$5,$E144&lt;DZ$5+GanttPeriod),"◇","")),IF(AND(DZ$5&lt;=$F144,DZ$5+GanttPeriod-1&gt;=$E144),"━","")))</f>
        <v/>
      </c>
      <c r="EA144" s="69" t="str">
        <f aca="false">IF($E144="","",IF($M144,IF(AND($G144&gt;=EA$5,$G144&lt;EA$5+GanttPeriod),"◆",IF(AND($E144&gt;=EA$5,$E144&lt;EA$5+GanttPeriod),"◇","")),IF(AND(EA$5&lt;=$F144,EA$5+GanttPeriod-1&gt;=$E144),"━","")))</f>
        <v/>
      </c>
      <c r="EB144" s="69" t="str">
        <f aca="false">IF($E144="","",IF($M144,IF(AND($G144&gt;=EB$5,$G144&lt;EB$5+GanttPeriod),"◆",IF(AND($E144&gt;=EB$5,$E144&lt;EB$5+GanttPeriod),"◇","")),IF(AND(EB$5&lt;=$F144,EB$5+GanttPeriod-1&gt;=$E144),"━","")))</f>
        <v/>
      </c>
      <c r="EC144" s="69" t="str">
        <f aca="false">IF($E144="","",IF($M144,IF(AND($G144&gt;=EC$5,$G144&lt;EC$5+GanttPeriod),"◆",IF(AND($E144&gt;=EC$5,$E144&lt;EC$5+GanttPeriod),"◇","")),IF(AND(EC$5&lt;=$F144,EC$5+GanttPeriod-1&gt;=$E144),"━","")))</f>
        <v/>
      </c>
      <c r="ED144" s="69" t="str">
        <f aca="false">IF($E144="","",IF($M144,IF(AND($G144&gt;=ED$5,$G144&lt;ED$5+GanttPeriod),"◆",IF(AND($E144&gt;=ED$5,$E144&lt;ED$5+GanttPeriod),"◇","")),IF(AND(ED$5&lt;=$F144,ED$5+GanttPeriod-1&gt;=$E144),"━","")))</f>
        <v/>
      </c>
      <c r="EE144" s="69" t="str">
        <f aca="false">IF($E144="","",IF($M144,IF(AND($G144&gt;=EE$5,$G144&lt;EE$5+GanttPeriod),"◆",IF(AND($E144&gt;=EE$5,$E144&lt;EE$5+GanttPeriod),"◇","")),IF(AND(EE$5&lt;=$F144,EE$5+GanttPeriod-1&gt;=$E144),"━","")))</f>
        <v/>
      </c>
      <c r="EF144" s="69" t="str">
        <f aca="false">IF($E144="","",IF($M144,IF(AND($G144&gt;=EF$5,$G144&lt;EF$5+GanttPeriod),"◆",IF(AND($E144&gt;=EF$5,$E144&lt;EF$5+GanttPeriod),"◇","")),IF(AND(EF$5&lt;=$F144,EF$5+GanttPeriod-1&gt;=$E144),"━","")))</f>
        <v/>
      </c>
      <c r="EG144" s="69" t="str">
        <f aca="false">IF($E144="","",IF($M144,IF(AND($G144&gt;=EG$5,$G144&lt;EG$5+GanttPeriod),"◆",IF(AND($E144&gt;=EG$5,$E144&lt;EG$5+GanttPeriod),"◇","")),IF(AND(EG$5&lt;=$F144,EG$5+GanttPeriod-1&gt;=$E144),"━","")))</f>
        <v/>
      </c>
      <c r="EH144" s="69" t="str">
        <f aca="false">IF($E144="","",IF($M144,IF(AND($G144&gt;=EH$5,$G144&lt;EH$5+GanttPeriod),"◆",IF(AND($E144&gt;=EH$5,$E144&lt;EH$5+GanttPeriod),"◇","")),IF(AND(EH$5&lt;=$F144,EH$5+GanttPeriod-1&gt;=$E144),"━","")))</f>
        <v/>
      </c>
      <c r="EI144" s="69" t="str">
        <f aca="false">IF($E144="","",IF($M144,IF(AND($G144&gt;=EI$5,$G144&lt;EI$5+GanttPeriod),"◆",IF(AND($E144&gt;=EI$5,$E144&lt;EI$5+GanttPeriod),"◇","")),IF(AND(EI$5&lt;=$F144,EI$5+GanttPeriod-1&gt;=$E144),"━","")))</f>
        <v/>
      </c>
      <c r="EJ144" s="69" t="str">
        <f aca="false">IF($E144="","",IF($M144,IF(AND($G144&gt;=EJ$5,$G144&lt;EJ$5+GanttPeriod),"◆",IF(AND($E144&gt;=EJ$5,$E144&lt;EJ$5+GanttPeriod),"◇","")),IF(AND(EJ$5&lt;=$F144,EJ$5+GanttPeriod-1&gt;=$E144),"━","")))</f>
        <v/>
      </c>
      <c r="EK144" s="69" t="str">
        <f aca="false">IF($E144="","",IF($M144,IF(AND($G144&gt;=EK$5,$G144&lt;EK$5+GanttPeriod),"◆",IF(AND($E144&gt;=EK$5,$E144&lt;EK$5+GanttPeriod),"◇","")),IF(AND(EK$5&lt;=$F144,EK$5+GanttPeriod-1&gt;=$E144),"━","")))</f>
        <v/>
      </c>
      <c r="EL144" s="69" t="str">
        <f aca="false">IF($E144="","",IF($M144,IF(AND($G144&gt;=EL$5,$G144&lt;EL$5+GanttPeriod),"◆",IF(AND($E144&gt;=EL$5,$E144&lt;EL$5+GanttPeriod),"◇","")),IF(AND(EL$5&lt;=$F144,EL$5+GanttPeriod-1&gt;=$E144),"━","")))</f>
        <v/>
      </c>
      <c r="EM144" s="69" t="str">
        <f aca="false">IF($E144="","",IF($M144,IF(AND($G144&gt;=EM$5,$G144&lt;EM$5+GanttPeriod),"◆",IF(AND($E144&gt;=EM$5,$E144&lt;EM$5+GanttPeriod),"◇","")),IF(AND(EM$5&lt;=$F144,EM$5+GanttPeriod-1&gt;=$E144),"━","")))</f>
        <v/>
      </c>
      <c r="EN144" s="69" t="str">
        <f aca="false">IF($E144="","",IF($M144,IF(AND($G144&gt;=EN$5,$G144&lt;EN$5+GanttPeriod),"◆",IF(AND($E144&gt;=EN$5,$E144&lt;EN$5+GanttPeriod),"◇","")),IF(AND(EN$5&lt;=$F144,EN$5+GanttPeriod-1&gt;=$E144),"━","")))</f>
        <v/>
      </c>
      <c r="EO144" s="69" t="str">
        <f aca="false">IF($E144="","",IF($M144,IF(AND($G144&gt;=EO$5,$G144&lt;EO$5+GanttPeriod),"◆",IF(AND($E144&gt;=EO$5,$E144&lt;EO$5+GanttPeriod),"◇","")),IF(AND(EO$5&lt;=$F144,EO$5+GanttPeriod-1&gt;=$E144),"━","")))</f>
        <v/>
      </c>
      <c r="EP144" s="69" t="str">
        <f aca="false">IF($E144="","",IF($M144,IF(AND($G144&gt;=EP$5,$G144&lt;EP$5+GanttPeriod),"◆",IF(AND($E144&gt;=EP$5,$E144&lt;EP$5+GanttPeriod),"◇","")),IF(AND(EP$5&lt;=$F144,EP$5+GanttPeriod-1&gt;=$E144),"━","")))</f>
        <v/>
      </c>
      <c r="EQ144" s="69" t="str">
        <f aca="false">IF($E144="","",IF($M144,IF(AND($G144&gt;=EQ$5,$G144&lt;EQ$5+GanttPeriod),"◆",IF(AND($E144&gt;=EQ$5,$E144&lt;EQ$5+GanttPeriod),"◇","")),IF(AND(EQ$5&lt;=$F144,EQ$5+GanttPeriod-1&gt;=$E144),"━","")))</f>
        <v/>
      </c>
      <c r="ER144" s="69" t="str">
        <f aca="false">IF($E144="","",IF($M144,IF(AND($G144&gt;=ER$5,$G144&lt;ER$5+GanttPeriod),"◆",IF(AND($E144&gt;=ER$5,$E144&lt;ER$5+GanttPeriod),"◇","")),IF(AND(ER$5&lt;=$F144,ER$5+GanttPeriod-1&gt;=$E144),"━","")))</f>
        <v/>
      </c>
      <c r="ES144" s="69" t="str">
        <f aca="false">IF($E144="","",IF($M144,IF(AND($G144&gt;=ES$5,$G144&lt;ES$5+GanttPeriod),"◆",IF(AND($E144&gt;=ES$5,$E144&lt;ES$5+GanttPeriod),"◇","")),IF(AND(ES$5&lt;=$F144,ES$5+GanttPeriod-1&gt;=$E144),"━","")))</f>
        <v/>
      </c>
      <c r="ET144" s="69" t="str">
        <f aca="false">IF($E144="","",IF($M144,IF(AND($G144&gt;=ET$5,$G144&lt;ET$5+GanttPeriod),"◆",IF(AND($E144&gt;=ET$5,$E144&lt;ET$5+GanttPeriod),"◇","")),IF(AND(ET$5&lt;=$F144,ET$5+GanttPeriod-1&gt;=$E144),"━","")))</f>
        <v/>
      </c>
      <c r="EU144" s="69" t="str">
        <f aca="false">IF($E144="","",IF($M144,IF(AND($G144&gt;=EU$5,$G144&lt;EU$5+GanttPeriod),"◆",IF(AND($E144&gt;=EU$5,$E144&lt;EU$5+GanttPeriod),"◇","")),IF(AND(EU$5&lt;=$F144,EU$5+GanttPeriod-1&gt;=$E144),"━","")))</f>
        <v/>
      </c>
      <c r="EV144" s="69" t="str">
        <f aca="false">IF($E144="","",IF($M144,IF(AND($G144&gt;=EV$5,$G144&lt;EV$5+GanttPeriod),"◆",IF(AND($E144&gt;=EV$5,$E144&lt;EV$5+GanttPeriod),"◇","")),IF(AND(EV$5&lt;=$F144,EV$5+GanttPeriod-1&gt;=$E144),"━","")))</f>
        <v/>
      </c>
      <c r="EW144" s="69" t="str">
        <f aca="false">IF($E144="","",IF($M144,IF(AND($G144&gt;=EW$5,$G144&lt;EW$5+GanttPeriod),"◆",IF(AND($E144&gt;=EW$5,$E144&lt;EW$5+GanttPeriod),"◇","")),IF(AND(EW$5&lt;=$F144,EW$5+GanttPeriod-1&gt;=$E144),"━","")))</f>
        <v/>
      </c>
      <c r="EX144" s="69" t="str">
        <f aca="false">IF($E144="","",IF($M144,IF(AND($G144&gt;=EX$5,$G144&lt;EX$5+GanttPeriod),"◆",IF(AND($E144&gt;=EX$5,$E144&lt;EX$5+GanttPeriod),"◇","")),IF(AND(EX$5&lt;=$F144,EX$5+GanttPeriod-1&gt;=$E144),"━","")))</f>
        <v/>
      </c>
      <c r="EY144" s="69" t="str">
        <f aca="false">IF($E144="","",IF($M144,IF(AND($G144&gt;=EY$5,$G144&lt;EY$5+GanttPeriod),"◆",IF(AND($E144&gt;=EY$5,$E144&lt;EY$5+GanttPeriod),"◇","")),IF(AND(EY$5&lt;=$F144,EY$5+GanttPeriod-1&gt;=$E144),"━","")))</f>
        <v/>
      </c>
      <c r="EZ144" s="69" t="str">
        <f aca="false">IF($E144="","",IF($M144,IF(AND($G144&gt;=EZ$5,$G144&lt;EZ$5+GanttPeriod),"◆",IF(AND($E144&gt;=EZ$5,$E144&lt;EZ$5+GanttPeriod),"◇","")),IF(AND(EZ$5&lt;=$F144,EZ$5+GanttPeriod-1&gt;=$E144),"━","")))</f>
        <v/>
      </c>
      <c r="FA144" s="69" t="str">
        <f aca="false">IF($E144="","",IF($M144,IF(AND($G144&gt;=FA$5,$G144&lt;FA$5+GanttPeriod),"◆",IF(AND($E144&gt;=FA$5,$E144&lt;FA$5+GanttPeriod),"◇","")),IF(AND(FA$5&lt;=$F144,FA$5+GanttPeriod-1&gt;=$E144),"━","")))</f>
        <v/>
      </c>
      <c r="FB144" s="69" t="str">
        <f aca="false">IF($E144="","",IF($M144,IF(AND($G144&gt;=FB$5,$G144&lt;FB$5+GanttPeriod),"◆",IF(AND($E144&gt;=FB$5,$E144&lt;FB$5+GanttPeriod),"◇","")),IF(AND(FB$5&lt;=$F144,FB$5+GanttPeriod-1&gt;=$E144),"━","")))</f>
        <v/>
      </c>
      <c r="FC144" s="69" t="str">
        <f aca="false">IF($E144="","",IF($M144,IF(AND($G144&gt;=FC$5,$G144&lt;FC$5+GanttPeriod),"◆",IF(AND($E144&gt;=FC$5,$E144&lt;FC$5+GanttPeriod),"◇","")),IF(AND(FC$5&lt;=$F144,FC$5+GanttPeriod-1&gt;=$E144),"━","")))</f>
        <v/>
      </c>
      <c r="FD144" s="69" t="str">
        <f aca="false">IF($E144="","",IF($M144,IF(AND($G144&gt;=FD$5,$G144&lt;FD$5+GanttPeriod),"◆",IF(AND($E144&gt;=FD$5,$E144&lt;FD$5+GanttPeriod),"◇","")),IF(AND(FD$5&lt;=$F144,FD$5+GanttPeriod-1&gt;=$E144),"━","")))</f>
        <v/>
      </c>
      <c r="FE144" s="69" t="str">
        <f aca="false">IF($E144="","",IF($M144,IF(AND($G144&gt;=FE$5,$G144&lt;FE$5+GanttPeriod),"◆",IF(AND($E144&gt;=FE$5,$E144&lt;FE$5+GanttPeriod),"◇","")),IF(AND(FE$5&lt;=$F144,FE$5+GanttPeriod-1&gt;=$E144),"━","")))</f>
        <v/>
      </c>
      <c r="FF144" s="69" t="str">
        <f aca="false">IF($E144="","",IF($M144,IF(AND($G144&gt;=FF$5,$G144&lt;FF$5+GanttPeriod),"◆",IF(AND($E144&gt;=FF$5,$E144&lt;FF$5+GanttPeriod),"◇","")),IF(AND(FF$5&lt;=$F144,FF$5+GanttPeriod-1&gt;=$E144),"━","")))</f>
        <v/>
      </c>
      <c r="FG144" s="69" t="str">
        <f aca="false">IF($E144="","",IF($M144,IF(AND($G144&gt;=FG$5,$G144&lt;FG$5+GanttPeriod),"◆",IF(AND($E144&gt;=FG$5,$E144&lt;FG$5+GanttPeriod),"◇","")),IF(AND(FG$5&lt;=$F144,FG$5+GanttPeriod-1&gt;=$E144),"━","")))</f>
        <v/>
      </c>
      <c r="FH144" s="69" t="str">
        <f aca="false">IF($E144="","",IF($M144,IF(AND($G144&gt;=FH$5,$G144&lt;FH$5+GanttPeriod),"◆",IF(AND($E144&gt;=FH$5,$E144&lt;FH$5+GanttPeriod),"◇","")),IF(AND(FH$5&lt;=$F144,FH$5+GanttPeriod-1&gt;=$E144),"━","")))</f>
        <v/>
      </c>
      <c r="FI144" s="69" t="str">
        <f aca="false">IF($E144="","",IF($M144,IF(AND($G144&gt;=FI$5,$G144&lt;FI$5+GanttPeriod),"◆",IF(AND($E144&gt;=FI$5,$E144&lt;FI$5+GanttPeriod),"◇","")),IF(AND(FI$5&lt;=$F144,FI$5+GanttPeriod-1&gt;=$E144),"━","")))</f>
        <v/>
      </c>
      <c r="FJ144" s="69" t="str">
        <f aca="false">IF($E144="","",IF($M144,IF(AND($G144&gt;=FJ$5,$G144&lt;FJ$5+GanttPeriod),"◆",IF(AND($E144&gt;=FJ$5,$E144&lt;FJ$5+GanttPeriod),"◇","")),IF(AND(FJ$5&lt;=$F144,FJ$5+GanttPeriod-1&gt;=$E144),"━","")))</f>
        <v/>
      </c>
      <c r="FK144" s="69" t="str">
        <f aca="false">IF($E144="","",IF($M144,IF(AND($G144&gt;=FK$5,$G144&lt;FK$5+GanttPeriod),"◆",IF(AND($E144&gt;=FK$5,$E144&lt;FK$5+GanttPeriod),"◇","")),IF(AND(FK$5&lt;=$F144,FK$5+GanttPeriod-1&gt;=$E144),"━","")))</f>
        <v/>
      </c>
      <c r="FL144" s="69" t="str">
        <f aca="false">IF($E144="","",IF($M144,IF(AND($G144&gt;=FL$5,$G144&lt;FL$5+GanttPeriod),"◆",IF(AND($E144&gt;=FL$5,$E144&lt;FL$5+GanttPeriod),"◇","")),IF(AND(FL$5&lt;=$F144,FL$5+GanttPeriod-1&gt;=$E144),"━","")))</f>
        <v/>
      </c>
      <c r="FM144" s="69" t="str">
        <f aca="false">IF($E144="","",IF($M144,IF(AND($G144&gt;=FM$5,$G144&lt;FM$5+GanttPeriod),"◆",IF(AND($E144&gt;=FM$5,$E144&lt;FM$5+GanttPeriod),"◇","")),IF(AND(FM$5&lt;=$F144,FM$5+GanttPeriod-1&gt;=$E144),"━","")))</f>
        <v/>
      </c>
    </row>
    <row r="145" customFormat="false" ht="15" hidden="false" customHeight="false" outlineLevel="0" collapsed="false">
      <c r="A145" s="62" t="str">
        <f aca="false">IF(Tasks!$D145="","",Tasks!$A145)</f>
        <v/>
      </c>
      <c r="B145" s="62" t="str">
        <f aca="false">IF(Tasks!$D145="","",Tasks!$B145)</f>
        <v/>
      </c>
      <c r="C145" s="63" t="str">
        <f aca="false">IF(Tasks!$D145="","",REPT("    ",Tasks!$AE145-1)&amp;Tasks!$D145)</f>
        <v/>
      </c>
      <c r="D145" s="62" t="str">
        <f aca="false">IF(Tasks!$D145="","",IF(Tasks!$AI145,NETWORKDAYS.INTL(Tasks!$R145,Tasks!$S145,WorkWeek,Holidays),N(Tasks!$F145)))</f>
        <v/>
      </c>
      <c r="E145" s="64" t="str">
        <f aca="false">IF(Tasks!$D145="","",Tasks!$N145)</f>
        <v/>
      </c>
      <c r="F145" s="64" t="str">
        <f aca="false">IF(Tasks!$D145="","",Tasks!$O145)</f>
        <v/>
      </c>
      <c r="G145" s="64" t="str">
        <f aca="false">IF(Tasks!$D145="","",Tasks!$R145)</f>
        <v/>
      </c>
      <c r="H145" s="64" t="str">
        <f aca="false">IF(Tasks!$D145="","",Tasks!$S145)</f>
        <v/>
      </c>
      <c r="I145" s="65" t="str">
        <f aca="false">IF(Tasks!$D145="","",Tasks!$V145)</f>
        <v/>
      </c>
      <c r="J145" s="63" t="str">
        <f aca="false">IF(Tasks!$D145="","",Tasks!$X145&amp;"")</f>
        <v/>
      </c>
      <c r="K145" s="66" t="str">
        <f aca="false">IF(Tasks!$D145="","",Tasks!$W145)</f>
        <v/>
      </c>
      <c r="L145" s="67" t="b">
        <f aca="false">IF(Tasks!$D145="",FALSE(),Tasks!$AI145)</f>
        <v>0</v>
      </c>
      <c r="M145" s="67" t="b">
        <f aca="false">AND(Tasks!$AJ145=1,N(Tasks!$F145)=0)</f>
        <v>0</v>
      </c>
      <c r="N145" s="68" t="n">
        <f aca="false">IF(AND(Tasks!$AJ145=1,NOT($M145),N($I145)&gt;0),$G145,0)</f>
        <v>0</v>
      </c>
      <c r="O145" s="68" t="n">
        <f aca="false">IF($N145=0,0,IF($I145&gt;=1,$H145,MAX($N145,$G145+ROUND(($H145-$G145+1)*$I145,0)-1)))</f>
        <v>0</v>
      </c>
      <c r="P145" s="68" t="n">
        <f aca="false">IF(OR(Tasks!$AJ145&lt;&gt;1,$M145,N($I145)&gt;=1),0,IF($O145&gt;0,$O145+1,$G145))</f>
        <v>0</v>
      </c>
      <c r="Q145" s="68" t="n">
        <f aca="false">IF($P145=0,0,$H145)</f>
        <v>0</v>
      </c>
      <c r="R145" s="67" t="b">
        <f aca="false">AND(Tasks!$D145&lt;&gt;"",N(Tasks!$T145)&gt;0)</f>
        <v>0</v>
      </c>
      <c r="T145" s="69" t="str">
        <f aca="false">IF($E145="","",IF($M145,IF(AND($G145&gt;=T$5,$G145&lt;T$5+GanttPeriod),"◆",IF(AND($E145&gt;=T$5,$E145&lt;T$5+GanttPeriod),"◇","")),IF(AND(T$5&lt;=$F145,T$5+GanttPeriod-1&gt;=$E145),"━","")))</f>
        <v/>
      </c>
      <c r="U145" s="69" t="str">
        <f aca="false">IF($E145="","",IF($M145,IF(AND($G145&gt;=U$5,$G145&lt;U$5+GanttPeriod),"◆",IF(AND($E145&gt;=U$5,$E145&lt;U$5+GanttPeriod),"◇","")),IF(AND(U$5&lt;=$F145,U$5+GanttPeriod-1&gt;=$E145),"━","")))</f>
        <v/>
      </c>
      <c r="V145" s="69" t="str">
        <f aca="false">IF($E145="","",IF($M145,IF(AND($G145&gt;=V$5,$G145&lt;V$5+GanttPeriod),"◆",IF(AND($E145&gt;=V$5,$E145&lt;V$5+GanttPeriod),"◇","")),IF(AND(V$5&lt;=$F145,V$5+GanttPeriod-1&gt;=$E145),"━","")))</f>
        <v/>
      </c>
      <c r="W145" s="69" t="str">
        <f aca="false">IF($E145="","",IF($M145,IF(AND($G145&gt;=W$5,$G145&lt;W$5+GanttPeriod),"◆",IF(AND($E145&gt;=W$5,$E145&lt;W$5+GanttPeriod),"◇","")),IF(AND(W$5&lt;=$F145,W$5+GanttPeriod-1&gt;=$E145),"━","")))</f>
        <v/>
      </c>
      <c r="X145" s="69" t="str">
        <f aca="false">IF($E145="","",IF($M145,IF(AND($G145&gt;=X$5,$G145&lt;X$5+GanttPeriod),"◆",IF(AND($E145&gt;=X$5,$E145&lt;X$5+GanttPeriod),"◇","")),IF(AND(X$5&lt;=$F145,X$5+GanttPeriod-1&gt;=$E145),"━","")))</f>
        <v/>
      </c>
      <c r="Y145" s="69" t="str">
        <f aca="false">IF($E145="","",IF($M145,IF(AND($G145&gt;=Y$5,$G145&lt;Y$5+GanttPeriod),"◆",IF(AND($E145&gt;=Y$5,$E145&lt;Y$5+GanttPeriod),"◇","")),IF(AND(Y$5&lt;=$F145,Y$5+GanttPeriod-1&gt;=$E145),"━","")))</f>
        <v/>
      </c>
      <c r="Z145" s="69" t="str">
        <f aca="false">IF($E145="","",IF($M145,IF(AND($G145&gt;=Z$5,$G145&lt;Z$5+GanttPeriod),"◆",IF(AND($E145&gt;=Z$5,$E145&lt;Z$5+GanttPeriod),"◇","")),IF(AND(Z$5&lt;=$F145,Z$5+GanttPeriod-1&gt;=$E145),"━","")))</f>
        <v/>
      </c>
      <c r="AA145" s="69" t="str">
        <f aca="false">IF($E145="","",IF($M145,IF(AND($G145&gt;=AA$5,$G145&lt;AA$5+GanttPeriod),"◆",IF(AND($E145&gt;=AA$5,$E145&lt;AA$5+GanttPeriod),"◇","")),IF(AND(AA$5&lt;=$F145,AA$5+GanttPeriod-1&gt;=$E145),"━","")))</f>
        <v/>
      </c>
      <c r="AB145" s="69" t="str">
        <f aca="false">IF($E145="","",IF($M145,IF(AND($G145&gt;=AB$5,$G145&lt;AB$5+GanttPeriod),"◆",IF(AND($E145&gt;=AB$5,$E145&lt;AB$5+GanttPeriod),"◇","")),IF(AND(AB$5&lt;=$F145,AB$5+GanttPeriod-1&gt;=$E145),"━","")))</f>
        <v/>
      </c>
      <c r="AC145" s="69" t="str">
        <f aca="false">IF($E145="","",IF($M145,IF(AND($G145&gt;=AC$5,$G145&lt;AC$5+GanttPeriod),"◆",IF(AND($E145&gt;=AC$5,$E145&lt;AC$5+GanttPeriod),"◇","")),IF(AND(AC$5&lt;=$F145,AC$5+GanttPeriod-1&gt;=$E145),"━","")))</f>
        <v/>
      </c>
      <c r="AD145" s="69" t="str">
        <f aca="false">IF($E145="","",IF($M145,IF(AND($G145&gt;=AD$5,$G145&lt;AD$5+GanttPeriod),"◆",IF(AND($E145&gt;=AD$5,$E145&lt;AD$5+GanttPeriod),"◇","")),IF(AND(AD$5&lt;=$F145,AD$5+GanttPeriod-1&gt;=$E145),"━","")))</f>
        <v/>
      </c>
      <c r="AE145" s="69" t="str">
        <f aca="false">IF($E145="","",IF($M145,IF(AND($G145&gt;=AE$5,$G145&lt;AE$5+GanttPeriod),"◆",IF(AND($E145&gt;=AE$5,$E145&lt;AE$5+GanttPeriod),"◇","")),IF(AND(AE$5&lt;=$F145,AE$5+GanttPeriod-1&gt;=$E145),"━","")))</f>
        <v/>
      </c>
      <c r="AF145" s="69" t="str">
        <f aca="false">IF($E145="","",IF($M145,IF(AND($G145&gt;=AF$5,$G145&lt;AF$5+GanttPeriod),"◆",IF(AND($E145&gt;=AF$5,$E145&lt;AF$5+GanttPeriod),"◇","")),IF(AND(AF$5&lt;=$F145,AF$5+GanttPeriod-1&gt;=$E145),"━","")))</f>
        <v/>
      </c>
      <c r="AG145" s="69" t="str">
        <f aca="false">IF($E145="","",IF($M145,IF(AND($G145&gt;=AG$5,$G145&lt;AG$5+GanttPeriod),"◆",IF(AND($E145&gt;=AG$5,$E145&lt;AG$5+GanttPeriod),"◇","")),IF(AND(AG$5&lt;=$F145,AG$5+GanttPeriod-1&gt;=$E145),"━","")))</f>
        <v/>
      </c>
      <c r="AH145" s="69" t="str">
        <f aca="false">IF($E145="","",IF($M145,IF(AND($G145&gt;=AH$5,$G145&lt;AH$5+GanttPeriod),"◆",IF(AND($E145&gt;=AH$5,$E145&lt;AH$5+GanttPeriod),"◇","")),IF(AND(AH$5&lt;=$F145,AH$5+GanttPeriod-1&gt;=$E145),"━","")))</f>
        <v/>
      </c>
      <c r="AI145" s="69" t="str">
        <f aca="false">IF($E145="","",IF($M145,IF(AND($G145&gt;=AI$5,$G145&lt;AI$5+GanttPeriod),"◆",IF(AND($E145&gt;=AI$5,$E145&lt;AI$5+GanttPeriod),"◇","")),IF(AND(AI$5&lt;=$F145,AI$5+GanttPeriod-1&gt;=$E145),"━","")))</f>
        <v/>
      </c>
      <c r="AJ145" s="69" t="str">
        <f aca="false">IF($E145="","",IF($M145,IF(AND($G145&gt;=AJ$5,$G145&lt;AJ$5+GanttPeriod),"◆",IF(AND($E145&gt;=AJ$5,$E145&lt;AJ$5+GanttPeriod),"◇","")),IF(AND(AJ$5&lt;=$F145,AJ$5+GanttPeriod-1&gt;=$E145),"━","")))</f>
        <v/>
      </c>
      <c r="AK145" s="69" t="str">
        <f aca="false">IF($E145="","",IF($M145,IF(AND($G145&gt;=AK$5,$G145&lt;AK$5+GanttPeriod),"◆",IF(AND($E145&gt;=AK$5,$E145&lt;AK$5+GanttPeriod),"◇","")),IF(AND(AK$5&lt;=$F145,AK$5+GanttPeriod-1&gt;=$E145),"━","")))</f>
        <v/>
      </c>
      <c r="AL145" s="69" t="str">
        <f aca="false">IF($E145="","",IF($M145,IF(AND($G145&gt;=AL$5,$G145&lt;AL$5+GanttPeriod),"◆",IF(AND($E145&gt;=AL$5,$E145&lt;AL$5+GanttPeriod),"◇","")),IF(AND(AL$5&lt;=$F145,AL$5+GanttPeriod-1&gt;=$E145),"━","")))</f>
        <v/>
      </c>
      <c r="AM145" s="69" t="str">
        <f aca="false">IF($E145="","",IF($M145,IF(AND($G145&gt;=AM$5,$G145&lt;AM$5+GanttPeriod),"◆",IF(AND($E145&gt;=AM$5,$E145&lt;AM$5+GanttPeriod),"◇","")),IF(AND(AM$5&lt;=$F145,AM$5+GanttPeriod-1&gt;=$E145),"━","")))</f>
        <v/>
      </c>
      <c r="AN145" s="69" t="str">
        <f aca="false">IF($E145="","",IF($M145,IF(AND($G145&gt;=AN$5,$G145&lt;AN$5+GanttPeriod),"◆",IF(AND($E145&gt;=AN$5,$E145&lt;AN$5+GanttPeriod),"◇","")),IF(AND(AN$5&lt;=$F145,AN$5+GanttPeriod-1&gt;=$E145),"━","")))</f>
        <v/>
      </c>
      <c r="AO145" s="69" t="str">
        <f aca="false">IF($E145="","",IF($M145,IF(AND($G145&gt;=AO$5,$G145&lt;AO$5+GanttPeriod),"◆",IF(AND($E145&gt;=AO$5,$E145&lt;AO$5+GanttPeriod),"◇","")),IF(AND(AO$5&lt;=$F145,AO$5+GanttPeriod-1&gt;=$E145),"━","")))</f>
        <v/>
      </c>
      <c r="AP145" s="69" t="str">
        <f aca="false">IF($E145="","",IF($M145,IF(AND($G145&gt;=AP$5,$G145&lt;AP$5+GanttPeriod),"◆",IF(AND($E145&gt;=AP$5,$E145&lt;AP$5+GanttPeriod),"◇","")),IF(AND(AP$5&lt;=$F145,AP$5+GanttPeriod-1&gt;=$E145),"━","")))</f>
        <v/>
      </c>
      <c r="AQ145" s="69" t="str">
        <f aca="false">IF($E145="","",IF($M145,IF(AND($G145&gt;=AQ$5,$G145&lt;AQ$5+GanttPeriod),"◆",IF(AND($E145&gt;=AQ$5,$E145&lt;AQ$5+GanttPeriod),"◇","")),IF(AND(AQ$5&lt;=$F145,AQ$5+GanttPeriod-1&gt;=$E145),"━","")))</f>
        <v/>
      </c>
      <c r="AR145" s="69" t="str">
        <f aca="false">IF($E145="","",IF($M145,IF(AND($G145&gt;=AR$5,$G145&lt;AR$5+GanttPeriod),"◆",IF(AND($E145&gt;=AR$5,$E145&lt;AR$5+GanttPeriod),"◇","")),IF(AND(AR$5&lt;=$F145,AR$5+GanttPeriod-1&gt;=$E145),"━","")))</f>
        <v/>
      </c>
      <c r="AS145" s="69" t="str">
        <f aca="false">IF($E145="","",IF($M145,IF(AND($G145&gt;=AS$5,$G145&lt;AS$5+GanttPeriod),"◆",IF(AND($E145&gt;=AS$5,$E145&lt;AS$5+GanttPeriod),"◇","")),IF(AND(AS$5&lt;=$F145,AS$5+GanttPeriod-1&gt;=$E145),"━","")))</f>
        <v/>
      </c>
      <c r="AT145" s="69" t="str">
        <f aca="false">IF($E145="","",IF($M145,IF(AND($G145&gt;=AT$5,$G145&lt;AT$5+GanttPeriod),"◆",IF(AND($E145&gt;=AT$5,$E145&lt;AT$5+GanttPeriod),"◇","")),IF(AND(AT$5&lt;=$F145,AT$5+GanttPeriod-1&gt;=$E145),"━","")))</f>
        <v/>
      </c>
      <c r="AU145" s="69" t="str">
        <f aca="false">IF($E145="","",IF($M145,IF(AND($G145&gt;=AU$5,$G145&lt;AU$5+GanttPeriod),"◆",IF(AND($E145&gt;=AU$5,$E145&lt;AU$5+GanttPeriod),"◇","")),IF(AND(AU$5&lt;=$F145,AU$5+GanttPeriod-1&gt;=$E145),"━","")))</f>
        <v/>
      </c>
      <c r="AV145" s="69" t="str">
        <f aca="false">IF($E145="","",IF($M145,IF(AND($G145&gt;=AV$5,$G145&lt;AV$5+GanttPeriod),"◆",IF(AND($E145&gt;=AV$5,$E145&lt;AV$5+GanttPeriod),"◇","")),IF(AND(AV$5&lt;=$F145,AV$5+GanttPeriod-1&gt;=$E145),"━","")))</f>
        <v/>
      </c>
      <c r="AW145" s="69" t="str">
        <f aca="false">IF($E145="","",IF($M145,IF(AND($G145&gt;=AW$5,$G145&lt;AW$5+GanttPeriod),"◆",IF(AND($E145&gt;=AW$5,$E145&lt;AW$5+GanttPeriod),"◇","")),IF(AND(AW$5&lt;=$F145,AW$5+GanttPeriod-1&gt;=$E145),"━","")))</f>
        <v/>
      </c>
      <c r="AX145" s="69" t="str">
        <f aca="false">IF($E145="","",IF($M145,IF(AND($G145&gt;=AX$5,$G145&lt;AX$5+GanttPeriod),"◆",IF(AND($E145&gt;=AX$5,$E145&lt;AX$5+GanttPeriod),"◇","")),IF(AND(AX$5&lt;=$F145,AX$5+GanttPeriod-1&gt;=$E145),"━","")))</f>
        <v/>
      </c>
      <c r="AY145" s="69" t="str">
        <f aca="false">IF($E145="","",IF($M145,IF(AND($G145&gt;=AY$5,$G145&lt;AY$5+GanttPeriod),"◆",IF(AND($E145&gt;=AY$5,$E145&lt;AY$5+GanttPeriod),"◇","")),IF(AND(AY$5&lt;=$F145,AY$5+GanttPeriod-1&gt;=$E145),"━","")))</f>
        <v/>
      </c>
      <c r="AZ145" s="69" t="str">
        <f aca="false">IF($E145="","",IF($M145,IF(AND($G145&gt;=AZ$5,$G145&lt;AZ$5+GanttPeriod),"◆",IF(AND($E145&gt;=AZ$5,$E145&lt;AZ$5+GanttPeriod),"◇","")),IF(AND(AZ$5&lt;=$F145,AZ$5+GanttPeriod-1&gt;=$E145),"━","")))</f>
        <v/>
      </c>
      <c r="BA145" s="69" t="str">
        <f aca="false">IF($E145="","",IF($M145,IF(AND($G145&gt;=BA$5,$G145&lt;BA$5+GanttPeriod),"◆",IF(AND($E145&gt;=BA$5,$E145&lt;BA$5+GanttPeriod),"◇","")),IF(AND(BA$5&lt;=$F145,BA$5+GanttPeriod-1&gt;=$E145),"━","")))</f>
        <v/>
      </c>
      <c r="BB145" s="69" t="str">
        <f aca="false">IF($E145="","",IF($M145,IF(AND($G145&gt;=BB$5,$G145&lt;BB$5+GanttPeriod),"◆",IF(AND($E145&gt;=BB$5,$E145&lt;BB$5+GanttPeriod),"◇","")),IF(AND(BB$5&lt;=$F145,BB$5+GanttPeriod-1&gt;=$E145),"━","")))</f>
        <v/>
      </c>
      <c r="BC145" s="69" t="str">
        <f aca="false">IF($E145="","",IF($M145,IF(AND($G145&gt;=BC$5,$G145&lt;BC$5+GanttPeriod),"◆",IF(AND($E145&gt;=BC$5,$E145&lt;BC$5+GanttPeriod),"◇","")),IF(AND(BC$5&lt;=$F145,BC$5+GanttPeriod-1&gt;=$E145),"━","")))</f>
        <v/>
      </c>
      <c r="BD145" s="69" t="str">
        <f aca="false">IF($E145="","",IF($M145,IF(AND($G145&gt;=BD$5,$G145&lt;BD$5+GanttPeriod),"◆",IF(AND($E145&gt;=BD$5,$E145&lt;BD$5+GanttPeriod),"◇","")),IF(AND(BD$5&lt;=$F145,BD$5+GanttPeriod-1&gt;=$E145),"━","")))</f>
        <v/>
      </c>
      <c r="BE145" s="69" t="str">
        <f aca="false">IF($E145="","",IF($M145,IF(AND($G145&gt;=BE$5,$G145&lt;BE$5+GanttPeriod),"◆",IF(AND($E145&gt;=BE$5,$E145&lt;BE$5+GanttPeriod),"◇","")),IF(AND(BE$5&lt;=$F145,BE$5+GanttPeriod-1&gt;=$E145),"━","")))</f>
        <v/>
      </c>
      <c r="BF145" s="69" t="str">
        <f aca="false">IF($E145="","",IF($M145,IF(AND($G145&gt;=BF$5,$G145&lt;BF$5+GanttPeriod),"◆",IF(AND($E145&gt;=BF$5,$E145&lt;BF$5+GanttPeriod),"◇","")),IF(AND(BF$5&lt;=$F145,BF$5+GanttPeriod-1&gt;=$E145),"━","")))</f>
        <v/>
      </c>
      <c r="BG145" s="69" t="str">
        <f aca="false">IF($E145="","",IF($M145,IF(AND($G145&gt;=BG$5,$G145&lt;BG$5+GanttPeriod),"◆",IF(AND($E145&gt;=BG$5,$E145&lt;BG$5+GanttPeriod),"◇","")),IF(AND(BG$5&lt;=$F145,BG$5+GanttPeriod-1&gt;=$E145),"━","")))</f>
        <v/>
      </c>
      <c r="BH145" s="69" t="str">
        <f aca="false">IF($E145="","",IF($M145,IF(AND($G145&gt;=BH$5,$G145&lt;BH$5+GanttPeriod),"◆",IF(AND($E145&gt;=BH$5,$E145&lt;BH$5+GanttPeriod),"◇","")),IF(AND(BH$5&lt;=$F145,BH$5+GanttPeriod-1&gt;=$E145),"━","")))</f>
        <v/>
      </c>
      <c r="BI145" s="69" t="str">
        <f aca="false">IF($E145="","",IF($M145,IF(AND($G145&gt;=BI$5,$G145&lt;BI$5+GanttPeriod),"◆",IF(AND($E145&gt;=BI$5,$E145&lt;BI$5+GanttPeriod),"◇","")),IF(AND(BI$5&lt;=$F145,BI$5+GanttPeriod-1&gt;=$E145),"━","")))</f>
        <v/>
      </c>
      <c r="BJ145" s="69" t="str">
        <f aca="false">IF($E145="","",IF($M145,IF(AND($G145&gt;=BJ$5,$G145&lt;BJ$5+GanttPeriod),"◆",IF(AND($E145&gt;=BJ$5,$E145&lt;BJ$5+GanttPeriod),"◇","")),IF(AND(BJ$5&lt;=$F145,BJ$5+GanttPeriod-1&gt;=$E145),"━","")))</f>
        <v/>
      </c>
      <c r="BK145" s="69" t="str">
        <f aca="false">IF($E145="","",IF($M145,IF(AND($G145&gt;=BK$5,$G145&lt;BK$5+GanttPeriod),"◆",IF(AND($E145&gt;=BK$5,$E145&lt;BK$5+GanttPeriod),"◇","")),IF(AND(BK$5&lt;=$F145,BK$5+GanttPeriod-1&gt;=$E145),"━","")))</f>
        <v/>
      </c>
      <c r="BL145" s="69" t="str">
        <f aca="false">IF($E145="","",IF($M145,IF(AND($G145&gt;=BL$5,$G145&lt;BL$5+GanttPeriod),"◆",IF(AND($E145&gt;=BL$5,$E145&lt;BL$5+GanttPeriod),"◇","")),IF(AND(BL$5&lt;=$F145,BL$5+GanttPeriod-1&gt;=$E145),"━","")))</f>
        <v/>
      </c>
      <c r="BM145" s="69" t="str">
        <f aca="false">IF($E145="","",IF($M145,IF(AND($G145&gt;=BM$5,$G145&lt;BM$5+GanttPeriod),"◆",IF(AND($E145&gt;=BM$5,$E145&lt;BM$5+GanttPeriod),"◇","")),IF(AND(BM$5&lt;=$F145,BM$5+GanttPeriod-1&gt;=$E145),"━","")))</f>
        <v/>
      </c>
      <c r="BN145" s="69" t="str">
        <f aca="false">IF($E145="","",IF($M145,IF(AND($G145&gt;=BN$5,$G145&lt;BN$5+GanttPeriod),"◆",IF(AND($E145&gt;=BN$5,$E145&lt;BN$5+GanttPeriod),"◇","")),IF(AND(BN$5&lt;=$F145,BN$5+GanttPeriod-1&gt;=$E145),"━","")))</f>
        <v/>
      </c>
      <c r="BO145" s="69" t="str">
        <f aca="false">IF($E145="","",IF($M145,IF(AND($G145&gt;=BO$5,$G145&lt;BO$5+GanttPeriod),"◆",IF(AND($E145&gt;=BO$5,$E145&lt;BO$5+GanttPeriod),"◇","")),IF(AND(BO$5&lt;=$F145,BO$5+GanttPeriod-1&gt;=$E145),"━","")))</f>
        <v/>
      </c>
      <c r="BP145" s="69" t="str">
        <f aca="false">IF($E145="","",IF($M145,IF(AND($G145&gt;=BP$5,$G145&lt;BP$5+GanttPeriod),"◆",IF(AND($E145&gt;=BP$5,$E145&lt;BP$5+GanttPeriod),"◇","")),IF(AND(BP$5&lt;=$F145,BP$5+GanttPeriod-1&gt;=$E145),"━","")))</f>
        <v/>
      </c>
      <c r="BQ145" s="69" t="str">
        <f aca="false">IF($E145="","",IF($M145,IF(AND($G145&gt;=BQ$5,$G145&lt;BQ$5+GanttPeriod),"◆",IF(AND($E145&gt;=BQ$5,$E145&lt;BQ$5+GanttPeriod),"◇","")),IF(AND(BQ$5&lt;=$F145,BQ$5+GanttPeriod-1&gt;=$E145),"━","")))</f>
        <v/>
      </c>
      <c r="BR145" s="69" t="str">
        <f aca="false">IF($E145="","",IF($M145,IF(AND($G145&gt;=BR$5,$G145&lt;BR$5+GanttPeriod),"◆",IF(AND($E145&gt;=BR$5,$E145&lt;BR$5+GanttPeriod),"◇","")),IF(AND(BR$5&lt;=$F145,BR$5+GanttPeriod-1&gt;=$E145),"━","")))</f>
        <v/>
      </c>
      <c r="BS145" s="69" t="str">
        <f aca="false">IF($E145="","",IF($M145,IF(AND($G145&gt;=BS$5,$G145&lt;BS$5+GanttPeriod),"◆",IF(AND($E145&gt;=BS$5,$E145&lt;BS$5+GanttPeriod),"◇","")),IF(AND(BS$5&lt;=$F145,BS$5+GanttPeriod-1&gt;=$E145),"━","")))</f>
        <v/>
      </c>
      <c r="BT145" s="69" t="str">
        <f aca="false">IF($E145="","",IF($M145,IF(AND($G145&gt;=BT$5,$G145&lt;BT$5+GanttPeriod),"◆",IF(AND($E145&gt;=BT$5,$E145&lt;BT$5+GanttPeriod),"◇","")),IF(AND(BT$5&lt;=$F145,BT$5+GanttPeriod-1&gt;=$E145),"━","")))</f>
        <v/>
      </c>
      <c r="BU145" s="69" t="str">
        <f aca="false">IF($E145="","",IF($M145,IF(AND($G145&gt;=BU$5,$G145&lt;BU$5+GanttPeriod),"◆",IF(AND($E145&gt;=BU$5,$E145&lt;BU$5+GanttPeriod),"◇","")),IF(AND(BU$5&lt;=$F145,BU$5+GanttPeriod-1&gt;=$E145),"━","")))</f>
        <v/>
      </c>
      <c r="BV145" s="69" t="str">
        <f aca="false">IF($E145="","",IF($M145,IF(AND($G145&gt;=BV$5,$G145&lt;BV$5+GanttPeriod),"◆",IF(AND($E145&gt;=BV$5,$E145&lt;BV$5+GanttPeriod),"◇","")),IF(AND(BV$5&lt;=$F145,BV$5+GanttPeriod-1&gt;=$E145),"━","")))</f>
        <v/>
      </c>
      <c r="BW145" s="69" t="str">
        <f aca="false">IF($E145="","",IF($M145,IF(AND($G145&gt;=BW$5,$G145&lt;BW$5+GanttPeriod),"◆",IF(AND($E145&gt;=BW$5,$E145&lt;BW$5+GanttPeriod),"◇","")),IF(AND(BW$5&lt;=$F145,BW$5+GanttPeriod-1&gt;=$E145),"━","")))</f>
        <v/>
      </c>
      <c r="BX145" s="69" t="str">
        <f aca="false">IF($E145="","",IF($M145,IF(AND($G145&gt;=BX$5,$G145&lt;BX$5+GanttPeriod),"◆",IF(AND($E145&gt;=BX$5,$E145&lt;BX$5+GanttPeriod),"◇","")),IF(AND(BX$5&lt;=$F145,BX$5+GanttPeriod-1&gt;=$E145),"━","")))</f>
        <v/>
      </c>
      <c r="BY145" s="69" t="str">
        <f aca="false">IF($E145="","",IF($M145,IF(AND($G145&gt;=BY$5,$G145&lt;BY$5+GanttPeriod),"◆",IF(AND($E145&gt;=BY$5,$E145&lt;BY$5+GanttPeriod),"◇","")),IF(AND(BY$5&lt;=$F145,BY$5+GanttPeriod-1&gt;=$E145),"━","")))</f>
        <v/>
      </c>
      <c r="BZ145" s="69" t="str">
        <f aca="false">IF($E145="","",IF($M145,IF(AND($G145&gt;=BZ$5,$G145&lt;BZ$5+GanttPeriod),"◆",IF(AND($E145&gt;=BZ$5,$E145&lt;BZ$5+GanttPeriod),"◇","")),IF(AND(BZ$5&lt;=$F145,BZ$5+GanttPeriod-1&gt;=$E145),"━","")))</f>
        <v/>
      </c>
      <c r="CA145" s="69" t="str">
        <f aca="false">IF($E145="","",IF($M145,IF(AND($G145&gt;=CA$5,$G145&lt;CA$5+GanttPeriod),"◆",IF(AND($E145&gt;=CA$5,$E145&lt;CA$5+GanttPeriod),"◇","")),IF(AND(CA$5&lt;=$F145,CA$5+GanttPeriod-1&gt;=$E145),"━","")))</f>
        <v/>
      </c>
      <c r="CB145" s="69" t="str">
        <f aca="false">IF($E145="","",IF($M145,IF(AND($G145&gt;=CB$5,$G145&lt;CB$5+GanttPeriod),"◆",IF(AND($E145&gt;=CB$5,$E145&lt;CB$5+GanttPeriod),"◇","")),IF(AND(CB$5&lt;=$F145,CB$5+GanttPeriod-1&gt;=$E145),"━","")))</f>
        <v/>
      </c>
      <c r="CC145" s="69" t="str">
        <f aca="false">IF($E145="","",IF($M145,IF(AND($G145&gt;=CC$5,$G145&lt;CC$5+GanttPeriod),"◆",IF(AND($E145&gt;=CC$5,$E145&lt;CC$5+GanttPeriod),"◇","")),IF(AND(CC$5&lt;=$F145,CC$5+GanttPeriod-1&gt;=$E145),"━","")))</f>
        <v/>
      </c>
      <c r="CD145" s="69" t="str">
        <f aca="false">IF($E145="","",IF($M145,IF(AND($G145&gt;=CD$5,$G145&lt;CD$5+GanttPeriod),"◆",IF(AND($E145&gt;=CD$5,$E145&lt;CD$5+GanttPeriod),"◇","")),IF(AND(CD$5&lt;=$F145,CD$5+GanttPeriod-1&gt;=$E145),"━","")))</f>
        <v/>
      </c>
      <c r="CE145" s="69" t="str">
        <f aca="false">IF($E145="","",IF($M145,IF(AND($G145&gt;=CE$5,$G145&lt;CE$5+GanttPeriod),"◆",IF(AND($E145&gt;=CE$5,$E145&lt;CE$5+GanttPeriod),"◇","")),IF(AND(CE$5&lt;=$F145,CE$5+GanttPeriod-1&gt;=$E145),"━","")))</f>
        <v/>
      </c>
      <c r="CF145" s="69" t="str">
        <f aca="false">IF($E145="","",IF($M145,IF(AND($G145&gt;=CF$5,$G145&lt;CF$5+GanttPeriod),"◆",IF(AND($E145&gt;=CF$5,$E145&lt;CF$5+GanttPeriod),"◇","")),IF(AND(CF$5&lt;=$F145,CF$5+GanttPeriod-1&gt;=$E145),"━","")))</f>
        <v/>
      </c>
      <c r="CG145" s="69" t="str">
        <f aca="false">IF($E145="","",IF($M145,IF(AND($G145&gt;=CG$5,$G145&lt;CG$5+GanttPeriod),"◆",IF(AND($E145&gt;=CG$5,$E145&lt;CG$5+GanttPeriod),"◇","")),IF(AND(CG$5&lt;=$F145,CG$5+GanttPeriod-1&gt;=$E145),"━","")))</f>
        <v/>
      </c>
      <c r="CH145" s="69" t="str">
        <f aca="false">IF($E145="","",IF($M145,IF(AND($G145&gt;=CH$5,$G145&lt;CH$5+GanttPeriod),"◆",IF(AND($E145&gt;=CH$5,$E145&lt;CH$5+GanttPeriod),"◇","")),IF(AND(CH$5&lt;=$F145,CH$5+GanttPeriod-1&gt;=$E145),"━","")))</f>
        <v/>
      </c>
      <c r="CI145" s="69" t="str">
        <f aca="false">IF($E145="","",IF($M145,IF(AND($G145&gt;=CI$5,$G145&lt;CI$5+GanttPeriod),"◆",IF(AND($E145&gt;=CI$5,$E145&lt;CI$5+GanttPeriod),"◇","")),IF(AND(CI$5&lt;=$F145,CI$5+GanttPeriod-1&gt;=$E145),"━","")))</f>
        <v/>
      </c>
      <c r="CJ145" s="69" t="str">
        <f aca="false">IF($E145="","",IF($M145,IF(AND($G145&gt;=CJ$5,$G145&lt;CJ$5+GanttPeriod),"◆",IF(AND($E145&gt;=CJ$5,$E145&lt;CJ$5+GanttPeriod),"◇","")),IF(AND(CJ$5&lt;=$F145,CJ$5+GanttPeriod-1&gt;=$E145),"━","")))</f>
        <v/>
      </c>
      <c r="CK145" s="69" t="str">
        <f aca="false">IF($E145="","",IF($M145,IF(AND($G145&gt;=CK$5,$G145&lt;CK$5+GanttPeriod),"◆",IF(AND($E145&gt;=CK$5,$E145&lt;CK$5+GanttPeriod),"◇","")),IF(AND(CK$5&lt;=$F145,CK$5+GanttPeriod-1&gt;=$E145),"━","")))</f>
        <v/>
      </c>
      <c r="CL145" s="69" t="str">
        <f aca="false">IF($E145="","",IF($M145,IF(AND($G145&gt;=CL$5,$G145&lt;CL$5+GanttPeriod),"◆",IF(AND($E145&gt;=CL$5,$E145&lt;CL$5+GanttPeriod),"◇","")),IF(AND(CL$5&lt;=$F145,CL$5+GanttPeriod-1&gt;=$E145),"━","")))</f>
        <v/>
      </c>
      <c r="CM145" s="69" t="str">
        <f aca="false">IF($E145="","",IF($M145,IF(AND($G145&gt;=CM$5,$G145&lt;CM$5+GanttPeriod),"◆",IF(AND($E145&gt;=CM$5,$E145&lt;CM$5+GanttPeriod),"◇","")),IF(AND(CM$5&lt;=$F145,CM$5+GanttPeriod-1&gt;=$E145),"━","")))</f>
        <v/>
      </c>
      <c r="CN145" s="69" t="str">
        <f aca="false">IF($E145="","",IF($M145,IF(AND($G145&gt;=CN$5,$G145&lt;CN$5+GanttPeriod),"◆",IF(AND($E145&gt;=CN$5,$E145&lt;CN$5+GanttPeriod),"◇","")),IF(AND(CN$5&lt;=$F145,CN$5+GanttPeriod-1&gt;=$E145),"━","")))</f>
        <v/>
      </c>
      <c r="CO145" s="69" t="str">
        <f aca="false">IF($E145="","",IF($M145,IF(AND($G145&gt;=CO$5,$G145&lt;CO$5+GanttPeriod),"◆",IF(AND($E145&gt;=CO$5,$E145&lt;CO$5+GanttPeriod),"◇","")),IF(AND(CO$5&lt;=$F145,CO$5+GanttPeriod-1&gt;=$E145),"━","")))</f>
        <v/>
      </c>
      <c r="CP145" s="69" t="str">
        <f aca="false">IF($E145="","",IF($M145,IF(AND($G145&gt;=CP$5,$G145&lt;CP$5+GanttPeriod),"◆",IF(AND($E145&gt;=CP$5,$E145&lt;CP$5+GanttPeriod),"◇","")),IF(AND(CP$5&lt;=$F145,CP$5+GanttPeriod-1&gt;=$E145),"━","")))</f>
        <v/>
      </c>
      <c r="CQ145" s="69" t="str">
        <f aca="false">IF($E145="","",IF($M145,IF(AND($G145&gt;=CQ$5,$G145&lt;CQ$5+GanttPeriod),"◆",IF(AND($E145&gt;=CQ$5,$E145&lt;CQ$5+GanttPeriod),"◇","")),IF(AND(CQ$5&lt;=$F145,CQ$5+GanttPeriod-1&gt;=$E145),"━","")))</f>
        <v/>
      </c>
      <c r="CR145" s="69" t="str">
        <f aca="false">IF($E145="","",IF($M145,IF(AND($G145&gt;=CR$5,$G145&lt;CR$5+GanttPeriod),"◆",IF(AND($E145&gt;=CR$5,$E145&lt;CR$5+GanttPeriod),"◇","")),IF(AND(CR$5&lt;=$F145,CR$5+GanttPeriod-1&gt;=$E145),"━","")))</f>
        <v/>
      </c>
      <c r="CS145" s="69" t="str">
        <f aca="false">IF($E145="","",IF($M145,IF(AND($G145&gt;=CS$5,$G145&lt;CS$5+GanttPeriod),"◆",IF(AND($E145&gt;=CS$5,$E145&lt;CS$5+GanttPeriod),"◇","")),IF(AND(CS$5&lt;=$F145,CS$5+GanttPeriod-1&gt;=$E145),"━","")))</f>
        <v/>
      </c>
      <c r="CT145" s="69" t="str">
        <f aca="false">IF($E145="","",IF($M145,IF(AND($G145&gt;=CT$5,$G145&lt;CT$5+GanttPeriod),"◆",IF(AND($E145&gt;=CT$5,$E145&lt;CT$5+GanttPeriod),"◇","")),IF(AND(CT$5&lt;=$F145,CT$5+GanttPeriod-1&gt;=$E145),"━","")))</f>
        <v/>
      </c>
      <c r="CU145" s="69" t="str">
        <f aca="false">IF($E145="","",IF($M145,IF(AND($G145&gt;=CU$5,$G145&lt;CU$5+GanttPeriod),"◆",IF(AND($E145&gt;=CU$5,$E145&lt;CU$5+GanttPeriod),"◇","")),IF(AND(CU$5&lt;=$F145,CU$5+GanttPeriod-1&gt;=$E145),"━","")))</f>
        <v/>
      </c>
      <c r="CV145" s="69" t="str">
        <f aca="false">IF($E145="","",IF($M145,IF(AND($G145&gt;=CV$5,$G145&lt;CV$5+GanttPeriod),"◆",IF(AND($E145&gt;=CV$5,$E145&lt;CV$5+GanttPeriod),"◇","")),IF(AND(CV$5&lt;=$F145,CV$5+GanttPeriod-1&gt;=$E145),"━","")))</f>
        <v/>
      </c>
      <c r="CW145" s="69" t="str">
        <f aca="false">IF($E145="","",IF($M145,IF(AND($G145&gt;=CW$5,$G145&lt;CW$5+GanttPeriod),"◆",IF(AND($E145&gt;=CW$5,$E145&lt;CW$5+GanttPeriod),"◇","")),IF(AND(CW$5&lt;=$F145,CW$5+GanttPeriod-1&gt;=$E145),"━","")))</f>
        <v/>
      </c>
      <c r="CX145" s="69" t="str">
        <f aca="false">IF($E145="","",IF($M145,IF(AND($G145&gt;=CX$5,$G145&lt;CX$5+GanttPeriod),"◆",IF(AND($E145&gt;=CX$5,$E145&lt;CX$5+GanttPeriod),"◇","")),IF(AND(CX$5&lt;=$F145,CX$5+GanttPeriod-1&gt;=$E145),"━","")))</f>
        <v/>
      </c>
      <c r="CY145" s="69" t="str">
        <f aca="false">IF($E145="","",IF($M145,IF(AND($G145&gt;=CY$5,$G145&lt;CY$5+GanttPeriod),"◆",IF(AND($E145&gt;=CY$5,$E145&lt;CY$5+GanttPeriod),"◇","")),IF(AND(CY$5&lt;=$F145,CY$5+GanttPeriod-1&gt;=$E145),"━","")))</f>
        <v/>
      </c>
      <c r="CZ145" s="69" t="str">
        <f aca="false">IF($E145="","",IF($M145,IF(AND($G145&gt;=CZ$5,$G145&lt;CZ$5+GanttPeriod),"◆",IF(AND($E145&gt;=CZ$5,$E145&lt;CZ$5+GanttPeriod),"◇","")),IF(AND(CZ$5&lt;=$F145,CZ$5+GanttPeriod-1&gt;=$E145),"━","")))</f>
        <v/>
      </c>
      <c r="DA145" s="69" t="str">
        <f aca="false">IF($E145="","",IF($M145,IF(AND($G145&gt;=DA$5,$G145&lt;DA$5+GanttPeriod),"◆",IF(AND($E145&gt;=DA$5,$E145&lt;DA$5+GanttPeriod),"◇","")),IF(AND(DA$5&lt;=$F145,DA$5+GanttPeriod-1&gt;=$E145),"━","")))</f>
        <v/>
      </c>
      <c r="DB145" s="69" t="str">
        <f aca="false">IF($E145="","",IF($M145,IF(AND($G145&gt;=DB$5,$G145&lt;DB$5+GanttPeriod),"◆",IF(AND($E145&gt;=DB$5,$E145&lt;DB$5+GanttPeriod),"◇","")),IF(AND(DB$5&lt;=$F145,DB$5+GanttPeriod-1&gt;=$E145),"━","")))</f>
        <v/>
      </c>
      <c r="DC145" s="69" t="str">
        <f aca="false">IF($E145="","",IF($M145,IF(AND($G145&gt;=DC$5,$G145&lt;DC$5+GanttPeriod),"◆",IF(AND($E145&gt;=DC$5,$E145&lt;DC$5+GanttPeriod),"◇","")),IF(AND(DC$5&lt;=$F145,DC$5+GanttPeriod-1&gt;=$E145),"━","")))</f>
        <v/>
      </c>
      <c r="DD145" s="69" t="str">
        <f aca="false">IF($E145="","",IF($M145,IF(AND($G145&gt;=DD$5,$G145&lt;DD$5+GanttPeriod),"◆",IF(AND($E145&gt;=DD$5,$E145&lt;DD$5+GanttPeriod),"◇","")),IF(AND(DD$5&lt;=$F145,DD$5+GanttPeriod-1&gt;=$E145),"━","")))</f>
        <v/>
      </c>
      <c r="DE145" s="69" t="str">
        <f aca="false">IF($E145="","",IF($M145,IF(AND($G145&gt;=DE$5,$G145&lt;DE$5+GanttPeriod),"◆",IF(AND($E145&gt;=DE$5,$E145&lt;DE$5+GanttPeriod),"◇","")),IF(AND(DE$5&lt;=$F145,DE$5+GanttPeriod-1&gt;=$E145),"━","")))</f>
        <v/>
      </c>
      <c r="DF145" s="69" t="str">
        <f aca="false">IF($E145="","",IF($M145,IF(AND($G145&gt;=DF$5,$G145&lt;DF$5+GanttPeriod),"◆",IF(AND($E145&gt;=DF$5,$E145&lt;DF$5+GanttPeriod),"◇","")),IF(AND(DF$5&lt;=$F145,DF$5+GanttPeriod-1&gt;=$E145),"━","")))</f>
        <v/>
      </c>
      <c r="DG145" s="69" t="str">
        <f aca="false">IF($E145="","",IF($M145,IF(AND($G145&gt;=DG$5,$G145&lt;DG$5+GanttPeriod),"◆",IF(AND($E145&gt;=DG$5,$E145&lt;DG$5+GanttPeriod),"◇","")),IF(AND(DG$5&lt;=$F145,DG$5+GanttPeriod-1&gt;=$E145),"━","")))</f>
        <v/>
      </c>
      <c r="DH145" s="69" t="str">
        <f aca="false">IF($E145="","",IF($M145,IF(AND($G145&gt;=DH$5,$G145&lt;DH$5+GanttPeriod),"◆",IF(AND($E145&gt;=DH$5,$E145&lt;DH$5+GanttPeriod),"◇","")),IF(AND(DH$5&lt;=$F145,DH$5+GanttPeriod-1&gt;=$E145),"━","")))</f>
        <v/>
      </c>
      <c r="DI145" s="69" t="str">
        <f aca="false">IF($E145="","",IF($M145,IF(AND($G145&gt;=DI$5,$G145&lt;DI$5+GanttPeriod),"◆",IF(AND($E145&gt;=DI$5,$E145&lt;DI$5+GanttPeriod),"◇","")),IF(AND(DI$5&lt;=$F145,DI$5+GanttPeriod-1&gt;=$E145),"━","")))</f>
        <v/>
      </c>
      <c r="DJ145" s="69" t="str">
        <f aca="false">IF($E145="","",IF($M145,IF(AND($G145&gt;=DJ$5,$G145&lt;DJ$5+GanttPeriod),"◆",IF(AND($E145&gt;=DJ$5,$E145&lt;DJ$5+GanttPeriod),"◇","")),IF(AND(DJ$5&lt;=$F145,DJ$5+GanttPeriod-1&gt;=$E145),"━","")))</f>
        <v/>
      </c>
      <c r="DK145" s="69" t="str">
        <f aca="false">IF($E145="","",IF($M145,IF(AND($G145&gt;=DK$5,$G145&lt;DK$5+GanttPeriod),"◆",IF(AND($E145&gt;=DK$5,$E145&lt;DK$5+GanttPeriod),"◇","")),IF(AND(DK$5&lt;=$F145,DK$5+GanttPeriod-1&gt;=$E145),"━","")))</f>
        <v/>
      </c>
      <c r="DL145" s="69" t="str">
        <f aca="false">IF($E145="","",IF($M145,IF(AND($G145&gt;=DL$5,$G145&lt;DL$5+GanttPeriod),"◆",IF(AND($E145&gt;=DL$5,$E145&lt;DL$5+GanttPeriod),"◇","")),IF(AND(DL$5&lt;=$F145,DL$5+GanttPeriod-1&gt;=$E145),"━","")))</f>
        <v/>
      </c>
      <c r="DM145" s="69" t="str">
        <f aca="false">IF($E145="","",IF($M145,IF(AND($G145&gt;=DM$5,$G145&lt;DM$5+GanttPeriod),"◆",IF(AND($E145&gt;=DM$5,$E145&lt;DM$5+GanttPeriod),"◇","")),IF(AND(DM$5&lt;=$F145,DM$5+GanttPeriod-1&gt;=$E145),"━","")))</f>
        <v/>
      </c>
      <c r="DN145" s="69" t="str">
        <f aca="false">IF($E145="","",IF($M145,IF(AND($G145&gt;=DN$5,$G145&lt;DN$5+GanttPeriod),"◆",IF(AND($E145&gt;=DN$5,$E145&lt;DN$5+GanttPeriod),"◇","")),IF(AND(DN$5&lt;=$F145,DN$5+GanttPeriod-1&gt;=$E145),"━","")))</f>
        <v/>
      </c>
      <c r="DO145" s="69" t="str">
        <f aca="false">IF($E145="","",IF($M145,IF(AND($G145&gt;=DO$5,$G145&lt;DO$5+GanttPeriod),"◆",IF(AND($E145&gt;=DO$5,$E145&lt;DO$5+GanttPeriod),"◇","")),IF(AND(DO$5&lt;=$F145,DO$5+GanttPeriod-1&gt;=$E145),"━","")))</f>
        <v/>
      </c>
      <c r="DP145" s="69" t="str">
        <f aca="false">IF($E145="","",IF($M145,IF(AND($G145&gt;=DP$5,$G145&lt;DP$5+GanttPeriod),"◆",IF(AND($E145&gt;=DP$5,$E145&lt;DP$5+GanttPeriod),"◇","")),IF(AND(DP$5&lt;=$F145,DP$5+GanttPeriod-1&gt;=$E145),"━","")))</f>
        <v/>
      </c>
      <c r="DQ145" s="69" t="str">
        <f aca="false">IF($E145="","",IF($M145,IF(AND($G145&gt;=DQ$5,$G145&lt;DQ$5+GanttPeriod),"◆",IF(AND($E145&gt;=DQ$5,$E145&lt;DQ$5+GanttPeriod),"◇","")),IF(AND(DQ$5&lt;=$F145,DQ$5+GanttPeriod-1&gt;=$E145),"━","")))</f>
        <v/>
      </c>
      <c r="DR145" s="69" t="str">
        <f aca="false">IF($E145="","",IF($M145,IF(AND($G145&gt;=DR$5,$G145&lt;DR$5+GanttPeriod),"◆",IF(AND($E145&gt;=DR$5,$E145&lt;DR$5+GanttPeriod),"◇","")),IF(AND(DR$5&lt;=$F145,DR$5+GanttPeriod-1&gt;=$E145),"━","")))</f>
        <v/>
      </c>
      <c r="DS145" s="69" t="str">
        <f aca="false">IF($E145="","",IF($M145,IF(AND($G145&gt;=DS$5,$G145&lt;DS$5+GanttPeriod),"◆",IF(AND($E145&gt;=DS$5,$E145&lt;DS$5+GanttPeriod),"◇","")),IF(AND(DS$5&lt;=$F145,DS$5+GanttPeriod-1&gt;=$E145),"━","")))</f>
        <v/>
      </c>
      <c r="DT145" s="69" t="str">
        <f aca="false">IF($E145="","",IF($M145,IF(AND($G145&gt;=DT$5,$G145&lt;DT$5+GanttPeriod),"◆",IF(AND($E145&gt;=DT$5,$E145&lt;DT$5+GanttPeriod),"◇","")),IF(AND(DT$5&lt;=$F145,DT$5+GanttPeriod-1&gt;=$E145),"━","")))</f>
        <v/>
      </c>
      <c r="DU145" s="69" t="str">
        <f aca="false">IF($E145="","",IF($M145,IF(AND($G145&gt;=DU$5,$G145&lt;DU$5+GanttPeriod),"◆",IF(AND($E145&gt;=DU$5,$E145&lt;DU$5+GanttPeriod),"◇","")),IF(AND(DU$5&lt;=$F145,DU$5+GanttPeriod-1&gt;=$E145),"━","")))</f>
        <v/>
      </c>
      <c r="DV145" s="69" t="str">
        <f aca="false">IF($E145="","",IF($M145,IF(AND($G145&gt;=DV$5,$G145&lt;DV$5+GanttPeriod),"◆",IF(AND($E145&gt;=DV$5,$E145&lt;DV$5+GanttPeriod),"◇","")),IF(AND(DV$5&lt;=$F145,DV$5+GanttPeriod-1&gt;=$E145),"━","")))</f>
        <v/>
      </c>
      <c r="DW145" s="69" t="str">
        <f aca="false">IF($E145="","",IF($M145,IF(AND($G145&gt;=DW$5,$G145&lt;DW$5+GanttPeriod),"◆",IF(AND($E145&gt;=DW$5,$E145&lt;DW$5+GanttPeriod),"◇","")),IF(AND(DW$5&lt;=$F145,DW$5+GanttPeriod-1&gt;=$E145),"━","")))</f>
        <v/>
      </c>
      <c r="DX145" s="69" t="str">
        <f aca="false">IF($E145="","",IF($M145,IF(AND($G145&gt;=DX$5,$G145&lt;DX$5+GanttPeriod),"◆",IF(AND($E145&gt;=DX$5,$E145&lt;DX$5+GanttPeriod),"◇","")),IF(AND(DX$5&lt;=$F145,DX$5+GanttPeriod-1&gt;=$E145),"━","")))</f>
        <v/>
      </c>
      <c r="DY145" s="69" t="str">
        <f aca="false">IF($E145="","",IF($M145,IF(AND($G145&gt;=DY$5,$G145&lt;DY$5+GanttPeriod),"◆",IF(AND($E145&gt;=DY$5,$E145&lt;DY$5+GanttPeriod),"◇","")),IF(AND(DY$5&lt;=$F145,DY$5+GanttPeriod-1&gt;=$E145),"━","")))</f>
        <v/>
      </c>
      <c r="DZ145" s="69" t="str">
        <f aca="false">IF($E145="","",IF($M145,IF(AND($G145&gt;=DZ$5,$G145&lt;DZ$5+GanttPeriod),"◆",IF(AND($E145&gt;=DZ$5,$E145&lt;DZ$5+GanttPeriod),"◇","")),IF(AND(DZ$5&lt;=$F145,DZ$5+GanttPeriod-1&gt;=$E145),"━","")))</f>
        <v/>
      </c>
      <c r="EA145" s="69" t="str">
        <f aca="false">IF($E145="","",IF($M145,IF(AND($G145&gt;=EA$5,$G145&lt;EA$5+GanttPeriod),"◆",IF(AND($E145&gt;=EA$5,$E145&lt;EA$5+GanttPeriod),"◇","")),IF(AND(EA$5&lt;=$F145,EA$5+GanttPeriod-1&gt;=$E145),"━","")))</f>
        <v/>
      </c>
      <c r="EB145" s="69" t="str">
        <f aca="false">IF($E145="","",IF($M145,IF(AND($G145&gt;=EB$5,$G145&lt;EB$5+GanttPeriod),"◆",IF(AND($E145&gt;=EB$5,$E145&lt;EB$5+GanttPeriod),"◇","")),IF(AND(EB$5&lt;=$F145,EB$5+GanttPeriod-1&gt;=$E145),"━","")))</f>
        <v/>
      </c>
      <c r="EC145" s="69" t="str">
        <f aca="false">IF($E145="","",IF($M145,IF(AND($G145&gt;=EC$5,$G145&lt;EC$5+GanttPeriod),"◆",IF(AND($E145&gt;=EC$5,$E145&lt;EC$5+GanttPeriod),"◇","")),IF(AND(EC$5&lt;=$F145,EC$5+GanttPeriod-1&gt;=$E145),"━","")))</f>
        <v/>
      </c>
      <c r="ED145" s="69" t="str">
        <f aca="false">IF($E145="","",IF($M145,IF(AND($G145&gt;=ED$5,$G145&lt;ED$5+GanttPeriod),"◆",IF(AND($E145&gt;=ED$5,$E145&lt;ED$5+GanttPeriod),"◇","")),IF(AND(ED$5&lt;=$F145,ED$5+GanttPeriod-1&gt;=$E145),"━","")))</f>
        <v/>
      </c>
      <c r="EE145" s="69" t="str">
        <f aca="false">IF($E145="","",IF($M145,IF(AND($G145&gt;=EE$5,$G145&lt;EE$5+GanttPeriod),"◆",IF(AND($E145&gt;=EE$5,$E145&lt;EE$5+GanttPeriod),"◇","")),IF(AND(EE$5&lt;=$F145,EE$5+GanttPeriod-1&gt;=$E145),"━","")))</f>
        <v/>
      </c>
      <c r="EF145" s="69" t="str">
        <f aca="false">IF($E145="","",IF($M145,IF(AND($G145&gt;=EF$5,$G145&lt;EF$5+GanttPeriod),"◆",IF(AND($E145&gt;=EF$5,$E145&lt;EF$5+GanttPeriod),"◇","")),IF(AND(EF$5&lt;=$F145,EF$5+GanttPeriod-1&gt;=$E145),"━","")))</f>
        <v/>
      </c>
      <c r="EG145" s="69" t="str">
        <f aca="false">IF($E145="","",IF($M145,IF(AND($G145&gt;=EG$5,$G145&lt;EG$5+GanttPeriod),"◆",IF(AND($E145&gt;=EG$5,$E145&lt;EG$5+GanttPeriod),"◇","")),IF(AND(EG$5&lt;=$F145,EG$5+GanttPeriod-1&gt;=$E145),"━","")))</f>
        <v/>
      </c>
      <c r="EH145" s="69" t="str">
        <f aca="false">IF($E145="","",IF($M145,IF(AND($G145&gt;=EH$5,$G145&lt;EH$5+GanttPeriod),"◆",IF(AND($E145&gt;=EH$5,$E145&lt;EH$5+GanttPeriod),"◇","")),IF(AND(EH$5&lt;=$F145,EH$5+GanttPeriod-1&gt;=$E145),"━","")))</f>
        <v/>
      </c>
      <c r="EI145" s="69" t="str">
        <f aca="false">IF($E145="","",IF($M145,IF(AND($G145&gt;=EI$5,$G145&lt;EI$5+GanttPeriod),"◆",IF(AND($E145&gt;=EI$5,$E145&lt;EI$5+GanttPeriod),"◇","")),IF(AND(EI$5&lt;=$F145,EI$5+GanttPeriod-1&gt;=$E145),"━","")))</f>
        <v/>
      </c>
      <c r="EJ145" s="69" t="str">
        <f aca="false">IF($E145="","",IF($M145,IF(AND($G145&gt;=EJ$5,$G145&lt;EJ$5+GanttPeriod),"◆",IF(AND($E145&gt;=EJ$5,$E145&lt;EJ$5+GanttPeriod),"◇","")),IF(AND(EJ$5&lt;=$F145,EJ$5+GanttPeriod-1&gt;=$E145),"━","")))</f>
        <v/>
      </c>
      <c r="EK145" s="69" t="str">
        <f aca="false">IF($E145="","",IF($M145,IF(AND($G145&gt;=EK$5,$G145&lt;EK$5+GanttPeriod),"◆",IF(AND($E145&gt;=EK$5,$E145&lt;EK$5+GanttPeriod),"◇","")),IF(AND(EK$5&lt;=$F145,EK$5+GanttPeriod-1&gt;=$E145),"━","")))</f>
        <v/>
      </c>
      <c r="EL145" s="69" t="str">
        <f aca="false">IF($E145="","",IF($M145,IF(AND($G145&gt;=EL$5,$G145&lt;EL$5+GanttPeriod),"◆",IF(AND($E145&gt;=EL$5,$E145&lt;EL$5+GanttPeriod),"◇","")),IF(AND(EL$5&lt;=$F145,EL$5+GanttPeriod-1&gt;=$E145),"━","")))</f>
        <v/>
      </c>
      <c r="EM145" s="69" t="str">
        <f aca="false">IF($E145="","",IF($M145,IF(AND($G145&gt;=EM$5,$G145&lt;EM$5+GanttPeriod),"◆",IF(AND($E145&gt;=EM$5,$E145&lt;EM$5+GanttPeriod),"◇","")),IF(AND(EM$5&lt;=$F145,EM$5+GanttPeriod-1&gt;=$E145),"━","")))</f>
        <v/>
      </c>
      <c r="EN145" s="69" t="str">
        <f aca="false">IF($E145="","",IF($M145,IF(AND($G145&gt;=EN$5,$G145&lt;EN$5+GanttPeriod),"◆",IF(AND($E145&gt;=EN$5,$E145&lt;EN$5+GanttPeriod),"◇","")),IF(AND(EN$5&lt;=$F145,EN$5+GanttPeriod-1&gt;=$E145),"━","")))</f>
        <v/>
      </c>
      <c r="EO145" s="69" t="str">
        <f aca="false">IF($E145="","",IF($M145,IF(AND($G145&gt;=EO$5,$G145&lt;EO$5+GanttPeriod),"◆",IF(AND($E145&gt;=EO$5,$E145&lt;EO$5+GanttPeriod),"◇","")),IF(AND(EO$5&lt;=$F145,EO$5+GanttPeriod-1&gt;=$E145),"━","")))</f>
        <v/>
      </c>
      <c r="EP145" s="69" t="str">
        <f aca="false">IF($E145="","",IF($M145,IF(AND($G145&gt;=EP$5,$G145&lt;EP$5+GanttPeriod),"◆",IF(AND($E145&gt;=EP$5,$E145&lt;EP$5+GanttPeriod),"◇","")),IF(AND(EP$5&lt;=$F145,EP$5+GanttPeriod-1&gt;=$E145),"━","")))</f>
        <v/>
      </c>
      <c r="EQ145" s="69" t="str">
        <f aca="false">IF($E145="","",IF($M145,IF(AND($G145&gt;=EQ$5,$G145&lt;EQ$5+GanttPeriod),"◆",IF(AND($E145&gt;=EQ$5,$E145&lt;EQ$5+GanttPeriod),"◇","")),IF(AND(EQ$5&lt;=$F145,EQ$5+GanttPeriod-1&gt;=$E145),"━","")))</f>
        <v/>
      </c>
      <c r="ER145" s="69" t="str">
        <f aca="false">IF($E145="","",IF($M145,IF(AND($G145&gt;=ER$5,$G145&lt;ER$5+GanttPeriod),"◆",IF(AND($E145&gt;=ER$5,$E145&lt;ER$5+GanttPeriod),"◇","")),IF(AND(ER$5&lt;=$F145,ER$5+GanttPeriod-1&gt;=$E145),"━","")))</f>
        <v/>
      </c>
      <c r="ES145" s="69" t="str">
        <f aca="false">IF($E145="","",IF($M145,IF(AND($G145&gt;=ES$5,$G145&lt;ES$5+GanttPeriod),"◆",IF(AND($E145&gt;=ES$5,$E145&lt;ES$5+GanttPeriod),"◇","")),IF(AND(ES$5&lt;=$F145,ES$5+GanttPeriod-1&gt;=$E145),"━","")))</f>
        <v/>
      </c>
      <c r="ET145" s="69" t="str">
        <f aca="false">IF($E145="","",IF($M145,IF(AND($G145&gt;=ET$5,$G145&lt;ET$5+GanttPeriod),"◆",IF(AND($E145&gt;=ET$5,$E145&lt;ET$5+GanttPeriod),"◇","")),IF(AND(ET$5&lt;=$F145,ET$5+GanttPeriod-1&gt;=$E145),"━","")))</f>
        <v/>
      </c>
      <c r="EU145" s="69" t="str">
        <f aca="false">IF($E145="","",IF($M145,IF(AND($G145&gt;=EU$5,$G145&lt;EU$5+GanttPeriod),"◆",IF(AND($E145&gt;=EU$5,$E145&lt;EU$5+GanttPeriod),"◇","")),IF(AND(EU$5&lt;=$F145,EU$5+GanttPeriod-1&gt;=$E145),"━","")))</f>
        <v/>
      </c>
      <c r="EV145" s="69" t="str">
        <f aca="false">IF($E145="","",IF($M145,IF(AND($G145&gt;=EV$5,$G145&lt;EV$5+GanttPeriod),"◆",IF(AND($E145&gt;=EV$5,$E145&lt;EV$5+GanttPeriod),"◇","")),IF(AND(EV$5&lt;=$F145,EV$5+GanttPeriod-1&gt;=$E145),"━","")))</f>
        <v/>
      </c>
      <c r="EW145" s="69" t="str">
        <f aca="false">IF($E145="","",IF($M145,IF(AND($G145&gt;=EW$5,$G145&lt;EW$5+GanttPeriod),"◆",IF(AND($E145&gt;=EW$5,$E145&lt;EW$5+GanttPeriod),"◇","")),IF(AND(EW$5&lt;=$F145,EW$5+GanttPeriod-1&gt;=$E145),"━","")))</f>
        <v/>
      </c>
      <c r="EX145" s="69" t="str">
        <f aca="false">IF($E145="","",IF($M145,IF(AND($G145&gt;=EX$5,$G145&lt;EX$5+GanttPeriod),"◆",IF(AND($E145&gt;=EX$5,$E145&lt;EX$5+GanttPeriod),"◇","")),IF(AND(EX$5&lt;=$F145,EX$5+GanttPeriod-1&gt;=$E145),"━","")))</f>
        <v/>
      </c>
      <c r="EY145" s="69" t="str">
        <f aca="false">IF($E145="","",IF($M145,IF(AND($G145&gt;=EY$5,$G145&lt;EY$5+GanttPeriod),"◆",IF(AND($E145&gt;=EY$5,$E145&lt;EY$5+GanttPeriod),"◇","")),IF(AND(EY$5&lt;=$F145,EY$5+GanttPeriod-1&gt;=$E145),"━","")))</f>
        <v/>
      </c>
      <c r="EZ145" s="69" t="str">
        <f aca="false">IF($E145="","",IF($M145,IF(AND($G145&gt;=EZ$5,$G145&lt;EZ$5+GanttPeriod),"◆",IF(AND($E145&gt;=EZ$5,$E145&lt;EZ$5+GanttPeriod),"◇","")),IF(AND(EZ$5&lt;=$F145,EZ$5+GanttPeriod-1&gt;=$E145),"━","")))</f>
        <v/>
      </c>
      <c r="FA145" s="69" t="str">
        <f aca="false">IF($E145="","",IF($M145,IF(AND($G145&gt;=FA$5,$G145&lt;FA$5+GanttPeriod),"◆",IF(AND($E145&gt;=FA$5,$E145&lt;FA$5+GanttPeriod),"◇","")),IF(AND(FA$5&lt;=$F145,FA$5+GanttPeriod-1&gt;=$E145),"━","")))</f>
        <v/>
      </c>
      <c r="FB145" s="69" t="str">
        <f aca="false">IF($E145="","",IF($M145,IF(AND($G145&gt;=FB$5,$G145&lt;FB$5+GanttPeriod),"◆",IF(AND($E145&gt;=FB$5,$E145&lt;FB$5+GanttPeriod),"◇","")),IF(AND(FB$5&lt;=$F145,FB$5+GanttPeriod-1&gt;=$E145),"━","")))</f>
        <v/>
      </c>
      <c r="FC145" s="69" t="str">
        <f aca="false">IF($E145="","",IF($M145,IF(AND($G145&gt;=FC$5,$G145&lt;FC$5+GanttPeriod),"◆",IF(AND($E145&gt;=FC$5,$E145&lt;FC$5+GanttPeriod),"◇","")),IF(AND(FC$5&lt;=$F145,FC$5+GanttPeriod-1&gt;=$E145),"━","")))</f>
        <v/>
      </c>
      <c r="FD145" s="69" t="str">
        <f aca="false">IF($E145="","",IF($M145,IF(AND($G145&gt;=FD$5,$G145&lt;FD$5+GanttPeriod),"◆",IF(AND($E145&gt;=FD$5,$E145&lt;FD$5+GanttPeriod),"◇","")),IF(AND(FD$5&lt;=$F145,FD$5+GanttPeriod-1&gt;=$E145),"━","")))</f>
        <v/>
      </c>
      <c r="FE145" s="69" t="str">
        <f aca="false">IF($E145="","",IF($M145,IF(AND($G145&gt;=FE$5,$G145&lt;FE$5+GanttPeriod),"◆",IF(AND($E145&gt;=FE$5,$E145&lt;FE$5+GanttPeriod),"◇","")),IF(AND(FE$5&lt;=$F145,FE$5+GanttPeriod-1&gt;=$E145),"━","")))</f>
        <v/>
      </c>
      <c r="FF145" s="69" t="str">
        <f aca="false">IF($E145="","",IF($M145,IF(AND($G145&gt;=FF$5,$G145&lt;FF$5+GanttPeriod),"◆",IF(AND($E145&gt;=FF$5,$E145&lt;FF$5+GanttPeriod),"◇","")),IF(AND(FF$5&lt;=$F145,FF$5+GanttPeriod-1&gt;=$E145),"━","")))</f>
        <v/>
      </c>
      <c r="FG145" s="69" t="str">
        <f aca="false">IF($E145="","",IF($M145,IF(AND($G145&gt;=FG$5,$G145&lt;FG$5+GanttPeriod),"◆",IF(AND($E145&gt;=FG$5,$E145&lt;FG$5+GanttPeriod),"◇","")),IF(AND(FG$5&lt;=$F145,FG$5+GanttPeriod-1&gt;=$E145),"━","")))</f>
        <v/>
      </c>
      <c r="FH145" s="69" t="str">
        <f aca="false">IF($E145="","",IF($M145,IF(AND($G145&gt;=FH$5,$G145&lt;FH$5+GanttPeriod),"◆",IF(AND($E145&gt;=FH$5,$E145&lt;FH$5+GanttPeriod),"◇","")),IF(AND(FH$5&lt;=$F145,FH$5+GanttPeriod-1&gt;=$E145),"━","")))</f>
        <v/>
      </c>
      <c r="FI145" s="69" t="str">
        <f aca="false">IF($E145="","",IF($M145,IF(AND($G145&gt;=FI$5,$G145&lt;FI$5+GanttPeriod),"◆",IF(AND($E145&gt;=FI$5,$E145&lt;FI$5+GanttPeriod),"◇","")),IF(AND(FI$5&lt;=$F145,FI$5+GanttPeriod-1&gt;=$E145),"━","")))</f>
        <v/>
      </c>
      <c r="FJ145" s="69" t="str">
        <f aca="false">IF($E145="","",IF($M145,IF(AND($G145&gt;=FJ$5,$G145&lt;FJ$5+GanttPeriod),"◆",IF(AND($E145&gt;=FJ$5,$E145&lt;FJ$5+GanttPeriod),"◇","")),IF(AND(FJ$5&lt;=$F145,FJ$5+GanttPeriod-1&gt;=$E145),"━","")))</f>
        <v/>
      </c>
      <c r="FK145" s="69" t="str">
        <f aca="false">IF($E145="","",IF($M145,IF(AND($G145&gt;=FK$5,$G145&lt;FK$5+GanttPeriod),"◆",IF(AND($E145&gt;=FK$5,$E145&lt;FK$5+GanttPeriod),"◇","")),IF(AND(FK$5&lt;=$F145,FK$5+GanttPeriod-1&gt;=$E145),"━","")))</f>
        <v/>
      </c>
      <c r="FL145" s="69" t="str">
        <f aca="false">IF($E145="","",IF($M145,IF(AND($G145&gt;=FL$5,$G145&lt;FL$5+GanttPeriod),"◆",IF(AND($E145&gt;=FL$5,$E145&lt;FL$5+GanttPeriod),"◇","")),IF(AND(FL$5&lt;=$F145,FL$5+GanttPeriod-1&gt;=$E145),"━","")))</f>
        <v/>
      </c>
      <c r="FM145" s="69" t="str">
        <f aca="false">IF($E145="","",IF($M145,IF(AND($G145&gt;=FM$5,$G145&lt;FM$5+GanttPeriod),"◆",IF(AND($E145&gt;=FM$5,$E145&lt;FM$5+GanttPeriod),"◇","")),IF(AND(FM$5&lt;=$F145,FM$5+GanttPeriod-1&gt;=$E145),"━","")))</f>
        <v/>
      </c>
    </row>
    <row r="146" customFormat="false" ht="15" hidden="false" customHeight="false" outlineLevel="0" collapsed="false">
      <c r="A146" s="62" t="str">
        <f aca="false">IF(Tasks!$D146="","",Tasks!$A146)</f>
        <v/>
      </c>
      <c r="B146" s="62" t="str">
        <f aca="false">IF(Tasks!$D146="","",Tasks!$B146)</f>
        <v/>
      </c>
      <c r="C146" s="63" t="str">
        <f aca="false">IF(Tasks!$D146="","",REPT("    ",Tasks!$AE146-1)&amp;Tasks!$D146)</f>
        <v/>
      </c>
      <c r="D146" s="62" t="str">
        <f aca="false">IF(Tasks!$D146="","",IF(Tasks!$AI146,NETWORKDAYS.INTL(Tasks!$R146,Tasks!$S146,WorkWeek,Holidays),N(Tasks!$F146)))</f>
        <v/>
      </c>
      <c r="E146" s="64" t="str">
        <f aca="false">IF(Tasks!$D146="","",Tasks!$N146)</f>
        <v/>
      </c>
      <c r="F146" s="64" t="str">
        <f aca="false">IF(Tasks!$D146="","",Tasks!$O146)</f>
        <v/>
      </c>
      <c r="G146" s="64" t="str">
        <f aca="false">IF(Tasks!$D146="","",Tasks!$R146)</f>
        <v/>
      </c>
      <c r="H146" s="64" t="str">
        <f aca="false">IF(Tasks!$D146="","",Tasks!$S146)</f>
        <v/>
      </c>
      <c r="I146" s="65" t="str">
        <f aca="false">IF(Tasks!$D146="","",Tasks!$V146)</f>
        <v/>
      </c>
      <c r="J146" s="63" t="str">
        <f aca="false">IF(Tasks!$D146="","",Tasks!$X146&amp;"")</f>
        <v/>
      </c>
      <c r="K146" s="66" t="str">
        <f aca="false">IF(Tasks!$D146="","",Tasks!$W146)</f>
        <v/>
      </c>
      <c r="L146" s="67" t="b">
        <f aca="false">IF(Tasks!$D146="",FALSE(),Tasks!$AI146)</f>
        <v>0</v>
      </c>
      <c r="M146" s="67" t="b">
        <f aca="false">AND(Tasks!$AJ146=1,N(Tasks!$F146)=0)</f>
        <v>0</v>
      </c>
      <c r="N146" s="68" t="n">
        <f aca="false">IF(AND(Tasks!$AJ146=1,NOT($M146),N($I146)&gt;0),$G146,0)</f>
        <v>0</v>
      </c>
      <c r="O146" s="68" t="n">
        <f aca="false">IF($N146=0,0,IF($I146&gt;=1,$H146,MAX($N146,$G146+ROUND(($H146-$G146+1)*$I146,0)-1)))</f>
        <v>0</v>
      </c>
      <c r="P146" s="68" t="n">
        <f aca="false">IF(OR(Tasks!$AJ146&lt;&gt;1,$M146,N($I146)&gt;=1),0,IF($O146&gt;0,$O146+1,$G146))</f>
        <v>0</v>
      </c>
      <c r="Q146" s="68" t="n">
        <f aca="false">IF($P146=0,0,$H146)</f>
        <v>0</v>
      </c>
      <c r="R146" s="67" t="b">
        <f aca="false">AND(Tasks!$D146&lt;&gt;"",N(Tasks!$T146)&gt;0)</f>
        <v>0</v>
      </c>
      <c r="T146" s="69" t="str">
        <f aca="false">IF($E146="","",IF($M146,IF(AND($G146&gt;=T$5,$G146&lt;T$5+GanttPeriod),"◆",IF(AND($E146&gt;=T$5,$E146&lt;T$5+GanttPeriod),"◇","")),IF(AND(T$5&lt;=$F146,T$5+GanttPeriod-1&gt;=$E146),"━","")))</f>
        <v/>
      </c>
      <c r="U146" s="69" t="str">
        <f aca="false">IF($E146="","",IF($M146,IF(AND($G146&gt;=U$5,$G146&lt;U$5+GanttPeriod),"◆",IF(AND($E146&gt;=U$5,$E146&lt;U$5+GanttPeriod),"◇","")),IF(AND(U$5&lt;=$F146,U$5+GanttPeriod-1&gt;=$E146),"━","")))</f>
        <v/>
      </c>
      <c r="V146" s="69" t="str">
        <f aca="false">IF($E146="","",IF($M146,IF(AND($G146&gt;=V$5,$G146&lt;V$5+GanttPeriod),"◆",IF(AND($E146&gt;=V$5,$E146&lt;V$5+GanttPeriod),"◇","")),IF(AND(V$5&lt;=$F146,V$5+GanttPeriod-1&gt;=$E146),"━","")))</f>
        <v/>
      </c>
      <c r="W146" s="69" t="str">
        <f aca="false">IF($E146="","",IF($M146,IF(AND($G146&gt;=W$5,$G146&lt;W$5+GanttPeriod),"◆",IF(AND($E146&gt;=W$5,$E146&lt;W$5+GanttPeriod),"◇","")),IF(AND(W$5&lt;=$F146,W$5+GanttPeriod-1&gt;=$E146),"━","")))</f>
        <v/>
      </c>
      <c r="X146" s="69" t="str">
        <f aca="false">IF($E146="","",IF($M146,IF(AND($G146&gt;=X$5,$G146&lt;X$5+GanttPeriod),"◆",IF(AND($E146&gt;=X$5,$E146&lt;X$5+GanttPeriod),"◇","")),IF(AND(X$5&lt;=$F146,X$5+GanttPeriod-1&gt;=$E146),"━","")))</f>
        <v/>
      </c>
      <c r="Y146" s="69" t="str">
        <f aca="false">IF($E146="","",IF($M146,IF(AND($G146&gt;=Y$5,$G146&lt;Y$5+GanttPeriod),"◆",IF(AND($E146&gt;=Y$5,$E146&lt;Y$5+GanttPeriod),"◇","")),IF(AND(Y$5&lt;=$F146,Y$5+GanttPeriod-1&gt;=$E146),"━","")))</f>
        <v/>
      </c>
      <c r="Z146" s="69" t="str">
        <f aca="false">IF($E146="","",IF($M146,IF(AND($G146&gt;=Z$5,$G146&lt;Z$5+GanttPeriod),"◆",IF(AND($E146&gt;=Z$5,$E146&lt;Z$5+GanttPeriod),"◇","")),IF(AND(Z$5&lt;=$F146,Z$5+GanttPeriod-1&gt;=$E146),"━","")))</f>
        <v/>
      </c>
      <c r="AA146" s="69" t="str">
        <f aca="false">IF($E146="","",IF($M146,IF(AND($G146&gt;=AA$5,$G146&lt;AA$5+GanttPeriod),"◆",IF(AND($E146&gt;=AA$5,$E146&lt;AA$5+GanttPeriod),"◇","")),IF(AND(AA$5&lt;=$F146,AA$5+GanttPeriod-1&gt;=$E146),"━","")))</f>
        <v/>
      </c>
      <c r="AB146" s="69" t="str">
        <f aca="false">IF($E146="","",IF($M146,IF(AND($G146&gt;=AB$5,$G146&lt;AB$5+GanttPeriod),"◆",IF(AND($E146&gt;=AB$5,$E146&lt;AB$5+GanttPeriod),"◇","")),IF(AND(AB$5&lt;=$F146,AB$5+GanttPeriod-1&gt;=$E146),"━","")))</f>
        <v/>
      </c>
      <c r="AC146" s="69" t="str">
        <f aca="false">IF($E146="","",IF($M146,IF(AND($G146&gt;=AC$5,$G146&lt;AC$5+GanttPeriod),"◆",IF(AND($E146&gt;=AC$5,$E146&lt;AC$5+GanttPeriod),"◇","")),IF(AND(AC$5&lt;=$F146,AC$5+GanttPeriod-1&gt;=$E146),"━","")))</f>
        <v/>
      </c>
      <c r="AD146" s="69" t="str">
        <f aca="false">IF($E146="","",IF($M146,IF(AND($G146&gt;=AD$5,$G146&lt;AD$5+GanttPeriod),"◆",IF(AND($E146&gt;=AD$5,$E146&lt;AD$5+GanttPeriod),"◇","")),IF(AND(AD$5&lt;=$F146,AD$5+GanttPeriod-1&gt;=$E146),"━","")))</f>
        <v/>
      </c>
      <c r="AE146" s="69" t="str">
        <f aca="false">IF($E146="","",IF($M146,IF(AND($G146&gt;=AE$5,$G146&lt;AE$5+GanttPeriod),"◆",IF(AND($E146&gt;=AE$5,$E146&lt;AE$5+GanttPeriod),"◇","")),IF(AND(AE$5&lt;=$F146,AE$5+GanttPeriod-1&gt;=$E146),"━","")))</f>
        <v/>
      </c>
      <c r="AF146" s="69" t="str">
        <f aca="false">IF($E146="","",IF($M146,IF(AND($G146&gt;=AF$5,$G146&lt;AF$5+GanttPeriod),"◆",IF(AND($E146&gt;=AF$5,$E146&lt;AF$5+GanttPeriod),"◇","")),IF(AND(AF$5&lt;=$F146,AF$5+GanttPeriod-1&gt;=$E146),"━","")))</f>
        <v/>
      </c>
      <c r="AG146" s="69" t="str">
        <f aca="false">IF($E146="","",IF($M146,IF(AND($G146&gt;=AG$5,$G146&lt;AG$5+GanttPeriod),"◆",IF(AND($E146&gt;=AG$5,$E146&lt;AG$5+GanttPeriod),"◇","")),IF(AND(AG$5&lt;=$F146,AG$5+GanttPeriod-1&gt;=$E146),"━","")))</f>
        <v/>
      </c>
      <c r="AH146" s="69" t="str">
        <f aca="false">IF($E146="","",IF($M146,IF(AND($G146&gt;=AH$5,$G146&lt;AH$5+GanttPeriod),"◆",IF(AND($E146&gt;=AH$5,$E146&lt;AH$5+GanttPeriod),"◇","")),IF(AND(AH$5&lt;=$F146,AH$5+GanttPeriod-1&gt;=$E146),"━","")))</f>
        <v/>
      </c>
      <c r="AI146" s="69" t="str">
        <f aca="false">IF($E146="","",IF($M146,IF(AND($G146&gt;=AI$5,$G146&lt;AI$5+GanttPeriod),"◆",IF(AND($E146&gt;=AI$5,$E146&lt;AI$5+GanttPeriod),"◇","")),IF(AND(AI$5&lt;=$F146,AI$5+GanttPeriod-1&gt;=$E146),"━","")))</f>
        <v/>
      </c>
      <c r="AJ146" s="69" t="str">
        <f aca="false">IF($E146="","",IF($M146,IF(AND($G146&gt;=AJ$5,$G146&lt;AJ$5+GanttPeriod),"◆",IF(AND($E146&gt;=AJ$5,$E146&lt;AJ$5+GanttPeriod),"◇","")),IF(AND(AJ$5&lt;=$F146,AJ$5+GanttPeriod-1&gt;=$E146),"━","")))</f>
        <v/>
      </c>
      <c r="AK146" s="69" t="str">
        <f aca="false">IF($E146="","",IF($M146,IF(AND($G146&gt;=AK$5,$G146&lt;AK$5+GanttPeriod),"◆",IF(AND($E146&gt;=AK$5,$E146&lt;AK$5+GanttPeriod),"◇","")),IF(AND(AK$5&lt;=$F146,AK$5+GanttPeriod-1&gt;=$E146),"━","")))</f>
        <v/>
      </c>
      <c r="AL146" s="69" t="str">
        <f aca="false">IF($E146="","",IF($M146,IF(AND($G146&gt;=AL$5,$G146&lt;AL$5+GanttPeriod),"◆",IF(AND($E146&gt;=AL$5,$E146&lt;AL$5+GanttPeriod),"◇","")),IF(AND(AL$5&lt;=$F146,AL$5+GanttPeriod-1&gt;=$E146),"━","")))</f>
        <v/>
      </c>
      <c r="AM146" s="69" t="str">
        <f aca="false">IF($E146="","",IF($M146,IF(AND($G146&gt;=AM$5,$G146&lt;AM$5+GanttPeriod),"◆",IF(AND($E146&gt;=AM$5,$E146&lt;AM$5+GanttPeriod),"◇","")),IF(AND(AM$5&lt;=$F146,AM$5+GanttPeriod-1&gt;=$E146),"━","")))</f>
        <v/>
      </c>
      <c r="AN146" s="69" t="str">
        <f aca="false">IF($E146="","",IF($M146,IF(AND($G146&gt;=AN$5,$G146&lt;AN$5+GanttPeriod),"◆",IF(AND($E146&gt;=AN$5,$E146&lt;AN$5+GanttPeriod),"◇","")),IF(AND(AN$5&lt;=$F146,AN$5+GanttPeriod-1&gt;=$E146),"━","")))</f>
        <v/>
      </c>
      <c r="AO146" s="69" t="str">
        <f aca="false">IF($E146="","",IF($M146,IF(AND($G146&gt;=AO$5,$G146&lt;AO$5+GanttPeriod),"◆",IF(AND($E146&gt;=AO$5,$E146&lt;AO$5+GanttPeriod),"◇","")),IF(AND(AO$5&lt;=$F146,AO$5+GanttPeriod-1&gt;=$E146),"━","")))</f>
        <v/>
      </c>
      <c r="AP146" s="69" t="str">
        <f aca="false">IF($E146="","",IF($M146,IF(AND($G146&gt;=AP$5,$G146&lt;AP$5+GanttPeriod),"◆",IF(AND($E146&gt;=AP$5,$E146&lt;AP$5+GanttPeriod),"◇","")),IF(AND(AP$5&lt;=$F146,AP$5+GanttPeriod-1&gt;=$E146),"━","")))</f>
        <v/>
      </c>
      <c r="AQ146" s="69" t="str">
        <f aca="false">IF($E146="","",IF($M146,IF(AND($G146&gt;=AQ$5,$G146&lt;AQ$5+GanttPeriod),"◆",IF(AND($E146&gt;=AQ$5,$E146&lt;AQ$5+GanttPeriod),"◇","")),IF(AND(AQ$5&lt;=$F146,AQ$5+GanttPeriod-1&gt;=$E146),"━","")))</f>
        <v/>
      </c>
      <c r="AR146" s="69" t="str">
        <f aca="false">IF($E146="","",IF($M146,IF(AND($G146&gt;=AR$5,$G146&lt;AR$5+GanttPeriod),"◆",IF(AND($E146&gt;=AR$5,$E146&lt;AR$5+GanttPeriod),"◇","")),IF(AND(AR$5&lt;=$F146,AR$5+GanttPeriod-1&gt;=$E146),"━","")))</f>
        <v/>
      </c>
      <c r="AS146" s="69" t="str">
        <f aca="false">IF($E146="","",IF($M146,IF(AND($G146&gt;=AS$5,$G146&lt;AS$5+GanttPeriod),"◆",IF(AND($E146&gt;=AS$5,$E146&lt;AS$5+GanttPeriod),"◇","")),IF(AND(AS$5&lt;=$F146,AS$5+GanttPeriod-1&gt;=$E146),"━","")))</f>
        <v/>
      </c>
      <c r="AT146" s="69" t="str">
        <f aca="false">IF($E146="","",IF($M146,IF(AND($G146&gt;=AT$5,$G146&lt;AT$5+GanttPeriod),"◆",IF(AND($E146&gt;=AT$5,$E146&lt;AT$5+GanttPeriod),"◇","")),IF(AND(AT$5&lt;=$F146,AT$5+GanttPeriod-1&gt;=$E146),"━","")))</f>
        <v/>
      </c>
      <c r="AU146" s="69" t="str">
        <f aca="false">IF($E146="","",IF($M146,IF(AND($G146&gt;=AU$5,$G146&lt;AU$5+GanttPeriod),"◆",IF(AND($E146&gt;=AU$5,$E146&lt;AU$5+GanttPeriod),"◇","")),IF(AND(AU$5&lt;=$F146,AU$5+GanttPeriod-1&gt;=$E146),"━","")))</f>
        <v/>
      </c>
      <c r="AV146" s="69" t="str">
        <f aca="false">IF($E146="","",IF($M146,IF(AND($G146&gt;=AV$5,$G146&lt;AV$5+GanttPeriod),"◆",IF(AND($E146&gt;=AV$5,$E146&lt;AV$5+GanttPeriod),"◇","")),IF(AND(AV$5&lt;=$F146,AV$5+GanttPeriod-1&gt;=$E146),"━","")))</f>
        <v/>
      </c>
      <c r="AW146" s="69" t="str">
        <f aca="false">IF($E146="","",IF($M146,IF(AND($G146&gt;=AW$5,$G146&lt;AW$5+GanttPeriod),"◆",IF(AND($E146&gt;=AW$5,$E146&lt;AW$5+GanttPeriod),"◇","")),IF(AND(AW$5&lt;=$F146,AW$5+GanttPeriod-1&gt;=$E146),"━","")))</f>
        <v/>
      </c>
      <c r="AX146" s="69" t="str">
        <f aca="false">IF($E146="","",IF($M146,IF(AND($G146&gt;=AX$5,$G146&lt;AX$5+GanttPeriod),"◆",IF(AND($E146&gt;=AX$5,$E146&lt;AX$5+GanttPeriod),"◇","")),IF(AND(AX$5&lt;=$F146,AX$5+GanttPeriod-1&gt;=$E146),"━","")))</f>
        <v/>
      </c>
      <c r="AY146" s="69" t="str">
        <f aca="false">IF($E146="","",IF($M146,IF(AND($G146&gt;=AY$5,$G146&lt;AY$5+GanttPeriod),"◆",IF(AND($E146&gt;=AY$5,$E146&lt;AY$5+GanttPeriod),"◇","")),IF(AND(AY$5&lt;=$F146,AY$5+GanttPeriod-1&gt;=$E146),"━","")))</f>
        <v/>
      </c>
      <c r="AZ146" s="69" t="str">
        <f aca="false">IF($E146="","",IF($M146,IF(AND($G146&gt;=AZ$5,$G146&lt;AZ$5+GanttPeriod),"◆",IF(AND($E146&gt;=AZ$5,$E146&lt;AZ$5+GanttPeriod),"◇","")),IF(AND(AZ$5&lt;=$F146,AZ$5+GanttPeriod-1&gt;=$E146),"━","")))</f>
        <v/>
      </c>
      <c r="BA146" s="69" t="str">
        <f aca="false">IF($E146="","",IF($M146,IF(AND($G146&gt;=BA$5,$G146&lt;BA$5+GanttPeriod),"◆",IF(AND($E146&gt;=BA$5,$E146&lt;BA$5+GanttPeriod),"◇","")),IF(AND(BA$5&lt;=$F146,BA$5+GanttPeriod-1&gt;=$E146),"━","")))</f>
        <v/>
      </c>
      <c r="BB146" s="69" t="str">
        <f aca="false">IF($E146="","",IF($M146,IF(AND($G146&gt;=BB$5,$G146&lt;BB$5+GanttPeriod),"◆",IF(AND($E146&gt;=BB$5,$E146&lt;BB$5+GanttPeriod),"◇","")),IF(AND(BB$5&lt;=$F146,BB$5+GanttPeriod-1&gt;=$E146),"━","")))</f>
        <v/>
      </c>
      <c r="BC146" s="69" t="str">
        <f aca="false">IF($E146="","",IF($M146,IF(AND($G146&gt;=BC$5,$G146&lt;BC$5+GanttPeriod),"◆",IF(AND($E146&gt;=BC$5,$E146&lt;BC$5+GanttPeriod),"◇","")),IF(AND(BC$5&lt;=$F146,BC$5+GanttPeriod-1&gt;=$E146),"━","")))</f>
        <v/>
      </c>
      <c r="BD146" s="69" t="str">
        <f aca="false">IF($E146="","",IF($M146,IF(AND($G146&gt;=BD$5,$G146&lt;BD$5+GanttPeriod),"◆",IF(AND($E146&gt;=BD$5,$E146&lt;BD$5+GanttPeriod),"◇","")),IF(AND(BD$5&lt;=$F146,BD$5+GanttPeriod-1&gt;=$E146),"━","")))</f>
        <v/>
      </c>
      <c r="BE146" s="69" t="str">
        <f aca="false">IF($E146="","",IF($M146,IF(AND($G146&gt;=BE$5,$G146&lt;BE$5+GanttPeriod),"◆",IF(AND($E146&gt;=BE$5,$E146&lt;BE$5+GanttPeriod),"◇","")),IF(AND(BE$5&lt;=$F146,BE$5+GanttPeriod-1&gt;=$E146),"━","")))</f>
        <v/>
      </c>
      <c r="BF146" s="69" t="str">
        <f aca="false">IF($E146="","",IF($M146,IF(AND($G146&gt;=BF$5,$G146&lt;BF$5+GanttPeriod),"◆",IF(AND($E146&gt;=BF$5,$E146&lt;BF$5+GanttPeriod),"◇","")),IF(AND(BF$5&lt;=$F146,BF$5+GanttPeriod-1&gt;=$E146),"━","")))</f>
        <v/>
      </c>
      <c r="BG146" s="69" t="str">
        <f aca="false">IF($E146="","",IF($M146,IF(AND($G146&gt;=BG$5,$G146&lt;BG$5+GanttPeriod),"◆",IF(AND($E146&gt;=BG$5,$E146&lt;BG$5+GanttPeriod),"◇","")),IF(AND(BG$5&lt;=$F146,BG$5+GanttPeriod-1&gt;=$E146),"━","")))</f>
        <v/>
      </c>
      <c r="BH146" s="69" t="str">
        <f aca="false">IF($E146="","",IF($M146,IF(AND($G146&gt;=BH$5,$G146&lt;BH$5+GanttPeriod),"◆",IF(AND($E146&gt;=BH$5,$E146&lt;BH$5+GanttPeriod),"◇","")),IF(AND(BH$5&lt;=$F146,BH$5+GanttPeriod-1&gt;=$E146),"━","")))</f>
        <v/>
      </c>
      <c r="BI146" s="69" t="str">
        <f aca="false">IF($E146="","",IF($M146,IF(AND($G146&gt;=BI$5,$G146&lt;BI$5+GanttPeriod),"◆",IF(AND($E146&gt;=BI$5,$E146&lt;BI$5+GanttPeriod),"◇","")),IF(AND(BI$5&lt;=$F146,BI$5+GanttPeriod-1&gt;=$E146),"━","")))</f>
        <v/>
      </c>
      <c r="BJ146" s="69" t="str">
        <f aca="false">IF($E146="","",IF($M146,IF(AND($G146&gt;=BJ$5,$G146&lt;BJ$5+GanttPeriod),"◆",IF(AND($E146&gt;=BJ$5,$E146&lt;BJ$5+GanttPeriod),"◇","")),IF(AND(BJ$5&lt;=$F146,BJ$5+GanttPeriod-1&gt;=$E146),"━","")))</f>
        <v/>
      </c>
      <c r="BK146" s="69" t="str">
        <f aca="false">IF($E146="","",IF($M146,IF(AND($G146&gt;=BK$5,$G146&lt;BK$5+GanttPeriod),"◆",IF(AND($E146&gt;=BK$5,$E146&lt;BK$5+GanttPeriod),"◇","")),IF(AND(BK$5&lt;=$F146,BK$5+GanttPeriod-1&gt;=$E146),"━","")))</f>
        <v/>
      </c>
      <c r="BL146" s="69" t="str">
        <f aca="false">IF($E146="","",IF($M146,IF(AND($G146&gt;=BL$5,$G146&lt;BL$5+GanttPeriod),"◆",IF(AND($E146&gt;=BL$5,$E146&lt;BL$5+GanttPeriod),"◇","")),IF(AND(BL$5&lt;=$F146,BL$5+GanttPeriod-1&gt;=$E146),"━","")))</f>
        <v/>
      </c>
      <c r="BM146" s="69" t="str">
        <f aca="false">IF($E146="","",IF($M146,IF(AND($G146&gt;=BM$5,$G146&lt;BM$5+GanttPeriod),"◆",IF(AND($E146&gt;=BM$5,$E146&lt;BM$5+GanttPeriod),"◇","")),IF(AND(BM$5&lt;=$F146,BM$5+GanttPeriod-1&gt;=$E146),"━","")))</f>
        <v/>
      </c>
      <c r="BN146" s="69" t="str">
        <f aca="false">IF($E146="","",IF($M146,IF(AND($G146&gt;=BN$5,$G146&lt;BN$5+GanttPeriod),"◆",IF(AND($E146&gt;=BN$5,$E146&lt;BN$5+GanttPeriod),"◇","")),IF(AND(BN$5&lt;=$F146,BN$5+GanttPeriod-1&gt;=$E146),"━","")))</f>
        <v/>
      </c>
      <c r="BO146" s="69" t="str">
        <f aca="false">IF($E146="","",IF($M146,IF(AND($G146&gt;=BO$5,$G146&lt;BO$5+GanttPeriod),"◆",IF(AND($E146&gt;=BO$5,$E146&lt;BO$5+GanttPeriod),"◇","")),IF(AND(BO$5&lt;=$F146,BO$5+GanttPeriod-1&gt;=$E146),"━","")))</f>
        <v/>
      </c>
      <c r="BP146" s="69" t="str">
        <f aca="false">IF($E146="","",IF($M146,IF(AND($G146&gt;=BP$5,$G146&lt;BP$5+GanttPeriod),"◆",IF(AND($E146&gt;=BP$5,$E146&lt;BP$5+GanttPeriod),"◇","")),IF(AND(BP$5&lt;=$F146,BP$5+GanttPeriod-1&gt;=$E146),"━","")))</f>
        <v/>
      </c>
      <c r="BQ146" s="69" t="str">
        <f aca="false">IF($E146="","",IF($M146,IF(AND($G146&gt;=BQ$5,$G146&lt;BQ$5+GanttPeriod),"◆",IF(AND($E146&gt;=BQ$5,$E146&lt;BQ$5+GanttPeriod),"◇","")),IF(AND(BQ$5&lt;=$F146,BQ$5+GanttPeriod-1&gt;=$E146),"━","")))</f>
        <v/>
      </c>
      <c r="BR146" s="69" t="str">
        <f aca="false">IF($E146="","",IF($M146,IF(AND($G146&gt;=BR$5,$G146&lt;BR$5+GanttPeriod),"◆",IF(AND($E146&gt;=BR$5,$E146&lt;BR$5+GanttPeriod),"◇","")),IF(AND(BR$5&lt;=$F146,BR$5+GanttPeriod-1&gt;=$E146),"━","")))</f>
        <v/>
      </c>
      <c r="BS146" s="69" t="str">
        <f aca="false">IF($E146="","",IF($M146,IF(AND($G146&gt;=BS$5,$G146&lt;BS$5+GanttPeriod),"◆",IF(AND($E146&gt;=BS$5,$E146&lt;BS$5+GanttPeriod),"◇","")),IF(AND(BS$5&lt;=$F146,BS$5+GanttPeriod-1&gt;=$E146),"━","")))</f>
        <v/>
      </c>
      <c r="BT146" s="69" t="str">
        <f aca="false">IF($E146="","",IF($M146,IF(AND($G146&gt;=BT$5,$G146&lt;BT$5+GanttPeriod),"◆",IF(AND($E146&gt;=BT$5,$E146&lt;BT$5+GanttPeriod),"◇","")),IF(AND(BT$5&lt;=$F146,BT$5+GanttPeriod-1&gt;=$E146),"━","")))</f>
        <v/>
      </c>
      <c r="BU146" s="69" t="str">
        <f aca="false">IF($E146="","",IF($M146,IF(AND($G146&gt;=BU$5,$G146&lt;BU$5+GanttPeriod),"◆",IF(AND($E146&gt;=BU$5,$E146&lt;BU$5+GanttPeriod),"◇","")),IF(AND(BU$5&lt;=$F146,BU$5+GanttPeriod-1&gt;=$E146),"━","")))</f>
        <v/>
      </c>
      <c r="BV146" s="69" t="str">
        <f aca="false">IF($E146="","",IF($M146,IF(AND($G146&gt;=BV$5,$G146&lt;BV$5+GanttPeriod),"◆",IF(AND($E146&gt;=BV$5,$E146&lt;BV$5+GanttPeriod),"◇","")),IF(AND(BV$5&lt;=$F146,BV$5+GanttPeriod-1&gt;=$E146),"━","")))</f>
        <v/>
      </c>
      <c r="BW146" s="69" t="str">
        <f aca="false">IF($E146="","",IF($M146,IF(AND($G146&gt;=BW$5,$G146&lt;BW$5+GanttPeriod),"◆",IF(AND($E146&gt;=BW$5,$E146&lt;BW$5+GanttPeriod),"◇","")),IF(AND(BW$5&lt;=$F146,BW$5+GanttPeriod-1&gt;=$E146),"━","")))</f>
        <v/>
      </c>
      <c r="BX146" s="69" t="str">
        <f aca="false">IF($E146="","",IF($M146,IF(AND($G146&gt;=BX$5,$G146&lt;BX$5+GanttPeriod),"◆",IF(AND($E146&gt;=BX$5,$E146&lt;BX$5+GanttPeriod),"◇","")),IF(AND(BX$5&lt;=$F146,BX$5+GanttPeriod-1&gt;=$E146),"━","")))</f>
        <v/>
      </c>
      <c r="BY146" s="69" t="str">
        <f aca="false">IF($E146="","",IF($M146,IF(AND($G146&gt;=BY$5,$G146&lt;BY$5+GanttPeriod),"◆",IF(AND($E146&gt;=BY$5,$E146&lt;BY$5+GanttPeriod),"◇","")),IF(AND(BY$5&lt;=$F146,BY$5+GanttPeriod-1&gt;=$E146),"━","")))</f>
        <v/>
      </c>
      <c r="BZ146" s="69" t="str">
        <f aca="false">IF($E146="","",IF($M146,IF(AND($G146&gt;=BZ$5,$G146&lt;BZ$5+GanttPeriod),"◆",IF(AND($E146&gt;=BZ$5,$E146&lt;BZ$5+GanttPeriod),"◇","")),IF(AND(BZ$5&lt;=$F146,BZ$5+GanttPeriod-1&gt;=$E146),"━","")))</f>
        <v/>
      </c>
      <c r="CA146" s="69" t="str">
        <f aca="false">IF($E146="","",IF($M146,IF(AND($G146&gt;=CA$5,$G146&lt;CA$5+GanttPeriod),"◆",IF(AND($E146&gt;=CA$5,$E146&lt;CA$5+GanttPeriod),"◇","")),IF(AND(CA$5&lt;=$F146,CA$5+GanttPeriod-1&gt;=$E146),"━","")))</f>
        <v/>
      </c>
      <c r="CB146" s="69" t="str">
        <f aca="false">IF($E146="","",IF($M146,IF(AND($G146&gt;=CB$5,$G146&lt;CB$5+GanttPeriod),"◆",IF(AND($E146&gt;=CB$5,$E146&lt;CB$5+GanttPeriod),"◇","")),IF(AND(CB$5&lt;=$F146,CB$5+GanttPeriod-1&gt;=$E146),"━","")))</f>
        <v/>
      </c>
      <c r="CC146" s="69" t="str">
        <f aca="false">IF($E146="","",IF($M146,IF(AND($G146&gt;=CC$5,$G146&lt;CC$5+GanttPeriod),"◆",IF(AND($E146&gt;=CC$5,$E146&lt;CC$5+GanttPeriod),"◇","")),IF(AND(CC$5&lt;=$F146,CC$5+GanttPeriod-1&gt;=$E146),"━","")))</f>
        <v/>
      </c>
      <c r="CD146" s="69" t="str">
        <f aca="false">IF($E146="","",IF($M146,IF(AND($G146&gt;=CD$5,$G146&lt;CD$5+GanttPeriod),"◆",IF(AND($E146&gt;=CD$5,$E146&lt;CD$5+GanttPeriod),"◇","")),IF(AND(CD$5&lt;=$F146,CD$5+GanttPeriod-1&gt;=$E146),"━","")))</f>
        <v/>
      </c>
      <c r="CE146" s="69" t="str">
        <f aca="false">IF($E146="","",IF($M146,IF(AND($G146&gt;=CE$5,$G146&lt;CE$5+GanttPeriod),"◆",IF(AND($E146&gt;=CE$5,$E146&lt;CE$5+GanttPeriod),"◇","")),IF(AND(CE$5&lt;=$F146,CE$5+GanttPeriod-1&gt;=$E146),"━","")))</f>
        <v/>
      </c>
      <c r="CF146" s="69" t="str">
        <f aca="false">IF($E146="","",IF($M146,IF(AND($G146&gt;=CF$5,$G146&lt;CF$5+GanttPeriod),"◆",IF(AND($E146&gt;=CF$5,$E146&lt;CF$5+GanttPeriod),"◇","")),IF(AND(CF$5&lt;=$F146,CF$5+GanttPeriod-1&gt;=$E146),"━","")))</f>
        <v/>
      </c>
      <c r="CG146" s="69" t="str">
        <f aca="false">IF($E146="","",IF($M146,IF(AND($G146&gt;=CG$5,$G146&lt;CG$5+GanttPeriod),"◆",IF(AND($E146&gt;=CG$5,$E146&lt;CG$5+GanttPeriod),"◇","")),IF(AND(CG$5&lt;=$F146,CG$5+GanttPeriod-1&gt;=$E146),"━","")))</f>
        <v/>
      </c>
      <c r="CH146" s="69" t="str">
        <f aca="false">IF($E146="","",IF($M146,IF(AND($G146&gt;=CH$5,$G146&lt;CH$5+GanttPeriod),"◆",IF(AND($E146&gt;=CH$5,$E146&lt;CH$5+GanttPeriod),"◇","")),IF(AND(CH$5&lt;=$F146,CH$5+GanttPeriod-1&gt;=$E146),"━","")))</f>
        <v/>
      </c>
      <c r="CI146" s="69" t="str">
        <f aca="false">IF($E146="","",IF($M146,IF(AND($G146&gt;=CI$5,$G146&lt;CI$5+GanttPeriod),"◆",IF(AND($E146&gt;=CI$5,$E146&lt;CI$5+GanttPeriod),"◇","")),IF(AND(CI$5&lt;=$F146,CI$5+GanttPeriod-1&gt;=$E146),"━","")))</f>
        <v/>
      </c>
      <c r="CJ146" s="69" t="str">
        <f aca="false">IF($E146="","",IF($M146,IF(AND($G146&gt;=CJ$5,$G146&lt;CJ$5+GanttPeriod),"◆",IF(AND($E146&gt;=CJ$5,$E146&lt;CJ$5+GanttPeriod),"◇","")),IF(AND(CJ$5&lt;=$F146,CJ$5+GanttPeriod-1&gt;=$E146),"━","")))</f>
        <v/>
      </c>
      <c r="CK146" s="69" t="str">
        <f aca="false">IF($E146="","",IF($M146,IF(AND($G146&gt;=CK$5,$G146&lt;CK$5+GanttPeriod),"◆",IF(AND($E146&gt;=CK$5,$E146&lt;CK$5+GanttPeriod),"◇","")),IF(AND(CK$5&lt;=$F146,CK$5+GanttPeriod-1&gt;=$E146),"━","")))</f>
        <v/>
      </c>
      <c r="CL146" s="69" t="str">
        <f aca="false">IF($E146="","",IF($M146,IF(AND($G146&gt;=CL$5,$G146&lt;CL$5+GanttPeriod),"◆",IF(AND($E146&gt;=CL$5,$E146&lt;CL$5+GanttPeriod),"◇","")),IF(AND(CL$5&lt;=$F146,CL$5+GanttPeriod-1&gt;=$E146),"━","")))</f>
        <v/>
      </c>
      <c r="CM146" s="69" t="str">
        <f aca="false">IF($E146="","",IF($M146,IF(AND($G146&gt;=CM$5,$G146&lt;CM$5+GanttPeriod),"◆",IF(AND($E146&gt;=CM$5,$E146&lt;CM$5+GanttPeriod),"◇","")),IF(AND(CM$5&lt;=$F146,CM$5+GanttPeriod-1&gt;=$E146),"━","")))</f>
        <v/>
      </c>
      <c r="CN146" s="69" t="str">
        <f aca="false">IF($E146="","",IF($M146,IF(AND($G146&gt;=CN$5,$G146&lt;CN$5+GanttPeriod),"◆",IF(AND($E146&gt;=CN$5,$E146&lt;CN$5+GanttPeriod),"◇","")),IF(AND(CN$5&lt;=$F146,CN$5+GanttPeriod-1&gt;=$E146),"━","")))</f>
        <v/>
      </c>
      <c r="CO146" s="69" t="str">
        <f aca="false">IF($E146="","",IF($M146,IF(AND($G146&gt;=CO$5,$G146&lt;CO$5+GanttPeriod),"◆",IF(AND($E146&gt;=CO$5,$E146&lt;CO$5+GanttPeriod),"◇","")),IF(AND(CO$5&lt;=$F146,CO$5+GanttPeriod-1&gt;=$E146),"━","")))</f>
        <v/>
      </c>
      <c r="CP146" s="69" t="str">
        <f aca="false">IF($E146="","",IF($M146,IF(AND($G146&gt;=CP$5,$G146&lt;CP$5+GanttPeriod),"◆",IF(AND($E146&gt;=CP$5,$E146&lt;CP$5+GanttPeriod),"◇","")),IF(AND(CP$5&lt;=$F146,CP$5+GanttPeriod-1&gt;=$E146),"━","")))</f>
        <v/>
      </c>
      <c r="CQ146" s="69" t="str">
        <f aca="false">IF($E146="","",IF($M146,IF(AND($G146&gt;=CQ$5,$G146&lt;CQ$5+GanttPeriod),"◆",IF(AND($E146&gt;=CQ$5,$E146&lt;CQ$5+GanttPeriod),"◇","")),IF(AND(CQ$5&lt;=$F146,CQ$5+GanttPeriod-1&gt;=$E146),"━","")))</f>
        <v/>
      </c>
      <c r="CR146" s="69" t="str">
        <f aca="false">IF($E146="","",IF($M146,IF(AND($G146&gt;=CR$5,$G146&lt;CR$5+GanttPeriod),"◆",IF(AND($E146&gt;=CR$5,$E146&lt;CR$5+GanttPeriod),"◇","")),IF(AND(CR$5&lt;=$F146,CR$5+GanttPeriod-1&gt;=$E146),"━","")))</f>
        <v/>
      </c>
      <c r="CS146" s="69" t="str">
        <f aca="false">IF($E146="","",IF($M146,IF(AND($G146&gt;=CS$5,$G146&lt;CS$5+GanttPeriod),"◆",IF(AND($E146&gt;=CS$5,$E146&lt;CS$5+GanttPeriod),"◇","")),IF(AND(CS$5&lt;=$F146,CS$5+GanttPeriod-1&gt;=$E146),"━","")))</f>
        <v/>
      </c>
      <c r="CT146" s="69" t="str">
        <f aca="false">IF($E146="","",IF($M146,IF(AND($G146&gt;=CT$5,$G146&lt;CT$5+GanttPeriod),"◆",IF(AND($E146&gt;=CT$5,$E146&lt;CT$5+GanttPeriod),"◇","")),IF(AND(CT$5&lt;=$F146,CT$5+GanttPeriod-1&gt;=$E146),"━","")))</f>
        <v/>
      </c>
      <c r="CU146" s="69" t="str">
        <f aca="false">IF($E146="","",IF($M146,IF(AND($G146&gt;=CU$5,$G146&lt;CU$5+GanttPeriod),"◆",IF(AND($E146&gt;=CU$5,$E146&lt;CU$5+GanttPeriod),"◇","")),IF(AND(CU$5&lt;=$F146,CU$5+GanttPeriod-1&gt;=$E146),"━","")))</f>
        <v/>
      </c>
      <c r="CV146" s="69" t="str">
        <f aca="false">IF($E146="","",IF($M146,IF(AND($G146&gt;=CV$5,$G146&lt;CV$5+GanttPeriod),"◆",IF(AND($E146&gt;=CV$5,$E146&lt;CV$5+GanttPeriod),"◇","")),IF(AND(CV$5&lt;=$F146,CV$5+GanttPeriod-1&gt;=$E146),"━","")))</f>
        <v/>
      </c>
      <c r="CW146" s="69" t="str">
        <f aca="false">IF($E146="","",IF($M146,IF(AND($G146&gt;=CW$5,$G146&lt;CW$5+GanttPeriod),"◆",IF(AND($E146&gt;=CW$5,$E146&lt;CW$5+GanttPeriod),"◇","")),IF(AND(CW$5&lt;=$F146,CW$5+GanttPeriod-1&gt;=$E146),"━","")))</f>
        <v/>
      </c>
      <c r="CX146" s="69" t="str">
        <f aca="false">IF($E146="","",IF($M146,IF(AND($G146&gt;=CX$5,$G146&lt;CX$5+GanttPeriod),"◆",IF(AND($E146&gt;=CX$5,$E146&lt;CX$5+GanttPeriod),"◇","")),IF(AND(CX$5&lt;=$F146,CX$5+GanttPeriod-1&gt;=$E146),"━","")))</f>
        <v/>
      </c>
      <c r="CY146" s="69" t="str">
        <f aca="false">IF($E146="","",IF($M146,IF(AND($G146&gt;=CY$5,$G146&lt;CY$5+GanttPeriod),"◆",IF(AND($E146&gt;=CY$5,$E146&lt;CY$5+GanttPeriod),"◇","")),IF(AND(CY$5&lt;=$F146,CY$5+GanttPeriod-1&gt;=$E146),"━","")))</f>
        <v/>
      </c>
      <c r="CZ146" s="69" t="str">
        <f aca="false">IF($E146="","",IF($M146,IF(AND($G146&gt;=CZ$5,$G146&lt;CZ$5+GanttPeriod),"◆",IF(AND($E146&gt;=CZ$5,$E146&lt;CZ$5+GanttPeriod),"◇","")),IF(AND(CZ$5&lt;=$F146,CZ$5+GanttPeriod-1&gt;=$E146),"━","")))</f>
        <v/>
      </c>
      <c r="DA146" s="69" t="str">
        <f aca="false">IF($E146="","",IF($M146,IF(AND($G146&gt;=DA$5,$G146&lt;DA$5+GanttPeriod),"◆",IF(AND($E146&gt;=DA$5,$E146&lt;DA$5+GanttPeriod),"◇","")),IF(AND(DA$5&lt;=$F146,DA$5+GanttPeriod-1&gt;=$E146),"━","")))</f>
        <v/>
      </c>
      <c r="DB146" s="69" t="str">
        <f aca="false">IF($E146="","",IF($M146,IF(AND($G146&gt;=DB$5,$G146&lt;DB$5+GanttPeriod),"◆",IF(AND($E146&gt;=DB$5,$E146&lt;DB$5+GanttPeriod),"◇","")),IF(AND(DB$5&lt;=$F146,DB$5+GanttPeriod-1&gt;=$E146),"━","")))</f>
        <v/>
      </c>
      <c r="DC146" s="69" t="str">
        <f aca="false">IF($E146="","",IF($M146,IF(AND($G146&gt;=DC$5,$G146&lt;DC$5+GanttPeriod),"◆",IF(AND($E146&gt;=DC$5,$E146&lt;DC$5+GanttPeriod),"◇","")),IF(AND(DC$5&lt;=$F146,DC$5+GanttPeriod-1&gt;=$E146),"━","")))</f>
        <v/>
      </c>
      <c r="DD146" s="69" t="str">
        <f aca="false">IF($E146="","",IF($M146,IF(AND($G146&gt;=DD$5,$G146&lt;DD$5+GanttPeriod),"◆",IF(AND($E146&gt;=DD$5,$E146&lt;DD$5+GanttPeriod),"◇","")),IF(AND(DD$5&lt;=$F146,DD$5+GanttPeriod-1&gt;=$E146),"━","")))</f>
        <v/>
      </c>
      <c r="DE146" s="69" t="str">
        <f aca="false">IF($E146="","",IF($M146,IF(AND($G146&gt;=DE$5,$G146&lt;DE$5+GanttPeriod),"◆",IF(AND($E146&gt;=DE$5,$E146&lt;DE$5+GanttPeriod),"◇","")),IF(AND(DE$5&lt;=$F146,DE$5+GanttPeriod-1&gt;=$E146),"━","")))</f>
        <v/>
      </c>
      <c r="DF146" s="69" t="str">
        <f aca="false">IF($E146="","",IF($M146,IF(AND($G146&gt;=DF$5,$G146&lt;DF$5+GanttPeriod),"◆",IF(AND($E146&gt;=DF$5,$E146&lt;DF$5+GanttPeriod),"◇","")),IF(AND(DF$5&lt;=$F146,DF$5+GanttPeriod-1&gt;=$E146),"━","")))</f>
        <v/>
      </c>
      <c r="DG146" s="69" t="str">
        <f aca="false">IF($E146="","",IF($M146,IF(AND($G146&gt;=DG$5,$G146&lt;DG$5+GanttPeriod),"◆",IF(AND($E146&gt;=DG$5,$E146&lt;DG$5+GanttPeriod),"◇","")),IF(AND(DG$5&lt;=$F146,DG$5+GanttPeriod-1&gt;=$E146),"━","")))</f>
        <v/>
      </c>
      <c r="DH146" s="69" t="str">
        <f aca="false">IF($E146="","",IF($M146,IF(AND($G146&gt;=DH$5,$G146&lt;DH$5+GanttPeriod),"◆",IF(AND($E146&gt;=DH$5,$E146&lt;DH$5+GanttPeriod),"◇","")),IF(AND(DH$5&lt;=$F146,DH$5+GanttPeriod-1&gt;=$E146),"━","")))</f>
        <v/>
      </c>
      <c r="DI146" s="69" t="str">
        <f aca="false">IF($E146="","",IF($M146,IF(AND($G146&gt;=DI$5,$G146&lt;DI$5+GanttPeriod),"◆",IF(AND($E146&gt;=DI$5,$E146&lt;DI$5+GanttPeriod),"◇","")),IF(AND(DI$5&lt;=$F146,DI$5+GanttPeriod-1&gt;=$E146),"━","")))</f>
        <v/>
      </c>
      <c r="DJ146" s="69" t="str">
        <f aca="false">IF($E146="","",IF($M146,IF(AND($G146&gt;=DJ$5,$G146&lt;DJ$5+GanttPeriod),"◆",IF(AND($E146&gt;=DJ$5,$E146&lt;DJ$5+GanttPeriod),"◇","")),IF(AND(DJ$5&lt;=$F146,DJ$5+GanttPeriod-1&gt;=$E146),"━","")))</f>
        <v/>
      </c>
      <c r="DK146" s="69" t="str">
        <f aca="false">IF($E146="","",IF($M146,IF(AND($G146&gt;=DK$5,$G146&lt;DK$5+GanttPeriod),"◆",IF(AND($E146&gt;=DK$5,$E146&lt;DK$5+GanttPeriod),"◇","")),IF(AND(DK$5&lt;=$F146,DK$5+GanttPeriod-1&gt;=$E146),"━","")))</f>
        <v/>
      </c>
      <c r="DL146" s="69" t="str">
        <f aca="false">IF($E146="","",IF($M146,IF(AND($G146&gt;=DL$5,$G146&lt;DL$5+GanttPeriod),"◆",IF(AND($E146&gt;=DL$5,$E146&lt;DL$5+GanttPeriod),"◇","")),IF(AND(DL$5&lt;=$F146,DL$5+GanttPeriod-1&gt;=$E146),"━","")))</f>
        <v/>
      </c>
      <c r="DM146" s="69" t="str">
        <f aca="false">IF($E146="","",IF($M146,IF(AND($G146&gt;=DM$5,$G146&lt;DM$5+GanttPeriod),"◆",IF(AND($E146&gt;=DM$5,$E146&lt;DM$5+GanttPeriod),"◇","")),IF(AND(DM$5&lt;=$F146,DM$5+GanttPeriod-1&gt;=$E146),"━","")))</f>
        <v/>
      </c>
      <c r="DN146" s="69" t="str">
        <f aca="false">IF($E146="","",IF($M146,IF(AND($G146&gt;=DN$5,$G146&lt;DN$5+GanttPeriod),"◆",IF(AND($E146&gt;=DN$5,$E146&lt;DN$5+GanttPeriod),"◇","")),IF(AND(DN$5&lt;=$F146,DN$5+GanttPeriod-1&gt;=$E146),"━","")))</f>
        <v/>
      </c>
      <c r="DO146" s="69" t="str">
        <f aca="false">IF($E146="","",IF($M146,IF(AND($G146&gt;=DO$5,$G146&lt;DO$5+GanttPeriod),"◆",IF(AND($E146&gt;=DO$5,$E146&lt;DO$5+GanttPeriod),"◇","")),IF(AND(DO$5&lt;=$F146,DO$5+GanttPeriod-1&gt;=$E146),"━","")))</f>
        <v/>
      </c>
      <c r="DP146" s="69" t="str">
        <f aca="false">IF($E146="","",IF($M146,IF(AND($G146&gt;=DP$5,$G146&lt;DP$5+GanttPeriod),"◆",IF(AND($E146&gt;=DP$5,$E146&lt;DP$5+GanttPeriod),"◇","")),IF(AND(DP$5&lt;=$F146,DP$5+GanttPeriod-1&gt;=$E146),"━","")))</f>
        <v/>
      </c>
      <c r="DQ146" s="69" t="str">
        <f aca="false">IF($E146="","",IF($M146,IF(AND($G146&gt;=DQ$5,$G146&lt;DQ$5+GanttPeriod),"◆",IF(AND($E146&gt;=DQ$5,$E146&lt;DQ$5+GanttPeriod),"◇","")),IF(AND(DQ$5&lt;=$F146,DQ$5+GanttPeriod-1&gt;=$E146),"━","")))</f>
        <v/>
      </c>
      <c r="DR146" s="69" t="str">
        <f aca="false">IF($E146="","",IF($M146,IF(AND($G146&gt;=DR$5,$G146&lt;DR$5+GanttPeriod),"◆",IF(AND($E146&gt;=DR$5,$E146&lt;DR$5+GanttPeriod),"◇","")),IF(AND(DR$5&lt;=$F146,DR$5+GanttPeriod-1&gt;=$E146),"━","")))</f>
        <v/>
      </c>
      <c r="DS146" s="69" t="str">
        <f aca="false">IF($E146="","",IF($M146,IF(AND($G146&gt;=DS$5,$G146&lt;DS$5+GanttPeriod),"◆",IF(AND($E146&gt;=DS$5,$E146&lt;DS$5+GanttPeriod),"◇","")),IF(AND(DS$5&lt;=$F146,DS$5+GanttPeriod-1&gt;=$E146),"━","")))</f>
        <v/>
      </c>
      <c r="DT146" s="69" t="str">
        <f aca="false">IF($E146="","",IF($M146,IF(AND($G146&gt;=DT$5,$G146&lt;DT$5+GanttPeriod),"◆",IF(AND($E146&gt;=DT$5,$E146&lt;DT$5+GanttPeriod),"◇","")),IF(AND(DT$5&lt;=$F146,DT$5+GanttPeriod-1&gt;=$E146),"━","")))</f>
        <v/>
      </c>
      <c r="DU146" s="69" t="str">
        <f aca="false">IF($E146="","",IF($M146,IF(AND($G146&gt;=DU$5,$G146&lt;DU$5+GanttPeriod),"◆",IF(AND($E146&gt;=DU$5,$E146&lt;DU$5+GanttPeriod),"◇","")),IF(AND(DU$5&lt;=$F146,DU$5+GanttPeriod-1&gt;=$E146),"━","")))</f>
        <v/>
      </c>
      <c r="DV146" s="69" t="str">
        <f aca="false">IF($E146="","",IF($M146,IF(AND($G146&gt;=DV$5,$G146&lt;DV$5+GanttPeriod),"◆",IF(AND($E146&gt;=DV$5,$E146&lt;DV$5+GanttPeriod),"◇","")),IF(AND(DV$5&lt;=$F146,DV$5+GanttPeriod-1&gt;=$E146),"━","")))</f>
        <v/>
      </c>
      <c r="DW146" s="69" t="str">
        <f aca="false">IF($E146="","",IF($M146,IF(AND($G146&gt;=DW$5,$G146&lt;DW$5+GanttPeriod),"◆",IF(AND($E146&gt;=DW$5,$E146&lt;DW$5+GanttPeriod),"◇","")),IF(AND(DW$5&lt;=$F146,DW$5+GanttPeriod-1&gt;=$E146),"━","")))</f>
        <v/>
      </c>
      <c r="DX146" s="69" t="str">
        <f aca="false">IF($E146="","",IF($M146,IF(AND($G146&gt;=DX$5,$G146&lt;DX$5+GanttPeriod),"◆",IF(AND($E146&gt;=DX$5,$E146&lt;DX$5+GanttPeriod),"◇","")),IF(AND(DX$5&lt;=$F146,DX$5+GanttPeriod-1&gt;=$E146),"━","")))</f>
        <v/>
      </c>
      <c r="DY146" s="69" t="str">
        <f aca="false">IF($E146="","",IF($M146,IF(AND($G146&gt;=DY$5,$G146&lt;DY$5+GanttPeriod),"◆",IF(AND($E146&gt;=DY$5,$E146&lt;DY$5+GanttPeriod),"◇","")),IF(AND(DY$5&lt;=$F146,DY$5+GanttPeriod-1&gt;=$E146),"━","")))</f>
        <v/>
      </c>
      <c r="DZ146" s="69" t="str">
        <f aca="false">IF($E146="","",IF($M146,IF(AND($G146&gt;=DZ$5,$G146&lt;DZ$5+GanttPeriod),"◆",IF(AND($E146&gt;=DZ$5,$E146&lt;DZ$5+GanttPeriod),"◇","")),IF(AND(DZ$5&lt;=$F146,DZ$5+GanttPeriod-1&gt;=$E146),"━","")))</f>
        <v/>
      </c>
      <c r="EA146" s="69" t="str">
        <f aca="false">IF($E146="","",IF($M146,IF(AND($G146&gt;=EA$5,$G146&lt;EA$5+GanttPeriod),"◆",IF(AND($E146&gt;=EA$5,$E146&lt;EA$5+GanttPeriod),"◇","")),IF(AND(EA$5&lt;=$F146,EA$5+GanttPeriod-1&gt;=$E146),"━","")))</f>
        <v/>
      </c>
      <c r="EB146" s="69" t="str">
        <f aca="false">IF($E146="","",IF($M146,IF(AND($G146&gt;=EB$5,$G146&lt;EB$5+GanttPeriod),"◆",IF(AND($E146&gt;=EB$5,$E146&lt;EB$5+GanttPeriod),"◇","")),IF(AND(EB$5&lt;=$F146,EB$5+GanttPeriod-1&gt;=$E146),"━","")))</f>
        <v/>
      </c>
      <c r="EC146" s="69" t="str">
        <f aca="false">IF($E146="","",IF($M146,IF(AND($G146&gt;=EC$5,$G146&lt;EC$5+GanttPeriod),"◆",IF(AND($E146&gt;=EC$5,$E146&lt;EC$5+GanttPeriod),"◇","")),IF(AND(EC$5&lt;=$F146,EC$5+GanttPeriod-1&gt;=$E146),"━","")))</f>
        <v/>
      </c>
      <c r="ED146" s="69" t="str">
        <f aca="false">IF($E146="","",IF($M146,IF(AND($G146&gt;=ED$5,$G146&lt;ED$5+GanttPeriod),"◆",IF(AND($E146&gt;=ED$5,$E146&lt;ED$5+GanttPeriod),"◇","")),IF(AND(ED$5&lt;=$F146,ED$5+GanttPeriod-1&gt;=$E146),"━","")))</f>
        <v/>
      </c>
      <c r="EE146" s="69" t="str">
        <f aca="false">IF($E146="","",IF($M146,IF(AND($G146&gt;=EE$5,$G146&lt;EE$5+GanttPeriod),"◆",IF(AND($E146&gt;=EE$5,$E146&lt;EE$5+GanttPeriod),"◇","")),IF(AND(EE$5&lt;=$F146,EE$5+GanttPeriod-1&gt;=$E146),"━","")))</f>
        <v/>
      </c>
      <c r="EF146" s="69" t="str">
        <f aca="false">IF($E146="","",IF($M146,IF(AND($G146&gt;=EF$5,$G146&lt;EF$5+GanttPeriod),"◆",IF(AND($E146&gt;=EF$5,$E146&lt;EF$5+GanttPeriod),"◇","")),IF(AND(EF$5&lt;=$F146,EF$5+GanttPeriod-1&gt;=$E146),"━","")))</f>
        <v/>
      </c>
      <c r="EG146" s="69" t="str">
        <f aca="false">IF($E146="","",IF($M146,IF(AND($G146&gt;=EG$5,$G146&lt;EG$5+GanttPeriod),"◆",IF(AND($E146&gt;=EG$5,$E146&lt;EG$5+GanttPeriod),"◇","")),IF(AND(EG$5&lt;=$F146,EG$5+GanttPeriod-1&gt;=$E146),"━","")))</f>
        <v/>
      </c>
      <c r="EH146" s="69" t="str">
        <f aca="false">IF($E146="","",IF($M146,IF(AND($G146&gt;=EH$5,$G146&lt;EH$5+GanttPeriod),"◆",IF(AND($E146&gt;=EH$5,$E146&lt;EH$5+GanttPeriod),"◇","")),IF(AND(EH$5&lt;=$F146,EH$5+GanttPeriod-1&gt;=$E146),"━","")))</f>
        <v/>
      </c>
      <c r="EI146" s="69" t="str">
        <f aca="false">IF($E146="","",IF($M146,IF(AND($G146&gt;=EI$5,$G146&lt;EI$5+GanttPeriod),"◆",IF(AND($E146&gt;=EI$5,$E146&lt;EI$5+GanttPeriod),"◇","")),IF(AND(EI$5&lt;=$F146,EI$5+GanttPeriod-1&gt;=$E146),"━","")))</f>
        <v/>
      </c>
      <c r="EJ146" s="69" t="str">
        <f aca="false">IF($E146="","",IF($M146,IF(AND($G146&gt;=EJ$5,$G146&lt;EJ$5+GanttPeriod),"◆",IF(AND($E146&gt;=EJ$5,$E146&lt;EJ$5+GanttPeriod),"◇","")),IF(AND(EJ$5&lt;=$F146,EJ$5+GanttPeriod-1&gt;=$E146),"━","")))</f>
        <v/>
      </c>
      <c r="EK146" s="69" t="str">
        <f aca="false">IF($E146="","",IF($M146,IF(AND($G146&gt;=EK$5,$G146&lt;EK$5+GanttPeriod),"◆",IF(AND($E146&gt;=EK$5,$E146&lt;EK$5+GanttPeriod),"◇","")),IF(AND(EK$5&lt;=$F146,EK$5+GanttPeriod-1&gt;=$E146),"━","")))</f>
        <v/>
      </c>
      <c r="EL146" s="69" t="str">
        <f aca="false">IF($E146="","",IF($M146,IF(AND($G146&gt;=EL$5,$G146&lt;EL$5+GanttPeriod),"◆",IF(AND($E146&gt;=EL$5,$E146&lt;EL$5+GanttPeriod),"◇","")),IF(AND(EL$5&lt;=$F146,EL$5+GanttPeriod-1&gt;=$E146),"━","")))</f>
        <v/>
      </c>
      <c r="EM146" s="69" t="str">
        <f aca="false">IF($E146="","",IF($M146,IF(AND($G146&gt;=EM$5,$G146&lt;EM$5+GanttPeriod),"◆",IF(AND($E146&gt;=EM$5,$E146&lt;EM$5+GanttPeriod),"◇","")),IF(AND(EM$5&lt;=$F146,EM$5+GanttPeriod-1&gt;=$E146),"━","")))</f>
        <v/>
      </c>
      <c r="EN146" s="69" t="str">
        <f aca="false">IF($E146="","",IF($M146,IF(AND($G146&gt;=EN$5,$G146&lt;EN$5+GanttPeriod),"◆",IF(AND($E146&gt;=EN$5,$E146&lt;EN$5+GanttPeriod),"◇","")),IF(AND(EN$5&lt;=$F146,EN$5+GanttPeriod-1&gt;=$E146),"━","")))</f>
        <v/>
      </c>
      <c r="EO146" s="69" t="str">
        <f aca="false">IF($E146="","",IF($M146,IF(AND($G146&gt;=EO$5,$G146&lt;EO$5+GanttPeriod),"◆",IF(AND($E146&gt;=EO$5,$E146&lt;EO$5+GanttPeriod),"◇","")),IF(AND(EO$5&lt;=$F146,EO$5+GanttPeriod-1&gt;=$E146),"━","")))</f>
        <v/>
      </c>
      <c r="EP146" s="69" t="str">
        <f aca="false">IF($E146="","",IF($M146,IF(AND($G146&gt;=EP$5,$G146&lt;EP$5+GanttPeriod),"◆",IF(AND($E146&gt;=EP$5,$E146&lt;EP$5+GanttPeriod),"◇","")),IF(AND(EP$5&lt;=$F146,EP$5+GanttPeriod-1&gt;=$E146),"━","")))</f>
        <v/>
      </c>
      <c r="EQ146" s="69" t="str">
        <f aca="false">IF($E146="","",IF($M146,IF(AND($G146&gt;=EQ$5,$G146&lt;EQ$5+GanttPeriod),"◆",IF(AND($E146&gt;=EQ$5,$E146&lt;EQ$5+GanttPeriod),"◇","")),IF(AND(EQ$5&lt;=$F146,EQ$5+GanttPeriod-1&gt;=$E146),"━","")))</f>
        <v/>
      </c>
      <c r="ER146" s="69" t="str">
        <f aca="false">IF($E146="","",IF($M146,IF(AND($G146&gt;=ER$5,$G146&lt;ER$5+GanttPeriod),"◆",IF(AND($E146&gt;=ER$5,$E146&lt;ER$5+GanttPeriod),"◇","")),IF(AND(ER$5&lt;=$F146,ER$5+GanttPeriod-1&gt;=$E146),"━","")))</f>
        <v/>
      </c>
      <c r="ES146" s="69" t="str">
        <f aca="false">IF($E146="","",IF($M146,IF(AND($G146&gt;=ES$5,$G146&lt;ES$5+GanttPeriod),"◆",IF(AND($E146&gt;=ES$5,$E146&lt;ES$5+GanttPeriod),"◇","")),IF(AND(ES$5&lt;=$F146,ES$5+GanttPeriod-1&gt;=$E146),"━","")))</f>
        <v/>
      </c>
      <c r="ET146" s="69" t="str">
        <f aca="false">IF($E146="","",IF($M146,IF(AND($G146&gt;=ET$5,$G146&lt;ET$5+GanttPeriod),"◆",IF(AND($E146&gt;=ET$5,$E146&lt;ET$5+GanttPeriod),"◇","")),IF(AND(ET$5&lt;=$F146,ET$5+GanttPeriod-1&gt;=$E146),"━","")))</f>
        <v/>
      </c>
      <c r="EU146" s="69" t="str">
        <f aca="false">IF($E146="","",IF($M146,IF(AND($G146&gt;=EU$5,$G146&lt;EU$5+GanttPeriod),"◆",IF(AND($E146&gt;=EU$5,$E146&lt;EU$5+GanttPeriod),"◇","")),IF(AND(EU$5&lt;=$F146,EU$5+GanttPeriod-1&gt;=$E146),"━","")))</f>
        <v/>
      </c>
      <c r="EV146" s="69" t="str">
        <f aca="false">IF($E146="","",IF($M146,IF(AND($G146&gt;=EV$5,$G146&lt;EV$5+GanttPeriod),"◆",IF(AND($E146&gt;=EV$5,$E146&lt;EV$5+GanttPeriod),"◇","")),IF(AND(EV$5&lt;=$F146,EV$5+GanttPeriod-1&gt;=$E146),"━","")))</f>
        <v/>
      </c>
      <c r="EW146" s="69" t="str">
        <f aca="false">IF($E146="","",IF($M146,IF(AND($G146&gt;=EW$5,$G146&lt;EW$5+GanttPeriod),"◆",IF(AND($E146&gt;=EW$5,$E146&lt;EW$5+GanttPeriod),"◇","")),IF(AND(EW$5&lt;=$F146,EW$5+GanttPeriod-1&gt;=$E146),"━","")))</f>
        <v/>
      </c>
      <c r="EX146" s="69" t="str">
        <f aca="false">IF($E146="","",IF($M146,IF(AND($G146&gt;=EX$5,$G146&lt;EX$5+GanttPeriod),"◆",IF(AND($E146&gt;=EX$5,$E146&lt;EX$5+GanttPeriod),"◇","")),IF(AND(EX$5&lt;=$F146,EX$5+GanttPeriod-1&gt;=$E146),"━","")))</f>
        <v/>
      </c>
      <c r="EY146" s="69" t="str">
        <f aca="false">IF($E146="","",IF($M146,IF(AND($G146&gt;=EY$5,$G146&lt;EY$5+GanttPeriod),"◆",IF(AND($E146&gt;=EY$5,$E146&lt;EY$5+GanttPeriod),"◇","")),IF(AND(EY$5&lt;=$F146,EY$5+GanttPeriod-1&gt;=$E146),"━","")))</f>
        <v/>
      </c>
      <c r="EZ146" s="69" t="str">
        <f aca="false">IF($E146="","",IF($M146,IF(AND($G146&gt;=EZ$5,$G146&lt;EZ$5+GanttPeriod),"◆",IF(AND($E146&gt;=EZ$5,$E146&lt;EZ$5+GanttPeriod),"◇","")),IF(AND(EZ$5&lt;=$F146,EZ$5+GanttPeriod-1&gt;=$E146),"━","")))</f>
        <v/>
      </c>
      <c r="FA146" s="69" t="str">
        <f aca="false">IF($E146="","",IF($M146,IF(AND($G146&gt;=FA$5,$G146&lt;FA$5+GanttPeriod),"◆",IF(AND($E146&gt;=FA$5,$E146&lt;FA$5+GanttPeriod),"◇","")),IF(AND(FA$5&lt;=$F146,FA$5+GanttPeriod-1&gt;=$E146),"━","")))</f>
        <v/>
      </c>
      <c r="FB146" s="69" t="str">
        <f aca="false">IF($E146="","",IF($M146,IF(AND($G146&gt;=FB$5,$G146&lt;FB$5+GanttPeriod),"◆",IF(AND($E146&gt;=FB$5,$E146&lt;FB$5+GanttPeriod),"◇","")),IF(AND(FB$5&lt;=$F146,FB$5+GanttPeriod-1&gt;=$E146),"━","")))</f>
        <v/>
      </c>
      <c r="FC146" s="69" t="str">
        <f aca="false">IF($E146="","",IF($M146,IF(AND($G146&gt;=FC$5,$G146&lt;FC$5+GanttPeriod),"◆",IF(AND($E146&gt;=FC$5,$E146&lt;FC$5+GanttPeriod),"◇","")),IF(AND(FC$5&lt;=$F146,FC$5+GanttPeriod-1&gt;=$E146),"━","")))</f>
        <v/>
      </c>
      <c r="FD146" s="69" t="str">
        <f aca="false">IF($E146="","",IF($M146,IF(AND($G146&gt;=FD$5,$G146&lt;FD$5+GanttPeriod),"◆",IF(AND($E146&gt;=FD$5,$E146&lt;FD$5+GanttPeriod),"◇","")),IF(AND(FD$5&lt;=$F146,FD$5+GanttPeriod-1&gt;=$E146),"━","")))</f>
        <v/>
      </c>
      <c r="FE146" s="69" t="str">
        <f aca="false">IF($E146="","",IF($M146,IF(AND($G146&gt;=FE$5,$G146&lt;FE$5+GanttPeriod),"◆",IF(AND($E146&gt;=FE$5,$E146&lt;FE$5+GanttPeriod),"◇","")),IF(AND(FE$5&lt;=$F146,FE$5+GanttPeriod-1&gt;=$E146),"━","")))</f>
        <v/>
      </c>
      <c r="FF146" s="69" t="str">
        <f aca="false">IF($E146="","",IF($M146,IF(AND($G146&gt;=FF$5,$G146&lt;FF$5+GanttPeriod),"◆",IF(AND($E146&gt;=FF$5,$E146&lt;FF$5+GanttPeriod),"◇","")),IF(AND(FF$5&lt;=$F146,FF$5+GanttPeriod-1&gt;=$E146),"━","")))</f>
        <v/>
      </c>
      <c r="FG146" s="69" t="str">
        <f aca="false">IF($E146="","",IF($M146,IF(AND($G146&gt;=FG$5,$G146&lt;FG$5+GanttPeriod),"◆",IF(AND($E146&gt;=FG$5,$E146&lt;FG$5+GanttPeriod),"◇","")),IF(AND(FG$5&lt;=$F146,FG$5+GanttPeriod-1&gt;=$E146),"━","")))</f>
        <v/>
      </c>
      <c r="FH146" s="69" t="str">
        <f aca="false">IF($E146="","",IF($M146,IF(AND($G146&gt;=FH$5,$G146&lt;FH$5+GanttPeriod),"◆",IF(AND($E146&gt;=FH$5,$E146&lt;FH$5+GanttPeriod),"◇","")),IF(AND(FH$5&lt;=$F146,FH$5+GanttPeriod-1&gt;=$E146),"━","")))</f>
        <v/>
      </c>
      <c r="FI146" s="69" t="str">
        <f aca="false">IF($E146="","",IF($M146,IF(AND($G146&gt;=FI$5,$G146&lt;FI$5+GanttPeriod),"◆",IF(AND($E146&gt;=FI$5,$E146&lt;FI$5+GanttPeriod),"◇","")),IF(AND(FI$5&lt;=$F146,FI$5+GanttPeriod-1&gt;=$E146),"━","")))</f>
        <v/>
      </c>
      <c r="FJ146" s="69" t="str">
        <f aca="false">IF($E146="","",IF($M146,IF(AND($G146&gt;=FJ$5,$G146&lt;FJ$5+GanttPeriod),"◆",IF(AND($E146&gt;=FJ$5,$E146&lt;FJ$5+GanttPeriod),"◇","")),IF(AND(FJ$5&lt;=$F146,FJ$5+GanttPeriod-1&gt;=$E146),"━","")))</f>
        <v/>
      </c>
      <c r="FK146" s="69" t="str">
        <f aca="false">IF($E146="","",IF($M146,IF(AND($G146&gt;=FK$5,$G146&lt;FK$5+GanttPeriod),"◆",IF(AND($E146&gt;=FK$5,$E146&lt;FK$5+GanttPeriod),"◇","")),IF(AND(FK$5&lt;=$F146,FK$5+GanttPeriod-1&gt;=$E146),"━","")))</f>
        <v/>
      </c>
      <c r="FL146" s="69" t="str">
        <f aca="false">IF($E146="","",IF($M146,IF(AND($G146&gt;=FL$5,$G146&lt;FL$5+GanttPeriod),"◆",IF(AND($E146&gt;=FL$5,$E146&lt;FL$5+GanttPeriod),"◇","")),IF(AND(FL$5&lt;=$F146,FL$5+GanttPeriod-1&gt;=$E146),"━","")))</f>
        <v/>
      </c>
      <c r="FM146" s="69" t="str">
        <f aca="false">IF($E146="","",IF($M146,IF(AND($G146&gt;=FM$5,$G146&lt;FM$5+GanttPeriod),"◆",IF(AND($E146&gt;=FM$5,$E146&lt;FM$5+GanttPeriod),"◇","")),IF(AND(FM$5&lt;=$F146,FM$5+GanttPeriod-1&gt;=$E146),"━","")))</f>
        <v/>
      </c>
    </row>
    <row r="147" customFormat="false" ht="15" hidden="false" customHeight="false" outlineLevel="0" collapsed="false">
      <c r="A147" s="62" t="str">
        <f aca="false">IF(Tasks!$D147="","",Tasks!$A147)</f>
        <v/>
      </c>
      <c r="B147" s="62" t="str">
        <f aca="false">IF(Tasks!$D147="","",Tasks!$B147)</f>
        <v/>
      </c>
      <c r="C147" s="63" t="str">
        <f aca="false">IF(Tasks!$D147="","",REPT("    ",Tasks!$AE147-1)&amp;Tasks!$D147)</f>
        <v/>
      </c>
      <c r="D147" s="62" t="str">
        <f aca="false">IF(Tasks!$D147="","",IF(Tasks!$AI147,NETWORKDAYS.INTL(Tasks!$R147,Tasks!$S147,WorkWeek,Holidays),N(Tasks!$F147)))</f>
        <v/>
      </c>
      <c r="E147" s="64" t="str">
        <f aca="false">IF(Tasks!$D147="","",Tasks!$N147)</f>
        <v/>
      </c>
      <c r="F147" s="64" t="str">
        <f aca="false">IF(Tasks!$D147="","",Tasks!$O147)</f>
        <v/>
      </c>
      <c r="G147" s="64" t="str">
        <f aca="false">IF(Tasks!$D147="","",Tasks!$R147)</f>
        <v/>
      </c>
      <c r="H147" s="64" t="str">
        <f aca="false">IF(Tasks!$D147="","",Tasks!$S147)</f>
        <v/>
      </c>
      <c r="I147" s="65" t="str">
        <f aca="false">IF(Tasks!$D147="","",Tasks!$V147)</f>
        <v/>
      </c>
      <c r="J147" s="63" t="str">
        <f aca="false">IF(Tasks!$D147="","",Tasks!$X147&amp;"")</f>
        <v/>
      </c>
      <c r="K147" s="66" t="str">
        <f aca="false">IF(Tasks!$D147="","",Tasks!$W147)</f>
        <v/>
      </c>
      <c r="L147" s="67" t="b">
        <f aca="false">IF(Tasks!$D147="",FALSE(),Tasks!$AI147)</f>
        <v>0</v>
      </c>
      <c r="M147" s="67" t="b">
        <f aca="false">AND(Tasks!$AJ147=1,N(Tasks!$F147)=0)</f>
        <v>0</v>
      </c>
      <c r="N147" s="68" t="n">
        <f aca="false">IF(AND(Tasks!$AJ147=1,NOT($M147),N($I147)&gt;0),$G147,0)</f>
        <v>0</v>
      </c>
      <c r="O147" s="68" t="n">
        <f aca="false">IF($N147=0,0,IF($I147&gt;=1,$H147,MAX($N147,$G147+ROUND(($H147-$G147+1)*$I147,0)-1)))</f>
        <v>0</v>
      </c>
      <c r="P147" s="68" t="n">
        <f aca="false">IF(OR(Tasks!$AJ147&lt;&gt;1,$M147,N($I147)&gt;=1),0,IF($O147&gt;0,$O147+1,$G147))</f>
        <v>0</v>
      </c>
      <c r="Q147" s="68" t="n">
        <f aca="false">IF($P147=0,0,$H147)</f>
        <v>0</v>
      </c>
      <c r="R147" s="67" t="b">
        <f aca="false">AND(Tasks!$D147&lt;&gt;"",N(Tasks!$T147)&gt;0)</f>
        <v>0</v>
      </c>
      <c r="T147" s="69" t="str">
        <f aca="false">IF($E147="","",IF($M147,IF(AND($G147&gt;=T$5,$G147&lt;T$5+GanttPeriod),"◆",IF(AND($E147&gt;=T$5,$E147&lt;T$5+GanttPeriod),"◇","")),IF(AND(T$5&lt;=$F147,T$5+GanttPeriod-1&gt;=$E147),"━","")))</f>
        <v/>
      </c>
      <c r="U147" s="69" t="str">
        <f aca="false">IF($E147="","",IF($M147,IF(AND($G147&gt;=U$5,$G147&lt;U$5+GanttPeriod),"◆",IF(AND($E147&gt;=U$5,$E147&lt;U$5+GanttPeriod),"◇","")),IF(AND(U$5&lt;=$F147,U$5+GanttPeriod-1&gt;=$E147),"━","")))</f>
        <v/>
      </c>
      <c r="V147" s="69" t="str">
        <f aca="false">IF($E147="","",IF($M147,IF(AND($G147&gt;=V$5,$G147&lt;V$5+GanttPeriod),"◆",IF(AND($E147&gt;=V$5,$E147&lt;V$5+GanttPeriod),"◇","")),IF(AND(V$5&lt;=$F147,V$5+GanttPeriod-1&gt;=$E147),"━","")))</f>
        <v/>
      </c>
      <c r="W147" s="69" t="str">
        <f aca="false">IF($E147="","",IF($M147,IF(AND($G147&gt;=W$5,$G147&lt;W$5+GanttPeriod),"◆",IF(AND($E147&gt;=W$5,$E147&lt;W$5+GanttPeriod),"◇","")),IF(AND(W$5&lt;=$F147,W$5+GanttPeriod-1&gt;=$E147),"━","")))</f>
        <v/>
      </c>
      <c r="X147" s="69" t="str">
        <f aca="false">IF($E147="","",IF($M147,IF(AND($G147&gt;=X$5,$G147&lt;X$5+GanttPeriod),"◆",IF(AND($E147&gt;=X$5,$E147&lt;X$5+GanttPeriod),"◇","")),IF(AND(X$5&lt;=$F147,X$5+GanttPeriod-1&gt;=$E147),"━","")))</f>
        <v/>
      </c>
      <c r="Y147" s="69" t="str">
        <f aca="false">IF($E147="","",IF($M147,IF(AND($G147&gt;=Y$5,$G147&lt;Y$5+GanttPeriod),"◆",IF(AND($E147&gt;=Y$5,$E147&lt;Y$5+GanttPeriod),"◇","")),IF(AND(Y$5&lt;=$F147,Y$5+GanttPeriod-1&gt;=$E147),"━","")))</f>
        <v/>
      </c>
      <c r="Z147" s="69" t="str">
        <f aca="false">IF($E147="","",IF($M147,IF(AND($G147&gt;=Z$5,$G147&lt;Z$5+GanttPeriod),"◆",IF(AND($E147&gt;=Z$5,$E147&lt;Z$5+GanttPeriod),"◇","")),IF(AND(Z$5&lt;=$F147,Z$5+GanttPeriod-1&gt;=$E147),"━","")))</f>
        <v/>
      </c>
      <c r="AA147" s="69" t="str">
        <f aca="false">IF($E147="","",IF($M147,IF(AND($G147&gt;=AA$5,$G147&lt;AA$5+GanttPeriod),"◆",IF(AND($E147&gt;=AA$5,$E147&lt;AA$5+GanttPeriod),"◇","")),IF(AND(AA$5&lt;=$F147,AA$5+GanttPeriod-1&gt;=$E147),"━","")))</f>
        <v/>
      </c>
      <c r="AB147" s="69" t="str">
        <f aca="false">IF($E147="","",IF($M147,IF(AND($G147&gt;=AB$5,$G147&lt;AB$5+GanttPeriod),"◆",IF(AND($E147&gt;=AB$5,$E147&lt;AB$5+GanttPeriod),"◇","")),IF(AND(AB$5&lt;=$F147,AB$5+GanttPeriod-1&gt;=$E147),"━","")))</f>
        <v/>
      </c>
      <c r="AC147" s="69" t="str">
        <f aca="false">IF($E147="","",IF($M147,IF(AND($G147&gt;=AC$5,$G147&lt;AC$5+GanttPeriod),"◆",IF(AND($E147&gt;=AC$5,$E147&lt;AC$5+GanttPeriod),"◇","")),IF(AND(AC$5&lt;=$F147,AC$5+GanttPeriod-1&gt;=$E147),"━","")))</f>
        <v/>
      </c>
      <c r="AD147" s="69" t="str">
        <f aca="false">IF($E147="","",IF($M147,IF(AND($G147&gt;=AD$5,$G147&lt;AD$5+GanttPeriod),"◆",IF(AND($E147&gt;=AD$5,$E147&lt;AD$5+GanttPeriod),"◇","")),IF(AND(AD$5&lt;=$F147,AD$5+GanttPeriod-1&gt;=$E147),"━","")))</f>
        <v/>
      </c>
      <c r="AE147" s="69" t="str">
        <f aca="false">IF($E147="","",IF($M147,IF(AND($G147&gt;=AE$5,$G147&lt;AE$5+GanttPeriod),"◆",IF(AND($E147&gt;=AE$5,$E147&lt;AE$5+GanttPeriod),"◇","")),IF(AND(AE$5&lt;=$F147,AE$5+GanttPeriod-1&gt;=$E147),"━","")))</f>
        <v/>
      </c>
      <c r="AF147" s="69" t="str">
        <f aca="false">IF($E147="","",IF($M147,IF(AND($G147&gt;=AF$5,$G147&lt;AF$5+GanttPeriod),"◆",IF(AND($E147&gt;=AF$5,$E147&lt;AF$5+GanttPeriod),"◇","")),IF(AND(AF$5&lt;=$F147,AF$5+GanttPeriod-1&gt;=$E147),"━","")))</f>
        <v/>
      </c>
      <c r="AG147" s="69" t="str">
        <f aca="false">IF($E147="","",IF($M147,IF(AND($G147&gt;=AG$5,$G147&lt;AG$5+GanttPeriod),"◆",IF(AND($E147&gt;=AG$5,$E147&lt;AG$5+GanttPeriod),"◇","")),IF(AND(AG$5&lt;=$F147,AG$5+GanttPeriod-1&gt;=$E147),"━","")))</f>
        <v/>
      </c>
      <c r="AH147" s="69" t="str">
        <f aca="false">IF($E147="","",IF($M147,IF(AND($G147&gt;=AH$5,$G147&lt;AH$5+GanttPeriod),"◆",IF(AND($E147&gt;=AH$5,$E147&lt;AH$5+GanttPeriod),"◇","")),IF(AND(AH$5&lt;=$F147,AH$5+GanttPeriod-1&gt;=$E147),"━","")))</f>
        <v/>
      </c>
      <c r="AI147" s="69" t="str">
        <f aca="false">IF($E147="","",IF($M147,IF(AND($G147&gt;=AI$5,$G147&lt;AI$5+GanttPeriod),"◆",IF(AND($E147&gt;=AI$5,$E147&lt;AI$5+GanttPeriod),"◇","")),IF(AND(AI$5&lt;=$F147,AI$5+GanttPeriod-1&gt;=$E147),"━","")))</f>
        <v/>
      </c>
      <c r="AJ147" s="69" t="str">
        <f aca="false">IF($E147="","",IF($M147,IF(AND($G147&gt;=AJ$5,$G147&lt;AJ$5+GanttPeriod),"◆",IF(AND($E147&gt;=AJ$5,$E147&lt;AJ$5+GanttPeriod),"◇","")),IF(AND(AJ$5&lt;=$F147,AJ$5+GanttPeriod-1&gt;=$E147),"━","")))</f>
        <v/>
      </c>
      <c r="AK147" s="69" t="str">
        <f aca="false">IF($E147="","",IF($M147,IF(AND($G147&gt;=AK$5,$G147&lt;AK$5+GanttPeriod),"◆",IF(AND($E147&gt;=AK$5,$E147&lt;AK$5+GanttPeriod),"◇","")),IF(AND(AK$5&lt;=$F147,AK$5+GanttPeriod-1&gt;=$E147),"━","")))</f>
        <v/>
      </c>
      <c r="AL147" s="69" t="str">
        <f aca="false">IF($E147="","",IF($M147,IF(AND($G147&gt;=AL$5,$G147&lt;AL$5+GanttPeriod),"◆",IF(AND($E147&gt;=AL$5,$E147&lt;AL$5+GanttPeriod),"◇","")),IF(AND(AL$5&lt;=$F147,AL$5+GanttPeriod-1&gt;=$E147),"━","")))</f>
        <v/>
      </c>
      <c r="AM147" s="69" t="str">
        <f aca="false">IF($E147="","",IF($M147,IF(AND($G147&gt;=AM$5,$G147&lt;AM$5+GanttPeriod),"◆",IF(AND($E147&gt;=AM$5,$E147&lt;AM$5+GanttPeriod),"◇","")),IF(AND(AM$5&lt;=$F147,AM$5+GanttPeriod-1&gt;=$E147),"━","")))</f>
        <v/>
      </c>
      <c r="AN147" s="69" t="str">
        <f aca="false">IF($E147="","",IF($M147,IF(AND($G147&gt;=AN$5,$G147&lt;AN$5+GanttPeriod),"◆",IF(AND($E147&gt;=AN$5,$E147&lt;AN$5+GanttPeriod),"◇","")),IF(AND(AN$5&lt;=$F147,AN$5+GanttPeriod-1&gt;=$E147),"━","")))</f>
        <v/>
      </c>
      <c r="AO147" s="69" t="str">
        <f aca="false">IF($E147="","",IF($M147,IF(AND($G147&gt;=AO$5,$G147&lt;AO$5+GanttPeriod),"◆",IF(AND($E147&gt;=AO$5,$E147&lt;AO$5+GanttPeriod),"◇","")),IF(AND(AO$5&lt;=$F147,AO$5+GanttPeriod-1&gt;=$E147),"━","")))</f>
        <v/>
      </c>
      <c r="AP147" s="69" t="str">
        <f aca="false">IF($E147="","",IF($M147,IF(AND($G147&gt;=AP$5,$G147&lt;AP$5+GanttPeriod),"◆",IF(AND($E147&gt;=AP$5,$E147&lt;AP$5+GanttPeriod),"◇","")),IF(AND(AP$5&lt;=$F147,AP$5+GanttPeriod-1&gt;=$E147),"━","")))</f>
        <v/>
      </c>
      <c r="AQ147" s="69" t="str">
        <f aca="false">IF($E147="","",IF($M147,IF(AND($G147&gt;=AQ$5,$G147&lt;AQ$5+GanttPeriod),"◆",IF(AND($E147&gt;=AQ$5,$E147&lt;AQ$5+GanttPeriod),"◇","")),IF(AND(AQ$5&lt;=$F147,AQ$5+GanttPeriod-1&gt;=$E147),"━","")))</f>
        <v/>
      </c>
      <c r="AR147" s="69" t="str">
        <f aca="false">IF($E147="","",IF($M147,IF(AND($G147&gt;=AR$5,$G147&lt;AR$5+GanttPeriod),"◆",IF(AND($E147&gt;=AR$5,$E147&lt;AR$5+GanttPeriod),"◇","")),IF(AND(AR$5&lt;=$F147,AR$5+GanttPeriod-1&gt;=$E147),"━","")))</f>
        <v/>
      </c>
      <c r="AS147" s="69" t="str">
        <f aca="false">IF($E147="","",IF($M147,IF(AND($G147&gt;=AS$5,$G147&lt;AS$5+GanttPeriod),"◆",IF(AND($E147&gt;=AS$5,$E147&lt;AS$5+GanttPeriod),"◇","")),IF(AND(AS$5&lt;=$F147,AS$5+GanttPeriod-1&gt;=$E147),"━","")))</f>
        <v/>
      </c>
      <c r="AT147" s="69" t="str">
        <f aca="false">IF($E147="","",IF($M147,IF(AND($G147&gt;=AT$5,$G147&lt;AT$5+GanttPeriod),"◆",IF(AND($E147&gt;=AT$5,$E147&lt;AT$5+GanttPeriod),"◇","")),IF(AND(AT$5&lt;=$F147,AT$5+GanttPeriod-1&gt;=$E147),"━","")))</f>
        <v/>
      </c>
      <c r="AU147" s="69" t="str">
        <f aca="false">IF($E147="","",IF($M147,IF(AND($G147&gt;=AU$5,$G147&lt;AU$5+GanttPeriod),"◆",IF(AND($E147&gt;=AU$5,$E147&lt;AU$5+GanttPeriod),"◇","")),IF(AND(AU$5&lt;=$F147,AU$5+GanttPeriod-1&gt;=$E147),"━","")))</f>
        <v/>
      </c>
      <c r="AV147" s="69" t="str">
        <f aca="false">IF($E147="","",IF($M147,IF(AND($G147&gt;=AV$5,$G147&lt;AV$5+GanttPeriod),"◆",IF(AND($E147&gt;=AV$5,$E147&lt;AV$5+GanttPeriod),"◇","")),IF(AND(AV$5&lt;=$F147,AV$5+GanttPeriod-1&gt;=$E147),"━","")))</f>
        <v/>
      </c>
      <c r="AW147" s="69" t="str">
        <f aca="false">IF($E147="","",IF($M147,IF(AND($G147&gt;=AW$5,$G147&lt;AW$5+GanttPeriod),"◆",IF(AND($E147&gt;=AW$5,$E147&lt;AW$5+GanttPeriod),"◇","")),IF(AND(AW$5&lt;=$F147,AW$5+GanttPeriod-1&gt;=$E147),"━","")))</f>
        <v/>
      </c>
      <c r="AX147" s="69" t="str">
        <f aca="false">IF($E147="","",IF($M147,IF(AND($G147&gt;=AX$5,$G147&lt;AX$5+GanttPeriod),"◆",IF(AND($E147&gt;=AX$5,$E147&lt;AX$5+GanttPeriod),"◇","")),IF(AND(AX$5&lt;=$F147,AX$5+GanttPeriod-1&gt;=$E147),"━","")))</f>
        <v/>
      </c>
      <c r="AY147" s="69" t="str">
        <f aca="false">IF($E147="","",IF($M147,IF(AND($G147&gt;=AY$5,$G147&lt;AY$5+GanttPeriod),"◆",IF(AND($E147&gt;=AY$5,$E147&lt;AY$5+GanttPeriod),"◇","")),IF(AND(AY$5&lt;=$F147,AY$5+GanttPeriod-1&gt;=$E147),"━","")))</f>
        <v/>
      </c>
      <c r="AZ147" s="69" t="str">
        <f aca="false">IF($E147="","",IF($M147,IF(AND($G147&gt;=AZ$5,$G147&lt;AZ$5+GanttPeriod),"◆",IF(AND($E147&gt;=AZ$5,$E147&lt;AZ$5+GanttPeriod),"◇","")),IF(AND(AZ$5&lt;=$F147,AZ$5+GanttPeriod-1&gt;=$E147),"━","")))</f>
        <v/>
      </c>
      <c r="BA147" s="69" t="str">
        <f aca="false">IF($E147="","",IF($M147,IF(AND($G147&gt;=BA$5,$G147&lt;BA$5+GanttPeriod),"◆",IF(AND($E147&gt;=BA$5,$E147&lt;BA$5+GanttPeriod),"◇","")),IF(AND(BA$5&lt;=$F147,BA$5+GanttPeriod-1&gt;=$E147),"━","")))</f>
        <v/>
      </c>
      <c r="BB147" s="69" t="str">
        <f aca="false">IF($E147="","",IF($M147,IF(AND($G147&gt;=BB$5,$G147&lt;BB$5+GanttPeriod),"◆",IF(AND($E147&gt;=BB$5,$E147&lt;BB$5+GanttPeriod),"◇","")),IF(AND(BB$5&lt;=$F147,BB$5+GanttPeriod-1&gt;=$E147),"━","")))</f>
        <v/>
      </c>
      <c r="BC147" s="69" t="str">
        <f aca="false">IF($E147="","",IF($M147,IF(AND($G147&gt;=BC$5,$G147&lt;BC$5+GanttPeriod),"◆",IF(AND($E147&gt;=BC$5,$E147&lt;BC$5+GanttPeriod),"◇","")),IF(AND(BC$5&lt;=$F147,BC$5+GanttPeriod-1&gt;=$E147),"━","")))</f>
        <v/>
      </c>
      <c r="BD147" s="69" t="str">
        <f aca="false">IF($E147="","",IF($M147,IF(AND($G147&gt;=BD$5,$G147&lt;BD$5+GanttPeriod),"◆",IF(AND($E147&gt;=BD$5,$E147&lt;BD$5+GanttPeriod),"◇","")),IF(AND(BD$5&lt;=$F147,BD$5+GanttPeriod-1&gt;=$E147),"━","")))</f>
        <v/>
      </c>
      <c r="BE147" s="69" t="str">
        <f aca="false">IF($E147="","",IF($M147,IF(AND($G147&gt;=BE$5,$G147&lt;BE$5+GanttPeriod),"◆",IF(AND($E147&gt;=BE$5,$E147&lt;BE$5+GanttPeriod),"◇","")),IF(AND(BE$5&lt;=$F147,BE$5+GanttPeriod-1&gt;=$E147),"━","")))</f>
        <v/>
      </c>
      <c r="BF147" s="69" t="str">
        <f aca="false">IF($E147="","",IF($M147,IF(AND($G147&gt;=BF$5,$G147&lt;BF$5+GanttPeriod),"◆",IF(AND($E147&gt;=BF$5,$E147&lt;BF$5+GanttPeriod),"◇","")),IF(AND(BF$5&lt;=$F147,BF$5+GanttPeriod-1&gt;=$E147),"━","")))</f>
        <v/>
      </c>
      <c r="BG147" s="69" t="str">
        <f aca="false">IF($E147="","",IF($M147,IF(AND($G147&gt;=BG$5,$G147&lt;BG$5+GanttPeriod),"◆",IF(AND($E147&gt;=BG$5,$E147&lt;BG$5+GanttPeriod),"◇","")),IF(AND(BG$5&lt;=$F147,BG$5+GanttPeriod-1&gt;=$E147),"━","")))</f>
        <v/>
      </c>
      <c r="BH147" s="69" t="str">
        <f aca="false">IF($E147="","",IF($M147,IF(AND($G147&gt;=BH$5,$G147&lt;BH$5+GanttPeriod),"◆",IF(AND($E147&gt;=BH$5,$E147&lt;BH$5+GanttPeriod),"◇","")),IF(AND(BH$5&lt;=$F147,BH$5+GanttPeriod-1&gt;=$E147),"━","")))</f>
        <v/>
      </c>
      <c r="BI147" s="69" t="str">
        <f aca="false">IF($E147="","",IF($M147,IF(AND($G147&gt;=BI$5,$G147&lt;BI$5+GanttPeriod),"◆",IF(AND($E147&gt;=BI$5,$E147&lt;BI$5+GanttPeriod),"◇","")),IF(AND(BI$5&lt;=$F147,BI$5+GanttPeriod-1&gt;=$E147),"━","")))</f>
        <v/>
      </c>
      <c r="BJ147" s="69" t="str">
        <f aca="false">IF($E147="","",IF($M147,IF(AND($G147&gt;=BJ$5,$G147&lt;BJ$5+GanttPeriod),"◆",IF(AND($E147&gt;=BJ$5,$E147&lt;BJ$5+GanttPeriod),"◇","")),IF(AND(BJ$5&lt;=$F147,BJ$5+GanttPeriod-1&gt;=$E147),"━","")))</f>
        <v/>
      </c>
      <c r="BK147" s="69" t="str">
        <f aca="false">IF($E147="","",IF($M147,IF(AND($G147&gt;=BK$5,$G147&lt;BK$5+GanttPeriod),"◆",IF(AND($E147&gt;=BK$5,$E147&lt;BK$5+GanttPeriod),"◇","")),IF(AND(BK$5&lt;=$F147,BK$5+GanttPeriod-1&gt;=$E147),"━","")))</f>
        <v/>
      </c>
      <c r="BL147" s="69" t="str">
        <f aca="false">IF($E147="","",IF($M147,IF(AND($G147&gt;=BL$5,$G147&lt;BL$5+GanttPeriod),"◆",IF(AND($E147&gt;=BL$5,$E147&lt;BL$5+GanttPeriod),"◇","")),IF(AND(BL$5&lt;=$F147,BL$5+GanttPeriod-1&gt;=$E147),"━","")))</f>
        <v/>
      </c>
      <c r="BM147" s="69" t="str">
        <f aca="false">IF($E147="","",IF($M147,IF(AND($G147&gt;=BM$5,$G147&lt;BM$5+GanttPeriod),"◆",IF(AND($E147&gt;=BM$5,$E147&lt;BM$5+GanttPeriod),"◇","")),IF(AND(BM$5&lt;=$F147,BM$5+GanttPeriod-1&gt;=$E147),"━","")))</f>
        <v/>
      </c>
      <c r="BN147" s="69" t="str">
        <f aca="false">IF($E147="","",IF($M147,IF(AND($G147&gt;=BN$5,$G147&lt;BN$5+GanttPeriod),"◆",IF(AND($E147&gt;=BN$5,$E147&lt;BN$5+GanttPeriod),"◇","")),IF(AND(BN$5&lt;=$F147,BN$5+GanttPeriod-1&gt;=$E147),"━","")))</f>
        <v/>
      </c>
      <c r="BO147" s="69" t="str">
        <f aca="false">IF($E147="","",IF($M147,IF(AND($G147&gt;=BO$5,$G147&lt;BO$5+GanttPeriod),"◆",IF(AND($E147&gt;=BO$5,$E147&lt;BO$5+GanttPeriod),"◇","")),IF(AND(BO$5&lt;=$F147,BO$5+GanttPeriod-1&gt;=$E147),"━","")))</f>
        <v/>
      </c>
      <c r="BP147" s="69" t="str">
        <f aca="false">IF($E147="","",IF($M147,IF(AND($G147&gt;=BP$5,$G147&lt;BP$5+GanttPeriod),"◆",IF(AND($E147&gt;=BP$5,$E147&lt;BP$5+GanttPeriod),"◇","")),IF(AND(BP$5&lt;=$F147,BP$5+GanttPeriod-1&gt;=$E147),"━","")))</f>
        <v/>
      </c>
      <c r="BQ147" s="69" t="str">
        <f aca="false">IF($E147="","",IF($M147,IF(AND($G147&gt;=BQ$5,$G147&lt;BQ$5+GanttPeriod),"◆",IF(AND($E147&gt;=BQ$5,$E147&lt;BQ$5+GanttPeriod),"◇","")),IF(AND(BQ$5&lt;=$F147,BQ$5+GanttPeriod-1&gt;=$E147),"━","")))</f>
        <v/>
      </c>
      <c r="BR147" s="69" t="str">
        <f aca="false">IF($E147="","",IF($M147,IF(AND($G147&gt;=BR$5,$G147&lt;BR$5+GanttPeriod),"◆",IF(AND($E147&gt;=BR$5,$E147&lt;BR$5+GanttPeriod),"◇","")),IF(AND(BR$5&lt;=$F147,BR$5+GanttPeriod-1&gt;=$E147),"━","")))</f>
        <v/>
      </c>
      <c r="BS147" s="69" t="str">
        <f aca="false">IF($E147="","",IF($M147,IF(AND($G147&gt;=BS$5,$G147&lt;BS$5+GanttPeriod),"◆",IF(AND($E147&gt;=BS$5,$E147&lt;BS$5+GanttPeriod),"◇","")),IF(AND(BS$5&lt;=$F147,BS$5+GanttPeriod-1&gt;=$E147),"━","")))</f>
        <v/>
      </c>
      <c r="BT147" s="69" t="str">
        <f aca="false">IF($E147="","",IF($M147,IF(AND($G147&gt;=BT$5,$G147&lt;BT$5+GanttPeriod),"◆",IF(AND($E147&gt;=BT$5,$E147&lt;BT$5+GanttPeriod),"◇","")),IF(AND(BT$5&lt;=$F147,BT$5+GanttPeriod-1&gt;=$E147),"━","")))</f>
        <v/>
      </c>
      <c r="BU147" s="69" t="str">
        <f aca="false">IF($E147="","",IF($M147,IF(AND($G147&gt;=BU$5,$G147&lt;BU$5+GanttPeriod),"◆",IF(AND($E147&gt;=BU$5,$E147&lt;BU$5+GanttPeriod),"◇","")),IF(AND(BU$5&lt;=$F147,BU$5+GanttPeriod-1&gt;=$E147),"━","")))</f>
        <v/>
      </c>
      <c r="BV147" s="69" t="str">
        <f aca="false">IF($E147="","",IF($M147,IF(AND($G147&gt;=BV$5,$G147&lt;BV$5+GanttPeriod),"◆",IF(AND($E147&gt;=BV$5,$E147&lt;BV$5+GanttPeriod),"◇","")),IF(AND(BV$5&lt;=$F147,BV$5+GanttPeriod-1&gt;=$E147),"━","")))</f>
        <v/>
      </c>
      <c r="BW147" s="69" t="str">
        <f aca="false">IF($E147="","",IF($M147,IF(AND($G147&gt;=BW$5,$G147&lt;BW$5+GanttPeriod),"◆",IF(AND($E147&gt;=BW$5,$E147&lt;BW$5+GanttPeriod),"◇","")),IF(AND(BW$5&lt;=$F147,BW$5+GanttPeriod-1&gt;=$E147),"━","")))</f>
        <v/>
      </c>
      <c r="BX147" s="69" t="str">
        <f aca="false">IF($E147="","",IF($M147,IF(AND($G147&gt;=BX$5,$G147&lt;BX$5+GanttPeriod),"◆",IF(AND($E147&gt;=BX$5,$E147&lt;BX$5+GanttPeriod),"◇","")),IF(AND(BX$5&lt;=$F147,BX$5+GanttPeriod-1&gt;=$E147),"━","")))</f>
        <v/>
      </c>
      <c r="BY147" s="69" t="str">
        <f aca="false">IF($E147="","",IF($M147,IF(AND($G147&gt;=BY$5,$G147&lt;BY$5+GanttPeriod),"◆",IF(AND($E147&gt;=BY$5,$E147&lt;BY$5+GanttPeriod),"◇","")),IF(AND(BY$5&lt;=$F147,BY$5+GanttPeriod-1&gt;=$E147),"━","")))</f>
        <v/>
      </c>
      <c r="BZ147" s="69" t="str">
        <f aca="false">IF($E147="","",IF($M147,IF(AND($G147&gt;=BZ$5,$G147&lt;BZ$5+GanttPeriod),"◆",IF(AND($E147&gt;=BZ$5,$E147&lt;BZ$5+GanttPeriod),"◇","")),IF(AND(BZ$5&lt;=$F147,BZ$5+GanttPeriod-1&gt;=$E147),"━","")))</f>
        <v/>
      </c>
      <c r="CA147" s="69" t="str">
        <f aca="false">IF($E147="","",IF($M147,IF(AND($G147&gt;=CA$5,$G147&lt;CA$5+GanttPeriod),"◆",IF(AND($E147&gt;=CA$5,$E147&lt;CA$5+GanttPeriod),"◇","")),IF(AND(CA$5&lt;=$F147,CA$5+GanttPeriod-1&gt;=$E147),"━","")))</f>
        <v/>
      </c>
      <c r="CB147" s="69" t="str">
        <f aca="false">IF($E147="","",IF($M147,IF(AND($G147&gt;=CB$5,$G147&lt;CB$5+GanttPeriod),"◆",IF(AND($E147&gt;=CB$5,$E147&lt;CB$5+GanttPeriod),"◇","")),IF(AND(CB$5&lt;=$F147,CB$5+GanttPeriod-1&gt;=$E147),"━","")))</f>
        <v/>
      </c>
      <c r="CC147" s="69" t="str">
        <f aca="false">IF($E147="","",IF($M147,IF(AND($G147&gt;=CC$5,$G147&lt;CC$5+GanttPeriod),"◆",IF(AND($E147&gt;=CC$5,$E147&lt;CC$5+GanttPeriod),"◇","")),IF(AND(CC$5&lt;=$F147,CC$5+GanttPeriod-1&gt;=$E147),"━","")))</f>
        <v/>
      </c>
      <c r="CD147" s="69" t="str">
        <f aca="false">IF($E147="","",IF($M147,IF(AND($G147&gt;=CD$5,$G147&lt;CD$5+GanttPeriod),"◆",IF(AND($E147&gt;=CD$5,$E147&lt;CD$5+GanttPeriod),"◇","")),IF(AND(CD$5&lt;=$F147,CD$5+GanttPeriod-1&gt;=$E147),"━","")))</f>
        <v/>
      </c>
      <c r="CE147" s="69" t="str">
        <f aca="false">IF($E147="","",IF($M147,IF(AND($G147&gt;=CE$5,$G147&lt;CE$5+GanttPeriod),"◆",IF(AND($E147&gt;=CE$5,$E147&lt;CE$5+GanttPeriod),"◇","")),IF(AND(CE$5&lt;=$F147,CE$5+GanttPeriod-1&gt;=$E147),"━","")))</f>
        <v/>
      </c>
      <c r="CF147" s="69" t="str">
        <f aca="false">IF($E147="","",IF($M147,IF(AND($G147&gt;=CF$5,$G147&lt;CF$5+GanttPeriod),"◆",IF(AND($E147&gt;=CF$5,$E147&lt;CF$5+GanttPeriod),"◇","")),IF(AND(CF$5&lt;=$F147,CF$5+GanttPeriod-1&gt;=$E147),"━","")))</f>
        <v/>
      </c>
      <c r="CG147" s="69" t="str">
        <f aca="false">IF($E147="","",IF($M147,IF(AND($G147&gt;=CG$5,$G147&lt;CG$5+GanttPeriod),"◆",IF(AND($E147&gt;=CG$5,$E147&lt;CG$5+GanttPeriod),"◇","")),IF(AND(CG$5&lt;=$F147,CG$5+GanttPeriod-1&gt;=$E147),"━","")))</f>
        <v/>
      </c>
      <c r="CH147" s="69" t="str">
        <f aca="false">IF($E147="","",IF($M147,IF(AND($G147&gt;=CH$5,$G147&lt;CH$5+GanttPeriod),"◆",IF(AND($E147&gt;=CH$5,$E147&lt;CH$5+GanttPeriod),"◇","")),IF(AND(CH$5&lt;=$F147,CH$5+GanttPeriod-1&gt;=$E147),"━","")))</f>
        <v/>
      </c>
      <c r="CI147" s="69" t="str">
        <f aca="false">IF($E147="","",IF($M147,IF(AND($G147&gt;=CI$5,$G147&lt;CI$5+GanttPeriod),"◆",IF(AND($E147&gt;=CI$5,$E147&lt;CI$5+GanttPeriod),"◇","")),IF(AND(CI$5&lt;=$F147,CI$5+GanttPeriod-1&gt;=$E147),"━","")))</f>
        <v/>
      </c>
      <c r="CJ147" s="69" t="str">
        <f aca="false">IF($E147="","",IF($M147,IF(AND($G147&gt;=CJ$5,$G147&lt;CJ$5+GanttPeriod),"◆",IF(AND($E147&gt;=CJ$5,$E147&lt;CJ$5+GanttPeriod),"◇","")),IF(AND(CJ$5&lt;=$F147,CJ$5+GanttPeriod-1&gt;=$E147),"━","")))</f>
        <v/>
      </c>
      <c r="CK147" s="69" t="str">
        <f aca="false">IF($E147="","",IF($M147,IF(AND($G147&gt;=CK$5,$G147&lt;CK$5+GanttPeriod),"◆",IF(AND($E147&gt;=CK$5,$E147&lt;CK$5+GanttPeriod),"◇","")),IF(AND(CK$5&lt;=$F147,CK$5+GanttPeriod-1&gt;=$E147),"━","")))</f>
        <v/>
      </c>
      <c r="CL147" s="69" t="str">
        <f aca="false">IF($E147="","",IF($M147,IF(AND($G147&gt;=CL$5,$G147&lt;CL$5+GanttPeriod),"◆",IF(AND($E147&gt;=CL$5,$E147&lt;CL$5+GanttPeriod),"◇","")),IF(AND(CL$5&lt;=$F147,CL$5+GanttPeriod-1&gt;=$E147),"━","")))</f>
        <v/>
      </c>
      <c r="CM147" s="69" t="str">
        <f aca="false">IF($E147="","",IF($M147,IF(AND($G147&gt;=CM$5,$G147&lt;CM$5+GanttPeriod),"◆",IF(AND($E147&gt;=CM$5,$E147&lt;CM$5+GanttPeriod),"◇","")),IF(AND(CM$5&lt;=$F147,CM$5+GanttPeriod-1&gt;=$E147),"━","")))</f>
        <v/>
      </c>
      <c r="CN147" s="69" t="str">
        <f aca="false">IF($E147="","",IF($M147,IF(AND($G147&gt;=CN$5,$G147&lt;CN$5+GanttPeriod),"◆",IF(AND($E147&gt;=CN$5,$E147&lt;CN$5+GanttPeriod),"◇","")),IF(AND(CN$5&lt;=$F147,CN$5+GanttPeriod-1&gt;=$E147),"━","")))</f>
        <v/>
      </c>
      <c r="CO147" s="69" t="str">
        <f aca="false">IF($E147="","",IF($M147,IF(AND($G147&gt;=CO$5,$G147&lt;CO$5+GanttPeriod),"◆",IF(AND($E147&gt;=CO$5,$E147&lt;CO$5+GanttPeriod),"◇","")),IF(AND(CO$5&lt;=$F147,CO$5+GanttPeriod-1&gt;=$E147),"━","")))</f>
        <v/>
      </c>
      <c r="CP147" s="69" t="str">
        <f aca="false">IF($E147="","",IF($M147,IF(AND($G147&gt;=CP$5,$G147&lt;CP$5+GanttPeriod),"◆",IF(AND($E147&gt;=CP$5,$E147&lt;CP$5+GanttPeriod),"◇","")),IF(AND(CP$5&lt;=$F147,CP$5+GanttPeriod-1&gt;=$E147),"━","")))</f>
        <v/>
      </c>
      <c r="CQ147" s="69" t="str">
        <f aca="false">IF($E147="","",IF($M147,IF(AND($G147&gt;=CQ$5,$G147&lt;CQ$5+GanttPeriod),"◆",IF(AND($E147&gt;=CQ$5,$E147&lt;CQ$5+GanttPeriod),"◇","")),IF(AND(CQ$5&lt;=$F147,CQ$5+GanttPeriod-1&gt;=$E147),"━","")))</f>
        <v/>
      </c>
      <c r="CR147" s="69" t="str">
        <f aca="false">IF($E147="","",IF($M147,IF(AND($G147&gt;=CR$5,$G147&lt;CR$5+GanttPeriod),"◆",IF(AND($E147&gt;=CR$5,$E147&lt;CR$5+GanttPeriod),"◇","")),IF(AND(CR$5&lt;=$F147,CR$5+GanttPeriod-1&gt;=$E147),"━","")))</f>
        <v/>
      </c>
      <c r="CS147" s="69" t="str">
        <f aca="false">IF($E147="","",IF($M147,IF(AND($G147&gt;=CS$5,$G147&lt;CS$5+GanttPeriod),"◆",IF(AND($E147&gt;=CS$5,$E147&lt;CS$5+GanttPeriod),"◇","")),IF(AND(CS$5&lt;=$F147,CS$5+GanttPeriod-1&gt;=$E147),"━","")))</f>
        <v/>
      </c>
      <c r="CT147" s="69" t="str">
        <f aca="false">IF($E147="","",IF($M147,IF(AND($G147&gt;=CT$5,$G147&lt;CT$5+GanttPeriod),"◆",IF(AND($E147&gt;=CT$5,$E147&lt;CT$5+GanttPeriod),"◇","")),IF(AND(CT$5&lt;=$F147,CT$5+GanttPeriod-1&gt;=$E147),"━","")))</f>
        <v/>
      </c>
      <c r="CU147" s="69" t="str">
        <f aca="false">IF($E147="","",IF($M147,IF(AND($G147&gt;=CU$5,$G147&lt;CU$5+GanttPeriod),"◆",IF(AND($E147&gt;=CU$5,$E147&lt;CU$5+GanttPeriod),"◇","")),IF(AND(CU$5&lt;=$F147,CU$5+GanttPeriod-1&gt;=$E147),"━","")))</f>
        <v/>
      </c>
      <c r="CV147" s="69" t="str">
        <f aca="false">IF($E147="","",IF($M147,IF(AND($G147&gt;=CV$5,$G147&lt;CV$5+GanttPeriod),"◆",IF(AND($E147&gt;=CV$5,$E147&lt;CV$5+GanttPeriod),"◇","")),IF(AND(CV$5&lt;=$F147,CV$5+GanttPeriod-1&gt;=$E147),"━","")))</f>
        <v/>
      </c>
      <c r="CW147" s="69" t="str">
        <f aca="false">IF($E147="","",IF($M147,IF(AND($G147&gt;=CW$5,$G147&lt;CW$5+GanttPeriod),"◆",IF(AND($E147&gt;=CW$5,$E147&lt;CW$5+GanttPeriod),"◇","")),IF(AND(CW$5&lt;=$F147,CW$5+GanttPeriod-1&gt;=$E147),"━","")))</f>
        <v/>
      </c>
      <c r="CX147" s="69" t="str">
        <f aca="false">IF($E147="","",IF($M147,IF(AND($G147&gt;=CX$5,$G147&lt;CX$5+GanttPeriod),"◆",IF(AND($E147&gt;=CX$5,$E147&lt;CX$5+GanttPeriod),"◇","")),IF(AND(CX$5&lt;=$F147,CX$5+GanttPeriod-1&gt;=$E147),"━","")))</f>
        <v/>
      </c>
      <c r="CY147" s="69" t="str">
        <f aca="false">IF($E147="","",IF($M147,IF(AND($G147&gt;=CY$5,$G147&lt;CY$5+GanttPeriod),"◆",IF(AND($E147&gt;=CY$5,$E147&lt;CY$5+GanttPeriod),"◇","")),IF(AND(CY$5&lt;=$F147,CY$5+GanttPeriod-1&gt;=$E147),"━","")))</f>
        <v/>
      </c>
      <c r="CZ147" s="69" t="str">
        <f aca="false">IF($E147="","",IF($M147,IF(AND($G147&gt;=CZ$5,$G147&lt;CZ$5+GanttPeriod),"◆",IF(AND($E147&gt;=CZ$5,$E147&lt;CZ$5+GanttPeriod),"◇","")),IF(AND(CZ$5&lt;=$F147,CZ$5+GanttPeriod-1&gt;=$E147),"━","")))</f>
        <v/>
      </c>
      <c r="DA147" s="69" t="str">
        <f aca="false">IF($E147="","",IF($M147,IF(AND($G147&gt;=DA$5,$G147&lt;DA$5+GanttPeriod),"◆",IF(AND($E147&gt;=DA$5,$E147&lt;DA$5+GanttPeriod),"◇","")),IF(AND(DA$5&lt;=$F147,DA$5+GanttPeriod-1&gt;=$E147),"━","")))</f>
        <v/>
      </c>
      <c r="DB147" s="69" t="str">
        <f aca="false">IF($E147="","",IF($M147,IF(AND($G147&gt;=DB$5,$G147&lt;DB$5+GanttPeriod),"◆",IF(AND($E147&gt;=DB$5,$E147&lt;DB$5+GanttPeriod),"◇","")),IF(AND(DB$5&lt;=$F147,DB$5+GanttPeriod-1&gt;=$E147),"━","")))</f>
        <v/>
      </c>
      <c r="DC147" s="69" t="str">
        <f aca="false">IF($E147="","",IF($M147,IF(AND($G147&gt;=DC$5,$G147&lt;DC$5+GanttPeriod),"◆",IF(AND($E147&gt;=DC$5,$E147&lt;DC$5+GanttPeriod),"◇","")),IF(AND(DC$5&lt;=$F147,DC$5+GanttPeriod-1&gt;=$E147),"━","")))</f>
        <v/>
      </c>
      <c r="DD147" s="69" t="str">
        <f aca="false">IF($E147="","",IF($M147,IF(AND($G147&gt;=DD$5,$G147&lt;DD$5+GanttPeriod),"◆",IF(AND($E147&gt;=DD$5,$E147&lt;DD$5+GanttPeriod),"◇","")),IF(AND(DD$5&lt;=$F147,DD$5+GanttPeriod-1&gt;=$E147),"━","")))</f>
        <v/>
      </c>
      <c r="DE147" s="69" t="str">
        <f aca="false">IF($E147="","",IF($M147,IF(AND($G147&gt;=DE$5,$G147&lt;DE$5+GanttPeriod),"◆",IF(AND($E147&gt;=DE$5,$E147&lt;DE$5+GanttPeriod),"◇","")),IF(AND(DE$5&lt;=$F147,DE$5+GanttPeriod-1&gt;=$E147),"━","")))</f>
        <v/>
      </c>
      <c r="DF147" s="69" t="str">
        <f aca="false">IF($E147="","",IF($M147,IF(AND($G147&gt;=DF$5,$G147&lt;DF$5+GanttPeriod),"◆",IF(AND($E147&gt;=DF$5,$E147&lt;DF$5+GanttPeriod),"◇","")),IF(AND(DF$5&lt;=$F147,DF$5+GanttPeriod-1&gt;=$E147),"━","")))</f>
        <v/>
      </c>
      <c r="DG147" s="69" t="str">
        <f aca="false">IF($E147="","",IF($M147,IF(AND($G147&gt;=DG$5,$G147&lt;DG$5+GanttPeriod),"◆",IF(AND($E147&gt;=DG$5,$E147&lt;DG$5+GanttPeriod),"◇","")),IF(AND(DG$5&lt;=$F147,DG$5+GanttPeriod-1&gt;=$E147),"━","")))</f>
        <v/>
      </c>
      <c r="DH147" s="69" t="str">
        <f aca="false">IF($E147="","",IF($M147,IF(AND($G147&gt;=DH$5,$G147&lt;DH$5+GanttPeriod),"◆",IF(AND($E147&gt;=DH$5,$E147&lt;DH$5+GanttPeriod),"◇","")),IF(AND(DH$5&lt;=$F147,DH$5+GanttPeriod-1&gt;=$E147),"━","")))</f>
        <v/>
      </c>
      <c r="DI147" s="69" t="str">
        <f aca="false">IF($E147="","",IF($M147,IF(AND($G147&gt;=DI$5,$G147&lt;DI$5+GanttPeriod),"◆",IF(AND($E147&gt;=DI$5,$E147&lt;DI$5+GanttPeriod),"◇","")),IF(AND(DI$5&lt;=$F147,DI$5+GanttPeriod-1&gt;=$E147),"━","")))</f>
        <v/>
      </c>
      <c r="DJ147" s="69" t="str">
        <f aca="false">IF($E147="","",IF($M147,IF(AND($G147&gt;=DJ$5,$G147&lt;DJ$5+GanttPeriod),"◆",IF(AND($E147&gt;=DJ$5,$E147&lt;DJ$5+GanttPeriod),"◇","")),IF(AND(DJ$5&lt;=$F147,DJ$5+GanttPeriod-1&gt;=$E147),"━","")))</f>
        <v/>
      </c>
      <c r="DK147" s="69" t="str">
        <f aca="false">IF($E147="","",IF($M147,IF(AND($G147&gt;=DK$5,$G147&lt;DK$5+GanttPeriod),"◆",IF(AND($E147&gt;=DK$5,$E147&lt;DK$5+GanttPeriod),"◇","")),IF(AND(DK$5&lt;=$F147,DK$5+GanttPeriod-1&gt;=$E147),"━","")))</f>
        <v/>
      </c>
      <c r="DL147" s="69" t="str">
        <f aca="false">IF($E147="","",IF($M147,IF(AND($G147&gt;=DL$5,$G147&lt;DL$5+GanttPeriod),"◆",IF(AND($E147&gt;=DL$5,$E147&lt;DL$5+GanttPeriod),"◇","")),IF(AND(DL$5&lt;=$F147,DL$5+GanttPeriod-1&gt;=$E147),"━","")))</f>
        <v/>
      </c>
      <c r="DM147" s="69" t="str">
        <f aca="false">IF($E147="","",IF($M147,IF(AND($G147&gt;=DM$5,$G147&lt;DM$5+GanttPeriod),"◆",IF(AND($E147&gt;=DM$5,$E147&lt;DM$5+GanttPeriod),"◇","")),IF(AND(DM$5&lt;=$F147,DM$5+GanttPeriod-1&gt;=$E147),"━","")))</f>
        <v/>
      </c>
      <c r="DN147" s="69" t="str">
        <f aca="false">IF($E147="","",IF($M147,IF(AND($G147&gt;=DN$5,$G147&lt;DN$5+GanttPeriod),"◆",IF(AND($E147&gt;=DN$5,$E147&lt;DN$5+GanttPeriod),"◇","")),IF(AND(DN$5&lt;=$F147,DN$5+GanttPeriod-1&gt;=$E147),"━","")))</f>
        <v/>
      </c>
      <c r="DO147" s="69" t="str">
        <f aca="false">IF($E147="","",IF($M147,IF(AND($G147&gt;=DO$5,$G147&lt;DO$5+GanttPeriod),"◆",IF(AND($E147&gt;=DO$5,$E147&lt;DO$5+GanttPeriod),"◇","")),IF(AND(DO$5&lt;=$F147,DO$5+GanttPeriod-1&gt;=$E147),"━","")))</f>
        <v/>
      </c>
      <c r="DP147" s="69" t="str">
        <f aca="false">IF($E147="","",IF($M147,IF(AND($G147&gt;=DP$5,$G147&lt;DP$5+GanttPeriod),"◆",IF(AND($E147&gt;=DP$5,$E147&lt;DP$5+GanttPeriod),"◇","")),IF(AND(DP$5&lt;=$F147,DP$5+GanttPeriod-1&gt;=$E147),"━","")))</f>
        <v/>
      </c>
      <c r="DQ147" s="69" t="str">
        <f aca="false">IF($E147="","",IF($M147,IF(AND($G147&gt;=DQ$5,$G147&lt;DQ$5+GanttPeriod),"◆",IF(AND($E147&gt;=DQ$5,$E147&lt;DQ$5+GanttPeriod),"◇","")),IF(AND(DQ$5&lt;=$F147,DQ$5+GanttPeriod-1&gt;=$E147),"━","")))</f>
        <v/>
      </c>
      <c r="DR147" s="69" t="str">
        <f aca="false">IF($E147="","",IF($M147,IF(AND($G147&gt;=DR$5,$G147&lt;DR$5+GanttPeriod),"◆",IF(AND($E147&gt;=DR$5,$E147&lt;DR$5+GanttPeriod),"◇","")),IF(AND(DR$5&lt;=$F147,DR$5+GanttPeriod-1&gt;=$E147),"━","")))</f>
        <v/>
      </c>
      <c r="DS147" s="69" t="str">
        <f aca="false">IF($E147="","",IF($M147,IF(AND($G147&gt;=DS$5,$G147&lt;DS$5+GanttPeriod),"◆",IF(AND($E147&gt;=DS$5,$E147&lt;DS$5+GanttPeriod),"◇","")),IF(AND(DS$5&lt;=$F147,DS$5+GanttPeriod-1&gt;=$E147),"━","")))</f>
        <v/>
      </c>
      <c r="DT147" s="69" t="str">
        <f aca="false">IF($E147="","",IF($M147,IF(AND($G147&gt;=DT$5,$G147&lt;DT$5+GanttPeriod),"◆",IF(AND($E147&gt;=DT$5,$E147&lt;DT$5+GanttPeriod),"◇","")),IF(AND(DT$5&lt;=$F147,DT$5+GanttPeriod-1&gt;=$E147),"━","")))</f>
        <v/>
      </c>
      <c r="DU147" s="69" t="str">
        <f aca="false">IF($E147="","",IF($M147,IF(AND($G147&gt;=DU$5,$G147&lt;DU$5+GanttPeriod),"◆",IF(AND($E147&gt;=DU$5,$E147&lt;DU$5+GanttPeriod),"◇","")),IF(AND(DU$5&lt;=$F147,DU$5+GanttPeriod-1&gt;=$E147),"━","")))</f>
        <v/>
      </c>
      <c r="DV147" s="69" t="str">
        <f aca="false">IF($E147="","",IF($M147,IF(AND($G147&gt;=DV$5,$G147&lt;DV$5+GanttPeriod),"◆",IF(AND($E147&gt;=DV$5,$E147&lt;DV$5+GanttPeriod),"◇","")),IF(AND(DV$5&lt;=$F147,DV$5+GanttPeriod-1&gt;=$E147),"━","")))</f>
        <v/>
      </c>
      <c r="DW147" s="69" t="str">
        <f aca="false">IF($E147="","",IF($M147,IF(AND($G147&gt;=DW$5,$G147&lt;DW$5+GanttPeriod),"◆",IF(AND($E147&gt;=DW$5,$E147&lt;DW$5+GanttPeriod),"◇","")),IF(AND(DW$5&lt;=$F147,DW$5+GanttPeriod-1&gt;=$E147),"━","")))</f>
        <v/>
      </c>
      <c r="DX147" s="69" t="str">
        <f aca="false">IF($E147="","",IF($M147,IF(AND($G147&gt;=DX$5,$G147&lt;DX$5+GanttPeriod),"◆",IF(AND($E147&gt;=DX$5,$E147&lt;DX$5+GanttPeriod),"◇","")),IF(AND(DX$5&lt;=$F147,DX$5+GanttPeriod-1&gt;=$E147),"━","")))</f>
        <v/>
      </c>
      <c r="DY147" s="69" t="str">
        <f aca="false">IF($E147="","",IF($M147,IF(AND($G147&gt;=DY$5,$G147&lt;DY$5+GanttPeriod),"◆",IF(AND($E147&gt;=DY$5,$E147&lt;DY$5+GanttPeriod),"◇","")),IF(AND(DY$5&lt;=$F147,DY$5+GanttPeriod-1&gt;=$E147),"━","")))</f>
        <v/>
      </c>
      <c r="DZ147" s="69" t="str">
        <f aca="false">IF($E147="","",IF($M147,IF(AND($G147&gt;=DZ$5,$G147&lt;DZ$5+GanttPeriod),"◆",IF(AND($E147&gt;=DZ$5,$E147&lt;DZ$5+GanttPeriod),"◇","")),IF(AND(DZ$5&lt;=$F147,DZ$5+GanttPeriod-1&gt;=$E147),"━","")))</f>
        <v/>
      </c>
      <c r="EA147" s="69" t="str">
        <f aca="false">IF($E147="","",IF($M147,IF(AND($G147&gt;=EA$5,$G147&lt;EA$5+GanttPeriod),"◆",IF(AND($E147&gt;=EA$5,$E147&lt;EA$5+GanttPeriod),"◇","")),IF(AND(EA$5&lt;=$F147,EA$5+GanttPeriod-1&gt;=$E147),"━","")))</f>
        <v/>
      </c>
      <c r="EB147" s="69" t="str">
        <f aca="false">IF($E147="","",IF($M147,IF(AND($G147&gt;=EB$5,$G147&lt;EB$5+GanttPeriod),"◆",IF(AND($E147&gt;=EB$5,$E147&lt;EB$5+GanttPeriod),"◇","")),IF(AND(EB$5&lt;=$F147,EB$5+GanttPeriod-1&gt;=$E147),"━","")))</f>
        <v/>
      </c>
      <c r="EC147" s="69" t="str">
        <f aca="false">IF($E147="","",IF($M147,IF(AND($G147&gt;=EC$5,$G147&lt;EC$5+GanttPeriod),"◆",IF(AND($E147&gt;=EC$5,$E147&lt;EC$5+GanttPeriod),"◇","")),IF(AND(EC$5&lt;=$F147,EC$5+GanttPeriod-1&gt;=$E147),"━","")))</f>
        <v/>
      </c>
      <c r="ED147" s="69" t="str">
        <f aca="false">IF($E147="","",IF($M147,IF(AND($G147&gt;=ED$5,$G147&lt;ED$5+GanttPeriod),"◆",IF(AND($E147&gt;=ED$5,$E147&lt;ED$5+GanttPeriod),"◇","")),IF(AND(ED$5&lt;=$F147,ED$5+GanttPeriod-1&gt;=$E147),"━","")))</f>
        <v/>
      </c>
      <c r="EE147" s="69" t="str">
        <f aca="false">IF($E147="","",IF($M147,IF(AND($G147&gt;=EE$5,$G147&lt;EE$5+GanttPeriod),"◆",IF(AND($E147&gt;=EE$5,$E147&lt;EE$5+GanttPeriod),"◇","")),IF(AND(EE$5&lt;=$F147,EE$5+GanttPeriod-1&gt;=$E147),"━","")))</f>
        <v/>
      </c>
      <c r="EF147" s="69" t="str">
        <f aca="false">IF($E147="","",IF($M147,IF(AND($G147&gt;=EF$5,$G147&lt;EF$5+GanttPeriod),"◆",IF(AND($E147&gt;=EF$5,$E147&lt;EF$5+GanttPeriod),"◇","")),IF(AND(EF$5&lt;=$F147,EF$5+GanttPeriod-1&gt;=$E147),"━","")))</f>
        <v/>
      </c>
      <c r="EG147" s="69" t="str">
        <f aca="false">IF($E147="","",IF($M147,IF(AND($G147&gt;=EG$5,$G147&lt;EG$5+GanttPeriod),"◆",IF(AND($E147&gt;=EG$5,$E147&lt;EG$5+GanttPeriod),"◇","")),IF(AND(EG$5&lt;=$F147,EG$5+GanttPeriod-1&gt;=$E147),"━","")))</f>
        <v/>
      </c>
      <c r="EH147" s="69" t="str">
        <f aca="false">IF($E147="","",IF($M147,IF(AND($G147&gt;=EH$5,$G147&lt;EH$5+GanttPeriod),"◆",IF(AND($E147&gt;=EH$5,$E147&lt;EH$5+GanttPeriod),"◇","")),IF(AND(EH$5&lt;=$F147,EH$5+GanttPeriod-1&gt;=$E147),"━","")))</f>
        <v/>
      </c>
      <c r="EI147" s="69" t="str">
        <f aca="false">IF($E147="","",IF($M147,IF(AND($G147&gt;=EI$5,$G147&lt;EI$5+GanttPeriod),"◆",IF(AND($E147&gt;=EI$5,$E147&lt;EI$5+GanttPeriod),"◇","")),IF(AND(EI$5&lt;=$F147,EI$5+GanttPeriod-1&gt;=$E147),"━","")))</f>
        <v/>
      </c>
      <c r="EJ147" s="69" t="str">
        <f aca="false">IF($E147="","",IF($M147,IF(AND($G147&gt;=EJ$5,$G147&lt;EJ$5+GanttPeriod),"◆",IF(AND($E147&gt;=EJ$5,$E147&lt;EJ$5+GanttPeriod),"◇","")),IF(AND(EJ$5&lt;=$F147,EJ$5+GanttPeriod-1&gt;=$E147),"━","")))</f>
        <v/>
      </c>
      <c r="EK147" s="69" t="str">
        <f aca="false">IF($E147="","",IF($M147,IF(AND($G147&gt;=EK$5,$G147&lt;EK$5+GanttPeriod),"◆",IF(AND($E147&gt;=EK$5,$E147&lt;EK$5+GanttPeriod),"◇","")),IF(AND(EK$5&lt;=$F147,EK$5+GanttPeriod-1&gt;=$E147),"━","")))</f>
        <v/>
      </c>
      <c r="EL147" s="69" t="str">
        <f aca="false">IF($E147="","",IF($M147,IF(AND($G147&gt;=EL$5,$G147&lt;EL$5+GanttPeriod),"◆",IF(AND($E147&gt;=EL$5,$E147&lt;EL$5+GanttPeriod),"◇","")),IF(AND(EL$5&lt;=$F147,EL$5+GanttPeriod-1&gt;=$E147),"━","")))</f>
        <v/>
      </c>
      <c r="EM147" s="69" t="str">
        <f aca="false">IF($E147="","",IF($M147,IF(AND($G147&gt;=EM$5,$G147&lt;EM$5+GanttPeriod),"◆",IF(AND($E147&gt;=EM$5,$E147&lt;EM$5+GanttPeriod),"◇","")),IF(AND(EM$5&lt;=$F147,EM$5+GanttPeriod-1&gt;=$E147),"━","")))</f>
        <v/>
      </c>
      <c r="EN147" s="69" t="str">
        <f aca="false">IF($E147="","",IF($M147,IF(AND($G147&gt;=EN$5,$G147&lt;EN$5+GanttPeriod),"◆",IF(AND($E147&gt;=EN$5,$E147&lt;EN$5+GanttPeriod),"◇","")),IF(AND(EN$5&lt;=$F147,EN$5+GanttPeriod-1&gt;=$E147),"━","")))</f>
        <v/>
      </c>
      <c r="EO147" s="69" t="str">
        <f aca="false">IF($E147="","",IF($M147,IF(AND($G147&gt;=EO$5,$G147&lt;EO$5+GanttPeriod),"◆",IF(AND($E147&gt;=EO$5,$E147&lt;EO$5+GanttPeriod),"◇","")),IF(AND(EO$5&lt;=$F147,EO$5+GanttPeriod-1&gt;=$E147),"━","")))</f>
        <v/>
      </c>
      <c r="EP147" s="69" t="str">
        <f aca="false">IF($E147="","",IF($M147,IF(AND($G147&gt;=EP$5,$G147&lt;EP$5+GanttPeriod),"◆",IF(AND($E147&gt;=EP$5,$E147&lt;EP$5+GanttPeriod),"◇","")),IF(AND(EP$5&lt;=$F147,EP$5+GanttPeriod-1&gt;=$E147),"━","")))</f>
        <v/>
      </c>
      <c r="EQ147" s="69" t="str">
        <f aca="false">IF($E147="","",IF($M147,IF(AND($G147&gt;=EQ$5,$G147&lt;EQ$5+GanttPeriod),"◆",IF(AND($E147&gt;=EQ$5,$E147&lt;EQ$5+GanttPeriod),"◇","")),IF(AND(EQ$5&lt;=$F147,EQ$5+GanttPeriod-1&gt;=$E147),"━","")))</f>
        <v/>
      </c>
      <c r="ER147" s="69" t="str">
        <f aca="false">IF($E147="","",IF($M147,IF(AND($G147&gt;=ER$5,$G147&lt;ER$5+GanttPeriod),"◆",IF(AND($E147&gt;=ER$5,$E147&lt;ER$5+GanttPeriod),"◇","")),IF(AND(ER$5&lt;=$F147,ER$5+GanttPeriod-1&gt;=$E147),"━","")))</f>
        <v/>
      </c>
      <c r="ES147" s="69" t="str">
        <f aca="false">IF($E147="","",IF($M147,IF(AND($G147&gt;=ES$5,$G147&lt;ES$5+GanttPeriod),"◆",IF(AND($E147&gt;=ES$5,$E147&lt;ES$5+GanttPeriod),"◇","")),IF(AND(ES$5&lt;=$F147,ES$5+GanttPeriod-1&gt;=$E147),"━","")))</f>
        <v/>
      </c>
      <c r="ET147" s="69" t="str">
        <f aca="false">IF($E147="","",IF($M147,IF(AND($G147&gt;=ET$5,$G147&lt;ET$5+GanttPeriod),"◆",IF(AND($E147&gt;=ET$5,$E147&lt;ET$5+GanttPeriod),"◇","")),IF(AND(ET$5&lt;=$F147,ET$5+GanttPeriod-1&gt;=$E147),"━","")))</f>
        <v/>
      </c>
      <c r="EU147" s="69" t="str">
        <f aca="false">IF($E147="","",IF($M147,IF(AND($G147&gt;=EU$5,$G147&lt;EU$5+GanttPeriod),"◆",IF(AND($E147&gt;=EU$5,$E147&lt;EU$5+GanttPeriod),"◇","")),IF(AND(EU$5&lt;=$F147,EU$5+GanttPeriod-1&gt;=$E147),"━","")))</f>
        <v/>
      </c>
      <c r="EV147" s="69" t="str">
        <f aca="false">IF($E147="","",IF($M147,IF(AND($G147&gt;=EV$5,$G147&lt;EV$5+GanttPeriod),"◆",IF(AND($E147&gt;=EV$5,$E147&lt;EV$5+GanttPeriod),"◇","")),IF(AND(EV$5&lt;=$F147,EV$5+GanttPeriod-1&gt;=$E147),"━","")))</f>
        <v/>
      </c>
      <c r="EW147" s="69" t="str">
        <f aca="false">IF($E147="","",IF($M147,IF(AND($G147&gt;=EW$5,$G147&lt;EW$5+GanttPeriod),"◆",IF(AND($E147&gt;=EW$5,$E147&lt;EW$5+GanttPeriod),"◇","")),IF(AND(EW$5&lt;=$F147,EW$5+GanttPeriod-1&gt;=$E147),"━","")))</f>
        <v/>
      </c>
      <c r="EX147" s="69" t="str">
        <f aca="false">IF($E147="","",IF($M147,IF(AND($G147&gt;=EX$5,$G147&lt;EX$5+GanttPeriod),"◆",IF(AND($E147&gt;=EX$5,$E147&lt;EX$5+GanttPeriod),"◇","")),IF(AND(EX$5&lt;=$F147,EX$5+GanttPeriod-1&gt;=$E147),"━","")))</f>
        <v/>
      </c>
      <c r="EY147" s="69" t="str">
        <f aca="false">IF($E147="","",IF($M147,IF(AND($G147&gt;=EY$5,$G147&lt;EY$5+GanttPeriod),"◆",IF(AND($E147&gt;=EY$5,$E147&lt;EY$5+GanttPeriod),"◇","")),IF(AND(EY$5&lt;=$F147,EY$5+GanttPeriod-1&gt;=$E147),"━","")))</f>
        <v/>
      </c>
      <c r="EZ147" s="69" t="str">
        <f aca="false">IF($E147="","",IF($M147,IF(AND($G147&gt;=EZ$5,$G147&lt;EZ$5+GanttPeriod),"◆",IF(AND($E147&gt;=EZ$5,$E147&lt;EZ$5+GanttPeriod),"◇","")),IF(AND(EZ$5&lt;=$F147,EZ$5+GanttPeriod-1&gt;=$E147),"━","")))</f>
        <v/>
      </c>
      <c r="FA147" s="69" t="str">
        <f aca="false">IF($E147="","",IF($M147,IF(AND($G147&gt;=FA$5,$G147&lt;FA$5+GanttPeriod),"◆",IF(AND($E147&gt;=FA$5,$E147&lt;FA$5+GanttPeriod),"◇","")),IF(AND(FA$5&lt;=$F147,FA$5+GanttPeriod-1&gt;=$E147),"━","")))</f>
        <v/>
      </c>
      <c r="FB147" s="69" t="str">
        <f aca="false">IF($E147="","",IF($M147,IF(AND($G147&gt;=FB$5,$G147&lt;FB$5+GanttPeriod),"◆",IF(AND($E147&gt;=FB$5,$E147&lt;FB$5+GanttPeriod),"◇","")),IF(AND(FB$5&lt;=$F147,FB$5+GanttPeriod-1&gt;=$E147),"━","")))</f>
        <v/>
      </c>
      <c r="FC147" s="69" t="str">
        <f aca="false">IF($E147="","",IF($M147,IF(AND($G147&gt;=FC$5,$G147&lt;FC$5+GanttPeriod),"◆",IF(AND($E147&gt;=FC$5,$E147&lt;FC$5+GanttPeriod),"◇","")),IF(AND(FC$5&lt;=$F147,FC$5+GanttPeriod-1&gt;=$E147),"━","")))</f>
        <v/>
      </c>
      <c r="FD147" s="69" t="str">
        <f aca="false">IF($E147="","",IF($M147,IF(AND($G147&gt;=FD$5,$G147&lt;FD$5+GanttPeriod),"◆",IF(AND($E147&gt;=FD$5,$E147&lt;FD$5+GanttPeriod),"◇","")),IF(AND(FD$5&lt;=$F147,FD$5+GanttPeriod-1&gt;=$E147),"━","")))</f>
        <v/>
      </c>
      <c r="FE147" s="69" t="str">
        <f aca="false">IF($E147="","",IF($M147,IF(AND($G147&gt;=FE$5,$G147&lt;FE$5+GanttPeriod),"◆",IF(AND($E147&gt;=FE$5,$E147&lt;FE$5+GanttPeriod),"◇","")),IF(AND(FE$5&lt;=$F147,FE$5+GanttPeriod-1&gt;=$E147),"━","")))</f>
        <v/>
      </c>
      <c r="FF147" s="69" t="str">
        <f aca="false">IF($E147="","",IF($M147,IF(AND($G147&gt;=FF$5,$G147&lt;FF$5+GanttPeriod),"◆",IF(AND($E147&gt;=FF$5,$E147&lt;FF$5+GanttPeriod),"◇","")),IF(AND(FF$5&lt;=$F147,FF$5+GanttPeriod-1&gt;=$E147),"━","")))</f>
        <v/>
      </c>
      <c r="FG147" s="69" t="str">
        <f aca="false">IF($E147="","",IF($M147,IF(AND($G147&gt;=FG$5,$G147&lt;FG$5+GanttPeriod),"◆",IF(AND($E147&gt;=FG$5,$E147&lt;FG$5+GanttPeriod),"◇","")),IF(AND(FG$5&lt;=$F147,FG$5+GanttPeriod-1&gt;=$E147),"━","")))</f>
        <v/>
      </c>
      <c r="FH147" s="69" t="str">
        <f aca="false">IF($E147="","",IF($M147,IF(AND($G147&gt;=FH$5,$G147&lt;FH$5+GanttPeriod),"◆",IF(AND($E147&gt;=FH$5,$E147&lt;FH$5+GanttPeriod),"◇","")),IF(AND(FH$5&lt;=$F147,FH$5+GanttPeriod-1&gt;=$E147),"━","")))</f>
        <v/>
      </c>
      <c r="FI147" s="69" t="str">
        <f aca="false">IF($E147="","",IF($M147,IF(AND($G147&gt;=FI$5,$G147&lt;FI$5+GanttPeriod),"◆",IF(AND($E147&gt;=FI$5,$E147&lt;FI$5+GanttPeriod),"◇","")),IF(AND(FI$5&lt;=$F147,FI$5+GanttPeriod-1&gt;=$E147),"━","")))</f>
        <v/>
      </c>
      <c r="FJ147" s="69" t="str">
        <f aca="false">IF($E147="","",IF($M147,IF(AND($G147&gt;=FJ$5,$G147&lt;FJ$5+GanttPeriod),"◆",IF(AND($E147&gt;=FJ$5,$E147&lt;FJ$5+GanttPeriod),"◇","")),IF(AND(FJ$5&lt;=$F147,FJ$5+GanttPeriod-1&gt;=$E147),"━","")))</f>
        <v/>
      </c>
      <c r="FK147" s="69" t="str">
        <f aca="false">IF($E147="","",IF($M147,IF(AND($G147&gt;=FK$5,$G147&lt;FK$5+GanttPeriod),"◆",IF(AND($E147&gt;=FK$5,$E147&lt;FK$5+GanttPeriod),"◇","")),IF(AND(FK$5&lt;=$F147,FK$5+GanttPeriod-1&gt;=$E147),"━","")))</f>
        <v/>
      </c>
      <c r="FL147" s="69" t="str">
        <f aca="false">IF($E147="","",IF($M147,IF(AND($G147&gt;=FL$5,$G147&lt;FL$5+GanttPeriod),"◆",IF(AND($E147&gt;=FL$5,$E147&lt;FL$5+GanttPeriod),"◇","")),IF(AND(FL$5&lt;=$F147,FL$5+GanttPeriod-1&gt;=$E147),"━","")))</f>
        <v/>
      </c>
      <c r="FM147" s="69" t="str">
        <f aca="false">IF($E147="","",IF($M147,IF(AND($G147&gt;=FM$5,$G147&lt;FM$5+GanttPeriod),"◆",IF(AND($E147&gt;=FM$5,$E147&lt;FM$5+GanttPeriod),"◇","")),IF(AND(FM$5&lt;=$F147,FM$5+GanttPeriod-1&gt;=$E147),"━","")))</f>
        <v/>
      </c>
    </row>
    <row r="148" customFormat="false" ht="15" hidden="false" customHeight="false" outlineLevel="0" collapsed="false">
      <c r="A148" s="62" t="str">
        <f aca="false">IF(Tasks!$D148="","",Tasks!$A148)</f>
        <v/>
      </c>
      <c r="B148" s="62" t="str">
        <f aca="false">IF(Tasks!$D148="","",Tasks!$B148)</f>
        <v/>
      </c>
      <c r="C148" s="63" t="str">
        <f aca="false">IF(Tasks!$D148="","",REPT("    ",Tasks!$AE148-1)&amp;Tasks!$D148)</f>
        <v/>
      </c>
      <c r="D148" s="62" t="str">
        <f aca="false">IF(Tasks!$D148="","",IF(Tasks!$AI148,NETWORKDAYS.INTL(Tasks!$R148,Tasks!$S148,WorkWeek,Holidays),N(Tasks!$F148)))</f>
        <v/>
      </c>
      <c r="E148" s="64" t="str">
        <f aca="false">IF(Tasks!$D148="","",Tasks!$N148)</f>
        <v/>
      </c>
      <c r="F148" s="64" t="str">
        <f aca="false">IF(Tasks!$D148="","",Tasks!$O148)</f>
        <v/>
      </c>
      <c r="G148" s="64" t="str">
        <f aca="false">IF(Tasks!$D148="","",Tasks!$R148)</f>
        <v/>
      </c>
      <c r="H148" s="64" t="str">
        <f aca="false">IF(Tasks!$D148="","",Tasks!$S148)</f>
        <v/>
      </c>
      <c r="I148" s="65" t="str">
        <f aca="false">IF(Tasks!$D148="","",Tasks!$V148)</f>
        <v/>
      </c>
      <c r="J148" s="63" t="str">
        <f aca="false">IF(Tasks!$D148="","",Tasks!$X148&amp;"")</f>
        <v/>
      </c>
      <c r="K148" s="66" t="str">
        <f aca="false">IF(Tasks!$D148="","",Tasks!$W148)</f>
        <v/>
      </c>
      <c r="L148" s="67" t="b">
        <f aca="false">IF(Tasks!$D148="",FALSE(),Tasks!$AI148)</f>
        <v>0</v>
      </c>
      <c r="M148" s="67" t="b">
        <f aca="false">AND(Tasks!$AJ148=1,N(Tasks!$F148)=0)</f>
        <v>0</v>
      </c>
      <c r="N148" s="68" t="n">
        <f aca="false">IF(AND(Tasks!$AJ148=1,NOT($M148),N($I148)&gt;0),$G148,0)</f>
        <v>0</v>
      </c>
      <c r="O148" s="68" t="n">
        <f aca="false">IF($N148=0,0,IF($I148&gt;=1,$H148,MAX($N148,$G148+ROUND(($H148-$G148+1)*$I148,0)-1)))</f>
        <v>0</v>
      </c>
      <c r="P148" s="68" t="n">
        <f aca="false">IF(OR(Tasks!$AJ148&lt;&gt;1,$M148,N($I148)&gt;=1),0,IF($O148&gt;0,$O148+1,$G148))</f>
        <v>0</v>
      </c>
      <c r="Q148" s="68" t="n">
        <f aca="false">IF($P148=0,0,$H148)</f>
        <v>0</v>
      </c>
      <c r="R148" s="67" t="b">
        <f aca="false">AND(Tasks!$D148&lt;&gt;"",N(Tasks!$T148)&gt;0)</f>
        <v>0</v>
      </c>
      <c r="T148" s="69" t="str">
        <f aca="false">IF($E148="","",IF($M148,IF(AND($G148&gt;=T$5,$G148&lt;T$5+GanttPeriod),"◆",IF(AND($E148&gt;=T$5,$E148&lt;T$5+GanttPeriod),"◇","")),IF(AND(T$5&lt;=$F148,T$5+GanttPeriod-1&gt;=$E148),"━","")))</f>
        <v/>
      </c>
      <c r="U148" s="69" t="str">
        <f aca="false">IF($E148="","",IF($M148,IF(AND($G148&gt;=U$5,$G148&lt;U$5+GanttPeriod),"◆",IF(AND($E148&gt;=U$5,$E148&lt;U$5+GanttPeriod),"◇","")),IF(AND(U$5&lt;=$F148,U$5+GanttPeriod-1&gt;=$E148),"━","")))</f>
        <v/>
      </c>
      <c r="V148" s="69" t="str">
        <f aca="false">IF($E148="","",IF($M148,IF(AND($G148&gt;=V$5,$G148&lt;V$5+GanttPeriod),"◆",IF(AND($E148&gt;=V$5,$E148&lt;V$5+GanttPeriod),"◇","")),IF(AND(V$5&lt;=$F148,V$5+GanttPeriod-1&gt;=$E148),"━","")))</f>
        <v/>
      </c>
      <c r="W148" s="69" t="str">
        <f aca="false">IF($E148="","",IF($M148,IF(AND($G148&gt;=W$5,$G148&lt;W$5+GanttPeriod),"◆",IF(AND($E148&gt;=W$5,$E148&lt;W$5+GanttPeriod),"◇","")),IF(AND(W$5&lt;=$F148,W$5+GanttPeriod-1&gt;=$E148),"━","")))</f>
        <v/>
      </c>
      <c r="X148" s="69" t="str">
        <f aca="false">IF($E148="","",IF($M148,IF(AND($G148&gt;=X$5,$G148&lt;X$5+GanttPeriod),"◆",IF(AND($E148&gt;=X$5,$E148&lt;X$5+GanttPeriod),"◇","")),IF(AND(X$5&lt;=$F148,X$5+GanttPeriod-1&gt;=$E148),"━","")))</f>
        <v/>
      </c>
      <c r="Y148" s="69" t="str">
        <f aca="false">IF($E148="","",IF($M148,IF(AND($G148&gt;=Y$5,$G148&lt;Y$5+GanttPeriod),"◆",IF(AND($E148&gt;=Y$5,$E148&lt;Y$5+GanttPeriod),"◇","")),IF(AND(Y$5&lt;=$F148,Y$5+GanttPeriod-1&gt;=$E148),"━","")))</f>
        <v/>
      </c>
      <c r="Z148" s="69" t="str">
        <f aca="false">IF($E148="","",IF($M148,IF(AND($G148&gt;=Z$5,$G148&lt;Z$5+GanttPeriod),"◆",IF(AND($E148&gt;=Z$5,$E148&lt;Z$5+GanttPeriod),"◇","")),IF(AND(Z$5&lt;=$F148,Z$5+GanttPeriod-1&gt;=$E148),"━","")))</f>
        <v/>
      </c>
      <c r="AA148" s="69" t="str">
        <f aca="false">IF($E148="","",IF($M148,IF(AND($G148&gt;=AA$5,$G148&lt;AA$5+GanttPeriod),"◆",IF(AND($E148&gt;=AA$5,$E148&lt;AA$5+GanttPeriod),"◇","")),IF(AND(AA$5&lt;=$F148,AA$5+GanttPeriod-1&gt;=$E148),"━","")))</f>
        <v/>
      </c>
      <c r="AB148" s="69" t="str">
        <f aca="false">IF($E148="","",IF($M148,IF(AND($G148&gt;=AB$5,$G148&lt;AB$5+GanttPeriod),"◆",IF(AND($E148&gt;=AB$5,$E148&lt;AB$5+GanttPeriod),"◇","")),IF(AND(AB$5&lt;=$F148,AB$5+GanttPeriod-1&gt;=$E148),"━","")))</f>
        <v/>
      </c>
      <c r="AC148" s="69" t="str">
        <f aca="false">IF($E148="","",IF($M148,IF(AND($G148&gt;=AC$5,$G148&lt;AC$5+GanttPeriod),"◆",IF(AND($E148&gt;=AC$5,$E148&lt;AC$5+GanttPeriod),"◇","")),IF(AND(AC$5&lt;=$F148,AC$5+GanttPeriod-1&gt;=$E148),"━","")))</f>
        <v/>
      </c>
      <c r="AD148" s="69" t="str">
        <f aca="false">IF($E148="","",IF($M148,IF(AND($G148&gt;=AD$5,$G148&lt;AD$5+GanttPeriod),"◆",IF(AND($E148&gt;=AD$5,$E148&lt;AD$5+GanttPeriod),"◇","")),IF(AND(AD$5&lt;=$F148,AD$5+GanttPeriod-1&gt;=$E148),"━","")))</f>
        <v/>
      </c>
      <c r="AE148" s="69" t="str">
        <f aca="false">IF($E148="","",IF($M148,IF(AND($G148&gt;=AE$5,$G148&lt;AE$5+GanttPeriod),"◆",IF(AND($E148&gt;=AE$5,$E148&lt;AE$5+GanttPeriod),"◇","")),IF(AND(AE$5&lt;=$F148,AE$5+GanttPeriod-1&gt;=$E148),"━","")))</f>
        <v/>
      </c>
      <c r="AF148" s="69" t="str">
        <f aca="false">IF($E148="","",IF($M148,IF(AND($G148&gt;=AF$5,$G148&lt;AF$5+GanttPeriod),"◆",IF(AND($E148&gt;=AF$5,$E148&lt;AF$5+GanttPeriod),"◇","")),IF(AND(AF$5&lt;=$F148,AF$5+GanttPeriod-1&gt;=$E148),"━","")))</f>
        <v/>
      </c>
      <c r="AG148" s="69" t="str">
        <f aca="false">IF($E148="","",IF($M148,IF(AND($G148&gt;=AG$5,$G148&lt;AG$5+GanttPeriod),"◆",IF(AND($E148&gt;=AG$5,$E148&lt;AG$5+GanttPeriod),"◇","")),IF(AND(AG$5&lt;=$F148,AG$5+GanttPeriod-1&gt;=$E148),"━","")))</f>
        <v/>
      </c>
      <c r="AH148" s="69" t="str">
        <f aca="false">IF($E148="","",IF($M148,IF(AND($G148&gt;=AH$5,$G148&lt;AH$5+GanttPeriod),"◆",IF(AND($E148&gt;=AH$5,$E148&lt;AH$5+GanttPeriod),"◇","")),IF(AND(AH$5&lt;=$F148,AH$5+GanttPeriod-1&gt;=$E148),"━","")))</f>
        <v/>
      </c>
      <c r="AI148" s="69" t="str">
        <f aca="false">IF($E148="","",IF($M148,IF(AND($G148&gt;=AI$5,$G148&lt;AI$5+GanttPeriod),"◆",IF(AND($E148&gt;=AI$5,$E148&lt;AI$5+GanttPeriod),"◇","")),IF(AND(AI$5&lt;=$F148,AI$5+GanttPeriod-1&gt;=$E148),"━","")))</f>
        <v/>
      </c>
      <c r="AJ148" s="69" t="str">
        <f aca="false">IF($E148="","",IF($M148,IF(AND($G148&gt;=AJ$5,$G148&lt;AJ$5+GanttPeriod),"◆",IF(AND($E148&gt;=AJ$5,$E148&lt;AJ$5+GanttPeriod),"◇","")),IF(AND(AJ$5&lt;=$F148,AJ$5+GanttPeriod-1&gt;=$E148),"━","")))</f>
        <v/>
      </c>
      <c r="AK148" s="69" t="str">
        <f aca="false">IF($E148="","",IF($M148,IF(AND($G148&gt;=AK$5,$G148&lt;AK$5+GanttPeriod),"◆",IF(AND($E148&gt;=AK$5,$E148&lt;AK$5+GanttPeriod),"◇","")),IF(AND(AK$5&lt;=$F148,AK$5+GanttPeriod-1&gt;=$E148),"━","")))</f>
        <v/>
      </c>
      <c r="AL148" s="69" t="str">
        <f aca="false">IF($E148="","",IF($M148,IF(AND($G148&gt;=AL$5,$G148&lt;AL$5+GanttPeriod),"◆",IF(AND($E148&gt;=AL$5,$E148&lt;AL$5+GanttPeriod),"◇","")),IF(AND(AL$5&lt;=$F148,AL$5+GanttPeriod-1&gt;=$E148),"━","")))</f>
        <v/>
      </c>
      <c r="AM148" s="69" t="str">
        <f aca="false">IF($E148="","",IF($M148,IF(AND($G148&gt;=AM$5,$G148&lt;AM$5+GanttPeriod),"◆",IF(AND($E148&gt;=AM$5,$E148&lt;AM$5+GanttPeriod),"◇","")),IF(AND(AM$5&lt;=$F148,AM$5+GanttPeriod-1&gt;=$E148),"━","")))</f>
        <v/>
      </c>
      <c r="AN148" s="69" t="str">
        <f aca="false">IF($E148="","",IF($M148,IF(AND($G148&gt;=AN$5,$G148&lt;AN$5+GanttPeriod),"◆",IF(AND($E148&gt;=AN$5,$E148&lt;AN$5+GanttPeriod),"◇","")),IF(AND(AN$5&lt;=$F148,AN$5+GanttPeriod-1&gt;=$E148),"━","")))</f>
        <v/>
      </c>
      <c r="AO148" s="69" t="str">
        <f aca="false">IF($E148="","",IF($M148,IF(AND($G148&gt;=AO$5,$G148&lt;AO$5+GanttPeriod),"◆",IF(AND($E148&gt;=AO$5,$E148&lt;AO$5+GanttPeriod),"◇","")),IF(AND(AO$5&lt;=$F148,AO$5+GanttPeriod-1&gt;=$E148),"━","")))</f>
        <v/>
      </c>
      <c r="AP148" s="69" t="str">
        <f aca="false">IF($E148="","",IF($M148,IF(AND($G148&gt;=AP$5,$G148&lt;AP$5+GanttPeriod),"◆",IF(AND($E148&gt;=AP$5,$E148&lt;AP$5+GanttPeriod),"◇","")),IF(AND(AP$5&lt;=$F148,AP$5+GanttPeriod-1&gt;=$E148),"━","")))</f>
        <v/>
      </c>
      <c r="AQ148" s="69" t="str">
        <f aca="false">IF($E148="","",IF($M148,IF(AND($G148&gt;=AQ$5,$G148&lt;AQ$5+GanttPeriod),"◆",IF(AND($E148&gt;=AQ$5,$E148&lt;AQ$5+GanttPeriod),"◇","")),IF(AND(AQ$5&lt;=$F148,AQ$5+GanttPeriod-1&gt;=$E148),"━","")))</f>
        <v/>
      </c>
      <c r="AR148" s="69" t="str">
        <f aca="false">IF($E148="","",IF($M148,IF(AND($G148&gt;=AR$5,$G148&lt;AR$5+GanttPeriod),"◆",IF(AND($E148&gt;=AR$5,$E148&lt;AR$5+GanttPeriod),"◇","")),IF(AND(AR$5&lt;=$F148,AR$5+GanttPeriod-1&gt;=$E148),"━","")))</f>
        <v/>
      </c>
      <c r="AS148" s="69" t="str">
        <f aca="false">IF($E148="","",IF($M148,IF(AND($G148&gt;=AS$5,$G148&lt;AS$5+GanttPeriod),"◆",IF(AND($E148&gt;=AS$5,$E148&lt;AS$5+GanttPeriod),"◇","")),IF(AND(AS$5&lt;=$F148,AS$5+GanttPeriod-1&gt;=$E148),"━","")))</f>
        <v/>
      </c>
      <c r="AT148" s="69" t="str">
        <f aca="false">IF($E148="","",IF($M148,IF(AND($G148&gt;=AT$5,$G148&lt;AT$5+GanttPeriod),"◆",IF(AND($E148&gt;=AT$5,$E148&lt;AT$5+GanttPeriod),"◇","")),IF(AND(AT$5&lt;=$F148,AT$5+GanttPeriod-1&gt;=$E148),"━","")))</f>
        <v/>
      </c>
      <c r="AU148" s="69" t="str">
        <f aca="false">IF($E148="","",IF($M148,IF(AND($G148&gt;=AU$5,$G148&lt;AU$5+GanttPeriod),"◆",IF(AND($E148&gt;=AU$5,$E148&lt;AU$5+GanttPeriod),"◇","")),IF(AND(AU$5&lt;=$F148,AU$5+GanttPeriod-1&gt;=$E148),"━","")))</f>
        <v/>
      </c>
      <c r="AV148" s="69" t="str">
        <f aca="false">IF($E148="","",IF($M148,IF(AND($G148&gt;=AV$5,$G148&lt;AV$5+GanttPeriod),"◆",IF(AND($E148&gt;=AV$5,$E148&lt;AV$5+GanttPeriod),"◇","")),IF(AND(AV$5&lt;=$F148,AV$5+GanttPeriod-1&gt;=$E148),"━","")))</f>
        <v/>
      </c>
      <c r="AW148" s="69" t="str">
        <f aca="false">IF($E148="","",IF($M148,IF(AND($G148&gt;=AW$5,$G148&lt;AW$5+GanttPeriod),"◆",IF(AND($E148&gt;=AW$5,$E148&lt;AW$5+GanttPeriod),"◇","")),IF(AND(AW$5&lt;=$F148,AW$5+GanttPeriod-1&gt;=$E148),"━","")))</f>
        <v/>
      </c>
      <c r="AX148" s="69" t="str">
        <f aca="false">IF($E148="","",IF($M148,IF(AND($G148&gt;=AX$5,$G148&lt;AX$5+GanttPeriod),"◆",IF(AND($E148&gt;=AX$5,$E148&lt;AX$5+GanttPeriod),"◇","")),IF(AND(AX$5&lt;=$F148,AX$5+GanttPeriod-1&gt;=$E148),"━","")))</f>
        <v/>
      </c>
      <c r="AY148" s="69" t="str">
        <f aca="false">IF($E148="","",IF($M148,IF(AND($G148&gt;=AY$5,$G148&lt;AY$5+GanttPeriod),"◆",IF(AND($E148&gt;=AY$5,$E148&lt;AY$5+GanttPeriod),"◇","")),IF(AND(AY$5&lt;=$F148,AY$5+GanttPeriod-1&gt;=$E148),"━","")))</f>
        <v/>
      </c>
      <c r="AZ148" s="69" t="str">
        <f aca="false">IF($E148="","",IF($M148,IF(AND($G148&gt;=AZ$5,$G148&lt;AZ$5+GanttPeriod),"◆",IF(AND($E148&gt;=AZ$5,$E148&lt;AZ$5+GanttPeriod),"◇","")),IF(AND(AZ$5&lt;=$F148,AZ$5+GanttPeriod-1&gt;=$E148),"━","")))</f>
        <v/>
      </c>
      <c r="BA148" s="69" t="str">
        <f aca="false">IF($E148="","",IF($M148,IF(AND($G148&gt;=BA$5,$G148&lt;BA$5+GanttPeriod),"◆",IF(AND($E148&gt;=BA$5,$E148&lt;BA$5+GanttPeriod),"◇","")),IF(AND(BA$5&lt;=$F148,BA$5+GanttPeriod-1&gt;=$E148),"━","")))</f>
        <v/>
      </c>
      <c r="BB148" s="69" t="str">
        <f aca="false">IF($E148="","",IF($M148,IF(AND($G148&gt;=BB$5,$G148&lt;BB$5+GanttPeriod),"◆",IF(AND($E148&gt;=BB$5,$E148&lt;BB$5+GanttPeriod),"◇","")),IF(AND(BB$5&lt;=$F148,BB$5+GanttPeriod-1&gt;=$E148),"━","")))</f>
        <v/>
      </c>
      <c r="BC148" s="69" t="str">
        <f aca="false">IF($E148="","",IF($M148,IF(AND($G148&gt;=BC$5,$G148&lt;BC$5+GanttPeriod),"◆",IF(AND($E148&gt;=BC$5,$E148&lt;BC$5+GanttPeriod),"◇","")),IF(AND(BC$5&lt;=$F148,BC$5+GanttPeriod-1&gt;=$E148),"━","")))</f>
        <v/>
      </c>
      <c r="BD148" s="69" t="str">
        <f aca="false">IF($E148="","",IF($M148,IF(AND($G148&gt;=BD$5,$G148&lt;BD$5+GanttPeriod),"◆",IF(AND($E148&gt;=BD$5,$E148&lt;BD$5+GanttPeriod),"◇","")),IF(AND(BD$5&lt;=$F148,BD$5+GanttPeriod-1&gt;=$E148),"━","")))</f>
        <v/>
      </c>
      <c r="BE148" s="69" t="str">
        <f aca="false">IF($E148="","",IF($M148,IF(AND($G148&gt;=BE$5,$G148&lt;BE$5+GanttPeriod),"◆",IF(AND($E148&gt;=BE$5,$E148&lt;BE$5+GanttPeriod),"◇","")),IF(AND(BE$5&lt;=$F148,BE$5+GanttPeriod-1&gt;=$E148),"━","")))</f>
        <v/>
      </c>
      <c r="BF148" s="69" t="str">
        <f aca="false">IF($E148="","",IF($M148,IF(AND($G148&gt;=BF$5,$G148&lt;BF$5+GanttPeriod),"◆",IF(AND($E148&gt;=BF$5,$E148&lt;BF$5+GanttPeriod),"◇","")),IF(AND(BF$5&lt;=$F148,BF$5+GanttPeriod-1&gt;=$E148),"━","")))</f>
        <v/>
      </c>
      <c r="BG148" s="69" t="str">
        <f aca="false">IF($E148="","",IF($M148,IF(AND($G148&gt;=BG$5,$G148&lt;BG$5+GanttPeriod),"◆",IF(AND($E148&gt;=BG$5,$E148&lt;BG$5+GanttPeriod),"◇","")),IF(AND(BG$5&lt;=$F148,BG$5+GanttPeriod-1&gt;=$E148),"━","")))</f>
        <v/>
      </c>
      <c r="BH148" s="69" t="str">
        <f aca="false">IF($E148="","",IF($M148,IF(AND($G148&gt;=BH$5,$G148&lt;BH$5+GanttPeriod),"◆",IF(AND($E148&gt;=BH$5,$E148&lt;BH$5+GanttPeriod),"◇","")),IF(AND(BH$5&lt;=$F148,BH$5+GanttPeriod-1&gt;=$E148),"━","")))</f>
        <v/>
      </c>
      <c r="BI148" s="69" t="str">
        <f aca="false">IF($E148="","",IF($M148,IF(AND($G148&gt;=BI$5,$G148&lt;BI$5+GanttPeriod),"◆",IF(AND($E148&gt;=BI$5,$E148&lt;BI$5+GanttPeriod),"◇","")),IF(AND(BI$5&lt;=$F148,BI$5+GanttPeriod-1&gt;=$E148),"━","")))</f>
        <v/>
      </c>
      <c r="BJ148" s="69" t="str">
        <f aca="false">IF($E148="","",IF($M148,IF(AND($G148&gt;=BJ$5,$G148&lt;BJ$5+GanttPeriod),"◆",IF(AND($E148&gt;=BJ$5,$E148&lt;BJ$5+GanttPeriod),"◇","")),IF(AND(BJ$5&lt;=$F148,BJ$5+GanttPeriod-1&gt;=$E148),"━","")))</f>
        <v/>
      </c>
      <c r="BK148" s="69" t="str">
        <f aca="false">IF($E148="","",IF($M148,IF(AND($G148&gt;=BK$5,$G148&lt;BK$5+GanttPeriod),"◆",IF(AND($E148&gt;=BK$5,$E148&lt;BK$5+GanttPeriod),"◇","")),IF(AND(BK$5&lt;=$F148,BK$5+GanttPeriod-1&gt;=$E148),"━","")))</f>
        <v/>
      </c>
      <c r="BL148" s="69" t="str">
        <f aca="false">IF($E148="","",IF($M148,IF(AND($G148&gt;=BL$5,$G148&lt;BL$5+GanttPeriod),"◆",IF(AND($E148&gt;=BL$5,$E148&lt;BL$5+GanttPeriod),"◇","")),IF(AND(BL$5&lt;=$F148,BL$5+GanttPeriod-1&gt;=$E148),"━","")))</f>
        <v/>
      </c>
      <c r="BM148" s="69" t="str">
        <f aca="false">IF($E148="","",IF($M148,IF(AND($G148&gt;=BM$5,$G148&lt;BM$5+GanttPeriod),"◆",IF(AND($E148&gt;=BM$5,$E148&lt;BM$5+GanttPeriod),"◇","")),IF(AND(BM$5&lt;=$F148,BM$5+GanttPeriod-1&gt;=$E148),"━","")))</f>
        <v/>
      </c>
      <c r="BN148" s="69" t="str">
        <f aca="false">IF($E148="","",IF($M148,IF(AND($G148&gt;=BN$5,$G148&lt;BN$5+GanttPeriod),"◆",IF(AND($E148&gt;=BN$5,$E148&lt;BN$5+GanttPeriod),"◇","")),IF(AND(BN$5&lt;=$F148,BN$5+GanttPeriod-1&gt;=$E148),"━","")))</f>
        <v/>
      </c>
      <c r="BO148" s="69" t="str">
        <f aca="false">IF($E148="","",IF($M148,IF(AND($G148&gt;=BO$5,$G148&lt;BO$5+GanttPeriod),"◆",IF(AND($E148&gt;=BO$5,$E148&lt;BO$5+GanttPeriod),"◇","")),IF(AND(BO$5&lt;=$F148,BO$5+GanttPeriod-1&gt;=$E148),"━","")))</f>
        <v/>
      </c>
      <c r="BP148" s="69" t="str">
        <f aca="false">IF($E148="","",IF($M148,IF(AND($G148&gt;=BP$5,$G148&lt;BP$5+GanttPeriod),"◆",IF(AND($E148&gt;=BP$5,$E148&lt;BP$5+GanttPeriod),"◇","")),IF(AND(BP$5&lt;=$F148,BP$5+GanttPeriod-1&gt;=$E148),"━","")))</f>
        <v/>
      </c>
      <c r="BQ148" s="69" t="str">
        <f aca="false">IF($E148="","",IF($M148,IF(AND($G148&gt;=BQ$5,$G148&lt;BQ$5+GanttPeriod),"◆",IF(AND($E148&gt;=BQ$5,$E148&lt;BQ$5+GanttPeriod),"◇","")),IF(AND(BQ$5&lt;=$F148,BQ$5+GanttPeriod-1&gt;=$E148),"━","")))</f>
        <v/>
      </c>
      <c r="BR148" s="69" t="str">
        <f aca="false">IF($E148="","",IF($M148,IF(AND($G148&gt;=BR$5,$G148&lt;BR$5+GanttPeriod),"◆",IF(AND($E148&gt;=BR$5,$E148&lt;BR$5+GanttPeriod),"◇","")),IF(AND(BR$5&lt;=$F148,BR$5+GanttPeriod-1&gt;=$E148),"━","")))</f>
        <v/>
      </c>
      <c r="BS148" s="69" t="str">
        <f aca="false">IF($E148="","",IF($M148,IF(AND($G148&gt;=BS$5,$G148&lt;BS$5+GanttPeriod),"◆",IF(AND($E148&gt;=BS$5,$E148&lt;BS$5+GanttPeriod),"◇","")),IF(AND(BS$5&lt;=$F148,BS$5+GanttPeriod-1&gt;=$E148),"━","")))</f>
        <v/>
      </c>
      <c r="BT148" s="69" t="str">
        <f aca="false">IF($E148="","",IF($M148,IF(AND($G148&gt;=BT$5,$G148&lt;BT$5+GanttPeriod),"◆",IF(AND($E148&gt;=BT$5,$E148&lt;BT$5+GanttPeriod),"◇","")),IF(AND(BT$5&lt;=$F148,BT$5+GanttPeriod-1&gt;=$E148),"━","")))</f>
        <v/>
      </c>
      <c r="BU148" s="69" t="str">
        <f aca="false">IF($E148="","",IF($M148,IF(AND($G148&gt;=BU$5,$G148&lt;BU$5+GanttPeriod),"◆",IF(AND($E148&gt;=BU$5,$E148&lt;BU$5+GanttPeriod),"◇","")),IF(AND(BU$5&lt;=$F148,BU$5+GanttPeriod-1&gt;=$E148),"━","")))</f>
        <v/>
      </c>
      <c r="BV148" s="69" t="str">
        <f aca="false">IF($E148="","",IF($M148,IF(AND($G148&gt;=BV$5,$G148&lt;BV$5+GanttPeriod),"◆",IF(AND($E148&gt;=BV$5,$E148&lt;BV$5+GanttPeriod),"◇","")),IF(AND(BV$5&lt;=$F148,BV$5+GanttPeriod-1&gt;=$E148),"━","")))</f>
        <v/>
      </c>
      <c r="BW148" s="69" t="str">
        <f aca="false">IF($E148="","",IF($M148,IF(AND($G148&gt;=BW$5,$G148&lt;BW$5+GanttPeriod),"◆",IF(AND($E148&gt;=BW$5,$E148&lt;BW$5+GanttPeriod),"◇","")),IF(AND(BW$5&lt;=$F148,BW$5+GanttPeriod-1&gt;=$E148),"━","")))</f>
        <v/>
      </c>
      <c r="BX148" s="69" t="str">
        <f aca="false">IF($E148="","",IF($M148,IF(AND($G148&gt;=BX$5,$G148&lt;BX$5+GanttPeriod),"◆",IF(AND($E148&gt;=BX$5,$E148&lt;BX$5+GanttPeriod),"◇","")),IF(AND(BX$5&lt;=$F148,BX$5+GanttPeriod-1&gt;=$E148),"━","")))</f>
        <v/>
      </c>
      <c r="BY148" s="69" t="str">
        <f aca="false">IF($E148="","",IF($M148,IF(AND($G148&gt;=BY$5,$G148&lt;BY$5+GanttPeriod),"◆",IF(AND($E148&gt;=BY$5,$E148&lt;BY$5+GanttPeriod),"◇","")),IF(AND(BY$5&lt;=$F148,BY$5+GanttPeriod-1&gt;=$E148),"━","")))</f>
        <v/>
      </c>
      <c r="BZ148" s="69" t="str">
        <f aca="false">IF($E148="","",IF($M148,IF(AND($G148&gt;=BZ$5,$G148&lt;BZ$5+GanttPeriod),"◆",IF(AND($E148&gt;=BZ$5,$E148&lt;BZ$5+GanttPeriod),"◇","")),IF(AND(BZ$5&lt;=$F148,BZ$5+GanttPeriod-1&gt;=$E148),"━","")))</f>
        <v/>
      </c>
      <c r="CA148" s="69" t="str">
        <f aca="false">IF($E148="","",IF($M148,IF(AND($G148&gt;=CA$5,$G148&lt;CA$5+GanttPeriod),"◆",IF(AND($E148&gt;=CA$5,$E148&lt;CA$5+GanttPeriod),"◇","")),IF(AND(CA$5&lt;=$F148,CA$5+GanttPeriod-1&gt;=$E148),"━","")))</f>
        <v/>
      </c>
      <c r="CB148" s="69" t="str">
        <f aca="false">IF($E148="","",IF($M148,IF(AND($G148&gt;=CB$5,$G148&lt;CB$5+GanttPeriod),"◆",IF(AND($E148&gt;=CB$5,$E148&lt;CB$5+GanttPeriod),"◇","")),IF(AND(CB$5&lt;=$F148,CB$5+GanttPeriod-1&gt;=$E148),"━","")))</f>
        <v/>
      </c>
      <c r="CC148" s="69" t="str">
        <f aca="false">IF($E148="","",IF($M148,IF(AND($G148&gt;=CC$5,$G148&lt;CC$5+GanttPeriod),"◆",IF(AND($E148&gt;=CC$5,$E148&lt;CC$5+GanttPeriod),"◇","")),IF(AND(CC$5&lt;=$F148,CC$5+GanttPeriod-1&gt;=$E148),"━","")))</f>
        <v/>
      </c>
      <c r="CD148" s="69" t="str">
        <f aca="false">IF($E148="","",IF($M148,IF(AND($G148&gt;=CD$5,$G148&lt;CD$5+GanttPeriod),"◆",IF(AND($E148&gt;=CD$5,$E148&lt;CD$5+GanttPeriod),"◇","")),IF(AND(CD$5&lt;=$F148,CD$5+GanttPeriod-1&gt;=$E148),"━","")))</f>
        <v/>
      </c>
      <c r="CE148" s="69" t="str">
        <f aca="false">IF($E148="","",IF($M148,IF(AND($G148&gt;=CE$5,$G148&lt;CE$5+GanttPeriod),"◆",IF(AND($E148&gt;=CE$5,$E148&lt;CE$5+GanttPeriod),"◇","")),IF(AND(CE$5&lt;=$F148,CE$5+GanttPeriod-1&gt;=$E148),"━","")))</f>
        <v/>
      </c>
      <c r="CF148" s="69" t="str">
        <f aca="false">IF($E148="","",IF($M148,IF(AND($G148&gt;=CF$5,$G148&lt;CF$5+GanttPeriod),"◆",IF(AND($E148&gt;=CF$5,$E148&lt;CF$5+GanttPeriod),"◇","")),IF(AND(CF$5&lt;=$F148,CF$5+GanttPeriod-1&gt;=$E148),"━","")))</f>
        <v/>
      </c>
      <c r="CG148" s="69" t="str">
        <f aca="false">IF($E148="","",IF($M148,IF(AND($G148&gt;=CG$5,$G148&lt;CG$5+GanttPeriod),"◆",IF(AND($E148&gt;=CG$5,$E148&lt;CG$5+GanttPeriod),"◇","")),IF(AND(CG$5&lt;=$F148,CG$5+GanttPeriod-1&gt;=$E148),"━","")))</f>
        <v/>
      </c>
      <c r="CH148" s="69" t="str">
        <f aca="false">IF($E148="","",IF($M148,IF(AND($G148&gt;=CH$5,$G148&lt;CH$5+GanttPeriod),"◆",IF(AND($E148&gt;=CH$5,$E148&lt;CH$5+GanttPeriod),"◇","")),IF(AND(CH$5&lt;=$F148,CH$5+GanttPeriod-1&gt;=$E148),"━","")))</f>
        <v/>
      </c>
      <c r="CI148" s="69" t="str">
        <f aca="false">IF($E148="","",IF($M148,IF(AND($G148&gt;=CI$5,$G148&lt;CI$5+GanttPeriod),"◆",IF(AND($E148&gt;=CI$5,$E148&lt;CI$5+GanttPeriod),"◇","")),IF(AND(CI$5&lt;=$F148,CI$5+GanttPeriod-1&gt;=$E148),"━","")))</f>
        <v/>
      </c>
      <c r="CJ148" s="69" t="str">
        <f aca="false">IF($E148="","",IF($M148,IF(AND($G148&gt;=CJ$5,$G148&lt;CJ$5+GanttPeriod),"◆",IF(AND($E148&gt;=CJ$5,$E148&lt;CJ$5+GanttPeriod),"◇","")),IF(AND(CJ$5&lt;=$F148,CJ$5+GanttPeriod-1&gt;=$E148),"━","")))</f>
        <v/>
      </c>
      <c r="CK148" s="69" t="str">
        <f aca="false">IF($E148="","",IF($M148,IF(AND($G148&gt;=CK$5,$G148&lt;CK$5+GanttPeriod),"◆",IF(AND($E148&gt;=CK$5,$E148&lt;CK$5+GanttPeriod),"◇","")),IF(AND(CK$5&lt;=$F148,CK$5+GanttPeriod-1&gt;=$E148),"━","")))</f>
        <v/>
      </c>
      <c r="CL148" s="69" t="str">
        <f aca="false">IF($E148="","",IF($M148,IF(AND($G148&gt;=CL$5,$G148&lt;CL$5+GanttPeriod),"◆",IF(AND($E148&gt;=CL$5,$E148&lt;CL$5+GanttPeriod),"◇","")),IF(AND(CL$5&lt;=$F148,CL$5+GanttPeriod-1&gt;=$E148),"━","")))</f>
        <v/>
      </c>
      <c r="CM148" s="69" t="str">
        <f aca="false">IF($E148="","",IF($M148,IF(AND($G148&gt;=CM$5,$G148&lt;CM$5+GanttPeriod),"◆",IF(AND($E148&gt;=CM$5,$E148&lt;CM$5+GanttPeriod),"◇","")),IF(AND(CM$5&lt;=$F148,CM$5+GanttPeriod-1&gt;=$E148),"━","")))</f>
        <v/>
      </c>
      <c r="CN148" s="69" t="str">
        <f aca="false">IF($E148="","",IF($M148,IF(AND($G148&gt;=CN$5,$G148&lt;CN$5+GanttPeriod),"◆",IF(AND($E148&gt;=CN$5,$E148&lt;CN$5+GanttPeriod),"◇","")),IF(AND(CN$5&lt;=$F148,CN$5+GanttPeriod-1&gt;=$E148),"━","")))</f>
        <v/>
      </c>
      <c r="CO148" s="69" t="str">
        <f aca="false">IF($E148="","",IF($M148,IF(AND($G148&gt;=CO$5,$G148&lt;CO$5+GanttPeriod),"◆",IF(AND($E148&gt;=CO$5,$E148&lt;CO$5+GanttPeriod),"◇","")),IF(AND(CO$5&lt;=$F148,CO$5+GanttPeriod-1&gt;=$E148),"━","")))</f>
        <v/>
      </c>
      <c r="CP148" s="69" t="str">
        <f aca="false">IF($E148="","",IF($M148,IF(AND($G148&gt;=CP$5,$G148&lt;CP$5+GanttPeriod),"◆",IF(AND($E148&gt;=CP$5,$E148&lt;CP$5+GanttPeriod),"◇","")),IF(AND(CP$5&lt;=$F148,CP$5+GanttPeriod-1&gt;=$E148),"━","")))</f>
        <v/>
      </c>
      <c r="CQ148" s="69" t="str">
        <f aca="false">IF($E148="","",IF($M148,IF(AND($G148&gt;=CQ$5,$G148&lt;CQ$5+GanttPeriod),"◆",IF(AND($E148&gt;=CQ$5,$E148&lt;CQ$5+GanttPeriod),"◇","")),IF(AND(CQ$5&lt;=$F148,CQ$5+GanttPeriod-1&gt;=$E148),"━","")))</f>
        <v/>
      </c>
      <c r="CR148" s="69" t="str">
        <f aca="false">IF($E148="","",IF($M148,IF(AND($G148&gt;=CR$5,$G148&lt;CR$5+GanttPeriod),"◆",IF(AND($E148&gt;=CR$5,$E148&lt;CR$5+GanttPeriod),"◇","")),IF(AND(CR$5&lt;=$F148,CR$5+GanttPeriod-1&gt;=$E148),"━","")))</f>
        <v/>
      </c>
      <c r="CS148" s="69" t="str">
        <f aca="false">IF($E148="","",IF($M148,IF(AND($G148&gt;=CS$5,$G148&lt;CS$5+GanttPeriod),"◆",IF(AND($E148&gt;=CS$5,$E148&lt;CS$5+GanttPeriod),"◇","")),IF(AND(CS$5&lt;=$F148,CS$5+GanttPeriod-1&gt;=$E148),"━","")))</f>
        <v/>
      </c>
      <c r="CT148" s="69" t="str">
        <f aca="false">IF($E148="","",IF($M148,IF(AND($G148&gt;=CT$5,$G148&lt;CT$5+GanttPeriod),"◆",IF(AND($E148&gt;=CT$5,$E148&lt;CT$5+GanttPeriod),"◇","")),IF(AND(CT$5&lt;=$F148,CT$5+GanttPeriod-1&gt;=$E148),"━","")))</f>
        <v/>
      </c>
      <c r="CU148" s="69" t="str">
        <f aca="false">IF($E148="","",IF($M148,IF(AND($G148&gt;=CU$5,$G148&lt;CU$5+GanttPeriod),"◆",IF(AND($E148&gt;=CU$5,$E148&lt;CU$5+GanttPeriod),"◇","")),IF(AND(CU$5&lt;=$F148,CU$5+GanttPeriod-1&gt;=$E148),"━","")))</f>
        <v/>
      </c>
      <c r="CV148" s="69" t="str">
        <f aca="false">IF($E148="","",IF($M148,IF(AND($G148&gt;=CV$5,$G148&lt;CV$5+GanttPeriod),"◆",IF(AND($E148&gt;=CV$5,$E148&lt;CV$5+GanttPeriod),"◇","")),IF(AND(CV$5&lt;=$F148,CV$5+GanttPeriod-1&gt;=$E148),"━","")))</f>
        <v/>
      </c>
      <c r="CW148" s="69" t="str">
        <f aca="false">IF($E148="","",IF($M148,IF(AND($G148&gt;=CW$5,$G148&lt;CW$5+GanttPeriod),"◆",IF(AND($E148&gt;=CW$5,$E148&lt;CW$5+GanttPeriod),"◇","")),IF(AND(CW$5&lt;=$F148,CW$5+GanttPeriod-1&gt;=$E148),"━","")))</f>
        <v/>
      </c>
      <c r="CX148" s="69" t="str">
        <f aca="false">IF($E148="","",IF($M148,IF(AND($G148&gt;=CX$5,$G148&lt;CX$5+GanttPeriod),"◆",IF(AND($E148&gt;=CX$5,$E148&lt;CX$5+GanttPeriod),"◇","")),IF(AND(CX$5&lt;=$F148,CX$5+GanttPeriod-1&gt;=$E148),"━","")))</f>
        <v/>
      </c>
      <c r="CY148" s="69" t="str">
        <f aca="false">IF($E148="","",IF($M148,IF(AND($G148&gt;=CY$5,$G148&lt;CY$5+GanttPeriod),"◆",IF(AND($E148&gt;=CY$5,$E148&lt;CY$5+GanttPeriod),"◇","")),IF(AND(CY$5&lt;=$F148,CY$5+GanttPeriod-1&gt;=$E148),"━","")))</f>
        <v/>
      </c>
      <c r="CZ148" s="69" t="str">
        <f aca="false">IF($E148="","",IF($M148,IF(AND($G148&gt;=CZ$5,$G148&lt;CZ$5+GanttPeriod),"◆",IF(AND($E148&gt;=CZ$5,$E148&lt;CZ$5+GanttPeriod),"◇","")),IF(AND(CZ$5&lt;=$F148,CZ$5+GanttPeriod-1&gt;=$E148),"━","")))</f>
        <v/>
      </c>
      <c r="DA148" s="69" t="str">
        <f aca="false">IF($E148="","",IF($M148,IF(AND($G148&gt;=DA$5,$G148&lt;DA$5+GanttPeriod),"◆",IF(AND($E148&gt;=DA$5,$E148&lt;DA$5+GanttPeriod),"◇","")),IF(AND(DA$5&lt;=$F148,DA$5+GanttPeriod-1&gt;=$E148),"━","")))</f>
        <v/>
      </c>
      <c r="DB148" s="69" t="str">
        <f aca="false">IF($E148="","",IF($M148,IF(AND($G148&gt;=DB$5,$G148&lt;DB$5+GanttPeriod),"◆",IF(AND($E148&gt;=DB$5,$E148&lt;DB$5+GanttPeriod),"◇","")),IF(AND(DB$5&lt;=$F148,DB$5+GanttPeriod-1&gt;=$E148),"━","")))</f>
        <v/>
      </c>
      <c r="DC148" s="69" t="str">
        <f aca="false">IF($E148="","",IF($M148,IF(AND($G148&gt;=DC$5,$G148&lt;DC$5+GanttPeriod),"◆",IF(AND($E148&gt;=DC$5,$E148&lt;DC$5+GanttPeriod),"◇","")),IF(AND(DC$5&lt;=$F148,DC$5+GanttPeriod-1&gt;=$E148),"━","")))</f>
        <v/>
      </c>
      <c r="DD148" s="69" t="str">
        <f aca="false">IF($E148="","",IF($M148,IF(AND($G148&gt;=DD$5,$G148&lt;DD$5+GanttPeriod),"◆",IF(AND($E148&gt;=DD$5,$E148&lt;DD$5+GanttPeriod),"◇","")),IF(AND(DD$5&lt;=$F148,DD$5+GanttPeriod-1&gt;=$E148),"━","")))</f>
        <v/>
      </c>
      <c r="DE148" s="69" t="str">
        <f aca="false">IF($E148="","",IF($M148,IF(AND($G148&gt;=DE$5,$G148&lt;DE$5+GanttPeriod),"◆",IF(AND($E148&gt;=DE$5,$E148&lt;DE$5+GanttPeriod),"◇","")),IF(AND(DE$5&lt;=$F148,DE$5+GanttPeriod-1&gt;=$E148),"━","")))</f>
        <v/>
      </c>
      <c r="DF148" s="69" t="str">
        <f aca="false">IF($E148="","",IF($M148,IF(AND($G148&gt;=DF$5,$G148&lt;DF$5+GanttPeriod),"◆",IF(AND($E148&gt;=DF$5,$E148&lt;DF$5+GanttPeriod),"◇","")),IF(AND(DF$5&lt;=$F148,DF$5+GanttPeriod-1&gt;=$E148),"━","")))</f>
        <v/>
      </c>
      <c r="DG148" s="69" t="str">
        <f aca="false">IF($E148="","",IF($M148,IF(AND($G148&gt;=DG$5,$G148&lt;DG$5+GanttPeriod),"◆",IF(AND($E148&gt;=DG$5,$E148&lt;DG$5+GanttPeriod),"◇","")),IF(AND(DG$5&lt;=$F148,DG$5+GanttPeriod-1&gt;=$E148),"━","")))</f>
        <v/>
      </c>
      <c r="DH148" s="69" t="str">
        <f aca="false">IF($E148="","",IF($M148,IF(AND($G148&gt;=DH$5,$G148&lt;DH$5+GanttPeriod),"◆",IF(AND($E148&gt;=DH$5,$E148&lt;DH$5+GanttPeriod),"◇","")),IF(AND(DH$5&lt;=$F148,DH$5+GanttPeriod-1&gt;=$E148),"━","")))</f>
        <v/>
      </c>
      <c r="DI148" s="69" t="str">
        <f aca="false">IF($E148="","",IF($M148,IF(AND($G148&gt;=DI$5,$G148&lt;DI$5+GanttPeriod),"◆",IF(AND($E148&gt;=DI$5,$E148&lt;DI$5+GanttPeriod),"◇","")),IF(AND(DI$5&lt;=$F148,DI$5+GanttPeriod-1&gt;=$E148),"━","")))</f>
        <v/>
      </c>
      <c r="DJ148" s="69" t="str">
        <f aca="false">IF($E148="","",IF($M148,IF(AND($G148&gt;=DJ$5,$G148&lt;DJ$5+GanttPeriod),"◆",IF(AND($E148&gt;=DJ$5,$E148&lt;DJ$5+GanttPeriod),"◇","")),IF(AND(DJ$5&lt;=$F148,DJ$5+GanttPeriod-1&gt;=$E148),"━","")))</f>
        <v/>
      </c>
      <c r="DK148" s="69" t="str">
        <f aca="false">IF($E148="","",IF($M148,IF(AND($G148&gt;=DK$5,$G148&lt;DK$5+GanttPeriod),"◆",IF(AND($E148&gt;=DK$5,$E148&lt;DK$5+GanttPeriod),"◇","")),IF(AND(DK$5&lt;=$F148,DK$5+GanttPeriod-1&gt;=$E148),"━","")))</f>
        <v/>
      </c>
      <c r="DL148" s="69" t="str">
        <f aca="false">IF($E148="","",IF($M148,IF(AND($G148&gt;=DL$5,$G148&lt;DL$5+GanttPeriod),"◆",IF(AND($E148&gt;=DL$5,$E148&lt;DL$5+GanttPeriod),"◇","")),IF(AND(DL$5&lt;=$F148,DL$5+GanttPeriod-1&gt;=$E148),"━","")))</f>
        <v/>
      </c>
      <c r="DM148" s="69" t="str">
        <f aca="false">IF($E148="","",IF($M148,IF(AND($G148&gt;=DM$5,$G148&lt;DM$5+GanttPeriod),"◆",IF(AND($E148&gt;=DM$5,$E148&lt;DM$5+GanttPeriod),"◇","")),IF(AND(DM$5&lt;=$F148,DM$5+GanttPeriod-1&gt;=$E148),"━","")))</f>
        <v/>
      </c>
      <c r="DN148" s="69" t="str">
        <f aca="false">IF($E148="","",IF($M148,IF(AND($G148&gt;=DN$5,$G148&lt;DN$5+GanttPeriod),"◆",IF(AND($E148&gt;=DN$5,$E148&lt;DN$5+GanttPeriod),"◇","")),IF(AND(DN$5&lt;=$F148,DN$5+GanttPeriod-1&gt;=$E148),"━","")))</f>
        <v/>
      </c>
      <c r="DO148" s="69" t="str">
        <f aca="false">IF($E148="","",IF($M148,IF(AND($G148&gt;=DO$5,$G148&lt;DO$5+GanttPeriod),"◆",IF(AND($E148&gt;=DO$5,$E148&lt;DO$5+GanttPeriod),"◇","")),IF(AND(DO$5&lt;=$F148,DO$5+GanttPeriod-1&gt;=$E148),"━","")))</f>
        <v/>
      </c>
      <c r="DP148" s="69" t="str">
        <f aca="false">IF($E148="","",IF($M148,IF(AND($G148&gt;=DP$5,$G148&lt;DP$5+GanttPeriod),"◆",IF(AND($E148&gt;=DP$5,$E148&lt;DP$5+GanttPeriod),"◇","")),IF(AND(DP$5&lt;=$F148,DP$5+GanttPeriod-1&gt;=$E148),"━","")))</f>
        <v/>
      </c>
      <c r="DQ148" s="69" t="str">
        <f aca="false">IF($E148="","",IF($M148,IF(AND($G148&gt;=DQ$5,$G148&lt;DQ$5+GanttPeriod),"◆",IF(AND($E148&gt;=DQ$5,$E148&lt;DQ$5+GanttPeriod),"◇","")),IF(AND(DQ$5&lt;=$F148,DQ$5+GanttPeriod-1&gt;=$E148),"━","")))</f>
        <v/>
      </c>
      <c r="DR148" s="69" t="str">
        <f aca="false">IF($E148="","",IF($M148,IF(AND($G148&gt;=DR$5,$G148&lt;DR$5+GanttPeriod),"◆",IF(AND($E148&gt;=DR$5,$E148&lt;DR$5+GanttPeriod),"◇","")),IF(AND(DR$5&lt;=$F148,DR$5+GanttPeriod-1&gt;=$E148),"━","")))</f>
        <v/>
      </c>
      <c r="DS148" s="69" t="str">
        <f aca="false">IF($E148="","",IF($M148,IF(AND($G148&gt;=DS$5,$G148&lt;DS$5+GanttPeriod),"◆",IF(AND($E148&gt;=DS$5,$E148&lt;DS$5+GanttPeriod),"◇","")),IF(AND(DS$5&lt;=$F148,DS$5+GanttPeriod-1&gt;=$E148),"━","")))</f>
        <v/>
      </c>
      <c r="DT148" s="69" t="str">
        <f aca="false">IF($E148="","",IF($M148,IF(AND($G148&gt;=DT$5,$G148&lt;DT$5+GanttPeriod),"◆",IF(AND($E148&gt;=DT$5,$E148&lt;DT$5+GanttPeriod),"◇","")),IF(AND(DT$5&lt;=$F148,DT$5+GanttPeriod-1&gt;=$E148),"━","")))</f>
        <v/>
      </c>
      <c r="DU148" s="69" t="str">
        <f aca="false">IF($E148="","",IF($M148,IF(AND($G148&gt;=DU$5,$G148&lt;DU$5+GanttPeriod),"◆",IF(AND($E148&gt;=DU$5,$E148&lt;DU$5+GanttPeriod),"◇","")),IF(AND(DU$5&lt;=$F148,DU$5+GanttPeriod-1&gt;=$E148),"━","")))</f>
        <v/>
      </c>
      <c r="DV148" s="69" t="str">
        <f aca="false">IF($E148="","",IF($M148,IF(AND($G148&gt;=DV$5,$G148&lt;DV$5+GanttPeriod),"◆",IF(AND($E148&gt;=DV$5,$E148&lt;DV$5+GanttPeriod),"◇","")),IF(AND(DV$5&lt;=$F148,DV$5+GanttPeriod-1&gt;=$E148),"━","")))</f>
        <v/>
      </c>
      <c r="DW148" s="69" t="str">
        <f aca="false">IF($E148="","",IF($M148,IF(AND($G148&gt;=DW$5,$G148&lt;DW$5+GanttPeriod),"◆",IF(AND($E148&gt;=DW$5,$E148&lt;DW$5+GanttPeriod),"◇","")),IF(AND(DW$5&lt;=$F148,DW$5+GanttPeriod-1&gt;=$E148),"━","")))</f>
        <v/>
      </c>
      <c r="DX148" s="69" t="str">
        <f aca="false">IF($E148="","",IF($M148,IF(AND($G148&gt;=DX$5,$G148&lt;DX$5+GanttPeriod),"◆",IF(AND($E148&gt;=DX$5,$E148&lt;DX$5+GanttPeriod),"◇","")),IF(AND(DX$5&lt;=$F148,DX$5+GanttPeriod-1&gt;=$E148),"━","")))</f>
        <v/>
      </c>
      <c r="DY148" s="69" t="str">
        <f aca="false">IF($E148="","",IF($M148,IF(AND($G148&gt;=DY$5,$G148&lt;DY$5+GanttPeriod),"◆",IF(AND($E148&gt;=DY$5,$E148&lt;DY$5+GanttPeriod),"◇","")),IF(AND(DY$5&lt;=$F148,DY$5+GanttPeriod-1&gt;=$E148),"━","")))</f>
        <v/>
      </c>
      <c r="DZ148" s="69" t="str">
        <f aca="false">IF($E148="","",IF($M148,IF(AND($G148&gt;=DZ$5,$G148&lt;DZ$5+GanttPeriod),"◆",IF(AND($E148&gt;=DZ$5,$E148&lt;DZ$5+GanttPeriod),"◇","")),IF(AND(DZ$5&lt;=$F148,DZ$5+GanttPeriod-1&gt;=$E148),"━","")))</f>
        <v/>
      </c>
      <c r="EA148" s="69" t="str">
        <f aca="false">IF($E148="","",IF($M148,IF(AND($G148&gt;=EA$5,$G148&lt;EA$5+GanttPeriod),"◆",IF(AND($E148&gt;=EA$5,$E148&lt;EA$5+GanttPeriod),"◇","")),IF(AND(EA$5&lt;=$F148,EA$5+GanttPeriod-1&gt;=$E148),"━","")))</f>
        <v/>
      </c>
      <c r="EB148" s="69" t="str">
        <f aca="false">IF($E148="","",IF($M148,IF(AND($G148&gt;=EB$5,$G148&lt;EB$5+GanttPeriod),"◆",IF(AND($E148&gt;=EB$5,$E148&lt;EB$5+GanttPeriod),"◇","")),IF(AND(EB$5&lt;=$F148,EB$5+GanttPeriod-1&gt;=$E148),"━","")))</f>
        <v/>
      </c>
      <c r="EC148" s="69" t="str">
        <f aca="false">IF($E148="","",IF($M148,IF(AND($G148&gt;=EC$5,$G148&lt;EC$5+GanttPeriod),"◆",IF(AND($E148&gt;=EC$5,$E148&lt;EC$5+GanttPeriod),"◇","")),IF(AND(EC$5&lt;=$F148,EC$5+GanttPeriod-1&gt;=$E148),"━","")))</f>
        <v/>
      </c>
      <c r="ED148" s="69" t="str">
        <f aca="false">IF($E148="","",IF($M148,IF(AND($G148&gt;=ED$5,$G148&lt;ED$5+GanttPeriod),"◆",IF(AND($E148&gt;=ED$5,$E148&lt;ED$5+GanttPeriod),"◇","")),IF(AND(ED$5&lt;=$F148,ED$5+GanttPeriod-1&gt;=$E148),"━","")))</f>
        <v/>
      </c>
      <c r="EE148" s="69" t="str">
        <f aca="false">IF($E148="","",IF($M148,IF(AND($G148&gt;=EE$5,$G148&lt;EE$5+GanttPeriod),"◆",IF(AND($E148&gt;=EE$5,$E148&lt;EE$5+GanttPeriod),"◇","")),IF(AND(EE$5&lt;=$F148,EE$5+GanttPeriod-1&gt;=$E148),"━","")))</f>
        <v/>
      </c>
      <c r="EF148" s="69" t="str">
        <f aca="false">IF($E148="","",IF($M148,IF(AND($G148&gt;=EF$5,$G148&lt;EF$5+GanttPeriod),"◆",IF(AND($E148&gt;=EF$5,$E148&lt;EF$5+GanttPeriod),"◇","")),IF(AND(EF$5&lt;=$F148,EF$5+GanttPeriod-1&gt;=$E148),"━","")))</f>
        <v/>
      </c>
      <c r="EG148" s="69" t="str">
        <f aca="false">IF($E148="","",IF($M148,IF(AND($G148&gt;=EG$5,$G148&lt;EG$5+GanttPeriod),"◆",IF(AND($E148&gt;=EG$5,$E148&lt;EG$5+GanttPeriod),"◇","")),IF(AND(EG$5&lt;=$F148,EG$5+GanttPeriod-1&gt;=$E148),"━","")))</f>
        <v/>
      </c>
      <c r="EH148" s="69" t="str">
        <f aca="false">IF($E148="","",IF($M148,IF(AND($G148&gt;=EH$5,$G148&lt;EH$5+GanttPeriod),"◆",IF(AND($E148&gt;=EH$5,$E148&lt;EH$5+GanttPeriod),"◇","")),IF(AND(EH$5&lt;=$F148,EH$5+GanttPeriod-1&gt;=$E148),"━","")))</f>
        <v/>
      </c>
      <c r="EI148" s="69" t="str">
        <f aca="false">IF($E148="","",IF($M148,IF(AND($G148&gt;=EI$5,$G148&lt;EI$5+GanttPeriod),"◆",IF(AND($E148&gt;=EI$5,$E148&lt;EI$5+GanttPeriod),"◇","")),IF(AND(EI$5&lt;=$F148,EI$5+GanttPeriod-1&gt;=$E148),"━","")))</f>
        <v/>
      </c>
      <c r="EJ148" s="69" t="str">
        <f aca="false">IF($E148="","",IF($M148,IF(AND($G148&gt;=EJ$5,$G148&lt;EJ$5+GanttPeriod),"◆",IF(AND($E148&gt;=EJ$5,$E148&lt;EJ$5+GanttPeriod),"◇","")),IF(AND(EJ$5&lt;=$F148,EJ$5+GanttPeriod-1&gt;=$E148),"━","")))</f>
        <v/>
      </c>
      <c r="EK148" s="69" t="str">
        <f aca="false">IF($E148="","",IF($M148,IF(AND($G148&gt;=EK$5,$G148&lt;EK$5+GanttPeriod),"◆",IF(AND($E148&gt;=EK$5,$E148&lt;EK$5+GanttPeriod),"◇","")),IF(AND(EK$5&lt;=$F148,EK$5+GanttPeriod-1&gt;=$E148),"━","")))</f>
        <v/>
      </c>
      <c r="EL148" s="69" t="str">
        <f aca="false">IF($E148="","",IF($M148,IF(AND($G148&gt;=EL$5,$G148&lt;EL$5+GanttPeriod),"◆",IF(AND($E148&gt;=EL$5,$E148&lt;EL$5+GanttPeriod),"◇","")),IF(AND(EL$5&lt;=$F148,EL$5+GanttPeriod-1&gt;=$E148),"━","")))</f>
        <v/>
      </c>
      <c r="EM148" s="69" t="str">
        <f aca="false">IF($E148="","",IF($M148,IF(AND($G148&gt;=EM$5,$G148&lt;EM$5+GanttPeriod),"◆",IF(AND($E148&gt;=EM$5,$E148&lt;EM$5+GanttPeriod),"◇","")),IF(AND(EM$5&lt;=$F148,EM$5+GanttPeriod-1&gt;=$E148),"━","")))</f>
        <v/>
      </c>
      <c r="EN148" s="69" t="str">
        <f aca="false">IF($E148="","",IF($M148,IF(AND($G148&gt;=EN$5,$G148&lt;EN$5+GanttPeriod),"◆",IF(AND($E148&gt;=EN$5,$E148&lt;EN$5+GanttPeriod),"◇","")),IF(AND(EN$5&lt;=$F148,EN$5+GanttPeriod-1&gt;=$E148),"━","")))</f>
        <v/>
      </c>
      <c r="EO148" s="69" t="str">
        <f aca="false">IF($E148="","",IF($M148,IF(AND($G148&gt;=EO$5,$G148&lt;EO$5+GanttPeriod),"◆",IF(AND($E148&gt;=EO$5,$E148&lt;EO$5+GanttPeriod),"◇","")),IF(AND(EO$5&lt;=$F148,EO$5+GanttPeriod-1&gt;=$E148),"━","")))</f>
        <v/>
      </c>
      <c r="EP148" s="69" t="str">
        <f aca="false">IF($E148="","",IF($M148,IF(AND($G148&gt;=EP$5,$G148&lt;EP$5+GanttPeriod),"◆",IF(AND($E148&gt;=EP$5,$E148&lt;EP$5+GanttPeriod),"◇","")),IF(AND(EP$5&lt;=$F148,EP$5+GanttPeriod-1&gt;=$E148),"━","")))</f>
        <v/>
      </c>
      <c r="EQ148" s="69" t="str">
        <f aca="false">IF($E148="","",IF($M148,IF(AND($G148&gt;=EQ$5,$G148&lt;EQ$5+GanttPeriod),"◆",IF(AND($E148&gt;=EQ$5,$E148&lt;EQ$5+GanttPeriod),"◇","")),IF(AND(EQ$5&lt;=$F148,EQ$5+GanttPeriod-1&gt;=$E148),"━","")))</f>
        <v/>
      </c>
      <c r="ER148" s="69" t="str">
        <f aca="false">IF($E148="","",IF($M148,IF(AND($G148&gt;=ER$5,$G148&lt;ER$5+GanttPeriod),"◆",IF(AND($E148&gt;=ER$5,$E148&lt;ER$5+GanttPeriod),"◇","")),IF(AND(ER$5&lt;=$F148,ER$5+GanttPeriod-1&gt;=$E148),"━","")))</f>
        <v/>
      </c>
      <c r="ES148" s="69" t="str">
        <f aca="false">IF($E148="","",IF($M148,IF(AND($G148&gt;=ES$5,$G148&lt;ES$5+GanttPeriod),"◆",IF(AND($E148&gt;=ES$5,$E148&lt;ES$5+GanttPeriod),"◇","")),IF(AND(ES$5&lt;=$F148,ES$5+GanttPeriod-1&gt;=$E148),"━","")))</f>
        <v/>
      </c>
      <c r="ET148" s="69" t="str">
        <f aca="false">IF($E148="","",IF($M148,IF(AND($G148&gt;=ET$5,$G148&lt;ET$5+GanttPeriod),"◆",IF(AND($E148&gt;=ET$5,$E148&lt;ET$5+GanttPeriod),"◇","")),IF(AND(ET$5&lt;=$F148,ET$5+GanttPeriod-1&gt;=$E148),"━","")))</f>
        <v/>
      </c>
      <c r="EU148" s="69" t="str">
        <f aca="false">IF($E148="","",IF($M148,IF(AND($G148&gt;=EU$5,$G148&lt;EU$5+GanttPeriod),"◆",IF(AND($E148&gt;=EU$5,$E148&lt;EU$5+GanttPeriod),"◇","")),IF(AND(EU$5&lt;=$F148,EU$5+GanttPeriod-1&gt;=$E148),"━","")))</f>
        <v/>
      </c>
      <c r="EV148" s="69" t="str">
        <f aca="false">IF($E148="","",IF($M148,IF(AND($G148&gt;=EV$5,$G148&lt;EV$5+GanttPeriod),"◆",IF(AND($E148&gt;=EV$5,$E148&lt;EV$5+GanttPeriod),"◇","")),IF(AND(EV$5&lt;=$F148,EV$5+GanttPeriod-1&gt;=$E148),"━","")))</f>
        <v/>
      </c>
      <c r="EW148" s="69" t="str">
        <f aca="false">IF($E148="","",IF($M148,IF(AND($G148&gt;=EW$5,$G148&lt;EW$5+GanttPeriod),"◆",IF(AND($E148&gt;=EW$5,$E148&lt;EW$5+GanttPeriod),"◇","")),IF(AND(EW$5&lt;=$F148,EW$5+GanttPeriod-1&gt;=$E148),"━","")))</f>
        <v/>
      </c>
      <c r="EX148" s="69" t="str">
        <f aca="false">IF($E148="","",IF($M148,IF(AND($G148&gt;=EX$5,$G148&lt;EX$5+GanttPeriod),"◆",IF(AND($E148&gt;=EX$5,$E148&lt;EX$5+GanttPeriod),"◇","")),IF(AND(EX$5&lt;=$F148,EX$5+GanttPeriod-1&gt;=$E148),"━","")))</f>
        <v/>
      </c>
      <c r="EY148" s="69" t="str">
        <f aca="false">IF($E148="","",IF($M148,IF(AND($G148&gt;=EY$5,$G148&lt;EY$5+GanttPeriod),"◆",IF(AND($E148&gt;=EY$5,$E148&lt;EY$5+GanttPeriod),"◇","")),IF(AND(EY$5&lt;=$F148,EY$5+GanttPeriod-1&gt;=$E148),"━","")))</f>
        <v/>
      </c>
      <c r="EZ148" s="69" t="str">
        <f aca="false">IF($E148="","",IF($M148,IF(AND($G148&gt;=EZ$5,$G148&lt;EZ$5+GanttPeriod),"◆",IF(AND($E148&gt;=EZ$5,$E148&lt;EZ$5+GanttPeriod),"◇","")),IF(AND(EZ$5&lt;=$F148,EZ$5+GanttPeriod-1&gt;=$E148),"━","")))</f>
        <v/>
      </c>
      <c r="FA148" s="69" t="str">
        <f aca="false">IF($E148="","",IF($M148,IF(AND($G148&gt;=FA$5,$G148&lt;FA$5+GanttPeriod),"◆",IF(AND($E148&gt;=FA$5,$E148&lt;FA$5+GanttPeriod),"◇","")),IF(AND(FA$5&lt;=$F148,FA$5+GanttPeriod-1&gt;=$E148),"━","")))</f>
        <v/>
      </c>
      <c r="FB148" s="69" t="str">
        <f aca="false">IF($E148="","",IF($M148,IF(AND($G148&gt;=FB$5,$G148&lt;FB$5+GanttPeriod),"◆",IF(AND($E148&gt;=FB$5,$E148&lt;FB$5+GanttPeriod),"◇","")),IF(AND(FB$5&lt;=$F148,FB$5+GanttPeriod-1&gt;=$E148),"━","")))</f>
        <v/>
      </c>
      <c r="FC148" s="69" t="str">
        <f aca="false">IF($E148="","",IF($M148,IF(AND($G148&gt;=FC$5,$G148&lt;FC$5+GanttPeriod),"◆",IF(AND($E148&gt;=FC$5,$E148&lt;FC$5+GanttPeriod),"◇","")),IF(AND(FC$5&lt;=$F148,FC$5+GanttPeriod-1&gt;=$E148),"━","")))</f>
        <v/>
      </c>
      <c r="FD148" s="69" t="str">
        <f aca="false">IF($E148="","",IF($M148,IF(AND($G148&gt;=FD$5,$G148&lt;FD$5+GanttPeriod),"◆",IF(AND($E148&gt;=FD$5,$E148&lt;FD$5+GanttPeriod),"◇","")),IF(AND(FD$5&lt;=$F148,FD$5+GanttPeriod-1&gt;=$E148),"━","")))</f>
        <v/>
      </c>
      <c r="FE148" s="69" t="str">
        <f aca="false">IF($E148="","",IF($M148,IF(AND($G148&gt;=FE$5,$G148&lt;FE$5+GanttPeriod),"◆",IF(AND($E148&gt;=FE$5,$E148&lt;FE$5+GanttPeriod),"◇","")),IF(AND(FE$5&lt;=$F148,FE$5+GanttPeriod-1&gt;=$E148),"━","")))</f>
        <v/>
      </c>
      <c r="FF148" s="69" t="str">
        <f aca="false">IF($E148="","",IF($M148,IF(AND($G148&gt;=FF$5,$G148&lt;FF$5+GanttPeriod),"◆",IF(AND($E148&gt;=FF$5,$E148&lt;FF$5+GanttPeriod),"◇","")),IF(AND(FF$5&lt;=$F148,FF$5+GanttPeriod-1&gt;=$E148),"━","")))</f>
        <v/>
      </c>
      <c r="FG148" s="69" t="str">
        <f aca="false">IF($E148="","",IF($M148,IF(AND($G148&gt;=FG$5,$G148&lt;FG$5+GanttPeriod),"◆",IF(AND($E148&gt;=FG$5,$E148&lt;FG$5+GanttPeriod),"◇","")),IF(AND(FG$5&lt;=$F148,FG$5+GanttPeriod-1&gt;=$E148),"━","")))</f>
        <v/>
      </c>
      <c r="FH148" s="69" t="str">
        <f aca="false">IF($E148="","",IF($M148,IF(AND($G148&gt;=FH$5,$G148&lt;FH$5+GanttPeriod),"◆",IF(AND($E148&gt;=FH$5,$E148&lt;FH$5+GanttPeriod),"◇","")),IF(AND(FH$5&lt;=$F148,FH$5+GanttPeriod-1&gt;=$E148),"━","")))</f>
        <v/>
      </c>
      <c r="FI148" s="69" t="str">
        <f aca="false">IF($E148="","",IF($M148,IF(AND($G148&gt;=FI$5,$G148&lt;FI$5+GanttPeriod),"◆",IF(AND($E148&gt;=FI$5,$E148&lt;FI$5+GanttPeriod),"◇","")),IF(AND(FI$5&lt;=$F148,FI$5+GanttPeriod-1&gt;=$E148),"━","")))</f>
        <v/>
      </c>
      <c r="FJ148" s="69" t="str">
        <f aca="false">IF($E148="","",IF($M148,IF(AND($G148&gt;=FJ$5,$G148&lt;FJ$5+GanttPeriod),"◆",IF(AND($E148&gt;=FJ$5,$E148&lt;FJ$5+GanttPeriod),"◇","")),IF(AND(FJ$5&lt;=$F148,FJ$5+GanttPeriod-1&gt;=$E148),"━","")))</f>
        <v/>
      </c>
      <c r="FK148" s="69" t="str">
        <f aca="false">IF($E148="","",IF($M148,IF(AND($G148&gt;=FK$5,$G148&lt;FK$5+GanttPeriod),"◆",IF(AND($E148&gt;=FK$5,$E148&lt;FK$5+GanttPeriod),"◇","")),IF(AND(FK$5&lt;=$F148,FK$5+GanttPeriod-1&gt;=$E148),"━","")))</f>
        <v/>
      </c>
      <c r="FL148" s="69" t="str">
        <f aca="false">IF($E148="","",IF($M148,IF(AND($G148&gt;=FL$5,$G148&lt;FL$5+GanttPeriod),"◆",IF(AND($E148&gt;=FL$5,$E148&lt;FL$5+GanttPeriod),"◇","")),IF(AND(FL$5&lt;=$F148,FL$5+GanttPeriod-1&gt;=$E148),"━","")))</f>
        <v/>
      </c>
      <c r="FM148" s="69" t="str">
        <f aca="false">IF($E148="","",IF($M148,IF(AND($G148&gt;=FM$5,$G148&lt;FM$5+GanttPeriod),"◆",IF(AND($E148&gt;=FM$5,$E148&lt;FM$5+GanttPeriod),"◇","")),IF(AND(FM$5&lt;=$F148,FM$5+GanttPeriod-1&gt;=$E148),"━","")))</f>
        <v/>
      </c>
    </row>
    <row r="149" customFormat="false" ht="15" hidden="false" customHeight="false" outlineLevel="0" collapsed="false">
      <c r="A149" s="62" t="str">
        <f aca="false">IF(Tasks!$D149="","",Tasks!$A149)</f>
        <v/>
      </c>
      <c r="B149" s="62" t="str">
        <f aca="false">IF(Tasks!$D149="","",Tasks!$B149)</f>
        <v/>
      </c>
      <c r="C149" s="63" t="str">
        <f aca="false">IF(Tasks!$D149="","",REPT("    ",Tasks!$AE149-1)&amp;Tasks!$D149)</f>
        <v/>
      </c>
      <c r="D149" s="62" t="str">
        <f aca="false">IF(Tasks!$D149="","",IF(Tasks!$AI149,NETWORKDAYS.INTL(Tasks!$R149,Tasks!$S149,WorkWeek,Holidays),N(Tasks!$F149)))</f>
        <v/>
      </c>
      <c r="E149" s="64" t="str">
        <f aca="false">IF(Tasks!$D149="","",Tasks!$N149)</f>
        <v/>
      </c>
      <c r="F149" s="64" t="str">
        <f aca="false">IF(Tasks!$D149="","",Tasks!$O149)</f>
        <v/>
      </c>
      <c r="G149" s="64" t="str">
        <f aca="false">IF(Tasks!$D149="","",Tasks!$R149)</f>
        <v/>
      </c>
      <c r="H149" s="64" t="str">
        <f aca="false">IF(Tasks!$D149="","",Tasks!$S149)</f>
        <v/>
      </c>
      <c r="I149" s="65" t="str">
        <f aca="false">IF(Tasks!$D149="","",Tasks!$V149)</f>
        <v/>
      </c>
      <c r="J149" s="63" t="str">
        <f aca="false">IF(Tasks!$D149="","",Tasks!$X149&amp;"")</f>
        <v/>
      </c>
      <c r="K149" s="66" t="str">
        <f aca="false">IF(Tasks!$D149="","",Tasks!$W149)</f>
        <v/>
      </c>
      <c r="L149" s="67" t="b">
        <f aca="false">IF(Tasks!$D149="",FALSE(),Tasks!$AI149)</f>
        <v>0</v>
      </c>
      <c r="M149" s="67" t="b">
        <f aca="false">AND(Tasks!$AJ149=1,N(Tasks!$F149)=0)</f>
        <v>0</v>
      </c>
      <c r="N149" s="68" t="n">
        <f aca="false">IF(AND(Tasks!$AJ149=1,NOT($M149),N($I149)&gt;0),$G149,0)</f>
        <v>0</v>
      </c>
      <c r="O149" s="68" t="n">
        <f aca="false">IF($N149=0,0,IF($I149&gt;=1,$H149,MAX($N149,$G149+ROUND(($H149-$G149+1)*$I149,0)-1)))</f>
        <v>0</v>
      </c>
      <c r="P149" s="68" t="n">
        <f aca="false">IF(OR(Tasks!$AJ149&lt;&gt;1,$M149,N($I149)&gt;=1),0,IF($O149&gt;0,$O149+1,$G149))</f>
        <v>0</v>
      </c>
      <c r="Q149" s="68" t="n">
        <f aca="false">IF($P149=0,0,$H149)</f>
        <v>0</v>
      </c>
      <c r="R149" s="67" t="b">
        <f aca="false">AND(Tasks!$D149&lt;&gt;"",N(Tasks!$T149)&gt;0)</f>
        <v>0</v>
      </c>
      <c r="T149" s="69" t="str">
        <f aca="false">IF($E149="","",IF($M149,IF(AND($G149&gt;=T$5,$G149&lt;T$5+GanttPeriod),"◆",IF(AND($E149&gt;=T$5,$E149&lt;T$5+GanttPeriod),"◇","")),IF(AND(T$5&lt;=$F149,T$5+GanttPeriod-1&gt;=$E149),"━","")))</f>
        <v/>
      </c>
      <c r="U149" s="69" t="str">
        <f aca="false">IF($E149="","",IF($M149,IF(AND($G149&gt;=U$5,$G149&lt;U$5+GanttPeriod),"◆",IF(AND($E149&gt;=U$5,$E149&lt;U$5+GanttPeriod),"◇","")),IF(AND(U$5&lt;=$F149,U$5+GanttPeriod-1&gt;=$E149),"━","")))</f>
        <v/>
      </c>
      <c r="V149" s="69" t="str">
        <f aca="false">IF($E149="","",IF($M149,IF(AND($G149&gt;=V$5,$G149&lt;V$5+GanttPeriod),"◆",IF(AND($E149&gt;=V$5,$E149&lt;V$5+GanttPeriod),"◇","")),IF(AND(V$5&lt;=$F149,V$5+GanttPeriod-1&gt;=$E149),"━","")))</f>
        <v/>
      </c>
      <c r="W149" s="69" t="str">
        <f aca="false">IF($E149="","",IF($M149,IF(AND($G149&gt;=W$5,$G149&lt;W$5+GanttPeriod),"◆",IF(AND($E149&gt;=W$5,$E149&lt;W$5+GanttPeriod),"◇","")),IF(AND(W$5&lt;=$F149,W$5+GanttPeriod-1&gt;=$E149),"━","")))</f>
        <v/>
      </c>
      <c r="X149" s="69" t="str">
        <f aca="false">IF($E149="","",IF($M149,IF(AND($G149&gt;=X$5,$G149&lt;X$5+GanttPeriod),"◆",IF(AND($E149&gt;=X$5,$E149&lt;X$5+GanttPeriod),"◇","")),IF(AND(X$5&lt;=$F149,X$5+GanttPeriod-1&gt;=$E149),"━","")))</f>
        <v/>
      </c>
      <c r="Y149" s="69" t="str">
        <f aca="false">IF($E149="","",IF($M149,IF(AND($G149&gt;=Y$5,$G149&lt;Y$5+GanttPeriod),"◆",IF(AND($E149&gt;=Y$5,$E149&lt;Y$5+GanttPeriod),"◇","")),IF(AND(Y$5&lt;=$F149,Y$5+GanttPeriod-1&gt;=$E149),"━","")))</f>
        <v/>
      </c>
      <c r="Z149" s="69" t="str">
        <f aca="false">IF($E149="","",IF($M149,IF(AND($G149&gt;=Z$5,$G149&lt;Z$5+GanttPeriod),"◆",IF(AND($E149&gt;=Z$5,$E149&lt;Z$5+GanttPeriod),"◇","")),IF(AND(Z$5&lt;=$F149,Z$5+GanttPeriod-1&gt;=$E149),"━","")))</f>
        <v/>
      </c>
      <c r="AA149" s="69" t="str">
        <f aca="false">IF($E149="","",IF($M149,IF(AND($G149&gt;=AA$5,$G149&lt;AA$5+GanttPeriod),"◆",IF(AND($E149&gt;=AA$5,$E149&lt;AA$5+GanttPeriod),"◇","")),IF(AND(AA$5&lt;=$F149,AA$5+GanttPeriod-1&gt;=$E149),"━","")))</f>
        <v/>
      </c>
      <c r="AB149" s="69" t="str">
        <f aca="false">IF($E149="","",IF($M149,IF(AND($G149&gt;=AB$5,$G149&lt;AB$5+GanttPeriod),"◆",IF(AND($E149&gt;=AB$5,$E149&lt;AB$5+GanttPeriod),"◇","")),IF(AND(AB$5&lt;=$F149,AB$5+GanttPeriod-1&gt;=$E149),"━","")))</f>
        <v/>
      </c>
      <c r="AC149" s="69" t="str">
        <f aca="false">IF($E149="","",IF($M149,IF(AND($G149&gt;=AC$5,$G149&lt;AC$5+GanttPeriod),"◆",IF(AND($E149&gt;=AC$5,$E149&lt;AC$5+GanttPeriod),"◇","")),IF(AND(AC$5&lt;=$F149,AC$5+GanttPeriod-1&gt;=$E149),"━","")))</f>
        <v/>
      </c>
      <c r="AD149" s="69" t="str">
        <f aca="false">IF($E149="","",IF($M149,IF(AND($G149&gt;=AD$5,$G149&lt;AD$5+GanttPeriod),"◆",IF(AND($E149&gt;=AD$5,$E149&lt;AD$5+GanttPeriod),"◇","")),IF(AND(AD$5&lt;=$F149,AD$5+GanttPeriod-1&gt;=$E149),"━","")))</f>
        <v/>
      </c>
      <c r="AE149" s="69" t="str">
        <f aca="false">IF($E149="","",IF($M149,IF(AND($G149&gt;=AE$5,$G149&lt;AE$5+GanttPeriod),"◆",IF(AND($E149&gt;=AE$5,$E149&lt;AE$5+GanttPeriod),"◇","")),IF(AND(AE$5&lt;=$F149,AE$5+GanttPeriod-1&gt;=$E149),"━","")))</f>
        <v/>
      </c>
      <c r="AF149" s="69" t="str">
        <f aca="false">IF($E149="","",IF($M149,IF(AND($G149&gt;=AF$5,$G149&lt;AF$5+GanttPeriod),"◆",IF(AND($E149&gt;=AF$5,$E149&lt;AF$5+GanttPeriod),"◇","")),IF(AND(AF$5&lt;=$F149,AF$5+GanttPeriod-1&gt;=$E149),"━","")))</f>
        <v/>
      </c>
      <c r="AG149" s="69" t="str">
        <f aca="false">IF($E149="","",IF($M149,IF(AND($G149&gt;=AG$5,$G149&lt;AG$5+GanttPeriod),"◆",IF(AND($E149&gt;=AG$5,$E149&lt;AG$5+GanttPeriod),"◇","")),IF(AND(AG$5&lt;=$F149,AG$5+GanttPeriod-1&gt;=$E149),"━","")))</f>
        <v/>
      </c>
      <c r="AH149" s="69" t="str">
        <f aca="false">IF($E149="","",IF($M149,IF(AND($G149&gt;=AH$5,$G149&lt;AH$5+GanttPeriod),"◆",IF(AND($E149&gt;=AH$5,$E149&lt;AH$5+GanttPeriod),"◇","")),IF(AND(AH$5&lt;=$F149,AH$5+GanttPeriod-1&gt;=$E149),"━","")))</f>
        <v/>
      </c>
      <c r="AI149" s="69" t="str">
        <f aca="false">IF($E149="","",IF($M149,IF(AND($G149&gt;=AI$5,$G149&lt;AI$5+GanttPeriod),"◆",IF(AND($E149&gt;=AI$5,$E149&lt;AI$5+GanttPeriod),"◇","")),IF(AND(AI$5&lt;=$F149,AI$5+GanttPeriod-1&gt;=$E149),"━","")))</f>
        <v/>
      </c>
      <c r="AJ149" s="69" t="str">
        <f aca="false">IF($E149="","",IF($M149,IF(AND($G149&gt;=AJ$5,$G149&lt;AJ$5+GanttPeriod),"◆",IF(AND($E149&gt;=AJ$5,$E149&lt;AJ$5+GanttPeriod),"◇","")),IF(AND(AJ$5&lt;=$F149,AJ$5+GanttPeriod-1&gt;=$E149),"━","")))</f>
        <v/>
      </c>
      <c r="AK149" s="69" t="str">
        <f aca="false">IF($E149="","",IF($M149,IF(AND($G149&gt;=AK$5,$G149&lt;AK$5+GanttPeriod),"◆",IF(AND($E149&gt;=AK$5,$E149&lt;AK$5+GanttPeriod),"◇","")),IF(AND(AK$5&lt;=$F149,AK$5+GanttPeriod-1&gt;=$E149),"━","")))</f>
        <v/>
      </c>
      <c r="AL149" s="69" t="str">
        <f aca="false">IF($E149="","",IF($M149,IF(AND($G149&gt;=AL$5,$G149&lt;AL$5+GanttPeriod),"◆",IF(AND($E149&gt;=AL$5,$E149&lt;AL$5+GanttPeriod),"◇","")),IF(AND(AL$5&lt;=$F149,AL$5+GanttPeriod-1&gt;=$E149),"━","")))</f>
        <v/>
      </c>
      <c r="AM149" s="69" t="str">
        <f aca="false">IF($E149="","",IF($M149,IF(AND($G149&gt;=AM$5,$G149&lt;AM$5+GanttPeriod),"◆",IF(AND($E149&gt;=AM$5,$E149&lt;AM$5+GanttPeriod),"◇","")),IF(AND(AM$5&lt;=$F149,AM$5+GanttPeriod-1&gt;=$E149),"━","")))</f>
        <v/>
      </c>
      <c r="AN149" s="69" t="str">
        <f aca="false">IF($E149="","",IF($M149,IF(AND($G149&gt;=AN$5,$G149&lt;AN$5+GanttPeriod),"◆",IF(AND($E149&gt;=AN$5,$E149&lt;AN$5+GanttPeriod),"◇","")),IF(AND(AN$5&lt;=$F149,AN$5+GanttPeriod-1&gt;=$E149),"━","")))</f>
        <v/>
      </c>
      <c r="AO149" s="69" t="str">
        <f aca="false">IF($E149="","",IF($M149,IF(AND($G149&gt;=AO$5,$G149&lt;AO$5+GanttPeriod),"◆",IF(AND($E149&gt;=AO$5,$E149&lt;AO$5+GanttPeriod),"◇","")),IF(AND(AO$5&lt;=$F149,AO$5+GanttPeriod-1&gt;=$E149),"━","")))</f>
        <v/>
      </c>
      <c r="AP149" s="69" t="str">
        <f aca="false">IF($E149="","",IF($M149,IF(AND($G149&gt;=AP$5,$G149&lt;AP$5+GanttPeriod),"◆",IF(AND($E149&gt;=AP$5,$E149&lt;AP$5+GanttPeriod),"◇","")),IF(AND(AP$5&lt;=$F149,AP$5+GanttPeriod-1&gt;=$E149),"━","")))</f>
        <v/>
      </c>
      <c r="AQ149" s="69" t="str">
        <f aca="false">IF($E149="","",IF($M149,IF(AND($G149&gt;=AQ$5,$G149&lt;AQ$5+GanttPeriod),"◆",IF(AND($E149&gt;=AQ$5,$E149&lt;AQ$5+GanttPeriod),"◇","")),IF(AND(AQ$5&lt;=$F149,AQ$5+GanttPeriod-1&gt;=$E149),"━","")))</f>
        <v/>
      </c>
      <c r="AR149" s="69" t="str">
        <f aca="false">IF($E149="","",IF($M149,IF(AND($G149&gt;=AR$5,$G149&lt;AR$5+GanttPeriod),"◆",IF(AND($E149&gt;=AR$5,$E149&lt;AR$5+GanttPeriod),"◇","")),IF(AND(AR$5&lt;=$F149,AR$5+GanttPeriod-1&gt;=$E149),"━","")))</f>
        <v/>
      </c>
      <c r="AS149" s="69" t="str">
        <f aca="false">IF($E149="","",IF($M149,IF(AND($G149&gt;=AS$5,$G149&lt;AS$5+GanttPeriod),"◆",IF(AND($E149&gt;=AS$5,$E149&lt;AS$5+GanttPeriod),"◇","")),IF(AND(AS$5&lt;=$F149,AS$5+GanttPeriod-1&gt;=$E149),"━","")))</f>
        <v/>
      </c>
      <c r="AT149" s="69" t="str">
        <f aca="false">IF($E149="","",IF($M149,IF(AND($G149&gt;=AT$5,$G149&lt;AT$5+GanttPeriod),"◆",IF(AND($E149&gt;=AT$5,$E149&lt;AT$5+GanttPeriod),"◇","")),IF(AND(AT$5&lt;=$F149,AT$5+GanttPeriod-1&gt;=$E149),"━","")))</f>
        <v/>
      </c>
      <c r="AU149" s="69" t="str">
        <f aca="false">IF($E149="","",IF($M149,IF(AND($G149&gt;=AU$5,$G149&lt;AU$5+GanttPeriod),"◆",IF(AND($E149&gt;=AU$5,$E149&lt;AU$5+GanttPeriod),"◇","")),IF(AND(AU$5&lt;=$F149,AU$5+GanttPeriod-1&gt;=$E149),"━","")))</f>
        <v/>
      </c>
      <c r="AV149" s="69" t="str">
        <f aca="false">IF($E149="","",IF($M149,IF(AND($G149&gt;=AV$5,$G149&lt;AV$5+GanttPeriod),"◆",IF(AND($E149&gt;=AV$5,$E149&lt;AV$5+GanttPeriod),"◇","")),IF(AND(AV$5&lt;=$F149,AV$5+GanttPeriod-1&gt;=$E149),"━","")))</f>
        <v/>
      </c>
      <c r="AW149" s="69" t="str">
        <f aca="false">IF($E149="","",IF($M149,IF(AND($G149&gt;=AW$5,$G149&lt;AW$5+GanttPeriod),"◆",IF(AND($E149&gt;=AW$5,$E149&lt;AW$5+GanttPeriod),"◇","")),IF(AND(AW$5&lt;=$F149,AW$5+GanttPeriod-1&gt;=$E149),"━","")))</f>
        <v/>
      </c>
      <c r="AX149" s="69" t="str">
        <f aca="false">IF($E149="","",IF($M149,IF(AND($G149&gt;=AX$5,$G149&lt;AX$5+GanttPeriod),"◆",IF(AND($E149&gt;=AX$5,$E149&lt;AX$5+GanttPeriod),"◇","")),IF(AND(AX$5&lt;=$F149,AX$5+GanttPeriod-1&gt;=$E149),"━","")))</f>
        <v/>
      </c>
      <c r="AY149" s="69" t="str">
        <f aca="false">IF($E149="","",IF($M149,IF(AND($G149&gt;=AY$5,$G149&lt;AY$5+GanttPeriod),"◆",IF(AND($E149&gt;=AY$5,$E149&lt;AY$5+GanttPeriod),"◇","")),IF(AND(AY$5&lt;=$F149,AY$5+GanttPeriod-1&gt;=$E149),"━","")))</f>
        <v/>
      </c>
      <c r="AZ149" s="69" t="str">
        <f aca="false">IF($E149="","",IF($M149,IF(AND($G149&gt;=AZ$5,$G149&lt;AZ$5+GanttPeriod),"◆",IF(AND($E149&gt;=AZ$5,$E149&lt;AZ$5+GanttPeriod),"◇","")),IF(AND(AZ$5&lt;=$F149,AZ$5+GanttPeriod-1&gt;=$E149),"━","")))</f>
        <v/>
      </c>
      <c r="BA149" s="69" t="str">
        <f aca="false">IF($E149="","",IF($M149,IF(AND($G149&gt;=BA$5,$G149&lt;BA$5+GanttPeriod),"◆",IF(AND($E149&gt;=BA$5,$E149&lt;BA$5+GanttPeriod),"◇","")),IF(AND(BA$5&lt;=$F149,BA$5+GanttPeriod-1&gt;=$E149),"━","")))</f>
        <v/>
      </c>
      <c r="BB149" s="69" t="str">
        <f aca="false">IF($E149="","",IF($M149,IF(AND($G149&gt;=BB$5,$G149&lt;BB$5+GanttPeriod),"◆",IF(AND($E149&gt;=BB$5,$E149&lt;BB$5+GanttPeriod),"◇","")),IF(AND(BB$5&lt;=$F149,BB$5+GanttPeriod-1&gt;=$E149),"━","")))</f>
        <v/>
      </c>
      <c r="BC149" s="69" t="str">
        <f aca="false">IF($E149="","",IF($M149,IF(AND($G149&gt;=BC$5,$G149&lt;BC$5+GanttPeriod),"◆",IF(AND($E149&gt;=BC$5,$E149&lt;BC$5+GanttPeriod),"◇","")),IF(AND(BC$5&lt;=$F149,BC$5+GanttPeriod-1&gt;=$E149),"━","")))</f>
        <v/>
      </c>
      <c r="BD149" s="69" t="str">
        <f aca="false">IF($E149="","",IF($M149,IF(AND($G149&gt;=BD$5,$G149&lt;BD$5+GanttPeriod),"◆",IF(AND($E149&gt;=BD$5,$E149&lt;BD$5+GanttPeriod),"◇","")),IF(AND(BD$5&lt;=$F149,BD$5+GanttPeriod-1&gt;=$E149),"━","")))</f>
        <v/>
      </c>
      <c r="BE149" s="69" t="str">
        <f aca="false">IF($E149="","",IF($M149,IF(AND($G149&gt;=BE$5,$G149&lt;BE$5+GanttPeriod),"◆",IF(AND($E149&gt;=BE$5,$E149&lt;BE$5+GanttPeriod),"◇","")),IF(AND(BE$5&lt;=$F149,BE$5+GanttPeriod-1&gt;=$E149),"━","")))</f>
        <v/>
      </c>
      <c r="BF149" s="69" t="str">
        <f aca="false">IF($E149="","",IF($M149,IF(AND($G149&gt;=BF$5,$G149&lt;BF$5+GanttPeriod),"◆",IF(AND($E149&gt;=BF$5,$E149&lt;BF$5+GanttPeriod),"◇","")),IF(AND(BF$5&lt;=$F149,BF$5+GanttPeriod-1&gt;=$E149),"━","")))</f>
        <v/>
      </c>
      <c r="BG149" s="69" t="str">
        <f aca="false">IF($E149="","",IF($M149,IF(AND($G149&gt;=BG$5,$G149&lt;BG$5+GanttPeriod),"◆",IF(AND($E149&gt;=BG$5,$E149&lt;BG$5+GanttPeriod),"◇","")),IF(AND(BG$5&lt;=$F149,BG$5+GanttPeriod-1&gt;=$E149),"━","")))</f>
        <v/>
      </c>
      <c r="BH149" s="69" t="str">
        <f aca="false">IF($E149="","",IF($M149,IF(AND($G149&gt;=BH$5,$G149&lt;BH$5+GanttPeriod),"◆",IF(AND($E149&gt;=BH$5,$E149&lt;BH$5+GanttPeriod),"◇","")),IF(AND(BH$5&lt;=$F149,BH$5+GanttPeriod-1&gt;=$E149),"━","")))</f>
        <v/>
      </c>
      <c r="BI149" s="69" t="str">
        <f aca="false">IF($E149="","",IF($M149,IF(AND($G149&gt;=BI$5,$G149&lt;BI$5+GanttPeriod),"◆",IF(AND($E149&gt;=BI$5,$E149&lt;BI$5+GanttPeriod),"◇","")),IF(AND(BI$5&lt;=$F149,BI$5+GanttPeriod-1&gt;=$E149),"━","")))</f>
        <v/>
      </c>
      <c r="BJ149" s="69" t="str">
        <f aca="false">IF($E149="","",IF($M149,IF(AND($G149&gt;=BJ$5,$G149&lt;BJ$5+GanttPeriod),"◆",IF(AND($E149&gt;=BJ$5,$E149&lt;BJ$5+GanttPeriod),"◇","")),IF(AND(BJ$5&lt;=$F149,BJ$5+GanttPeriod-1&gt;=$E149),"━","")))</f>
        <v/>
      </c>
      <c r="BK149" s="69" t="str">
        <f aca="false">IF($E149="","",IF($M149,IF(AND($G149&gt;=BK$5,$G149&lt;BK$5+GanttPeriod),"◆",IF(AND($E149&gt;=BK$5,$E149&lt;BK$5+GanttPeriod),"◇","")),IF(AND(BK$5&lt;=$F149,BK$5+GanttPeriod-1&gt;=$E149),"━","")))</f>
        <v/>
      </c>
      <c r="BL149" s="69" t="str">
        <f aca="false">IF($E149="","",IF($M149,IF(AND($G149&gt;=BL$5,$G149&lt;BL$5+GanttPeriod),"◆",IF(AND($E149&gt;=BL$5,$E149&lt;BL$5+GanttPeriod),"◇","")),IF(AND(BL$5&lt;=$F149,BL$5+GanttPeriod-1&gt;=$E149),"━","")))</f>
        <v/>
      </c>
      <c r="BM149" s="69" t="str">
        <f aca="false">IF($E149="","",IF($M149,IF(AND($G149&gt;=BM$5,$G149&lt;BM$5+GanttPeriod),"◆",IF(AND($E149&gt;=BM$5,$E149&lt;BM$5+GanttPeriod),"◇","")),IF(AND(BM$5&lt;=$F149,BM$5+GanttPeriod-1&gt;=$E149),"━","")))</f>
        <v/>
      </c>
      <c r="BN149" s="69" t="str">
        <f aca="false">IF($E149="","",IF($M149,IF(AND($G149&gt;=BN$5,$G149&lt;BN$5+GanttPeriod),"◆",IF(AND($E149&gt;=BN$5,$E149&lt;BN$5+GanttPeriod),"◇","")),IF(AND(BN$5&lt;=$F149,BN$5+GanttPeriod-1&gt;=$E149),"━","")))</f>
        <v/>
      </c>
      <c r="BO149" s="69" t="str">
        <f aca="false">IF($E149="","",IF($M149,IF(AND($G149&gt;=BO$5,$G149&lt;BO$5+GanttPeriod),"◆",IF(AND($E149&gt;=BO$5,$E149&lt;BO$5+GanttPeriod),"◇","")),IF(AND(BO$5&lt;=$F149,BO$5+GanttPeriod-1&gt;=$E149),"━","")))</f>
        <v/>
      </c>
      <c r="BP149" s="69" t="str">
        <f aca="false">IF($E149="","",IF($M149,IF(AND($G149&gt;=BP$5,$G149&lt;BP$5+GanttPeriod),"◆",IF(AND($E149&gt;=BP$5,$E149&lt;BP$5+GanttPeriod),"◇","")),IF(AND(BP$5&lt;=$F149,BP$5+GanttPeriod-1&gt;=$E149),"━","")))</f>
        <v/>
      </c>
      <c r="BQ149" s="69" t="str">
        <f aca="false">IF($E149="","",IF($M149,IF(AND($G149&gt;=BQ$5,$G149&lt;BQ$5+GanttPeriod),"◆",IF(AND($E149&gt;=BQ$5,$E149&lt;BQ$5+GanttPeriod),"◇","")),IF(AND(BQ$5&lt;=$F149,BQ$5+GanttPeriod-1&gt;=$E149),"━","")))</f>
        <v/>
      </c>
      <c r="BR149" s="69" t="str">
        <f aca="false">IF($E149="","",IF($M149,IF(AND($G149&gt;=BR$5,$G149&lt;BR$5+GanttPeriod),"◆",IF(AND($E149&gt;=BR$5,$E149&lt;BR$5+GanttPeriod),"◇","")),IF(AND(BR$5&lt;=$F149,BR$5+GanttPeriod-1&gt;=$E149),"━","")))</f>
        <v/>
      </c>
      <c r="BS149" s="69" t="str">
        <f aca="false">IF($E149="","",IF($M149,IF(AND($G149&gt;=BS$5,$G149&lt;BS$5+GanttPeriod),"◆",IF(AND($E149&gt;=BS$5,$E149&lt;BS$5+GanttPeriod),"◇","")),IF(AND(BS$5&lt;=$F149,BS$5+GanttPeriod-1&gt;=$E149),"━","")))</f>
        <v/>
      </c>
      <c r="BT149" s="69" t="str">
        <f aca="false">IF($E149="","",IF($M149,IF(AND($G149&gt;=BT$5,$G149&lt;BT$5+GanttPeriod),"◆",IF(AND($E149&gt;=BT$5,$E149&lt;BT$5+GanttPeriod),"◇","")),IF(AND(BT$5&lt;=$F149,BT$5+GanttPeriod-1&gt;=$E149),"━","")))</f>
        <v/>
      </c>
      <c r="BU149" s="69" t="str">
        <f aca="false">IF($E149="","",IF($M149,IF(AND($G149&gt;=BU$5,$G149&lt;BU$5+GanttPeriod),"◆",IF(AND($E149&gt;=BU$5,$E149&lt;BU$5+GanttPeriod),"◇","")),IF(AND(BU$5&lt;=$F149,BU$5+GanttPeriod-1&gt;=$E149),"━","")))</f>
        <v/>
      </c>
      <c r="BV149" s="69" t="str">
        <f aca="false">IF($E149="","",IF($M149,IF(AND($G149&gt;=BV$5,$G149&lt;BV$5+GanttPeriod),"◆",IF(AND($E149&gt;=BV$5,$E149&lt;BV$5+GanttPeriod),"◇","")),IF(AND(BV$5&lt;=$F149,BV$5+GanttPeriod-1&gt;=$E149),"━","")))</f>
        <v/>
      </c>
      <c r="BW149" s="69" t="str">
        <f aca="false">IF($E149="","",IF($M149,IF(AND($G149&gt;=BW$5,$G149&lt;BW$5+GanttPeriod),"◆",IF(AND($E149&gt;=BW$5,$E149&lt;BW$5+GanttPeriod),"◇","")),IF(AND(BW$5&lt;=$F149,BW$5+GanttPeriod-1&gt;=$E149),"━","")))</f>
        <v/>
      </c>
      <c r="BX149" s="69" t="str">
        <f aca="false">IF($E149="","",IF($M149,IF(AND($G149&gt;=BX$5,$G149&lt;BX$5+GanttPeriod),"◆",IF(AND($E149&gt;=BX$5,$E149&lt;BX$5+GanttPeriod),"◇","")),IF(AND(BX$5&lt;=$F149,BX$5+GanttPeriod-1&gt;=$E149),"━","")))</f>
        <v/>
      </c>
      <c r="BY149" s="69" t="str">
        <f aca="false">IF($E149="","",IF($M149,IF(AND($G149&gt;=BY$5,$G149&lt;BY$5+GanttPeriod),"◆",IF(AND($E149&gt;=BY$5,$E149&lt;BY$5+GanttPeriod),"◇","")),IF(AND(BY$5&lt;=$F149,BY$5+GanttPeriod-1&gt;=$E149),"━","")))</f>
        <v/>
      </c>
      <c r="BZ149" s="69" t="str">
        <f aca="false">IF($E149="","",IF($M149,IF(AND($G149&gt;=BZ$5,$G149&lt;BZ$5+GanttPeriod),"◆",IF(AND($E149&gt;=BZ$5,$E149&lt;BZ$5+GanttPeriod),"◇","")),IF(AND(BZ$5&lt;=$F149,BZ$5+GanttPeriod-1&gt;=$E149),"━","")))</f>
        <v/>
      </c>
      <c r="CA149" s="69" t="str">
        <f aca="false">IF($E149="","",IF($M149,IF(AND($G149&gt;=CA$5,$G149&lt;CA$5+GanttPeriod),"◆",IF(AND($E149&gt;=CA$5,$E149&lt;CA$5+GanttPeriod),"◇","")),IF(AND(CA$5&lt;=$F149,CA$5+GanttPeriod-1&gt;=$E149),"━","")))</f>
        <v/>
      </c>
      <c r="CB149" s="69" t="str">
        <f aca="false">IF($E149="","",IF($M149,IF(AND($G149&gt;=CB$5,$G149&lt;CB$5+GanttPeriod),"◆",IF(AND($E149&gt;=CB$5,$E149&lt;CB$5+GanttPeriod),"◇","")),IF(AND(CB$5&lt;=$F149,CB$5+GanttPeriod-1&gt;=$E149),"━","")))</f>
        <v/>
      </c>
      <c r="CC149" s="69" t="str">
        <f aca="false">IF($E149="","",IF($M149,IF(AND($G149&gt;=CC$5,$G149&lt;CC$5+GanttPeriod),"◆",IF(AND($E149&gt;=CC$5,$E149&lt;CC$5+GanttPeriod),"◇","")),IF(AND(CC$5&lt;=$F149,CC$5+GanttPeriod-1&gt;=$E149),"━","")))</f>
        <v/>
      </c>
      <c r="CD149" s="69" t="str">
        <f aca="false">IF($E149="","",IF($M149,IF(AND($G149&gt;=CD$5,$G149&lt;CD$5+GanttPeriod),"◆",IF(AND($E149&gt;=CD$5,$E149&lt;CD$5+GanttPeriod),"◇","")),IF(AND(CD$5&lt;=$F149,CD$5+GanttPeriod-1&gt;=$E149),"━","")))</f>
        <v/>
      </c>
      <c r="CE149" s="69" t="str">
        <f aca="false">IF($E149="","",IF($M149,IF(AND($G149&gt;=CE$5,$G149&lt;CE$5+GanttPeriod),"◆",IF(AND($E149&gt;=CE$5,$E149&lt;CE$5+GanttPeriod),"◇","")),IF(AND(CE$5&lt;=$F149,CE$5+GanttPeriod-1&gt;=$E149),"━","")))</f>
        <v/>
      </c>
      <c r="CF149" s="69" t="str">
        <f aca="false">IF($E149="","",IF($M149,IF(AND($G149&gt;=CF$5,$G149&lt;CF$5+GanttPeriod),"◆",IF(AND($E149&gt;=CF$5,$E149&lt;CF$5+GanttPeriod),"◇","")),IF(AND(CF$5&lt;=$F149,CF$5+GanttPeriod-1&gt;=$E149),"━","")))</f>
        <v/>
      </c>
      <c r="CG149" s="69" t="str">
        <f aca="false">IF($E149="","",IF($M149,IF(AND($G149&gt;=CG$5,$G149&lt;CG$5+GanttPeriod),"◆",IF(AND($E149&gt;=CG$5,$E149&lt;CG$5+GanttPeriod),"◇","")),IF(AND(CG$5&lt;=$F149,CG$5+GanttPeriod-1&gt;=$E149),"━","")))</f>
        <v/>
      </c>
      <c r="CH149" s="69" t="str">
        <f aca="false">IF($E149="","",IF($M149,IF(AND($G149&gt;=CH$5,$G149&lt;CH$5+GanttPeriod),"◆",IF(AND($E149&gt;=CH$5,$E149&lt;CH$5+GanttPeriod),"◇","")),IF(AND(CH$5&lt;=$F149,CH$5+GanttPeriod-1&gt;=$E149),"━","")))</f>
        <v/>
      </c>
      <c r="CI149" s="69" t="str">
        <f aca="false">IF($E149="","",IF($M149,IF(AND($G149&gt;=CI$5,$G149&lt;CI$5+GanttPeriod),"◆",IF(AND($E149&gt;=CI$5,$E149&lt;CI$5+GanttPeriod),"◇","")),IF(AND(CI$5&lt;=$F149,CI$5+GanttPeriod-1&gt;=$E149),"━","")))</f>
        <v/>
      </c>
      <c r="CJ149" s="69" t="str">
        <f aca="false">IF($E149="","",IF($M149,IF(AND($G149&gt;=CJ$5,$G149&lt;CJ$5+GanttPeriod),"◆",IF(AND($E149&gt;=CJ$5,$E149&lt;CJ$5+GanttPeriod),"◇","")),IF(AND(CJ$5&lt;=$F149,CJ$5+GanttPeriod-1&gt;=$E149),"━","")))</f>
        <v/>
      </c>
      <c r="CK149" s="69" t="str">
        <f aca="false">IF($E149="","",IF($M149,IF(AND($G149&gt;=CK$5,$G149&lt;CK$5+GanttPeriod),"◆",IF(AND($E149&gt;=CK$5,$E149&lt;CK$5+GanttPeriod),"◇","")),IF(AND(CK$5&lt;=$F149,CK$5+GanttPeriod-1&gt;=$E149),"━","")))</f>
        <v/>
      </c>
      <c r="CL149" s="69" t="str">
        <f aca="false">IF($E149="","",IF($M149,IF(AND($G149&gt;=CL$5,$G149&lt;CL$5+GanttPeriod),"◆",IF(AND($E149&gt;=CL$5,$E149&lt;CL$5+GanttPeriod),"◇","")),IF(AND(CL$5&lt;=$F149,CL$5+GanttPeriod-1&gt;=$E149),"━","")))</f>
        <v/>
      </c>
      <c r="CM149" s="69" t="str">
        <f aca="false">IF($E149="","",IF($M149,IF(AND($G149&gt;=CM$5,$G149&lt;CM$5+GanttPeriod),"◆",IF(AND($E149&gt;=CM$5,$E149&lt;CM$5+GanttPeriod),"◇","")),IF(AND(CM$5&lt;=$F149,CM$5+GanttPeriod-1&gt;=$E149),"━","")))</f>
        <v/>
      </c>
      <c r="CN149" s="69" t="str">
        <f aca="false">IF($E149="","",IF($M149,IF(AND($G149&gt;=CN$5,$G149&lt;CN$5+GanttPeriod),"◆",IF(AND($E149&gt;=CN$5,$E149&lt;CN$5+GanttPeriod),"◇","")),IF(AND(CN$5&lt;=$F149,CN$5+GanttPeriod-1&gt;=$E149),"━","")))</f>
        <v/>
      </c>
      <c r="CO149" s="69" t="str">
        <f aca="false">IF($E149="","",IF($M149,IF(AND($G149&gt;=CO$5,$G149&lt;CO$5+GanttPeriod),"◆",IF(AND($E149&gt;=CO$5,$E149&lt;CO$5+GanttPeriod),"◇","")),IF(AND(CO$5&lt;=$F149,CO$5+GanttPeriod-1&gt;=$E149),"━","")))</f>
        <v/>
      </c>
      <c r="CP149" s="69" t="str">
        <f aca="false">IF($E149="","",IF($M149,IF(AND($G149&gt;=CP$5,$G149&lt;CP$5+GanttPeriod),"◆",IF(AND($E149&gt;=CP$5,$E149&lt;CP$5+GanttPeriod),"◇","")),IF(AND(CP$5&lt;=$F149,CP$5+GanttPeriod-1&gt;=$E149),"━","")))</f>
        <v/>
      </c>
      <c r="CQ149" s="69" t="str">
        <f aca="false">IF($E149="","",IF($M149,IF(AND($G149&gt;=CQ$5,$G149&lt;CQ$5+GanttPeriod),"◆",IF(AND($E149&gt;=CQ$5,$E149&lt;CQ$5+GanttPeriod),"◇","")),IF(AND(CQ$5&lt;=$F149,CQ$5+GanttPeriod-1&gt;=$E149),"━","")))</f>
        <v/>
      </c>
      <c r="CR149" s="69" t="str">
        <f aca="false">IF($E149="","",IF($M149,IF(AND($G149&gt;=CR$5,$G149&lt;CR$5+GanttPeriod),"◆",IF(AND($E149&gt;=CR$5,$E149&lt;CR$5+GanttPeriod),"◇","")),IF(AND(CR$5&lt;=$F149,CR$5+GanttPeriod-1&gt;=$E149),"━","")))</f>
        <v/>
      </c>
      <c r="CS149" s="69" t="str">
        <f aca="false">IF($E149="","",IF($M149,IF(AND($G149&gt;=CS$5,$G149&lt;CS$5+GanttPeriod),"◆",IF(AND($E149&gt;=CS$5,$E149&lt;CS$5+GanttPeriod),"◇","")),IF(AND(CS$5&lt;=$F149,CS$5+GanttPeriod-1&gt;=$E149),"━","")))</f>
        <v/>
      </c>
      <c r="CT149" s="69" t="str">
        <f aca="false">IF($E149="","",IF($M149,IF(AND($G149&gt;=CT$5,$G149&lt;CT$5+GanttPeriod),"◆",IF(AND($E149&gt;=CT$5,$E149&lt;CT$5+GanttPeriod),"◇","")),IF(AND(CT$5&lt;=$F149,CT$5+GanttPeriod-1&gt;=$E149),"━","")))</f>
        <v/>
      </c>
      <c r="CU149" s="69" t="str">
        <f aca="false">IF($E149="","",IF($M149,IF(AND($G149&gt;=CU$5,$G149&lt;CU$5+GanttPeriod),"◆",IF(AND($E149&gt;=CU$5,$E149&lt;CU$5+GanttPeriod),"◇","")),IF(AND(CU$5&lt;=$F149,CU$5+GanttPeriod-1&gt;=$E149),"━","")))</f>
        <v/>
      </c>
      <c r="CV149" s="69" t="str">
        <f aca="false">IF($E149="","",IF($M149,IF(AND($G149&gt;=CV$5,$G149&lt;CV$5+GanttPeriod),"◆",IF(AND($E149&gt;=CV$5,$E149&lt;CV$5+GanttPeriod),"◇","")),IF(AND(CV$5&lt;=$F149,CV$5+GanttPeriod-1&gt;=$E149),"━","")))</f>
        <v/>
      </c>
      <c r="CW149" s="69" t="str">
        <f aca="false">IF($E149="","",IF($M149,IF(AND($G149&gt;=CW$5,$G149&lt;CW$5+GanttPeriod),"◆",IF(AND($E149&gt;=CW$5,$E149&lt;CW$5+GanttPeriod),"◇","")),IF(AND(CW$5&lt;=$F149,CW$5+GanttPeriod-1&gt;=$E149),"━","")))</f>
        <v/>
      </c>
      <c r="CX149" s="69" t="str">
        <f aca="false">IF($E149="","",IF($M149,IF(AND($G149&gt;=CX$5,$G149&lt;CX$5+GanttPeriod),"◆",IF(AND($E149&gt;=CX$5,$E149&lt;CX$5+GanttPeriod),"◇","")),IF(AND(CX$5&lt;=$F149,CX$5+GanttPeriod-1&gt;=$E149),"━","")))</f>
        <v/>
      </c>
      <c r="CY149" s="69" t="str">
        <f aca="false">IF($E149="","",IF($M149,IF(AND($G149&gt;=CY$5,$G149&lt;CY$5+GanttPeriod),"◆",IF(AND($E149&gt;=CY$5,$E149&lt;CY$5+GanttPeriod),"◇","")),IF(AND(CY$5&lt;=$F149,CY$5+GanttPeriod-1&gt;=$E149),"━","")))</f>
        <v/>
      </c>
      <c r="CZ149" s="69" t="str">
        <f aca="false">IF($E149="","",IF($M149,IF(AND($G149&gt;=CZ$5,$G149&lt;CZ$5+GanttPeriod),"◆",IF(AND($E149&gt;=CZ$5,$E149&lt;CZ$5+GanttPeriod),"◇","")),IF(AND(CZ$5&lt;=$F149,CZ$5+GanttPeriod-1&gt;=$E149),"━","")))</f>
        <v/>
      </c>
      <c r="DA149" s="69" t="str">
        <f aca="false">IF($E149="","",IF($M149,IF(AND($G149&gt;=DA$5,$G149&lt;DA$5+GanttPeriod),"◆",IF(AND($E149&gt;=DA$5,$E149&lt;DA$5+GanttPeriod),"◇","")),IF(AND(DA$5&lt;=$F149,DA$5+GanttPeriod-1&gt;=$E149),"━","")))</f>
        <v/>
      </c>
      <c r="DB149" s="69" t="str">
        <f aca="false">IF($E149="","",IF($M149,IF(AND($G149&gt;=DB$5,$G149&lt;DB$5+GanttPeriod),"◆",IF(AND($E149&gt;=DB$5,$E149&lt;DB$5+GanttPeriod),"◇","")),IF(AND(DB$5&lt;=$F149,DB$5+GanttPeriod-1&gt;=$E149),"━","")))</f>
        <v/>
      </c>
      <c r="DC149" s="69" t="str">
        <f aca="false">IF($E149="","",IF($M149,IF(AND($G149&gt;=DC$5,$G149&lt;DC$5+GanttPeriod),"◆",IF(AND($E149&gt;=DC$5,$E149&lt;DC$5+GanttPeriod),"◇","")),IF(AND(DC$5&lt;=$F149,DC$5+GanttPeriod-1&gt;=$E149),"━","")))</f>
        <v/>
      </c>
      <c r="DD149" s="69" t="str">
        <f aca="false">IF($E149="","",IF($M149,IF(AND($G149&gt;=DD$5,$G149&lt;DD$5+GanttPeriod),"◆",IF(AND($E149&gt;=DD$5,$E149&lt;DD$5+GanttPeriod),"◇","")),IF(AND(DD$5&lt;=$F149,DD$5+GanttPeriod-1&gt;=$E149),"━","")))</f>
        <v/>
      </c>
      <c r="DE149" s="69" t="str">
        <f aca="false">IF($E149="","",IF($M149,IF(AND($G149&gt;=DE$5,$G149&lt;DE$5+GanttPeriod),"◆",IF(AND($E149&gt;=DE$5,$E149&lt;DE$5+GanttPeriod),"◇","")),IF(AND(DE$5&lt;=$F149,DE$5+GanttPeriod-1&gt;=$E149),"━","")))</f>
        <v/>
      </c>
      <c r="DF149" s="69" t="str">
        <f aca="false">IF($E149="","",IF($M149,IF(AND($G149&gt;=DF$5,$G149&lt;DF$5+GanttPeriod),"◆",IF(AND($E149&gt;=DF$5,$E149&lt;DF$5+GanttPeriod),"◇","")),IF(AND(DF$5&lt;=$F149,DF$5+GanttPeriod-1&gt;=$E149),"━","")))</f>
        <v/>
      </c>
      <c r="DG149" s="69" t="str">
        <f aca="false">IF($E149="","",IF($M149,IF(AND($G149&gt;=DG$5,$G149&lt;DG$5+GanttPeriod),"◆",IF(AND($E149&gt;=DG$5,$E149&lt;DG$5+GanttPeriod),"◇","")),IF(AND(DG$5&lt;=$F149,DG$5+GanttPeriod-1&gt;=$E149),"━","")))</f>
        <v/>
      </c>
      <c r="DH149" s="69" t="str">
        <f aca="false">IF($E149="","",IF($M149,IF(AND($G149&gt;=DH$5,$G149&lt;DH$5+GanttPeriod),"◆",IF(AND($E149&gt;=DH$5,$E149&lt;DH$5+GanttPeriod),"◇","")),IF(AND(DH$5&lt;=$F149,DH$5+GanttPeriod-1&gt;=$E149),"━","")))</f>
        <v/>
      </c>
      <c r="DI149" s="69" t="str">
        <f aca="false">IF($E149="","",IF($M149,IF(AND($G149&gt;=DI$5,$G149&lt;DI$5+GanttPeriod),"◆",IF(AND($E149&gt;=DI$5,$E149&lt;DI$5+GanttPeriod),"◇","")),IF(AND(DI$5&lt;=$F149,DI$5+GanttPeriod-1&gt;=$E149),"━","")))</f>
        <v/>
      </c>
      <c r="DJ149" s="69" t="str">
        <f aca="false">IF($E149="","",IF($M149,IF(AND($G149&gt;=DJ$5,$G149&lt;DJ$5+GanttPeriod),"◆",IF(AND($E149&gt;=DJ$5,$E149&lt;DJ$5+GanttPeriod),"◇","")),IF(AND(DJ$5&lt;=$F149,DJ$5+GanttPeriod-1&gt;=$E149),"━","")))</f>
        <v/>
      </c>
      <c r="DK149" s="69" t="str">
        <f aca="false">IF($E149="","",IF($M149,IF(AND($G149&gt;=DK$5,$G149&lt;DK$5+GanttPeriod),"◆",IF(AND($E149&gt;=DK$5,$E149&lt;DK$5+GanttPeriod),"◇","")),IF(AND(DK$5&lt;=$F149,DK$5+GanttPeriod-1&gt;=$E149),"━","")))</f>
        <v/>
      </c>
      <c r="DL149" s="69" t="str">
        <f aca="false">IF($E149="","",IF($M149,IF(AND($G149&gt;=DL$5,$G149&lt;DL$5+GanttPeriod),"◆",IF(AND($E149&gt;=DL$5,$E149&lt;DL$5+GanttPeriod),"◇","")),IF(AND(DL$5&lt;=$F149,DL$5+GanttPeriod-1&gt;=$E149),"━","")))</f>
        <v/>
      </c>
      <c r="DM149" s="69" t="str">
        <f aca="false">IF($E149="","",IF($M149,IF(AND($G149&gt;=DM$5,$G149&lt;DM$5+GanttPeriod),"◆",IF(AND($E149&gt;=DM$5,$E149&lt;DM$5+GanttPeriod),"◇","")),IF(AND(DM$5&lt;=$F149,DM$5+GanttPeriod-1&gt;=$E149),"━","")))</f>
        <v/>
      </c>
      <c r="DN149" s="69" t="str">
        <f aca="false">IF($E149="","",IF($M149,IF(AND($G149&gt;=DN$5,$G149&lt;DN$5+GanttPeriod),"◆",IF(AND($E149&gt;=DN$5,$E149&lt;DN$5+GanttPeriod),"◇","")),IF(AND(DN$5&lt;=$F149,DN$5+GanttPeriod-1&gt;=$E149),"━","")))</f>
        <v/>
      </c>
      <c r="DO149" s="69" t="str">
        <f aca="false">IF($E149="","",IF($M149,IF(AND($G149&gt;=DO$5,$G149&lt;DO$5+GanttPeriod),"◆",IF(AND($E149&gt;=DO$5,$E149&lt;DO$5+GanttPeriod),"◇","")),IF(AND(DO$5&lt;=$F149,DO$5+GanttPeriod-1&gt;=$E149),"━","")))</f>
        <v/>
      </c>
      <c r="DP149" s="69" t="str">
        <f aca="false">IF($E149="","",IF($M149,IF(AND($G149&gt;=DP$5,$G149&lt;DP$5+GanttPeriod),"◆",IF(AND($E149&gt;=DP$5,$E149&lt;DP$5+GanttPeriod),"◇","")),IF(AND(DP$5&lt;=$F149,DP$5+GanttPeriod-1&gt;=$E149),"━","")))</f>
        <v/>
      </c>
      <c r="DQ149" s="69" t="str">
        <f aca="false">IF($E149="","",IF($M149,IF(AND($G149&gt;=DQ$5,$G149&lt;DQ$5+GanttPeriod),"◆",IF(AND($E149&gt;=DQ$5,$E149&lt;DQ$5+GanttPeriod),"◇","")),IF(AND(DQ$5&lt;=$F149,DQ$5+GanttPeriod-1&gt;=$E149),"━","")))</f>
        <v/>
      </c>
      <c r="DR149" s="69" t="str">
        <f aca="false">IF($E149="","",IF($M149,IF(AND($G149&gt;=DR$5,$G149&lt;DR$5+GanttPeriod),"◆",IF(AND($E149&gt;=DR$5,$E149&lt;DR$5+GanttPeriod),"◇","")),IF(AND(DR$5&lt;=$F149,DR$5+GanttPeriod-1&gt;=$E149),"━","")))</f>
        <v/>
      </c>
      <c r="DS149" s="69" t="str">
        <f aca="false">IF($E149="","",IF($M149,IF(AND($G149&gt;=DS$5,$G149&lt;DS$5+GanttPeriod),"◆",IF(AND($E149&gt;=DS$5,$E149&lt;DS$5+GanttPeriod),"◇","")),IF(AND(DS$5&lt;=$F149,DS$5+GanttPeriod-1&gt;=$E149),"━","")))</f>
        <v/>
      </c>
      <c r="DT149" s="69" t="str">
        <f aca="false">IF($E149="","",IF($M149,IF(AND($G149&gt;=DT$5,$G149&lt;DT$5+GanttPeriod),"◆",IF(AND($E149&gt;=DT$5,$E149&lt;DT$5+GanttPeriod),"◇","")),IF(AND(DT$5&lt;=$F149,DT$5+GanttPeriod-1&gt;=$E149),"━","")))</f>
        <v/>
      </c>
      <c r="DU149" s="69" t="str">
        <f aca="false">IF($E149="","",IF($M149,IF(AND($G149&gt;=DU$5,$G149&lt;DU$5+GanttPeriod),"◆",IF(AND($E149&gt;=DU$5,$E149&lt;DU$5+GanttPeriod),"◇","")),IF(AND(DU$5&lt;=$F149,DU$5+GanttPeriod-1&gt;=$E149),"━","")))</f>
        <v/>
      </c>
      <c r="DV149" s="69" t="str">
        <f aca="false">IF($E149="","",IF($M149,IF(AND($G149&gt;=DV$5,$G149&lt;DV$5+GanttPeriod),"◆",IF(AND($E149&gt;=DV$5,$E149&lt;DV$5+GanttPeriod),"◇","")),IF(AND(DV$5&lt;=$F149,DV$5+GanttPeriod-1&gt;=$E149),"━","")))</f>
        <v/>
      </c>
      <c r="DW149" s="69" t="str">
        <f aca="false">IF($E149="","",IF($M149,IF(AND($G149&gt;=DW$5,$G149&lt;DW$5+GanttPeriod),"◆",IF(AND($E149&gt;=DW$5,$E149&lt;DW$5+GanttPeriod),"◇","")),IF(AND(DW$5&lt;=$F149,DW$5+GanttPeriod-1&gt;=$E149),"━","")))</f>
        <v/>
      </c>
      <c r="DX149" s="69" t="str">
        <f aca="false">IF($E149="","",IF($M149,IF(AND($G149&gt;=DX$5,$G149&lt;DX$5+GanttPeriod),"◆",IF(AND($E149&gt;=DX$5,$E149&lt;DX$5+GanttPeriod),"◇","")),IF(AND(DX$5&lt;=$F149,DX$5+GanttPeriod-1&gt;=$E149),"━","")))</f>
        <v/>
      </c>
      <c r="DY149" s="69" t="str">
        <f aca="false">IF($E149="","",IF($M149,IF(AND($G149&gt;=DY$5,$G149&lt;DY$5+GanttPeriod),"◆",IF(AND($E149&gt;=DY$5,$E149&lt;DY$5+GanttPeriod),"◇","")),IF(AND(DY$5&lt;=$F149,DY$5+GanttPeriod-1&gt;=$E149),"━","")))</f>
        <v/>
      </c>
      <c r="DZ149" s="69" t="str">
        <f aca="false">IF($E149="","",IF($M149,IF(AND($G149&gt;=DZ$5,$G149&lt;DZ$5+GanttPeriod),"◆",IF(AND($E149&gt;=DZ$5,$E149&lt;DZ$5+GanttPeriod),"◇","")),IF(AND(DZ$5&lt;=$F149,DZ$5+GanttPeriod-1&gt;=$E149),"━","")))</f>
        <v/>
      </c>
      <c r="EA149" s="69" t="str">
        <f aca="false">IF($E149="","",IF($M149,IF(AND($G149&gt;=EA$5,$G149&lt;EA$5+GanttPeriod),"◆",IF(AND($E149&gt;=EA$5,$E149&lt;EA$5+GanttPeriod),"◇","")),IF(AND(EA$5&lt;=$F149,EA$5+GanttPeriod-1&gt;=$E149),"━","")))</f>
        <v/>
      </c>
      <c r="EB149" s="69" t="str">
        <f aca="false">IF($E149="","",IF($M149,IF(AND($G149&gt;=EB$5,$G149&lt;EB$5+GanttPeriod),"◆",IF(AND($E149&gt;=EB$5,$E149&lt;EB$5+GanttPeriod),"◇","")),IF(AND(EB$5&lt;=$F149,EB$5+GanttPeriod-1&gt;=$E149),"━","")))</f>
        <v/>
      </c>
      <c r="EC149" s="69" t="str">
        <f aca="false">IF($E149="","",IF($M149,IF(AND($G149&gt;=EC$5,$G149&lt;EC$5+GanttPeriod),"◆",IF(AND($E149&gt;=EC$5,$E149&lt;EC$5+GanttPeriod),"◇","")),IF(AND(EC$5&lt;=$F149,EC$5+GanttPeriod-1&gt;=$E149),"━","")))</f>
        <v/>
      </c>
      <c r="ED149" s="69" t="str">
        <f aca="false">IF($E149="","",IF($M149,IF(AND($G149&gt;=ED$5,$G149&lt;ED$5+GanttPeriod),"◆",IF(AND($E149&gt;=ED$5,$E149&lt;ED$5+GanttPeriod),"◇","")),IF(AND(ED$5&lt;=$F149,ED$5+GanttPeriod-1&gt;=$E149),"━","")))</f>
        <v/>
      </c>
      <c r="EE149" s="69" t="str">
        <f aca="false">IF($E149="","",IF($M149,IF(AND($G149&gt;=EE$5,$G149&lt;EE$5+GanttPeriod),"◆",IF(AND($E149&gt;=EE$5,$E149&lt;EE$5+GanttPeriod),"◇","")),IF(AND(EE$5&lt;=$F149,EE$5+GanttPeriod-1&gt;=$E149),"━","")))</f>
        <v/>
      </c>
      <c r="EF149" s="69" t="str">
        <f aca="false">IF($E149="","",IF($M149,IF(AND($G149&gt;=EF$5,$G149&lt;EF$5+GanttPeriod),"◆",IF(AND($E149&gt;=EF$5,$E149&lt;EF$5+GanttPeriod),"◇","")),IF(AND(EF$5&lt;=$F149,EF$5+GanttPeriod-1&gt;=$E149),"━","")))</f>
        <v/>
      </c>
      <c r="EG149" s="69" t="str">
        <f aca="false">IF($E149="","",IF($M149,IF(AND($G149&gt;=EG$5,$G149&lt;EG$5+GanttPeriod),"◆",IF(AND($E149&gt;=EG$5,$E149&lt;EG$5+GanttPeriod),"◇","")),IF(AND(EG$5&lt;=$F149,EG$5+GanttPeriod-1&gt;=$E149),"━","")))</f>
        <v/>
      </c>
      <c r="EH149" s="69" t="str">
        <f aca="false">IF($E149="","",IF($M149,IF(AND($G149&gt;=EH$5,$G149&lt;EH$5+GanttPeriod),"◆",IF(AND($E149&gt;=EH$5,$E149&lt;EH$5+GanttPeriod),"◇","")),IF(AND(EH$5&lt;=$F149,EH$5+GanttPeriod-1&gt;=$E149),"━","")))</f>
        <v/>
      </c>
      <c r="EI149" s="69" t="str">
        <f aca="false">IF($E149="","",IF($M149,IF(AND($G149&gt;=EI$5,$G149&lt;EI$5+GanttPeriod),"◆",IF(AND($E149&gt;=EI$5,$E149&lt;EI$5+GanttPeriod),"◇","")),IF(AND(EI$5&lt;=$F149,EI$5+GanttPeriod-1&gt;=$E149),"━","")))</f>
        <v/>
      </c>
      <c r="EJ149" s="69" t="str">
        <f aca="false">IF($E149="","",IF($M149,IF(AND($G149&gt;=EJ$5,$G149&lt;EJ$5+GanttPeriod),"◆",IF(AND($E149&gt;=EJ$5,$E149&lt;EJ$5+GanttPeriod),"◇","")),IF(AND(EJ$5&lt;=$F149,EJ$5+GanttPeriod-1&gt;=$E149),"━","")))</f>
        <v/>
      </c>
      <c r="EK149" s="69" t="str">
        <f aca="false">IF($E149="","",IF($M149,IF(AND($G149&gt;=EK$5,$G149&lt;EK$5+GanttPeriod),"◆",IF(AND($E149&gt;=EK$5,$E149&lt;EK$5+GanttPeriod),"◇","")),IF(AND(EK$5&lt;=$F149,EK$5+GanttPeriod-1&gt;=$E149),"━","")))</f>
        <v/>
      </c>
      <c r="EL149" s="69" t="str">
        <f aca="false">IF($E149="","",IF($M149,IF(AND($G149&gt;=EL$5,$G149&lt;EL$5+GanttPeriod),"◆",IF(AND($E149&gt;=EL$5,$E149&lt;EL$5+GanttPeriod),"◇","")),IF(AND(EL$5&lt;=$F149,EL$5+GanttPeriod-1&gt;=$E149),"━","")))</f>
        <v/>
      </c>
      <c r="EM149" s="69" t="str">
        <f aca="false">IF($E149="","",IF($M149,IF(AND($G149&gt;=EM$5,$G149&lt;EM$5+GanttPeriod),"◆",IF(AND($E149&gt;=EM$5,$E149&lt;EM$5+GanttPeriod),"◇","")),IF(AND(EM$5&lt;=$F149,EM$5+GanttPeriod-1&gt;=$E149),"━","")))</f>
        <v/>
      </c>
      <c r="EN149" s="69" t="str">
        <f aca="false">IF($E149="","",IF($M149,IF(AND($G149&gt;=EN$5,$G149&lt;EN$5+GanttPeriod),"◆",IF(AND($E149&gt;=EN$5,$E149&lt;EN$5+GanttPeriod),"◇","")),IF(AND(EN$5&lt;=$F149,EN$5+GanttPeriod-1&gt;=$E149),"━","")))</f>
        <v/>
      </c>
      <c r="EO149" s="69" t="str">
        <f aca="false">IF($E149="","",IF($M149,IF(AND($G149&gt;=EO$5,$G149&lt;EO$5+GanttPeriod),"◆",IF(AND($E149&gt;=EO$5,$E149&lt;EO$5+GanttPeriod),"◇","")),IF(AND(EO$5&lt;=$F149,EO$5+GanttPeriod-1&gt;=$E149),"━","")))</f>
        <v/>
      </c>
      <c r="EP149" s="69" t="str">
        <f aca="false">IF($E149="","",IF($M149,IF(AND($G149&gt;=EP$5,$G149&lt;EP$5+GanttPeriod),"◆",IF(AND($E149&gt;=EP$5,$E149&lt;EP$5+GanttPeriod),"◇","")),IF(AND(EP$5&lt;=$F149,EP$5+GanttPeriod-1&gt;=$E149),"━","")))</f>
        <v/>
      </c>
      <c r="EQ149" s="69" t="str">
        <f aca="false">IF($E149="","",IF($M149,IF(AND($G149&gt;=EQ$5,$G149&lt;EQ$5+GanttPeriod),"◆",IF(AND($E149&gt;=EQ$5,$E149&lt;EQ$5+GanttPeriod),"◇","")),IF(AND(EQ$5&lt;=$F149,EQ$5+GanttPeriod-1&gt;=$E149),"━","")))</f>
        <v/>
      </c>
      <c r="ER149" s="69" t="str">
        <f aca="false">IF($E149="","",IF($M149,IF(AND($G149&gt;=ER$5,$G149&lt;ER$5+GanttPeriod),"◆",IF(AND($E149&gt;=ER$5,$E149&lt;ER$5+GanttPeriod),"◇","")),IF(AND(ER$5&lt;=$F149,ER$5+GanttPeriod-1&gt;=$E149),"━","")))</f>
        <v/>
      </c>
      <c r="ES149" s="69" t="str">
        <f aca="false">IF($E149="","",IF($M149,IF(AND($G149&gt;=ES$5,$G149&lt;ES$5+GanttPeriod),"◆",IF(AND($E149&gt;=ES$5,$E149&lt;ES$5+GanttPeriod),"◇","")),IF(AND(ES$5&lt;=$F149,ES$5+GanttPeriod-1&gt;=$E149),"━","")))</f>
        <v/>
      </c>
      <c r="ET149" s="69" t="str">
        <f aca="false">IF($E149="","",IF($M149,IF(AND($G149&gt;=ET$5,$G149&lt;ET$5+GanttPeriod),"◆",IF(AND($E149&gt;=ET$5,$E149&lt;ET$5+GanttPeriod),"◇","")),IF(AND(ET$5&lt;=$F149,ET$5+GanttPeriod-1&gt;=$E149),"━","")))</f>
        <v/>
      </c>
      <c r="EU149" s="69" t="str">
        <f aca="false">IF($E149="","",IF($M149,IF(AND($G149&gt;=EU$5,$G149&lt;EU$5+GanttPeriod),"◆",IF(AND($E149&gt;=EU$5,$E149&lt;EU$5+GanttPeriod),"◇","")),IF(AND(EU$5&lt;=$F149,EU$5+GanttPeriod-1&gt;=$E149),"━","")))</f>
        <v/>
      </c>
      <c r="EV149" s="69" t="str">
        <f aca="false">IF($E149="","",IF($M149,IF(AND($G149&gt;=EV$5,$G149&lt;EV$5+GanttPeriod),"◆",IF(AND($E149&gt;=EV$5,$E149&lt;EV$5+GanttPeriod),"◇","")),IF(AND(EV$5&lt;=$F149,EV$5+GanttPeriod-1&gt;=$E149),"━","")))</f>
        <v/>
      </c>
      <c r="EW149" s="69" t="str">
        <f aca="false">IF($E149="","",IF($M149,IF(AND($G149&gt;=EW$5,$G149&lt;EW$5+GanttPeriod),"◆",IF(AND($E149&gt;=EW$5,$E149&lt;EW$5+GanttPeriod),"◇","")),IF(AND(EW$5&lt;=$F149,EW$5+GanttPeriod-1&gt;=$E149),"━","")))</f>
        <v/>
      </c>
      <c r="EX149" s="69" t="str">
        <f aca="false">IF($E149="","",IF($M149,IF(AND($G149&gt;=EX$5,$G149&lt;EX$5+GanttPeriod),"◆",IF(AND($E149&gt;=EX$5,$E149&lt;EX$5+GanttPeriod),"◇","")),IF(AND(EX$5&lt;=$F149,EX$5+GanttPeriod-1&gt;=$E149),"━","")))</f>
        <v/>
      </c>
      <c r="EY149" s="69" t="str">
        <f aca="false">IF($E149="","",IF($M149,IF(AND($G149&gt;=EY$5,$G149&lt;EY$5+GanttPeriod),"◆",IF(AND($E149&gt;=EY$5,$E149&lt;EY$5+GanttPeriod),"◇","")),IF(AND(EY$5&lt;=$F149,EY$5+GanttPeriod-1&gt;=$E149),"━","")))</f>
        <v/>
      </c>
      <c r="EZ149" s="69" t="str">
        <f aca="false">IF($E149="","",IF($M149,IF(AND($G149&gt;=EZ$5,$G149&lt;EZ$5+GanttPeriod),"◆",IF(AND($E149&gt;=EZ$5,$E149&lt;EZ$5+GanttPeriod),"◇","")),IF(AND(EZ$5&lt;=$F149,EZ$5+GanttPeriod-1&gt;=$E149),"━","")))</f>
        <v/>
      </c>
      <c r="FA149" s="69" t="str">
        <f aca="false">IF($E149="","",IF($M149,IF(AND($G149&gt;=FA$5,$G149&lt;FA$5+GanttPeriod),"◆",IF(AND($E149&gt;=FA$5,$E149&lt;FA$5+GanttPeriod),"◇","")),IF(AND(FA$5&lt;=$F149,FA$5+GanttPeriod-1&gt;=$E149),"━","")))</f>
        <v/>
      </c>
      <c r="FB149" s="69" t="str">
        <f aca="false">IF($E149="","",IF($M149,IF(AND($G149&gt;=FB$5,$G149&lt;FB$5+GanttPeriod),"◆",IF(AND($E149&gt;=FB$5,$E149&lt;FB$5+GanttPeriod),"◇","")),IF(AND(FB$5&lt;=$F149,FB$5+GanttPeriod-1&gt;=$E149),"━","")))</f>
        <v/>
      </c>
      <c r="FC149" s="69" t="str">
        <f aca="false">IF($E149="","",IF($M149,IF(AND($G149&gt;=FC$5,$G149&lt;FC$5+GanttPeriod),"◆",IF(AND($E149&gt;=FC$5,$E149&lt;FC$5+GanttPeriod),"◇","")),IF(AND(FC$5&lt;=$F149,FC$5+GanttPeriod-1&gt;=$E149),"━","")))</f>
        <v/>
      </c>
      <c r="FD149" s="69" t="str">
        <f aca="false">IF($E149="","",IF($M149,IF(AND($G149&gt;=FD$5,$G149&lt;FD$5+GanttPeriod),"◆",IF(AND($E149&gt;=FD$5,$E149&lt;FD$5+GanttPeriod),"◇","")),IF(AND(FD$5&lt;=$F149,FD$5+GanttPeriod-1&gt;=$E149),"━","")))</f>
        <v/>
      </c>
      <c r="FE149" s="69" t="str">
        <f aca="false">IF($E149="","",IF($M149,IF(AND($G149&gt;=FE$5,$G149&lt;FE$5+GanttPeriod),"◆",IF(AND($E149&gt;=FE$5,$E149&lt;FE$5+GanttPeriod),"◇","")),IF(AND(FE$5&lt;=$F149,FE$5+GanttPeriod-1&gt;=$E149),"━","")))</f>
        <v/>
      </c>
      <c r="FF149" s="69" t="str">
        <f aca="false">IF($E149="","",IF($M149,IF(AND($G149&gt;=FF$5,$G149&lt;FF$5+GanttPeriod),"◆",IF(AND($E149&gt;=FF$5,$E149&lt;FF$5+GanttPeriod),"◇","")),IF(AND(FF$5&lt;=$F149,FF$5+GanttPeriod-1&gt;=$E149),"━","")))</f>
        <v/>
      </c>
      <c r="FG149" s="69" t="str">
        <f aca="false">IF($E149="","",IF($M149,IF(AND($G149&gt;=FG$5,$G149&lt;FG$5+GanttPeriod),"◆",IF(AND($E149&gt;=FG$5,$E149&lt;FG$5+GanttPeriod),"◇","")),IF(AND(FG$5&lt;=$F149,FG$5+GanttPeriod-1&gt;=$E149),"━","")))</f>
        <v/>
      </c>
      <c r="FH149" s="69" t="str">
        <f aca="false">IF($E149="","",IF($M149,IF(AND($G149&gt;=FH$5,$G149&lt;FH$5+GanttPeriod),"◆",IF(AND($E149&gt;=FH$5,$E149&lt;FH$5+GanttPeriod),"◇","")),IF(AND(FH$5&lt;=$F149,FH$5+GanttPeriod-1&gt;=$E149),"━","")))</f>
        <v/>
      </c>
      <c r="FI149" s="69" t="str">
        <f aca="false">IF($E149="","",IF($M149,IF(AND($G149&gt;=FI$5,$G149&lt;FI$5+GanttPeriod),"◆",IF(AND($E149&gt;=FI$5,$E149&lt;FI$5+GanttPeriod),"◇","")),IF(AND(FI$5&lt;=$F149,FI$5+GanttPeriod-1&gt;=$E149),"━","")))</f>
        <v/>
      </c>
      <c r="FJ149" s="69" t="str">
        <f aca="false">IF($E149="","",IF($M149,IF(AND($G149&gt;=FJ$5,$G149&lt;FJ$5+GanttPeriod),"◆",IF(AND($E149&gt;=FJ$5,$E149&lt;FJ$5+GanttPeriod),"◇","")),IF(AND(FJ$5&lt;=$F149,FJ$5+GanttPeriod-1&gt;=$E149),"━","")))</f>
        <v/>
      </c>
      <c r="FK149" s="69" t="str">
        <f aca="false">IF($E149="","",IF($M149,IF(AND($G149&gt;=FK$5,$G149&lt;FK$5+GanttPeriod),"◆",IF(AND($E149&gt;=FK$5,$E149&lt;FK$5+GanttPeriod),"◇","")),IF(AND(FK$5&lt;=$F149,FK$5+GanttPeriod-1&gt;=$E149),"━","")))</f>
        <v/>
      </c>
      <c r="FL149" s="69" t="str">
        <f aca="false">IF($E149="","",IF($M149,IF(AND($G149&gt;=FL$5,$G149&lt;FL$5+GanttPeriod),"◆",IF(AND($E149&gt;=FL$5,$E149&lt;FL$5+GanttPeriod),"◇","")),IF(AND(FL$5&lt;=$F149,FL$5+GanttPeriod-1&gt;=$E149),"━","")))</f>
        <v/>
      </c>
      <c r="FM149" s="69" t="str">
        <f aca="false">IF($E149="","",IF($M149,IF(AND($G149&gt;=FM$5,$G149&lt;FM$5+GanttPeriod),"◆",IF(AND($E149&gt;=FM$5,$E149&lt;FM$5+GanttPeriod),"◇","")),IF(AND(FM$5&lt;=$F149,FM$5+GanttPeriod-1&gt;=$E149),"━","")))</f>
        <v/>
      </c>
    </row>
    <row r="150" customFormat="false" ht="15" hidden="false" customHeight="false" outlineLevel="0" collapsed="false">
      <c r="A150" s="62" t="str">
        <f aca="false">IF(Tasks!$D150="","",Tasks!$A150)</f>
        <v/>
      </c>
      <c r="B150" s="62" t="str">
        <f aca="false">IF(Tasks!$D150="","",Tasks!$B150)</f>
        <v/>
      </c>
      <c r="C150" s="63" t="str">
        <f aca="false">IF(Tasks!$D150="","",REPT("    ",Tasks!$AE150-1)&amp;Tasks!$D150)</f>
        <v/>
      </c>
      <c r="D150" s="62" t="str">
        <f aca="false">IF(Tasks!$D150="","",IF(Tasks!$AI150,NETWORKDAYS.INTL(Tasks!$R150,Tasks!$S150,WorkWeek,Holidays),N(Tasks!$F150)))</f>
        <v/>
      </c>
      <c r="E150" s="64" t="str">
        <f aca="false">IF(Tasks!$D150="","",Tasks!$N150)</f>
        <v/>
      </c>
      <c r="F150" s="64" t="str">
        <f aca="false">IF(Tasks!$D150="","",Tasks!$O150)</f>
        <v/>
      </c>
      <c r="G150" s="64" t="str">
        <f aca="false">IF(Tasks!$D150="","",Tasks!$R150)</f>
        <v/>
      </c>
      <c r="H150" s="64" t="str">
        <f aca="false">IF(Tasks!$D150="","",Tasks!$S150)</f>
        <v/>
      </c>
      <c r="I150" s="65" t="str">
        <f aca="false">IF(Tasks!$D150="","",Tasks!$V150)</f>
        <v/>
      </c>
      <c r="J150" s="63" t="str">
        <f aca="false">IF(Tasks!$D150="","",Tasks!$X150&amp;"")</f>
        <v/>
      </c>
      <c r="K150" s="66" t="str">
        <f aca="false">IF(Tasks!$D150="","",Tasks!$W150)</f>
        <v/>
      </c>
      <c r="L150" s="67" t="b">
        <f aca="false">IF(Tasks!$D150="",FALSE(),Tasks!$AI150)</f>
        <v>0</v>
      </c>
      <c r="M150" s="67" t="b">
        <f aca="false">AND(Tasks!$AJ150=1,N(Tasks!$F150)=0)</f>
        <v>0</v>
      </c>
      <c r="N150" s="68" t="n">
        <f aca="false">IF(AND(Tasks!$AJ150=1,NOT($M150),N($I150)&gt;0),$G150,0)</f>
        <v>0</v>
      </c>
      <c r="O150" s="68" t="n">
        <f aca="false">IF($N150=0,0,IF($I150&gt;=1,$H150,MAX($N150,$G150+ROUND(($H150-$G150+1)*$I150,0)-1)))</f>
        <v>0</v>
      </c>
      <c r="P150" s="68" t="n">
        <f aca="false">IF(OR(Tasks!$AJ150&lt;&gt;1,$M150,N($I150)&gt;=1),0,IF($O150&gt;0,$O150+1,$G150))</f>
        <v>0</v>
      </c>
      <c r="Q150" s="68" t="n">
        <f aca="false">IF($P150=0,0,$H150)</f>
        <v>0</v>
      </c>
      <c r="R150" s="67" t="b">
        <f aca="false">AND(Tasks!$D150&lt;&gt;"",N(Tasks!$T150)&gt;0)</f>
        <v>0</v>
      </c>
      <c r="T150" s="69" t="str">
        <f aca="false">IF($E150="","",IF($M150,IF(AND($G150&gt;=T$5,$G150&lt;T$5+GanttPeriod),"◆",IF(AND($E150&gt;=T$5,$E150&lt;T$5+GanttPeriod),"◇","")),IF(AND(T$5&lt;=$F150,T$5+GanttPeriod-1&gt;=$E150),"━","")))</f>
        <v/>
      </c>
      <c r="U150" s="69" t="str">
        <f aca="false">IF($E150="","",IF($M150,IF(AND($G150&gt;=U$5,$G150&lt;U$5+GanttPeriod),"◆",IF(AND($E150&gt;=U$5,$E150&lt;U$5+GanttPeriod),"◇","")),IF(AND(U$5&lt;=$F150,U$5+GanttPeriod-1&gt;=$E150),"━","")))</f>
        <v/>
      </c>
      <c r="V150" s="69" t="str">
        <f aca="false">IF($E150="","",IF($M150,IF(AND($G150&gt;=V$5,$G150&lt;V$5+GanttPeriod),"◆",IF(AND($E150&gt;=V$5,$E150&lt;V$5+GanttPeriod),"◇","")),IF(AND(V$5&lt;=$F150,V$5+GanttPeriod-1&gt;=$E150),"━","")))</f>
        <v/>
      </c>
      <c r="W150" s="69" t="str">
        <f aca="false">IF($E150="","",IF($M150,IF(AND($G150&gt;=W$5,$G150&lt;W$5+GanttPeriod),"◆",IF(AND($E150&gt;=W$5,$E150&lt;W$5+GanttPeriod),"◇","")),IF(AND(W$5&lt;=$F150,W$5+GanttPeriod-1&gt;=$E150),"━","")))</f>
        <v/>
      </c>
      <c r="X150" s="69" t="str">
        <f aca="false">IF($E150="","",IF($M150,IF(AND($G150&gt;=X$5,$G150&lt;X$5+GanttPeriod),"◆",IF(AND($E150&gt;=X$5,$E150&lt;X$5+GanttPeriod),"◇","")),IF(AND(X$5&lt;=$F150,X$5+GanttPeriod-1&gt;=$E150),"━","")))</f>
        <v/>
      </c>
      <c r="Y150" s="69" t="str">
        <f aca="false">IF($E150="","",IF($M150,IF(AND($G150&gt;=Y$5,$G150&lt;Y$5+GanttPeriod),"◆",IF(AND($E150&gt;=Y$5,$E150&lt;Y$5+GanttPeriod),"◇","")),IF(AND(Y$5&lt;=$F150,Y$5+GanttPeriod-1&gt;=$E150),"━","")))</f>
        <v/>
      </c>
      <c r="Z150" s="69" t="str">
        <f aca="false">IF($E150="","",IF($M150,IF(AND($G150&gt;=Z$5,$G150&lt;Z$5+GanttPeriod),"◆",IF(AND($E150&gt;=Z$5,$E150&lt;Z$5+GanttPeriod),"◇","")),IF(AND(Z$5&lt;=$F150,Z$5+GanttPeriod-1&gt;=$E150),"━","")))</f>
        <v/>
      </c>
      <c r="AA150" s="69" t="str">
        <f aca="false">IF($E150="","",IF($M150,IF(AND($G150&gt;=AA$5,$G150&lt;AA$5+GanttPeriod),"◆",IF(AND($E150&gt;=AA$5,$E150&lt;AA$5+GanttPeriod),"◇","")),IF(AND(AA$5&lt;=$F150,AA$5+GanttPeriod-1&gt;=$E150),"━","")))</f>
        <v/>
      </c>
      <c r="AB150" s="69" t="str">
        <f aca="false">IF($E150="","",IF($M150,IF(AND($G150&gt;=AB$5,$G150&lt;AB$5+GanttPeriod),"◆",IF(AND($E150&gt;=AB$5,$E150&lt;AB$5+GanttPeriod),"◇","")),IF(AND(AB$5&lt;=$F150,AB$5+GanttPeriod-1&gt;=$E150),"━","")))</f>
        <v/>
      </c>
      <c r="AC150" s="69" t="str">
        <f aca="false">IF($E150="","",IF($M150,IF(AND($G150&gt;=AC$5,$G150&lt;AC$5+GanttPeriod),"◆",IF(AND($E150&gt;=AC$5,$E150&lt;AC$5+GanttPeriod),"◇","")),IF(AND(AC$5&lt;=$F150,AC$5+GanttPeriod-1&gt;=$E150),"━","")))</f>
        <v/>
      </c>
      <c r="AD150" s="69" t="str">
        <f aca="false">IF($E150="","",IF($M150,IF(AND($G150&gt;=AD$5,$G150&lt;AD$5+GanttPeriod),"◆",IF(AND($E150&gt;=AD$5,$E150&lt;AD$5+GanttPeriod),"◇","")),IF(AND(AD$5&lt;=$F150,AD$5+GanttPeriod-1&gt;=$E150),"━","")))</f>
        <v/>
      </c>
      <c r="AE150" s="69" t="str">
        <f aca="false">IF($E150="","",IF($M150,IF(AND($G150&gt;=AE$5,$G150&lt;AE$5+GanttPeriod),"◆",IF(AND($E150&gt;=AE$5,$E150&lt;AE$5+GanttPeriod),"◇","")),IF(AND(AE$5&lt;=$F150,AE$5+GanttPeriod-1&gt;=$E150),"━","")))</f>
        <v/>
      </c>
      <c r="AF150" s="69" t="str">
        <f aca="false">IF($E150="","",IF($M150,IF(AND($G150&gt;=AF$5,$G150&lt;AF$5+GanttPeriod),"◆",IF(AND($E150&gt;=AF$5,$E150&lt;AF$5+GanttPeriod),"◇","")),IF(AND(AF$5&lt;=$F150,AF$5+GanttPeriod-1&gt;=$E150),"━","")))</f>
        <v/>
      </c>
      <c r="AG150" s="69" t="str">
        <f aca="false">IF($E150="","",IF($M150,IF(AND($G150&gt;=AG$5,$G150&lt;AG$5+GanttPeriod),"◆",IF(AND($E150&gt;=AG$5,$E150&lt;AG$5+GanttPeriod),"◇","")),IF(AND(AG$5&lt;=$F150,AG$5+GanttPeriod-1&gt;=$E150),"━","")))</f>
        <v/>
      </c>
      <c r="AH150" s="69" t="str">
        <f aca="false">IF($E150="","",IF($M150,IF(AND($G150&gt;=AH$5,$G150&lt;AH$5+GanttPeriod),"◆",IF(AND($E150&gt;=AH$5,$E150&lt;AH$5+GanttPeriod),"◇","")),IF(AND(AH$5&lt;=$F150,AH$5+GanttPeriod-1&gt;=$E150),"━","")))</f>
        <v/>
      </c>
      <c r="AI150" s="69" t="str">
        <f aca="false">IF($E150="","",IF($M150,IF(AND($G150&gt;=AI$5,$G150&lt;AI$5+GanttPeriod),"◆",IF(AND($E150&gt;=AI$5,$E150&lt;AI$5+GanttPeriod),"◇","")),IF(AND(AI$5&lt;=$F150,AI$5+GanttPeriod-1&gt;=$E150),"━","")))</f>
        <v/>
      </c>
      <c r="AJ150" s="69" t="str">
        <f aca="false">IF($E150="","",IF($M150,IF(AND($G150&gt;=AJ$5,$G150&lt;AJ$5+GanttPeriod),"◆",IF(AND($E150&gt;=AJ$5,$E150&lt;AJ$5+GanttPeriod),"◇","")),IF(AND(AJ$5&lt;=$F150,AJ$5+GanttPeriod-1&gt;=$E150),"━","")))</f>
        <v/>
      </c>
      <c r="AK150" s="69" t="str">
        <f aca="false">IF($E150="","",IF($M150,IF(AND($G150&gt;=AK$5,$G150&lt;AK$5+GanttPeriod),"◆",IF(AND($E150&gt;=AK$5,$E150&lt;AK$5+GanttPeriod),"◇","")),IF(AND(AK$5&lt;=$F150,AK$5+GanttPeriod-1&gt;=$E150),"━","")))</f>
        <v/>
      </c>
      <c r="AL150" s="69" t="str">
        <f aca="false">IF($E150="","",IF($M150,IF(AND($G150&gt;=AL$5,$G150&lt;AL$5+GanttPeriod),"◆",IF(AND($E150&gt;=AL$5,$E150&lt;AL$5+GanttPeriod),"◇","")),IF(AND(AL$5&lt;=$F150,AL$5+GanttPeriod-1&gt;=$E150),"━","")))</f>
        <v/>
      </c>
      <c r="AM150" s="69" t="str">
        <f aca="false">IF($E150="","",IF($M150,IF(AND($G150&gt;=AM$5,$G150&lt;AM$5+GanttPeriod),"◆",IF(AND($E150&gt;=AM$5,$E150&lt;AM$5+GanttPeriod),"◇","")),IF(AND(AM$5&lt;=$F150,AM$5+GanttPeriod-1&gt;=$E150),"━","")))</f>
        <v/>
      </c>
      <c r="AN150" s="69" t="str">
        <f aca="false">IF($E150="","",IF($M150,IF(AND($G150&gt;=AN$5,$G150&lt;AN$5+GanttPeriod),"◆",IF(AND($E150&gt;=AN$5,$E150&lt;AN$5+GanttPeriod),"◇","")),IF(AND(AN$5&lt;=$F150,AN$5+GanttPeriod-1&gt;=$E150),"━","")))</f>
        <v/>
      </c>
      <c r="AO150" s="69" t="str">
        <f aca="false">IF($E150="","",IF($M150,IF(AND($G150&gt;=AO$5,$G150&lt;AO$5+GanttPeriod),"◆",IF(AND($E150&gt;=AO$5,$E150&lt;AO$5+GanttPeriod),"◇","")),IF(AND(AO$5&lt;=$F150,AO$5+GanttPeriod-1&gt;=$E150),"━","")))</f>
        <v/>
      </c>
      <c r="AP150" s="69" t="str">
        <f aca="false">IF($E150="","",IF($M150,IF(AND($G150&gt;=AP$5,$G150&lt;AP$5+GanttPeriod),"◆",IF(AND($E150&gt;=AP$5,$E150&lt;AP$5+GanttPeriod),"◇","")),IF(AND(AP$5&lt;=$F150,AP$5+GanttPeriod-1&gt;=$E150),"━","")))</f>
        <v/>
      </c>
      <c r="AQ150" s="69" t="str">
        <f aca="false">IF($E150="","",IF($M150,IF(AND($G150&gt;=AQ$5,$G150&lt;AQ$5+GanttPeriod),"◆",IF(AND($E150&gt;=AQ$5,$E150&lt;AQ$5+GanttPeriod),"◇","")),IF(AND(AQ$5&lt;=$F150,AQ$5+GanttPeriod-1&gt;=$E150),"━","")))</f>
        <v/>
      </c>
      <c r="AR150" s="69" t="str">
        <f aca="false">IF($E150="","",IF($M150,IF(AND($G150&gt;=AR$5,$G150&lt;AR$5+GanttPeriod),"◆",IF(AND($E150&gt;=AR$5,$E150&lt;AR$5+GanttPeriod),"◇","")),IF(AND(AR$5&lt;=$F150,AR$5+GanttPeriod-1&gt;=$E150),"━","")))</f>
        <v/>
      </c>
      <c r="AS150" s="69" t="str">
        <f aca="false">IF($E150="","",IF($M150,IF(AND($G150&gt;=AS$5,$G150&lt;AS$5+GanttPeriod),"◆",IF(AND($E150&gt;=AS$5,$E150&lt;AS$5+GanttPeriod),"◇","")),IF(AND(AS$5&lt;=$F150,AS$5+GanttPeriod-1&gt;=$E150),"━","")))</f>
        <v/>
      </c>
      <c r="AT150" s="69" t="str">
        <f aca="false">IF($E150="","",IF($M150,IF(AND($G150&gt;=AT$5,$G150&lt;AT$5+GanttPeriod),"◆",IF(AND($E150&gt;=AT$5,$E150&lt;AT$5+GanttPeriod),"◇","")),IF(AND(AT$5&lt;=$F150,AT$5+GanttPeriod-1&gt;=$E150),"━","")))</f>
        <v/>
      </c>
      <c r="AU150" s="69" t="str">
        <f aca="false">IF($E150="","",IF($M150,IF(AND($G150&gt;=AU$5,$G150&lt;AU$5+GanttPeriod),"◆",IF(AND($E150&gt;=AU$5,$E150&lt;AU$5+GanttPeriod),"◇","")),IF(AND(AU$5&lt;=$F150,AU$5+GanttPeriod-1&gt;=$E150),"━","")))</f>
        <v/>
      </c>
      <c r="AV150" s="69" t="str">
        <f aca="false">IF($E150="","",IF($M150,IF(AND($G150&gt;=AV$5,$G150&lt;AV$5+GanttPeriod),"◆",IF(AND($E150&gt;=AV$5,$E150&lt;AV$5+GanttPeriod),"◇","")),IF(AND(AV$5&lt;=$F150,AV$5+GanttPeriod-1&gt;=$E150),"━","")))</f>
        <v/>
      </c>
      <c r="AW150" s="69" t="str">
        <f aca="false">IF($E150="","",IF($M150,IF(AND($G150&gt;=AW$5,$G150&lt;AW$5+GanttPeriod),"◆",IF(AND($E150&gt;=AW$5,$E150&lt;AW$5+GanttPeriod),"◇","")),IF(AND(AW$5&lt;=$F150,AW$5+GanttPeriod-1&gt;=$E150),"━","")))</f>
        <v/>
      </c>
      <c r="AX150" s="69" t="str">
        <f aca="false">IF($E150="","",IF($M150,IF(AND($G150&gt;=AX$5,$G150&lt;AX$5+GanttPeriod),"◆",IF(AND($E150&gt;=AX$5,$E150&lt;AX$5+GanttPeriod),"◇","")),IF(AND(AX$5&lt;=$F150,AX$5+GanttPeriod-1&gt;=$E150),"━","")))</f>
        <v/>
      </c>
      <c r="AY150" s="69" t="str">
        <f aca="false">IF($E150="","",IF($M150,IF(AND($G150&gt;=AY$5,$G150&lt;AY$5+GanttPeriod),"◆",IF(AND($E150&gt;=AY$5,$E150&lt;AY$5+GanttPeriod),"◇","")),IF(AND(AY$5&lt;=$F150,AY$5+GanttPeriod-1&gt;=$E150),"━","")))</f>
        <v/>
      </c>
      <c r="AZ150" s="69" t="str">
        <f aca="false">IF($E150="","",IF($M150,IF(AND($G150&gt;=AZ$5,$G150&lt;AZ$5+GanttPeriod),"◆",IF(AND($E150&gt;=AZ$5,$E150&lt;AZ$5+GanttPeriod),"◇","")),IF(AND(AZ$5&lt;=$F150,AZ$5+GanttPeriod-1&gt;=$E150),"━","")))</f>
        <v/>
      </c>
      <c r="BA150" s="69" t="str">
        <f aca="false">IF($E150="","",IF($M150,IF(AND($G150&gt;=BA$5,$G150&lt;BA$5+GanttPeriod),"◆",IF(AND($E150&gt;=BA$5,$E150&lt;BA$5+GanttPeriod),"◇","")),IF(AND(BA$5&lt;=$F150,BA$5+GanttPeriod-1&gt;=$E150),"━","")))</f>
        <v/>
      </c>
      <c r="BB150" s="69" t="str">
        <f aca="false">IF($E150="","",IF($M150,IF(AND($G150&gt;=BB$5,$G150&lt;BB$5+GanttPeriod),"◆",IF(AND($E150&gt;=BB$5,$E150&lt;BB$5+GanttPeriod),"◇","")),IF(AND(BB$5&lt;=$F150,BB$5+GanttPeriod-1&gt;=$E150),"━","")))</f>
        <v/>
      </c>
      <c r="BC150" s="69" t="str">
        <f aca="false">IF($E150="","",IF($M150,IF(AND($G150&gt;=BC$5,$G150&lt;BC$5+GanttPeriod),"◆",IF(AND($E150&gt;=BC$5,$E150&lt;BC$5+GanttPeriod),"◇","")),IF(AND(BC$5&lt;=$F150,BC$5+GanttPeriod-1&gt;=$E150),"━","")))</f>
        <v/>
      </c>
      <c r="BD150" s="69" t="str">
        <f aca="false">IF($E150="","",IF($M150,IF(AND($G150&gt;=BD$5,$G150&lt;BD$5+GanttPeriod),"◆",IF(AND($E150&gt;=BD$5,$E150&lt;BD$5+GanttPeriod),"◇","")),IF(AND(BD$5&lt;=$F150,BD$5+GanttPeriod-1&gt;=$E150),"━","")))</f>
        <v/>
      </c>
      <c r="BE150" s="69" t="str">
        <f aca="false">IF($E150="","",IF($M150,IF(AND($G150&gt;=BE$5,$G150&lt;BE$5+GanttPeriod),"◆",IF(AND($E150&gt;=BE$5,$E150&lt;BE$5+GanttPeriod),"◇","")),IF(AND(BE$5&lt;=$F150,BE$5+GanttPeriod-1&gt;=$E150),"━","")))</f>
        <v/>
      </c>
      <c r="BF150" s="69" t="str">
        <f aca="false">IF($E150="","",IF($M150,IF(AND($G150&gt;=BF$5,$G150&lt;BF$5+GanttPeriod),"◆",IF(AND($E150&gt;=BF$5,$E150&lt;BF$5+GanttPeriod),"◇","")),IF(AND(BF$5&lt;=$F150,BF$5+GanttPeriod-1&gt;=$E150),"━","")))</f>
        <v/>
      </c>
      <c r="BG150" s="69" t="str">
        <f aca="false">IF($E150="","",IF($M150,IF(AND($G150&gt;=BG$5,$G150&lt;BG$5+GanttPeriod),"◆",IF(AND($E150&gt;=BG$5,$E150&lt;BG$5+GanttPeriod),"◇","")),IF(AND(BG$5&lt;=$F150,BG$5+GanttPeriod-1&gt;=$E150),"━","")))</f>
        <v/>
      </c>
      <c r="BH150" s="69" t="str">
        <f aca="false">IF($E150="","",IF($M150,IF(AND($G150&gt;=BH$5,$G150&lt;BH$5+GanttPeriod),"◆",IF(AND($E150&gt;=BH$5,$E150&lt;BH$5+GanttPeriod),"◇","")),IF(AND(BH$5&lt;=$F150,BH$5+GanttPeriod-1&gt;=$E150),"━","")))</f>
        <v/>
      </c>
      <c r="BI150" s="69" t="str">
        <f aca="false">IF($E150="","",IF($M150,IF(AND($G150&gt;=BI$5,$G150&lt;BI$5+GanttPeriod),"◆",IF(AND($E150&gt;=BI$5,$E150&lt;BI$5+GanttPeriod),"◇","")),IF(AND(BI$5&lt;=$F150,BI$5+GanttPeriod-1&gt;=$E150),"━","")))</f>
        <v/>
      </c>
      <c r="BJ150" s="69" t="str">
        <f aca="false">IF($E150="","",IF($M150,IF(AND($G150&gt;=BJ$5,$G150&lt;BJ$5+GanttPeriod),"◆",IF(AND($E150&gt;=BJ$5,$E150&lt;BJ$5+GanttPeriod),"◇","")),IF(AND(BJ$5&lt;=$F150,BJ$5+GanttPeriod-1&gt;=$E150),"━","")))</f>
        <v/>
      </c>
      <c r="BK150" s="69" t="str">
        <f aca="false">IF($E150="","",IF($M150,IF(AND($G150&gt;=BK$5,$G150&lt;BK$5+GanttPeriod),"◆",IF(AND($E150&gt;=BK$5,$E150&lt;BK$5+GanttPeriod),"◇","")),IF(AND(BK$5&lt;=$F150,BK$5+GanttPeriod-1&gt;=$E150),"━","")))</f>
        <v/>
      </c>
      <c r="BL150" s="69" t="str">
        <f aca="false">IF($E150="","",IF($M150,IF(AND($G150&gt;=BL$5,$G150&lt;BL$5+GanttPeriod),"◆",IF(AND($E150&gt;=BL$5,$E150&lt;BL$5+GanttPeriod),"◇","")),IF(AND(BL$5&lt;=$F150,BL$5+GanttPeriod-1&gt;=$E150),"━","")))</f>
        <v/>
      </c>
      <c r="BM150" s="69" t="str">
        <f aca="false">IF($E150="","",IF($M150,IF(AND($G150&gt;=BM$5,$G150&lt;BM$5+GanttPeriod),"◆",IF(AND($E150&gt;=BM$5,$E150&lt;BM$5+GanttPeriod),"◇","")),IF(AND(BM$5&lt;=$F150,BM$5+GanttPeriod-1&gt;=$E150),"━","")))</f>
        <v/>
      </c>
      <c r="BN150" s="69" t="str">
        <f aca="false">IF($E150="","",IF($M150,IF(AND($G150&gt;=BN$5,$G150&lt;BN$5+GanttPeriod),"◆",IF(AND($E150&gt;=BN$5,$E150&lt;BN$5+GanttPeriod),"◇","")),IF(AND(BN$5&lt;=$F150,BN$5+GanttPeriod-1&gt;=$E150),"━","")))</f>
        <v/>
      </c>
      <c r="BO150" s="69" t="str">
        <f aca="false">IF($E150="","",IF($M150,IF(AND($G150&gt;=BO$5,$G150&lt;BO$5+GanttPeriod),"◆",IF(AND($E150&gt;=BO$5,$E150&lt;BO$5+GanttPeriod),"◇","")),IF(AND(BO$5&lt;=$F150,BO$5+GanttPeriod-1&gt;=$E150),"━","")))</f>
        <v/>
      </c>
      <c r="BP150" s="69" t="str">
        <f aca="false">IF($E150="","",IF($M150,IF(AND($G150&gt;=BP$5,$G150&lt;BP$5+GanttPeriod),"◆",IF(AND($E150&gt;=BP$5,$E150&lt;BP$5+GanttPeriod),"◇","")),IF(AND(BP$5&lt;=$F150,BP$5+GanttPeriod-1&gt;=$E150),"━","")))</f>
        <v/>
      </c>
      <c r="BQ150" s="69" t="str">
        <f aca="false">IF($E150="","",IF($M150,IF(AND($G150&gt;=BQ$5,$G150&lt;BQ$5+GanttPeriod),"◆",IF(AND($E150&gt;=BQ$5,$E150&lt;BQ$5+GanttPeriod),"◇","")),IF(AND(BQ$5&lt;=$F150,BQ$5+GanttPeriod-1&gt;=$E150),"━","")))</f>
        <v/>
      </c>
      <c r="BR150" s="69" t="str">
        <f aca="false">IF($E150="","",IF($M150,IF(AND($G150&gt;=BR$5,$G150&lt;BR$5+GanttPeriod),"◆",IF(AND($E150&gt;=BR$5,$E150&lt;BR$5+GanttPeriod),"◇","")),IF(AND(BR$5&lt;=$F150,BR$5+GanttPeriod-1&gt;=$E150),"━","")))</f>
        <v/>
      </c>
      <c r="BS150" s="69" t="str">
        <f aca="false">IF($E150="","",IF($M150,IF(AND($G150&gt;=BS$5,$G150&lt;BS$5+GanttPeriod),"◆",IF(AND($E150&gt;=BS$5,$E150&lt;BS$5+GanttPeriod),"◇","")),IF(AND(BS$5&lt;=$F150,BS$5+GanttPeriod-1&gt;=$E150),"━","")))</f>
        <v/>
      </c>
      <c r="BT150" s="69" t="str">
        <f aca="false">IF($E150="","",IF($M150,IF(AND($G150&gt;=BT$5,$G150&lt;BT$5+GanttPeriod),"◆",IF(AND($E150&gt;=BT$5,$E150&lt;BT$5+GanttPeriod),"◇","")),IF(AND(BT$5&lt;=$F150,BT$5+GanttPeriod-1&gt;=$E150),"━","")))</f>
        <v/>
      </c>
      <c r="BU150" s="69" t="str">
        <f aca="false">IF($E150="","",IF($M150,IF(AND($G150&gt;=BU$5,$G150&lt;BU$5+GanttPeriod),"◆",IF(AND($E150&gt;=BU$5,$E150&lt;BU$5+GanttPeriod),"◇","")),IF(AND(BU$5&lt;=$F150,BU$5+GanttPeriod-1&gt;=$E150),"━","")))</f>
        <v/>
      </c>
      <c r="BV150" s="69" t="str">
        <f aca="false">IF($E150="","",IF($M150,IF(AND($G150&gt;=BV$5,$G150&lt;BV$5+GanttPeriod),"◆",IF(AND($E150&gt;=BV$5,$E150&lt;BV$5+GanttPeriod),"◇","")),IF(AND(BV$5&lt;=$F150,BV$5+GanttPeriod-1&gt;=$E150),"━","")))</f>
        <v/>
      </c>
      <c r="BW150" s="69" t="str">
        <f aca="false">IF($E150="","",IF($M150,IF(AND($G150&gt;=BW$5,$G150&lt;BW$5+GanttPeriod),"◆",IF(AND($E150&gt;=BW$5,$E150&lt;BW$5+GanttPeriod),"◇","")),IF(AND(BW$5&lt;=$F150,BW$5+GanttPeriod-1&gt;=$E150),"━","")))</f>
        <v/>
      </c>
      <c r="BX150" s="69" t="str">
        <f aca="false">IF($E150="","",IF($M150,IF(AND($G150&gt;=BX$5,$G150&lt;BX$5+GanttPeriod),"◆",IF(AND($E150&gt;=BX$5,$E150&lt;BX$5+GanttPeriod),"◇","")),IF(AND(BX$5&lt;=$F150,BX$5+GanttPeriod-1&gt;=$E150),"━","")))</f>
        <v/>
      </c>
      <c r="BY150" s="69" t="str">
        <f aca="false">IF($E150="","",IF($M150,IF(AND($G150&gt;=BY$5,$G150&lt;BY$5+GanttPeriod),"◆",IF(AND($E150&gt;=BY$5,$E150&lt;BY$5+GanttPeriod),"◇","")),IF(AND(BY$5&lt;=$F150,BY$5+GanttPeriod-1&gt;=$E150),"━","")))</f>
        <v/>
      </c>
      <c r="BZ150" s="69" t="str">
        <f aca="false">IF($E150="","",IF($M150,IF(AND($G150&gt;=BZ$5,$G150&lt;BZ$5+GanttPeriod),"◆",IF(AND($E150&gt;=BZ$5,$E150&lt;BZ$5+GanttPeriod),"◇","")),IF(AND(BZ$5&lt;=$F150,BZ$5+GanttPeriod-1&gt;=$E150),"━","")))</f>
        <v/>
      </c>
      <c r="CA150" s="69" t="str">
        <f aca="false">IF($E150="","",IF($M150,IF(AND($G150&gt;=CA$5,$G150&lt;CA$5+GanttPeriod),"◆",IF(AND($E150&gt;=CA$5,$E150&lt;CA$5+GanttPeriod),"◇","")),IF(AND(CA$5&lt;=$F150,CA$5+GanttPeriod-1&gt;=$E150),"━","")))</f>
        <v/>
      </c>
      <c r="CB150" s="69" t="str">
        <f aca="false">IF($E150="","",IF($M150,IF(AND($G150&gt;=CB$5,$G150&lt;CB$5+GanttPeriod),"◆",IF(AND($E150&gt;=CB$5,$E150&lt;CB$5+GanttPeriod),"◇","")),IF(AND(CB$5&lt;=$F150,CB$5+GanttPeriod-1&gt;=$E150),"━","")))</f>
        <v/>
      </c>
      <c r="CC150" s="69" t="str">
        <f aca="false">IF($E150="","",IF($M150,IF(AND($G150&gt;=CC$5,$G150&lt;CC$5+GanttPeriod),"◆",IF(AND($E150&gt;=CC$5,$E150&lt;CC$5+GanttPeriod),"◇","")),IF(AND(CC$5&lt;=$F150,CC$5+GanttPeriod-1&gt;=$E150),"━","")))</f>
        <v/>
      </c>
      <c r="CD150" s="69" t="str">
        <f aca="false">IF($E150="","",IF($M150,IF(AND($G150&gt;=CD$5,$G150&lt;CD$5+GanttPeriod),"◆",IF(AND($E150&gt;=CD$5,$E150&lt;CD$5+GanttPeriod),"◇","")),IF(AND(CD$5&lt;=$F150,CD$5+GanttPeriod-1&gt;=$E150),"━","")))</f>
        <v/>
      </c>
      <c r="CE150" s="69" t="str">
        <f aca="false">IF($E150="","",IF($M150,IF(AND($G150&gt;=CE$5,$G150&lt;CE$5+GanttPeriod),"◆",IF(AND($E150&gt;=CE$5,$E150&lt;CE$5+GanttPeriod),"◇","")),IF(AND(CE$5&lt;=$F150,CE$5+GanttPeriod-1&gt;=$E150),"━","")))</f>
        <v/>
      </c>
      <c r="CF150" s="69" t="str">
        <f aca="false">IF($E150="","",IF($M150,IF(AND($G150&gt;=CF$5,$G150&lt;CF$5+GanttPeriod),"◆",IF(AND($E150&gt;=CF$5,$E150&lt;CF$5+GanttPeriod),"◇","")),IF(AND(CF$5&lt;=$F150,CF$5+GanttPeriod-1&gt;=$E150),"━","")))</f>
        <v/>
      </c>
      <c r="CG150" s="69" t="str">
        <f aca="false">IF($E150="","",IF($M150,IF(AND($G150&gt;=CG$5,$G150&lt;CG$5+GanttPeriod),"◆",IF(AND($E150&gt;=CG$5,$E150&lt;CG$5+GanttPeriod),"◇","")),IF(AND(CG$5&lt;=$F150,CG$5+GanttPeriod-1&gt;=$E150),"━","")))</f>
        <v/>
      </c>
      <c r="CH150" s="69" t="str">
        <f aca="false">IF($E150="","",IF($M150,IF(AND($G150&gt;=CH$5,$G150&lt;CH$5+GanttPeriod),"◆",IF(AND($E150&gt;=CH$5,$E150&lt;CH$5+GanttPeriod),"◇","")),IF(AND(CH$5&lt;=$F150,CH$5+GanttPeriod-1&gt;=$E150),"━","")))</f>
        <v/>
      </c>
      <c r="CI150" s="69" t="str">
        <f aca="false">IF($E150="","",IF($M150,IF(AND($G150&gt;=CI$5,$G150&lt;CI$5+GanttPeriod),"◆",IF(AND($E150&gt;=CI$5,$E150&lt;CI$5+GanttPeriod),"◇","")),IF(AND(CI$5&lt;=$F150,CI$5+GanttPeriod-1&gt;=$E150),"━","")))</f>
        <v/>
      </c>
      <c r="CJ150" s="69" t="str">
        <f aca="false">IF($E150="","",IF($M150,IF(AND($G150&gt;=CJ$5,$G150&lt;CJ$5+GanttPeriod),"◆",IF(AND($E150&gt;=CJ$5,$E150&lt;CJ$5+GanttPeriod),"◇","")),IF(AND(CJ$5&lt;=$F150,CJ$5+GanttPeriod-1&gt;=$E150),"━","")))</f>
        <v/>
      </c>
      <c r="CK150" s="69" t="str">
        <f aca="false">IF($E150="","",IF($M150,IF(AND($G150&gt;=CK$5,$G150&lt;CK$5+GanttPeriod),"◆",IF(AND($E150&gt;=CK$5,$E150&lt;CK$5+GanttPeriod),"◇","")),IF(AND(CK$5&lt;=$F150,CK$5+GanttPeriod-1&gt;=$E150),"━","")))</f>
        <v/>
      </c>
      <c r="CL150" s="69" t="str">
        <f aca="false">IF($E150="","",IF($M150,IF(AND($G150&gt;=CL$5,$G150&lt;CL$5+GanttPeriod),"◆",IF(AND($E150&gt;=CL$5,$E150&lt;CL$5+GanttPeriod),"◇","")),IF(AND(CL$5&lt;=$F150,CL$5+GanttPeriod-1&gt;=$E150),"━","")))</f>
        <v/>
      </c>
      <c r="CM150" s="69" t="str">
        <f aca="false">IF($E150="","",IF($M150,IF(AND($G150&gt;=CM$5,$G150&lt;CM$5+GanttPeriod),"◆",IF(AND($E150&gt;=CM$5,$E150&lt;CM$5+GanttPeriod),"◇","")),IF(AND(CM$5&lt;=$F150,CM$5+GanttPeriod-1&gt;=$E150),"━","")))</f>
        <v/>
      </c>
      <c r="CN150" s="69" t="str">
        <f aca="false">IF($E150="","",IF($M150,IF(AND($G150&gt;=CN$5,$G150&lt;CN$5+GanttPeriod),"◆",IF(AND($E150&gt;=CN$5,$E150&lt;CN$5+GanttPeriod),"◇","")),IF(AND(CN$5&lt;=$F150,CN$5+GanttPeriod-1&gt;=$E150),"━","")))</f>
        <v/>
      </c>
      <c r="CO150" s="69" t="str">
        <f aca="false">IF($E150="","",IF($M150,IF(AND($G150&gt;=CO$5,$G150&lt;CO$5+GanttPeriod),"◆",IF(AND($E150&gt;=CO$5,$E150&lt;CO$5+GanttPeriod),"◇","")),IF(AND(CO$5&lt;=$F150,CO$5+GanttPeriod-1&gt;=$E150),"━","")))</f>
        <v/>
      </c>
      <c r="CP150" s="69" t="str">
        <f aca="false">IF($E150="","",IF($M150,IF(AND($G150&gt;=CP$5,$G150&lt;CP$5+GanttPeriod),"◆",IF(AND($E150&gt;=CP$5,$E150&lt;CP$5+GanttPeriod),"◇","")),IF(AND(CP$5&lt;=$F150,CP$5+GanttPeriod-1&gt;=$E150),"━","")))</f>
        <v/>
      </c>
      <c r="CQ150" s="69" t="str">
        <f aca="false">IF($E150="","",IF($M150,IF(AND($G150&gt;=CQ$5,$G150&lt;CQ$5+GanttPeriod),"◆",IF(AND($E150&gt;=CQ$5,$E150&lt;CQ$5+GanttPeriod),"◇","")),IF(AND(CQ$5&lt;=$F150,CQ$5+GanttPeriod-1&gt;=$E150),"━","")))</f>
        <v/>
      </c>
      <c r="CR150" s="69" t="str">
        <f aca="false">IF($E150="","",IF($M150,IF(AND($G150&gt;=CR$5,$G150&lt;CR$5+GanttPeriod),"◆",IF(AND($E150&gt;=CR$5,$E150&lt;CR$5+GanttPeriod),"◇","")),IF(AND(CR$5&lt;=$F150,CR$5+GanttPeriod-1&gt;=$E150),"━","")))</f>
        <v/>
      </c>
      <c r="CS150" s="69" t="str">
        <f aca="false">IF($E150="","",IF($M150,IF(AND($G150&gt;=CS$5,$G150&lt;CS$5+GanttPeriod),"◆",IF(AND($E150&gt;=CS$5,$E150&lt;CS$5+GanttPeriod),"◇","")),IF(AND(CS$5&lt;=$F150,CS$5+GanttPeriod-1&gt;=$E150),"━","")))</f>
        <v/>
      </c>
      <c r="CT150" s="69" t="str">
        <f aca="false">IF($E150="","",IF($M150,IF(AND($G150&gt;=CT$5,$G150&lt;CT$5+GanttPeriod),"◆",IF(AND($E150&gt;=CT$5,$E150&lt;CT$5+GanttPeriod),"◇","")),IF(AND(CT$5&lt;=$F150,CT$5+GanttPeriod-1&gt;=$E150),"━","")))</f>
        <v/>
      </c>
      <c r="CU150" s="69" t="str">
        <f aca="false">IF($E150="","",IF($M150,IF(AND($G150&gt;=CU$5,$G150&lt;CU$5+GanttPeriod),"◆",IF(AND($E150&gt;=CU$5,$E150&lt;CU$5+GanttPeriod),"◇","")),IF(AND(CU$5&lt;=$F150,CU$5+GanttPeriod-1&gt;=$E150),"━","")))</f>
        <v/>
      </c>
      <c r="CV150" s="69" t="str">
        <f aca="false">IF($E150="","",IF($M150,IF(AND($G150&gt;=CV$5,$G150&lt;CV$5+GanttPeriod),"◆",IF(AND($E150&gt;=CV$5,$E150&lt;CV$5+GanttPeriod),"◇","")),IF(AND(CV$5&lt;=$F150,CV$5+GanttPeriod-1&gt;=$E150),"━","")))</f>
        <v/>
      </c>
      <c r="CW150" s="69" t="str">
        <f aca="false">IF($E150="","",IF($M150,IF(AND($G150&gt;=CW$5,$G150&lt;CW$5+GanttPeriod),"◆",IF(AND($E150&gt;=CW$5,$E150&lt;CW$5+GanttPeriod),"◇","")),IF(AND(CW$5&lt;=$F150,CW$5+GanttPeriod-1&gt;=$E150),"━","")))</f>
        <v/>
      </c>
      <c r="CX150" s="69" t="str">
        <f aca="false">IF($E150="","",IF($M150,IF(AND($G150&gt;=CX$5,$G150&lt;CX$5+GanttPeriod),"◆",IF(AND($E150&gt;=CX$5,$E150&lt;CX$5+GanttPeriod),"◇","")),IF(AND(CX$5&lt;=$F150,CX$5+GanttPeriod-1&gt;=$E150),"━","")))</f>
        <v/>
      </c>
      <c r="CY150" s="69" t="str">
        <f aca="false">IF($E150="","",IF($M150,IF(AND($G150&gt;=CY$5,$G150&lt;CY$5+GanttPeriod),"◆",IF(AND($E150&gt;=CY$5,$E150&lt;CY$5+GanttPeriod),"◇","")),IF(AND(CY$5&lt;=$F150,CY$5+GanttPeriod-1&gt;=$E150),"━","")))</f>
        <v/>
      </c>
      <c r="CZ150" s="69" t="str">
        <f aca="false">IF($E150="","",IF($M150,IF(AND($G150&gt;=CZ$5,$G150&lt;CZ$5+GanttPeriod),"◆",IF(AND($E150&gt;=CZ$5,$E150&lt;CZ$5+GanttPeriod),"◇","")),IF(AND(CZ$5&lt;=$F150,CZ$5+GanttPeriod-1&gt;=$E150),"━","")))</f>
        <v/>
      </c>
      <c r="DA150" s="69" t="str">
        <f aca="false">IF($E150="","",IF($M150,IF(AND($G150&gt;=DA$5,$G150&lt;DA$5+GanttPeriod),"◆",IF(AND($E150&gt;=DA$5,$E150&lt;DA$5+GanttPeriod),"◇","")),IF(AND(DA$5&lt;=$F150,DA$5+GanttPeriod-1&gt;=$E150),"━","")))</f>
        <v/>
      </c>
      <c r="DB150" s="69" t="str">
        <f aca="false">IF($E150="","",IF($M150,IF(AND($G150&gt;=DB$5,$G150&lt;DB$5+GanttPeriod),"◆",IF(AND($E150&gt;=DB$5,$E150&lt;DB$5+GanttPeriod),"◇","")),IF(AND(DB$5&lt;=$F150,DB$5+GanttPeriod-1&gt;=$E150),"━","")))</f>
        <v/>
      </c>
      <c r="DC150" s="69" t="str">
        <f aca="false">IF($E150="","",IF($M150,IF(AND($G150&gt;=DC$5,$G150&lt;DC$5+GanttPeriod),"◆",IF(AND($E150&gt;=DC$5,$E150&lt;DC$5+GanttPeriod),"◇","")),IF(AND(DC$5&lt;=$F150,DC$5+GanttPeriod-1&gt;=$E150),"━","")))</f>
        <v/>
      </c>
      <c r="DD150" s="69" t="str">
        <f aca="false">IF($E150="","",IF($M150,IF(AND($G150&gt;=DD$5,$G150&lt;DD$5+GanttPeriod),"◆",IF(AND($E150&gt;=DD$5,$E150&lt;DD$5+GanttPeriod),"◇","")),IF(AND(DD$5&lt;=$F150,DD$5+GanttPeriod-1&gt;=$E150),"━","")))</f>
        <v/>
      </c>
      <c r="DE150" s="69" t="str">
        <f aca="false">IF($E150="","",IF($M150,IF(AND($G150&gt;=DE$5,$G150&lt;DE$5+GanttPeriod),"◆",IF(AND($E150&gt;=DE$5,$E150&lt;DE$5+GanttPeriod),"◇","")),IF(AND(DE$5&lt;=$F150,DE$5+GanttPeriod-1&gt;=$E150),"━","")))</f>
        <v/>
      </c>
      <c r="DF150" s="69" t="str">
        <f aca="false">IF($E150="","",IF($M150,IF(AND($G150&gt;=DF$5,$G150&lt;DF$5+GanttPeriod),"◆",IF(AND($E150&gt;=DF$5,$E150&lt;DF$5+GanttPeriod),"◇","")),IF(AND(DF$5&lt;=$F150,DF$5+GanttPeriod-1&gt;=$E150),"━","")))</f>
        <v/>
      </c>
      <c r="DG150" s="69" t="str">
        <f aca="false">IF($E150="","",IF($M150,IF(AND($G150&gt;=DG$5,$G150&lt;DG$5+GanttPeriod),"◆",IF(AND($E150&gt;=DG$5,$E150&lt;DG$5+GanttPeriod),"◇","")),IF(AND(DG$5&lt;=$F150,DG$5+GanttPeriod-1&gt;=$E150),"━","")))</f>
        <v/>
      </c>
      <c r="DH150" s="69" t="str">
        <f aca="false">IF($E150="","",IF($M150,IF(AND($G150&gt;=DH$5,$G150&lt;DH$5+GanttPeriod),"◆",IF(AND($E150&gt;=DH$5,$E150&lt;DH$5+GanttPeriod),"◇","")),IF(AND(DH$5&lt;=$F150,DH$5+GanttPeriod-1&gt;=$E150),"━","")))</f>
        <v/>
      </c>
      <c r="DI150" s="69" t="str">
        <f aca="false">IF($E150="","",IF($M150,IF(AND($G150&gt;=DI$5,$G150&lt;DI$5+GanttPeriod),"◆",IF(AND($E150&gt;=DI$5,$E150&lt;DI$5+GanttPeriod),"◇","")),IF(AND(DI$5&lt;=$F150,DI$5+GanttPeriod-1&gt;=$E150),"━","")))</f>
        <v/>
      </c>
      <c r="DJ150" s="69" t="str">
        <f aca="false">IF($E150="","",IF($M150,IF(AND($G150&gt;=DJ$5,$G150&lt;DJ$5+GanttPeriod),"◆",IF(AND($E150&gt;=DJ$5,$E150&lt;DJ$5+GanttPeriod),"◇","")),IF(AND(DJ$5&lt;=$F150,DJ$5+GanttPeriod-1&gt;=$E150),"━","")))</f>
        <v/>
      </c>
      <c r="DK150" s="69" t="str">
        <f aca="false">IF($E150="","",IF($M150,IF(AND($G150&gt;=DK$5,$G150&lt;DK$5+GanttPeriod),"◆",IF(AND($E150&gt;=DK$5,$E150&lt;DK$5+GanttPeriod),"◇","")),IF(AND(DK$5&lt;=$F150,DK$5+GanttPeriod-1&gt;=$E150),"━","")))</f>
        <v/>
      </c>
      <c r="DL150" s="69" t="str">
        <f aca="false">IF($E150="","",IF($M150,IF(AND($G150&gt;=DL$5,$G150&lt;DL$5+GanttPeriod),"◆",IF(AND($E150&gt;=DL$5,$E150&lt;DL$5+GanttPeriod),"◇","")),IF(AND(DL$5&lt;=$F150,DL$5+GanttPeriod-1&gt;=$E150),"━","")))</f>
        <v/>
      </c>
      <c r="DM150" s="69" t="str">
        <f aca="false">IF($E150="","",IF($M150,IF(AND($G150&gt;=DM$5,$G150&lt;DM$5+GanttPeriod),"◆",IF(AND($E150&gt;=DM$5,$E150&lt;DM$5+GanttPeriod),"◇","")),IF(AND(DM$5&lt;=$F150,DM$5+GanttPeriod-1&gt;=$E150),"━","")))</f>
        <v/>
      </c>
      <c r="DN150" s="69" t="str">
        <f aca="false">IF($E150="","",IF($M150,IF(AND($G150&gt;=DN$5,$G150&lt;DN$5+GanttPeriod),"◆",IF(AND($E150&gt;=DN$5,$E150&lt;DN$5+GanttPeriod),"◇","")),IF(AND(DN$5&lt;=$F150,DN$5+GanttPeriod-1&gt;=$E150),"━","")))</f>
        <v/>
      </c>
      <c r="DO150" s="69" t="str">
        <f aca="false">IF($E150="","",IF($M150,IF(AND($G150&gt;=DO$5,$G150&lt;DO$5+GanttPeriod),"◆",IF(AND($E150&gt;=DO$5,$E150&lt;DO$5+GanttPeriod),"◇","")),IF(AND(DO$5&lt;=$F150,DO$5+GanttPeriod-1&gt;=$E150),"━","")))</f>
        <v/>
      </c>
      <c r="DP150" s="69" t="str">
        <f aca="false">IF($E150="","",IF($M150,IF(AND($G150&gt;=DP$5,$G150&lt;DP$5+GanttPeriod),"◆",IF(AND($E150&gt;=DP$5,$E150&lt;DP$5+GanttPeriod),"◇","")),IF(AND(DP$5&lt;=$F150,DP$5+GanttPeriod-1&gt;=$E150),"━","")))</f>
        <v/>
      </c>
      <c r="DQ150" s="69" t="str">
        <f aca="false">IF($E150="","",IF($M150,IF(AND($G150&gt;=DQ$5,$G150&lt;DQ$5+GanttPeriod),"◆",IF(AND($E150&gt;=DQ$5,$E150&lt;DQ$5+GanttPeriod),"◇","")),IF(AND(DQ$5&lt;=$F150,DQ$5+GanttPeriod-1&gt;=$E150),"━","")))</f>
        <v/>
      </c>
      <c r="DR150" s="69" t="str">
        <f aca="false">IF($E150="","",IF($M150,IF(AND($G150&gt;=DR$5,$G150&lt;DR$5+GanttPeriod),"◆",IF(AND($E150&gt;=DR$5,$E150&lt;DR$5+GanttPeriod),"◇","")),IF(AND(DR$5&lt;=$F150,DR$5+GanttPeriod-1&gt;=$E150),"━","")))</f>
        <v/>
      </c>
      <c r="DS150" s="69" t="str">
        <f aca="false">IF($E150="","",IF($M150,IF(AND($G150&gt;=DS$5,$G150&lt;DS$5+GanttPeriod),"◆",IF(AND($E150&gt;=DS$5,$E150&lt;DS$5+GanttPeriod),"◇","")),IF(AND(DS$5&lt;=$F150,DS$5+GanttPeriod-1&gt;=$E150),"━","")))</f>
        <v/>
      </c>
      <c r="DT150" s="69" t="str">
        <f aca="false">IF($E150="","",IF($M150,IF(AND($G150&gt;=DT$5,$G150&lt;DT$5+GanttPeriod),"◆",IF(AND($E150&gt;=DT$5,$E150&lt;DT$5+GanttPeriod),"◇","")),IF(AND(DT$5&lt;=$F150,DT$5+GanttPeriod-1&gt;=$E150),"━","")))</f>
        <v/>
      </c>
      <c r="DU150" s="69" t="str">
        <f aca="false">IF($E150="","",IF($M150,IF(AND($G150&gt;=DU$5,$G150&lt;DU$5+GanttPeriod),"◆",IF(AND($E150&gt;=DU$5,$E150&lt;DU$5+GanttPeriod),"◇","")),IF(AND(DU$5&lt;=$F150,DU$5+GanttPeriod-1&gt;=$E150),"━","")))</f>
        <v/>
      </c>
      <c r="DV150" s="69" t="str">
        <f aca="false">IF($E150="","",IF($M150,IF(AND($G150&gt;=DV$5,$G150&lt;DV$5+GanttPeriod),"◆",IF(AND($E150&gt;=DV$5,$E150&lt;DV$5+GanttPeriod),"◇","")),IF(AND(DV$5&lt;=$F150,DV$5+GanttPeriod-1&gt;=$E150),"━","")))</f>
        <v/>
      </c>
      <c r="DW150" s="69" t="str">
        <f aca="false">IF($E150="","",IF($M150,IF(AND($G150&gt;=DW$5,$G150&lt;DW$5+GanttPeriod),"◆",IF(AND($E150&gt;=DW$5,$E150&lt;DW$5+GanttPeriod),"◇","")),IF(AND(DW$5&lt;=$F150,DW$5+GanttPeriod-1&gt;=$E150),"━","")))</f>
        <v/>
      </c>
      <c r="DX150" s="69" t="str">
        <f aca="false">IF($E150="","",IF($M150,IF(AND($G150&gt;=DX$5,$G150&lt;DX$5+GanttPeriod),"◆",IF(AND($E150&gt;=DX$5,$E150&lt;DX$5+GanttPeriod),"◇","")),IF(AND(DX$5&lt;=$F150,DX$5+GanttPeriod-1&gt;=$E150),"━","")))</f>
        <v/>
      </c>
      <c r="DY150" s="69" t="str">
        <f aca="false">IF($E150="","",IF($M150,IF(AND($G150&gt;=DY$5,$G150&lt;DY$5+GanttPeriod),"◆",IF(AND($E150&gt;=DY$5,$E150&lt;DY$5+GanttPeriod),"◇","")),IF(AND(DY$5&lt;=$F150,DY$5+GanttPeriod-1&gt;=$E150),"━","")))</f>
        <v/>
      </c>
      <c r="DZ150" s="69" t="str">
        <f aca="false">IF($E150="","",IF($M150,IF(AND($G150&gt;=DZ$5,$G150&lt;DZ$5+GanttPeriod),"◆",IF(AND($E150&gt;=DZ$5,$E150&lt;DZ$5+GanttPeriod),"◇","")),IF(AND(DZ$5&lt;=$F150,DZ$5+GanttPeriod-1&gt;=$E150),"━","")))</f>
        <v/>
      </c>
      <c r="EA150" s="69" t="str">
        <f aca="false">IF($E150="","",IF($M150,IF(AND($G150&gt;=EA$5,$G150&lt;EA$5+GanttPeriod),"◆",IF(AND($E150&gt;=EA$5,$E150&lt;EA$5+GanttPeriod),"◇","")),IF(AND(EA$5&lt;=$F150,EA$5+GanttPeriod-1&gt;=$E150),"━","")))</f>
        <v/>
      </c>
      <c r="EB150" s="69" t="str">
        <f aca="false">IF($E150="","",IF($M150,IF(AND($G150&gt;=EB$5,$G150&lt;EB$5+GanttPeriod),"◆",IF(AND($E150&gt;=EB$5,$E150&lt;EB$5+GanttPeriod),"◇","")),IF(AND(EB$5&lt;=$F150,EB$5+GanttPeriod-1&gt;=$E150),"━","")))</f>
        <v/>
      </c>
      <c r="EC150" s="69" t="str">
        <f aca="false">IF($E150="","",IF($M150,IF(AND($G150&gt;=EC$5,$G150&lt;EC$5+GanttPeriod),"◆",IF(AND($E150&gt;=EC$5,$E150&lt;EC$5+GanttPeriod),"◇","")),IF(AND(EC$5&lt;=$F150,EC$5+GanttPeriod-1&gt;=$E150),"━","")))</f>
        <v/>
      </c>
      <c r="ED150" s="69" t="str">
        <f aca="false">IF($E150="","",IF($M150,IF(AND($G150&gt;=ED$5,$G150&lt;ED$5+GanttPeriod),"◆",IF(AND($E150&gt;=ED$5,$E150&lt;ED$5+GanttPeriod),"◇","")),IF(AND(ED$5&lt;=$F150,ED$5+GanttPeriod-1&gt;=$E150),"━","")))</f>
        <v/>
      </c>
      <c r="EE150" s="69" t="str">
        <f aca="false">IF($E150="","",IF($M150,IF(AND($G150&gt;=EE$5,$G150&lt;EE$5+GanttPeriod),"◆",IF(AND($E150&gt;=EE$5,$E150&lt;EE$5+GanttPeriod),"◇","")),IF(AND(EE$5&lt;=$F150,EE$5+GanttPeriod-1&gt;=$E150),"━","")))</f>
        <v/>
      </c>
      <c r="EF150" s="69" t="str">
        <f aca="false">IF($E150="","",IF($M150,IF(AND($G150&gt;=EF$5,$G150&lt;EF$5+GanttPeriod),"◆",IF(AND($E150&gt;=EF$5,$E150&lt;EF$5+GanttPeriod),"◇","")),IF(AND(EF$5&lt;=$F150,EF$5+GanttPeriod-1&gt;=$E150),"━","")))</f>
        <v/>
      </c>
      <c r="EG150" s="69" t="str">
        <f aca="false">IF($E150="","",IF($M150,IF(AND($G150&gt;=EG$5,$G150&lt;EG$5+GanttPeriod),"◆",IF(AND($E150&gt;=EG$5,$E150&lt;EG$5+GanttPeriod),"◇","")),IF(AND(EG$5&lt;=$F150,EG$5+GanttPeriod-1&gt;=$E150),"━","")))</f>
        <v/>
      </c>
      <c r="EH150" s="69" t="str">
        <f aca="false">IF($E150="","",IF($M150,IF(AND($G150&gt;=EH$5,$G150&lt;EH$5+GanttPeriod),"◆",IF(AND($E150&gt;=EH$5,$E150&lt;EH$5+GanttPeriod),"◇","")),IF(AND(EH$5&lt;=$F150,EH$5+GanttPeriod-1&gt;=$E150),"━","")))</f>
        <v/>
      </c>
      <c r="EI150" s="69" t="str">
        <f aca="false">IF($E150="","",IF($M150,IF(AND($G150&gt;=EI$5,$G150&lt;EI$5+GanttPeriod),"◆",IF(AND($E150&gt;=EI$5,$E150&lt;EI$5+GanttPeriod),"◇","")),IF(AND(EI$5&lt;=$F150,EI$5+GanttPeriod-1&gt;=$E150),"━","")))</f>
        <v/>
      </c>
      <c r="EJ150" s="69" t="str">
        <f aca="false">IF($E150="","",IF($M150,IF(AND($G150&gt;=EJ$5,$G150&lt;EJ$5+GanttPeriod),"◆",IF(AND($E150&gt;=EJ$5,$E150&lt;EJ$5+GanttPeriod),"◇","")),IF(AND(EJ$5&lt;=$F150,EJ$5+GanttPeriod-1&gt;=$E150),"━","")))</f>
        <v/>
      </c>
      <c r="EK150" s="69" t="str">
        <f aca="false">IF($E150="","",IF($M150,IF(AND($G150&gt;=EK$5,$G150&lt;EK$5+GanttPeriod),"◆",IF(AND($E150&gt;=EK$5,$E150&lt;EK$5+GanttPeriod),"◇","")),IF(AND(EK$5&lt;=$F150,EK$5+GanttPeriod-1&gt;=$E150),"━","")))</f>
        <v/>
      </c>
      <c r="EL150" s="69" t="str">
        <f aca="false">IF($E150="","",IF($M150,IF(AND($G150&gt;=EL$5,$G150&lt;EL$5+GanttPeriod),"◆",IF(AND($E150&gt;=EL$5,$E150&lt;EL$5+GanttPeriod),"◇","")),IF(AND(EL$5&lt;=$F150,EL$5+GanttPeriod-1&gt;=$E150),"━","")))</f>
        <v/>
      </c>
      <c r="EM150" s="69" t="str">
        <f aca="false">IF($E150="","",IF($M150,IF(AND($G150&gt;=EM$5,$G150&lt;EM$5+GanttPeriod),"◆",IF(AND($E150&gt;=EM$5,$E150&lt;EM$5+GanttPeriod),"◇","")),IF(AND(EM$5&lt;=$F150,EM$5+GanttPeriod-1&gt;=$E150),"━","")))</f>
        <v/>
      </c>
      <c r="EN150" s="69" t="str">
        <f aca="false">IF($E150="","",IF($M150,IF(AND($G150&gt;=EN$5,$G150&lt;EN$5+GanttPeriod),"◆",IF(AND($E150&gt;=EN$5,$E150&lt;EN$5+GanttPeriod),"◇","")),IF(AND(EN$5&lt;=$F150,EN$5+GanttPeriod-1&gt;=$E150),"━","")))</f>
        <v/>
      </c>
      <c r="EO150" s="69" t="str">
        <f aca="false">IF($E150="","",IF($M150,IF(AND($G150&gt;=EO$5,$G150&lt;EO$5+GanttPeriod),"◆",IF(AND($E150&gt;=EO$5,$E150&lt;EO$5+GanttPeriod),"◇","")),IF(AND(EO$5&lt;=$F150,EO$5+GanttPeriod-1&gt;=$E150),"━","")))</f>
        <v/>
      </c>
      <c r="EP150" s="69" t="str">
        <f aca="false">IF($E150="","",IF($M150,IF(AND($G150&gt;=EP$5,$G150&lt;EP$5+GanttPeriod),"◆",IF(AND($E150&gt;=EP$5,$E150&lt;EP$5+GanttPeriod),"◇","")),IF(AND(EP$5&lt;=$F150,EP$5+GanttPeriod-1&gt;=$E150),"━","")))</f>
        <v/>
      </c>
      <c r="EQ150" s="69" t="str">
        <f aca="false">IF($E150="","",IF($M150,IF(AND($G150&gt;=EQ$5,$G150&lt;EQ$5+GanttPeriod),"◆",IF(AND($E150&gt;=EQ$5,$E150&lt;EQ$5+GanttPeriod),"◇","")),IF(AND(EQ$5&lt;=$F150,EQ$5+GanttPeriod-1&gt;=$E150),"━","")))</f>
        <v/>
      </c>
      <c r="ER150" s="69" t="str">
        <f aca="false">IF($E150="","",IF($M150,IF(AND($G150&gt;=ER$5,$G150&lt;ER$5+GanttPeriod),"◆",IF(AND($E150&gt;=ER$5,$E150&lt;ER$5+GanttPeriod),"◇","")),IF(AND(ER$5&lt;=$F150,ER$5+GanttPeriod-1&gt;=$E150),"━","")))</f>
        <v/>
      </c>
      <c r="ES150" s="69" t="str">
        <f aca="false">IF($E150="","",IF($M150,IF(AND($G150&gt;=ES$5,$G150&lt;ES$5+GanttPeriod),"◆",IF(AND($E150&gt;=ES$5,$E150&lt;ES$5+GanttPeriod),"◇","")),IF(AND(ES$5&lt;=$F150,ES$5+GanttPeriod-1&gt;=$E150),"━","")))</f>
        <v/>
      </c>
      <c r="ET150" s="69" t="str">
        <f aca="false">IF($E150="","",IF($M150,IF(AND($G150&gt;=ET$5,$G150&lt;ET$5+GanttPeriod),"◆",IF(AND($E150&gt;=ET$5,$E150&lt;ET$5+GanttPeriod),"◇","")),IF(AND(ET$5&lt;=$F150,ET$5+GanttPeriod-1&gt;=$E150),"━","")))</f>
        <v/>
      </c>
      <c r="EU150" s="69" t="str">
        <f aca="false">IF($E150="","",IF($M150,IF(AND($G150&gt;=EU$5,$G150&lt;EU$5+GanttPeriod),"◆",IF(AND($E150&gt;=EU$5,$E150&lt;EU$5+GanttPeriod),"◇","")),IF(AND(EU$5&lt;=$F150,EU$5+GanttPeriod-1&gt;=$E150),"━","")))</f>
        <v/>
      </c>
      <c r="EV150" s="69" t="str">
        <f aca="false">IF($E150="","",IF($M150,IF(AND($G150&gt;=EV$5,$G150&lt;EV$5+GanttPeriod),"◆",IF(AND($E150&gt;=EV$5,$E150&lt;EV$5+GanttPeriod),"◇","")),IF(AND(EV$5&lt;=$F150,EV$5+GanttPeriod-1&gt;=$E150),"━","")))</f>
        <v/>
      </c>
      <c r="EW150" s="69" t="str">
        <f aca="false">IF($E150="","",IF($M150,IF(AND($G150&gt;=EW$5,$G150&lt;EW$5+GanttPeriod),"◆",IF(AND($E150&gt;=EW$5,$E150&lt;EW$5+GanttPeriod),"◇","")),IF(AND(EW$5&lt;=$F150,EW$5+GanttPeriod-1&gt;=$E150),"━","")))</f>
        <v/>
      </c>
      <c r="EX150" s="69" t="str">
        <f aca="false">IF($E150="","",IF($M150,IF(AND($G150&gt;=EX$5,$G150&lt;EX$5+GanttPeriod),"◆",IF(AND($E150&gt;=EX$5,$E150&lt;EX$5+GanttPeriod),"◇","")),IF(AND(EX$5&lt;=$F150,EX$5+GanttPeriod-1&gt;=$E150),"━","")))</f>
        <v/>
      </c>
      <c r="EY150" s="69" t="str">
        <f aca="false">IF($E150="","",IF($M150,IF(AND($G150&gt;=EY$5,$G150&lt;EY$5+GanttPeriod),"◆",IF(AND($E150&gt;=EY$5,$E150&lt;EY$5+GanttPeriod),"◇","")),IF(AND(EY$5&lt;=$F150,EY$5+GanttPeriod-1&gt;=$E150),"━","")))</f>
        <v/>
      </c>
      <c r="EZ150" s="69" t="str">
        <f aca="false">IF($E150="","",IF($M150,IF(AND($G150&gt;=EZ$5,$G150&lt;EZ$5+GanttPeriod),"◆",IF(AND($E150&gt;=EZ$5,$E150&lt;EZ$5+GanttPeriod),"◇","")),IF(AND(EZ$5&lt;=$F150,EZ$5+GanttPeriod-1&gt;=$E150),"━","")))</f>
        <v/>
      </c>
      <c r="FA150" s="69" t="str">
        <f aca="false">IF($E150="","",IF($M150,IF(AND($G150&gt;=FA$5,$G150&lt;FA$5+GanttPeriod),"◆",IF(AND($E150&gt;=FA$5,$E150&lt;FA$5+GanttPeriod),"◇","")),IF(AND(FA$5&lt;=$F150,FA$5+GanttPeriod-1&gt;=$E150),"━","")))</f>
        <v/>
      </c>
      <c r="FB150" s="69" t="str">
        <f aca="false">IF($E150="","",IF($M150,IF(AND($G150&gt;=FB$5,$G150&lt;FB$5+GanttPeriod),"◆",IF(AND($E150&gt;=FB$5,$E150&lt;FB$5+GanttPeriod),"◇","")),IF(AND(FB$5&lt;=$F150,FB$5+GanttPeriod-1&gt;=$E150),"━","")))</f>
        <v/>
      </c>
      <c r="FC150" s="69" t="str">
        <f aca="false">IF($E150="","",IF($M150,IF(AND($G150&gt;=FC$5,$G150&lt;FC$5+GanttPeriod),"◆",IF(AND($E150&gt;=FC$5,$E150&lt;FC$5+GanttPeriod),"◇","")),IF(AND(FC$5&lt;=$F150,FC$5+GanttPeriod-1&gt;=$E150),"━","")))</f>
        <v/>
      </c>
      <c r="FD150" s="69" t="str">
        <f aca="false">IF($E150="","",IF($M150,IF(AND($G150&gt;=FD$5,$G150&lt;FD$5+GanttPeriod),"◆",IF(AND($E150&gt;=FD$5,$E150&lt;FD$5+GanttPeriod),"◇","")),IF(AND(FD$5&lt;=$F150,FD$5+GanttPeriod-1&gt;=$E150),"━","")))</f>
        <v/>
      </c>
      <c r="FE150" s="69" t="str">
        <f aca="false">IF($E150="","",IF($M150,IF(AND($G150&gt;=FE$5,$G150&lt;FE$5+GanttPeriod),"◆",IF(AND($E150&gt;=FE$5,$E150&lt;FE$5+GanttPeriod),"◇","")),IF(AND(FE$5&lt;=$F150,FE$5+GanttPeriod-1&gt;=$E150),"━","")))</f>
        <v/>
      </c>
      <c r="FF150" s="69" t="str">
        <f aca="false">IF($E150="","",IF($M150,IF(AND($G150&gt;=FF$5,$G150&lt;FF$5+GanttPeriod),"◆",IF(AND($E150&gt;=FF$5,$E150&lt;FF$5+GanttPeriod),"◇","")),IF(AND(FF$5&lt;=$F150,FF$5+GanttPeriod-1&gt;=$E150),"━","")))</f>
        <v/>
      </c>
      <c r="FG150" s="69" t="str">
        <f aca="false">IF($E150="","",IF($M150,IF(AND($G150&gt;=FG$5,$G150&lt;FG$5+GanttPeriod),"◆",IF(AND($E150&gt;=FG$5,$E150&lt;FG$5+GanttPeriod),"◇","")),IF(AND(FG$5&lt;=$F150,FG$5+GanttPeriod-1&gt;=$E150),"━","")))</f>
        <v/>
      </c>
      <c r="FH150" s="69" t="str">
        <f aca="false">IF($E150="","",IF($M150,IF(AND($G150&gt;=FH$5,$G150&lt;FH$5+GanttPeriod),"◆",IF(AND($E150&gt;=FH$5,$E150&lt;FH$5+GanttPeriod),"◇","")),IF(AND(FH$5&lt;=$F150,FH$5+GanttPeriod-1&gt;=$E150),"━","")))</f>
        <v/>
      </c>
      <c r="FI150" s="69" t="str">
        <f aca="false">IF($E150="","",IF($M150,IF(AND($G150&gt;=FI$5,$G150&lt;FI$5+GanttPeriod),"◆",IF(AND($E150&gt;=FI$5,$E150&lt;FI$5+GanttPeriod),"◇","")),IF(AND(FI$5&lt;=$F150,FI$5+GanttPeriod-1&gt;=$E150),"━","")))</f>
        <v/>
      </c>
      <c r="FJ150" s="69" t="str">
        <f aca="false">IF($E150="","",IF($M150,IF(AND($G150&gt;=FJ$5,$G150&lt;FJ$5+GanttPeriod),"◆",IF(AND($E150&gt;=FJ$5,$E150&lt;FJ$5+GanttPeriod),"◇","")),IF(AND(FJ$5&lt;=$F150,FJ$5+GanttPeriod-1&gt;=$E150),"━","")))</f>
        <v/>
      </c>
      <c r="FK150" s="69" t="str">
        <f aca="false">IF($E150="","",IF($M150,IF(AND($G150&gt;=FK$5,$G150&lt;FK$5+GanttPeriod),"◆",IF(AND($E150&gt;=FK$5,$E150&lt;FK$5+GanttPeriod),"◇","")),IF(AND(FK$5&lt;=$F150,FK$5+GanttPeriod-1&gt;=$E150),"━","")))</f>
        <v/>
      </c>
      <c r="FL150" s="69" t="str">
        <f aca="false">IF($E150="","",IF($M150,IF(AND($G150&gt;=FL$5,$G150&lt;FL$5+GanttPeriod),"◆",IF(AND($E150&gt;=FL$5,$E150&lt;FL$5+GanttPeriod),"◇","")),IF(AND(FL$5&lt;=$F150,FL$5+GanttPeriod-1&gt;=$E150),"━","")))</f>
        <v/>
      </c>
      <c r="FM150" s="69" t="str">
        <f aca="false">IF($E150="","",IF($M150,IF(AND($G150&gt;=FM$5,$G150&lt;FM$5+GanttPeriod),"◆",IF(AND($E150&gt;=FM$5,$E150&lt;FM$5+GanttPeriod),"◇","")),IF(AND(FM$5&lt;=$F150,FM$5+GanttPeriod-1&gt;=$E150),"━","")))</f>
        <v/>
      </c>
    </row>
    <row r="151" customFormat="false" ht="15" hidden="false" customHeight="false" outlineLevel="0" collapsed="false">
      <c r="A151" s="62" t="str">
        <f aca="false">IF(Tasks!$D151="","",Tasks!$A151)</f>
        <v/>
      </c>
      <c r="B151" s="62" t="str">
        <f aca="false">IF(Tasks!$D151="","",Tasks!$B151)</f>
        <v/>
      </c>
      <c r="C151" s="63" t="str">
        <f aca="false">IF(Tasks!$D151="","",REPT("    ",Tasks!$AE151-1)&amp;Tasks!$D151)</f>
        <v/>
      </c>
      <c r="D151" s="62" t="str">
        <f aca="false">IF(Tasks!$D151="","",IF(Tasks!$AI151,NETWORKDAYS.INTL(Tasks!$R151,Tasks!$S151,WorkWeek,Holidays),N(Tasks!$F151)))</f>
        <v/>
      </c>
      <c r="E151" s="64" t="str">
        <f aca="false">IF(Tasks!$D151="","",Tasks!$N151)</f>
        <v/>
      </c>
      <c r="F151" s="64" t="str">
        <f aca="false">IF(Tasks!$D151="","",Tasks!$O151)</f>
        <v/>
      </c>
      <c r="G151" s="64" t="str">
        <f aca="false">IF(Tasks!$D151="","",Tasks!$R151)</f>
        <v/>
      </c>
      <c r="H151" s="64" t="str">
        <f aca="false">IF(Tasks!$D151="","",Tasks!$S151)</f>
        <v/>
      </c>
      <c r="I151" s="65" t="str">
        <f aca="false">IF(Tasks!$D151="","",Tasks!$V151)</f>
        <v/>
      </c>
      <c r="J151" s="63" t="str">
        <f aca="false">IF(Tasks!$D151="","",Tasks!$X151&amp;"")</f>
        <v/>
      </c>
      <c r="K151" s="66" t="str">
        <f aca="false">IF(Tasks!$D151="","",Tasks!$W151)</f>
        <v/>
      </c>
      <c r="L151" s="67" t="b">
        <f aca="false">IF(Tasks!$D151="",FALSE(),Tasks!$AI151)</f>
        <v>0</v>
      </c>
      <c r="M151" s="67" t="b">
        <f aca="false">AND(Tasks!$AJ151=1,N(Tasks!$F151)=0)</f>
        <v>0</v>
      </c>
      <c r="N151" s="68" t="n">
        <f aca="false">IF(AND(Tasks!$AJ151=1,NOT($M151),N($I151)&gt;0),$G151,0)</f>
        <v>0</v>
      </c>
      <c r="O151" s="68" t="n">
        <f aca="false">IF($N151=0,0,IF($I151&gt;=1,$H151,MAX($N151,$G151+ROUND(($H151-$G151+1)*$I151,0)-1)))</f>
        <v>0</v>
      </c>
      <c r="P151" s="68" t="n">
        <f aca="false">IF(OR(Tasks!$AJ151&lt;&gt;1,$M151,N($I151)&gt;=1),0,IF($O151&gt;0,$O151+1,$G151))</f>
        <v>0</v>
      </c>
      <c r="Q151" s="68" t="n">
        <f aca="false">IF($P151=0,0,$H151)</f>
        <v>0</v>
      </c>
      <c r="R151" s="67" t="b">
        <f aca="false">AND(Tasks!$D151&lt;&gt;"",N(Tasks!$T151)&gt;0)</f>
        <v>0</v>
      </c>
      <c r="T151" s="69" t="str">
        <f aca="false">IF($E151="","",IF($M151,IF(AND($G151&gt;=T$5,$G151&lt;T$5+GanttPeriod),"◆",IF(AND($E151&gt;=T$5,$E151&lt;T$5+GanttPeriod),"◇","")),IF(AND(T$5&lt;=$F151,T$5+GanttPeriod-1&gt;=$E151),"━","")))</f>
        <v/>
      </c>
      <c r="U151" s="69" t="str">
        <f aca="false">IF($E151="","",IF($M151,IF(AND($G151&gt;=U$5,$G151&lt;U$5+GanttPeriod),"◆",IF(AND($E151&gt;=U$5,$E151&lt;U$5+GanttPeriod),"◇","")),IF(AND(U$5&lt;=$F151,U$5+GanttPeriod-1&gt;=$E151),"━","")))</f>
        <v/>
      </c>
      <c r="V151" s="69" t="str">
        <f aca="false">IF($E151="","",IF($M151,IF(AND($G151&gt;=V$5,$G151&lt;V$5+GanttPeriod),"◆",IF(AND($E151&gt;=V$5,$E151&lt;V$5+GanttPeriod),"◇","")),IF(AND(V$5&lt;=$F151,V$5+GanttPeriod-1&gt;=$E151),"━","")))</f>
        <v/>
      </c>
      <c r="W151" s="69" t="str">
        <f aca="false">IF($E151="","",IF($M151,IF(AND($G151&gt;=W$5,$G151&lt;W$5+GanttPeriod),"◆",IF(AND($E151&gt;=W$5,$E151&lt;W$5+GanttPeriod),"◇","")),IF(AND(W$5&lt;=$F151,W$5+GanttPeriod-1&gt;=$E151),"━","")))</f>
        <v/>
      </c>
      <c r="X151" s="69" t="str">
        <f aca="false">IF($E151="","",IF($M151,IF(AND($G151&gt;=X$5,$G151&lt;X$5+GanttPeriod),"◆",IF(AND($E151&gt;=X$5,$E151&lt;X$5+GanttPeriod),"◇","")),IF(AND(X$5&lt;=$F151,X$5+GanttPeriod-1&gt;=$E151),"━","")))</f>
        <v/>
      </c>
      <c r="Y151" s="69" t="str">
        <f aca="false">IF($E151="","",IF($M151,IF(AND($G151&gt;=Y$5,$G151&lt;Y$5+GanttPeriod),"◆",IF(AND($E151&gt;=Y$5,$E151&lt;Y$5+GanttPeriod),"◇","")),IF(AND(Y$5&lt;=$F151,Y$5+GanttPeriod-1&gt;=$E151),"━","")))</f>
        <v/>
      </c>
      <c r="Z151" s="69" t="str">
        <f aca="false">IF($E151="","",IF($M151,IF(AND($G151&gt;=Z$5,$G151&lt;Z$5+GanttPeriod),"◆",IF(AND($E151&gt;=Z$5,$E151&lt;Z$5+GanttPeriod),"◇","")),IF(AND(Z$5&lt;=$F151,Z$5+GanttPeriod-1&gt;=$E151),"━","")))</f>
        <v/>
      </c>
      <c r="AA151" s="69" t="str">
        <f aca="false">IF($E151="","",IF($M151,IF(AND($G151&gt;=AA$5,$G151&lt;AA$5+GanttPeriod),"◆",IF(AND($E151&gt;=AA$5,$E151&lt;AA$5+GanttPeriod),"◇","")),IF(AND(AA$5&lt;=$F151,AA$5+GanttPeriod-1&gt;=$E151),"━","")))</f>
        <v/>
      </c>
      <c r="AB151" s="69" t="str">
        <f aca="false">IF($E151="","",IF($M151,IF(AND($G151&gt;=AB$5,$G151&lt;AB$5+GanttPeriod),"◆",IF(AND($E151&gt;=AB$5,$E151&lt;AB$5+GanttPeriod),"◇","")),IF(AND(AB$5&lt;=$F151,AB$5+GanttPeriod-1&gt;=$E151),"━","")))</f>
        <v/>
      </c>
      <c r="AC151" s="69" t="str">
        <f aca="false">IF($E151="","",IF($M151,IF(AND($G151&gt;=AC$5,$G151&lt;AC$5+GanttPeriod),"◆",IF(AND($E151&gt;=AC$5,$E151&lt;AC$5+GanttPeriod),"◇","")),IF(AND(AC$5&lt;=$F151,AC$5+GanttPeriod-1&gt;=$E151),"━","")))</f>
        <v/>
      </c>
      <c r="AD151" s="69" t="str">
        <f aca="false">IF($E151="","",IF($M151,IF(AND($G151&gt;=AD$5,$G151&lt;AD$5+GanttPeriod),"◆",IF(AND($E151&gt;=AD$5,$E151&lt;AD$5+GanttPeriod),"◇","")),IF(AND(AD$5&lt;=$F151,AD$5+GanttPeriod-1&gt;=$E151),"━","")))</f>
        <v/>
      </c>
      <c r="AE151" s="69" t="str">
        <f aca="false">IF($E151="","",IF($M151,IF(AND($G151&gt;=AE$5,$G151&lt;AE$5+GanttPeriod),"◆",IF(AND($E151&gt;=AE$5,$E151&lt;AE$5+GanttPeriod),"◇","")),IF(AND(AE$5&lt;=$F151,AE$5+GanttPeriod-1&gt;=$E151),"━","")))</f>
        <v/>
      </c>
      <c r="AF151" s="69" t="str">
        <f aca="false">IF($E151="","",IF($M151,IF(AND($G151&gt;=AF$5,$G151&lt;AF$5+GanttPeriod),"◆",IF(AND($E151&gt;=AF$5,$E151&lt;AF$5+GanttPeriod),"◇","")),IF(AND(AF$5&lt;=$F151,AF$5+GanttPeriod-1&gt;=$E151),"━","")))</f>
        <v/>
      </c>
      <c r="AG151" s="69" t="str">
        <f aca="false">IF($E151="","",IF($M151,IF(AND($G151&gt;=AG$5,$G151&lt;AG$5+GanttPeriod),"◆",IF(AND($E151&gt;=AG$5,$E151&lt;AG$5+GanttPeriod),"◇","")),IF(AND(AG$5&lt;=$F151,AG$5+GanttPeriod-1&gt;=$E151),"━","")))</f>
        <v/>
      </c>
      <c r="AH151" s="69" t="str">
        <f aca="false">IF($E151="","",IF($M151,IF(AND($G151&gt;=AH$5,$G151&lt;AH$5+GanttPeriod),"◆",IF(AND($E151&gt;=AH$5,$E151&lt;AH$5+GanttPeriod),"◇","")),IF(AND(AH$5&lt;=$F151,AH$5+GanttPeriod-1&gt;=$E151),"━","")))</f>
        <v/>
      </c>
      <c r="AI151" s="69" t="str">
        <f aca="false">IF($E151="","",IF($M151,IF(AND($G151&gt;=AI$5,$G151&lt;AI$5+GanttPeriod),"◆",IF(AND($E151&gt;=AI$5,$E151&lt;AI$5+GanttPeriod),"◇","")),IF(AND(AI$5&lt;=$F151,AI$5+GanttPeriod-1&gt;=$E151),"━","")))</f>
        <v/>
      </c>
      <c r="AJ151" s="69" t="str">
        <f aca="false">IF($E151="","",IF($M151,IF(AND($G151&gt;=AJ$5,$G151&lt;AJ$5+GanttPeriod),"◆",IF(AND($E151&gt;=AJ$5,$E151&lt;AJ$5+GanttPeriod),"◇","")),IF(AND(AJ$5&lt;=$F151,AJ$5+GanttPeriod-1&gt;=$E151),"━","")))</f>
        <v/>
      </c>
      <c r="AK151" s="69" t="str">
        <f aca="false">IF($E151="","",IF($M151,IF(AND($G151&gt;=AK$5,$G151&lt;AK$5+GanttPeriod),"◆",IF(AND($E151&gt;=AK$5,$E151&lt;AK$5+GanttPeriod),"◇","")),IF(AND(AK$5&lt;=$F151,AK$5+GanttPeriod-1&gt;=$E151),"━","")))</f>
        <v/>
      </c>
      <c r="AL151" s="69" t="str">
        <f aca="false">IF($E151="","",IF($M151,IF(AND($G151&gt;=AL$5,$G151&lt;AL$5+GanttPeriod),"◆",IF(AND($E151&gt;=AL$5,$E151&lt;AL$5+GanttPeriod),"◇","")),IF(AND(AL$5&lt;=$F151,AL$5+GanttPeriod-1&gt;=$E151),"━","")))</f>
        <v/>
      </c>
      <c r="AM151" s="69" t="str">
        <f aca="false">IF($E151="","",IF($M151,IF(AND($G151&gt;=AM$5,$G151&lt;AM$5+GanttPeriod),"◆",IF(AND($E151&gt;=AM$5,$E151&lt;AM$5+GanttPeriod),"◇","")),IF(AND(AM$5&lt;=$F151,AM$5+GanttPeriod-1&gt;=$E151),"━","")))</f>
        <v/>
      </c>
      <c r="AN151" s="69" t="str">
        <f aca="false">IF($E151="","",IF($M151,IF(AND($G151&gt;=AN$5,$G151&lt;AN$5+GanttPeriod),"◆",IF(AND($E151&gt;=AN$5,$E151&lt;AN$5+GanttPeriod),"◇","")),IF(AND(AN$5&lt;=$F151,AN$5+GanttPeriod-1&gt;=$E151),"━","")))</f>
        <v/>
      </c>
      <c r="AO151" s="69" t="str">
        <f aca="false">IF($E151="","",IF($M151,IF(AND($G151&gt;=AO$5,$G151&lt;AO$5+GanttPeriod),"◆",IF(AND($E151&gt;=AO$5,$E151&lt;AO$5+GanttPeriod),"◇","")),IF(AND(AO$5&lt;=$F151,AO$5+GanttPeriod-1&gt;=$E151),"━","")))</f>
        <v/>
      </c>
      <c r="AP151" s="69" t="str">
        <f aca="false">IF($E151="","",IF($M151,IF(AND($G151&gt;=AP$5,$G151&lt;AP$5+GanttPeriod),"◆",IF(AND($E151&gt;=AP$5,$E151&lt;AP$5+GanttPeriod),"◇","")),IF(AND(AP$5&lt;=$F151,AP$5+GanttPeriod-1&gt;=$E151),"━","")))</f>
        <v/>
      </c>
      <c r="AQ151" s="69" t="str">
        <f aca="false">IF($E151="","",IF($M151,IF(AND($G151&gt;=AQ$5,$G151&lt;AQ$5+GanttPeriod),"◆",IF(AND($E151&gt;=AQ$5,$E151&lt;AQ$5+GanttPeriod),"◇","")),IF(AND(AQ$5&lt;=$F151,AQ$5+GanttPeriod-1&gt;=$E151),"━","")))</f>
        <v/>
      </c>
      <c r="AR151" s="69" t="str">
        <f aca="false">IF($E151="","",IF($M151,IF(AND($G151&gt;=AR$5,$G151&lt;AR$5+GanttPeriod),"◆",IF(AND($E151&gt;=AR$5,$E151&lt;AR$5+GanttPeriod),"◇","")),IF(AND(AR$5&lt;=$F151,AR$5+GanttPeriod-1&gt;=$E151),"━","")))</f>
        <v/>
      </c>
      <c r="AS151" s="69" t="str">
        <f aca="false">IF($E151="","",IF($M151,IF(AND($G151&gt;=AS$5,$G151&lt;AS$5+GanttPeriod),"◆",IF(AND($E151&gt;=AS$5,$E151&lt;AS$5+GanttPeriod),"◇","")),IF(AND(AS$5&lt;=$F151,AS$5+GanttPeriod-1&gt;=$E151),"━","")))</f>
        <v/>
      </c>
      <c r="AT151" s="69" t="str">
        <f aca="false">IF($E151="","",IF($M151,IF(AND($G151&gt;=AT$5,$G151&lt;AT$5+GanttPeriod),"◆",IF(AND($E151&gt;=AT$5,$E151&lt;AT$5+GanttPeriod),"◇","")),IF(AND(AT$5&lt;=$F151,AT$5+GanttPeriod-1&gt;=$E151),"━","")))</f>
        <v/>
      </c>
      <c r="AU151" s="69" t="str">
        <f aca="false">IF($E151="","",IF($M151,IF(AND($G151&gt;=AU$5,$G151&lt;AU$5+GanttPeriod),"◆",IF(AND($E151&gt;=AU$5,$E151&lt;AU$5+GanttPeriod),"◇","")),IF(AND(AU$5&lt;=$F151,AU$5+GanttPeriod-1&gt;=$E151),"━","")))</f>
        <v/>
      </c>
      <c r="AV151" s="69" t="str">
        <f aca="false">IF($E151="","",IF($M151,IF(AND($G151&gt;=AV$5,$G151&lt;AV$5+GanttPeriod),"◆",IF(AND($E151&gt;=AV$5,$E151&lt;AV$5+GanttPeriod),"◇","")),IF(AND(AV$5&lt;=$F151,AV$5+GanttPeriod-1&gt;=$E151),"━","")))</f>
        <v/>
      </c>
      <c r="AW151" s="69" t="str">
        <f aca="false">IF($E151="","",IF($M151,IF(AND($G151&gt;=AW$5,$G151&lt;AW$5+GanttPeriod),"◆",IF(AND($E151&gt;=AW$5,$E151&lt;AW$5+GanttPeriod),"◇","")),IF(AND(AW$5&lt;=$F151,AW$5+GanttPeriod-1&gt;=$E151),"━","")))</f>
        <v/>
      </c>
      <c r="AX151" s="69" t="str">
        <f aca="false">IF($E151="","",IF($M151,IF(AND($G151&gt;=AX$5,$G151&lt;AX$5+GanttPeriod),"◆",IF(AND($E151&gt;=AX$5,$E151&lt;AX$5+GanttPeriod),"◇","")),IF(AND(AX$5&lt;=$F151,AX$5+GanttPeriod-1&gt;=$E151),"━","")))</f>
        <v/>
      </c>
      <c r="AY151" s="69" t="str">
        <f aca="false">IF($E151="","",IF($M151,IF(AND($G151&gt;=AY$5,$G151&lt;AY$5+GanttPeriod),"◆",IF(AND($E151&gt;=AY$5,$E151&lt;AY$5+GanttPeriod),"◇","")),IF(AND(AY$5&lt;=$F151,AY$5+GanttPeriod-1&gt;=$E151),"━","")))</f>
        <v/>
      </c>
      <c r="AZ151" s="69" t="str">
        <f aca="false">IF($E151="","",IF($M151,IF(AND($G151&gt;=AZ$5,$G151&lt;AZ$5+GanttPeriod),"◆",IF(AND($E151&gt;=AZ$5,$E151&lt;AZ$5+GanttPeriod),"◇","")),IF(AND(AZ$5&lt;=$F151,AZ$5+GanttPeriod-1&gt;=$E151),"━","")))</f>
        <v/>
      </c>
      <c r="BA151" s="69" t="str">
        <f aca="false">IF($E151="","",IF($M151,IF(AND($G151&gt;=BA$5,$G151&lt;BA$5+GanttPeriod),"◆",IF(AND($E151&gt;=BA$5,$E151&lt;BA$5+GanttPeriod),"◇","")),IF(AND(BA$5&lt;=$F151,BA$5+GanttPeriod-1&gt;=$E151),"━","")))</f>
        <v/>
      </c>
      <c r="BB151" s="69" t="str">
        <f aca="false">IF($E151="","",IF($M151,IF(AND($G151&gt;=BB$5,$G151&lt;BB$5+GanttPeriod),"◆",IF(AND($E151&gt;=BB$5,$E151&lt;BB$5+GanttPeriod),"◇","")),IF(AND(BB$5&lt;=$F151,BB$5+GanttPeriod-1&gt;=$E151),"━","")))</f>
        <v/>
      </c>
      <c r="BC151" s="69" t="str">
        <f aca="false">IF($E151="","",IF($M151,IF(AND($G151&gt;=BC$5,$G151&lt;BC$5+GanttPeriod),"◆",IF(AND($E151&gt;=BC$5,$E151&lt;BC$5+GanttPeriod),"◇","")),IF(AND(BC$5&lt;=$F151,BC$5+GanttPeriod-1&gt;=$E151),"━","")))</f>
        <v/>
      </c>
      <c r="BD151" s="69" t="str">
        <f aca="false">IF($E151="","",IF($M151,IF(AND($G151&gt;=BD$5,$G151&lt;BD$5+GanttPeriod),"◆",IF(AND($E151&gt;=BD$5,$E151&lt;BD$5+GanttPeriod),"◇","")),IF(AND(BD$5&lt;=$F151,BD$5+GanttPeriod-1&gt;=$E151),"━","")))</f>
        <v/>
      </c>
      <c r="BE151" s="69" t="str">
        <f aca="false">IF($E151="","",IF($M151,IF(AND($G151&gt;=BE$5,$G151&lt;BE$5+GanttPeriod),"◆",IF(AND($E151&gt;=BE$5,$E151&lt;BE$5+GanttPeriod),"◇","")),IF(AND(BE$5&lt;=$F151,BE$5+GanttPeriod-1&gt;=$E151),"━","")))</f>
        <v/>
      </c>
      <c r="BF151" s="69" t="str">
        <f aca="false">IF($E151="","",IF($M151,IF(AND($G151&gt;=BF$5,$G151&lt;BF$5+GanttPeriod),"◆",IF(AND($E151&gt;=BF$5,$E151&lt;BF$5+GanttPeriod),"◇","")),IF(AND(BF$5&lt;=$F151,BF$5+GanttPeriod-1&gt;=$E151),"━","")))</f>
        <v/>
      </c>
      <c r="BG151" s="69" t="str">
        <f aca="false">IF($E151="","",IF($M151,IF(AND($G151&gt;=BG$5,$G151&lt;BG$5+GanttPeriod),"◆",IF(AND($E151&gt;=BG$5,$E151&lt;BG$5+GanttPeriod),"◇","")),IF(AND(BG$5&lt;=$F151,BG$5+GanttPeriod-1&gt;=$E151),"━","")))</f>
        <v/>
      </c>
      <c r="BH151" s="69" t="str">
        <f aca="false">IF($E151="","",IF($M151,IF(AND($G151&gt;=BH$5,$G151&lt;BH$5+GanttPeriod),"◆",IF(AND($E151&gt;=BH$5,$E151&lt;BH$5+GanttPeriod),"◇","")),IF(AND(BH$5&lt;=$F151,BH$5+GanttPeriod-1&gt;=$E151),"━","")))</f>
        <v/>
      </c>
      <c r="BI151" s="69" t="str">
        <f aca="false">IF($E151="","",IF($M151,IF(AND($G151&gt;=BI$5,$G151&lt;BI$5+GanttPeriod),"◆",IF(AND($E151&gt;=BI$5,$E151&lt;BI$5+GanttPeriod),"◇","")),IF(AND(BI$5&lt;=$F151,BI$5+GanttPeriod-1&gt;=$E151),"━","")))</f>
        <v/>
      </c>
      <c r="BJ151" s="69" t="str">
        <f aca="false">IF($E151="","",IF($M151,IF(AND($G151&gt;=BJ$5,$G151&lt;BJ$5+GanttPeriod),"◆",IF(AND($E151&gt;=BJ$5,$E151&lt;BJ$5+GanttPeriod),"◇","")),IF(AND(BJ$5&lt;=$F151,BJ$5+GanttPeriod-1&gt;=$E151),"━","")))</f>
        <v/>
      </c>
      <c r="BK151" s="69" t="str">
        <f aca="false">IF($E151="","",IF($M151,IF(AND($G151&gt;=BK$5,$G151&lt;BK$5+GanttPeriod),"◆",IF(AND($E151&gt;=BK$5,$E151&lt;BK$5+GanttPeriod),"◇","")),IF(AND(BK$5&lt;=$F151,BK$5+GanttPeriod-1&gt;=$E151),"━","")))</f>
        <v/>
      </c>
      <c r="BL151" s="69" t="str">
        <f aca="false">IF($E151="","",IF($M151,IF(AND($G151&gt;=BL$5,$G151&lt;BL$5+GanttPeriod),"◆",IF(AND($E151&gt;=BL$5,$E151&lt;BL$5+GanttPeriod),"◇","")),IF(AND(BL$5&lt;=$F151,BL$5+GanttPeriod-1&gt;=$E151),"━","")))</f>
        <v/>
      </c>
      <c r="BM151" s="69" t="str">
        <f aca="false">IF($E151="","",IF($M151,IF(AND($G151&gt;=BM$5,$G151&lt;BM$5+GanttPeriod),"◆",IF(AND($E151&gt;=BM$5,$E151&lt;BM$5+GanttPeriod),"◇","")),IF(AND(BM$5&lt;=$F151,BM$5+GanttPeriod-1&gt;=$E151),"━","")))</f>
        <v/>
      </c>
      <c r="BN151" s="69" t="str">
        <f aca="false">IF($E151="","",IF($M151,IF(AND($G151&gt;=BN$5,$G151&lt;BN$5+GanttPeriod),"◆",IF(AND($E151&gt;=BN$5,$E151&lt;BN$5+GanttPeriod),"◇","")),IF(AND(BN$5&lt;=$F151,BN$5+GanttPeriod-1&gt;=$E151),"━","")))</f>
        <v/>
      </c>
      <c r="BO151" s="69" t="str">
        <f aca="false">IF($E151="","",IF($M151,IF(AND($G151&gt;=BO$5,$G151&lt;BO$5+GanttPeriod),"◆",IF(AND($E151&gt;=BO$5,$E151&lt;BO$5+GanttPeriod),"◇","")),IF(AND(BO$5&lt;=$F151,BO$5+GanttPeriod-1&gt;=$E151),"━","")))</f>
        <v/>
      </c>
      <c r="BP151" s="69" t="str">
        <f aca="false">IF($E151="","",IF($M151,IF(AND($G151&gt;=BP$5,$G151&lt;BP$5+GanttPeriod),"◆",IF(AND($E151&gt;=BP$5,$E151&lt;BP$5+GanttPeriod),"◇","")),IF(AND(BP$5&lt;=$F151,BP$5+GanttPeriod-1&gt;=$E151),"━","")))</f>
        <v/>
      </c>
      <c r="BQ151" s="69" t="str">
        <f aca="false">IF($E151="","",IF($M151,IF(AND($G151&gt;=BQ$5,$G151&lt;BQ$5+GanttPeriod),"◆",IF(AND($E151&gt;=BQ$5,$E151&lt;BQ$5+GanttPeriod),"◇","")),IF(AND(BQ$5&lt;=$F151,BQ$5+GanttPeriod-1&gt;=$E151),"━","")))</f>
        <v/>
      </c>
      <c r="BR151" s="69" t="str">
        <f aca="false">IF($E151="","",IF($M151,IF(AND($G151&gt;=BR$5,$G151&lt;BR$5+GanttPeriod),"◆",IF(AND($E151&gt;=BR$5,$E151&lt;BR$5+GanttPeriod),"◇","")),IF(AND(BR$5&lt;=$F151,BR$5+GanttPeriod-1&gt;=$E151),"━","")))</f>
        <v/>
      </c>
      <c r="BS151" s="69" t="str">
        <f aca="false">IF($E151="","",IF($M151,IF(AND($G151&gt;=BS$5,$G151&lt;BS$5+GanttPeriod),"◆",IF(AND($E151&gt;=BS$5,$E151&lt;BS$5+GanttPeriod),"◇","")),IF(AND(BS$5&lt;=$F151,BS$5+GanttPeriod-1&gt;=$E151),"━","")))</f>
        <v/>
      </c>
      <c r="BT151" s="69" t="str">
        <f aca="false">IF($E151="","",IF($M151,IF(AND($G151&gt;=BT$5,$G151&lt;BT$5+GanttPeriod),"◆",IF(AND($E151&gt;=BT$5,$E151&lt;BT$5+GanttPeriod),"◇","")),IF(AND(BT$5&lt;=$F151,BT$5+GanttPeriod-1&gt;=$E151),"━","")))</f>
        <v/>
      </c>
      <c r="BU151" s="69" t="str">
        <f aca="false">IF($E151="","",IF($M151,IF(AND($G151&gt;=BU$5,$G151&lt;BU$5+GanttPeriod),"◆",IF(AND($E151&gt;=BU$5,$E151&lt;BU$5+GanttPeriod),"◇","")),IF(AND(BU$5&lt;=$F151,BU$5+GanttPeriod-1&gt;=$E151),"━","")))</f>
        <v/>
      </c>
      <c r="BV151" s="69" t="str">
        <f aca="false">IF($E151="","",IF($M151,IF(AND($G151&gt;=BV$5,$G151&lt;BV$5+GanttPeriod),"◆",IF(AND($E151&gt;=BV$5,$E151&lt;BV$5+GanttPeriod),"◇","")),IF(AND(BV$5&lt;=$F151,BV$5+GanttPeriod-1&gt;=$E151),"━","")))</f>
        <v/>
      </c>
      <c r="BW151" s="69" t="str">
        <f aca="false">IF($E151="","",IF($M151,IF(AND($G151&gt;=BW$5,$G151&lt;BW$5+GanttPeriod),"◆",IF(AND($E151&gt;=BW$5,$E151&lt;BW$5+GanttPeriod),"◇","")),IF(AND(BW$5&lt;=$F151,BW$5+GanttPeriod-1&gt;=$E151),"━","")))</f>
        <v/>
      </c>
      <c r="BX151" s="69" t="str">
        <f aca="false">IF($E151="","",IF($M151,IF(AND($G151&gt;=BX$5,$G151&lt;BX$5+GanttPeriod),"◆",IF(AND($E151&gt;=BX$5,$E151&lt;BX$5+GanttPeriod),"◇","")),IF(AND(BX$5&lt;=$F151,BX$5+GanttPeriod-1&gt;=$E151),"━","")))</f>
        <v/>
      </c>
      <c r="BY151" s="69" t="str">
        <f aca="false">IF($E151="","",IF($M151,IF(AND($G151&gt;=BY$5,$G151&lt;BY$5+GanttPeriod),"◆",IF(AND($E151&gt;=BY$5,$E151&lt;BY$5+GanttPeriod),"◇","")),IF(AND(BY$5&lt;=$F151,BY$5+GanttPeriod-1&gt;=$E151),"━","")))</f>
        <v/>
      </c>
      <c r="BZ151" s="69" t="str">
        <f aca="false">IF($E151="","",IF($M151,IF(AND($G151&gt;=BZ$5,$G151&lt;BZ$5+GanttPeriod),"◆",IF(AND($E151&gt;=BZ$5,$E151&lt;BZ$5+GanttPeriod),"◇","")),IF(AND(BZ$5&lt;=$F151,BZ$5+GanttPeriod-1&gt;=$E151),"━","")))</f>
        <v/>
      </c>
      <c r="CA151" s="69" t="str">
        <f aca="false">IF($E151="","",IF($M151,IF(AND($G151&gt;=CA$5,$G151&lt;CA$5+GanttPeriod),"◆",IF(AND($E151&gt;=CA$5,$E151&lt;CA$5+GanttPeriod),"◇","")),IF(AND(CA$5&lt;=$F151,CA$5+GanttPeriod-1&gt;=$E151),"━","")))</f>
        <v/>
      </c>
      <c r="CB151" s="69" t="str">
        <f aca="false">IF($E151="","",IF($M151,IF(AND($G151&gt;=CB$5,$G151&lt;CB$5+GanttPeriod),"◆",IF(AND($E151&gt;=CB$5,$E151&lt;CB$5+GanttPeriod),"◇","")),IF(AND(CB$5&lt;=$F151,CB$5+GanttPeriod-1&gt;=$E151),"━","")))</f>
        <v/>
      </c>
      <c r="CC151" s="69" t="str">
        <f aca="false">IF($E151="","",IF($M151,IF(AND($G151&gt;=CC$5,$G151&lt;CC$5+GanttPeriod),"◆",IF(AND($E151&gt;=CC$5,$E151&lt;CC$5+GanttPeriod),"◇","")),IF(AND(CC$5&lt;=$F151,CC$5+GanttPeriod-1&gt;=$E151),"━","")))</f>
        <v/>
      </c>
      <c r="CD151" s="69" t="str">
        <f aca="false">IF($E151="","",IF($M151,IF(AND($G151&gt;=CD$5,$G151&lt;CD$5+GanttPeriod),"◆",IF(AND($E151&gt;=CD$5,$E151&lt;CD$5+GanttPeriod),"◇","")),IF(AND(CD$5&lt;=$F151,CD$5+GanttPeriod-1&gt;=$E151),"━","")))</f>
        <v/>
      </c>
      <c r="CE151" s="69" t="str">
        <f aca="false">IF($E151="","",IF($M151,IF(AND($G151&gt;=CE$5,$G151&lt;CE$5+GanttPeriod),"◆",IF(AND($E151&gt;=CE$5,$E151&lt;CE$5+GanttPeriod),"◇","")),IF(AND(CE$5&lt;=$F151,CE$5+GanttPeriod-1&gt;=$E151),"━","")))</f>
        <v/>
      </c>
      <c r="CF151" s="69" t="str">
        <f aca="false">IF($E151="","",IF($M151,IF(AND($G151&gt;=CF$5,$G151&lt;CF$5+GanttPeriod),"◆",IF(AND($E151&gt;=CF$5,$E151&lt;CF$5+GanttPeriod),"◇","")),IF(AND(CF$5&lt;=$F151,CF$5+GanttPeriod-1&gt;=$E151),"━","")))</f>
        <v/>
      </c>
      <c r="CG151" s="69" t="str">
        <f aca="false">IF($E151="","",IF($M151,IF(AND($G151&gt;=CG$5,$G151&lt;CG$5+GanttPeriod),"◆",IF(AND($E151&gt;=CG$5,$E151&lt;CG$5+GanttPeriod),"◇","")),IF(AND(CG$5&lt;=$F151,CG$5+GanttPeriod-1&gt;=$E151),"━","")))</f>
        <v/>
      </c>
      <c r="CH151" s="69" t="str">
        <f aca="false">IF($E151="","",IF($M151,IF(AND($G151&gt;=CH$5,$G151&lt;CH$5+GanttPeriod),"◆",IF(AND($E151&gt;=CH$5,$E151&lt;CH$5+GanttPeriod),"◇","")),IF(AND(CH$5&lt;=$F151,CH$5+GanttPeriod-1&gt;=$E151),"━","")))</f>
        <v/>
      </c>
      <c r="CI151" s="69" t="str">
        <f aca="false">IF($E151="","",IF($M151,IF(AND($G151&gt;=CI$5,$G151&lt;CI$5+GanttPeriod),"◆",IF(AND($E151&gt;=CI$5,$E151&lt;CI$5+GanttPeriod),"◇","")),IF(AND(CI$5&lt;=$F151,CI$5+GanttPeriod-1&gt;=$E151),"━","")))</f>
        <v/>
      </c>
      <c r="CJ151" s="69" t="str">
        <f aca="false">IF($E151="","",IF($M151,IF(AND($G151&gt;=CJ$5,$G151&lt;CJ$5+GanttPeriod),"◆",IF(AND($E151&gt;=CJ$5,$E151&lt;CJ$5+GanttPeriod),"◇","")),IF(AND(CJ$5&lt;=$F151,CJ$5+GanttPeriod-1&gt;=$E151),"━","")))</f>
        <v/>
      </c>
      <c r="CK151" s="69" t="str">
        <f aca="false">IF($E151="","",IF($M151,IF(AND($G151&gt;=CK$5,$G151&lt;CK$5+GanttPeriod),"◆",IF(AND($E151&gt;=CK$5,$E151&lt;CK$5+GanttPeriod),"◇","")),IF(AND(CK$5&lt;=$F151,CK$5+GanttPeriod-1&gt;=$E151),"━","")))</f>
        <v/>
      </c>
      <c r="CL151" s="69" t="str">
        <f aca="false">IF($E151="","",IF($M151,IF(AND($G151&gt;=CL$5,$G151&lt;CL$5+GanttPeriod),"◆",IF(AND($E151&gt;=CL$5,$E151&lt;CL$5+GanttPeriod),"◇","")),IF(AND(CL$5&lt;=$F151,CL$5+GanttPeriod-1&gt;=$E151),"━","")))</f>
        <v/>
      </c>
      <c r="CM151" s="69" t="str">
        <f aca="false">IF($E151="","",IF($M151,IF(AND($G151&gt;=CM$5,$G151&lt;CM$5+GanttPeriod),"◆",IF(AND($E151&gt;=CM$5,$E151&lt;CM$5+GanttPeriod),"◇","")),IF(AND(CM$5&lt;=$F151,CM$5+GanttPeriod-1&gt;=$E151),"━","")))</f>
        <v/>
      </c>
      <c r="CN151" s="69" t="str">
        <f aca="false">IF($E151="","",IF($M151,IF(AND($G151&gt;=CN$5,$G151&lt;CN$5+GanttPeriod),"◆",IF(AND($E151&gt;=CN$5,$E151&lt;CN$5+GanttPeriod),"◇","")),IF(AND(CN$5&lt;=$F151,CN$5+GanttPeriod-1&gt;=$E151),"━","")))</f>
        <v/>
      </c>
      <c r="CO151" s="69" t="str">
        <f aca="false">IF($E151="","",IF($M151,IF(AND($G151&gt;=CO$5,$G151&lt;CO$5+GanttPeriod),"◆",IF(AND($E151&gt;=CO$5,$E151&lt;CO$5+GanttPeriod),"◇","")),IF(AND(CO$5&lt;=$F151,CO$5+GanttPeriod-1&gt;=$E151),"━","")))</f>
        <v/>
      </c>
      <c r="CP151" s="69" t="str">
        <f aca="false">IF($E151="","",IF($M151,IF(AND($G151&gt;=CP$5,$G151&lt;CP$5+GanttPeriod),"◆",IF(AND($E151&gt;=CP$5,$E151&lt;CP$5+GanttPeriod),"◇","")),IF(AND(CP$5&lt;=$F151,CP$5+GanttPeriod-1&gt;=$E151),"━","")))</f>
        <v/>
      </c>
      <c r="CQ151" s="69" t="str">
        <f aca="false">IF($E151="","",IF($M151,IF(AND($G151&gt;=CQ$5,$G151&lt;CQ$5+GanttPeriod),"◆",IF(AND($E151&gt;=CQ$5,$E151&lt;CQ$5+GanttPeriod),"◇","")),IF(AND(CQ$5&lt;=$F151,CQ$5+GanttPeriod-1&gt;=$E151),"━","")))</f>
        <v/>
      </c>
      <c r="CR151" s="69" t="str">
        <f aca="false">IF($E151="","",IF($M151,IF(AND($G151&gt;=CR$5,$G151&lt;CR$5+GanttPeriod),"◆",IF(AND($E151&gt;=CR$5,$E151&lt;CR$5+GanttPeriod),"◇","")),IF(AND(CR$5&lt;=$F151,CR$5+GanttPeriod-1&gt;=$E151),"━","")))</f>
        <v/>
      </c>
      <c r="CS151" s="69" t="str">
        <f aca="false">IF($E151="","",IF($M151,IF(AND($G151&gt;=CS$5,$G151&lt;CS$5+GanttPeriod),"◆",IF(AND($E151&gt;=CS$5,$E151&lt;CS$5+GanttPeriod),"◇","")),IF(AND(CS$5&lt;=$F151,CS$5+GanttPeriod-1&gt;=$E151),"━","")))</f>
        <v/>
      </c>
      <c r="CT151" s="69" t="str">
        <f aca="false">IF($E151="","",IF($M151,IF(AND($G151&gt;=CT$5,$G151&lt;CT$5+GanttPeriod),"◆",IF(AND($E151&gt;=CT$5,$E151&lt;CT$5+GanttPeriod),"◇","")),IF(AND(CT$5&lt;=$F151,CT$5+GanttPeriod-1&gt;=$E151),"━","")))</f>
        <v/>
      </c>
      <c r="CU151" s="69" t="str">
        <f aca="false">IF($E151="","",IF($M151,IF(AND($G151&gt;=CU$5,$G151&lt;CU$5+GanttPeriod),"◆",IF(AND($E151&gt;=CU$5,$E151&lt;CU$5+GanttPeriod),"◇","")),IF(AND(CU$5&lt;=$F151,CU$5+GanttPeriod-1&gt;=$E151),"━","")))</f>
        <v/>
      </c>
      <c r="CV151" s="69" t="str">
        <f aca="false">IF($E151="","",IF($M151,IF(AND($G151&gt;=CV$5,$G151&lt;CV$5+GanttPeriod),"◆",IF(AND($E151&gt;=CV$5,$E151&lt;CV$5+GanttPeriod),"◇","")),IF(AND(CV$5&lt;=$F151,CV$5+GanttPeriod-1&gt;=$E151),"━","")))</f>
        <v/>
      </c>
      <c r="CW151" s="69" t="str">
        <f aca="false">IF($E151="","",IF($M151,IF(AND($G151&gt;=CW$5,$G151&lt;CW$5+GanttPeriod),"◆",IF(AND($E151&gt;=CW$5,$E151&lt;CW$5+GanttPeriod),"◇","")),IF(AND(CW$5&lt;=$F151,CW$5+GanttPeriod-1&gt;=$E151),"━","")))</f>
        <v/>
      </c>
      <c r="CX151" s="69" t="str">
        <f aca="false">IF($E151="","",IF($M151,IF(AND($G151&gt;=CX$5,$G151&lt;CX$5+GanttPeriod),"◆",IF(AND($E151&gt;=CX$5,$E151&lt;CX$5+GanttPeriod),"◇","")),IF(AND(CX$5&lt;=$F151,CX$5+GanttPeriod-1&gt;=$E151),"━","")))</f>
        <v/>
      </c>
      <c r="CY151" s="69" t="str">
        <f aca="false">IF($E151="","",IF($M151,IF(AND($G151&gt;=CY$5,$G151&lt;CY$5+GanttPeriod),"◆",IF(AND($E151&gt;=CY$5,$E151&lt;CY$5+GanttPeriod),"◇","")),IF(AND(CY$5&lt;=$F151,CY$5+GanttPeriod-1&gt;=$E151),"━","")))</f>
        <v/>
      </c>
      <c r="CZ151" s="69" t="str">
        <f aca="false">IF($E151="","",IF($M151,IF(AND($G151&gt;=CZ$5,$G151&lt;CZ$5+GanttPeriod),"◆",IF(AND($E151&gt;=CZ$5,$E151&lt;CZ$5+GanttPeriod),"◇","")),IF(AND(CZ$5&lt;=$F151,CZ$5+GanttPeriod-1&gt;=$E151),"━","")))</f>
        <v/>
      </c>
      <c r="DA151" s="69" t="str">
        <f aca="false">IF($E151="","",IF($M151,IF(AND($G151&gt;=DA$5,$G151&lt;DA$5+GanttPeriod),"◆",IF(AND($E151&gt;=DA$5,$E151&lt;DA$5+GanttPeriod),"◇","")),IF(AND(DA$5&lt;=$F151,DA$5+GanttPeriod-1&gt;=$E151),"━","")))</f>
        <v/>
      </c>
      <c r="DB151" s="69" t="str">
        <f aca="false">IF($E151="","",IF($M151,IF(AND($G151&gt;=DB$5,$G151&lt;DB$5+GanttPeriod),"◆",IF(AND($E151&gt;=DB$5,$E151&lt;DB$5+GanttPeriod),"◇","")),IF(AND(DB$5&lt;=$F151,DB$5+GanttPeriod-1&gt;=$E151),"━","")))</f>
        <v/>
      </c>
      <c r="DC151" s="69" t="str">
        <f aca="false">IF($E151="","",IF($M151,IF(AND($G151&gt;=DC$5,$G151&lt;DC$5+GanttPeriod),"◆",IF(AND($E151&gt;=DC$5,$E151&lt;DC$5+GanttPeriod),"◇","")),IF(AND(DC$5&lt;=$F151,DC$5+GanttPeriod-1&gt;=$E151),"━","")))</f>
        <v/>
      </c>
      <c r="DD151" s="69" t="str">
        <f aca="false">IF($E151="","",IF($M151,IF(AND($G151&gt;=DD$5,$G151&lt;DD$5+GanttPeriod),"◆",IF(AND($E151&gt;=DD$5,$E151&lt;DD$5+GanttPeriod),"◇","")),IF(AND(DD$5&lt;=$F151,DD$5+GanttPeriod-1&gt;=$E151),"━","")))</f>
        <v/>
      </c>
      <c r="DE151" s="69" t="str">
        <f aca="false">IF($E151="","",IF($M151,IF(AND($G151&gt;=DE$5,$G151&lt;DE$5+GanttPeriod),"◆",IF(AND($E151&gt;=DE$5,$E151&lt;DE$5+GanttPeriod),"◇","")),IF(AND(DE$5&lt;=$F151,DE$5+GanttPeriod-1&gt;=$E151),"━","")))</f>
        <v/>
      </c>
      <c r="DF151" s="69" t="str">
        <f aca="false">IF($E151="","",IF($M151,IF(AND($G151&gt;=DF$5,$G151&lt;DF$5+GanttPeriod),"◆",IF(AND($E151&gt;=DF$5,$E151&lt;DF$5+GanttPeriod),"◇","")),IF(AND(DF$5&lt;=$F151,DF$5+GanttPeriod-1&gt;=$E151),"━","")))</f>
        <v/>
      </c>
      <c r="DG151" s="69" t="str">
        <f aca="false">IF($E151="","",IF($M151,IF(AND($G151&gt;=DG$5,$G151&lt;DG$5+GanttPeriod),"◆",IF(AND($E151&gt;=DG$5,$E151&lt;DG$5+GanttPeriod),"◇","")),IF(AND(DG$5&lt;=$F151,DG$5+GanttPeriod-1&gt;=$E151),"━","")))</f>
        <v/>
      </c>
      <c r="DH151" s="69" t="str">
        <f aca="false">IF($E151="","",IF($M151,IF(AND($G151&gt;=DH$5,$G151&lt;DH$5+GanttPeriod),"◆",IF(AND($E151&gt;=DH$5,$E151&lt;DH$5+GanttPeriod),"◇","")),IF(AND(DH$5&lt;=$F151,DH$5+GanttPeriod-1&gt;=$E151),"━","")))</f>
        <v/>
      </c>
      <c r="DI151" s="69" t="str">
        <f aca="false">IF($E151="","",IF($M151,IF(AND($G151&gt;=DI$5,$G151&lt;DI$5+GanttPeriod),"◆",IF(AND($E151&gt;=DI$5,$E151&lt;DI$5+GanttPeriod),"◇","")),IF(AND(DI$5&lt;=$F151,DI$5+GanttPeriod-1&gt;=$E151),"━","")))</f>
        <v/>
      </c>
      <c r="DJ151" s="69" t="str">
        <f aca="false">IF($E151="","",IF($M151,IF(AND($G151&gt;=DJ$5,$G151&lt;DJ$5+GanttPeriod),"◆",IF(AND($E151&gt;=DJ$5,$E151&lt;DJ$5+GanttPeriod),"◇","")),IF(AND(DJ$5&lt;=$F151,DJ$5+GanttPeriod-1&gt;=$E151),"━","")))</f>
        <v/>
      </c>
      <c r="DK151" s="69" t="str">
        <f aca="false">IF($E151="","",IF($M151,IF(AND($G151&gt;=DK$5,$G151&lt;DK$5+GanttPeriod),"◆",IF(AND($E151&gt;=DK$5,$E151&lt;DK$5+GanttPeriod),"◇","")),IF(AND(DK$5&lt;=$F151,DK$5+GanttPeriod-1&gt;=$E151),"━","")))</f>
        <v/>
      </c>
      <c r="DL151" s="69" t="str">
        <f aca="false">IF($E151="","",IF($M151,IF(AND($G151&gt;=DL$5,$G151&lt;DL$5+GanttPeriod),"◆",IF(AND($E151&gt;=DL$5,$E151&lt;DL$5+GanttPeriod),"◇","")),IF(AND(DL$5&lt;=$F151,DL$5+GanttPeriod-1&gt;=$E151),"━","")))</f>
        <v/>
      </c>
      <c r="DM151" s="69" t="str">
        <f aca="false">IF($E151="","",IF($M151,IF(AND($G151&gt;=DM$5,$G151&lt;DM$5+GanttPeriod),"◆",IF(AND($E151&gt;=DM$5,$E151&lt;DM$5+GanttPeriod),"◇","")),IF(AND(DM$5&lt;=$F151,DM$5+GanttPeriod-1&gt;=$E151),"━","")))</f>
        <v/>
      </c>
      <c r="DN151" s="69" t="str">
        <f aca="false">IF($E151="","",IF($M151,IF(AND($G151&gt;=DN$5,$G151&lt;DN$5+GanttPeriod),"◆",IF(AND($E151&gt;=DN$5,$E151&lt;DN$5+GanttPeriod),"◇","")),IF(AND(DN$5&lt;=$F151,DN$5+GanttPeriod-1&gt;=$E151),"━","")))</f>
        <v/>
      </c>
      <c r="DO151" s="69" t="str">
        <f aca="false">IF($E151="","",IF($M151,IF(AND($G151&gt;=DO$5,$G151&lt;DO$5+GanttPeriod),"◆",IF(AND($E151&gt;=DO$5,$E151&lt;DO$5+GanttPeriod),"◇","")),IF(AND(DO$5&lt;=$F151,DO$5+GanttPeriod-1&gt;=$E151),"━","")))</f>
        <v/>
      </c>
      <c r="DP151" s="69" t="str">
        <f aca="false">IF($E151="","",IF($M151,IF(AND($G151&gt;=DP$5,$G151&lt;DP$5+GanttPeriod),"◆",IF(AND($E151&gt;=DP$5,$E151&lt;DP$5+GanttPeriod),"◇","")),IF(AND(DP$5&lt;=$F151,DP$5+GanttPeriod-1&gt;=$E151),"━","")))</f>
        <v/>
      </c>
      <c r="DQ151" s="69" t="str">
        <f aca="false">IF($E151="","",IF($M151,IF(AND($G151&gt;=DQ$5,$G151&lt;DQ$5+GanttPeriod),"◆",IF(AND($E151&gt;=DQ$5,$E151&lt;DQ$5+GanttPeriod),"◇","")),IF(AND(DQ$5&lt;=$F151,DQ$5+GanttPeriod-1&gt;=$E151),"━","")))</f>
        <v/>
      </c>
      <c r="DR151" s="69" t="str">
        <f aca="false">IF($E151="","",IF($M151,IF(AND($G151&gt;=DR$5,$G151&lt;DR$5+GanttPeriod),"◆",IF(AND($E151&gt;=DR$5,$E151&lt;DR$5+GanttPeriod),"◇","")),IF(AND(DR$5&lt;=$F151,DR$5+GanttPeriod-1&gt;=$E151),"━","")))</f>
        <v/>
      </c>
      <c r="DS151" s="69" t="str">
        <f aca="false">IF($E151="","",IF($M151,IF(AND($G151&gt;=DS$5,$G151&lt;DS$5+GanttPeriod),"◆",IF(AND($E151&gt;=DS$5,$E151&lt;DS$5+GanttPeriod),"◇","")),IF(AND(DS$5&lt;=$F151,DS$5+GanttPeriod-1&gt;=$E151),"━","")))</f>
        <v/>
      </c>
      <c r="DT151" s="69" t="str">
        <f aca="false">IF($E151="","",IF($M151,IF(AND($G151&gt;=DT$5,$G151&lt;DT$5+GanttPeriod),"◆",IF(AND($E151&gt;=DT$5,$E151&lt;DT$5+GanttPeriod),"◇","")),IF(AND(DT$5&lt;=$F151,DT$5+GanttPeriod-1&gt;=$E151),"━","")))</f>
        <v/>
      </c>
      <c r="DU151" s="69" t="str">
        <f aca="false">IF($E151="","",IF($M151,IF(AND($G151&gt;=DU$5,$G151&lt;DU$5+GanttPeriod),"◆",IF(AND($E151&gt;=DU$5,$E151&lt;DU$5+GanttPeriod),"◇","")),IF(AND(DU$5&lt;=$F151,DU$5+GanttPeriod-1&gt;=$E151),"━","")))</f>
        <v/>
      </c>
      <c r="DV151" s="69" t="str">
        <f aca="false">IF($E151="","",IF($M151,IF(AND($G151&gt;=DV$5,$G151&lt;DV$5+GanttPeriod),"◆",IF(AND($E151&gt;=DV$5,$E151&lt;DV$5+GanttPeriod),"◇","")),IF(AND(DV$5&lt;=$F151,DV$5+GanttPeriod-1&gt;=$E151),"━","")))</f>
        <v/>
      </c>
      <c r="DW151" s="69" t="str">
        <f aca="false">IF($E151="","",IF($M151,IF(AND($G151&gt;=DW$5,$G151&lt;DW$5+GanttPeriod),"◆",IF(AND($E151&gt;=DW$5,$E151&lt;DW$5+GanttPeriod),"◇","")),IF(AND(DW$5&lt;=$F151,DW$5+GanttPeriod-1&gt;=$E151),"━","")))</f>
        <v/>
      </c>
      <c r="DX151" s="69" t="str">
        <f aca="false">IF($E151="","",IF($M151,IF(AND($G151&gt;=DX$5,$G151&lt;DX$5+GanttPeriod),"◆",IF(AND($E151&gt;=DX$5,$E151&lt;DX$5+GanttPeriod),"◇","")),IF(AND(DX$5&lt;=$F151,DX$5+GanttPeriod-1&gt;=$E151),"━","")))</f>
        <v/>
      </c>
      <c r="DY151" s="69" t="str">
        <f aca="false">IF($E151="","",IF($M151,IF(AND($G151&gt;=DY$5,$G151&lt;DY$5+GanttPeriod),"◆",IF(AND($E151&gt;=DY$5,$E151&lt;DY$5+GanttPeriod),"◇","")),IF(AND(DY$5&lt;=$F151,DY$5+GanttPeriod-1&gt;=$E151),"━","")))</f>
        <v/>
      </c>
      <c r="DZ151" s="69" t="str">
        <f aca="false">IF($E151="","",IF($M151,IF(AND($G151&gt;=DZ$5,$G151&lt;DZ$5+GanttPeriod),"◆",IF(AND($E151&gt;=DZ$5,$E151&lt;DZ$5+GanttPeriod),"◇","")),IF(AND(DZ$5&lt;=$F151,DZ$5+GanttPeriod-1&gt;=$E151),"━","")))</f>
        <v/>
      </c>
      <c r="EA151" s="69" t="str">
        <f aca="false">IF($E151="","",IF($M151,IF(AND($G151&gt;=EA$5,$G151&lt;EA$5+GanttPeriod),"◆",IF(AND($E151&gt;=EA$5,$E151&lt;EA$5+GanttPeriod),"◇","")),IF(AND(EA$5&lt;=$F151,EA$5+GanttPeriod-1&gt;=$E151),"━","")))</f>
        <v/>
      </c>
      <c r="EB151" s="69" t="str">
        <f aca="false">IF($E151="","",IF($M151,IF(AND($G151&gt;=EB$5,$G151&lt;EB$5+GanttPeriod),"◆",IF(AND($E151&gt;=EB$5,$E151&lt;EB$5+GanttPeriod),"◇","")),IF(AND(EB$5&lt;=$F151,EB$5+GanttPeriod-1&gt;=$E151),"━","")))</f>
        <v/>
      </c>
      <c r="EC151" s="69" t="str">
        <f aca="false">IF($E151="","",IF($M151,IF(AND($G151&gt;=EC$5,$G151&lt;EC$5+GanttPeriod),"◆",IF(AND($E151&gt;=EC$5,$E151&lt;EC$5+GanttPeriod),"◇","")),IF(AND(EC$5&lt;=$F151,EC$5+GanttPeriod-1&gt;=$E151),"━","")))</f>
        <v/>
      </c>
      <c r="ED151" s="69" t="str">
        <f aca="false">IF($E151="","",IF($M151,IF(AND($G151&gt;=ED$5,$G151&lt;ED$5+GanttPeriod),"◆",IF(AND($E151&gt;=ED$5,$E151&lt;ED$5+GanttPeriod),"◇","")),IF(AND(ED$5&lt;=$F151,ED$5+GanttPeriod-1&gt;=$E151),"━","")))</f>
        <v/>
      </c>
      <c r="EE151" s="69" t="str">
        <f aca="false">IF($E151="","",IF($M151,IF(AND($G151&gt;=EE$5,$G151&lt;EE$5+GanttPeriod),"◆",IF(AND($E151&gt;=EE$5,$E151&lt;EE$5+GanttPeriod),"◇","")),IF(AND(EE$5&lt;=$F151,EE$5+GanttPeriod-1&gt;=$E151),"━","")))</f>
        <v/>
      </c>
      <c r="EF151" s="69" t="str">
        <f aca="false">IF($E151="","",IF($M151,IF(AND($G151&gt;=EF$5,$G151&lt;EF$5+GanttPeriod),"◆",IF(AND($E151&gt;=EF$5,$E151&lt;EF$5+GanttPeriod),"◇","")),IF(AND(EF$5&lt;=$F151,EF$5+GanttPeriod-1&gt;=$E151),"━","")))</f>
        <v/>
      </c>
      <c r="EG151" s="69" t="str">
        <f aca="false">IF($E151="","",IF($M151,IF(AND($G151&gt;=EG$5,$G151&lt;EG$5+GanttPeriod),"◆",IF(AND($E151&gt;=EG$5,$E151&lt;EG$5+GanttPeriod),"◇","")),IF(AND(EG$5&lt;=$F151,EG$5+GanttPeriod-1&gt;=$E151),"━","")))</f>
        <v/>
      </c>
      <c r="EH151" s="69" t="str">
        <f aca="false">IF($E151="","",IF($M151,IF(AND($G151&gt;=EH$5,$G151&lt;EH$5+GanttPeriod),"◆",IF(AND($E151&gt;=EH$5,$E151&lt;EH$5+GanttPeriod),"◇","")),IF(AND(EH$5&lt;=$F151,EH$5+GanttPeriod-1&gt;=$E151),"━","")))</f>
        <v/>
      </c>
      <c r="EI151" s="69" t="str">
        <f aca="false">IF($E151="","",IF($M151,IF(AND($G151&gt;=EI$5,$G151&lt;EI$5+GanttPeriod),"◆",IF(AND($E151&gt;=EI$5,$E151&lt;EI$5+GanttPeriod),"◇","")),IF(AND(EI$5&lt;=$F151,EI$5+GanttPeriod-1&gt;=$E151),"━","")))</f>
        <v/>
      </c>
      <c r="EJ151" s="69" t="str">
        <f aca="false">IF($E151="","",IF($M151,IF(AND($G151&gt;=EJ$5,$G151&lt;EJ$5+GanttPeriod),"◆",IF(AND($E151&gt;=EJ$5,$E151&lt;EJ$5+GanttPeriod),"◇","")),IF(AND(EJ$5&lt;=$F151,EJ$5+GanttPeriod-1&gt;=$E151),"━","")))</f>
        <v/>
      </c>
      <c r="EK151" s="69" t="str">
        <f aca="false">IF($E151="","",IF($M151,IF(AND($G151&gt;=EK$5,$G151&lt;EK$5+GanttPeriod),"◆",IF(AND($E151&gt;=EK$5,$E151&lt;EK$5+GanttPeriod),"◇","")),IF(AND(EK$5&lt;=$F151,EK$5+GanttPeriod-1&gt;=$E151),"━","")))</f>
        <v/>
      </c>
      <c r="EL151" s="69" t="str">
        <f aca="false">IF($E151="","",IF($M151,IF(AND($G151&gt;=EL$5,$G151&lt;EL$5+GanttPeriod),"◆",IF(AND($E151&gt;=EL$5,$E151&lt;EL$5+GanttPeriod),"◇","")),IF(AND(EL$5&lt;=$F151,EL$5+GanttPeriod-1&gt;=$E151),"━","")))</f>
        <v/>
      </c>
      <c r="EM151" s="69" t="str">
        <f aca="false">IF($E151="","",IF($M151,IF(AND($G151&gt;=EM$5,$G151&lt;EM$5+GanttPeriod),"◆",IF(AND($E151&gt;=EM$5,$E151&lt;EM$5+GanttPeriod),"◇","")),IF(AND(EM$5&lt;=$F151,EM$5+GanttPeriod-1&gt;=$E151),"━","")))</f>
        <v/>
      </c>
      <c r="EN151" s="69" t="str">
        <f aca="false">IF($E151="","",IF($M151,IF(AND($G151&gt;=EN$5,$G151&lt;EN$5+GanttPeriod),"◆",IF(AND($E151&gt;=EN$5,$E151&lt;EN$5+GanttPeriod),"◇","")),IF(AND(EN$5&lt;=$F151,EN$5+GanttPeriod-1&gt;=$E151),"━","")))</f>
        <v/>
      </c>
      <c r="EO151" s="69" t="str">
        <f aca="false">IF($E151="","",IF($M151,IF(AND($G151&gt;=EO$5,$G151&lt;EO$5+GanttPeriod),"◆",IF(AND($E151&gt;=EO$5,$E151&lt;EO$5+GanttPeriod),"◇","")),IF(AND(EO$5&lt;=$F151,EO$5+GanttPeriod-1&gt;=$E151),"━","")))</f>
        <v/>
      </c>
      <c r="EP151" s="69" t="str">
        <f aca="false">IF($E151="","",IF($M151,IF(AND($G151&gt;=EP$5,$G151&lt;EP$5+GanttPeriod),"◆",IF(AND($E151&gt;=EP$5,$E151&lt;EP$5+GanttPeriod),"◇","")),IF(AND(EP$5&lt;=$F151,EP$5+GanttPeriod-1&gt;=$E151),"━","")))</f>
        <v/>
      </c>
      <c r="EQ151" s="69" t="str">
        <f aca="false">IF($E151="","",IF($M151,IF(AND($G151&gt;=EQ$5,$G151&lt;EQ$5+GanttPeriod),"◆",IF(AND($E151&gt;=EQ$5,$E151&lt;EQ$5+GanttPeriod),"◇","")),IF(AND(EQ$5&lt;=$F151,EQ$5+GanttPeriod-1&gt;=$E151),"━","")))</f>
        <v/>
      </c>
      <c r="ER151" s="69" t="str">
        <f aca="false">IF($E151="","",IF($M151,IF(AND($G151&gt;=ER$5,$G151&lt;ER$5+GanttPeriod),"◆",IF(AND($E151&gt;=ER$5,$E151&lt;ER$5+GanttPeriod),"◇","")),IF(AND(ER$5&lt;=$F151,ER$5+GanttPeriod-1&gt;=$E151),"━","")))</f>
        <v/>
      </c>
      <c r="ES151" s="69" t="str">
        <f aca="false">IF($E151="","",IF($M151,IF(AND($G151&gt;=ES$5,$G151&lt;ES$5+GanttPeriod),"◆",IF(AND($E151&gt;=ES$5,$E151&lt;ES$5+GanttPeriod),"◇","")),IF(AND(ES$5&lt;=$F151,ES$5+GanttPeriod-1&gt;=$E151),"━","")))</f>
        <v/>
      </c>
      <c r="ET151" s="69" t="str">
        <f aca="false">IF($E151="","",IF($M151,IF(AND($G151&gt;=ET$5,$G151&lt;ET$5+GanttPeriod),"◆",IF(AND($E151&gt;=ET$5,$E151&lt;ET$5+GanttPeriod),"◇","")),IF(AND(ET$5&lt;=$F151,ET$5+GanttPeriod-1&gt;=$E151),"━","")))</f>
        <v/>
      </c>
      <c r="EU151" s="69" t="str">
        <f aca="false">IF($E151="","",IF($M151,IF(AND($G151&gt;=EU$5,$G151&lt;EU$5+GanttPeriod),"◆",IF(AND($E151&gt;=EU$5,$E151&lt;EU$5+GanttPeriod),"◇","")),IF(AND(EU$5&lt;=$F151,EU$5+GanttPeriod-1&gt;=$E151),"━","")))</f>
        <v/>
      </c>
      <c r="EV151" s="69" t="str">
        <f aca="false">IF($E151="","",IF($M151,IF(AND($G151&gt;=EV$5,$G151&lt;EV$5+GanttPeriod),"◆",IF(AND($E151&gt;=EV$5,$E151&lt;EV$5+GanttPeriod),"◇","")),IF(AND(EV$5&lt;=$F151,EV$5+GanttPeriod-1&gt;=$E151),"━","")))</f>
        <v/>
      </c>
      <c r="EW151" s="69" t="str">
        <f aca="false">IF($E151="","",IF($M151,IF(AND($G151&gt;=EW$5,$G151&lt;EW$5+GanttPeriod),"◆",IF(AND($E151&gt;=EW$5,$E151&lt;EW$5+GanttPeriod),"◇","")),IF(AND(EW$5&lt;=$F151,EW$5+GanttPeriod-1&gt;=$E151),"━","")))</f>
        <v/>
      </c>
      <c r="EX151" s="69" t="str">
        <f aca="false">IF($E151="","",IF($M151,IF(AND($G151&gt;=EX$5,$G151&lt;EX$5+GanttPeriod),"◆",IF(AND($E151&gt;=EX$5,$E151&lt;EX$5+GanttPeriod),"◇","")),IF(AND(EX$5&lt;=$F151,EX$5+GanttPeriod-1&gt;=$E151),"━","")))</f>
        <v/>
      </c>
      <c r="EY151" s="69" t="str">
        <f aca="false">IF($E151="","",IF($M151,IF(AND($G151&gt;=EY$5,$G151&lt;EY$5+GanttPeriod),"◆",IF(AND($E151&gt;=EY$5,$E151&lt;EY$5+GanttPeriod),"◇","")),IF(AND(EY$5&lt;=$F151,EY$5+GanttPeriod-1&gt;=$E151),"━","")))</f>
        <v/>
      </c>
      <c r="EZ151" s="69" t="str">
        <f aca="false">IF($E151="","",IF($M151,IF(AND($G151&gt;=EZ$5,$G151&lt;EZ$5+GanttPeriod),"◆",IF(AND($E151&gt;=EZ$5,$E151&lt;EZ$5+GanttPeriod),"◇","")),IF(AND(EZ$5&lt;=$F151,EZ$5+GanttPeriod-1&gt;=$E151),"━","")))</f>
        <v/>
      </c>
      <c r="FA151" s="69" t="str">
        <f aca="false">IF($E151="","",IF($M151,IF(AND($G151&gt;=FA$5,$G151&lt;FA$5+GanttPeriod),"◆",IF(AND($E151&gt;=FA$5,$E151&lt;FA$5+GanttPeriod),"◇","")),IF(AND(FA$5&lt;=$F151,FA$5+GanttPeriod-1&gt;=$E151),"━","")))</f>
        <v/>
      </c>
      <c r="FB151" s="69" t="str">
        <f aca="false">IF($E151="","",IF($M151,IF(AND($G151&gt;=FB$5,$G151&lt;FB$5+GanttPeriod),"◆",IF(AND($E151&gt;=FB$5,$E151&lt;FB$5+GanttPeriod),"◇","")),IF(AND(FB$5&lt;=$F151,FB$5+GanttPeriod-1&gt;=$E151),"━","")))</f>
        <v/>
      </c>
      <c r="FC151" s="69" t="str">
        <f aca="false">IF($E151="","",IF($M151,IF(AND($G151&gt;=FC$5,$G151&lt;FC$5+GanttPeriod),"◆",IF(AND($E151&gt;=FC$5,$E151&lt;FC$5+GanttPeriod),"◇","")),IF(AND(FC$5&lt;=$F151,FC$5+GanttPeriod-1&gt;=$E151),"━","")))</f>
        <v/>
      </c>
      <c r="FD151" s="69" t="str">
        <f aca="false">IF($E151="","",IF($M151,IF(AND($G151&gt;=FD$5,$G151&lt;FD$5+GanttPeriod),"◆",IF(AND($E151&gt;=FD$5,$E151&lt;FD$5+GanttPeriod),"◇","")),IF(AND(FD$5&lt;=$F151,FD$5+GanttPeriod-1&gt;=$E151),"━","")))</f>
        <v/>
      </c>
      <c r="FE151" s="69" t="str">
        <f aca="false">IF($E151="","",IF($M151,IF(AND($G151&gt;=FE$5,$G151&lt;FE$5+GanttPeriod),"◆",IF(AND($E151&gt;=FE$5,$E151&lt;FE$5+GanttPeriod),"◇","")),IF(AND(FE$5&lt;=$F151,FE$5+GanttPeriod-1&gt;=$E151),"━","")))</f>
        <v/>
      </c>
      <c r="FF151" s="69" t="str">
        <f aca="false">IF($E151="","",IF($M151,IF(AND($G151&gt;=FF$5,$G151&lt;FF$5+GanttPeriod),"◆",IF(AND($E151&gt;=FF$5,$E151&lt;FF$5+GanttPeriod),"◇","")),IF(AND(FF$5&lt;=$F151,FF$5+GanttPeriod-1&gt;=$E151),"━","")))</f>
        <v/>
      </c>
      <c r="FG151" s="69" t="str">
        <f aca="false">IF($E151="","",IF($M151,IF(AND($G151&gt;=FG$5,$G151&lt;FG$5+GanttPeriod),"◆",IF(AND($E151&gt;=FG$5,$E151&lt;FG$5+GanttPeriod),"◇","")),IF(AND(FG$5&lt;=$F151,FG$5+GanttPeriod-1&gt;=$E151),"━","")))</f>
        <v/>
      </c>
      <c r="FH151" s="69" t="str">
        <f aca="false">IF($E151="","",IF($M151,IF(AND($G151&gt;=FH$5,$G151&lt;FH$5+GanttPeriod),"◆",IF(AND($E151&gt;=FH$5,$E151&lt;FH$5+GanttPeriod),"◇","")),IF(AND(FH$5&lt;=$F151,FH$5+GanttPeriod-1&gt;=$E151),"━","")))</f>
        <v/>
      </c>
      <c r="FI151" s="69" t="str">
        <f aca="false">IF($E151="","",IF($M151,IF(AND($G151&gt;=FI$5,$G151&lt;FI$5+GanttPeriod),"◆",IF(AND($E151&gt;=FI$5,$E151&lt;FI$5+GanttPeriod),"◇","")),IF(AND(FI$5&lt;=$F151,FI$5+GanttPeriod-1&gt;=$E151),"━","")))</f>
        <v/>
      </c>
      <c r="FJ151" s="69" t="str">
        <f aca="false">IF($E151="","",IF($M151,IF(AND($G151&gt;=FJ$5,$G151&lt;FJ$5+GanttPeriod),"◆",IF(AND($E151&gt;=FJ$5,$E151&lt;FJ$5+GanttPeriod),"◇","")),IF(AND(FJ$5&lt;=$F151,FJ$5+GanttPeriod-1&gt;=$E151),"━","")))</f>
        <v/>
      </c>
      <c r="FK151" s="69" t="str">
        <f aca="false">IF($E151="","",IF($M151,IF(AND($G151&gt;=FK$5,$G151&lt;FK$5+GanttPeriod),"◆",IF(AND($E151&gt;=FK$5,$E151&lt;FK$5+GanttPeriod),"◇","")),IF(AND(FK$5&lt;=$F151,FK$5+GanttPeriod-1&gt;=$E151),"━","")))</f>
        <v/>
      </c>
      <c r="FL151" s="69" t="str">
        <f aca="false">IF($E151="","",IF($M151,IF(AND($G151&gt;=FL$5,$G151&lt;FL$5+GanttPeriod),"◆",IF(AND($E151&gt;=FL$5,$E151&lt;FL$5+GanttPeriod),"◇","")),IF(AND(FL$5&lt;=$F151,FL$5+GanttPeriod-1&gt;=$E151),"━","")))</f>
        <v/>
      </c>
      <c r="FM151" s="69" t="str">
        <f aca="false">IF($E151="","",IF($M151,IF(AND($G151&gt;=FM$5,$G151&lt;FM$5+GanttPeriod),"◆",IF(AND($E151&gt;=FM$5,$E151&lt;FM$5+GanttPeriod),"◇","")),IF(AND(FM$5&lt;=$F151,FM$5+GanttPeriod-1&gt;=$E151),"━","")))</f>
        <v/>
      </c>
    </row>
    <row r="152" customFormat="false" ht="15" hidden="false" customHeight="false" outlineLevel="0" collapsed="false">
      <c r="A152" s="62" t="str">
        <f aca="false">IF(Tasks!$D152="","",Tasks!$A152)</f>
        <v/>
      </c>
      <c r="B152" s="62" t="str">
        <f aca="false">IF(Tasks!$D152="","",Tasks!$B152)</f>
        <v/>
      </c>
      <c r="C152" s="63" t="str">
        <f aca="false">IF(Tasks!$D152="","",REPT("    ",Tasks!$AE152-1)&amp;Tasks!$D152)</f>
        <v/>
      </c>
      <c r="D152" s="62" t="str">
        <f aca="false">IF(Tasks!$D152="","",IF(Tasks!$AI152,NETWORKDAYS.INTL(Tasks!$R152,Tasks!$S152,WorkWeek,Holidays),N(Tasks!$F152)))</f>
        <v/>
      </c>
      <c r="E152" s="64" t="str">
        <f aca="false">IF(Tasks!$D152="","",Tasks!$N152)</f>
        <v/>
      </c>
      <c r="F152" s="64" t="str">
        <f aca="false">IF(Tasks!$D152="","",Tasks!$O152)</f>
        <v/>
      </c>
      <c r="G152" s="64" t="str">
        <f aca="false">IF(Tasks!$D152="","",Tasks!$R152)</f>
        <v/>
      </c>
      <c r="H152" s="64" t="str">
        <f aca="false">IF(Tasks!$D152="","",Tasks!$S152)</f>
        <v/>
      </c>
      <c r="I152" s="65" t="str">
        <f aca="false">IF(Tasks!$D152="","",Tasks!$V152)</f>
        <v/>
      </c>
      <c r="J152" s="63" t="str">
        <f aca="false">IF(Tasks!$D152="","",Tasks!$X152&amp;"")</f>
        <v/>
      </c>
      <c r="K152" s="66" t="str">
        <f aca="false">IF(Tasks!$D152="","",Tasks!$W152)</f>
        <v/>
      </c>
      <c r="L152" s="67" t="b">
        <f aca="false">IF(Tasks!$D152="",FALSE(),Tasks!$AI152)</f>
        <v>0</v>
      </c>
      <c r="M152" s="67" t="b">
        <f aca="false">AND(Tasks!$AJ152=1,N(Tasks!$F152)=0)</f>
        <v>0</v>
      </c>
      <c r="N152" s="68" t="n">
        <f aca="false">IF(AND(Tasks!$AJ152=1,NOT($M152),N($I152)&gt;0),$G152,0)</f>
        <v>0</v>
      </c>
      <c r="O152" s="68" t="n">
        <f aca="false">IF($N152=0,0,IF($I152&gt;=1,$H152,MAX($N152,$G152+ROUND(($H152-$G152+1)*$I152,0)-1)))</f>
        <v>0</v>
      </c>
      <c r="P152" s="68" t="n">
        <f aca="false">IF(OR(Tasks!$AJ152&lt;&gt;1,$M152,N($I152)&gt;=1),0,IF($O152&gt;0,$O152+1,$G152))</f>
        <v>0</v>
      </c>
      <c r="Q152" s="68" t="n">
        <f aca="false">IF($P152=0,0,$H152)</f>
        <v>0</v>
      </c>
      <c r="R152" s="67" t="b">
        <f aca="false">AND(Tasks!$D152&lt;&gt;"",N(Tasks!$T152)&gt;0)</f>
        <v>0</v>
      </c>
      <c r="T152" s="69" t="str">
        <f aca="false">IF($E152="","",IF($M152,IF(AND($G152&gt;=T$5,$G152&lt;T$5+GanttPeriod),"◆",IF(AND($E152&gt;=T$5,$E152&lt;T$5+GanttPeriod),"◇","")),IF(AND(T$5&lt;=$F152,T$5+GanttPeriod-1&gt;=$E152),"━","")))</f>
        <v/>
      </c>
      <c r="U152" s="69" t="str">
        <f aca="false">IF($E152="","",IF($M152,IF(AND($G152&gt;=U$5,$G152&lt;U$5+GanttPeriod),"◆",IF(AND($E152&gt;=U$5,$E152&lt;U$5+GanttPeriod),"◇","")),IF(AND(U$5&lt;=$F152,U$5+GanttPeriod-1&gt;=$E152),"━","")))</f>
        <v/>
      </c>
      <c r="V152" s="69" t="str">
        <f aca="false">IF($E152="","",IF($M152,IF(AND($G152&gt;=V$5,$G152&lt;V$5+GanttPeriod),"◆",IF(AND($E152&gt;=V$5,$E152&lt;V$5+GanttPeriod),"◇","")),IF(AND(V$5&lt;=$F152,V$5+GanttPeriod-1&gt;=$E152),"━","")))</f>
        <v/>
      </c>
      <c r="W152" s="69" t="str">
        <f aca="false">IF($E152="","",IF($M152,IF(AND($G152&gt;=W$5,$G152&lt;W$5+GanttPeriod),"◆",IF(AND($E152&gt;=W$5,$E152&lt;W$5+GanttPeriod),"◇","")),IF(AND(W$5&lt;=$F152,W$5+GanttPeriod-1&gt;=$E152),"━","")))</f>
        <v/>
      </c>
      <c r="X152" s="69" t="str">
        <f aca="false">IF($E152="","",IF($M152,IF(AND($G152&gt;=X$5,$G152&lt;X$5+GanttPeriod),"◆",IF(AND($E152&gt;=X$5,$E152&lt;X$5+GanttPeriod),"◇","")),IF(AND(X$5&lt;=$F152,X$5+GanttPeriod-1&gt;=$E152),"━","")))</f>
        <v/>
      </c>
      <c r="Y152" s="69" t="str">
        <f aca="false">IF($E152="","",IF($M152,IF(AND($G152&gt;=Y$5,$G152&lt;Y$5+GanttPeriod),"◆",IF(AND($E152&gt;=Y$5,$E152&lt;Y$5+GanttPeriod),"◇","")),IF(AND(Y$5&lt;=$F152,Y$5+GanttPeriod-1&gt;=$E152),"━","")))</f>
        <v/>
      </c>
      <c r="Z152" s="69" t="str">
        <f aca="false">IF($E152="","",IF($M152,IF(AND($G152&gt;=Z$5,$G152&lt;Z$5+GanttPeriod),"◆",IF(AND($E152&gt;=Z$5,$E152&lt;Z$5+GanttPeriod),"◇","")),IF(AND(Z$5&lt;=$F152,Z$5+GanttPeriod-1&gt;=$E152),"━","")))</f>
        <v/>
      </c>
      <c r="AA152" s="69" t="str">
        <f aca="false">IF($E152="","",IF($M152,IF(AND($G152&gt;=AA$5,$G152&lt;AA$5+GanttPeriod),"◆",IF(AND($E152&gt;=AA$5,$E152&lt;AA$5+GanttPeriod),"◇","")),IF(AND(AA$5&lt;=$F152,AA$5+GanttPeriod-1&gt;=$E152),"━","")))</f>
        <v/>
      </c>
      <c r="AB152" s="69" t="str">
        <f aca="false">IF($E152="","",IF($M152,IF(AND($G152&gt;=AB$5,$G152&lt;AB$5+GanttPeriod),"◆",IF(AND($E152&gt;=AB$5,$E152&lt;AB$5+GanttPeriod),"◇","")),IF(AND(AB$5&lt;=$F152,AB$5+GanttPeriod-1&gt;=$E152),"━","")))</f>
        <v/>
      </c>
      <c r="AC152" s="69" t="str">
        <f aca="false">IF($E152="","",IF($M152,IF(AND($G152&gt;=AC$5,$G152&lt;AC$5+GanttPeriod),"◆",IF(AND($E152&gt;=AC$5,$E152&lt;AC$5+GanttPeriod),"◇","")),IF(AND(AC$5&lt;=$F152,AC$5+GanttPeriod-1&gt;=$E152),"━","")))</f>
        <v/>
      </c>
      <c r="AD152" s="69" t="str">
        <f aca="false">IF($E152="","",IF($M152,IF(AND($G152&gt;=AD$5,$G152&lt;AD$5+GanttPeriod),"◆",IF(AND($E152&gt;=AD$5,$E152&lt;AD$5+GanttPeriod),"◇","")),IF(AND(AD$5&lt;=$F152,AD$5+GanttPeriod-1&gt;=$E152),"━","")))</f>
        <v/>
      </c>
      <c r="AE152" s="69" t="str">
        <f aca="false">IF($E152="","",IF($M152,IF(AND($G152&gt;=AE$5,$G152&lt;AE$5+GanttPeriod),"◆",IF(AND($E152&gt;=AE$5,$E152&lt;AE$5+GanttPeriod),"◇","")),IF(AND(AE$5&lt;=$F152,AE$5+GanttPeriod-1&gt;=$E152),"━","")))</f>
        <v/>
      </c>
      <c r="AF152" s="69" t="str">
        <f aca="false">IF($E152="","",IF($M152,IF(AND($G152&gt;=AF$5,$G152&lt;AF$5+GanttPeriod),"◆",IF(AND($E152&gt;=AF$5,$E152&lt;AF$5+GanttPeriod),"◇","")),IF(AND(AF$5&lt;=$F152,AF$5+GanttPeriod-1&gt;=$E152),"━","")))</f>
        <v/>
      </c>
      <c r="AG152" s="69" t="str">
        <f aca="false">IF($E152="","",IF($M152,IF(AND($G152&gt;=AG$5,$G152&lt;AG$5+GanttPeriod),"◆",IF(AND($E152&gt;=AG$5,$E152&lt;AG$5+GanttPeriod),"◇","")),IF(AND(AG$5&lt;=$F152,AG$5+GanttPeriod-1&gt;=$E152),"━","")))</f>
        <v/>
      </c>
      <c r="AH152" s="69" t="str">
        <f aca="false">IF($E152="","",IF($M152,IF(AND($G152&gt;=AH$5,$G152&lt;AH$5+GanttPeriod),"◆",IF(AND($E152&gt;=AH$5,$E152&lt;AH$5+GanttPeriod),"◇","")),IF(AND(AH$5&lt;=$F152,AH$5+GanttPeriod-1&gt;=$E152),"━","")))</f>
        <v/>
      </c>
      <c r="AI152" s="69" t="str">
        <f aca="false">IF($E152="","",IF($M152,IF(AND($G152&gt;=AI$5,$G152&lt;AI$5+GanttPeriod),"◆",IF(AND($E152&gt;=AI$5,$E152&lt;AI$5+GanttPeriod),"◇","")),IF(AND(AI$5&lt;=$F152,AI$5+GanttPeriod-1&gt;=$E152),"━","")))</f>
        <v/>
      </c>
      <c r="AJ152" s="69" t="str">
        <f aca="false">IF($E152="","",IF($M152,IF(AND($G152&gt;=AJ$5,$G152&lt;AJ$5+GanttPeriod),"◆",IF(AND($E152&gt;=AJ$5,$E152&lt;AJ$5+GanttPeriod),"◇","")),IF(AND(AJ$5&lt;=$F152,AJ$5+GanttPeriod-1&gt;=$E152),"━","")))</f>
        <v/>
      </c>
      <c r="AK152" s="69" t="str">
        <f aca="false">IF($E152="","",IF($M152,IF(AND($G152&gt;=AK$5,$G152&lt;AK$5+GanttPeriod),"◆",IF(AND($E152&gt;=AK$5,$E152&lt;AK$5+GanttPeriod),"◇","")),IF(AND(AK$5&lt;=$F152,AK$5+GanttPeriod-1&gt;=$E152),"━","")))</f>
        <v/>
      </c>
      <c r="AL152" s="69" t="str">
        <f aca="false">IF($E152="","",IF($M152,IF(AND($G152&gt;=AL$5,$G152&lt;AL$5+GanttPeriod),"◆",IF(AND($E152&gt;=AL$5,$E152&lt;AL$5+GanttPeriod),"◇","")),IF(AND(AL$5&lt;=$F152,AL$5+GanttPeriod-1&gt;=$E152),"━","")))</f>
        <v/>
      </c>
      <c r="AM152" s="69" t="str">
        <f aca="false">IF($E152="","",IF($M152,IF(AND($G152&gt;=AM$5,$G152&lt;AM$5+GanttPeriod),"◆",IF(AND($E152&gt;=AM$5,$E152&lt;AM$5+GanttPeriod),"◇","")),IF(AND(AM$5&lt;=$F152,AM$5+GanttPeriod-1&gt;=$E152),"━","")))</f>
        <v/>
      </c>
      <c r="AN152" s="69" t="str">
        <f aca="false">IF($E152="","",IF($M152,IF(AND($G152&gt;=AN$5,$G152&lt;AN$5+GanttPeriod),"◆",IF(AND($E152&gt;=AN$5,$E152&lt;AN$5+GanttPeriod),"◇","")),IF(AND(AN$5&lt;=$F152,AN$5+GanttPeriod-1&gt;=$E152),"━","")))</f>
        <v/>
      </c>
      <c r="AO152" s="69" t="str">
        <f aca="false">IF($E152="","",IF($M152,IF(AND($G152&gt;=AO$5,$G152&lt;AO$5+GanttPeriod),"◆",IF(AND($E152&gt;=AO$5,$E152&lt;AO$5+GanttPeriod),"◇","")),IF(AND(AO$5&lt;=$F152,AO$5+GanttPeriod-1&gt;=$E152),"━","")))</f>
        <v/>
      </c>
      <c r="AP152" s="69" t="str">
        <f aca="false">IF($E152="","",IF($M152,IF(AND($G152&gt;=AP$5,$G152&lt;AP$5+GanttPeriod),"◆",IF(AND($E152&gt;=AP$5,$E152&lt;AP$5+GanttPeriod),"◇","")),IF(AND(AP$5&lt;=$F152,AP$5+GanttPeriod-1&gt;=$E152),"━","")))</f>
        <v/>
      </c>
      <c r="AQ152" s="69" t="str">
        <f aca="false">IF($E152="","",IF($M152,IF(AND($G152&gt;=AQ$5,$G152&lt;AQ$5+GanttPeriod),"◆",IF(AND($E152&gt;=AQ$5,$E152&lt;AQ$5+GanttPeriod),"◇","")),IF(AND(AQ$5&lt;=$F152,AQ$5+GanttPeriod-1&gt;=$E152),"━","")))</f>
        <v/>
      </c>
      <c r="AR152" s="69" t="str">
        <f aca="false">IF($E152="","",IF($M152,IF(AND($G152&gt;=AR$5,$G152&lt;AR$5+GanttPeriod),"◆",IF(AND($E152&gt;=AR$5,$E152&lt;AR$5+GanttPeriod),"◇","")),IF(AND(AR$5&lt;=$F152,AR$5+GanttPeriod-1&gt;=$E152),"━","")))</f>
        <v/>
      </c>
      <c r="AS152" s="69" t="str">
        <f aca="false">IF($E152="","",IF($M152,IF(AND($G152&gt;=AS$5,$G152&lt;AS$5+GanttPeriod),"◆",IF(AND($E152&gt;=AS$5,$E152&lt;AS$5+GanttPeriod),"◇","")),IF(AND(AS$5&lt;=$F152,AS$5+GanttPeriod-1&gt;=$E152),"━","")))</f>
        <v/>
      </c>
      <c r="AT152" s="69" t="str">
        <f aca="false">IF($E152="","",IF($M152,IF(AND($G152&gt;=AT$5,$G152&lt;AT$5+GanttPeriod),"◆",IF(AND($E152&gt;=AT$5,$E152&lt;AT$5+GanttPeriod),"◇","")),IF(AND(AT$5&lt;=$F152,AT$5+GanttPeriod-1&gt;=$E152),"━","")))</f>
        <v/>
      </c>
      <c r="AU152" s="69" t="str">
        <f aca="false">IF($E152="","",IF($M152,IF(AND($G152&gt;=AU$5,$G152&lt;AU$5+GanttPeriod),"◆",IF(AND($E152&gt;=AU$5,$E152&lt;AU$5+GanttPeriod),"◇","")),IF(AND(AU$5&lt;=$F152,AU$5+GanttPeriod-1&gt;=$E152),"━","")))</f>
        <v/>
      </c>
      <c r="AV152" s="69" t="str">
        <f aca="false">IF($E152="","",IF($M152,IF(AND($G152&gt;=AV$5,$G152&lt;AV$5+GanttPeriod),"◆",IF(AND($E152&gt;=AV$5,$E152&lt;AV$5+GanttPeriod),"◇","")),IF(AND(AV$5&lt;=$F152,AV$5+GanttPeriod-1&gt;=$E152),"━","")))</f>
        <v/>
      </c>
      <c r="AW152" s="69" t="str">
        <f aca="false">IF($E152="","",IF($M152,IF(AND($G152&gt;=AW$5,$G152&lt;AW$5+GanttPeriod),"◆",IF(AND($E152&gt;=AW$5,$E152&lt;AW$5+GanttPeriod),"◇","")),IF(AND(AW$5&lt;=$F152,AW$5+GanttPeriod-1&gt;=$E152),"━","")))</f>
        <v/>
      </c>
      <c r="AX152" s="69" t="str">
        <f aca="false">IF($E152="","",IF($M152,IF(AND($G152&gt;=AX$5,$G152&lt;AX$5+GanttPeriod),"◆",IF(AND($E152&gt;=AX$5,$E152&lt;AX$5+GanttPeriod),"◇","")),IF(AND(AX$5&lt;=$F152,AX$5+GanttPeriod-1&gt;=$E152),"━","")))</f>
        <v/>
      </c>
      <c r="AY152" s="69" t="str">
        <f aca="false">IF($E152="","",IF($M152,IF(AND($G152&gt;=AY$5,$G152&lt;AY$5+GanttPeriod),"◆",IF(AND($E152&gt;=AY$5,$E152&lt;AY$5+GanttPeriod),"◇","")),IF(AND(AY$5&lt;=$F152,AY$5+GanttPeriod-1&gt;=$E152),"━","")))</f>
        <v/>
      </c>
      <c r="AZ152" s="69" t="str">
        <f aca="false">IF($E152="","",IF($M152,IF(AND($G152&gt;=AZ$5,$G152&lt;AZ$5+GanttPeriod),"◆",IF(AND($E152&gt;=AZ$5,$E152&lt;AZ$5+GanttPeriod),"◇","")),IF(AND(AZ$5&lt;=$F152,AZ$5+GanttPeriod-1&gt;=$E152),"━","")))</f>
        <v/>
      </c>
      <c r="BA152" s="69" t="str">
        <f aca="false">IF($E152="","",IF($M152,IF(AND($G152&gt;=BA$5,$G152&lt;BA$5+GanttPeriod),"◆",IF(AND($E152&gt;=BA$5,$E152&lt;BA$5+GanttPeriod),"◇","")),IF(AND(BA$5&lt;=$F152,BA$5+GanttPeriod-1&gt;=$E152),"━","")))</f>
        <v/>
      </c>
      <c r="BB152" s="69" t="str">
        <f aca="false">IF($E152="","",IF($M152,IF(AND($G152&gt;=BB$5,$G152&lt;BB$5+GanttPeriod),"◆",IF(AND($E152&gt;=BB$5,$E152&lt;BB$5+GanttPeriod),"◇","")),IF(AND(BB$5&lt;=$F152,BB$5+GanttPeriod-1&gt;=$E152),"━","")))</f>
        <v/>
      </c>
      <c r="BC152" s="69" t="str">
        <f aca="false">IF($E152="","",IF($M152,IF(AND($G152&gt;=BC$5,$G152&lt;BC$5+GanttPeriod),"◆",IF(AND($E152&gt;=BC$5,$E152&lt;BC$5+GanttPeriod),"◇","")),IF(AND(BC$5&lt;=$F152,BC$5+GanttPeriod-1&gt;=$E152),"━","")))</f>
        <v/>
      </c>
      <c r="BD152" s="69" t="str">
        <f aca="false">IF($E152="","",IF($M152,IF(AND($G152&gt;=BD$5,$G152&lt;BD$5+GanttPeriod),"◆",IF(AND($E152&gt;=BD$5,$E152&lt;BD$5+GanttPeriod),"◇","")),IF(AND(BD$5&lt;=$F152,BD$5+GanttPeriod-1&gt;=$E152),"━","")))</f>
        <v/>
      </c>
      <c r="BE152" s="69" t="str">
        <f aca="false">IF($E152="","",IF($M152,IF(AND($G152&gt;=BE$5,$G152&lt;BE$5+GanttPeriod),"◆",IF(AND($E152&gt;=BE$5,$E152&lt;BE$5+GanttPeriod),"◇","")),IF(AND(BE$5&lt;=$F152,BE$5+GanttPeriod-1&gt;=$E152),"━","")))</f>
        <v/>
      </c>
      <c r="BF152" s="69" t="str">
        <f aca="false">IF($E152="","",IF($M152,IF(AND($G152&gt;=BF$5,$G152&lt;BF$5+GanttPeriod),"◆",IF(AND($E152&gt;=BF$5,$E152&lt;BF$5+GanttPeriod),"◇","")),IF(AND(BF$5&lt;=$F152,BF$5+GanttPeriod-1&gt;=$E152),"━","")))</f>
        <v/>
      </c>
      <c r="BG152" s="69" t="str">
        <f aca="false">IF($E152="","",IF($M152,IF(AND($G152&gt;=BG$5,$G152&lt;BG$5+GanttPeriod),"◆",IF(AND($E152&gt;=BG$5,$E152&lt;BG$5+GanttPeriod),"◇","")),IF(AND(BG$5&lt;=$F152,BG$5+GanttPeriod-1&gt;=$E152),"━","")))</f>
        <v/>
      </c>
      <c r="BH152" s="69" t="str">
        <f aca="false">IF($E152="","",IF($M152,IF(AND($G152&gt;=BH$5,$G152&lt;BH$5+GanttPeriod),"◆",IF(AND($E152&gt;=BH$5,$E152&lt;BH$5+GanttPeriod),"◇","")),IF(AND(BH$5&lt;=$F152,BH$5+GanttPeriod-1&gt;=$E152),"━","")))</f>
        <v/>
      </c>
      <c r="BI152" s="69" t="str">
        <f aca="false">IF($E152="","",IF($M152,IF(AND($G152&gt;=BI$5,$G152&lt;BI$5+GanttPeriod),"◆",IF(AND($E152&gt;=BI$5,$E152&lt;BI$5+GanttPeriod),"◇","")),IF(AND(BI$5&lt;=$F152,BI$5+GanttPeriod-1&gt;=$E152),"━","")))</f>
        <v/>
      </c>
      <c r="BJ152" s="69" t="str">
        <f aca="false">IF($E152="","",IF($M152,IF(AND($G152&gt;=BJ$5,$G152&lt;BJ$5+GanttPeriod),"◆",IF(AND($E152&gt;=BJ$5,$E152&lt;BJ$5+GanttPeriod),"◇","")),IF(AND(BJ$5&lt;=$F152,BJ$5+GanttPeriod-1&gt;=$E152),"━","")))</f>
        <v/>
      </c>
      <c r="BK152" s="69" t="str">
        <f aca="false">IF($E152="","",IF($M152,IF(AND($G152&gt;=BK$5,$G152&lt;BK$5+GanttPeriod),"◆",IF(AND($E152&gt;=BK$5,$E152&lt;BK$5+GanttPeriod),"◇","")),IF(AND(BK$5&lt;=$F152,BK$5+GanttPeriod-1&gt;=$E152),"━","")))</f>
        <v/>
      </c>
      <c r="BL152" s="69" t="str">
        <f aca="false">IF($E152="","",IF($M152,IF(AND($G152&gt;=BL$5,$G152&lt;BL$5+GanttPeriod),"◆",IF(AND($E152&gt;=BL$5,$E152&lt;BL$5+GanttPeriod),"◇","")),IF(AND(BL$5&lt;=$F152,BL$5+GanttPeriod-1&gt;=$E152),"━","")))</f>
        <v/>
      </c>
      <c r="BM152" s="69" t="str">
        <f aca="false">IF($E152="","",IF($M152,IF(AND($G152&gt;=BM$5,$G152&lt;BM$5+GanttPeriod),"◆",IF(AND($E152&gt;=BM$5,$E152&lt;BM$5+GanttPeriod),"◇","")),IF(AND(BM$5&lt;=$F152,BM$5+GanttPeriod-1&gt;=$E152),"━","")))</f>
        <v/>
      </c>
      <c r="BN152" s="69" t="str">
        <f aca="false">IF($E152="","",IF($M152,IF(AND($G152&gt;=BN$5,$G152&lt;BN$5+GanttPeriod),"◆",IF(AND($E152&gt;=BN$5,$E152&lt;BN$5+GanttPeriod),"◇","")),IF(AND(BN$5&lt;=$F152,BN$5+GanttPeriod-1&gt;=$E152),"━","")))</f>
        <v/>
      </c>
      <c r="BO152" s="69" t="str">
        <f aca="false">IF($E152="","",IF($M152,IF(AND($G152&gt;=BO$5,$G152&lt;BO$5+GanttPeriod),"◆",IF(AND($E152&gt;=BO$5,$E152&lt;BO$5+GanttPeriod),"◇","")),IF(AND(BO$5&lt;=$F152,BO$5+GanttPeriod-1&gt;=$E152),"━","")))</f>
        <v/>
      </c>
      <c r="BP152" s="69" t="str">
        <f aca="false">IF($E152="","",IF($M152,IF(AND($G152&gt;=BP$5,$G152&lt;BP$5+GanttPeriod),"◆",IF(AND($E152&gt;=BP$5,$E152&lt;BP$5+GanttPeriod),"◇","")),IF(AND(BP$5&lt;=$F152,BP$5+GanttPeriod-1&gt;=$E152),"━","")))</f>
        <v/>
      </c>
      <c r="BQ152" s="69" t="str">
        <f aca="false">IF($E152="","",IF($M152,IF(AND($G152&gt;=BQ$5,$G152&lt;BQ$5+GanttPeriod),"◆",IF(AND($E152&gt;=BQ$5,$E152&lt;BQ$5+GanttPeriod),"◇","")),IF(AND(BQ$5&lt;=$F152,BQ$5+GanttPeriod-1&gt;=$E152),"━","")))</f>
        <v/>
      </c>
      <c r="BR152" s="69" t="str">
        <f aca="false">IF($E152="","",IF($M152,IF(AND($G152&gt;=BR$5,$G152&lt;BR$5+GanttPeriod),"◆",IF(AND($E152&gt;=BR$5,$E152&lt;BR$5+GanttPeriod),"◇","")),IF(AND(BR$5&lt;=$F152,BR$5+GanttPeriod-1&gt;=$E152),"━","")))</f>
        <v/>
      </c>
      <c r="BS152" s="69" t="str">
        <f aca="false">IF($E152="","",IF($M152,IF(AND($G152&gt;=BS$5,$G152&lt;BS$5+GanttPeriod),"◆",IF(AND($E152&gt;=BS$5,$E152&lt;BS$5+GanttPeriod),"◇","")),IF(AND(BS$5&lt;=$F152,BS$5+GanttPeriod-1&gt;=$E152),"━","")))</f>
        <v/>
      </c>
      <c r="BT152" s="69" t="str">
        <f aca="false">IF($E152="","",IF($M152,IF(AND($G152&gt;=BT$5,$G152&lt;BT$5+GanttPeriod),"◆",IF(AND($E152&gt;=BT$5,$E152&lt;BT$5+GanttPeriod),"◇","")),IF(AND(BT$5&lt;=$F152,BT$5+GanttPeriod-1&gt;=$E152),"━","")))</f>
        <v/>
      </c>
      <c r="BU152" s="69" t="str">
        <f aca="false">IF($E152="","",IF($M152,IF(AND($G152&gt;=BU$5,$G152&lt;BU$5+GanttPeriod),"◆",IF(AND($E152&gt;=BU$5,$E152&lt;BU$5+GanttPeriod),"◇","")),IF(AND(BU$5&lt;=$F152,BU$5+GanttPeriod-1&gt;=$E152),"━","")))</f>
        <v/>
      </c>
      <c r="BV152" s="69" t="str">
        <f aca="false">IF($E152="","",IF($M152,IF(AND($G152&gt;=BV$5,$G152&lt;BV$5+GanttPeriod),"◆",IF(AND($E152&gt;=BV$5,$E152&lt;BV$5+GanttPeriod),"◇","")),IF(AND(BV$5&lt;=$F152,BV$5+GanttPeriod-1&gt;=$E152),"━","")))</f>
        <v/>
      </c>
      <c r="BW152" s="69" t="str">
        <f aca="false">IF($E152="","",IF($M152,IF(AND($G152&gt;=BW$5,$G152&lt;BW$5+GanttPeriod),"◆",IF(AND($E152&gt;=BW$5,$E152&lt;BW$5+GanttPeriod),"◇","")),IF(AND(BW$5&lt;=$F152,BW$5+GanttPeriod-1&gt;=$E152),"━","")))</f>
        <v/>
      </c>
      <c r="BX152" s="69" t="str">
        <f aca="false">IF($E152="","",IF($M152,IF(AND($G152&gt;=BX$5,$G152&lt;BX$5+GanttPeriod),"◆",IF(AND($E152&gt;=BX$5,$E152&lt;BX$5+GanttPeriod),"◇","")),IF(AND(BX$5&lt;=$F152,BX$5+GanttPeriod-1&gt;=$E152),"━","")))</f>
        <v/>
      </c>
      <c r="BY152" s="69" t="str">
        <f aca="false">IF($E152="","",IF($M152,IF(AND($G152&gt;=BY$5,$G152&lt;BY$5+GanttPeriod),"◆",IF(AND($E152&gt;=BY$5,$E152&lt;BY$5+GanttPeriod),"◇","")),IF(AND(BY$5&lt;=$F152,BY$5+GanttPeriod-1&gt;=$E152),"━","")))</f>
        <v/>
      </c>
      <c r="BZ152" s="69" t="str">
        <f aca="false">IF($E152="","",IF($M152,IF(AND($G152&gt;=BZ$5,$G152&lt;BZ$5+GanttPeriod),"◆",IF(AND($E152&gt;=BZ$5,$E152&lt;BZ$5+GanttPeriod),"◇","")),IF(AND(BZ$5&lt;=$F152,BZ$5+GanttPeriod-1&gt;=$E152),"━","")))</f>
        <v/>
      </c>
      <c r="CA152" s="69" t="str">
        <f aca="false">IF($E152="","",IF($M152,IF(AND($G152&gt;=CA$5,$G152&lt;CA$5+GanttPeriod),"◆",IF(AND($E152&gt;=CA$5,$E152&lt;CA$5+GanttPeriod),"◇","")),IF(AND(CA$5&lt;=$F152,CA$5+GanttPeriod-1&gt;=$E152),"━","")))</f>
        <v/>
      </c>
      <c r="CB152" s="69" t="str">
        <f aca="false">IF($E152="","",IF($M152,IF(AND($G152&gt;=CB$5,$G152&lt;CB$5+GanttPeriod),"◆",IF(AND($E152&gt;=CB$5,$E152&lt;CB$5+GanttPeriod),"◇","")),IF(AND(CB$5&lt;=$F152,CB$5+GanttPeriod-1&gt;=$E152),"━","")))</f>
        <v/>
      </c>
      <c r="CC152" s="69" t="str">
        <f aca="false">IF($E152="","",IF($M152,IF(AND($G152&gt;=CC$5,$G152&lt;CC$5+GanttPeriod),"◆",IF(AND($E152&gt;=CC$5,$E152&lt;CC$5+GanttPeriod),"◇","")),IF(AND(CC$5&lt;=$F152,CC$5+GanttPeriod-1&gt;=$E152),"━","")))</f>
        <v/>
      </c>
      <c r="CD152" s="69" t="str">
        <f aca="false">IF($E152="","",IF($M152,IF(AND($G152&gt;=CD$5,$G152&lt;CD$5+GanttPeriod),"◆",IF(AND($E152&gt;=CD$5,$E152&lt;CD$5+GanttPeriod),"◇","")),IF(AND(CD$5&lt;=$F152,CD$5+GanttPeriod-1&gt;=$E152),"━","")))</f>
        <v/>
      </c>
      <c r="CE152" s="69" t="str">
        <f aca="false">IF($E152="","",IF($M152,IF(AND($G152&gt;=CE$5,$G152&lt;CE$5+GanttPeriod),"◆",IF(AND($E152&gt;=CE$5,$E152&lt;CE$5+GanttPeriod),"◇","")),IF(AND(CE$5&lt;=$F152,CE$5+GanttPeriod-1&gt;=$E152),"━","")))</f>
        <v/>
      </c>
      <c r="CF152" s="69" t="str">
        <f aca="false">IF($E152="","",IF($M152,IF(AND($G152&gt;=CF$5,$G152&lt;CF$5+GanttPeriod),"◆",IF(AND($E152&gt;=CF$5,$E152&lt;CF$5+GanttPeriod),"◇","")),IF(AND(CF$5&lt;=$F152,CF$5+GanttPeriod-1&gt;=$E152),"━","")))</f>
        <v/>
      </c>
      <c r="CG152" s="69" t="str">
        <f aca="false">IF($E152="","",IF($M152,IF(AND($G152&gt;=CG$5,$G152&lt;CG$5+GanttPeriod),"◆",IF(AND($E152&gt;=CG$5,$E152&lt;CG$5+GanttPeriod),"◇","")),IF(AND(CG$5&lt;=$F152,CG$5+GanttPeriod-1&gt;=$E152),"━","")))</f>
        <v/>
      </c>
      <c r="CH152" s="69" t="str">
        <f aca="false">IF($E152="","",IF($M152,IF(AND($G152&gt;=CH$5,$G152&lt;CH$5+GanttPeriod),"◆",IF(AND($E152&gt;=CH$5,$E152&lt;CH$5+GanttPeriod),"◇","")),IF(AND(CH$5&lt;=$F152,CH$5+GanttPeriod-1&gt;=$E152),"━","")))</f>
        <v/>
      </c>
      <c r="CI152" s="69" t="str">
        <f aca="false">IF($E152="","",IF($M152,IF(AND($G152&gt;=CI$5,$G152&lt;CI$5+GanttPeriod),"◆",IF(AND($E152&gt;=CI$5,$E152&lt;CI$5+GanttPeriod),"◇","")),IF(AND(CI$5&lt;=$F152,CI$5+GanttPeriod-1&gt;=$E152),"━","")))</f>
        <v/>
      </c>
      <c r="CJ152" s="69" t="str">
        <f aca="false">IF($E152="","",IF($M152,IF(AND($G152&gt;=CJ$5,$G152&lt;CJ$5+GanttPeriod),"◆",IF(AND($E152&gt;=CJ$5,$E152&lt;CJ$5+GanttPeriod),"◇","")),IF(AND(CJ$5&lt;=$F152,CJ$5+GanttPeriod-1&gt;=$E152),"━","")))</f>
        <v/>
      </c>
      <c r="CK152" s="69" t="str">
        <f aca="false">IF($E152="","",IF($M152,IF(AND($G152&gt;=CK$5,$G152&lt;CK$5+GanttPeriod),"◆",IF(AND($E152&gt;=CK$5,$E152&lt;CK$5+GanttPeriod),"◇","")),IF(AND(CK$5&lt;=$F152,CK$5+GanttPeriod-1&gt;=$E152),"━","")))</f>
        <v/>
      </c>
      <c r="CL152" s="69" t="str">
        <f aca="false">IF($E152="","",IF($M152,IF(AND($G152&gt;=CL$5,$G152&lt;CL$5+GanttPeriod),"◆",IF(AND($E152&gt;=CL$5,$E152&lt;CL$5+GanttPeriod),"◇","")),IF(AND(CL$5&lt;=$F152,CL$5+GanttPeriod-1&gt;=$E152),"━","")))</f>
        <v/>
      </c>
      <c r="CM152" s="69" t="str">
        <f aca="false">IF($E152="","",IF($M152,IF(AND($G152&gt;=CM$5,$G152&lt;CM$5+GanttPeriod),"◆",IF(AND($E152&gt;=CM$5,$E152&lt;CM$5+GanttPeriod),"◇","")),IF(AND(CM$5&lt;=$F152,CM$5+GanttPeriod-1&gt;=$E152),"━","")))</f>
        <v/>
      </c>
      <c r="CN152" s="69" t="str">
        <f aca="false">IF($E152="","",IF($M152,IF(AND($G152&gt;=CN$5,$G152&lt;CN$5+GanttPeriod),"◆",IF(AND($E152&gt;=CN$5,$E152&lt;CN$5+GanttPeriod),"◇","")),IF(AND(CN$5&lt;=$F152,CN$5+GanttPeriod-1&gt;=$E152),"━","")))</f>
        <v/>
      </c>
      <c r="CO152" s="69" t="str">
        <f aca="false">IF($E152="","",IF($M152,IF(AND($G152&gt;=CO$5,$G152&lt;CO$5+GanttPeriod),"◆",IF(AND($E152&gt;=CO$5,$E152&lt;CO$5+GanttPeriod),"◇","")),IF(AND(CO$5&lt;=$F152,CO$5+GanttPeriod-1&gt;=$E152),"━","")))</f>
        <v/>
      </c>
      <c r="CP152" s="69" t="str">
        <f aca="false">IF($E152="","",IF($M152,IF(AND($G152&gt;=CP$5,$G152&lt;CP$5+GanttPeriod),"◆",IF(AND($E152&gt;=CP$5,$E152&lt;CP$5+GanttPeriod),"◇","")),IF(AND(CP$5&lt;=$F152,CP$5+GanttPeriod-1&gt;=$E152),"━","")))</f>
        <v/>
      </c>
      <c r="CQ152" s="69" t="str">
        <f aca="false">IF($E152="","",IF($M152,IF(AND($G152&gt;=CQ$5,$G152&lt;CQ$5+GanttPeriod),"◆",IF(AND($E152&gt;=CQ$5,$E152&lt;CQ$5+GanttPeriod),"◇","")),IF(AND(CQ$5&lt;=$F152,CQ$5+GanttPeriod-1&gt;=$E152),"━","")))</f>
        <v/>
      </c>
      <c r="CR152" s="69" t="str">
        <f aca="false">IF($E152="","",IF($M152,IF(AND($G152&gt;=CR$5,$G152&lt;CR$5+GanttPeriod),"◆",IF(AND($E152&gt;=CR$5,$E152&lt;CR$5+GanttPeriod),"◇","")),IF(AND(CR$5&lt;=$F152,CR$5+GanttPeriod-1&gt;=$E152),"━","")))</f>
        <v/>
      </c>
      <c r="CS152" s="69" t="str">
        <f aca="false">IF($E152="","",IF($M152,IF(AND($G152&gt;=CS$5,$G152&lt;CS$5+GanttPeriod),"◆",IF(AND($E152&gt;=CS$5,$E152&lt;CS$5+GanttPeriod),"◇","")),IF(AND(CS$5&lt;=$F152,CS$5+GanttPeriod-1&gt;=$E152),"━","")))</f>
        <v/>
      </c>
      <c r="CT152" s="69" t="str">
        <f aca="false">IF($E152="","",IF($M152,IF(AND($G152&gt;=CT$5,$G152&lt;CT$5+GanttPeriod),"◆",IF(AND($E152&gt;=CT$5,$E152&lt;CT$5+GanttPeriod),"◇","")),IF(AND(CT$5&lt;=$F152,CT$5+GanttPeriod-1&gt;=$E152),"━","")))</f>
        <v/>
      </c>
      <c r="CU152" s="69" t="str">
        <f aca="false">IF($E152="","",IF($M152,IF(AND($G152&gt;=CU$5,$G152&lt;CU$5+GanttPeriod),"◆",IF(AND($E152&gt;=CU$5,$E152&lt;CU$5+GanttPeriod),"◇","")),IF(AND(CU$5&lt;=$F152,CU$5+GanttPeriod-1&gt;=$E152),"━","")))</f>
        <v/>
      </c>
      <c r="CV152" s="69" t="str">
        <f aca="false">IF($E152="","",IF($M152,IF(AND($G152&gt;=CV$5,$G152&lt;CV$5+GanttPeriod),"◆",IF(AND($E152&gt;=CV$5,$E152&lt;CV$5+GanttPeriod),"◇","")),IF(AND(CV$5&lt;=$F152,CV$5+GanttPeriod-1&gt;=$E152),"━","")))</f>
        <v/>
      </c>
      <c r="CW152" s="69" t="str">
        <f aca="false">IF($E152="","",IF($M152,IF(AND($G152&gt;=CW$5,$G152&lt;CW$5+GanttPeriod),"◆",IF(AND($E152&gt;=CW$5,$E152&lt;CW$5+GanttPeriod),"◇","")),IF(AND(CW$5&lt;=$F152,CW$5+GanttPeriod-1&gt;=$E152),"━","")))</f>
        <v/>
      </c>
      <c r="CX152" s="69" t="str">
        <f aca="false">IF($E152="","",IF($M152,IF(AND($G152&gt;=CX$5,$G152&lt;CX$5+GanttPeriod),"◆",IF(AND($E152&gt;=CX$5,$E152&lt;CX$5+GanttPeriod),"◇","")),IF(AND(CX$5&lt;=$F152,CX$5+GanttPeriod-1&gt;=$E152),"━","")))</f>
        <v/>
      </c>
      <c r="CY152" s="69" t="str">
        <f aca="false">IF($E152="","",IF($M152,IF(AND($G152&gt;=CY$5,$G152&lt;CY$5+GanttPeriod),"◆",IF(AND($E152&gt;=CY$5,$E152&lt;CY$5+GanttPeriod),"◇","")),IF(AND(CY$5&lt;=$F152,CY$5+GanttPeriod-1&gt;=$E152),"━","")))</f>
        <v/>
      </c>
      <c r="CZ152" s="69" t="str">
        <f aca="false">IF($E152="","",IF($M152,IF(AND($G152&gt;=CZ$5,$G152&lt;CZ$5+GanttPeriod),"◆",IF(AND($E152&gt;=CZ$5,$E152&lt;CZ$5+GanttPeriod),"◇","")),IF(AND(CZ$5&lt;=$F152,CZ$5+GanttPeriod-1&gt;=$E152),"━","")))</f>
        <v/>
      </c>
      <c r="DA152" s="69" t="str">
        <f aca="false">IF($E152="","",IF($M152,IF(AND($G152&gt;=DA$5,$G152&lt;DA$5+GanttPeriod),"◆",IF(AND($E152&gt;=DA$5,$E152&lt;DA$5+GanttPeriod),"◇","")),IF(AND(DA$5&lt;=$F152,DA$5+GanttPeriod-1&gt;=$E152),"━","")))</f>
        <v/>
      </c>
      <c r="DB152" s="69" t="str">
        <f aca="false">IF($E152="","",IF($M152,IF(AND($G152&gt;=DB$5,$G152&lt;DB$5+GanttPeriod),"◆",IF(AND($E152&gt;=DB$5,$E152&lt;DB$5+GanttPeriod),"◇","")),IF(AND(DB$5&lt;=$F152,DB$5+GanttPeriod-1&gt;=$E152),"━","")))</f>
        <v/>
      </c>
      <c r="DC152" s="69" t="str">
        <f aca="false">IF($E152="","",IF($M152,IF(AND($G152&gt;=DC$5,$G152&lt;DC$5+GanttPeriod),"◆",IF(AND($E152&gt;=DC$5,$E152&lt;DC$5+GanttPeriod),"◇","")),IF(AND(DC$5&lt;=$F152,DC$5+GanttPeriod-1&gt;=$E152),"━","")))</f>
        <v/>
      </c>
      <c r="DD152" s="69" t="str">
        <f aca="false">IF($E152="","",IF($M152,IF(AND($G152&gt;=DD$5,$G152&lt;DD$5+GanttPeriod),"◆",IF(AND($E152&gt;=DD$5,$E152&lt;DD$5+GanttPeriod),"◇","")),IF(AND(DD$5&lt;=$F152,DD$5+GanttPeriod-1&gt;=$E152),"━","")))</f>
        <v/>
      </c>
      <c r="DE152" s="69" t="str">
        <f aca="false">IF($E152="","",IF($M152,IF(AND($G152&gt;=DE$5,$G152&lt;DE$5+GanttPeriod),"◆",IF(AND($E152&gt;=DE$5,$E152&lt;DE$5+GanttPeriod),"◇","")),IF(AND(DE$5&lt;=$F152,DE$5+GanttPeriod-1&gt;=$E152),"━","")))</f>
        <v/>
      </c>
      <c r="DF152" s="69" t="str">
        <f aca="false">IF($E152="","",IF($M152,IF(AND($G152&gt;=DF$5,$G152&lt;DF$5+GanttPeriod),"◆",IF(AND($E152&gt;=DF$5,$E152&lt;DF$5+GanttPeriod),"◇","")),IF(AND(DF$5&lt;=$F152,DF$5+GanttPeriod-1&gt;=$E152),"━","")))</f>
        <v/>
      </c>
      <c r="DG152" s="69" t="str">
        <f aca="false">IF($E152="","",IF($M152,IF(AND($G152&gt;=DG$5,$G152&lt;DG$5+GanttPeriod),"◆",IF(AND($E152&gt;=DG$5,$E152&lt;DG$5+GanttPeriod),"◇","")),IF(AND(DG$5&lt;=$F152,DG$5+GanttPeriod-1&gt;=$E152),"━","")))</f>
        <v/>
      </c>
      <c r="DH152" s="69" t="str">
        <f aca="false">IF($E152="","",IF($M152,IF(AND($G152&gt;=DH$5,$G152&lt;DH$5+GanttPeriod),"◆",IF(AND($E152&gt;=DH$5,$E152&lt;DH$5+GanttPeriod),"◇","")),IF(AND(DH$5&lt;=$F152,DH$5+GanttPeriod-1&gt;=$E152),"━","")))</f>
        <v/>
      </c>
      <c r="DI152" s="69" t="str">
        <f aca="false">IF($E152="","",IF($M152,IF(AND($G152&gt;=DI$5,$G152&lt;DI$5+GanttPeriod),"◆",IF(AND($E152&gt;=DI$5,$E152&lt;DI$5+GanttPeriod),"◇","")),IF(AND(DI$5&lt;=$F152,DI$5+GanttPeriod-1&gt;=$E152),"━","")))</f>
        <v/>
      </c>
      <c r="DJ152" s="69" t="str">
        <f aca="false">IF($E152="","",IF($M152,IF(AND($G152&gt;=DJ$5,$G152&lt;DJ$5+GanttPeriod),"◆",IF(AND($E152&gt;=DJ$5,$E152&lt;DJ$5+GanttPeriod),"◇","")),IF(AND(DJ$5&lt;=$F152,DJ$5+GanttPeriod-1&gt;=$E152),"━","")))</f>
        <v/>
      </c>
      <c r="DK152" s="69" t="str">
        <f aca="false">IF($E152="","",IF($M152,IF(AND($G152&gt;=DK$5,$G152&lt;DK$5+GanttPeriod),"◆",IF(AND($E152&gt;=DK$5,$E152&lt;DK$5+GanttPeriod),"◇","")),IF(AND(DK$5&lt;=$F152,DK$5+GanttPeriod-1&gt;=$E152),"━","")))</f>
        <v/>
      </c>
      <c r="DL152" s="69" t="str">
        <f aca="false">IF($E152="","",IF($M152,IF(AND($G152&gt;=DL$5,$G152&lt;DL$5+GanttPeriod),"◆",IF(AND($E152&gt;=DL$5,$E152&lt;DL$5+GanttPeriod),"◇","")),IF(AND(DL$5&lt;=$F152,DL$5+GanttPeriod-1&gt;=$E152),"━","")))</f>
        <v/>
      </c>
      <c r="DM152" s="69" t="str">
        <f aca="false">IF($E152="","",IF($M152,IF(AND($G152&gt;=DM$5,$G152&lt;DM$5+GanttPeriod),"◆",IF(AND($E152&gt;=DM$5,$E152&lt;DM$5+GanttPeriod),"◇","")),IF(AND(DM$5&lt;=$F152,DM$5+GanttPeriod-1&gt;=$E152),"━","")))</f>
        <v/>
      </c>
      <c r="DN152" s="69" t="str">
        <f aca="false">IF($E152="","",IF($M152,IF(AND($G152&gt;=DN$5,$G152&lt;DN$5+GanttPeriod),"◆",IF(AND($E152&gt;=DN$5,$E152&lt;DN$5+GanttPeriod),"◇","")),IF(AND(DN$5&lt;=$F152,DN$5+GanttPeriod-1&gt;=$E152),"━","")))</f>
        <v/>
      </c>
      <c r="DO152" s="69" t="str">
        <f aca="false">IF($E152="","",IF($M152,IF(AND($G152&gt;=DO$5,$G152&lt;DO$5+GanttPeriod),"◆",IF(AND($E152&gt;=DO$5,$E152&lt;DO$5+GanttPeriod),"◇","")),IF(AND(DO$5&lt;=$F152,DO$5+GanttPeriod-1&gt;=$E152),"━","")))</f>
        <v/>
      </c>
      <c r="DP152" s="69" t="str">
        <f aca="false">IF($E152="","",IF($M152,IF(AND($G152&gt;=DP$5,$G152&lt;DP$5+GanttPeriod),"◆",IF(AND($E152&gt;=DP$5,$E152&lt;DP$5+GanttPeriod),"◇","")),IF(AND(DP$5&lt;=$F152,DP$5+GanttPeriod-1&gt;=$E152),"━","")))</f>
        <v/>
      </c>
      <c r="DQ152" s="69" t="str">
        <f aca="false">IF($E152="","",IF($M152,IF(AND($G152&gt;=DQ$5,$G152&lt;DQ$5+GanttPeriod),"◆",IF(AND($E152&gt;=DQ$5,$E152&lt;DQ$5+GanttPeriod),"◇","")),IF(AND(DQ$5&lt;=$F152,DQ$5+GanttPeriod-1&gt;=$E152),"━","")))</f>
        <v/>
      </c>
      <c r="DR152" s="69" t="str">
        <f aca="false">IF($E152="","",IF($M152,IF(AND($G152&gt;=DR$5,$G152&lt;DR$5+GanttPeriod),"◆",IF(AND($E152&gt;=DR$5,$E152&lt;DR$5+GanttPeriod),"◇","")),IF(AND(DR$5&lt;=$F152,DR$5+GanttPeriod-1&gt;=$E152),"━","")))</f>
        <v/>
      </c>
      <c r="DS152" s="69" t="str">
        <f aca="false">IF($E152="","",IF($M152,IF(AND($G152&gt;=DS$5,$G152&lt;DS$5+GanttPeriod),"◆",IF(AND($E152&gt;=DS$5,$E152&lt;DS$5+GanttPeriod),"◇","")),IF(AND(DS$5&lt;=$F152,DS$5+GanttPeriod-1&gt;=$E152),"━","")))</f>
        <v/>
      </c>
      <c r="DT152" s="69" t="str">
        <f aca="false">IF($E152="","",IF($M152,IF(AND($G152&gt;=DT$5,$G152&lt;DT$5+GanttPeriod),"◆",IF(AND($E152&gt;=DT$5,$E152&lt;DT$5+GanttPeriod),"◇","")),IF(AND(DT$5&lt;=$F152,DT$5+GanttPeriod-1&gt;=$E152),"━","")))</f>
        <v/>
      </c>
      <c r="DU152" s="69" t="str">
        <f aca="false">IF($E152="","",IF($M152,IF(AND($G152&gt;=DU$5,$G152&lt;DU$5+GanttPeriod),"◆",IF(AND($E152&gt;=DU$5,$E152&lt;DU$5+GanttPeriod),"◇","")),IF(AND(DU$5&lt;=$F152,DU$5+GanttPeriod-1&gt;=$E152),"━","")))</f>
        <v/>
      </c>
      <c r="DV152" s="69" t="str">
        <f aca="false">IF($E152="","",IF($M152,IF(AND($G152&gt;=DV$5,$G152&lt;DV$5+GanttPeriod),"◆",IF(AND($E152&gt;=DV$5,$E152&lt;DV$5+GanttPeriod),"◇","")),IF(AND(DV$5&lt;=$F152,DV$5+GanttPeriod-1&gt;=$E152),"━","")))</f>
        <v/>
      </c>
      <c r="DW152" s="69" t="str">
        <f aca="false">IF($E152="","",IF($M152,IF(AND($G152&gt;=DW$5,$G152&lt;DW$5+GanttPeriod),"◆",IF(AND($E152&gt;=DW$5,$E152&lt;DW$5+GanttPeriod),"◇","")),IF(AND(DW$5&lt;=$F152,DW$5+GanttPeriod-1&gt;=$E152),"━","")))</f>
        <v/>
      </c>
      <c r="DX152" s="69" t="str">
        <f aca="false">IF($E152="","",IF($M152,IF(AND($G152&gt;=DX$5,$G152&lt;DX$5+GanttPeriod),"◆",IF(AND($E152&gt;=DX$5,$E152&lt;DX$5+GanttPeriod),"◇","")),IF(AND(DX$5&lt;=$F152,DX$5+GanttPeriod-1&gt;=$E152),"━","")))</f>
        <v/>
      </c>
      <c r="DY152" s="69" t="str">
        <f aca="false">IF($E152="","",IF($M152,IF(AND($G152&gt;=DY$5,$G152&lt;DY$5+GanttPeriod),"◆",IF(AND($E152&gt;=DY$5,$E152&lt;DY$5+GanttPeriod),"◇","")),IF(AND(DY$5&lt;=$F152,DY$5+GanttPeriod-1&gt;=$E152),"━","")))</f>
        <v/>
      </c>
      <c r="DZ152" s="69" t="str">
        <f aca="false">IF($E152="","",IF($M152,IF(AND($G152&gt;=DZ$5,$G152&lt;DZ$5+GanttPeriod),"◆",IF(AND($E152&gt;=DZ$5,$E152&lt;DZ$5+GanttPeriod),"◇","")),IF(AND(DZ$5&lt;=$F152,DZ$5+GanttPeriod-1&gt;=$E152),"━","")))</f>
        <v/>
      </c>
      <c r="EA152" s="69" t="str">
        <f aca="false">IF($E152="","",IF($M152,IF(AND($G152&gt;=EA$5,$G152&lt;EA$5+GanttPeriod),"◆",IF(AND($E152&gt;=EA$5,$E152&lt;EA$5+GanttPeriod),"◇","")),IF(AND(EA$5&lt;=$F152,EA$5+GanttPeriod-1&gt;=$E152),"━","")))</f>
        <v/>
      </c>
      <c r="EB152" s="69" t="str">
        <f aca="false">IF($E152="","",IF($M152,IF(AND($G152&gt;=EB$5,$G152&lt;EB$5+GanttPeriod),"◆",IF(AND($E152&gt;=EB$5,$E152&lt;EB$5+GanttPeriod),"◇","")),IF(AND(EB$5&lt;=$F152,EB$5+GanttPeriod-1&gt;=$E152),"━","")))</f>
        <v/>
      </c>
      <c r="EC152" s="69" t="str">
        <f aca="false">IF($E152="","",IF($M152,IF(AND($G152&gt;=EC$5,$G152&lt;EC$5+GanttPeriod),"◆",IF(AND($E152&gt;=EC$5,$E152&lt;EC$5+GanttPeriod),"◇","")),IF(AND(EC$5&lt;=$F152,EC$5+GanttPeriod-1&gt;=$E152),"━","")))</f>
        <v/>
      </c>
      <c r="ED152" s="69" t="str">
        <f aca="false">IF($E152="","",IF($M152,IF(AND($G152&gt;=ED$5,$G152&lt;ED$5+GanttPeriod),"◆",IF(AND($E152&gt;=ED$5,$E152&lt;ED$5+GanttPeriod),"◇","")),IF(AND(ED$5&lt;=$F152,ED$5+GanttPeriod-1&gt;=$E152),"━","")))</f>
        <v/>
      </c>
      <c r="EE152" s="69" t="str">
        <f aca="false">IF($E152="","",IF($M152,IF(AND($G152&gt;=EE$5,$G152&lt;EE$5+GanttPeriod),"◆",IF(AND($E152&gt;=EE$5,$E152&lt;EE$5+GanttPeriod),"◇","")),IF(AND(EE$5&lt;=$F152,EE$5+GanttPeriod-1&gt;=$E152),"━","")))</f>
        <v/>
      </c>
      <c r="EF152" s="69" t="str">
        <f aca="false">IF($E152="","",IF($M152,IF(AND($G152&gt;=EF$5,$G152&lt;EF$5+GanttPeriod),"◆",IF(AND($E152&gt;=EF$5,$E152&lt;EF$5+GanttPeriod),"◇","")),IF(AND(EF$5&lt;=$F152,EF$5+GanttPeriod-1&gt;=$E152),"━","")))</f>
        <v/>
      </c>
      <c r="EG152" s="69" t="str">
        <f aca="false">IF($E152="","",IF($M152,IF(AND($G152&gt;=EG$5,$G152&lt;EG$5+GanttPeriod),"◆",IF(AND($E152&gt;=EG$5,$E152&lt;EG$5+GanttPeriod),"◇","")),IF(AND(EG$5&lt;=$F152,EG$5+GanttPeriod-1&gt;=$E152),"━","")))</f>
        <v/>
      </c>
      <c r="EH152" s="69" t="str">
        <f aca="false">IF($E152="","",IF($M152,IF(AND($G152&gt;=EH$5,$G152&lt;EH$5+GanttPeriod),"◆",IF(AND($E152&gt;=EH$5,$E152&lt;EH$5+GanttPeriod),"◇","")),IF(AND(EH$5&lt;=$F152,EH$5+GanttPeriod-1&gt;=$E152),"━","")))</f>
        <v/>
      </c>
      <c r="EI152" s="69" t="str">
        <f aca="false">IF($E152="","",IF($M152,IF(AND($G152&gt;=EI$5,$G152&lt;EI$5+GanttPeriod),"◆",IF(AND($E152&gt;=EI$5,$E152&lt;EI$5+GanttPeriod),"◇","")),IF(AND(EI$5&lt;=$F152,EI$5+GanttPeriod-1&gt;=$E152),"━","")))</f>
        <v/>
      </c>
      <c r="EJ152" s="69" t="str">
        <f aca="false">IF($E152="","",IF($M152,IF(AND($G152&gt;=EJ$5,$G152&lt;EJ$5+GanttPeriod),"◆",IF(AND($E152&gt;=EJ$5,$E152&lt;EJ$5+GanttPeriod),"◇","")),IF(AND(EJ$5&lt;=$F152,EJ$5+GanttPeriod-1&gt;=$E152),"━","")))</f>
        <v/>
      </c>
      <c r="EK152" s="69" t="str">
        <f aca="false">IF($E152="","",IF($M152,IF(AND($G152&gt;=EK$5,$G152&lt;EK$5+GanttPeriod),"◆",IF(AND($E152&gt;=EK$5,$E152&lt;EK$5+GanttPeriod),"◇","")),IF(AND(EK$5&lt;=$F152,EK$5+GanttPeriod-1&gt;=$E152),"━","")))</f>
        <v/>
      </c>
      <c r="EL152" s="69" t="str">
        <f aca="false">IF($E152="","",IF($M152,IF(AND($G152&gt;=EL$5,$G152&lt;EL$5+GanttPeriod),"◆",IF(AND($E152&gt;=EL$5,$E152&lt;EL$5+GanttPeriod),"◇","")),IF(AND(EL$5&lt;=$F152,EL$5+GanttPeriod-1&gt;=$E152),"━","")))</f>
        <v/>
      </c>
      <c r="EM152" s="69" t="str">
        <f aca="false">IF($E152="","",IF($M152,IF(AND($G152&gt;=EM$5,$G152&lt;EM$5+GanttPeriod),"◆",IF(AND($E152&gt;=EM$5,$E152&lt;EM$5+GanttPeriod),"◇","")),IF(AND(EM$5&lt;=$F152,EM$5+GanttPeriod-1&gt;=$E152),"━","")))</f>
        <v/>
      </c>
      <c r="EN152" s="69" t="str">
        <f aca="false">IF($E152="","",IF($M152,IF(AND($G152&gt;=EN$5,$G152&lt;EN$5+GanttPeriod),"◆",IF(AND($E152&gt;=EN$5,$E152&lt;EN$5+GanttPeriod),"◇","")),IF(AND(EN$5&lt;=$F152,EN$5+GanttPeriod-1&gt;=$E152),"━","")))</f>
        <v/>
      </c>
      <c r="EO152" s="69" t="str">
        <f aca="false">IF($E152="","",IF($M152,IF(AND($G152&gt;=EO$5,$G152&lt;EO$5+GanttPeriod),"◆",IF(AND($E152&gt;=EO$5,$E152&lt;EO$5+GanttPeriod),"◇","")),IF(AND(EO$5&lt;=$F152,EO$5+GanttPeriod-1&gt;=$E152),"━","")))</f>
        <v/>
      </c>
      <c r="EP152" s="69" t="str">
        <f aca="false">IF($E152="","",IF($M152,IF(AND($G152&gt;=EP$5,$G152&lt;EP$5+GanttPeriod),"◆",IF(AND($E152&gt;=EP$5,$E152&lt;EP$5+GanttPeriod),"◇","")),IF(AND(EP$5&lt;=$F152,EP$5+GanttPeriod-1&gt;=$E152),"━","")))</f>
        <v/>
      </c>
      <c r="EQ152" s="69" t="str">
        <f aca="false">IF($E152="","",IF($M152,IF(AND($G152&gt;=EQ$5,$G152&lt;EQ$5+GanttPeriod),"◆",IF(AND($E152&gt;=EQ$5,$E152&lt;EQ$5+GanttPeriod),"◇","")),IF(AND(EQ$5&lt;=$F152,EQ$5+GanttPeriod-1&gt;=$E152),"━","")))</f>
        <v/>
      </c>
      <c r="ER152" s="69" t="str">
        <f aca="false">IF($E152="","",IF($M152,IF(AND($G152&gt;=ER$5,$G152&lt;ER$5+GanttPeriod),"◆",IF(AND($E152&gt;=ER$5,$E152&lt;ER$5+GanttPeriod),"◇","")),IF(AND(ER$5&lt;=$F152,ER$5+GanttPeriod-1&gt;=$E152),"━","")))</f>
        <v/>
      </c>
      <c r="ES152" s="69" t="str">
        <f aca="false">IF($E152="","",IF($M152,IF(AND($G152&gt;=ES$5,$G152&lt;ES$5+GanttPeriod),"◆",IF(AND($E152&gt;=ES$5,$E152&lt;ES$5+GanttPeriod),"◇","")),IF(AND(ES$5&lt;=$F152,ES$5+GanttPeriod-1&gt;=$E152),"━","")))</f>
        <v/>
      </c>
      <c r="ET152" s="69" t="str">
        <f aca="false">IF($E152="","",IF($M152,IF(AND($G152&gt;=ET$5,$G152&lt;ET$5+GanttPeriod),"◆",IF(AND($E152&gt;=ET$5,$E152&lt;ET$5+GanttPeriod),"◇","")),IF(AND(ET$5&lt;=$F152,ET$5+GanttPeriod-1&gt;=$E152),"━","")))</f>
        <v/>
      </c>
      <c r="EU152" s="69" t="str">
        <f aca="false">IF($E152="","",IF($M152,IF(AND($G152&gt;=EU$5,$G152&lt;EU$5+GanttPeriod),"◆",IF(AND($E152&gt;=EU$5,$E152&lt;EU$5+GanttPeriod),"◇","")),IF(AND(EU$5&lt;=$F152,EU$5+GanttPeriod-1&gt;=$E152),"━","")))</f>
        <v/>
      </c>
      <c r="EV152" s="69" t="str">
        <f aca="false">IF($E152="","",IF($M152,IF(AND($G152&gt;=EV$5,$G152&lt;EV$5+GanttPeriod),"◆",IF(AND($E152&gt;=EV$5,$E152&lt;EV$5+GanttPeriod),"◇","")),IF(AND(EV$5&lt;=$F152,EV$5+GanttPeriod-1&gt;=$E152),"━","")))</f>
        <v/>
      </c>
      <c r="EW152" s="69" t="str">
        <f aca="false">IF($E152="","",IF($M152,IF(AND($G152&gt;=EW$5,$G152&lt;EW$5+GanttPeriod),"◆",IF(AND($E152&gt;=EW$5,$E152&lt;EW$5+GanttPeriod),"◇","")),IF(AND(EW$5&lt;=$F152,EW$5+GanttPeriod-1&gt;=$E152),"━","")))</f>
        <v/>
      </c>
      <c r="EX152" s="69" t="str">
        <f aca="false">IF($E152="","",IF($M152,IF(AND($G152&gt;=EX$5,$G152&lt;EX$5+GanttPeriod),"◆",IF(AND($E152&gt;=EX$5,$E152&lt;EX$5+GanttPeriod),"◇","")),IF(AND(EX$5&lt;=$F152,EX$5+GanttPeriod-1&gt;=$E152),"━","")))</f>
        <v/>
      </c>
      <c r="EY152" s="69" t="str">
        <f aca="false">IF($E152="","",IF($M152,IF(AND($G152&gt;=EY$5,$G152&lt;EY$5+GanttPeriod),"◆",IF(AND($E152&gt;=EY$5,$E152&lt;EY$5+GanttPeriod),"◇","")),IF(AND(EY$5&lt;=$F152,EY$5+GanttPeriod-1&gt;=$E152),"━","")))</f>
        <v/>
      </c>
      <c r="EZ152" s="69" t="str">
        <f aca="false">IF($E152="","",IF($M152,IF(AND($G152&gt;=EZ$5,$G152&lt;EZ$5+GanttPeriod),"◆",IF(AND($E152&gt;=EZ$5,$E152&lt;EZ$5+GanttPeriod),"◇","")),IF(AND(EZ$5&lt;=$F152,EZ$5+GanttPeriod-1&gt;=$E152),"━","")))</f>
        <v/>
      </c>
      <c r="FA152" s="69" t="str">
        <f aca="false">IF($E152="","",IF($M152,IF(AND($G152&gt;=FA$5,$G152&lt;FA$5+GanttPeriod),"◆",IF(AND($E152&gt;=FA$5,$E152&lt;FA$5+GanttPeriod),"◇","")),IF(AND(FA$5&lt;=$F152,FA$5+GanttPeriod-1&gt;=$E152),"━","")))</f>
        <v/>
      </c>
      <c r="FB152" s="69" t="str">
        <f aca="false">IF($E152="","",IF($M152,IF(AND($G152&gt;=FB$5,$G152&lt;FB$5+GanttPeriod),"◆",IF(AND($E152&gt;=FB$5,$E152&lt;FB$5+GanttPeriod),"◇","")),IF(AND(FB$5&lt;=$F152,FB$5+GanttPeriod-1&gt;=$E152),"━","")))</f>
        <v/>
      </c>
      <c r="FC152" s="69" t="str">
        <f aca="false">IF($E152="","",IF($M152,IF(AND($G152&gt;=FC$5,$G152&lt;FC$5+GanttPeriod),"◆",IF(AND($E152&gt;=FC$5,$E152&lt;FC$5+GanttPeriod),"◇","")),IF(AND(FC$5&lt;=$F152,FC$5+GanttPeriod-1&gt;=$E152),"━","")))</f>
        <v/>
      </c>
      <c r="FD152" s="69" t="str">
        <f aca="false">IF($E152="","",IF($M152,IF(AND($G152&gt;=FD$5,$G152&lt;FD$5+GanttPeriod),"◆",IF(AND($E152&gt;=FD$5,$E152&lt;FD$5+GanttPeriod),"◇","")),IF(AND(FD$5&lt;=$F152,FD$5+GanttPeriod-1&gt;=$E152),"━","")))</f>
        <v/>
      </c>
      <c r="FE152" s="69" t="str">
        <f aca="false">IF($E152="","",IF($M152,IF(AND($G152&gt;=FE$5,$G152&lt;FE$5+GanttPeriod),"◆",IF(AND($E152&gt;=FE$5,$E152&lt;FE$5+GanttPeriod),"◇","")),IF(AND(FE$5&lt;=$F152,FE$5+GanttPeriod-1&gt;=$E152),"━","")))</f>
        <v/>
      </c>
      <c r="FF152" s="69" t="str">
        <f aca="false">IF($E152="","",IF($M152,IF(AND($G152&gt;=FF$5,$G152&lt;FF$5+GanttPeriod),"◆",IF(AND($E152&gt;=FF$5,$E152&lt;FF$5+GanttPeriod),"◇","")),IF(AND(FF$5&lt;=$F152,FF$5+GanttPeriod-1&gt;=$E152),"━","")))</f>
        <v/>
      </c>
      <c r="FG152" s="69" t="str">
        <f aca="false">IF($E152="","",IF($M152,IF(AND($G152&gt;=FG$5,$G152&lt;FG$5+GanttPeriod),"◆",IF(AND($E152&gt;=FG$5,$E152&lt;FG$5+GanttPeriod),"◇","")),IF(AND(FG$5&lt;=$F152,FG$5+GanttPeriod-1&gt;=$E152),"━","")))</f>
        <v/>
      </c>
      <c r="FH152" s="69" t="str">
        <f aca="false">IF($E152="","",IF($M152,IF(AND($G152&gt;=FH$5,$G152&lt;FH$5+GanttPeriod),"◆",IF(AND($E152&gt;=FH$5,$E152&lt;FH$5+GanttPeriod),"◇","")),IF(AND(FH$5&lt;=$F152,FH$5+GanttPeriod-1&gt;=$E152),"━","")))</f>
        <v/>
      </c>
      <c r="FI152" s="69" t="str">
        <f aca="false">IF($E152="","",IF($M152,IF(AND($G152&gt;=FI$5,$G152&lt;FI$5+GanttPeriod),"◆",IF(AND($E152&gt;=FI$5,$E152&lt;FI$5+GanttPeriod),"◇","")),IF(AND(FI$5&lt;=$F152,FI$5+GanttPeriod-1&gt;=$E152),"━","")))</f>
        <v/>
      </c>
      <c r="FJ152" s="69" t="str">
        <f aca="false">IF($E152="","",IF($M152,IF(AND($G152&gt;=FJ$5,$G152&lt;FJ$5+GanttPeriod),"◆",IF(AND($E152&gt;=FJ$5,$E152&lt;FJ$5+GanttPeriod),"◇","")),IF(AND(FJ$5&lt;=$F152,FJ$5+GanttPeriod-1&gt;=$E152),"━","")))</f>
        <v/>
      </c>
      <c r="FK152" s="69" t="str">
        <f aca="false">IF($E152="","",IF($M152,IF(AND($G152&gt;=FK$5,$G152&lt;FK$5+GanttPeriod),"◆",IF(AND($E152&gt;=FK$5,$E152&lt;FK$5+GanttPeriod),"◇","")),IF(AND(FK$5&lt;=$F152,FK$5+GanttPeriod-1&gt;=$E152),"━","")))</f>
        <v/>
      </c>
      <c r="FL152" s="69" t="str">
        <f aca="false">IF($E152="","",IF($M152,IF(AND($G152&gt;=FL$5,$G152&lt;FL$5+GanttPeriod),"◆",IF(AND($E152&gt;=FL$5,$E152&lt;FL$5+GanttPeriod),"◇","")),IF(AND(FL$5&lt;=$F152,FL$5+GanttPeriod-1&gt;=$E152),"━","")))</f>
        <v/>
      </c>
      <c r="FM152" s="69" t="str">
        <f aca="false">IF($E152="","",IF($M152,IF(AND($G152&gt;=FM$5,$G152&lt;FM$5+GanttPeriod),"◆",IF(AND($E152&gt;=FM$5,$E152&lt;FM$5+GanttPeriod),"◇","")),IF(AND(FM$5&lt;=$F152,FM$5+GanttPeriod-1&gt;=$E152),"━","")))</f>
        <v/>
      </c>
    </row>
    <row r="153" customFormat="false" ht="15" hidden="false" customHeight="false" outlineLevel="0" collapsed="false">
      <c r="A153" s="62" t="str">
        <f aca="false">IF(Tasks!$D153="","",Tasks!$A153)</f>
        <v/>
      </c>
      <c r="B153" s="62" t="str">
        <f aca="false">IF(Tasks!$D153="","",Tasks!$B153)</f>
        <v/>
      </c>
      <c r="C153" s="63" t="str">
        <f aca="false">IF(Tasks!$D153="","",REPT("    ",Tasks!$AE153-1)&amp;Tasks!$D153)</f>
        <v/>
      </c>
      <c r="D153" s="62" t="str">
        <f aca="false">IF(Tasks!$D153="","",IF(Tasks!$AI153,NETWORKDAYS.INTL(Tasks!$R153,Tasks!$S153,WorkWeek,Holidays),N(Tasks!$F153)))</f>
        <v/>
      </c>
      <c r="E153" s="64" t="str">
        <f aca="false">IF(Tasks!$D153="","",Tasks!$N153)</f>
        <v/>
      </c>
      <c r="F153" s="64" t="str">
        <f aca="false">IF(Tasks!$D153="","",Tasks!$O153)</f>
        <v/>
      </c>
      <c r="G153" s="64" t="str">
        <f aca="false">IF(Tasks!$D153="","",Tasks!$R153)</f>
        <v/>
      </c>
      <c r="H153" s="64" t="str">
        <f aca="false">IF(Tasks!$D153="","",Tasks!$S153)</f>
        <v/>
      </c>
      <c r="I153" s="65" t="str">
        <f aca="false">IF(Tasks!$D153="","",Tasks!$V153)</f>
        <v/>
      </c>
      <c r="J153" s="63" t="str">
        <f aca="false">IF(Tasks!$D153="","",Tasks!$X153&amp;"")</f>
        <v/>
      </c>
      <c r="K153" s="66" t="str">
        <f aca="false">IF(Tasks!$D153="","",Tasks!$W153)</f>
        <v/>
      </c>
      <c r="L153" s="67" t="b">
        <f aca="false">IF(Tasks!$D153="",FALSE(),Tasks!$AI153)</f>
        <v>0</v>
      </c>
      <c r="M153" s="67" t="b">
        <f aca="false">AND(Tasks!$AJ153=1,N(Tasks!$F153)=0)</f>
        <v>0</v>
      </c>
      <c r="N153" s="68" t="n">
        <f aca="false">IF(AND(Tasks!$AJ153=1,NOT($M153),N($I153)&gt;0),$G153,0)</f>
        <v>0</v>
      </c>
      <c r="O153" s="68" t="n">
        <f aca="false">IF($N153=0,0,IF($I153&gt;=1,$H153,MAX($N153,$G153+ROUND(($H153-$G153+1)*$I153,0)-1)))</f>
        <v>0</v>
      </c>
      <c r="P153" s="68" t="n">
        <f aca="false">IF(OR(Tasks!$AJ153&lt;&gt;1,$M153,N($I153)&gt;=1),0,IF($O153&gt;0,$O153+1,$G153))</f>
        <v>0</v>
      </c>
      <c r="Q153" s="68" t="n">
        <f aca="false">IF($P153=0,0,$H153)</f>
        <v>0</v>
      </c>
      <c r="R153" s="67" t="b">
        <f aca="false">AND(Tasks!$D153&lt;&gt;"",N(Tasks!$T153)&gt;0)</f>
        <v>0</v>
      </c>
      <c r="T153" s="69" t="str">
        <f aca="false">IF($E153="","",IF($M153,IF(AND($G153&gt;=T$5,$G153&lt;T$5+GanttPeriod),"◆",IF(AND($E153&gt;=T$5,$E153&lt;T$5+GanttPeriod),"◇","")),IF(AND(T$5&lt;=$F153,T$5+GanttPeriod-1&gt;=$E153),"━","")))</f>
        <v/>
      </c>
      <c r="U153" s="69" t="str">
        <f aca="false">IF($E153="","",IF($M153,IF(AND($G153&gt;=U$5,$G153&lt;U$5+GanttPeriod),"◆",IF(AND($E153&gt;=U$5,$E153&lt;U$5+GanttPeriod),"◇","")),IF(AND(U$5&lt;=$F153,U$5+GanttPeriod-1&gt;=$E153),"━","")))</f>
        <v/>
      </c>
      <c r="V153" s="69" t="str">
        <f aca="false">IF($E153="","",IF($M153,IF(AND($G153&gt;=V$5,$G153&lt;V$5+GanttPeriod),"◆",IF(AND($E153&gt;=V$5,$E153&lt;V$5+GanttPeriod),"◇","")),IF(AND(V$5&lt;=$F153,V$5+GanttPeriod-1&gt;=$E153),"━","")))</f>
        <v/>
      </c>
      <c r="W153" s="69" t="str">
        <f aca="false">IF($E153="","",IF($M153,IF(AND($G153&gt;=W$5,$G153&lt;W$5+GanttPeriod),"◆",IF(AND($E153&gt;=W$5,$E153&lt;W$5+GanttPeriod),"◇","")),IF(AND(W$5&lt;=$F153,W$5+GanttPeriod-1&gt;=$E153),"━","")))</f>
        <v/>
      </c>
      <c r="X153" s="69" t="str">
        <f aca="false">IF($E153="","",IF($M153,IF(AND($G153&gt;=X$5,$G153&lt;X$5+GanttPeriod),"◆",IF(AND($E153&gt;=X$5,$E153&lt;X$5+GanttPeriod),"◇","")),IF(AND(X$5&lt;=$F153,X$5+GanttPeriod-1&gt;=$E153),"━","")))</f>
        <v/>
      </c>
      <c r="Y153" s="69" t="str">
        <f aca="false">IF($E153="","",IF($M153,IF(AND($G153&gt;=Y$5,$G153&lt;Y$5+GanttPeriod),"◆",IF(AND($E153&gt;=Y$5,$E153&lt;Y$5+GanttPeriod),"◇","")),IF(AND(Y$5&lt;=$F153,Y$5+GanttPeriod-1&gt;=$E153),"━","")))</f>
        <v/>
      </c>
      <c r="Z153" s="69" t="str">
        <f aca="false">IF($E153="","",IF($M153,IF(AND($G153&gt;=Z$5,$G153&lt;Z$5+GanttPeriod),"◆",IF(AND($E153&gt;=Z$5,$E153&lt;Z$5+GanttPeriod),"◇","")),IF(AND(Z$5&lt;=$F153,Z$5+GanttPeriod-1&gt;=$E153),"━","")))</f>
        <v/>
      </c>
      <c r="AA153" s="69" t="str">
        <f aca="false">IF($E153="","",IF($M153,IF(AND($G153&gt;=AA$5,$G153&lt;AA$5+GanttPeriod),"◆",IF(AND($E153&gt;=AA$5,$E153&lt;AA$5+GanttPeriod),"◇","")),IF(AND(AA$5&lt;=$F153,AA$5+GanttPeriod-1&gt;=$E153),"━","")))</f>
        <v/>
      </c>
      <c r="AB153" s="69" t="str">
        <f aca="false">IF($E153="","",IF($M153,IF(AND($G153&gt;=AB$5,$G153&lt;AB$5+GanttPeriod),"◆",IF(AND($E153&gt;=AB$5,$E153&lt;AB$5+GanttPeriod),"◇","")),IF(AND(AB$5&lt;=$F153,AB$5+GanttPeriod-1&gt;=$E153),"━","")))</f>
        <v/>
      </c>
      <c r="AC153" s="69" t="str">
        <f aca="false">IF($E153="","",IF($M153,IF(AND($G153&gt;=AC$5,$G153&lt;AC$5+GanttPeriod),"◆",IF(AND($E153&gt;=AC$5,$E153&lt;AC$5+GanttPeriod),"◇","")),IF(AND(AC$5&lt;=$F153,AC$5+GanttPeriod-1&gt;=$E153),"━","")))</f>
        <v/>
      </c>
      <c r="AD153" s="69" t="str">
        <f aca="false">IF($E153="","",IF($M153,IF(AND($G153&gt;=AD$5,$G153&lt;AD$5+GanttPeriod),"◆",IF(AND($E153&gt;=AD$5,$E153&lt;AD$5+GanttPeriod),"◇","")),IF(AND(AD$5&lt;=$F153,AD$5+GanttPeriod-1&gt;=$E153),"━","")))</f>
        <v/>
      </c>
      <c r="AE153" s="69" t="str">
        <f aca="false">IF($E153="","",IF($M153,IF(AND($G153&gt;=AE$5,$G153&lt;AE$5+GanttPeriod),"◆",IF(AND($E153&gt;=AE$5,$E153&lt;AE$5+GanttPeriod),"◇","")),IF(AND(AE$5&lt;=$F153,AE$5+GanttPeriod-1&gt;=$E153),"━","")))</f>
        <v/>
      </c>
      <c r="AF153" s="69" t="str">
        <f aca="false">IF($E153="","",IF($M153,IF(AND($G153&gt;=AF$5,$G153&lt;AF$5+GanttPeriod),"◆",IF(AND($E153&gt;=AF$5,$E153&lt;AF$5+GanttPeriod),"◇","")),IF(AND(AF$5&lt;=$F153,AF$5+GanttPeriod-1&gt;=$E153),"━","")))</f>
        <v/>
      </c>
      <c r="AG153" s="69" t="str">
        <f aca="false">IF($E153="","",IF($M153,IF(AND($G153&gt;=AG$5,$G153&lt;AG$5+GanttPeriod),"◆",IF(AND($E153&gt;=AG$5,$E153&lt;AG$5+GanttPeriod),"◇","")),IF(AND(AG$5&lt;=$F153,AG$5+GanttPeriod-1&gt;=$E153),"━","")))</f>
        <v/>
      </c>
      <c r="AH153" s="69" t="str">
        <f aca="false">IF($E153="","",IF($M153,IF(AND($G153&gt;=AH$5,$G153&lt;AH$5+GanttPeriod),"◆",IF(AND($E153&gt;=AH$5,$E153&lt;AH$5+GanttPeriod),"◇","")),IF(AND(AH$5&lt;=$F153,AH$5+GanttPeriod-1&gt;=$E153),"━","")))</f>
        <v/>
      </c>
      <c r="AI153" s="69" t="str">
        <f aca="false">IF($E153="","",IF($M153,IF(AND($G153&gt;=AI$5,$G153&lt;AI$5+GanttPeriod),"◆",IF(AND($E153&gt;=AI$5,$E153&lt;AI$5+GanttPeriod),"◇","")),IF(AND(AI$5&lt;=$F153,AI$5+GanttPeriod-1&gt;=$E153),"━","")))</f>
        <v/>
      </c>
      <c r="AJ153" s="69" t="str">
        <f aca="false">IF($E153="","",IF($M153,IF(AND($G153&gt;=AJ$5,$G153&lt;AJ$5+GanttPeriod),"◆",IF(AND($E153&gt;=AJ$5,$E153&lt;AJ$5+GanttPeriod),"◇","")),IF(AND(AJ$5&lt;=$F153,AJ$5+GanttPeriod-1&gt;=$E153),"━","")))</f>
        <v/>
      </c>
      <c r="AK153" s="69" t="str">
        <f aca="false">IF($E153="","",IF($M153,IF(AND($G153&gt;=AK$5,$G153&lt;AK$5+GanttPeriod),"◆",IF(AND($E153&gt;=AK$5,$E153&lt;AK$5+GanttPeriod),"◇","")),IF(AND(AK$5&lt;=$F153,AK$5+GanttPeriod-1&gt;=$E153),"━","")))</f>
        <v/>
      </c>
      <c r="AL153" s="69" t="str">
        <f aca="false">IF($E153="","",IF($M153,IF(AND($G153&gt;=AL$5,$G153&lt;AL$5+GanttPeriod),"◆",IF(AND($E153&gt;=AL$5,$E153&lt;AL$5+GanttPeriod),"◇","")),IF(AND(AL$5&lt;=$F153,AL$5+GanttPeriod-1&gt;=$E153),"━","")))</f>
        <v/>
      </c>
      <c r="AM153" s="69" t="str">
        <f aca="false">IF($E153="","",IF($M153,IF(AND($G153&gt;=AM$5,$G153&lt;AM$5+GanttPeriod),"◆",IF(AND($E153&gt;=AM$5,$E153&lt;AM$5+GanttPeriod),"◇","")),IF(AND(AM$5&lt;=$F153,AM$5+GanttPeriod-1&gt;=$E153),"━","")))</f>
        <v/>
      </c>
      <c r="AN153" s="69" t="str">
        <f aca="false">IF($E153="","",IF($M153,IF(AND($G153&gt;=AN$5,$G153&lt;AN$5+GanttPeriod),"◆",IF(AND($E153&gt;=AN$5,$E153&lt;AN$5+GanttPeriod),"◇","")),IF(AND(AN$5&lt;=$F153,AN$5+GanttPeriod-1&gt;=$E153),"━","")))</f>
        <v/>
      </c>
      <c r="AO153" s="69" t="str">
        <f aca="false">IF($E153="","",IF($M153,IF(AND($G153&gt;=AO$5,$G153&lt;AO$5+GanttPeriod),"◆",IF(AND($E153&gt;=AO$5,$E153&lt;AO$5+GanttPeriod),"◇","")),IF(AND(AO$5&lt;=$F153,AO$5+GanttPeriod-1&gt;=$E153),"━","")))</f>
        <v/>
      </c>
      <c r="AP153" s="69" t="str">
        <f aca="false">IF($E153="","",IF($M153,IF(AND($G153&gt;=AP$5,$G153&lt;AP$5+GanttPeriod),"◆",IF(AND($E153&gt;=AP$5,$E153&lt;AP$5+GanttPeriod),"◇","")),IF(AND(AP$5&lt;=$F153,AP$5+GanttPeriod-1&gt;=$E153),"━","")))</f>
        <v/>
      </c>
      <c r="AQ153" s="69" t="str">
        <f aca="false">IF($E153="","",IF($M153,IF(AND($G153&gt;=AQ$5,$G153&lt;AQ$5+GanttPeriod),"◆",IF(AND($E153&gt;=AQ$5,$E153&lt;AQ$5+GanttPeriod),"◇","")),IF(AND(AQ$5&lt;=$F153,AQ$5+GanttPeriod-1&gt;=$E153),"━","")))</f>
        <v/>
      </c>
      <c r="AR153" s="69" t="str">
        <f aca="false">IF($E153="","",IF($M153,IF(AND($G153&gt;=AR$5,$G153&lt;AR$5+GanttPeriod),"◆",IF(AND($E153&gt;=AR$5,$E153&lt;AR$5+GanttPeriod),"◇","")),IF(AND(AR$5&lt;=$F153,AR$5+GanttPeriod-1&gt;=$E153),"━","")))</f>
        <v/>
      </c>
      <c r="AS153" s="69" t="str">
        <f aca="false">IF($E153="","",IF($M153,IF(AND($G153&gt;=AS$5,$G153&lt;AS$5+GanttPeriod),"◆",IF(AND($E153&gt;=AS$5,$E153&lt;AS$5+GanttPeriod),"◇","")),IF(AND(AS$5&lt;=$F153,AS$5+GanttPeriod-1&gt;=$E153),"━","")))</f>
        <v/>
      </c>
      <c r="AT153" s="69" t="str">
        <f aca="false">IF($E153="","",IF($M153,IF(AND($G153&gt;=AT$5,$G153&lt;AT$5+GanttPeriod),"◆",IF(AND($E153&gt;=AT$5,$E153&lt;AT$5+GanttPeriod),"◇","")),IF(AND(AT$5&lt;=$F153,AT$5+GanttPeriod-1&gt;=$E153),"━","")))</f>
        <v/>
      </c>
      <c r="AU153" s="69" t="str">
        <f aca="false">IF($E153="","",IF($M153,IF(AND($G153&gt;=AU$5,$G153&lt;AU$5+GanttPeriod),"◆",IF(AND($E153&gt;=AU$5,$E153&lt;AU$5+GanttPeriod),"◇","")),IF(AND(AU$5&lt;=$F153,AU$5+GanttPeriod-1&gt;=$E153),"━","")))</f>
        <v/>
      </c>
      <c r="AV153" s="69" t="str">
        <f aca="false">IF($E153="","",IF($M153,IF(AND($G153&gt;=AV$5,$G153&lt;AV$5+GanttPeriod),"◆",IF(AND($E153&gt;=AV$5,$E153&lt;AV$5+GanttPeriod),"◇","")),IF(AND(AV$5&lt;=$F153,AV$5+GanttPeriod-1&gt;=$E153),"━","")))</f>
        <v/>
      </c>
      <c r="AW153" s="69" t="str">
        <f aca="false">IF($E153="","",IF($M153,IF(AND($G153&gt;=AW$5,$G153&lt;AW$5+GanttPeriod),"◆",IF(AND($E153&gt;=AW$5,$E153&lt;AW$5+GanttPeriod),"◇","")),IF(AND(AW$5&lt;=$F153,AW$5+GanttPeriod-1&gt;=$E153),"━","")))</f>
        <v/>
      </c>
      <c r="AX153" s="69" t="str">
        <f aca="false">IF($E153="","",IF($M153,IF(AND($G153&gt;=AX$5,$G153&lt;AX$5+GanttPeriod),"◆",IF(AND($E153&gt;=AX$5,$E153&lt;AX$5+GanttPeriod),"◇","")),IF(AND(AX$5&lt;=$F153,AX$5+GanttPeriod-1&gt;=$E153),"━","")))</f>
        <v/>
      </c>
      <c r="AY153" s="69" t="str">
        <f aca="false">IF($E153="","",IF($M153,IF(AND($G153&gt;=AY$5,$G153&lt;AY$5+GanttPeriod),"◆",IF(AND($E153&gt;=AY$5,$E153&lt;AY$5+GanttPeriod),"◇","")),IF(AND(AY$5&lt;=$F153,AY$5+GanttPeriod-1&gt;=$E153),"━","")))</f>
        <v/>
      </c>
      <c r="AZ153" s="69" t="str">
        <f aca="false">IF($E153="","",IF($M153,IF(AND($G153&gt;=AZ$5,$G153&lt;AZ$5+GanttPeriod),"◆",IF(AND($E153&gt;=AZ$5,$E153&lt;AZ$5+GanttPeriod),"◇","")),IF(AND(AZ$5&lt;=$F153,AZ$5+GanttPeriod-1&gt;=$E153),"━","")))</f>
        <v/>
      </c>
      <c r="BA153" s="69" t="str">
        <f aca="false">IF($E153="","",IF($M153,IF(AND($G153&gt;=BA$5,$G153&lt;BA$5+GanttPeriod),"◆",IF(AND($E153&gt;=BA$5,$E153&lt;BA$5+GanttPeriod),"◇","")),IF(AND(BA$5&lt;=$F153,BA$5+GanttPeriod-1&gt;=$E153),"━","")))</f>
        <v/>
      </c>
      <c r="BB153" s="69" t="str">
        <f aca="false">IF($E153="","",IF($M153,IF(AND($G153&gt;=BB$5,$G153&lt;BB$5+GanttPeriod),"◆",IF(AND($E153&gt;=BB$5,$E153&lt;BB$5+GanttPeriod),"◇","")),IF(AND(BB$5&lt;=$F153,BB$5+GanttPeriod-1&gt;=$E153),"━","")))</f>
        <v/>
      </c>
      <c r="BC153" s="69" t="str">
        <f aca="false">IF($E153="","",IF($M153,IF(AND($G153&gt;=BC$5,$G153&lt;BC$5+GanttPeriod),"◆",IF(AND($E153&gt;=BC$5,$E153&lt;BC$5+GanttPeriod),"◇","")),IF(AND(BC$5&lt;=$F153,BC$5+GanttPeriod-1&gt;=$E153),"━","")))</f>
        <v/>
      </c>
      <c r="BD153" s="69" t="str">
        <f aca="false">IF($E153="","",IF($M153,IF(AND($G153&gt;=BD$5,$G153&lt;BD$5+GanttPeriod),"◆",IF(AND($E153&gt;=BD$5,$E153&lt;BD$5+GanttPeriod),"◇","")),IF(AND(BD$5&lt;=$F153,BD$5+GanttPeriod-1&gt;=$E153),"━","")))</f>
        <v/>
      </c>
      <c r="BE153" s="69" t="str">
        <f aca="false">IF($E153="","",IF($M153,IF(AND($G153&gt;=BE$5,$G153&lt;BE$5+GanttPeriod),"◆",IF(AND($E153&gt;=BE$5,$E153&lt;BE$5+GanttPeriod),"◇","")),IF(AND(BE$5&lt;=$F153,BE$5+GanttPeriod-1&gt;=$E153),"━","")))</f>
        <v/>
      </c>
      <c r="BF153" s="69" t="str">
        <f aca="false">IF($E153="","",IF($M153,IF(AND($G153&gt;=BF$5,$G153&lt;BF$5+GanttPeriod),"◆",IF(AND($E153&gt;=BF$5,$E153&lt;BF$5+GanttPeriod),"◇","")),IF(AND(BF$5&lt;=$F153,BF$5+GanttPeriod-1&gt;=$E153),"━","")))</f>
        <v/>
      </c>
      <c r="BG153" s="69" t="str">
        <f aca="false">IF($E153="","",IF($M153,IF(AND($G153&gt;=BG$5,$G153&lt;BG$5+GanttPeriod),"◆",IF(AND($E153&gt;=BG$5,$E153&lt;BG$5+GanttPeriod),"◇","")),IF(AND(BG$5&lt;=$F153,BG$5+GanttPeriod-1&gt;=$E153),"━","")))</f>
        <v/>
      </c>
      <c r="BH153" s="69" t="str">
        <f aca="false">IF($E153="","",IF($M153,IF(AND($G153&gt;=BH$5,$G153&lt;BH$5+GanttPeriod),"◆",IF(AND($E153&gt;=BH$5,$E153&lt;BH$5+GanttPeriod),"◇","")),IF(AND(BH$5&lt;=$F153,BH$5+GanttPeriod-1&gt;=$E153),"━","")))</f>
        <v/>
      </c>
      <c r="BI153" s="69" t="str">
        <f aca="false">IF($E153="","",IF($M153,IF(AND($G153&gt;=BI$5,$G153&lt;BI$5+GanttPeriod),"◆",IF(AND($E153&gt;=BI$5,$E153&lt;BI$5+GanttPeriod),"◇","")),IF(AND(BI$5&lt;=$F153,BI$5+GanttPeriod-1&gt;=$E153),"━","")))</f>
        <v/>
      </c>
      <c r="BJ153" s="69" t="str">
        <f aca="false">IF($E153="","",IF($M153,IF(AND($G153&gt;=BJ$5,$G153&lt;BJ$5+GanttPeriod),"◆",IF(AND($E153&gt;=BJ$5,$E153&lt;BJ$5+GanttPeriod),"◇","")),IF(AND(BJ$5&lt;=$F153,BJ$5+GanttPeriod-1&gt;=$E153),"━","")))</f>
        <v/>
      </c>
      <c r="BK153" s="69" t="str">
        <f aca="false">IF($E153="","",IF($M153,IF(AND($G153&gt;=BK$5,$G153&lt;BK$5+GanttPeriod),"◆",IF(AND($E153&gt;=BK$5,$E153&lt;BK$5+GanttPeriod),"◇","")),IF(AND(BK$5&lt;=$F153,BK$5+GanttPeriod-1&gt;=$E153),"━","")))</f>
        <v/>
      </c>
      <c r="BL153" s="69" t="str">
        <f aca="false">IF($E153="","",IF($M153,IF(AND($G153&gt;=BL$5,$G153&lt;BL$5+GanttPeriod),"◆",IF(AND($E153&gt;=BL$5,$E153&lt;BL$5+GanttPeriod),"◇","")),IF(AND(BL$5&lt;=$F153,BL$5+GanttPeriod-1&gt;=$E153),"━","")))</f>
        <v/>
      </c>
      <c r="BM153" s="69" t="str">
        <f aca="false">IF($E153="","",IF($M153,IF(AND($G153&gt;=BM$5,$G153&lt;BM$5+GanttPeriod),"◆",IF(AND($E153&gt;=BM$5,$E153&lt;BM$5+GanttPeriod),"◇","")),IF(AND(BM$5&lt;=$F153,BM$5+GanttPeriod-1&gt;=$E153),"━","")))</f>
        <v/>
      </c>
      <c r="BN153" s="69" t="str">
        <f aca="false">IF($E153="","",IF($M153,IF(AND($G153&gt;=BN$5,$G153&lt;BN$5+GanttPeriod),"◆",IF(AND($E153&gt;=BN$5,$E153&lt;BN$5+GanttPeriod),"◇","")),IF(AND(BN$5&lt;=$F153,BN$5+GanttPeriod-1&gt;=$E153),"━","")))</f>
        <v/>
      </c>
      <c r="BO153" s="69" t="str">
        <f aca="false">IF($E153="","",IF($M153,IF(AND($G153&gt;=BO$5,$G153&lt;BO$5+GanttPeriod),"◆",IF(AND($E153&gt;=BO$5,$E153&lt;BO$5+GanttPeriod),"◇","")),IF(AND(BO$5&lt;=$F153,BO$5+GanttPeriod-1&gt;=$E153),"━","")))</f>
        <v/>
      </c>
      <c r="BP153" s="69" t="str">
        <f aca="false">IF($E153="","",IF($M153,IF(AND($G153&gt;=BP$5,$G153&lt;BP$5+GanttPeriod),"◆",IF(AND($E153&gt;=BP$5,$E153&lt;BP$5+GanttPeriod),"◇","")),IF(AND(BP$5&lt;=$F153,BP$5+GanttPeriod-1&gt;=$E153),"━","")))</f>
        <v/>
      </c>
      <c r="BQ153" s="69" t="str">
        <f aca="false">IF($E153="","",IF($M153,IF(AND($G153&gt;=BQ$5,$G153&lt;BQ$5+GanttPeriod),"◆",IF(AND($E153&gt;=BQ$5,$E153&lt;BQ$5+GanttPeriod),"◇","")),IF(AND(BQ$5&lt;=$F153,BQ$5+GanttPeriod-1&gt;=$E153),"━","")))</f>
        <v/>
      </c>
      <c r="BR153" s="69" t="str">
        <f aca="false">IF($E153="","",IF($M153,IF(AND($G153&gt;=BR$5,$G153&lt;BR$5+GanttPeriod),"◆",IF(AND($E153&gt;=BR$5,$E153&lt;BR$5+GanttPeriod),"◇","")),IF(AND(BR$5&lt;=$F153,BR$5+GanttPeriod-1&gt;=$E153),"━","")))</f>
        <v/>
      </c>
      <c r="BS153" s="69" t="str">
        <f aca="false">IF($E153="","",IF($M153,IF(AND($G153&gt;=BS$5,$G153&lt;BS$5+GanttPeriod),"◆",IF(AND($E153&gt;=BS$5,$E153&lt;BS$5+GanttPeriod),"◇","")),IF(AND(BS$5&lt;=$F153,BS$5+GanttPeriod-1&gt;=$E153),"━","")))</f>
        <v/>
      </c>
      <c r="BT153" s="69" t="str">
        <f aca="false">IF($E153="","",IF($M153,IF(AND($G153&gt;=BT$5,$G153&lt;BT$5+GanttPeriod),"◆",IF(AND($E153&gt;=BT$5,$E153&lt;BT$5+GanttPeriod),"◇","")),IF(AND(BT$5&lt;=$F153,BT$5+GanttPeriod-1&gt;=$E153),"━","")))</f>
        <v/>
      </c>
      <c r="BU153" s="69" t="str">
        <f aca="false">IF($E153="","",IF($M153,IF(AND($G153&gt;=BU$5,$G153&lt;BU$5+GanttPeriod),"◆",IF(AND($E153&gt;=BU$5,$E153&lt;BU$5+GanttPeriod),"◇","")),IF(AND(BU$5&lt;=$F153,BU$5+GanttPeriod-1&gt;=$E153),"━","")))</f>
        <v/>
      </c>
      <c r="BV153" s="69" t="str">
        <f aca="false">IF($E153="","",IF($M153,IF(AND($G153&gt;=BV$5,$G153&lt;BV$5+GanttPeriod),"◆",IF(AND($E153&gt;=BV$5,$E153&lt;BV$5+GanttPeriod),"◇","")),IF(AND(BV$5&lt;=$F153,BV$5+GanttPeriod-1&gt;=$E153),"━","")))</f>
        <v/>
      </c>
      <c r="BW153" s="69" t="str">
        <f aca="false">IF($E153="","",IF($M153,IF(AND($G153&gt;=BW$5,$G153&lt;BW$5+GanttPeriod),"◆",IF(AND($E153&gt;=BW$5,$E153&lt;BW$5+GanttPeriod),"◇","")),IF(AND(BW$5&lt;=$F153,BW$5+GanttPeriod-1&gt;=$E153),"━","")))</f>
        <v/>
      </c>
      <c r="BX153" s="69" t="str">
        <f aca="false">IF($E153="","",IF($M153,IF(AND($G153&gt;=BX$5,$G153&lt;BX$5+GanttPeriod),"◆",IF(AND($E153&gt;=BX$5,$E153&lt;BX$5+GanttPeriod),"◇","")),IF(AND(BX$5&lt;=$F153,BX$5+GanttPeriod-1&gt;=$E153),"━","")))</f>
        <v/>
      </c>
      <c r="BY153" s="69" t="str">
        <f aca="false">IF($E153="","",IF($M153,IF(AND($G153&gt;=BY$5,$G153&lt;BY$5+GanttPeriod),"◆",IF(AND($E153&gt;=BY$5,$E153&lt;BY$5+GanttPeriod),"◇","")),IF(AND(BY$5&lt;=$F153,BY$5+GanttPeriod-1&gt;=$E153),"━","")))</f>
        <v/>
      </c>
      <c r="BZ153" s="69" t="str">
        <f aca="false">IF($E153="","",IF($M153,IF(AND($G153&gt;=BZ$5,$G153&lt;BZ$5+GanttPeriod),"◆",IF(AND($E153&gt;=BZ$5,$E153&lt;BZ$5+GanttPeriod),"◇","")),IF(AND(BZ$5&lt;=$F153,BZ$5+GanttPeriod-1&gt;=$E153),"━","")))</f>
        <v/>
      </c>
      <c r="CA153" s="69" t="str">
        <f aca="false">IF($E153="","",IF($M153,IF(AND($G153&gt;=CA$5,$G153&lt;CA$5+GanttPeriod),"◆",IF(AND($E153&gt;=CA$5,$E153&lt;CA$5+GanttPeriod),"◇","")),IF(AND(CA$5&lt;=$F153,CA$5+GanttPeriod-1&gt;=$E153),"━","")))</f>
        <v/>
      </c>
      <c r="CB153" s="69" t="str">
        <f aca="false">IF($E153="","",IF($M153,IF(AND($G153&gt;=CB$5,$G153&lt;CB$5+GanttPeriod),"◆",IF(AND($E153&gt;=CB$5,$E153&lt;CB$5+GanttPeriod),"◇","")),IF(AND(CB$5&lt;=$F153,CB$5+GanttPeriod-1&gt;=$E153),"━","")))</f>
        <v/>
      </c>
      <c r="CC153" s="69" t="str">
        <f aca="false">IF($E153="","",IF($M153,IF(AND($G153&gt;=CC$5,$G153&lt;CC$5+GanttPeriod),"◆",IF(AND($E153&gt;=CC$5,$E153&lt;CC$5+GanttPeriod),"◇","")),IF(AND(CC$5&lt;=$F153,CC$5+GanttPeriod-1&gt;=$E153),"━","")))</f>
        <v/>
      </c>
      <c r="CD153" s="69" t="str">
        <f aca="false">IF($E153="","",IF($M153,IF(AND($G153&gt;=CD$5,$G153&lt;CD$5+GanttPeriod),"◆",IF(AND($E153&gt;=CD$5,$E153&lt;CD$5+GanttPeriod),"◇","")),IF(AND(CD$5&lt;=$F153,CD$5+GanttPeriod-1&gt;=$E153),"━","")))</f>
        <v/>
      </c>
      <c r="CE153" s="69" t="str">
        <f aca="false">IF($E153="","",IF($M153,IF(AND($G153&gt;=CE$5,$G153&lt;CE$5+GanttPeriod),"◆",IF(AND($E153&gt;=CE$5,$E153&lt;CE$5+GanttPeriod),"◇","")),IF(AND(CE$5&lt;=$F153,CE$5+GanttPeriod-1&gt;=$E153),"━","")))</f>
        <v/>
      </c>
      <c r="CF153" s="69" t="str">
        <f aca="false">IF($E153="","",IF($M153,IF(AND($G153&gt;=CF$5,$G153&lt;CF$5+GanttPeriod),"◆",IF(AND($E153&gt;=CF$5,$E153&lt;CF$5+GanttPeriod),"◇","")),IF(AND(CF$5&lt;=$F153,CF$5+GanttPeriod-1&gt;=$E153),"━","")))</f>
        <v/>
      </c>
      <c r="CG153" s="69" t="str">
        <f aca="false">IF($E153="","",IF($M153,IF(AND($G153&gt;=CG$5,$G153&lt;CG$5+GanttPeriod),"◆",IF(AND($E153&gt;=CG$5,$E153&lt;CG$5+GanttPeriod),"◇","")),IF(AND(CG$5&lt;=$F153,CG$5+GanttPeriod-1&gt;=$E153),"━","")))</f>
        <v/>
      </c>
      <c r="CH153" s="69" t="str">
        <f aca="false">IF($E153="","",IF($M153,IF(AND($G153&gt;=CH$5,$G153&lt;CH$5+GanttPeriod),"◆",IF(AND($E153&gt;=CH$5,$E153&lt;CH$5+GanttPeriod),"◇","")),IF(AND(CH$5&lt;=$F153,CH$5+GanttPeriod-1&gt;=$E153),"━","")))</f>
        <v/>
      </c>
      <c r="CI153" s="69" t="str">
        <f aca="false">IF($E153="","",IF($M153,IF(AND($G153&gt;=CI$5,$G153&lt;CI$5+GanttPeriod),"◆",IF(AND($E153&gt;=CI$5,$E153&lt;CI$5+GanttPeriod),"◇","")),IF(AND(CI$5&lt;=$F153,CI$5+GanttPeriod-1&gt;=$E153),"━","")))</f>
        <v/>
      </c>
      <c r="CJ153" s="69" t="str">
        <f aca="false">IF($E153="","",IF($M153,IF(AND($G153&gt;=CJ$5,$G153&lt;CJ$5+GanttPeriod),"◆",IF(AND($E153&gt;=CJ$5,$E153&lt;CJ$5+GanttPeriod),"◇","")),IF(AND(CJ$5&lt;=$F153,CJ$5+GanttPeriod-1&gt;=$E153),"━","")))</f>
        <v/>
      </c>
      <c r="CK153" s="69" t="str">
        <f aca="false">IF($E153="","",IF($M153,IF(AND($G153&gt;=CK$5,$G153&lt;CK$5+GanttPeriod),"◆",IF(AND($E153&gt;=CK$5,$E153&lt;CK$5+GanttPeriod),"◇","")),IF(AND(CK$5&lt;=$F153,CK$5+GanttPeriod-1&gt;=$E153),"━","")))</f>
        <v/>
      </c>
      <c r="CL153" s="69" t="str">
        <f aca="false">IF($E153="","",IF($M153,IF(AND($G153&gt;=CL$5,$G153&lt;CL$5+GanttPeriod),"◆",IF(AND($E153&gt;=CL$5,$E153&lt;CL$5+GanttPeriod),"◇","")),IF(AND(CL$5&lt;=$F153,CL$5+GanttPeriod-1&gt;=$E153),"━","")))</f>
        <v/>
      </c>
      <c r="CM153" s="69" t="str">
        <f aca="false">IF($E153="","",IF($M153,IF(AND($G153&gt;=CM$5,$G153&lt;CM$5+GanttPeriod),"◆",IF(AND($E153&gt;=CM$5,$E153&lt;CM$5+GanttPeriod),"◇","")),IF(AND(CM$5&lt;=$F153,CM$5+GanttPeriod-1&gt;=$E153),"━","")))</f>
        <v/>
      </c>
      <c r="CN153" s="69" t="str">
        <f aca="false">IF($E153="","",IF($M153,IF(AND($G153&gt;=CN$5,$G153&lt;CN$5+GanttPeriod),"◆",IF(AND($E153&gt;=CN$5,$E153&lt;CN$5+GanttPeriod),"◇","")),IF(AND(CN$5&lt;=$F153,CN$5+GanttPeriod-1&gt;=$E153),"━","")))</f>
        <v/>
      </c>
      <c r="CO153" s="69" t="str">
        <f aca="false">IF($E153="","",IF($M153,IF(AND($G153&gt;=CO$5,$G153&lt;CO$5+GanttPeriod),"◆",IF(AND($E153&gt;=CO$5,$E153&lt;CO$5+GanttPeriod),"◇","")),IF(AND(CO$5&lt;=$F153,CO$5+GanttPeriod-1&gt;=$E153),"━","")))</f>
        <v/>
      </c>
      <c r="CP153" s="69" t="str">
        <f aca="false">IF($E153="","",IF($M153,IF(AND($G153&gt;=CP$5,$G153&lt;CP$5+GanttPeriod),"◆",IF(AND($E153&gt;=CP$5,$E153&lt;CP$5+GanttPeriod),"◇","")),IF(AND(CP$5&lt;=$F153,CP$5+GanttPeriod-1&gt;=$E153),"━","")))</f>
        <v/>
      </c>
      <c r="CQ153" s="69" t="str">
        <f aca="false">IF($E153="","",IF($M153,IF(AND($G153&gt;=CQ$5,$G153&lt;CQ$5+GanttPeriod),"◆",IF(AND($E153&gt;=CQ$5,$E153&lt;CQ$5+GanttPeriod),"◇","")),IF(AND(CQ$5&lt;=$F153,CQ$5+GanttPeriod-1&gt;=$E153),"━","")))</f>
        <v/>
      </c>
      <c r="CR153" s="69" t="str">
        <f aca="false">IF($E153="","",IF($M153,IF(AND($G153&gt;=CR$5,$G153&lt;CR$5+GanttPeriod),"◆",IF(AND($E153&gt;=CR$5,$E153&lt;CR$5+GanttPeriod),"◇","")),IF(AND(CR$5&lt;=$F153,CR$5+GanttPeriod-1&gt;=$E153),"━","")))</f>
        <v/>
      </c>
      <c r="CS153" s="69" t="str">
        <f aca="false">IF($E153="","",IF($M153,IF(AND($G153&gt;=CS$5,$G153&lt;CS$5+GanttPeriod),"◆",IF(AND($E153&gt;=CS$5,$E153&lt;CS$5+GanttPeriod),"◇","")),IF(AND(CS$5&lt;=$F153,CS$5+GanttPeriod-1&gt;=$E153),"━","")))</f>
        <v/>
      </c>
      <c r="CT153" s="69" t="str">
        <f aca="false">IF($E153="","",IF($M153,IF(AND($G153&gt;=CT$5,$G153&lt;CT$5+GanttPeriod),"◆",IF(AND($E153&gt;=CT$5,$E153&lt;CT$5+GanttPeriod),"◇","")),IF(AND(CT$5&lt;=$F153,CT$5+GanttPeriod-1&gt;=$E153),"━","")))</f>
        <v/>
      </c>
      <c r="CU153" s="69" t="str">
        <f aca="false">IF($E153="","",IF($M153,IF(AND($G153&gt;=CU$5,$G153&lt;CU$5+GanttPeriod),"◆",IF(AND($E153&gt;=CU$5,$E153&lt;CU$5+GanttPeriod),"◇","")),IF(AND(CU$5&lt;=$F153,CU$5+GanttPeriod-1&gt;=$E153),"━","")))</f>
        <v/>
      </c>
      <c r="CV153" s="69" t="str">
        <f aca="false">IF($E153="","",IF($M153,IF(AND($G153&gt;=CV$5,$G153&lt;CV$5+GanttPeriod),"◆",IF(AND($E153&gt;=CV$5,$E153&lt;CV$5+GanttPeriod),"◇","")),IF(AND(CV$5&lt;=$F153,CV$5+GanttPeriod-1&gt;=$E153),"━","")))</f>
        <v/>
      </c>
      <c r="CW153" s="69" t="str">
        <f aca="false">IF($E153="","",IF($M153,IF(AND($G153&gt;=CW$5,$G153&lt;CW$5+GanttPeriod),"◆",IF(AND($E153&gt;=CW$5,$E153&lt;CW$5+GanttPeriod),"◇","")),IF(AND(CW$5&lt;=$F153,CW$5+GanttPeriod-1&gt;=$E153),"━","")))</f>
        <v/>
      </c>
      <c r="CX153" s="69" t="str">
        <f aca="false">IF($E153="","",IF($M153,IF(AND($G153&gt;=CX$5,$G153&lt;CX$5+GanttPeriod),"◆",IF(AND($E153&gt;=CX$5,$E153&lt;CX$5+GanttPeriod),"◇","")),IF(AND(CX$5&lt;=$F153,CX$5+GanttPeriod-1&gt;=$E153),"━","")))</f>
        <v/>
      </c>
      <c r="CY153" s="69" t="str">
        <f aca="false">IF($E153="","",IF($M153,IF(AND($G153&gt;=CY$5,$G153&lt;CY$5+GanttPeriod),"◆",IF(AND($E153&gt;=CY$5,$E153&lt;CY$5+GanttPeriod),"◇","")),IF(AND(CY$5&lt;=$F153,CY$5+GanttPeriod-1&gt;=$E153),"━","")))</f>
        <v/>
      </c>
      <c r="CZ153" s="69" t="str">
        <f aca="false">IF($E153="","",IF($M153,IF(AND($G153&gt;=CZ$5,$G153&lt;CZ$5+GanttPeriod),"◆",IF(AND($E153&gt;=CZ$5,$E153&lt;CZ$5+GanttPeriod),"◇","")),IF(AND(CZ$5&lt;=$F153,CZ$5+GanttPeriod-1&gt;=$E153),"━","")))</f>
        <v/>
      </c>
      <c r="DA153" s="69" t="str">
        <f aca="false">IF($E153="","",IF($M153,IF(AND($G153&gt;=DA$5,$G153&lt;DA$5+GanttPeriod),"◆",IF(AND($E153&gt;=DA$5,$E153&lt;DA$5+GanttPeriod),"◇","")),IF(AND(DA$5&lt;=$F153,DA$5+GanttPeriod-1&gt;=$E153),"━","")))</f>
        <v/>
      </c>
      <c r="DB153" s="69" t="str">
        <f aca="false">IF($E153="","",IF($M153,IF(AND($G153&gt;=DB$5,$G153&lt;DB$5+GanttPeriod),"◆",IF(AND($E153&gt;=DB$5,$E153&lt;DB$5+GanttPeriod),"◇","")),IF(AND(DB$5&lt;=$F153,DB$5+GanttPeriod-1&gt;=$E153),"━","")))</f>
        <v/>
      </c>
      <c r="DC153" s="69" t="str">
        <f aca="false">IF($E153="","",IF($M153,IF(AND($G153&gt;=DC$5,$G153&lt;DC$5+GanttPeriod),"◆",IF(AND($E153&gt;=DC$5,$E153&lt;DC$5+GanttPeriod),"◇","")),IF(AND(DC$5&lt;=$F153,DC$5+GanttPeriod-1&gt;=$E153),"━","")))</f>
        <v/>
      </c>
      <c r="DD153" s="69" t="str">
        <f aca="false">IF($E153="","",IF($M153,IF(AND($G153&gt;=DD$5,$G153&lt;DD$5+GanttPeriod),"◆",IF(AND($E153&gt;=DD$5,$E153&lt;DD$5+GanttPeriod),"◇","")),IF(AND(DD$5&lt;=$F153,DD$5+GanttPeriod-1&gt;=$E153),"━","")))</f>
        <v/>
      </c>
      <c r="DE153" s="69" t="str">
        <f aca="false">IF($E153="","",IF($M153,IF(AND($G153&gt;=DE$5,$G153&lt;DE$5+GanttPeriod),"◆",IF(AND($E153&gt;=DE$5,$E153&lt;DE$5+GanttPeriod),"◇","")),IF(AND(DE$5&lt;=$F153,DE$5+GanttPeriod-1&gt;=$E153),"━","")))</f>
        <v/>
      </c>
      <c r="DF153" s="69" t="str">
        <f aca="false">IF($E153="","",IF($M153,IF(AND($G153&gt;=DF$5,$G153&lt;DF$5+GanttPeriod),"◆",IF(AND($E153&gt;=DF$5,$E153&lt;DF$5+GanttPeriod),"◇","")),IF(AND(DF$5&lt;=$F153,DF$5+GanttPeriod-1&gt;=$E153),"━","")))</f>
        <v/>
      </c>
      <c r="DG153" s="69" t="str">
        <f aca="false">IF($E153="","",IF($M153,IF(AND($G153&gt;=DG$5,$G153&lt;DG$5+GanttPeriod),"◆",IF(AND($E153&gt;=DG$5,$E153&lt;DG$5+GanttPeriod),"◇","")),IF(AND(DG$5&lt;=$F153,DG$5+GanttPeriod-1&gt;=$E153),"━","")))</f>
        <v/>
      </c>
      <c r="DH153" s="69" t="str">
        <f aca="false">IF($E153="","",IF($M153,IF(AND($G153&gt;=DH$5,$G153&lt;DH$5+GanttPeriod),"◆",IF(AND($E153&gt;=DH$5,$E153&lt;DH$5+GanttPeriod),"◇","")),IF(AND(DH$5&lt;=$F153,DH$5+GanttPeriod-1&gt;=$E153),"━","")))</f>
        <v/>
      </c>
      <c r="DI153" s="69" t="str">
        <f aca="false">IF($E153="","",IF($M153,IF(AND($G153&gt;=DI$5,$G153&lt;DI$5+GanttPeriod),"◆",IF(AND($E153&gt;=DI$5,$E153&lt;DI$5+GanttPeriod),"◇","")),IF(AND(DI$5&lt;=$F153,DI$5+GanttPeriod-1&gt;=$E153),"━","")))</f>
        <v/>
      </c>
      <c r="DJ153" s="69" t="str">
        <f aca="false">IF($E153="","",IF($M153,IF(AND($G153&gt;=DJ$5,$G153&lt;DJ$5+GanttPeriod),"◆",IF(AND($E153&gt;=DJ$5,$E153&lt;DJ$5+GanttPeriod),"◇","")),IF(AND(DJ$5&lt;=$F153,DJ$5+GanttPeriod-1&gt;=$E153),"━","")))</f>
        <v/>
      </c>
      <c r="DK153" s="69" t="str">
        <f aca="false">IF($E153="","",IF($M153,IF(AND($G153&gt;=DK$5,$G153&lt;DK$5+GanttPeriod),"◆",IF(AND($E153&gt;=DK$5,$E153&lt;DK$5+GanttPeriod),"◇","")),IF(AND(DK$5&lt;=$F153,DK$5+GanttPeriod-1&gt;=$E153),"━","")))</f>
        <v/>
      </c>
      <c r="DL153" s="69" t="str">
        <f aca="false">IF($E153="","",IF($M153,IF(AND($G153&gt;=DL$5,$G153&lt;DL$5+GanttPeriod),"◆",IF(AND($E153&gt;=DL$5,$E153&lt;DL$5+GanttPeriod),"◇","")),IF(AND(DL$5&lt;=$F153,DL$5+GanttPeriod-1&gt;=$E153),"━","")))</f>
        <v/>
      </c>
      <c r="DM153" s="69" t="str">
        <f aca="false">IF($E153="","",IF($M153,IF(AND($G153&gt;=DM$5,$G153&lt;DM$5+GanttPeriod),"◆",IF(AND($E153&gt;=DM$5,$E153&lt;DM$5+GanttPeriod),"◇","")),IF(AND(DM$5&lt;=$F153,DM$5+GanttPeriod-1&gt;=$E153),"━","")))</f>
        <v/>
      </c>
      <c r="DN153" s="69" t="str">
        <f aca="false">IF($E153="","",IF($M153,IF(AND($G153&gt;=DN$5,$G153&lt;DN$5+GanttPeriod),"◆",IF(AND($E153&gt;=DN$5,$E153&lt;DN$5+GanttPeriod),"◇","")),IF(AND(DN$5&lt;=$F153,DN$5+GanttPeriod-1&gt;=$E153),"━","")))</f>
        <v/>
      </c>
      <c r="DO153" s="69" t="str">
        <f aca="false">IF($E153="","",IF($M153,IF(AND($G153&gt;=DO$5,$G153&lt;DO$5+GanttPeriod),"◆",IF(AND($E153&gt;=DO$5,$E153&lt;DO$5+GanttPeriod),"◇","")),IF(AND(DO$5&lt;=$F153,DO$5+GanttPeriod-1&gt;=$E153),"━","")))</f>
        <v/>
      </c>
      <c r="DP153" s="69" t="str">
        <f aca="false">IF($E153="","",IF($M153,IF(AND($G153&gt;=DP$5,$G153&lt;DP$5+GanttPeriod),"◆",IF(AND($E153&gt;=DP$5,$E153&lt;DP$5+GanttPeriod),"◇","")),IF(AND(DP$5&lt;=$F153,DP$5+GanttPeriod-1&gt;=$E153),"━","")))</f>
        <v/>
      </c>
      <c r="DQ153" s="69" t="str">
        <f aca="false">IF($E153="","",IF($M153,IF(AND($G153&gt;=DQ$5,$G153&lt;DQ$5+GanttPeriod),"◆",IF(AND($E153&gt;=DQ$5,$E153&lt;DQ$5+GanttPeriod),"◇","")),IF(AND(DQ$5&lt;=$F153,DQ$5+GanttPeriod-1&gt;=$E153),"━","")))</f>
        <v/>
      </c>
      <c r="DR153" s="69" t="str">
        <f aca="false">IF($E153="","",IF($M153,IF(AND($G153&gt;=DR$5,$G153&lt;DR$5+GanttPeriod),"◆",IF(AND($E153&gt;=DR$5,$E153&lt;DR$5+GanttPeriod),"◇","")),IF(AND(DR$5&lt;=$F153,DR$5+GanttPeriod-1&gt;=$E153),"━","")))</f>
        <v/>
      </c>
      <c r="DS153" s="69" t="str">
        <f aca="false">IF($E153="","",IF($M153,IF(AND($G153&gt;=DS$5,$G153&lt;DS$5+GanttPeriod),"◆",IF(AND($E153&gt;=DS$5,$E153&lt;DS$5+GanttPeriod),"◇","")),IF(AND(DS$5&lt;=$F153,DS$5+GanttPeriod-1&gt;=$E153),"━","")))</f>
        <v/>
      </c>
      <c r="DT153" s="69" t="str">
        <f aca="false">IF($E153="","",IF($M153,IF(AND($G153&gt;=DT$5,$G153&lt;DT$5+GanttPeriod),"◆",IF(AND($E153&gt;=DT$5,$E153&lt;DT$5+GanttPeriod),"◇","")),IF(AND(DT$5&lt;=$F153,DT$5+GanttPeriod-1&gt;=$E153),"━","")))</f>
        <v/>
      </c>
      <c r="DU153" s="69" t="str">
        <f aca="false">IF($E153="","",IF($M153,IF(AND($G153&gt;=DU$5,$G153&lt;DU$5+GanttPeriod),"◆",IF(AND($E153&gt;=DU$5,$E153&lt;DU$5+GanttPeriod),"◇","")),IF(AND(DU$5&lt;=$F153,DU$5+GanttPeriod-1&gt;=$E153),"━","")))</f>
        <v/>
      </c>
      <c r="DV153" s="69" t="str">
        <f aca="false">IF($E153="","",IF($M153,IF(AND($G153&gt;=DV$5,$G153&lt;DV$5+GanttPeriod),"◆",IF(AND($E153&gt;=DV$5,$E153&lt;DV$5+GanttPeriod),"◇","")),IF(AND(DV$5&lt;=$F153,DV$5+GanttPeriod-1&gt;=$E153),"━","")))</f>
        <v/>
      </c>
      <c r="DW153" s="69" t="str">
        <f aca="false">IF($E153="","",IF($M153,IF(AND($G153&gt;=DW$5,$G153&lt;DW$5+GanttPeriod),"◆",IF(AND($E153&gt;=DW$5,$E153&lt;DW$5+GanttPeriod),"◇","")),IF(AND(DW$5&lt;=$F153,DW$5+GanttPeriod-1&gt;=$E153),"━","")))</f>
        <v/>
      </c>
      <c r="DX153" s="69" t="str">
        <f aca="false">IF($E153="","",IF($M153,IF(AND($G153&gt;=DX$5,$G153&lt;DX$5+GanttPeriod),"◆",IF(AND($E153&gt;=DX$5,$E153&lt;DX$5+GanttPeriod),"◇","")),IF(AND(DX$5&lt;=$F153,DX$5+GanttPeriod-1&gt;=$E153),"━","")))</f>
        <v/>
      </c>
      <c r="DY153" s="69" t="str">
        <f aca="false">IF($E153="","",IF($M153,IF(AND($G153&gt;=DY$5,$G153&lt;DY$5+GanttPeriod),"◆",IF(AND($E153&gt;=DY$5,$E153&lt;DY$5+GanttPeriod),"◇","")),IF(AND(DY$5&lt;=$F153,DY$5+GanttPeriod-1&gt;=$E153),"━","")))</f>
        <v/>
      </c>
      <c r="DZ153" s="69" t="str">
        <f aca="false">IF($E153="","",IF($M153,IF(AND($G153&gt;=DZ$5,$G153&lt;DZ$5+GanttPeriod),"◆",IF(AND($E153&gt;=DZ$5,$E153&lt;DZ$5+GanttPeriod),"◇","")),IF(AND(DZ$5&lt;=$F153,DZ$5+GanttPeriod-1&gt;=$E153),"━","")))</f>
        <v/>
      </c>
      <c r="EA153" s="69" t="str">
        <f aca="false">IF($E153="","",IF($M153,IF(AND($G153&gt;=EA$5,$G153&lt;EA$5+GanttPeriod),"◆",IF(AND($E153&gt;=EA$5,$E153&lt;EA$5+GanttPeriod),"◇","")),IF(AND(EA$5&lt;=$F153,EA$5+GanttPeriod-1&gt;=$E153),"━","")))</f>
        <v/>
      </c>
      <c r="EB153" s="69" t="str">
        <f aca="false">IF($E153="","",IF($M153,IF(AND($G153&gt;=EB$5,$G153&lt;EB$5+GanttPeriod),"◆",IF(AND($E153&gt;=EB$5,$E153&lt;EB$5+GanttPeriod),"◇","")),IF(AND(EB$5&lt;=$F153,EB$5+GanttPeriod-1&gt;=$E153),"━","")))</f>
        <v/>
      </c>
      <c r="EC153" s="69" t="str">
        <f aca="false">IF($E153="","",IF($M153,IF(AND($G153&gt;=EC$5,$G153&lt;EC$5+GanttPeriod),"◆",IF(AND($E153&gt;=EC$5,$E153&lt;EC$5+GanttPeriod),"◇","")),IF(AND(EC$5&lt;=$F153,EC$5+GanttPeriod-1&gt;=$E153),"━","")))</f>
        <v/>
      </c>
      <c r="ED153" s="69" t="str">
        <f aca="false">IF($E153="","",IF($M153,IF(AND($G153&gt;=ED$5,$G153&lt;ED$5+GanttPeriod),"◆",IF(AND($E153&gt;=ED$5,$E153&lt;ED$5+GanttPeriod),"◇","")),IF(AND(ED$5&lt;=$F153,ED$5+GanttPeriod-1&gt;=$E153),"━","")))</f>
        <v/>
      </c>
      <c r="EE153" s="69" t="str">
        <f aca="false">IF($E153="","",IF($M153,IF(AND($G153&gt;=EE$5,$G153&lt;EE$5+GanttPeriod),"◆",IF(AND($E153&gt;=EE$5,$E153&lt;EE$5+GanttPeriod),"◇","")),IF(AND(EE$5&lt;=$F153,EE$5+GanttPeriod-1&gt;=$E153),"━","")))</f>
        <v/>
      </c>
      <c r="EF153" s="69" t="str">
        <f aca="false">IF($E153="","",IF($M153,IF(AND($G153&gt;=EF$5,$G153&lt;EF$5+GanttPeriod),"◆",IF(AND($E153&gt;=EF$5,$E153&lt;EF$5+GanttPeriod),"◇","")),IF(AND(EF$5&lt;=$F153,EF$5+GanttPeriod-1&gt;=$E153),"━","")))</f>
        <v/>
      </c>
      <c r="EG153" s="69" t="str">
        <f aca="false">IF($E153="","",IF($M153,IF(AND($G153&gt;=EG$5,$G153&lt;EG$5+GanttPeriod),"◆",IF(AND($E153&gt;=EG$5,$E153&lt;EG$5+GanttPeriod),"◇","")),IF(AND(EG$5&lt;=$F153,EG$5+GanttPeriod-1&gt;=$E153),"━","")))</f>
        <v/>
      </c>
      <c r="EH153" s="69" t="str">
        <f aca="false">IF($E153="","",IF($M153,IF(AND($G153&gt;=EH$5,$G153&lt;EH$5+GanttPeriod),"◆",IF(AND($E153&gt;=EH$5,$E153&lt;EH$5+GanttPeriod),"◇","")),IF(AND(EH$5&lt;=$F153,EH$5+GanttPeriod-1&gt;=$E153),"━","")))</f>
        <v/>
      </c>
      <c r="EI153" s="69" t="str">
        <f aca="false">IF($E153="","",IF($M153,IF(AND($G153&gt;=EI$5,$G153&lt;EI$5+GanttPeriod),"◆",IF(AND($E153&gt;=EI$5,$E153&lt;EI$5+GanttPeriod),"◇","")),IF(AND(EI$5&lt;=$F153,EI$5+GanttPeriod-1&gt;=$E153),"━","")))</f>
        <v/>
      </c>
      <c r="EJ153" s="69" t="str">
        <f aca="false">IF($E153="","",IF($M153,IF(AND($G153&gt;=EJ$5,$G153&lt;EJ$5+GanttPeriod),"◆",IF(AND($E153&gt;=EJ$5,$E153&lt;EJ$5+GanttPeriod),"◇","")),IF(AND(EJ$5&lt;=$F153,EJ$5+GanttPeriod-1&gt;=$E153),"━","")))</f>
        <v/>
      </c>
      <c r="EK153" s="69" t="str">
        <f aca="false">IF($E153="","",IF($M153,IF(AND($G153&gt;=EK$5,$G153&lt;EK$5+GanttPeriod),"◆",IF(AND($E153&gt;=EK$5,$E153&lt;EK$5+GanttPeriod),"◇","")),IF(AND(EK$5&lt;=$F153,EK$5+GanttPeriod-1&gt;=$E153),"━","")))</f>
        <v/>
      </c>
      <c r="EL153" s="69" t="str">
        <f aca="false">IF($E153="","",IF($M153,IF(AND($G153&gt;=EL$5,$G153&lt;EL$5+GanttPeriod),"◆",IF(AND($E153&gt;=EL$5,$E153&lt;EL$5+GanttPeriod),"◇","")),IF(AND(EL$5&lt;=$F153,EL$5+GanttPeriod-1&gt;=$E153),"━","")))</f>
        <v/>
      </c>
      <c r="EM153" s="69" t="str">
        <f aca="false">IF($E153="","",IF($M153,IF(AND($G153&gt;=EM$5,$G153&lt;EM$5+GanttPeriod),"◆",IF(AND($E153&gt;=EM$5,$E153&lt;EM$5+GanttPeriod),"◇","")),IF(AND(EM$5&lt;=$F153,EM$5+GanttPeriod-1&gt;=$E153),"━","")))</f>
        <v/>
      </c>
      <c r="EN153" s="69" t="str">
        <f aca="false">IF($E153="","",IF($M153,IF(AND($G153&gt;=EN$5,$G153&lt;EN$5+GanttPeriod),"◆",IF(AND($E153&gt;=EN$5,$E153&lt;EN$5+GanttPeriod),"◇","")),IF(AND(EN$5&lt;=$F153,EN$5+GanttPeriod-1&gt;=$E153),"━","")))</f>
        <v/>
      </c>
      <c r="EO153" s="69" t="str">
        <f aca="false">IF($E153="","",IF($M153,IF(AND($G153&gt;=EO$5,$G153&lt;EO$5+GanttPeriod),"◆",IF(AND($E153&gt;=EO$5,$E153&lt;EO$5+GanttPeriod),"◇","")),IF(AND(EO$5&lt;=$F153,EO$5+GanttPeriod-1&gt;=$E153),"━","")))</f>
        <v/>
      </c>
      <c r="EP153" s="69" t="str">
        <f aca="false">IF($E153="","",IF($M153,IF(AND($G153&gt;=EP$5,$G153&lt;EP$5+GanttPeriod),"◆",IF(AND($E153&gt;=EP$5,$E153&lt;EP$5+GanttPeriod),"◇","")),IF(AND(EP$5&lt;=$F153,EP$5+GanttPeriod-1&gt;=$E153),"━","")))</f>
        <v/>
      </c>
      <c r="EQ153" s="69" t="str">
        <f aca="false">IF($E153="","",IF($M153,IF(AND($G153&gt;=EQ$5,$G153&lt;EQ$5+GanttPeriod),"◆",IF(AND($E153&gt;=EQ$5,$E153&lt;EQ$5+GanttPeriod),"◇","")),IF(AND(EQ$5&lt;=$F153,EQ$5+GanttPeriod-1&gt;=$E153),"━","")))</f>
        <v/>
      </c>
      <c r="ER153" s="69" t="str">
        <f aca="false">IF($E153="","",IF($M153,IF(AND($G153&gt;=ER$5,$G153&lt;ER$5+GanttPeriod),"◆",IF(AND($E153&gt;=ER$5,$E153&lt;ER$5+GanttPeriod),"◇","")),IF(AND(ER$5&lt;=$F153,ER$5+GanttPeriod-1&gt;=$E153),"━","")))</f>
        <v/>
      </c>
      <c r="ES153" s="69" t="str">
        <f aca="false">IF($E153="","",IF($M153,IF(AND($G153&gt;=ES$5,$G153&lt;ES$5+GanttPeriod),"◆",IF(AND($E153&gt;=ES$5,$E153&lt;ES$5+GanttPeriod),"◇","")),IF(AND(ES$5&lt;=$F153,ES$5+GanttPeriod-1&gt;=$E153),"━","")))</f>
        <v/>
      </c>
      <c r="ET153" s="69" t="str">
        <f aca="false">IF($E153="","",IF($M153,IF(AND($G153&gt;=ET$5,$G153&lt;ET$5+GanttPeriod),"◆",IF(AND($E153&gt;=ET$5,$E153&lt;ET$5+GanttPeriod),"◇","")),IF(AND(ET$5&lt;=$F153,ET$5+GanttPeriod-1&gt;=$E153),"━","")))</f>
        <v/>
      </c>
      <c r="EU153" s="69" t="str">
        <f aca="false">IF($E153="","",IF($M153,IF(AND($G153&gt;=EU$5,$G153&lt;EU$5+GanttPeriod),"◆",IF(AND($E153&gt;=EU$5,$E153&lt;EU$5+GanttPeriod),"◇","")),IF(AND(EU$5&lt;=$F153,EU$5+GanttPeriod-1&gt;=$E153),"━","")))</f>
        <v/>
      </c>
      <c r="EV153" s="69" t="str">
        <f aca="false">IF($E153="","",IF($M153,IF(AND($G153&gt;=EV$5,$G153&lt;EV$5+GanttPeriod),"◆",IF(AND($E153&gt;=EV$5,$E153&lt;EV$5+GanttPeriod),"◇","")),IF(AND(EV$5&lt;=$F153,EV$5+GanttPeriod-1&gt;=$E153),"━","")))</f>
        <v/>
      </c>
      <c r="EW153" s="69" t="str">
        <f aca="false">IF($E153="","",IF($M153,IF(AND($G153&gt;=EW$5,$G153&lt;EW$5+GanttPeriod),"◆",IF(AND($E153&gt;=EW$5,$E153&lt;EW$5+GanttPeriod),"◇","")),IF(AND(EW$5&lt;=$F153,EW$5+GanttPeriod-1&gt;=$E153),"━","")))</f>
        <v/>
      </c>
      <c r="EX153" s="69" t="str">
        <f aca="false">IF($E153="","",IF($M153,IF(AND($G153&gt;=EX$5,$G153&lt;EX$5+GanttPeriod),"◆",IF(AND($E153&gt;=EX$5,$E153&lt;EX$5+GanttPeriod),"◇","")),IF(AND(EX$5&lt;=$F153,EX$5+GanttPeriod-1&gt;=$E153),"━","")))</f>
        <v/>
      </c>
      <c r="EY153" s="69" t="str">
        <f aca="false">IF($E153="","",IF($M153,IF(AND($G153&gt;=EY$5,$G153&lt;EY$5+GanttPeriod),"◆",IF(AND($E153&gt;=EY$5,$E153&lt;EY$5+GanttPeriod),"◇","")),IF(AND(EY$5&lt;=$F153,EY$5+GanttPeriod-1&gt;=$E153),"━","")))</f>
        <v/>
      </c>
      <c r="EZ153" s="69" t="str">
        <f aca="false">IF($E153="","",IF($M153,IF(AND($G153&gt;=EZ$5,$G153&lt;EZ$5+GanttPeriod),"◆",IF(AND($E153&gt;=EZ$5,$E153&lt;EZ$5+GanttPeriod),"◇","")),IF(AND(EZ$5&lt;=$F153,EZ$5+GanttPeriod-1&gt;=$E153),"━","")))</f>
        <v/>
      </c>
      <c r="FA153" s="69" t="str">
        <f aca="false">IF($E153="","",IF($M153,IF(AND($G153&gt;=FA$5,$G153&lt;FA$5+GanttPeriod),"◆",IF(AND($E153&gt;=FA$5,$E153&lt;FA$5+GanttPeriod),"◇","")),IF(AND(FA$5&lt;=$F153,FA$5+GanttPeriod-1&gt;=$E153),"━","")))</f>
        <v/>
      </c>
      <c r="FB153" s="69" t="str">
        <f aca="false">IF($E153="","",IF($M153,IF(AND($G153&gt;=FB$5,$G153&lt;FB$5+GanttPeriod),"◆",IF(AND($E153&gt;=FB$5,$E153&lt;FB$5+GanttPeriod),"◇","")),IF(AND(FB$5&lt;=$F153,FB$5+GanttPeriod-1&gt;=$E153),"━","")))</f>
        <v/>
      </c>
      <c r="FC153" s="69" t="str">
        <f aca="false">IF($E153="","",IF($M153,IF(AND($G153&gt;=FC$5,$G153&lt;FC$5+GanttPeriod),"◆",IF(AND($E153&gt;=FC$5,$E153&lt;FC$5+GanttPeriod),"◇","")),IF(AND(FC$5&lt;=$F153,FC$5+GanttPeriod-1&gt;=$E153),"━","")))</f>
        <v/>
      </c>
      <c r="FD153" s="69" t="str">
        <f aca="false">IF($E153="","",IF($M153,IF(AND($G153&gt;=FD$5,$G153&lt;FD$5+GanttPeriod),"◆",IF(AND($E153&gt;=FD$5,$E153&lt;FD$5+GanttPeriod),"◇","")),IF(AND(FD$5&lt;=$F153,FD$5+GanttPeriod-1&gt;=$E153),"━","")))</f>
        <v/>
      </c>
      <c r="FE153" s="69" t="str">
        <f aca="false">IF($E153="","",IF($M153,IF(AND($G153&gt;=FE$5,$G153&lt;FE$5+GanttPeriod),"◆",IF(AND($E153&gt;=FE$5,$E153&lt;FE$5+GanttPeriod),"◇","")),IF(AND(FE$5&lt;=$F153,FE$5+GanttPeriod-1&gt;=$E153),"━","")))</f>
        <v/>
      </c>
      <c r="FF153" s="69" t="str">
        <f aca="false">IF($E153="","",IF($M153,IF(AND($G153&gt;=FF$5,$G153&lt;FF$5+GanttPeriod),"◆",IF(AND($E153&gt;=FF$5,$E153&lt;FF$5+GanttPeriod),"◇","")),IF(AND(FF$5&lt;=$F153,FF$5+GanttPeriod-1&gt;=$E153),"━","")))</f>
        <v/>
      </c>
      <c r="FG153" s="69" t="str">
        <f aca="false">IF($E153="","",IF($M153,IF(AND($G153&gt;=FG$5,$G153&lt;FG$5+GanttPeriod),"◆",IF(AND($E153&gt;=FG$5,$E153&lt;FG$5+GanttPeriod),"◇","")),IF(AND(FG$5&lt;=$F153,FG$5+GanttPeriod-1&gt;=$E153),"━","")))</f>
        <v/>
      </c>
      <c r="FH153" s="69" t="str">
        <f aca="false">IF($E153="","",IF($M153,IF(AND($G153&gt;=FH$5,$G153&lt;FH$5+GanttPeriod),"◆",IF(AND($E153&gt;=FH$5,$E153&lt;FH$5+GanttPeriod),"◇","")),IF(AND(FH$5&lt;=$F153,FH$5+GanttPeriod-1&gt;=$E153),"━","")))</f>
        <v/>
      </c>
      <c r="FI153" s="69" t="str">
        <f aca="false">IF($E153="","",IF($M153,IF(AND($G153&gt;=FI$5,$G153&lt;FI$5+GanttPeriod),"◆",IF(AND($E153&gt;=FI$5,$E153&lt;FI$5+GanttPeriod),"◇","")),IF(AND(FI$5&lt;=$F153,FI$5+GanttPeriod-1&gt;=$E153),"━","")))</f>
        <v/>
      </c>
      <c r="FJ153" s="69" t="str">
        <f aca="false">IF($E153="","",IF($M153,IF(AND($G153&gt;=FJ$5,$G153&lt;FJ$5+GanttPeriod),"◆",IF(AND($E153&gt;=FJ$5,$E153&lt;FJ$5+GanttPeriod),"◇","")),IF(AND(FJ$5&lt;=$F153,FJ$5+GanttPeriod-1&gt;=$E153),"━","")))</f>
        <v/>
      </c>
      <c r="FK153" s="69" t="str">
        <f aca="false">IF($E153="","",IF($M153,IF(AND($G153&gt;=FK$5,$G153&lt;FK$5+GanttPeriod),"◆",IF(AND($E153&gt;=FK$5,$E153&lt;FK$5+GanttPeriod),"◇","")),IF(AND(FK$5&lt;=$F153,FK$5+GanttPeriod-1&gt;=$E153),"━","")))</f>
        <v/>
      </c>
      <c r="FL153" s="69" t="str">
        <f aca="false">IF($E153="","",IF($M153,IF(AND($G153&gt;=FL$5,$G153&lt;FL$5+GanttPeriod),"◆",IF(AND($E153&gt;=FL$5,$E153&lt;FL$5+GanttPeriod),"◇","")),IF(AND(FL$5&lt;=$F153,FL$5+GanttPeriod-1&gt;=$E153),"━","")))</f>
        <v/>
      </c>
      <c r="FM153" s="69" t="str">
        <f aca="false">IF($E153="","",IF($M153,IF(AND($G153&gt;=FM$5,$G153&lt;FM$5+GanttPeriod),"◆",IF(AND($E153&gt;=FM$5,$E153&lt;FM$5+GanttPeriod),"◇","")),IF(AND(FM$5&lt;=$F153,FM$5+GanttPeriod-1&gt;=$E153),"━","")))</f>
        <v/>
      </c>
    </row>
    <row r="154" customFormat="false" ht="15" hidden="false" customHeight="false" outlineLevel="0" collapsed="false">
      <c r="A154" s="62" t="str">
        <f aca="false">IF(Tasks!$D154="","",Tasks!$A154)</f>
        <v/>
      </c>
      <c r="B154" s="62" t="str">
        <f aca="false">IF(Tasks!$D154="","",Tasks!$B154)</f>
        <v/>
      </c>
      <c r="C154" s="63" t="str">
        <f aca="false">IF(Tasks!$D154="","",REPT("    ",Tasks!$AE154-1)&amp;Tasks!$D154)</f>
        <v/>
      </c>
      <c r="D154" s="62" t="str">
        <f aca="false">IF(Tasks!$D154="","",IF(Tasks!$AI154,NETWORKDAYS.INTL(Tasks!$R154,Tasks!$S154,WorkWeek,Holidays),N(Tasks!$F154)))</f>
        <v/>
      </c>
      <c r="E154" s="64" t="str">
        <f aca="false">IF(Tasks!$D154="","",Tasks!$N154)</f>
        <v/>
      </c>
      <c r="F154" s="64" t="str">
        <f aca="false">IF(Tasks!$D154="","",Tasks!$O154)</f>
        <v/>
      </c>
      <c r="G154" s="64" t="str">
        <f aca="false">IF(Tasks!$D154="","",Tasks!$R154)</f>
        <v/>
      </c>
      <c r="H154" s="64" t="str">
        <f aca="false">IF(Tasks!$D154="","",Tasks!$S154)</f>
        <v/>
      </c>
      <c r="I154" s="65" t="str">
        <f aca="false">IF(Tasks!$D154="","",Tasks!$V154)</f>
        <v/>
      </c>
      <c r="J154" s="63" t="str">
        <f aca="false">IF(Tasks!$D154="","",Tasks!$X154&amp;"")</f>
        <v/>
      </c>
      <c r="K154" s="66" t="str">
        <f aca="false">IF(Tasks!$D154="","",Tasks!$W154)</f>
        <v/>
      </c>
      <c r="L154" s="67" t="b">
        <f aca="false">IF(Tasks!$D154="",FALSE(),Tasks!$AI154)</f>
        <v>0</v>
      </c>
      <c r="M154" s="67" t="b">
        <f aca="false">AND(Tasks!$AJ154=1,N(Tasks!$F154)=0)</f>
        <v>0</v>
      </c>
      <c r="N154" s="68" t="n">
        <f aca="false">IF(AND(Tasks!$AJ154=1,NOT($M154),N($I154)&gt;0),$G154,0)</f>
        <v>0</v>
      </c>
      <c r="O154" s="68" t="n">
        <f aca="false">IF($N154=0,0,IF($I154&gt;=1,$H154,MAX($N154,$G154+ROUND(($H154-$G154+1)*$I154,0)-1)))</f>
        <v>0</v>
      </c>
      <c r="P154" s="68" t="n">
        <f aca="false">IF(OR(Tasks!$AJ154&lt;&gt;1,$M154,N($I154)&gt;=1),0,IF($O154&gt;0,$O154+1,$G154))</f>
        <v>0</v>
      </c>
      <c r="Q154" s="68" t="n">
        <f aca="false">IF($P154=0,0,$H154)</f>
        <v>0</v>
      </c>
      <c r="R154" s="67" t="b">
        <f aca="false">AND(Tasks!$D154&lt;&gt;"",N(Tasks!$T154)&gt;0)</f>
        <v>0</v>
      </c>
      <c r="T154" s="69" t="str">
        <f aca="false">IF($E154="","",IF($M154,IF(AND($G154&gt;=T$5,$G154&lt;T$5+GanttPeriod),"◆",IF(AND($E154&gt;=T$5,$E154&lt;T$5+GanttPeriod),"◇","")),IF(AND(T$5&lt;=$F154,T$5+GanttPeriod-1&gt;=$E154),"━","")))</f>
        <v/>
      </c>
      <c r="U154" s="69" t="str">
        <f aca="false">IF($E154="","",IF($M154,IF(AND($G154&gt;=U$5,$G154&lt;U$5+GanttPeriod),"◆",IF(AND($E154&gt;=U$5,$E154&lt;U$5+GanttPeriod),"◇","")),IF(AND(U$5&lt;=$F154,U$5+GanttPeriod-1&gt;=$E154),"━","")))</f>
        <v/>
      </c>
      <c r="V154" s="69" t="str">
        <f aca="false">IF($E154="","",IF($M154,IF(AND($G154&gt;=V$5,$G154&lt;V$5+GanttPeriod),"◆",IF(AND($E154&gt;=V$5,$E154&lt;V$5+GanttPeriod),"◇","")),IF(AND(V$5&lt;=$F154,V$5+GanttPeriod-1&gt;=$E154),"━","")))</f>
        <v/>
      </c>
      <c r="W154" s="69" t="str">
        <f aca="false">IF($E154="","",IF($M154,IF(AND($G154&gt;=W$5,$G154&lt;W$5+GanttPeriod),"◆",IF(AND($E154&gt;=W$5,$E154&lt;W$5+GanttPeriod),"◇","")),IF(AND(W$5&lt;=$F154,W$5+GanttPeriod-1&gt;=$E154),"━","")))</f>
        <v/>
      </c>
      <c r="X154" s="69" t="str">
        <f aca="false">IF($E154="","",IF($M154,IF(AND($G154&gt;=X$5,$G154&lt;X$5+GanttPeriod),"◆",IF(AND($E154&gt;=X$5,$E154&lt;X$5+GanttPeriod),"◇","")),IF(AND(X$5&lt;=$F154,X$5+GanttPeriod-1&gt;=$E154),"━","")))</f>
        <v/>
      </c>
      <c r="Y154" s="69" t="str">
        <f aca="false">IF($E154="","",IF($M154,IF(AND($G154&gt;=Y$5,$G154&lt;Y$5+GanttPeriod),"◆",IF(AND($E154&gt;=Y$5,$E154&lt;Y$5+GanttPeriod),"◇","")),IF(AND(Y$5&lt;=$F154,Y$5+GanttPeriod-1&gt;=$E154),"━","")))</f>
        <v/>
      </c>
      <c r="Z154" s="69" t="str">
        <f aca="false">IF($E154="","",IF($M154,IF(AND($G154&gt;=Z$5,$G154&lt;Z$5+GanttPeriod),"◆",IF(AND($E154&gt;=Z$5,$E154&lt;Z$5+GanttPeriod),"◇","")),IF(AND(Z$5&lt;=$F154,Z$5+GanttPeriod-1&gt;=$E154),"━","")))</f>
        <v/>
      </c>
      <c r="AA154" s="69" t="str">
        <f aca="false">IF($E154="","",IF($M154,IF(AND($G154&gt;=AA$5,$G154&lt;AA$5+GanttPeriod),"◆",IF(AND($E154&gt;=AA$5,$E154&lt;AA$5+GanttPeriod),"◇","")),IF(AND(AA$5&lt;=$F154,AA$5+GanttPeriod-1&gt;=$E154),"━","")))</f>
        <v/>
      </c>
      <c r="AB154" s="69" t="str">
        <f aca="false">IF($E154="","",IF($M154,IF(AND($G154&gt;=AB$5,$G154&lt;AB$5+GanttPeriod),"◆",IF(AND($E154&gt;=AB$5,$E154&lt;AB$5+GanttPeriod),"◇","")),IF(AND(AB$5&lt;=$F154,AB$5+GanttPeriod-1&gt;=$E154),"━","")))</f>
        <v/>
      </c>
      <c r="AC154" s="69" t="str">
        <f aca="false">IF($E154="","",IF($M154,IF(AND($G154&gt;=AC$5,$G154&lt;AC$5+GanttPeriod),"◆",IF(AND($E154&gt;=AC$5,$E154&lt;AC$5+GanttPeriod),"◇","")),IF(AND(AC$5&lt;=$F154,AC$5+GanttPeriod-1&gt;=$E154),"━","")))</f>
        <v/>
      </c>
      <c r="AD154" s="69" t="str">
        <f aca="false">IF($E154="","",IF($M154,IF(AND($G154&gt;=AD$5,$G154&lt;AD$5+GanttPeriod),"◆",IF(AND($E154&gt;=AD$5,$E154&lt;AD$5+GanttPeriod),"◇","")),IF(AND(AD$5&lt;=$F154,AD$5+GanttPeriod-1&gt;=$E154),"━","")))</f>
        <v/>
      </c>
      <c r="AE154" s="69" t="str">
        <f aca="false">IF($E154="","",IF($M154,IF(AND($G154&gt;=AE$5,$G154&lt;AE$5+GanttPeriod),"◆",IF(AND($E154&gt;=AE$5,$E154&lt;AE$5+GanttPeriod),"◇","")),IF(AND(AE$5&lt;=$F154,AE$5+GanttPeriod-1&gt;=$E154),"━","")))</f>
        <v/>
      </c>
      <c r="AF154" s="69" t="str">
        <f aca="false">IF($E154="","",IF($M154,IF(AND($G154&gt;=AF$5,$G154&lt;AF$5+GanttPeriod),"◆",IF(AND($E154&gt;=AF$5,$E154&lt;AF$5+GanttPeriod),"◇","")),IF(AND(AF$5&lt;=$F154,AF$5+GanttPeriod-1&gt;=$E154),"━","")))</f>
        <v/>
      </c>
      <c r="AG154" s="69" t="str">
        <f aca="false">IF($E154="","",IF($M154,IF(AND($G154&gt;=AG$5,$G154&lt;AG$5+GanttPeriod),"◆",IF(AND($E154&gt;=AG$5,$E154&lt;AG$5+GanttPeriod),"◇","")),IF(AND(AG$5&lt;=$F154,AG$5+GanttPeriod-1&gt;=$E154),"━","")))</f>
        <v/>
      </c>
      <c r="AH154" s="69" t="str">
        <f aca="false">IF($E154="","",IF($M154,IF(AND($G154&gt;=AH$5,$G154&lt;AH$5+GanttPeriod),"◆",IF(AND($E154&gt;=AH$5,$E154&lt;AH$5+GanttPeriod),"◇","")),IF(AND(AH$5&lt;=$F154,AH$5+GanttPeriod-1&gt;=$E154),"━","")))</f>
        <v/>
      </c>
      <c r="AI154" s="69" t="str">
        <f aca="false">IF($E154="","",IF($M154,IF(AND($G154&gt;=AI$5,$G154&lt;AI$5+GanttPeriod),"◆",IF(AND($E154&gt;=AI$5,$E154&lt;AI$5+GanttPeriod),"◇","")),IF(AND(AI$5&lt;=$F154,AI$5+GanttPeriod-1&gt;=$E154),"━","")))</f>
        <v/>
      </c>
      <c r="AJ154" s="69" t="str">
        <f aca="false">IF($E154="","",IF($M154,IF(AND($G154&gt;=AJ$5,$G154&lt;AJ$5+GanttPeriod),"◆",IF(AND($E154&gt;=AJ$5,$E154&lt;AJ$5+GanttPeriod),"◇","")),IF(AND(AJ$5&lt;=$F154,AJ$5+GanttPeriod-1&gt;=$E154),"━","")))</f>
        <v/>
      </c>
      <c r="AK154" s="69" t="str">
        <f aca="false">IF($E154="","",IF($M154,IF(AND($G154&gt;=AK$5,$G154&lt;AK$5+GanttPeriod),"◆",IF(AND($E154&gt;=AK$5,$E154&lt;AK$5+GanttPeriod),"◇","")),IF(AND(AK$5&lt;=$F154,AK$5+GanttPeriod-1&gt;=$E154),"━","")))</f>
        <v/>
      </c>
      <c r="AL154" s="69" t="str">
        <f aca="false">IF($E154="","",IF($M154,IF(AND($G154&gt;=AL$5,$G154&lt;AL$5+GanttPeriod),"◆",IF(AND($E154&gt;=AL$5,$E154&lt;AL$5+GanttPeriod),"◇","")),IF(AND(AL$5&lt;=$F154,AL$5+GanttPeriod-1&gt;=$E154),"━","")))</f>
        <v/>
      </c>
      <c r="AM154" s="69" t="str">
        <f aca="false">IF($E154="","",IF($M154,IF(AND($G154&gt;=AM$5,$G154&lt;AM$5+GanttPeriod),"◆",IF(AND($E154&gt;=AM$5,$E154&lt;AM$5+GanttPeriod),"◇","")),IF(AND(AM$5&lt;=$F154,AM$5+GanttPeriod-1&gt;=$E154),"━","")))</f>
        <v/>
      </c>
      <c r="AN154" s="69" t="str">
        <f aca="false">IF($E154="","",IF($M154,IF(AND($G154&gt;=AN$5,$G154&lt;AN$5+GanttPeriod),"◆",IF(AND($E154&gt;=AN$5,$E154&lt;AN$5+GanttPeriod),"◇","")),IF(AND(AN$5&lt;=$F154,AN$5+GanttPeriod-1&gt;=$E154),"━","")))</f>
        <v/>
      </c>
      <c r="AO154" s="69" t="str">
        <f aca="false">IF($E154="","",IF($M154,IF(AND($G154&gt;=AO$5,$G154&lt;AO$5+GanttPeriod),"◆",IF(AND($E154&gt;=AO$5,$E154&lt;AO$5+GanttPeriod),"◇","")),IF(AND(AO$5&lt;=$F154,AO$5+GanttPeriod-1&gt;=$E154),"━","")))</f>
        <v/>
      </c>
      <c r="AP154" s="69" t="str">
        <f aca="false">IF($E154="","",IF($M154,IF(AND($G154&gt;=AP$5,$G154&lt;AP$5+GanttPeriod),"◆",IF(AND($E154&gt;=AP$5,$E154&lt;AP$5+GanttPeriod),"◇","")),IF(AND(AP$5&lt;=$F154,AP$5+GanttPeriod-1&gt;=$E154),"━","")))</f>
        <v/>
      </c>
      <c r="AQ154" s="69" t="str">
        <f aca="false">IF($E154="","",IF($M154,IF(AND($G154&gt;=AQ$5,$G154&lt;AQ$5+GanttPeriod),"◆",IF(AND($E154&gt;=AQ$5,$E154&lt;AQ$5+GanttPeriod),"◇","")),IF(AND(AQ$5&lt;=$F154,AQ$5+GanttPeriod-1&gt;=$E154),"━","")))</f>
        <v/>
      </c>
      <c r="AR154" s="69" t="str">
        <f aca="false">IF($E154="","",IF($M154,IF(AND($G154&gt;=AR$5,$G154&lt;AR$5+GanttPeriod),"◆",IF(AND($E154&gt;=AR$5,$E154&lt;AR$5+GanttPeriod),"◇","")),IF(AND(AR$5&lt;=$F154,AR$5+GanttPeriod-1&gt;=$E154),"━","")))</f>
        <v/>
      </c>
      <c r="AS154" s="69" t="str">
        <f aca="false">IF($E154="","",IF($M154,IF(AND($G154&gt;=AS$5,$G154&lt;AS$5+GanttPeriod),"◆",IF(AND($E154&gt;=AS$5,$E154&lt;AS$5+GanttPeriod),"◇","")),IF(AND(AS$5&lt;=$F154,AS$5+GanttPeriod-1&gt;=$E154),"━","")))</f>
        <v/>
      </c>
      <c r="AT154" s="69" t="str">
        <f aca="false">IF($E154="","",IF($M154,IF(AND($G154&gt;=AT$5,$G154&lt;AT$5+GanttPeriod),"◆",IF(AND($E154&gt;=AT$5,$E154&lt;AT$5+GanttPeriod),"◇","")),IF(AND(AT$5&lt;=$F154,AT$5+GanttPeriod-1&gt;=$E154),"━","")))</f>
        <v/>
      </c>
      <c r="AU154" s="69" t="str">
        <f aca="false">IF($E154="","",IF($M154,IF(AND($G154&gt;=AU$5,$G154&lt;AU$5+GanttPeriod),"◆",IF(AND($E154&gt;=AU$5,$E154&lt;AU$5+GanttPeriod),"◇","")),IF(AND(AU$5&lt;=$F154,AU$5+GanttPeriod-1&gt;=$E154),"━","")))</f>
        <v/>
      </c>
      <c r="AV154" s="69" t="str">
        <f aca="false">IF($E154="","",IF($M154,IF(AND($G154&gt;=AV$5,$G154&lt;AV$5+GanttPeriod),"◆",IF(AND($E154&gt;=AV$5,$E154&lt;AV$5+GanttPeriod),"◇","")),IF(AND(AV$5&lt;=$F154,AV$5+GanttPeriod-1&gt;=$E154),"━","")))</f>
        <v/>
      </c>
      <c r="AW154" s="69" t="str">
        <f aca="false">IF($E154="","",IF($M154,IF(AND($G154&gt;=AW$5,$G154&lt;AW$5+GanttPeriod),"◆",IF(AND($E154&gt;=AW$5,$E154&lt;AW$5+GanttPeriod),"◇","")),IF(AND(AW$5&lt;=$F154,AW$5+GanttPeriod-1&gt;=$E154),"━","")))</f>
        <v/>
      </c>
      <c r="AX154" s="69" t="str">
        <f aca="false">IF($E154="","",IF($M154,IF(AND($G154&gt;=AX$5,$G154&lt;AX$5+GanttPeriod),"◆",IF(AND($E154&gt;=AX$5,$E154&lt;AX$5+GanttPeriod),"◇","")),IF(AND(AX$5&lt;=$F154,AX$5+GanttPeriod-1&gt;=$E154),"━","")))</f>
        <v/>
      </c>
      <c r="AY154" s="69" t="str">
        <f aca="false">IF($E154="","",IF($M154,IF(AND($G154&gt;=AY$5,$G154&lt;AY$5+GanttPeriod),"◆",IF(AND($E154&gt;=AY$5,$E154&lt;AY$5+GanttPeriod),"◇","")),IF(AND(AY$5&lt;=$F154,AY$5+GanttPeriod-1&gt;=$E154),"━","")))</f>
        <v/>
      </c>
      <c r="AZ154" s="69" t="str">
        <f aca="false">IF($E154="","",IF($M154,IF(AND($G154&gt;=AZ$5,$G154&lt;AZ$5+GanttPeriod),"◆",IF(AND($E154&gt;=AZ$5,$E154&lt;AZ$5+GanttPeriod),"◇","")),IF(AND(AZ$5&lt;=$F154,AZ$5+GanttPeriod-1&gt;=$E154),"━","")))</f>
        <v/>
      </c>
      <c r="BA154" s="69" t="str">
        <f aca="false">IF($E154="","",IF($M154,IF(AND($G154&gt;=BA$5,$G154&lt;BA$5+GanttPeriod),"◆",IF(AND($E154&gt;=BA$5,$E154&lt;BA$5+GanttPeriod),"◇","")),IF(AND(BA$5&lt;=$F154,BA$5+GanttPeriod-1&gt;=$E154),"━","")))</f>
        <v/>
      </c>
      <c r="BB154" s="69" t="str">
        <f aca="false">IF($E154="","",IF($M154,IF(AND($G154&gt;=BB$5,$G154&lt;BB$5+GanttPeriod),"◆",IF(AND($E154&gt;=BB$5,$E154&lt;BB$5+GanttPeriod),"◇","")),IF(AND(BB$5&lt;=$F154,BB$5+GanttPeriod-1&gt;=$E154),"━","")))</f>
        <v/>
      </c>
      <c r="BC154" s="69" t="str">
        <f aca="false">IF($E154="","",IF($M154,IF(AND($G154&gt;=BC$5,$G154&lt;BC$5+GanttPeriod),"◆",IF(AND($E154&gt;=BC$5,$E154&lt;BC$5+GanttPeriod),"◇","")),IF(AND(BC$5&lt;=$F154,BC$5+GanttPeriod-1&gt;=$E154),"━","")))</f>
        <v/>
      </c>
      <c r="BD154" s="69" t="str">
        <f aca="false">IF($E154="","",IF($M154,IF(AND($G154&gt;=BD$5,$G154&lt;BD$5+GanttPeriod),"◆",IF(AND($E154&gt;=BD$5,$E154&lt;BD$5+GanttPeriod),"◇","")),IF(AND(BD$5&lt;=$F154,BD$5+GanttPeriod-1&gt;=$E154),"━","")))</f>
        <v/>
      </c>
      <c r="BE154" s="69" t="str">
        <f aca="false">IF($E154="","",IF($M154,IF(AND($G154&gt;=BE$5,$G154&lt;BE$5+GanttPeriod),"◆",IF(AND($E154&gt;=BE$5,$E154&lt;BE$5+GanttPeriod),"◇","")),IF(AND(BE$5&lt;=$F154,BE$5+GanttPeriod-1&gt;=$E154),"━","")))</f>
        <v/>
      </c>
      <c r="BF154" s="69" t="str">
        <f aca="false">IF($E154="","",IF($M154,IF(AND($G154&gt;=BF$5,$G154&lt;BF$5+GanttPeriod),"◆",IF(AND($E154&gt;=BF$5,$E154&lt;BF$5+GanttPeriod),"◇","")),IF(AND(BF$5&lt;=$F154,BF$5+GanttPeriod-1&gt;=$E154),"━","")))</f>
        <v/>
      </c>
      <c r="BG154" s="69" t="str">
        <f aca="false">IF($E154="","",IF($M154,IF(AND($G154&gt;=BG$5,$G154&lt;BG$5+GanttPeriod),"◆",IF(AND($E154&gt;=BG$5,$E154&lt;BG$5+GanttPeriod),"◇","")),IF(AND(BG$5&lt;=$F154,BG$5+GanttPeriod-1&gt;=$E154),"━","")))</f>
        <v/>
      </c>
      <c r="BH154" s="69" t="str">
        <f aca="false">IF($E154="","",IF($M154,IF(AND($G154&gt;=BH$5,$G154&lt;BH$5+GanttPeriod),"◆",IF(AND($E154&gt;=BH$5,$E154&lt;BH$5+GanttPeriod),"◇","")),IF(AND(BH$5&lt;=$F154,BH$5+GanttPeriod-1&gt;=$E154),"━","")))</f>
        <v/>
      </c>
      <c r="BI154" s="69" t="str">
        <f aca="false">IF($E154="","",IF($M154,IF(AND($G154&gt;=BI$5,$G154&lt;BI$5+GanttPeriod),"◆",IF(AND($E154&gt;=BI$5,$E154&lt;BI$5+GanttPeriod),"◇","")),IF(AND(BI$5&lt;=$F154,BI$5+GanttPeriod-1&gt;=$E154),"━","")))</f>
        <v/>
      </c>
      <c r="BJ154" s="69" t="str">
        <f aca="false">IF($E154="","",IF($M154,IF(AND($G154&gt;=BJ$5,$G154&lt;BJ$5+GanttPeriod),"◆",IF(AND($E154&gt;=BJ$5,$E154&lt;BJ$5+GanttPeriod),"◇","")),IF(AND(BJ$5&lt;=$F154,BJ$5+GanttPeriod-1&gt;=$E154),"━","")))</f>
        <v/>
      </c>
      <c r="BK154" s="69" t="str">
        <f aca="false">IF($E154="","",IF($M154,IF(AND($G154&gt;=BK$5,$G154&lt;BK$5+GanttPeriod),"◆",IF(AND($E154&gt;=BK$5,$E154&lt;BK$5+GanttPeriod),"◇","")),IF(AND(BK$5&lt;=$F154,BK$5+GanttPeriod-1&gt;=$E154),"━","")))</f>
        <v/>
      </c>
      <c r="BL154" s="69" t="str">
        <f aca="false">IF($E154="","",IF($M154,IF(AND($G154&gt;=BL$5,$G154&lt;BL$5+GanttPeriod),"◆",IF(AND($E154&gt;=BL$5,$E154&lt;BL$5+GanttPeriod),"◇","")),IF(AND(BL$5&lt;=$F154,BL$5+GanttPeriod-1&gt;=$E154),"━","")))</f>
        <v/>
      </c>
      <c r="BM154" s="69" t="str">
        <f aca="false">IF($E154="","",IF($M154,IF(AND($G154&gt;=BM$5,$G154&lt;BM$5+GanttPeriod),"◆",IF(AND($E154&gt;=BM$5,$E154&lt;BM$5+GanttPeriod),"◇","")),IF(AND(BM$5&lt;=$F154,BM$5+GanttPeriod-1&gt;=$E154),"━","")))</f>
        <v/>
      </c>
      <c r="BN154" s="69" t="str">
        <f aca="false">IF($E154="","",IF($M154,IF(AND($G154&gt;=BN$5,$G154&lt;BN$5+GanttPeriod),"◆",IF(AND($E154&gt;=BN$5,$E154&lt;BN$5+GanttPeriod),"◇","")),IF(AND(BN$5&lt;=$F154,BN$5+GanttPeriod-1&gt;=$E154),"━","")))</f>
        <v/>
      </c>
      <c r="BO154" s="69" t="str">
        <f aca="false">IF($E154="","",IF($M154,IF(AND($G154&gt;=BO$5,$G154&lt;BO$5+GanttPeriod),"◆",IF(AND($E154&gt;=BO$5,$E154&lt;BO$5+GanttPeriod),"◇","")),IF(AND(BO$5&lt;=$F154,BO$5+GanttPeriod-1&gt;=$E154),"━","")))</f>
        <v/>
      </c>
      <c r="BP154" s="69" t="str">
        <f aca="false">IF($E154="","",IF($M154,IF(AND($G154&gt;=BP$5,$G154&lt;BP$5+GanttPeriod),"◆",IF(AND($E154&gt;=BP$5,$E154&lt;BP$5+GanttPeriod),"◇","")),IF(AND(BP$5&lt;=$F154,BP$5+GanttPeriod-1&gt;=$E154),"━","")))</f>
        <v/>
      </c>
      <c r="BQ154" s="69" t="str">
        <f aca="false">IF($E154="","",IF($M154,IF(AND($G154&gt;=BQ$5,$G154&lt;BQ$5+GanttPeriod),"◆",IF(AND($E154&gt;=BQ$5,$E154&lt;BQ$5+GanttPeriod),"◇","")),IF(AND(BQ$5&lt;=$F154,BQ$5+GanttPeriod-1&gt;=$E154),"━","")))</f>
        <v/>
      </c>
      <c r="BR154" s="69" t="str">
        <f aca="false">IF($E154="","",IF($M154,IF(AND($G154&gt;=BR$5,$G154&lt;BR$5+GanttPeriod),"◆",IF(AND($E154&gt;=BR$5,$E154&lt;BR$5+GanttPeriod),"◇","")),IF(AND(BR$5&lt;=$F154,BR$5+GanttPeriod-1&gt;=$E154),"━","")))</f>
        <v/>
      </c>
      <c r="BS154" s="69" t="str">
        <f aca="false">IF($E154="","",IF($M154,IF(AND($G154&gt;=BS$5,$G154&lt;BS$5+GanttPeriod),"◆",IF(AND($E154&gt;=BS$5,$E154&lt;BS$5+GanttPeriod),"◇","")),IF(AND(BS$5&lt;=$F154,BS$5+GanttPeriod-1&gt;=$E154),"━","")))</f>
        <v/>
      </c>
      <c r="BT154" s="69" t="str">
        <f aca="false">IF($E154="","",IF($M154,IF(AND($G154&gt;=BT$5,$G154&lt;BT$5+GanttPeriod),"◆",IF(AND($E154&gt;=BT$5,$E154&lt;BT$5+GanttPeriod),"◇","")),IF(AND(BT$5&lt;=$F154,BT$5+GanttPeriod-1&gt;=$E154),"━","")))</f>
        <v/>
      </c>
      <c r="BU154" s="69" t="str">
        <f aca="false">IF($E154="","",IF($M154,IF(AND($G154&gt;=BU$5,$G154&lt;BU$5+GanttPeriod),"◆",IF(AND($E154&gt;=BU$5,$E154&lt;BU$5+GanttPeriod),"◇","")),IF(AND(BU$5&lt;=$F154,BU$5+GanttPeriod-1&gt;=$E154),"━","")))</f>
        <v/>
      </c>
      <c r="BV154" s="69" t="str">
        <f aca="false">IF($E154="","",IF($M154,IF(AND($G154&gt;=BV$5,$G154&lt;BV$5+GanttPeriod),"◆",IF(AND($E154&gt;=BV$5,$E154&lt;BV$5+GanttPeriod),"◇","")),IF(AND(BV$5&lt;=$F154,BV$5+GanttPeriod-1&gt;=$E154),"━","")))</f>
        <v/>
      </c>
      <c r="BW154" s="69" t="str">
        <f aca="false">IF($E154="","",IF($M154,IF(AND($G154&gt;=BW$5,$G154&lt;BW$5+GanttPeriod),"◆",IF(AND($E154&gt;=BW$5,$E154&lt;BW$5+GanttPeriod),"◇","")),IF(AND(BW$5&lt;=$F154,BW$5+GanttPeriod-1&gt;=$E154),"━","")))</f>
        <v/>
      </c>
      <c r="BX154" s="69" t="str">
        <f aca="false">IF($E154="","",IF($M154,IF(AND($G154&gt;=BX$5,$G154&lt;BX$5+GanttPeriod),"◆",IF(AND($E154&gt;=BX$5,$E154&lt;BX$5+GanttPeriod),"◇","")),IF(AND(BX$5&lt;=$F154,BX$5+GanttPeriod-1&gt;=$E154),"━","")))</f>
        <v/>
      </c>
      <c r="BY154" s="69" t="str">
        <f aca="false">IF($E154="","",IF($M154,IF(AND($G154&gt;=BY$5,$G154&lt;BY$5+GanttPeriod),"◆",IF(AND($E154&gt;=BY$5,$E154&lt;BY$5+GanttPeriod),"◇","")),IF(AND(BY$5&lt;=$F154,BY$5+GanttPeriod-1&gt;=$E154),"━","")))</f>
        <v/>
      </c>
      <c r="BZ154" s="69" t="str">
        <f aca="false">IF($E154="","",IF($M154,IF(AND($G154&gt;=BZ$5,$G154&lt;BZ$5+GanttPeriod),"◆",IF(AND($E154&gt;=BZ$5,$E154&lt;BZ$5+GanttPeriod),"◇","")),IF(AND(BZ$5&lt;=$F154,BZ$5+GanttPeriod-1&gt;=$E154),"━","")))</f>
        <v/>
      </c>
      <c r="CA154" s="69" t="str">
        <f aca="false">IF($E154="","",IF($M154,IF(AND($G154&gt;=CA$5,$G154&lt;CA$5+GanttPeriod),"◆",IF(AND($E154&gt;=CA$5,$E154&lt;CA$5+GanttPeriod),"◇","")),IF(AND(CA$5&lt;=$F154,CA$5+GanttPeriod-1&gt;=$E154),"━","")))</f>
        <v/>
      </c>
      <c r="CB154" s="69" t="str">
        <f aca="false">IF($E154="","",IF($M154,IF(AND($G154&gt;=CB$5,$G154&lt;CB$5+GanttPeriod),"◆",IF(AND($E154&gt;=CB$5,$E154&lt;CB$5+GanttPeriod),"◇","")),IF(AND(CB$5&lt;=$F154,CB$5+GanttPeriod-1&gt;=$E154),"━","")))</f>
        <v/>
      </c>
      <c r="CC154" s="69" t="str">
        <f aca="false">IF($E154="","",IF($M154,IF(AND($G154&gt;=CC$5,$G154&lt;CC$5+GanttPeriod),"◆",IF(AND($E154&gt;=CC$5,$E154&lt;CC$5+GanttPeriod),"◇","")),IF(AND(CC$5&lt;=$F154,CC$5+GanttPeriod-1&gt;=$E154),"━","")))</f>
        <v/>
      </c>
      <c r="CD154" s="69" t="str">
        <f aca="false">IF($E154="","",IF($M154,IF(AND($G154&gt;=CD$5,$G154&lt;CD$5+GanttPeriod),"◆",IF(AND($E154&gt;=CD$5,$E154&lt;CD$5+GanttPeriod),"◇","")),IF(AND(CD$5&lt;=$F154,CD$5+GanttPeriod-1&gt;=$E154),"━","")))</f>
        <v/>
      </c>
      <c r="CE154" s="69" t="str">
        <f aca="false">IF($E154="","",IF($M154,IF(AND($G154&gt;=CE$5,$G154&lt;CE$5+GanttPeriod),"◆",IF(AND($E154&gt;=CE$5,$E154&lt;CE$5+GanttPeriod),"◇","")),IF(AND(CE$5&lt;=$F154,CE$5+GanttPeriod-1&gt;=$E154),"━","")))</f>
        <v/>
      </c>
      <c r="CF154" s="69" t="str">
        <f aca="false">IF($E154="","",IF($M154,IF(AND($G154&gt;=CF$5,$G154&lt;CF$5+GanttPeriod),"◆",IF(AND($E154&gt;=CF$5,$E154&lt;CF$5+GanttPeriod),"◇","")),IF(AND(CF$5&lt;=$F154,CF$5+GanttPeriod-1&gt;=$E154),"━","")))</f>
        <v/>
      </c>
      <c r="CG154" s="69" t="str">
        <f aca="false">IF($E154="","",IF($M154,IF(AND($G154&gt;=CG$5,$G154&lt;CG$5+GanttPeriod),"◆",IF(AND($E154&gt;=CG$5,$E154&lt;CG$5+GanttPeriod),"◇","")),IF(AND(CG$5&lt;=$F154,CG$5+GanttPeriod-1&gt;=$E154),"━","")))</f>
        <v/>
      </c>
      <c r="CH154" s="69" t="str">
        <f aca="false">IF($E154="","",IF($M154,IF(AND($G154&gt;=CH$5,$G154&lt;CH$5+GanttPeriod),"◆",IF(AND($E154&gt;=CH$5,$E154&lt;CH$5+GanttPeriod),"◇","")),IF(AND(CH$5&lt;=$F154,CH$5+GanttPeriod-1&gt;=$E154),"━","")))</f>
        <v/>
      </c>
      <c r="CI154" s="69" t="str">
        <f aca="false">IF($E154="","",IF($M154,IF(AND($G154&gt;=CI$5,$G154&lt;CI$5+GanttPeriod),"◆",IF(AND($E154&gt;=CI$5,$E154&lt;CI$5+GanttPeriod),"◇","")),IF(AND(CI$5&lt;=$F154,CI$5+GanttPeriod-1&gt;=$E154),"━","")))</f>
        <v/>
      </c>
      <c r="CJ154" s="69" t="str">
        <f aca="false">IF($E154="","",IF($M154,IF(AND($G154&gt;=CJ$5,$G154&lt;CJ$5+GanttPeriod),"◆",IF(AND($E154&gt;=CJ$5,$E154&lt;CJ$5+GanttPeriod),"◇","")),IF(AND(CJ$5&lt;=$F154,CJ$5+GanttPeriod-1&gt;=$E154),"━","")))</f>
        <v/>
      </c>
      <c r="CK154" s="69" t="str">
        <f aca="false">IF($E154="","",IF($M154,IF(AND($G154&gt;=CK$5,$G154&lt;CK$5+GanttPeriod),"◆",IF(AND($E154&gt;=CK$5,$E154&lt;CK$5+GanttPeriod),"◇","")),IF(AND(CK$5&lt;=$F154,CK$5+GanttPeriod-1&gt;=$E154),"━","")))</f>
        <v/>
      </c>
      <c r="CL154" s="69" t="str">
        <f aca="false">IF($E154="","",IF($M154,IF(AND($G154&gt;=CL$5,$G154&lt;CL$5+GanttPeriod),"◆",IF(AND($E154&gt;=CL$5,$E154&lt;CL$5+GanttPeriod),"◇","")),IF(AND(CL$5&lt;=$F154,CL$5+GanttPeriod-1&gt;=$E154),"━","")))</f>
        <v/>
      </c>
      <c r="CM154" s="69" t="str">
        <f aca="false">IF($E154="","",IF($M154,IF(AND($G154&gt;=CM$5,$G154&lt;CM$5+GanttPeriod),"◆",IF(AND($E154&gt;=CM$5,$E154&lt;CM$5+GanttPeriod),"◇","")),IF(AND(CM$5&lt;=$F154,CM$5+GanttPeriod-1&gt;=$E154),"━","")))</f>
        <v/>
      </c>
      <c r="CN154" s="69" t="str">
        <f aca="false">IF($E154="","",IF($M154,IF(AND($G154&gt;=CN$5,$G154&lt;CN$5+GanttPeriod),"◆",IF(AND($E154&gt;=CN$5,$E154&lt;CN$5+GanttPeriod),"◇","")),IF(AND(CN$5&lt;=$F154,CN$5+GanttPeriod-1&gt;=$E154),"━","")))</f>
        <v/>
      </c>
      <c r="CO154" s="69" t="str">
        <f aca="false">IF($E154="","",IF($M154,IF(AND($G154&gt;=CO$5,$G154&lt;CO$5+GanttPeriod),"◆",IF(AND($E154&gt;=CO$5,$E154&lt;CO$5+GanttPeriod),"◇","")),IF(AND(CO$5&lt;=$F154,CO$5+GanttPeriod-1&gt;=$E154),"━","")))</f>
        <v/>
      </c>
      <c r="CP154" s="69" t="str">
        <f aca="false">IF($E154="","",IF($M154,IF(AND($G154&gt;=CP$5,$G154&lt;CP$5+GanttPeriod),"◆",IF(AND($E154&gt;=CP$5,$E154&lt;CP$5+GanttPeriod),"◇","")),IF(AND(CP$5&lt;=$F154,CP$5+GanttPeriod-1&gt;=$E154),"━","")))</f>
        <v/>
      </c>
      <c r="CQ154" s="69" t="str">
        <f aca="false">IF($E154="","",IF($M154,IF(AND($G154&gt;=CQ$5,$G154&lt;CQ$5+GanttPeriod),"◆",IF(AND($E154&gt;=CQ$5,$E154&lt;CQ$5+GanttPeriod),"◇","")),IF(AND(CQ$5&lt;=$F154,CQ$5+GanttPeriod-1&gt;=$E154),"━","")))</f>
        <v/>
      </c>
      <c r="CR154" s="69" t="str">
        <f aca="false">IF($E154="","",IF($M154,IF(AND($G154&gt;=CR$5,$G154&lt;CR$5+GanttPeriod),"◆",IF(AND($E154&gt;=CR$5,$E154&lt;CR$5+GanttPeriod),"◇","")),IF(AND(CR$5&lt;=$F154,CR$5+GanttPeriod-1&gt;=$E154),"━","")))</f>
        <v/>
      </c>
      <c r="CS154" s="69" t="str">
        <f aca="false">IF($E154="","",IF($M154,IF(AND($G154&gt;=CS$5,$G154&lt;CS$5+GanttPeriod),"◆",IF(AND($E154&gt;=CS$5,$E154&lt;CS$5+GanttPeriod),"◇","")),IF(AND(CS$5&lt;=$F154,CS$5+GanttPeriod-1&gt;=$E154),"━","")))</f>
        <v/>
      </c>
      <c r="CT154" s="69" t="str">
        <f aca="false">IF($E154="","",IF($M154,IF(AND($G154&gt;=CT$5,$G154&lt;CT$5+GanttPeriod),"◆",IF(AND($E154&gt;=CT$5,$E154&lt;CT$5+GanttPeriod),"◇","")),IF(AND(CT$5&lt;=$F154,CT$5+GanttPeriod-1&gt;=$E154),"━","")))</f>
        <v/>
      </c>
      <c r="CU154" s="69" t="str">
        <f aca="false">IF($E154="","",IF($M154,IF(AND($G154&gt;=CU$5,$G154&lt;CU$5+GanttPeriod),"◆",IF(AND($E154&gt;=CU$5,$E154&lt;CU$5+GanttPeriod),"◇","")),IF(AND(CU$5&lt;=$F154,CU$5+GanttPeriod-1&gt;=$E154),"━","")))</f>
        <v/>
      </c>
      <c r="CV154" s="69" t="str">
        <f aca="false">IF($E154="","",IF($M154,IF(AND($G154&gt;=CV$5,$G154&lt;CV$5+GanttPeriod),"◆",IF(AND($E154&gt;=CV$5,$E154&lt;CV$5+GanttPeriod),"◇","")),IF(AND(CV$5&lt;=$F154,CV$5+GanttPeriod-1&gt;=$E154),"━","")))</f>
        <v/>
      </c>
      <c r="CW154" s="69" t="str">
        <f aca="false">IF($E154="","",IF($M154,IF(AND($G154&gt;=CW$5,$G154&lt;CW$5+GanttPeriod),"◆",IF(AND($E154&gt;=CW$5,$E154&lt;CW$5+GanttPeriod),"◇","")),IF(AND(CW$5&lt;=$F154,CW$5+GanttPeriod-1&gt;=$E154),"━","")))</f>
        <v/>
      </c>
      <c r="CX154" s="69" t="str">
        <f aca="false">IF($E154="","",IF($M154,IF(AND($G154&gt;=CX$5,$G154&lt;CX$5+GanttPeriod),"◆",IF(AND($E154&gt;=CX$5,$E154&lt;CX$5+GanttPeriod),"◇","")),IF(AND(CX$5&lt;=$F154,CX$5+GanttPeriod-1&gt;=$E154),"━","")))</f>
        <v/>
      </c>
      <c r="CY154" s="69" t="str">
        <f aca="false">IF($E154="","",IF($M154,IF(AND($G154&gt;=CY$5,$G154&lt;CY$5+GanttPeriod),"◆",IF(AND($E154&gt;=CY$5,$E154&lt;CY$5+GanttPeriod),"◇","")),IF(AND(CY$5&lt;=$F154,CY$5+GanttPeriod-1&gt;=$E154),"━","")))</f>
        <v/>
      </c>
      <c r="CZ154" s="69" t="str">
        <f aca="false">IF($E154="","",IF($M154,IF(AND($G154&gt;=CZ$5,$G154&lt;CZ$5+GanttPeriod),"◆",IF(AND($E154&gt;=CZ$5,$E154&lt;CZ$5+GanttPeriod),"◇","")),IF(AND(CZ$5&lt;=$F154,CZ$5+GanttPeriod-1&gt;=$E154),"━","")))</f>
        <v/>
      </c>
      <c r="DA154" s="69" t="str">
        <f aca="false">IF($E154="","",IF($M154,IF(AND($G154&gt;=DA$5,$G154&lt;DA$5+GanttPeriod),"◆",IF(AND($E154&gt;=DA$5,$E154&lt;DA$5+GanttPeriod),"◇","")),IF(AND(DA$5&lt;=$F154,DA$5+GanttPeriod-1&gt;=$E154),"━","")))</f>
        <v/>
      </c>
      <c r="DB154" s="69" t="str">
        <f aca="false">IF($E154="","",IF($M154,IF(AND($G154&gt;=DB$5,$G154&lt;DB$5+GanttPeriod),"◆",IF(AND($E154&gt;=DB$5,$E154&lt;DB$5+GanttPeriod),"◇","")),IF(AND(DB$5&lt;=$F154,DB$5+GanttPeriod-1&gt;=$E154),"━","")))</f>
        <v/>
      </c>
      <c r="DC154" s="69" t="str">
        <f aca="false">IF($E154="","",IF($M154,IF(AND($G154&gt;=DC$5,$G154&lt;DC$5+GanttPeriod),"◆",IF(AND($E154&gt;=DC$5,$E154&lt;DC$5+GanttPeriod),"◇","")),IF(AND(DC$5&lt;=$F154,DC$5+GanttPeriod-1&gt;=$E154),"━","")))</f>
        <v/>
      </c>
      <c r="DD154" s="69" t="str">
        <f aca="false">IF($E154="","",IF($M154,IF(AND($G154&gt;=DD$5,$G154&lt;DD$5+GanttPeriod),"◆",IF(AND($E154&gt;=DD$5,$E154&lt;DD$5+GanttPeriod),"◇","")),IF(AND(DD$5&lt;=$F154,DD$5+GanttPeriod-1&gt;=$E154),"━","")))</f>
        <v/>
      </c>
      <c r="DE154" s="69" t="str">
        <f aca="false">IF($E154="","",IF($M154,IF(AND($G154&gt;=DE$5,$G154&lt;DE$5+GanttPeriod),"◆",IF(AND($E154&gt;=DE$5,$E154&lt;DE$5+GanttPeriod),"◇","")),IF(AND(DE$5&lt;=$F154,DE$5+GanttPeriod-1&gt;=$E154),"━","")))</f>
        <v/>
      </c>
      <c r="DF154" s="69" t="str">
        <f aca="false">IF($E154="","",IF($M154,IF(AND($G154&gt;=DF$5,$G154&lt;DF$5+GanttPeriod),"◆",IF(AND($E154&gt;=DF$5,$E154&lt;DF$5+GanttPeriod),"◇","")),IF(AND(DF$5&lt;=$F154,DF$5+GanttPeriod-1&gt;=$E154),"━","")))</f>
        <v/>
      </c>
      <c r="DG154" s="69" t="str">
        <f aca="false">IF($E154="","",IF($M154,IF(AND($G154&gt;=DG$5,$G154&lt;DG$5+GanttPeriod),"◆",IF(AND($E154&gt;=DG$5,$E154&lt;DG$5+GanttPeriod),"◇","")),IF(AND(DG$5&lt;=$F154,DG$5+GanttPeriod-1&gt;=$E154),"━","")))</f>
        <v/>
      </c>
      <c r="DH154" s="69" t="str">
        <f aca="false">IF($E154="","",IF($M154,IF(AND($G154&gt;=DH$5,$G154&lt;DH$5+GanttPeriod),"◆",IF(AND($E154&gt;=DH$5,$E154&lt;DH$5+GanttPeriod),"◇","")),IF(AND(DH$5&lt;=$F154,DH$5+GanttPeriod-1&gt;=$E154),"━","")))</f>
        <v/>
      </c>
      <c r="DI154" s="69" t="str">
        <f aca="false">IF($E154="","",IF($M154,IF(AND($G154&gt;=DI$5,$G154&lt;DI$5+GanttPeriod),"◆",IF(AND($E154&gt;=DI$5,$E154&lt;DI$5+GanttPeriod),"◇","")),IF(AND(DI$5&lt;=$F154,DI$5+GanttPeriod-1&gt;=$E154),"━","")))</f>
        <v/>
      </c>
      <c r="DJ154" s="69" t="str">
        <f aca="false">IF($E154="","",IF($M154,IF(AND($G154&gt;=DJ$5,$G154&lt;DJ$5+GanttPeriod),"◆",IF(AND($E154&gt;=DJ$5,$E154&lt;DJ$5+GanttPeriod),"◇","")),IF(AND(DJ$5&lt;=$F154,DJ$5+GanttPeriod-1&gt;=$E154),"━","")))</f>
        <v/>
      </c>
      <c r="DK154" s="69" t="str">
        <f aca="false">IF($E154="","",IF($M154,IF(AND($G154&gt;=DK$5,$G154&lt;DK$5+GanttPeriod),"◆",IF(AND($E154&gt;=DK$5,$E154&lt;DK$5+GanttPeriod),"◇","")),IF(AND(DK$5&lt;=$F154,DK$5+GanttPeriod-1&gt;=$E154),"━","")))</f>
        <v/>
      </c>
      <c r="DL154" s="69" t="str">
        <f aca="false">IF($E154="","",IF($M154,IF(AND($G154&gt;=DL$5,$G154&lt;DL$5+GanttPeriod),"◆",IF(AND($E154&gt;=DL$5,$E154&lt;DL$5+GanttPeriod),"◇","")),IF(AND(DL$5&lt;=$F154,DL$5+GanttPeriod-1&gt;=$E154),"━","")))</f>
        <v/>
      </c>
      <c r="DM154" s="69" t="str">
        <f aca="false">IF($E154="","",IF($M154,IF(AND($G154&gt;=DM$5,$G154&lt;DM$5+GanttPeriod),"◆",IF(AND($E154&gt;=DM$5,$E154&lt;DM$5+GanttPeriod),"◇","")),IF(AND(DM$5&lt;=$F154,DM$5+GanttPeriod-1&gt;=$E154),"━","")))</f>
        <v/>
      </c>
      <c r="DN154" s="69" t="str">
        <f aca="false">IF($E154="","",IF($M154,IF(AND($G154&gt;=DN$5,$G154&lt;DN$5+GanttPeriod),"◆",IF(AND($E154&gt;=DN$5,$E154&lt;DN$5+GanttPeriod),"◇","")),IF(AND(DN$5&lt;=$F154,DN$5+GanttPeriod-1&gt;=$E154),"━","")))</f>
        <v/>
      </c>
      <c r="DO154" s="69" t="str">
        <f aca="false">IF($E154="","",IF($M154,IF(AND($G154&gt;=DO$5,$G154&lt;DO$5+GanttPeriod),"◆",IF(AND($E154&gt;=DO$5,$E154&lt;DO$5+GanttPeriod),"◇","")),IF(AND(DO$5&lt;=$F154,DO$5+GanttPeriod-1&gt;=$E154),"━","")))</f>
        <v/>
      </c>
      <c r="DP154" s="69" t="str">
        <f aca="false">IF($E154="","",IF($M154,IF(AND($G154&gt;=DP$5,$G154&lt;DP$5+GanttPeriod),"◆",IF(AND($E154&gt;=DP$5,$E154&lt;DP$5+GanttPeriod),"◇","")),IF(AND(DP$5&lt;=$F154,DP$5+GanttPeriod-1&gt;=$E154),"━","")))</f>
        <v/>
      </c>
      <c r="DQ154" s="69" t="str">
        <f aca="false">IF($E154="","",IF($M154,IF(AND($G154&gt;=DQ$5,$G154&lt;DQ$5+GanttPeriod),"◆",IF(AND($E154&gt;=DQ$5,$E154&lt;DQ$5+GanttPeriod),"◇","")),IF(AND(DQ$5&lt;=$F154,DQ$5+GanttPeriod-1&gt;=$E154),"━","")))</f>
        <v/>
      </c>
      <c r="DR154" s="69" t="str">
        <f aca="false">IF($E154="","",IF($M154,IF(AND($G154&gt;=DR$5,$G154&lt;DR$5+GanttPeriod),"◆",IF(AND($E154&gt;=DR$5,$E154&lt;DR$5+GanttPeriod),"◇","")),IF(AND(DR$5&lt;=$F154,DR$5+GanttPeriod-1&gt;=$E154),"━","")))</f>
        <v/>
      </c>
      <c r="DS154" s="69" t="str">
        <f aca="false">IF($E154="","",IF($M154,IF(AND($G154&gt;=DS$5,$G154&lt;DS$5+GanttPeriod),"◆",IF(AND($E154&gt;=DS$5,$E154&lt;DS$5+GanttPeriod),"◇","")),IF(AND(DS$5&lt;=$F154,DS$5+GanttPeriod-1&gt;=$E154),"━","")))</f>
        <v/>
      </c>
      <c r="DT154" s="69" t="str">
        <f aca="false">IF($E154="","",IF($M154,IF(AND($G154&gt;=DT$5,$G154&lt;DT$5+GanttPeriod),"◆",IF(AND($E154&gt;=DT$5,$E154&lt;DT$5+GanttPeriod),"◇","")),IF(AND(DT$5&lt;=$F154,DT$5+GanttPeriod-1&gt;=$E154),"━","")))</f>
        <v/>
      </c>
      <c r="DU154" s="69" t="str">
        <f aca="false">IF($E154="","",IF($M154,IF(AND($G154&gt;=DU$5,$G154&lt;DU$5+GanttPeriod),"◆",IF(AND($E154&gt;=DU$5,$E154&lt;DU$5+GanttPeriod),"◇","")),IF(AND(DU$5&lt;=$F154,DU$5+GanttPeriod-1&gt;=$E154),"━","")))</f>
        <v/>
      </c>
      <c r="DV154" s="69" t="str">
        <f aca="false">IF($E154="","",IF($M154,IF(AND($G154&gt;=DV$5,$G154&lt;DV$5+GanttPeriod),"◆",IF(AND($E154&gt;=DV$5,$E154&lt;DV$5+GanttPeriod),"◇","")),IF(AND(DV$5&lt;=$F154,DV$5+GanttPeriod-1&gt;=$E154),"━","")))</f>
        <v/>
      </c>
      <c r="DW154" s="69" t="str">
        <f aca="false">IF($E154="","",IF($M154,IF(AND($G154&gt;=DW$5,$G154&lt;DW$5+GanttPeriod),"◆",IF(AND($E154&gt;=DW$5,$E154&lt;DW$5+GanttPeriod),"◇","")),IF(AND(DW$5&lt;=$F154,DW$5+GanttPeriod-1&gt;=$E154),"━","")))</f>
        <v/>
      </c>
      <c r="DX154" s="69" t="str">
        <f aca="false">IF($E154="","",IF($M154,IF(AND($G154&gt;=DX$5,$G154&lt;DX$5+GanttPeriod),"◆",IF(AND($E154&gt;=DX$5,$E154&lt;DX$5+GanttPeriod),"◇","")),IF(AND(DX$5&lt;=$F154,DX$5+GanttPeriod-1&gt;=$E154),"━","")))</f>
        <v/>
      </c>
      <c r="DY154" s="69" t="str">
        <f aca="false">IF($E154="","",IF($M154,IF(AND($G154&gt;=DY$5,$G154&lt;DY$5+GanttPeriod),"◆",IF(AND($E154&gt;=DY$5,$E154&lt;DY$5+GanttPeriod),"◇","")),IF(AND(DY$5&lt;=$F154,DY$5+GanttPeriod-1&gt;=$E154),"━","")))</f>
        <v/>
      </c>
      <c r="DZ154" s="69" t="str">
        <f aca="false">IF($E154="","",IF($M154,IF(AND($G154&gt;=DZ$5,$G154&lt;DZ$5+GanttPeriod),"◆",IF(AND($E154&gt;=DZ$5,$E154&lt;DZ$5+GanttPeriod),"◇","")),IF(AND(DZ$5&lt;=$F154,DZ$5+GanttPeriod-1&gt;=$E154),"━","")))</f>
        <v/>
      </c>
      <c r="EA154" s="69" t="str">
        <f aca="false">IF($E154="","",IF($M154,IF(AND($G154&gt;=EA$5,$G154&lt;EA$5+GanttPeriod),"◆",IF(AND($E154&gt;=EA$5,$E154&lt;EA$5+GanttPeriod),"◇","")),IF(AND(EA$5&lt;=$F154,EA$5+GanttPeriod-1&gt;=$E154),"━","")))</f>
        <v/>
      </c>
      <c r="EB154" s="69" t="str">
        <f aca="false">IF($E154="","",IF($M154,IF(AND($G154&gt;=EB$5,$G154&lt;EB$5+GanttPeriod),"◆",IF(AND($E154&gt;=EB$5,$E154&lt;EB$5+GanttPeriod),"◇","")),IF(AND(EB$5&lt;=$F154,EB$5+GanttPeriod-1&gt;=$E154),"━","")))</f>
        <v/>
      </c>
      <c r="EC154" s="69" t="str">
        <f aca="false">IF($E154="","",IF($M154,IF(AND($G154&gt;=EC$5,$G154&lt;EC$5+GanttPeriod),"◆",IF(AND($E154&gt;=EC$5,$E154&lt;EC$5+GanttPeriod),"◇","")),IF(AND(EC$5&lt;=$F154,EC$5+GanttPeriod-1&gt;=$E154),"━","")))</f>
        <v/>
      </c>
      <c r="ED154" s="69" t="str">
        <f aca="false">IF($E154="","",IF($M154,IF(AND($G154&gt;=ED$5,$G154&lt;ED$5+GanttPeriod),"◆",IF(AND($E154&gt;=ED$5,$E154&lt;ED$5+GanttPeriod),"◇","")),IF(AND(ED$5&lt;=$F154,ED$5+GanttPeriod-1&gt;=$E154),"━","")))</f>
        <v/>
      </c>
      <c r="EE154" s="69" t="str">
        <f aca="false">IF($E154="","",IF($M154,IF(AND($G154&gt;=EE$5,$G154&lt;EE$5+GanttPeriod),"◆",IF(AND($E154&gt;=EE$5,$E154&lt;EE$5+GanttPeriod),"◇","")),IF(AND(EE$5&lt;=$F154,EE$5+GanttPeriod-1&gt;=$E154),"━","")))</f>
        <v/>
      </c>
      <c r="EF154" s="69" t="str">
        <f aca="false">IF($E154="","",IF($M154,IF(AND($G154&gt;=EF$5,$G154&lt;EF$5+GanttPeriod),"◆",IF(AND($E154&gt;=EF$5,$E154&lt;EF$5+GanttPeriod),"◇","")),IF(AND(EF$5&lt;=$F154,EF$5+GanttPeriod-1&gt;=$E154),"━","")))</f>
        <v/>
      </c>
      <c r="EG154" s="69" t="str">
        <f aca="false">IF($E154="","",IF($M154,IF(AND($G154&gt;=EG$5,$G154&lt;EG$5+GanttPeriod),"◆",IF(AND($E154&gt;=EG$5,$E154&lt;EG$5+GanttPeriod),"◇","")),IF(AND(EG$5&lt;=$F154,EG$5+GanttPeriod-1&gt;=$E154),"━","")))</f>
        <v/>
      </c>
      <c r="EH154" s="69" t="str">
        <f aca="false">IF($E154="","",IF($M154,IF(AND($G154&gt;=EH$5,$G154&lt;EH$5+GanttPeriod),"◆",IF(AND($E154&gt;=EH$5,$E154&lt;EH$5+GanttPeriod),"◇","")),IF(AND(EH$5&lt;=$F154,EH$5+GanttPeriod-1&gt;=$E154),"━","")))</f>
        <v/>
      </c>
      <c r="EI154" s="69" t="str">
        <f aca="false">IF($E154="","",IF($M154,IF(AND($G154&gt;=EI$5,$G154&lt;EI$5+GanttPeriod),"◆",IF(AND($E154&gt;=EI$5,$E154&lt;EI$5+GanttPeriod),"◇","")),IF(AND(EI$5&lt;=$F154,EI$5+GanttPeriod-1&gt;=$E154),"━","")))</f>
        <v/>
      </c>
      <c r="EJ154" s="69" t="str">
        <f aca="false">IF($E154="","",IF($M154,IF(AND($G154&gt;=EJ$5,$G154&lt;EJ$5+GanttPeriod),"◆",IF(AND($E154&gt;=EJ$5,$E154&lt;EJ$5+GanttPeriod),"◇","")),IF(AND(EJ$5&lt;=$F154,EJ$5+GanttPeriod-1&gt;=$E154),"━","")))</f>
        <v/>
      </c>
      <c r="EK154" s="69" t="str">
        <f aca="false">IF($E154="","",IF($M154,IF(AND($G154&gt;=EK$5,$G154&lt;EK$5+GanttPeriod),"◆",IF(AND($E154&gt;=EK$5,$E154&lt;EK$5+GanttPeriod),"◇","")),IF(AND(EK$5&lt;=$F154,EK$5+GanttPeriod-1&gt;=$E154),"━","")))</f>
        <v/>
      </c>
      <c r="EL154" s="69" t="str">
        <f aca="false">IF($E154="","",IF($M154,IF(AND($G154&gt;=EL$5,$G154&lt;EL$5+GanttPeriod),"◆",IF(AND($E154&gt;=EL$5,$E154&lt;EL$5+GanttPeriod),"◇","")),IF(AND(EL$5&lt;=$F154,EL$5+GanttPeriod-1&gt;=$E154),"━","")))</f>
        <v/>
      </c>
      <c r="EM154" s="69" t="str">
        <f aca="false">IF($E154="","",IF($M154,IF(AND($G154&gt;=EM$5,$G154&lt;EM$5+GanttPeriod),"◆",IF(AND($E154&gt;=EM$5,$E154&lt;EM$5+GanttPeriod),"◇","")),IF(AND(EM$5&lt;=$F154,EM$5+GanttPeriod-1&gt;=$E154),"━","")))</f>
        <v/>
      </c>
      <c r="EN154" s="69" t="str">
        <f aca="false">IF($E154="","",IF($M154,IF(AND($G154&gt;=EN$5,$G154&lt;EN$5+GanttPeriod),"◆",IF(AND($E154&gt;=EN$5,$E154&lt;EN$5+GanttPeriod),"◇","")),IF(AND(EN$5&lt;=$F154,EN$5+GanttPeriod-1&gt;=$E154),"━","")))</f>
        <v/>
      </c>
      <c r="EO154" s="69" t="str">
        <f aca="false">IF($E154="","",IF($M154,IF(AND($G154&gt;=EO$5,$G154&lt;EO$5+GanttPeriod),"◆",IF(AND($E154&gt;=EO$5,$E154&lt;EO$5+GanttPeriod),"◇","")),IF(AND(EO$5&lt;=$F154,EO$5+GanttPeriod-1&gt;=$E154),"━","")))</f>
        <v/>
      </c>
      <c r="EP154" s="69" t="str">
        <f aca="false">IF($E154="","",IF($M154,IF(AND($G154&gt;=EP$5,$G154&lt;EP$5+GanttPeriod),"◆",IF(AND($E154&gt;=EP$5,$E154&lt;EP$5+GanttPeriod),"◇","")),IF(AND(EP$5&lt;=$F154,EP$5+GanttPeriod-1&gt;=$E154),"━","")))</f>
        <v/>
      </c>
      <c r="EQ154" s="69" t="str">
        <f aca="false">IF($E154="","",IF($M154,IF(AND($G154&gt;=EQ$5,$G154&lt;EQ$5+GanttPeriod),"◆",IF(AND($E154&gt;=EQ$5,$E154&lt;EQ$5+GanttPeriod),"◇","")),IF(AND(EQ$5&lt;=$F154,EQ$5+GanttPeriod-1&gt;=$E154),"━","")))</f>
        <v/>
      </c>
      <c r="ER154" s="69" t="str">
        <f aca="false">IF($E154="","",IF($M154,IF(AND($G154&gt;=ER$5,$G154&lt;ER$5+GanttPeriod),"◆",IF(AND($E154&gt;=ER$5,$E154&lt;ER$5+GanttPeriod),"◇","")),IF(AND(ER$5&lt;=$F154,ER$5+GanttPeriod-1&gt;=$E154),"━","")))</f>
        <v/>
      </c>
      <c r="ES154" s="69" t="str">
        <f aca="false">IF($E154="","",IF($M154,IF(AND($G154&gt;=ES$5,$G154&lt;ES$5+GanttPeriod),"◆",IF(AND($E154&gt;=ES$5,$E154&lt;ES$5+GanttPeriod),"◇","")),IF(AND(ES$5&lt;=$F154,ES$5+GanttPeriod-1&gt;=$E154),"━","")))</f>
        <v/>
      </c>
      <c r="ET154" s="69" t="str">
        <f aca="false">IF($E154="","",IF($M154,IF(AND($G154&gt;=ET$5,$G154&lt;ET$5+GanttPeriod),"◆",IF(AND($E154&gt;=ET$5,$E154&lt;ET$5+GanttPeriod),"◇","")),IF(AND(ET$5&lt;=$F154,ET$5+GanttPeriod-1&gt;=$E154),"━","")))</f>
        <v/>
      </c>
      <c r="EU154" s="69" t="str">
        <f aca="false">IF($E154="","",IF($M154,IF(AND($G154&gt;=EU$5,$G154&lt;EU$5+GanttPeriod),"◆",IF(AND($E154&gt;=EU$5,$E154&lt;EU$5+GanttPeriod),"◇","")),IF(AND(EU$5&lt;=$F154,EU$5+GanttPeriod-1&gt;=$E154),"━","")))</f>
        <v/>
      </c>
      <c r="EV154" s="69" t="str">
        <f aca="false">IF($E154="","",IF($M154,IF(AND($G154&gt;=EV$5,$G154&lt;EV$5+GanttPeriod),"◆",IF(AND($E154&gt;=EV$5,$E154&lt;EV$5+GanttPeriod),"◇","")),IF(AND(EV$5&lt;=$F154,EV$5+GanttPeriod-1&gt;=$E154),"━","")))</f>
        <v/>
      </c>
      <c r="EW154" s="69" t="str">
        <f aca="false">IF($E154="","",IF($M154,IF(AND($G154&gt;=EW$5,$G154&lt;EW$5+GanttPeriod),"◆",IF(AND($E154&gt;=EW$5,$E154&lt;EW$5+GanttPeriod),"◇","")),IF(AND(EW$5&lt;=$F154,EW$5+GanttPeriod-1&gt;=$E154),"━","")))</f>
        <v/>
      </c>
      <c r="EX154" s="69" t="str">
        <f aca="false">IF($E154="","",IF($M154,IF(AND($G154&gt;=EX$5,$G154&lt;EX$5+GanttPeriod),"◆",IF(AND($E154&gt;=EX$5,$E154&lt;EX$5+GanttPeriod),"◇","")),IF(AND(EX$5&lt;=$F154,EX$5+GanttPeriod-1&gt;=$E154),"━","")))</f>
        <v/>
      </c>
      <c r="EY154" s="69" t="str">
        <f aca="false">IF($E154="","",IF($M154,IF(AND($G154&gt;=EY$5,$G154&lt;EY$5+GanttPeriod),"◆",IF(AND($E154&gt;=EY$5,$E154&lt;EY$5+GanttPeriod),"◇","")),IF(AND(EY$5&lt;=$F154,EY$5+GanttPeriod-1&gt;=$E154),"━","")))</f>
        <v/>
      </c>
      <c r="EZ154" s="69" t="str">
        <f aca="false">IF($E154="","",IF($M154,IF(AND($G154&gt;=EZ$5,$G154&lt;EZ$5+GanttPeriod),"◆",IF(AND($E154&gt;=EZ$5,$E154&lt;EZ$5+GanttPeriod),"◇","")),IF(AND(EZ$5&lt;=$F154,EZ$5+GanttPeriod-1&gt;=$E154),"━","")))</f>
        <v/>
      </c>
      <c r="FA154" s="69" t="str">
        <f aca="false">IF($E154="","",IF($M154,IF(AND($G154&gt;=FA$5,$G154&lt;FA$5+GanttPeriod),"◆",IF(AND($E154&gt;=FA$5,$E154&lt;FA$5+GanttPeriod),"◇","")),IF(AND(FA$5&lt;=$F154,FA$5+GanttPeriod-1&gt;=$E154),"━","")))</f>
        <v/>
      </c>
      <c r="FB154" s="69" t="str">
        <f aca="false">IF($E154="","",IF($M154,IF(AND($G154&gt;=FB$5,$G154&lt;FB$5+GanttPeriod),"◆",IF(AND($E154&gt;=FB$5,$E154&lt;FB$5+GanttPeriod),"◇","")),IF(AND(FB$5&lt;=$F154,FB$5+GanttPeriod-1&gt;=$E154),"━","")))</f>
        <v/>
      </c>
      <c r="FC154" s="69" t="str">
        <f aca="false">IF($E154="","",IF($M154,IF(AND($G154&gt;=FC$5,$G154&lt;FC$5+GanttPeriod),"◆",IF(AND($E154&gt;=FC$5,$E154&lt;FC$5+GanttPeriod),"◇","")),IF(AND(FC$5&lt;=$F154,FC$5+GanttPeriod-1&gt;=$E154),"━","")))</f>
        <v/>
      </c>
      <c r="FD154" s="69" t="str">
        <f aca="false">IF($E154="","",IF($M154,IF(AND($G154&gt;=FD$5,$G154&lt;FD$5+GanttPeriod),"◆",IF(AND($E154&gt;=FD$5,$E154&lt;FD$5+GanttPeriod),"◇","")),IF(AND(FD$5&lt;=$F154,FD$5+GanttPeriod-1&gt;=$E154),"━","")))</f>
        <v/>
      </c>
      <c r="FE154" s="69" t="str">
        <f aca="false">IF($E154="","",IF($M154,IF(AND($G154&gt;=FE$5,$G154&lt;FE$5+GanttPeriod),"◆",IF(AND($E154&gt;=FE$5,$E154&lt;FE$5+GanttPeriod),"◇","")),IF(AND(FE$5&lt;=$F154,FE$5+GanttPeriod-1&gt;=$E154),"━","")))</f>
        <v/>
      </c>
      <c r="FF154" s="69" t="str">
        <f aca="false">IF($E154="","",IF($M154,IF(AND($G154&gt;=FF$5,$G154&lt;FF$5+GanttPeriod),"◆",IF(AND($E154&gt;=FF$5,$E154&lt;FF$5+GanttPeriod),"◇","")),IF(AND(FF$5&lt;=$F154,FF$5+GanttPeriod-1&gt;=$E154),"━","")))</f>
        <v/>
      </c>
      <c r="FG154" s="69" t="str">
        <f aca="false">IF($E154="","",IF($M154,IF(AND($G154&gt;=FG$5,$G154&lt;FG$5+GanttPeriod),"◆",IF(AND($E154&gt;=FG$5,$E154&lt;FG$5+GanttPeriod),"◇","")),IF(AND(FG$5&lt;=$F154,FG$5+GanttPeriod-1&gt;=$E154),"━","")))</f>
        <v/>
      </c>
      <c r="FH154" s="69" t="str">
        <f aca="false">IF($E154="","",IF($M154,IF(AND($G154&gt;=FH$5,$G154&lt;FH$5+GanttPeriod),"◆",IF(AND($E154&gt;=FH$5,$E154&lt;FH$5+GanttPeriod),"◇","")),IF(AND(FH$5&lt;=$F154,FH$5+GanttPeriod-1&gt;=$E154),"━","")))</f>
        <v/>
      </c>
      <c r="FI154" s="69" t="str">
        <f aca="false">IF($E154="","",IF($M154,IF(AND($G154&gt;=FI$5,$G154&lt;FI$5+GanttPeriod),"◆",IF(AND($E154&gt;=FI$5,$E154&lt;FI$5+GanttPeriod),"◇","")),IF(AND(FI$5&lt;=$F154,FI$5+GanttPeriod-1&gt;=$E154),"━","")))</f>
        <v/>
      </c>
      <c r="FJ154" s="69" t="str">
        <f aca="false">IF($E154="","",IF($M154,IF(AND($G154&gt;=FJ$5,$G154&lt;FJ$5+GanttPeriod),"◆",IF(AND($E154&gt;=FJ$5,$E154&lt;FJ$5+GanttPeriod),"◇","")),IF(AND(FJ$5&lt;=$F154,FJ$5+GanttPeriod-1&gt;=$E154),"━","")))</f>
        <v/>
      </c>
      <c r="FK154" s="69" t="str">
        <f aca="false">IF($E154="","",IF($M154,IF(AND($G154&gt;=FK$5,$G154&lt;FK$5+GanttPeriod),"◆",IF(AND($E154&gt;=FK$5,$E154&lt;FK$5+GanttPeriod),"◇","")),IF(AND(FK$5&lt;=$F154,FK$5+GanttPeriod-1&gt;=$E154),"━","")))</f>
        <v/>
      </c>
      <c r="FL154" s="69" t="str">
        <f aca="false">IF($E154="","",IF($M154,IF(AND($G154&gt;=FL$5,$G154&lt;FL$5+GanttPeriod),"◆",IF(AND($E154&gt;=FL$5,$E154&lt;FL$5+GanttPeriod),"◇","")),IF(AND(FL$5&lt;=$F154,FL$5+GanttPeriod-1&gt;=$E154),"━","")))</f>
        <v/>
      </c>
      <c r="FM154" s="69" t="str">
        <f aca="false">IF($E154="","",IF($M154,IF(AND($G154&gt;=FM$5,$G154&lt;FM$5+GanttPeriod),"◆",IF(AND($E154&gt;=FM$5,$E154&lt;FM$5+GanttPeriod),"◇","")),IF(AND(FM$5&lt;=$F154,FM$5+GanttPeriod-1&gt;=$E154),"━","")))</f>
        <v/>
      </c>
    </row>
    <row r="155" customFormat="false" ht="15" hidden="false" customHeight="false" outlineLevel="0" collapsed="false">
      <c r="A155" s="62" t="str">
        <f aca="false">IF(Tasks!$D155="","",Tasks!$A155)</f>
        <v/>
      </c>
      <c r="B155" s="62" t="str">
        <f aca="false">IF(Tasks!$D155="","",Tasks!$B155)</f>
        <v/>
      </c>
      <c r="C155" s="63" t="str">
        <f aca="false">IF(Tasks!$D155="","",REPT("    ",Tasks!$AE155-1)&amp;Tasks!$D155)</f>
        <v/>
      </c>
      <c r="D155" s="62" t="str">
        <f aca="false">IF(Tasks!$D155="","",IF(Tasks!$AI155,NETWORKDAYS.INTL(Tasks!$R155,Tasks!$S155,WorkWeek,Holidays),N(Tasks!$F155)))</f>
        <v/>
      </c>
      <c r="E155" s="64" t="str">
        <f aca="false">IF(Tasks!$D155="","",Tasks!$N155)</f>
        <v/>
      </c>
      <c r="F155" s="64" t="str">
        <f aca="false">IF(Tasks!$D155="","",Tasks!$O155)</f>
        <v/>
      </c>
      <c r="G155" s="64" t="str">
        <f aca="false">IF(Tasks!$D155="","",Tasks!$R155)</f>
        <v/>
      </c>
      <c r="H155" s="64" t="str">
        <f aca="false">IF(Tasks!$D155="","",Tasks!$S155)</f>
        <v/>
      </c>
      <c r="I155" s="65" t="str">
        <f aca="false">IF(Tasks!$D155="","",Tasks!$V155)</f>
        <v/>
      </c>
      <c r="J155" s="63" t="str">
        <f aca="false">IF(Tasks!$D155="","",Tasks!$X155&amp;"")</f>
        <v/>
      </c>
      <c r="K155" s="66" t="str">
        <f aca="false">IF(Tasks!$D155="","",Tasks!$W155)</f>
        <v/>
      </c>
      <c r="L155" s="67" t="b">
        <f aca="false">IF(Tasks!$D155="",FALSE(),Tasks!$AI155)</f>
        <v>0</v>
      </c>
      <c r="M155" s="67" t="b">
        <f aca="false">AND(Tasks!$AJ155=1,N(Tasks!$F155)=0)</f>
        <v>0</v>
      </c>
      <c r="N155" s="68" t="n">
        <f aca="false">IF(AND(Tasks!$AJ155=1,NOT($M155),N($I155)&gt;0),$G155,0)</f>
        <v>0</v>
      </c>
      <c r="O155" s="68" t="n">
        <f aca="false">IF($N155=0,0,IF($I155&gt;=1,$H155,MAX($N155,$G155+ROUND(($H155-$G155+1)*$I155,0)-1)))</f>
        <v>0</v>
      </c>
      <c r="P155" s="68" t="n">
        <f aca="false">IF(OR(Tasks!$AJ155&lt;&gt;1,$M155,N($I155)&gt;=1),0,IF($O155&gt;0,$O155+1,$G155))</f>
        <v>0</v>
      </c>
      <c r="Q155" s="68" t="n">
        <f aca="false">IF($P155=0,0,$H155)</f>
        <v>0</v>
      </c>
      <c r="R155" s="67" t="b">
        <f aca="false">AND(Tasks!$D155&lt;&gt;"",N(Tasks!$T155)&gt;0)</f>
        <v>0</v>
      </c>
      <c r="T155" s="69" t="str">
        <f aca="false">IF($E155="","",IF($M155,IF(AND($G155&gt;=T$5,$G155&lt;T$5+GanttPeriod),"◆",IF(AND($E155&gt;=T$5,$E155&lt;T$5+GanttPeriod),"◇","")),IF(AND(T$5&lt;=$F155,T$5+GanttPeriod-1&gt;=$E155),"━","")))</f>
        <v/>
      </c>
      <c r="U155" s="69" t="str">
        <f aca="false">IF($E155="","",IF($M155,IF(AND($G155&gt;=U$5,$G155&lt;U$5+GanttPeriod),"◆",IF(AND($E155&gt;=U$5,$E155&lt;U$5+GanttPeriod),"◇","")),IF(AND(U$5&lt;=$F155,U$5+GanttPeriod-1&gt;=$E155),"━","")))</f>
        <v/>
      </c>
      <c r="V155" s="69" t="str">
        <f aca="false">IF($E155="","",IF($M155,IF(AND($G155&gt;=V$5,$G155&lt;V$5+GanttPeriod),"◆",IF(AND($E155&gt;=V$5,$E155&lt;V$5+GanttPeriod),"◇","")),IF(AND(V$5&lt;=$F155,V$5+GanttPeriod-1&gt;=$E155),"━","")))</f>
        <v/>
      </c>
      <c r="W155" s="69" t="str">
        <f aca="false">IF($E155="","",IF($M155,IF(AND($G155&gt;=W$5,$G155&lt;W$5+GanttPeriod),"◆",IF(AND($E155&gt;=W$5,$E155&lt;W$5+GanttPeriod),"◇","")),IF(AND(W$5&lt;=$F155,W$5+GanttPeriod-1&gt;=$E155),"━","")))</f>
        <v/>
      </c>
      <c r="X155" s="69" t="str">
        <f aca="false">IF($E155="","",IF($M155,IF(AND($G155&gt;=X$5,$G155&lt;X$5+GanttPeriod),"◆",IF(AND($E155&gt;=X$5,$E155&lt;X$5+GanttPeriod),"◇","")),IF(AND(X$5&lt;=$F155,X$5+GanttPeriod-1&gt;=$E155),"━","")))</f>
        <v/>
      </c>
      <c r="Y155" s="69" t="str">
        <f aca="false">IF($E155="","",IF($M155,IF(AND($G155&gt;=Y$5,$G155&lt;Y$5+GanttPeriod),"◆",IF(AND($E155&gt;=Y$5,$E155&lt;Y$5+GanttPeriod),"◇","")),IF(AND(Y$5&lt;=$F155,Y$5+GanttPeriod-1&gt;=$E155),"━","")))</f>
        <v/>
      </c>
      <c r="Z155" s="69" t="str">
        <f aca="false">IF($E155="","",IF($M155,IF(AND($G155&gt;=Z$5,$G155&lt;Z$5+GanttPeriod),"◆",IF(AND($E155&gt;=Z$5,$E155&lt;Z$5+GanttPeriod),"◇","")),IF(AND(Z$5&lt;=$F155,Z$5+GanttPeriod-1&gt;=$E155),"━","")))</f>
        <v/>
      </c>
      <c r="AA155" s="69" t="str">
        <f aca="false">IF($E155="","",IF($M155,IF(AND($G155&gt;=AA$5,$G155&lt;AA$5+GanttPeriod),"◆",IF(AND($E155&gt;=AA$5,$E155&lt;AA$5+GanttPeriod),"◇","")),IF(AND(AA$5&lt;=$F155,AA$5+GanttPeriod-1&gt;=$E155),"━","")))</f>
        <v/>
      </c>
      <c r="AB155" s="69" t="str">
        <f aca="false">IF($E155="","",IF($M155,IF(AND($G155&gt;=AB$5,$G155&lt;AB$5+GanttPeriod),"◆",IF(AND($E155&gt;=AB$5,$E155&lt;AB$5+GanttPeriod),"◇","")),IF(AND(AB$5&lt;=$F155,AB$5+GanttPeriod-1&gt;=$E155),"━","")))</f>
        <v/>
      </c>
      <c r="AC155" s="69" t="str">
        <f aca="false">IF($E155="","",IF($M155,IF(AND($G155&gt;=AC$5,$G155&lt;AC$5+GanttPeriod),"◆",IF(AND($E155&gt;=AC$5,$E155&lt;AC$5+GanttPeriod),"◇","")),IF(AND(AC$5&lt;=$F155,AC$5+GanttPeriod-1&gt;=$E155),"━","")))</f>
        <v/>
      </c>
      <c r="AD155" s="69" t="str">
        <f aca="false">IF($E155="","",IF($M155,IF(AND($G155&gt;=AD$5,$G155&lt;AD$5+GanttPeriod),"◆",IF(AND($E155&gt;=AD$5,$E155&lt;AD$5+GanttPeriod),"◇","")),IF(AND(AD$5&lt;=$F155,AD$5+GanttPeriod-1&gt;=$E155),"━","")))</f>
        <v/>
      </c>
      <c r="AE155" s="69" t="str">
        <f aca="false">IF($E155="","",IF($M155,IF(AND($G155&gt;=AE$5,$G155&lt;AE$5+GanttPeriod),"◆",IF(AND($E155&gt;=AE$5,$E155&lt;AE$5+GanttPeriod),"◇","")),IF(AND(AE$5&lt;=$F155,AE$5+GanttPeriod-1&gt;=$E155),"━","")))</f>
        <v/>
      </c>
      <c r="AF155" s="69" t="str">
        <f aca="false">IF($E155="","",IF($M155,IF(AND($G155&gt;=AF$5,$G155&lt;AF$5+GanttPeriod),"◆",IF(AND($E155&gt;=AF$5,$E155&lt;AF$5+GanttPeriod),"◇","")),IF(AND(AF$5&lt;=$F155,AF$5+GanttPeriod-1&gt;=$E155),"━","")))</f>
        <v/>
      </c>
      <c r="AG155" s="69" t="str">
        <f aca="false">IF($E155="","",IF($M155,IF(AND($G155&gt;=AG$5,$G155&lt;AG$5+GanttPeriod),"◆",IF(AND($E155&gt;=AG$5,$E155&lt;AG$5+GanttPeriod),"◇","")),IF(AND(AG$5&lt;=$F155,AG$5+GanttPeriod-1&gt;=$E155),"━","")))</f>
        <v/>
      </c>
      <c r="AH155" s="69" t="str">
        <f aca="false">IF($E155="","",IF($M155,IF(AND($G155&gt;=AH$5,$G155&lt;AH$5+GanttPeriod),"◆",IF(AND($E155&gt;=AH$5,$E155&lt;AH$5+GanttPeriod),"◇","")),IF(AND(AH$5&lt;=$F155,AH$5+GanttPeriod-1&gt;=$E155),"━","")))</f>
        <v/>
      </c>
      <c r="AI155" s="69" t="str">
        <f aca="false">IF($E155="","",IF($M155,IF(AND($G155&gt;=AI$5,$G155&lt;AI$5+GanttPeriod),"◆",IF(AND($E155&gt;=AI$5,$E155&lt;AI$5+GanttPeriod),"◇","")),IF(AND(AI$5&lt;=$F155,AI$5+GanttPeriod-1&gt;=$E155),"━","")))</f>
        <v/>
      </c>
      <c r="AJ155" s="69" t="str">
        <f aca="false">IF($E155="","",IF($M155,IF(AND($G155&gt;=AJ$5,$G155&lt;AJ$5+GanttPeriod),"◆",IF(AND($E155&gt;=AJ$5,$E155&lt;AJ$5+GanttPeriod),"◇","")),IF(AND(AJ$5&lt;=$F155,AJ$5+GanttPeriod-1&gt;=$E155),"━","")))</f>
        <v/>
      </c>
      <c r="AK155" s="69" t="str">
        <f aca="false">IF($E155="","",IF($M155,IF(AND($G155&gt;=AK$5,$G155&lt;AK$5+GanttPeriod),"◆",IF(AND($E155&gt;=AK$5,$E155&lt;AK$5+GanttPeriod),"◇","")),IF(AND(AK$5&lt;=$F155,AK$5+GanttPeriod-1&gt;=$E155),"━","")))</f>
        <v/>
      </c>
      <c r="AL155" s="69" t="str">
        <f aca="false">IF($E155="","",IF($M155,IF(AND($G155&gt;=AL$5,$G155&lt;AL$5+GanttPeriod),"◆",IF(AND($E155&gt;=AL$5,$E155&lt;AL$5+GanttPeriod),"◇","")),IF(AND(AL$5&lt;=$F155,AL$5+GanttPeriod-1&gt;=$E155),"━","")))</f>
        <v/>
      </c>
      <c r="AM155" s="69" t="str">
        <f aca="false">IF($E155="","",IF($M155,IF(AND($G155&gt;=AM$5,$G155&lt;AM$5+GanttPeriod),"◆",IF(AND($E155&gt;=AM$5,$E155&lt;AM$5+GanttPeriod),"◇","")),IF(AND(AM$5&lt;=$F155,AM$5+GanttPeriod-1&gt;=$E155),"━","")))</f>
        <v/>
      </c>
      <c r="AN155" s="69" t="str">
        <f aca="false">IF($E155="","",IF($M155,IF(AND($G155&gt;=AN$5,$G155&lt;AN$5+GanttPeriod),"◆",IF(AND($E155&gt;=AN$5,$E155&lt;AN$5+GanttPeriod),"◇","")),IF(AND(AN$5&lt;=$F155,AN$5+GanttPeriod-1&gt;=$E155),"━","")))</f>
        <v/>
      </c>
      <c r="AO155" s="69" t="str">
        <f aca="false">IF($E155="","",IF($M155,IF(AND($G155&gt;=AO$5,$G155&lt;AO$5+GanttPeriod),"◆",IF(AND($E155&gt;=AO$5,$E155&lt;AO$5+GanttPeriod),"◇","")),IF(AND(AO$5&lt;=$F155,AO$5+GanttPeriod-1&gt;=$E155),"━","")))</f>
        <v/>
      </c>
      <c r="AP155" s="69" t="str">
        <f aca="false">IF($E155="","",IF($M155,IF(AND($G155&gt;=AP$5,$G155&lt;AP$5+GanttPeriod),"◆",IF(AND($E155&gt;=AP$5,$E155&lt;AP$5+GanttPeriod),"◇","")),IF(AND(AP$5&lt;=$F155,AP$5+GanttPeriod-1&gt;=$E155),"━","")))</f>
        <v/>
      </c>
      <c r="AQ155" s="69" t="str">
        <f aca="false">IF($E155="","",IF($M155,IF(AND($G155&gt;=AQ$5,$G155&lt;AQ$5+GanttPeriod),"◆",IF(AND($E155&gt;=AQ$5,$E155&lt;AQ$5+GanttPeriod),"◇","")),IF(AND(AQ$5&lt;=$F155,AQ$5+GanttPeriod-1&gt;=$E155),"━","")))</f>
        <v/>
      </c>
      <c r="AR155" s="69" t="str">
        <f aca="false">IF($E155="","",IF($M155,IF(AND($G155&gt;=AR$5,$G155&lt;AR$5+GanttPeriod),"◆",IF(AND($E155&gt;=AR$5,$E155&lt;AR$5+GanttPeriod),"◇","")),IF(AND(AR$5&lt;=$F155,AR$5+GanttPeriod-1&gt;=$E155),"━","")))</f>
        <v/>
      </c>
      <c r="AS155" s="69" t="str">
        <f aca="false">IF($E155="","",IF($M155,IF(AND($G155&gt;=AS$5,$G155&lt;AS$5+GanttPeriod),"◆",IF(AND($E155&gt;=AS$5,$E155&lt;AS$5+GanttPeriod),"◇","")),IF(AND(AS$5&lt;=$F155,AS$5+GanttPeriod-1&gt;=$E155),"━","")))</f>
        <v/>
      </c>
      <c r="AT155" s="69" t="str">
        <f aca="false">IF($E155="","",IF($M155,IF(AND($G155&gt;=AT$5,$G155&lt;AT$5+GanttPeriod),"◆",IF(AND($E155&gt;=AT$5,$E155&lt;AT$5+GanttPeriod),"◇","")),IF(AND(AT$5&lt;=$F155,AT$5+GanttPeriod-1&gt;=$E155),"━","")))</f>
        <v/>
      </c>
      <c r="AU155" s="69" t="str">
        <f aca="false">IF($E155="","",IF($M155,IF(AND($G155&gt;=AU$5,$G155&lt;AU$5+GanttPeriod),"◆",IF(AND($E155&gt;=AU$5,$E155&lt;AU$5+GanttPeriod),"◇","")),IF(AND(AU$5&lt;=$F155,AU$5+GanttPeriod-1&gt;=$E155),"━","")))</f>
        <v/>
      </c>
      <c r="AV155" s="69" t="str">
        <f aca="false">IF($E155="","",IF($M155,IF(AND($G155&gt;=AV$5,$G155&lt;AV$5+GanttPeriod),"◆",IF(AND($E155&gt;=AV$5,$E155&lt;AV$5+GanttPeriod),"◇","")),IF(AND(AV$5&lt;=$F155,AV$5+GanttPeriod-1&gt;=$E155),"━","")))</f>
        <v/>
      </c>
      <c r="AW155" s="69" t="str">
        <f aca="false">IF($E155="","",IF($M155,IF(AND($G155&gt;=AW$5,$G155&lt;AW$5+GanttPeriod),"◆",IF(AND($E155&gt;=AW$5,$E155&lt;AW$5+GanttPeriod),"◇","")),IF(AND(AW$5&lt;=$F155,AW$5+GanttPeriod-1&gt;=$E155),"━","")))</f>
        <v/>
      </c>
      <c r="AX155" s="69" t="str">
        <f aca="false">IF($E155="","",IF($M155,IF(AND($G155&gt;=AX$5,$G155&lt;AX$5+GanttPeriod),"◆",IF(AND($E155&gt;=AX$5,$E155&lt;AX$5+GanttPeriod),"◇","")),IF(AND(AX$5&lt;=$F155,AX$5+GanttPeriod-1&gt;=$E155),"━","")))</f>
        <v/>
      </c>
      <c r="AY155" s="69" t="str">
        <f aca="false">IF($E155="","",IF($M155,IF(AND($G155&gt;=AY$5,$G155&lt;AY$5+GanttPeriod),"◆",IF(AND($E155&gt;=AY$5,$E155&lt;AY$5+GanttPeriod),"◇","")),IF(AND(AY$5&lt;=$F155,AY$5+GanttPeriod-1&gt;=$E155),"━","")))</f>
        <v/>
      </c>
      <c r="AZ155" s="69" t="str">
        <f aca="false">IF($E155="","",IF($M155,IF(AND($G155&gt;=AZ$5,$G155&lt;AZ$5+GanttPeriod),"◆",IF(AND($E155&gt;=AZ$5,$E155&lt;AZ$5+GanttPeriod),"◇","")),IF(AND(AZ$5&lt;=$F155,AZ$5+GanttPeriod-1&gt;=$E155),"━","")))</f>
        <v/>
      </c>
      <c r="BA155" s="69" t="str">
        <f aca="false">IF($E155="","",IF($M155,IF(AND($G155&gt;=BA$5,$G155&lt;BA$5+GanttPeriod),"◆",IF(AND($E155&gt;=BA$5,$E155&lt;BA$5+GanttPeriod),"◇","")),IF(AND(BA$5&lt;=$F155,BA$5+GanttPeriod-1&gt;=$E155),"━","")))</f>
        <v/>
      </c>
      <c r="BB155" s="69" t="str">
        <f aca="false">IF($E155="","",IF($M155,IF(AND($G155&gt;=BB$5,$G155&lt;BB$5+GanttPeriod),"◆",IF(AND($E155&gt;=BB$5,$E155&lt;BB$5+GanttPeriod),"◇","")),IF(AND(BB$5&lt;=$F155,BB$5+GanttPeriod-1&gt;=$E155),"━","")))</f>
        <v/>
      </c>
      <c r="BC155" s="69" t="str">
        <f aca="false">IF($E155="","",IF($M155,IF(AND($G155&gt;=BC$5,$G155&lt;BC$5+GanttPeriod),"◆",IF(AND($E155&gt;=BC$5,$E155&lt;BC$5+GanttPeriod),"◇","")),IF(AND(BC$5&lt;=$F155,BC$5+GanttPeriod-1&gt;=$E155),"━","")))</f>
        <v/>
      </c>
      <c r="BD155" s="69" t="str">
        <f aca="false">IF($E155="","",IF($M155,IF(AND($G155&gt;=BD$5,$G155&lt;BD$5+GanttPeriod),"◆",IF(AND($E155&gt;=BD$5,$E155&lt;BD$5+GanttPeriod),"◇","")),IF(AND(BD$5&lt;=$F155,BD$5+GanttPeriod-1&gt;=$E155),"━","")))</f>
        <v/>
      </c>
      <c r="BE155" s="69" t="str">
        <f aca="false">IF($E155="","",IF($M155,IF(AND($G155&gt;=BE$5,$G155&lt;BE$5+GanttPeriod),"◆",IF(AND($E155&gt;=BE$5,$E155&lt;BE$5+GanttPeriod),"◇","")),IF(AND(BE$5&lt;=$F155,BE$5+GanttPeriod-1&gt;=$E155),"━","")))</f>
        <v/>
      </c>
      <c r="BF155" s="69" t="str">
        <f aca="false">IF($E155="","",IF($M155,IF(AND($G155&gt;=BF$5,$G155&lt;BF$5+GanttPeriod),"◆",IF(AND($E155&gt;=BF$5,$E155&lt;BF$5+GanttPeriod),"◇","")),IF(AND(BF$5&lt;=$F155,BF$5+GanttPeriod-1&gt;=$E155),"━","")))</f>
        <v/>
      </c>
      <c r="BG155" s="69" t="str">
        <f aca="false">IF($E155="","",IF($M155,IF(AND($G155&gt;=BG$5,$G155&lt;BG$5+GanttPeriod),"◆",IF(AND($E155&gt;=BG$5,$E155&lt;BG$5+GanttPeriod),"◇","")),IF(AND(BG$5&lt;=$F155,BG$5+GanttPeriod-1&gt;=$E155),"━","")))</f>
        <v/>
      </c>
      <c r="BH155" s="69" t="str">
        <f aca="false">IF($E155="","",IF($M155,IF(AND($G155&gt;=BH$5,$G155&lt;BH$5+GanttPeriod),"◆",IF(AND($E155&gt;=BH$5,$E155&lt;BH$5+GanttPeriod),"◇","")),IF(AND(BH$5&lt;=$F155,BH$5+GanttPeriod-1&gt;=$E155),"━","")))</f>
        <v/>
      </c>
      <c r="BI155" s="69" t="str">
        <f aca="false">IF($E155="","",IF($M155,IF(AND($G155&gt;=BI$5,$G155&lt;BI$5+GanttPeriod),"◆",IF(AND($E155&gt;=BI$5,$E155&lt;BI$5+GanttPeriod),"◇","")),IF(AND(BI$5&lt;=$F155,BI$5+GanttPeriod-1&gt;=$E155),"━","")))</f>
        <v/>
      </c>
      <c r="BJ155" s="69" t="str">
        <f aca="false">IF($E155="","",IF($M155,IF(AND($G155&gt;=BJ$5,$G155&lt;BJ$5+GanttPeriod),"◆",IF(AND($E155&gt;=BJ$5,$E155&lt;BJ$5+GanttPeriod),"◇","")),IF(AND(BJ$5&lt;=$F155,BJ$5+GanttPeriod-1&gt;=$E155),"━","")))</f>
        <v/>
      </c>
      <c r="BK155" s="69" t="str">
        <f aca="false">IF($E155="","",IF($M155,IF(AND($G155&gt;=BK$5,$G155&lt;BK$5+GanttPeriod),"◆",IF(AND($E155&gt;=BK$5,$E155&lt;BK$5+GanttPeriod),"◇","")),IF(AND(BK$5&lt;=$F155,BK$5+GanttPeriod-1&gt;=$E155),"━","")))</f>
        <v/>
      </c>
      <c r="BL155" s="69" t="str">
        <f aca="false">IF($E155="","",IF($M155,IF(AND($G155&gt;=BL$5,$G155&lt;BL$5+GanttPeriod),"◆",IF(AND($E155&gt;=BL$5,$E155&lt;BL$5+GanttPeriod),"◇","")),IF(AND(BL$5&lt;=$F155,BL$5+GanttPeriod-1&gt;=$E155),"━","")))</f>
        <v/>
      </c>
      <c r="BM155" s="69" t="str">
        <f aca="false">IF($E155="","",IF($M155,IF(AND($G155&gt;=BM$5,$G155&lt;BM$5+GanttPeriod),"◆",IF(AND($E155&gt;=BM$5,$E155&lt;BM$5+GanttPeriod),"◇","")),IF(AND(BM$5&lt;=$F155,BM$5+GanttPeriod-1&gt;=$E155),"━","")))</f>
        <v/>
      </c>
      <c r="BN155" s="69" t="str">
        <f aca="false">IF($E155="","",IF($M155,IF(AND($G155&gt;=BN$5,$G155&lt;BN$5+GanttPeriod),"◆",IF(AND($E155&gt;=BN$5,$E155&lt;BN$5+GanttPeriod),"◇","")),IF(AND(BN$5&lt;=$F155,BN$5+GanttPeriod-1&gt;=$E155),"━","")))</f>
        <v/>
      </c>
      <c r="BO155" s="69" t="str">
        <f aca="false">IF($E155="","",IF($M155,IF(AND($G155&gt;=BO$5,$G155&lt;BO$5+GanttPeriod),"◆",IF(AND($E155&gt;=BO$5,$E155&lt;BO$5+GanttPeriod),"◇","")),IF(AND(BO$5&lt;=$F155,BO$5+GanttPeriod-1&gt;=$E155),"━","")))</f>
        <v/>
      </c>
      <c r="BP155" s="69" t="str">
        <f aca="false">IF($E155="","",IF($M155,IF(AND($G155&gt;=BP$5,$G155&lt;BP$5+GanttPeriod),"◆",IF(AND($E155&gt;=BP$5,$E155&lt;BP$5+GanttPeriod),"◇","")),IF(AND(BP$5&lt;=$F155,BP$5+GanttPeriod-1&gt;=$E155),"━","")))</f>
        <v/>
      </c>
      <c r="BQ155" s="69" t="str">
        <f aca="false">IF($E155="","",IF($M155,IF(AND($G155&gt;=BQ$5,$G155&lt;BQ$5+GanttPeriod),"◆",IF(AND($E155&gt;=BQ$5,$E155&lt;BQ$5+GanttPeriod),"◇","")),IF(AND(BQ$5&lt;=$F155,BQ$5+GanttPeriod-1&gt;=$E155),"━","")))</f>
        <v/>
      </c>
      <c r="BR155" s="69" t="str">
        <f aca="false">IF($E155="","",IF($M155,IF(AND($G155&gt;=BR$5,$G155&lt;BR$5+GanttPeriod),"◆",IF(AND($E155&gt;=BR$5,$E155&lt;BR$5+GanttPeriod),"◇","")),IF(AND(BR$5&lt;=$F155,BR$5+GanttPeriod-1&gt;=$E155),"━","")))</f>
        <v/>
      </c>
      <c r="BS155" s="69" t="str">
        <f aca="false">IF($E155="","",IF($M155,IF(AND($G155&gt;=BS$5,$G155&lt;BS$5+GanttPeriod),"◆",IF(AND($E155&gt;=BS$5,$E155&lt;BS$5+GanttPeriod),"◇","")),IF(AND(BS$5&lt;=$F155,BS$5+GanttPeriod-1&gt;=$E155),"━","")))</f>
        <v/>
      </c>
      <c r="BT155" s="69" t="str">
        <f aca="false">IF($E155="","",IF($M155,IF(AND($G155&gt;=BT$5,$G155&lt;BT$5+GanttPeriod),"◆",IF(AND($E155&gt;=BT$5,$E155&lt;BT$5+GanttPeriod),"◇","")),IF(AND(BT$5&lt;=$F155,BT$5+GanttPeriod-1&gt;=$E155),"━","")))</f>
        <v/>
      </c>
      <c r="BU155" s="69" t="str">
        <f aca="false">IF($E155="","",IF($M155,IF(AND($G155&gt;=BU$5,$G155&lt;BU$5+GanttPeriod),"◆",IF(AND($E155&gt;=BU$5,$E155&lt;BU$5+GanttPeriod),"◇","")),IF(AND(BU$5&lt;=$F155,BU$5+GanttPeriod-1&gt;=$E155),"━","")))</f>
        <v/>
      </c>
      <c r="BV155" s="69" t="str">
        <f aca="false">IF($E155="","",IF($M155,IF(AND($G155&gt;=BV$5,$G155&lt;BV$5+GanttPeriod),"◆",IF(AND($E155&gt;=BV$5,$E155&lt;BV$5+GanttPeriod),"◇","")),IF(AND(BV$5&lt;=$F155,BV$5+GanttPeriod-1&gt;=$E155),"━","")))</f>
        <v/>
      </c>
      <c r="BW155" s="69" t="str">
        <f aca="false">IF($E155="","",IF($M155,IF(AND($G155&gt;=BW$5,$G155&lt;BW$5+GanttPeriod),"◆",IF(AND($E155&gt;=BW$5,$E155&lt;BW$5+GanttPeriod),"◇","")),IF(AND(BW$5&lt;=$F155,BW$5+GanttPeriod-1&gt;=$E155),"━","")))</f>
        <v/>
      </c>
      <c r="BX155" s="69" t="str">
        <f aca="false">IF($E155="","",IF($M155,IF(AND($G155&gt;=BX$5,$G155&lt;BX$5+GanttPeriod),"◆",IF(AND($E155&gt;=BX$5,$E155&lt;BX$5+GanttPeriod),"◇","")),IF(AND(BX$5&lt;=$F155,BX$5+GanttPeriod-1&gt;=$E155),"━","")))</f>
        <v/>
      </c>
      <c r="BY155" s="69" t="str">
        <f aca="false">IF($E155="","",IF($M155,IF(AND($G155&gt;=BY$5,$G155&lt;BY$5+GanttPeriod),"◆",IF(AND($E155&gt;=BY$5,$E155&lt;BY$5+GanttPeriod),"◇","")),IF(AND(BY$5&lt;=$F155,BY$5+GanttPeriod-1&gt;=$E155),"━","")))</f>
        <v/>
      </c>
      <c r="BZ155" s="69" t="str">
        <f aca="false">IF($E155="","",IF($M155,IF(AND($G155&gt;=BZ$5,$G155&lt;BZ$5+GanttPeriod),"◆",IF(AND($E155&gt;=BZ$5,$E155&lt;BZ$5+GanttPeriod),"◇","")),IF(AND(BZ$5&lt;=$F155,BZ$5+GanttPeriod-1&gt;=$E155),"━","")))</f>
        <v/>
      </c>
      <c r="CA155" s="69" t="str">
        <f aca="false">IF($E155="","",IF($M155,IF(AND($G155&gt;=CA$5,$G155&lt;CA$5+GanttPeriod),"◆",IF(AND($E155&gt;=CA$5,$E155&lt;CA$5+GanttPeriod),"◇","")),IF(AND(CA$5&lt;=$F155,CA$5+GanttPeriod-1&gt;=$E155),"━","")))</f>
        <v/>
      </c>
      <c r="CB155" s="69" t="str">
        <f aca="false">IF($E155="","",IF($M155,IF(AND($G155&gt;=CB$5,$G155&lt;CB$5+GanttPeriod),"◆",IF(AND($E155&gt;=CB$5,$E155&lt;CB$5+GanttPeriod),"◇","")),IF(AND(CB$5&lt;=$F155,CB$5+GanttPeriod-1&gt;=$E155),"━","")))</f>
        <v/>
      </c>
      <c r="CC155" s="69" t="str">
        <f aca="false">IF($E155="","",IF($M155,IF(AND($G155&gt;=CC$5,$G155&lt;CC$5+GanttPeriod),"◆",IF(AND($E155&gt;=CC$5,$E155&lt;CC$5+GanttPeriod),"◇","")),IF(AND(CC$5&lt;=$F155,CC$5+GanttPeriod-1&gt;=$E155),"━","")))</f>
        <v/>
      </c>
      <c r="CD155" s="69" t="str">
        <f aca="false">IF($E155="","",IF($M155,IF(AND($G155&gt;=CD$5,$G155&lt;CD$5+GanttPeriod),"◆",IF(AND($E155&gt;=CD$5,$E155&lt;CD$5+GanttPeriod),"◇","")),IF(AND(CD$5&lt;=$F155,CD$5+GanttPeriod-1&gt;=$E155),"━","")))</f>
        <v/>
      </c>
      <c r="CE155" s="69" t="str">
        <f aca="false">IF($E155="","",IF($M155,IF(AND($G155&gt;=CE$5,$G155&lt;CE$5+GanttPeriod),"◆",IF(AND($E155&gt;=CE$5,$E155&lt;CE$5+GanttPeriod),"◇","")),IF(AND(CE$5&lt;=$F155,CE$5+GanttPeriod-1&gt;=$E155),"━","")))</f>
        <v/>
      </c>
      <c r="CF155" s="69" t="str">
        <f aca="false">IF($E155="","",IF($M155,IF(AND($G155&gt;=CF$5,$G155&lt;CF$5+GanttPeriod),"◆",IF(AND($E155&gt;=CF$5,$E155&lt;CF$5+GanttPeriod),"◇","")),IF(AND(CF$5&lt;=$F155,CF$5+GanttPeriod-1&gt;=$E155),"━","")))</f>
        <v/>
      </c>
      <c r="CG155" s="69" t="str">
        <f aca="false">IF($E155="","",IF($M155,IF(AND($G155&gt;=CG$5,$G155&lt;CG$5+GanttPeriod),"◆",IF(AND($E155&gt;=CG$5,$E155&lt;CG$5+GanttPeriod),"◇","")),IF(AND(CG$5&lt;=$F155,CG$5+GanttPeriod-1&gt;=$E155),"━","")))</f>
        <v/>
      </c>
      <c r="CH155" s="69" t="str">
        <f aca="false">IF($E155="","",IF($M155,IF(AND($G155&gt;=CH$5,$G155&lt;CH$5+GanttPeriod),"◆",IF(AND($E155&gt;=CH$5,$E155&lt;CH$5+GanttPeriod),"◇","")),IF(AND(CH$5&lt;=$F155,CH$5+GanttPeriod-1&gt;=$E155),"━","")))</f>
        <v/>
      </c>
      <c r="CI155" s="69" t="str">
        <f aca="false">IF($E155="","",IF($M155,IF(AND($G155&gt;=CI$5,$G155&lt;CI$5+GanttPeriod),"◆",IF(AND($E155&gt;=CI$5,$E155&lt;CI$5+GanttPeriod),"◇","")),IF(AND(CI$5&lt;=$F155,CI$5+GanttPeriod-1&gt;=$E155),"━","")))</f>
        <v/>
      </c>
      <c r="CJ155" s="69" t="str">
        <f aca="false">IF($E155="","",IF($M155,IF(AND($G155&gt;=CJ$5,$G155&lt;CJ$5+GanttPeriod),"◆",IF(AND($E155&gt;=CJ$5,$E155&lt;CJ$5+GanttPeriod),"◇","")),IF(AND(CJ$5&lt;=$F155,CJ$5+GanttPeriod-1&gt;=$E155),"━","")))</f>
        <v/>
      </c>
      <c r="CK155" s="69" t="str">
        <f aca="false">IF($E155="","",IF($M155,IF(AND($G155&gt;=CK$5,$G155&lt;CK$5+GanttPeriod),"◆",IF(AND($E155&gt;=CK$5,$E155&lt;CK$5+GanttPeriod),"◇","")),IF(AND(CK$5&lt;=$F155,CK$5+GanttPeriod-1&gt;=$E155),"━","")))</f>
        <v/>
      </c>
      <c r="CL155" s="69" t="str">
        <f aca="false">IF($E155="","",IF($M155,IF(AND($G155&gt;=CL$5,$G155&lt;CL$5+GanttPeriod),"◆",IF(AND($E155&gt;=CL$5,$E155&lt;CL$5+GanttPeriod),"◇","")),IF(AND(CL$5&lt;=$F155,CL$5+GanttPeriod-1&gt;=$E155),"━","")))</f>
        <v/>
      </c>
      <c r="CM155" s="69" t="str">
        <f aca="false">IF($E155="","",IF($M155,IF(AND($G155&gt;=CM$5,$G155&lt;CM$5+GanttPeriod),"◆",IF(AND($E155&gt;=CM$5,$E155&lt;CM$5+GanttPeriod),"◇","")),IF(AND(CM$5&lt;=$F155,CM$5+GanttPeriod-1&gt;=$E155),"━","")))</f>
        <v/>
      </c>
      <c r="CN155" s="69" t="str">
        <f aca="false">IF($E155="","",IF($M155,IF(AND($G155&gt;=CN$5,$G155&lt;CN$5+GanttPeriod),"◆",IF(AND($E155&gt;=CN$5,$E155&lt;CN$5+GanttPeriod),"◇","")),IF(AND(CN$5&lt;=$F155,CN$5+GanttPeriod-1&gt;=$E155),"━","")))</f>
        <v/>
      </c>
      <c r="CO155" s="69" t="str">
        <f aca="false">IF($E155="","",IF($M155,IF(AND($G155&gt;=CO$5,$G155&lt;CO$5+GanttPeriod),"◆",IF(AND($E155&gt;=CO$5,$E155&lt;CO$5+GanttPeriod),"◇","")),IF(AND(CO$5&lt;=$F155,CO$5+GanttPeriod-1&gt;=$E155),"━","")))</f>
        <v/>
      </c>
      <c r="CP155" s="69" t="str">
        <f aca="false">IF($E155="","",IF($M155,IF(AND($G155&gt;=CP$5,$G155&lt;CP$5+GanttPeriod),"◆",IF(AND($E155&gt;=CP$5,$E155&lt;CP$5+GanttPeriod),"◇","")),IF(AND(CP$5&lt;=$F155,CP$5+GanttPeriod-1&gt;=$E155),"━","")))</f>
        <v/>
      </c>
      <c r="CQ155" s="69" t="str">
        <f aca="false">IF($E155="","",IF($M155,IF(AND($G155&gt;=CQ$5,$G155&lt;CQ$5+GanttPeriod),"◆",IF(AND($E155&gt;=CQ$5,$E155&lt;CQ$5+GanttPeriod),"◇","")),IF(AND(CQ$5&lt;=$F155,CQ$5+GanttPeriod-1&gt;=$E155),"━","")))</f>
        <v/>
      </c>
      <c r="CR155" s="69" t="str">
        <f aca="false">IF($E155="","",IF($M155,IF(AND($G155&gt;=CR$5,$G155&lt;CR$5+GanttPeriod),"◆",IF(AND($E155&gt;=CR$5,$E155&lt;CR$5+GanttPeriod),"◇","")),IF(AND(CR$5&lt;=$F155,CR$5+GanttPeriod-1&gt;=$E155),"━","")))</f>
        <v/>
      </c>
      <c r="CS155" s="69" t="str">
        <f aca="false">IF($E155="","",IF($M155,IF(AND($G155&gt;=CS$5,$G155&lt;CS$5+GanttPeriod),"◆",IF(AND($E155&gt;=CS$5,$E155&lt;CS$5+GanttPeriod),"◇","")),IF(AND(CS$5&lt;=$F155,CS$5+GanttPeriod-1&gt;=$E155),"━","")))</f>
        <v/>
      </c>
      <c r="CT155" s="69" t="str">
        <f aca="false">IF($E155="","",IF($M155,IF(AND($G155&gt;=CT$5,$G155&lt;CT$5+GanttPeriod),"◆",IF(AND($E155&gt;=CT$5,$E155&lt;CT$5+GanttPeriod),"◇","")),IF(AND(CT$5&lt;=$F155,CT$5+GanttPeriod-1&gt;=$E155),"━","")))</f>
        <v/>
      </c>
      <c r="CU155" s="69" t="str">
        <f aca="false">IF($E155="","",IF($M155,IF(AND($G155&gt;=CU$5,$G155&lt;CU$5+GanttPeriod),"◆",IF(AND($E155&gt;=CU$5,$E155&lt;CU$5+GanttPeriod),"◇","")),IF(AND(CU$5&lt;=$F155,CU$5+GanttPeriod-1&gt;=$E155),"━","")))</f>
        <v/>
      </c>
      <c r="CV155" s="69" t="str">
        <f aca="false">IF($E155="","",IF($M155,IF(AND($G155&gt;=CV$5,$G155&lt;CV$5+GanttPeriod),"◆",IF(AND($E155&gt;=CV$5,$E155&lt;CV$5+GanttPeriod),"◇","")),IF(AND(CV$5&lt;=$F155,CV$5+GanttPeriod-1&gt;=$E155),"━","")))</f>
        <v/>
      </c>
      <c r="CW155" s="69" t="str">
        <f aca="false">IF($E155="","",IF($M155,IF(AND($G155&gt;=CW$5,$G155&lt;CW$5+GanttPeriod),"◆",IF(AND($E155&gt;=CW$5,$E155&lt;CW$5+GanttPeriod),"◇","")),IF(AND(CW$5&lt;=$F155,CW$5+GanttPeriod-1&gt;=$E155),"━","")))</f>
        <v/>
      </c>
      <c r="CX155" s="69" t="str">
        <f aca="false">IF($E155="","",IF($M155,IF(AND($G155&gt;=CX$5,$G155&lt;CX$5+GanttPeriod),"◆",IF(AND($E155&gt;=CX$5,$E155&lt;CX$5+GanttPeriod),"◇","")),IF(AND(CX$5&lt;=$F155,CX$5+GanttPeriod-1&gt;=$E155),"━","")))</f>
        <v/>
      </c>
      <c r="CY155" s="69" t="str">
        <f aca="false">IF($E155="","",IF($M155,IF(AND($G155&gt;=CY$5,$G155&lt;CY$5+GanttPeriod),"◆",IF(AND($E155&gt;=CY$5,$E155&lt;CY$5+GanttPeriod),"◇","")),IF(AND(CY$5&lt;=$F155,CY$5+GanttPeriod-1&gt;=$E155),"━","")))</f>
        <v/>
      </c>
      <c r="CZ155" s="69" t="str">
        <f aca="false">IF($E155="","",IF($M155,IF(AND($G155&gt;=CZ$5,$G155&lt;CZ$5+GanttPeriod),"◆",IF(AND($E155&gt;=CZ$5,$E155&lt;CZ$5+GanttPeriod),"◇","")),IF(AND(CZ$5&lt;=$F155,CZ$5+GanttPeriod-1&gt;=$E155),"━","")))</f>
        <v/>
      </c>
      <c r="DA155" s="69" t="str">
        <f aca="false">IF($E155="","",IF($M155,IF(AND($G155&gt;=DA$5,$G155&lt;DA$5+GanttPeriod),"◆",IF(AND($E155&gt;=DA$5,$E155&lt;DA$5+GanttPeriod),"◇","")),IF(AND(DA$5&lt;=$F155,DA$5+GanttPeriod-1&gt;=$E155),"━","")))</f>
        <v/>
      </c>
      <c r="DB155" s="69" t="str">
        <f aca="false">IF($E155="","",IF($M155,IF(AND($G155&gt;=DB$5,$G155&lt;DB$5+GanttPeriod),"◆",IF(AND($E155&gt;=DB$5,$E155&lt;DB$5+GanttPeriod),"◇","")),IF(AND(DB$5&lt;=$F155,DB$5+GanttPeriod-1&gt;=$E155),"━","")))</f>
        <v/>
      </c>
      <c r="DC155" s="69" t="str">
        <f aca="false">IF($E155="","",IF($M155,IF(AND($G155&gt;=DC$5,$G155&lt;DC$5+GanttPeriod),"◆",IF(AND($E155&gt;=DC$5,$E155&lt;DC$5+GanttPeriod),"◇","")),IF(AND(DC$5&lt;=$F155,DC$5+GanttPeriod-1&gt;=$E155),"━","")))</f>
        <v/>
      </c>
      <c r="DD155" s="69" t="str">
        <f aca="false">IF($E155="","",IF($M155,IF(AND($G155&gt;=DD$5,$G155&lt;DD$5+GanttPeriod),"◆",IF(AND($E155&gt;=DD$5,$E155&lt;DD$5+GanttPeriod),"◇","")),IF(AND(DD$5&lt;=$F155,DD$5+GanttPeriod-1&gt;=$E155),"━","")))</f>
        <v/>
      </c>
      <c r="DE155" s="69" t="str">
        <f aca="false">IF($E155="","",IF($M155,IF(AND($G155&gt;=DE$5,$G155&lt;DE$5+GanttPeriod),"◆",IF(AND($E155&gt;=DE$5,$E155&lt;DE$5+GanttPeriod),"◇","")),IF(AND(DE$5&lt;=$F155,DE$5+GanttPeriod-1&gt;=$E155),"━","")))</f>
        <v/>
      </c>
      <c r="DF155" s="69" t="str">
        <f aca="false">IF($E155="","",IF($M155,IF(AND($G155&gt;=DF$5,$G155&lt;DF$5+GanttPeriod),"◆",IF(AND($E155&gt;=DF$5,$E155&lt;DF$5+GanttPeriod),"◇","")),IF(AND(DF$5&lt;=$F155,DF$5+GanttPeriod-1&gt;=$E155),"━","")))</f>
        <v/>
      </c>
      <c r="DG155" s="69" t="str">
        <f aca="false">IF($E155="","",IF($M155,IF(AND($G155&gt;=DG$5,$G155&lt;DG$5+GanttPeriod),"◆",IF(AND($E155&gt;=DG$5,$E155&lt;DG$5+GanttPeriod),"◇","")),IF(AND(DG$5&lt;=$F155,DG$5+GanttPeriod-1&gt;=$E155),"━","")))</f>
        <v/>
      </c>
      <c r="DH155" s="69" t="str">
        <f aca="false">IF($E155="","",IF($M155,IF(AND($G155&gt;=DH$5,$G155&lt;DH$5+GanttPeriod),"◆",IF(AND($E155&gt;=DH$5,$E155&lt;DH$5+GanttPeriod),"◇","")),IF(AND(DH$5&lt;=$F155,DH$5+GanttPeriod-1&gt;=$E155),"━","")))</f>
        <v/>
      </c>
      <c r="DI155" s="69" t="str">
        <f aca="false">IF($E155="","",IF($M155,IF(AND($G155&gt;=DI$5,$G155&lt;DI$5+GanttPeriod),"◆",IF(AND($E155&gt;=DI$5,$E155&lt;DI$5+GanttPeriod),"◇","")),IF(AND(DI$5&lt;=$F155,DI$5+GanttPeriod-1&gt;=$E155),"━","")))</f>
        <v/>
      </c>
      <c r="DJ155" s="69" t="str">
        <f aca="false">IF($E155="","",IF($M155,IF(AND($G155&gt;=DJ$5,$G155&lt;DJ$5+GanttPeriod),"◆",IF(AND($E155&gt;=DJ$5,$E155&lt;DJ$5+GanttPeriod),"◇","")),IF(AND(DJ$5&lt;=$F155,DJ$5+GanttPeriod-1&gt;=$E155),"━","")))</f>
        <v/>
      </c>
      <c r="DK155" s="69" t="str">
        <f aca="false">IF($E155="","",IF($M155,IF(AND($G155&gt;=DK$5,$G155&lt;DK$5+GanttPeriod),"◆",IF(AND($E155&gt;=DK$5,$E155&lt;DK$5+GanttPeriod),"◇","")),IF(AND(DK$5&lt;=$F155,DK$5+GanttPeriod-1&gt;=$E155),"━","")))</f>
        <v/>
      </c>
      <c r="DL155" s="69" t="str">
        <f aca="false">IF($E155="","",IF($M155,IF(AND($G155&gt;=DL$5,$G155&lt;DL$5+GanttPeriod),"◆",IF(AND($E155&gt;=DL$5,$E155&lt;DL$5+GanttPeriod),"◇","")),IF(AND(DL$5&lt;=$F155,DL$5+GanttPeriod-1&gt;=$E155),"━","")))</f>
        <v/>
      </c>
      <c r="DM155" s="69" t="str">
        <f aca="false">IF($E155="","",IF($M155,IF(AND($G155&gt;=DM$5,$G155&lt;DM$5+GanttPeriod),"◆",IF(AND($E155&gt;=DM$5,$E155&lt;DM$5+GanttPeriod),"◇","")),IF(AND(DM$5&lt;=$F155,DM$5+GanttPeriod-1&gt;=$E155),"━","")))</f>
        <v/>
      </c>
      <c r="DN155" s="69" t="str">
        <f aca="false">IF($E155="","",IF($M155,IF(AND($G155&gt;=DN$5,$G155&lt;DN$5+GanttPeriod),"◆",IF(AND($E155&gt;=DN$5,$E155&lt;DN$5+GanttPeriod),"◇","")),IF(AND(DN$5&lt;=$F155,DN$5+GanttPeriod-1&gt;=$E155),"━","")))</f>
        <v/>
      </c>
      <c r="DO155" s="69" t="str">
        <f aca="false">IF($E155="","",IF($M155,IF(AND($G155&gt;=DO$5,$G155&lt;DO$5+GanttPeriod),"◆",IF(AND($E155&gt;=DO$5,$E155&lt;DO$5+GanttPeriod),"◇","")),IF(AND(DO$5&lt;=$F155,DO$5+GanttPeriod-1&gt;=$E155),"━","")))</f>
        <v/>
      </c>
      <c r="DP155" s="69" t="str">
        <f aca="false">IF($E155="","",IF($M155,IF(AND($G155&gt;=DP$5,$G155&lt;DP$5+GanttPeriod),"◆",IF(AND($E155&gt;=DP$5,$E155&lt;DP$5+GanttPeriod),"◇","")),IF(AND(DP$5&lt;=$F155,DP$5+GanttPeriod-1&gt;=$E155),"━","")))</f>
        <v/>
      </c>
      <c r="DQ155" s="69" t="str">
        <f aca="false">IF($E155="","",IF($M155,IF(AND($G155&gt;=DQ$5,$G155&lt;DQ$5+GanttPeriod),"◆",IF(AND($E155&gt;=DQ$5,$E155&lt;DQ$5+GanttPeriod),"◇","")),IF(AND(DQ$5&lt;=$F155,DQ$5+GanttPeriod-1&gt;=$E155),"━","")))</f>
        <v/>
      </c>
      <c r="DR155" s="69" t="str">
        <f aca="false">IF($E155="","",IF($M155,IF(AND($G155&gt;=DR$5,$G155&lt;DR$5+GanttPeriod),"◆",IF(AND($E155&gt;=DR$5,$E155&lt;DR$5+GanttPeriod),"◇","")),IF(AND(DR$5&lt;=$F155,DR$5+GanttPeriod-1&gt;=$E155),"━","")))</f>
        <v/>
      </c>
      <c r="DS155" s="69" t="str">
        <f aca="false">IF($E155="","",IF($M155,IF(AND($G155&gt;=DS$5,$G155&lt;DS$5+GanttPeriod),"◆",IF(AND($E155&gt;=DS$5,$E155&lt;DS$5+GanttPeriod),"◇","")),IF(AND(DS$5&lt;=$F155,DS$5+GanttPeriod-1&gt;=$E155),"━","")))</f>
        <v/>
      </c>
      <c r="DT155" s="69" t="str">
        <f aca="false">IF($E155="","",IF($M155,IF(AND($G155&gt;=DT$5,$G155&lt;DT$5+GanttPeriod),"◆",IF(AND($E155&gt;=DT$5,$E155&lt;DT$5+GanttPeriod),"◇","")),IF(AND(DT$5&lt;=$F155,DT$5+GanttPeriod-1&gt;=$E155),"━","")))</f>
        <v/>
      </c>
      <c r="DU155" s="69" t="str">
        <f aca="false">IF($E155="","",IF($M155,IF(AND($G155&gt;=DU$5,$G155&lt;DU$5+GanttPeriod),"◆",IF(AND($E155&gt;=DU$5,$E155&lt;DU$5+GanttPeriod),"◇","")),IF(AND(DU$5&lt;=$F155,DU$5+GanttPeriod-1&gt;=$E155),"━","")))</f>
        <v/>
      </c>
      <c r="DV155" s="69" t="str">
        <f aca="false">IF($E155="","",IF($M155,IF(AND($G155&gt;=DV$5,$G155&lt;DV$5+GanttPeriod),"◆",IF(AND($E155&gt;=DV$5,$E155&lt;DV$5+GanttPeriod),"◇","")),IF(AND(DV$5&lt;=$F155,DV$5+GanttPeriod-1&gt;=$E155),"━","")))</f>
        <v/>
      </c>
      <c r="DW155" s="69" t="str">
        <f aca="false">IF($E155="","",IF($M155,IF(AND($G155&gt;=DW$5,$G155&lt;DW$5+GanttPeriod),"◆",IF(AND($E155&gt;=DW$5,$E155&lt;DW$5+GanttPeriod),"◇","")),IF(AND(DW$5&lt;=$F155,DW$5+GanttPeriod-1&gt;=$E155),"━","")))</f>
        <v/>
      </c>
      <c r="DX155" s="69" t="str">
        <f aca="false">IF($E155="","",IF($M155,IF(AND($G155&gt;=DX$5,$G155&lt;DX$5+GanttPeriod),"◆",IF(AND($E155&gt;=DX$5,$E155&lt;DX$5+GanttPeriod),"◇","")),IF(AND(DX$5&lt;=$F155,DX$5+GanttPeriod-1&gt;=$E155),"━","")))</f>
        <v/>
      </c>
      <c r="DY155" s="69" t="str">
        <f aca="false">IF($E155="","",IF($M155,IF(AND($G155&gt;=DY$5,$G155&lt;DY$5+GanttPeriod),"◆",IF(AND($E155&gt;=DY$5,$E155&lt;DY$5+GanttPeriod),"◇","")),IF(AND(DY$5&lt;=$F155,DY$5+GanttPeriod-1&gt;=$E155),"━","")))</f>
        <v/>
      </c>
      <c r="DZ155" s="69" t="str">
        <f aca="false">IF($E155="","",IF($M155,IF(AND($G155&gt;=DZ$5,$G155&lt;DZ$5+GanttPeriod),"◆",IF(AND($E155&gt;=DZ$5,$E155&lt;DZ$5+GanttPeriod),"◇","")),IF(AND(DZ$5&lt;=$F155,DZ$5+GanttPeriod-1&gt;=$E155),"━","")))</f>
        <v/>
      </c>
      <c r="EA155" s="69" t="str">
        <f aca="false">IF($E155="","",IF($M155,IF(AND($G155&gt;=EA$5,$G155&lt;EA$5+GanttPeriod),"◆",IF(AND($E155&gt;=EA$5,$E155&lt;EA$5+GanttPeriod),"◇","")),IF(AND(EA$5&lt;=$F155,EA$5+GanttPeriod-1&gt;=$E155),"━","")))</f>
        <v/>
      </c>
      <c r="EB155" s="69" t="str">
        <f aca="false">IF($E155="","",IF($M155,IF(AND($G155&gt;=EB$5,$G155&lt;EB$5+GanttPeriod),"◆",IF(AND($E155&gt;=EB$5,$E155&lt;EB$5+GanttPeriod),"◇","")),IF(AND(EB$5&lt;=$F155,EB$5+GanttPeriod-1&gt;=$E155),"━","")))</f>
        <v/>
      </c>
      <c r="EC155" s="69" t="str">
        <f aca="false">IF($E155="","",IF($M155,IF(AND($G155&gt;=EC$5,$G155&lt;EC$5+GanttPeriod),"◆",IF(AND($E155&gt;=EC$5,$E155&lt;EC$5+GanttPeriod),"◇","")),IF(AND(EC$5&lt;=$F155,EC$5+GanttPeriod-1&gt;=$E155),"━","")))</f>
        <v/>
      </c>
      <c r="ED155" s="69" t="str">
        <f aca="false">IF($E155="","",IF($M155,IF(AND($G155&gt;=ED$5,$G155&lt;ED$5+GanttPeriod),"◆",IF(AND($E155&gt;=ED$5,$E155&lt;ED$5+GanttPeriod),"◇","")),IF(AND(ED$5&lt;=$F155,ED$5+GanttPeriod-1&gt;=$E155),"━","")))</f>
        <v/>
      </c>
      <c r="EE155" s="69" t="str">
        <f aca="false">IF($E155="","",IF($M155,IF(AND($G155&gt;=EE$5,$G155&lt;EE$5+GanttPeriod),"◆",IF(AND($E155&gt;=EE$5,$E155&lt;EE$5+GanttPeriod),"◇","")),IF(AND(EE$5&lt;=$F155,EE$5+GanttPeriod-1&gt;=$E155),"━","")))</f>
        <v/>
      </c>
      <c r="EF155" s="69" t="str">
        <f aca="false">IF($E155="","",IF($M155,IF(AND($G155&gt;=EF$5,$G155&lt;EF$5+GanttPeriod),"◆",IF(AND($E155&gt;=EF$5,$E155&lt;EF$5+GanttPeriod),"◇","")),IF(AND(EF$5&lt;=$F155,EF$5+GanttPeriod-1&gt;=$E155),"━","")))</f>
        <v/>
      </c>
      <c r="EG155" s="69" t="str">
        <f aca="false">IF($E155="","",IF($M155,IF(AND($G155&gt;=EG$5,$G155&lt;EG$5+GanttPeriod),"◆",IF(AND($E155&gt;=EG$5,$E155&lt;EG$5+GanttPeriod),"◇","")),IF(AND(EG$5&lt;=$F155,EG$5+GanttPeriod-1&gt;=$E155),"━","")))</f>
        <v/>
      </c>
      <c r="EH155" s="69" t="str">
        <f aca="false">IF($E155="","",IF($M155,IF(AND($G155&gt;=EH$5,$G155&lt;EH$5+GanttPeriod),"◆",IF(AND($E155&gt;=EH$5,$E155&lt;EH$5+GanttPeriod),"◇","")),IF(AND(EH$5&lt;=$F155,EH$5+GanttPeriod-1&gt;=$E155),"━","")))</f>
        <v/>
      </c>
      <c r="EI155" s="69" t="str">
        <f aca="false">IF($E155="","",IF($M155,IF(AND($G155&gt;=EI$5,$G155&lt;EI$5+GanttPeriod),"◆",IF(AND($E155&gt;=EI$5,$E155&lt;EI$5+GanttPeriod),"◇","")),IF(AND(EI$5&lt;=$F155,EI$5+GanttPeriod-1&gt;=$E155),"━","")))</f>
        <v/>
      </c>
      <c r="EJ155" s="69" t="str">
        <f aca="false">IF($E155="","",IF($M155,IF(AND($G155&gt;=EJ$5,$G155&lt;EJ$5+GanttPeriod),"◆",IF(AND($E155&gt;=EJ$5,$E155&lt;EJ$5+GanttPeriod),"◇","")),IF(AND(EJ$5&lt;=$F155,EJ$5+GanttPeriod-1&gt;=$E155),"━","")))</f>
        <v/>
      </c>
      <c r="EK155" s="69" t="str">
        <f aca="false">IF($E155="","",IF($M155,IF(AND($G155&gt;=EK$5,$G155&lt;EK$5+GanttPeriod),"◆",IF(AND($E155&gt;=EK$5,$E155&lt;EK$5+GanttPeriod),"◇","")),IF(AND(EK$5&lt;=$F155,EK$5+GanttPeriod-1&gt;=$E155),"━","")))</f>
        <v/>
      </c>
      <c r="EL155" s="69" t="str">
        <f aca="false">IF($E155="","",IF($M155,IF(AND($G155&gt;=EL$5,$G155&lt;EL$5+GanttPeriod),"◆",IF(AND($E155&gt;=EL$5,$E155&lt;EL$5+GanttPeriod),"◇","")),IF(AND(EL$5&lt;=$F155,EL$5+GanttPeriod-1&gt;=$E155),"━","")))</f>
        <v/>
      </c>
      <c r="EM155" s="69" t="str">
        <f aca="false">IF($E155="","",IF($M155,IF(AND($G155&gt;=EM$5,$G155&lt;EM$5+GanttPeriod),"◆",IF(AND($E155&gt;=EM$5,$E155&lt;EM$5+GanttPeriod),"◇","")),IF(AND(EM$5&lt;=$F155,EM$5+GanttPeriod-1&gt;=$E155),"━","")))</f>
        <v/>
      </c>
      <c r="EN155" s="69" t="str">
        <f aca="false">IF($E155="","",IF($M155,IF(AND($G155&gt;=EN$5,$G155&lt;EN$5+GanttPeriod),"◆",IF(AND($E155&gt;=EN$5,$E155&lt;EN$5+GanttPeriod),"◇","")),IF(AND(EN$5&lt;=$F155,EN$5+GanttPeriod-1&gt;=$E155),"━","")))</f>
        <v/>
      </c>
      <c r="EO155" s="69" t="str">
        <f aca="false">IF($E155="","",IF($M155,IF(AND($G155&gt;=EO$5,$G155&lt;EO$5+GanttPeriod),"◆",IF(AND($E155&gt;=EO$5,$E155&lt;EO$5+GanttPeriod),"◇","")),IF(AND(EO$5&lt;=$F155,EO$5+GanttPeriod-1&gt;=$E155),"━","")))</f>
        <v/>
      </c>
      <c r="EP155" s="69" t="str">
        <f aca="false">IF($E155="","",IF($M155,IF(AND($G155&gt;=EP$5,$G155&lt;EP$5+GanttPeriod),"◆",IF(AND($E155&gt;=EP$5,$E155&lt;EP$5+GanttPeriod),"◇","")),IF(AND(EP$5&lt;=$F155,EP$5+GanttPeriod-1&gt;=$E155),"━","")))</f>
        <v/>
      </c>
      <c r="EQ155" s="69" t="str">
        <f aca="false">IF($E155="","",IF($M155,IF(AND($G155&gt;=EQ$5,$G155&lt;EQ$5+GanttPeriod),"◆",IF(AND($E155&gt;=EQ$5,$E155&lt;EQ$5+GanttPeriod),"◇","")),IF(AND(EQ$5&lt;=$F155,EQ$5+GanttPeriod-1&gt;=$E155),"━","")))</f>
        <v/>
      </c>
      <c r="ER155" s="69" t="str">
        <f aca="false">IF($E155="","",IF($M155,IF(AND($G155&gt;=ER$5,$G155&lt;ER$5+GanttPeriod),"◆",IF(AND($E155&gt;=ER$5,$E155&lt;ER$5+GanttPeriod),"◇","")),IF(AND(ER$5&lt;=$F155,ER$5+GanttPeriod-1&gt;=$E155),"━","")))</f>
        <v/>
      </c>
      <c r="ES155" s="69" t="str">
        <f aca="false">IF($E155="","",IF($M155,IF(AND($G155&gt;=ES$5,$G155&lt;ES$5+GanttPeriod),"◆",IF(AND($E155&gt;=ES$5,$E155&lt;ES$5+GanttPeriod),"◇","")),IF(AND(ES$5&lt;=$F155,ES$5+GanttPeriod-1&gt;=$E155),"━","")))</f>
        <v/>
      </c>
      <c r="ET155" s="69" t="str">
        <f aca="false">IF($E155="","",IF($M155,IF(AND($G155&gt;=ET$5,$G155&lt;ET$5+GanttPeriod),"◆",IF(AND($E155&gt;=ET$5,$E155&lt;ET$5+GanttPeriod),"◇","")),IF(AND(ET$5&lt;=$F155,ET$5+GanttPeriod-1&gt;=$E155),"━","")))</f>
        <v/>
      </c>
      <c r="EU155" s="69" t="str">
        <f aca="false">IF($E155="","",IF($M155,IF(AND($G155&gt;=EU$5,$G155&lt;EU$5+GanttPeriod),"◆",IF(AND($E155&gt;=EU$5,$E155&lt;EU$5+GanttPeriod),"◇","")),IF(AND(EU$5&lt;=$F155,EU$5+GanttPeriod-1&gt;=$E155),"━","")))</f>
        <v/>
      </c>
      <c r="EV155" s="69" t="str">
        <f aca="false">IF($E155="","",IF($M155,IF(AND($G155&gt;=EV$5,$G155&lt;EV$5+GanttPeriod),"◆",IF(AND($E155&gt;=EV$5,$E155&lt;EV$5+GanttPeriod),"◇","")),IF(AND(EV$5&lt;=$F155,EV$5+GanttPeriod-1&gt;=$E155),"━","")))</f>
        <v/>
      </c>
      <c r="EW155" s="69" t="str">
        <f aca="false">IF($E155="","",IF($M155,IF(AND($G155&gt;=EW$5,$G155&lt;EW$5+GanttPeriod),"◆",IF(AND($E155&gt;=EW$5,$E155&lt;EW$5+GanttPeriod),"◇","")),IF(AND(EW$5&lt;=$F155,EW$5+GanttPeriod-1&gt;=$E155),"━","")))</f>
        <v/>
      </c>
      <c r="EX155" s="69" t="str">
        <f aca="false">IF($E155="","",IF($M155,IF(AND($G155&gt;=EX$5,$G155&lt;EX$5+GanttPeriod),"◆",IF(AND($E155&gt;=EX$5,$E155&lt;EX$5+GanttPeriod),"◇","")),IF(AND(EX$5&lt;=$F155,EX$5+GanttPeriod-1&gt;=$E155),"━","")))</f>
        <v/>
      </c>
      <c r="EY155" s="69" t="str">
        <f aca="false">IF($E155="","",IF($M155,IF(AND($G155&gt;=EY$5,$G155&lt;EY$5+GanttPeriod),"◆",IF(AND($E155&gt;=EY$5,$E155&lt;EY$5+GanttPeriod),"◇","")),IF(AND(EY$5&lt;=$F155,EY$5+GanttPeriod-1&gt;=$E155),"━","")))</f>
        <v/>
      </c>
      <c r="EZ155" s="69" t="str">
        <f aca="false">IF($E155="","",IF($M155,IF(AND($G155&gt;=EZ$5,$G155&lt;EZ$5+GanttPeriod),"◆",IF(AND($E155&gt;=EZ$5,$E155&lt;EZ$5+GanttPeriod),"◇","")),IF(AND(EZ$5&lt;=$F155,EZ$5+GanttPeriod-1&gt;=$E155),"━","")))</f>
        <v/>
      </c>
      <c r="FA155" s="69" t="str">
        <f aca="false">IF($E155="","",IF($M155,IF(AND($G155&gt;=FA$5,$G155&lt;FA$5+GanttPeriod),"◆",IF(AND($E155&gt;=FA$5,$E155&lt;FA$5+GanttPeriod),"◇","")),IF(AND(FA$5&lt;=$F155,FA$5+GanttPeriod-1&gt;=$E155),"━","")))</f>
        <v/>
      </c>
      <c r="FB155" s="69" t="str">
        <f aca="false">IF($E155="","",IF($M155,IF(AND($G155&gt;=FB$5,$G155&lt;FB$5+GanttPeriod),"◆",IF(AND($E155&gt;=FB$5,$E155&lt;FB$5+GanttPeriod),"◇","")),IF(AND(FB$5&lt;=$F155,FB$5+GanttPeriod-1&gt;=$E155),"━","")))</f>
        <v/>
      </c>
      <c r="FC155" s="69" t="str">
        <f aca="false">IF($E155="","",IF($M155,IF(AND($G155&gt;=FC$5,$G155&lt;FC$5+GanttPeriod),"◆",IF(AND($E155&gt;=FC$5,$E155&lt;FC$5+GanttPeriod),"◇","")),IF(AND(FC$5&lt;=$F155,FC$5+GanttPeriod-1&gt;=$E155),"━","")))</f>
        <v/>
      </c>
      <c r="FD155" s="69" t="str">
        <f aca="false">IF($E155="","",IF($M155,IF(AND($G155&gt;=FD$5,$G155&lt;FD$5+GanttPeriod),"◆",IF(AND($E155&gt;=FD$5,$E155&lt;FD$5+GanttPeriod),"◇","")),IF(AND(FD$5&lt;=$F155,FD$5+GanttPeriod-1&gt;=$E155),"━","")))</f>
        <v/>
      </c>
      <c r="FE155" s="69" t="str">
        <f aca="false">IF($E155="","",IF($M155,IF(AND($G155&gt;=FE$5,$G155&lt;FE$5+GanttPeriod),"◆",IF(AND($E155&gt;=FE$5,$E155&lt;FE$5+GanttPeriod),"◇","")),IF(AND(FE$5&lt;=$F155,FE$5+GanttPeriod-1&gt;=$E155),"━","")))</f>
        <v/>
      </c>
      <c r="FF155" s="69" t="str">
        <f aca="false">IF($E155="","",IF($M155,IF(AND($G155&gt;=FF$5,$G155&lt;FF$5+GanttPeriod),"◆",IF(AND($E155&gt;=FF$5,$E155&lt;FF$5+GanttPeriod),"◇","")),IF(AND(FF$5&lt;=$F155,FF$5+GanttPeriod-1&gt;=$E155),"━","")))</f>
        <v/>
      </c>
      <c r="FG155" s="69" t="str">
        <f aca="false">IF($E155="","",IF($M155,IF(AND($G155&gt;=FG$5,$G155&lt;FG$5+GanttPeriod),"◆",IF(AND($E155&gt;=FG$5,$E155&lt;FG$5+GanttPeriod),"◇","")),IF(AND(FG$5&lt;=$F155,FG$5+GanttPeriod-1&gt;=$E155),"━","")))</f>
        <v/>
      </c>
      <c r="FH155" s="69" t="str">
        <f aca="false">IF($E155="","",IF($M155,IF(AND($G155&gt;=FH$5,$G155&lt;FH$5+GanttPeriod),"◆",IF(AND($E155&gt;=FH$5,$E155&lt;FH$5+GanttPeriod),"◇","")),IF(AND(FH$5&lt;=$F155,FH$5+GanttPeriod-1&gt;=$E155),"━","")))</f>
        <v/>
      </c>
      <c r="FI155" s="69" t="str">
        <f aca="false">IF($E155="","",IF($M155,IF(AND($G155&gt;=FI$5,$G155&lt;FI$5+GanttPeriod),"◆",IF(AND($E155&gt;=FI$5,$E155&lt;FI$5+GanttPeriod),"◇","")),IF(AND(FI$5&lt;=$F155,FI$5+GanttPeriod-1&gt;=$E155),"━","")))</f>
        <v/>
      </c>
      <c r="FJ155" s="69" t="str">
        <f aca="false">IF($E155="","",IF($M155,IF(AND($G155&gt;=FJ$5,$G155&lt;FJ$5+GanttPeriod),"◆",IF(AND($E155&gt;=FJ$5,$E155&lt;FJ$5+GanttPeriod),"◇","")),IF(AND(FJ$5&lt;=$F155,FJ$5+GanttPeriod-1&gt;=$E155),"━","")))</f>
        <v/>
      </c>
      <c r="FK155" s="69" t="str">
        <f aca="false">IF($E155="","",IF($M155,IF(AND($G155&gt;=FK$5,$G155&lt;FK$5+GanttPeriod),"◆",IF(AND($E155&gt;=FK$5,$E155&lt;FK$5+GanttPeriod),"◇","")),IF(AND(FK$5&lt;=$F155,FK$5+GanttPeriod-1&gt;=$E155),"━","")))</f>
        <v/>
      </c>
      <c r="FL155" s="69" t="str">
        <f aca="false">IF($E155="","",IF($M155,IF(AND($G155&gt;=FL$5,$G155&lt;FL$5+GanttPeriod),"◆",IF(AND($E155&gt;=FL$5,$E155&lt;FL$5+GanttPeriod),"◇","")),IF(AND(FL$5&lt;=$F155,FL$5+GanttPeriod-1&gt;=$E155),"━","")))</f>
        <v/>
      </c>
      <c r="FM155" s="69" t="str">
        <f aca="false">IF($E155="","",IF($M155,IF(AND($G155&gt;=FM$5,$G155&lt;FM$5+GanttPeriod),"◆",IF(AND($E155&gt;=FM$5,$E155&lt;FM$5+GanttPeriod),"◇","")),IF(AND(FM$5&lt;=$F155,FM$5+GanttPeriod-1&gt;=$E155),"━","")))</f>
        <v/>
      </c>
    </row>
    <row r="156" customFormat="false" ht="15" hidden="false" customHeight="false" outlineLevel="0" collapsed="false">
      <c r="A156" s="62" t="str">
        <f aca="false">IF(Tasks!$D156="","",Tasks!$A156)</f>
        <v/>
      </c>
      <c r="B156" s="62" t="str">
        <f aca="false">IF(Tasks!$D156="","",Tasks!$B156)</f>
        <v/>
      </c>
      <c r="C156" s="63" t="str">
        <f aca="false">IF(Tasks!$D156="","",REPT("    ",Tasks!$AE156-1)&amp;Tasks!$D156)</f>
        <v/>
      </c>
      <c r="D156" s="62" t="str">
        <f aca="false">IF(Tasks!$D156="","",IF(Tasks!$AI156,NETWORKDAYS.INTL(Tasks!$R156,Tasks!$S156,WorkWeek,Holidays),N(Tasks!$F156)))</f>
        <v/>
      </c>
      <c r="E156" s="64" t="str">
        <f aca="false">IF(Tasks!$D156="","",Tasks!$N156)</f>
        <v/>
      </c>
      <c r="F156" s="64" t="str">
        <f aca="false">IF(Tasks!$D156="","",Tasks!$O156)</f>
        <v/>
      </c>
      <c r="G156" s="64" t="str">
        <f aca="false">IF(Tasks!$D156="","",Tasks!$R156)</f>
        <v/>
      </c>
      <c r="H156" s="64" t="str">
        <f aca="false">IF(Tasks!$D156="","",Tasks!$S156)</f>
        <v/>
      </c>
      <c r="I156" s="65" t="str">
        <f aca="false">IF(Tasks!$D156="","",Tasks!$V156)</f>
        <v/>
      </c>
      <c r="J156" s="63" t="str">
        <f aca="false">IF(Tasks!$D156="","",Tasks!$X156&amp;"")</f>
        <v/>
      </c>
      <c r="K156" s="66" t="str">
        <f aca="false">IF(Tasks!$D156="","",Tasks!$W156)</f>
        <v/>
      </c>
      <c r="L156" s="67" t="b">
        <f aca="false">IF(Tasks!$D156="",FALSE(),Tasks!$AI156)</f>
        <v>0</v>
      </c>
      <c r="M156" s="67" t="b">
        <f aca="false">AND(Tasks!$AJ156=1,N(Tasks!$F156)=0)</f>
        <v>0</v>
      </c>
      <c r="N156" s="68" t="n">
        <f aca="false">IF(AND(Tasks!$AJ156=1,NOT($M156),N($I156)&gt;0),$G156,0)</f>
        <v>0</v>
      </c>
      <c r="O156" s="68" t="n">
        <f aca="false">IF($N156=0,0,IF($I156&gt;=1,$H156,MAX($N156,$G156+ROUND(($H156-$G156+1)*$I156,0)-1)))</f>
        <v>0</v>
      </c>
      <c r="P156" s="68" t="n">
        <f aca="false">IF(OR(Tasks!$AJ156&lt;&gt;1,$M156,N($I156)&gt;=1),0,IF($O156&gt;0,$O156+1,$G156))</f>
        <v>0</v>
      </c>
      <c r="Q156" s="68" t="n">
        <f aca="false">IF($P156=0,0,$H156)</f>
        <v>0</v>
      </c>
      <c r="R156" s="67" t="b">
        <f aca="false">AND(Tasks!$D156&lt;&gt;"",N(Tasks!$T156)&gt;0)</f>
        <v>0</v>
      </c>
      <c r="T156" s="69" t="str">
        <f aca="false">IF($E156="","",IF($M156,IF(AND($G156&gt;=T$5,$G156&lt;T$5+GanttPeriod),"◆",IF(AND($E156&gt;=T$5,$E156&lt;T$5+GanttPeriod),"◇","")),IF(AND(T$5&lt;=$F156,T$5+GanttPeriod-1&gt;=$E156),"━","")))</f>
        <v/>
      </c>
      <c r="U156" s="69" t="str">
        <f aca="false">IF($E156="","",IF($M156,IF(AND($G156&gt;=U$5,$G156&lt;U$5+GanttPeriod),"◆",IF(AND($E156&gt;=U$5,$E156&lt;U$5+GanttPeriod),"◇","")),IF(AND(U$5&lt;=$F156,U$5+GanttPeriod-1&gt;=$E156),"━","")))</f>
        <v/>
      </c>
      <c r="V156" s="69" t="str">
        <f aca="false">IF($E156="","",IF($M156,IF(AND($G156&gt;=V$5,$G156&lt;V$5+GanttPeriod),"◆",IF(AND($E156&gt;=V$5,$E156&lt;V$5+GanttPeriod),"◇","")),IF(AND(V$5&lt;=$F156,V$5+GanttPeriod-1&gt;=$E156),"━","")))</f>
        <v/>
      </c>
      <c r="W156" s="69" t="str">
        <f aca="false">IF($E156="","",IF($M156,IF(AND($G156&gt;=W$5,$G156&lt;W$5+GanttPeriod),"◆",IF(AND($E156&gt;=W$5,$E156&lt;W$5+GanttPeriod),"◇","")),IF(AND(W$5&lt;=$F156,W$5+GanttPeriod-1&gt;=$E156),"━","")))</f>
        <v/>
      </c>
      <c r="X156" s="69" t="str">
        <f aca="false">IF($E156="","",IF($M156,IF(AND($G156&gt;=X$5,$G156&lt;X$5+GanttPeriod),"◆",IF(AND($E156&gt;=X$5,$E156&lt;X$5+GanttPeriod),"◇","")),IF(AND(X$5&lt;=$F156,X$5+GanttPeriod-1&gt;=$E156),"━","")))</f>
        <v/>
      </c>
      <c r="Y156" s="69" t="str">
        <f aca="false">IF($E156="","",IF($M156,IF(AND($G156&gt;=Y$5,$G156&lt;Y$5+GanttPeriod),"◆",IF(AND($E156&gt;=Y$5,$E156&lt;Y$5+GanttPeriod),"◇","")),IF(AND(Y$5&lt;=$F156,Y$5+GanttPeriod-1&gt;=$E156),"━","")))</f>
        <v/>
      </c>
      <c r="Z156" s="69" t="str">
        <f aca="false">IF($E156="","",IF($M156,IF(AND($G156&gt;=Z$5,$G156&lt;Z$5+GanttPeriod),"◆",IF(AND($E156&gt;=Z$5,$E156&lt;Z$5+GanttPeriod),"◇","")),IF(AND(Z$5&lt;=$F156,Z$5+GanttPeriod-1&gt;=$E156),"━","")))</f>
        <v/>
      </c>
      <c r="AA156" s="69" t="str">
        <f aca="false">IF($E156="","",IF($M156,IF(AND($G156&gt;=AA$5,$G156&lt;AA$5+GanttPeriod),"◆",IF(AND($E156&gt;=AA$5,$E156&lt;AA$5+GanttPeriod),"◇","")),IF(AND(AA$5&lt;=$F156,AA$5+GanttPeriod-1&gt;=$E156),"━","")))</f>
        <v/>
      </c>
      <c r="AB156" s="69" t="str">
        <f aca="false">IF($E156="","",IF($M156,IF(AND($G156&gt;=AB$5,$G156&lt;AB$5+GanttPeriod),"◆",IF(AND($E156&gt;=AB$5,$E156&lt;AB$5+GanttPeriod),"◇","")),IF(AND(AB$5&lt;=$F156,AB$5+GanttPeriod-1&gt;=$E156),"━","")))</f>
        <v/>
      </c>
      <c r="AC156" s="69" t="str">
        <f aca="false">IF($E156="","",IF($M156,IF(AND($G156&gt;=AC$5,$G156&lt;AC$5+GanttPeriod),"◆",IF(AND($E156&gt;=AC$5,$E156&lt;AC$5+GanttPeriod),"◇","")),IF(AND(AC$5&lt;=$F156,AC$5+GanttPeriod-1&gt;=$E156),"━","")))</f>
        <v/>
      </c>
      <c r="AD156" s="69" t="str">
        <f aca="false">IF($E156="","",IF($M156,IF(AND($G156&gt;=AD$5,$G156&lt;AD$5+GanttPeriod),"◆",IF(AND($E156&gt;=AD$5,$E156&lt;AD$5+GanttPeriod),"◇","")),IF(AND(AD$5&lt;=$F156,AD$5+GanttPeriod-1&gt;=$E156),"━","")))</f>
        <v/>
      </c>
      <c r="AE156" s="69" t="str">
        <f aca="false">IF($E156="","",IF($M156,IF(AND($G156&gt;=AE$5,$G156&lt;AE$5+GanttPeriod),"◆",IF(AND($E156&gt;=AE$5,$E156&lt;AE$5+GanttPeriod),"◇","")),IF(AND(AE$5&lt;=$F156,AE$5+GanttPeriod-1&gt;=$E156),"━","")))</f>
        <v/>
      </c>
      <c r="AF156" s="69" t="str">
        <f aca="false">IF($E156="","",IF($M156,IF(AND($G156&gt;=AF$5,$G156&lt;AF$5+GanttPeriod),"◆",IF(AND($E156&gt;=AF$5,$E156&lt;AF$5+GanttPeriod),"◇","")),IF(AND(AF$5&lt;=$F156,AF$5+GanttPeriod-1&gt;=$E156),"━","")))</f>
        <v/>
      </c>
      <c r="AG156" s="69" t="str">
        <f aca="false">IF($E156="","",IF($M156,IF(AND($G156&gt;=AG$5,$G156&lt;AG$5+GanttPeriod),"◆",IF(AND($E156&gt;=AG$5,$E156&lt;AG$5+GanttPeriod),"◇","")),IF(AND(AG$5&lt;=$F156,AG$5+GanttPeriod-1&gt;=$E156),"━","")))</f>
        <v/>
      </c>
      <c r="AH156" s="69" t="str">
        <f aca="false">IF($E156="","",IF($M156,IF(AND($G156&gt;=AH$5,$G156&lt;AH$5+GanttPeriod),"◆",IF(AND($E156&gt;=AH$5,$E156&lt;AH$5+GanttPeriod),"◇","")),IF(AND(AH$5&lt;=$F156,AH$5+GanttPeriod-1&gt;=$E156),"━","")))</f>
        <v/>
      </c>
      <c r="AI156" s="69" t="str">
        <f aca="false">IF($E156="","",IF($M156,IF(AND($G156&gt;=AI$5,$G156&lt;AI$5+GanttPeriod),"◆",IF(AND($E156&gt;=AI$5,$E156&lt;AI$5+GanttPeriod),"◇","")),IF(AND(AI$5&lt;=$F156,AI$5+GanttPeriod-1&gt;=$E156),"━","")))</f>
        <v/>
      </c>
      <c r="AJ156" s="69" t="str">
        <f aca="false">IF($E156="","",IF($M156,IF(AND($G156&gt;=AJ$5,$G156&lt;AJ$5+GanttPeriod),"◆",IF(AND($E156&gt;=AJ$5,$E156&lt;AJ$5+GanttPeriod),"◇","")),IF(AND(AJ$5&lt;=$F156,AJ$5+GanttPeriod-1&gt;=$E156),"━","")))</f>
        <v/>
      </c>
      <c r="AK156" s="69" t="str">
        <f aca="false">IF($E156="","",IF($M156,IF(AND($G156&gt;=AK$5,$G156&lt;AK$5+GanttPeriod),"◆",IF(AND($E156&gt;=AK$5,$E156&lt;AK$5+GanttPeriod),"◇","")),IF(AND(AK$5&lt;=$F156,AK$5+GanttPeriod-1&gt;=$E156),"━","")))</f>
        <v/>
      </c>
      <c r="AL156" s="69" t="str">
        <f aca="false">IF($E156="","",IF($M156,IF(AND($G156&gt;=AL$5,$G156&lt;AL$5+GanttPeriod),"◆",IF(AND($E156&gt;=AL$5,$E156&lt;AL$5+GanttPeriod),"◇","")),IF(AND(AL$5&lt;=$F156,AL$5+GanttPeriod-1&gt;=$E156),"━","")))</f>
        <v/>
      </c>
      <c r="AM156" s="69" t="str">
        <f aca="false">IF($E156="","",IF($M156,IF(AND($G156&gt;=AM$5,$G156&lt;AM$5+GanttPeriod),"◆",IF(AND($E156&gt;=AM$5,$E156&lt;AM$5+GanttPeriod),"◇","")),IF(AND(AM$5&lt;=$F156,AM$5+GanttPeriod-1&gt;=$E156),"━","")))</f>
        <v/>
      </c>
      <c r="AN156" s="69" t="str">
        <f aca="false">IF($E156="","",IF($M156,IF(AND($G156&gt;=AN$5,$G156&lt;AN$5+GanttPeriod),"◆",IF(AND($E156&gt;=AN$5,$E156&lt;AN$5+GanttPeriod),"◇","")),IF(AND(AN$5&lt;=$F156,AN$5+GanttPeriod-1&gt;=$E156),"━","")))</f>
        <v/>
      </c>
      <c r="AO156" s="69" t="str">
        <f aca="false">IF($E156="","",IF($M156,IF(AND($G156&gt;=AO$5,$G156&lt;AO$5+GanttPeriod),"◆",IF(AND($E156&gt;=AO$5,$E156&lt;AO$5+GanttPeriod),"◇","")),IF(AND(AO$5&lt;=$F156,AO$5+GanttPeriod-1&gt;=$E156),"━","")))</f>
        <v/>
      </c>
      <c r="AP156" s="69" t="str">
        <f aca="false">IF($E156="","",IF($M156,IF(AND($G156&gt;=AP$5,$G156&lt;AP$5+GanttPeriod),"◆",IF(AND($E156&gt;=AP$5,$E156&lt;AP$5+GanttPeriod),"◇","")),IF(AND(AP$5&lt;=$F156,AP$5+GanttPeriod-1&gt;=$E156),"━","")))</f>
        <v/>
      </c>
      <c r="AQ156" s="69" t="str">
        <f aca="false">IF($E156="","",IF($M156,IF(AND($G156&gt;=AQ$5,$G156&lt;AQ$5+GanttPeriod),"◆",IF(AND($E156&gt;=AQ$5,$E156&lt;AQ$5+GanttPeriod),"◇","")),IF(AND(AQ$5&lt;=$F156,AQ$5+GanttPeriod-1&gt;=$E156),"━","")))</f>
        <v/>
      </c>
      <c r="AR156" s="69" t="str">
        <f aca="false">IF($E156="","",IF($M156,IF(AND($G156&gt;=AR$5,$G156&lt;AR$5+GanttPeriod),"◆",IF(AND($E156&gt;=AR$5,$E156&lt;AR$5+GanttPeriod),"◇","")),IF(AND(AR$5&lt;=$F156,AR$5+GanttPeriod-1&gt;=$E156),"━","")))</f>
        <v/>
      </c>
      <c r="AS156" s="69" t="str">
        <f aca="false">IF($E156="","",IF($M156,IF(AND($G156&gt;=AS$5,$G156&lt;AS$5+GanttPeriod),"◆",IF(AND($E156&gt;=AS$5,$E156&lt;AS$5+GanttPeriod),"◇","")),IF(AND(AS$5&lt;=$F156,AS$5+GanttPeriod-1&gt;=$E156),"━","")))</f>
        <v/>
      </c>
      <c r="AT156" s="69" t="str">
        <f aca="false">IF($E156="","",IF($M156,IF(AND($G156&gt;=AT$5,$G156&lt;AT$5+GanttPeriod),"◆",IF(AND($E156&gt;=AT$5,$E156&lt;AT$5+GanttPeriod),"◇","")),IF(AND(AT$5&lt;=$F156,AT$5+GanttPeriod-1&gt;=$E156),"━","")))</f>
        <v/>
      </c>
      <c r="AU156" s="69" t="str">
        <f aca="false">IF($E156="","",IF($M156,IF(AND($G156&gt;=AU$5,$G156&lt;AU$5+GanttPeriod),"◆",IF(AND($E156&gt;=AU$5,$E156&lt;AU$5+GanttPeriod),"◇","")),IF(AND(AU$5&lt;=$F156,AU$5+GanttPeriod-1&gt;=$E156),"━","")))</f>
        <v/>
      </c>
      <c r="AV156" s="69" t="str">
        <f aca="false">IF($E156="","",IF($M156,IF(AND($G156&gt;=AV$5,$G156&lt;AV$5+GanttPeriod),"◆",IF(AND($E156&gt;=AV$5,$E156&lt;AV$5+GanttPeriod),"◇","")),IF(AND(AV$5&lt;=$F156,AV$5+GanttPeriod-1&gt;=$E156),"━","")))</f>
        <v/>
      </c>
      <c r="AW156" s="69" t="str">
        <f aca="false">IF($E156="","",IF($M156,IF(AND($G156&gt;=AW$5,$G156&lt;AW$5+GanttPeriod),"◆",IF(AND($E156&gt;=AW$5,$E156&lt;AW$5+GanttPeriod),"◇","")),IF(AND(AW$5&lt;=$F156,AW$5+GanttPeriod-1&gt;=$E156),"━","")))</f>
        <v/>
      </c>
      <c r="AX156" s="69" t="str">
        <f aca="false">IF($E156="","",IF($M156,IF(AND($G156&gt;=AX$5,$G156&lt;AX$5+GanttPeriod),"◆",IF(AND($E156&gt;=AX$5,$E156&lt;AX$5+GanttPeriod),"◇","")),IF(AND(AX$5&lt;=$F156,AX$5+GanttPeriod-1&gt;=$E156),"━","")))</f>
        <v/>
      </c>
      <c r="AY156" s="69" t="str">
        <f aca="false">IF($E156="","",IF($M156,IF(AND($G156&gt;=AY$5,$G156&lt;AY$5+GanttPeriod),"◆",IF(AND($E156&gt;=AY$5,$E156&lt;AY$5+GanttPeriod),"◇","")),IF(AND(AY$5&lt;=$F156,AY$5+GanttPeriod-1&gt;=$E156),"━","")))</f>
        <v/>
      </c>
      <c r="AZ156" s="69" t="str">
        <f aca="false">IF($E156="","",IF($M156,IF(AND($G156&gt;=AZ$5,$G156&lt;AZ$5+GanttPeriod),"◆",IF(AND($E156&gt;=AZ$5,$E156&lt;AZ$5+GanttPeriod),"◇","")),IF(AND(AZ$5&lt;=$F156,AZ$5+GanttPeriod-1&gt;=$E156),"━","")))</f>
        <v/>
      </c>
      <c r="BA156" s="69" t="str">
        <f aca="false">IF($E156="","",IF($M156,IF(AND($G156&gt;=BA$5,$G156&lt;BA$5+GanttPeriod),"◆",IF(AND($E156&gt;=BA$5,$E156&lt;BA$5+GanttPeriod),"◇","")),IF(AND(BA$5&lt;=$F156,BA$5+GanttPeriod-1&gt;=$E156),"━","")))</f>
        <v/>
      </c>
      <c r="BB156" s="69" t="str">
        <f aca="false">IF($E156="","",IF($M156,IF(AND($G156&gt;=BB$5,$G156&lt;BB$5+GanttPeriod),"◆",IF(AND($E156&gt;=BB$5,$E156&lt;BB$5+GanttPeriod),"◇","")),IF(AND(BB$5&lt;=$F156,BB$5+GanttPeriod-1&gt;=$E156),"━","")))</f>
        <v/>
      </c>
      <c r="BC156" s="69" t="str">
        <f aca="false">IF($E156="","",IF($M156,IF(AND($G156&gt;=BC$5,$G156&lt;BC$5+GanttPeriod),"◆",IF(AND($E156&gt;=BC$5,$E156&lt;BC$5+GanttPeriod),"◇","")),IF(AND(BC$5&lt;=$F156,BC$5+GanttPeriod-1&gt;=$E156),"━","")))</f>
        <v/>
      </c>
      <c r="BD156" s="69" t="str">
        <f aca="false">IF($E156="","",IF($M156,IF(AND($G156&gt;=BD$5,$G156&lt;BD$5+GanttPeriod),"◆",IF(AND($E156&gt;=BD$5,$E156&lt;BD$5+GanttPeriod),"◇","")),IF(AND(BD$5&lt;=$F156,BD$5+GanttPeriod-1&gt;=$E156),"━","")))</f>
        <v/>
      </c>
      <c r="BE156" s="69" t="str">
        <f aca="false">IF($E156="","",IF($M156,IF(AND($G156&gt;=BE$5,$G156&lt;BE$5+GanttPeriod),"◆",IF(AND($E156&gt;=BE$5,$E156&lt;BE$5+GanttPeriod),"◇","")),IF(AND(BE$5&lt;=$F156,BE$5+GanttPeriod-1&gt;=$E156),"━","")))</f>
        <v/>
      </c>
      <c r="BF156" s="69" t="str">
        <f aca="false">IF($E156="","",IF($M156,IF(AND($G156&gt;=BF$5,$G156&lt;BF$5+GanttPeriod),"◆",IF(AND($E156&gt;=BF$5,$E156&lt;BF$5+GanttPeriod),"◇","")),IF(AND(BF$5&lt;=$F156,BF$5+GanttPeriod-1&gt;=$E156),"━","")))</f>
        <v/>
      </c>
      <c r="BG156" s="69" t="str">
        <f aca="false">IF($E156="","",IF($M156,IF(AND($G156&gt;=BG$5,$G156&lt;BG$5+GanttPeriod),"◆",IF(AND($E156&gt;=BG$5,$E156&lt;BG$5+GanttPeriod),"◇","")),IF(AND(BG$5&lt;=$F156,BG$5+GanttPeriod-1&gt;=$E156),"━","")))</f>
        <v/>
      </c>
      <c r="BH156" s="69" t="str">
        <f aca="false">IF($E156="","",IF($M156,IF(AND($G156&gt;=BH$5,$G156&lt;BH$5+GanttPeriod),"◆",IF(AND($E156&gt;=BH$5,$E156&lt;BH$5+GanttPeriod),"◇","")),IF(AND(BH$5&lt;=$F156,BH$5+GanttPeriod-1&gt;=$E156),"━","")))</f>
        <v/>
      </c>
      <c r="BI156" s="69" t="str">
        <f aca="false">IF($E156="","",IF($M156,IF(AND($G156&gt;=BI$5,$G156&lt;BI$5+GanttPeriod),"◆",IF(AND($E156&gt;=BI$5,$E156&lt;BI$5+GanttPeriod),"◇","")),IF(AND(BI$5&lt;=$F156,BI$5+GanttPeriod-1&gt;=$E156),"━","")))</f>
        <v/>
      </c>
      <c r="BJ156" s="69" t="str">
        <f aca="false">IF($E156="","",IF($M156,IF(AND($G156&gt;=BJ$5,$G156&lt;BJ$5+GanttPeriod),"◆",IF(AND($E156&gt;=BJ$5,$E156&lt;BJ$5+GanttPeriod),"◇","")),IF(AND(BJ$5&lt;=$F156,BJ$5+GanttPeriod-1&gt;=$E156),"━","")))</f>
        <v/>
      </c>
      <c r="BK156" s="69" t="str">
        <f aca="false">IF($E156="","",IF($M156,IF(AND($G156&gt;=BK$5,$G156&lt;BK$5+GanttPeriod),"◆",IF(AND($E156&gt;=BK$5,$E156&lt;BK$5+GanttPeriod),"◇","")),IF(AND(BK$5&lt;=$F156,BK$5+GanttPeriod-1&gt;=$E156),"━","")))</f>
        <v/>
      </c>
      <c r="BL156" s="69" t="str">
        <f aca="false">IF($E156="","",IF($M156,IF(AND($G156&gt;=BL$5,$G156&lt;BL$5+GanttPeriod),"◆",IF(AND($E156&gt;=BL$5,$E156&lt;BL$5+GanttPeriod),"◇","")),IF(AND(BL$5&lt;=$F156,BL$5+GanttPeriod-1&gt;=$E156),"━","")))</f>
        <v/>
      </c>
      <c r="BM156" s="69" t="str">
        <f aca="false">IF($E156="","",IF($M156,IF(AND($G156&gt;=BM$5,$G156&lt;BM$5+GanttPeriod),"◆",IF(AND($E156&gt;=BM$5,$E156&lt;BM$5+GanttPeriod),"◇","")),IF(AND(BM$5&lt;=$F156,BM$5+GanttPeriod-1&gt;=$E156),"━","")))</f>
        <v/>
      </c>
      <c r="BN156" s="69" t="str">
        <f aca="false">IF($E156="","",IF($M156,IF(AND($G156&gt;=BN$5,$G156&lt;BN$5+GanttPeriod),"◆",IF(AND($E156&gt;=BN$5,$E156&lt;BN$5+GanttPeriod),"◇","")),IF(AND(BN$5&lt;=$F156,BN$5+GanttPeriod-1&gt;=$E156),"━","")))</f>
        <v/>
      </c>
      <c r="BO156" s="69" t="str">
        <f aca="false">IF($E156="","",IF($M156,IF(AND($G156&gt;=BO$5,$G156&lt;BO$5+GanttPeriod),"◆",IF(AND($E156&gt;=BO$5,$E156&lt;BO$5+GanttPeriod),"◇","")),IF(AND(BO$5&lt;=$F156,BO$5+GanttPeriod-1&gt;=$E156),"━","")))</f>
        <v/>
      </c>
      <c r="BP156" s="69" t="str">
        <f aca="false">IF($E156="","",IF($M156,IF(AND($G156&gt;=BP$5,$G156&lt;BP$5+GanttPeriod),"◆",IF(AND($E156&gt;=BP$5,$E156&lt;BP$5+GanttPeriod),"◇","")),IF(AND(BP$5&lt;=$F156,BP$5+GanttPeriod-1&gt;=$E156),"━","")))</f>
        <v/>
      </c>
      <c r="BQ156" s="69" t="str">
        <f aca="false">IF($E156="","",IF($M156,IF(AND($G156&gt;=BQ$5,$G156&lt;BQ$5+GanttPeriod),"◆",IF(AND($E156&gt;=BQ$5,$E156&lt;BQ$5+GanttPeriod),"◇","")),IF(AND(BQ$5&lt;=$F156,BQ$5+GanttPeriod-1&gt;=$E156),"━","")))</f>
        <v/>
      </c>
      <c r="BR156" s="69" t="str">
        <f aca="false">IF($E156="","",IF($M156,IF(AND($G156&gt;=BR$5,$G156&lt;BR$5+GanttPeriod),"◆",IF(AND($E156&gt;=BR$5,$E156&lt;BR$5+GanttPeriod),"◇","")),IF(AND(BR$5&lt;=$F156,BR$5+GanttPeriod-1&gt;=$E156),"━","")))</f>
        <v/>
      </c>
      <c r="BS156" s="69" t="str">
        <f aca="false">IF($E156="","",IF($M156,IF(AND($G156&gt;=BS$5,$G156&lt;BS$5+GanttPeriod),"◆",IF(AND($E156&gt;=BS$5,$E156&lt;BS$5+GanttPeriod),"◇","")),IF(AND(BS$5&lt;=$F156,BS$5+GanttPeriod-1&gt;=$E156),"━","")))</f>
        <v/>
      </c>
      <c r="BT156" s="69" t="str">
        <f aca="false">IF($E156="","",IF($M156,IF(AND($G156&gt;=BT$5,$G156&lt;BT$5+GanttPeriod),"◆",IF(AND($E156&gt;=BT$5,$E156&lt;BT$5+GanttPeriod),"◇","")),IF(AND(BT$5&lt;=$F156,BT$5+GanttPeriod-1&gt;=$E156),"━","")))</f>
        <v/>
      </c>
      <c r="BU156" s="69" t="str">
        <f aca="false">IF($E156="","",IF($M156,IF(AND($G156&gt;=BU$5,$G156&lt;BU$5+GanttPeriod),"◆",IF(AND($E156&gt;=BU$5,$E156&lt;BU$5+GanttPeriod),"◇","")),IF(AND(BU$5&lt;=$F156,BU$5+GanttPeriod-1&gt;=$E156),"━","")))</f>
        <v/>
      </c>
      <c r="BV156" s="69" t="str">
        <f aca="false">IF($E156="","",IF($M156,IF(AND($G156&gt;=BV$5,$G156&lt;BV$5+GanttPeriod),"◆",IF(AND($E156&gt;=BV$5,$E156&lt;BV$5+GanttPeriod),"◇","")),IF(AND(BV$5&lt;=$F156,BV$5+GanttPeriod-1&gt;=$E156),"━","")))</f>
        <v/>
      </c>
      <c r="BW156" s="69" t="str">
        <f aca="false">IF($E156="","",IF($M156,IF(AND($G156&gt;=BW$5,$G156&lt;BW$5+GanttPeriod),"◆",IF(AND($E156&gt;=BW$5,$E156&lt;BW$5+GanttPeriod),"◇","")),IF(AND(BW$5&lt;=$F156,BW$5+GanttPeriod-1&gt;=$E156),"━","")))</f>
        <v/>
      </c>
      <c r="BX156" s="69" t="str">
        <f aca="false">IF($E156="","",IF($M156,IF(AND($G156&gt;=BX$5,$G156&lt;BX$5+GanttPeriod),"◆",IF(AND($E156&gt;=BX$5,$E156&lt;BX$5+GanttPeriod),"◇","")),IF(AND(BX$5&lt;=$F156,BX$5+GanttPeriod-1&gt;=$E156),"━","")))</f>
        <v/>
      </c>
      <c r="BY156" s="69" t="str">
        <f aca="false">IF($E156="","",IF($M156,IF(AND($G156&gt;=BY$5,$G156&lt;BY$5+GanttPeriod),"◆",IF(AND($E156&gt;=BY$5,$E156&lt;BY$5+GanttPeriod),"◇","")),IF(AND(BY$5&lt;=$F156,BY$5+GanttPeriod-1&gt;=$E156),"━","")))</f>
        <v/>
      </c>
      <c r="BZ156" s="69" t="str">
        <f aca="false">IF($E156="","",IF($M156,IF(AND($G156&gt;=BZ$5,$G156&lt;BZ$5+GanttPeriod),"◆",IF(AND($E156&gt;=BZ$5,$E156&lt;BZ$5+GanttPeriod),"◇","")),IF(AND(BZ$5&lt;=$F156,BZ$5+GanttPeriod-1&gt;=$E156),"━","")))</f>
        <v/>
      </c>
      <c r="CA156" s="69" t="str">
        <f aca="false">IF($E156="","",IF($M156,IF(AND($G156&gt;=CA$5,$G156&lt;CA$5+GanttPeriod),"◆",IF(AND($E156&gt;=CA$5,$E156&lt;CA$5+GanttPeriod),"◇","")),IF(AND(CA$5&lt;=$F156,CA$5+GanttPeriod-1&gt;=$E156),"━","")))</f>
        <v/>
      </c>
      <c r="CB156" s="69" t="str">
        <f aca="false">IF($E156="","",IF($M156,IF(AND($G156&gt;=CB$5,$G156&lt;CB$5+GanttPeriod),"◆",IF(AND($E156&gt;=CB$5,$E156&lt;CB$5+GanttPeriod),"◇","")),IF(AND(CB$5&lt;=$F156,CB$5+GanttPeriod-1&gt;=$E156),"━","")))</f>
        <v/>
      </c>
      <c r="CC156" s="69" t="str">
        <f aca="false">IF($E156="","",IF($M156,IF(AND($G156&gt;=CC$5,$G156&lt;CC$5+GanttPeriod),"◆",IF(AND($E156&gt;=CC$5,$E156&lt;CC$5+GanttPeriod),"◇","")),IF(AND(CC$5&lt;=$F156,CC$5+GanttPeriod-1&gt;=$E156),"━","")))</f>
        <v/>
      </c>
      <c r="CD156" s="69" t="str">
        <f aca="false">IF($E156="","",IF($M156,IF(AND($G156&gt;=CD$5,$G156&lt;CD$5+GanttPeriod),"◆",IF(AND($E156&gt;=CD$5,$E156&lt;CD$5+GanttPeriod),"◇","")),IF(AND(CD$5&lt;=$F156,CD$5+GanttPeriod-1&gt;=$E156),"━","")))</f>
        <v/>
      </c>
      <c r="CE156" s="69" t="str">
        <f aca="false">IF($E156="","",IF($M156,IF(AND($G156&gt;=CE$5,$G156&lt;CE$5+GanttPeriod),"◆",IF(AND($E156&gt;=CE$5,$E156&lt;CE$5+GanttPeriod),"◇","")),IF(AND(CE$5&lt;=$F156,CE$5+GanttPeriod-1&gt;=$E156),"━","")))</f>
        <v/>
      </c>
      <c r="CF156" s="69" t="str">
        <f aca="false">IF($E156="","",IF($M156,IF(AND($G156&gt;=CF$5,$G156&lt;CF$5+GanttPeriod),"◆",IF(AND($E156&gt;=CF$5,$E156&lt;CF$5+GanttPeriod),"◇","")),IF(AND(CF$5&lt;=$F156,CF$5+GanttPeriod-1&gt;=$E156),"━","")))</f>
        <v/>
      </c>
      <c r="CG156" s="69" t="str">
        <f aca="false">IF($E156="","",IF($M156,IF(AND($G156&gt;=CG$5,$G156&lt;CG$5+GanttPeriod),"◆",IF(AND($E156&gt;=CG$5,$E156&lt;CG$5+GanttPeriod),"◇","")),IF(AND(CG$5&lt;=$F156,CG$5+GanttPeriod-1&gt;=$E156),"━","")))</f>
        <v/>
      </c>
      <c r="CH156" s="69" t="str">
        <f aca="false">IF($E156="","",IF($M156,IF(AND($G156&gt;=CH$5,$G156&lt;CH$5+GanttPeriod),"◆",IF(AND($E156&gt;=CH$5,$E156&lt;CH$5+GanttPeriod),"◇","")),IF(AND(CH$5&lt;=$F156,CH$5+GanttPeriod-1&gt;=$E156),"━","")))</f>
        <v/>
      </c>
      <c r="CI156" s="69" t="str">
        <f aca="false">IF($E156="","",IF($M156,IF(AND($G156&gt;=CI$5,$G156&lt;CI$5+GanttPeriod),"◆",IF(AND($E156&gt;=CI$5,$E156&lt;CI$5+GanttPeriod),"◇","")),IF(AND(CI$5&lt;=$F156,CI$5+GanttPeriod-1&gt;=$E156),"━","")))</f>
        <v/>
      </c>
      <c r="CJ156" s="69" t="str">
        <f aca="false">IF($E156="","",IF($M156,IF(AND($G156&gt;=CJ$5,$G156&lt;CJ$5+GanttPeriod),"◆",IF(AND($E156&gt;=CJ$5,$E156&lt;CJ$5+GanttPeriod),"◇","")),IF(AND(CJ$5&lt;=$F156,CJ$5+GanttPeriod-1&gt;=$E156),"━","")))</f>
        <v/>
      </c>
      <c r="CK156" s="69" t="str">
        <f aca="false">IF($E156="","",IF($M156,IF(AND($G156&gt;=CK$5,$G156&lt;CK$5+GanttPeriod),"◆",IF(AND($E156&gt;=CK$5,$E156&lt;CK$5+GanttPeriod),"◇","")),IF(AND(CK$5&lt;=$F156,CK$5+GanttPeriod-1&gt;=$E156),"━","")))</f>
        <v/>
      </c>
      <c r="CL156" s="69" t="str">
        <f aca="false">IF($E156="","",IF($M156,IF(AND($G156&gt;=CL$5,$G156&lt;CL$5+GanttPeriod),"◆",IF(AND($E156&gt;=CL$5,$E156&lt;CL$5+GanttPeriod),"◇","")),IF(AND(CL$5&lt;=$F156,CL$5+GanttPeriod-1&gt;=$E156),"━","")))</f>
        <v/>
      </c>
      <c r="CM156" s="69" t="str">
        <f aca="false">IF($E156="","",IF($M156,IF(AND($G156&gt;=CM$5,$G156&lt;CM$5+GanttPeriod),"◆",IF(AND($E156&gt;=CM$5,$E156&lt;CM$5+GanttPeriod),"◇","")),IF(AND(CM$5&lt;=$F156,CM$5+GanttPeriod-1&gt;=$E156),"━","")))</f>
        <v/>
      </c>
      <c r="CN156" s="69" t="str">
        <f aca="false">IF($E156="","",IF($M156,IF(AND($G156&gt;=CN$5,$G156&lt;CN$5+GanttPeriod),"◆",IF(AND($E156&gt;=CN$5,$E156&lt;CN$5+GanttPeriod),"◇","")),IF(AND(CN$5&lt;=$F156,CN$5+GanttPeriod-1&gt;=$E156),"━","")))</f>
        <v/>
      </c>
      <c r="CO156" s="69" t="str">
        <f aca="false">IF($E156="","",IF($M156,IF(AND($G156&gt;=CO$5,$G156&lt;CO$5+GanttPeriod),"◆",IF(AND($E156&gt;=CO$5,$E156&lt;CO$5+GanttPeriod),"◇","")),IF(AND(CO$5&lt;=$F156,CO$5+GanttPeriod-1&gt;=$E156),"━","")))</f>
        <v/>
      </c>
      <c r="CP156" s="69" t="str">
        <f aca="false">IF($E156="","",IF($M156,IF(AND($G156&gt;=CP$5,$G156&lt;CP$5+GanttPeriod),"◆",IF(AND($E156&gt;=CP$5,$E156&lt;CP$5+GanttPeriod),"◇","")),IF(AND(CP$5&lt;=$F156,CP$5+GanttPeriod-1&gt;=$E156),"━","")))</f>
        <v/>
      </c>
      <c r="CQ156" s="69" t="str">
        <f aca="false">IF($E156="","",IF($M156,IF(AND($G156&gt;=CQ$5,$G156&lt;CQ$5+GanttPeriod),"◆",IF(AND($E156&gt;=CQ$5,$E156&lt;CQ$5+GanttPeriod),"◇","")),IF(AND(CQ$5&lt;=$F156,CQ$5+GanttPeriod-1&gt;=$E156),"━","")))</f>
        <v/>
      </c>
      <c r="CR156" s="69" t="str">
        <f aca="false">IF($E156="","",IF($M156,IF(AND($G156&gt;=CR$5,$G156&lt;CR$5+GanttPeriod),"◆",IF(AND($E156&gt;=CR$5,$E156&lt;CR$5+GanttPeriod),"◇","")),IF(AND(CR$5&lt;=$F156,CR$5+GanttPeriod-1&gt;=$E156),"━","")))</f>
        <v/>
      </c>
      <c r="CS156" s="69" t="str">
        <f aca="false">IF($E156="","",IF($M156,IF(AND($G156&gt;=CS$5,$G156&lt;CS$5+GanttPeriod),"◆",IF(AND($E156&gt;=CS$5,$E156&lt;CS$5+GanttPeriod),"◇","")),IF(AND(CS$5&lt;=$F156,CS$5+GanttPeriod-1&gt;=$E156),"━","")))</f>
        <v/>
      </c>
      <c r="CT156" s="69" t="str">
        <f aca="false">IF($E156="","",IF($M156,IF(AND($G156&gt;=CT$5,$G156&lt;CT$5+GanttPeriod),"◆",IF(AND($E156&gt;=CT$5,$E156&lt;CT$5+GanttPeriod),"◇","")),IF(AND(CT$5&lt;=$F156,CT$5+GanttPeriod-1&gt;=$E156),"━","")))</f>
        <v/>
      </c>
      <c r="CU156" s="69" t="str">
        <f aca="false">IF($E156="","",IF($M156,IF(AND($G156&gt;=CU$5,$G156&lt;CU$5+GanttPeriod),"◆",IF(AND($E156&gt;=CU$5,$E156&lt;CU$5+GanttPeriod),"◇","")),IF(AND(CU$5&lt;=$F156,CU$5+GanttPeriod-1&gt;=$E156),"━","")))</f>
        <v/>
      </c>
      <c r="CV156" s="69" t="str">
        <f aca="false">IF($E156="","",IF($M156,IF(AND($G156&gt;=CV$5,$G156&lt;CV$5+GanttPeriod),"◆",IF(AND($E156&gt;=CV$5,$E156&lt;CV$5+GanttPeriod),"◇","")),IF(AND(CV$5&lt;=$F156,CV$5+GanttPeriod-1&gt;=$E156),"━","")))</f>
        <v/>
      </c>
      <c r="CW156" s="69" t="str">
        <f aca="false">IF($E156="","",IF($M156,IF(AND($G156&gt;=CW$5,$G156&lt;CW$5+GanttPeriod),"◆",IF(AND($E156&gt;=CW$5,$E156&lt;CW$5+GanttPeriod),"◇","")),IF(AND(CW$5&lt;=$F156,CW$5+GanttPeriod-1&gt;=$E156),"━","")))</f>
        <v/>
      </c>
      <c r="CX156" s="69" t="str">
        <f aca="false">IF($E156="","",IF($M156,IF(AND($G156&gt;=CX$5,$G156&lt;CX$5+GanttPeriod),"◆",IF(AND($E156&gt;=CX$5,$E156&lt;CX$5+GanttPeriod),"◇","")),IF(AND(CX$5&lt;=$F156,CX$5+GanttPeriod-1&gt;=$E156),"━","")))</f>
        <v/>
      </c>
      <c r="CY156" s="69" t="str">
        <f aca="false">IF($E156="","",IF($M156,IF(AND($G156&gt;=CY$5,$G156&lt;CY$5+GanttPeriod),"◆",IF(AND($E156&gt;=CY$5,$E156&lt;CY$5+GanttPeriod),"◇","")),IF(AND(CY$5&lt;=$F156,CY$5+GanttPeriod-1&gt;=$E156),"━","")))</f>
        <v/>
      </c>
      <c r="CZ156" s="69" t="str">
        <f aca="false">IF($E156="","",IF($M156,IF(AND($G156&gt;=CZ$5,$G156&lt;CZ$5+GanttPeriod),"◆",IF(AND($E156&gt;=CZ$5,$E156&lt;CZ$5+GanttPeriod),"◇","")),IF(AND(CZ$5&lt;=$F156,CZ$5+GanttPeriod-1&gt;=$E156),"━","")))</f>
        <v/>
      </c>
      <c r="DA156" s="69" t="str">
        <f aca="false">IF($E156="","",IF($M156,IF(AND($G156&gt;=DA$5,$G156&lt;DA$5+GanttPeriod),"◆",IF(AND($E156&gt;=DA$5,$E156&lt;DA$5+GanttPeriod),"◇","")),IF(AND(DA$5&lt;=$F156,DA$5+GanttPeriod-1&gt;=$E156),"━","")))</f>
        <v/>
      </c>
      <c r="DB156" s="69" t="str">
        <f aca="false">IF($E156="","",IF($M156,IF(AND($G156&gt;=DB$5,$G156&lt;DB$5+GanttPeriod),"◆",IF(AND($E156&gt;=DB$5,$E156&lt;DB$5+GanttPeriod),"◇","")),IF(AND(DB$5&lt;=$F156,DB$5+GanttPeriod-1&gt;=$E156),"━","")))</f>
        <v/>
      </c>
      <c r="DC156" s="69" t="str">
        <f aca="false">IF($E156="","",IF($M156,IF(AND($G156&gt;=DC$5,$G156&lt;DC$5+GanttPeriod),"◆",IF(AND($E156&gt;=DC$5,$E156&lt;DC$5+GanttPeriod),"◇","")),IF(AND(DC$5&lt;=$F156,DC$5+GanttPeriod-1&gt;=$E156),"━","")))</f>
        <v/>
      </c>
      <c r="DD156" s="69" t="str">
        <f aca="false">IF($E156="","",IF($M156,IF(AND($G156&gt;=DD$5,$G156&lt;DD$5+GanttPeriod),"◆",IF(AND($E156&gt;=DD$5,$E156&lt;DD$5+GanttPeriod),"◇","")),IF(AND(DD$5&lt;=$F156,DD$5+GanttPeriod-1&gt;=$E156),"━","")))</f>
        <v/>
      </c>
      <c r="DE156" s="69" t="str">
        <f aca="false">IF($E156="","",IF($M156,IF(AND($G156&gt;=DE$5,$G156&lt;DE$5+GanttPeriod),"◆",IF(AND($E156&gt;=DE$5,$E156&lt;DE$5+GanttPeriod),"◇","")),IF(AND(DE$5&lt;=$F156,DE$5+GanttPeriod-1&gt;=$E156),"━","")))</f>
        <v/>
      </c>
      <c r="DF156" s="69" t="str">
        <f aca="false">IF($E156="","",IF($M156,IF(AND($G156&gt;=DF$5,$G156&lt;DF$5+GanttPeriod),"◆",IF(AND($E156&gt;=DF$5,$E156&lt;DF$5+GanttPeriod),"◇","")),IF(AND(DF$5&lt;=$F156,DF$5+GanttPeriod-1&gt;=$E156),"━","")))</f>
        <v/>
      </c>
      <c r="DG156" s="69" t="str">
        <f aca="false">IF($E156="","",IF($M156,IF(AND($G156&gt;=DG$5,$G156&lt;DG$5+GanttPeriod),"◆",IF(AND($E156&gt;=DG$5,$E156&lt;DG$5+GanttPeriod),"◇","")),IF(AND(DG$5&lt;=$F156,DG$5+GanttPeriod-1&gt;=$E156),"━","")))</f>
        <v/>
      </c>
      <c r="DH156" s="69" t="str">
        <f aca="false">IF($E156="","",IF($M156,IF(AND($G156&gt;=DH$5,$G156&lt;DH$5+GanttPeriod),"◆",IF(AND($E156&gt;=DH$5,$E156&lt;DH$5+GanttPeriod),"◇","")),IF(AND(DH$5&lt;=$F156,DH$5+GanttPeriod-1&gt;=$E156),"━","")))</f>
        <v/>
      </c>
      <c r="DI156" s="69" t="str">
        <f aca="false">IF($E156="","",IF($M156,IF(AND($G156&gt;=DI$5,$G156&lt;DI$5+GanttPeriod),"◆",IF(AND($E156&gt;=DI$5,$E156&lt;DI$5+GanttPeriod),"◇","")),IF(AND(DI$5&lt;=$F156,DI$5+GanttPeriod-1&gt;=$E156),"━","")))</f>
        <v/>
      </c>
      <c r="DJ156" s="69" t="str">
        <f aca="false">IF($E156="","",IF($M156,IF(AND($G156&gt;=DJ$5,$G156&lt;DJ$5+GanttPeriod),"◆",IF(AND($E156&gt;=DJ$5,$E156&lt;DJ$5+GanttPeriod),"◇","")),IF(AND(DJ$5&lt;=$F156,DJ$5+GanttPeriod-1&gt;=$E156),"━","")))</f>
        <v/>
      </c>
      <c r="DK156" s="69" t="str">
        <f aca="false">IF($E156="","",IF($M156,IF(AND($G156&gt;=DK$5,$G156&lt;DK$5+GanttPeriod),"◆",IF(AND($E156&gt;=DK$5,$E156&lt;DK$5+GanttPeriod),"◇","")),IF(AND(DK$5&lt;=$F156,DK$5+GanttPeriod-1&gt;=$E156),"━","")))</f>
        <v/>
      </c>
      <c r="DL156" s="69" t="str">
        <f aca="false">IF($E156="","",IF($M156,IF(AND($G156&gt;=DL$5,$G156&lt;DL$5+GanttPeriod),"◆",IF(AND($E156&gt;=DL$5,$E156&lt;DL$5+GanttPeriod),"◇","")),IF(AND(DL$5&lt;=$F156,DL$5+GanttPeriod-1&gt;=$E156),"━","")))</f>
        <v/>
      </c>
      <c r="DM156" s="69" t="str">
        <f aca="false">IF($E156="","",IF($M156,IF(AND($G156&gt;=DM$5,$G156&lt;DM$5+GanttPeriod),"◆",IF(AND($E156&gt;=DM$5,$E156&lt;DM$5+GanttPeriod),"◇","")),IF(AND(DM$5&lt;=$F156,DM$5+GanttPeriod-1&gt;=$E156),"━","")))</f>
        <v/>
      </c>
      <c r="DN156" s="69" t="str">
        <f aca="false">IF($E156="","",IF($M156,IF(AND($G156&gt;=DN$5,$G156&lt;DN$5+GanttPeriod),"◆",IF(AND($E156&gt;=DN$5,$E156&lt;DN$5+GanttPeriod),"◇","")),IF(AND(DN$5&lt;=$F156,DN$5+GanttPeriod-1&gt;=$E156),"━","")))</f>
        <v/>
      </c>
      <c r="DO156" s="69" t="str">
        <f aca="false">IF($E156="","",IF($M156,IF(AND($G156&gt;=DO$5,$G156&lt;DO$5+GanttPeriod),"◆",IF(AND($E156&gt;=DO$5,$E156&lt;DO$5+GanttPeriod),"◇","")),IF(AND(DO$5&lt;=$F156,DO$5+GanttPeriod-1&gt;=$E156),"━","")))</f>
        <v/>
      </c>
      <c r="DP156" s="69" t="str">
        <f aca="false">IF($E156="","",IF($M156,IF(AND($G156&gt;=DP$5,$G156&lt;DP$5+GanttPeriod),"◆",IF(AND($E156&gt;=DP$5,$E156&lt;DP$5+GanttPeriod),"◇","")),IF(AND(DP$5&lt;=$F156,DP$5+GanttPeriod-1&gt;=$E156),"━","")))</f>
        <v/>
      </c>
      <c r="DQ156" s="69" t="str">
        <f aca="false">IF($E156="","",IF($M156,IF(AND($G156&gt;=DQ$5,$G156&lt;DQ$5+GanttPeriod),"◆",IF(AND($E156&gt;=DQ$5,$E156&lt;DQ$5+GanttPeriod),"◇","")),IF(AND(DQ$5&lt;=$F156,DQ$5+GanttPeriod-1&gt;=$E156),"━","")))</f>
        <v/>
      </c>
      <c r="DR156" s="69" t="str">
        <f aca="false">IF($E156="","",IF($M156,IF(AND($G156&gt;=DR$5,$G156&lt;DR$5+GanttPeriod),"◆",IF(AND($E156&gt;=DR$5,$E156&lt;DR$5+GanttPeriod),"◇","")),IF(AND(DR$5&lt;=$F156,DR$5+GanttPeriod-1&gt;=$E156),"━","")))</f>
        <v/>
      </c>
      <c r="DS156" s="69" t="str">
        <f aca="false">IF($E156="","",IF($M156,IF(AND($G156&gt;=DS$5,$G156&lt;DS$5+GanttPeriod),"◆",IF(AND($E156&gt;=DS$5,$E156&lt;DS$5+GanttPeriod),"◇","")),IF(AND(DS$5&lt;=$F156,DS$5+GanttPeriod-1&gt;=$E156),"━","")))</f>
        <v/>
      </c>
      <c r="DT156" s="69" t="str">
        <f aca="false">IF($E156="","",IF($M156,IF(AND($G156&gt;=DT$5,$G156&lt;DT$5+GanttPeriod),"◆",IF(AND($E156&gt;=DT$5,$E156&lt;DT$5+GanttPeriod),"◇","")),IF(AND(DT$5&lt;=$F156,DT$5+GanttPeriod-1&gt;=$E156),"━","")))</f>
        <v/>
      </c>
      <c r="DU156" s="69" t="str">
        <f aca="false">IF($E156="","",IF($M156,IF(AND($G156&gt;=DU$5,$G156&lt;DU$5+GanttPeriod),"◆",IF(AND($E156&gt;=DU$5,$E156&lt;DU$5+GanttPeriod),"◇","")),IF(AND(DU$5&lt;=$F156,DU$5+GanttPeriod-1&gt;=$E156),"━","")))</f>
        <v/>
      </c>
      <c r="DV156" s="69" t="str">
        <f aca="false">IF($E156="","",IF($M156,IF(AND($G156&gt;=DV$5,$G156&lt;DV$5+GanttPeriod),"◆",IF(AND($E156&gt;=DV$5,$E156&lt;DV$5+GanttPeriod),"◇","")),IF(AND(DV$5&lt;=$F156,DV$5+GanttPeriod-1&gt;=$E156),"━","")))</f>
        <v/>
      </c>
      <c r="DW156" s="69" t="str">
        <f aca="false">IF($E156="","",IF($M156,IF(AND($G156&gt;=DW$5,$G156&lt;DW$5+GanttPeriod),"◆",IF(AND($E156&gt;=DW$5,$E156&lt;DW$5+GanttPeriod),"◇","")),IF(AND(DW$5&lt;=$F156,DW$5+GanttPeriod-1&gt;=$E156),"━","")))</f>
        <v/>
      </c>
      <c r="DX156" s="69" t="str">
        <f aca="false">IF($E156="","",IF($M156,IF(AND($G156&gt;=DX$5,$G156&lt;DX$5+GanttPeriod),"◆",IF(AND($E156&gt;=DX$5,$E156&lt;DX$5+GanttPeriod),"◇","")),IF(AND(DX$5&lt;=$F156,DX$5+GanttPeriod-1&gt;=$E156),"━","")))</f>
        <v/>
      </c>
      <c r="DY156" s="69" t="str">
        <f aca="false">IF($E156="","",IF($M156,IF(AND($G156&gt;=DY$5,$G156&lt;DY$5+GanttPeriod),"◆",IF(AND($E156&gt;=DY$5,$E156&lt;DY$5+GanttPeriod),"◇","")),IF(AND(DY$5&lt;=$F156,DY$5+GanttPeriod-1&gt;=$E156),"━","")))</f>
        <v/>
      </c>
      <c r="DZ156" s="69" t="str">
        <f aca="false">IF($E156="","",IF($M156,IF(AND($G156&gt;=DZ$5,$G156&lt;DZ$5+GanttPeriod),"◆",IF(AND($E156&gt;=DZ$5,$E156&lt;DZ$5+GanttPeriod),"◇","")),IF(AND(DZ$5&lt;=$F156,DZ$5+GanttPeriod-1&gt;=$E156),"━","")))</f>
        <v/>
      </c>
      <c r="EA156" s="69" t="str">
        <f aca="false">IF($E156="","",IF($M156,IF(AND($G156&gt;=EA$5,$G156&lt;EA$5+GanttPeriod),"◆",IF(AND($E156&gt;=EA$5,$E156&lt;EA$5+GanttPeriod),"◇","")),IF(AND(EA$5&lt;=$F156,EA$5+GanttPeriod-1&gt;=$E156),"━","")))</f>
        <v/>
      </c>
      <c r="EB156" s="69" t="str">
        <f aca="false">IF($E156="","",IF($M156,IF(AND($G156&gt;=EB$5,$G156&lt;EB$5+GanttPeriod),"◆",IF(AND($E156&gt;=EB$5,$E156&lt;EB$5+GanttPeriod),"◇","")),IF(AND(EB$5&lt;=$F156,EB$5+GanttPeriod-1&gt;=$E156),"━","")))</f>
        <v/>
      </c>
      <c r="EC156" s="69" t="str">
        <f aca="false">IF($E156="","",IF($M156,IF(AND($G156&gt;=EC$5,$G156&lt;EC$5+GanttPeriod),"◆",IF(AND($E156&gt;=EC$5,$E156&lt;EC$5+GanttPeriod),"◇","")),IF(AND(EC$5&lt;=$F156,EC$5+GanttPeriod-1&gt;=$E156),"━","")))</f>
        <v/>
      </c>
      <c r="ED156" s="69" t="str">
        <f aca="false">IF($E156="","",IF($M156,IF(AND($G156&gt;=ED$5,$G156&lt;ED$5+GanttPeriod),"◆",IF(AND($E156&gt;=ED$5,$E156&lt;ED$5+GanttPeriod),"◇","")),IF(AND(ED$5&lt;=$F156,ED$5+GanttPeriod-1&gt;=$E156),"━","")))</f>
        <v/>
      </c>
      <c r="EE156" s="69" t="str">
        <f aca="false">IF($E156="","",IF($M156,IF(AND($G156&gt;=EE$5,$G156&lt;EE$5+GanttPeriod),"◆",IF(AND($E156&gt;=EE$5,$E156&lt;EE$5+GanttPeriod),"◇","")),IF(AND(EE$5&lt;=$F156,EE$5+GanttPeriod-1&gt;=$E156),"━","")))</f>
        <v/>
      </c>
      <c r="EF156" s="69" t="str">
        <f aca="false">IF($E156="","",IF($M156,IF(AND($G156&gt;=EF$5,$G156&lt;EF$5+GanttPeriod),"◆",IF(AND($E156&gt;=EF$5,$E156&lt;EF$5+GanttPeriod),"◇","")),IF(AND(EF$5&lt;=$F156,EF$5+GanttPeriod-1&gt;=$E156),"━","")))</f>
        <v/>
      </c>
      <c r="EG156" s="69" t="str">
        <f aca="false">IF($E156="","",IF($M156,IF(AND($G156&gt;=EG$5,$G156&lt;EG$5+GanttPeriod),"◆",IF(AND($E156&gt;=EG$5,$E156&lt;EG$5+GanttPeriod),"◇","")),IF(AND(EG$5&lt;=$F156,EG$5+GanttPeriod-1&gt;=$E156),"━","")))</f>
        <v/>
      </c>
      <c r="EH156" s="69" t="str">
        <f aca="false">IF($E156="","",IF($M156,IF(AND($G156&gt;=EH$5,$G156&lt;EH$5+GanttPeriod),"◆",IF(AND($E156&gt;=EH$5,$E156&lt;EH$5+GanttPeriod),"◇","")),IF(AND(EH$5&lt;=$F156,EH$5+GanttPeriod-1&gt;=$E156),"━","")))</f>
        <v/>
      </c>
      <c r="EI156" s="69" t="str">
        <f aca="false">IF($E156="","",IF($M156,IF(AND($G156&gt;=EI$5,$G156&lt;EI$5+GanttPeriod),"◆",IF(AND($E156&gt;=EI$5,$E156&lt;EI$5+GanttPeriod),"◇","")),IF(AND(EI$5&lt;=$F156,EI$5+GanttPeriod-1&gt;=$E156),"━","")))</f>
        <v/>
      </c>
      <c r="EJ156" s="69" t="str">
        <f aca="false">IF($E156="","",IF($M156,IF(AND($G156&gt;=EJ$5,$G156&lt;EJ$5+GanttPeriod),"◆",IF(AND($E156&gt;=EJ$5,$E156&lt;EJ$5+GanttPeriod),"◇","")),IF(AND(EJ$5&lt;=$F156,EJ$5+GanttPeriod-1&gt;=$E156),"━","")))</f>
        <v/>
      </c>
      <c r="EK156" s="69" t="str">
        <f aca="false">IF($E156="","",IF($M156,IF(AND($G156&gt;=EK$5,$G156&lt;EK$5+GanttPeriod),"◆",IF(AND($E156&gt;=EK$5,$E156&lt;EK$5+GanttPeriod),"◇","")),IF(AND(EK$5&lt;=$F156,EK$5+GanttPeriod-1&gt;=$E156),"━","")))</f>
        <v/>
      </c>
      <c r="EL156" s="69" t="str">
        <f aca="false">IF($E156="","",IF($M156,IF(AND($G156&gt;=EL$5,$G156&lt;EL$5+GanttPeriod),"◆",IF(AND($E156&gt;=EL$5,$E156&lt;EL$5+GanttPeriod),"◇","")),IF(AND(EL$5&lt;=$F156,EL$5+GanttPeriod-1&gt;=$E156),"━","")))</f>
        <v/>
      </c>
      <c r="EM156" s="69" t="str">
        <f aca="false">IF($E156="","",IF($M156,IF(AND($G156&gt;=EM$5,$G156&lt;EM$5+GanttPeriod),"◆",IF(AND($E156&gt;=EM$5,$E156&lt;EM$5+GanttPeriod),"◇","")),IF(AND(EM$5&lt;=$F156,EM$5+GanttPeriod-1&gt;=$E156),"━","")))</f>
        <v/>
      </c>
      <c r="EN156" s="69" t="str">
        <f aca="false">IF($E156="","",IF($M156,IF(AND($G156&gt;=EN$5,$G156&lt;EN$5+GanttPeriod),"◆",IF(AND($E156&gt;=EN$5,$E156&lt;EN$5+GanttPeriod),"◇","")),IF(AND(EN$5&lt;=$F156,EN$5+GanttPeriod-1&gt;=$E156),"━","")))</f>
        <v/>
      </c>
      <c r="EO156" s="69" t="str">
        <f aca="false">IF($E156="","",IF($M156,IF(AND($G156&gt;=EO$5,$G156&lt;EO$5+GanttPeriod),"◆",IF(AND($E156&gt;=EO$5,$E156&lt;EO$5+GanttPeriod),"◇","")),IF(AND(EO$5&lt;=$F156,EO$5+GanttPeriod-1&gt;=$E156),"━","")))</f>
        <v/>
      </c>
      <c r="EP156" s="69" t="str">
        <f aca="false">IF($E156="","",IF($M156,IF(AND($G156&gt;=EP$5,$G156&lt;EP$5+GanttPeriod),"◆",IF(AND($E156&gt;=EP$5,$E156&lt;EP$5+GanttPeriod),"◇","")),IF(AND(EP$5&lt;=$F156,EP$5+GanttPeriod-1&gt;=$E156),"━","")))</f>
        <v/>
      </c>
      <c r="EQ156" s="69" t="str">
        <f aca="false">IF($E156="","",IF($M156,IF(AND($G156&gt;=EQ$5,$G156&lt;EQ$5+GanttPeriod),"◆",IF(AND($E156&gt;=EQ$5,$E156&lt;EQ$5+GanttPeriod),"◇","")),IF(AND(EQ$5&lt;=$F156,EQ$5+GanttPeriod-1&gt;=$E156),"━","")))</f>
        <v/>
      </c>
      <c r="ER156" s="69" t="str">
        <f aca="false">IF($E156="","",IF($M156,IF(AND($G156&gt;=ER$5,$G156&lt;ER$5+GanttPeriod),"◆",IF(AND($E156&gt;=ER$5,$E156&lt;ER$5+GanttPeriod),"◇","")),IF(AND(ER$5&lt;=$F156,ER$5+GanttPeriod-1&gt;=$E156),"━","")))</f>
        <v/>
      </c>
      <c r="ES156" s="69" t="str">
        <f aca="false">IF($E156="","",IF($M156,IF(AND($G156&gt;=ES$5,$G156&lt;ES$5+GanttPeriod),"◆",IF(AND($E156&gt;=ES$5,$E156&lt;ES$5+GanttPeriod),"◇","")),IF(AND(ES$5&lt;=$F156,ES$5+GanttPeriod-1&gt;=$E156),"━","")))</f>
        <v/>
      </c>
      <c r="ET156" s="69" t="str">
        <f aca="false">IF($E156="","",IF($M156,IF(AND($G156&gt;=ET$5,$G156&lt;ET$5+GanttPeriod),"◆",IF(AND($E156&gt;=ET$5,$E156&lt;ET$5+GanttPeriod),"◇","")),IF(AND(ET$5&lt;=$F156,ET$5+GanttPeriod-1&gt;=$E156),"━","")))</f>
        <v/>
      </c>
      <c r="EU156" s="69" t="str">
        <f aca="false">IF($E156="","",IF($M156,IF(AND($G156&gt;=EU$5,$G156&lt;EU$5+GanttPeriod),"◆",IF(AND($E156&gt;=EU$5,$E156&lt;EU$5+GanttPeriod),"◇","")),IF(AND(EU$5&lt;=$F156,EU$5+GanttPeriod-1&gt;=$E156),"━","")))</f>
        <v/>
      </c>
      <c r="EV156" s="69" t="str">
        <f aca="false">IF($E156="","",IF($M156,IF(AND($G156&gt;=EV$5,$G156&lt;EV$5+GanttPeriod),"◆",IF(AND($E156&gt;=EV$5,$E156&lt;EV$5+GanttPeriod),"◇","")),IF(AND(EV$5&lt;=$F156,EV$5+GanttPeriod-1&gt;=$E156),"━","")))</f>
        <v/>
      </c>
      <c r="EW156" s="69" t="str">
        <f aca="false">IF($E156="","",IF($M156,IF(AND($G156&gt;=EW$5,$G156&lt;EW$5+GanttPeriod),"◆",IF(AND($E156&gt;=EW$5,$E156&lt;EW$5+GanttPeriod),"◇","")),IF(AND(EW$5&lt;=$F156,EW$5+GanttPeriod-1&gt;=$E156),"━","")))</f>
        <v/>
      </c>
      <c r="EX156" s="69" t="str">
        <f aca="false">IF($E156="","",IF($M156,IF(AND($G156&gt;=EX$5,$G156&lt;EX$5+GanttPeriod),"◆",IF(AND($E156&gt;=EX$5,$E156&lt;EX$5+GanttPeriod),"◇","")),IF(AND(EX$5&lt;=$F156,EX$5+GanttPeriod-1&gt;=$E156),"━","")))</f>
        <v/>
      </c>
      <c r="EY156" s="69" t="str">
        <f aca="false">IF($E156="","",IF($M156,IF(AND($G156&gt;=EY$5,$G156&lt;EY$5+GanttPeriod),"◆",IF(AND($E156&gt;=EY$5,$E156&lt;EY$5+GanttPeriod),"◇","")),IF(AND(EY$5&lt;=$F156,EY$5+GanttPeriod-1&gt;=$E156),"━","")))</f>
        <v/>
      </c>
      <c r="EZ156" s="69" t="str">
        <f aca="false">IF($E156="","",IF($M156,IF(AND($G156&gt;=EZ$5,$G156&lt;EZ$5+GanttPeriod),"◆",IF(AND($E156&gt;=EZ$5,$E156&lt;EZ$5+GanttPeriod),"◇","")),IF(AND(EZ$5&lt;=$F156,EZ$5+GanttPeriod-1&gt;=$E156),"━","")))</f>
        <v/>
      </c>
      <c r="FA156" s="69" t="str">
        <f aca="false">IF($E156="","",IF($M156,IF(AND($G156&gt;=FA$5,$G156&lt;FA$5+GanttPeriod),"◆",IF(AND($E156&gt;=FA$5,$E156&lt;FA$5+GanttPeriod),"◇","")),IF(AND(FA$5&lt;=$F156,FA$5+GanttPeriod-1&gt;=$E156),"━","")))</f>
        <v/>
      </c>
      <c r="FB156" s="69" t="str">
        <f aca="false">IF($E156="","",IF($M156,IF(AND($G156&gt;=FB$5,$G156&lt;FB$5+GanttPeriod),"◆",IF(AND($E156&gt;=FB$5,$E156&lt;FB$5+GanttPeriod),"◇","")),IF(AND(FB$5&lt;=$F156,FB$5+GanttPeriod-1&gt;=$E156),"━","")))</f>
        <v/>
      </c>
      <c r="FC156" s="69" t="str">
        <f aca="false">IF($E156="","",IF($M156,IF(AND($G156&gt;=FC$5,$G156&lt;FC$5+GanttPeriod),"◆",IF(AND($E156&gt;=FC$5,$E156&lt;FC$5+GanttPeriod),"◇","")),IF(AND(FC$5&lt;=$F156,FC$5+GanttPeriod-1&gt;=$E156),"━","")))</f>
        <v/>
      </c>
      <c r="FD156" s="69" t="str">
        <f aca="false">IF($E156="","",IF($M156,IF(AND($G156&gt;=FD$5,$G156&lt;FD$5+GanttPeriod),"◆",IF(AND($E156&gt;=FD$5,$E156&lt;FD$5+GanttPeriod),"◇","")),IF(AND(FD$5&lt;=$F156,FD$5+GanttPeriod-1&gt;=$E156),"━","")))</f>
        <v/>
      </c>
      <c r="FE156" s="69" t="str">
        <f aca="false">IF($E156="","",IF($M156,IF(AND($G156&gt;=FE$5,$G156&lt;FE$5+GanttPeriod),"◆",IF(AND($E156&gt;=FE$5,$E156&lt;FE$5+GanttPeriod),"◇","")),IF(AND(FE$5&lt;=$F156,FE$5+GanttPeriod-1&gt;=$E156),"━","")))</f>
        <v/>
      </c>
      <c r="FF156" s="69" t="str">
        <f aca="false">IF($E156="","",IF($M156,IF(AND($G156&gt;=FF$5,$G156&lt;FF$5+GanttPeriod),"◆",IF(AND($E156&gt;=FF$5,$E156&lt;FF$5+GanttPeriod),"◇","")),IF(AND(FF$5&lt;=$F156,FF$5+GanttPeriod-1&gt;=$E156),"━","")))</f>
        <v/>
      </c>
      <c r="FG156" s="69" t="str">
        <f aca="false">IF($E156="","",IF($M156,IF(AND($G156&gt;=FG$5,$G156&lt;FG$5+GanttPeriod),"◆",IF(AND($E156&gt;=FG$5,$E156&lt;FG$5+GanttPeriod),"◇","")),IF(AND(FG$5&lt;=$F156,FG$5+GanttPeriod-1&gt;=$E156),"━","")))</f>
        <v/>
      </c>
      <c r="FH156" s="69" t="str">
        <f aca="false">IF($E156="","",IF($M156,IF(AND($G156&gt;=FH$5,$G156&lt;FH$5+GanttPeriod),"◆",IF(AND($E156&gt;=FH$5,$E156&lt;FH$5+GanttPeriod),"◇","")),IF(AND(FH$5&lt;=$F156,FH$5+GanttPeriod-1&gt;=$E156),"━","")))</f>
        <v/>
      </c>
      <c r="FI156" s="69" t="str">
        <f aca="false">IF($E156="","",IF($M156,IF(AND($G156&gt;=FI$5,$G156&lt;FI$5+GanttPeriod),"◆",IF(AND($E156&gt;=FI$5,$E156&lt;FI$5+GanttPeriod),"◇","")),IF(AND(FI$5&lt;=$F156,FI$5+GanttPeriod-1&gt;=$E156),"━","")))</f>
        <v/>
      </c>
      <c r="FJ156" s="69" t="str">
        <f aca="false">IF($E156="","",IF($M156,IF(AND($G156&gt;=FJ$5,$G156&lt;FJ$5+GanttPeriod),"◆",IF(AND($E156&gt;=FJ$5,$E156&lt;FJ$5+GanttPeriod),"◇","")),IF(AND(FJ$5&lt;=$F156,FJ$5+GanttPeriod-1&gt;=$E156),"━","")))</f>
        <v/>
      </c>
      <c r="FK156" s="69" t="str">
        <f aca="false">IF($E156="","",IF($M156,IF(AND($G156&gt;=FK$5,$G156&lt;FK$5+GanttPeriod),"◆",IF(AND($E156&gt;=FK$5,$E156&lt;FK$5+GanttPeriod),"◇","")),IF(AND(FK$5&lt;=$F156,FK$5+GanttPeriod-1&gt;=$E156),"━","")))</f>
        <v/>
      </c>
      <c r="FL156" s="69" t="str">
        <f aca="false">IF($E156="","",IF($M156,IF(AND($G156&gt;=FL$5,$G156&lt;FL$5+GanttPeriod),"◆",IF(AND($E156&gt;=FL$5,$E156&lt;FL$5+GanttPeriod),"◇","")),IF(AND(FL$5&lt;=$F156,FL$5+GanttPeriod-1&gt;=$E156),"━","")))</f>
        <v/>
      </c>
      <c r="FM156" s="69" t="str">
        <f aca="false">IF($E156="","",IF($M156,IF(AND($G156&gt;=FM$5,$G156&lt;FM$5+GanttPeriod),"◆",IF(AND($E156&gt;=FM$5,$E156&lt;FM$5+GanttPeriod),"◇","")),IF(AND(FM$5&lt;=$F156,FM$5+GanttPeriod-1&gt;=$E156),"━","")))</f>
        <v/>
      </c>
    </row>
    <row r="157" customFormat="false" ht="15" hidden="false" customHeight="false" outlineLevel="0" collapsed="false">
      <c r="A157" s="62" t="str">
        <f aca="false">IF(Tasks!$D157="","",Tasks!$A157)</f>
        <v/>
      </c>
      <c r="B157" s="62" t="str">
        <f aca="false">IF(Tasks!$D157="","",Tasks!$B157)</f>
        <v/>
      </c>
      <c r="C157" s="63" t="str">
        <f aca="false">IF(Tasks!$D157="","",REPT("    ",Tasks!$AE157-1)&amp;Tasks!$D157)</f>
        <v/>
      </c>
      <c r="D157" s="62" t="str">
        <f aca="false">IF(Tasks!$D157="","",IF(Tasks!$AI157,NETWORKDAYS.INTL(Tasks!$R157,Tasks!$S157,WorkWeek,Holidays),N(Tasks!$F157)))</f>
        <v/>
      </c>
      <c r="E157" s="64" t="str">
        <f aca="false">IF(Tasks!$D157="","",Tasks!$N157)</f>
        <v/>
      </c>
      <c r="F157" s="64" t="str">
        <f aca="false">IF(Tasks!$D157="","",Tasks!$O157)</f>
        <v/>
      </c>
      <c r="G157" s="64" t="str">
        <f aca="false">IF(Tasks!$D157="","",Tasks!$R157)</f>
        <v/>
      </c>
      <c r="H157" s="64" t="str">
        <f aca="false">IF(Tasks!$D157="","",Tasks!$S157)</f>
        <v/>
      </c>
      <c r="I157" s="65" t="str">
        <f aca="false">IF(Tasks!$D157="","",Tasks!$V157)</f>
        <v/>
      </c>
      <c r="J157" s="63" t="str">
        <f aca="false">IF(Tasks!$D157="","",Tasks!$X157&amp;"")</f>
        <v/>
      </c>
      <c r="K157" s="66" t="str">
        <f aca="false">IF(Tasks!$D157="","",Tasks!$W157)</f>
        <v/>
      </c>
      <c r="L157" s="67" t="b">
        <f aca="false">IF(Tasks!$D157="",FALSE(),Tasks!$AI157)</f>
        <v>0</v>
      </c>
      <c r="M157" s="67" t="b">
        <f aca="false">AND(Tasks!$AJ157=1,N(Tasks!$F157)=0)</f>
        <v>0</v>
      </c>
      <c r="N157" s="68" t="n">
        <f aca="false">IF(AND(Tasks!$AJ157=1,NOT($M157),N($I157)&gt;0),$G157,0)</f>
        <v>0</v>
      </c>
      <c r="O157" s="68" t="n">
        <f aca="false">IF($N157=0,0,IF($I157&gt;=1,$H157,MAX($N157,$G157+ROUND(($H157-$G157+1)*$I157,0)-1)))</f>
        <v>0</v>
      </c>
      <c r="P157" s="68" t="n">
        <f aca="false">IF(OR(Tasks!$AJ157&lt;&gt;1,$M157,N($I157)&gt;=1),0,IF($O157&gt;0,$O157+1,$G157))</f>
        <v>0</v>
      </c>
      <c r="Q157" s="68" t="n">
        <f aca="false">IF($P157=0,0,$H157)</f>
        <v>0</v>
      </c>
      <c r="R157" s="67" t="b">
        <f aca="false">AND(Tasks!$D157&lt;&gt;"",N(Tasks!$T157)&gt;0)</f>
        <v>0</v>
      </c>
      <c r="T157" s="69" t="str">
        <f aca="false">IF($E157="","",IF($M157,IF(AND($G157&gt;=T$5,$G157&lt;T$5+GanttPeriod),"◆",IF(AND($E157&gt;=T$5,$E157&lt;T$5+GanttPeriod),"◇","")),IF(AND(T$5&lt;=$F157,T$5+GanttPeriod-1&gt;=$E157),"━","")))</f>
        <v/>
      </c>
      <c r="U157" s="69" t="str">
        <f aca="false">IF($E157="","",IF($M157,IF(AND($G157&gt;=U$5,$G157&lt;U$5+GanttPeriod),"◆",IF(AND($E157&gt;=U$5,$E157&lt;U$5+GanttPeriod),"◇","")),IF(AND(U$5&lt;=$F157,U$5+GanttPeriod-1&gt;=$E157),"━","")))</f>
        <v/>
      </c>
      <c r="V157" s="69" t="str">
        <f aca="false">IF($E157="","",IF($M157,IF(AND($G157&gt;=V$5,$G157&lt;V$5+GanttPeriod),"◆",IF(AND($E157&gt;=V$5,$E157&lt;V$5+GanttPeriod),"◇","")),IF(AND(V$5&lt;=$F157,V$5+GanttPeriod-1&gt;=$E157),"━","")))</f>
        <v/>
      </c>
      <c r="W157" s="69" t="str">
        <f aca="false">IF($E157="","",IF($M157,IF(AND($G157&gt;=W$5,$G157&lt;W$5+GanttPeriod),"◆",IF(AND($E157&gt;=W$5,$E157&lt;W$5+GanttPeriod),"◇","")),IF(AND(W$5&lt;=$F157,W$5+GanttPeriod-1&gt;=$E157),"━","")))</f>
        <v/>
      </c>
      <c r="X157" s="69" t="str">
        <f aca="false">IF($E157="","",IF($M157,IF(AND($G157&gt;=X$5,$G157&lt;X$5+GanttPeriod),"◆",IF(AND($E157&gt;=X$5,$E157&lt;X$5+GanttPeriod),"◇","")),IF(AND(X$5&lt;=$F157,X$5+GanttPeriod-1&gt;=$E157),"━","")))</f>
        <v/>
      </c>
      <c r="Y157" s="69" t="str">
        <f aca="false">IF($E157="","",IF($M157,IF(AND($G157&gt;=Y$5,$G157&lt;Y$5+GanttPeriod),"◆",IF(AND($E157&gt;=Y$5,$E157&lt;Y$5+GanttPeriod),"◇","")),IF(AND(Y$5&lt;=$F157,Y$5+GanttPeriod-1&gt;=$E157),"━","")))</f>
        <v/>
      </c>
      <c r="Z157" s="69" t="str">
        <f aca="false">IF($E157="","",IF($M157,IF(AND($G157&gt;=Z$5,$G157&lt;Z$5+GanttPeriod),"◆",IF(AND($E157&gt;=Z$5,$E157&lt;Z$5+GanttPeriod),"◇","")),IF(AND(Z$5&lt;=$F157,Z$5+GanttPeriod-1&gt;=$E157),"━","")))</f>
        <v/>
      </c>
      <c r="AA157" s="69" t="str">
        <f aca="false">IF($E157="","",IF($M157,IF(AND($G157&gt;=AA$5,$G157&lt;AA$5+GanttPeriod),"◆",IF(AND($E157&gt;=AA$5,$E157&lt;AA$5+GanttPeriod),"◇","")),IF(AND(AA$5&lt;=$F157,AA$5+GanttPeriod-1&gt;=$E157),"━","")))</f>
        <v/>
      </c>
      <c r="AB157" s="69" t="str">
        <f aca="false">IF($E157="","",IF($M157,IF(AND($G157&gt;=AB$5,$G157&lt;AB$5+GanttPeriod),"◆",IF(AND($E157&gt;=AB$5,$E157&lt;AB$5+GanttPeriod),"◇","")),IF(AND(AB$5&lt;=$F157,AB$5+GanttPeriod-1&gt;=$E157),"━","")))</f>
        <v/>
      </c>
      <c r="AC157" s="69" t="str">
        <f aca="false">IF($E157="","",IF($M157,IF(AND($G157&gt;=AC$5,$G157&lt;AC$5+GanttPeriod),"◆",IF(AND($E157&gt;=AC$5,$E157&lt;AC$5+GanttPeriod),"◇","")),IF(AND(AC$5&lt;=$F157,AC$5+GanttPeriod-1&gt;=$E157),"━","")))</f>
        <v/>
      </c>
      <c r="AD157" s="69" t="str">
        <f aca="false">IF($E157="","",IF($M157,IF(AND($G157&gt;=AD$5,$G157&lt;AD$5+GanttPeriod),"◆",IF(AND($E157&gt;=AD$5,$E157&lt;AD$5+GanttPeriod),"◇","")),IF(AND(AD$5&lt;=$F157,AD$5+GanttPeriod-1&gt;=$E157),"━","")))</f>
        <v/>
      </c>
      <c r="AE157" s="69" t="str">
        <f aca="false">IF($E157="","",IF($M157,IF(AND($G157&gt;=AE$5,$G157&lt;AE$5+GanttPeriod),"◆",IF(AND($E157&gt;=AE$5,$E157&lt;AE$5+GanttPeriod),"◇","")),IF(AND(AE$5&lt;=$F157,AE$5+GanttPeriod-1&gt;=$E157),"━","")))</f>
        <v/>
      </c>
      <c r="AF157" s="69" t="str">
        <f aca="false">IF($E157="","",IF($M157,IF(AND($G157&gt;=AF$5,$G157&lt;AF$5+GanttPeriod),"◆",IF(AND($E157&gt;=AF$5,$E157&lt;AF$5+GanttPeriod),"◇","")),IF(AND(AF$5&lt;=$F157,AF$5+GanttPeriod-1&gt;=$E157),"━","")))</f>
        <v/>
      </c>
      <c r="AG157" s="69" t="str">
        <f aca="false">IF($E157="","",IF($M157,IF(AND($G157&gt;=AG$5,$G157&lt;AG$5+GanttPeriod),"◆",IF(AND($E157&gt;=AG$5,$E157&lt;AG$5+GanttPeriod),"◇","")),IF(AND(AG$5&lt;=$F157,AG$5+GanttPeriod-1&gt;=$E157),"━","")))</f>
        <v/>
      </c>
      <c r="AH157" s="69" t="str">
        <f aca="false">IF($E157="","",IF($M157,IF(AND($G157&gt;=AH$5,$G157&lt;AH$5+GanttPeriod),"◆",IF(AND($E157&gt;=AH$5,$E157&lt;AH$5+GanttPeriod),"◇","")),IF(AND(AH$5&lt;=$F157,AH$5+GanttPeriod-1&gt;=$E157),"━","")))</f>
        <v/>
      </c>
      <c r="AI157" s="69" t="str">
        <f aca="false">IF($E157="","",IF($M157,IF(AND($G157&gt;=AI$5,$G157&lt;AI$5+GanttPeriod),"◆",IF(AND($E157&gt;=AI$5,$E157&lt;AI$5+GanttPeriod),"◇","")),IF(AND(AI$5&lt;=$F157,AI$5+GanttPeriod-1&gt;=$E157),"━","")))</f>
        <v/>
      </c>
      <c r="AJ157" s="69" t="str">
        <f aca="false">IF($E157="","",IF($M157,IF(AND($G157&gt;=AJ$5,$G157&lt;AJ$5+GanttPeriod),"◆",IF(AND($E157&gt;=AJ$5,$E157&lt;AJ$5+GanttPeriod),"◇","")),IF(AND(AJ$5&lt;=$F157,AJ$5+GanttPeriod-1&gt;=$E157),"━","")))</f>
        <v/>
      </c>
      <c r="AK157" s="69" t="str">
        <f aca="false">IF($E157="","",IF($M157,IF(AND($G157&gt;=AK$5,$G157&lt;AK$5+GanttPeriod),"◆",IF(AND($E157&gt;=AK$5,$E157&lt;AK$5+GanttPeriod),"◇","")),IF(AND(AK$5&lt;=$F157,AK$5+GanttPeriod-1&gt;=$E157),"━","")))</f>
        <v/>
      </c>
      <c r="AL157" s="69" t="str">
        <f aca="false">IF($E157="","",IF($M157,IF(AND($G157&gt;=AL$5,$G157&lt;AL$5+GanttPeriod),"◆",IF(AND($E157&gt;=AL$5,$E157&lt;AL$5+GanttPeriod),"◇","")),IF(AND(AL$5&lt;=$F157,AL$5+GanttPeriod-1&gt;=$E157),"━","")))</f>
        <v/>
      </c>
      <c r="AM157" s="69" t="str">
        <f aca="false">IF($E157="","",IF($M157,IF(AND($G157&gt;=AM$5,$G157&lt;AM$5+GanttPeriod),"◆",IF(AND($E157&gt;=AM$5,$E157&lt;AM$5+GanttPeriod),"◇","")),IF(AND(AM$5&lt;=$F157,AM$5+GanttPeriod-1&gt;=$E157),"━","")))</f>
        <v/>
      </c>
      <c r="AN157" s="69" t="str">
        <f aca="false">IF($E157="","",IF($M157,IF(AND($G157&gt;=AN$5,$G157&lt;AN$5+GanttPeriod),"◆",IF(AND($E157&gt;=AN$5,$E157&lt;AN$5+GanttPeriod),"◇","")),IF(AND(AN$5&lt;=$F157,AN$5+GanttPeriod-1&gt;=$E157),"━","")))</f>
        <v/>
      </c>
      <c r="AO157" s="69" t="str">
        <f aca="false">IF($E157="","",IF($M157,IF(AND($G157&gt;=AO$5,$G157&lt;AO$5+GanttPeriod),"◆",IF(AND($E157&gt;=AO$5,$E157&lt;AO$5+GanttPeriod),"◇","")),IF(AND(AO$5&lt;=$F157,AO$5+GanttPeriod-1&gt;=$E157),"━","")))</f>
        <v/>
      </c>
      <c r="AP157" s="69" t="str">
        <f aca="false">IF($E157="","",IF($M157,IF(AND($G157&gt;=AP$5,$G157&lt;AP$5+GanttPeriod),"◆",IF(AND($E157&gt;=AP$5,$E157&lt;AP$5+GanttPeriod),"◇","")),IF(AND(AP$5&lt;=$F157,AP$5+GanttPeriod-1&gt;=$E157),"━","")))</f>
        <v/>
      </c>
      <c r="AQ157" s="69" t="str">
        <f aca="false">IF($E157="","",IF($M157,IF(AND($G157&gt;=AQ$5,$G157&lt;AQ$5+GanttPeriod),"◆",IF(AND($E157&gt;=AQ$5,$E157&lt;AQ$5+GanttPeriod),"◇","")),IF(AND(AQ$5&lt;=$F157,AQ$5+GanttPeriod-1&gt;=$E157),"━","")))</f>
        <v/>
      </c>
      <c r="AR157" s="69" t="str">
        <f aca="false">IF($E157="","",IF($M157,IF(AND($G157&gt;=AR$5,$G157&lt;AR$5+GanttPeriod),"◆",IF(AND($E157&gt;=AR$5,$E157&lt;AR$5+GanttPeriod),"◇","")),IF(AND(AR$5&lt;=$F157,AR$5+GanttPeriod-1&gt;=$E157),"━","")))</f>
        <v/>
      </c>
      <c r="AS157" s="69" t="str">
        <f aca="false">IF($E157="","",IF($M157,IF(AND($G157&gt;=AS$5,$G157&lt;AS$5+GanttPeriod),"◆",IF(AND($E157&gt;=AS$5,$E157&lt;AS$5+GanttPeriod),"◇","")),IF(AND(AS$5&lt;=$F157,AS$5+GanttPeriod-1&gt;=$E157),"━","")))</f>
        <v/>
      </c>
      <c r="AT157" s="69" t="str">
        <f aca="false">IF($E157="","",IF($M157,IF(AND($G157&gt;=AT$5,$G157&lt;AT$5+GanttPeriod),"◆",IF(AND($E157&gt;=AT$5,$E157&lt;AT$5+GanttPeriod),"◇","")),IF(AND(AT$5&lt;=$F157,AT$5+GanttPeriod-1&gt;=$E157),"━","")))</f>
        <v/>
      </c>
      <c r="AU157" s="69" t="str">
        <f aca="false">IF($E157="","",IF($M157,IF(AND($G157&gt;=AU$5,$G157&lt;AU$5+GanttPeriod),"◆",IF(AND($E157&gt;=AU$5,$E157&lt;AU$5+GanttPeriod),"◇","")),IF(AND(AU$5&lt;=$F157,AU$5+GanttPeriod-1&gt;=$E157),"━","")))</f>
        <v/>
      </c>
      <c r="AV157" s="69" t="str">
        <f aca="false">IF($E157="","",IF($M157,IF(AND($G157&gt;=AV$5,$G157&lt;AV$5+GanttPeriod),"◆",IF(AND($E157&gt;=AV$5,$E157&lt;AV$5+GanttPeriod),"◇","")),IF(AND(AV$5&lt;=$F157,AV$5+GanttPeriod-1&gt;=$E157),"━","")))</f>
        <v/>
      </c>
      <c r="AW157" s="69" t="str">
        <f aca="false">IF($E157="","",IF($M157,IF(AND($G157&gt;=AW$5,$G157&lt;AW$5+GanttPeriod),"◆",IF(AND($E157&gt;=AW$5,$E157&lt;AW$5+GanttPeriod),"◇","")),IF(AND(AW$5&lt;=$F157,AW$5+GanttPeriod-1&gt;=$E157),"━","")))</f>
        <v/>
      </c>
      <c r="AX157" s="69" t="str">
        <f aca="false">IF($E157="","",IF($M157,IF(AND($G157&gt;=AX$5,$G157&lt;AX$5+GanttPeriod),"◆",IF(AND($E157&gt;=AX$5,$E157&lt;AX$5+GanttPeriod),"◇","")),IF(AND(AX$5&lt;=$F157,AX$5+GanttPeriod-1&gt;=$E157),"━","")))</f>
        <v/>
      </c>
      <c r="AY157" s="69" t="str">
        <f aca="false">IF($E157="","",IF($M157,IF(AND($G157&gt;=AY$5,$G157&lt;AY$5+GanttPeriod),"◆",IF(AND($E157&gt;=AY$5,$E157&lt;AY$5+GanttPeriod),"◇","")),IF(AND(AY$5&lt;=$F157,AY$5+GanttPeriod-1&gt;=$E157),"━","")))</f>
        <v/>
      </c>
      <c r="AZ157" s="69" t="str">
        <f aca="false">IF($E157="","",IF($M157,IF(AND($G157&gt;=AZ$5,$G157&lt;AZ$5+GanttPeriod),"◆",IF(AND($E157&gt;=AZ$5,$E157&lt;AZ$5+GanttPeriod),"◇","")),IF(AND(AZ$5&lt;=$F157,AZ$5+GanttPeriod-1&gt;=$E157),"━","")))</f>
        <v/>
      </c>
      <c r="BA157" s="69" t="str">
        <f aca="false">IF($E157="","",IF($M157,IF(AND($G157&gt;=BA$5,$G157&lt;BA$5+GanttPeriod),"◆",IF(AND($E157&gt;=BA$5,$E157&lt;BA$5+GanttPeriod),"◇","")),IF(AND(BA$5&lt;=$F157,BA$5+GanttPeriod-1&gt;=$E157),"━","")))</f>
        <v/>
      </c>
      <c r="BB157" s="69" t="str">
        <f aca="false">IF($E157="","",IF($M157,IF(AND($G157&gt;=BB$5,$G157&lt;BB$5+GanttPeriod),"◆",IF(AND($E157&gt;=BB$5,$E157&lt;BB$5+GanttPeriod),"◇","")),IF(AND(BB$5&lt;=$F157,BB$5+GanttPeriod-1&gt;=$E157),"━","")))</f>
        <v/>
      </c>
      <c r="BC157" s="69" t="str">
        <f aca="false">IF($E157="","",IF($M157,IF(AND($G157&gt;=BC$5,$G157&lt;BC$5+GanttPeriod),"◆",IF(AND($E157&gt;=BC$5,$E157&lt;BC$5+GanttPeriod),"◇","")),IF(AND(BC$5&lt;=$F157,BC$5+GanttPeriod-1&gt;=$E157),"━","")))</f>
        <v/>
      </c>
      <c r="BD157" s="69" t="str">
        <f aca="false">IF($E157="","",IF($M157,IF(AND($G157&gt;=BD$5,$G157&lt;BD$5+GanttPeriod),"◆",IF(AND($E157&gt;=BD$5,$E157&lt;BD$5+GanttPeriod),"◇","")),IF(AND(BD$5&lt;=$F157,BD$5+GanttPeriod-1&gt;=$E157),"━","")))</f>
        <v/>
      </c>
      <c r="BE157" s="69" t="str">
        <f aca="false">IF($E157="","",IF($M157,IF(AND($G157&gt;=BE$5,$G157&lt;BE$5+GanttPeriod),"◆",IF(AND($E157&gt;=BE$5,$E157&lt;BE$5+GanttPeriod),"◇","")),IF(AND(BE$5&lt;=$F157,BE$5+GanttPeriod-1&gt;=$E157),"━","")))</f>
        <v/>
      </c>
      <c r="BF157" s="69" t="str">
        <f aca="false">IF($E157="","",IF($M157,IF(AND($G157&gt;=BF$5,$G157&lt;BF$5+GanttPeriod),"◆",IF(AND($E157&gt;=BF$5,$E157&lt;BF$5+GanttPeriod),"◇","")),IF(AND(BF$5&lt;=$F157,BF$5+GanttPeriod-1&gt;=$E157),"━","")))</f>
        <v/>
      </c>
      <c r="BG157" s="69" t="str">
        <f aca="false">IF($E157="","",IF($M157,IF(AND($G157&gt;=BG$5,$G157&lt;BG$5+GanttPeriod),"◆",IF(AND($E157&gt;=BG$5,$E157&lt;BG$5+GanttPeriod),"◇","")),IF(AND(BG$5&lt;=$F157,BG$5+GanttPeriod-1&gt;=$E157),"━","")))</f>
        <v/>
      </c>
      <c r="BH157" s="69" t="str">
        <f aca="false">IF($E157="","",IF($M157,IF(AND($G157&gt;=BH$5,$G157&lt;BH$5+GanttPeriod),"◆",IF(AND($E157&gt;=BH$5,$E157&lt;BH$5+GanttPeriod),"◇","")),IF(AND(BH$5&lt;=$F157,BH$5+GanttPeriod-1&gt;=$E157),"━","")))</f>
        <v/>
      </c>
      <c r="BI157" s="69" t="str">
        <f aca="false">IF($E157="","",IF($M157,IF(AND($G157&gt;=BI$5,$G157&lt;BI$5+GanttPeriod),"◆",IF(AND($E157&gt;=BI$5,$E157&lt;BI$5+GanttPeriod),"◇","")),IF(AND(BI$5&lt;=$F157,BI$5+GanttPeriod-1&gt;=$E157),"━","")))</f>
        <v/>
      </c>
      <c r="BJ157" s="69" t="str">
        <f aca="false">IF($E157="","",IF($M157,IF(AND($G157&gt;=BJ$5,$G157&lt;BJ$5+GanttPeriod),"◆",IF(AND($E157&gt;=BJ$5,$E157&lt;BJ$5+GanttPeriod),"◇","")),IF(AND(BJ$5&lt;=$F157,BJ$5+GanttPeriod-1&gt;=$E157),"━","")))</f>
        <v/>
      </c>
      <c r="BK157" s="69" t="str">
        <f aca="false">IF($E157="","",IF($M157,IF(AND($G157&gt;=BK$5,$G157&lt;BK$5+GanttPeriod),"◆",IF(AND($E157&gt;=BK$5,$E157&lt;BK$5+GanttPeriod),"◇","")),IF(AND(BK$5&lt;=$F157,BK$5+GanttPeriod-1&gt;=$E157),"━","")))</f>
        <v/>
      </c>
      <c r="BL157" s="69" t="str">
        <f aca="false">IF($E157="","",IF($M157,IF(AND($G157&gt;=BL$5,$G157&lt;BL$5+GanttPeriod),"◆",IF(AND($E157&gt;=BL$5,$E157&lt;BL$5+GanttPeriod),"◇","")),IF(AND(BL$5&lt;=$F157,BL$5+GanttPeriod-1&gt;=$E157),"━","")))</f>
        <v/>
      </c>
      <c r="BM157" s="69" t="str">
        <f aca="false">IF($E157="","",IF($M157,IF(AND($G157&gt;=BM$5,$G157&lt;BM$5+GanttPeriod),"◆",IF(AND($E157&gt;=BM$5,$E157&lt;BM$5+GanttPeriod),"◇","")),IF(AND(BM$5&lt;=$F157,BM$5+GanttPeriod-1&gt;=$E157),"━","")))</f>
        <v/>
      </c>
      <c r="BN157" s="69" t="str">
        <f aca="false">IF($E157="","",IF($M157,IF(AND($G157&gt;=BN$5,$G157&lt;BN$5+GanttPeriod),"◆",IF(AND($E157&gt;=BN$5,$E157&lt;BN$5+GanttPeriod),"◇","")),IF(AND(BN$5&lt;=$F157,BN$5+GanttPeriod-1&gt;=$E157),"━","")))</f>
        <v/>
      </c>
      <c r="BO157" s="69" t="str">
        <f aca="false">IF($E157="","",IF($M157,IF(AND($G157&gt;=BO$5,$G157&lt;BO$5+GanttPeriod),"◆",IF(AND($E157&gt;=BO$5,$E157&lt;BO$5+GanttPeriod),"◇","")),IF(AND(BO$5&lt;=$F157,BO$5+GanttPeriod-1&gt;=$E157),"━","")))</f>
        <v/>
      </c>
      <c r="BP157" s="69" t="str">
        <f aca="false">IF($E157="","",IF($M157,IF(AND($G157&gt;=BP$5,$G157&lt;BP$5+GanttPeriod),"◆",IF(AND($E157&gt;=BP$5,$E157&lt;BP$5+GanttPeriod),"◇","")),IF(AND(BP$5&lt;=$F157,BP$5+GanttPeriod-1&gt;=$E157),"━","")))</f>
        <v/>
      </c>
      <c r="BQ157" s="69" t="str">
        <f aca="false">IF($E157="","",IF($M157,IF(AND($G157&gt;=BQ$5,$G157&lt;BQ$5+GanttPeriod),"◆",IF(AND($E157&gt;=BQ$5,$E157&lt;BQ$5+GanttPeriod),"◇","")),IF(AND(BQ$5&lt;=$F157,BQ$5+GanttPeriod-1&gt;=$E157),"━","")))</f>
        <v/>
      </c>
      <c r="BR157" s="69" t="str">
        <f aca="false">IF($E157="","",IF($M157,IF(AND($G157&gt;=BR$5,$G157&lt;BR$5+GanttPeriod),"◆",IF(AND($E157&gt;=BR$5,$E157&lt;BR$5+GanttPeriod),"◇","")),IF(AND(BR$5&lt;=$F157,BR$5+GanttPeriod-1&gt;=$E157),"━","")))</f>
        <v/>
      </c>
      <c r="BS157" s="69" t="str">
        <f aca="false">IF($E157="","",IF($M157,IF(AND($G157&gt;=BS$5,$G157&lt;BS$5+GanttPeriod),"◆",IF(AND($E157&gt;=BS$5,$E157&lt;BS$5+GanttPeriod),"◇","")),IF(AND(BS$5&lt;=$F157,BS$5+GanttPeriod-1&gt;=$E157),"━","")))</f>
        <v/>
      </c>
      <c r="BT157" s="69" t="str">
        <f aca="false">IF($E157="","",IF($M157,IF(AND($G157&gt;=BT$5,$G157&lt;BT$5+GanttPeriod),"◆",IF(AND($E157&gt;=BT$5,$E157&lt;BT$5+GanttPeriod),"◇","")),IF(AND(BT$5&lt;=$F157,BT$5+GanttPeriod-1&gt;=$E157),"━","")))</f>
        <v/>
      </c>
      <c r="BU157" s="69" t="str">
        <f aca="false">IF($E157="","",IF($M157,IF(AND($G157&gt;=BU$5,$G157&lt;BU$5+GanttPeriod),"◆",IF(AND($E157&gt;=BU$5,$E157&lt;BU$5+GanttPeriod),"◇","")),IF(AND(BU$5&lt;=$F157,BU$5+GanttPeriod-1&gt;=$E157),"━","")))</f>
        <v/>
      </c>
      <c r="BV157" s="69" t="str">
        <f aca="false">IF($E157="","",IF($M157,IF(AND($G157&gt;=BV$5,$G157&lt;BV$5+GanttPeriod),"◆",IF(AND($E157&gt;=BV$5,$E157&lt;BV$5+GanttPeriod),"◇","")),IF(AND(BV$5&lt;=$F157,BV$5+GanttPeriod-1&gt;=$E157),"━","")))</f>
        <v/>
      </c>
      <c r="BW157" s="69" t="str">
        <f aca="false">IF($E157="","",IF($M157,IF(AND($G157&gt;=BW$5,$G157&lt;BW$5+GanttPeriod),"◆",IF(AND($E157&gt;=BW$5,$E157&lt;BW$5+GanttPeriod),"◇","")),IF(AND(BW$5&lt;=$F157,BW$5+GanttPeriod-1&gt;=$E157),"━","")))</f>
        <v/>
      </c>
      <c r="BX157" s="69" t="str">
        <f aca="false">IF($E157="","",IF($M157,IF(AND($G157&gt;=BX$5,$G157&lt;BX$5+GanttPeriod),"◆",IF(AND($E157&gt;=BX$5,$E157&lt;BX$5+GanttPeriod),"◇","")),IF(AND(BX$5&lt;=$F157,BX$5+GanttPeriod-1&gt;=$E157),"━","")))</f>
        <v/>
      </c>
      <c r="BY157" s="69" t="str">
        <f aca="false">IF($E157="","",IF($M157,IF(AND($G157&gt;=BY$5,$G157&lt;BY$5+GanttPeriod),"◆",IF(AND($E157&gt;=BY$5,$E157&lt;BY$5+GanttPeriod),"◇","")),IF(AND(BY$5&lt;=$F157,BY$5+GanttPeriod-1&gt;=$E157),"━","")))</f>
        <v/>
      </c>
      <c r="BZ157" s="69" t="str">
        <f aca="false">IF($E157="","",IF($M157,IF(AND($G157&gt;=BZ$5,$G157&lt;BZ$5+GanttPeriod),"◆",IF(AND($E157&gt;=BZ$5,$E157&lt;BZ$5+GanttPeriod),"◇","")),IF(AND(BZ$5&lt;=$F157,BZ$5+GanttPeriod-1&gt;=$E157),"━","")))</f>
        <v/>
      </c>
      <c r="CA157" s="69" t="str">
        <f aca="false">IF($E157="","",IF($M157,IF(AND($G157&gt;=CA$5,$G157&lt;CA$5+GanttPeriod),"◆",IF(AND($E157&gt;=CA$5,$E157&lt;CA$5+GanttPeriod),"◇","")),IF(AND(CA$5&lt;=$F157,CA$5+GanttPeriod-1&gt;=$E157),"━","")))</f>
        <v/>
      </c>
      <c r="CB157" s="69" t="str">
        <f aca="false">IF($E157="","",IF($M157,IF(AND($G157&gt;=CB$5,$G157&lt;CB$5+GanttPeriod),"◆",IF(AND($E157&gt;=CB$5,$E157&lt;CB$5+GanttPeriod),"◇","")),IF(AND(CB$5&lt;=$F157,CB$5+GanttPeriod-1&gt;=$E157),"━","")))</f>
        <v/>
      </c>
      <c r="CC157" s="69" t="str">
        <f aca="false">IF($E157="","",IF($M157,IF(AND($G157&gt;=CC$5,$G157&lt;CC$5+GanttPeriod),"◆",IF(AND($E157&gt;=CC$5,$E157&lt;CC$5+GanttPeriod),"◇","")),IF(AND(CC$5&lt;=$F157,CC$5+GanttPeriod-1&gt;=$E157),"━","")))</f>
        <v/>
      </c>
      <c r="CD157" s="69" t="str">
        <f aca="false">IF($E157="","",IF($M157,IF(AND($G157&gt;=CD$5,$G157&lt;CD$5+GanttPeriod),"◆",IF(AND($E157&gt;=CD$5,$E157&lt;CD$5+GanttPeriod),"◇","")),IF(AND(CD$5&lt;=$F157,CD$5+GanttPeriod-1&gt;=$E157),"━","")))</f>
        <v/>
      </c>
      <c r="CE157" s="69" t="str">
        <f aca="false">IF($E157="","",IF($M157,IF(AND($G157&gt;=CE$5,$G157&lt;CE$5+GanttPeriod),"◆",IF(AND($E157&gt;=CE$5,$E157&lt;CE$5+GanttPeriod),"◇","")),IF(AND(CE$5&lt;=$F157,CE$5+GanttPeriod-1&gt;=$E157),"━","")))</f>
        <v/>
      </c>
      <c r="CF157" s="69" t="str">
        <f aca="false">IF($E157="","",IF($M157,IF(AND($G157&gt;=CF$5,$G157&lt;CF$5+GanttPeriod),"◆",IF(AND($E157&gt;=CF$5,$E157&lt;CF$5+GanttPeriod),"◇","")),IF(AND(CF$5&lt;=$F157,CF$5+GanttPeriod-1&gt;=$E157),"━","")))</f>
        <v/>
      </c>
      <c r="CG157" s="69" t="str">
        <f aca="false">IF($E157="","",IF($M157,IF(AND($G157&gt;=CG$5,$G157&lt;CG$5+GanttPeriod),"◆",IF(AND($E157&gt;=CG$5,$E157&lt;CG$5+GanttPeriod),"◇","")),IF(AND(CG$5&lt;=$F157,CG$5+GanttPeriod-1&gt;=$E157),"━","")))</f>
        <v/>
      </c>
      <c r="CH157" s="69" t="str">
        <f aca="false">IF($E157="","",IF($M157,IF(AND($G157&gt;=CH$5,$G157&lt;CH$5+GanttPeriod),"◆",IF(AND($E157&gt;=CH$5,$E157&lt;CH$5+GanttPeriod),"◇","")),IF(AND(CH$5&lt;=$F157,CH$5+GanttPeriod-1&gt;=$E157),"━","")))</f>
        <v/>
      </c>
      <c r="CI157" s="69" t="str">
        <f aca="false">IF($E157="","",IF($M157,IF(AND($G157&gt;=CI$5,$G157&lt;CI$5+GanttPeriod),"◆",IF(AND($E157&gt;=CI$5,$E157&lt;CI$5+GanttPeriod),"◇","")),IF(AND(CI$5&lt;=$F157,CI$5+GanttPeriod-1&gt;=$E157),"━","")))</f>
        <v/>
      </c>
      <c r="CJ157" s="69" t="str">
        <f aca="false">IF($E157="","",IF($M157,IF(AND($G157&gt;=CJ$5,$G157&lt;CJ$5+GanttPeriod),"◆",IF(AND($E157&gt;=CJ$5,$E157&lt;CJ$5+GanttPeriod),"◇","")),IF(AND(CJ$5&lt;=$F157,CJ$5+GanttPeriod-1&gt;=$E157),"━","")))</f>
        <v/>
      </c>
      <c r="CK157" s="69" t="str">
        <f aca="false">IF($E157="","",IF($M157,IF(AND($G157&gt;=CK$5,$G157&lt;CK$5+GanttPeriod),"◆",IF(AND($E157&gt;=CK$5,$E157&lt;CK$5+GanttPeriod),"◇","")),IF(AND(CK$5&lt;=$F157,CK$5+GanttPeriod-1&gt;=$E157),"━","")))</f>
        <v/>
      </c>
      <c r="CL157" s="69" t="str">
        <f aca="false">IF($E157="","",IF($M157,IF(AND($G157&gt;=CL$5,$G157&lt;CL$5+GanttPeriod),"◆",IF(AND($E157&gt;=CL$5,$E157&lt;CL$5+GanttPeriod),"◇","")),IF(AND(CL$5&lt;=$F157,CL$5+GanttPeriod-1&gt;=$E157),"━","")))</f>
        <v/>
      </c>
      <c r="CM157" s="69" t="str">
        <f aca="false">IF($E157="","",IF($M157,IF(AND($G157&gt;=CM$5,$G157&lt;CM$5+GanttPeriod),"◆",IF(AND($E157&gt;=CM$5,$E157&lt;CM$5+GanttPeriod),"◇","")),IF(AND(CM$5&lt;=$F157,CM$5+GanttPeriod-1&gt;=$E157),"━","")))</f>
        <v/>
      </c>
      <c r="CN157" s="69" t="str">
        <f aca="false">IF($E157="","",IF($M157,IF(AND($G157&gt;=CN$5,$G157&lt;CN$5+GanttPeriod),"◆",IF(AND($E157&gt;=CN$5,$E157&lt;CN$5+GanttPeriod),"◇","")),IF(AND(CN$5&lt;=$F157,CN$5+GanttPeriod-1&gt;=$E157),"━","")))</f>
        <v/>
      </c>
      <c r="CO157" s="69" t="str">
        <f aca="false">IF($E157="","",IF($M157,IF(AND($G157&gt;=CO$5,$G157&lt;CO$5+GanttPeriod),"◆",IF(AND($E157&gt;=CO$5,$E157&lt;CO$5+GanttPeriod),"◇","")),IF(AND(CO$5&lt;=$F157,CO$5+GanttPeriod-1&gt;=$E157),"━","")))</f>
        <v/>
      </c>
      <c r="CP157" s="69" t="str">
        <f aca="false">IF($E157="","",IF($M157,IF(AND($G157&gt;=CP$5,$G157&lt;CP$5+GanttPeriod),"◆",IF(AND($E157&gt;=CP$5,$E157&lt;CP$5+GanttPeriod),"◇","")),IF(AND(CP$5&lt;=$F157,CP$5+GanttPeriod-1&gt;=$E157),"━","")))</f>
        <v/>
      </c>
      <c r="CQ157" s="69" t="str">
        <f aca="false">IF($E157="","",IF($M157,IF(AND($G157&gt;=CQ$5,$G157&lt;CQ$5+GanttPeriod),"◆",IF(AND($E157&gt;=CQ$5,$E157&lt;CQ$5+GanttPeriod),"◇","")),IF(AND(CQ$5&lt;=$F157,CQ$5+GanttPeriod-1&gt;=$E157),"━","")))</f>
        <v/>
      </c>
      <c r="CR157" s="69" t="str">
        <f aca="false">IF($E157="","",IF($M157,IF(AND($G157&gt;=CR$5,$G157&lt;CR$5+GanttPeriod),"◆",IF(AND($E157&gt;=CR$5,$E157&lt;CR$5+GanttPeriod),"◇","")),IF(AND(CR$5&lt;=$F157,CR$5+GanttPeriod-1&gt;=$E157),"━","")))</f>
        <v/>
      </c>
      <c r="CS157" s="69" t="str">
        <f aca="false">IF($E157="","",IF($M157,IF(AND($G157&gt;=CS$5,$G157&lt;CS$5+GanttPeriod),"◆",IF(AND($E157&gt;=CS$5,$E157&lt;CS$5+GanttPeriod),"◇","")),IF(AND(CS$5&lt;=$F157,CS$5+GanttPeriod-1&gt;=$E157),"━","")))</f>
        <v/>
      </c>
      <c r="CT157" s="69" t="str">
        <f aca="false">IF($E157="","",IF($M157,IF(AND($G157&gt;=CT$5,$G157&lt;CT$5+GanttPeriod),"◆",IF(AND($E157&gt;=CT$5,$E157&lt;CT$5+GanttPeriod),"◇","")),IF(AND(CT$5&lt;=$F157,CT$5+GanttPeriod-1&gt;=$E157),"━","")))</f>
        <v/>
      </c>
      <c r="CU157" s="69" t="str">
        <f aca="false">IF($E157="","",IF($M157,IF(AND($G157&gt;=CU$5,$G157&lt;CU$5+GanttPeriod),"◆",IF(AND($E157&gt;=CU$5,$E157&lt;CU$5+GanttPeriod),"◇","")),IF(AND(CU$5&lt;=$F157,CU$5+GanttPeriod-1&gt;=$E157),"━","")))</f>
        <v/>
      </c>
      <c r="CV157" s="69" t="str">
        <f aca="false">IF($E157="","",IF($M157,IF(AND($G157&gt;=CV$5,$G157&lt;CV$5+GanttPeriod),"◆",IF(AND($E157&gt;=CV$5,$E157&lt;CV$5+GanttPeriod),"◇","")),IF(AND(CV$5&lt;=$F157,CV$5+GanttPeriod-1&gt;=$E157),"━","")))</f>
        <v/>
      </c>
      <c r="CW157" s="69" t="str">
        <f aca="false">IF($E157="","",IF($M157,IF(AND($G157&gt;=CW$5,$G157&lt;CW$5+GanttPeriod),"◆",IF(AND($E157&gt;=CW$5,$E157&lt;CW$5+GanttPeriod),"◇","")),IF(AND(CW$5&lt;=$F157,CW$5+GanttPeriod-1&gt;=$E157),"━","")))</f>
        <v/>
      </c>
      <c r="CX157" s="69" t="str">
        <f aca="false">IF($E157="","",IF($M157,IF(AND($G157&gt;=CX$5,$G157&lt;CX$5+GanttPeriod),"◆",IF(AND($E157&gt;=CX$5,$E157&lt;CX$5+GanttPeriod),"◇","")),IF(AND(CX$5&lt;=$F157,CX$5+GanttPeriod-1&gt;=$E157),"━","")))</f>
        <v/>
      </c>
      <c r="CY157" s="69" t="str">
        <f aca="false">IF($E157="","",IF($M157,IF(AND($G157&gt;=CY$5,$G157&lt;CY$5+GanttPeriod),"◆",IF(AND($E157&gt;=CY$5,$E157&lt;CY$5+GanttPeriod),"◇","")),IF(AND(CY$5&lt;=$F157,CY$5+GanttPeriod-1&gt;=$E157),"━","")))</f>
        <v/>
      </c>
      <c r="CZ157" s="69" t="str">
        <f aca="false">IF($E157="","",IF($M157,IF(AND($G157&gt;=CZ$5,$G157&lt;CZ$5+GanttPeriod),"◆",IF(AND($E157&gt;=CZ$5,$E157&lt;CZ$5+GanttPeriod),"◇","")),IF(AND(CZ$5&lt;=$F157,CZ$5+GanttPeriod-1&gt;=$E157),"━","")))</f>
        <v/>
      </c>
      <c r="DA157" s="69" t="str">
        <f aca="false">IF($E157="","",IF($M157,IF(AND($G157&gt;=DA$5,$G157&lt;DA$5+GanttPeriod),"◆",IF(AND($E157&gt;=DA$5,$E157&lt;DA$5+GanttPeriod),"◇","")),IF(AND(DA$5&lt;=$F157,DA$5+GanttPeriod-1&gt;=$E157),"━","")))</f>
        <v/>
      </c>
      <c r="DB157" s="69" t="str">
        <f aca="false">IF($E157="","",IF($M157,IF(AND($G157&gt;=DB$5,$G157&lt;DB$5+GanttPeriod),"◆",IF(AND($E157&gt;=DB$5,$E157&lt;DB$5+GanttPeriod),"◇","")),IF(AND(DB$5&lt;=$F157,DB$5+GanttPeriod-1&gt;=$E157),"━","")))</f>
        <v/>
      </c>
      <c r="DC157" s="69" t="str">
        <f aca="false">IF($E157="","",IF($M157,IF(AND($G157&gt;=DC$5,$G157&lt;DC$5+GanttPeriod),"◆",IF(AND($E157&gt;=DC$5,$E157&lt;DC$5+GanttPeriod),"◇","")),IF(AND(DC$5&lt;=$F157,DC$5+GanttPeriod-1&gt;=$E157),"━","")))</f>
        <v/>
      </c>
      <c r="DD157" s="69" t="str">
        <f aca="false">IF($E157="","",IF($M157,IF(AND($G157&gt;=DD$5,$G157&lt;DD$5+GanttPeriod),"◆",IF(AND($E157&gt;=DD$5,$E157&lt;DD$5+GanttPeriod),"◇","")),IF(AND(DD$5&lt;=$F157,DD$5+GanttPeriod-1&gt;=$E157),"━","")))</f>
        <v/>
      </c>
      <c r="DE157" s="69" t="str">
        <f aca="false">IF($E157="","",IF($M157,IF(AND($G157&gt;=DE$5,$G157&lt;DE$5+GanttPeriod),"◆",IF(AND($E157&gt;=DE$5,$E157&lt;DE$5+GanttPeriod),"◇","")),IF(AND(DE$5&lt;=$F157,DE$5+GanttPeriod-1&gt;=$E157),"━","")))</f>
        <v/>
      </c>
      <c r="DF157" s="69" t="str">
        <f aca="false">IF($E157="","",IF($M157,IF(AND($G157&gt;=DF$5,$G157&lt;DF$5+GanttPeriod),"◆",IF(AND($E157&gt;=DF$5,$E157&lt;DF$5+GanttPeriod),"◇","")),IF(AND(DF$5&lt;=$F157,DF$5+GanttPeriod-1&gt;=$E157),"━","")))</f>
        <v/>
      </c>
      <c r="DG157" s="69" t="str">
        <f aca="false">IF($E157="","",IF($M157,IF(AND($G157&gt;=DG$5,$G157&lt;DG$5+GanttPeriod),"◆",IF(AND($E157&gt;=DG$5,$E157&lt;DG$5+GanttPeriod),"◇","")),IF(AND(DG$5&lt;=$F157,DG$5+GanttPeriod-1&gt;=$E157),"━","")))</f>
        <v/>
      </c>
      <c r="DH157" s="69" t="str">
        <f aca="false">IF($E157="","",IF($M157,IF(AND($G157&gt;=DH$5,$G157&lt;DH$5+GanttPeriod),"◆",IF(AND($E157&gt;=DH$5,$E157&lt;DH$5+GanttPeriod),"◇","")),IF(AND(DH$5&lt;=$F157,DH$5+GanttPeriod-1&gt;=$E157),"━","")))</f>
        <v/>
      </c>
      <c r="DI157" s="69" t="str">
        <f aca="false">IF($E157="","",IF($M157,IF(AND($G157&gt;=DI$5,$G157&lt;DI$5+GanttPeriod),"◆",IF(AND($E157&gt;=DI$5,$E157&lt;DI$5+GanttPeriod),"◇","")),IF(AND(DI$5&lt;=$F157,DI$5+GanttPeriod-1&gt;=$E157),"━","")))</f>
        <v/>
      </c>
      <c r="DJ157" s="69" t="str">
        <f aca="false">IF($E157="","",IF($M157,IF(AND($G157&gt;=DJ$5,$G157&lt;DJ$5+GanttPeriod),"◆",IF(AND($E157&gt;=DJ$5,$E157&lt;DJ$5+GanttPeriod),"◇","")),IF(AND(DJ$5&lt;=$F157,DJ$5+GanttPeriod-1&gt;=$E157),"━","")))</f>
        <v/>
      </c>
      <c r="DK157" s="69" t="str">
        <f aca="false">IF($E157="","",IF($M157,IF(AND($G157&gt;=DK$5,$G157&lt;DK$5+GanttPeriod),"◆",IF(AND($E157&gt;=DK$5,$E157&lt;DK$5+GanttPeriod),"◇","")),IF(AND(DK$5&lt;=$F157,DK$5+GanttPeriod-1&gt;=$E157),"━","")))</f>
        <v/>
      </c>
      <c r="DL157" s="69" t="str">
        <f aca="false">IF($E157="","",IF($M157,IF(AND($G157&gt;=DL$5,$G157&lt;DL$5+GanttPeriod),"◆",IF(AND($E157&gt;=DL$5,$E157&lt;DL$5+GanttPeriod),"◇","")),IF(AND(DL$5&lt;=$F157,DL$5+GanttPeriod-1&gt;=$E157),"━","")))</f>
        <v/>
      </c>
      <c r="DM157" s="69" t="str">
        <f aca="false">IF($E157="","",IF($M157,IF(AND($G157&gt;=DM$5,$G157&lt;DM$5+GanttPeriod),"◆",IF(AND($E157&gt;=DM$5,$E157&lt;DM$5+GanttPeriod),"◇","")),IF(AND(DM$5&lt;=$F157,DM$5+GanttPeriod-1&gt;=$E157),"━","")))</f>
        <v/>
      </c>
      <c r="DN157" s="69" t="str">
        <f aca="false">IF($E157="","",IF($M157,IF(AND($G157&gt;=DN$5,$G157&lt;DN$5+GanttPeriod),"◆",IF(AND($E157&gt;=DN$5,$E157&lt;DN$5+GanttPeriod),"◇","")),IF(AND(DN$5&lt;=$F157,DN$5+GanttPeriod-1&gt;=$E157),"━","")))</f>
        <v/>
      </c>
      <c r="DO157" s="69" t="str">
        <f aca="false">IF($E157="","",IF($M157,IF(AND($G157&gt;=DO$5,$G157&lt;DO$5+GanttPeriod),"◆",IF(AND($E157&gt;=DO$5,$E157&lt;DO$5+GanttPeriod),"◇","")),IF(AND(DO$5&lt;=$F157,DO$5+GanttPeriod-1&gt;=$E157),"━","")))</f>
        <v/>
      </c>
      <c r="DP157" s="69" t="str">
        <f aca="false">IF($E157="","",IF($M157,IF(AND($G157&gt;=DP$5,$G157&lt;DP$5+GanttPeriod),"◆",IF(AND($E157&gt;=DP$5,$E157&lt;DP$5+GanttPeriod),"◇","")),IF(AND(DP$5&lt;=$F157,DP$5+GanttPeriod-1&gt;=$E157),"━","")))</f>
        <v/>
      </c>
      <c r="DQ157" s="69" t="str">
        <f aca="false">IF($E157="","",IF($M157,IF(AND($G157&gt;=DQ$5,$G157&lt;DQ$5+GanttPeriod),"◆",IF(AND($E157&gt;=DQ$5,$E157&lt;DQ$5+GanttPeriod),"◇","")),IF(AND(DQ$5&lt;=$F157,DQ$5+GanttPeriod-1&gt;=$E157),"━","")))</f>
        <v/>
      </c>
      <c r="DR157" s="69" t="str">
        <f aca="false">IF($E157="","",IF($M157,IF(AND($G157&gt;=DR$5,$G157&lt;DR$5+GanttPeriod),"◆",IF(AND($E157&gt;=DR$5,$E157&lt;DR$5+GanttPeriod),"◇","")),IF(AND(DR$5&lt;=$F157,DR$5+GanttPeriod-1&gt;=$E157),"━","")))</f>
        <v/>
      </c>
      <c r="DS157" s="69" t="str">
        <f aca="false">IF($E157="","",IF($M157,IF(AND($G157&gt;=DS$5,$G157&lt;DS$5+GanttPeriod),"◆",IF(AND($E157&gt;=DS$5,$E157&lt;DS$5+GanttPeriod),"◇","")),IF(AND(DS$5&lt;=$F157,DS$5+GanttPeriod-1&gt;=$E157),"━","")))</f>
        <v/>
      </c>
      <c r="DT157" s="69" t="str">
        <f aca="false">IF($E157="","",IF($M157,IF(AND($G157&gt;=DT$5,$G157&lt;DT$5+GanttPeriod),"◆",IF(AND($E157&gt;=DT$5,$E157&lt;DT$5+GanttPeriod),"◇","")),IF(AND(DT$5&lt;=$F157,DT$5+GanttPeriod-1&gt;=$E157),"━","")))</f>
        <v/>
      </c>
      <c r="DU157" s="69" t="str">
        <f aca="false">IF($E157="","",IF($M157,IF(AND($G157&gt;=DU$5,$G157&lt;DU$5+GanttPeriod),"◆",IF(AND($E157&gt;=DU$5,$E157&lt;DU$5+GanttPeriod),"◇","")),IF(AND(DU$5&lt;=$F157,DU$5+GanttPeriod-1&gt;=$E157),"━","")))</f>
        <v/>
      </c>
      <c r="DV157" s="69" t="str">
        <f aca="false">IF($E157="","",IF($M157,IF(AND($G157&gt;=DV$5,$G157&lt;DV$5+GanttPeriod),"◆",IF(AND($E157&gt;=DV$5,$E157&lt;DV$5+GanttPeriod),"◇","")),IF(AND(DV$5&lt;=$F157,DV$5+GanttPeriod-1&gt;=$E157),"━","")))</f>
        <v/>
      </c>
      <c r="DW157" s="69" t="str">
        <f aca="false">IF($E157="","",IF($M157,IF(AND($G157&gt;=DW$5,$G157&lt;DW$5+GanttPeriod),"◆",IF(AND($E157&gt;=DW$5,$E157&lt;DW$5+GanttPeriod),"◇","")),IF(AND(DW$5&lt;=$F157,DW$5+GanttPeriod-1&gt;=$E157),"━","")))</f>
        <v/>
      </c>
      <c r="DX157" s="69" t="str">
        <f aca="false">IF($E157="","",IF($M157,IF(AND($G157&gt;=DX$5,$G157&lt;DX$5+GanttPeriod),"◆",IF(AND($E157&gt;=DX$5,$E157&lt;DX$5+GanttPeriod),"◇","")),IF(AND(DX$5&lt;=$F157,DX$5+GanttPeriod-1&gt;=$E157),"━","")))</f>
        <v/>
      </c>
      <c r="DY157" s="69" t="str">
        <f aca="false">IF($E157="","",IF($M157,IF(AND($G157&gt;=DY$5,$G157&lt;DY$5+GanttPeriod),"◆",IF(AND($E157&gt;=DY$5,$E157&lt;DY$5+GanttPeriod),"◇","")),IF(AND(DY$5&lt;=$F157,DY$5+GanttPeriod-1&gt;=$E157),"━","")))</f>
        <v/>
      </c>
      <c r="DZ157" s="69" t="str">
        <f aca="false">IF($E157="","",IF($M157,IF(AND($G157&gt;=DZ$5,$G157&lt;DZ$5+GanttPeriod),"◆",IF(AND($E157&gt;=DZ$5,$E157&lt;DZ$5+GanttPeriod),"◇","")),IF(AND(DZ$5&lt;=$F157,DZ$5+GanttPeriod-1&gt;=$E157),"━","")))</f>
        <v/>
      </c>
      <c r="EA157" s="69" t="str">
        <f aca="false">IF($E157="","",IF($M157,IF(AND($G157&gt;=EA$5,$G157&lt;EA$5+GanttPeriod),"◆",IF(AND($E157&gt;=EA$5,$E157&lt;EA$5+GanttPeriod),"◇","")),IF(AND(EA$5&lt;=$F157,EA$5+GanttPeriod-1&gt;=$E157),"━","")))</f>
        <v/>
      </c>
      <c r="EB157" s="69" t="str">
        <f aca="false">IF($E157="","",IF($M157,IF(AND($G157&gt;=EB$5,$G157&lt;EB$5+GanttPeriod),"◆",IF(AND($E157&gt;=EB$5,$E157&lt;EB$5+GanttPeriod),"◇","")),IF(AND(EB$5&lt;=$F157,EB$5+GanttPeriod-1&gt;=$E157),"━","")))</f>
        <v/>
      </c>
      <c r="EC157" s="69" t="str">
        <f aca="false">IF($E157="","",IF($M157,IF(AND($G157&gt;=EC$5,$G157&lt;EC$5+GanttPeriod),"◆",IF(AND($E157&gt;=EC$5,$E157&lt;EC$5+GanttPeriod),"◇","")),IF(AND(EC$5&lt;=$F157,EC$5+GanttPeriod-1&gt;=$E157),"━","")))</f>
        <v/>
      </c>
      <c r="ED157" s="69" t="str">
        <f aca="false">IF($E157="","",IF($M157,IF(AND($G157&gt;=ED$5,$G157&lt;ED$5+GanttPeriod),"◆",IF(AND($E157&gt;=ED$5,$E157&lt;ED$5+GanttPeriod),"◇","")),IF(AND(ED$5&lt;=$F157,ED$5+GanttPeriod-1&gt;=$E157),"━","")))</f>
        <v/>
      </c>
      <c r="EE157" s="69" t="str">
        <f aca="false">IF($E157="","",IF($M157,IF(AND($G157&gt;=EE$5,$G157&lt;EE$5+GanttPeriod),"◆",IF(AND($E157&gt;=EE$5,$E157&lt;EE$5+GanttPeriod),"◇","")),IF(AND(EE$5&lt;=$F157,EE$5+GanttPeriod-1&gt;=$E157),"━","")))</f>
        <v/>
      </c>
      <c r="EF157" s="69" t="str">
        <f aca="false">IF($E157="","",IF($M157,IF(AND($G157&gt;=EF$5,$G157&lt;EF$5+GanttPeriod),"◆",IF(AND($E157&gt;=EF$5,$E157&lt;EF$5+GanttPeriod),"◇","")),IF(AND(EF$5&lt;=$F157,EF$5+GanttPeriod-1&gt;=$E157),"━","")))</f>
        <v/>
      </c>
      <c r="EG157" s="69" t="str">
        <f aca="false">IF($E157="","",IF($M157,IF(AND($G157&gt;=EG$5,$G157&lt;EG$5+GanttPeriod),"◆",IF(AND($E157&gt;=EG$5,$E157&lt;EG$5+GanttPeriod),"◇","")),IF(AND(EG$5&lt;=$F157,EG$5+GanttPeriod-1&gt;=$E157),"━","")))</f>
        <v/>
      </c>
      <c r="EH157" s="69" t="str">
        <f aca="false">IF($E157="","",IF($M157,IF(AND($G157&gt;=EH$5,$G157&lt;EH$5+GanttPeriod),"◆",IF(AND($E157&gt;=EH$5,$E157&lt;EH$5+GanttPeriod),"◇","")),IF(AND(EH$5&lt;=$F157,EH$5+GanttPeriod-1&gt;=$E157),"━","")))</f>
        <v/>
      </c>
      <c r="EI157" s="69" t="str">
        <f aca="false">IF($E157="","",IF($M157,IF(AND($G157&gt;=EI$5,$G157&lt;EI$5+GanttPeriod),"◆",IF(AND($E157&gt;=EI$5,$E157&lt;EI$5+GanttPeriod),"◇","")),IF(AND(EI$5&lt;=$F157,EI$5+GanttPeriod-1&gt;=$E157),"━","")))</f>
        <v/>
      </c>
      <c r="EJ157" s="69" t="str">
        <f aca="false">IF($E157="","",IF($M157,IF(AND($G157&gt;=EJ$5,$G157&lt;EJ$5+GanttPeriod),"◆",IF(AND($E157&gt;=EJ$5,$E157&lt;EJ$5+GanttPeriod),"◇","")),IF(AND(EJ$5&lt;=$F157,EJ$5+GanttPeriod-1&gt;=$E157),"━","")))</f>
        <v/>
      </c>
      <c r="EK157" s="69" t="str">
        <f aca="false">IF($E157="","",IF($M157,IF(AND($G157&gt;=EK$5,$G157&lt;EK$5+GanttPeriod),"◆",IF(AND($E157&gt;=EK$5,$E157&lt;EK$5+GanttPeriod),"◇","")),IF(AND(EK$5&lt;=$F157,EK$5+GanttPeriod-1&gt;=$E157),"━","")))</f>
        <v/>
      </c>
      <c r="EL157" s="69" t="str">
        <f aca="false">IF($E157="","",IF($M157,IF(AND($G157&gt;=EL$5,$G157&lt;EL$5+GanttPeriod),"◆",IF(AND($E157&gt;=EL$5,$E157&lt;EL$5+GanttPeriod),"◇","")),IF(AND(EL$5&lt;=$F157,EL$5+GanttPeriod-1&gt;=$E157),"━","")))</f>
        <v/>
      </c>
      <c r="EM157" s="69" t="str">
        <f aca="false">IF($E157="","",IF($M157,IF(AND($G157&gt;=EM$5,$G157&lt;EM$5+GanttPeriod),"◆",IF(AND($E157&gt;=EM$5,$E157&lt;EM$5+GanttPeriod),"◇","")),IF(AND(EM$5&lt;=$F157,EM$5+GanttPeriod-1&gt;=$E157),"━","")))</f>
        <v/>
      </c>
      <c r="EN157" s="69" t="str">
        <f aca="false">IF($E157="","",IF($M157,IF(AND($G157&gt;=EN$5,$G157&lt;EN$5+GanttPeriod),"◆",IF(AND($E157&gt;=EN$5,$E157&lt;EN$5+GanttPeriod),"◇","")),IF(AND(EN$5&lt;=$F157,EN$5+GanttPeriod-1&gt;=$E157),"━","")))</f>
        <v/>
      </c>
      <c r="EO157" s="69" t="str">
        <f aca="false">IF($E157="","",IF($M157,IF(AND($G157&gt;=EO$5,$G157&lt;EO$5+GanttPeriod),"◆",IF(AND($E157&gt;=EO$5,$E157&lt;EO$5+GanttPeriod),"◇","")),IF(AND(EO$5&lt;=$F157,EO$5+GanttPeriod-1&gt;=$E157),"━","")))</f>
        <v/>
      </c>
      <c r="EP157" s="69" t="str">
        <f aca="false">IF($E157="","",IF($M157,IF(AND($G157&gt;=EP$5,$G157&lt;EP$5+GanttPeriod),"◆",IF(AND($E157&gt;=EP$5,$E157&lt;EP$5+GanttPeriod),"◇","")),IF(AND(EP$5&lt;=$F157,EP$5+GanttPeriod-1&gt;=$E157),"━","")))</f>
        <v/>
      </c>
      <c r="EQ157" s="69" t="str">
        <f aca="false">IF($E157="","",IF($M157,IF(AND($G157&gt;=EQ$5,$G157&lt;EQ$5+GanttPeriod),"◆",IF(AND($E157&gt;=EQ$5,$E157&lt;EQ$5+GanttPeriod),"◇","")),IF(AND(EQ$5&lt;=$F157,EQ$5+GanttPeriod-1&gt;=$E157),"━","")))</f>
        <v/>
      </c>
      <c r="ER157" s="69" t="str">
        <f aca="false">IF($E157="","",IF($M157,IF(AND($G157&gt;=ER$5,$G157&lt;ER$5+GanttPeriod),"◆",IF(AND($E157&gt;=ER$5,$E157&lt;ER$5+GanttPeriod),"◇","")),IF(AND(ER$5&lt;=$F157,ER$5+GanttPeriod-1&gt;=$E157),"━","")))</f>
        <v/>
      </c>
      <c r="ES157" s="69" t="str">
        <f aca="false">IF($E157="","",IF($M157,IF(AND($G157&gt;=ES$5,$G157&lt;ES$5+GanttPeriod),"◆",IF(AND($E157&gt;=ES$5,$E157&lt;ES$5+GanttPeriod),"◇","")),IF(AND(ES$5&lt;=$F157,ES$5+GanttPeriod-1&gt;=$E157),"━","")))</f>
        <v/>
      </c>
      <c r="ET157" s="69" t="str">
        <f aca="false">IF($E157="","",IF($M157,IF(AND($G157&gt;=ET$5,$G157&lt;ET$5+GanttPeriod),"◆",IF(AND($E157&gt;=ET$5,$E157&lt;ET$5+GanttPeriod),"◇","")),IF(AND(ET$5&lt;=$F157,ET$5+GanttPeriod-1&gt;=$E157),"━","")))</f>
        <v/>
      </c>
      <c r="EU157" s="69" t="str">
        <f aca="false">IF($E157="","",IF($M157,IF(AND($G157&gt;=EU$5,$G157&lt;EU$5+GanttPeriod),"◆",IF(AND($E157&gt;=EU$5,$E157&lt;EU$5+GanttPeriod),"◇","")),IF(AND(EU$5&lt;=$F157,EU$5+GanttPeriod-1&gt;=$E157),"━","")))</f>
        <v/>
      </c>
      <c r="EV157" s="69" t="str">
        <f aca="false">IF($E157="","",IF($M157,IF(AND($G157&gt;=EV$5,$G157&lt;EV$5+GanttPeriod),"◆",IF(AND($E157&gt;=EV$5,$E157&lt;EV$5+GanttPeriod),"◇","")),IF(AND(EV$5&lt;=$F157,EV$5+GanttPeriod-1&gt;=$E157),"━","")))</f>
        <v/>
      </c>
      <c r="EW157" s="69" t="str">
        <f aca="false">IF($E157="","",IF($M157,IF(AND($G157&gt;=EW$5,$G157&lt;EW$5+GanttPeriod),"◆",IF(AND($E157&gt;=EW$5,$E157&lt;EW$5+GanttPeriod),"◇","")),IF(AND(EW$5&lt;=$F157,EW$5+GanttPeriod-1&gt;=$E157),"━","")))</f>
        <v/>
      </c>
      <c r="EX157" s="69" t="str">
        <f aca="false">IF($E157="","",IF($M157,IF(AND($G157&gt;=EX$5,$G157&lt;EX$5+GanttPeriod),"◆",IF(AND($E157&gt;=EX$5,$E157&lt;EX$5+GanttPeriod),"◇","")),IF(AND(EX$5&lt;=$F157,EX$5+GanttPeriod-1&gt;=$E157),"━","")))</f>
        <v/>
      </c>
      <c r="EY157" s="69" t="str">
        <f aca="false">IF($E157="","",IF($M157,IF(AND($G157&gt;=EY$5,$G157&lt;EY$5+GanttPeriod),"◆",IF(AND($E157&gt;=EY$5,$E157&lt;EY$5+GanttPeriod),"◇","")),IF(AND(EY$5&lt;=$F157,EY$5+GanttPeriod-1&gt;=$E157),"━","")))</f>
        <v/>
      </c>
      <c r="EZ157" s="69" t="str">
        <f aca="false">IF($E157="","",IF($M157,IF(AND($G157&gt;=EZ$5,$G157&lt;EZ$5+GanttPeriod),"◆",IF(AND($E157&gt;=EZ$5,$E157&lt;EZ$5+GanttPeriod),"◇","")),IF(AND(EZ$5&lt;=$F157,EZ$5+GanttPeriod-1&gt;=$E157),"━","")))</f>
        <v/>
      </c>
      <c r="FA157" s="69" t="str">
        <f aca="false">IF($E157="","",IF($M157,IF(AND($G157&gt;=FA$5,$G157&lt;FA$5+GanttPeriod),"◆",IF(AND($E157&gt;=FA$5,$E157&lt;FA$5+GanttPeriod),"◇","")),IF(AND(FA$5&lt;=$F157,FA$5+GanttPeriod-1&gt;=$E157),"━","")))</f>
        <v/>
      </c>
      <c r="FB157" s="69" t="str">
        <f aca="false">IF($E157="","",IF($M157,IF(AND($G157&gt;=FB$5,$G157&lt;FB$5+GanttPeriod),"◆",IF(AND($E157&gt;=FB$5,$E157&lt;FB$5+GanttPeriod),"◇","")),IF(AND(FB$5&lt;=$F157,FB$5+GanttPeriod-1&gt;=$E157),"━","")))</f>
        <v/>
      </c>
      <c r="FC157" s="69" t="str">
        <f aca="false">IF($E157="","",IF($M157,IF(AND($G157&gt;=FC$5,$G157&lt;FC$5+GanttPeriod),"◆",IF(AND($E157&gt;=FC$5,$E157&lt;FC$5+GanttPeriod),"◇","")),IF(AND(FC$5&lt;=$F157,FC$5+GanttPeriod-1&gt;=$E157),"━","")))</f>
        <v/>
      </c>
      <c r="FD157" s="69" t="str">
        <f aca="false">IF($E157="","",IF($M157,IF(AND($G157&gt;=FD$5,$G157&lt;FD$5+GanttPeriod),"◆",IF(AND($E157&gt;=FD$5,$E157&lt;FD$5+GanttPeriod),"◇","")),IF(AND(FD$5&lt;=$F157,FD$5+GanttPeriod-1&gt;=$E157),"━","")))</f>
        <v/>
      </c>
      <c r="FE157" s="69" t="str">
        <f aca="false">IF($E157="","",IF($M157,IF(AND($G157&gt;=FE$5,$G157&lt;FE$5+GanttPeriod),"◆",IF(AND($E157&gt;=FE$5,$E157&lt;FE$5+GanttPeriod),"◇","")),IF(AND(FE$5&lt;=$F157,FE$5+GanttPeriod-1&gt;=$E157),"━","")))</f>
        <v/>
      </c>
      <c r="FF157" s="69" t="str">
        <f aca="false">IF($E157="","",IF($M157,IF(AND($G157&gt;=FF$5,$G157&lt;FF$5+GanttPeriod),"◆",IF(AND($E157&gt;=FF$5,$E157&lt;FF$5+GanttPeriod),"◇","")),IF(AND(FF$5&lt;=$F157,FF$5+GanttPeriod-1&gt;=$E157),"━","")))</f>
        <v/>
      </c>
      <c r="FG157" s="69" t="str">
        <f aca="false">IF($E157="","",IF($M157,IF(AND($G157&gt;=FG$5,$G157&lt;FG$5+GanttPeriod),"◆",IF(AND($E157&gt;=FG$5,$E157&lt;FG$5+GanttPeriod),"◇","")),IF(AND(FG$5&lt;=$F157,FG$5+GanttPeriod-1&gt;=$E157),"━","")))</f>
        <v/>
      </c>
      <c r="FH157" s="69" t="str">
        <f aca="false">IF($E157="","",IF($M157,IF(AND($G157&gt;=FH$5,$G157&lt;FH$5+GanttPeriod),"◆",IF(AND($E157&gt;=FH$5,$E157&lt;FH$5+GanttPeriod),"◇","")),IF(AND(FH$5&lt;=$F157,FH$5+GanttPeriod-1&gt;=$E157),"━","")))</f>
        <v/>
      </c>
      <c r="FI157" s="69" t="str">
        <f aca="false">IF($E157="","",IF($M157,IF(AND($G157&gt;=FI$5,$G157&lt;FI$5+GanttPeriod),"◆",IF(AND($E157&gt;=FI$5,$E157&lt;FI$5+GanttPeriod),"◇","")),IF(AND(FI$5&lt;=$F157,FI$5+GanttPeriod-1&gt;=$E157),"━","")))</f>
        <v/>
      </c>
      <c r="FJ157" s="69" t="str">
        <f aca="false">IF($E157="","",IF($M157,IF(AND($G157&gt;=FJ$5,$G157&lt;FJ$5+GanttPeriod),"◆",IF(AND($E157&gt;=FJ$5,$E157&lt;FJ$5+GanttPeriod),"◇","")),IF(AND(FJ$5&lt;=$F157,FJ$5+GanttPeriod-1&gt;=$E157),"━","")))</f>
        <v/>
      </c>
      <c r="FK157" s="69" t="str">
        <f aca="false">IF($E157="","",IF($M157,IF(AND($G157&gt;=FK$5,$G157&lt;FK$5+GanttPeriod),"◆",IF(AND($E157&gt;=FK$5,$E157&lt;FK$5+GanttPeriod),"◇","")),IF(AND(FK$5&lt;=$F157,FK$5+GanttPeriod-1&gt;=$E157),"━","")))</f>
        <v/>
      </c>
      <c r="FL157" s="69" t="str">
        <f aca="false">IF($E157="","",IF($M157,IF(AND($G157&gt;=FL$5,$G157&lt;FL$5+GanttPeriod),"◆",IF(AND($E157&gt;=FL$5,$E157&lt;FL$5+GanttPeriod),"◇","")),IF(AND(FL$5&lt;=$F157,FL$5+GanttPeriod-1&gt;=$E157),"━","")))</f>
        <v/>
      </c>
      <c r="FM157" s="69" t="str">
        <f aca="false">IF($E157="","",IF($M157,IF(AND($G157&gt;=FM$5,$G157&lt;FM$5+GanttPeriod),"◆",IF(AND($E157&gt;=FM$5,$E157&lt;FM$5+GanttPeriod),"◇","")),IF(AND(FM$5&lt;=$F157,FM$5+GanttPeriod-1&gt;=$E157),"━","")))</f>
        <v/>
      </c>
    </row>
    <row r="158" customFormat="false" ht="15" hidden="false" customHeight="false" outlineLevel="0" collapsed="false">
      <c r="A158" s="62" t="str">
        <f aca="false">IF(Tasks!$D158="","",Tasks!$A158)</f>
        <v/>
      </c>
      <c r="B158" s="62" t="str">
        <f aca="false">IF(Tasks!$D158="","",Tasks!$B158)</f>
        <v/>
      </c>
      <c r="C158" s="63" t="str">
        <f aca="false">IF(Tasks!$D158="","",REPT("    ",Tasks!$AE158-1)&amp;Tasks!$D158)</f>
        <v/>
      </c>
      <c r="D158" s="62" t="str">
        <f aca="false">IF(Tasks!$D158="","",IF(Tasks!$AI158,NETWORKDAYS.INTL(Tasks!$R158,Tasks!$S158,WorkWeek,Holidays),N(Tasks!$F158)))</f>
        <v/>
      </c>
      <c r="E158" s="64" t="str">
        <f aca="false">IF(Tasks!$D158="","",Tasks!$N158)</f>
        <v/>
      </c>
      <c r="F158" s="64" t="str">
        <f aca="false">IF(Tasks!$D158="","",Tasks!$O158)</f>
        <v/>
      </c>
      <c r="G158" s="64" t="str">
        <f aca="false">IF(Tasks!$D158="","",Tasks!$R158)</f>
        <v/>
      </c>
      <c r="H158" s="64" t="str">
        <f aca="false">IF(Tasks!$D158="","",Tasks!$S158)</f>
        <v/>
      </c>
      <c r="I158" s="65" t="str">
        <f aca="false">IF(Tasks!$D158="","",Tasks!$V158)</f>
        <v/>
      </c>
      <c r="J158" s="63" t="str">
        <f aca="false">IF(Tasks!$D158="","",Tasks!$X158&amp;"")</f>
        <v/>
      </c>
      <c r="K158" s="66" t="str">
        <f aca="false">IF(Tasks!$D158="","",Tasks!$W158)</f>
        <v/>
      </c>
      <c r="L158" s="67" t="b">
        <f aca="false">IF(Tasks!$D158="",FALSE(),Tasks!$AI158)</f>
        <v>0</v>
      </c>
      <c r="M158" s="67" t="b">
        <f aca="false">AND(Tasks!$AJ158=1,N(Tasks!$F158)=0)</f>
        <v>0</v>
      </c>
      <c r="N158" s="68" t="n">
        <f aca="false">IF(AND(Tasks!$AJ158=1,NOT($M158),N($I158)&gt;0),$G158,0)</f>
        <v>0</v>
      </c>
      <c r="O158" s="68" t="n">
        <f aca="false">IF($N158=0,0,IF($I158&gt;=1,$H158,MAX($N158,$G158+ROUND(($H158-$G158+1)*$I158,0)-1)))</f>
        <v>0</v>
      </c>
      <c r="P158" s="68" t="n">
        <f aca="false">IF(OR(Tasks!$AJ158&lt;&gt;1,$M158,N($I158)&gt;=1),0,IF($O158&gt;0,$O158+1,$G158))</f>
        <v>0</v>
      </c>
      <c r="Q158" s="68" t="n">
        <f aca="false">IF($P158=0,0,$H158)</f>
        <v>0</v>
      </c>
      <c r="R158" s="67" t="b">
        <f aca="false">AND(Tasks!$D158&lt;&gt;"",N(Tasks!$T158)&gt;0)</f>
        <v>0</v>
      </c>
      <c r="T158" s="69" t="str">
        <f aca="false">IF($E158="","",IF($M158,IF(AND($G158&gt;=T$5,$G158&lt;T$5+GanttPeriod),"◆",IF(AND($E158&gt;=T$5,$E158&lt;T$5+GanttPeriod),"◇","")),IF(AND(T$5&lt;=$F158,T$5+GanttPeriod-1&gt;=$E158),"━","")))</f>
        <v/>
      </c>
      <c r="U158" s="69" t="str">
        <f aca="false">IF($E158="","",IF($M158,IF(AND($G158&gt;=U$5,$G158&lt;U$5+GanttPeriod),"◆",IF(AND($E158&gt;=U$5,$E158&lt;U$5+GanttPeriod),"◇","")),IF(AND(U$5&lt;=$F158,U$5+GanttPeriod-1&gt;=$E158),"━","")))</f>
        <v/>
      </c>
      <c r="V158" s="69" t="str">
        <f aca="false">IF($E158="","",IF($M158,IF(AND($G158&gt;=V$5,$G158&lt;V$5+GanttPeriod),"◆",IF(AND($E158&gt;=V$5,$E158&lt;V$5+GanttPeriod),"◇","")),IF(AND(V$5&lt;=$F158,V$5+GanttPeriod-1&gt;=$E158),"━","")))</f>
        <v/>
      </c>
      <c r="W158" s="69" t="str">
        <f aca="false">IF($E158="","",IF($M158,IF(AND($G158&gt;=W$5,$G158&lt;W$5+GanttPeriod),"◆",IF(AND($E158&gt;=W$5,$E158&lt;W$5+GanttPeriod),"◇","")),IF(AND(W$5&lt;=$F158,W$5+GanttPeriod-1&gt;=$E158),"━","")))</f>
        <v/>
      </c>
      <c r="X158" s="69" t="str">
        <f aca="false">IF($E158="","",IF($M158,IF(AND($G158&gt;=X$5,$G158&lt;X$5+GanttPeriod),"◆",IF(AND($E158&gt;=X$5,$E158&lt;X$5+GanttPeriod),"◇","")),IF(AND(X$5&lt;=$F158,X$5+GanttPeriod-1&gt;=$E158),"━","")))</f>
        <v/>
      </c>
      <c r="Y158" s="69" t="str">
        <f aca="false">IF($E158="","",IF($M158,IF(AND($G158&gt;=Y$5,$G158&lt;Y$5+GanttPeriod),"◆",IF(AND($E158&gt;=Y$5,$E158&lt;Y$5+GanttPeriod),"◇","")),IF(AND(Y$5&lt;=$F158,Y$5+GanttPeriod-1&gt;=$E158),"━","")))</f>
        <v/>
      </c>
      <c r="Z158" s="69" t="str">
        <f aca="false">IF($E158="","",IF($M158,IF(AND($G158&gt;=Z$5,$G158&lt;Z$5+GanttPeriod),"◆",IF(AND($E158&gt;=Z$5,$E158&lt;Z$5+GanttPeriod),"◇","")),IF(AND(Z$5&lt;=$F158,Z$5+GanttPeriod-1&gt;=$E158),"━","")))</f>
        <v/>
      </c>
      <c r="AA158" s="69" t="str">
        <f aca="false">IF($E158="","",IF($M158,IF(AND($G158&gt;=AA$5,$G158&lt;AA$5+GanttPeriod),"◆",IF(AND($E158&gt;=AA$5,$E158&lt;AA$5+GanttPeriod),"◇","")),IF(AND(AA$5&lt;=$F158,AA$5+GanttPeriod-1&gt;=$E158),"━","")))</f>
        <v/>
      </c>
      <c r="AB158" s="69" t="str">
        <f aca="false">IF($E158="","",IF($M158,IF(AND($G158&gt;=AB$5,$G158&lt;AB$5+GanttPeriod),"◆",IF(AND($E158&gt;=AB$5,$E158&lt;AB$5+GanttPeriod),"◇","")),IF(AND(AB$5&lt;=$F158,AB$5+GanttPeriod-1&gt;=$E158),"━","")))</f>
        <v/>
      </c>
      <c r="AC158" s="69" t="str">
        <f aca="false">IF($E158="","",IF($M158,IF(AND($G158&gt;=AC$5,$G158&lt;AC$5+GanttPeriod),"◆",IF(AND($E158&gt;=AC$5,$E158&lt;AC$5+GanttPeriod),"◇","")),IF(AND(AC$5&lt;=$F158,AC$5+GanttPeriod-1&gt;=$E158),"━","")))</f>
        <v/>
      </c>
      <c r="AD158" s="69" t="str">
        <f aca="false">IF($E158="","",IF($M158,IF(AND($G158&gt;=AD$5,$G158&lt;AD$5+GanttPeriod),"◆",IF(AND($E158&gt;=AD$5,$E158&lt;AD$5+GanttPeriod),"◇","")),IF(AND(AD$5&lt;=$F158,AD$5+GanttPeriod-1&gt;=$E158),"━","")))</f>
        <v/>
      </c>
      <c r="AE158" s="69" t="str">
        <f aca="false">IF($E158="","",IF($M158,IF(AND($G158&gt;=AE$5,$G158&lt;AE$5+GanttPeriod),"◆",IF(AND($E158&gt;=AE$5,$E158&lt;AE$5+GanttPeriod),"◇","")),IF(AND(AE$5&lt;=$F158,AE$5+GanttPeriod-1&gt;=$E158),"━","")))</f>
        <v/>
      </c>
      <c r="AF158" s="69" t="str">
        <f aca="false">IF($E158="","",IF($M158,IF(AND($G158&gt;=AF$5,$G158&lt;AF$5+GanttPeriod),"◆",IF(AND($E158&gt;=AF$5,$E158&lt;AF$5+GanttPeriod),"◇","")),IF(AND(AF$5&lt;=$F158,AF$5+GanttPeriod-1&gt;=$E158),"━","")))</f>
        <v/>
      </c>
      <c r="AG158" s="69" t="str">
        <f aca="false">IF($E158="","",IF($M158,IF(AND($G158&gt;=AG$5,$G158&lt;AG$5+GanttPeriod),"◆",IF(AND($E158&gt;=AG$5,$E158&lt;AG$5+GanttPeriod),"◇","")),IF(AND(AG$5&lt;=$F158,AG$5+GanttPeriod-1&gt;=$E158),"━","")))</f>
        <v/>
      </c>
      <c r="AH158" s="69" t="str">
        <f aca="false">IF($E158="","",IF($M158,IF(AND($G158&gt;=AH$5,$G158&lt;AH$5+GanttPeriod),"◆",IF(AND($E158&gt;=AH$5,$E158&lt;AH$5+GanttPeriod),"◇","")),IF(AND(AH$5&lt;=$F158,AH$5+GanttPeriod-1&gt;=$E158),"━","")))</f>
        <v/>
      </c>
      <c r="AI158" s="69" t="str">
        <f aca="false">IF($E158="","",IF($M158,IF(AND($G158&gt;=AI$5,$G158&lt;AI$5+GanttPeriod),"◆",IF(AND($E158&gt;=AI$5,$E158&lt;AI$5+GanttPeriod),"◇","")),IF(AND(AI$5&lt;=$F158,AI$5+GanttPeriod-1&gt;=$E158),"━","")))</f>
        <v/>
      </c>
      <c r="AJ158" s="69" t="str">
        <f aca="false">IF($E158="","",IF($M158,IF(AND($G158&gt;=AJ$5,$G158&lt;AJ$5+GanttPeriod),"◆",IF(AND($E158&gt;=AJ$5,$E158&lt;AJ$5+GanttPeriod),"◇","")),IF(AND(AJ$5&lt;=$F158,AJ$5+GanttPeriod-1&gt;=$E158),"━","")))</f>
        <v/>
      </c>
      <c r="AK158" s="69" t="str">
        <f aca="false">IF($E158="","",IF($M158,IF(AND($G158&gt;=AK$5,$G158&lt;AK$5+GanttPeriod),"◆",IF(AND($E158&gt;=AK$5,$E158&lt;AK$5+GanttPeriod),"◇","")),IF(AND(AK$5&lt;=$F158,AK$5+GanttPeriod-1&gt;=$E158),"━","")))</f>
        <v/>
      </c>
      <c r="AL158" s="69" t="str">
        <f aca="false">IF($E158="","",IF($M158,IF(AND($G158&gt;=AL$5,$G158&lt;AL$5+GanttPeriod),"◆",IF(AND($E158&gt;=AL$5,$E158&lt;AL$5+GanttPeriod),"◇","")),IF(AND(AL$5&lt;=$F158,AL$5+GanttPeriod-1&gt;=$E158),"━","")))</f>
        <v/>
      </c>
      <c r="AM158" s="69" t="str">
        <f aca="false">IF($E158="","",IF($M158,IF(AND($G158&gt;=AM$5,$G158&lt;AM$5+GanttPeriod),"◆",IF(AND($E158&gt;=AM$5,$E158&lt;AM$5+GanttPeriod),"◇","")),IF(AND(AM$5&lt;=$F158,AM$5+GanttPeriod-1&gt;=$E158),"━","")))</f>
        <v/>
      </c>
      <c r="AN158" s="69" t="str">
        <f aca="false">IF($E158="","",IF($M158,IF(AND($G158&gt;=AN$5,$G158&lt;AN$5+GanttPeriod),"◆",IF(AND($E158&gt;=AN$5,$E158&lt;AN$5+GanttPeriod),"◇","")),IF(AND(AN$5&lt;=$F158,AN$5+GanttPeriod-1&gt;=$E158),"━","")))</f>
        <v/>
      </c>
      <c r="AO158" s="69" t="str">
        <f aca="false">IF($E158="","",IF($M158,IF(AND($G158&gt;=AO$5,$G158&lt;AO$5+GanttPeriod),"◆",IF(AND($E158&gt;=AO$5,$E158&lt;AO$5+GanttPeriod),"◇","")),IF(AND(AO$5&lt;=$F158,AO$5+GanttPeriod-1&gt;=$E158),"━","")))</f>
        <v/>
      </c>
      <c r="AP158" s="69" t="str">
        <f aca="false">IF($E158="","",IF($M158,IF(AND($G158&gt;=AP$5,$G158&lt;AP$5+GanttPeriod),"◆",IF(AND($E158&gt;=AP$5,$E158&lt;AP$5+GanttPeriod),"◇","")),IF(AND(AP$5&lt;=$F158,AP$5+GanttPeriod-1&gt;=$E158),"━","")))</f>
        <v/>
      </c>
      <c r="AQ158" s="69" t="str">
        <f aca="false">IF($E158="","",IF($M158,IF(AND($G158&gt;=AQ$5,$G158&lt;AQ$5+GanttPeriod),"◆",IF(AND($E158&gt;=AQ$5,$E158&lt;AQ$5+GanttPeriod),"◇","")),IF(AND(AQ$5&lt;=$F158,AQ$5+GanttPeriod-1&gt;=$E158),"━","")))</f>
        <v/>
      </c>
      <c r="AR158" s="69" t="str">
        <f aca="false">IF($E158="","",IF($M158,IF(AND($G158&gt;=AR$5,$G158&lt;AR$5+GanttPeriod),"◆",IF(AND($E158&gt;=AR$5,$E158&lt;AR$5+GanttPeriod),"◇","")),IF(AND(AR$5&lt;=$F158,AR$5+GanttPeriod-1&gt;=$E158),"━","")))</f>
        <v/>
      </c>
      <c r="AS158" s="69" t="str">
        <f aca="false">IF($E158="","",IF($M158,IF(AND($G158&gt;=AS$5,$G158&lt;AS$5+GanttPeriod),"◆",IF(AND($E158&gt;=AS$5,$E158&lt;AS$5+GanttPeriod),"◇","")),IF(AND(AS$5&lt;=$F158,AS$5+GanttPeriod-1&gt;=$E158),"━","")))</f>
        <v/>
      </c>
      <c r="AT158" s="69" t="str">
        <f aca="false">IF($E158="","",IF($M158,IF(AND($G158&gt;=AT$5,$G158&lt;AT$5+GanttPeriod),"◆",IF(AND($E158&gt;=AT$5,$E158&lt;AT$5+GanttPeriod),"◇","")),IF(AND(AT$5&lt;=$F158,AT$5+GanttPeriod-1&gt;=$E158),"━","")))</f>
        <v/>
      </c>
      <c r="AU158" s="69" t="str">
        <f aca="false">IF($E158="","",IF($M158,IF(AND($G158&gt;=AU$5,$G158&lt;AU$5+GanttPeriod),"◆",IF(AND($E158&gt;=AU$5,$E158&lt;AU$5+GanttPeriod),"◇","")),IF(AND(AU$5&lt;=$F158,AU$5+GanttPeriod-1&gt;=$E158),"━","")))</f>
        <v/>
      </c>
      <c r="AV158" s="69" t="str">
        <f aca="false">IF($E158="","",IF($M158,IF(AND($G158&gt;=AV$5,$G158&lt;AV$5+GanttPeriod),"◆",IF(AND($E158&gt;=AV$5,$E158&lt;AV$5+GanttPeriod),"◇","")),IF(AND(AV$5&lt;=$F158,AV$5+GanttPeriod-1&gt;=$E158),"━","")))</f>
        <v/>
      </c>
      <c r="AW158" s="69" t="str">
        <f aca="false">IF($E158="","",IF($M158,IF(AND($G158&gt;=AW$5,$G158&lt;AW$5+GanttPeriod),"◆",IF(AND($E158&gt;=AW$5,$E158&lt;AW$5+GanttPeriod),"◇","")),IF(AND(AW$5&lt;=$F158,AW$5+GanttPeriod-1&gt;=$E158),"━","")))</f>
        <v/>
      </c>
      <c r="AX158" s="69" t="str">
        <f aca="false">IF($E158="","",IF($M158,IF(AND($G158&gt;=AX$5,$G158&lt;AX$5+GanttPeriod),"◆",IF(AND($E158&gt;=AX$5,$E158&lt;AX$5+GanttPeriod),"◇","")),IF(AND(AX$5&lt;=$F158,AX$5+GanttPeriod-1&gt;=$E158),"━","")))</f>
        <v/>
      </c>
      <c r="AY158" s="69" t="str">
        <f aca="false">IF($E158="","",IF($M158,IF(AND($G158&gt;=AY$5,$G158&lt;AY$5+GanttPeriod),"◆",IF(AND($E158&gt;=AY$5,$E158&lt;AY$5+GanttPeriod),"◇","")),IF(AND(AY$5&lt;=$F158,AY$5+GanttPeriod-1&gt;=$E158),"━","")))</f>
        <v/>
      </c>
      <c r="AZ158" s="69" t="str">
        <f aca="false">IF($E158="","",IF($M158,IF(AND($G158&gt;=AZ$5,$G158&lt;AZ$5+GanttPeriod),"◆",IF(AND($E158&gt;=AZ$5,$E158&lt;AZ$5+GanttPeriod),"◇","")),IF(AND(AZ$5&lt;=$F158,AZ$5+GanttPeriod-1&gt;=$E158),"━","")))</f>
        <v/>
      </c>
      <c r="BA158" s="69" t="str">
        <f aca="false">IF($E158="","",IF($M158,IF(AND($G158&gt;=BA$5,$G158&lt;BA$5+GanttPeriod),"◆",IF(AND($E158&gt;=BA$5,$E158&lt;BA$5+GanttPeriod),"◇","")),IF(AND(BA$5&lt;=$F158,BA$5+GanttPeriod-1&gt;=$E158),"━","")))</f>
        <v/>
      </c>
      <c r="BB158" s="69" t="str">
        <f aca="false">IF($E158="","",IF($M158,IF(AND($G158&gt;=BB$5,$G158&lt;BB$5+GanttPeriod),"◆",IF(AND($E158&gt;=BB$5,$E158&lt;BB$5+GanttPeriod),"◇","")),IF(AND(BB$5&lt;=$F158,BB$5+GanttPeriod-1&gt;=$E158),"━","")))</f>
        <v/>
      </c>
      <c r="BC158" s="69" t="str">
        <f aca="false">IF($E158="","",IF($M158,IF(AND($G158&gt;=BC$5,$G158&lt;BC$5+GanttPeriod),"◆",IF(AND($E158&gt;=BC$5,$E158&lt;BC$5+GanttPeriod),"◇","")),IF(AND(BC$5&lt;=$F158,BC$5+GanttPeriod-1&gt;=$E158),"━","")))</f>
        <v/>
      </c>
      <c r="BD158" s="69" t="str">
        <f aca="false">IF($E158="","",IF($M158,IF(AND($G158&gt;=BD$5,$G158&lt;BD$5+GanttPeriod),"◆",IF(AND($E158&gt;=BD$5,$E158&lt;BD$5+GanttPeriod),"◇","")),IF(AND(BD$5&lt;=$F158,BD$5+GanttPeriod-1&gt;=$E158),"━","")))</f>
        <v/>
      </c>
      <c r="BE158" s="69" t="str">
        <f aca="false">IF($E158="","",IF($M158,IF(AND($G158&gt;=BE$5,$G158&lt;BE$5+GanttPeriod),"◆",IF(AND($E158&gt;=BE$5,$E158&lt;BE$5+GanttPeriod),"◇","")),IF(AND(BE$5&lt;=$F158,BE$5+GanttPeriod-1&gt;=$E158),"━","")))</f>
        <v/>
      </c>
      <c r="BF158" s="69" t="str">
        <f aca="false">IF($E158="","",IF($M158,IF(AND($G158&gt;=BF$5,$G158&lt;BF$5+GanttPeriod),"◆",IF(AND($E158&gt;=BF$5,$E158&lt;BF$5+GanttPeriod),"◇","")),IF(AND(BF$5&lt;=$F158,BF$5+GanttPeriod-1&gt;=$E158),"━","")))</f>
        <v/>
      </c>
      <c r="BG158" s="69" t="str">
        <f aca="false">IF($E158="","",IF($M158,IF(AND($G158&gt;=BG$5,$G158&lt;BG$5+GanttPeriod),"◆",IF(AND($E158&gt;=BG$5,$E158&lt;BG$5+GanttPeriod),"◇","")),IF(AND(BG$5&lt;=$F158,BG$5+GanttPeriod-1&gt;=$E158),"━","")))</f>
        <v/>
      </c>
      <c r="BH158" s="69" t="str">
        <f aca="false">IF($E158="","",IF($M158,IF(AND($G158&gt;=BH$5,$G158&lt;BH$5+GanttPeriod),"◆",IF(AND($E158&gt;=BH$5,$E158&lt;BH$5+GanttPeriod),"◇","")),IF(AND(BH$5&lt;=$F158,BH$5+GanttPeriod-1&gt;=$E158),"━","")))</f>
        <v/>
      </c>
      <c r="BI158" s="69" t="str">
        <f aca="false">IF($E158="","",IF($M158,IF(AND($G158&gt;=BI$5,$G158&lt;BI$5+GanttPeriod),"◆",IF(AND($E158&gt;=BI$5,$E158&lt;BI$5+GanttPeriod),"◇","")),IF(AND(BI$5&lt;=$F158,BI$5+GanttPeriod-1&gt;=$E158),"━","")))</f>
        <v/>
      </c>
      <c r="BJ158" s="69" t="str">
        <f aca="false">IF($E158="","",IF($M158,IF(AND($G158&gt;=BJ$5,$G158&lt;BJ$5+GanttPeriod),"◆",IF(AND($E158&gt;=BJ$5,$E158&lt;BJ$5+GanttPeriod),"◇","")),IF(AND(BJ$5&lt;=$F158,BJ$5+GanttPeriod-1&gt;=$E158),"━","")))</f>
        <v/>
      </c>
      <c r="BK158" s="69" t="str">
        <f aca="false">IF($E158="","",IF($M158,IF(AND($G158&gt;=BK$5,$G158&lt;BK$5+GanttPeriod),"◆",IF(AND($E158&gt;=BK$5,$E158&lt;BK$5+GanttPeriod),"◇","")),IF(AND(BK$5&lt;=$F158,BK$5+GanttPeriod-1&gt;=$E158),"━","")))</f>
        <v/>
      </c>
      <c r="BL158" s="69" t="str">
        <f aca="false">IF($E158="","",IF($M158,IF(AND($G158&gt;=BL$5,$G158&lt;BL$5+GanttPeriod),"◆",IF(AND($E158&gt;=BL$5,$E158&lt;BL$5+GanttPeriod),"◇","")),IF(AND(BL$5&lt;=$F158,BL$5+GanttPeriod-1&gt;=$E158),"━","")))</f>
        <v/>
      </c>
      <c r="BM158" s="69" t="str">
        <f aca="false">IF($E158="","",IF($M158,IF(AND($G158&gt;=BM$5,$G158&lt;BM$5+GanttPeriod),"◆",IF(AND($E158&gt;=BM$5,$E158&lt;BM$5+GanttPeriod),"◇","")),IF(AND(BM$5&lt;=$F158,BM$5+GanttPeriod-1&gt;=$E158),"━","")))</f>
        <v/>
      </c>
      <c r="BN158" s="69" t="str">
        <f aca="false">IF($E158="","",IF($M158,IF(AND($G158&gt;=BN$5,$G158&lt;BN$5+GanttPeriod),"◆",IF(AND($E158&gt;=BN$5,$E158&lt;BN$5+GanttPeriod),"◇","")),IF(AND(BN$5&lt;=$F158,BN$5+GanttPeriod-1&gt;=$E158),"━","")))</f>
        <v/>
      </c>
      <c r="BO158" s="69" t="str">
        <f aca="false">IF($E158="","",IF($M158,IF(AND($G158&gt;=BO$5,$G158&lt;BO$5+GanttPeriod),"◆",IF(AND($E158&gt;=BO$5,$E158&lt;BO$5+GanttPeriod),"◇","")),IF(AND(BO$5&lt;=$F158,BO$5+GanttPeriod-1&gt;=$E158),"━","")))</f>
        <v/>
      </c>
      <c r="BP158" s="69" t="str">
        <f aca="false">IF($E158="","",IF($M158,IF(AND($G158&gt;=BP$5,$G158&lt;BP$5+GanttPeriod),"◆",IF(AND($E158&gt;=BP$5,$E158&lt;BP$5+GanttPeriod),"◇","")),IF(AND(BP$5&lt;=$F158,BP$5+GanttPeriod-1&gt;=$E158),"━","")))</f>
        <v/>
      </c>
      <c r="BQ158" s="69" t="str">
        <f aca="false">IF($E158="","",IF($M158,IF(AND($G158&gt;=BQ$5,$G158&lt;BQ$5+GanttPeriod),"◆",IF(AND($E158&gt;=BQ$5,$E158&lt;BQ$5+GanttPeriod),"◇","")),IF(AND(BQ$5&lt;=$F158,BQ$5+GanttPeriod-1&gt;=$E158),"━","")))</f>
        <v/>
      </c>
      <c r="BR158" s="69" t="str">
        <f aca="false">IF($E158="","",IF($M158,IF(AND($G158&gt;=BR$5,$G158&lt;BR$5+GanttPeriod),"◆",IF(AND($E158&gt;=BR$5,$E158&lt;BR$5+GanttPeriod),"◇","")),IF(AND(BR$5&lt;=$F158,BR$5+GanttPeriod-1&gt;=$E158),"━","")))</f>
        <v/>
      </c>
      <c r="BS158" s="69" t="str">
        <f aca="false">IF($E158="","",IF($M158,IF(AND($G158&gt;=BS$5,$G158&lt;BS$5+GanttPeriod),"◆",IF(AND($E158&gt;=BS$5,$E158&lt;BS$5+GanttPeriod),"◇","")),IF(AND(BS$5&lt;=$F158,BS$5+GanttPeriod-1&gt;=$E158),"━","")))</f>
        <v/>
      </c>
      <c r="BT158" s="69" t="str">
        <f aca="false">IF($E158="","",IF($M158,IF(AND($G158&gt;=BT$5,$G158&lt;BT$5+GanttPeriod),"◆",IF(AND($E158&gt;=BT$5,$E158&lt;BT$5+GanttPeriod),"◇","")),IF(AND(BT$5&lt;=$F158,BT$5+GanttPeriod-1&gt;=$E158),"━","")))</f>
        <v/>
      </c>
      <c r="BU158" s="69" t="str">
        <f aca="false">IF($E158="","",IF($M158,IF(AND($G158&gt;=BU$5,$G158&lt;BU$5+GanttPeriod),"◆",IF(AND($E158&gt;=BU$5,$E158&lt;BU$5+GanttPeriod),"◇","")),IF(AND(BU$5&lt;=$F158,BU$5+GanttPeriod-1&gt;=$E158),"━","")))</f>
        <v/>
      </c>
      <c r="BV158" s="69" t="str">
        <f aca="false">IF($E158="","",IF($M158,IF(AND($G158&gt;=BV$5,$G158&lt;BV$5+GanttPeriod),"◆",IF(AND($E158&gt;=BV$5,$E158&lt;BV$5+GanttPeriod),"◇","")),IF(AND(BV$5&lt;=$F158,BV$5+GanttPeriod-1&gt;=$E158),"━","")))</f>
        <v/>
      </c>
      <c r="BW158" s="69" t="str">
        <f aca="false">IF($E158="","",IF($M158,IF(AND($G158&gt;=BW$5,$G158&lt;BW$5+GanttPeriod),"◆",IF(AND($E158&gt;=BW$5,$E158&lt;BW$5+GanttPeriod),"◇","")),IF(AND(BW$5&lt;=$F158,BW$5+GanttPeriod-1&gt;=$E158),"━","")))</f>
        <v/>
      </c>
      <c r="BX158" s="69" t="str">
        <f aca="false">IF($E158="","",IF($M158,IF(AND($G158&gt;=BX$5,$G158&lt;BX$5+GanttPeriod),"◆",IF(AND($E158&gt;=BX$5,$E158&lt;BX$5+GanttPeriod),"◇","")),IF(AND(BX$5&lt;=$F158,BX$5+GanttPeriod-1&gt;=$E158),"━","")))</f>
        <v/>
      </c>
      <c r="BY158" s="69" t="str">
        <f aca="false">IF($E158="","",IF($M158,IF(AND($G158&gt;=BY$5,$G158&lt;BY$5+GanttPeriod),"◆",IF(AND($E158&gt;=BY$5,$E158&lt;BY$5+GanttPeriod),"◇","")),IF(AND(BY$5&lt;=$F158,BY$5+GanttPeriod-1&gt;=$E158),"━","")))</f>
        <v/>
      </c>
      <c r="BZ158" s="69" t="str">
        <f aca="false">IF($E158="","",IF($M158,IF(AND($G158&gt;=BZ$5,$G158&lt;BZ$5+GanttPeriod),"◆",IF(AND($E158&gt;=BZ$5,$E158&lt;BZ$5+GanttPeriod),"◇","")),IF(AND(BZ$5&lt;=$F158,BZ$5+GanttPeriod-1&gt;=$E158),"━","")))</f>
        <v/>
      </c>
      <c r="CA158" s="69" t="str">
        <f aca="false">IF($E158="","",IF($M158,IF(AND($G158&gt;=CA$5,$G158&lt;CA$5+GanttPeriod),"◆",IF(AND($E158&gt;=CA$5,$E158&lt;CA$5+GanttPeriod),"◇","")),IF(AND(CA$5&lt;=$F158,CA$5+GanttPeriod-1&gt;=$E158),"━","")))</f>
        <v/>
      </c>
      <c r="CB158" s="69" t="str">
        <f aca="false">IF($E158="","",IF($M158,IF(AND($G158&gt;=CB$5,$G158&lt;CB$5+GanttPeriod),"◆",IF(AND($E158&gt;=CB$5,$E158&lt;CB$5+GanttPeriod),"◇","")),IF(AND(CB$5&lt;=$F158,CB$5+GanttPeriod-1&gt;=$E158),"━","")))</f>
        <v/>
      </c>
      <c r="CC158" s="69" t="str">
        <f aca="false">IF($E158="","",IF($M158,IF(AND($G158&gt;=CC$5,$G158&lt;CC$5+GanttPeriod),"◆",IF(AND($E158&gt;=CC$5,$E158&lt;CC$5+GanttPeriod),"◇","")),IF(AND(CC$5&lt;=$F158,CC$5+GanttPeriod-1&gt;=$E158),"━","")))</f>
        <v/>
      </c>
      <c r="CD158" s="69" t="str">
        <f aca="false">IF($E158="","",IF($M158,IF(AND($G158&gt;=CD$5,$G158&lt;CD$5+GanttPeriod),"◆",IF(AND($E158&gt;=CD$5,$E158&lt;CD$5+GanttPeriod),"◇","")),IF(AND(CD$5&lt;=$F158,CD$5+GanttPeriod-1&gt;=$E158),"━","")))</f>
        <v/>
      </c>
      <c r="CE158" s="69" t="str">
        <f aca="false">IF($E158="","",IF($M158,IF(AND($G158&gt;=CE$5,$G158&lt;CE$5+GanttPeriod),"◆",IF(AND($E158&gt;=CE$5,$E158&lt;CE$5+GanttPeriod),"◇","")),IF(AND(CE$5&lt;=$F158,CE$5+GanttPeriod-1&gt;=$E158),"━","")))</f>
        <v/>
      </c>
      <c r="CF158" s="69" t="str">
        <f aca="false">IF($E158="","",IF($M158,IF(AND($G158&gt;=CF$5,$G158&lt;CF$5+GanttPeriod),"◆",IF(AND($E158&gt;=CF$5,$E158&lt;CF$5+GanttPeriod),"◇","")),IF(AND(CF$5&lt;=$F158,CF$5+GanttPeriod-1&gt;=$E158),"━","")))</f>
        <v/>
      </c>
      <c r="CG158" s="69" t="str">
        <f aca="false">IF($E158="","",IF($M158,IF(AND($G158&gt;=CG$5,$G158&lt;CG$5+GanttPeriod),"◆",IF(AND($E158&gt;=CG$5,$E158&lt;CG$5+GanttPeriod),"◇","")),IF(AND(CG$5&lt;=$F158,CG$5+GanttPeriod-1&gt;=$E158),"━","")))</f>
        <v/>
      </c>
      <c r="CH158" s="69" t="str">
        <f aca="false">IF($E158="","",IF($M158,IF(AND($G158&gt;=CH$5,$G158&lt;CH$5+GanttPeriod),"◆",IF(AND($E158&gt;=CH$5,$E158&lt;CH$5+GanttPeriod),"◇","")),IF(AND(CH$5&lt;=$F158,CH$5+GanttPeriod-1&gt;=$E158),"━","")))</f>
        <v/>
      </c>
      <c r="CI158" s="69" t="str">
        <f aca="false">IF($E158="","",IF($M158,IF(AND($G158&gt;=CI$5,$G158&lt;CI$5+GanttPeriod),"◆",IF(AND($E158&gt;=CI$5,$E158&lt;CI$5+GanttPeriod),"◇","")),IF(AND(CI$5&lt;=$F158,CI$5+GanttPeriod-1&gt;=$E158),"━","")))</f>
        <v/>
      </c>
      <c r="CJ158" s="69" t="str">
        <f aca="false">IF($E158="","",IF($M158,IF(AND($G158&gt;=CJ$5,$G158&lt;CJ$5+GanttPeriod),"◆",IF(AND($E158&gt;=CJ$5,$E158&lt;CJ$5+GanttPeriod),"◇","")),IF(AND(CJ$5&lt;=$F158,CJ$5+GanttPeriod-1&gt;=$E158),"━","")))</f>
        <v/>
      </c>
      <c r="CK158" s="69" t="str">
        <f aca="false">IF($E158="","",IF($M158,IF(AND($G158&gt;=CK$5,$G158&lt;CK$5+GanttPeriod),"◆",IF(AND($E158&gt;=CK$5,$E158&lt;CK$5+GanttPeriod),"◇","")),IF(AND(CK$5&lt;=$F158,CK$5+GanttPeriod-1&gt;=$E158),"━","")))</f>
        <v/>
      </c>
      <c r="CL158" s="69" t="str">
        <f aca="false">IF($E158="","",IF($M158,IF(AND($G158&gt;=CL$5,$G158&lt;CL$5+GanttPeriod),"◆",IF(AND($E158&gt;=CL$5,$E158&lt;CL$5+GanttPeriod),"◇","")),IF(AND(CL$5&lt;=$F158,CL$5+GanttPeriod-1&gt;=$E158),"━","")))</f>
        <v/>
      </c>
      <c r="CM158" s="69" t="str">
        <f aca="false">IF($E158="","",IF($M158,IF(AND($G158&gt;=CM$5,$G158&lt;CM$5+GanttPeriod),"◆",IF(AND($E158&gt;=CM$5,$E158&lt;CM$5+GanttPeriod),"◇","")),IF(AND(CM$5&lt;=$F158,CM$5+GanttPeriod-1&gt;=$E158),"━","")))</f>
        <v/>
      </c>
      <c r="CN158" s="69" t="str">
        <f aca="false">IF($E158="","",IF($M158,IF(AND($G158&gt;=CN$5,$G158&lt;CN$5+GanttPeriod),"◆",IF(AND($E158&gt;=CN$5,$E158&lt;CN$5+GanttPeriod),"◇","")),IF(AND(CN$5&lt;=$F158,CN$5+GanttPeriod-1&gt;=$E158),"━","")))</f>
        <v/>
      </c>
      <c r="CO158" s="69" t="str">
        <f aca="false">IF($E158="","",IF($M158,IF(AND($G158&gt;=CO$5,$G158&lt;CO$5+GanttPeriod),"◆",IF(AND($E158&gt;=CO$5,$E158&lt;CO$5+GanttPeriod),"◇","")),IF(AND(CO$5&lt;=$F158,CO$5+GanttPeriod-1&gt;=$E158),"━","")))</f>
        <v/>
      </c>
      <c r="CP158" s="69" t="str">
        <f aca="false">IF($E158="","",IF($M158,IF(AND($G158&gt;=CP$5,$G158&lt;CP$5+GanttPeriod),"◆",IF(AND($E158&gt;=CP$5,$E158&lt;CP$5+GanttPeriod),"◇","")),IF(AND(CP$5&lt;=$F158,CP$5+GanttPeriod-1&gt;=$E158),"━","")))</f>
        <v/>
      </c>
      <c r="CQ158" s="69" t="str">
        <f aca="false">IF($E158="","",IF($M158,IF(AND($G158&gt;=CQ$5,$G158&lt;CQ$5+GanttPeriod),"◆",IF(AND($E158&gt;=CQ$5,$E158&lt;CQ$5+GanttPeriod),"◇","")),IF(AND(CQ$5&lt;=$F158,CQ$5+GanttPeriod-1&gt;=$E158),"━","")))</f>
        <v/>
      </c>
      <c r="CR158" s="69" t="str">
        <f aca="false">IF($E158="","",IF($M158,IF(AND($G158&gt;=CR$5,$G158&lt;CR$5+GanttPeriod),"◆",IF(AND($E158&gt;=CR$5,$E158&lt;CR$5+GanttPeriod),"◇","")),IF(AND(CR$5&lt;=$F158,CR$5+GanttPeriod-1&gt;=$E158),"━","")))</f>
        <v/>
      </c>
      <c r="CS158" s="69" t="str">
        <f aca="false">IF($E158="","",IF($M158,IF(AND($G158&gt;=CS$5,$G158&lt;CS$5+GanttPeriod),"◆",IF(AND($E158&gt;=CS$5,$E158&lt;CS$5+GanttPeriod),"◇","")),IF(AND(CS$5&lt;=$F158,CS$5+GanttPeriod-1&gt;=$E158),"━","")))</f>
        <v/>
      </c>
      <c r="CT158" s="69" t="str">
        <f aca="false">IF($E158="","",IF($M158,IF(AND($G158&gt;=CT$5,$G158&lt;CT$5+GanttPeriod),"◆",IF(AND($E158&gt;=CT$5,$E158&lt;CT$5+GanttPeriod),"◇","")),IF(AND(CT$5&lt;=$F158,CT$5+GanttPeriod-1&gt;=$E158),"━","")))</f>
        <v/>
      </c>
      <c r="CU158" s="69" t="str">
        <f aca="false">IF($E158="","",IF($M158,IF(AND($G158&gt;=CU$5,$G158&lt;CU$5+GanttPeriod),"◆",IF(AND($E158&gt;=CU$5,$E158&lt;CU$5+GanttPeriod),"◇","")),IF(AND(CU$5&lt;=$F158,CU$5+GanttPeriod-1&gt;=$E158),"━","")))</f>
        <v/>
      </c>
      <c r="CV158" s="69" t="str">
        <f aca="false">IF($E158="","",IF($M158,IF(AND($G158&gt;=CV$5,$G158&lt;CV$5+GanttPeriod),"◆",IF(AND($E158&gt;=CV$5,$E158&lt;CV$5+GanttPeriod),"◇","")),IF(AND(CV$5&lt;=$F158,CV$5+GanttPeriod-1&gt;=$E158),"━","")))</f>
        <v/>
      </c>
      <c r="CW158" s="69" t="str">
        <f aca="false">IF($E158="","",IF($M158,IF(AND($G158&gt;=CW$5,$G158&lt;CW$5+GanttPeriod),"◆",IF(AND($E158&gt;=CW$5,$E158&lt;CW$5+GanttPeriod),"◇","")),IF(AND(CW$5&lt;=$F158,CW$5+GanttPeriod-1&gt;=$E158),"━","")))</f>
        <v/>
      </c>
      <c r="CX158" s="69" t="str">
        <f aca="false">IF($E158="","",IF($M158,IF(AND($G158&gt;=CX$5,$G158&lt;CX$5+GanttPeriod),"◆",IF(AND($E158&gt;=CX$5,$E158&lt;CX$5+GanttPeriod),"◇","")),IF(AND(CX$5&lt;=$F158,CX$5+GanttPeriod-1&gt;=$E158),"━","")))</f>
        <v/>
      </c>
      <c r="CY158" s="69" t="str">
        <f aca="false">IF($E158="","",IF($M158,IF(AND($G158&gt;=CY$5,$G158&lt;CY$5+GanttPeriod),"◆",IF(AND($E158&gt;=CY$5,$E158&lt;CY$5+GanttPeriod),"◇","")),IF(AND(CY$5&lt;=$F158,CY$5+GanttPeriod-1&gt;=$E158),"━","")))</f>
        <v/>
      </c>
      <c r="CZ158" s="69" t="str">
        <f aca="false">IF($E158="","",IF($M158,IF(AND($G158&gt;=CZ$5,$G158&lt;CZ$5+GanttPeriod),"◆",IF(AND($E158&gt;=CZ$5,$E158&lt;CZ$5+GanttPeriod),"◇","")),IF(AND(CZ$5&lt;=$F158,CZ$5+GanttPeriod-1&gt;=$E158),"━","")))</f>
        <v/>
      </c>
      <c r="DA158" s="69" t="str">
        <f aca="false">IF($E158="","",IF($M158,IF(AND($G158&gt;=DA$5,$G158&lt;DA$5+GanttPeriod),"◆",IF(AND($E158&gt;=DA$5,$E158&lt;DA$5+GanttPeriod),"◇","")),IF(AND(DA$5&lt;=$F158,DA$5+GanttPeriod-1&gt;=$E158),"━","")))</f>
        <v/>
      </c>
      <c r="DB158" s="69" t="str">
        <f aca="false">IF($E158="","",IF($M158,IF(AND($G158&gt;=DB$5,$G158&lt;DB$5+GanttPeriod),"◆",IF(AND($E158&gt;=DB$5,$E158&lt;DB$5+GanttPeriod),"◇","")),IF(AND(DB$5&lt;=$F158,DB$5+GanttPeriod-1&gt;=$E158),"━","")))</f>
        <v/>
      </c>
      <c r="DC158" s="69" t="str">
        <f aca="false">IF($E158="","",IF($M158,IF(AND($G158&gt;=DC$5,$G158&lt;DC$5+GanttPeriod),"◆",IF(AND($E158&gt;=DC$5,$E158&lt;DC$5+GanttPeriod),"◇","")),IF(AND(DC$5&lt;=$F158,DC$5+GanttPeriod-1&gt;=$E158),"━","")))</f>
        <v/>
      </c>
      <c r="DD158" s="69" t="str">
        <f aca="false">IF($E158="","",IF($M158,IF(AND($G158&gt;=DD$5,$G158&lt;DD$5+GanttPeriod),"◆",IF(AND($E158&gt;=DD$5,$E158&lt;DD$5+GanttPeriod),"◇","")),IF(AND(DD$5&lt;=$F158,DD$5+GanttPeriod-1&gt;=$E158),"━","")))</f>
        <v/>
      </c>
      <c r="DE158" s="69" t="str">
        <f aca="false">IF($E158="","",IF($M158,IF(AND($G158&gt;=DE$5,$G158&lt;DE$5+GanttPeriod),"◆",IF(AND($E158&gt;=DE$5,$E158&lt;DE$5+GanttPeriod),"◇","")),IF(AND(DE$5&lt;=$F158,DE$5+GanttPeriod-1&gt;=$E158),"━","")))</f>
        <v/>
      </c>
      <c r="DF158" s="69" t="str">
        <f aca="false">IF($E158="","",IF($M158,IF(AND($G158&gt;=DF$5,$G158&lt;DF$5+GanttPeriod),"◆",IF(AND($E158&gt;=DF$5,$E158&lt;DF$5+GanttPeriod),"◇","")),IF(AND(DF$5&lt;=$F158,DF$5+GanttPeriod-1&gt;=$E158),"━","")))</f>
        <v/>
      </c>
      <c r="DG158" s="69" t="str">
        <f aca="false">IF($E158="","",IF($M158,IF(AND($G158&gt;=DG$5,$G158&lt;DG$5+GanttPeriod),"◆",IF(AND($E158&gt;=DG$5,$E158&lt;DG$5+GanttPeriod),"◇","")),IF(AND(DG$5&lt;=$F158,DG$5+GanttPeriod-1&gt;=$E158),"━","")))</f>
        <v/>
      </c>
      <c r="DH158" s="69" t="str">
        <f aca="false">IF($E158="","",IF($M158,IF(AND($G158&gt;=DH$5,$G158&lt;DH$5+GanttPeriod),"◆",IF(AND($E158&gt;=DH$5,$E158&lt;DH$5+GanttPeriod),"◇","")),IF(AND(DH$5&lt;=$F158,DH$5+GanttPeriod-1&gt;=$E158),"━","")))</f>
        <v/>
      </c>
      <c r="DI158" s="69" t="str">
        <f aca="false">IF($E158="","",IF($M158,IF(AND($G158&gt;=DI$5,$G158&lt;DI$5+GanttPeriod),"◆",IF(AND($E158&gt;=DI$5,$E158&lt;DI$5+GanttPeriod),"◇","")),IF(AND(DI$5&lt;=$F158,DI$5+GanttPeriod-1&gt;=$E158),"━","")))</f>
        <v/>
      </c>
      <c r="DJ158" s="69" t="str">
        <f aca="false">IF($E158="","",IF($M158,IF(AND($G158&gt;=DJ$5,$G158&lt;DJ$5+GanttPeriod),"◆",IF(AND($E158&gt;=DJ$5,$E158&lt;DJ$5+GanttPeriod),"◇","")),IF(AND(DJ$5&lt;=$F158,DJ$5+GanttPeriod-1&gt;=$E158),"━","")))</f>
        <v/>
      </c>
      <c r="DK158" s="69" t="str">
        <f aca="false">IF($E158="","",IF($M158,IF(AND($G158&gt;=DK$5,$G158&lt;DK$5+GanttPeriod),"◆",IF(AND($E158&gt;=DK$5,$E158&lt;DK$5+GanttPeriod),"◇","")),IF(AND(DK$5&lt;=$F158,DK$5+GanttPeriod-1&gt;=$E158),"━","")))</f>
        <v/>
      </c>
      <c r="DL158" s="69" t="str">
        <f aca="false">IF($E158="","",IF($M158,IF(AND($G158&gt;=DL$5,$G158&lt;DL$5+GanttPeriod),"◆",IF(AND($E158&gt;=DL$5,$E158&lt;DL$5+GanttPeriod),"◇","")),IF(AND(DL$5&lt;=$F158,DL$5+GanttPeriod-1&gt;=$E158),"━","")))</f>
        <v/>
      </c>
      <c r="DM158" s="69" t="str">
        <f aca="false">IF($E158="","",IF($M158,IF(AND($G158&gt;=DM$5,$G158&lt;DM$5+GanttPeriod),"◆",IF(AND($E158&gt;=DM$5,$E158&lt;DM$5+GanttPeriod),"◇","")),IF(AND(DM$5&lt;=$F158,DM$5+GanttPeriod-1&gt;=$E158),"━","")))</f>
        <v/>
      </c>
      <c r="DN158" s="69" t="str">
        <f aca="false">IF($E158="","",IF($M158,IF(AND($G158&gt;=DN$5,$G158&lt;DN$5+GanttPeriod),"◆",IF(AND($E158&gt;=DN$5,$E158&lt;DN$5+GanttPeriod),"◇","")),IF(AND(DN$5&lt;=$F158,DN$5+GanttPeriod-1&gt;=$E158),"━","")))</f>
        <v/>
      </c>
      <c r="DO158" s="69" t="str">
        <f aca="false">IF($E158="","",IF($M158,IF(AND($G158&gt;=DO$5,$G158&lt;DO$5+GanttPeriod),"◆",IF(AND($E158&gt;=DO$5,$E158&lt;DO$5+GanttPeriod),"◇","")),IF(AND(DO$5&lt;=$F158,DO$5+GanttPeriod-1&gt;=$E158),"━","")))</f>
        <v/>
      </c>
      <c r="DP158" s="69" t="str">
        <f aca="false">IF($E158="","",IF($M158,IF(AND($G158&gt;=DP$5,$G158&lt;DP$5+GanttPeriod),"◆",IF(AND($E158&gt;=DP$5,$E158&lt;DP$5+GanttPeriod),"◇","")),IF(AND(DP$5&lt;=$F158,DP$5+GanttPeriod-1&gt;=$E158),"━","")))</f>
        <v/>
      </c>
      <c r="DQ158" s="69" t="str">
        <f aca="false">IF($E158="","",IF($M158,IF(AND($G158&gt;=DQ$5,$G158&lt;DQ$5+GanttPeriod),"◆",IF(AND($E158&gt;=DQ$5,$E158&lt;DQ$5+GanttPeriod),"◇","")),IF(AND(DQ$5&lt;=$F158,DQ$5+GanttPeriod-1&gt;=$E158),"━","")))</f>
        <v/>
      </c>
      <c r="DR158" s="69" t="str">
        <f aca="false">IF($E158="","",IF($M158,IF(AND($G158&gt;=DR$5,$G158&lt;DR$5+GanttPeriod),"◆",IF(AND($E158&gt;=DR$5,$E158&lt;DR$5+GanttPeriod),"◇","")),IF(AND(DR$5&lt;=$F158,DR$5+GanttPeriod-1&gt;=$E158),"━","")))</f>
        <v/>
      </c>
      <c r="DS158" s="69" t="str">
        <f aca="false">IF($E158="","",IF($M158,IF(AND($G158&gt;=DS$5,$G158&lt;DS$5+GanttPeriod),"◆",IF(AND($E158&gt;=DS$5,$E158&lt;DS$5+GanttPeriod),"◇","")),IF(AND(DS$5&lt;=$F158,DS$5+GanttPeriod-1&gt;=$E158),"━","")))</f>
        <v/>
      </c>
      <c r="DT158" s="69" t="str">
        <f aca="false">IF($E158="","",IF($M158,IF(AND($G158&gt;=DT$5,$G158&lt;DT$5+GanttPeriod),"◆",IF(AND($E158&gt;=DT$5,$E158&lt;DT$5+GanttPeriod),"◇","")),IF(AND(DT$5&lt;=$F158,DT$5+GanttPeriod-1&gt;=$E158),"━","")))</f>
        <v/>
      </c>
      <c r="DU158" s="69" t="str">
        <f aca="false">IF($E158="","",IF($M158,IF(AND($G158&gt;=DU$5,$G158&lt;DU$5+GanttPeriod),"◆",IF(AND($E158&gt;=DU$5,$E158&lt;DU$5+GanttPeriod),"◇","")),IF(AND(DU$5&lt;=$F158,DU$5+GanttPeriod-1&gt;=$E158),"━","")))</f>
        <v/>
      </c>
      <c r="DV158" s="69" t="str">
        <f aca="false">IF($E158="","",IF($M158,IF(AND($G158&gt;=DV$5,$G158&lt;DV$5+GanttPeriod),"◆",IF(AND($E158&gt;=DV$5,$E158&lt;DV$5+GanttPeriod),"◇","")),IF(AND(DV$5&lt;=$F158,DV$5+GanttPeriod-1&gt;=$E158),"━","")))</f>
        <v/>
      </c>
      <c r="DW158" s="69" t="str">
        <f aca="false">IF($E158="","",IF($M158,IF(AND($G158&gt;=DW$5,$G158&lt;DW$5+GanttPeriod),"◆",IF(AND($E158&gt;=DW$5,$E158&lt;DW$5+GanttPeriod),"◇","")),IF(AND(DW$5&lt;=$F158,DW$5+GanttPeriod-1&gt;=$E158),"━","")))</f>
        <v/>
      </c>
      <c r="DX158" s="69" t="str">
        <f aca="false">IF($E158="","",IF($M158,IF(AND($G158&gt;=DX$5,$G158&lt;DX$5+GanttPeriod),"◆",IF(AND($E158&gt;=DX$5,$E158&lt;DX$5+GanttPeriod),"◇","")),IF(AND(DX$5&lt;=$F158,DX$5+GanttPeriod-1&gt;=$E158),"━","")))</f>
        <v/>
      </c>
      <c r="DY158" s="69" t="str">
        <f aca="false">IF($E158="","",IF($M158,IF(AND($G158&gt;=DY$5,$G158&lt;DY$5+GanttPeriod),"◆",IF(AND($E158&gt;=DY$5,$E158&lt;DY$5+GanttPeriod),"◇","")),IF(AND(DY$5&lt;=$F158,DY$5+GanttPeriod-1&gt;=$E158),"━","")))</f>
        <v/>
      </c>
      <c r="DZ158" s="69" t="str">
        <f aca="false">IF($E158="","",IF($M158,IF(AND($G158&gt;=DZ$5,$G158&lt;DZ$5+GanttPeriod),"◆",IF(AND($E158&gt;=DZ$5,$E158&lt;DZ$5+GanttPeriod),"◇","")),IF(AND(DZ$5&lt;=$F158,DZ$5+GanttPeriod-1&gt;=$E158),"━","")))</f>
        <v/>
      </c>
      <c r="EA158" s="69" t="str">
        <f aca="false">IF($E158="","",IF($M158,IF(AND($G158&gt;=EA$5,$G158&lt;EA$5+GanttPeriod),"◆",IF(AND($E158&gt;=EA$5,$E158&lt;EA$5+GanttPeriod),"◇","")),IF(AND(EA$5&lt;=$F158,EA$5+GanttPeriod-1&gt;=$E158),"━","")))</f>
        <v/>
      </c>
      <c r="EB158" s="69" t="str">
        <f aca="false">IF($E158="","",IF($M158,IF(AND($G158&gt;=EB$5,$G158&lt;EB$5+GanttPeriod),"◆",IF(AND($E158&gt;=EB$5,$E158&lt;EB$5+GanttPeriod),"◇","")),IF(AND(EB$5&lt;=$F158,EB$5+GanttPeriod-1&gt;=$E158),"━","")))</f>
        <v/>
      </c>
      <c r="EC158" s="69" t="str">
        <f aca="false">IF($E158="","",IF($M158,IF(AND($G158&gt;=EC$5,$G158&lt;EC$5+GanttPeriod),"◆",IF(AND($E158&gt;=EC$5,$E158&lt;EC$5+GanttPeriod),"◇","")),IF(AND(EC$5&lt;=$F158,EC$5+GanttPeriod-1&gt;=$E158),"━","")))</f>
        <v/>
      </c>
      <c r="ED158" s="69" t="str">
        <f aca="false">IF($E158="","",IF($M158,IF(AND($G158&gt;=ED$5,$G158&lt;ED$5+GanttPeriod),"◆",IF(AND($E158&gt;=ED$5,$E158&lt;ED$5+GanttPeriod),"◇","")),IF(AND(ED$5&lt;=$F158,ED$5+GanttPeriod-1&gt;=$E158),"━","")))</f>
        <v/>
      </c>
      <c r="EE158" s="69" t="str">
        <f aca="false">IF($E158="","",IF($M158,IF(AND($G158&gt;=EE$5,$G158&lt;EE$5+GanttPeriod),"◆",IF(AND($E158&gt;=EE$5,$E158&lt;EE$5+GanttPeriod),"◇","")),IF(AND(EE$5&lt;=$F158,EE$5+GanttPeriod-1&gt;=$E158),"━","")))</f>
        <v/>
      </c>
      <c r="EF158" s="69" t="str">
        <f aca="false">IF($E158="","",IF($M158,IF(AND($G158&gt;=EF$5,$G158&lt;EF$5+GanttPeriod),"◆",IF(AND($E158&gt;=EF$5,$E158&lt;EF$5+GanttPeriod),"◇","")),IF(AND(EF$5&lt;=$F158,EF$5+GanttPeriod-1&gt;=$E158),"━","")))</f>
        <v/>
      </c>
      <c r="EG158" s="69" t="str">
        <f aca="false">IF($E158="","",IF($M158,IF(AND($G158&gt;=EG$5,$G158&lt;EG$5+GanttPeriod),"◆",IF(AND($E158&gt;=EG$5,$E158&lt;EG$5+GanttPeriod),"◇","")),IF(AND(EG$5&lt;=$F158,EG$5+GanttPeriod-1&gt;=$E158),"━","")))</f>
        <v/>
      </c>
      <c r="EH158" s="69" t="str">
        <f aca="false">IF($E158="","",IF($M158,IF(AND($G158&gt;=EH$5,$G158&lt;EH$5+GanttPeriod),"◆",IF(AND($E158&gt;=EH$5,$E158&lt;EH$5+GanttPeriod),"◇","")),IF(AND(EH$5&lt;=$F158,EH$5+GanttPeriod-1&gt;=$E158),"━","")))</f>
        <v/>
      </c>
      <c r="EI158" s="69" t="str">
        <f aca="false">IF($E158="","",IF($M158,IF(AND($G158&gt;=EI$5,$G158&lt;EI$5+GanttPeriod),"◆",IF(AND($E158&gt;=EI$5,$E158&lt;EI$5+GanttPeriod),"◇","")),IF(AND(EI$5&lt;=$F158,EI$5+GanttPeriod-1&gt;=$E158),"━","")))</f>
        <v/>
      </c>
      <c r="EJ158" s="69" t="str">
        <f aca="false">IF($E158="","",IF($M158,IF(AND($G158&gt;=EJ$5,$G158&lt;EJ$5+GanttPeriod),"◆",IF(AND($E158&gt;=EJ$5,$E158&lt;EJ$5+GanttPeriod),"◇","")),IF(AND(EJ$5&lt;=$F158,EJ$5+GanttPeriod-1&gt;=$E158),"━","")))</f>
        <v/>
      </c>
      <c r="EK158" s="69" t="str">
        <f aca="false">IF($E158="","",IF($M158,IF(AND($G158&gt;=EK$5,$G158&lt;EK$5+GanttPeriod),"◆",IF(AND($E158&gt;=EK$5,$E158&lt;EK$5+GanttPeriod),"◇","")),IF(AND(EK$5&lt;=$F158,EK$5+GanttPeriod-1&gt;=$E158),"━","")))</f>
        <v/>
      </c>
      <c r="EL158" s="69" t="str">
        <f aca="false">IF($E158="","",IF($M158,IF(AND($G158&gt;=EL$5,$G158&lt;EL$5+GanttPeriod),"◆",IF(AND($E158&gt;=EL$5,$E158&lt;EL$5+GanttPeriod),"◇","")),IF(AND(EL$5&lt;=$F158,EL$5+GanttPeriod-1&gt;=$E158),"━","")))</f>
        <v/>
      </c>
      <c r="EM158" s="69" t="str">
        <f aca="false">IF($E158="","",IF($M158,IF(AND($G158&gt;=EM$5,$G158&lt;EM$5+GanttPeriod),"◆",IF(AND($E158&gt;=EM$5,$E158&lt;EM$5+GanttPeriod),"◇","")),IF(AND(EM$5&lt;=$F158,EM$5+GanttPeriod-1&gt;=$E158),"━","")))</f>
        <v/>
      </c>
      <c r="EN158" s="69" t="str">
        <f aca="false">IF($E158="","",IF($M158,IF(AND($G158&gt;=EN$5,$G158&lt;EN$5+GanttPeriod),"◆",IF(AND($E158&gt;=EN$5,$E158&lt;EN$5+GanttPeriod),"◇","")),IF(AND(EN$5&lt;=$F158,EN$5+GanttPeriod-1&gt;=$E158),"━","")))</f>
        <v/>
      </c>
      <c r="EO158" s="69" t="str">
        <f aca="false">IF($E158="","",IF($M158,IF(AND($G158&gt;=EO$5,$G158&lt;EO$5+GanttPeriod),"◆",IF(AND($E158&gt;=EO$5,$E158&lt;EO$5+GanttPeriod),"◇","")),IF(AND(EO$5&lt;=$F158,EO$5+GanttPeriod-1&gt;=$E158),"━","")))</f>
        <v/>
      </c>
      <c r="EP158" s="69" t="str">
        <f aca="false">IF($E158="","",IF($M158,IF(AND($G158&gt;=EP$5,$G158&lt;EP$5+GanttPeriod),"◆",IF(AND($E158&gt;=EP$5,$E158&lt;EP$5+GanttPeriod),"◇","")),IF(AND(EP$5&lt;=$F158,EP$5+GanttPeriod-1&gt;=$E158),"━","")))</f>
        <v/>
      </c>
      <c r="EQ158" s="69" t="str">
        <f aca="false">IF($E158="","",IF($M158,IF(AND($G158&gt;=EQ$5,$G158&lt;EQ$5+GanttPeriod),"◆",IF(AND($E158&gt;=EQ$5,$E158&lt;EQ$5+GanttPeriod),"◇","")),IF(AND(EQ$5&lt;=$F158,EQ$5+GanttPeriod-1&gt;=$E158),"━","")))</f>
        <v/>
      </c>
      <c r="ER158" s="69" t="str">
        <f aca="false">IF($E158="","",IF($M158,IF(AND($G158&gt;=ER$5,$G158&lt;ER$5+GanttPeriod),"◆",IF(AND($E158&gt;=ER$5,$E158&lt;ER$5+GanttPeriod),"◇","")),IF(AND(ER$5&lt;=$F158,ER$5+GanttPeriod-1&gt;=$E158),"━","")))</f>
        <v/>
      </c>
      <c r="ES158" s="69" t="str">
        <f aca="false">IF($E158="","",IF($M158,IF(AND($G158&gt;=ES$5,$G158&lt;ES$5+GanttPeriod),"◆",IF(AND($E158&gt;=ES$5,$E158&lt;ES$5+GanttPeriod),"◇","")),IF(AND(ES$5&lt;=$F158,ES$5+GanttPeriod-1&gt;=$E158),"━","")))</f>
        <v/>
      </c>
      <c r="ET158" s="69" t="str">
        <f aca="false">IF($E158="","",IF($M158,IF(AND($G158&gt;=ET$5,$G158&lt;ET$5+GanttPeriod),"◆",IF(AND($E158&gt;=ET$5,$E158&lt;ET$5+GanttPeriod),"◇","")),IF(AND(ET$5&lt;=$F158,ET$5+GanttPeriod-1&gt;=$E158),"━","")))</f>
        <v/>
      </c>
      <c r="EU158" s="69" t="str">
        <f aca="false">IF($E158="","",IF($M158,IF(AND($G158&gt;=EU$5,$G158&lt;EU$5+GanttPeriod),"◆",IF(AND($E158&gt;=EU$5,$E158&lt;EU$5+GanttPeriod),"◇","")),IF(AND(EU$5&lt;=$F158,EU$5+GanttPeriod-1&gt;=$E158),"━","")))</f>
        <v/>
      </c>
      <c r="EV158" s="69" t="str">
        <f aca="false">IF($E158="","",IF($M158,IF(AND($G158&gt;=EV$5,$G158&lt;EV$5+GanttPeriod),"◆",IF(AND($E158&gt;=EV$5,$E158&lt;EV$5+GanttPeriod),"◇","")),IF(AND(EV$5&lt;=$F158,EV$5+GanttPeriod-1&gt;=$E158),"━","")))</f>
        <v/>
      </c>
      <c r="EW158" s="69" t="str">
        <f aca="false">IF($E158="","",IF($M158,IF(AND($G158&gt;=EW$5,$G158&lt;EW$5+GanttPeriod),"◆",IF(AND($E158&gt;=EW$5,$E158&lt;EW$5+GanttPeriod),"◇","")),IF(AND(EW$5&lt;=$F158,EW$5+GanttPeriod-1&gt;=$E158),"━","")))</f>
        <v/>
      </c>
      <c r="EX158" s="69" t="str">
        <f aca="false">IF($E158="","",IF($M158,IF(AND($G158&gt;=EX$5,$G158&lt;EX$5+GanttPeriod),"◆",IF(AND($E158&gt;=EX$5,$E158&lt;EX$5+GanttPeriod),"◇","")),IF(AND(EX$5&lt;=$F158,EX$5+GanttPeriod-1&gt;=$E158),"━","")))</f>
        <v/>
      </c>
      <c r="EY158" s="69" t="str">
        <f aca="false">IF($E158="","",IF($M158,IF(AND($G158&gt;=EY$5,$G158&lt;EY$5+GanttPeriod),"◆",IF(AND($E158&gt;=EY$5,$E158&lt;EY$5+GanttPeriod),"◇","")),IF(AND(EY$5&lt;=$F158,EY$5+GanttPeriod-1&gt;=$E158),"━","")))</f>
        <v/>
      </c>
      <c r="EZ158" s="69" t="str">
        <f aca="false">IF($E158="","",IF($M158,IF(AND($G158&gt;=EZ$5,$G158&lt;EZ$5+GanttPeriod),"◆",IF(AND($E158&gt;=EZ$5,$E158&lt;EZ$5+GanttPeriod),"◇","")),IF(AND(EZ$5&lt;=$F158,EZ$5+GanttPeriod-1&gt;=$E158),"━","")))</f>
        <v/>
      </c>
      <c r="FA158" s="69" t="str">
        <f aca="false">IF($E158="","",IF($M158,IF(AND($G158&gt;=FA$5,$G158&lt;FA$5+GanttPeriod),"◆",IF(AND($E158&gt;=FA$5,$E158&lt;FA$5+GanttPeriod),"◇","")),IF(AND(FA$5&lt;=$F158,FA$5+GanttPeriod-1&gt;=$E158),"━","")))</f>
        <v/>
      </c>
      <c r="FB158" s="69" t="str">
        <f aca="false">IF($E158="","",IF($M158,IF(AND($G158&gt;=FB$5,$G158&lt;FB$5+GanttPeriod),"◆",IF(AND($E158&gt;=FB$5,$E158&lt;FB$5+GanttPeriod),"◇","")),IF(AND(FB$5&lt;=$F158,FB$5+GanttPeriod-1&gt;=$E158),"━","")))</f>
        <v/>
      </c>
      <c r="FC158" s="69" t="str">
        <f aca="false">IF($E158="","",IF($M158,IF(AND($G158&gt;=FC$5,$G158&lt;FC$5+GanttPeriod),"◆",IF(AND($E158&gt;=FC$5,$E158&lt;FC$5+GanttPeriod),"◇","")),IF(AND(FC$5&lt;=$F158,FC$5+GanttPeriod-1&gt;=$E158),"━","")))</f>
        <v/>
      </c>
      <c r="FD158" s="69" t="str">
        <f aca="false">IF($E158="","",IF($M158,IF(AND($G158&gt;=FD$5,$G158&lt;FD$5+GanttPeriod),"◆",IF(AND($E158&gt;=FD$5,$E158&lt;FD$5+GanttPeriod),"◇","")),IF(AND(FD$5&lt;=$F158,FD$5+GanttPeriod-1&gt;=$E158),"━","")))</f>
        <v/>
      </c>
      <c r="FE158" s="69" t="str">
        <f aca="false">IF($E158="","",IF($M158,IF(AND($G158&gt;=FE$5,$G158&lt;FE$5+GanttPeriod),"◆",IF(AND($E158&gt;=FE$5,$E158&lt;FE$5+GanttPeriod),"◇","")),IF(AND(FE$5&lt;=$F158,FE$5+GanttPeriod-1&gt;=$E158),"━","")))</f>
        <v/>
      </c>
      <c r="FF158" s="69" t="str">
        <f aca="false">IF($E158="","",IF($M158,IF(AND($G158&gt;=FF$5,$G158&lt;FF$5+GanttPeriod),"◆",IF(AND($E158&gt;=FF$5,$E158&lt;FF$5+GanttPeriod),"◇","")),IF(AND(FF$5&lt;=$F158,FF$5+GanttPeriod-1&gt;=$E158),"━","")))</f>
        <v/>
      </c>
      <c r="FG158" s="69" t="str">
        <f aca="false">IF($E158="","",IF($M158,IF(AND($G158&gt;=FG$5,$G158&lt;FG$5+GanttPeriod),"◆",IF(AND($E158&gt;=FG$5,$E158&lt;FG$5+GanttPeriod),"◇","")),IF(AND(FG$5&lt;=$F158,FG$5+GanttPeriod-1&gt;=$E158),"━","")))</f>
        <v/>
      </c>
      <c r="FH158" s="69" t="str">
        <f aca="false">IF($E158="","",IF($M158,IF(AND($G158&gt;=FH$5,$G158&lt;FH$5+GanttPeriod),"◆",IF(AND($E158&gt;=FH$5,$E158&lt;FH$5+GanttPeriod),"◇","")),IF(AND(FH$5&lt;=$F158,FH$5+GanttPeriod-1&gt;=$E158),"━","")))</f>
        <v/>
      </c>
      <c r="FI158" s="69" t="str">
        <f aca="false">IF($E158="","",IF($M158,IF(AND($G158&gt;=FI$5,$G158&lt;FI$5+GanttPeriod),"◆",IF(AND($E158&gt;=FI$5,$E158&lt;FI$5+GanttPeriod),"◇","")),IF(AND(FI$5&lt;=$F158,FI$5+GanttPeriod-1&gt;=$E158),"━","")))</f>
        <v/>
      </c>
      <c r="FJ158" s="69" t="str">
        <f aca="false">IF($E158="","",IF($M158,IF(AND($G158&gt;=FJ$5,$G158&lt;FJ$5+GanttPeriod),"◆",IF(AND($E158&gt;=FJ$5,$E158&lt;FJ$5+GanttPeriod),"◇","")),IF(AND(FJ$5&lt;=$F158,FJ$5+GanttPeriod-1&gt;=$E158),"━","")))</f>
        <v/>
      </c>
      <c r="FK158" s="69" t="str">
        <f aca="false">IF($E158="","",IF($M158,IF(AND($G158&gt;=FK$5,$G158&lt;FK$5+GanttPeriod),"◆",IF(AND($E158&gt;=FK$5,$E158&lt;FK$5+GanttPeriod),"◇","")),IF(AND(FK$5&lt;=$F158,FK$5+GanttPeriod-1&gt;=$E158),"━","")))</f>
        <v/>
      </c>
      <c r="FL158" s="69" t="str">
        <f aca="false">IF($E158="","",IF($M158,IF(AND($G158&gt;=FL$5,$G158&lt;FL$5+GanttPeriod),"◆",IF(AND($E158&gt;=FL$5,$E158&lt;FL$5+GanttPeriod),"◇","")),IF(AND(FL$5&lt;=$F158,FL$5+GanttPeriod-1&gt;=$E158),"━","")))</f>
        <v/>
      </c>
      <c r="FM158" s="69" t="str">
        <f aca="false">IF($E158="","",IF($M158,IF(AND($G158&gt;=FM$5,$G158&lt;FM$5+GanttPeriod),"◆",IF(AND($E158&gt;=FM$5,$E158&lt;FM$5+GanttPeriod),"◇","")),IF(AND(FM$5&lt;=$F158,FM$5+GanttPeriod-1&gt;=$E158),"━","")))</f>
        <v/>
      </c>
    </row>
    <row r="159" customFormat="false" ht="15" hidden="false" customHeight="false" outlineLevel="0" collapsed="false">
      <c r="A159" s="62" t="str">
        <f aca="false">IF(Tasks!$D159="","",Tasks!$A159)</f>
        <v/>
      </c>
      <c r="B159" s="62" t="str">
        <f aca="false">IF(Tasks!$D159="","",Tasks!$B159)</f>
        <v/>
      </c>
      <c r="C159" s="63" t="str">
        <f aca="false">IF(Tasks!$D159="","",REPT("    ",Tasks!$AE159-1)&amp;Tasks!$D159)</f>
        <v/>
      </c>
      <c r="D159" s="62" t="str">
        <f aca="false">IF(Tasks!$D159="","",IF(Tasks!$AI159,NETWORKDAYS.INTL(Tasks!$R159,Tasks!$S159,WorkWeek,Holidays),N(Tasks!$F159)))</f>
        <v/>
      </c>
      <c r="E159" s="64" t="str">
        <f aca="false">IF(Tasks!$D159="","",Tasks!$N159)</f>
        <v/>
      </c>
      <c r="F159" s="64" t="str">
        <f aca="false">IF(Tasks!$D159="","",Tasks!$O159)</f>
        <v/>
      </c>
      <c r="G159" s="64" t="str">
        <f aca="false">IF(Tasks!$D159="","",Tasks!$R159)</f>
        <v/>
      </c>
      <c r="H159" s="64" t="str">
        <f aca="false">IF(Tasks!$D159="","",Tasks!$S159)</f>
        <v/>
      </c>
      <c r="I159" s="65" t="str">
        <f aca="false">IF(Tasks!$D159="","",Tasks!$V159)</f>
        <v/>
      </c>
      <c r="J159" s="63" t="str">
        <f aca="false">IF(Tasks!$D159="","",Tasks!$X159&amp;"")</f>
        <v/>
      </c>
      <c r="K159" s="66" t="str">
        <f aca="false">IF(Tasks!$D159="","",Tasks!$W159)</f>
        <v/>
      </c>
      <c r="L159" s="67" t="b">
        <f aca="false">IF(Tasks!$D159="",FALSE(),Tasks!$AI159)</f>
        <v>0</v>
      </c>
      <c r="M159" s="67" t="b">
        <f aca="false">AND(Tasks!$AJ159=1,N(Tasks!$F159)=0)</f>
        <v>0</v>
      </c>
      <c r="N159" s="68" t="n">
        <f aca="false">IF(AND(Tasks!$AJ159=1,NOT($M159),N($I159)&gt;0),$G159,0)</f>
        <v>0</v>
      </c>
      <c r="O159" s="68" t="n">
        <f aca="false">IF($N159=0,0,IF($I159&gt;=1,$H159,MAX($N159,$G159+ROUND(($H159-$G159+1)*$I159,0)-1)))</f>
        <v>0</v>
      </c>
      <c r="P159" s="68" t="n">
        <f aca="false">IF(OR(Tasks!$AJ159&lt;&gt;1,$M159,N($I159)&gt;=1),0,IF($O159&gt;0,$O159+1,$G159))</f>
        <v>0</v>
      </c>
      <c r="Q159" s="68" t="n">
        <f aca="false">IF($P159=0,0,$H159)</f>
        <v>0</v>
      </c>
      <c r="R159" s="67" t="b">
        <f aca="false">AND(Tasks!$D159&lt;&gt;"",N(Tasks!$T159)&gt;0)</f>
        <v>0</v>
      </c>
      <c r="T159" s="69" t="str">
        <f aca="false">IF($E159="","",IF($M159,IF(AND($G159&gt;=T$5,$G159&lt;T$5+GanttPeriod),"◆",IF(AND($E159&gt;=T$5,$E159&lt;T$5+GanttPeriod),"◇","")),IF(AND(T$5&lt;=$F159,T$5+GanttPeriod-1&gt;=$E159),"━","")))</f>
        <v/>
      </c>
      <c r="U159" s="69" t="str">
        <f aca="false">IF($E159="","",IF($M159,IF(AND($G159&gt;=U$5,$G159&lt;U$5+GanttPeriod),"◆",IF(AND($E159&gt;=U$5,$E159&lt;U$5+GanttPeriod),"◇","")),IF(AND(U$5&lt;=$F159,U$5+GanttPeriod-1&gt;=$E159),"━","")))</f>
        <v/>
      </c>
      <c r="V159" s="69" t="str">
        <f aca="false">IF($E159="","",IF($M159,IF(AND($G159&gt;=V$5,$G159&lt;V$5+GanttPeriod),"◆",IF(AND($E159&gt;=V$5,$E159&lt;V$5+GanttPeriod),"◇","")),IF(AND(V$5&lt;=$F159,V$5+GanttPeriod-1&gt;=$E159),"━","")))</f>
        <v/>
      </c>
      <c r="W159" s="69" t="str">
        <f aca="false">IF($E159="","",IF($M159,IF(AND($G159&gt;=W$5,$G159&lt;W$5+GanttPeriod),"◆",IF(AND($E159&gt;=W$5,$E159&lt;W$5+GanttPeriod),"◇","")),IF(AND(W$5&lt;=$F159,W$5+GanttPeriod-1&gt;=$E159),"━","")))</f>
        <v/>
      </c>
      <c r="X159" s="69" t="str">
        <f aca="false">IF($E159="","",IF($M159,IF(AND($G159&gt;=X$5,$G159&lt;X$5+GanttPeriod),"◆",IF(AND($E159&gt;=X$5,$E159&lt;X$5+GanttPeriod),"◇","")),IF(AND(X$5&lt;=$F159,X$5+GanttPeriod-1&gt;=$E159),"━","")))</f>
        <v/>
      </c>
      <c r="Y159" s="69" t="str">
        <f aca="false">IF($E159="","",IF($M159,IF(AND($G159&gt;=Y$5,$G159&lt;Y$5+GanttPeriod),"◆",IF(AND($E159&gt;=Y$5,$E159&lt;Y$5+GanttPeriod),"◇","")),IF(AND(Y$5&lt;=$F159,Y$5+GanttPeriod-1&gt;=$E159),"━","")))</f>
        <v/>
      </c>
      <c r="Z159" s="69" t="str">
        <f aca="false">IF($E159="","",IF($M159,IF(AND($G159&gt;=Z$5,$G159&lt;Z$5+GanttPeriod),"◆",IF(AND($E159&gt;=Z$5,$E159&lt;Z$5+GanttPeriod),"◇","")),IF(AND(Z$5&lt;=$F159,Z$5+GanttPeriod-1&gt;=$E159),"━","")))</f>
        <v/>
      </c>
      <c r="AA159" s="69" t="str">
        <f aca="false">IF($E159="","",IF($M159,IF(AND($G159&gt;=AA$5,$G159&lt;AA$5+GanttPeriod),"◆",IF(AND($E159&gt;=AA$5,$E159&lt;AA$5+GanttPeriod),"◇","")),IF(AND(AA$5&lt;=$F159,AA$5+GanttPeriod-1&gt;=$E159),"━","")))</f>
        <v/>
      </c>
      <c r="AB159" s="69" t="str">
        <f aca="false">IF($E159="","",IF($M159,IF(AND($G159&gt;=AB$5,$G159&lt;AB$5+GanttPeriod),"◆",IF(AND($E159&gt;=AB$5,$E159&lt;AB$5+GanttPeriod),"◇","")),IF(AND(AB$5&lt;=$F159,AB$5+GanttPeriod-1&gt;=$E159),"━","")))</f>
        <v/>
      </c>
      <c r="AC159" s="69" t="str">
        <f aca="false">IF($E159="","",IF($M159,IF(AND($G159&gt;=AC$5,$G159&lt;AC$5+GanttPeriod),"◆",IF(AND($E159&gt;=AC$5,$E159&lt;AC$5+GanttPeriod),"◇","")),IF(AND(AC$5&lt;=$F159,AC$5+GanttPeriod-1&gt;=$E159),"━","")))</f>
        <v/>
      </c>
      <c r="AD159" s="69" t="str">
        <f aca="false">IF($E159="","",IF($M159,IF(AND($G159&gt;=AD$5,$G159&lt;AD$5+GanttPeriod),"◆",IF(AND($E159&gt;=AD$5,$E159&lt;AD$5+GanttPeriod),"◇","")),IF(AND(AD$5&lt;=$F159,AD$5+GanttPeriod-1&gt;=$E159),"━","")))</f>
        <v/>
      </c>
      <c r="AE159" s="69" t="str">
        <f aca="false">IF($E159="","",IF($M159,IF(AND($G159&gt;=AE$5,$G159&lt;AE$5+GanttPeriod),"◆",IF(AND($E159&gt;=AE$5,$E159&lt;AE$5+GanttPeriod),"◇","")),IF(AND(AE$5&lt;=$F159,AE$5+GanttPeriod-1&gt;=$E159),"━","")))</f>
        <v/>
      </c>
      <c r="AF159" s="69" t="str">
        <f aca="false">IF($E159="","",IF($M159,IF(AND($G159&gt;=AF$5,$G159&lt;AF$5+GanttPeriod),"◆",IF(AND($E159&gt;=AF$5,$E159&lt;AF$5+GanttPeriod),"◇","")),IF(AND(AF$5&lt;=$F159,AF$5+GanttPeriod-1&gt;=$E159),"━","")))</f>
        <v/>
      </c>
      <c r="AG159" s="69" t="str">
        <f aca="false">IF($E159="","",IF($M159,IF(AND($G159&gt;=AG$5,$G159&lt;AG$5+GanttPeriod),"◆",IF(AND($E159&gt;=AG$5,$E159&lt;AG$5+GanttPeriod),"◇","")),IF(AND(AG$5&lt;=$F159,AG$5+GanttPeriod-1&gt;=$E159),"━","")))</f>
        <v/>
      </c>
      <c r="AH159" s="69" t="str">
        <f aca="false">IF($E159="","",IF($M159,IF(AND($G159&gt;=AH$5,$G159&lt;AH$5+GanttPeriod),"◆",IF(AND($E159&gt;=AH$5,$E159&lt;AH$5+GanttPeriod),"◇","")),IF(AND(AH$5&lt;=$F159,AH$5+GanttPeriod-1&gt;=$E159),"━","")))</f>
        <v/>
      </c>
      <c r="AI159" s="69" t="str">
        <f aca="false">IF($E159="","",IF($M159,IF(AND($G159&gt;=AI$5,$G159&lt;AI$5+GanttPeriod),"◆",IF(AND($E159&gt;=AI$5,$E159&lt;AI$5+GanttPeriod),"◇","")),IF(AND(AI$5&lt;=$F159,AI$5+GanttPeriod-1&gt;=$E159),"━","")))</f>
        <v/>
      </c>
      <c r="AJ159" s="69" t="str">
        <f aca="false">IF($E159="","",IF($M159,IF(AND($G159&gt;=AJ$5,$G159&lt;AJ$5+GanttPeriod),"◆",IF(AND($E159&gt;=AJ$5,$E159&lt;AJ$5+GanttPeriod),"◇","")),IF(AND(AJ$5&lt;=$F159,AJ$5+GanttPeriod-1&gt;=$E159),"━","")))</f>
        <v/>
      </c>
      <c r="AK159" s="69" t="str">
        <f aca="false">IF($E159="","",IF($M159,IF(AND($G159&gt;=AK$5,$G159&lt;AK$5+GanttPeriod),"◆",IF(AND($E159&gt;=AK$5,$E159&lt;AK$5+GanttPeriod),"◇","")),IF(AND(AK$5&lt;=$F159,AK$5+GanttPeriod-1&gt;=$E159),"━","")))</f>
        <v/>
      </c>
      <c r="AL159" s="69" t="str">
        <f aca="false">IF($E159="","",IF($M159,IF(AND($G159&gt;=AL$5,$G159&lt;AL$5+GanttPeriod),"◆",IF(AND($E159&gt;=AL$5,$E159&lt;AL$5+GanttPeriod),"◇","")),IF(AND(AL$5&lt;=$F159,AL$5+GanttPeriod-1&gt;=$E159),"━","")))</f>
        <v/>
      </c>
      <c r="AM159" s="69" t="str">
        <f aca="false">IF($E159="","",IF($M159,IF(AND($G159&gt;=AM$5,$G159&lt;AM$5+GanttPeriod),"◆",IF(AND($E159&gt;=AM$5,$E159&lt;AM$5+GanttPeriod),"◇","")),IF(AND(AM$5&lt;=$F159,AM$5+GanttPeriod-1&gt;=$E159),"━","")))</f>
        <v/>
      </c>
      <c r="AN159" s="69" t="str">
        <f aca="false">IF($E159="","",IF($M159,IF(AND($G159&gt;=AN$5,$G159&lt;AN$5+GanttPeriod),"◆",IF(AND($E159&gt;=AN$5,$E159&lt;AN$5+GanttPeriod),"◇","")),IF(AND(AN$5&lt;=$F159,AN$5+GanttPeriod-1&gt;=$E159),"━","")))</f>
        <v/>
      </c>
      <c r="AO159" s="69" t="str">
        <f aca="false">IF($E159="","",IF($M159,IF(AND($G159&gt;=AO$5,$G159&lt;AO$5+GanttPeriod),"◆",IF(AND($E159&gt;=AO$5,$E159&lt;AO$5+GanttPeriod),"◇","")),IF(AND(AO$5&lt;=$F159,AO$5+GanttPeriod-1&gt;=$E159),"━","")))</f>
        <v/>
      </c>
      <c r="AP159" s="69" t="str">
        <f aca="false">IF($E159="","",IF($M159,IF(AND($G159&gt;=AP$5,$G159&lt;AP$5+GanttPeriod),"◆",IF(AND($E159&gt;=AP$5,$E159&lt;AP$5+GanttPeriod),"◇","")),IF(AND(AP$5&lt;=$F159,AP$5+GanttPeriod-1&gt;=$E159),"━","")))</f>
        <v/>
      </c>
      <c r="AQ159" s="69" t="str">
        <f aca="false">IF($E159="","",IF($M159,IF(AND($G159&gt;=AQ$5,$G159&lt;AQ$5+GanttPeriod),"◆",IF(AND($E159&gt;=AQ$5,$E159&lt;AQ$5+GanttPeriod),"◇","")),IF(AND(AQ$5&lt;=$F159,AQ$5+GanttPeriod-1&gt;=$E159),"━","")))</f>
        <v/>
      </c>
      <c r="AR159" s="69" t="str">
        <f aca="false">IF($E159="","",IF($M159,IF(AND($G159&gt;=AR$5,$G159&lt;AR$5+GanttPeriod),"◆",IF(AND($E159&gt;=AR$5,$E159&lt;AR$5+GanttPeriod),"◇","")),IF(AND(AR$5&lt;=$F159,AR$5+GanttPeriod-1&gt;=$E159),"━","")))</f>
        <v/>
      </c>
      <c r="AS159" s="69" t="str">
        <f aca="false">IF($E159="","",IF($M159,IF(AND($G159&gt;=AS$5,$G159&lt;AS$5+GanttPeriod),"◆",IF(AND($E159&gt;=AS$5,$E159&lt;AS$5+GanttPeriod),"◇","")),IF(AND(AS$5&lt;=$F159,AS$5+GanttPeriod-1&gt;=$E159),"━","")))</f>
        <v/>
      </c>
      <c r="AT159" s="69" t="str">
        <f aca="false">IF($E159="","",IF($M159,IF(AND($G159&gt;=AT$5,$G159&lt;AT$5+GanttPeriod),"◆",IF(AND($E159&gt;=AT$5,$E159&lt;AT$5+GanttPeriod),"◇","")),IF(AND(AT$5&lt;=$F159,AT$5+GanttPeriod-1&gt;=$E159),"━","")))</f>
        <v/>
      </c>
      <c r="AU159" s="69" t="str">
        <f aca="false">IF($E159="","",IF($M159,IF(AND($G159&gt;=AU$5,$G159&lt;AU$5+GanttPeriod),"◆",IF(AND($E159&gt;=AU$5,$E159&lt;AU$5+GanttPeriod),"◇","")),IF(AND(AU$5&lt;=$F159,AU$5+GanttPeriod-1&gt;=$E159),"━","")))</f>
        <v/>
      </c>
      <c r="AV159" s="69" t="str">
        <f aca="false">IF($E159="","",IF($M159,IF(AND($G159&gt;=AV$5,$G159&lt;AV$5+GanttPeriod),"◆",IF(AND($E159&gt;=AV$5,$E159&lt;AV$5+GanttPeriod),"◇","")),IF(AND(AV$5&lt;=$F159,AV$5+GanttPeriod-1&gt;=$E159),"━","")))</f>
        <v/>
      </c>
      <c r="AW159" s="69" t="str">
        <f aca="false">IF($E159="","",IF($M159,IF(AND($G159&gt;=AW$5,$G159&lt;AW$5+GanttPeriod),"◆",IF(AND($E159&gt;=AW$5,$E159&lt;AW$5+GanttPeriod),"◇","")),IF(AND(AW$5&lt;=$F159,AW$5+GanttPeriod-1&gt;=$E159),"━","")))</f>
        <v/>
      </c>
      <c r="AX159" s="69" t="str">
        <f aca="false">IF($E159="","",IF($M159,IF(AND($G159&gt;=AX$5,$G159&lt;AX$5+GanttPeriod),"◆",IF(AND($E159&gt;=AX$5,$E159&lt;AX$5+GanttPeriod),"◇","")),IF(AND(AX$5&lt;=$F159,AX$5+GanttPeriod-1&gt;=$E159),"━","")))</f>
        <v/>
      </c>
      <c r="AY159" s="69" t="str">
        <f aca="false">IF($E159="","",IF($M159,IF(AND($G159&gt;=AY$5,$G159&lt;AY$5+GanttPeriod),"◆",IF(AND($E159&gt;=AY$5,$E159&lt;AY$5+GanttPeriod),"◇","")),IF(AND(AY$5&lt;=$F159,AY$5+GanttPeriod-1&gt;=$E159),"━","")))</f>
        <v/>
      </c>
      <c r="AZ159" s="69" t="str">
        <f aca="false">IF($E159="","",IF($M159,IF(AND($G159&gt;=AZ$5,$G159&lt;AZ$5+GanttPeriod),"◆",IF(AND($E159&gt;=AZ$5,$E159&lt;AZ$5+GanttPeriod),"◇","")),IF(AND(AZ$5&lt;=$F159,AZ$5+GanttPeriod-1&gt;=$E159),"━","")))</f>
        <v/>
      </c>
      <c r="BA159" s="69" t="str">
        <f aca="false">IF($E159="","",IF($M159,IF(AND($G159&gt;=BA$5,$G159&lt;BA$5+GanttPeriod),"◆",IF(AND($E159&gt;=BA$5,$E159&lt;BA$5+GanttPeriod),"◇","")),IF(AND(BA$5&lt;=$F159,BA$5+GanttPeriod-1&gt;=$E159),"━","")))</f>
        <v/>
      </c>
      <c r="BB159" s="69" t="str">
        <f aca="false">IF($E159="","",IF($M159,IF(AND($G159&gt;=BB$5,$G159&lt;BB$5+GanttPeriod),"◆",IF(AND($E159&gt;=BB$5,$E159&lt;BB$5+GanttPeriod),"◇","")),IF(AND(BB$5&lt;=$F159,BB$5+GanttPeriod-1&gt;=$E159),"━","")))</f>
        <v/>
      </c>
      <c r="BC159" s="69" t="str">
        <f aca="false">IF($E159="","",IF($M159,IF(AND($G159&gt;=BC$5,$G159&lt;BC$5+GanttPeriod),"◆",IF(AND($E159&gt;=BC$5,$E159&lt;BC$5+GanttPeriod),"◇","")),IF(AND(BC$5&lt;=$F159,BC$5+GanttPeriod-1&gt;=$E159),"━","")))</f>
        <v/>
      </c>
      <c r="BD159" s="69" t="str">
        <f aca="false">IF($E159="","",IF($M159,IF(AND($G159&gt;=BD$5,$G159&lt;BD$5+GanttPeriod),"◆",IF(AND($E159&gt;=BD$5,$E159&lt;BD$5+GanttPeriod),"◇","")),IF(AND(BD$5&lt;=$F159,BD$5+GanttPeriod-1&gt;=$E159),"━","")))</f>
        <v/>
      </c>
      <c r="BE159" s="69" t="str">
        <f aca="false">IF($E159="","",IF($M159,IF(AND($G159&gt;=BE$5,$G159&lt;BE$5+GanttPeriod),"◆",IF(AND($E159&gt;=BE$5,$E159&lt;BE$5+GanttPeriod),"◇","")),IF(AND(BE$5&lt;=$F159,BE$5+GanttPeriod-1&gt;=$E159),"━","")))</f>
        <v/>
      </c>
      <c r="BF159" s="69" t="str">
        <f aca="false">IF($E159="","",IF($M159,IF(AND($G159&gt;=BF$5,$G159&lt;BF$5+GanttPeriod),"◆",IF(AND($E159&gt;=BF$5,$E159&lt;BF$5+GanttPeriod),"◇","")),IF(AND(BF$5&lt;=$F159,BF$5+GanttPeriod-1&gt;=$E159),"━","")))</f>
        <v/>
      </c>
      <c r="BG159" s="69" t="str">
        <f aca="false">IF($E159="","",IF($M159,IF(AND($G159&gt;=BG$5,$G159&lt;BG$5+GanttPeriod),"◆",IF(AND($E159&gt;=BG$5,$E159&lt;BG$5+GanttPeriod),"◇","")),IF(AND(BG$5&lt;=$F159,BG$5+GanttPeriod-1&gt;=$E159),"━","")))</f>
        <v/>
      </c>
      <c r="BH159" s="69" t="str">
        <f aca="false">IF($E159="","",IF($M159,IF(AND($G159&gt;=BH$5,$G159&lt;BH$5+GanttPeriod),"◆",IF(AND($E159&gt;=BH$5,$E159&lt;BH$5+GanttPeriod),"◇","")),IF(AND(BH$5&lt;=$F159,BH$5+GanttPeriod-1&gt;=$E159),"━","")))</f>
        <v/>
      </c>
      <c r="BI159" s="69" t="str">
        <f aca="false">IF($E159="","",IF($M159,IF(AND($G159&gt;=BI$5,$G159&lt;BI$5+GanttPeriod),"◆",IF(AND($E159&gt;=BI$5,$E159&lt;BI$5+GanttPeriod),"◇","")),IF(AND(BI$5&lt;=$F159,BI$5+GanttPeriod-1&gt;=$E159),"━","")))</f>
        <v/>
      </c>
      <c r="BJ159" s="69" t="str">
        <f aca="false">IF($E159="","",IF($M159,IF(AND($G159&gt;=BJ$5,$G159&lt;BJ$5+GanttPeriod),"◆",IF(AND($E159&gt;=BJ$5,$E159&lt;BJ$5+GanttPeriod),"◇","")),IF(AND(BJ$5&lt;=$F159,BJ$5+GanttPeriod-1&gt;=$E159),"━","")))</f>
        <v/>
      </c>
      <c r="BK159" s="69" t="str">
        <f aca="false">IF($E159="","",IF($M159,IF(AND($G159&gt;=BK$5,$G159&lt;BK$5+GanttPeriod),"◆",IF(AND($E159&gt;=BK$5,$E159&lt;BK$5+GanttPeriod),"◇","")),IF(AND(BK$5&lt;=$F159,BK$5+GanttPeriod-1&gt;=$E159),"━","")))</f>
        <v/>
      </c>
      <c r="BL159" s="69" t="str">
        <f aca="false">IF($E159="","",IF($M159,IF(AND($G159&gt;=BL$5,$G159&lt;BL$5+GanttPeriod),"◆",IF(AND($E159&gt;=BL$5,$E159&lt;BL$5+GanttPeriod),"◇","")),IF(AND(BL$5&lt;=$F159,BL$5+GanttPeriod-1&gt;=$E159),"━","")))</f>
        <v/>
      </c>
      <c r="BM159" s="69" t="str">
        <f aca="false">IF($E159="","",IF($M159,IF(AND($G159&gt;=BM$5,$G159&lt;BM$5+GanttPeriod),"◆",IF(AND($E159&gt;=BM$5,$E159&lt;BM$5+GanttPeriod),"◇","")),IF(AND(BM$5&lt;=$F159,BM$5+GanttPeriod-1&gt;=$E159),"━","")))</f>
        <v/>
      </c>
      <c r="BN159" s="69" t="str">
        <f aca="false">IF($E159="","",IF($M159,IF(AND($G159&gt;=BN$5,$G159&lt;BN$5+GanttPeriod),"◆",IF(AND($E159&gt;=BN$5,$E159&lt;BN$5+GanttPeriod),"◇","")),IF(AND(BN$5&lt;=$F159,BN$5+GanttPeriod-1&gt;=$E159),"━","")))</f>
        <v/>
      </c>
      <c r="BO159" s="69" t="str">
        <f aca="false">IF($E159="","",IF($M159,IF(AND($G159&gt;=BO$5,$G159&lt;BO$5+GanttPeriod),"◆",IF(AND($E159&gt;=BO$5,$E159&lt;BO$5+GanttPeriod),"◇","")),IF(AND(BO$5&lt;=$F159,BO$5+GanttPeriod-1&gt;=$E159),"━","")))</f>
        <v/>
      </c>
      <c r="BP159" s="69" t="str">
        <f aca="false">IF($E159="","",IF($M159,IF(AND($G159&gt;=BP$5,$G159&lt;BP$5+GanttPeriod),"◆",IF(AND($E159&gt;=BP$5,$E159&lt;BP$5+GanttPeriod),"◇","")),IF(AND(BP$5&lt;=$F159,BP$5+GanttPeriod-1&gt;=$E159),"━","")))</f>
        <v/>
      </c>
      <c r="BQ159" s="69" t="str">
        <f aca="false">IF($E159="","",IF($M159,IF(AND($G159&gt;=BQ$5,$G159&lt;BQ$5+GanttPeriod),"◆",IF(AND($E159&gt;=BQ$5,$E159&lt;BQ$5+GanttPeriod),"◇","")),IF(AND(BQ$5&lt;=$F159,BQ$5+GanttPeriod-1&gt;=$E159),"━","")))</f>
        <v/>
      </c>
      <c r="BR159" s="69" t="str">
        <f aca="false">IF($E159="","",IF($M159,IF(AND($G159&gt;=BR$5,$G159&lt;BR$5+GanttPeriod),"◆",IF(AND($E159&gt;=BR$5,$E159&lt;BR$5+GanttPeriod),"◇","")),IF(AND(BR$5&lt;=$F159,BR$5+GanttPeriod-1&gt;=$E159),"━","")))</f>
        <v/>
      </c>
      <c r="BS159" s="69" t="str">
        <f aca="false">IF($E159="","",IF($M159,IF(AND($G159&gt;=BS$5,$G159&lt;BS$5+GanttPeriod),"◆",IF(AND($E159&gt;=BS$5,$E159&lt;BS$5+GanttPeriod),"◇","")),IF(AND(BS$5&lt;=$F159,BS$5+GanttPeriod-1&gt;=$E159),"━","")))</f>
        <v/>
      </c>
      <c r="BT159" s="69" t="str">
        <f aca="false">IF($E159="","",IF($M159,IF(AND($G159&gt;=BT$5,$G159&lt;BT$5+GanttPeriod),"◆",IF(AND($E159&gt;=BT$5,$E159&lt;BT$5+GanttPeriod),"◇","")),IF(AND(BT$5&lt;=$F159,BT$5+GanttPeriod-1&gt;=$E159),"━","")))</f>
        <v/>
      </c>
      <c r="BU159" s="69" t="str">
        <f aca="false">IF($E159="","",IF($M159,IF(AND($G159&gt;=BU$5,$G159&lt;BU$5+GanttPeriod),"◆",IF(AND($E159&gt;=BU$5,$E159&lt;BU$5+GanttPeriod),"◇","")),IF(AND(BU$5&lt;=$F159,BU$5+GanttPeriod-1&gt;=$E159),"━","")))</f>
        <v/>
      </c>
      <c r="BV159" s="69" t="str">
        <f aca="false">IF($E159="","",IF($M159,IF(AND($G159&gt;=BV$5,$G159&lt;BV$5+GanttPeriod),"◆",IF(AND($E159&gt;=BV$5,$E159&lt;BV$5+GanttPeriod),"◇","")),IF(AND(BV$5&lt;=$F159,BV$5+GanttPeriod-1&gt;=$E159),"━","")))</f>
        <v/>
      </c>
      <c r="BW159" s="69" t="str">
        <f aca="false">IF($E159="","",IF($M159,IF(AND($G159&gt;=BW$5,$G159&lt;BW$5+GanttPeriod),"◆",IF(AND($E159&gt;=BW$5,$E159&lt;BW$5+GanttPeriod),"◇","")),IF(AND(BW$5&lt;=$F159,BW$5+GanttPeriod-1&gt;=$E159),"━","")))</f>
        <v/>
      </c>
      <c r="BX159" s="69" t="str">
        <f aca="false">IF($E159="","",IF($M159,IF(AND($G159&gt;=BX$5,$G159&lt;BX$5+GanttPeriod),"◆",IF(AND($E159&gt;=BX$5,$E159&lt;BX$5+GanttPeriod),"◇","")),IF(AND(BX$5&lt;=$F159,BX$5+GanttPeriod-1&gt;=$E159),"━","")))</f>
        <v/>
      </c>
      <c r="BY159" s="69" t="str">
        <f aca="false">IF($E159="","",IF($M159,IF(AND($G159&gt;=BY$5,$G159&lt;BY$5+GanttPeriod),"◆",IF(AND($E159&gt;=BY$5,$E159&lt;BY$5+GanttPeriod),"◇","")),IF(AND(BY$5&lt;=$F159,BY$5+GanttPeriod-1&gt;=$E159),"━","")))</f>
        <v/>
      </c>
      <c r="BZ159" s="69" t="str">
        <f aca="false">IF($E159="","",IF($M159,IF(AND($G159&gt;=BZ$5,$G159&lt;BZ$5+GanttPeriod),"◆",IF(AND($E159&gt;=BZ$5,$E159&lt;BZ$5+GanttPeriod),"◇","")),IF(AND(BZ$5&lt;=$F159,BZ$5+GanttPeriod-1&gt;=$E159),"━","")))</f>
        <v/>
      </c>
      <c r="CA159" s="69" t="str">
        <f aca="false">IF($E159="","",IF($M159,IF(AND($G159&gt;=CA$5,$G159&lt;CA$5+GanttPeriod),"◆",IF(AND($E159&gt;=CA$5,$E159&lt;CA$5+GanttPeriod),"◇","")),IF(AND(CA$5&lt;=$F159,CA$5+GanttPeriod-1&gt;=$E159),"━","")))</f>
        <v/>
      </c>
      <c r="CB159" s="69" t="str">
        <f aca="false">IF($E159="","",IF($M159,IF(AND($G159&gt;=CB$5,$G159&lt;CB$5+GanttPeriod),"◆",IF(AND($E159&gt;=CB$5,$E159&lt;CB$5+GanttPeriod),"◇","")),IF(AND(CB$5&lt;=$F159,CB$5+GanttPeriod-1&gt;=$E159),"━","")))</f>
        <v/>
      </c>
      <c r="CC159" s="69" t="str">
        <f aca="false">IF($E159="","",IF($M159,IF(AND($G159&gt;=CC$5,$G159&lt;CC$5+GanttPeriod),"◆",IF(AND($E159&gt;=CC$5,$E159&lt;CC$5+GanttPeriod),"◇","")),IF(AND(CC$5&lt;=$F159,CC$5+GanttPeriod-1&gt;=$E159),"━","")))</f>
        <v/>
      </c>
      <c r="CD159" s="69" t="str">
        <f aca="false">IF($E159="","",IF($M159,IF(AND($G159&gt;=CD$5,$G159&lt;CD$5+GanttPeriod),"◆",IF(AND($E159&gt;=CD$5,$E159&lt;CD$5+GanttPeriod),"◇","")),IF(AND(CD$5&lt;=$F159,CD$5+GanttPeriod-1&gt;=$E159),"━","")))</f>
        <v/>
      </c>
      <c r="CE159" s="69" t="str">
        <f aca="false">IF($E159="","",IF($M159,IF(AND($G159&gt;=CE$5,$G159&lt;CE$5+GanttPeriod),"◆",IF(AND($E159&gt;=CE$5,$E159&lt;CE$5+GanttPeriod),"◇","")),IF(AND(CE$5&lt;=$F159,CE$5+GanttPeriod-1&gt;=$E159),"━","")))</f>
        <v/>
      </c>
      <c r="CF159" s="69" t="str">
        <f aca="false">IF($E159="","",IF($M159,IF(AND($G159&gt;=CF$5,$G159&lt;CF$5+GanttPeriod),"◆",IF(AND($E159&gt;=CF$5,$E159&lt;CF$5+GanttPeriod),"◇","")),IF(AND(CF$5&lt;=$F159,CF$5+GanttPeriod-1&gt;=$E159),"━","")))</f>
        <v/>
      </c>
      <c r="CG159" s="69" t="str">
        <f aca="false">IF($E159="","",IF($M159,IF(AND($G159&gt;=CG$5,$G159&lt;CG$5+GanttPeriod),"◆",IF(AND($E159&gt;=CG$5,$E159&lt;CG$5+GanttPeriod),"◇","")),IF(AND(CG$5&lt;=$F159,CG$5+GanttPeriod-1&gt;=$E159),"━","")))</f>
        <v/>
      </c>
      <c r="CH159" s="69" t="str">
        <f aca="false">IF($E159="","",IF($M159,IF(AND($G159&gt;=CH$5,$G159&lt;CH$5+GanttPeriod),"◆",IF(AND($E159&gt;=CH$5,$E159&lt;CH$5+GanttPeriod),"◇","")),IF(AND(CH$5&lt;=$F159,CH$5+GanttPeriod-1&gt;=$E159),"━","")))</f>
        <v/>
      </c>
      <c r="CI159" s="69" t="str">
        <f aca="false">IF($E159="","",IF($M159,IF(AND($G159&gt;=CI$5,$G159&lt;CI$5+GanttPeriod),"◆",IF(AND($E159&gt;=CI$5,$E159&lt;CI$5+GanttPeriod),"◇","")),IF(AND(CI$5&lt;=$F159,CI$5+GanttPeriod-1&gt;=$E159),"━","")))</f>
        <v/>
      </c>
      <c r="CJ159" s="69" t="str">
        <f aca="false">IF($E159="","",IF($M159,IF(AND($G159&gt;=CJ$5,$G159&lt;CJ$5+GanttPeriod),"◆",IF(AND($E159&gt;=CJ$5,$E159&lt;CJ$5+GanttPeriod),"◇","")),IF(AND(CJ$5&lt;=$F159,CJ$5+GanttPeriod-1&gt;=$E159),"━","")))</f>
        <v/>
      </c>
      <c r="CK159" s="69" t="str">
        <f aca="false">IF($E159="","",IF($M159,IF(AND($G159&gt;=CK$5,$G159&lt;CK$5+GanttPeriod),"◆",IF(AND($E159&gt;=CK$5,$E159&lt;CK$5+GanttPeriod),"◇","")),IF(AND(CK$5&lt;=$F159,CK$5+GanttPeriod-1&gt;=$E159),"━","")))</f>
        <v/>
      </c>
      <c r="CL159" s="69" t="str">
        <f aca="false">IF($E159="","",IF($M159,IF(AND($G159&gt;=CL$5,$G159&lt;CL$5+GanttPeriod),"◆",IF(AND($E159&gt;=CL$5,$E159&lt;CL$5+GanttPeriod),"◇","")),IF(AND(CL$5&lt;=$F159,CL$5+GanttPeriod-1&gt;=$E159),"━","")))</f>
        <v/>
      </c>
      <c r="CM159" s="69" t="str">
        <f aca="false">IF($E159="","",IF($M159,IF(AND($G159&gt;=CM$5,$G159&lt;CM$5+GanttPeriod),"◆",IF(AND($E159&gt;=CM$5,$E159&lt;CM$5+GanttPeriod),"◇","")),IF(AND(CM$5&lt;=$F159,CM$5+GanttPeriod-1&gt;=$E159),"━","")))</f>
        <v/>
      </c>
      <c r="CN159" s="69" t="str">
        <f aca="false">IF($E159="","",IF($M159,IF(AND($G159&gt;=CN$5,$G159&lt;CN$5+GanttPeriod),"◆",IF(AND($E159&gt;=CN$5,$E159&lt;CN$5+GanttPeriod),"◇","")),IF(AND(CN$5&lt;=$F159,CN$5+GanttPeriod-1&gt;=$E159),"━","")))</f>
        <v/>
      </c>
      <c r="CO159" s="69" t="str">
        <f aca="false">IF($E159="","",IF($M159,IF(AND($G159&gt;=CO$5,$G159&lt;CO$5+GanttPeriod),"◆",IF(AND($E159&gt;=CO$5,$E159&lt;CO$5+GanttPeriod),"◇","")),IF(AND(CO$5&lt;=$F159,CO$5+GanttPeriod-1&gt;=$E159),"━","")))</f>
        <v/>
      </c>
      <c r="CP159" s="69" t="str">
        <f aca="false">IF($E159="","",IF($M159,IF(AND($G159&gt;=CP$5,$G159&lt;CP$5+GanttPeriod),"◆",IF(AND($E159&gt;=CP$5,$E159&lt;CP$5+GanttPeriod),"◇","")),IF(AND(CP$5&lt;=$F159,CP$5+GanttPeriod-1&gt;=$E159),"━","")))</f>
        <v/>
      </c>
      <c r="CQ159" s="69" t="str">
        <f aca="false">IF($E159="","",IF($M159,IF(AND($G159&gt;=CQ$5,$G159&lt;CQ$5+GanttPeriod),"◆",IF(AND($E159&gt;=CQ$5,$E159&lt;CQ$5+GanttPeriod),"◇","")),IF(AND(CQ$5&lt;=$F159,CQ$5+GanttPeriod-1&gt;=$E159),"━","")))</f>
        <v/>
      </c>
      <c r="CR159" s="69" t="str">
        <f aca="false">IF($E159="","",IF($M159,IF(AND($G159&gt;=CR$5,$G159&lt;CR$5+GanttPeriod),"◆",IF(AND($E159&gt;=CR$5,$E159&lt;CR$5+GanttPeriod),"◇","")),IF(AND(CR$5&lt;=$F159,CR$5+GanttPeriod-1&gt;=$E159),"━","")))</f>
        <v/>
      </c>
      <c r="CS159" s="69" t="str">
        <f aca="false">IF($E159="","",IF($M159,IF(AND($G159&gt;=CS$5,$G159&lt;CS$5+GanttPeriod),"◆",IF(AND($E159&gt;=CS$5,$E159&lt;CS$5+GanttPeriod),"◇","")),IF(AND(CS$5&lt;=$F159,CS$5+GanttPeriod-1&gt;=$E159),"━","")))</f>
        <v/>
      </c>
      <c r="CT159" s="69" t="str">
        <f aca="false">IF($E159="","",IF($M159,IF(AND($G159&gt;=CT$5,$G159&lt;CT$5+GanttPeriod),"◆",IF(AND($E159&gt;=CT$5,$E159&lt;CT$5+GanttPeriod),"◇","")),IF(AND(CT$5&lt;=$F159,CT$5+GanttPeriod-1&gt;=$E159),"━","")))</f>
        <v/>
      </c>
      <c r="CU159" s="69" t="str">
        <f aca="false">IF($E159="","",IF($M159,IF(AND($G159&gt;=CU$5,$G159&lt;CU$5+GanttPeriod),"◆",IF(AND($E159&gt;=CU$5,$E159&lt;CU$5+GanttPeriod),"◇","")),IF(AND(CU$5&lt;=$F159,CU$5+GanttPeriod-1&gt;=$E159),"━","")))</f>
        <v/>
      </c>
      <c r="CV159" s="69" t="str">
        <f aca="false">IF($E159="","",IF($M159,IF(AND($G159&gt;=CV$5,$G159&lt;CV$5+GanttPeriod),"◆",IF(AND($E159&gt;=CV$5,$E159&lt;CV$5+GanttPeriod),"◇","")),IF(AND(CV$5&lt;=$F159,CV$5+GanttPeriod-1&gt;=$E159),"━","")))</f>
        <v/>
      </c>
      <c r="CW159" s="69" t="str">
        <f aca="false">IF($E159="","",IF($M159,IF(AND($G159&gt;=CW$5,$G159&lt;CW$5+GanttPeriod),"◆",IF(AND($E159&gt;=CW$5,$E159&lt;CW$5+GanttPeriod),"◇","")),IF(AND(CW$5&lt;=$F159,CW$5+GanttPeriod-1&gt;=$E159),"━","")))</f>
        <v/>
      </c>
      <c r="CX159" s="69" t="str">
        <f aca="false">IF($E159="","",IF($M159,IF(AND($G159&gt;=CX$5,$G159&lt;CX$5+GanttPeriod),"◆",IF(AND($E159&gt;=CX$5,$E159&lt;CX$5+GanttPeriod),"◇","")),IF(AND(CX$5&lt;=$F159,CX$5+GanttPeriod-1&gt;=$E159),"━","")))</f>
        <v/>
      </c>
      <c r="CY159" s="69" t="str">
        <f aca="false">IF($E159="","",IF($M159,IF(AND($G159&gt;=CY$5,$G159&lt;CY$5+GanttPeriod),"◆",IF(AND($E159&gt;=CY$5,$E159&lt;CY$5+GanttPeriod),"◇","")),IF(AND(CY$5&lt;=$F159,CY$5+GanttPeriod-1&gt;=$E159),"━","")))</f>
        <v/>
      </c>
      <c r="CZ159" s="69" t="str">
        <f aca="false">IF($E159="","",IF($M159,IF(AND($G159&gt;=CZ$5,$G159&lt;CZ$5+GanttPeriod),"◆",IF(AND($E159&gt;=CZ$5,$E159&lt;CZ$5+GanttPeriod),"◇","")),IF(AND(CZ$5&lt;=$F159,CZ$5+GanttPeriod-1&gt;=$E159),"━","")))</f>
        <v/>
      </c>
      <c r="DA159" s="69" t="str">
        <f aca="false">IF($E159="","",IF($M159,IF(AND($G159&gt;=DA$5,$G159&lt;DA$5+GanttPeriod),"◆",IF(AND($E159&gt;=DA$5,$E159&lt;DA$5+GanttPeriod),"◇","")),IF(AND(DA$5&lt;=$F159,DA$5+GanttPeriod-1&gt;=$E159),"━","")))</f>
        <v/>
      </c>
      <c r="DB159" s="69" t="str">
        <f aca="false">IF($E159="","",IF($M159,IF(AND($G159&gt;=DB$5,$G159&lt;DB$5+GanttPeriod),"◆",IF(AND($E159&gt;=DB$5,$E159&lt;DB$5+GanttPeriod),"◇","")),IF(AND(DB$5&lt;=$F159,DB$5+GanttPeriod-1&gt;=$E159),"━","")))</f>
        <v/>
      </c>
      <c r="DC159" s="69" t="str">
        <f aca="false">IF($E159="","",IF($M159,IF(AND($G159&gt;=DC$5,$G159&lt;DC$5+GanttPeriod),"◆",IF(AND($E159&gt;=DC$5,$E159&lt;DC$5+GanttPeriod),"◇","")),IF(AND(DC$5&lt;=$F159,DC$5+GanttPeriod-1&gt;=$E159),"━","")))</f>
        <v/>
      </c>
      <c r="DD159" s="69" t="str">
        <f aca="false">IF($E159="","",IF($M159,IF(AND($G159&gt;=DD$5,$G159&lt;DD$5+GanttPeriod),"◆",IF(AND($E159&gt;=DD$5,$E159&lt;DD$5+GanttPeriod),"◇","")),IF(AND(DD$5&lt;=$F159,DD$5+GanttPeriod-1&gt;=$E159),"━","")))</f>
        <v/>
      </c>
      <c r="DE159" s="69" t="str">
        <f aca="false">IF($E159="","",IF($M159,IF(AND($G159&gt;=DE$5,$G159&lt;DE$5+GanttPeriod),"◆",IF(AND($E159&gt;=DE$5,$E159&lt;DE$5+GanttPeriod),"◇","")),IF(AND(DE$5&lt;=$F159,DE$5+GanttPeriod-1&gt;=$E159),"━","")))</f>
        <v/>
      </c>
      <c r="DF159" s="69" t="str">
        <f aca="false">IF($E159="","",IF($M159,IF(AND($G159&gt;=DF$5,$G159&lt;DF$5+GanttPeriod),"◆",IF(AND($E159&gt;=DF$5,$E159&lt;DF$5+GanttPeriod),"◇","")),IF(AND(DF$5&lt;=$F159,DF$5+GanttPeriod-1&gt;=$E159),"━","")))</f>
        <v/>
      </c>
      <c r="DG159" s="69" t="str">
        <f aca="false">IF($E159="","",IF($M159,IF(AND($G159&gt;=DG$5,$G159&lt;DG$5+GanttPeriod),"◆",IF(AND($E159&gt;=DG$5,$E159&lt;DG$5+GanttPeriod),"◇","")),IF(AND(DG$5&lt;=$F159,DG$5+GanttPeriod-1&gt;=$E159),"━","")))</f>
        <v/>
      </c>
      <c r="DH159" s="69" t="str">
        <f aca="false">IF($E159="","",IF($M159,IF(AND($G159&gt;=DH$5,$G159&lt;DH$5+GanttPeriod),"◆",IF(AND($E159&gt;=DH$5,$E159&lt;DH$5+GanttPeriod),"◇","")),IF(AND(DH$5&lt;=$F159,DH$5+GanttPeriod-1&gt;=$E159),"━","")))</f>
        <v/>
      </c>
      <c r="DI159" s="69" t="str">
        <f aca="false">IF($E159="","",IF($M159,IF(AND($G159&gt;=DI$5,$G159&lt;DI$5+GanttPeriod),"◆",IF(AND($E159&gt;=DI$5,$E159&lt;DI$5+GanttPeriod),"◇","")),IF(AND(DI$5&lt;=$F159,DI$5+GanttPeriod-1&gt;=$E159),"━","")))</f>
        <v/>
      </c>
      <c r="DJ159" s="69" t="str">
        <f aca="false">IF($E159="","",IF($M159,IF(AND($G159&gt;=DJ$5,$G159&lt;DJ$5+GanttPeriod),"◆",IF(AND($E159&gt;=DJ$5,$E159&lt;DJ$5+GanttPeriod),"◇","")),IF(AND(DJ$5&lt;=$F159,DJ$5+GanttPeriod-1&gt;=$E159),"━","")))</f>
        <v/>
      </c>
      <c r="DK159" s="69" t="str">
        <f aca="false">IF($E159="","",IF($M159,IF(AND($G159&gt;=DK$5,$G159&lt;DK$5+GanttPeriod),"◆",IF(AND($E159&gt;=DK$5,$E159&lt;DK$5+GanttPeriod),"◇","")),IF(AND(DK$5&lt;=$F159,DK$5+GanttPeriod-1&gt;=$E159),"━","")))</f>
        <v/>
      </c>
      <c r="DL159" s="69" t="str">
        <f aca="false">IF($E159="","",IF($M159,IF(AND($G159&gt;=DL$5,$G159&lt;DL$5+GanttPeriod),"◆",IF(AND($E159&gt;=DL$5,$E159&lt;DL$5+GanttPeriod),"◇","")),IF(AND(DL$5&lt;=$F159,DL$5+GanttPeriod-1&gt;=$E159),"━","")))</f>
        <v/>
      </c>
      <c r="DM159" s="69" t="str">
        <f aca="false">IF($E159="","",IF($M159,IF(AND($G159&gt;=DM$5,$G159&lt;DM$5+GanttPeriod),"◆",IF(AND($E159&gt;=DM$5,$E159&lt;DM$5+GanttPeriod),"◇","")),IF(AND(DM$5&lt;=$F159,DM$5+GanttPeriod-1&gt;=$E159),"━","")))</f>
        <v/>
      </c>
      <c r="DN159" s="69" t="str">
        <f aca="false">IF($E159="","",IF($M159,IF(AND($G159&gt;=DN$5,$G159&lt;DN$5+GanttPeriod),"◆",IF(AND($E159&gt;=DN$5,$E159&lt;DN$5+GanttPeriod),"◇","")),IF(AND(DN$5&lt;=$F159,DN$5+GanttPeriod-1&gt;=$E159),"━","")))</f>
        <v/>
      </c>
      <c r="DO159" s="69" t="str">
        <f aca="false">IF($E159="","",IF($M159,IF(AND($G159&gt;=DO$5,$G159&lt;DO$5+GanttPeriod),"◆",IF(AND($E159&gt;=DO$5,$E159&lt;DO$5+GanttPeriod),"◇","")),IF(AND(DO$5&lt;=$F159,DO$5+GanttPeriod-1&gt;=$E159),"━","")))</f>
        <v/>
      </c>
      <c r="DP159" s="69" t="str">
        <f aca="false">IF($E159="","",IF($M159,IF(AND($G159&gt;=DP$5,$G159&lt;DP$5+GanttPeriod),"◆",IF(AND($E159&gt;=DP$5,$E159&lt;DP$5+GanttPeriod),"◇","")),IF(AND(DP$5&lt;=$F159,DP$5+GanttPeriod-1&gt;=$E159),"━","")))</f>
        <v/>
      </c>
      <c r="DQ159" s="69" t="str">
        <f aca="false">IF($E159="","",IF($M159,IF(AND($G159&gt;=DQ$5,$G159&lt;DQ$5+GanttPeriod),"◆",IF(AND($E159&gt;=DQ$5,$E159&lt;DQ$5+GanttPeriod),"◇","")),IF(AND(DQ$5&lt;=$F159,DQ$5+GanttPeriod-1&gt;=$E159),"━","")))</f>
        <v/>
      </c>
      <c r="DR159" s="69" t="str">
        <f aca="false">IF($E159="","",IF($M159,IF(AND($G159&gt;=DR$5,$G159&lt;DR$5+GanttPeriod),"◆",IF(AND($E159&gt;=DR$5,$E159&lt;DR$5+GanttPeriod),"◇","")),IF(AND(DR$5&lt;=$F159,DR$5+GanttPeriod-1&gt;=$E159),"━","")))</f>
        <v/>
      </c>
      <c r="DS159" s="69" t="str">
        <f aca="false">IF($E159="","",IF($M159,IF(AND($G159&gt;=DS$5,$G159&lt;DS$5+GanttPeriod),"◆",IF(AND($E159&gt;=DS$5,$E159&lt;DS$5+GanttPeriod),"◇","")),IF(AND(DS$5&lt;=$F159,DS$5+GanttPeriod-1&gt;=$E159),"━","")))</f>
        <v/>
      </c>
      <c r="DT159" s="69" t="str">
        <f aca="false">IF($E159="","",IF($M159,IF(AND($G159&gt;=DT$5,$G159&lt;DT$5+GanttPeriod),"◆",IF(AND($E159&gt;=DT$5,$E159&lt;DT$5+GanttPeriod),"◇","")),IF(AND(DT$5&lt;=$F159,DT$5+GanttPeriod-1&gt;=$E159),"━","")))</f>
        <v/>
      </c>
      <c r="DU159" s="69" t="str">
        <f aca="false">IF($E159="","",IF($M159,IF(AND($G159&gt;=DU$5,$G159&lt;DU$5+GanttPeriod),"◆",IF(AND($E159&gt;=DU$5,$E159&lt;DU$5+GanttPeriod),"◇","")),IF(AND(DU$5&lt;=$F159,DU$5+GanttPeriod-1&gt;=$E159),"━","")))</f>
        <v/>
      </c>
      <c r="DV159" s="69" t="str">
        <f aca="false">IF($E159="","",IF($M159,IF(AND($G159&gt;=DV$5,$G159&lt;DV$5+GanttPeriod),"◆",IF(AND($E159&gt;=DV$5,$E159&lt;DV$5+GanttPeriod),"◇","")),IF(AND(DV$5&lt;=$F159,DV$5+GanttPeriod-1&gt;=$E159),"━","")))</f>
        <v/>
      </c>
      <c r="DW159" s="69" t="str">
        <f aca="false">IF($E159="","",IF($M159,IF(AND($G159&gt;=DW$5,$G159&lt;DW$5+GanttPeriod),"◆",IF(AND($E159&gt;=DW$5,$E159&lt;DW$5+GanttPeriod),"◇","")),IF(AND(DW$5&lt;=$F159,DW$5+GanttPeriod-1&gt;=$E159),"━","")))</f>
        <v/>
      </c>
      <c r="DX159" s="69" t="str">
        <f aca="false">IF($E159="","",IF($M159,IF(AND($G159&gt;=DX$5,$G159&lt;DX$5+GanttPeriod),"◆",IF(AND($E159&gt;=DX$5,$E159&lt;DX$5+GanttPeriod),"◇","")),IF(AND(DX$5&lt;=$F159,DX$5+GanttPeriod-1&gt;=$E159),"━","")))</f>
        <v/>
      </c>
      <c r="DY159" s="69" t="str">
        <f aca="false">IF($E159="","",IF($M159,IF(AND($G159&gt;=DY$5,$G159&lt;DY$5+GanttPeriod),"◆",IF(AND($E159&gt;=DY$5,$E159&lt;DY$5+GanttPeriod),"◇","")),IF(AND(DY$5&lt;=$F159,DY$5+GanttPeriod-1&gt;=$E159),"━","")))</f>
        <v/>
      </c>
      <c r="DZ159" s="69" t="str">
        <f aca="false">IF($E159="","",IF($M159,IF(AND($G159&gt;=DZ$5,$G159&lt;DZ$5+GanttPeriod),"◆",IF(AND($E159&gt;=DZ$5,$E159&lt;DZ$5+GanttPeriod),"◇","")),IF(AND(DZ$5&lt;=$F159,DZ$5+GanttPeriod-1&gt;=$E159),"━","")))</f>
        <v/>
      </c>
      <c r="EA159" s="69" t="str">
        <f aca="false">IF($E159="","",IF($M159,IF(AND($G159&gt;=EA$5,$G159&lt;EA$5+GanttPeriod),"◆",IF(AND($E159&gt;=EA$5,$E159&lt;EA$5+GanttPeriod),"◇","")),IF(AND(EA$5&lt;=$F159,EA$5+GanttPeriod-1&gt;=$E159),"━","")))</f>
        <v/>
      </c>
      <c r="EB159" s="69" t="str">
        <f aca="false">IF($E159="","",IF($M159,IF(AND($G159&gt;=EB$5,$G159&lt;EB$5+GanttPeriod),"◆",IF(AND($E159&gt;=EB$5,$E159&lt;EB$5+GanttPeriod),"◇","")),IF(AND(EB$5&lt;=$F159,EB$5+GanttPeriod-1&gt;=$E159),"━","")))</f>
        <v/>
      </c>
      <c r="EC159" s="69" t="str">
        <f aca="false">IF($E159="","",IF($M159,IF(AND($G159&gt;=EC$5,$G159&lt;EC$5+GanttPeriod),"◆",IF(AND($E159&gt;=EC$5,$E159&lt;EC$5+GanttPeriod),"◇","")),IF(AND(EC$5&lt;=$F159,EC$5+GanttPeriod-1&gt;=$E159),"━","")))</f>
        <v/>
      </c>
      <c r="ED159" s="69" t="str">
        <f aca="false">IF($E159="","",IF($M159,IF(AND($G159&gt;=ED$5,$G159&lt;ED$5+GanttPeriod),"◆",IF(AND($E159&gt;=ED$5,$E159&lt;ED$5+GanttPeriod),"◇","")),IF(AND(ED$5&lt;=$F159,ED$5+GanttPeriod-1&gt;=$E159),"━","")))</f>
        <v/>
      </c>
      <c r="EE159" s="69" t="str">
        <f aca="false">IF($E159="","",IF($M159,IF(AND($G159&gt;=EE$5,$G159&lt;EE$5+GanttPeriod),"◆",IF(AND($E159&gt;=EE$5,$E159&lt;EE$5+GanttPeriod),"◇","")),IF(AND(EE$5&lt;=$F159,EE$5+GanttPeriod-1&gt;=$E159),"━","")))</f>
        <v/>
      </c>
      <c r="EF159" s="69" t="str">
        <f aca="false">IF($E159="","",IF($M159,IF(AND($G159&gt;=EF$5,$G159&lt;EF$5+GanttPeriod),"◆",IF(AND($E159&gt;=EF$5,$E159&lt;EF$5+GanttPeriod),"◇","")),IF(AND(EF$5&lt;=$F159,EF$5+GanttPeriod-1&gt;=$E159),"━","")))</f>
        <v/>
      </c>
      <c r="EG159" s="69" t="str">
        <f aca="false">IF($E159="","",IF($M159,IF(AND($G159&gt;=EG$5,$G159&lt;EG$5+GanttPeriod),"◆",IF(AND($E159&gt;=EG$5,$E159&lt;EG$5+GanttPeriod),"◇","")),IF(AND(EG$5&lt;=$F159,EG$5+GanttPeriod-1&gt;=$E159),"━","")))</f>
        <v/>
      </c>
      <c r="EH159" s="69" t="str">
        <f aca="false">IF($E159="","",IF($M159,IF(AND($G159&gt;=EH$5,$G159&lt;EH$5+GanttPeriod),"◆",IF(AND($E159&gt;=EH$5,$E159&lt;EH$5+GanttPeriod),"◇","")),IF(AND(EH$5&lt;=$F159,EH$5+GanttPeriod-1&gt;=$E159),"━","")))</f>
        <v/>
      </c>
      <c r="EI159" s="69" t="str">
        <f aca="false">IF($E159="","",IF($M159,IF(AND($G159&gt;=EI$5,$G159&lt;EI$5+GanttPeriod),"◆",IF(AND($E159&gt;=EI$5,$E159&lt;EI$5+GanttPeriod),"◇","")),IF(AND(EI$5&lt;=$F159,EI$5+GanttPeriod-1&gt;=$E159),"━","")))</f>
        <v/>
      </c>
      <c r="EJ159" s="69" t="str">
        <f aca="false">IF($E159="","",IF($M159,IF(AND($G159&gt;=EJ$5,$G159&lt;EJ$5+GanttPeriod),"◆",IF(AND($E159&gt;=EJ$5,$E159&lt;EJ$5+GanttPeriod),"◇","")),IF(AND(EJ$5&lt;=$F159,EJ$5+GanttPeriod-1&gt;=$E159),"━","")))</f>
        <v/>
      </c>
      <c r="EK159" s="69" t="str">
        <f aca="false">IF($E159="","",IF($M159,IF(AND($G159&gt;=EK$5,$G159&lt;EK$5+GanttPeriod),"◆",IF(AND($E159&gt;=EK$5,$E159&lt;EK$5+GanttPeriod),"◇","")),IF(AND(EK$5&lt;=$F159,EK$5+GanttPeriod-1&gt;=$E159),"━","")))</f>
        <v/>
      </c>
      <c r="EL159" s="69" t="str">
        <f aca="false">IF($E159="","",IF($M159,IF(AND($G159&gt;=EL$5,$G159&lt;EL$5+GanttPeriod),"◆",IF(AND($E159&gt;=EL$5,$E159&lt;EL$5+GanttPeriod),"◇","")),IF(AND(EL$5&lt;=$F159,EL$5+GanttPeriod-1&gt;=$E159),"━","")))</f>
        <v/>
      </c>
      <c r="EM159" s="69" t="str">
        <f aca="false">IF($E159="","",IF($M159,IF(AND($G159&gt;=EM$5,$G159&lt;EM$5+GanttPeriod),"◆",IF(AND($E159&gt;=EM$5,$E159&lt;EM$5+GanttPeriod),"◇","")),IF(AND(EM$5&lt;=$F159,EM$5+GanttPeriod-1&gt;=$E159),"━","")))</f>
        <v/>
      </c>
      <c r="EN159" s="69" t="str">
        <f aca="false">IF($E159="","",IF($M159,IF(AND($G159&gt;=EN$5,$G159&lt;EN$5+GanttPeriod),"◆",IF(AND($E159&gt;=EN$5,$E159&lt;EN$5+GanttPeriod),"◇","")),IF(AND(EN$5&lt;=$F159,EN$5+GanttPeriod-1&gt;=$E159),"━","")))</f>
        <v/>
      </c>
      <c r="EO159" s="69" t="str">
        <f aca="false">IF($E159="","",IF($M159,IF(AND($G159&gt;=EO$5,$G159&lt;EO$5+GanttPeriod),"◆",IF(AND($E159&gt;=EO$5,$E159&lt;EO$5+GanttPeriod),"◇","")),IF(AND(EO$5&lt;=$F159,EO$5+GanttPeriod-1&gt;=$E159),"━","")))</f>
        <v/>
      </c>
      <c r="EP159" s="69" t="str">
        <f aca="false">IF($E159="","",IF($M159,IF(AND($G159&gt;=EP$5,$G159&lt;EP$5+GanttPeriod),"◆",IF(AND($E159&gt;=EP$5,$E159&lt;EP$5+GanttPeriod),"◇","")),IF(AND(EP$5&lt;=$F159,EP$5+GanttPeriod-1&gt;=$E159),"━","")))</f>
        <v/>
      </c>
      <c r="EQ159" s="69" t="str">
        <f aca="false">IF($E159="","",IF($M159,IF(AND($G159&gt;=EQ$5,$G159&lt;EQ$5+GanttPeriod),"◆",IF(AND($E159&gt;=EQ$5,$E159&lt;EQ$5+GanttPeriod),"◇","")),IF(AND(EQ$5&lt;=$F159,EQ$5+GanttPeriod-1&gt;=$E159),"━","")))</f>
        <v/>
      </c>
      <c r="ER159" s="69" t="str">
        <f aca="false">IF($E159="","",IF($M159,IF(AND($G159&gt;=ER$5,$G159&lt;ER$5+GanttPeriod),"◆",IF(AND($E159&gt;=ER$5,$E159&lt;ER$5+GanttPeriod),"◇","")),IF(AND(ER$5&lt;=$F159,ER$5+GanttPeriod-1&gt;=$E159),"━","")))</f>
        <v/>
      </c>
      <c r="ES159" s="69" t="str">
        <f aca="false">IF($E159="","",IF($M159,IF(AND($G159&gt;=ES$5,$G159&lt;ES$5+GanttPeriod),"◆",IF(AND($E159&gt;=ES$5,$E159&lt;ES$5+GanttPeriod),"◇","")),IF(AND(ES$5&lt;=$F159,ES$5+GanttPeriod-1&gt;=$E159),"━","")))</f>
        <v/>
      </c>
      <c r="ET159" s="69" t="str">
        <f aca="false">IF($E159="","",IF($M159,IF(AND($G159&gt;=ET$5,$G159&lt;ET$5+GanttPeriod),"◆",IF(AND($E159&gt;=ET$5,$E159&lt;ET$5+GanttPeriod),"◇","")),IF(AND(ET$5&lt;=$F159,ET$5+GanttPeriod-1&gt;=$E159),"━","")))</f>
        <v/>
      </c>
      <c r="EU159" s="69" t="str">
        <f aca="false">IF($E159="","",IF($M159,IF(AND($G159&gt;=EU$5,$G159&lt;EU$5+GanttPeriod),"◆",IF(AND($E159&gt;=EU$5,$E159&lt;EU$5+GanttPeriod),"◇","")),IF(AND(EU$5&lt;=$F159,EU$5+GanttPeriod-1&gt;=$E159),"━","")))</f>
        <v/>
      </c>
      <c r="EV159" s="69" t="str">
        <f aca="false">IF($E159="","",IF($M159,IF(AND($G159&gt;=EV$5,$G159&lt;EV$5+GanttPeriod),"◆",IF(AND($E159&gt;=EV$5,$E159&lt;EV$5+GanttPeriod),"◇","")),IF(AND(EV$5&lt;=$F159,EV$5+GanttPeriod-1&gt;=$E159),"━","")))</f>
        <v/>
      </c>
      <c r="EW159" s="69" t="str">
        <f aca="false">IF($E159="","",IF($M159,IF(AND($G159&gt;=EW$5,$G159&lt;EW$5+GanttPeriod),"◆",IF(AND($E159&gt;=EW$5,$E159&lt;EW$5+GanttPeriod),"◇","")),IF(AND(EW$5&lt;=$F159,EW$5+GanttPeriod-1&gt;=$E159),"━","")))</f>
        <v/>
      </c>
      <c r="EX159" s="69" t="str">
        <f aca="false">IF($E159="","",IF($M159,IF(AND($G159&gt;=EX$5,$G159&lt;EX$5+GanttPeriod),"◆",IF(AND($E159&gt;=EX$5,$E159&lt;EX$5+GanttPeriod),"◇","")),IF(AND(EX$5&lt;=$F159,EX$5+GanttPeriod-1&gt;=$E159),"━","")))</f>
        <v/>
      </c>
      <c r="EY159" s="69" t="str">
        <f aca="false">IF($E159="","",IF($M159,IF(AND($G159&gt;=EY$5,$G159&lt;EY$5+GanttPeriod),"◆",IF(AND($E159&gt;=EY$5,$E159&lt;EY$5+GanttPeriod),"◇","")),IF(AND(EY$5&lt;=$F159,EY$5+GanttPeriod-1&gt;=$E159),"━","")))</f>
        <v/>
      </c>
      <c r="EZ159" s="69" t="str">
        <f aca="false">IF($E159="","",IF($M159,IF(AND($G159&gt;=EZ$5,$G159&lt;EZ$5+GanttPeriod),"◆",IF(AND($E159&gt;=EZ$5,$E159&lt;EZ$5+GanttPeriod),"◇","")),IF(AND(EZ$5&lt;=$F159,EZ$5+GanttPeriod-1&gt;=$E159),"━","")))</f>
        <v/>
      </c>
      <c r="FA159" s="69" t="str">
        <f aca="false">IF($E159="","",IF($M159,IF(AND($G159&gt;=FA$5,$G159&lt;FA$5+GanttPeriod),"◆",IF(AND($E159&gt;=FA$5,$E159&lt;FA$5+GanttPeriod),"◇","")),IF(AND(FA$5&lt;=$F159,FA$5+GanttPeriod-1&gt;=$E159),"━","")))</f>
        <v/>
      </c>
      <c r="FB159" s="69" t="str">
        <f aca="false">IF($E159="","",IF($M159,IF(AND($G159&gt;=FB$5,$G159&lt;FB$5+GanttPeriod),"◆",IF(AND($E159&gt;=FB$5,$E159&lt;FB$5+GanttPeriod),"◇","")),IF(AND(FB$5&lt;=$F159,FB$5+GanttPeriod-1&gt;=$E159),"━","")))</f>
        <v/>
      </c>
      <c r="FC159" s="69" t="str">
        <f aca="false">IF($E159="","",IF($M159,IF(AND($G159&gt;=FC$5,$G159&lt;FC$5+GanttPeriod),"◆",IF(AND($E159&gt;=FC$5,$E159&lt;FC$5+GanttPeriod),"◇","")),IF(AND(FC$5&lt;=$F159,FC$5+GanttPeriod-1&gt;=$E159),"━","")))</f>
        <v/>
      </c>
      <c r="FD159" s="69" t="str">
        <f aca="false">IF($E159="","",IF($M159,IF(AND($G159&gt;=FD$5,$G159&lt;FD$5+GanttPeriod),"◆",IF(AND($E159&gt;=FD$5,$E159&lt;FD$5+GanttPeriod),"◇","")),IF(AND(FD$5&lt;=$F159,FD$5+GanttPeriod-1&gt;=$E159),"━","")))</f>
        <v/>
      </c>
      <c r="FE159" s="69" t="str">
        <f aca="false">IF($E159="","",IF($M159,IF(AND($G159&gt;=FE$5,$G159&lt;FE$5+GanttPeriod),"◆",IF(AND($E159&gt;=FE$5,$E159&lt;FE$5+GanttPeriod),"◇","")),IF(AND(FE$5&lt;=$F159,FE$5+GanttPeriod-1&gt;=$E159),"━","")))</f>
        <v/>
      </c>
      <c r="FF159" s="69" t="str">
        <f aca="false">IF($E159="","",IF($M159,IF(AND($G159&gt;=FF$5,$G159&lt;FF$5+GanttPeriod),"◆",IF(AND($E159&gt;=FF$5,$E159&lt;FF$5+GanttPeriod),"◇","")),IF(AND(FF$5&lt;=$F159,FF$5+GanttPeriod-1&gt;=$E159),"━","")))</f>
        <v/>
      </c>
      <c r="FG159" s="69" t="str">
        <f aca="false">IF($E159="","",IF($M159,IF(AND($G159&gt;=FG$5,$G159&lt;FG$5+GanttPeriod),"◆",IF(AND($E159&gt;=FG$5,$E159&lt;FG$5+GanttPeriod),"◇","")),IF(AND(FG$5&lt;=$F159,FG$5+GanttPeriod-1&gt;=$E159),"━","")))</f>
        <v/>
      </c>
      <c r="FH159" s="69" t="str">
        <f aca="false">IF($E159="","",IF($M159,IF(AND($G159&gt;=FH$5,$G159&lt;FH$5+GanttPeriod),"◆",IF(AND($E159&gt;=FH$5,$E159&lt;FH$5+GanttPeriod),"◇","")),IF(AND(FH$5&lt;=$F159,FH$5+GanttPeriod-1&gt;=$E159),"━","")))</f>
        <v/>
      </c>
      <c r="FI159" s="69" t="str">
        <f aca="false">IF($E159="","",IF($M159,IF(AND($G159&gt;=FI$5,$G159&lt;FI$5+GanttPeriod),"◆",IF(AND($E159&gt;=FI$5,$E159&lt;FI$5+GanttPeriod),"◇","")),IF(AND(FI$5&lt;=$F159,FI$5+GanttPeriod-1&gt;=$E159),"━","")))</f>
        <v/>
      </c>
      <c r="FJ159" s="69" t="str">
        <f aca="false">IF($E159="","",IF($M159,IF(AND($G159&gt;=FJ$5,$G159&lt;FJ$5+GanttPeriod),"◆",IF(AND($E159&gt;=FJ$5,$E159&lt;FJ$5+GanttPeriod),"◇","")),IF(AND(FJ$5&lt;=$F159,FJ$5+GanttPeriod-1&gt;=$E159),"━","")))</f>
        <v/>
      </c>
      <c r="FK159" s="69" t="str">
        <f aca="false">IF($E159="","",IF($M159,IF(AND($G159&gt;=FK$5,$G159&lt;FK$5+GanttPeriod),"◆",IF(AND($E159&gt;=FK$5,$E159&lt;FK$5+GanttPeriod),"◇","")),IF(AND(FK$5&lt;=$F159,FK$5+GanttPeriod-1&gt;=$E159),"━","")))</f>
        <v/>
      </c>
      <c r="FL159" s="69" t="str">
        <f aca="false">IF($E159="","",IF($M159,IF(AND($G159&gt;=FL$5,$G159&lt;FL$5+GanttPeriod),"◆",IF(AND($E159&gt;=FL$5,$E159&lt;FL$5+GanttPeriod),"◇","")),IF(AND(FL$5&lt;=$F159,FL$5+GanttPeriod-1&gt;=$E159),"━","")))</f>
        <v/>
      </c>
      <c r="FM159" s="69" t="str">
        <f aca="false">IF($E159="","",IF($M159,IF(AND($G159&gt;=FM$5,$G159&lt;FM$5+GanttPeriod),"◆",IF(AND($E159&gt;=FM$5,$E159&lt;FM$5+GanttPeriod),"◇","")),IF(AND(FM$5&lt;=$F159,FM$5+GanttPeriod-1&gt;=$E159),"━","")))</f>
        <v/>
      </c>
    </row>
    <row r="160" customFormat="false" ht="15" hidden="false" customHeight="false" outlineLevel="0" collapsed="false">
      <c r="A160" s="62" t="str">
        <f aca="false">IF(Tasks!$D160="","",Tasks!$A160)</f>
        <v/>
      </c>
      <c r="B160" s="62" t="str">
        <f aca="false">IF(Tasks!$D160="","",Tasks!$B160)</f>
        <v/>
      </c>
      <c r="C160" s="63" t="str">
        <f aca="false">IF(Tasks!$D160="","",REPT("    ",Tasks!$AE160-1)&amp;Tasks!$D160)</f>
        <v/>
      </c>
      <c r="D160" s="62" t="str">
        <f aca="false">IF(Tasks!$D160="","",IF(Tasks!$AI160,NETWORKDAYS.INTL(Tasks!$R160,Tasks!$S160,WorkWeek,Holidays),N(Tasks!$F160)))</f>
        <v/>
      </c>
      <c r="E160" s="64" t="str">
        <f aca="false">IF(Tasks!$D160="","",Tasks!$N160)</f>
        <v/>
      </c>
      <c r="F160" s="64" t="str">
        <f aca="false">IF(Tasks!$D160="","",Tasks!$O160)</f>
        <v/>
      </c>
      <c r="G160" s="64" t="str">
        <f aca="false">IF(Tasks!$D160="","",Tasks!$R160)</f>
        <v/>
      </c>
      <c r="H160" s="64" t="str">
        <f aca="false">IF(Tasks!$D160="","",Tasks!$S160)</f>
        <v/>
      </c>
      <c r="I160" s="65" t="str">
        <f aca="false">IF(Tasks!$D160="","",Tasks!$V160)</f>
        <v/>
      </c>
      <c r="J160" s="63" t="str">
        <f aca="false">IF(Tasks!$D160="","",Tasks!$X160&amp;"")</f>
        <v/>
      </c>
      <c r="K160" s="66" t="str">
        <f aca="false">IF(Tasks!$D160="","",Tasks!$W160)</f>
        <v/>
      </c>
      <c r="L160" s="67" t="b">
        <f aca="false">IF(Tasks!$D160="",FALSE(),Tasks!$AI160)</f>
        <v>0</v>
      </c>
      <c r="M160" s="67" t="b">
        <f aca="false">AND(Tasks!$AJ160=1,N(Tasks!$F160)=0)</f>
        <v>0</v>
      </c>
      <c r="N160" s="68" t="n">
        <f aca="false">IF(AND(Tasks!$AJ160=1,NOT($M160),N($I160)&gt;0),$G160,0)</f>
        <v>0</v>
      </c>
      <c r="O160" s="68" t="n">
        <f aca="false">IF($N160=0,0,IF($I160&gt;=1,$H160,MAX($N160,$G160+ROUND(($H160-$G160+1)*$I160,0)-1)))</f>
        <v>0</v>
      </c>
      <c r="P160" s="68" t="n">
        <f aca="false">IF(OR(Tasks!$AJ160&lt;&gt;1,$M160,N($I160)&gt;=1),0,IF($O160&gt;0,$O160+1,$G160))</f>
        <v>0</v>
      </c>
      <c r="Q160" s="68" t="n">
        <f aca="false">IF($P160=0,0,$H160)</f>
        <v>0</v>
      </c>
      <c r="R160" s="67" t="b">
        <f aca="false">AND(Tasks!$D160&lt;&gt;"",N(Tasks!$T160)&gt;0)</f>
        <v>0</v>
      </c>
      <c r="T160" s="69" t="str">
        <f aca="false">IF($E160="","",IF($M160,IF(AND($G160&gt;=T$5,$G160&lt;T$5+GanttPeriod),"◆",IF(AND($E160&gt;=T$5,$E160&lt;T$5+GanttPeriod),"◇","")),IF(AND(T$5&lt;=$F160,T$5+GanttPeriod-1&gt;=$E160),"━","")))</f>
        <v/>
      </c>
      <c r="U160" s="69" t="str">
        <f aca="false">IF($E160="","",IF($M160,IF(AND($G160&gt;=U$5,$G160&lt;U$5+GanttPeriod),"◆",IF(AND($E160&gt;=U$5,$E160&lt;U$5+GanttPeriod),"◇","")),IF(AND(U$5&lt;=$F160,U$5+GanttPeriod-1&gt;=$E160),"━","")))</f>
        <v/>
      </c>
      <c r="V160" s="69" t="str">
        <f aca="false">IF($E160="","",IF($M160,IF(AND($G160&gt;=V$5,$G160&lt;V$5+GanttPeriod),"◆",IF(AND($E160&gt;=V$5,$E160&lt;V$5+GanttPeriod),"◇","")),IF(AND(V$5&lt;=$F160,V$5+GanttPeriod-1&gt;=$E160),"━","")))</f>
        <v/>
      </c>
      <c r="W160" s="69" t="str">
        <f aca="false">IF($E160="","",IF($M160,IF(AND($G160&gt;=W$5,$G160&lt;W$5+GanttPeriod),"◆",IF(AND($E160&gt;=W$5,$E160&lt;W$5+GanttPeriod),"◇","")),IF(AND(W$5&lt;=$F160,W$5+GanttPeriod-1&gt;=$E160),"━","")))</f>
        <v/>
      </c>
      <c r="X160" s="69" t="str">
        <f aca="false">IF($E160="","",IF($M160,IF(AND($G160&gt;=X$5,$G160&lt;X$5+GanttPeriod),"◆",IF(AND($E160&gt;=X$5,$E160&lt;X$5+GanttPeriod),"◇","")),IF(AND(X$5&lt;=$F160,X$5+GanttPeriod-1&gt;=$E160),"━","")))</f>
        <v/>
      </c>
      <c r="Y160" s="69" t="str">
        <f aca="false">IF($E160="","",IF($M160,IF(AND($G160&gt;=Y$5,$G160&lt;Y$5+GanttPeriod),"◆",IF(AND($E160&gt;=Y$5,$E160&lt;Y$5+GanttPeriod),"◇","")),IF(AND(Y$5&lt;=$F160,Y$5+GanttPeriod-1&gt;=$E160),"━","")))</f>
        <v/>
      </c>
      <c r="Z160" s="69" t="str">
        <f aca="false">IF($E160="","",IF($M160,IF(AND($G160&gt;=Z$5,$G160&lt;Z$5+GanttPeriod),"◆",IF(AND($E160&gt;=Z$5,$E160&lt;Z$5+GanttPeriod),"◇","")),IF(AND(Z$5&lt;=$F160,Z$5+GanttPeriod-1&gt;=$E160),"━","")))</f>
        <v/>
      </c>
      <c r="AA160" s="69" t="str">
        <f aca="false">IF($E160="","",IF($M160,IF(AND($G160&gt;=AA$5,$G160&lt;AA$5+GanttPeriod),"◆",IF(AND($E160&gt;=AA$5,$E160&lt;AA$5+GanttPeriod),"◇","")),IF(AND(AA$5&lt;=$F160,AA$5+GanttPeriod-1&gt;=$E160),"━","")))</f>
        <v/>
      </c>
      <c r="AB160" s="69" t="str">
        <f aca="false">IF($E160="","",IF($M160,IF(AND($G160&gt;=AB$5,$G160&lt;AB$5+GanttPeriod),"◆",IF(AND($E160&gt;=AB$5,$E160&lt;AB$5+GanttPeriod),"◇","")),IF(AND(AB$5&lt;=$F160,AB$5+GanttPeriod-1&gt;=$E160),"━","")))</f>
        <v/>
      </c>
      <c r="AC160" s="69" t="str">
        <f aca="false">IF($E160="","",IF($M160,IF(AND($G160&gt;=AC$5,$G160&lt;AC$5+GanttPeriod),"◆",IF(AND($E160&gt;=AC$5,$E160&lt;AC$5+GanttPeriod),"◇","")),IF(AND(AC$5&lt;=$F160,AC$5+GanttPeriod-1&gt;=$E160),"━","")))</f>
        <v/>
      </c>
      <c r="AD160" s="69" t="str">
        <f aca="false">IF($E160="","",IF($M160,IF(AND($G160&gt;=AD$5,$G160&lt;AD$5+GanttPeriod),"◆",IF(AND($E160&gt;=AD$5,$E160&lt;AD$5+GanttPeriod),"◇","")),IF(AND(AD$5&lt;=$F160,AD$5+GanttPeriod-1&gt;=$E160),"━","")))</f>
        <v/>
      </c>
      <c r="AE160" s="69" t="str">
        <f aca="false">IF($E160="","",IF($M160,IF(AND($G160&gt;=AE$5,$G160&lt;AE$5+GanttPeriod),"◆",IF(AND($E160&gt;=AE$5,$E160&lt;AE$5+GanttPeriod),"◇","")),IF(AND(AE$5&lt;=$F160,AE$5+GanttPeriod-1&gt;=$E160),"━","")))</f>
        <v/>
      </c>
      <c r="AF160" s="69" t="str">
        <f aca="false">IF($E160="","",IF($M160,IF(AND($G160&gt;=AF$5,$G160&lt;AF$5+GanttPeriod),"◆",IF(AND($E160&gt;=AF$5,$E160&lt;AF$5+GanttPeriod),"◇","")),IF(AND(AF$5&lt;=$F160,AF$5+GanttPeriod-1&gt;=$E160),"━","")))</f>
        <v/>
      </c>
      <c r="AG160" s="69" t="str">
        <f aca="false">IF($E160="","",IF($M160,IF(AND($G160&gt;=AG$5,$G160&lt;AG$5+GanttPeriod),"◆",IF(AND($E160&gt;=AG$5,$E160&lt;AG$5+GanttPeriod),"◇","")),IF(AND(AG$5&lt;=$F160,AG$5+GanttPeriod-1&gt;=$E160),"━","")))</f>
        <v/>
      </c>
      <c r="AH160" s="69" t="str">
        <f aca="false">IF($E160="","",IF($M160,IF(AND($G160&gt;=AH$5,$G160&lt;AH$5+GanttPeriod),"◆",IF(AND($E160&gt;=AH$5,$E160&lt;AH$5+GanttPeriod),"◇","")),IF(AND(AH$5&lt;=$F160,AH$5+GanttPeriod-1&gt;=$E160),"━","")))</f>
        <v/>
      </c>
      <c r="AI160" s="69" t="str">
        <f aca="false">IF($E160="","",IF($M160,IF(AND($G160&gt;=AI$5,$G160&lt;AI$5+GanttPeriod),"◆",IF(AND($E160&gt;=AI$5,$E160&lt;AI$5+GanttPeriod),"◇","")),IF(AND(AI$5&lt;=$F160,AI$5+GanttPeriod-1&gt;=$E160),"━","")))</f>
        <v/>
      </c>
      <c r="AJ160" s="69" t="str">
        <f aca="false">IF($E160="","",IF($M160,IF(AND($G160&gt;=AJ$5,$G160&lt;AJ$5+GanttPeriod),"◆",IF(AND($E160&gt;=AJ$5,$E160&lt;AJ$5+GanttPeriod),"◇","")),IF(AND(AJ$5&lt;=$F160,AJ$5+GanttPeriod-1&gt;=$E160),"━","")))</f>
        <v/>
      </c>
      <c r="AK160" s="69" t="str">
        <f aca="false">IF($E160="","",IF($M160,IF(AND($G160&gt;=AK$5,$G160&lt;AK$5+GanttPeriod),"◆",IF(AND($E160&gt;=AK$5,$E160&lt;AK$5+GanttPeriod),"◇","")),IF(AND(AK$5&lt;=$F160,AK$5+GanttPeriod-1&gt;=$E160),"━","")))</f>
        <v/>
      </c>
      <c r="AL160" s="69" t="str">
        <f aca="false">IF($E160="","",IF($M160,IF(AND($G160&gt;=AL$5,$G160&lt;AL$5+GanttPeriod),"◆",IF(AND($E160&gt;=AL$5,$E160&lt;AL$5+GanttPeriod),"◇","")),IF(AND(AL$5&lt;=$F160,AL$5+GanttPeriod-1&gt;=$E160),"━","")))</f>
        <v/>
      </c>
      <c r="AM160" s="69" t="str">
        <f aca="false">IF($E160="","",IF($M160,IF(AND($G160&gt;=AM$5,$G160&lt;AM$5+GanttPeriod),"◆",IF(AND($E160&gt;=AM$5,$E160&lt;AM$5+GanttPeriod),"◇","")),IF(AND(AM$5&lt;=$F160,AM$5+GanttPeriod-1&gt;=$E160),"━","")))</f>
        <v/>
      </c>
      <c r="AN160" s="69" t="str">
        <f aca="false">IF($E160="","",IF($M160,IF(AND($G160&gt;=AN$5,$G160&lt;AN$5+GanttPeriod),"◆",IF(AND($E160&gt;=AN$5,$E160&lt;AN$5+GanttPeriod),"◇","")),IF(AND(AN$5&lt;=$F160,AN$5+GanttPeriod-1&gt;=$E160),"━","")))</f>
        <v/>
      </c>
      <c r="AO160" s="69" t="str">
        <f aca="false">IF($E160="","",IF($M160,IF(AND($G160&gt;=AO$5,$G160&lt;AO$5+GanttPeriod),"◆",IF(AND($E160&gt;=AO$5,$E160&lt;AO$5+GanttPeriod),"◇","")),IF(AND(AO$5&lt;=$F160,AO$5+GanttPeriod-1&gt;=$E160),"━","")))</f>
        <v/>
      </c>
      <c r="AP160" s="69" t="str">
        <f aca="false">IF($E160="","",IF($M160,IF(AND($G160&gt;=AP$5,$G160&lt;AP$5+GanttPeriod),"◆",IF(AND($E160&gt;=AP$5,$E160&lt;AP$5+GanttPeriod),"◇","")),IF(AND(AP$5&lt;=$F160,AP$5+GanttPeriod-1&gt;=$E160),"━","")))</f>
        <v/>
      </c>
      <c r="AQ160" s="69" t="str">
        <f aca="false">IF($E160="","",IF($M160,IF(AND($G160&gt;=AQ$5,$G160&lt;AQ$5+GanttPeriod),"◆",IF(AND($E160&gt;=AQ$5,$E160&lt;AQ$5+GanttPeriod),"◇","")),IF(AND(AQ$5&lt;=$F160,AQ$5+GanttPeriod-1&gt;=$E160),"━","")))</f>
        <v/>
      </c>
      <c r="AR160" s="69" t="str">
        <f aca="false">IF($E160="","",IF($M160,IF(AND($G160&gt;=AR$5,$G160&lt;AR$5+GanttPeriod),"◆",IF(AND($E160&gt;=AR$5,$E160&lt;AR$5+GanttPeriod),"◇","")),IF(AND(AR$5&lt;=$F160,AR$5+GanttPeriod-1&gt;=$E160),"━","")))</f>
        <v/>
      </c>
      <c r="AS160" s="69" t="str">
        <f aca="false">IF($E160="","",IF($M160,IF(AND($G160&gt;=AS$5,$G160&lt;AS$5+GanttPeriod),"◆",IF(AND($E160&gt;=AS$5,$E160&lt;AS$5+GanttPeriod),"◇","")),IF(AND(AS$5&lt;=$F160,AS$5+GanttPeriod-1&gt;=$E160),"━","")))</f>
        <v/>
      </c>
      <c r="AT160" s="69" t="str">
        <f aca="false">IF($E160="","",IF($M160,IF(AND($G160&gt;=AT$5,$G160&lt;AT$5+GanttPeriod),"◆",IF(AND($E160&gt;=AT$5,$E160&lt;AT$5+GanttPeriod),"◇","")),IF(AND(AT$5&lt;=$F160,AT$5+GanttPeriod-1&gt;=$E160),"━","")))</f>
        <v/>
      </c>
      <c r="AU160" s="69" t="str">
        <f aca="false">IF($E160="","",IF($M160,IF(AND($G160&gt;=AU$5,$G160&lt;AU$5+GanttPeriod),"◆",IF(AND($E160&gt;=AU$5,$E160&lt;AU$5+GanttPeriod),"◇","")),IF(AND(AU$5&lt;=$F160,AU$5+GanttPeriod-1&gt;=$E160),"━","")))</f>
        <v/>
      </c>
      <c r="AV160" s="69" t="str">
        <f aca="false">IF($E160="","",IF($M160,IF(AND($G160&gt;=AV$5,$G160&lt;AV$5+GanttPeriod),"◆",IF(AND($E160&gt;=AV$5,$E160&lt;AV$5+GanttPeriod),"◇","")),IF(AND(AV$5&lt;=$F160,AV$5+GanttPeriod-1&gt;=$E160),"━","")))</f>
        <v/>
      </c>
      <c r="AW160" s="69" t="str">
        <f aca="false">IF($E160="","",IF($M160,IF(AND($G160&gt;=AW$5,$G160&lt;AW$5+GanttPeriod),"◆",IF(AND($E160&gt;=AW$5,$E160&lt;AW$5+GanttPeriod),"◇","")),IF(AND(AW$5&lt;=$F160,AW$5+GanttPeriod-1&gt;=$E160),"━","")))</f>
        <v/>
      </c>
      <c r="AX160" s="69" t="str">
        <f aca="false">IF($E160="","",IF($M160,IF(AND($G160&gt;=AX$5,$G160&lt;AX$5+GanttPeriod),"◆",IF(AND($E160&gt;=AX$5,$E160&lt;AX$5+GanttPeriod),"◇","")),IF(AND(AX$5&lt;=$F160,AX$5+GanttPeriod-1&gt;=$E160),"━","")))</f>
        <v/>
      </c>
      <c r="AY160" s="69" t="str">
        <f aca="false">IF($E160="","",IF($M160,IF(AND($G160&gt;=AY$5,$G160&lt;AY$5+GanttPeriod),"◆",IF(AND($E160&gt;=AY$5,$E160&lt;AY$5+GanttPeriod),"◇","")),IF(AND(AY$5&lt;=$F160,AY$5+GanttPeriod-1&gt;=$E160),"━","")))</f>
        <v/>
      </c>
      <c r="AZ160" s="69" t="str">
        <f aca="false">IF($E160="","",IF($M160,IF(AND($G160&gt;=AZ$5,$G160&lt;AZ$5+GanttPeriod),"◆",IF(AND($E160&gt;=AZ$5,$E160&lt;AZ$5+GanttPeriod),"◇","")),IF(AND(AZ$5&lt;=$F160,AZ$5+GanttPeriod-1&gt;=$E160),"━","")))</f>
        <v/>
      </c>
      <c r="BA160" s="69" t="str">
        <f aca="false">IF($E160="","",IF($M160,IF(AND($G160&gt;=BA$5,$G160&lt;BA$5+GanttPeriod),"◆",IF(AND($E160&gt;=BA$5,$E160&lt;BA$5+GanttPeriod),"◇","")),IF(AND(BA$5&lt;=$F160,BA$5+GanttPeriod-1&gt;=$E160),"━","")))</f>
        <v/>
      </c>
      <c r="BB160" s="69" t="str">
        <f aca="false">IF($E160="","",IF($M160,IF(AND($G160&gt;=BB$5,$G160&lt;BB$5+GanttPeriod),"◆",IF(AND($E160&gt;=BB$5,$E160&lt;BB$5+GanttPeriod),"◇","")),IF(AND(BB$5&lt;=$F160,BB$5+GanttPeriod-1&gt;=$E160),"━","")))</f>
        <v/>
      </c>
      <c r="BC160" s="69" t="str">
        <f aca="false">IF($E160="","",IF($M160,IF(AND($G160&gt;=BC$5,$G160&lt;BC$5+GanttPeriod),"◆",IF(AND($E160&gt;=BC$5,$E160&lt;BC$5+GanttPeriod),"◇","")),IF(AND(BC$5&lt;=$F160,BC$5+GanttPeriod-1&gt;=$E160),"━","")))</f>
        <v/>
      </c>
      <c r="BD160" s="69" t="str">
        <f aca="false">IF($E160="","",IF($M160,IF(AND($G160&gt;=BD$5,$G160&lt;BD$5+GanttPeriod),"◆",IF(AND($E160&gt;=BD$5,$E160&lt;BD$5+GanttPeriod),"◇","")),IF(AND(BD$5&lt;=$F160,BD$5+GanttPeriod-1&gt;=$E160),"━","")))</f>
        <v/>
      </c>
      <c r="BE160" s="69" t="str">
        <f aca="false">IF($E160="","",IF($M160,IF(AND($G160&gt;=BE$5,$G160&lt;BE$5+GanttPeriod),"◆",IF(AND($E160&gt;=BE$5,$E160&lt;BE$5+GanttPeriod),"◇","")),IF(AND(BE$5&lt;=$F160,BE$5+GanttPeriod-1&gt;=$E160),"━","")))</f>
        <v/>
      </c>
      <c r="BF160" s="69" t="str">
        <f aca="false">IF($E160="","",IF($M160,IF(AND($G160&gt;=BF$5,$G160&lt;BF$5+GanttPeriod),"◆",IF(AND($E160&gt;=BF$5,$E160&lt;BF$5+GanttPeriod),"◇","")),IF(AND(BF$5&lt;=$F160,BF$5+GanttPeriod-1&gt;=$E160),"━","")))</f>
        <v/>
      </c>
      <c r="BG160" s="69" t="str">
        <f aca="false">IF($E160="","",IF($M160,IF(AND($G160&gt;=BG$5,$G160&lt;BG$5+GanttPeriod),"◆",IF(AND($E160&gt;=BG$5,$E160&lt;BG$5+GanttPeriod),"◇","")),IF(AND(BG$5&lt;=$F160,BG$5+GanttPeriod-1&gt;=$E160),"━","")))</f>
        <v/>
      </c>
      <c r="BH160" s="69" t="str">
        <f aca="false">IF($E160="","",IF($M160,IF(AND($G160&gt;=BH$5,$G160&lt;BH$5+GanttPeriod),"◆",IF(AND($E160&gt;=BH$5,$E160&lt;BH$5+GanttPeriod),"◇","")),IF(AND(BH$5&lt;=$F160,BH$5+GanttPeriod-1&gt;=$E160),"━","")))</f>
        <v/>
      </c>
      <c r="BI160" s="69" t="str">
        <f aca="false">IF($E160="","",IF($M160,IF(AND($G160&gt;=BI$5,$G160&lt;BI$5+GanttPeriod),"◆",IF(AND($E160&gt;=BI$5,$E160&lt;BI$5+GanttPeriod),"◇","")),IF(AND(BI$5&lt;=$F160,BI$5+GanttPeriod-1&gt;=$E160),"━","")))</f>
        <v/>
      </c>
      <c r="BJ160" s="69" t="str">
        <f aca="false">IF($E160="","",IF($M160,IF(AND($G160&gt;=BJ$5,$G160&lt;BJ$5+GanttPeriod),"◆",IF(AND($E160&gt;=BJ$5,$E160&lt;BJ$5+GanttPeriod),"◇","")),IF(AND(BJ$5&lt;=$F160,BJ$5+GanttPeriod-1&gt;=$E160),"━","")))</f>
        <v/>
      </c>
      <c r="BK160" s="69" t="str">
        <f aca="false">IF($E160="","",IF($M160,IF(AND($G160&gt;=BK$5,$G160&lt;BK$5+GanttPeriod),"◆",IF(AND($E160&gt;=BK$5,$E160&lt;BK$5+GanttPeriod),"◇","")),IF(AND(BK$5&lt;=$F160,BK$5+GanttPeriod-1&gt;=$E160),"━","")))</f>
        <v/>
      </c>
      <c r="BL160" s="69" t="str">
        <f aca="false">IF($E160="","",IF($M160,IF(AND($G160&gt;=BL$5,$G160&lt;BL$5+GanttPeriod),"◆",IF(AND($E160&gt;=BL$5,$E160&lt;BL$5+GanttPeriod),"◇","")),IF(AND(BL$5&lt;=$F160,BL$5+GanttPeriod-1&gt;=$E160),"━","")))</f>
        <v/>
      </c>
      <c r="BM160" s="69" t="str">
        <f aca="false">IF($E160="","",IF($M160,IF(AND($G160&gt;=BM$5,$G160&lt;BM$5+GanttPeriod),"◆",IF(AND($E160&gt;=BM$5,$E160&lt;BM$5+GanttPeriod),"◇","")),IF(AND(BM$5&lt;=$F160,BM$5+GanttPeriod-1&gt;=$E160),"━","")))</f>
        <v/>
      </c>
      <c r="BN160" s="69" t="str">
        <f aca="false">IF($E160="","",IF($M160,IF(AND($G160&gt;=BN$5,$G160&lt;BN$5+GanttPeriod),"◆",IF(AND($E160&gt;=BN$5,$E160&lt;BN$5+GanttPeriod),"◇","")),IF(AND(BN$5&lt;=$F160,BN$5+GanttPeriod-1&gt;=$E160),"━","")))</f>
        <v/>
      </c>
      <c r="BO160" s="69" t="str">
        <f aca="false">IF($E160="","",IF($M160,IF(AND($G160&gt;=BO$5,$G160&lt;BO$5+GanttPeriod),"◆",IF(AND($E160&gt;=BO$5,$E160&lt;BO$5+GanttPeriod),"◇","")),IF(AND(BO$5&lt;=$F160,BO$5+GanttPeriod-1&gt;=$E160),"━","")))</f>
        <v/>
      </c>
      <c r="BP160" s="69" t="str">
        <f aca="false">IF($E160="","",IF($M160,IF(AND($G160&gt;=BP$5,$G160&lt;BP$5+GanttPeriod),"◆",IF(AND($E160&gt;=BP$5,$E160&lt;BP$5+GanttPeriod),"◇","")),IF(AND(BP$5&lt;=$F160,BP$5+GanttPeriod-1&gt;=$E160),"━","")))</f>
        <v/>
      </c>
      <c r="BQ160" s="69" t="str">
        <f aca="false">IF($E160="","",IF($M160,IF(AND($G160&gt;=BQ$5,$G160&lt;BQ$5+GanttPeriod),"◆",IF(AND($E160&gt;=BQ$5,$E160&lt;BQ$5+GanttPeriod),"◇","")),IF(AND(BQ$5&lt;=$F160,BQ$5+GanttPeriod-1&gt;=$E160),"━","")))</f>
        <v/>
      </c>
      <c r="BR160" s="69" t="str">
        <f aca="false">IF($E160="","",IF($M160,IF(AND($G160&gt;=BR$5,$G160&lt;BR$5+GanttPeriod),"◆",IF(AND($E160&gt;=BR$5,$E160&lt;BR$5+GanttPeriod),"◇","")),IF(AND(BR$5&lt;=$F160,BR$5+GanttPeriod-1&gt;=$E160),"━","")))</f>
        <v/>
      </c>
      <c r="BS160" s="69" t="str">
        <f aca="false">IF($E160="","",IF($M160,IF(AND($G160&gt;=BS$5,$G160&lt;BS$5+GanttPeriod),"◆",IF(AND($E160&gt;=BS$5,$E160&lt;BS$5+GanttPeriod),"◇","")),IF(AND(BS$5&lt;=$F160,BS$5+GanttPeriod-1&gt;=$E160),"━","")))</f>
        <v/>
      </c>
      <c r="BT160" s="69" t="str">
        <f aca="false">IF($E160="","",IF($M160,IF(AND($G160&gt;=BT$5,$G160&lt;BT$5+GanttPeriod),"◆",IF(AND($E160&gt;=BT$5,$E160&lt;BT$5+GanttPeriod),"◇","")),IF(AND(BT$5&lt;=$F160,BT$5+GanttPeriod-1&gt;=$E160),"━","")))</f>
        <v/>
      </c>
      <c r="BU160" s="69" t="str">
        <f aca="false">IF($E160="","",IF($M160,IF(AND($G160&gt;=BU$5,$G160&lt;BU$5+GanttPeriod),"◆",IF(AND($E160&gt;=BU$5,$E160&lt;BU$5+GanttPeriod),"◇","")),IF(AND(BU$5&lt;=$F160,BU$5+GanttPeriod-1&gt;=$E160),"━","")))</f>
        <v/>
      </c>
      <c r="BV160" s="69" t="str">
        <f aca="false">IF($E160="","",IF($M160,IF(AND($G160&gt;=BV$5,$G160&lt;BV$5+GanttPeriod),"◆",IF(AND($E160&gt;=BV$5,$E160&lt;BV$5+GanttPeriod),"◇","")),IF(AND(BV$5&lt;=$F160,BV$5+GanttPeriod-1&gt;=$E160),"━","")))</f>
        <v/>
      </c>
      <c r="BW160" s="69" t="str">
        <f aca="false">IF($E160="","",IF($M160,IF(AND($G160&gt;=BW$5,$G160&lt;BW$5+GanttPeriod),"◆",IF(AND($E160&gt;=BW$5,$E160&lt;BW$5+GanttPeriod),"◇","")),IF(AND(BW$5&lt;=$F160,BW$5+GanttPeriod-1&gt;=$E160),"━","")))</f>
        <v/>
      </c>
      <c r="BX160" s="69" t="str">
        <f aca="false">IF($E160="","",IF($M160,IF(AND($G160&gt;=BX$5,$G160&lt;BX$5+GanttPeriod),"◆",IF(AND($E160&gt;=BX$5,$E160&lt;BX$5+GanttPeriod),"◇","")),IF(AND(BX$5&lt;=$F160,BX$5+GanttPeriod-1&gt;=$E160),"━","")))</f>
        <v/>
      </c>
      <c r="BY160" s="69" t="str">
        <f aca="false">IF($E160="","",IF($M160,IF(AND($G160&gt;=BY$5,$G160&lt;BY$5+GanttPeriod),"◆",IF(AND($E160&gt;=BY$5,$E160&lt;BY$5+GanttPeriod),"◇","")),IF(AND(BY$5&lt;=$F160,BY$5+GanttPeriod-1&gt;=$E160),"━","")))</f>
        <v/>
      </c>
      <c r="BZ160" s="69" t="str">
        <f aca="false">IF($E160="","",IF($M160,IF(AND($G160&gt;=BZ$5,$G160&lt;BZ$5+GanttPeriod),"◆",IF(AND($E160&gt;=BZ$5,$E160&lt;BZ$5+GanttPeriod),"◇","")),IF(AND(BZ$5&lt;=$F160,BZ$5+GanttPeriod-1&gt;=$E160),"━","")))</f>
        <v/>
      </c>
      <c r="CA160" s="69" t="str">
        <f aca="false">IF($E160="","",IF($M160,IF(AND($G160&gt;=CA$5,$G160&lt;CA$5+GanttPeriod),"◆",IF(AND($E160&gt;=CA$5,$E160&lt;CA$5+GanttPeriod),"◇","")),IF(AND(CA$5&lt;=$F160,CA$5+GanttPeriod-1&gt;=$E160),"━","")))</f>
        <v/>
      </c>
      <c r="CB160" s="69" t="str">
        <f aca="false">IF($E160="","",IF($M160,IF(AND($G160&gt;=CB$5,$G160&lt;CB$5+GanttPeriod),"◆",IF(AND($E160&gt;=CB$5,$E160&lt;CB$5+GanttPeriod),"◇","")),IF(AND(CB$5&lt;=$F160,CB$5+GanttPeriod-1&gt;=$E160),"━","")))</f>
        <v/>
      </c>
      <c r="CC160" s="69" t="str">
        <f aca="false">IF($E160="","",IF($M160,IF(AND($G160&gt;=CC$5,$G160&lt;CC$5+GanttPeriod),"◆",IF(AND($E160&gt;=CC$5,$E160&lt;CC$5+GanttPeriod),"◇","")),IF(AND(CC$5&lt;=$F160,CC$5+GanttPeriod-1&gt;=$E160),"━","")))</f>
        <v/>
      </c>
      <c r="CD160" s="69" t="str">
        <f aca="false">IF($E160="","",IF($M160,IF(AND($G160&gt;=CD$5,$G160&lt;CD$5+GanttPeriod),"◆",IF(AND($E160&gt;=CD$5,$E160&lt;CD$5+GanttPeriod),"◇","")),IF(AND(CD$5&lt;=$F160,CD$5+GanttPeriod-1&gt;=$E160),"━","")))</f>
        <v/>
      </c>
      <c r="CE160" s="69" t="str">
        <f aca="false">IF($E160="","",IF($M160,IF(AND($G160&gt;=CE$5,$G160&lt;CE$5+GanttPeriod),"◆",IF(AND($E160&gt;=CE$5,$E160&lt;CE$5+GanttPeriod),"◇","")),IF(AND(CE$5&lt;=$F160,CE$5+GanttPeriod-1&gt;=$E160),"━","")))</f>
        <v/>
      </c>
      <c r="CF160" s="69" t="str">
        <f aca="false">IF($E160="","",IF($M160,IF(AND($G160&gt;=CF$5,$G160&lt;CF$5+GanttPeriod),"◆",IF(AND($E160&gt;=CF$5,$E160&lt;CF$5+GanttPeriod),"◇","")),IF(AND(CF$5&lt;=$F160,CF$5+GanttPeriod-1&gt;=$E160),"━","")))</f>
        <v/>
      </c>
      <c r="CG160" s="69" t="str">
        <f aca="false">IF($E160="","",IF($M160,IF(AND($G160&gt;=CG$5,$G160&lt;CG$5+GanttPeriod),"◆",IF(AND($E160&gt;=CG$5,$E160&lt;CG$5+GanttPeriod),"◇","")),IF(AND(CG$5&lt;=$F160,CG$5+GanttPeriod-1&gt;=$E160),"━","")))</f>
        <v/>
      </c>
      <c r="CH160" s="69" t="str">
        <f aca="false">IF($E160="","",IF($M160,IF(AND($G160&gt;=CH$5,$G160&lt;CH$5+GanttPeriod),"◆",IF(AND($E160&gt;=CH$5,$E160&lt;CH$5+GanttPeriod),"◇","")),IF(AND(CH$5&lt;=$F160,CH$5+GanttPeriod-1&gt;=$E160),"━","")))</f>
        <v/>
      </c>
      <c r="CI160" s="69" t="str">
        <f aca="false">IF($E160="","",IF($M160,IF(AND($G160&gt;=CI$5,$G160&lt;CI$5+GanttPeriod),"◆",IF(AND($E160&gt;=CI$5,$E160&lt;CI$5+GanttPeriod),"◇","")),IF(AND(CI$5&lt;=$F160,CI$5+GanttPeriod-1&gt;=$E160),"━","")))</f>
        <v/>
      </c>
      <c r="CJ160" s="69" t="str">
        <f aca="false">IF($E160="","",IF($M160,IF(AND($G160&gt;=CJ$5,$G160&lt;CJ$5+GanttPeriod),"◆",IF(AND($E160&gt;=CJ$5,$E160&lt;CJ$5+GanttPeriod),"◇","")),IF(AND(CJ$5&lt;=$F160,CJ$5+GanttPeriod-1&gt;=$E160),"━","")))</f>
        <v/>
      </c>
      <c r="CK160" s="69" t="str">
        <f aca="false">IF($E160="","",IF($M160,IF(AND($G160&gt;=CK$5,$G160&lt;CK$5+GanttPeriod),"◆",IF(AND($E160&gt;=CK$5,$E160&lt;CK$5+GanttPeriod),"◇","")),IF(AND(CK$5&lt;=$F160,CK$5+GanttPeriod-1&gt;=$E160),"━","")))</f>
        <v/>
      </c>
      <c r="CL160" s="69" t="str">
        <f aca="false">IF($E160="","",IF($M160,IF(AND($G160&gt;=CL$5,$G160&lt;CL$5+GanttPeriod),"◆",IF(AND($E160&gt;=CL$5,$E160&lt;CL$5+GanttPeriod),"◇","")),IF(AND(CL$5&lt;=$F160,CL$5+GanttPeriod-1&gt;=$E160),"━","")))</f>
        <v/>
      </c>
      <c r="CM160" s="69" t="str">
        <f aca="false">IF($E160="","",IF($M160,IF(AND($G160&gt;=CM$5,$G160&lt;CM$5+GanttPeriod),"◆",IF(AND($E160&gt;=CM$5,$E160&lt;CM$5+GanttPeriod),"◇","")),IF(AND(CM$5&lt;=$F160,CM$5+GanttPeriod-1&gt;=$E160),"━","")))</f>
        <v/>
      </c>
      <c r="CN160" s="69" t="str">
        <f aca="false">IF($E160="","",IF($M160,IF(AND($G160&gt;=CN$5,$G160&lt;CN$5+GanttPeriod),"◆",IF(AND($E160&gt;=CN$5,$E160&lt;CN$5+GanttPeriod),"◇","")),IF(AND(CN$5&lt;=$F160,CN$5+GanttPeriod-1&gt;=$E160),"━","")))</f>
        <v/>
      </c>
      <c r="CO160" s="69" t="str">
        <f aca="false">IF($E160="","",IF($M160,IF(AND($G160&gt;=CO$5,$G160&lt;CO$5+GanttPeriod),"◆",IF(AND($E160&gt;=CO$5,$E160&lt;CO$5+GanttPeriod),"◇","")),IF(AND(CO$5&lt;=$F160,CO$5+GanttPeriod-1&gt;=$E160),"━","")))</f>
        <v/>
      </c>
      <c r="CP160" s="69" t="str">
        <f aca="false">IF($E160="","",IF($M160,IF(AND($G160&gt;=CP$5,$G160&lt;CP$5+GanttPeriod),"◆",IF(AND($E160&gt;=CP$5,$E160&lt;CP$5+GanttPeriod),"◇","")),IF(AND(CP$5&lt;=$F160,CP$5+GanttPeriod-1&gt;=$E160),"━","")))</f>
        <v/>
      </c>
      <c r="CQ160" s="69" t="str">
        <f aca="false">IF($E160="","",IF($M160,IF(AND($G160&gt;=CQ$5,$G160&lt;CQ$5+GanttPeriod),"◆",IF(AND($E160&gt;=CQ$5,$E160&lt;CQ$5+GanttPeriod),"◇","")),IF(AND(CQ$5&lt;=$F160,CQ$5+GanttPeriod-1&gt;=$E160),"━","")))</f>
        <v/>
      </c>
      <c r="CR160" s="69" t="str">
        <f aca="false">IF($E160="","",IF($M160,IF(AND($G160&gt;=CR$5,$G160&lt;CR$5+GanttPeriod),"◆",IF(AND($E160&gt;=CR$5,$E160&lt;CR$5+GanttPeriod),"◇","")),IF(AND(CR$5&lt;=$F160,CR$5+GanttPeriod-1&gt;=$E160),"━","")))</f>
        <v/>
      </c>
      <c r="CS160" s="69" t="str">
        <f aca="false">IF($E160="","",IF($M160,IF(AND($G160&gt;=CS$5,$G160&lt;CS$5+GanttPeriod),"◆",IF(AND($E160&gt;=CS$5,$E160&lt;CS$5+GanttPeriod),"◇","")),IF(AND(CS$5&lt;=$F160,CS$5+GanttPeriod-1&gt;=$E160),"━","")))</f>
        <v/>
      </c>
      <c r="CT160" s="69" t="str">
        <f aca="false">IF($E160="","",IF($M160,IF(AND($G160&gt;=CT$5,$G160&lt;CT$5+GanttPeriod),"◆",IF(AND($E160&gt;=CT$5,$E160&lt;CT$5+GanttPeriod),"◇","")),IF(AND(CT$5&lt;=$F160,CT$5+GanttPeriod-1&gt;=$E160),"━","")))</f>
        <v/>
      </c>
      <c r="CU160" s="69" t="str">
        <f aca="false">IF($E160="","",IF($M160,IF(AND($G160&gt;=CU$5,$G160&lt;CU$5+GanttPeriod),"◆",IF(AND($E160&gt;=CU$5,$E160&lt;CU$5+GanttPeriod),"◇","")),IF(AND(CU$5&lt;=$F160,CU$5+GanttPeriod-1&gt;=$E160),"━","")))</f>
        <v/>
      </c>
      <c r="CV160" s="69" t="str">
        <f aca="false">IF($E160="","",IF($M160,IF(AND($G160&gt;=CV$5,$G160&lt;CV$5+GanttPeriod),"◆",IF(AND($E160&gt;=CV$5,$E160&lt;CV$5+GanttPeriod),"◇","")),IF(AND(CV$5&lt;=$F160,CV$5+GanttPeriod-1&gt;=$E160),"━","")))</f>
        <v/>
      </c>
      <c r="CW160" s="69" t="str">
        <f aca="false">IF($E160="","",IF($M160,IF(AND($G160&gt;=CW$5,$G160&lt;CW$5+GanttPeriod),"◆",IF(AND($E160&gt;=CW$5,$E160&lt;CW$5+GanttPeriod),"◇","")),IF(AND(CW$5&lt;=$F160,CW$5+GanttPeriod-1&gt;=$E160),"━","")))</f>
        <v/>
      </c>
      <c r="CX160" s="69" t="str">
        <f aca="false">IF($E160="","",IF($M160,IF(AND($G160&gt;=CX$5,$G160&lt;CX$5+GanttPeriod),"◆",IF(AND($E160&gt;=CX$5,$E160&lt;CX$5+GanttPeriod),"◇","")),IF(AND(CX$5&lt;=$F160,CX$5+GanttPeriod-1&gt;=$E160),"━","")))</f>
        <v/>
      </c>
      <c r="CY160" s="69" t="str">
        <f aca="false">IF($E160="","",IF($M160,IF(AND($G160&gt;=CY$5,$G160&lt;CY$5+GanttPeriod),"◆",IF(AND($E160&gt;=CY$5,$E160&lt;CY$5+GanttPeriod),"◇","")),IF(AND(CY$5&lt;=$F160,CY$5+GanttPeriod-1&gt;=$E160),"━","")))</f>
        <v/>
      </c>
      <c r="CZ160" s="69" t="str">
        <f aca="false">IF($E160="","",IF($M160,IF(AND($G160&gt;=CZ$5,$G160&lt;CZ$5+GanttPeriod),"◆",IF(AND($E160&gt;=CZ$5,$E160&lt;CZ$5+GanttPeriod),"◇","")),IF(AND(CZ$5&lt;=$F160,CZ$5+GanttPeriod-1&gt;=$E160),"━","")))</f>
        <v/>
      </c>
      <c r="DA160" s="69" t="str">
        <f aca="false">IF($E160="","",IF($M160,IF(AND($G160&gt;=DA$5,$G160&lt;DA$5+GanttPeriod),"◆",IF(AND($E160&gt;=DA$5,$E160&lt;DA$5+GanttPeriod),"◇","")),IF(AND(DA$5&lt;=$F160,DA$5+GanttPeriod-1&gt;=$E160),"━","")))</f>
        <v/>
      </c>
      <c r="DB160" s="69" t="str">
        <f aca="false">IF($E160="","",IF($M160,IF(AND($G160&gt;=DB$5,$G160&lt;DB$5+GanttPeriod),"◆",IF(AND($E160&gt;=DB$5,$E160&lt;DB$5+GanttPeriod),"◇","")),IF(AND(DB$5&lt;=$F160,DB$5+GanttPeriod-1&gt;=$E160),"━","")))</f>
        <v/>
      </c>
      <c r="DC160" s="69" t="str">
        <f aca="false">IF($E160="","",IF($M160,IF(AND($G160&gt;=DC$5,$G160&lt;DC$5+GanttPeriod),"◆",IF(AND($E160&gt;=DC$5,$E160&lt;DC$5+GanttPeriod),"◇","")),IF(AND(DC$5&lt;=$F160,DC$5+GanttPeriod-1&gt;=$E160),"━","")))</f>
        <v/>
      </c>
      <c r="DD160" s="69" t="str">
        <f aca="false">IF($E160="","",IF($M160,IF(AND($G160&gt;=DD$5,$G160&lt;DD$5+GanttPeriod),"◆",IF(AND($E160&gt;=DD$5,$E160&lt;DD$5+GanttPeriod),"◇","")),IF(AND(DD$5&lt;=$F160,DD$5+GanttPeriod-1&gt;=$E160),"━","")))</f>
        <v/>
      </c>
      <c r="DE160" s="69" t="str">
        <f aca="false">IF($E160="","",IF($M160,IF(AND($G160&gt;=DE$5,$G160&lt;DE$5+GanttPeriod),"◆",IF(AND($E160&gt;=DE$5,$E160&lt;DE$5+GanttPeriod),"◇","")),IF(AND(DE$5&lt;=$F160,DE$5+GanttPeriod-1&gt;=$E160),"━","")))</f>
        <v/>
      </c>
      <c r="DF160" s="69" t="str">
        <f aca="false">IF($E160="","",IF($M160,IF(AND($G160&gt;=DF$5,$G160&lt;DF$5+GanttPeriod),"◆",IF(AND($E160&gt;=DF$5,$E160&lt;DF$5+GanttPeriod),"◇","")),IF(AND(DF$5&lt;=$F160,DF$5+GanttPeriod-1&gt;=$E160),"━","")))</f>
        <v/>
      </c>
      <c r="DG160" s="69" t="str">
        <f aca="false">IF($E160="","",IF($M160,IF(AND($G160&gt;=DG$5,$G160&lt;DG$5+GanttPeriod),"◆",IF(AND($E160&gt;=DG$5,$E160&lt;DG$5+GanttPeriod),"◇","")),IF(AND(DG$5&lt;=$F160,DG$5+GanttPeriod-1&gt;=$E160),"━","")))</f>
        <v/>
      </c>
      <c r="DH160" s="69" t="str">
        <f aca="false">IF($E160="","",IF($M160,IF(AND($G160&gt;=DH$5,$G160&lt;DH$5+GanttPeriod),"◆",IF(AND($E160&gt;=DH$5,$E160&lt;DH$5+GanttPeriod),"◇","")),IF(AND(DH$5&lt;=$F160,DH$5+GanttPeriod-1&gt;=$E160),"━","")))</f>
        <v/>
      </c>
      <c r="DI160" s="69" t="str">
        <f aca="false">IF($E160="","",IF($M160,IF(AND($G160&gt;=DI$5,$G160&lt;DI$5+GanttPeriod),"◆",IF(AND($E160&gt;=DI$5,$E160&lt;DI$5+GanttPeriod),"◇","")),IF(AND(DI$5&lt;=$F160,DI$5+GanttPeriod-1&gt;=$E160),"━","")))</f>
        <v/>
      </c>
      <c r="DJ160" s="69" t="str">
        <f aca="false">IF($E160="","",IF($M160,IF(AND($G160&gt;=DJ$5,$G160&lt;DJ$5+GanttPeriod),"◆",IF(AND($E160&gt;=DJ$5,$E160&lt;DJ$5+GanttPeriod),"◇","")),IF(AND(DJ$5&lt;=$F160,DJ$5+GanttPeriod-1&gt;=$E160),"━","")))</f>
        <v/>
      </c>
      <c r="DK160" s="69" t="str">
        <f aca="false">IF($E160="","",IF($M160,IF(AND($G160&gt;=DK$5,$G160&lt;DK$5+GanttPeriod),"◆",IF(AND($E160&gt;=DK$5,$E160&lt;DK$5+GanttPeriod),"◇","")),IF(AND(DK$5&lt;=$F160,DK$5+GanttPeriod-1&gt;=$E160),"━","")))</f>
        <v/>
      </c>
      <c r="DL160" s="69" t="str">
        <f aca="false">IF($E160="","",IF($M160,IF(AND($G160&gt;=DL$5,$G160&lt;DL$5+GanttPeriod),"◆",IF(AND($E160&gt;=DL$5,$E160&lt;DL$5+GanttPeriod),"◇","")),IF(AND(DL$5&lt;=$F160,DL$5+GanttPeriod-1&gt;=$E160),"━","")))</f>
        <v/>
      </c>
      <c r="DM160" s="69" t="str">
        <f aca="false">IF($E160="","",IF($M160,IF(AND($G160&gt;=DM$5,$G160&lt;DM$5+GanttPeriod),"◆",IF(AND($E160&gt;=DM$5,$E160&lt;DM$5+GanttPeriod),"◇","")),IF(AND(DM$5&lt;=$F160,DM$5+GanttPeriod-1&gt;=$E160),"━","")))</f>
        <v/>
      </c>
      <c r="DN160" s="69" t="str">
        <f aca="false">IF($E160="","",IF($M160,IF(AND($G160&gt;=DN$5,$G160&lt;DN$5+GanttPeriod),"◆",IF(AND($E160&gt;=DN$5,$E160&lt;DN$5+GanttPeriod),"◇","")),IF(AND(DN$5&lt;=$F160,DN$5+GanttPeriod-1&gt;=$E160),"━","")))</f>
        <v/>
      </c>
      <c r="DO160" s="69" t="str">
        <f aca="false">IF($E160="","",IF($M160,IF(AND($G160&gt;=DO$5,$G160&lt;DO$5+GanttPeriod),"◆",IF(AND($E160&gt;=DO$5,$E160&lt;DO$5+GanttPeriod),"◇","")),IF(AND(DO$5&lt;=$F160,DO$5+GanttPeriod-1&gt;=$E160),"━","")))</f>
        <v/>
      </c>
      <c r="DP160" s="69" t="str">
        <f aca="false">IF($E160="","",IF($M160,IF(AND($G160&gt;=DP$5,$G160&lt;DP$5+GanttPeriod),"◆",IF(AND($E160&gt;=DP$5,$E160&lt;DP$5+GanttPeriod),"◇","")),IF(AND(DP$5&lt;=$F160,DP$5+GanttPeriod-1&gt;=$E160),"━","")))</f>
        <v/>
      </c>
      <c r="DQ160" s="69" t="str">
        <f aca="false">IF($E160="","",IF($M160,IF(AND($G160&gt;=DQ$5,$G160&lt;DQ$5+GanttPeriod),"◆",IF(AND($E160&gt;=DQ$5,$E160&lt;DQ$5+GanttPeriod),"◇","")),IF(AND(DQ$5&lt;=$F160,DQ$5+GanttPeriod-1&gt;=$E160),"━","")))</f>
        <v/>
      </c>
      <c r="DR160" s="69" t="str">
        <f aca="false">IF($E160="","",IF($M160,IF(AND($G160&gt;=DR$5,$G160&lt;DR$5+GanttPeriod),"◆",IF(AND($E160&gt;=DR$5,$E160&lt;DR$5+GanttPeriod),"◇","")),IF(AND(DR$5&lt;=$F160,DR$5+GanttPeriod-1&gt;=$E160),"━","")))</f>
        <v/>
      </c>
      <c r="DS160" s="69" t="str">
        <f aca="false">IF($E160="","",IF($M160,IF(AND($G160&gt;=DS$5,$G160&lt;DS$5+GanttPeriod),"◆",IF(AND($E160&gt;=DS$5,$E160&lt;DS$5+GanttPeriod),"◇","")),IF(AND(DS$5&lt;=$F160,DS$5+GanttPeriod-1&gt;=$E160),"━","")))</f>
        <v/>
      </c>
      <c r="DT160" s="69" t="str">
        <f aca="false">IF($E160="","",IF($M160,IF(AND($G160&gt;=DT$5,$G160&lt;DT$5+GanttPeriod),"◆",IF(AND($E160&gt;=DT$5,$E160&lt;DT$5+GanttPeriod),"◇","")),IF(AND(DT$5&lt;=$F160,DT$5+GanttPeriod-1&gt;=$E160),"━","")))</f>
        <v/>
      </c>
      <c r="DU160" s="69" t="str">
        <f aca="false">IF($E160="","",IF($M160,IF(AND($G160&gt;=DU$5,$G160&lt;DU$5+GanttPeriod),"◆",IF(AND($E160&gt;=DU$5,$E160&lt;DU$5+GanttPeriod),"◇","")),IF(AND(DU$5&lt;=$F160,DU$5+GanttPeriod-1&gt;=$E160),"━","")))</f>
        <v/>
      </c>
      <c r="DV160" s="69" t="str">
        <f aca="false">IF($E160="","",IF($M160,IF(AND($G160&gt;=DV$5,$G160&lt;DV$5+GanttPeriod),"◆",IF(AND($E160&gt;=DV$5,$E160&lt;DV$5+GanttPeriod),"◇","")),IF(AND(DV$5&lt;=$F160,DV$5+GanttPeriod-1&gt;=$E160),"━","")))</f>
        <v/>
      </c>
      <c r="DW160" s="69" t="str">
        <f aca="false">IF($E160="","",IF($M160,IF(AND($G160&gt;=DW$5,$G160&lt;DW$5+GanttPeriod),"◆",IF(AND($E160&gt;=DW$5,$E160&lt;DW$5+GanttPeriod),"◇","")),IF(AND(DW$5&lt;=$F160,DW$5+GanttPeriod-1&gt;=$E160),"━","")))</f>
        <v/>
      </c>
      <c r="DX160" s="69" t="str">
        <f aca="false">IF($E160="","",IF($M160,IF(AND($G160&gt;=DX$5,$G160&lt;DX$5+GanttPeriod),"◆",IF(AND($E160&gt;=DX$5,$E160&lt;DX$5+GanttPeriod),"◇","")),IF(AND(DX$5&lt;=$F160,DX$5+GanttPeriod-1&gt;=$E160),"━","")))</f>
        <v/>
      </c>
      <c r="DY160" s="69" t="str">
        <f aca="false">IF($E160="","",IF($M160,IF(AND($G160&gt;=DY$5,$G160&lt;DY$5+GanttPeriod),"◆",IF(AND($E160&gt;=DY$5,$E160&lt;DY$5+GanttPeriod),"◇","")),IF(AND(DY$5&lt;=$F160,DY$5+GanttPeriod-1&gt;=$E160),"━","")))</f>
        <v/>
      </c>
      <c r="DZ160" s="69" t="str">
        <f aca="false">IF($E160="","",IF($M160,IF(AND($G160&gt;=DZ$5,$G160&lt;DZ$5+GanttPeriod),"◆",IF(AND($E160&gt;=DZ$5,$E160&lt;DZ$5+GanttPeriod),"◇","")),IF(AND(DZ$5&lt;=$F160,DZ$5+GanttPeriod-1&gt;=$E160),"━","")))</f>
        <v/>
      </c>
      <c r="EA160" s="69" t="str">
        <f aca="false">IF($E160="","",IF($M160,IF(AND($G160&gt;=EA$5,$G160&lt;EA$5+GanttPeriod),"◆",IF(AND($E160&gt;=EA$5,$E160&lt;EA$5+GanttPeriod),"◇","")),IF(AND(EA$5&lt;=$F160,EA$5+GanttPeriod-1&gt;=$E160),"━","")))</f>
        <v/>
      </c>
      <c r="EB160" s="69" t="str">
        <f aca="false">IF($E160="","",IF($M160,IF(AND($G160&gt;=EB$5,$G160&lt;EB$5+GanttPeriod),"◆",IF(AND($E160&gt;=EB$5,$E160&lt;EB$5+GanttPeriod),"◇","")),IF(AND(EB$5&lt;=$F160,EB$5+GanttPeriod-1&gt;=$E160),"━","")))</f>
        <v/>
      </c>
      <c r="EC160" s="69" t="str">
        <f aca="false">IF($E160="","",IF($M160,IF(AND($G160&gt;=EC$5,$G160&lt;EC$5+GanttPeriod),"◆",IF(AND($E160&gt;=EC$5,$E160&lt;EC$5+GanttPeriod),"◇","")),IF(AND(EC$5&lt;=$F160,EC$5+GanttPeriod-1&gt;=$E160),"━","")))</f>
        <v/>
      </c>
      <c r="ED160" s="69" t="str">
        <f aca="false">IF($E160="","",IF($M160,IF(AND($G160&gt;=ED$5,$G160&lt;ED$5+GanttPeriod),"◆",IF(AND($E160&gt;=ED$5,$E160&lt;ED$5+GanttPeriod),"◇","")),IF(AND(ED$5&lt;=$F160,ED$5+GanttPeriod-1&gt;=$E160),"━","")))</f>
        <v/>
      </c>
      <c r="EE160" s="69" t="str">
        <f aca="false">IF($E160="","",IF($M160,IF(AND($G160&gt;=EE$5,$G160&lt;EE$5+GanttPeriod),"◆",IF(AND($E160&gt;=EE$5,$E160&lt;EE$5+GanttPeriod),"◇","")),IF(AND(EE$5&lt;=$F160,EE$5+GanttPeriod-1&gt;=$E160),"━","")))</f>
        <v/>
      </c>
      <c r="EF160" s="69" t="str">
        <f aca="false">IF($E160="","",IF($M160,IF(AND($G160&gt;=EF$5,$G160&lt;EF$5+GanttPeriod),"◆",IF(AND($E160&gt;=EF$5,$E160&lt;EF$5+GanttPeriod),"◇","")),IF(AND(EF$5&lt;=$F160,EF$5+GanttPeriod-1&gt;=$E160),"━","")))</f>
        <v/>
      </c>
      <c r="EG160" s="69" t="str">
        <f aca="false">IF($E160="","",IF($M160,IF(AND($G160&gt;=EG$5,$G160&lt;EG$5+GanttPeriod),"◆",IF(AND($E160&gt;=EG$5,$E160&lt;EG$5+GanttPeriod),"◇","")),IF(AND(EG$5&lt;=$F160,EG$5+GanttPeriod-1&gt;=$E160),"━","")))</f>
        <v/>
      </c>
      <c r="EH160" s="69" t="str">
        <f aca="false">IF($E160="","",IF($M160,IF(AND($G160&gt;=EH$5,$G160&lt;EH$5+GanttPeriod),"◆",IF(AND($E160&gt;=EH$5,$E160&lt;EH$5+GanttPeriod),"◇","")),IF(AND(EH$5&lt;=$F160,EH$5+GanttPeriod-1&gt;=$E160),"━","")))</f>
        <v/>
      </c>
      <c r="EI160" s="69" t="str">
        <f aca="false">IF($E160="","",IF($M160,IF(AND($G160&gt;=EI$5,$G160&lt;EI$5+GanttPeriod),"◆",IF(AND($E160&gt;=EI$5,$E160&lt;EI$5+GanttPeriod),"◇","")),IF(AND(EI$5&lt;=$F160,EI$5+GanttPeriod-1&gt;=$E160),"━","")))</f>
        <v/>
      </c>
      <c r="EJ160" s="69" t="str">
        <f aca="false">IF($E160="","",IF($M160,IF(AND($G160&gt;=EJ$5,$G160&lt;EJ$5+GanttPeriod),"◆",IF(AND($E160&gt;=EJ$5,$E160&lt;EJ$5+GanttPeriod),"◇","")),IF(AND(EJ$5&lt;=$F160,EJ$5+GanttPeriod-1&gt;=$E160),"━","")))</f>
        <v/>
      </c>
      <c r="EK160" s="69" t="str">
        <f aca="false">IF($E160="","",IF($M160,IF(AND($G160&gt;=EK$5,$G160&lt;EK$5+GanttPeriod),"◆",IF(AND($E160&gt;=EK$5,$E160&lt;EK$5+GanttPeriod),"◇","")),IF(AND(EK$5&lt;=$F160,EK$5+GanttPeriod-1&gt;=$E160),"━","")))</f>
        <v/>
      </c>
      <c r="EL160" s="69" t="str">
        <f aca="false">IF($E160="","",IF($M160,IF(AND($G160&gt;=EL$5,$G160&lt;EL$5+GanttPeriod),"◆",IF(AND($E160&gt;=EL$5,$E160&lt;EL$5+GanttPeriod),"◇","")),IF(AND(EL$5&lt;=$F160,EL$5+GanttPeriod-1&gt;=$E160),"━","")))</f>
        <v/>
      </c>
      <c r="EM160" s="69" t="str">
        <f aca="false">IF($E160="","",IF($M160,IF(AND($G160&gt;=EM$5,$G160&lt;EM$5+GanttPeriod),"◆",IF(AND($E160&gt;=EM$5,$E160&lt;EM$5+GanttPeriod),"◇","")),IF(AND(EM$5&lt;=$F160,EM$5+GanttPeriod-1&gt;=$E160),"━","")))</f>
        <v/>
      </c>
      <c r="EN160" s="69" t="str">
        <f aca="false">IF($E160="","",IF($M160,IF(AND($G160&gt;=EN$5,$G160&lt;EN$5+GanttPeriod),"◆",IF(AND($E160&gt;=EN$5,$E160&lt;EN$5+GanttPeriod),"◇","")),IF(AND(EN$5&lt;=$F160,EN$5+GanttPeriod-1&gt;=$E160),"━","")))</f>
        <v/>
      </c>
      <c r="EO160" s="69" t="str">
        <f aca="false">IF($E160="","",IF($M160,IF(AND($G160&gt;=EO$5,$G160&lt;EO$5+GanttPeriod),"◆",IF(AND($E160&gt;=EO$5,$E160&lt;EO$5+GanttPeriod),"◇","")),IF(AND(EO$5&lt;=$F160,EO$5+GanttPeriod-1&gt;=$E160),"━","")))</f>
        <v/>
      </c>
      <c r="EP160" s="69" t="str">
        <f aca="false">IF($E160="","",IF($M160,IF(AND($G160&gt;=EP$5,$G160&lt;EP$5+GanttPeriod),"◆",IF(AND($E160&gt;=EP$5,$E160&lt;EP$5+GanttPeriod),"◇","")),IF(AND(EP$5&lt;=$F160,EP$5+GanttPeriod-1&gt;=$E160),"━","")))</f>
        <v/>
      </c>
      <c r="EQ160" s="69" t="str">
        <f aca="false">IF($E160="","",IF($M160,IF(AND($G160&gt;=EQ$5,$G160&lt;EQ$5+GanttPeriod),"◆",IF(AND($E160&gt;=EQ$5,$E160&lt;EQ$5+GanttPeriod),"◇","")),IF(AND(EQ$5&lt;=$F160,EQ$5+GanttPeriod-1&gt;=$E160),"━","")))</f>
        <v/>
      </c>
      <c r="ER160" s="69" t="str">
        <f aca="false">IF($E160="","",IF($M160,IF(AND($G160&gt;=ER$5,$G160&lt;ER$5+GanttPeriod),"◆",IF(AND($E160&gt;=ER$5,$E160&lt;ER$5+GanttPeriod),"◇","")),IF(AND(ER$5&lt;=$F160,ER$5+GanttPeriod-1&gt;=$E160),"━","")))</f>
        <v/>
      </c>
      <c r="ES160" s="69" t="str">
        <f aca="false">IF($E160="","",IF($M160,IF(AND($G160&gt;=ES$5,$G160&lt;ES$5+GanttPeriod),"◆",IF(AND($E160&gt;=ES$5,$E160&lt;ES$5+GanttPeriod),"◇","")),IF(AND(ES$5&lt;=$F160,ES$5+GanttPeriod-1&gt;=$E160),"━","")))</f>
        <v/>
      </c>
      <c r="ET160" s="69" t="str">
        <f aca="false">IF($E160="","",IF($M160,IF(AND($G160&gt;=ET$5,$G160&lt;ET$5+GanttPeriod),"◆",IF(AND($E160&gt;=ET$5,$E160&lt;ET$5+GanttPeriod),"◇","")),IF(AND(ET$5&lt;=$F160,ET$5+GanttPeriod-1&gt;=$E160),"━","")))</f>
        <v/>
      </c>
      <c r="EU160" s="69" t="str">
        <f aca="false">IF($E160="","",IF($M160,IF(AND($G160&gt;=EU$5,$G160&lt;EU$5+GanttPeriod),"◆",IF(AND($E160&gt;=EU$5,$E160&lt;EU$5+GanttPeriod),"◇","")),IF(AND(EU$5&lt;=$F160,EU$5+GanttPeriod-1&gt;=$E160),"━","")))</f>
        <v/>
      </c>
      <c r="EV160" s="69" t="str">
        <f aca="false">IF($E160="","",IF($M160,IF(AND($G160&gt;=EV$5,$G160&lt;EV$5+GanttPeriod),"◆",IF(AND($E160&gt;=EV$5,$E160&lt;EV$5+GanttPeriod),"◇","")),IF(AND(EV$5&lt;=$F160,EV$5+GanttPeriod-1&gt;=$E160),"━","")))</f>
        <v/>
      </c>
      <c r="EW160" s="69" t="str">
        <f aca="false">IF($E160="","",IF($M160,IF(AND($G160&gt;=EW$5,$G160&lt;EW$5+GanttPeriod),"◆",IF(AND($E160&gt;=EW$5,$E160&lt;EW$5+GanttPeriod),"◇","")),IF(AND(EW$5&lt;=$F160,EW$5+GanttPeriod-1&gt;=$E160),"━","")))</f>
        <v/>
      </c>
      <c r="EX160" s="69" t="str">
        <f aca="false">IF($E160="","",IF($M160,IF(AND($G160&gt;=EX$5,$G160&lt;EX$5+GanttPeriod),"◆",IF(AND($E160&gt;=EX$5,$E160&lt;EX$5+GanttPeriod),"◇","")),IF(AND(EX$5&lt;=$F160,EX$5+GanttPeriod-1&gt;=$E160),"━","")))</f>
        <v/>
      </c>
      <c r="EY160" s="69" t="str">
        <f aca="false">IF($E160="","",IF($M160,IF(AND($G160&gt;=EY$5,$G160&lt;EY$5+GanttPeriod),"◆",IF(AND($E160&gt;=EY$5,$E160&lt;EY$5+GanttPeriod),"◇","")),IF(AND(EY$5&lt;=$F160,EY$5+GanttPeriod-1&gt;=$E160),"━","")))</f>
        <v/>
      </c>
      <c r="EZ160" s="69" t="str">
        <f aca="false">IF($E160="","",IF($M160,IF(AND($G160&gt;=EZ$5,$G160&lt;EZ$5+GanttPeriod),"◆",IF(AND($E160&gt;=EZ$5,$E160&lt;EZ$5+GanttPeriod),"◇","")),IF(AND(EZ$5&lt;=$F160,EZ$5+GanttPeriod-1&gt;=$E160),"━","")))</f>
        <v/>
      </c>
      <c r="FA160" s="69" t="str">
        <f aca="false">IF($E160="","",IF($M160,IF(AND($G160&gt;=FA$5,$G160&lt;FA$5+GanttPeriod),"◆",IF(AND($E160&gt;=FA$5,$E160&lt;FA$5+GanttPeriod),"◇","")),IF(AND(FA$5&lt;=$F160,FA$5+GanttPeriod-1&gt;=$E160),"━","")))</f>
        <v/>
      </c>
      <c r="FB160" s="69" t="str">
        <f aca="false">IF($E160="","",IF($M160,IF(AND($G160&gt;=FB$5,$G160&lt;FB$5+GanttPeriod),"◆",IF(AND($E160&gt;=FB$5,$E160&lt;FB$5+GanttPeriod),"◇","")),IF(AND(FB$5&lt;=$F160,FB$5+GanttPeriod-1&gt;=$E160),"━","")))</f>
        <v/>
      </c>
      <c r="FC160" s="69" t="str">
        <f aca="false">IF($E160="","",IF($M160,IF(AND($G160&gt;=FC$5,$G160&lt;FC$5+GanttPeriod),"◆",IF(AND($E160&gt;=FC$5,$E160&lt;FC$5+GanttPeriod),"◇","")),IF(AND(FC$5&lt;=$F160,FC$5+GanttPeriod-1&gt;=$E160),"━","")))</f>
        <v/>
      </c>
      <c r="FD160" s="69" t="str">
        <f aca="false">IF($E160="","",IF($M160,IF(AND($G160&gt;=FD$5,$G160&lt;FD$5+GanttPeriod),"◆",IF(AND($E160&gt;=FD$5,$E160&lt;FD$5+GanttPeriod),"◇","")),IF(AND(FD$5&lt;=$F160,FD$5+GanttPeriod-1&gt;=$E160),"━","")))</f>
        <v/>
      </c>
      <c r="FE160" s="69" t="str">
        <f aca="false">IF($E160="","",IF($M160,IF(AND($G160&gt;=FE$5,$G160&lt;FE$5+GanttPeriod),"◆",IF(AND($E160&gt;=FE$5,$E160&lt;FE$5+GanttPeriod),"◇","")),IF(AND(FE$5&lt;=$F160,FE$5+GanttPeriod-1&gt;=$E160),"━","")))</f>
        <v/>
      </c>
      <c r="FF160" s="69" t="str">
        <f aca="false">IF($E160="","",IF($M160,IF(AND($G160&gt;=FF$5,$G160&lt;FF$5+GanttPeriod),"◆",IF(AND($E160&gt;=FF$5,$E160&lt;FF$5+GanttPeriod),"◇","")),IF(AND(FF$5&lt;=$F160,FF$5+GanttPeriod-1&gt;=$E160),"━","")))</f>
        <v/>
      </c>
      <c r="FG160" s="69" t="str">
        <f aca="false">IF($E160="","",IF($M160,IF(AND($G160&gt;=FG$5,$G160&lt;FG$5+GanttPeriod),"◆",IF(AND($E160&gt;=FG$5,$E160&lt;FG$5+GanttPeriod),"◇","")),IF(AND(FG$5&lt;=$F160,FG$5+GanttPeriod-1&gt;=$E160),"━","")))</f>
        <v/>
      </c>
      <c r="FH160" s="69" t="str">
        <f aca="false">IF($E160="","",IF($M160,IF(AND($G160&gt;=FH$5,$G160&lt;FH$5+GanttPeriod),"◆",IF(AND($E160&gt;=FH$5,$E160&lt;FH$5+GanttPeriod),"◇","")),IF(AND(FH$5&lt;=$F160,FH$5+GanttPeriod-1&gt;=$E160),"━","")))</f>
        <v/>
      </c>
      <c r="FI160" s="69" t="str">
        <f aca="false">IF($E160="","",IF($M160,IF(AND($G160&gt;=FI$5,$G160&lt;FI$5+GanttPeriod),"◆",IF(AND($E160&gt;=FI$5,$E160&lt;FI$5+GanttPeriod),"◇","")),IF(AND(FI$5&lt;=$F160,FI$5+GanttPeriod-1&gt;=$E160),"━","")))</f>
        <v/>
      </c>
      <c r="FJ160" s="69" t="str">
        <f aca="false">IF($E160="","",IF($M160,IF(AND($G160&gt;=FJ$5,$G160&lt;FJ$5+GanttPeriod),"◆",IF(AND($E160&gt;=FJ$5,$E160&lt;FJ$5+GanttPeriod),"◇","")),IF(AND(FJ$5&lt;=$F160,FJ$5+GanttPeriod-1&gt;=$E160),"━","")))</f>
        <v/>
      </c>
      <c r="FK160" s="69" t="str">
        <f aca="false">IF($E160="","",IF($M160,IF(AND($G160&gt;=FK$5,$G160&lt;FK$5+GanttPeriod),"◆",IF(AND($E160&gt;=FK$5,$E160&lt;FK$5+GanttPeriod),"◇","")),IF(AND(FK$5&lt;=$F160,FK$5+GanttPeriod-1&gt;=$E160),"━","")))</f>
        <v/>
      </c>
      <c r="FL160" s="69" t="str">
        <f aca="false">IF($E160="","",IF($M160,IF(AND($G160&gt;=FL$5,$G160&lt;FL$5+GanttPeriod),"◆",IF(AND($E160&gt;=FL$5,$E160&lt;FL$5+GanttPeriod),"◇","")),IF(AND(FL$5&lt;=$F160,FL$5+GanttPeriod-1&gt;=$E160),"━","")))</f>
        <v/>
      </c>
      <c r="FM160" s="69" t="str">
        <f aca="false">IF($E160="","",IF($M160,IF(AND($G160&gt;=FM$5,$G160&lt;FM$5+GanttPeriod),"◆",IF(AND($E160&gt;=FM$5,$E160&lt;FM$5+GanttPeriod),"◇","")),IF(AND(FM$5&lt;=$F160,FM$5+GanttPeriod-1&gt;=$E160),"━","")))</f>
        <v/>
      </c>
    </row>
    <row r="161" customFormat="false" ht="15" hidden="false" customHeight="false" outlineLevel="0" collapsed="false">
      <c r="A161" s="62" t="str">
        <f aca="false">IF(Tasks!$D161="","",Tasks!$A161)</f>
        <v/>
      </c>
      <c r="B161" s="62" t="str">
        <f aca="false">IF(Tasks!$D161="","",Tasks!$B161)</f>
        <v/>
      </c>
      <c r="C161" s="63" t="str">
        <f aca="false">IF(Tasks!$D161="","",REPT("    ",Tasks!$AE161-1)&amp;Tasks!$D161)</f>
        <v/>
      </c>
      <c r="D161" s="62" t="str">
        <f aca="false">IF(Tasks!$D161="","",IF(Tasks!$AI161,NETWORKDAYS.INTL(Tasks!$R161,Tasks!$S161,WorkWeek,Holidays),N(Tasks!$F161)))</f>
        <v/>
      </c>
      <c r="E161" s="64" t="str">
        <f aca="false">IF(Tasks!$D161="","",Tasks!$N161)</f>
        <v/>
      </c>
      <c r="F161" s="64" t="str">
        <f aca="false">IF(Tasks!$D161="","",Tasks!$O161)</f>
        <v/>
      </c>
      <c r="G161" s="64" t="str">
        <f aca="false">IF(Tasks!$D161="","",Tasks!$R161)</f>
        <v/>
      </c>
      <c r="H161" s="64" t="str">
        <f aca="false">IF(Tasks!$D161="","",Tasks!$S161)</f>
        <v/>
      </c>
      <c r="I161" s="65" t="str">
        <f aca="false">IF(Tasks!$D161="","",Tasks!$V161)</f>
        <v/>
      </c>
      <c r="J161" s="63" t="str">
        <f aca="false">IF(Tasks!$D161="","",Tasks!$X161&amp;"")</f>
        <v/>
      </c>
      <c r="K161" s="66" t="str">
        <f aca="false">IF(Tasks!$D161="","",Tasks!$W161)</f>
        <v/>
      </c>
      <c r="L161" s="67" t="b">
        <f aca="false">IF(Tasks!$D161="",FALSE(),Tasks!$AI161)</f>
        <v>0</v>
      </c>
      <c r="M161" s="67" t="b">
        <f aca="false">AND(Tasks!$AJ161=1,N(Tasks!$F161)=0)</f>
        <v>0</v>
      </c>
      <c r="N161" s="68" t="n">
        <f aca="false">IF(AND(Tasks!$AJ161=1,NOT($M161),N($I161)&gt;0),$G161,0)</f>
        <v>0</v>
      </c>
      <c r="O161" s="68" t="n">
        <f aca="false">IF($N161=0,0,IF($I161&gt;=1,$H161,MAX($N161,$G161+ROUND(($H161-$G161+1)*$I161,0)-1)))</f>
        <v>0</v>
      </c>
      <c r="P161" s="68" t="n">
        <f aca="false">IF(OR(Tasks!$AJ161&lt;&gt;1,$M161,N($I161)&gt;=1),0,IF($O161&gt;0,$O161+1,$G161))</f>
        <v>0</v>
      </c>
      <c r="Q161" s="68" t="n">
        <f aca="false">IF($P161=0,0,$H161)</f>
        <v>0</v>
      </c>
      <c r="R161" s="67" t="b">
        <f aca="false">AND(Tasks!$D161&lt;&gt;"",N(Tasks!$T161)&gt;0)</f>
        <v>0</v>
      </c>
      <c r="T161" s="69" t="str">
        <f aca="false">IF($E161="","",IF($M161,IF(AND($G161&gt;=T$5,$G161&lt;T$5+GanttPeriod),"◆",IF(AND($E161&gt;=T$5,$E161&lt;T$5+GanttPeriod),"◇","")),IF(AND(T$5&lt;=$F161,T$5+GanttPeriod-1&gt;=$E161),"━","")))</f>
        <v/>
      </c>
      <c r="U161" s="69" t="str">
        <f aca="false">IF($E161="","",IF($M161,IF(AND($G161&gt;=U$5,$G161&lt;U$5+GanttPeriod),"◆",IF(AND($E161&gt;=U$5,$E161&lt;U$5+GanttPeriod),"◇","")),IF(AND(U$5&lt;=$F161,U$5+GanttPeriod-1&gt;=$E161),"━","")))</f>
        <v/>
      </c>
      <c r="V161" s="69" t="str">
        <f aca="false">IF($E161="","",IF($M161,IF(AND($G161&gt;=V$5,$G161&lt;V$5+GanttPeriod),"◆",IF(AND($E161&gt;=V$5,$E161&lt;V$5+GanttPeriod),"◇","")),IF(AND(V$5&lt;=$F161,V$5+GanttPeriod-1&gt;=$E161),"━","")))</f>
        <v/>
      </c>
      <c r="W161" s="69" t="str">
        <f aca="false">IF($E161="","",IF($M161,IF(AND($G161&gt;=W$5,$G161&lt;W$5+GanttPeriod),"◆",IF(AND($E161&gt;=W$5,$E161&lt;W$5+GanttPeriod),"◇","")),IF(AND(W$5&lt;=$F161,W$5+GanttPeriod-1&gt;=$E161),"━","")))</f>
        <v/>
      </c>
      <c r="X161" s="69" t="str">
        <f aca="false">IF($E161="","",IF($M161,IF(AND($G161&gt;=X$5,$G161&lt;X$5+GanttPeriod),"◆",IF(AND($E161&gt;=X$5,$E161&lt;X$5+GanttPeriod),"◇","")),IF(AND(X$5&lt;=$F161,X$5+GanttPeriod-1&gt;=$E161),"━","")))</f>
        <v/>
      </c>
      <c r="Y161" s="69" t="str">
        <f aca="false">IF($E161="","",IF($M161,IF(AND($G161&gt;=Y$5,$G161&lt;Y$5+GanttPeriod),"◆",IF(AND($E161&gt;=Y$5,$E161&lt;Y$5+GanttPeriod),"◇","")),IF(AND(Y$5&lt;=$F161,Y$5+GanttPeriod-1&gt;=$E161),"━","")))</f>
        <v/>
      </c>
      <c r="Z161" s="69" t="str">
        <f aca="false">IF($E161="","",IF($M161,IF(AND($G161&gt;=Z$5,$G161&lt;Z$5+GanttPeriod),"◆",IF(AND($E161&gt;=Z$5,$E161&lt;Z$5+GanttPeriod),"◇","")),IF(AND(Z$5&lt;=$F161,Z$5+GanttPeriod-1&gt;=$E161),"━","")))</f>
        <v/>
      </c>
      <c r="AA161" s="69" t="str">
        <f aca="false">IF($E161="","",IF($M161,IF(AND($G161&gt;=AA$5,$G161&lt;AA$5+GanttPeriod),"◆",IF(AND($E161&gt;=AA$5,$E161&lt;AA$5+GanttPeriod),"◇","")),IF(AND(AA$5&lt;=$F161,AA$5+GanttPeriod-1&gt;=$E161),"━","")))</f>
        <v/>
      </c>
      <c r="AB161" s="69" t="str">
        <f aca="false">IF($E161="","",IF($M161,IF(AND($G161&gt;=AB$5,$G161&lt;AB$5+GanttPeriod),"◆",IF(AND($E161&gt;=AB$5,$E161&lt;AB$5+GanttPeriod),"◇","")),IF(AND(AB$5&lt;=$F161,AB$5+GanttPeriod-1&gt;=$E161),"━","")))</f>
        <v/>
      </c>
      <c r="AC161" s="69" t="str">
        <f aca="false">IF($E161="","",IF($M161,IF(AND($G161&gt;=AC$5,$G161&lt;AC$5+GanttPeriod),"◆",IF(AND($E161&gt;=AC$5,$E161&lt;AC$5+GanttPeriod),"◇","")),IF(AND(AC$5&lt;=$F161,AC$5+GanttPeriod-1&gt;=$E161),"━","")))</f>
        <v/>
      </c>
      <c r="AD161" s="69" t="str">
        <f aca="false">IF($E161="","",IF($M161,IF(AND($G161&gt;=AD$5,$G161&lt;AD$5+GanttPeriod),"◆",IF(AND($E161&gt;=AD$5,$E161&lt;AD$5+GanttPeriod),"◇","")),IF(AND(AD$5&lt;=$F161,AD$5+GanttPeriod-1&gt;=$E161),"━","")))</f>
        <v/>
      </c>
      <c r="AE161" s="69" t="str">
        <f aca="false">IF($E161="","",IF($M161,IF(AND($G161&gt;=AE$5,$G161&lt;AE$5+GanttPeriod),"◆",IF(AND($E161&gt;=AE$5,$E161&lt;AE$5+GanttPeriod),"◇","")),IF(AND(AE$5&lt;=$F161,AE$5+GanttPeriod-1&gt;=$E161),"━","")))</f>
        <v/>
      </c>
      <c r="AF161" s="69" t="str">
        <f aca="false">IF($E161="","",IF($M161,IF(AND($G161&gt;=AF$5,$G161&lt;AF$5+GanttPeriod),"◆",IF(AND($E161&gt;=AF$5,$E161&lt;AF$5+GanttPeriod),"◇","")),IF(AND(AF$5&lt;=$F161,AF$5+GanttPeriod-1&gt;=$E161),"━","")))</f>
        <v/>
      </c>
      <c r="AG161" s="69" t="str">
        <f aca="false">IF($E161="","",IF($M161,IF(AND($G161&gt;=AG$5,$G161&lt;AG$5+GanttPeriod),"◆",IF(AND($E161&gt;=AG$5,$E161&lt;AG$5+GanttPeriod),"◇","")),IF(AND(AG$5&lt;=$F161,AG$5+GanttPeriod-1&gt;=$E161),"━","")))</f>
        <v/>
      </c>
      <c r="AH161" s="69" t="str">
        <f aca="false">IF($E161="","",IF($M161,IF(AND($G161&gt;=AH$5,$G161&lt;AH$5+GanttPeriod),"◆",IF(AND($E161&gt;=AH$5,$E161&lt;AH$5+GanttPeriod),"◇","")),IF(AND(AH$5&lt;=$F161,AH$5+GanttPeriod-1&gt;=$E161),"━","")))</f>
        <v/>
      </c>
      <c r="AI161" s="69" t="str">
        <f aca="false">IF($E161="","",IF($M161,IF(AND($G161&gt;=AI$5,$G161&lt;AI$5+GanttPeriod),"◆",IF(AND($E161&gt;=AI$5,$E161&lt;AI$5+GanttPeriod),"◇","")),IF(AND(AI$5&lt;=$F161,AI$5+GanttPeriod-1&gt;=$E161),"━","")))</f>
        <v/>
      </c>
      <c r="AJ161" s="69" t="str">
        <f aca="false">IF($E161="","",IF($M161,IF(AND($G161&gt;=AJ$5,$G161&lt;AJ$5+GanttPeriod),"◆",IF(AND($E161&gt;=AJ$5,$E161&lt;AJ$5+GanttPeriod),"◇","")),IF(AND(AJ$5&lt;=$F161,AJ$5+GanttPeriod-1&gt;=$E161),"━","")))</f>
        <v/>
      </c>
      <c r="AK161" s="69" t="str">
        <f aca="false">IF($E161="","",IF($M161,IF(AND($G161&gt;=AK$5,$G161&lt;AK$5+GanttPeriod),"◆",IF(AND($E161&gt;=AK$5,$E161&lt;AK$5+GanttPeriod),"◇","")),IF(AND(AK$5&lt;=$F161,AK$5+GanttPeriod-1&gt;=$E161),"━","")))</f>
        <v/>
      </c>
      <c r="AL161" s="69" t="str">
        <f aca="false">IF($E161="","",IF($M161,IF(AND($G161&gt;=AL$5,$G161&lt;AL$5+GanttPeriod),"◆",IF(AND($E161&gt;=AL$5,$E161&lt;AL$5+GanttPeriod),"◇","")),IF(AND(AL$5&lt;=$F161,AL$5+GanttPeriod-1&gt;=$E161),"━","")))</f>
        <v/>
      </c>
      <c r="AM161" s="69" t="str">
        <f aca="false">IF($E161="","",IF($M161,IF(AND($G161&gt;=AM$5,$G161&lt;AM$5+GanttPeriod),"◆",IF(AND($E161&gt;=AM$5,$E161&lt;AM$5+GanttPeriod),"◇","")),IF(AND(AM$5&lt;=$F161,AM$5+GanttPeriod-1&gt;=$E161),"━","")))</f>
        <v/>
      </c>
      <c r="AN161" s="69" t="str">
        <f aca="false">IF($E161="","",IF($M161,IF(AND($G161&gt;=AN$5,$G161&lt;AN$5+GanttPeriod),"◆",IF(AND($E161&gt;=AN$5,$E161&lt;AN$5+GanttPeriod),"◇","")),IF(AND(AN$5&lt;=$F161,AN$5+GanttPeriod-1&gt;=$E161),"━","")))</f>
        <v/>
      </c>
      <c r="AO161" s="69" t="str">
        <f aca="false">IF($E161="","",IF($M161,IF(AND($G161&gt;=AO$5,$G161&lt;AO$5+GanttPeriod),"◆",IF(AND($E161&gt;=AO$5,$E161&lt;AO$5+GanttPeriod),"◇","")),IF(AND(AO$5&lt;=$F161,AO$5+GanttPeriod-1&gt;=$E161),"━","")))</f>
        <v/>
      </c>
      <c r="AP161" s="69" t="str">
        <f aca="false">IF($E161="","",IF($M161,IF(AND($G161&gt;=AP$5,$G161&lt;AP$5+GanttPeriod),"◆",IF(AND($E161&gt;=AP$5,$E161&lt;AP$5+GanttPeriod),"◇","")),IF(AND(AP$5&lt;=$F161,AP$5+GanttPeriod-1&gt;=$E161),"━","")))</f>
        <v/>
      </c>
      <c r="AQ161" s="69" t="str">
        <f aca="false">IF($E161="","",IF($M161,IF(AND($G161&gt;=AQ$5,$G161&lt;AQ$5+GanttPeriod),"◆",IF(AND($E161&gt;=AQ$5,$E161&lt;AQ$5+GanttPeriod),"◇","")),IF(AND(AQ$5&lt;=$F161,AQ$5+GanttPeriod-1&gt;=$E161),"━","")))</f>
        <v/>
      </c>
      <c r="AR161" s="69" t="str">
        <f aca="false">IF($E161="","",IF($M161,IF(AND($G161&gt;=AR$5,$G161&lt;AR$5+GanttPeriod),"◆",IF(AND($E161&gt;=AR$5,$E161&lt;AR$5+GanttPeriod),"◇","")),IF(AND(AR$5&lt;=$F161,AR$5+GanttPeriod-1&gt;=$E161),"━","")))</f>
        <v/>
      </c>
      <c r="AS161" s="69" t="str">
        <f aca="false">IF($E161="","",IF($M161,IF(AND($G161&gt;=AS$5,$G161&lt;AS$5+GanttPeriod),"◆",IF(AND($E161&gt;=AS$5,$E161&lt;AS$5+GanttPeriod),"◇","")),IF(AND(AS$5&lt;=$F161,AS$5+GanttPeriod-1&gt;=$E161),"━","")))</f>
        <v/>
      </c>
      <c r="AT161" s="69" t="str">
        <f aca="false">IF($E161="","",IF($M161,IF(AND($G161&gt;=AT$5,$G161&lt;AT$5+GanttPeriod),"◆",IF(AND($E161&gt;=AT$5,$E161&lt;AT$5+GanttPeriod),"◇","")),IF(AND(AT$5&lt;=$F161,AT$5+GanttPeriod-1&gt;=$E161),"━","")))</f>
        <v/>
      </c>
      <c r="AU161" s="69" t="str">
        <f aca="false">IF($E161="","",IF($M161,IF(AND($G161&gt;=AU$5,$G161&lt;AU$5+GanttPeriod),"◆",IF(AND($E161&gt;=AU$5,$E161&lt;AU$5+GanttPeriod),"◇","")),IF(AND(AU$5&lt;=$F161,AU$5+GanttPeriod-1&gt;=$E161),"━","")))</f>
        <v/>
      </c>
      <c r="AV161" s="69" t="str">
        <f aca="false">IF($E161="","",IF($M161,IF(AND($G161&gt;=AV$5,$G161&lt;AV$5+GanttPeriod),"◆",IF(AND($E161&gt;=AV$5,$E161&lt;AV$5+GanttPeriod),"◇","")),IF(AND(AV$5&lt;=$F161,AV$5+GanttPeriod-1&gt;=$E161),"━","")))</f>
        <v/>
      </c>
      <c r="AW161" s="69" t="str">
        <f aca="false">IF($E161="","",IF($M161,IF(AND($G161&gt;=AW$5,$G161&lt;AW$5+GanttPeriod),"◆",IF(AND($E161&gt;=AW$5,$E161&lt;AW$5+GanttPeriod),"◇","")),IF(AND(AW$5&lt;=$F161,AW$5+GanttPeriod-1&gt;=$E161),"━","")))</f>
        <v/>
      </c>
      <c r="AX161" s="69" t="str">
        <f aca="false">IF($E161="","",IF($M161,IF(AND($G161&gt;=AX$5,$G161&lt;AX$5+GanttPeriod),"◆",IF(AND($E161&gt;=AX$5,$E161&lt;AX$5+GanttPeriod),"◇","")),IF(AND(AX$5&lt;=$F161,AX$5+GanttPeriod-1&gt;=$E161),"━","")))</f>
        <v/>
      </c>
      <c r="AY161" s="69" t="str">
        <f aca="false">IF($E161="","",IF($M161,IF(AND($G161&gt;=AY$5,$G161&lt;AY$5+GanttPeriod),"◆",IF(AND($E161&gt;=AY$5,$E161&lt;AY$5+GanttPeriod),"◇","")),IF(AND(AY$5&lt;=$F161,AY$5+GanttPeriod-1&gt;=$E161),"━","")))</f>
        <v/>
      </c>
      <c r="AZ161" s="69" t="str">
        <f aca="false">IF($E161="","",IF($M161,IF(AND($G161&gt;=AZ$5,$G161&lt;AZ$5+GanttPeriod),"◆",IF(AND($E161&gt;=AZ$5,$E161&lt;AZ$5+GanttPeriod),"◇","")),IF(AND(AZ$5&lt;=$F161,AZ$5+GanttPeriod-1&gt;=$E161),"━","")))</f>
        <v/>
      </c>
      <c r="BA161" s="69" t="str">
        <f aca="false">IF($E161="","",IF($M161,IF(AND($G161&gt;=BA$5,$G161&lt;BA$5+GanttPeriod),"◆",IF(AND($E161&gt;=BA$5,$E161&lt;BA$5+GanttPeriod),"◇","")),IF(AND(BA$5&lt;=$F161,BA$5+GanttPeriod-1&gt;=$E161),"━","")))</f>
        <v/>
      </c>
      <c r="BB161" s="69" t="str">
        <f aca="false">IF($E161="","",IF($M161,IF(AND($G161&gt;=BB$5,$G161&lt;BB$5+GanttPeriod),"◆",IF(AND($E161&gt;=BB$5,$E161&lt;BB$5+GanttPeriod),"◇","")),IF(AND(BB$5&lt;=$F161,BB$5+GanttPeriod-1&gt;=$E161),"━","")))</f>
        <v/>
      </c>
      <c r="BC161" s="69" t="str">
        <f aca="false">IF($E161="","",IF($M161,IF(AND($G161&gt;=BC$5,$G161&lt;BC$5+GanttPeriod),"◆",IF(AND($E161&gt;=BC$5,$E161&lt;BC$5+GanttPeriod),"◇","")),IF(AND(BC$5&lt;=$F161,BC$5+GanttPeriod-1&gt;=$E161),"━","")))</f>
        <v/>
      </c>
      <c r="BD161" s="69" t="str">
        <f aca="false">IF($E161="","",IF($M161,IF(AND($G161&gt;=BD$5,$G161&lt;BD$5+GanttPeriod),"◆",IF(AND($E161&gt;=BD$5,$E161&lt;BD$5+GanttPeriod),"◇","")),IF(AND(BD$5&lt;=$F161,BD$5+GanttPeriod-1&gt;=$E161),"━","")))</f>
        <v/>
      </c>
      <c r="BE161" s="69" t="str">
        <f aca="false">IF($E161="","",IF($M161,IF(AND($G161&gt;=BE$5,$G161&lt;BE$5+GanttPeriod),"◆",IF(AND($E161&gt;=BE$5,$E161&lt;BE$5+GanttPeriod),"◇","")),IF(AND(BE$5&lt;=$F161,BE$5+GanttPeriod-1&gt;=$E161),"━","")))</f>
        <v/>
      </c>
      <c r="BF161" s="69" t="str">
        <f aca="false">IF($E161="","",IF($M161,IF(AND($G161&gt;=BF$5,$G161&lt;BF$5+GanttPeriod),"◆",IF(AND($E161&gt;=BF$5,$E161&lt;BF$5+GanttPeriod),"◇","")),IF(AND(BF$5&lt;=$F161,BF$5+GanttPeriod-1&gt;=$E161),"━","")))</f>
        <v/>
      </c>
      <c r="BG161" s="69" t="str">
        <f aca="false">IF($E161="","",IF($M161,IF(AND($G161&gt;=BG$5,$G161&lt;BG$5+GanttPeriod),"◆",IF(AND($E161&gt;=BG$5,$E161&lt;BG$5+GanttPeriod),"◇","")),IF(AND(BG$5&lt;=$F161,BG$5+GanttPeriod-1&gt;=$E161),"━","")))</f>
        <v/>
      </c>
      <c r="BH161" s="69" t="str">
        <f aca="false">IF($E161="","",IF($M161,IF(AND($G161&gt;=BH$5,$G161&lt;BH$5+GanttPeriod),"◆",IF(AND($E161&gt;=BH$5,$E161&lt;BH$5+GanttPeriod),"◇","")),IF(AND(BH$5&lt;=$F161,BH$5+GanttPeriod-1&gt;=$E161),"━","")))</f>
        <v/>
      </c>
      <c r="BI161" s="69" t="str">
        <f aca="false">IF($E161="","",IF($M161,IF(AND($G161&gt;=BI$5,$G161&lt;BI$5+GanttPeriod),"◆",IF(AND($E161&gt;=BI$5,$E161&lt;BI$5+GanttPeriod),"◇","")),IF(AND(BI$5&lt;=$F161,BI$5+GanttPeriod-1&gt;=$E161),"━","")))</f>
        <v/>
      </c>
      <c r="BJ161" s="69" t="str">
        <f aca="false">IF($E161="","",IF($M161,IF(AND($G161&gt;=BJ$5,$G161&lt;BJ$5+GanttPeriod),"◆",IF(AND($E161&gt;=BJ$5,$E161&lt;BJ$5+GanttPeriod),"◇","")),IF(AND(BJ$5&lt;=$F161,BJ$5+GanttPeriod-1&gt;=$E161),"━","")))</f>
        <v/>
      </c>
      <c r="BK161" s="69" t="str">
        <f aca="false">IF($E161="","",IF($M161,IF(AND($G161&gt;=BK$5,$G161&lt;BK$5+GanttPeriod),"◆",IF(AND($E161&gt;=BK$5,$E161&lt;BK$5+GanttPeriod),"◇","")),IF(AND(BK$5&lt;=$F161,BK$5+GanttPeriod-1&gt;=$E161),"━","")))</f>
        <v/>
      </c>
      <c r="BL161" s="69" t="str">
        <f aca="false">IF($E161="","",IF($M161,IF(AND($G161&gt;=BL$5,$G161&lt;BL$5+GanttPeriod),"◆",IF(AND($E161&gt;=BL$5,$E161&lt;BL$5+GanttPeriod),"◇","")),IF(AND(BL$5&lt;=$F161,BL$5+GanttPeriod-1&gt;=$E161),"━","")))</f>
        <v/>
      </c>
      <c r="BM161" s="69" t="str">
        <f aca="false">IF($E161="","",IF($M161,IF(AND($G161&gt;=BM$5,$G161&lt;BM$5+GanttPeriod),"◆",IF(AND($E161&gt;=BM$5,$E161&lt;BM$5+GanttPeriod),"◇","")),IF(AND(BM$5&lt;=$F161,BM$5+GanttPeriod-1&gt;=$E161),"━","")))</f>
        <v/>
      </c>
      <c r="BN161" s="69" t="str">
        <f aca="false">IF($E161="","",IF($M161,IF(AND($G161&gt;=BN$5,$G161&lt;BN$5+GanttPeriod),"◆",IF(AND($E161&gt;=BN$5,$E161&lt;BN$5+GanttPeriod),"◇","")),IF(AND(BN$5&lt;=$F161,BN$5+GanttPeriod-1&gt;=$E161),"━","")))</f>
        <v/>
      </c>
      <c r="BO161" s="69" t="str">
        <f aca="false">IF($E161="","",IF($M161,IF(AND($G161&gt;=BO$5,$G161&lt;BO$5+GanttPeriod),"◆",IF(AND($E161&gt;=BO$5,$E161&lt;BO$5+GanttPeriod),"◇","")),IF(AND(BO$5&lt;=$F161,BO$5+GanttPeriod-1&gt;=$E161),"━","")))</f>
        <v/>
      </c>
      <c r="BP161" s="69" t="str">
        <f aca="false">IF($E161="","",IF($M161,IF(AND($G161&gt;=BP$5,$G161&lt;BP$5+GanttPeriod),"◆",IF(AND($E161&gt;=BP$5,$E161&lt;BP$5+GanttPeriod),"◇","")),IF(AND(BP$5&lt;=$F161,BP$5+GanttPeriod-1&gt;=$E161),"━","")))</f>
        <v/>
      </c>
      <c r="BQ161" s="69" t="str">
        <f aca="false">IF($E161="","",IF($M161,IF(AND($G161&gt;=BQ$5,$G161&lt;BQ$5+GanttPeriod),"◆",IF(AND($E161&gt;=BQ$5,$E161&lt;BQ$5+GanttPeriod),"◇","")),IF(AND(BQ$5&lt;=$F161,BQ$5+GanttPeriod-1&gt;=$E161),"━","")))</f>
        <v/>
      </c>
      <c r="BR161" s="69" t="str">
        <f aca="false">IF($E161="","",IF($M161,IF(AND($G161&gt;=BR$5,$G161&lt;BR$5+GanttPeriod),"◆",IF(AND($E161&gt;=BR$5,$E161&lt;BR$5+GanttPeriod),"◇","")),IF(AND(BR$5&lt;=$F161,BR$5+GanttPeriod-1&gt;=$E161),"━","")))</f>
        <v/>
      </c>
      <c r="BS161" s="69" t="str">
        <f aca="false">IF($E161="","",IF($M161,IF(AND($G161&gt;=BS$5,$G161&lt;BS$5+GanttPeriod),"◆",IF(AND($E161&gt;=BS$5,$E161&lt;BS$5+GanttPeriod),"◇","")),IF(AND(BS$5&lt;=$F161,BS$5+GanttPeriod-1&gt;=$E161),"━","")))</f>
        <v/>
      </c>
      <c r="BT161" s="69" t="str">
        <f aca="false">IF($E161="","",IF($M161,IF(AND($G161&gt;=BT$5,$G161&lt;BT$5+GanttPeriod),"◆",IF(AND($E161&gt;=BT$5,$E161&lt;BT$5+GanttPeriod),"◇","")),IF(AND(BT$5&lt;=$F161,BT$5+GanttPeriod-1&gt;=$E161),"━","")))</f>
        <v/>
      </c>
      <c r="BU161" s="69" t="str">
        <f aca="false">IF($E161="","",IF($M161,IF(AND($G161&gt;=BU$5,$G161&lt;BU$5+GanttPeriod),"◆",IF(AND($E161&gt;=BU$5,$E161&lt;BU$5+GanttPeriod),"◇","")),IF(AND(BU$5&lt;=$F161,BU$5+GanttPeriod-1&gt;=$E161),"━","")))</f>
        <v/>
      </c>
      <c r="BV161" s="69" t="str">
        <f aca="false">IF($E161="","",IF($M161,IF(AND($G161&gt;=BV$5,$G161&lt;BV$5+GanttPeriod),"◆",IF(AND($E161&gt;=BV$5,$E161&lt;BV$5+GanttPeriod),"◇","")),IF(AND(BV$5&lt;=$F161,BV$5+GanttPeriod-1&gt;=$E161),"━","")))</f>
        <v/>
      </c>
      <c r="BW161" s="69" t="str">
        <f aca="false">IF($E161="","",IF($M161,IF(AND($G161&gt;=BW$5,$G161&lt;BW$5+GanttPeriod),"◆",IF(AND($E161&gt;=BW$5,$E161&lt;BW$5+GanttPeriod),"◇","")),IF(AND(BW$5&lt;=$F161,BW$5+GanttPeriod-1&gt;=$E161),"━","")))</f>
        <v/>
      </c>
      <c r="BX161" s="69" t="str">
        <f aca="false">IF($E161="","",IF($M161,IF(AND($G161&gt;=BX$5,$G161&lt;BX$5+GanttPeriod),"◆",IF(AND($E161&gt;=BX$5,$E161&lt;BX$5+GanttPeriod),"◇","")),IF(AND(BX$5&lt;=$F161,BX$5+GanttPeriod-1&gt;=$E161),"━","")))</f>
        <v/>
      </c>
      <c r="BY161" s="69" t="str">
        <f aca="false">IF($E161="","",IF($M161,IF(AND($G161&gt;=BY$5,$G161&lt;BY$5+GanttPeriod),"◆",IF(AND($E161&gt;=BY$5,$E161&lt;BY$5+GanttPeriod),"◇","")),IF(AND(BY$5&lt;=$F161,BY$5+GanttPeriod-1&gt;=$E161),"━","")))</f>
        <v/>
      </c>
      <c r="BZ161" s="69" t="str">
        <f aca="false">IF($E161="","",IF($M161,IF(AND($G161&gt;=BZ$5,$G161&lt;BZ$5+GanttPeriod),"◆",IF(AND($E161&gt;=BZ$5,$E161&lt;BZ$5+GanttPeriod),"◇","")),IF(AND(BZ$5&lt;=$F161,BZ$5+GanttPeriod-1&gt;=$E161),"━","")))</f>
        <v/>
      </c>
      <c r="CA161" s="69" t="str">
        <f aca="false">IF($E161="","",IF($M161,IF(AND($G161&gt;=CA$5,$G161&lt;CA$5+GanttPeriod),"◆",IF(AND($E161&gt;=CA$5,$E161&lt;CA$5+GanttPeriod),"◇","")),IF(AND(CA$5&lt;=$F161,CA$5+GanttPeriod-1&gt;=$E161),"━","")))</f>
        <v/>
      </c>
      <c r="CB161" s="69" t="str">
        <f aca="false">IF($E161="","",IF($M161,IF(AND($G161&gt;=CB$5,$G161&lt;CB$5+GanttPeriod),"◆",IF(AND($E161&gt;=CB$5,$E161&lt;CB$5+GanttPeriod),"◇","")),IF(AND(CB$5&lt;=$F161,CB$5+GanttPeriod-1&gt;=$E161),"━","")))</f>
        <v/>
      </c>
      <c r="CC161" s="69" t="str">
        <f aca="false">IF($E161="","",IF($M161,IF(AND($G161&gt;=CC$5,$G161&lt;CC$5+GanttPeriod),"◆",IF(AND($E161&gt;=CC$5,$E161&lt;CC$5+GanttPeriod),"◇","")),IF(AND(CC$5&lt;=$F161,CC$5+GanttPeriod-1&gt;=$E161),"━","")))</f>
        <v/>
      </c>
      <c r="CD161" s="69" t="str">
        <f aca="false">IF($E161="","",IF($M161,IF(AND($G161&gt;=CD$5,$G161&lt;CD$5+GanttPeriod),"◆",IF(AND($E161&gt;=CD$5,$E161&lt;CD$5+GanttPeriod),"◇","")),IF(AND(CD$5&lt;=$F161,CD$5+GanttPeriod-1&gt;=$E161),"━","")))</f>
        <v/>
      </c>
      <c r="CE161" s="69" t="str">
        <f aca="false">IF($E161="","",IF($M161,IF(AND($G161&gt;=CE$5,$G161&lt;CE$5+GanttPeriod),"◆",IF(AND($E161&gt;=CE$5,$E161&lt;CE$5+GanttPeriod),"◇","")),IF(AND(CE$5&lt;=$F161,CE$5+GanttPeriod-1&gt;=$E161),"━","")))</f>
        <v/>
      </c>
      <c r="CF161" s="69" t="str">
        <f aca="false">IF($E161="","",IF($M161,IF(AND($G161&gt;=CF$5,$G161&lt;CF$5+GanttPeriod),"◆",IF(AND($E161&gt;=CF$5,$E161&lt;CF$5+GanttPeriod),"◇","")),IF(AND(CF$5&lt;=$F161,CF$5+GanttPeriod-1&gt;=$E161),"━","")))</f>
        <v/>
      </c>
      <c r="CG161" s="69" t="str">
        <f aca="false">IF($E161="","",IF($M161,IF(AND($G161&gt;=CG$5,$G161&lt;CG$5+GanttPeriod),"◆",IF(AND($E161&gt;=CG$5,$E161&lt;CG$5+GanttPeriod),"◇","")),IF(AND(CG$5&lt;=$F161,CG$5+GanttPeriod-1&gt;=$E161),"━","")))</f>
        <v/>
      </c>
      <c r="CH161" s="69" t="str">
        <f aca="false">IF($E161="","",IF($M161,IF(AND($G161&gt;=CH$5,$G161&lt;CH$5+GanttPeriod),"◆",IF(AND($E161&gt;=CH$5,$E161&lt;CH$5+GanttPeriod),"◇","")),IF(AND(CH$5&lt;=$F161,CH$5+GanttPeriod-1&gt;=$E161),"━","")))</f>
        <v/>
      </c>
      <c r="CI161" s="69" t="str">
        <f aca="false">IF($E161="","",IF($M161,IF(AND($G161&gt;=CI$5,$G161&lt;CI$5+GanttPeriod),"◆",IF(AND($E161&gt;=CI$5,$E161&lt;CI$5+GanttPeriod),"◇","")),IF(AND(CI$5&lt;=$F161,CI$5+GanttPeriod-1&gt;=$E161),"━","")))</f>
        <v/>
      </c>
      <c r="CJ161" s="69" t="str">
        <f aca="false">IF($E161="","",IF($M161,IF(AND($G161&gt;=CJ$5,$G161&lt;CJ$5+GanttPeriod),"◆",IF(AND($E161&gt;=CJ$5,$E161&lt;CJ$5+GanttPeriod),"◇","")),IF(AND(CJ$5&lt;=$F161,CJ$5+GanttPeriod-1&gt;=$E161),"━","")))</f>
        <v/>
      </c>
      <c r="CK161" s="69" t="str">
        <f aca="false">IF($E161="","",IF($M161,IF(AND($G161&gt;=CK$5,$G161&lt;CK$5+GanttPeriod),"◆",IF(AND($E161&gt;=CK$5,$E161&lt;CK$5+GanttPeriod),"◇","")),IF(AND(CK$5&lt;=$F161,CK$5+GanttPeriod-1&gt;=$E161),"━","")))</f>
        <v/>
      </c>
      <c r="CL161" s="69" t="str">
        <f aca="false">IF($E161="","",IF($M161,IF(AND($G161&gt;=CL$5,$G161&lt;CL$5+GanttPeriod),"◆",IF(AND($E161&gt;=CL$5,$E161&lt;CL$5+GanttPeriod),"◇","")),IF(AND(CL$5&lt;=$F161,CL$5+GanttPeriod-1&gt;=$E161),"━","")))</f>
        <v/>
      </c>
      <c r="CM161" s="69" t="str">
        <f aca="false">IF($E161="","",IF($M161,IF(AND($G161&gt;=CM$5,$G161&lt;CM$5+GanttPeriod),"◆",IF(AND($E161&gt;=CM$5,$E161&lt;CM$5+GanttPeriod),"◇","")),IF(AND(CM$5&lt;=$F161,CM$5+GanttPeriod-1&gt;=$E161),"━","")))</f>
        <v/>
      </c>
      <c r="CN161" s="69" t="str">
        <f aca="false">IF($E161="","",IF($M161,IF(AND($G161&gt;=CN$5,$G161&lt;CN$5+GanttPeriod),"◆",IF(AND($E161&gt;=CN$5,$E161&lt;CN$5+GanttPeriod),"◇","")),IF(AND(CN$5&lt;=$F161,CN$5+GanttPeriod-1&gt;=$E161),"━","")))</f>
        <v/>
      </c>
      <c r="CO161" s="69" t="str">
        <f aca="false">IF($E161="","",IF($M161,IF(AND($G161&gt;=CO$5,$G161&lt;CO$5+GanttPeriod),"◆",IF(AND($E161&gt;=CO$5,$E161&lt;CO$5+GanttPeriod),"◇","")),IF(AND(CO$5&lt;=$F161,CO$5+GanttPeriod-1&gt;=$E161),"━","")))</f>
        <v/>
      </c>
      <c r="CP161" s="69" t="str">
        <f aca="false">IF($E161="","",IF($M161,IF(AND($G161&gt;=CP$5,$G161&lt;CP$5+GanttPeriod),"◆",IF(AND($E161&gt;=CP$5,$E161&lt;CP$5+GanttPeriod),"◇","")),IF(AND(CP$5&lt;=$F161,CP$5+GanttPeriod-1&gt;=$E161),"━","")))</f>
        <v/>
      </c>
      <c r="CQ161" s="69" t="str">
        <f aca="false">IF($E161="","",IF($M161,IF(AND($G161&gt;=CQ$5,$G161&lt;CQ$5+GanttPeriod),"◆",IF(AND($E161&gt;=CQ$5,$E161&lt;CQ$5+GanttPeriod),"◇","")),IF(AND(CQ$5&lt;=$F161,CQ$5+GanttPeriod-1&gt;=$E161),"━","")))</f>
        <v/>
      </c>
      <c r="CR161" s="69" t="str">
        <f aca="false">IF($E161="","",IF($M161,IF(AND($G161&gt;=CR$5,$G161&lt;CR$5+GanttPeriod),"◆",IF(AND($E161&gt;=CR$5,$E161&lt;CR$5+GanttPeriod),"◇","")),IF(AND(CR$5&lt;=$F161,CR$5+GanttPeriod-1&gt;=$E161),"━","")))</f>
        <v/>
      </c>
      <c r="CS161" s="69" t="str">
        <f aca="false">IF($E161="","",IF($M161,IF(AND($G161&gt;=CS$5,$G161&lt;CS$5+GanttPeriod),"◆",IF(AND($E161&gt;=CS$5,$E161&lt;CS$5+GanttPeriod),"◇","")),IF(AND(CS$5&lt;=$F161,CS$5+GanttPeriod-1&gt;=$E161),"━","")))</f>
        <v/>
      </c>
      <c r="CT161" s="69" t="str">
        <f aca="false">IF($E161="","",IF($M161,IF(AND($G161&gt;=CT$5,$G161&lt;CT$5+GanttPeriod),"◆",IF(AND($E161&gt;=CT$5,$E161&lt;CT$5+GanttPeriod),"◇","")),IF(AND(CT$5&lt;=$F161,CT$5+GanttPeriod-1&gt;=$E161),"━","")))</f>
        <v/>
      </c>
      <c r="CU161" s="69" t="str">
        <f aca="false">IF($E161="","",IF($M161,IF(AND($G161&gt;=CU$5,$G161&lt;CU$5+GanttPeriod),"◆",IF(AND($E161&gt;=CU$5,$E161&lt;CU$5+GanttPeriod),"◇","")),IF(AND(CU$5&lt;=$F161,CU$5+GanttPeriod-1&gt;=$E161),"━","")))</f>
        <v/>
      </c>
      <c r="CV161" s="69" t="str">
        <f aca="false">IF($E161="","",IF($M161,IF(AND($G161&gt;=CV$5,$G161&lt;CV$5+GanttPeriod),"◆",IF(AND($E161&gt;=CV$5,$E161&lt;CV$5+GanttPeriod),"◇","")),IF(AND(CV$5&lt;=$F161,CV$5+GanttPeriod-1&gt;=$E161),"━","")))</f>
        <v/>
      </c>
      <c r="CW161" s="69" t="str">
        <f aca="false">IF($E161="","",IF($M161,IF(AND($G161&gt;=CW$5,$G161&lt;CW$5+GanttPeriod),"◆",IF(AND($E161&gt;=CW$5,$E161&lt;CW$5+GanttPeriod),"◇","")),IF(AND(CW$5&lt;=$F161,CW$5+GanttPeriod-1&gt;=$E161),"━","")))</f>
        <v/>
      </c>
      <c r="CX161" s="69" t="str">
        <f aca="false">IF($E161="","",IF($M161,IF(AND($G161&gt;=CX$5,$G161&lt;CX$5+GanttPeriod),"◆",IF(AND($E161&gt;=CX$5,$E161&lt;CX$5+GanttPeriod),"◇","")),IF(AND(CX$5&lt;=$F161,CX$5+GanttPeriod-1&gt;=$E161),"━","")))</f>
        <v/>
      </c>
      <c r="CY161" s="69" t="str">
        <f aca="false">IF($E161="","",IF($M161,IF(AND($G161&gt;=CY$5,$G161&lt;CY$5+GanttPeriod),"◆",IF(AND($E161&gt;=CY$5,$E161&lt;CY$5+GanttPeriod),"◇","")),IF(AND(CY$5&lt;=$F161,CY$5+GanttPeriod-1&gt;=$E161),"━","")))</f>
        <v/>
      </c>
      <c r="CZ161" s="69" t="str">
        <f aca="false">IF($E161="","",IF($M161,IF(AND($G161&gt;=CZ$5,$G161&lt;CZ$5+GanttPeriod),"◆",IF(AND($E161&gt;=CZ$5,$E161&lt;CZ$5+GanttPeriod),"◇","")),IF(AND(CZ$5&lt;=$F161,CZ$5+GanttPeriod-1&gt;=$E161),"━","")))</f>
        <v/>
      </c>
      <c r="DA161" s="69" t="str">
        <f aca="false">IF($E161="","",IF($M161,IF(AND($G161&gt;=DA$5,$G161&lt;DA$5+GanttPeriod),"◆",IF(AND($E161&gt;=DA$5,$E161&lt;DA$5+GanttPeriod),"◇","")),IF(AND(DA$5&lt;=$F161,DA$5+GanttPeriod-1&gt;=$E161),"━","")))</f>
        <v/>
      </c>
      <c r="DB161" s="69" t="str">
        <f aca="false">IF($E161="","",IF($M161,IF(AND($G161&gt;=DB$5,$G161&lt;DB$5+GanttPeriod),"◆",IF(AND($E161&gt;=DB$5,$E161&lt;DB$5+GanttPeriod),"◇","")),IF(AND(DB$5&lt;=$F161,DB$5+GanttPeriod-1&gt;=$E161),"━","")))</f>
        <v/>
      </c>
      <c r="DC161" s="69" t="str">
        <f aca="false">IF($E161="","",IF($M161,IF(AND($G161&gt;=DC$5,$G161&lt;DC$5+GanttPeriod),"◆",IF(AND($E161&gt;=DC$5,$E161&lt;DC$5+GanttPeriod),"◇","")),IF(AND(DC$5&lt;=$F161,DC$5+GanttPeriod-1&gt;=$E161),"━","")))</f>
        <v/>
      </c>
      <c r="DD161" s="69" t="str">
        <f aca="false">IF($E161="","",IF($M161,IF(AND($G161&gt;=DD$5,$G161&lt;DD$5+GanttPeriod),"◆",IF(AND($E161&gt;=DD$5,$E161&lt;DD$5+GanttPeriod),"◇","")),IF(AND(DD$5&lt;=$F161,DD$5+GanttPeriod-1&gt;=$E161),"━","")))</f>
        <v/>
      </c>
      <c r="DE161" s="69" t="str">
        <f aca="false">IF($E161="","",IF($M161,IF(AND($G161&gt;=DE$5,$G161&lt;DE$5+GanttPeriod),"◆",IF(AND($E161&gt;=DE$5,$E161&lt;DE$5+GanttPeriod),"◇","")),IF(AND(DE$5&lt;=$F161,DE$5+GanttPeriod-1&gt;=$E161),"━","")))</f>
        <v/>
      </c>
      <c r="DF161" s="69" t="str">
        <f aca="false">IF($E161="","",IF($M161,IF(AND($G161&gt;=DF$5,$G161&lt;DF$5+GanttPeriod),"◆",IF(AND($E161&gt;=DF$5,$E161&lt;DF$5+GanttPeriod),"◇","")),IF(AND(DF$5&lt;=$F161,DF$5+GanttPeriod-1&gt;=$E161),"━","")))</f>
        <v/>
      </c>
      <c r="DG161" s="69" t="str">
        <f aca="false">IF($E161="","",IF($M161,IF(AND($G161&gt;=DG$5,$G161&lt;DG$5+GanttPeriod),"◆",IF(AND($E161&gt;=DG$5,$E161&lt;DG$5+GanttPeriod),"◇","")),IF(AND(DG$5&lt;=$F161,DG$5+GanttPeriod-1&gt;=$E161),"━","")))</f>
        <v/>
      </c>
      <c r="DH161" s="69" t="str">
        <f aca="false">IF($E161="","",IF($M161,IF(AND($G161&gt;=DH$5,$G161&lt;DH$5+GanttPeriod),"◆",IF(AND($E161&gt;=DH$5,$E161&lt;DH$5+GanttPeriod),"◇","")),IF(AND(DH$5&lt;=$F161,DH$5+GanttPeriod-1&gt;=$E161),"━","")))</f>
        <v/>
      </c>
      <c r="DI161" s="69" t="str">
        <f aca="false">IF($E161="","",IF($M161,IF(AND($G161&gt;=DI$5,$G161&lt;DI$5+GanttPeriod),"◆",IF(AND($E161&gt;=DI$5,$E161&lt;DI$5+GanttPeriod),"◇","")),IF(AND(DI$5&lt;=$F161,DI$5+GanttPeriod-1&gt;=$E161),"━","")))</f>
        <v/>
      </c>
      <c r="DJ161" s="69" t="str">
        <f aca="false">IF($E161="","",IF($M161,IF(AND($G161&gt;=DJ$5,$G161&lt;DJ$5+GanttPeriod),"◆",IF(AND($E161&gt;=DJ$5,$E161&lt;DJ$5+GanttPeriod),"◇","")),IF(AND(DJ$5&lt;=$F161,DJ$5+GanttPeriod-1&gt;=$E161),"━","")))</f>
        <v/>
      </c>
      <c r="DK161" s="69" t="str">
        <f aca="false">IF($E161="","",IF($M161,IF(AND($G161&gt;=DK$5,$G161&lt;DK$5+GanttPeriod),"◆",IF(AND($E161&gt;=DK$5,$E161&lt;DK$5+GanttPeriod),"◇","")),IF(AND(DK$5&lt;=$F161,DK$5+GanttPeriod-1&gt;=$E161),"━","")))</f>
        <v/>
      </c>
      <c r="DL161" s="69" t="str">
        <f aca="false">IF($E161="","",IF($M161,IF(AND($G161&gt;=DL$5,$G161&lt;DL$5+GanttPeriod),"◆",IF(AND($E161&gt;=DL$5,$E161&lt;DL$5+GanttPeriod),"◇","")),IF(AND(DL$5&lt;=$F161,DL$5+GanttPeriod-1&gt;=$E161),"━","")))</f>
        <v/>
      </c>
      <c r="DM161" s="69" t="str">
        <f aca="false">IF($E161="","",IF($M161,IF(AND($G161&gt;=DM$5,$G161&lt;DM$5+GanttPeriod),"◆",IF(AND($E161&gt;=DM$5,$E161&lt;DM$5+GanttPeriod),"◇","")),IF(AND(DM$5&lt;=$F161,DM$5+GanttPeriod-1&gt;=$E161),"━","")))</f>
        <v/>
      </c>
      <c r="DN161" s="69" t="str">
        <f aca="false">IF($E161="","",IF($M161,IF(AND($G161&gt;=DN$5,$G161&lt;DN$5+GanttPeriod),"◆",IF(AND($E161&gt;=DN$5,$E161&lt;DN$5+GanttPeriod),"◇","")),IF(AND(DN$5&lt;=$F161,DN$5+GanttPeriod-1&gt;=$E161),"━","")))</f>
        <v/>
      </c>
      <c r="DO161" s="69" t="str">
        <f aca="false">IF($E161="","",IF($M161,IF(AND($G161&gt;=DO$5,$G161&lt;DO$5+GanttPeriod),"◆",IF(AND($E161&gt;=DO$5,$E161&lt;DO$5+GanttPeriod),"◇","")),IF(AND(DO$5&lt;=$F161,DO$5+GanttPeriod-1&gt;=$E161),"━","")))</f>
        <v/>
      </c>
      <c r="DP161" s="69" t="str">
        <f aca="false">IF($E161="","",IF($M161,IF(AND($G161&gt;=DP$5,$G161&lt;DP$5+GanttPeriod),"◆",IF(AND($E161&gt;=DP$5,$E161&lt;DP$5+GanttPeriod),"◇","")),IF(AND(DP$5&lt;=$F161,DP$5+GanttPeriod-1&gt;=$E161),"━","")))</f>
        <v/>
      </c>
      <c r="DQ161" s="69" t="str">
        <f aca="false">IF($E161="","",IF($M161,IF(AND($G161&gt;=DQ$5,$G161&lt;DQ$5+GanttPeriod),"◆",IF(AND($E161&gt;=DQ$5,$E161&lt;DQ$5+GanttPeriod),"◇","")),IF(AND(DQ$5&lt;=$F161,DQ$5+GanttPeriod-1&gt;=$E161),"━","")))</f>
        <v/>
      </c>
      <c r="DR161" s="69" t="str">
        <f aca="false">IF($E161="","",IF($M161,IF(AND($G161&gt;=DR$5,$G161&lt;DR$5+GanttPeriod),"◆",IF(AND($E161&gt;=DR$5,$E161&lt;DR$5+GanttPeriod),"◇","")),IF(AND(DR$5&lt;=$F161,DR$5+GanttPeriod-1&gt;=$E161),"━","")))</f>
        <v/>
      </c>
      <c r="DS161" s="69" t="str">
        <f aca="false">IF($E161="","",IF($M161,IF(AND($G161&gt;=DS$5,$G161&lt;DS$5+GanttPeriod),"◆",IF(AND($E161&gt;=DS$5,$E161&lt;DS$5+GanttPeriod),"◇","")),IF(AND(DS$5&lt;=$F161,DS$5+GanttPeriod-1&gt;=$E161),"━","")))</f>
        <v/>
      </c>
      <c r="DT161" s="69" t="str">
        <f aca="false">IF($E161="","",IF($M161,IF(AND($G161&gt;=DT$5,$G161&lt;DT$5+GanttPeriod),"◆",IF(AND($E161&gt;=DT$5,$E161&lt;DT$5+GanttPeriod),"◇","")),IF(AND(DT$5&lt;=$F161,DT$5+GanttPeriod-1&gt;=$E161),"━","")))</f>
        <v/>
      </c>
      <c r="DU161" s="69" t="str">
        <f aca="false">IF($E161="","",IF($M161,IF(AND($G161&gt;=DU$5,$G161&lt;DU$5+GanttPeriod),"◆",IF(AND($E161&gt;=DU$5,$E161&lt;DU$5+GanttPeriod),"◇","")),IF(AND(DU$5&lt;=$F161,DU$5+GanttPeriod-1&gt;=$E161),"━","")))</f>
        <v/>
      </c>
      <c r="DV161" s="69" t="str">
        <f aca="false">IF($E161="","",IF($M161,IF(AND($G161&gt;=DV$5,$G161&lt;DV$5+GanttPeriod),"◆",IF(AND($E161&gt;=DV$5,$E161&lt;DV$5+GanttPeriod),"◇","")),IF(AND(DV$5&lt;=$F161,DV$5+GanttPeriod-1&gt;=$E161),"━","")))</f>
        <v/>
      </c>
      <c r="DW161" s="69" t="str">
        <f aca="false">IF($E161="","",IF($M161,IF(AND($G161&gt;=DW$5,$G161&lt;DW$5+GanttPeriod),"◆",IF(AND($E161&gt;=DW$5,$E161&lt;DW$5+GanttPeriod),"◇","")),IF(AND(DW$5&lt;=$F161,DW$5+GanttPeriod-1&gt;=$E161),"━","")))</f>
        <v/>
      </c>
      <c r="DX161" s="69" t="str">
        <f aca="false">IF($E161="","",IF($M161,IF(AND($G161&gt;=DX$5,$G161&lt;DX$5+GanttPeriod),"◆",IF(AND($E161&gt;=DX$5,$E161&lt;DX$5+GanttPeriod),"◇","")),IF(AND(DX$5&lt;=$F161,DX$5+GanttPeriod-1&gt;=$E161),"━","")))</f>
        <v/>
      </c>
      <c r="DY161" s="69" t="str">
        <f aca="false">IF($E161="","",IF($M161,IF(AND($G161&gt;=DY$5,$G161&lt;DY$5+GanttPeriod),"◆",IF(AND($E161&gt;=DY$5,$E161&lt;DY$5+GanttPeriod),"◇","")),IF(AND(DY$5&lt;=$F161,DY$5+GanttPeriod-1&gt;=$E161),"━","")))</f>
        <v/>
      </c>
      <c r="DZ161" s="69" t="str">
        <f aca="false">IF($E161="","",IF($M161,IF(AND($G161&gt;=DZ$5,$G161&lt;DZ$5+GanttPeriod),"◆",IF(AND($E161&gt;=DZ$5,$E161&lt;DZ$5+GanttPeriod),"◇","")),IF(AND(DZ$5&lt;=$F161,DZ$5+GanttPeriod-1&gt;=$E161),"━","")))</f>
        <v/>
      </c>
      <c r="EA161" s="69" t="str">
        <f aca="false">IF($E161="","",IF($M161,IF(AND($G161&gt;=EA$5,$G161&lt;EA$5+GanttPeriod),"◆",IF(AND($E161&gt;=EA$5,$E161&lt;EA$5+GanttPeriod),"◇","")),IF(AND(EA$5&lt;=$F161,EA$5+GanttPeriod-1&gt;=$E161),"━","")))</f>
        <v/>
      </c>
      <c r="EB161" s="69" t="str">
        <f aca="false">IF($E161="","",IF($M161,IF(AND($G161&gt;=EB$5,$G161&lt;EB$5+GanttPeriod),"◆",IF(AND($E161&gt;=EB$5,$E161&lt;EB$5+GanttPeriod),"◇","")),IF(AND(EB$5&lt;=$F161,EB$5+GanttPeriod-1&gt;=$E161),"━","")))</f>
        <v/>
      </c>
      <c r="EC161" s="69" t="str">
        <f aca="false">IF($E161="","",IF($M161,IF(AND($G161&gt;=EC$5,$G161&lt;EC$5+GanttPeriod),"◆",IF(AND($E161&gt;=EC$5,$E161&lt;EC$5+GanttPeriod),"◇","")),IF(AND(EC$5&lt;=$F161,EC$5+GanttPeriod-1&gt;=$E161),"━","")))</f>
        <v/>
      </c>
      <c r="ED161" s="69" t="str">
        <f aca="false">IF($E161="","",IF($M161,IF(AND($G161&gt;=ED$5,$G161&lt;ED$5+GanttPeriod),"◆",IF(AND($E161&gt;=ED$5,$E161&lt;ED$5+GanttPeriod),"◇","")),IF(AND(ED$5&lt;=$F161,ED$5+GanttPeriod-1&gt;=$E161),"━","")))</f>
        <v/>
      </c>
      <c r="EE161" s="69" t="str">
        <f aca="false">IF($E161="","",IF($M161,IF(AND($G161&gt;=EE$5,$G161&lt;EE$5+GanttPeriod),"◆",IF(AND($E161&gt;=EE$5,$E161&lt;EE$5+GanttPeriod),"◇","")),IF(AND(EE$5&lt;=$F161,EE$5+GanttPeriod-1&gt;=$E161),"━","")))</f>
        <v/>
      </c>
      <c r="EF161" s="69" t="str">
        <f aca="false">IF($E161="","",IF($M161,IF(AND($G161&gt;=EF$5,$G161&lt;EF$5+GanttPeriod),"◆",IF(AND($E161&gt;=EF$5,$E161&lt;EF$5+GanttPeriod),"◇","")),IF(AND(EF$5&lt;=$F161,EF$5+GanttPeriod-1&gt;=$E161),"━","")))</f>
        <v/>
      </c>
      <c r="EG161" s="69" t="str">
        <f aca="false">IF($E161="","",IF($M161,IF(AND($G161&gt;=EG$5,$G161&lt;EG$5+GanttPeriod),"◆",IF(AND($E161&gt;=EG$5,$E161&lt;EG$5+GanttPeriod),"◇","")),IF(AND(EG$5&lt;=$F161,EG$5+GanttPeriod-1&gt;=$E161),"━","")))</f>
        <v/>
      </c>
      <c r="EH161" s="69" t="str">
        <f aca="false">IF($E161="","",IF($M161,IF(AND($G161&gt;=EH$5,$G161&lt;EH$5+GanttPeriod),"◆",IF(AND($E161&gt;=EH$5,$E161&lt;EH$5+GanttPeriod),"◇","")),IF(AND(EH$5&lt;=$F161,EH$5+GanttPeriod-1&gt;=$E161),"━","")))</f>
        <v/>
      </c>
      <c r="EI161" s="69" t="str">
        <f aca="false">IF($E161="","",IF($M161,IF(AND($G161&gt;=EI$5,$G161&lt;EI$5+GanttPeriod),"◆",IF(AND($E161&gt;=EI$5,$E161&lt;EI$5+GanttPeriod),"◇","")),IF(AND(EI$5&lt;=$F161,EI$5+GanttPeriod-1&gt;=$E161),"━","")))</f>
        <v/>
      </c>
      <c r="EJ161" s="69" t="str">
        <f aca="false">IF($E161="","",IF($M161,IF(AND($G161&gt;=EJ$5,$G161&lt;EJ$5+GanttPeriod),"◆",IF(AND($E161&gt;=EJ$5,$E161&lt;EJ$5+GanttPeriod),"◇","")),IF(AND(EJ$5&lt;=$F161,EJ$5+GanttPeriod-1&gt;=$E161),"━","")))</f>
        <v/>
      </c>
      <c r="EK161" s="69" t="str">
        <f aca="false">IF($E161="","",IF($M161,IF(AND($G161&gt;=EK$5,$G161&lt;EK$5+GanttPeriod),"◆",IF(AND($E161&gt;=EK$5,$E161&lt;EK$5+GanttPeriod),"◇","")),IF(AND(EK$5&lt;=$F161,EK$5+GanttPeriod-1&gt;=$E161),"━","")))</f>
        <v/>
      </c>
      <c r="EL161" s="69" t="str">
        <f aca="false">IF($E161="","",IF($M161,IF(AND($G161&gt;=EL$5,$G161&lt;EL$5+GanttPeriod),"◆",IF(AND($E161&gt;=EL$5,$E161&lt;EL$5+GanttPeriod),"◇","")),IF(AND(EL$5&lt;=$F161,EL$5+GanttPeriod-1&gt;=$E161),"━","")))</f>
        <v/>
      </c>
      <c r="EM161" s="69" t="str">
        <f aca="false">IF($E161="","",IF($M161,IF(AND($G161&gt;=EM$5,$G161&lt;EM$5+GanttPeriod),"◆",IF(AND($E161&gt;=EM$5,$E161&lt;EM$5+GanttPeriod),"◇","")),IF(AND(EM$5&lt;=$F161,EM$5+GanttPeriod-1&gt;=$E161),"━","")))</f>
        <v/>
      </c>
      <c r="EN161" s="69" t="str">
        <f aca="false">IF($E161="","",IF($M161,IF(AND($G161&gt;=EN$5,$G161&lt;EN$5+GanttPeriod),"◆",IF(AND($E161&gt;=EN$5,$E161&lt;EN$5+GanttPeriod),"◇","")),IF(AND(EN$5&lt;=$F161,EN$5+GanttPeriod-1&gt;=$E161),"━","")))</f>
        <v/>
      </c>
      <c r="EO161" s="69" t="str">
        <f aca="false">IF($E161="","",IF($M161,IF(AND($G161&gt;=EO$5,$G161&lt;EO$5+GanttPeriod),"◆",IF(AND($E161&gt;=EO$5,$E161&lt;EO$5+GanttPeriod),"◇","")),IF(AND(EO$5&lt;=$F161,EO$5+GanttPeriod-1&gt;=$E161),"━","")))</f>
        <v/>
      </c>
      <c r="EP161" s="69" t="str">
        <f aca="false">IF($E161="","",IF($M161,IF(AND($G161&gt;=EP$5,$G161&lt;EP$5+GanttPeriod),"◆",IF(AND($E161&gt;=EP$5,$E161&lt;EP$5+GanttPeriod),"◇","")),IF(AND(EP$5&lt;=$F161,EP$5+GanttPeriod-1&gt;=$E161),"━","")))</f>
        <v/>
      </c>
      <c r="EQ161" s="69" t="str">
        <f aca="false">IF($E161="","",IF($M161,IF(AND($G161&gt;=EQ$5,$G161&lt;EQ$5+GanttPeriod),"◆",IF(AND($E161&gt;=EQ$5,$E161&lt;EQ$5+GanttPeriod),"◇","")),IF(AND(EQ$5&lt;=$F161,EQ$5+GanttPeriod-1&gt;=$E161),"━","")))</f>
        <v/>
      </c>
      <c r="ER161" s="69" t="str">
        <f aca="false">IF($E161="","",IF($M161,IF(AND($G161&gt;=ER$5,$G161&lt;ER$5+GanttPeriod),"◆",IF(AND($E161&gt;=ER$5,$E161&lt;ER$5+GanttPeriod),"◇","")),IF(AND(ER$5&lt;=$F161,ER$5+GanttPeriod-1&gt;=$E161),"━","")))</f>
        <v/>
      </c>
      <c r="ES161" s="69" t="str">
        <f aca="false">IF($E161="","",IF($M161,IF(AND($G161&gt;=ES$5,$G161&lt;ES$5+GanttPeriod),"◆",IF(AND($E161&gt;=ES$5,$E161&lt;ES$5+GanttPeriod),"◇","")),IF(AND(ES$5&lt;=$F161,ES$5+GanttPeriod-1&gt;=$E161),"━","")))</f>
        <v/>
      </c>
      <c r="ET161" s="69" t="str">
        <f aca="false">IF($E161="","",IF($M161,IF(AND($G161&gt;=ET$5,$G161&lt;ET$5+GanttPeriod),"◆",IF(AND($E161&gt;=ET$5,$E161&lt;ET$5+GanttPeriod),"◇","")),IF(AND(ET$5&lt;=$F161,ET$5+GanttPeriod-1&gt;=$E161),"━","")))</f>
        <v/>
      </c>
      <c r="EU161" s="69" t="str">
        <f aca="false">IF($E161="","",IF($M161,IF(AND($G161&gt;=EU$5,$G161&lt;EU$5+GanttPeriod),"◆",IF(AND($E161&gt;=EU$5,$E161&lt;EU$5+GanttPeriod),"◇","")),IF(AND(EU$5&lt;=$F161,EU$5+GanttPeriod-1&gt;=$E161),"━","")))</f>
        <v/>
      </c>
      <c r="EV161" s="69" t="str">
        <f aca="false">IF($E161="","",IF($M161,IF(AND($G161&gt;=EV$5,$G161&lt;EV$5+GanttPeriod),"◆",IF(AND($E161&gt;=EV$5,$E161&lt;EV$5+GanttPeriod),"◇","")),IF(AND(EV$5&lt;=$F161,EV$5+GanttPeriod-1&gt;=$E161),"━","")))</f>
        <v/>
      </c>
      <c r="EW161" s="69" t="str">
        <f aca="false">IF($E161="","",IF($M161,IF(AND($G161&gt;=EW$5,$G161&lt;EW$5+GanttPeriod),"◆",IF(AND($E161&gt;=EW$5,$E161&lt;EW$5+GanttPeriod),"◇","")),IF(AND(EW$5&lt;=$F161,EW$5+GanttPeriod-1&gt;=$E161),"━","")))</f>
        <v/>
      </c>
      <c r="EX161" s="69" t="str">
        <f aca="false">IF($E161="","",IF($M161,IF(AND($G161&gt;=EX$5,$G161&lt;EX$5+GanttPeriod),"◆",IF(AND($E161&gt;=EX$5,$E161&lt;EX$5+GanttPeriod),"◇","")),IF(AND(EX$5&lt;=$F161,EX$5+GanttPeriod-1&gt;=$E161),"━","")))</f>
        <v/>
      </c>
      <c r="EY161" s="69" t="str">
        <f aca="false">IF($E161="","",IF($M161,IF(AND($G161&gt;=EY$5,$G161&lt;EY$5+GanttPeriod),"◆",IF(AND($E161&gt;=EY$5,$E161&lt;EY$5+GanttPeriod),"◇","")),IF(AND(EY$5&lt;=$F161,EY$5+GanttPeriod-1&gt;=$E161),"━","")))</f>
        <v/>
      </c>
      <c r="EZ161" s="69" t="str">
        <f aca="false">IF($E161="","",IF($M161,IF(AND($G161&gt;=EZ$5,$G161&lt;EZ$5+GanttPeriod),"◆",IF(AND($E161&gt;=EZ$5,$E161&lt;EZ$5+GanttPeriod),"◇","")),IF(AND(EZ$5&lt;=$F161,EZ$5+GanttPeriod-1&gt;=$E161),"━","")))</f>
        <v/>
      </c>
      <c r="FA161" s="69" t="str">
        <f aca="false">IF($E161="","",IF($M161,IF(AND($G161&gt;=FA$5,$G161&lt;FA$5+GanttPeriod),"◆",IF(AND($E161&gt;=FA$5,$E161&lt;FA$5+GanttPeriod),"◇","")),IF(AND(FA$5&lt;=$F161,FA$5+GanttPeriod-1&gt;=$E161),"━","")))</f>
        <v/>
      </c>
      <c r="FB161" s="69" t="str">
        <f aca="false">IF($E161="","",IF($M161,IF(AND($G161&gt;=FB$5,$G161&lt;FB$5+GanttPeriod),"◆",IF(AND($E161&gt;=FB$5,$E161&lt;FB$5+GanttPeriod),"◇","")),IF(AND(FB$5&lt;=$F161,FB$5+GanttPeriod-1&gt;=$E161),"━","")))</f>
        <v/>
      </c>
      <c r="FC161" s="69" t="str">
        <f aca="false">IF($E161="","",IF($M161,IF(AND($G161&gt;=FC$5,$G161&lt;FC$5+GanttPeriod),"◆",IF(AND($E161&gt;=FC$5,$E161&lt;FC$5+GanttPeriod),"◇","")),IF(AND(FC$5&lt;=$F161,FC$5+GanttPeriod-1&gt;=$E161),"━","")))</f>
        <v/>
      </c>
      <c r="FD161" s="69" t="str">
        <f aca="false">IF($E161="","",IF($M161,IF(AND($G161&gt;=FD$5,$G161&lt;FD$5+GanttPeriod),"◆",IF(AND($E161&gt;=FD$5,$E161&lt;FD$5+GanttPeriod),"◇","")),IF(AND(FD$5&lt;=$F161,FD$5+GanttPeriod-1&gt;=$E161),"━","")))</f>
        <v/>
      </c>
      <c r="FE161" s="69" t="str">
        <f aca="false">IF($E161="","",IF($M161,IF(AND($G161&gt;=FE$5,$G161&lt;FE$5+GanttPeriod),"◆",IF(AND($E161&gt;=FE$5,$E161&lt;FE$5+GanttPeriod),"◇","")),IF(AND(FE$5&lt;=$F161,FE$5+GanttPeriod-1&gt;=$E161),"━","")))</f>
        <v/>
      </c>
      <c r="FF161" s="69" t="str">
        <f aca="false">IF($E161="","",IF($M161,IF(AND($G161&gt;=FF$5,$G161&lt;FF$5+GanttPeriod),"◆",IF(AND($E161&gt;=FF$5,$E161&lt;FF$5+GanttPeriod),"◇","")),IF(AND(FF$5&lt;=$F161,FF$5+GanttPeriod-1&gt;=$E161),"━","")))</f>
        <v/>
      </c>
      <c r="FG161" s="69" t="str">
        <f aca="false">IF($E161="","",IF($M161,IF(AND($G161&gt;=FG$5,$G161&lt;FG$5+GanttPeriod),"◆",IF(AND($E161&gt;=FG$5,$E161&lt;FG$5+GanttPeriod),"◇","")),IF(AND(FG$5&lt;=$F161,FG$5+GanttPeriod-1&gt;=$E161),"━","")))</f>
        <v/>
      </c>
      <c r="FH161" s="69" t="str">
        <f aca="false">IF($E161="","",IF($M161,IF(AND($G161&gt;=FH$5,$G161&lt;FH$5+GanttPeriod),"◆",IF(AND($E161&gt;=FH$5,$E161&lt;FH$5+GanttPeriod),"◇","")),IF(AND(FH$5&lt;=$F161,FH$5+GanttPeriod-1&gt;=$E161),"━","")))</f>
        <v/>
      </c>
      <c r="FI161" s="69" t="str">
        <f aca="false">IF($E161="","",IF($M161,IF(AND($G161&gt;=FI$5,$G161&lt;FI$5+GanttPeriod),"◆",IF(AND($E161&gt;=FI$5,$E161&lt;FI$5+GanttPeriod),"◇","")),IF(AND(FI$5&lt;=$F161,FI$5+GanttPeriod-1&gt;=$E161),"━","")))</f>
        <v/>
      </c>
      <c r="FJ161" s="69" t="str">
        <f aca="false">IF($E161="","",IF($M161,IF(AND($G161&gt;=FJ$5,$G161&lt;FJ$5+GanttPeriod),"◆",IF(AND($E161&gt;=FJ$5,$E161&lt;FJ$5+GanttPeriod),"◇","")),IF(AND(FJ$5&lt;=$F161,FJ$5+GanttPeriod-1&gt;=$E161),"━","")))</f>
        <v/>
      </c>
      <c r="FK161" s="69" t="str">
        <f aca="false">IF($E161="","",IF($M161,IF(AND($G161&gt;=FK$5,$G161&lt;FK$5+GanttPeriod),"◆",IF(AND($E161&gt;=FK$5,$E161&lt;FK$5+GanttPeriod),"◇","")),IF(AND(FK$5&lt;=$F161,FK$5+GanttPeriod-1&gt;=$E161),"━","")))</f>
        <v/>
      </c>
      <c r="FL161" s="69" t="str">
        <f aca="false">IF($E161="","",IF($M161,IF(AND($G161&gt;=FL$5,$G161&lt;FL$5+GanttPeriod),"◆",IF(AND($E161&gt;=FL$5,$E161&lt;FL$5+GanttPeriod),"◇","")),IF(AND(FL$5&lt;=$F161,FL$5+GanttPeriod-1&gt;=$E161),"━","")))</f>
        <v/>
      </c>
      <c r="FM161" s="69" t="str">
        <f aca="false">IF($E161="","",IF($M161,IF(AND($G161&gt;=FM$5,$G161&lt;FM$5+GanttPeriod),"◆",IF(AND($E161&gt;=FM$5,$E161&lt;FM$5+GanttPeriod),"◇","")),IF(AND(FM$5&lt;=$F161,FM$5+GanttPeriod-1&gt;=$E161),"━","")))</f>
        <v/>
      </c>
    </row>
    <row r="162" customFormat="false" ht="15" hidden="false" customHeight="false" outlineLevel="0" collapsed="false">
      <c r="A162" s="62" t="str">
        <f aca="false">IF(Tasks!$D162="","",Tasks!$A162)</f>
        <v/>
      </c>
      <c r="B162" s="62" t="str">
        <f aca="false">IF(Tasks!$D162="","",Tasks!$B162)</f>
        <v/>
      </c>
      <c r="C162" s="63" t="str">
        <f aca="false">IF(Tasks!$D162="","",REPT("    ",Tasks!$AE162-1)&amp;Tasks!$D162)</f>
        <v/>
      </c>
      <c r="D162" s="62" t="str">
        <f aca="false">IF(Tasks!$D162="","",IF(Tasks!$AI162,NETWORKDAYS.INTL(Tasks!$R162,Tasks!$S162,WorkWeek,Holidays),N(Tasks!$F162)))</f>
        <v/>
      </c>
      <c r="E162" s="64" t="str">
        <f aca="false">IF(Tasks!$D162="","",Tasks!$N162)</f>
        <v/>
      </c>
      <c r="F162" s="64" t="str">
        <f aca="false">IF(Tasks!$D162="","",Tasks!$O162)</f>
        <v/>
      </c>
      <c r="G162" s="64" t="str">
        <f aca="false">IF(Tasks!$D162="","",Tasks!$R162)</f>
        <v/>
      </c>
      <c r="H162" s="64" t="str">
        <f aca="false">IF(Tasks!$D162="","",Tasks!$S162)</f>
        <v/>
      </c>
      <c r="I162" s="65" t="str">
        <f aca="false">IF(Tasks!$D162="","",Tasks!$V162)</f>
        <v/>
      </c>
      <c r="J162" s="63" t="str">
        <f aca="false">IF(Tasks!$D162="","",Tasks!$X162&amp;"")</f>
        <v/>
      </c>
      <c r="K162" s="66" t="str">
        <f aca="false">IF(Tasks!$D162="","",Tasks!$W162)</f>
        <v/>
      </c>
      <c r="L162" s="67" t="b">
        <f aca="false">IF(Tasks!$D162="",FALSE(),Tasks!$AI162)</f>
        <v>0</v>
      </c>
      <c r="M162" s="67" t="b">
        <f aca="false">AND(Tasks!$AJ162=1,N(Tasks!$F162)=0)</f>
        <v>0</v>
      </c>
      <c r="N162" s="68" t="n">
        <f aca="false">IF(AND(Tasks!$AJ162=1,NOT($M162),N($I162)&gt;0),$G162,0)</f>
        <v>0</v>
      </c>
      <c r="O162" s="68" t="n">
        <f aca="false">IF($N162=0,0,IF($I162&gt;=1,$H162,MAX($N162,$G162+ROUND(($H162-$G162+1)*$I162,0)-1)))</f>
        <v>0</v>
      </c>
      <c r="P162" s="68" t="n">
        <f aca="false">IF(OR(Tasks!$AJ162&lt;&gt;1,$M162,N($I162)&gt;=1),0,IF($O162&gt;0,$O162+1,$G162))</f>
        <v>0</v>
      </c>
      <c r="Q162" s="68" t="n">
        <f aca="false">IF($P162=0,0,$H162)</f>
        <v>0</v>
      </c>
      <c r="R162" s="67" t="b">
        <f aca="false">AND(Tasks!$D162&lt;&gt;"",N(Tasks!$T162)&gt;0)</f>
        <v>0</v>
      </c>
      <c r="T162" s="69" t="str">
        <f aca="false">IF($E162="","",IF($M162,IF(AND($G162&gt;=T$5,$G162&lt;T$5+GanttPeriod),"◆",IF(AND($E162&gt;=T$5,$E162&lt;T$5+GanttPeriod),"◇","")),IF(AND(T$5&lt;=$F162,T$5+GanttPeriod-1&gt;=$E162),"━","")))</f>
        <v/>
      </c>
      <c r="U162" s="69" t="str">
        <f aca="false">IF($E162="","",IF($M162,IF(AND($G162&gt;=U$5,$G162&lt;U$5+GanttPeriod),"◆",IF(AND($E162&gt;=U$5,$E162&lt;U$5+GanttPeriod),"◇","")),IF(AND(U$5&lt;=$F162,U$5+GanttPeriod-1&gt;=$E162),"━","")))</f>
        <v/>
      </c>
      <c r="V162" s="69" t="str">
        <f aca="false">IF($E162="","",IF($M162,IF(AND($G162&gt;=V$5,$G162&lt;V$5+GanttPeriod),"◆",IF(AND($E162&gt;=V$5,$E162&lt;V$5+GanttPeriod),"◇","")),IF(AND(V$5&lt;=$F162,V$5+GanttPeriod-1&gt;=$E162),"━","")))</f>
        <v/>
      </c>
      <c r="W162" s="69" t="str">
        <f aca="false">IF($E162="","",IF($M162,IF(AND($G162&gt;=W$5,$G162&lt;W$5+GanttPeriod),"◆",IF(AND($E162&gt;=W$5,$E162&lt;W$5+GanttPeriod),"◇","")),IF(AND(W$5&lt;=$F162,W$5+GanttPeriod-1&gt;=$E162),"━","")))</f>
        <v/>
      </c>
      <c r="X162" s="69" t="str">
        <f aca="false">IF($E162="","",IF($M162,IF(AND($G162&gt;=X$5,$G162&lt;X$5+GanttPeriod),"◆",IF(AND($E162&gt;=X$5,$E162&lt;X$5+GanttPeriod),"◇","")),IF(AND(X$5&lt;=$F162,X$5+GanttPeriod-1&gt;=$E162),"━","")))</f>
        <v/>
      </c>
      <c r="Y162" s="69" t="str">
        <f aca="false">IF($E162="","",IF($M162,IF(AND($G162&gt;=Y$5,$G162&lt;Y$5+GanttPeriod),"◆",IF(AND($E162&gt;=Y$5,$E162&lt;Y$5+GanttPeriod),"◇","")),IF(AND(Y$5&lt;=$F162,Y$5+GanttPeriod-1&gt;=$E162),"━","")))</f>
        <v/>
      </c>
      <c r="Z162" s="69" t="str">
        <f aca="false">IF($E162="","",IF($M162,IF(AND($G162&gt;=Z$5,$G162&lt;Z$5+GanttPeriod),"◆",IF(AND($E162&gt;=Z$5,$E162&lt;Z$5+GanttPeriod),"◇","")),IF(AND(Z$5&lt;=$F162,Z$5+GanttPeriod-1&gt;=$E162),"━","")))</f>
        <v/>
      </c>
      <c r="AA162" s="69" t="str">
        <f aca="false">IF($E162="","",IF($M162,IF(AND($G162&gt;=AA$5,$G162&lt;AA$5+GanttPeriod),"◆",IF(AND($E162&gt;=AA$5,$E162&lt;AA$5+GanttPeriod),"◇","")),IF(AND(AA$5&lt;=$F162,AA$5+GanttPeriod-1&gt;=$E162),"━","")))</f>
        <v/>
      </c>
      <c r="AB162" s="69" t="str">
        <f aca="false">IF($E162="","",IF($M162,IF(AND($G162&gt;=AB$5,$G162&lt;AB$5+GanttPeriod),"◆",IF(AND($E162&gt;=AB$5,$E162&lt;AB$5+GanttPeriod),"◇","")),IF(AND(AB$5&lt;=$F162,AB$5+GanttPeriod-1&gt;=$E162),"━","")))</f>
        <v/>
      </c>
      <c r="AC162" s="69" t="str">
        <f aca="false">IF($E162="","",IF($M162,IF(AND($G162&gt;=AC$5,$G162&lt;AC$5+GanttPeriod),"◆",IF(AND($E162&gt;=AC$5,$E162&lt;AC$5+GanttPeriod),"◇","")),IF(AND(AC$5&lt;=$F162,AC$5+GanttPeriod-1&gt;=$E162),"━","")))</f>
        <v/>
      </c>
      <c r="AD162" s="69" t="str">
        <f aca="false">IF($E162="","",IF($M162,IF(AND($G162&gt;=AD$5,$G162&lt;AD$5+GanttPeriod),"◆",IF(AND($E162&gt;=AD$5,$E162&lt;AD$5+GanttPeriod),"◇","")),IF(AND(AD$5&lt;=$F162,AD$5+GanttPeriod-1&gt;=$E162),"━","")))</f>
        <v/>
      </c>
      <c r="AE162" s="69" t="str">
        <f aca="false">IF($E162="","",IF($M162,IF(AND($G162&gt;=AE$5,$G162&lt;AE$5+GanttPeriod),"◆",IF(AND($E162&gt;=AE$5,$E162&lt;AE$5+GanttPeriod),"◇","")),IF(AND(AE$5&lt;=$F162,AE$5+GanttPeriod-1&gt;=$E162),"━","")))</f>
        <v/>
      </c>
      <c r="AF162" s="69" t="str">
        <f aca="false">IF($E162="","",IF($M162,IF(AND($G162&gt;=AF$5,$G162&lt;AF$5+GanttPeriod),"◆",IF(AND($E162&gt;=AF$5,$E162&lt;AF$5+GanttPeriod),"◇","")),IF(AND(AF$5&lt;=$F162,AF$5+GanttPeriod-1&gt;=$E162),"━","")))</f>
        <v/>
      </c>
      <c r="AG162" s="69" t="str">
        <f aca="false">IF($E162="","",IF($M162,IF(AND($G162&gt;=AG$5,$G162&lt;AG$5+GanttPeriod),"◆",IF(AND($E162&gt;=AG$5,$E162&lt;AG$5+GanttPeriod),"◇","")),IF(AND(AG$5&lt;=$F162,AG$5+GanttPeriod-1&gt;=$E162),"━","")))</f>
        <v/>
      </c>
      <c r="AH162" s="69" t="str">
        <f aca="false">IF($E162="","",IF($M162,IF(AND($G162&gt;=AH$5,$G162&lt;AH$5+GanttPeriod),"◆",IF(AND($E162&gt;=AH$5,$E162&lt;AH$5+GanttPeriod),"◇","")),IF(AND(AH$5&lt;=$F162,AH$5+GanttPeriod-1&gt;=$E162),"━","")))</f>
        <v/>
      </c>
      <c r="AI162" s="69" t="str">
        <f aca="false">IF($E162="","",IF($M162,IF(AND($G162&gt;=AI$5,$G162&lt;AI$5+GanttPeriod),"◆",IF(AND($E162&gt;=AI$5,$E162&lt;AI$5+GanttPeriod),"◇","")),IF(AND(AI$5&lt;=$F162,AI$5+GanttPeriod-1&gt;=$E162),"━","")))</f>
        <v/>
      </c>
      <c r="AJ162" s="69" t="str">
        <f aca="false">IF($E162="","",IF($M162,IF(AND($G162&gt;=AJ$5,$G162&lt;AJ$5+GanttPeriod),"◆",IF(AND($E162&gt;=AJ$5,$E162&lt;AJ$5+GanttPeriod),"◇","")),IF(AND(AJ$5&lt;=$F162,AJ$5+GanttPeriod-1&gt;=$E162),"━","")))</f>
        <v/>
      </c>
      <c r="AK162" s="69" t="str">
        <f aca="false">IF($E162="","",IF($M162,IF(AND($G162&gt;=AK$5,$G162&lt;AK$5+GanttPeriod),"◆",IF(AND($E162&gt;=AK$5,$E162&lt;AK$5+GanttPeriod),"◇","")),IF(AND(AK$5&lt;=$F162,AK$5+GanttPeriod-1&gt;=$E162),"━","")))</f>
        <v/>
      </c>
      <c r="AL162" s="69" t="str">
        <f aca="false">IF($E162="","",IF($M162,IF(AND($G162&gt;=AL$5,$G162&lt;AL$5+GanttPeriod),"◆",IF(AND($E162&gt;=AL$5,$E162&lt;AL$5+GanttPeriod),"◇","")),IF(AND(AL$5&lt;=$F162,AL$5+GanttPeriod-1&gt;=$E162),"━","")))</f>
        <v/>
      </c>
      <c r="AM162" s="69" t="str">
        <f aca="false">IF($E162="","",IF($M162,IF(AND($G162&gt;=AM$5,$G162&lt;AM$5+GanttPeriod),"◆",IF(AND($E162&gt;=AM$5,$E162&lt;AM$5+GanttPeriod),"◇","")),IF(AND(AM$5&lt;=$F162,AM$5+GanttPeriod-1&gt;=$E162),"━","")))</f>
        <v/>
      </c>
      <c r="AN162" s="69" t="str">
        <f aca="false">IF($E162="","",IF($M162,IF(AND($G162&gt;=AN$5,$G162&lt;AN$5+GanttPeriod),"◆",IF(AND($E162&gt;=AN$5,$E162&lt;AN$5+GanttPeriod),"◇","")),IF(AND(AN$5&lt;=$F162,AN$5+GanttPeriod-1&gt;=$E162),"━","")))</f>
        <v/>
      </c>
      <c r="AO162" s="69" t="str">
        <f aca="false">IF($E162="","",IF($M162,IF(AND($G162&gt;=AO$5,$G162&lt;AO$5+GanttPeriod),"◆",IF(AND($E162&gt;=AO$5,$E162&lt;AO$5+GanttPeriod),"◇","")),IF(AND(AO$5&lt;=$F162,AO$5+GanttPeriod-1&gt;=$E162),"━","")))</f>
        <v/>
      </c>
      <c r="AP162" s="69" t="str">
        <f aca="false">IF($E162="","",IF($M162,IF(AND($G162&gt;=AP$5,$G162&lt;AP$5+GanttPeriod),"◆",IF(AND($E162&gt;=AP$5,$E162&lt;AP$5+GanttPeriod),"◇","")),IF(AND(AP$5&lt;=$F162,AP$5+GanttPeriod-1&gt;=$E162),"━","")))</f>
        <v/>
      </c>
      <c r="AQ162" s="69" t="str">
        <f aca="false">IF($E162="","",IF($M162,IF(AND($G162&gt;=AQ$5,$G162&lt;AQ$5+GanttPeriod),"◆",IF(AND($E162&gt;=AQ$5,$E162&lt;AQ$5+GanttPeriod),"◇","")),IF(AND(AQ$5&lt;=$F162,AQ$5+GanttPeriod-1&gt;=$E162),"━","")))</f>
        <v/>
      </c>
      <c r="AR162" s="69" t="str">
        <f aca="false">IF($E162="","",IF($M162,IF(AND($G162&gt;=AR$5,$G162&lt;AR$5+GanttPeriod),"◆",IF(AND($E162&gt;=AR$5,$E162&lt;AR$5+GanttPeriod),"◇","")),IF(AND(AR$5&lt;=$F162,AR$5+GanttPeriod-1&gt;=$E162),"━","")))</f>
        <v/>
      </c>
      <c r="AS162" s="69" t="str">
        <f aca="false">IF($E162="","",IF($M162,IF(AND($G162&gt;=AS$5,$G162&lt;AS$5+GanttPeriod),"◆",IF(AND($E162&gt;=AS$5,$E162&lt;AS$5+GanttPeriod),"◇","")),IF(AND(AS$5&lt;=$F162,AS$5+GanttPeriod-1&gt;=$E162),"━","")))</f>
        <v/>
      </c>
      <c r="AT162" s="69" t="str">
        <f aca="false">IF($E162="","",IF($M162,IF(AND($G162&gt;=AT$5,$G162&lt;AT$5+GanttPeriod),"◆",IF(AND($E162&gt;=AT$5,$E162&lt;AT$5+GanttPeriod),"◇","")),IF(AND(AT$5&lt;=$F162,AT$5+GanttPeriod-1&gt;=$E162),"━","")))</f>
        <v/>
      </c>
      <c r="AU162" s="69" t="str">
        <f aca="false">IF($E162="","",IF($M162,IF(AND($G162&gt;=AU$5,$G162&lt;AU$5+GanttPeriod),"◆",IF(AND($E162&gt;=AU$5,$E162&lt;AU$5+GanttPeriod),"◇","")),IF(AND(AU$5&lt;=$F162,AU$5+GanttPeriod-1&gt;=$E162),"━","")))</f>
        <v/>
      </c>
      <c r="AV162" s="69" t="str">
        <f aca="false">IF($E162="","",IF($M162,IF(AND($G162&gt;=AV$5,$G162&lt;AV$5+GanttPeriod),"◆",IF(AND($E162&gt;=AV$5,$E162&lt;AV$5+GanttPeriod),"◇","")),IF(AND(AV$5&lt;=$F162,AV$5+GanttPeriod-1&gt;=$E162),"━","")))</f>
        <v/>
      </c>
      <c r="AW162" s="69" t="str">
        <f aca="false">IF($E162="","",IF($M162,IF(AND($G162&gt;=AW$5,$G162&lt;AW$5+GanttPeriod),"◆",IF(AND($E162&gt;=AW$5,$E162&lt;AW$5+GanttPeriod),"◇","")),IF(AND(AW$5&lt;=$F162,AW$5+GanttPeriod-1&gt;=$E162),"━","")))</f>
        <v/>
      </c>
      <c r="AX162" s="69" t="str">
        <f aca="false">IF($E162="","",IF($M162,IF(AND($G162&gt;=AX$5,$G162&lt;AX$5+GanttPeriod),"◆",IF(AND($E162&gt;=AX$5,$E162&lt;AX$5+GanttPeriod),"◇","")),IF(AND(AX$5&lt;=$F162,AX$5+GanttPeriod-1&gt;=$E162),"━","")))</f>
        <v/>
      </c>
      <c r="AY162" s="69" t="str">
        <f aca="false">IF($E162="","",IF($M162,IF(AND($G162&gt;=AY$5,$G162&lt;AY$5+GanttPeriod),"◆",IF(AND($E162&gt;=AY$5,$E162&lt;AY$5+GanttPeriod),"◇","")),IF(AND(AY$5&lt;=$F162,AY$5+GanttPeriod-1&gt;=$E162),"━","")))</f>
        <v/>
      </c>
      <c r="AZ162" s="69" t="str">
        <f aca="false">IF($E162="","",IF($M162,IF(AND($G162&gt;=AZ$5,$G162&lt;AZ$5+GanttPeriod),"◆",IF(AND($E162&gt;=AZ$5,$E162&lt;AZ$5+GanttPeriod),"◇","")),IF(AND(AZ$5&lt;=$F162,AZ$5+GanttPeriod-1&gt;=$E162),"━","")))</f>
        <v/>
      </c>
      <c r="BA162" s="69" t="str">
        <f aca="false">IF($E162="","",IF($M162,IF(AND($G162&gt;=BA$5,$G162&lt;BA$5+GanttPeriod),"◆",IF(AND($E162&gt;=BA$5,$E162&lt;BA$5+GanttPeriod),"◇","")),IF(AND(BA$5&lt;=$F162,BA$5+GanttPeriod-1&gt;=$E162),"━","")))</f>
        <v/>
      </c>
      <c r="BB162" s="69" t="str">
        <f aca="false">IF($E162="","",IF($M162,IF(AND($G162&gt;=BB$5,$G162&lt;BB$5+GanttPeriod),"◆",IF(AND($E162&gt;=BB$5,$E162&lt;BB$5+GanttPeriod),"◇","")),IF(AND(BB$5&lt;=$F162,BB$5+GanttPeriod-1&gt;=$E162),"━","")))</f>
        <v/>
      </c>
      <c r="BC162" s="69" t="str">
        <f aca="false">IF($E162="","",IF($M162,IF(AND($G162&gt;=BC$5,$G162&lt;BC$5+GanttPeriod),"◆",IF(AND($E162&gt;=BC$5,$E162&lt;BC$5+GanttPeriod),"◇","")),IF(AND(BC$5&lt;=$F162,BC$5+GanttPeriod-1&gt;=$E162),"━","")))</f>
        <v/>
      </c>
      <c r="BD162" s="69" t="str">
        <f aca="false">IF($E162="","",IF($M162,IF(AND($G162&gt;=BD$5,$G162&lt;BD$5+GanttPeriod),"◆",IF(AND($E162&gt;=BD$5,$E162&lt;BD$5+GanttPeriod),"◇","")),IF(AND(BD$5&lt;=$F162,BD$5+GanttPeriod-1&gt;=$E162),"━","")))</f>
        <v/>
      </c>
      <c r="BE162" s="69" t="str">
        <f aca="false">IF($E162="","",IF($M162,IF(AND($G162&gt;=BE$5,$G162&lt;BE$5+GanttPeriod),"◆",IF(AND($E162&gt;=BE$5,$E162&lt;BE$5+GanttPeriod),"◇","")),IF(AND(BE$5&lt;=$F162,BE$5+GanttPeriod-1&gt;=$E162),"━","")))</f>
        <v/>
      </c>
      <c r="BF162" s="69" t="str">
        <f aca="false">IF($E162="","",IF($M162,IF(AND($G162&gt;=BF$5,$G162&lt;BF$5+GanttPeriod),"◆",IF(AND($E162&gt;=BF$5,$E162&lt;BF$5+GanttPeriod),"◇","")),IF(AND(BF$5&lt;=$F162,BF$5+GanttPeriod-1&gt;=$E162),"━","")))</f>
        <v/>
      </c>
      <c r="BG162" s="69" t="str">
        <f aca="false">IF($E162="","",IF($M162,IF(AND($G162&gt;=BG$5,$G162&lt;BG$5+GanttPeriod),"◆",IF(AND($E162&gt;=BG$5,$E162&lt;BG$5+GanttPeriod),"◇","")),IF(AND(BG$5&lt;=$F162,BG$5+GanttPeriod-1&gt;=$E162),"━","")))</f>
        <v/>
      </c>
      <c r="BH162" s="69" t="str">
        <f aca="false">IF($E162="","",IF($M162,IF(AND($G162&gt;=BH$5,$G162&lt;BH$5+GanttPeriod),"◆",IF(AND($E162&gt;=BH$5,$E162&lt;BH$5+GanttPeriod),"◇","")),IF(AND(BH$5&lt;=$F162,BH$5+GanttPeriod-1&gt;=$E162),"━","")))</f>
        <v/>
      </c>
      <c r="BI162" s="69" t="str">
        <f aca="false">IF($E162="","",IF($M162,IF(AND($G162&gt;=BI$5,$G162&lt;BI$5+GanttPeriod),"◆",IF(AND($E162&gt;=BI$5,$E162&lt;BI$5+GanttPeriod),"◇","")),IF(AND(BI$5&lt;=$F162,BI$5+GanttPeriod-1&gt;=$E162),"━","")))</f>
        <v/>
      </c>
      <c r="BJ162" s="69" t="str">
        <f aca="false">IF($E162="","",IF($M162,IF(AND($G162&gt;=BJ$5,$G162&lt;BJ$5+GanttPeriod),"◆",IF(AND($E162&gt;=BJ$5,$E162&lt;BJ$5+GanttPeriod),"◇","")),IF(AND(BJ$5&lt;=$F162,BJ$5+GanttPeriod-1&gt;=$E162),"━","")))</f>
        <v/>
      </c>
      <c r="BK162" s="69" t="str">
        <f aca="false">IF($E162="","",IF($M162,IF(AND($G162&gt;=BK$5,$G162&lt;BK$5+GanttPeriod),"◆",IF(AND($E162&gt;=BK$5,$E162&lt;BK$5+GanttPeriod),"◇","")),IF(AND(BK$5&lt;=$F162,BK$5+GanttPeriod-1&gt;=$E162),"━","")))</f>
        <v/>
      </c>
      <c r="BL162" s="69" t="str">
        <f aca="false">IF($E162="","",IF($M162,IF(AND($G162&gt;=BL$5,$G162&lt;BL$5+GanttPeriod),"◆",IF(AND($E162&gt;=BL$5,$E162&lt;BL$5+GanttPeriod),"◇","")),IF(AND(BL$5&lt;=$F162,BL$5+GanttPeriod-1&gt;=$E162),"━","")))</f>
        <v/>
      </c>
      <c r="BM162" s="69" t="str">
        <f aca="false">IF($E162="","",IF($M162,IF(AND($G162&gt;=BM$5,$G162&lt;BM$5+GanttPeriod),"◆",IF(AND($E162&gt;=BM$5,$E162&lt;BM$5+GanttPeriod),"◇","")),IF(AND(BM$5&lt;=$F162,BM$5+GanttPeriod-1&gt;=$E162),"━","")))</f>
        <v/>
      </c>
      <c r="BN162" s="69" t="str">
        <f aca="false">IF($E162="","",IF($M162,IF(AND($G162&gt;=BN$5,$G162&lt;BN$5+GanttPeriod),"◆",IF(AND($E162&gt;=BN$5,$E162&lt;BN$5+GanttPeriod),"◇","")),IF(AND(BN$5&lt;=$F162,BN$5+GanttPeriod-1&gt;=$E162),"━","")))</f>
        <v/>
      </c>
      <c r="BO162" s="69" t="str">
        <f aca="false">IF($E162="","",IF($M162,IF(AND($G162&gt;=BO$5,$G162&lt;BO$5+GanttPeriod),"◆",IF(AND($E162&gt;=BO$5,$E162&lt;BO$5+GanttPeriod),"◇","")),IF(AND(BO$5&lt;=$F162,BO$5+GanttPeriod-1&gt;=$E162),"━","")))</f>
        <v/>
      </c>
      <c r="BP162" s="69" t="str">
        <f aca="false">IF($E162="","",IF($M162,IF(AND($G162&gt;=BP$5,$G162&lt;BP$5+GanttPeriod),"◆",IF(AND($E162&gt;=BP$5,$E162&lt;BP$5+GanttPeriod),"◇","")),IF(AND(BP$5&lt;=$F162,BP$5+GanttPeriod-1&gt;=$E162),"━","")))</f>
        <v/>
      </c>
      <c r="BQ162" s="69" t="str">
        <f aca="false">IF($E162="","",IF($M162,IF(AND($G162&gt;=BQ$5,$G162&lt;BQ$5+GanttPeriod),"◆",IF(AND($E162&gt;=BQ$5,$E162&lt;BQ$5+GanttPeriod),"◇","")),IF(AND(BQ$5&lt;=$F162,BQ$5+GanttPeriod-1&gt;=$E162),"━","")))</f>
        <v/>
      </c>
      <c r="BR162" s="69" t="str">
        <f aca="false">IF($E162="","",IF($M162,IF(AND($G162&gt;=BR$5,$G162&lt;BR$5+GanttPeriod),"◆",IF(AND($E162&gt;=BR$5,$E162&lt;BR$5+GanttPeriod),"◇","")),IF(AND(BR$5&lt;=$F162,BR$5+GanttPeriod-1&gt;=$E162),"━","")))</f>
        <v/>
      </c>
      <c r="BS162" s="69" t="str">
        <f aca="false">IF($E162="","",IF($M162,IF(AND($G162&gt;=BS$5,$G162&lt;BS$5+GanttPeriod),"◆",IF(AND($E162&gt;=BS$5,$E162&lt;BS$5+GanttPeriod),"◇","")),IF(AND(BS$5&lt;=$F162,BS$5+GanttPeriod-1&gt;=$E162),"━","")))</f>
        <v/>
      </c>
      <c r="BT162" s="69" t="str">
        <f aca="false">IF($E162="","",IF($M162,IF(AND($G162&gt;=BT$5,$G162&lt;BT$5+GanttPeriod),"◆",IF(AND($E162&gt;=BT$5,$E162&lt;BT$5+GanttPeriod),"◇","")),IF(AND(BT$5&lt;=$F162,BT$5+GanttPeriod-1&gt;=$E162),"━","")))</f>
        <v/>
      </c>
      <c r="BU162" s="69" t="str">
        <f aca="false">IF($E162="","",IF($M162,IF(AND($G162&gt;=BU$5,$G162&lt;BU$5+GanttPeriod),"◆",IF(AND($E162&gt;=BU$5,$E162&lt;BU$5+GanttPeriod),"◇","")),IF(AND(BU$5&lt;=$F162,BU$5+GanttPeriod-1&gt;=$E162),"━","")))</f>
        <v/>
      </c>
      <c r="BV162" s="69" t="str">
        <f aca="false">IF($E162="","",IF($M162,IF(AND($G162&gt;=BV$5,$G162&lt;BV$5+GanttPeriod),"◆",IF(AND($E162&gt;=BV$5,$E162&lt;BV$5+GanttPeriod),"◇","")),IF(AND(BV$5&lt;=$F162,BV$5+GanttPeriod-1&gt;=$E162),"━","")))</f>
        <v/>
      </c>
      <c r="BW162" s="69" t="str">
        <f aca="false">IF($E162="","",IF($M162,IF(AND($G162&gt;=BW$5,$G162&lt;BW$5+GanttPeriod),"◆",IF(AND($E162&gt;=BW$5,$E162&lt;BW$5+GanttPeriod),"◇","")),IF(AND(BW$5&lt;=$F162,BW$5+GanttPeriod-1&gt;=$E162),"━","")))</f>
        <v/>
      </c>
      <c r="BX162" s="69" t="str">
        <f aca="false">IF($E162="","",IF($M162,IF(AND($G162&gt;=BX$5,$G162&lt;BX$5+GanttPeriod),"◆",IF(AND($E162&gt;=BX$5,$E162&lt;BX$5+GanttPeriod),"◇","")),IF(AND(BX$5&lt;=$F162,BX$5+GanttPeriod-1&gt;=$E162),"━","")))</f>
        <v/>
      </c>
      <c r="BY162" s="69" t="str">
        <f aca="false">IF($E162="","",IF($M162,IF(AND($G162&gt;=BY$5,$G162&lt;BY$5+GanttPeriod),"◆",IF(AND($E162&gt;=BY$5,$E162&lt;BY$5+GanttPeriod),"◇","")),IF(AND(BY$5&lt;=$F162,BY$5+GanttPeriod-1&gt;=$E162),"━","")))</f>
        <v/>
      </c>
      <c r="BZ162" s="69" t="str">
        <f aca="false">IF($E162="","",IF($M162,IF(AND($G162&gt;=BZ$5,$G162&lt;BZ$5+GanttPeriod),"◆",IF(AND($E162&gt;=BZ$5,$E162&lt;BZ$5+GanttPeriod),"◇","")),IF(AND(BZ$5&lt;=$F162,BZ$5+GanttPeriod-1&gt;=$E162),"━","")))</f>
        <v/>
      </c>
      <c r="CA162" s="69" t="str">
        <f aca="false">IF($E162="","",IF($M162,IF(AND($G162&gt;=CA$5,$G162&lt;CA$5+GanttPeriod),"◆",IF(AND($E162&gt;=CA$5,$E162&lt;CA$5+GanttPeriod),"◇","")),IF(AND(CA$5&lt;=$F162,CA$5+GanttPeriod-1&gt;=$E162),"━","")))</f>
        <v/>
      </c>
      <c r="CB162" s="69" t="str">
        <f aca="false">IF($E162="","",IF($M162,IF(AND($G162&gt;=CB$5,$G162&lt;CB$5+GanttPeriod),"◆",IF(AND($E162&gt;=CB$5,$E162&lt;CB$5+GanttPeriod),"◇","")),IF(AND(CB$5&lt;=$F162,CB$5+GanttPeriod-1&gt;=$E162),"━","")))</f>
        <v/>
      </c>
      <c r="CC162" s="69" t="str">
        <f aca="false">IF($E162="","",IF($M162,IF(AND($G162&gt;=CC$5,$G162&lt;CC$5+GanttPeriod),"◆",IF(AND($E162&gt;=CC$5,$E162&lt;CC$5+GanttPeriod),"◇","")),IF(AND(CC$5&lt;=$F162,CC$5+GanttPeriod-1&gt;=$E162),"━","")))</f>
        <v/>
      </c>
      <c r="CD162" s="69" t="str">
        <f aca="false">IF($E162="","",IF($M162,IF(AND($G162&gt;=CD$5,$G162&lt;CD$5+GanttPeriod),"◆",IF(AND($E162&gt;=CD$5,$E162&lt;CD$5+GanttPeriod),"◇","")),IF(AND(CD$5&lt;=$F162,CD$5+GanttPeriod-1&gt;=$E162),"━","")))</f>
        <v/>
      </c>
      <c r="CE162" s="69" t="str">
        <f aca="false">IF($E162="","",IF($M162,IF(AND($G162&gt;=CE$5,$G162&lt;CE$5+GanttPeriod),"◆",IF(AND($E162&gt;=CE$5,$E162&lt;CE$5+GanttPeriod),"◇","")),IF(AND(CE$5&lt;=$F162,CE$5+GanttPeriod-1&gt;=$E162),"━","")))</f>
        <v/>
      </c>
      <c r="CF162" s="69" t="str">
        <f aca="false">IF($E162="","",IF($M162,IF(AND($G162&gt;=CF$5,$G162&lt;CF$5+GanttPeriod),"◆",IF(AND($E162&gt;=CF$5,$E162&lt;CF$5+GanttPeriod),"◇","")),IF(AND(CF$5&lt;=$F162,CF$5+GanttPeriod-1&gt;=$E162),"━","")))</f>
        <v/>
      </c>
      <c r="CG162" s="69" t="str">
        <f aca="false">IF($E162="","",IF($M162,IF(AND($G162&gt;=CG$5,$G162&lt;CG$5+GanttPeriod),"◆",IF(AND($E162&gt;=CG$5,$E162&lt;CG$5+GanttPeriod),"◇","")),IF(AND(CG$5&lt;=$F162,CG$5+GanttPeriod-1&gt;=$E162),"━","")))</f>
        <v/>
      </c>
      <c r="CH162" s="69" t="str">
        <f aca="false">IF($E162="","",IF($M162,IF(AND($G162&gt;=CH$5,$G162&lt;CH$5+GanttPeriod),"◆",IF(AND($E162&gt;=CH$5,$E162&lt;CH$5+GanttPeriod),"◇","")),IF(AND(CH$5&lt;=$F162,CH$5+GanttPeriod-1&gt;=$E162),"━","")))</f>
        <v/>
      </c>
      <c r="CI162" s="69" t="str">
        <f aca="false">IF($E162="","",IF($M162,IF(AND($G162&gt;=CI$5,$G162&lt;CI$5+GanttPeriod),"◆",IF(AND($E162&gt;=CI$5,$E162&lt;CI$5+GanttPeriod),"◇","")),IF(AND(CI$5&lt;=$F162,CI$5+GanttPeriod-1&gt;=$E162),"━","")))</f>
        <v/>
      </c>
      <c r="CJ162" s="69" t="str">
        <f aca="false">IF($E162="","",IF($M162,IF(AND($G162&gt;=CJ$5,$G162&lt;CJ$5+GanttPeriod),"◆",IF(AND($E162&gt;=CJ$5,$E162&lt;CJ$5+GanttPeriod),"◇","")),IF(AND(CJ$5&lt;=$F162,CJ$5+GanttPeriod-1&gt;=$E162),"━","")))</f>
        <v/>
      </c>
      <c r="CK162" s="69" t="str">
        <f aca="false">IF($E162="","",IF($M162,IF(AND($G162&gt;=CK$5,$G162&lt;CK$5+GanttPeriod),"◆",IF(AND($E162&gt;=CK$5,$E162&lt;CK$5+GanttPeriod),"◇","")),IF(AND(CK$5&lt;=$F162,CK$5+GanttPeriod-1&gt;=$E162),"━","")))</f>
        <v/>
      </c>
      <c r="CL162" s="69" t="str">
        <f aca="false">IF($E162="","",IF($M162,IF(AND($G162&gt;=CL$5,$G162&lt;CL$5+GanttPeriod),"◆",IF(AND($E162&gt;=CL$5,$E162&lt;CL$5+GanttPeriod),"◇","")),IF(AND(CL$5&lt;=$F162,CL$5+GanttPeriod-1&gt;=$E162),"━","")))</f>
        <v/>
      </c>
      <c r="CM162" s="69" t="str">
        <f aca="false">IF($E162="","",IF($M162,IF(AND($G162&gt;=CM$5,$G162&lt;CM$5+GanttPeriod),"◆",IF(AND($E162&gt;=CM$5,$E162&lt;CM$5+GanttPeriod),"◇","")),IF(AND(CM$5&lt;=$F162,CM$5+GanttPeriod-1&gt;=$E162),"━","")))</f>
        <v/>
      </c>
      <c r="CN162" s="69" t="str">
        <f aca="false">IF($E162="","",IF($M162,IF(AND($G162&gt;=CN$5,$G162&lt;CN$5+GanttPeriod),"◆",IF(AND($E162&gt;=CN$5,$E162&lt;CN$5+GanttPeriod),"◇","")),IF(AND(CN$5&lt;=$F162,CN$5+GanttPeriod-1&gt;=$E162),"━","")))</f>
        <v/>
      </c>
      <c r="CO162" s="69" t="str">
        <f aca="false">IF($E162="","",IF($M162,IF(AND($G162&gt;=CO$5,$G162&lt;CO$5+GanttPeriod),"◆",IF(AND($E162&gt;=CO$5,$E162&lt;CO$5+GanttPeriod),"◇","")),IF(AND(CO$5&lt;=$F162,CO$5+GanttPeriod-1&gt;=$E162),"━","")))</f>
        <v/>
      </c>
      <c r="CP162" s="69" t="str">
        <f aca="false">IF($E162="","",IF($M162,IF(AND($G162&gt;=CP$5,$G162&lt;CP$5+GanttPeriod),"◆",IF(AND($E162&gt;=CP$5,$E162&lt;CP$5+GanttPeriod),"◇","")),IF(AND(CP$5&lt;=$F162,CP$5+GanttPeriod-1&gt;=$E162),"━","")))</f>
        <v/>
      </c>
      <c r="CQ162" s="69" t="str">
        <f aca="false">IF($E162="","",IF($M162,IF(AND($G162&gt;=CQ$5,$G162&lt;CQ$5+GanttPeriod),"◆",IF(AND($E162&gt;=CQ$5,$E162&lt;CQ$5+GanttPeriod),"◇","")),IF(AND(CQ$5&lt;=$F162,CQ$5+GanttPeriod-1&gt;=$E162),"━","")))</f>
        <v/>
      </c>
      <c r="CR162" s="69" t="str">
        <f aca="false">IF($E162="","",IF($M162,IF(AND($G162&gt;=CR$5,$G162&lt;CR$5+GanttPeriod),"◆",IF(AND($E162&gt;=CR$5,$E162&lt;CR$5+GanttPeriod),"◇","")),IF(AND(CR$5&lt;=$F162,CR$5+GanttPeriod-1&gt;=$E162),"━","")))</f>
        <v/>
      </c>
      <c r="CS162" s="69" t="str">
        <f aca="false">IF($E162="","",IF($M162,IF(AND($G162&gt;=CS$5,$G162&lt;CS$5+GanttPeriod),"◆",IF(AND($E162&gt;=CS$5,$E162&lt;CS$5+GanttPeriod),"◇","")),IF(AND(CS$5&lt;=$F162,CS$5+GanttPeriod-1&gt;=$E162),"━","")))</f>
        <v/>
      </c>
      <c r="CT162" s="69" t="str">
        <f aca="false">IF($E162="","",IF($M162,IF(AND($G162&gt;=CT$5,$G162&lt;CT$5+GanttPeriod),"◆",IF(AND($E162&gt;=CT$5,$E162&lt;CT$5+GanttPeriod),"◇","")),IF(AND(CT$5&lt;=$F162,CT$5+GanttPeriod-1&gt;=$E162),"━","")))</f>
        <v/>
      </c>
      <c r="CU162" s="69" t="str">
        <f aca="false">IF($E162="","",IF($M162,IF(AND($G162&gt;=CU$5,$G162&lt;CU$5+GanttPeriod),"◆",IF(AND($E162&gt;=CU$5,$E162&lt;CU$5+GanttPeriod),"◇","")),IF(AND(CU$5&lt;=$F162,CU$5+GanttPeriod-1&gt;=$E162),"━","")))</f>
        <v/>
      </c>
      <c r="CV162" s="69" t="str">
        <f aca="false">IF($E162="","",IF($M162,IF(AND($G162&gt;=CV$5,$G162&lt;CV$5+GanttPeriod),"◆",IF(AND($E162&gt;=CV$5,$E162&lt;CV$5+GanttPeriod),"◇","")),IF(AND(CV$5&lt;=$F162,CV$5+GanttPeriod-1&gt;=$E162),"━","")))</f>
        <v/>
      </c>
      <c r="CW162" s="69" t="str">
        <f aca="false">IF($E162="","",IF($M162,IF(AND($G162&gt;=CW$5,$G162&lt;CW$5+GanttPeriod),"◆",IF(AND($E162&gt;=CW$5,$E162&lt;CW$5+GanttPeriod),"◇","")),IF(AND(CW$5&lt;=$F162,CW$5+GanttPeriod-1&gt;=$E162),"━","")))</f>
        <v/>
      </c>
      <c r="CX162" s="69" t="str">
        <f aca="false">IF($E162="","",IF($M162,IF(AND($G162&gt;=CX$5,$G162&lt;CX$5+GanttPeriod),"◆",IF(AND($E162&gt;=CX$5,$E162&lt;CX$5+GanttPeriod),"◇","")),IF(AND(CX$5&lt;=$F162,CX$5+GanttPeriod-1&gt;=$E162),"━","")))</f>
        <v/>
      </c>
      <c r="CY162" s="69" t="str">
        <f aca="false">IF($E162="","",IF($M162,IF(AND($G162&gt;=CY$5,$G162&lt;CY$5+GanttPeriod),"◆",IF(AND($E162&gt;=CY$5,$E162&lt;CY$5+GanttPeriod),"◇","")),IF(AND(CY$5&lt;=$F162,CY$5+GanttPeriod-1&gt;=$E162),"━","")))</f>
        <v/>
      </c>
      <c r="CZ162" s="69" t="str">
        <f aca="false">IF($E162="","",IF($M162,IF(AND($G162&gt;=CZ$5,$G162&lt;CZ$5+GanttPeriod),"◆",IF(AND($E162&gt;=CZ$5,$E162&lt;CZ$5+GanttPeriod),"◇","")),IF(AND(CZ$5&lt;=$F162,CZ$5+GanttPeriod-1&gt;=$E162),"━","")))</f>
        <v/>
      </c>
      <c r="DA162" s="69" t="str">
        <f aca="false">IF($E162="","",IF($M162,IF(AND($G162&gt;=DA$5,$G162&lt;DA$5+GanttPeriod),"◆",IF(AND($E162&gt;=DA$5,$E162&lt;DA$5+GanttPeriod),"◇","")),IF(AND(DA$5&lt;=$F162,DA$5+GanttPeriod-1&gt;=$E162),"━","")))</f>
        <v/>
      </c>
      <c r="DB162" s="69" t="str">
        <f aca="false">IF($E162="","",IF($M162,IF(AND($G162&gt;=DB$5,$G162&lt;DB$5+GanttPeriod),"◆",IF(AND($E162&gt;=DB$5,$E162&lt;DB$5+GanttPeriod),"◇","")),IF(AND(DB$5&lt;=$F162,DB$5+GanttPeriod-1&gt;=$E162),"━","")))</f>
        <v/>
      </c>
      <c r="DC162" s="69" t="str">
        <f aca="false">IF($E162="","",IF($M162,IF(AND($G162&gt;=DC$5,$G162&lt;DC$5+GanttPeriod),"◆",IF(AND($E162&gt;=DC$5,$E162&lt;DC$5+GanttPeriod),"◇","")),IF(AND(DC$5&lt;=$F162,DC$5+GanttPeriod-1&gt;=$E162),"━","")))</f>
        <v/>
      </c>
      <c r="DD162" s="69" t="str">
        <f aca="false">IF($E162="","",IF($M162,IF(AND($G162&gt;=DD$5,$G162&lt;DD$5+GanttPeriod),"◆",IF(AND($E162&gt;=DD$5,$E162&lt;DD$5+GanttPeriod),"◇","")),IF(AND(DD$5&lt;=$F162,DD$5+GanttPeriod-1&gt;=$E162),"━","")))</f>
        <v/>
      </c>
      <c r="DE162" s="69" t="str">
        <f aca="false">IF($E162="","",IF($M162,IF(AND($G162&gt;=DE$5,$G162&lt;DE$5+GanttPeriod),"◆",IF(AND($E162&gt;=DE$5,$E162&lt;DE$5+GanttPeriod),"◇","")),IF(AND(DE$5&lt;=$F162,DE$5+GanttPeriod-1&gt;=$E162),"━","")))</f>
        <v/>
      </c>
      <c r="DF162" s="69" t="str">
        <f aca="false">IF($E162="","",IF($M162,IF(AND($G162&gt;=DF$5,$G162&lt;DF$5+GanttPeriod),"◆",IF(AND($E162&gt;=DF$5,$E162&lt;DF$5+GanttPeriod),"◇","")),IF(AND(DF$5&lt;=$F162,DF$5+GanttPeriod-1&gt;=$E162),"━","")))</f>
        <v/>
      </c>
      <c r="DG162" s="69" t="str">
        <f aca="false">IF($E162="","",IF($M162,IF(AND($G162&gt;=DG$5,$G162&lt;DG$5+GanttPeriod),"◆",IF(AND($E162&gt;=DG$5,$E162&lt;DG$5+GanttPeriod),"◇","")),IF(AND(DG$5&lt;=$F162,DG$5+GanttPeriod-1&gt;=$E162),"━","")))</f>
        <v/>
      </c>
      <c r="DH162" s="69" t="str">
        <f aca="false">IF($E162="","",IF($M162,IF(AND($G162&gt;=DH$5,$G162&lt;DH$5+GanttPeriod),"◆",IF(AND($E162&gt;=DH$5,$E162&lt;DH$5+GanttPeriod),"◇","")),IF(AND(DH$5&lt;=$F162,DH$5+GanttPeriod-1&gt;=$E162),"━","")))</f>
        <v/>
      </c>
      <c r="DI162" s="69" t="str">
        <f aca="false">IF($E162="","",IF($M162,IF(AND($G162&gt;=DI$5,$G162&lt;DI$5+GanttPeriod),"◆",IF(AND($E162&gt;=DI$5,$E162&lt;DI$5+GanttPeriod),"◇","")),IF(AND(DI$5&lt;=$F162,DI$5+GanttPeriod-1&gt;=$E162),"━","")))</f>
        <v/>
      </c>
      <c r="DJ162" s="69" t="str">
        <f aca="false">IF($E162="","",IF($M162,IF(AND($G162&gt;=DJ$5,$G162&lt;DJ$5+GanttPeriod),"◆",IF(AND($E162&gt;=DJ$5,$E162&lt;DJ$5+GanttPeriod),"◇","")),IF(AND(DJ$5&lt;=$F162,DJ$5+GanttPeriod-1&gt;=$E162),"━","")))</f>
        <v/>
      </c>
      <c r="DK162" s="69" t="str">
        <f aca="false">IF($E162="","",IF($M162,IF(AND($G162&gt;=DK$5,$G162&lt;DK$5+GanttPeriod),"◆",IF(AND($E162&gt;=DK$5,$E162&lt;DK$5+GanttPeriod),"◇","")),IF(AND(DK$5&lt;=$F162,DK$5+GanttPeriod-1&gt;=$E162),"━","")))</f>
        <v/>
      </c>
      <c r="DL162" s="69" t="str">
        <f aca="false">IF($E162="","",IF($M162,IF(AND($G162&gt;=DL$5,$G162&lt;DL$5+GanttPeriod),"◆",IF(AND($E162&gt;=DL$5,$E162&lt;DL$5+GanttPeriod),"◇","")),IF(AND(DL$5&lt;=$F162,DL$5+GanttPeriod-1&gt;=$E162),"━","")))</f>
        <v/>
      </c>
      <c r="DM162" s="69" t="str">
        <f aca="false">IF($E162="","",IF($M162,IF(AND($G162&gt;=DM$5,$G162&lt;DM$5+GanttPeriod),"◆",IF(AND($E162&gt;=DM$5,$E162&lt;DM$5+GanttPeriod),"◇","")),IF(AND(DM$5&lt;=$F162,DM$5+GanttPeriod-1&gt;=$E162),"━","")))</f>
        <v/>
      </c>
      <c r="DN162" s="69" t="str">
        <f aca="false">IF($E162="","",IF($M162,IF(AND($G162&gt;=DN$5,$G162&lt;DN$5+GanttPeriod),"◆",IF(AND($E162&gt;=DN$5,$E162&lt;DN$5+GanttPeriod),"◇","")),IF(AND(DN$5&lt;=$F162,DN$5+GanttPeriod-1&gt;=$E162),"━","")))</f>
        <v/>
      </c>
      <c r="DO162" s="69" t="str">
        <f aca="false">IF($E162="","",IF($M162,IF(AND($G162&gt;=DO$5,$G162&lt;DO$5+GanttPeriod),"◆",IF(AND($E162&gt;=DO$5,$E162&lt;DO$5+GanttPeriod),"◇","")),IF(AND(DO$5&lt;=$F162,DO$5+GanttPeriod-1&gt;=$E162),"━","")))</f>
        <v/>
      </c>
      <c r="DP162" s="69" t="str">
        <f aca="false">IF($E162="","",IF($M162,IF(AND($G162&gt;=DP$5,$G162&lt;DP$5+GanttPeriod),"◆",IF(AND($E162&gt;=DP$5,$E162&lt;DP$5+GanttPeriod),"◇","")),IF(AND(DP$5&lt;=$F162,DP$5+GanttPeriod-1&gt;=$E162),"━","")))</f>
        <v/>
      </c>
      <c r="DQ162" s="69" t="str">
        <f aca="false">IF($E162="","",IF($M162,IF(AND($G162&gt;=DQ$5,$G162&lt;DQ$5+GanttPeriod),"◆",IF(AND($E162&gt;=DQ$5,$E162&lt;DQ$5+GanttPeriod),"◇","")),IF(AND(DQ$5&lt;=$F162,DQ$5+GanttPeriod-1&gt;=$E162),"━","")))</f>
        <v/>
      </c>
      <c r="DR162" s="69" t="str">
        <f aca="false">IF($E162="","",IF($M162,IF(AND($G162&gt;=DR$5,$G162&lt;DR$5+GanttPeriod),"◆",IF(AND($E162&gt;=DR$5,$E162&lt;DR$5+GanttPeriod),"◇","")),IF(AND(DR$5&lt;=$F162,DR$5+GanttPeriod-1&gt;=$E162),"━","")))</f>
        <v/>
      </c>
      <c r="DS162" s="69" t="str">
        <f aca="false">IF($E162="","",IF($M162,IF(AND($G162&gt;=DS$5,$G162&lt;DS$5+GanttPeriod),"◆",IF(AND($E162&gt;=DS$5,$E162&lt;DS$5+GanttPeriod),"◇","")),IF(AND(DS$5&lt;=$F162,DS$5+GanttPeriod-1&gt;=$E162),"━","")))</f>
        <v/>
      </c>
      <c r="DT162" s="69" t="str">
        <f aca="false">IF($E162="","",IF($M162,IF(AND($G162&gt;=DT$5,$G162&lt;DT$5+GanttPeriod),"◆",IF(AND($E162&gt;=DT$5,$E162&lt;DT$5+GanttPeriod),"◇","")),IF(AND(DT$5&lt;=$F162,DT$5+GanttPeriod-1&gt;=$E162),"━","")))</f>
        <v/>
      </c>
      <c r="DU162" s="69" t="str">
        <f aca="false">IF($E162="","",IF($M162,IF(AND($G162&gt;=DU$5,$G162&lt;DU$5+GanttPeriod),"◆",IF(AND($E162&gt;=DU$5,$E162&lt;DU$5+GanttPeriod),"◇","")),IF(AND(DU$5&lt;=$F162,DU$5+GanttPeriod-1&gt;=$E162),"━","")))</f>
        <v/>
      </c>
      <c r="DV162" s="69" t="str">
        <f aca="false">IF($E162="","",IF($M162,IF(AND($G162&gt;=DV$5,$G162&lt;DV$5+GanttPeriod),"◆",IF(AND($E162&gt;=DV$5,$E162&lt;DV$5+GanttPeriod),"◇","")),IF(AND(DV$5&lt;=$F162,DV$5+GanttPeriod-1&gt;=$E162),"━","")))</f>
        <v/>
      </c>
      <c r="DW162" s="69" t="str">
        <f aca="false">IF($E162="","",IF($M162,IF(AND($G162&gt;=DW$5,$G162&lt;DW$5+GanttPeriod),"◆",IF(AND($E162&gt;=DW$5,$E162&lt;DW$5+GanttPeriod),"◇","")),IF(AND(DW$5&lt;=$F162,DW$5+GanttPeriod-1&gt;=$E162),"━","")))</f>
        <v/>
      </c>
      <c r="DX162" s="69" t="str">
        <f aca="false">IF($E162="","",IF($M162,IF(AND($G162&gt;=DX$5,$G162&lt;DX$5+GanttPeriod),"◆",IF(AND($E162&gt;=DX$5,$E162&lt;DX$5+GanttPeriod),"◇","")),IF(AND(DX$5&lt;=$F162,DX$5+GanttPeriod-1&gt;=$E162),"━","")))</f>
        <v/>
      </c>
      <c r="DY162" s="69" t="str">
        <f aca="false">IF($E162="","",IF($M162,IF(AND($G162&gt;=DY$5,$G162&lt;DY$5+GanttPeriod),"◆",IF(AND($E162&gt;=DY$5,$E162&lt;DY$5+GanttPeriod),"◇","")),IF(AND(DY$5&lt;=$F162,DY$5+GanttPeriod-1&gt;=$E162),"━","")))</f>
        <v/>
      </c>
      <c r="DZ162" s="69" t="str">
        <f aca="false">IF($E162="","",IF($M162,IF(AND($G162&gt;=DZ$5,$G162&lt;DZ$5+GanttPeriod),"◆",IF(AND($E162&gt;=DZ$5,$E162&lt;DZ$5+GanttPeriod),"◇","")),IF(AND(DZ$5&lt;=$F162,DZ$5+GanttPeriod-1&gt;=$E162),"━","")))</f>
        <v/>
      </c>
      <c r="EA162" s="69" t="str">
        <f aca="false">IF($E162="","",IF($M162,IF(AND($G162&gt;=EA$5,$G162&lt;EA$5+GanttPeriod),"◆",IF(AND($E162&gt;=EA$5,$E162&lt;EA$5+GanttPeriod),"◇","")),IF(AND(EA$5&lt;=$F162,EA$5+GanttPeriod-1&gt;=$E162),"━","")))</f>
        <v/>
      </c>
      <c r="EB162" s="69" t="str">
        <f aca="false">IF($E162="","",IF($M162,IF(AND($G162&gt;=EB$5,$G162&lt;EB$5+GanttPeriod),"◆",IF(AND($E162&gt;=EB$5,$E162&lt;EB$5+GanttPeriod),"◇","")),IF(AND(EB$5&lt;=$F162,EB$5+GanttPeriod-1&gt;=$E162),"━","")))</f>
        <v/>
      </c>
      <c r="EC162" s="69" t="str">
        <f aca="false">IF($E162="","",IF($M162,IF(AND($G162&gt;=EC$5,$G162&lt;EC$5+GanttPeriod),"◆",IF(AND($E162&gt;=EC$5,$E162&lt;EC$5+GanttPeriod),"◇","")),IF(AND(EC$5&lt;=$F162,EC$5+GanttPeriod-1&gt;=$E162),"━","")))</f>
        <v/>
      </c>
      <c r="ED162" s="69" t="str">
        <f aca="false">IF($E162="","",IF($M162,IF(AND($G162&gt;=ED$5,$G162&lt;ED$5+GanttPeriod),"◆",IF(AND($E162&gt;=ED$5,$E162&lt;ED$5+GanttPeriod),"◇","")),IF(AND(ED$5&lt;=$F162,ED$5+GanttPeriod-1&gt;=$E162),"━","")))</f>
        <v/>
      </c>
      <c r="EE162" s="69" t="str">
        <f aca="false">IF($E162="","",IF($M162,IF(AND($G162&gt;=EE$5,$G162&lt;EE$5+GanttPeriod),"◆",IF(AND($E162&gt;=EE$5,$E162&lt;EE$5+GanttPeriod),"◇","")),IF(AND(EE$5&lt;=$F162,EE$5+GanttPeriod-1&gt;=$E162),"━","")))</f>
        <v/>
      </c>
      <c r="EF162" s="69" t="str">
        <f aca="false">IF($E162="","",IF($M162,IF(AND($G162&gt;=EF$5,$G162&lt;EF$5+GanttPeriod),"◆",IF(AND($E162&gt;=EF$5,$E162&lt;EF$5+GanttPeriod),"◇","")),IF(AND(EF$5&lt;=$F162,EF$5+GanttPeriod-1&gt;=$E162),"━","")))</f>
        <v/>
      </c>
      <c r="EG162" s="69" t="str">
        <f aca="false">IF($E162="","",IF($M162,IF(AND($G162&gt;=EG$5,$G162&lt;EG$5+GanttPeriod),"◆",IF(AND($E162&gt;=EG$5,$E162&lt;EG$5+GanttPeriod),"◇","")),IF(AND(EG$5&lt;=$F162,EG$5+GanttPeriod-1&gt;=$E162),"━","")))</f>
        <v/>
      </c>
      <c r="EH162" s="69" t="str">
        <f aca="false">IF($E162="","",IF($M162,IF(AND($G162&gt;=EH$5,$G162&lt;EH$5+GanttPeriod),"◆",IF(AND($E162&gt;=EH$5,$E162&lt;EH$5+GanttPeriod),"◇","")),IF(AND(EH$5&lt;=$F162,EH$5+GanttPeriod-1&gt;=$E162),"━","")))</f>
        <v/>
      </c>
      <c r="EI162" s="69" t="str">
        <f aca="false">IF($E162="","",IF($M162,IF(AND($G162&gt;=EI$5,$G162&lt;EI$5+GanttPeriod),"◆",IF(AND($E162&gt;=EI$5,$E162&lt;EI$5+GanttPeriod),"◇","")),IF(AND(EI$5&lt;=$F162,EI$5+GanttPeriod-1&gt;=$E162),"━","")))</f>
        <v/>
      </c>
      <c r="EJ162" s="69" t="str">
        <f aca="false">IF($E162="","",IF($M162,IF(AND($G162&gt;=EJ$5,$G162&lt;EJ$5+GanttPeriod),"◆",IF(AND($E162&gt;=EJ$5,$E162&lt;EJ$5+GanttPeriod),"◇","")),IF(AND(EJ$5&lt;=$F162,EJ$5+GanttPeriod-1&gt;=$E162),"━","")))</f>
        <v/>
      </c>
      <c r="EK162" s="69" t="str">
        <f aca="false">IF($E162="","",IF($M162,IF(AND($G162&gt;=EK$5,$G162&lt;EK$5+GanttPeriod),"◆",IF(AND($E162&gt;=EK$5,$E162&lt;EK$5+GanttPeriod),"◇","")),IF(AND(EK$5&lt;=$F162,EK$5+GanttPeriod-1&gt;=$E162),"━","")))</f>
        <v/>
      </c>
      <c r="EL162" s="69" t="str">
        <f aca="false">IF($E162="","",IF($M162,IF(AND($G162&gt;=EL$5,$G162&lt;EL$5+GanttPeriod),"◆",IF(AND($E162&gt;=EL$5,$E162&lt;EL$5+GanttPeriod),"◇","")),IF(AND(EL$5&lt;=$F162,EL$5+GanttPeriod-1&gt;=$E162),"━","")))</f>
        <v/>
      </c>
      <c r="EM162" s="69" t="str">
        <f aca="false">IF($E162="","",IF($M162,IF(AND($G162&gt;=EM$5,$G162&lt;EM$5+GanttPeriod),"◆",IF(AND($E162&gt;=EM$5,$E162&lt;EM$5+GanttPeriod),"◇","")),IF(AND(EM$5&lt;=$F162,EM$5+GanttPeriod-1&gt;=$E162),"━","")))</f>
        <v/>
      </c>
      <c r="EN162" s="69" t="str">
        <f aca="false">IF($E162="","",IF($M162,IF(AND($G162&gt;=EN$5,$G162&lt;EN$5+GanttPeriod),"◆",IF(AND($E162&gt;=EN$5,$E162&lt;EN$5+GanttPeriod),"◇","")),IF(AND(EN$5&lt;=$F162,EN$5+GanttPeriod-1&gt;=$E162),"━","")))</f>
        <v/>
      </c>
      <c r="EO162" s="69" t="str">
        <f aca="false">IF($E162="","",IF($M162,IF(AND($G162&gt;=EO$5,$G162&lt;EO$5+GanttPeriod),"◆",IF(AND($E162&gt;=EO$5,$E162&lt;EO$5+GanttPeriod),"◇","")),IF(AND(EO$5&lt;=$F162,EO$5+GanttPeriod-1&gt;=$E162),"━","")))</f>
        <v/>
      </c>
      <c r="EP162" s="69" t="str">
        <f aca="false">IF($E162="","",IF($M162,IF(AND($G162&gt;=EP$5,$G162&lt;EP$5+GanttPeriod),"◆",IF(AND($E162&gt;=EP$5,$E162&lt;EP$5+GanttPeriod),"◇","")),IF(AND(EP$5&lt;=$F162,EP$5+GanttPeriod-1&gt;=$E162),"━","")))</f>
        <v/>
      </c>
      <c r="EQ162" s="69" t="str">
        <f aca="false">IF($E162="","",IF($M162,IF(AND($G162&gt;=EQ$5,$G162&lt;EQ$5+GanttPeriod),"◆",IF(AND($E162&gt;=EQ$5,$E162&lt;EQ$5+GanttPeriod),"◇","")),IF(AND(EQ$5&lt;=$F162,EQ$5+GanttPeriod-1&gt;=$E162),"━","")))</f>
        <v/>
      </c>
      <c r="ER162" s="69" t="str">
        <f aca="false">IF($E162="","",IF($M162,IF(AND($G162&gt;=ER$5,$G162&lt;ER$5+GanttPeriod),"◆",IF(AND($E162&gt;=ER$5,$E162&lt;ER$5+GanttPeriod),"◇","")),IF(AND(ER$5&lt;=$F162,ER$5+GanttPeriod-1&gt;=$E162),"━","")))</f>
        <v/>
      </c>
      <c r="ES162" s="69" t="str">
        <f aca="false">IF($E162="","",IF($M162,IF(AND($G162&gt;=ES$5,$G162&lt;ES$5+GanttPeriod),"◆",IF(AND($E162&gt;=ES$5,$E162&lt;ES$5+GanttPeriod),"◇","")),IF(AND(ES$5&lt;=$F162,ES$5+GanttPeriod-1&gt;=$E162),"━","")))</f>
        <v/>
      </c>
      <c r="ET162" s="69" t="str">
        <f aca="false">IF($E162="","",IF($M162,IF(AND($G162&gt;=ET$5,$G162&lt;ET$5+GanttPeriod),"◆",IF(AND($E162&gt;=ET$5,$E162&lt;ET$5+GanttPeriod),"◇","")),IF(AND(ET$5&lt;=$F162,ET$5+GanttPeriod-1&gt;=$E162),"━","")))</f>
        <v/>
      </c>
      <c r="EU162" s="69" t="str">
        <f aca="false">IF($E162="","",IF($M162,IF(AND($G162&gt;=EU$5,$G162&lt;EU$5+GanttPeriod),"◆",IF(AND($E162&gt;=EU$5,$E162&lt;EU$5+GanttPeriod),"◇","")),IF(AND(EU$5&lt;=$F162,EU$5+GanttPeriod-1&gt;=$E162),"━","")))</f>
        <v/>
      </c>
      <c r="EV162" s="69" t="str">
        <f aca="false">IF($E162="","",IF($M162,IF(AND($G162&gt;=EV$5,$G162&lt;EV$5+GanttPeriod),"◆",IF(AND($E162&gt;=EV$5,$E162&lt;EV$5+GanttPeriod),"◇","")),IF(AND(EV$5&lt;=$F162,EV$5+GanttPeriod-1&gt;=$E162),"━","")))</f>
        <v/>
      </c>
      <c r="EW162" s="69" t="str">
        <f aca="false">IF($E162="","",IF($M162,IF(AND($G162&gt;=EW$5,$G162&lt;EW$5+GanttPeriod),"◆",IF(AND($E162&gt;=EW$5,$E162&lt;EW$5+GanttPeriod),"◇","")),IF(AND(EW$5&lt;=$F162,EW$5+GanttPeriod-1&gt;=$E162),"━","")))</f>
        <v/>
      </c>
      <c r="EX162" s="69" t="str">
        <f aca="false">IF($E162="","",IF($M162,IF(AND($G162&gt;=EX$5,$G162&lt;EX$5+GanttPeriod),"◆",IF(AND($E162&gt;=EX$5,$E162&lt;EX$5+GanttPeriod),"◇","")),IF(AND(EX$5&lt;=$F162,EX$5+GanttPeriod-1&gt;=$E162),"━","")))</f>
        <v/>
      </c>
      <c r="EY162" s="69" t="str">
        <f aca="false">IF($E162="","",IF($M162,IF(AND($G162&gt;=EY$5,$G162&lt;EY$5+GanttPeriod),"◆",IF(AND($E162&gt;=EY$5,$E162&lt;EY$5+GanttPeriod),"◇","")),IF(AND(EY$5&lt;=$F162,EY$5+GanttPeriod-1&gt;=$E162),"━","")))</f>
        <v/>
      </c>
      <c r="EZ162" s="69" t="str">
        <f aca="false">IF($E162="","",IF($M162,IF(AND($G162&gt;=EZ$5,$G162&lt;EZ$5+GanttPeriod),"◆",IF(AND($E162&gt;=EZ$5,$E162&lt;EZ$5+GanttPeriod),"◇","")),IF(AND(EZ$5&lt;=$F162,EZ$5+GanttPeriod-1&gt;=$E162),"━","")))</f>
        <v/>
      </c>
      <c r="FA162" s="69" t="str">
        <f aca="false">IF($E162="","",IF($M162,IF(AND($G162&gt;=FA$5,$G162&lt;FA$5+GanttPeriod),"◆",IF(AND($E162&gt;=FA$5,$E162&lt;FA$5+GanttPeriod),"◇","")),IF(AND(FA$5&lt;=$F162,FA$5+GanttPeriod-1&gt;=$E162),"━","")))</f>
        <v/>
      </c>
      <c r="FB162" s="69" t="str">
        <f aca="false">IF($E162="","",IF($M162,IF(AND($G162&gt;=FB$5,$G162&lt;FB$5+GanttPeriod),"◆",IF(AND($E162&gt;=FB$5,$E162&lt;FB$5+GanttPeriod),"◇","")),IF(AND(FB$5&lt;=$F162,FB$5+GanttPeriod-1&gt;=$E162),"━","")))</f>
        <v/>
      </c>
      <c r="FC162" s="69" t="str">
        <f aca="false">IF($E162="","",IF($M162,IF(AND($G162&gt;=FC$5,$G162&lt;FC$5+GanttPeriod),"◆",IF(AND($E162&gt;=FC$5,$E162&lt;FC$5+GanttPeriod),"◇","")),IF(AND(FC$5&lt;=$F162,FC$5+GanttPeriod-1&gt;=$E162),"━","")))</f>
        <v/>
      </c>
      <c r="FD162" s="69" t="str">
        <f aca="false">IF($E162="","",IF($M162,IF(AND($G162&gt;=FD$5,$G162&lt;FD$5+GanttPeriod),"◆",IF(AND($E162&gt;=FD$5,$E162&lt;FD$5+GanttPeriod),"◇","")),IF(AND(FD$5&lt;=$F162,FD$5+GanttPeriod-1&gt;=$E162),"━","")))</f>
        <v/>
      </c>
      <c r="FE162" s="69" t="str">
        <f aca="false">IF($E162="","",IF($M162,IF(AND($G162&gt;=FE$5,$G162&lt;FE$5+GanttPeriod),"◆",IF(AND($E162&gt;=FE$5,$E162&lt;FE$5+GanttPeriod),"◇","")),IF(AND(FE$5&lt;=$F162,FE$5+GanttPeriod-1&gt;=$E162),"━","")))</f>
        <v/>
      </c>
      <c r="FF162" s="69" t="str">
        <f aca="false">IF($E162="","",IF($M162,IF(AND($G162&gt;=FF$5,$G162&lt;FF$5+GanttPeriod),"◆",IF(AND($E162&gt;=FF$5,$E162&lt;FF$5+GanttPeriod),"◇","")),IF(AND(FF$5&lt;=$F162,FF$5+GanttPeriod-1&gt;=$E162),"━","")))</f>
        <v/>
      </c>
      <c r="FG162" s="69" t="str">
        <f aca="false">IF($E162="","",IF($M162,IF(AND($G162&gt;=FG$5,$G162&lt;FG$5+GanttPeriod),"◆",IF(AND($E162&gt;=FG$5,$E162&lt;FG$5+GanttPeriod),"◇","")),IF(AND(FG$5&lt;=$F162,FG$5+GanttPeriod-1&gt;=$E162),"━","")))</f>
        <v/>
      </c>
      <c r="FH162" s="69" t="str">
        <f aca="false">IF($E162="","",IF($M162,IF(AND($G162&gt;=FH$5,$G162&lt;FH$5+GanttPeriod),"◆",IF(AND($E162&gt;=FH$5,$E162&lt;FH$5+GanttPeriod),"◇","")),IF(AND(FH$5&lt;=$F162,FH$5+GanttPeriod-1&gt;=$E162),"━","")))</f>
        <v/>
      </c>
      <c r="FI162" s="69" t="str">
        <f aca="false">IF($E162="","",IF($M162,IF(AND($G162&gt;=FI$5,$G162&lt;FI$5+GanttPeriod),"◆",IF(AND($E162&gt;=FI$5,$E162&lt;FI$5+GanttPeriod),"◇","")),IF(AND(FI$5&lt;=$F162,FI$5+GanttPeriod-1&gt;=$E162),"━","")))</f>
        <v/>
      </c>
      <c r="FJ162" s="69" t="str">
        <f aca="false">IF($E162="","",IF($M162,IF(AND($G162&gt;=FJ$5,$G162&lt;FJ$5+GanttPeriod),"◆",IF(AND($E162&gt;=FJ$5,$E162&lt;FJ$5+GanttPeriod),"◇","")),IF(AND(FJ$5&lt;=$F162,FJ$5+GanttPeriod-1&gt;=$E162),"━","")))</f>
        <v/>
      </c>
      <c r="FK162" s="69" t="str">
        <f aca="false">IF($E162="","",IF($M162,IF(AND($G162&gt;=FK$5,$G162&lt;FK$5+GanttPeriod),"◆",IF(AND($E162&gt;=FK$5,$E162&lt;FK$5+GanttPeriod),"◇","")),IF(AND(FK$5&lt;=$F162,FK$5+GanttPeriod-1&gt;=$E162),"━","")))</f>
        <v/>
      </c>
      <c r="FL162" s="69" t="str">
        <f aca="false">IF($E162="","",IF($M162,IF(AND($G162&gt;=FL$5,$G162&lt;FL$5+GanttPeriod),"◆",IF(AND($E162&gt;=FL$5,$E162&lt;FL$5+GanttPeriod),"◇","")),IF(AND(FL$5&lt;=$F162,FL$5+GanttPeriod-1&gt;=$E162),"━","")))</f>
        <v/>
      </c>
      <c r="FM162" s="69" t="str">
        <f aca="false">IF($E162="","",IF($M162,IF(AND($G162&gt;=FM$5,$G162&lt;FM$5+GanttPeriod),"◆",IF(AND($E162&gt;=FM$5,$E162&lt;FM$5+GanttPeriod),"◇","")),IF(AND(FM$5&lt;=$F162,FM$5+GanttPeriod-1&gt;=$E162),"━","")))</f>
        <v/>
      </c>
    </row>
    <row r="163" customFormat="false" ht="15" hidden="false" customHeight="false" outlineLevel="0" collapsed="false">
      <c r="A163" s="62" t="str">
        <f aca="false">IF(Tasks!$D163="","",Tasks!$A163)</f>
        <v/>
      </c>
      <c r="B163" s="62" t="str">
        <f aca="false">IF(Tasks!$D163="","",Tasks!$B163)</f>
        <v/>
      </c>
      <c r="C163" s="63" t="str">
        <f aca="false">IF(Tasks!$D163="","",REPT("    ",Tasks!$AE163-1)&amp;Tasks!$D163)</f>
        <v/>
      </c>
      <c r="D163" s="62" t="str">
        <f aca="false">IF(Tasks!$D163="","",IF(Tasks!$AI163,NETWORKDAYS.INTL(Tasks!$R163,Tasks!$S163,WorkWeek,Holidays),N(Tasks!$F163)))</f>
        <v/>
      </c>
      <c r="E163" s="64" t="str">
        <f aca="false">IF(Tasks!$D163="","",Tasks!$N163)</f>
        <v/>
      </c>
      <c r="F163" s="64" t="str">
        <f aca="false">IF(Tasks!$D163="","",Tasks!$O163)</f>
        <v/>
      </c>
      <c r="G163" s="64" t="str">
        <f aca="false">IF(Tasks!$D163="","",Tasks!$R163)</f>
        <v/>
      </c>
      <c r="H163" s="64" t="str">
        <f aca="false">IF(Tasks!$D163="","",Tasks!$S163)</f>
        <v/>
      </c>
      <c r="I163" s="65" t="str">
        <f aca="false">IF(Tasks!$D163="","",Tasks!$V163)</f>
        <v/>
      </c>
      <c r="J163" s="63" t="str">
        <f aca="false">IF(Tasks!$D163="","",Tasks!$X163&amp;"")</f>
        <v/>
      </c>
      <c r="K163" s="66" t="str">
        <f aca="false">IF(Tasks!$D163="","",Tasks!$W163)</f>
        <v/>
      </c>
      <c r="L163" s="67" t="b">
        <f aca="false">IF(Tasks!$D163="",FALSE(),Tasks!$AI163)</f>
        <v>0</v>
      </c>
      <c r="M163" s="67" t="b">
        <f aca="false">AND(Tasks!$AJ163=1,N(Tasks!$F163)=0)</f>
        <v>0</v>
      </c>
      <c r="N163" s="68" t="n">
        <f aca="false">IF(AND(Tasks!$AJ163=1,NOT($M163),N($I163)&gt;0),$G163,0)</f>
        <v>0</v>
      </c>
      <c r="O163" s="68" t="n">
        <f aca="false">IF($N163=0,0,IF($I163&gt;=1,$H163,MAX($N163,$G163+ROUND(($H163-$G163+1)*$I163,0)-1)))</f>
        <v>0</v>
      </c>
      <c r="P163" s="68" t="n">
        <f aca="false">IF(OR(Tasks!$AJ163&lt;&gt;1,$M163,N($I163)&gt;=1),0,IF($O163&gt;0,$O163+1,$G163))</f>
        <v>0</v>
      </c>
      <c r="Q163" s="68" t="n">
        <f aca="false">IF($P163=0,0,$H163)</f>
        <v>0</v>
      </c>
      <c r="R163" s="67" t="b">
        <f aca="false">AND(Tasks!$D163&lt;&gt;"",N(Tasks!$T163)&gt;0)</f>
        <v>0</v>
      </c>
      <c r="T163" s="69" t="str">
        <f aca="false">IF($E163="","",IF($M163,IF(AND($G163&gt;=T$5,$G163&lt;T$5+GanttPeriod),"◆",IF(AND($E163&gt;=T$5,$E163&lt;T$5+GanttPeriod),"◇","")),IF(AND(T$5&lt;=$F163,T$5+GanttPeriod-1&gt;=$E163),"━","")))</f>
        <v/>
      </c>
      <c r="U163" s="69" t="str">
        <f aca="false">IF($E163="","",IF($M163,IF(AND($G163&gt;=U$5,$G163&lt;U$5+GanttPeriod),"◆",IF(AND($E163&gt;=U$5,$E163&lt;U$5+GanttPeriod),"◇","")),IF(AND(U$5&lt;=$F163,U$5+GanttPeriod-1&gt;=$E163),"━","")))</f>
        <v/>
      </c>
      <c r="V163" s="69" t="str">
        <f aca="false">IF($E163="","",IF($M163,IF(AND($G163&gt;=V$5,$G163&lt;V$5+GanttPeriod),"◆",IF(AND($E163&gt;=V$5,$E163&lt;V$5+GanttPeriod),"◇","")),IF(AND(V$5&lt;=$F163,V$5+GanttPeriod-1&gt;=$E163),"━","")))</f>
        <v/>
      </c>
      <c r="W163" s="69" t="str">
        <f aca="false">IF($E163="","",IF($M163,IF(AND($G163&gt;=W$5,$G163&lt;W$5+GanttPeriod),"◆",IF(AND($E163&gt;=W$5,$E163&lt;W$5+GanttPeriod),"◇","")),IF(AND(W$5&lt;=$F163,W$5+GanttPeriod-1&gt;=$E163),"━","")))</f>
        <v/>
      </c>
      <c r="X163" s="69" t="str">
        <f aca="false">IF($E163="","",IF($M163,IF(AND($G163&gt;=X$5,$G163&lt;X$5+GanttPeriod),"◆",IF(AND($E163&gt;=X$5,$E163&lt;X$5+GanttPeriod),"◇","")),IF(AND(X$5&lt;=$F163,X$5+GanttPeriod-1&gt;=$E163),"━","")))</f>
        <v/>
      </c>
      <c r="Y163" s="69" t="str">
        <f aca="false">IF($E163="","",IF($M163,IF(AND($G163&gt;=Y$5,$G163&lt;Y$5+GanttPeriod),"◆",IF(AND($E163&gt;=Y$5,$E163&lt;Y$5+GanttPeriod),"◇","")),IF(AND(Y$5&lt;=$F163,Y$5+GanttPeriod-1&gt;=$E163),"━","")))</f>
        <v/>
      </c>
      <c r="Z163" s="69" t="str">
        <f aca="false">IF($E163="","",IF($M163,IF(AND($G163&gt;=Z$5,$G163&lt;Z$5+GanttPeriod),"◆",IF(AND($E163&gt;=Z$5,$E163&lt;Z$5+GanttPeriod),"◇","")),IF(AND(Z$5&lt;=$F163,Z$5+GanttPeriod-1&gt;=$E163),"━","")))</f>
        <v/>
      </c>
      <c r="AA163" s="69" t="str">
        <f aca="false">IF($E163="","",IF($M163,IF(AND($G163&gt;=AA$5,$G163&lt;AA$5+GanttPeriod),"◆",IF(AND($E163&gt;=AA$5,$E163&lt;AA$5+GanttPeriod),"◇","")),IF(AND(AA$5&lt;=$F163,AA$5+GanttPeriod-1&gt;=$E163),"━","")))</f>
        <v/>
      </c>
      <c r="AB163" s="69" t="str">
        <f aca="false">IF($E163="","",IF($M163,IF(AND($G163&gt;=AB$5,$G163&lt;AB$5+GanttPeriod),"◆",IF(AND($E163&gt;=AB$5,$E163&lt;AB$5+GanttPeriod),"◇","")),IF(AND(AB$5&lt;=$F163,AB$5+GanttPeriod-1&gt;=$E163),"━","")))</f>
        <v/>
      </c>
      <c r="AC163" s="69" t="str">
        <f aca="false">IF($E163="","",IF($M163,IF(AND($G163&gt;=AC$5,$G163&lt;AC$5+GanttPeriod),"◆",IF(AND($E163&gt;=AC$5,$E163&lt;AC$5+GanttPeriod),"◇","")),IF(AND(AC$5&lt;=$F163,AC$5+GanttPeriod-1&gt;=$E163),"━","")))</f>
        <v/>
      </c>
      <c r="AD163" s="69" t="str">
        <f aca="false">IF($E163="","",IF($M163,IF(AND($G163&gt;=AD$5,$G163&lt;AD$5+GanttPeriod),"◆",IF(AND($E163&gt;=AD$5,$E163&lt;AD$5+GanttPeriod),"◇","")),IF(AND(AD$5&lt;=$F163,AD$5+GanttPeriod-1&gt;=$E163),"━","")))</f>
        <v/>
      </c>
      <c r="AE163" s="69" t="str">
        <f aca="false">IF($E163="","",IF($M163,IF(AND($G163&gt;=AE$5,$G163&lt;AE$5+GanttPeriod),"◆",IF(AND($E163&gt;=AE$5,$E163&lt;AE$5+GanttPeriod),"◇","")),IF(AND(AE$5&lt;=$F163,AE$5+GanttPeriod-1&gt;=$E163),"━","")))</f>
        <v/>
      </c>
      <c r="AF163" s="69" t="str">
        <f aca="false">IF($E163="","",IF($M163,IF(AND($G163&gt;=AF$5,$G163&lt;AF$5+GanttPeriod),"◆",IF(AND($E163&gt;=AF$5,$E163&lt;AF$5+GanttPeriod),"◇","")),IF(AND(AF$5&lt;=$F163,AF$5+GanttPeriod-1&gt;=$E163),"━","")))</f>
        <v/>
      </c>
      <c r="AG163" s="69" t="str">
        <f aca="false">IF($E163="","",IF($M163,IF(AND($G163&gt;=AG$5,$G163&lt;AG$5+GanttPeriod),"◆",IF(AND($E163&gt;=AG$5,$E163&lt;AG$5+GanttPeriod),"◇","")),IF(AND(AG$5&lt;=$F163,AG$5+GanttPeriod-1&gt;=$E163),"━","")))</f>
        <v/>
      </c>
      <c r="AH163" s="69" t="str">
        <f aca="false">IF($E163="","",IF($M163,IF(AND($G163&gt;=AH$5,$G163&lt;AH$5+GanttPeriod),"◆",IF(AND($E163&gt;=AH$5,$E163&lt;AH$5+GanttPeriod),"◇","")),IF(AND(AH$5&lt;=$F163,AH$5+GanttPeriod-1&gt;=$E163),"━","")))</f>
        <v/>
      </c>
      <c r="AI163" s="69" t="str">
        <f aca="false">IF($E163="","",IF($M163,IF(AND($G163&gt;=AI$5,$G163&lt;AI$5+GanttPeriod),"◆",IF(AND($E163&gt;=AI$5,$E163&lt;AI$5+GanttPeriod),"◇","")),IF(AND(AI$5&lt;=$F163,AI$5+GanttPeriod-1&gt;=$E163),"━","")))</f>
        <v/>
      </c>
      <c r="AJ163" s="69" t="str">
        <f aca="false">IF($E163="","",IF($M163,IF(AND($G163&gt;=AJ$5,$G163&lt;AJ$5+GanttPeriod),"◆",IF(AND($E163&gt;=AJ$5,$E163&lt;AJ$5+GanttPeriod),"◇","")),IF(AND(AJ$5&lt;=$F163,AJ$5+GanttPeriod-1&gt;=$E163),"━","")))</f>
        <v/>
      </c>
      <c r="AK163" s="69" t="str">
        <f aca="false">IF($E163="","",IF($M163,IF(AND($G163&gt;=AK$5,$G163&lt;AK$5+GanttPeriod),"◆",IF(AND($E163&gt;=AK$5,$E163&lt;AK$5+GanttPeriod),"◇","")),IF(AND(AK$5&lt;=$F163,AK$5+GanttPeriod-1&gt;=$E163),"━","")))</f>
        <v/>
      </c>
      <c r="AL163" s="69" t="str">
        <f aca="false">IF($E163="","",IF($M163,IF(AND($G163&gt;=AL$5,$G163&lt;AL$5+GanttPeriod),"◆",IF(AND($E163&gt;=AL$5,$E163&lt;AL$5+GanttPeriod),"◇","")),IF(AND(AL$5&lt;=$F163,AL$5+GanttPeriod-1&gt;=$E163),"━","")))</f>
        <v/>
      </c>
      <c r="AM163" s="69" t="str">
        <f aca="false">IF($E163="","",IF($M163,IF(AND($G163&gt;=AM$5,$G163&lt;AM$5+GanttPeriod),"◆",IF(AND($E163&gt;=AM$5,$E163&lt;AM$5+GanttPeriod),"◇","")),IF(AND(AM$5&lt;=$F163,AM$5+GanttPeriod-1&gt;=$E163),"━","")))</f>
        <v/>
      </c>
      <c r="AN163" s="69" t="str">
        <f aca="false">IF($E163="","",IF($M163,IF(AND($G163&gt;=AN$5,$G163&lt;AN$5+GanttPeriod),"◆",IF(AND($E163&gt;=AN$5,$E163&lt;AN$5+GanttPeriod),"◇","")),IF(AND(AN$5&lt;=$F163,AN$5+GanttPeriod-1&gt;=$E163),"━","")))</f>
        <v/>
      </c>
      <c r="AO163" s="69" t="str">
        <f aca="false">IF($E163="","",IF($M163,IF(AND($G163&gt;=AO$5,$G163&lt;AO$5+GanttPeriod),"◆",IF(AND($E163&gt;=AO$5,$E163&lt;AO$5+GanttPeriod),"◇","")),IF(AND(AO$5&lt;=$F163,AO$5+GanttPeriod-1&gt;=$E163),"━","")))</f>
        <v/>
      </c>
      <c r="AP163" s="69" t="str">
        <f aca="false">IF($E163="","",IF($M163,IF(AND($G163&gt;=AP$5,$G163&lt;AP$5+GanttPeriod),"◆",IF(AND($E163&gt;=AP$5,$E163&lt;AP$5+GanttPeriod),"◇","")),IF(AND(AP$5&lt;=$F163,AP$5+GanttPeriod-1&gt;=$E163),"━","")))</f>
        <v/>
      </c>
      <c r="AQ163" s="69" t="str">
        <f aca="false">IF($E163="","",IF($M163,IF(AND($G163&gt;=AQ$5,$G163&lt;AQ$5+GanttPeriod),"◆",IF(AND($E163&gt;=AQ$5,$E163&lt;AQ$5+GanttPeriod),"◇","")),IF(AND(AQ$5&lt;=$F163,AQ$5+GanttPeriod-1&gt;=$E163),"━","")))</f>
        <v/>
      </c>
      <c r="AR163" s="69" t="str">
        <f aca="false">IF($E163="","",IF($M163,IF(AND($G163&gt;=AR$5,$G163&lt;AR$5+GanttPeriod),"◆",IF(AND($E163&gt;=AR$5,$E163&lt;AR$5+GanttPeriod),"◇","")),IF(AND(AR$5&lt;=$F163,AR$5+GanttPeriod-1&gt;=$E163),"━","")))</f>
        <v/>
      </c>
      <c r="AS163" s="69" t="str">
        <f aca="false">IF($E163="","",IF($M163,IF(AND($G163&gt;=AS$5,$G163&lt;AS$5+GanttPeriod),"◆",IF(AND($E163&gt;=AS$5,$E163&lt;AS$5+GanttPeriod),"◇","")),IF(AND(AS$5&lt;=$F163,AS$5+GanttPeriod-1&gt;=$E163),"━","")))</f>
        <v/>
      </c>
      <c r="AT163" s="69" t="str">
        <f aca="false">IF($E163="","",IF($M163,IF(AND($G163&gt;=AT$5,$G163&lt;AT$5+GanttPeriod),"◆",IF(AND($E163&gt;=AT$5,$E163&lt;AT$5+GanttPeriod),"◇","")),IF(AND(AT$5&lt;=$F163,AT$5+GanttPeriod-1&gt;=$E163),"━","")))</f>
        <v/>
      </c>
      <c r="AU163" s="69" t="str">
        <f aca="false">IF($E163="","",IF($M163,IF(AND($G163&gt;=AU$5,$G163&lt;AU$5+GanttPeriod),"◆",IF(AND($E163&gt;=AU$5,$E163&lt;AU$5+GanttPeriod),"◇","")),IF(AND(AU$5&lt;=$F163,AU$5+GanttPeriod-1&gt;=$E163),"━","")))</f>
        <v/>
      </c>
      <c r="AV163" s="69" t="str">
        <f aca="false">IF($E163="","",IF($M163,IF(AND($G163&gt;=AV$5,$G163&lt;AV$5+GanttPeriod),"◆",IF(AND($E163&gt;=AV$5,$E163&lt;AV$5+GanttPeriod),"◇","")),IF(AND(AV$5&lt;=$F163,AV$5+GanttPeriod-1&gt;=$E163),"━","")))</f>
        <v/>
      </c>
      <c r="AW163" s="69" t="str">
        <f aca="false">IF($E163="","",IF($M163,IF(AND($G163&gt;=AW$5,$G163&lt;AW$5+GanttPeriod),"◆",IF(AND($E163&gt;=AW$5,$E163&lt;AW$5+GanttPeriod),"◇","")),IF(AND(AW$5&lt;=$F163,AW$5+GanttPeriod-1&gt;=$E163),"━","")))</f>
        <v/>
      </c>
      <c r="AX163" s="69" t="str">
        <f aca="false">IF($E163="","",IF($M163,IF(AND($G163&gt;=AX$5,$G163&lt;AX$5+GanttPeriod),"◆",IF(AND($E163&gt;=AX$5,$E163&lt;AX$5+GanttPeriod),"◇","")),IF(AND(AX$5&lt;=$F163,AX$5+GanttPeriod-1&gt;=$E163),"━","")))</f>
        <v/>
      </c>
      <c r="AY163" s="69" t="str">
        <f aca="false">IF($E163="","",IF($M163,IF(AND($G163&gt;=AY$5,$G163&lt;AY$5+GanttPeriod),"◆",IF(AND($E163&gt;=AY$5,$E163&lt;AY$5+GanttPeriod),"◇","")),IF(AND(AY$5&lt;=$F163,AY$5+GanttPeriod-1&gt;=$E163),"━","")))</f>
        <v/>
      </c>
      <c r="AZ163" s="69" t="str">
        <f aca="false">IF($E163="","",IF($M163,IF(AND($G163&gt;=AZ$5,$G163&lt;AZ$5+GanttPeriod),"◆",IF(AND($E163&gt;=AZ$5,$E163&lt;AZ$5+GanttPeriod),"◇","")),IF(AND(AZ$5&lt;=$F163,AZ$5+GanttPeriod-1&gt;=$E163),"━","")))</f>
        <v/>
      </c>
      <c r="BA163" s="69" t="str">
        <f aca="false">IF($E163="","",IF($M163,IF(AND($G163&gt;=BA$5,$G163&lt;BA$5+GanttPeriod),"◆",IF(AND($E163&gt;=BA$5,$E163&lt;BA$5+GanttPeriod),"◇","")),IF(AND(BA$5&lt;=$F163,BA$5+GanttPeriod-1&gt;=$E163),"━","")))</f>
        <v/>
      </c>
      <c r="BB163" s="69" t="str">
        <f aca="false">IF($E163="","",IF($M163,IF(AND($G163&gt;=BB$5,$G163&lt;BB$5+GanttPeriod),"◆",IF(AND($E163&gt;=BB$5,$E163&lt;BB$5+GanttPeriod),"◇","")),IF(AND(BB$5&lt;=$F163,BB$5+GanttPeriod-1&gt;=$E163),"━","")))</f>
        <v/>
      </c>
      <c r="BC163" s="69" t="str">
        <f aca="false">IF($E163="","",IF($M163,IF(AND($G163&gt;=BC$5,$G163&lt;BC$5+GanttPeriod),"◆",IF(AND($E163&gt;=BC$5,$E163&lt;BC$5+GanttPeriod),"◇","")),IF(AND(BC$5&lt;=$F163,BC$5+GanttPeriod-1&gt;=$E163),"━","")))</f>
        <v/>
      </c>
      <c r="BD163" s="69" t="str">
        <f aca="false">IF($E163="","",IF($M163,IF(AND($G163&gt;=BD$5,$G163&lt;BD$5+GanttPeriod),"◆",IF(AND($E163&gt;=BD$5,$E163&lt;BD$5+GanttPeriod),"◇","")),IF(AND(BD$5&lt;=$F163,BD$5+GanttPeriod-1&gt;=$E163),"━","")))</f>
        <v/>
      </c>
      <c r="BE163" s="69" t="str">
        <f aca="false">IF($E163="","",IF($M163,IF(AND($G163&gt;=BE$5,$G163&lt;BE$5+GanttPeriod),"◆",IF(AND($E163&gt;=BE$5,$E163&lt;BE$5+GanttPeriod),"◇","")),IF(AND(BE$5&lt;=$F163,BE$5+GanttPeriod-1&gt;=$E163),"━","")))</f>
        <v/>
      </c>
      <c r="BF163" s="69" t="str">
        <f aca="false">IF($E163="","",IF($M163,IF(AND($G163&gt;=BF$5,$G163&lt;BF$5+GanttPeriod),"◆",IF(AND($E163&gt;=BF$5,$E163&lt;BF$5+GanttPeriod),"◇","")),IF(AND(BF$5&lt;=$F163,BF$5+GanttPeriod-1&gt;=$E163),"━","")))</f>
        <v/>
      </c>
      <c r="BG163" s="69" t="str">
        <f aca="false">IF($E163="","",IF($M163,IF(AND($G163&gt;=BG$5,$G163&lt;BG$5+GanttPeriod),"◆",IF(AND($E163&gt;=BG$5,$E163&lt;BG$5+GanttPeriod),"◇","")),IF(AND(BG$5&lt;=$F163,BG$5+GanttPeriod-1&gt;=$E163),"━","")))</f>
        <v/>
      </c>
      <c r="BH163" s="69" t="str">
        <f aca="false">IF($E163="","",IF($M163,IF(AND($G163&gt;=BH$5,$G163&lt;BH$5+GanttPeriod),"◆",IF(AND($E163&gt;=BH$5,$E163&lt;BH$5+GanttPeriod),"◇","")),IF(AND(BH$5&lt;=$F163,BH$5+GanttPeriod-1&gt;=$E163),"━","")))</f>
        <v/>
      </c>
      <c r="BI163" s="69" t="str">
        <f aca="false">IF($E163="","",IF($M163,IF(AND($G163&gt;=BI$5,$G163&lt;BI$5+GanttPeriod),"◆",IF(AND($E163&gt;=BI$5,$E163&lt;BI$5+GanttPeriod),"◇","")),IF(AND(BI$5&lt;=$F163,BI$5+GanttPeriod-1&gt;=$E163),"━","")))</f>
        <v/>
      </c>
      <c r="BJ163" s="69" t="str">
        <f aca="false">IF($E163="","",IF($M163,IF(AND($G163&gt;=BJ$5,$G163&lt;BJ$5+GanttPeriod),"◆",IF(AND($E163&gt;=BJ$5,$E163&lt;BJ$5+GanttPeriod),"◇","")),IF(AND(BJ$5&lt;=$F163,BJ$5+GanttPeriod-1&gt;=$E163),"━","")))</f>
        <v/>
      </c>
      <c r="BK163" s="69" t="str">
        <f aca="false">IF($E163="","",IF($M163,IF(AND($G163&gt;=BK$5,$G163&lt;BK$5+GanttPeriod),"◆",IF(AND($E163&gt;=BK$5,$E163&lt;BK$5+GanttPeriod),"◇","")),IF(AND(BK$5&lt;=$F163,BK$5+GanttPeriod-1&gt;=$E163),"━","")))</f>
        <v/>
      </c>
      <c r="BL163" s="69" t="str">
        <f aca="false">IF($E163="","",IF($M163,IF(AND($G163&gt;=BL$5,$G163&lt;BL$5+GanttPeriod),"◆",IF(AND($E163&gt;=BL$5,$E163&lt;BL$5+GanttPeriod),"◇","")),IF(AND(BL$5&lt;=$F163,BL$5+GanttPeriod-1&gt;=$E163),"━","")))</f>
        <v/>
      </c>
      <c r="BM163" s="69" t="str">
        <f aca="false">IF($E163="","",IF($M163,IF(AND($G163&gt;=BM$5,$G163&lt;BM$5+GanttPeriod),"◆",IF(AND($E163&gt;=BM$5,$E163&lt;BM$5+GanttPeriod),"◇","")),IF(AND(BM$5&lt;=$F163,BM$5+GanttPeriod-1&gt;=$E163),"━","")))</f>
        <v/>
      </c>
      <c r="BN163" s="69" t="str">
        <f aca="false">IF($E163="","",IF($M163,IF(AND($G163&gt;=BN$5,$G163&lt;BN$5+GanttPeriod),"◆",IF(AND($E163&gt;=BN$5,$E163&lt;BN$5+GanttPeriod),"◇","")),IF(AND(BN$5&lt;=$F163,BN$5+GanttPeriod-1&gt;=$E163),"━","")))</f>
        <v/>
      </c>
      <c r="BO163" s="69" t="str">
        <f aca="false">IF($E163="","",IF($M163,IF(AND($G163&gt;=BO$5,$G163&lt;BO$5+GanttPeriod),"◆",IF(AND($E163&gt;=BO$5,$E163&lt;BO$5+GanttPeriod),"◇","")),IF(AND(BO$5&lt;=$F163,BO$5+GanttPeriod-1&gt;=$E163),"━","")))</f>
        <v/>
      </c>
      <c r="BP163" s="69" t="str">
        <f aca="false">IF($E163="","",IF($M163,IF(AND($G163&gt;=BP$5,$G163&lt;BP$5+GanttPeriod),"◆",IF(AND($E163&gt;=BP$5,$E163&lt;BP$5+GanttPeriod),"◇","")),IF(AND(BP$5&lt;=$F163,BP$5+GanttPeriod-1&gt;=$E163),"━","")))</f>
        <v/>
      </c>
      <c r="BQ163" s="69" t="str">
        <f aca="false">IF($E163="","",IF($M163,IF(AND($G163&gt;=BQ$5,$G163&lt;BQ$5+GanttPeriod),"◆",IF(AND($E163&gt;=BQ$5,$E163&lt;BQ$5+GanttPeriod),"◇","")),IF(AND(BQ$5&lt;=$F163,BQ$5+GanttPeriod-1&gt;=$E163),"━","")))</f>
        <v/>
      </c>
      <c r="BR163" s="69" t="str">
        <f aca="false">IF($E163="","",IF($M163,IF(AND($G163&gt;=BR$5,$G163&lt;BR$5+GanttPeriod),"◆",IF(AND($E163&gt;=BR$5,$E163&lt;BR$5+GanttPeriod),"◇","")),IF(AND(BR$5&lt;=$F163,BR$5+GanttPeriod-1&gt;=$E163),"━","")))</f>
        <v/>
      </c>
      <c r="BS163" s="69" t="str">
        <f aca="false">IF($E163="","",IF($M163,IF(AND($G163&gt;=BS$5,$G163&lt;BS$5+GanttPeriod),"◆",IF(AND($E163&gt;=BS$5,$E163&lt;BS$5+GanttPeriod),"◇","")),IF(AND(BS$5&lt;=$F163,BS$5+GanttPeriod-1&gt;=$E163),"━","")))</f>
        <v/>
      </c>
      <c r="BT163" s="69" t="str">
        <f aca="false">IF($E163="","",IF($M163,IF(AND($G163&gt;=BT$5,$G163&lt;BT$5+GanttPeriod),"◆",IF(AND($E163&gt;=BT$5,$E163&lt;BT$5+GanttPeriod),"◇","")),IF(AND(BT$5&lt;=$F163,BT$5+GanttPeriod-1&gt;=$E163),"━","")))</f>
        <v/>
      </c>
      <c r="BU163" s="69" t="str">
        <f aca="false">IF($E163="","",IF($M163,IF(AND($G163&gt;=BU$5,$G163&lt;BU$5+GanttPeriod),"◆",IF(AND($E163&gt;=BU$5,$E163&lt;BU$5+GanttPeriod),"◇","")),IF(AND(BU$5&lt;=$F163,BU$5+GanttPeriod-1&gt;=$E163),"━","")))</f>
        <v/>
      </c>
      <c r="BV163" s="69" t="str">
        <f aca="false">IF($E163="","",IF($M163,IF(AND($G163&gt;=BV$5,$G163&lt;BV$5+GanttPeriod),"◆",IF(AND($E163&gt;=BV$5,$E163&lt;BV$5+GanttPeriod),"◇","")),IF(AND(BV$5&lt;=$F163,BV$5+GanttPeriod-1&gt;=$E163),"━","")))</f>
        <v/>
      </c>
      <c r="BW163" s="69" t="str">
        <f aca="false">IF($E163="","",IF($M163,IF(AND($G163&gt;=BW$5,$G163&lt;BW$5+GanttPeriod),"◆",IF(AND($E163&gt;=BW$5,$E163&lt;BW$5+GanttPeriod),"◇","")),IF(AND(BW$5&lt;=$F163,BW$5+GanttPeriod-1&gt;=$E163),"━","")))</f>
        <v/>
      </c>
      <c r="BX163" s="69" t="str">
        <f aca="false">IF($E163="","",IF($M163,IF(AND($G163&gt;=BX$5,$G163&lt;BX$5+GanttPeriod),"◆",IF(AND($E163&gt;=BX$5,$E163&lt;BX$5+GanttPeriod),"◇","")),IF(AND(BX$5&lt;=$F163,BX$5+GanttPeriod-1&gt;=$E163),"━","")))</f>
        <v/>
      </c>
      <c r="BY163" s="69" t="str">
        <f aca="false">IF($E163="","",IF($M163,IF(AND($G163&gt;=BY$5,$G163&lt;BY$5+GanttPeriod),"◆",IF(AND($E163&gt;=BY$5,$E163&lt;BY$5+GanttPeriod),"◇","")),IF(AND(BY$5&lt;=$F163,BY$5+GanttPeriod-1&gt;=$E163),"━","")))</f>
        <v/>
      </c>
      <c r="BZ163" s="69" t="str">
        <f aca="false">IF($E163="","",IF($M163,IF(AND($G163&gt;=BZ$5,$G163&lt;BZ$5+GanttPeriod),"◆",IF(AND($E163&gt;=BZ$5,$E163&lt;BZ$5+GanttPeriod),"◇","")),IF(AND(BZ$5&lt;=$F163,BZ$5+GanttPeriod-1&gt;=$E163),"━","")))</f>
        <v/>
      </c>
      <c r="CA163" s="69" t="str">
        <f aca="false">IF($E163="","",IF($M163,IF(AND($G163&gt;=CA$5,$G163&lt;CA$5+GanttPeriod),"◆",IF(AND($E163&gt;=CA$5,$E163&lt;CA$5+GanttPeriod),"◇","")),IF(AND(CA$5&lt;=$F163,CA$5+GanttPeriod-1&gt;=$E163),"━","")))</f>
        <v/>
      </c>
      <c r="CB163" s="69" t="str">
        <f aca="false">IF($E163="","",IF($M163,IF(AND($G163&gt;=CB$5,$G163&lt;CB$5+GanttPeriod),"◆",IF(AND($E163&gt;=CB$5,$E163&lt;CB$5+GanttPeriod),"◇","")),IF(AND(CB$5&lt;=$F163,CB$5+GanttPeriod-1&gt;=$E163),"━","")))</f>
        <v/>
      </c>
      <c r="CC163" s="69" t="str">
        <f aca="false">IF($E163="","",IF($M163,IF(AND($G163&gt;=CC$5,$G163&lt;CC$5+GanttPeriod),"◆",IF(AND($E163&gt;=CC$5,$E163&lt;CC$5+GanttPeriod),"◇","")),IF(AND(CC$5&lt;=$F163,CC$5+GanttPeriod-1&gt;=$E163),"━","")))</f>
        <v/>
      </c>
      <c r="CD163" s="69" t="str">
        <f aca="false">IF($E163="","",IF($M163,IF(AND($G163&gt;=CD$5,$G163&lt;CD$5+GanttPeriod),"◆",IF(AND($E163&gt;=CD$5,$E163&lt;CD$5+GanttPeriod),"◇","")),IF(AND(CD$5&lt;=$F163,CD$5+GanttPeriod-1&gt;=$E163),"━","")))</f>
        <v/>
      </c>
      <c r="CE163" s="69" t="str">
        <f aca="false">IF($E163="","",IF($M163,IF(AND($G163&gt;=CE$5,$G163&lt;CE$5+GanttPeriod),"◆",IF(AND($E163&gt;=CE$5,$E163&lt;CE$5+GanttPeriod),"◇","")),IF(AND(CE$5&lt;=$F163,CE$5+GanttPeriod-1&gt;=$E163),"━","")))</f>
        <v/>
      </c>
      <c r="CF163" s="69" t="str">
        <f aca="false">IF($E163="","",IF($M163,IF(AND($G163&gt;=CF$5,$G163&lt;CF$5+GanttPeriod),"◆",IF(AND($E163&gt;=CF$5,$E163&lt;CF$5+GanttPeriod),"◇","")),IF(AND(CF$5&lt;=$F163,CF$5+GanttPeriod-1&gt;=$E163),"━","")))</f>
        <v/>
      </c>
      <c r="CG163" s="69" t="str">
        <f aca="false">IF($E163="","",IF($M163,IF(AND($G163&gt;=CG$5,$G163&lt;CG$5+GanttPeriod),"◆",IF(AND($E163&gt;=CG$5,$E163&lt;CG$5+GanttPeriod),"◇","")),IF(AND(CG$5&lt;=$F163,CG$5+GanttPeriod-1&gt;=$E163),"━","")))</f>
        <v/>
      </c>
      <c r="CH163" s="69" t="str">
        <f aca="false">IF($E163="","",IF($M163,IF(AND($G163&gt;=CH$5,$G163&lt;CH$5+GanttPeriod),"◆",IF(AND($E163&gt;=CH$5,$E163&lt;CH$5+GanttPeriod),"◇","")),IF(AND(CH$5&lt;=$F163,CH$5+GanttPeriod-1&gt;=$E163),"━","")))</f>
        <v/>
      </c>
      <c r="CI163" s="69" t="str">
        <f aca="false">IF($E163="","",IF($M163,IF(AND($G163&gt;=CI$5,$G163&lt;CI$5+GanttPeriod),"◆",IF(AND($E163&gt;=CI$5,$E163&lt;CI$5+GanttPeriod),"◇","")),IF(AND(CI$5&lt;=$F163,CI$5+GanttPeriod-1&gt;=$E163),"━","")))</f>
        <v/>
      </c>
      <c r="CJ163" s="69" t="str">
        <f aca="false">IF($E163="","",IF($M163,IF(AND($G163&gt;=CJ$5,$G163&lt;CJ$5+GanttPeriod),"◆",IF(AND($E163&gt;=CJ$5,$E163&lt;CJ$5+GanttPeriod),"◇","")),IF(AND(CJ$5&lt;=$F163,CJ$5+GanttPeriod-1&gt;=$E163),"━","")))</f>
        <v/>
      </c>
      <c r="CK163" s="69" t="str">
        <f aca="false">IF($E163="","",IF($M163,IF(AND($G163&gt;=CK$5,$G163&lt;CK$5+GanttPeriod),"◆",IF(AND($E163&gt;=CK$5,$E163&lt;CK$5+GanttPeriod),"◇","")),IF(AND(CK$5&lt;=$F163,CK$5+GanttPeriod-1&gt;=$E163),"━","")))</f>
        <v/>
      </c>
      <c r="CL163" s="69" t="str">
        <f aca="false">IF($E163="","",IF($M163,IF(AND($G163&gt;=CL$5,$G163&lt;CL$5+GanttPeriod),"◆",IF(AND($E163&gt;=CL$5,$E163&lt;CL$5+GanttPeriod),"◇","")),IF(AND(CL$5&lt;=$F163,CL$5+GanttPeriod-1&gt;=$E163),"━","")))</f>
        <v/>
      </c>
      <c r="CM163" s="69" t="str">
        <f aca="false">IF($E163="","",IF($M163,IF(AND($G163&gt;=CM$5,$G163&lt;CM$5+GanttPeriod),"◆",IF(AND($E163&gt;=CM$5,$E163&lt;CM$5+GanttPeriod),"◇","")),IF(AND(CM$5&lt;=$F163,CM$5+GanttPeriod-1&gt;=$E163),"━","")))</f>
        <v/>
      </c>
      <c r="CN163" s="69" t="str">
        <f aca="false">IF($E163="","",IF($M163,IF(AND($G163&gt;=CN$5,$G163&lt;CN$5+GanttPeriod),"◆",IF(AND($E163&gt;=CN$5,$E163&lt;CN$5+GanttPeriod),"◇","")),IF(AND(CN$5&lt;=$F163,CN$5+GanttPeriod-1&gt;=$E163),"━","")))</f>
        <v/>
      </c>
      <c r="CO163" s="69" t="str">
        <f aca="false">IF($E163="","",IF($M163,IF(AND($G163&gt;=CO$5,$G163&lt;CO$5+GanttPeriod),"◆",IF(AND($E163&gt;=CO$5,$E163&lt;CO$5+GanttPeriod),"◇","")),IF(AND(CO$5&lt;=$F163,CO$5+GanttPeriod-1&gt;=$E163),"━","")))</f>
        <v/>
      </c>
      <c r="CP163" s="69" t="str">
        <f aca="false">IF($E163="","",IF($M163,IF(AND($G163&gt;=CP$5,$G163&lt;CP$5+GanttPeriod),"◆",IF(AND($E163&gt;=CP$5,$E163&lt;CP$5+GanttPeriod),"◇","")),IF(AND(CP$5&lt;=$F163,CP$5+GanttPeriod-1&gt;=$E163),"━","")))</f>
        <v/>
      </c>
      <c r="CQ163" s="69" t="str">
        <f aca="false">IF($E163="","",IF($M163,IF(AND($G163&gt;=CQ$5,$G163&lt;CQ$5+GanttPeriod),"◆",IF(AND($E163&gt;=CQ$5,$E163&lt;CQ$5+GanttPeriod),"◇","")),IF(AND(CQ$5&lt;=$F163,CQ$5+GanttPeriod-1&gt;=$E163),"━","")))</f>
        <v/>
      </c>
      <c r="CR163" s="69" t="str">
        <f aca="false">IF($E163="","",IF($M163,IF(AND($G163&gt;=CR$5,$G163&lt;CR$5+GanttPeriod),"◆",IF(AND($E163&gt;=CR$5,$E163&lt;CR$5+GanttPeriod),"◇","")),IF(AND(CR$5&lt;=$F163,CR$5+GanttPeriod-1&gt;=$E163),"━","")))</f>
        <v/>
      </c>
      <c r="CS163" s="69" t="str">
        <f aca="false">IF($E163="","",IF($M163,IF(AND($G163&gt;=CS$5,$G163&lt;CS$5+GanttPeriod),"◆",IF(AND($E163&gt;=CS$5,$E163&lt;CS$5+GanttPeriod),"◇","")),IF(AND(CS$5&lt;=$F163,CS$5+GanttPeriod-1&gt;=$E163),"━","")))</f>
        <v/>
      </c>
      <c r="CT163" s="69" t="str">
        <f aca="false">IF($E163="","",IF($M163,IF(AND($G163&gt;=CT$5,$G163&lt;CT$5+GanttPeriod),"◆",IF(AND($E163&gt;=CT$5,$E163&lt;CT$5+GanttPeriod),"◇","")),IF(AND(CT$5&lt;=$F163,CT$5+GanttPeriod-1&gt;=$E163),"━","")))</f>
        <v/>
      </c>
      <c r="CU163" s="69" t="str">
        <f aca="false">IF($E163="","",IF($M163,IF(AND($G163&gt;=CU$5,$G163&lt;CU$5+GanttPeriod),"◆",IF(AND($E163&gt;=CU$5,$E163&lt;CU$5+GanttPeriod),"◇","")),IF(AND(CU$5&lt;=$F163,CU$5+GanttPeriod-1&gt;=$E163),"━","")))</f>
        <v/>
      </c>
      <c r="CV163" s="69" t="str">
        <f aca="false">IF($E163="","",IF($M163,IF(AND($G163&gt;=CV$5,$G163&lt;CV$5+GanttPeriod),"◆",IF(AND($E163&gt;=CV$5,$E163&lt;CV$5+GanttPeriod),"◇","")),IF(AND(CV$5&lt;=$F163,CV$5+GanttPeriod-1&gt;=$E163),"━","")))</f>
        <v/>
      </c>
      <c r="CW163" s="69" t="str">
        <f aca="false">IF($E163="","",IF($M163,IF(AND($G163&gt;=CW$5,$G163&lt;CW$5+GanttPeriod),"◆",IF(AND($E163&gt;=CW$5,$E163&lt;CW$5+GanttPeriod),"◇","")),IF(AND(CW$5&lt;=$F163,CW$5+GanttPeriod-1&gt;=$E163),"━","")))</f>
        <v/>
      </c>
      <c r="CX163" s="69" t="str">
        <f aca="false">IF($E163="","",IF($M163,IF(AND($G163&gt;=CX$5,$G163&lt;CX$5+GanttPeriod),"◆",IF(AND($E163&gt;=CX$5,$E163&lt;CX$5+GanttPeriod),"◇","")),IF(AND(CX$5&lt;=$F163,CX$5+GanttPeriod-1&gt;=$E163),"━","")))</f>
        <v/>
      </c>
      <c r="CY163" s="69" t="str">
        <f aca="false">IF($E163="","",IF($M163,IF(AND($G163&gt;=CY$5,$G163&lt;CY$5+GanttPeriod),"◆",IF(AND($E163&gt;=CY$5,$E163&lt;CY$5+GanttPeriod),"◇","")),IF(AND(CY$5&lt;=$F163,CY$5+GanttPeriod-1&gt;=$E163),"━","")))</f>
        <v/>
      </c>
      <c r="CZ163" s="69" t="str">
        <f aca="false">IF($E163="","",IF($M163,IF(AND($G163&gt;=CZ$5,$G163&lt;CZ$5+GanttPeriod),"◆",IF(AND($E163&gt;=CZ$5,$E163&lt;CZ$5+GanttPeriod),"◇","")),IF(AND(CZ$5&lt;=$F163,CZ$5+GanttPeriod-1&gt;=$E163),"━","")))</f>
        <v/>
      </c>
      <c r="DA163" s="69" t="str">
        <f aca="false">IF($E163="","",IF($M163,IF(AND($G163&gt;=DA$5,$G163&lt;DA$5+GanttPeriod),"◆",IF(AND($E163&gt;=DA$5,$E163&lt;DA$5+GanttPeriod),"◇","")),IF(AND(DA$5&lt;=$F163,DA$5+GanttPeriod-1&gt;=$E163),"━","")))</f>
        <v/>
      </c>
      <c r="DB163" s="69" t="str">
        <f aca="false">IF($E163="","",IF($M163,IF(AND($G163&gt;=DB$5,$G163&lt;DB$5+GanttPeriod),"◆",IF(AND($E163&gt;=DB$5,$E163&lt;DB$5+GanttPeriod),"◇","")),IF(AND(DB$5&lt;=$F163,DB$5+GanttPeriod-1&gt;=$E163),"━","")))</f>
        <v/>
      </c>
      <c r="DC163" s="69" t="str">
        <f aca="false">IF($E163="","",IF($M163,IF(AND($G163&gt;=DC$5,$G163&lt;DC$5+GanttPeriod),"◆",IF(AND($E163&gt;=DC$5,$E163&lt;DC$5+GanttPeriod),"◇","")),IF(AND(DC$5&lt;=$F163,DC$5+GanttPeriod-1&gt;=$E163),"━","")))</f>
        <v/>
      </c>
      <c r="DD163" s="69" t="str">
        <f aca="false">IF($E163="","",IF($M163,IF(AND($G163&gt;=DD$5,$G163&lt;DD$5+GanttPeriod),"◆",IF(AND($E163&gt;=DD$5,$E163&lt;DD$5+GanttPeriod),"◇","")),IF(AND(DD$5&lt;=$F163,DD$5+GanttPeriod-1&gt;=$E163),"━","")))</f>
        <v/>
      </c>
      <c r="DE163" s="69" t="str">
        <f aca="false">IF($E163="","",IF($M163,IF(AND($G163&gt;=DE$5,$G163&lt;DE$5+GanttPeriod),"◆",IF(AND($E163&gt;=DE$5,$E163&lt;DE$5+GanttPeriod),"◇","")),IF(AND(DE$5&lt;=$F163,DE$5+GanttPeriod-1&gt;=$E163),"━","")))</f>
        <v/>
      </c>
      <c r="DF163" s="69" t="str">
        <f aca="false">IF($E163="","",IF($M163,IF(AND($G163&gt;=DF$5,$G163&lt;DF$5+GanttPeriod),"◆",IF(AND($E163&gt;=DF$5,$E163&lt;DF$5+GanttPeriod),"◇","")),IF(AND(DF$5&lt;=$F163,DF$5+GanttPeriod-1&gt;=$E163),"━","")))</f>
        <v/>
      </c>
      <c r="DG163" s="69" t="str">
        <f aca="false">IF($E163="","",IF($M163,IF(AND($G163&gt;=DG$5,$G163&lt;DG$5+GanttPeriod),"◆",IF(AND($E163&gt;=DG$5,$E163&lt;DG$5+GanttPeriod),"◇","")),IF(AND(DG$5&lt;=$F163,DG$5+GanttPeriod-1&gt;=$E163),"━","")))</f>
        <v/>
      </c>
      <c r="DH163" s="69" t="str">
        <f aca="false">IF($E163="","",IF($M163,IF(AND($G163&gt;=DH$5,$G163&lt;DH$5+GanttPeriod),"◆",IF(AND($E163&gt;=DH$5,$E163&lt;DH$5+GanttPeriod),"◇","")),IF(AND(DH$5&lt;=$F163,DH$5+GanttPeriod-1&gt;=$E163),"━","")))</f>
        <v/>
      </c>
      <c r="DI163" s="69" t="str">
        <f aca="false">IF($E163="","",IF($M163,IF(AND($G163&gt;=DI$5,$G163&lt;DI$5+GanttPeriod),"◆",IF(AND($E163&gt;=DI$5,$E163&lt;DI$5+GanttPeriod),"◇","")),IF(AND(DI$5&lt;=$F163,DI$5+GanttPeriod-1&gt;=$E163),"━","")))</f>
        <v/>
      </c>
      <c r="DJ163" s="69" t="str">
        <f aca="false">IF($E163="","",IF($M163,IF(AND($G163&gt;=DJ$5,$G163&lt;DJ$5+GanttPeriod),"◆",IF(AND($E163&gt;=DJ$5,$E163&lt;DJ$5+GanttPeriod),"◇","")),IF(AND(DJ$5&lt;=$F163,DJ$5+GanttPeriod-1&gt;=$E163),"━","")))</f>
        <v/>
      </c>
      <c r="DK163" s="69" t="str">
        <f aca="false">IF($E163="","",IF($M163,IF(AND($G163&gt;=DK$5,$G163&lt;DK$5+GanttPeriod),"◆",IF(AND($E163&gt;=DK$5,$E163&lt;DK$5+GanttPeriod),"◇","")),IF(AND(DK$5&lt;=$F163,DK$5+GanttPeriod-1&gt;=$E163),"━","")))</f>
        <v/>
      </c>
      <c r="DL163" s="69" t="str">
        <f aca="false">IF($E163="","",IF($M163,IF(AND($G163&gt;=DL$5,$G163&lt;DL$5+GanttPeriod),"◆",IF(AND($E163&gt;=DL$5,$E163&lt;DL$5+GanttPeriod),"◇","")),IF(AND(DL$5&lt;=$F163,DL$5+GanttPeriod-1&gt;=$E163),"━","")))</f>
        <v/>
      </c>
      <c r="DM163" s="69" t="str">
        <f aca="false">IF($E163="","",IF($M163,IF(AND($G163&gt;=DM$5,$G163&lt;DM$5+GanttPeriod),"◆",IF(AND($E163&gt;=DM$5,$E163&lt;DM$5+GanttPeriod),"◇","")),IF(AND(DM$5&lt;=$F163,DM$5+GanttPeriod-1&gt;=$E163),"━","")))</f>
        <v/>
      </c>
      <c r="DN163" s="69" t="str">
        <f aca="false">IF($E163="","",IF($M163,IF(AND($G163&gt;=DN$5,$G163&lt;DN$5+GanttPeriod),"◆",IF(AND($E163&gt;=DN$5,$E163&lt;DN$5+GanttPeriod),"◇","")),IF(AND(DN$5&lt;=$F163,DN$5+GanttPeriod-1&gt;=$E163),"━","")))</f>
        <v/>
      </c>
      <c r="DO163" s="69" t="str">
        <f aca="false">IF($E163="","",IF($M163,IF(AND($G163&gt;=DO$5,$G163&lt;DO$5+GanttPeriod),"◆",IF(AND($E163&gt;=DO$5,$E163&lt;DO$5+GanttPeriod),"◇","")),IF(AND(DO$5&lt;=$F163,DO$5+GanttPeriod-1&gt;=$E163),"━","")))</f>
        <v/>
      </c>
      <c r="DP163" s="69" t="str">
        <f aca="false">IF($E163="","",IF($M163,IF(AND($G163&gt;=DP$5,$G163&lt;DP$5+GanttPeriod),"◆",IF(AND($E163&gt;=DP$5,$E163&lt;DP$5+GanttPeriod),"◇","")),IF(AND(DP$5&lt;=$F163,DP$5+GanttPeriod-1&gt;=$E163),"━","")))</f>
        <v/>
      </c>
      <c r="DQ163" s="69" t="str">
        <f aca="false">IF($E163="","",IF($M163,IF(AND($G163&gt;=DQ$5,$G163&lt;DQ$5+GanttPeriod),"◆",IF(AND($E163&gt;=DQ$5,$E163&lt;DQ$5+GanttPeriod),"◇","")),IF(AND(DQ$5&lt;=$F163,DQ$5+GanttPeriod-1&gt;=$E163),"━","")))</f>
        <v/>
      </c>
      <c r="DR163" s="69" t="str">
        <f aca="false">IF($E163="","",IF($M163,IF(AND($G163&gt;=DR$5,$G163&lt;DR$5+GanttPeriod),"◆",IF(AND($E163&gt;=DR$5,$E163&lt;DR$5+GanttPeriod),"◇","")),IF(AND(DR$5&lt;=$F163,DR$5+GanttPeriod-1&gt;=$E163),"━","")))</f>
        <v/>
      </c>
      <c r="DS163" s="69" t="str">
        <f aca="false">IF($E163="","",IF($M163,IF(AND($G163&gt;=DS$5,$G163&lt;DS$5+GanttPeriod),"◆",IF(AND($E163&gt;=DS$5,$E163&lt;DS$5+GanttPeriod),"◇","")),IF(AND(DS$5&lt;=$F163,DS$5+GanttPeriod-1&gt;=$E163),"━","")))</f>
        <v/>
      </c>
      <c r="DT163" s="69" t="str">
        <f aca="false">IF($E163="","",IF($M163,IF(AND($G163&gt;=DT$5,$G163&lt;DT$5+GanttPeriod),"◆",IF(AND($E163&gt;=DT$5,$E163&lt;DT$5+GanttPeriod),"◇","")),IF(AND(DT$5&lt;=$F163,DT$5+GanttPeriod-1&gt;=$E163),"━","")))</f>
        <v/>
      </c>
      <c r="DU163" s="69" t="str">
        <f aca="false">IF($E163="","",IF($M163,IF(AND($G163&gt;=DU$5,$G163&lt;DU$5+GanttPeriod),"◆",IF(AND($E163&gt;=DU$5,$E163&lt;DU$5+GanttPeriod),"◇","")),IF(AND(DU$5&lt;=$F163,DU$5+GanttPeriod-1&gt;=$E163),"━","")))</f>
        <v/>
      </c>
      <c r="DV163" s="69" t="str">
        <f aca="false">IF($E163="","",IF($M163,IF(AND($G163&gt;=DV$5,$G163&lt;DV$5+GanttPeriod),"◆",IF(AND($E163&gt;=DV$5,$E163&lt;DV$5+GanttPeriod),"◇","")),IF(AND(DV$5&lt;=$F163,DV$5+GanttPeriod-1&gt;=$E163),"━","")))</f>
        <v/>
      </c>
      <c r="DW163" s="69" t="str">
        <f aca="false">IF($E163="","",IF($M163,IF(AND($G163&gt;=DW$5,$G163&lt;DW$5+GanttPeriod),"◆",IF(AND($E163&gt;=DW$5,$E163&lt;DW$5+GanttPeriod),"◇","")),IF(AND(DW$5&lt;=$F163,DW$5+GanttPeriod-1&gt;=$E163),"━","")))</f>
        <v/>
      </c>
      <c r="DX163" s="69" t="str">
        <f aca="false">IF($E163="","",IF($M163,IF(AND($G163&gt;=DX$5,$G163&lt;DX$5+GanttPeriod),"◆",IF(AND($E163&gt;=DX$5,$E163&lt;DX$5+GanttPeriod),"◇","")),IF(AND(DX$5&lt;=$F163,DX$5+GanttPeriod-1&gt;=$E163),"━","")))</f>
        <v/>
      </c>
      <c r="DY163" s="69" t="str">
        <f aca="false">IF($E163="","",IF($M163,IF(AND($G163&gt;=DY$5,$G163&lt;DY$5+GanttPeriod),"◆",IF(AND($E163&gt;=DY$5,$E163&lt;DY$5+GanttPeriod),"◇","")),IF(AND(DY$5&lt;=$F163,DY$5+GanttPeriod-1&gt;=$E163),"━","")))</f>
        <v/>
      </c>
      <c r="DZ163" s="69" t="str">
        <f aca="false">IF($E163="","",IF($M163,IF(AND($G163&gt;=DZ$5,$G163&lt;DZ$5+GanttPeriod),"◆",IF(AND($E163&gt;=DZ$5,$E163&lt;DZ$5+GanttPeriod),"◇","")),IF(AND(DZ$5&lt;=$F163,DZ$5+GanttPeriod-1&gt;=$E163),"━","")))</f>
        <v/>
      </c>
      <c r="EA163" s="69" t="str">
        <f aca="false">IF($E163="","",IF($M163,IF(AND($G163&gt;=EA$5,$G163&lt;EA$5+GanttPeriod),"◆",IF(AND($E163&gt;=EA$5,$E163&lt;EA$5+GanttPeriod),"◇","")),IF(AND(EA$5&lt;=$F163,EA$5+GanttPeriod-1&gt;=$E163),"━","")))</f>
        <v/>
      </c>
      <c r="EB163" s="69" t="str">
        <f aca="false">IF($E163="","",IF($M163,IF(AND($G163&gt;=EB$5,$G163&lt;EB$5+GanttPeriod),"◆",IF(AND($E163&gt;=EB$5,$E163&lt;EB$5+GanttPeriod),"◇","")),IF(AND(EB$5&lt;=$F163,EB$5+GanttPeriod-1&gt;=$E163),"━","")))</f>
        <v/>
      </c>
      <c r="EC163" s="69" t="str">
        <f aca="false">IF($E163="","",IF($M163,IF(AND($G163&gt;=EC$5,$G163&lt;EC$5+GanttPeriod),"◆",IF(AND($E163&gt;=EC$5,$E163&lt;EC$5+GanttPeriod),"◇","")),IF(AND(EC$5&lt;=$F163,EC$5+GanttPeriod-1&gt;=$E163),"━","")))</f>
        <v/>
      </c>
      <c r="ED163" s="69" t="str">
        <f aca="false">IF($E163="","",IF($M163,IF(AND($G163&gt;=ED$5,$G163&lt;ED$5+GanttPeriod),"◆",IF(AND($E163&gt;=ED$5,$E163&lt;ED$5+GanttPeriod),"◇","")),IF(AND(ED$5&lt;=$F163,ED$5+GanttPeriod-1&gt;=$E163),"━","")))</f>
        <v/>
      </c>
      <c r="EE163" s="69" t="str">
        <f aca="false">IF($E163="","",IF($M163,IF(AND($G163&gt;=EE$5,$G163&lt;EE$5+GanttPeriod),"◆",IF(AND($E163&gt;=EE$5,$E163&lt;EE$5+GanttPeriod),"◇","")),IF(AND(EE$5&lt;=$F163,EE$5+GanttPeriod-1&gt;=$E163),"━","")))</f>
        <v/>
      </c>
      <c r="EF163" s="69" t="str">
        <f aca="false">IF($E163="","",IF($M163,IF(AND($G163&gt;=EF$5,$G163&lt;EF$5+GanttPeriod),"◆",IF(AND($E163&gt;=EF$5,$E163&lt;EF$5+GanttPeriod),"◇","")),IF(AND(EF$5&lt;=$F163,EF$5+GanttPeriod-1&gt;=$E163),"━","")))</f>
        <v/>
      </c>
      <c r="EG163" s="69" t="str">
        <f aca="false">IF($E163="","",IF($M163,IF(AND($G163&gt;=EG$5,$G163&lt;EG$5+GanttPeriod),"◆",IF(AND($E163&gt;=EG$5,$E163&lt;EG$5+GanttPeriod),"◇","")),IF(AND(EG$5&lt;=$F163,EG$5+GanttPeriod-1&gt;=$E163),"━","")))</f>
        <v/>
      </c>
      <c r="EH163" s="69" t="str">
        <f aca="false">IF($E163="","",IF($M163,IF(AND($G163&gt;=EH$5,$G163&lt;EH$5+GanttPeriod),"◆",IF(AND($E163&gt;=EH$5,$E163&lt;EH$5+GanttPeriod),"◇","")),IF(AND(EH$5&lt;=$F163,EH$5+GanttPeriod-1&gt;=$E163),"━","")))</f>
        <v/>
      </c>
      <c r="EI163" s="69" t="str">
        <f aca="false">IF($E163="","",IF($M163,IF(AND($G163&gt;=EI$5,$G163&lt;EI$5+GanttPeriod),"◆",IF(AND($E163&gt;=EI$5,$E163&lt;EI$5+GanttPeriod),"◇","")),IF(AND(EI$5&lt;=$F163,EI$5+GanttPeriod-1&gt;=$E163),"━","")))</f>
        <v/>
      </c>
      <c r="EJ163" s="69" t="str">
        <f aca="false">IF($E163="","",IF($M163,IF(AND($G163&gt;=EJ$5,$G163&lt;EJ$5+GanttPeriod),"◆",IF(AND($E163&gt;=EJ$5,$E163&lt;EJ$5+GanttPeriod),"◇","")),IF(AND(EJ$5&lt;=$F163,EJ$5+GanttPeriod-1&gt;=$E163),"━","")))</f>
        <v/>
      </c>
      <c r="EK163" s="69" t="str">
        <f aca="false">IF($E163="","",IF($M163,IF(AND($G163&gt;=EK$5,$G163&lt;EK$5+GanttPeriod),"◆",IF(AND($E163&gt;=EK$5,$E163&lt;EK$5+GanttPeriod),"◇","")),IF(AND(EK$5&lt;=$F163,EK$5+GanttPeriod-1&gt;=$E163),"━","")))</f>
        <v/>
      </c>
      <c r="EL163" s="69" t="str">
        <f aca="false">IF($E163="","",IF($M163,IF(AND($G163&gt;=EL$5,$G163&lt;EL$5+GanttPeriod),"◆",IF(AND($E163&gt;=EL$5,$E163&lt;EL$5+GanttPeriod),"◇","")),IF(AND(EL$5&lt;=$F163,EL$5+GanttPeriod-1&gt;=$E163),"━","")))</f>
        <v/>
      </c>
      <c r="EM163" s="69" t="str">
        <f aca="false">IF($E163="","",IF($M163,IF(AND($G163&gt;=EM$5,$G163&lt;EM$5+GanttPeriod),"◆",IF(AND($E163&gt;=EM$5,$E163&lt;EM$5+GanttPeriod),"◇","")),IF(AND(EM$5&lt;=$F163,EM$5+GanttPeriod-1&gt;=$E163),"━","")))</f>
        <v/>
      </c>
      <c r="EN163" s="69" t="str">
        <f aca="false">IF($E163="","",IF($M163,IF(AND($G163&gt;=EN$5,$G163&lt;EN$5+GanttPeriod),"◆",IF(AND($E163&gt;=EN$5,$E163&lt;EN$5+GanttPeriod),"◇","")),IF(AND(EN$5&lt;=$F163,EN$5+GanttPeriod-1&gt;=$E163),"━","")))</f>
        <v/>
      </c>
      <c r="EO163" s="69" t="str">
        <f aca="false">IF($E163="","",IF($M163,IF(AND($G163&gt;=EO$5,$G163&lt;EO$5+GanttPeriod),"◆",IF(AND($E163&gt;=EO$5,$E163&lt;EO$5+GanttPeriod),"◇","")),IF(AND(EO$5&lt;=$F163,EO$5+GanttPeriod-1&gt;=$E163),"━","")))</f>
        <v/>
      </c>
      <c r="EP163" s="69" t="str">
        <f aca="false">IF($E163="","",IF($M163,IF(AND($G163&gt;=EP$5,$G163&lt;EP$5+GanttPeriod),"◆",IF(AND($E163&gt;=EP$5,$E163&lt;EP$5+GanttPeriod),"◇","")),IF(AND(EP$5&lt;=$F163,EP$5+GanttPeriod-1&gt;=$E163),"━","")))</f>
        <v/>
      </c>
      <c r="EQ163" s="69" t="str">
        <f aca="false">IF($E163="","",IF($M163,IF(AND($G163&gt;=EQ$5,$G163&lt;EQ$5+GanttPeriod),"◆",IF(AND($E163&gt;=EQ$5,$E163&lt;EQ$5+GanttPeriod),"◇","")),IF(AND(EQ$5&lt;=$F163,EQ$5+GanttPeriod-1&gt;=$E163),"━","")))</f>
        <v/>
      </c>
      <c r="ER163" s="69" t="str">
        <f aca="false">IF($E163="","",IF($M163,IF(AND($G163&gt;=ER$5,$G163&lt;ER$5+GanttPeriod),"◆",IF(AND($E163&gt;=ER$5,$E163&lt;ER$5+GanttPeriod),"◇","")),IF(AND(ER$5&lt;=$F163,ER$5+GanttPeriod-1&gt;=$E163),"━","")))</f>
        <v/>
      </c>
      <c r="ES163" s="69" t="str">
        <f aca="false">IF($E163="","",IF($M163,IF(AND($G163&gt;=ES$5,$G163&lt;ES$5+GanttPeriod),"◆",IF(AND($E163&gt;=ES$5,$E163&lt;ES$5+GanttPeriod),"◇","")),IF(AND(ES$5&lt;=$F163,ES$5+GanttPeriod-1&gt;=$E163),"━","")))</f>
        <v/>
      </c>
      <c r="ET163" s="69" t="str">
        <f aca="false">IF($E163="","",IF($M163,IF(AND($G163&gt;=ET$5,$G163&lt;ET$5+GanttPeriod),"◆",IF(AND($E163&gt;=ET$5,$E163&lt;ET$5+GanttPeriod),"◇","")),IF(AND(ET$5&lt;=$F163,ET$5+GanttPeriod-1&gt;=$E163),"━","")))</f>
        <v/>
      </c>
      <c r="EU163" s="69" t="str">
        <f aca="false">IF($E163="","",IF($M163,IF(AND($G163&gt;=EU$5,$G163&lt;EU$5+GanttPeriod),"◆",IF(AND($E163&gt;=EU$5,$E163&lt;EU$5+GanttPeriod),"◇","")),IF(AND(EU$5&lt;=$F163,EU$5+GanttPeriod-1&gt;=$E163),"━","")))</f>
        <v/>
      </c>
      <c r="EV163" s="69" t="str">
        <f aca="false">IF($E163="","",IF($M163,IF(AND($G163&gt;=EV$5,$G163&lt;EV$5+GanttPeriod),"◆",IF(AND($E163&gt;=EV$5,$E163&lt;EV$5+GanttPeriod),"◇","")),IF(AND(EV$5&lt;=$F163,EV$5+GanttPeriod-1&gt;=$E163),"━","")))</f>
        <v/>
      </c>
      <c r="EW163" s="69" t="str">
        <f aca="false">IF($E163="","",IF($M163,IF(AND($G163&gt;=EW$5,$G163&lt;EW$5+GanttPeriod),"◆",IF(AND($E163&gt;=EW$5,$E163&lt;EW$5+GanttPeriod),"◇","")),IF(AND(EW$5&lt;=$F163,EW$5+GanttPeriod-1&gt;=$E163),"━","")))</f>
        <v/>
      </c>
      <c r="EX163" s="69" t="str">
        <f aca="false">IF($E163="","",IF($M163,IF(AND($G163&gt;=EX$5,$G163&lt;EX$5+GanttPeriod),"◆",IF(AND($E163&gt;=EX$5,$E163&lt;EX$5+GanttPeriod),"◇","")),IF(AND(EX$5&lt;=$F163,EX$5+GanttPeriod-1&gt;=$E163),"━","")))</f>
        <v/>
      </c>
      <c r="EY163" s="69" t="str">
        <f aca="false">IF($E163="","",IF($M163,IF(AND($G163&gt;=EY$5,$G163&lt;EY$5+GanttPeriod),"◆",IF(AND($E163&gt;=EY$5,$E163&lt;EY$5+GanttPeriod),"◇","")),IF(AND(EY$5&lt;=$F163,EY$5+GanttPeriod-1&gt;=$E163),"━","")))</f>
        <v/>
      </c>
      <c r="EZ163" s="69" t="str">
        <f aca="false">IF($E163="","",IF($M163,IF(AND($G163&gt;=EZ$5,$G163&lt;EZ$5+GanttPeriod),"◆",IF(AND($E163&gt;=EZ$5,$E163&lt;EZ$5+GanttPeriod),"◇","")),IF(AND(EZ$5&lt;=$F163,EZ$5+GanttPeriod-1&gt;=$E163),"━","")))</f>
        <v/>
      </c>
      <c r="FA163" s="69" t="str">
        <f aca="false">IF($E163="","",IF($M163,IF(AND($G163&gt;=FA$5,$G163&lt;FA$5+GanttPeriod),"◆",IF(AND($E163&gt;=FA$5,$E163&lt;FA$5+GanttPeriod),"◇","")),IF(AND(FA$5&lt;=$F163,FA$5+GanttPeriod-1&gt;=$E163),"━","")))</f>
        <v/>
      </c>
      <c r="FB163" s="69" t="str">
        <f aca="false">IF($E163="","",IF($M163,IF(AND($G163&gt;=FB$5,$G163&lt;FB$5+GanttPeriod),"◆",IF(AND($E163&gt;=FB$5,$E163&lt;FB$5+GanttPeriod),"◇","")),IF(AND(FB$5&lt;=$F163,FB$5+GanttPeriod-1&gt;=$E163),"━","")))</f>
        <v/>
      </c>
      <c r="FC163" s="69" t="str">
        <f aca="false">IF($E163="","",IF($M163,IF(AND($G163&gt;=FC$5,$G163&lt;FC$5+GanttPeriod),"◆",IF(AND($E163&gt;=FC$5,$E163&lt;FC$5+GanttPeriod),"◇","")),IF(AND(FC$5&lt;=$F163,FC$5+GanttPeriod-1&gt;=$E163),"━","")))</f>
        <v/>
      </c>
      <c r="FD163" s="69" t="str">
        <f aca="false">IF($E163="","",IF($M163,IF(AND($G163&gt;=FD$5,$G163&lt;FD$5+GanttPeriod),"◆",IF(AND($E163&gt;=FD$5,$E163&lt;FD$5+GanttPeriod),"◇","")),IF(AND(FD$5&lt;=$F163,FD$5+GanttPeriod-1&gt;=$E163),"━","")))</f>
        <v/>
      </c>
      <c r="FE163" s="69" t="str">
        <f aca="false">IF($E163="","",IF($M163,IF(AND($G163&gt;=FE$5,$G163&lt;FE$5+GanttPeriod),"◆",IF(AND($E163&gt;=FE$5,$E163&lt;FE$5+GanttPeriod),"◇","")),IF(AND(FE$5&lt;=$F163,FE$5+GanttPeriod-1&gt;=$E163),"━","")))</f>
        <v/>
      </c>
      <c r="FF163" s="69" t="str">
        <f aca="false">IF($E163="","",IF($M163,IF(AND($G163&gt;=FF$5,$G163&lt;FF$5+GanttPeriod),"◆",IF(AND($E163&gt;=FF$5,$E163&lt;FF$5+GanttPeriod),"◇","")),IF(AND(FF$5&lt;=$F163,FF$5+GanttPeriod-1&gt;=$E163),"━","")))</f>
        <v/>
      </c>
      <c r="FG163" s="69" t="str">
        <f aca="false">IF($E163="","",IF($M163,IF(AND($G163&gt;=FG$5,$G163&lt;FG$5+GanttPeriod),"◆",IF(AND($E163&gt;=FG$5,$E163&lt;FG$5+GanttPeriod),"◇","")),IF(AND(FG$5&lt;=$F163,FG$5+GanttPeriod-1&gt;=$E163),"━","")))</f>
        <v/>
      </c>
      <c r="FH163" s="69" t="str">
        <f aca="false">IF($E163="","",IF($M163,IF(AND($G163&gt;=FH$5,$G163&lt;FH$5+GanttPeriod),"◆",IF(AND($E163&gt;=FH$5,$E163&lt;FH$5+GanttPeriod),"◇","")),IF(AND(FH$5&lt;=$F163,FH$5+GanttPeriod-1&gt;=$E163),"━","")))</f>
        <v/>
      </c>
      <c r="FI163" s="69" t="str">
        <f aca="false">IF($E163="","",IF($M163,IF(AND($G163&gt;=FI$5,$G163&lt;FI$5+GanttPeriod),"◆",IF(AND($E163&gt;=FI$5,$E163&lt;FI$5+GanttPeriod),"◇","")),IF(AND(FI$5&lt;=$F163,FI$5+GanttPeriod-1&gt;=$E163),"━","")))</f>
        <v/>
      </c>
      <c r="FJ163" s="69" t="str">
        <f aca="false">IF($E163="","",IF($M163,IF(AND($G163&gt;=FJ$5,$G163&lt;FJ$5+GanttPeriod),"◆",IF(AND($E163&gt;=FJ$5,$E163&lt;FJ$5+GanttPeriod),"◇","")),IF(AND(FJ$5&lt;=$F163,FJ$5+GanttPeriod-1&gt;=$E163),"━","")))</f>
        <v/>
      </c>
      <c r="FK163" s="69" t="str">
        <f aca="false">IF($E163="","",IF($M163,IF(AND($G163&gt;=FK$5,$G163&lt;FK$5+GanttPeriod),"◆",IF(AND($E163&gt;=FK$5,$E163&lt;FK$5+GanttPeriod),"◇","")),IF(AND(FK$5&lt;=$F163,FK$5+GanttPeriod-1&gt;=$E163),"━","")))</f>
        <v/>
      </c>
      <c r="FL163" s="69" t="str">
        <f aca="false">IF($E163="","",IF($M163,IF(AND($G163&gt;=FL$5,$G163&lt;FL$5+GanttPeriod),"◆",IF(AND($E163&gt;=FL$5,$E163&lt;FL$5+GanttPeriod),"◇","")),IF(AND(FL$5&lt;=$F163,FL$5+GanttPeriod-1&gt;=$E163),"━","")))</f>
        <v/>
      </c>
      <c r="FM163" s="69" t="str">
        <f aca="false">IF($E163="","",IF($M163,IF(AND($G163&gt;=FM$5,$G163&lt;FM$5+GanttPeriod),"◆",IF(AND($E163&gt;=FM$5,$E163&lt;FM$5+GanttPeriod),"◇","")),IF(AND(FM$5&lt;=$F163,FM$5+GanttPeriod-1&gt;=$E163),"━","")))</f>
        <v/>
      </c>
    </row>
    <row r="164" customFormat="false" ht="15" hidden="false" customHeight="false" outlineLevel="0" collapsed="false">
      <c r="A164" s="62" t="str">
        <f aca="false">IF(Tasks!$D164="","",Tasks!$A164)</f>
        <v/>
      </c>
      <c r="B164" s="62" t="str">
        <f aca="false">IF(Tasks!$D164="","",Tasks!$B164)</f>
        <v/>
      </c>
      <c r="C164" s="63" t="str">
        <f aca="false">IF(Tasks!$D164="","",REPT("    ",Tasks!$AE164-1)&amp;Tasks!$D164)</f>
        <v/>
      </c>
      <c r="D164" s="62" t="str">
        <f aca="false">IF(Tasks!$D164="","",IF(Tasks!$AI164,NETWORKDAYS.INTL(Tasks!$R164,Tasks!$S164,WorkWeek,Holidays),N(Tasks!$F164)))</f>
        <v/>
      </c>
      <c r="E164" s="64" t="str">
        <f aca="false">IF(Tasks!$D164="","",Tasks!$N164)</f>
        <v/>
      </c>
      <c r="F164" s="64" t="str">
        <f aca="false">IF(Tasks!$D164="","",Tasks!$O164)</f>
        <v/>
      </c>
      <c r="G164" s="64" t="str">
        <f aca="false">IF(Tasks!$D164="","",Tasks!$R164)</f>
        <v/>
      </c>
      <c r="H164" s="64" t="str">
        <f aca="false">IF(Tasks!$D164="","",Tasks!$S164)</f>
        <v/>
      </c>
      <c r="I164" s="65" t="str">
        <f aca="false">IF(Tasks!$D164="","",Tasks!$V164)</f>
        <v/>
      </c>
      <c r="J164" s="63" t="str">
        <f aca="false">IF(Tasks!$D164="","",Tasks!$X164&amp;"")</f>
        <v/>
      </c>
      <c r="K164" s="66" t="str">
        <f aca="false">IF(Tasks!$D164="","",Tasks!$W164)</f>
        <v/>
      </c>
      <c r="L164" s="67" t="b">
        <f aca="false">IF(Tasks!$D164="",FALSE(),Tasks!$AI164)</f>
        <v>0</v>
      </c>
      <c r="M164" s="67" t="b">
        <f aca="false">AND(Tasks!$AJ164=1,N(Tasks!$F164)=0)</f>
        <v>0</v>
      </c>
      <c r="N164" s="68" t="n">
        <f aca="false">IF(AND(Tasks!$AJ164=1,NOT($M164),N($I164)&gt;0),$G164,0)</f>
        <v>0</v>
      </c>
      <c r="O164" s="68" t="n">
        <f aca="false">IF($N164=0,0,IF($I164&gt;=1,$H164,MAX($N164,$G164+ROUND(($H164-$G164+1)*$I164,0)-1)))</f>
        <v>0</v>
      </c>
      <c r="P164" s="68" t="n">
        <f aca="false">IF(OR(Tasks!$AJ164&lt;&gt;1,$M164,N($I164)&gt;=1),0,IF($O164&gt;0,$O164+1,$G164))</f>
        <v>0</v>
      </c>
      <c r="Q164" s="68" t="n">
        <f aca="false">IF($P164=0,0,$H164)</f>
        <v>0</v>
      </c>
      <c r="R164" s="67" t="b">
        <f aca="false">AND(Tasks!$D164&lt;&gt;"",N(Tasks!$T164)&gt;0)</f>
        <v>0</v>
      </c>
      <c r="T164" s="69" t="str">
        <f aca="false">IF($E164="","",IF($M164,IF(AND($G164&gt;=T$5,$G164&lt;T$5+GanttPeriod),"◆",IF(AND($E164&gt;=T$5,$E164&lt;T$5+GanttPeriod),"◇","")),IF(AND(T$5&lt;=$F164,T$5+GanttPeriod-1&gt;=$E164),"━","")))</f>
        <v/>
      </c>
      <c r="U164" s="69" t="str">
        <f aca="false">IF($E164="","",IF($M164,IF(AND($G164&gt;=U$5,$G164&lt;U$5+GanttPeriod),"◆",IF(AND($E164&gt;=U$5,$E164&lt;U$5+GanttPeriod),"◇","")),IF(AND(U$5&lt;=$F164,U$5+GanttPeriod-1&gt;=$E164),"━","")))</f>
        <v/>
      </c>
      <c r="V164" s="69" t="str">
        <f aca="false">IF($E164="","",IF($M164,IF(AND($G164&gt;=V$5,$G164&lt;V$5+GanttPeriod),"◆",IF(AND($E164&gt;=V$5,$E164&lt;V$5+GanttPeriod),"◇","")),IF(AND(V$5&lt;=$F164,V$5+GanttPeriod-1&gt;=$E164),"━","")))</f>
        <v/>
      </c>
      <c r="W164" s="69" t="str">
        <f aca="false">IF($E164="","",IF($M164,IF(AND($G164&gt;=W$5,$G164&lt;W$5+GanttPeriod),"◆",IF(AND($E164&gt;=W$5,$E164&lt;W$5+GanttPeriod),"◇","")),IF(AND(W$5&lt;=$F164,W$5+GanttPeriod-1&gt;=$E164),"━","")))</f>
        <v/>
      </c>
      <c r="X164" s="69" t="str">
        <f aca="false">IF($E164="","",IF($M164,IF(AND($G164&gt;=X$5,$G164&lt;X$5+GanttPeriod),"◆",IF(AND($E164&gt;=X$5,$E164&lt;X$5+GanttPeriod),"◇","")),IF(AND(X$5&lt;=$F164,X$5+GanttPeriod-1&gt;=$E164),"━","")))</f>
        <v/>
      </c>
      <c r="Y164" s="69" t="str">
        <f aca="false">IF($E164="","",IF($M164,IF(AND($G164&gt;=Y$5,$G164&lt;Y$5+GanttPeriod),"◆",IF(AND($E164&gt;=Y$5,$E164&lt;Y$5+GanttPeriod),"◇","")),IF(AND(Y$5&lt;=$F164,Y$5+GanttPeriod-1&gt;=$E164),"━","")))</f>
        <v/>
      </c>
      <c r="Z164" s="69" t="str">
        <f aca="false">IF($E164="","",IF($M164,IF(AND($G164&gt;=Z$5,$G164&lt;Z$5+GanttPeriod),"◆",IF(AND($E164&gt;=Z$5,$E164&lt;Z$5+GanttPeriod),"◇","")),IF(AND(Z$5&lt;=$F164,Z$5+GanttPeriod-1&gt;=$E164),"━","")))</f>
        <v/>
      </c>
      <c r="AA164" s="69" t="str">
        <f aca="false">IF($E164="","",IF($M164,IF(AND($G164&gt;=AA$5,$G164&lt;AA$5+GanttPeriod),"◆",IF(AND($E164&gt;=AA$5,$E164&lt;AA$5+GanttPeriod),"◇","")),IF(AND(AA$5&lt;=$F164,AA$5+GanttPeriod-1&gt;=$E164),"━","")))</f>
        <v/>
      </c>
      <c r="AB164" s="69" t="str">
        <f aca="false">IF($E164="","",IF($M164,IF(AND($G164&gt;=AB$5,$G164&lt;AB$5+GanttPeriod),"◆",IF(AND($E164&gt;=AB$5,$E164&lt;AB$5+GanttPeriod),"◇","")),IF(AND(AB$5&lt;=$F164,AB$5+GanttPeriod-1&gt;=$E164),"━","")))</f>
        <v/>
      </c>
      <c r="AC164" s="69" t="str">
        <f aca="false">IF($E164="","",IF($M164,IF(AND($G164&gt;=AC$5,$G164&lt;AC$5+GanttPeriod),"◆",IF(AND($E164&gt;=AC$5,$E164&lt;AC$5+GanttPeriod),"◇","")),IF(AND(AC$5&lt;=$F164,AC$5+GanttPeriod-1&gt;=$E164),"━","")))</f>
        <v/>
      </c>
      <c r="AD164" s="69" t="str">
        <f aca="false">IF($E164="","",IF($M164,IF(AND($G164&gt;=AD$5,$G164&lt;AD$5+GanttPeriod),"◆",IF(AND($E164&gt;=AD$5,$E164&lt;AD$5+GanttPeriod),"◇","")),IF(AND(AD$5&lt;=$F164,AD$5+GanttPeriod-1&gt;=$E164),"━","")))</f>
        <v/>
      </c>
      <c r="AE164" s="69" t="str">
        <f aca="false">IF($E164="","",IF($M164,IF(AND($G164&gt;=AE$5,$G164&lt;AE$5+GanttPeriod),"◆",IF(AND($E164&gt;=AE$5,$E164&lt;AE$5+GanttPeriod),"◇","")),IF(AND(AE$5&lt;=$F164,AE$5+GanttPeriod-1&gt;=$E164),"━","")))</f>
        <v/>
      </c>
      <c r="AF164" s="69" t="str">
        <f aca="false">IF($E164="","",IF($M164,IF(AND($G164&gt;=AF$5,$G164&lt;AF$5+GanttPeriod),"◆",IF(AND($E164&gt;=AF$5,$E164&lt;AF$5+GanttPeriod),"◇","")),IF(AND(AF$5&lt;=$F164,AF$5+GanttPeriod-1&gt;=$E164),"━","")))</f>
        <v/>
      </c>
      <c r="AG164" s="69" t="str">
        <f aca="false">IF($E164="","",IF($M164,IF(AND($G164&gt;=AG$5,$G164&lt;AG$5+GanttPeriod),"◆",IF(AND($E164&gt;=AG$5,$E164&lt;AG$5+GanttPeriod),"◇","")),IF(AND(AG$5&lt;=$F164,AG$5+GanttPeriod-1&gt;=$E164),"━","")))</f>
        <v/>
      </c>
      <c r="AH164" s="69" t="str">
        <f aca="false">IF($E164="","",IF($M164,IF(AND($G164&gt;=AH$5,$G164&lt;AH$5+GanttPeriod),"◆",IF(AND($E164&gt;=AH$5,$E164&lt;AH$5+GanttPeriod),"◇","")),IF(AND(AH$5&lt;=$F164,AH$5+GanttPeriod-1&gt;=$E164),"━","")))</f>
        <v/>
      </c>
      <c r="AI164" s="69" t="str">
        <f aca="false">IF($E164="","",IF($M164,IF(AND($G164&gt;=AI$5,$G164&lt;AI$5+GanttPeriod),"◆",IF(AND($E164&gt;=AI$5,$E164&lt;AI$5+GanttPeriod),"◇","")),IF(AND(AI$5&lt;=$F164,AI$5+GanttPeriod-1&gt;=$E164),"━","")))</f>
        <v/>
      </c>
      <c r="AJ164" s="69" t="str">
        <f aca="false">IF($E164="","",IF($M164,IF(AND($G164&gt;=AJ$5,$G164&lt;AJ$5+GanttPeriod),"◆",IF(AND($E164&gt;=AJ$5,$E164&lt;AJ$5+GanttPeriod),"◇","")),IF(AND(AJ$5&lt;=$F164,AJ$5+GanttPeriod-1&gt;=$E164),"━","")))</f>
        <v/>
      </c>
      <c r="AK164" s="69" t="str">
        <f aca="false">IF($E164="","",IF($M164,IF(AND($G164&gt;=AK$5,$G164&lt;AK$5+GanttPeriod),"◆",IF(AND($E164&gt;=AK$5,$E164&lt;AK$5+GanttPeriod),"◇","")),IF(AND(AK$5&lt;=$F164,AK$5+GanttPeriod-1&gt;=$E164),"━","")))</f>
        <v/>
      </c>
      <c r="AL164" s="69" t="str">
        <f aca="false">IF($E164="","",IF($M164,IF(AND($G164&gt;=AL$5,$G164&lt;AL$5+GanttPeriod),"◆",IF(AND($E164&gt;=AL$5,$E164&lt;AL$5+GanttPeriod),"◇","")),IF(AND(AL$5&lt;=$F164,AL$5+GanttPeriod-1&gt;=$E164),"━","")))</f>
        <v/>
      </c>
      <c r="AM164" s="69" t="str">
        <f aca="false">IF($E164="","",IF($M164,IF(AND($G164&gt;=AM$5,$G164&lt;AM$5+GanttPeriod),"◆",IF(AND($E164&gt;=AM$5,$E164&lt;AM$5+GanttPeriod),"◇","")),IF(AND(AM$5&lt;=$F164,AM$5+GanttPeriod-1&gt;=$E164),"━","")))</f>
        <v/>
      </c>
      <c r="AN164" s="69" t="str">
        <f aca="false">IF($E164="","",IF($M164,IF(AND($G164&gt;=AN$5,$G164&lt;AN$5+GanttPeriod),"◆",IF(AND($E164&gt;=AN$5,$E164&lt;AN$5+GanttPeriod),"◇","")),IF(AND(AN$5&lt;=$F164,AN$5+GanttPeriod-1&gt;=$E164),"━","")))</f>
        <v/>
      </c>
      <c r="AO164" s="69" t="str">
        <f aca="false">IF($E164="","",IF($M164,IF(AND($G164&gt;=AO$5,$G164&lt;AO$5+GanttPeriod),"◆",IF(AND($E164&gt;=AO$5,$E164&lt;AO$5+GanttPeriod),"◇","")),IF(AND(AO$5&lt;=$F164,AO$5+GanttPeriod-1&gt;=$E164),"━","")))</f>
        <v/>
      </c>
      <c r="AP164" s="69" t="str">
        <f aca="false">IF($E164="","",IF($M164,IF(AND($G164&gt;=AP$5,$G164&lt;AP$5+GanttPeriod),"◆",IF(AND($E164&gt;=AP$5,$E164&lt;AP$5+GanttPeriod),"◇","")),IF(AND(AP$5&lt;=$F164,AP$5+GanttPeriod-1&gt;=$E164),"━","")))</f>
        <v/>
      </c>
      <c r="AQ164" s="69" t="str">
        <f aca="false">IF($E164="","",IF($M164,IF(AND($G164&gt;=AQ$5,$G164&lt;AQ$5+GanttPeriod),"◆",IF(AND($E164&gt;=AQ$5,$E164&lt;AQ$5+GanttPeriod),"◇","")),IF(AND(AQ$5&lt;=$F164,AQ$5+GanttPeriod-1&gt;=$E164),"━","")))</f>
        <v/>
      </c>
      <c r="AR164" s="69" t="str">
        <f aca="false">IF($E164="","",IF($M164,IF(AND($G164&gt;=AR$5,$G164&lt;AR$5+GanttPeriod),"◆",IF(AND($E164&gt;=AR$5,$E164&lt;AR$5+GanttPeriod),"◇","")),IF(AND(AR$5&lt;=$F164,AR$5+GanttPeriod-1&gt;=$E164),"━","")))</f>
        <v/>
      </c>
      <c r="AS164" s="69" t="str">
        <f aca="false">IF($E164="","",IF($M164,IF(AND($G164&gt;=AS$5,$G164&lt;AS$5+GanttPeriod),"◆",IF(AND($E164&gt;=AS$5,$E164&lt;AS$5+GanttPeriod),"◇","")),IF(AND(AS$5&lt;=$F164,AS$5+GanttPeriod-1&gt;=$E164),"━","")))</f>
        <v/>
      </c>
      <c r="AT164" s="69" t="str">
        <f aca="false">IF($E164="","",IF($M164,IF(AND($G164&gt;=AT$5,$G164&lt;AT$5+GanttPeriod),"◆",IF(AND($E164&gt;=AT$5,$E164&lt;AT$5+GanttPeriod),"◇","")),IF(AND(AT$5&lt;=$F164,AT$5+GanttPeriod-1&gt;=$E164),"━","")))</f>
        <v/>
      </c>
      <c r="AU164" s="69" t="str">
        <f aca="false">IF($E164="","",IF($M164,IF(AND($G164&gt;=AU$5,$G164&lt;AU$5+GanttPeriod),"◆",IF(AND($E164&gt;=AU$5,$E164&lt;AU$5+GanttPeriod),"◇","")),IF(AND(AU$5&lt;=$F164,AU$5+GanttPeriod-1&gt;=$E164),"━","")))</f>
        <v/>
      </c>
      <c r="AV164" s="69" t="str">
        <f aca="false">IF($E164="","",IF($M164,IF(AND($G164&gt;=AV$5,$G164&lt;AV$5+GanttPeriod),"◆",IF(AND($E164&gt;=AV$5,$E164&lt;AV$5+GanttPeriod),"◇","")),IF(AND(AV$5&lt;=$F164,AV$5+GanttPeriod-1&gt;=$E164),"━","")))</f>
        <v/>
      </c>
      <c r="AW164" s="69" t="str">
        <f aca="false">IF($E164="","",IF($M164,IF(AND($G164&gt;=AW$5,$G164&lt;AW$5+GanttPeriod),"◆",IF(AND($E164&gt;=AW$5,$E164&lt;AW$5+GanttPeriod),"◇","")),IF(AND(AW$5&lt;=$F164,AW$5+GanttPeriod-1&gt;=$E164),"━","")))</f>
        <v/>
      </c>
      <c r="AX164" s="69" t="str">
        <f aca="false">IF($E164="","",IF($M164,IF(AND($G164&gt;=AX$5,$G164&lt;AX$5+GanttPeriod),"◆",IF(AND($E164&gt;=AX$5,$E164&lt;AX$5+GanttPeriod),"◇","")),IF(AND(AX$5&lt;=$F164,AX$5+GanttPeriod-1&gt;=$E164),"━","")))</f>
        <v/>
      </c>
      <c r="AY164" s="69" t="str">
        <f aca="false">IF($E164="","",IF($M164,IF(AND($G164&gt;=AY$5,$G164&lt;AY$5+GanttPeriod),"◆",IF(AND($E164&gt;=AY$5,$E164&lt;AY$5+GanttPeriod),"◇","")),IF(AND(AY$5&lt;=$F164,AY$5+GanttPeriod-1&gt;=$E164),"━","")))</f>
        <v/>
      </c>
      <c r="AZ164" s="69" t="str">
        <f aca="false">IF($E164="","",IF($M164,IF(AND($G164&gt;=AZ$5,$G164&lt;AZ$5+GanttPeriod),"◆",IF(AND($E164&gt;=AZ$5,$E164&lt;AZ$5+GanttPeriod),"◇","")),IF(AND(AZ$5&lt;=$F164,AZ$5+GanttPeriod-1&gt;=$E164),"━","")))</f>
        <v/>
      </c>
      <c r="BA164" s="69" t="str">
        <f aca="false">IF($E164="","",IF($M164,IF(AND($G164&gt;=BA$5,$G164&lt;BA$5+GanttPeriod),"◆",IF(AND($E164&gt;=BA$5,$E164&lt;BA$5+GanttPeriod),"◇","")),IF(AND(BA$5&lt;=$F164,BA$5+GanttPeriod-1&gt;=$E164),"━","")))</f>
        <v/>
      </c>
      <c r="BB164" s="69" t="str">
        <f aca="false">IF($E164="","",IF($M164,IF(AND($G164&gt;=BB$5,$G164&lt;BB$5+GanttPeriod),"◆",IF(AND($E164&gt;=BB$5,$E164&lt;BB$5+GanttPeriod),"◇","")),IF(AND(BB$5&lt;=$F164,BB$5+GanttPeriod-1&gt;=$E164),"━","")))</f>
        <v/>
      </c>
      <c r="BC164" s="69" t="str">
        <f aca="false">IF($E164="","",IF($M164,IF(AND($G164&gt;=BC$5,$G164&lt;BC$5+GanttPeriod),"◆",IF(AND($E164&gt;=BC$5,$E164&lt;BC$5+GanttPeriod),"◇","")),IF(AND(BC$5&lt;=$F164,BC$5+GanttPeriod-1&gt;=$E164),"━","")))</f>
        <v/>
      </c>
      <c r="BD164" s="69" t="str">
        <f aca="false">IF($E164="","",IF($M164,IF(AND($G164&gt;=BD$5,$G164&lt;BD$5+GanttPeriod),"◆",IF(AND($E164&gt;=BD$5,$E164&lt;BD$5+GanttPeriod),"◇","")),IF(AND(BD$5&lt;=$F164,BD$5+GanttPeriod-1&gt;=$E164),"━","")))</f>
        <v/>
      </c>
      <c r="BE164" s="69" t="str">
        <f aca="false">IF($E164="","",IF($M164,IF(AND($G164&gt;=BE$5,$G164&lt;BE$5+GanttPeriod),"◆",IF(AND($E164&gt;=BE$5,$E164&lt;BE$5+GanttPeriod),"◇","")),IF(AND(BE$5&lt;=$F164,BE$5+GanttPeriod-1&gt;=$E164),"━","")))</f>
        <v/>
      </c>
      <c r="BF164" s="69" t="str">
        <f aca="false">IF($E164="","",IF($M164,IF(AND($G164&gt;=BF$5,$G164&lt;BF$5+GanttPeriod),"◆",IF(AND($E164&gt;=BF$5,$E164&lt;BF$5+GanttPeriod),"◇","")),IF(AND(BF$5&lt;=$F164,BF$5+GanttPeriod-1&gt;=$E164),"━","")))</f>
        <v/>
      </c>
      <c r="BG164" s="69" t="str">
        <f aca="false">IF($E164="","",IF($M164,IF(AND($G164&gt;=BG$5,$G164&lt;BG$5+GanttPeriod),"◆",IF(AND($E164&gt;=BG$5,$E164&lt;BG$5+GanttPeriod),"◇","")),IF(AND(BG$5&lt;=$F164,BG$5+GanttPeriod-1&gt;=$E164),"━","")))</f>
        <v/>
      </c>
      <c r="BH164" s="69" t="str">
        <f aca="false">IF($E164="","",IF($M164,IF(AND($G164&gt;=BH$5,$G164&lt;BH$5+GanttPeriod),"◆",IF(AND($E164&gt;=BH$5,$E164&lt;BH$5+GanttPeriod),"◇","")),IF(AND(BH$5&lt;=$F164,BH$5+GanttPeriod-1&gt;=$E164),"━","")))</f>
        <v/>
      </c>
      <c r="BI164" s="69" t="str">
        <f aca="false">IF($E164="","",IF($M164,IF(AND($G164&gt;=BI$5,$G164&lt;BI$5+GanttPeriod),"◆",IF(AND($E164&gt;=BI$5,$E164&lt;BI$5+GanttPeriod),"◇","")),IF(AND(BI$5&lt;=$F164,BI$5+GanttPeriod-1&gt;=$E164),"━","")))</f>
        <v/>
      </c>
      <c r="BJ164" s="69" t="str">
        <f aca="false">IF($E164="","",IF($M164,IF(AND($G164&gt;=BJ$5,$G164&lt;BJ$5+GanttPeriod),"◆",IF(AND($E164&gt;=BJ$5,$E164&lt;BJ$5+GanttPeriod),"◇","")),IF(AND(BJ$5&lt;=$F164,BJ$5+GanttPeriod-1&gt;=$E164),"━","")))</f>
        <v/>
      </c>
      <c r="BK164" s="69" t="str">
        <f aca="false">IF($E164="","",IF($M164,IF(AND($G164&gt;=BK$5,$G164&lt;BK$5+GanttPeriod),"◆",IF(AND($E164&gt;=BK$5,$E164&lt;BK$5+GanttPeriod),"◇","")),IF(AND(BK$5&lt;=$F164,BK$5+GanttPeriod-1&gt;=$E164),"━","")))</f>
        <v/>
      </c>
      <c r="BL164" s="69" t="str">
        <f aca="false">IF($E164="","",IF($M164,IF(AND($G164&gt;=BL$5,$G164&lt;BL$5+GanttPeriod),"◆",IF(AND($E164&gt;=BL$5,$E164&lt;BL$5+GanttPeriod),"◇","")),IF(AND(BL$5&lt;=$F164,BL$5+GanttPeriod-1&gt;=$E164),"━","")))</f>
        <v/>
      </c>
      <c r="BM164" s="69" t="str">
        <f aca="false">IF($E164="","",IF($M164,IF(AND($G164&gt;=BM$5,$G164&lt;BM$5+GanttPeriod),"◆",IF(AND($E164&gt;=BM$5,$E164&lt;BM$5+GanttPeriod),"◇","")),IF(AND(BM$5&lt;=$F164,BM$5+GanttPeriod-1&gt;=$E164),"━","")))</f>
        <v/>
      </c>
      <c r="BN164" s="69" t="str">
        <f aca="false">IF($E164="","",IF($M164,IF(AND($G164&gt;=BN$5,$G164&lt;BN$5+GanttPeriod),"◆",IF(AND($E164&gt;=BN$5,$E164&lt;BN$5+GanttPeriod),"◇","")),IF(AND(BN$5&lt;=$F164,BN$5+GanttPeriod-1&gt;=$E164),"━","")))</f>
        <v/>
      </c>
      <c r="BO164" s="69" t="str">
        <f aca="false">IF($E164="","",IF($M164,IF(AND($G164&gt;=BO$5,$G164&lt;BO$5+GanttPeriod),"◆",IF(AND($E164&gt;=BO$5,$E164&lt;BO$5+GanttPeriod),"◇","")),IF(AND(BO$5&lt;=$F164,BO$5+GanttPeriod-1&gt;=$E164),"━","")))</f>
        <v/>
      </c>
      <c r="BP164" s="69" t="str">
        <f aca="false">IF($E164="","",IF($M164,IF(AND($G164&gt;=BP$5,$G164&lt;BP$5+GanttPeriod),"◆",IF(AND($E164&gt;=BP$5,$E164&lt;BP$5+GanttPeriod),"◇","")),IF(AND(BP$5&lt;=$F164,BP$5+GanttPeriod-1&gt;=$E164),"━","")))</f>
        <v/>
      </c>
      <c r="BQ164" s="69" t="str">
        <f aca="false">IF($E164="","",IF($M164,IF(AND($G164&gt;=BQ$5,$G164&lt;BQ$5+GanttPeriod),"◆",IF(AND($E164&gt;=BQ$5,$E164&lt;BQ$5+GanttPeriod),"◇","")),IF(AND(BQ$5&lt;=$F164,BQ$5+GanttPeriod-1&gt;=$E164),"━","")))</f>
        <v/>
      </c>
      <c r="BR164" s="69" t="str">
        <f aca="false">IF($E164="","",IF($M164,IF(AND($G164&gt;=BR$5,$G164&lt;BR$5+GanttPeriod),"◆",IF(AND($E164&gt;=BR$5,$E164&lt;BR$5+GanttPeriod),"◇","")),IF(AND(BR$5&lt;=$F164,BR$5+GanttPeriod-1&gt;=$E164),"━","")))</f>
        <v/>
      </c>
      <c r="BS164" s="69" t="str">
        <f aca="false">IF($E164="","",IF($M164,IF(AND($G164&gt;=BS$5,$G164&lt;BS$5+GanttPeriod),"◆",IF(AND($E164&gt;=BS$5,$E164&lt;BS$5+GanttPeriod),"◇","")),IF(AND(BS$5&lt;=$F164,BS$5+GanttPeriod-1&gt;=$E164),"━","")))</f>
        <v/>
      </c>
      <c r="BT164" s="69" t="str">
        <f aca="false">IF($E164="","",IF($M164,IF(AND($G164&gt;=BT$5,$G164&lt;BT$5+GanttPeriod),"◆",IF(AND($E164&gt;=BT$5,$E164&lt;BT$5+GanttPeriod),"◇","")),IF(AND(BT$5&lt;=$F164,BT$5+GanttPeriod-1&gt;=$E164),"━","")))</f>
        <v/>
      </c>
      <c r="BU164" s="69" t="str">
        <f aca="false">IF($E164="","",IF($M164,IF(AND($G164&gt;=BU$5,$G164&lt;BU$5+GanttPeriod),"◆",IF(AND($E164&gt;=BU$5,$E164&lt;BU$5+GanttPeriod),"◇","")),IF(AND(BU$5&lt;=$F164,BU$5+GanttPeriod-1&gt;=$E164),"━","")))</f>
        <v/>
      </c>
      <c r="BV164" s="69" t="str">
        <f aca="false">IF($E164="","",IF($M164,IF(AND($G164&gt;=BV$5,$G164&lt;BV$5+GanttPeriod),"◆",IF(AND($E164&gt;=BV$5,$E164&lt;BV$5+GanttPeriod),"◇","")),IF(AND(BV$5&lt;=$F164,BV$5+GanttPeriod-1&gt;=$E164),"━","")))</f>
        <v/>
      </c>
      <c r="BW164" s="69" t="str">
        <f aca="false">IF($E164="","",IF($M164,IF(AND($G164&gt;=BW$5,$G164&lt;BW$5+GanttPeriod),"◆",IF(AND($E164&gt;=BW$5,$E164&lt;BW$5+GanttPeriod),"◇","")),IF(AND(BW$5&lt;=$F164,BW$5+GanttPeriod-1&gt;=$E164),"━","")))</f>
        <v/>
      </c>
      <c r="BX164" s="69" t="str">
        <f aca="false">IF($E164="","",IF($M164,IF(AND($G164&gt;=BX$5,$G164&lt;BX$5+GanttPeriod),"◆",IF(AND($E164&gt;=BX$5,$E164&lt;BX$5+GanttPeriod),"◇","")),IF(AND(BX$5&lt;=$F164,BX$5+GanttPeriod-1&gt;=$E164),"━","")))</f>
        <v/>
      </c>
      <c r="BY164" s="69" t="str">
        <f aca="false">IF($E164="","",IF($M164,IF(AND($G164&gt;=BY$5,$G164&lt;BY$5+GanttPeriod),"◆",IF(AND($E164&gt;=BY$5,$E164&lt;BY$5+GanttPeriod),"◇","")),IF(AND(BY$5&lt;=$F164,BY$5+GanttPeriod-1&gt;=$E164),"━","")))</f>
        <v/>
      </c>
      <c r="BZ164" s="69" t="str">
        <f aca="false">IF($E164="","",IF($M164,IF(AND($G164&gt;=BZ$5,$G164&lt;BZ$5+GanttPeriod),"◆",IF(AND($E164&gt;=BZ$5,$E164&lt;BZ$5+GanttPeriod),"◇","")),IF(AND(BZ$5&lt;=$F164,BZ$5+GanttPeriod-1&gt;=$E164),"━","")))</f>
        <v/>
      </c>
      <c r="CA164" s="69" t="str">
        <f aca="false">IF($E164="","",IF($M164,IF(AND($G164&gt;=CA$5,$G164&lt;CA$5+GanttPeriod),"◆",IF(AND($E164&gt;=CA$5,$E164&lt;CA$5+GanttPeriod),"◇","")),IF(AND(CA$5&lt;=$F164,CA$5+GanttPeriod-1&gt;=$E164),"━","")))</f>
        <v/>
      </c>
      <c r="CB164" s="69" t="str">
        <f aca="false">IF($E164="","",IF($M164,IF(AND($G164&gt;=CB$5,$G164&lt;CB$5+GanttPeriod),"◆",IF(AND($E164&gt;=CB$5,$E164&lt;CB$5+GanttPeriod),"◇","")),IF(AND(CB$5&lt;=$F164,CB$5+GanttPeriod-1&gt;=$E164),"━","")))</f>
        <v/>
      </c>
      <c r="CC164" s="69" t="str">
        <f aca="false">IF($E164="","",IF($M164,IF(AND($G164&gt;=CC$5,$G164&lt;CC$5+GanttPeriod),"◆",IF(AND($E164&gt;=CC$5,$E164&lt;CC$5+GanttPeriod),"◇","")),IF(AND(CC$5&lt;=$F164,CC$5+GanttPeriod-1&gt;=$E164),"━","")))</f>
        <v/>
      </c>
      <c r="CD164" s="69" t="str">
        <f aca="false">IF($E164="","",IF($M164,IF(AND($G164&gt;=CD$5,$G164&lt;CD$5+GanttPeriod),"◆",IF(AND($E164&gt;=CD$5,$E164&lt;CD$5+GanttPeriod),"◇","")),IF(AND(CD$5&lt;=$F164,CD$5+GanttPeriod-1&gt;=$E164),"━","")))</f>
        <v/>
      </c>
      <c r="CE164" s="69" t="str">
        <f aca="false">IF($E164="","",IF($M164,IF(AND($G164&gt;=CE$5,$G164&lt;CE$5+GanttPeriod),"◆",IF(AND($E164&gt;=CE$5,$E164&lt;CE$5+GanttPeriod),"◇","")),IF(AND(CE$5&lt;=$F164,CE$5+GanttPeriod-1&gt;=$E164),"━","")))</f>
        <v/>
      </c>
      <c r="CF164" s="69" t="str">
        <f aca="false">IF($E164="","",IF($M164,IF(AND($G164&gt;=CF$5,$G164&lt;CF$5+GanttPeriod),"◆",IF(AND($E164&gt;=CF$5,$E164&lt;CF$5+GanttPeriod),"◇","")),IF(AND(CF$5&lt;=$F164,CF$5+GanttPeriod-1&gt;=$E164),"━","")))</f>
        <v/>
      </c>
      <c r="CG164" s="69" t="str">
        <f aca="false">IF($E164="","",IF($M164,IF(AND($G164&gt;=CG$5,$G164&lt;CG$5+GanttPeriod),"◆",IF(AND($E164&gt;=CG$5,$E164&lt;CG$5+GanttPeriod),"◇","")),IF(AND(CG$5&lt;=$F164,CG$5+GanttPeriod-1&gt;=$E164),"━","")))</f>
        <v/>
      </c>
      <c r="CH164" s="69" t="str">
        <f aca="false">IF($E164="","",IF($M164,IF(AND($G164&gt;=CH$5,$G164&lt;CH$5+GanttPeriod),"◆",IF(AND($E164&gt;=CH$5,$E164&lt;CH$5+GanttPeriod),"◇","")),IF(AND(CH$5&lt;=$F164,CH$5+GanttPeriod-1&gt;=$E164),"━","")))</f>
        <v/>
      </c>
      <c r="CI164" s="69" t="str">
        <f aca="false">IF($E164="","",IF($M164,IF(AND($G164&gt;=CI$5,$G164&lt;CI$5+GanttPeriod),"◆",IF(AND($E164&gt;=CI$5,$E164&lt;CI$5+GanttPeriod),"◇","")),IF(AND(CI$5&lt;=$F164,CI$5+GanttPeriod-1&gt;=$E164),"━","")))</f>
        <v/>
      </c>
      <c r="CJ164" s="69" t="str">
        <f aca="false">IF($E164="","",IF($M164,IF(AND($G164&gt;=CJ$5,$G164&lt;CJ$5+GanttPeriod),"◆",IF(AND($E164&gt;=CJ$5,$E164&lt;CJ$5+GanttPeriod),"◇","")),IF(AND(CJ$5&lt;=$F164,CJ$5+GanttPeriod-1&gt;=$E164),"━","")))</f>
        <v/>
      </c>
      <c r="CK164" s="69" t="str">
        <f aca="false">IF($E164="","",IF($M164,IF(AND($G164&gt;=CK$5,$G164&lt;CK$5+GanttPeriod),"◆",IF(AND($E164&gt;=CK$5,$E164&lt;CK$5+GanttPeriod),"◇","")),IF(AND(CK$5&lt;=$F164,CK$5+GanttPeriod-1&gt;=$E164),"━","")))</f>
        <v/>
      </c>
      <c r="CL164" s="69" t="str">
        <f aca="false">IF($E164="","",IF($M164,IF(AND($G164&gt;=CL$5,$G164&lt;CL$5+GanttPeriod),"◆",IF(AND($E164&gt;=CL$5,$E164&lt;CL$5+GanttPeriod),"◇","")),IF(AND(CL$5&lt;=$F164,CL$5+GanttPeriod-1&gt;=$E164),"━","")))</f>
        <v/>
      </c>
      <c r="CM164" s="69" t="str">
        <f aca="false">IF($E164="","",IF($M164,IF(AND($G164&gt;=CM$5,$G164&lt;CM$5+GanttPeriod),"◆",IF(AND($E164&gt;=CM$5,$E164&lt;CM$5+GanttPeriod),"◇","")),IF(AND(CM$5&lt;=$F164,CM$5+GanttPeriod-1&gt;=$E164),"━","")))</f>
        <v/>
      </c>
      <c r="CN164" s="69" t="str">
        <f aca="false">IF($E164="","",IF($M164,IF(AND($G164&gt;=CN$5,$G164&lt;CN$5+GanttPeriod),"◆",IF(AND($E164&gt;=CN$5,$E164&lt;CN$5+GanttPeriod),"◇","")),IF(AND(CN$5&lt;=$F164,CN$5+GanttPeriod-1&gt;=$E164),"━","")))</f>
        <v/>
      </c>
      <c r="CO164" s="69" t="str">
        <f aca="false">IF($E164="","",IF($M164,IF(AND($G164&gt;=CO$5,$G164&lt;CO$5+GanttPeriod),"◆",IF(AND($E164&gt;=CO$5,$E164&lt;CO$5+GanttPeriod),"◇","")),IF(AND(CO$5&lt;=$F164,CO$5+GanttPeriod-1&gt;=$E164),"━","")))</f>
        <v/>
      </c>
      <c r="CP164" s="69" t="str">
        <f aca="false">IF($E164="","",IF($M164,IF(AND($G164&gt;=CP$5,$G164&lt;CP$5+GanttPeriod),"◆",IF(AND($E164&gt;=CP$5,$E164&lt;CP$5+GanttPeriod),"◇","")),IF(AND(CP$5&lt;=$F164,CP$5+GanttPeriod-1&gt;=$E164),"━","")))</f>
        <v/>
      </c>
      <c r="CQ164" s="69" t="str">
        <f aca="false">IF($E164="","",IF($M164,IF(AND($G164&gt;=CQ$5,$G164&lt;CQ$5+GanttPeriod),"◆",IF(AND($E164&gt;=CQ$5,$E164&lt;CQ$5+GanttPeriod),"◇","")),IF(AND(CQ$5&lt;=$F164,CQ$5+GanttPeriod-1&gt;=$E164),"━","")))</f>
        <v/>
      </c>
      <c r="CR164" s="69" t="str">
        <f aca="false">IF($E164="","",IF($M164,IF(AND($G164&gt;=CR$5,$G164&lt;CR$5+GanttPeriod),"◆",IF(AND($E164&gt;=CR$5,$E164&lt;CR$5+GanttPeriod),"◇","")),IF(AND(CR$5&lt;=$F164,CR$5+GanttPeriod-1&gt;=$E164),"━","")))</f>
        <v/>
      </c>
      <c r="CS164" s="69" t="str">
        <f aca="false">IF($E164="","",IF($M164,IF(AND($G164&gt;=CS$5,$G164&lt;CS$5+GanttPeriod),"◆",IF(AND($E164&gt;=CS$5,$E164&lt;CS$5+GanttPeriod),"◇","")),IF(AND(CS$5&lt;=$F164,CS$5+GanttPeriod-1&gt;=$E164),"━","")))</f>
        <v/>
      </c>
      <c r="CT164" s="69" t="str">
        <f aca="false">IF($E164="","",IF($M164,IF(AND($G164&gt;=CT$5,$G164&lt;CT$5+GanttPeriod),"◆",IF(AND($E164&gt;=CT$5,$E164&lt;CT$5+GanttPeriod),"◇","")),IF(AND(CT$5&lt;=$F164,CT$5+GanttPeriod-1&gt;=$E164),"━","")))</f>
        <v/>
      </c>
      <c r="CU164" s="69" t="str">
        <f aca="false">IF($E164="","",IF($M164,IF(AND($G164&gt;=CU$5,$G164&lt;CU$5+GanttPeriod),"◆",IF(AND($E164&gt;=CU$5,$E164&lt;CU$5+GanttPeriod),"◇","")),IF(AND(CU$5&lt;=$F164,CU$5+GanttPeriod-1&gt;=$E164),"━","")))</f>
        <v/>
      </c>
      <c r="CV164" s="69" t="str">
        <f aca="false">IF($E164="","",IF($M164,IF(AND($G164&gt;=CV$5,$G164&lt;CV$5+GanttPeriod),"◆",IF(AND($E164&gt;=CV$5,$E164&lt;CV$5+GanttPeriod),"◇","")),IF(AND(CV$5&lt;=$F164,CV$5+GanttPeriod-1&gt;=$E164),"━","")))</f>
        <v/>
      </c>
      <c r="CW164" s="69" t="str">
        <f aca="false">IF($E164="","",IF($M164,IF(AND($G164&gt;=CW$5,$G164&lt;CW$5+GanttPeriod),"◆",IF(AND($E164&gt;=CW$5,$E164&lt;CW$5+GanttPeriod),"◇","")),IF(AND(CW$5&lt;=$F164,CW$5+GanttPeriod-1&gt;=$E164),"━","")))</f>
        <v/>
      </c>
      <c r="CX164" s="69" t="str">
        <f aca="false">IF($E164="","",IF($M164,IF(AND($G164&gt;=CX$5,$G164&lt;CX$5+GanttPeriod),"◆",IF(AND($E164&gt;=CX$5,$E164&lt;CX$5+GanttPeriod),"◇","")),IF(AND(CX$5&lt;=$F164,CX$5+GanttPeriod-1&gt;=$E164),"━","")))</f>
        <v/>
      </c>
      <c r="CY164" s="69" t="str">
        <f aca="false">IF($E164="","",IF($M164,IF(AND($G164&gt;=CY$5,$G164&lt;CY$5+GanttPeriod),"◆",IF(AND($E164&gt;=CY$5,$E164&lt;CY$5+GanttPeriod),"◇","")),IF(AND(CY$5&lt;=$F164,CY$5+GanttPeriod-1&gt;=$E164),"━","")))</f>
        <v/>
      </c>
      <c r="CZ164" s="69" t="str">
        <f aca="false">IF($E164="","",IF($M164,IF(AND($G164&gt;=CZ$5,$G164&lt;CZ$5+GanttPeriod),"◆",IF(AND($E164&gt;=CZ$5,$E164&lt;CZ$5+GanttPeriod),"◇","")),IF(AND(CZ$5&lt;=$F164,CZ$5+GanttPeriod-1&gt;=$E164),"━","")))</f>
        <v/>
      </c>
      <c r="DA164" s="69" t="str">
        <f aca="false">IF($E164="","",IF($M164,IF(AND($G164&gt;=DA$5,$G164&lt;DA$5+GanttPeriod),"◆",IF(AND($E164&gt;=DA$5,$E164&lt;DA$5+GanttPeriod),"◇","")),IF(AND(DA$5&lt;=$F164,DA$5+GanttPeriod-1&gt;=$E164),"━","")))</f>
        <v/>
      </c>
      <c r="DB164" s="69" t="str">
        <f aca="false">IF($E164="","",IF($M164,IF(AND($G164&gt;=DB$5,$G164&lt;DB$5+GanttPeriod),"◆",IF(AND($E164&gt;=DB$5,$E164&lt;DB$5+GanttPeriod),"◇","")),IF(AND(DB$5&lt;=$F164,DB$5+GanttPeriod-1&gt;=$E164),"━","")))</f>
        <v/>
      </c>
      <c r="DC164" s="69" t="str">
        <f aca="false">IF($E164="","",IF($M164,IF(AND($G164&gt;=DC$5,$G164&lt;DC$5+GanttPeriod),"◆",IF(AND($E164&gt;=DC$5,$E164&lt;DC$5+GanttPeriod),"◇","")),IF(AND(DC$5&lt;=$F164,DC$5+GanttPeriod-1&gt;=$E164),"━","")))</f>
        <v/>
      </c>
      <c r="DD164" s="69" t="str">
        <f aca="false">IF($E164="","",IF($M164,IF(AND($G164&gt;=DD$5,$G164&lt;DD$5+GanttPeriod),"◆",IF(AND($E164&gt;=DD$5,$E164&lt;DD$5+GanttPeriod),"◇","")),IF(AND(DD$5&lt;=$F164,DD$5+GanttPeriod-1&gt;=$E164),"━","")))</f>
        <v/>
      </c>
      <c r="DE164" s="69" t="str">
        <f aca="false">IF($E164="","",IF($M164,IF(AND($G164&gt;=DE$5,$G164&lt;DE$5+GanttPeriod),"◆",IF(AND($E164&gt;=DE$5,$E164&lt;DE$5+GanttPeriod),"◇","")),IF(AND(DE$5&lt;=$F164,DE$5+GanttPeriod-1&gt;=$E164),"━","")))</f>
        <v/>
      </c>
      <c r="DF164" s="69" t="str">
        <f aca="false">IF($E164="","",IF($M164,IF(AND($G164&gt;=DF$5,$G164&lt;DF$5+GanttPeriod),"◆",IF(AND($E164&gt;=DF$5,$E164&lt;DF$5+GanttPeriod),"◇","")),IF(AND(DF$5&lt;=$F164,DF$5+GanttPeriod-1&gt;=$E164),"━","")))</f>
        <v/>
      </c>
      <c r="DG164" s="69" t="str">
        <f aca="false">IF($E164="","",IF($M164,IF(AND($G164&gt;=DG$5,$G164&lt;DG$5+GanttPeriod),"◆",IF(AND($E164&gt;=DG$5,$E164&lt;DG$5+GanttPeriod),"◇","")),IF(AND(DG$5&lt;=$F164,DG$5+GanttPeriod-1&gt;=$E164),"━","")))</f>
        <v/>
      </c>
      <c r="DH164" s="69" t="str">
        <f aca="false">IF($E164="","",IF($M164,IF(AND($G164&gt;=DH$5,$G164&lt;DH$5+GanttPeriod),"◆",IF(AND($E164&gt;=DH$5,$E164&lt;DH$5+GanttPeriod),"◇","")),IF(AND(DH$5&lt;=$F164,DH$5+GanttPeriod-1&gt;=$E164),"━","")))</f>
        <v/>
      </c>
      <c r="DI164" s="69" t="str">
        <f aca="false">IF($E164="","",IF($M164,IF(AND($G164&gt;=DI$5,$G164&lt;DI$5+GanttPeriod),"◆",IF(AND($E164&gt;=DI$5,$E164&lt;DI$5+GanttPeriod),"◇","")),IF(AND(DI$5&lt;=$F164,DI$5+GanttPeriod-1&gt;=$E164),"━","")))</f>
        <v/>
      </c>
      <c r="DJ164" s="69" t="str">
        <f aca="false">IF($E164="","",IF($M164,IF(AND($G164&gt;=DJ$5,$G164&lt;DJ$5+GanttPeriod),"◆",IF(AND($E164&gt;=DJ$5,$E164&lt;DJ$5+GanttPeriod),"◇","")),IF(AND(DJ$5&lt;=$F164,DJ$5+GanttPeriod-1&gt;=$E164),"━","")))</f>
        <v/>
      </c>
      <c r="DK164" s="69" t="str">
        <f aca="false">IF($E164="","",IF($M164,IF(AND($G164&gt;=DK$5,$G164&lt;DK$5+GanttPeriod),"◆",IF(AND($E164&gt;=DK$5,$E164&lt;DK$5+GanttPeriod),"◇","")),IF(AND(DK$5&lt;=$F164,DK$5+GanttPeriod-1&gt;=$E164),"━","")))</f>
        <v/>
      </c>
      <c r="DL164" s="69" t="str">
        <f aca="false">IF($E164="","",IF($M164,IF(AND($G164&gt;=DL$5,$G164&lt;DL$5+GanttPeriod),"◆",IF(AND($E164&gt;=DL$5,$E164&lt;DL$5+GanttPeriod),"◇","")),IF(AND(DL$5&lt;=$F164,DL$5+GanttPeriod-1&gt;=$E164),"━","")))</f>
        <v/>
      </c>
      <c r="DM164" s="69" t="str">
        <f aca="false">IF($E164="","",IF($M164,IF(AND($G164&gt;=DM$5,$G164&lt;DM$5+GanttPeriod),"◆",IF(AND($E164&gt;=DM$5,$E164&lt;DM$5+GanttPeriod),"◇","")),IF(AND(DM$5&lt;=$F164,DM$5+GanttPeriod-1&gt;=$E164),"━","")))</f>
        <v/>
      </c>
      <c r="DN164" s="69" t="str">
        <f aca="false">IF($E164="","",IF($M164,IF(AND($G164&gt;=DN$5,$G164&lt;DN$5+GanttPeriod),"◆",IF(AND($E164&gt;=DN$5,$E164&lt;DN$5+GanttPeriod),"◇","")),IF(AND(DN$5&lt;=$F164,DN$5+GanttPeriod-1&gt;=$E164),"━","")))</f>
        <v/>
      </c>
      <c r="DO164" s="69" t="str">
        <f aca="false">IF($E164="","",IF($M164,IF(AND($G164&gt;=DO$5,$G164&lt;DO$5+GanttPeriod),"◆",IF(AND($E164&gt;=DO$5,$E164&lt;DO$5+GanttPeriod),"◇","")),IF(AND(DO$5&lt;=$F164,DO$5+GanttPeriod-1&gt;=$E164),"━","")))</f>
        <v/>
      </c>
      <c r="DP164" s="69" t="str">
        <f aca="false">IF($E164="","",IF($M164,IF(AND($G164&gt;=DP$5,$G164&lt;DP$5+GanttPeriod),"◆",IF(AND($E164&gt;=DP$5,$E164&lt;DP$5+GanttPeriod),"◇","")),IF(AND(DP$5&lt;=$F164,DP$5+GanttPeriod-1&gt;=$E164),"━","")))</f>
        <v/>
      </c>
      <c r="DQ164" s="69" t="str">
        <f aca="false">IF($E164="","",IF($M164,IF(AND($G164&gt;=DQ$5,$G164&lt;DQ$5+GanttPeriod),"◆",IF(AND($E164&gt;=DQ$5,$E164&lt;DQ$5+GanttPeriod),"◇","")),IF(AND(DQ$5&lt;=$F164,DQ$5+GanttPeriod-1&gt;=$E164),"━","")))</f>
        <v/>
      </c>
      <c r="DR164" s="69" t="str">
        <f aca="false">IF($E164="","",IF($M164,IF(AND($G164&gt;=DR$5,$G164&lt;DR$5+GanttPeriod),"◆",IF(AND($E164&gt;=DR$5,$E164&lt;DR$5+GanttPeriod),"◇","")),IF(AND(DR$5&lt;=$F164,DR$5+GanttPeriod-1&gt;=$E164),"━","")))</f>
        <v/>
      </c>
      <c r="DS164" s="69" t="str">
        <f aca="false">IF($E164="","",IF($M164,IF(AND($G164&gt;=DS$5,$G164&lt;DS$5+GanttPeriod),"◆",IF(AND($E164&gt;=DS$5,$E164&lt;DS$5+GanttPeriod),"◇","")),IF(AND(DS$5&lt;=$F164,DS$5+GanttPeriod-1&gt;=$E164),"━","")))</f>
        <v/>
      </c>
      <c r="DT164" s="69" t="str">
        <f aca="false">IF($E164="","",IF($M164,IF(AND($G164&gt;=DT$5,$G164&lt;DT$5+GanttPeriod),"◆",IF(AND($E164&gt;=DT$5,$E164&lt;DT$5+GanttPeriod),"◇","")),IF(AND(DT$5&lt;=$F164,DT$5+GanttPeriod-1&gt;=$E164),"━","")))</f>
        <v/>
      </c>
      <c r="DU164" s="69" t="str">
        <f aca="false">IF($E164="","",IF($M164,IF(AND($G164&gt;=DU$5,$G164&lt;DU$5+GanttPeriod),"◆",IF(AND($E164&gt;=DU$5,$E164&lt;DU$5+GanttPeriod),"◇","")),IF(AND(DU$5&lt;=$F164,DU$5+GanttPeriod-1&gt;=$E164),"━","")))</f>
        <v/>
      </c>
      <c r="DV164" s="69" t="str">
        <f aca="false">IF($E164="","",IF($M164,IF(AND($G164&gt;=DV$5,$G164&lt;DV$5+GanttPeriod),"◆",IF(AND($E164&gt;=DV$5,$E164&lt;DV$5+GanttPeriod),"◇","")),IF(AND(DV$5&lt;=$F164,DV$5+GanttPeriod-1&gt;=$E164),"━","")))</f>
        <v/>
      </c>
      <c r="DW164" s="69" t="str">
        <f aca="false">IF($E164="","",IF($M164,IF(AND($G164&gt;=DW$5,$G164&lt;DW$5+GanttPeriod),"◆",IF(AND($E164&gt;=DW$5,$E164&lt;DW$5+GanttPeriod),"◇","")),IF(AND(DW$5&lt;=$F164,DW$5+GanttPeriod-1&gt;=$E164),"━","")))</f>
        <v/>
      </c>
      <c r="DX164" s="69" t="str">
        <f aca="false">IF($E164="","",IF($M164,IF(AND($G164&gt;=DX$5,$G164&lt;DX$5+GanttPeriod),"◆",IF(AND($E164&gt;=DX$5,$E164&lt;DX$5+GanttPeriod),"◇","")),IF(AND(DX$5&lt;=$F164,DX$5+GanttPeriod-1&gt;=$E164),"━","")))</f>
        <v/>
      </c>
      <c r="DY164" s="69" t="str">
        <f aca="false">IF($E164="","",IF($M164,IF(AND($G164&gt;=DY$5,$G164&lt;DY$5+GanttPeriod),"◆",IF(AND($E164&gt;=DY$5,$E164&lt;DY$5+GanttPeriod),"◇","")),IF(AND(DY$5&lt;=$F164,DY$5+GanttPeriod-1&gt;=$E164),"━","")))</f>
        <v/>
      </c>
      <c r="DZ164" s="69" t="str">
        <f aca="false">IF($E164="","",IF($M164,IF(AND($G164&gt;=DZ$5,$G164&lt;DZ$5+GanttPeriod),"◆",IF(AND($E164&gt;=DZ$5,$E164&lt;DZ$5+GanttPeriod),"◇","")),IF(AND(DZ$5&lt;=$F164,DZ$5+GanttPeriod-1&gt;=$E164),"━","")))</f>
        <v/>
      </c>
      <c r="EA164" s="69" t="str">
        <f aca="false">IF($E164="","",IF($M164,IF(AND($G164&gt;=EA$5,$G164&lt;EA$5+GanttPeriod),"◆",IF(AND($E164&gt;=EA$5,$E164&lt;EA$5+GanttPeriod),"◇","")),IF(AND(EA$5&lt;=$F164,EA$5+GanttPeriod-1&gt;=$E164),"━","")))</f>
        <v/>
      </c>
      <c r="EB164" s="69" t="str">
        <f aca="false">IF($E164="","",IF($M164,IF(AND($G164&gt;=EB$5,$G164&lt;EB$5+GanttPeriod),"◆",IF(AND($E164&gt;=EB$5,$E164&lt;EB$5+GanttPeriod),"◇","")),IF(AND(EB$5&lt;=$F164,EB$5+GanttPeriod-1&gt;=$E164),"━","")))</f>
        <v/>
      </c>
      <c r="EC164" s="69" t="str">
        <f aca="false">IF($E164="","",IF($M164,IF(AND($G164&gt;=EC$5,$G164&lt;EC$5+GanttPeriod),"◆",IF(AND($E164&gt;=EC$5,$E164&lt;EC$5+GanttPeriod),"◇","")),IF(AND(EC$5&lt;=$F164,EC$5+GanttPeriod-1&gt;=$E164),"━","")))</f>
        <v/>
      </c>
      <c r="ED164" s="69" t="str">
        <f aca="false">IF($E164="","",IF($M164,IF(AND($G164&gt;=ED$5,$G164&lt;ED$5+GanttPeriod),"◆",IF(AND($E164&gt;=ED$5,$E164&lt;ED$5+GanttPeriod),"◇","")),IF(AND(ED$5&lt;=$F164,ED$5+GanttPeriod-1&gt;=$E164),"━","")))</f>
        <v/>
      </c>
      <c r="EE164" s="69" t="str">
        <f aca="false">IF($E164="","",IF($M164,IF(AND($G164&gt;=EE$5,$G164&lt;EE$5+GanttPeriod),"◆",IF(AND($E164&gt;=EE$5,$E164&lt;EE$5+GanttPeriod),"◇","")),IF(AND(EE$5&lt;=$F164,EE$5+GanttPeriod-1&gt;=$E164),"━","")))</f>
        <v/>
      </c>
      <c r="EF164" s="69" t="str">
        <f aca="false">IF($E164="","",IF($M164,IF(AND($G164&gt;=EF$5,$G164&lt;EF$5+GanttPeriod),"◆",IF(AND($E164&gt;=EF$5,$E164&lt;EF$5+GanttPeriod),"◇","")),IF(AND(EF$5&lt;=$F164,EF$5+GanttPeriod-1&gt;=$E164),"━","")))</f>
        <v/>
      </c>
      <c r="EG164" s="69" t="str">
        <f aca="false">IF($E164="","",IF($M164,IF(AND($G164&gt;=EG$5,$G164&lt;EG$5+GanttPeriod),"◆",IF(AND($E164&gt;=EG$5,$E164&lt;EG$5+GanttPeriod),"◇","")),IF(AND(EG$5&lt;=$F164,EG$5+GanttPeriod-1&gt;=$E164),"━","")))</f>
        <v/>
      </c>
      <c r="EH164" s="69" t="str">
        <f aca="false">IF($E164="","",IF($M164,IF(AND($G164&gt;=EH$5,$G164&lt;EH$5+GanttPeriod),"◆",IF(AND($E164&gt;=EH$5,$E164&lt;EH$5+GanttPeriod),"◇","")),IF(AND(EH$5&lt;=$F164,EH$5+GanttPeriod-1&gt;=$E164),"━","")))</f>
        <v/>
      </c>
      <c r="EI164" s="69" t="str">
        <f aca="false">IF($E164="","",IF($M164,IF(AND($G164&gt;=EI$5,$G164&lt;EI$5+GanttPeriod),"◆",IF(AND($E164&gt;=EI$5,$E164&lt;EI$5+GanttPeriod),"◇","")),IF(AND(EI$5&lt;=$F164,EI$5+GanttPeriod-1&gt;=$E164),"━","")))</f>
        <v/>
      </c>
      <c r="EJ164" s="69" t="str">
        <f aca="false">IF($E164="","",IF($M164,IF(AND($G164&gt;=EJ$5,$G164&lt;EJ$5+GanttPeriod),"◆",IF(AND($E164&gt;=EJ$5,$E164&lt;EJ$5+GanttPeriod),"◇","")),IF(AND(EJ$5&lt;=$F164,EJ$5+GanttPeriod-1&gt;=$E164),"━","")))</f>
        <v/>
      </c>
      <c r="EK164" s="69" t="str">
        <f aca="false">IF($E164="","",IF($M164,IF(AND($G164&gt;=EK$5,$G164&lt;EK$5+GanttPeriod),"◆",IF(AND($E164&gt;=EK$5,$E164&lt;EK$5+GanttPeriod),"◇","")),IF(AND(EK$5&lt;=$F164,EK$5+GanttPeriod-1&gt;=$E164),"━","")))</f>
        <v/>
      </c>
      <c r="EL164" s="69" t="str">
        <f aca="false">IF($E164="","",IF($M164,IF(AND($G164&gt;=EL$5,$G164&lt;EL$5+GanttPeriod),"◆",IF(AND($E164&gt;=EL$5,$E164&lt;EL$5+GanttPeriod),"◇","")),IF(AND(EL$5&lt;=$F164,EL$5+GanttPeriod-1&gt;=$E164),"━","")))</f>
        <v/>
      </c>
      <c r="EM164" s="69" t="str">
        <f aca="false">IF($E164="","",IF($M164,IF(AND($G164&gt;=EM$5,$G164&lt;EM$5+GanttPeriod),"◆",IF(AND($E164&gt;=EM$5,$E164&lt;EM$5+GanttPeriod),"◇","")),IF(AND(EM$5&lt;=$F164,EM$5+GanttPeriod-1&gt;=$E164),"━","")))</f>
        <v/>
      </c>
      <c r="EN164" s="69" t="str">
        <f aca="false">IF($E164="","",IF($M164,IF(AND($G164&gt;=EN$5,$G164&lt;EN$5+GanttPeriod),"◆",IF(AND($E164&gt;=EN$5,$E164&lt;EN$5+GanttPeriod),"◇","")),IF(AND(EN$5&lt;=$F164,EN$5+GanttPeriod-1&gt;=$E164),"━","")))</f>
        <v/>
      </c>
      <c r="EO164" s="69" t="str">
        <f aca="false">IF($E164="","",IF($M164,IF(AND($G164&gt;=EO$5,$G164&lt;EO$5+GanttPeriod),"◆",IF(AND($E164&gt;=EO$5,$E164&lt;EO$5+GanttPeriod),"◇","")),IF(AND(EO$5&lt;=$F164,EO$5+GanttPeriod-1&gt;=$E164),"━","")))</f>
        <v/>
      </c>
      <c r="EP164" s="69" t="str">
        <f aca="false">IF($E164="","",IF($M164,IF(AND($G164&gt;=EP$5,$G164&lt;EP$5+GanttPeriod),"◆",IF(AND($E164&gt;=EP$5,$E164&lt;EP$5+GanttPeriod),"◇","")),IF(AND(EP$5&lt;=$F164,EP$5+GanttPeriod-1&gt;=$E164),"━","")))</f>
        <v/>
      </c>
      <c r="EQ164" s="69" t="str">
        <f aca="false">IF($E164="","",IF($M164,IF(AND($G164&gt;=EQ$5,$G164&lt;EQ$5+GanttPeriod),"◆",IF(AND($E164&gt;=EQ$5,$E164&lt;EQ$5+GanttPeriod),"◇","")),IF(AND(EQ$5&lt;=$F164,EQ$5+GanttPeriod-1&gt;=$E164),"━","")))</f>
        <v/>
      </c>
      <c r="ER164" s="69" t="str">
        <f aca="false">IF($E164="","",IF($M164,IF(AND($G164&gt;=ER$5,$G164&lt;ER$5+GanttPeriod),"◆",IF(AND($E164&gt;=ER$5,$E164&lt;ER$5+GanttPeriod),"◇","")),IF(AND(ER$5&lt;=$F164,ER$5+GanttPeriod-1&gt;=$E164),"━","")))</f>
        <v/>
      </c>
      <c r="ES164" s="69" t="str">
        <f aca="false">IF($E164="","",IF($M164,IF(AND($G164&gt;=ES$5,$G164&lt;ES$5+GanttPeriod),"◆",IF(AND($E164&gt;=ES$5,$E164&lt;ES$5+GanttPeriod),"◇","")),IF(AND(ES$5&lt;=$F164,ES$5+GanttPeriod-1&gt;=$E164),"━","")))</f>
        <v/>
      </c>
      <c r="ET164" s="69" t="str">
        <f aca="false">IF($E164="","",IF($M164,IF(AND($G164&gt;=ET$5,$G164&lt;ET$5+GanttPeriod),"◆",IF(AND($E164&gt;=ET$5,$E164&lt;ET$5+GanttPeriod),"◇","")),IF(AND(ET$5&lt;=$F164,ET$5+GanttPeriod-1&gt;=$E164),"━","")))</f>
        <v/>
      </c>
      <c r="EU164" s="69" t="str">
        <f aca="false">IF($E164="","",IF($M164,IF(AND($G164&gt;=EU$5,$G164&lt;EU$5+GanttPeriod),"◆",IF(AND($E164&gt;=EU$5,$E164&lt;EU$5+GanttPeriod),"◇","")),IF(AND(EU$5&lt;=$F164,EU$5+GanttPeriod-1&gt;=$E164),"━","")))</f>
        <v/>
      </c>
      <c r="EV164" s="69" t="str">
        <f aca="false">IF($E164="","",IF($M164,IF(AND($G164&gt;=EV$5,$G164&lt;EV$5+GanttPeriod),"◆",IF(AND($E164&gt;=EV$5,$E164&lt;EV$5+GanttPeriod),"◇","")),IF(AND(EV$5&lt;=$F164,EV$5+GanttPeriod-1&gt;=$E164),"━","")))</f>
        <v/>
      </c>
      <c r="EW164" s="69" t="str">
        <f aca="false">IF($E164="","",IF($M164,IF(AND($G164&gt;=EW$5,$G164&lt;EW$5+GanttPeriod),"◆",IF(AND($E164&gt;=EW$5,$E164&lt;EW$5+GanttPeriod),"◇","")),IF(AND(EW$5&lt;=$F164,EW$5+GanttPeriod-1&gt;=$E164),"━","")))</f>
        <v/>
      </c>
      <c r="EX164" s="69" t="str">
        <f aca="false">IF($E164="","",IF($M164,IF(AND($G164&gt;=EX$5,$G164&lt;EX$5+GanttPeriod),"◆",IF(AND($E164&gt;=EX$5,$E164&lt;EX$5+GanttPeriod),"◇","")),IF(AND(EX$5&lt;=$F164,EX$5+GanttPeriod-1&gt;=$E164),"━","")))</f>
        <v/>
      </c>
      <c r="EY164" s="69" t="str">
        <f aca="false">IF($E164="","",IF($M164,IF(AND($G164&gt;=EY$5,$G164&lt;EY$5+GanttPeriod),"◆",IF(AND($E164&gt;=EY$5,$E164&lt;EY$5+GanttPeriod),"◇","")),IF(AND(EY$5&lt;=$F164,EY$5+GanttPeriod-1&gt;=$E164),"━","")))</f>
        <v/>
      </c>
      <c r="EZ164" s="69" t="str">
        <f aca="false">IF($E164="","",IF($M164,IF(AND($G164&gt;=EZ$5,$G164&lt;EZ$5+GanttPeriod),"◆",IF(AND($E164&gt;=EZ$5,$E164&lt;EZ$5+GanttPeriod),"◇","")),IF(AND(EZ$5&lt;=$F164,EZ$5+GanttPeriod-1&gt;=$E164),"━","")))</f>
        <v/>
      </c>
      <c r="FA164" s="69" t="str">
        <f aca="false">IF($E164="","",IF($M164,IF(AND($G164&gt;=FA$5,$G164&lt;FA$5+GanttPeriod),"◆",IF(AND($E164&gt;=FA$5,$E164&lt;FA$5+GanttPeriod),"◇","")),IF(AND(FA$5&lt;=$F164,FA$5+GanttPeriod-1&gt;=$E164),"━","")))</f>
        <v/>
      </c>
      <c r="FB164" s="69" t="str">
        <f aca="false">IF($E164="","",IF($M164,IF(AND($G164&gt;=FB$5,$G164&lt;FB$5+GanttPeriod),"◆",IF(AND($E164&gt;=FB$5,$E164&lt;FB$5+GanttPeriod),"◇","")),IF(AND(FB$5&lt;=$F164,FB$5+GanttPeriod-1&gt;=$E164),"━","")))</f>
        <v/>
      </c>
      <c r="FC164" s="69" t="str">
        <f aca="false">IF($E164="","",IF($M164,IF(AND($G164&gt;=FC$5,$G164&lt;FC$5+GanttPeriod),"◆",IF(AND($E164&gt;=FC$5,$E164&lt;FC$5+GanttPeriod),"◇","")),IF(AND(FC$5&lt;=$F164,FC$5+GanttPeriod-1&gt;=$E164),"━","")))</f>
        <v/>
      </c>
      <c r="FD164" s="69" t="str">
        <f aca="false">IF($E164="","",IF($M164,IF(AND($G164&gt;=FD$5,$G164&lt;FD$5+GanttPeriod),"◆",IF(AND($E164&gt;=FD$5,$E164&lt;FD$5+GanttPeriod),"◇","")),IF(AND(FD$5&lt;=$F164,FD$5+GanttPeriod-1&gt;=$E164),"━","")))</f>
        <v/>
      </c>
      <c r="FE164" s="69" t="str">
        <f aca="false">IF($E164="","",IF($M164,IF(AND($G164&gt;=FE$5,$G164&lt;FE$5+GanttPeriod),"◆",IF(AND($E164&gt;=FE$5,$E164&lt;FE$5+GanttPeriod),"◇","")),IF(AND(FE$5&lt;=$F164,FE$5+GanttPeriod-1&gt;=$E164),"━","")))</f>
        <v/>
      </c>
      <c r="FF164" s="69" t="str">
        <f aca="false">IF($E164="","",IF($M164,IF(AND($G164&gt;=FF$5,$G164&lt;FF$5+GanttPeriod),"◆",IF(AND($E164&gt;=FF$5,$E164&lt;FF$5+GanttPeriod),"◇","")),IF(AND(FF$5&lt;=$F164,FF$5+GanttPeriod-1&gt;=$E164),"━","")))</f>
        <v/>
      </c>
      <c r="FG164" s="69" t="str">
        <f aca="false">IF($E164="","",IF($M164,IF(AND($G164&gt;=FG$5,$G164&lt;FG$5+GanttPeriod),"◆",IF(AND($E164&gt;=FG$5,$E164&lt;FG$5+GanttPeriod),"◇","")),IF(AND(FG$5&lt;=$F164,FG$5+GanttPeriod-1&gt;=$E164),"━","")))</f>
        <v/>
      </c>
      <c r="FH164" s="69" t="str">
        <f aca="false">IF($E164="","",IF($M164,IF(AND($G164&gt;=FH$5,$G164&lt;FH$5+GanttPeriod),"◆",IF(AND($E164&gt;=FH$5,$E164&lt;FH$5+GanttPeriod),"◇","")),IF(AND(FH$5&lt;=$F164,FH$5+GanttPeriod-1&gt;=$E164),"━","")))</f>
        <v/>
      </c>
      <c r="FI164" s="69" t="str">
        <f aca="false">IF($E164="","",IF($M164,IF(AND($G164&gt;=FI$5,$G164&lt;FI$5+GanttPeriod),"◆",IF(AND($E164&gt;=FI$5,$E164&lt;FI$5+GanttPeriod),"◇","")),IF(AND(FI$5&lt;=$F164,FI$5+GanttPeriod-1&gt;=$E164),"━","")))</f>
        <v/>
      </c>
      <c r="FJ164" s="69" t="str">
        <f aca="false">IF($E164="","",IF($M164,IF(AND($G164&gt;=FJ$5,$G164&lt;FJ$5+GanttPeriod),"◆",IF(AND($E164&gt;=FJ$5,$E164&lt;FJ$5+GanttPeriod),"◇","")),IF(AND(FJ$5&lt;=$F164,FJ$5+GanttPeriod-1&gt;=$E164),"━","")))</f>
        <v/>
      </c>
      <c r="FK164" s="69" t="str">
        <f aca="false">IF($E164="","",IF($M164,IF(AND($G164&gt;=FK$5,$G164&lt;FK$5+GanttPeriod),"◆",IF(AND($E164&gt;=FK$5,$E164&lt;FK$5+GanttPeriod),"◇","")),IF(AND(FK$5&lt;=$F164,FK$5+GanttPeriod-1&gt;=$E164),"━","")))</f>
        <v/>
      </c>
      <c r="FL164" s="69" t="str">
        <f aca="false">IF($E164="","",IF($M164,IF(AND($G164&gt;=FL$5,$G164&lt;FL$5+GanttPeriod),"◆",IF(AND($E164&gt;=FL$5,$E164&lt;FL$5+GanttPeriod),"◇","")),IF(AND(FL$5&lt;=$F164,FL$5+GanttPeriod-1&gt;=$E164),"━","")))</f>
        <v/>
      </c>
      <c r="FM164" s="69" t="str">
        <f aca="false">IF($E164="","",IF($M164,IF(AND($G164&gt;=FM$5,$G164&lt;FM$5+GanttPeriod),"◆",IF(AND($E164&gt;=FM$5,$E164&lt;FM$5+GanttPeriod),"◇","")),IF(AND(FM$5&lt;=$F164,FM$5+GanttPeriod-1&gt;=$E164),"━","")))</f>
        <v/>
      </c>
    </row>
    <row r="165" customFormat="false" ht="15" hidden="false" customHeight="false" outlineLevel="0" collapsed="false">
      <c r="A165" s="62" t="str">
        <f aca="false">IF(Tasks!$D165="","",Tasks!$A165)</f>
        <v/>
      </c>
      <c r="B165" s="62" t="str">
        <f aca="false">IF(Tasks!$D165="","",Tasks!$B165)</f>
        <v/>
      </c>
      <c r="C165" s="63" t="str">
        <f aca="false">IF(Tasks!$D165="","",REPT("    ",Tasks!$AE165-1)&amp;Tasks!$D165)</f>
        <v/>
      </c>
      <c r="D165" s="62" t="str">
        <f aca="false">IF(Tasks!$D165="","",IF(Tasks!$AI165,NETWORKDAYS.INTL(Tasks!$R165,Tasks!$S165,WorkWeek,Holidays),N(Tasks!$F165)))</f>
        <v/>
      </c>
      <c r="E165" s="64" t="str">
        <f aca="false">IF(Tasks!$D165="","",Tasks!$N165)</f>
        <v/>
      </c>
      <c r="F165" s="64" t="str">
        <f aca="false">IF(Tasks!$D165="","",Tasks!$O165)</f>
        <v/>
      </c>
      <c r="G165" s="64" t="str">
        <f aca="false">IF(Tasks!$D165="","",Tasks!$R165)</f>
        <v/>
      </c>
      <c r="H165" s="64" t="str">
        <f aca="false">IF(Tasks!$D165="","",Tasks!$S165)</f>
        <v/>
      </c>
      <c r="I165" s="65" t="str">
        <f aca="false">IF(Tasks!$D165="","",Tasks!$V165)</f>
        <v/>
      </c>
      <c r="J165" s="63" t="str">
        <f aca="false">IF(Tasks!$D165="","",Tasks!$X165&amp;"")</f>
        <v/>
      </c>
      <c r="K165" s="66" t="str">
        <f aca="false">IF(Tasks!$D165="","",Tasks!$W165)</f>
        <v/>
      </c>
      <c r="L165" s="67" t="b">
        <f aca="false">IF(Tasks!$D165="",FALSE(),Tasks!$AI165)</f>
        <v>0</v>
      </c>
      <c r="M165" s="67" t="b">
        <f aca="false">AND(Tasks!$AJ165=1,N(Tasks!$F165)=0)</f>
        <v>0</v>
      </c>
      <c r="N165" s="68" t="n">
        <f aca="false">IF(AND(Tasks!$AJ165=1,NOT($M165),N($I165)&gt;0),$G165,0)</f>
        <v>0</v>
      </c>
      <c r="O165" s="68" t="n">
        <f aca="false">IF($N165=0,0,IF($I165&gt;=1,$H165,MAX($N165,$G165+ROUND(($H165-$G165+1)*$I165,0)-1)))</f>
        <v>0</v>
      </c>
      <c r="P165" s="68" t="n">
        <f aca="false">IF(OR(Tasks!$AJ165&lt;&gt;1,$M165,N($I165)&gt;=1),0,IF($O165&gt;0,$O165+1,$G165))</f>
        <v>0</v>
      </c>
      <c r="Q165" s="68" t="n">
        <f aca="false">IF($P165=0,0,$H165)</f>
        <v>0</v>
      </c>
      <c r="R165" s="67" t="b">
        <f aca="false">AND(Tasks!$D165&lt;&gt;"",N(Tasks!$T165)&gt;0)</f>
        <v>0</v>
      </c>
      <c r="T165" s="69" t="str">
        <f aca="false">IF($E165="","",IF($M165,IF(AND($G165&gt;=T$5,$G165&lt;T$5+GanttPeriod),"◆",IF(AND($E165&gt;=T$5,$E165&lt;T$5+GanttPeriod),"◇","")),IF(AND(T$5&lt;=$F165,T$5+GanttPeriod-1&gt;=$E165),"━","")))</f>
        <v/>
      </c>
      <c r="U165" s="69" t="str">
        <f aca="false">IF($E165="","",IF($M165,IF(AND($G165&gt;=U$5,$G165&lt;U$5+GanttPeriod),"◆",IF(AND($E165&gt;=U$5,$E165&lt;U$5+GanttPeriod),"◇","")),IF(AND(U$5&lt;=$F165,U$5+GanttPeriod-1&gt;=$E165),"━","")))</f>
        <v/>
      </c>
      <c r="V165" s="69" t="str">
        <f aca="false">IF($E165="","",IF($M165,IF(AND($G165&gt;=V$5,$G165&lt;V$5+GanttPeriod),"◆",IF(AND($E165&gt;=V$5,$E165&lt;V$5+GanttPeriod),"◇","")),IF(AND(V$5&lt;=$F165,V$5+GanttPeriod-1&gt;=$E165),"━","")))</f>
        <v/>
      </c>
      <c r="W165" s="69" t="str">
        <f aca="false">IF($E165="","",IF($M165,IF(AND($G165&gt;=W$5,$G165&lt;W$5+GanttPeriod),"◆",IF(AND($E165&gt;=W$5,$E165&lt;W$5+GanttPeriod),"◇","")),IF(AND(W$5&lt;=$F165,W$5+GanttPeriod-1&gt;=$E165),"━","")))</f>
        <v/>
      </c>
      <c r="X165" s="69" t="str">
        <f aca="false">IF($E165="","",IF($M165,IF(AND($G165&gt;=X$5,$G165&lt;X$5+GanttPeriod),"◆",IF(AND($E165&gt;=X$5,$E165&lt;X$5+GanttPeriod),"◇","")),IF(AND(X$5&lt;=$F165,X$5+GanttPeriod-1&gt;=$E165),"━","")))</f>
        <v/>
      </c>
      <c r="Y165" s="69" t="str">
        <f aca="false">IF($E165="","",IF($M165,IF(AND($G165&gt;=Y$5,$G165&lt;Y$5+GanttPeriod),"◆",IF(AND($E165&gt;=Y$5,$E165&lt;Y$5+GanttPeriod),"◇","")),IF(AND(Y$5&lt;=$F165,Y$5+GanttPeriod-1&gt;=$E165),"━","")))</f>
        <v/>
      </c>
      <c r="Z165" s="69" t="str">
        <f aca="false">IF($E165="","",IF($M165,IF(AND($G165&gt;=Z$5,$G165&lt;Z$5+GanttPeriod),"◆",IF(AND($E165&gt;=Z$5,$E165&lt;Z$5+GanttPeriod),"◇","")),IF(AND(Z$5&lt;=$F165,Z$5+GanttPeriod-1&gt;=$E165),"━","")))</f>
        <v/>
      </c>
      <c r="AA165" s="69" t="str">
        <f aca="false">IF($E165="","",IF($M165,IF(AND($G165&gt;=AA$5,$G165&lt;AA$5+GanttPeriod),"◆",IF(AND($E165&gt;=AA$5,$E165&lt;AA$5+GanttPeriod),"◇","")),IF(AND(AA$5&lt;=$F165,AA$5+GanttPeriod-1&gt;=$E165),"━","")))</f>
        <v/>
      </c>
      <c r="AB165" s="69" t="str">
        <f aca="false">IF($E165="","",IF($M165,IF(AND($G165&gt;=AB$5,$G165&lt;AB$5+GanttPeriod),"◆",IF(AND($E165&gt;=AB$5,$E165&lt;AB$5+GanttPeriod),"◇","")),IF(AND(AB$5&lt;=$F165,AB$5+GanttPeriod-1&gt;=$E165),"━","")))</f>
        <v/>
      </c>
      <c r="AC165" s="69" t="str">
        <f aca="false">IF($E165="","",IF($M165,IF(AND($G165&gt;=AC$5,$G165&lt;AC$5+GanttPeriod),"◆",IF(AND($E165&gt;=AC$5,$E165&lt;AC$5+GanttPeriod),"◇","")),IF(AND(AC$5&lt;=$F165,AC$5+GanttPeriod-1&gt;=$E165),"━","")))</f>
        <v/>
      </c>
      <c r="AD165" s="69" t="str">
        <f aca="false">IF($E165="","",IF($M165,IF(AND($G165&gt;=AD$5,$G165&lt;AD$5+GanttPeriod),"◆",IF(AND($E165&gt;=AD$5,$E165&lt;AD$5+GanttPeriod),"◇","")),IF(AND(AD$5&lt;=$F165,AD$5+GanttPeriod-1&gt;=$E165),"━","")))</f>
        <v/>
      </c>
      <c r="AE165" s="69" t="str">
        <f aca="false">IF($E165="","",IF($M165,IF(AND($G165&gt;=AE$5,$G165&lt;AE$5+GanttPeriod),"◆",IF(AND($E165&gt;=AE$5,$E165&lt;AE$5+GanttPeriod),"◇","")),IF(AND(AE$5&lt;=$F165,AE$5+GanttPeriod-1&gt;=$E165),"━","")))</f>
        <v/>
      </c>
      <c r="AF165" s="69" t="str">
        <f aca="false">IF($E165="","",IF($M165,IF(AND($G165&gt;=AF$5,$G165&lt;AF$5+GanttPeriod),"◆",IF(AND($E165&gt;=AF$5,$E165&lt;AF$5+GanttPeriod),"◇","")),IF(AND(AF$5&lt;=$F165,AF$5+GanttPeriod-1&gt;=$E165),"━","")))</f>
        <v/>
      </c>
      <c r="AG165" s="69" t="str">
        <f aca="false">IF($E165="","",IF($M165,IF(AND($G165&gt;=AG$5,$G165&lt;AG$5+GanttPeriod),"◆",IF(AND($E165&gt;=AG$5,$E165&lt;AG$5+GanttPeriod),"◇","")),IF(AND(AG$5&lt;=$F165,AG$5+GanttPeriod-1&gt;=$E165),"━","")))</f>
        <v/>
      </c>
      <c r="AH165" s="69" t="str">
        <f aca="false">IF($E165="","",IF($M165,IF(AND($G165&gt;=AH$5,$G165&lt;AH$5+GanttPeriod),"◆",IF(AND($E165&gt;=AH$5,$E165&lt;AH$5+GanttPeriod),"◇","")),IF(AND(AH$5&lt;=$F165,AH$5+GanttPeriod-1&gt;=$E165),"━","")))</f>
        <v/>
      </c>
      <c r="AI165" s="69" t="str">
        <f aca="false">IF($E165="","",IF($M165,IF(AND($G165&gt;=AI$5,$G165&lt;AI$5+GanttPeriod),"◆",IF(AND($E165&gt;=AI$5,$E165&lt;AI$5+GanttPeriod),"◇","")),IF(AND(AI$5&lt;=$F165,AI$5+GanttPeriod-1&gt;=$E165),"━","")))</f>
        <v/>
      </c>
      <c r="AJ165" s="69" t="str">
        <f aca="false">IF($E165="","",IF($M165,IF(AND($G165&gt;=AJ$5,$G165&lt;AJ$5+GanttPeriod),"◆",IF(AND($E165&gt;=AJ$5,$E165&lt;AJ$5+GanttPeriod),"◇","")),IF(AND(AJ$5&lt;=$F165,AJ$5+GanttPeriod-1&gt;=$E165),"━","")))</f>
        <v/>
      </c>
      <c r="AK165" s="69" t="str">
        <f aca="false">IF($E165="","",IF($M165,IF(AND($G165&gt;=AK$5,$G165&lt;AK$5+GanttPeriod),"◆",IF(AND($E165&gt;=AK$5,$E165&lt;AK$5+GanttPeriod),"◇","")),IF(AND(AK$5&lt;=$F165,AK$5+GanttPeriod-1&gt;=$E165),"━","")))</f>
        <v/>
      </c>
      <c r="AL165" s="69" t="str">
        <f aca="false">IF($E165="","",IF($M165,IF(AND($G165&gt;=AL$5,$G165&lt;AL$5+GanttPeriod),"◆",IF(AND($E165&gt;=AL$5,$E165&lt;AL$5+GanttPeriod),"◇","")),IF(AND(AL$5&lt;=$F165,AL$5+GanttPeriod-1&gt;=$E165),"━","")))</f>
        <v/>
      </c>
      <c r="AM165" s="69" t="str">
        <f aca="false">IF($E165="","",IF($M165,IF(AND($G165&gt;=AM$5,$G165&lt;AM$5+GanttPeriod),"◆",IF(AND($E165&gt;=AM$5,$E165&lt;AM$5+GanttPeriod),"◇","")),IF(AND(AM$5&lt;=$F165,AM$5+GanttPeriod-1&gt;=$E165),"━","")))</f>
        <v/>
      </c>
      <c r="AN165" s="69" t="str">
        <f aca="false">IF($E165="","",IF($M165,IF(AND($G165&gt;=AN$5,$G165&lt;AN$5+GanttPeriod),"◆",IF(AND($E165&gt;=AN$5,$E165&lt;AN$5+GanttPeriod),"◇","")),IF(AND(AN$5&lt;=$F165,AN$5+GanttPeriod-1&gt;=$E165),"━","")))</f>
        <v/>
      </c>
      <c r="AO165" s="69" t="str">
        <f aca="false">IF($E165="","",IF($M165,IF(AND($G165&gt;=AO$5,$G165&lt;AO$5+GanttPeriod),"◆",IF(AND($E165&gt;=AO$5,$E165&lt;AO$5+GanttPeriod),"◇","")),IF(AND(AO$5&lt;=$F165,AO$5+GanttPeriod-1&gt;=$E165),"━","")))</f>
        <v/>
      </c>
      <c r="AP165" s="69" t="str">
        <f aca="false">IF($E165="","",IF($M165,IF(AND($G165&gt;=AP$5,$G165&lt;AP$5+GanttPeriod),"◆",IF(AND($E165&gt;=AP$5,$E165&lt;AP$5+GanttPeriod),"◇","")),IF(AND(AP$5&lt;=$F165,AP$5+GanttPeriod-1&gt;=$E165),"━","")))</f>
        <v/>
      </c>
      <c r="AQ165" s="69" t="str">
        <f aca="false">IF($E165="","",IF($M165,IF(AND($G165&gt;=AQ$5,$G165&lt;AQ$5+GanttPeriod),"◆",IF(AND($E165&gt;=AQ$5,$E165&lt;AQ$5+GanttPeriod),"◇","")),IF(AND(AQ$5&lt;=$F165,AQ$5+GanttPeriod-1&gt;=$E165),"━","")))</f>
        <v/>
      </c>
      <c r="AR165" s="69" t="str">
        <f aca="false">IF($E165="","",IF($M165,IF(AND($G165&gt;=AR$5,$G165&lt;AR$5+GanttPeriod),"◆",IF(AND($E165&gt;=AR$5,$E165&lt;AR$5+GanttPeriod),"◇","")),IF(AND(AR$5&lt;=$F165,AR$5+GanttPeriod-1&gt;=$E165),"━","")))</f>
        <v/>
      </c>
      <c r="AS165" s="69" t="str">
        <f aca="false">IF($E165="","",IF($M165,IF(AND($G165&gt;=AS$5,$G165&lt;AS$5+GanttPeriod),"◆",IF(AND($E165&gt;=AS$5,$E165&lt;AS$5+GanttPeriod),"◇","")),IF(AND(AS$5&lt;=$F165,AS$5+GanttPeriod-1&gt;=$E165),"━","")))</f>
        <v/>
      </c>
      <c r="AT165" s="69" t="str">
        <f aca="false">IF($E165="","",IF($M165,IF(AND($G165&gt;=AT$5,$G165&lt;AT$5+GanttPeriod),"◆",IF(AND($E165&gt;=AT$5,$E165&lt;AT$5+GanttPeriod),"◇","")),IF(AND(AT$5&lt;=$F165,AT$5+GanttPeriod-1&gt;=$E165),"━","")))</f>
        <v/>
      </c>
      <c r="AU165" s="69" t="str">
        <f aca="false">IF($E165="","",IF($M165,IF(AND($G165&gt;=AU$5,$G165&lt;AU$5+GanttPeriod),"◆",IF(AND($E165&gt;=AU$5,$E165&lt;AU$5+GanttPeriod),"◇","")),IF(AND(AU$5&lt;=$F165,AU$5+GanttPeriod-1&gt;=$E165),"━","")))</f>
        <v/>
      </c>
      <c r="AV165" s="69" t="str">
        <f aca="false">IF($E165="","",IF($M165,IF(AND($G165&gt;=AV$5,$G165&lt;AV$5+GanttPeriod),"◆",IF(AND($E165&gt;=AV$5,$E165&lt;AV$5+GanttPeriod),"◇","")),IF(AND(AV$5&lt;=$F165,AV$5+GanttPeriod-1&gt;=$E165),"━","")))</f>
        <v/>
      </c>
      <c r="AW165" s="69" t="str">
        <f aca="false">IF($E165="","",IF($M165,IF(AND($G165&gt;=AW$5,$G165&lt;AW$5+GanttPeriod),"◆",IF(AND($E165&gt;=AW$5,$E165&lt;AW$5+GanttPeriod),"◇","")),IF(AND(AW$5&lt;=$F165,AW$5+GanttPeriod-1&gt;=$E165),"━","")))</f>
        <v/>
      </c>
      <c r="AX165" s="69" t="str">
        <f aca="false">IF($E165="","",IF($M165,IF(AND($G165&gt;=AX$5,$G165&lt;AX$5+GanttPeriod),"◆",IF(AND($E165&gt;=AX$5,$E165&lt;AX$5+GanttPeriod),"◇","")),IF(AND(AX$5&lt;=$F165,AX$5+GanttPeriod-1&gt;=$E165),"━","")))</f>
        <v/>
      </c>
      <c r="AY165" s="69" t="str">
        <f aca="false">IF($E165="","",IF($M165,IF(AND($G165&gt;=AY$5,$G165&lt;AY$5+GanttPeriod),"◆",IF(AND($E165&gt;=AY$5,$E165&lt;AY$5+GanttPeriod),"◇","")),IF(AND(AY$5&lt;=$F165,AY$5+GanttPeriod-1&gt;=$E165),"━","")))</f>
        <v/>
      </c>
      <c r="AZ165" s="69" t="str">
        <f aca="false">IF($E165="","",IF($M165,IF(AND($G165&gt;=AZ$5,$G165&lt;AZ$5+GanttPeriod),"◆",IF(AND($E165&gt;=AZ$5,$E165&lt;AZ$5+GanttPeriod),"◇","")),IF(AND(AZ$5&lt;=$F165,AZ$5+GanttPeriod-1&gt;=$E165),"━","")))</f>
        <v/>
      </c>
      <c r="BA165" s="69" t="str">
        <f aca="false">IF($E165="","",IF($M165,IF(AND($G165&gt;=BA$5,$G165&lt;BA$5+GanttPeriod),"◆",IF(AND($E165&gt;=BA$5,$E165&lt;BA$5+GanttPeriod),"◇","")),IF(AND(BA$5&lt;=$F165,BA$5+GanttPeriod-1&gt;=$E165),"━","")))</f>
        <v/>
      </c>
      <c r="BB165" s="69" t="str">
        <f aca="false">IF($E165="","",IF($M165,IF(AND($G165&gt;=BB$5,$G165&lt;BB$5+GanttPeriod),"◆",IF(AND($E165&gt;=BB$5,$E165&lt;BB$5+GanttPeriod),"◇","")),IF(AND(BB$5&lt;=$F165,BB$5+GanttPeriod-1&gt;=$E165),"━","")))</f>
        <v/>
      </c>
      <c r="BC165" s="69" t="str">
        <f aca="false">IF($E165="","",IF($M165,IF(AND($G165&gt;=BC$5,$G165&lt;BC$5+GanttPeriod),"◆",IF(AND($E165&gt;=BC$5,$E165&lt;BC$5+GanttPeriod),"◇","")),IF(AND(BC$5&lt;=$F165,BC$5+GanttPeriod-1&gt;=$E165),"━","")))</f>
        <v/>
      </c>
      <c r="BD165" s="69" t="str">
        <f aca="false">IF($E165="","",IF($M165,IF(AND($G165&gt;=BD$5,$G165&lt;BD$5+GanttPeriod),"◆",IF(AND($E165&gt;=BD$5,$E165&lt;BD$5+GanttPeriod),"◇","")),IF(AND(BD$5&lt;=$F165,BD$5+GanttPeriod-1&gt;=$E165),"━","")))</f>
        <v/>
      </c>
      <c r="BE165" s="69" t="str">
        <f aca="false">IF($E165="","",IF($M165,IF(AND($G165&gt;=BE$5,$G165&lt;BE$5+GanttPeriod),"◆",IF(AND($E165&gt;=BE$5,$E165&lt;BE$5+GanttPeriod),"◇","")),IF(AND(BE$5&lt;=$F165,BE$5+GanttPeriod-1&gt;=$E165),"━","")))</f>
        <v/>
      </c>
      <c r="BF165" s="69" t="str">
        <f aca="false">IF($E165="","",IF($M165,IF(AND($G165&gt;=BF$5,$G165&lt;BF$5+GanttPeriod),"◆",IF(AND($E165&gt;=BF$5,$E165&lt;BF$5+GanttPeriod),"◇","")),IF(AND(BF$5&lt;=$F165,BF$5+GanttPeriod-1&gt;=$E165),"━","")))</f>
        <v/>
      </c>
      <c r="BG165" s="69" t="str">
        <f aca="false">IF($E165="","",IF($M165,IF(AND($G165&gt;=BG$5,$G165&lt;BG$5+GanttPeriod),"◆",IF(AND($E165&gt;=BG$5,$E165&lt;BG$5+GanttPeriod),"◇","")),IF(AND(BG$5&lt;=$F165,BG$5+GanttPeriod-1&gt;=$E165),"━","")))</f>
        <v/>
      </c>
      <c r="BH165" s="69" t="str">
        <f aca="false">IF($E165="","",IF($M165,IF(AND($G165&gt;=BH$5,$G165&lt;BH$5+GanttPeriod),"◆",IF(AND($E165&gt;=BH$5,$E165&lt;BH$5+GanttPeriod),"◇","")),IF(AND(BH$5&lt;=$F165,BH$5+GanttPeriod-1&gt;=$E165),"━","")))</f>
        <v/>
      </c>
      <c r="BI165" s="69" t="str">
        <f aca="false">IF($E165="","",IF($M165,IF(AND($G165&gt;=BI$5,$G165&lt;BI$5+GanttPeriod),"◆",IF(AND($E165&gt;=BI$5,$E165&lt;BI$5+GanttPeriod),"◇","")),IF(AND(BI$5&lt;=$F165,BI$5+GanttPeriod-1&gt;=$E165),"━","")))</f>
        <v/>
      </c>
      <c r="BJ165" s="69" t="str">
        <f aca="false">IF($E165="","",IF($M165,IF(AND($G165&gt;=BJ$5,$G165&lt;BJ$5+GanttPeriod),"◆",IF(AND($E165&gt;=BJ$5,$E165&lt;BJ$5+GanttPeriod),"◇","")),IF(AND(BJ$5&lt;=$F165,BJ$5+GanttPeriod-1&gt;=$E165),"━","")))</f>
        <v/>
      </c>
      <c r="BK165" s="69" t="str">
        <f aca="false">IF($E165="","",IF($M165,IF(AND($G165&gt;=BK$5,$G165&lt;BK$5+GanttPeriod),"◆",IF(AND($E165&gt;=BK$5,$E165&lt;BK$5+GanttPeriod),"◇","")),IF(AND(BK$5&lt;=$F165,BK$5+GanttPeriod-1&gt;=$E165),"━","")))</f>
        <v/>
      </c>
      <c r="BL165" s="69" t="str">
        <f aca="false">IF($E165="","",IF($M165,IF(AND($G165&gt;=BL$5,$G165&lt;BL$5+GanttPeriod),"◆",IF(AND($E165&gt;=BL$5,$E165&lt;BL$5+GanttPeriod),"◇","")),IF(AND(BL$5&lt;=$F165,BL$5+GanttPeriod-1&gt;=$E165),"━","")))</f>
        <v/>
      </c>
      <c r="BM165" s="69" t="str">
        <f aca="false">IF($E165="","",IF($M165,IF(AND($G165&gt;=BM$5,$G165&lt;BM$5+GanttPeriod),"◆",IF(AND($E165&gt;=BM$5,$E165&lt;BM$5+GanttPeriod),"◇","")),IF(AND(BM$5&lt;=$F165,BM$5+GanttPeriod-1&gt;=$E165),"━","")))</f>
        <v/>
      </c>
      <c r="BN165" s="69" t="str">
        <f aca="false">IF($E165="","",IF($M165,IF(AND($G165&gt;=BN$5,$G165&lt;BN$5+GanttPeriod),"◆",IF(AND($E165&gt;=BN$5,$E165&lt;BN$5+GanttPeriod),"◇","")),IF(AND(BN$5&lt;=$F165,BN$5+GanttPeriod-1&gt;=$E165),"━","")))</f>
        <v/>
      </c>
      <c r="BO165" s="69" t="str">
        <f aca="false">IF($E165="","",IF($M165,IF(AND($G165&gt;=BO$5,$G165&lt;BO$5+GanttPeriod),"◆",IF(AND($E165&gt;=BO$5,$E165&lt;BO$5+GanttPeriod),"◇","")),IF(AND(BO$5&lt;=$F165,BO$5+GanttPeriod-1&gt;=$E165),"━","")))</f>
        <v/>
      </c>
      <c r="BP165" s="69" t="str">
        <f aca="false">IF($E165="","",IF($M165,IF(AND($G165&gt;=BP$5,$G165&lt;BP$5+GanttPeriod),"◆",IF(AND($E165&gt;=BP$5,$E165&lt;BP$5+GanttPeriod),"◇","")),IF(AND(BP$5&lt;=$F165,BP$5+GanttPeriod-1&gt;=$E165),"━","")))</f>
        <v/>
      </c>
      <c r="BQ165" s="69" t="str">
        <f aca="false">IF($E165="","",IF($M165,IF(AND($G165&gt;=BQ$5,$G165&lt;BQ$5+GanttPeriod),"◆",IF(AND($E165&gt;=BQ$5,$E165&lt;BQ$5+GanttPeriod),"◇","")),IF(AND(BQ$5&lt;=$F165,BQ$5+GanttPeriod-1&gt;=$E165),"━","")))</f>
        <v/>
      </c>
      <c r="BR165" s="69" t="str">
        <f aca="false">IF($E165="","",IF($M165,IF(AND($G165&gt;=BR$5,$G165&lt;BR$5+GanttPeriod),"◆",IF(AND($E165&gt;=BR$5,$E165&lt;BR$5+GanttPeriod),"◇","")),IF(AND(BR$5&lt;=$F165,BR$5+GanttPeriod-1&gt;=$E165),"━","")))</f>
        <v/>
      </c>
      <c r="BS165" s="69" t="str">
        <f aca="false">IF($E165="","",IF($M165,IF(AND($G165&gt;=BS$5,$G165&lt;BS$5+GanttPeriod),"◆",IF(AND($E165&gt;=BS$5,$E165&lt;BS$5+GanttPeriod),"◇","")),IF(AND(BS$5&lt;=$F165,BS$5+GanttPeriod-1&gt;=$E165),"━","")))</f>
        <v/>
      </c>
      <c r="BT165" s="69" t="str">
        <f aca="false">IF($E165="","",IF($M165,IF(AND($G165&gt;=BT$5,$G165&lt;BT$5+GanttPeriod),"◆",IF(AND($E165&gt;=BT$5,$E165&lt;BT$5+GanttPeriod),"◇","")),IF(AND(BT$5&lt;=$F165,BT$5+GanttPeriod-1&gt;=$E165),"━","")))</f>
        <v/>
      </c>
      <c r="BU165" s="69" t="str">
        <f aca="false">IF($E165="","",IF($M165,IF(AND($G165&gt;=BU$5,$G165&lt;BU$5+GanttPeriod),"◆",IF(AND($E165&gt;=BU$5,$E165&lt;BU$5+GanttPeriod),"◇","")),IF(AND(BU$5&lt;=$F165,BU$5+GanttPeriod-1&gt;=$E165),"━","")))</f>
        <v/>
      </c>
      <c r="BV165" s="69" t="str">
        <f aca="false">IF($E165="","",IF($M165,IF(AND($G165&gt;=BV$5,$G165&lt;BV$5+GanttPeriod),"◆",IF(AND($E165&gt;=BV$5,$E165&lt;BV$5+GanttPeriod),"◇","")),IF(AND(BV$5&lt;=$F165,BV$5+GanttPeriod-1&gt;=$E165),"━","")))</f>
        <v/>
      </c>
      <c r="BW165" s="69" t="str">
        <f aca="false">IF($E165="","",IF($M165,IF(AND($G165&gt;=BW$5,$G165&lt;BW$5+GanttPeriod),"◆",IF(AND($E165&gt;=BW$5,$E165&lt;BW$5+GanttPeriod),"◇","")),IF(AND(BW$5&lt;=$F165,BW$5+GanttPeriod-1&gt;=$E165),"━","")))</f>
        <v/>
      </c>
      <c r="BX165" s="69" t="str">
        <f aca="false">IF($E165="","",IF($M165,IF(AND($G165&gt;=BX$5,$G165&lt;BX$5+GanttPeriod),"◆",IF(AND($E165&gt;=BX$5,$E165&lt;BX$5+GanttPeriod),"◇","")),IF(AND(BX$5&lt;=$F165,BX$5+GanttPeriod-1&gt;=$E165),"━","")))</f>
        <v/>
      </c>
      <c r="BY165" s="69" t="str">
        <f aca="false">IF($E165="","",IF($M165,IF(AND($G165&gt;=BY$5,$G165&lt;BY$5+GanttPeriod),"◆",IF(AND($E165&gt;=BY$5,$E165&lt;BY$5+GanttPeriod),"◇","")),IF(AND(BY$5&lt;=$F165,BY$5+GanttPeriod-1&gt;=$E165),"━","")))</f>
        <v/>
      </c>
      <c r="BZ165" s="69" t="str">
        <f aca="false">IF($E165="","",IF($M165,IF(AND($G165&gt;=BZ$5,$G165&lt;BZ$5+GanttPeriod),"◆",IF(AND($E165&gt;=BZ$5,$E165&lt;BZ$5+GanttPeriod),"◇","")),IF(AND(BZ$5&lt;=$F165,BZ$5+GanttPeriod-1&gt;=$E165),"━","")))</f>
        <v/>
      </c>
      <c r="CA165" s="69" t="str">
        <f aca="false">IF($E165="","",IF($M165,IF(AND($G165&gt;=CA$5,$G165&lt;CA$5+GanttPeriod),"◆",IF(AND($E165&gt;=CA$5,$E165&lt;CA$5+GanttPeriod),"◇","")),IF(AND(CA$5&lt;=$F165,CA$5+GanttPeriod-1&gt;=$E165),"━","")))</f>
        <v/>
      </c>
      <c r="CB165" s="69" t="str">
        <f aca="false">IF($E165="","",IF($M165,IF(AND($G165&gt;=CB$5,$G165&lt;CB$5+GanttPeriod),"◆",IF(AND($E165&gt;=CB$5,$E165&lt;CB$5+GanttPeriod),"◇","")),IF(AND(CB$5&lt;=$F165,CB$5+GanttPeriod-1&gt;=$E165),"━","")))</f>
        <v/>
      </c>
      <c r="CC165" s="69" t="str">
        <f aca="false">IF($E165="","",IF($M165,IF(AND($G165&gt;=CC$5,$G165&lt;CC$5+GanttPeriod),"◆",IF(AND($E165&gt;=CC$5,$E165&lt;CC$5+GanttPeriod),"◇","")),IF(AND(CC$5&lt;=$F165,CC$5+GanttPeriod-1&gt;=$E165),"━","")))</f>
        <v/>
      </c>
      <c r="CD165" s="69" t="str">
        <f aca="false">IF($E165="","",IF($M165,IF(AND($G165&gt;=CD$5,$G165&lt;CD$5+GanttPeriod),"◆",IF(AND($E165&gt;=CD$5,$E165&lt;CD$5+GanttPeriod),"◇","")),IF(AND(CD$5&lt;=$F165,CD$5+GanttPeriod-1&gt;=$E165),"━","")))</f>
        <v/>
      </c>
      <c r="CE165" s="69" t="str">
        <f aca="false">IF($E165="","",IF($M165,IF(AND($G165&gt;=CE$5,$G165&lt;CE$5+GanttPeriod),"◆",IF(AND($E165&gt;=CE$5,$E165&lt;CE$5+GanttPeriod),"◇","")),IF(AND(CE$5&lt;=$F165,CE$5+GanttPeriod-1&gt;=$E165),"━","")))</f>
        <v/>
      </c>
      <c r="CF165" s="69" t="str">
        <f aca="false">IF($E165="","",IF($M165,IF(AND($G165&gt;=CF$5,$G165&lt;CF$5+GanttPeriod),"◆",IF(AND($E165&gt;=CF$5,$E165&lt;CF$5+GanttPeriod),"◇","")),IF(AND(CF$5&lt;=$F165,CF$5+GanttPeriod-1&gt;=$E165),"━","")))</f>
        <v/>
      </c>
      <c r="CG165" s="69" t="str">
        <f aca="false">IF($E165="","",IF($M165,IF(AND($G165&gt;=CG$5,$G165&lt;CG$5+GanttPeriod),"◆",IF(AND($E165&gt;=CG$5,$E165&lt;CG$5+GanttPeriod),"◇","")),IF(AND(CG$5&lt;=$F165,CG$5+GanttPeriod-1&gt;=$E165),"━","")))</f>
        <v/>
      </c>
      <c r="CH165" s="69" t="str">
        <f aca="false">IF($E165="","",IF($M165,IF(AND($G165&gt;=CH$5,$G165&lt;CH$5+GanttPeriod),"◆",IF(AND($E165&gt;=CH$5,$E165&lt;CH$5+GanttPeriod),"◇","")),IF(AND(CH$5&lt;=$F165,CH$5+GanttPeriod-1&gt;=$E165),"━","")))</f>
        <v/>
      </c>
      <c r="CI165" s="69" t="str">
        <f aca="false">IF($E165="","",IF($M165,IF(AND($G165&gt;=CI$5,$G165&lt;CI$5+GanttPeriod),"◆",IF(AND($E165&gt;=CI$5,$E165&lt;CI$5+GanttPeriod),"◇","")),IF(AND(CI$5&lt;=$F165,CI$5+GanttPeriod-1&gt;=$E165),"━","")))</f>
        <v/>
      </c>
      <c r="CJ165" s="69" t="str">
        <f aca="false">IF($E165="","",IF($M165,IF(AND($G165&gt;=CJ$5,$G165&lt;CJ$5+GanttPeriod),"◆",IF(AND($E165&gt;=CJ$5,$E165&lt;CJ$5+GanttPeriod),"◇","")),IF(AND(CJ$5&lt;=$F165,CJ$5+GanttPeriod-1&gt;=$E165),"━","")))</f>
        <v/>
      </c>
      <c r="CK165" s="69" t="str">
        <f aca="false">IF($E165="","",IF($M165,IF(AND($G165&gt;=CK$5,$G165&lt;CK$5+GanttPeriod),"◆",IF(AND($E165&gt;=CK$5,$E165&lt;CK$5+GanttPeriod),"◇","")),IF(AND(CK$5&lt;=$F165,CK$5+GanttPeriod-1&gt;=$E165),"━","")))</f>
        <v/>
      </c>
      <c r="CL165" s="69" t="str">
        <f aca="false">IF($E165="","",IF($M165,IF(AND($G165&gt;=CL$5,$G165&lt;CL$5+GanttPeriod),"◆",IF(AND($E165&gt;=CL$5,$E165&lt;CL$5+GanttPeriod),"◇","")),IF(AND(CL$5&lt;=$F165,CL$5+GanttPeriod-1&gt;=$E165),"━","")))</f>
        <v/>
      </c>
      <c r="CM165" s="69" t="str">
        <f aca="false">IF($E165="","",IF($M165,IF(AND($G165&gt;=CM$5,$G165&lt;CM$5+GanttPeriod),"◆",IF(AND($E165&gt;=CM$5,$E165&lt;CM$5+GanttPeriod),"◇","")),IF(AND(CM$5&lt;=$F165,CM$5+GanttPeriod-1&gt;=$E165),"━","")))</f>
        <v/>
      </c>
      <c r="CN165" s="69" t="str">
        <f aca="false">IF($E165="","",IF($M165,IF(AND($G165&gt;=CN$5,$G165&lt;CN$5+GanttPeriod),"◆",IF(AND($E165&gt;=CN$5,$E165&lt;CN$5+GanttPeriod),"◇","")),IF(AND(CN$5&lt;=$F165,CN$5+GanttPeriod-1&gt;=$E165),"━","")))</f>
        <v/>
      </c>
      <c r="CO165" s="69" t="str">
        <f aca="false">IF($E165="","",IF($M165,IF(AND($G165&gt;=CO$5,$G165&lt;CO$5+GanttPeriod),"◆",IF(AND($E165&gt;=CO$5,$E165&lt;CO$5+GanttPeriod),"◇","")),IF(AND(CO$5&lt;=$F165,CO$5+GanttPeriod-1&gt;=$E165),"━","")))</f>
        <v/>
      </c>
      <c r="CP165" s="69" t="str">
        <f aca="false">IF($E165="","",IF($M165,IF(AND($G165&gt;=CP$5,$G165&lt;CP$5+GanttPeriod),"◆",IF(AND($E165&gt;=CP$5,$E165&lt;CP$5+GanttPeriod),"◇","")),IF(AND(CP$5&lt;=$F165,CP$5+GanttPeriod-1&gt;=$E165),"━","")))</f>
        <v/>
      </c>
      <c r="CQ165" s="69" t="str">
        <f aca="false">IF($E165="","",IF($M165,IF(AND($G165&gt;=CQ$5,$G165&lt;CQ$5+GanttPeriod),"◆",IF(AND($E165&gt;=CQ$5,$E165&lt;CQ$5+GanttPeriod),"◇","")),IF(AND(CQ$5&lt;=$F165,CQ$5+GanttPeriod-1&gt;=$E165),"━","")))</f>
        <v/>
      </c>
      <c r="CR165" s="69" t="str">
        <f aca="false">IF($E165="","",IF($M165,IF(AND($G165&gt;=CR$5,$G165&lt;CR$5+GanttPeriod),"◆",IF(AND($E165&gt;=CR$5,$E165&lt;CR$5+GanttPeriod),"◇","")),IF(AND(CR$5&lt;=$F165,CR$5+GanttPeriod-1&gt;=$E165),"━","")))</f>
        <v/>
      </c>
      <c r="CS165" s="69" t="str">
        <f aca="false">IF($E165="","",IF($M165,IF(AND($G165&gt;=CS$5,$G165&lt;CS$5+GanttPeriod),"◆",IF(AND($E165&gt;=CS$5,$E165&lt;CS$5+GanttPeriod),"◇","")),IF(AND(CS$5&lt;=$F165,CS$5+GanttPeriod-1&gt;=$E165),"━","")))</f>
        <v/>
      </c>
      <c r="CT165" s="69" t="str">
        <f aca="false">IF($E165="","",IF($M165,IF(AND($G165&gt;=CT$5,$G165&lt;CT$5+GanttPeriod),"◆",IF(AND($E165&gt;=CT$5,$E165&lt;CT$5+GanttPeriod),"◇","")),IF(AND(CT$5&lt;=$F165,CT$5+GanttPeriod-1&gt;=$E165),"━","")))</f>
        <v/>
      </c>
      <c r="CU165" s="69" t="str">
        <f aca="false">IF($E165="","",IF($M165,IF(AND($G165&gt;=CU$5,$G165&lt;CU$5+GanttPeriod),"◆",IF(AND($E165&gt;=CU$5,$E165&lt;CU$5+GanttPeriod),"◇","")),IF(AND(CU$5&lt;=$F165,CU$5+GanttPeriod-1&gt;=$E165),"━","")))</f>
        <v/>
      </c>
      <c r="CV165" s="69" t="str">
        <f aca="false">IF($E165="","",IF($M165,IF(AND($G165&gt;=CV$5,$G165&lt;CV$5+GanttPeriod),"◆",IF(AND($E165&gt;=CV$5,$E165&lt;CV$5+GanttPeriod),"◇","")),IF(AND(CV$5&lt;=$F165,CV$5+GanttPeriod-1&gt;=$E165),"━","")))</f>
        <v/>
      </c>
      <c r="CW165" s="69" t="str">
        <f aca="false">IF($E165="","",IF($M165,IF(AND($G165&gt;=CW$5,$G165&lt;CW$5+GanttPeriod),"◆",IF(AND($E165&gt;=CW$5,$E165&lt;CW$5+GanttPeriod),"◇","")),IF(AND(CW$5&lt;=$F165,CW$5+GanttPeriod-1&gt;=$E165),"━","")))</f>
        <v/>
      </c>
      <c r="CX165" s="69" t="str">
        <f aca="false">IF($E165="","",IF($M165,IF(AND($G165&gt;=CX$5,$G165&lt;CX$5+GanttPeriod),"◆",IF(AND($E165&gt;=CX$5,$E165&lt;CX$5+GanttPeriod),"◇","")),IF(AND(CX$5&lt;=$F165,CX$5+GanttPeriod-1&gt;=$E165),"━","")))</f>
        <v/>
      </c>
      <c r="CY165" s="69" t="str">
        <f aca="false">IF($E165="","",IF($M165,IF(AND($G165&gt;=CY$5,$G165&lt;CY$5+GanttPeriod),"◆",IF(AND($E165&gt;=CY$5,$E165&lt;CY$5+GanttPeriod),"◇","")),IF(AND(CY$5&lt;=$F165,CY$5+GanttPeriod-1&gt;=$E165),"━","")))</f>
        <v/>
      </c>
      <c r="CZ165" s="69" t="str">
        <f aca="false">IF($E165="","",IF($M165,IF(AND($G165&gt;=CZ$5,$G165&lt;CZ$5+GanttPeriod),"◆",IF(AND($E165&gt;=CZ$5,$E165&lt;CZ$5+GanttPeriod),"◇","")),IF(AND(CZ$5&lt;=$F165,CZ$5+GanttPeriod-1&gt;=$E165),"━","")))</f>
        <v/>
      </c>
      <c r="DA165" s="69" t="str">
        <f aca="false">IF($E165="","",IF($M165,IF(AND($G165&gt;=DA$5,$G165&lt;DA$5+GanttPeriod),"◆",IF(AND($E165&gt;=DA$5,$E165&lt;DA$5+GanttPeriod),"◇","")),IF(AND(DA$5&lt;=$F165,DA$5+GanttPeriod-1&gt;=$E165),"━","")))</f>
        <v/>
      </c>
      <c r="DB165" s="69" t="str">
        <f aca="false">IF($E165="","",IF($M165,IF(AND($G165&gt;=DB$5,$G165&lt;DB$5+GanttPeriod),"◆",IF(AND($E165&gt;=DB$5,$E165&lt;DB$5+GanttPeriod),"◇","")),IF(AND(DB$5&lt;=$F165,DB$5+GanttPeriod-1&gt;=$E165),"━","")))</f>
        <v/>
      </c>
      <c r="DC165" s="69" t="str">
        <f aca="false">IF($E165="","",IF($M165,IF(AND($G165&gt;=DC$5,$G165&lt;DC$5+GanttPeriod),"◆",IF(AND($E165&gt;=DC$5,$E165&lt;DC$5+GanttPeriod),"◇","")),IF(AND(DC$5&lt;=$F165,DC$5+GanttPeriod-1&gt;=$E165),"━","")))</f>
        <v/>
      </c>
      <c r="DD165" s="69" t="str">
        <f aca="false">IF($E165="","",IF($M165,IF(AND($G165&gt;=DD$5,$G165&lt;DD$5+GanttPeriod),"◆",IF(AND($E165&gt;=DD$5,$E165&lt;DD$5+GanttPeriod),"◇","")),IF(AND(DD$5&lt;=$F165,DD$5+GanttPeriod-1&gt;=$E165),"━","")))</f>
        <v/>
      </c>
      <c r="DE165" s="69" t="str">
        <f aca="false">IF($E165="","",IF($M165,IF(AND($G165&gt;=DE$5,$G165&lt;DE$5+GanttPeriod),"◆",IF(AND($E165&gt;=DE$5,$E165&lt;DE$5+GanttPeriod),"◇","")),IF(AND(DE$5&lt;=$F165,DE$5+GanttPeriod-1&gt;=$E165),"━","")))</f>
        <v/>
      </c>
      <c r="DF165" s="69" t="str">
        <f aca="false">IF($E165="","",IF($M165,IF(AND($G165&gt;=DF$5,$G165&lt;DF$5+GanttPeriod),"◆",IF(AND($E165&gt;=DF$5,$E165&lt;DF$5+GanttPeriod),"◇","")),IF(AND(DF$5&lt;=$F165,DF$5+GanttPeriod-1&gt;=$E165),"━","")))</f>
        <v/>
      </c>
      <c r="DG165" s="69" t="str">
        <f aca="false">IF($E165="","",IF($M165,IF(AND($G165&gt;=DG$5,$G165&lt;DG$5+GanttPeriod),"◆",IF(AND($E165&gt;=DG$5,$E165&lt;DG$5+GanttPeriod),"◇","")),IF(AND(DG$5&lt;=$F165,DG$5+GanttPeriod-1&gt;=$E165),"━","")))</f>
        <v/>
      </c>
      <c r="DH165" s="69" t="str">
        <f aca="false">IF($E165="","",IF($M165,IF(AND($G165&gt;=DH$5,$G165&lt;DH$5+GanttPeriod),"◆",IF(AND($E165&gt;=DH$5,$E165&lt;DH$5+GanttPeriod),"◇","")),IF(AND(DH$5&lt;=$F165,DH$5+GanttPeriod-1&gt;=$E165),"━","")))</f>
        <v/>
      </c>
      <c r="DI165" s="69" t="str">
        <f aca="false">IF($E165="","",IF($M165,IF(AND($G165&gt;=DI$5,$G165&lt;DI$5+GanttPeriod),"◆",IF(AND($E165&gt;=DI$5,$E165&lt;DI$5+GanttPeriod),"◇","")),IF(AND(DI$5&lt;=$F165,DI$5+GanttPeriod-1&gt;=$E165),"━","")))</f>
        <v/>
      </c>
      <c r="DJ165" s="69" t="str">
        <f aca="false">IF($E165="","",IF($M165,IF(AND($G165&gt;=DJ$5,$G165&lt;DJ$5+GanttPeriod),"◆",IF(AND($E165&gt;=DJ$5,$E165&lt;DJ$5+GanttPeriod),"◇","")),IF(AND(DJ$5&lt;=$F165,DJ$5+GanttPeriod-1&gt;=$E165),"━","")))</f>
        <v/>
      </c>
      <c r="DK165" s="69" t="str">
        <f aca="false">IF($E165="","",IF($M165,IF(AND($G165&gt;=DK$5,$G165&lt;DK$5+GanttPeriod),"◆",IF(AND($E165&gt;=DK$5,$E165&lt;DK$5+GanttPeriod),"◇","")),IF(AND(DK$5&lt;=$F165,DK$5+GanttPeriod-1&gt;=$E165),"━","")))</f>
        <v/>
      </c>
      <c r="DL165" s="69" t="str">
        <f aca="false">IF($E165="","",IF($M165,IF(AND($G165&gt;=DL$5,$G165&lt;DL$5+GanttPeriod),"◆",IF(AND($E165&gt;=DL$5,$E165&lt;DL$5+GanttPeriod),"◇","")),IF(AND(DL$5&lt;=$F165,DL$5+GanttPeriod-1&gt;=$E165),"━","")))</f>
        <v/>
      </c>
      <c r="DM165" s="69" t="str">
        <f aca="false">IF($E165="","",IF($M165,IF(AND($G165&gt;=DM$5,$G165&lt;DM$5+GanttPeriod),"◆",IF(AND($E165&gt;=DM$5,$E165&lt;DM$5+GanttPeriod),"◇","")),IF(AND(DM$5&lt;=$F165,DM$5+GanttPeriod-1&gt;=$E165),"━","")))</f>
        <v/>
      </c>
      <c r="DN165" s="69" t="str">
        <f aca="false">IF($E165="","",IF($M165,IF(AND($G165&gt;=DN$5,$G165&lt;DN$5+GanttPeriod),"◆",IF(AND($E165&gt;=DN$5,$E165&lt;DN$5+GanttPeriod),"◇","")),IF(AND(DN$5&lt;=$F165,DN$5+GanttPeriod-1&gt;=$E165),"━","")))</f>
        <v/>
      </c>
      <c r="DO165" s="69" t="str">
        <f aca="false">IF($E165="","",IF($M165,IF(AND($G165&gt;=DO$5,$G165&lt;DO$5+GanttPeriod),"◆",IF(AND($E165&gt;=DO$5,$E165&lt;DO$5+GanttPeriod),"◇","")),IF(AND(DO$5&lt;=$F165,DO$5+GanttPeriod-1&gt;=$E165),"━","")))</f>
        <v/>
      </c>
      <c r="DP165" s="69" t="str">
        <f aca="false">IF($E165="","",IF($M165,IF(AND($G165&gt;=DP$5,$G165&lt;DP$5+GanttPeriod),"◆",IF(AND($E165&gt;=DP$5,$E165&lt;DP$5+GanttPeriod),"◇","")),IF(AND(DP$5&lt;=$F165,DP$5+GanttPeriod-1&gt;=$E165),"━","")))</f>
        <v/>
      </c>
      <c r="DQ165" s="69" t="str">
        <f aca="false">IF($E165="","",IF($M165,IF(AND($G165&gt;=DQ$5,$G165&lt;DQ$5+GanttPeriod),"◆",IF(AND($E165&gt;=DQ$5,$E165&lt;DQ$5+GanttPeriod),"◇","")),IF(AND(DQ$5&lt;=$F165,DQ$5+GanttPeriod-1&gt;=$E165),"━","")))</f>
        <v/>
      </c>
      <c r="DR165" s="69" t="str">
        <f aca="false">IF($E165="","",IF($M165,IF(AND($G165&gt;=DR$5,$G165&lt;DR$5+GanttPeriod),"◆",IF(AND($E165&gt;=DR$5,$E165&lt;DR$5+GanttPeriod),"◇","")),IF(AND(DR$5&lt;=$F165,DR$5+GanttPeriod-1&gt;=$E165),"━","")))</f>
        <v/>
      </c>
      <c r="DS165" s="69" t="str">
        <f aca="false">IF($E165="","",IF($M165,IF(AND($G165&gt;=DS$5,$G165&lt;DS$5+GanttPeriod),"◆",IF(AND($E165&gt;=DS$5,$E165&lt;DS$5+GanttPeriod),"◇","")),IF(AND(DS$5&lt;=$F165,DS$5+GanttPeriod-1&gt;=$E165),"━","")))</f>
        <v/>
      </c>
      <c r="DT165" s="69" t="str">
        <f aca="false">IF($E165="","",IF($M165,IF(AND($G165&gt;=DT$5,$G165&lt;DT$5+GanttPeriod),"◆",IF(AND($E165&gt;=DT$5,$E165&lt;DT$5+GanttPeriod),"◇","")),IF(AND(DT$5&lt;=$F165,DT$5+GanttPeriod-1&gt;=$E165),"━","")))</f>
        <v/>
      </c>
      <c r="DU165" s="69" t="str">
        <f aca="false">IF($E165="","",IF($M165,IF(AND($G165&gt;=DU$5,$G165&lt;DU$5+GanttPeriod),"◆",IF(AND($E165&gt;=DU$5,$E165&lt;DU$5+GanttPeriod),"◇","")),IF(AND(DU$5&lt;=$F165,DU$5+GanttPeriod-1&gt;=$E165),"━","")))</f>
        <v/>
      </c>
      <c r="DV165" s="69" t="str">
        <f aca="false">IF($E165="","",IF($M165,IF(AND($G165&gt;=DV$5,$G165&lt;DV$5+GanttPeriod),"◆",IF(AND($E165&gt;=DV$5,$E165&lt;DV$5+GanttPeriod),"◇","")),IF(AND(DV$5&lt;=$F165,DV$5+GanttPeriod-1&gt;=$E165),"━","")))</f>
        <v/>
      </c>
      <c r="DW165" s="69" t="str">
        <f aca="false">IF($E165="","",IF($M165,IF(AND($G165&gt;=DW$5,$G165&lt;DW$5+GanttPeriod),"◆",IF(AND($E165&gt;=DW$5,$E165&lt;DW$5+GanttPeriod),"◇","")),IF(AND(DW$5&lt;=$F165,DW$5+GanttPeriod-1&gt;=$E165),"━","")))</f>
        <v/>
      </c>
      <c r="DX165" s="69" t="str">
        <f aca="false">IF($E165="","",IF($M165,IF(AND($G165&gt;=DX$5,$G165&lt;DX$5+GanttPeriod),"◆",IF(AND($E165&gt;=DX$5,$E165&lt;DX$5+GanttPeriod),"◇","")),IF(AND(DX$5&lt;=$F165,DX$5+GanttPeriod-1&gt;=$E165),"━","")))</f>
        <v/>
      </c>
      <c r="DY165" s="69" t="str">
        <f aca="false">IF($E165="","",IF($M165,IF(AND($G165&gt;=DY$5,$G165&lt;DY$5+GanttPeriod),"◆",IF(AND($E165&gt;=DY$5,$E165&lt;DY$5+GanttPeriod),"◇","")),IF(AND(DY$5&lt;=$F165,DY$5+GanttPeriod-1&gt;=$E165),"━","")))</f>
        <v/>
      </c>
      <c r="DZ165" s="69" t="str">
        <f aca="false">IF($E165="","",IF($M165,IF(AND($G165&gt;=DZ$5,$G165&lt;DZ$5+GanttPeriod),"◆",IF(AND($E165&gt;=DZ$5,$E165&lt;DZ$5+GanttPeriod),"◇","")),IF(AND(DZ$5&lt;=$F165,DZ$5+GanttPeriod-1&gt;=$E165),"━","")))</f>
        <v/>
      </c>
      <c r="EA165" s="69" t="str">
        <f aca="false">IF($E165="","",IF($M165,IF(AND($G165&gt;=EA$5,$G165&lt;EA$5+GanttPeriod),"◆",IF(AND($E165&gt;=EA$5,$E165&lt;EA$5+GanttPeriod),"◇","")),IF(AND(EA$5&lt;=$F165,EA$5+GanttPeriod-1&gt;=$E165),"━","")))</f>
        <v/>
      </c>
      <c r="EB165" s="69" t="str">
        <f aca="false">IF($E165="","",IF($M165,IF(AND($G165&gt;=EB$5,$G165&lt;EB$5+GanttPeriod),"◆",IF(AND($E165&gt;=EB$5,$E165&lt;EB$5+GanttPeriod),"◇","")),IF(AND(EB$5&lt;=$F165,EB$5+GanttPeriod-1&gt;=$E165),"━","")))</f>
        <v/>
      </c>
      <c r="EC165" s="69" t="str">
        <f aca="false">IF($E165="","",IF($M165,IF(AND($G165&gt;=EC$5,$G165&lt;EC$5+GanttPeriod),"◆",IF(AND($E165&gt;=EC$5,$E165&lt;EC$5+GanttPeriod),"◇","")),IF(AND(EC$5&lt;=$F165,EC$5+GanttPeriod-1&gt;=$E165),"━","")))</f>
        <v/>
      </c>
      <c r="ED165" s="69" t="str">
        <f aca="false">IF($E165="","",IF($M165,IF(AND($G165&gt;=ED$5,$G165&lt;ED$5+GanttPeriod),"◆",IF(AND($E165&gt;=ED$5,$E165&lt;ED$5+GanttPeriod),"◇","")),IF(AND(ED$5&lt;=$F165,ED$5+GanttPeriod-1&gt;=$E165),"━","")))</f>
        <v/>
      </c>
      <c r="EE165" s="69" t="str">
        <f aca="false">IF($E165="","",IF($M165,IF(AND($G165&gt;=EE$5,$G165&lt;EE$5+GanttPeriod),"◆",IF(AND($E165&gt;=EE$5,$E165&lt;EE$5+GanttPeriod),"◇","")),IF(AND(EE$5&lt;=$F165,EE$5+GanttPeriod-1&gt;=$E165),"━","")))</f>
        <v/>
      </c>
      <c r="EF165" s="69" t="str">
        <f aca="false">IF($E165="","",IF($M165,IF(AND($G165&gt;=EF$5,$G165&lt;EF$5+GanttPeriod),"◆",IF(AND($E165&gt;=EF$5,$E165&lt;EF$5+GanttPeriod),"◇","")),IF(AND(EF$5&lt;=$F165,EF$5+GanttPeriod-1&gt;=$E165),"━","")))</f>
        <v/>
      </c>
      <c r="EG165" s="69" t="str">
        <f aca="false">IF($E165="","",IF($M165,IF(AND($G165&gt;=EG$5,$G165&lt;EG$5+GanttPeriod),"◆",IF(AND($E165&gt;=EG$5,$E165&lt;EG$5+GanttPeriod),"◇","")),IF(AND(EG$5&lt;=$F165,EG$5+GanttPeriod-1&gt;=$E165),"━","")))</f>
        <v/>
      </c>
      <c r="EH165" s="69" t="str">
        <f aca="false">IF($E165="","",IF($M165,IF(AND($G165&gt;=EH$5,$G165&lt;EH$5+GanttPeriod),"◆",IF(AND($E165&gt;=EH$5,$E165&lt;EH$5+GanttPeriod),"◇","")),IF(AND(EH$5&lt;=$F165,EH$5+GanttPeriod-1&gt;=$E165),"━","")))</f>
        <v/>
      </c>
      <c r="EI165" s="69" t="str">
        <f aca="false">IF($E165="","",IF($M165,IF(AND($G165&gt;=EI$5,$G165&lt;EI$5+GanttPeriod),"◆",IF(AND($E165&gt;=EI$5,$E165&lt;EI$5+GanttPeriod),"◇","")),IF(AND(EI$5&lt;=$F165,EI$5+GanttPeriod-1&gt;=$E165),"━","")))</f>
        <v/>
      </c>
      <c r="EJ165" s="69" t="str">
        <f aca="false">IF($E165="","",IF($M165,IF(AND($G165&gt;=EJ$5,$G165&lt;EJ$5+GanttPeriod),"◆",IF(AND($E165&gt;=EJ$5,$E165&lt;EJ$5+GanttPeriod),"◇","")),IF(AND(EJ$5&lt;=$F165,EJ$5+GanttPeriod-1&gt;=$E165),"━","")))</f>
        <v/>
      </c>
      <c r="EK165" s="69" t="str">
        <f aca="false">IF($E165="","",IF($M165,IF(AND($G165&gt;=EK$5,$G165&lt;EK$5+GanttPeriod),"◆",IF(AND($E165&gt;=EK$5,$E165&lt;EK$5+GanttPeriod),"◇","")),IF(AND(EK$5&lt;=$F165,EK$5+GanttPeriod-1&gt;=$E165),"━","")))</f>
        <v/>
      </c>
      <c r="EL165" s="69" t="str">
        <f aca="false">IF($E165="","",IF($M165,IF(AND($G165&gt;=EL$5,$G165&lt;EL$5+GanttPeriod),"◆",IF(AND($E165&gt;=EL$5,$E165&lt;EL$5+GanttPeriod),"◇","")),IF(AND(EL$5&lt;=$F165,EL$5+GanttPeriod-1&gt;=$E165),"━","")))</f>
        <v/>
      </c>
      <c r="EM165" s="69" t="str">
        <f aca="false">IF($E165="","",IF($M165,IF(AND($G165&gt;=EM$5,$G165&lt;EM$5+GanttPeriod),"◆",IF(AND($E165&gt;=EM$5,$E165&lt;EM$5+GanttPeriod),"◇","")),IF(AND(EM$5&lt;=$F165,EM$5+GanttPeriod-1&gt;=$E165),"━","")))</f>
        <v/>
      </c>
      <c r="EN165" s="69" t="str">
        <f aca="false">IF($E165="","",IF($M165,IF(AND($G165&gt;=EN$5,$G165&lt;EN$5+GanttPeriod),"◆",IF(AND($E165&gt;=EN$5,$E165&lt;EN$5+GanttPeriod),"◇","")),IF(AND(EN$5&lt;=$F165,EN$5+GanttPeriod-1&gt;=$E165),"━","")))</f>
        <v/>
      </c>
      <c r="EO165" s="69" t="str">
        <f aca="false">IF($E165="","",IF($M165,IF(AND($G165&gt;=EO$5,$G165&lt;EO$5+GanttPeriod),"◆",IF(AND($E165&gt;=EO$5,$E165&lt;EO$5+GanttPeriod),"◇","")),IF(AND(EO$5&lt;=$F165,EO$5+GanttPeriod-1&gt;=$E165),"━","")))</f>
        <v/>
      </c>
      <c r="EP165" s="69" t="str">
        <f aca="false">IF($E165="","",IF($M165,IF(AND($G165&gt;=EP$5,$G165&lt;EP$5+GanttPeriod),"◆",IF(AND($E165&gt;=EP$5,$E165&lt;EP$5+GanttPeriod),"◇","")),IF(AND(EP$5&lt;=$F165,EP$5+GanttPeriod-1&gt;=$E165),"━","")))</f>
        <v/>
      </c>
      <c r="EQ165" s="69" t="str">
        <f aca="false">IF($E165="","",IF($M165,IF(AND($G165&gt;=EQ$5,$G165&lt;EQ$5+GanttPeriod),"◆",IF(AND($E165&gt;=EQ$5,$E165&lt;EQ$5+GanttPeriod),"◇","")),IF(AND(EQ$5&lt;=$F165,EQ$5+GanttPeriod-1&gt;=$E165),"━","")))</f>
        <v/>
      </c>
      <c r="ER165" s="69" t="str">
        <f aca="false">IF($E165="","",IF($M165,IF(AND($G165&gt;=ER$5,$G165&lt;ER$5+GanttPeriod),"◆",IF(AND($E165&gt;=ER$5,$E165&lt;ER$5+GanttPeriod),"◇","")),IF(AND(ER$5&lt;=$F165,ER$5+GanttPeriod-1&gt;=$E165),"━","")))</f>
        <v/>
      </c>
      <c r="ES165" s="69" t="str">
        <f aca="false">IF($E165="","",IF($M165,IF(AND($G165&gt;=ES$5,$G165&lt;ES$5+GanttPeriod),"◆",IF(AND($E165&gt;=ES$5,$E165&lt;ES$5+GanttPeriod),"◇","")),IF(AND(ES$5&lt;=$F165,ES$5+GanttPeriod-1&gt;=$E165),"━","")))</f>
        <v/>
      </c>
      <c r="ET165" s="69" t="str">
        <f aca="false">IF($E165="","",IF($M165,IF(AND($G165&gt;=ET$5,$G165&lt;ET$5+GanttPeriod),"◆",IF(AND($E165&gt;=ET$5,$E165&lt;ET$5+GanttPeriod),"◇","")),IF(AND(ET$5&lt;=$F165,ET$5+GanttPeriod-1&gt;=$E165),"━","")))</f>
        <v/>
      </c>
      <c r="EU165" s="69" t="str">
        <f aca="false">IF($E165="","",IF($M165,IF(AND($G165&gt;=EU$5,$G165&lt;EU$5+GanttPeriod),"◆",IF(AND($E165&gt;=EU$5,$E165&lt;EU$5+GanttPeriod),"◇","")),IF(AND(EU$5&lt;=$F165,EU$5+GanttPeriod-1&gt;=$E165),"━","")))</f>
        <v/>
      </c>
      <c r="EV165" s="69" t="str">
        <f aca="false">IF($E165="","",IF($M165,IF(AND($G165&gt;=EV$5,$G165&lt;EV$5+GanttPeriod),"◆",IF(AND($E165&gt;=EV$5,$E165&lt;EV$5+GanttPeriod),"◇","")),IF(AND(EV$5&lt;=$F165,EV$5+GanttPeriod-1&gt;=$E165),"━","")))</f>
        <v/>
      </c>
      <c r="EW165" s="69" t="str">
        <f aca="false">IF($E165="","",IF($M165,IF(AND($G165&gt;=EW$5,$G165&lt;EW$5+GanttPeriod),"◆",IF(AND($E165&gt;=EW$5,$E165&lt;EW$5+GanttPeriod),"◇","")),IF(AND(EW$5&lt;=$F165,EW$5+GanttPeriod-1&gt;=$E165),"━","")))</f>
        <v/>
      </c>
      <c r="EX165" s="69" t="str">
        <f aca="false">IF($E165="","",IF($M165,IF(AND($G165&gt;=EX$5,$G165&lt;EX$5+GanttPeriod),"◆",IF(AND($E165&gt;=EX$5,$E165&lt;EX$5+GanttPeriod),"◇","")),IF(AND(EX$5&lt;=$F165,EX$5+GanttPeriod-1&gt;=$E165),"━","")))</f>
        <v/>
      </c>
      <c r="EY165" s="69" t="str">
        <f aca="false">IF($E165="","",IF($M165,IF(AND($G165&gt;=EY$5,$G165&lt;EY$5+GanttPeriod),"◆",IF(AND($E165&gt;=EY$5,$E165&lt;EY$5+GanttPeriod),"◇","")),IF(AND(EY$5&lt;=$F165,EY$5+GanttPeriod-1&gt;=$E165),"━","")))</f>
        <v/>
      </c>
      <c r="EZ165" s="69" t="str">
        <f aca="false">IF($E165="","",IF($M165,IF(AND($G165&gt;=EZ$5,$G165&lt;EZ$5+GanttPeriod),"◆",IF(AND($E165&gt;=EZ$5,$E165&lt;EZ$5+GanttPeriod),"◇","")),IF(AND(EZ$5&lt;=$F165,EZ$5+GanttPeriod-1&gt;=$E165),"━","")))</f>
        <v/>
      </c>
      <c r="FA165" s="69" t="str">
        <f aca="false">IF($E165="","",IF($M165,IF(AND($G165&gt;=FA$5,$G165&lt;FA$5+GanttPeriod),"◆",IF(AND($E165&gt;=FA$5,$E165&lt;FA$5+GanttPeriod),"◇","")),IF(AND(FA$5&lt;=$F165,FA$5+GanttPeriod-1&gt;=$E165),"━","")))</f>
        <v/>
      </c>
      <c r="FB165" s="69" t="str">
        <f aca="false">IF($E165="","",IF($M165,IF(AND($G165&gt;=FB$5,$G165&lt;FB$5+GanttPeriod),"◆",IF(AND($E165&gt;=FB$5,$E165&lt;FB$5+GanttPeriod),"◇","")),IF(AND(FB$5&lt;=$F165,FB$5+GanttPeriod-1&gt;=$E165),"━","")))</f>
        <v/>
      </c>
      <c r="FC165" s="69" t="str">
        <f aca="false">IF($E165="","",IF($M165,IF(AND($G165&gt;=FC$5,$G165&lt;FC$5+GanttPeriod),"◆",IF(AND($E165&gt;=FC$5,$E165&lt;FC$5+GanttPeriod),"◇","")),IF(AND(FC$5&lt;=$F165,FC$5+GanttPeriod-1&gt;=$E165),"━","")))</f>
        <v/>
      </c>
      <c r="FD165" s="69" t="str">
        <f aca="false">IF($E165="","",IF($M165,IF(AND($G165&gt;=FD$5,$G165&lt;FD$5+GanttPeriod),"◆",IF(AND($E165&gt;=FD$5,$E165&lt;FD$5+GanttPeriod),"◇","")),IF(AND(FD$5&lt;=$F165,FD$5+GanttPeriod-1&gt;=$E165),"━","")))</f>
        <v/>
      </c>
      <c r="FE165" s="69" t="str">
        <f aca="false">IF($E165="","",IF($M165,IF(AND($G165&gt;=FE$5,$G165&lt;FE$5+GanttPeriod),"◆",IF(AND($E165&gt;=FE$5,$E165&lt;FE$5+GanttPeriod),"◇","")),IF(AND(FE$5&lt;=$F165,FE$5+GanttPeriod-1&gt;=$E165),"━","")))</f>
        <v/>
      </c>
      <c r="FF165" s="69" t="str">
        <f aca="false">IF($E165="","",IF($M165,IF(AND($G165&gt;=FF$5,$G165&lt;FF$5+GanttPeriod),"◆",IF(AND($E165&gt;=FF$5,$E165&lt;FF$5+GanttPeriod),"◇","")),IF(AND(FF$5&lt;=$F165,FF$5+GanttPeriod-1&gt;=$E165),"━","")))</f>
        <v/>
      </c>
      <c r="FG165" s="69" t="str">
        <f aca="false">IF($E165="","",IF($M165,IF(AND($G165&gt;=FG$5,$G165&lt;FG$5+GanttPeriod),"◆",IF(AND($E165&gt;=FG$5,$E165&lt;FG$5+GanttPeriod),"◇","")),IF(AND(FG$5&lt;=$F165,FG$5+GanttPeriod-1&gt;=$E165),"━","")))</f>
        <v/>
      </c>
      <c r="FH165" s="69" t="str">
        <f aca="false">IF($E165="","",IF($M165,IF(AND($G165&gt;=FH$5,$G165&lt;FH$5+GanttPeriod),"◆",IF(AND($E165&gt;=FH$5,$E165&lt;FH$5+GanttPeriod),"◇","")),IF(AND(FH$5&lt;=$F165,FH$5+GanttPeriod-1&gt;=$E165),"━","")))</f>
        <v/>
      </c>
      <c r="FI165" s="69" t="str">
        <f aca="false">IF($E165="","",IF($M165,IF(AND($G165&gt;=FI$5,$G165&lt;FI$5+GanttPeriod),"◆",IF(AND($E165&gt;=FI$5,$E165&lt;FI$5+GanttPeriod),"◇","")),IF(AND(FI$5&lt;=$F165,FI$5+GanttPeriod-1&gt;=$E165),"━","")))</f>
        <v/>
      </c>
      <c r="FJ165" s="69" t="str">
        <f aca="false">IF($E165="","",IF($M165,IF(AND($G165&gt;=FJ$5,$G165&lt;FJ$5+GanttPeriod),"◆",IF(AND($E165&gt;=FJ$5,$E165&lt;FJ$5+GanttPeriod),"◇","")),IF(AND(FJ$5&lt;=$F165,FJ$5+GanttPeriod-1&gt;=$E165),"━","")))</f>
        <v/>
      </c>
      <c r="FK165" s="69" t="str">
        <f aca="false">IF($E165="","",IF($M165,IF(AND($G165&gt;=FK$5,$G165&lt;FK$5+GanttPeriod),"◆",IF(AND($E165&gt;=FK$5,$E165&lt;FK$5+GanttPeriod),"◇","")),IF(AND(FK$5&lt;=$F165,FK$5+GanttPeriod-1&gt;=$E165),"━","")))</f>
        <v/>
      </c>
      <c r="FL165" s="69" t="str">
        <f aca="false">IF($E165="","",IF($M165,IF(AND($G165&gt;=FL$5,$G165&lt;FL$5+GanttPeriod),"◆",IF(AND($E165&gt;=FL$5,$E165&lt;FL$5+GanttPeriod),"◇","")),IF(AND(FL$5&lt;=$F165,FL$5+GanttPeriod-1&gt;=$E165),"━","")))</f>
        <v/>
      </c>
      <c r="FM165" s="69" t="str">
        <f aca="false">IF($E165="","",IF($M165,IF(AND($G165&gt;=FM$5,$G165&lt;FM$5+GanttPeriod),"◆",IF(AND($E165&gt;=FM$5,$E165&lt;FM$5+GanttPeriod),"◇","")),IF(AND(FM$5&lt;=$F165,FM$5+GanttPeriod-1&gt;=$E165),"━","")))</f>
        <v/>
      </c>
    </row>
    <row r="166" customFormat="false" ht="15" hidden="false" customHeight="false" outlineLevel="0" collapsed="false">
      <c r="A166" s="62" t="str">
        <f aca="false">IF(Tasks!$D166="","",Tasks!$A166)</f>
        <v/>
      </c>
      <c r="B166" s="62" t="str">
        <f aca="false">IF(Tasks!$D166="","",Tasks!$B166)</f>
        <v/>
      </c>
      <c r="C166" s="63" t="str">
        <f aca="false">IF(Tasks!$D166="","",REPT("    ",Tasks!$AE166-1)&amp;Tasks!$D166)</f>
        <v/>
      </c>
      <c r="D166" s="62" t="str">
        <f aca="false">IF(Tasks!$D166="","",IF(Tasks!$AI166,NETWORKDAYS.INTL(Tasks!$R166,Tasks!$S166,WorkWeek,Holidays),N(Tasks!$F166)))</f>
        <v/>
      </c>
      <c r="E166" s="64" t="str">
        <f aca="false">IF(Tasks!$D166="","",Tasks!$N166)</f>
        <v/>
      </c>
      <c r="F166" s="64" t="str">
        <f aca="false">IF(Tasks!$D166="","",Tasks!$O166)</f>
        <v/>
      </c>
      <c r="G166" s="64" t="str">
        <f aca="false">IF(Tasks!$D166="","",Tasks!$R166)</f>
        <v/>
      </c>
      <c r="H166" s="64" t="str">
        <f aca="false">IF(Tasks!$D166="","",Tasks!$S166)</f>
        <v/>
      </c>
      <c r="I166" s="65" t="str">
        <f aca="false">IF(Tasks!$D166="","",Tasks!$V166)</f>
        <v/>
      </c>
      <c r="J166" s="63" t="str">
        <f aca="false">IF(Tasks!$D166="","",Tasks!$X166&amp;"")</f>
        <v/>
      </c>
      <c r="K166" s="66" t="str">
        <f aca="false">IF(Tasks!$D166="","",Tasks!$W166)</f>
        <v/>
      </c>
      <c r="L166" s="67" t="b">
        <f aca="false">IF(Tasks!$D166="",FALSE(),Tasks!$AI166)</f>
        <v>0</v>
      </c>
      <c r="M166" s="67" t="b">
        <f aca="false">AND(Tasks!$AJ166=1,N(Tasks!$F166)=0)</f>
        <v>0</v>
      </c>
      <c r="N166" s="68" t="n">
        <f aca="false">IF(AND(Tasks!$AJ166=1,NOT($M166),N($I166)&gt;0),$G166,0)</f>
        <v>0</v>
      </c>
      <c r="O166" s="68" t="n">
        <f aca="false">IF($N166=0,0,IF($I166&gt;=1,$H166,MAX($N166,$G166+ROUND(($H166-$G166+1)*$I166,0)-1)))</f>
        <v>0</v>
      </c>
      <c r="P166" s="68" t="n">
        <f aca="false">IF(OR(Tasks!$AJ166&lt;&gt;1,$M166,N($I166)&gt;=1),0,IF($O166&gt;0,$O166+1,$G166))</f>
        <v>0</v>
      </c>
      <c r="Q166" s="68" t="n">
        <f aca="false">IF($P166=0,0,$H166)</f>
        <v>0</v>
      </c>
      <c r="R166" s="67" t="b">
        <f aca="false">AND(Tasks!$D166&lt;&gt;"",N(Tasks!$T166)&gt;0)</f>
        <v>0</v>
      </c>
      <c r="T166" s="69" t="str">
        <f aca="false">IF($E166="","",IF($M166,IF(AND($G166&gt;=T$5,$G166&lt;T$5+GanttPeriod),"◆",IF(AND($E166&gt;=T$5,$E166&lt;T$5+GanttPeriod),"◇","")),IF(AND(T$5&lt;=$F166,T$5+GanttPeriod-1&gt;=$E166),"━","")))</f>
        <v/>
      </c>
      <c r="U166" s="69" t="str">
        <f aca="false">IF($E166="","",IF($M166,IF(AND($G166&gt;=U$5,$G166&lt;U$5+GanttPeriod),"◆",IF(AND($E166&gt;=U$5,$E166&lt;U$5+GanttPeriod),"◇","")),IF(AND(U$5&lt;=$F166,U$5+GanttPeriod-1&gt;=$E166),"━","")))</f>
        <v/>
      </c>
      <c r="V166" s="69" t="str">
        <f aca="false">IF($E166="","",IF($M166,IF(AND($G166&gt;=V$5,$G166&lt;V$5+GanttPeriod),"◆",IF(AND($E166&gt;=V$5,$E166&lt;V$5+GanttPeriod),"◇","")),IF(AND(V$5&lt;=$F166,V$5+GanttPeriod-1&gt;=$E166),"━","")))</f>
        <v/>
      </c>
      <c r="W166" s="69" t="str">
        <f aca="false">IF($E166="","",IF($M166,IF(AND($G166&gt;=W$5,$G166&lt;W$5+GanttPeriod),"◆",IF(AND($E166&gt;=W$5,$E166&lt;W$5+GanttPeriod),"◇","")),IF(AND(W$5&lt;=$F166,W$5+GanttPeriod-1&gt;=$E166),"━","")))</f>
        <v/>
      </c>
      <c r="X166" s="69" t="str">
        <f aca="false">IF($E166="","",IF($M166,IF(AND($G166&gt;=X$5,$G166&lt;X$5+GanttPeriod),"◆",IF(AND($E166&gt;=X$5,$E166&lt;X$5+GanttPeriod),"◇","")),IF(AND(X$5&lt;=$F166,X$5+GanttPeriod-1&gt;=$E166),"━","")))</f>
        <v/>
      </c>
      <c r="Y166" s="69" t="str">
        <f aca="false">IF($E166="","",IF($M166,IF(AND($G166&gt;=Y$5,$G166&lt;Y$5+GanttPeriod),"◆",IF(AND($E166&gt;=Y$5,$E166&lt;Y$5+GanttPeriod),"◇","")),IF(AND(Y$5&lt;=$F166,Y$5+GanttPeriod-1&gt;=$E166),"━","")))</f>
        <v/>
      </c>
      <c r="Z166" s="69" t="str">
        <f aca="false">IF($E166="","",IF($M166,IF(AND($G166&gt;=Z$5,$G166&lt;Z$5+GanttPeriod),"◆",IF(AND($E166&gt;=Z$5,$E166&lt;Z$5+GanttPeriod),"◇","")),IF(AND(Z$5&lt;=$F166,Z$5+GanttPeriod-1&gt;=$E166),"━","")))</f>
        <v/>
      </c>
      <c r="AA166" s="69" t="str">
        <f aca="false">IF($E166="","",IF($M166,IF(AND($G166&gt;=AA$5,$G166&lt;AA$5+GanttPeriod),"◆",IF(AND($E166&gt;=AA$5,$E166&lt;AA$5+GanttPeriod),"◇","")),IF(AND(AA$5&lt;=$F166,AA$5+GanttPeriod-1&gt;=$E166),"━","")))</f>
        <v/>
      </c>
      <c r="AB166" s="69" t="str">
        <f aca="false">IF($E166="","",IF($M166,IF(AND($G166&gt;=AB$5,$G166&lt;AB$5+GanttPeriod),"◆",IF(AND($E166&gt;=AB$5,$E166&lt;AB$5+GanttPeriod),"◇","")),IF(AND(AB$5&lt;=$F166,AB$5+GanttPeriod-1&gt;=$E166),"━","")))</f>
        <v/>
      </c>
      <c r="AC166" s="69" t="str">
        <f aca="false">IF($E166="","",IF($M166,IF(AND($G166&gt;=AC$5,$G166&lt;AC$5+GanttPeriod),"◆",IF(AND($E166&gt;=AC$5,$E166&lt;AC$5+GanttPeriod),"◇","")),IF(AND(AC$5&lt;=$F166,AC$5+GanttPeriod-1&gt;=$E166),"━","")))</f>
        <v/>
      </c>
      <c r="AD166" s="69" t="str">
        <f aca="false">IF($E166="","",IF($M166,IF(AND($G166&gt;=AD$5,$G166&lt;AD$5+GanttPeriod),"◆",IF(AND($E166&gt;=AD$5,$E166&lt;AD$5+GanttPeriod),"◇","")),IF(AND(AD$5&lt;=$F166,AD$5+GanttPeriod-1&gt;=$E166),"━","")))</f>
        <v/>
      </c>
      <c r="AE166" s="69" t="str">
        <f aca="false">IF($E166="","",IF($M166,IF(AND($G166&gt;=AE$5,$G166&lt;AE$5+GanttPeriod),"◆",IF(AND($E166&gt;=AE$5,$E166&lt;AE$5+GanttPeriod),"◇","")),IF(AND(AE$5&lt;=$F166,AE$5+GanttPeriod-1&gt;=$E166),"━","")))</f>
        <v/>
      </c>
      <c r="AF166" s="69" t="str">
        <f aca="false">IF($E166="","",IF($M166,IF(AND($G166&gt;=AF$5,$G166&lt;AF$5+GanttPeriod),"◆",IF(AND($E166&gt;=AF$5,$E166&lt;AF$5+GanttPeriod),"◇","")),IF(AND(AF$5&lt;=$F166,AF$5+GanttPeriod-1&gt;=$E166),"━","")))</f>
        <v/>
      </c>
      <c r="AG166" s="69" t="str">
        <f aca="false">IF($E166="","",IF($M166,IF(AND($G166&gt;=AG$5,$G166&lt;AG$5+GanttPeriod),"◆",IF(AND($E166&gt;=AG$5,$E166&lt;AG$5+GanttPeriod),"◇","")),IF(AND(AG$5&lt;=$F166,AG$5+GanttPeriod-1&gt;=$E166),"━","")))</f>
        <v/>
      </c>
      <c r="AH166" s="69" t="str">
        <f aca="false">IF($E166="","",IF($M166,IF(AND($G166&gt;=AH$5,$G166&lt;AH$5+GanttPeriod),"◆",IF(AND($E166&gt;=AH$5,$E166&lt;AH$5+GanttPeriod),"◇","")),IF(AND(AH$5&lt;=$F166,AH$5+GanttPeriod-1&gt;=$E166),"━","")))</f>
        <v/>
      </c>
      <c r="AI166" s="69" t="str">
        <f aca="false">IF($E166="","",IF($M166,IF(AND($G166&gt;=AI$5,$G166&lt;AI$5+GanttPeriod),"◆",IF(AND($E166&gt;=AI$5,$E166&lt;AI$5+GanttPeriod),"◇","")),IF(AND(AI$5&lt;=$F166,AI$5+GanttPeriod-1&gt;=$E166),"━","")))</f>
        <v/>
      </c>
      <c r="AJ166" s="69" t="str">
        <f aca="false">IF($E166="","",IF($M166,IF(AND($G166&gt;=AJ$5,$G166&lt;AJ$5+GanttPeriod),"◆",IF(AND($E166&gt;=AJ$5,$E166&lt;AJ$5+GanttPeriod),"◇","")),IF(AND(AJ$5&lt;=$F166,AJ$5+GanttPeriod-1&gt;=$E166),"━","")))</f>
        <v/>
      </c>
      <c r="AK166" s="69" t="str">
        <f aca="false">IF($E166="","",IF($M166,IF(AND($G166&gt;=AK$5,$G166&lt;AK$5+GanttPeriod),"◆",IF(AND($E166&gt;=AK$5,$E166&lt;AK$5+GanttPeriod),"◇","")),IF(AND(AK$5&lt;=$F166,AK$5+GanttPeriod-1&gt;=$E166),"━","")))</f>
        <v/>
      </c>
      <c r="AL166" s="69" t="str">
        <f aca="false">IF($E166="","",IF($M166,IF(AND($G166&gt;=AL$5,$G166&lt;AL$5+GanttPeriod),"◆",IF(AND($E166&gt;=AL$5,$E166&lt;AL$5+GanttPeriod),"◇","")),IF(AND(AL$5&lt;=$F166,AL$5+GanttPeriod-1&gt;=$E166),"━","")))</f>
        <v/>
      </c>
      <c r="AM166" s="69" t="str">
        <f aca="false">IF($E166="","",IF($M166,IF(AND($G166&gt;=AM$5,$G166&lt;AM$5+GanttPeriod),"◆",IF(AND($E166&gt;=AM$5,$E166&lt;AM$5+GanttPeriod),"◇","")),IF(AND(AM$5&lt;=$F166,AM$5+GanttPeriod-1&gt;=$E166),"━","")))</f>
        <v/>
      </c>
      <c r="AN166" s="69" t="str">
        <f aca="false">IF($E166="","",IF($M166,IF(AND($G166&gt;=AN$5,$G166&lt;AN$5+GanttPeriod),"◆",IF(AND($E166&gt;=AN$5,$E166&lt;AN$5+GanttPeriod),"◇","")),IF(AND(AN$5&lt;=$F166,AN$5+GanttPeriod-1&gt;=$E166),"━","")))</f>
        <v/>
      </c>
      <c r="AO166" s="69" t="str">
        <f aca="false">IF($E166="","",IF($M166,IF(AND($G166&gt;=AO$5,$G166&lt;AO$5+GanttPeriod),"◆",IF(AND($E166&gt;=AO$5,$E166&lt;AO$5+GanttPeriod),"◇","")),IF(AND(AO$5&lt;=$F166,AO$5+GanttPeriod-1&gt;=$E166),"━","")))</f>
        <v/>
      </c>
      <c r="AP166" s="69" t="str">
        <f aca="false">IF($E166="","",IF($M166,IF(AND($G166&gt;=AP$5,$G166&lt;AP$5+GanttPeriod),"◆",IF(AND($E166&gt;=AP$5,$E166&lt;AP$5+GanttPeriod),"◇","")),IF(AND(AP$5&lt;=$F166,AP$5+GanttPeriod-1&gt;=$E166),"━","")))</f>
        <v/>
      </c>
      <c r="AQ166" s="69" t="str">
        <f aca="false">IF($E166="","",IF($M166,IF(AND($G166&gt;=AQ$5,$G166&lt;AQ$5+GanttPeriod),"◆",IF(AND($E166&gt;=AQ$5,$E166&lt;AQ$5+GanttPeriod),"◇","")),IF(AND(AQ$5&lt;=$F166,AQ$5+GanttPeriod-1&gt;=$E166),"━","")))</f>
        <v/>
      </c>
      <c r="AR166" s="69" t="str">
        <f aca="false">IF($E166="","",IF($M166,IF(AND($G166&gt;=AR$5,$G166&lt;AR$5+GanttPeriod),"◆",IF(AND($E166&gt;=AR$5,$E166&lt;AR$5+GanttPeriod),"◇","")),IF(AND(AR$5&lt;=$F166,AR$5+GanttPeriod-1&gt;=$E166),"━","")))</f>
        <v/>
      </c>
      <c r="AS166" s="69" t="str">
        <f aca="false">IF($E166="","",IF($M166,IF(AND($G166&gt;=AS$5,$G166&lt;AS$5+GanttPeriod),"◆",IF(AND($E166&gt;=AS$5,$E166&lt;AS$5+GanttPeriod),"◇","")),IF(AND(AS$5&lt;=$F166,AS$5+GanttPeriod-1&gt;=$E166),"━","")))</f>
        <v/>
      </c>
      <c r="AT166" s="69" t="str">
        <f aca="false">IF($E166="","",IF($M166,IF(AND($G166&gt;=AT$5,$G166&lt;AT$5+GanttPeriod),"◆",IF(AND($E166&gt;=AT$5,$E166&lt;AT$5+GanttPeriod),"◇","")),IF(AND(AT$5&lt;=$F166,AT$5+GanttPeriod-1&gt;=$E166),"━","")))</f>
        <v/>
      </c>
      <c r="AU166" s="69" t="str">
        <f aca="false">IF($E166="","",IF($M166,IF(AND($G166&gt;=AU$5,$G166&lt;AU$5+GanttPeriod),"◆",IF(AND($E166&gt;=AU$5,$E166&lt;AU$5+GanttPeriod),"◇","")),IF(AND(AU$5&lt;=$F166,AU$5+GanttPeriod-1&gt;=$E166),"━","")))</f>
        <v/>
      </c>
      <c r="AV166" s="69" t="str">
        <f aca="false">IF($E166="","",IF($M166,IF(AND($G166&gt;=AV$5,$G166&lt;AV$5+GanttPeriod),"◆",IF(AND($E166&gt;=AV$5,$E166&lt;AV$5+GanttPeriod),"◇","")),IF(AND(AV$5&lt;=$F166,AV$5+GanttPeriod-1&gt;=$E166),"━","")))</f>
        <v/>
      </c>
      <c r="AW166" s="69" t="str">
        <f aca="false">IF($E166="","",IF($M166,IF(AND($G166&gt;=AW$5,$G166&lt;AW$5+GanttPeriod),"◆",IF(AND($E166&gt;=AW$5,$E166&lt;AW$5+GanttPeriod),"◇","")),IF(AND(AW$5&lt;=$F166,AW$5+GanttPeriod-1&gt;=$E166),"━","")))</f>
        <v/>
      </c>
      <c r="AX166" s="69" t="str">
        <f aca="false">IF($E166="","",IF($M166,IF(AND($G166&gt;=AX$5,$G166&lt;AX$5+GanttPeriod),"◆",IF(AND($E166&gt;=AX$5,$E166&lt;AX$5+GanttPeriod),"◇","")),IF(AND(AX$5&lt;=$F166,AX$5+GanttPeriod-1&gt;=$E166),"━","")))</f>
        <v/>
      </c>
      <c r="AY166" s="69" t="str">
        <f aca="false">IF($E166="","",IF($M166,IF(AND($G166&gt;=AY$5,$G166&lt;AY$5+GanttPeriod),"◆",IF(AND($E166&gt;=AY$5,$E166&lt;AY$5+GanttPeriod),"◇","")),IF(AND(AY$5&lt;=$F166,AY$5+GanttPeriod-1&gt;=$E166),"━","")))</f>
        <v/>
      </c>
      <c r="AZ166" s="69" t="str">
        <f aca="false">IF($E166="","",IF($M166,IF(AND($G166&gt;=AZ$5,$G166&lt;AZ$5+GanttPeriod),"◆",IF(AND($E166&gt;=AZ$5,$E166&lt;AZ$5+GanttPeriod),"◇","")),IF(AND(AZ$5&lt;=$F166,AZ$5+GanttPeriod-1&gt;=$E166),"━","")))</f>
        <v/>
      </c>
      <c r="BA166" s="69" t="str">
        <f aca="false">IF($E166="","",IF($M166,IF(AND($G166&gt;=BA$5,$G166&lt;BA$5+GanttPeriod),"◆",IF(AND($E166&gt;=BA$5,$E166&lt;BA$5+GanttPeriod),"◇","")),IF(AND(BA$5&lt;=$F166,BA$5+GanttPeriod-1&gt;=$E166),"━","")))</f>
        <v/>
      </c>
      <c r="BB166" s="69" t="str">
        <f aca="false">IF($E166="","",IF($M166,IF(AND($G166&gt;=BB$5,$G166&lt;BB$5+GanttPeriod),"◆",IF(AND($E166&gt;=BB$5,$E166&lt;BB$5+GanttPeriod),"◇","")),IF(AND(BB$5&lt;=$F166,BB$5+GanttPeriod-1&gt;=$E166),"━","")))</f>
        <v/>
      </c>
      <c r="BC166" s="69" t="str">
        <f aca="false">IF($E166="","",IF($M166,IF(AND($G166&gt;=BC$5,$G166&lt;BC$5+GanttPeriod),"◆",IF(AND($E166&gt;=BC$5,$E166&lt;BC$5+GanttPeriod),"◇","")),IF(AND(BC$5&lt;=$F166,BC$5+GanttPeriod-1&gt;=$E166),"━","")))</f>
        <v/>
      </c>
      <c r="BD166" s="69" t="str">
        <f aca="false">IF($E166="","",IF($M166,IF(AND($G166&gt;=BD$5,$G166&lt;BD$5+GanttPeriod),"◆",IF(AND($E166&gt;=BD$5,$E166&lt;BD$5+GanttPeriod),"◇","")),IF(AND(BD$5&lt;=$F166,BD$5+GanttPeriod-1&gt;=$E166),"━","")))</f>
        <v/>
      </c>
      <c r="BE166" s="69" t="str">
        <f aca="false">IF($E166="","",IF($M166,IF(AND($G166&gt;=BE$5,$G166&lt;BE$5+GanttPeriod),"◆",IF(AND($E166&gt;=BE$5,$E166&lt;BE$5+GanttPeriod),"◇","")),IF(AND(BE$5&lt;=$F166,BE$5+GanttPeriod-1&gt;=$E166),"━","")))</f>
        <v/>
      </c>
      <c r="BF166" s="69" t="str">
        <f aca="false">IF($E166="","",IF($M166,IF(AND($G166&gt;=BF$5,$G166&lt;BF$5+GanttPeriod),"◆",IF(AND($E166&gt;=BF$5,$E166&lt;BF$5+GanttPeriod),"◇","")),IF(AND(BF$5&lt;=$F166,BF$5+GanttPeriod-1&gt;=$E166),"━","")))</f>
        <v/>
      </c>
      <c r="BG166" s="69" t="str">
        <f aca="false">IF($E166="","",IF($M166,IF(AND($G166&gt;=BG$5,$G166&lt;BG$5+GanttPeriod),"◆",IF(AND($E166&gt;=BG$5,$E166&lt;BG$5+GanttPeriod),"◇","")),IF(AND(BG$5&lt;=$F166,BG$5+GanttPeriod-1&gt;=$E166),"━","")))</f>
        <v/>
      </c>
      <c r="BH166" s="69" t="str">
        <f aca="false">IF($E166="","",IF($M166,IF(AND($G166&gt;=BH$5,$G166&lt;BH$5+GanttPeriod),"◆",IF(AND($E166&gt;=BH$5,$E166&lt;BH$5+GanttPeriod),"◇","")),IF(AND(BH$5&lt;=$F166,BH$5+GanttPeriod-1&gt;=$E166),"━","")))</f>
        <v/>
      </c>
      <c r="BI166" s="69" t="str">
        <f aca="false">IF($E166="","",IF($M166,IF(AND($G166&gt;=BI$5,$G166&lt;BI$5+GanttPeriod),"◆",IF(AND($E166&gt;=BI$5,$E166&lt;BI$5+GanttPeriod),"◇","")),IF(AND(BI$5&lt;=$F166,BI$5+GanttPeriod-1&gt;=$E166),"━","")))</f>
        <v/>
      </c>
      <c r="BJ166" s="69" t="str">
        <f aca="false">IF($E166="","",IF($M166,IF(AND($G166&gt;=BJ$5,$G166&lt;BJ$5+GanttPeriod),"◆",IF(AND($E166&gt;=BJ$5,$E166&lt;BJ$5+GanttPeriod),"◇","")),IF(AND(BJ$5&lt;=$F166,BJ$5+GanttPeriod-1&gt;=$E166),"━","")))</f>
        <v/>
      </c>
      <c r="BK166" s="69" t="str">
        <f aca="false">IF($E166="","",IF($M166,IF(AND($G166&gt;=BK$5,$G166&lt;BK$5+GanttPeriod),"◆",IF(AND($E166&gt;=BK$5,$E166&lt;BK$5+GanttPeriod),"◇","")),IF(AND(BK$5&lt;=$F166,BK$5+GanttPeriod-1&gt;=$E166),"━","")))</f>
        <v/>
      </c>
      <c r="BL166" s="69" t="str">
        <f aca="false">IF($E166="","",IF($M166,IF(AND($G166&gt;=BL$5,$G166&lt;BL$5+GanttPeriod),"◆",IF(AND($E166&gt;=BL$5,$E166&lt;BL$5+GanttPeriod),"◇","")),IF(AND(BL$5&lt;=$F166,BL$5+GanttPeriod-1&gt;=$E166),"━","")))</f>
        <v/>
      </c>
      <c r="BM166" s="69" t="str">
        <f aca="false">IF($E166="","",IF($M166,IF(AND($G166&gt;=BM$5,$G166&lt;BM$5+GanttPeriod),"◆",IF(AND($E166&gt;=BM$5,$E166&lt;BM$5+GanttPeriod),"◇","")),IF(AND(BM$5&lt;=$F166,BM$5+GanttPeriod-1&gt;=$E166),"━","")))</f>
        <v/>
      </c>
      <c r="BN166" s="69" t="str">
        <f aca="false">IF($E166="","",IF($M166,IF(AND($G166&gt;=BN$5,$G166&lt;BN$5+GanttPeriod),"◆",IF(AND($E166&gt;=BN$5,$E166&lt;BN$5+GanttPeriod),"◇","")),IF(AND(BN$5&lt;=$F166,BN$5+GanttPeriod-1&gt;=$E166),"━","")))</f>
        <v/>
      </c>
      <c r="BO166" s="69" t="str">
        <f aca="false">IF($E166="","",IF($M166,IF(AND($G166&gt;=BO$5,$G166&lt;BO$5+GanttPeriod),"◆",IF(AND($E166&gt;=BO$5,$E166&lt;BO$5+GanttPeriod),"◇","")),IF(AND(BO$5&lt;=$F166,BO$5+GanttPeriod-1&gt;=$E166),"━","")))</f>
        <v/>
      </c>
      <c r="BP166" s="69" t="str">
        <f aca="false">IF($E166="","",IF($M166,IF(AND($G166&gt;=BP$5,$G166&lt;BP$5+GanttPeriod),"◆",IF(AND($E166&gt;=BP$5,$E166&lt;BP$5+GanttPeriod),"◇","")),IF(AND(BP$5&lt;=$F166,BP$5+GanttPeriod-1&gt;=$E166),"━","")))</f>
        <v/>
      </c>
      <c r="BQ166" s="69" t="str">
        <f aca="false">IF($E166="","",IF($M166,IF(AND($G166&gt;=BQ$5,$G166&lt;BQ$5+GanttPeriod),"◆",IF(AND($E166&gt;=BQ$5,$E166&lt;BQ$5+GanttPeriod),"◇","")),IF(AND(BQ$5&lt;=$F166,BQ$5+GanttPeriod-1&gt;=$E166),"━","")))</f>
        <v/>
      </c>
      <c r="BR166" s="69" t="str">
        <f aca="false">IF($E166="","",IF($M166,IF(AND($G166&gt;=BR$5,$G166&lt;BR$5+GanttPeriod),"◆",IF(AND($E166&gt;=BR$5,$E166&lt;BR$5+GanttPeriod),"◇","")),IF(AND(BR$5&lt;=$F166,BR$5+GanttPeriod-1&gt;=$E166),"━","")))</f>
        <v/>
      </c>
      <c r="BS166" s="69" t="str">
        <f aca="false">IF($E166="","",IF($M166,IF(AND($G166&gt;=BS$5,$G166&lt;BS$5+GanttPeriod),"◆",IF(AND($E166&gt;=BS$5,$E166&lt;BS$5+GanttPeriod),"◇","")),IF(AND(BS$5&lt;=$F166,BS$5+GanttPeriod-1&gt;=$E166),"━","")))</f>
        <v/>
      </c>
      <c r="BT166" s="69" t="str">
        <f aca="false">IF($E166="","",IF($M166,IF(AND($G166&gt;=BT$5,$G166&lt;BT$5+GanttPeriod),"◆",IF(AND($E166&gt;=BT$5,$E166&lt;BT$5+GanttPeriod),"◇","")),IF(AND(BT$5&lt;=$F166,BT$5+GanttPeriod-1&gt;=$E166),"━","")))</f>
        <v/>
      </c>
      <c r="BU166" s="69" t="str">
        <f aca="false">IF($E166="","",IF($M166,IF(AND($G166&gt;=BU$5,$G166&lt;BU$5+GanttPeriod),"◆",IF(AND($E166&gt;=BU$5,$E166&lt;BU$5+GanttPeriod),"◇","")),IF(AND(BU$5&lt;=$F166,BU$5+GanttPeriod-1&gt;=$E166),"━","")))</f>
        <v/>
      </c>
      <c r="BV166" s="69" t="str">
        <f aca="false">IF($E166="","",IF($M166,IF(AND($G166&gt;=BV$5,$G166&lt;BV$5+GanttPeriod),"◆",IF(AND($E166&gt;=BV$5,$E166&lt;BV$5+GanttPeriod),"◇","")),IF(AND(BV$5&lt;=$F166,BV$5+GanttPeriod-1&gt;=$E166),"━","")))</f>
        <v/>
      </c>
      <c r="BW166" s="69" t="str">
        <f aca="false">IF($E166="","",IF($M166,IF(AND($G166&gt;=BW$5,$G166&lt;BW$5+GanttPeriod),"◆",IF(AND($E166&gt;=BW$5,$E166&lt;BW$5+GanttPeriod),"◇","")),IF(AND(BW$5&lt;=$F166,BW$5+GanttPeriod-1&gt;=$E166),"━","")))</f>
        <v/>
      </c>
      <c r="BX166" s="69" t="str">
        <f aca="false">IF($E166="","",IF($M166,IF(AND($G166&gt;=BX$5,$G166&lt;BX$5+GanttPeriod),"◆",IF(AND($E166&gt;=BX$5,$E166&lt;BX$5+GanttPeriod),"◇","")),IF(AND(BX$5&lt;=$F166,BX$5+GanttPeriod-1&gt;=$E166),"━","")))</f>
        <v/>
      </c>
      <c r="BY166" s="69" t="str">
        <f aca="false">IF($E166="","",IF($M166,IF(AND($G166&gt;=BY$5,$G166&lt;BY$5+GanttPeriod),"◆",IF(AND($E166&gt;=BY$5,$E166&lt;BY$5+GanttPeriod),"◇","")),IF(AND(BY$5&lt;=$F166,BY$5+GanttPeriod-1&gt;=$E166),"━","")))</f>
        <v/>
      </c>
      <c r="BZ166" s="69" t="str">
        <f aca="false">IF($E166="","",IF($M166,IF(AND($G166&gt;=BZ$5,$G166&lt;BZ$5+GanttPeriod),"◆",IF(AND($E166&gt;=BZ$5,$E166&lt;BZ$5+GanttPeriod),"◇","")),IF(AND(BZ$5&lt;=$F166,BZ$5+GanttPeriod-1&gt;=$E166),"━","")))</f>
        <v/>
      </c>
      <c r="CA166" s="69" t="str">
        <f aca="false">IF($E166="","",IF($M166,IF(AND($G166&gt;=CA$5,$G166&lt;CA$5+GanttPeriod),"◆",IF(AND($E166&gt;=CA$5,$E166&lt;CA$5+GanttPeriod),"◇","")),IF(AND(CA$5&lt;=$F166,CA$5+GanttPeriod-1&gt;=$E166),"━","")))</f>
        <v/>
      </c>
      <c r="CB166" s="69" t="str">
        <f aca="false">IF($E166="","",IF($M166,IF(AND($G166&gt;=CB$5,$G166&lt;CB$5+GanttPeriod),"◆",IF(AND($E166&gt;=CB$5,$E166&lt;CB$5+GanttPeriod),"◇","")),IF(AND(CB$5&lt;=$F166,CB$5+GanttPeriod-1&gt;=$E166),"━","")))</f>
        <v/>
      </c>
      <c r="CC166" s="69" t="str">
        <f aca="false">IF($E166="","",IF($M166,IF(AND($G166&gt;=CC$5,$G166&lt;CC$5+GanttPeriod),"◆",IF(AND($E166&gt;=CC$5,$E166&lt;CC$5+GanttPeriod),"◇","")),IF(AND(CC$5&lt;=$F166,CC$5+GanttPeriod-1&gt;=$E166),"━","")))</f>
        <v/>
      </c>
      <c r="CD166" s="69" t="str">
        <f aca="false">IF($E166="","",IF($M166,IF(AND($G166&gt;=CD$5,$G166&lt;CD$5+GanttPeriod),"◆",IF(AND($E166&gt;=CD$5,$E166&lt;CD$5+GanttPeriod),"◇","")),IF(AND(CD$5&lt;=$F166,CD$5+GanttPeriod-1&gt;=$E166),"━","")))</f>
        <v/>
      </c>
      <c r="CE166" s="69" t="str">
        <f aca="false">IF($E166="","",IF($M166,IF(AND($G166&gt;=CE$5,$G166&lt;CE$5+GanttPeriod),"◆",IF(AND($E166&gt;=CE$5,$E166&lt;CE$5+GanttPeriod),"◇","")),IF(AND(CE$5&lt;=$F166,CE$5+GanttPeriod-1&gt;=$E166),"━","")))</f>
        <v/>
      </c>
      <c r="CF166" s="69" t="str">
        <f aca="false">IF($E166="","",IF($M166,IF(AND($G166&gt;=CF$5,$G166&lt;CF$5+GanttPeriod),"◆",IF(AND($E166&gt;=CF$5,$E166&lt;CF$5+GanttPeriod),"◇","")),IF(AND(CF$5&lt;=$F166,CF$5+GanttPeriod-1&gt;=$E166),"━","")))</f>
        <v/>
      </c>
      <c r="CG166" s="69" t="str">
        <f aca="false">IF($E166="","",IF($M166,IF(AND($G166&gt;=CG$5,$G166&lt;CG$5+GanttPeriod),"◆",IF(AND($E166&gt;=CG$5,$E166&lt;CG$5+GanttPeriod),"◇","")),IF(AND(CG$5&lt;=$F166,CG$5+GanttPeriod-1&gt;=$E166),"━","")))</f>
        <v/>
      </c>
      <c r="CH166" s="69" t="str">
        <f aca="false">IF($E166="","",IF($M166,IF(AND($G166&gt;=CH$5,$G166&lt;CH$5+GanttPeriod),"◆",IF(AND($E166&gt;=CH$5,$E166&lt;CH$5+GanttPeriod),"◇","")),IF(AND(CH$5&lt;=$F166,CH$5+GanttPeriod-1&gt;=$E166),"━","")))</f>
        <v/>
      </c>
      <c r="CI166" s="69" t="str">
        <f aca="false">IF($E166="","",IF($M166,IF(AND($G166&gt;=CI$5,$G166&lt;CI$5+GanttPeriod),"◆",IF(AND($E166&gt;=CI$5,$E166&lt;CI$5+GanttPeriod),"◇","")),IF(AND(CI$5&lt;=$F166,CI$5+GanttPeriod-1&gt;=$E166),"━","")))</f>
        <v/>
      </c>
      <c r="CJ166" s="69" t="str">
        <f aca="false">IF($E166="","",IF($M166,IF(AND($G166&gt;=CJ$5,$G166&lt;CJ$5+GanttPeriod),"◆",IF(AND($E166&gt;=CJ$5,$E166&lt;CJ$5+GanttPeriod),"◇","")),IF(AND(CJ$5&lt;=$F166,CJ$5+GanttPeriod-1&gt;=$E166),"━","")))</f>
        <v/>
      </c>
      <c r="CK166" s="69" t="str">
        <f aca="false">IF($E166="","",IF($M166,IF(AND($G166&gt;=CK$5,$G166&lt;CK$5+GanttPeriod),"◆",IF(AND($E166&gt;=CK$5,$E166&lt;CK$5+GanttPeriod),"◇","")),IF(AND(CK$5&lt;=$F166,CK$5+GanttPeriod-1&gt;=$E166),"━","")))</f>
        <v/>
      </c>
      <c r="CL166" s="69" t="str">
        <f aca="false">IF($E166="","",IF($M166,IF(AND($G166&gt;=CL$5,$G166&lt;CL$5+GanttPeriod),"◆",IF(AND($E166&gt;=CL$5,$E166&lt;CL$5+GanttPeriod),"◇","")),IF(AND(CL$5&lt;=$F166,CL$5+GanttPeriod-1&gt;=$E166),"━","")))</f>
        <v/>
      </c>
      <c r="CM166" s="69" t="str">
        <f aca="false">IF($E166="","",IF($M166,IF(AND($G166&gt;=CM$5,$G166&lt;CM$5+GanttPeriod),"◆",IF(AND($E166&gt;=CM$5,$E166&lt;CM$5+GanttPeriod),"◇","")),IF(AND(CM$5&lt;=$F166,CM$5+GanttPeriod-1&gt;=$E166),"━","")))</f>
        <v/>
      </c>
      <c r="CN166" s="69" t="str">
        <f aca="false">IF($E166="","",IF($M166,IF(AND($G166&gt;=CN$5,$G166&lt;CN$5+GanttPeriod),"◆",IF(AND($E166&gt;=CN$5,$E166&lt;CN$5+GanttPeriod),"◇","")),IF(AND(CN$5&lt;=$F166,CN$5+GanttPeriod-1&gt;=$E166),"━","")))</f>
        <v/>
      </c>
      <c r="CO166" s="69" t="str">
        <f aca="false">IF($E166="","",IF($M166,IF(AND($G166&gt;=CO$5,$G166&lt;CO$5+GanttPeriod),"◆",IF(AND($E166&gt;=CO$5,$E166&lt;CO$5+GanttPeriod),"◇","")),IF(AND(CO$5&lt;=$F166,CO$5+GanttPeriod-1&gt;=$E166),"━","")))</f>
        <v/>
      </c>
      <c r="CP166" s="69" t="str">
        <f aca="false">IF($E166="","",IF($M166,IF(AND($G166&gt;=CP$5,$G166&lt;CP$5+GanttPeriod),"◆",IF(AND($E166&gt;=CP$5,$E166&lt;CP$5+GanttPeriod),"◇","")),IF(AND(CP$5&lt;=$F166,CP$5+GanttPeriod-1&gt;=$E166),"━","")))</f>
        <v/>
      </c>
      <c r="CQ166" s="69" t="str">
        <f aca="false">IF($E166="","",IF($M166,IF(AND($G166&gt;=CQ$5,$G166&lt;CQ$5+GanttPeriod),"◆",IF(AND($E166&gt;=CQ$5,$E166&lt;CQ$5+GanttPeriod),"◇","")),IF(AND(CQ$5&lt;=$F166,CQ$5+GanttPeriod-1&gt;=$E166),"━","")))</f>
        <v/>
      </c>
      <c r="CR166" s="69" t="str">
        <f aca="false">IF($E166="","",IF($M166,IF(AND($G166&gt;=CR$5,$G166&lt;CR$5+GanttPeriod),"◆",IF(AND($E166&gt;=CR$5,$E166&lt;CR$5+GanttPeriod),"◇","")),IF(AND(CR$5&lt;=$F166,CR$5+GanttPeriod-1&gt;=$E166),"━","")))</f>
        <v/>
      </c>
      <c r="CS166" s="69" t="str">
        <f aca="false">IF($E166="","",IF($M166,IF(AND($G166&gt;=CS$5,$G166&lt;CS$5+GanttPeriod),"◆",IF(AND($E166&gt;=CS$5,$E166&lt;CS$5+GanttPeriod),"◇","")),IF(AND(CS$5&lt;=$F166,CS$5+GanttPeriod-1&gt;=$E166),"━","")))</f>
        <v/>
      </c>
      <c r="CT166" s="69" t="str">
        <f aca="false">IF($E166="","",IF($M166,IF(AND($G166&gt;=CT$5,$G166&lt;CT$5+GanttPeriod),"◆",IF(AND($E166&gt;=CT$5,$E166&lt;CT$5+GanttPeriod),"◇","")),IF(AND(CT$5&lt;=$F166,CT$5+GanttPeriod-1&gt;=$E166),"━","")))</f>
        <v/>
      </c>
      <c r="CU166" s="69" t="str">
        <f aca="false">IF($E166="","",IF($M166,IF(AND($G166&gt;=CU$5,$G166&lt;CU$5+GanttPeriod),"◆",IF(AND($E166&gt;=CU$5,$E166&lt;CU$5+GanttPeriod),"◇","")),IF(AND(CU$5&lt;=$F166,CU$5+GanttPeriod-1&gt;=$E166),"━","")))</f>
        <v/>
      </c>
      <c r="CV166" s="69" t="str">
        <f aca="false">IF($E166="","",IF($M166,IF(AND($G166&gt;=CV$5,$G166&lt;CV$5+GanttPeriod),"◆",IF(AND($E166&gt;=CV$5,$E166&lt;CV$5+GanttPeriod),"◇","")),IF(AND(CV$5&lt;=$F166,CV$5+GanttPeriod-1&gt;=$E166),"━","")))</f>
        <v/>
      </c>
      <c r="CW166" s="69" t="str">
        <f aca="false">IF($E166="","",IF($M166,IF(AND($G166&gt;=CW$5,$G166&lt;CW$5+GanttPeriod),"◆",IF(AND($E166&gt;=CW$5,$E166&lt;CW$5+GanttPeriod),"◇","")),IF(AND(CW$5&lt;=$F166,CW$5+GanttPeriod-1&gt;=$E166),"━","")))</f>
        <v/>
      </c>
      <c r="CX166" s="69" t="str">
        <f aca="false">IF($E166="","",IF($M166,IF(AND($G166&gt;=CX$5,$G166&lt;CX$5+GanttPeriod),"◆",IF(AND($E166&gt;=CX$5,$E166&lt;CX$5+GanttPeriod),"◇","")),IF(AND(CX$5&lt;=$F166,CX$5+GanttPeriod-1&gt;=$E166),"━","")))</f>
        <v/>
      </c>
      <c r="CY166" s="69" t="str">
        <f aca="false">IF($E166="","",IF($M166,IF(AND($G166&gt;=CY$5,$G166&lt;CY$5+GanttPeriod),"◆",IF(AND($E166&gt;=CY$5,$E166&lt;CY$5+GanttPeriod),"◇","")),IF(AND(CY$5&lt;=$F166,CY$5+GanttPeriod-1&gt;=$E166),"━","")))</f>
        <v/>
      </c>
      <c r="CZ166" s="69" t="str">
        <f aca="false">IF($E166="","",IF($M166,IF(AND($G166&gt;=CZ$5,$G166&lt;CZ$5+GanttPeriod),"◆",IF(AND($E166&gt;=CZ$5,$E166&lt;CZ$5+GanttPeriod),"◇","")),IF(AND(CZ$5&lt;=$F166,CZ$5+GanttPeriod-1&gt;=$E166),"━","")))</f>
        <v/>
      </c>
      <c r="DA166" s="69" t="str">
        <f aca="false">IF($E166="","",IF($M166,IF(AND($G166&gt;=DA$5,$G166&lt;DA$5+GanttPeriod),"◆",IF(AND($E166&gt;=DA$5,$E166&lt;DA$5+GanttPeriod),"◇","")),IF(AND(DA$5&lt;=$F166,DA$5+GanttPeriod-1&gt;=$E166),"━","")))</f>
        <v/>
      </c>
      <c r="DB166" s="69" t="str">
        <f aca="false">IF($E166="","",IF($M166,IF(AND($G166&gt;=DB$5,$G166&lt;DB$5+GanttPeriod),"◆",IF(AND($E166&gt;=DB$5,$E166&lt;DB$5+GanttPeriod),"◇","")),IF(AND(DB$5&lt;=$F166,DB$5+GanttPeriod-1&gt;=$E166),"━","")))</f>
        <v/>
      </c>
      <c r="DC166" s="69" t="str">
        <f aca="false">IF($E166="","",IF($M166,IF(AND($G166&gt;=DC$5,$G166&lt;DC$5+GanttPeriod),"◆",IF(AND($E166&gt;=DC$5,$E166&lt;DC$5+GanttPeriod),"◇","")),IF(AND(DC$5&lt;=$F166,DC$5+GanttPeriod-1&gt;=$E166),"━","")))</f>
        <v/>
      </c>
      <c r="DD166" s="69" t="str">
        <f aca="false">IF($E166="","",IF($M166,IF(AND($G166&gt;=DD$5,$G166&lt;DD$5+GanttPeriod),"◆",IF(AND($E166&gt;=DD$5,$E166&lt;DD$5+GanttPeriod),"◇","")),IF(AND(DD$5&lt;=$F166,DD$5+GanttPeriod-1&gt;=$E166),"━","")))</f>
        <v/>
      </c>
      <c r="DE166" s="69" t="str">
        <f aca="false">IF($E166="","",IF($M166,IF(AND($G166&gt;=DE$5,$G166&lt;DE$5+GanttPeriod),"◆",IF(AND($E166&gt;=DE$5,$E166&lt;DE$5+GanttPeriod),"◇","")),IF(AND(DE$5&lt;=$F166,DE$5+GanttPeriod-1&gt;=$E166),"━","")))</f>
        <v/>
      </c>
      <c r="DF166" s="69" t="str">
        <f aca="false">IF($E166="","",IF($M166,IF(AND($G166&gt;=DF$5,$G166&lt;DF$5+GanttPeriod),"◆",IF(AND($E166&gt;=DF$5,$E166&lt;DF$5+GanttPeriod),"◇","")),IF(AND(DF$5&lt;=$F166,DF$5+GanttPeriod-1&gt;=$E166),"━","")))</f>
        <v/>
      </c>
      <c r="DG166" s="69" t="str">
        <f aca="false">IF($E166="","",IF($M166,IF(AND($G166&gt;=DG$5,$G166&lt;DG$5+GanttPeriod),"◆",IF(AND($E166&gt;=DG$5,$E166&lt;DG$5+GanttPeriod),"◇","")),IF(AND(DG$5&lt;=$F166,DG$5+GanttPeriod-1&gt;=$E166),"━","")))</f>
        <v/>
      </c>
      <c r="DH166" s="69" t="str">
        <f aca="false">IF($E166="","",IF($M166,IF(AND($G166&gt;=DH$5,$G166&lt;DH$5+GanttPeriod),"◆",IF(AND($E166&gt;=DH$5,$E166&lt;DH$5+GanttPeriod),"◇","")),IF(AND(DH$5&lt;=$F166,DH$5+GanttPeriod-1&gt;=$E166),"━","")))</f>
        <v/>
      </c>
      <c r="DI166" s="69" t="str">
        <f aca="false">IF($E166="","",IF($M166,IF(AND($G166&gt;=DI$5,$G166&lt;DI$5+GanttPeriod),"◆",IF(AND($E166&gt;=DI$5,$E166&lt;DI$5+GanttPeriod),"◇","")),IF(AND(DI$5&lt;=$F166,DI$5+GanttPeriod-1&gt;=$E166),"━","")))</f>
        <v/>
      </c>
      <c r="DJ166" s="69" t="str">
        <f aca="false">IF($E166="","",IF($M166,IF(AND($G166&gt;=DJ$5,$G166&lt;DJ$5+GanttPeriod),"◆",IF(AND($E166&gt;=DJ$5,$E166&lt;DJ$5+GanttPeriod),"◇","")),IF(AND(DJ$5&lt;=$F166,DJ$5+GanttPeriod-1&gt;=$E166),"━","")))</f>
        <v/>
      </c>
      <c r="DK166" s="69" t="str">
        <f aca="false">IF($E166="","",IF($M166,IF(AND($G166&gt;=DK$5,$G166&lt;DK$5+GanttPeriod),"◆",IF(AND($E166&gt;=DK$5,$E166&lt;DK$5+GanttPeriod),"◇","")),IF(AND(DK$5&lt;=$F166,DK$5+GanttPeriod-1&gt;=$E166),"━","")))</f>
        <v/>
      </c>
      <c r="DL166" s="69" t="str">
        <f aca="false">IF($E166="","",IF($M166,IF(AND($G166&gt;=DL$5,$G166&lt;DL$5+GanttPeriod),"◆",IF(AND($E166&gt;=DL$5,$E166&lt;DL$5+GanttPeriod),"◇","")),IF(AND(DL$5&lt;=$F166,DL$5+GanttPeriod-1&gt;=$E166),"━","")))</f>
        <v/>
      </c>
      <c r="DM166" s="69" t="str">
        <f aca="false">IF($E166="","",IF($M166,IF(AND($G166&gt;=DM$5,$G166&lt;DM$5+GanttPeriod),"◆",IF(AND($E166&gt;=DM$5,$E166&lt;DM$5+GanttPeriod),"◇","")),IF(AND(DM$5&lt;=$F166,DM$5+GanttPeriod-1&gt;=$E166),"━","")))</f>
        <v/>
      </c>
      <c r="DN166" s="69" t="str">
        <f aca="false">IF($E166="","",IF($M166,IF(AND($G166&gt;=DN$5,$G166&lt;DN$5+GanttPeriod),"◆",IF(AND($E166&gt;=DN$5,$E166&lt;DN$5+GanttPeriod),"◇","")),IF(AND(DN$5&lt;=$F166,DN$5+GanttPeriod-1&gt;=$E166),"━","")))</f>
        <v/>
      </c>
      <c r="DO166" s="69" t="str">
        <f aca="false">IF($E166="","",IF($M166,IF(AND($G166&gt;=DO$5,$G166&lt;DO$5+GanttPeriod),"◆",IF(AND($E166&gt;=DO$5,$E166&lt;DO$5+GanttPeriod),"◇","")),IF(AND(DO$5&lt;=$F166,DO$5+GanttPeriod-1&gt;=$E166),"━","")))</f>
        <v/>
      </c>
      <c r="DP166" s="69" t="str">
        <f aca="false">IF($E166="","",IF($M166,IF(AND($G166&gt;=DP$5,$G166&lt;DP$5+GanttPeriod),"◆",IF(AND($E166&gt;=DP$5,$E166&lt;DP$5+GanttPeriod),"◇","")),IF(AND(DP$5&lt;=$F166,DP$5+GanttPeriod-1&gt;=$E166),"━","")))</f>
        <v/>
      </c>
      <c r="DQ166" s="69" t="str">
        <f aca="false">IF($E166="","",IF($M166,IF(AND($G166&gt;=DQ$5,$G166&lt;DQ$5+GanttPeriod),"◆",IF(AND($E166&gt;=DQ$5,$E166&lt;DQ$5+GanttPeriod),"◇","")),IF(AND(DQ$5&lt;=$F166,DQ$5+GanttPeriod-1&gt;=$E166),"━","")))</f>
        <v/>
      </c>
      <c r="DR166" s="69" t="str">
        <f aca="false">IF($E166="","",IF($M166,IF(AND($G166&gt;=DR$5,$G166&lt;DR$5+GanttPeriod),"◆",IF(AND($E166&gt;=DR$5,$E166&lt;DR$5+GanttPeriod),"◇","")),IF(AND(DR$5&lt;=$F166,DR$5+GanttPeriod-1&gt;=$E166),"━","")))</f>
        <v/>
      </c>
      <c r="DS166" s="69" t="str">
        <f aca="false">IF($E166="","",IF($M166,IF(AND($G166&gt;=DS$5,$G166&lt;DS$5+GanttPeriod),"◆",IF(AND($E166&gt;=DS$5,$E166&lt;DS$5+GanttPeriod),"◇","")),IF(AND(DS$5&lt;=$F166,DS$5+GanttPeriod-1&gt;=$E166),"━","")))</f>
        <v/>
      </c>
      <c r="DT166" s="69" t="str">
        <f aca="false">IF($E166="","",IF($M166,IF(AND($G166&gt;=DT$5,$G166&lt;DT$5+GanttPeriod),"◆",IF(AND($E166&gt;=DT$5,$E166&lt;DT$5+GanttPeriod),"◇","")),IF(AND(DT$5&lt;=$F166,DT$5+GanttPeriod-1&gt;=$E166),"━","")))</f>
        <v/>
      </c>
      <c r="DU166" s="69" t="str">
        <f aca="false">IF($E166="","",IF($M166,IF(AND($G166&gt;=DU$5,$G166&lt;DU$5+GanttPeriod),"◆",IF(AND($E166&gt;=DU$5,$E166&lt;DU$5+GanttPeriod),"◇","")),IF(AND(DU$5&lt;=$F166,DU$5+GanttPeriod-1&gt;=$E166),"━","")))</f>
        <v/>
      </c>
      <c r="DV166" s="69" t="str">
        <f aca="false">IF($E166="","",IF($M166,IF(AND($G166&gt;=DV$5,$G166&lt;DV$5+GanttPeriod),"◆",IF(AND($E166&gt;=DV$5,$E166&lt;DV$5+GanttPeriod),"◇","")),IF(AND(DV$5&lt;=$F166,DV$5+GanttPeriod-1&gt;=$E166),"━","")))</f>
        <v/>
      </c>
      <c r="DW166" s="69" t="str">
        <f aca="false">IF($E166="","",IF($M166,IF(AND($G166&gt;=DW$5,$G166&lt;DW$5+GanttPeriod),"◆",IF(AND($E166&gt;=DW$5,$E166&lt;DW$5+GanttPeriod),"◇","")),IF(AND(DW$5&lt;=$F166,DW$5+GanttPeriod-1&gt;=$E166),"━","")))</f>
        <v/>
      </c>
      <c r="DX166" s="69" t="str">
        <f aca="false">IF($E166="","",IF($M166,IF(AND($G166&gt;=DX$5,$G166&lt;DX$5+GanttPeriod),"◆",IF(AND($E166&gt;=DX$5,$E166&lt;DX$5+GanttPeriod),"◇","")),IF(AND(DX$5&lt;=$F166,DX$5+GanttPeriod-1&gt;=$E166),"━","")))</f>
        <v/>
      </c>
      <c r="DY166" s="69" t="str">
        <f aca="false">IF($E166="","",IF($M166,IF(AND($G166&gt;=DY$5,$G166&lt;DY$5+GanttPeriod),"◆",IF(AND($E166&gt;=DY$5,$E166&lt;DY$5+GanttPeriod),"◇","")),IF(AND(DY$5&lt;=$F166,DY$5+GanttPeriod-1&gt;=$E166),"━","")))</f>
        <v/>
      </c>
      <c r="DZ166" s="69" t="str">
        <f aca="false">IF($E166="","",IF($M166,IF(AND($G166&gt;=DZ$5,$G166&lt;DZ$5+GanttPeriod),"◆",IF(AND($E166&gt;=DZ$5,$E166&lt;DZ$5+GanttPeriod),"◇","")),IF(AND(DZ$5&lt;=$F166,DZ$5+GanttPeriod-1&gt;=$E166),"━","")))</f>
        <v/>
      </c>
      <c r="EA166" s="69" t="str">
        <f aca="false">IF($E166="","",IF($M166,IF(AND($G166&gt;=EA$5,$G166&lt;EA$5+GanttPeriod),"◆",IF(AND($E166&gt;=EA$5,$E166&lt;EA$5+GanttPeriod),"◇","")),IF(AND(EA$5&lt;=$F166,EA$5+GanttPeriod-1&gt;=$E166),"━","")))</f>
        <v/>
      </c>
      <c r="EB166" s="69" t="str">
        <f aca="false">IF($E166="","",IF($M166,IF(AND($G166&gt;=EB$5,$G166&lt;EB$5+GanttPeriod),"◆",IF(AND($E166&gt;=EB$5,$E166&lt;EB$5+GanttPeriod),"◇","")),IF(AND(EB$5&lt;=$F166,EB$5+GanttPeriod-1&gt;=$E166),"━","")))</f>
        <v/>
      </c>
      <c r="EC166" s="69" t="str">
        <f aca="false">IF($E166="","",IF($M166,IF(AND($G166&gt;=EC$5,$G166&lt;EC$5+GanttPeriod),"◆",IF(AND($E166&gt;=EC$5,$E166&lt;EC$5+GanttPeriod),"◇","")),IF(AND(EC$5&lt;=$F166,EC$5+GanttPeriod-1&gt;=$E166),"━","")))</f>
        <v/>
      </c>
      <c r="ED166" s="69" t="str">
        <f aca="false">IF($E166="","",IF($M166,IF(AND($G166&gt;=ED$5,$G166&lt;ED$5+GanttPeriod),"◆",IF(AND($E166&gt;=ED$5,$E166&lt;ED$5+GanttPeriod),"◇","")),IF(AND(ED$5&lt;=$F166,ED$5+GanttPeriod-1&gt;=$E166),"━","")))</f>
        <v/>
      </c>
      <c r="EE166" s="69" t="str">
        <f aca="false">IF($E166="","",IF($M166,IF(AND($G166&gt;=EE$5,$G166&lt;EE$5+GanttPeriod),"◆",IF(AND($E166&gt;=EE$5,$E166&lt;EE$5+GanttPeriod),"◇","")),IF(AND(EE$5&lt;=$F166,EE$5+GanttPeriod-1&gt;=$E166),"━","")))</f>
        <v/>
      </c>
      <c r="EF166" s="69" t="str">
        <f aca="false">IF($E166="","",IF($M166,IF(AND($G166&gt;=EF$5,$G166&lt;EF$5+GanttPeriod),"◆",IF(AND($E166&gt;=EF$5,$E166&lt;EF$5+GanttPeriod),"◇","")),IF(AND(EF$5&lt;=$F166,EF$5+GanttPeriod-1&gt;=$E166),"━","")))</f>
        <v/>
      </c>
      <c r="EG166" s="69" t="str">
        <f aca="false">IF($E166="","",IF($M166,IF(AND($G166&gt;=EG$5,$G166&lt;EG$5+GanttPeriod),"◆",IF(AND($E166&gt;=EG$5,$E166&lt;EG$5+GanttPeriod),"◇","")),IF(AND(EG$5&lt;=$F166,EG$5+GanttPeriod-1&gt;=$E166),"━","")))</f>
        <v/>
      </c>
      <c r="EH166" s="69" t="str">
        <f aca="false">IF($E166="","",IF($M166,IF(AND($G166&gt;=EH$5,$G166&lt;EH$5+GanttPeriod),"◆",IF(AND($E166&gt;=EH$5,$E166&lt;EH$5+GanttPeriod),"◇","")),IF(AND(EH$5&lt;=$F166,EH$5+GanttPeriod-1&gt;=$E166),"━","")))</f>
        <v/>
      </c>
      <c r="EI166" s="69" t="str">
        <f aca="false">IF($E166="","",IF($M166,IF(AND($G166&gt;=EI$5,$G166&lt;EI$5+GanttPeriod),"◆",IF(AND($E166&gt;=EI$5,$E166&lt;EI$5+GanttPeriod),"◇","")),IF(AND(EI$5&lt;=$F166,EI$5+GanttPeriod-1&gt;=$E166),"━","")))</f>
        <v/>
      </c>
      <c r="EJ166" s="69" t="str">
        <f aca="false">IF($E166="","",IF($M166,IF(AND($G166&gt;=EJ$5,$G166&lt;EJ$5+GanttPeriod),"◆",IF(AND($E166&gt;=EJ$5,$E166&lt;EJ$5+GanttPeriod),"◇","")),IF(AND(EJ$5&lt;=$F166,EJ$5+GanttPeriod-1&gt;=$E166),"━","")))</f>
        <v/>
      </c>
      <c r="EK166" s="69" t="str">
        <f aca="false">IF($E166="","",IF($M166,IF(AND($G166&gt;=EK$5,$G166&lt;EK$5+GanttPeriod),"◆",IF(AND($E166&gt;=EK$5,$E166&lt;EK$5+GanttPeriod),"◇","")),IF(AND(EK$5&lt;=$F166,EK$5+GanttPeriod-1&gt;=$E166),"━","")))</f>
        <v/>
      </c>
      <c r="EL166" s="69" t="str">
        <f aca="false">IF($E166="","",IF($M166,IF(AND($G166&gt;=EL$5,$G166&lt;EL$5+GanttPeriod),"◆",IF(AND($E166&gt;=EL$5,$E166&lt;EL$5+GanttPeriod),"◇","")),IF(AND(EL$5&lt;=$F166,EL$5+GanttPeriod-1&gt;=$E166),"━","")))</f>
        <v/>
      </c>
      <c r="EM166" s="69" t="str">
        <f aca="false">IF($E166="","",IF($M166,IF(AND($G166&gt;=EM$5,$G166&lt;EM$5+GanttPeriod),"◆",IF(AND($E166&gt;=EM$5,$E166&lt;EM$5+GanttPeriod),"◇","")),IF(AND(EM$5&lt;=$F166,EM$5+GanttPeriod-1&gt;=$E166),"━","")))</f>
        <v/>
      </c>
      <c r="EN166" s="69" t="str">
        <f aca="false">IF($E166="","",IF($M166,IF(AND($G166&gt;=EN$5,$G166&lt;EN$5+GanttPeriod),"◆",IF(AND($E166&gt;=EN$5,$E166&lt;EN$5+GanttPeriod),"◇","")),IF(AND(EN$5&lt;=$F166,EN$5+GanttPeriod-1&gt;=$E166),"━","")))</f>
        <v/>
      </c>
      <c r="EO166" s="69" t="str">
        <f aca="false">IF($E166="","",IF($M166,IF(AND($G166&gt;=EO$5,$G166&lt;EO$5+GanttPeriod),"◆",IF(AND($E166&gt;=EO$5,$E166&lt;EO$5+GanttPeriod),"◇","")),IF(AND(EO$5&lt;=$F166,EO$5+GanttPeriod-1&gt;=$E166),"━","")))</f>
        <v/>
      </c>
      <c r="EP166" s="69" t="str">
        <f aca="false">IF($E166="","",IF($M166,IF(AND($G166&gt;=EP$5,$G166&lt;EP$5+GanttPeriod),"◆",IF(AND($E166&gt;=EP$5,$E166&lt;EP$5+GanttPeriod),"◇","")),IF(AND(EP$5&lt;=$F166,EP$5+GanttPeriod-1&gt;=$E166),"━","")))</f>
        <v/>
      </c>
      <c r="EQ166" s="69" t="str">
        <f aca="false">IF($E166="","",IF($M166,IF(AND($G166&gt;=EQ$5,$G166&lt;EQ$5+GanttPeriod),"◆",IF(AND($E166&gt;=EQ$5,$E166&lt;EQ$5+GanttPeriod),"◇","")),IF(AND(EQ$5&lt;=$F166,EQ$5+GanttPeriod-1&gt;=$E166),"━","")))</f>
        <v/>
      </c>
      <c r="ER166" s="69" t="str">
        <f aca="false">IF($E166="","",IF($M166,IF(AND($G166&gt;=ER$5,$G166&lt;ER$5+GanttPeriod),"◆",IF(AND($E166&gt;=ER$5,$E166&lt;ER$5+GanttPeriod),"◇","")),IF(AND(ER$5&lt;=$F166,ER$5+GanttPeriod-1&gt;=$E166),"━","")))</f>
        <v/>
      </c>
      <c r="ES166" s="69" t="str">
        <f aca="false">IF($E166="","",IF($M166,IF(AND($G166&gt;=ES$5,$G166&lt;ES$5+GanttPeriod),"◆",IF(AND($E166&gt;=ES$5,$E166&lt;ES$5+GanttPeriod),"◇","")),IF(AND(ES$5&lt;=$F166,ES$5+GanttPeriod-1&gt;=$E166),"━","")))</f>
        <v/>
      </c>
      <c r="ET166" s="69" t="str">
        <f aca="false">IF($E166="","",IF($M166,IF(AND($G166&gt;=ET$5,$G166&lt;ET$5+GanttPeriod),"◆",IF(AND($E166&gt;=ET$5,$E166&lt;ET$5+GanttPeriod),"◇","")),IF(AND(ET$5&lt;=$F166,ET$5+GanttPeriod-1&gt;=$E166),"━","")))</f>
        <v/>
      </c>
      <c r="EU166" s="69" t="str">
        <f aca="false">IF($E166="","",IF($M166,IF(AND($G166&gt;=EU$5,$G166&lt;EU$5+GanttPeriod),"◆",IF(AND($E166&gt;=EU$5,$E166&lt;EU$5+GanttPeriod),"◇","")),IF(AND(EU$5&lt;=$F166,EU$5+GanttPeriod-1&gt;=$E166),"━","")))</f>
        <v/>
      </c>
      <c r="EV166" s="69" t="str">
        <f aca="false">IF($E166="","",IF($M166,IF(AND($G166&gt;=EV$5,$G166&lt;EV$5+GanttPeriod),"◆",IF(AND($E166&gt;=EV$5,$E166&lt;EV$5+GanttPeriod),"◇","")),IF(AND(EV$5&lt;=$F166,EV$5+GanttPeriod-1&gt;=$E166),"━","")))</f>
        <v/>
      </c>
      <c r="EW166" s="69" t="str">
        <f aca="false">IF($E166="","",IF($M166,IF(AND($G166&gt;=EW$5,$G166&lt;EW$5+GanttPeriod),"◆",IF(AND($E166&gt;=EW$5,$E166&lt;EW$5+GanttPeriod),"◇","")),IF(AND(EW$5&lt;=$F166,EW$5+GanttPeriod-1&gt;=$E166),"━","")))</f>
        <v/>
      </c>
      <c r="EX166" s="69" t="str">
        <f aca="false">IF($E166="","",IF($M166,IF(AND($G166&gt;=EX$5,$G166&lt;EX$5+GanttPeriod),"◆",IF(AND($E166&gt;=EX$5,$E166&lt;EX$5+GanttPeriod),"◇","")),IF(AND(EX$5&lt;=$F166,EX$5+GanttPeriod-1&gt;=$E166),"━","")))</f>
        <v/>
      </c>
      <c r="EY166" s="69" t="str">
        <f aca="false">IF($E166="","",IF($M166,IF(AND($G166&gt;=EY$5,$G166&lt;EY$5+GanttPeriod),"◆",IF(AND($E166&gt;=EY$5,$E166&lt;EY$5+GanttPeriod),"◇","")),IF(AND(EY$5&lt;=$F166,EY$5+GanttPeriod-1&gt;=$E166),"━","")))</f>
        <v/>
      </c>
      <c r="EZ166" s="69" t="str">
        <f aca="false">IF($E166="","",IF($M166,IF(AND($G166&gt;=EZ$5,$G166&lt;EZ$5+GanttPeriod),"◆",IF(AND($E166&gt;=EZ$5,$E166&lt;EZ$5+GanttPeriod),"◇","")),IF(AND(EZ$5&lt;=$F166,EZ$5+GanttPeriod-1&gt;=$E166),"━","")))</f>
        <v/>
      </c>
      <c r="FA166" s="69" t="str">
        <f aca="false">IF($E166="","",IF($M166,IF(AND($G166&gt;=FA$5,$G166&lt;FA$5+GanttPeriod),"◆",IF(AND($E166&gt;=FA$5,$E166&lt;FA$5+GanttPeriod),"◇","")),IF(AND(FA$5&lt;=$F166,FA$5+GanttPeriod-1&gt;=$E166),"━","")))</f>
        <v/>
      </c>
      <c r="FB166" s="69" t="str">
        <f aca="false">IF($E166="","",IF($M166,IF(AND($G166&gt;=FB$5,$G166&lt;FB$5+GanttPeriod),"◆",IF(AND($E166&gt;=FB$5,$E166&lt;FB$5+GanttPeriod),"◇","")),IF(AND(FB$5&lt;=$F166,FB$5+GanttPeriod-1&gt;=$E166),"━","")))</f>
        <v/>
      </c>
      <c r="FC166" s="69" t="str">
        <f aca="false">IF($E166="","",IF($M166,IF(AND($G166&gt;=FC$5,$G166&lt;FC$5+GanttPeriod),"◆",IF(AND($E166&gt;=FC$5,$E166&lt;FC$5+GanttPeriod),"◇","")),IF(AND(FC$5&lt;=$F166,FC$5+GanttPeriod-1&gt;=$E166),"━","")))</f>
        <v/>
      </c>
      <c r="FD166" s="69" t="str">
        <f aca="false">IF($E166="","",IF($M166,IF(AND($G166&gt;=FD$5,$G166&lt;FD$5+GanttPeriod),"◆",IF(AND($E166&gt;=FD$5,$E166&lt;FD$5+GanttPeriod),"◇","")),IF(AND(FD$5&lt;=$F166,FD$5+GanttPeriod-1&gt;=$E166),"━","")))</f>
        <v/>
      </c>
      <c r="FE166" s="69" t="str">
        <f aca="false">IF($E166="","",IF($M166,IF(AND($G166&gt;=FE$5,$G166&lt;FE$5+GanttPeriod),"◆",IF(AND($E166&gt;=FE$5,$E166&lt;FE$5+GanttPeriod),"◇","")),IF(AND(FE$5&lt;=$F166,FE$5+GanttPeriod-1&gt;=$E166),"━","")))</f>
        <v/>
      </c>
      <c r="FF166" s="69" t="str">
        <f aca="false">IF($E166="","",IF($M166,IF(AND($G166&gt;=FF$5,$G166&lt;FF$5+GanttPeriod),"◆",IF(AND($E166&gt;=FF$5,$E166&lt;FF$5+GanttPeriod),"◇","")),IF(AND(FF$5&lt;=$F166,FF$5+GanttPeriod-1&gt;=$E166),"━","")))</f>
        <v/>
      </c>
      <c r="FG166" s="69" t="str">
        <f aca="false">IF($E166="","",IF($M166,IF(AND($G166&gt;=FG$5,$G166&lt;FG$5+GanttPeriod),"◆",IF(AND($E166&gt;=FG$5,$E166&lt;FG$5+GanttPeriod),"◇","")),IF(AND(FG$5&lt;=$F166,FG$5+GanttPeriod-1&gt;=$E166),"━","")))</f>
        <v/>
      </c>
      <c r="FH166" s="69" t="str">
        <f aca="false">IF($E166="","",IF($M166,IF(AND($G166&gt;=FH$5,$G166&lt;FH$5+GanttPeriod),"◆",IF(AND($E166&gt;=FH$5,$E166&lt;FH$5+GanttPeriod),"◇","")),IF(AND(FH$5&lt;=$F166,FH$5+GanttPeriod-1&gt;=$E166),"━","")))</f>
        <v/>
      </c>
      <c r="FI166" s="69" t="str">
        <f aca="false">IF($E166="","",IF($M166,IF(AND($G166&gt;=FI$5,$G166&lt;FI$5+GanttPeriod),"◆",IF(AND($E166&gt;=FI$5,$E166&lt;FI$5+GanttPeriod),"◇","")),IF(AND(FI$5&lt;=$F166,FI$5+GanttPeriod-1&gt;=$E166),"━","")))</f>
        <v/>
      </c>
      <c r="FJ166" s="69" t="str">
        <f aca="false">IF($E166="","",IF($M166,IF(AND($G166&gt;=FJ$5,$G166&lt;FJ$5+GanttPeriod),"◆",IF(AND($E166&gt;=FJ$5,$E166&lt;FJ$5+GanttPeriod),"◇","")),IF(AND(FJ$5&lt;=$F166,FJ$5+GanttPeriod-1&gt;=$E166),"━","")))</f>
        <v/>
      </c>
      <c r="FK166" s="69" t="str">
        <f aca="false">IF($E166="","",IF($M166,IF(AND($G166&gt;=FK$5,$G166&lt;FK$5+GanttPeriod),"◆",IF(AND($E166&gt;=FK$5,$E166&lt;FK$5+GanttPeriod),"◇","")),IF(AND(FK$5&lt;=$F166,FK$5+GanttPeriod-1&gt;=$E166),"━","")))</f>
        <v/>
      </c>
      <c r="FL166" s="69" t="str">
        <f aca="false">IF($E166="","",IF($M166,IF(AND($G166&gt;=FL$5,$G166&lt;FL$5+GanttPeriod),"◆",IF(AND($E166&gt;=FL$5,$E166&lt;FL$5+GanttPeriod),"◇","")),IF(AND(FL$5&lt;=$F166,FL$5+GanttPeriod-1&gt;=$E166),"━","")))</f>
        <v/>
      </c>
      <c r="FM166" s="69" t="str">
        <f aca="false">IF($E166="","",IF($M166,IF(AND($G166&gt;=FM$5,$G166&lt;FM$5+GanttPeriod),"◆",IF(AND($E166&gt;=FM$5,$E166&lt;FM$5+GanttPeriod),"◇","")),IF(AND(FM$5&lt;=$F166,FM$5+GanttPeriod-1&gt;=$E166),"━","")))</f>
        <v/>
      </c>
    </row>
    <row r="167" customFormat="false" ht="15" hidden="false" customHeight="false" outlineLevel="0" collapsed="false">
      <c r="A167" s="62" t="str">
        <f aca="false">IF(Tasks!$D167="","",Tasks!$A167)</f>
        <v/>
      </c>
      <c r="B167" s="62" t="str">
        <f aca="false">IF(Tasks!$D167="","",Tasks!$B167)</f>
        <v/>
      </c>
      <c r="C167" s="63" t="str">
        <f aca="false">IF(Tasks!$D167="","",REPT("    ",Tasks!$AE167-1)&amp;Tasks!$D167)</f>
        <v/>
      </c>
      <c r="D167" s="62" t="str">
        <f aca="false">IF(Tasks!$D167="","",IF(Tasks!$AI167,NETWORKDAYS.INTL(Tasks!$R167,Tasks!$S167,WorkWeek,Holidays),N(Tasks!$F167)))</f>
        <v/>
      </c>
      <c r="E167" s="64" t="str">
        <f aca="false">IF(Tasks!$D167="","",Tasks!$N167)</f>
        <v/>
      </c>
      <c r="F167" s="64" t="str">
        <f aca="false">IF(Tasks!$D167="","",Tasks!$O167)</f>
        <v/>
      </c>
      <c r="G167" s="64" t="str">
        <f aca="false">IF(Tasks!$D167="","",Tasks!$R167)</f>
        <v/>
      </c>
      <c r="H167" s="64" t="str">
        <f aca="false">IF(Tasks!$D167="","",Tasks!$S167)</f>
        <v/>
      </c>
      <c r="I167" s="65" t="str">
        <f aca="false">IF(Tasks!$D167="","",Tasks!$V167)</f>
        <v/>
      </c>
      <c r="J167" s="63" t="str">
        <f aca="false">IF(Tasks!$D167="","",Tasks!$X167&amp;"")</f>
        <v/>
      </c>
      <c r="K167" s="66" t="str">
        <f aca="false">IF(Tasks!$D167="","",Tasks!$W167)</f>
        <v/>
      </c>
      <c r="L167" s="67" t="b">
        <f aca="false">IF(Tasks!$D167="",FALSE(),Tasks!$AI167)</f>
        <v>0</v>
      </c>
      <c r="M167" s="67" t="b">
        <f aca="false">AND(Tasks!$AJ167=1,N(Tasks!$F167)=0)</f>
        <v>0</v>
      </c>
      <c r="N167" s="68" t="n">
        <f aca="false">IF(AND(Tasks!$AJ167=1,NOT($M167),N($I167)&gt;0),$G167,0)</f>
        <v>0</v>
      </c>
      <c r="O167" s="68" t="n">
        <f aca="false">IF($N167=0,0,IF($I167&gt;=1,$H167,MAX($N167,$G167+ROUND(($H167-$G167+1)*$I167,0)-1)))</f>
        <v>0</v>
      </c>
      <c r="P167" s="68" t="n">
        <f aca="false">IF(OR(Tasks!$AJ167&lt;&gt;1,$M167,N($I167)&gt;=1),0,IF($O167&gt;0,$O167+1,$G167))</f>
        <v>0</v>
      </c>
      <c r="Q167" s="68" t="n">
        <f aca="false">IF($P167=0,0,$H167)</f>
        <v>0</v>
      </c>
      <c r="R167" s="67" t="b">
        <f aca="false">AND(Tasks!$D167&lt;&gt;"",N(Tasks!$T167)&gt;0)</f>
        <v>0</v>
      </c>
      <c r="T167" s="69" t="str">
        <f aca="false">IF($E167="","",IF($M167,IF(AND($G167&gt;=T$5,$G167&lt;T$5+GanttPeriod),"◆",IF(AND($E167&gt;=T$5,$E167&lt;T$5+GanttPeriod),"◇","")),IF(AND(T$5&lt;=$F167,T$5+GanttPeriod-1&gt;=$E167),"━","")))</f>
        <v/>
      </c>
      <c r="U167" s="69" t="str">
        <f aca="false">IF($E167="","",IF($M167,IF(AND($G167&gt;=U$5,$G167&lt;U$5+GanttPeriod),"◆",IF(AND($E167&gt;=U$5,$E167&lt;U$5+GanttPeriod),"◇","")),IF(AND(U$5&lt;=$F167,U$5+GanttPeriod-1&gt;=$E167),"━","")))</f>
        <v/>
      </c>
      <c r="V167" s="69" t="str">
        <f aca="false">IF($E167="","",IF($M167,IF(AND($G167&gt;=V$5,$G167&lt;V$5+GanttPeriod),"◆",IF(AND($E167&gt;=V$5,$E167&lt;V$5+GanttPeriod),"◇","")),IF(AND(V$5&lt;=$F167,V$5+GanttPeriod-1&gt;=$E167),"━","")))</f>
        <v/>
      </c>
      <c r="W167" s="69" t="str">
        <f aca="false">IF($E167="","",IF($M167,IF(AND($G167&gt;=W$5,$G167&lt;W$5+GanttPeriod),"◆",IF(AND($E167&gt;=W$5,$E167&lt;W$5+GanttPeriod),"◇","")),IF(AND(W$5&lt;=$F167,W$5+GanttPeriod-1&gt;=$E167),"━","")))</f>
        <v/>
      </c>
      <c r="X167" s="69" t="str">
        <f aca="false">IF($E167="","",IF($M167,IF(AND($G167&gt;=X$5,$G167&lt;X$5+GanttPeriod),"◆",IF(AND($E167&gt;=X$5,$E167&lt;X$5+GanttPeriod),"◇","")),IF(AND(X$5&lt;=$F167,X$5+GanttPeriod-1&gt;=$E167),"━","")))</f>
        <v/>
      </c>
      <c r="Y167" s="69" t="str">
        <f aca="false">IF($E167="","",IF($M167,IF(AND($G167&gt;=Y$5,$G167&lt;Y$5+GanttPeriod),"◆",IF(AND($E167&gt;=Y$5,$E167&lt;Y$5+GanttPeriod),"◇","")),IF(AND(Y$5&lt;=$F167,Y$5+GanttPeriod-1&gt;=$E167),"━","")))</f>
        <v/>
      </c>
      <c r="Z167" s="69" t="str">
        <f aca="false">IF($E167="","",IF($M167,IF(AND($G167&gt;=Z$5,$G167&lt;Z$5+GanttPeriod),"◆",IF(AND($E167&gt;=Z$5,$E167&lt;Z$5+GanttPeriod),"◇","")),IF(AND(Z$5&lt;=$F167,Z$5+GanttPeriod-1&gt;=$E167),"━","")))</f>
        <v/>
      </c>
      <c r="AA167" s="69" t="str">
        <f aca="false">IF($E167="","",IF($M167,IF(AND($G167&gt;=AA$5,$G167&lt;AA$5+GanttPeriod),"◆",IF(AND($E167&gt;=AA$5,$E167&lt;AA$5+GanttPeriod),"◇","")),IF(AND(AA$5&lt;=$F167,AA$5+GanttPeriod-1&gt;=$E167),"━","")))</f>
        <v/>
      </c>
      <c r="AB167" s="69" t="str">
        <f aca="false">IF($E167="","",IF($M167,IF(AND($G167&gt;=AB$5,$G167&lt;AB$5+GanttPeriod),"◆",IF(AND($E167&gt;=AB$5,$E167&lt;AB$5+GanttPeriod),"◇","")),IF(AND(AB$5&lt;=$F167,AB$5+GanttPeriod-1&gt;=$E167),"━","")))</f>
        <v/>
      </c>
      <c r="AC167" s="69" t="str">
        <f aca="false">IF($E167="","",IF($M167,IF(AND($G167&gt;=AC$5,$G167&lt;AC$5+GanttPeriod),"◆",IF(AND($E167&gt;=AC$5,$E167&lt;AC$5+GanttPeriod),"◇","")),IF(AND(AC$5&lt;=$F167,AC$5+GanttPeriod-1&gt;=$E167),"━","")))</f>
        <v/>
      </c>
      <c r="AD167" s="69" t="str">
        <f aca="false">IF($E167="","",IF($M167,IF(AND($G167&gt;=AD$5,$G167&lt;AD$5+GanttPeriod),"◆",IF(AND($E167&gt;=AD$5,$E167&lt;AD$5+GanttPeriod),"◇","")),IF(AND(AD$5&lt;=$F167,AD$5+GanttPeriod-1&gt;=$E167),"━","")))</f>
        <v/>
      </c>
      <c r="AE167" s="69" t="str">
        <f aca="false">IF($E167="","",IF($M167,IF(AND($G167&gt;=AE$5,$G167&lt;AE$5+GanttPeriod),"◆",IF(AND($E167&gt;=AE$5,$E167&lt;AE$5+GanttPeriod),"◇","")),IF(AND(AE$5&lt;=$F167,AE$5+GanttPeriod-1&gt;=$E167),"━","")))</f>
        <v/>
      </c>
      <c r="AF167" s="69" t="str">
        <f aca="false">IF($E167="","",IF($M167,IF(AND($G167&gt;=AF$5,$G167&lt;AF$5+GanttPeriod),"◆",IF(AND($E167&gt;=AF$5,$E167&lt;AF$5+GanttPeriod),"◇","")),IF(AND(AF$5&lt;=$F167,AF$5+GanttPeriod-1&gt;=$E167),"━","")))</f>
        <v/>
      </c>
      <c r="AG167" s="69" t="str">
        <f aca="false">IF($E167="","",IF($M167,IF(AND($G167&gt;=AG$5,$G167&lt;AG$5+GanttPeriod),"◆",IF(AND($E167&gt;=AG$5,$E167&lt;AG$5+GanttPeriod),"◇","")),IF(AND(AG$5&lt;=$F167,AG$5+GanttPeriod-1&gt;=$E167),"━","")))</f>
        <v/>
      </c>
      <c r="AH167" s="69" t="str">
        <f aca="false">IF($E167="","",IF($M167,IF(AND($G167&gt;=AH$5,$G167&lt;AH$5+GanttPeriod),"◆",IF(AND($E167&gt;=AH$5,$E167&lt;AH$5+GanttPeriod),"◇","")),IF(AND(AH$5&lt;=$F167,AH$5+GanttPeriod-1&gt;=$E167),"━","")))</f>
        <v/>
      </c>
      <c r="AI167" s="69" t="str">
        <f aca="false">IF($E167="","",IF($M167,IF(AND($G167&gt;=AI$5,$G167&lt;AI$5+GanttPeriod),"◆",IF(AND($E167&gt;=AI$5,$E167&lt;AI$5+GanttPeriod),"◇","")),IF(AND(AI$5&lt;=$F167,AI$5+GanttPeriod-1&gt;=$E167),"━","")))</f>
        <v/>
      </c>
      <c r="AJ167" s="69" t="str">
        <f aca="false">IF($E167="","",IF($M167,IF(AND($G167&gt;=AJ$5,$G167&lt;AJ$5+GanttPeriod),"◆",IF(AND($E167&gt;=AJ$5,$E167&lt;AJ$5+GanttPeriod),"◇","")),IF(AND(AJ$5&lt;=$F167,AJ$5+GanttPeriod-1&gt;=$E167),"━","")))</f>
        <v/>
      </c>
      <c r="AK167" s="69" t="str">
        <f aca="false">IF($E167="","",IF($M167,IF(AND($G167&gt;=AK$5,$G167&lt;AK$5+GanttPeriod),"◆",IF(AND($E167&gt;=AK$5,$E167&lt;AK$5+GanttPeriod),"◇","")),IF(AND(AK$5&lt;=$F167,AK$5+GanttPeriod-1&gt;=$E167),"━","")))</f>
        <v/>
      </c>
      <c r="AL167" s="69" t="str">
        <f aca="false">IF($E167="","",IF($M167,IF(AND($G167&gt;=AL$5,$G167&lt;AL$5+GanttPeriod),"◆",IF(AND($E167&gt;=AL$5,$E167&lt;AL$5+GanttPeriod),"◇","")),IF(AND(AL$5&lt;=$F167,AL$5+GanttPeriod-1&gt;=$E167),"━","")))</f>
        <v/>
      </c>
      <c r="AM167" s="69" t="str">
        <f aca="false">IF($E167="","",IF($M167,IF(AND($G167&gt;=AM$5,$G167&lt;AM$5+GanttPeriod),"◆",IF(AND($E167&gt;=AM$5,$E167&lt;AM$5+GanttPeriod),"◇","")),IF(AND(AM$5&lt;=$F167,AM$5+GanttPeriod-1&gt;=$E167),"━","")))</f>
        <v/>
      </c>
      <c r="AN167" s="69" t="str">
        <f aca="false">IF($E167="","",IF($M167,IF(AND($G167&gt;=AN$5,$G167&lt;AN$5+GanttPeriod),"◆",IF(AND($E167&gt;=AN$5,$E167&lt;AN$5+GanttPeriod),"◇","")),IF(AND(AN$5&lt;=$F167,AN$5+GanttPeriod-1&gt;=$E167),"━","")))</f>
        <v/>
      </c>
      <c r="AO167" s="69" t="str">
        <f aca="false">IF($E167="","",IF($M167,IF(AND($G167&gt;=AO$5,$G167&lt;AO$5+GanttPeriod),"◆",IF(AND($E167&gt;=AO$5,$E167&lt;AO$5+GanttPeriod),"◇","")),IF(AND(AO$5&lt;=$F167,AO$5+GanttPeriod-1&gt;=$E167),"━","")))</f>
        <v/>
      </c>
      <c r="AP167" s="69" t="str">
        <f aca="false">IF($E167="","",IF($M167,IF(AND($G167&gt;=AP$5,$G167&lt;AP$5+GanttPeriod),"◆",IF(AND($E167&gt;=AP$5,$E167&lt;AP$5+GanttPeriod),"◇","")),IF(AND(AP$5&lt;=$F167,AP$5+GanttPeriod-1&gt;=$E167),"━","")))</f>
        <v/>
      </c>
      <c r="AQ167" s="69" t="str">
        <f aca="false">IF($E167="","",IF($M167,IF(AND($G167&gt;=AQ$5,$G167&lt;AQ$5+GanttPeriod),"◆",IF(AND($E167&gt;=AQ$5,$E167&lt;AQ$5+GanttPeriod),"◇","")),IF(AND(AQ$5&lt;=$F167,AQ$5+GanttPeriod-1&gt;=$E167),"━","")))</f>
        <v/>
      </c>
      <c r="AR167" s="69" t="str">
        <f aca="false">IF($E167="","",IF($M167,IF(AND($G167&gt;=AR$5,$G167&lt;AR$5+GanttPeriod),"◆",IF(AND($E167&gt;=AR$5,$E167&lt;AR$5+GanttPeriod),"◇","")),IF(AND(AR$5&lt;=$F167,AR$5+GanttPeriod-1&gt;=$E167),"━","")))</f>
        <v/>
      </c>
      <c r="AS167" s="69" t="str">
        <f aca="false">IF($E167="","",IF($M167,IF(AND($G167&gt;=AS$5,$G167&lt;AS$5+GanttPeriod),"◆",IF(AND($E167&gt;=AS$5,$E167&lt;AS$5+GanttPeriod),"◇","")),IF(AND(AS$5&lt;=$F167,AS$5+GanttPeriod-1&gt;=$E167),"━","")))</f>
        <v/>
      </c>
      <c r="AT167" s="69" t="str">
        <f aca="false">IF($E167="","",IF($M167,IF(AND($G167&gt;=AT$5,$G167&lt;AT$5+GanttPeriod),"◆",IF(AND($E167&gt;=AT$5,$E167&lt;AT$5+GanttPeriod),"◇","")),IF(AND(AT$5&lt;=$F167,AT$5+GanttPeriod-1&gt;=$E167),"━","")))</f>
        <v/>
      </c>
      <c r="AU167" s="69" t="str">
        <f aca="false">IF($E167="","",IF($M167,IF(AND($G167&gt;=AU$5,$G167&lt;AU$5+GanttPeriod),"◆",IF(AND($E167&gt;=AU$5,$E167&lt;AU$5+GanttPeriod),"◇","")),IF(AND(AU$5&lt;=$F167,AU$5+GanttPeriod-1&gt;=$E167),"━","")))</f>
        <v/>
      </c>
      <c r="AV167" s="69" t="str">
        <f aca="false">IF($E167="","",IF($M167,IF(AND($G167&gt;=AV$5,$G167&lt;AV$5+GanttPeriod),"◆",IF(AND($E167&gt;=AV$5,$E167&lt;AV$5+GanttPeriod),"◇","")),IF(AND(AV$5&lt;=$F167,AV$5+GanttPeriod-1&gt;=$E167),"━","")))</f>
        <v/>
      </c>
      <c r="AW167" s="69" t="str">
        <f aca="false">IF($E167="","",IF($M167,IF(AND($G167&gt;=AW$5,$G167&lt;AW$5+GanttPeriod),"◆",IF(AND($E167&gt;=AW$5,$E167&lt;AW$5+GanttPeriod),"◇","")),IF(AND(AW$5&lt;=$F167,AW$5+GanttPeriod-1&gt;=$E167),"━","")))</f>
        <v/>
      </c>
      <c r="AX167" s="69" t="str">
        <f aca="false">IF($E167="","",IF($M167,IF(AND($G167&gt;=AX$5,$G167&lt;AX$5+GanttPeriod),"◆",IF(AND($E167&gt;=AX$5,$E167&lt;AX$5+GanttPeriod),"◇","")),IF(AND(AX$5&lt;=$F167,AX$5+GanttPeriod-1&gt;=$E167),"━","")))</f>
        <v/>
      </c>
      <c r="AY167" s="69" t="str">
        <f aca="false">IF($E167="","",IF($M167,IF(AND($G167&gt;=AY$5,$G167&lt;AY$5+GanttPeriod),"◆",IF(AND($E167&gt;=AY$5,$E167&lt;AY$5+GanttPeriod),"◇","")),IF(AND(AY$5&lt;=$F167,AY$5+GanttPeriod-1&gt;=$E167),"━","")))</f>
        <v/>
      </c>
      <c r="AZ167" s="69" t="str">
        <f aca="false">IF($E167="","",IF($M167,IF(AND($G167&gt;=AZ$5,$G167&lt;AZ$5+GanttPeriod),"◆",IF(AND($E167&gt;=AZ$5,$E167&lt;AZ$5+GanttPeriod),"◇","")),IF(AND(AZ$5&lt;=$F167,AZ$5+GanttPeriod-1&gt;=$E167),"━","")))</f>
        <v/>
      </c>
      <c r="BA167" s="69" t="str">
        <f aca="false">IF($E167="","",IF($M167,IF(AND($G167&gt;=BA$5,$G167&lt;BA$5+GanttPeriod),"◆",IF(AND($E167&gt;=BA$5,$E167&lt;BA$5+GanttPeriod),"◇","")),IF(AND(BA$5&lt;=$F167,BA$5+GanttPeriod-1&gt;=$E167),"━","")))</f>
        <v/>
      </c>
      <c r="BB167" s="69" t="str">
        <f aca="false">IF($E167="","",IF($M167,IF(AND($G167&gt;=BB$5,$G167&lt;BB$5+GanttPeriod),"◆",IF(AND($E167&gt;=BB$5,$E167&lt;BB$5+GanttPeriod),"◇","")),IF(AND(BB$5&lt;=$F167,BB$5+GanttPeriod-1&gt;=$E167),"━","")))</f>
        <v/>
      </c>
      <c r="BC167" s="69" t="str">
        <f aca="false">IF($E167="","",IF($M167,IF(AND($G167&gt;=BC$5,$G167&lt;BC$5+GanttPeriod),"◆",IF(AND($E167&gt;=BC$5,$E167&lt;BC$5+GanttPeriod),"◇","")),IF(AND(BC$5&lt;=$F167,BC$5+GanttPeriod-1&gt;=$E167),"━","")))</f>
        <v/>
      </c>
      <c r="BD167" s="69" t="str">
        <f aca="false">IF($E167="","",IF($M167,IF(AND($G167&gt;=BD$5,$G167&lt;BD$5+GanttPeriod),"◆",IF(AND($E167&gt;=BD$5,$E167&lt;BD$5+GanttPeriod),"◇","")),IF(AND(BD$5&lt;=$F167,BD$5+GanttPeriod-1&gt;=$E167),"━","")))</f>
        <v/>
      </c>
      <c r="BE167" s="69" t="str">
        <f aca="false">IF($E167="","",IF($M167,IF(AND($G167&gt;=BE$5,$G167&lt;BE$5+GanttPeriod),"◆",IF(AND($E167&gt;=BE$5,$E167&lt;BE$5+GanttPeriod),"◇","")),IF(AND(BE$5&lt;=$F167,BE$5+GanttPeriod-1&gt;=$E167),"━","")))</f>
        <v/>
      </c>
      <c r="BF167" s="69" t="str">
        <f aca="false">IF($E167="","",IF($M167,IF(AND($G167&gt;=BF$5,$G167&lt;BF$5+GanttPeriod),"◆",IF(AND($E167&gt;=BF$5,$E167&lt;BF$5+GanttPeriod),"◇","")),IF(AND(BF$5&lt;=$F167,BF$5+GanttPeriod-1&gt;=$E167),"━","")))</f>
        <v/>
      </c>
      <c r="BG167" s="69" t="str">
        <f aca="false">IF($E167="","",IF($M167,IF(AND($G167&gt;=BG$5,$G167&lt;BG$5+GanttPeriod),"◆",IF(AND($E167&gt;=BG$5,$E167&lt;BG$5+GanttPeriod),"◇","")),IF(AND(BG$5&lt;=$F167,BG$5+GanttPeriod-1&gt;=$E167),"━","")))</f>
        <v/>
      </c>
      <c r="BH167" s="69" t="str">
        <f aca="false">IF($E167="","",IF($M167,IF(AND($G167&gt;=BH$5,$G167&lt;BH$5+GanttPeriod),"◆",IF(AND($E167&gt;=BH$5,$E167&lt;BH$5+GanttPeriod),"◇","")),IF(AND(BH$5&lt;=$F167,BH$5+GanttPeriod-1&gt;=$E167),"━","")))</f>
        <v/>
      </c>
      <c r="BI167" s="69" t="str">
        <f aca="false">IF($E167="","",IF($M167,IF(AND($G167&gt;=BI$5,$G167&lt;BI$5+GanttPeriod),"◆",IF(AND($E167&gt;=BI$5,$E167&lt;BI$5+GanttPeriod),"◇","")),IF(AND(BI$5&lt;=$F167,BI$5+GanttPeriod-1&gt;=$E167),"━","")))</f>
        <v/>
      </c>
      <c r="BJ167" s="69" t="str">
        <f aca="false">IF($E167="","",IF($M167,IF(AND($G167&gt;=BJ$5,$G167&lt;BJ$5+GanttPeriod),"◆",IF(AND($E167&gt;=BJ$5,$E167&lt;BJ$5+GanttPeriod),"◇","")),IF(AND(BJ$5&lt;=$F167,BJ$5+GanttPeriod-1&gt;=$E167),"━","")))</f>
        <v/>
      </c>
      <c r="BK167" s="69" t="str">
        <f aca="false">IF($E167="","",IF($M167,IF(AND($G167&gt;=BK$5,$G167&lt;BK$5+GanttPeriod),"◆",IF(AND($E167&gt;=BK$5,$E167&lt;BK$5+GanttPeriod),"◇","")),IF(AND(BK$5&lt;=$F167,BK$5+GanttPeriod-1&gt;=$E167),"━","")))</f>
        <v/>
      </c>
      <c r="BL167" s="69" t="str">
        <f aca="false">IF($E167="","",IF($M167,IF(AND($G167&gt;=BL$5,$G167&lt;BL$5+GanttPeriod),"◆",IF(AND($E167&gt;=BL$5,$E167&lt;BL$5+GanttPeriod),"◇","")),IF(AND(BL$5&lt;=$F167,BL$5+GanttPeriod-1&gt;=$E167),"━","")))</f>
        <v/>
      </c>
      <c r="BM167" s="69" t="str">
        <f aca="false">IF($E167="","",IF($M167,IF(AND($G167&gt;=BM$5,$G167&lt;BM$5+GanttPeriod),"◆",IF(AND($E167&gt;=BM$5,$E167&lt;BM$5+GanttPeriod),"◇","")),IF(AND(BM$5&lt;=$F167,BM$5+GanttPeriod-1&gt;=$E167),"━","")))</f>
        <v/>
      </c>
      <c r="BN167" s="69" t="str">
        <f aca="false">IF($E167="","",IF($M167,IF(AND($G167&gt;=BN$5,$G167&lt;BN$5+GanttPeriod),"◆",IF(AND($E167&gt;=BN$5,$E167&lt;BN$5+GanttPeriod),"◇","")),IF(AND(BN$5&lt;=$F167,BN$5+GanttPeriod-1&gt;=$E167),"━","")))</f>
        <v/>
      </c>
      <c r="BO167" s="69" t="str">
        <f aca="false">IF($E167="","",IF($M167,IF(AND($G167&gt;=BO$5,$G167&lt;BO$5+GanttPeriod),"◆",IF(AND($E167&gt;=BO$5,$E167&lt;BO$5+GanttPeriod),"◇","")),IF(AND(BO$5&lt;=$F167,BO$5+GanttPeriod-1&gt;=$E167),"━","")))</f>
        <v/>
      </c>
      <c r="BP167" s="69" t="str">
        <f aca="false">IF($E167="","",IF($M167,IF(AND($G167&gt;=BP$5,$G167&lt;BP$5+GanttPeriod),"◆",IF(AND($E167&gt;=BP$5,$E167&lt;BP$5+GanttPeriod),"◇","")),IF(AND(BP$5&lt;=$F167,BP$5+GanttPeriod-1&gt;=$E167),"━","")))</f>
        <v/>
      </c>
      <c r="BQ167" s="69" t="str">
        <f aca="false">IF($E167="","",IF($M167,IF(AND($G167&gt;=BQ$5,$G167&lt;BQ$5+GanttPeriod),"◆",IF(AND($E167&gt;=BQ$5,$E167&lt;BQ$5+GanttPeriod),"◇","")),IF(AND(BQ$5&lt;=$F167,BQ$5+GanttPeriod-1&gt;=$E167),"━","")))</f>
        <v/>
      </c>
      <c r="BR167" s="69" t="str">
        <f aca="false">IF($E167="","",IF($M167,IF(AND($G167&gt;=BR$5,$G167&lt;BR$5+GanttPeriod),"◆",IF(AND($E167&gt;=BR$5,$E167&lt;BR$5+GanttPeriod),"◇","")),IF(AND(BR$5&lt;=$F167,BR$5+GanttPeriod-1&gt;=$E167),"━","")))</f>
        <v/>
      </c>
      <c r="BS167" s="69" t="str">
        <f aca="false">IF($E167="","",IF($M167,IF(AND($G167&gt;=BS$5,$G167&lt;BS$5+GanttPeriod),"◆",IF(AND($E167&gt;=BS$5,$E167&lt;BS$5+GanttPeriod),"◇","")),IF(AND(BS$5&lt;=$F167,BS$5+GanttPeriod-1&gt;=$E167),"━","")))</f>
        <v/>
      </c>
      <c r="BT167" s="69" t="str">
        <f aca="false">IF($E167="","",IF($M167,IF(AND($G167&gt;=BT$5,$G167&lt;BT$5+GanttPeriod),"◆",IF(AND($E167&gt;=BT$5,$E167&lt;BT$5+GanttPeriod),"◇","")),IF(AND(BT$5&lt;=$F167,BT$5+GanttPeriod-1&gt;=$E167),"━","")))</f>
        <v/>
      </c>
      <c r="BU167" s="69" t="str">
        <f aca="false">IF($E167="","",IF($M167,IF(AND($G167&gt;=BU$5,$G167&lt;BU$5+GanttPeriod),"◆",IF(AND($E167&gt;=BU$5,$E167&lt;BU$5+GanttPeriod),"◇","")),IF(AND(BU$5&lt;=$F167,BU$5+GanttPeriod-1&gt;=$E167),"━","")))</f>
        <v/>
      </c>
      <c r="BV167" s="69" t="str">
        <f aca="false">IF($E167="","",IF($M167,IF(AND($G167&gt;=BV$5,$G167&lt;BV$5+GanttPeriod),"◆",IF(AND($E167&gt;=BV$5,$E167&lt;BV$5+GanttPeriod),"◇","")),IF(AND(BV$5&lt;=$F167,BV$5+GanttPeriod-1&gt;=$E167),"━","")))</f>
        <v/>
      </c>
      <c r="BW167" s="69" t="str">
        <f aca="false">IF($E167="","",IF($M167,IF(AND($G167&gt;=BW$5,$G167&lt;BW$5+GanttPeriod),"◆",IF(AND($E167&gt;=BW$5,$E167&lt;BW$5+GanttPeriod),"◇","")),IF(AND(BW$5&lt;=$F167,BW$5+GanttPeriod-1&gt;=$E167),"━","")))</f>
        <v/>
      </c>
      <c r="BX167" s="69" t="str">
        <f aca="false">IF($E167="","",IF($M167,IF(AND($G167&gt;=BX$5,$G167&lt;BX$5+GanttPeriod),"◆",IF(AND($E167&gt;=BX$5,$E167&lt;BX$5+GanttPeriod),"◇","")),IF(AND(BX$5&lt;=$F167,BX$5+GanttPeriod-1&gt;=$E167),"━","")))</f>
        <v/>
      </c>
      <c r="BY167" s="69" t="str">
        <f aca="false">IF($E167="","",IF($M167,IF(AND($G167&gt;=BY$5,$G167&lt;BY$5+GanttPeriod),"◆",IF(AND($E167&gt;=BY$5,$E167&lt;BY$5+GanttPeriod),"◇","")),IF(AND(BY$5&lt;=$F167,BY$5+GanttPeriod-1&gt;=$E167),"━","")))</f>
        <v/>
      </c>
      <c r="BZ167" s="69" t="str">
        <f aca="false">IF($E167="","",IF($M167,IF(AND($G167&gt;=BZ$5,$G167&lt;BZ$5+GanttPeriod),"◆",IF(AND($E167&gt;=BZ$5,$E167&lt;BZ$5+GanttPeriod),"◇","")),IF(AND(BZ$5&lt;=$F167,BZ$5+GanttPeriod-1&gt;=$E167),"━","")))</f>
        <v/>
      </c>
      <c r="CA167" s="69" t="str">
        <f aca="false">IF($E167="","",IF($M167,IF(AND($G167&gt;=CA$5,$G167&lt;CA$5+GanttPeriod),"◆",IF(AND($E167&gt;=CA$5,$E167&lt;CA$5+GanttPeriod),"◇","")),IF(AND(CA$5&lt;=$F167,CA$5+GanttPeriod-1&gt;=$E167),"━","")))</f>
        <v/>
      </c>
      <c r="CB167" s="69" t="str">
        <f aca="false">IF($E167="","",IF($M167,IF(AND($G167&gt;=CB$5,$G167&lt;CB$5+GanttPeriod),"◆",IF(AND($E167&gt;=CB$5,$E167&lt;CB$5+GanttPeriod),"◇","")),IF(AND(CB$5&lt;=$F167,CB$5+GanttPeriod-1&gt;=$E167),"━","")))</f>
        <v/>
      </c>
      <c r="CC167" s="69" t="str">
        <f aca="false">IF($E167="","",IF($M167,IF(AND($G167&gt;=CC$5,$G167&lt;CC$5+GanttPeriod),"◆",IF(AND($E167&gt;=CC$5,$E167&lt;CC$5+GanttPeriod),"◇","")),IF(AND(CC$5&lt;=$F167,CC$5+GanttPeriod-1&gt;=$E167),"━","")))</f>
        <v/>
      </c>
      <c r="CD167" s="69" t="str">
        <f aca="false">IF($E167="","",IF($M167,IF(AND($G167&gt;=CD$5,$G167&lt;CD$5+GanttPeriod),"◆",IF(AND($E167&gt;=CD$5,$E167&lt;CD$5+GanttPeriod),"◇","")),IF(AND(CD$5&lt;=$F167,CD$5+GanttPeriod-1&gt;=$E167),"━","")))</f>
        <v/>
      </c>
      <c r="CE167" s="69" t="str">
        <f aca="false">IF($E167="","",IF($M167,IF(AND($G167&gt;=CE$5,$G167&lt;CE$5+GanttPeriod),"◆",IF(AND($E167&gt;=CE$5,$E167&lt;CE$5+GanttPeriod),"◇","")),IF(AND(CE$5&lt;=$F167,CE$5+GanttPeriod-1&gt;=$E167),"━","")))</f>
        <v/>
      </c>
      <c r="CF167" s="69" t="str">
        <f aca="false">IF($E167="","",IF($M167,IF(AND($G167&gt;=CF$5,$G167&lt;CF$5+GanttPeriod),"◆",IF(AND($E167&gt;=CF$5,$E167&lt;CF$5+GanttPeriod),"◇","")),IF(AND(CF$5&lt;=$F167,CF$5+GanttPeriod-1&gt;=$E167),"━","")))</f>
        <v/>
      </c>
      <c r="CG167" s="69" t="str">
        <f aca="false">IF($E167="","",IF($M167,IF(AND($G167&gt;=CG$5,$G167&lt;CG$5+GanttPeriod),"◆",IF(AND($E167&gt;=CG$5,$E167&lt;CG$5+GanttPeriod),"◇","")),IF(AND(CG$5&lt;=$F167,CG$5+GanttPeriod-1&gt;=$E167),"━","")))</f>
        <v/>
      </c>
      <c r="CH167" s="69" t="str">
        <f aca="false">IF($E167="","",IF($M167,IF(AND($G167&gt;=CH$5,$G167&lt;CH$5+GanttPeriod),"◆",IF(AND($E167&gt;=CH$5,$E167&lt;CH$5+GanttPeriod),"◇","")),IF(AND(CH$5&lt;=$F167,CH$5+GanttPeriod-1&gt;=$E167),"━","")))</f>
        <v/>
      </c>
      <c r="CI167" s="69" t="str">
        <f aca="false">IF($E167="","",IF($M167,IF(AND($G167&gt;=CI$5,$G167&lt;CI$5+GanttPeriod),"◆",IF(AND($E167&gt;=CI$5,$E167&lt;CI$5+GanttPeriod),"◇","")),IF(AND(CI$5&lt;=$F167,CI$5+GanttPeriod-1&gt;=$E167),"━","")))</f>
        <v/>
      </c>
      <c r="CJ167" s="69" t="str">
        <f aca="false">IF($E167="","",IF($M167,IF(AND($G167&gt;=CJ$5,$G167&lt;CJ$5+GanttPeriod),"◆",IF(AND($E167&gt;=CJ$5,$E167&lt;CJ$5+GanttPeriod),"◇","")),IF(AND(CJ$5&lt;=$F167,CJ$5+GanttPeriod-1&gt;=$E167),"━","")))</f>
        <v/>
      </c>
      <c r="CK167" s="69" t="str">
        <f aca="false">IF($E167="","",IF($M167,IF(AND($G167&gt;=CK$5,$G167&lt;CK$5+GanttPeriod),"◆",IF(AND($E167&gt;=CK$5,$E167&lt;CK$5+GanttPeriod),"◇","")),IF(AND(CK$5&lt;=$F167,CK$5+GanttPeriod-1&gt;=$E167),"━","")))</f>
        <v/>
      </c>
      <c r="CL167" s="69" t="str">
        <f aca="false">IF($E167="","",IF($M167,IF(AND($G167&gt;=CL$5,$G167&lt;CL$5+GanttPeriod),"◆",IF(AND($E167&gt;=CL$5,$E167&lt;CL$5+GanttPeriod),"◇","")),IF(AND(CL$5&lt;=$F167,CL$5+GanttPeriod-1&gt;=$E167),"━","")))</f>
        <v/>
      </c>
      <c r="CM167" s="69" t="str">
        <f aca="false">IF($E167="","",IF($M167,IF(AND($G167&gt;=CM$5,$G167&lt;CM$5+GanttPeriod),"◆",IF(AND($E167&gt;=CM$5,$E167&lt;CM$5+GanttPeriod),"◇","")),IF(AND(CM$5&lt;=$F167,CM$5+GanttPeriod-1&gt;=$E167),"━","")))</f>
        <v/>
      </c>
      <c r="CN167" s="69" t="str">
        <f aca="false">IF($E167="","",IF($M167,IF(AND($G167&gt;=CN$5,$G167&lt;CN$5+GanttPeriod),"◆",IF(AND($E167&gt;=CN$5,$E167&lt;CN$5+GanttPeriod),"◇","")),IF(AND(CN$5&lt;=$F167,CN$5+GanttPeriod-1&gt;=$E167),"━","")))</f>
        <v/>
      </c>
      <c r="CO167" s="69" t="str">
        <f aca="false">IF($E167="","",IF($M167,IF(AND($G167&gt;=CO$5,$G167&lt;CO$5+GanttPeriod),"◆",IF(AND($E167&gt;=CO$5,$E167&lt;CO$5+GanttPeriod),"◇","")),IF(AND(CO$5&lt;=$F167,CO$5+GanttPeriod-1&gt;=$E167),"━","")))</f>
        <v/>
      </c>
      <c r="CP167" s="69" t="str">
        <f aca="false">IF($E167="","",IF($M167,IF(AND($G167&gt;=CP$5,$G167&lt;CP$5+GanttPeriod),"◆",IF(AND($E167&gt;=CP$5,$E167&lt;CP$5+GanttPeriod),"◇","")),IF(AND(CP$5&lt;=$F167,CP$5+GanttPeriod-1&gt;=$E167),"━","")))</f>
        <v/>
      </c>
      <c r="CQ167" s="69" t="str">
        <f aca="false">IF($E167="","",IF($M167,IF(AND($G167&gt;=CQ$5,$G167&lt;CQ$5+GanttPeriod),"◆",IF(AND($E167&gt;=CQ$5,$E167&lt;CQ$5+GanttPeriod),"◇","")),IF(AND(CQ$5&lt;=$F167,CQ$5+GanttPeriod-1&gt;=$E167),"━","")))</f>
        <v/>
      </c>
      <c r="CR167" s="69" t="str">
        <f aca="false">IF($E167="","",IF($M167,IF(AND($G167&gt;=CR$5,$G167&lt;CR$5+GanttPeriod),"◆",IF(AND($E167&gt;=CR$5,$E167&lt;CR$5+GanttPeriod),"◇","")),IF(AND(CR$5&lt;=$F167,CR$5+GanttPeriod-1&gt;=$E167),"━","")))</f>
        <v/>
      </c>
      <c r="CS167" s="69" t="str">
        <f aca="false">IF($E167="","",IF($M167,IF(AND($G167&gt;=CS$5,$G167&lt;CS$5+GanttPeriod),"◆",IF(AND($E167&gt;=CS$5,$E167&lt;CS$5+GanttPeriod),"◇","")),IF(AND(CS$5&lt;=$F167,CS$5+GanttPeriod-1&gt;=$E167),"━","")))</f>
        <v/>
      </c>
      <c r="CT167" s="69" t="str">
        <f aca="false">IF($E167="","",IF($M167,IF(AND($G167&gt;=CT$5,$G167&lt;CT$5+GanttPeriod),"◆",IF(AND($E167&gt;=CT$5,$E167&lt;CT$5+GanttPeriod),"◇","")),IF(AND(CT$5&lt;=$F167,CT$5+GanttPeriod-1&gt;=$E167),"━","")))</f>
        <v/>
      </c>
      <c r="CU167" s="69" t="str">
        <f aca="false">IF($E167="","",IF($M167,IF(AND($G167&gt;=CU$5,$G167&lt;CU$5+GanttPeriod),"◆",IF(AND($E167&gt;=CU$5,$E167&lt;CU$5+GanttPeriod),"◇","")),IF(AND(CU$5&lt;=$F167,CU$5+GanttPeriod-1&gt;=$E167),"━","")))</f>
        <v/>
      </c>
      <c r="CV167" s="69" t="str">
        <f aca="false">IF($E167="","",IF($M167,IF(AND($G167&gt;=CV$5,$G167&lt;CV$5+GanttPeriod),"◆",IF(AND($E167&gt;=CV$5,$E167&lt;CV$5+GanttPeriod),"◇","")),IF(AND(CV$5&lt;=$F167,CV$5+GanttPeriod-1&gt;=$E167),"━","")))</f>
        <v/>
      </c>
      <c r="CW167" s="69" t="str">
        <f aca="false">IF($E167="","",IF($M167,IF(AND($G167&gt;=CW$5,$G167&lt;CW$5+GanttPeriod),"◆",IF(AND($E167&gt;=CW$5,$E167&lt;CW$5+GanttPeriod),"◇","")),IF(AND(CW$5&lt;=$F167,CW$5+GanttPeriod-1&gt;=$E167),"━","")))</f>
        <v/>
      </c>
      <c r="CX167" s="69" t="str">
        <f aca="false">IF($E167="","",IF($M167,IF(AND($G167&gt;=CX$5,$G167&lt;CX$5+GanttPeriod),"◆",IF(AND($E167&gt;=CX$5,$E167&lt;CX$5+GanttPeriod),"◇","")),IF(AND(CX$5&lt;=$F167,CX$5+GanttPeriod-1&gt;=$E167),"━","")))</f>
        <v/>
      </c>
      <c r="CY167" s="69" t="str">
        <f aca="false">IF($E167="","",IF($M167,IF(AND($G167&gt;=CY$5,$G167&lt;CY$5+GanttPeriod),"◆",IF(AND($E167&gt;=CY$5,$E167&lt;CY$5+GanttPeriod),"◇","")),IF(AND(CY$5&lt;=$F167,CY$5+GanttPeriod-1&gt;=$E167),"━","")))</f>
        <v/>
      </c>
      <c r="CZ167" s="69" t="str">
        <f aca="false">IF($E167="","",IF($M167,IF(AND($G167&gt;=CZ$5,$G167&lt;CZ$5+GanttPeriod),"◆",IF(AND($E167&gt;=CZ$5,$E167&lt;CZ$5+GanttPeriod),"◇","")),IF(AND(CZ$5&lt;=$F167,CZ$5+GanttPeriod-1&gt;=$E167),"━","")))</f>
        <v/>
      </c>
      <c r="DA167" s="69" t="str">
        <f aca="false">IF($E167="","",IF($M167,IF(AND($G167&gt;=DA$5,$G167&lt;DA$5+GanttPeriod),"◆",IF(AND($E167&gt;=DA$5,$E167&lt;DA$5+GanttPeriod),"◇","")),IF(AND(DA$5&lt;=$F167,DA$5+GanttPeriod-1&gt;=$E167),"━","")))</f>
        <v/>
      </c>
      <c r="DB167" s="69" t="str">
        <f aca="false">IF($E167="","",IF($M167,IF(AND($G167&gt;=DB$5,$G167&lt;DB$5+GanttPeriod),"◆",IF(AND($E167&gt;=DB$5,$E167&lt;DB$5+GanttPeriod),"◇","")),IF(AND(DB$5&lt;=$F167,DB$5+GanttPeriod-1&gt;=$E167),"━","")))</f>
        <v/>
      </c>
      <c r="DC167" s="69" t="str">
        <f aca="false">IF($E167="","",IF($M167,IF(AND($G167&gt;=DC$5,$G167&lt;DC$5+GanttPeriod),"◆",IF(AND($E167&gt;=DC$5,$E167&lt;DC$5+GanttPeriod),"◇","")),IF(AND(DC$5&lt;=$F167,DC$5+GanttPeriod-1&gt;=$E167),"━","")))</f>
        <v/>
      </c>
      <c r="DD167" s="69" t="str">
        <f aca="false">IF($E167="","",IF($M167,IF(AND($G167&gt;=DD$5,$G167&lt;DD$5+GanttPeriod),"◆",IF(AND($E167&gt;=DD$5,$E167&lt;DD$5+GanttPeriod),"◇","")),IF(AND(DD$5&lt;=$F167,DD$5+GanttPeriod-1&gt;=$E167),"━","")))</f>
        <v/>
      </c>
      <c r="DE167" s="69" t="str">
        <f aca="false">IF($E167="","",IF($M167,IF(AND($G167&gt;=DE$5,$G167&lt;DE$5+GanttPeriod),"◆",IF(AND($E167&gt;=DE$5,$E167&lt;DE$5+GanttPeriod),"◇","")),IF(AND(DE$5&lt;=$F167,DE$5+GanttPeriod-1&gt;=$E167),"━","")))</f>
        <v/>
      </c>
      <c r="DF167" s="69" t="str">
        <f aca="false">IF($E167="","",IF($M167,IF(AND($G167&gt;=DF$5,$G167&lt;DF$5+GanttPeriod),"◆",IF(AND($E167&gt;=DF$5,$E167&lt;DF$5+GanttPeriod),"◇","")),IF(AND(DF$5&lt;=$F167,DF$5+GanttPeriod-1&gt;=$E167),"━","")))</f>
        <v/>
      </c>
      <c r="DG167" s="69" t="str">
        <f aca="false">IF($E167="","",IF($M167,IF(AND($G167&gt;=DG$5,$G167&lt;DG$5+GanttPeriod),"◆",IF(AND($E167&gt;=DG$5,$E167&lt;DG$5+GanttPeriod),"◇","")),IF(AND(DG$5&lt;=$F167,DG$5+GanttPeriod-1&gt;=$E167),"━","")))</f>
        <v/>
      </c>
      <c r="DH167" s="69" t="str">
        <f aca="false">IF($E167="","",IF($M167,IF(AND($G167&gt;=DH$5,$G167&lt;DH$5+GanttPeriod),"◆",IF(AND($E167&gt;=DH$5,$E167&lt;DH$5+GanttPeriod),"◇","")),IF(AND(DH$5&lt;=$F167,DH$5+GanttPeriod-1&gt;=$E167),"━","")))</f>
        <v/>
      </c>
      <c r="DI167" s="69" t="str">
        <f aca="false">IF($E167="","",IF($M167,IF(AND($G167&gt;=DI$5,$G167&lt;DI$5+GanttPeriod),"◆",IF(AND($E167&gt;=DI$5,$E167&lt;DI$5+GanttPeriod),"◇","")),IF(AND(DI$5&lt;=$F167,DI$5+GanttPeriod-1&gt;=$E167),"━","")))</f>
        <v/>
      </c>
      <c r="DJ167" s="69" t="str">
        <f aca="false">IF($E167="","",IF($M167,IF(AND($G167&gt;=DJ$5,$G167&lt;DJ$5+GanttPeriod),"◆",IF(AND($E167&gt;=DJ$5,$E167&lt;DJ$5+GanttPeriod),"◇","")),IF(AND(DJ$5&lt;=$F167,DJ$5+GanttPeriod-1&gt;=$E167),"━","")))</f>
        <v/>
      </c>
      <c r="DK167" s="69" t="str">
        <f aca="false">IF($E167="","",IF($M167,IF(AND($G167&gt;=DK$5,$G167&lt;DK$5+GanttPeriod),"◆",IF(AND($E167&gt;=DK$5,$E167&lt;DK$5+GanttPeriod),"◇","")),IF(AND(DK$5&lt;=$F167,DK$5+GanttPeriod-1&gt;=$E167),"━","")))</f>
        <v/>
      </c>
      <c r="DL167" s="69" t="str">
        <f aca="false">IF($E167="","",IF($M167,IF(AND($G167&gt;=DL$5,$G167&lt;DL$5+GanttPeriod),"◆",IF(AND($E167&gt;=DL$5,$E167&lt;DL$5+GanttPeriod),"◇","")),IF(AND(DL$5&lt;=$F167,DL$5+GanttPeriod-1&gt;=$E167),"━","")))</f>
        <v/>
      </c>
      <c r="DM167" s="69" t="str">
        <f aca="false">IF($E167="","",IF($M167,IF(AND($G167&gt;=DM$5,$G167&lt;DM$5+GanttPeriod),"◆",IF(AND($E167&gt;=DM$5,$E167&lt;DM$5+GanttPeriod),"◇","")),IF(AND(DM$5&lt;=$F167,DM$5+GanttPeriod-1&gt;=$E167),"━","")))</f>
        <v/>
      </c>
      <c r="DN167" s="69" t="str">
        <f aca="false">IF($E167="","",IF($M167,IF(AND($G167&gt;=DN$5,$G167&lt;DN$5+GanttPeriod),"◆",IF(AND($E167&gt;=DN$5,$E167&lt;DN$5+GanttPeriod),"◇","")),IF(AND(DN$5&lt;=$F167,DN$5+GanttPeriod-1&gt;=$E167),"━","")))</f>
        <v/>
      </c>
      <c r="DO167" s="69" t="str">
        <f aca="false">IF($E167="","",IF($M167,IF(AND($G167&gt;=DO$5,$G167&lt;DO$5+GanttPeriod),"◆",IF(AND($E167&gt;=DO$5,$E167&lt;DO$5+GanttPeriod),"◇","")),IF(AND(DO$5&lt;=$F167,DO$5+GanttPeriod-1&gt;=$E167),"━","")))</f>
        <v/>
      </c>
      <c r="DP167" s="69" t="str">
        <f aca="false">IF($E167="","",IF($M167,IF(AND($G167&gt;=DP$5,$G167&lt;DP$5+GanttPeriod),"◆",IF(AND($E167&gt;=DP$5,$E167&lt;DP$5+GanttPeriod),"◇","")),IF(AND(DP$5&lt;=$F167,DP$5+GanttPeriod-1&gt;=$E167),"━","")))</f>
        <v/>
      </c>
      <c r="DQ167" s="69" t="str">
        <f aca="false">IF($E167="","",IF($M167,IF(AND($G167&gt;=DQ$5,$G167&lt;DQ$5+GanttPeriod),"◆",IF(AND($E167&gt;=DQ$5,$E167&lt;DQ$5+GanttPeriod),"◇","")),IF(AND(DQ$5&lt;=$F167,DQ$5+GanttPeriod-1&gt;=$E167),"━","")))</f>
        <v/>
      </c>
      <c r="DR167" s="69" t="str">
        <f aca="false">IF($E167="","",IF($M167,IF(AND($G167&gt;=DR$5,$G167&lt;DR$5+GanttPeriod),"◆",IF(AND($E167&gt;=DR$5,$E167&lt;DR$5+GanttPeriod),"◇","")),IF(AND(DR$5&lt;=$F167,DR$5+GanttPeriod-1&gt;=$E167),"━","")))</f>
        <v/>
      </c>
      <c r="DS167" s="69" t="str">
        <f aca="false">IF($E167="","",IF($M167,IF(AND($G167&gt;=DS$5,$G167&lt;DS$5+GanttPeriod),"◆",IF(AND($E167&gt;=DS$5,$E167&lt;DS$5+GanttPeriod),"◇","")),IF(AND(DS$5&lt;=$F167,DS$5+GanttPeriod-1&gt;=$E167),"━","")))</f>
        <v/>
      </c>
      <c r="DT167" s="69" t="str">
        <f aca="false">IF($E167="","",IF($M167,IF(AND($G167&gt;=DT$5,$G167&lt;DT$5+GanttPeriod),"◆",IF(AND($E167&gt;=DT$5,$E167&lt;DT$5+GanttPeriod),"◇","")),IF(AND(DT$5&lt;=$F167,DT$5+GanttPeriod-1&gt;=$E167),"━","")))</f>
        <v/>
      </c>
      <c r="DU167" s="69" t="str">
        <f aca="false">IF($E167="","",IF($M167,IF(AND($G167&gt;=DU$5,$G167&lt;DU$5+GanttPeriod),"◆",IF(AND($E167&gt;=DU$5,$E167&lt;DU$5+GanttPeriod),"◇","")),IF(AND(DU$5&lt;=$F167,DU$5+GanttPeriod-1&gt;=$E167),"━","")))</f>
        <v/>
      </c>
      <c r="DV167" s="69" t="str">
        <f aca="false">IF($E167="","",IF($M167,IF(AND($G167&gt;=DV$5,$G167&lt;DV$5+GanttPeriod),"◆",IF(AND($E167&gt;=DV$5,$E167&lt;DV$5+GanttPeriod),"◇","")),IF(AND(DV$5&lt;=$F167,DV$5+GanttPeriod-1&gt;=$E167),"━","")))</f>
        <v/>
      </c>
      <c r="DW167" s="69" t="str">
        <f aca="false">IF($E167="","",IF($M167,IF(AND($G167&gt;=DW$5,$G167&lt;DW$5+GanttPeriod),"◆",IF(AND($E167&gt;=DW$5,$E167&lt;DW$5+GanttPeriod),"◇","")),IF(AND(DW$5&lt;=$F167,DW$5+GanttPeriod-1&gt;=$E167),"━","")))</f>
        <v/>
      </c>
      <c r="DX167" s="69" t="str">
        <f aca="false">IF($E167="","",IF($M167,IF(AND($G167&gt;=DX$5,$G167&lt;DX$5+GanttPeriod),"◆",IF(AND($E167&gt;=DX$5,$E167&lt;DX$5+GanttPeriod),"◇","")),IF(AND(DX$5&lt;=$F167,DX$5+GanttPeriod-1&gt;=$E167),"━","")))</f>
        <v/>
      </c>
      <c r="DY167" s="69" t="str">
        <f aca="false">IF($E167="","",IF($M167,IF(AND($G167&gt;=DY$5,$G167&lt;DY$5+GanttPeriod),"◆",IF(AND($E167&gt;=DY$5,$E167&lt;DY$5+GanttPeriod),"◇","")),IF(AND(DY$5&lt;=$F167,DY$5+GanttPeriod-1&gt;=$E167),"━","")))</f>
        <v/>
      </c>
      <c r="DZ167" s="69" t="str">
        <f aca="false">IF($E167="","",IF($M167,IF(AND($G167&gt;=DZ$5,$G167&lt;DZ$5+GanttPeriod),"◆",IF(AND($E167&gt;=DZ$5,$E167&lt;DZ$5+GanttPeriod),"◇","")),IF(AND(DZ$5&lt;=$F167,DZ$5+GanttPeriod-1&gt;=$E167),"━","")))</f>
        <v/>
      </c>
      <c r="EA167" s="69" t="str">
        <f aca="false">IF($E167="","",IF($M167,IF(AND($G167&gt;=EA$5,$G167&lt;EA$5+GanttPeriod),"◆",IF(AND($E167&gt;=EA$5,$E167&lt;EA$5+GanttPeriod),"◇","")),IF(AND(EA$5&lt;=$F167,EA$5+GanttPeriod-1&gt;=$E167),"━","")))</f>
        <v/>
      </c>
      <c r="EB167" s="69" t="str">
        <f aca="false">IF($E167="","",IF($M167,IF(AND($G167&gt;=EB$5,$G167&lt;EB$5+GanttPeriod),"◆",IF(AND($E167&gt;=EB$5,$E167&lt;EB$5+GanttPeriod),"◇","")),IF(AND(EB$5&lt;=$F167,EB$5+GanttPeriod-1&gt;=$E167),"━","")))</f>
        <v/>
      </c>
      <c r="EC167" s="69" t="str">
        <f aca="false">IF($E167="","",IF($M167,IF(AND($G167&gt;=EC$5,$G167&lt;EC$5+GanttPeriod),"◆",IF(AND($E167&gt;=EC$5,$E167&lt;EC$5+GanttPeriod),"◇","")),IF(AND(EC$5&lt;=$F167,EC$5+GanttPeriod-1&gt;=$E167),"━","")))</f>
        <v/>
      </c>
      <c r="ED167" s="69" t="str">
        <f aca="false">IF($E167="","",IF($M167,IF(AND($G167&gt;=ED$5,$G167&lt;ED$5+GanttPeriod),"◆",IF(AND($E167&gt;=ED$5,$E167&lt;ED$5+GanttPeriod),"◇","")),IF(AND(ED$5&lt;=$F167,ED$5+GanttPeriod-1&gt;=$E167),"━","")))</f>
        <v/>
      </c>
      <c r="EE167" s="69" t="str">
        <f aca="false">IF($E167="","",IF($M167,IF(AND($G167&gt;=EE$5,$G167&lt;EE$5+GanttPeriod),"◆",IF(AND($E167&gt;=EE$5,$E167&lt;EE$5+GanttPeriod),"◇","")),IF(AND(EE$5&lt;=$F167,EE$5+GanttPeriod-1&gt;=$E167),"━","")))</f>
        <v/>
      </c>
      <c r="EF167" s="69" t="str">
        <f aca="false">IF($E167="","",IF($M167,IF(AND($G167&gt;=EF$5,$G167&lt;EF$5+GanttPeriod),"◆",IF(AND($E167&gt;=EF$5,$E167&lt;EF$5+GanttPeriod),"◇","")),IF(AND(EF$5&lt;=$F167,EF$5+GanttPeriod-1&gt;=$E167),"━","")))</f>
        <v/>
      </c>
      <c r="EG167" s="69" t="str">
        <f aca="false">IF($E167="","",IF($M167,IF(AND($G167&gt;=EG$5,$G167&lt;EG$5+GanttPeriod),"◆",IF(AND($E167&gt;=EG$5,$E167&lt;EG$5+GanttPeriod),"◇","")),IF(AND(EG$5&lt;=$F167,EG$5+GanttPeriod-1&gt;=$E167),"━","")))</f>
        <v/>
      </c>
      <c r="EH167" s="69" t="str">
        <f aca="false">IF($E167="","",IF($M167,IF(AND($G167&gt;=EH$5,$G167&lt;EH$5+GanttPeriod),"◆",IF(AND($E167&gt;=EH$5,$E167&lt;EH$5+GanttPeriod),"◇","")),IF(AND(EH$5&lt;=$F167,EH$5+GanttPeriod-1&gt;=$E167),"━","")))</f>
        <v/>
      </c>
      <c r="EI167" s="69" t="str">
        <f aca="false">IF($E167="","",IF($M167,IF(AND($G167&gt;=EI$5,$G167&lt;EI$5+GanttPeriod),"◆",IF(AND($E167&gt;=EI$5,$E167&lt;EI$5+GanttPeriod),"◇","")),IF(AND(EI$5&lt;=$F167,EI$5+GanttPeriod-1&gt;=$E167),"━","")))</f>
        <v/>
      </c>
      <c r="EJ167" s="69" t="str">
        <f aca="false">IF($E167="","",IF($M167,IF(AND($G167&gt;=EJ$5,$G167&lt;EJ$5+GanttPeriod),"◆",IF(AND($E167&gt;=EJ$5,$E167&lt;EJ$5+GanttPeriod),"◇","")),IF(AND(EJ$5&lt;=$F167,EJ$5+GanttPeriod-1&gt;=$E167),"━","")))</f>
        <v/>
      </c>
      <c r="EK167" s="69" t="str">
        <f aca="false">IF($E167="","",IF($M167,IF(AND($G167&gt;=EK$5,$G167&lt;EK$5+GanttPeriod),"◆",IF(AND($E167&gt;=EK$5,$E167&lt;EK$5+GanttPeriod),"◇","")),IF(AND(EK$5&lt;=$F167,EK$5+GanttPeriod-1&gt;=$E167),"━","")))</f>
        <v/>
      </c>
      <c r="EL167" s="69" t="str">
        <f aca="false">IF($E167="","",IF($M167,IF(AND($G167&gt;=EL$5,$G167&lt;EL$5+GanttPeriod),"◆",IF(AND($E167&gt;=EL$5,$E167&lt;EL$5+GanttPeriod),"◇","")),IF(AND(EL$5&lt;=$F167,EL$5+GanttPeriod-1&gt;=$E167),"━","")))</f>
        <v/>
      </c>
      <c r="EM167" s="69" t="str">
        <f aca="false">IF($E167="","",IF($M167,IF(AND($G167&gt;=EM$5,$G167&lt;EM$5+GanttPeriod),"◆",IF(AND($E167&gt;=EM$5,$E167&lt;EM$5+GanttPeriod),"◇","")),IF(AND(EM$5&lt;=$F167,EM$5+GanttPeriod-1&gt;=$E167),"━","")))</f>
        <v/>
      </c>
      <c r="EN167" s="69" t="str">
        <f aca="false">IF($E167="","",IF($M167,IF(AND($G167&gt;=EN$5,$G167&lt;EN$5+GanttPeriod),"◆",IF(AND($E167&gt;=EN$5,$E167&lt;EN$5+GanttPeriod),"◇","")),IF(AND(EN$5&lt;=$F167,EN$5+GanttPeriod-1&gt;=$E167),"━","")))</f>
        <v/>
      </c>
      <c r="EO167" s="69" t="str">
        <f aca="false">IF($E167="","",IF($M167,IF(AND($G167&gt;=EO$5,$G167&lt;EO$5+GanttPeriod),"◆",IF(AND($E167&gt;=EO$5,$E167&lt;EO$5+GanttPeriod),"◇","")),IF(AND(EO$5&lt;=$F167,EO$5+GanttPeriod-1&gt;=$E167),"━","")))</f>
        <v/>
      </c>
      <c r="EP167" s="69" t="str">
        <f aca="false">IF($E167="","",IF($M167,IF(AND($G167&gt;=EP$5,$G167&lt;EP$5+GanttPeriod),"◆",IF(AND($E167&gt;=EP$5,$E167&lt;EP$5+GanttPeriod),"◇","")),IF(AND(EP$5&lt;=$F167,EP$5+GanttPeriod-1&gt;=$E167),"━","")))</f>
        <v/>
      </c>
      <c r="EQ167" s="69" t="str">
        <f aca="false">IF($E167="","",IF($M167,IF(AND($G167&gt;=EQ$5,$G167&lt;EQ$5+GanttPeriod),"◆",IF(AND($E167&gt;=EQ$5,$E167&lt;EQ$5+GanttPeriod),"◇","")),IF(AND(EQ$5&lt;=$F167,EQ$5+GanttPeriod-1&gt;=$E167),"━","")))</f>
        <v/>
      </c>
      <c r="ER167" s="69" t="str">
        <f aca="false">IF($E167="","",IF($M167,IF(AND($G167&gt;=ER$5,$G167&lt;ER$5+GanttPeriod),"◆",IF(AND($E167&gt;=ER$5,$E167&lt;ER$5+GanttPeriod),"◇","")),IF(AND(ER$5&lt;=$F167,ER$5+GanttPeriod-1&gt;=$E167),"━","")))</f>
        <v/>
      </c>
      <c r="ES167" s="69" t="str">
        <f aca="false">IF($E167="","",IF($M167,IF(AND($G167&gt;=ES$5,$G167&lt;ES$5+GanttPeriod),"◆",IF(AND($E167&gt;=ES$5,$E167&lt;ES$5+GanttPeriod),"◇","")),IF(AND(ES$5&lt;=$F167,ES$5+GanttPeriod-1&gt;=$E167),"━","")))</f>
        <v/>
      </c>
      <c r="ET167" s="69" t="str">
        <f aca="false">IF($E167="","",IF($M167,IF(AND($G167&gt;=ET$5,$G167&lt;ET$5+GanttPeriod),"◆",IF(AND($E167&gt;=ET$5,$E167&lt;ET$5+GanttPeriod),"◇","")),IF(AND(ET$5&lt;=$F167,ET$5+GanttPeriod-1&gt;=$E167),"━","")))</f>
        <v/>
      </c>
      <c r="EU167" s="69" t="str">
        <f aca="false">IF($E167="","",IF($M167,IF(AND($G167&gt;=EU$5,$G167&lt;EU$5+GanttPeriod),"◆",IF(AND($E167&gt;=EU$5,$E167&lt;EU$5+GanttPeriod),"◇","")),IF(AND(EU$5&lt;=$F167,EU$5+GanttPeriod-1&gt;=$E167),"━","")))</f>
        <v/>
      </c>
      <c r="EV167" s="69" t="str">
        <f aca="false">IF($E167="","",IF($M167,IF(AND($G167&gt;=EV$5,$G167&lt;EV$5+GanttPeriod),"◆",IF(AND($E167&gt;=EV$5,$E167&lt;EV$5+GanttPeriod),"◇","")),IF(AND(EV$5&lt;=$F167,EV$5+GanttPeriod-1&gt;=$E167),"━","")))</f>
        <v/>
      </c>
      <c r="EW167" s="69" t="str">
        <f aca="false">IF($E167="","",IF($M167,IF(AND($G167&gt;=EW$5,$G167&lt;EW$5+GanttPeriod),"◆",IF(AND($E167&gt;=EW$5,$E167&lt;EW$5+GanttPeriod),"◇","")),IF(AND(EW$5&lt;=$F167,EW$5+GanttPeriod-1&gt;=$E167),"━","")))</f>
        <v/>
      </c>
      <c r="EX167" s="69" t="str">
        <f aca="false">IF($E167="","",IF($M167,IF(AND($G167&gt;=EX$5,$G167&lt;EX$5+GanttPeriod),"◆",IF(AND($E167&gt;=EX$5,$E167&lt;EX$5+GanttPeriod),"◇","")),IF(AND(EX$5&lt;=$F167,EX$5+GanttPeriod-1&gt;=$E167),"━","")))</f>
        <v/>
      </c>
      <c r="EY167" s="69" t="str">
        <f aca="false">IF($E167="","",IF($M167,IF(AND($G167&gt;=EY$5,$G167&lt;EY$5+GanttPeriod),"◆",IF(AND($E167&gt;=EY$5,$E167&lt;EY$5+GanttPeriod),"◇","")),IF(AND(EY$5&lt;=$F167,EY$5+GanttPeriod-1&gt;=$E167),"━","")))</f>
        <v/>
      </c>
      <c r="EZ167" s="69" t="str">
        <f aca="false">IF($E167="","",IF($M167,IF(AND($G167&gt;=EZ$5,$G167&lt;EZ$5+GanttPeriod),"◆",IF(AND($E167&gt;=EZ$5,$E167&lt;EZ$5+GanttPeriod),"◇","")),IF(AND(EZ$5&lt;=$F167,EZ$5+GanttPeriod-1&gt;=$E167),"━","")))</f>
        <v/>
      </c>
      <c r="FA167" s="69" t="str">
        <f aca="false">IF($E167="","",IF($M167,IF(AND($G167&gt;=FA$5,$G167&lt;FA$5+GanttPeriod),"◆",IF(AND($E167&gt;=FA$5,$E167&lt;FA$5+GanttPeriod),"◇","")),IF(AND(FA$5&lt;=$F167,FA$5+GanttPeriod-1&gt;=$E167),"━","")))</f>
        <v/>
      </c>
      <c r="FB167" s="69" t="str">
        <f aca="false">IF($E167="","",IF($M167,IF(AND($G167&gt;=FB$5,$G167&lt;FB$5+GanttPeriod),"◆",IF(AND($E167&gt;=FB$5,$E167&lt;FB$5+GanttPeriod),"◇","")),IF(AND(FB$5&lt;=$F167,FB$5+GanttPeriod-1&gt;=$E167),"━","")))</f>
        <v/>
      </c>
      <c r="FC167" s="69" t="str">
        <f aca="false">IF($E167="","",IF($M167,IF(AND($G167&gt;=FC$5,$G167&lt;FC$5+GanttPeriod),"◆",IF(AND($E167&gt;=FC$5,$E167&lt;FC$5+GanttPeriod),"◇","")),IF(AND(FC$5&lt;=$F167,FC$5+GanttPeriod-1&gt;=$E167),"━","")))</f>
        <v/>
      </c>
      <c r="FD167" s="69" t="str">
        <f aca="false">IF($E167="","",IF($M167,IF(AND($G167&gt;=FD$5,$G167&lt;FD$5+GanttPeriod),"◆",IF(AND($E167&gt;=FD$5,$E167&lt;FD$5+GanttPeriod),"◇","")),IF(AND(FD$5&lt;=$F167,FD$5+GanttPeriod-1&gt;=$E167),"━","")))</f>
        <v/>
      </c>
      <c r="FE167" s="69" t="str">
        <f aca="false">IF($E167="","",IF($M167,IF(AND($G167&gt;=FE$5,$G167&lt;FE$5+GanttPeriod),"◆",IF(AND($E167&gt;=FE$5,$E167&lt;FE$5+GanttPeriod),"◇","")),IF(AND(FE$5&lt;=$F167,FE$5+GanttPeriod-1&gt;=$E167),"━","")))</f>
        <v/>
      </c>
      <c r="FF167" s="69" t="str">
        <f aca="false">IF($E167="","",IF($M167,IF(AND($G167&gt;=FF$5,$G167&lt;FF$5+GanttPeriod),"◆",IF(AND($E167&gt;=FF$5,$E167&lt;FF$5+GanttPeriod),"◇","")),IF(AND(FF$5&lt;=$F167,FF$5+GanttPeriod-1&gt;=$E167),"━","")))</f>
        <v/>
      </c>
      <c r="FG167" s="69" t="str">
        <f aca="false">IF($E167="","",IF($M167,IF(AND($G167&gt;=FG$5,$G167&lt;FG$5+GanttPeriod),"◆",IF(AND($E167&gt;=FG$5,$E167&lt;FG$5+GanttPeriod),"◇","")),IF(AND(FG$5&lt;=$F167,FG$5+GanttPeriod-1&gt;=$E167),"━","")))</f>
        <v/>
      </c>
      <c r="FH167" s="69" t="str">
        <f aca="false">IF($E167="","",IF($M167,IF(AND($G167&gt;=FH$5,$G167&lt;FH$5+GanttPeriod),"◆",IF(AND($E167&gt;=FH$5,$E167&lt;FH$5+GanttPeriod),"◇","")),IF(AND(FH$5&lt;=$F167,FH$5+GanttPeriod-1&gt;=$E167),"━","")))</f>
        <v/>
      </c>
      <c r="FI167" s="69" t="str">
        <f aca="false">IF($E167="","",IF($M167,IF(AND($G167&gt;=FI$5,$G167&lt;FI$5+GanttPeriod),"◆",IF(AND($E167&gt;=FI$5,$E167&lt;FI$5+GanttPeriod),"◇","")),IF(AND(FI$5&lt;=$F167,FI$5+GanttPeriod-1&gt;=$E167),"━","")))</f>
        <v/>
      </c>
      <c r="FJ167" s="69" t="str">
        <f aca="false">IF($E167="","",IF($M167,IF(AND($G167&gt;=FJ$5,$G167&lt;FJ$5+GanttPeriod),"◆",IF(AND($E167&gt;=FJ$5,$E167&lt;FJ$5+GanttPeriod),"◇","")),IF(AND(FJ$5&lt;=$F167,FJ$5+GanttPeriod-1&gt;=$E167),"━","")))</f>
        <v/>
      </c>
      <c r="FK167" s="69" t="str">
        <f aca="false">IF($E167="","",IF($M167,IF(AND($G167&gt;=FK$5,$G167&lt;FK$5+GanttPeriod),"◆",IF(AND($E167&gt;=FK$5,$E167&lt;FK$5+GanttPeriod),"◇","")),IF(AND(FK$5&lt;=$F167,FK$5+GanttPeriod-1&gt;=$E167),"━","")))</f>
        <v/>
      </c>
      <c r="FL167" s="69" t="str">
        <f aca="false">IF($E167="","",IF($M167,IF(AND($G167&gt;=FL$5,$G167&lt;FL$5+GanttPeriod),"◆",IF(AND($E167&gt;=FL$5,$E167&lt;FL$5+GanttPeriod),"◇","")),IF(AND(FL$5&lt;=$F167,FL$5+GanttPeriod-1&gt;=$E167),"━","")))</f>
        <v/>
      </c>
      <c r="FM167" s="69" t="str">
        <f aca="false">IF($E167="","",IF($M167,IF(AND($G167&gt;=FM$5,$G167&lt;FM$5+GanttPeriod),"◆",IF(AND($E167&gt;=FM$5,$E167&lt;FM$5+GanttPeriod),"◇","")),IF(AND(FM$5&lt;=$F167,FM$5+GanttPeriod-1&gt;=$E167),"━","")))</f>
        <v/>
      </c>
    </row>
    <row r="168" customFormat="false" ht="15" hidden="false" customHeight="false" outlineLevel="0" collapsed="false">
      <c r="A168" s="62" t="str">
        <f aca="false">IF(Tasks!$D168="","",Tasks!$A168)</f>
        <v/>
      </c>
      <c r="B168" s="62" t="str">
        <f aca="false">IF(Tasks!$D168="","",Tasks!$B168)</f>
        <v/>
      </c>
      <c r="C168" s="63" t="str">
        <f aca="false">IF(Tasks!$D168="","",REPT("    ",Tasks!$AE168-1)&amp;Tasks!$D168)</f>
        <v/>
      </c>
      <c r="D168" s="62" t="str">
        <f aca="false">IF(Tasks!$D168="","",IF(Tasks!$AI168,NETWORKDAYS.INTL(Tasks!$R168,Tasks!$S168,WorkWeek,Holidays),N(Tasks!$F168)))</f>
        <v/>
      </c>
      <c r="E168" s="64" t="str">
        <f aca="false">IF(Tasks!$D168="","",Tasks!$N168)</f>
        <v/>
      </c>
      <c r="F168" s="64" t="str">
        <f aca="false">IF(Tasks!$D168="","",Tasks!$O168)</f>
        <v/>
      </c>
      <c r="G168" s="64" t="str">
        <f aca="false">IF(Tasks!$D168="","",Tasks!$R168)</f>
        <v/>
      </c>
      <c r="H168" s="64" t="str">
        <f aca="false">IF(Tasks!$D168="","",Tasks!$S168)</f>
        <v/>
      </c>
      <c r="I168" s="65" t="str">
        <f aca="false">IF(Tasks!$D168="","",Tasks!$V168)</f>
        <v/>
      </c>
      <c r="J168" s="63" t="str">
        <f aca="false">IF(Tasks!$D168="","",Tasks!$X168&amp;"")</f>
        <v/>
      </c>
      <c r="K168" s="66" t="str">
        <f aca="false">IF(Tasks!$D168="","",Tasks!$W168)</f>
        <v/>
      </c>
      <c r="L168" s="67" t="b">
        <f aca="false">IF(Tasks!$D168="",FALSE(),Tasks!$AI168)</f>
        <v>0</v>
      </c>
      <c r="M168" s="67" t="b">
        <f aca="false">AND(Tasks!$AJ168=1,N(Tasks!$F168)=0)</f>
        <v>0</v>
      </c>
      <c r="N168" s="68" t="n">
        <f aca="false">IF(AND(Tasks!$AJ168=1,NOT($M168),N($I168)&gt;0),$G168,0)</f>
        <v>0</v>
      </c>
      <c r="O168" s="68" t="n">
        <f aca="false">IF($N168=0,0,IF($I168&gt;=1,$H168,MAX($N168,$G168+ROUND(($H168-$G168+1)*$I168,0)-1)))</f>
        <v>0</v>
      </c>
      <c r="P168" s="68" t="n">
        <f aca="false">IF(OR(Tasks!$AJ168&lt;&gt;1,$M168,N($I168)&gt;=1),0,IF($O168&gt;0,$O168+1,$G168))</f>
        <v>0</v>
      </c>
      <c r="Q168" s="68" t="n">
        <f aca="false">IF($P168=0,0,$H168)</f>
        <v>0</v>
      </c>
      <c r="R168" s="67" t="b">
        <f aca="false">AND(Tasks!$D168&lt;&gt;"",N(Tasks!$T168)&gt;0)</f>
        <v>0</v>
      </c>
      <c r="T168" s="69" t="str">
        <f aca="false">IF($E168="","",IF($M168,IF(AND($G168&gt;=T$5,$G168&lt;T$5+GanttPeriod),"◆",IF(AND($E168&gt;=T$5,$E168&lt;T$5+GanttPeriod),"◇","")),IF(AND(T$5&lt;=$F168,T$5+GanttPeriod-1&gt;=$E168),"━","")))</f>
        <v/>
      </c>
      <c r="U168" s="69" t="str">
        <f aca="false">IF($E168="","",IF($M168,IF(AND($G168&gt;=U$5,$G168&lt;U$5+GanttPeriod),"◆",IF(AND($E168&gt;=U$5,$E168&lt;U$5+GanttPeriod),"◇","")),IF(AND(U$5&lt;=$F168,U$5+GanttPeriod-1&gt;=$E168),"━","")))</f>
        <v/>
      </c>
      <c r="V168" s="69" t="str">
        <f aca="false">IF($E168="","",IF($M168,IF(AND($G168&gt;=V$5,$G168&lt;V$5+GanttPeriod),"◆",IF(AND($E168&gt;=V$5,$E168&lt;V$5+GanttPeriod),"◇","")),IF(AND(V$5&lt;=$F168,V$5+GanttPeriod-1&gt;=$E168),"━","")))</f>
        <v/>
      </c>
      <c r="W168" s="69" t="str">
        <f aca="false">IF($E168="","",IF($M168,IF(AND($G168&gt;=W$5,$G168&lt;W$5+GanttPeriod),"◆",IF(AND($E168&gt;=W$5,$E168&lt;W$5+GanttPeriod),"◇","")),IF(AND(W$5&lt;=$F168,W$5+GanttPeriod-1&gt;=$E168),"━","")))</f>
        <v/>
      </c>
      <c r="X168" s="69" t="str">
        <f aca="false">IF($E168="","",IF($M168,IF(AND($G168&gt;=X$5,$G168&lt;X$5+GanttPeriod),"◆",IF(AND($E168&gt;=X$5,$E168&lt;X$5+GanttPeriod),"◇","")),IF(AND(X$5&lt;=$F168,X$5+GanttPeriod-1&gt;=$E168),"━","")))</f>
        <v/>
      </c>
      <c r="Y168" s="69" t="str">
        <f aca="false">IF($E168="","",IF($M168,IF(AND($G168&gt;=Y$5,$G168&lt;Y$5+GanttPeriod),"◆",IF(AND($E168&gt;=Y$5,$E168&lt;Y$5+GanttPeriod),"◇","")),IF(AND(Y$5&lt;=$F168,Y$5+GanttPeriod-1&gt;=$E168),"━","")))</f>
        <v/>
      </c>
      <c r="Z168" s="69" t="str">
        <f aca="false">IF($E168="","",IF($M168,IF(AND($G168&gt;=Z$5,$G168&lt;Z$5+GanttPeriod),"◆",IF(AND($E168&gt;=Z$5,$E168&lt;Z$5+GanttPeriod),"◇","")),IF(AND(Z$5&lt;=$F168,Z$5+GanttPeriod-1&gt;=$E168),"━","")))</f>
        <v/>
      </c>
      <c r="AA168" s="69" t="str">
        <f aca="false">IF($E168="","",IF($M168,IF(AND($G168&gt;=AA$5,$G168&lt;AA$5+GanttPeriod),"◆",IF(AND($E168&gt;=AA$5,$E168&lt;AA$5+GanttPeriod),"◇","")),IF(AND(AA$5&lt;=$F168,AA$5+GanttPeriod-1&gt;=$E168),"━","")))</f>
        <v/>
      </c>
      <c r="AB168" s="69" t="str">
        <f aca="false">IF($E168="","",IF($M168,IF(AND($G168&gt;=AB$5,$G168&lt;AB$5+GanttPeriod),"◆",IF(AND($E168&gt;=AB$5,$E168&lt;AB$5+GanttPeriod),"◇","")),IF(AND(AB$5&lt;=$F168,AB$5+GanttPeriod-1&gt;=$E168),"━","")))</f>
        <v/>
      </c>
      <c r="AC168" s="69" t="str">
        <f aca="false">IF($E168="","",IF($M168,IF(AND($G168&gt;=AC$5,$G168&lt;AC$5+GanttPeriod),"◆",IF(AND($E168&gt;=AC$5,$E168&lt;AC$5+GanttPeriod),"◇","")),IF(AND(AC$5&lt;=$F168,AC$5+GanttPeriod-1&gt;=$E168),"━","")))</f>
        <v/>
      </c>
      <c r="AD168" s="69" t="str">
        <f aca="false">IF($E168="","",IF($M168,IF(AND($G168&gt;=AD$5,$G168&lt;AD$5+GanttPeriod),"◆",IF(AND($E168&gt;=AD$5,$E168&lt;AD$5+GanttPeriod),"◇","")),IF(AND(AD$5&lt;=$F168,AD$5+GanttPeriod-1&gt;=$E168),"━","")))</f>
        <v/>
      </c>
      <c r="AE168" s="69" t="str">
        <f aca="false">IF($E168="","",IF($M168,IF(AND($G168&gt;=AE$5,$G168&lt;AE$5+GanttPeriod),"◆",IF(AND($E168&gt;=AE$5,$E168&lt;AE$5+GanttPeriod),"◇","")),IF(AND(AE$5&lt;=$F168,AE$5+GanttPeriod-1&gt;=$E168),"━","")))</f>
        <v/>
      </c>
      <c r="AF168" s="69" t="str">
        <f aca="false">IF($E168="","",IF($M168,IF(AND($G168&gt;=AF$5,$G168&lt;AF$5+GanttPeriod),"◆",IF(AND($E168&gt;=AF$5,$E168&lt;AF$5+GanttPeriod),"◇","")),IF(AND(AF$5&lt;=$F168,AF$5+GanttPeriod-1&gt;=$E168),"━","")))</f>
        <v/>
      </c>
      <c r="AG168" s="69" t="str">
        <f aca="false">IF($E168="","",IF($M168,IF(AND($G168&gt;=AG$5,$G168&lt;AG$5+GanttPeriod),"◆",IF(AND($E168&gt;=AG$5,$E168&lt;AG$5+GanttPeriod),"◇","")),IF(AND(AG$5&lt;=$F168,AG$5+GanttPeriod-1&gt;=$E168),"━","")))</f>
        <v/>
      </c>
      <c r="AH168" s="69" t="str">
        <f aca="false">IF($E168="","",IF($M168,IF(AND($G168&gt;=AH$5,$G168&lt;AH$5+GanttPeriod),"◆",IF(AND($E168&gt;=AH$5,$E168&lt;AH$5+GanttPeriod),"◇","")),IF(AND(AH$5&lt;=$F168,AH$5+GanttPeriod-1&gt;=$E168),"━","")))</f>
        <v/>
      </c>
      <c r="AI168" s="69" t="str">
        <f aca="false">IF($E168="","",IF($M168,IF(AND($G168&gt;=AI$5,$G168&lt;AI$5+GanttPeriod),"◆",IF(AND($E168&gt;=AI$5,$E168&lt;AI$5+GanttPeriod),"◇","")),IF(AND(AI$5&lt;=$F168,AI$5+GanttPeriod-1&gt;=$E168),"━","")))</f>
        <v/>
      </c>
      <c r="AJ168" s="69" t="str">
        <f aca="false">IF($E168="","",IF($M168,IF(AND($G168&gt;=AJ$5,$G168&lt;AJ$5+GanttPeriod),"◆",IF(AND($E168&gt;=AJ$5,$E168&lt;AJ$5+GanttPeriod),"◇","")),IF(AND(AJ$5&lt;=$F168,AJ$5+GanttPeriod-1&gt;=$E168),"━","")))</f>
        <v/>
      </c>
      <c r="AK168" s="69" t="str">
        <f aca="false">IF($E168="","",IF($M168,IF(AND($G168&gt;=AK$5,$G168&lt;AK$5+GanttPeriod),"◆",IF(AND($E168&gt;=AK$5,$E168&lt;AK$5+GanttPeriod),"◇","")),IF(AND(AK$5&lt;=$F168,AK$5+GanttPeriod-1&gt;=$E168),"━","")))</f>
        <v/>
      </c>
      <c r="AL168" s="69" t="str">
        <f aca="false">IF($E168="","",IF($M168,IF(AND($G168&gt;=AL$5,$G168&lt;AL$5+GanttPeriod),"◆",IF(AND($E168&gt;=AL$5,$E168&lt;AL$5+GanttPeriod),"◇","")),IF(AND(AL$5&lt;=$F168,AL$5+GanttPeriod-1&gt;=$E168),"━","")))</f>
        <v/>
      </c>
      <c r="AM168" s="69" t="str">
        <f aca="false">IF($E168="","",IF($M168,IF(AND($G168&gt;=AM$5,$G168&lt;AM$5+GanttPeriod),"◆",IF(AND($E168&gt;=AM$5,$E168&lt;AM$5+GanttPeriod),"◇","")),IF(AND(AM$5&lt;=$F168,AM$5+GanttPeriod-1&gt;=$E168),"━","")))</f>
        <v/>
      </c>
      <c r="AN168" s="69" t="str">
        <f aca="false">IF($E168="","",IF($M168,IF(AND($G168&gt;=AN$5,$G168&lt;AN$5+GanttPeriod),"◆",IF(AND($E168&gt;=AN$5,$E168&lt;AN$5+GanttPeriod),"◇","")),IF(AND(AN$5&lt;=$F168,AN$5+GanttPeriod-1&gt;=$E168),"━","")))</f>
        <v/>
      </c>
      <c r="AO168" s="69" t="str">
        <f aca="false">IF($E168="","",IF($M168,IF(AND($G168&gt;=AO$5,$G168&lt;AO$5+GanttPeriod),"◆",IF(AND($E168&gt;=AO$5,$E168&lt;AO$5+GanttPeriod),"◇","")),IF(AND(AO$5&lt;=$F168,AO$5+GanttPeriod-1&gt;=$E168),"━","")))</f>
        <v/>
      </c>
      <c r="AP168" s="69" t="str">
        <f aca="false">IF($E168="","",IF($M168,IF(AND($G168&gt;=AP$5,$G168&lt;AP$5+GanttPeriod),"◆",IF(AND($E168&gt;=AP$5,$E168&lt;AP$5+GanttPeriod),"◇","")),IF(AND(AP$5&lt;=$F168,AP$5+GanttPeriod-1&gt;=$E168),"━","")))</f>
        <v/>
      </c>
      <c r="AQ168" s="69" t="str">
        <f aca="false">IF($E168="","",IF($M168,IF(AND($G168&gt;=AQ$5,$G168&lt;AQ$5+GanttPeriod),"◆",IF(AND($E168&gt;=AQ$5,$E168&lt;AQ$5+GanttPeriod),"◇","")),IF(AND(AQ$5&lt;=$F168,AQ$5+GanttPeriod-1&gt;=$E168),"━","")))</f>
        <v/>
      </c>
      <c r="AR168" s="69" t="str">
        <f aca="false">IF($E168="","",IF($M168,IF(AND($G168&gt;=AR$5,$G168&lt;AR$5+GanttPeriod),"◆",IF(AND($E168&gt;=AR$5,$E168&lt;AR$5+GanttPeriod),"◇","")),IF(AND(AR$5&lt;=$F168,AR$5+GanttPeriod-1&gt;=$E168),"━","")))</f>
        <v/>
      </c>
      <c r="AS168" s="69" t="str">
        <f aca="false">IF($E168="","",IF($M168,IF(AND($G168&gt;=AS$5,$G168&lt;AS$5+GanttPeriod),"◆",IF(AND($E168&gt;=AS$5,$E168&lt;AS$5+GanttPeriod),"◇","")),IF(AND(AS$5&lt;=$F168,AS$5+GanttPeriod-1&gt;=$E168),"━","")))</f>
        <v/>
      </c>
      <c r="AT168" s="69" t="str">
        <f aca="false">IF($E168="","",IF($M168,IF(AND($G168&gt;=AT$5,$G168&lt;AT$5+GanttPeriod),"◆",IF(AND($E168&gt;=AT$5,$E168&lt;AT$5+GanttPeriod),"◇","")),IF(AND(AT$5&lt;=$F168,AT$5+GanttPeriod-1&gt;=$E168),"━","")))</f>
        <v/>
      </c>
      <c r="AU168" s="69" t="str">
        <f aca="false">IF($E168="","",IF($M168,IF(AND($G168&gt;=AU$5,$G168&lt;AU$5+GanttPeriod),"◆",IF(AND($E168&gt;=AU$5,$E168&lt;AU$5+GanttPeriod),"◇","")),IF(AND(AU$5&lt;=$F168,AU$5+GanttPeriod-1&gt;=$E168),"━","")))</f>
        <v/>
      </c>
      <c r="AV168" s="69" t="str">
        <f aca="false">IF($E168="","",IF($M168,IF(AND($G168&gt;=AV$5,$G168&lt;AV$5+GanttPeriod),"◆",IF(AND($E168&gt;=AV$5,$E168&lt;AV$5+GanttPeriod),"◇","")),IF(AND(AV$5&lt;=$F168,AV$5+GanttPeriod-1&gt;=$E168),"━","")))</f>
        <v/>
      </c>
      <c r="AW168" s="69" t="str">
        <f aca="false">IF($E168="","",IF($M168,IF(AND($G168&gt;=AW$5,$G168&lt;AW$5+GanttPeriod),"◆",IF(AND($E168&gt;=AW$5,$E168&lt;AW$5+GanttPeriod),"◇","")),IF(AND(AW$5&lt;=$F168,AW$5+GanttPeriod-1&gt;=$E168),"━","")))</f>
        <v/>
      </c>
      <c r="AX168" s="69" t="str">
        <f aca="false">IF($E168="","",IF($M168,IF(AND($G168&gt;=AX$5,$G168&lt;AX$5+GanttPeriod),"◆",IF(AND($E168&gt;=AX$5,$E168&lt;AX$5+GanttPeriod),"◇","")),IF(AND(AX$5&lt;=$F168,AX$5+GanttPeriod-1&gt;=$E168),"━","")))</f>
        <v/>
      </c>
      <c r="AY168" s="69" t="str">
        <f aca="false">IF($E168="","",IF($M168,IF(AND($G168&gt;=AY$5,$G168&lt;AY$5+GanttPeriod),"◆",IF(AND($E168&gt;=AY$5,$E168&lt;AY$5+GanttPeriod),"◇","")),IF(AND(AY$5&lt;=$F168,AY$5+GanttPeriod-1&gt;=$E168),"━","")))</f>
        <v/>
      </c>
      <c r="AZ168" s="69" t="str">
        <f aca="false">IF($E168="","",IF($M168,IF(AND($G168&gt;=AZ$5,$G168&lt;AZ$5+GanttPeriod),"◆",IF(AND($E168&gt;=AZ$5,$E168&lt;AZ$5+GanttPeriod),"◇","")),IF(AND(AZ$5&lt;=$F168,AZ$5+GanttPeriod-1&gt;=$E168),"━","")))</f>
        <v/>
      </c>
      <c r="BA168" s="69" t="str">
        <f aca="false">IF($E168="","",IF($M168,IF(AND($G168&gt;=BA$5,$G168&lt;BA$5+GanttPeriod),"◆",IF(AND($E168&gt;=BA$5,$E168&lt;BA$5+GanttPeriod),"◇","")),IF(AND(BA$5&lt;=$F168,BA$5+GanttPeriod-1&gt;=$E168),"━","")))</f>
        <v/>
      </c>
      <c r="BB168" s="69" t="str">
        <f aca="false">IF($E168="","",IF($M168,IF(AND($G168&gt;=BB$5,$G168&lt;BB$5+GanttPeriod),"◆",IF(AND($E168&gt;=BB$5,$E168&lt;BB$5+GanttPeriod),"◇","")),IF(AND(BB$5&lt;=$F168,BB$5+GanttPeriod-1&gt;=$E168),"━","")))</f>
        <v/>
      </c>
      <c r="BC168" s="69" t="str">
        <f aca="false">IF($E168="","",IF($M168,IF(AND($G168&gt;=BC$5,$G168&lt;BC$5+GanttPeriod),"◆",IF(AND($E168&gt;=BC$5,$E168&lt;BC$5+GanttPeriod),"◇","")),IF(AND(BC$5&lt;=$F168,BC$5+GanttPeriod-1&gt;=$E168),"━","")))</f>
        <v/>
      </c>
      <c r="BD168" s="69" t="str">
        <f aca="false">IF($E168="","",IF($M168,IF(AND($G168&gt;=BD$5,$G168&lt;BD$5+GanttPeriod),"◆",IF(AND($E168&gt;=BD$5,$E168&lt;BD$5+GanttPeriod),"◇","")),IF(AND(BD$5&lt;=$F168,BD$5+GanttPeriod-1&gt;=$E168),"━","")))</f>
        <v/>
      </c>
      <c r="BE168" s="69" t="str">
        <f aca="false">IF($E168="","",IF($M168,IF(AND($G168&gt;=BE$5,$G168&lt;BE$5+GanttPeriod),"◆",IF(AND($E168&gt;=BE$5,$E168&lt;BE$5+GanttPeriod),"◇","")),IF(AND(BE$5&lt;=$F168,BE$5+GanttPeriod-1&gt;=$E168),"━","")))</f>
        <v/>
      </c>
      <c r="BF168" s="69" t="str">
        <f aca="false">IF($E168="","",IF($M168,IF(AND($G168&gt;=BF$5,$G168&lt;BF$5+GanttPeriod),"◆",IF(AND($E168&gt;=BF$5,$E168&lt;BF$5+GanttPeriod),"◇","")),IF(AND(BF$5&lt;=$F168,BF$5+GanttPeriod-1&gt;=$E168),"━","")))</f>
        <v/>
      </c>
      <c r="BG168" s="69" t="str">
        <f aca="false">IF($E168="","",IF($M168,IF(AND($G168&gt;=BG$5,$G168&lt;BG$5+GanttPeriod),"◆",IF(AND($E168&gt;=BG$5,$E168&lt;BG$5+GanttPeriod),"◇","")),IF(AND(BG$5&lt;=$F168,BG$5+GanttPeriod-1&gt;=$E168),"━","")))</f>
        <v/>
      </c>
      <c r="BH168" s="69" t="str">
        <f aca="false">IF($E168="","",IF($M168,IF(AND($G168&gt;=BH$5,$G168&lt;BH$5+GanttPeriod),"◆",IF(AND($E168&gt;=BH$5,$E168&lt;BH$5+GanttPeriod),"◇","")),IF(AND(BH$5&lt;=$F168,BH$5+GanttPeriod-1&gt;=$E168),"━","")))</f>
        <v/>
      </c>
      <c r="BI168" s="69" t="str">
        <f aca="false">IF($E168="","",IF($M168,IF(AND($G168&gt;=BI$5,$G168&lt;BI$5+GanttPeriod),"◆",IF(AND($E168&gt;=BI$5,$E168&lt;BI$5+GanttPeriod),"◇","")),IF(AND(BI$5&lt;=$F168,BI$5+GanttPeriod-1&gt;=$E168),"━","")))</f>
        <v/>
      </c>
      <c r="BJ168" s="69" t="str">
        <f aca="false">IF($E168="","",IF($M168,IF(AND($G168&gt;=BJ$5,$G168&lt;BJ$5+GanttPeriod),"◆",IF(AND($E168&gt;=BJ$5,$E168&lt;BJ$5+GanttPeriod),"◇","")),IF(AND(BJ$5&lt;=$F168,BJ$5+GanttPeriod-1&gt;=$E168),"━","")))</f>
        <v/>
      </c>
      <c r="BK168" s="69" t="str">
        <f aca="false">IF($E168="","",IF($M168,IF(AND($G168&gt;=BK$5,$G168&lt;BK$5+GanttPeriod),"◆",IF(AND($E168&gt;=BK$5,$E168&lt;BK$5+GanttPeriod),"◇","")),IF(AND(BK$5&lt;=$F168,BK$5+GanttPeriod-1&gt;=$E168),"━","")))</f>
        <v/>
      </c>
      <c r="BL168" s="69" t="str">
        <f aca="false">IF($E168="","",IF($M168,IF(AND($G168&gt;=BL$5,$G168&lt;BL$5+GanttPeriod),"◆",IF(AND($E168&gt;=BL$5,$E168&lt;BL$5+GanttPeriod),"◇","")),IF(AND(BL$5&lt;=$F168,BL$5+GanttPeriod-1&gt;=$E168),"━","")))</f>
        <v/>
      </c>
      <c r="BM168" s="69" t="str">
        <f aca="false">IF($E168="","",IF($M168,IF(AND($G168&gt;=BM$5,$G168&lt;BM$5+GanttPeriod),"◆",IF(AND($E168&gt;=BM$5,$E168&lt;BM$5+GanttPeriod),"◇","")),IF(AND(BM$5&lt;=$F168,BM$5+GanttPeriod-1&gt;=$E168),"━","")))</f>
        <v/>
      </c>
      <c r="BN168" s="69" t="str">
        <f aca="false">IF($E168="","",IF($M168,IF(AND($G168&gt;=BN$5,$G168&lt;BN$5+GanttPeriod),"◆",IF(AND($E168&gt;=BN$5,$E168&lt;BN$5+GanttPeriod),"◇","")),IF(AND(BN$5&lt;=$F168,BN$5+GanttPeriod-1&gt;=$E168),"━","")))</f>
        <v/>
      </c>
      <c r="BO168" s="69" t="str">
        <f aca="false">IF($E168="","",IF($M168,IF(AND($G168&gt;=BO$5,$G168&lt;BO$5+GanttPeriod),"◆",IF(AND($E168&gt;=BO$5,$E168&lt;BO$5+GanttPeriod),"◇","")),IF(AND(BO$5&lt;=$F168,BO$5+GanttPeriod-1&gt;=$E168),"━","")))</f>
        <v/>
      </c>
      <c r="BP168" s="69" t="str">
        <f aca="false">IF($E168="","",IF($M168,IF(AND($G168&gt;=BP$5,$G168&lt;BP$5+GanttPeriod),"◆",IF(AND($E168&gt;=BP$5,$E168&lt;BP$5+GanttPeriod),"◇","")),IF(AND(BP$5&lt;=$F168,BP$5+GanttPeriod-1&gt;=$E168),"━","")))</f>
        <v/>
      </c>
      <c r="BQ168" s="69" t="str">
        <f aca="false">IF($E168="","",IF($M168,IF(AND($G168&gt;=BQ$5,$G168&lt;BQ$5+GanttPeriod),"◆",IF(AND($E168&gt;=BQ$5,$E168&lt;BQ$5+GanttPeriod),"◇","")),IF(AND(BQ$5&lt;=$F168,BQ$5+GanttPeriod-1&gt;=$E168),"━","")))</f>
        <v/>
      </c>
      <c r="BR168" s="69" t="str">
        <f aca="false">IF($E168="","",IF($M168,IF(AND($G168&gt;=BR$5,$G168&lt;BR$5+GanttPeriod),"◆",IF(AND($E168&gt;=BR$5,$E168&lt;BR$5+GanttPeriod),"◇","")),IF(AND(BR$5&lt;=$F168,BR$5+GanttPeriod-1&gt;=$E168),"━","")))</f>
        <v/>
      </c>
      <c r="BS168" s="69" t="str">
        <f aca="false">IF($E168="","",IF($M168,IF(AND($G168&gt;=BS$5,$G168&lt;BS$5+GanttPeriod),"◆",IF(AND($E168&gt;=BS$5,$E168&lt;BS$5+GanttPeriod),"◇","")),IF(AND(BS$5&lt;=$F168,BS$5+GanttPeriod-1&gt;=$E168),"━","")))</f>
        <v/>
      </c>
      <c r="BT168" s="69" t="str">
        <f aca="false">IF($E168="","",IF($M168,IF(AND($G168&gt;=BT$5,$G168&lt;BT$5+GanttPeriod),"◆",IF(AND($E168&gt;=BT$5,$E168&lt;BT$5+GanttPeriod),"◇","")),IF(AND(BT$5&lt;=$F168,BT$5+GanttPeriod-1&gt;=$E168),"━","")))</f>
        <v/>
      </c>
      <c r="BU168" s="69" t="str">
        <f aca="false">IF($E168="","",IF($M168,IF(AND($G168&gt;=BU$5,$G168&lt;BU$5+GanttPeriod),"◆",IF(AND($E168&gt;=BU$5,$E168&lt;BU$5+GanttPeriod),"◇","")),IF(AND(BU$5&lt;=$F168,BU$5+GanttPeriod-1&gt;=$E168),"━","")))</f>
        <v/>
      </c>
      <c r="BV168" s="69" t="str">
        <f aca="false">IF($E168="","",IF($M168,IF(AND($G168&gt;=BV$5,$G168&lt;BV$5+GanttPeriod),"◆",IF(AND($E168&gt;=BV$5,$E168&lt;BV$5+GanttPeriod),"◇","")),IF(AND(BV$5&lt;=$F168,BV$5+GanttPeriod-1&gt;=$E168),"━","")))</f>
        <v/>
      </c>
      <c r="BW168" s="69" t="str">
        <f aca="false">IF($E168="","",IF($M168,IF(AND($G168&gt;=BW$5,$G168&lt;BW$5+GanttPeriod),"◆",IF(AND($E168&gt;=BW$5,$E168&lt;BW$5+GanttPeriod),"◇","")),IF(AND(BW$5&lt;=$F168,BW$5+GanttPeriod-1&gt;=$E168),"━","")))</f>
        <v/>
      </c>
      <c r="BX168" s="69" t="str">
        <f aca="false">IF($E168="","",IF($M168,IF(AND($G168&gt;=BX$5,$G168&lt;BX$5+GanttPeriod),"◆",IF(AND($E168&gt;=BX$5,$E168&lt;BX$5+GanttPeriod),"◇","")),IF(AND(BX$5&lt;=$F168,BX$5+GanttPeriod-1&gt;=$E168),"━","")))</f>
        <v/>
      </c>
      <c r="BY168" s="69" t="str">
        <f aca="false">IF($E168="","",IF($M168,IF(AND($G168&gt;=BY$5,$G168&lt;BY$5+GanttPeriod),"◆",IF(AND($E168&gt;=BY$5,$E168&lt;BY$5+GanttPeriod),"◇","")),IF(AND(BY$5&lt;=$F168,BY$5+GanttPeriod-1&gt;=$E168),"━","")))</f>
        <v/>
      </c>
      <c r="BZ168" s="69" t="str">
        <f aca="false">IF($E168="","",IF($M168,IF(AND($G168&gt;=BZ$5,$G168&lt;BZ$5+GanttPeriod),"◆",IF(AND($E168&gt;=BZ$5,$E168&lt;BZ$5+GanttPeriod),"◇","")),IF(AND(BZ$5&lt;=$F168,BZ$5+GanttPeriod-1&gt;=$E168),"━","")))</f>
        <v/>
      </c>
      <c r="CA168" s="69" t="str">
        <f aca="false">IF($E168="","",IF($M168,IF(AND($G168&gt;=CA$5,$G168&lt;CA$5+GanttPeriod),"◆",IF(AND($E168&gt;=CA$5,$E168&lt;CA$5+GanttPeriod),"◇","")),IF(AND(CA$5&lt;=$F168,CA$5+GanttPeriod-1&gt;=$E168),"━","")))</f>
        <v/>
      </c>
      <c r="CB168" s="69" t="str">
        <f aca="false">IF($E168="","",IF($M168,IF(AND($G168&gt;=CB$5,$G168&lt;CB$5+GanttPeriod),"◆",IF(AND($E168&gt;=CB$5,$E168&lt;CB$5+GanttPeriod),"◇","")),IF(AND(CB$5&lt;=$F168,CB$5+GanttPeriod-1&gt;=$E168),"━","")))</f>
        <v/>
      </c>
      <c r="CC168" s="69" t="str">
        <f aca="false">IF($E168="","",IF($M168,IF(AND($G168&gt;=CC$5,$G168&lt;CC$5+GanttPeriod),"◆",IF(AND($E168&gt;=CC$5,$E168&lt;CC$5+GanttPeriod),"◇","")),IF(AND(CC$5&lt;=$F168,CC$5+GanttPeriod-1&gt;=$E168),"━","")))</f>
        <v/>
      </c>
      <c r="CD168" s="69" t="str">
        <f aca="false">IF($E168="","",IF($M168,IF(AND($G168&gt;=CD$5,$G168&lt;CD$5+GanttPeriod),"◆",IF(AND($E168&gt;=CD$5,$E168&lt;CD$5+GanttPeriod),"◇","")),IF(AND(CD$5&lt;=$F168,CD$5+GanttPeriod-1&gt;=$E168),"━","")))</f>
        <v/>
      </c>
      <c r="CE168" s="69" t="str">
        <f aca="false">IF($E168="","",IF($M168,IF(AND($G168&gt;=CE$5,$G168&lt;CE$5+GanttPeriod),"◆",IF(AND($E168&gt;=CE$5,$E168&lt;CE$5+GanttPeriod),"◇","")),IF(AND(CE$5&lt;=$F168,CE$5+GanttPeriod-1&gt;=$E168),"━","")))</f>
        <v/>
      </c>
      <c r="CF168" s="69" t="str">
        <f aca="false">IF($E168="","",IF($M168,IF(AND($G168&gt;=CF$5,$G168&lt;CF$5+GanttPeriod),"◆",IF(AND($E168&gt;=CF$5,$E168&lt;CF$5+GanttPeriod),"◇","")),IF(AND(CF$5&lt;=$F168,CF$5+GanttPeriod-1&gt;=$E168),"━","")))</f>
        <v/>
      </c>
      <c r="CG168" s="69" t="str">
        <f aca="false">IF($E168="","",IF($M168,IF(AND($G168&gt;=CG$5,$G168&lt;CG$5+GanttPeriod),"◆",IF(AND($E168&gt;=CG$5,$E168&lt;CG$5+GanttPeriod),"◇","")),IF(AND(CG$5&lt;=$F168,CG$5+GanttPeriod-1&gt;=$E168),"━","")))</f>
        <v/>
      </c>
      <c r="CH168" s="69" t="str">
        <f aca="false">IF($E168="","",IF($M168,IF(AND($G168&gt;=CH$5,$G168&lt;CH$5+GanttPeriod),"◆",IF(AND($E168&gt;=CH$5,$E168&lt;CH$5+GanttPeriod),"◇","")),IF(AND(CH$5&lt;=$F168,CH$5+GanttPeriod-1&gt;=$E168),"━","")))</f>
        <v/>
      </c>
      <c r="CI168" s="69" t="str">
        <f aca="false">IF($E168="","",IF($M168,IF(AND($G168&gt;=CI$5,$G168&lt;CI$5+GanttPeriod),"◆",IF(AND($E168&gt;=CI$5,$E168&lt;CI$5+GanttPeriod),"◇","")),IF(AND(CI$5&lt;=$F168,CI$5+GanttPeriod-1&gt;=$E168),"━","")))</f>
        <v/>
      </c>
      <c r="CJ168" s="69" t="str">
        <f aca="false">IF($E168="","",IF($M168,IF(AND($G168&gt;=CJ$5,$G168&lt;CJ$5+GanttPeriod),"◆",IF(AND($E168&gt;=CJ$5,$E168&lt;CJ$5+GanttPeriod),"◇","")),IF(AND(CJ$5&lt;=$F168,CJ$5+GanttPeriod-1&gt;=$E168),"━","")))</f>
        <v/>
      </c>
      <c r="CK168" s="69" t="str">
        <f aca="false">IF($E168="","",IF($M168,IF(AND($G168&gt;=CK$5,$G168&lt;CK$5+GanttPeriod),"◆",IF(AND($E168&gt;=CK$5,$E168&lt;CK$5+GanttPeriod),"◇","")),IF(AND(CK$5&lt;=$F168,CK$5+GanttPeriod-1&gt;=$E168),"━","")))</f>
        <v/>
      </c>
      <c r="CL168" s="69" t="str">
        <f aca="false">IF($E168="","",IF($M168,IF(AND($G168&gt;=CL$5,$G168&lt;CL$5+GanttPeriod),"◆",IF(AND($E168&gt;=CL$5,$E168&lt;CL$5+GanttPeriod),"◇","")),IF(AND(CL$5&lt;=$F168,CL$5+GanttPeriod-1&gt;=$E168),"━","")))</f>
        <v/>
      </c>
      <c r="CM168" s="69" t="str">
        <f aca="false">IF($E168="","",IF($M168,IF(AND($G168&gt;=CM$5,$G168&lt;CM$5+GanttPeriod),"◆",IF(AND($E168&gt;=CM$5,$E168&lt;CM$5+GanttPeriod),"◇","")),IF(AND(CM$5&lt;=$F168,CM$5+GanttPeriod-1&gt;=$E168),"━","")))</f>
        <v/>
      </c>
      <c r="CN168" s="69" t="str">
        <f aca="false">IF($E168="","",IF($M168,IF(AND($G168&gt;=CN$5,$G168&lt;CN$5+GanttPeriod),"◆",IF(AND($E168&gt;=CN$5,$E168&lt;CN$5+GanttPeriod),"◇","")),IF(AND(CN$5&lt;=$F168,CN$5+GanttPeriod-1&gt;=$E168),"━","")))</f>
        <v/>
      </c>
      <c r="CO168" s="69" t="str">
        <f aca="false">IF($E168="","",IF($M168,IF(AND($G168&gt;=CO$5,$G168&lt;CO$5+GanttPeriod),"◆",IF(AND($E168&gt;=CO$5,$E168&lt;CO$5+GanttPeriod),"◇","")),IF(AND(CO$5&lt;=$F168,CO$5+GanttPeriod-1&gt;=$E168),"━","")))</f>
        <v/>
      </c>
      <c r="CP168" s="69" t="str">
        <f aca="false">IF($E168="","",IF($M168,IF(AND($G168&gt;=CP$5,$G168&lt;CP$5+GanttPeriod),"◆",IF(AND($E168&gt;=CP$5,$E168&lt;CP$5+GanttPeriod),"◇","")),IF(AND(CP$5&lt;=$F168,CP$5+GanttPeriod-1&gt;=$E168),"━","")))</f>
        <v/>
      </c>
      <c r="CQ168" s="69" t="str">
        <f aca="false">IF($E168="","",IF($M168,IF(AND($G168&gt;=CQ$5,$G168&lt;CQ$5+GanttPeriod),"◆",IF(AND($E168&gt;=CQ$5,$E168&lt;CQ$5+GanttPeriod),"◇","")),IF(AND(CQ$5&lt;=$F168,CQ$5+GanttPeriod-1&gt;=$E168),"━","")))</f>
        <v/>
      </c>
      <c r="CR168" s="69" t="str">
        <f aca="false">IF($E168="","",IF($M168,IF(AND($G168&gt;=CR$5,$G168&lt;CR$5+GanttPeriod),"◆",IF(AND($E168&gt;=CR$5,$E168&lt;CR$5+GanttPeriod),"◇","")),IF(AND(CR$5&lt;=$F168,CR$5+GanttPeriod-1&gt;=$E168),"━","")))</f>
        <v/>
      </c>
      <c r="CS168" s="69" t="str">
        <f aca="false">IF($E168="","",IF($M168,IF(AND($G168&gt;=CS$5,$G168&lt;CS$5+GanttPeriod),"◆",IF(AND($E168&gt;=CS$5,$E168&lt;CS$5+GanttPeriod),"◇","")),IF(AND(CS$5&lt;=$F168,CS$5+GanttPeriod-1&gt;=$E168),"━","")))</f>
        <v/>
      </c>
      <c r="CT168" s="69" t="str">
        <f aca="false">IF($E168="","",IF($M168,IF(AND($G168&gt;=CT$5,$G168&lt;CT$5+GanttPeriod),"◆",IF(AND($E168&gt;=CT$5,$E168&lt;CT$5+GanttPeriod),"◇","")),IF(AND(CT$5&lt;=$F168,CT$5+GanttPeriod-1&gt;=$E168),"━","")))</f>
        <v/>
      </c>
      <c r="CU168" s="69" t="str">
        <f aca="false">IF($E168="","",IF($M168,IF(AND($G168&gt;=CU$5,$G168&lt;CU$5+GanttPeriod),"◆",IF(AND($E168&gt;=CU$5,$E168&lt;CU$5+GanttPeriod),"◇","")),IF(AND(CU$5&lt;=$F168,CU$5+GanttPeriod-1&gt;=$E168),"━","")))</f>
        <v/>
      </c>
      <c r="CV168" s="69" t="str">
        <f aca="false">IF($E168="","",IF($M168,IF(AND($G168&gt;=CV$5,$G168&lt;CV$5+GanttPeriod),"◆",IF(AND($E168&gt;=CV$5,$E168&lt;CV$5+GanttPeriod),"◇","")),IF(AND(CV$5&lt;=$F168,CV$5+GanttPeriod-1&gt;=$E168),"━","")))</f>
        <v/>
      </c>
      <c r="CW168" s="69" t="str">
        <f aca="false">IF($E168="","",IF($M168,IF(AND($G168&gt;=CW$5,$G168&lt;CW$5+GanttPeriod),"◆",IF(AND($E168&gt;=CW$5,$E168&lt;CW$5+GanttPeriod),"◇","")),IF(AND(CW$5&lt;=$F168,CW$5+GanttPeriod-1&gt;=$E168),"━","")))</f>
        <v/>
      </c>
      <c r="CX168" s="69" t="str">
        <f aca="false">IF($E168="","",IF($M168,IF(AND($G168&gt;=CX$5,$G168&lt;CX$5+GanttPeriod),"◆",IF(AND($E168&gt;=CX$5,$E168&lt;CX$5+GanttPeriod),"◇","")),IF(AND(CX$5&lt;=$F168,CX$5+GanttPeriod-1&gt;=$E168),"━","")))</f>
        <v/>
      </c>
      <c r="CY168" s="69" t="str">
        <f aca="false">IF($E168="","",IF($M168,IF(AND($G168&gt;=CY$5,$G168&lt;CY$5+GanttPeriod),"◆",IF(AND($E168&gt;=CY$5,$E168&lt;CY$5+GanttPeriod),"◇","")),IF(AND(CY$5&lt;=$F168,CY$5+GanttPeriod-1&gt;=$E168),"━","")))</f>
        <v/>
      </c>
      <c r="CZ168" s="69" t="str">
        <f aca="false">IF($E168="","",IF($M168,IF(AND($G168&gt;=CZ$5,$G168&lt;CZ$5+GanttPeriod),"◆",IF(AND($E168&gt;=CZ$5,$E168&lt;CZ$5+GanttPeriod),"◇","")),IF(AND(CZ$5&lt;=$F168,CZ$5+GanttPeriod-1&gt;=$E168),"━","")))</f>
        <v/>
      </c>
      <c r="DA168" s="69" t="str">
        <f aca="false">IF($E168="","",IF($M168,IF(AND($G168&gt;=DA$5,$G168&lt;DA$5+GanttPeriod),"◆",IF(AND($E168&gt;=DA$5,$E168&lt;DA$5+GanttPeriod),"◇","")),IF(AND(DA$5&lt;=$F168,DA$5+GanttPeriod-1&gt;=$E168),"━","")))</f>
        <v/>
      </c>
      <c r="DB168" s="69" t="str">
        <f aca="false">IF($E168="","",IF($M168,IF(AND($G168&gt;=DB$5,$G168&lt;DB$5+GanttPeriod),"◆",IF(AND($E168&gt;=DB$5,$E168&lt;DB$5+GanttPeriod),"◇","")),IF(AND(DB$5&lt;=$F168,DB$5+GanttPeriod-1&gt;=$E168),"━","")))</f>
        <v/>
      </c>
      <c r="DC168" s="69" t="str">
        <f aca="false">IF($E168="","",IF($M168,IF(AND($G168&gt;=DC$5,$G168&lt;DC$5+GanttPeriod),"◆",IF(AND($E168&gt;=DC$5,$E168&lt;DC$5+GanttPeriod),"◇","")),IF(AND(DC$5&lt;=$F168,DC$5+GanttPeriod-1&gt;=$E168),"━","")))</f>
        <v/>
      </c>
      <c r="DD168" s="69" t="str">
        <f aca="false">IF($E168="","",IF($M168,IF(AND($G168&gt;=DD$5,$G168&lt;DD$5+GanttPeriod),"◆",IF(AND($E168&gt;=DD$5,$E168&lt;DD$5+GanttPeriod),"◇","")),IF(AND(DD$5&lt;=$F168,DD$5+GanttPeriod-1&gt;=$E168),"━","")))</f>
        <v/>
      </c>
      <c r="DE168" s="69" t="str">
        <f aca="false">IF($E168="","",IF($M168,IF(AND($G168&gt;=DE$5,$G168&lt;DE$5+GanttPeriod),"◆",IF(AND($E168&gt;=DE$5,$E168&lt;DE$5+GanttPeriod),"◇","")),IF(AND(DE$5&lt;=$F168,DE$5+GanttPeriod-1&gt;=$E168),"━","")))</f>
        <v/>
      </c>
      <c r="DF168" s="69" t="str">
        <f aca="false">IF($E168="","",IF($M168,IF(AND($G168&gt;=DF$5,$G168&lt;DF$5+GanttPeriod),"◆",IF(AND($E168&gt;=DF$5,$E168&lt;DF$5+GanttPeriod),"◇","")),IF(AND(DF$5&lt;=$F168,DF$5+GanttPeriod-1&gt;=$E168),"━","")))</f>
        <v/>
      </c>
      <c r="DG168" s="69" t="str">
        <f aca="false">IF($E168="","",IF($M168,IF(AND($G168&gt;=DG$5,$G168&lt;DG$5+GanttPeriod),"◆",IF(AND($E168&gt;=DG$5,$E168&lt;DG$5+GanttPeriod),"◇","")),IF(AND(DG$5&lt;=$F168,DG$5+GanttPeriod-1&gt;=$E168),"━","")))</f>
        <v/>
      </c>
      <c r="DH168" s="69" t="str">
        <f aca="false">IF($E168="","",IF($M168,IF(AND($G168&gt;=DH$5,$G168&lt;DH$5+GanttPeriod),"◆",IF(AND($E168&gt;=DH$5,$E168&lt;DH$5+GanttPeriod),"◇","")),IF(AND(DH$5&lt;=$F168,DH$5+GanttPeriod-1&gt;=$E168),"━","")))</f>
        <v/>
      </c>
      <c r="DI168" s="69" t="str">
        <f aca="false">IF($E168="","",IF($M168,IF(AND($G168&gt;=DI$5,$G168&lt;DI$5+GanttPeriod),"◆",IF(AND($E168&gt;=DI$5,$E168&lt;DI$5+GanttPeriod),"◇","")),IF(AND(DI$5&lt;=$F168,DI$5+GanttPeriod-1&gt;=$E168),"━","")))</f>
        <v/>
      </c>
      <c r="DJ168" s="69" t="str">
        <f aca="false">IF($E168="","",IF($M168,IF(AND($G168&gt;=DJ$5,$G168&lt;DJ$5+GanttPeriod),"◆",IF(AND($E168&gt;=DJ$5,$E168&lt;DJ$5+GanttPeriod),"◇","")),IF(AND(DJ$5&lt;=$F168,DJ$5+GanttPeriod-1&gt;=$E168),"━","")))</f>
        <v/>
      </c>
      <c r="DK168" s="69" t="str">
        <f aca="false">IF($E168="","",IF($M168,IF(AND($G168&gt;=DK$5,$G168&lt;DK$5+GanttPeriod),"◆",IF(AND($E168&gt;=DK$5,$E168&lt;DK$5+GanttPeriod),"◇","")),IF(AND(DK$5&lt;=$F168,DK$5+GanttPeriod-1&gt;=$E168),"━","")))</f>
        <v/>
      </c>
      <c r="DL168" s="69" t="str">
        <f aca="false">IF($E168="","",IF($M168,IF(AND($G168&gt;=DL$5,$G168&lt;DL$5+GanttPeriod),"◆",IF(AND($E168&gt;=DL$5,$E168&lt;DL$5+GanttPeriod),"◇","")),IF(AND(DL$5&lt;=$F168,DL$5+GanttPeriod-1&gt;=$E168),"━","")))</f>
        <v/>
      </c>
      <c r="DM168" s="69" t="str">
        <f aca="false">IF($E168="","",IF($M168,IF(AND($G168&gt;=DM$5,$G168&lt;DM$5+GanttPeriod),"◆",IF(AND($E168&gt;=DM$5,$E168&lt;DM$5+GanttPeriod),"◇","")),IF(AND(DM$5&lt;=$F168,DM$5+GanttPeriod-1&gt;=$E168),"━","")))</f>
        <v/>
      </c>
      <c r="DN168" s="69" t="str">
        <f aca="false">IF($E168="","",IF($M168,IF(AND($G168&gt;=DN$5,$G168&lt;DN$5+GanttPeriod),"◆",IF(AND($E168&gt;=DN$5,$E168&lt;DN$5+GanttPeriod),"◇","")),IF(AND(DN$5&lt;=$F168,DN$5+GanttPeriod-1&gt;=$E168),"━","")))</f>
        <v/>
      </c>
      <c r="DO168" s="69" t="str">
        <f aca="false">IF($E168="","",IF($M168,IF(AND($G168&gt;=DO$5,$G168&lt;DO$5+GanttPeriod),"◆",IF(AND($E168&gt;=DO$5,$E168&lt;DO$5+GanttPeriod),"◇","")),IF(AND(DO$5&lt;=$F168,DO$5+GanttPeriod-1&gt;=$E168),"━","")))</f>
        <v/>
      </c>
      <c r="DP168" s="69" t="str">
        <f aca="false">IF($E168="","",IF($M168,IF(AND($G168&gt;=DP$5,$G168&lt;DP$5+GanttPeriod),"◆",IF(AND($E168&gt;=DP$5,$E168&lt;DP$5+GanttPeriod),"◇","")),IF(AND(DP$5&lt;=$F168,DP$5+GanttPeriod-1&gt;=$E168),"━","")))</f>
        <v/>
      </c>
      <c r="DQ168" s="69" t="str">
        <f aca="false">IF($E168="","",IF($M168,IF(AND($G168&gt;=DQ$5,$G168&lt;DQ$5+GanttPeriod),"◆",IF(AND($E168&gt;=DQ$5,$E168&lt;DQ$5+GanttPeriod),"◇","")),IF(AND(DQ$5&lt;=$F168,DQ$5+GanttPeriod-1&gt;=$E168),"━","")))</f>
        <v/>
      </c>
      <c r="DR168" s="69" t="str">
        <f aca="false">IF($E168="","",IF($M168,IF(AND($G168&gt;=DR$5,$G168&lt;DR$5+GanttPeriod),"◆",IF(AND($E168&gt;=DR$5,$E168&lt;DR$5+GanttPeriod),"◇","")),IF(AND(DR$5&lt;=$F168,DR$5+GanttPeriod-1&gt;=$E168),"━","")))</f>
        <v/>
      </c>
      <c r="DS168" s="69" t="str">
        <f aca="false">IF($E168="","",IF($M168,IF(AND($G168&gt;=DS$5,$G168&lt;DS$5+GanttPeriod),"◆",IF(AND($E168&gt;=DS$5,$E168&lt;DS$5+GanttPeriod),"◇","")),IF(AND(DS$5&lt;=$F168,DS$5+GanttPeriod-1&gt;=$E168),"━","")))</f>
        <v/>
      </c>
      <c r="DT168" s="69" t="str">
        <f aca="false">IF($E168="","",IF($M168,IF(AND($G168&gt;=DT$5,$G168&lt;DT$5+GanttPeriod),"◆",IF(AND($E168&gt;=DT$5,$E168&lt;DT$5+GanttPeriod),"◇","")),IF(AND(DT$5&lt;=$F168,DT$5+GanttPeriod-1&gt;=$E168),"━","")))</f>
        <v/>
      </c>
      <c r="DU168" s="69" t="str">
        <f aca="false">IF($E168="","",IF($M168,IF(AND($G168&gt;=DU$5,$G168&lt;DU$5+GanttPeriod),"◆",IF(AND($E168&gt;=DU$5,$E168&lt;DU$5+GanttPeriod),"◇","")),IF(AND(DU$5&lt;=$F168,DU$5+GanttPeriod-1&gt;=$E168),"━","")))</f>
        <v/>
      </c>
      <c r="DV168" s="69" t="str">
        <f aca="false">IF($E168="","",IF($M168,IF(AND($G168&gt;=DV$5,$G168&lt;DV$5+GanttPeriod),"◆",IF(AND($E168&gt;=DV$5,$E168&lt;DV$5+GanttPeriod),"◇","")),IF(AND(DV$5&lt;=$F168,DV$5+GanttPeriod-1&gt;=$E168),"━","")))</f>
        <v/>
      </c>
      <c r="DW168" s="69" t="str">
        <f aca="false">IF($E168="","",IF($M168,IF(AND($G168&gt;=DW$5,$G168&lt;DW$5+GanttPeriod),"◆",IF(AND($E168&gt;=DW$5,$E168&lt;DW$5+GanttPeriod),"◇","")),IF(AND(DW$5&lt;=$F168,DW$5+GanttPeriod-1&gt;=$E168),"━","")))</f>
        <v/>
      </c>
      <c r="DX168" s="69" t="str">
        <f aca="false">IF($E168="","",IF($M168,IF(AND($G168&gt;=DX$5,$G168&lt;DX$5+GanttPeriod),"◆",IF(AND($E168&gt;=DX$5,$E168&lt;DX$5+GanttPeriod),"◇","")),IF(AND(DX$5&lt;=$F168,DX$5+GanttPeriod-1&gt;=$E168),"━","")))</f>
        <v/>
      </c>
      <c r="DY168" s="69" t="str">
        <f aca="false">IF($E168="","",IF($M168,IF(AND($G168&gt;=DY$5,$G168&lt;DY$5+GanttPeriod),"◆",IF(AND($E168&gt;=DY$5,$E168&lt;DY$5+GanttPeriod),"◇","")),IF(AND(DY$5&lt;=$F168,DY$5+GanttPeriod-1&gt;=$E168),"━","")))</f>
        <v/>
      </c>
      <c r="DZ168" s="69" t="str">
        <f aca="false">IF($E168="","",IF($M168,IF(AND($G168&gt;=DZ$5,$G168&lt;DZ$5+GanttPeriod),"◆",IF(AND($E168&gt;=DZ$5,$E168&lt;DZ$5+GanttPeriod),"◇","")),IF(AND(DZ$5&lt;=$F168,DZ$5+GanttPeriod-1&gt;=$E168),"━","")))</f>
        <v/>
      </c>
      <c r="EA168" s="69" t="str">
        <f aca="false">IF($E168="","",IF($M168,IF(AND($G168&gt;=EA$5,$G168&lt;EA$5+GanttPeriod),"◆",IF(AND($E168&gt;=EA$5,$E168&lt;EA$5+GanttPeriod),"◇","")),IF(AND(EA$5&lt;=$F168,EA$5+GanttPeriod-1&gt;=$E168),"━","")))</f>
        <v/>
      </c>
      <c r="EB168" s="69" t="str">
        <f aca="false">IF($E168="","",IF($M168,IF(AND($G168&gt;=EB$5,$G168&lt;EB$5+GanttPeriod),"◆",IF(AND($E168&gt;=EB$5,$E168&lt;EB$5+GanttPeriod),"◇","")),IF(AND(EB$5&lt;=$F168,EB$5+GanttPeriod-1&gt;=$E168),"━","")))</f>
        <v/>
      </c>
      <c r="EC168" s="69" t="str">
        <f aca="false">IF($E168="","",IF($M168,IF(AND($G168&gt;=EC$5,$G168&lt;EC$5+GanttPeriod),"◆",IF(AND($E168&gt;=EC$5,$E168&lt;EC$5+GanttPeriod),"◇","")),IF(AND(EC$5&lt;=$F168,EC$5+GanttPeriod-1&gt;=$E168),"━","")))</f>
        <v/>
      </c>
      <c r="ED168" s="69" t="str">
        <f aca="false">IF($E168="","",IF($M168,IF(AND($G168&gt;=ED$5,$G168&lt;ED$5+GanttPeriod),"◆",IF(AND($E168&gt;=ED$5,$E168&lt;ED$5+GanttPeriod),"◇","")),IF(AND(ED$5&lt;=$F168,ED$5+GanttPeriod-1&gt;=$E168),"━","")))</f>
        <v/>
      </c>
      <c r="EE168" s="69" t="str">
        <f aca="false">IF($E168="","",IF($M168,IF(AND($G168&gt;=EE$5,$G168&lt;EE$5+GanttPeriod),"◆",IF(AND($E168&gt;=EE$5,$E168&lt;EE$5+GanttPeriod),"◇","")),IF(AND(EE$5&lt;=$F168,EE$5+GanttPeriod-1&gt;=$E168),"━","")))</f>
        <v/>
      </c>
      <c r="EF168" s="69" t="str">
        <f aca="false">IF($E168="","",IF($M168,IF(AND($G168&gt;=EF$5,$G168&lt;EF$5+GanttPeriod),"◆",IF(AND($E168&gt;=EF$5,$E168&lt;EF$5+GanttPeriod),"◇","")),IF(AND(EF$5&lt;=$F168,EF$5+GanttPeriod-1&gt;=$E168),"━","")))</f>
        <v/>
      </c>
      <c r="EG168" s="69" t="str">
        <f aca="false">IF($E168="","",IF($M168,IF(AND($G168&gt;=EG$5,$G168&lt;EG$5+GanttPeriod),"◆",IF(AND($E168&gt;=EG$5,$E168&lt;EG$5+GanttPeriod),"◇","")),IF(AND(EG$5&lt;=$F168,EG$5+GanttPeriod-1&gt;=$E168),"━","")))</f>
        <v/>
      </c>
      <c r="EH168" s="69" t="str">
        <f aca="false">IF($E168="","",IF($M168,IF(AND($G168&gt;=EH$5,$G168&lt;EH$5+GanttPeriod),"◆",IF(AND($E168&gt;=EH$5,$E168&lt;EH$5+GanttPeriod),"◇","")),IF(AND(EH$5&lt;=$F168,EH$5+GanttPeriod-1&gt;=$E168),"━","")))</f>
        <v/>
      </c>
      <c r="EI168" s="69" t="str">
        <f aca="false">IF($E168="","",IF($M168,IF(AND($G168&gt;=EI$5,$G168&lt;EI$5+GanttPeriod),"◆",IF(AND($E168&gt;=EI$5,$E168&lt;EI$5+GanttPeriod),"◇","")),IF(AND(EI$5&lt;=$F168,EI$5+GanttPeriod-1&gt;=$E168),"━","")))</f>
        <v/>
      </c>
      <c r="EJ168" s="69" t="str">
        <f aca="false">IF($E168="","",IF($M168,IF(AND($G168&gt;=EJ$5,$G168&lt;EJ$5+GanttPeriod),"◆",IF(AND($E168&gt;=EJ$5,$E168&lt;EJ$5+GanttPeriod),"◇","")),IF(AND(EJ$5&lt;=$F168,EJ$5+GanttPeriod-1&gt;=$E168),"━","")))</f>
        <v/>
      </c>
      <c r="EK168" s="69" t="str">
        <f aca="false">IF($E168="","",IF($M168,IF(AND($G168&gt;=EK$5,$G168&lt;EK$5+GanttPeriod),"◆",IF(AND($E168&gt;=EK$5,$E168&lt;EK$5+GanttPeriod),"◇","")),IF(AND(EK$5&lt;=$F168,EK$5+GanttPeriod-1&gt;=$E168),"━","")))</f>
        <v/>
      </c>
      <c r="EL168" s="69" t="str">
        <f aca="false">IF($E168="","",IF($M168,IF(AND($G168&gt;=EL$5,$G168&lt;EL$5+GanttPeriod),"◆",IF(AND($E168&gt;=EL$5,$E168&lt;EL$5+GanttPeriod),"◇","")),IF(AND(EL$5&lt;=$F168,EL$5+GanttPeriod-1&gt;=$E168),"━","")))</f>
        <v/>
      </c>
      <c r="EM168" s="69" t="str">
        <f aca="false">IF($E168="","",IF($M168,IF(AND($G168&gt;=EM$5,$G168&lt;EM$5+GanttPeriod),"◆",IF(AND($E168&gt;=EM$5,$E168&lt;EM$5+GanttPeriod),"◇","")),IF(AND(EM$5&lt;=$F168,EM$5+GanttPeriod-1&gt;=$E168),"━","")))</f>
        <v/>
      </c>
      <c r="EN168" s="69" t="str">
        <f aca="false">IF($E168="","",IF($M168,IF(AND($G168&gt;=EN$5,$G168&lt;EN$5+GanttPeriod),"◆",IF(AND($E168&gt;=EN$5,$E168&lt;EN$5+GanttPeriod),"◇","")),IF(AND(EN$5&lt;=$F168,EN$5+GanttPeriod-1&gt;=$E168),"━","")))</f>
        <v/>
      </c>
      <c r="EO168" s="69" t="str">
        <f aca="false">IF($E168="","",IF($M168,IF(AND($G168&gt;=EO$5,$G168&lt;EO$5+GanttPeriod),"◆",IF(AND($E168&gt;=EO$5,$E168&lt;EO$5+GanttPeriod),"◇","")),IF(AND(EO$5&lt;=$F168,EO$5+GanttPeriod-1&gt;=$E168),"━","")))</f>
        <v/>
      </c>
      <c r="EP168" s="69" t="str">
        <f aca="false">IF($E168="","",IF($M168,IF(AND($G168&gt;=EP$5,$G168&lt;EP$5+GanttPeriod),"◆",IF(AND($E168&gt;=EP$5,$E168&lt;EP$5+GanttPeriod),"◇","")),IF(AND(EP$5&lt;=$F168,EP$5+GanttPeriod-1&gt;=$E168),"━","")))</f>
        <v/>
      </c>
      <c r="EQ168" s="69" t="str">
        <f aca="false">IF($E168="","",IF($M168,IF(AND($G168&gt;=EQ$5,$G168&lt;EQ$5+GanttPeriod),"◆",IF(AND($E168&gt;=EQ$5,$E168&lt;EQ$5+GanttPeriod),"◇","")),IF(AND(EQ$5&lt;=$F168,EQ$5+GanttPeriod-1&gt;=$E168),"━","")))</f>
        <v/>
      </c>
      <c r="ER168" s="69" t="str">
        <f aca="false">IF($E168="","",IF($M168,IF(AND($G168&gt;=ER$5,$G168&lt;ER$5+GanttPeriod),"◆",IF(AND($E168&gt;=ER$5,$E168&lt;ER$5+GanttPeriod),"◇","")),IF(AND(ER$5&lt;=$F168,ER$5+GanttPeriod-1&gt;=$E168),"━","")))</f>
        <v/>
      </c>
      <c r="ES168" s="69" t="str">
        <f aca="false">IF($E168="","",IF($M168,IF(AND($G168&gt;=ES$5,$G168&lt;ES$5+GanttPeriod),"◆",IF(AND($E168&gt;=ES$5,$E168&lt;ES$5+GanttPeriod),"◇","")),IF(AND(ES$5&lt;=$F168,ES$5+GanttPeriod-1&gt;=$E168),"━","")))</f>
        <v/>
      </c>
      <c r="ET168" s="69" t="str">
        <f aca="false">IF($E168="","",IF($M168,IF(AND($G168&gt;=ET$5,$G168&lt;ET$5+GanttPeriod),"◆",IF(AND($E168&gt;=ET$5,$E168&lt;ET$5+GanttPeriod),"◇","")),IF(AND(ET$5&lt;=$F168,ET$5+GanttPeriod-1&gt;=$E168),"━","")))</f>
        <v/>
      </c>
      <c r="EU168" s="69" t="str">
        <f aca="false">IF($E168="","",IF($M168,IF(AND($G168&gt;=EU$5,$G168&lt;EU$5+GanttPeriod),"◆",IF(AND($E168&gt;=EU$5,$E168&lt;EU$5+GanttPeriod),"◇","")),IF(AND(EU$5&lt;=$F168,EU$5+GanttPeriod-1&gt;=$E168),"━","")))</f>
        <v/>
      </c>
      <c r="EV168" s="69" t="str">
        <f aca="false">IF($E168="","",IF($M168,IF(AND($G168&gt;=EV$5,$G168&lt;EV$5+GanttPeriod),"◆",IF(AND($E168&gt;=EV$5,$E168&lt;EV$5+GanttPeriod),"◇","")),IF(AND(EV$5&lt;=$F168,EV$5+GanttPeriod-1&gt;=$E168),"━","")))</f>
        <v/>
      </c>
      <c r="EW168" s="69" t="str">
        <f aca="false">IF($E168="","",IF($M168,IF(AND($G168&gt;=EW$5,$G168&lt;EW$5+GanttPeriod),"◆",IF(AND($E168&gt;=EW$5,$E168&lt;EW$5+GanttPeriod),"◇","")),IF(AND(EW$5&lt;=$F168,EW$5+GanttPeriod-1&gt;=$E168),"━","")))</f>
        <v/>
      </c>
      <c r="EX168" s="69" t="str">
        <f aca="false">IF($E168="","",IF($M168,IF(AND($G168&gt;=EX$5,$G168&lt;EX$5+GanttPeriod),"◆",IF(AND($E168&gt;=EX$5,$E168&lt;EX$5+GanttPeriod),"◇","")),IF(AND(EX$5&lt;=$F168,EX$5+GanttPeriod-1&gt;=$E168),"━","")))</f>
        <v/>
      </c>
      <c r="EY168" s="69" t="str">
        <f aca="false">IF($E168="","",IF($M168,IF(AND($G168&gt;=EY$5,$G168&lt;EY$5+GanttPeriod),"◆",IF(AND($E168&gt;=EY$5,$E168&lt;EY$5+GanttPeriod),"◇","")),IF(AND(EY$5&lt;=$F168,EY$5+GanttPeriod-1&gt;=$E168),"━","")))</f>
        <v/>
      </c>
      <c r="EZ168" s="69" t="str">
        <f aca="false">IF($E168="","",IF($M168,IF(AND($G168&gt;=EZ$5,$G168&lt;EZ$5+GanttPeriod),"◆",IF(AND($E168&gt;=EZ$5,$E168&lt;EZ$5+GanttPeriod),"◇","")),IF(AND(EZ$5&lt;=$F168,EZ$5+GanttPeriod-1&gt;=$E168),"━","")))</f>
        <v/>
      </c>
      <c r="FA168" s="69" t="str">
        <f aca="false">IF($E168="","",IF($M168,IF(AND($G168&gt;=FA$5,$G168&lt;FA$5+GanttPeriod),"◆",IF(AND($E168&gt;=FA$5,$E168&lt;FA$5+GanttPeriod),"◇","")),IF(AND(FA$5&lt;=$F168,FA$5+GanttPeriod-1&gt;=$E168),"━","")))</f>
        <v/>
      </c>
      <c r="FB168" s="69" t="str">
        <f aca="false">IF($E168="","",IF($M168,IF(AND($G168&gt;=FB$5,$G168&lt;FB$5+GanttPeriod),"◆",IF(AND($E168&gt;=FB$5,$E168&lt;FB$5+GanttPeriod),"◇","")),IF(AND(FB$5&lt;=$F168,FB$5+GanttPeriod-1&gt;=$E168),"━","")))</f>
        <v/>
      </c>
      <c r="FC168" s="69" t="str">
        <f aca="false">IF($E168="","",IF($M168,IF(AND($G168&gt;=FC$5,$G168&lt;FC$5+GanttPeriod),"◆",IF(AND($E168&gt;=FC$5,$E168&lt;FC$5+GanttPeriod),"◇","")),IF(AND(FC$5&lt;=$F168,FC$5+GanttPeriod-1&gt;=$E168),"━","")))</f>
        <v/>
      </c>
      <c r="FD168" s="69" t="str">
        <f aca="false">IF($E168="","",IF($M168,IF(AND($G168&gt;=FD$5,$G168&lt;FD$5+GanttPeriod),"◆",IF(AND($E168&gt;=FD$5,$E168&lt;FD$5+GanttPeriod),"◇","")),IF(AND(FD$5&lt;=$F168,FD$5+GanttPeriod-1&gt;=$E168),"━","")))</f>
        <v/>
      </c>
      <c r="FE168" s="69" t="str">
        <f aca="false">IF($E168="","",IF($M168,IF(AND($G168&gt;=FE$5,$G168&lt;FE$5+GanttPeriod),"◆",IF(AND($E168&gt;=FE$5,$E168&lt;FE$5+GanttPeriod),"◇","")),IF(AND(FE$5&lt;=$F168,FE$5+GanttPeriod-1&gt;=$E168),"━","")))</f>
        <v/>
      </c>
      <c r="FF168" s="69" t="str">
        <f aca="false">IF($E168="","",IF($M168,IF(AND($G168&gt;=FF$5,$G168&lt;FF$5+GanttPeriod),"◆",IF(AND($E168&gt;=FF$5,$E168&lt;FF$5+GanttPeriod),"◇","")),IF(AND(FF$5&lt;=$F168,FF$5+GanttPeriod-1&gt;=$E168),"━","")))</f>
        <v/>
      </c>
      <c r="FG168" s="69" t="str">
        <f aca="false">IF($E168="","",IF($M168,IF(AND($G168&gt;=FG$5,$G168&lt;FG$5+GanttPeriod),"◆",IF(AND($E168&gt;=FG$5,$E168&lt;FG$5+GanttPeriod),"◇","")),IF(AND(FG$5&lt;=$F168,FG$5+GanttPeriod-1&gt;=$E168),"━","")))</f>
        <v/>
      </c>
      <c r="FH168" s="69" t="str">
        <f aca="false">IF($E168="","",IF($M168,IF(AND($G168&gt;=FH$5,$G168&lt;FH$5+GanttPeriod),"◆",IF(AND($E168&gt;=FH$5,$E168&lt;FH$5+GanttPeriod),"◇","")),IF(AND(FH$5&lt;=$F168,FH$5+GanttPeriod-1&gt;=$E168),"━","")))</f>
        <v/>
      </c>
      <c r="FI168" s="69" t="str">
        <f aca="false">IF($E168="","",IF($M168,IF(AND($G168&gt;=FI$5,$G168&lt;FI$5+GanttPeriod),"◆",IF(AND($E168&gt;=FI$5,$E168&lt;FI$5+GanttPeriod),"◇","")),IF(AND(FI$5&lt;=$F168,FI$5+GanttPeriod-1&gt;=$E168),"━","")))</f>
        <v/>
      </c>
      <c r="FJ168" s="69" t="str">
        <f aca="false">IF($E168="","",IF($M168,IF(AND($G168&gt;=FJ$5,$G168&lt;FJ$5+GanttPeriod),"◆",IF(AND($E168&gt;=FJ$5,$E168&lt;FJ$5+GanttPeriod),"◇","")),IF(AND(FJ$5&lt;=$F168,FJ$5+GanttPeriod-1&gt;=$E168),"━","")))</f>
        <v/>
      </c>
      <c r="FK168" s="69" t="str">
        <f aca="false">IF($E168="","",IF($M168,IF(AND($G168&gt;=FK$5,$G168&lt;FK$5+GanttPeriod),"◆",IF(AND($E168&gt;=FK$5,$E168&lt;FK$5+GanttPeriod),"◇","")),IF(AND(FK$5&lt;=$F168,FK$5+GanttPeriod-1&gt;=$E168),"━","")))</f>
        <v/>
      </c>
      <c r="FL168" s="69" t="str">
        <f aca="false">IF($E168="","",IF($M168,IF(AND($G168&gt;=FL$5,$G168&lt;FL$5+GanttPeriod),"◆",IF(AND($E168&gt;=FL$5,$E168&lt;FL$5+GanttPeriod),"◇","")),IF(AND(FL$5&lt;=$F168,FL$5+GanttPeriod-1&gt;=$E168),"━","")))</f>
        <v/>
      </c>
      <c r="FM168" s="69" t="str">
        <f aca="false">IF($E168="","",IF($M168,IF(AND($G168&gt;=FM$5,$G168&lt;FM$5+GanttPeriod),"◆",IF(AND($E168&gt;=FM$5,$E168&lt;FM$5+GanttPeriod),"◇","")),IF(AND(FM$5&lt;=$F168,FM$5+GanttPeriod-1&gt;=$E168),"━","")))</f>
        <v/>
      </c>
    </row>
    <row r="169" customFormat="false" ht="15" hidden="false" customHeight="false" outlineLevel="0" collapsed="false">
      <c r="A169" s="62" t="str">
        <f aca="false">IF(Tasks!$D169="","",Tasks!$A169)</f>
        <v/>
      </c>
      <c r="B169" s="62" t="str">
        <f aca="false">IF(Tasks!$D169="","",Tasks!$B169)</f>
        <v/>
      </c>
      <c r="C169" s="63" t="str">
        <f aca="false">IF(Tasks!$D169="","",REPT("    ",Tasks!$AE169-1)&amp;Tasks!$D169)</f>
        <v/>
      </c>
      <c r="D169" s="62" t="str">
        <f aca="false">IF(Tasks!$D169="","",IF(Tasks!$AI169,NETWORKDAYS.INTL(Tasks!$R169,Tasks!$S169,WorkWeek,Holidays),N(Tasks!$F169)))</f>
        <v/>
      </c>
      <c r="E169" s="64" t="str">
        <f aca="false">IF(Tasks!$D169="","",Tasks!$N169)</f>
        <v/>
      </c>
      <c r="F169" s="64" t="str">
        <f aca="false">IF(Tasks!$D169="","",Tasks!$O169)</f>
        <v/>
      </c>
      <c r="G169" s="64" t="str">
        <f aca="false">IF(Tasks!$D169="","",Tasks!$R169)</f>
        <v/>
      </c>
      <c r="H169" s="64" t="str">
        <f aca="false">IF(Tasks!$D169="","",Tasks!$S169)</f>
        <v/>
      </c>
      <c r="I169" s="65" t="str">
        <f aca="false">IF(Tasks!$D169="","",Tasks!$V169)</f>
        <v/>
      </c>
      <c r="J169" s="63" t="str">
        <f aca="false">IF(Tasks!$D169="","",Tasks!$X169&amp;"")</f>
        <v/>
      </c>
      <c r="K169" s="66" t="str">
        <f aca="false">IF(Tasks!$D169="","",Tasks!$W169)</f>
        <v/>
      </c>
      <c r="L169" s="67" t="b">
        <f aca="false">IF(Tasks!$D169="",FALSE(),Tasks!$AI169)</f>
        <v>0</v>
      </c>
      <c r="M169" s="67" t="b">
        <f aca="false">AND(Tasks!$AJ169=1,N(Tasks!$F169)=0)</f>
        <v>0</v>
      </c>
      <c r="N169" s="68" t="n">
        <f aca="false">IF(AND(Tasks!$AJ169=1,NOT($M169),N($I169)&gt;0),$G169,0)</f>
        <v>0</v>
      </c>
      <c r="O169" s="68" t="n">
        <f aca="false">IF($N169=0,0,IF($I169&gt;=1,$H169,MAX($N169,$G169+ROUND(($H169-$G169+1)*$I169,0)-1)))</f>
        <v>0</v>
      </c>
      <c r="P169" s="68" t="n">
        <f aca="false">IF(OR(Tasks!$AJ169&lt;&gt;1,$M169,N($I169)&gt;=1),0,IF($O169&gt;0,$O169+1,$G169))</f>
        <v>0</v>
      </c>
      <c r="Q169" s="68" t="n">
        <f aca="false">IF($P169=0,0,$H169)</f>
        <v>0</v>
      </c>
      <c r="R169" s="67" t="b">
        <f aca="false">AND(Tasks!$D169&lt;&gt;"",N(Tasks!$T169)&gt;0)</f>
        <v>0</v>
      </c>
      <c r="T169" s="69" t="str">
        <f aca="false">IF($E169="","",IF($M169,IF(AND($G169&gt;=T$5,$G169&lt;T$5+GanttPeriod),"◆",IF(AND($E169&gt;=T$5,$E169&lt;T$5+GanttPeriod),"◇","")),IF(AND(T$5&lt;=$F169,T$5+GanttPeriod-1&gt;=$E169),"━","")))</f>
        <v/>
      </c>
      <c r="U169" s="69" t="str">
        <f aca="false">IF($E169="","",IF($M169,IF(AND($G169&gt;=U$5,$G169&lt;U$5+GanttPeriod),"◆",IF(AND($E169&gt;=U$5,$E169&lt;U$5+GanttPeriod),"◇","")),IF(AND(U$5&lt;=$F169,U$5+GanttPeriod-1&gt;=$E169),"━","")))</f>
        <v/>
      </c>
      <c r="V169" s="69" t="str">
        <f aca="false">IF($E169="","",IF($M169,IF(AND($G169&gt;=V$5,$G169&lt;V$5+GanttPeriod),"◆",IF(AND($E169&gt;=V$5,$E169&lt;V$5+GanttPeriod),"◇","")),IF(AND(V$5&lt;=$F169,V$5+GanttPeriod-1&gt;=$E169),"━","")))</f>
        <v/>
      </c>
      <c r="W169" s="69" t="str">
        <f aca="false">IF($E169="","",IF($M169,IF(AND($G169&gt;=W$5,$G169&lt;W$5+GanttPeriod),"◆",IF(AND($E169&gt;=W$5,$E169&lt;W$5+GanttPeriod),"◇","")),IF(AND(W$5&lt;=$F169,W$5+GanttPeriod-1&gt;=$E169),"━","")))</f>
        <v/>
      </c>
      <c r="X169" s="69" t="str">
        <f aca="false">IF($E169="","",IF($M169,IF(AND($G169&gt;=X$5,$G169&lt;X$5+GanttPeriod),"◆",IF(AND($E169&gt;=X$5,$E169&lt;X$5+GanttPeriod),"◇","")),IF(AND(X$5&lt;=$F169,X$5+GanttPeriod-1&gt;=$E169),"━","")))</f>
        <v/>
      </c>
      <c r="Y169" s="69" t="str">
        <f aca="false">IF($E169="","",IF($M169,IF(AND($G169&gt;=Y$5,$G169&lt;Y$5+GanttPeriod),"◆",IF(AND($E169&gt;=Y$5,$E169&lt;Y$5+GanttPeriod),"◇","")),IF(AND(Y$5&lt;=$F169,Y$5+GanttPeriod-1&gt;=$E169),"━","")))</f>
        <v/>
      </c>
      <c r="Z169" s="69" t="str">
        <f aca="false">IF($E169="","",IF($M169,IF(AND($G169&gt;=Z$5,$G169&lt;Z$5+GanttPeriod),"◆",IF(AND($E169&gt;=Z$5,$E169&lt;Z$5+GanttPeriod),"◇","")),IF(AND(Z$5&lt;=$F169,Z$5+GanttPeriod-1&gt;=$E169),"━","")))</f>
        <v/>
      </c>
      <c r="AA169" s="69" t="str">
        <f aca="false">IF($E169="","",IF($M169,IF(AND($G169&gt;=AA$5,$G169&lt;AA$5+GanttPeriod),"◆",IF(AND($E169&gt;=AA$5,$E169&lt;AA$5+GanttPeriod),"◇","")),IF(AND(AA$5&lt;=$F169,AA$5+GanttPeriod-1&gt;=$E169),"━","")))</f>
        <v/>
      </c>
      <c r="AB169" s="69" t="str">
        <f aca="false">IF($E169="","",IF($M169,IF(AND($G169&gt;=AB$5,$G169&lt;AB$5+GanttPeriod),"◆",IF(AND($E169&gt;=AB$5,$E169&lt;AB$5+GanttPeriod),"◇","")),IF(AND(AB$5&lt;=$F169,AB$5+GanttPeriod-1&gt;=$E169),"━","")))</f>
        <v/>
      </c>
      <c r="AC169" s="69" t="str">
        <f aca="false">IF($E169="","",IF($M169,IF(AND($G169&gt;=AC$5,$G169&lt;AC$5+GanttPeriod),"◆",IF(AND($E169&gt;=AC$5,$E169&lt;AC$5+GanttPeriod),"◇","")),IF(AND(AC$5&lt;=$F169,AC$5+GanttPeriod-1&gt;=$E169),"━","")))</f>
        <v/>
      </c>
      <c r="AD169" s="69" t="str">
        <f aca="false">IF($E169="","",IF($M169,IF(AND($G169&gt;=AD$5,$G169&lt;AD$5+GanttPeriod),"◆",IF(AND($E169&gt;=AD$5,$E169&lt;AD$5+GanttPeriod),"◇","")),IF(AND(AD$5&lt;=$F169,AD$5+GanttPeriod-1&gt;=$E169),"━","")))</f>
        <v/>
      </c>
      <c r="AE169" s="69" t="str">
        <f aca="false">IF($E169="","",IF($M169,IF(AND($G169&gt;=AE$5,$G169&lt;AE$5+GanttPeriod),"◆",IF(AND($E169&gt;=AE$5,$E169&lt;AE$5+GanttPeriod),"◇","")),IF(AND(AE$5&lt;=$F169,AE$5+GanttPeriod-1&gt;=$E169),"━","")))</f>
        <v/>
      </c>
      <c r="AF169" s="69" t="str">
        <f aca="false">IF($E169="","",IF($M169,IF(AND($G169&gt;=AF$5,$G169&lt;AF$5+GanttPeriod),"◆",IF(AND($E169&gt;=AF$5,$E169&lt;AF$5+GanttPeriod),"◇","")),IF(AND(AF$5&lt;=$F169,AF$5+GanttPeriod-1&gt;=$E169),"━","")))</f>
        <v/>
      </c>
      <c r="AG169" s="69" t="str">
        <f aca="false">IF($E169="","",IF($M169,IF(AND($G169&gt;=AG$5,$G169&lt;AG$5+GanttPeriod),"◆",IF(AND($E169&gt;=AG$5,$E169&lt;AG$5+GanttPeriod),"◇","")),IF(AND(AG$5&lt;=$F169,AG$5+GanttPeriod-1&gt;=$E169),"━","")))</f>
        <v/>
      </c>
      <c r="AH169" s="69" t="str">
        <f aca="false">IF($E169="","",IF($M169,IF(AND($G169&gt;=AH$5,$G169&lt;AH$5+GanttPeriod),"◆",IF(AND($E169&gt;=AH$5,$E169&lt;AH$5+GanttPeriod),"◇","")),IF(AND(AH$5&lt;=$F169,AH$5+GanttPeriod-1&gt;=$E169),"━","")))</f>
        <v/>
      </c>
      <c r="AI169" s="69" t="str">
        <f aca="false">IF($E169="","",IF($M169,IF(AND($G169&gt;=AI$5,$G169&lt;AI$5+GanttPeriod),"◆",IF(AND($E169&gt;=AI$5,$E169&lt;AI$5+GanttPeriod),"◇","")),IF(AND(AI$5&lt;=$F169,AI$5+GanttPeriod-1&gt;=$E169),"━","")))</f>
        <v/>
      </c>
      <c r="AJ169" s="69" t="str">
        <f aca="false">IF($E169="","",IF($M169,IF(AND($G169&gt;=AJ$5,$G169&lt;AJ$5+GanttPeriod),"◆",IF(AND($E169&gt;=AJ$5,$E169&lt;AJ$5+GanttPeriod),"◇","")),IF(AND(AJ$5&lt;=$F169,AJ$5+GanttPeriod-1&gt;=$E169),"━","")))</f>
        <v/>
      </c>
      <c r="AK169" s="69" t="str">
        <f aca="false">IF($E169="","",IF($M169,IF(AND($G169&gt;=AK$5,$G169&lt;AK$5+GanttPeriod),"◆",IF(AND($E169&gt;=AK$5,$E169&lt;AK$5+GanttPeriod),"◇","")),IF(AND(AK$5&lt;=$F169,AK$5+GanttPeriod-1&gt;=$E169),"━","")))</f>
        <v/>
      </c>
      <c r="AL169" s="69" t="str">
        <f aca="false">IF($E169="","",IF($M169,IF(AND($G169&gt;=AL$5,$G169&lt;AL$5+GanttPeriod),"◆",IF(AND($E169&gt;=AL$5,$E169&lt;AL$5+GanttPeriod),"◇","")),IF(AND(AL$5&lt;=$F169,AL$5+GanttPeriod-1&gt;=$E169),"━","")))</f>
        <v/>
      </c>
      <c r="AM169" s="69" t="str">
        <f aca="false">IF($E169="","",IF($M169,IF(AND($G169&gt;=AM$5,$G169&lt;AM$5+GanttPeriod),"◆",IF(AND($E169&gt;=AM$5,$E169&lt;AM$5+GanttPeriod),"◇","")),IF(AND(AM$5&lt;=$F169,AM$5+GanttPeriod-1&gt;=$E169),"━","")))</f>
        <v/>
      </c>
      <c r="AN169" s="69" t="str">
        <f aca="false">IF($E169="","",IF($M169,IF(AND($G169&gt;=AN$5,$G169&lt;AN$5+GanttPeriod),"◆",IF(AND($E169&gt;=AN$5,$E169&lt;AN$5+GanttPeriod),"◇","")),IF(AND(AN$5&lt;=$F169,AN$5+GanttPeriod-1&gt;=$E169),"━","")))</f>
        <v/>
      </c>
      <c r="AO169" s="69" t="str">
        <f aca="false">IF($E169="","",IF($M169,IF(AND($G169&gt;=AO$5,$G169&lt;AO$5+GanttPeriod),"◆",IF(AND($E169&gt;=AO$5,$E169&lt;AO$5+GanttPeriod),"◇","")),IF(AND(AO$5&lt;=$F169,AO$5+GanttPeriod-1&gt;=$E169),"━","")))</f>
        <v/>
      </c>
      <c r="AP169" s="69" t="str">
        <f aca="false">IF($E169="","",IF($M169,IF(AND($G169&gt;=AP$5,$G169&lt;AP$5+GanttPeriod),"◆",IF(AND($E169&gt;=AP$5,$E169&lt;AP$5+GanttPeriod),"◇","")),IF(AND(AP$5&lt;=$F169,AP$5+GanttPeriod-1&gt;=$E169),"━","")))</f>
        <v/>
      </c>
      <c r="AQ169" s="69" t="str">
        <f aca="false">IF($E169="","",IF($M169,IF(AND($G169&gt;=AQ$5,$G169&lt;AQ$5+GanttPeriod),"◆",IF(AND($E169&gt;=AQ$5,$E169&lt;AQ$5+GanttPeriod),"◇","")),IF(AND(AQ$5&lt;=$F169,AQ$5+GanttPeriod-1&gt;=$E169),"━","")))</f>
        <v/>
      </c>
      <c r="AR169" s="69" t="str">
        <f aca="false">IF($E169="","",IF($M169,IF(AND($G169&gt;=AR$5,$G169&lt;AR$5+GanttPeriod),"◆",IF(AND($E169&gt;=AR$5,$E169&lt;AR$5+GanttPeriod),"◇","")),IF(AND(AR$5&lt;=$F169,AR$5+GanttPeriod-1&gt;=$E169),"━","")))</f>
        <v/>
      </c>
      <c r="AS169" s="69" t="str">
        <f aca="false">IF($E169="","",IF($M169,IF(AND($G169&gt;=AS$5,$G169&lt;AS$5+GanttPeriod),"◆",IF(AND($E169&gt;=AS$5,$E169&lt;AS$5+GanttPeriod),"◇","")),IF(AND(AS$5&lt;=$F169,AS$5+GanttPeriod-1&gt;=$E169),"━","")))</f>
        <v/>
      </c>
      <c r="AT169" s="69" t="str">
        <f aca="false">IF($E169="","",IF($M169,IF(AND($G169&gt;=AT$5,$G169&lt;AT$5+GanttPeriod),"◆",IF(AND($E169&gt;=AT$5,$E169&lt;AT$5+GanttPeriod),"◇","")),IF(AND(AT$5&lt;=$F169,AT$5+GanttPeriod-1&gt;=$E169),"━","")))</f>
        <v/>
      </c>
      <c r="AU169" s="69" t="str">
        <f aca="false">IF($E169="","",IF($M169,IF(AND($G169&gt;=AU$5,$G169&lt;AU$5+GanttPeriod),"◆",IF(AND($E169&gt;=AU$5,$E169&lt;AU$5+GanttPeriod),"◇","")),IF(AND(AU$5&lt;=$F169,AU$5+GanttPeriod-1&gt;=$E169),"━","")))</f>
        <v/>
      </c>
      <c r="AV169" s="69" t="str">
        <f aca="false">IF($E169="","",IF($M169,IF(AND($G169&gt;=AV$5,$G169&lt;AV$5+GanttPeriod),"◆",IF(AND($E169&gt;=AV$5,$E169&lt;AV$5+GanttPeriod),"◇","")),IF(AND(AV$5&lt;=$F169,AV$5+GanttPeriod-1&gt;=$E169),"━","")))</f>
        <v/>
      </c>
      <c r="AW169" s="69" t="str">
        <f aca="false">IF($E169="","",IF($M169,IF(AND($G169&gt;=AW$5,$G169&lt;AW$5+GanttPeriod),"◆",IF(AND($E169&gt;=AW$5,$E169&lt;AW$5+GanttPeriod),"◇","")),IF(AND(AW$5&lt;=$F169,AW$5+GanttPeriod-1&gt;=$E169),"━","")))</f>
        <v/>
      </c>
      <c r="AX169" s="69" t="str">
        <f aca="false">IF($E169="","",IF($M169,IF(AND($G169&gt;=AX$5,$G169&lt;AX$5+GanttPeriod),"◆",IF(AND($E169&gt;=AX$5,$E169&lt;AX$5+GanttPeriod),"◇","")),IF(AND(AX$5&lt;=$F169,AX$5+GanttPeriod-1&gt;=$E169),"━","")))</f>
        <v/>
      </c>
      <c r="AY169" s="69" t="str">
        <f aca="false">IF($E169="","",IF($M169,IF(AND($G169&gt;=AY$5,$G169&lt;AY$5+GanttPeriod),"◆",IF(AND($E169&gt;=AY$5,$E169&lt;AY$5+GanttPeriod),"◇","")),IF(AND(AY$5&lt;=$F169,AY$5+GanttPeriod-1&gt;=$E169),"━","")))</f>
        <v/>
      </c>
      <c r="AZ169" s="69" t="str">
        <f aca="false">IF($E169="","",IF($M169,IF(AND($G169&gt;=AZ$5,$G169&lt;AZ$5+GanttPeriod),"◆",IF(AND($E169&gt;=AZ$5,$E169&lt;AZ$5+GanttPeriod),"◇","")),IF(AND(AZ$5&lt;=$F169,AZ$5+GanttPeriod-1&gt;=$E169),"━","")))</f>
        <v/>
      </c>
      <c r="BA169" s="69" t="str">
        <f aca="false">IF($E169="","",IF($M169,IF(AND($G169&gt;=BA$5,$G169&lt;BA$5+GanttPeriod),"◆",IF(AND($E169&gt;=BA$5,$E169&lt;BA$5+GanttPeriod),"◇","")),IF(AND(BA$5&lt;=$F169,BA$5+GanttPeriod-1&gt;=$E169),"━","")))</f>
        <v/>
      </c>
      <c r="BB169" s="69" t="str">
        <f aca="false">IF($E169="","",IF($M169,IF(AND($G169&gt;=BB$5,$G169&lt;BB$5+GanttPeriod),"◆",IF(AND($E169&gt;=BB$5,$E169&lt;BB$5+GanttPeriod),"◇","")),IF(AND(BB$5&lt;=$F169,BB$5+GanttPeriod-1&gt;=$E169),"━","")))</f>
        <v/>
      </c>
      <c r="BC169" s="69" t="str">
        <f aca="false">IF($E169="","",IF($M169,IF(AND($G169&gt;=BC$5,$G169&lt;BC$5+GanttPeriod),"◆",IF(AND($E169&gt;=BC$5,$E169&lt;BC$5+GanttPeriod),"◇","")),IF(AND(BC$5&lt;=$F169,BC$5+GanttPeriod-1&gt;=$E169),"━","")))</f>
        <v/>
      </c>
      <c r="BD169" s="69" t="str">
        <f aca="false">IF($E169="","",IF($M169,IF(AND($G169&gt;=BD$5,$G169&lt;BD$5+GanttPeriod),"◆",IF(AND($E169&gt;=BD$5,$E169&lt;BD$5+GanttPeriod),"◇","")),IF(AND(BD$5&lt;=$F169,BD$5+GanttPeriod-1&gt;=$E169),"━","")))</f>
        <v/>
      </c>
      <c r="BE169" s="69" t="str">
        <f aca="false">IF($E169="","",IF($M169,IF(AND($G169&gt;=BE$5,$G169&lt;BE$5+GanttPeriod),"◆",IF(AND($E169&gt;=BE$5,$E169&lt;BE$5+GanttPeriod),"◇","")),IF(AND(BE$5&lt;=$F169,BE$5+GanttPeriod-1&gt;=$E169),"━","")))</f>
        <v/>
      </c>
      <c r="BF169" s="69" t="str">
        <f aca="false">IF($E169="","",IF($M169,IF(AND($G169&gt;=BF$5,$G169&lt;BF$5+GanttPeriod),"◆",IF(AND($E169&gt;=BF$5,$E169&lt;BF$5+GanttPeriod),"◇","")),IF(AND(BF$5&lt;=$F169,BF$5+GanttPeriod-1&gt;=$E169),"━","")))</f>
        <v/>
      </c>
      <c r="BG169" s="69" t="str">
        <f aca="false">IF($E169="","",IF($M169,IF(AND($G169&gt;=BG$5,$G169&lt;BG$5+GanttPeriod),"◆",IF(AND($E169&gt;=BG$5,$E169&lt;BG$5+GanttPeriod),"◇","")),IF(AND(BG$5&lt;=$F169,BG$5+GanttPeriod-1&gt;=$E169),"━","")))</f>
        <v/>
      </c>
      <c r="BH169" s="69" t="str">
        <f aca="false">IF($E169="","",IF($M169,IF(AND($G169&gt;=BH$5,$G169&lt;BH$5+GanttPeriod),"◆",IF(AND($E169&gt;=BH$5,$E169&lt;BH$5+GanttPeriod),"◇","")),IF(AND(BH$5&lt;=$F169,BH$5+GanttPeriod-1&gt;=$E169),"━","")))</f>
        <v/>
      </c>
      <c r="BI169" s="69" t="str">
        <f aca="false">IF($E169="","",IF($M169,IF(AND($G169&gt;=BI$5,$G169&lt;BI$5+GanttPeriod),"◆",IF(AND($E169&gt;=BI$5,$E169&lt;BI$5+GanttPeriod),"◇","")),IF(AND(BI$5&lt;=$F169,BI$5+GanttPeriod-1&gt;=$E169),"━","")))</f>
        <v/>
      </c>
      <c r="BJ169" s="69" t="str">
        <f aca="false">IF($E169="","",IF($M169,IF(AND($G169&gt;=BJ$5,$G169&lt;BJ$5+GanttPeriod),"◆",IF(AND($E169&gt;=BJ$5,$E169&lt;BJ$5+GanttPeriod),"◇","")),IF(AND(BJ$5&lt;=$F169,BJ$5+GanttPeriod-1&gt;=$E169),"━","")))</f>
        <v/>
      </c>
      <c r="BK169" s="69" t="str">
        <f aca="false">IF($E169="","",IF($M169,IF(AND($G169&gt;=BK$5,$G169&lt;BK$5+GanttPeriod),"◆",IF(AND($E169&gt;=BK$5,$E169&lt;BK$5+GanttPeriod),"◇","")),IF(AND(BK$5&lt;=$F169,BK$5+GanttPeriod-1&gt;=$E169),"━","")))</f>
        <v/>
      </c>
      <c r="BL169" s="69" t="str">
        <f aca="false">IF($E169="","",IF($M169,IF(AND($G169&gt;=BL$5,$G169&lt;BL$5+GanttPeriod),"◆",IF(AND($E169&gt;=BL$5,$E169&lt;BL$5+GanttPeriod),"◇","")),IF(AND(BL$5&lt;=$F169,BL$5+GanttPeriod-1&gt;=$E169),"━","")))</f>
        <v/>
      </c>
      <c r="BM169" s="69" t="str">
        <f aca="false">IF($E169="","",IF($M169,IF(AND($G169&gt;=BM$5,$G169&lt;BM$5+GanttPeriod),"◆",IF(AND($E169&gt;=BM$5,$E169&lt;BM$5+GanttPeriod),"◇","")),IF(AND(BM$5&lt;=$F169,BM$5+GanttPeriod-1&gt;=$E169),"━","")))</f>
        <v/>
      </c>
      <c r="BN169" s="69" t="str">
        <f aca="false">IF($E169="","",IF($M169,IF(AND($G169&gt;=BN$5,$G169&lt;BN$5+GanttPeriod),"◆",IF(AND($E169&gt;=BN$5,$E169&lt;BN$5+GanttPeriod),"◇","")),IF(AND(BN$5&lt;=$F169,BN$5+GanttPeriod-1&gt;=$E169),"━","")))</f>
        <v/>
      </c>
      <c r="BO169" s="69" t="str">
        <f aca="false">IF($E169="","",IF($M169,IF(AND($G169&gt;=BO$5,$G169&lt;BO$5+GanttPeriod),"◆",IF(AND($E169&gt;=BO$5,$E169&lt;BO$5+GanttPeriod),"◇","")),IF(AND(BO$5&lt;=$F169,BO$5+GanttPeriod-1&gt;=$E169),"━","")))</f>
        <v/>
      </c>
      <c r="BP169" s="69" t="str">
        <f aca="false">IF($E169="","",IF($M169,IF(AND($G169&gt;=BP$5,$G169&lt;BP$5+GanttPeriod),"◆",IF(AND($E169&gt;=BP$5,$E169&lt;BP$5+GanttPeriod),"◇","")),IF(AND(BP$5&lt;=$F169,BP$5+GanttPeriod-1&gt;=$E169),"━","")))</f>
        <v/>
      </c>
      <c r="BQ169" s="69" t="str">
        <f aca="false">IF($E169="","",IF($M169,IF(AND($G169&gt;=BQ$5,$G169&lt;BQ$5+GanttPeriod),"◆",IF(AND($E169&gt;=BQ$5,$E169&lt;BQ$5+GanttPeriod),"◇","")),IF(AND(BQ$5&lt;=$F169,BQ$5+GanttPeriod-1&gt;=$E169),"━","")))</f>
        <v/>
      </c>
      <c r="BR169" s="69" t="str">
        <f aca="false">IF($E169="","",IF($M169,IF(AND($G169&gt;=BR$5,$G169&lt;BR$5+GanttPeriod),"◆",IF(AND($E169&gt;=BR$5,$E169&lt;BR$5+GanttPeriod),"◇","")),IF(AND(BR$5&lt;=$F169,BR$5+GanttPeriod-1&gt;=$E169),"━","")))</f>
        <v/>
      </c>
      <c r="BS169" s="69" t="str">
        <f aca="false">IF($E169="","",IF($M169,IF(AND($G169&gt;=BS$5,$G169&lt;BS$5+GanttPeriod),"◆",IF(AND($E169&gt;=BS$5,$E169&lt;BS$5+GanttPeriod),"◇","")),IF(AND(BS$5&lt;=$F169,BS$5+GanttPeriod-1&gt;=$E169),"━","")))</f>
        <v/>
      </c>
      <c r="BT169" s="69" t="str">
        <f aca="false">IF($E169="","",IF($M169,IF(AND($G169&gt;=BT$5,$G169&lt;BT$5+GanttPeriod),"◆",IF(AND($E169&gt;=BT$5,$E169&lt;BT$5+GanttPeriod),"◇","")),IF(AND(BT$5&lt;=$F169,BT$5+GanttPeriod-1&gt;=$E169),"━","")))</f>
        <v/>
      </c>
      <c r="BU169" s="69" t="str">
        <f aca="false">IF($E169="","",IF($M169,IF(AND($G169&gt;=BU$5,$G169&lt;BU$5+GanttPeriod),"◆",IF(AND($E169&gt;=BU$5,$E169&lt;BU$5+GanttPeriod),"◇","")),IF(AND(BU$5&lt;=$F169,BU$5+GanttPeriod-1&gt;=$E169),"━","")))</f>
        <v/>
      </c>
      <c r="BV169" s="69" t="str">
        <f aca="false">IF($E169="","",IF($M169,IF(AND($G169&gt;=BV$5,$G169&lt;BV$5+GanttPeriod),"◆",IF(AND($E169&gt;=BV$5,$E169&lt;BV$5+GanttPeriod),"◇","")),IF(AND(BV$5&lt;=$F169,BV$5+GanttPeriod-1&gt;=$E169),"━","")))</f>
        <v/>
      </c>
      <c r="BW169" s="69" t="str">
        <f aca="false">IF($E169="","",IF($M169,IF(AND($G169&gt;=BW$5,$G169&lt;BW$5+GanttPeriod),"◆",IF(AND($E169&gt;=BW$5,$E169&lt;BW$5+GanttPeriod),"◇","")),IF(AND(BW$5&lt;=$F169,BW$5+GanttPeriod-1&gt;=$E169),"━","")))</f>
        <v/>
      </c>
      <c r="BX169" s="69" t="str">
        <f aca="false">IF($E169="","",IF($M169,IF(AND($G169&gt;=BX$5,$G169&lt;BX$5+GanttPeriod),"◆",IF(AND($E169&gt;=BX$5,$E169&lt;BX$5+GanttPeriod),"◇","")),IF(AND(BX$5&lt;=$F169,BX$5+GanttPeriod-1&gt;=$E169),"━","")))</f>
        <v/>
      </c>
      <c r="BY169" s="69" t="str">
        <f aca="false">IF($E169="","",IF($M169,IF(AND($G169&gt;=BY$5,$G169&lt;BY$5+GanttPeriod),"◆",IF(AND($E169&gt;=BY$5,$E169&lt;BY$5+GanttPeriod),"◇","")),IF(AND(BY$5&lt;=$F169,BY$5+GanttPeriod-1&gt;=$E169),"━","")))</f>
        <v/>
      </c>
      <c r="BZ169" s="69" t="str">
        <f aca="false">IF($E169="","",IF($M169,IF(AND($G169&gt;=BZ$5,$G169&lt;BZ$5+GanttPeriod),"◆",IF(AND($E169&gt;=BZ$5,$E169&lt;BZ$5+GanttPeriod),"◇","")),IF(AND(BZ$5&lt;=$F169,BZ$5+GanttPeriod-1&gt;=$E169),"━","")))</f>
        <v/>
      </c>
      <c r="CA169" s="69" t="str">
        <f aca="false">IF($E169="","",IF($M169,IF(AND($G169&gt;=CA$5,$G169&lt;CA$5+GanttPeriod),"◆",IF(AND($E169&gt;=CA$5,$E169&lt;CA$5+GanttPeriod),"◇","")),IF(AND(CA$5&lt;=$F169,CA$5+GanttPeriod-1&gt;=$E169),"━","")))</f>
        <v/>
      </c>
      <c r="CB169" s="69" t="str">
        <f aca="false">IF($E169="","",IF($M169,IF(AND($G169&gt;=CB$5,$G169&lt;CB$5+GanttPeriod),"◆",IF(AND($E169&gt;=CB$5,$E169&lt;CB$5+GanttPeriod),"◇","")),IF(AND(CB$5&lt;=$F169,CB$5+GanttPeriod-1&gt;=$E169),"━","")))</f>
        <v/>
      </c>
      <c r="CC169" s="69" t="str">
        <f aca="false">IF($E169="","",IF($M169,IF(AND($G169&gt;=CC$5,$G169&lt;CC$5+GanttPeriod),"◆",IF(AND($E169&gt;=CC$5,$E169&lt;CC$5+GanttPeriod),"◇","")),IF(AND(CC$5&lt;=$F169,CC$5+GanttPeriod-1&gt;=$E169),"━","")))</f>
        <v/>
      </c>
      <c r="CD169" s="69" t="str">
        <f aca="false">IF($E169="","",IF($M169,IF(AND($G169&gt;=CD$5,$G169&lt;CD$5+GanttPeriod),"◆",IF(AND($E169&gt;=CD$5,$E169&lt;CD$5+GanttPeriod),"◇","")),IF(AND(CD$5&lt;=$F169,CD$5+GanttPeriod-1&gt;=$E169),"━","")))</f>
        <v/>
      </c>
      <c r="CE169" s="69" t="str">
        <f aca="false">IF($E169="","",IF($M169,IF(AND($G169&gt;=CE$5,$G169&lt;CE$5+GanttPeriod),"◆",IF(AND($E169&gt;=CE$5,$E169&lt;CE$5+GanttPeriod),"◇","")),IF(AND(CE$5&lt;=$F169,CE$5+GanttPeriod-1&gt;=$E169),"━","")))</f>
        <v/>
      </c>
      <c r="CF169" s="69" t="str">
        <f aca="false">IF($E169="","",IF($M169,IF(AND($G169&gt;=CF$5,$G169&lt;CF$5+GanttPeriod),"◆",IF(AND($E169&gt;=CF$5,$E169&lt;CF$5+GanttPeriod),"◇","")),IF(AND(CF$5&lt;=$F169,CF$5+GanttPeriod-1&gt;=$E169),"━","")))</f>
        <v/>
      </c>
      <c r="CG169" s="69" t="str">
        <f aca="false">IF($E169="","",IF($M169,IF(AND($G169&gt;=CG$5,$G169&lt;CG$5+GanttPeriod),"◆",IF(AND($E169&gt;=CG$5,$E169&lt;CG$5+GanttPeriod),"◇","")),IF(AND(CG$5&lt;=$F169,CG$5+GanttPeriod-1&gt;=$E169),"━","")))</f>
        <v/>
      </c>
      <c r="CH169" s="69" t="str">
        <f aca="false">IF($E169="","",IF($M169,IF(AND($G169&gt;=CH$5,$G169&lt;CH$5+GanttPeriod),"◆",IF(AND($E169&gt;=CH$5,$E169&lt;CH$5+GanttPeriod),"◇","")),IF(AND(CH$5&lt;=$F169,CH$5+GanttPeriod-1&gt;=$E169),"━","")))</f>
        <v/>
      </c>
      <c r="CI169" s="69" t="str">
        <f aca="false">IF($E169="","",IF($M169,IF(AND($G169&gt;=CI$5,$G169&lt;CI$5+GanttPeriod),"◆",IF(AND($E169&gt;=CI$5,$E169&lt;CI$5+GanttPeriod),"◇","")),IF(AND(CI$5&lt;=$F169,CI$5+GanttPeriod-1&gt;=$E169),"━","")))</f>
        <v/>
      </c>
      <c r="CJ169" s="69" t="str">
        <f aca="false">IF($E169="","",IF($M169,IF(AND($G169&gt;=CJ$5,$G169&lt;CJ$5+GanttPeriod),"◆",IF(AND($E169&gt;=CJ$5,$E169&lt;CJ$5+GanttPeriod),"◇","")),IF(AND(CJ$5&lt;=$F169,CJ$5+GanttPeriod-1&gt;=$E169),"━","")))</f>
        <v/>
      </c>
      <c r="CK169" s="69" t="str">
        <f aca="false">IF($E169="","",IF($M169,IF(AND($G169&gt;=CK$5,$G169&lt;CK$5+GanttPeriod),"◆",IF(AND($E169&gt;=CK$5,$E169&lt;CK$5+GanttPeriod),"◇","")),IF(AND(CK$5&lt;=$F169,CK$5+GanttPeriod-1&gt;=$E169),"━","")))</f>
        <v/>
      </c>
      <c r="CL169" s="69" t="str">
        <f aca="false">IF($E169="","",IF($M169,IF(AND($G169&gt;=CL$5,$G169&lt;CL$5+GanttPeriod),"◆",IF(AND($E169&gt;=CL$5,$E169&lt;CL$5+GanttPeriod),"◇","")),IF(AND(CL$5&lt;=$F169,CL$5+GanttPeriod-1&gt;=$E169),"━","")))</f>
        <v/>
      </c>
      <c r="CM169" s="69" t="str">
        <f aca="false">IF($E169="","",IF($M169,IF(AND($G169&gt;=CM$5,$G169&lt;CM$5+GanttPeriod),"◆",IF(AND($E169&gt;=CM$5,$E169&lt;CM$5+GanttPeriod),"◇","")),IF(AND(CM$5&lt;=$F169,CM$5+GanttPeriod-1&gt;=$E169),"━","")))</f>
        <v/>
      </c>
      <c r="CN169" s="69" t="str">
        <f aca="false">IF($E169="","",IF($M169,IF(AND($G169&gt;=CN$5,$G169&lt;CN$5+GanttPeriod),"◆",IF(AND($E169&gt;=CN$5,$E169&lt;CN$5+GanttPeriod),"◇","")),IF(AND(CN$5&lt;=$F169,CN$5+GanttPeriod-1&gt;=$E169),"━","")))</f>
        <v/>
      </c>
      <c r="CO169" s="69" t="str">
        <f aca="false">IF($E169="","",IF($M169,IF(AND($G169&gt;=CO$5,$G169&lt;CO$5+GanttPeriod),"◆",IF(AND($E169&gt;=CO$5,$E169&lt;CO$5+GanttPeriod),"◇","")),IF(AND(CO$5&lt;=$F169,CO$5+GanttPeriod-1&gt;=$E169),"━","")))</f>
        <v/>
      </c>
      <c r="CP169" s="69" t="str">
        <f aca="false">IF($E169="","",IF($M169,IF(AND($G169&gt;=CP$5,$G169&lt;CP$5+GanttPeriod),"◆",IF(AND($E169&gt;=CP$5,$E169&lt;CP$5+GanttPeriod),"◇","")),IF(AND(CP$5&lt;=$F169,CP$5+GanttPeriod-1&gt;=$E169),"━","")))</f>
        <v/>
      </c>
      <c r="CQ169" s="69" t="str">
        <f aca="false">IF($E169="","",IF($M169,IF(AND($G169&gt;=CQ$5,$G169&lt;CQ$5+GanttPeriod),"◆",IF(AND($E169&gt;=CQ$5,$E169&lt;CQ$5+GanttPeriod),"◇","")),IF(AND(CQ$5&lt;=$F169,CQ$5+GanttPeriod-1&gt;=$E169),"━","")))</f>
        <v/>
      </c>
      <c r="CR169" s="69" t="str">
        <f aca="false">IF($E169="","",IF($M169,IF(AND($G169&gt;=CR$5,$G169&lt;CR$5+GanttPeriod),"◆",IF(AND($E169&gt;=CR$5,$E169&lt;CR$5+GanttPeriod),"◇","")),IF(AND(CR$5&lt;=$F169,CR$5+GanttPeriod-1&gt;=$E169),"━","")))</f>
        <v/>
      </c>
      <c r="CS169" s="69" t="str">
        <f aca="false">IF($E169="","",IF($M169,IF(AND($G169&gt;=CS$5,$G169&lt;CS$5+GanttPeriod),"◆",IF(AND($E169&gt;=CS$5,$E169&lt;CS$5+GanttPeriod),"◇","")),IF(AND(CS$5&lt;=$F169,CS$5+GanttPeriod-1&gt;=$E169),"━","")))</f>
        <v/>
      </c>
      <c r="CT169" s="69" t="str">
        <f aca="false">IF($E169="","",IF($M169,IF(AND($G169&gt;=CT$5,$G169&lt;CT$5+GanttPeriod),"◆",IF(AND($E169&gt;=CT$5,$E169&lt;CT$5+GanttPeriod),"◇","")),IF(AND(CT$5&lt;=$F169,CT$5+GanttPeriod-1&gt;=$E169),"━","")))</f>
        <v/>
      </c>
      <c r="CU169" s="69" t="str">
        <f aca="false">IF($E169="","",IF($M169,IF(AND($G169&gt;=CU$5,$G169&lt;CU$5+GanttPeriod),"◆",IF(AND($E169&gt;=CU$5,$E169&lt;CU$5+GanttPeriod),"◇","")),IF(AND(CU$5&lt;=$F169,CU$5+GanttPeriod-1&gt;=$E169),"━","")))</f>
        <v/>
      </c>
      <c r="CV169" s="69" t="str">
        <f aca="false">IF($E169="","",IF($M169,IF(AND($G169&gt;=CV$5,$G169&lt;CV$5+GanttPeriod),"◆",IF(AND($E169&gt;=CV$5,$E169&lt;CV$5+GanttPeriod),"◇","")),IF(AND(CV$5&lt;=$F169,CV$5+GanttPeriod-1&gt;=$E169),"━","")))</f>
        <v/>
      </c>
      <c r="CW169" s="69" t="str">
        <f aca="false">IF($E169="","",IF($M169,IF(AND($G169&gt;=CW$5,$G169&lt;CW$5+GanttPeriod),"◆",IF(AND($E169&gt;=CW$5,$E169&lt;CW$5+GanttPeriod),"◇","")),IF(AND(CW$5&lt;=$F169,CW$5+GanttPeriod-1&gt;=$E169),"━","")))</f>
        <v/>
      </c>
      <c r="CX169" s="69" t="str">
        <f aca="false">IF($E169="","",IF($M169,IF(AND($G169&gt;=CX$5,$G169&lt;CX$5+GanttPeriod),"◆",IF(AND($E169&gt;=CX$5,$E169&lt;CX$5+GanttPeriod),"◇","")),IF(AND(CX$5&lt;=$F169,CX$5+GanttPeriod-1&gt;=$E169),"━","")))</f>
        <v/>
      </c>
      <c r="CY169" s="69" t="str">
        <f aca="false">IF($E169="","",IF($M169,IF(AND($G169&gt;=CY$5,$G169&lt;CY$5+GanttPeriod),"◆",IF(AND($E169&gt;=CY$5,$E169&lt;CY$5+GanttPeriod),"◇","")),IF(AND(CY$5&lt;=$F169,CY$5+GanttPeriod-1&gt;=$E169),"━","")))</f>
        <v/>
      </c>
      <c r="CZ169" s="69" t="str">
        <f aca="false">IF($E169="","",IF($M169,IF(AND($G169&gt;=CZ$5,$G169&lt;CZ$5+GanttPeriod),"◆",IF(AND($E169&gt;=CZ$5,$E169&lt;CZ$5+GanttPeriod),"◇","")),IF(AND(CZ$5&lt;=$F169,CZ$5+GanttPeriod-1&gt;=$E169),"━","")))</f>
        <v/>
      </c>
      <c r="DA169" s="69" t="str">
        <f aca="false">IF($E169="","",IF($M169,IF(AND($G169&gt;=DA$5,$G169&lt;DA$5+GanttPeriod),"◆",IF(AND($E169&gt;=DA$5,$E169&lt;DA$5+GanttPeriod),"◇","")),IF(AND(DA$5&lt;=$F169,DA$5+GanttPeriod-1&gt;=$E169),"━","")))</f>
        <v/>
      </c>
      <c r="DB169" s="69" t="str">
        <f aca="false">IF($E169="","",IF($M169,IF(AND($G169&gt;=DB$5,$G169&lt;DB$5+GanttPeriod),"◆",IF(AND($E169&gt;=DB$5,$E169&lt;DB$5+GanttPeriod),"◇","")),IF(AND(DB$5&lt;=$F169,DB$5+GanttPeriod-1&gt;=$E169),"━","")))</f>
        <v/>
      </c>
      <c r="DC169" s="69" t="str">
        <f aca="false">IF($E169="","",IF($M169,IF(AND($G169&gt;=DC$5,$G169&lt;DC$5+GanttPeriod),"◆",IF(AND($E169&gt;=DC$5,$E169&lt;DC$5+GanttPeriod),"◇","")),IF(AND(DC$5&lt;=$F169,DC$5+GanttPeriod-1&gt;=$E169),"━","")))</f>
        <v/>
      </c>
      <c r="DD169" s="69" t="str">
        <f aca="false">IF($E169="","",IF($M169,IF(AND($G169&gt;=DD$5,$G169&lt;DD$5+GanttPeriod),"◆",IF(AND($E169&gt;=DD$5,$E169&lt;DD$5+GanttPeriod),"◇","")),IF(AND(DD$5&lt;=$F169,DD$5+GanttPeriod-1&gt;=$E169),"━","")))</f>
        <v/>
      </c>
      <c r="DE169" s="69" t="str">
        <f aca="false">IF($E169="","",IF($M169,IF(AND($G169&gt;=DE$5,$G169&lt;DE$5+GanttPeriod),"◆",IF(AND($E169&gt;=DE$5,$E169&lt;DE$5+GanttPeriod),"◇","")),IF(AND(DE$5&lt;=$F169,DE$5+GanttPeriod-1&gt;=$E169),"━","")))</f>
        <v/>
      </c>
      <c r="DF169" s="69" t="str">
        <f aca="false">IF($E169="","",IF($M169,IF(AND($G169&gt;=DF$5,$G169&lt;DF$5+GanttPeriod),"◆",IF(AND($E169&gt;=DF$5,$E169&lt;DF$5+GanttPeriod),"◇","")),IF(AND(DF$5&lt;=$F169,DF$5+GanttPeriod-1&gt;=$E169),"━","")))</f>
        <v/>
      </c>
      <c r="DG169" s="69" t="str">
        <f aca="false">IF($E169="","",IF($M169,IF(AND($G169&gt;=DG$5,$G169&lt;DG$5+GanttPeriod),"◆",IF(AND($E169&gt;=DG$5,$E169&lt;DG$5+GanttPeriod),"◇","")),IF(AND(DG$5&lt;=$F169,DG$5+GanttPeriod-1&gt;=$E169),"━","")))</f>
        <v/>
      </c>
      <c r="DH169" s="69" t="str">
        <f aca="false">IF($E169="","",IF($M169,IF(AND($G169&gt;=DH$5,$G169&lt;DH$5+GanttPeriod),"◆",IF(AND($E169&gt;=DH$5,$E169&lt;DH$5+GanttPeriod),"◇","")),IF(AND(DH$5&lt;=$F169,DH$5+GanttPeriod-1&gt;=$E169),"━","")))</f>
        <v/>
      </c>
      <c r="DI169" s="69" t="str">
        <f aca="false">IF($E169="","",IF($M169,IF(AND($G169&gt;=DI$5,$G169&lt;DI$5+GanttPeriod),"◆",IF(AND($E169&gt;=DI$5,$E169&lt;DI$5+GanttPeriod),"◇","")),IF(AND(DI$5&lt;=$F169,DI$5+GanttPeriod-1&gt;=$E169),"━","")))</f>
        <v/>
      </c>
      <c r="DJ169" s="69" t="str">
        <f aca="false">IF($E169="","",IF($M169,IF(AND($G169&gt;=DJ$5,$G169&lt;DJ$5+GanttPeriod),"◆",IF(AND($E169&gt;=DJ$5,$E169&lt;DJ$5+GanttPeriod),"◇","")),IF(AND(DJ$5&lt;=$F169,DJ$5+GanttPeriod-1&gt;=$E169),"━","")))</f>
        <v/>
      </c>
      <c r="DK169" s="69" t="str">
        <f aca="false">IF($E169="","",IF($M169,IF(AND($G169&gt;=DK$5,$G169&lt;DK$5+GanttPeriod),"◆",IF(AND($E169&gt;=DK$5,$E169&lt;DK$5+GanttPeriod),"◇","")),IF(AND(DK$5&lt;=$F169,DK$5+GanttPeriod-1&gt;=$E169),"━","")))</f>
        <v/>
      </c>
      <c r="DL169" s="69" t="str">
        <f aca="false">IF($E169="","",IF($M169,IF(AND($G169&gt;=DL$5,$G169&lt;DL$5+GanttPeriod),"◆",IF(AND($E169&gt;=DL$5,$E169&lt;DL$5+GanttPeriod),"◇","")),IF(AND(DL$5&lt;=$F169,DL$5+GanttPeriod-1&gt;=$E169),"━","")))</f>
        <v/>
      </c>
      <c r="DM169" s="69" t="str">
        <f aca="false">IF($E169="","",IF($M169,IF(AND($G169&gt;=DM$5,$G169&lt;DM$5+GanttPeriod),"◆",IF(AND($E169&gt;=DM$5,$E169&lt;DM$5+GanttPeriod),"◇","")),IF(AND(DM$5&lt;=$F169,DM$5+GanttPeriod-1&gt;=$E169),"━","")))</f>
        <v/>
      </c>
      <c r="DN169" s="69" t="str">
        <f aca="false">IF($E169="","",IF($M169,IF(AND($G169&gt;=DN$5,$G169&lt;DN$5+GanttPeriod),"◆",IF(AND($E169&gt;=DN$5,$E169&lt;DN$5+GanttPeriod),"◇","")),IF(AND(DN$5&lt;=$F169,DN$5+GanttPeriod-1&gt;=$E169),"━","")))</f>
        <v/>
      </c>
      <c r="DO169" s="69" t="str">
        <f aca="false">IF($E169="","",IF($M169,IF(AND($G169&gt;=DO$5,$G169&lt;DO$5+GanttPeriod),"◆",IF(AND($E169&gt;=DO$5,$E169&lt;DO$5+GanttPeriod),"◇","")),IF(AND(DO$5&lt;=$F169,DO$5+GanttPeriod-1&gt;=$E169),"━","")))</f>
        <v/>
      </c>
      <c r="DP169" s="69" t="str">
        <f aca="false">IF($E169="","",IF($M169,IF(AND($G169&gt;=DP$5,$G169&lt;DP$5+GanttPeriod),"◆",IF(AND($E169&gt;=DP$5,$E169&lt;DP$5+GanttPeriod),"◇","")),IF(AND(DP$5&lt;=$F169,DP$5+GanttPeriod-1&gt;=$E169),"━","")))</f>
        <v/>
      </c>
      <c r="DQ169" s="69" t="str">
        <f aca="false">IF($E169="","",IF($M169,IF(AND($G169&gt;=DQ$5,$G169&lt;DQ$5+GanttPeriod),"◆",IF(AND($E169&gt;=DQ$5,$E169&lt;DQ$5+GanttPeriod),"◇","")),IF(AND(DQ$5&lt;=$F169,DQ$5+GanttPeriod-1&gt;=$E169),"━","")))</f>
        <v/>
      </c>
      <c r="DR169" s="69" t="str">
        <f aca="false">IF($E169="","",IF($M169,IF(AND($G169&gt;=DR$5,$G169&lt;DR$5+GanttPeriod),"◆",IF(AND($E169&gt;=DR$5,$E169&lt;DR$5+GanttPeriod),"◇","")),IF(AND(DR$5&lt;=$F169,DR$5+GanttPeriod-1&gt;=$E169),"━","")))</f>
        <v/>
      </c>
      <c r="DS169" s="69" t="str">
        <f aca="false">IF($E169="","",IF($M169,IF(AND($G169&gt;=DS$5,$G169&lt;DS$5+GanttPeriod),"◆",IF(AND($E169&gt;=DS$5,$E169&lt;DS$5+GanttPeriod),"◇","")),IF(AND(DS$5&lt;=$F169,DS$5+GanttPeriod-1&gt;=$E169),"━","")))</f>
        <v/>
      </c>
      <c r="DT169" s="69" t="str">
        <f aca="false">IF($E169="","",IF($M169,IF(AND($G169&gt;=DT$5,$G169&lt;DT$5+GanttPeriod),"◆",IF(AND($E169&gt;=DT$5,$E169&lt;DT$5+GanttPeriod),"◇","")),IF(AND(DT$5&lt;=$F169,DT$5+GanttPeriod-1&gt;=$E169),"━","")))</f>
        <v/>
      </c>
      <c r="DU169" s="69" t="str">
        <f aca="false">IF($E169="","",IF($M169,IF(AND($G169&gt;=DU$5,$G169&lt;DU$5+GanttPeriod),"◆",IF(AND($E169&gt;=DU$5,$E169&lt;DU$5+GanttPeriod),"◇","")),IF(AND(DU$5&lt;=$F169,DU$5+GanttPeriod-1&gt;=$E169),"━","")))</f>
        <v/>
      </c>
      <c r="DV169" s="69" t="str">
        <f aca="false">IF($E169="","",IF($M169,IF(AND($G169&gt;=DV$5,$G169&lt;DV$5+GanttPeriod),"◆",IF(AND($E169&gt;=DV$5,$E169&lt;DV$5+GanttPeriod),"◇","")),IF(AND(DV$5&lt;=$F169,DV$5+GanttPeriod-1&gt;=$E169),"━","")))</f>
        <v/>
      </c>
      <c r="DW169" s="69" t="str">
        <f aca="false">IF($E169="","",IF($M169,IF(AND($G169&gt;=DW$5,$G169&lt;DW$5+GanttPeriod),"◆",IF(AND($E169&gt;=DW$5,$E169&lt;DW$5+GanttPeriod),"◇","")),IF(AND(DW$5&lt;=$F169,DW$5+GanttPeriod-1&gt;=$E169),"━","")))</f>
        <v/>
      </c>
      <c r="DX169" s="69" t="str">
        <f aca="false">IF($E169="","",IF($M169,IF(AND($G169&gt;=DX$5,$G169&lt;DX$5+GanttPeriod),"◆",IF(AND($E169&gt;=DX$5,$E169&lt;DX$5+GanttPeriod),"◇","")),IF(AND(DX$5&lt;=$F169,DX$5+GanttPeriod-1&gt;=$E169),"━","")))</f>
        <v/>
      </c>
      <c r="DY169" s="69" t="str">
        <f aca="false">IF($E169="","",IF($M169,IF(AND($G169&gt;=DY$5,$G169&lt;DY$5+GanttPeriod),"◆",IF(AND($E169&gt;=DY$5,$E169&lt;DY$5+GanttPeriod),"◇","")),IF(AND(DY$5&lt;=$F169,DY$5+GanttPeriod-1&gt;=$E169),"━","")))</f>
        <v/>
      </c>
      <c r="DZ169" s="69" t="str">
        <f aca="false">IF($E169="","",IF($M169,IF(AND($G169&gt;=DZ$5,$G169&lt;DZ$5+GanttPeriod),"◆",IF(AND($E169&gt;=DZ$5,$E169&lt;DZ$5+GanttPeriod),"◇","")),IF(AND(DZ$5&lt;=$F169,DZ$5+GanttPeriod-1&gt;=$E169),"━","")))</f>
        <v/>
      </c>
      <c r="EA169" s="69" t="str">
        <f aca="false">IF($E169="","",IF($M169,IF(AND($G169&gt;=EA$5,$G169&lt;EA$5+GanttPeriod),"◆",IF(AND($E169&gt;=EA$5,$E169&lt;EA$5+GanttPeriod),"◇","")),IF(AND(EA$5&lt;=$F169,EA$5+GanttPeriod-1&gt;=$E169),"━","")))</f>
        <v/>
      </c>
      <c r="EB169" s="69" t="str">
        <f aca="false">IF($E169="","",IF($M169,IF(AND($G169&gt;=EB$5,$G169&lt;EB$5+GanttPeriod),"◆",IF(AND($E169&gt;=EB$5,$E169&lt;EB$5+GanttPeriod),"◇","")),IF(AND(EB$5&lt;=$F169,EB$5+GanttPeriod-1&gt;=$E169),"━","")))</f>
        <v/>
      </c>
      <c r="EC169" s="69" t="str">
        <f aca="false">IF($E169="","",IF($M169,IF(AND($G169&gt;=EC$5,$G169&lt;EC$5+GanttPeriod),"◆",IF(AND($E169&gt;=EC$5,$E169&lt;EC$5+GanttPeriod),"◇","")),IF(AND(EC$5&lt;=$F169,EC$5+GanttPeriod-1&gt;=$E169),"━","")))</f>
        <v/>
      </c>
      <c r="ED169" s="69" t="str">
        <f aca="false">IF($E169="","",IF($M169,IF(AND($G169&gt;=ED$5,$G169&lt;ED$5+GanttPeriod),"◆",IF(AND($E169&gt;=ED$5,$E169&lt;ED$5+GanttPeriod),"◇","")),IF(AND(ED$5&lt;=$F169,ED$5+GanttPeriod-1&gt;=$E169),"━","")))</f>
        <v/>
      </c>
      <c r="EE169" s="69" t="str">
        <f aca="false">IF($E169="","",IF($M169,IF(AND($G169&gt;=EE$5,$G169&lt;EE$5+GanttPeriod),"◆",IF(AND($E169&gt;=EE$5,$E169&lt;EE$5+GanttPeriod),"◇","")),IF(AND(EE$5&lt;=$F169,EE$5+GanttPeriod-1&gt;=$E169),"━","")))</f>
        <v/>
      </c>
      <c r="EF169" s="69" t="str">
        <f aca="false">IF($E169="","",IF($M169,IF(AND($G169&gt;=EF$5,$G169&lt;EF$5+GanttPeriod),"◆",IF(AND($E169&gt;=EF$5,$E169&lt;EF$5+GanttPeriod),"◇","")),IF(AND(EF$5&lt;=$F169,EF$5+GanttPeriod-1&gt;=$E169),"━","")))</f>
        <v/>
      </c>
      <c r="EG169" s="69" t="str">
        <f aca="false">IF($E169="","",IF($M169,IF(AND($G169&gt;=EG$5,$G169&lt;EG$5+GanttPeriod),"◆",IF(AND($E169&gt;=EG$5,$E169&lt;EG$5+GanttPeriod),"◇","")),IF(AND(EG$5&lt;=$F169,EG$5+GanttPeriod-1&gt;=$E169),"━","")))</f>
        <v/>
      </c>
      <c r="EH169" s="69" t="str">
        <f aca="false">IF($E169="","",IF($M169,IF(AND($G169&gt;=EH$5,$G169&lt;EH$5+GanttPeriod),"◆",IF(AND($E169&gt;=EH$5,$E169&lt;EH$5+GanttPeriod),"◇","")),IF(AND(EH$5&lt;=$F169,EH$5+GanttPeriod-1&gt;=$E169),"━","")))</f>
        <v/>
      </c>
      <c r="EI169" s="69" t="str">
        <f aca="false">IF($E169="","",IF($M169,IF(AND($G169&gt;=EI$5,$G169&lt;EI$5+GanttPeriod),"◆",IF(AND($E169&gt;=EI$5,$E169&lt;EI$5+GanttPeriod),"◇","")),IF(AND(EI$5&lt;=$F169,EI$5+GanttPeriod-1&gt;=$E169),"━","")))</f>
        <v/>
      </c>
      <c r="EJ169" s="69" t="str">
        <f aca="false">IF($E169="","",IF($M169,IF(AND($G169&gt;=EJ$5,$G169&lt;EJ$5+GanttPeriod),"◆",IF(AND($E169&gt;=EJ$5,$E169&lt;EJ$5+GanttPeriod),"◇","")),IF(AND(EJ$5&lt;=$F169,EJ$5+GanttPeriod-1&gt;=$E169),"━","")))</f>
        <v/>
      </c>
      <c r="EK169" s="69" t="str">
        <f aca="false">IF($E169="","",IF($M169,IF(AND($G169&gt;=EK$5,$G169&lt;EK$5+GanttPeriod),"◆",IF(AND($E169&gt;=EK$5,$E169&lt;EK$5+GanttPeriod),"◇","")),IF(AND(EK$5&lt;=$F169,EK$5+GanttPeriod-1&gt;=$E169),"━","")))</f>
        <v/>
      </c>
      <c r="EL169" s="69" t="str">
        <f aca="false">IF($E169="","",IF($M169,IF(AND($G169&gt;=EL$5,$G169&lt;EL$5+GanttPeriod),"◆",IF(AND($E169&gt;=EL$5,$E169&lt;EL$5+GanttPeriod),"◇","")),IF(AND(EL$5&lt;=$F169,EL$5+GanttPeriod-1&gt;=$E169),"━","")))</f>
        <v/>
      </c>
      <c r="EM169" s="69" t="str">
        <f aca="false">IF($E169="","",IF($M169,IF(AND($G169&gt;=EM$5,$G169&lt;EM$5+GanttPeriod),"◆",IF(AND($E169&gt;=EM$5,$E169&lt;EM$5+GanttPeriod),"◇","")),IF(AND(EM$5&lt;=$F169,EM$5+GanttPeriod-1&gt;=$E169),"━","")))</f>
        <v/>
      </c>
      <c r="EN169" s="69" t="str">
        <f aca="false">IF($E169="","",IF($M169,IF(AND($G169&gt;=EN$5,$G169&lt;EN$5+GanttPeriod),"◆",IF(AND($E169&gt;=EN$5,$E169&lt;EN$5+GanttPeriod),"◇","")),IF(AND(EN$5&lt;=$F169,EN$5+GanttPeriod-1&gt;=$E169),"━","")))</f>
        <v/>
      </c>
      <c r="EO169" s="69" t="str">
        <f aca="false">IF($E169="","",IF($M169,IF(AND($G169&gt;=EO$5,$G169&lt;EO$5+GanttPeriod),"◆",IF(AND($E169&gt;=EO$5,$E169&lt;EO$5+GanttPeriod),"◇","")),IF(AND(EO$5&lt;=$F169,EO$5+GanttPeriod-1&gt;=$E169),"━","")))</f>
        <v/>
      </c>
      <c r="EP169" s="69" t="str">
        <f aca="false">IF($E169="","",IF($M169,IF(AND($G169&gt;=EP$5,$G169&lt;EP$5+GanttPeriod),"◆",IF(AND($E169&gt;=EP$5,$E169&lt;EP$5+GanttPeriod),"◇","")),IF(AND(EP$5&lt;=$F169,EP$5+GanttPeriod-1&gt;=$E169),"━","")))</f>
        <v/>
      </c>
      <c r="EQ169" s="69" t="str">
        <f aca="false">IF($E169="","",IF($M169,IF(AND($G169&gt;=EQ$5,$G169&lt;EQ$5+GanttPeriod),"◆",IF(AND($E169&gt;=EQ$5,$E169&lt;EQ$5+GanttPeriod),"◇","")),IF(AND(EQ$5&lt;=$F169,EQ$5+GanttPeriod-1&gt;=$E169),"━","")))</f>
        <v/>
      </c>
      <c r="ER169" s="69" t="str">
        <f aca="false">IF($E169="","",IF($M169,IF(AND($G169&gt;=ER$5,$G169&lt;ER$5+GanttPeriod),"◆",IF(AND($E169&gt;=ER$5,$E169&lt;ER$5+GanttPeriod),"◇","")),IF(AND(ER$5&lt;=$F169,ER$5+GanttPeriod-1&gt;=$E169),"━","")))</f>
        <v/>
      </c>
      <c r="ES169" s="69" t="str">
        <f aca="false">IF($E169="","",IF($M169,IF(AND($G169&gt;=ES$5,$G169&lt;ES$5+GanttPeriod),"◆",IF(AND($E169&gt;=ES$5,$E169&lt;ES$5+GanttPeriod),"◇","")),IF(AND(ES$5&lt;=$F169,ES$5+GanttPeriod-1&gt;=$E169),"━","")))</f>
        <v/>
      </c>
      <c r="ET169" s="69" t="str">
        <f aca="false">IF($E169="","",IF($M169,IF(AND($G169&gt;=ET$5,$G169&lt;ET$5+GanttPeriod),"◆",IF(AND($E169&gt;=ET$5,$E169&lt;ET$5+GanttPeriod),"◇","")),IF(AND(ET$5&lt;=$F169,ET$5+GanttPeriod-1&gt;=$E169),"━","")))</f>
        <v/>
      </c>
      <c r="EU169" s="69" t="str">
        <f aca="false">IF($E169="","",IF($M169,IF(AND($G169&gt;=EU$5,$G169&lt;EU$5+GanttPeriod),"◆",IF(AND($E169&gt;=EU$5,$E169&lt;EU$5+GanttPeriod),"◇","")),IF(AND(EU$5&lt;=$F169,EU$5+GanttPeriod-1&gt;=$E169),"━","")))</f>
        <v/>
      </c>
      <c r="EV169" s="69" t="str">
        <f aca="false">IF($E169="","",IF($M169,IF(AND($G169&gt;=EV$5,$G169&lt;EV$5+GanttPeriod),"◆",IF(AND($E169&gt;=EV$5,$E169&lt;EV$5+GanttPeriod),"◇","")),IF(AND(EV$5&lt;=$F169,EV$5+GanttPeriod-1&gt;=$E169),"━","")))</f>
        <v/>
      </c>
      <c r="EW169" s="69" t="str">
        <f aca="false">IF($E169="","",IF($M169,IF(AND($G169&gt;=EW$5,$G169&lt;EW$5+GanttPeriod),"◆",IF(AND($E169&gt;=EW$5,$E169&lt;EW$5+GanttPeriod),"◇","")),IF(AND(EW$5&lt;=$F169,EW$5+GanttPeriod-1&gt;=$E169),"━","")))</f>
        <v/>
      </c>
      <c r="EX169" s="69" t="str">
        <f aca="false">IF($E169="","",IF($M169,IF(AND($G169&gt;=EX$5,$G169&lt;EX$5+GanttPeriod),"◆",IF(AND($E169&gt;=EX$5,$E169&lt;EX$5+GanttPeriod),"◇","")),IF(AND(EX$5&lt;=$F169,EX$5+GanttPeriod-1&gt;=$E169),"━","")))</f>
        <v/>
      </c>
      <c r="EY169" s="69" t="str">
        <f aca="false">IF($E169="","",IF($M169,IF(AND($G169&gt;=EY$5,$G169&lt;EY$5+GanttPeriod),"◆",IF(AND($E169&gt;=EY$5,$E169&lt;EY$5+GanttPeriod),"◇","")),IF(AND(EY$5&lt;=$F169,EY$5+GanttPeriod-1&gt;=$E169),"━","")))</f>
        <v/>
      </c>
      <c r="EZ169" s="69" t="str">
        <f aca="false">IF($E169="","",IF($M169,IF(AND($G169&gt;=EZ$5,$G169&lt;EZ$5+GanttPeriod),"◆",IF(AND($E169&gt;=EZ$5,$E169&lt;EZ$5+GanttPeriod),"◇","")),IF(AND(EZ$5&lt;=$F169,EZ$5+GanttPeriod-1&gt;=$E169),"━","")))</f>
        <v/>
      </c>
      <c r="FA169" s="69" t="str">
        <f aca="false">IF($E169="","",IF($M169,IF(AND($G169&gt;=FA$5,$G169&lt;FA$5+GanttPeriod),"◆",IF(AND($E169&gt;=FA$5,$E169&lt;FA$5+GanttPeriod),"◇","")),IF(AND(FA$5&lt;=$F169,FA$5+GanttPeriod-1&gt;=$E169),"━","")))</f>
        <v/>
      </c>
      <c r="FB169" s="69" t="str">
        <f aca="false">IF($E169="","",IF($M169,IF(AND($G169&gt;=FB$5,$G169&lt;FB$5+GanttPeriod),"◆",IF(AND($E169&gt;=FB$5,$E169&lt;FB$5+GanttPeriod),"◇","")),IF(AND(FB$5&lt;=$F169,FB$5+GanttPeriod-1&gt;=$E169),"━","")))</f>
        <v/>
      </c>
      <c r="FC169" s="69" t="str">
        <f aca="false">IF($E169="","",IF($M169,IF(AND($G169&gt;=FC$5,$G169&lt;FC$5+GanttPeriod),"◆",IF(AND($E169&gt;=FC$5,$E169&lt;FC$5+GanttPeriod),"◇","")),IF(AND(FC$5&lt;=$F169,FC$5+GanttPeriod-1&gt;=$E169),"━","")))</f>
        <v/>
      </c>
      <c r="FD169" s="69" t="str">
        <f aca="false">IF($E169="","",IF($M169,IF(AND($G169&gt;=FD$5,$G169&lt;FD$5+GanttPeriod),"◆",IF(AND($E169&gt;=FD$5,$E169&lt;FD$5+GanttPeriod),"◇","")),IF(AND(FD$5&lt;=$F169,FD$5+GanttPeriod-1&gt;=$E169),"━","")))</f>
        <v/>
      </c>
      <c r="FE169" s="69" t="str">
        <f aca="false">IF($E169="","",IF($M169,IF(AND($G169&gt;=FE$5,$G169&lt;FE$5+GanttPeriod),"◆",IF(AND($E169&gt;=FE$5,$E169&lt;FE$5+GanttPeriod),"◇","")),IF(AND(FE$5&lt;=$F169,FE$5+GanttPeriod-1&gt;=$E169),"━","")))</f>
        <v/>
      </c>
      <c r="FF169" s="69" t="str">
        <f aca="false">IF($E169="","",IF($M169,IF(AND($G169&gt;=FF$5,$G169&lt;FF$5+GanttPeriod),"◆",IF(AND($E169&gt;=FF$5,$E169&lt;FF$5+GanttPeriod),"◇","")),IF(AND(FF$5&lt;=$F169,FF$5+GanttPeriod-1&gt;=$E169),"━","")))</f>
        <v/>
      </c>
      <c r="FG169" s="69" t="str">
        <f aca="false">IF($E169="","",IF($M169,IF(AND($G169&gt;=FG$5,$G169&lt;FG$5+GanttPeriod),"◆",IF(AND($E169&gt;=FG$5,$E169&lt;FG$5+GanttPeriod),"◇","")),IF(AND(FG$5&lt;=$F169,FG$5+GanttPeriod-1&gt;=$E169),"━","")))</f>
        <v/>
      </c>
      <c r="FH169" s="69" t="str">
        <f aca="false">IF($E169="","",IF($M169,IF(AND($G169&gt;=FH$5,$G169&lt;FH$5+GanttPeriod),"◆",IF(AND($E169&gt;=FH$5,$E169&lt;FH$5+GanttPeriod),"◇","")),IF(AND(FH$5&lt;=$F169,FH$5+GanttPeriod-1&gt;=$E169),"━","")))</f>
        <v/>
      </c>
      <c r="FI169" s="69" t="str">
        <f aca="false">IF($E169="","",IF($M169,IF(AND($G169&gt;=FI$5,$G169&lt;FI$5+GanttPeriod),"◆",IF(AND($E169&gt;=FI$5,$E169&lt;FI$5+GanttPeriod),"◇","")),IF(AND(FI$5&lt;=$F169,FI$5+GanttPeriod-1&gt;=$E169),"━","")))</f>
        <v/>
      </c>
      <c r="FJ169" s="69" t="str">
        <f aca="false">IF($E169="","",IF($M169,IF(AND($G169&gt;=FJ$5,$G169&lt;FJ$5+GanttPeriod),"◆",IF(AND($E169&gt;=FJ$5,$E169&lt;FJ$5+GanttPeriod),"◇","")),IF(AND(FJ$5&lt;=$F169,FJ$5+GanttPeriod-1&gt;=$E169),"━","")))</f>
        <v/>
      </c>
      <c r="FK169" s="69" t="str">
        <f aca="false">IF($E169="","",IF($M169,IF(AND($G169&gt;=FK$5,$G169&lt;FK$5+GanttPeriod),"◆",IF(AND($E169&gt;=FK$5,$E169&lt;FK$5+GanttPeriod),"◇","")),IF(AND(FK$5&lt;=$F169,FK$5+GanttPeriod-1&gt;=$E169),"━","")))</f>
        <v/>
      </c>
      <c r="FL169" s="69" t="str">
        <f aca="false">IF($E169="","",IF($M169,IF(AND($G169&gt;=FL$5,$G169&lt;FL$5+GanttPeriod),"◆",IF(AND($E169&gt;=FL$5,$E169&lt;FL$5+GanttPeriod),"◇","")),IF(AND(FL$5&lt;=$F169,FL$5+GanttPeriod-1&gt;=$E169),"━","")))</f>
        <v/>
      </c>
      <c r="FM169" s="69" t="str">
        <f aca="false">IF($E169="","",IF($M169,IF(AND($G169&gt;=FM$5,$G169&lt;FM$5+GanttPeriod),"◆",IF(AND($E169&gt;=FM$5,$E169&lt;FM$5+GanttPeriod),"◇","")),IF(AND(FM$5&lt;=$F169,FM$5+GanttPeriod-1&gt;=$E169),"━","")))</f>
        <v/>
      </c>
    </row>
    <row r="170" customFormat="false" ht="15" hidden="false" customHeight="false" outlineLevel="0" collapsed="false">
      <c r="A170" s="62" t="str">
        <f aca="false">IF(Tasks!$D170="","",Tasks!$A170)</f>
        <v/>
      </c>
      <c r="B170" s="62" t="str">
        <f aca="false">IF(Tasks!$D170="","",Tasks!$B170)</f>
        <v/>
      </c>
      <c r="C170" s="63" t="str">
        <f aca="false">IF(Tasks!$D170="","",REPT("    ",Tasks!$AE170-1)&amp;Tasks!$D170)</f>
        <v/>
      </c>
      <c r="D170" s="62" t="str">
        <f aca="false">IF(Tasks!$D170="","",IF(Tasks!$AI170,NETWORKDAYS.INTL(Tasks!$R170,Tasks!$S170,WorkWeek,Holidays),N(Tasks!$F170)))</f>
        <v/>
      </c>
      <c r="E170" s="64" t="str">
        <f aca="false">IF(Tasks!$D170="","",Tasks!$N170)</f>
        <v/>
      </c>
      <c r="F170" s="64" t="str">
        <f aca="false">IF(Tasks!$D170="","",Tasks!$O170)</f>
        <v/>
      </c>
      <c r="G170" s="64" t="str">
        <f aca="false">IF(Tasks!$D170="","",Tasks!$R170)</f>
        <v/>
      </c>
      <c r="H170" s="64" t="str">
        <f aca="false">IF(Tasks!$D170="","",Tasks!$S170)</f>
        <v/>
      </c>
      <c r="I170" s="65" t="str">
        <f aca="false">IF(Tasks!$D170="","",Tasks!$V170)</f>
        <v/>
      </c>
      <c r="J170" s="63" t="str">
        <f aca="false">IF(Tasks!$D170="","",Tasks!$X170&amp;"")</f>
        <v/>
      </c>
      <c r="K170" s="66" t="str">
        <f aca="false">IF(Tasks!$D170="","",Tasks!$W170)</f>
        <v/>
      </c>
      <c r="L170" s="67" t="b">
        <f aca="false">IF(Tasks!$D170="",FALSE(),Tasks!$AI170)</f>
        <v>0</v>
      </c>
      <c r="M170" s="67" t="b">
        <f aca="false">AND(Tasks!$AJ170=1,N(Tasks!$F170)=0)</f>
        <v>0</v>
      </c>
      <c r="N170" s="68" t="n">
        <f aca="false">IF(AND(Tasks!$AJ170=1,NOT($M170),N($I170)&gt;0),$G170,0)</f>
        <v>0</v>
      </c>
      <c r="O170" s="68" t="n">
        <f aca="false">IF($N170=0,0,IF($I170&gt;=1,$H170,MAX($N170,$G170+ROUND(($H170-$G170+1)*$I170,0)-1)))</f>
        <v>0</v>
      </c>
      <c r="P170" s="68" t="n">
        <f aca="false">IF(OR(Tasks!$AJ170&lt;&gt;1,$M170,N($I170)&gt;=1),0,IF($O170&gt;0,$O170+1,$G170))</f>
        <v>0</v>
      </c>
      <c r="Q170" s="68" t="n">
        <f aca="false">IF($P170=0,0,$H170)</f>
        <v>0</v>
      </c>
      <c r="R170" s="67" t="b">
        <f aca="false">AND(Tasks!$D170&lt;&gt;"",N(Tasks!$T170)&gt;0)</f>
        <v>0</v>
      </c>
      <c r="T170" s="69" t="str">
        <f aca="false">IF($E170="","",IF($M170,IF(AND($G170&gt;=T$5,$G170&lt;T$5+GanttPeriod),"◆",IF(AND($E170&gt;=T$5,$E170&lt;T$5+GanttPeriod),"◇","")),IF(AND(T$5&lt;=$F170,T$5+GanttPeriod-1&gt;=$E170),"━","")))</f>
        <v/>
      </c>
      <c r="U170" s="69" t="str">
        <f aca="false">IF($E170="","",IF($M170,IF(AND($G170&gt;=U$5,$G170&lt;U$5+GanttPeriod),"◆",IF(AND($E170&gt;=U$5,$E170&lt;U$5+GanttPeriod),"◇","")),IF(AND(U$5&lt;=$F170,U$5+GanttPeriod-1&gt;=$E170),"━","")))</f>
        <v/>
      </c>
      <c r="V170" s="69" t="str">
        <f aca="false">IF($E170="","",IF($M170,IF(AND($G170&gt;=V$5,$G170&lt;V$5+GanttPeriod),"◆",IF(AND($E170&gt;=V$5,$E170&lt;V$5+GanttPeriod),"◇","")),IF(AND(V$5&lt;=$F170,V$5+GanttPeriod-1&gt;=$E170),"━","")))</f>
        <v/>
      </c>
      <c r="W170" s="69" t="str">
        <f aca="false">IF($E170="","",IF($M170,IF(AND($G170&gt;=W$5,$G170&lt;W$5+GanttPeriod),"◆",IF(AND($E170&gt;=W$5,$E170&lt;W$5+GanttPeriod),"◇","")),IF(AND(W$5&lt;=$F170,W$5+GanttPeriod-1&gt;=$E170),"━","")))</f>
        <v/>
      </c>
      <c r="X170" s="69" t="str">
        <f aca="false">IF($E170="","",IF($M170,IF(AND($G170&gt;=X$5,$G170&lt;X$5+GanttPeriod),"◆",IF(AND($E170&gt;=X$5,$E170&lt;X$5+GanttPeriod),"◇","")),IF(AND(X$5&lt;=$F170,X$5+GanttPeriod-1&gt;=$E170),"━","")))</f>
        <v/>
      </c>
      <c r="Y170" s="69" t="str">
        <f aca="false">IF($E170="","",IF($M170,IF(AND($G170&gt;=Y$5,$G170&lt;Y$5+GanttPeriod),"◆",IF(AND($E170&gt;=Y$5,$E170&lt;Y$5+GanttPeriod),"◇","")),IF(AND(Y$5&lt;=$F170,Y$5+GanttPeriod-1&gt;=$E170),"━","")))</f>
        <v/>
      </c>
      <c r="Z170" s="69" t="str">
        <f aca="false">IF($E170="","",IF($M170,IF(AND($G170&gt;=Z$5,$G170&lt;Z$5+GanttPeriod),"◆",IF(AND($E170&gt;=Z$5,$E170&lt;Z$5+GanttPeriod),"◇","")),IF(AND(Z$5&lt;=$F170,Z$5+GanttPeriod-1&gt;=$E170),"━","")))</f>
        <v/>
      </c>
      <c r="AA170" s="69" t="str">
        <f aca="false">IF($E170="","",IF($M170,IF(AND($G170&gt;=AA$5,$G170&lt;AA$5+GanttPeriod),"◆",IF(AND($E170&gt;=AA$5,$E170&lt;AA$5+GanttPeriod),"◇","")),IF(AND(AA$5&lt;=$F170,AA$5+GanttPeriod-1&gt;=$E170),"━","")))</f>
        <v/>
      </c>
      <c r="AB170" s="69" t="str">
        <f aca="false">IF($E170="","",IF($M170,IF(AND($G170&gt;=AB$5,$G170&lt;AB$5+GanttPeriod),"◆",IF(AND($E170&gt;=AB$5,$E170&lt;AB$5+GanttPeriod),"◇","")),IF(AND(AB$5&lt;=$F170,AB$5+GanttPeriod-1&gt;=$E170),"━","")))</f>
        <v/>
      </c>
      <c r="AC170" s="69" t="str">
        <f aca="false">IF($E170="","",IF($M170,IF(AND($G170&gt;=AC$5,$G170&lt;AC$5+GanttPeriod),"◆",IF(AND($E170&gt;=AC$5,$E170&lt;AC$5+GanttPeriod),"◇","")),IF(AND(AC$5&lt;=$F170,AC$5+GanttPeriod-1&gt;=$E170),"━","")))</f>
        <v/>
      </c>
      <c r="AD170" s="69" t="str">
        <f aca="false">IF($E170="","",IF($M170,IF(AND($G170&gt;=AD$5,$G170&lt;AD$5+GanttPeriod),"◆",IF(AND($E170&gt;=AD$5,$E170&lt;AD$5+GanttPeriod),"◇","")),IF(AND(AD$5&lt;=$F170,AD$5+GanttPeriod-1&gt;=$E170),"━","")))</f>
        <v/>
      </c>
      <c r="AE170" s="69" t="str">
        <f aca="false">IF($E170="","",IF($M170,IF(AND($G170&gt;=AE$5,$G170&lt;AE$5+GanttPeriod),"◆",IF(AND($E170&gt;=AE$5,$E170&lt;AE$5+GanttPeriod),"◇","")),IF(AND(AE$5&lt;=$F170,AE$5+GanttPeriod-1&gt;=$E170),"━","")))</f>
        <v/>
      </c>
      <c r="AF170" s="69" t="str">
        <f aca="false">IF($E170="","",IF($M170,IF(AND($G170&gt;=AF$5,$G170&lt;AF$5+GanttPeriod),"◆",IF(AND($E170&gt;=AF$5,$E170&lt;AF$5+GanttPeriod),"◇","")),IF(AND(AF$5&lt;=$F170,AF$5+GanttPeriod-1&gt;=$E170),"━","")))</f>
        <v/>
      </c>
      <c r="AG170" s="69" t="str">
        <f aca="false">IF($E170="","",IF($M170,IF(AND($G170&gt;=AG$5,$G170&lt;AG$5+GanttPeriod),"◆",IF(AND($E170&gt;=AG$5,$E170&lt;AG$5+GanttPeriod),"◇","")),IF(AND(AG$5&lt;=$F170,AG$5+GanttPeriod-1&gt;=$E170),"━","")))</f>
        <v/>
      </c>
      <c r="AH170" s="69" t="str">
        <f aca="false">IF($E170="","",IF($M170,IF(AND($G170&gt;=AH$5,$G170&lt;AH$5+GanttPeriod),"◆",IF(AND($E170&gt;=AH$5,$E170&lt;AH$5+GanttPeriod),"◇","")),IF(AND(AH$5&lt;=$F170,AH$5+GanttPeriod-1&gt;=$E170),"━","")))</f>
        <v/>
      </c>
      <c r="AI170" s="69" t="str">
        <f aca="false">IF($E170="","",IF($M170,IF(AND($G170&gt;=AI$5,$G170&lt;AI$5+GanttPeriod),"◆",IF(AND($E170&gt;=AI$5,$E170&lt;AI$5+GanttPeriod),"◇","")),IF(AND(AI$5&lt;=$F170,AI$5+GanttPeriod-1&gt;=$E170),"━","")))</f>
        <v/>
      </c>
      <c r="AJ170" s="69" t="str">
        <f aca="false">IF($E170="","",IF($M170,IF(AND($G170&gt;=AJ$5,$G170&lt;AJ$5+GanttPeriod),"◆",IF(AND($E170&gt;=AJ$5,$E170&lt;AJ$5+GanttPeriod),"◇","")),IF(AND(AJ$5&lt;=$F170,AJ$5+GanttPeriod-1&gt;=$E170),"━","")))</f>
        <v/>
      </c>
      <c r="AK170" s="69" t="str">
        <f aca="false">IF($E170="","",IF($M170,IF(AND($G170&gt;=AK$5,$G170&lt;AK$5+GanttPeriod),"◆",IF(AND($E170&gt;=AK$5,$E170&lt;AK$5+GanttPeriod),"◇","")),IF(AND(AK$5&lt;=$F170,AK$5+GanttPeriod-1&gt;=$E170),"━","")))</f>
        <v/>
      </c>
      <c r="AL170" s="69" t="str">
        <f aca="false">IF($E170="","",IF($M170,IF(AND($G170&gt;=AL$5,$G170&lt;AL$5+GanttPeriod),"◆",IF(AND($E170&gt;=AL$5,$E170&lt;AL$5+GanttPeriod),"◇","")),IF(AND(AL$5&lt;=$F170,AL$5+GanttPeriod-1&gt;=$E170),"━","")))</f>
        <v/>
      </c>
      <c r="AM170" s="69" t="str">
        <f aca="false">IF($E170="","",IF($M170,IF(AND($G170&gt;=AM$5,$G170&lt;AM$5+GanttPeriod),"◆",IF(AND($E170&gt;=AM$5,$E170&lt;AM$5+GanttPeriod),"◇","")),IF(AND(AM$5&lt;=$F170,AM$5+GanttPeriod-1&gt;=$E170),"━","")))</f>
        <v/>
      </c>
      <c r="AN170" s="69" t="str">
        <f aca="false">IF($E170="","",IF($M170,IF(AND($G170&gt;=AN$5,$G170&lt;AN$5+GanttPeriod),"◆",IF(AND($E170&gt;=AN$5,$E170&lt;AN$5+GanttPeriod),"◇","")),IF(AND(AN$5&lt;=$F170,AN$5+GanttPeriod-1&gt;=$E170),"━","")))</f>
        <v/>
      </c>
      <c r="AO170" s="69" t="str">
        <f aca="false">IF($E170="","",IF($M170,IF(AND($G170&gt;=AO$5,$G170&lt;AO$5+GanttPeriod),"◆",IF(AND($E170&gt;=AO$5,$E170&lt;AO$5+GanttPeriod),"◇","")),IF(AND(AO$5&lt;=$F170,AO$5+GanttPeriod-1&gt;=$E170),"━","")))</f>
        <v/>
      </c>
      <c r="AP170" s="69" t="str">
        <f aca="false">IF($E170="","",IF($M170,IF(AND($G170&gt;=AP$5,$G170&lt;AP$5+GanttPeriod),"◆",IF(AND($E170&gt;=AP$5,$E170&lt;AP$5+GanttPeriod),"◇","")),IF(AND(AP$5&lt;=$F170,AP$5+GanttPeriod-1&gt;=$E170),"━","")))</f>
        <v/>
      </c>
      <c r="AQ170" s="69" t="str">
        <f aca="false">IF($E170="","",IF($M170,IF(AND($G170&gt;=AQ$5,$G170&lt;AQ$5+GanttPeriod),"◆",IF(AND($E170&gt;=AQ$5,$E170&lt;AQ$5+GanttPeriod),"◇","")),IF(AND(AQ$5&lt;=$F170,AQ$5+GanttPeriod-1&gt;=$E170),"━","")))</f>
        <v/>
      </c>
      <c r="AR170" s="69" t="str">
        <f aca="false">IF($E170="","",IF($M170,IF(AND($G170&gt;=AR$5,$G170&lt;AR$5+GanttPeriod),"◆",IF(AND($E170&gt;=AR$5,$E170&lt;AR$5+GanttPeriod),"◇","")),IF(AND(AR$5&lt;=$F170,AR$5+GanttPeriod-1&gt;=$E170),"━","")))</f>
        <v/>
      </c>
      <c r="AS170" s="69" t="str">
        <f aca="false">IF($E170="","",IF($M170,IF(AND($G170&gt;=AS$5,$G170&lt;AS$5+GanttPeriod),"◆",IF(AND($E170&gt;=AS$5,$E170&lt;AS$5+GanttPeriod),"◇","")),IF(AND(AS$5&lt;=$F170,AS$5+GanttPeriod-1&gt;=$E170),"━","")))</f>
        <v/>
      </c>
      <c r="AT170" s="69" t="str">
        <f aca="false">IF($E170="","",IF($M170,IF(AND($G170&gt;=AT$5,$G170&lt;AT$5+GanttPeriod),"◆",IF(AND($E170&gt;=AT$5,$E170&lt;AT$5+GanttPeriod),"◇","")),IF(AND(AT$5&lt;=$F170,AT$5+GanttPeriod-1&gt;=$E170),"━","")))</f>
        <v/>
      </c>
      <c r="AU170" s="69" t="str">
        <f aca="false">IF($E170="","",IF($M170,IF(AND($G170&gt;=AU$5,$G170&lt;AU$5+GanttPeriod),"◆",IF(AND($E170&gt;=AU$5,$E170&lt;AU$5+GanttPeriod),"◇","")),IF(AND(AU$5&lt;=$F170,AU$5+GanttPeriod-1&gt;=$E170),"━","")))</f>
        <v/>
      </c>
      <c r="AV170" s="69" t="str">
        <f aca="false">IF($E170="","",IF($M170,IF(AND($G170&gt;=AV$5,$G170&lt;AV$5+GanttPeriod),"◆",IF(AND($E170&gt;=AV$5,$E170&lt;AV$5+GanttPeriod),"◇","")),IF(AND(AV$5&lt;=$F170,AV$5+GanttPeriod-1&gt;=$E170),"━","")))</f>
        <v/>
      </c>
      <c r="AW170" s="69" t="str">
        <f aca="false">IF($E170="","",IF($M170,IF(AND($G170&gt;=AW$5,$G170&lt;AW$5+GanttPeriod),"◆",IF(AND($E170&gt;=AW$5,$E170&lt;AW$5+GanttPeriod),"◇","")),IF(AND(AW$5&lt;=$F170,AW$5+GanttPeriod-1&gt;=$E170),"━","")))</f>
        <v/>
      </c>
      <c r="AX170" s="69" t="str">
        <f aca="false">IF($E170="","",IF($M170,IF(AND($G170&gt;=AX$5,$G170&lt;AX$5+GanttPeriod),"◆",IF(AND($E170&gt;=AX$5,$E170&lt;AX$5+GanttPeriod),"◇","")),IF(AND(AX$5&lt;=$F170,AX$5+GanttPeriod-1&gt;=$E170),"━","")))</f>
        <v/>
      </c>
      <c r="AY170" s="69" t="str">
        <f aca="false">IF($E170="","",IF($M170,IF(AND($G170&gt;=AY$5,$G170&lt;AY$5+GanttPeriod),"◆",IF(AND($E170&gt;=AY$5,$E170&lt;AY$5+GanttPeriod),"◇","")),IF(AND(AY$5&lt;=$F170,AY$5+GanttPeriod-1&gt;=$E170),"━","")))</f>
        <v/>
      </c>
      <c r="AZ170" s="69" t="str">
        <f aca="false">IF($E170="","",IF($M170,IF(AND($G170&gt;=AZ$5,$G170&lt;AZ$5+GanttPeriod),"◆",IF(AND($E170&gt;=AZ$5,$E170&lt;AZ$5+GanttPeriod),"◇","")),IF(AND(AZ$5&lt;=$F170,AZ$5+GanttPeriod-1&gt;=$E170),"━","")))</f>
        <v/>
      </c>
      <c r="BA170" s="69" t="str">
        <f aca="false">IF($E170="","",IF($M170,IF(AND($G170&gt;=BA$5,$G170&lt;BA$5+GanttPeriod),"◆",IF(AND($E170&gt;=BA$5,$E170&lt;BA$5+GanttPeriod),"◇","")),IF(AND(BA$5&lt;=$F170,BA$5+GanttPeriod-1&gt;=$E170),"━","")))</f>
        <v/>
      </c>
      <c r="BB170" s="69" t="str">
        <f aca="false">IF($E170="","",IF($M170,IF(AND($G170&gt;=BB$5,$G170&lt;BB$5+GanttPeriod),"◆",IF(AND($E170&gt;=BB$5,$E170&lt;BB$5+GanttPeriod),"◇","")),IF(AND(BB$5&lt;=$F170,BB$5+GanttPeriod-1&gt;=$E170),"━","")))</f>
        <v/>
      </c>
      <c r="BC170" s="69" t="str">
        <f aca="false">IF($E170="","",IF($M170,IF(AND($G170&gt;=BC$5,$G170&lt;BC$5+GanttPeriod),"◆",IF(AND($E170&gt;=BC$5,$E170&lt;BC$5+GanttPeriod),"◇","")),IF(AND(BC$5&lt;=$F170,BC$5+GanttPeriod-1&gt;=$E170),"━","")))</f>
        <v/>
      </c>
      <c r="BD170" s="69" t="str">
        <f aca="false">IF($E170="","",IF($M170,IF(AND($G170&gt;=BD$5,$G170&lt;BD$5+GanttPeriod),"◆",IF(AND($E170&gt;=BD$5,$E170&lt;BD$5+GanttPeriod),"◇","")),IF(AND(BD$5&lt;=$F170,BD$5+GanttPeriod-1&gt;=$E170),"━","")))</f>
        <v/>
      </c>
      <c r="BE170" s="69" t="str">
        <f aca="false">IF($E170="","",IF($M170,IF(AND($G170&gt;=BE$5,$G170&lt;BE$5+GanttPeriod),"◆",IF(AND($E170&gt;=BE$5,$E170&lt;BE$5+GanttPeriod),"◇","")),IF(AND(BE$5&lt;=$F170,BE$5+GanttPeriod-1&gt;=$E170),"━","")))</f>
        <v/>
      </c>
      <c r="BF170" s="69" t="str">
        <f aca="false">IF($E170="","",IF($M170,IF(AND($G170&gt;=BF$5,$G170&lt;BF$5+GanttPeriod),"◆",IF(AND($E170&gt;=BF$5,$E170&lt;BF$5+GanttPeriod),"◇","")),IF(AND(BF$5&lt;=$F170,BF$5+GanttPeriod-1&gt;=$E170),"━","")))</f>
        <v/>
      </c>
      <c r="BG170" s="69" t="str">
        <f aca="false">IF($E170="","",IF($M170,IF(AND($G170&gt;=BG$5,$G170&lt;BG$5+GanttPeriod),"◆",IF(AND($E170&gt;=BG$5,$E170&lt;BG$5+GanttPeriod),"◇","")),IF(AND(BG$5&lt;=$F170,BG$5+GanttPeriod-1&gt;=$E170),"━","")))</f>
        <v/>
      </c>
      <c r="BH170" s="69" t="str">
        <f aca="false">IF($E170="","",IF($M170,IF(AND($G170&gt;=BH$5,$G170&lt;BH$5+GanttPeriod),"◆",IF(AND($E170&gt;=BH$5,$E170&lt;BH$5+GanttPeriod),"◇","")),IF(AND(BH$5&lt;=$F170,BH$5+GanttPeriod-1&gt;=$E170),"━","")))</f>
        <v/>
      </c>
      <c r="BI170" s="69" t="str">
        <f aca="false">IF($E170="","",IF($M170,IF(AND($G170&gt;=BI$5,$G170&lt;BI$5+GanttPeriod),"◆",IF(AND($E170&gt;=BI$5,$E170&lt;BI$5+GanttPeriod),"◇","")),IF(AND(BI$5&lt;=$F170,BI$5+GanttPeriod-1&gt;=$E170),"━","")))</f>
        <v/>
      </c>
      <c r="BJ170" s="69" t="str">
        <f aca="false">IF($E170="","",IF($M170,IF(AND($G170&gt;=BJ$5,$G170&lt;BJ$5+GanttPeriod),"◆",IF(AND($E170&gt;=BJ$5,$E170&lt;BJ$5+GanttPeriod),"◇","")),IF(AND(BJ$5&lt;=$F170,BJ$5+GanttPeriod-1&gt;=$E170),"━","")))</f>
        <v/>
      </c>
      <c r="BK170" s="69" t="str">
        <f aca="false">IF($E170="","",IF($M170,IF(AND($G170&gt;=BK$5,$G170&lt;BK$5+GanttPeriod),"◆",IF(AND($E170&gt;=BK$5,$E170&lt;BK$5+GanttPeriod),"◇","")),IF(AND(BK$5&lt;=$F170,BK$5+GanttPeriod-1&gt;=$E170),"━","")))</f>
        <v/>
      </c>
      <c r="BL170" s="69" t="str">
        <f aca="false">IF($E170="","",IF($M170,IF(AND($G170&gt;=BL$5,$G170&lt;BL$5+GanttPeriod),"◆",IF(AND($E170&gt;=BL$5,$E170&lt;BL$5+GanttPeriod),"◇","")),IF(AND(BL$5&lt;=$F170,BL$5+GanttPeriod-1&gt;=$E170),"━","")))</f>
        <v/>
      </c>
      <c r="BM170" s="69" t="str">
        <f aca="false">IF($E170="","",IF($M170,IF(AND($G170&gt;=BM$5,$G170&lt;BM$5+GanttPeriod),"◆",IF(AND($E170&gt;=BM$5,$E170&lt;BM$5+GanttPeriod),"◇","")),IF(AND(BM$5&lt;=$F170,BM$5+GanttPeriod-1&gt;=$E170),"━","")))</f>
        <v/>
      </c>
      <c r="BN170" s="69" t="str">
        <f aca="false">IF($E170="","",IF($M170,IF(AND($G170&gt;=BN$5,$G170&lt;BN$5+GanttPeriod),"◆",IF(AND($E170&gt;=BN$5,$E170&lt;BN$5+GanttPeriod),"◇","")),IF(AND(BN$5&lt;=$F170,BN$5+GanttPeriod-1&gt;=$E170),"━","")))</f>
        <v/>
      </c>
      <c r="BO170" s="69" t="str">
        <f aca="false">IF($E170="","",IF($M170,IF(AND($G170&gt;=BO$5,$G170&lt;BO$5+GanttPeriod),"◆",IF(AND($E170&gt;=BO$5,$E170&lt;BO$5+GanttPeriod),"◇","")),IF(AND(BO$5&lt;=$F170,BO$5+GanttPeriod-1&gt;=$E170),"━","")))</f>
        <v/>
      </c>
      <c r="BP170" s="69" t="str">
        <f aca="false">IF($E170="","",IF($M170,IF(AND($G170&gt;=BP$5,$G170&lt;BP$5+GanttPeriod),"◆",IF(AND($E170&gt;=BP$5,$E170&lt;BP$5+GanttPeriod),"◇","")),IF(AND(BP$5&lt;=$F170,BP$5+GanttPeriod-1&gt;=$E170),"━","")))</f>
        <v/>
      </c>
      <c r="BQ170" s="69" t="str">
        <f aca="false">IF($E170="","",IF($M170,IF(AND($G170&gt;=BQ$5,$G170&lt;BQ$5+GanttPeriod),"◆",IF(AND($E170&gt;=BQ$5,$E170&lt;BQ$5+GanttPeriod),"◇","")),IF(AND(BQ$5&lt;=$F170,BQ$5+GanttPeriod-1&gt;=$E170),"━","")))</f>
        <v/>
      </c>
      <c r="BR170" s="69" t="str">
        <f aca="false">IF($E170="","",IF($M170,IF(AND($G170&gt;=BR$5,$G170&lt;BR$5+GanttPeriod),"◆",IF(AND($E170&gt;=BR$5,$E170&lt;BR$5+GanttPeriod),"◇","")),IF(AND(BR$5&lt;=$F170,BR$5+GanttPeriod-1&gt;=$E170),"━","")))</f>
        <v/>
      </c>
      <c r="BS170" s="69" t="str">
        <f aca="false">IF($E170="","",IF($M170,IF(AND($G170&gt;=BS$5,$G170&lt;BS$5+GanttPeriod),"◆",IF(AND($E170&gt;=BS$5,$E170&lt;BS$5+GanttPeriod),"◇","")),IF(AND(BS$5&lt;=$F170,BS$5+GanttPeriod-1&gt;=$E170),"━","")))</f>
        <v/>
      </c>
      <c r="BT170" s="69" t="str">
        <f aca="false">IF($E170="","",IF($M170,IF(AND($G170&gt;=BT$5,$G170&lt;BT$5+GanttPeriod),"◆",IF(AND($E170&gt;=BT$5,$E170&lt;BT$5+GanttPeriod),"◇","")),IF(AND(BT$5&lt;=$F170,BT$5+GanttPeriod-1&gt;=$E170),"━","")))</f>
        <v/>
      </c>
      <c r="BU170" s="69" t="str">
        <f aca="false">IF($E170="","",IF($M170,IF(AND($G170&gt;=BU$5,$G170&lt;BU$5+GanttPeriod),"◆",IF(AND($E170&gt;=BU$5,$E170&lt;BU$5+GanttPeriod),"◇","")),IF(AND(BU$5&lt;=$F170,BU$5+GanttPeriod-1&gt;=$E170),"━","")))</f>
        <v/>
      </c>
      <c r="BV170" s="69" t="str">
        <f aca="false">IF($E170="","",IF($M170,IF(AND($G170&gt;=BV$5,$G170&lt;BV$5+GanttPeriod),"◆",IF(AND($E170&gt;=BV$5,$E170&lt;BV$5+GanttPeriod),"◇","")),IF(AND(BV$5&lt;=$F170,BV$5+GanttPeriod-1&gt;=$E170),"━","")))</f>
        <v/>
      </c>
      <c r="BW170" s="69" t="str">
        <f aca="false">IF($E170="","",IF($M170,IF(AND($G170&gt;=BW$5,$G170&lt;BW$5+GanttPeriod),"◆",IF(AND($E170&gt;=BW$5,$E170&lt;BW$5+GanttPeriod),"◇","")),IF(AND(BW$5&lt;=$F170,BW$5+GanttPeriod-1&gt;=$E170),"━","")))</f>
        <v/>
      </c>
      <c r="BX170" s="69" t="str">
        <f aca="false">IF($E170="","",IF($M170,IF(AND($G170&gt;=BX$5,$G170&lt;BX$5+GanttPeriod),"◆",IF(AND($E170&gt;=BX$5,$E170&lt;BX$5+GanttPeriod),"◇","")),IF(AND(BX$5&lt;=$F170,BX$5+GanttPeriod-1&gt;=$E170),"━","")))</f>
        <v/>
      </c>
      <c r="BY170" s="69" t="str">
        <f aca="false">IF($E170="","",IF($M170,IF(AND($G170&gt;=BY$5,$G170&lt;BY$5+GanttPeriod),"◆",IF(AND($E170&gt;=BY$5,$E170&lt;BY$5+GanttPeriod),"◇","")),IF(AND(BY$5&lt;=$F170,BY$5+GanttPeriod-1&gt;=$E170),"━","")))</f>
        <v/>
      </c>
      <c r="BZ170" s="69" t="str">
        <f aca="false">IF($E170="","",IF($M170,IF(AND($G170&gt;=BZ$5,$G170&lt;BZ$5+GanttPeriod),"◆",IF(AND($E170&gt;=BZ$5,$E170&lt;BZ$5+GanttPeriod),"◇","")),IF(AND(BZ$5&lt;=$F170,BZ$5+GanttPeriod-1&gt;=$E170),"━","")))</f>
        <v/>
      </c>
      <c r="CA170" s="69" t="str">
        <f aca="false">IF($E170="","",IF($M170,IF(AND($G170&gt;=CA$5,$G170&lt;CA$5+GanttPeriod),"◆",IF(AND($E170&gt;=CA$5,$E170&lt;CA$5+GanttPeriod),"◇","")),IF(AND(CA$5&lt;=$F170,CA$5+GanttPeriod-1&gt;=$E170),"━","")))</f>
        <v/>
      </c>
      <c r="CB170" s="69" t="str">
        <f aca="false">IF($E170="","",IF($M170,IF(AND($G170&gt;=CB$5,$G170&lt;CB$5+GanttPeriod),"◆",IF(AND($E170&gt;=CB$5,$E170&lt;CB$5+GanttPeriod),"◇","")),IF(AND(CB$5&lt;=$F170,CB$5+GanttPeriod-1&gt;=$E170),"━","")))</f>
        <v/>
      </c>
      <c r="CC170" s="69" t="str">
        <f aca="false">IF($E170="","",IF($M170,IF(AND($G170&gt;=CC$5,$G170&lt;CC$5+GanttPeriod),"◆",IF(AND($E170&gt;=CC$5,$E170&lt;CC$5+GanttPeriod),"◇","")),IF(AND(CC$5&lt;=$F170,CC$5+GanttPeriod-1&gt;=$E170),"━","")))</f>
        <v/>
      </c>
      <c r="CD170" s="69" t="str">
        <f aca="false">IF($E170="","",IF($M170,IF(AND($G170&gt;=CD$5,$G170&lt;CD$5+GanttPeriod),"◆",IF(AND($E170&gt;=CD$5,$E170&lt;CD$5+GanttPeriod),"◇","")),IF(AND(CD$5&lt;=$F170,CD$5+GanttPeriod-1&gt;=$E170),"━","")))</f>
        <v/>
      </c>
      <c r="CE170" s="69" t="str">
        <f aca="false">IF($E170="","",IF($M170,IF(AND($G170&gt;=CE$5,$G170&lt;CE$5+GanttPeriod),"◆",IF(AND($E170&gt;=CE$5,$E170&lt;CE$5+GanttPeriod),"◇","")),IF(AND(CE$5&lt;=$F170,CE$5+GanttPeriod-1&gt;=$E170),"━","")))</f>
        <v/>
      </c>
      <c r="CF170" s="69" t="str">
        <f aca="false">IF($E170="","",IF($M170,IF(AND($G170&gt;=CF$5,$G170&lt;CF$5+GanttPeriod),"◆",IF(AND($E170&gt;=CF$5,$E170&lt;CF$5+GanttPeriod),"◇","")),IF(AND(CF$5&lt;=$F170,CF$5+GanttPeriod-1&gt;=$E170),"━","")))</f>
        <v/>
      </c>
      <c r="CG170" s="69" t="str">
        <f aca="false">IF($E170="","",IF($M170,IF(AND($G170&gt;=CG$5,$G170&lt;CG$5+GanttPeriod),"◆",IF(AND($E170&gt;=CG$5,$E170&lt;CG$5+GanttPeriod),"◇","")),IF(AND(CG$5&lt;=$F170,CG$5+GanttPeriod-1&gt;=$E170),"━","")))</f>
        <v/>
      </c>
      <c r="CH170" s="69" t="str">
        <f aca="false">IF($E170="","",IF($M170,IF(AND($G170&gt;=CH$5,$G170&lt;CH$5+GanttPeriod),"◆",IF(AND($E170&gt;=CH$5,$E170&lt;CH$5+GanttPeriod),"◇","")),IF(AND(CH$5&lt;=$F170,CH$5+GanttPeriod-1&gt;=$E170),"━","")))</f>
        <v/>
      </c>
      <c r="CI170" s="69" t="str">
        <f aca="false">IF($E170="","",IF($M170,IF(AND($G170&gt;=CI$5,$G170&lt;CI$5+GanttPeriod),"◆",IF(AND($E170&gt;=CI$5,$E170&lt;CI$5+GanttPeriod),"◇","")),IF(AND(CI$5&lt;=$F170,CI$5+GanttPeriod-1&gt;=$E170),"━","")))</f>
        <v/>
      </c>
      <c r="CJ170" s="69" t="str">
        <f aca="false">IF($E170="","",IF($M170,IF(AND($G170&gt;=CJ$5,$G170&lt;CJ$5+GanttPeriod),"◆",IF(AND($E170&gt;=CJ$5,$E170&lt;CJ$5+GanttPeriod),"◇","")),IF(AND(CJ$5&lt;=$F170,CJ$5+GanttPeriod-1&gt;=$E170),"━","")))</f>
        <v/>
      </c>
      <c r="CK170" s="69" t="str">
        <f aca="false">IF($E170="","",IF($M170,IF(AND($G170&gt;=CK$5,$G170&lt;CK$5+GanttPeriod),"◆",IF(AND($E170&gt;=CK$5,$E170&lt;CK$5+GanttPeriod),"◇","")),IF(AND(CK$5&lt;=$F170,CK$5+GanttPeriod-1&gt;=$E170),"━","")))</f>
        <v/>
      </c>
      <c r="CL170" s="69" t="str">
        <f aca="false">IF($E170="","",IF($M170,IF(AND($G170&gt;=CL$5,$G170&lt;CL$5+GanttPeriod),"◆",IF(AND($E170&gt;=CL$5,$E170&lt;CL$5+GanttPeriod),"◇","")),IF(AND(CL$5&lt;=$F170,CL$5+GanttPeriod-1&gt;=$E170),"━","")))</f>
        <v/>
      </c>
      <c r="CM170" s="69" t="str">
        <f aca="false">IF($E170="","",IF($M170,IF(AND($G170&gt;=CM$5,$G170&lt;CM$5+GanttPeriod),"◆",IF(AND($E170&gt;=CM$5,$E170&lt;CM$5+GanttPeriod),"◇","")),IF(AND(CM$5&lt;=$F170,CM$5+GanttPeriod-1&gt;=$E170),"━","")))</f>
        <v/>
      </c>
      <c r="CN170" s="69" t="str">
        <f aca="false">IF($E170="","",IF($M170,IF(AND($G170&gt;=CN$5,$G170&lt;CN$5+GanttPeriod),"◆",IF(AND($E170&gt;=CN$5,$E170&lt;CN$5+GanttPeriod),"◇","")),IF(AND(CN$5&lt;=$F170,CN$5+GanttPeriod-1&gt;=$E170),"━","")))</f>
        <v/>
      </c>
      <c r="CO170" s="69" t="str">
        <f aca="false">IF($E170="","",IF($M170,IF(AND($G170&gt;=CO$5,$G170&lt;CO$5+GanttPeriod),"◆",IF(AND($E170&gt;=CO$5,$E170&lt;CO$5+GanttPeriod),"◇","")),IF(AND(CO$5&lt;=$F170,CO$5+GanttPeriod-1&gt;=$E170),"━","")))</f>
        <v/>
      </c>
      <c r="CP170" s="69" t="str">
        <f aca="false">IF($E170="","",IF($M170,IF(AND($G170&gt;=CP$5,$G170&lt;CP$5+GanttPeriod),"◆",IF(AND($E170&gt;=CP$5,$E170&lt;CP$5+GanttPeriod),"◇","")),IF(AND(CP$5&lt;=$F170,CP$5+GanttPeriod-1&gt;=$E170),"━","")))</f>
        <v/>
      </c>
      <c r="CQ170" s="69" t="str">
        <f aca="false">IF($E170="","",IF($M170,IF(AND($G170&gt;=CQ$5,$G170&lt;CQ$5+GanttPeriod),"◆",IF(AND($E170&gt;=CQ$5,$E170&lt;CQ$5+GanttPeriod),"◇","")),IF(AND(CQ$5&lt;=$F170,CQ$5+GanttPeriod-1&gt;=$E170),"━","")))</f>
        <v/>
      </c>
      <c r="CR170" s="69" t="str">
        <f aca="false">IF($E170="","",IF($M170,IF(AND($G170&gt;=CR$5,$G170&lt;CR$5+GanttPeriod),"◆",IF(AND($E170&gt;=CR$5,$E170&lt;CR$5+GanttPeriod),"◇","")),IF(AND(CR$5&lt;=$F170,CR$5+GanttPeriod-1&gt;=$E170),"━","")))</f>
        <v/>
      </c>
      <c r="CS170" s="69" t="str">
        <f aca="false">IF($E170="","",IF($M170,IF(AND($G170&gt;=CS$5,$G170&lt;CS$5+GanttPeriod),"◆",IF(AND($E170&gt;=CS$5,$E170&lt;CS$5+GanttPeriod),"◇","")),IF(AND(CS$5&lt;=$F170,CS$5+GanttPeriod-1&gt;=$E170),"━","")))</f>
        <v/>
      </c>
      <c r="CT170" s="69" t="str">
        <f aca="false">IF($E170="","",IF($M170,IF(AND($G170&gt;=CT$5,$G170&lt;CT$5+GanttPeriod),"◆",IF(AND($E170&gt;=CT$5,$E170&lt;CT$5+GanttPeriod),"◇","")),IF(AND(CT$5&lt;=$F170,CT$5+GanttPeriod-1&gt;=$E170),"━","")))</f>
        <v/>
      </c>
      <c r="CU170" s="69" t="str">
        <f aca="false">IF($E170="","",IF($M170,IF(AND($G170&gt;=CU$5,$G170&lt;CU$5+GanttPeriod),"◆",IF(AND($E170&gt;=CU$5,$E170&lt;CU$5+GanttPeriod),"◇","")),IF(AND(CU$5&lt;=$F170,CU$5+GanttPeriod-1&gt;=$E170),"━","")))</f>
        <v/>
      </c>
      <c r="CV170" s="69" t="str">
        <f aca="false">IF($E170="","",IF($M170,IF(AND($G170&gt;=CV$5,$G170&lt;CV$5+GanttPeriod),"◆",IF(AND($E170&gt;=CV$5,$E170&lt;CV$5+GanttPeriod),"◇","")),IF(AND(CV$5&lt;=$F170,CV$5+GanttPeriod-1&gt;=$E170),"━","")))</f>
        <v/>
      </c>
      <c r="CW170" s="69" t="str">
        <f aca="false">IF($E170="","",IF($M170,IF(AND($G170&gt;=CW$5,$G170&lt;CW$5+GanttPeriod),"◆",IF(AND($E170&gt;=CW$5,$E170&lt;CW$5+GanttPeriod),"◇","")),IF(AND(CW$5&lt;=$F170,CW$5+GanttPeriod-1&gt;=$E170),"━","")))</f>
        <v/>
      </c>
      <c r="CX170" s="69" t="str">
        <f aca="false">IF($E170="","",IF($M170,IF(AND($G170&gt;=CX$5,$G170&lt;CX$5+GanttPeriod),"◆",IF(AND($E170&gt;=CX$5,$E170&lt;CX$5+GanttPeriod),"◇","")),IF(AND(CX$5&lt;=$F170,CX$5+GanttPeriod-1&gt;=$E170),"━","")))</f>
        <v/>
      </c>
      <c r="CY170" s="69" t="str">
        <f aca="false">IF($E170="","",IF($M170,IF(AND($G170&gt;=CY$5,$G170&lt;CY$5+GanttPeriod),"◆",IF(AND($E170&gt;=CY$5,$E170&lt;CY$5+GanttPeriod),"◇","")),IF(AND(CY$5&lt;=$F170,CY$5+GanttPeriod-1&gt;=$E170),"━","")))</f>
        <v/>
      </c>
      <c r="CZ170" s="69" t="str">
        <f aca="false">IF($E170="","",IF($M170,IF(AND($G170&gt;=CZ$5,$G170&lt;CZ$5+GanttPeriod),"◆",IF(AND($E170&gt;=CZ$5,$E170&lt;CZ$5+GanttPeriod),"◇","")),IF(AND(CZ$5&lt;=$F170,CZ$5+GanttPeriod-1&gt;=$E170),"━","")))</f>
        <v/>
      </c>
      <c r="DA170" s="69" t="str">
        <f aca="false">IF($E170="","",IF($M170,IF(AND($G170&gt;=DA$5,$G170&lt;DA$5+GanttPeriod),"◆",IF(AND($E170&gt;=DA$5,$E170&lt;DA$5+GanttPeriod),"◇","")),IF(AND(DA$5&lt;=$F170,DA$5+GanttPeriod-1&gt;=$E170),"━","")))</f>
        <v/>
      </c>
      <c r="DB170" s="69" t="str">
        <f aca="false">IF($E170="","",IF($M170,IF(AND($G170&gt;=DB$5,$G170&lt;DB$5+GanttPeriod),"◆",IF(AND($E170&gt;=DB$5,$E170&lt;DB$5+GanttPeriod),"◇","")),IF(AND(DB$5&lt;=$F170,DB$5+GanttPeriod-1&gt;=$E170),"━","")))</f>
        <v/>
      </c>
      <c r="DC170" s="69" t="str">
        <f aca="false">IF($E170="","",IF($M170,IF(AND($G170&gt;=DC$5,$G170&lt;DC$5+GanttPeriod),"◆",IF(AND($E170&gt;=DC$5,$E170&lt;DC$5+GanttPeriod),"◇","")),IF(AND(DC$5&lt;=$F170,DC$5+GanttPeriod-1&gt;=$E170),"━","")))</f>
        <v/>
      </c>
      <c r="DD170" s="69" t="str">
        <f aca="false">IF($E170="","",IF($M170,IF(AND($G170&gt;=DD$5,$G170&lt;DD$5+GanttPeriod),"◆",IF(AND($E170&gt;=DD$5,$E170&lt;DD$5+GanttPeriod),"◇","")),IF(AND(DD$5&lt;=$F170,DD$5+GanttPeriod-1&gt;=$E170),"━","")))</f>
        <v/>
      </c>
      <c r="DE170" s="69" t="str">
        <f aca="false">IF($E170="","",IF($M170,IF(AND($G170&gt;=DE$5,$G170&lt;DE$5+GanttPeriod),"◆",IF(AND($E170&gt;=DE$5,$E170&lt;DE$5+GanttPeriod),"◇","")),IF(AND(DE$5&lt;=$F170,DE$5+GanttPeriod-1&gt;=$E170),"━","")))</f>
        <v/>
      </c>
      <c r="DF170" s="69" t="str">
        <f aca="false">IF($E170="","",IF($M170,IF(AND($G170&gt;=DF$5,$G170&lt;DF$5+GanttPeriod),"◆",IF(AND($E170&gt;=DF$5,$E170&lt;DF$5+GanttPeriod),"◇","")),IF(AND(DF$5&lt;=$F170,DF$5+GanttPeriod-1&gt;=$E170),"━","")))</f>
        <v/>
      </c>
      <c r="DG170" s="69" t="str">
        <f aca="false">IF($E170="","",IF($M170,IF(AND($G170&gt;=DG$5,$G170&lt;DG$5+GanttPeriod),"◆",IF(AND($E170&gt;=DG$5,$E170&lt;DG$5+GanttPeriod),"◇","")),IF(AND(DG$5&lt;=$F170,DG$5+GanttPeriod-1&gt;=$E170),"━","")))</f>
        <v/>
      </c>
      <c r="DH170" s="69" t="str">
        <f aca="false">IF($E170="","",IF($M170,IF(AND($G170&gt;=DH$5,$G170&lt;DH$5+GanttPeriod),"◆",IF(AND($E170&gt;=DH$5,$E170&lt;DH$5+GanttPeriod),"◇","")),IF(AND(DH$5&lt;=$F170,DH$5+GanttPeriod-1&gt;=$E170),"━","")))</f>
        <v/>
      </c>
      <c r="DI170" s="69" t="str">
        <f aca="false">IF($E170="","",IF($M170,IF(AND($G170&gt;=DI$5,$G170&lt;DI$5+GanttPeriod),"◆",IF(AND($E170&gt;=DI$5,$E170&lt;DI$5+GanttPeriod),"◇","")),IF(AND(DI$5&lt;=$F170,DI$5+GanttPeriod-1&gt;=$E170),"━","")))</f>
        <v/>
      </c>
      <c r="DJ170" s="69" t="str">
        <f aca="false">IF($E170="","",IF($M170,IF(AND($G170&gt;=DJ$5,$G170&lt;DJ$5+GanttPeriod),"◆",IF(AND($E170&gt;=DJ$5,$E170&lt;DJ$5+GanttPeriod),"◇","")),IF(AND(DJ$5&lt;=$F170,DJ$5+GanttPeriod-1&gt;=$E170),"━","")))</f>
        <v/>
      </c>
      <c r="DK170" s="69" t="str">
        <f aca="false">IF($E170="","",IF($M170,IF(AND($G170&gt;=DK$5,$G170&lt;DK$5+GanttPeriod),"◆",IF(AND($E170&gt;=DK$5,$E170&lt;DK$5+GanttPeriod),"◇","")),IF(AND(DK$5&lt;=$F170,DK$5+GanttPeriod-1&gt;=$E170),"━","")))</f>
        <v/>
      </c>
      <c r="DL170" s="69" t="str">
        <f aca="false">IF($E170="","",IF($M170,IF(AND($G170&gt;=DL$5,$G170&lt;DL$5+GanttPeriod),"◆",IF(AND($E170&gt;=DL$5,$E170&lt;DL$5+GanttPeriod),"◇","")),IF(AND(DL$5&lt;=$F170,DL$5+GanttPeriod-1&gt;=$E170),"━","")))</f>
        <v/>
      </c>
      <c r="DM170" s="69" t="str">
        <f aca="false">IF($E170="","",IF($M170,IF(AND($G170&gt;=DM$5,$G170&lt;DM$5+GanttPeriod),"◆",IF(AND($E170&gt;=DM$5,$E170&lt;DM$5+GanttPeriod),"◇","")),IF(AND(DM$5&lt;=$F170,DM$5+GanttPeriod-1&gt;=$E170),"━","")))</f>
        <v/>
      </c>
      <c r="DN170" s="69" t="str">
        <f aca="false">IF($E170="","",IF($M170,IF(AND($G170&gt;=DN$5,$G170&lt;DN$5+GanttPeriod),"◆",IF(AND($E170&gt;=DN$5,$E170&lt;DN$5+GanttPeriod),"◇","")),IF(AND(DN$5&lt;=$F170,DN$5+GanttPeriod-1&gt;=$E170),"━","")))</f>
        <v/>
      </c>
      <c r="DO170" s="69" t="str">
        <f aca="false">IF($E170="","",IF($M170,IF(AND($G170&gt;=DO$5,$G170&lt;DO$5+GanttPeriod),"◆",IF(AND($E170&gt;=DO$5,$E170&lt;DO$5+GanttPeriod),"◇","")),IF(AND(DO$5&lt;=$F170,DO$5+GanttPeriod-1&gt;=$E170),"━","")))</f>
        <v/>
      </c>
      <c r="DP170" s="69" t="str">
        <f aca="false">IF($E170="","",IF($M170,IF(AND($G170&gt;=DP$5,$G170&lt;DP$5+GanttPeriod),"◆",IF(AND($E170&gt;=DP$5,$E170&lt;DP$5+GanttPeriod),"◇","")),IF(AND(DP$5&lt;=$F170,DP$5+GanttPeriod-1&gt;=$E170),"━","")))</f>
        <v/>
      </c>
      <c r="DQ170" s="69" t="str">
        <f aca="false">IF($E170="","",IF($M170,IF(AND($G170&gt;=DQ$5,$G170&lt;DQ$5+GanttPeriod),"◆",IF(AND($E170&gt;=DQ$5,$E170&lt;DQ$5+GanttPeriod),"◇","")),IF(AND(DQ$5&lt;=$F170,DQ$5+GanttPeriod-1&gt;=$E170),"━","")))</f>
        <v/>
      </c>
      <c r="DR170" s="69" t="str">
        <f aca="false">IF($E170="","",IF($M170,IF(AND($G170&gt;=DR$5,$G170&lt;DR$5+GanttPeriod),"◆",IF(AND($E170&gt;=DR$5,$E170&lt;DR$5+GanttPeriod),"◇","")),IF(AND(DR$5&lt;=$F170,DR$5+GanttPeriod-1&gt;=$E170),"━","")))</f>
        <v/>
      </c>
      <c r="DS170" s="69" t="str">
        <f aca="false">IF($E170="","",IF($M170,IF(AND($G170&gt;=DS$5,$G170&lt;DS$5+GanttPeriod),"◆",IF(AND($E170&gt;=DS$5,$E170&lt;DS$5+GanttPeriod),"◇","")),IF(AND(DS$5&lt;=$F170,DS$5+GanttPeriod-1&gt;=$E170),"━","")))</f>
        <v/>
      </c>
      <c r="DT170" s="69" t="str">
        <f aca="false">IF($E170="","",IF($M170,IF(AND($G170&gt;=DT$5,$G170&lt;DT$5+GanttPeriod),"◆",IF(AND($E170&gt;=DT$5,$E170&lt;DT$5+GanttPeriod),"◇","")),IF(AND(DT$5&lt;=$F170,DT$5+GanttPeriod-1&gt;=$E170),"━","")))</f>
        <v/>
      </c>
      <c r="DU170" s="69" t="str">
        <f aca="false">IF($E170="","",IF($M170,IF(AND($G170&gt;=DU$5,$G170&lt;DU$5+GanttPeriod),"◆",IF(AND($E170&gt;=DU$5,$E170&lt;DU$5+GanttPeriod),"◇","")),IF(AND(DU$5&lt;=$F170,DU$5+GanttPeriod-1&gt;=$E170),"━","")))</f>
        <v/>
      </c>
      <c r="DV170" s="69" t="str">
        <f aca="false">IF($E170="","",IF($M170,IF(AND($G170&gt;=DV$5,$G170&lt;DV$5+GanttPeriod),"◆",IF(AND($E170&gt;=DV$5,$E170&lt;DV$5+GanttPeriod),"◇","")),IF(AND(DV$5&lt;=$F170,DV$5+GanttPeriod-1&gt;=$E170),"━","")))</f>
        <v/>
      </c>
      <c r="DW170" s="69" t="str">
        <f aca="false">IF($E170="","",IF($M170,IF(AND($G170&gt;=DW$5,$G170&lt;DW$5+GanttPeriod),"◆",IF(AND($E170&gt;=DW$5,$E170&lt;DW$5+GanttPeriod),"◇","")),IF(AND(DW$5&lt;=$F170,DW$5+GanttPeriod-1&gt;=$E170),"━","")))</f>
        <v/>
      </c>
      <c r="DX170" s="69" t="str">
        <f aca="false">IF($E170="","",IF($M170,IF(AND($G170&gt;=DX$5,$G170&lt;DX$5+GanttPeriod),"◆",IF(AND($E170&gt;=DX$5,$E170&lt;DX$5+GanttPeriod),"◇","")),IF(AND(DX$5&lt;=$F170,DX$5+GanttPeriod-1&gt;=$E170),"━","")))</f>
        <v/>
      </c>
      <c r="DY170" s="69" t="str">
        <f aca="false">IF($E170="","",IF($M170,IF(AND($G170&gt;=DY$5,$G170&lt;DY$5+GanttPeriod),"◆",IF(AND($E170&gt;=DY$5,$E170&lt;DY$5+GanttPeriod),"◇","")),IF(AND(DY$5&lt;=$F170,DY$5+GanttPeriod-1&gt;=$E170),"━","")))</f>
        <v/>
      </c>
      <c r="DZ170" s="69" t="str">
        <f aca="false">IF($E170="","",IF($M170,IF(AND($G170&gt;=DZ$5,$G170&lt;DZ$5+GanttPeriod),"◆",IF(AND($E170&gt;=DZ$5,$E170&lt;DZ$5+GanttPeriod),"◇","")),IF(AND(DZ$5&lt;=$F170,DZ$5+GanttPeriod-1&gt;=$E170),"━","")))</f>
        <v/>
      </c>
      <c r="EA170" s="69" t="str">
        <f aca="false">IF($E170="","",IF($M170,IF(AND($G170&gt;=EA$5,$G170&lt;EA$5+GanttPeriod),"◆",IF(AND($E170&gt;=EA$5,$E170&lt;EA$5+GanttPeriod),"◇","")),IF(AND(EA$5&lt;=$F170,EA$5+GanttPeriod-1&gt;=$E170),"━","")))</f>
        <v/>
      </c>
      <c r="EB170" s="69" t="str">
        <f aca="false">IF($E170="","",IF($M170,IF(AND($G170&gt;=EB$5,$G170&lt;EB$5+GanttPeriod),"◆",IF(AND($E170&gt;=EB$5,$E170&lt;EB$5+GanttPeriod),"◇","")),IF(AND(EB$5&lt;=$F170,EB$5+GanttPeriod-1&gt;=$E170),"━","")))</f>
        <v/>
      </c>
      <c r="EC170" s="69" t="str">
        <f aca="false">IF($E170="","",IF($M170,IF(AND($G170&gt;=EC$5,$G170&lt;EC$5+GanttPeriod),"◆",IF(AND($E170&gt;=EC$5,$E170&lt;EC$5+GanttPeriod),"◇","")),IF(AND(EC$5&lt;=$F170,EC$5+GanttPeriod-1&gt;=$E170),"━","")))</f>
        <v/>
      </c>
      <c r="ED170" s="69" t="str">
        <f aca="false">IF($E170="","",IF($M170,IF(AND($G170&gt;=ED$5,$G170&lt;ED$5+GanttPeriod),"◆",IF(AND($E170&gt;=ED$5,$E170&lt;ED$5+GanttPeriod),"◇","")),IF(AND(ED$5&lt;=$F170,ED$5+GanttPeriod-1&gt;=$E170),"━","")))</f>
        <v/>
      </c>
      <c r="EE170" s="69" t="str">
        <f aca="false">IF($E170="","",IF($M170,IF(AND($G170&gt;=EE$5,$G170&lt;EE$5+GanttPeriod),"◆",IF(AND($E170&gt;=EE$5,$E170&lt;EE$5+GanttPeriod),"◇","")),IF(AND(EE$5&lt;=$F170,EE$5+GanttPeriod-1&gt;=$E170),"━","")))</f>
        <v/>
      </c>
      <c r="EF170" s="69" t="str">
        <f aca="false">IF($E170="","",IF($M170,IF(AND($G170&gt;=EF$5,$G170&lt;EF$5+GanttPeriod),"◆",IF(AND($E170&gt;=EF$5,$E170&lt;EF$5+GanttPeriod),"◇","")),IF(AND(EF$5&lt;=$F170,EF$5+GanttPeriod-1&gt;=$E170),"━","")))</f>
        <v/>
      </c>
      <c r="EG170" s="69" t="str">
        <f aca="false">IF($E170="","",IF($M170,IF(AND($G170&gt;=EG$5,$G170&lt;EG$5+GanttPeriod),"◆",IF(AND($E170&gt;=EG$5,$E170&lt;EG$5+GanttPeriod),"◇","")),IF(AND(EG$5&lt;=$F170,EG$5+GanttPeriod-1&gt;=$E170),"━","")))</f>
        <v/>
      </c>
      <c r="EH170" s="69" t="str">
        <f aca="false">IF($E170="","",IF($M170,IF(AND($G170&gt;=EH$5,$G170&lt;EH$5+GanttPeriod),"◆",IF(AND($E170&gt;=EH$5,$E170&lt;EH$5+GanttPeriod),"◇","")),IF(AND(EH$5&lt;=$F170,EH$5+GanttPeriod-1&gt;=$E170),"━","")))</f>
        <v/>
      </c>
      <c r="EI170" s="69" t="str">
        <f aca="false">IF($E170="","",IF($M170,IF(AND($G170&gt;=EI$5,$G170&lt;EI$5+GanttPeriod),"◆",IF(AND($E170&gt;=EI$5,$E170&lt;EI$5+GanttPeriod),"◇","")),IF(AND(EI$5&lt;=$F170,EI$5+GanttPeriod-1&gt;=$E170),"━","")))</f>
        <v/>
      </c>
      <c r="EJ170" s="69" t="str">
        <f aca="false">IF($E170="","",IF($M170,IF(AND($G170&gt;=EJ$5,$G170&lt;EJ$5+GanttPeriod),"◆",IF(AND($E170&gt;=EJ$5,$E170&lt;EJ$5+GanttPeriod),"◇","")),IF(AND(EJ$5&lt;=$F170,EJ$5+GanttPeriod-1&gt;=$E170),"━","")))</f>
        <v/>
      </c>
      <c r="EK170" s="69" t="str">
        <f aca="false">IF($E170="","",IF($M170,IF(AND($G170&gt;=EK$5,$G170&lt;EK$5+GanttPeriod),"◆",IF(AND($E170&gt;=EK$5,$E170&lt;EK$5+GanttPeriod),"◇","")),IF(AND(EK$5&lt;=$F170,EK$5+GanttPeriod-1&gt;=$E170),"━","")))</f>
        <v/>
      </c>
      <c r="EL170" s="69" t="str">
        <f aca="false">IF($E170="","",IF($M170,IF(AND($G170&gt;=EL$5,$G170&lt;EL$5+GanttPeriod),"◆",IF(AND($E170&gt;=EL$5,$E170&lt;EL$5+GanttPeriod),"◇","")),IF(AND(EL$5&lt;=$F170,EL$5+GanttPeriod-1&gt;=$E170),"━","")))</f>
        <v/>
      </c>
      <c r="EM170" s="69" t="str">
        <f aca="false">IF($E170="","",IF($M170,IF(AND($G170&gt;=EM$5,$G170&lt;EM$5+GanttPeriod),"◆",IF(AND($E170&gt;=EM$5,$E170&lt;EM$5+GanttPeriod),"◇","")),IF(AND(EM$5&lt;=$F170,EM$5+GanttPeriod-1&gt;=$E170),"━","")))</f>
        <v/>
      </c>
      <c r="EN170" s="69" t="str">
        <f aca="false">IF($E170="","",IF($M170,IF(AND($G170&gt;=EN$5,$G170&lt;EN$5+GanttPeriod),"◆",IF(AND($E170&gt;=EN$5,$E170&lt;EN$5+GanttPeriod),"◇","")),IF(AND(EN$5&lt;=$F170,EN$5+GanttPeriod-1&gt;=$E170),"━","")))</f>
        <v/>
      </c>
      <c r="EO170" s="69" t="str">
        <f aca="false">IF($E170="","",IF($M170,IF(AND($G170&gt;=EO$5,$G170&lt;EO$5+GanttPeriod),"◆",IF(AND($E170&gt;=EO$5,$E170&lt;EO$5+GanttPeriod),"◇","")),IF(AND(EO$5&lt;=$F170,EO$5+GanttPeriod-1&gt;=$E170),"━","")))</f>
        <v/>
      </c>
      <c r="EP170" s="69" t="str">
        <f aca="false">IF($E170="","",IF($M170,IF(AND($G170&gt;=EP$5,$G170&lt;EP$5+GanttPeriod),"◆",IF(AND($E170&gt;=EP$5,$E170&lt;EP$5+GanttPeriod),"◇","")),IF(AND(EP$5&lt;=$F170,EP$5+GanttPeriod-1&gt;=$E170),"━","")))</f>
        <v/>
      </c>
      <c r="EQ170" s="69" t="str">
        <f aca="false">IF($E170="","",IF($M170,IF(AND($G170&gt;=EQ$5,$G170&lt;EQ$5+GanttPeriod),"◆",IF(AND($E170&gt;=EQ$5,$E170&lt;EQ$5+GanttPeriod),"◇","")),IF(AND(EQ$5&lt;=$F170,EQ$5+GanttPeriod-1&gt;=$E170),"━","")))</f>
        <v/>
      </c>
      <c r="ER170" s="69" t="str">
        <f aca="false">IF($E170="","",IF($M170,IF(AND($G170&gt;=ER$5,$G170&lt;ER$5+GanttPeriod),"◆",IF(AND($E170&gt;=ER$5,$E170&lt;ER$5+GanttPeriod),"◇","")),IF(AND(ER$5&lt;=$F170,ER$5+GanttPeriod-1&gt;=$E170),"━","")))</f>
        <v/>
      </c>
      <c r="ES170" s="69" t="str">
        <f aca="false">IF($E170="","",IF($M170,IF(AND($G170&gt;=ES$5,$G170&lt;ES$5+GanttPeriod),"◆",IF(AND($E170&gt;=ES$5,$E170&lt;ES$5+GanttPeriod),"◇","")),IF(AND(ES$5&lt;=$F170,ES$5+GanttPeriod-1&gt;=$E170),"━","")))</f>
        <v/>
      </c>
      <c r="ET170" s="69" t="str">
        <f aca="false">IF($E170="","",IF($M170,IF(AND($G170&gt;=ET$5,$G170&lt;ET$5+GanttPeriod),"◆",IF(AND($E170&gt;=ET$5,$E170&lt;ET$5+GanttPeriod),"◇","")),IF(AND(ET$5&lt;=$F170,ET$5+GanttPeriod-1&gt;=$E170),"━","")))</f>
        <v/>
      </c>
      <c r="EU170" s="69" t="str">
        <f aca="false">IF($E170="","",IF($M170,IF(AND($G170&gt;=EU$5,$G170&lt;EU$5+GanttPeriod),"◆",IF(AND($E170&gt;=EU$5,$E170&lt;EU$5+GanttPeriod),"◇","")),IF(AND(EU$5&lt;=$F170,EU$5+GanttPeriod-1&gt;=$E170),"━","")))</f>
        <v/>
      </c>
      <c r="EV170" s="69" t="str">
        <f aca="false">IF($E170="","",IF($M170,IF(AND($G170&gt;=EV$5,$G170&lt;EV$5+GanttPeriod),"◆",IF(AND($E170&gt;=EV$5,$E170&lt;EV$5+GanttPeriod),"◇","")),IF(AND(EV$5&lt;=$F170,EV$5+GanttPeriod-1&gt;=$E170),"━","")))</f>
        <v/>
      </c>
      <c r="EW170" s="69" t="str">
        <f aca="false">IF($E170="","",IF($M170,IF(AND($G170&gt;=EW$5,$G170&lt;EW$5+GanttPeriod),"◆",IF(AND($E170&gt;=EW$5,$E170&lt;EW$5+GanttPeriod),"◇","")),IF(AND(EW$5&lt;=$F170,EW$5+GanttPeriod-1&gt;=$E170),"━","")))</f>
        <v/>
      </c>
      <c r="EX170" s="69" t="str">
        <f aca="false">IF($E170="","",IF($M170,IF(AND($G170&gt;=EX$5,$G170&lt;EX$5+GanttPeriod),"◆",IF(AND($E170&gt;=EX$5,$E170&lt;EX$5+GanttPeriod),"◇","")),IF(AND(EX$5&lt;=$F170,EX$5+GanttPeriod-1&gt;=$E170),"━","")))</f>
        <v/>
      </c>
      <c r="EY170" s="69" t="str">
        <f aca="false">IF($E170="","",IF($M170,IF(AND($G170&gt;=EY$5,$G170&lt;EY$5+GanttPeriod),"◆",IF(AND($E170&gt;=EY$5,$E170&lt;EY$5+GanttPeriod),"◇","")),IF(AND(EY$5&lt;=$F170,EY$5+GanttPeriod-1&gt;=$E170),"━","")))</f>
        <v/>
      </c>
      <c r="EZ170" s="69" t="str">
        <f aca="false">IF($E170="","",IF($M170,IF(AND($G170&gt;=EZ$5,$G170&lt;EZ$5+GanttPeriod),"◆",IF(AND($E170&gt;=EZ$5,$E170&lt;EZ$5+GanttPeriod),"◇","")),IF(AND(EZ$5&lt;=$F170,EZ$5+GanttPeriod-1&gt;=$E170),"━","")))</f>
        <v/>
      </c>
      <c r="FA170" s="69" t="str">
        <f aca="false">IF($E170="","",IF($M170,IF(AND($G170&gt;=FA$5,$G170&lt;FA$5+GanttPeriod),"◆",IF(AND($E170&gt;=FA$5,$E170&lt;FA$5+GanttPeriod),"◇","")),IF(AND(FA$5&lt;=$F170,FA$5+GanttPeriod-1&gt;=$E170),"━","")))</f>
        <v/>
      </c>
      <c r="FB170" s="69" t="str">
        <f aca="false">IF($E170="","",IF($M170,IF(AND($G170&gt;=FB$5,$G170&lt;FB$5+GanttPeriod),"◆",IF(AND($E170&gt;=FB$5,$E170&lt;FB$5+GanttPeriod),"◇","")),IF(AND(FB$5&lt;=$F170,FB$5+GanttPeriod-1&gt;=$E170),"━","")))</f>
        <v/>
      </c>
      <c r="FC170" s="69" t="str">
        <f aca="false">IF($E170="","",IF($M170,IF(AND($G170&gt;=FC$5,$G170&lt;FC$5+GanttPeriod),"◆",IF(AND($E170&gt;=FC$5,$E170&lt;FC$5+GanttPeriod),"◇","")),IF(AND(FC$5&lt;=$F170,FC$5+GanttPeriod-1&gt;=$E170),"━","")))</f>
        <v/>
      </c>
      <c r="FD170" s="69" t="str">
        <f aca="false">IF($E170="","",IF($M170,IF(AND($G170&gt;=FD$5,$G170&lt;FD$5+GanttPeriod),"◆",IF(AND($E170&gt;=FD$5,$E170&lt;FD$5+GanttPeriod),"◇","")),IF(AND(FD$5&lt;=$F170,FD$5+GanttPeriod-1&gt;=$E170),"━","")))</f>
        <v/>
      </c>
      <c r="FE170" s="69" t="str">
        <f aca="false">IF($E170="","",IF($M170,IF(AND($G170&gt;=FE$5,$G170&lt;FE$5+GanttPeriod),"◆",IF(AND($E170&gt;=FE$5,$E170&lt;FE$5+GanttPeriod),"◇","")),IF(AND(FE$5&lt;=$F170,FE$5+GanttPeriod-1&gt;=$E170),"━","")))</f>
        <v/>
      </c>
      <c r="FF170" s="69" t="str">
        <f aca="false">IF($E170="","",IF($M170,IF(AND($G170&gt;=FF$5,$G170&lt;FF$5+GanttPeriod),"◆",IF(AND($E170&gt;=FF$5,$E170&lt;FF$5+GanttPeriod),"◇","")),IF(AND(FF$5&lt;=$F170,FF$5+GanttPeriod-1&gt;=$E170),"━","")))</f>
        <v/>
      </c>
      <c r="FG170" s="69" t="str">
        <f aca="false">IF($E170="","",IF($M170,IF(AND($G170&gt;=FG$5,$G170&lt;FG$5+GanttPeriod),"◆",IF(AND($E170&gt;=FG$5,$E170&lt;FG$5+GanttPeriod),"◇","")),IF(AND(FG$5&lt;=$F170,FG$5+GanttPeriod-1&gt;=$E170),"━","")))</f>
        <v/>
      </c>
      <c r="FH170" s="69" t="str">
        <f aca="false">IF($E170="","",IF($M170,IF(AND($G170&gt;=FH$5,$G170&lt;FH$5+GanttPeriod),"◆",IF(AND($E170&gt;=FH$5,$E170&lt;FH$5+GanttPeriod),"◇","")),IF(AND(FH$5&lt;=$F170,FH$5+GanttPeriod-1&gt;=$E170),"━","")))</f>
        <v/>
      </c>
      <c r="FI170" s="69" t="str">
        <f aca="false">IF($E170="","",IF($M170,IF(AND($G170&gt;=FI$5,$G170&lt;FI$5+GanttPeriod),"◆",IF(AND($E170&gt;=FI$5,$E170&lt;FI$5+GanttPeriod),"◇","")),IF(AND(FI$5&lt;=$F170,FI$5+GanttPeriod-1&gt;=$E170),"━","")))</f>
        <v/>
      </c>
      <c r="FJ170" s="69" t="str">
        <f aca="false">IF($E170="","",IF($M170,IF(AND($G170&gt;=FJ$5,$G170&lt;FJ$5+GanttPeriod),"◆",IF(AND($E170&gt;=FJ$5,$E170&lt;FJ$5+GanttPeriod),"◇","")),IF(AND(FJ$5&lt;=$F170,FJ$5+GanttPeriod-1&gt;=$E170),"━","")))</f>
        <v/>
      </c>
      <c r="FK170" s="69" t="str">
        <f aca="false">IF($E170="","",IF($M170,IF(AND($G170&gt;=FK$5,$G170&lt;FK$5+GanttPeriod),"◆",IF(AND($E170&gt;=FK$5,$E170&lt;FK$5+GanttPeriod),"◇","")),IF(AND(FK$5&lt;=$F170,FK$5+GanttPeriod-1&gt;=$E170),"━","")))</f>
        <v/>
      </c>
      <c r="FL170" s="69" t="str">
        <f aca="false">IF($E170="","",IF($M170,IF(AND($G170&gt;=FL$5,$G170&lt;FL$5+GanttPeriod),"◆",IF(AND($E170&gt;=FL$5,$E170&lt;FL$5+GanttPeriod),"◇","")),IF(AND(FL$5&lt;=$F170,FL$5+GanttPeriod-1&gt;=$E170),"━","")))</f>
        <v/>
      </c>
      <c r="FM170" s="69" t="str">
        <f aca="false">IF($E170="","",IF($M170,IF(AND($G170&gt;=FM$5,$G170&lt;FM$5+GanttPeriod),"◆",IF(AND($E170&gt;=FM$5,$E170&lt;FM$5+GanttPeriod),"◇","")),IF(AND(FM$5&lt;=$F170,FM$5+GanttPeriod-1&gt;=$E170),"━","")))</f>
        <v/>
      </c>
    </row>
    <row r="171" customFormat="false" ht="15" hidden="false" customHeight="false" outlineLevel="0" collapsed="false">
      <c r="A171" s="62" t="str">
        <f aca="false">IF(Tasks!$D171="","",Tasks!$A171)</f>
        <v/>
      </c>
      <c r="B171" s="62" t="str">
        <f aca="false">IF(Tasks!$D171="","",Tasks!$B171)</f>
        <v/>
      </c>
      <c r="C171" s="63" t="str">
        <f aca="false">IF(Tasks!$D171="","",REPT("    ",Tasks!$AE171-1)&amp;Tasks!$D171)</f>
        <v/>
      </c>
      <c r="D171" s="62" t="str">
        <f aca="false">IF(Tasks!$D171="","",IF(Tasks!$AI171,NETWORKDAYS.INTL(Tasks!$R171,Tasks!$S171,WorkWeek,Holidays),N(Tasks!$F171)))</f>
        <v/>
      </c>
      <c r="E171" s="64" t="str">
        <f aca="false">IF(Tasks!$D171="","",Tasks!$N171)</f>
        <v/>
      </c>
      <c r="F171" s="64" t="str">
        <f aca="false">IF(Tasks!$D171="","",Tasks!$O171)</f>
        <v/>
      </c>
      <c r="G171" s="64" t="str">
        <f aca="false">IF(Tasks!$D171="","",Tasks!$R171)</f>
        <v/>
      </c>
      <c r="H171" s="64" t="str">
        <f aca="false">IF(Tasks!$D171="","",Tasks!$S171)</f>
        <v/>
      </c>
      <c r="I171" s="65" t="str">
        <f aca="false">IF(Tasks!$D171="","",Tasks!$V171)</f>
        <v/>
      </c>
      <c r="J171" s="63" t="str">
        <f aca="false">IF(Tasks!$D171="","",Tasks!$X171&amp;"")</f>
        <v/>
      </c>
      <c r="K171" s="66" t="str">
        <f aca="false">IF(Tasks!$D171="","",Tasks!$W171)</f>
        <v/>
      </c>
      <c r="L171" s="67" t="b">
        <f aca="false">IF(Tasks!$D171="",FALSE(),Tasks!$AI171)</f>
        <v>0</v>
      </c>
      <c r="M171" s="67" t="b">
        <f aca="false">AND(Tasks!$AJ171=1,N(Tasks!$F171)=0)</f>
        <v>0</v>
      </c>
      <c r="N171" s="68" t="n">
        <f aca="false">IF(AND(Tasks!$AJ171=1,NOT($M171),N($I171)&gt;0),$G171,0)</f>
        <v>0</v>
      </c>
      <c r="O171" s="68" t="n">
        <f aca="false">IF($N171=0,0,IF($I171&gt;=1,$H171,MAX($N171,$G171+ROUND(($H171-$G171+1)*$I171,0)-1)))</f>
        <v>0</v>
      </c>
      <c r="P171" s="68" t="n">
        <f aca="false">IF(OR(Tasks!$AJ171&lt;&gt;1,$M171,N($I171)&gt;=1),0,IF($O171&gt;0,$O171+1,$G171))</f>
        <v>0</v>
      </c>
      <c r="Q171" s="68" t="n">
        <f aca="false">IF($P171=0,0,$H171)</f>
        <v>0</v>
      </c>
      <c r="R171" s="67" t="b">
        <f aca="false">AND(Tasks!$D171&lt;&gt;"",N(Tasks!$T171)&gt;0)</f>
        <v>0</v>
      </c>
      <c r="T171" s="69" t="str">
        <f aca="false">IF($E171="","",IF($M171,IF(AND($G171&gt;=T$5,$G171&lt;T$5+GanttPeriod),"◆",IF(AND($E171&gt;=T$5,$E171&lt;T$5+GanttPeriod),"◇","")),IF(AND(T$5&lt;=$F171,T$5+GanttPeriod-1&gt;=$E171),"━","")))</f>
        <v/>
      </c>
      <c r="U171" s="69" t="str">
        <f aca="false">IF($E171="","",IF($M171,IF(AND($G171&gt;=U$5,$G171&lt;U$5+GanttPeriod),"◆",IF(AND($E171&gt;=U$5,$E171&lt;U$5+GanttPeriod),"◇","")),IF(AND(U$5&lt;=$F171,U$5+GanttPeriod-1&gt;=$E171),"━","")))</f>
        <v/>
      </c>
      <c r="V171" s="69" t="str">
        <f aca="false">IF($E171="","",IF($M171,IF(AND($G171&gt;=V$5,$G171&lt;V$5+GanttPeriod),"◆",IF(AND($E171&gt;=V$5,$E171&lt;V$5+GanttPeriod),"◇","")),IF(AND(V$5&lt;=$F171,V$5+GanttPeriod-1&gt;=$E171),"━","")))</f>
        <v/>
      </c>
      <c r="W171" s="69" t="str">
        <f aca="false">IF($E171="","",IF($M171,IF(AND($G171&gt;=W$5,$G171&lt;W$5+GanttPeriod),"◆",IF(AND($E171&gt;=W$5,$E171&lt;W$5+GanttPeriod),"◇","")),IF(AND(W$5&lt;=$F171,W$5+GanttPeriod-1&gt;=$E171),"━","")))</f>
        <v/>
      </c>
      <c r="X171" s="69" t="str">
        <f aca="false">IF($E171="","",IF($M171,IF(AND($G171&gt;=X$5,$G171&lt;X$5+GanttPeriod),"◆",IF(AND($E171&gt;=X$5,$E171&lt;X$5+GanttPeriod),"◇","")),IF(AND(X$5&lt;=$F171,X$5+GanttPeriod-1&gt;=$E171),"━","")))</f>
        <v/>
      </c>
      <c r="Y171" s="69" t="str">
        <f aca="false">IF($E171="","",IF($M171,IF(AND($G171&gt;=Y$5,$G171&lt;Y$5+GanttPeriod),"◆",IF(AND($E171&gt;=Y$5,$E171&lt;Y$5+GanttPeriod),"◇","")),IF(AND(Y$5&lt;=$F171,Y$5+GanttPeriod-1&gt;=$E171),"━","")))</f>
        <v/>
      </c>
      <c r="Z171" s="69" t="str">
        <f aca="false">IF($E171="","",IF($M171,IF(AND($G171&gt;=Z$5,$G171&lt;Z$5+GanttPeriod),"◆",IF(AND($E171&gt;=Z$5,$E171&lt;Z$5+GanttPeriod),"◇","")),IF(AND(Z$5&lt;=$F171,Z$5+GanttPeriod-1&gt;=$E171),"━","")))</f>
        <v/>
      </c>
      <c r="AA171" s="69" t="str">
        <f aca="false">IF($E171="","",IF($M171,IF(AND($G171&gt;=AA$5,$G171&lt;AA$5+GanttPeriod),"◆",IF(AND($E171&gt;=AA$5,$E171&lt;AA$5+GanttPeriod),"◇","")),IF(AND(AA$5&lt;=$F171,AA$5+GanttPeriod-1&gt;=$E171),"━","")))</f>
        <v/>
      </c>
      <c r="AB171" s="69" t="str">
        <f aca="false">IF($E171="","",IF($M171,IF(AND($G171&gt;=AB$5,$G171&lt;AB$5+GanttPeriod),"◆",IF(AND($E171&gt;=AB$5,$E171&lt;AB$5+GanttPeriod),"◇","")),IF(AND(AB$5&lt;=$F171,AB$5+GanttPeriod-1&gt;=$E171),"━","")))</f>
        <v/>
      </c>
      <c r="AC171" s="69" t="str">
        <f aca="false">IF($E171="","",IF($M171,IF(AND($G171&gt;=AC$5,$G171&lt;AC$5+GanttPeriod),"◆",IF(AND($E171&gt;=AC$5,$E171&lt;AC$5+GanttPeriod),"◇","")),IF(AND(AC$5&lt;=$F171,AC$5+GanttPeriod-1&gt;=$E171),"━","")))</f>
        <v/>
      </c>
      <c r="AD171" s="69" t="str">
        <f aca="false">IF($E171="","",IF($M171,IF(AND($G171&gt;=AD$5,$G171&lt;AD$5+GanttPeriod),"◆",IF(AND($E171&gt;=AD$5,$E171&lt;AD$5+GanttPeriod),"◇","")),IF(AND(AD$5&lt;=$F171,AD$5+GanttPeriod-1&gt;=$E171),"━","")))</f>
        <v/>
      </c>
      <c r="AE171" s="69" t="str">
        <f aca="false">IF($E171="","",IF($M171,IF(AND($G171&gt;=AE$5,$G171&lt;AE$5+GanttPeriod),"◆",IF(AND($E171&gt;=AE$5,$E171&lt;AE$5+GanttPeriod),"◇","")),IF(AND(AE$5&lt;=$F171,AE$5+GanttPeriod-1&gt;=$E171),"━","")))</f>
        <v/>
      </c>
      <c r="AF171" s="69" t="str">
        <f aca="false">IF($E171="","",IF($M171,IF(AND($G171&gt;=AF$5,$G171&lt;AF$5+GanttPeriod),"◆",IF(AND($E171&gt;=AF$5,$E171&lt;AF$5+GanttPeriod),"◇","")),IF(AND(AF$5&lt;=$F171,AF$5+GanttPeriod-1&gt;=$E171),"━","")))</f>
        <v/>
      </c>
      <c r="AG171" s="69" t="str">
        <f aca="false">IF($E171="","",IF($M171,IF(AND($G171&gt;=AG$5,$G171&lt;AG$5+GanttPeriod),"◆",IF(AND($E171&gt;=AG$5,$E171&lt;AG$5+GanttPeriod),"◇","")),IF(AND(AG$5&lt;=$F171,AG$5+GanttPeriod-1&gt;=$E171),"━","")))</f>
        <v/>
      </c>
      <c r="AH171" s="69" t="str">
        <f aca="false">IF($E171="","",IF($M171,IF(AND($G171&gt;=AH$5,$G171&lt;AH$5+GanttPeriod),"◆",IF(AND($E171&gt;=AH$5,$E171&lt;AH$5+GanttPeriod),"◇","")),IF(AND(AH$5&lt;=$F171,AH$5+GanttPeriod-1&gt;=$E171),"━","")))</f>
        <v/>
      </c>
      <c r="AI171" s="69" t="str">
        <f aca="false">IF($E171="","",IF($M171,IF(AND($G171&gt;=AI$5,$G171&lt;AI$5+GanttPeriod),"◆",IF(AND($E171&gt;=AI$5,$E171&lt;AI$5+GanttPeriod),"◇","")),IF(AND(AI$5&lt;=$F171,AI$5+GanttPeriod-1&gt;=$E171),"━","")))</f>
        <v/>
      </c>
      <c r="AJ171" s="69" t="str">
        <f aca="false">IF($E171="","",IF($M171,IF(AND($G171&gt;=AJ$5,$G171&lt;AJ$5+GanttPeriod),"◆",IF(AND($E171&gt;=AJ$5,$E171&lt;AJ$5+GanttPeriod),"◇","")),IF(AND(AJ$5&lt;=$F171,AJ$5+GanttPeriod-1&gt;=$E171),"━","")))</f>
        <v/>
      </c>
      <c r="AK171" s="69" t="str">
        <f aca="false">IF($E171="","",IF($M171,IF(AND($G171&gt;=AK$5,$G171&lt;AK$5+GanttPeriod),"◆",IF(AND($E171&gt;=AK$5,$E171&lt;AK$5+GanttPeriod),"◇","")),IF(AND(AK$5&lt;=$F171,AK$5+GanttPeriod-1&gt;=$E171),"━","")))</f>
        <v/>
      </c>
      <c r="AL171" s="69" t="str">
        <f aca="false">IF($E171="","",IF($M171,IF(AND($G171&gt;=AL$5,$G171&lt;AL$5+GanttPeriod),"◆",IF(AND($E171&gt;=AL$5,$E171&lt;AL$5+GanttPeriod),"◇","")),IF(AND(AL$5&lt;=$F171,AL$5+GanttPeriod-1&gt;=$E171),"━","")))</f>
        <v/>
      </c>
      <c r="AM171" s="69" t="str">
        <f aca="false">IF($E171="","",IF($M171,IF(AND($G171&gt;=AM$5,$G171&lt;AM$5+GanttPeriod),"◆",IF(AND($E171&gt;=AM$5,$E171&lt;AM$5+GanttPeriod),"◇","")),IF(AND(AM$5&lt;=$F171,AM$5+GanttPeriod-1&gt;=$E171),"━","")))</f>
        <v/>
      </c>
      <c r="AN171" s="69" t="str">
        <f aca="false">IF($E171="","",IF($M171,IF(AND($G171&gt;=AN$5,$G171&lt;AN$5+GanttPeriod),"◆",IF(AND($E171&gt;=AN$5,$E171&lt;AN$5+GanttPeriod),"◇","")),IF(AND(AN$5&lt;=$F171,AN$5+GanttPeriod-1&gt;=$E171),"━","")))</f>
        <v/>
      </c>
      <c r="AO171" s="69" t="str">
        <f aca="false">IF($E171="","",IF($M171,IF(AND($G171&gt;=AO$5,$G171&lt;AO$5+GanttPeriod),"◆",IF(AND($E171&gt;=AO$5,$E171&lt;AO$5+GanttPeriod),"◇","")),IF(AND(AO$5&lt;=$F171,AO$5+GanttPeriod-1&gt;=$E171),"━","")))</f>
        <v/>
      </c>
      <c r="AP171" s="69" t="str">
        <f aca="false">IF($E171="","",IF($M171,IF(AND($G171&gt;=AP$5,$G171&lt;AP$5+GanttPeriod),"◆",IF(AND($E171&gt;=AP$5,$E171&lt;AP$5+GanttPeriod),"◇","")),IF(AND(AP$5&lt;=$F171,AP$5+GanttPeriod-1&gt;=$E171),"━","")))</f>
        <v/>
      </c>
      <c r="AQ171" s="69" t="str">
        <f aca="false">IF($E171="","",IF($M171,IF(AND($G171&gt;=AQ$5,$G171&lt;AQ$5+GanttPeriod),"◆",IF(AND($E171&gt;=AQ$5,$E171&lt;AQ$5+GanttPeriod),"◇","")),IF(AND(AQ$5&lt;=$F171,AQ$5+GanttPeriod-1&gt;=$E171),"━","")))</f>
        <v/>
      </c>
      <c r="AR171" s="69" t="str">
        <f aca="false">IF($E171="","",IF($M171,IF(AND($G171&gt;=AR$5,$G171&lt;AR$5+GanttPeriod),"◆",IF(AND($E171&gt;=AR$5,$E171&lt;AR$5+GanttPeriod),"◇","")),IF(AND(AR$5&lt;=$F171,AR$5+GanttPeriod-1&gt;=$E171),"━","")))</f>
        <v/>
      </c>
      <c r="AS171" s="69" t="str">
        <f aca="false">IF($E171="","",IF($M171,IF(AND($G171&gt;=AS$5,$G171&lt;AS$5+GanttPeriod),"◆",IF(AND($E171&gt;=AS$5,$E171&lt;AS$5+GanttPeriod),"◇","")),IF(AND(AS$5&lt;=$F171,AS$5+GanttPeriod-1&gt;=$E171),"━","")))</f>
        <v/>
      </c>
      <c r="AT171" s="69" t="str">
        <f aca="false">IF($E171="","",IF($M171,IF(AND($G171&gt;=AT$5,$G171&lt;AT$5+GanttPeriod),"◆",IF(AND($E171&gt;=AT$5,$E171&lt;AT$5+GanttPeriod),"◇","")),IF(AND(AT$5&lt;=$F171,AT$5+GanttPeriod-1&gt;=$E171),"━","")))</f>
        <v/>
      </c>
      <c r="AU171" s="69" t="str">
        <f aca="false">IF($E171="","",IF($M171,IF(AND($G171&gt;=AU$5,$G171&lt;AU$5+GanttPeriod),"◆",IF(AND($E171&gt;=AU$5,$E171&lt;AU$5+GanttPeriod),"◇","")),IF(AND(AU$5&lt;=$F171,AU$5+GanttPeriod-1&gt;=$E171),"━","")))</f>
        <v/>
      </c>
      <c r="AV171" s="69" t="str">
        <f aca="false">IF($E171="","",IF($M171,IF(AND($G171&gt;=AV$5,$G171&lt;AV$5+GanttPeriod),"◆",IF(AND($E171&gt;=AV$5,$E171&lt;AV$5+GanttPeriod),"◇","")),IF(AND(AV$5&lt;=$F171,AV$5+GanttPeriod-1&gt;=$E171),"━","")))</f>
        <v/>
      </c>
      <c r="AW171" s="69" t="str">
        <f aca="false">IF($E171="","",IF($M171,IF(AND($G171&gt;=AW$5,$G171&lt;AW$5+GanttPeriod),"◆",IF(AND($E171&gt;=AW$5,$E171&lt;AW$5+GanttPeriod),"◇","")),IF(AND(AW$5&lt;=$F171,AW$5+GanttPeriod-1&gt;=$E171),"━","")))</f>
        <v/>
      </c>
      <c r="AX171" s="69" t="str">
        <f aca="false">IF($E171="","",IF($M171,IF(AND($G171&gt;=AX$5,$G171&lt;AX$5+GanttPeriod),"◆",IF(AND($E171&gt;=AX$5,$E171&lt;AX$5+GanttPeriod),"◇","")),IF(AND(AX$5&lt;=$F171,AX$5+GanttPeriod-1&gt;=$E171),"━","")))</f>
        <v/>
      </c>
      <c r="AY171" s="69" t="str">
        <f aca="false">IF($E171="","",IF($M171,IF(AND($G171&gt;=AY$5,$G171&lt;AY$5+GanttPeriod),"◆",IF(AND($E171&gt;=AY$5,$E171&lt;AY$5+GanttPeriod),"◇","")),IF(AND(AY$5&lt;=$F171,AY$5+GanttPeriod-1&gt;=$E171),"━","")))</f>
        <v/>
      </c>
      <c r="AZ171" s="69" t="str">
        <f aca="false">IF($E171="","",IF($M171,IF(AND($G171&gt;=AZ$5,$G171&lt;AZ$5+GanttPeriod),"◆",IF(AND($E171&gt;=AZ$5,$E171&lt;AZ$5+GanttPeriod),"◇","")),IF(AND(AZ$5&lt;=$F171,AZ$5+GanttPeriod-1&gt;=$E171),"━","")))</f>
        <v/>
      </c>
      <c r="BA171" s="69" t="str">
        <f aca="false">IF($E171="","",IF($M171,IF(AND($G171&gt;=BA$5,$G171&lt;BA$5+GanttPeriod),"◆",IF(AND($E171&gt;=BA$5,$E171&lt;BA$5+GanttPeriod),"◇","")),IF(AND(BA$5&lt;=$F171,BA$5+GanttPeriod-1&gt;=$E171),"━","")))</f>
        <v/>
      </c>
      <c r="BB171" s="69" t="str">
        <f aca="false">IF($E171="","",IF($M171,IF(AND($G171&gt;=BB$5,$G171&lt;BB$5+GanttPeriod),"◆",IF(AND($E171&gt;=BB$5,$E171&lt;BB$5+GanttPeriod),"◇","")),IF(AND(BB$5&lt;=$F171,BB$5+GanttPeriod-1&gt;=$E171),"━","")))</f>
        <v/>
      </c>
      <c r="BC171" s="69" t="str">
        <f aca="false">IF($E171="","",IF($M171,IF(AND($G171&gt;=BC$5,$G171&lt;BC$5+GanttPeriod),"◆",IF(AND($E171&gt;=BC$5,$E171&lt;BC$5+GanttPeriod),"◇","")),IF(AND(BC$5&lt;=$F171,BC$5+GanttPeriod-1&gt;=$E171),"━","")))</f>
        <v/>
      </c>
      <c r="BD171" s="69" t="str">
        <f aca="false">IF($E171="","",IF($M171,IF(AND($G171&gt;=BD$5,$G171&lt;BD$5+GanttPeriod),"◆",IF(AND($E171&gt;=BD$5,$E171&lt;BD$5+GanttPeriod),"◇","")),IF(AND(BD$5&lt;=$F171,BD$5+GanttPeriod-1&gt;=$E171),"━","")))</f>
        <v/>
      </c>
      <c r="BE171" s="69" t="str">
        <f aca="false">IF($E171="","",IF($M171,IF(AND($G171&gt;=BE$5,$G171&lt;BE$5+GanttPeriod),"◆",IF(AND($E171&gt;=BE$5,$E171&lt;BE$5+GanttPeriod),"◇","")),IF(AND(BE$5&lt;=$F171,BE$5+GanttPeriod-1&gt;=$E171),"━","")))</f>
        <v/>
      </c>
      <c r="BF171" s="69" t="str">
        <f aca="false">IF($E171="","",IF($M171,IF(AND($G171&gt;=BF$5,$G171&lt;BF$5+GanttPeriod),"◆",IF(AND($E171&gt;=BF$5,$E171&lt;BF$5+GanttPeriod),"◇","")),IF(AND(BF$5&lt;=$F171,BF$5+GanttPeriod-1&gt;=$E171),"━","")))</f>
        <v/>
      </c>
      <c r="BG171" s="69" t="str">
        <f aca="false">IF($E171="","",IF($M171,IF(AND($G171&gt;=BG$5,$G171&lt;BG$5+GanttPeriod),"◆",IF(AND($E171&gt;=BG$5,$E171&lt;BG$5+GanttPeriod),"◇","")),IF(AND(BG$5&lt;=$F171,BG$5+GanttPeriod-1&gt;=$E171),"━","")))</f>
        <v/>
      </c>
      <c r="BH171" s="69" t="str">
        <f aca="false">IF($E171="","",IF($M171,IF(AND($G171&gt;=BH$5,$G171&lt;BH$5+GanttPeriod),"◆",IF(AND($E171&gt;=BH$5,$E171&lt;BH$5+GanttPeriod),"◇","")),IF(AND(BH$5&lt;=$F171,BH$5+GanttPeriod-1&gt;=$E171),"━","")))</f>
        <v/>
      </c>
      <c r="BI171" s="69" t="str">
        <f aca="false">IF($E171="","",IF($M171,IF(AND($G171&gt;=BI$5,$G171&lt;BI$5+GanttPeriod),"◆",IF(AND($E171&gt;=BI$5,$E171&lt;BI$5+GanttPeriod),"◇","")),IF(AND(BI$5&lt;=$F171,BI$5+GanttPeriod-1&gt;=$E171),"━","")))</f>
        <v/>
      </c>
      <c r="BJ171" s="69" t="str">
        <f aca="false">IF($E171="","",IF($M171,IF(AND($G171&gt;=BJ$5,$G171&lt;BJ$5+GanttPeriod),"◆",IF(AND($E171&gt;=BJ$5,$E171&lt;BJ$5+GanttPeriod),"◇","")),IF(AND(BJ$5&lt;=$F171,BJ$5+GanttPeriod-1&gt;=$E171),"━","")))</f>
        <v/>
      </c>
      <c r="BK171" s="69" t="str">
        <f aca="false">IF($E171="","",IF($M171,IF(AND($G171&gt;=BK$5,$G171&lt;BK$5+GanttPeriod),"◆",IF(AND($E171&gt;=BK$5,$E171&lt;BK$5+GanttPeriod),"◇","")),IF(AND(BK$5&lt;=$F171,BK$5+GanttPeriod-1&gt;=$E171),"━","")))</f>
        <v/>
      </c>
      <c r="BL171" s="69" t="str">
        <f aca="false">IF($E171="","",IF($M171,IF(AND($G171&gt;=BL$5,$G171&lt;BL$5+GanttPeriod),"◆",IF(AND($E171&gt;=BL$5,$E171&lt;BL$5+GanttPeriod),"◇","")),IF(AND(BL$5&lt;=$F171,BL$5+GanttPeriod-1&gt;=$E171),"━","")))</f>
        <v/>
      </c>
      <c r="BM171" s="69" t="str">
        <f aca="false">IF($E171="","",IF($M171,IF(AND($G171&gt;=BM$5,$G171&lt;BM$5+GanttPeriod),"◆",IF(AND($E171&gt;=BM$5,$E171&lt;BM$5+GanttPeriod),"◇","")),IF(AND(BM$5&lt;=$F171,BM$5+GanttPeriod-1&gt;=$E171),"━","")))</f>
        <v/>
      </c>
      <c r="BN171" s="69" t="str">
        <f aca="false">IF($E171="","",IF($M171,IF(AND($G171&gt;=BN$5,$G171&lt;BN$5+GanttPeriod),"◆",IF(AND($E171&gt;=BN$5,$E171&lt;BN$5+GanttPeriod),"◇","")),IF(AND(BN$5&lt;=$F171,BN$5+GanttPeriod-1&gt;=$E171),"━","")))</f>
        <v/>
      </c>
      <c r="BO171" s="69" t="str">
        <f aca="false">IF($E171="","",IF($M171,IF(AND($G171&gt;=BO$5,$G171&lt;BO$5+GanttPeriod),"◆",IF(AND($E171&gt;=BO$5,$E171&lt;BO$5+GanttPeriod),"◇","")),IF(AND(BO$5&lt;=$F171,BO$5+GanttPeriod-1&gt;=$E171),"━","")))</f>
        <v/>
      </c>
      <c r="BP171" s="69" t="str">
        <f aca="false">IF($E171="","",IF($M171,IF(AND($G171&gt;=BP$5,$G171&lt;BP$5+GanttPeriod),"◆",IF(AND($E171&gt;=BP$5,$E171&lt;BP$5+GanttPeriod),"◇","")),IF(AND(BP$5&lt;=$F171,BP$5+GanttPeriod-1&gt;=$E171),"━","")))</f>
        <v/>
      </c>
      <c r="BQ171" s="69" t="str">
        <f aca="false">IF($E171="","",IF($M171,IF(AND($G171&gt;=BQ$5,$G171&lt;BQ$5+GanttPeriod),"◆",IF(AND($E171&gt;=BQ$5,$E171&lt;BQ$5+GanttPeriod),"◇","")),IF(AND(BQ$5&lt;=$F171,BQ$5+GanttPeriod-1&gt;=$E171),"━","")))</f>
        <v/>
      </c>
      <c r="BR171" s="69" t="str">
        <f aca="false">IF($E171="","",IF($M171,IF(AND($G171&gt;=BR$5,$G171&lt;BR$5+GanttPeriod),"◆",IF(AND($E171&gt;=BR$5,$E171&lt;BR$5+GanttPeriod),"◇","")),IF(AND(BR$5&lt;=$F171,BR$5+GanttPeriod-1&gt;=$E171),"━","")))</f>
        <v/>
      </c>
      <c r="BS171" s="69" t="str">
        <f aca="false">IF($E171="","",IF($M171,IF(AND($G171&gt;=BS$5,$G171&lt;BS$5+GanttPeriod),"◆",IF(AND($E171&gt;=BS$5,$E171&lt;BS$5+GanttPeriod),"◇","")),IF(AND(BS$5&lt;=$F171,BS$5+GanttPeriod-1&gt;=$E171),"━","")))</f>
        <v/>
      </c>
      <c r="BT171" s="69" t="str">
        <f aca="false">IF($E171="","",IF($M171,IF(AND($G171&gt;=BT$5,$G171&lt;BT$5+GanttPeriod),"◆",IF(AND($E171&gt;=BT$5,$E171&lt;BT$5+GanttPeriod),"◇","")),IF(AND(BT$5&lt;=$F171,BT$5+GanttPeriod-1&gt;=$E171),"━","")))</f>
        <v/>
      </c>
      <c r="BU171" s="69" t="str">
        <f aca="false">IF($E171="","",IF($M171,IF(AND($G171&gt;=BU$5,$G171&lt;BU$5+GanttPeriod),"◆",IF(AND($E171&gt;=BU$5,$E171&lt;BU$5+GanttPeriod),"◇","")),IF(AND(BU$5&lt;=$F171,BU$5+GanttPeriod-1&gt;=$E171),"━","")))</f>
        <v/>
      </c>
      <c r="BV171" s="69" t="str">
        <f aca="false">IF($E171="","",IF($M171,IF(AND($G171&gt;=BV$5,$G171&lt;BV$5+GanttPeriod),"◆",IF(AND($E171&gt;=BV$5,$E171&lt;BV$5+GanttPeriod),"◇","")),IF(AND(BV$5&lt;=$F171,BV$5+GanttPeriod-1&gt;=$E171),"━","")))</f>
        <v/>
      </c>
      <c r="BW171" s="69" t="str">
        <f aca="false">IF($E171="","",IF($M171,IF(AND($G171&gt;=BW$5,$G171&lt;BW$5+GanttPeriod),"◆",IF(AND($E171&gt;=BW$5,$E171&lt;BW$5+GanttPeriod),"◇","")),IF(AND(BW$5&lt;=$F171,BW$5+GanttPeriod-1&gt;=$E171),"━","")))</f>
        <v/>
      </c>
      <c r="BX171" s="69" t="str">
        <f aca="false">IF($E171="","",IF($M171,IF(AND($G171&gt;=BX$5,$G171&lt;BX$5+GanttPeriod),"◆",IF(AND($E171&gt;=BX$5,$E171&lt;BX$5+GanttPeriod),"◇","")),IF(AND(BX$5&lt;=$F171,BX$5+GanttPeriod-1&gt;=$E171),"━","")))</f>
        <v/>
      </c>
      <c r="BY171" s="69" t="str">
        <f aca="false">IF($E171="","",IF($M171,IF(AND($G171&gt;=BY$5,$G171&lt;BY$5+GanttPeriod),"◆",IF(AND($E171&gt;=BY$5,$E171&lt;BY$5+GanttPeriod),"◇","")),IF(AND(BY$5&lt;=$F171,BY$5+GanttPeriod-1&gt;=$E171),"━","")))</f>
        <v/>
      </c>
      <c r="BZ171" s="69" t="str">
        <f aca="false">IF($E171="","",IF($M171,IF(AND($G171&gt;=BZ$5,$G171&lt;BZ$5+GanttPeriod),"◆",IF(AND($E171&gt;=BZ$5,$E171&lt;BZ$5+GanttPeriod),"◇","")),IF(AND(BZ$5&lt;=$F171,BZ$5+GanttPeriod-1&gt;=$E171),"━","")))</f>
        <v/>
      </c>
      <c r="CA171" s="69" t="str">
        <f aca="false">IF($E171="","",IF($M171,IF(AND($G171&gt;=CA$5,$G171&lt;CA$5+GanttPeriod),"◆",IF(AND($E171&gt;=CA$5,$E171&lt;CA$5+GanttPeriod),"◇","")),IF(AND(CA$5&lt;=$F171,CA$5+GanttPeriod-1&gt;=$E171),"━","")))</f>
        <v/>
      </c>
      <c r="CB171" s="69" t="str">
        <f aca="false">IF($E171="","",IF($M171,IF(AND($G171&gt;=CB$5,$G171&lt;CB$5+GanttPeriod),"◆",IF(AND($E171&gt;=CB$5,$E171&lt;CB$5+GanttPeriod),"◇","")),IF(AND(CB$5&lt;=$F171,CB$5+GanttPeriod-1&gt;=$E171),"━","")))</f>
        <v/>
      </c>
      <c r="CC171" s="69" t="str">
        <f aca="false">IF($E171="","",IF($M171,IF(AND($G171&gt;=CC$5,$G171&lt;CC$5+GanttPeriod),"◆",IF(AND($E171&gt;=CC$5,$E171&lt;CC$5+GanttPeriod),"◇","")),IF(AND(CC$5&lt;=$F171,CC$5+GanttPeriod-1&gt;=$E171),"━","")))</f>
        <v/>
      </c>
      <c r="CD171" s="69" t="str">
        <f aca="false">IF($E171="","",IF($M171,IF(AND($G171&gt;=CD$5,$G171&lt;CD$5+GanttPeriod),"◆",IF(AND($E171&gt;=CD$5,$E171&lt;CD$5+GanttPeriod),"◇","")),IF(AND(CD$5&lt;=$F171,CD$5+GanttPeriod-1&gt;=$E171),"━","")))</f>
        <v/>
      </c>
      <c r="CE171" s="69" t="str">
        <f aca="false">IF($E171="","",IF($M171,IF(AND($G171&gt;=CE$5,$G171&lt;CE$5+GanttPeriod),"◆",IF(AND($E171&gt;=CE$5,$E171&lt;CE$5+GanttPeriod),"◇","")),IF(AND(CE$5&lt;=$F171,CE$5+GanttPeriod-1&gt;=$E171),"━","")))</f>
        <v/>
      </c>
      <c r="CF171" s="69" t="str">
        <f aca="false">IF($E171="","",IF($M171,IF(AND($G171&gt;=CF$5,$G171&lt;CF$5+GanttPeriod),"◆",IF(AND($E171&gt;=CF$5,$E171&lt;CF$5+GanttPeriod),"◇","")),IF(AND(CF$5&lt;=$F171,CF$5+GanttPeriod-1&gt;=$E171),"━","")))</f>
        <v/>
      </c>
      <c r="CG171" s="69" t="str">
        <f aca="false">IF($E171="","",IF($M171,IF(AND($G171&gt;=CG$5,$G171&lt;CG$5+GanttPeriod),"◆",IF(AND($E171&gt;=CG$5,$E171&lt;CG$5+GanttPeriod),"◇","")),IF(AND(CG$5&lt;=$F171,CG$5+GanttPeriod-1&gt;=$E171),"━","")))</f>
        <v/>
      </c>
      <c r="CH171" s="69" t="str">
        <f aca="false">IF($E171="","",IF($M171,IF(AND($G171&gt;=CH$5,$G171&lt;CH$5+GanttPeriod),"◆",IF(AND($E171&gt;=CH$5,$E171&lt;CH$5+GanttPeriod),"◇","")),IF(AND(CH$5&lt;=$F171,CH$5+GanttPeriod-1&gt;=$E171),"━","")))</f>
        <v/>
      </c>
      <c r="CI171" s="69" t="str">
        <f aca="false">IF($E171="","",IF($M171,IF(AND($G171&gt;=CI$5,$G171&lt;CI$5+GanttPeriod),"◆",IF(AND($E171&gt;=CI$5,$E171&lt;CI$5+GanttPeriod),"◇","")),IF(AND(CI$5&lt;=$F171,CI$5+GanttPeriod-1&gt;=$E171),"━","")))</f>
        <v/>
      </c>
      <c r="CJ171" s="69" t="str">
        <f aca="false">IF($E171="","",IF($M171,IF(AND($G171&gt;=CJ$5,$G171&lt;CJ$5+GanttPeriod),"◆",IF(AND($E171&gt;=CJ$5,$E171&lt;CJ$5+GanttPeriod),"◇","")),IF(AND(CJ$5&lt;=$F171,CJ$5+GanttPeriod-1&gt;=$E171),"━","")))</f>
        <v/>
      </c>
      <c r="CK171" s="69" t="str">
        <f aca="false">IF($E171="","",IF($M171,IF(AND($G171&gt;=CK$5,$G171&lt;CK$5+GanttPeriod),"◆",IF(AND($E171&gt;=CK$5,$E171&lt;CK$5+GanttPeriod),"◇","")),IF(AND(CK$5&lt;=$F171,CK$5+GanttPeriod-1&gt;=$E171),"━","")))</f>
        <v/>
      </c>
      <c r="CL171" s="69" t="str">
        <f aca="false">IF($E171="","",IF($M171,IF(AND($G171&gt;=CL$5,$G171&lt;CL$5+GanttPeriod),"◆",IF(AND($E171&gt;=CL$5,$E171&lt;CL$5+GanttPeriod),"◇","")),IF(AND(CL$5&lt;=$F171,CL$5+GanttPeriod-1&gt;=$E171),"━","")))</f>
        <v/>
      </c>
      <c r="CM171" s="69" t="str">
        <f aca="false">IF($E171="","",IF($M171,IF(AND($G171&gt;=CM$5,$G171&lt;CM$5+GanttPeriod),"◆",IF(AND($E171&gt;=CM$5,$E171&lt;CM$5+GanttPeriod),"◇","")),IF(AND(CM$5&lt;=$F171,CM$5+GanttPeriod-1&gt;=$E171),"━","")))</f>
        <v/>
      </c>
      <c r="CN171" s="69" t="str">
        <f aca="false">IF($E171="","",IF($M171,IF(AND($G171&gt;=CN$5,$G171&lt;CN$5+GanttPeriod),"◆",IF(AND($E171&gt;=CN$5,$E171&lt;CN$5+GanttPeriod),"◇","")),IF(AND(CN$5&lt;=$F171,CN$5+GanttPeriod-1&gt;=$E171),"━","")))</f>
        <v/>
      </c>
      <c r="CO171" s="69" t="str">
        <f aca="false">IF($E171="","",IF($M171,IF(AND($G171&gt;=CO$5,$G171&lt;CO$5+GanttPeriod),"◆",IF(AND($E171&gt;=CO$5,$E171&lt;CO$5+GanttPeriod),"◇","")),IF(AND(CO$5&lt;=$F171,CO$5+GanttPeriod-1&gt;=$E171),"━","")))</f>
        <v/>
      </c>
      <c r="CP171" s="69" t="str">
        <f aca="false">IF($E171="","",IF($M171,IF(AND($G171&gt;=CP$5,$G171&lt;CP$5+GanttPeriod),"◆",IF(AND($E171&gt;=CP$5,$E171&lt;CP$5+GanttPeriod),"◇","")),IF(AND(CP$5&lt;=$F171,CP$5+GanttPeriod-1&gt;=$E171),"━","")))</f>
        <v/>
      </c>
      <c r="CQ171" s="69" t="str">
        <f aca="false">IF($E171="","",IF($M171,IF(AND($G171&gt;=CQ$5,$G171&lt;CQ$5+GanttPeriod),"◆",IF(AND($E171&gt;=CQ$5,$E171&lt;CQ$5+GanttPeriod),"◇","")),IF(AND(CQ$5&lt;=$F171,CQ$5+GanttPeriod-1&gt;=$E171),"━","")))</f>
        <v/>
      </c>
      <c r="CR171" s="69" t="str">
        <f aca="false">IF($E171="","",IF($M171,IF(AND($G171&gt;=CR$5,$G171&lt;CR$5+GanttPeriod),"◆",IF(AND($E171&gt;=CR$5,$E171&lt;CR$5+GanttPeriod),"◇","")),IF(AND(CR$5&lt;=$F171,CR$5+GanttPeriod-1&gt;=$E171),"━","")))</f>
        <v/>
      </c>
      <c r="CS171" s="69" t="str">
        <f aca="false">IF($E171="","",IF($M171,IF(AND($G171&gt;=CS$5,$G171&lt;CS$5+GanttPeriod),"◆",IF(AND($E171&gt;=CS$5,$E171&lt;CS$5+GanttPeriod),"◇","")),IF(AND(CS$5&lt;=$F171,CS$5+GanttPeriod-1&gt;=$E171),"━","")))</f>
        <v/>
      </c>
      <c r="CT171" s="69" t="str">
        <f aca="false">IF($E171="","",IF($M171,IF(AND($G171&gt;=CT$5,$G171&lt;CT$5+GanttPeriod),"◆",IF(AND($E171&gt;=CT$5,$E171&lt;CT$5+GanttPeriod),"◇","")),IF(AND(CT$5&lt;=$F171,CT$5+GanttPeriod-1&gt;=$E171),"━","")))</f>
        <v/>
      </c>
      <c r="CU171" s="69" t="str">
        <f aca="false">IF($E171="","",IF($M171,IF(AND($G171&gt;=CU$5,$G171&lt;CU$5+GanttPeriod),"◆",IF(AND($E171&gt;=CU$5,$E171&lt;CU$5+GanttPeriod),"◇","")),IF(AND(CU$5&lt;=$F171,CU$5+GanttPeriod-1&gt;=$E171),"━","")))</f>
        <v/>
      </c>
      <c r="CV171" s="69" t="str">
        <f aca="false">IF($E171="","",IF($M171,IF(AND($G171&gt;=CV$5,$G171&lt;CV$5+GanttPeriod),"◆",IF(AND($E171&gt;=CV$5,$E171&lt;CV$5+GanttPeriod),"◇","")),IF(AND(CV$5&lt;=$F171,CV$5+GanttPeriod-1&gt;=$E171),"━","")))</f>
        <v/>
      </c>
      <c r="CW171" s="69" t="str">
        <f aca="false">IF($E171="","",IF($M171,IF(AND($G171&gt;=CW$5,$G171&lt;CW$5+GanttPeriod),"◆",IF(AND($E171&gt;=CW$5,$E171&lt;CW$5+GanttPeriod),"◇","")),IF(AND(CW$5&lt;=$F171,CW$5+GanttPeriod-1&gt;=$E171),"━","")))</f>
        <v/>
      </c>
      <c r="CX171" s="69" t="str">
        <f aca="false">IF($E171="","",IF($M171,IF(AND($G171&gt;=CX$5,$G171&lt;CX$5+GanttPeriod),"◆",IF(AND($E171&gt;=CX$5,$E171&lt;CX$5+GanttPeriod),"◇","")),IF(AND(CX$5&lt;=$F171,CX$5+GanttPeriod-1&gt;=$E171),"━","")))</f>
        <v/>
      </c>
      <c r="CY171" s="69" t="str">
        <f aca="false">IF($E171="","",IF($M171,IF(AND($G171&gt;=CY$5,$G171&lt;CY$5+GanttPeriod),"◆",IF(AND($E171&gt;=CY$5,$E171&lt;CY$5+GanttPeriod),"◇","")),IF(AND(CY$5&lt;=$F171,CY$5+GanttPeriod-1&gt;=$E171),"━","")))</f>
        <v/>
      </c>
      <c r="CZ171" s="69" t="str">
        <f aca="false">IF($E171="","",IF($M171,IF(AND($G171&gt;=CZ$5,$G171&lt;CZ$5+GanttPeriod),"◆",IF(AND($E171&gt;=CZ$5,$E171&lt;CZ$5+GanttPeriod),"◇","")),IF(AND(CZ$5&lt;=$F171,CZ$5+GanttPeriod-1&gt;=$E171),"━","")))</f>
        <v/>
      </c>
      <c r="DA171" s="69" t="str">
        <f aca="false">IF($E171="","",IF($M171,IF(AND($G171&gt;=DA$5,$G171&lt;DA$5+GanttPeriod),"◆",IF(AND($E171&gt;=DA$5,$E171&lt;DA$5+GanttPeriod),"◇","")),IF(AND(DA$5&lt;=$F171,DA$5+GanttPeriod-1&gt;=$E171),"━","")))</f>
        <v/>
      </c>
      <c r="DB171" s="69" t="str">
        <f aca="false">IF($E171="","",IF($M171,IF(AND($G171&gt;=DB$5,$G171&lt;DB$5+GanttPeriod),"◆",IF(AND($E171&gt;=DB$5,$E171&lt;DB$5+GanttPeriod),"◇","")),IF(AND(DB$5&lt;=$F171,DB$5+GanttPeriod-1&gt;=$E171),"━","")))</f>
        <v/>
      </c>
      <c r="DC171" s="69" t="str">
        <f aca="false">IF($E171="","",IF($M171,IF(AND($G171&gt;=DC$5,$G171&lt;DC$5+GanttPeriod),"◆",IF(AND($E171&gt;=DC$5,$E171&lt;DC$5+GanttPeriod),"◇","")),IF(AND(DC$5&lt;=$F171,DC$5+GanttPeriod-1&gt;=$E171),"━","")))</f>
        <v/>
      </c>
      <c r="DD171" s="69" t="str">
        <f aca="false">IF($E171="","",IF($M171,IF(AND($G171&gt;=DD$5,$G171&lt;DD$5+GanttPeriod),"◆",IF(AND($E171&gt;=DD$5,$E171&lt;DD$5+GanttPeriod),"◇","")),IF(AND(DD$5&lt;=$F171,DD$5+GanttPeriod-1&gt;=$E171),"━","")))</f>
        <v/>
      </c>
      <c r="DE171" s="69" t="str">
        <f aca="false">IF($E171="","",IF($M171,IF(AND($G171&gt;=DE$5,$G171&lt;DE$5+GanttPeriod),"◆",IF(AND($E171&gt;=DE$5,$E171&lt;DE$5+GanttPeriod),"◇","")),IF(AND(DE$5&lt;=$F171,DE$5+GanttPeriod-1&gt;=$E171),"━","")))</f>
        <v/>
      </c>
      <c r="DF171" s="69" t="str">
        <f aca="false">IF($E171="","",IF($M171,IF(AND($G171&gt;=DF$5,$G171&lt;DF$5+GanttPeriod),"◆",IF(AND($E171&gt;=DF$5,$E171&lt;DF$5+GanttPeriod),"◇","")),IF(AND(DF$5&lt;=$F171,DF$5+GanttPeriod-1&gt;=$E171),"━","")))</f>
        <v/>
      </c>
      <c r="DG171" s="69" t="str">
        <f aca="false">IF($E171="","",IF($M171,IF(AND($G171&gt;=DG$5,$G171&lt;DG$5+GanttPeriod),"◆",IF(AND($E171&gt;=DG$5,$E171&lt;DG$5+GanttPeriod),"◇","")),IF(AND(DG$5&lt;=$F171,DG$5+GanttPeriod-1&gt;=$E171),"━","")))</f>
        <v/>
      </c>
      <c r="DH171" s="69" t="str">
        <f aca="false">IF($E171="","",IF($M171,IF(AND($G171&gt;=DH$5,$G171&lt;DH$5+GanttPeriod),"◆",IF(AND($E171&gt;=DH$5,$E171&lt;DH$5+GanttPeriod),"◇","")),IF(AND(DH$5&lt;=$F171,DH$5+GanttPeriod-1&gt;=$E171),"━","")))</f>
        <v/>
      </c>
      <c r="DI171" s="69" t="str">
        <f aca="false">IF($E171="","",IF($M171,IF(AND($G171&gt;=DI$5,$G171&lt;DI$5+GanttPeriod),"◆",IF(AND($E171&gt;=DI$5,$E171&lt;DI$5+GanttPeriod),"◇","")),IF(AND(DI$5&lt;=$F171,DI$5+GanttPeriod-1&gt;=$E171),"━","")))</f>
        <v/>
      </c>
      <c r="DJ171" s="69" t="str">
        <f aca="false">IF($E171="","",IF($M171,IF(AND($G171&gt;=DJ$5,$G171&lt;DJ$5+GanttPeriod),"◆",IF(AND($E171&gt;=DJ$5,$E171&lt;DJ$5+GanttPeriod),"◇","")),IF(AND(DJ$5&lt;=$F171,DJ$5+GanttPeriod-1&gt;=$E171),"━","")))</f>
        <v/>
      </c>
      <c r="DK171" s="69" t="str">
        <f aca="false">IF($E171="","",IF($M171,IF(AND($G171&gt;=DK$5,$G171&lt;DK$5+GanttPeriod),"◆",IF(AND($E171&gt;=DK$5,$E171&lt;DK$5+GanttPeriod),"◇","")),IF(AND(DK$5&lt;=$F171,DK$5+GanttPeriod-1&gt;=$E171),"━","")))</f>
        <v/>
      </c>
      <c r="DL171" s="69" t="str">
        <f aca="false">IF($E171="","",IF($M171,IF(AND($G171&gt;=DL$5,$G171&lt;DL$5+GanttPeriod),"◆",IF(AND($E171&gt;=DL$5,$E171&lt;DL$5+GanttPeriod),"◇","")),IF(AND(DL$5&lt;=$F171,DL$5+GanttPeriod-1&gt;=$E171),"━","")))</f>
        <v/>
      </c>
      <c r="DM171" s="69" t="str">
        <f aca="false">IF($E171="","",IF($M171,IF(AND($G171&gt;=DM$5,$G171&lt;DM$5+GanttPeriod),"◆",IF(AND($E171&gt;=DM$5,$E171&lt;DM$5+GanttPeriod),"◇","")),IF(AND(DM$5&lt;=$F171,DM$5+GanttPeriod-1&gt;=$E171),"━","")))</f>
        <v/>
      </c>
      <c r="DN171" s="69" t="str">
        <f aca="false">IF($E171="","",IF($M171,IF(AND($G171&gt;=DN$5,$G171&lt;DN$5+GanttPeriod),"◆",IF(AND($E171&gt;=DN$5,$E171&lt;DN$5+GanttPeriod),"◇","")),IF(AND(DN$5&lt;=$F171,DN$5+GanttPeriod-1&gt;=$E171),"━","")))</f>
        <v/>
      </c>
      <c r="DO171" s="69" t="str">
        <f aca="false">IF($E171="","",IF($M171,IF(AND($G171&gt;=DO$5,$G171&lt;DO$5+GanttPeriod),"◆",IF(AND($E171&gt;=DO$5,$E171&lt;DO$5+GanttPeriod),"◇","")),IF(AND(DO$5&lt;=$F171,DO$5+GanttPeriod-1&gt;=$E171),"━","")))</f>
        <v/>
      </c>
      <c r="DP171" s="69" t="str">
        <f aca="false">IF($E171="","",IF($M171,IF(AND($G171&gt;=DP$5,$G171&lt;DP$5+GanttPeriod),"◆",IF(AND($E171&gt;=DP$5,$E171&lt;DP$5+GanttPeriod),"◇","")),IF(AND(DP$5&lt;=$F171,DP$5+GanttPeriod-1&gt;=$E171),"━","")))</f>
        <v/>
      </c>
      <c r="DQ171" s="69" t="str">
        <f aca="false">IF($E171="","",IF($M171,IF(AND($G171&gt;=DQ$5,$G171&lt;DQ$5+GanttPeriod),"◆",IF(AND($E171&gt;=DQ$5,$E171&lt;DQ$5+GanttPeriod),"◇","")),IF(AND(DQ$5&lt;=$F171,DQ$5+GanttPeriod-1&gt;=$E171),"━","")))</f>
        <v/>
      </c>
      <c r="DR171" s="69" t="str">
        <f aca="false">IF($E171="","",IF($M171,IF(AND($G171&gt;=DR$5,$G171&lt;DR$5+GanttPeriod),"◆",IF(AND($E171&gt;=DR$5,$E171&lt;DR$5+GanttPeriod),"◇","")),IF(AND(DR$5&lt;=$F171,DR$5+GanttPeriod-1&gt;=$E171),"━","")))</f>
        <v/>
      </c>
      <c r="DS171" s="69" t="str">
        <f aca="false">IF($E171="","",IF($M171,IF(AND($G171&gt;=DS$5,$G171&lt;DS$5+GanttPeriod),"◆",IF(AND($E171&gt;=DS$5,$E171&lt;DS$5+GanttPeriod),"◇","")),IF(AND(DS$5&lt;=$F171,DS$5+GanttPeriod-1&gt;=$E171),"━","")))</f>
        <v/>
      </c>
      <c r="DT171" s="69" t="str">
        <f aca="false">IF($E171="","",IF($M171,IF(AND($G171&gt;=DT$5,$G171&lt;DT$5+GanttPeriod),"◆",IF(AND($E171&gt;=DT$5,$E171&lt;DT$5+GanttPeriod),"◇","")),IF(AND(DT$5&lt;=$F171,DT$5+GanttPeriod-1&gt;=$E171),"━","")))</f>
        <v/>
      </c>
      <c r="DU171" s="69" t="str">
        <f aca="false">IF($E171="","",IF($M171,IF(AND($G171&gt;=DU$5,$G171&lt;DU$5+GanttPeriod),"◆",IF(AND($E171&gt;=DU$5,$E171&lt;DU$5+GanttPeriod),"◇","")),IF(AND(DU$5&lt;=$F171,DU$5+GanttPeriod-1&gt;=$E171),"━","")))</f>
        <v/>
      </c>
      <c r="DV171" s="69" t="str">
        <f aca="false">IF($E171="","",IF($M171,IF(AND($G171&gt;=DV$5,$G171&lt;DV$5+GanttPeriod),"◆",IF(AND($E171&gt;=DV$5,$E171&lt;DV$5+GanttPeriod),"◇","")),IF(AND(DV$5&lt;=$F171,DV$5+GanttPeriod-1&gt;=$E171),"━","")))</f>
        <v/>
      </c>
      <c r="DW171" s="69" t="str">
        <f aca="false">IF($E171="","",IF($M171,IF(AND($G171&gt;=DW$5,$G171&lt;DW$5+GanttPeriod),"◆",IF(AND($E171&gt;=DW$5,$E171&lt;DW$5+GanttPeriod),"◇","")),IF(AND(DW$5&lt;=$F171,DW$5+GanttPeriod-1&gt;=$E171),"━","")))</f>
        <v/>
      </c>
      <c r="DX171" s="69" t="str">
        <f aca="false">IF($E171="","",IF($M171,IF(AND($G171&gt;=DX$5,$G171&lt;DX$5+GanttPeriod),"◆",IF(AND($E171&gt;=DX$5,$E171&lt;DX$5+GanttPeriod),"◇","")),IF(AND(DX$5&lt;=$F171,DX$5+GanttPeriod-1&gt;=$E171),"━","")))</f>
        <v/>
      </c>
      <c r="DY171" s="69" t="str">
        <f aca="false">IF($E171="","",IF($M171,IF(AND($G171&gt;=DY$5,$G171&lt;DY$5+GanttPeriod),"◆",IF(AND($E171&gt;=DY$5,$E171&lt;DY$5+GanttPeriod),"◇","")),IF(AND(DY$5&lt;=$F171,DY$5+GanttPeriod-1&gt;=$E171),"━","")))</f>
        <v/>
      </c>
      <c r="DZ171" s="69" t="str">
        <f aca="false">IF($E171="","",IF($M171,IF(AND($G171&gt;=DZ$5,$G171&lt;DZ$5+GanttPeriod),"◆",IF(AND($E171&gt;=DZ$5,$E171&lt;DZ$5+GanttPeriod),"◇","")),IF(AND(DZ$5&lt;=$F171,DZ$5+GanttPeriod-1&gt;=$E171),"━","")))</f>
        <v/>
      </c>
      <c r="EA171" s="69" t="str">
        <f aca="false">IF($E171="","",IF($M171,IF(AND($G171&gt;=EA$5,$G171&lt;EA$5+GanttPeriod),"◆",IF(AND($E171&gt;=EA$5,$E171&lt;EA$5+GanttPeriod),"◇","")),IF(AND(EA$5&lt;=$F171,EA$5+GanttPeriod-1&gt;=$E171),"━","")))</f>
        <v/>
      </c>
      <c r="EB171" s="69" t="str">
        <f aca="false">IF($E171="","",IF($M171,IF(AND($G171&gt;=EB$5,$G171&lt;EB$5+GanttPeriod),"◆",IF(AND($E171&gt;=EB$5,$E171&lt;EB$5+GanttPeriod),"◇","")),IF(AND(EB$5&lt;=$F171,EB$5+GanttPeriod-1&gt;=$E171),"━","")))</f>
        <v/>
      </c>
      <c r="EC171" s="69" t="str">
        <f aca="false">IF($E171="","",IF($M171,IF(AND($G171&gt;=EC$5,$G171&lt;EC$5+GanttPeriod),"◆",IF(AND($E171&gt;=EC$5,$E171&lt;EC$5+GanttPeriod),"◇","")),IF(AND(EC$5&lt;=$F171,EC$5+GanttPeriod-1&gt;=$E171),"━","")))</f>
        <v/>
      </c>
      <c r="ED171" s="69" t="str">
        <f aca="false">IF($E171="","",IF($M171,IF(AND($G171&gt;=ED$5,$G171&lt;ED$5+GanttPeriod),"◆",IF(AND($E171&gt;=ED$5,$E171&lt;ED$5+GanttPeriod),"◇","")),IF(AND(ED$5&lt;=$F171,ED$5+GanttPeriod-1&gt;=$E171),"━","")))</f>
        <v/>
      </c>
      <c r="EE171" s="69" t="str">
        <f aca="false">IF($E171="","",IF($M171,IF(AND($G171&gt;=EE$5,$G171&lt;EE$5+GanttPeriod),"◆",IF(AND($E171&gt;=EE$5,$E171&lt;EE$5+GanttPeriod),"◇","")),IF(AND(EE$5&lt;=$F171,EE$5+GanttPeriod-1&gt;=$E171),"━","")))</f>
        <v/>
      </c>
      <c r="EF171" s="69" t="str">
        <f aca="false">IF($E171="","",IF($M171,IF(AND($G171&gt;=EF$5,$G171&lt;EF$5+GanttPeriod),"◆",IF(AND($E171&gt;=EF$5,$E171&lt;EF$5+GanttPeriod),"◇","")),IF(AND(EF$5&lt;=$F171,EF$5+GanttPeriod-1&gt;=$E171),"━","")))</f>
        <v/>
      </c>
      <c r="EG171" s="69" t="str">
        <f aca="false">IF($E171="","",IF($M171,IF(AND($G171&gt;=EG$5,$G171&lt;EG$5+GanttPeriod),"◆",IF(AND($E171&gt;=EG$5,$E171&lt;EG$5+GanttPeriod),"◇","")),IF(AND(EG$5&lt;=$F171,EG$5+GanttPeriod-1&gt;=$E171),"━","")))</f>
        <v/>
      </c>
      <c r="EH171" s="69" t="str">
        <f aca="false">IF($E171="","",IF($M171,IF(AND($G171&gt;=EH$5,$G171&lt;EH$5+GanttPeriod),"◆",IF(AND($E171&gt;=EH$5,$E171&lt;EH$5+GanttPeriod),"◇","")),IF(AND(EH$5&lt;=$F171,EH$5+GanttPeriod-1&gt;=$E171),"━","")))</f>
        <v/>
      </c>
      <c r="EI171" s="69" t="str">
        <f aca="false">IF($E171="","",IF($M171,IF(AND($G171&gt;=EI$5,$G171&lt;EI$5+GanttPeriod),"◆",IF(AND($E171&gt;=EI$5,$E171&lt;EI$5+GanttPeriod),"◇","")),IF(AND(EI$5&lt;=$F171,EI$5+GanttPeriod-1&gt;=$E171),"━","")))</f>
        <v/>
      </c>
      <c r="EJ171" s="69" t="str">
        <f aca="false">IF($E171="","",IF($M171,IF(AND($G171&gt;=EJ$5,$G171&lt;EJ$5+GanttPeriod),"◆",IF(AND($E171&gt;=EJ$5,$E171&lt;EJ$5+GanttPeriod),"◇","")),IF(AND(EJ$5&lt;=$F171,EJ$5+GanttPeriod-1&gt;=$E171),"━","")))</f>
        <v/>
      </c>
      <c r="EK171" s="69" t="str">
        <f aca="false">IF($E171="","",IF($M171,IF(AND($G171&gt;=EK$5,$G171&lt;EK$5+GanttPeriod),"◆",IF(AND($E171&gt;=EK$5,$E171&lt;EK$5+GanttPeriod),"◇","")),IF(AND(EK$5&lt;=$F171,EK$5+GanttPeriod-1&gt;=$E171),"━","")))</f>
        <v/>
      </c>
      <c r="EL171" s="69" t="str">
        <f aca="false">IF($E171="","",IF($M171,IF(AND($G171&gt;=EL$5,$G171&lt;EL$5+GanttPeriod),"◆",IF(AND($E171&gt;=EL$5,$E171&lt;EL$5+GanttPeriod),"◇","")),IF(AND(EL$5&lt;=$F171,EL$5+GanttPeriod-1&gt;=$E171),"━","")))</f>
        <v/>
      </c>
      <c r="EM171" s="69" t="str">
        <f aca="false">IF($E171="","",IF($M171,IF(AND($G171&gt;=EM$5,$G171&lt;EM$5+GanttPeriod),"◆",IF(AND($E171&gt;=EM$5,$E171&lt;EM$5+GanttPeriod),"◇","")),IF(AND(EM$5&lt;=$F171,EM$5+GanttPeriod-1&gt;=$E171),"━","")))</f>
        <v/>
      </c>
      <c r="EN171" s="69" t="str">
        <f aca="false">IF($E171="","",IF($M171,IF(AND($G171&gt;=EN$5,$G171&lt;EN$5+GanttPeriod),"◆",IF(AND($E171&gt;=EN$5,$E171&lt;EN$5+GanttPeriod),"◇","")),IF(AND(EN$5&lt;=$F171,EN$5+GanttPeriod-1&gt;=$E171),"━","")))</f>
        <v/>
      </c>
      <c r="EO171" s="69" t="str">
        <f aca="false">IF($E171="","",IF($M171,IF(AND($G171&gt;=EO$5,$G171&lt;EO$5+GanttPeriod),"◆",IF(AND($E171&gt;=EO$5,$E171&lt;EO$5+GanttPeriod),"◇","")),IF(AND(EO$5&lt;=$F171,EO$5+GanttPeriod-1&gt;=$E171),"━","")))</f>
        <v/>
      </c>
      <c r="EP171" s="69" t="str">
        <f aca="false">IF($E171="","",IF($M171,IF(AND($G171&gt;=EP$5,$G171&lt;EP$5+GanttPeriod),"◆",IF(AND($E171&gt;=EP$5,$E171&lt;EP$5+GanttPeriod),"◇","")),IF(AND(EP$5&lt;=$F171,EP$5+GanttPeriod-1&gt;=$E171),"━","")))</f>
        <v/>
      </c>
      <c r="EQ171" s="69" t="str">
        <f aca="false">IF($E171="","",IF($M171,IF(AND($G171&gt;=EQ$5,$G171&lt;EQ$5+GanttPeriod),"◆",IF(AND($E171&gt;=EQ$5,$E171&lt;EQ$5+GanttPeriod),"◇","")),IF(AND(EQ$5&lt;=$F171,EQ$5+GanttPeriod-1&gt;=$E171),"━","")))</f>
        <v/>
      </c>
      <c r="ER171" s="69" t="str">
        <f aca="false">IF($E171="","",IF($M171,IF(AND($G171&gt;=ER$5,$G171&lt;ER$5+GanttPeriod),"◆",IF(AND($E171&gt;=ER$5,$E171&lt;ER$5+GanttPeriod),"◇","")),IF(AND(ER$5&lt;=$F171,ER$5+GanttPeriod-1&gt;=$E171),"━","")))</f>
        <v/>
      </c>
      <c r="ES171" s="69" t="str">
        <f aca="false">IF($E171="","",IF($M171,IF(AND($G171&gt;=ES$5,$G171&lt;ES$5+GanttPeriod),"◆",IF(AND($E171&gt;=ES$5,$E171&lt;ES$5+GanttPeriod),"◇","")),IF(AND(ES$5&lt;=$F171,ES$5+GanttPeriod-1&gt;=$E171),"━","")))</f>
        <v/>
      </c>
      <c r="ET171" s="69" t="str">
        <f aca="false">IF($E171="","",IF($M171,IF(AND($G171&gt;=ET$5,$G171&lt;ET$5+GanttPeriod),"◆",IF(AND($E171&gt;=ET$5,$E171&lt;ET$5+GanttPeriod),"◇","")),IF(AND(ET$5&lt;=$F171,ET$5+GanttPeriod-1&gt;=$E171),"━","")))</f>
        <v/>
      </c>
      <c r="EU171" s="69" t="str">
        <f aca="false">IF($E171="","",IF($M171,IF(AND($G171&gt;=EU$5,$G171&lt;EU$5+GanttPeriod),"◆",IF(AND($E171&gt;=EU$5,$E171&lt;EU$5+GanttPeriod),"◇","")),IF(AND(EU$5&lt;=$F171,EU$5+GanttPeriod-1&gt;=$E171),"━","")))</f>
        <v/>
      </c>
      <c r="EV171" s="69" t="str">
        <f aca="false">IF($E171="","",IF($M171,IF(AND($G171&gt;=EV$5,$G171&lt;EV$5+GanttPeriod),"◆",IF(AND($E171&gt;=EV$5,$E171&lt;EV$5+GanttPeriod),"◇","")),IF(AND(EV$5&lt;=$F171,EV$5+GanttPeriod-1&gt;=$E171),"━","")))</f>
        <v/>
      </c>
      <c r="EW171" s="69" t="str">
        <f aca="false">IF($E171="","",IF($M171,IF(AND($G171&gt;=EW$5,$G171&lt;EW$5+GanttPeriod),"◆",IF(AND($E171&gt;=EW$5,$E171&lt;EW$5+GanttPeriod),"◇","")),IF(AND(EW$5&lt;=$F171,EW$5+GanttPeriod-1&gt;=$E171),"━","")))</f>
        <v/>
      </c>
      <c r="EX171" s="69" t="str">
        <f aca="false">IF($E171="","",IF($M171,IF(AND($G171&gt;=EX$5,$G171&lt;EX$5+GanttPeriod),"◆",IF(AND($E171&gt;=EX$5,$E171&lt;EX$5+GanttPeriod),"◇","")),IF(AND(EX$5&lt;=$F171,EX$5+GanttPeriod-1&gt;=$E171),"━","")))</f>
        <v/>
      </c>
      <c r="EY171" s="69" t="str">
        <f aca="false">IF($E171="","",IF($M171,IF(AND($G171&gt;=EY$5,$G171&lt;EY$5+GanttPeriod),"◆",IF(AND($E171&gt;=EY$5,$E171&lt;EY$5+GanttPeriod),"◇","")),IF(AND(EY$5&lt;=$F171,EY$5+GanttPeriod-1&gt;=$E171),"━","")))</f>
        <v/>
      </c>
      <c r="EZ171" s="69" t="str">
        <f aca="false">IF($E171="","",IF($M171,IF(AND($G171&gt;=EZ$5,$G171&lt;EZ$5+GanttPeriod),"◆",IF(AND($E171&gt;=EZ$5,$E171&lt;EZ$5+GanttPeriod),"◇","")),IF(AND(EZ$5&lt;=$F171,EZ$5+GanttPeriod-1&gt;=$E171),"━","")))</f>
        <v/>
      </c>
      <c r="FA171" s="69" t="str">
        <f aca="false">IF($E171="","",IF($M171,IF(AND($G171&gt;=FA$5,$G171&lt;FA$5+GanttPeriod),"◆",IF(AND($E171&gt;=FA$5,$E171&lt;FA$5+GanttPeriod),"◇","")),IF(AND(FA$5&lt;=$F171,FA$5+GanttPeriod-1&gt;=$E171),"━","")))</f>
        <v/>
      </c>
      <c r="FB171" s="69" t="str">
        <f aca="false">IF($E171="","",IF($M171,IF(AND($G171&gt;=FB$5,$G171&lt;FB$5+GanttPeriod),"◆",IF(AND($E171&gt;=FB$5,$E171&lt;FB$5+GanttPeriod),"◇","")),IF(AND(FB$5&lt;=$F171,FB$5+GanttPeriod-1&gt;=$E171),"━","")))</f>
        <v/>
      </c>
      <c r="FC171" s="69" t="str">
        <f aca="false">IF($E171="","",IF($M171,IF(AND($G171&gt;=FC$5,$G171&lt;FC$5+GanttPeriod),"◆",IF(AND($E171&gt;=FC$5,$E171&lt;FC$5+GanttPeriod),"◇","")),IF(AND(FC$5&lt;=$F171,FC$5+GanttPeriod-1&gt;=$E171),"━","")))</f>
        <v/>
      </c>
      <c r="FD171" s="69" t="str">
        <f aca="false">IF($E171="","",IF($M171,IF(AND($G171&gt;=FD$5,$G171&lt;FD$5+GanttPeriod),"◆",IF(AND($E171&gt;=FD$5,$E171&lt;FD$5+GanttPeriod),"◇","")),IF(AND(FD$5&lt;=$F171,FD$5+GanttPeriod-1&gt;=$E171),"━","")))</f>
        <v/>
      </c>
      <c r="FE171" s="69" t="str">
        <f aca="false">IF($E171="","",IF($M171,IF(AND($G171&gt;=FE$5,$G171&lt;FE$5+GanttPeriod),"◆",IF(AND($E171&gt;=FE$5,$E171&lt;FE$5+GanttPeriod),"◇","")),IF(AND(FE$5&lt;=$F171,FE$5+GanttPeriod-1&gt;=$E171),"━","")))</f>
        <v/>
      </c>
      <c r="FF171" s="69" t="str">
        <f aca="false">IF($E171="","",IF($M171,IF(AND($G171&gt;=FF$5,$G171&lt;FF$5+GanttPeriod),"◆",IF(AND($E171&gt;=FF$5,$E171&lt;FF$5+GanttPeriod),"◇","")),IF(AND(FF$5&lt;=$F171,FF$5+GanttPeriod-1&gt;=$E171),"━","")))</f>
        <v/>
      </c>
      <c r="FG171" s="69" t="str">
        <f aca="false">IF($E171="","",IF($M171,IF(AND($G171&gt;=FG$5,$G171&lt;FG$5+GanttPeriod),"◆",IF(AND($E171&gt;=FG$5,$E171&lt;FG$5+GanttPeriod),"◇","")),IF(AND(FG$5&lt;=$F171,FG$5+GanttPeriod-1&gt;=$E171),"━","")))</f>
        <v/>
      </c>
      <c r="FH171" s="69" t="str">
        <f aca="false">IF($E171="","",IF($M171,IF(AND($G171&gt;=FH$5,$G171&lt;FH$5+GanttPeriod),"◆",IF(AND($E171&gt;=FH$5,$E171&lt;FH$5+GanttPeriod),"◇","")),IF(AND(FH$5&lt;=$F171,FH$5+GanttPeriod-1&gt;=$E171),"━","")))</f>
        <v/>
      </c>
      <c r="FI171" s="69" t="str">
        <f aca="false">IF($E171="","",IF($M171,IF(AND($G171&gt;=FI$5,$G171&lt;FI$5+GanttPeriod),"◆",IF(AND($E171&gt;=FI$5,$E171&lt;FI$5+GanttPeriod),"◇","")),IF(AND(FI$5&lt;=$F171,FI$5+GanttPeriod-1&gt;=$E171),"━","")))</f>
        <v/>
      </c>
      <c r="FJ171" s="69" t="str">
        <f aca="false">IF($E171="","",IF($M171,IF(AND($G171&gt;=FJ$5,$G171&lt;FJ$5+GanttPeriod),"◆",IF(AND($E171&gt;=FJ$5,$E171&lt;FJ$5+GanttPeriod),"◇","")),IF(AND(FJ$5&lt;=$F171,FJ$5+GanttPeriod-1&gt;=$E171),"━","")))</f>
        <v/>
      </c>
      <c r="FK171" s="69" t="str">
        <f aca="false">IF($E171="","",IF($M171,IF(AND($G171&gt;=FK$5,$G171&lt;FK$5+GanttPeriod),"◆",IF(AND($E171&gt;=FK$5,$E171&lt;FK$5+GanttPeriod),"◇","")),IF(AND(FK$5&lt;=$F171,FK$5+GanttPeriod-1&gt;=$E171),"━","")))</f>
        <v/>
      </c>
      <c r="FL171" s="69" t="str">
        <f aca="false">IF($E171="","",IF($M171,IF(AND($G171&gt;=FL$5,$G171&lt;FL$5+GanttPeriod),"◆",IF(AND($E171&gt;=FL$5,$E171&lt;FL$5+GanttPeriod),"◇","")),IF(AND(FL$5&lt;=$F171,FL$5+GanttPeriod-1&gt;=$E171),"━","")))</f>
        <v/>
      </c>
      <c r="FM171" s="69" t="str">
        <f aca="false">IF($E171="","",IF($M171,IF(AND($G171&gt;=FM$5,$G171&lt;FM$5+GanttPeriod),"◆",IF(AND($E171&gt;=FM$5,$E171&lt;FM$5+GanttPeriod),"◇","")),IF(AND(FM$5&lt;=$F171,FM$5+GanttPeriod-1&gt;=$E171),"━","")))</f>
        <v/>
      </c>
    </row>
    <row r="172" customFormat="false" ht="15" hidden="false" customHeight="false" outlineLevel="0" collapsed="false">
      <c r="A172" s="62" t="str">
        <f aca="false">IF(Tasks!$D172="","",Tasks!$A172)</f>
        <v/>
      </c>
      <c r="B172" s="62" t="str">
        <f aca="false">IF(Tasks!$D172="","",Tasks!$B172)</f>
        <v/>
      </c>
      <c r="C172" s="63" t="str">
        <f aca="false">IF(Tasks!$D172="","",REPT("    ",Tasks!$AE172-1)&amp;Tasks!$D172)</f>
        <v/>
      </c>
      <c r="D172" s="62" t="str">
        <f aca="false">IF(Tasks!$D172="","",IF(Tasks!$AI172,NETWORKDAYS.INTL(Tasks!$R172,Tasks!$S172,WorkWeek,Holidays),N(Tasks!$F172)))</f>
        <v/>
      </c>
      <c r="E172" s="64" t="str">
        <f aca="false">IF(Tasks!$D172="","",Tasks!$N172)</f>
        <v/>
      </c>
      <c r="F172" s="64" t="str">
        <f aca="false">IF(Tasks!$D172="","",Tasks!$O172)</f>
        <v/>
      </c>
      <c r="G172" s="64" t="str">
        <f aca="false">IF(Tasks!$D172="","",Tasks!$R172)</f>
        <v/>
      </c>
      <c r="H172" s="64" t="str">
        <f aca="false">IF(Tasks!$D172="","",Tasks!$S172)</f>
        <v/>
      </c>
      <c r="I172" s="65" t="str">
        <f aca="false">IF(Tasks!$D172="","",Tasks!$V172)</f>
        <v/>
      </c>
      <c r="J172" s="63" t="str">
        <f aca="false">IF(Tasks!$D172="","",Tasks!$X172&amp;"")</f>
        <v/>
      </c>
      <c r="K172" s="66" t="str">
        <f aca="false">IF(Tasks!$D172="","",Tasks!$W172)</f>
        <v/>
      </c>
      <c r="L172" s="67" t="b">
        <f aca="false">IF(Tasks!$D172="",FALSE(),Tasks!$AI172)</f>
        <v>0</v>
      </c>
      <c r="M172" s="67" t="b">
        <f aca="false">AND(Tasks!$AJ172=1,N(Tasks!$F172)=0)</f>
        <v>0</v>
      </c>
      <c r="N172" s="68" t="n">
        <f aca="false">IF(AND(Tasks!$AJ172=1,NOT($M172),N($I172)&gt;0),$G172,0)</f>
        <v>0</v>
      </c>
      <c r="O172" s="68" t="n">
        <f aca="false">IF($N172=0,0,IF($I172&gt;=1,$H172,MAX($N172,$G172+ROUND(($H172-$G172+1)*$I172,0)-1)))</f>
        <v>0</v>
      </c>
      <c r="P172" s="68" t="n">
        <f aca="false">IF(OR(Tasks!$AJ172&lt;&gt;1,$M172,N($I172)&gt;=1),0,IF($O172&gt;0,$O172+1,$G172))</f>
        <v>0</v>
      </c>
      <c r="Q172" s="68" t="n">
        <f aca="false">IF($P172=0,0,$H172)</f>
        <v>0</v>
      </c>
      <c r="R172" s="67" t="b">
        <f aca="false">AND(Tasks!$D172&lt;&gt;"",N(Tasks!$T172)&gt;0)</f>
        <v>0</v>
      </c>
      <c r="T172" s="69" t="str">
        <f aca="false">IF($E172="","",IF($M172,IF(AND($G172&gt;=T$5,$G172&lt;T$5+GanttPeriod),"◆",IF(AND($E172&gt;=T$5,$E172&lt;T$5+GanttPeriod),"◇","")),IF(AND(T$5&lt;=$F172,T$5+GanttPeriod-1&gt;=$E172),"━","")))</f>
        <v/>
      </c>
      <c r="U172" s="69" t="str">
        <f aca="false">IF($E172="","",IF($M172,IF(AND($G172&gt;=U$5,$G172&lt;U$5+GanttPeriod),"◆",IF(AND($E172&gt;=U$5,$E172&lt;U$5+GanttPeriod),"◇","")),IF(AND(U$5&lt;=$F172,U$5+GanttPeriod-1&gt;=$E172),"━","")))</f>
        <v/>
      </c>
      <c r="V172" s="69" t="str">
        <f aca="false">IF($E172="","",IF($M172,IF(AND($G172&gt;=V$5,$G172&lt;V$5+GanttPeriod),"◆",IF(AND($E172&gt;=V$5,$E172&lt;V$5+GanttPeriod),"◇","")),IF(AND(V$5&lt;=$F172,V$5+GanttPeriod-1&gt;=$E172),"━","")))</f>
        <v/>
      </c>
      <c r="W172" s="69" t="str">
        <f aca="false">IF($E172="","",IF($M172,IF(AND($G172&gt;=W$5,$G172&lt;W$5+GanttPeriod),"◆",IF(AND($E172&gt;=W$5,$E172&lt;W$5+GanttPeriod),"◇","")),IF(AND(W$5&lt;=$F172,W$5+GanttPeriod-1&gt;=$E172),"━","")))</f>
        <v/>
      </c>
      <c r="X172" s="69" t="str">
        <f aca="false">IF($E172="","",IF($M172,IF(AND($G172&gt;=X$5,$G172&lt;X$5+GanttPeriod),"◆",IF(AND($E172&gt;=X$5,$E172&lt;X$5+GanttPeriod),"◇","")),IF(AND(X$5&lt;=$F172,X$5+GanttPeriod-1&gt;=$E172),"━","")))</f>
        <v/>
      </c>
      <c r="Y172" s="69" t="str">
        <f aca="false">IF($E172="","",IF($M172,IF(AND($G172&gt;=Y$5,$G172&lt;Y$5+GanttPeriod),"◆",IF(AND($E172&gt;=Y$5,$E172&lt;Y$5+GanttPeriod),"◇","")),IF(AND(Y$5&lt;=$F172,Y$5+GanttPeriod-1&gt;=$E172),"━","")))</f>
        <v/>
      </c>
      <c r="Z172" s="69" t="str">
        <f aca="false">IF($E172="","",IF($M172,IF(AND($G172&gt;=Z$5,$G172&lt;Z$5+GanttPeriod),"◆",IF(AND($E172&gt;=Z$5,$E172&lt;Z$5+GanttPeriod),"◇","")),IF(AND(Z$5&lt;=$F172,Z$5+GanttPeriod-1&gt;=$E172),"━","")))</f>
        <v/>
      </c>
      <c r="AA172" s="69" t="str">
        <f aca="false">IF($E172="","",IF($M172,IF(AND($G172&gt;=AA$5,$G172&lt;AA$5+GanttPeriod),"◆",IF(AND($E172&gt;=AA$5,$E172&lt;AA$5+GanttPeriod),"◇","")),IF(AND(AA$5&lt;=$F172,AA$5+GanttPeriod-1&gt;=$E172),"━","")))</f>
        <v/>
      </c>
      <c r="AB172" s="69" t="str">
        <f aca="false">IF($E172="","",IF($M172,IF(AND($G172&gt;=AB$5,$G172&lt;AB$5+GanttPeriod),"◆",IF(AND($E172&gt;=AB$5,$E172&lt;AB$5+GanttPeriod),"◇","")),IF(AND(AB$5&lt;=$F172,AB$5+GanttPeriod-1&gt;=$E172),"━","")))</f>
        <v/>
      </c>
      <c r="AC172" s="69" t="str">
        <f aca="false">IF($E172="","",IF($M172,IF(AND($G172&gt;=AC$5,$G172&lt;AC$5+GanttPeriod),"◆",IF(AND($E172&gt;=AC$5,$E172&lt;AC$5+GanttPeriod),"◇","")),IF(AND(AC$5&lt;=$F172,AC$5+GanttPeriod-1&gt;=$E172),"━","")))</f>
        <v/>
      </c>
      <c r="AD172" s="69" t="str">
        <f aca="false">IF($E172="","",IF($M172,IF(AND($G172&gt;=AD$5,$G172&lt;AD$5+GanttPeriod),"◆",IF(AND($E172&gt;=AD$5,$E172&lt;AD$5+GanttPeriod),"◇","")),IF(AND(AD$5&lt;=$F172,AD$5+GanttPeriod-1&gt;=$E172),"━","")))</f>
        <v/>
      </c>
      <c r="AE172" s="69" t="str">
        <f aca="false">IF($E172="","",IF($M172,IF(AND($G172&gt;=AE$5,$G172&lt;AE$5+GanttPeriod),"◆",IF(AND($E172&gt;=AE$5,$E172&lt;AE$5+GanttPeriod),"◇","")),IF(AND(AE$5&lt;=$F172,AE$5+GanttPeriod-1&gt;=$E172),"━","")))</f>
        <v/>
      </c>
      <c r="AF172" s="69" t="str">
        <f aca="false">IF($E172="","",IF($M172,IF(AND($G172&gt;=AF$5,$G172&lt;AF$5+GanttPeriod),"◆",IF(AND($E172&gt;=AF$5,$E172&lt;AF$5+GanttPeriod),"◇","")),IF(AND(AF$5&lt;=$F172,AF$5+GanttPeriod-1&gt;=$E172),"━","")))</f>
        <v/>
      </c>
      <c r="AG172" s="69" t="str">
        <f aca="false">IF($E172="","",IF($M172,IF(AND($G172&gt;=AG$5,$G172&lt;AG$5+GanttPeriod),"◆",IF(AND($E172&gt;=AG$5,$E172&lt;AG$5+GanttPeriod),"◇","")),IF(AND(AG$5&lt;=$F172,AG$5+GanttPeriod-1&gt;=$E172),"━","")))</f>
        <v/>
      </c>
      <c r="AH172" s="69" t="str">
        <f aca="false">IF($E172="","",IF($M172,IF(AND($G172&gt;=AH$5,$G172&lt;AH$5+GanttPeriod),"◆",IF(AND($E172&gt;=AH$5,$E172&lt;AH$5+GanttPeriod),"◇","")),IF(AND(AH$5&lt;=$F172,AH$5+GanttPeriod-1&gt;=$E172),"━","")))</f>
        <v/>
      </c>
      <c r="AI172" s="69" t="str">
        <f aca="false">IF($E172="","",IF($M172,IF(AND($G172&gt;=AI$5,$G172&lt;AI$5+GanttPeriod),"◆",IF(AND($E172&gt;=AI$5,$E172&lt;AI$5+GanttPeriod),"◇","")),IF(AND(AI$5&lt;=$F172,AI$5+GanttPeriod-1&gt;=$E172),"━","")))</f>
        <v/>
      </c>
      <c r="AJ172" s="69" t="str">
        <f aca="false">IF($E172="","",IF($M172,IF(AND($G172&gt;=AJ$5,$G172&lt;AJ$5+GanttPeriod),"◆",IF(AND($E172&gt;=AJ$5,$E172&lt;AJ$5+GanttPeriod),"◇","")),IF(AND(AJ$5&lt;=$F172,AJ$5+GanttPeriod-1&gt;=$E172),"━","")))</f>
        <v/>
      </c>
      <c r="AK172" s="69" t="str">
        <f aca="false">IF($E172="","",IF($M172,IF(AND($G172&gt;=AK$5,$G172&lt;AK$5+GanttPeriod),"◆",IF(AND($E172&gt;=AK$5,$E172&lt;AK$5+GanttPeriod),"◇","")),IF(AND(AK$5&lt;=$F172,AK$5+GanttPeriod-1&gt;=$E172),"━","")))</f>
        <v/>
      </c>
      <c r="AL172" s="69" t="str">
        <f aca="false">IF($E172="","",IF($M172,IF(AND($G172&gt;=AL$5,$G172&lt;AL$5+GanttPeriod),"◆",IF(AND($E172&gt;=AL$5,$E172&lt;AL$5+GanttPeriod),"◇","")),IF(AND(AL$5&lt;=$F172,AL$5+GanttPeriod-1&gt;=$E172),"━","")))</f>
        <v/>
      </c>
      <c r="AM172" s="69" t="str">
        <f aca="false">IF($E172="","",IF($M172,IF(AND($G172&gt;=AM$5,$G172&lt;AM$5+GanttPeriod),"◆",IF(AND($E172&gt;=AM$5,$E172&lt;AM$5+GanttPeriod),"◇","")),IF(AND(AM$5&lt;=$F172,AM$5+GanttPeriod-1&gt;=$E172),"━","")))</f>
        <v/>
      </c>
      <c r="AN172" s="69" t="str">
        <f aca="false">IF($E172="","",IF($M172,IF(AND($G172&gt;=AN$5,$G172&lt;AN$5+GanttPeriod),"◆",IF(AND($E172&gt;=AN$5,$E172&lt;AN$5+GanttPeriod),"◇","")),IF(AND(AN$5&lt;=$F172,AN$5+GanttPeriod-1&gt;=$E172),"━","")))</f>
        <v/>
      </c>
      <c r="AO172" s="69" t="str">
        <f aca="false">IF($E172="","",IF($M172,IF(AND($G172&gt;=AO$5,$G172&lt;AO$5+GanttPeriod),"◆",IF(AND($E172&gt;=AO$5,$E172&lt;AO$5+GanttPeriod),"◇","")),IF(AND(AO$5&lt;=$F172,AO$5+GanttPeriod-1&gt;=$E172),"━","")))</f>
        <v/>
      </c>
      <c r="AP172" s="69" t="str">
        <f aca="false">IF($E172="","",IF($M172,IF(AND($G172&gt;=AP$5,$G172&lt;AP$5+GanttPeriod),"◆",IF(AND($E172&gt;=AP$5,$E172&lt;AP$5+GanttPeriod),"◇","")),IF(AND(AP$5&lt;=$F172,AP$5+GanttPeriod-1&gt;=$E172),"━","")))</f>
        <v/>
      </c>
      <c r="AQ172" s="69" t="str">
        <f aca="false">IF($E172="","",IF($M172,IF(AND($G172&gt;=AQ$5,$G172&lt;AQ$5+GanttPeriod),"◆",IF(AND($E172&gt;=AQ$5,$E172&lt;AQ$5+GanttPeriod),"◇","")),IF(AND(AQ$5&lt;=$F172,AQ$5+GanttPeriod-1&gt;=$E172),"━","")))</f>
        <v/>
      </c>
      <c r="AR172" s="69" t="str">
        <f aca="false">IF($E172="","",IF($M172,IF(AND($G172&gt;=AR$5,$G172&lt;AR$5+GanttPeriod),"◆",IF(AND($E172&gt;=AR$5,$E172&lt;AR$5+GanttPeriod),"◇","")),IF(AND(AR$5&lt;=$F172,AR$5+GanttPeriod-1&gt;=$E172),"━","")))</f>
        <v/>
      </c>
      <c r="AS172" s="69" t="str">
        <f aca="false">IF($E172="","",IF($M172,IF(AND($G172&gt;=AS$5,$G172&lt;AS$5+GanttPeriod),"◆",IF(AND($E172&gt;=AS$5,$E172&lt;AS$5+GanttPeriod),"◇","")),IF(AND(AS$5&lt;=$F172,AS$5+GanttPeriod-1&gt;=$E172),"━","")))</f>
        <v/>
      </c>
      <c r="AT172" s="69" t="str">
        <f aca="false">IF($E172="","",IF($M172,IF(AND($G172&gt;=AT$5,$G172&lt;AT$5+GanttPeriod),"◆",IF(AND($E172&gt;=AT$5,$E172&lt;AT$5+GanttPeriod),"◇","")),IF(AND(AT$5&lt;=$F172,AT$5+GanttPeriod-1&gt;=$E172),"━","")))</f>
        <v/>
      </c>
      <c r="AU172" s="69" t="str">
        <f aca="false">IF($E172="","",IF($M172,IF(AND($G172&gt;=AU$5,$G172&lt;AU$5+GanttPeriod),"◆",IF(AND($E172&gt;=AU$5,$E172&lt;AU$5+GanttPeriod),"◇","")),IF(AND(AU$5&lt;=$F172,AU$5+GanttPeriod-1&gt;=$E172),"━","")))</f>
        <v/>
      </c>
      <c r="AV172" s="69" t="str">
        <f aca="false">IF($E172="","",IF($M172,IF(AND($G172&gt;=AV$5,$G172&lt;AV$5+GanttPeriod),"◆",IF(AND($E172&gt;=AV$5,$E172&lt;AV$5+GanttPeriod),"◇","")),IF(AND(AV$5&lt;=$F172,AV$5+GanttPeriod-1&gt;=$E172),"━","")))</f>
        <v/>
      </c>
      <c r="AW172" s="69" t="str">
        <f aca="false">IF($E172="","",IF($M172,IF(AND($G172&gt;=AW$5,$G172&lt;AW$5+GanttPeriod),"◆",IF(AND($E172&gt;=AW$5,$E172&lt;AW$5+GanttPeriod),"◇","")),IF(AND(AW$5&lt;=$F172,AW$5+GanttPeriod-1&gt;=$E172),"━","")))</f>
        <v/>
      </c>
      <c r="AX172" s="69" t="str">
        <f aca="false">IF($E172="","",IF($M172,IF(AND($G172&gt;=AX$5,$G172&lt;AX$5+GanttPeriod),"◆",IF(AND($E172&gt;=AX$5,$E172&lt;AX$5+GanttPeriod),"◇","")),IF(AND(AX$5&lt;=$F172,AX$5+GanttPeriod-1&gt;=$E172),"━","")))</f>
        <v/>
      </c>
      <c r="AY172" s="69" t="str">
        <f aca="false">IF($E172="","",IF($M172,IF(AND($G172&gt;=AY$5,$G172&lt;AY$5+GanttPeriod),"◆",IF(AND($E172&gt;=AY$5,$E172&lt;AY$5+GanttPeriod),"◇","")),IF(AND(AY$5&lt;=$F172,AY$5+GanttPeriod-1&gt;=$E172),"━","")))</f>
        <v/>
      </c>
      <c r="AZ172" s="69" t="str">
        <f aca="false">IF($E172="","",IF($M172,IF(AND($G172&gt;=AZ$5,$G172&lt;AZ$5+GanttPeriod),"◆",IF(AND($E172&gt;=AZ$5,$E172&lt;AZ$5+GanttPeriod),"◇","")),IF(AND(AZ$5&lt;=$F172,AZ$5+GanttPeriod-1&gt;=$E172),"━","")))</f>
        <v/>
      </c>
      <c r="BA172" s="69" t="str">
        <f aca="false">IF($E172="","",IF($M172,IF(AND($G172&gt;=BA$5,$G172&lt;BA$5+GanttPeriod),"◆",IF(AND($E172&gt;=BA$5,$E172&lt;BA$5+GanttPeriod),"◇","")),IF(AND(BA$5&lt;=$F172,BA$5+GanttPeriod-1&gt;=$E172),"━","")))</f>
        <v/>
      </c>
      <c r="BB172" s="69" t="str">
        <f aca="false">IF($E172="","",IF($M172,IF(AND($G172&gt;=BB$5,$G172&lt;BB$5+GanttPeriod),"◆",IF(AND($E172&gt;=BB$5,$E172&lt;BB$5+GanttPeriod),"◇","")),IF(AND(BB$5&lt;=$F172,BB$5+GanttPeriod-1&gt;=$E172),"━","")))</f>
        <v/>
      </c>
      <c r="BC172" s="69" t="str">
        <f aca="false">IF($E172="","",IF($M172,IF(AND($G172&gt;=BC$5,$G172&lt;BC$5+GanttPeriod),"◆",IF(AND($E172&gt;=BC$5,$E172&lt;BC$5+GanttPeriod),"◇","")),IF(AND(BC$5&lt;=$F172,BC$5+GanttPeriod-1&gt;=$E172),"━","")))</f>
        <v/>
      </c>
      <c r="BD172" s="69" t="str">
        <f aca="false">IF($E172="","",IF($M172,IF(AND($G172&gt;=BD$5,$G172&lt;BD$5+GanttPeriod),"◆",IF(AND($E172&gt;=BD$5,$E172&lt;BD$5+GanttPeriod),"◇","")),IF(AND(BD$5&lt;=$F172,BD$5+GanttPeriod-1&gt;=$E172),"━","")))</f>
        <v/>
      </c>
      <c r="BE172" s="69" t="str">
        <f aca="false">IF($E172="","",IF($M172,IF(AND($G172&gt;=BE$5,$G172&lt;BE$5+GanttPeriod),"◆",IF(AND($E172&gt;=BE$5,$E172&lt;BE$5+GanttPeriod),"◇","")),IF(AND(BE$5&lt;=$F172,BE$5+GanttPeriod-1&gt;=$E172),"━","")))</f>
        <v/>
      </c>
      <c r="BF172" s="69" t="str">
        <f aca="false">IF($E172="","",IF($M172,IF(AND($G172&gt;=BF$5,$G172&lt;BF$5+GanttPeriod),"◆",IF(AND($E172&gt;=BF$5,$E172&lt;BF$5+GanttPeriod),"◇","")),IF(AND(BF$5&lt;=$F172,BF$5+GanttPeriod-1&gt;=$E172),"━","")))</f>
        <v/>
      </c>
      <c r="BG172" s="69" t="str">
        <f aca="false">IF($E172="","",IF($M172,IF(AND($G172&gt;=BG$5,$G172&lt;BG$5+GanttPeriod),"◆",IF(AND($E172&gt;=BG$5,$E172&lt;BG$5+GanttPeriod),"◇","")),IF(AND(BG$5&lt;=$F172,BG$5+GanttPeriod-1&gt;=$E172),"━","")))</f>
        <v/>
      </c>
      <c r="BH172" s="69" t="str">
        <f aca="false">IF($E172="","",IF($M172,IF(AND($G172&gt;=BH$5,$G172&lt;BH$5+GanttPeriod),"◆",IF(AND($E172&gt;=BH$5,$E172&lt;BH$5+GanttPeriod),"◇","")),IF(AND(BH$5&lt;=$F172,BH$5+GanttPeriod-1&gt;=$E172),"━","")))</f>
        <v/>
      </c>
      <c r="BI172" s="69" t="str">
        <f aca="false">IF($E172="","",IF($M172,IF(AND($G172&gt;=BI$5,$G172&lt;BI$5+GanttPeriod),"◆",IF(AND($E172&gt;=BI$5,$E172&lt;BI$5+GanttPeriod),"◇","")),IF(AND(BI$5&lt;=$F172,BI$5+GanttPeriod-1&gt;=$E172),"━","")))</f>
        <v/>
      </c>
      <c r="BJ172" s="69" t="str">
        <f aca="false">IF($E172="","",IF($M172,IF(AND($G172&gt;=BJ$5,$G172&lt;BJ$5+GanttPeriod),"◆",IF(AND($E172&gt;=BJ$5,$E172&lt;BJ$5+GanttPeriod),"◇","")),IF(AND(BJ$5&lt;=$F172,BJ$5+GanttPeriod-1&gt;=$E172),"━","")))</f>
        <v/>
      </c>
      <c r="BK172" s="69" t="str">
        <f aca="false">IF($E172="","",IF($M172,IF(AND($G172&gt;=BK$5,$G172&lt;BK$5+GanttPeriod),"◆",IF(AND($E172&gt;=BK$5,$E172&lt;BK$5+GanttPeriod),"◇","")),IF(AND(BK$5&lt;=$F172,BK$5+GanttPeriod-1&gt;=$E172),"━","")))</f>
        <v/>
      </c>
      <c r="BL172" s="69" t="str">
        <f aca="false">IF($E172="","",IF($M172,IF(AND($G172&gt;=BL$5,$G172&lt;BL$5+GanttPeriod),"◆",IF(AND($E172&gt;=BL$5,$E172&lt;BL$5+GanttPeriod),"◇","")),IF(AND(BL$5&lt;=$F172,BL$5+GanttPeriod-1&gt;=$E172),"━","")))</f>
        <v/>
      </c>
      <c r="BM172" s="69" t="str">
        <f aca="false">IF($E172="","",IF($M172,IF(AND($G172&gt;=BM$5,$G172&lt;BM$5+GanttPeriod),"◆",IF(AND($E172&gt;=BM$5,$E172&lt;BM$5+GanttPeriod),"◇","")),IF(AND(BM$5&lt;=$F172,BM$5+GanttPeriod-1&gt;=$E172),"━","")))</f>
        <v/>
      </c>
      <c r="BN172" s="69" t="str">
        <f aca="false">IF($E172="","",IF($M172,IF(AND($G172&gt;=BN$5,$G172&lt;BN$5+GanttPeriod),"◆",IF(AND($E172&gt;=BN$5,$E172&lt;BN$5+GanttPeriod),"◇","")),IF(AND(BN$5&lt;=$F172,BN$5+GanttPeriod-1&gt;=$E172),"━","")))</f>
        <v/>
      </c>
      <c r="BO172" s="69" t="str">
        <f aca="false">IF($E172="","",IF($M172,IF(AND($G172&gt;=BO$5,$G172&lt;BO$5+GanttPeriod),"◆",IF(AND($E172&gt;=BO$5,$E172&lt;BO$5+GanttPeriod),"◇","")),IF(AND(BO$5&lt;=$F172,BO$5+GanttPeriod-1&gt;=$E172),"━","")))</f>
        <v/>
      </c>
      <c r="BP172" s="69" t="str">
        <f aca="false">IF($E172="","",IF($M172,IF(AND($G172&gt;=BP$5,$G172&lt;BP$5+GanttPeriod),"◆",IF(AND($E172&gt;=BP$5,$E172&lt;BP$5+GanttPeriod),"◇","")),IF(AND(BP$5&lt;=$F172,BP$5+GanttPeriod-1&gt;=$E172),"━","")))</f>
        <v/>
      </c>
      <c r="BQ172" s="69" t="str">
        <f aca="false">IF($E172="","",IF($M172,IF(AND($G172&gt;=BQ$5,$G172&lt;BQ$5+GanttPeriod),"◆",IF(AND($E172&gt;=BQ$5,$E172&lt;BQ$5+GanttPeriod),"◇","")),IF(AND(BQ$5&lt;=$F172,BQ$5+GanttPeriod-1&gt;=$E172),"━","")))</f>
        <v/>
      </c>
      <c r="BR172" s="69" t="str">
        <f aca="false">IF($E172="","",IF($M172,IF(AND($G172&gt;=BR$5,$G172&lt;BR$5+GanttPeriod),"◆",IF(AND($E172&gt;=BR$5,$E172&lt;BR$5+GanttPeriod),"◇","")),IF(AND(BR$5&lt;=$F172,BR$5+GanttPeriod-1&gt;=$E172),"━","")))</f>
        <v/>
      </c>
      <c r="BS172" s="69" t="str">
        <f aca="false">IF($E172="","",IF($M172,IF(AND($G172&gt;=BS$5,$G172&lt;BS$5+GanttPeriod),"◆",IF(AND($E172&gt;=BS$5,$E172&lt;BS$5+GanttPeriod),"◇","")),IF(AND(BS$5&lt;=$F172,BS$5+GanttPeriod-1&gt;=$E172),"━","")))</f>
        <v/>
      </c>
      <c r="BT172" s="69" t="str">
        <f aca="false">IF($E172="","",IF($M172,IF(AND($G172&gt;=BT$5,$G172&lt;BT$5+GanttPeriod),"◆",IF(AND($E172&gt;=BT$5,$E172&lt;BT$5+GanttPeriod),"◇","")),IF(AND(BT$5&lt;=$F172,BT$5+GanttPeriod-1&gt;=$E172),"━","")))</f>
        <v/>
      </c>
      <c r="BU172" s="69" t="str">
        <f aca="false">IF($E172="","",IF($M172,IF(AND($G172&gt;=BU$5,$G172&lt;BU$5+GanttPeriod),"◆",IF(AND($E172&gt;=BU$5,$E172&lt;BU$5+GanttPeriod),"◇","")),IF(AND(BU$5&lt;=$F172,BU$5+GanttPeriod-1&gt;=$E172),"━","")))</f>
        <v/>
      </c>
      <c r="BV172" s="69" t="str">
        <f aca="false">IF($E172="","",IF($M172,IF(AND($G172&gt;=BV$5,$G172&lt;BV$5+GanttPeriod),"◆",IF(AND($E172&gt;=BV$5,$E172&lt;BV$5+GanttPeriod),"◇","")),IF(AND(BV$5&lt;=$F172,BV$5+GanttPeriod-1&gt;=$E172),"━","")))</f>
        <v/>
      </c>
      <c r="BW172" s="69" t="str">
        <f aca="false">IF($E172="","",IF($M172,IF(AND($G172&gt;=BW$5,$G172&lt;BW$5+GanttPeriod),"◆",IF(AND($E172&gt;=BW$5,$E172&lt;BW$5+GanttPeriod),"◇","")),IF(AND(BW$5&lt;=$F172,BW$5+GanttPeriod-1&gt;=$E172),"━","")))</f>
        <v/>
      </c>
      <c r="BX172" s="69" t="str">
        <f aca="false">IF($E172="","",IF($M172,IF(AND($G172&gt;=BX$5,$G172&lt;BX$5+GanttPeriod),"◆",IF(AND($E172&gt;=BX$5,$E172&lt;BX$5+GanttPeriod),"◇","")),IF(AND(BX$5&lt;=$F172,BX$5+GanttPeriod-1&gt;=$E172),"━","")))</f>
        <v/>
      </c>
      <c r="BY172" s="69" t="str">
        <f aca="false">IF($E172="","",IF($M172,IF(AND($G172&gt;=BY$5,$G172&lt;BY$5+GanttPeriod),"◆",IF(AND($E172&gt;=BY$5,$E172&lt;BY$5+GanttPeriod),"◇","")),IF(AND(BY$5&lt;=$F172,BY$5+GanttPeriod-1&gt;=$E172),"━","")))</f>
        <v/>
      </c>
      <c r="BZ172" s="69" t="str">
        <f aca="false">IF($E172="","",IF($M172,IF(AND($G172&gt;=BZ$5,$G172&lt;BZ$5+GanttPeriod),"◆",IF(AND($E172&gt;=BZ$5,$E172&lt;BZ$5+GanttPeriod),"◇","")),IF(AND(BZ$5&lt;=$F172,BZ$5+GanttPeriod-1&gt;=$E172),"━","")))</f>
        <v/>
      </c>
      <c r="CA172" s="69" t="str">
        <f aca="false">IF($E172="","",IF($M172,IF(AND($G172&gt;=CA$5,$G172&lt;CA$5+GanttPeriod),"◆",IF(AND($E172&gt;=CA$5,$E172&lt;CA$5+GanttPeriod),"◇","")),IF(AND(CA$5&lt;=$F172,CA$5+GanttPeriod-1&gt;=$E172),"━","")))</f>
        <v/>
      </c>
      <c r="CB172" s="69" t="str">
        <f aca="false">IF($E172="","",IF($M172,IF(AND($G172&gt;=CB$5,$G172&lt;CB$5+GanttPeriod),"◆",IF(AND($E172&gt;=CB$5,$E172&lt;CB$5+GanttPeriod),"◇","")),IF(AND(CB$5&lt;=$F172,CB$5+GanttPeriod-1&gt;=$E172),"━","")))</f>
        <v/>
      </c>
      <c r="CC172" s="69" t="str">
        <f aca="false">IF($E172="","",IF($M172,IF(AND($G172&gt;=CC$5,$G172&lt;CC$5+GanttPeriod),"◆",IF(AND($E172&gt;=CC$5,$E172&lt;CC$5+GanttPeriod),"◇","")),IF(AND(CC$5&lt;=$F172,CC$5+GanttPeriod-1&gt;=$E172),"━","")))</f>
        <v/>
      </c>
      <c r="CD172" s="69" t="str">
        <f aca="false">IF($E172="","",IF($M172,IF(AND($G172&gt;=CD$5,$G172&lt;CD$5+GanttPeriod),"◆",IF(AND($E172&gt;=CD$5,$E172&lt;CD$5+GanttPeriod),"◇","")),IF(AND(CD$5&lt;=$F172,CD$5+GanttPeriod-1&gt;=$E172),"━","")))</f>
        <v/>
      </c>
      <c r="CE172" s="69" t="str">
        <f aca="false">IF($E172="","",IF($M172,IF(AND($G172&gt;=CE$5,$G172&lt;CE$5+GanttPeriod),"◆",IF(AND($E172&gt;=CE$5,$E172&lt;CE$5+GanttPeriod),"◇","")),IF(AND(CE$5&lt;=$F172,CE$5+GanttPeriod-1&gt;=$E172),"━","")))</f>
        <v/>
      </c>
      <c r="CF172" s="69" t="str">
        <f aca="false">IF($E172="","",IF($M172,IF(AND($G172&gt;=CF$5,$G172&lt;CF$5+GanttPeriod),"◆",IF(AND($E172&gt;=CF$5,$E172&lt;CF$5+GanttPeriod),"◇","")),IF(AND(CF$5&lt;=$F172,CF$5+GanttPeriod-1&gt;=$E172),"━","")))</f>
        <v/>
      </c>
      <c r="CG172" s="69" t="str">
        <f aca="false">IF($E172="","",IF($M172,IF(AND($G172&gt;=CG$5,$G172&lt;CG$5+GanttPeriod),"◆",IF(AND($E172&gt;=CG$5,$E172&lt;CG$5+GanttPeriod),"◇","")),IF(AND(CG$5&lt;=$F172,CG$5+GanttPeriod-1&gt;=$E172),"━","")))</f>
        <v/>
      </c>
      <c r="CH172" s="69" t="str">
        <f aca="false">IF($E172="","",IF($M172,IF(AND($G172&gt;=CH$5,$G172&lt;CH$5+GanttPeriod),"◆",IF(AND($E172&gt;=CH$5,$E172&lt;CH$5+GanttPeriod),"◇","")),IF(AND(CH$5&lt;=$F172,CH$5+GanttPeriod-1&gt;=$E172),"━","")))</f>
        <v/>
      </c>
      <c r="CI172" s="69" t="str">
        <f aca="false">IF($E172="","",IF($M172,IF(AND($G172&gt;=CI$5,$G172&lt;CI$5+GanttPeriod),"◆",IF(AND($E172&gt;=CI$5,$E172&lt;CI$5+GanttPeriod),"◇","")),IF(AND(CI$5&lt;=$F172,CI$5+GanttPeriod-1&gt;=$E172),"━","")))</f>
        <v/>
      </c>
      <c r="CJ172" s="69" t="str">
        <f aca="false">IF($E172="","",IF($M172,IF(AND($G172&gt;=CJ$5,$G172&lt;CJ$5+GanttPeriod),"◆",IF(AND($E172&gt;=CJ$5,$E172&lt;CJ$5+GanttPeriod),"◇","")),IF(AND(CJ$5&lt;=$F172,CJ$5+GanttPeriod-1&gt;=$E172),"━","")))</f>
        <v/>
      </c>
      <c r="CK172" s="69" t="str">
        <f aca="false">IF($E172="","",IF($M172,IF(AND($G172&gt;=CK$5,$G172&lt;CK$5+GanttPeriod),"◆",IF(AND($E172&gt;=CK$5,$E172&lt;CK$5+GanttPeriod),"◇","")),IF(AND(CK$5&lt;=$F172,CK$5+GanttPeriod-1&gt;=$E172),"━","")))</f>
        <v/>
      </c>
      <c r="CL172" s="69" t="str">
        <f aca="false">IF($E172="","",IF($M172,IF(AND($G172&gt;=CL$5,$G172&lt;CL$5+GanttPeriod),"◆",IF(AND($E172&gt;=CL$5,$E172&lt;CL$5+GanttPeriod),"◇","")),IF(AND(CL$5&lt;=$F172,CL$5+GanttPeriod-1&gt;=$E172),"━","")))</f>
        <v/>
      </c>
      <c r="CM172" s="69" t="str">
        <f aca="false">IF($E172="","",IF($M172,IF(AND($G172&gt;=CM$5,$G172&lt;CM$5+GanttPeriod),"◆",IF(AND($E172&gt;=CM$5,$E172&lt;CM$5+GanttPeriod),"◇","")),IF(AND(CM$5&lt;=$F172,CM$5+GanttPeriod-1&gt;=$E172),"━","")))</f>
        <v/>
      </c>
      <c r="CN172" s="69" t="str">
        <f aca="false">IF($E172="","",IF($M172,IF(AND($G172&gt;=CN$5,$G172&lt;CN$5+GanttPeriod),"◆",IF(AND($E172&gt;=CN$5,$E172&lt;CN$5+GanttPeriod),"◇","")),IF(AND(CN$5&lt;=$F172,CN$5+GanttPeriod-1&gt;=$E172),"━","")))</f>
        <v/>
      </c>
      <c r="CO172" s="69" t="str">
        <f aca="false">IF($E172="","",IF($M172,IF(AND($G172&gt;=CO$5,$G172&lt;CO$5+GanttPeriod),"◆",IF(AND($E172&gt;=CO$5,$E172&lt;CO$5+GanttPeriod),"◇","")),IF(AND(CO$5&lt;=$F172,CO$5+GanttPeriod-1&gt;=$E172),"━","")))</f>
        <v/>
      </c>
      <c r="CP172" s="69" t="str">
        <f aca="false">IF($E172="","",IF($M172,IF(AND($G172&gt;=CP$5,$G172&lt;CP$5+GanttPeriod),"◆",IF(AND($E172&gt;=CP$5,$E172&lt;CP$5+GanttPeriod),"◇","")),IF(AND(CP$5&lt;=$F172,CP$5+GanttPeriod-1&gt;=$E172),"━","")))</f>
        <v/>
      </c>
      <c r="CQ172" s="69" t="str">
        <f aca="false">IF($E172="","",IF($M172,IF(AND($G172&gt;=CQ$5,$G172&lt;CQ$5+GanttPeriod),"◆",IF(AND($E172&gt;=CQ$5,$E172&lt;CQ$5+GanttPeriod),"◇","")),IF(AND(CQ$5&lt;=$F172,CQ$5+GanttPeriod-1&gt;=$E172),"━","")))</f>
        <v/>
      </c>
      <c r="CR172" s="69" t="str">
        <f aca="false">IF($E172="","",IF($M172,IF(AND($G172&gt;=CR$5,$G172&lt;CR$5+GanttPeriod),"◆",IF(AND($E172&gt;=CR$5,$E172&lt;CR$5+GanttPeriod),"◇","")),IF(AND(CR$5&lt;=$F172,CR$5+GanttPeriod-1&gt;=$E172),"━","")))</f>
        <v/>
      </c>
      <c r="CS172" s="69" t="str">
        <f aca="false">IF($E172="","",IF($M172,IF(AND($G172&gt;=CS$5,$G172&lt;CS$5+GanttPeriod),"◆",IF(AND($E172&gt;=CS$5,$E172&lt;CS$5+GanttPeriod),"◇","")),IF(AND(CS$5&lt;=$F172,CS$5+GanttPeriod-1&gt;=$E172),"━","")))</f>
        <v/>
      </c>
      <c r="CT172" s="69" t="str">
        <f aca="false">IF($E172="","",IF($M172,IF(AND($G172&gt;=CT$5,$G172&lt;CT$5+GanttPeriod),"◆",IF(AND($E172&gt;=CT$5,$E172&lt;CT$5+GanttPeriod),"◇","")),IF(AND(CT$5&lt;=$F172,CT$5+GanttPeriod-1&gt;=$E172),"━","")))</f>
        <v/>
      </c>
      <c r="CU172" s="69" t="str">
        <f aca="false">IF($E172="","",IF($M172,IF(AND($G172&gt;=CU$5,$G172&lt;CU$5+GanttPeriod),"◆",IF(AND($E172&gt;=CU$5,$E172&lt;CU$5+GanttPeriod),"◇","")),IF(AND(CU$5&lt;=$F172,CU$5+GanttPeriod-1&gt;=$E172),"━","")))</f>
        <v/>
      </c>
      <c r="CV172" s="69" t="str">
        <f aca="false">IF($E172="","",IF($M172,IF(AND($G172&gt;=CV$5,$G172&lt;CV$5+GanttPeriod),"◆",IF(AND($E172&gt;=CV$5,$E172&lt;CV$5+GanttPeriod),"◇","")),IF(AND(CV$5&lt;=$F172,CV$5+GanttPeriod-1&gt;=$E172),"━","")))</f>
        <v/>
      </c>
      <c r="CW172" s="69" t="str">
        <f aca="false">IF($E172="","",IF($M172,IF(AND($G172&gt;=CW$5,$G172&lt;CW$5+GanttPeriod),"◆",IF(AND($E172&gt;=CW$5,$E172&lt;CW$5+GanttPeriod),"◇","")),IF(AND(CW$5&lt;=$F172,CW$5+GanttPeriod-1&gt;=$E172),"━","")))</f>
        <v/>
      </c>
      <c r="CX172" s="69" t="str">
        <f aca="false">IF($E172="","",IF($M172,IF(AND($G172&gt;=CX$5,$G172&lt;CX$5+GanttPeriod),"◆",IF(AND($E172&gt;=CX$5,$E172&lt;CX$5+GanttPeriod),"◇","")),IF(AND(CX$5&lt;=$F172,CX$5+GanttPeriod-1&gt;=$E172),"━","")))</f>
        <v/>
      </c>
      <c r="CY172" s="69" t="str">
        <f aca="false">IF($E172="","",IF($M172,IF(AND($G172&gt;=CY$5,$G172&lt;CY$5+GanttPeriod),"◆",IF(AND($E172&gt;=CY$5,$E172&lt;CY$5+GanttPeriod),"◇","")),IF(AND(CY$5&lt;=$F172,CY$5+GanttPeriod-1&gt;=$E172),"━","")))</f>
        <v/>
      </c>
      <c r="CZ172" s="69" t="str">
        <f aca="false">IF($E172="","",IF($M172,IF(AND($G172&gt;=CZ$5,$G172&lt;CZ$5+GanttPeriod),"◆",IF(AND($E172&gt;=CZ$5,$E172&lt;CZ$5+GanttPeriod),"◇","")),IF(AND(CZ$5&lt;=$F172,CZ$5+GanttPeriod-1&gt;=$E172),"━","")))</f>
        <v/>
      </c>
      <c r="DA172" s="69" t="str">
        <f aca="false">IF($E172="","",IF($M172,IF(AND($G172&gt;=DA$5,$G172&lt;DA$5+GanttPeriod),"◆",IF(AND($E172&gt;=DA$5,$E172&lt;DA$5+GanttPeriod),"◇","")),IF(AND(DA$5&lt;=$F172,DA$5+GanttPeriod-1&gt;=$E172),"━","")))</f>
        <v/>
      </c>
      <c r="DB172" s="69" t="str">
        <f aca="false">IF($E172="","",IF($M172,IF(AND($G172&gt;=DB$5,$G172&lt;DB$5+GanttPeriod),"◆",IF(AND($E172&gt;=DB$5,$E172&lt;DB$5+GanttPeriod),"◇","")),IF(AND(DB$5&lt;=$F172,DB$5+GanttPeriod-1&gt;=$E172),"━","")))</f>
        <v/>
      </c>
      <c r="DC172" s="69" t="str">
        <f aca="false">IF($E172="","",IF($M172,IF(AND($G172&gt;=DC$5,$G172&lt;DC$5+GanttPeriod),"◆",IF(AND($E172&gt;=DC$5,$E172&lt;DC$5+GanttPeriod),"◇","")),IF(AND(DC$5&lt;=$F172,DC$5+GanttPeriod-1&gt;=$E172),"━","")))</f>
        <v/>
      </c>
      <c r="DD172" s="69" t="str">
        <f aca="false">IF($E172="","",IF($M172,IF(AND($G172&gt;=DD$5,$G172&lt;DD$5+GanttPeriod),"◆",IF(AND($E172&gt;=DD$5,$E172&lt;DD$5+GanttPeriod),"◇","")),IF(AND(DD$5&lt;=$F172,DD$5+GanttPeriod-1&gt;=$E172),"━","")))</f>
        <v/>
      </c>
      <c r="DE172" s="69" t="str">
        <f aca="false">IF($E172="","",IF($M172,IF(AND($G172&gt;=DE$5,$G172&lt;DE$5+GanttPeriod),"◆",IF(AND($E172&gt;=DE$5,$E172&lt;DE$5+GanttPeriod),"◇","")),IF(AND(DE$5&lt;=$F172,DE$5+GanttPeriod-1&gt;=$E172),"━","")))</f>
        <v/>
      </c>
      <c r="DF172" s="69" t="str">
        <f aca="false">IF($E172="","",IF($M172,IF(AND($G172&gt;=DF$5,$G172&lt;DF$5+GanttPeriod),"◆",IF(AND($E172&gt;=DF$5,$E172&lt;DF$5+GanttPeriod),"◇","")),IF(AND(DF$5&lt;=$F172,DF$5+GanttPeriod-1&gt;=$E172),"━","")))</f>
        <v/>
      </c>
      <c r="DG172" s="69" t="str">
        <f aca="false">IF($E172="","",IF($M172,IF(AND($G172&gt;=DG$5,$G172&lt;DG$5+GanttPeriod),"◆",IF(AND($E172&gt;=DG$5,$E172&lt;DG$5+GanttPeriod),"◇","")),IF(AND(DG$5&lt;=$F172,DG$5+GanttPeriod-1&gt;=$E172),"━","")))</f>
        <v/>
      </c>
      <c r="DH172" s="69" t="str">
        <f aca="false">IF($E172="","",IF($M172,IF(AND($G172&gt;=DH$5,$G172&lt;DH$5+GanttPeriod),"◆",IF(AND($E172&gt;=DH$5,$E172&lt;DH$5+GanttPeriod),"◇","")),IF(AND(DH$5&lt;=$F172,DH$5+GanttPeriod-1&gt;=$E172),"━","")))</f>
        <v/>
      </c>
      <c r="DI172" s="69" t="str">
        <f aca="false">IF($E172="","",IF($M172,IF(AND($G172&gt;=DI$5,$G172&lt;DI$5+GanttPeriod),"◆",IF(AND($E172&gt;=DI$5,$E172&lt;DI$5+GanttPeriod),"◇","")),IF(AND(DI$5&lt;=$F172,DI$5+GanttPeriod-1&gt;=$E172),"━","")))</f>
        <v/>
      </c>
      <c r="DJ172" s="69" t="str">
        <f aca="false">IF($E172="","",IF($M172,IF(AND($G172&gt;=DJ$5,$G172&lt;DJ$5+GanttPeriod),"◆",IF(AND($E172&gt;=DJ$5,$E172&lt;DJ$5+GanttPeriod),"◇","")),IF(AND(DJ$5&lt;=$F172,DJ$5+GanttPeriod-1&gt;=$E172),"━","")))</f>
        <v/>
      </c>
      <c r="DK172" s="69" t="str">
        <f aca="false">IF($E172="","",IF($M172,IF(AND($G172&gt;=DK$5,$G172&lt;DK$5+GanttPeriod),"◆",IF(AND($E172&gt;=DK$5,$E172&lt;DK$5+GanttPeriod),"◇","")),IF(AND(DK$5&lt;=$F172,DK$5+GanttPeriod-1&gt;=$E172),"━","")))</f>
        <v/>
      </c>
      <c r="DL172" s="69" t="str">
        <f aca="false">IF($E172="","",IF($M172,IF(AND($G172&gt;=DL$5,$G172&lt;DL$5+GanttPeriod),"◆",IF(AND($E172&gt;=DL$5,$E172&lt;DL$5+GanttPeriod),"◇","")),IF(AND(DL$5&lt;=$F172,DL$5+GanttPeriod-1&gt;=$E172),"━","")))</f>
        <v/>
      </c>
      <c r="DM172" s="69" t="str">
        <f aca="false">IF($E172="","",IF($M172,IF(AND($G172&gt;=DM$5,$G172&lt;DM$5+GanttPeriod),"◆",IF(AND($E172&gt;=DM$5,$E172&lt;DM$5+GanttPeriod),"◇","")),IF(AND(DM$5&lt;=$F172,DM$5+GanttPeriod-1&gt;=$E172),"━","")))</f>
        <v/>
      </c>
      <c r="DN172" s="69" t="str">
        <f aca="false">IF($E172="","",IF($M172,IF(AND($G172&gt;=DN$5,$G172&lt;DN$5+GanttPeriod),"◆",IF(AND($E172&gt;=DN$5,$E172&lt;DN$5+GanttPeriod),"◇","")),IF(AND(DN$5&lt;=$F172,DN$5+GanttPeriod-1&gt;=$E172),"━","")))</f>
        <v/>
      </c>
      <c r="DO172" s="69" t="str">
        <f aca="false">IF($E172="","",IF($M172,IF(AND($G172&gt;=DO$5,$G172&lt;DO$5+GanttPeriod),"◆",IF(AND($E172&gt;=DO$5,$E172&lt;DO$5+GanttPeriod),"◇","")),IF(AND(DO$5&lt;=$F172,DO$5+GanttPeriod-1&gt;=$E172),"━","")))</f>
        <v/>
      </c>
      <c r="DP172" s="69" t="str">
        <f aca="false">IF($E172="","",IF($M172,IF(AND($G172&gt;=DP$5,$G172&lt;DP$5+GanttPeriod),"◆",IF(AND($E172&gt;=DP$5,$E172&lt;DP$5+GanttPeriod),"◇","")),IF(AND(DP$5&lt;=$F172,DP$5+GanttPeriod-1&gt;=$E172),"━","")))</f>
        <v/>
      </c>
      <c r="DQ172" s="69" t="str">
        <f aca="false">IF($E172="","",IF($M172,IF(AND($G172&gt;=DQ$5,$G172&lt;DQ$5+GanttPeriod),"◆",IF(AND($E172&gt;=DQ$5,$E172&lt;DQ$5+GanttPeriod),"◇","")),IF(AND(DQ$5&lt;=$F172,DQ$5+GanttPeriod-1&gt;=$E172),"━","")))</f>
        <v/>
      </c>
      <c r="DR172" s="69" t="str">
        <f aca="false">IF($E172="","",IF($M172,IF(AND($G172&gt;=DR$5,$G172&lt;DR$5+GanttPeriod),"◆",IF(AND($E172&gt;=DR$5,$E172&lt;DR$5+GanttPeriod),"◇","")),IF(AND(DR$5&lt;=$F172,DR$5+GanttPeriod-1&gt;=$E172),"━","")))</f>
        <v/>
      </c>
      <c r="DS172" s="69" t="str">
        <f aca="false">IF($E172="","",IF($M172,IF(AND($G172&gt;=DS$5,$G172&lt;DS$5+GanttPeriod),"◆",IF(AND($E172&gt;=DS$5,$E172&lt;DS$5+GanttPeriod),"◇","")),IF(AND(DS$5&lt;=$F172,DS$5+GanttPeriod-1&gt;=$E172),"━","")))</f>
        <v/>
      </c>
      <c r="DT172" s="69" t="str">
        <f aca="false">IF($E172="","",IF($M172,IF(AND($G172&gt;=DT$5,$G172&lt;DT$5+GanttPeriod),"◆",IF(AND($E172&gt;=DT$5,$E172&lt;DT$5+GanttPeriod),"◇","")),IF(AND(DT$5&lt;=$F172,DT$5+GanttPeriod-1&gt;=$E172),"━","")))</f>
        <v/>
      </c>
      <c r="DU172" s="69" t="str">
        <f aca="false">IF($E172="","",IF($M172,IF(AND($G172&gt;=DU$5,$G172&lt;DU$5+GanttPeriod),"◆",IF(AND($E172&gt;=DU$5,$E172&lt;DU$5+GanttPeriod),"◇","")),IF(AND(DU$5&lt;=$F172,DU$5+GanttPeriod-1&gt;=$E172),"━","")))</f>
        <v/>
      </c>
      <c r="DV172" s="69" t="str">
        <f aca="false">IF($E172="","",IF($M172,IF(AND($G172&gt;=DV$5,$G172&lt;DV$5+GanttPeriod),"◆",IF(AND($E172&gt;=DV$5,$E172&lt;DV$5+GanttPeriod),"◇","")),IF(AND(DV$5&lt;=$F172,DV$5+GanttPeriod-1&gt;=$E172),"━","")))</f>
        <v/>
      </c>
      <c r="DW172" s="69" t="str">
        <f aca="false">IF($E172="","",IF($M172,IF(AND($G172&gt;=DW$5,$G172&lt;DW$5+GanttPeriod),"◆",IF(AND($E172&gt;=DW$5,$E172&lt;DW$5+GanttPeriod),"◇","")),IF(AND(DW$5&lt;=$F172,DW$5+GanttPeriod-1&gt;=$E172),"━","")))</f>
        <v/>
      </c>
      <c r="DX172" s="69" t="str">
        <f aca="false">IF($E172="","",IF($M172,IF(AND($G172&gt;=DX$5,$G172&lt;DX$5+GanttPeriod),"◆",IF(AND($E172&gt;=DX$5,$E172&lt;DX$5+GanttPeriod),"◇","")),IF(AND(DX$5&lt;=$F172,DX$5+GanttPeriod-1&gt;=$E172),"━","")))</f>
        <v/>
      </c>
      <c r="DY172" s="69" t="str">
        <f aca="false">IF($E172="","",IF($M172,IF(AND($G172&gt;=DY$5,$G172&lt;DY$5+GanttPeriod),"◆",IF(AND($E172&gt;=DY$5,$E172&lt;DY$5+GanttPeriod),"◇","")),IF(AND(DY$5&lt;=$F172,DY$5+GanttPeriod-1&gt;=$E172),"━","")))</f>
        <v/>
      </c>
      <c r="DZ172" s="69" t="str">
        <f aca="false">IF($E172="","",IF($M172,IF(AND($G172&gt;=DZ$5,$G172&lt;DZ$5+GanttPeriod),"◆",IF(AND($E172&gt;=DZ$5,$E172&lt;DZ$5+GanttPeriod),"◇","")),IF(AND(DZ$5&lt;=$F172,DZ$5+GanttPeriod-1&gt;=$E172),"━","")))</f>
        <v/>
      </c>
      <c r="EA172" s="69" t="str">
        <f aca="false">IF($E172="","",IF($M172,IF(AND($G172&gt;=EA$5,$G172&lt;EA$5+GanttPeriod),"◆",IF(AND($E172&gt;=EA$5,$E172&lt;EA$5+GanttPeriod),"◇","")),IF(AND(EA$5&lt;=$F172,EA$5+GanttPeriod-1&gt;=$E172),"━","")))</f>
        <v/>
      </c>
      <c r="EB172" s="69" t="str">
        <f aca="false">IF($E172="","",IF($M172,IF(AND($G172&gt;=EB$5,$G172&lt;EB$5+GanttPeriod),"◆",IF(AND($E172&gt;=EB$5,$E172&lt;EB$5+GanttPeriod),"◇","")),IF(AND(EB$5&lt;=$F172,EB$5+GanttPeriod-1&gt;=$E172),"━","")))</f>
        <v/>
      </c>
      <c r="EC172" s="69" t="str">
        <f aca="false">IF($E172="","",IF($M172,IF(AND($G172&gt;=EC$5,$G172&lt;EC$5+GanttPeriod),"◆",IF(AND($E172&gt;=EC$5,$E172&lt;EC$5+GanttPeriod),"◇","")),IF(AND(EC$5&lt;=$F172,EC$5+GanttPeriod-1&gt;=$E172),"━","")))</f>
        <v/>
      </c>
      <c r="ED172" s="69" t="str">
        <f aca="false">IF($E172="","",IF($M172,IF(AND($G172&gt;=ED$5,$G172&lt;ED$5+GanttPeriod),"◆",IF(AND($E172&gt;=ED$5,$E172&lt;ED$5+GanttPeriod),"◇","")),IF(AND(ED$5&lt;=$F172,ED$5+GanttPeriod-1&gt;=$E172),"━","")))</f>
        <v/>
      </c>
      <c r="EE172" s="69" t="str">
        <f aca="false">IF($E172="","",IF($M172,IF(AND($G172&gt;=EE$5,$G172&lt;EE$5+GanttPeriod),"◆",IF(AND($E172&gt;=EE$5,$E172&lt;EE$5+GanttPeriod),"◇","")),IF(AND(EE$5&lt;=$F172,EE$5+GanttPeriod-1&gt;=$E172),"━","")))</f>
        <v/>
      </c>
      <c r="EF172" s="69" t="str">
        <f aca="false">IF($E172="","",IF($M172,IF(AND($G172&gt;=EF$5,$G172&lt;EF$5+GanttPeriod),"◆",IF(AND($E172&gt;=EF$5,$E172&lt;EF$5+GanttPeriod),"◇","")),IF(AND(EF$5&lt;=$F172,EF$5+GanttPeriod-1&gt;=$E172),"━","")))</f>
        <v/>
      </c>
      <c r="EG172" s="69" t="str">
        <f aca="false">IF($E172="","",IF($M172,IF(AND($G172&gt;=EG$5,$G172&lt;EG$5+GanttPeriod),"◆",IF(AND($E172&gt;=EG$5,$E172&lt;EG$5+GanttPeriod),"◇","")),IF(AND(EG$5&lt;=$F172,EG$5+GanttPeriod-1&gt;=$E172),"━","")))</f>
        <v/>
      </c>
      <c r="EH172" s="69" t="str">
        <f aca="false">IF($E172="","",IF($M172,IF(AND($G172&gt;=EH$5,$G172&lt;EH$5+GanttPeriod),"◆",IF(AND($E172&gt;=EH$5,$E172&lt;EH$5+GanttPeriod),"◇","")),IF(AND(EH$5&lt;=$F172,EH$5+GanttPeriod-1&gt;=$E172),"━","")))</f>
        <v/>
      </c>
      <c r="EI172" s="69" t="str">
        <f aca="false">IF($E172="","",IF($M172,IF(AND($G172&gt;=EI$5,$G172&lt;EI$5+GanttPeriod),"◆",IF(AND($E172&gt;=EI$5,$E172&lt;EI$5+GanttPeriod),"◇","")),IF(AND(EI$5&lt;=$F172,EI$5+GanttPeriod-1&gt;=$E172),"━","")))</f>
        <v/>
      </c>
      <c r="EJ172" s="69" t="str">
        <f aca="false">IF($E172="","",IF($M172,IF(AND($G172&gt;=EJ$5,$G172&lt;EJ$5+GanttPeriod),"◆",IF(AND($E172&gt;=EJ$5,$E172&lt;EJ$5+GanttPeriod),"◇","")),IF(AND(EJ$5&lt;=$F172,EJ$5+GanttPeriod-1&gt;=$E172),"━","")))</f>
        <v/>
      </c>
      <c r="EK172" s="69" t="str">
        <f aca="false">IF($E172="","",IF($M172,IF(AND($G172&gt;=EK$5,$G172&lt;EK$5+GanttPeriod),"◆",IF(AND($E172&gt;=EK$5,$E172&lt;EK$5+GanttPeriod),"◇","")),IF(AND(EK$5&lt;=$F172,EK$5+GanttPeriod-1&gt;=$E172),"━","")))</f>
        <v/>
      </c>
      <c r="EL172" s="69" t="str">
        <f aca="false">IF($E172="","",IF($M172,IF(AND($G172&gt;=EL$5,$G172&lt;EL$5+GanttPeriod),"◆",IF(AND($E172&gt;=EL$5,$E172&lt;EL$5+GanttPeriod),"◇","")),IF(AND(EL$5&lt;=$F172,EL$5+GanttPeriod-1&gt;=$E172),"━","")))</f>
        <v/>
      </c>
      <c r="EM172" s="69" t="str">
        <f aca="false">IF($E172="","",IF($M172,IF(AND($G172&gt;=EM$5,$G172&lt;EM$5+GanttPeriod),"◆",IF(AND($E172&gt;=EM$5,$E172&lt;EM$5+GanttPeriod),"◇","")),IF(AND(EM$5&lt;=$F172,EM$5+GanttPeriod-1&gt;=$E172),"━","")))</f>
        <v/>
      </c>
      <c r="EN172" s="69" t="str">
        <f aca="false">IF($E172="","",IF($M172,IF(AND($G172&gt;=EN$5,$G172&lt;EN$5+GanttPeriod),"◆",IF(AND($E172&gt;=EN$5,$E172&lt;EN$5+GanttPeriod),"◇","")),IF(AND(EN$5&lt;=$F172,EN$5+GanttPeriod-1&gt;=$E172),"━","")))</f>
        <v/>
      </c>
      <c r="EO172" s="69" t="str">
        <f aca="false">IF($E172="","",IF($M172,IF(AND($G172&gt;=EO$5,$G172&lt;EO$5+GanttPeriod),"◆",IF(AND($E172&gt;=EO$5,$E172&lt;EO$5+GanttPeriod),"◇","")),IF(AND(EO$5&lt;=$F172,EO$5+GanttPeriod-1&gt;=$E172),"━","")))</f>
        <v/>
      </c>
      <c r="EP172" s="69" t="str">
        <f aca="false">IF($E172="","",IF($M172,IF(AND($G172&gt;=EP$5,$G172&lt;EP$5+GanttPeriod),"◆",IF(AND($E172&gt;=EP$5,$E172&lt;EP$5+GanttPeriod),"◇","")),IF(AND(EP$5&lt;=$F172,EP$5+GanttPeriod-1&gt;=$E172),"━","")))</f>
        <v/>
      </c>
      <c r="EQ172" s="69" t="str">
        <f aca="false">IF($E172="","",IF($M172,IF(AND($G172&gt;=EQ$5,$G172&lt;EQ$5+GanttPeriod),"◆",IF(AND($E172&gt;=EQ$5,$E172&lt;EQ$5+GanttPeriod),"◇","")),IF(AND(EQ$5&lt;=$F172,EQ$5+GanttPeriod-1&gt;=$E172),"━","")))</f>
        <v/>
      </c>
      <c r="ER172" s="69" t="str">
        <f aca="false">IF($E172="","",IF($M172,IF(AND($G172&gt;=ER$5,$G172&lt;ER$5+GanttPeriod),"◆",IF(AND($E172&gt;=ER$5,$E172&lt;ER$5+GanttPeriod),"◇","")),IF(AND(ER$5&lt;=$F172,ER$5+GanttPeriod-1&gt;=$E172),"━","")))</f>
        <v/>
      </c>
      <c r="ES172" s="69" t="str">
        <f aca="false">IF($E172="","",IF($M172,IF(AND($G172&gt;=ES$5,$G172&lt;ES$5+GanttPeriod),"◆",IF(AND($E172&gt;=ES$5,$E172&lt;ES$5+GanttPeriod),"◇","")),IF(AND(ES$5&lt;=$F172,ES$5+GanttPeriod-1&gt;=$E172),"━","")))</f>
        <v/>
      </c>
      <c r="ET172" s="69" t="str">
        <f aca="false">IF($E172="","",IF($M172,IF(AND($G172&gt;=ET$5,$G172&lt;ET$5+GanttPeriod),"◆",IF(AND($E172&gt;=ET$5,$E172&lt;ET$5+GanttPeriod),"◇","")),IF(AND(ET$5&lt;=$F172,ET$5+GanttPeriod-1&gt;=$E172),"━","")))</f>
        <v/>
      </c>
      <c r="EU172" s="69" t="str">
        <f aca="false">IF($E172="","",IF($M172,IF(AND($G172&gt;=EU$5,$G172&lt;EU$5+GanttPeriod),"◆",IF(AND($E172&gt;=EU$5,$E172&lt;EU$5+GanttPeriod),"◇","")),IF(AND(EU$5&lt;=$F172,EU$5+GanttPeriod-1&gt;=$E172),"━","")))</f>
        <v/>
      </c>
      <c r="EV172" s="69" t="str">
        <f aca="false">IF($E172="","",IF($M172,IF(AND($G172&gt;=EV$5,$G172&lt;EV$5+GanttPeriod),"◆",IF(AND($E172&gt;=EV$5,$E172&lt;EV$5+GanttPeriod),"◇","")),IF(AND(EV$5&lt;=$F172,EV$5+GanttPeriod-1&gt;=$E172),"━","")))</f>
        <v/>
      </c>
      <c r="EW172" s="69" t="str">
        <f aca="false">IF($E172="","",IF($M172,IF(AND($G172&gt;=EW$5,$G172&lt;EW$5+GanttPeriod),"◆",IF(AND($E172&gt;=EW$5,$E172&lt;EW$5+GanttPeriod),"◇","")),IF(AND(EW$5&lt;=$F172,EW$5+GanttPeriod-1&gt;=$E172),"━","")))</f>
        <v/>
      </c>
      <c r="EX172" s="69" t="str">
        <f aca="false">IF($E172="","",IF($M172,IF(AND($G172&gt;=EX$5,$G172&lt;EX$5+GanttPeriod),"◆",IF(AND($E172&gt;=EX$5,$E172&lt;EX$5+GanttPeriod),"◇","")),IF(AND(EX$5&lt;=$F172,EX$5+GanttPeriod-1&gt;=$E172),"━","")))</f>
        <v/>
      </c>
      <c r="EY172" s="69" t="str">
        <f aca="false">IF($E172="","",IF($M172,IF(AND($G172&gt;=EY$5,$G172&lt;EY$5+GanttPeriod),"◆",IF(AND($E172&gt;=EY$5,$E172&lt;EY$5+GanttPeriod),"◇","")),IF(AND(EY$5&lt;=$F172,EY$5+GanttPeriod-1&gt;=$E172),"━","")))</f>
        <v/>
      </c>
      <c r="EZ172" s="69" t="str">
        <f aca="false">IF($E172="","",IF($M172,IF(AND($G172&gt;=EZ$5,$G172&lt;EZ$5+GanttPeriod),"◆",IF(AND($E172&gt;=EZ$5,$E172&lt;EZ$5+GanttPeriod),"◇","")),IF(AND(EZ$5&lt;=$F172,EZ$5+GanttPeriod-1&gt;=$E172),"━","")))</f>
        <v/>
      </c>
      <c r="FA172" s="69" t="str">
        <f aca="false">IF($E172="","",IF($M172,IF(AND($G172&gt;=FA$5,$G172&lt;FA$5+GanttPeriod),"◆",IF(AND($E172&gt;=FA$5,$E172&lt;FA$5+GanttPeriod),"◇","")),IF(AND(FA$5&lt;=$F172,FA$5+GanttPeriod-1&gt;=$E172),"━","")))</f>
        <v/>
      </c>
      <c r="FB172" s="69" t="str">
        <f aca="false">IF($E172="","",IF($M172,IF(AND($G172&gt;=FB$5,$G172&lt;FB$5+GanttPeriod),"◆",IF(AND($E172&gt;=FB$5,$E172&lt;FB$5+GanttPeriod),"◇","")),IF(AND(FB$5&lt;=$F172,FB$5+GanttPeriod-1&gt;=$E172),"━","")))</f>
        <v/>
      </c>
      <c r="FC172" s="69" t="str">
        <f aca="false">IF($E172="","",IF($M172,IF(AND($G172&gt;=FC$5,$G172&lt;FC$5+GanttPeriod),"◆",IF(AND($E172&gt;=FC$5,$E172&lt;FC$5+GanttPeriod),"◇","")),IF(AND(FC$5&lt;=$F172,FC$5+GanttPeriod-1&gt;=$E172),"━","")))</f>
        <v/>
      </c>
      <c r="FD172" s="69" t="str">
        <f aca="false">IF($E172="","",IF($M172,IF(AND($G172&gt;=FD$5,$G172&lt;FD$5+GanttPeriod),"◆",IF(AND($E172&gt;=FD$5,$E172&lt;FD$5+GanttPeriod),"◇","")),IF(AND(FD$5&lt;=$F172,FD$5+GanttPeriod-1&gt;=$E172),"━","")))</f>
        <v/>
      </c>
      <c r="FE172" s="69" t="str">
        <f aca="false">IF($E172="","",IF($M172,IF(AND($G172&gt;=FE$5,$G172&lt;FE$5+GanttPeriod),"◆",IF(AND($E172&gt;=FE$5,$E172&lt;FE$5+GanttPeriod),"◇","")),IF(AND(FE$5&lt;=$F172,FE$5+GanttPeriod-1&gt;=$E172),"━","")))</f>
        <v/>
      </c>
      <c r="FF172" s="69" t="str">
        <f aca="false">IF($E172="","",IF($M172,IF(AND($G172&gt;=FF$5,$G172&lt;FF$5+GanttPeriod),"◆",IF(AND($E172&gt;=FF$5,$E172&lt;FF$5+GanttPeriod),"◇","")),IF(AND(FF$5&lt;=$F172,FF$5+GanttPeriod-1&gt;=$E172),"━","")))</f>
        <v/>
      </c>
      <c r="FG172" s="69" t="str">
        <f aca="false">IF($E172="","",IF($M172,IF(AND($G172&gt;=FG$5,$G172&lt;FG$5+GanttPeriod),"◆",IF(AND($E172&gt;=FG$5,$E172&lt;FG$5+GanttPeriod),"◇","")),IF(AND(FG$5&lt;=$F172,FG$5+GanttPeriod-1&gt;=$E172),"━","")))</f>
        <v/>
      </c>
      <c r="FH172" s="69" t="str">
        <f aca="false">IF($E172="","",IF($M172,IF(AND($G172&gt;=FH$5,$G172&lt;FH$5+GanttPeriod),"◆",IF(AND($E172&gt;=FH$5,$E172&lt;FH$5+GanttPeriod),"◇","")),IF(AND(FH$5&lt;=$F172,FH$5+GanttPeriod-1&gt;=$E172),"━","")))</f>
        <v/>
      </c>
      <c r="FI172" s="69" t="str">
        <f aca="false">IF($E172="","",IF($M172,IF(AND($G172&gt;=FI$5,$G172&lt;FI$5+GanttPeriod),"◆",IF(AND($E172&gt;=FI$5,$E172&lt;FI$5+GanttPeriod),"◇","")),IF(AND(FI$5&lt;=$F172,FI$5+GanttPeriod-1&gt;=$E172),"━","")))</f>
        <v/>
      </c>
      <c r="FJ172" s="69" t="str">
        <f aca="false">IF($E172="","",IF($M172,IF(AND($G172&gt;=FJ$5,$G172&lt;FJ$5+GanttPeriod),"◆",IF(AND($E172&gt;=FJ$5,$E172&lt;FJ$5+GanttPeriod),"◇","")),IF(AND(FJ$5&lt;=$F172,FJ$5+GanttPeriod-1&gt;=$E172),"━","")))</f>
        <v/>
      </c>
      <c r="FK172" s="69" t="str">
        <f aca="false">IF($E172="","",IF($M172,IF(AND($G172&gt;=FK$5,$G172&lt;FK$5+GanttPeriod),"◆",IF(AND($E172&gt;=FK$5,$E172&lt;FK$5+GanttPeriod),"◇","")),IF(AND(FK$5&lt;=$F172,FK$5+GanttPeriod-1&gt;=$E172),"━","")))</f>
        <v/>
      </c>
      <c r="FL172" s="69" t="str">
        <f aca="false">IF($E172="","",IF($M172,IF(AND($G172&gt;=FL$5,$G172&lt;FL$5+GanttPeriod),"◆",IF(AND($E172&gt;=FL$5,$E172&lt;FL$5+GanttPeriod),"◇","")),IF(AND(FL$5&lt;=$F172,FL$5+GanttPeriod-1&gt;=$E172),"━","")))</f>
        <v/>
      </c>
      <c r="FM172" s="69" t="str">
        <f aca="false">IF($E172="","",IF($M172,IF(AND($G172&gt;=FM$5,$G172&lt;FM$5+GanttPeriod),"◆",IF(AND($E172&gt;=FM$5,$E172&lt;FM$5+GanttPeriod),"◇","")),IF(AND(FM$5&lt;=$F172,FM$5+GanttPeriod-1&gt;=$E172),"━","")))</f>
        <v/>
      </c>
    </row>
    <row r="173" customFormat="false" ht="15" hidden="false" customHeight="false" outlineLevel="0" collapsed="false">
      <c r="A173" s="62" t="str">
        <f aca="false">IF(Tasks!$D173="","",Tasks!$A173)</f>
        <v/>
      </c>
      <c r="B173" s="62" t="str">
        <f aca="false">IF(Tasks!$D173="","",Tasks!$B173)</f>
        <v/>
      </c>
      <c r="C173" s="63" t="str">
        <f aca="false">IF(Tasks!$D173="","",REPT("    ",Tasks!$AE173-1)&amp;Tasks!$D173)</f>
        <v/>
      </c>
      <c r="D173" s="62" t="str">
        <f aca="false">IF(Tasks!$D173="","",IF(Tasks!$AI173,NETWORKDAYS.INTL(Tasks!$R173,Tasks!$S173,WorkWeek,Holidays),N(Tasks!$F173)))</f>
        <v/>
      </c>
      <c r="E173" s="64" t="str">
        <f aca="false">IF(Tasks!$D173="","",Tasks!$N173)</f>
        <v/>
      </c>
      <c r="F173" s="64" t="str">
        <f aca="false">IF(Tasks!$D173="","",Tasks!$O173)</f>
        <v/>
      </c>
      <c r="G173" s="64" t="str">
        <f aca="false">IF(Tasks!$D173="","",Tasks!$R173)</f>
        <v/>
      </c>
      <c r="H173" s="64" t="str">
        <f aca="false">IF(Tasks!$D173="","",Tasks!$S173)</f>
        <v/>
      </c>
      <c r="I173" s="65" t="str">
        <f aca="false">IF(Tasks!$D173="","",Tasks!$V173)</f>
        <v/>
      </c>
      <c r="J173" s="63" t="str">
        <f aca="false">IF(Tasks!$D173="","",Tasks!$X173&amp;"")</f>
        <v/>
      </c>
      <c r="K173" s="66" t="str">
        <f aca="false">IF(Tasks!$D173="","",Tasks!$W173)</f>
        <v/>
      </c>
      <c r="L173" s="67" t="b">
        <f aca="false">IF(Tasks!$D173="",FALSE(),Tasks!$AI173)</f>
        <v>0</v>
      </c>
      <c r="M173" s="67" t="b">
        <f aca="false">AND(Tasks!$AJ173=1,N(Tasks!$F173)=0)</f>
        <v>0</v>
      </c>
      <c r="N173" s="68" t="n">
        <f aca="false">IF(AND(Tasks!$AJ173=1,NOT($M173),N($I173)&gt;0),$G173,0)</f>
        <v>0</v>
      </c>
      <c r="O173" s="68" t="n">
        <f aca="false">IF($N173=0,0,IF($I173&gt;=1,$H173,MAX($N173,$G173+ROUND(($H173-$G173+1)*$I173,0)-1)))</f>
        <v>0</v>
      </c>
      <c r="P173" s="68" t="n">
        <f aca="false">IF(OR(Tasks!$AJ173&lt;&gt;1,$M173,N($I173)&gt;=1),0,IF($O173&gt;0,$O173+1,$G173))</f>
        <v>0</v>
      </c>
      <c r="Q173" s="68" t="n">
        <f aca="false">IF($P173=0,0,$H173)</f>
        <v>0</v>
      </c>
      <c r="R173" s="67" t="b">
        <f aca="false">AND(Tasks!$D173&lt;&gt;"",N(Tasks!$T173)&gt;0)</f>
        <v>0</v>
      </c>
      <c r="T173" s="69" t="str">
        <f aca="false">IF($E173="","",IF($M173,IF(AND($G173&gt;=T$5,$G173&lt;T$5+GanttPeriod),"◆",IF(AND($E173&gt;=T$5,$E173&lt;T$5+GanttPeriod),"◇","")),IF(AND(T$5&lt;=$F173,T$5+GanttPeriod-1&gt;=$E173),"━","")))</f>
        <v/>
      </c>
      <c r="U173" s="69" t="str">
        <f aca="false">IF($E173="","",IF($M173,IF(AND($G173&gt;=U$5,$G173&lt;U$5+GanttPeriod),"◆",IF(AND($E173&gt;=U$5,$E173&lt;U$5+GanttPeriod),"◇","")),IF(AND(U$5&lt;=$F173,U$5+GanttPeriod-1&gt;=$E173),"━","")))</f>
        <v/>
      </c>
      <c r="V173" s="69" t="str">
        <f aca="false">IF($E173="","",IF($M173,IF(AND($G173&gt;=V$5,$G173&lt;V$5+GanttPeriod),"◆",IF(AND($E173&gt;=V$5,$E173&lt;V$5+GanttPeriod),"◇","")),IF(AND(V$5&lt;=$F173,V$5+GanttPeriod-1&gt;=$E173),"━","")))</f>
        <v/>
      </c>
      <c r="W173" s="69" t="str">
        <f aca="false">IF($E173="","",IF($M173,IF(AND($G173&gt;=W$5,$G173&lt;W$5+GanttPeriod),"◆",IF(AND($E173&gt;=W$5,$E173&lt;W$5+GanttPeriod),"◇","")),IF(AND(W$5&lt;=$F173,W$5+GanttPeriod-1&gt;=$E173),"━","")))</f>
        <v/>
      </c>
      <c r="X173" s="69" t="str">
        <f aca="false">IF($E173="","",IF($M173,IF(AND($G173&gt;=X$5,$G173&lt;X$5+GanttPeriod),"◆",IF(AND($E173&gt;=X$5,$E173&lt;X$5+GanttPeriod),"◇","")),IF(AND(X$5&lt;=$F173,X$5+GanttPeriod-1&gt;=$E173),"━","")))</f>
        <v/>
      </c>
      <c r="Y173" s="69" t="str">
        <f aca="false">IF($E173="","",IF($M173,IF(AND($G173&gt;=Y$5,$G173&lt;Y$5+GanttPeriod),"◆",IF(AND($E173&gt;=Y$5,$E173&lt;Y$5+GanttPeriod),"◇","")),IF(AND(Y$5&lt;=$F173,Y$5+GanttPeriod-1&gt;=$E173),"━","")))</f>
        <v/>
      </c>
      <c r="Z173" s="69" t="str">
        <f aca="false">IF($E173="","",IF($M173,IF(AND($G173&gt;=Z$5,$G173&lt;Z$5+GanttPeriod),"◆",IF(AND($E173&gt;=Z$5,$E173&lt;Z$5+GanttPeriod),"◇","")),IF(AND(Z$5&lt;=$F173,Z$5+GanttPeriod-1&gt;=$E173),"━","")))</f>
        <v/>
      </c>
      <c r="AA173" s="69" t="str">
        <f aca="false">IF($E173="","",IF($M173,IF(AND($G173&gt;=AA$5,$G173&lt;AA$5+GanttPeriod),"◆",IF(AND($E173&gt;=AA$5,$E173&lt;AA$5+GanttPeriod),"◇","")),IF(AND(AA$5&lt;=$F173,AA$5+GanttPeriod-1&gt;=$E173),"━","")))</f>
        <v/>
      </c>
      <c r="AB173" s="69" t="str">
        <f aca="false">IF($E173="","",IF($M173,IF(AND($G173&gt;=AB$5,$G173&lt;AB$5+GanttPeriod),"◆",IF(AND($E173&gt;=AB$5,$E173&lt;AB$5+GanttPeriod),"◇","")),IF(AND(AB$5&lt;=$F173,AB$5+GanttPeriod-1&gt;=$E173),"━","")))</f>
        <v/>
      </c>
      <c r="AC173" s="69" t="str">
        <f aca="false">IF($E173="","",IF($M173,IF(AND($G173&gt;=AC$5,$G173&lt;AC$5+GanttPeriod),"◆",IF(AND($E173&gt;=AC$5,$E173&lt;AC$5+GanttPeriod),"◇","")),IF(AND(AC$5&lt;=$F173,AC$5+GanttPeriod-1&gt;=$E173),"━","")))</f>
        <v/>
      </c>
      <c r="AD173" s="69" t="str">
        <f aca="false">IF($E173="","",IF($M173,IF(AND($G173&gt;=AD$5,$G173&lt;AD$5+GanttPeriod),"◆",IF(AND($E173&gt;=AD$5,$E173&lt;AD$5+GanttPeriod),"◇","")),IF(AND(AD$5&lt;=$F173,AD$5+GanttPeriod-1&gt;=$E173),"━","")))</f>
        <v/>
      </c>
      <c r="AE173" s="69" t="str">
        <f aca="false">IF($E173="","",IF($M173,IF(AND($G173&gt;=AE$5,$G173&lt;AE$5+GanttPeriod),"◆",IF(AND($E173&gt;=AE$5,$E173&lt;AE$5+GanttPeriod),"◇","")),IF(AND(AE$5&lt;=$F173,AE$5+GanttPeriod-1&gt;=$E173),"━","")))</f>
        <v/>
      </c>
      <c r="AF173" s="69" t="str">
        <f aca="false">IF($E173="","",IF($M173,IF(AND($G173&gt;=AF$5,$G173&lt;AF$5+GanttPeriod),"◆",IF(AND($E173&gt;=AF$5,$E173&lt;AF$5+GanttPeriod),"◇","")),IF(AND(AF$5&lt;=$F173,AF$5+GanttPeriod-1&gt;=$E173),"━","")))</f>
        <v/>
      </c>
      <c r="AG173" s="69" t="str">
        <f aca="false">IF($E173="","",IF($M173,IF(AND($G173&gt;=AG$5,$G173&lt;AG$5+GanttPeriod),"◆",IF(AND($E173&gt;=AG$5,$E173&lt;AG$5+GanttPeriod),"◇","")),IF(AND(AG$5&lt;=$F173,AG$5+GanttPeriod-1&gt;=$E173),"━","")))</f>
        <v/>
      </c>
      <c r="AH173" s="69" t="str">
        <f aca="false">IF($E173="","",IF($M173,IF(AND($G173&gt;=AH$5,$G173&lt;AH$5+GanttPeriod),"◆",IF(AND($E173&gt;=AH$5,$E173&lt;AH$5+GanttPeriod),"◇","")),IF(AND(AH$5&lt;=$F173,AH$5+GanttPeriod-1&gt;=$E173),"━","")))</f>
        <v/>
      </c>
      <c r="AI173" s="69" t="str">
        <f aca="false">IF($E173="","",IF($M173,IF(AND($G173&gt;=AI$5,$G173&lt;AI$5+GanttPeriod),"◆",IF(AND($E173&gt;=AI$5,$E173&lt;AI$5+GanttPeriod),"◇","")),IF(AND(AI$5&lt;=$F173,AI$5+GanttPeriod-1&gt;=$E173),"━","")))</f>
        <v/>
      </c>
      <c r="AJ173" s="69" t="str">
        <f aca="false">IF($E173="","",IF($M173,IF(AND($G173&gt;=AJ$5,$G173&lt;AJ$5+GanttPeriod),"◆",IF(AND($E173&gt;=AJ$5,$E173&lt;AJ$5+GanttPeriod),"◇","")),IF(AND(AJ$5&lt;=$F173,AJ$5+GanttPeriod-1&gt;=$E173),"━","")))</f>
        <v/>
      </c>
      <c r="AK173" s="69" t="str">
        <f aca="false">IF($E173="","",IF($M173,IF(AND($G173&gt;=AK$5,$G173&lt;AK$5+GanttPeriod),"◆",IF(AND($E173&gt;=AK$5,$E173&lt;AK$5+GanttPeriod),"◇","")),IF(AND(AK$5&lt;=$F173,AK$5+GanttPeriod-1&gt;=$E173),"━","")))</f>
        <v/>
      </c>
      <c r="AL173" s="69" t="str">
        <f aca="false">IF($E173="","",IF($M173,IF(AND($G173&gt;=AL$5,$G173&lt;AL$5+GanttPeriod),"◆",IF(AND($E173&gt;=AL$5,$E173&lt;AL$5+GanttPeriod),"◇","")),IF(AND(AL$5&lt;=$F173,AL$5+GanttPeriod-1&gt;=$E173),"━","")))</f>
        <v/>
      </c>
      <c r="AM173" s="69" t="str">
        <f aca="false">IF($E173="","",IF($M173,IF(AND($G173&gt;=AM$5,$G173&lt;AM$5+GanttPeriod),"◆",IF(AND($E173&gt;=AM$5,$E173&lt;AM$5+GanttPeriod),"◇","")),IF(AND(AM$5&lt;=$F173,AM$5+GanttPeriod-1&gt;=$E173),"━","")))</f>
        <v/>
      </c>
      <c r="AN173" s="69" t="str">
        <f aca="false">IF($E173="","",IF($M173,IF(AND($G173&gt;=AN$5,$G173&lt;AN$5+GanttPeriod),"◆",IF(AND($E173&gt;=AN$5,$E173&lt;AN$5+GanttPeriod),"◇","")),IF(AND(AN$5&lt;=$F173,AN$5+GanttPeriod-1&gt;=$E173),"━","")))</f>
        <v/>
      </c>
      <c r="AO173" s="69" t="str">
        <f aca="false">IF($E173="","",IF($M173,IF(AND($G173&gt;=AO$5,$G173&lt;AO$5+GanttPeriod),"◆",IF(AND($E173&gt;=AO$5,$E173&lt;AO$5+GanttPeriod),"◇","")),IF(AND(AO$5&lt;=$F173,AO$5+GanttPeriod-1&gt;=$E173),"━","")))</f>
        <v/>
      </c>
      <c r="AP173" s="69" t="str">
        <f aca="false">IF($E173="","",IF($M173,IF(AND($G173&gt;=AP$5,$G173&lt;AP$5+GanttPeriod),"◆",IF(AND($E173&gt;=AP$5,$E173&lt;AP$5+GanttPeriod),"◇","")),IF(AND(AP$5&lt;=$F173,AP$5+GanttPeriod-1&gt;=$E173),"━","")))</f>
        <v/>
      </c>
      <c r="AQ173" s="69" t="str">
        <f aca="false">IF($E173="","",IF($M173,IF(AND($G173&gt;=AQ$5,$G173&lt;AQ$5+GanttPeriod),"◆",IF(AND($E173&gt;=AQ$5,$E173&lt;AQ$5+GanttPeriod),"◇","")),IF(AND(AQ$5&lt;=$F173,AQ$5+GanttPeriod-1&gt;=$E173),"━","")))</f>
        <v/>
      </c>
      <c r="AR173" s="69" t="str">
        <f aca="false">IF($E173="","",IF($M173,IF(AND($G173&gt;=AR$5,$G173&lt;AR$5+GanttPeriod),"◆",IF(AND($E173&gt;=AR$5,$E173&lt;AR$5+GanttPeriod),"◇","")),IF(AND(AR$5&lt;=$F173,AR$5+GanttPeriod-1&gt;=$E173),"━","")))</f>
        <v/>
      </c>
      <c r="AS173" s="69" t="str">
        <f aca="false">IF($E173="","",IF($M173,IF(AND($G173&gt;=AS$5,$G173&lt;AS$5+GanttPeriod),"◆",IF(AND($E173&gt;=AS$5,$E173&lt;AS$5+GanttPeriod),"◇","")),IF(AND(AS$5&lt;=$F173,AS$5+GanttPeriod-1&gt;=$E173),"━","")))</f>
        <v/>
      </c>
      <c r="AT173" s="69" t="str">
        <f aca="false">IF($E173="","",IF($M173,IF(AND($G173&gt;=AT$5,$G173&lt;AT$5+GanttPeriod),"◆",IF(AND($E173&gt;=AT$5,$E173&lt;AT$5+GanttPeriod),"◇","")),IF(AND(AT$5&lt;=$F173,AT$5+GanttPeriod-1&gt;=$E173),"━","")))</f>
        <v/>
      </c>
      <c r="AU173" s="69" t="str">
        <f aca="false">IF($E173="","",IF($M173,IF(AND($G173&gt;=AU$5,$G173&lt;AU$5+GanttPeriod),"◆",IF(AND($E173&gt;=AU$5,$E173&lt;AU$5+GanttPeriod),"◇","")),IF(AND(AU$5&lt;=$F173,AU$5+GanttPeriod-1&gt;=$E173),"━","")))</f>
        <v/>
      </c>
      <c r="AV173" s="69" t="str">
        <f aca="false">IF($E173="","",IF($M173,IF(AND($G173&gt;=AV$5,$G173&lt;AV$5+GanttPeriod),"◆",IF(AND($E173&gt;=AV$5,$E173&lt;AV$5+GanttPeriod),"◇","")),IF(AND(AV$5&lt;=$F173,AV$5+GanttPeriod-1&gt;=$E173),"━","")))</f>
        <v/>
      </c>
      <c r="AW173" s="69" t="str">
        <f aca="false">IF($E173="","",IF($M173,IF(AND($G173&gt;=AW$5,$G173&lt;AW$5+GanttPeriod),"◆",IF(AND($E173&gt;=AW$5,$E173&lt;AW$5+GanttPeriod),"◇","")),IF(AND(AW$5&lt;=$F173,AW$5+GanttPeriod-1&gt;=$E173),"━","")))</f>
        <v/>
      </c>
      <c r="AX173" s="69" t="str">
        <f aca="false">IF($E173="","",IF($M173,IF(AND($G173&gt;=AX$5,$G173&lt;AX$5+GanttPeriod),"◆",IF(AND($E173&gt;=AX$5,$E173&lt;AX$5+GanttPeriod),"◇","")),IF(AND(AX$5&lt;=$F173,AX$5+GanttPeriod-1&gt;=$E173),"━","")))</f>
        <v/>
      </c>
      <c r="AY173" s="69" t="str">
        <f aca="false">IF($E173="","",IF($M173,IF(AND($G173&gt;=AY$5,$G173&lt;AY$5+GanttPeriod),"◆",IF(AND($E173&gt;=AY$5,$E173&lt;AY$5+GanttPeriod),"◇","")),IF(AND(AY$5&lt;=$F173,AY$5+GanttPeriod-1&gt;=$E173),"━","")))</f>
        <v/>
      </c>
      <c r="AZ173" s="69" t="str">
        <f aca="false">IF($E173="","",IF($M173,IF(AND($G173&gt;=AZ$5,$G173&lt;AZ$5+GanttPeriod),"◆",IF(AND($E173&gt;=AZ$5,$E173&lt;AZ$5+GanttPeriod),"◇","")),IF(AND(AZ$5&lt;=$F173,AZ$5+GanttPeriod-1&gt;=$E173),"━","")))</f>
        <v/>
      </c>
      <c r="BA173" s="69" t="str">
        <f aca="false">IF($E173="","",IF($M173,IF(AND($G173&gt;=BA$5,$G173&lt;BA$5+GanttPeriod),"◆",IF(AND($E173&gt;=BA$5,$E173&lt;BA$5+GanttPeriod),"◇","")),IF(AND(BA$5&lt;=$F173,BA$5+GanttPeriod-1&gt;=$E173),"━","")))</f>
        <v/>
      </c>
      <c r="BB173" s="69" t="str">
        <f aca="false">IF($E173="","",IF($M173,IF(AND($G173&gt;=BB$5,$G173&lt;BB$5+GanttPeriod),"◆",IF(AND($E173&gt;=BB$5,$E173&lt;BB$5+GanttPeriod),"◇","")),IF(AND(BB$5&lt;=$F173,BB$5+GanttPeriod-1&gt;=$E173),"━","")))</f>
        <v/>
      </c>
      <c r="BC173" s="69" t="str">
        <f aca="false">IF($E173="","",IF($M173,IF(AND($G173&gt;=BC$5,$G173&lt;BC$5+GanttPeriod),"◆",IF(AND($E173&gt;=BC$5,$E173&lt;BC$5+GanttPeriod),"◇","")),IF(AND(BC$5&lt;=$F173,BC$5+GanttPeriod-1&gt;=$E173),"━","")))</f>
        <v/>
      </c>
      <c r="BD173" s="69" t="str">
        <f aca="false">IF($E173="","",IF($M173,IF(AND($G173&gt;=BD$5,$G173&lt;BD$5+GanttPeriod),"◆",IF(AND($E173&gt;=BD$5,$E173&lt;BD$5+GanttPeriod),"◇","")),IF(AND(BD$5&lt;=$F173,BD$5+GanttPeriod-1&gt;=$E173),"━","")))</f>
        <v/>
      </c>
      <c r="BE173" s="69" t="str">
        <f aca="false">IF($E173="","",IF($M173,IF(AND($G173&gt;=BE$5,$G173&lt;BE$5+GanttPeriod),"◆",IF(AND($E173&gt;=BE$5,$E173&lt;BE$5+GanttPeriod),"◇","")),IF(AND(BE$5&lt;=$F173,BE$5+GanttPeriod-1&gt;=$E173),"━","")))</f>
        <v/>
      </c>
      <c r="BF173" s="69" t="str">
        <f aca="false">IF($E173="","",IF($M173,IF(AND($G173&gt;=BF$5,$G173&lt;BF$5+GanttPeriod),"◆",IF(AND($E173&gt;=BF$5,$E173&lt;BF$5+GanttPeriod),"◇","")),IF(AND(BF$5&lt;=$F173,BF$5+GanttPeriod-1&gt;=$E173),"━","")))</f>
        <v/>
      </c>
      <c r="BG173" s="69" t="str">
        <f aca="false">IF($E173="","",IF($M173,IF(AND($G173&gt;=BG$5,$G173&lt;BG$5+GanttPeriod),"◆",IF(AND($E173&gt;=BG$5,$E173&lt;BG$5+GanttPeriod),"◇","")),IF(AND(BG$5&lt;=$F173,BG$5+GanttPeriod-1&gt;=$E173),"━","")))</f>
        <v/>
      </c>
      <c r="BH173" s="69" t="str">
        <f aca="false">IF($E173="","",IF($M173,IF(AND($G173&gt;=BH$5,$G173&lt;BH$5+GanttPeriod),"◆",IF(AND($E173&gt;=BH$5,$E173&lt;BH$5+GanttPeriod),"◇","")),IF(AND(BH$5&lt;=$F173,BH$5+GanttPeriod-1&gt;=$E173),"━","")))</f>
        <v/>
      </c>
      <c r="BI173" s="69" t="str">
        <f aca="false">IF($E173="","",IF($M173,IF(AND($G173&gt;=BI$5,$G173&lt;BI$5+GanttPeriod),"◆",IF(AND($E173&gt;=BI$5,$E173&lt;BI$5+GanttPeriod),"◇","")),IF(AND(BI$5&lt;=$F173,BI$5+GanttPeriod-1&gt;=$E173),"━","")))</f>
        <v/>
      </c>
      <c r="BJ173" s="69" t="str">
        <f aca="false">IF($E173="","",IF($M173,IF(AND($G173&gt;=BJ$5,$G173&lt;BJ$5+GanttPeriod),"◆",IF(AND($E173&gt;=BJ$5,$E173&lt;BJ$5+GanttPeriod),"◇","")),IF(AND(BJ$5&lt;=$F173,BJ$5+GanttPeriod-1&gt;=$E173),"━","")))</f>
        <v/>
      </c>
      <c r="BK173" s="69" t="str">
        <f aca="false">IF($E173="","",IF($M173,IF(AND($G173&gt;=BK$5,$G173&lt;BK$5+GanttPeriod),"◆",IF(AND($E173&gt;=BK$5,$E173&lt;BK$5+GanttPeriod),"◇","")),IF(AND(BK$5&lt;=$F173,BK$5+GanttPeriod-1&gt;=$E173),"━","")))</f>
        <v/>
      </c>
      <c r="BL173" s="69" t="str">
        <f aca="false">IF($E173="","",IF($M173,IF(AND($G173&gt;=BL$5,$G173&lt;BL$5+GanttPeriod),"◆",IF(AND($E173&gt;=BL$5,$E173&lt;BL$5+GanttPeriod),"◇","")),IF(AND(BL$5&lt;=$F173,BL$5+GanttPeriod-1&gt;=$E173),"━","")))</f>
        <v/>
      </c>
      <c r="BM173" s="69" t="str">
        <f aca="false">IF($E173="","",IF($M173,IF(AND($G173&gt;=BM$5,$G173&lt;BM$5+GanttPeriod),"◆",IF(AND($E173&gt;=BM$5,$E173&lt;BM$5+GanttPeriod),"◇","")),IF(AND(BM$5&lt;=$F173,BM$5+GanttPeriod-1&gt;=$E173),"━","")))</f>
        <v/>
      </c>
      <c r="BN173" s="69" t="str">
        <f aca="false">IF($E173="","",IF($M173,IF(AND($G173&gt;=BN$5,$G173&lt;BN$5+GanttPeriod),"◆",IF(AND($E173&gt;=BN$5,$E173&lt;BN$5+GanttPeriod),"◇","")),IF(AND(BN$5&lt;=$F173,BN$5+GanttPeriod-1&gt;=$E173),"━","")))</f>
        <v/>
      </c>
      <c r="BO173" s="69" t="str">
        <f aca="false">IF($E173="","",IF($M173,IF(AND($G173&gt;=BO$5,$G173&lt;BO$5+GanttPeriod),"◆",IF(AND($E173&gt;=BO$5,$E173&lt;BO$5+GanttPeriod),"◇","")),IF(AND(BO$5&lt;=$F173,BO$5+GanttPeriod-1&gt;=$E173),"━","")))</f>
        <v/>
      </c>
      <c r="BP173" s="69" t="str">
        <f aca="false">IF($E173="","",IF($M173,IF(AND($G173&gt;=BP$5,$G173&lt;BP$5+GanttPeriod),"◆",IF(AND($E173&gt;=BP$5,$E173&lt;BP$5+GanttPeriod),"◇","")),IF(AND(BP$5&lt;=$F173,BP$5+GanttPeriod-1&gt;=$E173),"━","")))</f>
        <v/>
      </c>
      <c r="BQ173" s="69" t="str">
        <f aca="false">IF($E173="","",IF($M173,IF(AND($G173&gt;=BQ$5,$G173&lt;BQ$5+GanttPeriod),"◆",IF(AND($E173&gt;=BQ$5,$E173&lt;BQ$5+GanttPeriod),"◇","")),IF(AND(BQ$5&lt;=$F173,BQ$5+GanttPeriod-1&gt;=$E173),"━","")))</f>
        <v/>
      </c>
      <c r="BR173" s="69" t="str">
        <f aca="false">IF($E173="","",IF($M173,IF(AND($G173&gt;=BR$5,$G173&lt;BR$5+GanttPeriod),"◆",IF(AND($E173&gt;=BR$5,$E173&lt;BR$5+GanttPeriod),"◇","")),IF(AND(BR$5&lt;=$F173,BR$5+GanttPeriod-1&gt;=$E173),"━","")))</f>
        <v/>
      </c>
      <c r="BS173" s="69" t="str">
        <f aca="false">IF($E173="","",IF($M173,IF(AND($G173&gt;=BS$5,$G173&lt;BS$5+GanttPeriod),"◆",IF(AND($E173&gt;=BS$5,$E173&lt;BS$5+GanttPeriod),"◇","")),IF(AND(BS$5&lt;=$F173,BS$5+GanttPeriod-1&gt;=$E173),"━","")))</f>
        <v/>
      </c>
      <c r="BT173" s="69" t="str">
        <f aca="false">IF($E173="","",IF($M173,IF(AND($G173&gt;=BT$5,$G173&lt;BT$5+GanttPeriod),"◆",IF(AND($E173&gt;=BT$5,$E173&lt;BT$5+GanttPeriod),"◇","")),IF(AND(BT$5&lt;=$F173,BT$5+GanttPeriod-1&gt;=$E173),"━","")))</f>
        <v/>
      </c>
      <c r="BU173" s="69" t="str">
        <f aca="false">IF($E173="","",IF($M173,IF(AND($G173&gt;=BU$5,$G173&lt;BU$5+GanttPeriod),"◆",IF(AND($E173&gt;=BU$5,$E173&lt;BU$5+GanttPeriod),"◇","")),IF(AND(BU$5&lt;=$F173,BU$5+GanttPeriod-1&gt;=$E173),"━","")))</f>
        <v/>
      </c>
      <c r="BV173" s="69" t="str">
        <f aca="false">IF($E173="","",IF($M173,IF(AND($G173&gt;=BV$5,$G173&lt;BV$5+GanttPeriod),"◆",IF(AND($E173&gt;=BV$5,$E173&lt;BV$5+GanttPeriod),"◇","")),IF(AND(BV$5&lt;=$F173,BV$5+GanttPeriod-1&gt;=$E173),"━","")))</f>
        <v/>
      </c>
      <c r="BW173" s="69" t="str">
        <f aca="false">IF($E173="","",IF($M173,IF(AND($G173&gt;=BW$5,$G173&lt;BW$5+GanttPeriod),"◆",IF(AND($E173&gt;=BW$5,$E173&lt;BW$5+GanttPeriod),"◇","")),IF(AND(BW$5&lt;=$F173,BW$5+GanttPeriod-1&gt;=$E173),"━","")))</f>
        <v/>
      </c>
      <c r="BX173" s="69" t="str">
        <f aca="false">IF($E173="","",IF($M173,IF(AND($G173&gt;=BX$5,$G173&lt;BX$5+GanttPeriod),"◆",IF(AND($E173&gt;=BX$5,$E173&lt;BX$5+GanttPeriod),"◇","")),IF(AND(BX$5&lt;=$F173,BX$5+GanttPeriod-1&gt;=$E173),"━","")))</f>
        <v/>
      </c>
      <c r="BY173" s="69" t="str">
        <f aca="false">IF($E173="","",IF($M173,IF(AND($G173&gt;=BY$5,$G173&lt;BY$5+GanttPeriod),"◆",IF(AND($E173&gt;=BY$5,$E173&lt;BY$5+GanttPeriod),"◇","")),IF(AND(BY$5&lt;=$F173,BY$5+GanttPeriod-1&gt;=$E173),"━","")))</f>
        <v/>
      </c>
      <c r="BZ173" s="69" t="str">
        <f aca="false">IF($E173="","",IF($M173,IF(AND($G173&gt;=BZ$5,$G173&lt;BZ$5+GanttPeriod),"◆",IF(AND($E173&gt;=BZ$5,$E173&lt;BZ$5+GanttPeriod),"◇","")),IF(AND(BZ$5&lt;=$F173,BZ$5+GanttPeriod-1&gt;=$E173),"━","")))</f>
        <v/>
      </c>
      <c r="CA173" s="69" t="str">
        <f aca="false">IF($E173="","",IF($M173,IF(AND($G173&gt;=CA$5,$G173&lt;CA$5+GanttPeriod),"◆",IF(AND($E173&gt;=CA$5,$E173&lt;CA$5+GanttPeriod),"◇","")),IF(AND(CA$5&lt;=$F173,CA$5+GanttPeriod-1&gt;=$E173),"━","")))</f>
        <v/>
      </c>
      <c r="CB173" s="69" t="str">
        <f aca="false">IF($E173="","",IF($M173,IF(AND($G173&gt;=CB$5,$G173&lt;CB$5+GanttPeriod),"◆",IF(AND($E173&gt;=CB$5,$E173&lt;CB$5+GanttPeriod),"◇","")),IF(AND(CB$5&lt;=$F173,CB$5+GanttPeriod-1&gt;=$E173),"━","")))</f>
        <v/>
      </c>
      <c r="CC173" s="69" t="str">
        <f aca="false">IF($E173="","",IF($M173,IF(AND($G173&gt;=CC$5,$G173&lt;CC$5+GanttPeriod),"◆",IF(AND($E173&gt;=CC$5,$E173&lt;CC$5+GanttPeriod),"◇","")),IF(AND(CC$5&lt;=$F173,CC$5+GanttPeriod-1&gt;=$E173),"━","")))</f>
        <v/>
      </c>
      <c r="CD173" s="69" t="str">
        <f aca="false">IF($E173="","",IF($M173,IF(AND($G173&gt;=CD$5,$G173&lt;CD$5+GanttPeriod),"◆",IF(AND($E173&gt;=CD$5,$E173&lt;CD$5+GanttPeriod),"◇","")),IF(AND(CD$5&lt;=$F173,CD$5+GanttPeriod-1&gt;=$E173),"━","")))</f>
        <v/>
      </c>
      <c r="CE173" s="69" t="str">
        <f aca="false">IF($E173="","",IF($M173,IF(AND($G173&gt;=CE$5,$G173&lt;CE$5+GanttPeriod),"◆",IF(AND($E173&gt;=CE$5,$E173&lt;CE$5+GanttPeriod),"◇","")),IF(AND(CE$5&lt;=$F173,CE$5+GanttPeriod-1&gt;=$E173),"━","")))</f>
        <v/>
      </c>
      <c r="CF173" s="69" t="str">
        <f aca="false">IF($E173="","",IF($M173,IF(AND($G173&gt;=CF$5,$G173&lt;CF$5+GanttPeriod),"◆",IF(AND($E173&gt;=CF$5,$E173&lt;CF$5+GanttPeriod),"◇","")),IF(AND(CF$5&lt;=$F173,CF$5+GanttPeriod-1&gt;=$E173),"━","")))</f>
        <v/>
      </c>
      <c r="CG173" s="69" t="str">
        <f aca="false">IF($E173="","",IF($M173,IF(AND($G173&gt;=CG$5,$G173&lt;CG$5+GanttPeriod),"◆",IF(AND($E173&gt;=CG$5,$E173&lt;CG$5+GanttPeriod),"◇","")),IF(AND(CG$5&lt;=$F173,CG$5+GanttPeriod-1&gt;=$E173),"━","")))</f>
        <v/>
      </c>
      <c r="CH173" s="69" t="str">
        <f aca="false">IF($E173="","",IF($M173,IF(AND($G173&gt;=CH$5,$G173&lt;CH$5+GanttPeriod),"◆",IF(AND($E173&gt;=CH$5,$E173&lt;CH$5+GanttPeriod),"◇","")),IF(AND(CH$5&lt;=$F173,CH$5+GanttPeriod-1&gt;=$E173),"━","")))</f>
        <v/>
      </c>
      <c r="CI173" s="69" t="str">
        <f aca="false">IF($E173="","",IF($M173,IF(AND($G173&gt;=CI$5,$G173&lt;CI$5+GanttPeriod),"◆",IF(AND($E173&gt;=CI$5,$E173&lt;CI$5+GanttPeriod),"◇","")),IF(AND(CI$5&lt;=$F173,CI$5+GanttPeriod-1&gt;=$E173),"━","")))</f>
        <v/>
      </c>
      <c r="CJ173" s="69" t="str">
        <f aca="false">IF($E173="","",IF($M173,IF(AND($G173&gt;=CJ$5,$G173&lt;CJ$5+GanttPeriod),"◆",IF(AND($E173&gt;=CJ$5,$E173&lt;CJ$5+GanttPeriod),"◇","")),IF(AND(CJ$5&lt;=$F173,CJ$5+GanttPeriod-1&gt;=$E173),"━","")))</f>
        <v/>
      </c>
      <c r="CK173" s="69" t="str">
        <f aca="false">IF($E173="","",IF($M173,IF(AND($G173&gt;=CK$5,$G173&lt;CK$5+GanttPeriod),"◆",IF(AND($E173&gt;=CK$5,$E173&lt;CK$5+GanttPeriod),"◇","")),IF(AND(CK$5&lt;=$F173,CK$5+GanttPeriod-1&gt;=$E173),"━","")))</f>
        <v/>
      </c>
      <c r="CL173" s="69" t="str">
        <f aca="false">IF($E173="","",IF($M173,IF(AND($G173&gt;=CL$5,$G173&lt;CL$5+GanttPeriod),"◆",IF(AND($E173&gt;=CL$5,$E173&lt;CL$5+GanttPeriod),"◇","")),IF(AND(CL$5&lt;=$F173,CL$5+GanttPeriod-1&gt;=$E173),"━","")))</f>
        <v/>
      </c>
      <c r="CM173" s="69" t="str">
        <f aca="false">IF($E173="","",IF($M173,IF(AND($G173&gt;=CM$5,$G173&lt;CM$5+GanttPeriod),"◆",IF(AND($E173&gt;=CM$5,$E173&lt;CM$5+GanttPeriod),"◇","")),IF(AND(CM$5&lt;=$F173,CM$5+GanttPeriod-1&gt;=$E173),"━","")))</f>
        <v/>
      </c>
      <c r="CN173" s="69" t="str">
        <f aca="false">IF($E173="","",IF($M173,IF(AND($G173&gt;=CN$5,$G173&lt;CN$5+GanttPeriod),"◆",IF(AND($E173&gt;=CN$5,$E173&lt;CN$5+GanttPeriod),"◇","")),IF(AND(CN$5&lt;=$F173,CN$5+GanttPeriod-1&gt;=$E173),"━","")))</f>
        <v/>
      </c>
      <c r="CO173" s="69" t="str">
        <f aca="false">IF($E173="","",IF($M173,IF(AND($G173&gt;=CO$5,$G173&lt;CO$5+GanttPeriod),"◆",IF(AND($E173&gt;=CO$5,$E173&lt;CO$5+GanttPeriod),"◇","")),IF(AND(CO$5&lt;=$F173,CO$5+GanttPeriod-1&gt;=$E173),"━","")))</f>
        <v/>
      </c>
      <c r="CP173" s="69" t="str">
        <f aca="false">IF($E173="","",IF($M173,IF(AND($G173&gt;=CP$5,$G173&lt;CP$5+GanttPeriod),"◆",IF(AND($E173&gt;=CP$5,$E173&lt;CP$5+GanttPeriod),"◇","")),IF(AND(CP$5&lt;=$F173,CP$5+GanttPeriod-1&gt;=$E173),"━","")))</f>
        <v/>
      </c>
      <c r="CQ173" s="69" t="str">
        <f aca="false">IF($E173="","",IF($M173,IF(AND($G173&gt;=CQ$5,$G173&lt;CQ$5+GanttPeriod),"◆",IF(AND($E173&gt;=CQ$5,$E173&lt;CQ$5+GanttPeriod),"◇","")),IF(AND(CQ$5&lt;=$F173,CQ$5+GanttPeriod-1&gt;=$E173),"━","")))</f>
        <v/>
      </c>
      <c r="CR173" s="69" t="str">
        <f aca="false">IF($E173="","",IF($M173,IF(AND($G173&gt;=CR$5,$G173&lt;CR$5+GanttPeriod),"◆",IF(AND($E173&gt;=CR$5,$E173&lt;CR$5+GanttPeriod),"◇","")),IF(AND(CR$5&lt;=$F173,CR$5+GanttPeriod-1&gt;=$E173),"━","")))</f>
        <v/>
      </c>
      <c r="CS173" s="69" t="str">
        <f aca="false">IF($E173="","",IF($M173,IF(AND($G173&gt;=CS$5,$G173&lt;CS$5+GanttPeriod),"◆",IF(AND($E173&gt;=CS$5,$E173&lt;CS$5+GanttPeriod),"◇","")),IF(AND(CS$5&lt;=$F173,CS$5+GanttPeriod-1&gt;=$E173),"━","")))</f>
        <v/>
      </c>
      <c r="CT173" s="69" t="str">
        <f aca="false">IF($E173="","",IF($M173,IF(AND($G173&gt;=CT$5,$G173&lt;CT$5+GanttPeriod),"◆",IF(AND($E173&gt;=CT$5,$E173&lt;CT$5+GanttPeriod),"◇","")),IF(AND(CT$5&lt;=$F173,CT$5+GanttPeriod-1&gt;=$E173),"━","")))</f>
        <v/>
      </c>
      <c r="CU173" s="69" t="str">
        <f aca="false">IF($E173="","",IF($M173,IF(AND($G173&gt;=CU$5,$G173&lt;CU$5+GanttPeriod),"◆",IF(AND($E173&gt;=CU$5,$E173&lt;CU$5+GanttPeriod),"◇","")),IF(AND(CU$5&lt;=$F173,CU$5+GanttPeriod-1&gt;=$E173),"━","")))</f>
        <v/>
      </c>
      <c r="CV173" s="69" t="str">
        <f aca="false">IF($E173="","",IF($M173,IF(AND($G173&gt;=CV$5,$G173&lt;CV$5+GanttPeriod),"◆",IF(AND($E173&gt;=CV$5,$E173&lt;CV$5+GanttPeriod),"◇","")),IF(AND(CV$5&lt;=$F173,CV$5+GanttPeriod-1&gt;=$E173),"━","")))</f>
        <v/>
      </c>
      <c r="CW173" s="69" t="str">
        <f aca="false">IF($E173="","",IF($M173,IF(AND($G173&gt;=CW$5,$G173&lt;CW$5+GanttPeriod),"◆",IF(AND($E173&gt;=CW$5,$E173&lt;CW$5+GanttPeriod),"◇","")),IF(AND(CW$5&lt;=$F173,CW$5+GanttPeriod-1&gt;=$E173),"━","")))</f>
        <v/>
      </c>
      <c r="CX173" s="69" t="str">
        <f aca="false">IF($E173="","",IF($M173,IF(AND($G173&gt;=CX$5,$G173&lt;CX$5+GanttPeriod),"◆",IF(AND($E173&gt;=CX$5,$E173&lt;CX$5+GanttPeriod),"◇","")),IF(AND(CX$5&lt;=$F173,CX$5+GanttPeriod-1&gt;=$E173),"━","")))</f>
        <v/>
      </c>
      <c r="CY173" s="69" t="str">
        <f aca="false">IF($E173="","",IF($M173,IF(AND($G173&gt;=CY$5,$G173&lt;CY$5+GanttPeriod),"◆",IF(AND($E173&gt;=CY$5,$E173&lt;CY$5+GanttPeriod),"◇","")),IF(AND(CY$5&lt;=$F173,CY$5+GanttPeriod-1&gt;=$E173),"━","")))</f>
        <v/>
      </c>
      <c r="CZ173" s="69" t="str">
        <f aca="false">IF($E173="","",IF($M173,IF(AND($G173&gt;=CZ$5,$G173&lt;CZ$5+GanttPeriod),"◆",IF(AND($E173&gt;=CZ$5,$E173&lt;CZ$5+GanttPeriod),"◇","")),IF(AND(CZ$5&lt;=$F173,CZ$5+GanttPeriod-1&gt;=$E173),"━","")))</f>
        <v/>
      </c>
      <c r="DA173" s="69" t="str">
        <f aca="false">IF($E173="","",IF($M173,IF(AND($G173&gt;=DA$5,$G173&lt;DA$5+GanttPeriod),"◆",IF(AND($E173&gt;=DA$5,$E173&lt;DA$5+GanttPeriod),"◇","")),IF(AND(DA$5&lt;=$F173,DA$5+GanttPeriod-1&gt;=$E173),"━","")))</f>
        <v/>
      </c>
      <c r="DB173" s="69" t="str">
        <f aca="false">IF($E173="","",IF($M173,IF(AND($G173&gt;=DB$5,$G173&lt;DB$5+GanttPeriod),"◆",IF(AND($E173&gt;=DB$5,$E173&lt;DB$5+GanttPeriod),"◇","")),IF(AND(DB$5&lt;=$F173,DB$5+GanttPeriod-1&gt;=$E173),"━","")))</f>
        <v/>
      </c>
      <c r="DC173" s="69" t="str">
        <f aca="false">IF($E173="","",IF($M173,IF(AND($G173&gt;=DC$5,$G173&lt;DC$5+GanttPeriod),"◆",IF(AND($E173&gt;=DC$5,$E173&lt;DC$5+GanttPeriod),"◇","")),IF(AND(DC$5&lt;=$F173,DC$5+GanttPeriod-1&gt;=$E173),"━","")))</f>
        <v/>
      </c>
      <c r="DD173" s="69" t="str">
        <f aca="false">IF($E173="","",IF($M173,IF(AND($G173&gt;=DD$5,$G173&lt;DD$5+GanttPeriod),"◆",IF(AND($E173&gt;=DD$5,$E173&lt;DD$5+GanttPeriod),"◇","")),IF(AND(DD$5&lt;=$F173,DD$5+GanttPeriod-1&gt;=$E173),"━","")))</f>
        <v/>
      </c>
      <c r="DE173" s="69" t="str">
        <f aca="false">IF($E173="","",IF($M173,IF(AND($G173&gt;=DE$5,$G173&lt;DE$5+GanttPeriod),"◆",IF(AND($E173&gt;=DE$5,$E173&lt;DE$5+GanttPeriod),"◇","")),IF(AND(DE$5&lt;=$F173,DE$5+GanttPeriod-1&gt;=$E173),"━","")))</f>
        <v/>
      </c>
      <c r="DF173" s="69" t="str">
        <f aca="false">IF($E173="","",IF($M173,IF(AND($G173&gt;=DF$5,$G173&lt;DF$5+GanttPeriod),"◆",IF(AND($E173&gt;=DF$5,$E173&lt;DF$5+GanttPeriod),"◇","")),IF(AND(DF$5&lt;=$F173,DF$5+GanttPeriod-1&gt;=$E173),"━","")))</f>
        <v/>
      </c>
      <c r="DG173" s="69" t="str">
        <f aca="false">IF($E173="","",IF($M173,IF(AND($G173&gt;=DG$5,$G173&lt;DG$5+GanttPeriod),"◆",IF(AND($E173&gt;=DG$5,$E173&lt;DG$5+GanttPeriod),"◇","")),IF(AND(DG$5&lt;=$F173,DG$5+GanttPeriod-1&gt;=$E173),"━","")))</f>
        <v/>
      </c>
      <c r="DH173" s="69" t="str">
        <f aca="false">IF($E173="","",IF($M173,IF(AND($G173&gt;=DH$5,$G173&lt;DH$5+GanttPeriod),"◆",IF(AND($E173&gt;=DH$5,$E173&lt;DH$5+GanttPeriod),"◇","")),IF(AND(DH$5&lt;=$F173,DH$5+GanttPeriod-1&gt;=$E173),"━","")))</f>
        <v/>
      </c>
      <c r="DI173" s="69" t="str">
        <f aca="false">IF($E173="","",IF($M173,IF(AND($G173&gt;=DI$5,$G173&lt;DI$5+GanttPeriod),"◆",IF(AND($E173&gt;=DI$5,$E173&lt;DI$5+GanttPeriod),"◇","")),IF(AND(DI$5&lt;=$F173,DI$5+GanttPeriod-1&gt;=$E173),"━","")))</f>
        <v/>
      </c>
      <c r="DJ173" s="69" t="str">
        <f aca="false">IF($E173="","",IF($M173,IF(AND($G173&gt;=DJ$5,$G173&lt;DJ$5+GanttPeriod),"◆",IF(AND($E173&gt;=DJ$5,$E173&lt;DJ$5+GanttPeriod),"◇","")),IF(AND(DJ$5&lt;=$F173,DJ$5+GanttPeriod-1&gt;=$E173),"━","")))</f>
        <v/>
      </c>
      <c r="DK173" s="69" t="str">
        <f aca="false">IF($E173="","",IF($M173,IF(AND($G173&gt;=DK$5,$G173&lt;DK$5+GanttPeriod),"◆",IF(AND($E173&gt;=DK$5,$E173&lt;DK$5+GanttPeriod),"◇","")),IF(AND(DK$5&lt;=$F173,DK$5+GanttPeriod-1&gt;=$E173),"━","")))</f>
        <v/>
      </c>
      <c r="DL173" s="69" t="str">
        <f aca="false">IF($E173="","",IF($M173,IF(AND($G173&gt;=DL$5,$G173&lt;DL$5+GanttPeriod),"◆",IF(AND($E173&gt;=DL$5,$E173&lt;DL$5+GanttPeriod),"◇","")),IF(AND(DL$5&lt;=$F173,DL$5+GanttPeriod-1&gt;=$E173),"━","")))</f>
        <v/>
      </c>
      <c r="DM173" s="69" t="str">
        <f aca="false">IF($E173="","",IF($M173,IF(AND($G173&gt;=DM$5,$G173&lt;DM$5+GanttPeriod),"◆",IF(AND($E173&gt;=DM$5,$E173&lt;DM$5+GanttPeriod),"◇","")),IF(AND(DM$5&lt;=$F173,DM$5+GanttPeriod-1&gt;=$E173),"━","")))</f>
        <v/>
      </c>
      <c r="DN173" s="69" t="str">
        <f aca="false">IF($E173="","",IF($M173,IF(AND($G173&gt;=DN$5,$G173&lt;DN$5+GanttPeriod),"◆",IF(AND($E173&gt;=DN$5,$E173&lt;DN$5+GanttPeriod),"◇","")),IF(AND(DN$5&lt;=$F173,DN$5+GanttPeriod-1&gt;=$E173),"━","")))</f>
        <v/>
      </c>
      <c r="DO173" s="69" t="str">
        <f aca="false">IF($E173="","",IF($M173,IF(AND($G173&gt;=DO$5,$G173&lt;DO$5+GanttPeriod),"◆",IF(AND($E173&gt;=DO$5,$E173&lt;DO$5+GanttPeriod),"◇","")),IF(AND(DO$5&lt;=$F173,DO$5+GanttPeriod-1&gt;=$E173),"━","")))</f>
        <v/>
      </c>
      <c r="DP173" s="69" t="str">
        <f aca="false">IF($E173="","",IF($M173,IF(AND($G173&gt;=DP$5,$G173&lt;DP$5+GanttPeriod),"◆",IF(AND($E173&gt;=DP$5,$E173&lt;DP$5+GanttPeriod),"◇","")),IF(AND(DP$5&lt;=$F173,DP$5+GanttPeriod-1&gt;=$E173),"━","")))</f>
        <v/>
      </c>
      <c r="DQ173" s="69" t="str">
        <f aca="false">IF($E173="","",IF($M173,IF(AND($G173&gt;=DQ$5,$G173&lt;DQ$5+GanttPeriod),"◆",IF(AND($E173&gt;=DQ$5,$E173&lt;DQ$5+GanttPeriod),"◇","")),IF(AND(DQ$5&lt;=$F173,DQ$5+GanttPeriod-1&gt;=$E173),"━","")))</f>
        <v/>
      </c>
      <c r="DR173" s="69" t="str">
        <f aca="false">IF($E173="","",IF($M173,IF(AND($G173&gt;=DR$5,$G173&lt;DR$5+GanttPeriod),"◆",IF(AND($E173&gt;=DR$5,$E173&lt;DR$5+GanttPeriod),"◇","")),IF(AND(DR$5&lt;=$F173,DR$5+GanttPeriod-1&gt;=$E173),"━","")))</f>
        <v/>
      </c>
      <c r="DS173" s="69" t="str">
        <f aca="false">IF($E173="","",IF($M173,IF(AND($G173&gt;=DS$5,$G173&lt;DS$5+GanttPeriod),"◆",IF(AND($E173&gt;=DS$5,$E173&lt;DS$5+GanttPeriod),"◇","")),IF(AND(DS$5&lt;=$F173,DS$5+GanttPeriod-1&gt;=$E173),"━","")))</f>
        <v/>
      </c>
      <c r="DT173" s="69" t="str">
        <f aca="false">IF($E173="","",IF($M173,IF(AND($G173&gt;=DT$5,$G173&lt;DT$5+GanttPeriod),"◆",IF(AND($E173&gt;=DT$5,$E173&lt;DT$5+GanttPeriod),"◇","")),IF(AND(DT$5&lt;=$F173,DT$5+GanttPeriod-1&gt;=$E173),"━","")))</f>
        <v/>
      </c>
      <c r="DU173" s="69" t="str">
        <f aca="false">IF($E173="","",IF($M173,IF(AND($G173&gt;=DU$5,$G173&lt;DU$5+GanttPeriod),"◆",IF(AND($E173&gt;=DU$5,$E173&lt;DU$5+GanttPeriod),"◇","")),IF(AND(DU$5&lt;=$F173,DU$5+GanttPeriod-1&gt;=$E173),"━","")))</f>
        <v/>
      </c>
      <c r="DV173" s="69" t="str">
        <f aca="false">IF($E173="","",IF($M173,IF(AND($G173&gt;=DV$5,$G173&lt;DV$5+GanttPeriod),"◆",IF(AND($E173&gt;=DV$5,$E173&lt;DV$5+GanttPeriod),"◇","")),IF(AND(DV$5&lt;=$F173,DV$5+GanttPeriod-1&gt;=$E173),"━","")))</f>
        <v/>
      </c>
      <c r="DW173" s="69" t="str">
        <f aca="false">IF($E173="","",IF($M173,IF(AND($G173&gt;=DW$5,$G173&lt;DW$5+GanttPeriod),"◆",IF(AND($E173&gt;=DW$5,$E173&lt;DW$5+GanttPeriod),"◇","")),IF(AND(DW$5&lt;=$F173,DW$5+GanttPeriod-1&gt;=$E173),"━","")))</f>
        <v/>
      </c>
      <c r="DX173" s="69" t="str">
        <f aca="false">IF($E173="","",IF($M173,IF(AND($G173&gt;=DX$5,$G173&lt;DX$5+GanttPeriod),"◆",IF(AND($E173&gt;=DX$5,$E173&lt;DX$5+GanttPeriod),"◇","")),IF(AND(DX$5&lt;=$F173,DX$5+GanttPeriod-1&gt;=$E173),"━","")))</f>
        <v/>
      </c>
      <c r="DY173" s="69" t="str">
        <f aca="false">IF($E173="","",IF($M173,IF(AND($G173&gt;=DY$5,$G173&lt;DY$5+GanttPeriod),"◆",IF(AND($E173&gt;=DY$5,$E173&lt;DY$5+GanttPeriod),"◇","")),IF(AND(DY$5&lt;=$F173,DY$5+GanttPeriod-1&gt;=$E173),"━","")))</f>
        <v/>
      </c>
      <c r="DZ173" s="69" t="str">
        <f aca="false">IF($E173="","",IF($M173,IF(AND($G173&gt;=DZ$5,$G173&lt;DZ$5+GanttPeriod),"◆",IF(AND($E173&gt;=DZ$5,$E173&lt;DZ$5+GanttPeriod),"◇","")),IF(AND(DZ$5&lt;=$F173,DZ$5+GanttPeriod-1&gt;=$E173),"━","")))</f>
        <v/>
      </c>
      <c r="EA173" s="69" t="str">
        <f aca="false">IF($E173="","",IF($M173,IF(AND($G173&gt;=EA$5,$G173&lt;EA$5+GanttPeriod),"◆",IF(AND($E173&gt;=EA$5,$E173&lt;EA$5+GanttPeriod),"◇","")),IF(AND(EA$5&lt;=$F173,EA$5+GanttPeriod-1&gt;=$E173),"━","")))</f>
        <v/>
      </c>
      <c r="EB173" s="69" t="str">
        <f aca="false">IF($E173="","",IF($M173,IF(AND($G173&gt;=EB$5,$G173&lt;EB$5+GanttPeriod),"◆",IF(AND($E173&gt;=EB$5,$E173&lt;EB$5+GanttPeriod),"◇","")),IF(AND(EB$5&lt;=$F173,EB$5+GanttPeriod-1&gt;=$E173),"━","")))</f>
        <v/>
      </c>
      <c r="EC173" s="69" t="str">
        <f aca="false">IF($E173="","",IF($M173,IF(AND($G173&gt;=EC$5,$G173&lt;EC$5+GanttPeriod),"◆",IF(AND($E173&gt;=EC$5,$E173&lt;EC$5+GanttPeriod),"◇","")),IF(AND(EC$5&lt;=$F173,EC$5+GanttPeriod-1&gt;=$E173),"━","")))</f>
        <v/>
      </c>
      <c r="ED173" s="69" t="str">
        <f aca="false">IF($E173="","",IF($M173,IF(AND($G173&gt;=ED$5,$G173&lt;ED$5+GanttPeriod),"◆",IF(AND($E173&gt;=ED$5,$E173&lt;ED$5+GanttPeriod),"◇","")),IF(AND(ED$5&lt;=$F173,ED$5+GanttPeriod-1&gt;=$E173),"━","")))</f>
        <v/>
      </c>
      <c r="EE173" s="69" t="str">
        <f aca="false">IF($E173="","",IF($M173,IF(AND($G173&gt;=EE$5,$G173&lt;EE$5+GanttPeriod),"◆",IF(AND($E173&gt;=EE$5,$E173&lt;EE$5+GanttPeriod),"◇","")),IF(AND(EE$5&lt;=$F173,EE$5+GanttPeriod-1&gt;=$E173),"━","")))</f>
        <v/>
      </c>
      <c r="EF173" s="69" t="str">
        <f aca="false">IF($E173="","",IF($M173,IF(AND($G173&gt;=EF$5,$G173&lt;EF$5+GanttPeriod),"◆",IF(AND($E173&gt;=EF$5,$E173&lt;EF$5+GanttPeriod),"◇","")),IF(AND(EF$5&lt;=$F173,EF$5+GanttPeriod-1&gt;=$E173),"━","")))</f>
        <v/>
      </c>
      <c r="EG173" s="69" t="str">
        <f aca="false">IF($E173="","",IF($M173,IF(AND($G173&gt;=EG$5,$G173&lt;EG$5+GanttPeriod),"◆",IF(AND($E173&gt;=EG$5,$E173&lt;EG$5+GanttPeriod),"◇","")),IF(AND(EG$5&lt;=$F173,EG$5+GanttPeriod-1&gt;=$E173),"━","")))</f>
        <v/>
      </c>
      <c r="EH173" s="69" t="str">
        <f aca="false">IF($E173="","",IF($M173,IF(AND($G173&gt;=EH$5,$G173&lt;EH$5+GanttPeriod),"◆",IF(AND($E173&gt;=EH$5,$E173&lt;EH$5+GanttPeriod),"◇","")),IF(AND(EH$5&lt;=$F173,EH$5+GanttPeriod-1&gt;=$E173),"━","")))</f>
        <v/>
      </c>
      <c r="EI173" s="69" t="str">
        <f aca="false">IF($E173="","",IF($M173,IF(AND($G173&gt;=EI$5,$G173&lt;EI$5+GanttPeriod),"◆",IF(AND($E173&gt;=EI$5,$E173&lt;EI$5+GanttPeriod),"◇","")),IF(AND(EI$5&lt;=$F173,EI$5+GanttPeriod-1&gt;=$E173),"━","")))</f>
        <v/>
      </c>
      <c r="EJ173" s="69" t="str">
        <f aca="false">IF($E173="","",IF($M173,IF(AND($G173&gt;=EJ$5,$G173&lt;EJ$5+GanttPeriod),"◆",IF(AND($E173&gt;=EJ$5,$E173&lt;EJ$5+GanttPeriod),"◇","")),IF(AND(EJ$5&lt;=$F173,EJ$5+GanttPeriod-1&gt;=$E173),"━","")))</f>
        <v/>
      </c>
      <c r="EK173" s="69" t="str">
        <f aca="false">IF($E173="","",IF($M173,IF(AND($G173&gt;=EK$5,$G173&lt;EK$5+GanttPeriod),"◆",IF(AND($E173&gt;=EK$5,$E173&lt;EK$5+GanttPeriod),"◇","")),IF(AND(EK$5&lt;=$F173,EK$5+GanttPeriod-1&gt;=$E173),"━","")))</f>
        <v/>
      </c>
      <c r="EL173" s="69" t="str">
        <f aca="false">IF($E173="","",IF($M173,IF(AND($G173&gt;=EL$5,$G173&lt;EL$5+GanttPeriod),"◆",IF(AND($E173&gt;=EL$5,$E173&lt;EL$5+GanttPeriod),"◇","")),IF(AND(EL$5&lt;=$F173,EL$5+GanttPeriod-1&gt;=$E173),"━","")))</f>
        <v/>
      </c>
      <c r="EM173" s="69" t="str">
        <f aca="false">IF($E173="","",IF($M173,IF(AND($G173&gt;=EM$5,$G173&lt;EM$5+GanttPeriod),"◆",IF(AND($E173&gt;=EM$5,$E173&lt;EM$5+GanttPeriod),"◇","")),IF(AND(EM$5&lt;=$F173,EM$5+GanttPeriod-1&gt;=$E173),"━","")))</f>
        <v/>
      </c>
      <c r="EN173" s="69" t="str">
        <f aca="false">IF($E173="","",IF($M173,IF(AND($G173&gt;=EN$5,$G173&lt;EN$5+GanttPeriod),"◆",IF(AND($E173&gt;=EN$5,$E173&lt;EN$5+GanttPeriod),"◇","")),IF(AND(EN$5&lt;=$F173,EN$5+GanttPeriod-1&gt;=$E173),"━","")))</f>
        <v/>
      </c>
      <c r="EO173" s="69" t="str">
        <f aca="false">IF($E173="","",IF($M173,IF(AND($G173&gt;=EO$5,$G173&lt;EO$5+GanttPeriod),"◆",IF(AND($E173&gt;=EO$5,$E173&lt;EO$5+GanttPeriod),"◇","")),IF(AND(EO$5&lt;=$F173,EO$5+GanttPeriod-1&gt;=$E173),"━","")))</f>
        <v/>
      </c>
      <c r="EP173" s="69" t="str">
        <f aca="false">IF($E173="","",IF($M173,IF(AND($G173&gt;=EP$5,$G173&lt;EP$5+GanttPeriod),"◆",IF(AND($E173&gt;=EP$5,$E173&lt;EP$5+GanttPeriod),"◇","")),IF(AND(EP$5&lt;=$F173,EP$5+GanttPeriod-1&gt;=$E173),"━","")))</f>
        <v/>
      </c>
      <c r="EQ173" s="69" t="str">
        <f aca="false">IF($E173="","",IF($M173,IF(AND($G173&gt;=EQ$5,$G173&lt;EQ$5+GanttPeriod),"◆",IF(AND($E173&gt;=EQ$5,$E173&lt;EQ$5+GanttPeriod),"◇","")),IF(AND(EQ$5&lt;=$F173,EQ$5+GanttPeriod-1&gt;=$E173),"━","")))</f>
        <v/>
      </c>
      <c r="ER173" s="69" t="str">
        <f aca="false">IF($E173="","",IF($M173,IF(AND($G173&gt;=ER$5,$G173&lt;ER$5+GanttPeriod),"◆",IF(AND($E173&gt;=ER$5,$E173&lt;ER$5+GanttPeriod),"◇","")),IF(AND(ER$5&lt;=$F173,ER$5+GanttPeriod-1&gt;=$E173),"━","")))</f>
        <v/>
      </c>
      <c r="ES173" s="69" t="str">
        <f aca="false">IF($E173="","",IF($M173,IF(AND($G173&gt;=ES$5,$G173&lt;ES$5+GanttPeriod),"◆",IF(AND($E173&gt;=ES$5,$E173&lt;ES$5+GanttPeriod),"◇","")),IF(AND(ES$5&lt;=$F173,ES$5+GanttPeriod-1&gt;=$E173),"━","")))</f>
        <v/>
      </c>
      <c r="ET173" s="69" t="str">
        <f aca="false">IF($E173="","",IF($M173,IF(AND($G173&gt;=ET$5,$G173&lt;ET$5+GanttPeriod),"◆",IF(AND($E173&gt;=ET$5,$E173&lt;ET$5+GanttPeriod),"◇","")),IF(AND(ET$5&lt;=$F173,ET$5+GanttPeriod-1&gt;=$E173),"━","")))</f>
        <v/>
      </c>
      <c r="EU173" s="69" t="str">
        <f aca="false">IF($E173="","",IF($M173,IF(AND($G173&gt;=EU$5,$G173&lt;EU$5+GanttPeriod),"◆",IF(AND($E173&gt;=EU$5,$E173&lt;EU$5+GanttPeriod),"◇","")),IF(AND(EU$5&lt;=$F173,EU$5+GanttPeriod-1&gt;=$E173),"━","")))</f>
        <v/>
      </c>
      <c r="EV173" s="69" t="str">
        <f aca="false">IF($E173="","",IF($M173,IF(AND($G173&gt;=EV$5,$G173&lt;EV$5+GanttPeriod),"◆",IF(AND($E173&gt;=EV$5,$E173&lt;EV$5+GanttPeriod),"◇","")),IF(AND(EV$5&lt;=$F173,EV$5+GanttPeriod-1&gt;=$E173),"━","")))</f>
        <v/>
      </c>
      <c r="EW173" s="69" t="str">
        <f aca="false">IF($E173="","",IF($M173,IF(AND($G173&gt;=EW$5,$G173&lt;EW$5+GanttPeriod),"◆",IF(AND($E173&gt;=EW$5,$E173&lt;EW$5+GanttPeriod),"◇","")),IF(AND(EW$5&lt;=$F173,EW$5+GanttPeriod-1&gt;=$E173),"━","")))</f>
        <v/>
      </c>
      <c r="EX173" s="69" t="str">
        <f aca="false">IF($E173="","",IF($M173,IF(AND($G173&gt;=EX$5,$G173&lt;EX$5+GanttPeriod),"◆",IF(AND($E173&gt;=EX$5,$E173&lt;EX$5+GanttPeriod),"◇","")),IF(AND(EX$5&lt;=$F173,EX$5+GanttPeriod-1&gt;=$E173),"━","")))</f>
        <v/>
      </c>
      <c r="EY173" s="69" t="str">
        <f aca="false">IF($E173="","",IF($M173,IF(AND($G173&gt;=EY$5,$G173&lt;EY$5+GanttPeriod),"◆",IF(AND($E173&gt;=EY$5,$E173&lt;EY$5+GanttPeriod),"◇","")),IF(AND(EY$5&lt;=$F173,EY$5+GanttPeriod-1&gt;=$E173),"━","")))</f>
        <v/>
      </c>
      <c r="EZ173" s="69" t="str">
        <f aca="false">IF($E173="","",IF($M173,IF(AND($G173&gt;=EZ$5,$G173&lt;EZ$5+GanttPeriod),"◆",IF(AND($E173&gt;=EZ$5,$E173&lt;EZ$5+GanttPeriod),"◇","")),IF(AND(EZ$5&lt;=$F173,EZ$5+GanttPeriod-1&gt;=$E173),"━","")))</f>
        <v/>
      </c>
      <c r="FA173" s="69" t="str">
        <f aca="false">IF($E173="","",IF($M173,IF(AND($G173&gt;=FA$5,$G173&lt;FA$5+GanttPeriod),"◆",IF(AND($E173&gt;=FA$5,$E173&lt;FA$5+GanttPeriod),"◇","")),IF(AND(FA$5&lt;=$F173,FA$5+GanttPeriod-1&gt;=$E173),"━","")))</f>
        <v/>
      </c>
      <c r="FB173" s="69" t="str">
        <f aca="false">IF($E173="","",IF($M173,IF(AND($G173&gt;=FB$5,$G173&lt;FB$5+GanttPeriod),"◆",IF(AND($E173&gt;=FB$5,$E173&lt;FB$5+GanttPeriod),"◇","")),IF(AND(FB$5&lt;=$F173,FB$5+GanttPeriod-1&gt;=$E173),"━","")))</f>
        <v/>
      </c>
      <c r="FC173" s="69" t="str">
        <f aca="false">IF($E173="","",IF($M173,IF(AND($G173&gt;=FC$5,$G173&lt;FC$5+GanttPeriod),"◆",IF(AND($E173&gt;=FC$5,$E173&lt;FC$5+GanttPeriod),"◇","")),IF(AND(FC$5&lt;=$F173,FC$5+GanttPeriod-1&gt;=$E173),"━","")))</f>
        <v/>
      </c>
      <c r="FD173" s="69" t="str">
        <f aca="false">IF($E173="","",IF($M173,IF(AND($G173&gt;=FD$5,$G173&lt;FD$5+GanttPeriod),"◆",IF(AND($E173&gt;=FD$5,$E173&lt;FD$5+GanttPeriod),"◇","")),IF(AND(FD$5&lt;=$F173,FD$5+GanttPeriod-1&gt;=$E173),"━","")))</f>
        <v/>
      </c>
      <c r="FE173" s="69" t="str">
        <f aca="false">IF($E173="","",IF($M173,IF(AND($G173&gt;=FE$5,$G173&lt;FE$5+GanttPeriod),"◆",IF(AND($E173&gt;=FE$5,$E173&lt;FE$5+GanttPeriod),"◇","")),IF(AND(FE$5&lt;=$F173,FE$5+GanttPeriod-1&gt;=$E173),"━","")))</f>
        <v/>
      </c>
      <c r="FF173" s="69" t="str">
        <f aca="false">IF($E173="","",IF($M173,IF(AND($G173&gt;=FF$5,$G173&lt;FF$5+GanttPeriod),"◆",IF(AND($E173&gt;=FF$5,$E173&lt;FF$5+GanttPeriod),"◇","")),IF(AND(FF$5&lt;=$F173,FF$5+GanttPeriod-1&gt;=$E173),"━","")))</f>
        <v/>
      </c>
      <c r="FG173" s="69" t="str">
        <f aca="false">IF($E173="","",IF($M173,IF(AND($G173&gt;=FG$5,$G173&lt;FG$5+GanttPeriod),"◆",IF(AND($E173&gt;=FG$5,$E173&lt;FG$5+GanttPeriod),"◇","")),IF(AND(FG$5&lt;=$F173,FG$5+GanttPeriod-1&gt;=$E173),"━","")))</f>
        <v/>
      </c>
      <c r="FH173" s="69" t="str">
        <f aca="false">IF($E173="","",IF($M173,IF(AND($G173&gt;=FH$5,$G173&lt;FH$5+GanttPeriod),"◆",IF(AND($E173&gt;=FH$5,$E173&lt;FH$5+GanttPeriod),"◇","")),IF(AND(FH$5&lt;=$F173,FH$5+GanttPeriod-1&gt;=$E173),"━","")))</f>
        <v/>
      </c>
      <c r="FI173" s="69" t="str">
        <f aca="false">IF($E173="","",IF($M173,IF(AND($G173&gt;=FI$5,$G173&lt;FI$5+GanttPeriod),"◆",IF(AND($E173&gt;=FI$5,$E173&lt;FI$5+GanttPeriod),"◇","")),IF(AND(FI$5&lt;=$F173,FI$5+GanttPeriod-1&gt;=$E173),"━","")))</f>
        <v/>
      </c>
      <c r="FJ173" s="69" t="str">
        <f aca="false">IF($E173="","",IF($M173,IF(AND($G173&gt;=FJ$5,$G173&lt;FJ$5+GanttPeriod),"◆",IF(AND($E173&gt;=FJ$5,$E173&lt;FJ$5+GanttPeriod),"◇","")),IF(AND(FJ$5&lt;=$F173,FJ$5+GanttPeriod-1&gt;=$E173),"━","")))</f>
        <v/>
      </c>
      <c r="FK173" s="69" t="str">
        <f aca="false">IF($E173="","",IF($M173,IF(AND($G173&gt;=FK$5,$G173&lt;FK$5+GanttPeriod),"◆",IF(AND($E173&gt;=FK$5,$E173&lt;FK$5+GanttPeriod),"◇","")),IF(AND(FK$5&lt;=$F173,FK$5+GanttPeriod-1&gt;=$E173),"━","")))</f>
        <v/>
      </c>
      <c r="FL173" s="69" t="str">
        <f aca="false">IF($E173="","",IF($M173,IF(AND($G173&gt;=FL$5,$G173&lt;FL$5+GanttPeriod),"◆",IF(AND($E173&gt;=FL$5,$E173&lt;FL$5+GanttPeriod),"◇","")),IF(AND(FL$5&lt;=$F173,FL$5+GanttPeriod-1&gt;=$E173),"━","")))</f>
        <v/>
      </c>
      <c r="FM173" s="69" t="str">
        <f aca="false">IF($E173="","",IF($M173,IF(AND($G173&gt;=FM$5,$G173&lt;FM$5+GanttPeriod),"◆",IF(AND($E173&gt;=FM$5,$E173&lt;FM$5+GanttPeriod),"◇","")),IF(AND(FM$5&lt;=$F173,FM$5+GanttPeriod-1&gt;=$E173),"━","")))</f>
        <v/>
      </c>
    </row>
    <row r="174" customFormat="false" ht="15" hidden="false" customHeight="false" outlineLevel="0" collapsed="false">
      <c r="A174" s="62" t="str">
        <f aca="false">IF(Tasks!$D174="","",Tasks!$A174)</f>
        <v/>
      </c>
      <c r="B174" s="62" t="str">
        <f aca="false">IF(Tasks!$D174="","",Tasks!$B174)</f>
        <v/>
      </c>
      <c r="C174" s="63" t="str">
        <f aca="false">IF(Tasks!$D174="","",REPT("    ",Tasks!$AE174-1)&amp;Tasks!$D174)</f>
        <v/>
      </c>
      <c r="D174" s="62" t="str">
        <f aca="false">IF(Tasks!$D174="","",IF(Tasks!$AI174,NETWORKDAYS.INTL(Tasks!$R174,Tasks!$S174,WorkWeek,Holidays),N(Tasks!$F174)))</f>
        <v/>
      </c>
      <c r="E174" s="64" t="str">
        <f aca="false">IF(Tasks!$D174="","",Tasks!$N174)</f>
        <v/>
      </c>
      <c r="F174" s="64" t="str">
        <f aca="false">IF(Tasks!$D174="","",Tasks!$O174)</f>
        <v/>
      </c>
      <c r="G174" s="64" t="str">
        <f aca="false">IF(Tasks!$D174="","",Tasks!$R174)</f>
        <v/>
      </c>
      <c r="H174" s="64" t="str">
        <f aca="false">IF(Tasks!$D174="","",Tasks!$S174)</f>
        <v/>
      </c>
      <c r="I174" s="65" t="str">
        <f aca="false">IF(Tasks!$D174="","",Tasks!$V174)</f>
        <v/>
      </c>
      <c r="J174" s="63" t="str">
        <f aca="false">IF(Tasks!$D174="","",Tasks!$X174&amp;"")</f>
        <v/>
      </c>
      <c r="K174" s="66" t="str">
        <f aca="false">IF(Tasks!$D174="","",Tasks!$W174)</f>
        <v/>
      </c>
      <c r="L174" s="67" t="b">
        <f aca="false">IF(Tasks!$D174="",FALSE(),Tasks!$AI174)</f>
        <v>0</v>
      </c>
      <c r="M174" s="67" t="b">
        <f aca="false">AND(Tasks!$AJ174=1,N(Tasks!$F174)=0)</f>
        <v>0</v>
      </c>
      <c r="N174" s="68" t="n">
        <f aca="false">IF(AND(Tasks!$AJ174=1,NOT($M174),N($I174)&gt;0),$G174,0)</f>
        <v>0</v>
      </c>
      <c r="O174" s="68" t="n">
        <f aca="false">IF($N174=0,0,IF($I174&gt;=1,$H174,MAX($N174,$G174+ROUND(($H174-$G174+1)*$I174,0)-1)))</f>
        <v>0</v>
      </c>
      <c r="P174" s="68" t="n">
        <f aca="false">IF(OR(Tasks!$AJ174&lt;&gt;1,$M174,N($I174)&gt;=1),0,IF($O174&gt;0,$O174+1,$G174))</f>
        <v>0</v>
      </c>
      <c r="Q174" s="68" t="n">
        <f aca="false">IF($P174=0,0,$H174)</f>
        <v>0</v>
      </c>
      <c r="R174" s="67" t="b">
        <f aca="false">AND(Tasks!$D174&lt;&gt;"",N(Tasks!$T174)&gt;0)</f>
        <v>0</v>
      </c>
      <c r="T174" s="69" t="str">
        <f aca="false">IF($E174="","",IF($M174,IF(AND($G174&gt;=T$5,$G174&lt;T$5+GanttPeriod),"◆",IF(AND($E174&gt;=T$5,$E174&lt;T$5+GanttPeriod),"◇","")),IF(AND(T$5&lt;=$F174,T$5+GanttPeriod-1&gt;=$E174),"━","")))</f>
        <v/>
      </c>
      <c r="U174" s="69" t="str">
        <f aca="false">IF($E174="","",IF($M174,IF(AND($G174&gt;=U$5,$G174&lt;U$5+GanttPeriod),"◆",IF(AND($E174&gt;=U$5,$E174&lt;U$5+GanttPeriod),"◇","")),IF(AND(U$5&lt;=$F174,U$5+GanttPeriod-1&gt;=$E174),"━","")))</f>
        <v/>
      </c>
      <c r="V174" s="69" t="str">
        <f aca="false">IF($E174="","",IF($M174,IF(AND($G174&gt;=V$5,$G174&lt;V$5+GanttPeriod),"◆",IF(AND($E174&gt;=V$5,$E174&lt;V$5+GanttPeriod),"◇","")),IF(AND(V$5&lt;=$F174,V$5+GanttPeriod-1&gt;=$E174),"━","")))</f>
        <v/>
      </c>
      <c r="W174" s="69" t="str">
        <f aca="false">IF($E174="","",IF($M174,IF(AND($G174&gt;=W$5,$G174&lt;W$5+GanttPeriod),"◆",IF(AND($E174&gt;=W$5,$E174&lt;W$5+GanttPeriod),"◇","")),IF(AND(W$5&lt;=$F174,W$5+GanttPeriod-1&gt;=$E174),"━","")))</f>
        <v/>
      </c>
      <c r="X174" s="69" t="str">
        <f aca="false">IF($E174="","",IF($M174,IF(AND($G174&gt;=X$5,$G174&lt;X$5+GanttPeriod),"◆",IF(AND($E174&gt;=X$5,$E174&lt;X$5+GanttPeriod),"◇","")),IF(AND(X$5&lt;=$F174,X$5+GanttPeriod-1&gt;=$E174),"━","")))</f>
        <v/>
      </c>
      <c r="Y174" s="69" t="str">
        <f aca="false">IF($E174="","",IF($M174,IF(AND($G174&gt;=Y$5,$G174&lt;Y$5+GanttPeriod),"◆",IF(AND($E174&gt;=Y$5,$E174&lt;Y$5+GanttPeriod),"◇","")),IF(AND(Y$5&lt;=$F174,Y$5+GanttPeriod-1&gt;=$E174),"━","")))</f>
        <v/>
      </c>
      <c r="Z174" s="69" t="str">
        <f aca="false">IF($E174="","",IF($M174,IF(AND($G174&gt;=Z$5,$G174&lt;Z$5+GanttPeriod),"◆",IF(AND($E174&gt;=Z$5,$E174&lt;Z$5+GanttPeriod),"◇","")),IF(AND(Z$5&lt;=$F174,Z$5+GanttPeriod-1&gt;=$E174),"━","")))</f>
        <v/>
      </c>
      <c r="AA174" s="69" t="str">
        <f aca="false">IF($E174="","",IF($M174,IF(AND($G174&gt;=AA$5,$G174&lt;AA$5+GanttPeriod),"◆",IF(AND($E174&gt;=AA$5,$E174&lt;AA$5+GanttPeriod),"◇","")),IF(AND(AA$5&lt;=$F174,AA$5+GanttPeriod-1&gt;=$E174),"━","")))</f>
        <v/>
      </c>
      <c r="AB174" s="69" t="str">
        <f aca="false">IF($E174="","",IF($M174,IF(AND($G174&gt;=AB$5,$G174&lt;AB$5+GanttPeriod),"◆",IF(AND($E174&gt;=AB$5,$E174&lt;AB$5+GanttPeriod),"◇","")),IF(AND(AB$5&lt;=$F174,AB$5+GanttPeriod-1&gt;=$E174),"━","")))</f>
        <v/>
      </c>
      <c r="AC174" s="69" t="str">
        <f aca="false">IF($E174="","",IF($M174,IF(AND($G174&gt;=AC$5,$G174&lt;AC$5+GanttPeriod),"◆",IF(AND($E174&gt;=AC$5,$E174&lt;AC$5+GanttPeriod),"◇","")),IF(AND(AC$5&lt;=$F174,AC$5+GanttPeriod-1&gt;=$E174),"━","")))</f>
        <v/>
      </c>
      <c r="AD174" s="69" t="str">
        <f aca="false">IF($E174="","",IF($M174,IF(AND($G174&gt;=AD$5,$G174&lt;AD$5+GanttPeriod),"◆",IF(AND($E174&gt;=AD$5,$E174&lt;AD$5+GanttPeriod),"◇","")),IF(AND(AD$5&lt;=$F174,AD$5+GanttPeriod-1&gt;=$E174),"━","")))</f>
        <v/>
      </c>
      <c r="AE174" s="69" t="str">
        <f aca="false">IF($E174="","",IF($M174,IF(AND($G174&gt;=AE$5,$G174&lt;AE$5+GanttPeriod),"◆",IF(AND($E174&gt;=AE$5,$E174&lt;AE$5+GanttPeriod),"◇","")),IF(AND(AE$5&lt;=$F174,AE$5+GanttPeriod-1&gt;=$E174),"━","")))</f>
        <v/>
      </c>
      <c r="AF174" s="69" t="str">
        <f aca="false">IF($E174="","",IF($M174,IF(AND($G174&gt;=AF$5,$G174&lt;AF$5+GanttPeriod),"◆",IF(AND($E174&gt;=AF$5,$E174&lt;AF$5+GanttPeriod),"◇","")),IF(AND(AF$5&lt;=$F174,AF$5+GanttPeriod-1&gt;=$E174),"━","")))</f>
        <v/>
      </c>
      <c r="AG174" s="69" t="str">
        <f aca="false">IF($E174="","",IF($M174,IF(AND($G174&gt;=AG$5,$G174&lt;AG$5+GanttPeriod),"◆",IF(AND($E174&gt;=AG$5,$E174&lt;AG$5+GanttPeriod),"◇","")),IF(AND(AG$5&lt;=$F174,AG$5+GanttPeriod-1&gt;=$E174),"━","")))</f>
        <v/>
      </c>
      <c r="AH174" s="69" t="str">
        <f aca="false">IF($E174="","",IF($M174,IF(AND($G174&gt;=AH$5,$G174&lt;AH$5+GanttPeriod),"◆",IF(AND($E174&gt;=AH$5,$E174&lt;AH$5+GanttPeriod),"◇","")),IF(AND(AH$5&lt;=$F174,AH$5+GanttPeriod-1&gt;=$E174),"━","")))</f>
        <v/>
      </c>
      <c r="AI174" s="69" t="str">
        <f aca="false">IF($E174="","",IF($M174,IF(AND($G174&gt;=AI$5,$G174&lt;AI$5+GanttPeriod),"◆",IF(AND($E174&gt;=AI$5,$E174&lt;AI$5+GanttPeriod),"◇","")),IF(AND(AI$5&lt;=$F174,AI$5+GanttPeriod-1&gt;=$E174),"━","")))</f>
        <v/>
      </c>
      <c r="AJ174" s="69" t="str">
        <f aca="false">IF($E174="","",IF($M174,IF(AND($G174&gt;=AJ$5,$G174&lt;AJ$5+GanttPeriod),"◆",IF(AND($E174&gt;=AJ$5,$E174&lt;AJ$5+GanttPeriod),"◇","")),IF(AND(AJ$5&lt;=$F174,AJ$5+GanttPeriod-1&gt;=$E174),"━","")))</f>
        <v/>
      </c>
      <c r="AK174" s="69" t="str">
        <f aca="false">IF($E174="","",IF($M174,IF(AND($G174&gt;=AK$5,$G174&lt;AK$5+GanttPeriod),"◆",IF(AND($E174&gt;=AK$5,$E174&lt;AK$5+GanttPeriod),"◇","")),IF(AND(AK$5&lt;=$F174,AK$5+GanttPeriod-1&gt;=$E174),"━","")))</f>
        <v/>
      </c>
      <c r="AL174" s="69" t="str">
        <f aca="false">IF($E174="","",IF($M174,IF(AND($G174&gt;=AL$5,$G174&lt;AL$5+GanttPeriod),"◆",IF(AND($E174&gt;=AL$5,$E174&lt;AL$5+GanttPeriod),"◇","")),IF(AND(AL$5&lt;=$F174,AL$5+GanttPeriod-1&gt;=$E174),"━","")))</f>
        <v/>
      </c>
      <c r="AM174" s="69" t="str">
        <f aca="false">IF($E174="","",IF($M174,IF(AND($G174&gt;=AM$5,$G174&lt;AM$5+GanttPeriod),"◆",IF(AND($E174&gt;=AM$5,$E174&lt;AM$5+GanttPeriod),"◇","")),IF(AND(AM$5&lt;=$F174,AM$5+GanttPeriod-1&gt;=$E174),"━","")))</f>
        <v/>
      </c>
      <c r="AN174" s="69" t="str">
        <f aca="false">IF($E174="","",IF($M174,IF(AND($G174&gt;=AN$5,$G174&lt;AN$5+GanttPeriod),"◆",IF(AND($E174&gt;=AN$5,$E174&lt;AN$5+GanttPeriod),"◇","")),IF(AND(AN$5&lt;=$F174,AN$5+GanttPeriod-1&gt;=$E174),"━","")))</f>
        <v/>
      </c>
      <c r="AO174" s="69" t="str">
        <f aca="false">IF($E174="","",IF($M174,IF(AND($G174&gt;=AO$5,$G174&lt;AO$5+GanttPeriod),"◆",IF(AND($E174&gt;=AO$5,$E174&lt;AO$5+GanttPeriod),"◇","")),IF(AND(AO$5&lt;=$F174,AO$5+GanttPeriod-1&gt;=$E174),"━","")))</f>
        <v/>
      </c>
      <c r="AP174" s="69" t="str">
        <f aca="false">IF($E174="","",IF($M174,IF(AND($G174&gt;=AP$5,$G174&lt;AP$5+GanttPeriod),"◆",IF(AND($E174&gt;=AP$5,$E174&lt;AP$5+GanttPeriod),"◇","")),IF(AND(AP$5&lt;=$F174,AP$5+GanttPeriod-1&gt;=$E174),"━","")))</f>
        <v/>
      </c>
      <c r="AQ174" s="69" t="str">
        <f aca="false">IF($E174="","",IF($M174,IF(AND($G174&gt;=AQ$5,$G174&lt;AQ$5+GanttPeriod),"◆",IF(AND($E174&gt;=AQ$5,$E174&lt;AQ$5+GanttPeriod),"◇","")),IF(AND(AQ$5&lt;=$F174,AQ$5+GanttPeriod-1&gt;=$E174),"━","")))</f>
        <v/>
      </c>
      <c r="AR174" s="69" t="str">
        <f aca="false">IF($E174="","",IF($M174,IF(AND($G174&gt;=AR$5,$G174&lt;AR$5+GanttPeriod),"◆",IF(AND($E174&gt;=AR$5,$E174&lt;AR$5+GanttPeriod),"◇","")),IF(AND(AR$5&lt;=$F174,AR$5+GanttPeriod-1&gt;=$E174),"━","")))</f>
        <v/>
      </c>
      <c r="AS174" s="69" t="str">
        <f aca="false">IF($E174="","",IF($M174,IF(AND($G174&gt;=AS$5,$G174&lt;AS$5+GanttPeriod),"◆",IF(AND($E174&gt;=AS$5,$E174&lt;AS$5+GanttPeriod),"◇","")),IF(AND(AS$5&lt;=$F174,AS$5+GanttPeriod-1&gt;=$E174),"━","")))</f>
        <v/>
      </c>
      <c r="AT174" s="69" t="str">
        <f aca="false">IF($E174="","",IF($M174,IF(AND($G174&gt;=AT$5,$G174&lt;AT$5+GanttPeriod),"◆",IF(AND($E174&gt;=AT$5,$E174&lt;AT$5+GanttPeriod),"◇","")),IF(AND(AT$5&lt;=$F174,AT$5+GanttPeriod-1&gt;=$E174),"━","")))</f>
        <v/>
      </c>
      <c r="AU174" s="69" t="str">
        <f aca="false">IF($E174="","",IF($M174,IF(AND($G174&gt;=AU$5,$G174&lt;AU$5+GanttPeriod),"◆",IF(AND($E174&gt;=AU$5,$E174&lt;AU$5+GanttPeriod),"◇","")),IF(AND(AU$5&lt;=$F174,AU$5+GanttPeriod-1&gt;=$E174),"━","")))</f>
        <v/>
      </c>
      <c r="AV174" s="69" t="str">
        <f aca="false">IF($E174="","",IF($M174,IF(AND($G174&gt;=AV$5,$G174&lt;AV$5+GanttPeriod),"◆",IF(AND($E174&gt;=AV$5,$E174&lt;AV$5+GanttPeriod),"◇","")),IF(AND(AV$5&lt;=$F174,AV$5+GanttPeriod-1&gt;=$E174),"━","")))</f>
        <v/>
      </c>
      <c r="AW174" s="69" t="str">
        <f aca="false">IF($E174="","",IF($M174,IF(AND($G174&gt;=AW$5,$G174&lt;AW$5+GanttPeriod),"◆",IF(AND($E174&gt;=AW$5,$E174&lt;AW$5+GanttPeriod),"◇","")),IF(AND(AW$5&lt;=$F174,AW$5+GanttPeriod-1&gt;=$E174),"━","")))</f>
        <v/>
      </c>
      <c r="AX174" s="69" t="str">
        <f aca="false">IF($E174="","",IF($M174,IF(AND($G174&gt;=AX$5,$G174&lt;AX$5+GanttPeriod),"◆",IF(AND($E174&gt;=AX$5,$E174&lt;AX$5+GanttPeriod),"◇","")),IF(AND(AX$5&lt;=$F174,AX$5+GanttPeriod-1&gt;=$E174),"━","")))</f>
        <v/>
      </c>
      <c r="AY174" s="69" t="str">
        <f aca="false">IF($E174="","",IF($M174,IF(AND($G174&gt;=AY$5,$G174&lt;AY$5+GanttPeriod),"◆",IF(AND($E174&gt;=AY$5,$E174&lt;AY$5+GanttPeriod),"◇","")),IF(AND(AY$5&lt;=$F174,AY$5+GanttPeriod-1&gt;=$E174),"━","")))</f>
        <v/>
      </c>
      <c r="AZ174" s="69" t="str">
        <f aca="false">IF($E174="","",IF($M174,IF(AND($G174&gt;=AZ$5,$G174&lt;AZ$5+GanttPeriod),"◆",IF(AND($E174&gt;=AZ$5,$E174&lt;AZ$5+GanttPeriod),"◇","")),IF(AND(AZ$5&lt;=$F174,AZ$5+GanttPeriod-1&gt;=$E174),"━","")))</f>
        <v/>
      </c>
      <c r="BA174" s="69" t="str">
        <f aca="false">IF($E174="","",IF($M174,IF(AND($G174&gt;=BA$5,$G174&lt;BA$5+GanttPeriod),"◆",IF(AND($E174&gt;=BA$5,$E174&lt;BA$5+GanttPeriod),"◇","")),IF(AND(BA$5&lt;=$F174,BA$5+GanttPeriod-1&gt;=$E174),"━","")))</f>
        <v/>
      </c>
      <c r="BB174" s="69" t="str">
        <f aca="false">IF($E174="","",IF($M174,IF(AND($G174&gt;=BB$5,$G174&lt;BB$5+GanttPeriod),"◆",IF(AND($E174&gt;=BB$5,$E174&lt;BB$5+GanttPeriod),"◇","")),IF(AND(BB$5&lt;=$F174,BB$5+GanttPeriod-1&gt;=$E174),"━","")))</f>
        <v/>
      </c>
      <c r="BC174" s="69" t="str">
        <f aca="false">IF($E174="","",IF($M174,IF(AND($G174&gt;=BC$5,$G174&lt;BC$5+GanttPeriod),"◆",IF(AND($E174&gt;=BC$5,$E174&lt;BC$5+GanttPeriod),"◇","")),IF(AND(BC$5&lt;=$F174,BC$5+GanttPeriod-1&gt;=$E174),"━","")))</f>
        <v/>
      </c>
      <c r="BD174" s="69" t="str">
        <f aca="false">IF($E174="","",IF($M174,IF(AND($G174&gt;=BD$5,$G174&lt;BD$5+GanttPeriod),"◆",IF(AND($E174&gt;=BD$5,$E174&lt;BD$5+GanttPeriod),"◇","")),IF(AND(BD$5&lt;=$F174,BD$5+GanttPeriod-1&gt;=$E174),"━","")))</f>
        <v/>
      </c>
      <c r="BE174" s="69" t="str">
        <f aca="false">IF($E174="","",IF($M174,IF(AND($G174&gt;=BE$5,$G174&lt;BE$5+GanttPeriod),"◆",IF(AND($E174&gt;=BE$5,$E174&lt;BE$5+GanttPeriod),"◇","")),IF(AND(BE$5&lt;=$F174,BE$5+GanttPeriod-1&gt;=$E174),"━","")))</f>
        <v/>
      </c>
      <c r="BF174" s="69" t="str">
        <f aca="false">IF($E174="","",IF($M174,IF(AND($G174&gt;=BF$5,$G174&lt;BF$5+GanttPeriod),"◆",IF(AND($E174&gt;=BF$5,$E174&lt;BF$5+GanttPeriod),"◇","")),IF(AND(BF$5&lt;=$F174,BF$5+GanttPeriod-1&gt;=$E174),"━","")))</f>
        <v/>
      </c>
      <c r="BG174" s="69" t="str">
        <f aca="false">IF($E174="","",IF($M174,IF(AND($G174&gt;=BG$5,$G174&lt;BG$5+GanttPeriod),"◆",IF(AND($E174&gt;=BG$5,$E174&lt;BG$5+GanttPeriod),"◇","")),IF(AND(BG$5&lt;=$F174,BG$5+GanttPeriod-1&gt;=$E174),"━","")))</f>
        <v/>
      </c>
      <c r="BH174" s="69" t="str">
        <f aca="false">IF($E174="","",IF($M174,IF(AND($G174&gt;=BH$5,$G174&lt;BH$5+GanttPeriod),"◆",IF(AND($E174&gt;=BH$5,$E174&lt;BH$5+GanttPeriod),"◇","")),IF(AND(BH$5&lt;=$F174,BH$5+GanttPeriod-1&gt;=$E174),"━","")))</f>
        <v/>
      </c>
      <c r="BI174" s="69" t="str">
        <f aca="false">IF($E174="","",IF($M174,IF(AND($G174&gt;=BI$5,$G174&lt;BI$5+GanttPeriod),"◆",IF(AND($E174&gt;=BI$5,$E174&lt;BI$5+GanttPeriod),"◇","")),IF(AND(BI$5&lt;=$F174,BI$5+GanttPeriod-1&gt;=$E174),"━","")))</f>
        <v/>
      </c>
      <c r="BJ174" s="69" t="str">
        <f aca="false">IF($E174="","",IF($M174,IF(AND($G174&gt;=BJ$5,$G174&lt;BJ$5+GanttPeriod),"◆",IF(AND($E174&gt;=BJ$5,$E174&lt;BJ$5+GanttPeriod),"◇","")),IF(AND(BJ$5&lt;=$F174,BJ$5+GanttPeriod-1&gt;=$E174),"━","")))</f>
        <v/>
      </c>
      <c r="BK174" s="69" t="str">
        <f aca="false">IF($E174="","",IF($M174,IF(AND($G174&gt;=BK$5,$G174&lt;BK$5+GanttPeriod),"◆",IF(AND($E174&gt;=BK$5,$E174&lt;BK$5+GanttPeriod),"◇","")),IF(AND(BK$5&lt;=$F174,BK$5+GanttPeriod-1&gt;=$E174),"━","")))</f>
        <v/>
      </c>
      <c r="BL174" s="69" t="str">
        <f aca="false">IF($E174="","",IF($M174,IF(AND($G174&gt;=BL$5,$G174&lt;BL$5+GanttPeriod),"◆",IF(AND($E174&gt;=BL$5,$E174&lt;BL$5+GanttPeriod),"◇","")),IF(AND(BL$5&lt;=$F174,BL$5+GanttPeriod-1&gt;=$E174),"━","")))</f>
        <v/>
      </c>
      <c r="BM174" s="69" t="str">
        <f aca="false">IF($E174="","",IF($M174,IF(AND($G174&gt;=BM$5,$G174&lt;BM$5+GanttPeriod),"◆",IF(AND($E174&gt;=BM$5,$E174&lt;BM$5+GanttPeriod),"◇","")),IF(AND(BM$5&lt;=$F174,BM$5+GanttPeriod-1&gt;=$E174),"━","")))</f>
        <v/>
      </c>
      <c r="BN174" s="69" t="str">
        <f aca="false">IF($E174="","",IF($M174,IF(AND($G174&gt;=BN$5,$G174&lt;BN$5+GanttPeriod),"◆",IF(AND($E174&gt;=BN$5,$E174&lt;BN$5+GanttPeriod),"◇","")),IF(AND(BN$5&lt;=$F174,BN$5+GanttPeriod-1&gt;=$E174),"━","")))</f>
        <v/>
      </c>
      <c r="BO174" s="69" t="str">
        <f aca="false">IF($E174="","",IF($M174,IF(AND($G174&gt;=BO$5,$G174&lt;BO$5+GanttPeriod),"◆",IF(AND($E174&gt;=BO$5,$E174&lt;BO$5+GanttPeriod),"◇","")),IF(AND(BO$5&lt;=$F174,BO$5+GanttPeriod-1&gt;=$E174),"━","")))</f>
        <v/>
      </c>
      <c r="BP174" s="69" t="str">
        <f aca="false">IF($E174="","",IF($M174,IF(AND($G174&gt;=BP$5,$G174&lt;BP$5+GanttPeriod),"◆",IF(AND($E174&gt;=BP$5,$E174&lt;BP$5+GanttPeriod),"◇","")),IF(AND(BP$5&lt;=$F174,BP$5+GanttPeriod-1&gt;=$E174),"━","")))</f>
        <v/>
      </c>
      <c r="BQ174" s="69" t="str">
        <f aca="false">IF($E174="","",IF($M174,IF(AND($G174&gt;=BQ$5,$G174&lt;BQ$5+GanttPeriod),"◆",IF(AND($E174&gt;=BQ$5,$E174&lt;BQ$5+GanttPeriod),"◇","")),IF(AND(BQ$5&lt;=$F174,BQ$5+GanttPeriod-1&gt;=$E174),"━","")))</f>
        <v/>
      </c>
      <c r="BR174" s="69" t="str">
        <f aca="false">IF($E174="","",IF($M174,IF(AND($G174&gt;=BR$5,$G174&lt;BR$5+GanttPeriod),"◆",IF(AND($E174&gt;=BR$5,$E174&lt;BR$5+GanttPeriod),"◇","")),IF(AND(BR$5&lt;=$F174,BR$5+GanttPeriod-1&gt;=$E174),"━","")))</f>
        <v/>
      </c>
      <c r="BS174" s="69" t="str">
        <f aca="false">IF($E174="","",IF($M174,IF(AND($G174&gt;=BS$5,$G174&lt;BS$5+GanttPeriod),"◆",IF(AND($E174&gt;=BS$5,$E174&lt;BS$5+GanttPeriod),"◇","")),IF(AND(BS$5&lt;=$F174,BS$5+GanttPeriod-1&gt;=$E174),"━","")))</f>
        <v/>
      </c>
      <c r="BT174" s="69" t="str">
        <f aca="false">IF($E174="","",IF($M174,IF(AND($G174&gt;=BT$5,$G174&lt;BT$5+GanttPeriod),"◆",IF(AND($E174&gt;=BT$5,$E174&lt;BT$5+GanttPeriod),"◇","")),IF(AND(BT$5&lt;=$F174,BT$5+GanttPeriod-1&gt;=$E174),"━","")))</f>
        <v/>
      </c>
      <c r="BU174" s="69" t="str">
        <f aca="false">IF($E174="","",IF($M174,IF(AND($G174&gt;=BU$5,$G174&lt;BU$5+GanttPeriod),"◆",IF(AND($E174&gt;=BU$5,$E174&lt;BU$5+GanttPeriod),"◇","")),IF(AND(BU$5&lt;=$F174,BU$5+GanttPeriod-1&gt;=$E174),"━","")))</f>
        <v/>
      </c>
      <c r="BV174" s="69" t="str">
        <f aca="false">IF($E174="","",IF($M174,IF(AND($G174&gt;=BV$5,$G174&lt;BV$5+GanttPeriod),"◆",IF(AND($E174&gt;=BV$5,$E174&lt;BV$5+GanttPeriod),"◇","")),IF(AND(BV$5&lt;=$F174,BV$5+GanttPeriod-1&gt;=$E174),"━","")))</f>
        <v/>
      </c>
      <c r="BW174" s="69" t="str">
        <f aca="false">IF($E174="","",IF($M174,IF(AND($G174&gt;=BW$5,$G174&lt;BW$5+GanttPeriod),"◆",IF(AND($E174&gt;=BW$5,$E174&lt;BW$5+GanttPeriod),"◇","")),IF(AND(BW$5&lt;=$F174,BW$5+GanttPeriod-1&gt;=$E174),"━","")))</f>
        <v/>
      </c>
      <c r="BX174" s="69" t="str">
        <f aca="false">IF($E174="","",IF($M174,IF(AND($G174&gt;=BX$5,$G174&lt;BX$5+GanttPeriod),"◆",IF(AND($E174&gt;=BX$5,$E174&lt;BX$5+GanttPeriod),"◇","")),IF(AND(BX$5&lt;=$F174,BX$5+GanttPeriod-1&gt;=$E174),"━","")))</f>
        <v/>
      </c>
      <c r="BY174" s="69" t="str">
        <f aca="false">IF($E174="","",IF($M174,IF(AND($G174&gt;=BY$5,$G174&lt;BY$5+GanttPeriod),"◆",IF(AND($E174&gt;=BY$5,$E174&lt;BY$5+GanttPeriod),"◇","")),IF(AND(BY$5&lt;=$F174,BY$5+GanttPeriod-1&gt;=$E174),"━","")))</f>
        <v/>
      </c>
      <c r="BZ174" s="69" t="str">
        <f aca="false">IF($E174="","",IF($M174,IF(AND($G174&gt;=BZ$5,$G174&lt;BZ$5+GanttPeriod),"◆",IF(AND($E174&gt;=BZ$5,$E174&lt;BZ$5+GanttPeriod),"◇","")),IF(AND(BZ$5&lt;=$F174,BZ$5+GanttPeriod-1&gt;=$E174),"━","")))</f>
        <v/>
      </c>
      <c r="CA174" s="69" t="str">
        <f aca="false">IF($E174="","",IF($M174,IF(AND($G174&gt;=CA$5,$G174&lt;CA$5+GanttPeriod),"◆",IF(AND($E174&gt;=CA$5,$E174&lt;CA$5+GanttPeriod),"◇","")),IF(AND(CA$5&lt;=$F174,CA$5+GanttPeriod-1&gt;=$E174),"━","")))</f>
        <v/>
      </c>
      <c r="CB174" s="69" t="str">
        <f aca="false">IF($E174="","",IF($M174,IF(AND($G174&gt;=CB$5,$G174&lt;CB$5+GanttPeriod),"◆",IF(AND($E174&gt;=CB$5,$E174&lt;CB$5+GanttPeriod),"◇","")),IF(AND(CB$5&lt;=$F174,CB$5+GanttPeriod-1&gt;=$E174),"━","")))</f>
        <v/>
      </c>
      <c r="CC174" s="69" t="str">
        <f aca="false">IF($E174="","",IF($M174,IF(AND($G174&gt;=CC$5,$G174&lt;CC$5+GanttPeriod),"◆",IF(AND($E174&gt;=CC$5,$E174&lt;CC$5+GanttPeriod),"◇","")),IF(AND(CC$5&lt;=$F174,CC$5+GanttPeriod-1&gt;=$E174),"━","")))</f>
        <v/>
      </c>
      <c r="CD174" s="69" t="str">
        <f aca="false">IF($E174="","",IF($M174,IF(AND($G174&gt;=CD$5,$G174&lt;CD$5+GanttPeriod),"◆",IF(AND($E174&gt;=CD$5,$E174&lt;CD$5+GanttPeriod),"◇","")),IF(AND(CD$5&lt;=$F174,CD$5+GanttPeriod-1&gt;=$E174),"━","")))</f>
        <v/>
      </c>
      <c r="CE174" s="69" t="str">
        <f aca="false">IF($E174="","",IF($M174,IF(AND($G174&gt;=CE$5,$G174&lt;CE$5+GanttPeriod),"◆",IF(AND($E174&gt;=CE$5,$E174&lt;CE$5+GanttPeriod),"◇","")),IF(AND(CE$5&lt;=$F174,CE$5+GanttPeriod-1&gt;=$E174),"━","")))</f>
        <v/>
      </c>
      <c r="CF174" s="69" t="str">
        <f aca="false">IF($E174="","",IF($M174,IF(AND($G174&gt;=CF$5,$G174&lt;CF$5+GanttPeriod),"◆",IF(AND($E174&gt;=CF$5,$E174&lt;CF$5+GanttPeriod),"◇","")),IF(AND(CF$5&lt;=$F174,CF$5+GanttPeriod-1&gt;=$E174),"━","")))</f>
        <v/>
      </c>
      <c r="CG174" s="69" t="str">
        <f aca="false">IF($E174="","",IF($M174,IF(AND($G174&gt;=CG$5,$G174&lt;CG$5+GanttPeriod),"◆",IF(AND($E174&gt;=CG$5,$E174&lt;CG$5+GanttPeriod),"◇","")),IF(AND(CG$5&lt;=$F174,CG$5+GanttPeriod-1&gt;=$E174),"━","")))</f>
        <v/>
      </c>
      <c r="CH174" s="69" t="str">
        <f aca="false">IF($E174="","",IF($M174,IF(AND($G174&gt;=CH$5,$G174&lt;CH$5+GanttPeriod),"◆",IF(AND($E174&gt;=CH$5,$E174&lt;CH$5+GanttPeriod),"◇","")),IF(AND(CH$5&lt;=$F174,CH$5+GanttPeriod-1&gt;=$E174),"━","")))</f>
        <v/>
      </c>
      <c r="CI174" s="69" t="str">
        <f aca="false">IF($E174="","",IF($M174,IF(AND($G174&gt;=CI$5,$G174&lt;CI$5+GanttPeriod),"◆",IF(AND($E174&gt;=CI$5,$E174&lt;CI$5+GanttPeriod),"◇","")),IF(AND(CI$5&lt;=$F174,CI$5+GanttPeriod-1&gt;=$E174),"━","")))</f>
        <v/>
      </c>
      <c r="CJ174" s="69" t="str">
        <f aca="false">IF($E174="","",IF($M174,IF(AND($G174&gt;=CJ$5,$G174&lt;CJ$5+GanttPeriod),"◆",IF(AND($E174&gt;=CJ$5,$E174&lt;CJ$5+GanttPeriod),"◇","")),IF(AND(CJ$5&lt;=$F174,CJ$5+GanttPeriod-1&gt;=$E174),"━","")))</f>
        <v/>
      </c>
      <c r="CK174" s="69" t="str">
        <f aca="false">IF($E174="","",IF($M174,IF(AND($G174&gt;=CK$5,$G174&lt;CK$5+GanttPeriod),"◆",IF(AND($E174&gt;=CK$5,$E174&lt;CK$5+GanttPeriod),"◇","")),IF(AND(CK$5&lt;=$F174,CK$5+GanttPeriod-1&gt;=$E174),"━","")))</f>
        <v/>
      </c>
      <c r="CL174" s="69" t="str">
        <f aca="false">IF($E174="","",IF($M174,IF(AND($G174&gt;=CL$5,$G174&lt;CL$5+GanttPeriod),"◆",IF(AND($E174&gt;=CL$5,$E174&lt;CL$5+GanttPeriod),"◇","")),IF(AND(CL$5&lt;=$F174,CL$5+GanttPeriod-1&gt;=$E174),"━","")))</f>
        <v/>
      </c>
      <c r="CM174" s="69" t="str">
        <f aca="false">IF($E174="","",IF($M174,IF(AND($G174&gt;=CM$5,$G174&lt;CM$5+GanttPeriod),"◆",IF(AND($E174&gt;=CM$5,$E174&lt;CM$5+GanttPeriod),"◇","")),IF(AND(CM$5&lt;=$F174,CM$5+GanttPeriod-1&gt;=$E174),"━","")))</f>
        <v/>
      </c>
      <c r="CN174" s="69" t="str">
        <f aca="false">IF($E174="","",IF($M174,IF(AND($G174&gt;=CN$5,$G174&lt;CN$5+GanttPeriod),"◆",IF(AND($E174&gt;=CN$5,$E174&lt;CN$5+GanttPeriod),"◇","")),IF(AND(CN$5&lt;=$F174,CN$5+GanttPeriod-1&gt;=$E174),"━","")))</f>
        <v/>
      </c>
      <c r="CO174" s="69" t="str">
        <f aca="false">IF($E174="","",IF($M174,IF(AND($G174&gt;=CO$5,$G174&lt;CO$5+GanttPeriod),"◆",IF(AND($E174&gt;=CO$5,$E174&lt;CO$5+GanttPeriod),"◇","")),IF(AND(CO$5&lt;=$F174,CO$5+GanttPeriod-1&gt;=$E174),"━","")))</f>
        <v/>
      </c>
      <c r="CP174" s="69" t="str">
        <f aca="false">IF($E174="","",IF($M174,IF(AND($G174&gt;=CP$5,$G174&lt;CP$5+GanttPeriod),"◆",IF(AND($E174&gt;=CP$5,$E174&lt;CP$5+GanttPeriod),"◇","")),IF(AND(CP$5&lt;=$F174,CP$5+GanttPeriod-1&gt;=$E174),"━","")))</f>
        <v/>
      </c>
      <c r="CQ174" s="69" t="str">
        <f aca="false">IF($E174="","",IF($M174,IF(AND($G174&gt;=CQ$5,$G174&lt;CQ$5+GanttPeriod),"◆",IF(AND($E174&gt;=CQ$5,$E174&lt;CQ$5+GanttPeriod),"◇","")),IF(AND(CQ$5&lt;=$F174,CQ$5+GanttPeriod-1&gt;=$E174),"━","")))</f>
        <v/>
      </c>
      <c r="CR174" s="69" t="str">
        <f aca="false">IF($E174="","",IF($M174,IF(AND($G174&gt;=CR$5,$G174&lt;CR$5+GanttPeriod),"◆",IF(AND($E174&gt;=CR$5,$E174&lt;CR$5+GanttPeriod),"◇","")),IF(AND(CR$5&lt;=$F174,CR$5+GanttPeriod-1&gt;=$E174),"━","")))</f>
        <v/>
      </c>
      <c r="CS174" s="69" t="str">
        <f aca="false">IF($E174="","",IF($M174,IF(AND($G174&gt;=CS$5,$G174&lt;CS$5+GanttPeriod),"◆",IF(AND($E174&gt;=CS$5,$E174&lt;CS$5+GanttPeriod),"◇","")),IF(AND(CS$5&lt;=$F174,CS$5+GanttPeriod-1&gt;=$E174),"━","")))</f>
        <v/>
      </c>
      <c r="CT174" s="69" t="str">
        <f aca="false">IF($E174="","",IF($M174,IF(AND($G174&gt;=CT$5,$G174&lt;CT$5+GanttPeriod),"◆",IF(AND($E174&gt;=CT$5,$E174&lt;CT$5+GanttPeriod),"◇","")),IF(AND(CT$5&lt;=$F174,CT$5+GanttPeriod-1&gt;=$E174),"━","")))</f>
        <v/>
      </c>
      <c r="CU174" s="69" t="str">
        <f aca="false">IF($E174="","",IF($M174,IF(AND($G174&gt;=CU$5,$G174&lt;CU$5+GanttPeriod),"◆",IF(AND($E174&gt;=CU$5,$E174&lt;CU$5+GanttPeriod),"◇","")),IF(AND(CU$5&lt;=$F174,CU$5+GanttPeriod-1&gt;=$E174),"━","")))</f>
        <v/>
      </c>
      <c r="CV174" s="69" t="str">
        <f aca="false">IF($E174="","",IF($M174,IF(AND($G174&gt;=CV$5,$G174&lt;CV$5+GanttPeriod),"◆",IF(AND($E174&gt;=CV$5,$E174&lt;CV$5+GanttPeriod),"◇","")),IF(AND(CV$5&lt;=$F174,CV$5+GanttPeriod-1&gt;=$E174),"━","")))</f>
        <v/>
      </c>
      <c r="CW174" s="69" t="str">
        <f aca="false">IF($E174="","",IF($M174,IF(AND($G174&gt;=CW$5,$G174&lt;CW$5+GanttPeriod),"◆",IF(AND($E174&gt;=CW$5,$E174&lt;CW$5+GanttPeriod),"◇","")),IF(AND(CW$5&lt;=$F174,CW$5+GanttPeriod-1&gt;=$E174),"━","")))</f>
        <v/>
      </c>
      <c r="CX174" s="69" t="str">
        <f aca="false">IF($E174="","",IF($M174,IF(AND($G174&gt;=CX$5,$G174&lt;CX$5+GanttPeriod),"◆",IF(AND($E174&gt;=CX$5,$E174&lt;CX$5+GanttPeriod),"◇","")),IF(AND(CX$5&lt;=$F174,CX$5+GanttPeriod-1&gt;=$E174),"━","")))</f>
        <v/>
      </c>
      <c r="CY174" s="69" t="str">
        <f aca="false">IF($E174="","",IF($M174,IF(AND($G174&gt;=CY$5,$G174&lt;CY$5+GanttPeriod),"◆",IF(AND($E174&gt;=CY$5,$E174&lt;CY$5+GanttPeriod),"◇","")),IF(AND(CY$5&lt;=$F174,CY$5+GanttPeriod-1&gt;=$E174),"━","")))</f>
        <v/>
      </c>
      <c r="CZ174" s="69" t="str">
        <f aca="false">IF($E174="","",IF($M174,IF(AND($G174&gt;=CZ$5,$G174&lt;CZ$5+GanttPeriod),"◆",IF(AND($E174&gt;=CZ$5,$E174&lt;CZ$5+GanttPeriod),"◇","")),IF(AND(CZ$5&lt;=$F174,CZ$5+GanttPeriod-1&gt;=$E174),"━","")))</f>
        <v/>
      </c>
      <c r="DA174" s="69" t="str">
        <f aca="false">IF($E174="","",IF($M174,IF(AND($G174&gt;=DA$5,$G174&lt;DA$5+GanttPeriod),"◆",IF(AND($E174&gt;=DA$5,$E174&lt;DA$5+GanttPeriod),"◇","")),IF(AND(DA$5&lt;=$F174,DA$5+GanttPeriod-1&gt;=$E174),"━","")))</f>
        <v/>
      </c>
      <c r="DB174" s="69" t="str">
        <f aca="false">IF($E174="","",IF($M174,IF(AND($G174&gt;=DB$5,$G174&lt;DB$5+GanttPeriod),"◆",IF(AND($E174&gt;=DB$5,$E174&lt;DB$5+GanttPeriod),"◇","")),IF(AND(DB$5&lt;=$F174,DB$5+GanttPeriod-1&gt;=$E174),"━","")))</f>
        <v/>
      </c>
      <c r="DC174" s="69" t="str">
        <f aca="false">IF($E174="","",IF($M174,IF(AND($G174&gt;=DC$5,$G174&lt;DC$5+GanttPeriod),"◆",IF(AND($E174&gt;=DC$5,$E174&lt;DC$5+GanttPeriod),"◇","")),IF(AND(DC$5&lt;=$F174,DC$5+GanttPeriod-1&gt;=$E174),"━","")))</f>
        <v/>
      </c>
      <c r="DD174" s="69" t="str">
        <f aca="false">IF($E174="","",IF($M174,IF(AND($G174&gt;=DD$5,$G174&lt;DD$5+GanttPeriod),"◆",IF(AND($E174&gt;=DD$5,$E174&lt;DD$5+GanttPeriod),"◇","")),IF(AND(DD$5&lt;=$F174,DD$5+GanttPeriod-1&gt;=$E174),"━","")))</f>
        <v/>
      </c>
      <c r="DE174" s="69" t="str">
        <f aca="false">IF($E174="","",IF($M174,IF(AND($G174&gt;=DE$5,$G174&lt;DE$5+GanttPeriod),"◆",IF(AND($E174&gt;=DE$5,$E174&lt;DE$5+GanttPeriod),"◇","")),IF(AND(DE$5&lt;=$F174,DE$5+GanttPeriod-1&gt;=$E174),"━","")))</f>
        <v/>
      </c>
      <c r="DF174" s="69" t="str">
        <f aca="false">IF($E174="","",IF($M174,IF(AND($G174&gt;=DF$5,$G174&lt;DF$5+GanttPeriod),"◆",IF(AND($E174&gt;=DF$5,$E174&lt;DF$5+GanttPeriod),"◇","")),IF(AND(DF$5&lt;=$F174,DF$5+GanttPeriod-1&gt;=$E174),"━","")))</f>
        <v/>
      </c>
      <c r="DG174" s="69" t="str">
        <f aca="false">IF($E174="","",IF($M174,IF(AND($G174&gt;=DG$5,$G174&lt;DG$5+GanttPeriod),"◆",IF(AND($E174&gt;=DG$5,$E174&lt;DG$5+GanttPeriod),"◇","")),IF(AND(DG$5&lt;=$F174,DG$5+GanttPeriod-1&gt;=$E174),"━","")))</f>
        <v/>
      </c>
      <c r="DH174" s="69" t="str">
        <f aca="false">IF($E174="","",IF($M174,IF(AND($G174&gt;=DH$5,$G174&lt;DH$5+GanttPeriod),"◆",IF(AND($E174&gt;=DH$5,$E174&lt;DH$5+GanttPeriod),"◇","")),IF(AND(DH$5&lt;=$F174,DH$5+GanttPeriod-1&gt;=$E174),"━","")))</f>
        <v/>
      </c>
      <c r="DI174" s="69" t="str">
        <f aca="false">IF($E174="","",IF($M174,IF(AND($G174&gt;=DI$5,$G174&lt;DI$5+GanttPeriod),"◆",IF(AND($E174&gt;=DI$5,$E174&lt;DI$5+GanttPeriod),"◇","")),IF(AND(DI$5&lt;=$F174,DI$5+GanttPeriod-1&gt;=$E174),"━","")))</f>
        <v/>
      </c>
      <c r="DJ174" s="69" t="str">
        <f aca="false">IF($E174="","",IF($M174,IF(AND($G174&gt;=DJ$5,$G174&lt;DJ$5+GanttPeriod),"◆",IF(AND($E174&gt;=DJ$5,$E174&lt;DJ$5+GanttPeriod),"◇","")),IF(AND(DJ$5&lt;=$F174,DJ$5+GanttPeriod-1&gt;=$E174),"━","")))</f>
        <v/>
      </c>
      <c r="DK174" s="69" t="str">
        <f aca="false">IF($E174="","",IF($M174,IF(AND($G174&gt;=DK$5,$G174&lt;DK$5+GanttPeriod),"◆",IF(AND($E174&gt;=DK$5,$E174&lt;DK$5+GanttPeriod),"◇","")),IF(AND(DK$5&lt;=$F174,DK$5+GanttPeriod-1&gt;=$E174),"━","")))</f>
        <v/>
      </c>
      <c r="DL174" s="69" t="str">
        <f aca="false">IF($E174="","",IF($M174,IF(AND($G174&gt;=DL$5,$G174&lt;DL$5+GanttPeriod),"◆",IF(AND($E174&gt;=DL$5,$E174&lt;DL$5+GanttPeriod),"◇","")),IF(AND(DL$5&lt;=$F174,DL$5+GanttPeriod-1&gt;=$E174),"━","")))</f>
        <v/>
      </c>
      <c r="DM174" s="69" t="str">
        <f aca="false">IF($E174="","",IF($M174,IF(AND($G174&gt;=DM$5,$G174&lt;DM$5+GanttPeriod),"◆",IF(AND($E174&gt;=DM$5,$E174&lt;DM$5+GanttPeriod),"◇","")),IF(AND(DM$5&lt;=$F174,DM$5+GanttPeriod-1&gt;=$E174),"━","")))</f>
        <v/>
      </c>
      <c r="DN174" s="69" t="str">
        <f aca="false">IF($E174="","",IF($M174,IF(AND($G174&gt;=DN$5,$G174&lt;DN$5+GanttPeriod),"◆",IF(AND($E174&gt;=DN$5,$E174&lt;DN$5+GanttPeriod),"◇","")),IF(AND(DN$5&lt;=$F174,DN$5+GanttPeriod-1&gt;=$E174),"━","")))</f>
        <v/>
      </c>
      <c r="DO174" s="69" t="str">
        <f aca="false">IF($E174="","",IF($M174,IF(AND($G174&gt;=DO$5,$G174&lt;DO$5+GanttPeriod),"◆",IF(AND($E174&gt;=DO$5,$E174&lt;DO$5+GanttPeriod),"◇","")),IF(AND(DO$5&lt;=$F174,DO$5+GanttPeriod-1&gt;=$E174),"━","")))</f>
        <v/>
      </c>
      <c r="DP174" s="69" t="str">
        <f aca="false">IF($E174="","",IF($M174,IF(AND($G174&gt;=DP$5,$G174&lt;DP$5+GanttPeriod),"◆",IF(AND($E174&gt;=DP$5,$E174&lt;DP$5+GanttPeriod),"◇","")),IF(AND(DP$5&lt;=$F174,DP$5+GanttPeriod-1&gt;=$E174),"━","")))</f>
        <v/>
      </c>
      <c r="DQ174" s="69" t="str">
        <f aca="false">IF($E174="","",IF($M174,IF(AND($G174&gt;=DQ$5,$G174&lt;DQ$5+GanttPeriod),"◆",IF(AND($E174&gt;=DQ$5,$E174&lt;DQ$5+GanttPeriod),"◇","")),IF(AND(DQ$5&lt;=$F174,DQ$5+GanttPeriod-1&gt;=$E174),"━","")))</f>
        <v/>
      </c>
      <c r="DR174" s="69" t="str">
        <f aca="false">IF($E174="","",IF($M174,IF(AND($G174&gt;=DR$5,$G174&lt;DR$5+GanttPeriod),"◆",IF(AND($E174&gt;=DR$5,$E174&lt;DR$5+GanttPeriod),"◇","")),IF(AND(DR$5&lt;=$F174,DR$5+GanttPeriod-1&gt;=$E174),"━","")))</f>
        <v/>
      </c>
      <c r="DS174" s="69" t="str">
        <f aca="false">IF($E174="","",IF($M174,IF(AND($G174&gt;=DS$5,$G174&lt;DS$5+GanttPeriod),"◆",IF(AND($E174&gt;=DS$5,$E174&lt;DS$5+GanttPeriod),"◇","")),IF(AND(DS$5&lt;=$F174,DS$5+GanttPeriod-1&gt;=$E174),"━","")))</f>
        <v/>
      </c>
      <c r="DT174" s="69" t="str">
        <f aca="false">IF($E174="","",IF($M174,IF(AND($G174&gt;=DT$5,$G174&lt;DT$5+GanttPeriod),"◆",IF(AND($E174&gt;=DT$5,$E174&lt;DT$5+GanttPeriod),"◇","")),IF(AND(DT$5&lt;=$F174,DT$5+GanttPeriod-1&gt;=$E174),"━","")))</f>
        <v/>
      </c>
      <c r="DU174" s="69" t="str">
        <f aca="false">IF($E174="","",IF($M174,IF(AND($G174&gt;=DU$5,$G174&lt;DU$5+GanttPeriod),"◆",IF(AND($E174&gt;=DU$5,$E174&lt;DU$5+GanttPeriod),"◇","")),IF(AND(DU$5&lt;=$F174,DU$5+GanttPeriod-1&gt;=$E174),"━","")))</f>
        <v/>
      </c>
      <c r="DV174" s="69" t="str">
        <f aca="false">IF($E174="","",IF($M174,IF(AND($G174&gt;=DV$5,$G174&lt;DV$5+GanttPeriod),"◆",IF(AND($E174&gt;=DV$5,$E174&lt;DV$5+GanttPeriod),"◇","")),IF(AND(DV$5&lt;=$F174,DV$5+GanttPeriod-1&gt;=$E174),"━","")))</f>
        <v/>
      </c>
      <c r="DW174" s="69" t="str">
        <f aca="false">IF($E174="","",IF($M174,IF(AND($G174&gt;=DW$5,$G174&lt;DW$5+GanttPeriod),"◆",IF(AND($E174&gt;=DW$5,$E174&lt;DW$5+GanttPeriod),"◇","")),IF(AND(DW$5&lt;=$F174,DW$5+GanttPeriod-1&gt;=$E174),"━","")))</f>
        <v/>
      </c>
      <c r="DX174" s="69" t="str">
        <f aca="false">IF($E174="","",IF($M174,IF(AND($G174&gt;=DX$5,$G174&lt;DX$5+GanttPeriod),"◆",IF(AND($E174&gt;=DX$5,$E174&lt;DX$5+GanttPeriod),"◇","")),IF(AND(DX$5&lt;=$F174,DX$5+GanttPeriod-1&gt;=$E174),"━","")))</f>
        <v/>
      </c>
      <c r="DY174" s="69" t="str">
        <f aca="false">IF($E174="","",IF($M174,IF(AND($G174&gt;=DY$5,$G174&lt;DY$5+GanttPeriod),"◆",IF(AND($E174&gt;=DY$5,$E174&lt;DY$5+GanttPeriod),"◇","")),IF(AND(DY$5&lt;=$F174,DY$5+GanttPeriod-1&gt;=$E174),"━","")))</f>
        <v/>
      </c>
      <c r="DZ174" s="69" t="str">
        <f aca="false">IF($E174="","",IF($M174,IF(AND($G174&gt;=DZ$5,$G174&lt;DZ$5+GanttPeriod),"◆",IF(AND($E174&gt;=DZ$5,$E174&lt;DZ$5+GanttPeriod),"◇","")),IF(AND(DZ$5&lt;=$F174,DZ$5+GanttPeriod-1&gt;=$E174),"━","")))</f>
        <v/>
      </c>
      <c r="EA174" s="69" t="str">
        <f aca="false">IF($E174="","",IF($M174,IF(AND($G174&gt;=EA$5,$G174&lt;EA$5+GanttPeriod),"◆",IF(AND($E174&gt;=EA$5,$E174&lt;EA$5+GanttPeriod),"◇","")),IF(AND(EA$5&lt;=$F174,EA$5+GanttPeriod-1&gt;=$E174),"━","")))</f>
        <v/>
      </c>
      <c r="EB174" s="69" t="str">
        <f aca="false">IF($E174="","",IF($M174,IF(AND($G174&gt;=EB$5,$G174&lt;EB$5+GanttPeriod),"◆",IF(AND($E174&gt;=EB$5,$E174&lt;EB$5+GanttPeriod),"◇","")),IF(AND(EB$5&lt;=$F174,EB$5+GanttPeriod-1&gt;=$E174),"━","")))</f>
        <v/>
      </c>
      <c r="EC174" s="69" t="str">
        <f aca="false">IF($E174="","",IF($M174,IF(AND($G174&gt;=EC$5,$G174&lt;EC$5+GanttPeriod),"◆",IF(AND($E174&gt;=EC$5,$E174&lt;EC$5+GanttPeriod),"◇","")),IF(AND(EC$5&lt;=$F174,EC$5+GanttPeriod-1&gt;=$E174),"━","")))</f>
        <v/>
      </c>
      <c r="ED174" s="69" t="str">
        <f aca="false">IF($E174="","",IF($M174,IF(AND($G174&gt;=ED$5,$G174&lt;ED$5+GanttPeriod),"◆",IF(AND($E174&gt;=ED$5,$E174&lt;ED$5+GanttPeriod),"◇","")),IF(AND(ED$5&lt;=$F174,ED$5+GanttPeriod-1&gt;=$E174),"━","")))</f>
        <v/>
      </c>
      <c r="EE174" s="69" t="str">
        <f aca="false">IF($E174="","",IF($M174,IF(AND($G174&gt;=EE$5,$G174&lt;EE$5+GanttPeriod),"◆",IF(AND($E174&gt;=EE$5,$E174&lt;EE$5+GanttPeriod),"◇","")),IF(AND(EE$5&lt;=$F174,EE$5+GanttPeriod-1&gt;=$E174),"━","")))</f>
        <v/>
      </c>
      <c r="EF174" s="69" t="str">
        <f aca="false">IF($E174="","",IF($M174,IF(AND($G174&gt;=EF$5,$G174&lt;EF$5+GanttPeriod),"◆",IF(AND($E174&gt;=EF$5,$E174&lt;EF$5+GanttPeriod),"◇","")),IF(AND(EF$5&lt;=$F174,EF$5+GanttPeriod-1&gt;=$E174),"━","")))</f>
        <v/>
      </c>
      <c r="EG174" s="69" t="str">
        <f aca="false">IF($E174="","",IF($M174,IF(AND($G174&gt;=EG$5,$G174&lt;EG$5+GanttPeriod),"◆",IF(AND($E174&gt;=EG$5,$E174&lt;EG$5+GanttPeriod),"◇","")),IF(AND(EG$5&lt;=$F174,EG$5+GanttPeriod-1&gt;=$E174),"━","")))</f>
        <v/>
      </c>
      <c r="EH174" s="69" t="str">
        <f aca="false">IF($E174="","",IF($M174,IF(AND($G174&gt;=EH$5,$G174&lt;EH$5+GanttPeriod),"◆",IF(AND($E174&gt;=EH$5,$E174&lt;EH$5+GanttPeriod),"◇","")),IF(AND(EH$5&lt;=$F174,EH$5+GanttPeriod-1&gt;=$E174),"━","")))</f>
        <v/>
      </c>
      <c r="EI174" s="69" t="str">
        <f aca="false">IF($E174="","",IF($M174,IF(AND($G174&gt;=EI$5,$G174&lt;EI$5+GanttPeriod),"◆",IF(AND($E174&gt;=EI$5,$E174&lt;EI$5+GanttPeriod),"◇","")),IF(AND(EI$5&lt;=$F174,EI$5+GanttPeriod-1&gt;=$E174),"━","")))</f>
        <v/>
      </c>
      <c r="EJ174" s="69" t="str">
        <f aca="false">IF($E174="","",IF($M174,IF(AND($G174&gt;=EJ$5,$G174&lt;EJ$5+GanttPeriod),"◆",IF(AND($E174&gt;=EJ$5,$E174&lt;EJ$5+GanttPeriod),"◇","")),IF(AND(EJ$5&lt;=$F174,EJ$5+GanttPeriod-1&gt;=$E174),"━","")))</f>
        <v/>
      </c>
      <c r="EK174" s="69" t="str">
        <f aca="false">IF($E174="","",IF($M174,IF(AND($G174&gt;=EK$5,$G174&lt;EK$5+GanttPeriod),"◆",IF(AND($E174&gt;=EK$5,$E174&lt;EK$5+GanttPeriod),"◇","")),IF(AND(EK$5&lt;=$F174,EK$5+GanttPeriod-1&gt;=$E174),"━","")))</f>
        <v/>
      </c>
      <c r="EL174" s="69" t="str">
        <f aca="false">IF($E174="","",IF($M174,IF(AND($G174&gt;=EL$5,$G174&lt;EL$5+GanttPeriod),"◆",IF(AND($E174&gt;=EL$5,$E174&lt;EL$5+GanttPeriod),"◇","")),IF(AND(EL$5&lt;=$F174,EL$5+GanttPeriod-1&gt;=$E174),"━","")))</f>
        <v/>
      </c>
      <c r="EM174" s="69" t="str">
        <f aca="false">IF($E174="","",IF($M174,IF(AND($G174&gt;=EM$5,$G174&lt;EM$5+GanttPeriod),"◆",IF(AND($E174&gt;=EM$5,$E174&lt;EM$5+GanttPeriod),"◇","")),IF(AND(EM$5&lt;=$F174,EM$5+GanttPeriod-1&gt;=$E174),"━","")))</f>
        <v/>
      </c>
      <c r="EN174" s="69" t="str">
        <f aca="false">IF($E174="","",IF($M174,IF(AND($G174&gt;=EN$5,$G174&lt;EN$5+GanttPeriod),"◆",IF(AND($E174&gt;=EN$5,$E174&lt;EN$5+GanttPeriod),"◇","")),IF(AND(EN$5&lt;=$F174,EN$5+GanttPeriod-1&gt;=$E174),"━","")))</f>
        <v/>
      </c>
      <c r="EO174" s="69" t="str">
        <f aca="false">IF($E174="","",IF($M174,IF(AND($G174&gt;=EO$5,$G174&lt;EO$5+GanttPeriod),"◆",IF(AND($E174&gt;=EO$5,$E174&lt;EO$5+GanttPeriod),"◇","")),IF(AND(EO$5&lt;=$F174,EO$5+GanttPeriod-1&gt;=$E174),"━","")))</f>
        <v/>
      </c>
      <c r="EP174" s="69" t="str">
        <f aca="false">IF($E174="","",IF($M174,IF(AND($G174&gt;=EP$5,$G174&lt;EP$5+GanttPeriod),"◆",IF(AND($E174&gt;=EP$5,$E174&lt;EP$5+GanttPeriod),"◇","")),IF(AND(EP$5&lt;=$F174,EP$5+GanttPeriod-1&gt;=$E174),"━","")))</f>
        <v/>
      </c>
      <c r="EQ174" s="69" t="str">
        <f aca="false">IF($E174="","",IF($M174,IF(AND($G174&gt;=EQ$5,$G174&lt;EQ$5+GanttPeriod),"◆",IF(AND($E174&gt;=EQ$5,$E174&lt;EQ$5+GanttPeriod),"◇","")),IF(AND(EQ$5&lt;=$F174,EQ$5+GanttPeriod-1&gt;=$E174),"━","")))</f>
        <v/>
      </c>
      <c r="ER174" s="69" t="str">
        <f aca="false">IF($E174="","",IF($M174,IF(AND($G174&gt;=ER$5,$G174&lt;ER$5+GanttPeriod),"◆",IF(AND($E174&gt;=ER$5,$E174&lt;ER$5+GanttPeriod),"◇","")),IF(AND(ER$5&lt;=$F174,ER$5+GanttPeriod-1&gt;=$E174),"━","")))</f>
        <v/>
      </c>
      <c r="ES174" s="69" t="str">
        <f aca="false">IF($E174="","",IF($M174,IF(AND($G174&gt;=ES$5,$G174&lt;ES$5+GanttPeriod),"◆",IF(AND($E174&gt;=ES$5,$E174&lt;ES$5+GanttPeriod),"◇","")),IF(AND(ES$5&lt;=$F174,ES$5+GanttPeriod-1&gt;=$E174),"━","")))</f>
        <v/>
      </c>
      <c r="ET174" s="69" t="str">
        <f aca="false">IF($E174="","",IF($M174,IF(AND($G174&gt;=ET$5,$G174&lt;ET$5+GanttPeriod),"◆",IF(AND($E174&gt;=ET$5,$E174&lt;ET$5+GanttPeriod),"◇","")),IF(AND(ET$5&lt;=$F174,ET$5+GanttPeriod-1&gt;=$E174),"━","")))</f>
        <v/>
      </c>
      <c r="EU174" s="69" t="str">
        <f aca="false">IF($E174="","",IF($M174,IF(AND($G174&gt;=EU$5,$G174&lt;EU$5+GanttPeriod),"◆",IF(AND($E174&gt;=EU$5,$E174&lt;EU$5+GanttPeriod),"◇","")),IF(AND(EU$5&lt;=$F174,EU$5+GanttPeriod-1&gt;=$E174),"━","")))</f>
        <v/>
      </c>
      <c r="EV174" s="69" t="str">
        <f aca="false">IF($E174="","",IF($M174,IF(AND($G174&gt;=EV$5,$G174&lt;EV$5+GanttPeriod),"◆",IF(AND($E174&gt;=EV$5,$E174&lt;EV$5+GanttPeriod),"◇","")),IF(AND(EV$5&lt;=$F174,EV$5+GanttPeriod-1&gt;=$E174),"━","")))</f>
        <v/>
      </c>
      <c r="EW174" s="69" t="str">
        <f aca="false">IF($E174="","",IF($M174,IF(AND($G174&gt;=EW$5,$G174&lt;EW$5+GanttPeriod),"◆",IF(AND($E174&gt;=EW$5,$E174&lt;EW$5+GanttPeriod),"◇","")),IF(AND(EW$5&lt;=$F174,EW$5+GanttPeriod-1&gt;=$E174),"━","")))</f>
        <v/>
      </c>
      <c r="EX174" s="69" t="str">
        <f aca="false">IF($E174="","",IF($M174,IF(AND($G174&gt;=EX$5,$G174&lt;EX$5+GanttPeriod),"◆",IF(AND($E174&gt;=EX$5,$E174&lt;EX$5+GanttPeriod),"◇","")),IF(AND(EX$5&lt;=$F174,EX$5+GanttPeriod-1&gt;=$E174),"━","")))</f>
        <v/>
      </c>
      <c r="EY174" s="69" t="str">
        <f aca="false">IF($E174="","",IF($M174,IF(AND($G174&gt;=EY$5,$G174&lt;EY$5+GanttPeriod),"◆",IF(AND($E174&gt;=EY$5,$E174&lt;EY$5+GanttPeriod),"◇","")),IF(AND(EY$5&lt;=$F174,EY$5+GanttPeriod-1&gt;=$E174),"━","")))</f>
        <v/>
      </c>
      <c r="EZ174" s="69" t="str">
        <f aca="false">IF($E174="","",IF($M174,IF(AND($G174&gt;=EZ$5,$G174&lt;EZ$5+GanttPeriod),"◆",IF(AND($E174&gt;=EZ$5,$E174&lt;EZ$5+GanttPeriod),"◇","")),IF(AND(EZ$5&lt;=$F174,EZ$5+GanttPeriod-1&gt;=$E174),"━","")))</f>
        <v/>
      </c>
      <c r="FA174" s="69" t="str">
        <f aca="false">IF($E174="","",IF($M174,IF(AND($G174&gt;=FA$5,$G174&lt;FA$5+GanttPeriod),"◆",IF(AND($E174&gt;=FA$5,$E174&lt;FA$5+GanttPeriod),"◇","")),IF(AND(FA$5&lt;=$F174,FA$5+GanttPeriod-1&gt;=$E174),"━","")))</f>
        <v/>
      </c>
      <c r="FB174" s="69" t="str">
        <f aca="false">IF($E174="","",IF($M174,IF(AND($G174&gt;=FB$5,$G174&lt;FB$5+GanttPeriod),"◆",IF(AND($E174&gt;=FB$5,$E174&lt;FB$5+GanttPeriod),"◇","")),IF(AND(FB$5&lt;=$F174,FB$5+GanttPeriod-1&gt;=$E174),"━","")))</f>
        <v/>
      </c>
      <c r="FC174" s="69" t="str">
        <f aca="false">IF($E174="","",IF($M174,IF(AND($G174&gt;=FC$5,$G174&lt;FC$5+GanttPeriod),"◆",IF(AND($E174&gt;=FC$5,$E174&lt;FC$5+GanttPeriod),"◇","")),IF(AND(FC$5&lt;=$F174,FC$5+GanttPeriod-1&gt;=$E174),"━","")))</f>
        <v/>
      </c>
      <c r="FD174" s="69" t="str">
        <f aca="false">IF($E174="","",IF($M174,IF(AND($G174&gt;=FD$5,$G174&lt;FD$5+GanttPeriod),"◆",IF(AND($E174&gt;=FD$5,$E174&lt;FD$5+GanttPeriod),"◇","")),IF(AND(FD$5&lt;=$F174,FD$5+GanttPeriod-1&gt;=$E174),"━","")))</f>
        <v/>
      </c>
      <c r="FE174" s="69" t="str">
        <f aca="false">IF($E174="","",IF($M174,IF(AND($G174&gt;=FE$5,$G174&lt;FE$5+GanttPeriod),"◆",IF(AND($E174&gt;=FE$5,$E174&lt;FE$5+GanttPeriod),"◇","")),IF(AND(FE$5&lt;=$F174,FE$5+GanttPeriod-1&gt;=$E174),"━","")))</f>
        <v/>
      </c>
      <c r="FF174" s="69" t="str">
        <f aca="false">IF($E174="","",IF($M174,IF(AND($G174&gt;=FF$5,$G174&lt;FF$5+GanttPeriod),"◆",IF(AND($E174&gt;=FF$5,$E174&lt;FF$5+GanttPeriod),"◇","")),IF(AND(FF$5&lt;=$F174,FF$5+GanttPeriod-1&gt;=$E174),"━","")))</f>
        <v/>
      </c>
      <c r="FG174" s="69" t="str">
        <f aca="false">IF($E174="","",IF($M174,IF(AND($G174&gt;=FG$5,$G174&lt;FG$5+GanttPeriod),"◆",IF(AND($E174&gt;=FG$5,$E174&lt;FG$5+GanttPeriod),"◇","")),IF(AND(FG$5&lt;=$F174,FG$5+GanttPeriod-1&gt;=$E174),"━","")))</f>
        <v/>
      </c>
      <c r="FH174" s="69" t="str">
        <f aca="false">IF($E174="","",IF($M174,IF(AND($G174&gt;=FH$5,$G174&lt;FH$5+GanttPeriod),"◆",IF(AND($E174&gt;=FH$5,$E174&lt;FH$5+GanttPeriod),"◇","")),IF(AND(FH$5&lt;=$F174,FH$5+GanttPeriod-1&gt;=$E174),"━","")))</f>
        <v/>
      </c>
      <c r="FI174" s="69" t="str">
        <f aca="false">IF($E174="","",IF($M174,IF(AND($G174&gt;=FI$5,$G174&lt;FI$5+GanttPeriod),"◆",IF(AND($E174&gt;=FI$5,$E174&lt;FI$5+GanttPeriod),"◇","")),IF(AND(FI$5&lt;=$F174,FI$5+GanttPeriod-1&gt;=$E174),"━","")))</f>
        <v/>
      </c>
      <c r="FJ174" s="69" t="str">
        <f aca="false">IF($E174="","",IF($M174,IF(AND($G174&gt;=FJ$5,$G174&lt;FJ$5+GanttPeriod),"◆",IF(AND($E174&gt;=FJ$5,$E174&lt;FJ$5+GanttPeriod),"◇","")),IF(AND(FJ$5&lt;=$F174,FJ$5+GanttPeriod-1&gt;=$E174),"━","")))</f>
        <v/>
      </c>
      <c r="FK174" s="69" t="str">
        <f aca="false">IF($E174="","",IF($M174,IF(AND($G174&gt;=FK$5,$G174&lt;FK$5+GanttPeriod),"◆",IF(AND($E174&gt;=FK$5,$E174&lt;FK$5+GanttPeriod),"◇","")),IF(AND(FK$5&lt;=$F174,FK$5+GanttPeriod-1&gt;=$E174),"━","")))</f>
        <v/>
      </c>
      <c r="FL174" s="69" t="str">
        <f aca="false">IF($E174="","",IF($M174,IF(AND($G174&gt;=FL$5,$G174&lt;FL$5+GanttPeriod),"◆",IF(AND($E174&gt;=FL$5,$E174&lt;FL$5+GanttPeriod),"◇","")),IF(AND(FL$5&lt;=$F174,FL$5+GanttPeriod-1&gt;=$E174),"━","")))</f>
        <v/>
      </c>
      <c r="FM174" s="69" t="str">
        <f aca="false">IF($E174="","",IF($M174,IF(AND($G174&gt;=FM$5,$G174&lt;FM$5+GanttPeriod),"◆",IF(AND($E174&gt;=FM$5,$E174&lt;FM$5+GanttPeriod),"◇","")),IF(AND(FM$5&lt;=$F174,FM$5+GanttPeriod-1&gt;=$E174),"━","")))</f>
        <v/>
      </c>
    </row>
    <row r="175" customFormat="false" ht="15" hidden="false" customHeight="false" outlineLevel="0" collapsed="false">
      <c r="A175" s="62" t="str">
        <f aca="false">IF(Tasks!$D175="","",Tasks!$A175)</f>
        <v/>
      </c>
      <c r="B175" s="62" t="str">
        <f aca="false">IF(Tasks!$D175="","",Tasks!$B175)</f>
        <v/>
      </c>
      <c r="C175" s="63" t="str">
        <f aca="false">IF(Tasks!$D175="","",REPT("    ",Tasks!$AE175-1)&amp;Tasks!$D175)</f>
        <v/>
      </c>
      <c r="D175" s="62" t="str">
        <f aca="false">IF(Tasks!$D175="","",IF(Tasks!$AI175,NETWORKDAYS.INTL(Tasks!$R175,Tasks!$S175,WorkWeek,Holidays),N(Tasks!$F175)))</f>
        <v/>
      </c>
      <c r="E175" s="64" t="str">
        <f aca="false">IF(Tasks!$D175="","",Tasks!$N175)</f>
        <v/>
      </c>
      <c r="F175" s="64" t="str">
        <f aca="false">IF(Tasks!$D175="","",Tasks!$O175)</f>
        <v/>
      </c>
      <c r="G175" s="64" t="str">
        <f aca="false">IF(Tasks!$D175="","",Tasks!$R175)</f>
        <v/>
      </c>
      <c r="H175" s="64" t="str">
        <f aca="false">IF(Tasks!$D175="","",Tasks!$S175)</f>
        <v/>
      </c>
      <c r="I175" s="65" t="str">
        <f aca="false">IF(Tasks!$D175="","",Tasks!$V175)</f>
        <v/>
      </c>
      <c r="J175" s="63" t="str">
        <f aca="false">IF(Tasks!$D175="","",Tasks!$X175&amp;"")</f>
        <v/>
      </c>
      <c r="K175" s="66" t="str">
        <f aca="false">IF(Tasks!$D175="","",Tasks!$W175)</f>
        <v/>
      </c>
      <c r="L175" s="67" t="b">
        <f aca="false">IF(Tasks!$D175="",FALSE(),Tasks!$AI175)</f>
        <v>0</v>
      </c>
      <c r="M175" s="67" t="b">
        <f aca="false">AND(Tasks!$AJ175=1,N(Tasks!$F175)=0)</f>
        <v>0</v>
      </c>
      <c r="N175" s="68" t="n">
        <f aca="false">IF(AND(Tasks!$AJ175=1,NOT($M175),N($I175)&gt;0),$G175,0)</f>
        <v>0</v>
      </c>
      <c r="O175" s="68" t="n">
        <f aca="false">IF($N175=0,0,IF($I175&gt;=1,$H175,MAX($N175,$G175+ROUND(($H175-$G175+1)*$I175,0)-1)))</f>
        <v>0</v>
      </c>
      <c r="P175" s="68" t="n">
        <f aca="false">IF(OR(Tasks!$AJ175&lt;&gt;1,$M175,N($I175)&gt;=1),0,IF($O175&gt;0,$O175+1,$G175))</f>
        <v>0</v>
      </c>
      <c r="Q175" s="68" t="n">
        <f aca="false">IF($P175=0,0,$H175)</f>
        <v>0</v>
      </c>
      <c r="R175" s="67" t="b">
        <f aca="false">AND(Tasks!$D175&lt;&gt;"",N(Tasks!$T175)&gt;0)</f>
        <v>0</v>
      </c>
      <c r="T175" s="69" t="str">
        <f aca="false">IF($E175="","",IF($M175,IF(AND($G175&gt;=T$5,$G175&lt;T$5+GanttPeriod),"◆",IF(AND($E175&gt;=T$5,$E175&lt;T$5+GanttPeriod),"◇","")),IF(AND(T$5&lt;=$F175,T$5+GanttPeriod-1&gt;=$E175),"━","")))</f>
        <v/>
      </c>
      <c r="U175" s="69" t="str">
        <f aca="false">IF($E175="","",IF($M175,IF(AND($G175&gt;=U$5,$G175&lt;U$5+GanttPeriod),"◆",IF(AND($E175&gt;=U$5,$E175&lt;U$5+GanttPeriod),"◇","")),IF(AND(U$5&lt;=$F175,U$5+GanttPeriod-1&gt;=$E175),"━","")))</f>
        <v/>
      </c>
      <c r="V175" s="69" t="str">
        <f aca="false">IF($E175="","",IF($M175,IF(AND($G175&gt;=V$5,$G175&lt;V$5+GanttPeriod),"◆",IF(AND($E175&gt;=V$5,$E175&lt;V$5+GanttPeriod),"◇","")),IF(AND(V$5&lt;=$F175,V$5+GanttPeriod-1&gt;=$E175),"━","")))</f>
        <v/>
      </c>
      <c r="W175" s="69" t="str">
        <f aca="false">IF($E175="","",IF($M175,IF(AND($G175&gt;=W$5,$G175&lt;W$5+GanttPeriod),"◆",IF(AND($E175&gt;=W$5,$E175&lt;W$5+GanttPeriod),"◇","")),IF(AND(W$5&lt;=$F175,W$5+GanttPeriod-1&gt;=$E175),"━","")))</f>
        <v/>
      </c>
      <c r="X175" s="69" t="str">
        <f aca="false">IF($E175="","",IF($M175,IF(AND($G175&gt;=X$5,$G175&lt;X$5+GanttPeriod),"◆",IF(AND($E175&gt;=X$5,$E175&lt;X$5+GanttPeriod),"◇","")),IF(AND(X$5&lt;=$F175,X$5+GanttPeriod-1&gt;=$E175),"━","")))</f>
        <v/>
      </c>
      <c r="Y175" s="69" t="str">
        <f aca="false">IF($E175="","",IF($M175,IF(AND($G175&gt;=Y$5,$G175&lt;Y$5+GanttPeriod),"◆",IF(AND($E175&gt;=Y$5,$E175&lt;Y$5+GanttPeriod),"◇","")),IF(AND(Y$5&lt;=$F175,Y$5+GanttPeriod-1&gt;=$E175),"━","")))</f>
        <v/>
      </c>
      <c r="Z175" s="69" t="str">
        <f aca="false">IF($E175="","",IF($M175,IF(AND($G175&gt;=Z$5,$G175&lt;Z$5+GanttPeriod),"◆",IF(AND($E175&gt;=Z$5,$E175&lt;Z$5+GanttPeriod),"◇","")),IF(AND(Z$5&lt;=$F175,Z$5+GanttPeriod-1&gt;=$E175),"━","")))</f>
        <v/>
      </c>
      <c r="AA175" s="69" t="str">
        <f aca="false">IF($E175="","",IF($M175,IF(AND($G175&gt;=AA$5,$G175&lt;AA$5+GanttPeriod),"◆",IF(AND($E175&gt;=AA$5,$E175&lt;AA$5+GanttPeriod),"◇","")),IF(AND(AA$5&lt;=$F175,AA$5+GanttPeriod-1&gt;=$E175),"━","")))</f>
        <v/>
      </c>
      <c r="AB175" s="69" t="str">
        <f aca="false">IF($E175="","",IF($M175,IF(AND($G175&gt;=AB$5,$G175&lt;AB$5+GanttPeriod),"◆",IF(AND($E175&gt;=AB$5,$E175&lt;AB$5+GanttPeriod),"◇","")),IF(AND(AB$5&lt;=$F175,AB$5+GanttPeriod-1&gt;=$E175),"━","")))</f>
        <v/>
      </c>
      <c r="AC175" s="69" t="str">
        <f aca="false">IF($E175="","",IF($M175,IF(AND($G175&gt;=AC$5,$G175&lt;AC$5+GanttPeriod),"◆",IF(AND($E175&gt;=AC$5,$E175&lt;AC$5+GanttPeriod),"◇","")),IF(AND(AC$5&lt;=$F175,AC$5+GanttPeriod-1&gt;=$E175),"━","")))</f>
        <v/>
      </c>
      <c r="AD175" s="69" t="str">
        <f aca="false">IF($E175="","",IF($M175,IF(AND($G175&gt;=AD$5,$G175&lt;AD$5+GanttPeriod),"◆",IF(AND($E175&gt;=AD$5,$E175&lt;AD$5+GanttPeriod),"◇","")),IF(AND(AD$5&lt;=$F175,AD$5+GanttPeriod-1&gt;=$E175),"━","")))</f>
        <v/>
      </c>
      <c r="AE175" s="69" t="str">
        <f aca="false">IF($E175="","",IF($M175,IF(AND($G175&gt;=AE$5,$G175&lt;AE$5+GanttPeriod),"◆",IF(AND($E175&gt;=AE$5,$E175&lt;AE$5+GanttPeriod),"◇","")),IF(AND(AE$5&lt;=$F175,AE$5+GanttPeriod-1&gt;=$E175),"━","")))</f>
        <v/>
      </c>
      <c r="AF175" s="69" t="str">
        <f aca="false">IF($E175="","",IF($M175,IF(AND($G175&gt;=AF$5,$G175&lt;AF$5+GanttPeriod),"◆",IF(AND($E175&gt;=AF$5,$E175&lt;AF$5+GanttPeriod),"◇","")),IF(AND(AF$5&lt;=$F175,AF$5+GanttPeriod-1&gt;=$E175),"━","")))</f>
        <v/>
      </c>
      <c r="AG175" s="69" t="str">
        <f aca="false">IF($E175="","",IF($M175,IF(AND($G175&gt;=AG$5,$G175&lt;AG$5+GanttPeriod),"◆",IF(AND($E175&gt;=AG$5,$E175&lt;AG$5+GanttPeriod),"◇","")),IF(AND(AG$5&lt;=$F175,AG$5+GanttPeriod-1&gt;=$E175),"━","")))</f>
        <v/>
      </c>
      <c r="AH175" s="69" t="str">
        <f aca="false">IF($E175="","",IF($M175,IF(AND($G175&gt;=AH$5,$G175&lt;AH$5+GanttPeriod),"◆",IF(AND($E175&gt;=AH$5,$E175&lt;AH$5+GanttPeriod),"◇","")),IF(AND(AH$5&lt;=$F175,AH$5+GanttPeriod-1&gt;=$E175),"━","")))</f>
        <v/>
      </c>
      <c r="AI175" s="69" t="str">
        <f aca="false">IF($E175="","",IF($M175,IF(AND($G175&gt;=AI$5,$G175&lt;AI$5+GanttPeriod),"◆",IF(AND($E175&gt;=AI$5,$E175&lt;AI$5+GanttPeriod),"◇","")),IF(AND(AI$5&lt;=$F175,AI$5+GanttPeriod-1&gt;=$E175),"━","")))</f>
        <v/>
      </c>
      <c r="AJ175" s="69" t="str">
        <f aca="false">IF($E175="","",IF($M175,IF(AND($G175&gt;=AJ$5,$G175&lt;AJ$5+GanttPeriod),"◆",IF(AND($E175&gt;=AJ$5,$E175&lt;AJ$5+GanttPeriod),"◇","")),IF(AND(AJ$5&lt;=$F175,AJ$5+GanttPeriod-1&gt;=$E175),"━","")))</f>
        <v/>
      </c>
      <c r="AK175" s="69" t="str">
        <f aca="false">IF($E175="","",IF($M175,IF(AND($G175&gt;=AK$5,$G175&lt;AK$5+GanttPeriod),"◆",IF(AND($E175&gt;=AK$5,$E175&lt;AK$5+GanttPeriod),"◇","")),IF(AND(AK$5&lt;=$F175,AK$5+GanttPeriod-1&gt;=$E175),"━","")))</f>
        <v/>
      </c>
      <c r="AL175" s="69" t="str">
        <f aca="false">IF($E175="","",IF($M175,IF(AND($G175&gt;=AL$5,$G175&lt;AL$5+GanttPeriod),"◆",IF(AND($E175&gt;=AL$5,$E175&lt;AL$5+GanttPeriod),"◇","")),IF(AND(AL$5&lt;=$F175,AL$5+GanttPeriod-1&gt;=$E175),"━","")))</f>
        <v/>
      </c>
      <c r="AM175" s="69" t="str">
        <f aca="false">IF($E175="","",IF($M175,IF(AND($G175&gt;=AM$5,$G175&lt;AM$5+GanttPeriod),"◆",IF(AND($E175&gt;=AM$5,$E175&lt;AM$5+GanttPeriod),"◇","")),IF(AND(AM$5&lt;=$F175,AM$5+GanttPeriod-1&gt;=$E175),"━","")))</f>
        <v/>
      </c>
      <c r="AN175" s="69" t="str">
        <f aca="false">IF($E175="","",IF($M175,IF(AND($G175&gt;=AN$5,$G175&lt;AN$5+GanttPeriod),"◆",IF(AND($E175&gt;=AN$5,$E175&lt;AN$5+GanttPeriod),"◇","")),IF(AND(AN$5&lt;=$F175,AN$5+GanttPeriod-1&gt;=$E175),"━","")))</f>
        <v/>
      </c>
      <c r="AO175" s="69" t="str">
        <f aca="false">IF($E175="","",IF($M175,IF(AND($G175&gt;=AO$5,$G175&lt;AO$5+GanttPeriod),"◆",IF(AND($E175&gt;=AO$5,$E175&lt;AO$5+GanttPeriod),"◇","")),IF(AND(AO$5&lt;=$F175,AO$5+GanttPeriod-1&gt;=$E175),"━","")))</f>
        <v/>
      </c>
      <c r="AP175" s="69" t="str">
        <f aca="false">IF($E175="","",IF($M175,IF(AND($G175&gt;=AP$5,$G175&lt;AP$5+GanttPeriod),"◆",IF(AND($E175&gt;=AP$5,$E175&lt;AP$5+GanttPeriod),"◇","")),IF(AND(AP$5&lt;=$F175,AP$5+GanttPeriod-1&gt;=$E175),"━","")))</f>
        <v/>
      </c>
      <c r="AQ175" s="69" t="str">
        <f aca="false">IF($E175="","",IF($M175,IF(AND($G175&gt;=AQ$5,$G175&lt;AQ$5+GanttPeriod),"◆",IF(AND($E175&gt;=AQ$5,$E175&lt;AQ$5+GanttPeriod),"◇","")),IF(AND(AQ$5&lt;=$F175,AQ$5+GanttPeriod-1&gt;=$E175),"━","")))</f>
        <v/>
      </c>
      <c r="AR175" s="69" t="str">
        <f aca="false">IF($E175="","",IF($M175,IF(AND($G175&gt;=AR$5,$G175&lt;AR$5+GanttPeriod),"◆",IF(AND($E175&gt;=AR$5,$E175&lt;AR$5+GanttPeriod),"◇","")),IF(AND(AR$5&lt;=$F175,AR$5+GanttPeriod-1&gt;=$E175),"━","")))</f>
        <v/>
      </c>
      <c r="AS175" s="69" t="str">
        <f aca="false">IF($E175="","",IF($M175,IF(AND($G175&gt;=AS$5,$G175&lt;AS$5+GanttPeriod),"◆",IF(AND($E175&gt;=AS$5,$E175&lt;AS$5+GanttPeriod),"◇","")),IF(AND(AS$5&lt;=$F175,AS$5+GanttPeriod-1&gt;=$E175),"━","")))</f>
        <v/>
      </c>
      <c r="AT175" s="69" t="str">
        <f aca="false">IF($E175="","",IF($M175,IF(AND($G175&gt;=AT$5,$G175&lt;AT$5+GanttPeriod),"◆",IF(AND($E175&gt;=AT$5,$E175&lt;AT$5+GanttPeriod),"◇","")),IF(AND(AT$5&lt;=$F175,AT$5+GanttPeriod-1&gt;=$E175),"━","")))</f>
        <v/>
      </c>
      <c r="AU175" s="69" t="str">
        <f aca="false">IF($E175="","",IF($M175,IF(AND($G175&gt;=AU$5,$G175&lt;AU$5+GanttPeriod),"◆",IF(AND($E175&gt;=AU$5,$E175&lt;AU$5+GanttPeriod),"◇","")),IF(AND(AU$5&lt;=$F175,AU$5+GanttPeriod-1&gt;=$E175),"━","")))</f>
        <v/>
      </c>
      <c r="AV175" s="69" t="str">
        <f aca="false">IF($E175="","",IF($M175,IF(AND($G175&gt;=AV$5,$G175&lt;AV$5+GanttPeriod),"◆",IF(AND($E175&gt;=AV$5,$E175&lt;AV$5+GanttPeriod),"◇","")),IF(AND(AV$5&lt;=$F175,AV$5+GanttPeriod-1&gt;=$E175),"━","")))</f>
        <v/>
      </c>
      <c r="AW175" s="69" t="str">
        <f aca="false">IF($E175="","",IF($M175,IF(AND($G175&gt;=AW$5,$G175&lt;AW$5+GanttPeriod),"◆",IF(AND($E175&gt;=AW$5,$E175&lt;AW$5+GanttPeriod),"◇","")),IF(AND(AW$5&lt;=$F175,AW$5+GanttPeriod-1&gt;=$E175),"━","")))</f>
        <v/>
      </c>
      <c r="AX175" s="69" t="str">
        <f aca="false">IF($E175="","",IF($M175,IF(AND($G175&gt;=AX$5,$G175&lt;AX$5+GanttPeriod),"◆",IF(AND($E175&gt;=AX$5,$E175&lt;AX$5+GanttPeriod),"◇","")),IF(AND(AX$5&lt;=$F175,AX$5+GanttPeriod-1&gt;=$E175),"━","")))</f>
        <v/>
      </c>
      <c r="AY175" s="69" t="str">
        <f aca="false">IF($E175="","",IF($M175,IF(AND($G175&gt;=AY$5,$G175&lt;AY$5+GanttPeriod),"◆",IF(AND($E175&gt;=AY$5,$E175&lt;AY$5+GanttPeriod),"◇","")),IF(AND(AY$5&lt;=$F175,AY$5+GanttPeriod-1&gt;=$E175),"━","")))</f>
        <v/>
      </c>
      <c r="AZ175" s="69" t="str">
        <f aca="false">IF($E175="","",IF($M175,IF(AND($G175&gt;=AZ$5,$G175&lt;AZ$5+GanttPeriod),"◆",IF(AND($E175&gt;=AZ$5,$E175&lt;AZ$5+GanttPeriod),"◇","")),IF(AND(AZ$5&lt;=$F175,AZ$5+GanttPeriod-1&gt;=$E175),"━","")))</f>
        <v/>
      </c>
      <c r="BA175" s="69" t="str">
        <f aca="false">IF($E175="","",IF($M175,IF(AND($G175&gt;=BA$5,$G175&lt;BA$5+GanttPeriod),"◆",IF(AND($E175&gt;=BA$5,$E175&lt;BA$5+GanttPeriod),"◇","")),IF(AND(BA$5&lt;=$F175,BA$5+GanttPeriod-1&gt;=$E175),"━","")))</f>
        <v/>
      </c>
      <c r="BB175" s="69" t="str">
        <f aca="false">IF($E175="","",IF($M175,IF(AND($G175&gt;=BB$5,$G175&lt;BB$5+GanttPeriod),"◆",IF(AND($E175&gt;=BB$5,$E175&lt;BB$5+GanttPeriod),"◇","")),IF(AND(BB$5&lt;=$F175,BB$5+GanttPeriod-1&gt;=$E175),"━","")))</f>
        <v/>
      </c>
      <c r="BC175" s="69" t="str">
        <f aca="false">IF($E175="","",IF($M175,IF(AND($G175&gt;=BC$5,$G175&lt;BC$5+GanttPeriod),"◆",IF(AND($E175&gt;=BC$5,$E175&lt;BC$5+GanttPeriod),"◇","")),IF(AND(BC$5&lt;=$F175,BC$5+GanttPeriod-1&gt;=$E175),"━","")))</f>
        <v/>
      </c>
      <c r="BD175" s="69" t="str">
        <f aca="false">IF($E175="","",IF($M175,IF(AND($G175&gt;=BD$5,$G175&lt;BD$5+GanttPeriod),"◆",IF(AND($E175&gt;=BD$5,$E175&lt;BD$5+GanttPeriod),"◇","")),IF(AND(BD$5&lt;=$F175,BD$5+GanttPeriod-1&gt;=$E175),"━","")))</f>
        <v/>
      </c>
      <c r="BE175" s="69" t="str">
        <f aca="false">IF($E175="","",IF($M175,IF(AND($G175&gt;=BE$5,$G175&lt;BE$5+GanttPeriod),"◆",IF(AND($E175&gt;=BE$5,$E175&lt;BE$5+GanttPeriod),"◇","")),IF(AND(BE$5&lt;=$F175,BE$5+GanttPeriod-1&gt;=$E175),"━","")))</f>
        <v/>
      </c>
      <c r="BF175" s="69" t="str">
        <f aca="false">IF($E175="","",IF($M175,IF(AND($G175&gt;=BF$5,$G175&lt;BF$5+GanttPeriod),"◆",IF(AND($E175&gt;=BF$5,$E175&lt;BF$5+GanttPeriod),"◇","")),IF(AND(BF$5&lt;=$F175,BF$5+GanttPeriod-1&gt;=$E175),"━","")))</f>
        <v/>
      </c>
      <c r="BG175" s="69" t="str">
        <f aca="false">IF($E175="","",IF($M175,IF(AND($G175&gt;=BG$5,$G175&lt;BG$5+GanttPeriod),"◆",IF(AND($E175&gt;=BG$5,$E175&lt;BG$5+GanttPeriod),"◇","")),IF(AND(BG$5&lt;=$F175,BG$5+GanttPeriod-1&gt;=$E175),"━","")))</f>
        <v/>
      </c>
      <c r="BH175" s="69" t="str">
        <f aca="false">IF($E175="","",IF($M175,IF(AND($G175&gt;=BH$5,$G175&lt;BH$5+GanttPeriod),"◆",IF(AND($E175&gt;=BH$5,$E175&lt;BH$5+GanttPeriod),"◇","")),IF(AND(BH$5&lt;=$F175,BH$5+GanttPeriod-1&gt;=$E175),"━","")))</f>
        <v/>
      </c>
      <c r="BI175" s="69" t="str">
        <f aca="false">IF($E175="","",IF($M175,IF(AND($G175&gt;=BI$5,$G175&lt;BI$5+GanttPeriod),"◆",IF(AND($E175&gt;=BI$5,$E175&lt;BI$5+GanttPeriod),"◇","")),IF(AND(BI$5&lt;=$F175,BI$5+GanttPeriod-1&gt;=$E175),"━","")))</f>
        <v/>
      </c>
      <c r="BJ175" s="69" t="str">
        <f aca="false">IF($E175="","",IF($M175,IF(AND($G175&gt;=BJ$5,$G175&lt;BJ$5+GanttPeriod),"◆",IF(AND($E175&gt;=BJ$5,$E175&lt;BJ$5+GanttPeriod),"◇","")),IF(AND(BJ$5&lt;=$F175,BJ$5+GanttPeriod-1&gt;=$E175),"━","")))</f>
        <v/>
      </c>
      <c r="BK175" s="69" t="str">
        <f aca="false">IF($E175="","",IF($M175,IF(AND($G175&gt;=BK$5,$G175&lt;BK$5+GanttPeriod),"◆",IF(AND($E175&gt;=BK$5,$E175&lt;BK$5+GanttPeriod),"◇","")),IF(AND(BK$5&lt;=$F175,BK$5+GanttPeriod-1&gt;=$E175),"━","")))</f>
        <v/>
      </c>
      <c r="BL175" s="69" t="str">
        <f aca="false">IF($E175="","",IF($M175,IF(AND($G175&gt;=BL$5,$G175&lt;BL$5+GanttPeriod),"◆",IF(AND($E175&gt;=BL$5,$E175&lt;BL$5+GanttPeriod),"◇","")),IF(AND(BL$5&lt;=$F175,BL$5+GanttPeriod-1&gt;=$E175),"━","")))</f>
        <v/>
      </c>
      <c r="BM175" s="69" t="str">
        <f aca="false">IF($E175="","",IF($M175,IF(AND($G175&gt;=BM$5,$G175&lt;BM$5+GanttPeriod),"◆",IF(AND($E175&gt;=BM$5,$E175&lt;BM$5+GanttPeriod),"◇","")),IF(AND(BM$5&lt;=$F175,BM$5+GanttPeriod-1&gt;=$E175),"━","")))</f>
        <v/>
      </c>
      <c r="BN175" s="69" t="str">
        <f aca="false">IF($E175="","",IF($M175,IF(AND($G175&gt;=BN$5,$G175&lt;BN$5+GanttPeriod),"◆",IF(AND($E175&gt;=BN$5,$E175&lt;BN$5+GanttPeriod),"◇","")),IF(AND(BN$5&lt;=$F175,BN$5+GanttPeriod-1&gt;=$E175),"━","")))</f>
        <v/>
      </c>
      <c r="BO175" s="69" t="str">
        <f aca="false">IF($E175="","",IF($M175,IF(AND($G175&gt;=BO$5,$G175&lt;BO$5+GanttPeriod),"◆",IF(AND($E175&gt;=BO$5,$E175&lt;BO$5+GanttPeriod),"◇","")),IF(AND(BO$5&lt;=$F175,BO$5+GanttPeriod-1&gt;=$E175),"━","")))</f>
        <v/>
      </c>
      <c r="BP175" s="69" t="str">
        <f aca="false">IF($E175="","",IF($M175,IF(AND($G175&gt;=BP$5,$G175&lt;BP$5+GanttPeriod),"◆",IF(AND($E175&gt;=BP$5,$E175&lt;BP$5+GanttPeriod),"◇","")),IF(AND(BP$5&lt;=$F175,BP$5+GanttPeriod-1&gt;=$E175),"━","")))</f>
        <v/>
      </c>
      <c r="BQ175" s="69" t="str">
        <f aca="false">IF($E175="","",IF($M175,IF(AND($G175&gt;=BQ$5,$G175&lt;BQ$5+GanttPeriod),"◆",IF(AND($E175&gt;=BQ$5,$E175&lt;BQ$5+GanttPeriod),"◇","")),IF(AND(BQ$5&lt;=$F175,BQ$5+GanttPeriod-1&gt;=$E175),"━","")))</f>
        <v/>
      </c>
      <c r="BR175" s="69" t="str">
        <f aca="false">IF($E175="","",IF($M175,IF(AND($G175&gt;=BR$5,$G175&lt;BR$5+GanttPeriod),"◆",IF(AND($E175&gt;=BR$5,$E175&lt;BR$5+GanttPeriod),"◇","")),IF(AND(BR$5&lt;=$F175,BR$5+GanttPeriod-1&gt;=$E175),"━","")))</f>
        <v/>
      </c>
      <c r="BS175" s="69" t="str">
        <f aca="false">IF($E175="","",IF($M175,IF(AND($G175&gt;=BS$5,$G175&lt;BS$5+GanttPeriod),"◆",IF(AND($E175&gt;=BS$5,$E175&lt;BS$5+GanttPeriod),"◇","")),IF(AND(BS$5&lt;=$F175,BS$5+GanttPeriod-1&gt;=$E175),"━","")))</f>
        <v/>
      </c>
      <c r="BT175" s="69" t="str">
        <f aca="false">IF($E175="","",IF($M175,IF(AND($G175&gt;=BT$5,$G175&lt;BT$5+GanttPeriod),"◆",IF(AND($E175&gt;=BT$5,$E175&lt;BT$5+GanttPeriod),"◇","")),IF(AND(BT$5&lt;=$F175,BT$5+GanttPeriod-1&gt;=$E175),"━","")))</f>
        <v/>
      </c>
      <c r="BU175" s="69" t="str">
        <f aca="false">IF($E175="","",IF($M175,IF(AND($G175&gt;=BU$5,$G175&lt;BU$5+GanttPeriod),"◆",IF(AND($E175&gt;=BU$5,$E175&lt;BU$5+GanttPeriod),"◇","")),IF(AND(BU$5&lt;=$F175,BU$5+GanttPeriod-1&gt;=$E175),"━","")))</f>
        <v/>
      </c>
      <c r="BV175" s="69" t="str">
        <f aca="false">IF($E175="","",IF($M175,IF(AND($G175&gt;=BV$5,$G175&lt;BV$5+GanttPeriod),"◆",IF(AND($E175&gt;=BV$5,$E175&lt;BV$5+GanttPeriod),"◇","")),IF(AND(BV$5&lt;=$F175,BV$5+GanttPeriod-1&gt;=$E175),"━","")))</f>
        <v/>
      </c>
      <c r="BW175" s="69" t="str">
        <f aca="false">IF($E175="","",IF($M175,IF(AND($G175&gt;=BW$5,$G175&lt;BW$5+GanttPeriod),"◆",IF(AND($E175&gt;=BW$5,$E175&lt;BW$5+GanttPeriod),"◇","")),IF(AND(BW$5&lt;=$F175,BW$5+GanttPeriod-1&gt;=$E175),"━","")))</f>
        <v/>
      </c>
      <c r="BX175" s="69" t="str">
        <f aca="false">IF($E175="","",IF($M175,IF(AND($G175&gt;=BX$5,$G175&lt;BX$5+GanttPeriod),"◆",IF(AND($E175&gt;=BX$5,$E175&lt;BX$5+GanttPeriod),"◇","")),IF(AND(BX$5&lt;=$F175,BX$5+GanttPeriod-1&gt;=$E175),"━","")))</f>
        <v/>
      </c>
      <c r="BY175" s="69" t="str">
        <f aca="false">IF($E175="","",IF($M175,IF(AND($G175&gt;=BY$5,$G175&lt;BY$5+GanttPeriod),"◆",IF(AND($E175&gt;=BY$5,$E175&lt;BY$5+GanttPeriod),"◇","")),IF(AND(BY$5&lt;=$F175,BY$5+GanttPeriod-1&gt;=$E175),"━","")))</f>
        <v/>
      </c>
      <c r="BZ175" s="69" t="str">
        <f aca="false">IF($E175="","",IF($M175,IF(AND($G175&gt;=BZ$5,$G175&lt;BZ$5+GanttPeriod),"◆",IF(AND($E175&gt;=BZ$5,$E175&lt;BZ$5+GanttPeriod),"◇","")),IF(AND(BZ$5&lt;=$F175,BZ$5+GanttPeriod-1&gt;=$E175),"━","")))</f>
        <v/>
      </c>
      <c r="CA175" s="69" t="str">
        <f aca="false">IF($E175="","",IF($M175,IF(AND($G175&gt;=CA$5,$G175&lt;CA$5+GanttPeriod),"◆",IF(AND($E175&gt;=CA$5,$E175&lt;CA$5+GanttPeriod),"◇","")),IF(AND(CA$5&lt;=$F175,CA$5+GanttPeriod-1&gt;=$E175),"━","")))</f>
        <v/>
      </c>
      <c r="CB175" s="69" t="str">
        <f aca="false">IF($E175="","",IF($M175,IF(AND($G175&gt;=CB$5,$G175&lt;CB$5+GanttPeriod),"◆",IF(AND($E175&gt;=CB$5,$E175&lt;CB$5+GanttPeriod),"◇","")),IF(AND(CB$5&lt;=$F175,CB$5+GanttPeriod-1&gt;=$E175),"━","")))</f>
        <v/>
      </c>
      <c r="CC175" s="69" t="str">
        <f aca="false">IF($E175="","",IF($M175,IF(AND($G175&gt;=CC$5,$G175&lt;CC$5+GanttPeriod),"◆",IF(AND($E175&gt;=CC$5,$E175&lt;CC$5+GanttPeriod),"◇","")),IF(AND(CC$5&lt;=$F175,CC$5+GanttPeriod-1&gt;=$E175),"━","")))</f>
        <v/>
      </c>
      <c r="CD175" s="69" t="str">
        <f aca="false">IF($E175="","",IF($M175,IF(AND($G175&gt;=CD$5,$G175&lt;CD$5+GanttPeriod),"◆",IF(AND($E175&gt;=CD$5,$E175&lt;CD$5+GanttPeriod),"◇","")),IF(AND(CD$5&lt;=$F175,CD$5+GanttPeriod-1&gt;=$E175),"━","")))</f>
        <v/>
      </c>
      <c r="CE175" s="69" t="str">
        <f aca="false">IF($E175="","",IF($M175,IF(AND($G175&gt;=CE$5,$G175&lt;CE$5+GanttPeriod),"◆",IF(AND($E175&gt;=CE$5,$E175&lt;CE$5+GanttPeriod),"◇","")),IF(AND(CE$5&lt;=$F175,CE$5+GanttPeriod-1&gt;=$E175),"━","")))</f>
        <v/>
      </c>
      <c r="CF175" s="69" t="str">
        <f aca="false">IF($E175="","",IF($M175,IF(AND($G175&gt;=CF$5,$G175&lt;CF$5+GanttPeriod),"◆",IF(AND($E175&gt;=CF$5,$E175&lt;CF$5+GanttPeriod),"◇","")),IF(AND(CF$5&lt;=$F175,CF$5+GanttPeriod-1&gt;=$E175),"━","")))</f>
        <v/>
      </c>
      <c r="CG175" s="69" t="str">
        <f aca="false">IF($E175="","",IF($M175,IF(AND($G175&gt;=CG$5,$G175&lt;CG$5+GanttPeriod),"◆",IF(AND($E175&gt;=CG$5,$E175&lt;CG$5+GanttPeriod),"◇","")),IF(AND(CG$5&lt;=$F175,CG$5+GanttPeriod-1&gt;=$E175),"━","")))</f>
        <v/>
      </c>
      <c r="CH175" s="69" t="str">
        <f aca="false">IF($E175="","",IF($M175,IF(AND($G175&gt;=CH$5,$G175&lt;CH$5+GanttPeriod),"◆",IF(AND($E175&gt;=CH$5,$E175&lt;CH$5+GanttPeriod),"◇","")),IF(AND(CH$5&lt;=$F175,CH$5+GanttPeriod-1&gt;=$E175),"━","")))</f>
        <v/>
      </c>
      <c r="CI175" s="69" t="str">
        <f aca="false">IF($E175="","",IF($M175,IF(AND($G175&gt;=CI$5,$G175&lt;CI$5+GanttPeriod),"◆",IF(AND($E175&gt;=CI$5,$E175&lt;CI$5+GanttPeriod),"◇","")),IF(AND(CI$5&lt;=$F175,CI$5+GanttPeriod-1&gt;=$E175),"━","")))</f>
        <v/>
      </c>
      <c r="CJ175" s="69" t="str">
        <f aca="false">IF($E175="","",IF($M175,IF(AND($G175&gt;=CJ$5,$G175&lt;CJ$5+GanttPeriod),"◆",IF(AND($E175&gt;=CJ$5,$E175&lt;CJ$5+GanttPeriod),"◇","")),IF(AND(CJ$5&lt;=$F175,CJ$5+GanttPeriod-1&gt;=$E175),"━","")))</f>
        <v/>
      </c>
      <c r="CK175" s="69" t="str">
        <f aca="false">IF($E175="","",IF($M175,IF(AND($G175&gt;=CK$5,$G175&lt;CK$5+GanttPeriod),"◆",IF(AND($E175&gt;=CK$5,$E175&lt;CK$5+GanttPeriod),"◇","")),IF(AND(CK$5&lt;=$F175,CK$5+GanttPeriod-1&gt;=$E175),"━","")))</f>
        <v/>
      </c>
      <c r="CL175" s="69" t="str">
        <f aca="false">IF($E175="","",IF($M175,IF(AND($G175&gt;=CL$5,$G175&lt;CL$5+GanttPeriod),"◆",IF(AND($E175&gt;=CL$5,$E175&lt;CL$5+GanttPeriod),"◇","")),IF(AND(CL$5&lt;=$F175,CL$5+GanttPeriod-1&gt;=$E175),"━","")))</f>
        <v/>
      </c>
      <c r="CM175" s="69" t="str">
        <f aca="false">IF($E175="","",IF($M175,IF(AND($G175&gt;=CM$5,$G175&lt;CM$5+GanttPeriod),"◆",IF(AND($E175&gt;=CM$5,$E175&lt;CM$5+GanttPeriod),"◇","")),IF(AND(CM$5&lt;=$F175,CM$5+GanttPeriod-1&gt;=$E175),"━","")))</f>
        <v/>
      </c>
      <c r="CN175" s="69" t="str">
        <f aca="false">IF($E175="","",IF($M175,IF(AND($G175&gt;=CN$5,$G175&lt;CN$5+GanttPeriod),"◆",IF(AND($E175&gt;=CN$5,$E175&lt;CN$5+GanttPeriod),"◇","")),IF(AND(CN$5&lt;=$F175,CN$5+GanttPeriod-1&gt;=$E175),"━","")))</f>
        <v/>
      </c>
      <c r="CO175" s="69" t="str">
        <f aca="false">IF($E175="","",IF($M175,IF(AND($G175&gt;=CO$5,$G175&lt;CO$5+GanttPeriod),"◆",IF(AND($E175&gt;=CO$5,$E175&lt;CO$5+GanttPeriod),"◇","")),IF(AND(CO$5&lt;=$F175,CO$5+GanttPeriod-1&gt;=$E175),"━","")))</f>
        <v/>
      </c>
      <c r="CP175" s="69" t="str">
        <f aca="false">IF($E175="","",IF($M175,IF(AND($G175&gt;=CP$5,$G175&lt;CP$5+GanttPeriod),"◆",IF(AND($E175&gt;=CP$5,$E175&lt;CP$5+GanttPeriod),"◇","")),IF(AND(CP$5&lt;=$F175,CP$5+GanttPeriod-1&gt;=$E175),"━","")))</f>
        <v/>
      </c>
      <c r="CQ175" s="69" t="str">
        <f aca="false">IF($E175="","",IF($M175,IF(AND($G175&gt;=CQ$5,$G175&lt;CQ$5+GanttPeriod),"◆",IF(AND($E175&gt;=CQ$5,$E175&lt;CQ$5+GanttPeriod),"◇","")),IF(AND(CQ$5&lt;=$F175,CQ$5+GanttPeriod-1&gt;=$E175),"━","")))</f>
        <v/>
      </c>
      <c r="CR175" s="69" t="str">
        <f aca="false">IF($E175="","",IF($M175,IF(AND($G175&gt;=CR$5,$G175&lt;CR$5+GanttPeriod),"◆",IF(AND($E175&gt;=CR$5,$E175&lt;CR$5+GanttPeriod),"◇","")),IF(AND(CR$5&lt;=$F175,CR$5+GanttPeriod-1&gt;=$E175),"━","")))</f>
        <v/>
      </c>
      <c r="CS175" s="69" t="str">
        <f aca="false">IF($E175="","",IF($M175,IF(AND($G175&gt;=CS$5,$G175&lt;CS$5+GanttPeriod),"◆",IF(AND($E175&gt;=CS$5,$E175&lt;CS$5+GanttPeriod),"◇","")),IF(AND(CS$5&lt;=$F175,CS$5+GanttPeriod-1&gt;=$E175),"━","")))</f>
        <v/>
      </c>
      <c r="CT175" s="69" t="str">
        <f aca="false">IF($E175="","",IF($M175,IF(AND($G175&gt;=CT$5,$G175&lt;CT$5+GanttPeriod),"◆",IF(AND($E175&gt;=CT$5,$E175&lt;CT$5+GanttPeriod),"◇","")),IF(AND(CT$5&lt;=$F175,CT$5+GanttPeriod-1&gt;=$E175),"━","")))</f>
        <v/>
      </c>
      <c r="CU175" s="69" t="str">
        <f aca="false">IF($E175="","",IF($M175,IF(AND($G175&gt;=CU$5,$G175&lt;CU$5+GanttPeriod),"◆",IF(AND($E175&gt;=CU$5,$E175&lt;CU$5+GanttPeriod),"◇","")),IF(AND(CU$5&lt;=$F175,CU$5+GanttPeriod-1&gt;=$E175),"━","")))</f>
        <v/>
      </c>
      <c r="CV175" s="69" t="str">
        <f aca="false">IF($E175="","",IF($M175,IF(AND($G175&gt;=CV$5,$G175&lt;CV$5+GanttPeriod),"◆",IF(AND($E175&gt;=CV$5,$E175&lt;CV$5+GanttPeriod),"◇","")),IF(AND(CV$5&lt;=$F175,CV$5+GanttPeriod-1&gt;=$E175),"━","")))</f>
        <v/>
      </c>
      <c r="CW175" s="69" t="str">
        <f aca="false">IF($E175="","",IF($M175,IF(AND($G175&gt;=CW$5,$G175&lt;CW$5+GanttPeriod),"◆",IF(AND($E175&gt;=CW$5,$E175&lt;CW$5+GanttPeriod),"◇","")),IF(AND(CW$5&lt;=$F175,CW$5+GanttPeriod-1&gt;=$E175),"━","")))</f>
        <v/>
      </c>
      <c r="CX175" s="69" t="str">
        <f aca="false">IF($E175="","",IF($M175,IF(AND($G175&gt;=CX$5,$G175&lt;CX$5+GanttPeriod),"◆",IF(AND($E175&gt;=CX$5,$E175&lt;CX$5+GanttPeriod),"◇","")),IF(AND(CX$5&lt;=$F175,CX$5+GanttPeriod-1&gt;=$E175),"━","")))</f>
        <v/>
      </c>
      <c r="CY175" s="69" t="str">
        <f aca="false">IF($E175="","",IF($M175,IF(AND($G175&gt;=CY$5,$G175&lt;CY$5+GanttPeriod),"◆",IF(AND($E175&gt;=CY$5,$E175&lt;CY$5+GanttPeriod),"◇","")),IF(AND(CY$5&lt;=$F175,CY$5+GanttPeriod-1&gt;=$E175),"━","")))</f>
        <v/>
      </c>
      <c r="CZ175" s="69" t="str">
        <f aca="false">IF($E175="","",IF($M175,IF(AND($G175&gt;=CZ$5,$G175&lt;CZ$5+GanttPeriod),"◆",IF(AND($E175&gt;=CZ$5,$E175&lt;CZ$5+GanttPeriod),"◇","")),IF(AND(CZ$5&lt;=$F175,CZ$5+GanttPeriod-1&gt;=$E175),"━","")))</f>
        <v/>
      </c>
      <c r="DA175" s="69" t="str">
        <f aca="false">IF($E175="","",IF($M175,IF(AND($G175&gt;=DA$5,$G175&lt;DA$5+GanttPeriod),"◆",IF(AND($E175&gt;=DA$5,$E175&lt;DA$5+GanttPeriod),"◇","")),IF(AND(DA$5&lt;=$F175,DA$5+GanttPeriod-1&gt;=$E175),"━","")))</f>
        <v/>
      </c>
      <c r="DB175" s="69" t="str">
        <f aca="false">IF($E175="","",IF($M175,IF(AND($G175&gt;=DB$5,$G175&lt;DB$5+GanttPeriod),"◆",IF(AND($E175&gt;=DB$5,$E175&lt;DB$5+GanttPeriod),"◇","")),IF(AND(DB$5&lt;=$F175,DB$5+GanttPeriod-1&gt;=$E175),"━","")))</f>
        <v/>
      </c>
      <c r="DC175" s="69" t="str">
        <f aca="false">IF($E175="","",IF($M175,IF(AND($G175&gt;=DC$5,$G175&lt;DC$5+GanttPeriod),"◆",IF(AND($E175&gt;=DC$5,$E175&lt;DC$5+GanttPeriod),"◇","")),IF(AND(DC$5&lt;=$F175,DC$5+GanttPeriod-1&gt;=$E175),"━","")))</f>
        <v/>
      </c>
      <c r="DD175" s="69" t="str">
        <f aca="false">IF($E175="","",IF($M175,IF(AND($G175&gt;=DD$5,$G175&lt;DD$5+GanttPeriod),"◆",IF(AND($E175&gt;=DD$5,$E175&lt;DD$5+GanttPeriod),"◇","")),IF(AND(DD$5&lt;=$F175,DD$5+GanttPeriod-1&gt;=$E175),"━","")))</f>
        <v/>
      </c>
      <c r="DE175" s="69" t="str">
        <f aca="false">IF($E175="","",IF($M175,IF(AND($G175&gt;=DE$5,$G175&lt;DE$5+GanttPeriod),"◆",IF(AND($E175&gt;=DE$5,$E175&lt;DE$5+GanttPeriod),"◇","")),IF(AND(DE$5&lt;=$F175,DE$5+GanttPeriod-1&gt;=$E175),"━","")))</f>
        <v/>
      </c>
      <c r="DF175" s="69" t="str">
        <f aca="false">IF($E175="","",IF($M175,IF(AND($G175&gt;=DF$5,$G175&lt;DF$5+GanttPeriod),"◆",IF(AND($E175&gt;=DF$5,$E175&lt;DF$5+GanttPeriod),"◇","")),IF(AND(DF$5&lt;=$F175,DF$5+GanttPeriod-1&gt;=$E175),"━","")))</f>
        <v/>
      </c>
      <c r="DG175" s="69" t="str">
        <f aca="false">IF($E175="","",IF($M175,IF(AND($G175&gt;=DG$5,$G175&lt;DG$5+GanttPeriod),"◆",IF(AND($E175&gt;=DG$5,$E175&lt;DG$5+GanttPeriod),"◇","")),IF(AND(DG$5&lt;=$F175,DG$5+GanttPeriod-1&gt;=$E175),"━","")))</f>
        <v/>
      </c>
      <c r="DH175" s="69" t="str">
        <f aca="false">IF($E175="","",IF($M175,IF(AND($G175&gt;=DH$5,$G175&lt;DH$5+GanttPeriod),"◆",IF(AND($E175&gt;=DH$5,$E175&lt;DH$5+GanttPeriod),"◇","")),IF(AND(DH$5&lt;=$F175,DH$5+GanttPeriod-1&gt;=$E175),"━","")))</f>
        <v/>
      </c>
      <c r="DI175" s="69" t="str">
        <f aca="false">IF($E175="","",IF($M175,IF(AND($G175&gt;=DI$5,$G175&lt;DI$5+GanttPeriod),"◆",IF(AND($E175&gt;=DI$5,$E175&lt;DI$5+GanttPeriod),"◇","")),IF(AND(DI$5&lt;=$F175,DI$5+GanttPeriod-1&gt;=$E175),"━","")))</f>
        <v/>
      </c>
      <c r="DJ175" s="69" t="str">
        <f aca="false">IF($E175="","",IF($M175,IF(AND($G175&gt;=DJ$5,$G175&lt;DJ$5+GanttPeriod),"◆",IF(AND($E175&gt;=DJ$5,$E175&lt;DJ$5+GanttPeriod),"◇","")),IF(AND(DJ$5&lt;=$F175,DJ$5+GanttPeriod-1&gt;=$E175),"━","")))</f>
        <v/>
      </c>
      <c r="DK175" s="69" t="str">
        <f aca="false">IF($E175="","",IF($M175,IF(AND($G175&gt;=DK$5,$G175&lt;DK$5+GanttPeriod),"◆",IF(AND($E175&gt;=DK$5,$E175&lt;DK$5+GanttPeriod),"◇","")),IF(AND(DK$5&lt;=$F175,DK$5+GanttPeriod-1&gt;=$E175),"━","")))</f>
        <v/>
      </c>
      <c r="DL175" s="69" t="str">
        <f aca="false">IF($E175="","",IF($M175,IF(AND($G175&gt;=DL$5,$G175&lt;DL$5+GanttPeriod),"◆",IF(AND($E175&gt;=DL$5,$E175&lt;DL$5+GanttPeriod),"◇","")),IF(AND(DL$5&lt;=$F175,DL$5+GanttPeriod-1&gt;=$E175),"━","")))</f>
        <v/>
      </c>
      <c r="DM175" s="69" t="str">
        <f aca="false">IF($E175="","",IF($M175,IF(AND($G175&gt;=DM$5,$G175&lt;DM$5+GanttPeriod),"◆",IF(AND($E175&gt;=DM$5,$E175&lt;DM$5+GanttPeriod),"◇","")),IF(AND(DM$5&lt;=$F175,DM$5+GanttPeriod-1&gt;=$E175),"━","")))</f>
        <v/>
      </c>
      <c r="DN175" s="69" t="str">
        <f aca="false">IF($E175="","",IF($M175,IF(AND($G175&gt;=DN$5,$G175&lt;DN$5+GanttPeriod),"◆",IF(AND($E175&gt;=DN$5,$E175&lt;DN$5+GanttPeriod),"◇","")),IF(AND(DN$5&lt;=$F175,DN$5+GanttPeriod-1&gt;=$E175),"━","")))</f>
        <v/>
      </c>
      <c r="DO175" s="69" t="str">
        <f aca="false">IF($E175="","",IF($M175,IF(AND($G175&gt;=DO$5,$G175&lt;DO$5+GanttPeriod),"◆",IF(AND($E175&gt;=DO$5,$E175&lt;DO$5+GanttPeriod),"◇","")),IF(AND(DO$5&lt;=$F175,DO$5+GanttPeriod-1&gt;=$E175),"━","")))</f>
        <v/>
      </c>
      <c r="DP175" s="69" t="str">
        <f aca="false">IF($E175="","",IF($M175,IF(AND($G175&gt;=DP$5,$G175&lt;DP$5+GanttPeriod),"◆",IF(AND($E175&gt;=DP$5,$E175&lt;DP$5+GanttPeriod),"◇","")),IF(AND(DP$5&lt;=$F175,DP$5+GanttPeriod-1&gt;=$E175),"━","")))</f>
        <v/>
      </c>
      <c r="DQ175" s="69" t="str">
        <f aca="false">IF($E175="","",IF($M175,IF(AND($G175&gt;=DQ$5,$G175&lt;DQ$5+GanttPeriod),"◆",IF(AND($E175&gt;=DQ$5,$E175&lt;DQ$5+GanttPeriod),"◇","")),IF(AND(DQ$5&lt;=$F175,DQ$5+GanttPeriod-1&gt;=$E175),"━","")))</f>
        <v/>
      </c>
      <c r="DR175" s="69" t="str">
        <f aca="false">IF($E175="","",IF($M175,IF(AND($G175&gt;=DR$5,$G175&lt;DR$5+GanttPeriod),"◆",IF(AND($E175&gt;=DR$5,$E175&lt;DR$5+GanttPeriod),"◇","")),IF(AND(DR$5&lt;=$F175,DR$5+GanttPeriod-1&gt;=$E175),"━","")))</f>
        <v/>
      </c>
      <c r="DS175" s="69" t="str">
        <f aca="false">IF($E175="","",IF($M175,IF(AND($G175&gt;=DS$5,$G175&lt;DS$5+GanttPeriod),"◆",IF(AND($E175&gt;=DS$5,$E175&lt;DS$5+GanttPeriod),"◇","")),IF(AND(DS$5&lt;=$F175,DS$5+GanttPeriod-1&gt;=$E175),"━","")))</f>
        <v/>
      </c>
      <c r="DT175" s="69" t="str">
        <f aca="false">IF($E175="","",IF($M175,IF(AND($G175&gt;=DT$5,$G175&lt;DT$5+GanttPeriod),"◆",IF(AND($E175&gt;=DT$5,$E175&lt;DT$5+GanttPeriod),"◇","")),IF(AND(DT$5&lt;=$F175,DT$5+GanttPeriod-1&gt;=$E175),"━","")))</f>
        <v/>
      </c>
      <c r="DU175" s="69" t="str">
        <f aca="false">IF($E175="","",IF($M175,IF(AND($G175&gt;=DU$5,$G175&lt;DU$5+GanttPeriod),"◆",IF(AND($E175&gt;=DU$5,$E175&lt;DU$5+GanttPeriod),"◇","")),IF(AND(DU$5&lt;=$F175,DU$5+GanttPeriod-1&gt;=$E175),"━","")))</f>
        <v/>
      </c>
      <c r="DV175" s="69" t="str">
        <f aca="false">IF($E175="","",IF($M175,IF(AND($G175&gt;=DV$5,$G175&lt;DV$5+GanttPeriod),"◆",IF(AND($E175&gt;=DV$5,$E175&lt;DV$5+GanttPeriod),"◇","")),IF(AND(DV$5&lt;=$F175,DV$5+GanttPeriod-1&gt;=$E175),"━","")))</f>
        <v/>
      </c>
      <c r="DW175" s="69" t="str">
        <f aca="false">IF($E175="","",IF($M175,IF(AND($G175&gt;=DW$5,$G175&lt;DW$5+GanttPeriod),"◆",IF(AND($E175&gt;=DW$5,$E175&lt;DW$5+GanttPeriod),"◇","")),IF(AND(DW$5&lt;=$F175,DW$5+GanttPeriod-1&gt;=$E175),"━","")))</f>
        <v/>
      </c>
      <c r="DX175" s="69" t="str">
        <f aca="false">IF($E175="","",IF($M175,IF(AND($G175&gt;=DX$5,$G175&lt;DX$5+GanttPeriod),"◆",IF(AND($E175&gt;=DX$5,$E175&lt;DX$5+GanttPeriod),"◇","")),IF(AND(DX$5&lt;=$F175,DX$5+GanttPeriod-1&gt;=$E175),"━","")))</f>
        <v/>
      </c>
      <c r="DY175" s="69" t="str">
        <f aca="false">IF($E175="","",IF($M175,IF(AND($G175&gt;=DY$5,$G175&lt;DY$5+GanttPeriod),"◆",IF(AND($E175&gt;=DY$5,$E175&lt;DY$5+GanttPeriod),"◇","")),IF(AND(DY$5&lt;=$F175,DY$5+GanttPeriod-1&gt;=$E175),"━","")))</f>
        <v/>
      </c>
      <c r="DZ175" s="69" t="str">
        <f aca="false">IF($E175="","",IF($M175,IF(AND($G175&gt;=DZ$5,$G175&lt;DZ$5+GanttPeriod),"◆",IF(AND($E175&gt;=DZ$5,$E175&lt;DZ$5+GanttPeriod),"◇","")),IF(AND(DZ$5&lt;=$F175,DZ$5+GanttPeriod-1&gt;=$E175),"━","")))</f>
        <v/>
      </c>
      <c r="EA175" s="69" t="str">
        <f aca="false">IF($E175="","",IF($M175,IF(AND($G175&gt;=EA$5,$G175&lt;EA$5+GanttPeriod),"◆",IF(AND($E175&gt;=EA$5,$E175&lt;EA$5+GanttPeriod),"◇","")),IF(AND(EA$5&lt;=$F175,EA$5+GanttPeriod-1&gt;=$E175),"━","")))</f>
        <v/>
      </c>
      <c r="EB175" s="69" t="str">
        <f aca="false">IF($E175="","",IF($M175,IF(AND($G175&gt;=EB$5,$G175&lt;EB$5+GanttPeriod),"◆",IF(AND($E175&gt;=EB$5,$E175&lt;EB$5+GanttPeriod),"◇","")),IF(AND(EB$5&lt;=$F175,EB$5+GanttPeriod-1&gt;=$E175),"━","")))</f>
        <v/>
      </c>
      <c r="EC175" s="69" t="str">
        <f aca="false">IF($E175="","",IF($M175,IF(AND($G175&gt;=EC$5,$G175&lt;EC$5+GanttPeriod),"◆",IF(AND($E175&gt;=EC$5,$E175&lt;EC$5+GanttPeriod),"◇","")),IF(AND(EC$5&lt;=$F175,EC$5+GanttPeriod-1&gt;=$E175),"━","")))</f>
        <v/>
      </c>
      <c r="ED175" s="69" t="str">
        <f aca="false">IF($E175="","",IF($M175,IF(AND($G175&gt;=ED$5,$G175&lt;ED$5+GanttPeriod),"◆",IF(AND($E175&gt;=ED$5,$E175&lt;ED$5+GanttPeriod),"◇","")),IF(AND(ED$5&lt;=$F175,ED$5+GanttPeriod-1&gt;=$E175),"━","")))</f>
        <v/>
      </c>
      <c r="EE175" s="69" t="str">
        <f aca="false">IF($E175="","",IF($M175,IF(AND($G175&gt;=EE$5,$G175&lt;EE$5+GanttPeriod),"◆",IF(AND($E175&gt;=EE$5,$E175&lt;EE$5+GanttPeriod),"◇","")),IF(AND(EE$5&lt;=$F175,EE$5+GanttPeriod-1&gt;=$E175),"━","")))</f>
        <v/>
      </c>
      <c r="EF175" s="69" t="str">
        <f aca="false">IF($E175="","",IF($M175,IF(AND($G175&gt;=EF$5,$G175&lt;EF$5+GanttPeriod),"◆",IF(AND($E175&gt;=EF$5,$E175&lt;EF$5+GanttPeriod),"◇","")),IF(AND(EF$5&lt;=$F175,EF$5+GanttPeriod-1&gt;=$E175),"━","")))</f>
        <v/>
      </c>
      <c r="EG175" s="69" t="str">
        <f aca="false">IF($E175="","",IF($M175,IF(AND($G175&gt;=EG$5,$G175&lt;EG$5+GanttPeriod),"◆",IF(AND($E175&gt;=EG$5,$E175&lt;EG$5+GanttPeriod),"◇","")),IF(AND(EG$5&lt;=$F175,EG$5+GanttPeriod-1&gt;=$E175),"━","")))</f>
        <v/>
      </c>
      <c r="EH175" s="69" t="str">
        <f aca="false">IF($E175="","",IF($M175,IF(AND($G175&gt;=EH$5,$G175&lt;EH$5+GanttPeriod),"◆",IF(AND($E175&gt;=EH$5,$E175&lt;EH$5+GanttPeriod),"◇","")),IF(AND(EH$5&lt;=$F175,EH$5+GanttPeriod-1&gt;=$E175),"━","")))</f>
        <v/>
      </c>
      <c r="EI175" s="69" t="str">
        <f aca="false">IF($E175="","",IF($M175,IF(AND($G175&gt;=EI$5,$G175&lt;EI$5+GanttPeriod),"◆",IF(AND($E175&gt;=EI$5,$E175&lt;EI$5+GanttPeriod),"◇","")),IF(AND(EI$5&lt;=$F175,EI$5+GanttPeriod-1&gt;=$E175),"━","")))</f>
        <v/>
      </c>
      <c r="EJ175" s="69" t="str">
        <f aca="false">IF($E175="","",IF($M175,IF(AND($G175&gt;=EJ$5,$G175&lt;EJ$5+GanttPeriod),"◆",IF(AND($E175&gt;=EJ$5,$E175&lt;EJ$5+GanttPeriod),"◇","")),IF(AND(EJ$5&lt;=$F175,EJ$5+GanttPeriod-1&gt;=$E175),"━","")))</f>
        <v/>
      </c>
      <c r="EK175" s="69" t="str">
        <f aca="false">IF($E175="","",IF($M175,IF(AND($G175&gt;=EK$5,$G175&lt;EK$5+GanttPeriod),"◆",IF(AND($E175&gt;=EK$5,$E175&lt;EK$5+GanttPeriod),"◇","")),IF(AND(EK$5&lt;=$F175,EK$5+GanttPeriod-1&gt;=$E175),"━","")))</f>
        <v/>
      </c>
      <c r="EL175" s="69" t="str">
        <f aca="false">IF($E175="","",IF($M175,IF(AND($G175&gt;=EL$5,$G175&lt;EL$5+GanttPeriod),"◆",IF(AND($E175&gt;=EL$5,$E175&lt;EL$5+GanttPeriod),"◇","")),IF(AND(EL$5&lt;=$F175,EL$5+GanttPeriod-1&gt;=$E175),"━","")))</f>
        <v/>
      </c>
      <c r="EM175" s="69" t="str">
        <f aca="false">IF($E175="","",IF($M175,IF(AND($G175&gt;=EM$5,$G175&lt;EM$5+GanttPeriod),"◆",IF(AND($E175&gt;=EM$5,$E175&lt;EM$5+GanttPeriod),"◇","")),IF(AND(EM$5&lt;=$F175,EM$5+GanttPeriod-1&gt;=$E175),"━","")))</f>
        <v/>
      </c>
      <c r="EN175" s="69" t="str">
        <f aca="false">IF($E175="","",IF($M175,IF(AND($G175&gt;=EN$5,$G175&lt;EN$5+GanttPeriod),"◆",IF(AND($E175&gt;=EN$5,$E175&lt;EN$5+GanttPeriod),"◇","")),IF(AND(EN$5&lt;=$F175,EN$5+GanttPeriod-1&gt;=$E175),"━","")))</f>
        <v/>
      </c>
      <c r="EO175" s="69" t="str">
        <f aca="false">IF($E175="","",IF($M175,IF(AND($G175&gt;=EO$5,$G175&lt;EO$5+GanttPeriod),"◆",IF(AND($E175&gt;=EO$5,$E175&lt;EO$5+GanttPeriod),"◇","")),IF(AND(EO$5&lt;=$F175,EO$5+GanttPeriod-1&gt;=$E175),"━","")))</f>
        <v/>
      </c>
      <c r="EP175" s="69" t="str">
        <f aca="false">IF($E175="","",IF($M175,IF(AND($G175&gt;=EP$5,$G175&lt;EP$5+GanttPeriod),"◆",IF(AND($E175&gt;=EP$5,$E175&lt;EP$5+GanttPeriod),"◇","")),IF(AND(EP$5&lt;=$F175,EP$5+GanttPeriod-1&gt;=$E175),"━","")))</f>
        <v/>
      </c>
      <c r="EQ175" s="69" t="str">
        <f aca="false">IF($E175="","",IF($M175,IF(AND($G175&gt;=EQ$5,$G175&lt;EQ$5+GanttPeriod),"◆",IF(AND($E175&gt;=EQ$5,$E175&lt;EQ$5+GanttPeriod),"◇","")),IF(AND(EQ$5&lt;=$F175,EQ$5+GanttPeriod-1&gt;=$E175),"━","")))</f>
        <v/>
      </c>
      <c r="ER175" s="69" t="str">
        <f aca="false">IF($E175="","",IF($M175,IF(AND($G175&gt;=ER$5,$G175&lt;ER$5+GanttPeriod),"◆",IF(AND($E175&gt;=ER$5,$E175&lt;ER$5+GanttPeriod),"◇","")),IF(AND(ER$5&lt;=$F175,ER$5+GanttPeriod-1&gt;=$E175),"━","")))</f>
        <v/>
      </c>
      <c r="ES175" s="69" t="str">
        <f aca="false">IF($E175="","",IF($M175,IF(AND($G175&gt;=ES$5,$G175&lt;ES$5+GanttPeriod),"◆",IF(AND($E175&gt;=ES$5,$E175&lt;ES$5+GanttPeriod),"◇","")),IF(AND(ES$5&lt;=$F175,ES$5+GanttPeriod-1&gt;=$E175),"━","")))</f>
        <v/>
      </c>
      <c r="ET175" s="69" t="str">
        <f aca="false">IF($E175="","",IF($M175,IF(AND($G175&gt;=ET$5,$G175&lt;ET$5+GanttPeriod),"◆",IF(AND($E175&gt;=ET$5,$E175&lt;ET$5+GanttPeriod),"◇","")),IF(AND(ET$5&lt;=$F175,ET$5+GanttPeriod-1&gt;=$E175),"━","")))</f>
        <v/>
      </c>
      <c r="EU175" s="69" t="str">
        <f aca="false">IF($E175="","",IF($M175,IF(AND($G175&gt;=EU$5,$G175&lt;EU$5+GanttPeriod),"◆",IF(AND($E175&gt;=EU$5,$E175&lt;EU$5+GanttPeriod),"◇","")),IF(AND(EU$5&lt;=$F175,EU$5+GanttPeriod-1&gt;=$E175),"━","")))</f>
        <v/>
      </c>
      <c r="EV175" s="69" t="str">
        <f aca="false">IF($E175="","",IF($M175,IF(AND($G175&gt;=EV$5,$G175&lt;EV$5+GanttPeriod),"◆",IF(AND($E175&gt;=EV$5,$E175&lt;EV$5+GanttPeriod),"◇","")),IF(AND(EV$5&lt;=$F175,EV$5+GanttPeriod-1&gt;=$E175),"━","")))</f>
        <v/>
      </c>
      <c r="EW175" s="69" t="str">
        <f aca="false">IF($E175="","",IF($M175,IF(AND($G175&gt;=EW$5,$G175&lt;EW$5+GanttPeriod),"◆",IF(AND($E175&gt;=EW$5,$E175&lt;EW$5+GanttPeriod),"◇","")),IF(AND(EW$5&lt;=$F175,EW$5+GanttPeriod-1&gt;=$E175),"━","")))</f>
        <v/>
      </c>
      <c r="EX175" s="69" t="str">
        <f aca="false">IF($E175="","",IF($M175,IF(AND($G175&gt;=EX$5,$G175&lt;EX$5+GanttPeriod),"◆",IF(AND($E175&gt;=EX$5,$E175&lt;EX$5+GanttPeriod),"◇","")),IF(AND(EX$5&lt;=$F175,EX$5+GanttPeriod-1&gt;=$E175),"━","")))</f>
        <v/>
      </c>
      <c r="EY175" s="69" t="str">
        <f aca="false">IF($E175="","",IF($M175,IF(AND($G175&gt;=EY$5,$G175&lt;EY$5+GanttPeriod),"◆",IF(AND($E175&gt;=EY$5,$E175&lt;EY$5+GanttPeriod),"◇","")),IF(AND(EY$5&lt;=$F175,EY$5+GanttPeriod-1&gt;=$E175),"━","")))</f>
        <v/>
      </c>
      <c r="EZ175" s="69" t="str">
        <f aca="false">IF($E175="","",IF($M175,IF(AND($G175&gt;=EZ$5,$G175&lt;EZ$5+GanttPeriod),"◆",IF(AND($E175&gt;=EZ$5,$E175&lt;EZ$5+GanttPeriod),"◇","")),IF(AND(EZ$5&lt;=$F175,EZ$5+GanttPeriod-1&gt;=$E175),"━","")))</f>
        <v/>
      </c>
      <c r="FA175" s="69" t="str">
        <f aca="false">IF($E175="","",IF($M175,IF(AND($G175&gt;=FA$5,$G175&lt;FA$5+GanttPeriod),"◆",IF(AND($E175&gt;=FA$5,$E175&lt;FA$5+GanttPeriod),"◇","")),IF(AND(FA$5&lt;=$F175,FA$5+GanttPeriod-1&gt;=$E175),"━","")))</f>
        <v/>
      </c>
      <c r="FB175" s="69" t="str">
        <f aca="false">IF($E175="","",IF($M175,IF(AND($G175&gt;=FB$5,$G175&lt;FB$5+GanttPeriod),"◆",IF(AND($E175&gt;=FB$5,$E175&lt;FB$5+GanttPeriod),"◇","")),IF(AND(FB$5&lt;=$F175,FB$5+GanttPeriod-1&gt;=$E175),"━","")))</f>
        <v/>
      </c>
      <c r="FC175" s="69" t="str">
        <f aca="false">IF($E175="","",IF($M175,IF(AND($G175&gt;=FC$5,$G175&lt;FC$5+GanttPeriod),"◆",IF(AND($E175&gt;=FC$5,$E175&lt;FC$5+GanttPeriod),"◇","")),IF(AND(FC$5&lt;=$F175,FC$5+GanttPeriod-1&gt;=$E175),"━","")))</f>
        <v/>
      </c>
      <c r="FD175" s="69" t="str">
        <f aca="false">IF($E175="","",IF($M175,IF(AND($G175&gt;=FD$5,$G175&lt;FD$5+GanttPeriod),"◆",IF(AND($E175&gt;=FD$5,$E175&lt;FD$5+GanttPeriod),"◇","")),IF(AND(FD$5&lt;=$F175,FD$5+GanttPeriod-1&gt;=$E175),"━","")))</f>
        <v/>
      </c>
      <c r="FE175" s="69" t="str">
        <f aca="false">IF($E175="","",IF($M175,IF(AND($G175&gt;=FE$5,$G175&lt;FE$5+GanttPeriod),"◆",IF(AND($E175&gt;=FE$5,$E175&lt;FE$5+GanttPeriod),"◇","")),IF(AND(FE$5&lt;=$F175,FE$5+GanttPeriod-1&gt;=$E175),"━","")))</f>
        <v/>
      </c>
      <c r="FF175" s="69" t="str">
        <f aca="false">IF($E175="","",IF($M175,IF(AND($G175&gt;=FF$5,$G175&lt;FF$5+GanttPeriod),"◆",IF(AND($E175&gt;=FF$5,$E175&lt;FF$5+GanttPeriod),"◇","")),IF(AND(FF$5&lt;=$F175,FF$5+GanttPeriod-1&gt;=$E175),"━","")))</f>
        <v/>
      </c>
      <c r="FG175" s="69" t="str">
        <f aca="false">IF($E175="","",IF($M175,IF(AND($G175&gt;=FG$5,$G175&lt;FG$5+GanttPeriod),"◆",IF(AND($E175&gt;=FG$5,$E175&lt;FG$5+GanttPeriod),"◇","")),IF(AND(FG$5&lt;=$F175,FG$5+GanttPeriod-1&gt;=$E175),"━","")))</f>
        <v/>
      </c>
      <c r="FH175" s="69" t="str">
        <f aca="false">IF($E175="","",IF($M175,IF(AND($G175&gt;=FH$5,$G175&lt;FH$5+GanttPeriod),"◆",IF(AND($E175&gt;=FH$5,$E175&lt;FH$5+GanttPeriod),"◇","")),IF(AND(FH$5&lt;=$F175,FH$5+GanttPeriod-1&gt;=$E175),"━","")))</f>
        <v/>
      </c>
      <c r="FI175" s="69" t="str">
        <f aca="false">IF($E175="","",IF($M175,IF(AND($G175&gt;=FI$5,$G175&lt;FI$5+GanttPeriod),"◆",IF(AND($E175&gt;=FI$5,$E175&lt;FI$5+GanttPeriod),"◇","")),IF(AND(FI$5&lt;=$F175,FI$5+GanttPeriod-1&gt;=$E175),"━","")))</f>
        <v/>
      </c>
      <c r="FJ175" s="69" t="str">
        <f aca="false">IF($E175="","",IF($M175,IF(AND($G175&gt;=FJ$5,$G175&lt;FJ$5+GanttPeriod),"◆",IF(AND($E175&gt;=FJ$5,$E175&lt;FJ$5+GanttPeriod),"◇","")),IF(AND(FJ$5&lt;=$F175,FJ$5+GanttPeriod-1&gt;=$E175),"━","")))</f>
        <v/>
      </c>
      <c r="FK175" s="69" t="str">
        <f aca="false">IF($E175="","",IF($M175,IF(AND($G175&gt;=FK$5,$G175&lt;FK$5+GanttPeriod),"◆",IF(AND($E175&gt;=FK$5,$E175&lt;FK$5+GanttPeriod),"◇","")),IF(AND(FK$5&lt;=$F175,FK$5+GanttPeriod-1&gt;=$E175),"━","")))</f>
        <v/>
      </c>
      <c r="FL175" s="69" t="str">
        <f aca="false">IF($E175="","",IF($M175,IF(AND($G175&gt;=FL$5,$G175&lt;FL$5+GanttPeriod),"◆",IF(AND($E175&gt;=FL$5,$E175&lt;FL$5+GanttPeriod),"◇","")),IF(AND(FL$5&lt;=$F175,FL$5+GanttPeriod-1&gt;=$E175),"━","")))</f>
        <v/>
      </c>
      <c r="FM175" s="69" t="str">
        <f aca="false">IF($E175="","",IF($M175,IF(AND($G175&gt;=FM$5,$G175&lt;FM$5+GanttPeriod),"◆",IF(AND($E175&gt;=FM$5,$E175&lt;FM$5+GanttPeriod),"◇","")),IF(AND(FM$5&lt;=$F175,FM$5+GanttPeriod-1&gt;=$E175),"━","")))</f>
        <v/>
      </c>
    </row>
    <row r="176" customFormat="false" ht="15" hidden="false" customHeight="false" outlineLevel="0" collapsed="false">
      <c r="A176" s="62" t="str">
        <f aca="false">IF(Tasks!$D176="","",Tasks!$A176)</f>
        <v/>
      </c>
      <c r="B176" s="62" t="str">
        <f aca="false">IF(Tasks!$D176="","",Tasks!$B176)</f>
        <v/>
      </c>
      <c r="C176" s="63" t="str">
        <f aca="false">IF(Tasks!$D176="","",REPT("    ",Tasks!$AE176-1)&amp;Tasks!$D176)</f>
        <v/>
      </c>
      <c r="D176" s="62" t="str">
        <f aca="false">IF(Tasks!$D176="","",IF(Tasks!$AI176,NETWORKDAYS.INTL(Tasks!$R176,Tasks!$S176,WorkWeek,Holidays),N(Tasks!$F176)))</f>
        <v/>
      </c>
      <c r="E176" s="64" t="str">
        <f aca="false">IF(Tasks!$D176="","",Tasks!$N176)</f>
        <v/>
      </c>
      <c r="F176" s="64" t="str">
        <f aca="false">IF(Tasks!$D176="","",Tasks!$O176)</f>
        <v/>
      </c>
      <c r="G176" s="64" t="str">
        <f aca="false">IF(Tasks!$D176="","",Tasks!$R176)</f>
        <v/>
      </c>
      <c r="H176" s="64" t="str">
        <f aca="false">IF(Tasks!$D176="","",Tasks!$S176)</f>
        <v/>
      </c>
      <c r="I176" s="65" t="str">
        <f aca="false">IF(Tasks!$D176="","",Tasks!$V176)</f>
        <v/>
      </c>
      <c r="J176" s="63" t="str">
        <f aca="false">IF(Tasks!$D176="","",Tasks!$X176&amp;"")</f>
        <v/>
      </c>
      <c r="K176" s="66" t="str">
        <f aca="false">IF(Tasks!$D176="","",Tasks!$W176)</f>
        <v/>
      </c>
      <c r="L176" s="67" t="b">
        <f aca="false">IF(Tasks!$D176="",FALSE(),Tasks!$AI176)</f>
        <v>0</v>
      </c>
      <c r="M176" s="67" t="b">
        <f aca="false">AND(Tasks!$AJ176=1,N(Tasks!$F176)=0)</f>
        <v>0</v>
      </c>
      <c r="N176" s="68" t="n">
        <f aca="false">IF(AND(Tasks!$AJ176=1,NOT($M176),N($I176)&gt;0),$G176,0)</f>
        <v>0</v>
      </c>
      <c r="O176" s="68" t="n">
        <f aca="false">IF($N176=0,0,IF($I176&gt;=1,$H176,MAX($N176,$G176+ROUND(($H176-$G176+1)*$I176,0)-1)))</f>
        <v>0</v>
      </c>
      <c r="P176" s="68" t="n">
        <f aca="false">IF(OR(Tasks!$AJ176&lt;&gt;1,$M176,N($I176)&gt;=1),0,IF($O176&gt;0,$O176+1,$G176))</f>
        <v>0</v>
      </c>
      <c r="Q176" s="68" t="n">
        <f aca="false">IF($P176=0,0,$H176)</f>
        <v>0</v>
      </c>
      <c r="R176" s="67" t="b">
        <f aca="false">AND(Tasks!$D176&lt;&gt;"",N(Tasks!$T176)&gt;0)</f>
        <v>0</v>
      </c>
      <c r="T176" s="69" t="str">
        <f aca="false">IF($E176="","",IF($M176,IF(AND($G176&gt;=T$5,$G176&lt;T$5+GanttPeriod),"◆",IF(AND($E176&gt;=T$5,$E176&lt;T$5+GanttPeriod),"◇","")),IF(AND(T$5&lt;=$F176,T$5+GanttPeriod-1&gt;=$E176),"━","")))</f>
        <v/>
      </c>
      <c r="U176" s="69" t="str">
        <f aca="false">IF($E176="","",IF($M176,IF(AND($G176&gt;=U$5,$G176&lt;U$5+GanttPeriod),"◆",IF(AND($E176&gt;=U$5,$E176&lt;U$5+GanttPeriod),"◇","")),IF(AND(U$5&lt;=$F176,U$5+GanttPeriod-1&gt;=$E176),"━","")))</f>
        <v/>
      </c>
      <c r="V176" s="69" t="str">
        <f aca="false">IF($E176="","",IF($M176,IF(AND($G176&gt;=V$5,$G176&lt;V$5+GanttPeriod),"◆",IF(AND($E176&gt;=V$5,$E176&lt;V$5+GanttPeriod),"◇","")),IF(AND(V$5&lt;=$F176,V$5+GanttPeriod-1&gt;=$E176),"━","")))</f>
        <v/>
      </c>
      <c r="W176" s="69" t="str">
        <f aca="false">IF($E176="","",IF($M176,IF(AND($G176&gt;=W$5,$G176&lt;W$5+GanttPeriod),"◆",IF(AND($E176&gt;=W$5,$E176&lt;W$5+GanttPeriod),"◇","")),IF(AND(W$5&lt;=$F176,W$5+GanttPeriod-1&gt;=$E176),"━","")))</f>
        <v/>
      </c>
      <c r="X176" s="69" t="str">
        <f aca="false">IF($E176="","",IF($M176,IF(AND($G176&gt;=X$5,$G176&lt;X$5+GanttPeriod),"◆",IF(AND($E176&gt;=X$5,$E176&lt;X$5+GanttPeriod),"◇","")),IF(AND(X$5&lt;=$F176,X$5+GanttPeriod-1&gt;=$E176),"━","")))</f>
        <v/>
      </c>
      <c r="Y176" s="69" t="str">
        <f aca="false">IF($E176="","",IF($M176,IF(AND($G176&gt;=Y$5,$G176&lt;Y$5+GanttPeriod),"◆",IF(AND($E176&gt;=Y$5,$E176&lt;Y$5+GanttPeriod),"◇","")),IF(AND(Y$5&lt;=$F176,Y$5+GanttPeriod-1&gt;=$E176),"━","")))</f>
        <v/>
      </c>
      <c r="Z176" s="69" t="str">
        <f aca="false">IF($E176="","",IF($M176,IF(AND($G176&gt;=Z$5,$G176&lt;Z$5+GanttPeriod),"◆",IF(AND($E176&gt;=Z$5,$E176&lt;Z$5+GanttPeriod),"◇","")),IF(AND(Z$5&lt;=$F176,Z$5+GanttPeriod-1&gt;=$E176),"━","")))</f>
        <v/>
      </c>
      <c r="AA176" s="69" t="str">
        <f aca="false">IF($E176="","",IF($M176,IF(AND($G176&gt;=AA$5,$G176&lt;AA$5+GanttPeriod),"◆",IF(AND($E176&gt;=AA$5,$E176&lt;AA$5+GanttPeriod),"◇","")),IF(AND(AA$5&lt;=$F176,AA$5+GanttPeriod-1&gt;=$E176),"━","")))</f>
        <v/>
      </c>
      <c r="AB176" s="69" t="str">
        <f aca="false">IF($E176="","",IF($M176,IF(AND($G176&gt;=AB$5,$G176&lt;AB$5+GanttPeriod),"◆",IF(AND($E176&gt;=AB$5,$E176&lt;AB$5+GanttPeriod),"◇","")),IF(AND(AB$5&lt;=$F176,AB$5+GanttPeriod-1&gt;=$E176),"━","")))</f>
        <v/>
      </c>
      <c r="AC176" s="69" t="str">
        <f aca="false">IF($E176="","",IF($M176,IF(AND($G176&gt;=AC$5,$G176&lt;AC$5+GanttPeriod),"◆",IF(AND($E176&gt;=AC$5,$E176&lt;AC$5+GanttPeriod),"◇","")),IF(AND(AC$5&lt;=$F176,AC$5+GanttPeriod-1&gt;=$E176),"━","")))</f>
        <v/>
      </c>
      <c r="AD176" s="69" t="str">
        <f aca="false">IF($E176="","",IF($M176,IF(AND($G176&gt;=AD$5,$G176&lt;AD$5+GanttPeriod),"◆",IF(AND($E176&gt;=AD$5,$E176&lt;AD$5+GanttPeriod),"◇","")),IF(AND(AD$5&lt;=$F176,AD$5+GanttPeriod-1&gt;=$E176),"━","")))</f>
        <v/>
      </c>
      <c r="AE176" s="69" t="str">
        <f aca="false">IF($E176="","",IF($M176,IF(AND($G176&gt;=AE$5,$G176&lt;AE$5+GanttPeriod),"◆",IF(AND($E176&gt;=AE$5,$E176&lt;AE$5+GanttPeriod),"◇","")),IF(AND(AE$5&lt;=$F176,AE$5+GanttPeriod-1&gt;=$E176),"━","")))</f>
        <v/>
      </c>
      <c r="AF176" s="69" t="str">
        <f aca="false">IF($E176="","",IF($M176,IF(AND($G176&gt;=AF$5,$G176&lt;AF$5+GanttPeriod),"◆",IF(AND($E176&gt;=AF$5,$E176&lt;AF$5+GanttPeriod),"◇","")),IF(AND(AF$5&lt;=$F176,AF$5+GanttPeriod-1&gt;=$E176),"━","")))</f>
        <v/>
      </c>
      <c r="AG176" s="69" t="str">
        <f aca="false">IF($E176="","",IF($M176,IF(AND($G176&gt;=AG$5,$G176&lt;AG$5+GanttPeriod),"◆",IF(AND($E176&gt;=AG$5,$E176&lt;AG$5+GanttPeriod),"◇","")),IF(AND(AG$5&lt;=$F176,AG$5+GanttPeriod-1&gt;=$E176),"━","")))</f>
        <v/>
      </c>
      <c r="AH176" s="69" t="str">
        <f aca="false">IF($E176="","",IF($M176,IF(AND($G176&gt;=AH$5,$G176&lt;AH$5+GanttPeriod),"◆",IF(AND($E176&gt;=AH$5,$E176&lt;AH$5+GanttPeriod),"◇","")),IF(AND(AH$5&lt;=$F176,AH$5+GanttPeriod-1&gt;=$E176),"━","")))</f>
        <v/>
      </c>
      <c r="AI176" s="69" t="str">
        <f aca="false">IF($E176="","",IF($M176,IF(AND($G176&gt;=AI$5,$G176&lt;AI$5+GanttPeriod),"◆",IF(AND($E176&gt;=AI$5,$E176&lt;AI$5+GanttPeriod),"◇","")),IF(AND(AI$5&lt;=$F176,AI$5+GanttPeriod-1&gt;=$E176),"━","")))</f>
        <v/>
      </c>
      <c r="AJ176" s="69" t="str">
        <f aca="false">IF($E176="","",IF($M176,IF(AND($G176&gt;=AJ$5,$G176&lt;AJ$5+GanttPeriod),"◆",IF(AND($E176&gt;=AJ$5,$E176&lt;AJ$5+GanttPeriod),"◇","")),IF(AND(AJ$5&lt;=$F176,AJ$5+GanttPeriod-1&gt;=$E176),"━","")))</f>
        <v/>
      </c>
      <c r="AK176" s="69" t="str">
        <f aca="false">IF($E176="","",IF($M176,IF(AND($G176&gt;=AK$5,$G176&lt;AK$5+GanttPeriod),"◆",IF(AND($E176&gt;=AK$5,$E176&lt;AK$5+GanttPeriod),"◇","")),IF(AND(AK$5&lt;=$F176,AK$5+GanttPeriod-1&gt;=$E176),"━","")))</f>
        <v/>
      </c>
      <c r="AL176" s="69" t="str">
        <f aca="false">IF($E176="","",IF($M176,IF(AND($G176&gt;=AL$5,$G176&lt;AL$5+GanttPeriod),"◆",IF(AND($E176&gt;=AL$5,$E176&lt;AL$5+GanttPeriod),"◇","")),IF(AND(AL$5&lt;=$F176,AL$5+GanttPeriod-1&gt;=$E176),"━","")))</f>
        <v/>
      </c>
      <c r="AM176" s="69" t="str">
        <f aca="false">IF($E176="","",IF($M176,IF(AND($G176&gt;=AM$5,$G176&lt;AM$5+GanttPeriod),"◆",IF(AND($E176&gt;=AM$5,$E176&lt;AM$5+GanttPeriod),"◇","")),IF(AND(AM$5&lt;=$F176,AM$5+GanttPeriod-1&gt;=$E176),"━","")))</f>
        <v/>
      </c>
      <c r="AN176" s="69" t="str">
        <f aca="false">IF($E176="","",IF($M176,IF(AND($G176&gt;=AN$5,$G176&lt;AN$5+GanttPeriod),"◆",IF(AND($E176&gt;=AN$5,$E176&lt;AN$5+GanttPeriod),"◇","")),IF(AND(AN$5&lt;=$F176,AN$5+GanttPeriod-1&gt;=$E176),"━","")))</f>
        <v/>
      </c>
      <c r="AO176" s="69" t="str">
        <f aca="false">IF($E176="","",IF($M176,IF(AND($G176&gt;=AO$5,$G176&lt;AO$5+GanttPeriod),"◆",IF(AND($E176&gt;=AO$5,$E176&lt;AO$5+GanttPeriod),"◇","")),IF(AND(AO$5&lt;=$F176,AO$5+GanttPeriod-1&gt;=$E176),"━","")))</f>
        <v/>
      </c>
      <c r="AP176" s="69" t="str">
        <f aca="false">IF($E176="","",IF($M176,IF(AND($G176&gt;=AP$5,$G176&lt;AP$5+GanttPeriod),"◆",IF(AND($E176&gt;=AP$5,$E176&lt;AP$5+GanttPeriod),"◇","")),IF(AND(AP$5&lt;=$F176,AP$5+GanttPeriod-1&gt;=$E176),"━","")))</f>
        <v/>
      </c>
      <c r="AQ176" s="69" t="str">
        <f aca="false">IF($E176="","",IF($M176,IF(AND($G176&gt;=AQ$5,$G176&lt;AQ$5+GanttPeriod),"◆",IF(AND($E176&gt;=AQ$5,$E176&lt;AQ$5+GanttPeriod),"◇","")),IF(AND(AQ$5&lt;=$F176,AQ$5+GanttPeriod-1&gt;=$E176),"━","")))</f>
        <v/>
      </c>
      <c r="AR176" s="69" t="str">
        <f aca="false">IF($E176="","",IF($M176,IF(AND($G176&gt;=AR$5,$G176&lt;AR$5+GanttPeriod),"◆",IF(AND($E176&gt;=AR$5,$E176&lt;AR$5+GanttPeriod),"◇","")),IF(AND(AR$5&lt;=$F176,AR$5+GanttPeriod-1&gt;=$E176),"━","")))</f>
        <v/>
      </c>
      <c r="AS176" s="69" t="str">
        <f aca="false">IF($E176="","",IF($M176,IF(AND($G176&gt;=AS$5,$G176&lt;AS$5+GanttPeriod),"◆",IF(AND($E176&gt;=AS$5,$E176&lt;AS$5+GanttPeriod),"◇","")),IF(AND(AS$5&lt;=$F176,AS$5+GanttPeriod-1&gt;=$E176),"━","")))</f>
        <v/>
      </c>
      <c r="AT176" s="69" t="str">
        <f aca="false">IF($E176="","",IF($M176,IF(AND($G176&gt;=AT$5,$G176&lt;AT$5+GanttPeriod),"◆",IF(AND($E176&gt;=AT$5,$E176&lt;AT$5+GanttPeriod),"◇","")),IF(AND(AT$5&lt;=$F176,AT$5+GanttPeriod-1&gt;=$E176),"━","")))</f>
        <v/>
      </c>
      <c r="AU176" s="69" t="str">
        <f aca="false">IF($E176="","",IF($M176,IF(AND($G176&gt;=AU$5,$G176&lt;AU$5+GanttPeriod),"◆",IF(AND($E176&gt;=AU$5,$E176&lt;AU$5+GanttPeriod),"◇","")),IF(AND(AU$5&lt;=$F176,AU$5+GanttPeriod-1&gt;=$E176),"━","")))</f>
        <v/>
      </c>
      <c r="AV176" s="69" t="str">
        <f aca="false">IF($E176="","",IF($M176,IF(AND($G176&gt;=AV$5,$G176&lt;AV$5+GanttPeriod),"◆",IF(AND($E176&gt;=AV$5,$E176&lt;AV$5+GanttPeriod),"◇","")),IF(AND(AV$5&lt;=$F176,AV$5+GanttPeriod-1&gt;=$E176),"━","")))</f>
        <v/>
      </c>
      <c r="AW176" s="69" t="str">
        <f aca="false">IF($E176="","",IF($M176,IF(AND($G176&gt;=AW$5,$G176&lt;AW$5+GanttPeriod),"◆",IF(AND($E176&gt;=AW$5,$E176&lt;AW$5+GanttPeriod),"◇","")),IF(AND(AW$5&lt;=$F176,AW$5+GanttPeriod-1&gt;=$E176),"━","")))</f>
        <v/>
      </c>
      <c r="AX176" s="69" t="str">
        <f aca="false">IF($E176="","",IF($M176,IF(AND($G176&gt;=AX$5,$G176&lt;AX$5+GanttPeriod),"◆",IF(AND($E176&gt;=AX$5,$E176&lt;AX$5+GanttPeriod),"◇","")),IF(AND(AX$5&lt;=$F176,AX$5+GanttPeriod-1&gt;=$E176),"━","")))</f>
        <v/>
      </c>
      <c r="AY176" s="69" t="str">
        <f aca="false">IF($E176="","",IF($M176,IF(AND($G176&gt;=AY$5,$G176&lt;AY$5+GanttPeriod),"◆",IF(AND($E176&gt;=AY$5,$E176&lt;AY$5+GanttPeriod),"◇","")),IF(AND(AY$5&lt;=$F176,AY$5+GanttPeriod-1&gt;=$E176),"━","")))</f>
        <v/>
      </c>
      <c r="AZ176" s="69" t="str">
        <f aca="false">IF($E176="","",IF($M176,IF(AND($G176&gt;=AZ$5,$G176&lt;AZ$5+GanttPeriod),"◆",IF(AND($E176&gt;=AZ$5,$E176&lt;AZ$5+GanttPeriod),"◇","")),IF(AND(AZ$5&lt;=$F176,AZ$5+GanttPeriod-1&gt;=$E176),"━","")))</f>
        <v/>
      </c>
      <c r="BA176" s="69" t="str">
        <f aca="false">IF($E176="","",IF($M176,IF(AND($G176&gt;=BA$5,$G176&lt;BA$5+GanttPeriod),"◆",IF(AND($E176&gt;=BA$5,$E176&lt;BA$5+GanttPeriod),"◇","")),IF(AND(BA$5&lt;=$F176,BA$5+GanttPeriod-1&gt;=$E176),"━","")))</f>
        <v/>
      </c>
      <c r="BB176" s="69" t="str">
        <f aca="false">IF($E176="","",IF($M176,IF(AND($G176&gt;=BB$5,$G176&lt;BB$5+GanttPeriod),"◆",IF(AND($E176&gt;=BB$5,$E176&lt;BB$5+GanttPeriod),"◇","")),IF(AND(BB$5&lt;=$F176,BB$5+GanttPeriod-1&gt;=$E176),"━","")))</f>
        <v/>
      </c>
      <c r="BC176" s="69" t="str">
        <f aca="false">IF($E176="","",IF($M176,IF(AND($G176&gt;=BC$5,$G176&lt;BC$5+GanttPeriod),"◆",IF(AND($E176&gt;=BC$5,$E176&lt;BC$5+GanttPeriod),"◇","")),IF(AND(BC$5&lt;=$F176,BC$5+GanttPeriod-1&gt;=$E176),"━","")))</f>
        <v/>
      </c>
      <c r="BD176" s="69" t="str">
        <f aca="false">IF($E176="","",IF($M176,IF(AND($G176&gt;=BD$5,$G176&lt;BD$5+GanttPeriod),"◆",IF(AND($E176&gt;=BD$5,$E176&lt;BD$5+GanttPeriod),"◇","")),IF(AND(BD$5&lt;=$F176,BD$5+GanttPeriod-1&gt;=$E176),"━","")))</f>
        <v/>
      </c>
      <c r="BE176" s="69" t="str">
        <f aca="false">IF($E176="","",IF($M176,IF(AND($G176&gt;=BE$5,$G176&lt;BE$5+GanttPeriod),"◆",IF(AND($E176&gt;=BE$5,$E176&lt;BE$5+GanttPeriod),"◇","")),IF(AND(BE$5&lt;=$F176,BE$5+GanttPeriod-1&gt;=$E176),"━","")))</f>
        <v/>
      </c>
      <c r="BF176" s="69" t="str">
        <f aca="false">IF($E176="","",IF($M176,IF(AND($G176&gt;=BF$5,$G176&lt;BF$5+GanttPeriod),"◆",IF(AND($E176&gt;=BF$5,$E176&lt;BF$5+GanttPeriod),"◇","")),IF(AND(BF$5&lt;=$F176,BF$5+GanttPeriod-1&gt;=$E176),"━","")))</f>
        <v/>
      </c>
      <c r="BG176" s="69" t="str">
        <f aca="false">IF($E176="","",IF($M176,IF(AND($G176&gt;=BG$5,$G176&lt;BG$5+GanttPeriod),"◆",IF(AND($E176&gt;=BG$5,$E176&lt;BG$5+GanttPeriod),"◇","")),IF(AND(BG$5&lt;=$F176,BG$5+GanttPeriod-1&gt;=$E176),"━","")))</f>
        <v/>
      </c>
      <c r="BH176" s="69" t="str">
        <f aca="false">IF($E176="","",IF($M176,IF(AND($G176&gt;=BH$5,$G176&lt;BH$5+GanttPeriod),"◆",IF(AND($E176&gt;=BH$5,$E176&lt;BH$5+GanttPeriod),"◇","")),IF(AND(BH$5&lt;=$F176,BH$5+GanttPeriod-1&gt;=$E176),"━","")))</f>
        <v/>
      </c>
      <c r="BI176" s="69" t="str">
        <f aca="false">IF($E176="","",IF($M176,IF(AND($G176&gt;=BI$5,$G176&lt;BI$5+GanttPeriod),"◆",IF(AND($E176&gt;=BI$5,$E176&lt;BI$5+GanttPeriod),"◇","")),IF(AND(BI$5&lt;=$F176,BI$5+GanttPeriod-1&gt;=$E176),"━","")))</f>
        <v/>
      </c>
      <c r="BJ176" s="69" t="str">
        <f aca="false">IF($E176="","",IF($M176,IF(AND($G176&gt;=BJ$5,$G176&lt;BJ$5+GanttPeriod),"◆",IF(AND($E176&gt;=BJ$5,$E176&lt;BJ$5+GanttPeriod),"◇","")),IF(AND(BJ$5&lt;=$F176,BJ$5+GanttPeriod-1&gt;=$E176),"━","")))</f>
        <v/>
      </c>
      <c r="BK176" s="69" t="str">
        <f aca="false">IF($E176="","",IF($M176,IF(AND($G176&gt;=BK$5,$G176&lt;BK$5+GanttPeriod),"◆",IF(AND($E176&gt;=BK$5,$E176&lt;BK$5+GanttPeriod),"◇","")),IF(AND(BK$5&lt;=$F176,BK$5+GanttPeriod-1&gt;=$E176),"━","")))</f>
        <v/>
      </c>
      <c r="BL176" s="69" t="str">
        <f aca="false">IF($E176="","",IF($M176,IF(AND($G176&gt;=BL$5,$G176&lt;BL$5+GanttPeriod),"◆",IF(AND($E176&gt;=BL$5,$E176&lt;BL$5+GanttPeriod),"◇","")),IF(AND(BL$5&lt;=$F176,BL$5+GanttPeriod-1&gt;=$E176),"━","")))</f>
        <v/>
      </c>
      <c r="BM176" s="69" t="str">
        <f aca="false">IF($E176="","",IF($M176,IF(AND($G176&gt;=BM$5,$G176&lt;BM$5+GanttPeriod),"◆",IF(AND($E176&gt;=BM$5,$E176&lt;BM$5+GanttPeriod),"◇","")),IF(AND(BM$5&lt;=$F176,BM$5+GanttPeriod-1&gt;=$E176),"━","")))</f>
        <v/>
      </c>
      <c r="BN176" s="69" t="str">
        <f aca="false">IF($E176="","",IF($M176,IF(AND($G176&gt;=BN$5,$G176&lt;BN$5+GanttPeriod),"◆",IF(AND($E176&gt;=BN$5,$E176&lt;BN$5+GanttPeriod),"◇","")),IF(AND(BN$5&lt;=$F176,BN$5+GanttPeriod-1&gt;=$E176),"━","")))</f>
        <v/>
      </c>
      <c r="BO176" s="69" t="str">
        <f aca="false">IF($E176="","",IF($M176,IF(AND($G176&gt;=BO$5,$G176&lt;BO$5+GanttPeriod),"◆",IF(AND($E176&gt;=BO$5,$E176&lt;BO$5+GanttPeriod),"◇","")),IF(AND(BO$5&lt;=$F176,BO$5+GanttPeriod-1&gt;=$E176),"━","")))</f>
        <v/>
      </c>
      <c r="BP176" s="69" t="str">
        <f aca="false">IF($E176="","",IF($M176,IF(AND($G176&gt;=BP$5,$G176&lt;BP$5+GanttPeriod),"◆",IF(AND($E176&gt;=BP$5,$E176&lt;BP$5+GanttPeriod),"◇","")),IF(AND(BP$5&lt;=$F176,BP$5+GanttPeriod-1&gt;=$E176),"━","")))</f>
        <v/>
      </c>
      <c r="BQ176" s="69" t="str">
        <f aca="false">IF($E176="","",IF($M176,IF(AND($G176&gt;=BQ$5,$G176&lt;BQ$5+GanttPeriod),"◆",IF(AND($E176&gt;=BQ$5,$E176&lt;BQ$5+GanttPeriod),"◇","")),IF(AND(BQ$5&lt;=$F176,BQ$5+GanttPeriod-1&gt;=$E176),"━","")))</f>
        <v/>
      </c>
      <c r="BR176" s="69" t="str">
        <f aca="false">IF($E176="","",IF($M176,IF(AND($G176&gt;=BR$5,$G176&lt;BR$5+GanttPeriod),"◆",IF(AND($E176&gt;=BR$5,$E176&lt;BR$5+GanttPeriod),"◇","")),IF(AND(BR$5&lt;=$F176,BR$5+GanttPeriod-1&gt;=$E176),"━","")))</f>
        <v/>
      </c>
      <c r="BS176" s="69" t="str">
        <f aca="false">IF($E176="","",IF($M176,IF(AND($G176&gt;=BS$5,$G176&lt;BS$5+GanttPeriod),"◆",IF(AND($E176&gt;=BS$5,$E176&lt;BS$5+GanttPeriod),"◇","")),IF(AND(BS$5&lt;=$F176,BS$5+GanttPeriod-1&gt;=$E176),"━","")))</f>
        <v/>
      </c>
      <c r="BT176" s="69" t="str">
        <f aca="false">IF($E176="","",IF($M176,IF(AND($G176&gt;=BT$5,$G176&lt;BT$5+GanttPeriod),"◆",IF(AND($E176&gt;=BT$5,$E176&lt;BT$5+GanttPeriod),"◇","")),IF(AND(BT$5&lt;=$F176,BT$5+GanttPeriod-1&gt;=$E176),"━","")))</f>
        <v/>
      </c>
      <c r="BU176" s="69" t="str">
        <f aca="false">IF($E176="","",IF($M176,IF(AND($G176&gt;=BU$5,$G176&lt;BU$5+GanttPeriod),"◆",IF(AND($E176&gt;=BU$5,$E176&lt;BU$5+GanttPeriod),"◇","")),IF(AND(BU$5&lt;=$F176,BU$5+GanttPeriod-1&gt;=$E176),"━","")))</f>
        <v/>
      </c>
      <c r="BV176" s="69" t="str">
        <f aca="false">IF($E176="","",IF($M176,IF(AND($G176&gt;=BV$5,$G176&lt;BV$5+GanttPeriod),"◆",IF(AND($E176&gt;=BV$5,$E176&lt;BV$5+GanttPeriod),"◇","")),IF(AND(BV$5&lt;=$F176,BV$5+GanttPeriod-1&gt;=$E176),"━","")))</f>
        <v/>
      </c>
      <c r="BW176" s="69" t="str">
        <f aca="false">IF($E176="","",IF($M176,IF(AND($G176&gt;=BW$5,$G176&lt;BW$5+GanttPeriod),"◆",IF(AND($E176&gt;=BW$5,$E176&lt;BW$5+GanttPeriod),"◇","")),IF(AND(BW$5&lt;=$F176,BW$5+GanttPeriod-1&gt;=$E176),"━","")))</f>
        <v/>
      </c>
      <c r="BX176" s="69" t="str">
        <f aca="false">IF($E176="","",IF($M176,IF(AND($G176&gt;=BX$5,$G176&lt;BX$5+GanttPeriod),"◆",IF(AND($E176&gt;=BX$5,$E176&lt;BX$5+GanttPeriod),"◇","")),IF(AND(BX$5&lt;=$F176,BX$5+GanttPeriod-1&gt;=$E176),"━","")))</f>
        <v/>
      </c>
      <c r="BY176" s="69" t="str">
        <f aca="false">IF($E176="","",IF($M176,IF(AND($G176&gt;=BY$5,$G176&lt;BY$5+GanttPeriod),"◆",IF(AND($E176&gt;=BY$5,$E176&lt;BY$5+GanttPeriod),"◇","")),IF(AND(BY$5&lt;=$F176,BY$5+GanttPeriod-1&gt;=$E176),"━","")))</f>
        <v/>
      </c>
      <c r="BZ176" s="69" t="str">
        <f aca="false">IF($E176="","",IF($M176,IF(AND($G176&gt;=BZ$5,$G176&lt;BZ$5+GanttPeriod),"◆",IF(AND($E176&gt;=BZ$5,$E176&lt;BZ$5+GanttPeriod),"◇","")),IF(AND(BZ$5&lt;=$F176,BZ$5+GanttPeriod-1&gt;=$E176),"━","")))</f>
        <v/>
      </c>
      <c r="CA176" s="69" t="str">
        <f aca="false">IF($E176="","",IF($M176,IF(AND($G176&gt;=CA$5,$G176&lt;CA$5+GanttPeriod),"◆",IF(AND($E176&gt;=CA$5,$E176&lt;CA$5+GanttPeriod),"◇","")),IF(AND(CA$5&lt;=$F176,CA$5+GanttPeriod-1&gt;=$E176),"━","")))</f>
        <v/>
      </c>
      <c r="CB176" s="69" t="str">
        <f aca="false">IF($E176="","",IF($M176,IF(AND($G176&gt;=CB$5,$G176&lt;CB$5+GanttPeriod),"◆",IF(AND($E176&gt;=CB$5,$E176&lt;CB$5+GanttPeriod),"◇","")),IF(AND(CB$5&lt;=$F176,CB$5+GanttPeriod-1&gt;=$E176),"━","")))</f>
        <v/>
      </c>
      <c r="CC176" s="69" t="str">
        <f aca="false">IF($E176="","",IF($M176,IF(AND($G176&gt;=CC$5,$G176&lt;CC$5+GanttPeriod),"◆",IF(AND($E176&gt;=CC$5,$E176&lt;CC$5+GanttPeriod),"◇","")),IF(AND(CC$5&lt;=$F176,CC$5+GanttPeriod-1&gt;=$E176),"━","")))</f>
        <v/>
      </c>
      <c r="CD176" s="69" t="str">
        <f aca="false">IF($E176="","",IF($M176,IF(AND($G176&gt;=CD$5,$G176&lt;CD$5+GanttPeriod),"◆",IF(AND($E176&gt;=CD$5,$E176&lt;CD$5+GanttPeriod),"◇","")),IF(AND(CD$5&lt;=$F176,CD$5+GanttPeriod-1&gt;=$E176),"━","")))</f>
        <v/>
      </c>
      <c r="CE176" s="69" t="str">
        <f aca="false">IF($E176="","",IF($M176,IF(AND($G176&gt;=CE$5,$G176&lt;CE$5+GanttPeriod),"◆",IF(AND($E176&gt;=CE$5,$E176&lt;CE$5+GanttPeriod),"◇","")),IF(AND(CE$5&lt;=$F176,CE$5+GanttPeriod-1&gt;=$E176),"━","")))</f>
        <v/>
      </c>
      <c r="CF176" s="69" t="str">
        <f aca="false">IF($E176="","",IF($M176,IF(AND($G176&gt;=CF$5,$G176&lt;CF$5+GanttPeriod),"◆",IF(AND($E176&gt;=CF$5,$E176&lt;CF$5+GanttPeriod),"◇","")),IF(AND(CF$5&lt;=$F176,CF$5+GanttPeriod-1&gt;=$E176),"━","")))</f>
        <v/>
      </c>
      <c r="CG176" s="69" t="str">
        <f aca="false">IF($E176="","",IF($M176,IF(AND($G176&gt;=CG$5,$G176&lt;CG$5+GanttPeriod),"◆",IF(AND($E176&gt;=CG$5,$E176&lt;CG$5+GanttPeriod),"◇","")),IF(AND(CG$5&lt;=$F176,CG$5+GanttPeriod-1&gt;=$E176),"━","")))</f>
        <v/>
      </c>
      <c r="CH176" s="69" t="str">
        <f aca="false">IF($E176="","",IF($M176,IF(AND($G176&gt;=CH$5,$G176&lt;CH$5+GanttPeriod),"◆",IF(AND($E176&gt;=CH$5,$E176&lt;CH$5+GanttPeriod),"◇","")),IF(AND(CH$5&lt;=$F176,CH$5+GanttPeriod-1&gt;=$E176),"━","")))</f>
        <v/>
      </c>
      <c r="CI176" s="69" t="str">
        <f aca="false">IF($E176="","",IF($M176,IF(AND($G176&gt;=CI$5,$G176&lt;CI$5+GanttPeriod),"◆",IF(AND($E176&gt;=CI$5,$E176&lt;CI$5+GanttPeriod),"◇","")),IF(AND(CI$5&lt;=$F176,CI$5+GanttPeriod-1&gt;=$E176),"━","")))</f>
        <v/>
      </c>
      <c r="CJ176" s="69" t="str">
        <f aca="false">IF($E176="","",IF($M176,IF(AND($G176&gt;=CJ$5,$G176&lt;CJ$5+GanttPeriod),"◆",IF(AND($E176&gt;=CJ$5,$E176&lt;CJ$5+GanttPeriod),"◇","")),IF(AND(CJ$5&lt;=$F176,CJ$5+GanttPeriod-1&gt;=$E176),"━","")))</f>
        <v/>
      </c>
      <c r="CK176" s="69" t="str">
        <f aca="false">IF($E176="","",IF($M176,IF(AND($G176&gt;=CK$5,$G176&lt;CK$5+GanttPeriod),"◆",IF(AND($E176&gt;=CK$5,$E176&lt;CK$5+GanttPeriod),"◇","")),IF(AND(CK$5&lt;=$F176,CK$5+GanttPeriod-1&gt;=$E176),"━","")))</f>
        <v/>
      </c>
      <c r="CL176" s="69" t="str">
        <f aca="false">IF($E176="","",IF($M176,IF(AND($G176&gt;=CL$5,$G176&lt;CL$5+GanttPeriod),"◆",IF(AND($E176&gt;=CL$5,$E176&lt;CL$5+GanttPeriod),"◇","")),IF(AND(CL$5&lt;=$F176,CL$5+GanttPeriod-1&gt;=$E176),"━","")))</f>
        <v/>
      </c>
      <c r="CM176" s="69" t="str">
        <f aca="false">IF($E176="","",IF($M176,IF(AND($G176&gt;=CM$5,$G176&lt;CM$5+GanttPeriod),"◆",IF(AND($E176&gt;=CM$5,$E176&lt;CM$5+GanttPeriod),"◇","")),IF(AND(CM$5&lt;=$F176,CM$5+GanttPeriod-1&gt;=$E176),"━","")))</f>
        <v/>
      </c>
      <c r="CN176" s="69" t="str">
        <f aca="false">IF($E176="","",IF($M176,IF(AND($G176&gt;=CN$5,$G176&lt;CN$5+GanttPeriod),"◆",IF(AND($E176&gt;=CN$5,$E176&lt;CN$5+GanttPeriod),"◇","")),IF(AND(CN$5&lt;=$F176,CN$5+GanttPeriod-1&gt;=$E176),"━","")))</f>
        <v/>
      </c>
      <c r="CO176" s="69" t="str">
        <f aca="false">IF($E176="","",IF($M176,IF(AND($G176&gt;=CO$5,$G176&lt;CO$5+GanttPeriod),"◆",IF(AND($E176&gt;=CO$5,$E176&lt;CO$5+GanttPeriod),"◇","")),IF(AND(CO$5&lt;=$F176,CO$5+GanttPeriod-1&gt;=$E176),"━","")))</f>
        <v/>
      </c>
      <c r="CP176" s="69" t="str">
        <f aca="false">IF($E176="","",IF($M176,IF(AND($G176&gt;=CP$5,$G176&lt;CP$5+GanttPeriod),"◆",IF(AND($E176&gt;=CP$5,$E176&lt;CP$5+GanttPeriod),"◇","")),IF(AND(CP$5&lt;=$F176,CP$5+GanttPeriod-1&gt;=$E176),"━","")))</f>
        <v/>
      </c>
      <c r="CQ176" s="69" t="str">
        <f aca="false">IF($E176="","",IF($M176,IF(AND($G176&gt;=CQ$5,$G176&lt;CQ$5+GanttPeriod),"◆",IF(AND($E176&gt;=CQ$5,$E176&lt;CQ$5+GanttPeriod),"◇","")),IF(AND(CQ$5&lt;=$F176,CQ$5+GanttPeriod-1&gt;=$E176),"━","")))</f>
        <v/>
      </c>
      <c r="CR176" s="69" t="str">
        <f aca="false">IF($E176="","",IF($M176,IF(AND($G176&gt;=CR$5,$G176&lt;CR$5+GanttPeriod),"◆",IF(AND($E176&gt;=CR$5,$E176&lt;CR$5+GanttPeriod),"◇","")),IF(AND(CR$5&lt;=$F176,CR$5+GanttPeriod-1&gt;=$E176),"━","")))</f>
        <v/>
      </c>
      <c r="CS176" s="69" t="str">
        <f aca="false">IF($E176="","",IF($M176,IF(AND($G176&gt;=CS$5,$G176&lt;CS$5+GanttPeriod),"◆",IF(AND($E176&gt;=CS$5,$E176&lt;CS$5+GanttPeriod),"◇","")),IF(AND(CS$5&lt;=$F176,CS$5+GanttPeriod-1&gt;=$E176),"━","")))</f>
        <v/>
      </c>
      <c r="CT176" s="69" t="str">
        <f aca="false">IF($E176="","",IF($M176,IF(AND($G176&gt;=CT$5,$G176&lt;CT$5+GanttPeriod),"◆",IF(AND($E176&gt;=CT$5,$E176&lt;CT$5+GanttPeriod),"◇","")),IF(AND(CT$5&lt;=$F176,CT$5+GanttPeriod-1&gt;=$E176),"━","")))</f>
        <v/>
      </c>
      <c r="CU176" s="69" t="str">
        <f aca="false">IF($E176="","",IF($M176,IF(AND($G176&gt;=CU$5,$G176&lt;CU$5+GanttPeriod),"◆",IF(AND($E176&gt;=CU$5,$E176&lt;CU$5+GanttPeriod),"◇","")),IF(AND(CU$5&lt;=$F176,CU$5+GanttPeriod-1&gt;=$E176),"━","")))</f>
        <v/>
      </c>
      <c r="CV176" s="69" t="str">
        <f aca="false">IF($E176="","",IF($M176,IF(AND($G176&gt;=CV$5,$G176&lt;CV$5+GanttPeriod),"◆",IF(AND($E176&gt;=CV$5,$E176&lt;CV$5+GanttPeriod),"◇","")),IF(AND(CV$5&lt;=$F176,CV$5+GanttPeriod-1&gt;=$E176),"━","")))</f>
        <v/>
      </c>
      <c r="CW176" s="69" t="str">
        <f aca="false">IF($E176="","",IF($M176,IF(AND($G176&gt;=CW$5,$G176&lt;CW$5+GanttPeriod),"◆",IF(AND($E176&gt;=CW$5,$E176&lt;CW$5+GanttPeriod),"◇","")),IF(AND(CW$5&lt;=$F176,CW$5+GanttPeriod-1&gt;=$E176),"━","")))</f>
        <v/>
      </c>
      <c r="CX176" s="69" t="str">
        <f aca="false">IF($E176="","",IF($M176,IF(AND($G176&gt;=CX$5,$G176&lt;CX$5+GanttPeriod),"◆",IF(AND($E176&gt;=CX$5,$E176&lt;CX$5+GanttPeriod),"◇","")),IF(AND(CX$5&lt;=$F176,CX$5+GanttPeriod-1&gt;=$E176),"━","")))</f>
        <v/>
      </c>
      <c r="CY176" s="69" t="str">
        <f aca="false">IF($E176="","",IF($M176,IF(AND($G176&gt;=CY$5,$G176&lt;CY$5+GanttPeriod),"◆",IF(AND($E176&gt;=CY$5,$E176&lt;CY$5+GanttPeriod),"◇","")),IF(AND(CY$5&lt;=$F176,CY$5+GanttPeriod-1&gt;=$E176),"━","")))</f>
        <v/>
      </c>
      <c r="CZ176" s="69" t="str">
        <f aca="false">IF($E176="","",IF($M176,IF(AND($G176&gt;=CZ$5,$G176&lt;CZ$5+GanttPeriod),"◆",IF(AND($E176&gt;=CZ$5,$E176&lt;CZ$5+GanttPeriod),"◇","")),IF(AND(CZ$5&lt;=$F176,CZ$5+GanttPeriod-1&gt;=$E176),"━","")))</f>
        <v/>
      </c>
      <c r="DA176" s="69" t="str">
        <f aca="false">IF($E176="","",IF($M176,IF(AND($G176&gt;=DA$5,$G176&lt;DA$5+GanttPeriod),"◆",IF(AND($E176&gt;=DA$5,$E176&lt;DA$5+GanttPeriod),"◇","")),IF(AND(DA$5&lt;=$F176,DA$5+GanttPeriod-1&gt;=$E176),"━","")))</f>
        <v/>
      </c>
      <c r="DB176" s="69" t="str">
        <f aca="false">IF($E176="","",IF($M176,IF(AND($G176&gt;=DB$5,$G176&lt;DB$5+GanttPeriod),"◆",IF(AND($E176&gt;=DB$5,$E176&lt;DB$5+GanttPeriod),"◇","")),IF(AND(DB$5&lt;=$F176,DB$5+GanttPeriod-1&gt;=$E176),"━","")))</f>
        <v/>
      </c>
      <c r="DC176" s="69" t="str">
        <f aca="false">IF($E176="","",IF($M176,IF(AND($G176&gt;=DC$5,$G176&lt;DC$5+GanttPeriod),"◆",IF(AND($E176&gt;=DC$5,$E176&lt;DC$5+GanttPeriod),"◇","")),IF(AND(DC$5&lt;=$F176,DC$5+GanttPeriod-1&gt;=$E176),"━","")))</f>
        <v/>
      </c>
      <c r="DD176" s="69" t="str">
        <f aca="false">IF($E176="","",IF($M176,IF(AND($G176&gt;=DD$5,$G176&lt;DD$5+GanttPeriod),"◆",IF(AND($E176&gt;=DD$5,$E176&lt;DD$5+GanttPeriod),"◇","")),IF(AND(DD$5&lt;=$F176,DD$5+GanttPeriod-1&gt;=$E176),"━","")))</f>
        <v/>
      </c>
      <c r="DE176" s="69" t="str">
        <f aca="false">IF($E176="","",IF($M176,IF(AND($G176&gt;=DE$5,$G176&lt;DE$5+GanttPeriod),"◆",IF(AND($E176&gt;=DE$5,$E176&lt;DE$5+GanttPeriod),"◇","")),IF(AND(DE$5&lt;=$F176,DE$5+GanttPeriod-1&gt;=$E176),"━","")))</f>
        <v/>
      </c>
      <c r="DF176" s="69" t="str">
        <f aca="false">IF($E176="","",IF($M176,IF(AND($G176&gt;=DF$5,$G176&lt;DF$5+GanttPeriod),"◆",IF(AND($E176&gt;=DF$5,$E176&lt;DF$5+GanttPeriod),"◇","")),IF(AND(DF$5&lt;=$F176,DF$5+GanttPeriod-1&gt;=$E176),"━","")))</f>
        <v/>
      </c>
      <c r="DG176" s="69" t="str">
        <f aca="false">IF($E176="","",IF($M176,IF(AND($G176&gt;=DG$5,$G176&lt;DG$5+GanttPeriod),"◆",IF(AND($E176&gt;=DG$5,$E176&lt;DG$5+GanttPeriod),"◇","")),IF(AND(DG$5&lt;=$F176,DG$5+GanttPeriod-1&gt;=$E176),"━","")))</f>
        <v/>
      </c>
      <c r="DH176" s="69" t="str">
        <f aca="false">IF($E176="","",IF($M176,IF(AND($G176&gt;=DH$5,$G176&lt;DH$5+GanttPeriod),"◆",IF(AND($E176&gt;=DH$5,$E176&lt;DH$5+GanttPeriod),"◇","")),IF(AND(DH$5&lt;=$F176,DH$5+GanttPeriod-1&gt;=$E176),"━","")))</f>
        <v/>
      </c>
      <c r="DI176" s="69" t="str">
        <f aca="false">IF($E176="","",IF($M176,IF(AND($G176&gt;=DI$5,$G176&lt;DI$5+GanttPeriod),"◆",IF(AND($E176&gt;=DI$5,$E176&lt;DI$5+GanttPeriod),"◇","")),IF(AND(DI$5&lt;=$F176,DI$5+GanttPeriod-1&gt;=$E176),"━","")))</f>
        <v/>
      </c>
      <c r="DJ176" s="69" t="str">
        <f aca="false">IF($E176="","",IF($M176,IF(AND($G176&gt;=DJ$5,$G176&lt;DJ$5+GanttPeriod),"◆",IF(AND($E176&gt;=DJ$5,$E176&lt;DJ$5+GanttPeriod),"◇","")),IF(AND(DJ$5&lt;=$F176,DJ$5+GanttPeriod-1&gt;=$E176),"━","")))</f>
        <v/>
      </c>
      <c r="DK176" s="69" t="str">
        <f aca="false">IF($E176="","",IF($M176,IF(AND($G176&gt;=DK$5,$G176&lt;DK$5+GanttPeriod),"◆",IF(AND($E176&gt;=DK$5,$E176&lt;DK$5+GanttPeriod),"◇","")),IF(AND(DK$5&lt;=$F176,DK$5+GanttPeriod-1&gt;=$E176),"━","")))</f>
        <v/>
      </c>
      <c r="DL176" s="69" t="str">
        <f aca="false">IF($E176="","",IF($M176,IF(AND($G176&gt;=DL$5,$G176&lt;DL$5+GanttPeriod),"◆",IF(AND($E176&gt;=DL$5,$E176&lt;DL$5+GanttPeriod),"◇","")),IF(AND(DL$5&lt;=$F176,DL$5+GanttPeriod-1&gt;=$E176),"━","")))</f>
        <v/>
      </c>
      <c r="DM176" s="69" t="str">
        <f aca="false">IF($E176="","",IF($M176,IF(AND($G176&gt;=DM$5,$G176&lt;DM$5+GanttPeriod),"◆",IF(AND($E176&gt;=DM$5,$E176&lt;DM$5+GanttPeriod),"◇","")),IF(AND(DM$5&lt;=$F176,DM$5+GanttPeriod-1&gt;=$E176),"━","")))</f>
        <v/>
      </c>
      <c r="DN176" s="69" t="str">
        <f aca="false">IF($E176="","",IF($M176,IF(AND($G176&gt;=DN$5,$G176&lt;DN$5+GanttPeriod),"◆",IF(AND($E176&gt;=DN$5,$E176&lt;DN$5+GanttPeriod),"◇","")),IF(AND(DN$5&lt;=$F176,DN$5+GanttPeriod-1&gt;=$E176),"━","")))</f>
        <v/>
      </c>
      <c r="DO176" s="69" t="str">
        <f aca="false">IF($E176="","",IF($M176,IF(AND($G176&gt;=DO$5,$G176&lt;DO$5+GanttPeriod),"◆",IF(AND($E176&gt;=DO$5,$E176&lt;DO$5+GanttPeriod),"◇","")),IF(AND(DO$5&lt;=$F176,DO$5+GanttPeriod-1&gt;=$E176),"━","")))</f>
        <v/>
      </c>
      <c r="DP176" s="69" t="str">
        <f aca="false">IF($E176="","",IF($M176,IF(AND($G176&gt;=DP$5,$G176&lt;DP$5+GanttPeriod),"◆",IF(AND($E176&gt;=DP$5,$E176&lt;DP$5+GanttPeriod),"◇","")),IF(AND(DP$5&lt;=$F176,DP$5+GanttPeriod-1&gt;=$E176),"━","")))</f>
        <v/>
      </c>
      <c r="DQ176" s="69" t="str">
        <f aca="false">IF($E176="","",IF($M176,IF(AND($G176&gt;=DQ$5,$G176&lt;DQ$5+GanttPeriod),"◆",IF(AND($E176&gt;=DQ$5,$E176&lt;DQ$5+GanttPeriod),"◇","")),IF(AND(DQ$5&lt;=$F176,DQ$5+GanttPeriod-1&gt;=$E176),"━","")))</f>
        <v/>
      </c>
      <c r="DR176" s="69" t="str">
        <f aca="false">IF($E176="","",IF($M176,IF(AND($G176&gt;=DR$5,$G176&lt;DR$5+GanttPeriod),"◆",IF(AND($E176&gt;=DR$5,$E176&lt;DR$5+GanttPeriod),"◇","")),IF(AND(DR$5&lt;=$F176,DR$5+GanttPeriod-1&gt;=$E176),"━","")))</f>
        <v/>
      </c>
      <c r="DS176" s="69" t="str">
        <f aca="false">IF($E176="","",IF($M176,IF(AND($G176&gt;=DS$5,$G176&lt;DS$5+GanttPeriod),"◆",IF(AND($E176&gt;=DS$5,$E176&lt;DS$5+GanttPeriod),"◇","")),IF(AND(DS$5&lt;=$F176,DS$5+GanttPeriod-1&gt;=$E176),"━","")))</f>
        <v/>
      </c>
      <c r="DT176" s="69" t="str">
        <f aca="false">IF($E176="","",IF($M176,IF(AND($G176&gt;=DT$5,$G176&lt;DT$5+GanttPeriod),"◆",IF(AND($E176&gt;=DT$5,$E176&lt;DT$5+GanttPeriod),"◇","")),IF(AND(DT$5&lt;=$F176,DT$5+GanttPeriod-1&gt;=$E176),"━","")))</f>
        <v/>
      </c>
      <c r="DU176" s="69" t="str">
        <f aca="false">IF($E176="","",IF($M176,IF(AND($G176&gt;=DU$5,$G176&lt;DU$5+GanttPeriod),"◆",IF(AND($E176&gt;=DU$5,$E176&lt;DU$5+GanttPeriod),"◇","")),IF(AND(DU$5&lt;=$F176,DU$5+GanttPeriod-1&gt;=$E176),"━","")))</f>
        <v/>
      </c>
      <c r="DV176" s="69" t="str">
        <f aca="false">IF($E176="","",IF($M176,IF(AND($G176&gt;=DV$5,$G176&lt;DV$5+GanttPeriod),"◆",IF(AND($E176&gt;=DV$5,$E176&lt;DV$5+GanttPeriod),"◇","")),IF(AND(DV$5&lt;=$F176,DV$5+GanttPeriod-1&gt;=$E176),"━","")))</f>
        <v/>
      </c>
      <c r="DW176" s="69" t="str">
        <f aca="false">IF($E176="","",IF($M176,IF(AND($G176&gt;=DW$5,$G176&lt;DW$5+GanttPeriod),"◆",IF(AND($E176&gt;=DW$5,$E176&lt;DW$5+GanttPeriod),"◇","")),IF(AND(DW$5&lt;=$F176,DW$5+GanttPeriod-1&gt;=$E176),"━","")))</f>
        <v/>
      </c>
      <c r="DX176" s="69" t="str">
        <f aca="false">IF($E176="","",IF($M176,IF(AND($G176&gt;=DX$5,$G176&lt;DX$5+GanttPeriod),"◆",IF(AND($E176&gt;=DX$5,$E176&lt;DX$5+GanttPeriod),"◇","")),IF(AND(DX$5&lt;=$F176,DX$5+GanttPeriod-1&gt;=$E176),"━","")))</f>
        <v/>
      </c>
      <c r="DY176" s="69" t="str">
        <f aca="false">IF($E176="","",IF($M176,IF(AND($G176&gt;=DY$5,$G176&lt;DY$5+GanttPeriod),"◆",IF(AND($E176&gt;=DY$5,$E176&lt;DY$5+GanttPeriod),"◇","")),IF(AND(DY$5&lt;=$F176,DY$5+GanttPeriod-1&gt;=$E176),"━","")))</f>
        <v/>
      </c>
      <c r="DZ176" s="69" t="str">
        <f aca="false">IF($E176="","",IF($M176,IF(AND($G176&gt;=DZ$5,$G176&lt;DZ$5+GanttPeriod),"◆",IF(AND($E176&gt;=DZ$5,$E176&lt;DZ$5+GanttPeriod),"◇","")),IF(AND(DZ$5&lt;=$F176,DZ$5+GanttPeriod-1&gt;=$E176),"━","")))</f>
        <v/>
      </c>
      <c r="EA176" s="69" t="str">
        <f aca="false">IF($E176="","",IF($M176,IF(AND($G176&gt;=EA$5,$G176&lt;EA$5+GanttPeriod),"◆",IF(AND($E176&gt;=EA$5,$E176&lt;EA$5+GanttPeriod),"◇","")),IF(AND(EA$5&lt;=$F176,EA$5+GanttPeriod-1&gt;=$E176),"━","")))</f>
        <v/>
      </c>
      <c r="EB176" s="69" t="str">
        <f aca="false">IF($E176="","",IF($M176,IF(AND($G176&gt;=EB$5,$G176&lt;EB$5+GanttPeriod),"◆",IF(AND($E176&gt;=EB$5,$E176&lt;EB$5+GanttPeriod),"◇","")),IF(AND(EB$5&lt;=$F176,EB$5+GanttPeriod-1&gt;=$E176),"━","")))</f>
        <v/>
      </c>
      <c r="EC176" s="69" t="str">
        <f aca="false">IF($E176="","",IF($M176,IF(AND($G176&gt;=EC$5,$G176&lt;EC$5+GanttPeriod),"◆",IF(AND($E176&gt;=EC$5,$E176&lt;EC$5+GanttPeriod),"◇","")),IF(AND(EC$5&lt;=$F176,EC$5+GanttPeriod-1&gt;=$E176),"━","")))</f>
        <v/>
      </c>
      <c r="ED176" s="69" t="str">
        <f aca="false">IF($E176="","",IF($M176,IF(AND($G176&gt;=ED$5,$G176&lt;ED$5+GanttPeriod),"◆",IF(AND($E176&gt;=ED$5,$E176&lt;ED$5+GanttPeriod),"◇","")),IF(AND(ED$5&lt;=$F176,ED$5+GanttPeriod-1&gt;=$E176),"━","")))</f>
        <v/>
      </c>
      <c r="EE176" s="69" t="str">
        <f aca="false">IF($E176="","",IF($M176,IF(AND($G176&gt;=EE$5,$G176&lt;EE$5+GanttPeriod),"◆",IF(AND($E176&gt;=EE$5,$E176&lt;EE$5+GanttPeriod),"◇","")),IF(AND(EE$5&lt;=$F176,EE$5+GanttPeriod-1&gt;=$E176),"━","")))</f>
        <v/>
      </c>
      <c r="EF176" s="69" t="str">
        <f aca="false">IF($E176="","",IF($M176,IF(AND($G176&gt;=EF$5,$G176&lt;EF$5+GanttPeriod),"◆",IF(AND($E176&gt;=EF$5,$E176&lt;EF$5+GanttPeriod),"◇","")),IF(AND(EF$5&lt;=$F176,EF$5+GanttPeriod-1&gt;=$E176),"━","")))</f>
        <v/>
      </c>
      <c r="EG176" s="69" t="str">
        <f aca="false">IF($E176="","",IF($M176,IF(AND($G176&gt;=EG$5,$G176&lt;EG$5+GanttPeriod),"◆",IF(AND($E176&gt;=EG$5,$E176&lt;EG$5+GanttPeriod),"◇","")),IF(AND(EG$5&lt;=$F176,EG$5+GanttPeriod-1&gt;=$E176),"━","")))</f>
        <v/>
      </c>
      <c r="EH176" s="69" t="str">
        <f aca="false">IF($E176="","",IF($M176,IF(AND($G176&gt;=EH$5,$G176&lt;EH$5+GanttPeriod),"◆",IF(AND($E176&gt;=EH$5,$E176&lt;EH$5+GanttPeriod),"◇","")),IF(AND(EH$5&lt;=$F176,EH$5+GanttPeriod-1&gt;=$E176),"━","")))</f>
        <v/>
      </c>
      <c r="EI176" s="69" t="str">
        <f aca="false">IF($E176="","",IF($M176,IF(AND($G176&gt;=EI$5,$G176&lt;EI$5+GanttPeriod),"◆",IF(AND($E176&gt;=EI$5,$E176&lt;EI$5+GanttPeriod),"◇","")),IF(AND(EI$5&lt;=$F176,EI$5+GanttPeriod-1&gt;=$E176),"━","")))</f>
        <v/>
      </c>
      <c r="EJ176" s="69" t="str">
        <f aca="false">IF($E176="","",IF($M176,IF(AND($G176&gt;=EJ$5,$G176&lt;EJ$5+GanttPeriod),"◆",IF(AND($E176&gt;=EJ$5,$E176&lt;EJ$5+GanttPeriod),"◇","")),IF(AND(EJ$5&lt;=$F176,EJ$5+GanttPeriod-1&gt;=$E176),"━","")))</f>
        <v/>
      </c>
      <c r="EK176" s="69" t="str">
        <f aca="false">IF($E176="","",IF($M176,IF(AND($G176&gt;=EK$5,$G176&lt;EK$5+GanttPeriod),"◆",IF(AND($E176&gt;=EK$5,$E176&lt;EK$5+GanttPeriod),"◇","")),IF(AND(EK$5&lt;=$F176,EK$5+GanttPeriod-1&gt;=$E176),"━","")))</f>
        <v/>
      </c>
      <c r="EL176" s="69" t="str">
        <f aca="false">IF($E176="","",IF($M176,IF(AND($G176&gt;=EL$5,$G176&lt;EL$5+GanttPeriod),"◆",IF(AND($E176&gt;=EL$5,$E176&lt;EL$5+GanttPeriod),"◇","")),IF(AND(EL$5&lt;=$F176,EL$5+GanttPeriod-1&gt;=$E176),"━","")))</f>
        <v/>
      </c>
      <c r="EM176" s="69" t="str">
        <f aca="false">IF($E176="","",IF($M176,IF(AND($G176&gt;=EM$5,$G176&lt;EM$5+GanttPeriod),"◆",IF(AND($E176&gt;=EM$5,$E176&lt;EM$5+GanttPeriod),"◇","")),IF(AND(EM$5&lt;=$F176,EM$5+GanttPeriod-1&gt;=$E176),"━","")))</f>
        <v/>
      </c>
      <c r="EN176" s="69" t="str">
        <f aca="false">IF($E176="","",IF($M176,IF(AND($G176&gt;=EN$5,$G176&lt;EN$5+GanttPeriod),"◆",IF(AND($E176&gt;=EN$5,$E176&lt;EN$5+GanttPeriod),"◇","")),IF(AND(EN$5&lt;=$F176,EN$5+GanttPeriod-1&gt;=$E176),"━","")))</f>
        <v/>
      </c>
      <c r="EO176" s="69" t="str">
        <f aca="false">IF($E176="","",IF($M176,IF(AND($G176&gt;=EO$5,$G176&lt;EO$5+GanttPeriod),"◆",IF(AND($E176&gt;=EO$5,$E176&lt;EO$5+GanttPeriod),"◇","")),IF(AND(EO$5&lt;=$F176,EO$5+GanttPeriod-1&gt;=$E176),"━","")))</f>
        <v/>
      </c>
      <c r="EP176" s="69" t="str">
        <f aca="false">IF($E176="","",IF($M176,IF(AND($G176&gt;=EP$5,$G176&lt;EP$5+GanttPeriod),"◆",IF(AND($E176&gt;=EP$5,$E176&lt;EP$5+GanttPeriod),"◇","")),IF(AND(EP$5&lt;=$F176,EP$5+GanttPeriod-1&gt;=$E176),"━","")))</f>
        <v/>
      </c>
      <c r="EQ176" s="69" t="str">
        <f aca="false">IF($E176="","",IF($M176,IF(AND($G176&gt;=EQ$5,$G176&lt;EQ$5+GanttPeriod),"◆",IF(AND($E176&gt;=EQ$5,$E176&lt;EQ$5+GanttPeriod),"◇","")),IF(AND(EQ$5&lt;=$F176,EQ$5+GanttPeriod-1&gt;=$E176),"━","")))</f>
        <v/>
      </c>
      <c r="ER176" s="69" t="str">
        <f aca="false">IF($E176="","",IF($M176,IF(AND($G176&gt;=ER$5,$G176&lt;ER$5+GanttPeriod),"◆",IF(AND($E176&gt;=ER$5,$E176&lt;ER$5+GanttPeriod),"◇","")),IF(AND(ER$5&lt;=$F176,ER$5+GanttPeriod-1&gt;=$E176),"━","")))</f>
        <v/>
      </c>
      <c r="ES176" s="69" t="str">
        <f aca="false">IF($E176="","",IF($M176,IF(AND($G176&gt;=ES$5,$G176&lt;ES$5+GanttPeriod),"◆",IF(AND($E176&gt;=ES$5,$E176&lt;ES$5+GanttPeriod),"◇","")),IF(AND(ES$5&lt;=$F176,ES$5+GanttPeriod-1&gt;=$E176),"━","")))</f>
        <v/>
      </c>
      <c r="ET176" s="69" t="str">
        <f aca="false">IF($E176="","",IF($M176,IF(AND($G176&gt;=ET$5,$G176&lt;ET$5+GanttPeriod),"◆",IF(AND($E176&gt;=ET$5,$E176&lt;ET$5+GanttPeriod),"◇","")),IF(AND(ET$5&lt;=$F176,ET$5+GanttPeriod-1&gt;=$E176),"━","")))</f>
        <v/>
      </c>
      <c r="EU176" s="69" t="str">
        <f aca="false">IF($E176="","",IF($M176,IF(AND($G176&gt;=EU$5,$G176&lt;EU$5+GanttPeriod),"◆",IF(AND($E176&gt;=EU$5,$E176&lt;EU$5+GanttPeriod),"◇","")),IF(AND(EU$5&lt;=$F176,EU$5+GanttPeriod-1&gt;=$E176),"━","")))</f>
        <v/>
      </c>
      <c r="EV176" s="69" t="str">
        <f aca="false">IF($E176="","",IF($M176,IF(AND($G176&gt;=EV$5,$G176&lt;EV$5+GanttPeriod),"◆",IF(AND($E176&gt;=EV$5,$E176&lt;EV$5+GanttPeriod),"◇","")),IF(AND(EV$5&lt;=$F176,EV$5+GanttPeriod-1&gt;=$E176),"━","")))</f>
        <v/>
      </c>
      <c r="EW176" s="69" t="str">
        <f aca="false">IF($E176="","",IF($M176,IF(AND($G176&gt;=EW$5,$G176&lt;EW$5+GanttPeriod),"◆",IF(AND($E176&gt;=EW$5,$E176&lt;EW$5+GanttPeriod),"◇","")),IF(AND(EW$5&lt;=$F176,EW$5+GanttPeriod-1&gt;=$E176),"━","")))</f>
        <v/>
      </c>
      <c r="EX176" s="69" t="str">
        <f aca="false">IF($E176="","",IF($M176,IF(AND($G176&gt;=EX$5,$G176&lt;EX$5+GanttPeriod),"◆",IF(AND($E176&gt;=EX$5,$E176&lt;EX$5+GanttPeriod),"◇","")),IF(AND(EX$5&lt;=$F176,EX$5+GanttPeriod-1&gt;=$E176),"━","")))</f>
        <v/>
      </c>
      <c r="EY176" s="69" t="str">
        <f aca="false">IF($E176="","",IF($M176,IF(AND($G176&gt;=EY$5,$G176&lt;EY$5+GanttPeriod),"◆",IF(AND($E176&gt;=EY$5,$E176&lt;EY$5+GanttPeriod),"◇","")),IF(AND(EY$5&lt;=$F176,EY$5+GanttPeriod-1&gt;=$E176),"━","")))</f>
        <v/>
      </c>
      <c r="EZ176" s="69" t="str">
        <f aca="false">IF($E176="","",IF($M176,IF(AND($G176&gt;=EZ$5,$G176&lt;EZ$5+GanttPeriod),"◆",IF(AND($E176&gt;=EZ$5,$E176&lt;EZ$5+GanttPeriod),"◇","")),IF(AND(EZ$5&lt;=$F176,EZ$5+GanttPeriod-1&gt;=$E176),"━","")))</f>
        <v/>
      </c>
      <c r="FA176" s="69" t="str">
        <f aca="false">IF($E176="","",IF($M176,IF(AND($G176&gt;=FA$5,$G176&lt;FA$5+GanttPeriod),"◆",IF(AND($E176&gt;=FA$5,$E176&lt;FA$5+GanttPeriod),"◇","")),IF(AND(FA$5&lt;=$F176,FA$5+GanttPeriod-1&gt;=$E176),"━","")))</f>
        <v/>
      </c>
      <c r="FB176" s="69" t="str">
        <f aca="false">IF($E176="","",IF($M176,IF(AND($G176&gt;=FB$5,$G176&lt;FB$5+GanttPeriod),"◆",IF(AND($E176&gt;=FB$5,$E176&lt;FB$5+GanttPeriod),"◇","")),IF(AND(FB$5&lt;=$F176,FB$5+GanttPeriod-1&gt;=$E176),"━","")))</f>
        <v/>
      </c>
      <c r="FC176" s="69" t="str">
        <f aca="false">IF($E176="","",IF($M176,IF(AND($G176&gt;=FC$5,$G176&lt;FC$5+GanttPeriod),"◆",IF(AND($E176&gt;=FC$5,$E176&lt;FC$5+GanttPeriod),"◇","")),IF(AND(FC$5&lt;=$F176,FC$5+GanttPeriod-1&gt;=$E176),"━","")))</f>
        <v/>
      </c>
      <c r="FD176" s="69" t="str">
        <f aca="false">IF($E176="","",IF($M176,IF(AND($G176&gt;=FD$5,$G176&lt;FD$5+GanttPeriod),"◆",IF(AND($E176&gt;=FD$5,$E176&lt;FD$5+GanttPeriod),"◇","")),IF(AND(FD$5&lt;=$F176,FD$5+GanttPeriod-1&gt;=$E176),"━","")))</f>
        <v/>
      </c>
      <c r="FE176" s="69" t="str">
        <f aca="false">IF($E176="","",IF($M176,IF(AND($G176&gt;=FE$5,$G176&lt;FE$5+GanttPeriod),"◆",IF(AND($E176&gt;=FE$5,$E176&lt;FE$5+GanttPeriod),"◇","")),IF(AND(FE$5&lt;=$F176,FE$5+GanttPeriod-1&gt;=$E176),"━","")))</f>
        <v/>
      </c>
      <c r="FF176" s="69" t="str">
        <f aca="false">IF($E176="","",IF($M176,IF(AND($G176&gt;=FF$5,$G176&lt;FF$5+GanttPeriod),"◆",IF(AND($E176&gt;=FF$5,$E176&lt;FF$5+GanttPeriod),"◇","")),IF(AND(FF$5&lt;=$F176,FF$5+GanttPeriod-1&gt;=$E176),"━","")))</f>
        <v/>
      </c>
      <c r="FG176" s="69" t="str">
        <f aca="false">IF($E176="","",IF($M176,IF(AND($G176&gt;=FG$5,$G176&lt;FG$5+GanttPeriod),"◆",IF(AND($E176&gt;=FG$5,$E176&lt;FG$5+GanttPeriod),"◇","")),IF(AND(FG$5&lt;=$F176,FG$5+GanttPeriod-1&gt;=$E176),"━","")))</f>
        <v/>
      </c>
      <c r="FH176" s="69" t="str">
        <f aca="false">IF($E176="","",IF($M176,IF(AND($G176&gt;=FH$5,$G176&lt;FH$5+GanttPeriod),"◆",IF(AND($E176&gt;=FH$5,$E176&lt;FH$5+GanttPeriod),"◇","")),IF(AND(FH$5&lt;=$F176,FH$5+GanttPeriod-1&gt;=$E176),"━","")))</f>
        <v/>
      </c>
      <c r="FI176" s="69" t="str">
        <f aca="false">IF($E176="","",IF($M176,IF(AND($G176&gt;=FI$5,$G176&lt;FI$5+GanttPeriod),"◆",IF(AND($E176&gt;=FI$5,$E176&lt;FI$5+GanttPeriod),"◇","")),IF(AND(FI$5&lt;=$F176,FI$5+GanttPeriod-1&gt;=$E176),"━","")))</f>
        <v/>
      </c>
      <c r="FJ176" s="69" t="str">
        <f aca="false">IF($E176="","",IF($M176,IF(AND($G176&gt;=FJ$5,$G176&lt;FJ$5+GanttPeriod),"◆",IF(AND($E176&gt;=FJ$5,$E176&lt;FJ$5+GanttPeriod),"◇","")),IF(AND(FJ$5&lt;=$F176,FJ$5+GanttPeriod-1&gt;=$E176),"━","")))</f>
        <v/>
      </c>
      <c r="FK176" s="69" t="str">
        <f aca="false">IF($E176="","",IF($M176,IF(AND($G176&gt;=FK$5,$G176&lt;FK$5+GanttPeriod),"◆",IF(AND($E176&gt;=FK$5,$E176&lt;FK$5+GanttPeriod),"◇","")),IF(AND(FK$5&lt;=$F176,FK$5+GanttPeriod-1&gt;=$E176),"━","")))</f>
        <v/>
      </c>
      <c r="FL176" s="69" t="str">
        <f aca="false">IF($E176="","",IF($M176,IF(AND($G176&gt;=FL$5,$G176&lt;FL$5+GanttPeriod),"◆",IF(AND($E176&gt;=FL$5,$E176&lt;FL$5+GanttPeriod),"◇","")),IF(AND(FL$5&lt;=$F176,FL$5+GanttPeriod-1&gt;=$E176),"━","")))</f>
        <v/>
      </c>
      <c r="FM176" s="69" t="str">
        <f aca="false">IF($E176="","",IF($M176,IF(AND($G176&gt;=FM$5,$G176&lt;FM$5+GanttPeriod),"◆",IF(AND($E176&gt;=FM$5,$E176&lt;FM$5+GanttPeriod),"◇","")),IF(AND(FM$5&lt;=$F176,FM$5+GanttPeriod-1&gt;=$E176),"━","")))</f>
        <v/>
      </c>
    </row>
    <row r="177" customFormat="false" ht="15" hidden="false" customHeight="false" outlineLevel="0" collapsed="false">
      <c r="A177" s="62" t="str">
        <f aca="false">IF(Tasks!$D177="","",Tasks!$A177)</f>
        <v/>
      </c>
      <c r="B177" s="62" t="str">
        <f aca="false">IF(Tasks!$D177="","",Tasks!$B177)</f>
        <v/>
      </c>
      <c r="C177" s="63" t="str">
        <f aca="false">IF(Tasks!$D177="","",REPT("    ",Tasks!$AE177-1)&amp;Tasks!$D177)</f>
        <v/>
      </c>
      <c r="D177" s="62" t="str">
        <f aca="false">IF(Tasks!$D177="","",IF(Tasks!$AI177,NETWORKDAYS.INTL(Tasks!$R177,Tasks!$S177,WorkWeek,Holidays),N(Tasks!$F177)))</f>
        <v/>
      </c>
      <c r="E177" s="64" t="str">
        <f aca="false">IF(Tasks!$D177="","",Tasks!$N177)</f>
        <v/>
      </c>
      <c r="F177" s="64" t="str">
        <f aca="false">IF(Tasks!$D177="","",Tasks!$O177)</f>
        <v/>
      </c>
      <c r="G177" s="64" t="str">
        <f aca="false">IF(Tasks!$D177="","",Tasks!$R177)</f>
        <v/>
      </c>
      <c r="H177" s="64" t="str">
        <f aca="false">IF(Tasks!$D177="","",Tasks!$S177)</f>
        <v/>
      </c>
      <c r="I177" s="65" t="str">
        <f aca="false">IF(Tasks!$D177="","",Tasks!$V177)</f>
        <v/>
      </c>
      <c r="J177" s="63" t="str">
        <f aca="false">IF(Tasks!$D177="","",Tasks!$X177&amp;"")</f>
        <v/>
      </c>
      <c r="K177" s="66" t="str">
        <f aca="false">IF(Tasks!$D177="","",Tasks!$W177)</f>
        <v/>
      </c>
      <c r="L177" s="67" t="b">
        <f aca="false">IF(Tasks!$D177="",FALSE(),Tasks!$AI177)</f>
        <v>0</v>
      </c>
      <c r="M177" s="67" t="b">
        <f aca="false">AND(Tasks!$AJ177=1,N(Tasks!$F177)=0)</f>
        <v>0</v>
      </c>
      <c r="N177" s="68" t="n">
        <f aca="false">IF(AND(Tasks!$AJ177=1,NOT($M177),N($I177)&gt;0),$G177,0)</f>
        <v>0</v>
      </c>
      <c r="O177" s="68" t="n">
        <f aca="false">IF($N177=0,0,IF($I177&gt;=1,$H177,MAX($N177,$G177+ROUND(($H177-$G177+1)*$I177,0)-1)))</f>
        <v>0</v>
      </c>
      <c r="P177" s="68" t="n">
        <f aca="false">IF(OR(Tasks!$AJ177&lt;&gt;1,$M177,N($I177)&gt;=1),0,IF($O177&gt;0,$O177+1,$G177))</f>
        <v>0</v>
      </c>
      <c r="Q177" s="68" t="n">
        <f aca="false">IF($P177=0,0,$H177)</f>
        <v>0</v>
      </c>
      <c r="R177" s="67" t="b">
        <f aca="false">AND(Tasks!$D177&lt;&gt;"",N(Tasks!$T177)&gt;0)</f>
        <v>0</v>
      </c>
      <c r="T177" s="69" t="str">
        <f aca="false">IF($E177="","",IF($M177,IF(AND($G177&gt;=T$5,$G177&lt;T$5+GanttPeriod),"◆",IF(AND($E177&gt;=T$5,$E177&lt;T$5+GanttPeriod),"◇","")),IF(AND(T$5&lt;=$F177,T$5+GanttPeriod-1&gt;=$E177),"━","")))</f>
        <v/>
      </c>
      <c r="U177" s="69" t="str">
        <f aca="false">IF($E177="","",IF($M177,IF(AND($G177&gt;=U$5,$G177&lt;U$5+GanttPeriod),"◆",IF(AND($E177&gt;=U$5,$E177&lt;U$5+GanttPeriod),"◇","")),IF(AND(U$5&lt;=$F177,U$5+GanttPeriod-1&gt;=$E177),"━","")))</f>
        <v/>
      </c>
      <c r="V177" s="69" t="str">
        <f aca="false">IF($E177="","",IF($M177,IF(AND($G177&gt;=V$5,$G177&lt;V$5+GanttPeriod),"◆",IF(AND($E177&gt;=V$5,$E177&lt;V$5+GanttPeriod),"◇","")),IF(AND(V$5&lt;=$F177,V$5+GanttPeriod-1&gt;=$E177),"━","")))</f>
        <v/>
      </c>
      <c r="W177" s="69" t="str">
        <f aca="false">IF($E177="","",IF($M177,IF(AND($G177&gt;=W$5,$G177&lt;W$5+GanttPeriod),"◆",IF(AND($E177&gt;=W$5,$E177&lt;W$5+GanttPeriod),"◇","")),IF(AND(W$5&lt;=$F177,W$5+GanttPeriod-1&gt;=$E177),"━","")))</f>
        <v/>
      </c>
      <c r="X177" s="69" t="str">
        <f aca="false">IF($E177="","",IF($M177,IF(AND($G177&gt;=X$5,$G177&lt;X$5+GanttPeriod),"◆",IF(AND($E177&gt;=X$5,$E177&lt;X$5+GanttPeriod),"◇","")),IF(AND(X$5&lt;=$F177,X$5+GanttPeriod-1&gt;=$E177),"━","")))</f>
        <v/>
      </c>
      <c r="Y177" s="69" t="str">
        <f aca="false">IF($E177="","",IF($M177,IF(AND($G177&gt;=Y$5,$G177&lt;Y$5+GanttPeriod),"◆",IF(AND($E177&gt;=Y$5,$E177&lt;Y$5+GanttPeriod),"◇","")),IF(AND(Y$5&lt;=$F177,Y$5+GanttPeriod-1&gt;=$E177),"━","")))</f>
        <v/>
      </c>
      <c r="Z177" s="69" t="str">
        <f aca="false">IF($E177="","",IF($M177,IF(AND($G177&gt;=Z$5,$G177&lt;Z$5+GanttPeriod),"◆",IF(AND($E177&gt;=Z$5,$E177&lt;Z$5+GanttPeriod),"◇","")),IF(AND(Z$5&lt;=$F177,Z$5+GanttPeriod-1&gt;=$E177),"━","")))</f>
        <v/>
      </c>
      <c r="AA177" s="69" t="str">
        <f aca="false">IF($E177="","",IF($M177,IF(AND($G177&gt;=AA$5,$G177&lt;AA$5+GanttPeriod),"◆",IF(AND($E177&gt;=AA$5,$E177&lt;AA$5+GanttPeriod),"◇","")),IF(AND(AA$5&lt;=$F177,AA$5+GanttPeriod-1&gt;=$E177),"━","")))</f>
        <v/>
      </c>
      <c r="AB177" s="69" t="str">
        <f aca="false">IF($E177="","",IF($M177,IF(AND($G177&gt;=AB$5,$G177&lt;AB$5+GanttPeriod),"◆",IF(AND($E177&gt;=AB$5,$E177&lt;AB$5+GanttPeriod),"◇","")),IF(AND(AB$5&lt;=$F177,AB$5+GanttPeriod-1&gt;=$E177),"━","")))</f>
        <v/>
      </c>
      <c r="AC177" s="69" t="str">
        <f aca="false">IF($E177="","",IF($M177,IF(AND($G177&gt;=AC$5,$G177&lt;AC$5+GanttPeriod),"◆",IF(AND($E177&gt;=AC$5,$E177&lt;AC$5+GanttPeriod),"◇","")),IF(AND(AC$5&lt;=$F177,AC$5+GanttPeriod-1&gt;=$E177),"━","")))</f>
        <v/>
      </c>
      <c r="AD177" s="69" t="str">
        <f aca="false">IF($E177="","",IF($M177,IF(AND($G177&gt;=AD$5,$G177&lt;AD$5+GanttPeriod),"◆",IF(AND($E177&gt;=AD$5,$E177&lt;AD$5+GanttPeriod),"◇","")),IF(AND(AD$5&lt;=$F177,AD$5+GanttPeriod-1&gt;=$E177),"━","")))</f>
        <v/>
      </c>
      <c r="AE177" s="69" t="str">
        <f aca="false">IF($E177="","",IF($M177,IF(AND($G177&gt;=AE$5,$G177&lt;AE$5+GanttPeriod),"◆",IF(AND($E177&gt;=AE$5,$E177&lt;AE$5+GanttPeriod),"◇","")),IF(AND(AE$5&lt;=$F177,AE$5+GanttPeriod-1&gt;=$E177),"━","")))</f>
        <v/>
      </c>
      <c r="AF177" s="69" t="str">
        <f aca="false">IF($E177="","",IF($M177,IF(AND($G177&gt;=AF$5,$G177&lt;AF$5+GanttPeriod),"◆",IF(AND($E177&gt;=AF$5,$E177&lt;AF$5+GanttPeriod),"◇","")),IF(AND(AF$5&lt;=$F177,AF$5+GanttPeriod-1&gt;=$E177),"━","")))</f>
        <v/>
      </c>
      <c r="AG177" s="69" t="str">
        <f aca="false">IF($E177="","",IF($M177,IF(AND($G177&gt;=AG$5,$G177&lt;AG$5+GanttPeriod),"◆",IF(AND($E177&gt;=AG$5,$E177&lt;AG$5+GanttPeriod),"◇","")),IF(AND(AG$5&lt;=$F177,AG$5+GanttPeriod-1&gt;=$E177),"━","")))</f>
        <v/>
      </c>
      <c r="AH177" s="69" t="str">
        <f aca="false">IF($E177="","",IF($M177,IF(AND($G177&gt;=AH$5,$G177&lt;AH$5+GanttPeriod),"◆",IF(AND($E177&gt;=AH$5,$E177&lt;AH$5+GanttPeriod),"◇","")),IF(AND(AH$5&lt;=$F177,AH$5+GanttPeriod-1&gt;=$E177),"━","")))</f>
        <v/>
      </c>
      <c r="AI177" s="69" t="str">
        <f aca="false">IF($E177="","",IF($M177,IF(AND($G177&gt;=AI$5,$G177&lt;AI$5+GanttPeriod),"◆",IF(AND($E177&gt;=AI$5,$E177&lt;AI$5+GanttPeriod),"◇","")),IF(AND(AI$5&lt;=$F177,AI$5+GanttPeriod-1&gt;=$E177),"━","")))</f>
        <v/>
      </c>
      <c r="AJ177" s="69" t="str">
        <f aca="false">IF($E177="","",IF($M177,IF(AND($G177&gt;=AJ$5,$G177&lt;AJ$5+GanttPeriod),"◆",IF(AND($E177&gt;=AJ$5,$E177&lt;AJ$5+GanttPeriod),"◇","")),IF(AND(AJ$5&lt;=$F177,AJ$5+GanttPeriod-1&gt;=$E177),"━","")))</f>
        <v/>
      </c>
      <c r="AK177" s="69" t="str">
        <f aca="false">IF($E177="","",IF($M177,IF(AND($G177&gt;=AK$5,$G177&lt;AK$5+GanttPeriod),"◆",IF(AND($E177&gt;=AK$5,$E177&lt;AK$5+GanttPeriod),"◇","")),IF(AND(AK$5&lt;=$F177,AK$5+GanttPeriod-1&gt;=$E177),"━","")))</f>
        <v/>
      </c>
      <c r="AL177" s="69" t="str">
        <f aca="false">IF($E177="","",IF($M177,IF(AND($G177&gt;=AL$5,$G177&lt;AL$5+GanttPeriod),"◆",IF(AND($E177&gt;=AL$5,$E177&lt;AL$5+GanttPeriod),"◇","")),IF(AND(AL$5&lt;=$F177,AL$5+GanttPeriod-1&gt;=$E177),"━","")))</f>
        <v/>
      </c>
      <c r="AM177" s="69" t="str">
        <f aca="false">IF($E177="","",IF($M177,IF(AND($G177&gt;=AM$5,$G177&lt;AM$5+GanttPeriod),"◆",IF(AND($E177&gt;=AM$5,$E177&lt;AM$5+GanttPeriod),"◇","")),IF(AND(AM$5&lt;=$F177,AM$5+GanttPeriod-1&gt;=$E177),"━","")))</f>
        <v/>
      </c>
      <c r="AN177" s="69" t="str">
        <f aca="false">IF($E177="","",IF($M177,IF(AND($G177&gt;=AN$5,$G177&lt;AN$5+GanttPeriod),"◆",IF(AND($E177&gt;=AN$5,$E177&lt;AN$5+GanttPeriod),"◇","")),IF(AND(AN$5&lt;=$F177,AN$5+GanttPeriod-1&gt;=$E177),"━","")))</f>
        <v/>
      </c>
      <c r="AO177" s="69" t="str">
        <f aca="false">IF($E177="","",IF($M177,IF(AND($G177&gt;=AO$5,$G177&lt;AO$5+GanttPeriod),"◆",IF(AND($E177&gt;=AO$5,$E177&lt;AO$5+GanttPeriod),"◇","")),IF(AND(AO$5&lt;=$F177,AO$5+GanttPeriod-1&gt;=$E177),"━","")))</f>
        <v/>
      </c>
      <c r="AP177" s="69" t="str">
        <f aca="false">IF($E177="","",IF($M177,IF(AND($G177&gt;=AP$5,$G177&lt;AP$5+GanttPeriod),"◆",IF(AND($E177&gt;=AP$5,$E177&lt;AP$5+GanttPeriod),"◇","")),IF(AND(AP$5&lt;=$F177,AP$5+GanttPeriod-1&gt;=$E177),"━","")))</f>
        <v/>
      </c>
      <c r="AQ177" s="69" t="str">
        <f aca="false">IF($E177="","",IF($M177,IF(AND($G177&gt;=AQ$5,$G177&lt;AQ$5+GanttPeriod),"◆",IF(AND($E177&gt;=AQ$5,$E177&lt;AQ$5+GanttPeriod),"◇","")),IF(AND(AQ$5&lt;=$F177,AQ$5+GanttPeriod-1&gt;=$E177),"━","")))</f>
        <v/>
      </c>
      <c r="AR177" s="69" t="str">
        <f aca="false">IF($E177="","",IF($M177,IF(AND($G177&gt;=AR$5,$G177&lt;AR$5+GanttPeriod),"◆",IF(AND($E177&gt;=AR$5,$E177&lt;AR$5+GanttPeriod),"◇","")),IF(AND(AR$5&lt;=$F177,AR$5+GanttPeriod-1&gt;=$E177),"━","")))</f>
        <v/>
      </c>
      <c r="AS177" s="69" t="str">
        <f aca="false">IF($E177="","",IF($M177,IF(AND($G177&gt;=AS$5,$G177&lt;AS$5+GanttPeriod),"◆",IF(AND($E177&gt;=AS$5,$E177&lt;AS$5+GanttPeriod),"◇","")),IF(AND(AS$5&lt;=$F177,AS$5+GanttPeriod-1&gt;=$E177),"━","")))</f>
        <v/>
      </c>
      <c r="AT177" s="69" t="str">
        <f aca="false">IF($E177="","",IF($M177,IF(AND($G177&gt;=AT$5,$G177&lt;AT$5+GanttPeriod),"◆",IF(AND($E177&gt;=AT$5,$E177&lt;AT$5+GanttPeriod),"◇","")),IF(AND(AT$5&lt;=$F177,AT$5+GanttPeriod-1&gt;=$E177),"━","")))</f>
        <v/>
      </c>
      <c r="AU177" s="69" t="str">
        <f aca="false">IF($E177="","",IF($M177,IF(AND($G177&gt;=AU$5,$G177&lt;AU$5+GanttPeriod),"◆",IF(AND($E177&gt;=AU$5,$E177&lt;AU$5+GanttPeriod),"◇","")),IF(AND(AU$5&lt;=$F177,AU$5+GanttPeriod-1&gt;=$E177),"━","")))</f>
        <v/>
      </c>
      <c r="AV177" s="69" t="str">
        <f aca="false">IF($E177="","",IF($M177,IF(AND($G177&gt;=AV$5,$G177&lt;AV$5+GanttPeriod),"◆",IF(AND($E177&gt;=AV$5,$E177&lt;AV$5+GanttPeriod),"◇","")),IF(AND(AV$5&lt;=$F177,AV$5+GanttPeriod-1&gt;=$E177),"━","")))</f>
        <v/>
      </c>
      <c r="AW177" s="69" t="str">
        <f aca="false">IF($E177="","",IF($M177,IF(AND($G177&gt;=AW$5,$G177&lt;AW$5+GanttPeriod),"◆",IF(AND($E177&gt;=AW$5,$E177&lt;AW$5+GanttPeriod),"◇","")),IF(AND(AW$5&lt;=$F177,AW$5+GanttPeriod-1&gt;=$E177),"━","")))</f>
        <v/>
      </c>
      <c r="AX177" s="69" t="str">
        <f aca="false">IF($E177="","",IF($M177,IF(AND($G177&gt;=AX$5,$G177&lt;AX$5+GanttPeriod),"◆",IF(AND($E177&gt;=AX$5,$E177&lt;AX$5+GanttPeriod),"◇","")),IF(AND(AX$5&lt;=$F177,AX$5+GanttPeriod-1&gt;=$E177),"━","")))</f>
        <v/>
      </c>
      <c r="AY177" s="69" t="str">
        <f aca="false">IF($E177="","",IF($M177,IF(AND($G177&gt;=AY$5,$G177&lt;AY$5+GanttPeriod),"◆",IF(AND($E177&gt;=AY$5,$E177&lt;AY$5+GanttPeriod),"◇","")),IF(AND(AY$5&lt;=$F177,AY$5+GanttPeriod-1&gt;=$E177),"━","")))</f>
        <v/>
      </c>
      <c r="AZ177" s="69" t="str">
        <f aca="false">IF($E177="","",IF($M177,IF(AND($G177&gt;=AZ$5,$G177&lt;AZ$5+GanttPeriod),"◆",IF(AND($E177&gt;=AZ$5,$E177&lt;AZ$5+GanttPeriod),"◇","")),IF(AND(AZ$5&lt;=$F177,AZ$5+GanttPeriod-1&gt;=$E177),"━","")))</f>
        <v/>
      </c>
      <c r="BA177" s="69" t="str">
        <f aca="false">IF($E177="","",IF($M177,IF(AND($G177&gt;=BA$5,$G177&lt;BA$5+GanttPeriod),"◆",IF(AND($E177&gt;=BA$5,$E177&lt;BA$5+GanttPeriod),"◇","")),IF(AND(BA$5&lt;=$F177,BA$5+GanttPeriod-1&gt;=$E177),"━","")))</f>
        <v/>
      </c>
      <c r="BB177" s="69" t="str">
        <f aca="false">IF($E177="","",IF($M177,IF(AND($G177&gt;=BB$5,$G177&lt;BB$5+GanttPeriod),"◆",IF(AND($E177&gt;=BB$5,$E177&lt;BB$5+GanttPeriod),"◇","")),IF(AND(BB$5&lt;=$F177,BB$5+GanttPeriod-1&gt;=$E177),"━","")))</f>
        <v/>
      </c>
      <c r="BC177" s="69" t="str">
        <f aca="false">IF($E177="","",IF($M177,IF(AND($G177&gt;=BC$5,$G177&lt;BC$5+GanttPeriod),"◆",IF(AND($E177&gt;=BC$5,$E177&lt;BC$5+GanttPeriod),"◇","")),IF(AND(BC$5&lt;=$F177,BC$5+GanttPeriod-1&gt;=$E177),"━","")))</f>
        <v/>
      </c>
      <c r="BD177" s="69" t="str">
        <f aca="false">IF($E177="","",IF($M177,IF(AND($G177&gt;=BD$5,$G177&lt;BD$5+GanttPeriod),"◆",IF(AND($E177&gt;=BD$5,$E177&lt;BD$5+GanttPeriod),"◇","")),IF(AND(BD$5&lt;=$F177,BD$5+GanttPeriod-1&gt;=$E177),"━","")))</f>
        <v/>
      </c>
      <c r="BE177" s="69" t="str">
        <f aca="false">IF($E177="","",IF($M177,IF(AND($G177&gt;=BE$5,$G177&lt;BE$5+GanttPeriod),"◆",IF(AND($E177&gt;=BE$5,$E177&lt;BE$5+GanttPeriod),"◇","")),IF(AND(BE$5&lt;=$F177,BE$5+GanttPeriod-1&gt;=$E177),"━","")))</f>
        <v/>
      </c>
      <c r="BF177" s="69" t="str">
        <f aca="false">IF($E177="","",IF($M177,IF(AND($G177&gt;=BF$5,$G177&lt;BF$5+GanttPeriod),"◆",IF(AND($E177&gt;=BF$5,$E177&lt;BF$5+GanttPeriod),"◇","")),IF(AND(BF$5&lt;=$F177,BF$5+GanttPeriod-1&gt;=$E177),"━","")))</f>
        <v/>
      </c>
      <c r="BG177" s="69" t="str">
        <f aca="false">IF($E177="","",IF($M177,IF(AND($G177&gt;=BG$5,$G177&lt;BG$5+GanttPeriod),"◆",IF(AND($E177&gt;=BG$5,$E177&lt;BG$5+GanttPeriod),"◇","")),IF(AND(BG$5&lt;=$F177,BG$5+GanttPeriod-1&gt;=$E177),"━","")))</f>
        <v/>
      </c>
      <c r="BH177" s="69" t="str">
        <f aca="false">IF($E177="","",IF($M177,IF(AND($G177&gt;=BH$5,$G177&lt;BH$5+GanttPeriod),"◆",IF(AND($E177&gt;=BH$5,$E177&lt;BH$5+GanttPeriod),"◇","")),IF(AND(BH$5&lt;=$F177,BH$5+GanttPeriod-1&gt;=$E177),"━","")))</f>
        <v/>
      </c>
      <c r="BI177" s="69" t="str">
        <f aca="false">IF($E177="","",IF($M177,IF(AND($G177&gt;=BI$5,$G177&lt;BI$5+GanttPeriod),"◆",IF(AND($E177&gt;=BI$5,$E177&lt;BI$5+GanttPeriod),"◇","")),IF(AND(BI$5&lt;=$F177,BI$5+GanttPeriod-1&gt;=$E177),"━","")))</f>
        <v/>
      </c>
      <c r="BJ177" s="69" t="str">
        <f aca="false">IF($E177="","",IF($M177,IF(AND($G177&gt;=BJ$5,$G177&lt;BJ$5+GanttPeriod),"◆",IF(AND($E177&gt;=BJ$5,$E177&lt;BJ$5+GanttPeriod),"◇","")),IF(AND(BJ$5&lt;=$F177,BJ$5+GanttPeriod-1&gt;=$E177),"━","")))</f>
        <v/>
      </c>
      <c r="BK177" s="69" t="str">
        <f aca="false">IF($E177="","",IF($M177,IF(AND($G177&gt;=BK$5,$G177&lt;BK$5+GanttPeriod),"◆",IF(AND($E177&gt;=BK$5,$E177&lt;BK$5+GanttPeriod),"◇","")),IF(AND(BK$5&lt;=$F177,BK$5+GanttPeriod-1&gt;=$E177),"━","")))</f>
        <v/>
      </c>
      <c r="BL177" s="69" t="str">
        <f aca="false">IF($E177="","",IF($M177,IF(AND($G177&gt;=BL$5,$G177&lt;BL$5+GanttPeriod),"◆",IF(AND($E177&gt;=BL$5,$E177&lt;BL$5+GanttPeriod),"◇","")),IF(AND(BL$5&lt;=$F177,BL$5+GanttPeriod-1&gt;=$E177),"━","")))</f>
        <v/>
      </c>
      <c r="BM177" s="69" t="str">
        <f aca="false">IF($E177="","",IF($M177,IF(AND($G177&gt;=BM$5,$G177&lt;BM$5+GanttPeriod),"◆",IF(AND($E177&gt;=BM$5,$E177&lt;BM$5+GanttPeriod),"◇","")),IF(AND(BM$5&lt;=$F177,BM$5+GanttPeriod-1&gt;=$E177),"━","")))</f>
        <v/>
      </c>
      <c r="BN177" s="69" t="str">
        <f aca="false">IF($E177="","",IF($M177,IF(AND($G177&gt;=BN$5,$G177&lt;BN$5+GanttPeriod),"◆",IF(AND($E177&gt;=BN$5,$E177&lt;BN$5+GanttPeriod),"◇","")),IF(AND(BN$5&lt;=$F177,BN$5+GanttPeriod-1&gt;=$E177),"━","")))</f>
        <v/>
      </c>
      <c r="BO177" s="69" t="str">
        <f aca="false">IF($E177="","",IF($M177,IF(AND($G177&gt;=BO$5,$G177&lt;BO$5+GanttPeriod),"◆",IF(AND($E177&gt;=BO$5,$E177&lt;BO$5+GanttPeriod),"◇","")),IF(AND(BO$5&lt;=$F177,BO$5+GanttPeriod-1&gt;=$E177),"━","")))</f>
        <v/>
      </c>
      <c r="BP177" s="69" t="str">
        <f aca="false">IF($E177="","",IF($M177,IF(AND($G177&gt;=BP$5,$G177&lt;BP$5+GanttPeriod),"◆",IF(AND($E177&gt;=BP$5,$E177&lt;BP$5+GanttPeriod),"◇","")),IF(AND(BP$5&lt;=$F177,BP$5+GanttPeriod-1&gt;=$E177),"━","")))</f>
        <v/>
      </c>
      <c r="BQ177" s="69" t="str">
        <f aca="false">IF($E177="","",IF($M177,IF(AND($G177&gt;=BQ$5,$G177&lt;BQ$5+GanttPeriod),"◆",IF(AND($E177&gt;=BQ$5,$E177&lt;BQ$5+GanttPeriod),"◇","")),IF(AND(BQ$5&lt;=$F177,BQ$5+GanttPeriod-1&gt;=$E177),"━","")))</f>
        <v/>
      </c>
      <c r="BR177" s="69" t="str">
        <f aca="false">IF($E177="","",IF($M177,IF(AND($G177&gt;=BR$5,$G177&lt;BR$5+GanttPeriod),"◆",IF(AND($E177&gt;=BR$5,$E177&lt;BR$5+GanttPeriod),"◇","")),IF(AND(BR$5&lt;=$F177,BR$5+GanttPeriod-1&gt;=$E177),"━","")))</f>
        <v/>
      </c>
      <c r="BS177" s="69" t="str">
        <f aca="false">IF($E177="","",IF($M177,IF(AND($G177&gt;=BS$5,$G177&lt;BS$5+GanttPeriod),"◆",IF(AND($E177&gt;=BS$5,$E177&lt;BS$5+GanttPeriod),"◇","")),IF(AND(BS$5&lt;=$F177,BS$5+GanttPeriod-1&gt;=$E177),"━","")))</f>
        <v/>
      </c>
      <c r="BT177" s="69" t="str">
        <f aca="false">IF($E177="","",IF($M177,IF(AND($G177&gt;=BT$5,$G177&lt;BT$5+GanttPeriod),"◆",IF(AND($E177&gt;=BT$5,$E177&lt;BT$5+GanttPeriod),"◇","")),IF(AND(BT$5&lt;=$F177,BT$5+GanttPeriod-1&gt;=$E177),"━","")))</f>
        <v/>
      </c>
      <c r="BU177" s="69" t="str">
        <f aca="false">IF($E177="","",IF($M177,IF(AND($G177&gt;=BU$5,$G177&lt;BU$5+GanttPeriod),"◆",IF(AND($E177&gt;=BU$5,$E177&lt;BU$5+GanttPeriod),"◇","")),IF(AND(BU$5&lt;=$F177,BU$5+GanttPeriod-1&gt;=$E177),"━","")))</f>
        <v/>
      </c>
      <c r="BV177" s="69" t="str">
        <f aca="false">IF($E177="","",IF($M177,IF(AND($G177&gt;=BV$5,$G177&lt;BV$5+GanttPeriod),"◆",IF(AND($E177&gt;=BV$5,$E177&lt;BV$5+GanttPeriod),"◇","")),IF(AND(BV$5&lt;=$F177,BV$5+GanttPeriod-1&gt;=$E177),"━","")))</f>
        <v/>
      </c>
      <c r="BW177" s="69" t="str">
        <f aca="false">IF($E177="","",IF($M177,IF(AND($G177&gt;=BW$5,$G177&lt;BW$5+GanttPeriod),"◆",IF(AND($E177&gt;=BW$5,$E177&lt;BW$5+GanttPeriod),"◇","")),IF(AND(BW$5&lt;=$F177,BW$5+GanttPeriod-1&gt;=$E177),"━","")))</f>
        <v/>
      </c>
      <c r="BX177" s="69" t="str">
        <f aca="false">IF($E177="","",IF($M177,IF(AND($G177&gt;=BX$5,$G177&lt;BX$5+GanttPeriod),"◆",IF(AND($E177&gt;=BX$5,$E177&lt;BX$5+GanttPeriod),"◇","")),IF(AND(BX$5&lt;=$F177,BX$5+GanttPeriod-1&gt;=$E177),"━","")))</f>
        <v/>
      </c>
      <c r="BY177" s="69" t="str">
        <f aca="false">IF($E177="","",IF($M177,IF(AND($G177&gt;=BY$5,$G177&lt;BY$5+GanttPeriod),"◆",IF(AND($E177&gt;=BY$5,$E177&lt;BY$5+GanttPeriod),"◇","")),IF(AND(BY$5&lt;=$F177,BY$5+GanttPeriod-1&gt;=$E177),"━","")))</f>
        <v/>
      </c>
      <c r="BZ177" s="69" t="str">
        <f aca="false">IF($E177="","",IF($M177,IF(AND($G177&gt;=BZ$5,$G177&lt;BZ$5+GanttPeriod),"◆",IF(AND($E177&gt;=BZ$5,$E177&lt;BZ$5+GanttPeriod),"◇","")),IF(AND(BZ$5&lt;=$F177,BZ$5+GanttPeriod-1&gt;=$E177),"━","")))</f>
        <v/>
      </c>
      <c r="CA177" s="69" t="str">
        <f aca="false">IF($E177="","",IF($M177,IF(AND($G177&gt;=CA$5,$G177&lt;CA$5+GanttPeriod),"◆",IF(AND($E177&gt;=CA$5,$E177&lt;CA$5+GanttPeriod),"◇","")),IF(AND(CA$5&lt;=$F177,CA$5+GanttPeriod-1&gt;=$E177),"━","")))</f>
        <v/>
      </c>
      <c r="CB177" s="69" t="str">
        <f aca="false">IF($E177="","",IF($M177,IF(AND($G177&gt;=CB$5,$G177&lt;CB$5+GanttPeriod),"◆",IF(AND($E177&gt;=CB$5,$E177&lt;CB$5+GanttPeriod),"◇","")),IF(AND(CB$5&lt;=$F177,CB$5+GanttPeriod-1&gt;=$E177),"━","")))</f>
        <v/>
      </c>
      <c r="CC177" s="69" t="str">
        <f aca="false">IF($E177="","",IF($M177,IF(AND($G177&gt;=CC$5,$G177&lt;CC$5+GanttPeriod),"◆",IF(AND($E177&gt;=CC$5,$E177&lt;CC$5+GanttPeriod),"◇","")),IF(AND(CC$5&lt;=$F177,CC$5+GanttPeriod-1&gt;=$E177),"━","")))</f>
        <v/>
      </c>
      <c r="CD177" s="69" t="str">
        <f aca="false">IF($E177="","",IF($M177,IF(AND($G177&gt;=CD$5,$G177&lt;CD$5+GanttPeriod),"◆",IF(AND($E177&gt;=CD$5,$E177&lt;CD$5+GanttPeriod),"◇","")),IF(AND(CD$5&lt;=$F177,CD$5+GanttPeriod-1&gt;=$E177),"━","")))</f>
        <v/>
      </c>
      <c r="CE177" s="69" t="str">
        <f aca="false">IF($E177="","",IF($M177,IF(AND($G177&gt;=CE$5,$G177&lt;CE$5+GanttPeriod),"◆",IF(AND($E177&gt;=CE$5,$E177&lt;CE$5+GanttPeriod),"◇","")),IF(AND(CE$5&lt;=$F177,CE$5+GanttPeriod-1&gt;=$E177),"━","")))</f>
        <v/>
      </c>
      <c r="CF177" s="69" t="str">
        <f aca="false">IF($E177="","",IF($M177,IF(AND($G177&gt;=CF$5,$G177&lt;CF$5+GanttPeriod),"◆",IF(AND($E177&gt;=CF$5,$E177&lt;CF$5+GanttPeriod),"◇","")),IF(AND(CF$5&lt;=$F177,CF$5+GanttPeriod-1&gt;=$E177),"━","")))</f>
        <v/>
      </c>
      <c r="CG177" s="69" t="str">
        <f aca="false">IF($E177="","",IF($M177,IF(AND($G177&gt;=CG$5,$G177&lt;CG$5+GanttPeriod),"◆",IF(AND($E177&gt;=CG$5,$E177&lt;CG$5+GanttPeriod),"◇","")),IF(AND(CG$5&lt;=$F177,CG$5+GanttPeriod-1&gt;=$E177),"━","")))</f>
        <v/>
      </c>
      <c r="CH177" s="69" t="str">
        <f aca="false">IF($E177="","",IF($M177,IF(AND($G177&gt;=CH$5,$G177&lt;CH$5+GanttPeriod),"◆",IF(AND($E177&gt;=CH$5,$E177&lt;CH$5+GanttPeriod),"◇","")),IF(AND(CH$5&lt;=$F177,CH$5+GanttPeriod-1&gt;=$E177),"━","")))</f>
        <v/>
      </c>
      <c r="CI177" s="69" t="str">
        <f aca="false">IF($E177="","",IF($M177,IF(AND($G177&gt;=CI$5,$G177&lt;CI$5+GanttPeriod),"◆",IF(AND($E177&gt;=CI$5,$E177&lt;CI$5+GanttPeriod),"◇","")),IF(AND(CI$5&lt;=$F177,CI$5+GanttPeriod-1&gt;=$E177),"━","")))</f>
        <v/>
      </c>
      <c r="CJ177" s="69" t="str">
        <f aca="false">IF($E177="","",IF($M177,IF(AND($G177&gt;=CJ$5,$G177&lt;CJ$5+GanttPeriod),"◆",IF(AND($E177&gt;=CJ$5,$E177&lt;CJ$5+GanttPeriod),"◇","")),IF(AND(CJ$5&lt;=$F177,CJ$5+GanttPeriod-1&gt;=$E177),"━","")))</f>
        <v/>
      </c>
      <c r="CK177" s="69" t="str">
        <f aca="false">IF($E177="","",IF($M177,IF(AND($G177&gt;=CK$5,$G177&lt;CK$5+GanttPeriod),"◆",IF(AND($E177&gt;=CK$5,$E177&lt;CK$5+GanttPeriod),"◇","")),IF(AND(CK$5&lt;=$F177,CK$5+GanttPeriod-1&gt;=$E177),"━","")))</f>
        <v/>
      </c>
      <c r="CL177" s="69" t="str">
        <f aca="false">IF($E177="","",IF($M177,IF(AND($G177&gt;=CL$5,$G177&lt;CL$5+GanttPeriod),"◆",IF(AND($E177&gt;=CL$5,$E177&lt;CL$5+GanttPeriod),"◇","")),IF(AND(CL$5&lt;=$F177,CL$5+GanttPeriod-1&gt;=$E177),"━","")))</f>
        <v/>
      </c>
      <c r="CM177" s="69" t="str">
        <f aca="false">IF($E177="","",IF($M177,IF(AND($G177&gt;=CM$5,$G177&lt;CM$5+GanttPeriod),"◆",IF(AND($E177&gt;=CM$5,$E177&lt;CM$5+GanttPeriod),"◇","")),IF(AND(CM$5&lt;=$F177,CM$5+GanttPeriod-1&gt;=$E177),"━","")))</f>
        <v/>
      </c>
      <c r="CN177" s="69" t="str">
        <f aca="false">IF($E177="","",IF($M177,IF(AND($G177&gt;=CN$5,$G177&lt;CN$5+GanttPeriod),"◆",IF(AND($E177&gt;=CN$5,$E177&lt;CN$5+GanttPeriod),"◇","")),IF(AND(CN$5&lt;=$F177,CN$5+GanttPeriod-1&gt;=$E177),"━","")))</f>
        <v/>
      </c>
      <c r="CO177" s="69" t="str">
        <f aca="false">IF($E177="","",IF($M177,IF(AND($G177&gt;=CO$5,$G177&lt;CO$5+GanttPeriod),"◆",IF(AND($E177&gt;=CO$5,$E177&lt;CO$5+GanttPeriod),"◇","")),IF(AND(CO$5&lt;=$F177,CO$5+GanttPeriod-1&gt;=$E177),"━","")))</f>
        <v/>
      </c>
      <c r="CP177" s="69" t="str">
        <f aca="false">IF($E177="","",IF($M177,IF(AND($G177&gt;=CP$5,$G177&lt;CP$5+GanttPeriod),"◆",IF(AND($E177&gt;=CP$5,$E177&lt;CP$5+GanttPeriod),"◇","")),IF(AND(CP$5&lt;=$F177,CP$5+GanttPeriod-1&gt;=$E177),"━","")))</f>
        <v/>
      </c>
      <c r="CQ177" s="69" t="str">
        <f aca="false">IF($E177="","",IF($M177,IF(AND($G177&gt;=CQ$5,$G177&lt;CQ$5+GanttPeriod),"◆",IF(AND($E177&gt;=CQ$5,$E177&lt;CQ$5+GanttPeriod),"◇","")),IF(AND(CQ$5&lt;=$F177,CQ$5+GanttPeriod-1&gt;=$E177),"━","")))</f>
        <v/>
      </c>
      <c r="CR177" s="69" t="str">
        <f aca="false">IF($E177="","",IF($M177,IF(AND($G177&gt;=CR$5,$G177&lt;CR$5+GanttPeriod),"◆",IF(AND($E177&gt;=CR$5,$E177&lt;CR$5+GanttPeriod),"◇","")),IF(AND(CR$5&lt;=$F177,CR$5+GanttPeriod-1&gt;=$E177),"━","")))</f>
        <v/>
      </c>
      <c r="CS177" s="69" t="str">
        <f aca="false">IF($E177="","",IF($M177,IF(AND($G177&gt;=CS$5,$G177&lt;CS$5+GanttPeriod),"◆",IF(AND($E177&gt;=CS$5,$E177&lt;CS$5+GanttPeriod),"◇","")),IF(AND(CS$5&lt;=$F177,CS$5+GanttPeriod-1&gt;=$E177),"━","")))</f>
        <v/>
      </c>
      <c r="CT177" s="69" t="str">
        <f aca="false">IF($E177="","",IF($M177,IF(AND($G177&gt;=CT$5,$G177&lt;CT$5+GanttPeriod),"◆",IF(AND($E177&gt;=CT$5,$E177&lt;CT$5+GanttPeriod),"◇","")),IF(AND(CT$5&lt;=$F177,CT$5+GanttPeriod-1&gt;=$E177),"━","")))</f>
        <v/>
      </c>
      <c r="CU177" s="69" t="str">
        <f aca="false">IF($E177="","",IF($M177,IF(AND($G177&gt;=CU$5,$G177&lt;CU$5+GanttPeriod),"◆",IF(AND($E177&gt;=CU$5,$E177&lt;CU$5+GanttPeriod),"◇","")),IF(AND(CU$5&lt;=$F177,CU$5+GanttPeriod-1&gt;=$E177),"━","")))</f>
        <v/>
      </c>
      <c r="CV177" s="69" t="str">
        <f aca="false">IF($E177="","",IF($M177,IF(AND($G177&gt;=CV$5,$G177&lt;CV$5+GanttPeriod),"◆",IF(AND($E177&gt;=CV$5,$E177&lt;CV$5+GanttPeriod),"◇","")),IF(AND(CV$5&lt;=$F177,CV$5+GanttPeriod-1&gt;=$E177),"━","")))</f>
        <v/>
      </c>
      <c r="CW177" s="69" t="str">
        <f aca="false">IF($E177="","",IF($M177,IF(AND($G177&gt;=CW$5,$G177&lt;CW$5+GanttPeriod),"◆",IF(AND($E177&gt;=CW$5,$E177&lt;CW$5+GanttPeriod),"◇","")),IF(AND(CW$5&lt;=$F177,CW$5+GanttPeriod-1&gt;=$E177),"━","")))</f>
        <v/>
      </c>
      <c r="CX177" s="69" t="str">
        <f aca="false">IF($E177="","",IF($M177,IF(AND($G177&gt;=CX$5,$G177&lt;CX$5+GanttPeriod),"◆",IF(AND($E177&gt;=CX$5,$E177&lt;CX$5+GanttPeriod),"◇","")),IF(AND(CX$5&lt;=$F177,CX$5+GanttPeriod-1&gt;=$E177),"━","")))</f>
        <v/>
      </c>
      <c r="CY177" s="69" t="str">
        <f aca="false">IF($E177="","",IF($M177,IF(AND($G177&gt;=CY$5,$G177&lt;CY$5+GanttPeriod),"◆",IF(AND($E177&gt;=CY$5,$E177&lt;CY$5+GanttPeriod),"◇","")),IF(AND(CY$5&lt;=$F177,CY$5+GanttPeriod-1&gt;=$E177),"━","")))</f>
        <v/>
      </c>
      <c r="CZ177" s="69" t="str">
        <f aca="false">IF($E177="","",IF($M177,IF(AND($G177&gt;=CZ$5,$G177&lt;CZ$5+GanttPeriod),"◆",IF(AND($E177&gt;=CZ$5,$E177&lt;CZ$5+GanttPeriod),"◇","")),IF(AND(CZ$5&lt;=$F177,CZ$5+GanttPeriod-1&gt;=$E177),"━","")))</f>
        <v/>
      </c>
      <c r="DA177" s="69" t="str">
        <f aca="false">IF($E177="","",IF($M177,IF(AND($G177&gt;=DA$5,$G177&lt;DA$5+GanttPeriod),"◆",IF(AND($E177&gt;=DA$5,$E177&lt;DA$5+GanttPeriod),"◇","")),IF(AND(DA$5&lt;=$F177,DA$5+GanttPeriod-1&gt;=$E177),"━","")))</f>
        <v/>
      </c>
      <c r="DB177" s="69" t="str">
        <f aca="false">IF($E177="","",IF($M177,IF(AND($G177&gt;=DB$5,$G177&lt;DB$5+GanttPeriod),"◆",IF(AND($E177&gt;=DB$5,$E177&lt;DB$5+GanttPeriod),"◇","")),IF(AND(DB$5&lt;=$F177,DB$5+GanttPeriod-1&gt;=$E177),"━","")))</f>
        <v/>
      </c>
      <c r="DC177" s="69" t="str">
        <f aca="false">IF($E177="","",IF($M177,IF(AND($G177&gt;=DC$5,$G177&lt;DC$5+GanttPeriod),"◆",IF(AND($E177&gt;=DC$5,$E177&lt;DC$5+GanttPeriod),"◇","")),IF(AND(DC$5&lt;=$F177,DC$5+GanttPeriod-1&gt;=$E177),"━","")))</f>
        <v/>
      </c>
      <c r="DD177" s="69" t="str">
        <f aca="false">IF($E177="","",IF($M177,IF(AND($G177&gt;=DD$5,$G177&lt;DD$5+GanttPeriod),"◆",IF(AND($E177&gt;=DD$5,$E177&lt;DD$5+GanttPeriod),"◇","")),IF(AND(DD$5&lt;=$F177,DD$5+GanttPeriod-1&gt;=$E177),"━","")))</f>
        <v/>
      </c>
      <c r="DE177" s="69" t="str">
        <f aca="false">IF($E177="","",IF($M177,IF(AND($G177&gt;=DE$5,$G177&lt;DE$5+GanttPeriod),"◆",IF(AND($E177&gt;=DE$5,$E177&lt;DE$5+GanttPeriod),"◇","")),IF(AND(DE$5&lt;=$F177,DE$5+GanttPeriod-1&gt;=$E177),"━","")))</f>
        <v/>
      </c>
      <c r="DF177" s="69" t="str">
        <f aca="false">IF($E177="","",IF($M177,IF(AND($G177&gt;=DF$5,$G177&lt;DF$5+GanttPeriod),"◆",IF(AND($E177&gt;=DF$5,$E177&lt;DF$5+GanttPeriod),"◇","")),IF(AND(DF$5&lt;=$F177,DF$5+GanttPeriod-1&gt;=$E177),"━","")))</f>
        <v/>
      </c>
      <c r="DG177" s="69" t="str">
        <f aca="false">IF($E177="","",IF($M177,IF(AND($G177&gt;=DG$5,$G177&lt;DG$5+GanttPeriod),"◆",IF(AND($E177&gt;=DG$5,$E177&lt;DG$5+GanttPeriod),"◇","")),IF(AND(DG$5&lt;=$F177,DG$5+GanttPeriod-1&gt;=$E177),"━","")))</f>
        <v/>
      </c>
      <c r="DH177" s="69" t="str">
        <f aca="false">IF($E177="","",IF($M177,IF(AND($G177&gt;=DH$5,$G177&lt;DH$5+GanttPeriod),"◆",IF(AND($E177&gt;=DH$5,$E177&lt;DH$5+GanttPeriod),"◇","")),IF(AND(DH$5&lt;=$F177,DH$5+GanttPeriod-1&gt;=$E177),"━","")))</f>
        <v/>
      </c>
      <c r="DI177" s="69" t="str">
        <f aca="false">IF($E177="","",IF($M177,IF(AND($G177&gt;=DI$5,$G177&lt;DI$5+GanttPeriod),"◆",IF(AND($E177&gt;=DI$5,$E177&lt;DI$5+GanttPeriod),"◇","")),IF(AND(DI$5&lt;=$F177,DI$5+GanttPeriod-1&gt;=$E177),"━","")))</f>
        <v/>
      </c>
      <c r="DJ177" s="69" t="str">
        <f aca="false">IF($E177="","",IF($M177,IF(AND($G177&gt;=DJ$5,$G177&lt;DJ$5+GanttPeriod),"◆",IF(AND($E177&gt;=DJ$5,$E177&lt;DJ$5+GanttPeriod),"◇","")),IF(AND(DJ$5&lt;=$F177,DJ$5+GanttPeriod-1&gt;=$E177),"━","")))</f>
        <v/>
      </c>
      <c r="DK177" s="69" t="str">
        <f aca="false">IF($E177="","",IF($M177,IF(AND($G177&gt;=DK$5,$G177&lt;DK$5+GanttPeriod),"◆",IF(AND($E177&gt;=DK$5,$E177&lt;DK$5+GanttPeriod),"◇","")),IF(AND(DK$5&lt;=$F177,DK$5+GanttPeriod-1&gt;=$E177),"━","")))</f>
        <v/>
      </c>
      <c r="DL177" s="69" t="str">
        <f aca="false">IF($E177="","",IF($M177,IF(AND($G177&gt;=DL$5,$G177&lt;DL$5+GanttPeriod),"◆",IF(AND($E177&gt;=DL$5,$E177&lt;DL$5+GanttPeriod),"◇","")),IF(AND(DL$5&lt;=$F177,DL$5+GanttPeriod-1&gt;=$E177),"━","")))</f>
        <v/>
      </c>
      <c r="DM177" s="69" t="str">
        <f aca="false">IF($E177="","",IF($M177,IF(AND($G177&gt;=DM$5,$G177&lt;DM$5+GanttPeriod),"◆",IF(AND($E177&gt;=DM$5,$E177&lt;DM$5+GanttPeriod),"◇","")),IF(AND(DM$5&lt;=$F177,DM$5+GanttPeriod-1&gt;=$E177),"━","")))</f>
        <v/>
      </c>
      <c r="DN177" s="69" t="str">
        <f aca="false">IF($E177="","",IF($M177,IF(AND($G177&gt;=DN$5,$G177&lt;DN$5+GanttPeriod),"◆",IF(AND($E177&gt;=DN$5,$E177&lt;DN$5+GanttPeriod),"◇","")),IF(AND(DN$5&lt;=$F177,DN$5+GanttPeriod-1&gt;=$E177),"━","")))</f>
        <v/>
      </c>
      <c r="DO177" s="69" t="str">
        <f aca="false">IF($E177="","",IF($M177,IF(AND($G177&gt;=DO$5,$G177&lt;DO$5+GanttPeriod),"◆",IF(AND($E177&gt;=DO$5,$E177&lt;DO$5+GanttPeriod),"◇","")),IF(AND(DO$5&lt;=$F177,DO$5+GanttPeriod-1&gt;=$E177),"━","")))</f>
        <v/>
      </c>
      <c r="DP177" s="69" t="str">
        <f aca="false">IF($E177="","",IF($M177,IF(AND($G177&gt;=DP$5,$G177&lt;DP$5+GanttPeriod),"◆",IF(AND($E177&gt;=DP$5,$E177&lt;DP$5+GanttPeriod),"◇","")),IF(AND(DP$5&lt;=$F177,DP$5+GanttPeriod-1&gt;=$E177),"━","")))</f>
        <v/>
      </c>
      <c r="DQ177" s="69" t="str">
        <f aca="false">IF($E177="","",IF($M177,IF(AND($G177&gt;=DQ$5,$G177&lt;DQ$5+GanttPeriod),"◆",IF(AND($E177&gt;=DQ$5,$E177&lt;DQ$5+GanttPeriod),"◇","")),IF(AND(DQ$5&lt;=$F177,DQ$5+GanttPeriod-1&gt;=$E177),"━","")))</f>
        <v/>
      </c>
      <c r="DR177" s="69" t="str">
        <f aca="false">IF($E177="","",IF($M177,IF(AND($G177&gt;=DR$5,$G177&lt;DR$5+GanttPeriod),"◆",IF(AND($E177&gt;=DR$5,$E177&lt;DR$5+GanttPeriod),"◇","")),IF(AND(DR$5&lt;=$F177,DR$5+GanttPeriod-1&gt;=$E177),"━","")))</f>
        <v/>
      </c>
      <c r="DS177" s="69" t="str">
        <f aca="false">IF($E177="","",IF($M177,IF(AND($G177&gt;=DS$5,$G177&lt;DS$5+GanttPeriod),"◆",IF(AND($E177&gt;=DS$5,$E177&lt;DS$5+GanttPeriod),"◇","")),IF(AND(DS$5&lt;=$F177,DS$5+GanttPeriod-1&gt;=$E177),"━","")))</f>
        <v/>
      </c>
      <c r="DT177" s="69" t="str">
        <f aca="false">IF($E177="","",IF($M177,IF(AND($G177&gt;=DT$5,$G177&lt;DT$5+GanttPeriod),"◆",IF(AND($E177&gt;=DT$5,$E177&lt;DT$5+GanttPeriod),"◇","")),IF(AND(DT$5&lt;=$F177,DT$5+GanttPeriod-1&gt;=$E177),"━","")))</f>
        <v/>
      </c>
      <c r="DU177" s="69" t="str">
        <f aca="false">IF($E177="","",IF($M177,IF(AND($G177&gt;=DU$5,$G177&lt;DU$5+GanttPeriod),"◆",IF(AND($E177&gt;=DU$5,$E177&lt;DU$5+GanttPeriod),"◇","")),IF(AND(DU$5&lt;=$F177,DU$5+GanttPeriod-1&gt;=$E177),"━","")))</f>
        <v/>
      </c>
      <c r="DV177" s="69" t="str">
        <f aca="false">IF($E177="","",IF($M177,IF(AND($G177&gt;=DV$5,$G177&lt;DV$5+GanttPeriod),"◆",IF(AND($E177&gt;=DV$5,$E177&lt;DV$5+GanttPeriod),"◇","")),IF(AND(DV$5&lt;=$F177,DV$5+GanttPeriod-1&gt;=$E177),"━","")))</f>
        <v/>
      </c>
      <c r="DW177" s="69" t="str">
        <f aca="false">IF($E177="","",IF($M177,IF(AND($G177&gt;=DW$5,$G177&lt;DW$5+GanttPeriod),"◆",IF(AND($E177&gt;=DW$5,$E177&lt;DW$5+GanttPeriod),"◇","")),IF(AND(DW$5&lt;=$F177,DW$5+GanttPeriod-1&gt;=$E177),"━","")))</f>
        <v/>
      </c>
      <c r="DX177" s="69" t="str">
        <f aca="false">IF($E177="","",IF($M177,IF(AND($G177&gt;=DX$5,$G177&lt;DX$5+GanttPeriod),"◆",IF(AND($E177&gt;=DX$5,$E177&lt;DX$5+GanttPeriod),"◇","")),IF(AND(DX$5&lt;=$F177,DX$5+GanttPeriod-1&gt;=$E177),"━","")))</f>
        <v/>
      </c>
      <c r="DY177" s="69" t="str">
        <f aca="false">IF($E177="","",IF($M177,IF(AND($G177&gt;=DY$5,$G177&lt;DY$5+GanttPeriod),"◆",IF(AND($E177&gt;=DY$5,$E177&lt;DY$5+GanttPeriod),"◇","")),IF(AND(DY$5&lt;=$F177,DY$5+GanttPeriod-1&gt;=$E177),"━","")))</f>
        <v/>
      </c>
      <c r="DZ177" s="69" t="str">
        <f aca="false">IF($E177="","",IF($M177,IF(AND($G177&gt;=DZ$5,$G177&lt;DZ$5+GanttPeriod),"◆",IF(AND($E177&gt;=DZ$5,$E177&lt;DZ$5+GanttPeriod),"◇","")),IF(AND(DZ$5&lt;=$F177,DZ$5+GanttPeriod-1&gt;=$E177),"━","")))</f>
        <v/>
      </c>
      <c r="EA177" s="69" t="str">
        <f aca="false">IF($E177="","",IF($M177,IF(AND($G177&gt;=EA$5,$G177&lt;EA$5+GanttPeriod),"◆",IF(AND($E177&gt;=EA$5,$E177&lt;EA$5+GanttPeriod),"◇","")),IF(AND(EA$5&lt;=$F177,EA$5+GanttPeriod-1&gt;=$E177),"━","")))</f>
        <v/>
      </c>
      <c r="EB177" s="69" t="str">
        <f aca="false">IF($E177="","",IF($M177,IF(AND($G177&gt;=EB$5,$G177&lt;EB$5+GanttPeriod),"◆",IF(AND($E177&gt;=EB$5,$E177&lt;EB$5+GanttPeriod),"◇","")),IF(AND(EB$5&lt;=$F177,EB$5+GanttPeriod-1&gt;=$E177),"━","")))</f>
        <v/>
      </c>
      <c r="EC177" s="69" t="str">
        <f aca="false">IF($E177="","",IF($M177,IF(AND($G177&gt;=EC$5,$G177&lt;EC$5+GanttPeriod),"◆",IF(AND($E177&gt;=EC$5,$E177&lt;EC$5+GanttPeriod),"◇","")),IF(AND(EC$5&lt;=$F177,EC$5+GanttPeriod-1&gt;=$E177),"━","")))</f>
        <v/>
      </c>
      <c r="ED177" s="69" t="str">
        <f aca="false">IF($E177="","",IF($M177,IF(AND($G177&gt;=ED$5,$G177&lt;ED$5+GanttPeriod),"◆",IF(AND($E177&gt;=ED$5,$E177&lt;ED$5+GanttPeriod),"◇","")),IF(AND(ED$5&lt;=$F177,ED$5+GanttPeriod-1&gt;=$E177),"━","")))</f>
        <v/>
      </c>
      <c r="EE177" s="69" t="str">
        <f aca="false">IF($E177="","",IF($M177,IF(AND($G177&gt;=EE$5,$G177&lt;EE$5+GanttPeriod),"◆",IF(AND($E177&gt;=EE$5,$E177&lt;EE$5+GanttPeriod),"◇","")),IF(AND(EE$5&lt;=$F177,EE$5+GanttPeriod-1&gt;=$E177),"━","")))</f>
        <v/>
      </c>
      <c r="EF177" s="69" t="str">
        <f aca="false">IF($E177="","",IF($M177,IF(AND($G177&gt;=EF$5,$G177&lt;EF$5+GanttPeriod),"◆",IF(AND($E177&gt;=EF$5,$E177&lt;EF$5+GanttPeriod),"◇","")),IF(AND(EF$5&lt;=$F177,EF$5+GanttPeriod-1&gt;=$E177),"━","")))</f>
        <v/>
      </c>
      <c r="EG177" s="69" t="str">
        <f aca="false">IF($E177="","",IF($M177,IF(AND($G177&gt;=EG$5,$G177&lt;EG$5+GanttPeriod),"◆",IF(AND($E177&gt;=EG$5,$E177&lt;EG$5+GanttPeriod),"◇","")),IF(AND(EG$5&lt;=$F177,EG$5+GanttPeriod-1&gt;=$E177),"━","")))</f>
        <v/>
      </c>
      <c r="EH177" s="69" t="str">
        <f aca="false">IF($E177="","",IF($M177,IF(AND($G177&gt;=EH$5,$G177&lt;EH$5+GanttPeriod),"◆",IF(AND($E177&gt;=EH$5,$E177&lt;EH$5+GanttPeriod),"◇","")),IF(AND(EH$5&lt;=$F177,EH$5+GanttPeriod-1&gt;=$E177),"━","")))</f>
        <v/>
      </c>
      <c r="EI177" s="69" t="str">
        <f aca="false">IF($E177="","",IF($M177,IF(AND($G177&gt;=EI$5,$G177&lt;EI$5+GanttPeriod),"◆",IF(AND($E177&gt;=EI$5,$E177&lt;EI$5+GanttPeriod),"◇","")),IF(AND(EI$5&lt;=$F177,EI$5+GanttPeriod-1&gt;=$E177),"━","")))</f>
        <v/>
      </c>
      <c r="EJ177" s="69" t="str">
        <f aca="false">IF($E177="","",IF($M177,IF(AND($G177&gt;=EJ$5,$G177&lt;EJ$5+GanttPeriod),"◆",IF(AND($E177&gt;=EJ$5,$E177&lt;EJ$5+GanttPeriod),"◇","")),IF(AND(EJ$5&lt;=$F177,EJ$5+GanttPeriod-1&gt;=$E177),"━","")))</f>
        <v/>
      </c>
      <c r="EK177" s="69" t="str">
        <f aca="false">IF($E177="","",IF($M177,IF(AND($G177&gt;=EK$5,$G177&lt;EK$5+GanttPeriod),"◆",IF(AND($E177&gt;=EK$5,$E177&lt;EK$5+GanttPeriod),"◇","")),IF(AND(EK$5&lt;=$F177,EK$5+GanttPeriod-1&gt;=$E177),"━","")))</f>
        <v/>
      </c>
      <c r="EL177" s="69" t="str">
        <f aca="false">IF($E177="","",IF($M177,IF(AND($G177&gt;=EL$5,$G177&lt;EL$5+GanttPeriod),"◆",IF(AND($E177&gt;=EL$5,$E177&lt;EL$5+GanttPeriod),"◇","")),IF(AND(EL$5&lt;=$F177,EL$5+GanttPeriod-1&gt;=$E177),"━","")))</f>
        <v/>
      </c>
      <c r="EM177" s="69" t="str">
        <f aca="false">IF($E177="","",IF($M177,IF(AND($G177&gt;=EM$5,$G177&lt;EM$5+GanttPeriod),"◆",IF(AND($E177&gt;=EM$5,$E177&lt;EM$5+GanttPeriod),"◇","")),IF(AND(EM$5&lt;=$F177,EM$5+GanttPeriod-1&gt;=$E177),"━","")))</f>
        <v/>
      </c>
      <c r="EN177" s="69" t="str">
        <f aca="false">IF($E177="","",IF($M177,IF(AND($G177&gt;=EN$5,$G177&lt;EN$5+GanttPeriod),"◆",IF(AND($E177&gt;=EN$5,$E177&lt;EN$5+GanttPeriod),"◇","")),IF(AND(EN$5&lt;=$F177,EN$5+GanttPeriod-1&gt;=$E177),"━","")))</f>
        <v/>
      </c>
      <c r="EO177" s="69" t="str">
        <f aca="false">IF($E177="","",IF($M177,IF(AND($G177&gt;=EO$5,$G177&lt;EO$5+GanttPeriod),"◆",IF(AND($E177&gt;=EO$5,$E177&lt;EO$5+GanttPeriod),"◇","")),IF(AND(EO$5&lt;=$F177,EO$5+GanttPeriod-1&gt;=$E177),"━","")))</f>
        <v/>
      </c>
      <c r="EP177" s="69" t="str">
        <f aca="false">IF($E177="","",IF($M177,IF(AND($G177&gt;=EP$5,$G177&lt;EP$5+GanttPeriod),"◆",IF(AND($E177&gt;=EP$5,$E177&lt;EP$5+GanttPeriod),"◇","")),IF(AND(EP$5&lt;=$F177,EP$5+GanttPeriod-1&gt;=$E177),"━","")))</f>
        <v/>
      </c>
      <c r="EQ177" s="69" t="str">
        <f aca="false">IF($E177="","",IF($M177,IF(AND($G177&gt;=EQ$5,$G177&lt;EQ$5+GanttPeriod),"◆",IF(AND($E177&gt;=EQ$5,$E177&lt;EQ$5+GanttPeriod),"◇","")),IF(AND(EQ$5&lt;=$F177,EQ$5+GanttPeriod-1&gt;=$E177),"━","")))</f>
        <v/>
      </c>
      <c r="ER177" s="69" t="str">
        <f aca="false">IF($E177="","",IF($M177,IF(AND($G177&gt;=ER$5,$G177&lt;ER$5+GanttPeriod),"◆",IF(AND($E177&gt;=ER$5,$E177&lt;ER$5+GanttPeriod),"◇","")),IF(AND(ER$5&lt;=$F177,ER$5+GanttPeriod-1&gt;=$E177),"━","")))</f>
        <v/>
      </c>
      <c r="ES177" s="69" t="str">
        <f aca="false">IF($E177="","",IF($M177,IF(AND($G177&gt;=ES$5,$G177&lt;ES$5+GanttPeriod),"◆",IF(AND($E177&gt;=ES$5,$E177&lt;ES$5+GanttPeriod),"◇","")),IF(AND(ES$5&lt;=$F177,ES$5+GanttPeriod-1&gt;=$E177),"━","")))</f>
        <v/>
      </c>
      <c r="ET177" s="69" t="str">
        <f aca="false">IF($E177="","",IF($M177,IF(AND($G177&gt;=ET$5,$G177&lt;ET$5+GanttPeriod),"◆",IF(AND($E177&gt;=ET$5,$E177&lt;ET$5+GanttPeriod),"◇","")),IF(AND(ET$5&lt;=$F177,ET$5+GanttPeriod-1&gt;=$E177),"━","")))</f>
        <v/>
      </c>
      <c r="EU177" s="69" t="str">
        <f aca="false">IF($E177="","",IF($M177,IF(AND($G177&gt;=EU$5,$G177&lt;EU$5+GanttPeriod),"◆",IF(AND($E177&gt;=EU$5,$E177&lt;EU$5+GanttPeriod),"◇","")),IF(AND(EU$5&lt;=$F177,EU$5+GanttPeriod-1&gt;=$E177),"━","")))</f>
        <v/>
      </c>
      <c r="EV177" s="69" t="str">
        <f aca="false">IF($E177="","",IF($M177,IF(AND($G177&gt;=EV$5,$G177&lt;EV$5+GanttPeriod),"◆",IF(AND($E177&gt;=EV$5,$E177&lt;EV$5+GanttPeriod),"◇","")),IF(AND(EV$5&lt;=$F177,EV$5+GanttPeriod-1&gt;=$E177),"━","")))</f>
        <v/>
      </c>
      <c r="EW177" s="69" t="str">
        <f aca="false">IF($E177="","",IF($M177,IF(AND($G177&gt;=EW$5,$G177&lt;EW$5+GanttPeriod),"◆",IF(AND($E177&gt;=EW$5,$E177&lt;EW$5+GanttPeriod),"◇","")),IF(AND(EW$5&lt;=$F177,EW$5+GanttPeriod-1&gt;=$E177),"━","")))</f>
        <v/>
      </c>
      <c r="EX177" s="69" t="str">
        <f aca="false">IF($E177="","",IF($M177,IF(AND($G177&gt;=EX$5,$G177&lt;EX$5+GanttPeriod),"◆",IF(AND($E177&gt;=EX$5,$E177&lt;EX$5+GanttPeriod),"◇","")),IF(AND(EX$5&lt;=$F177,EX$5+GanttPeriod-1&gt;=$E177),"━","")))</f>
        <v/>
      </c>
      <c r="EY177" s="69" t="str">
        <f aca="false">IF($E177="","",IF($M177,IF(AND($G177&gt;=EY$5,$G177&lt;EY$5+GanttPeriod),"◆",IF(AND($E177&gt;=EY$5,$E177&lt;EY$5+GanttPeriod),"◇","")),IF(AND(EY$5&lt;=$F177,EY$5+GanttPeriod-1&gt;=$E177),"━","")))</f>
        <v/>
      </c>
      <c r="EZ177" s="69" t="str">
        <f aca="false">IF($E177="","",IF($M177,IF(AND($G177&gt;=EZ$5,$G177&lt;EZ$5+GanttPeriod),"◆",IF(AND($E177&gt;=EZ$5,$E177&lt;EZ$5+GanttPeriod),"◇","")),IF(AND(EZ$5&lt;=$F177,EZ$5+GanttPeriod-1&gt;=$E177),"━","")))</f>
        <v/>
      </c>
      <c r="FA177" s="69" t="str">
        <f aca="false">IF($E177="","",IF($M177,IF(AND($G177&gt;=FA$5,$G177&lt;FA$5+GanttPeriod),"◆",IF(AND($E177&gt;=FA$5,$E177&lt;FA$5+GanttPeriod),"◇","")),IF(AND(FA$5&lt;=$F177,FA$5+GanttPeriod-1&gt;=$E177),"━","")))</f>
        <v/>
      </c>
      <c r="FB177" s="69" t="str">
        <f aca="false">IF($E177="","",IF($M177,IF(AND($G177&gt;=FB$5,$G177&lt;FB$5+GanttPeriod),"◆",IF(AND($E177&gt;=FB$5,$E177&lt;FB$5+GanttPeriod),"◇","")),IF(AND(FB$5&lt;=$F177,FB$5+GanttPeriod-1&gt;=$E177),"━","")))</f>
        <v/>
      </c>
      <c r="FC177" s="69" t="str">
        <f aca="false">IF($E177="","",IF($M177,IF(AND($G177&gt;=FC$5,$G177&lt;FC$5+GanttPeriod),"◆",IF(AND($E177&gt;=FC$5,$E177&lt;FC$5+GanttPeriod),"◇","")),IF(AND(FC$5&lt;=$F177,FC$5+GanttPeriod-1&gt;=$E177),"━","")))</f>
        <v/>
      </c>
      <c r="FD177" s="69" t="str">
        <f aca="false">IF($E177="","",IF($M177,IF(AND($G177&gt;=FD$5,$G177&lt;FD$5+GanttPeriod),"◆",IF(AND($E177&gt;=FD$5,$E177&lt;FD$5+GanttPeriod),"◇","")),IF(AND(FD$5&lt;=$F177,FD$5+GanttPeriod-1&gt;=$E177),"━","")))</f>
        <v/>
      </c>
      <c r="FE177" s="69" t="str">
        <f aca="false">IF($E177="","",IF($M177,IF(AND($G177&gt;=FE$5,$G177&lt;FE$5+GanttPeriod),"◆",IF(AND($E177&gt;=FE$5,$E177&lt;FE$5+GanttPeriod),"◇","")),IF(AND(FE$5&lt;=$F177,FE$5+GanttPeriod-1&gt;=$E177),"━","")))</f>
        <v/>
      </c>
      <c r="FF177" s="69" t="str">
        <f aca="false">IF($E177="","",IF($M177,IF(AND($G177&gt;=FF$5,$G177&lt;FF$5+GanttPeriod),"◆",IF(AND($E177&gt;=FF$5,$E177&lt;FF$5+GanttPeriod),"◇","")),IF(AND(FF$5&lt;=$F177,FF$5+GanttPeriod-1&gt;=$E177),"━","")))</f>
        <v/>
      </c>
      <c r="FG177" s="69" t="str">
        <f aca="false">IF($E177="","",IF($M177,IF(AND($G177&gt;=FG$5,$G177&lt;FG$5+GanttPeriod),"◆",IF(AND($E177&gt;=FG$5,$E177&lt;FG$5+GanttPeriod),"◇","")),IF(AND(FG$5&lt;=$F177,FG$5+GanttPeriod-1&gt;=$E177),"━","")))</f>
        <v/>
      </c>
      <c r="FH177" s="69" t="str">
        <f aca="false">IF($E177="","",IF($M177,IF(AND($G177&gt;=FH$5,$G177&lt;FH$5+GanttPeriod),"◆",IF(AND($E177&gt;=FH$5,$E177&lt;FH$5+GanttPeriod),"◇","")),IF(AND(FH$5&lt;=$F177,FH$5+GanttPeriod-1&gt;=$E177),"━","")))</f>
        <v/>
      </c>
      <c r="FI177" s="69" t="str">
        <f aca="false">IF($E177="","",IF($M177,IF(AND($G177&gt;=FI$5,$G177&lt;FI$5+GanttPeriod),"◆",IF(AND($E177&gt;=FI$5,$E177&lt;FI$5+GanttPeriod),"◇","")),IF(AND(FI$5&lt;=$F177,FI$5+GanttPeriod-1&gt;=$E177),"━","")))</f>
        <v/>
      </c>
      <c r="FJ177" s="69" t="str">
        <f aca="false">IF($E177="","",IF($M177,IF(AND($G177&gt;=FJ$5,$G177&lt;FJ$5+GanttPeriod),"◆",IF(AND($E177&gt;=FJ$5,$E177&lt;FJ$5+GanttPeriod),"◇","")),IF(AND(FJ$5&lt;=$F177,FJ$5+GanttPeriod-1&gt;=$E177),"━","")))</f>
        <v/>
      </c>
      <c r="FK177" s="69" t="str">
        <f aca="false">IF($E177="","",IF($M177,IF(AND($G177&gt;=FK$5,$G177&lt;FK$5+GanttPeriod),"◆",IF(AND($E177&gt;=FK$5,$E177&lt;FK$5+GanttPeriod),"◇","")),IF(AND(FK$5&lt;=$F177,FK$5+GanttPeriod-1&gt;=$E177),"━","")))</f>
        <v/>
      </c>
      <c r="FL177" s="69" t="str">
        <f aca="false">IF($E177="","",IF($M177,IF(AND($G177&gt;=FL$5,$G177&lt;FL$5+GanttPeriod),"◆",IF(AND($E177&gt;=FL$5,$E177&lt;FL$5+GanttPeriod),"◇","")),IF(AND(FL$5&lt;=$F177,FL$5+GanttPeriod-1&gt;=$E177),"━","")))</f>
        <v/>
      </c>
      <c r="FM177" s="69" t="str">
        <f aca="false">IF($E177="","",IF($M177,IF(AND($G177&gt;=FM$5,$G177&lt;FM$5+GanttPeriod),"◆",IF(AND($E177&gt;=FM$5,$E177&lt;FM$5+GanttPeriod),"◇","")),IF(AND(FM$5&lt;=$F177,FM$5+GanttPeriod-1&gt;=$E177),"━","")))</f>
        <v/>
      </c>
    </row>
    <row r="178" customFormat="false" ht="15" hidden="false" customHeight="false" outlineLevel="0" collapsed="false">
      <c r="A178" s="62" t="str">
        <f aca="false">IF(Tasks!$D178="","",Tasks!$A178)</f>
        <v/>
      </c>
      <c r="B178" s="62" t="str">
        <f aca="false">IF(Tasks!$D178="","",Tasks!$B178)</f>
        <v/>
      </c>
      <c r="C178" s="63" t="str">
        <f aca="false">IF(Tasks!$D178="","",REPT("    ",Tasks!$AE178-1)&amp;Tasks!$D178)</f>
        <v/>
      </c>
      <c r="D178" s="62" t="str">
        <f aca="false">IF(Tasks!$D178="","",IF(Tasks!$AI178,NETWORKDAYS.INTL(Tasks!$R178,Tasks!$S178,WorkWeek,Holidays),N(Tasks!$F178)))</f>
        <v/>
      </c>
      <c r="E178" s="64" t="str">
        <f aca="false">IF(Tasks!$D178="","",Tasks!$N178)</f>
        <v/>
      </c>
      <c r="F178" s="64" t="str">
        <f aca="false">IF(Tasks!$D178="","",Tasks!$O178)</f>
        <v/>
      </c>
      <c r="G178" s="64" t="str">
        <f aca="false">IF(Tasks!$D178="","",Tasks!$R178)</f>
        <v/>
      </c>
      <c r="H178" s="64" t="str">
        <f aca="false">IF(Tasks!$D178="","",Tasks!$S178)</f>
        <v/>
      </c>
      <c r="I178" s="65" t="str">
        <f aca="false">IF(Tasks!$D178="","",Tasks!$V178)</f>
        <v/>
      </c>
      <c r="J178" s="63" t="str">
        <f aca="false">IF(Tasks!$D178="","",Tasks!$X178&amp;"")</f>
        <v/>
      </c>
      <c r="K178" s="66" t="str">
        <f aca="false">IF(Tasks!$D178="","",Tasks!$W178)</f>
        <v/>
      </c>
      <c r="L178" s="67" t="b">
        <f aca="false">IF(Tasks!$D178="",FALSE(),Tasks!$AI178)</f>
        <v>0</v>
      </c>
      <c r="M178" s="67" t="b">
        <f aca="false">AND(Tasks!$AJ178=1,N(Tasks!$F178)=0)</f>
        <v>0</v>
      </c>
      <c r="N178" s="68" t="n">
        <f aca="false">IF(AND(Tasks!$AJ178=1,NOT($M178),N($I178)&gt;0),$G178,0)</f>
        <v>0</v>
      </c>
      <c r="O178" s="68" t="n">
        <f aca="false">IF($N178=0,0,IF($I178&gt;=1,$H178,MAX($N178,$G178+ROUND(($H178-$G178+1)*$I178,0)-1)))</f>
        <v>0</v>
      </c>
      <c r="P178" s="68" t="n">
        <f aca="false">IF(OR(Tasks!$AJ178&lt;&gt;1,$M178,N($I178)&gt;=1),0,IF($O178&gt;0,$O178+1,$G178))</f>
        <v>0</v>
      </c>
      <c r="Q178" s="68" t="n">
        <f aca="false">IF($P178=0,0,$H178)</f>
        <v>0</v>
      </c>
      <c r="R178" s="67" t="b">
        <f aca="false">AND(Tasks!$D178&lt;&gt;"",N(Tasks!$T178)&gt;0)</f>
        <v>0</v>
      </c>
      <c r="T178" s="69" t="str">
        <f aca="false">IF($E178="","",IF($M178,IF(AND($G178&gt;=T$5,$G178&lt;T$5+GanttPeriod),"◆",IF(AND($E178&gt;=T$5,$E178&lt;T$5+GanttPeriod),"◇","")),IF(AND(T$5&lt;=$F178,T$5+GanttPeriod-1&gt;=$E178),"━","")))</f>
        <v/>
      </c>
      <c r="U178" s="69" t="str">
        <f aca="false">IF($E178="","",IF($M178,IF(AND($G178&gt;=U$5,$G178&lt;U$5+GanttPeriod),"◆",IF(AND($E178&gt;=U$5,$E178&lt;U$5+GanttPeriod),"◇","")),IF(AND(U$5&lt;=$F178,U$5+GanttPeriod-1&gt;=$E178),"━","")))</f>
        <v/>
      </c>
      <c r="V178" s="69" t="str">
        <f aca="false">IF($E178="","",IF($M178,IF(AND($G178&gt;=V$5,$G178&lt;V$5+GanttPeriod),"◆",IF(AND($E178&gt;=V$5,$E178&lt;V$5+GanttPeriod),"◇","")),IF(AND(V$5&lt;=$F178,V$5+GanttPeriod-1&gt;=$E178),"━","")))</f>
        <v/>
      </c>
      <c r="W178" s="69" t="str">
        <f aca="false">IF($E178="","",IF($M178,IF(AND($G178&gt;=W$5,$G178&lt;W$5+GanttPeriod),"◆",IF(AND($E178&gt;=W$5,$E178&lt;W$5+GanttPeriod),"◇","")),IF(AND(W$5&lt;=$F178,W$5+GanttPeriod-1&gt;=$E178),"━","")))</f>
        <v/>
      </c>
      <c r="X178" s="69" t="str">
        <f aca="false">IF($E178="","",IF($M178,IF(AND($G178&gt;=X$5,$G178&lt;X$5+GanttPeriod),"◆",IF(AND($E178&gt;=X$5,$E178&lt;X$5+GanttPeriod),"◇","")),IF(AND(X$5&lt;=$F178,X$5+GanttPeriod-1&gt;=$E178),"━","")))</f>
        <v/>
      </c>
      <c r="Y178" s="69" t="str">
        <f aca="false">IF($E178="","",IF($M178,IF(AND($G178&gt;=Y$5,$G178&lt;Y$5+GanttPeriod),"◆",IF(AND($E178&gt;=Y$5,$E178&lt;Y$5+GanttPeriod),"◇","")),IF(AND(Y$5&lt;=$F178,Y$5+GanttPeriod-1&gt;=$E178),"━","")))</f>
        <v/>
      </c>
      <c r="Z178" s="69" t="str">
        <f aca="false">IF($E178="","",IF($M178,IF(AND($G178&gt;=Z$5,$G178&lt;Z$5+GanttPeriod),"◆",IF(AND($E178&gt;=Z$5,$E178&lt;Z$5+GanttPeriod),"◇","")),IF(AND(Z$5&lt;=$F178,Z$5+GanttPeriod-1&gt;=$E178),"━","")))</f>
        <v/>
      </c>
      <c r="AA178" s="69" t="str">
        <f aca="false">IF($E178="","",IF($M178,IF(AND($G178&gt;=AA$5,$G178&lt;AA$5+GanttPeriod),"◆",IF(AND($E178&gt;=AA$5,$E178&lt;AA$5+GanttPeriod),"◇","")),IF(AND(AA$5&lt;=$F178,AA$5+GanttPeriod-1&gt;=$E178),"━","")))</f>
        <v/>
      </c>
      <c r="AB178" s="69" t="str">
        <f aca="false">IF($E178="","",IF($M178,IF(AND($G178&gt;=AB$5,$G178&lt;AB$5+GanttPeriod),"◆",IF(AND($E178&gt;=AB$5,$E178&lt;AB$5+GanttPeriod),"◇","")),IF(AND(AB$5&lt;=$F178,AB$5+GanttPeriod-1&gt;=$E178),"━","")))</f>
        <v/>
      </c>
      <c r="AC178" s="69" t="str">
        <f aca="false">IF($E178="","",IF($M178,IF(AND($G178&gt;=AC$5,$G178&lt;AC$5+GanttPeriod),"◆",IF(AND($E178&gt;=AC$5,$E178&lt;AC$5+GanttPeriod),"◇","")),IF(AND(AC$5&lt;=$F178,AC$5+GanttPeriod-1&gt;=$E178),"━","")))</f>
        <v/>
      </c>
      <c r="AD178" s="69" t="str">
        <f aca="false">IF($E178="","",IF($M178,IF(AND($G178&gt;=AD$5,$G178&lt;AD$5+GanttPeriod),"◆",IF(AND($E178&gt;=AD$5,$E178&lt;AD$5+GanttPeriod),"◇","")),IF(AND(AD$5&lt;=$F178,AD$5+GanttPeriod-1&gt;=$E178),"━","")))</f>
        <v/>
      </c>
      <c r="AE178" s="69" t="str">
        <f aca="false">IF($E178="","",IF($M178,IF(AND($G178&gt;=AE$5,$G178&lt;AE$5+GanttPeriod),"◆",IF(AND($E178&gt;=AE$5,$E178&lt;AE$5+GanttPeriod),"◇","")),IF(AND(AE$5&lt;=$F178,AE$5+GanttPeriod-1&gt;=$E178),"━","")))</f>
        <v/>
      </c>
      <c r="AF178" s="69" t="str">
        <f aca="false">IF($E178="","",IF($M178,IF(AND($G178&gt;=AF$5,$G178&lt;AF$5+GanttPeriod),"◆",IF(AND($E178&gt;=AF$5,$E178&lt;AF$5+GanttPeriod),"◇","")),IF(AND(AF$5&lt;=$F178,AF$5+GanttPeriod-1&gt;=$E178),"━","")))</f>
        <v/>
      </c>
      <c r="AG178" s="69" t="str">
        <f aca="false">IF($E178="","",IF($M178,IF(AND($G178&gt;=AG$5,$G178&lt;AG$5+GanttPeriod),"◆",IF(AND($E178&gt;=AG$5,$E178&lt;AG$5+GanttPeriod),"◇","")),IF(AND(AG$5&lt;=$F178,AG$5+GanttPeriod-1&gt;=$E178),"━","")))</f>
        <v/>
      </c>
      <c r="AH178" s="69" t="str">
        <f aca="false">IF($E178="","",IF($M178,IF(AND($G178&gt;=AH$5,$G178&lt;AH$5+GanttPeriod),"◆",IF(AND($E178&gt;=AH$5,$E178&lt;AH$5+GanttPeriod),"◇","")),IF(AND(AH$5&lt;=$F178,AH$5+GanttPeriod-1&gt;=$E178),"━","")))</f>
        <v/>
      </c>
      <c r="AI178" s="69" t="str">
        <f aca="false">IF($E178="","",IF($M178,IF(AND($G178&gt;=AI$5,$G178&lt;AI$5+GanttPeriod),"◆",IF(AND($E178&gt;=AI$5,$E178&lt;AI$5+GanttPeriod),"◇","")),IF(AND(AI$5&lt;=$F178,AI$5+GanttPeriod-1&gt;=$E178),"━","")))</f>
        <v/>
      </c>
      <c r="AJ178" s="69" t="str">
        <f aca="false">IF($E178="","",IF($M178,IF(AND($G178&gt;=AJ$5,$G178&lt;AJ$5+GanttPeriod),"◆",IF(AND($E178&gt;=AJ$5,$E178&lt;AJ$5+GanttPeriod),"◇","")),IF(AND(AJ$5&lt;=$F178,AJ$5+GanttPeriod-1&gt;=$E178),"━","")))</f>
        <v/>
      </c>
      <c r="AK178" s="69" t="str">
        <f aca="false">IF($E178="","",IF($M178,IF(AND($G178&gt;=AK$5,$G178&lt;AK$5+GanttPeriod),"◆",IF(AND($E178&gt;=AK$5,$E178&lt;AK$5+GanttPeriod),"◇","")),IF(AND(AK$5&lt;=$F178,AK$5+GanttPeriod-1&gt;=$E178),"━","")))</f>
        <v/>
      </c>
      <c r="AL178" s="69" t="str">
        <f aca="false">IF($E178="","",IF($M178,IF(AND($G178&gt;=AL$5,$G178&lt;AL$5+GanttPeriod),"◆",IF(AND($E178&gt;=AL$5,$E178&lt;AL$5+GanttPeriod),"◇","")),IF(AND(AL$5&lt;=$F178,AL$5+GanttPeriod-1&gt;=$E178),"━","")))</f>
        <v/>
      </c>
      <c r="AM178" s="69" t="str">
        <f aca="false">IF($E178="","",IF($M178,IF(AND($G178&gt;=AM$5,$G178&lt;AM$5+GanttPeriod),"◆",IF(AND($E178&gt;=AM$5,$E178&lt;AM$5+GanttPeriod),"◇","")),IF(AND(AM$5&lt;=$F178,AM$5+GanttPeriod-1&gt;=$E178),"━","")))</f>
        <v/>
      </c>
      <c r="AN178" s="69" t="str">
        <f aca="false">IF($E178="","",IF($M178,IF(AND($G178&gt;=AN$5,$G178&lt;AN$5+GanttPeriod),"◆",IF(AND($E178&gt;=AN$5,$E178&lt;AN$5+GanttPeriod),"◇","")),IF(AND(AN$5&lt;=$F178,AN$5+GanttPeriod-1&gt;=$E178),"━","")))</f>
        <v/>
      </c>
      <c r="AO178" s="69" t="str">
        <f aca="false">IF($E178="","",IF($M178,IF(AND($G178&gt;=AO$5,$G178&lt;AO$5+GanttPeriod),"◆",IF(AND($E178&gt;=AO$5,$E178&lt;AO$5+GanttPeriod),"◇","")),IF(AND(AO$5&lt;=$F178,AO$5+GanttPeriod-1&gt;=$E178),"━","")))</f>
        <v/>
      </c>
      <c r="AP178" s="69" t="str">
        <f aca="false">IF($E178="","",IF($M178,IF(AND($G178&gt;=AP$5,$G178&lt;AP$5+GanttPeriod),"◆",IF(AND($E178&gt;=AP$5,$E178&lt;AP$5+GanttPeriod),"◇","")),IF(AND(AP$5&lt;=$F178,AP$5+GanttPeriod-1&gt;=$E178),"━","")))</f>
        <v/>
      </c>
      <c r="AQ178" s="69" t="str">
        <f aca="false">IF($E178="","",IF($M178,IF(AND($G178&gt;=AQ$5,$G178&lt;AQ$5+GanttPeriod),"◆",IF(AND($E178&gt;=AQ$5,$E178&lt;AQ$5+GanttPeriod),"◇","")),IF(AND(AQ$5&lt;=$F178,AQ$5+GanttPeriod-1&gt;=$E178),"━","")))</f>
        <v/>
      </c>
      <c r="AR178" s="69" t="str">
        <f aca="false">IF($E178="","",IF($M178,IF(AND($G178&gt;=AR$5,$G178&lt;AR$5+GanttPeriod),"◆",IF(AND($E178&gt;=AR$5,$E178&lt;AR$5+GanttPeriod),"◇","")),IF(AND(AR$5&lt;=$F178,AR$5+GanttPeriod-1&gt;=$E178),"━","")))</f>
        <v/>
      </c>
      <c r="AS178" s="69" t="str">
        <f aca="false">IF($E178="","",IF($M178,IF(AND($G178&gt;=AS$5,$G178&lt;AS$5+GanttPeriod),"◆",IF(AND($E178&gt;=AS$5,$E178&lt;AS$5+GanttPeriod),"◇","")),IF(AND(AS$5&lt;=$F178,AS$5+GanttPeriod-1&gt;=$E178),"━","")))</f>
        <v/>
      </c>
      <c r="AT178" s="69" t="str">
        <f aca="false">IF($E178="","",IF($M178,IF(AND($G178&gt;=AT$5,$G178&lt;AT$5+GanttPeriod),"◆",IF(AND($E178&gt;=AT$5,$E178&lt;AT$5+GanttPeriod),"◇","")),IF(AND(AT$5&lt;=$F178,AT$5+GanttPeriod-1&gt;=$E178),"━","")))</f>
        <v/>
      </c>
      <c r="AU178" s="69" t="str">
        <f aca="false">IF($E178="","",IF($M178,IF(AND($G178&gt;=AU$5,$G178&lt;AU$5+GanttPeriod),"◆",IF(AND($E178&gt;=AU$5,$E178&lt;AU$5+GanttPeriod),"◇","")),IF(AND(AU$5&lt;=$F178,AU$5+GanttPeriod-1&gt;=$E178),"━","")))</f>
        <v/>
      </c>
      <c r="AV178" s="69" t="str">
        <f aca="false">IF($E178="","",IF($M178,IF(AND($G178&gt;=AV$5,$G178&lt;AV$5+GanttPeriod),"◆",IF(AND($E178&gt;=AV$5,$E178&lt;AV$5+GanttPeriod),"◇","")),IF(AND(AV$5&lt;=$F178,AV$5+GanttPeriod-1&gt;=$E178),"━","")))</f>
        <v/>
      </c>
      <c r="AW178" s="69" t="str">
        <f aca="false">IF($E178="","",IF($M178,IF(AND($G178&gt;=AW$5,$G178&lt;AW$5+GanttPeriod),"◆",IF(AND($E178&gt;=AW$5,$E178&lt;AW$5+GanttPeriod),"◇","")),IF(AND(AW$5&lt;=$F178,AW$5+GanttPeriod-1&gt;=$E178),"━","")))</f>
        <v/>
      </c>
      <c r="AX178" s="69" t="str">
        <f aca="false">IF($E178="","",IF($M178,IF(AND($G178&gt;=AX$5,$G178&lt;AX$5+GanttPeriod),"◆",IF(AND($E178&gt;=AX$5,$E178&lt;AX$5+GanttPeriod),"◇","")),IF(AND(AX$5&lt;=$F178,AX$5+GanttPeriod-1&gt;=$E178),"━","")))</f>
        <v/>
      </c>
      <c r="AY178" s="69" t="str">
        <f aca="false">IF($E178="","",IF($M178,IF(AND($G178&gt;=AY$5,$G178&lt;AY$5+GanttPeriod),"◆",IF(AND($E178&gt;=AY$5,$E178&lt;AY$5+GanttPeriod),"◇","")),IF(AND(AY$5&lt;=$F178,AY$5+GanttPeriod-1&gt;=$E178),"━","")))</f>
        <v/>
      </c>
      <c r="AZ178" s="69" t="str">
        <f aca="false">IF($E178="","",IF($M178,IF(AND($G178&gt;=AZ$5,$G178&lt;AZ$5+GanttPeriod),"◆",IF(AND($E178&gt;=AZ$5,$E178&lt;AZ$5+GanttPeriod),"◇","")),IF(AND(AZ$5&lt;=$F178,AZ$5+GanttPeriod-1&gt;=$E178),"━","")))</f>
        <v/>
      </c>
      <c r="BA178" s="69" t="str">
        <f aca="false">IF($E178="","",IF($M178,IF(AND($G178&gt;=BA$5,$G178&lt;BA$5+GanttPeriod),"◆",IF(AND($E178&gt;=BA$5,$E178&lt;BA$5+GanttPeriod),"◇","")),IF(AND(BA$5&lt;=$F178,BA$5+GanttPeriod-1&gt;=$E178),"━","")))</f>
        <v/>
      </c>
      <c r="BB178" s="69" t="str">
        <f aca="false">IF($E178="","",IF($M178,IF(AND($G178&gt;=BB$5,$G178&lt;BB$5+GanttPeriod),"◆",IF(AND($E178&gt;=BB$5,$E178&lt;BB$5+GanttPeriod),"◇","")),IF(AND(BB$5&lt;=$F178,BB$5+GanttPeriod-1&gt;=$E178),"━","")))</f>
        <v/>
      </c>
      <c r="BC178" s="69" t="str">
        <f aca="false">IF($E178="","",IF($M178,IF(AND($G178&gt;=BC$5,$G178&lt;BC$5+GanttPeriod),"◆",IF(AND($E178&gt;=BC$5,$E178&lt;BC$5+GanttPeriod),"◇","")),IF(AND(BC$5&lt;=$F178,BC$5+GanttPeriod-1&gt;=$E178),"━","")))</f>
        <v/>
      </c>
      <c r="BD178" s="69" t="str">
        <f aca="false">IF($E178="","",IF($M178,IF(AND($G178&gt;=BD$5,$G178&lt;BD$5+GanttPeriod),"◆",IF(AND($E178&gt;=BD$5,$E178&lt;BD$5+GanttPeriod),"◇","")),IF(AND(BD$5&lt;=$F178,BD$5+GanttPeriod-1&gt;=$E178),"━","")))</f>
        <v/>
      </c>
      <c r="BE178" s="69" t="str">
        <f aca="false">IF($E178="","",IF($M178,IF(AND($G178&gt;=BE$5,$G178&lt;BE$5+GanttPeriod),"◆",IF(AND($E178&gt;=BE$5,$E178&lt;BE$5+GanttPeriod),"◇","")),IF(AND(BE$5&lt;=$F178,BE$5+GanttPeriod-1&gt;=$E178),"━","")))</f>
        <v/>
      </c>
      <c r="BF178" s="69" t="str">
        <f aca="false">IF($E178="","",IF($M178,IF(AND($G178&gt;=BF$5,$G178&lt;BF$5+GanttPeriod),"◆",IF(AND($E178&gt;=BF$5,$E178&lt;BF$5+GanttPeriod),"◇","")),IF(AND(BF$5&lt;=$F178,BF$5+GanttPeriod-1&gt;=$E178),"━","")))</f>
        <v/>
      </c>
      <c r="BG178" s="69" t="str">
        <f aca="false">IF($E178="","",IF($M178,IF(AND($G178&gt;=BG$5,$G178&lt;BG$5+GanttPeriod),"◆",IF(AND($E178&gt;=BG$5,$E178&lt;BG$5+GanttPeriod),"◇","")),IF(AND(BG$5&lt;=$F178,BG$5+GanttPeriod-1&gt;=$E178),"━","")))</f>
        <v/>
      </c>
      <c r="BH178" s="69" t="str">
        <f aca="false">IF($E178="","",IF($M178,IF(AND($G178&gt;=BH$5,$G178&lt;BH$5+GanttPeriod),"◆",IF(AND($E178&gt;=BH$5,$E178&lt;BH$5+GanttPeriod),"◇","")),IF(AND(BH$5&lt;=$F178,BH$5+GanttPeriod-1&gt;=$E178),"━","")))</f>
        <v/>
      </c>
      <c r="BI178" s="69" t="str">
        <f aca="false">IF($E178="","",IF($M178,IF(AND($G178&gt;=BI$5,$G178&lt;BI$5+GanttPeriod),"◆",IF(AND($E178&gt;=BI$5,$E178&lt;BI$5+GanttPeriod),"◇","")),IF(AND(BI$5&lt;=$F178,BI$5+GanttPeriod-1&gt;=$E178),"━","")))</f>
        <v/>
      </c>
      <c r="BJ178" s="69" t="str">
        <f aca="false">IF($E178="","",IF($M178,IF(AND($G178&gt;=BJ$5,$G178&lt;BJ$5+GanttPeriod),"◆",IF(AND($E178&gt;=BJ$5,$E178&lt;BJ$5+GanttPeriod),"◇","")),IF(AND(BJ$5&lt;=$F178,BJ$5+GanttPeriod-1&gt;=$E178),"━","")))</f>
        <v/>
      </c>
      <c r="BK178" s="69" t="str">
        <f aca="false">IF($E178="","",IF($M178,IF(AND($G178&gt;=BK$5,$G178&lt;BK$5+GanttPeriod),"◆",IF(AND($E178&gt;=BK$5,$E178&lt;BK$5+GanttPeriod),"◇","")),IF(AND(BK$5&lt;=$F178,BK$5+GanttPeriod-1&gt;=$E178),"━","")))</f>
        <v/>
      </c>
      <c r="BL178" s="69" t="str">
        <f aca="false">IF($E178="","",IF($M178,IF(AND($G178&gt;=BL$5,$G178&lt;BL$5+GanttPeriod),"◆",IF(AND($E178&gt;=BL$5,$E178&lt;BL$5+GanttPeriod),"◇","")),IF(AND(BL$5&lt;=$F178,BL$5+GanttPeriod-1&gt;=$E178),"━","")))</f>
        <v/>
      </c>
      <c r="BM178" s="69" t="str">
        <f aca="false">IF($E178="","",IF($M178,IF(AND($G178&gt;=BM$5,$G178&lt;BM$5+GanttPeriod),"◆",IF(AND($E178&gt;=BM$5,$E178&lt;BM$5+GanttPeriod),"◇","")),IF(AND(BM$5&lt;=$F178,BM$5+GanttPeriod-1&gt;=$E178),"━","")))</f>
        <v/>
      </c>
      <c r="BN178" s="69" t="str">
        <f aca="false">IF($E178="","",IF($M178,IF(AND($G178&gt;=BN$5,$G178&lt;BN$5+GanttPeriod),"◆",IF(AND($E178&gt;=BN$5,$E178&lt;BN$5+GanttPeriod),"◇","")),IF(AND(BN$5&lt;=$F178,BN$5+GanttPeriod-1&gt;=$E178),"━","")))</f>
        <v/>
      </c>
      <c r="BO178" s="69" t="str">
        <f aca="false">IF($E178="","",IF($M178,IF(AND($G178&gt;=BO$5,$G178&lt;BO$5+GanttPeriod),"◆",IF(AND($E178&gt;=BO$5,$E178&lt;BO$5+GanttPeriod),"◇","")),IF(AND(BO$5&lt;=$F178,BO$5+GanttPeriod-1&gt;=$E178),"━","")))</f>
        <v/>
      </c>
      <c r="BP178" s="69" t="str">
        <f aca="false">IF($E178="","",IF($M178,IF(AND($G178&gt;=BP$5,$G178&lt;BP$5+GanttPeriod),"◆",IF(AND($E178&gt;=BP$5,$E178&lt;BP$5+GanttPeriod),"◇","")),IF(AND(BP$5&lt;=$F178,BP$5+GanttPeriod-1&gt;=$E178),"━","")))</f>
        <v/>
      </c>
      <c r="BQ178" s="69" t="str">
        <f aca="false">IF($E178="","",IF($M178,IF(AND($G178&gt;=BQ$5,$G178&lt;BQ$5+GanttPeriod),"◆",IF(AND($E178&gt;=BQ$5,$E178&lt;BQ$5+GanttPeriod),"◇","")),IF(AND(BQ$5&lt;=$F178,BQ$5+GanttPeriod-1&gt;=$E178),"━","")))</f>
        <v/>
      </c>
      <c r="BR178" s="69" t="str">
        <f aca="false">IF($E178="","",IF($M178,IF(AND($G178&gt;=BR$5,$G178&lt;BR$5+GanttPeriod),"◆",IF(AND($E178&gt;=BR$5,$E178&lt;BR$5+GanttPeriod),"◇","")),IF(AND(BR$5&lt;=$F178,BR$5+GanttPeriod-1&gt;=$E178),"━","")))</f>
        <v/>
      </c>
      <c r="BS178" s="69" t="str">
        <f aca="false">IF($E178="","",IF($M178,IF(AND($G178&gt;=BS$5,$G178&lt;BS$5+GanttPeriod),"◆",IF(AND($E178&gt;=BS$5,$E178&lt;BS$5+GanttPeriod),"◇","")),IF(AND(BS$5&lt;=$F178,BS$5+GanttPeriod-1&gt;=$E178),"━","")))</f>
        <v/>
      </c>
      <c r="BT178" s="69" t="str">
        <f aca="false">IF($E178="","",IF($M178,IF(AND($G178&gt;=BT$5,$G178&lt;BT$5+GanttPeriod),"◆",IF(AND($E178&gt;=BT$5,$E178&lt;BT$5+GanttPeriod),"◇","")),IF(AND(BT$5&lt;=$F178,BT$5+GanttPeriod-1&gt;=$E178),"━","")))</f>
        <v/>
      </c>
      <c r="BU178" s="69" t="str">
        <f aca="false">IF($E178="","",IF($M178,IF(AND($G178&gt;=BU$5,$G178&lt;BU$5+GanttPeriod),"◆",IF(AND($E178&gt;=BU$5,$E178&lt;BU$5+GanttPeriod),"◇","")),IF(AND(BU$5&lt;=$F178,BU$5+GanttPeriod-1&gt;=$E178),"━","")))</f>
        <v/>
      </c>
      <c r="BV178" s="69" t="str">
        <f aca="false">IF($E178="","",IF($M178,IF(AND($G178&gt;=BV$5,$G178&lt;BV$5+GanttPeriod),"◆",IF(AND($E178&gt;=BV$5,$E178&lt;BV$5+GanttPeriod),"◇","")),IF(AND(BV$5&lt;=$F178,BV$5+GanttPeriod-1&gt;=$E178),"━","")))</f>
        <v/>
      </c>
      <c r="BW178" s="69" t="str">
        <f aca="false">IF($E178="","",IF($M178,IF(AND($G178&gt;=BW$5,$G178&lt;BW$5+GanttPeriod),"◆",IF(AND($E178&gt;=BW$5,$E178&lt;BW$5+GanttPeriod),"◇","")),IF(AND(BW$5&lt;=$F178,BW$5+GanttPeriod-1&gt;=$E178),"━","")))</f>
        <v/>
      </c>
      <c r="BX178" s="69" t="str">
        <f aca="false">IF($E178="","",IF($M178,IF(AND($G178&gt;=BX$5,$G178&lt;BX$5+GanttPeriod),"◆",IF(AND($E178&gt;=BX$5,$E178&lt;BX$5+GanttPeriod),"◇","")),IF(AND(BX$5&lt;=$F178,BX$5+GanttPeriod-1&gt;=$E178),"━","")))</f>
        <v/>
      </c>
      <c r="BY178" s="69" t="str">
        <f aca="false">IF($E178="","",IF($M178,IF(AND($G178&gt;=BY$5,$G178&lt;BY$5+GanttPeriod),"◆",IF(AND($E178&gt;=BY$5,$E178&lt;BY$5+GanttPeriod),"◇","")),IF(AND(BY$5&lt;=$F178,BY$5+GanttPeriod-1&gt;=$E178),"━","")))</f>
        <v/>
      </c>
      <c r="BZ178" s="69" t="str">
        <f aca="false">IF($E178="","",IF($M178,IF(AND($G178&gt;=BZ$5,$G178&lt;BZ$5+GanttPeriod),"◆",IF(AND($E178&gt;=BZ$5,$E178&lt;BZ$5+GanttPeriod),"◇","")),IF(AND(BZ$5&lt;=$F178,BZ$5+GanttPeriod-1&gt;=$E178),"━","")))</f>
        <v/>
      </c>
      <c r="CA178" s="69" t="str">
        <f aca="false">IF($E178="","",IF($M178,IF(AND($G178&gt;=CA$5,$G178&lt;CA$5+GanttPeriod),"◆",IF(AND($E178&gt;=CA$5,$E178&lt;CA$5+GanttPeriod),"◇","")),IF(AND(CA$5&lt;=$F178,CA$5+GanttPeriod-1&gt;=$E178),"━","")))</f>
        <v/>
      </c>
      <c r="CB178" s="69" t="str">
        <f aca="false">IF($E178="","",IF($M178,IF(AND($G178&gt;=CB$5,$G178&lt;CB$5+GanttPeriod),"◆",IF(AND($E178&gt;=CB$5,$E178&lt;CB$5+GanttPeriod),"◇","")),IF(AND(CB$5&lt;=$F178,CB$5+GanttPeriod-1&gt;=$E178),"━","")))</f>
        <v/>
      </c>
      <c r="CC178" s="69" t="str">
        <f aca="false">IF($E178="","",IF($M178,IF(AND($G178&gt;=CC$5,$G178&lt;CC$5+GanttPeriod),"◆",IF(AND($E178&gt;=CC$5,$E178&lt;CC$5+GanttPeriod),"◇","")),IF(AND(CC$5&lt;=$F178,CC$5+GanttPeriod-1&gt;=$E178),"━","")))</f>
        <v/>
      </c>
      <c r="CD178" s="69" t="str">
        <f aca="false">IF($E178="","",IF($M178,IF(AND($G178&gt;=CD$5,$G178&lt;CD$5+GanttPeriod),"◆",IF(AND($E178&gt;=CD$5,$E178&lt;CD$5+GanttPeriod),"◇","")),IF(AND(CD$5&lt;=$F178,CD$5+GanttPeriod-1&gt;=$E178),"━","")))</f>
        <v/>
      </c>
      <c r="CE178" s="69" t="str">
        <f aca="false">IF($E178="","",IF($M178,IF(AND($G178&gt;=CE$5,$G178&lt;CE$5+GanttPeriod),"◆",IF(AND($E178&gt;=CE$5,$E178&lt;CE$5+GanttPeriod),"◇","")),IF(AND(CE$5&lt;=$F178,CE$5+GanttPeriod-1&gt;=$E178),"━","")))</f>
        <v/>
      </c>
      <c r="CF178" s="69" t="str">
        <f aca="false">IF($E178="","",IF($M178,IF(AND($G178&gt;=CF$5,$G178&lt;CF$5+GanttPeriod),"◆",IF(AND($E178&gt;=CF$5,$E178&lt;CF$5+GanttPeriod),"◇","")),IF(AND(CF$5&lt;=$F178,CF$5+GanttPeriod-1&gt;=$E178),"━","")))</f>
        <v/>
      </c>
      <c r="CG178" s="69" t="str">
        <f aca="false">IF($E178="","",IF($M178,IF(AND($G178&gt;=CG$5,$G178&lt;CG$5+GanttPeriod),"◆",IF(AND($E178&gt;=CG$5,$E178&lt;CG$5+GanttPeriod),"◇","")),IF(AND(CG$5&lt;=$F178,CG$5+GanttPeriod-1&gt;=$E178),"━","")))</f>
        <v/>
      </c>
      <c r="CH178" s="69" t="str">
        <f aca="false">IF($E178="","",IF($M178,IF(AND($G178&gt;=CH$5,$G178&lt;CH$5+GanttPeriod),"◆",IF(AND($E178&gt;=CH$5,$E178&lt;CH$5+GanttPeriod),"◇","")),IF(AND(CH$5&lt;=$F178,CH$5+GanttPeriod-1&gt;=$E178),"━","")))</f>
        <v/>
      </c>
      <c r="CI178" s="69" t="str">
        <f aca="false">IF($E178="","",IF($M178,IF(AND($G178&gt;=CI$5,$G178&lt;CI$5+GanttPeriod),"◆",IF(AND($E178&gt;=CI$5,$E178&lt;CI$5+GanttPeriod),"◇","")),IF(AND(CI$5&lt;=$F178,CI$5+GanttPeriod-1&gt;=$E178),"━","")))</f>
        <v/>
      </c>
      <c r="CJ178" s="69" t="str">
        <f aca="false">IF($E178="","",IF($M178,IF(AND($G178&gt;=CJ$5,$G178&lt;CJ$5+GanttPeriod),"◆",IF(AND($E178&gt;=CJ$5,$E178&lt;CJ$5+GanttPeriod),"◇","")),IF(AND(CJ$5&lt;=$F178,CJ$5+GanttPeriod-1&gt;=$E178),"━","")))</f>
        <v/>
      </c>
      <c r="CK178" s="69" t="str">
        <f aca="false">IF($E178="","",IF($M178,IF(AND($G178&gt;=CK$5,$G178&lt;CK$5+GanttPeriod),"◆",IF(AND($E178&gt;=CK$5,$E178&lt;CK$5+GanttPeriod),"◇","")),IF(AND(CK$5&lt;=$F178,CK$5+GanttPeriod-1&gt;=$E178),"━","")))</f>
        <v/>
      </c>
      <c r="CL178" s="69" t="str">
        <f aca="false">IF($E178="","",IF($M178,IF(AND($G178&gt;=CL$5,$G178&lt;CL$5+GanttPeriod),"◆",IF(AND($E178&gt;=CL$5,$E178&lt;CL$5+GanttPeriod),"◇","")),IF(AND(CL$5&lt;=$F178,CL$5+GanttPeriod-1&gt;=$E178),"━","")))</f>
        <v/>
      </c>
      <c r="CM178" s="69" t="str">
        <f aca="false">IF($E178="","",IF($M178,IF(AND($G178&gt;=CM$5,$G178&lt;CM$5+GanttPeriod),"◆",IF(AND($E178&gt;=CM$5,$E178&lt;CM$5+GanttPeriod),"◇","")),IF(AND(CM$5&lt;=$F178,CM$5+GanttPeriod-1&gt;=$E178),"━","")))</f>
        <v/>
      </c>
      <c r="CN178" s="69" t="str">
        <f aca="false">IF($E178="","",IF($M178,IF(AND($G178&gt;=CN$5,$G178&lt;CN$5+GanttPeriod),"◆",IF(AND($E178&gt;=CN$5,$E178&lt;CN$5+GanttPeriod),"◇","")),IF(AND(CN$5&lt;=$F178,CN$5+GanttPeriod-1&gt;=$E178),"━","")))</f>
        <v/>
      </c>
      <c r="CO178" s="69" t="str">
        <f aca="false">IF($E178="","",IF($M178,IF(AND($G178&gt;=CO$5,$G178&lt;CO$5+GanttPeriod),"◆",IF(AND($E178&gt;=CO$5,$E178&lt;CO$5+GanttPeriod),"◇","")),IF(AND(CO$5&lt;=$F178,CO$5+GanttPeriod-1&gt;=$E178),"━","")))</f>
        <v/>
      </c>
      <c r="CP178" s="69" t="str">
        <f aca="false">IF($E178="","",IF($M178,IF(AND($G178&gt;=CP$5,$G178&lt;CP$5+GanttPeriod),"◆",IF(AND($E178&gt;=CP$5,$E178&lt;CP$5+GanttPeriod),"◇","")),IF(AND(CP$5&lt;=$F178,CP$5+GanttPeriod-1&gt;=$E178),"━","")))</f>
        <v/>
      </c>
      <c r="CQ178" s="69" t="str">
        <f aca="false">IF($E178="","",IF($M178,IF(AND($G178&gt;=CQ$5,$G178&lt;CQ$5+GanttPeriod),"◆",IF(AND($E178&gt;=CQ$5,$E178&lt;CQ$5+GanttPeriod),"◇","")),IF(AND(CQ$5&lt;=$F178,CQ$5+GanttPeriod-1&gt;=$E178),"━","")))</f>
        <v/>
      </c>
      <c r="CR178" s="69" t="str">
        <f aca="false">IF($E178="","",IF($M178,IF(AND($G178&gt;=CR$5,$G178&lt;CR$5+GanttPeriod),"◆",IF(AND($E178&gt;=CR$5,$E178&lt;CR$5+GanttPeriod),"◇","")),IF(AND(CR$5&lt;=$F178,CR$5+GanttPeriod-1&gt;=$E178),"━","")))</f>
        <v/>
      </c>
      <c r="CS178" s="69" t="str">
        <f aca="false">IF($E178="","",IF($M178,IF(AND($G178&gt;=CS$5,$G178&lt;CS$5+GanttPeriod),"◆",IF(AND($E178&gt;=CS$5,$E178&lt;CS$5+GanttPeriod),"◇","")),IF(AND(CS$5&lt;=$F178,CS$5+GanttPeriod-1&gt;=$E178),"━","")))</f>
        <v/>
      </c>
      <c r="CT178" s="69" t="str">
        <f aca="false">IF($E178="","",IF($M178,IF(AND($G178&gt;=CT$5,$G178&lt;CT$5+GanttPeriod),"◆",IF(AND($E178&gt;=CT$5,$E178&lt;CT$5+GanttPeriod),"◇","")),IF(AND(CT$5&lt;=$F178,CT$5+GanttPeriod-1&gt;=$E178),"━","")))</f>
        <v/>
      </c>
      <c r="CU178" s="69" t="str">
        <f aca="false">IF($E178="","",IF($M178,IF(AND($G178&gt;=CU$5,$G178&lt;CU$5+GanttPeriod),"◆",IF(AND($E178&gt;=CU$5,$E178&lt;CU$5+GanttPeriod),"◇","")),IF(AND(CU$5&lt;=$F178,CU$5+GanttPeriod-1&gt;=$E178),"━","")))</f>
        <v/>
      </c>
      <c r="CV178" s="69" t="str">
        <f aca="false">IF($E178="","",IF($M178,IF(AND($G178&gt;=CV$5,$G178&lt;CV$5+GanttPeriod),"◆",IF(AND($E178&gt;=CV$5,$E178&lt;CV$5+GanttPeriod),"◇","")),IF(AND(CV$5&lt;=$F178,CV$5+GanttPeriod-1&gt;=$E178),"━","")))</f>
        <v/>
      </c>
      <c r="CW178" s="69" t="str">
        <f aca="false">IF($E178="","",IF($M178,IF(AND($G178&gt;=CW$5,$G178&lt;CW$5+GanttPeriod),"◆",IF(AND($E178&gt;=CW$5,$E178&lt;CW$5+GanttPeriod),"◇","")),IF(AND(CW$5&lt;=$F178,CW$5+GanttPeriod-1&gt;=$E178),"━","")))</f>
        <v/>
      </c>
      <c r="CX178" s="69" t="str">
        <f aca="false">IF($E178="","",IF($M178,IF(AND($G178&gt;=CX$5,$G178&lt;CX$5+GanttPeriod),"◆",IF(AND($E178&gt;=CX$5,$E178&lt;CX$5+GanttPeriod),"◇","")),IF(AND(CX$5&lt;=$F178,CX$5+GanttPeriod-1&gt;=$E178),"━","")))</f>
        <v/>
      </c>
      <c r="CY178" s="69" t="str">
        <f aca="false">IF($E178="","",IF($M178,IF(AND($G178&gt;=CY$5,$G178&lt;CY$5+GanttPeriod),"◆",IF(AND($E178&gt;=CY$5,$E178&lt;CY$5+GanttPeriod),"◇","")),IF(AND(CY$5&lt;=$F178,CY$5+GanttPeriod-1&gt;=$E178),"━","")))</f>
        <v/>
      </c>
      <c r="CZ178" s="69" t="str">
        <f aca="false">IF($E178="","",IF($M178,IF(AND($G178&gt;=CZ$5,$G178&lt;CZ$5+GanttPeriod),"◆",IF(AND($E178&gt;=CZ$5,$E178&lt;CZ$5+GanttPeriod),"◇","")),IF(AND(CZ$5&lt;=$F178,CZ$5+GanttPeriod-1&gt;=$E178),"━","")))</f>
        <v/>
      </c>
      <c r="DA178" s="69" t="str">
        <f aca="false">IF($E178="","",IF($M178,IF(AND($G178&gt;=DA$5,$G178&lt;DA$5+GanttPeriod),"◆",IF(AND($E178&gt;=DA$5,$E178&lt;DA$5+GanttPeriod),"◇","")),IF(AND(DA$5&lt;=$F178,DA$5+GanttPeriod-1&gt;=$E178),"━","")))</f>
        <v/>
      </c>
      <c r="DB178" s="69" t="str">
        <f aca="false">IF($E178="","",IF($M178,IF(AND($G178&gt;=DB$5,$G178&lt;DB$5+GanttPeriod),"◆",IF(AND($E178&gt;=DB$5,$E178&lt;DB$5+GanttPeriod),"◇","")),IF(AND(DB$5&lt;=$F178,DB$5+GanttPeriod-1&gt;=$E178),"━","")))</f>
        <v/>
      </c>
      <c r="DC178" s="69" t="str">
        <f aca="false">IF($E178="","",IF($M178,IF(AND($G178&gt;=DC$5,$G178&lt;DC$5+GanttPeriod),"◆",IF(AND($E178&gt;=DC$5,$E178&lt;DC$5+GanttPeriod),"◇","")),IF(AND(DC$5&lt;=$F178,DC$5+GanttPeriod-1&gt;=$E178),"━","")))</f>
        <v/>
      </c>
      <c r="DD178" s="69" t="str">
        <f aca="false">IF($E178="","",IF($M178,IF(AND($G178&gt;=DD$5,$G178&lt;DD$5+GanttPeriod),"◆",IF(AND($E178&gt;=DD$5,$E178&lt;DD$5+GanttPeriod),"◇","")),IF(AND(DD$5&lt;=$F178,DD$5+GanttPeriod-1&gt;=$E178),"━","")))</f>
        <v/>
      </c>
      <c r="DE178" s="69" t="str">
        <f aca="false">IF($E178="","",IF($M178,IF(AND($G178&gt;=DE$5,$G178&lt;DE$5+GanttPeriod),"◆",IF(AND($E178&gt;=DE$5,$E178&lt;DE$5+GanttPeriod),"◇","")),IF(AND(DE$5&lt;=$F178,DE$5+GanttPeriod-1&gt;=$E178),"━","")))</f>
        <v/>
      </c>
      <c r="DF178" s="69" t="str">
        <f aca="false">IF($E178="","",IF($M178,IF(AND($G178&gt;=DF$5,$G178&lt;DF$5+GanttPeriod),"◆",IF(AND($E178&gt;=DF$5,$E178&lt;DF$5+GanttPeriod),"◇","")),IF(AND(DF$5&lt;=$F178,DF$5+GanttPeriod-1&gt;=$E178),"━","")))</f>
        <v/>
      </c>
      <c r="DG178" s="69" t="str">
        <f aca="false">IF($E178="","",IF($M178,IF(AND($G178&gt;=DG$5,$G178&lt;DG$5+GanttPeriod),"◆",IF(AND($E178&gt;=DG$5,$E178&lt;DG$5+GanttPeriod),"◇","")),IF(AND(DG$5&lt;=$F178,DG$5+GanttPeriod-1&gt;=$E178),"━","")))</f>
        <v/>
      </c>
      <c r="DH178" s="69" t="str">
        <f aca="false">IF($E178="","",IF($M178,IF(AND($G178&gt;=DH$5,$G178&lt;DH$5+GanttPeriod),"◆",IF(AND($E178&gt;=DH$5,$E178&lt;DH$5+GanttPeriod),"◇","")),IF(AND(DH$5&lt;=$F178,DH$5+GanttPeriod-1&gt;=$E178),"━","")))</f>
        <v/>
      </c>
      <c r="DI178" s="69" t="str">
        <f aca="false">IF($E178="","",IF($M178,IF(AND($G178&gt;=DI$5,$G178&lt;DI$5+GanttPeriod),"◆",IF(AND($E178&gt;=DI$5,$E178&lt;DI$5+GanttPeriod),"◇","")),IF(AND(DI$5&lt;=$F178,DI$5+GanttPeriod-1&gt;=$E178),"━","")))</f>
        <v/>
      </c>
      <c r="DJ178" s="69" t="str">
        <f aca="false">IF($E178="","",IF($M178,IF(AND($G178&gt;=DJ$5,$G178&lt;DJ$5+GanttPeriod),"◆",IF(AND($E178&gt;=DJ$5,$E178&lt;DJ$5+GanttPeriod),"◇","")),IF(AND(DJ$5&lt;=$F178,DJ$5+GanttPeriod-1&gt;=$E178),"━","")))</f>
        <v/>
      </c>
      <c r="DK178" s="69" t="str">
        <f aca="false">IF($E178="","",IF($M178,IF(AND($G178&gt;=DK$5,$G178&lt;DK$5+GanttPeriod),"◆",IF(AND($E178&gt;=DK$5,$E178&lt;DK$5+GanttPeriod),"◇","")),IF(AND(DK$5&lt;=$F178,DK$5+GanttPeriod-1&gt;=$E178),"━","")))</f>
        <v/>
      </c>
      <c r="DL178" s="69" t="str">
        <f aca="false">IF($E178="","",IF($M178,IF(AND($G178&gt;=DL$5,$G178&lt;DL$5+GanttPeriod),"◆",IF(AND($E178&gt;=DL$5,$E178&lt;DL$5+GanttPeriod),"◇","")),IF(AND(DL$5&lt;=$F178,DL$5+GanttPeriod-1&gt;=$E178),"━","")))</f>
        <v/>
      </c>
      <c r="DM178" s="69" t="str">
        <f aca="false">IF($E178="","",IF($M178,IF(AND($G178&gt;=DM$5,$G178&lt;DM$5+GanttPeriod),"◆",IF(AND($E178&gt;=DM$5,$E178&lt;DM$5+GanttPeriod),"◇","")),IF(AND(DM$5&lt;=$F178,DM$5+GanttPeriod-1&gt;=$E178),"━","")))</f>
        <v/>
      </c>
      <c r="DN178" s="69" t="str">
        <f aca="false">IF($E178="","",IF($M178,IF(AND($G178&gt;=DN$5,$G178&lt;DN$5+GanttPeriod),"◆",IF(AND($E178&gt;=DN$5,$E178&lt;DN$5+GanttPeriod),"◇","")),IF(AND(DN$5&lt;=$F178,DN$5+GanttPeriod-1&gt;=$E178),"━","")))</f>
        <v/>
      </c>
      <c r="DO178" s="69" t="str">
        <f aca="false">IF($E178="","",IF($M178,IF(AND($G178&gt;=DO$5,$G178&lt;DO$5+GanttPeriod),"◆",IF(AND($E178&gt;=DO$5,$E178&lt;DO$5+GanttPeriod),"◇","")),IF(AND(DO$5&lt;=$F178,DO$5+GanttPeriod-1&gt;=$E178),"━","")))</f>
        <v/>
      </c>
      <c r="DP178" s="69" t="str">
        <f aca="false">IF($E178="","",IF($M178,IF(AND($G178&gt;=DP$5,$G178&lt;DP$5+GanttPeriod),"◆",IF(AND($E178&gt;=DP$5,$E178&lt;DP$5+GanttPeriod),"◇","")),IF(AND(DP$5&lt;=$F178,DP$5+GanttPeriod-1&gt;=$E178),"━","")))</f>
        <v/>
      </c>
      <c r="DQ178" s="69" t="str">
        <f aca="false">IF($E178="","",IF($M178,IF(AND($G178&gt;=DQ$5,$G178&lt;DQ$5+GanttPeriod),"◆",IF(AND($E178&gt;=DQ$5,$E178&lt;DQ$5+GanttPeriod),"◇","")),IF(AND(DQ$5&lt;=$F178,DQ$5+GanttPeriod-1&gt;=$E178),"━","")))</f>
        <v/>
      </c>
      <c r="DR178" s="69" t="str">
        <f aca="false">IF($E178="","",IF($M178,IF(AND($G178&gt;=DR$5,$G178&lt;DR$5+GanttPeriod),"◆",IF(AND($E178&gt;=DR$5,$E178&lt;DR$5+GanttPeriod),"◇","")),IF(AND(DR$5&lt;=$F178,DR$5+GanttPeriod-1&gt;=$E178),"━","")))</f>
        <v/>
      </c>
      <c r="DS178" s="69" t="str">
        <f aca="false">IF($E178="","",IF($M178,IF(AND($G178&gt;=DS$5,$G178&lt;DS$5+GanttPeriod),"◆",IF(AND($E178&gt;=DS$5,$E178&lt;DS$5+GanttPeriod),"◇","")),IF(AND(DS$5&lt;=$F178,DS$5+GanttPeriod-1&gt;=$E178),"━","")))</f>
        <v/>
      </c>
      <c r="DT178" s="69" t="str">
        <f aca="false">IF($E178="","",IF($M178,IF(AND($G178&gt;=DT$5,$G178&lt;DT$5+GanttPeriod),"◆",IF(AND($E178&gt;=DT$5,$E178&lt;DT$5+GanttPeriod),"◇","")),IF(AND(DT$5&lt;=$F178,DT$5+GanttPeriod-1&gt;=$E178),"━","")))</f>
        <v/>
      </c>
      <c r="DU178" s="69" t="str">
        <f aca="false">IF($E178="","",IF($M178,IF(AND($G178&gt;=DU$5,$G178&lt;DU$5+GanttPeriod),"◆",IF(AND($E178&gt;=DU$5,$E178&lt;DU$5+GanttPeriod),"◇","")),IF(AND(DU$5&lt;=$F178,DU$5+GanttPeriod-1&gt;=$E178),"━","")))</f>
        <v/>
      </c>
      <c r="DV178" s="69" t="str">
        <f aca="false">IF($E178="","",IF($M178,IF(AND($G178&gt;=DV$5,$G178&lt;DV$5+GanttPeriod),"◆",IF(AND($E178&gt;=DV$5,$E178&lt;DV$5+GanttPeriod),"◇","")),IF(AND(DV$5&lt;=$F178,DV$5+GanttPeriod-1&gt;=$E178),"━","")))</f>
        <v/>
      </c>
      <c r="DW178" s="69" t="str">
        <f aca="false">IF($E178="","",IF($M178,IF(AND($G178&gt;=DW$5,$G178&lt;DW$5+GanttPeriod),"◆",IF(AND($E178&gt;=DW$5,$E178&lt;DW$5+GanttPeriod),"◇","")),IF(AND(DW$5&lt;=$F178,DW$5+GanttPeriod-1&gt;=$E178),"━","")))</f>
        <v/>
      </c>
      <c r="DX178" s="69" t="str">
        <f aca="false">IF($E178="","",IF($M178,IF(AND($G178&gt;=DX$5,$G178&lt;DX$5+GanttPeriod),"◆",IF(AND($E178&gt;=DX$5,$E178&lt;DX$5+GanttPeriod),"◇","")),IF(AND(DX$5&lt;=$F178,DX$5+GanttPeriod-1&gt;=$E178),"━","")))</f>
        <v/>
      </c>
      <c r="DY178" s="69" t="str">
        <f aca="false">IF($E178="","",IF($M178,IF(AND($G178&gt;=DY$5,$G178&lt;DY$5+GanttPeriod),"◆",IF(AND($E178&gt;=DY$5,$E178&lt;DY$5+GanttPeriod),"◇","")),IF(AND(DY$5&lt;=$F178,DY$5+GanttPeriod-1&gt;=$E178),"━","")))</f>
        <v/>
      </c>
      <c r="DZ178" s="69" t="str">
        <f aca="false">IF($E178="","",IF($M178,IF(AND($G178&gt;=DZ$5,$G178&lt;DZ$5+GanttPeriod),"◆",IF(AND($E178&gt;=DZ$5,$E178&lt;DZ$5+GanttPeriod),"◇","")),IF(AND(DZ$5&lt;=$F178,DZ$5+GanttPeriod-1&gt;=$E178),"━","")))</f>
        <v/>
      </c>
      <c r="EA178" s="69" t="str">
        <f aca="false">IF($E178="","",IF($M178,IF(AND($G178&gt;=EA$5,$G178&lt;EA$5+GanttPeriod),"◆",IF(AND($E178&gt;=EA$5,$E178&lt;EA$5+GanttPeriod),"◇","")),IF(AND(EA$5&lt;=$F178,EA$5+GanttPeriod-1&gt;=$E178),"━","")))</f>
        <v/>
      </c>
      <c r="EB178" s="69" t="str">
        <f aca="false">IF($E178="","",IF($M178,IF(AND($G178&gt;=EB$5,$G178&lt;EB$5+GanttPeriod),"◆",IF(AND($E178&gt;=EB$5,$E178&lt;EB$5+GanttPeriod),"◇","")),IF(AND(EB$5&lt;=$F178,EB$5+GanttPeriod-1&gt;=$E178),"━","")))</f>
        <v/>
      </c>
      <c r="EC178" s="69" t="str">
        <f aca="false">IF($E178="","",IF($M178,IF(AND($G178&gt;=EC$5,$G178&lt;EC$5+GanttPeriod),"◆",IF(AND($E178&gt;=EC$5,$E178&lt;EC$5+GanttPeriod),"◇","")),IF(AND(EC$5&lt;=$F178,EC$5+GanttPeriod-1&gt;=$E178),"━","")))</f>
        <v/>
      </c>
      <c r="ED178" s="69" t="str">
        <f aca="false">IF($E178="","",IF($M178,IF(AND($G178&gt;=ED$5,$G178&lt;ED$5+GanttPeriod),"◆",IF(AND($E178&gt;=ED$5,$E178&lt;ED$5+GanttPeriod),"◇","")),IF(AND(ED$5&lt;=$F178,ED$5+GanttPeriod-1&gt;=$E178),"━","")))</f>
        <v/>
      </c>
      <c r="EE178" s="69" t="str">
        <f aca="false">IF($E178="","",IF($M178,IF(AND($G178&gt;=EE$5,$G178&lt;EE$5+GanttPeriod),"◆",IF(AND($E178&gt;=EE$5,$E178&lt;EE$5+GanttPeriod),"◇","")),IF(AND(EE$5&lt;=$F178,EE$5+GanttPeriod-1&gt;=$E178),"━","")))</f>
        <v/>
      </c>
      <c r="EF178" s="69" t="str">
        <f aca="false">IF($E178="","",IF($M178,IF(AND($G178&gt;=EF$5,$G178&lt;EF$5+GanttPeriod),"◆",IF(AND($E178&gt;=EF$5,$E178&lt;EF$5+GanttPeriod),"◇","")),IF(AND(EF$5&lt;=$F178,EF$5+GanttPeriod-1&gt;=$E178),"━","")))</f>
        <v/>
      </c>
      <c r="EG178" s="69" t="str">
        <f aca="false">IF($E178="","",IF($M178,IF(AND($G178&gt;=EG$5,$G178&lt;EG$5+GanttPeriod),"◆",IF(AND($E178&gt;=EG$5,$E178&lt;EG$5+GanttPeriod),"◇","")),IF(AND(EG$5&lt;=$F178,EG$5+GanttPeriod-1&gt;=$E178),"━","")))</f>
        <v/>
      </c>
      <c r="EH178" s="69" t="str">
        <f aca="false">IF($E178="","",IF($M178,IF(AND($G178&gt;=EH$5,$G178&lt;EH$5+GanttPeriod),"◆",IF(AND($E178&gt;=EH$5,$E178&lt;EH$5+GanttPeriod),"◇","")),IF(AND(EH$5&lt;=$F178,EH$5+GanttPeriod-1&gt;=$E178),"━","")))</f>
        <v/>
      </c>
      <c r="EI178" s="69" t="str">
        <f aca="false">IF($E178="","",IF($M178,IF(AND($G178&gt;=EI$5,$G178&lt;EI$5+GanttPeriod),"◆",IF(AND($E178&gt;=EI$5,$E178&lt;EI$5+GanttPeriod),"◇","")),IF(AND(EI$5&lt;=$F178,EI$5+GanttPeriod-1&gt;=$E178),"━","")))</f>
        <v/>
      </c>
      <c r="EJ178" s="69" t="str">
        <f aca="false">IF($E178="","",IF($M178,IF(AND($G178&gt;=EJ$5,$G178&lt;EJ$5+GanttPeriod),"◆",IF(AND($E178&gt;=EJ$5,$E178&lt;EJ$5+GanttPeriod),"◇","")),IF(AND(EJ$5&lt;=$F178,EJ$5+GanttPeriod-1&gt;=$E178),"━","")))</f>
        <v/>
      </c>
      <c r="EK178" s="69" t="str">
        <f aca="false">IF($E178="","",IF($M178,IF(AND($G178&gt;=EK$5,$G178&lt;EK$5+GanttPeriod),"◆",IF(AND($E178&gt;=EK$5,$E178&lt;EK$5+GanttPeriod),"◇","")),IF(AND(EK$5&lt;=$F178,EK$5+GanttPeriod-1&gt;=$E178),"━","")))</f>
        <v/>
      </c>
      <c r="EL178" s="69" t="str">
        <f aca="false">IF($E178="","",IF($M178,IF(AND($G178&gt;=EL$5,$G178&lt;EL$5+GanttPeriod),"◆",IF(AND($E178&gt;=EL$5,$E178&lt;EL$5+GanttPeriod),"◇","")),IF(AND(EL$5&lt;=$F178,EL$5+GanttPeriod-1&gt;=$E178),"━","")))</f>
        <v/>
      </c>
      <c r="EM178" s="69" t="str">
        <f aca="false">IF($E178="","",IF($M178,IF(AND($G178&gt;=EM$5,$G178&lt;EM$5+GanttPeriod),"◆",IF(AND($E178&gt;=EM$5,$E178&lt;EM$5+GanttPeriod),"◇","")),IF(AND(EM$5&lt;=$F178,EM$5+GanttPeriod-1&gt;=$E178),"━","")))</f>
        <v/>
      </c>
      <c r="EN178" s="69" t="str">
        <f aca="false">IF($E178="","",IF($M178,IF(AND($G178&gt;=EN$5,$G178&lt;EN$5+GanttPeriod),"◆",IF(AND($E178&gt;=EN$5,$E178&lt;EN$5+GanttPeriod),"◇","")),IF(AND(EN$5&lt;=$F178,EN$5+GanttPeriod-1&gt;=$E178),"━","")))</f>
        <v/>
      </c>
      <c r="EO178" s="69" t="str">
        <f aca="false">IF($E178="","",IF($M178,IF(AND($G178&gt;=EO$5,$G178&lt;EO$5+GanttPeriod),"◆",IF(AND($E178&gt;=EO$5,$E178&lt;EO$5+GanttPeriod),"◇","")),IF(AND(EO$5&lt;=$F178,EO$5+GanttPeriod-1&gt;=$E178),"━","")))</f>
        <v/>
      </c>
      <c r="EP178" s="69" t="str">
        <f aca="false">IF($E178="","",IF($M178,IF(AND($G178&gt;=EP$5,$G178&lt;EP$5+GanttPeriod),"◆",IF(AND($E178&gt;=EP$5,$E178&lt;EP$5+GanttPeriod),"◇","")),IF(AND(EP$5&lt;=$F178,EP$5+GanttPeriod-1&gt;=$E178),"━","")))</f>
        <v/>
      </c>
      <c r="EQ178" s="69" t="str">
        <f aca="false">IF($E178="","",IF($M178,IF(AND($G178&gt;=EQ$5,$G178&lt;EQ$5+GanttPeriod),"◆",IF(AND($E178&gt;=EQ$5,$E178&lt;EQ$5+GanttPeriod),"◇","")),IF(AND(EQ$5&lt;=$F178,EQ$5+GanttPeriod-1&gt;=$E178),"━","")))</f>
        <v/>
      </c>
      <c r="ER178" s="69" t="str">
        <f aca="false">IF($E178="","",IF($M178,IF(AND($G178&gt;=ER$5,$G178&lt;ER$5+GanttPeriod),"◆",IF(AND($E178&gt;=ER$5,$E178&lt;ER$5+GanttPeriod),"◇","")),IF(AND(ER$5&lt;=$F178,ER$5+GanttPeriod-1&gt;=$E178),"━","")))</f>
        <v/>
      </c>
      <c r="ES178" s="69" t="str">
        <f aca="false">IF($E178="","",IF($M178,IF(AND($G178&gt;=ES$5,$G178&lt;ES$5+GanttPeriod),"◆",IF(AND($E178&gt;=ES$5,$E178&lt;ES$5+GanttPeriod),"◇","")),IF(AND(ES$5&lt;=$F178,ES$5+GanttPeriod-1&gt;=$E178),"━","")))</f>
        <v/>
      </c>
      <c r="ET178" s="69" t="str">
        <f aca="false">IF($E178="","",IF($M178,IF(AND($G178&gt;=ET$5,$G178&lt;ET$5+GanttPeriod),"◆",IF(AND($E178&gt;=ET$5,$E178&lt;ET$5+GanttPeriod),"◇","")),IF(AND(ET$5&lt;=$F178,ET$5+GanttPeriod-1&gt;=$E178),"━","")))</f>
        <v/>
      </c>
      <c r="EU178" s="69" t="str">
        <f aca="false">IF($E178="","",IF($M178,IF(AND($G178&gt;=EU$5,$G178&lt;EU$5+GanttPeriod),"◆",IF(AND($E178&gt;=EU$5,$E178&lt;EU$5+GanttPeriod),"◇","")),IF(AND(EU$5&lt;=$F178,EU$5+GanttPeriod-1&gt;=$E178),"━","")))</f>
        <v/>
      </c>
      <c r="EV178" s="69" t="str">
        <f aca="false">IF($E178="","",IF($M178,IF(AND($G178&gt;=EV$5,$G178&lt;EV$5+GanttPeriod),"◆",IF(AND($E178&gt;=EV$5,$E178&lt;EV$5+GanttPeriod),"◇","")),IF(AND(EV$5&lt;=$F178,EV$5+GanttPeriod-1&gt;=$E178),"━","")))</f>
        <v/>
      </c>
      <c r="EW178" s="69" t="str">
        <f aca="false">IF($E178="","",IF($M178,IF(AND($G178&gt;=EW$5,$G178&lt;EW$5+GanttPeriod),"◆",IF(AND($E178&gt;=EW$5,$E178&lt;EW$5+GanttPeriod),"◇","")),IF(AND(EW$5&lt;=$F178,EW$5+GanttPeriod-1&gt;=$E178),"━","")))</f>
        <v/>
      </c>
      <c r="EX178" s="69" t="str">
        <f aca="false">IF($E178="","",IF($M178,IF(AND($G178&gt;=EX$5,$G178&lt;EX$5+GanttPeriod),"◆",IF(AND($E178&gt;=EX$5,$E178&lt;EX$5+GanttPeriod),"◇","")),IF(AND(EX$5&lt;=$F178,EX$5+GanttPeriod-1&gt;=$E178),"━","")))</f>
        <v/>
      </c>
      <c r="EY178" s="69" t="str">
        <f aca="false">IF($E178="","",IF($M178,IF(AND($G178&gt;=EY$5,$G178&lt;EY$5+GanttPeriod),"◆",IF(AND($E178&gt;=EY$5,$E178&lt;EY$5+GanttPeriod),"◇","")),IF(AND(EY$5&lt;=$F178,EY$5+GanttPeriod-1&gt;=$E178),"━","")))</f>
        <v/>
      </c>
      <c r="EZ178" s="69" t="str">
        <f aca="false">IF($E178="","",IF($M178,IF(AND($G178&gt;=EZ$5,$G178&lt;EZ$5+GanttPeriod),"◆",IF(AND($E178&gt;=EZ$5,$E178&lt;EZ$5+GanttPeriod),"◇","")),IF(AND(EZ$5&lt;=$F178,EZ$5+GanttPeriod-1&gt;=$E178),"━","")))</f>
        <v/>
      </c>
      <c r="FA178" s="69" t="str">
        <f aca="false">IF($E178="","",IF($M178,IF(AND($G178&gt;=FA$5,$G178&lt;FA$5+GanttPeriod),"◆",IF(AND($E178&gt;=FA$5,$E178&lt;FA$5+GanttPeriod),"◇","")),IF(AND(FA$5&lt;=$F178,FA$5+GanttPeriod-1&gt;=$E178),"━","")))</f>
        <v/>
      </c>
      <c r="FB178" s="69" t="str">
        <f aca="false">IF($E178="","",IF($M178,IF(AND($G178&gt;=FB$5,$G178&lt;FB$5+GanttPeriod),"◆",IF(AND($E178&gt;=FB$5,$E178&lt;FB$5+GanttPeriod),"◇","")),IF(AND(FB$5&lt;=$F178,FB$5+GanttPeriod-1&gt;=$E178),"━","")))</f>
        <v/>
      </c>
      <c r="FC178" s="69" t="str">
        <f aca="false">IF($E178="","",IF($M178,IF(AND($G178&gt;=FC$5,$G178&lt;FC$5+GanttPeriod),"◆",IF(AND($E178&gt;=FC$5,$E178&lt;FC$5+GanttPeriod),"◇","")),IF(AND(FC$5&lt;=$F178,FC$5+GanttPeriod-1&gt;=$E178),"━","")))</f>
        <v/>
      </c>
      <c r="FD178" s="69" t="str">
        <f aca="false">IF($E178="","",IF($M178,IF(AND($G178&gt;=FD$5,$G178&lt;FD$5+GanttPeriod),"◆",IF(AND($E178&gt;=FD$5,$E178&lt;FD$5+GanttPeriod),"◇","")),IF(AND(FD$5&lt;=$F178,FD$5+GanttPeriod-1&gt;=$E178),"━","")))</f>
        <v/>
      </c>
      <c r="FE178" s="69" t="str">
        <f aca="false">IF($E178="","",IF($M178,IF(AND($G178&gt;=FE$5,$G178&lt;FE$5+GanttPeriod),"◆",IF(AND($E178&gt;=FE$5,$E178&lt;FE$5+GanttPeriod),"◇","")),IF(AND(FE$5&lt;=$F178,FE$5+GanttPeriod-1&gt;=$E178),"━","")))</f>
        <v/>
      </c>
      <c r="FF178" s="69" t="str">
        <f aca="false">IF($E178="","",IF($M178,IF(AND($G178&gt;=FF$5,$G178&lt;FF$5+GanttPeriod),"◆",IF(AND($E178&gt;=FF$5,$E178&lt;FF$5+GanttPeriod),"◇","")),IF(AND(FF$5&lt;=$F178,FF$5+GanttPeriod-1&gt;=$E178),"━","")))</f>
        <v/>
      </c>
      <c r="FG178" s="69" t="str">
        <f aca="false">IF($E178="","",IF($M178,IF(AND($G178&gt;=FG$5,$G178&lt;FG$5+GanttPeriod),"◆",IF(AND($E178&gt;=FG$5,$E178&lt;FG$5+GanttPeriod),"◇","")),IF(AND(FG$5&lt;=$F178,FG$5+GanttPeriod-1&gt;=$E178),"━","")))</f>
        <v/>
      </c>
      <c r="FH178" s="69" t="str">
        <f aca="false">IF($E178="","",IF($M178,IF(AND($G178&gt;=FH$5,$G178&lt;FH$5+GanttPeriod),"◆",IF(AND($E178&gt;=FH$5,$E178&lt;FH$5+GanttPeriod),"◇","")),IF(AND(FH$5&lt;=$F178,FH$5+GanttPeriod-1&gt;=$E178),"━","")))</f>
        <v/>
      </c>
      <c r="FI178" s="69" t="str">
        <f aca="false">IF($E178="","",IF($M178,IF(AND($G178&gt;=FI$5,$G178&lt;FI$5+GanttPeriod),"◆",IF(AND($E178&gt;=FI$5,$E178&lt;FI$5+GanttPeriod),"◇","")),IF(AND(FI$5&lt;=$F178,FI$5+GanttPeriod-1&gt;=$E178),"━","")))</f>
        <v/>
      </c>
      <c r="FJ178" s="69" t="str">
        <f aca="false">IF($E178="","",IF($M178,IF(AND($G178&gt;=FJ$5,$G178&lt;FJ$5+GanttPeriod),"◆",IF(AND($E178&gt;=FJ$5,$E178&lt;FJ$5+GanttPeriod),"◇","")),IF(AND(FJ$5&lt;=$F178,FJ$5+GanttPeriod-1&gt;=$E178),"━","")))</f>
        <v/>
      </c>
      <c r="FK178" s="69" t="str">
        <f aca="false">IF($E178="","",IF($M178,IF(AND($G178&gt;=FK$5,$G178&lt;FK$5+GanttPeriod),"◆",IF(AND($E178&gt;=FK$5,$E178&lt;FK$5+GanttPeriod),"◇","")),IF(AND(FK$5&lt;=$F178,FK$5+GanttPeriod-1&gt;=$E178),"━","")))</f>
        <v/>
      </c>
      <c r="FL178" s="69" t="str">
        <f aca="false">IF($E178="","",IF($M178,IF(AND($G178&gt;=FL$5,$G178&lt;FL$5+GanttPeriod),"◆",IF(AND($E178&gt;=FL$5,$E178&lt;FL$5+GanttPeriod),"◇","")),IF(AND(FL$5&lt;=$F178,FL$5+GanttPeriod-1&gt;=$E178),"━","")))</f>
        <v/>
      </c>
      <c r="FM178" s="69" t="str">
        <f aca="false">IF($E178="","",IF($M178,IF(AND($G178&gt;=FM$5,$G178&lt;FM$5+GanttPeriod),"◆",IF(AND($E178&gt;=FM$5,$E178&lt;FM$5+GanttPeriod),"◇","")),IF(AND(FM$5&lt;=$F178,FM$5+GanttPeriod-1&gt;=$E178),"━","")))</f>
        <v/>
      </c>
    </row>
    <row r="179" customFormat="false" ht="15" hidden="false" customHeight="false" outlineLevel="0" collapsed="false">
      <c r="A179" s="62" t="str">
        <f aca="false">IF(Tasks!$D179="","",Tasks!$A179)</f>
        <v/>
      </c>
      <c r="B179" s="62" t="str">
        <f aca="false">IF(Tasks!$D179="","",Tasks!$B179)</f>
        <v/>
      </c>
      <c r="C179" s="63" t="str">
        <f aca="false">IF(Tasks!$D179="","",REPT("    ",Tasks!$AE179-1)&amp;Tasks!$D179)</f>
        <v/>
      </c>
      <c r="D179" s="62" t="str">
        <f aca="false">IF(Tasks!$D179="","",IF(Tasks!$AI179,NETWORKDAYS.INTL(Tasks!$R179,Tasks!$S179,WorkWeek,Holidays),N(Tasks!$F179)))</f>
        <v/>
      </c>
      <c r="E179" s="64" t="str">
        <f aca="false">IF(Tasks!$D179="","",Tasks!$N179)</f>
        <v/>
      </c>
      <c r="F179" s="64" t="str">
        <f aca="false">IF(Tasks!$D179="","",Tasks!$O179)</f>
        <v/>
      </c>
      <c r="G179" s="64" t="str">
        <f aca="false">IF(Tasks!$D179="","",Tasks!$R179)</f>
        <v/>
      </c>
      <c r="H179" s="64" t="str">
        <f aca="false">IF(Tasks!$D179="","",Tasks!$S179)</f>
        <v/>
      </c>
      <c r="I179" s="65" t="str">
        <f aca="false">IF(Tasks!$D179="","",Tasks!$V179)</f>
        <v/>
      </c>
      <c r="J179" s="63" t="str">
        <f aca="false">IF(Tasks!$D179="","",Tasks!$X179&amp;"")</f>
        <v/>
      </c>
      <c r="K179" s="66" t="str">
        <f aca="false">IF(Tasks!$D179="","",Tasks!$W179)</f>
        <v/>
      </c>
      <c r="L179" s="67" t="b">
        <f aca="false">IF(Tasks!$D179="",FALSE(),Tasks!$AI179)</f>
        <v>0</v>
      </c>
      <c r="M179" s="67" t="b">
        <f aca="false">AND(Tasks!$AJ179=1,N(Tasks!$F179)=0)</f>
        <v>0</v>
      </c>
      <c r="N179" s="68" t="n">
        <f aca="false">IF(AND(Tasks!$AJ179=1,NOT($M179),N($I179)&gt;0),$G179,0)</f>
        <v>0</v>
      </c>
      <c r="O179" s="68" t="n">
        <f aca="false">IF($N179=0,0,IF($I179&gt;=1,$H179,MAX($N179,$G179+ROUND(($H179-$G179+1)*$I179,0)-1)))</f>
        <v>0</v>
      </c>
      <c r="P179" s="68" t="n">
        <f aca="false">IF(OR(Tasks!$AJ179&lt;&gt;1,$M179,N($I179)&gt;=1),0,IF($O179&gt;0,$O179+1,$G179))</f>
        <v>0</v>
      </c>
      <c r="Q179" s="68" t="n">
        <f aca="false">IF($P179=0,0,$H179)</f>
        <v>0</v>
      </c>
      <c r="R179" s="67" t="b">
        <f aca="false">AND(Tasks!$D179&lt;&gt;"",N(Tasks!$T179)&gt;0)</f>
        <v>0</v>
      </c>
      <c r="T179" s="69" t="str">
        <f aca="false">IF($E179="","",IF($M179,IF(AND($G179&gt;=T$5,$G179&lt;T$5+GanttPeriod),"◆",IF(AND($E179&gt;=T$5,$E179&lt;T$5+GanttPeriod),"◇","")),IF(AND(T$5&lt;=$F179,T$5+GanttPeriod-1&gt;=$E179),"━","")))</f>
        <v/>
      </c>
      <c r="U179" s="69" t="str">
        <f aca="false">IF($E179="","",IF($M179,IF(AND($G179&gt;=U$5,$G179&lt;U$5+GanttPeriod),"◆",IF(AND($E179&gt;=U$5,$E179&lt;U$5+GanttPeriod),"◇","")),IF(AND(U$5&lt;=$F179,U$5+GanttPeriod-1&gt;=$E179),"━","")))</f>
        <v/>
      </c>
      <c r="V179" s="69" t="str">
        <f aca="false">IF($E179="","",IF($M179,IF(AND($G179&gt;=V$5,$G179&lt;V$5+GanttPeriod),"◆",IF(AND($E179&gt;=V$5,$E179&lt;V$5+GanttPeriod),"◇","")),IF(AND(V$5&lt;=$F179,V$5+GanttPeriod-1&gt;=$E179),"━","")))</f>
        <v/>
      </c>
      <c r="W179" s="69" t="str">
        <f aca="false">IF($E179="","",IF($M179,IF(AND($G179&gt;=W$5,$G179&lt;W$5+GanttPeriod),"◆",IF(AND($E179&gt;=W$5,$E179&lt;W$5+GanttPeriod),"◇","")),IF(AND(W$5&lt;=$F179,W$5+GanttPeriod-1&gt;=$E179),"━","")))</f>
        <v/>
      </c>
      <c r="X179" s="69" t="str">
        <f aca="false">IF($E179="","",IF($M179,IF(AND($G179&gt;=X$5,$G179&lt;X$5+GanttPeriod),"◆",IF(AND($E179&gt;=X$5,$E179&lt;X$5+GanttPeriod),"◇","")),IF(AND(X$5&lt;=$F179,X$5+GanttPeriod-1&gt;=$E179),"━","")))</f>
        <v/>
      </c>
      <c r="Y179" s="69" t="str">
        <f aca="false">IF($E179="","",IF($M179,IF(AND($G179&gt;=Y$5,$G179&lt;Y$5+GanttPeriod),"◆",IF(AND($E179&gt;=Y$5,$E179&lt;Y$5+GanttPeriod),"◇","")),IF(AND(Y$5&lt;=$F179,Y$5+GanttPeriod-1&gt;=$E179),"━","")))</f>
        <v/>
      </c>
      <c r="Z179" s="69" t="str">
        <f aca="false">IF($E179="","",IF($M179,IF(AND($G179&gt;=Z$5,$G179&lt;Z$5+GanttPeriod),"◆",IF(AND($E179&gt;=Z$5,$E179&lt;Z$5+GanttPeriod),"◇","")),IF(AND(Z$5&lt;=$F179,Z$5+GanttPeriod-1&gt;=$E179),"━","")))</f>
        <v/>
      </c>
      <c r="AA179" s="69" t="str">
        <f aca="false">IF($E179="","",IF($M179,IF(AND($G179&gt;=AA$5,$G179&lt;AA$5+GanttPeriod),"◆",IF(AND($E179&gt;=AA$5,$E179&lt;AA$5+GanttPeriod),"◇","")),IF(AND(AA$5&lt;=$F179,AA$5+GanttPeriod-1&gt;=$E179),"━","")))</f>
        <v/>
      </c>
      <c r="AB179" s="69" t="str">
        <f aca="false">IF($E179="","",IF($M179,IF(AND($G179&gt;=AB$5,$G179&lt;AB$5+GanttPeriod),"◆",IF(AND($E179&gt;=AB$5,$E179&lt;AB$5+GanttPeriod),"◇","")),IF(AND(AB$5&lt;=$F179,AB$5+GanttPeriod-1&gt;=$E179),"━","")))</f>
        <v/>
      </c>
      <c r="AC179" s="69" t="str">
        <f aca="false">IF($E179="","",IF($M179,IF(AND($G179&gt;=AC$5,$G179&lt;AC$5+GanttPeriod),"◆",IF(AND($E179&gt;=AC$5,$E179&lt;AC$5+GanttPeriod),"◇","")),IF(AND(AC$5&lt;=$F179,AC$5+GanttPeriod-1&gt;=$E179),"━","")))</f>
        <v/>
      </c>
      <c r="AD179" s="69" t="str">
        <f aca="false">IF($E179="","",IF($M179,IF(AND($G179&gt;=AD$5,$G179&lt;AD$5+GanttPeriod),"◆",IF(AND($E179&gt;=AD$5,$E179&lt;AD$5+GanttPeriod),"◇","")),IF(AND(AD$5&lt;=$F179,AD$5+GanttPeriod-1&gt;=$E179),"━","")))</f>
        <v/>
      </c>
      <c r="AE179" s="69" t="str">
        <f aca="false">IF($E179="","",IF($M179,IF(AND($G179&gt;=AE$5,$G179&lt;AE$5+GanttPeriod),"◆",IF(AND($E179&gt;=AE$5,$E179&lt;AE$5+GanttPeriod),"◇","")),IF(AND(AE$5&lt;=$F179,AE$5+GanttPeriod-1&gt;=$E179),"━","")))</f>
        <v/>
      </c>
      <c r="AF179" s="69" t="str">
        <f aca="false">IF($E179="","",IF($M179,IF(AND($G179&gt;=AF$5,$G179&lt;AF$5+GanttPeriod),"◆",IF(AND($E179&gt;=AF$5,$E179&lt;AF$5+GanttPeriod),"◇","")),IF(AND(AF$5&lt;=$F179,AF$5+GanttPeriod-1&gt;=$E179),"━","")))</f>
        <v/>
      </c>
      <c r="AG179" s="69" t="str">
        <f aca="false">IF($E179="","",IF($M179,IF(AND($G179&gt;=AG$5,$G179&lt;AG$5+GanttPeriod),"◆",IF(AND($E179&gt;=AG$5,$E179&lt;AG$5+GanttPeriod),"◇","")),IF(AND(AG$5&lt;=$F179,AG$5+GanttPeriod-1&gt;=$E179),"━","")))</f>
        <v/>
      </c>
      <c r="AH179" s="69" t="str">
        <f aca="false">IF($E179="","",IF($M179,IF(AND($G179&gt;=AH$5,$G179&lt;AH$5+GanttPeriod),"◆",IF(AND($E179&gt;=AH$5,$E179&lt;AH$5+GanttPeriod),"◇","")),IF(AND(AH$5&lt;=$F179,AH$5+GanttPeriod-1&gt;=$E179),"━","")))</f>
        <v/>
      </c>
      <c r="AI179" s="69" t="str">
        <f aca="false">IF($E179="","",IF($M179,IF(AND($G179&gt;=AI$5,$G179&lt;AI$5+GanttPeriod),"◆",IF(AND($E179&gt;=AI$5,$E179&lt;AI$5+GanttPeriod),"◇","")),IF(AND(AI$5&lt;=$F179,AI$5+GanttPeriod-1&gt;=$E179),"━","")))</f>
        <v/>
      </c>
      <c r="AJ179" s="69" t="str">
        <f aca="false">IF($E179="","",IF($M179,IF(AND($G179&gt;=AJ$5,$G179&lt;AJ$5+GanttPeriod),"◆",IF(AND($E179&gt;=AJ$5,$E179&lt;AJ$5+GanttPeriod),"◇","")),IF(AND(AJ$5&lt;=$F179,AJ$5+GanttPeriod-1&gt;=$E179),"━","")))</f>
        <v/>
      </c>
      <c r="AK179" s="69" t="str">
        <f aca="false">IF($E179="","",IF($M179,IF(AND($G179&gt;=AK$5,$G179&lt;AK$5+GanttPeriod),"◆",IF(AND($E179&gt;=AK$5,$E179&lt;AK$5+GanttPeriod),"◇","")),IF(AND(AK$5&lt;=$F179,AK$5+GanttPeriod-1&gt;=$E179),"━","")))</f>
        <v/>
      </c>
      <c r="AL179" s="69" t="str">
        <f aca="false">IF($E179="","",IF($M179,IF(AND($G179&gt;=AL$5,$G179&lt;AL$5+GanttPeriod),"◆",IF(AND($E179&gt;=AL$5,$E179&lt;AL$5+GanttPeriod),"◇","")),IF(AND(AL$5&lt;=$F179,AL$5+GanttPeriod-1&gt;=$E179),"━","")))</f>
        <v/>
      </c>
      <c r="AM179" s="69" t="str">
        <f aca="false">IF($E179="","",IF($M179,IF(AND($G179&gt;=AM$5,$G179&lt;AM$5+GanttPeriod),"◆",IF(AND($E179&gt;=AM$5,$E179&lt;AM$5+GanttPeriod),"◇","")),IF(AND(AM$5&lt;=$F179,AM$5+GanttPeriod-1&gt;=$E179),"━","")))</f>
        <v/>
      </c>
      <c r="AN179" s="69" t="str">
        <f aca="false">IF($E179="","",IF($M179,IF(AND($G179&gt;=AN$5,$G179&lt;AN$5+GanttPeriod),"◆",IF(AND($E179&gt;=AN$5,$E179&lt;AN$5+GanttPeriod),"◇","")),IF(AND(AN$5&lt;=$F179,AN$5+GanttPeriod-1&gt;=$E179),"━","")))</f>
        <v/>
      </c>
      <c r="AO179" s="69" t="str">
        <f aca="false">IF($E179="","",IF($M179,IF(AND($G179&gt;=AO$5,$G179&lt;AO$5+GanttPeriod),"◆",IF(AND($E179&gt;=AO$5,$E179&lt;AO$5+GanttPeriod),"◇","")),IF(AND(AO$5&lt;=$F179,AO$5+GanttPeriod-1&gt;=$E179),"━","")))</f>
        <v/>
      </c>
      <c r="AP179" s="69" t="str">
        <f aca="false">IF($E179="","",IF($M179,IF(AND($G179&gt;=AP$5,$G179&lt;AP$5+GanttPeriod),"◆",IF(AND($E179&gt;=AP$5,$E179&lt;AP$5+GanttPeriod),"◇","")),IF(AND(AP$5&lt;=$F179,AP$5+GanttPeriod-1&gt;=$E179),"━","")))</f>
        <v/>
      </c>
      <c r="AQ179" s="69" t="str">
        <f aca="false">IF($E179="","",IF($M179,IF(AND($G179&gt;=AQ$5,$G179&lt;AQ$5+GanttPeriod),"◆",IF(AND($E179&gt;=AQ$5,$E179&lt;AQ$5+GanttPeriod),"◇","")),IF(AND(AQ$5&lt;=$F179,AQ$5+GanttPeriod-1&gt;=$E179),"━","")))</f>
        <v/>
      </c>
      <c r="AR179" s="69" t="str">
        <f aca="false">IF($E179="","",IF($M179,IF(AND($G179&gt;=AR$5,$G179&lt;AR$5+GanttPeriod),"◆",IF(AND($E179&gt;=AR$5,$E179&lt;AR$5+GanttPeriod),"◇","")),IF(AND(AR$5&lt;=$F179,AR$5+GanttPeriod-1&gt;=$E179),"━","")))</f>
        <v/>
      </c>
      <c r="AS179" s="69" t="str">
        <f aca="false">IF($E179="","",IF($M179,IF(AND($G179&gt;=AS$5,$G179&lt;AS$5+GanttPeriod),"◆",IF(AND($E179&gt;=AS$5,$E179&lt;AS$5+GanttPeriod),"◇","")),IF(AND(AS$5&lt;=$F179,AS$5+GanttPeriod-1&gt;=$E179),"━","")))</f>
        <v/>
      </c>
      <c r="AT179" s="69" t="str">
        <f aca="false">IF($E179="","",IF($M179,IF(AND($G179&gt;=AT$5,$G179&lt;AT$5+GanttPeriod),"◆",IF(AND($E179&gt;=AT$5,$E179&lt;AT$5+GanttPeriod),"◇","")),IF(AND(AT$5&lt;=$F179,AT$5+GanttPeriod-1&gt;=$E179),"━","")))</f>
        <v/>
      </c>
      <c r="AU179" s="69" t="str">
        <f aca="false">IF($E179="","",IF($M179,IF(AND($G179&gt;=AU$5,$G179&lt;AU$5+GanttPeriod),"◆",IF(AND($E179&gt;=AU$5,$E179&lt;AU$5+GanttPeriod),"◇","")),IF(AND(AU$5&lt;=$F179,AU$5+GanttPeriod-1&gt;=$E179),"━","")))</f>
        <v/>
      </c>
      <c r="AV179" s="69" t="str">
        <f aca="false">IF($E179="","",IF($M179,IF(AND($G179&gt;=AV$5,$G179&lt;AV$5+GanttPeriod),"◆",IF(AND($E179&gt;=AV$5,$E179&lt;AV$5+GanttPeriod),"◇","")),IF(AND(AV$5&lt;=$F179,AV$5+GanttPeriod-1&gt;=$E179),"━","")))</f>
        <v/>
      </c>
      <c r="AW179" s="69" t="str">
        <f aca="false">IF($E179="","",IF($M179,IF(AND($G179&gt;=AW$5,$G179&lt;AW$5+GanttPeriod),"◆",IF(AND($E179&gt;=AW$5,$E179&lt;AW$5+GanttPeriod),"◇","")),IF(AND(AW$5&lt;=$F179,AW$5+GanttPeriod-1&gt;=$E179),"━","")))</f>
        <v/>
      </c>
      <c r="AX179" s="69" t="str">
        <f aca="false">IF($E179="","",IF($M179,IF(AND($G179&gt;=AX$5,$G179&lt;AX$5+GanttPeriod),"◆",IF(AND($E179&gt;=AX$5,$E179&lt;AX$5+GanttPeriod),"◇","")),IF(AND(AX$5&lt;=$F179,AX$5+GanttPeriod-1&gt;=$E179),"━","")))</f>
        <v/>
      </c>
      <c r="AY179" s="69" t="str">
        <f aca="false">IF($E179="","",IF($M179,IF(AND($G179&gt;=AY$5,$G179&lt;AY$5+GanttPeriod),"◆",IF(AND($E179&gt;=AY$5,$E179&lt;AY$5+GanttPeriod),"◇","")),IF(AND(AY$5&lt;=$F179,AY$5+GanttPeriod-1&gt;=$E179),"━","")))</f>
        <v/>
      </c>
      <c r="AZ179" s="69" t="str">
        <f aca="false">IF($E179="","",IF($M179,IF(AND($G179&gt;=AZ$5,$G179&lt;AZ$5+GanttPeriod),"◆",IF(AND($E179&gt;=AZ$5,$E179&lt;AZ$5+GanttPeriod),"◇","")),IF(AND(AZ$5&lt;=$F179,AZ$5+GanttPeriod-1&gt;=$E179),"━","")))</f>
        <v/>
      </c>
      <c r="BA179" s="69" t="str">
        <f aca="false">IF($E179="","",IF($M179,IF(AND($G179&gt;=BA$5,$G179&lt;BA$5+GanttPeriod),"◆",IF(AND($E179&gt;=BA$5,$E179&lt;BA$5+GanttPeriod),"◇","")),IF(AND(BA$5&lt;=$F179,BA$5+GanttPeriod-1&gt;=$E179),"━","")))</f>
        <v/>
      </c>
      <c r="BB179" s="69" t="str">
        <f aca="false">IF($E179="","",IF($M179,IF(AND($G179&gt;=BB$5,$G179&lt;BB$5+GanttPeriod),"◆",IF(AND($E179&gt;=BB$5,$E179&lt;BB$5+GanttPeriod),"◇","")),IF(AND(BB$5&lt;=$F179,BB$5+GanttPeriod-1&gt;=$E179),"━","")))</f>
        <v/>
      </c>
      <c r="BC179" s="69" t="str">
        <f aca="false">IF($E179="","",IF($M179,IF(AND($G179&gt;=BC$5,$G179&lt;BC$5+GanttPeriod),"◆",IF(AND($E179&gt;=BC$5,$E179&lt;BC$5+GanttPeriod),"◇","")),IF(AND(BC$5&lt;=$F179,BC$5+GanttPeriod-1&gt;=$E179),"━","")))</f>
        <v/>
      </c>
      <c r="BD179" s="69" t="str">
        <f aca="false">IF($E179="","",IF($M179,IF(AND($G179&gt;=BD$5,$G179&lt;BD$5+GanttPeriod),"◆",IF(AND($E179&gt;=BD$5,$E179&lt;BD$5+GanttPeriod),"◇","")),IF(AND(BD$5&lt;=$F179,BD$5+GanttPeriod-1&gt;=$E179),"━","")))</f>
        <v/>
      </c>
      <c r="BE179" s="69" t="str">
        <f aca="false">IF($E179="","",IF($M179,IF(AND($G179&gt;=BE$5,$G179&lt;BE$5+GanttPeriod),"◆",IF(AND($E179&gt;=BE$5,$E179&lt;BE$5+GanttPeriod),"◇","")),IF(AND(BE$5&lt;=$F179,BE$5+GanttPeriod-1&gt;=$E179),"━","")))</f>
        <v/>
      </c>
      <c r="BF179" s="69" t="str">
        <f aca="false">IF($E179="","",IF($M179,IF(AND($G179&gt;=BF$5,$G179&lt;BF$5+GanttPeriod),"◆",IF(AND($E179&gt;=BF$5,$E179&lt;BF$5+GanttPeriod),"◇","")),IF(AND(BF$5&lt;=$F179,BF$5+GanttPeriod-1&gt;=$E179),"━","")))</f>
        <v/>
      </c>
      <c r="BG179" s="69" t="str">
        <f aca="false">IF($E179="","",IF($M179,IF(AND($G179&gt;=BG$5,$G179&lt;BG$5+GanttPeriod),"◆",IF(AND($E179&gt;=BG$5,$E179&lt;BG$5+GanttPeriod),"◇","")),IF(AND(BG$5&lt;=$F179,BG$5+GanttPeriod-1&gt;=$E179),"━","")))</f>
        <v/>
      </c>
      <c r="BH179" s="69" t="str">
        <f aca="false">IF($E179="","",IF($M179,IF(AND($G179&gt;=BH$5,$G179&lt;BH$5+GanttPeriod),"◆",IF(AND($E179&gt;=BH$5,$E179&lt;BH$5+GanttPeriod),"◇","")),IF(AND(BH$5&lt;=$F179,BH$5+GanttPeriod-1&gt;=$E179),"━","")))</f>
        <v/>
      </c>
      <c r="BI179" s="69" t="str">
        <f aca="false">IF($E179="","",IF($M179,IF(AND($G179&gt;=BI$5,$G179&lt;BI$5+GanttPeriod),"◆",IF(AND($E179&gt;=BI$5,$E179&lt;BI$5+GanttPeriod),"◇","")),IF(AND(BI$5&lt;=$F179,BI$5+GanttPeriod-1&gt;=$E179),"━","")))</f>
        <v/>
      </c>
      <c r="BJ179" s="69" t="str">
        <f aca="false">IF($E179="","",IF($M179,IF(AND($G179&gt;=BJ$5,$G179&lt;BJ$5+GanttPeriod),"◆",IF(AND($E179&gt;=BJ$5,$E179&lt;BJ$5+GanttPeriod),"◇","")),IF(AND(BJ$5&lt;=$F179,BJ$5+GanttPeriod-1&gt;=$E179),"━","")))</f>
        <v/>
      </c>
      <c r="BK179" s="69" t="str">
        <f aca="false">IF($E179="","",IF($M179,IF(AND($G179&gt;=BK$5,$G179&lt;BK$5+GanttPeriod),"◆",IF(AND($E179&gt;=BK$5,$E179&lt;BK$5+GanttPeriod),"◇","")),IF(AND(BK$5&lt;=$F179,BK$5+GanttPeriod-1&gt;=$E179),"━","")))</f>
        <v/>
      </c>
      <c r="BL179" s="69" t="str">
        <f aca="false">IF($E179="","",IF($M179,IF(AND($G179&gt;=BL$5,$G179&lt;BL$5+GanttPeriod),"◆",IF(AND($E179&gt;=BL$5,$E179&lt;BL$5+GanttPeriod),"◇","")),IF(AND(BL$5&lt;=$F179,BL$5+GanttPeriod-1&gt;=$E179),"━","")))</f>
        <v/>
      </c>
      <c r="BM179" s="69" t="str">
        <f aca="false">IF($E179="","",IF($M179,IF(AND($G179&gt;=BM$5,$G179&lt;BM$5+GanttPeriod),"◆",IF(AND($E179&gt;=BM$5,$E179&lt;BM$5+GanttPeriod),"◇","")),IF(AND(BM$5&lt;=$F179,BM$5+GanttPeriod-1&gt;=$E179),"━","")))</f>
        <v/>
      </c>
      <c r="BN179" s="69" t="str">
        <f aca="false">IF($E179="","",IF($M179,IF(AND($G179&gt;=BN$5,$G179&lt;BN$5+GanttPeriod),"◆",IF(AND($E179&gt;=BN$5,$E179&lt;BN$5+GanttPeriod),"◇","")),IF(AND(BN$5&lt;=$F179,BN$5+GanttPeriod-1&gt;=$E179),"━","")))</f>
        <v/>
      </c>
      <c r="BO179" s="69" t="str">
        <f aca="false">IF($E179="","",IF($M179,IF(AND($G179&gt;=BO$5,$G179&lt;BO$5+GanttPeriod),"◆",IF(AND($E179&gt;=BO$5,$E179&lt;BO$5+GanttPeriod),"◇","")),IF(AND(BO$5&lt;=$F179,BO$5+GanttPeriod-1&gt;=$E179),"━","")))</f>
        <v/>
      </c>
      <c r="BP179" s="69" t="str">
        <f aca="false">IF($E179="","",IF($M179,IF(AND($G179&gt;=BP$5,$G179&lt;BP$5+GanttPeriod),"◆",IF(AND($E179&gt;=BP$5,$E179&lt;BP$5+GanttPeriod),"◇","")),IF(AND(BP$5&lt;=$F179,BP$5+GanttPeriod-1&gt;=$E179),"━","")))</f>
        <v/>
      </c>
      <c r="BQ179" s="69" t="str">
        <f aca="false">IF($E179="","",IF($M179,IF(AND($G179&gt;=BQ$5,$G179&lt;BQ$5+GanttPeriod),"◆",IF(AND($E179&gt;=BQ$5,$E179&lt;BQ$5+GanttPeriod),"◇","")),IF(AND(BQ$5&lt;=$F179,BQ$5+GanttPeriod-1&gt;=$E179),"━","")))</f>
        <v/>
      </c>
      <c r="BR179" s="69" t="str">
        <f aca="false">IF($E179="","",IF($M179,IF(AND($G179&gt;=BR$5,$G179&lt;BR$5+GanttPeriod),"◆",IF(AND($E179&gt;=BR$5,$E179&lt;BR$5+GanttPeriod),"◇","")),IF(AND(BR$5&lt;=$F179,BR$5+GanttPeriod-1&gt;=$E179),"━","")))</f>
        <v/>
      </c>
      <c r="BS179" s="69" t="str">
        <f aca="false">IF($E179="","",IF($M179,IF(AND($G179&gt;=BS$5,$G179&lt;BS$5+GanttPeriod),"◆",IF(AND($E179&gt;=BS$5,$E179&lt;BS$5+GanttPeriod),"◇","")),IF(AND(BS$5&lt;=$F179,BS$5+GanttPeriod-1&gt;=$E179),"━","")))</f>
        <v/>
      </c>
      <c r="BT179" s="69" t="str">
        <f aca="false">IF($E179="","",IF($M179,IF(AND($G179&gt;=BT$5,$G179&lt;BT$5+GanttPeriod),"◆",IF(AND($E179&gt;=BT$5,$E179&lt;BT$5+GanttPeriod),"◇","")),IF(AND(BT$5&lt;=$F179,BT$5+GanttPeriod-1&gt;=$E179),"━","")))</f>
        <v/>
      </c>
      <c r="BU179" s="69" t="str">
        <f aca="false">IF($E179="","",IF($M179,IF(AND($G179&gt;=BU$5,$G179&lt;BU$5+GanttPeriod),"◆",IF(AND($E179&gt;=BU$5,$E179&lt;BU$5+GanttPeriod),"◇","")),IF(AND(BU$5&lt;=$F179,BU$5+GanttPeriod-1&gt;=$E179),"━","")))</f>
        <v/>
      </c>
      <c r="BV179" s="69" t="str">
        <f aca="false">IF($E179="","",IF($M179,IF(AND($G179&gt;=BV$5,$G179&lt;BV$5+GanttPeriod),"◆",IF(AND($E179&gt;=BV$5,$E179&lt;BV$5+GanttPeriod),"◇","")),IF(AND(BV$5&lt;=$F179,BV$5+GanttPeriod-1&gt;=$E179),"━","")))</f>
        <v/>
      </c>
      <c r="BW179" s="69" t="str">
        <f aca="false">IF($E179="","",IF($M179,IF(AND($G179&gt;=BW$5,$G179&lt;BW$5+GanttPeriod),"◆",IF(AND($E179&gt;=BW$5,$E179&lt;BW$5+GanttPeriod),"◇","")),IF(AND(BW$5&lt;=$F179,BW$5+GanttPeriod-1&gt;=$E179),"━","")))</f>
        <v/>
      </c>
      <c r="BX179" s="69" t="str">
        <f aca="false">IF($E179="","",IF($M179,IF(AND($G179&gt;=BX$5,$G179&lt;BX$5+GanttPeriod),"◆",IF(AND($E179&gt;=BX$5,$E179&lt;BX$5+GanttPeriod),"◇","")),IF(AND(BX$5&lt;=$F179,BX$5+GanttPeriod-1&gt;=$E179),"━","")))</f>
        <v/>
      </c>
      <c r="BY179" s="69" t="str">
        <f aca="false">IF($E179="","",IF($M179,IF(AND($G179&gt;=BY$5,$G179&lt;BY$5+GanttPeriod),"◆",IF(AND($E179&gt;=BY$5,$E179&lt;BY$5+GanttPeriod),"◇","")),IF(AND(BY$5&lt;=$F179,BY$5+GanttPeriod-1&gt;=$E179),"━","")))</f>
        <v/>
      </c>
      <c r="BZ179" s="69" t="str">
        <f aca="false">IF($E179="","",IF($M179,IF(AND($G179&gt;=BZ$5,$G179&lt;BZ$5+GanttPeriod),"◆",IF(AND($E179&gt;=BZ$5,$E179&lt;BZ$5+GanttPeriod),"◇","")),IF(AND(BZ$5&lt;=$F179,BZ$5+GanttPeriod-1&gt;=$E179),"━","")))</f>
        <v/>
      </c>
      <c r="CA179" s="69" t="str">
        <f aca="false">IF($E179="","",IF($M179,IF(AND($G179&gt;=CA$5,$G179&lt;CA$5+GanttPeriod),"◆",IF(AND($E179&gt;=CA$5,$E179&lt;CA$5+GanttPeriod),"◇","")),IF(AND(CA$5&lt;=$F179,CA$5+GanttPeriod-1&gt;=$E179),"━","")))</f>
        <v/>
      </c>
      <c r="CB179" s="69" t="str">
        <f aca="false">IF($E179="","",IF($M179,IF(AND($G179&gt;=CB$5,$G179&lt;CB$5+GanttPeriod),"◆",IF(AND($E179&gt;=CB$5,$E179&lt;CB$5+GanttPeriod),"◇","")),IF(AND(CB$5&lt;=$F179,CB$5+GanttPeriod-1&gt;=$E179),"━","")))</f>
        <v/>
      </c>
      <c r="CC179" s="69" t="str">
        <f aca="false">IF($E179="","",IF($M179,IF(AND($G179&gt;=CC$5,$G179&lt;CC$5+GanttPeriod),"◆",IF(AND($E179&gt;=CC$5,$E179&lt;CC$5+GanttPeriod),"◇","")),IF(AND(CC$5&lt;=$F179,CC$5+GanttPeriod-1&gt;=$E179),"━","")))</f>
        <v/>
      </c>
      <c r="CD179" s="69" t="str">
        <f aca="false">IF($E179="","",IF($M179,IF(AND($G179&gt;=CD$5,$G179&lt;CD$5+GanttPeriod),"◆",IF(AND($E179&gt;=CD$5,$E179&lt;CD$5+GanttPeriod),"◇","")),IF(AND(CD$5&lt;=$F179,CD$5+GanttPeriod-1&gt;=$E179),"━","")))</f>
        <v/>
      </c>
      <c r="CE179" s="69" t="str">
        <f aca="false">IF($E179="","",IF($M179,IF(AND($G179&gt;=CE$5,$G179&lt;CE$5+GanttPeriod),"◆",IF(AND($E179&gt;=CE$5,$E179&lt;CE$5+GanttPeriod),"◇","")),IF(AND(CE$5&lt;=$F179,CE$5+GanttPeriod-1&gt;=$E179),"━","")))</f>
        <v/>
      </c>
      <c r="CF179" s="69" t="str">
        <f aca="false">IF($E179="","",IF($M179,IF(AND($G179&gt;=CF$5,$G179&lt;CF$5+GanttPeriod),"◆",IF(AND($E179&gt;=CF$5,$E179&lt;CF$5+GanttPeriod),"◇","")),IF(AND(CF$5&lt;=$F179,CF$5+GanttPeriod-1&gt;=$E179),"━","")))</f>
        <v/>
      </c>
      <c r="CG179" s="69" t="str">
        <f aca="false">IF($E179="","",IF($M179,IF(AND($G179&gt;=CG$5,$G179&lt;CG$5+GanttPeriod),"◆",IF(AND($E179&gt;=CG$5,$E179&lt;CG$5+GanttPeriod),"◇","")),IF(AND(CG$5&lt;=$F179,CG$5+GanttPeriod-1&gt;=$E179),"━","")))</f>
        <v/>
      </c>
      <c r="CH179" s="69" t="str">
        <f aca="false">IF($E179="","",IF($M179,IF(AND($G179&gt;=CH$5,$G179&lt;CH$5+GanttPeriod),"◆",IF(AND($E179&gt;=CH$5,$E179&lt;CH$5+GanttPeriod),"◇","")),IF(AND(CH$5&lt;=$F179,CH$5+GanttPeriod-1&gt;=$E179),"━","")))</f>
        <v/>
      </c>
      <c r="CI179" s="69" t="str">
        <f aca="false">IF($E179="","",IF($M179,IF(AND($G179&gt;=CI$5,$G179&lt;CI$5+GanttPeriod),"◆",IF(AND($E179&gt;=CI$5,$E179&lt;CI$5+GanttPeriod),"◇","")),IF(AND(CI$5&lt;=$F179,CI$5+GanttPeriod-1&gt;=$E179),"━","")))</f>
        <v/>
      </c>
      <c r="CJ179" s="69" t="str">
        <f aca="false">IF($E179="","",IF($M179,IF(AND($G179&gt;=CJ$5,$G179&lt;CJ$5+GanttPeriod),"◆",IF(AND($E179&gt;=CJ$5,$E179&lt;CJ$5+GanttPeriod),"◇","")),IF(AND(CJ$5&lt;=$F179,CJ$5+GanttPeriod-1&gt;=$E179),"━","")))</f>
        <v/>
      </c>
      <c r="CK179" s="69" t="str">
        <f aca="false">IF($E179="","",IF($M179,IF(AND($G179&gt;=CK$5,$G179&lt;CK$5+GanttPeriod),"◆",IF(AND($E179&gt;=CK$5,$E179&lt;CK$5+GanttPeriod),"◇","")),IF(AND(CK$5&lt;=$F179,CK$5+GanttPeriod-1&gt;=$E179),"━","")))</f>
        <v/>
      </c>
      <c r="CL179" s="69" t="str">
        <f aca="false">IF($E179="","",IF($M179,IF(AND($G179&gt;=CL$5,$G179&lt;CL$5+GanttPeriod),"◆",IF(AND($E179&gt;=CL$5,$E179&lt;CL$5+GanttPeriod),"◇","")),IF(AND(CL$5&lt;=$F179,CL$5+GanttPeriod-1&gt;=$E179),"━","")))</f>
        <v/>
      </c>
      <c r="CM179" s="69" t="str">
        <f aca="false">IF($E179="","",IF($M179,IF(AND($G179&gt;=CM$5,$G179&lt;CM$5+GanttPeriod),"◆",IF(AND($E179&gt;=CM$5,$E179&lt;CM$5+GanttPeriod),"◇","")),IF(AND(CM$5&lt;=$F179,CM$5+GanttPeriod-1&gt;=$E179),"━","")))</f>
        <v/>
      </c>
      <c r="CN179" s="69" t="str">
        <f aca="false">IF($E179="","",IF($M179,IF(AND($G179&gt;=CN$5,$G179&lt;CN$5+GanttPeriod),"◆",IF(AND($E179&gt;=CN$5,$E179&lt;CN$5+GanttPeriod),"◇","")),IF(AND(CN$5&lt;=$F179,CN$5+GanttPeriod-1&gt;=$E179),"━","")))</f>
        <v/>
      </c>
      <c r="CO179" s="69" t="str">
        <f aca="false">IF($E179="","",IF($M179,IF(AND($G179&gt;=CO$5,$G179&lt;CO$5+GanttPeriod),"◆",IF(AND($E179&gt;=CO$5,$E179&lt;CO$5+GanttPeriod),"◇","")),IF(AND(CO$5&lt;=$F179,CO$5+GanttPeriod-1&gt;=$E179),"━","")))</f>
        <v/>
      </c>
      <c r="CP179" s="69" t="str">
        <f aca="false">IF($E179="","",IF($M179,IF(AND($G179&gt;=CP$5,$G179&lt;CP$5+GanttPeriod),"◆",IF(AND($E179&gt;=CP$5,$E179&lt;CP$5+GanttPeriod),"◇","")),IF(AND(CP$5&lt;=$F179,CP$5+GanttPeriod-1&gt;=$E179),"━","")))</f>
        <v/>
      </c>
      <c r="CQ179" s="69" t="str">
        <f aca="false">IF($E179="","",IF($M179,IF(AND($G179&gt;=CQ$5,$G179&lt;CQ$5+GanttPeriod),"◆",IF(AND($E179&gt;=CQ$5,$E179&lt;CQ$5+GanttPeriod),"◇","")),IF(AND(CQ$5&lt;=$F179,CQ$5+GanttPeriod-1&gt;=$E179),"━","")))</f>
        <v/>
      </c>
      <c r="CR179" s="69" t="str">
        <f aca="false">IF($E179="","",IF($M179,IF(AND($G179&gt;=CR$5,$G179&lt;CR$5+GanttPeriod),"◆",IF(AND($E179&gt;=CR$5,$E179&lt;CR$5+GanttPeriod),"◇","")),IF(AND(CR$5&lt;=$F179,CR$5+GanttPeriod-1&gt;=$E179),"━","")))</f>
        <v/>
      </c>
      <c r="CS179" s="69" t="str">
        <f aca="false">IF($E179="","",IF($M179,IF(AND($G179&gt;=CS$5,$G179&lt;CS$5+GanttPeriod),"◆",IF(AND($E179&gt;=CS$5,$E179&lt;CS$5+GanttPeriod),"◇","")),IF(AND(CS$5&lt;=$F179,CS$5+GanttPeriod-1&gt;=$E179),"━","")))</f>
        <v/>
      </c>
      <c r="CT179" s="69" t="str">
        <f aca="false">IF($E179="","",IF($M179,IF(AND($G179&gt;=CT$5,$G179&lt;CT$5+GanttPeriod),"◆",IF(AND($E179&gt;=CT$5,$E179&lt;CT$5+GanttPeriod),"◇","")),IF(AND(CT$5&lt;=$F179,CT$5+GanttPeriod-1&gt;=$E179),"━","")))</f>
        <v/>
      </c>
      <c r="CU179" s="69" t="str">
        <f aca="false">IF($E179="","",IF($M179,IF(AND($G179&gt;=CU$5,$G179&lt;CU$5+GanttPeriod),"◆",IF(AND($E179&gt;=CU$5,$E179&lt;CU$5+GanttPeriod),"◇","")),IF(AND(CU$5&lt;=$F179,CU$5+GanttPeriod-1&gt;=$E179),"━","")))</f>
        <v/>
      </c>
      <c r="CV179" s="69" t="str">
        <f aca="false">IF($E179="","",IF($M179,IF(AND($G179&gt;=CV$5,$G179&lt;CV$5+GanttPeriod),"◆",IF(AND($E179&gt;=CV$5,$E179&lt;CV$5+GanttPeriod),"◇","")),IF(AND(CV$5&lt;=$F179,CV$5+GanttPeriod-1&gt;=$E179),"━","")))</f>
        <v/>
      </c>
      <c r="CW179" s="69" t="str">
        <f aca="false">IF($E179="","",IF($M179,IF(AND($G179&gt;=CW$5,$G179&lt;CW$5+GanttPeriod),"◆",IF(AND($E179&gt;=CW$5,$E179&lt;CW$5+GanttPeriod),"◇","")),IF(AND(CW$5&lt;=$F179,CW$5+GanttPeriod-1&gt;=$E179),"━","")))</f>
        <v/>
      </c>
      <c r="CX179" s="69" t="str">
        <f aca="false">IF($E179="","",IF($M179,IF(AND($G179&gt;=CX$5,$G179&lt;CX$5+GanttPeriod),"◆",IF(AND($E179&gt;=CX$5,$E179&lt;CX$5+GanttPeriod),"◇","")),IF(AND(CX$5&lt;=$F179,CX$5+GanttPeriod-1&gt;=$E179),"━","")))</f>
        <v/>
      </c>
      <c r="CY179" s="69" t="str">
        <f aca="false">IF($E179="","",IF($M179,IF(AND($G179&gt;=CY$5,$G179&lt;CY$5+GanttPeriod),"◆",IF(AND($E179&gt;=CY$5,$E179&lt;CY$5+GanttPeriod),"◇","")),IF(AND(CY$5&lt;=$F179,CY$5+GanttPeriod-1&gt;=$E179),"━","")))</f>
        <v/>
      </c>
      <c r="CZ179" s="69" t="str">
        <f aca="false">IF($E179="","",IF($M179,IF(AND($G179&gt;=CZ$5,$G179&lt;CZ$5+GanttPeriod),"◆",IF(AND($E179&gt;=CZ$5,$E179&lt;CZ$5+GanttPeriod),"◇","")),IF(AND(CZ$5&lt;=$F179,CZ$5+GanttPeriod-1&gt;=$E179),"━","")))</f>
        <v/>
      </c>
      <c r="DA179" s="69" t="str">
        <f aca="false">IF($E179="","",IF($M179,IF(AND($G179&gt;=DA$5,$G179&lt;DA$5+GanttPeriod),"◆",IF(AND($E179&gt;=DA$5,$E179&lt;DA$5+GanttPeriod),"◇","")),IF(AND(DA$5&lt;=$F179,DA$5+GanttPeriod-1&gt;=$E179),"━","")))</f>
        <v/>
      </c>
      <c r="DB179" s="69" t="str">
        <f aca="false">IF($E179="","",IF($M179,IF(AND($G179&gt;=DB$5,$G179&lt;DB$5+GanttPeriod),"◆",IF(AND($E179&gt;=DB$5,$E179&lt;DB$5+GanttPeriod),"◇","")),IF(AND(DB$5&lt;=$F179,DB$5+GanttPeriod-1&gt;=$E179),"━","")))</f>
        <v/>
      </c>
      <c r="DC179" s="69" t="str">
        <f aca="false">IF($E179="","",IF($M179,IF(AND($G179&gt;=DC$5,$G179&lt;DC$5+GanttPeriod),"◆",IF(AND($E179&gt;=DC$5,$E179&lt;DC$5+GanttPeriod),"◇","")),IF(AND(DC$5&lt;=$F179,DC$5+GanttPeriod-1&gt;=$E179),"━","")))</f>
        <v/>
      </c>
      <c r="DD179" s="69" t="str">
        <f aca="false">IF($E179="","",IF($M179,IF(AND($G179&gt;=DD$5,$G179&lt;DD$5+GanttPeriod),"◆",IF(AND($E179&gt;=DD$5,$E179&lt;DD$5+GanttPeriod),"◇","")),IF(AND(DD$5&lt;=$F179,DD$5+GanttPeriod-1&gt;=$E179),"━","")))</f>
        <v/>
      </c>
      <c r="DE179" s="69" t="str">
        <f aca="false">IF($E179="","",IF($M179,IF(AND($G179&gt;=DE$5,$G179&lt;DE$5+GanttPeriod),"◆",IF(AND($E179&gt;=DE$5,$E179&lt;DE$5+GanttPeriod),"◇","")),IF(AND(DE$5&lt;=$F179,DE$5+GanttPeriod-1&gt;=$E179),"━","")))</f>
        <v/>
      </c>
      <c r="DF179" s="69" t="str">
        <f aca="false">IF($E179="","",IF($M179,IF(AND($G179&gt;=DF$5,$G179&lt;DF$5+GanttPeriod),"◆",IF(AND($E179&gt;=DF$5,$E179&lt;DF$5+GanttPeriod),"◇","")),IF(AND(DF$5&lt;=$F179,DF$5+GanttPeriod-1&gt;=$E179),"━","")))</f>
        <v/>
      </c>
      <c r="DG179" s="69" t="str">
        <f aca="false">IF($E179="","",IF($M179,IF(AND($G179&gt;=DG$5,$G179&lt;DG$5+GanttPeriod),"◆",IF(AND($E179&gt;=DG$5,$E179&lt;DG$5+GanttPeriod),"◇","")),IF(AND(DG$5&lt;=$F179,DG$5+GanttPeriod-1&gt;=$E179),"━","")))</f>
        <v/>
      </c>
      <c r="DH179" s="69" t="str">
        <f aca="false">IF($E179="","",IF($M179,IF(AND($G179&gt;=DH$5,$G179&lt;DH$5+GanttPeriod),"◆",IF(AND($E179&gt;=DH$5,$E179&lt;DH$5+GanttPeriod),"◇","")),IF(AND(DH$5&lt;=$F179,DH$5+GanttPeriod-1&gt;=$E179),"━","")))</f>
        <v/>
      </c>
      <c r="DI179" s="69" t="str">
        <f aca="false">IF($E179="","",IF($M179,IF(AND($G179&gt;=DI$5,$G179&lt;DI$5+GanttPeriod),"◆",IF(AND($E179&gt;=DI$5,$E179&lt;DI$5+GanttPeriod),"◇","")),IF(AND(DI$5&lt;=$F179,DI$5+GanttPeriod-1&gt;=$E179),"━","")))</f>
        <v/>
      </c>
      <c r="DJ179" s="69" t="str">
        <f aca="false">IF($E179="","",IF($M179,IF(AND($G179&gt;=DJ$5,$G179&lt;DJ$5+GanttPeriod),"◆",IF(AND($E179&gt;=DJ$5,$E179&lt;DJ$5+GanttPeriod),"◇","")),IF(AND(DJ$5&lt;=$F179,DJ$5+GanttPeriod-1&gt;=$E179),"━","")))</f>
        <v/>
      </c>
      <c r="DK179" s="69" t="str">
        <f aca="false">IF($E179="","",IF($M179,IF(AND($G179&gt;=DK$5,$G179&lt;DK$5+GanttPeriod),"◆",IF(AND($E179&gt;=DK$5,$E179&lt;DK$5+GanttPeriod),"◇","")),IF(AND(DK$5&lt;=$F179,DK$5+GanttPeriod-1&gt;=$E179),"━","")))</f>
        <v/>
      </c>
      <c r="DL179" s="69" t="str">
        <f aca="false">IF($E179="","",IF($M179,IF(AND($G179&gt;=DL$5,$G179&lt;DL$5+GanttPeriod),"◆",IF(AND($E179&gt;=DL$5,$E179&lt;DL$5+GanttPeriod),"◇","")),IF(AND(DL$5&lt;=$F179,DL$5+GanttPeriod-1&gt;=$E179),"━","")))</f>
        <v/>
      </c>
      <c r="DM179" s="69" t="str">
        <f aca="false">IF($E179="","",IF($M179,IF(AND($G179&gt;=DM$5,$G179&lt;DM$5+GanttPeriod),"◆",IF(AND($E179&gt;=DM$5,$E179&lt;DM$5+GanttPeriod),"◇","")),IF(AND(DM$5&lt;=$F179,DM$5+GanttPeriod-1&gt;=$E179),"━","")))</f>
        <v/>
      </c>
      <c r="DN179" s="69" t="str">
        <f aca="false">IF($E179="","",IF($M179,IF(AND($G179&gt;=DN$5,$G179&lt;DN$5+GanttPeriod),"◆",IF(AND($E179&gt;=DN$5,$E179&lt;DN$5+GanttPeriod),"◇","")),IF(AND(DN$5&lt;=$F179,DN$5+GanttPeriod-1&gt;=$E179),"━","")))</f>
        <v/>
      </c>
      <c r="DO179" s="69" t="str">
        <f aca="false">IF($E179="","",IF($M179,IF(AND($G179&gt;=DO$5,$G179&lt;DO$5+GanttPeriod),"◆",IF(AND($E179&gt;=DO$5,$E179&lt;DO$5+GanttPeriod),"◇","")),IF(AND(DO$5&lt;=$F179,DO$5+GanttPeriod-1&gt;=$E179),"━","")))</f>
        <v/>
      </c>
      <c r="DP179" s="69" t="str">
        <f aca="false">IF($E179="","",IF($M179,IF(AND($G179&gt;=DP$5,$G179&lt;DP$5+GanttPeriod),"◆",IF(AND($E179&gt;=DP$5,$E179&lt;DP$5+GanttPeriod),"◇","")),IF(AND(DP$5&lt;=$F179,DP$5+GanttPeriod-1&gt;=$E179),"━","")))</f>
        <v/>
      </c>
      <c r="DQ179" s="69" t="str">
        <f aca="false">IF($E179="","",IF($M179,IF(AND($G179&gt;=DQ$5,$G179&lt;DQ$5+GanttPeriod),"◆",IF(AND($E179&gt;=DQ$5,$E179&lt;DQ$5+GanttPeriod),"◇","")),IF(AND(DQ$5&lt;=$F179,DQ$5+GanttPeriod-1&gt;=$E179),"━","")))</f>
        <v/>
      </c>
      <c r="DR179" s="69" t="str">
        <f aca="false">IF($E179="","",IF($M179,IF(AND($G179&gt;=DR$5,$G179&lt;DR$5+GanttPeriod),"◆",IF(AND($E179&gt;=DR$5,$E179&lt;DR$5+GanttPeriod),"◇","")),IF(AND(DR$5&lt;=$F179,DR$5+GanttPeriod-1&gt;=$E179),"━","")))</f>
        <v/>
      </c>
      <c r="DS179" s="69" t="str">
        <f aca="false">IF($E179="","",IF($M179,IF(AND($G179&gt;=DS$5,$G179&lt;DS$5+GanttPeriod),"◆",IF(AND($E179&gt;=DS$5,$E179&lt;DS$5+GanttPeriod),"◇","")),IF(AND(DS$5&lt;=$F179,DS$5+GanttPeriod-1&gt;=$E179),"━","")))</f>
        <v/>
      </c>
      <c r="DT179" s="69" t="str">
        <f aca="false">IF($E179="","",IF($M179,IF(AND($G179&gt;=DT$5,$G179&lt;DT$5+GanttPeriod),"◆",IF(AND($E179&gt;=DT$5,$E179&lt;DT$5+GanttPeriod),"◇","")),IF(AND(DT$5&lt;=$F179,DT$5+GanttPeriod-1&gt;=$E179),"━","")))</f>
        <v/>
      </c>
      <c r="DU179" s="69" t="str">
        <f aca="false">IF($E179="","",IF($M179,IF(AND($G179&gt;=DU$5,$G179&lt;DU$5+GanttPeriod),"◆",IF(AND($E179&gt;=DU$5,$E179&lt;DU$5+GanttPeriod),"◇","")),IF(AND(DU$5&lt;=$F179,DU$5+GanttPeriod-1&gt;=$E179),"━","")))</f>
        <v/>
      </c>
      <c r="DV179" s="69" t="str">
        <f aca="false">IF($E179="","",IF($M179,IF(AND($G179&gt;=DV$5,$G179&lt;DV$5+GanttPeriod),"◆",IF(AND($E179&gt;=DV$5,$E179&lt;DV$5+GanttPeriod),"◇","")),IF(AND(DV$5&lt;=$F179,DV$5+GanttPeriod-1&gt;=$E179),"━","")))</f>
        <v/>
      </c>
      <c r="DW179" s="69" t="str">
        <f aca="false">IF($E179="","",IF($M179,IF(AND($G179&gt;=DW$5,$G179&lt;DW$5+GanttPeriod),"◆",IF(AND($E179&gt;=DW$5,$E179&lt;DW$5+GanttPeriod),"◇","")),IF(AND(DW$5&lt;=$F179,DW$5+GanttPeriod-1&gt;=$E179),"━","")))</f>
        <v/>
      </c>
      <c r="DX179" s="69" t="str">
        <f aca="false">IF($E179="","",IF($M179,IF(AND($G179&gt;=DX$5,$G179&lt;DX$5+GanttPeriod),"◆",IF(AND($E179&gt;=DX$5,$E179&lt;DX$5+GanttPeriod),"◇","")),IF(AND(DX$5&lt;=$F179,DX$5+GanttPeriod-1&gt;=$E179),"━","")))</f>
        <v/>
      </c>
      <c r="DY179" s="69" t="str">
        <f aca="false">IF($E179="","",IF($M179,IF(AND($G179&gt;=DY$5,$G179&lt;DY$5+GanttPeriod),"◆",IF(AND($E179&gt;=DY$5,$E179&lt;DY$5+GanttPeriod),"◇","")),IF(AND(DY$5&lt;=$F179,DY$5+GanttPeriod-1&gt;=$E179),"━","")))</f>
        <v/>
      </c>
      <c r="DZ179" s="69" t="str">
        <f aca="false">IF($E179="","",IF($M179,IF(AND($G179&gt;=DZ$5,$G179&lt;DZ$5+GanttPeriod),"◆",IF(AND($E179&gt;=DZ$5,$E179&lt;DZ$5+GanttPeriod),"◇","")),IF(AND(DZ$5&lt;=$F179,DZ$5+GanttPeriod-1&gt;=$E179),"━","")))</f>
        <v/>
      </c>
      <c r="EA179" s="69" t="str">
        <f aca="false">IF($E179="","",IF($M179,IF(AND($G179&gt;=EA$5,$G179&lt;EA$5+GanttPeriod),"◆",IF(AND($E179&gt;=EA$5,$E179&lt;EA$5+GanttPeriod),"◇","")),IF(AND(EA$5&lt;=$F179,EA$5+GanttPeriod-1&gt;=$E179),"━","")))</f>
        <v/>
      </c>
      <c r="EB179" s="69" t="str">
        <f aca="false">IF($E179="","",IF($M179,IF(AND($G179&gt;=EB$5,$G179&lt;EB$5+GanttPeriod),"◆",IF(AND($E179&gt;=EB$5,$E179&lt;EB$5+GanttPeriod),"◇","")),IF(AND(EB$5&lt;=$F179,EB$5+GanttPeriod-1&gt;=$E179),"━","")))</f>
        <v/>
      </c>
      <c r="EC179" s="69" t="str">
        <f aca="false">IF($E179="","",IF($M179,IF(AND($G179&gt;=EC$5,$G179&lt;EC$5+GanttPeriod),"◆",IF(AND($E179&gt;=EC$5,$E179&lt;EC$5+GanttPeriod),"◇","")),IF(AND(EC$5&lt;=$F179,EC$5+GanttPeriod-1&gt;=$E179),"━","")))</f>
        <v/>
      </c>
      <c r="ED179" s="69" t="str">
        <f aca="false">IF($E179="","",IF($M179,IF(AND($G179&gt;=ED$5,$G179&lt;ED$5+GanttPeriod),"◆",IF(AND($E179&gt;=ED$5,$E179&lt;ED$5+GanttPeriod),"◇","")),IF(AND(ED$5&lt;=$F179,ED$5+GanttPeriod-1&gt;=$E179),"━","")))</f>
        <v/>
      </c>
      <c r="EE179" s="69" t="str">
        <f aca="false">IF($E179="","",IF($M179,IF(AND($G179&gt;=EE$5,$G179&lt;EE$5+GanttPeriod),"◆",IF(AND($E179&gt;=EE$5,$E179&lt;EE$5+GanttPeriod),"◇","")),IF(AND(EE$5&lt;=$F179,EE$5+GanttPeriod-1&gt;=$E179),"━","")))</f>
        <v/>
      </c>
      <c r="EF179" s="69" t="str">
        <f aca="false">IF($E179="","",IF($M179,IF(AND($G179&gt;=EF$5,$G179&lt;EF$5+GanttPeriod),"◆",IF(AND($E179&gt;=EF$5,$E179&lt;EF$5+GanttPeriod),"◇","")),IF(AND(EF$5&lt;=$F179,EF$5+GanttPeriod-1&gt;=$E179),"━","")))</f>
        <v/>
      </c>
      <c r="EG179" s="69" t="str">
        <f aca="false">IF($E179="","",IF($M179,IF(AND($G179&gt;=EG$5,$G179&lt;EG$5+GanttPeriod),"◆",IF(AND($E179&gt;=EG$5,$E179&lt;EG$5+GanttPeriod),"◇","")),IF(AND(EG$5&lt;=$F179,EG$5+GanttPeriod-1&gt;=$E179),"━","")))</f>
        <v/>
      </c>
      <c r="EH179" s="69" t="str">
        <f aca="false">IF($E179="","",IF($M179,IF(AND($G179&gt;=EH$5,$G179&lt;EH$5+GanttPeriod),"◆",IF(AND($E179&gt;=EH$5,$E179&lt;EH$5+GanttPeriod),"◇","")),IF(AND(EH$5&lt;=$F179,EH$5+GanttPeriod-1&gt;=$E179),"━","")))</f>
        <v/>
      </c>
      <c r="EI179" s="69" t="str">
        <f aca="false">IF($E179="","",IF($M179,IF(AND($G179&gt;=EI$5,$G179&lt;EI$5+GanttPeriod),"◆",IF(AND($E179&gt;=EI$5,$E179&lt;EI$5+GanttPeriod),"◇","")),IF(AND(EI$5&lt;=$F179,EI$5+GanttPeriod-1&gt;=$E179),"━","")))</f>
        <v/>
      </c>
      <c r="EJ179" s="69" t="str">
        <f aca="false">IF($E179="","",IF($M179,IF(AND($G179&gt;=EJ$5,$G179&lt;EJ$5+GanttPeriod),"◆",IF(AND($E179&gt;=EJ$5,$E179&lt;EJ$5+GanttPeriod),"◇","")),IF(AND(EJ$5&lt;=$F179,EJ$5+GanttPeriod-1&gt;=$E179),"━","")))</f>
        <v/>
      </c>
      <c r="EK179" s="69" t="str">
        <f aca="false">IF($E179="","",IF($M179,IF(AND($G179&gt;=EK$5,$G179&lt;EK$5+GanttPeriod),"◆",IF(AND($E179&gt;=EK$5,$E179&lt;EK$5+GanttPeriod),"◇","")),IF(AND(EK$5&lt;=$F179,EK$5+GanttPeriod-1&gt;=$E179),"━","")))</f>
        <v/>
      </c>
      <c r="EL179" s="69" t="str">
        <f aca="false">IF($E179="","",IF($M179,IF(AND($G179&gt;=EL$5,$G179&lt;EL$5+GanttPeriod),"◆",IF(AND($E179&gt;=EL$5,$E179&lt;EL$5+GanttPeriod),"◇","")),IF(AND(EL$5&lt;=$F179,EL$5+GanttPeriod-1&gt;=$E179),"━","")))</f>
        <v/>
      </c>
      <c r="EM179" s="69" t="str">
        <f aca="false">IF($E179="","",IF($M179,IF(AND($G179&gt;=EM$5,$G179&lt;EM$5+GanttPeriod),"◆",IF(AND($E179&gt;=EM$5,$E179&lt;EM$5+GanttPeriod),"◇","")),IF(AND(EM$5&lt;=$F179,EM$5+GanttPeriod-1&gt;=$E179),"━","")))</f>
        <v/>
      </c>
      <c r="EN179" s="69" t="str">
        <f aca="false">IF($E179="","",IF($M179,IF(AND($G179&gt;=EN$5,$G179&lt;EN$5+GanttPeriod),"◆",IF(AND($E179&gt;=EN$5,$E179&lt;EN$5+GanttPeriod),"◇","")),IF(AND(EN$5&lt;=$F179,EN$5+GanttPeriod-1&gt;=$E179),"━","")))</f>
        <v/>
      </c>
      <c r="EO179" s="69" t="str">
        <f aca="false">IF($E179="","",IF($M179,IF(AND($G179&gt;=EO$5,$G179&lt;EO$5+GanttPeriod),"◆",IF(AND($E179&gt;=EO$5,$E179&lt;EO$5+GanttPeriod),"◇","")),IF(AND(EO$5&lt;=$F179,EO$5+GanttPeriod-1&gt;=$E179),"━","")))</f>
        <v/>
      </c>
      <c r="EP179" s="69" t="str">
        <f aca="false">IF($E179="","",IF($M179,IF(AND($G179&gt;=EP$5,$G179&lt;EP$5+GanttPeriod),"◆",IF(AND($E179&gt;=EP$5,$E179&lt;EP$5+GanttPeriod),"◇","")),IF(AND(EP$5&lt;=$F179,EP$5+GanttPeriod-1&gt;=$E179),"━","")))</f>
        <v/>
      </c>
      <c r="EQ179" s="69" t="str">
        <f aca="false">IF($E179="","",IF($M179,IF(AND($G179&gt;=EQ$5,$G179&lt;EQ$5+GanttPeriod),"◆",IF(AND($E179&gt;=EQ$5,$E179&lt;EQ$5+GanttPeriod),"◇","")),IF(AND(EQ$5&lt;=$F179,EQ$5+GanttPeriod-1&gt;=$E179),"━","")))</f>
        <v/>
      </c>
      <c r="ER179" s="69" t="str">
        <f aca="false">IF($E179="","",IF($M179,IF(AND($G179&gt;=ER$5,$G179&lt;ER$5+GanttPeriod),"◆",IF(AND($E179&gt;=ER$5,$E179&lt;ER$5+GanttPeriod),"◇","")),IF(AND(ER$5&lt;=$F179,ER$5+GanttPeriod-1&gt;=$E179),"━","")))</f>
        <v/>
      </c>
      <c r="ES179" s="69" t="str">
        <f aca="false">IF($E179="","",IF($M179,IF(AND($G179&gt;=ES$5,$G179&lt;ES$5+GanttPeriod),"◆",IF(AND($E179&gt;=ES$5,$E179&lt;ES$5+GanttPeriod),"◇","")),IF(AND(ES$5&lt;=$F179,ES$5+GanttPeriod-1&gt;=$E179),"━","")))</f>
        <v/>
      </c>
      <c r="ET179" s="69" t="str">
        <f aca="false">IF($E179="","",IF($M179,IF(AND($G179&gt;=ET$5,$G179&lt;ET$5+GanttPeriod),"◆",IF(AND($E179&gt;=ET$5,$E179&lt;ET$5+GanttPeriod),"◇","")),IF(AND(ET$5&lt;=$F179,ET$5+GanttPeriod-1&gt;=$E179),"━","")))</f>
        <v/>
      </c>
      <c r="EU179" s="69" t="str">
        <f aca="false">IF($E179="","",IF($M179,IF(AND($G179&gt;=EU$5,$G179&lt;EU$5+GanttPeriod),"◆",IF(AND($E179&gt;=EU$5,$E179&lt;EU$5+GanttPeriod),"◇","")),IF(AND(EU$5&lt;=$F179,EU$5+GanttPeriod-1&gt;=$E179),"━","")))</f>
        <v/>
      </c>
      <c r="EV179" s="69" t="str">
        <f aca="false">IF($E179="","",IF($M179,IF(AND($G179&gt;=EV$5,$G179&lt;EV$5+GanttPeriod),"◆",IF(AND($E179&gt;=EV$5,$E179&lt;EV$5+GanttPeriod),"◇","")),IF(AND(EV$5&lt;=$F179,EV$5+GanttPeriod-1&gt;=$E179),"━","")))</f>
        <v/>
      </c>
      <c r="EW179" s="69" t="str">
        <f aca="false">IF($E179="","",IF($M179,IF(AND($G179&gt;=EW$5,$G179&lt;EW$5+GanttPeriod),"◆",IF(AND($E179&gt;=EW$5,$E179&lt;EW$5+GanttPeriod),"◇","")),IF(AND(EW$5&lt;=$F179,EW$5+GanttPeriod-1&gt;=$E179),"━","")))</f>
        <v/>
      </c>
      <c r="EX179" s="69" t="str">
        <f aca="false">IF($E179="","",IF($M179,IF(AND($G179&gt;=EX$5,$G179&lt;EX$5+GanttPeriod),"◆",IF(AND($E179&gt;=EX$5,$E179&lt;EX$5+GanttPeriod),"◇","")),IF(AND(EX$5&lt;=$F179,EX$5+GanttPeriod-1&gt;=$E179),"━","")))</f>
        <v/>
      </c>
      <c r="EY179" s="69" t="str">
        <f aca="false">IF($E179="","",IF($M179,IF(AND($G179&gt;=EY$5,$G179&lt;EY$5+GanttPeriod),"◆",IF(AND($E179&gt;=EY$5,$E179&lt;EY$5+GanttPeriod),"◇","")),IF(AND(EY$5&lt;=$F179,EY$5+GanttPeriod-1&gt;=$E179),"━","")))</f>
        <v/>
      </c>
      <c r="EZ179" s="69" t="str">
        <f aca="false">IF($E179="","",IF($M179,IF(AND($G179&gt;=EZ$5,$G179&lt;EZ$5+GanttPeriod),"◆",IF(AND($E179&gt;=EZ$5,$E179&lt;EZ$5+GanttPeriod),"◇","")),IF(AND(EZ$5&lt;=$F179,EZ$5+GanttPeriod-1&gt;=$E179),"━","")))</f>
        <v/>
      </c>
      <c r="FA179" s="69" t="str">
        <f aca="false">IF($E179="","",IF($M179,IF(AND($G179&gt;=FA$5,$G179&lt;FA$5+GanttPeriod),"◆",IF(AND($E179&gt;=FA$5,$E179&lt;FA$5+GanttPeriod),"◇","")),IF(AND(FA$5&lt;=$F179,FA$5+GanttPeriod-1&gt;=$E179),"━","")))</f>
        <v/>
      </c>
      <c r="FB179" s="69" t="str">
        <f aca="false">IF($E179="","",IF($M179,IF(AND($G179&gt;=FB$5,$G179&lt;FB$5+GanttPeriod),"◆",IF(AND($E179&gt;=FB$5,$E179&lt;FB$5+GanttPeriod),"◇","")),IF(AND(FB$5&lt;=$F179,FB$5+GanttPeriod-1&gt;=$E179),"━","")))</f>
        <v/>
      </c>
      <c r="FC179" s="69" t="str">
        <f aca="false">IF($E179="","",IF($M179,IF(AND($G179&gt;=FC$5,$G179&lt;FC$5+GanttPeriod),"◆",IF(AND($E179&gt;=FC$5,$E179&lt;FC$5+GanttPeriod),"◇","")),IF(AND(FC$5&lt;=$F179,FC$5+GanttPeriod-1&gt;=$E179),"━","")))</f>
        <v/>
      </c>
      <c r="FD179" s="69" t="str">
        <f aca="false">IF($E179="","",IF($M179,IF(AND($G179&gt;=FD$5,$G179&lt;FD$5+GanttPeriod),"◆",IF(AND($E179&gt;=FD$5,$E179&lt;FD$5+GanttPeriod),"◇","")),IF(AND(FD$5&lt;=$F179,FD$5+GanttPeriod-1&gt;=$E179),"━","")))</f>
        <v/>
      </c>
      <c r="FE179" s="69" t="str">
        <f aca="false">IF($E179="","",IF($M179,IF(AND($G179&gt;=FE$5,$G179&lt;FE$5+GanttPeriod),"◆",IF(AND($E179&gt;=FE$5,$E179&lt;FE$5+GanttPeriod),"◇","")),IF(AND(FE$5&lt;=$F179,FE$5+GanttPeriod-1&gt;=$E179),"━","")))</f>
        <v/>
      </c>
      <c r="FF179" s="69" t="str">
        <f aca="false">IF($E179="","",IF($M179,IF(AND($G179&gt;=FF$5,$G179&lt;FF$5+GanttPeriod),"◆",IF(AND($E179&gt;=FF$5,$E179&lt;FF$5+GanttPeriod),"◇","")),IF(AND(FF$5&lt;=$F179,FF$5+GanttPeriod-1&gt;=$E179),"━","")))</f>
        <v/>
      </c>
      <c r="FG179" s="69" t="str">
        <f aca="false">IF($E179="","",IF($M179,IF(AND($G179&gt;=FG$5,$G179&lt;FG$5+GanttPeriod),"◆",IF(AND($E179&gt;=FG$5,$E179&lt;FG$5+GanttPeriod),"◇","")),IF(AND(FG$5&lt;=$F179,FG$5+GanttPeriod-1&gt;=$E179),"━","")))</f>
        <v/>
      </c>
      <c r="FH179" s="69" t="str">
        <f aca="false">IF($E179="","",IF($M179,IF(AND($G179&gt;=FH$5,$G179&lt;FH$5+GanttPeriod),"◆",IF(AND($E179&gt;=FH$5,$E179&lt;FH$5+GanttPeriod),"◇","")),IF(AND(FH$5&lt;=$F179,FH$5+GanttPeriod-1&gt;=$E179),"━","")))</f>
        <v/>
      </c>
      <c r="FI179" s="69" t="str">
        <f aca="false">IF($E179="","",IF($M179,IF(AND($G179&gt;=FI$5,$G179&lt;FI$5+GanttPeriod),"◆",IF(AND($E179&gt;=FI$5,$E179&lt;FI$5+GanttPeriod),"◇","")),IF(AND(FI$5&lt;=$F179,FI$5+GanttPeriod-1&gt;=$E179),"━","")))</f>
        <v/>
      </c>
      <c r="FJ179" s="69" t="str">
        <f aca="false">IF($E179="","",IF($M179,IF(AND($G179&gt;=FJ$5,$G179&lt;FJ$5+GanttPeriod),"◆",IF(AND($E179&gt;=FJ$5,$E179&lt;FJ$5+GanttPeriod),"◇","")),IF(AND(FJ$5&lt;=$F179,FJ$5+GanttPeriod-1&gt;=$E179),"━","")))</f>
        <v/>
      </c>
      <c r="FK179" s="69" t="str">
        <f aca="false">IF($E179="","",IF($M179,IF(AND($G179&gt;=FK$5,$G179&lt;FK$5+GanttPeriod),"◆",IF(AND($E179&gt;=FK$5,$E179&lt;FK$5+GanttPeriod),"◇","")),IF(AND(FK$5&lt;=$F179,FK$5+GanttPeriod-1&gt;=$E179),"━","")))</f>
        <v/>
      </c>
      <c r="FL179" s="69" t="str">
        <f aca="false">IF($E179="","",IF($M179,IF(AND($G179&gt;=FL$5,$G179&lt;FL$5+GanttPeriod),"◆",IF(AND($E179&gt;=FL$5,$E179&lt;FL$5+GanttPeriod),"◇","")),IF(AND(FL$5&lt;=$F179,FL$5+GanttPeriod-1&gt;=$E179),"━","")))</f>
        <v/>
      </c>
      <c r="FM179" s="69" t="str">
        <f aca="false">IF($E179="","",IF($M179,IF(AND($G179&gt;=FM$5,$G179&lt;FM$5+GanttPeriod),"◆",IF(AND($E179&gt;=FM$5,$E179&lt;FM$5+GanttPeriod),"◇","")),IF(AND(FM$5&lt;=$F179,FM$5+GanttPeriod-1&gt;=$E179),"━","")))</f>
        <v/>
      </c>
    </row>
    <row r="180" customFormat="false" ht="15" hidden="false" customHeight="false" outlineLevel="0" collapsed="false">
      <c r="A180" s="62" t="str">
        <f aca="false">IF(Tasks!$D180="","",Tasks!$A180)</f>
        <v/>
      </c>
      <c r="B180" s="62" t="str">
        <f aca="false">IF(Tasks!$D180="","",Tasks!$B180)</f>
        <v/>
      </c>
      <c r="C180" s="63" t="str">
        <f aca="false">IF(Tasks!$D180="","",REPT("    ",Tasks!$AE180-1)&amp;Tasks!$D180)</f>
        <v/>
      </c>
      <c r="D180" s="62" t="str">
        <f aca="false">IF(Tasks!$D180="","",IF(Tasks!$AI180,NETWORKDAYS.INTL(Tasks!$R180,Tasks!$S180,WorkWeek,Holidays),N(Tasks!$F180)))</f>
        <v/>
      </c>
      <c r="E180" s="64" t="str">
        <f aca="false">IF(Tasks!$D180="","",Tasks!$N180)</f>
        <v/>
      </c>
      <c r="F180" s="64" t="str">
        <f aca="false">IF(Tasks!$D180="","",Tasks!$O180)</f>
        <v/>
      </c>
      <c r="G180" s="64" t="str">
        <f aca="false">IF(Tasks!$D180="","",Tasks!$R180)</f>
        <v/>
      </c>
      <c r="H180" s="64" t="str">
        <f aca="false">IF(Tasks!$D180="","",Tasks!$S180)</f>
        <v/>
      </c>
      <c r="I180" s="65" t="str">
        <f aca="false">IF(Tasks!$D180="","",Tasks!$V180)</f>
        <v/>
      </c>
      <c r="J180" s="63" t="str">
        <f aca="false">IF(Tasks!$D180="","",Tasks!$X180&amp;"")</f>
        <v/>
      </c>
      <c r="K180" s="66" t="str">
        <f aca="false">IF(Tasks!$D180="","",Tasks!$W180)</f>
        <v/>
      </c>
      <c r="L180" s="67" t="b">
        <f aca="false">IF(Tasks!$D180="",FALSE(),Tasks!$AI180)</f>
        <v>0</v>
      </c>
      <c r="M180" s="67" t="b">
        <f aca="false">AND(Tasks!$AJ180=1,N(Tasks!$F180)=0)</f>
        <v>0</v>
      </c>
      <c r="N180" s="68" t="n">
        <f aca="false">IF(AND(Tasks!$AJ180=1,NOT($M180),N($I180)&gt;0),$G180,0)</f>
        <v>0</v>
      </c>
      <c r="O180" s="68" t="n">
        <f aca="false">IF($N180=0,0,IF($I180&gt;=1,$H180,MAX($N180,$G180+ROUND(($H180-$G180+1)*$I180,0)-1)))</f>
        <v>0</v>
      </c>
      <c r="P180" s="68" t="n">
        <f aca="false">IF(OR(Tasks!$AJ180&lt;&gt;1,$M180,N($I180)&gt;=1),0,IF($O180&gt;0,$O180+1,$G180))</f>
        <v>0</v>
      </c>
      <c r="Q180" s="68" t="n">
        <f aca="false">IF($P180=0,0,$H180)</f>
        <v>0</v>
      </c>
      <c r="R180" s="67" t="b">
        <f aca="false">AND(Tasks!$D180&lt;&gt;"",N(Tasks!$T180)&gt;0)</f>
        <v>0</v>
      </c>
      <c r="T180" s="69" t="str">
        <f aca="false">IF($E180="","",IF($M180,IF(AND($G180&gt;=T$5,$G180&lt;T$5+GanttPeriod),"◆",IF(AND($E180&gt;=T$5,$E180&lt;T$5+GanttPeriod),"◇","")),IF(AND(T$5&lt;=$F180,T$5+GanttPeriod-1&gt;=$E180),"━","")))</f>
        <v/>
      </c>
      <c r="U180" s="69" t="str">
        <f aca="false">IF($E180="","",IF($M180,IF(AND($G180&gt;=U$5,$G180&lt;U$5+GanttPeriod),"◆",IF(AND($E180&gt;=U$5,$E180&lt;U$5+GanttPeriod),"◇","")),IF(AND(U$5&lt;=$F180,U$5+GanttPeriod-1&gt;=$E180),"━","")))</f>
        <v/>
      </c>
      <c r="V180" s="69" t="str">
        <f aca="false">IF($E180="","",IF($M180,IF(AND($G180&gt;=V$5,$G180&lt;V$5+GanttPeriod),"◆",IF(AND($E180&gt;=V$5,$E180&lt;V$5+GanttPeriod),"◇","")),IF(AND(V$5&lt;=$F180,V$5+GanttPeriod-1&gt;=$E180),"━","")))</f>
        <v/>
      </c>
      <c r="W180" s="69" t="str">
        <f aca="false">IF($E180="","",IF($M180,IF(AND($G180&gt;=W$5,$G180&lt;W$5+GanttPeriod),"◆",IF(AND($E180&gt;=W$5,$E180&lt;W$5+GanttPeriod),"◇","")),IF(AND(W$5&lt;=$F180,W$5+GanttPeriod-1&gt;=$E180),"━","")))</f>
        <v/>
      </c>
      <c r="X180" s="69" t="str">
        <f aca="false">IF($E180="","",IF($M180,IF(AND($G180&gt;=X$5,$G180&lt;X$5+GanttPeriod),"◆",IF(AND($E180&gt;=X$5,$E180&lt;X$5+GanttPeriod),"◇","")),IF(AND(X$5&lt;=$F180,X$5+GanttPeriod-1&gt;=$E180),"━","")))</f>
        <v/>
      </c>
      <c r="Y180" s="69" t="str">
        <f aca="false">IF($E180="","",IF($M180,IF(AND($G180&gt;=Y$5,$G180&lt;Y$5+GanttPeriod),"◆",IF(AND($E180&gt;=Y$5,$E180&lt;Y$5+GanttPeriod),"◇","")),IF(AND(Y$5&lt;=$F180,Y$5+GanttPeriod-1&gt;=$E180),"━","")))</f>
        <v/>
      </c>
      <c r="Z180" s="69" t="str">
        <f aca="false">IF($E180="","",IF($M180,IF(AND($G180&gt;=Z$5,$G180&lt;Z$5+GanttPeriod),"◆",IF(AND($E180&gt;=Z$5,$E180&lt;Z$5+GanttPeriod),"◇","")),IF(AND(Z$5&lt;=$F180,Z$5+GanttPeriod-1&gt;=$E180),"━","")))</f>
        <v/>
      </c>
      <c r="AA180" s="69" t="str">
        <f aca="false">IF($E180="","",IF($M180,IF(AND($G180&gt;=AA$5,$G180&lt;AA$5+GanttPeriod),"◆",IF(AND($E180&gt;=AA$5,$E180&lt;AA$5+GanttPeriod),"◇","")),IF(AND(AA$5&lt;=$F180,AA$5+GanttPeriod-1&gt;=$E180),"━","")))</f>
        <v/>
      </c>
      <c r="AB180" s="69" t="str">
        <f aca="false">IF($E180="","",IF($M180,IF(AND($G180&gt;=AB$5,$G180&lt;AB$5+GanttPeriod),"◆",IF(AND($E180&gt;=AB$5,$E180&lt;AB$5+GanttPeriod),"◇","")),IF(AND(AB$5&lt;=$F180,AB$5+GanttPeriod-1&gt;=$E180),"━","")))</f>
        <v/>
      </c>
      <c r="AC180" s="69" t="str">
        <f aca="false">IF($E180="","",IF($M180,IF(AND($G180&gt;=AC$5,$G180&lt;AC$5+GanttPeriod),"◆",IF(AND($E180&gt;=AC$5,$E180&lt;AC$5+GanttPeriod),"◇","")),IF(AND(AC$5&lt;=$F180,AC$5+GanttPeriod-1&gt;=$E180),"━","")))</f>
        <v/>
      </c>
      <c r="AD180" s="69" t="str">
        <f aca="false">IF($E180="","",IF($M180,IF(AND($G180&gt;=AD$5,$G180&lt;AD$5+GanttPeriod),"◆",IF(AND($E180&gt;=AD$5,$E180&lt;AD$5+GanttPeriod),"◇","")),IF(AND(AD$5&lt;=$F180,AD$5+GanttPeriod-1&gt;=$E180),"━","")))</f>
        <v/>
      </c>
      <c r="AE180" s="69" t="str">
        <f aca="false">IF($E180="","",IF($M180,IF(AND($G180&gt;=AE$5,$G180&lt;AE$5+GanttPeriod),"◆",IF(AND($E180&gt;=AE$5,$E180&lt;AE$5+GanttPeriod),"◇","")),IF(AND(AE$5&lt;=$F180,AE$5+GanttPeriod-1&gt;=$E180),"━","")))</f>
        <v/>
      </c>
      <c r="AF180" s="69" t="str">
        <f aca="false">IF($E180="","",IF($M180,IF(AND($G180&gt;=AF$5,$G180&lt;AF$5+GanttPeriod),"◆",IF(AND($E180&gt;=AF$5,$E180&lt;AF$5+GanttPeriod),"◇","")),IF(AND(AF$5&lt;=$F180,AF$5+GanttPeriod-1&gt;=$E180),"━","")))</f>
        <v/>
      </c>
      <c r="AG180" s="69" t="str">
        <f aca="false">IF($E180="","",IF($M180,IF(AND($G180&gt;=AG$5,$G180&lt;AG$5+GanttPeriod),"◆",IF(AND($E180&gt;=AG$5,$E180&lt;AG$5+GanttPeriod),"◇","")),IF(AND(AG$5&lt;=$F180,AG$5+GanttPeriod-1&gt;=$E180),"━","")))</f>
        <v/>
      </c>
      <c r="AH180" s="69" t="str">
        <f aca="false">IF($E180="","",IF($M180,IF(AND($G180&gt;=AH$5,$G180&lt;AH$5+GanttPeriod),"◆",IF(AND($E180&gt;=AH$5,$E180&lt;AH$5+GanttPeriod),"◇","")),IF(AND(AH$5&lt;=$F180,AH$5+GanttPeriod-1&gt;=$E180),"━","")))</f>
        <v/>
      </c>
      <c r="AI180" s="69" t="str">
        <f aca="false">IF($E180="","",IF($M180,IF(AND($G180&gt;=AI$5,$G180&lt;AI$5+GanttPeriod),"◆",IF(AND($E180&gt;=AI$5,$E180&lt;AI$5+GanttPeriod),"◇","")),IF(AND(AI$5&lt;=$F180,AI$5+GanttPeriod-1&gt;=$E180),"━","")))</f>
        <v/>
      </c>
      <c r="AJ180" s="69" t="str">
        <f aca="false">IF($E180="","",IF($M180,IF(AND($G180&gt;=AJ$5,$G180&lt;AJ$5+GanttPeriod),"◆",IF(AND($E180&gt;=AJ$5,$E180&lt;AJ$5+GanttPeriod),"◇","")),IF(AND(AJ$5&lt;=$F180,AJ$5+GanttPeriod-1&gt;=$E180),"━","")))</f>
        <v/>
      </c>
      <c r="AK180" s="69" t="str">
        <f aca="false">IF($E180="","",IF($M180,IF(AND($G180&gt;=AK$5,$G180&lt;AK$5+GanttPeriod),"◆",IF(AND($E180&gt;=AK$5,$E180&lt;AK$5+GanttPeriod),"◇","")),IF(AND(AK$5&lt;=$F180,AK$5+GanttPeriod-1&gt;=$E180),"━","")))</f>
        <v/>
      </c>
      <c r="AL180" s="69" t="str">
        <f aca="false">IF($E180="","",IF($M180,IF(AND($G180&gt;=AL$5,$G180&lt;AL$5+GanttPeriod),"◆",IF(AND($E180&gt;=AL$5,$E180&lt;AL$5+GanttPeriod),"◇","")),IF(AND(AL$5&lt;=$F180,AL$5+GanttPeriod-1&gt;=$E180),"━","")))</f>
        <v/>
      </c>
      <c r="AM180" s="69" t="str">
        <f aca="false">IF($E180="","",IF($M180,IF(AND($G180&gt;=AM$5,$G180&lt;AM$5+GanttPeriod),"◆",IF(AND($E180&gt;=AM$5,$E180&lt;AM$5+GanttPeriod),"◇","")),IF(AND(AM$5&lt;=$F180,AM$5+GanttPeriod-1&gt;=$E180),"━","")))</f>
        <v/>
      </c>
      <c r="AN180" s="69" t="str">
        <f aca="false">IF($E180="","",IF($M180,IF(AND($G180&gt;=AN$5,$G180&lt;AN$5+GanttPeriod),"◆",IF(AND($E180&gt;=AN$5,$E180&lt;AN$5+GanttPeriod),"◇","")),IF(AND(AN$5&lt;=$F180,AN$5+GanttPeriod-1&gt;=$E180),"━","")))</f>
        <v/>
      </c>
      <c r="AO180" s="69" t="str">
        <f aca="false">IF($E180="","",IF($M180,IF(AND($G180&gt;=AO$5,$G180&lt;AO$5+GanttPeriod),"◆",IF(AND($E180&gt;=AO$5,$E180&lt;AO$5+GanttPeriod),"◇","")),IF(AND(AO$5&lt;=$F180,AO$5+GanttPeriod-1&gt;=$E180),"━","")))</f>
        <v/>
      </c>
      <c r="AP180" s="69" t="str">
        <f aca="false">IF($E180="","",IF($M180,IF(AND($G180&gt;=AP$5,$G180&lt;AP$5+GanttPeriod),"◆",IF(AND($E180&gt;=AP$5,$E180&lt;AP$5+GanttPeriod),"◇","")),IF(AND(AP$5&lt;=$F180,AP$5+GanttPeriod-1&gt;=$E180),"━","")))</f>
        <v/>
      </c>
      <c r="AQ180" s="69" t="str">
        <f aca="false">IF($E180="","",IF($M180,IF(AND($G180&gt;=AQ$5,$G180&lt;AQ$5+GanttPeriod),"◆",IF(AND($E180&gt;=AQ$5,$E180&lt;AQ$5+GanttPeriod),"◇","")),IF(AND(AQ$5&lt;=$F180,AQ$5+GanttPeriod-1&gt;=$E180),"━","")))</f>
        <v/>
      </c>
      <c r="AR180" s="69" t="str">
        <f aca="false">IF($E180="","",IF($M180,IF(AND($G180&gt;=AR$5,$G180&lt;AR$5+GanttPeriod),"◆",IF(AND($E180&gt;=AR$5,$E180&lt;AR$5+GanttPeriod),"◇","")),IF(AND(AR$5&lt;=$F180,AR$5+GanttPeriod-1&gt;=$E180),"━","")))</f>
        <v/>
      </c>
      <c r="AS180" s="69" t="str">
        <f aca="false">IF($E180="","",IF($M180,IF(AND($G180&gt;=AS$5,$G180&lt;AS$5+GanttPeriod),"◆",IF(AND($E180&gt;=AS$5,$E180&lt;AS$5+GanttPeriod),"◇","")),IF(AND(AS$5&lt;=$F180,AS$5+GanttPeriod-1&gt;=$E180),"━","")))</f>
        <v/>
      </c>
      <c r="AT180" s="69" t="str">
        <f aca="false">IF($E180="","",IF($M180,IF(AND($G180&gt;=AT$5,$G180&lt;AT$5+GanttPeriod),"◆",IF(AND($E180&gt;=AT$5,$E180&lt;AT$5+GanttPeriod),"◇","")),IF(AND(AT$5&lt;=$F180,AT$5+GanttPeriod-1&gt;=$E180),"━","")))</f>
        <v/>
      </c>
      <c r="AU180" s="69" t="str">
        <f aca="false">IF($E180="","",IF($M180,IF(AND($G180&gt;=AU$5,$G180&lt;AU$5+GanttPeriod),"◆",IF(AND($E180&gt;=AU$5,$E180&lt;AU$5+GanttPeriod),"◇","")),IF(AND(AU$5&lt;=$F180,AU$5+GanttPeriod-1&gt;=$E180),"━","")))</f>
        <v/>
      </c>
      <c r="AV180" s="69" t="str">
        <f aca="false">IF($E180="","",IF($M180,IF(AND($G180&gt;=AV$5,$G180&lt;AV$5+GanttPeriod),"◆",IF(AND($E180&gt;=AV$5,$E180&lt;AV$5+GanttPeriod),"◇","")),IF(AND(AV$5&lt;=$F180,AV$5+GanttPeriod-1&gt;=$E180),"━","")))</f>
        <v/>
      </c>
      <c r="AW180" s="69" t="str">
        <f aca="false">IF($E180="","",IF($M180,IF(AND($G180&gt;=AW$5,$G180&lt;AW$5+GanttPeriod),"◆",IF(AND($E180&gt;=AW$5,$E180&lt;AW$5+GanttPeriod),"◇","")),IF(AND(AW$5&lt;=$F180,AW$5+GanttPeriod-1&gt;=$E180),"━","")))</f>
        <v/>
      </c>
      <c r="AX180" s="69" t="str">
        <f aca="false">IF($E180="","",IF($M180,IF(AND($G180&gt;=AX$5,$G180&lt;AX$5+GanttPeriod),"◆",IF(AND($E180&gt;=AX$5,$E180&lt;AX$5+GanttPeriod),"◇","")),IF(AND(AX$5&lt;=$F180,AX$5+GanttPeriod-1&gt;=$E180),"━","")))</f>
        <v/>
      </c>
      <c r="AY180" s="69" t="str">
        <f aca="false">IF($E180="","",IF($M180,IF(AND($G180&gt;=AY$5,$G180&lt;AY$5+GanttPeriod),"◆",IF(AND($E180&gt;=AY$5,$E180&lt;AY$5+GanttPeriod),"◇","")),IF(AND(AY$5&lt;=$F180,AY$5+GanttPeriod-1&gt;=$E180),"━","")))</f>
        <v/>
      </c>
      <c r="AZ180" s="69" t="str">
        <f aca="false">IF($E180="","",IF($M180,IF(AND($G180&gt;=AZ$5,$G180&lt;AZ$5+GanttPeriod),"◆",IF(AND($E180&gt;=AZ$5,$E180&lt;AZ$5+GanttPeriod),"◇","")),IF(AND(AZ$5&lt;=$F180,AZ$5+GanttPeriod-1&gt;=$E180),"━","")))</f>
        <v/>
      </c>
      <c r="BA180" s="69" t="str">
        <f aca="false">IF($E180="","",IF($M180,IF(AND($G180&gt;=BA$5,$G180&lt;BA$5+GanttPeriod),"◆",IF(AND($E180&gt;=BA$5,$E180&lt;BA$5+GanttPeriod),"◇","")),IF(AND(BA$5&lt;=$F180,BA$5+GanttPeriod-1&gt;=$E180),"━","")))</f>
        <v/>
      </c>
      <c r="BB180" s="69" t="str">
        <f aca="false">IF($E180="","",IF($M180,IF(AND($G180&gt;=BB$5,$G180&lt;BB$5+GanttPeriod),"◆",IF(AND($E180&gt;=BB$5,$E180&lt;BB$5+GanttPeriod),"◇","")),IF(AND(BB$5&lt;=$F180,BB$5+GanttPeriod-1&gt;=$E180),"━","")))</f>
        <v/>
      </c>
      <c r="BC180" s="69" t="str">
        <f aca="false">IF($E180="","",IF($M180,IF(AND($G180&gt;=BC$5,$G180&lt;BC$5+GanttPeriod),"◆",IF(AND($E180&gt;=BC$5,$E180&lt;BC$5+GanttPeriod),"◇","")),IF(AND(BC$5&lt;=$F180,BC$5+GanttPeriod-1&gt;=$E180),"━","")))</f>
        <v/>
      </c>
      <c r="BD180" s="69" t="str">
        <f aca="false">IF($E180="","",IF($M180,IF(AND($G180&gt;=BD$5,$G180&lt;BD$5+GanttPeriod),"◆",IF(AND($E180&gt;=BD$5,$E180&lt;BD$5+GanttPeriod),"◇","")),IF(AND(BD$5&lt;=$F180,BD$5+GanttPeriod-1&gt;=$E180),"━","")))</f>
        <v/>
      </c>
      <c r="BE180" s="69" t="str">
        <f aca="false">IF($E180="","",IF($M180,IF(AND($G180&gt;=BE$5,$G180&lt;BE$5+GanttPeriod),"◆",IF(AND($E180&gt;=BE$5,$E180&lt;BE$5+GanttPeriod),"◇","")),IF(AND(BE$5&lt;=$F180,BE$5+GanttPeriod-1&gt;=$E180),"━","")))</f>
        <v/>
      </c>
      <c r="BF180" s="69" t="str">
        <f aca="false">IF($E180="","",IF($M180,IF(AND($G180&gt;=BF$5,$G180&lt;BF$5+GanttPeriod),"◆",IF(AND($E180&gt;=BF$5,$E180&lt;BF$5+GanttPeriod),"◇","")),IF(AND(BF$5&lt;=$F180,BF$5+GanttPeriod-1&gt;=$E180),"━","")))</f>
        <v/>
      </c>
      <c r="BG180" s="69" t="str">
        <f aca="false">IF($E180="","",IF($M180,IF(AND($G180&gt;=BG$5,$G180&lt;BG$5+GanttPeriod),"◆",IF(AND($E180&gt;=BG$5,$E180&lt;BG$5+GanttPeriod),"◇","")),IF(AND(BG$5&lt;=$F180,BG$5+GanttPeriod-1&gt;=$E180),"━","")))</f>
        <v/>
      </c>
      <c r="BH180" s="69" t="str">
        <f aca="false">IF($E180="","",IF($M180,IF(AND($G180&gt;=BH$5,$G180&lt;BH$5+GanttPeriod),"◆",IF(AND($E180&gt;=BH$5,$E180&lt;BH$5+GanttPeriod),"◇","")),IF(AND(BH$5&lt;=$F180,BH$5+GanttPeriod-1&gt;=$E180),"━","")))</f>
        <v/>
      </c>
      <c r="BI180" s="69" t="str">
        <f aca="false">IF($E180="","",IF($M180,IF(AND($G180&gt;=BI$5,$G180&lt;BI$5+GanttPeriod),"◆",IF(AND($E180&gt;=BI$5,$E180&lt;BI$5+GanttPeriod),"◇","")),IF(AND(BI$5&lt;=$F180,BI$5+GanttPeriod-1&gt;=$E180),"━","")))</f>
        <v/>
      </c>
      <c r="BJ180" s="69" t="str">
        <f aca="false">IF($E180="","",IF($M180,IF(AND($G180&gt;=BJ$5,$G180&lt;BJ$5+GanttPeriod),"◆",IF(AND($E180&gt;=BJ$5,$E180&lt;BJ$5+GanttPeriod),"◇","")),IF(AND(BJ$5&lt;=$F180,BJ$5+GanttPeriod-1&gt;=$E180),"━","")))</f>
        <v/>
      </c>
      <c r="BK180" s="69" t="str">
        <f aca="false">IF($E180="","",IF($M180,IF(AND($G180&gt;=BK$5,$G180&lt;BK$5+GanttPeriod),"◆",IF(AND($E180&gt;=BK$5,$E180&lt;BK$5+GanttPeriod),"◇","")),IF(AND(BK$5&lt;=$F180,BK$5+GanttPeriod-1&gt;=$E180),"━","")))</f>
        <v/>
      </c>
      <c r="BL180" s="69" t="str">
        <f aca="false">IF($E180="","",IF($M180,IF(AND($G180&gt;=BL$5,$G180&lt;BL$5+GanttPeriod),"◆",IF(AND($E180&gt;=BL$5,$E180&lt;BL$5+GanttPeriod),"◇","")),IF(AND(BL$5&lt;=$F180,BL$5+GanttPeriod-1&gt;=$E180),"━","")))</f>
        <v/>
      </c>
      <c r="BM180" s="69" t="str">
        <f aca="false">IF($E180="","",IF($M180,IF(AND($G180&gt;=BM$5,$G180&lt;BM$5+GanttPeriod),"◆",IF(AND($E180&gt;=BM$5,$E180&lt;BM$5+GanttPeriod),"◇","")),IF(AND(BM$5&lt;=$F180,BM$5+GanttPeriod-1&gt;=$E180),"━","")))</f>
        <v/>
      </c>
      <c r="BN180" s="69" t="str">
        <f aca="false">IF($E180="","",IF($M180,IF(AND($G180&gt;=BN$5,$G180&lt;BN$5+GanttPeriod),"◆",IF(AND($E180&gt;=BN$5,$E180&lt;BN$5+GanttPeriod),"◇","")),IF(AND(BN$5&lt;=$F180,BN$5+GanttPeriod-1&gt;=$E180),"━","")))</f>
        <v/>
      </c>
      <c r="BO180" s="69" t="str">
        <f aca="false">IF($E180="","",IF($M180,IF(AND($G180&gt;=BO$5,$G180&lt;BO$5+GanttPeriod),"◆",IF(AND($E180&gt;=BO$5,$E180&lt;BO$5+GanttPeriod),"◇","")),IF(AND(BO$5&lt;=$F180,BO$5+GanttPeriod-1&gt;=$E180),"━","")))</f>
        <v/>
      </c>
      <c r="BP180" s="69" t="str">
        <f aca="false">IF($E180="","",IF($M180,IF(AND($G180&gt;=BP$5,$G180&lt;BP$5+GanttPeriod),"◆",IF(AND($E180&gt;=BP$5,$E180&lt;BP$5+GanttPeriod),"◇","")),IF(AND(BP$5&lt;=$F180,BP$5+GanttPeriod-1&gt;=$E180),"━","")))</f>
        <v/>
      </c>
      <c r="BQ180" s="69" t="str">
        <f aca="false">IF($E180="","",IF($M180,IF(AND($G180&gt;=BQ$5,$G180&lt;BQ$5+GanttPeriod),"◆",IF(AND($E180&gt;=BQ$5,$E180&lt;BQ$5+GanttPeriod),"◇","")),IF(AND(BQ$5&lt;=$F180,BQ$5+GanttPeriod-1&gt;=$E180),"━","")))</f>
        <v/>
      </c>
      <c r="BR180" s="69" t="str">
        <f aca="false">IF($E180="","",IF($M180,IF(AND($G180&gt;=BR$5,$G180&lt;BR$5+GanttPeriod),"◆",IF(AND($E180&gt;=BR$5,$E180&lt;BR$5+GanttPeriod),"◇","")),IF(AND(BR$5&lt;=$F180,BR$5+GanttPeriod-1&gt;=$E180),"━","")))</f>
        <v/>
      </c>
      <c r="BS180" s="69" t="str">
        <f aca="false">IF($E180="","",IF($M180,IF(AND($G180&gt;=BS$5,$G180&lt;BS$5+GanttPeriod),"◆",IF(AND($E180&gt;=BS$5,$E180&lt;BS$5+GanttPeriod),"◇","")),IF(AND(BS$5&lt;=$F180,BS$5+GanttPeriod-1&gt;=$E180),"━","")))</f>
        <v/>
      </c>
      <c r="BT180" s="69" t="str">
        <f aca="false">IF($E180="","",IF($M180,IF(AND($G180&gt;=BT$5,$G180&lt;BT$5+GanttPeriod),"◆",IF(AND($E180&gt;=BT$5,$E180&lt;BT$5+GanttPeriod),"◇","")),IF(AND(BT$5&lt;=$F180,BT$5+GanttPeriod-1&gt;=$E180),"━","")))</f>
        <v/>
      </c>
      <c r="BU180" s="69" t="str">
        <f aca="false">IF($E180="","",IF($M180,IF(AND($G180&gt;=BU$5,$G180&lt;BU$5+GanttPeriod),"◆",IF(AND($E180&gt;=BU$5,$E180&lt;BU$5+GanttPeriod),"◇","")),IF(AND(BU$5&lt;=$F180,BU$5+GanttPeriod-1&gt;=$E180),"━","")))</f>
        <v/>
      </c>
      <c r="BV180" s="69" t="str">
        <f aca="false">IF($E180="","",IF($M180,IF(AND($G180&gt;=BV$5,$G180&lt;BV$5+GanttPeriod),"◆",IF(AND($E180&gt;=BV$5,$E180&lt;BV$5+GanttPeriod),"◇","")),IF(AND(BV$5&lt;=$F180,BV$5+GanttPeriod-1&gt;=$E180),"━","")))</f>
        <v/>
      </c>
      <c r="BW180" s="69" t="str">
        <f aca="false">IF($E180="","",IF($M180,IF(AND($G180&gt;=BW$5,$G180&lt;BW$5+GanttPeriod),"◆",IF(AND($E180&gt;=BW$5,$E180&lt;BW$5+GanttPeriod),"◇","")),IF(AND(BW$5&lt;=$F180,BW$5+GanttPeriod-1&gt;=$E180),"━","")))</f>
        <v/>
      </c>
      <c r="BX180" s="69" t="str">
        <f aca="false">IF($E180="","",IF($M180,IF(AND($G180&gt;=BX$5,$G180&lt;BX$5+GanttPeriod),"◆",IF(AND($E180&gt;=BX$5,$E180&lt;BX$5+GanttPeriod),"◇","")),IF(AND(BX$5&lt;=$F180,BX$5+GanttPeriod-1&gt;=$E180),"━","")))</f>
        <v/>
      </c>
      <c r="BY180" s="69" t="str">
        <f aca="false">IF($E180="","",IF($M180,IF(AND($G180&gt;=BY$5,$G180&lt;BY$5+GanttPeriod),"◆",IF(AND($E180&gt;=BY$5,$E180&lt;BY$5+GanttPeriod),"◇","")),IF(AND(BY$5&lt;=$F180,BY$5+GanttPeriod-1&gt;=$E180),"━","")))</f>
        <v/>
      </c>
      <c r="BZ180" s="69" t="str">
        <f aca="false">IF($E180="","",IF($M180,IF(AND($G180&gt;=BZ$5,$G180&lt;BZ$5+GanttPeriod),"◆",IF(AND($E180&gt;=BZ$5,$E180&lt;BZ$5+GanttPeriod),"◇","")),IF(AND(BZ$5&lt;=$F180,BZ$5+GanttPeriod-1&gt;=$E180),"━","")))</f>
        <v/>
      </c>
      <c r="CA180" s="69" t="str">
        <f aca="false">IF($E180="","",IF($M180,IF(AND($G180&gt;=CA$5,$G180&lt;CA$5+GanttPeriod),"◆",IF(AND($E180&gt;=CA$5,$E180&lt;CA$5+GanttPeriod),"◇","")),IF(AND(CA$5&lt;=$F180,CA$5+GanttPeriod-1&gt;=$E180),"━","")))</f>
        <v/>
      </c>
      <c r="CB180" s="69" t="str">
        <f aca="false">IF($E180="","",IF($M180,IF(AND($G180&gt;=CB$5,$G180&lt;CB$5+GanttPeriod),"◆",IF(AND($E180&gt;=CB$5,$E180&lt;CB$5+GanttPeriod),"◇","")),IF(AND(CB$5&lt;=$F180,CB$5+GanttPeriod-1&gt;=$E180),"━","")))</f>
        <v/>
      </c>
      <c r="CC180" s="69" t="str">
        <f aca="false">IF($E180="","",IF($M180,IF(AND($G180&gt;=CC$5,$G180&lt;CC$5+GanttPeriod),"◆",IF(AND($E180&gt;=CC$5,$E180&lt;CC$5+GanttPeriod),"◇","")),IF(AND(CC$5&lt;=$F180,CC$5+GanttPeriod-1&gt;=$E180),"━","")))</f>
        <v/>
      </c>
      <c r="CD180" s="69" t="str">
        <f aca="false">IF($E180="","",IF($M180,IF(AND($G180&gt;=CD$5,$G180&lt;CD$5+GanttPeriod),"◆",IF(AND($E180&gt;=CD$5,$E180&lt;CD$5+GanttPeriod),"◇","")),IF(AND(CD$5&lt;=$F180,CD$5+GanttPeriod-1&gt;=$E180),"━","")))</f>
        <v/>
      </c>
      <c r="CE180" s="69" t="str">
        <f aca="false">IF($E180="","",IF($M180,IF(AND($G180&gt;=CE$5,$G180&lt;CE$5+GanttPeriod),"◆",IF(AND($E180&gt;=CE$5,$E180&lt;CE$5+GanttPeriod),"◇","")),IF(AND(CE$5&lt;=$F180,CE$5+GanttPeriod-1&gt;=$E180),"━","")))</f>
        <v/>
      </c>
      <c r="CF180" s="69" t="str">
        <f aca="false">IF($E180="","",IF($M180,IF(AND($G180&gt;=CF$5,$G180&lt;CF$5+GanttPeriod),"◆",IF(AND($E180&gt;=CF$5,$E180&lt;CF$5+GanttPeriod),"◇","")),IF(AND(CF$5&lt;=$F180,CF$5+GanttPeriod-1&gt;=$E180),"━","")))</f>
        <v/>
      </c>
      <c r="CG180" s="69" t="str">
        <f aca="false">IF($E180="","",IF($M180,IF(AND($G180&gt;=CG$5,$G180&lt;CG$5+GanttPeriod),"◆",IF(AND($E180&gt;=CG$5,$E180&lt;CG$5+GanttPeriod),"◇","")),IF(AND(CG$5&lt;=$F180,CG$5+GanttPeriod-1&gt;=$E180),"━","")))</f>
        <v/>
      </c>
      <c r="CH180" s="69" t="str">
        <f aca="false">IF($E180="","",IF($M180,IF(AND($G180&gt;=CH$5,$G180&lt;CH$5+GanttPeriod),"◆",IF(AND($E180&gt;=CH$5,$E180&lt;CH$5+GanttPeriod),"◇","")),IF(AND(CH$5&lt;=$F180,CH$5+GanttPeriod-1&gt;=$E180),"━","")))</f>
        <v/>
      </c>
      <c r="CI180" s="69" t="str">
        <f aca="false">IF($E180="","",IF($M180,IF(AND($G180&gt;=CI$5,$G180&lt;CI$5+GanttPeriod),"◆",IF(AND($E180&gt;=CI$5,$E180&lt;CI$5+GanttPeriod),"◇","")),IF(AND(CI$5&lt;=$F180,CI$5+GanttPeriod-1&gt;=$E180),"━","")))</f>
        <v/>
      </c>
      <c r="CJ180" s="69" t="str">
        <f aca="false">IF($E180="","",IF($M180,IF(AND($G180&gt;=CJ$5,$G180&lt;CJ$5+GanttPeriod),"◆",IF(AND($E180&gt;=CJ$5,$E180&lt;CJ$5+GanttPeriod),"◇","")),IF(AND(CJ$5&lt;=$F180,CJ$5+GanttPeriod-1&gt;=$E180),"━","")))</f>
        <v/>
      </c>
      <c r="CK180" s="69" t="str">
        <f aca="false">IF($E180="","",IF($M180,IF(AND($G180&gt;=CK$5,$G180&lt;CK$5+GanttPeriod),"◆",IF(AND($E180&gt;=CK$5,$E180&lt;CK$5+GanttPeriod),"◇","")),IF(AND(CK$5&lt;=$F180,CK$5+GanttPeriod-1&gt;=$E180),"━","")))</f>
        <v/>
      </c>
      <c r="CL180" s="69" t="str">
        <f aca="false">IF($E180="","",IF($M180,IF(AND($G180&gt;=CL$5,$G180&lt;CL$5+GanttPeriod),"◆",IF(AND($E180&gt;=CL$5,$E180&lt;CL$5+GanttPeriod),"◇","")),IF(AND(CL$5&lt;=$F180,CL$5+GanttPeriod-1&gt;=$E180),"━","")))</f>
        <v/>
      </c>
      <c r="CM180" s="69" t="str">
        <f aca="false">IF($E180="","",IF($M180,IF(AND($G180&gt;=CM$5,$G180&lt;CM$5+GanttPeriod),"◆",IF(AND($E180&gt;=CM$5,$E180&lt;CM$5+GanttPeriod),"◇","")),IF(AND(CM$5&lt;=$F180,CM$5+GanttPeriod-1&gt;=$E180),"━","")))</f>
        <v/>
      </c>
      <c r="CN180" s="69" t="str">
        <f aca="false">IF($E180="","",IF($M180,IF(AND($G180&gt;=CN$5,$G180&lt;CN$5+GanttPeriod),"◆",IF(AND($E180&gt;=CN$5,$E180&lt;CN$5+GanttPeriod),"◇","")),IF(AND(CN$5&lt;=$F180,CN$5+GanttPeriod-1&gt;=$E180),"━","")))</f>
        <v/>
      </c>
      <c r="CO180" s="69" t="str">
        <f aca="false">IF($E180="","",IF($M180,IF(AND($G180&gt;=CO$5,$G180&lt;CO$5+GanttPeriod),"◆",IF(AND($E180&gt;=CO$5,$E180&lt;CO$5+GanttPeriod),"◇","")),IF(AND(CO$5&lt;=$F180,CO$5+GanttPeriod-1&gt;=$E180),"━","")))</f>
        <v/>
      </c>
      <c r="CP180" s="69" t="str">
        <f aca="false">IF($E180="","",IF($M180,IF(AND($G180&gt;=CP$5,$G180&lt;CP$5+GanttPeriod),"◆",IF(AND($E180&gt;=CP$5,$E180&lt;CP$5+GanttPeriod),"◇","")),IF(AND(CP$5&lt;=$F180,CP$5+GanttPeriod-1&gt;=$E180),"━","")))</f>
        <v/>
      </c>
      <c r="CQ180" s="69" t="str">
        <f aca="false">IF($E180="","",IF($M180,IF(AND($G180&gt;=CQ$5,$G180&lt;CQ$5+GanttPeriod),"◆",IF(AND($E180&gt;=CQ$5,$E180&lt;CQ$5+GanttPeriod),"◇","")),IF(AND(CQ$5&lt;=$F180,CQ$5+GanttPeriod-1&gt;=$E180),"━","")))</f>
        <v/>
      </c>
      <c r="CR180" s="69" t="str">
        <f aca="false">IF($E180="","",IF($M180,IF(AND($G180&gt;=CR$5,$G180&lt;CR$5+GanttPeriod),"◆",IF(AND($E180&gt;=CR$5,$E180&lt;CR$5+GanttPeriod),"◇","")),IF(AND(CR$5&lt;=$F180,CR$5+GanttPeriod-1&gt;=$E180),"━","")))</f>
        <v/>
      </c>
      <c r="CS180" s="69" t="str">
        <f aca="false">IF($E180="","",IF($M180,IF(AND($G180&gt;=CS$5,$G180&lt;CS$5+GanttPeriod),"◆",IF(AND($E180&gt;=CS$5,$E180&lt;CS$5+GanttPeriod),"◇","")),IF(AND(CS$5&lt;=$F180,CS$5+GanttPeriod-1&gt;=$E180),"━","")))</f>
        <v/>
      </c>
      <c r="CT180" s="69" t="str">
        <f aca="false">IF($E180="","",IF($M180,IF(AND($G180&gt;=CT$5,$G180&lt;CT$5+GanttPeriod),"◆",IF(AND($E180&gt;=CT$5,$E180&lt;CT$5+GanttPeriod),"◇","")),IF(AND(CT$5&lt;=$F180,CT$5+GanttPeriod-1&gt;=$E180),"━","")))</f>
        <v/>
      </c>
      <c r="CU180" s="69" t="str">
        <f aca="false">IF($E180="","",IF($M180,IF(AND($G180&gt;=CU$5,$G180&lt;CU$5+GanttPeriod),"◆",IF(AND($E180&gt;=CU$5,$E180&lt;CU$5+GanttPeriod),"◇","")),IF(AND(CU$5&lt;=$F180,CU$5+GanttPeriod-1&gt;=$E180),"━","")))</f>
        <v/>
      </c>
      <c r="CV180" s="69" t="str">
        <f aca="false">IF($E180="","",IF($M180,IF(AND($G180&gt;=CV$5,$G180&lt;CV$5+GanttPeriod),"◆",IF(AND($E180&gt;=CV$5,$E180&lt;CV$5+GanttPeriod),"◇","")),IF(AND(CV$5&lt;=$F180,CV$5+GanttPeriod-1&gt;=$E180),"━","")))</f>
        <v/>
      </c>
      <c r="CW180" s="69" t="str">
        <f aca="false">IF($E180="","",IF($M180,IF(AND($G180&gt;=CW$5,$G180&lt;CW$5+GanttPeriod),"◆",IF(AND($E180&gt;=CW$5,$E180&lt;CW$5+GanttPeriod),"◇","")),IF(AND(CW$5&lt;=$F180,CW$5+GanttPeriod-1&gt;=$E180),"━","")))</f>
        <v/>
      </c>
      <c r="CX180" s="69" t="str">
        <f aca="false">IF($E180="","",IF($M180,IF(AND($G180&gt;=CX$5,$G180&lt;CX$5+GanttPeriod),"◆",IF(AND($E180&gt;=CX$5,$E180&lt;CX$5+GanttPeriod),"◇","")),IF(AND(CX$5&lt;=$F180,CX$5+GanttPeriod-1&gt;=$E180),"━","")))</f>
        <v/>
      </c>
      <c r="CY180" s="69" t="str">
        <f aca="false">IF($E180="","",IF($M180,IF(AND($G180&gt;=CY$5,$G180&lt;CY$5+GanttPeriod),"◆",IF(AND($E180&gt;=CY$5,$E180&lt;CY$5+GanttPeriod),"◇","")),IF(AND(CY$5&lt;=$F180,CY$5+GanttPeriod-1&gt;=$E180),"━","")))</f>
        <v/>
      </c>
      <c r="CZ180" s="69" t="str">
        <f aca="false">IF($E180="","",IF($M180,IF(AND($G180&gt;=CZ$5,$G180&lt;CZ$5+GanttPeriod),"◆",IF(AND($E180&gt;=CZ$5,$E180&lt;CZ$5+GanttPeriod),"◇","")),IF(AND(CZ$5&lt;=$F180,CZ$5+GanttPeriod-1&gt;=$E180),"━","")))</f>
        <v/>
      </c>
      <c r="DA180" s="69" t="str">
        <f aca="false">IF($E180="","",IF($M180,IF(AND($G180&gt;=DA$5,$G180&lt;DA$5+GanttPeriod),"◆",IF(AND($E180&gt;=DA$5,$E180&lt;DA$5+GanttPeriod),"◇","")),IF(AND(DA$5&lt;=$F180,DA$5+GanttPeriod-1&gt;=$E180),"━","")))</f>
        <v/>
      </c>
      <c r="DB180" s="69" t="str">
        <f aca="false">IF($E180="","",IF($M180,IF(AND($G180&gt;=DB$5,$G180&lt;DB$5+GanttPeriod),"◆",IF(AND($E180&gt;=DB$5,$E180&lt;DB$5+GanttPeriod),"◇","")),IF(AND(DB$5&lt;=$F180,DB$5+GanttPeriod-1&gt;=$E180),"━","")))</f>
        <v/>
      </c>
      <c r="DC180" s="69" t="str">
        <f aca="false">IF($E180="","",IF($M180,IF(AND($G180&gt;=DC$5,$G180&lt;DC$5+GanttPeriod),"◆",IF(AND($E180&gt;=DC$5,$E180&lt;DC$5+GanttPeriod),"◇","")),IF(AND(DC$5&lt;=$F180,DC$5+GanttPeriod-1&gt;=$E180),"━","")))</f>
        <v/>
      </c>
      <c r="DD180" s="69" t="str">
        <f aca="false">IF($E180="","",IF($M180,IF(AND($G180&gt;=DD$5,$G180&lt;DD$5+GanttPeriod),"◆",IF(AND($E180&gt;=DD$5,$E180&lt;DD$5+GanttPeriod),"◇","")),IF(AND(DD$5&lt;=$F180,DD$5+GanttPeriod-1&gt;=$E180),"━","")))</f>
        <v/>
      </c>
      <c r="DE180" s="69" t="str">
        <f aca="false">IF($E180="","",IF($M180,IF(AND($G180&gt;=DE$5,$G180&lt;DE$5+GanttPeriod),"◆",IF(AND($E180&gt;=DE$5,$E180&lt;DE$5+GanttPeriod),"◇","")),IF(AND(DE$5&lt;=$F180,DE$5+GanttPeriod-1&gt;=$E180),"━","")))</f>
        <v/>
      </c>
      <c r="DF180" s="69" t="str">
        <f aca="false">IF($E180="","",IF($M180,IF(AND($G180&gt;=DF$5,$G180&lt;DF$5+GanttPeriod),"◆",IF(AND($E180&gt;=DF$5,$E180&lt;DF$5+GanttPeriod),"◇","")),IF(AND(DF$5&lt;=$F180,DF$5+GanttPeriod-1&gt;=$E180),"━","")))</f>
        <v/>
      </c>
      <c r="DG180" s="69" t="str">
        <f aca="false">IF($E180="","",IF($M180,IF(AND($G180&gt;=DG$5,$G180&lt;DG$5+GanttPeriod),"◆",IF(AND($E180&gt;=DG$5,$E180&lt;DG$5+GanttPeriod),"◇","")),IF(AND(DG$5&lt;=$F180,DG$5+GanttPeriod-1&gt;=$E180),"━","")))</f>
        <v/>
      </c>
      <c r="DH180" s="69" t="str">
        <f aca="false">IF($E180="","",IF($M180,IF(AND($G180&gt;=DH$5,$G180&lt;DH$5+GanttPeriod),"◆",IF(AND($E180&gt;=DH$5,$E180&lt;DH$5+GanttPeriod),"◇","")),IF(AND(DH$5&lt;=$F180,DH$5+GanttPeriod-1&gt;=$E180),"━","")))</f>
        <v/>
      </c>
      <c r="DI180" s="69" t="str">
        <f aca="false">IF($E180="","",IF($M180,IF(AND($G180&gt;=DI$5,$G180&lt;DI$5+GanttPeriod),"◆",IF(AND($E180&gt;=DI$5,$E180&lt;DI$5+GanttPeriod),"◇","")),IF(AND(DI$5&lt;=$F180,DI$5+GanttPeriod-1&gt;=$E180),"━","")))</f>
        <v/>
      </c>
      <c r="DJ180" s="69" t="str">
        <f aca="false">IF($E180="","",IF($M180,IF(AND($G180&gt;=DJ$5,$G180&lt;DJ$5+GanttPeriod),"◆",IF(AND($E180&gt;=DJ$5,$E180&lt;DJ$5+GanttPeriod),"◇","")),IF(AND(DJ$5&lt;=$F180,DJ$5+GanttPeriod-1&gt;=$E180),"━","")))</f>
        <v/>
      </c>
      <c r="DK180" s="69" t="str">
        <f aca="false">IF($E180="","",IF($M180,IF(AND($G180&gt;=DK$5,$G180&lt;DK$5+GanttPeriod),"◆",IF(AND($E180&gt;=DK$5,$E180&lt;DK$5+GanttPeriod),"◇","")),IF(AND(DK$5&lt;=$F180,DK$5+GanttPeriod-1&gt;=$E180),"━","")))</f>
        <v/>
      </c>
      <c r="DL180" s="69" t="str">
        <f aca="false">IF($E180="","",IF($M180,IF(AND($G180&gt;=DL$5,$G180&lt;DL$5+GanttPeriod),"◆",IF(AND($E180&gt;=DL$5,$E180&lt;DL$5+GanttPeriod),"◇","")),IF(AND(DL$5&lt;=$F180,DL$5+GanttPeriod-1&gt;=$E180),"━","")))</f>
        <v/>
      </c>
      <c r="DM180" s="69" t="str">
        <f aca="false">IF($E180="","",IF($M180,IF(AND($G180&gt;=DM$5,$G180&lt;DM$5+GanttPeriod),"◆",IF(AND($E180&gt;=DM$5,$E180&lt;DM$5+GanttPeriod),"◇","")),IF(AND(DM$5&lt;=$F180,DM$5+GanttPeriod-1&gt;=$E180),"━","")))</f>
        <v/>
      </c>
      <c r="DN180" s="69" t="str">
        <f aca="false">IF($E180="","",IF($M180,IF(AND($G180&gt;=DN$5,$G180&lt;DN$5+GanttPeriod),"◆",IF(AND($E180&gt;=DN$5,$E180&lt;DN$5+GanttPeriod),"◇","")),IF(AND(DN$5&lt;=$F180,DN$5+GanttPeriod-1&gt;=$E180),"━","")))</f>
        <v/>
      </c>
      <c r="DO180" s="69" t="str">
        <f aca="false">IF($E180="","",IF($M180,IF(AND($G180&gt;=DO$5,$G180&lt;DO$5+GanttPeriod),"◆",IF(AND($E180&gt;=DO$5,$E180&lt;DO$5+GanttPeriod),"◇","")),IF(AND(DO$5&lt;=$F180,DO$5+GanttPeriod-1&gt;=$E180),"━","")))</f>
        <v/>
      </c>
      <c r="DP180" s="69" t="str">
        <f aca="false">IF($E180="","",IF($M180,IF(AND($G180&gt;=DP$5,$G180&lt;DP$5+GanttPeriod),"◆",IF(AND($E180&gt;=DP$5,$E180&lt;DP$5+GanttPeriod),"◇","")),IF(AND(DP$5&lt;=$F180,DP$5+GanttPeriod-1&gt;=$E180),"━","")))</f>
        <v/>
      </c>
      <c r="DQ180" s="69" t="str">
        <f aca="false">IF($E180="","",IF($M180,IF(AND($G180&gt;=DQ$5,$G180&lt;DQ$5+GanttPeriod),"◆",IF(AND($E180&gt;=DQ$5,$E180&lt;DQ$5+GanttPeriod),"◇","")),IF(AND(DQ$5&lt;=$F180,DQ$5+GanttPeriod-1&gt;=$E180),"━","")))</f>
        <v/>
      </c>
      <c r="DR180" s="69" t="str">
        <f aca="false">IF($E180="","",IF($M180,IF(AND($G180&gt;=DR$5,$G180&lt;DR$5+GanttPeriod),"◆",IF(AND($E180&gt;=DR$5,$E180&lt;DR$5+GanttPeriod),"◇","")),IF(AND(DR$5&lt;=$F180,DR$5+GanttPeriod-1&gt;=$E180),"━","")))</f>
        <v/>
      </c>
      <c r="DS180" s="69" t="str">
        <f aca="false">IF($E180="","",IF($M180,IF(AND($G180&gt;=DS$5,$G180&lt;DS$5+GanttPeriod),"◆",IF(AND($E180&gt;=DS$5,$E180&lt;DS$5+GanttPeriod),"◇","")),IF(AND(DS$5&lt;=$F180,DS$5+GanttPeriod-1&gt;=$E180),"━","")))</f>
        <v/>
      </c>
      <c r="DT180" s="69" t="str">
        <f aca="false">IF($E180="","",IF($M180,IF(AND($G180&gt;=DT$5,$G180&lt;DT$5+GanttPeriod),"◆",IF(AND($E180&gt;=DT$5,$E180&lt;DT$5+GanttPeriod),"◇","")),IF(AND(DT$5&lt;=$F180,DT$5+GanttPeriod-1&gt;=$E180),"━","")))</f>
        <v/>
      </c>
      <c r="DU180" s="69" t="str">
        <f aca="false">IF($E180="","",IF($M180,IF(AND($G180&gt;=DU$5,$G180&lt;DU$5+GanttPeriod),"◆",IF(AND($E180&gt;=DU$5,$E180&lt;DU$5+GanttPeriod),"◇","")),IF(AND(DU$5&lt;=$F180,DU$5+GanttPeriod-1&gt;=$E180),"━","")))</f>
        <v/>
      </c>
      <c r="DV180" s="69" t="str">
        <f aca="false">IF($E180="","",IF($M180,IF(AND($G180&gt;=DV$5,$G180&lt;DV$5+GanttPeriod),"◆",IF(AND($E180&gt;=DV$5,$E180&lt;DV$5+GanttPeriod),"◇","")),IF(AND(DV$5&lt;=$F180,DV$5+GanttPeriod-1&gt;=$E180),"━","")))</f>
        <v/>
      </c>
      <c r="DW180" s="69" t="str">
        <f aca="false">IF($E180="","",IF($M180,IF(AND($G180&gt;=DW$5,$G180&lt;DW$5+GanttPeriod),"◆",IF(AND($E180&gt;=DW$5,$E180&lt;DW$5+GanttPeriod),"◇","")),IF(AND(DW$5&lt;=$F180,DW$5+GanttPeriod-1&gt;=$E180),"━","")))</f>
        <v/>
      </c>
      <c r="DX180" s="69" t="str">
        <f aca="false">IF($E180="","",IF($M180,IF(AND($G180&gt;=DX$5,$G180&lt;DX$5+GanttPeriod),"◆",IF(AND($E180&gt;=DX$5,$E180&lt;DX$5+GanttPeriod),"◇","")),IF(AND(DX$5&lt;=$F180,DX$5+GanttPeriod-1&gt;=$E180),"━","")))</f>
        <v/>
      </c>
      <c r="DY180" s="69" t="str">
        <f aca="false">IF($E180="","",IF($M180,IF(AND($G180&gt;=DY$5,$G180&lt;DY$5+GanttPeriod),"◆",IF(AND($E180&gt;=DY$5,$E180&lt;DY$5+GanttPeriod),"◇","")),IF(AND(DY$5&lt;=$F180,DY$5+GanttPeriod-1&gt;=$E180),"━","")))</f>
        <v/>
      </c>
      <c r="DZ180" s="69" t="str">
        <f aca="false">IF($E180="","",IF($M180,IF(AND($G180&gt;=DZ$5,$G180&lt;DZ$5+GanttPeriod),"◆",IF(AND($E180&gt;=DZ$5,$E180&lt;DZ$5+GanttPeriod),"◇","")),IF(AND(DZ$5&lt;=$F180,DZ$5+GanttPeriod-1&gt;=$E180),"━","")))</f>
        <v/>
      </c>
      <c r="EA180" s="69" t="str">
        <f aca="false">IF($E180="","",IF($M180,IF(AND($G180&gt;=EA$5,$G180&lt;EA$5+GanttPeriod),"◆",IF(AND($E180&gt;=EA$5,$E180&lt;EA$5+GanttPeriod),"◇","")),IF(AND(EA$5&lt;=$F180,EA$5+GanttPeriod-1&gt;=$E180),"━","")))</f>
        <v/>
      </c>
      <c r="EB180" s="69" t="str">
        <f aca="false">IF($E180="","",IF($M180,IF(AND($G180&gt;=EB$5,$G180&lt;EB$5+GanttPeriod),"◆",IF(AND($E180&gt;=EB$5,$E180&lt;EB$5+GanttPeriod),"◇","")),IF(AND(EB$5&lt;=$F180,EB$5+GanttPeriod-1&gt;=$E180),"━","")))</f>
        <v/>
      </c>
      <c r="EC180" s="69" t="str">
        <f aca="false">IF($E180="","",IF($M180,IF(AND($G180&gt;=EC$5,$G180&lt;EC$5+GanttPeriod),"◆",IF(AND($E180&gt;=EC$5,$E180&lt;EC$5+GanttPeriod),"◇","")),IF(AND(EC$5&lt;=$F180,EC$5+GanttPeriod-1&gt;=$E180),"━","")))</f>
        <v/>
      </c>
      <c r="ED180" s="69" t="str">
        <f aca="false">IF($E180="","",IF($M180,IF(AND($G180&gt;=ED$5,$G180&lt;ED$5+GanttPeriod),"◆",IF(AND($E180&gt;=ED$5,$E180&lt;ED$5+GanttPeriod),"◇","")),IF(AND(ED$5&lt;=$F180,ED$5+GanttPeriod-1&gt;=$E180),"━","")))</f>
        <v/>
      </c>
      <c r="EE180" s="69" t="str">
        <f aca="false">IF($E180="","",IF($M180,IF(AND($G180&gt;=EE$5,$G180&lt;EE$5+GanttPeriod),"◆",IF(AND($E180&gt;=EE$5,$E180&lt;EE$5+GanttPeriod),"◇","")),IF(AND(EE$5&lt;=$F180,EE$5+GanttPeriod-1&gt;=$E180),"━","")))</f>
        <v/>
      </c>
      <c r="EF180" s="69" t="str">
        <f aca="false">IF($E180="","",IF($M180,IF(AND($G180&gt;=EF$5,$G180&lt;EF$5+GanttPeriod),"◆",IF(AND($E180&gt;=EF$5,$E180&lt;EF$5+GanttPeriod),"◇","")),IF(AND(EF$5&lt;=$F180,EF$5+GanttPeriod-1&gt;=$E180),"━","")))</f>
        <v/>
      </c>
      <c r="EG180" s="69" t="str">
        <f aca="false">IF($E180="","",IF($M180,IF(AND($G180&gt;=EG$5,$G180&lt;EG$5+GanttPeriod),"◆",IF(AND($E180&gt;=EG$5,$E180&lt;EG$5+GanttPeriod),"◇","")),IF(AND(EG$5&lt;=$F180,EG$5+GanttPeriod-1&gt;=$E180),"━","")))</f>
        <v/>
      </c>
      <c r="EH180" s="69" t="str">
        <f aca="false">IF($E180="","",IF($M180,IF(AND($G180&gt;=EH$5,$G180&lt;EH$5+GanttPeriod),"◆",IF(AND($E180&gt;=EH$5,$E180&lt;EH$5+GanttPeriod),"◇","")),IF(AND(EH$5&lt;=$F180,EH$5+GanttPeriod-1&gt;=$E180),"━","")))</f>
        <v/>
      </c>
      <c r="EI180" s="69" t="str">
        <f aca="false">IF($E180="","",IF($M180,IF(AND($G180&gt;=EI$5,$G180&lt;EI$5+GanttPeriod),"◆",IF(AND($E180&gt;=EI$5,$E180&lt;EI$5+GanttPeriod),"◇","")),IF(AND(EI$5&lt;=$F180,EI$5+GanttPeriod-1&gt;=$E180),"━","")))</f>
        <v/>
      </c>
      <c r="EJ180" s="69" t="str">
        <f aca="false">IF($E180="","",IF($M180,IF(AND($G180&gt;=EJ$5,$G180&lt;EJ$5+GanttPeriod),"◆",IF(AND($E180&gt;=EJ$5,$E180&lt;EJ$5+GanttPeriod),"◇","")),IF(AND(EJ$5&lt;=$F180,EJ$5+GanttPeriod-1&gt;=$E180),"━","")))</f>
        <v/>
      </c>
      <c r="EK180" s="69" t="str">
        <f aca="false">IF($E180="","",IF($M180,IF(AND($G180&gt;=EK$5,$G180&lt;EK$5+GanttPeriod),"◆",IF(AND($E180&gt;=EK$5,$E180&lt;EK$5+GanttPeriod),"◇","")),IF(AND(EK$5&lt;=$F180,EK$5+GanttPeriod-1&gt;=$E180),"━","")))</f>
        <v/>
      </c>
      <c r="EL180" s="69" t="str">
        <f aca="false">IF($E180="","",IF($M180,IF(AND($G180&gt;=EL$5,$G180&lt;EL$5+GanttPeriod),"◆",IF(AND($E180&gt;=EL$5,$E180&lt;EL$5+GanttPeriod),"◇","")),IF(AND(EL$5&lt;=$F180,EL$5+GanttPeriod-1&gt;=$E180),"━","")))</f>
        <v/>
      </c>
      <c r="EM180" s="69" t="str">
        <f aca="false">IF($E180="","",IF($M180,IF(AND($G180&gt;=EM$5,$G180&lt;EM$5+GanttPeriod),"◆",IF(AND($E180&gt;=EM$5,$E180&lt;EM$5+GanttPeriod),"◇","")),IF(AND(EM$5&lt;=$F180,EM$5+GanttPeriod-1&gt;=$E180),"━","")))</f>
        <v/>
      </c>
      <c r="EN180" s="69" t="str">
        <f aca="false">IF($E180="","",IF($M180,IF(AND($G180&gt;=EN$5,$G180&lt;EN$5+GanttPeriod),"◆",IF(AND($E180&gt;=EN$5,$E180&lt;EN$5+GanttPeriod),"◇","")),IF(AND(EN$5&lt;=$F180,EN$5+GanttPeriod-1&gt;=$E180),"━","")))</f>
        <v/>
      </c>
      <c r="EO180" s="69" t="str">
        <f aca="false">IF($E180="","",IF($M180,IF(AND($G180&gt;=EO$5,$G180&lt;EO$5+GanttPeriod),"◆",IF(AND($E180&gt;=EO$5,$E180&lt;EO$5+GanttPeriod),"◇","")),IF(AND(EO$5&lt;=$F180,EO$5+GanttPeriod-1&gt;=$E180),"━","")))</f>
        <v/>
      </c>
      <c r="EP180" s="69" t="str">
        <f aca="false">IF($E180="","",IF($M180,IF(AND($G180&gt;=EP$5,$G180&lt;EP$5+GanttPeriod),"◆",IF(AND($E180&gt;=EP$5,$E180&lt;EP$5+GanttPeriod),"◇","")),IF(AND(EP$5&lt;=$F180,EP$5+GanttPeriod-1&gt;=$E180),"━","")))</f>
        <v/>
      </c>
      <c r="EQ180" s="69" t="str">
        <f aca="false">IF($E180="","",IF($M180,IF(AND($G180&gt;=EQ$5,$G180&lt;EQ$5+GanttPeriod),"◆",IF(AND($E180&gt;=EQ$5,$E180&lt;EQ$5+GanttPeriod),"◇","")),IF(AND(EQ$5&lt;=$F180,EQ$5+GanttPeriod-1&gt;=$E180),"━","")))</f>
        <v/>
      </c>
      <c r="ER180" s="69" t="str">
        <f aca="false">IF($E180="","",IF($M180,IF(AND($G180&gt;=ER$5,$G180&lt;ER$5+GanttPeriod),"◆",IF(AND($E180&gt;=ER$5,$E180&lt;ER$5+GanttPeriod),"◇","")),IF(AND(ER$5&lt;=$F180,ER$5+GanttPeriod-1&gt;=$E180),"━","")))</f>
        <v/>
      </c>
      <c r="ES180" s="69" t="str">
        <f aca="false">IF($E180="","",IF($M180,IF(AND($G180&gt;=ES$5,$G180&lt;ES$5+GanttPeriod),"◆",IF(AND($E180&gt;=ES$5,$E180&lt;ES$5+GanttPeriod),"◇","")),IF(AND(ES$5&lt;=$F180,ES$5+GanttPeriod-1&gt;=$E180),"━","")))</f>
        <v/>
      </c>
      <c r="ET180" s="69" t="str">
        <f aca="false">IF($E180="","",IF($M180,IF(AND($G180&gt;=ET$5,$G180&lt;ET$5+GanttPeriod),"◆",IF(AND($E180&gt;=ET$5,$E180&lt;ET$5+GanttPeriod),"◇","")),IF(AND(ET$5&lt;=$F180,ET$5+GanttPeriod-1&gt;=$E180),"━","")))</f>
        <v/>
      </c>
      <c r="EU180" s="69" t="str">
        <f aca="false">IF($E180="","",IF($M180,IF(AND($G180&gt;=EU$5,$G180&lt;EU$5+GanttPeriod),"◆",IF(AND($E180&gt;=EU$5,$E180&lt;EU$5+GanttPeriod),"◇","")),IF(AND(EU$5&lt;=$F180,EU$5+GanttPeriod-1&gt;=$E180),"━","")))</f>
        <v/>
      </c>
      <c r="EV180" s="69" t="str">
        <f aca="false">IF($E180="","",IF($M180,IF(AND($G180&gt;=EV$5,$G180&lt;EV$5+GanttPeriod),"◆",IF(AND($E180&gt;=EV$5,$E180&lt;EV$5+GanttPeriod),"◇","")),IF(AND(EV$5&lt;=$F180,EV$5+GanttPeriod-1&gt;=$E180),"━","")))</f>
        <v/>
      </c>
      <c r="EW180" s="69" t="str">
        <f aca="false">IF($E180="","",IF($M180,IF(AND($G180&gt;=EW$5,$G180&lt;EW$5+GanttPeriod),"◆",IF(AND($E180&gt;=EW$5,$E180&lt;EW$5+GanttPeriod),"◇","")),IF(AND(EW$5&lt;=$F180,EW$5+GanttPeriod-1&gt;=$E180),"━","")))</f>
        <v/>
      </c>
      <c r="EX180" s="69" t="str">
        <f aca="false">IF($E180="","",IF($M180,IF(AND($G180&gt;=EX$5,$G180&lt;EX$5+GanttPeriod),"◆",IF(AND($E180&gt;=EX$5,$E180&lt;EX$5+GanttPeriod),"◇","")),IF(AND(EX$5&lt;=$F180,EX$5+GanttPeriod-1&gt;=$E180),"━","")))</f>
        <v/>
      </c>
      <c r="EY180" s="69" t="str">
        <f aca="false">IF($E180="","",IF($M180,IF(AND($G180&gt;=EY$5,$G180&lt;EY$5+GanttPeriod),"◆",IF(AND($E180&gt;=EY$5,$E180&lt;EY$5+GanttPeriod),"◇","")),IF(AND(EY$5&lt;=$F180,EY$5+GanttPeriod-1&gt;=$E180),"━","")))</f>
        <v/>
      </c>
      <c r="EZ180" s="69" t="str">
        <f aca="false">IF($E180="","",IF($M180,IF(AND($G180&gt;=EZ$5,$G180&lt;EZ$5+GanttPeriod),"◆",IF(AND($E180&gt;=EZ$5,$E180&lt;EZ$5+GanttPeriod),"◇","")),IF(AND(EZ$5&lt;=$F180,EZ$5+GanttPeriod-1&gt;=$E180),"━","")))</f>
        <v/>
      </c>
      <c r="FA180" s="69" t="str">
        <f aca="false">IF($E180="","",IF($M180,IF(AND($G180&gt;=FA$5,$G180&lt;FA$5+GanttPeriod),"◆",IF(AND($E180&gt;=FA$5,$E180&lt;FA$5+GanttPeriod),"◇","")),IF(AND(FA$5&lt;=$F180,FA$5+GanttPeriod-1&gt;=$E180),"━","")))</f>
        <v/>
      </c>
      <c r="FB180" s="69" t="str">
        <f aca="false">IF($E180="","",IF($M180,IF(AND($G180&gt;=FB$5,$G180&lt;FB$5+GanttPeriod),"◆",IF(AND($E180&gt;=FB$5,$E180&lt;FB$5+GanttPeriod),"◇","")),IF(AND(FB$5&lt;=$F180,FB$5+GanttPeriod-1&gt;=$E180),"━","")))</f>
        <v/>
      </c>
      <c r="FC180" s="69" t="str">
        <f aca="false">IF($E180="","",IF($M180,IF(AND($G180&gt;=FC$5,$G180&lt;FC$5+GanttPeriod),"◆",IF(AND($E180&gt;=FC$5,$E180&lt;FC$5+GanttPeriod),"◇","")),IF(AND(FC$5&lt;=$F180,FC$5+GanttPeriod-1&gt;=$E180),"━","")))</f>
        <v/>
      </c>
      <c r="FD180" s="69" t="str">
        <f aca="false">IF($E180="","",IF($M180,IF(AND($G180&gt;=FD$5,$G180&lt;FD$5+GanttPeriod),"◆",IF(AND($E180&gt;=FD$5,$E180&lt;FD$5+GanttPeriod),"◇","")),IF(AND(FD$5&lt;=$F180,FD$5+GanttPeriod-1&gt;=$E180),"━","")))</f>
        <v/>
      </c>
      <c r="FE180" s="69" t="str">
        <f aca="false">IF($E180="","",IF($M180,IF(AND($G180&gt;=FE$5,$G180&lt;FE$5+GanttPeriod),"◆",IF(AND($E180&gt;=FE$5,$E180&lt;FE$5+GanttPeriod),"◇","")),IF(AND(FE$5&lt;=$F180,FE$5+GanttPeriod-1&gt;=$E180),"━","")))</f>
        <v/>
      </c>
      <c r="FF180" s="69" t="str">
        <f aca="false">IF($E180="","",IF($M180,IF(AND($G180&gt;=FF$5,$G180&lt;FF$5+GanttPeriod),"◆",IF(AND($E180&gt;=FF$5,$E180&lt;FF$5+GanttPeriod),"◇","")),IF(AND(FF$5&lt;=$F180,FF$5+GanttPeriod-1&gt;=$E180),"━","")))</f>
        <v/>
      </c>
      <c r="FG180" s="69" t="str">
        <f aca="false">IF($E180="","",IF($M180,IF(AND($G180&gt;=FG$5,$G180&lt;FG$5+GanttPeriod),"◆",IF(AND($E180&gt;=FG$5,$E180&lt;FG$5+GanttPeriod),"◇","")),IF(AND(FG$5&lt;=$F180,FG$5+GanttPeriod-1&gt;=$E180),"━","")))</f>
        <v/>
      </c>
      <c r="FH180" s="69" t="str">
        <f aca="false">IF($E180="","",IF($M180,IF(AND($G180&gt;=FH$5,$G180&lt;FH$5+GanttPeriod),"◆",IF(AND($E180&gt;=FH$5,$E180&lt;FH$5+GanttPeriod),"◇","")),IF(AND(FH$5&lt;=$F180,FH$5+GanttPeriod-1&gt;=$E180),"━","")))</f>
        <v/>
      </c>
      <c r="FI180" s="69" t="str">
        <f aca="false">IF($E180="","",IF($M180,IF(AND($G180&gt;=FI$5,$G180&lt;FI$5+GanttPeriod),"◆",IF(AND($E180&gt;=FI$5,$E180&lt;FI$5+GanttPeriod),"◇","")),IF(AND(FI$5&lt;=$F180,FI$5+GanttPeriod-1&gt;=$E180),"━","")))</f>
        <v/>
      </c>
      <c r="FJ180" s="69" t="str">
        <f aca="false">IF($E180="","",IF($M180,IF(AND($G180&gt;=FJ$5,$G180&lt;FJ$5+GanttPeriod),"◆",IF(AND($E180&gt;=FJ$5,$E180&lt;FJ$5+GanttPeriod),"◇","")),IF(AND(FJ$5&lt;=$F180,FJ$5+GanttPeriod-1&gt;=$E180),"━","")))</f>
        <v/>
      </c>
      <c r="FK180" s="69" t="str">
        <f aca="false">IF($E180="","",IF($M180,IF(AND($G180&gt;=FK$5,$G180&lt;FK$5+GanttPeriod),"◆",IF(AND($E180&gt;=FK$5,$E180&lt;FK$5+GanttPeriod),"◇","")),IF(AND(FK$5&lt;=$F180,FK$5+GanttPeriod-1&gt;=$E180),"━","")))</f>
        <v/>
      </c>
      <c r="FL180" s="69" t="str">
        <f aca="false">IF($E180="","",IF($M180,IF(AND($G180&gt;=FL$5,$G180&lt;FL$5+GanttPeriod),"◆",IF(AND($E180&gt;=FL$5,$E180&lt;FL$5+GanttPeriod),"◇","")),IF(AND(FL$5&lt;=$F180,FL$5+GanttPeriod-1&gt;=$E180),"━","")))</f>
        <v/>
      </c>
      <c r="FM180" s="69" t="str">
        <f aca="false">IF($E180="","",IF($M180,IF(AND($G180&gt;=FM$5,$G180&lt;FM$5+GanttPeriod),"◆",IF(AND($E180&gt;=FM$5,$E180&lt;FM$5+GanttPeriod),"◇","")),IF(AND(FM$5&lt;=$F180,FM$5+GanttPeriod-1&gt;=$E180),"━","")))</f>
        <v/>
      </c>
    </row>
    <row r="181" customFormat="false" ht="15" hidden="false" customHeight="false" outlineLevel="0" collapsed="false">
      <c r="A181" s="62" t="str">
        <f aca="false">IF(Tasks!$D181="","",Tasks!$A181)</f>
        <v/>
      </c>
      <c r="B181" s="62" t="str">
        <f aca="false">IF(Tasks!$D181="","",Tasks!$B181)</f>
        <v/>
      </c>
      <c r="C181" s="63" t="str">
        <f aca="false">IF(Tasks!$D181="","",REPT("    ",Tasks!$AE181-1)&amp;Tasks!$D181)</f>
        <v/>
      </c>
      <c r="D181" s="62" t="str">
        <f aca="false">IF(Tasks!$D181="","",IF(Tasks!$AI181,NETWORKDAYS.INTL(Tasks!$R181,Tasks!$S181,WorkWeek,Holidays),N(Tasks!$F181)))</f>
        <v/>
      </c>
      <c r="E181" s="64" t="str">
        <f aca="false">IF(Tasks!$D181="","",Tasks!$N181)</f>
        <v/>
      </c>
      <c r="F181" s="64" t="str">
        <f aca="false">IF(Tasks!$D181="","",Tasks!$O181)</f>
        <v/>
      </c>
      <c r="G181" s="64" t="str">
        <f aca="false">IF(Tasks!$D181="","",Tasks!$R181)</f>
        <v/>
      </c>
      <c r="H181" s="64" t="str">
        <f aca="false">IF(Tasks!$D181="","",Tasks!$S181)</f>
        <v/>
      </c>
      <c r="I181" s="65" t="str">
        <f aca="false">IF(Tasks!$D181="","",Tasks!$V181)</f>
        <v/>
      </c>
      <c r="J181" s="63" t="str">
        <f aca="false">IF(Tasks!$D181="","",Tasks!$X181&amp;"")</f>
        <v/>
      </c>
      <c r="K181" s="66" t="str">
        <f aca="false">IF(Tasks!$D181="","",Tasks!$W181)</f>
        <v/>
      </c>
      <c r="L181" s="67" t="b">
        <f aca="false">IF(Tasks!$D181="",FALSE(),Tasks!$AI181)</f>
        <v>0</v>
      </c>
      <c r="M181" s="67" t="b">
        <f aca="false">AND(Tasks!$AJ181=1,N(Tasks!$F181)=0)</f>
        <v>0</v>
      </c>
      <c r="N181" s="68" t="n">
        <f aca="false">IF(AND(Tasks!$AJ181=1,NOT($M181),N($I181)&gt;0),$G181,0)</f>
        <v>0</v>
      </c>
      <c r="O181" s="68" t="n">
        <f aca="false">IF($N181=0,0,IF($I181&gt;=1,$H181,MAX($N181,$G181+ROUND(($H181-$G181+1)*$I181,0)-1)))</f>
        <v>0</v>
      </c>
      <c r="P181" s="68" t="n">
        <f aca="false">IF(OR(Tasks!$AJ181&lt;&gt;1,$M181,N($I181)&gt;=1),0,IF($O181&gt;0,$O181+1,$G181))</f>
        <v>0</v>
      </c>
      <c r="Q181" s="68" t="n">
        <f aca="false">IF($P181=0,0,$H181)</f>
        <v>0</v>
      </c>
      <c r="R181" s="67" t="b">
        <f aca="false">AND(Tasks!$D181&lt;&gt;"",N(Tasks!$T181)&gt;0)</f>
        <v>0</v>
      </c>
      <c r="T181" s="69" t="str">
        <f aca="false">IF($E181="","",IF($M181,IF(AND($G181&gt;=T$5,$G181&lt;T$5+GanttPeriod),"◆",IF(AND($E181&gt;=T$5,$E181&lt;T$5+GanttPeriod),"◇","")),IF(AND(T$5&lt;=$F181,T$5+GanttPeriod-1&gt;=$E181),"━","")))</f>
        <v/>
      </c>
      <c r="U181" s="69" t="str">
        <f aca="false">IF($E181="","",IF($M181,IF(AND($G181&gt;=U$5,$G181&lt;U$5+GanttPeriod),"◆",IF(AND($E181&gt;=U$5,$E181&lt;U$5+GanttPeriod),"◇","")),IF(AND(U$5&lt;=$F181,U$5+GanttPeriod-1&gt;=$E181),"━","")))</f>
        <v/>
      </c>
      <c r="V181" s="69" t="str">
        <f aca="false">IF($E181="","",IF($M181,IF(AND($G181&gt;=V$5,$G181&lt;V$5+GanttPeriod),"◆",IF(AND($E181&gt;=V$5,$E181&lt;V$5+GanttPeriod),"◇","")),IF(AND(V$5&lt;=$F181,V$5+GanttPeriod-1&gt;=$E181),"━","")))</f>
        <v/>
      </c>
      <c r="W181" s="69" t="str">
        <f aca="false">IF($E181="","",IF($M181,IF(AND($G181&gt;=W$5,$G181&lt;W$5+GanttPeriod),"◆",IF(AND($E181&gt;=W$5,$E181&lt;W$5+GanttPeriod),"◇","")),IF(AND(W$5&lt;=$F181,W$5+GanttPeriod-1&gt;=$E181),"━","")))</f>
        <v/>
      </c>
      <c r="X181" s="69" t="str">
        <f aca="false">IF($E181="","",IF($M181,IF(AND($G181&gt;=X$5,$G181&lt;X$5+GanttPeriod),"◆",IF(AND($E181&gt;=X$5,$E181&lt;X$5+GanttPeriod),"◇","")),IF(AND(X$5&lt;=$F181,X$5+GanttPeriod-1&gt;=$E181),"━","")))</f>
        <v/>
      </c>
      <c r="Y181" s="69" t="str">
        <f aca="false">IF($E181="","",IF($M181,IF(AND($G181&gt;=Y$5,$G181&lt;Y$5+GanttPeriod),"◆",IF(AND($E181&gt;=Y$5,$E181&lt;Y$5+GanttPeriod),"◇","")),IF(AND(Y$5&lt;=$F181,Y$5+GanttPeriod-1&gt;=$E181),"━","")))</f>
        <v/>
      </c>
      <c r="Z181" s="69" t="str">
        <f aca="false">IF($E181="","",IF($M181,IF(AND($G181&gt;=Z$5,$G181&lt;Z$5+GanttPeriod),"◆",IF(AND($E181&gt;=Z$5,$E181&lt;Z$5+GanttPeriod),"◇","")),IF(AND(Z$5&lt;=$F181,Z$5+GanttPeriod-1&gt;=$E181),"━","")))</f>
        <v/>
      </c>
      <c r="AA181" s="69" t="str">
        <f aca="false">IF($E181="","",IF($M181,IF(AND($G181&gt;=AA$5,$G181&lt;AA$5+GanttPeriod),"◆",IF(AND($E181&gt;=AA$5,$E181&lt;AA$5+GanttPeriod),"◇","")),IF(AND(AA$5&lt;=$F181,AA$5+GanttPeriod-1&gt;=$E181),"━","")))</f>
        <v/>
      </c>
      <c r="AB181" s="69" t="str">
        <f aca="false">IF($E181="","",IF($M181,IF(AND($G181&gt;=AB$5,$G181&lt;AB$5+GanttPeriod),"◆",IF(AND($E181&gt;=AB$5,$E181&lt;AB$5+GanttPeriod),"◇","")),IF(AND(AB$5&lt;=$F181,AB$5+GanttPeriod-1&gt;=$E181),"━","")))</f>
        <v/>
      </c>
      <c r="AC181" s="69" t="str">
        <f aca="false">IF($E181="","",IF($M181,IF(AND($G181&gt;=AC$5,$G181&lt;AC$5+GanttPeriod),"◆",IF(AND($E181&gt;=AC$5,$E181&lt;AC$5+GanttPeriod),"◇","")),IF(AND(AC$5&lt;=$F181,AC$5+GanttPeriod-1&gt;=$E181),"━","")))</f>
        <v/>
      </c>
      <c r="AD181" s="69" t="str">
        <f aca="false">IF($E181="","",IF($M181,IF(AND($G181&gt;=AD$5,$G181&lt;AD$5+GanttPeriod),"◆",IF(AND($E181&gt;=AD$5,$E181&lt;AD$5+GanttPeriod),"◇","")),IF(AND(AD$5&lt;=$F181,AD$5+GanttPeriod-1&gt;=$E181),"━","")))</f>
        <v/>
      </c>
      <c r="AE181" s="69" t="str">
        <f aca="false">IF($E181="","",IF($M181,IF(AND($G181&gt;=AE$5,$G181&lt;AE$5+GanttPeriod),"◆",IF(AND($E181&gt;=AE$5,$E181&lt;AE$5+GanttPeriod),"◇","")),IF(AND(AE$5&lt;=$F181,AE$5+GanttPeriod-1&gt;=$E181),"━","")))</f>
        <v/>
      </c>
      <c r="AF181" s="69" t="str">
        <f aca="false">IF($E181="","",IF($M181,IF(AND($G181&gt;=AF$5,$G181&lt;AF$5+GanttPeriod),"◆",IF(AND($E181&gt;=AF$5,$E181&lt;AF$5+GanttPeriod),"◇","")),IF(AND(AF$5&lt;=$F181,AF$5+GanttPeriod-1&gt;=$E181),"━","")))</f>
        <v/>
      </c>
      <c r="AG181" s="69" t="str">
        <f aca="false">IF($E181="","",IF($M181,IF(AND($G181&gt;=AG$5,$G181&lt;AG$5+GanttPeriod),"◆",IF(AND($E181&gt;=AG$5,$E181&lt;AG$5+GanttPeriod),"◇","")),IF(AND(AG$5&lt;=$F181,AG$5+GanttPeriod-1&gt;=$E181),"━","")))</f>
        <v/>
      </c>
      <c r="AH181" s="69" t="str">
        <f aca="false">IF($E181="","",IF($M181,IF(AND($G181&gt;=AH$5,$G181&lt;AH$5+GanttPeriod),"◆",IF(AND($E181&gt;=AH$5,$E181&lt;AH$5+GanttPeriod),"◇","")),IF(AND(AH$5&lt;=$F181,AH$5+GanttPeriod-1&gt;=$E181),"━","")))</f>
        <v/>
      </c>
      <c r="AI181" s="69" t="str">
        <f aca="false">IF($E181="","",IF($M181,IF(AND($G181&gt;=AI$5,$G181&lt;AI$5+GanttPeriod),"◆",IF(AND($E181&gt;=AI$5,$E181&lt;AI$5+GanttPeriod),"◇","")),IF(AND(AI$5&lt;=$F181,AI$5+GanttPeriod-1&gt;=$E181),"━","")))</f>
        <v/>
      </c>
      <c r="AJ181" s="69" t="str">
        <f aca="false">IF($E181="","",IF($M181,IF(AND($G181&gt;=AJ$5,$G181&lt;AJ$5+GanttPeriod),"◆",IF(AND($E181&gt;=AJ$5,$E181&lt;AJ$5+GanttPeriod),"◇","")),IF(AND(AJ$5&lt;=$F181,AJ$5+GanttPeriod-1&gt;=$E181),"━","")))</f>
        <v/>
      </c>
      <c r="AK181" s="69" t="str">
        <f aca="false">IF($E181="","",IF($M181,IF(AND($G181&gt;=AK$5,$G181&lt;AK$5+GanttPeriod),"◆",IF(AND($E181&gt;=AK$5,$E181&lt;AK$5+GanttPeriod),"◇","")),IF(AND(AK$5&lt;=$F181,AK$5+GanttPeriod-1&gt;=$E181),"━","")))</f>
        <v/>
      </c>
      <c r="AL181" s="69" t="str">
        <f aca="false">IF($E181="","",IF($M181,IF(AND($G181&gt;=AL$5,$G181&lt;AL$5+GanttPeriod),"◆",IF(AND($E181&gt;=AL$5,$E181&lt;AL$5+GanttPeriod),"◇","")),IF(AND(AL$5&lt;=$F181,AL$5+GanttPeriod-1&gt;=$E181),"━","")))</f>
        <v/>
      </c>
      <c r="AM181" s="69" t="str">
        <f aca="false">IF($E181="","",IF($M181,IF(AND($G181&gt;=AM$5,$G181&lt;AM$5+GanttPeriod),"◆",IF(AND($E181&gt;=AM$5,$E181&lt;AM$5+GanttPeriod),"◇","")),IF(AND(AM$5&lt;=$F181,AM$5+GanttPeriod-1&gt;=$E181),"━","")))</f>
        <v/>
      </c>
      <c r="AN181" s="69" t="str">
        <f aca="false">IF($E181="","",IF($M181,IF(AND($G181&gt;=AN$5,$G181&lt;AN$5+GanttPeriod),"◆",IF(AND($E181&gt;=AN$5,$E181&lt;AN$5+GanttPeriod),"◇","")),IF(AND(AN$5&lt;=$F181,AN$5+GanttPeriod-1&gt;=$E181),"━","")))</f>
        <v/>
      </c>
      <c r="AO181" s="69" t="str">
        <f aca="false">IF($E181="","",IF($M181,IF(AND($G181&gt;=AO$5,$G181&lt;AO$5+GanttPeriod),"◆",IF(AND($E181&gt;=AO$5,$E181&lt;AO$5+GanttPeriod),"◇","")),IF(AND(AO$5&lt;=$F181,AO$5+GanttPeriod-1&gt;=$E181),"━","")))</f>
        <v/>
      </c>
      <c r="AP181" s="69" t="str">
        <f aca="false">IF($E181="","",IF($M181,IF(AND($G181&gt;=AP$5,$G181&lt;AP$5+GanttPeriod),"◆",IF(AND($E181&gt;=AP$5,$E181&lt;AP$5+GanttPeriod),"◇","")),IF(AND(AP$5&lt;=$F181,AP$5+GanttPeriod-1&gt;=$E181),"━","")))</f>
        <v/>
      </c>
      <c r="AQ181" s="69" t="str">
        <f aca="false">IF($E181="","",IF($M181,IF(AND($G181&gt;=AQ$5,$G181&lt;AQ$5+GanttPeriod),"◆",IF(AND($E181&gt;=AQ$5,$E181&lt;AQ$5+GanttPeriod),"◇","")),IF(AND(AQ$5&lt;=$F181,AQ$5+GanttPeriod-1&gt;=$E181),"━","")))</f>
        <v/>
      </c>
      <c r="AR181" s="69" t="str">
        <f aca="false">IF($E181="","",IF($M181,IF(AND($G181&gt;=AR$5,$G181&lt;AR$5+GanttPeriod),"◆",IF(AND($E181&gt;=AR$5,$E181&lt;AR$5+GanttPeriod),"◇","")),IF(AND(AR$5&lt;=$F181,AR$5+GanttPeriod-1&gt;=$E181),"━","")))</f>
        <v/>
      </c>
      <c r="AS181" s="69" t="str">
        <f aca="false">IF($E181="","",IF($M181,IF(AND($G181&gt;=AS$5,$G181&lt;AS$5+GanttPeriod),"◆",IF(AND($E181&gt;=AS$5,$E181&lt;AS$5+GanttPeriod),"◇","")),IF(AND(AS$5&lt;=$F181,AS$5+GanttPeriod-1&gt;=$E181),"━","")))</f>
        <v/>
      </c>
      <c r="AT181" s="69" t="str">
        <f aca="false">IF($E181="","",IF($M181,IF(AND($G181&gt;=AT$5,$G181&lt;AT$5+GanttPeriod),"◆",IF(AND($E181&gt;=AT$5,$E181&lt;AT$5+GanttPeriod),"◇","")),IF(AND(AT$5&lt;=$F181,AT$5+GanttPeriod-1&gt;=$E181),"━","")))</f>
        <v/>
      </c>
      <c r="AU181" s="69" t="str">
        <f aca="false">IF($E181="","",IF($M181,IF(AND($G181&gt;=AU$5,$G181&lt;AU$5+GanttPeriod),"◆",IF(AND($E181&gt;=AU$5,$E181&lt;AU$5+GanttPeriod),"◇","")),IF(AND(AU$5&lt;=$F181,AU$5+GanttPeriod-1&gt;=$E181),"━","")))</f>
        <v/>
      </c>
      <c r="AV181" s="69" t="str">
        <f aca="false">IF($E181="","",IF($M181,IF(AND($G181&gt;=AV$5,$G181&lt;AV$5+GanttPeriod),"◆",IF(AND($E181&gt;=AV$5,$E181&lt;AV$5+GanttPeriod),"◇","")),IF(AND(AV$5&lt;=$F181,AV$5+GanttPeriod-1&gt;=$E181),"━","")))</f>
        <v/>
      </c>
      <c r="AW181" s="69" t="str">
        <f aca="false">IF($E181="","",IF($M181,IF(AND($G181&gt;=AW$5,$G181&lt;AW$5+GanttPeriod),"◆",IF(AND($E181&gt;=AW$5,$E181&lt;AW$5+GanttPeriod),"◇","")),IF(AND(AW$5&lt;=$F181,AW$5+GanttPeriod-1&gt;=$E181),"━","")))</f>
        <v/>
      </c>
      <c r="AX181" s="69" t="str">
        <f aca="false">IF($E181="","",IF($M181,IF(AND($G181&gt;=AX$5,$G181&lt;AX$5+GanttPeriod),"◆",IF(AND($E181&gt;=AX$5,$E181&lt;AX$5+GanttPeriod),"◇","")),IF(AND(AX$5&lt;=$F181,AX$5+GanttPeriod-1&gt;=$E181),"━","")))</f>
        <v/>
      </c>
      <c r="AY181" s="69" t="str">
        <f aca="false">IF($E181="","",IF($M181,IF(AND($G181&gt;=AY$5,$G181&lt;AY$5+GanttPeriod),"◆",IF(AND($E181&gt;=AY$5,$E181&lt;AY$5+GanttPeriod),"◇","")),IF(AND(AY$5&lt;=$F181,AY$5+GanttPeriod-1&gt;=$E181),"━","")))</f>
        <v/>
      </c>
      <c r="AZ181" s="69" t="str">
        <f aca="false">IF($E181="","",IF($M181,IF(AND($G181&gt;=AZ$5,$G181&lt;AZ$5+GanttPeriod),"◆",IF(AND($E181&gt;=AZ$5,$E181&lt;AZ$5+GanttPeriod),"◇","")),IF(AND(AZ$5&lt;=$F181,AZ$5+GanttPeriod-1&gt;=$E181),"━","")))</f>
        <v/>
      </c>
      <c r="BA181" s="69" t="str">
        <f aca="false">IF($E181="","",IF($M181,IF(AND($G181&gt;=BA$5,$G181&lt;BA$5+GanttPeriod),"◆",IF(AND($E181&gt;=BA$5,$E181&lt;BA$5+GanttPeriod),"◇","")),IF(AND(BA$5&lt;=$F181,BA$5+GanttPeriod-1&gt;=$E181),"━","")))</f>
        <v/>
      </c>
      <c r="BB181" s="69" t="str">
        <f aca="false">IF($E181="","",IF($M181,IF(AND($G181&gt;=BB$5,$G181&lt;BB$5+GanttPeriod),"◆",IF(AND($E181&gt;=BB$5,$E181&lt;BB$5+GanttPeriod),"◇","")),IF(AND(BB$5&lt;=$F181,BB$5+GanttPeriod-1&gt;=$E181),"━","")))</f>
        <v/>
      </c>
      <c r="BC181" s="69" t="str">
        <f aca="false">IF($E181="","",IF($M181,IF(AND($G181&gt;=BC$5,$G181&lt;BC$5+GanttPeriod),"◆",IF(AND($E181&gt;=BC$5,$E181&lt;BC$5+GanttPeriod),"◇","")),IF(AND(BC$5&lt;=$F181,BC$5+GanttPeriod-1&gt;=$E181),"━","")))</f>
        <v/>
      </c>
      <c r="BD181" s="69" t="str">
        <f aca="false">IF($E181="","",IF($M181,IF(AND($G181&gt;=BD$5,$G181&lt;BD$5+GanttPeriod),"◆",IF(AND($E181&gt;=BD$5,$E181&lt;BD$5+GanttPeriod),"◇","")),IF(AND(BD$5&lt;=$F181,BD$5+GanttPeriod-1&gt;=$E181),"━","")))</f>
        <v/>
      </c>
      <c r="BE181" s="69" t="str">
        <f aca="false">IF($E181="","",IF($M181,IF(AND($G181&gt;=BE$5,$G181&lt;BE$5+GanttPeriod),"◆",IF(AND($E181&gt;=BE$5,$E181&lt;BE$5+GanttPeriod),"◇","")),IF(AND(BE$5&lt;=$F181,BE$5+GanttPeriod-1&gt;=$E181),"━","")))</f>
        <v/>
      </c>
      <c r="BF181" s="69" t="str">
        <f aca="false">IF($E181="","",IF($M181,IF(AND($G181&gt;=BF$5,$G181&lt;BF$5+GanttPeriod),"◆",IF(AND($E181&gt;=BF$5,$E181&lt;BF$5+GanttPeriod),"◇","")),IF(AND(BF$5&lt;=$F181,BF$5+GanttPeriod-1&gt;=$E181),"━","")))</f>
        <v/>
      </c>
      <c r="BG181" s="69" t="str">
        <f aca="false">IF($E181="","",IF($M181,IF(AND($G181&gt;=BG$5,$G181&lt;BG$5+GanttPeriod),"◆",IF(AND($E181&gt;=BG$5,$E181&lt;BG$5+GanttPeriod),"◇","")),IF(AND(BG$5&lt;=$F181,BG$5+GanttPeriod-1&gt;=$E181),"━","")))</f>
        <v/>
      </c>
      <c r="BH181" s="69" t="str">
        <f aca="false">IF($E181="","",IF($M181,IF(AND($G181&gt;=BH$5,$G181&lt;BH$5+GanttPeriod),"◆",IF(AND($E181&gt;=BH$5,$E181&lt;BH$5+GanttPeriod),"◇","")),IF(AND(BH$5&lt;=$F181,BH$5+GanttPeriod-1&gt;=$E181),"━","")))</f>
        <v/>
      </c>
      <c r="BI181" s="69" t="str">
        <f aca="false">IF($E181="","",IF($M181,IF(AND($G181&gt;=BI$5,$G181&lt;BI$5+GanttPeriod),"◆",IF(AND($E181&gt;=BI$5,$E181&lt;BI$5+GanttPeriod),"◇","")),IF(AND(BI$5&lt;=$F181,BI$5+GanttPeriod-1&gt;=$E181),"━","")))</f>
        <v/>
      </c>
      <c r="BJ181" s="69" t="str">
        <f aca="false">IF($E181="","",IF($M181,IF(AND($G181&gt;=BJ$5,$G181&lt;BJ$5+GanttPeriod),"◆",IF(AND($E181&gt;=BJ$5,$E181&lt;BJ$5+GanttPeriod),"◇","")),IF(AND(BJ$5&lt;=$F181,BJ$5+GanttPeriod-1&gt;=$E181),"━","")))</f>
        <v/>
      </c>
      <c r="BK181" s="69" t="str">
        <f aca="false">IF($E181="","",IF($M181,IF(AND($G181&gt;=BK$5,$G181&lt;BK$5+GanttPeriod),"◆",IF(AND($E181&gt;=BK$5,$E181&lt;BK$5+GanttPeriod),"◇","")),IF(AND(BK$5&lt;=$F181,BK$5+GanttPeriod-1&gt;=$E181),"━","")))</f>
        <v/>
      </c>
      <c r="BL181" s="69" t="str">
        <f aca="false">IF($E181="","",IF($M181,IF(AND($G181&gt;=BL$5,$G181&lt;BL$5+GanttPeriod),"◆",IF(AND($E181&gt;=BL$5,$E181&lt;BL$5+GanttPeriod),"◇","")),IF(AND(BL$5&lt;=$F181,BL$5+GanttPeriod-1&gt;=$E181),"━","")))</f>
        <v/>
      </c>
      <c r="BM181" s="69" t="str">
        <f aca="false">IF($E181="","",IF($M181,IF(AND($G181&gt;=BM$5,$G181&lt;BM$5+GanttPeriod),"◆",IF(AND($E181&gt;=BM$5,$E181&lt;BM$5+GanttPeriod),"◇","")),IF(AND(BM$5&lt;=$F181,BM$5+GanttPeriod-1&gt;=$E181),"━","")))</f>
        <v/>
      </c>
      <c r="BN181" s="69" t="str">
        <f aca="false">IF($E181="","",IF($M181,IF(AND($G181&gt;=BN$5,$G181&lt;BN$5+GanttPeriod),"◆",IF(AND($E181&gt;=BN$5,$E181&lt;BN$5+GanttPeriod),"◇","")),IF(AND(BN$5&lt;=$F181,BN$5+GanttPeriod-1&gt;=$E181),"━","")))</f>
        <v/>
      </c>
      <c r="BO181" s="69" t="str">
        <f aca="false">IF($E181="","",IF($M181,IF(AND($G181&gt;=BO$5,$G181&lt;BO$5+GanttPeriod),"◆",IF(AND($E181&gt;=BO$5,$E181&lt;BO$5+GanttPeriod),"◇","")),IF(AND(BO$5&lt;=$F181,BO$5+GanttPeriod-1&gt;=$E181),"━","")))</f>
        <v/>
      </c>
      <c r="BP181" s="69" t="str">
        <f aca="false">IF($E181="","",IF($M181,IF(AND($G181&gt;=BP$5,$G181&lt;BP$5+GanttPeriod),"◆",IF(AND($E181&gt;=BP$5,$E181&lt;BP$5+GanttPeriod),"◇","")),IF(AND(BP$5&lt;=$F181,BP$5+GanttPeriod-1&gt;=$E181),"━","")))</f>
        <v/>
      </c>
      <c r="BQ181" s="69" t="str">
        <f aca="false">IF($E181="","",IF($M181,IF(AND($G181&gt;=BQ$5,$G181&lt;BQ$5+GanttPeriod),"◆",IF(AND($E181&gt;=BQ$5,$E181&lt;BQ$5+GanttPeriod),"◇","")),IF(AND(BQ$5&lt;=$F181,BQ$5+GanttPeriod-1&gt;=$E181),"━","")))</f>
        <v/>
      </c>
      <c r="BR181" s="69" t="str">
        <f aca="false">IF($E181="","",IF($M181,IF(AND($G181&gt;=BR$5,$G181&lt;BR$5+GanttPeriod),"◆",IF(AND($E181&gt;=BR$5,$E181&lt;BR$5+GanttPeriod),"◇","")),IF(AND(BR$5&lt;=$F181,BR$5+GanttPeriod-1&gt;=$E181),"━","")))</f>
        <v/>
      </c>
      <c r="BS181" s="69" t="str">
        <f aca="false">IF($E181="","",IF($M181,IF(AND($G181&gt;=BS$5,$G181&lt;BS$5+GanttPeriod),"◆",IF(AND($E181&gt;=BS$5,$E181&lt;BS$5+GanttPeriod),"◇","")),IF(AND(BS$5&lt;=$F181,BS$5+GanttPeriod-1&gt;=$E181),"━","")))</f>
        <v/>
      </c>
      <c r="BT181" s="69" t="str">
        <f aca="false">IF($E181="","",IF($M181,IF(AND($G181&gt;=BT$5,$G181&lt;BT$5+GanttPeriod),"◆",IF(AND($E181&gt;=BT$5,$E181&lt;BT$5+GanttPeriod),"◇","")),IF(AND(BT$5&lt;=$F181,BT$5+GanttPeriod-1&gt;=$E181),"━","")))</f>
        <v/>
      </c>
      <c r="BU181" s="69" t="str">
        <f aca="false">IF($E181="","",IF($M181,IF(AND($G181&gt;=BU$5,$G181&lt;BU$5+GanttPeriod),"◆",IF(AND($E181&gt;=BU$5,$E181&lt;BU$5+GanttPeriod),"◇","")),IF(AND(BU$5&lt;=$F181,BU$5+GanttPeriod-1&gt;=$E181),"━","")))</f>
        <v/>
      </c>
      <c r="BV181" s="69" t="str">
        <f aca="false">IF($E181="","",IF($M181,IF(AND($G181&gt;=BV$5,$G181&lt;BV$5+GanttPeriod),"◆",IF(AND($E181&gt;=BV$5,$E181&lt;BV$5+GanttPeriod),"◇","")),IF(AND(BV$5&lt;=$F181,BV$5+GanttPeriod-1&gt;=$E181),"━","")))</f>
        <v/>
      </c>
      <c r="BW181" s="69" t="str">
        <f aca="false">IF($E181="","",IF($M181,IF(AND($G181&gt;=BW$5,$G181&lt;BW$5+GanttPeriod),"◆",IF(AND($E181&gt;=BW$5,$E181&lt;BW$5+GanttPeriod),"◇","")),IF(AND(BW$5&lt;=$F181,BW$5+GanttPeriod-1&gt;=$E181),"━","")))</f>
        <v/>
      </c>
      <c r="BX181" s="69" t="str">
        <f aca="false">IF($E181="","",IF($M181,IF(AND($G181&gt;=BX$5,$G181&lt;BX$5+GanttPeriod),"◆",IF(AND($E181&gt;=BX$5,$E181&lt;BX$5+GanttPeriod),"◇","")),IF(AND(BX$5&lt;=$F181,BX$5+GanttPeriod-1&gt;=$E181),"━","")))</f>
        <v/>
      </c>
      <c r="BY181" s="69" t="str">
        <f aca="false">IF($E181="","",IF($M181,IF(AND($G181&gt;=BY$5,$G181&lt;BY$5+GanttPeriod),"◆",IF(AND($E181&gt;=BY$5,$E181&lt;BY$5+GanttPeriod),"◇","")),IF(AND(BY$5&lt;=$F181,BY$5+GanttPeriod-1&gt;=$E181),"━","")))</f>
        <v/>
      </c>
      <c r="BZ181" s="69" t="str">
        <f aca="false">IF($E181="","",IF($M181,IF(AND($G181&gt;=BZ$5,$G181&lt;BZ$5+GanttPeriod),"◆",IF(AND($E181&gt;=BZ$5,$E181&lt;BZ$5+GanttPeriod),"◇","")),IF(AND(BZ$5&lt;=$F181,BZ$5+GanttPeriod-1&gt;=$E181),"━","")))</f>
        <v/>
      </c>
      <c r="CA181" s="69" t="str">
        <f aca="false">IF($E181="","",IF($M181,IF(AND($G181&gt;=CA$5,$G181&lt;CA$5+GanttPeriod),"◆",IF(AND($E181&gt;=CA$5,$E181&lt;CA$5+GanttPeriod),"◇","")),IF(AND(CA$5&lt;=$F181,CA$5+GanttPeriod-1&gt;=$E181),"━","")))</f>
        <v/>
      </c>
      <c r="CB181" s="69" t="str">
        <f aca="false">IF($E181="","",IF($M181,IF(AND($G181&gt;=CB$5,$G181&lt;CB$5+GanttPeriod),"◆",IF(AND($E181&gt;=CB$5,$E181&lt;CB$5+GanttPeriod),"◇","")),IF(AND(CB$5&lt;=$F181,CB$5+GanttPeriod-1&gt;=$E181),"━","")))</f>
        <v/>
      </c>
      <c r="CC181" s="69" t="str">
        <f aca="false">IF($E181="","",IF($M181,IF(AND($G181&gt;=CC$5,$G181&lt;CC$5+GanttPeriod),"◆",IF(AND($E181&gt;=CC$5,$E181&lt;CC$5+GanttPeriod),"◇","")),IF(AND(CC$5&lt;=$F181,CC$5+GanttPeriod-1&gt;=$E181),"━","")))</f>
        <v/>
      </c>
      <c r="CD181" s="69" t="str">
        <f aca="false">IF($E181="","",IF($M181,IF(AND($G181&gt;=CD$5,$G181&lt;CD$5+GanttPeriod),"◆",IF(AND($E181&gt;=CD$5,$E181&lt;CD$5+GanttPeriod),"◇","")),IF(AND(CD$5&lt;=$F181,CD$5+GanttPeriod-1&gt;=$E181),"━","")))</f>
        <v/>
      </c>
      <c r="CE181" s="69" t="str">
        <f aca="false">IF($E181="","",IF($M181,IF(AND($G181&gt;=CE$5,$G181&lt;CE$5+GanttPeriod),"◆",IF(AND($E181&gt;=CE$5,$E181&lt;CE$5+GanttPeriod),"◇","")),IF(AND(CE$5&lt;=$F181,CE$5+GanttPeriod-1&gt;=$E181),"━","")))</f>
        <v/>
      </c>
      <c r="CF181" s="69" t="str">
        <f aca="false">IF($E181="","",IF($M181,IF(AND($G181&gt;=CF$5,$G181&lt;CF$5+GanttPeriod),"◆",IF(AND($E181&gt;=CF$5,$E181&lt;CF$5+GanttPeriod),"◇","")),IF(AND(CF$5&lt;=$F181,CF$5+GanttPeriod-1&gt;=$E181),"━","")))</f>
        <v/>
      </c>
      <c r="CG181" s="69" t="str">
        <f aca="false">IF($E181="","",IF($M181,IF(AND($G181&gt;=CG$5,$G181&lt;CG$5+GanttPeriod),"◆",IF(AND($E181&gt;=CG$5,$E181&lt;CG$5+GanttPeriod),"◇","")),IF(AND(CG$5&lt;=$F181,CG$5+GanttPeriod-1&gt;=$E181),"━","")))</f>
        <v/>
      </c>
      <c r="CH181" s="69" t="str">
        <f aca="false">IF($E181="","",IF($M181,IF(AND($G181&gt;=CH$5,$G181&lt;CH$5+GanttPeriod),"◆",IF(AND($E181&gt;=CH$5,$E181&lt;CH$5+GanttPeriod),"◇","")),IF(AND(CH$5&lt;=$F181,CH$5+GanttPeriod-1&gt;=$E181),"━","")))</f>
        <v/>
      </c>
      <c r="CI181" s="69" t="str">
        <f aca="false">IF($E181="","",IF($M181,IF(AND($G181&gt;=CI$5,$G181&lt;CI$5+GanttPeriod),"◆",IF(AND($E181&gt;=CI$5,$E181&lt;CI$5+GanttPeriod),"◇","")),IF(AND(CI$5&lt;=$F181,CI$5+GanttPeriod-1&gt;=$E181),"━","")))</f>
        <v/>
      </c>
      <c r="CJ181" s="69" t="str">
        <f aca="false">IF($E181="","",IF($M181,IF(AND($G181&gt;=CJ$5,$G181&lt;CJ$5+GanttPeriod),"◆",IF(AND($E181&gt;=CJ$5,$E181&lt;CJ$5+GanttPeriod),"◇","")),IF(AND(CJ$5&lt;=$F181,CJ$5+GanttPeriod-1&gt;=$E181),"━","")))</f>
        <v/>
      </c>
      <c r="CK181" s="69" t="str">
        <f aca="false">IF($E181="","",IF($M181,IF(AND($G181&gt;=CK$5,$G181&lt;CK$5+GanttPeriod),"◆",IF(AND($E181&gt;=CK$5,$E181&lt;CK$5+GanttPeriod),"◇","")),IF(AND(CK$5&lt;=$F181,CK$5+GanttPeriod-1&gt;=$E181),"━","")))</f>
        <v/>
      </c>
      <c r="CL181" s="69" t="str">
        <f aca="false">IF($E181="","",IF($M181,IF(AND($G181&gt;=CL$5,$G181&lt;CL$5+GanttPeriod),"◆",IF(AND($E181&gt;=CL$5,$E181&lt;CL$5+GanttPeriod),"◇","")),IF(AND(CL$5&lt;=$F181,CL$5+GanttPeriod-1&gt;=$E181),"━","")))</f>
        <v/>
      </c>
      <c r="CM181" s="69" t="str">
        <f aca="false">IF($E181="","",IF($M181,IF(AND($G181&gt;=CM$5,$G181&lt;CM$5+GanttPeriod),"◆",IF(AND($E181&gt;=CM$5,$E181&lt;CM$5+GanttPeriod),"◇","")),IF(AND(CM$5&lt;=$F181,CM$5+GanttPeriod-1&gt;=$E181),"━","")))</f>
        <v/>
      </c>
      <c r="CN181" s="69" t="str">
        <f aca="false">IF($E181="","",IF($M181,IF(AND($G181&gt;=CN$5,$G181&lt;CN$5+GanttPeriod),"◆",IF(AND($E181&gt;=CN$5,$E181&lt;CN$5+GanttPeriod),"◇","")),IF(AND(CN$5&lt;=$F181,CN$5+GanttPeriod-1&gt;=$E181),"━","")))</f>
        <v/>
      </c>
      <c r="CO181" s="69" t="str">
        <f aca="false">IF($E181="","",IF($M181,IF(AND($G181&gt;=CO$5,$G181&lt;CO$5+GanttPeriod),"◆",IF(AND($E181&gt;=CO$5,$E181&lt;CO$5+GanttPeriod),"◇","")),IF(AND(CO$5&lt;=$F181,CO$5+GanttPeriod-1&gt;=$E181),"━","")))</f>
        <v/>
      </c>
      <c r="CP181" s="69" t="str">
        <f aca="false">IF($E181="","",IF($M181,IF(AND($G181&gt;=CP$5,$G181&lt;CP$5+GanttPeriod),"◆",IF(AND($E181&gt;=CP$5,$E181&lt;CP$5+GanttPeriod),"◇","")),IF(AND(CP$5&lt;=$F181,CP$5+GanttPeriod-1&gt;=$E181),"━","")))</f>
        <v/>
      </c>
      <c r="CQ181" s="69" t="str">
        <f aca="false">IF($E181="","",IF($M181,IF(AND($G181&gt;=CQ$5,$G181&lt;CQ$5+GanttPeriod),"◆",IF(AND($E181&gt;=CQ$5,$E181&lt;CQ$5+GanttPeriod),"◇","")),IF(AND(CQ$5&lt;=$F181,CQ$5+GanttPeriod-1&gt;=$E181),"━","")))</f>
        <v/>
      </c>
      <c r="CR181" s="69" t="str">
        <f aca="false">IF($E181="","",IF($M181,IF(AND($G181&gt;=CR$5,$G181&lt;CR$5+GanttPeriod),"◆",IF(AND($E181&gt;=CR$5,$E181&lt;CR$5+GanttPeriod),"◇","")),IF(AND(CR$5&lt;=$F181,CR$5+GanttPeriod-1&gt;=$E181),"━","")))</f>
        <v/>
      </c>
      <c r="CS181" s="69" t="str">
        <f aca="false">IF($E181="","",IF($M181,IF(AND($G181&gt;=CS$5,$G181&lt;CS$5+GanttPeriod),"◆",IF(AND($E181&gt;=CS$5,$E181&lt;CS$5+GanttPeriod),"◇","")),IF(AND(CS$5&lt;=$F181,CS$5+GanttPeriod-1&gt;=$E181),"━","")))</f>
        <v/>
      </c>
      <c r="CT181" s="69" t="str">
        <f aca="false">IF($E181="","",IF($M181,IF(AND($G181&gt;=CT$5,$G181&lt;CT$5+GanttPeriod),"◆",IF(AND($E181&gt;=CT$5,$E181&lt;CT$5+GanttPeriod),"◇","")),IF(AND(CT$5&lt;=$F181,CT$5+GanttPeriod-1&gt;=$E181),"━","")))</f>
        <v/>
      </c>
      <c r="CU181" s="69" t="str">
        <f aca="false">IF($E181="","",IF($M181,IF(AND($G181&gt;=CU$5,$G181&lt;CU$5+GanttPeriod),"◆",IF(AND($E181&gt;=CU$5,$E181&lt;CU$5+GanttPeriod),"◇","")),IF(AND(CU$5&lt;=$F181,CU$5+GanttPeriod-1&gt;=$E181),"━","")))</f>
        <v/>
      </c>
      <c r="CV181" s="69" t="str">
        <f aca="false">IF($E181="","",IF($M181,IF(AND($G181&gt;=CV$5,$G181&lt;CV$5+GanttPeriod),"◆",IF(AND($E181&gt;=CV$5,$E181&lt;CV$5+GanttPeriod),"◇","")),IF(AND(CV$5&lt;=$F181,CV$5+GanttPeriod-1&gt;=$E181),"━","")))</f>
        <v/>
      </c>
      <c r="CW181" s="69" t="str">
        <f aca="false">IF($E181="","",IF($M181,IF(AND($G181&gt;=CW$5,$G181&lt;CW$5+GanttPeriod),"◆",IF(AND($E181&gt;=CW$5,$E181&lt;CW$5+GanttPeriod),"◇","")),IF(AND(CW$5&lt;=$F181,CW$5+GanttPeriod-1&gt;=$E181),"━","")))</f>
        <v/>
      </c>
      <c r="CX181" s="69" t="str">
        <f aca="false">IF($E181="","",IF($M181,IF(AND($G181&gt;=CX$5,$G181&lt;CX$5+GanttPeriod),"◆",IF(AND($E181&gt;=CX$5,$E181&lt;CX$5+GanttPeriod),"◇","")),IF(AND(CX$5&lt;=$F181,CX$5+GanttPeriod-1&gt;=$E181),"━","")))</f>
        <v/>
      </c>
      <c r="CY181" s="69" t="str">
        <f aca="false">IF($E181="","",IF($M181,IF(AND($G181&gt;=CY$5,$G181&lt;CY$5+GanttPeriod),"◆",IF(AND($E181&gt;=CY$5,$E181&lt;CY$5+GanttPeriod),"◇","")),IF(AND(CY$5&lt;=$F181,CY$5+GanttPeriod-1&gt;=$E181),"━","")))</f>
        <v/>
      </c>
      <c r="CZ181" s="69" t="str">
        <f aca="false">IF($E181="","",IF($M181,IF(AND($G181&gt;=CZ$5,$G181&lt;CZ$5+GanttPeriod),"◆",IF(AND($E181&gt;=CZ$5,$E181&lt;CZ$5+GanttPeriod),"◇","")),IF(AND(CZ$5&lt;=$F181,CZ$5+GanttPeriod-1&gt;=$E181),"━","")))</f>
        <v/>
      </c>
      <c r="DA181" s="69" t="str">
        <f aca="false">IF($E181="","",IF($M181,IF(AND($G181&gt;=DA$5,$G181&lt;DA$5+GanttPeriod),"◆",IF(AND($E181&gt;=DA$5,$E181&lt;DA$5+GanttPeriod),"◇","")),IF(AND(DA$5&lt;=$F181,DA$5+GanttPeriod-1&gt;=$E181),"━","")))</f>
        <v/>
      </c>
      <c r="DB181" s="69" t="str">
        <f aca="false">IF($E181="","",IF($M181,IF(AND($G181&gt;=DB$5,$G181&lt;DB$5+GanttPeriod),"◆",IF(AND($E181&gt;=DB$5,$E181&lt;DB$5+GanttPeriod),"◇","")),IF(AND(DB$5&lt;=$F181,DB$5+GanttPeriod-1&gt;=$E181),"━","")))</f>
        <v/>
      </c>
      <c r="DC181" s="69" t="str">
        <f aca="false">IF($E181="","",IF($M181,IF(AND($G181&gt;=DC$5,$G181&lt;DC$5+GanttPeriod),"◆",IF(AND($E181&gt;=DC$5,$E181&lt;DC$5+GanttPeriod),"◇","")),IF(AND(DC$5&lt;=$F181,DC$5+GanttPeriod-1&gt;=$E181),"━","")))</f>
        <v/>
      </c>
      <c r="DD181" s="69" t="str">
        <f aca="false">IF($E181="","",IF($M181,IF(AND($G181&gt;=DD$5,$G181&lt;DD$5+GanttPeriod),"◆",IF(AND($E181&gt;=DD$5,$E181&lt;DD$5+GanttPeriod),"◇","")),IF(AND(DD$5&lt;=$F181,DD$5+GanttPeriod-1&gt;=$E181),"━","")))</f>
        <v/>
      </c>
      <c r="DE181" s="69" t="str">
        <f aca="false">IF($E181="","",IF($M181,IF(AND($G181&gt;=DE$5,$G181&lt;DE$5+GanttPeriod),"◆",IF(AND($E181&gt;=DE$5,$E181&lt;DE$5+GanttPeriod),"◇","")),IF(AND(DE$5&lt;=$F181,DE$5+GanttPeriod-1&gt;=$E181),"━","")))</f>
        <v/>
      </c>
      <c r="DF181" s="69" t="str">
        <f aca="false">IF($E181="","",IF($M181,IF(AND($G181&gt;=DF$5,$G181&lt;DF$5+GanttPeriod),"◆",IF(AND($E181&gt;=DF$5,$E181&lt;DF$5+GanttPeriod),"◇","")),IF(AND(DF$5&lt;=$F181,DF$5+GanttPeriod-1&gt;=$E181),"━","")))</f>
        <v/>
      </c>
      <c r="DG181" s="69" t="str">
        <f aca="false">IF($E181="","",IF($M181,IF(AND($G181&gt;=DG$5,$G181&lt;DG$5+GanttPeriod),"◆",IF(AND($E181&gt;=DG$5,$E181&lt;DG$5+GanttPeriod),"◇","")),IF(AND(DG$5&lt;=$F181,DG$5+GanttPeriod-1&gt;=$E181),"━","")))</f>
        <v/>
      </c>
      <c r="DH181" s="69" t="str">
        <f aca="false">IF($E181="","",IF($M181,IF(AND($G181&gt;=DH$5,$G181&lt;DH$5+GanttPeriod),"◆",IF(AND($E181&gt;=DH$5,$E181&lt;DH$5+GanttPeriod),"◇","")),IF(AND(DH$5&lt;=$F181,DH$5+GanttPeriod-1&gt;=$E181),"━","")))</f>
        <v/>
      </c>
      <c r="DI181" s="69" t="str">
        <f aca="false">IF($E181="","",IF($M181,IF(AND($G181&gt;=DI$5,$G181&lt;DI$5+GanttPeriod),"◆",IF(AND($E181&gt;=DI$5,$E181&lt;DI$5+GanttPeriod),"◇","")),IF(AND(DI$5&lt;=$F181,DI$5+GanttPeriod-1&gt;=$E181),"━","")))</f>
        <v/>
      </c>
      <c r="DJ181" s="69" t="str">
        <f aca="false">IF($E181="","",IF($M181,IF(AND($G181&gt;=DJ$5,$G181&lt;DJ$5+GanttPeriod),"◆",IF(AND($E181&gt;=DJ$5,$E181&lt;DJ$5+GanttPeriod),"◇","")),IF(AND(DJ$5&lt;=$F181,DJ$5+GanttPeriod-1&gt;=$E181),"━","")))</f>
        <v/>
      </c>
      <c r="DK181" s="69" t="str">
        <f aca="false">IF($E181="","",IF($M181,IF(AND($G181&gt;=DK$5,$G181&lt;DK$5+GanttPeriod),"◆",IF(AND($E181&gt;=DK$5,$E181&lt;DK$5+GanttPeriod),"◇","")),IF(AND(DK$5&lt;=$F181,DK$5+GanttPeriod-1&gt;=$E181),"━","")))</f>
        <v/>
      </c>
      <c r="DL181" s="69" t="str">
        <f aca="false">IF($E181="","",IF($M181,IF(AND($G181&gt;=DL$5,$G181&lt;DL$5+GanttPeriod),"◆",IF(AND($E181&gt;=DL$5,$E181&lt;DL$5+GanttPeriod),"◇","")),IF(AND(DL$5&lt;=$F181,DL$5+GanttPeriod-1&gt;=$E181),"━","")))</f>
        <v/>
      </c>
      <c r="DM181" s="69" t="str">
        <f aca="false">IF($E181="","",IF($M181,IF(AND($G181&gt;=DM$5,$G181&lt;DM$5+GanttPeriod),"◆",IF(AND($E181&gt;=DM$5,$E181&lt;DM$5+GanttPeriod),"◇","")),IF(AND(DM$5&lt;=$F181,DM$5+GanttPeriod-1&gt;=$E181),"━","")))</f>
        <v/>
      </c>
      <c r="DN181" s="69" t="str">
        <f aca="false">IF($E181="","",IF($M181,IF(AND($G181&gt;=DN$5,$G181&lt;DN$5+GanttPeriod),"◆",IF(AND($E181&gt;=DN$5,$E181&lt;DN$5+GanttPeriod),"◇","")),IF(AND(DN$5&lt;=$F181,DN$5+GanttPeriod-1&gt;=$E181),"━","")))</f>
        <v/>
      </c>
      <c r="DO181" s="69" t="str">
        <f aca="false">IF($E181="","",IF($M181,IF(AND($G181&gt;=DO$5,$G181&lt;DO$5+GanttPeriod),"◆",IF(AND($E181&gt;=DO$5,$E181&lt;DO$5+GanttPeriod),"◇","")),IF(AND(DO$5&lt;=$F181,DO$5+GanttPeriod-1&gt;=$E181),"━","")))</f>
        <v/>
      </c>
      <c r="DP181" s="69" t="str">
        <f aca="false">IF($E181="","",IF($M181,IF(AND($G181&gt;=DP$5,$G181&lt;DP$5+GanttPeriod),"◆",IF(AND($E181&gt;=DP$5,$E181&lt;DP$5+GanttPeriod),"◇","")),IF(AND(DP$5&lt;=$F181,DP$5+GanttPeriod-1&gt;=$E181),"━","")))</f>
        <v/>
      </c>
      <c r="DQ181" s="69" t="str">
        <f aca="false">IF($E181="","",IF($M181,IF(AND($G181&gt;=DQ$5,$G181&lt;DQ$5+GanttPeriod),"◆",IF(AND($E181&gt;=DQ$5,$E181&lt;DQ$5+GanttPeriod),"◇","")),IF(AND(DQ$5&lt;=$F181,DQ$5+GanttPeriod-1&gt;=$E181),"━","")))</f>
        <v/>
      </c>
      <c r="DR181" s="69" t="str">
        <f aca="false">IF($E181="","",IF($M181,IF(AND($G181&gt;=DR$5,$G181&lt;DR$5+GanttPeriod),"◆",IF(AND($E181&gt;=DR$5,$E181&lt;DR$5+GanttPeriod),"◇","")),IF(AND(DR$5&lt;=$F181,DR$5+GanttPeriod-1&gt;=$E181),"━","")))</f>
        <v/>
      </c>
      <c r="DS181" s="69" t="str">
        <f aca="false">IF($E181="","",IF($M181,IF(AND($G181&gt;=DS$5,$G181&lt;DS$5+GanttPeriod),"◆",IF(AND($E181&gt;=DS$5,$E181&lt;DS$5+GanttPeriod),"◇","")),IF(AND(DS$5&lt;=$F181,DS$5+GanttPeriod-1&gt;=$E181),"━","")))</f>
        <v/>
      </c>
      <c r="DT181" s="69" t="str">
        <f aca="false">IF($E181="","",IF($M181,IF(AND($G181&gt;=DT$5,$G181&lt;DT$5+GanttPeriod),"◆",IF(AND($E181&gt;=DT$5,$E181&lt;DT$5+GanttPeriod),"◇","")),IF(AND(DT$5&lt;=$F181,DT$5+GanttPeriod-1&gt;=$E181),"━","")))</f>
        <v/>
      </c>
      <c r="DU181" s="69" t="str">
        <f aca="false">IF($E181="","",IF($M181,IF(AND($G181&gt;=DU$5,$G181&lt;DU$5+GanttPeriod),"◆",IF(AND($E181&gt;=DU$5,$E181&lt;DU$5+GanttPeriod),"◇","")),IF(AND(DU$5&lt;=$F181,DU$5+GanttPeriod-1&gt;=$E181),"━","")))</f>
        <v/>
      </c>
      <c r="DV181" s="69" t="str">
        <f aca="false">IF($E181="","",IF($M181,IF(AND($G181&gt;=DV$5,$G181&lt;DV$5+GanttPeriod),"◆",IF(AND($E181&gt;=DV$5,$E181&lt;DV$5+GanttPeriod),"◇","")),IF(AND(DV$5&lt;=$F181,DV$5+GanttPeriod-1&gt;=$E181),"━","")))</f>
        <v/>
      </c>
      <c r="DW181" s="69" t="str">
        <f aca="false">IF($E181="","",IF($M181,IF(AND($G181&gt;=DW$5,$G181&lt;DW$5+GanttPeriod),"◆",IF(AND($E181&gt;=DW$5,$E181&lt;DW$5+GanttPeriod),"◇","")),IF(AND(DW$5&lt;=$F181,DW$5+GanttPeriod-1&gt;=$E181),"━","")))</f>
        <v/>
      </c>
      <c r="DX181" s="69" t="str">
        <f aca="false">IF($E181="","",IF($M181,IF(AND($G181&gt;=DX$5,$G181&lt;DX$5+GanttPeriod),"◆",IF(AND($E181&gt;=DX$5,$E181&lt;DX$5+GanttPeriod),"◇","")),IF(AND(DX$5&lt;=$F181,DX$5+GanttPeriod-1&gt;=$E181),"━","")))</f>
        <v/>
      </c>
      <c r="DY181" s="69" t="str">
        <f aca="false">IF($E181="","",IF($M181,IF(AND($G181&gt;=DY$5,$G181&lt;DY$5+GanttPeriod),"◆",IF(AND($E181&gt;=DY$5,$E181&lt;DY$5+GanttPeriod),"◇","")),IF(AND(DY$5&lt;=$F181,DY$5+GanttPeriod-1&gt;=$E181),"━","")))</f>
        <v/>
      </c>
      <c r="DZ181" s="69" t="str">
        <f aca="false">IF($E181="","",IF($M181,IF(AND($G181&gt;=DZ$5,$G181&lt;DZ$5+GanttPeriod),"◆",IF(AND($E181&gt;=DZ$5,$E181&lt;DZ$5+GanttPeriod),"◇","")),IF(AND(DZ$5&lt;=$F181,DZ$5+GanttPeriod-1&gt;=$E181),"━","")))</f>
        <v/>
      </c>
      <c r="EA181" s="69" t="str">
        <f aca="false">IF($E181="","",IF($M181,IF(AND($G181&gt;=EA$5,$G181&lt;EA$5+GanttPeriod),"◆",IF(AND($E181&gt;=EA$5,$E181&lt;EA$5+GanttPeriod),"◇","")),IF(AND(EA$5&lt;=$F181,EA$5+GanttPeriod-1&gt;=$E181),"━","")))</f>
        <v/>
      </c>
      <c r="EB181" s="69" t="str">
        <f aca="false">IF($E181="","",IF($M181,IF(AND($G181&gt;=EB$5,$G181&lt;EB$5+GanttPeriod),"◆",IF(AND($E181&gt;=EB$5,$E181&lt;EB$5+GanttPeriod),"◇","")),IF(AND(EB$5&lt;=$F181,EB$5+GanttPeriod-1&gt;=$E181),"━","")))</f>
        <v/>
      </c>
      <c r="EC181" s="69" t="str">
        <f aca="false">IF($E181="","",IF($M181,IF(AND($G181&gt;=EC$5,$G181&lt;EC$5+GanttPeriod),"◆",IF(AND($E181&gt;=EC$5,$E181&lt;EC$5+GanttPeriod),"◇","")),IF(AND(EC$5&lt;=$F181,EC$5+GanttPeriod-1&gt;=$E181),"━","")))</f>
        <v/>
      </c>
      <c r="ED181" s="69" t="str">
        <f aca="false">IF($E181="","",IF($M181,IF(AND($G181&gt;=ED$5,$G181&lt;ED$5+GanttPeriod),"◆",IF(AND($E181&gt;=ED$5,$E181&lt;ED$5+GanttPeriod),"◇","")),IF(AND(ED$5&lt;=$F181,ED$5+GanttPeriod-1&gt;=$E181),"━","")))</f>
        <v/>
      </c>
      <c r="EE181" s="69" t="str">
        <f aca="false">IF($E181="","",IF($M181,IF(AND($G181&gt;=EE$5,$G181&lt;EE$5+GanttPeriod),"◆",IF(AND($E181&gt;=EE$5,$E181&lt;EE$5+GanttPeriod),"◇","")),IF(AND(EE$5&lt;=$F181,EE$5+GanttPeriod-1&gt;=$E181),"━","")))</f>
        <v/>
      </c>
      <c r="EF181" s="69" t="str">
        <f aca="false">IF($E181="","",IF($M181,IF(AND($G181&gt;=EF$5,$G181&lt;EF$5+GanttPeriod),"◆",IF(AND($E181&gt;=EF$5,$E181&lt;EF$5+GanttPeriod),"◇","")),IF(AND(EF$5&lt;=$F181,EF$5+GanttPeriod-1&gt;=$E181),"━","")))</f>
        <v/>
      </c>
      <c r="EG181" s="69" t="str">
        <f aca="false">IF($E181="","",IF($M181,IF(AND($G181&gt;=EG$5,$G181&lt;EG$5+GanttPeriod),"◆",IF(AND($E181&gt;=EG$5,$E181&lt;EG$5+GanttPeriod),"◇","")),IF(AND(EG$5&lt;=$F181,EG$5+GanttPeriod-1&gt;=$E181),"━","")))</f>
        <v/>
      </c>
      <c r="EH181" s="69" t="str">
        <f aca="false">IF($E181="","",IF($M181,IF(AND($G181&gt;=EH$5,$G181&lt;EH$5+GanttPeriod),"◆",IF(AND($E181&gt;=EH$5,$E181&lt;EH$5+GanttPeriod),"◇","")),IF(AND(EH$5&lt;=$F181,EH$5+GanttPeriod-1&gt;=$E181),"━","")))</f>
        <v/>
      </c>
      <c r="EI181" s="69" t="str">
        <f aca="false">IF($E181="","",IF($M181,IF(AND($G181&gt;=EI$5,$G181&lt;EI$5+GanttPeriod),"◆",IF(AND($E181&gt;=EI$5,$E181&lt;EI$5+GanttPeriod),"◇","")),IF(AND(EI$5&lt;=$F181,EI$5+GanttPeriod-1&gt;=$E181),"━","")))</f>
        <v/>
      </c>
      <c r="EJ181" s="69" t="str">
        <f aca="false">IF($E181="","",IF($M181,IF(AND($G181&gt;=EJ$5,$G181&lt;EJ$5+GanttPeriod),"◆",IF(AND($E181&gt;=EJ$5,$E181&lt;EJ$5+GanttPeriod),"◇","")),IF(AND(EJ$5&lt;=$F181,EJ$5+GanttPeriod-1&gt;=$E181),"━","")))</f>
        <v/>
      </c>
      <c r="EK181" s="69" t="str">
        <f aca="false">IF($E181="","",IF($M181,IF(AND($G181&gt;=EK$5,$G181&lt;EK$5+GanttPeriod),"◆",IF(AND($E181&gt;=EK$5,$E181&lt;EK$5+GanttPeriod),"◇","")),IF(AND(EK$5&lt;=$F181,EK$5+GanttPeriod-1&gt;=$E181),"━","")))</f>
        <v/>
      </c>
      <c r="EL181" s="69" t="str">
        <f aca="false">IF($E181="","",IF($M181,IF(AND($G181&gt;=EL$5,$G181&lt;EL$5+GanttPeriod),"◆",IF(AND($E181&gt;=EL$5,$E181&lt;EL$5+GanttPeriod),"◇","")),IF(AND(EL$5&lt;=$F181,EL$5+GanttPeriod-1&gt;=$E181),"━","")))</f>
        <v/>
      </c>
      <c r="EM181" s="69" t="str">
        <f aca="false">IF($E181="","",IF($M181,IF(AND($G181&gt;=EM$5,$G181&lt;EM$5+GanttPeriod),"◆",IF(AND($E181&gt;=EM$5,$E181&lt;EM$5+GanttPeriod),"◇","")),IF(AND(EM$5&lt;=$F181,EM$5+GanttPeriod-1&gt;=$E181),"━","")))</f>
        <v/>
      </c>
      <c r="EN181" s="69" t="str">
        <f aca="false">IF($E181="","",IF($M181,IF(AND($G181&gt;=EN$5,$G181&lt;EN$5+GanttPeriod),"◆",IF(AND($E181&gt;=EN$5,$E181&lt;EN$5+GanttPeriod),"◇","")),IF(AND(EN$5&lt;=$F181,EN$5+GanttPeriod-1&gt;=$E181),"━","")))</f>
        <v/>
      </c>
      <c r="EO181" s="69" t="str">
        <f aca="false">IF($E181="","",IF($M181,IF(AND($G181&gt;=EO$5,$G181&lt;EO$5+GanttPeriod),"◆",IF(AND($E181&gt;=EO$5,$E181&lt;EO$5+GanttPeriod),"◇","")),IF(AND(EO$5&lt;=$F181,EO$5+GanttPeriod-1&gt;=$E181),"━","")))</f>
        <v/>
      </c>
      <c r="EP181" s="69" t="str">
        <f aca="false">IF($E181="","",IF($M181,IF(AND($G181&gt;=EP$5,$G181&lt;EP$5+GanttPeriod),"◆",IF(AND($E181&gt;=EP$5,$E181&lt;EP$5+GanttPeriod),"◇","")),IF(AND(EP$5&lt;=$F181,EP$5+GanttPeriod-1&gt;=$E181),"━","")))</f>
        <v/>
      </c>
      <c r="EQ181" s="69" t="str">
        <f aca="false">IF($E181="","",IF($M181,IF(AND($G181&gt;=EQ$5,$G181&lt;EQ$5+GanttPeriod),"◆",IF(AND($E181&gt;=EQ$5,$E181&lt;EQ$5+GanttPeriod),"◇","")),IF(AND(EQ$5&lt;=$F181,EQ$5+GanttPeriod-1&gt;=$E181),"━","")))</f>
        <v/>
      </c>
      <c r="ER181" s="69" t="str">
        <f aca="false">IF($E181="","",IF($M181,IF(AND($G181&gt;=ER$5,$G181&lt;ER$5+GanttPeriod),"◆",IF(AND($E181&gt;=ER$5,$E181&lt;ER$5+GanttPeriod),"◇","")),IF(AND(ER$5&lt;=$F181,ER$5+GanttPeriod-1&gt;=$E181),"━","")))</f>
        <v/>
      </c>
      <c r="ES181" s="69" t="str">
        <f aca="false">IF($E181="","",IF($M181,IF(AND($G181&gt;=ES$5,$G181&lt;ES$5+GanttPeriod),"◆",IF(AND($E181&gt;=ES$5,$E181&lt;ES$5+GanttPeriod),"◇","")),IF(AND(ES$5&lt;=$F181,ES$5+GanttPeriod-1&gt;=$E181),"━","")))</f>
        <v/>
      </c>
      <c r="ET181" s="69" t="str">
        <f aca="false">IF($E181="","",IF($M181,IF(AND($G181&gt;=ET$5,$G181&lt;ET$5+GanttPeriod),"◆",IF(AND($E181&gt;=ET$5,$E181&lt;ET$5+GanttPeriod),"◇","")),IF(AND(ET$5&lt;=$F181,ET$5+GanttPeriod-1&gt;=$E181),"━","")))</f>
        <v/>
      </c>
      <c r="EU181" s="69" t="str">
        <f aca="false">IF($E181="","",IF($M181,IF(AND($G181&gt;=EU$5,$G181&lt;EU$5+GanttPeriod),"◆",IF(AND($E181&gt;=EU$5,$E181&lt;EU$5+GanttPeriod),"◇","")),IF(AND(EU$5&lt;=$F181,EU$5+GanttPeriod-1&gt;=$E181),"━","")))</f>
        <v/>
      </c>
      <c r="EV181" s="69" t="str">
        <f aca="false">IF($E181="","",IF($M181,IF(AND($G181&gt;=EV$5,$G181&lt;EV$5+GanttPeriod),"◆",IF(AND($E181&gt;=EV$5,$E181&lt;EV$5+GanttPeriod),"◇","")),IF(AND(EV$5&lt;=$F181,EV$5+GanttPeriod-1&gt;=$E181),"━","")))</f>
        <v/>
      </c>
      <c r="EW181" s="69" t="str">
        <f aca="false">IF($E181="","",IF($M181,IF(AND($G181&gt;=EW$5,$G181&lt;EW$5+GanttPeriod),"◆",IF(AND($E181&gt;=EW$5,$E181&lt;EW$5+GanttPeriod),"◇","")),IF(AND(EW$5&lt;=$F181,EW$5+GanttPeriod-1&gt;=$E181),"━","")))</f>
        <v/>
      </c>
      <c r="EX181" s="69" t="str">
        <f aca="false">IF($E181="","",IF($M181,IF(AND($G181&gt;=EX$5,$G181&lt;EX$5+GanttPeriod),"◆",IF(AND($E181&gt;=EX$5,$E181&lt;EX$5+GanttPeriod),"◇","")),IF(AND(EX$5&lt;=$F181,EX$5+GanttPeriod-1&gt;=$E181),"━","")))</f>
        <v/>
      </c>
      <c r="EY181" s="69" t="str">
        <f aca="false">IF($E181="","",IF($M181,IF(AND($G181&gt;=EY$5,$G181&lt;EY$5+GanttPeriod),"◆",IF(AND($E181&gt;=EY$5,$E181&lt;EY$5+GanttPeriod),"◇","")),IF(AND(EY$5&lt;=$F181,EY$5+GanttPeriod-1&gt;=$E181),"━","")))</f>
        <v/>
      </c>
      <c r="EZ181" s="69" t="str">
        <f aca="false">IF($E181="","",IF($M181,IF(AND($G181&gt;=EZ$5,$G181&lt;EZ$5+GanttPeriod),"◆",IF(AND($E181&gt;=EZ$5,$E181&lt;EZ$5+GanttPeriod),"◇","")),IF(AND(EZ$5&lt;=$F181,EZ$5+GanttPeriod-1&gt;=$E181),"━","")))</f>
        <v/>
      </c>
      <c r="FA181" s="69" t="str">
        <f aca="false">IF($E181="","",IF($M181,IF(AND($G181&gt;=FA$5,$G181&lt;FA$5+GanttPeriod),"◆",IF(AND($E181&gt;=FA$5,$E181&lt;FA$5+GanttPeriod),"◇","")),IF(AND(FA$5&lt;=$F181,FA$5+GanttPeriod-1&gt;=$E181),"━","")))</f>
        <v/>
      </c>
      <c r="FB181" s="69" t="str">
        <f aca="false">IF($E181="","",IF($M181,IF(AND($G181&gt;=FB$5,$G181&lt;FB$5+GanttPeriod),"◆",IF(AND($E181&gt;=FB$5,$E181&lt;FB$5+GanttPeriod),"◇","")),IF(AND(FB$5&lt;=$F181,FB$5+GanttPeriod-1&gt;=$E181),"━","")))</f>
        <v/>
      </c>
      <c r="FC181" s="69" t="str">
        <f aca="false">IF($E181="","",IF($M181,IF(AND($G181&gt;=FC$5,$G181&lt;FC$5+GanttPeriod),"◆",IF(AND($E181&gt;=FC$5,$E181&lt;FC$5+GanttPeriod),"◇","")),IF(AND(FC$5&lt;=$F181,FC$5+GanttPeriod-1&gt;=$E181),"━","")))</f>
        <v/>
      </c>
      <c r="FD181" s="69" t="str">
        <f aca="false">IF($E181="","",IF($M181,IF(AND($G181&gt;=FD$5,$G181&lt;FD$5+GanttPeriod),"◆",IF(AND($E181&gt;=FD$5,$E181&lt;FD$5+GanttPeriod),"◇","")),IF(AND(FD$5&lt;=$F181,FD$5+GanttPeriod-1&gt;=$E181),"━","")))</f>
        <v/>
      </c>
      <c r="FE181" s="69" t="str">
        <f aca="false">IF($E181="","",IF($M181,IF(AND($G181&gt;=FE$5,$G181&lt;FE$5+GanttPeriod),"◆",IF(AND($E181&gt;=FE$5,$E181&lt;FE$5+GanttPeriod),"◇","")),IF(AND(FE$5&lt;=$F181,FE$5+GanttPeriod-1&gt;=$E181),"━","")))</f>
        <v/>
      </c>
      <c r="FF181" s="69" t="str">
        <f aca="false">IF($E181="","",IF($M181,IF(AND($G181&gt;=FF$5,$G181&lt;FF$5+GanttPeriod),"◆",IF(AND($E181&gt;=FF$5,$E181&lt;FF$5+GanttPeriod),"◇","")),IF(AND(FF$5&lt;=$F181,FF$5+GanttPeriod-1&gt;=$E181),"━","")))</f>
        <v/>
      </c>
      <c r="FG181" s="69" t="str">
        <f aca="false">IF($E181="","",IF($M181,IF(AND($G181&gt;=FG$5,$G181&lt;FG$5+GanttPeriod),"◆",IF(AND($E181&gt;=FG$5,$E181&lt;FG$5+GanttPeriod),"◇","")),IF(AND(FG$5&lt;=$F181,FG$5+GanttPeriod-1&gt;=$E181),"━","")))</f>
        <v/>
      </c>
      <c r="FH181" s="69" t="str">
        <f aca="false">IF($E181="","",IF($M181,IF(AND($G181&gt;=FH$5,$G181&lt;FH$5+GanttPeriod),"◆",IF(AND($E181&gt;=FH$5,$E181&lt;FH$5+GanttPeriod),"◇","")),IF(AND(FH$5&lt;=$F181,FH$5+GanttPeriod-1&gt;=$E181),"━","")))</f>
        <v/>
      </c>
      <c r="FI181" s="69" t="str">
        <f aca="false">IF($E181="","",IF($M181,IF(AND($G181&gt;=FI$5,$G181&lt;FI$5+GanttPeriod),"◆",IF(AND($E181&gt;=FI$5,$E181&lt;FI$5+GanttPeriod),"◇","")),IF(AND(FI$5&lt;=$F181,FI$5+GanttPeriod-1&gt;=$E181),"━","")))</f>
        <v/>
      </c>
      <c r="FJ181" s="69" t="str">
        <f aca="false">IF($E181="","",IF($M181,IF(AND($G181&gt;=FJ$5,$G181&lt;FJ$5+GanttPeriod),"◆",IF(AND($E181&gt;=FJ$5,$E181&lt;FJ$5+GanttPeriod),"◇","")),IF(AND(FJ$5&lt;=$F181,FJ$5+GanttPeriod-1&gt;=$E181),"━","")))</f>
        <v/>
      </c>
      <c r="FK181" s="69" t="str">
        <f aca="false">IF($E181="","",IF($M181,IF(AND($G181&gt;=FK$5,$G181&lt;FK$5+GanttPeriod),"◆",IF(AND($E181&gt;=FK$5,$E181&lt;FK$5+GanttPeriod),"◇","")),IF(AND(FK$5&lt;=$F181,FK$5+GanttPeriod-1&gt;=$E181),"━","")))</f>
        <v/>
      </c>
      <c r="FL181" s="69" t="str">
        <f aca="false">IF($E181="","",IF($M181,IF(AND($G181&gt;=FL$5,$G181&lt;FL$5+GanttPeriod),"◆",IF(AND($E181&gt;=FL$5,$E181&lt;FL$5+GanttPeriod),"◇","")),IF(AND(FL$5&lt;=$F181,FL$5+GanttPeriod-1&gt;=$E181),"━","")))</f>
        <v/>
      </c>
      <c r="FM181" s="69" t="str">
        <f aca="false">IF($E181="","",IF($M181,IF(AND($G181&gt;=FM$5,$G181&lt;FM$5+GanttPeriod),"◆",IF(AND($E181&gt;=FM$5,$E181&lt;FM$5+GanttPeriod),"◇","")),IF(AND(FM$5&lt;=$F181,FM$5+GanttPeriod-1&gt;=$E181),"━","")))</f>
        <v/>
      </c>
    </row>
    <row r="182" customFormat="false" ht="15" hidden="false" customHeight="false" outlineLevel="0" collapsed="false">
      <c r="A182" s="62" t="str">
        <f aca="false">IF(Tasks!$D182="","",Tasks!$A182)</f>
        <v/>
      </c>
      <c r="B182" s="62" t="str">
        <f aca="false">IF(Tasks!$D182="","",Tasks!$B182)</f>
        <v/>
      </c>
      <c r="C182" s="63" t="str">
        <f aca="false">IF(Tasks!$D182="","",REPT("    ",Tasks!$AE182-1)&amp;Tasks!$D182)</f>
        <v/>
      </c>
      <c r="D182" s="62" t="str">
        <f aca="false">IF(Tasks!$D182="","",IF(Tasks!$AI182,NETWORKDAYS.INTL(Tasks!$R182,Tasks!$S182,WorkWeek,Holidays),N(Tasks!$F182)))</f>
        <v/>
      </c>
      <c r="E182" s="64" t="str">
        <f aca="false">IF(Tasks!$D182="","",Tasks!$N182)</f>
        <v/>
      </c>
      <c r="F182" s="64" t="str">
        <f aca="false">IF(Tasks!$D182="","",Tasks!$O182)</f>
        <v/>
      </c>
      <c r="G182" s="64" t="str">
        <f aca="false">IF(Tasks!$D182="","",Tasks!$R182)</f>
        <v/>
      </c>
      <c r="H182" s="64" t="str">
        <f aca="false">IF(Tasks!$D182="","",Tasks!$S182)</f>
        <v/>
      </c>
      <c r="I182" s="65" t="str">
        <f aca="false">IF(Tasks!$D182="","",Tasks!$V182)</f>
        <v/>
      </c>
      <c r="J182" s="63" t="str">
        <f aca="false">IF(Tasks!$D182="","",Tasks!$X182&amp;"")</f>
        <v/>
      </c>
      <c r="K182" s="66" t="str">
        <f aca="false">IF(Tasks!$D182="","",Tasks!$W182)</f>
        <v/>
      </c>
      <c r="L182" s="67" t="b">
        <f aca="false">IF(Tasks!$D182="",FALSE(),Tasks!$AI182)</f>
        <v>0</v>
      </c>
      <c r="M182" s="67" t="b">
        <f aca="false">AND(Tasks!$AJ182=1,N(Tasks!$F182)=0)</f>
        <v>0</v>
      </c>
      <c r="N182" s="68" t="n">
        <f aca="false">IF(AND(Tasks!$AJ182=1,NOT($M182),N($I182)&gt;0),$G182,0)</f>
        <v>0</v>
      </c>
      <c r="O182" s="68" t="n">
        <f aca="false">IF($N182=0,0,IF($I182&gt;=1,$H182,MAX($N182,$G182+ROUND(($H182-$G182+1)*$I182,0)-1)))</f>
        <v>0</v>
      </c>
      <c r="P182" s="68" t="n">
        <f aca="false">IF(OR(Tasks!$AJ182&lt;&gt;1,$M182,N($I182)&gt;=1),0,IF($O182&gt;0,$O182+1,$G182))</f>
        <v>0</v>
      </c>
      <c r="Q182" s="68" t="n">
        <f aca="false">IF($P182=0,0,$H182)</f>
        <v>0</v>
      </c>
      <c r="R182" s="67" t="b">
        <f aca="false">AND(Tasks!$D182&lt;&gt;"",N(Tasks!$T182)&gt;0)</f>
        <v>0</v>
      </c>
      <c r="T182" s="69" t="str">
        <f aca="false">IF($E182="","",IF($M182,IF(AND($G182&gt;=T$5,$G182&lt;T$5+GanttPeriod),"◆",IF(AND($E182&gt;=T$5,$E182&lt;T$5+GanttPeriod),"◇","")),IF(AND(T$5&lt;=$F182,T$5+GanttPeriod-1&gt;=$E182),"━","")))</f>
        <v/>
      </c>
      <c r="U182" s="69" t="str">
        <f aca="false">IF($E182="","",IF($M182,IF(AND($G182&gt;=U$5,$G182&lt;U$5+GanttPeriod),"◆",IF(AND($E182&gt;=U$5,$E182&lt;U$5+GanttPeriod),"◇","")),IF(AND(U$5&lt;=$F182,U$5+GanttPeriod-1&gt;=$E182),"━","")))</f>
        <v/>
      </c>
      <c r="V182" s="69" t="str">
        <f aca="false">IF($E182="","",IF($M182,IF(AND($G182&gt;=V$5,$G182&lt;V$5+GanttPeriod),"◆",IF(AND($E182&gt;=V$5,$E182&lt;V$5+GanttPeriod),"◇","")),IF(AND(V$5&lt;=$F182,V$5+GanttPeriod-1&gt;=$E182),"━","")))</f>
        <v/>
      </c>
      <c r="W182" s="69" t="str">
        <f aca="false">IF($E182="","",IF($M182,IF(AND($G182&gt;=W$5,$G182&lt;W$5+GanttPeriod),"◆",IF(AND($E182&gt;=W$5,$E182&lt;W$5+GanttPeriod),"◇","")),IF(AND(W$5&lt;=$F182,W$5+GanttPeriod-1&gt;=$E182),"━","")))</f>
        <v/>
      </c>
      <c r="X182" s="69" t="str">
        <f aca="false">IF($E182="","",IF($M182,IF(AND($G182&gt;=X$5,$G182&lt;X$5+GanttPeriod),"◆",IF(AND($E182&gt;=X$5,$E182&lt;X$5+GanttPeriod),"◇","")),IF(AND(X$5&lt;=$F182,X$5+GanttPeriod-1&gt;=$E182),"━","")))</f>
        <v/>
      </c>
      <c r="Y182" s="69" t="str">
        <f aca="false">IF($E182="","",IF($M182,IF(AND($G182&gt;=Y$5,$G182&lt;Y$5+GanttPeriod),"◆",IF(AND($E182&gt;=Y$5,$E182&lt;Y$5+GanttPeriod),"◇","")),IF(AND(Y$5&lt;=$F182,Y$5+GanttPeriod-1&gt;=$E182),"━","")))</f>
        <v/>
      </c>
      <c r="Z182" s="69" t="str">
        <f aca="false">IF($E182="","",IF($M182,IF(AND($G182&gt;=Z$5,$G182&lt;Z$5+GanttPeriod),"◆",IF(AND($E182&gt;=Z$5,$E182&lt;Z$5+GanttPeriod),"◇","")),IF(AND(Z$5&lt;=$F182,Z$5+GanttPeriod-1&gt;=$E182),"━","")))</f>
        <v/>
      </c>
      <c r="AA182" s="69" t="str">
        <f aca="false">IF($E182="","",IF($M182,IF(AND($G182&gt;=AA$5,$G182&lt;AA$5+GanttPeriod),"◆",IF(AND($E182&gt;=AA$5,$E182&lt;AA$5+GanttPeriod),"◇","")),IF(AND(AA$5&lt;=$F182,AA$5+GanttPeriod-1&gt;=$E182),"━","")))</f>
        <v/>
      </c>
      <c r="AB182" s="69" t="str">
        <f aca="false">IF($E182="","",IF($M182,IF(AND($G182&gt;=AB$5,$G182&lt;AB$5+GanttPeriod),"◆",IF(AND($E182&gt;=AB$5,$E182&lt;AB$5+GanttPeriod),"◇","")),IF(AND(AB$5&lt;=$F182,AB$5+GanttPeriod-1&gt;=$E182),"━","")))</f>
        <v/>
      </c>
      <c r="AC182" s="69" t="str">
        <f aca="false">IF($E182="","",IF($M182,IF(AND($G182&gt;=AC$5,$G182&lt;AC$5+GanttPeriod),"◆",IF(AND($E182&gt;=AC$5,$E182&lt;AC$5+GanttPeriod),"◇","")),IF(AND(AC$5&lt;=$F182,AC$5+GanttPeriod-1&gt;=$E182),"━","")))</f>
        <v/>
      </c>
      <c r="AD182" s="69" t="str">
        <f aca="false">IF($E182="","",IF($M182,IF(AND($G182&gt;=AD$5,$G182&lt;AD$5+GanttPeriod),"◆",IF(AND($E182&gt;=AD$5,$E182&lt;AD$5+GanttPeriod),"◇","")),IF(AND(AD$5&lt;=$F182,AD$5+GanttPeriod-1&gt;=$E182),"━","")))</f>
        <v/>
      </c>
      <c r="AE182" s="69" t="str">
        <f aca="false">IF($E182="","",IF($M182,IF(AND($G182&gt;=AE$5,$G182&lt;AE$5+GanttPeriod),"◆",IF(AND($E182&gt;=AE$5,$E182&lt;AE$5+GanttPeriod),"◇","")),IF(AND(AE$5&lt;=$F182,AE$5+GanttPeriod-1&gt;=$E182),"━","")))</f>
        <v/>
      </c>
      <c r="AF182" s="69" t="str">
        <f aca="false">IF($E182="","",IF($M182,IF(AND($G182&gt;=AF$5,$G182&lt;AF$5+GanttPeriod),"◆",IF(AND($E182&gt;=AF$5,$E182&lt;AF$5+GanttPeriod),"◇","")),IF(AND(AF$5&lt;=$F182,AF$5+GanttPeriod-1&gt;=$E182),"━","")))</f>
        <v/>
      </c>
      <c r="AG182" s="69" t="str">
        <f aca="false">IF($E182="","",IF($M182,IF(AND($G182&gt;=AG$5,$G182&lt;AG$5+GanttPeriod),"◆",IF(AND($E182&gt;=AG$5,$E182&lt;AG$5+GanttPeriod),"◇","")),IF(AND(AG$5&lt;=$F182,AG$5+GanttPeriod-1&gt;=$E182),"━","")))</f>
        <v/>
      </c>
      <c r="AH182" s="69" t="str">
        <f aca="false">IF($E182="","",IF($M182,IF(AND($G182&gt;=AH$5,$G182&lt;AH$5+GanttPeriod),"◆",IF(AND($E182&gt;=AH$5,$E182&lt;AH$5+GanttPeriod),"◇","")),IF(AND(AH$5&lt;=$F182,AH$5+GanttPeriod-1&gt;=$E182),"━","")))</f>
        <v/>
      </c>
      <c r="AI182" s="69" t="str">
        <f aca="false">IF($E182="","",IF($M182,IF(AND($G182&gt;=AI$5,$G182&lt;AI$5+GanttPeriod),"◆",IF(AND($E182&gt;=AI$5,$E182&lt;AI$5+GanttPeriod),"◇","")),IF(AND(AI$5&lt;=$F182,AI$5+GanttPeriod-1&gt;=$E182),"━","")))</f>
        <v/>
      </c>
      <c r="AJ182" s="69" t="str">
        <f aca="false">IF($E182="","",IF($M182,IF(AND($G182&gt;=AJ$5,$G182&lt;AJ$5+GanttPeriod),"◆",IF(AND($E182&gt;=AJ$5,$E182&lt;AJ$5+GanttPeriod),"◇","")),IF(AND(AJ$5&lt;=$F182,AJ$5+GanttPeriod-1&gt;=$E182),"━","")))</f>
        <v/>
      </c>
      <c r="AK182" s="69" t="str">
        <f aca="false">IF($E182="","",IF($M182,IF(AND($G182&gt;=AK$5,$G182&lt;AK$5+GanttPeriod),"◆",IF(AND($E182&gt;=AK$5,$E182&lt;AK$5+GanttPeriod),"◇","")),IF(AND(AK$5&lt;=$F182,AK$5+GanttPeriod-1&gt;=$E182),"━","")))</f>
        <v/>
      </c>
      <c r="AL182" s="69" t="str">
        <f aca="false">IF($E182="","",IF($M182,IF(AND($G182&gt;=AL$5,$G182&lt;AL$5+GanttPeriod),"◆",IF(AND($E182&gt;=AL$5,$E182&lt;AL$5+GanttPeriod),"◇","")),IF(AND(AL$5&lt;=$F182,AL$5+GanttPeriod-1&gt;=$E182),"━","")))</f>
        <v/>
      </c>
      <c r="AM182" s="69" t="str">
        <f aca="false">IF($E182="","",IF($M182,IF(AND($G182&gt;=AM$5,$G182&lt;AM$5+GanttPeriod),"◆",IF(AND($E182&gt;=AM$5,$E182&lt;AM$5+GanttPeriod),"◇","")),IF(AND(AM$5&lt;=$F182,AM$5+GanttPeriod-1&gt;=$E182),"━","")))</f>
        <v/>
      </c>
      <c r="AN182" s="69" t="str">
        <f aca="false">IF($E182="","",IF($M182,IF(AND($G182&gt;=AN$5,$G182&lt;AN$5+GanttPeriod),"◆",IF(AND($E182&gt;=AN$5,$E182&lt;AN$5+GanttPeriod),"◇","")),IF(AND(AN$5&lt;=$F182,AN$5+GanttPeriod-1&gt;=$E182),"━","")))</f>
        <v/>
      </c>
      <c r="AO182" s="69" t="str">
        <f aca="false">IF($E182="","",IF($M182,IF(AND($G182&gt;=AO$5,$G182&lt;AO$5+GanttPeriod),"◆",IF(AND($E182&gt;=AO$5,$E182&lt;AO$5+GanttPeriod),"◇","")),IF(AND(AO$5&lt;=$F182,AO$5+GanttPeriod-1&gt;=$E182),"━","")))</f>
        <v/>
      </c>
      <c r="AP182" s="69" t="str">
        <f aca="false">IF($E182="","",IF($M182,IF(AND($G182&gt;=AP$5,$G182&lt;AP$5+GanttPeriod),"◆",IF(AND($E182&gt;=AP$5,$E182&lt;AP$5+GanttPeriod),"◇","")),IF(AND(AP$5&lt;=$F182,AP$5+GanttPeriod-1&gt;=$E182),"━","")))</f>
        <v/>
      </c>
      <c r="AQ182" s="69" t="str">
        <f aca="false">IF($E182="","",IF($M182,IF(AND($G182&gt;=AQ$5,$G182&lt;AQ$5+GanttPeriod),"◆",IF(AND($E182&gt;=AQ$5,$E182&lt;AQ$5+GanttPeriod),"◇","")),IF(AND(AQ$5&lt;=$F182,AQ$5+GanttPeriod-1&gt;=$E182),"━","")))</f>
        <v/>
      </c>
      <c r="AR182" s="69" t="str">
        <f aca="false">IF($E182="","",IF($M182,IF(AND($G182&gt;=AR$5,$G182&lt;AR$5+GanttPeriod),"◆",IF(AND($E182&gt;=AR$5,$E182&lt;AR$5+GanttPeriod),"◇","")),IF(AND(AR$5&lt;=$F182,AR$5+GanttPeriod-1&gt;=$E182),"━","")))</f>
        <v/>
      </c>
      <c r="AS182" s="69" t="str">
        <f aca="false">IF($E182="","",IF($M182,IF(AND($G182&gt;=AS$5,$G182&lt;AS$5+GanttPeriod),"◆",IF(AND($E182&gt;=AS$5,$E182&lt;AS$5+GanttPeriod),"◇","")),IF(AND(AS$5&lt;=$F182,AS$5+GanttPeriod-1&gt;=$E182),"━","")))</f>
        <v/>
      </c>
      <c r="AT182" s="69" t="str">
        <f aca="false">IF($E182="","",IF($M182,IF(AND($G182&gt;=AT$5,$G182&lt;AT$5+GanttPeriod),"◆",IF(AND($E182&gt;=AT$5,$E182&lt;AT$5+GanttPeriod),"◇","")),IF(AND(AT$5&lt;=$F182,AT$5+GanttPeriod-1&gt;=$E182),"━","")))</f>
        <v/>
      </c>
      <c r="AU182" s="69" t="str">
        <f aca="false">IF($E182="","",IF($M182,IF(AND($G182&gt;=AU$5,$G182&lt;AU$5+GanttPeriod),"◆",IF(AND($E182&gt;=AU$5,$E182&lt;AU$5+GanttPeriod),"◇","")),IF(AND(AU$5&lt;=$F182,AU$5+GanttPeriod-1&gt;=$E182),"━","")))</f>
        <v/>
      </c>
      <c r="AV182" s="69" t="str">
        <f aca="false">IF($E182="","",IF($M182,IF(AND($G182&gt;=AV$5,$G182&lt;AV$5+GanttPeriod),"◆",IF(AND($E182&gt;=AV$5,$E182&lt;AV$5+GanttPeriod),"◇","")),IF(AND(AV$5&lt;=$F182,AV$5+GanttPeriod-1&gt;=$E182),"━","")))</f>
        <v/>
      </c>
      <c r="AW182" s="69" t="str">
        <f aca="false">IF($E182="","",IF($M182,IF(AND($G182&gt;=AW$5,$G182&lt;AW$5+GanttPeriod),"◆",IF(AND($E182&gt;=AW$5,$E182&lt;AW$5+GanttPeriod),"◇","")),IF(AND(AW$5&lt;=$F182,AW$5+GanttPeriod-1&gt;=$E182),"━","")))</f>
        <v/>
      </c>
      <c r="AX182" s="69" t="str">
        <f aca="false">IF($E182="","",IF($M182,IF(AND($G182&gt;=AX$5,$G182&lt;AX$5+GanttPeriod),"◆",IF(AND($E182&gt;=AX$5,$E182&lt;AX$5+GanttPeriod),"◇","")),IF(AND(AX$5&lt;=$F182,AX$5+GanttPeriod-1&gt;=$E182),"━","")))</f>
        <v/>
      </c>
      <c r="AY182" s="69" t="str">
        <f aca="false">IF($E182="","",IF($M182,IF(AND($G182&gt;=AY$5,$G182&lt;AY$5+GanttPeriod),"◆",IF(AND($E182&gt;=AY$5,$E182&lt;AY$5+GanttPeriod),"◇","")),IF(AND(AY$5&lt;=$F182,AY$5+GanttPeriod-1&gt;=$E182),"━","")))</f>
        <v/>
      </c>
      <c r="AZ182" s="69" t="str">
        <f aca="false">IF($E182="","",IF($M182,IF(AND($G182&gt;=AZ$5,$G182&lt;AZ$5+GanttPeriod),"◆",IF(AND($E182&gt;=AZ$5,$E182&lt;AZ$5+GanttPeriod),"◇","")),IF(AND(AZ$5&lt;=$F182,AZ$5+GanttPeriod-1&gt;=$E182),"━","")))</f>
        <v/>
      </c>
      <c r="BA182" s="69" t="str">
        <f aca="false">IF($E182="","",IF($M182,IF(AND($G182&gt;=BA$5,$G182&lt;BA$5+GanttPeriod),"◆",IF(AND($E182&gt;=BA$5,$E182&lt;BA$5+GanttPeriod),"◇","")),IF(AND(BA$5&lt;=$F182,BA$5+GanttPeriod-1&gt;=$E182),"━","")))</f>
        <v/>
      </c>
      <c r="BB182" s="69" t="str">
        <f aca="false">IF($E182="","",IF($M182,IF(AND($G182&gt;=BB$5,$G182&lt;BB$5+GanttPeriod),"◆",IF(AND($E182&gt;=BB$5,$E182&lt;BB$5+GanttPeriod),"◇","")),IF(AND(BB$5&lt;=$F182,BB$5+GanttPeriod-1&gt;=$E182),"━","")))</f>
        <v/>
      </c>
      <c r="BC182" s="69" t="str">
        <f aca="false">IF($E182="","",IF($M182,IF(AND($G182&gt;=BC$5,$G182&lt;BC$5+GanttPeriod),"◆",IF(AND($E182&gt;=BC$5,$E182&lt;BC$5+GanttPeriod),"◇","")),IF(AND(BC$5&lt;=$F182,BC$5+GanttPeriod-1&gt;=$E182),"━","")))</f>
        <v/>
      </c>
      <c r="BD182" s="69" t="str">
        <f aca="false">IF($E182="","",IF($M182,IF(AND($G182&gt;=BD$5,$G182&lt;BD$5+GanttPeriod),"◆",IF(AND($E182&gt;=BD$5,$E182&lt;BD$5+GanttPeriod),"◇","")),IF(AND(BD$5&lt;=$F182,BD$5+GanttPeriod-1&gt;=$E182),"━","")))</f>
        <v/>
      </c>
      <c r="BE182" s="69" t="str">
        <f aca="false">IF($E182="","",IF($M182,IF(AND($G182&gt;=BE$5,$G182&lt;BE$5+GanttPeriod),"◆",IF(AND($E182&gt;=BE$5,$E182&lt;BE$5+GanttPeriod),"◇","")),IF(AND(BE$5&lt;=$F182,BE$5+GanttPeriod-1&gt;=$E182),"━","")))</f>
        <v/>
      </c>
      <c r="BF182" s="69" t="str">
        <f aca="false">IF($E182="","",IF($M182,IF(AND($G182&gt;=BF$5,$G182&lt;BF$5+GanttPeriod),"◆",IF(AND($E182&gt;=BF$5,$E182&lt;BF$5+GanttPeriod),"◇","")),IF(AND(BF$5&lt;=$F182,BF$5+GanttPeriod-1&gt;=$E182),"━","")))</f>
        <v/>
      </c>
      <c r="BG182" s="69" t="str">
        <f aca="false">IF($E182="","",IF($M182,IF(AND($G182&gt;=BG$5,$G182&lt;BG$5+GanttPeriod),"◆",IF(AND($E182&gt;=BG$5,$E182&lt;BG$5+GanttPeriod),"◇","")),IF(AND(BG$5&lt;=$F182,BG$5+GanttPeriod-1&gt;=$E182),"━","")))</f>
        <v/>
      </c>
      <c r="BH182" s="69" t="str">
        <f aca="false">IF($E182="","",IF($M182,IF(AND($G182&gt;=BH$5,$G182&lt;BH$5+GanttPeriod),"◆",IF(AND($E182&gt;=BH$5,$E182&lt;BH$5+GanttPeriod),"◇","")),IF(AND(BH$5&lt;=$F182,BH$5+GanttPeriod-1&gt;=$E182),"━","")))</f>
        <v/>
      </c>
      <c r="BI182" s="69" t="str">
        <f aca="false">IF($E182="","",IF($M182,IF(AND($G182&gt;=BI$5,$G182&lt;BI$5+GanttPeriod),"◆",IF(AND($E182&gt;=BI$5,$E182&lt;BI$5+GanttPeriod),"◇","")),IF(AND(BI$5&lt;=$F182,BI$5+GanttPeriod-1&gt;=$E182),"━","")))</f>
        <v/>
      </c>
      <c r="BJ182" s="69" t="str">
        <f aca="false">IF($E182="","",IF($M182,IF(AND($G182&gt;=BJ$5,$G182&lt;BJ$5+GanttPeriod),"◆",IF(AND($E182&gt;=BJ$5,$E182&lt;BJ$5+GanttPeriod),"◇","")),IF(AND(BJ$5&lt;=$F182,BJ$5+GanttPeriod-1&gt;=$E182),"━","")))</f>
        <v/>
      </c>
      <c r="BK182" s="69" t="str">
        <f aca="false">IF($E182="","",IF($M182,IF(AND($G182&gt;=BK$5,$G182&lt;BK$5+GanttPeriod),"◆",IF(AND($E182&gt;=BK$5,$E182&lt;BK$5+GanttPeriod),"◇","")),IF(AND(BK$5&lt;=$F182,BK$5+GanttPeriod-1&gt;=$E182),"━","")))</f>
        <v/>
      </c>
      <c r="BL182" s="69" t="str">
        <f aca="false">IF($E182="","",IF($M182,IF(AND($G182&gt;=BL$5,$G182&lt;BL$5+GanttPeriod),"◆",IF(AND($E182&gt;=BL$5,$E182&lt;BL$5+GanttPeriod),"◇","")),IF(AND(BL$5&lt;=$F182,BL$5+GanttPeriod-1&gt;=$E182),"━","")))</f>
        <v/>
      </c>
      <c r="BM182" s="69" t="str">
        <f aca="false">IF($E182="","",IF($M182,IF(AND($G182&gt;=BM$5,$G182&lt;BM$5+GanttPeriod),"◆",IF(AND($E182&gt;=BM$5,$E182&lt;BM$5+GanttPeriod),"◇","")),IF(AND(BM$5&lt;=$F182,BM$5+GanttPeriod-1&gt;=$E182),"━","")))</f>
        <v/>
      </c>
      <c r="BN182" s="69" t="str">
        <f aca="false">IF($E182="","",IF($M182,IF(AND($G182&gt;=BN$5,$G182&lt;BN$5+GanttPeriod),"◆",IF(AND($E182&gt;=BN$5,$E182&lt;BN$5+GanttPeriod),"◇","")),IF(AND(BN$5&lt;=$F182,BN$5+GanttPeriod-1&gt;=$E182),"━","")))</f>
        <v/>
      </c>
      <c r="BO182" s="69" t="str">
        <f aca="false">IF($E182="","",IF($M182,IF(AND($G182&gt;=BO$5,$G182&lt;BO$5+GanttPeriod),"◆",IF(AND($E182&gt;=BO$5,$E182&lt;BO$5+GanttPeriod),"◇","")),IF(AND(BO$5&lt;=$F182,BO$5+GanttPeriod-1&gt;=$E182),"━","")))</f>
        <v/>
      </c>
      <c r="BP182" s="69" t="str">
        <f aca="false">IF($E182="","",IF($M182,IF(AND($G182&gt;=BP$5,$G182&lt;BP$5+GanttPeriod),"◆",IF(AND($E182&gt;=BP$5,$E182&lt;BP$5+GanttPeriod),"◇","")),IF(AND(BP$5&lt;=$F182,BP$5+GanttPeriod-1&gt;=$E182),"━","")))</f>
        <v/>
      </c>
      <c r="BQ182" s="69" t="str">
        <f aca="false">IF($E182="","",IF($M182,IF(AND($G182&gt;=BQ$5,$G182&lt;BQ$5+GanttPeriod),"◆",IF(AND($E182&gt;=BQ$5,$E182&lt;BQ$5+GanttPeriod),"◇","")),IF(AND(BQ$5&lt;=$F182,BQ$5+GanttPeriod-1&gt;=$E182),"━","")))</f>
        <v/>
      </c>
      <c r="BR182" s="69" t="str">
        <f aca="false">IF($E182="","",IF($M182,IF(AND($G182&gt;=BR$5,$G182&lt;BR$5+GanttPeriod),"◆",IF(AND($E182&gt;=BR$5,$E182&lt;BR$5+GanttPeriod),"◇","")),IF(AND(BR$5&lt;=$F182,BR$5+GanttPeriod-1&gt;=$E182),"━","")))</f>
        <v/>
      </c>
      <c r="BS182" s="69" t="str">
        <f aca="false">IF($E182="","",IF($M182,IF(AND($G182&gt;=BS$5,$G182&lt;BS$5+GanttPeriod),"◆",IF(AND($E182&gt;=BS$5,$E182&lt;BS$5+GanttPeriod),"◇","")),IF(AND(BS$5&lt;=$F182,BS$5+GanttPeriod-1&gt;=$E182),"━","")))</f>
        <v/>
      </c>
      <c r="BT182" s="69" t="str">
        <f aca="false">IF($E182="","",IF($M182,IF(AND($G182&gt;=BT$5,$G182&lt;BT$5+GanttPeriod),"◆",IF(AND($E182&gt;=BT$5,$E182&lt;BT$5+GanttPeriod),"◇","")),IF(AND(BT$5&lt;=$F182,BT$5+GanttPeriod-1&gt;=$E182),"━","")))</f>
        <v/>
      </c>
      <c r="BU182" s="69" t="str">
        <f aca="false">IF($E182="","",IF($M182,IF(AND($G182&gt;=BU$5,$G182&lt;BU$5+GanttPeriod),"◆",IF(AND($E182&gt;=BU$5,$E182&lt;BU$5+GanttPeriod),"◇","")),IF(AND(BU$5&lt;=$F182,BU$5+GanttPeriod-1&gt;=$E182),"━","")))</f>
        <v/>
      </c>
      <c r="BV182" s="69" t="str">
        <f aca="false">IF($E182="","",IF($M182,IF(AND($G182&gt;=BV$5,$G182&lt;BV$5+GanttPeriod),"◆",IF(AND($E182&gt;=BV$5,$E182&lt;BV$5+GanttPeriod),"◇","")),IF(AND(BV$5&lt;=$F182,BV$5+GanttPeriod-1&gt;=$E182),"━","")))</f>
        <v/>
      </c>
      <c r="BW182" s="69" t="str">
        <f aca="false">IF($E182="","",IF($M182,IF(AND($G182&gt;=BW$5,$G182&lt;BW$5+GanttPeriod),"◆",IF(AND($E182&gt;=BW$5,$E182&lt;BW$5+GanttPeriod),"◇","")),IF(AND(BW$5&lt;=$F182,BW$5+GanttPeriod-1&gt;=$E182),"━","")))</f>
        <v/>
      </c>
      <c r="BX182" s="69" t="str">
        <f aca="false">IF($E182="","",IF($M182,IF(AND($G182&gt;=BX$5,$G182&lt;BX$5+GanttPeriod),"◆",IF(AND($E182&gt;=BX$5,$E182&lt;BX$5+GanttPeriod),"◇","")),IF(AND(BX$5&lt;=$F182,BX$5+GanttPeriod-1&gt;=$E182),"━","")))</f>
        <v/>
      </c>
      <c r="BY182" s="69" t="str">
        <f aca="false">IF($E182="","",IF($M182,IF(AND($G182&gt;=BY$5,$G182&lt;BY$5+GanttPeriod),"◆",IF(AND($E182&gt;=BY$5,$E182&lt;BY$5+GanttPeriod),"◇","")),IF(AND(BY$5&lt;=$F182,BY$5+GanttPeriod-1&gt;=$E182),"━","")))</f>
        <v/>
      </c>
      <c r="BZ182" s="69" t="str">
        <f aca="false">IF($E182="","",IF($M182,IF(AND($G182&gt;=BZ$5,$G182&lt;BZ$5+GanttPeriod),"◆",IF(AND($E182&gt;=BZ$5,$E182&lt;BZ$5+GanttPeriod),"◇","")),IF(AND(BZ$5&lt;=$F182,BZ$5+GanttPeriod-1&gt;=$E182),"━","")))</f>
        <v/>
      </c>
      <c r="CA182" s="69" t="str">
        <f aca="false">IF($E182="","",IF($M182,IF(AND($G182&gt;=CA$5,$G182&lt;CA$5+GanttPeriod),"◆",IF(AND($E182&gt;=CA$5,$E182&lt;CA$5+GanttPeriod),"◇","")),IF(AND(CA$5&lt;=$F182,CA$5+GanttPeriod-1&gt;=$E182),"━","")))</f>
        <v/>
      </c>
      <c r="CB182" s="69" t="str">
        <f aca="false">IF($E182="","",IF($M182,IF(AND($G182&gt;=CB$5,$G182&lt;CB$5+GanttPeriod),"◆",IF(AND($E182&gt;=CB$5,$E182&lt;CB$5+GanttPeriod),"◇","")),IF(AND(CB$5&lt;=$F182,CB$5+GanttPeriod-1&gt;=$E182),"━","")))</f>
        <v/>
      </c>
      <c r="CC182" s="69" t="str">
        <f aca="false">IF($E182="","",IF($M182,IF(AND($G182&gt;=CC$5,$G182&lt;CC$5+GanttPeriod),"◆",IF(AND($E182&gt;=CC$5,$E182&lt;CC$5+GanttPeriod),"◇","")),IF(AND(CC$5&lt;=$F182,CC$5+GanttPeriod-1&gt;=$E182),"━","")))</f>
        <v/>
      </c>
      <c r="CD182" s="69" t="str">
        <f aca="false">IF($E182="","",IF($M182,IF(AND($G182&gt;=CD$5,$G182&lt;CD$5+GanttPeriod),"◆",IF(AND($E182&gt;=CD$5,$E182&lt;CD$5+GanttPeriod),"◇","")),IF(AND(CD$5&lt;=$F182,CD$5+GanttPeriod-1&gt;=$E182),"━","")))</f>
        <v/>
      </c>
      <c r="CE182" s="69" t="str">
        <f aca="false">IF($E182="","",IF($M182,IF(AND($G182&gt;=CE$5,$G182&lt;CE$5+GanttPeriod),"◆",IF(AND($E182&gt;=CE$5,$E182&lt;CE$5+GanttPeriod),"◇","")),IF(AND(CE$5&lt;=$F182,CE$5+GanttPeriod-1&gt;=$E182),"━","")))</f>
        <v/>
      </c>
      <c r="CF182" s="69" t="str">
        <f aca="false">IF($E182="","",IF($M182,IF(AND($G182&gt;=CF$5,$G182&lt;CF$5+GanttPeriod),"◆",IF(AND($E182&gt;=CF$5,$E182&lt;CF$5+GanttPeriod),"◇","")),IF(AND(CF$5&lt;=$F182,CF$5+GanttPeriod-1&gt;=$E182),"━","")))</f>
        <v/>
      </c>
      <c r="CG182" s="69" t="str">
        <f aca="false">IF($E182="","",IF($M182,IF(AND($G182&gt;=CG$5,$G182&lt;CG$5+GanttPeriod),"◆",IF(AND($E182&gt;=CG$5,$E182&lt;CG$5+GanttPeriod),"◇","")),IF(AND(CG$5&lt;=$F182,CG$5+GanttPeriod-1&gt;=$E182),"━","")))</f>
        <v/>
      </c>
      <c r="CH182" s="69" t="str">
        <f aca="false">IF($E182="","",IF($M182,IF(AND($G182&gt;=CH$5,$G182&lt;CH$5+GanttPeriod),"◆",IF(AND($E182&gt;=CH$5,$E182&lt;CH$5+GanttPeriod),"◇","")),IF(AND(CH$5&lt;=$F182,CH$5+GanttPeriod-1&gt;=$E182),"━","")))</f>
        <v/>
      </c>
      <c r="CI182" s="69" t="str">
        <f aca="false">IF($E182="","",IF($M182,IF(AND($G182&gt;=CI$5,$G182&lt;CI$5+GanttPeriod),"◆",IF(AND($E182&gt;=CI$5,$E182&lt;CI$5+GanttPeriod),"◇","")),IF(AND(CI$5&lt;=$F182,CI$5+GanttPeriod-1&gt;=$E182),"━","")))</f>
        <v/>
      </c>
      <c r="CJ182" s="69" t="str">
        <f aca="false">IF($E182="","",IF($M182,IF(AND($G182&gt;=CJ$5,$G182&lt;CJ$5+GanttPeriod),"◆",IF(AND($E182&gt;=CJ$5,$E182&lt;CJ$5+GanttPeriod),"◇","")),IF(AND(CJ$5&lt;=$F182,CJ$5+GanttPeriod-1&gt;=$E182),"━","")))</f>
        <v/>
      </c>
      <c r="CK182" s="69" t="str">
        <f aca="false">IF($E182="","",IF($M182,IF(AND($G182&gt;=CK$5,$G182&lt;CK$5+GanttPeriod),"◆",IF(AND($E182&gt;=CK$5,$E182&lt;CK$5+GanttPeriod),"◇","")),IF(AND(CK$5&lt;=$F182,CK$5+GanttPeriod-1&gt;=$E182),"━","")))</f>
        <v/>
      </c>
      <c r="CL182" s="69" t="str">
        <f aca="false">IF($E182="","",IF($M182,IF(AND($G182&gt;=CL$5,$G182&lt;CL$5+GanttPeriod),"◆",IF(AND($E182&gt;=CL$5,$E182&lt;CL$5+GanttPeriod),"◇","")),IF(AND(CL$5&lt;=$F182,CL$5+GanttPeriod-1&gt;=$E182),"━","")))</f>
        <v/>
      </c>
      <c r="CM182" s="69" t="str">
        <f aca="false">IF($E182="","",IF($M182,IF(AND($G182&gt;=CM$5,$G182&lt;CM$5+GanttPeriod),"◆",IF(AND($E182&gt;=CM$5,$E182&lt;CM$5+GanttPeriod),"◇","")),IF(AND(CM$5&lt;=$F182,CM$5+GanttPeriod-1&gt;=$E182),"━","")))</f>
        <v/>
      </c>
      <c r="CN182" s="69" t="str">
        <f aca="false">IF($E182="","",IF($M182,IF(AND($G182&gt;=CN$5,$G182&lt;CN$5+GanttPeriod),"◆",IF(AND($E182&gt;=CN$5,$E182&lt;CN$5+GanttPeriod),"◇","")),IF(AND(CN$5&lt;=$F182,CN$5+GanttPeriod-1&gt;=$E182),"━","")))</f>
        <v/>
      </c>
      <c r="CO182" s="69" t="str">
        <f aca="false">IF($E182="","",IF($M182,IF(AND($G182&gt;=CO$5,$G182&lt;CO$5+GanttPeriod),"◆",IF(AND($E182&gt;=CO$5,$E182&lt;CO$5+GanttPeriod),"◇","")),IF(AND(CO$5&lt;=$F182,CO$5+GanttPeriod-1&gt;=$E182),"━","")))</f>
        <v/>
      </c>
      <c r="CP182" s="69" t="str">
        <f aca="false">IF($E182="","",IF($M182,IF(AND($G182&gt;=CP$5,$G182&lt;CP$5+GanttPeriod),"◆",IF(AND($E182&gt;=CP$5,$E182&lt;CP$5+GanttPeriod),"◇","")),IF(AND(CP$5&lt;=$F182,CP$5+GanttPeriod-1&gt;=$E182),"━","")))</f>
        <v/>
      </c>
      <c r="CQ182" s="69" t="str">
        <f aca="false">IF($E182="","",IF($M182,IF(AND($G182&gt;=CQ$5,$G182&lt;CQ$5+GanttPeriod),"◆",IF(AND($E182&gt;=CQ$5,$E182&lt;CQ$5+GanttPeriod),"◇","")),IF(AND(CQ$5&lt;=$F182,CQ$5+GanttPeriod-1&gt;=$E182),"━","")))</f>
        <v/>
      </c>
      <c r="CR182" s="69" t="str">
        <f aca="false">IF($E182="","",IF($M182,IF(AND($G182&gt;=CR$5,$G182&lt;CR$5+GanttPeriod),"◆",IF(AND($E182&gt;=CR$5,$E182&lt;CR$5+GanttPeriod),"◇","")),IF(AND(CR$5&lt;=$F182,CR$5+GanttPeriod-1&gt;=$E182),"━","")))</f>
        <v/>
      </c>
      <c r="CS182" s="69" t="str">
        <f aca="false">IF($E182="","",IF($M182,IF(AND($G182&gt;=CS$5,$G182&lt;CS$5+GanttPeriod),"◆",IF(AND($E182&gt;=CS$5,$E182&lt;CS$5+GanttPeriod),"◇","")),IF(AND(CS$5&lt;=$F182,CS$5+GanttPeriod-1&gt;=$E182),"━","")))</f>
        <v/>
      </c>
      <c r="CT182" s="69" t="str">
        <f aca="false">IF($E182="","",IF($M182,IF(AND($G182&gt;=CT$5,$G182&lt;CT$5+GanttPeriod),"◆",IF(AND($E182&gt;=CT$5,$E182&lt;CT$5+GanttPeriod),"◇","")),IF(AND(CT$5&lt;=$F182,CT$5+GanttPeriod-1&gt;=$E182),"━","")))</f>
        <v/>
      </c>
      <c r="CU182" s="69" t="str">
        <f aca="false">IF($E182="","",IF($M182,IF(AND($G182&gt;=CU$5,$G182&lt;CU$5+GanttPeriod),"◆",IF(AND($E182&gt;=CU$5,$E182&lt;CU$5+GanttPeriod),"◇","")),IF(AND(CU$5&lt;=$F182,CU$5+GanttPeriod-1&gt;=$E182),"━","")))</f>
        <v/>
      </c>
      <c r="CV182" s="69" t="str">
        <f aca="false">IF($E182="","",IF($M182,IF(AND($G182&gt;=CV$5,$G182&lt;CV$5+GanttPeriod),"◆",IF(AND($E182&gt;=CV$5,$E182&lt;CV$5+GanttPeriod),"◇","")),IF(AND(CV$5&lt;=$F182,CV$5+GanttPeriod-1&gt;=$E182),"━","")))</f>
        <v/>
      </c>
      <c r="CW182" s="69" t="str">
        <f aca="false">IF($E182="","",IF($M182,IF(AND($G182&gt;=CW$5,$G182&lt;CW$5+GanttPeriod),"◆",IF(AND($E182&gt;=CW$5,$E182&lt;CW$5+GanttPeriod),"◇","")),IF(AND(CW$5&lt;=$F182,CW$5+GanttPeriod-1&gt;=$E182),"━","")))</f>
        <v/>
      </c>
      <c r="CX182" s="69" t="str">
        <f aca="false">IF($E182="","",IF($M182,IF(AND($G182&gt;=CX$5,$G182&lt;CX$5+GanttPeriod),"◆",IF(AND($E182&gt;=CX$5,$E182&lt;CX$5+GanttPeriod),"◇","")),IF(AND(CX$5&lt;=$F182,CX$5+GanttPeriod-1&gt;=$E182),"━","")))</f>
        <v/>
      </c>
      <c r="CY182" s="69" t="str">
        <f aca="false">IF($E182="","",IF($M182,IF(AND($G182&gt;=CY$5,$G182&lt;CY$5+GanttPeriod),"◆",IF(AND($E182&gt;=CY$5,$E182&lt;CY$5+GanttPeriod),"◇","")),IF(AND(CY$5&lt;=$F182,CY$5+GanttPeriod-1&gt;=$E182),"━","")))</f>
        <v/>
      </c>
      <c r="CZ182" s="69" t="str">
        <f aca="false">IF($E182="","",IF($M182,IF(AND($G182&gt;=CZ$5,$G182&lt;CZ$5+GanttPeriod),"◆",IF(AND($E182&gt;=CZ$5,$E182&lt;CZ$5+GanttPeriod),"◇","")),IF(AND(CZ$5&lt;=$F182,CZ$5+GanttPeriod-1&gt;=$E182),"━","")))</f>
        <v/>
      </c>
      <c r="DA182" s="69" t="str">
        <f aca="false">IF($E182="","",IF($M182,IF(AND($G182&gt;=DA$5,$G182&lt;DA$5+GanttPeriod),"◆",IF(AND($E182&gt;=DA$5,$E182&lt;DA$5+GanttPeriod),"◇","")),IF(AND(DA$5&lt;=$F182,DA$5+GanttPeriod-1&gt;=$E182),"━","")))</f>
        <v/>
      </c>
      <c r="DB182" s="69" t="str">
        <f aca="false">IF($E182="","",IF($M182,IF(AND($G182&gt;=DB$5,$G182&lt;DB$5+GanttPeriod),"◆",IF(AND($E182&gt;=DB$5,$E182&lt;DB$5+GanttPeriod),"◇","")),IF(AND(DB$5&lt;=$F182,DB$5+GanttPeriod-1&gt;=$E182),"━","")))</f>
        <v/>
      </c>
      <c r="DC182" s="69" t="str">
        <f aca="false">IF($E182="","",IF($M182,IF(AND($G182&gt;=DC$5,$G182&lt;DC$5+GanttPeriod),"◆",IF(AND($E182&gt;=DC$5,$E182&lt;DC$5+GanttPeriod),"◇","")),IF(AND(DC$5&lt;=$F182,DC$5+GanttPeriod-1&gt;=$E182),"━","")))</f>
        <v/>
      </c>
      <c r="DD182" s="69" t="str">
        <f aca="false">IF($E182="","",IF($M182,IF(AND($G182&gt;=DD$5,$G182&lt;DD$5+GanttPeriod),"◆",IF(AND($E182&gt;=DD$5,$E182&lt;DD$5+GanttPeriod),"◇","")),IF(AND(DD$5&lt;=$F182,DD$5+GanttPeriod-1&gt;=$E182),"━","")))</f>
        <v/>
      </c>
      <c r="DE182" s="69" t="str">
        <f aca="false">IF($E182="","",IF($M182,IF(AND($G182&gt;=DE$5,$G182&lt;DE$5+GanttPeriod),"◆",IF(AND($E182&gt;=DE$5,$E182&lt;DE$5+GanttPeriod),"◇","")),IF(AND(DE$5&lt;=$F182,DE$5+GanttPeriod-1&gt;=$E182),"━","")))</f>
        <v/>
      </c>
      <c r="DF182" s="69" t="str">
        <f aca="false">IF($E182="","",IF($M182,IF(AND($G182&gt;=DF$5,$G182&lt;DF$5+GanttPeriod),"◆",IF(AND($E182&gt;=DF$5,$E182&lt;DF$5+GanttPeriod),"◇","")),IF(AND(DF$5&lt;=$F182,DF$5+GanttPeriod-1&gt;=$E182),"━","")))</f>
        <v/>
      </c>
      <c r="DG182" s="69" t="str">
        <f aca="false">IF($E182="","",IF($M182,IF(AND($G182&gt;=DG$5,$G182&lt;DG$5+GanttPeriod),"◆",IF(AND($E182&gt;=DG$5,$E182&lt;DG$5+GanttPeriod),"◇","")),IF(AND(DG$5&lt;=$F182,DG$5+GanttPeriod-1&gt;=$E182),"━","")))</f>
        <v/>
      </c>
      <c r="DH182" s="69" t="str">
        <f aca="false">IF($E182="","",IF($M182,IF(AND($G182&gt;=DH$5,$G182&lt;DH$5+GanttPeriod),"◆",IF(AND($E182&gt;=DH$5,$E182&lt;DH$5+GanttPeriod),"◇","")),IF(AND(DH$5&lt;=$F182,DH$5+GanttPeriod-1&gt;=$E182),"━","")))</f>
        <v/>
      </c>
      <c r="DI182" s="69" t="str">
        <f aca="false">IF($E182="","",IF($M182,IF(AND($G182&gt;=DI$5,$G182&lt;DI$5+GanttPeriod),"◆",IF(AND($E182&gt;=DI$5,$E182&lt;DI$5+GanttPeriod),"◇","")),IF(AND(DI$5&lt;=$F182,DI$5+GanttPeriod-1&gt;=$E182),"━","")))</f>
        <v/>
      </c>
      <c r="DJ182" s="69" t="str">
        <f aca="false">IF($E182="","",IF($M182,IF(AND($G182&gt;=DJ$5,$G182&lt;DJ$5+GanttPeriod),"◆",IF(AND($E182&gt;=DJ$5,$E182&lt;DJ$5+GanttPeriod),"◇","")),IF(AND(DJ$5&lt;=$F182,DJ$5+GanttPeriod-1&gt;=$E182),"━","")))</f>
        <v/>
      </c>
      <c r="DK182" s="69" t="str">
        <f aca="false">IF($E182="","",IF($M182,IF(AND($G182&gt;=DK$5,$G182&lt;DK$5+GanttPeriod),"◆",IF(AND($E182&gt;=DK$5,$E182&lt;DK$5+GanttPeriod),"◇","")),IF(AND(DK$5&lt;=$F182,DK$5+GanttPeriod-1&gt;=$E182),"━","")))</f>
        <v/>
      </c>
      <c r="DL182" s="69" t="str">
        <f aca="false">IF($E182="","",IF($M182,IF(AND($G182&gt;=DL$5,$G182&lt;DL$5+GanttPeriod),"◆",IF(AND($E182&gt;=DL$5,$E182&lt;DL$5+GanttPeriod),"◇","")),IF(AND(DL$5&lt;=$F182,DL$5+GanttPeriod-1&gt;=$E182),"━","")))</f>
        <v/>
      </c>
      <c r="DM182" s="69" t="str">
        <f aca="false">IF($E182="","",IF($M182,IF(AND($G182&gt;=DM$5,$G182&lt;DM$5+GanttPeriod),"◆",IF(AND($E182&gt;=DM$5,$E182&lt;DM$5+GanttPeriod),"◇","")),IF(AND(DM$5&lt;=$F182,DM$5+GanttPeriod-1&gt;=$E182),"━","")))</f>
        <v/>
      </c>
      <c r="DN182" s="69" t="str">
        <f aca="false">IF($E182="","",IF($M182,IF(AND($G182&gt;=DN$5,$G182&lt;DN$5+GanttPeriod),"◆",IF(AND($E182&gt;=DN$5,$E182&lt;DN$5+GanttPeriod),"◇","")),IF(AND(DN$5&lt;=$F182,DN$5+GanttPeriod-1&gt;=$E182),"━","")))</f>
        <v/>
      </c>
      <c r="DO182" s="69" t="str">
        <f aca="false">IF($E182="","",IF($M182,IF(AND($G182&gt;=DO$5,$G182&lt;DO$5+GanttPeriod),"◆",IF(AND($E182&gt;=DO$5,$E182&lt;DO$5+GanttPeriod),"◇","")),IF(AND(DO$5&lt;=$F182,DO$5+GanttPeriod-1&gt;=$E182),"━","")))</f>
        <v/>
      </c>
      <c r="DP182" s="69" t="str">
        <f aca="false">IF($E182="","",IF($M182,IF(AND($G182&gt;=DP$5,$G182&lt;DP$5+GanttPeriod),"◆",IF(AND($E182&gt;=DP$5,$E182&lt;DP$5+GanttPeriod),"◇","")),IF(AND(DP$5&lt;=$F182,DP$5+GanttPeriod-1&gt;=$E182),"━","")))</f>
        <v/>
      </c>
      <c r="DQ182" s="69" t="str">
        <f aca="false">IF($E182="","",IF($M182,IF(AND($G182&gt;=DQ$5,$G182&lt;DQ$5+GanttPeriod),"◆",IF(AND($E182&gt;=DQ$5,$E182&lt;DQ$5+GanttPeriod),"◇","")),IF(AND(DQ$5&lt;=$F182,DQ$5+GanttPeriod-1&gt;=$E182),"━","")))</f>
        <v/>
      </c>
      <c r="DR182" s="69" t="str">
        <f aca="false">IF($E182="","",IF($M182,IF(AND($G182&gt;=DR$5,$G182&lt;DR$5+GanttPeriod),"◆",IF(AND($E182&gt;=DR$5,$E182&lt;DR$5+GanttPeriod),"◇","")),IF(AND(DR$5&lt;=$F182,DR$5+GanttPeriod-1&gt;=$E182),"━","")))</f>
        <v/>
      </c>
      <c r="DS182" s="69" t="str">
        <f aca="false">IF($E182="","",IF($M182,IF(AND($G182&gt;=DS$5,$G182&lt;DS$5+GanttPeriod),"◆",IF(AND($E182&gt;=DS$5,$E182&lt;DS$5+GanttPeriod),"◇","")),IF(AND(DS$5&lt;=$F182,DS$5+GanttPeriod-1&gt;=$E182),"━","")))</f>
        <v/>
      </c>
      <c r="DT182" s="69" t="str">
        <f aca="false">IF($E182="","",IF($M182,IF(AND($G182&gt;=DT$5,$G182&lt;DT$5+GanttPeriod),"◆",IF(AND($E182&gt;=DT$5,$E182&lt;DT$5+GanttPeriod),"◇","")),IF(AND(DT$5&lt;=$F182,DT$5+GanttPeriod-1&gt;=$E182),"━","")))</f>
        <v/>
      </c>
      <c r="DU182" s="69" t="str">
        <f aca="false">IF($E182="","",IF($M182,IF(AND($G182&gt;=DU$5,$G182&lt;DU$5+GanttPeriod),"◆",IF(AND($E182&gt;=DU$5,$E182&lt;DU$5+GanttPeriod),"◇","")),IF(AND(DU$5&lt;=$F182,DU$5+GanttPeriod-1&gt;=$E182),"━","")))</f>
        <v/>
      </c>
      <c r="DV182" s="69" t="str">
        <f aca="false">IF($E182="","",IF($M182,IF(AND($G182&gt;=DV$5,$G182&lt;DV$5+GanttPeriod),"◆",IF(AND($E182&gt;=DV$5,$E182&lt;DV$5+GanttPeriod),"◇","")),IF(AND(DV$5&lt;=$F182,DV$5+GanttPeriod-1&gt;=$E182),"━","")))</f>
        <v/>
      </c>
      <c r="DW182" s="69" t="str">
        <f aca="false">IF($E182="","",IF($M182,IF(AND($G182&gt;=DW$5,$G182&lt;DW$5+GanttPeriod),"◆",IF(AND($E182&gt;=DW$5,$E182&lt;DW$5+GanttPeriod),"◇","")),IF(AND(DW$5&lt;=$F182,DW$5+GanttPeriod-1&gt;=$E182),"━","")))</f>
        <v/>
      </c>
      <c r="DX182" s="69" t="str">
        <f aca="false">IF($E182="","",IF($M182,IF(AND($G182&gt;=DX$5,$G182&lt;DX$5+GanttPeriod),"◆",IF(AND($E182&gt;=DX$5,$E182&lt;DX$5+GanttPeriod),"◇","")),IF(AND(DX$5&lt;=$F182,DX$5+GanttPeriod-1&gt;=$E182),"━","")))</f>
        <v/>
      </c>
      <c r="DY182" s="69" t="str">
        <f aca="false">IF($E182="","",IF($M182,IF(AND($G182&gt;=DY$5,$G182&lt;DY$5+GanttPeriod),"◆",IF(AND($E182&gt;=DY$5,$E182&lt;DY$5+GanttPeriod),"◇","")),IF(AND(DY$5&lt;=$F182,DY$5+GanttPeriod-1&gt;=$E182),"━","")))</f>
        <v/>
      </c>
      <c r="DZ182" s="69" t="str">
        <f aca="false">IF($E182="","",IF($M182,IF(AND($G182&gt;=DZ$5,$G182&lt;DZ$5+GanttPeriod),"◆",IF(AND($E182&gt;=DZ$5,$E182&lt;DZ$5+GanttPeriod),"◇","")),IF(AND(DZ$5&lt;=$F182,DZ$5+GanttPeriod-1&gt;=$E182),"━","")))</f>
        <v/>
      </c>
      <c r="EA182" s="69" t="str">
        <f aca="false">IF($E182="","",IF($M182,IF(AND($G182&gt;=EA$5,$G182&lt;EA$5+GanttPeriod),"◆",IF(AND($E182&gt;=EA$5,$E182&lt;EA$5+GanttPeriod),"◇","")),IF(AND(EA$5&lt;=$F182,EA$5+GanttPeriod-1&gt;=$E182),"━","")))</f>
        <v/>
      </c>
      <c r="EB182" s="69" t="str">
        <f aca="false">IF($E182="","",IF($M182,IF(AND($G182&gt;=EB$5,$G182&lt;EB$5+GanttPeriod),"◆",IF(AND($E182&gt;=EB$5,$E182&lt;EB$5+GanttPeriod),"◇","")),IF(AND(EB$5&lt;=$F182,EB$5+GanttPeriod-1&gt;=$E182),"━","")))</f>
        <v/>
      </c>
      <c r="EC182" s="69" t="str">
        <f aca="false">IF($E182="","",IF($M182,IF(AND($G182&gt;=EC$5,$G182&lt;EC$5+GanttPeriod),"◆",IF(AND($E182&gt;=EC$5,$E182&lt;EC$5+GanttPeriod),"◇","")),IF(AND(EC$5&lt;=$F182,EC$5+GanttPeriod-1&gt;=$E182),"━","")))</f>
        <v/>
      </c>
      <c r="ED182" s="69" t="str">
        <f aca="false">IF($E182="","",IF($M182,IF(AND($G182&gt;=ED$5,$G182&lt;ED$5+GanttPeriod),"◆",IF(AND($E182&gt;=ED$5,$E182&lt;ED$5+GanttPeriod),"◇","")),IF(AND(ED$5&lt;=$F182,ED$5+GanttPeriod-1&gt;=$E182),"━","")))</f>
        <v/>
      </c>
      <c r="EE182" s="69" t="str">
        <f aca="false">IF($E182="","",IF($M182,IF(AND($G182&gt;=EE$5,$G182&lt;EE$5+GanttPeriod),"◆",IF(AND($E182&gt;=EE$5,$E182&lt;EE$5+GanttPeriod),"◇","")),IF(AND(EE$5&lt;=$F182,EE$5+GanttPeriod-1&gt;=$E182),"━","")))</f>
        <v/>
      </c>
      <c r="EF182" s="69" t="str">
        <f aca="false">IF($E182="","",IF($M182,IF(AND($G182&gt;=EF$5,$G182&lt;EF$5+GanttPeriod),"◆",IF(AND($E182&gt;=EF$5,$E182&lt;EF$5+GanttPeriod),"◇","")),IF(AND(EF$5&lt;=$F182,EF$5+GanttPeriod-1&gt;=$E182),"━","")))</f>
        <v/>
      </c>
      <c r="EG182" s="69" t="str">
        <f aca="false">IF($E182="","",IF($M182,IF(AND($G182&gt;=EG$5,$G182&lt;EG$5+GanttPeriod),"◆",IF(AND($E182&gt;=EG$5,$E182&lt;EG$5+GanttPeriod),"◇","")),IF(AND(EG$5&lt;=$F182,EG$5+GanttPeriod-1&gt;=$E182),"━","")))</f>
        <v/>
      </c>
      <c r="EH182" s="69" t="str">
        <f aca="false">IF($E182="","",IF($M182,IF(AND($G182&gt;=EH$5,$G182&lt;EH$5+GanttPeriod),"◆",IF(AND($E182&gt;=EH$5,$E182&lt;EH$5+GanttPeriod),"◇","")),IF(AND(EH$5&lt;=$F182,EH$5+GanttPeriod-1&gt;=$E182),"━","")))</f>
        <v/>
      </c>
      <c r="EI182" s="69" t="str">
        <f aca="false">IF($E182="","",IF($M182,IF(AND($G182&gt;=EI$5,$G182&lt;EI$5+GanttPeriod),"◆",IF(AND($E182&gt;=EI$5,$E182&lt;EI$5+GanttPeriod),"◇","")),IF(AND(EI$5&lt;=$F182,EI$5+GanttPeriod-1&gt;=$E182),"━","")))</f>
        <v/>
      </c>
      <c r="EJ182" s="69" t="str">
        <f aca="false">IF($E182="","",IF($M182,IF(AND($G182&gt;=EJ$5,$G182&lt;EJ$5+GanttPeriod),"◆",IF(AND($E182&gt;=EJ$5,$E182&lt;EJ$5+GanttPeriod),"◇","")),IF(AND(EJ$5&lt;=$F182,EJ$5+GanttPeriod-1&gt;=$E182),"━","")))</f>
        <v/>
      </c>
      <c r="EK182" s="69" t="str">
        <f aca="false">IF($E182="","",IF($M182,IF(AND($G182&gt;=EK$5,$G182&lt;EK$5+GanttPeriod),"◆",IF(AND($E182&gt;=EK$5,$E182&lt;EK$5+GanttPeriod),"◇","")),IF(AND(EK$5&lt;=$F182,EK$5+GanttPeriod-1&gt;=$E182),"━","")))</f>
        <v/>
      </c>
      <c r="EL182" s="69" t="str">
        <f aca="false">IF($E182="","",IF($M182,IF(AND($G182&gt;=EL$5,$G182&lt;EL$5+GanttPeriod),"◆",IF(AND($E182&gt;=EL$5,$E182&lt;EL$5+GanttPeriod),"◇","")),IF(AND(EL$5&lt;=$F182,EL$5+GanttPeriod-1&gt;=$E182),"━","")))</f>
        <v/>
      </c>
      <c r="EM182" s="69" t="str">
        <f aca="false">IF($E182="","",IF($M182,IF(AND($G182&gt;=EM$5,$G182&lt;EM$5+GanttPeriod),"◆",IF(AND($E182&gt;=EM$5,$E182&lt;EM$5+GanttPeriod),"◇","")),IF(AND(EM$5&lt;=$F182,EM$5+GanttPeriod-1&gt;=$E182),"━","")))</f>
        <v/>
      </c>
      <c r="EN182" s="69" t="str">
        <f aca="false">IF($E182="","",IF($M182,IF(AND($G182&gt;=EN$5,$G182&lt;EN$5+GanttPeriod),"◆",IF(AND($E182&gt;=EN$5,$E182&lt;EN$5+GanttPeriod),"◇","")),IF(AND(EN$5&lt;=$F182,EN$5+GanttPeriod-1&gt;=$E182),"━","")))</f>
        <v/>
      </c>
      <c r="EO182" s="69" t="str">
        <f aca="false">IF($E182="","",IF($M182,IF(AND($G182&gt;=EO$5,$G182&lt;EO$5+GanttPeriod),"◆",IF(AND($E182&gt;=EO$5,$E182&lt;EO$5+GanttPeriod),"◇","")),IF(AND(EO$5&lt;=$F182,EO$5+GanttPeriod-1&gt;=$E182),"━","")))</f>
        <v/>
      </c>
      <c r="EP182" s="69" t="str">
        <f aca="false">IF($E182="","",IF($M182,IF(AND($G182&gt;=EP$5,$G182&lt;EP$5+GanttPeriod),"◆",IF(AND($E182&gt;=EP$5,$E182&lt;EP$5+GanttPeriod),"◇","")),IF(AND(EP$5&lt;=$F182,EP$5+GanttPeriod-1&gt;=$E182),"━","")))</f>
        <v/>
      </c>
      <c r="EQ182" s="69" t="str">
        <f aca="false">IF($E182="","",IF($M182,IF(AND($G182&gt;=EQ$5,$G182&lt;EQ$5+GanttPeriod),"◆",IF(AND($E182&gt;=EQ$5,$E182&lt;EQ$5+GanttPeriod),"◇","")),IF(AND(EQ$5&lt;=$F182,EQ$5+GanttPeriod-1&gt;=$E182),"━","")))</f>
        <v/>
      </c>
      <c r="ER182" s="69" t="str">
        <f aca="false">IF($E182="","",IF($M182,IF(AND($G182&gt;=ER$5,$G182&lt;ER$5+GanttPeriod),"◆",IF(AND($E182&gt;=ER$5,$E182&lt;ER$5+GanttPeriod),"◇","")),IF(AND(ER$5&lt;=$F182,ER$5+GanttPeriod-1&gt;=$E182),"━","")))</f>
        <v/>
      </c>
      <c r="ES182" s="69" t="str">
        <f aca="false">IF($E182="","",IF($M182,IF(AND($G182&gt;=ES$5,$G182&lt;ES$5+GanttPeriod),"◆",IF(AND($E182&gt;=ES$5,$E182&lt;ES$5+GanttPeriod),"◇","")),IF(AND(ES$5&lt;=$F182,ES$5+GanttPeriod-1&gt;=$E182),"━","")))</f>
        <v/>
      </c>
      <c r="ET182" s="69" t="str">
        <f aca="false">IF($E182="","",IF($M182,IF(AND($G182&gt;=ET$5,$G182&lt;ET$5+GanttPeriod),"◆",IF(AND($E182&gt;=ET$5,$E182&lt;ET$5+GanttPeriod),"◇","")),IF(AND(ET$5&lt;=$F182,ET$5+GanttPeriod-1&gt;=$E182),"━","")))</f>
        <v/>
      </c>
      <c r="EU182" s="69" t="str">
        <f aca="false">IF($E182="","",IF($M182,IF(AND($G182&gt;=EU$5,$G182&lt;EU$5+GanttPeriod),"◆",IF(AND($E182&gt;=EU$5,$E182&lt;EU$5+GanttPeriod),"◇","")),IF(AND(EU$5&lt;=$F182,EU$5+GanttPeriod-1&gt;=$E182),"━","")))</f>
        <v/>
      </c>
      <c r="EV182" s="69" t="str">
        <f aca="false">IF($E182="","",IF($M182,IF(AND($G182&gt;=EV$5,$G182&lt;EV$5+GanttPeriod),"◆",IF(AND($E182&gt;=EV$5,$E182&lt;EV$5+GanttPeriod),"◇","")),IF(AND(EV$5&lt;=$F182,EV$5+GanttPeriod-1&gt;=$E182),"━","")))</f>
        <v/>
      </c>
      <c r="EW182" s="69" t="str">
        <f aca="false">IF($E182="","",IF($M182,IF(AND($G182&gt;=EW$5,$G182&lt;EW$5+GanttPeriod),"◆",IF(AND($E182&gt;=EW$5,$E182&lt;EW$5+GanttPeriod),"◇","")),IF(AND(EW$5&lt;=$F182,EW$5+GanttPeriod-1&gt;=$E182),"━","")))</f>
        <v/>
      </c>
      <c r="EX182" s="69" t="str">
        <f aca="false">IF($E182="","",IF($M182,IF(AND($G182&gt;=EX$5,$G182&lt;EX$5+GanttPeriod),"◆",IF(AND($E182&gt;=EX$5,$E182&lt;EX$5+GanttPeriod),"◇","")),IF(AND(EX$5&lt;=$F182,EX$5+GanttPeriod-1&gt;=$E182),"━","")))</f>
        <v/>
      </c>
      <c r="EY182" s="69" t="str">
        <f aca="false">IF($E182="","",IF($M182,IF(AND($G182&gt;=EY$5,$G182&lt;EY$5+GanttPeriod),"◆",IF(AND($E182&gt;=EY$5,$E182&lt;EY$5+GanttPeriod),"◇","")),IF(AND(EY$5&lt;=$F182,EY$5+GanttPeriod-1&gt;=$E182),"━","")))</f>
        <v/>
      </c>
      <c r="EZ182" s="69" t="str">
        <f aca="false">IF($E182="","",IF($M182,IF(AND($G182&gt;=EZ$5,$G182&lt;EZ$5+GanttPeriod),"◆",IF(AND($E182&gt;=EZ$5,$E182&lt;EZ$5+GanttPeriod),"◇","")),IF(AND(EZ$5&lt;=$F182,EZ$5+GanttPeriod-1&gt;=$E182),"━","")))</f>
        <v/>
      </c>
      <c r="FA182" s="69" t="str">
        <f aca="false">IF($E182="","",IF($M182,IF(AND($G182&gt;=FA$5,$G182&lt;FA$5+GanttPeriod),"◆",IF(AND($E182&gt;=FA$5,$E182&lt;FA$5+GanttPeriod),"◇","")),IF(AND(FA$5&lt;=$F182,FA$5+GanttPeriod-1&gt;=$E182),"━","")))</f>
        <v/>
      </c>
      <c r="FB182" s="69" t="str">
        <f aca="false">IF($E182="","",IF($M182,IF(AND($G182&gt;=FB$5,$G182&lt;FB$5+GanttPeriod),"◆",IF(AND($E182&gt;=FB$5,$E182&lt;FB$5+GanttPeriod),"◇","")),IF(AND(FB$5&lt;=$F182,FB$5+GanttPeriod-1&gt;=$E182),"━","")))</f>
        <v/>
      </c>
      <c r="FC182" s="69" t="str">
        <f aca="false">IF($E182="","",IF($M182,IF(AND($G182&gt;=FC$5,$G182&lt;FC$5+GanttPeriod),"◆",IF(AND($E182&gt;=FC$5,$E182&lt;FC$5+GanttPeriod),"◇","")),IF(AND(FC$5&lt;=$F182,FC$5+GanttPeriod-1&gt;=$E182),"━","")))</f>
        <v/>
      </c>
      <c r="FD182" s="69" t="str">
        <f aca="false">IF($E182="","",IF($M182,IF(AND($G182&gt;=FD$5,$G182&lt;FD$5+GanttPeriod),"◆",IF(AND($E182&gt;=FD$5,$E182&lt;FD$5+GanttPeriod),"◇","")),IF(AND(FD$5&lt;=$F182,FD$5+GanttPeriod-1&gt;=$E182),"━","")))</f>
        <v/>
      </c>
      <c r="FE182" s="69" t="str">
        <f aca="false">IF($E182="","",IF($M182,IF(AND($G182&gt;=FE$5,$G182&lt;FE$5+GanttPeriod),"◆",IF(AND($E182&gt;=FE$5,$E182&lt;FE$5+GanttPeriod),"◇","")),IF(AND(FE$5&lt;=$F182,FE$5+GanttPeriod-1&gt;=$E182),"━","")))</f>
        <v/>
      </c>
      <c r="FF182" s="69" t="str">
        <f aca="false">IF($E182="","",IF($M182,IF(AND($G182&gt;=FF$5,$G182&lt;FF$5+GanttPeriod),"◆",IF(AND($E182&gt;=FF$5,$E182&lt;FF$5+GanttPeriod),"◇","")),IF(AND(FF$5&lt;=$F182,FF$5+GanttPeriod-1&gt;=$E182),"━","")))</f>
        <v/>
      </c>
      <c r="FG182" s="69" t="str">
        <f aca="false">IF($E182="","",IF($M182,IF(AND($G182&gt;=FG$5,$G182&lt;FG$5+GanttPeriod),"◆",IF(AND($E182&gt;=FG$5,$E182&lt;FG$5+GanttPeriod),"◇","")),IF(AND(FG$5&lt;=$F182,FG$5+GanttPeriod-1&gt;=$E182),"━","")))</f>
        <v/>
      </c>
      <c r="FH182" s="69" t="str">
        <f aca="false">IF($E182="","",IF($M182,IF(AND($G182&gt;=FH$5,$G182&lt;FH$5+GanttPeriod),"◆",IF(AND($E182&gt;=FH$5,$E182&lt;FH$5+GanttPeriod),"◇","")),IF(AND(FH$5&lt;=$F182,FH$5+GanttPeriod-1&gt;=$E182),"━","")))</f>
        <v/>
      </c>
      <c r="FI182" s="69" t="str">
        <f aca="false">IF($E182="","",IF($M182,IF(AND($G182&gt;=FI$5,$G182&lt;FI$5+GanttPeriod),"◆",IF(AND($E182&gt;=FI$5,$E182&lt;FI$5+GanttPeriod),"◇","")),IF(AND(FI$5&lt;=$F182,FI$5+GanttPeriod-1&gt;=$E182),"━","")))</f>
        <v/>
      </c>
      <c r="FJ182" s="69" t="str">
        <f aca="false">IF($E182="","",IF($M182,IF(AND($G182&gt;=FJ$5,$G182&lt;FJ$5+GanttPeriod),"◆",IF(AND($E182&gt;=FJ$5,$E182&lt;FJ$5+GanttPeriod),"◇","")),IF(AND(FJ$5&lt;=$F182,FJ$5+GanttPeriod-1&gt;=$E182),"━","")))</f>
        <v/>
      </c>
      <c r="FK182" s="69" t="str">
        <f aca="false">IF($E182="","",IF($M182,IF(AND($G182&gt;=FK$5,$G182&lt;FK$5+GanttPeriod),"◆",IF(AND($E182&gt;=FK$5,$E182&lt;FK$5+GanttPeriod),"◇","")),IF(AND(FK$5&lt;=$F182,FK$5+GanttPeriod-1&gt;=$E182),"━","")))</f>
        <v/>
      </c>
      <c r="FL182" s="69" t="str">
        <f aca="false">IF($E182="","",IF($M182,IF(AND($G182&gt;=FL$5,$G182&lt;FL$5+GanttPeriod),"◆",IF(AND($E182&gt;=FL$5,$E182&lt;FL$5+GanttPeriod),"◇","")),IF(AND(FL$5&lt;=$F182,FL$5+GanttPeriod-1&gt;=$E182),"━","")))</f>
        <v/>
      </c>
      <c r="FM182" s="69" t="str">
        <f aca="false">IF($E182="","",IF($M182,IF(AND($G182&gt;=FM$5,$G182&lt;FM$5+GanttPeriod),"◆",IF(AND($E182&gt;=FM$5,$E182&lt;FM$5+GanttPeriod),"◇","")),IF(AND(FM$5&lt;=$F182,FM$5+GanttPeriod-1&gt;=$E182),"━","")))</f>
        <v/>
      </c>
    </row>
    <row r="183" customFormat="false" ht="15" hidden="false" customHeight="false" outlineLevel="0" collapsed="false">
      <c r="A183" s="62" t="str">
        <f aca="false">IF(Tasks!$D183="","",Tasks!$A183)</f>
        <v/>
      </c>
      <c r="B183" s="62" t="str">
        <f aca="false">IF(Tasks!$D183="","",Tasks!$B183)</f>
        <v/>
      </c>
      <c r="C183" s="63" t="str">
        <f aca="false">IF(Tasks!$D183="","",REPT("    ",Tasks!$AE183-1)&amp;Tasks!$D183)</f>
        <v/>
      </c>
      <c r="D183" s="62" t="str">
        <f aca="false">IF(Tasks!$D183="","",IF(Tasks!$AI183,NETWORKDAYS.INTL(Tasks!$R183,Tasks!$S183,WorkWeek,Holidays),N(Tasks!$F183)))</f>
        <v/>
      </c>
      <c r="E183" s="64" t="str">
        <f aca="false">IF(Tasks!$D183="","",Tasks!$N183)</f>
        <v/>
      </c>
      <c r="F183" s="64" t="str">
        <f aca="false">IF(Tasks!$D183="","",Tasks!$O183)</f>
        <v/>
      </c>
      <c r="G183" s="64" t="str">
        <f aca="false">IF(Tasks!$D183="","",Tasks!$R183)</f>
        <v/>
      </c>
      <c r="H183" s="64" t="str">
        <f aca="false">IF(Tasks!$D183="","",Tasks!$S183)</f>
        <v/>
      </c>
      <c r="I183" s="65" t="str">
        <f aca="false">IF(Tasks!$D183="","",Tasks!$V183)</f>
        <v/>
      </c>
      <c r="J183" s="63" t="str">
        <f aca="false">IF(Tasks!$D183="","",Tasks!$X183&amp;"")</f>
        <v/>
      </c>
      <c r="K183" s="66" t="str">
        <f aca="false">IF(Tasks!$D183="","",Tasks!$W183)</f>
        <v/>
      </c>
      <c r="L183" s="67" t="b">
        <f aca="false">IF(Tasks!$D183="",FALSE(),Tasks!$AI183)</f>
        <v>0</v>
      </c>
      <c r="M183" s="67" t="b">
        <f aca="false">AND(Tasks!$AJ183=1,N(Tasks!$F183)=0)</f>
        <v>0</v>
      </c>
      <c r="N183" s="68" t="n">
        <f aca="false">IF(AND(Tasks!$AJ183=1,NOT($M183),N($I183)&gt;0),$G183,0)</f>
        <v>0</v>
      </c>
      <c r="O183" s="68" t="n">
        <f aca="false">IF($N183=0,0,IF($I183&gt;=1,$H183,MAX($N183,$G183+ROUND(($H183-$G183+1)*$I183,0)-1)))</f>
        <v>0</v>
      </c>
      <c r="P183" s="68" t="n">
        <f aca="false">IF(OR(Tasks!$AJ183&lt;&gt;1,$M183,N($I183)&gt;=1),0,IF($O183&gt;0,$O183+1,$G183))</f>
        <v>0</v>
      </c>
      <c r="Q183" s="68" t="n">
        <f aca="false">IF($P183=0,0,$H183)</f>
        <v>0</v>
      </c>
      <c r="R183" s="67" t="b">
        <f aca="false">AND(Tasks!$D183&lt;&gt;"",N(Tasks!$T183)&gt;0)</f>
        <v>0</v>
      </c>
      <c r="T183" s="69" t="str">
        <f aca="false">IF($E183="","",IF($M183,IF(AND($G183&gt;=T$5,$G183&lt;T$5+GanttPeriod),"◆",IF(AND($E183&gt;=T$5,$E183&lt;T$5+GanttPeriod),"◇","")),IF(AND(T$5&lt;=$F183,T$5+GanttPeriod-1&gt;=$E183),"━","")))</f>
        <v/>
      </c>
      <c r="U183" s="69" t="str">
        <f aca="false">IF($E183="","",IF($M183,IF(AND($G183&gt;=U$5,$G183&lt;U$5+GanttPeriod),"◆",IF(AND($E183&gt;=U$5,$E183&lt;U$5+GanttPeriod),"◇","")),IF(AND(U$5&lt;=$F183,U$5+GanttPeriod-1&gt;=$E183),"━","")))</f>
        <v/>
      </c>
      <c r="V183" s="69" t="str">
        <f aca="false">IF($E183="","",IF($M183,IF(AND($G183&gt;=V$5,$G183&lt;V$5+GanttPeriod),"◆",IF(AND($E183&gt;=V$5,$E183&lt;V$5+GanttPeriod),"◇","")),IF(AND(V$5&lt;=$F183,V$5+GanttPeriod-1&gt;=$E183),"━","")))</f>
        <v/>
      </c>
      <c r="W183" s="69" t="str">
        <f aca="false">IF($E183="","",IF($M183,IF(AND($G183&gt;=W$5,$G183&lt;W$5+GanttPeriod),"◆",IF(AND($E183&gt;=W$5,$E183&lt;W$5+GanttPeriod),"◇","")),IF(AND(W$5&lt;=$F183,W$5+GanttPeriod-1&gt;=$E183),"━","")))</f>
        <v/>
      </c>
      <c r="X183" s="69" t="str">
        <f aca="false">IF($E183="","",IF($M183,IF(AND($G183&gt;=X$5,$G183&lt;X$5+GanttPeriod),"◆",IF(AND($E183&gt;=X$5,$E183&lt;X$5+GanttPeriod),"◇","")),IF(AND(X$5&lt;=$F183,X$5+GanttPeriod-1&gt;=$E183),"━","")))</f>
        <v/>
      </c>
      <c r="Y183" s="69" t="str">
        <f aca="false">IF($E183="","",IF($M183,IF(AND($G183&gt;=Y$5,$G183&lt;Y$5+GanttPeriod),"◆",IF(AND($E183&gt;=Y$5,$E183&lt;Y$5+GanttPeriod),"◇","")),IF(AND(Y$5&lt;=$F183,Y$5+GanttPeriod-1&gt;=$E183),"━","")))</f>
        <v/>
      </c>
      <c r="Z183" s="69" t="str">
        <f aca="false">IF($E183="","",IF($M183,IF(AND($G183&gt;=Z$5,$G183&lt;Z$5+GanttPeriod),"◆",IF(AND($E183&gt;=Z$5,$E183&lt;Z$5+GanttPeriod),"◇","")),IF(AND(Z$5&lt;=$F183,Z$5+GanttPeriod-1&gt;=$E183),"━","")))</f>
        <v/>
      </c>
      <c r="AA183" s="69" t="str">
        <f aca="false">IF($E183="","",IF($M183,IF(AND($G183&gt;=AA$5,$G183&lt;AA$5+GanttPeriod),"◆",IF(AND($E183&gt;=AA$5,$E183&lt;AA$5+GanttPeriod),"◇","")),IF(AND(AA$5&lt;=$F183,AA$5+GanttPeriod-1&gt;=$E183),"━","")))</f>
        <v/>
      </c>
      <c r="AB183" s="69" t="str">
        <f aca="false">IF($E183="","",IF($M183,IF(AND($G183&gt;=AB$5,$G183&lt;AB$5+GanttPeriod),"◆",IF(AND($E183&gt;=AB$5,$E183&lt;AB$5+GanttPeriod),"◇","")),IF(AND(AB$5&lt;=$F183,AB$5+GanttPeriod-1&gt;=$E183),"━","")))</f>
        <v/>
      </c>
      <c r="AC183" s="69" t="str">
        <f aca="false">IF($E183="","",IF($M183,IF(AND($G183&gt;=AC$5,$G183&lt;AC$5+GanttPeriod),"◆",IF(AND($E183&gt;=AC$5,$E183&lt;AC$5+GanttPeriod),"◇","")),IF(AND(AC$5&lt;=$F183,AC$5+GanttPeriod-1&gt;=$E183),"━","")))</f>
        <v/>
      </c>
      <c r="AD183" s="69" t="str">
        <f aca="false">IF($E183="","",IF($M183,IF(AND($G183&gt;=AD$5,$G183&lt;AD$5+GanttPeriod),"◆",IF(AND($E183&gt;=AD$5,$E183&lt;AD$5+GanttPeriod),"◇","")),IF(AND(AD$5&lt;=$F183,AD$5+GanttPeriod-1&gt;=$E183),"━","")))</f>
        <v/>
      </c>
      <c r="AE183" s="69" t="str">
        <f aca="false">IF($E183="","",IF($M183,IF(AND($G183&gt;=AE$5,$G183&lt;AE$5+GanttPeriod),"◆",IF(AND($E183&gt;=AE$5,$E183&lt;AE$5+GanttPeriod),"◇","")),IF(AND(AE$5&lt;=$F183,AE$5+GanttPeriod-1&gt;=$E183),"━","")))</f>
        <v/>
      </c>
      <c r="AF183" s="69" t="str">
        <f aca="false">IF($E183="","",IF($M183,IF(AND($G183&gt;=AF$5,$G183&lt;AF$5+GanttPeriod),"◆",IF(AND($E183&gt;=AF$5,$E183&lt;AF$5+GanttPeriod),"◇","")),IF(AND(AF$5&lt;=$F183,AF$5+GanttPeriod-1&gt;=$E183),"━","")))</f>
        <v/>
      </c>
      <c r="AG183" s="69" t="str">
        <f aca="false">IF($E183="","",IF($M183,IF(AND($G183&gt;=AG$5,$G183&lt;AG$5+GanttPeriod),"◆",IF(AND($E183&gt;=AG$5,$E183&lt;AG$5+GanttPeriod),"◇","")),IF(AND(AG$5&lt;=$F183,AG$5+GanttPeriod-1&gt;=$E183),"━","")))</f>
        <v/>
      </c>
      <c r="AH183" s="69" t="str">
        <f aca="false">IF($E183="","",IF($M183,IF(AND($G183&gt;=AH$5,$G183&lt;AH$5+GanttPeriod),"◆",IF(AND($E183&gt;=AH$5,$E183&lt;AH$5+GanttPeriod),"◇","")),IF(AND(AH$5&lt;=$F183,AH$5+GanttPeriod-1&gt;=$E183),"━","")))</f>
        <v/>
      </c>
      <c r="AI183" s="69" t="str">
        <f aca="false">IF($E183="","",IF($M183,IF(AND($G183&gt;=AI$5,$G183&lt;AI$5+GanttPeriod),"◆",IF(AND($E183&gt;=AI$5,$E183&lt;AI$5+GanttPeriod),"◇","")),IF(AND(AI$5&lt;=$F183,AI$5+GanttPeriod-1&gt;=$E183),"━","")))</f>
        <v/>
      </c>
      <c r="AJ183" s="69" t="str">
        <f aca="false">IF($E183="","",IF($M183,IF(AND($G183&gt;=AJ$5,$G183&lt;AJ$5+GanttPeriod),"◆",IF(AND($E183&gt;=AJ$5,$E183&lt;AJ$5+GanttPeriod),"◇","")),IF(AND(AJ$5&lt;=$F183,AJ$5+GanttPeriod-1&gt;=$E183),"━","")))</f>
        <v/>
      </c>
      <c r="AK183" s="69" t="str">
        <f aca="false">IF($E183="","",IF($M183,IF(AND($G183&gt;=AK$5,$G183&lt;AK$5+GanttPeriod),"◆",IF(AND($E183&gt;=AK$5,$E183&lt;AK$5+GanttPeriod),"◇","")),IF(AND(AK$5&lt;=$F183,AK$5+GanttPeriod-1&gt;=$E183),"━","")))</f>
        <v/>
      </c>
      <c r="AL183" s="69" t="str">
        <f aca="false">IF($E183="","",IF($M183,IF(AND($G183&gt;=AL$5,$G183&lt;AL$5+GanttPeriod),"◆",IF(AND($E183&gt;=AL$5,$E183&lt;AL$5+GanttPeriod),"◇","")),IF(AND(AL$5&lt;=$F183,AL$5+GanttPeriod-1&gt;=$E183),"━","")))</f>
        <v/>
      </c>
      <c r="AM183" s="69" t="str">
        <f aca="false">IF($E183="","",IF($M183,IF(AND($G183&gt;=AM$5,$G183&lt;AM$5+GanttPeriod),"◆",IF(AND($E183&gt;=AM$5,$E183&lt;AM$5+GanttPeriod),"◇","")),IF(AND(AM$5&lt;=$F183,AM$5+GanttPeriod-1&gt;=$E183),"━","")))</f>
        <v/>
      </c>
      <c r="AN183" s="69" t="str">
        <f aca="false">IF($E183="","",IF($M183,IF(AND($G183&gt;=AN$5,$G183&lt;AN$5+GanttPeriod),"◆",IF(AND($E183&gt;=AN$5,$E183&lt;AN$5+GanttPeriod),"◇","")),IF(AND(AN$5&lt;=$F183,AN$5+GanttPeriod-1&gt;=$E183),"━","")))</f>
        <v/>
      </c>
      <c r="AO183" s="69" t="str">
        <f aca="false">IF($E183="","",IF($M183,IF(AND($G183&gt;=AO$5,$G183&lt;AO$5+GanttPeriod),"◆",IF(AND($E183&gt;=AO$5,$E183&lt;AO$5+GanttPeriod),"◇","")),IF(AND(AO$5&lt;=$F183,AO$5+GanttPeriod-1&gt;=$E183),"━","")))</f>
        <v/>
      </c>
      <c r="AP183" s="69" t="str">
        <f aca="false">IF($E183="","",IF($M183,IF(AND($G183&gt;=AP$5,$G183&lt;AP$5+GanttPeriod),"◆",IF(AND($E183&gt;=AP$5,$E183&lt;AP$5+GanttPeriod),"◇","")),IF(AND(AP$5&lt;=$F183,AP$5+GanttPeriod-1&gt;=$E183),"━","")))</f>
        <v/>
      </c>
      <c r="AQ183" s="69" t="str">
        <f aca="false">IF($E183="","",IF($M183,IF(AND($G183&gt;=AQ$5,$G183&lt;AQ$5+GanttPeriod),"◆",IF(AND($E183&gt;=AQ$5,$E183&lt;AQ$5+GanttPeriod),"◇","")),IF(AND(AQ$5&lt;=$F183,AQ$5+GanttPeriod-1&gt;=$E183),"━","")))</f>
        <v/>
      </c>
      <c r="AR183" s="69" t="str">
        <f aca="false">IF($E183="","",IF($M183,IF(AND($G183&gt;=AR$5,$G183&lt;AR$5+GanttPeriod),"◆",IF(AND($E183&gt;=AR$5,$E183&lt;AR$5+GanttPeriod),"◇","")),IF(AND(AR$5&lt;=$F183,AR$5+GanttPeriod-1&gt;=$E183),"━","")))</f>
        <v/>
      </c>
      <c r="AS183" s="69" t="str">
        <f aca="false">IF($E183="","",IF($M183,IF(AND($G183&gt;=AS$5,$G183&lt;AS$5+GanttPeriod),"◆",IF(AND($E183&gt;=AS$5,$E183&lt;AS$5+GanttPeriod),"◇","")),IF(AND(AS$5&lt;=$F183,AS$5+GanttPeriod-1&gt;=$E183),"━","")))</f>
        <v/>
      </c>
      <c r="AT183" s="69" t="str">
        <f aca="false">IF($E183="","",IF($M183,IF(AND($G183&gt;=AT$5,$G183&lt;AT$5+GanttPeriod),"◆",IF(AND($E183&gt;=AT$5,$E183&lt;AT$5+GanttPeriod),"◇","")),IF(AND(AT$5&lt;=$F183,AT$5+GanttPeriod-1&gt;=$E183),"━","")))</f>
        <v/>
      </c>
      <c r="AU183" s="69" t="str">
        <f aca="false">IF($E183="","",IF($M183,IF(AND($G183&gt;=AU$5,$G183&lt;AU$5+GanttPeriod),"◆",IF(AND($E183&gt;=AU$5,$E183&lt;AU$5+GanttPeriod),"◇","")),IF(AND(AU$5&lt;=$F183,AU$5+GanttPeriod-1&gt;=$E183),"━","")))</f>
        <v/>
      </c>
      <c r="AV183" s="69" t="str">
        <f aca="false">IF($E183="","",IF($M183,IF(AND($G183&gt;=AV$5,$G183&lt;AV$5+GanttPeriod),"◆",IF(AND($E183&gt;=AV$5,$E183&lt;AV$5+GanttPeriod),"◇","")),IF(AND(AV$5&lt;=$F183,AV$5+GanttPeriod-1&gt;=$E183),"━","")))</f>
        <v/>
      </c>
      <c r="AW183" s="69" t="str">
        <f aca="false">IF($E183="","",IF($M183,IF(AND($G183&gt;=AW$5,$G183&lt;AW$5+GanttPeriod),"◆",IF(AND($E183&gt;=AW$5,$E183&lt;AW$5+GanttPeriod),"◇","")),IF(AND(AW$5&lt;=$F183,AW$5+GanttPeriod-1&gt;=$E183),"━","")))</f>
        <v/>
      </c>
      <c r="AX183" s="69" t="str">
        <f aca="false">IF($E183="","",IF($M183,IF(AND($G183&gt;=AX$5,$G183&lt;AX$5+GanttPeriod),"◆",IF(AND($E183&gt;=AX$5,$E183&lt;AX$5+GanttPeriod),"◇","")),IF(AND(AX$5&lt;=$F183,AX$5+GanttPeriod-1&gt;=$E183),"━","")))</f>
        <v/>
      </c>
      <c r="AY183" s="69" t="str">
        <f aca="false">IF($E183="","",IF($M183,IF(AND($G183&gt;=AY$5,$G183&lt;AY$5+GanttPeriod),"◆",IF(AND($E183&gt;=AY$5,$E183&lt;AY$5+GanttPeriod),"◇","")),IF(AND(AY$5&lt;=$F183,AY$5+GanttPeriod-1&gt;=$E183),"━","")))</f>
        <v/>
      </c>
      <c r="AZ183" s="69" t="str">
        <f aca="false">IF($E183="","",IF($M183,IF(AND($G183&gt;=AZ$5,$G183&lt;AZ$5+GanttPeriod),"◆",IF(AND($E183&gt;=AZ$5,$E183&lt;AZ$5+GanttPeriod),"◇","")),IF(AND(AZ$5&lt;=$F183,AZ$5+GanttPeriod-1&gt;=$E183),"━","")))</f>
        <v/>
      </c>
      <c r="BA183" s="69" t="str">
        <f aca="false">IF($E183="","",IF($M183,IF(AND($G183&gt;=BA$5,$G183&lt;BA$5+GanttPeriod),"◆",IF(AND($E183&gt;=BA$5,$E183&lt;BA$5+GanttPeriod),"◇","")),IF(AND(BA$5&lt;=$F183,BA$5+GanttPeriod-1&gt;=$E183),"━","")))</f>
        <v/>
      </c>
      <c r="BB183" s="69" t="str">
        <f aca="false">IF($E183="","",IF($M183,IF(AND($G183&gt;=BB$5,$G183&lt;BB$5+GanttPeriod),"◆",IF(AND($E183&gt;=BB$5,$E183&lt;BB$5+GanttPeriod),"◇","")),IF(AND(BB$5&lt;=$F183,BB$5+GanttPeriod-1&gt;=$E183),"━","")))</f>
        <v/>
      </c>
      <c r="BC183" s="69" t="str">
        <f aca="false">IF($E183="","",IF($M183,IF(AND($G183&gt;=BC$5,$G183&lt;BC$5+GanttPeriod),"◆",IF(AND($E183&gt;=BC$5,$E183&lt;BC$5+GanttPeriod),"◇","")),IF(AND(BC$5&lt;=$F183,BC$5+GanttPeriod-1&gt;=$E183),"━","")))</f>
        <v/>
      </c>
      <c r="BD183" s="69" t="str">
        <f aca="false">IF($E183="","",IF($M183,IF(AND($G183&gt;=BD$5,$G183&lt;BD$5+GanttPeriod),"◆",IF(AND($E183&gt;=BD$5,$E183&lt;BD$5+GanttPeriod),"◇","")),IF(AND(BD$5&lt;=$F183,BD$5+GanttPeriod-1&gt;=$E183),"━","")))</f>
        <v/>
      </c>
      <c r="BE183" s="69" t="str">
        <f aca="false">IF($E183="","",IF($M183,IF(AND($G183&gt;=BE$5,$G183&lt;BE$5+GanttPeriod),"◆",IF(AND($E183&gt;=BE$5,$E183&lt;BE$5+GanttPeriod),"◇","")),IF(AND(BE$5&lt;=$F183,BE$5+GanttPeriod-1&gt;=$E183),"━","")))</f>
        <v/>
      </c>
      <c r="BF183" s="69" t="str">
        <f aca="false">IF($E183="","",IF($M183,IF(AND($G183&gt;=BF$5,$G183&lt;BF$5+GanttPeriod),"◆",IF(AND($E183&gt;=BF$5,$E183&lt;BF$5+GanttPeriod),"◇","")),IF(AND(BF$5&lt;=$F183,BF$5+GanttPeriod-1&gt;=$E183),"━","")))</f>
        <v/>
      </c>
      <c r="BG183" s="69" t="str">
        <f aca="false">IF($E183="","",IF($M183,IF(AND($G183&gt;=BG$5,$G183&lt;BG$5+GanttPeriod),"◆",IF(AND($E183&gt;=BG$5,$E183&lt;BG$5+GanttPeriod),"◇","")),IF(AND(BG$5&lt;=$F183,BG$5+GanttPeriod-1&gt;=$E183),"━","")))</f>
        <v/>
      </c>
      <c r="BH183" s="69" t="str">
        <f aca="false">IF($E183="","",IF($M183,IF(AND($G183&gt;=BH$5,$G183&lt;BH$5+GanttPeriod),"◆",IF(AND($E183&gt;=BH$5,$E183&lt;BH$5+GanttPeriod),"◇","")),IF(AND(BH$5&lt;=$F183,BH$5+GanttPeriod-1&gt;=$E183),"━","")))</f>
        <v/>
      </c>
      <c r="BI183" s="69" t="str">
        <f aca="false">IF($E183="","",IF($M183,IF(AND($G183&gt;=BI$5,$G183&lt;BI$5+GanttPeriod),"◆",IF(AND($E183&gt;=BI$5,$E183&lt;BI$5+GanttPeriod),"◇","")),IF(AND(BI$5&lt;=$F183,BI$5+GanttPeriod-1&gt;=$E183),"━","")))</f>
        <v/>
      </c>
      <c r="BJ183" s="69" t="str">
        <f aca="false">IF($E183="","",IF($M183,IF(AND($G183&gt;=BJ$5,$G183&lt;BJ$5+GanttPeriod),"◆",IF(AND($E183&gt;=BJ$5,$E183&lt;BJ$5+GanttPeriod),"◇","")),IF(AND(BJ$5&lt;=$F183,BJ$5+GanttPeriod-1&gt;=$E183),"━","")))</f>
        <v/>
      </c>
      <c r="BK183" s="69" t="str">
        <f aca="false">IF($E183="","",IF($M183,IF(AND($G183&gt;=BK$5,$G183&lt;BK$5+GanttPeriod),"◆",IF(AND($E183&gt;=BK$5,$E183&lt;BK$5+GanttPeriod),"◇","")),IF(AND(BK$5&lt;=$F183,BK$5+GanttPeriod-1&gt;=$E183),"━","")))</f>
        <v/>
      </c>
      <c r="BL183" s="69" t="str">
        <f aca="false">IF($E183="","",IF($M183,IF(AND($G183&gt;=BL$5,$G183&lt;BL$5+GanttPeriod),"◆",IF(AND($E183&gt;=BL$5,$E183&lt;BL$5+GanttPeriod),"◇","")),IF(AND(BL$5&lt;=$F183,BL$5+GanttPeriod-1&gt;=$E183),"━","")))</f>
        <v/>
      </c>
      <c r="BM183" s="69" t="str">
        <f aca="false">IF($E183="","",IF($M183,IF(AND($G183&gt;=BM$5,$G183&lt;BM$5+GanttPeriod),"◆",IF(AND($E183&gt;=BM$5,$E183&lt;BM$5+GanttPeriod),"◇","")),IF(AND(BM$5&lt;=$F183,BM$5+GanttPeriod-1&gt;=$E183),"━","")))</f>
        <v/>
      </c>
      <c r="BN183" s="69" t="str">
        <f aca="false">IF($E183="","",IF($M183,IF(AND($G183&gt;=BN$5,$G183&lt;BN$5+GanttPeriod),"◆",IF(AND($E183&gt;=BN$5,$E183&lt;BN$5+GanttPeriod),"◇","")),IF(AND(BN$5&lt;=$F183,BN$5+GanttPeriod-1&gt;=$E183),"━","")))</f>
        <v/>
      </c>
      <c r="BO183" s="69" t="str">
        <f aca="false">IF($E183="","",IF($M183,IF(AND($G183&gt;=BO$5,$G183&lt;BO$5+GanttPeriod),"◆",IF(AND($E183&gt;=BO$5,$E183&lt;BO$5+GanttPeriod),"◇","")),IF(AND(BO$5&lt;=$F183,BO$5+GanttPeriod-1&gt;=$E183),"━","")))</f>
        <v/>
      </c>
      <c r="BP183" s="69" t="str">
        <f aca="false">IF($E183="","",IF($M183,IF(AND($G183&gt;=BP$5,$G183&lt;BP$5+GanttPeriod),"◆",IF(AND($E183&gt;=BP$5,$E183&lt;BP$5+GanttPeriod),"◇","")),IF(AND(BP$5&lt;=$F183,BP$5+GanttPeriod-1&gt;=$E183),"━","")))</f>
        <v/>
      </c>
      <c r="BQ183" s="69" t="str">
        <f aca="false">IF($E183="","",IF($M183,IF(AND($G183&gt;=BQ$5,$G183&lt;BQ$5+GanttPeriod),"◆",IF(AND($E183&gt;=BQ$5,$E183&lt;BQ$5+GanttPeriod),"◇","")),IF(AND(BQ$5&lt;=$F183,BQ$5+GanttPeriod-1&gt;=$E183),"━","")))</f>
        <v/>
      </c>
      <c r="BR183" s="69" t="str">
        <f aca="false">IF($E183="","",IF($M183,IF(AND($G183&gt;=BR$5,$G183&lt;BR$5+GanttPeriod),"◆",IF(AND($E183&gt;=BR$5,$E183&lt;BR$5+GanttPeriod),"◇","")),IF(AND(BR$5&lt;=$F183,BR$5+GanttPeriod-1&gt;=$E183),"━","")))</f>
        <v/>
      </c>
      <c r="BS183" s="69" t="str">
        <f aca="false">IF($E183="","",IF($M183,IF(AND($G183&gt;=BS$5,$G183&lt;BS$5+GanttPeriod),"◆",IF(AND($E183&gt;=BS$5,$E183&lt;BS$5+GanttPeriod),"◇","")),IF(AND(BS$5&lt;=$F183,BS$5+GanttPeriod-1&gt;=$E183),"━","")))</f>
        <v/>
      </c>
      <c r="BT183" s="69" t="str">
        <f aca="false">IF($E183="","",IF($M183,IF(AND($G183&gt;=BT$5,$G183&lt;BT$5+GanttPeriod),"◆",IF(AND($E183&gt;=BT$5,$E183&lt;BT$5+GanttPeriod),"◇","")),IF(AND(BT$5&lt;=$F183,BT$5+GanttPeriod-1&gt;=$E183),"━","")))</f>
        <v/>
      </c>
      <c r="BU183" s="69" t="str">
        <f aca="false">IF($E183="","",IF($M183,IF(AND($G183&gt;=BU$5,$G183&lt;BU$5+GanttPeriod),"◆",IF(AND($E183&gt;=BU$5,$E183&lt;BU$5+GanttPeriod),"◇","")),IF(AND(BU$5&lt;=$F183,BU$5+GanttPeriod-1&gt;=$E183),"━","")))</f>
        <v/>
      </c>
      <c r="BV183" s="69" t="str">
        <f aca="false">IF($E183="","",IF($M183,IF(AND($G183&gt;=BV$5,$G183&lt;BV$5+GanttPeriod),"◆",IF(AND($E183&gt;=BV$5,$E183&lt;BV$5+GanttPeriod),"◇","")),IF(AND(BV$5&lt;=$F183,BV$5+GanttPeriod-1&gt;=$E183),"━","")))</f>
        <v/>
      </c>
      <c r="BW183" s="69" t="str">
        <f aca="false">IF($E183="","",IF($M183,IF(AND($G183&gt;=BW$5,$G183&lt;BW$5+GanttPeriod),"◆",IF(AND($E183&gt;=BW$5,$E183&lt;BW$5+GanttPeriod),"◇","")),IF(AND(BW$5&lt;=$F183,BW$5+GanttPeriod-1&gt;=$E183),"━","")))</f>
        <v/>
      </c>
      <c r="BX183" s="69" t="str">
        <f aca="false">IF($E183="","",IF($M183,IF(AND($G183&gt;=BX$5,$G183&lt;BX$5+GanttPeriod),"◆",IF(AND($E183&gt;=BX$5,$E183&lt;BX$5+GanttPeriod),"◇","")),IF(AND(BX$5&lt;=$F183,BX$5+GanttPeriod-1&gt;=$E183),"━","")))</f>
        <v/>
      </c>
      <c r="BY183" s="69" t="str">
        <f aca="false">IF($E183="","",IF($M183,IF(AND($G183&gt;=BY$5,$G183&lt;BY$5+GanttPeriod),"◆",IF(AND($E183&gt;=BY$5,$E183&lt;BY$5+GanttPeriod),"◇","")),IF(AND(BY$5&lt;=$F183,BY$5+GanttPeriod-1&gt;=$E183),"━","")))</f>
        <v/>
      </c>
      <c r="BZ183" s="69" t="str">
        <f aca="false">IF($E183="","",IF($M183,IF(AND($G183&gt;=BZ$5,$G183&lt;BZ$5+GanttPeriod),"◆",IF(AND($E183&gt;=BZ$5,$E183&lt;BZ$5+GanttPeriod),"◇","")),IF(AND(BZ$5&lt;=$F183,BZ$5+GanttPeriod-1&gt;=$E183),"━","")))</f>
        <v/>
      </c>
      <c r="CA183" s="69" t="str">
        <f aca="false">IF($E183="","",IF($M183,IF(AND($G183&gt;=CA$5,$G183&lt;CA$5+GanttPeriod),"◆",IF(AND($E183&gt;=CA$5,$E183&lt;CA$5+GanttPeriod),"◇","")),IF(AND(CA$5&lt;=$F183,CA$5+GanttPeriod-1&gt;=$E183),"━","")))</f>
        <v/>
      </c>
      <c r="CB183" s="69" t="str">
        <f aca="false">IF($E183="","",IF($M183,IF(AND($G183&gt;=CB$5,$G183&lt;CB$5+GanttPeriod),"◆",IF(AND($E183&gt;=CB$5,$E183&lt;CB$5+GanttPeriod),"◇","")),IF(AND(CB$5&lt;=$F183,CB$5+GanttPeriod-1&gt;=$E183),"━","")))</f>
        <v/>
      </c>
      <c r="CC183" s="69" t="str">
        <f aca="false">IF($E183="","",IF($M183,IF(AND($G183&gt;=CC$5,$G183&lt;CC$5+GanttPeriod),"◆",IF(AND($E183&gt;=CC$5,$E183&lt;CC$5+GanttPeriod),"◇","")),IF(AND(CC$5&lt;=$F183,CC$5+GanttPeriod-1&gt;=$E183),"━","")))</f>
        <v/>
      </c>
      <c r="CD183" s="69" t="str">
        <f aca="false">IF($E183="","",IF($M183,IF(AND($G183&gt;=CD$5,$G183&lt;CD$5+GanttPeriod),"◆",IF(AND($E183&gt;=CD$5,$E183&lt;CD$5+GanttPeriod),"◇","")),IF(AND(CD$5&lt;=$F183,CD$5+GanttPeriod-1&gt;=$E183),"━","")))</f>
        <v/>
      </c>
      <c r="CE183" s="69" t="str">
        <f aca="false">IF($E183="","",IF($M183,IF(AND($G183&gt;=CE$5,$G183&lt;CE$5+GanttPeriod),"◆",IF(AND($E183&gt;=CE$5,$E183&lt;CE$5+GanttPeriod),"◇","")),IF(AND(CE$5&lt;=$F183,CE$5+GanttPeriod-1&gt;=$E183),"━","")))</f>
        <v/>
      </c>
      <c r="CF183" s="69" t="str">
        <f aca="false">IF($E183="","",IF($M183,IF(AND($G183&gt;=CF$5,$G183&lt;CF$5+GanttPeriod),"◆",IF(AND($E183&gt;=CF$5,$E183&lt;CF$5+GanttPeriod),"◇","")),IF(AND(CF$5&lt;=$F183,CF$5+GanttPeriod-1&gt;=$E183),"━","")))</f>
        <v/>
      </c>
      <c r="CG183" s="69" t="str">
        <f aca="false">IF($E183="","",IF($M183,IF(AND($G183&gt;=CG$5,$G183&lt;CG$5+GanttPeriod),"◆",IF(AND($E183&gt;=CG$5,$E183&lt;CG$5+GanttPeriod),"◇","")),IF(AND(CG$5&lt;=$F183,CG$5+GanttPeriod-1&gt;=$E183),"━","")))</f>
        <v/>
      </c>
      <c r="CH183" s="69" t="str">
        <f aca="false">IF($E183="","",IF($M183,IF(AND($G183&gt;=CH$5,$G183&lt;CH$5+GanttPeriod),"◆",IF(AND($E183&gt;=CH$5,$E183&lt;CH$5+GanttPeriod),"◇","")),IF(AND(CH$5&lt;=$F183,CH$5+GanttPeriod-1&gt;=$E183),"━","")))</f>
        <v/>
      </c>
      <c r="CI183" s="69" t="str">
        <f aca="false">IF($E183="","",IF($M183,IF(AND($G183&gt;=CI$5,$G183&lt;CI$5+GanttPeriod),"◆",IF(AND($E183&gt;=CI$5,$E183&lt;CI$5+GanttPeriod),"◇","")),IF(AND(CI$5&lt;=$F183,CI$5+GanttPeriod-1&gt;=$E183),"━","")))</f>
        <v/>
      </c>
      <c r="CJ183" s="69" t="str">
        <f aca="false">IF($E183="","",IF($M183,IF(AND($G183&gt;=CJ$5,$G183&lt;CJ$5+GanttPeriod),"◆",IF(AND($E183&gt;=CJ$5,$E183&lt;CJ$5+GanttPeriod),"◇","")),IF(AND(CJ$5&lt;=$F183,CJ$5+GanttPeriod-1&gt;=$E183),"━","")))</f>
        <v/>
      </c>
      <c r="CK183" s="69" t="str">
        <f aca="false">IF($E183="","",IF($M183,IF(AND($G183&gt;=CK$5,$G183&lt;CK$5+GanttPeriod),"◆",IF(AND($E183&gt;=CK$5,$E183&lt;CK$5+GanttPeriod),"◇","")),IF(AND(CK$5&lt;=$F183,CK$5+GanttPeriod-1&gt;=$E183),"━","")))</f>
        <v/>
      </c>
      <c r="CL183" s="69" t="str">
        <f aca="false">IF($E183="","",IF($M183,IF(AND($G183&gt;=CL$5,$G183&lt;CL$5+GanttPeriod),"◆",IF(AND($E183&gt;=CL$5,$E183&lt;CL$5+GanttPeriod),"◇","")),IF(AND(CL$5&lt;=$F183,CL$5+GanttPeriod-1&gt;=$E183),"━","")))</f>
        <v/>
      </c>
      <c r="CM183" s="69" t="str">
        <f aca="false">IF($E183="","",IF($M183,IF(AND($G183&gt;=CM$5,$G183&lt;CM$5+GanttPeriod),"◆",IF(AND($E183&gt;=CM$5,$E183&lt;CM$5+GanttPeriod),"◇","")),IF(AND(CM$5&lt;=$F183,CM$5+GanttPeriod-1&gt;=$E183),"━","")))</f>
        <v/>
      </c>
      <c r="CN183" s="69" t="str">
        <f aca="false">IF($E183="","",IF($M183,IF(AND($G183&gt;=CN$5,$G183&lt;CN$5+GanttPeriod),"◆",IF(AND($E183&gt;=CN$5,$E183&lt;CN$5+GanttPeriod),"◇","")),IF(AND(CN$5&lt;=$F183,CN$5+GanttPeriod-1&gt;=$E183),"━","")))</f>
        <v/>
      </c>
      <c r="CO183" s="69" t="str">
        <f aca="false">IF($E183="","",IF($M183,IF(AND($G183&gt;=CO$5,$G183&lt;CO$5+GanttPeriod),"◆",IF(AND($E183&gt;=CO$5,$E183&lt;CO$5+GanttPeriod),"◇","")),IF(AND(CO$5&lt;=$F183,CO$5+GanttPeriod-1&gt;=$E183),"━","")))</f>
        <v/>
      </c>
      <c r="CP183" s="69" t="str">
        <f aca="false">IF($E183="","",IF($M183,IF(AND($G183&gt;=CP$5,$G183&lt;CP$5+GanttPeriod),"◆",IF(AND($E183&gt;=CP$5,$E183&lt;CP$5+GanttPeriod),"◇","")),IF(AND(CP$5&lt;=$F183,CP$5+GanttPeriod-1&gt;=$E183),"━","")))</f>
        <v/>
      </c>
      <c r="CQ183" s="69" t="str">
        <f aca="false">IF($E183="","",IF($M183,IF(AND($G183&gt;=CQ$5,$G183&lt;CQ$5+GanttPeriod),"◆",IF(AND($E183&gt;=CQ$5,$E183&lt;CQ$5+GanttPeriod),"◇","")),IF(AND(CQ$5&lt;=$F183,CQ$5+GanttPeriod-1&gt;=$E183),"━","")))</f>
        <v/>
      </c>
      <c r="CR183" s="69" t="str">
        <f aca="false">IF($E183="","",IF($M183,IF(AND($G183&gt;=CR$5,$G183&lt;CR$5+GanttPeriod),"◆",IF(AND($E183&gt;=CR$5,$E183&lt;CR$5+GanttPeriod),"◇","")),IF(AND(CR$5&lt;=$F183,CR$5+GanttPeriod-1&gt;=$E183),"━","")))</f>
        <v/>
      </c>
      <c r="CS183" s="69" t="str">
        <f aca="false">IF($E183="","",IF($M183,IF(AND($G183&gt;=CS$5,$G183&lt;CS$5+GanttPeriod),"◆",IF(AND($E183&gt;=CS$5,$E183&lt;CS$5+GanttPeriod),"◇","")),IF(AND(CS$5&lt;=$F183,CS$5+GanttPeriod-1&gt;=$E183),"━","")))</f>
        <v/>
      </c>
      <c r="CT183" s="69" t="str">
        <f aca="false">IF($E183="","",IF($M183,IF(AND($G183&gt;=CT$5,$G183&lt;CT$5+GanttPeriod),"◆",IF(AND($E183&gt;=CT$5,$E183&lt;CT$5+GanttPeriod),"◇","")),IF(AND(CT$5&lt;=$F183,CT$5+GanttPeriod-1&gt;=$E183),"━","")))</f>
        <v/>
      </c>
      <c r="CU183" s="69" t="str">
        <f aca="false">IF($E183="","",IF($M183,IF(AND($G183&gt;=CU$5,$G183&lt;CU$5+GanttPeriod),"◆",IF(AND($E183&gt;=CU$5,$E183&lt;CU$5+GanttPeriod),"◇","")),IF(AND(CU$5&lt;=$F183,CU$5+GanttPeriod-1&gt;=$E183),"━","")))</f>
        <v/>
      </c>
      <c r="CV183" s="69" t="str">
        <f aca="false">IF($E183="","",IF($M183,IF(AND($G183&gt;=CV$5,$G183&lt;CV$5+GanttPeriod),"◆",IF(AND($E183&gt;=CV$5,$E183&lt;CV$5+GanttPeriod),"◇","")),IF(AND(CV$5&lt;=$F183,CV$5+GanttPeriod-1&gt;=$E183),"━","")))</f>
        <v/>
      </c>
      <c r="CW183" s="69" t="str">
        <f aca="false">IF($E183="","",IF($M183,IF(AND($G183&gt;=CW$5,$G183&lt;CW$5+GanttPeriod),"◆",IF(AND($E183&gt;=CW$5,$E183&lt;CW$5+GanttPeriod),"◇","")),IF(AND(CW$5&lt;=$F183,CW$5+GanttPeriod-1&gt;=$E183),"━","")))</f>
        <v/>
      </c>
      <c r="CX183" s="69" t="str">
        <f aca="false">IF($E183="","",IF($M183,IF(AND($G183&gt;=CX$5,$G183&lt;CX$5+GanttPeriod),"◆",IF(AND($E183&gt;=CX$5,$E183&lt;CX$5+GanttPeriod),"◇","")),IF(AND(CX$5&lt;=$F183,CX$5+GanttPeriod-1&gt;=$E183),"━","")))</f>
        <v/>
      </c>
      <c r="CY183" s="69" t="str">
        <f aca="false">IF($E183="","",IF($M183,IF(AND($G183&gt;=CY$5,$G183&lt;CY$5+GanttPeriod),"◆",IF(AND($E183&gt;=CY$5,$E183&lt;CY$5+GanttPeriod),"◇","")),IF(AND(CY$5&lt;=$F183,CY$5+GanttPeriod-1&gt;=$E183),"━","")))</f>
        <v/>
      </c>
      <c r="CZ183" s="69" t="str">
        <f aca="false">IF($E183="","",IF($M183,IF(AND($G183&gt;=CZ$5,$G183&lt;CZ$5+GanttPeriod),"◆",IF(AND($E183&gt;=CZ$5,$E183&lt;CZ$5+GanttPeriod),"◇","")),IF(AND(CZ$5&lt;=$F183,CZ$5+GanttPeriod-1&gt;=$E183),"━","")))</f>
        <v/>
      </c>
      <c r="DA183" s="69" t="str">
        <f aca="false">IF($E183="","",IF($M183,IF(AND($G183&gt;=DA$5,$G183&lt;DA$5+GanttPeriod),"◆",IF(AND($E183&gt;=DA$5,$E183&lt;DA$5+GanttPeriod),"◇","")),IF(AND(DA$5&lt;=$F183,DA$5+GanttPeriod-1&gt;=$E183),"━","")))</f>
        <v/>
      </c>
      <c r="DB183" s="69" t="str">
        <f aca="false">IF($E183="","",IF($M183,IF(AND($G183&gt;=DB$5,$G183&lt;DB$5+GanttPeriod),"◆",IF(AND($E183&gt;=DB$5,$E183&lt;DB$5+GanttPeriod),"◇","")),IF(AND(DB$5&lt;=$F183,DB$5+GanttPeriod-1&gt;=$E183),"━","")))</f>
        <v/>
      </c>
      <c r="DC183" s="69" t="str">
        <f aca="false">IF($E183="","",IF($M183,IF(AND($G183&gt;=DC$5,$G183&lt;DC$5+GanttPeriod),"◆",IF(AND($E183&gt;=DC$5,$E183&lt;DC$5+GanttPeriod),"◇","")),IF(AND(DC$5&lt;=$F183,DC$5+GanttPeriod-1&gt;=$E183),"━","")))</f>
        <v/>
      </c>
      <c r="DD183" s="69" t="str">
        <f aca="false">IF($E183="","",IF($M183,IF(AND($G183&gt;=DD$5,$G183&lt;DD$5+GanttPeriod),"◆",IF(AND($E183&gt;=DD$5,$E183&lt;DD$5+GanttPeriod),"◇","")),IF(AND(DD$5&lt;=$F183,DD$5+GanttPeriod-1&gt;=$E183),"━","")))</f>
        <v/>
      </c>
      <c r="DE183" s="69" t="str">
        <f aca="false">IF($E183="","",IF($M183,IF(AND($G183&gt;=DE$5,$G183&lt;DE$5+GanttPeriod),"◆",IF(AND($E183&gt;=DE$5,$E183&lt;DE$5+GanttPeriod),"◇","")),IF(AND(DE$5&lt;=$F183,DE$5+GanttPeriod-1&gt;=$E183),"━","")))</f>
        <v/>
      </c>
      <c r="DF183" s="69" t="str">
        <f aca="false">IF($E183="","",IF($M183,IF(AND($G183&gt;=DF$5,$G183&lt;DF$5+GanttPeriod),"◆",IF(AND($E183&gt;=DF$5,$E183&lt;DF$5+GanttPeriod),"◇","")),IF(AND(DF$5&lt;=$F183,DF$5+GanttPeriod-1&gt;=$E183),"━","")))</f>
        <v/>
      </c>
      <c r="DG183" s="69" t="str">
        <f aca="false">IF($E183="","",IF($M183,IF(AND($G183&gt;=DG$5,$G183&lt;DG$5+GanttPeriod),"◆",IF(AND($E183&gt;=DG$5,$E183&lt;DG$5+GanttPeriod),"◇","")),IF(AND(DG$5&lt;=$F183,DG$5+GanttPeriod-1&gt;=$E183),"━","")))</f>
        <v/>
      </c>
      <c r="DH183" s="69" t="str">
        <f aca="false">IF($E183="","",IF($M183,IF(AND($G183&gt;=DH$5,$G183&lt;DH$5+GanttPeriod),"◆",IF(AND($E183&gt;=DH$5,$E183&lt;DH$5+GanttPeriod),"◇","")),IF(AND(DH$5&lt;=$F183,DH$5+GanttPeriod-1&gt;=$E183),"━","")))</f>
        <v/>
      </c>
      <c r="DI183" s="69" t="str">
        <f aca="false">IF($E183="","",IF($M183,IF(AND($G183&gt;=DI$5,$G183&lt;DI$5+GanttPeriod),"◆",IF(AND($E183&gt;=DI$5,$E183&lt;DI$5+GanttPeriod),"◇","")),IF(AND(DI$5&lt;=$F183,DI$5+GanttPeriod-1&gt;=$E183),"━","")))</f>
        <v/>
      </c>
      <c r="DJ183" s="69" t="str">
        <f aca="false">IF($E183="","",IF($M183,IF(AND($G183&gt;=DJ$5,$G183&lt;DJ$5+GanttPeriod),"◆",IF(AND($E183&gt;=DJ$5,$E183&lt;DJ$5+GanttPeriod),"◇","")),IF(AND(DJ$5&lt;=$F183,DJ$5+GanttPeriod-1&gt;=$E183),"━","")))</f>
        <v/>
      </c>
      <c r="DK183" s="69" t="str">
        <f aca="false">IF($E183="","",IF($M183,IF(AND($G183&gt;=DK$5,$G183&lt;DK$5+GanttPeriod),"◆",IF(AND($E183&gt;=DK$5,$E183&lt;DK$5+GanttPeriod),"◇","")),IF(AND(DK$5&lt;=$F183,DK$5+GanttPeriod-1&gt;=$E183),"━","")))</f>
        <v/>
      </c>
      <c r="DL183" s="69" t="str">
        <f aca="false">IF($E183="","",IF($M183,IF(AND($G183&gt;=DL$5,$G183&lt;DL$5+GanttPeriod),"◆",IF(AND($E183&gt;=DL$5,$E183&lt;DL$5+GanttPeriod),"◇","")),IF(AND(DL$5&lt;=$F183,DL$5+GanttPeriod-1&gt;=$E183),"━","")))</f>
        <v/>
      </c>
      <c r="DM183" s="69" t="str">
        <f aca="false">IF($E183="","",IF($M183,IF(AND($G183&gt;=DM$5,$G183&lt;DM$5+GanttPeriod),"◆",IF(AND($E183&gt;=DM$5,$E183&lt;DM$5+GanttPeriod),"◇","")),IF(AND(DM$5&lt;=$F183,DM$5+GanttPeriod-1&gt;=$E183),"━","")))</f>
        <v/>
      </c>
      <c r="DN183" s="69" t="str">
        <f aca="false">IF($E183="","",IF($M183,IF(AND($G183&gt;=DN$5,$G183&lt;DN$5+GanttPeriod),"◆",IF(AND($E183&gt;=DN$5,$E183&lt;DN$5+GanttPeriod),"◇","")),IF(AND(DN$5&lt;=$F183,DN$5+GanttPeriod-1&gt;=$E183),"━","")))</f>
        <v/>
      </c>
      <c r="DO183" s="69" t="str">
        <f aca="false">IF($E183="","",IF($M183,IF(AND($G183&gt;=DO$5,$G183&lt;DO$5+GanttPeriod),"◆",IF(AND($E183&gt;=DO$5,$E183&lt;DO$5+GanttPeriod),"◇","")),IF(AND(DO$5&lt;=$F183,DO$5+GanttPeriod-1&gt;=$E183),"━","")))</f>
        <v/>
      </c>
      <c r="DP183" s="69" t="str">
        <f aca="false">IF($E183="","",IF($M183,IF(AND($G183&gt;=DP$5,$G183&lt;DP$5+GanttPeriod),"◆",IF(AND($E183&gt;=DP$5,$E183&lt;DP$5+GanttPeriod),"◇","")),IF(AND(DP$5&lt;=$F183,DP$5+GanttPeriod-1&gt;=$E183),"━","")))</f>
        <v/>
      </c>
      <c r="DQ183" s="69" t="str">
        <f aca="false">IF($E183="","",IF($M183,IF(AND($G183&gt;=DQ$5,$G183&lt;DQ$5+GanttPeriod),"◆",IF(AND($E183&gt;=DQ$5,$E183&lt;DQ$5+GanttPeriod),"◇","")),IF(AND(DQ$5&lt;=$F183,DQ$5+GanttPeriod-1&gt;=$E183),"━","")))</f>
        <v/>
      </c>
      <c r="DR183" s="69" t="str">
        <f aca="false">IF($E183="","",IF($M183,IF(AND($G183&gt;=DR$5,$G183&lt;DR$5+GanttPeriod),"◆",IF(AND($E183&gt;=DR$5,$E183&lt;DR$5+GanttPeriod),"◇","")),IF(AND(DR$5&lt;=$F183,DR$5+GanttPeriod-1&gt;=$E183),"━","")))</f>
        <v/>
      </c>
      <c r="DS183" s="69" t="str">
        <f aca="false">IF($E183="","",IF($M183,IF(AND($G183&gt;=DS$5,$G183&lt;DS$5+GanttPeriod),"◆",IF(AND($E183&gt;=DS$5,$E183&lt;DS$5+GanttPeriod),"◇","")),IF(AND(DS$5&lt;=$F183,DS$5+GanttPeriod-1&gt;=$E183),"━","")))</f>
        <v/>
      </c>
      <c r="DT183" s="69" t="str">
        <f aca="false">IF($E183="","",IF($M183,IF(AND($G183&gt;=DT$5,$G183&lt;DT$5+GanttPeriod),"◆",IF(AND($E183&gt;=DT$5,$E183&lt;DT$5+GanttPeriod),"◇","")),IF(AND(DT$5&lt;=$F183,DT$5+GanttPeriod-1&gt;=$E183),"━","")))</f>
        <v/>
      </c>
      <c r="DU183" s="69" t="str">
        <f aca="false">IF($E183="","",IF($M183,IF(AND($G183&gt;=DU$5,$G183&lt;DU$5+GanttPeriod),"◆",IF(AND($E183&gt;=DU$5,$E183&lt;DU$5+GanttPeriod),"◇","")),IF(AND(DU$5&lt;=$F183,DU$5+GanttPeriod-1&gt;=$E183),"━","")))</f>
        <v/>
      </c>
      <c r="DV183" s="69" t="str">
        <f aca="false">IF($E183="","",IF($M183,IF(AND($G183&gt;=DV$5,$G183&lt;DV$5+GanttPeriod),"◆",IF(AND($E183&gt;=DV$5,$E183&lt;DV$5+GanttPeriod),"◇","")),IF(AND(DV$5&lt;=$F183,DV$5+GanttPeriod-1&gt;=$E183),"━","")))</f>
        <v/>
      </c>
      <c r="DW183" s="69" t="str">
        <f aca="false">IF($E183="","",IF($M183,IF(AND($G183&gt;=DW$5,$G183&lt;DW$5+GanttPeriod),"◆",IF(AND($E183&gt;=DW$5,$E183&lt;DW$5+GanttPeriod),"◇","")),IF(AND(DW$5&lt;=$F183,DW$5+GanttPeriod-1&gt;=$E183),"━","")))</f>
        <v/>
      </c>
      <c r="DX183" s="69" t="str">
        <f aca="false">IF($E183="","",IF($M183,IF(AND($G183&gt;=DX$5,$G183&lt;DX$5+GanttPeriod),"◆",IF(AND($E183&gt;=DX$5,$E183&lt;DX$5+GanttPeriod),"◇","")),IF(AND(DX$5&lt;=$F183,DX$5+GanttPeriod-1&gt;=$E183),"━","")))</f>
        <v/>
      </c>
      <c r="DY183" s="69" t="str">
        <f aca="false">IF($E183="","",IF($M183,IF(AND($G183&gt;=DY$5,$G183&lt;DY$5+GanttPeriod),"◆",IF(AND($E183&gt;=DY$5,$E183&lt;DY$5+GanttPeriod),"◇","")),IF(AND(DY$5&lt;=$F183,DY$5+GanttPeriod-1&gt;=$E183),"━","")))</f>
        <v/>
      </c>
      <c r="DZ183" s="69" t="str">
        <f aca="false">IF($E183="","",IF($M183,IF(AND($G183&gt;=DZ$5,$G183&lt;DZ$5+GanttPeriod),"◆",IF(AND($E183&gt;=DZ$5,$E183&lt;DZ$5+GanttPeriod),"◇","")),IF(AND(DZ$5&lt;=$F183,DZ$5+GanttPeriod-1&gt;=$E183),"━","")))</f>
        <v/>
      </c>
      <c r="EA183" s="69" t="str">
        <f aca="false">IF($E183="","",IF($M183,IF(AND($G183&gt;=EA$5,$G183&lt;EA$5+GanttPeriod),"◆",IF(AND($E183&gt;=EA$5,$E183&lt;EA$5+GanttPeriod),"◇","")),IF(AND(EA$5&lt;=$F183,EA$5+GanttPeriod-1&gt;=$E183),"━","")))</f>
        <v/>
      </c>
      <c r="EB183" s="69" t="str">
        <f aca="false">IF($E183="","",IF($M183,IF(AND($G183&gt;=EB$5,$G183&lt;EB$5+GanttPeriod),"◆",IF(AND($E183&gt;=EB$5,$E183&lt;EB$5+GanttPeriod),"◇","")),IF(AND(EB$5&lt;=$F183,EB$5+GanttPeriod-1&gt;=$E183),"━","")))</f>
        <v/>
      </c>
      <c r="EC183" s="69" t="str">
        <f aca="false">IF($E183="","",IF($M183,IF(AND($G183&gt;=EC$5,$G183&lt;EC$5+GanttPeriod),"◆",IF(AND($E183&gt;=EC$5,$E183&lt;EC$5+GanttPeriod),"◇","")),IF(AND(EC$5&lt;=$F183,EC$5+GanttPeriod-1&gt;=$E183),"━","")))</f>
        <v/>
      </c>
      <c r="ED183" s="69" t="str">
        <f aca="false">IF($E183="","",IF($M183,IF(AND($G183&gt;=ED$5,$G183&lt;ED$5+GanttPeriod),"◆",IF(AND($E183&gt;=ED$5,$E183&lt;ED$5+GanttPeriod),"◇","")),IF(AND(ED$5&lt;=$F183,ED$5+GanttPeriod-1&gt;=$E183),"━","")))</f>
        <v/>
      </c>
      <c r="EE183" s="69" t="str">
        <f aca="false">IF($E183="","",IF($M183,IF(AND($G183&gt;=EE$5,$G183&lt;EE$5+GanttPeriod),"◆",IF(AND($E183&gt;=EE$5,$E183&lt;EE$5+GanttPeriod),"◇","")),IF(AND(EE$5&lt;=$F183,EE$5+GanttPeriod-1&gt;=$E183),"━","")))</f>
        <v/>
      </c>
      <c r="EF183" s="69" t="str">
        <f aca="false">IF($E183="","",IF($M183,IF(AND($G183&gt;=EF$5,$G183&lt;EF$5+GanttPeriod),"◆",IF(AND($E183&gt;=EF$5,$E183&lt;EF$5+GanttPeriod),"◇","")),IF(AND(EF$5&lt;=$F183,EF$5+GanttPeriod-1&gt;=$E183),"━","")))</f>
        <v/>
      </c>
      <c r="EG183" s="69" t="str">
        <f aca="false">IF($E183="","",IF($M183,IF(AND($G183&gt;=EG$5,$G183&lt;EG$5+GanttPeriod),"◆",IF(AND($E183&gt;=EG$5,$E183&lt;EG$5+GanttPeriod),"◇","")),IF(AND(EG$5&lt;=$F183,EG$5+GanttPeriod-1&gt;=$E183),"━","")))</f>
        <v/>
      </c>
      <c r="EH183" s="69" t="str">
        <f aca="false">IF($E183="","",IF($M183,IF(AND($G183&gt;=EH$5,$G183&lt;EH$5+GanttPeriod),"◆",IF(AND($E183&gt;=EH$5,$E183&lt;EH$5+GanttPeriod),"◇","")),IF(AND(EH$5&lt;=$F183,EH$5+GanttPeriod-1&gt;=$E183),"━","")))</f>
        <v/>
      </c>
      <c r="EI183" s="69" t="str">
        <f aca="false">IF($E183="","",IF($M183,IF(AND($G183&gt;=EI$5,$G183&lt;EI$5+GanttPeriod),"◆",IF(AND($E183&gt;=EI$5,$E183&lt;EI$5+GanttPeriod),"◇","")),IF(AND(EI$5&lt;=$F183,EI$5+GanttPeriod-1&gt;=$E183),"━","")))</f>
        <v/>
      </c>
      <c r="EJ183" s="69" t="str">
        <f aca="false">IF($E183="","",IF($M183,IF(AND($G183&gt;=EJ$5,$G183&lt;EJ$5+GanttPeriod),"◆",IF(AND($E183&gt;=EJ$5,$E183&lt;EJ$5+GanttPeriod),"◇","")),IF(AND(EJ$5&lt;=$F183,EJ$5+GanttPeriod-1&gt;=$E183),"━","")))</f>
        <v/>
      </c>
      <c r="EK183" s="69" t="str">
        <f aca="false">IF($E183="","",IF($M183,IF(AND($G183&gt;=EK$5,$G183&lt;EK$5+GanttPeriod),"◆",IF(AND($E183&gt;=EK$5,$E183&lt;EK$5+GanttPeriod),"◇","")),IF(AND(EK$5&lt;=$F183,EK$5+GanttPeriod-1&gt;=$E183),"━","")))</f>
        <v/>
      </c>
      <c r="EL183" s="69" t="str">
        <f aca="false">IF($E183="","",IF($M183,IF(AND($G183&gt;=EL$5,$G183&lt;EL$5+GanttPeriod),"◆",IF(AND($E183&gt;=EL$5,$E183&lt;EL$5+GanttPeriod),"◇","")),IF(AND(EL$5&lt;=$F183,EL$5+GanttPeriod-1&gt;=$E183),"━","")))</f>
        <v/>
      </c>
      <c r="EM183" s="69" t="str">
        <f aca="false">IF($E183="","",IF($M183,IF(AND($G183&gt;=EM$5,$G183&lt;EM$5+GanttPeriod),"◆",IF(AND($E183&gt;=EM$5,$E183&lt;EM$5+GanttPeriod),"◇","")),IF(AND(EM$5&lt;=$F183,EM$5+GanttPeriod-1&gt;=$E183),"━","")))</f>
        <v/>
      </c>
      <c r="EN183" s="69" t="str">
        <f aca="false">IF($E183="","",IF($M183,IF(AND($G183&gt;=EN$5,$G183&lt;EN$5+GanttPeriod),"◆",IF(AND($E183&gt;=EN$5,$E183&lt;EN$5+GanttPeriod),"◇","")),IF(AND(EN$5&lt;=$F183,EN$5+GanttPeriod-1&gt;=$E183),"━","")))</f>
        <v/>
      </c>
      <c r="EO183" s="69" t="str">
        <f aca="false">IF($E183="","",IF($M183,IF(AND($G183&gt;=EO$5,$G183&lt;EO$5+GanttPeriod),"◆",IF(AND($E183&gt;=EO$5,$E183&lt;EO$5+GanttPeriod),"◇","")),IF(AND(EO$5&lt;=$F183,EO$5+GanttPeriod-1&gt;=$E183),"━","")))</f>
        <v/>
      </c>
      <c r="EP183" s="69" t="str">
        <f aca="false">IF($E183="","",IF($M183,IF(AND($G183&gt;=EP$5,$G183&lt;EP$5+GanttPeriod),"◆",IF(AND($E183&gt;=EP$5,$E183&lt;EP$5+GanttPeriod),"◇","")),IF(AND(EP$5&lt;=$F183,EP$5+GanttPeriod-1&gt;=$E183),"━","")))</f>
        <v/>
      </c>
      <c r="EQ183" s="69" t="str">
        <f aca="false">IF($E183="","",IF($M183,IF(AND($G183&gt;=EQ$5,$G183&lt;EQ$5+GanttPeriod),"◆",IF(AND($E183&gt;=EQ$5,$E183&lt;EQ$5+GanttPeriod),"◇","")),IF(AND(EQ$5&lt;=$F183,EQ$5+GanttPeriod-1&gt;=$E183),"━","")))</f>
        <v/>
      </c>
      <c r="ER183" s="69" t="str">
        <f aca="false">IF($E183="","",IF($M183,IF(AND($G183&gt;=ER$5,$G183&lt;ER$5+GanttPeriod),"◆",IF(AND($E183&gt;=ER$5,$E183&lt;ER$5+GanttPeriod),"◇","")),IF(AND(ER$5&lt;=$F183,ER$5+GanttPeriod-1&gt;=$E183),"━","")))</f>
        <v/>
      </c>
      <c r="ES183" s="69" t="str">
        <f aca="false">IF($E183="","",IF($M183,IF(AND($G183&gt;=ES$5,$G183&lt;ES$5+GanttPeriod),"◆",IF(AND($E183&gt;=ES$5,$E183&lt;ES$5+GanttPeriod),"◇","")),IF(AND(ES$5&lt;=$F183,ES$5+GanttPeriod-1&gt;=$E183),"━","")))</f>
        <v/>
      </c>
      <c r="ET183" s="69" t="str">
        <f aca="false">IF($E183="","",IF($M183,IF(AND($G183&gt;=ET$5,$G183&lt;ET$5+GanttPeriod),"◆",IF(AND($E183&gt;=ET$5,$E183&lt;ET$5+GanttPeriod),"◇","")),IF(AND(ET$5&lt;=$F183,ET$5+GanttPeriod-1&gt;=$E183),"━","")))</f>
        <v/>
      </c>
      <c r="EU183" s="69" t="str">
        <f aca="false">IF($E183="","",IF($M183,IF(AND($G183&gt;=EU$5,$G183&lt;EU$5+GanttPeriod),"◆",IF(AND($E183&gt;=EU$5,$E183&lt;EU$5+GanttPeriod),"◇","")),IF(AND(EU$5&lt;=$F183,EU$5+GanttPeriod-1&gt;=$E183),"━","")))</f>
        <v/>
      </c>
      <c r="EV183" s="69" t="str">
        <f aca="false">IF($E183="","",IF($M183,IF(AND($G183&gt;=EV$5,$G183&lt;EV$5+GanttPeriod),"◆",IF(AND($E183&gt;=EV$5,$E183&lt;EV$5+GanttPeriod),"◇","")),IF(AND(EV$5&lt;=$F183,EV$5+GanttPeriod-1&gt;=$E183),"━","")))</f>
        <v/>
      </c>
      <c r="EW183" s="69" t="str">
        <f aca="false">IF($E183="","",IF($M183,IF(AND($G183&gt;=EW$5,$G183&lt;EW$5+GanttPeriod),"◆",IF(AND($E183&gt;=EW$5,$E183&lt;EW$5+GanttPeriod),"◇","")),IF(AND(EW$5&lt;=$F183,EW$5+GanttPeriod-1&gt;=$E183),"━","")))</f>
        <v/>
      </c>
      <c r="EX183" s="69" t="str">
        <f aca="false">IF($E183="","",IF($M183,IF(AND($G183&gt;=EX$5,$G183&lt;EX$5+GanttPeriod),"◆",IF(AND($E183&gt;=EX$5,$E183&lt;EX$5+GanttPeriod),"◇","")),IF(AND(EX$5&lt;=$F183,EX$5+GanttPeriod-1&gt;=$E183),"━","")))</f>
        <v/>
      </c>
      <c r="EY183" s="69" t="str">
        <f aca="false">IF($E183="","",IF($M183,IF(AND($G183&gt;=EY$5,$G183&lt;EY$5+GanttPeriod),"◆",IF(AND($E183&gt;=EY$5,$E183&lt;EY$5+GanttPeriod),"◇","")),IF(AND(EY$5&lt;=$F183,EY$5+GanttPeriod-1&gt;=$E183),"━","")))</f>
        <v/>
      </c>
      <c r="EZ183" s="69" t="str">
        <f aca="false">IF($E183="","",IF($M183,IF(AND($G183&gt;=EZ$5,$G183&lt;EZ$5+GanttPeriod),"◆",IF(AND($E183&gt;=EZ$5,$E183&lt;EZ$5+GanttPeriod),"◇","")),IF(AND(EZ$5&lt;=$F183,EZ$5+GanttPeriod-1&gt;=$E183),"━","")))</f>
        <v/>
      </c>
      <c r="FA183" s="69" t="str">
        <f aca="false">IF($E183="","",IF($M183,IF(AND($G183&gt;=FA$5,$G183&lt;FA$5+GanttPeriod),"◆",IF(AND($E183&gt;=FA$5,$E183&lt;FA$5+GanttPeriod),"◇","")),IF(AND(FA$5&lt;=$F183,FA$5+GanttPeriod-1&gt;=$E183),"━","")))</f>
        <v/>
      </c>
      <c r="FB183" s="69" t="str">
        <f aca="false">IF($E183="","",IF($M183,IF(AND($G183&gt;=FB$5,$G183&lt;FB$5+GanttPeriod),"◆",IF(AND($E183&gt;=FB$5,$E183&lt;FB$5+GanttPeriod),"◇","")),IF(AND(FB$5&lt;=$F183,FB$5+GanttPeriod-1&gt;=$E183),"━","")))</f>
        <v/>
      </c>
      <c r="FC183" s="69" t="str">
        <f aca="false">IF($E183="","",IF($M183,IF(AND($G183&gt;=FC$5,$G183&lt;FC$5+GanttPeriod),"◆",IF(AND($E183&gt;=FC$5,$E183&lt;FC$5+GanttPeriod),"◇","")),IF(AND(FC$5&lt;=$F183,FC$5+GanttPeriod-1&gt;=$E183),"━","")))</f>
        <v/>
      </c>
      <c r="FD183" s="69" t="str">
        <f aca="false">IF($E183="","",IF($M183,IF(AND($G183&gt;=FD$5,$G183&lt;FD$5+GanttPeriod),"◆",IF(AND($E183&gt;=FD$5,$E183&lt;FD$5+GanttPeriod),"◇","")),IF(AND(FD$5&lt;=$F183,FD$5+GanttPeriod-1&gt;=$E183),"━","")))</f>
        <v/>
      </c>
      <c r="FE183" s="69" t="str">
        <f aca="false">IF($E183="","",IF($M183,IF(AND($G183&gt;=FE$5,$G183&lt;FE$5+GanttPeriod),"◆",IF(AND($E183&gt;=FE$5,$E183&lt;FE$5+GanttPeriod),"◇","")),IF(AND(FE$5&lt;=$F183,FE$5+GanttPeriod-1&gt;=$E183),"━","")))</f>
        <v/>
      </c>
      <c r="FF183" s="69" t="str">
        <f aca="false">IF($E183="","",IF($M183,IF(AND($G183&gt;=FF$5,$G183&lt;FF$5+GanttPeriod),"◆",IF(AND($E183&gt;=FF$5,$E183&lt;FF$5+GanttPeriod),"◇","")),IF(AND(FF$5&lt;=$F183,FF$5+GanttPeriod-1&gt;=$E183),"━","")))</f>
        <v/>
      </c>
      <c r="FG183" s="69" t="str">
        <f aca="false">IF($E183="","",IF($M183,IF(AND($G183&gt;=FG$5,$G183&lt;FG$5+GanttPeriod),"◆",IF(AND($E183&gt;=FG$5,$E183&lt;FG$5+GanttPeriod),"◇","")),IF(AND(FG$5&lt;=$F183,FG$5+GanttPeriod-1&gt;=$E183),"━","")))</f>
        <v/>
      </c>
      <c r="FH183" s="69" t="str">
        <f aca="false">IF($E183="","",IF($M183,IF(AND($G183&gt;=FH$5,$G183&lt;FH$5+GanttPeriod),"◆",IF(AND($E183&gt;=FH$5,$E183&lt;FH$5+GanttPeriod),"◇","")),IF(AND(FH$5&lt;=$F183,FH$5+GanttPeriod-1&gt;=$E183),"━","")))</f>
        <v/>
      </c>
      <c r="FI183" s="69" t="str">
        <f aca="false">IF($E183="","",IF($M183,IF(AND($G183&gt;=FI$5,$G183&lt;FI$5+GanttPeriod),"◆",IF(AND($E183&gt;=FI$5,$E183&lt;FI$5+GanttPeriod),"◇","")),IF(AND(FI$5&lt;=$F183,FI$5+GanttPeriod-1&gt;=$E183),"━","")))</f>
        <v/>
      </c>
      <c r="FJ183" s="69" t="str">
        <f aca="false">IF($E183="","",IF($M183,IF(AND($G183&gt;=FJ$5,$G183&lt;FJ$5+GanttPeriod),"◆",IF(AND($E183&gt;=FJ$5,$E183&lt;FJ$5+GanttPeriod),"◇","")),IF(AND(FJ$5&lt;=$F183,FJ$5+GanttPeriod-1&gt;=$E183),"━","")))</f>
        <v/>
      </c>
      <c r="FK183" s="69" t="str">
        <f aca="false">IF($E183="","",IF($M183,IF(AND($G183&gt;=FK$5,$G183&lt;FK$5+GanttPeriod),"◆",IF(AND($E183&gt;=FK$5,$E183&lt;FK$5+GanttPeriod),"◇","")),IF(AND(FK$5&lt;=$F183,FK$5+GanttPeriod-1&gt;=$E183),"━","")))</f>
        <v/>
      </c>
      <c r="FL183" s="69" t="str">
        <f aca="false">IF($E183="","",IF($M183,IF(AND($G183&gt;=FL$5,$G183&lt;FL$5+GanttPeriod),"◆",IF(AND($E183&gt;=FL$5,$E183&lt;FL$5+GanttPeriod),"◇","")),IF(AND(FL$5&lt;=$F183,FL$5+GanttPeriod-1&gt;=$E183),"━","")))</f>
        <v/>
      </c>
      <c r="FM183" s="69" t="str">
        <f aca="false">IF($E183="","",IF($M183,IF(AND($G183&gt;=FM$5,$G183&lt;FM$5+GanttPeriod),"◆",IF(AND($E183&gt;=FM$5,$E183&lt;FM$5+GanttPeriod),"◇","")),IF(AND(FM$5&lt;=$F183,FM$5+GanttPeriod-1&gt;=$E183),"━","")))</f>
        <v/>
      </c>
    </row>
    <row r="184" customFormat="false" ht="15" hidden="false" customHeight="false" outlineLevel="0" collapsed="false">
      <c r="A184" s="62" t="str">
        <f aca="false">IF(Tasks!$D184="","",Tasks!$A184)</f>
        <v/>
      </c>
      <c r="B184" s="62" t="str">
        <f aca="false">IF(Tasks!$D184="","",Tasks!$B184)</f>
        <v/>
      </c>
      <c r="C184" s="63" t="str">
        <f aca="false">IF(Tasks!$D184="","",REPT("    ",Tasks!$AE184-1)&amp;Tasks!$D184)</f>
        <v/>
      </c>
      <c r="D184" s="62" t="str">
        <f aca="false">IF(Tasks!$D184="","",IF(Tasks!$AI184,NETWORKDAYS.INTL(Tasks!$R184,Tasks!$S184,WorkWeek,Holidays),N(Tasks!$F184)))</f>
        <v/>
      </c>
      <c r="E184" s="64" t="str">
        <f aca="false">IF(Tasks!$D184="","",Tasks!$N184)</f>
        <v/>
      </c>
      <c r="F184" s="64" t="str">
        <f aca="false">IF(Tasks!$D184="","",Tasks!$O184)</f>
        <v/>
      </c>
      <c r="G184" s="64" t="str">
        <f aca="false">IF(Tasks!$D184="","",Tasks!$R184)</f>
        <v/>
      </c>
      <c r="H184" s="64" t="str">
        <f aca="false">IF(Tasks!$D184="","",Tasks!$S184)</f>
        <v/>
      </c>
      <c r="I184" s="65" t="str">
        <f aca="false">IF(Tasks!$D184="","",Tasks!$V184)</f>
        <v/>
      </c>
      <c r="J184" s="63" t="str">
        <f aca="false">IF(Tasks!$D184="","",Tasks!$X184&amp;"")</f>
        <v/>
      </c>
      <c r="K184" s="66" t="str">
        <f aca="false">IF(Tasks!$D184="","",Tasks!$W184)</f>
        <v/>
      </c>
      <c r="L184" s="67" t="b">
        <f aca="false">IF(Tasks!$D184="",FALSE(),Tasks!$AI184)</f>
        <v>0</v>
      </c>
      <c r="M184" s="67" t="b">
        <f aca="false">AND(Tasks!$AJ184=1,N(Tasks!$F184)=0)</f>
        <v>0</v>
      </c>
      <c r="N184" s="68" t="n">
        <f aca="false">IF(AND(Tasks!$AJ184=1,NOT($M184),N($I184)&gt;0),$G184,0)</f>
        <v>0</v>
      </c>
      <c r="O184" s="68" t="n">
        <f aca="false">IF($N184=0,0,IF($I184&gt;=1,$H184,MAX($N184,$G184+ROUND(($H184-$G184+1)*$I184,0)-1)))</f>
        <v>0</v>
      </c>
      <c r="P184" s="68" t="n">
        <f aca="false">IF(OR(Tasks!$AJ184&lt;&gt;1,$M184,N($I184)&gt;=1),0,IF($O184&gt;0,$O184+1,$G184))</f>
        <v>0</v>
      </c>
      <c r="Q184" s="68" t="n">
        <f aca="false">IF($P184=0,0,$H184)</f>
        <v>0</v>
      </c>
      <c r="R184" s="67" t="b">
        <f aca="false">AND(Tasks!$D184&lt;&gt;"",N(Tasks!$T184)&gt;0)</f>
        <v>0</v>
      </c>
      <c r="T184" s="69" t="str">
        <f aca="false">IF($E184="","",IF($M184,IF(AND($G184&gt;=T$5,$G184&lt;T$5+GanttPeriod),"◆",IF(AND($E184&gt;=T$5,$E184&lt;T$5+GanttPeriod),"◇","")),IF(AND(T$5&lt;=$F184,T$5+GanttPeriod-1&gt;=$E184),"━","")))</f>
        <v/>
      </c>
      <c r="U184" s="69" t="str">
        <f aca="false">IF($E184="","",IF($M184,IF(AND($G184&gt;=U$5,$G184&lt;U$5+GanttPeriod),"◆",IF(AND($E184&gt;=U$5,$E184&lt;U$5+GanttPeriod),"◇","")),IF(AND(U$5&lt;=$F184,U$5+GanttPeriod-1&gt;=$E184),"━","")))</f>
        <v/>
      </c>
      <c r="V184" s="69" t="str">
        <f aca="false">IF($E184="","",IF($M184,IF(AND($G184&gt;=V$5,$G184&lt;V$5+GanttPeriod),"◆",IF(AND($E184&gt;=V$5,$E184&lt;V$5+GanttPeriod),"◇","")),IF(AND(V$5&lt;=$F184,V$5+GanttPeriod-1&gt;=$E184),"━","")))</f>
        <v/>
      </c>
      <c r="W184" s="69" t="str">
        <f aca="false">IF($E184="","",IF($M184,IF(AND($G184&gt;=W$5,$G184&lt;W$5+GanttPeriod),"◆",IF(AND($E184&gt;=W$5,$E184&lt;W$5+GanttPeriod),"◇","")),IF(AND(W$5&lt;=$F184,W$5+GanttPeriod-1&gt;=$E184),"━","")))</f>
        <v/>
      </c>
      <c r="X184" s="69" t="str">
        <f aca="false">IF($E184="","",IF($M184,IF(AND($G184&gt;=X$5,$G184&lt;X$5+GanttPeriod),"◆",IF(AND($E184&gt;=X$5,$E184&lt;X$5+GanttPeriod),"◇","")),IF(AND(X$5&lt;=$F184,X$5+GanttPeriod-1&gt;=$E184),"━","")))</f>
        <v/>
      </c>
      <c r="Y184" s="69" t="str">
        <f aca="false">IF($E184="","",IF($M184,IF(AND($G184&gt;=Y$5,$G184&lt;Y$5+GanttPeriod),"◆",IF(AND($E184&gt;=Y$5,$E184&lt;Y$5+GanttPeriod),"◇","")),IF(AND(Y$5&lt;=$F184,Y$5+GanttPeriod-1&gt;=$E184),"━","")))</f>
        <v/>
      </c>
      <c r="Z184" s="69" t="str">
        <f aca="false">IF($E184="","",IF($M184,IF(AND($G184&gt;=Z$5,$G184&lt;Z$5+GanttPeriod),"◆",IF(AND($E184&gt;=Z$5,$E184&lt;Z$5+GanttPeriod),"◇","")),IF(AND(Z$5&lt;=$F184,Z$5+GanttPeriod-1&gt;=$E184),"━","")))</f>
        <v/>
      </c>
      <c r="AA184" s="69" t="str">
        <f aca="false">IF($E184="","",IF($M184,IF(AND($G184&gt;=AA$5,$G184&lt;AA$5+GanttPeriod),"◆",IF(AND($E184&gt;=AA$5,$E184&lt;AA$5+GanttPeriod),"◇","")),IF(AND(AA$5&lt;=$F184,AA$5+GanttPeriod-1&gt;=$E184),"━","")))</f>
        <v/>
      </c>
      <c r="AB184" s="69" t="str">
        <f aca="false">IF($E184="","",IF($M184,IF(AND($G184&gt;=AB$5,$G184&lt;AB$5+GanttPeriod),"◆",IF(AND($E184&gt;=AB$5,$E184&lt;AB$5+GanttPeriod),"◇","")),IF(AND(AB$5&lt;=$F184,AB$5+GanttPeriod-1&gt;=$E184),"━","")))</f>
        <v/>
      </c>
      <c r="AC184" s="69" t="str">
        <f aca="false">IF($E184="","",IF($M184,IF(AND($G184&gt;=AC$5,$G184&lt;AC$5+GanttPeriod),"◆",IF(AND($E184&gt;=AC$5,$E184&lt;AC$5+GanttPeriod),"◇","")),IF(AND(AC$5&lt;=$F184,AC$5+GanttPeriod-1&gt;=$E184),"━","")))</f>
        <v/>
      </c>
      <c r="AD184" s="69" t="str">
        <f aca="false">IF($E184="","",IF($M184,IF(AND($G184&gt;=AD$5,$G184&lt;AD$5+GanttPeriod),"◆",IF(AND($E184&gt;=AD$5,$E184&lt;AD$5+GanttPeriod),"◇","")),IF(AND(AD$5&lt;=$F184,AD$5+GanttPeriod-1&gt;=$E184),"━","")))</f>
        <v/>
      </c>
      <c r="AE184" s="69" t="str">
        <f aca="false">IF($E184="","",IF($M184,IF(AND($G184&gt;=AE$5,$G184&lt;AE$5+GanttPeriod),"◆",IF(AND($E184&gt;=AE$5,$E184&lt;AE$5+GanttPeriod),"◇","")),IF(AND(AE$5&lt;=$F184,AE$5+GanttPeriod-1&gt;=$E184),"━","")))</f>
        <v/>
      </c>
      <c r="AF184" s="69" t="str">
        <f aca="false">IF($E184="","",IF($M184,IF(AND($G184&gt;=AF$5,$G184&lt;AF$5+GanttPeriod),"◆",IF(AND($E184&gt;=AF$5,$E184&lt;AF$5+GanttPeriod),"◇","")),IF(AND(AF$5&lt;=$F184,AF$5+GanttPeriod-1&gt;=$E184),"━","")))</f>
        <v/>
      </c>
      <c r="AG184" s="69" t="str">
        <f aca="false">IF($E184="","",IF($M184,IF(AND($G184&gt;=AG$5,$G184&lt;AG$5+GanttPeriod),"◆",IF(AND($E184&gt;=AG$5,$E184&lt;AG$5+GanttPeriod),"◇","")),IF(AND(AG$5&lt;=$F184,AG$5+GanttPeriod-1&gt;=$E184),"━","")))</f>
        <v/>
      </c>
      <c r="AH184" s="69" t="str">
        <f aca="false">IF($E184="","",IF($M184,IF(AND($G184&gt;=AH$5,$G184&lt;AH$5+GanttPeriod),"◆",IF(AND($E184&gt;=AH$5,$E184&lt;AH$5+GanttPeriod),"◇","")),IF(AND(AH$5&lt;=$F184,AH$5+GanttPeriod-1&gt;=$E184),"━","")))</f>
        <v/>
      </c>
      <c r="AI184" s="69" t="str">
        <f aca="false">IF($E184="","",IF($M184,IF(AND($G184&gt;=AI$5,$G184&lt;AI$5+GanttPeriod),"◆",IF(AND($E184&gt;=AI$5,$E184&lt;AI$5+GanttPeriod),"◇","")),IF(AND(AI$5&lt;=$F184,AI$5+GanttPeriod-1&gt;=$E184),"━","")))</f>
        <v/>
      </c>
      <c r="AJ184" s="69" t="str">
        <f aca="false">IF($E184="","",IF($M184,IF(AND($G184&gt;=AJ$5,$G184&lt;AJ$5+GanttPeriod),"◆",IF(AND($E184&gt;=AJ$5,$E184&lt;AJ$5+GanttPeriod),"◇","")),IF(AND(AJ$5&lt;=$F184,AJ$5+GanttPeriod-1&gt;=$E184),"━","")))</f>
        <v/>
      </c>
      <c r="AK184" s="69" t="str">
        <f aca="false">IF($E184="","",IF($M184,IF(AND($G184&gt;=AK$5,$G184&lt;AK$5+GanttPeriod),"◆",IF(AND($E184&gt;=AK$5,$E184&lt;AK$5+GanttPeriod),"◇","")),IF(AND(AK$5&lt;=$F184,AK$5+GanttPeriod-1&gt;=$E184),"━","")))</f>
        <v/>
      </c>
      <c r="AL184" s="69" t="str">
        <f aca="false">IF($E184="","",IF($M184,IF(AND($G184&gt;=AL$5,$G184&lt;AL$5+GanttPeriod),"◆",IF(AND($E184&gt;=AL$5,$E184&lt;AL$5+GanttPeriod),"◇","")),IF(AND(AL$5&lt;=$F184,AL$5+GanttPeriod-1&gt;=$E184),"━","")))</f>
        <v/>
      </c>
      <c r="AM184" s="69" t="str">
        <f aca="false">IF($E184="","",IF($M184,IF(AND($G184&gt;=AM$5,$G184&lt;AM$5+GanttPeriod),"◆",IF(AND($E184&gt;=AM$5,$E184&lt;AM$5+GanttPeriod),"◇","")),IF(AND(AM$5&lt;=$F184,AM$5+GanttPeriod-1&gt;=$E184),"━","")))</f>
        <v/>
      </c>
      <c r="AN184" s="69" t="str">
        <f aca="false">IF($E184="","",IF($M184,IF(AND($G184&gt;=AN$5,$G184&lt;AN$5+GanttPeriod),"◆",IF(AND($E184&gt;=AN$5,$E184&lt;AN$5+GanttPeriod),"◇","")),IF(AND(AN$5&lt;=$F184,AN$5+GanttPeriod-1&gt;=$E184),"━","")))</f>
        <v/>
      </c>
      <c r="AO184" s="69" t="str">
        <f aca="false">IF($E184="","",IF($M184,IF(AND($G184&gt;=AO$5,$G184&lt;AO$5+GanttPeriod),"◆",IF(AND($E184&gt;=AO$5,$E184&lt;AO$5+GanttPeriod),"◇","")),IF(AND(AO$5&lt;=$F184,AO$5+GanttPeriod-1&gt;=$E184),"━","")))</f>
        <v/>
      </c>
      <c r="AP184" s="69" t="str">
        <f aca="false">IF($E184="","",IF($M184,IF(AND($G184&gt;=AP$5,$G184&lt;AP$5+GanttPeriod),"◆",IF(AND($E184&gt;=AP$5,$E184&lt;AP$5+GanttPeriod),"◇","")),IF(AND(AP$5&lt;=$F184,AP$5+GanttPeriod-1&gt;=$E184),"━","")))</f>
        <v/>
      </c>
      <c r="AQ184" s="69" t="str">
        <f aca="false">IF($E184="","",IF($M184,IF(AND($G184&gt;=AQ$5,$G184&lt;AQ$5+GanttPeriod),"◆",IF(AND($E184&gt;=AQ$5,$E184&lt;AQ$5+GanttPeriod),"◇","")),IF(AND(AQ$5&lt;=$F184,AQ$5+GanttPeriod-1&gt;=$E184),"━","")))</f>
        <v/>
      </c>
      <c r="AR184" s="69" t="str">
        <f aca="false">IF($E184="","",IF($M184,IF(AND($G184&gt;=AR$5,$G184&lt;AR$5+GanttPeriod),"◆",IF(AND($E184&gt;=AR$5,$E184&lt;AR$5+GanttPeriod),"◇","")),IF(AND(AR$5&lt;=$F184,AR$5+GanttPeriod-1&gt;=$E184),"━","")))</f>
        <v/>
      </c>
      <c r="AS184" s="69" t="str">
        <f aca="false">IF($E184="","",IF($M184,IF(AND($G184&gt;=AS$5,$G184&lt;AS$5+GanttPeriod),"◆",IF(AND($E184&gt;=AS$5,$E184&lt;AS$5+GanttPeriod),"◇","")),IF(AND(AS$5&lt;=$F184,AS$5+GanttPeriod-1&gt;=$E184),"━","")))</f>
        <v/>
      </c>
      <c r="AT184" s="69" t="str">
        <f aca="false">IF($E184="","",IF($M184,IF(AND($G184&gt;=AT$5,$G184&lt;AT$5+GanttPeriod),"◆",IF(AND($E184&gt;=AT$5,$E184&lt;AT$5+GanttPeriod),"◇","")),IF(AND(AT$5&lt;=$F184,AT$5+GanttPeriod-1&gt;=$E184),"━","")))</f>
        <v/>
      </c>
      <c r="AU184" s="69" t="str">
        <f aca="false">IF($E184="","",IF($M184,IF(AND($G184&gt;=AU$5,$G184&lt;AU$5+GanttPeriod),"◆",IF(AND($E184&gt;=AU$5,$E184&lt;AU$5+GanttPeriod),"◇","")),IF(AND(AU$5&lt;=$F184,AU$5+GanttPeriod-1&gt;=$E184),"━","")))</f>
        <v/>
      </c>
      <c r="AV184" s="69" t="str">
        <f aca="false">IF($E184="","",IF($M184,IF(AND($G184&gt;=AV$5,$G184&lt;AV$5+GanttPeriod),"◆",IF(AND($E184&gt;=AV$5,$E184&lt;AV$5+GanttPeriod),"◇","")),IF(AND(AV$5&lt;=$F184,AV$5+GanttPeriod-1&gt;=$E184),"━","")))</f>
        <v/>
      </c>
      <c r="AW184" s="69" t="str">
        <f aca="false">IF($E184="","",IF($M184,IF(AND($G184&gt;=AW$5,$G184&lt;AW$5+GanttPeriod),"◆",IF(AND($E184&gt;=AW$5,$E184&lt;AW$5+GanttPeriod),"◇","")),IF(AND(AW$5&lt;=$F184,AW$5+GanttPeriod-1&gt;=$E184),"━","")))</f>
        <v/>
      </c>
      <c r="AX184" s="69" t="str">
        <f aca="false">IF($E184="","",IF($M184,IF(AND($G184&gt;=AX$5,$G184&lt;AX$5+GanttPeriod),"◆",IF(AND($E184&gt;=AX$5,$E184&lt;AX$5+GanttPeriod),"◇","")),IF(AND(AX$5&lt;=$F184,AX$5+GanttPeriod-1&gt;=$E184),"━","")))</f>
        <v/>
      </c>
      <c r="AY184" s="69" t="str">
        <f aca="false">IF($E184="","",IF($M184,IF(AND($G184&gt;=AY$5,$G184&lt;AY$5+GanttPeriod),"◆",IF(AND($E184&gt;=AY$5,$E184&lt;AY$5+GanttPeriod),"◇","")),IF(AND(AY$5&lt;=$F184,AY$5+GanttPeriod-1&gt;=$E184),"━","")))</f>
        <v/>
      </c>
      <c r="AZ184" s="69" t="str">
        <f aca="false">IF($E184="","",IF($M184,IF(AND($G184&gt;=AZ$5,$G184&lt;AZ$5+GanttPeriod),"◆",IF(AND($E184&gt;=AZ$5,$E184&lt;AZ$5+GanttPeriod),"◇","")),IF(AND(AZ$5&lt;=$F184,AZ$5+GanttPeriod-1&gt;=$E184),"━","")))</f>
        <v/>
      </c>
      <c r="BA184" s="69" t="str">
        <f aca="false">IF($E184="","",IF($M184,IF(AND($G184&gt;=BA$5,$G184&lt;BA$5+GanttPeriod),"◆",IF(AND($E184&gt;=BA$5,$E184&lt;BA$5+GanttPeriod),"◇","")),IF(AND(BA$5&lt;=$F184,BA$5+GanttPeriod-1&gt;=$E184),"━","")))</f>
        <v/>
      </c>
      <c r="BB184" s="69" t="str">
        <f aca="false">IF($E184="","",IF($M184,IF(AND($G184&gt;=BB$5,$G184&lt;BB$5+GanttPeriod),"◆",IF(AND($E184&gt;=BB$5,$E184&lt;BB$5+GanttPeriod),"◇","")),IF(AND(BB$5&lt;=$F184,BB$5+GanttPeriod-1&gt;=$E184),"━","")))</f>
        <v/>
      </c>
      <c r="BC184" s="69" t="str">
        <f aca="false">IF($E184="","",IF($M184,IF(AND($G184&gt;=BC$5,$G184&lt;BC$5+GanttPeriod),"◆",IF(AND($E184&gt;=BC$5,$E184&lt;BC$5+GanttPeriod),"◇","")),IF(AND(BC$5&lt;=$F184,BC$5+GanttPeriod-1&gt;=$E184),"━","")))</f>
        <v/>
      </c>
      <c r="BD184" s="69" t="str">
        <f aca="false">IF($E184="","",IF($M184,IF(AND($G184&gt;=BD$5,$G184&lt;BD$5+GanttPeriod),"◆",IF(AND($E184&gt;=BD$5,$E184&lt;BD$5+GanttPeriod),"◇","")),IF(AND(BD$5&lt;=$F184,BD$5+GanttPeriod-1&gt;=$E184),"━","")))</f>
        <v/>
      </c>
      <c r="BE184" s="69" t="str">
        <f aca="false">IF($E184="","",IF($M184,IF(AND($G184&gt;=BE$5,$G184&lt;BE$5+GanttPeriod),"◆",IF(AND($E184&gt;=BE$5,$E184&lt;BE$5+GanttPeriod),"◇","")),IF(AND(BE$5&lt;=$F184,BE$5+GanttPeriod-1&gt;=$E184),"━","")))</f>
        <v/>
      </c>
      <c r="BF184" s="69" t="str">
        <f aca="false">IF($E184="","",IF($M184,IF(AND($G184&gt;=BF$5,$G184&lt;BF$5+GanttPeriod),"◆",IF(AND($E184&gt;=BF$5,$E184&lt;BF$5+GanttPeriod),"◇","")),IF(AND(BF$5&lt;=$F184,BF$5+GanttPeriod-1&gt;=$E184),"━","")))</f>
        <v/>
      </c>
      <c r="BG184" s="69" t="str">
        <f aca="false">IF($E184="","",IF($M184,IF(AND($G184&gt;=BG$5,$G184&lt;BG$5+GanttPeriod),"◆",IF(AND($E184&gt;=BG$5,$E184&lt;BG$5+GanttPeriod),"◇","")),IF(AND(BG$5&lt;=$F184,BG$5+GanttPeriod-1&gt;=$E184),"━","")))</f>
        <v/>
      </c>
      <c r="BH184" s="69" t="str">
        <f aca="false">IF($E184="","",IF($M184,IF(AND($G184&gt;=BH$5,$G184&lt;BH$5+GanttPeriod),"◆",IF(AND($E184&gt;=BH$5,$E184&lt;BH$5+GanttPeriod),"◇","")),IF(AND(BH$5&lt;=$F184,BH$5+GanttPeriod-1&gt;=$E184),"━","")))</f>
        <v/>
      </c>
      <c r="BI184" s="69" t="str">
        <f aca="false">IF($E184="","",IF($M184,IF(AND($G184&gt;=BI$5,$G184&lt;BI$5+GanttPeriod),"◆",IF(AND($E184&gt;=BI$5,$E184&lt;BI$5+GanttPeriod),"◇","")),IF(AND(BI$5&lt;=$F184,BI$5+GanttPeriod-1&gt;=$E184),"━","")))</f>
        <v/>
      </c>
      <c r="BJ184" s="69" t="str">
        <f aca="false">IF($E184="","",IF($M184,IF(AND($G184&gt;=BJ$5,$G184&lt;BJ$5+GanttPeriod),"◆",IF(AND($E184&gt;=BJ$5,$E184&lt;BJ$5+GanttPeriod),"◇","")),IF(AND(BJ$5&lt;=$F184,BJ$5+GanttPeriod-1&gt;=$E184),"━","")))</f>
        <v/>
      </c>
      <c r="BK184" s="69" t="str">
        <f aca="false">IF($E184="","",IF($M184,IF(AND($G184&gt;=BK$5,$G184&lt;BK$5+GanttPeriod),"◆",IF(AND($E184&gt;=BK$5,$E184&lt;BK$5+GanttPeriod),"◇","")),IF(AND(BK$5&lt;=$F184,BK$5+GanttPeriod-1&gt;=$E184),"━","")))</f>
        <v/>
      </c>
      <c r="BL184" s="69" t="str">
        <f aca="false">IF($E184="","",IF($M184,IF(AND($G184&gt;=BL$5,$G184&lt;BL$5+GanttPeriod),"◆",IF(AND($E184&gt;=BL$5,$E184&lt;BL$5+GanttPeriod),"◇","")),IF(AND(BL$5&lt;=$F184,BL$5+GanttPeriod-1&gt;=$E184),"━","")))</f>
        <v/>
      </c>
      <c r="BM184" s="69" t="str">
        <f aca="false">IF($E184="","",IF($M184,IF(AND($G184&gt;=BM$5,$G184&lt;BM$5+GanttPeriod),"◆",IF(AND($E184&gt;=BM$5,$E184&lt;BM$5+GanttPeriod),"◇","")),IF(AND(BM$5&lt;=$F184,BM$5+GanttPeriod-1&gt;=$E184),"━","")))</f>
        <v/>
      </c>
      <c r="BN184" s="69" t="str">
        <f aca="false">IF($E184="","",IF($M184,IF(AND($G184&gt;=BN$5,$G184&lt;BN$5+GanttPeriod),"◆",IF(AND($E184&gt;=BN$5,$E184&lt;BN$5+GanttPeriod),"◇","")),IF(AND(BN$5&lt;=$F184,BN$5+GanttPeriod-1&gt;=$E184),"━","")))</f>
        <v/>
      </c>
      <c r="BO184" s="69" t="str">
        <f aca="false">IF($E184="","",IF($M184,IF(AND($G184&gt;=BO$5,$G184&lt;BO$5+GanttPeriod),"◆",IF(AND($E184&gt;=BO$5,$E184&lt;BO$5+GanttPeriod),"◇","")),IF(AND(BO$5&lt;=$F184,BO$5+GanttPeriod-1&gt;=$E184),"━","")))</f>
        <v/>
      </c>
      <c r="BP184" s="69" t="str">
        <f aca="false">IF($E184="","",IF($M184,IF(AND($G184&gt;=BP$5,$G184&lt;BP$5+GanttPeriod),"◆",IF(AND($E184&gt;=BP$5,$E184&lt;BP$5+GanttPeriod),"◇","")),IF(AND(BP$5&lt;=$F184,BP$5+GanttPeriod-1&gt;=$E184),"━","")))</f>
        <v/>
      </c>
      <c r="BQ184" s="69" t="str">
        <f aca="false">IF($E184="","",IF($M184,IF(AND($G184&gt;=BQ$5,$G184&lt;BQ$5+GanttPeriod),"◆",IF(AND($E184&gt;=BQ$5,$E184&lt;BQ$5+GanttPeriod),"◇","")),IF(AND(BQ$5&lt;=$F184,BQ$5+GanttPeriod-1&gt;=$E184),"━","")))</f>
        <v/>
      </c>
      <c r="BR184" s="69" t="str">
        <f aca="false">IF($E184="","",IF($M184,IF(AND($G184&gt;=BR$5,$G184&lt;BR$5+GanttPeriod),"◆",IF(AND($E184&gt;=BR$5,$E184&lt;BR$5+GanttPeriod),"◇","")),IF(AND(BR$5&lt;=$F184,BR$5+GanttPeriod-1&gt;=$E184),"━","")))</f>
        <v/>
      </c>
      <c r="BS184" s="69" t="str">
        <f aca="false">IF($E184="","",IF($M184,IF(AND($G184&gt;=BS$5,$G184&lt;BS$5+GanttPeriod),"◆",IF(AND($E184&gt;=BS$5,$E184&lt;BS$5+GanttPeriod),"◇","")),IF(AND(BS$5&lt;=$F184,BS$5+GanttPeriod-1&gt;=$E184),"━","")))</f>
        <v/>
      </c>
      <c r="BT184" s="69" t="str">
        <f aca="false">IF($E184="","",IF($M184,IF(AND($G184&gt;=BT$5,$G184&lt;BT$5+GanttPeriod),"◆",IF(AND($E184&gt;=BT$5,$E184&lt;BT$5+GanttPeriod),"◇","")),IF(AND(BT$5&lt;=$F184,BT$5+GanttPeriod-1&gt;=$E184),"━","")))</f>
        <v/>
      </c>
      <c r="BU184" s="69" t="str">
        <f aca="false">IF($E184="","",IF($M184,IF(AND($G184&gt;=BU$5,$G184&lt;BU$5+GanttPeriod),"◆",IF(AND($E184&gt;=BU$5,$E184&lt;BU$5+GanttPeriod),"◇","")),IF(AND(BU$5&lt;=$F184,BU$5+GanttPeriod-1&gt;=$E184),"━","")))</f>
        <v/>
      </c>
      <c r="BV184" s="69" t="str">
        <f aca="false">IF($E184="","",IF($M184,IF(AND($G184&gt;=BV$5,$G184&lt;BV$5+GanttPeriod),"◆",IF(AND($E184&gt;=BV$5,$E184&lt;BV$5+GanttPeriod),"◇","")),IF(AND(BV$5&lt;=$F184,BV$5+GanttPeriod-1&gt;=$E184),"━","")))</f>
        <v/>
      </c>
      <c r="BW184" s="69" t="str">
        <f aca="false">IF($E184="","",IF($M184,IF(AND($G184&gt;=BW$5,$G184&lt;BW$5+GanttPeriod),"◆",IF(AND($E184&gt;=BW$5,$E184&lt;BW$5+GanttPeriod),"◇","")),IF(AND(BW$5&lt;=$F184,BW$5+GanttPeriod-1&gt;=$E184),"━","")))</f>
        <v/>
      </c>
      <c r="BX184" s="69" t="str">
        <f aca="false">IF($E184="","",IF($M184,IF(AND($G184&gt;=BX$5,$G184&lt;BX$5+GanttPeriod),"◆",IF(AND($E184&gt;=BX$5,$E184&lt;BX$5+GanttPeriod),"◇","")),IF(AND(BX$5&lt;=$F184,BX$5+GanttPeriod-1&gt;=$E184),"━","")))</f>
        <v/>
      </c>
      <c r="BY184" s="69" t="str">
        <f aca="false">IF($E184="","",IF($M184,IF(AND($G184&gt;=BY$5,$G184&lt;BY$5+GanttPeriod),"◆",IF(AND($E184&gt;=BY$5,$E184&lt;BY$5+GanttPeriod),"◇","")),IF(AND(BY$5&lt;=$F184,BY$5+GanttPeriod-1&gt;=$E184),"━","")))</f>
        <v/>
      </c>
      <c r="BZ184" s="69" t="str">
        <f aca="false">IF($E184="","",IF($M184,IF(AND($G184&gt;=BZ$5,$G184&lt;BZ$5+GanttPeriod),"◆",IF(AND($E184&gt;=BZ$5,$E184&lt;BZ$5+GanttPeriod),"◇","")),IF(AND(BZ$5&lt;=$F184,BZ$5+GanttPeriod-1&gt;=$E184),"━","")))</f>
        <v/>
      </c>
      <c r="CA184" s="69" t="str">
        <f aca="false">IF($E184="","",IF($M184,IF(AND($G184&gt;=CA$5,$G184&lt;CA$5+GanttPeriod),"◆",IF(AND($E184&gt;=CA$5,$E184&lt;CA$5+GanttPeriod),"◇","")),IF(AND(CA$5&lt;=$F184,CA$5+GanttPeriod-1&gt;=$E184),"━","")))</f>
        <v/>
      </c>
      <c r="CB184" s="69" t="str">
        <f aca="false">IF($E184="","",IF($M184,IF(AND($G184&gt;=CB$5,$G184&lt;CB$5+GanttPeriod),"◆",IF(AND($E184&gt;=CB$5,$E184&lt;CB$5+GanttPeriod),"◇","")),IF(AND(CB$5&lt;=$F184,CB$5+GanttPeriod-1&gt;=$E184),"━","")))</f>
        <v/>
      </c>
      <c r="CC184" s="69" t="str">
        <f aca="false">IF($E184="","",IF($M184,IF(AND($G184&gt;=CC$5,$G184&lt;CC$5+GanttPeriod),"◆",IF(AND($E184&gt;=CC$5,$E184&lt;CC$5+GanttPeriod),"◇","")),IF(AND(CC$5&lt;=$F184,CC$5+GanttPeriod-1&gt;=$E184),"━","")))</f>
        <v/>
      </c>
      <c r="CD184" s="69" t="str">
        <f aca="false">IF($E184="","",IF($M184,IF(AND($G184&gt;=CD$5,$G184&lt;CD$5+GanttPeriod),"◆",IF(AND($E184&gt;=CD$5,$E184&lt;CD$5+GanttPeriod),"◇","")),IF(AND(CD$5&lt;=$F184,CD$5+GanttPeriod-1&gt;=$E184),"━","")))</f>
        <v/>
      </c>
      <c r="CE184" s="69" t="str">
        <f aca="false">IF($E184="","",IF($M184,IF(AND($G184&gt;=CE$5,$G184&lt;CE$5+GanttPeriod),"◆",IF(AND($E184&gt;=CE$5,$E184&lt;CE$5+GanttPeriod),"◇","")),IF(AND(CE$5&lt;=$F184,CE$5+GanttPeriod-1&gt;=$E184),"━","")))</f>
        <v/>
      </c>
      <c r="CF184" s="69" t="str">
        <f aca="false">IF($E184="","",IF($M184,IF(AND($G184&gt;=CF$5,$G184&lt;CF$5+GanttPeriod),"◆",IF(AND($E184&gt;=CF$5,$E184&lt;CF$5+GanttPeriod),"◇","")),IF(AND(CF$5&lt;=$F184,CF$5+GanttPeriod-1&gt;=$E184),"━","")))</f>
        <v/>
      </c>
      <c r="CG184" s="69" t="str">
        <f aca="false">IF($E184="","",IF($M184,IF(AND($G184&gt;=CG$5,$G184&lt;CG$5+GanttPeriod),"◆",IF(AND($E184&gt;=CG$5,$E184&lt;CG$5+GanttPeriod),"◇","")),IF(AND(CG$5&lt;=$F184,CG$5+GanttPeriod-1&gt;=$E184),"━","")))</f>
        <v/>
      </c>
      <c r="CH184" s="69" t="str">
        <f aca="false">IF($E184="","",IF($M184,IF(AND($G184&gt;=CH$5,$G184&lt;CH$5+GanttPeriod),"◆",IF(AND($E184&gt;=CH$5,$E184&lt;CH$5+GanttPeriod),"◇","")),IF(AND(CH$5&lt;=$F184,CH$5+GanttPeriod-1&gt;=$E184),"━","")))</f>
        <v/>
      </c>
      <c r="CI184" s="69" t="str">
        <f aca="false">IF($E184="","",IF($M184,IF(AND($G184&gt;=CI$5,$G184&lt;CI$5+GanttPeriod),"◆",IF(AND($E184&gt;=CI$5,$E184&lt;CI$5+GanttPeriod),"◇","")),IF(AND(CI$5&lt;=$F184,CI$5+GanttPeriod-1&gt;=$E184),"━","")))</f>
        <v/>
      </c>
      <c r="CJ184" s="69" t="str">
        <f aca="false">IF($E184="","",IF($M184,IF(AND($G184&gt;=CJ$5,$G184&lt;CJ$5+GanttPeriod),"◆",IF(AND($E184&gt;=CJ$5,$E184&lt;CJ$5+GanttPeriod),"◇","")),IF(AND(CJ$5&lt;=$F184,CJ$5+GanttPeriod-1&gt;=$E184),"━","")))</f>
        <v/>
      </c>
      <c r="CK184" s="69" t="str">
        <f aca="false">IF($E184="","",IF($M184,IF(AND($G184&gt;=CK$5,$G184&lt;CK$5+GanttPeriod),"◆",IF(AND($E184&gt;=CK$5,$E184&lt;CK$5+GanttPeriod),"◇","")),IF(AND(CK$5&lt;=$F184,CK$5+GanttPeriod-1&gt;=$E184),"━","")))</f>
        <v/>
      </c>
      <c r="CL184" s="69" t="str">
        <f aca="false">IF($E184="","",IF($M184,IF(AND($G184&gt;=CL$5,$G184&lt;CL$5+GanttPeriod),"◆",IF(AND($E184&gt;=CL$5,$E184&lt;CL$5+GanttPeriod),"◇","")),IF(AND(CL$5&lt;=$F184,CL$5+GanttPeriod-1&gt;=$E184),"━","")))</f>
        <v/>
      </c>
      <c r="CM184" s="69" t="str">
        <f aca="false">IF($E184="","",IF($M184,IF(AND($G184&gt;=CM$5,$G184&lt;CM$5+GanttPeriod),"◆",IF(AND($E184&gt;=CM$5,$E184&lt;CM$5+GanttPeriod),"◇","")),IF(AND(CM$5&lt;=$F184,CM$5+GanttPeriod-1&gt;=$E184),"━","")))</f>
        <v/>
      </c>
      <c r="CN184" s="69" t="str">
        <f aca="false">IF($E184="","",IF($M184,IF(AND($G184&gt;=CN$5,$G184&lt;CN$5+GanttPeriod),"◆",IF(AND($E184&gt;=CN$5,$E184&lt;CN$5+GanttPeriod),"◇","")),IF(AND(CN$5&lt;=$F184,CN$5+GanttPeriod-1&gt;=$E184),"━","")))</f>
        <v/>
      </c>
      <c r="CO184" s="69" t="str">
        <f aca="false">IF($E184="","",IF($M184,IF(AND($G184&gt;=CO$5,$G184&lt;CO$5+GanttPeriod),"◆",IF(AND($E184&gt;=CO$5,$E184&lt;CO$5+GanttPeriod),"◇","")),IF(AND(CO$5&lt;=$F184,CO$5+GanttPeriod-1&gt;=$E184),"━","")))</f>
        <v/>
      </c>
      <c r="CP184" s="69" t="str">
        <f aca="false">IF($E184="","",IF($M184,IF(AND($G184&gt;=CP$5,$G184&lt;CP$5+GanttPeriod),"◆",IF(AND($E184&gt;=CP$5,$E184&lt;CP$5+GanttPeriod),"◇","")),IF(AND(CP$5&lt;=$F184,CP$5+GanttPeriod-1&gt;=$E184),"━","")))</f>
        <v/>
      </c>
      <c r="CQ184" s="69" t="str">
        <f aca="false">IF($E184="","",IF($M184,IF(AND($G184&gt;=CQ$5,$G184&lt;CQ$5+GanttPeriod),"◆",IF(AND($E184&gt;=CQ$5,$E184&lt;CQ$5+GanttPeriod),"◇","")),IF(AND(CQ$5&lt;=$F184,CQ$5+GanttPeriod-1&gt;=$E184),"━","")))</f>
        <v/>
      </c>
      <c r="CR184" s="69" t="str">
        <f aca="false">IF($E184="","",IF($M184,IF(AND($G184&gt;=CR$5,$G184&lt;CR$5+GanttPeriod),"◆",IF(AND($E184&gt;=CR$5,$E184&lt;CR$5+GanttPeriod),"◇","")),IF(AND(CR$5&lt;=$F184,CR$5+GanttPeriod-1&gt;=$E184),"━","")))</f>
        <v/>
      </c>
      <c r="CS184" s="69" t="str">
        <f aca="false">IF($E184="","",IF($M184,IF(AND($G184&gt;=CS$5,$G184&lt;CS$5+GanttPeriod),"◆",IF(AND($E184&gt;=CS$5,$E184&lt;CS$5+GanttPeriod),"◇","")),IF(AND(CS$5&lt;=$F184,CS$5+GanttPeriod-1&gt;=$E184),"━","")))</f>
        <v/>
      </c>
      <c r="CT184" s="69" t="str">
        <f aca="false">IF($E184="","",IF($M184,IF(AND($G184&gt;=CT$5,$G184&lt;CT$5+GanttPeriod),"◆",IF(AND($E184&gt;=CT$5,$E184&lt;CT$5+GanttPeriod),"◇","")),IF(AND(CT$5&lt;=$F184,CT$5+GanttPeriod-1&gt;=$E184),"━","")))</f>
        <v/>
      </c>
      <c r="CU184" s="69" t="str">
        <f aca="false">IF($E184="","",IF($M184,IF(AND($G184&gt;=CU$5,$G184&lt;CU$5+GanttPeriod),"◆",IF(AND($E184&gt;=CU$5,$E184&lt;CU$5+GanttPeriod),"◇","")),IF(AND(CU$5&lt;=$F184,CU$5+GanttPeriod-1&gt;=$E184),"━","")))</f>
        <v/>
      </c>
      <c r="CV184" s="69" t="str">
        <f aca="false">IF($E184="","",IF($M184,IF(AND($G184&gt;=CV$5,$G184&lt;CV$5+GanttPeriod),"◆",IF(AND($E184&gt;=CV$5,$E184&lt;CV$5+GanttPeriod),"◇","")),IF(AND(CV$5&lt;=$F184,CV$5+GanttPeriod-1&gt;=$E184),"━","")))</f>
        <v/>
      </c>
      <c r="CW184" s="69" t="str">
        <f aca="false">IF($E184="","",IF($M184,IF(AND($G184&gt;=CW$5,$G184&lt;CW$5+GanttPeriod),"◆",IF(AND($E184&gt;=CW$5,$E184&lt;CW$5+GanttPeriod),"◇","")),IF(AND(CW$5&lt;=$F184,CW$5+GanttPeriod-1&gt;=$E184),"━","")))</f>
        <v/>
      </c>
      <c r="CX184" s="69" t="str">
        <f aca="false">IF($E184="","",IF($M184,IF(AND($G184&gt;=CX$5,$G184&lt;CX$5+GanttPeriod),"◆",IF(AND($E184&gt;=CX$5,$E184&lt;CX$5+GanttPeriod),"◇","")),IF(AND(CX$5&lt;=$F184,CX$5+GanttPeriod-1&gt;=$E184),"━","")))</f>
        <v/>
      </c>
      <c r="CY184" s="69" t="str">
        <f aca="false">IF($E184="","",IF($M184,IF(AND($G184&gt;=CY$5,$G184&lt;CY$5+GanttPeriod),"◆",IF(AND($E184&gt;=CY$5,$E184&lt;CY$5+GanttPeriod),"◇","")),IF(AND(CY$5&lt;=$F184,CY$5+GanttPeriod-1&gt;=$E184),"━","")))</f>
        <v/>
      </c>
      <c r="CZ184" s="69" t="str">
        <f aca="false">IF($E184="","",IF($M184,IF(AND($G184&gt;=CZ$5,$G184&lt;CZ$5+GanttPeriod),"◆",IF(AND($E184&gt;=CZ$5,$E184&lt;CZ$5+GanttPeriod),"◇","")),IF(AND(CZ$5&lt;=$F184,CZ$5+GanttPeriod-1&gt;=$E184),"━","")))</f>
        <v/>
      </c>
      <c r="DA184" s="69" t="str">
        <f aca="false">IF($E184="","",IF($M184,IF(AND($G184&gt;=DA$5,$G184&lt;DA$5+GanttPeriod),"◆",IF(AND($E184&gt;=DA$5,$E184&lt;DA$5+GanttPeriod),"◇","")),IF(AND(DA$5&lt;=$F184,DA$5+GanttPeriod-1&gt;=$E184),"━","")))</f>
        <v/>
      </c>
      <c r="DB184" s="69" t="str">
        <f aca="false">IF($E184="","",IF($M184,IF(AND($G184&gt;=DB$5,$G184&lt;DB$5+GanttPeriod),"◆",IF(AND($E184&gt;=DB$5,$E184&lt;DB$5+GanttPeriod),"◇","")),IF(AND(DB$5&lt;=$F184,DB$5+GanttPeriod-1&gt;=$E184),"━","")))</f>
        <v/>
      </c>
      <c r="DC184" s="69" t="str">
        <f aca="false">IF($E184="","",IF($M184,IF(AND($G184&gt;=DC$5,$G184&lt;DC$5+GanttPeriod),"◆",IF(AND($E184&gt;=DC$5,$E184&lt;DC$5+GanttPeriod),"◇","")),IF(AND(DC$5&lt;=$F184,DC$5+GanttPeriod-1&gt;=$E184),"━","")))</f>
        <v/>
      </c>
      <c r="DD184" s="69" t="str">
        <f aca="false">IF($E184="","",IF($M184,IF(AND($G184&gt;=DD$5,$G184&lt;DD$5+GanttPeriod),"◆",IF(AND($E184&gt;=DD$5,$E184&lt;DD$5+GanttPeriod),"◇","")),IF(AND(DD$5&lt;=$F184,DD$5+GanttPeriod-1&gt;=$E184),"━","")))</f>
        <v/>
      </c>
      <c r="DE184" s="69" t="str">
        <f aca="false">IF($E184="","",IF($M184,IF(AND($G184&gt;=DE$5,$G184&lt;DE$5+GanttPeriod),"◆",IF(AND($E184&gt;=DE$5,$E184&lt;DE$5+GanttPeriod),"◇","")),IF(AND(DE$5&lt;=$F184,DE$5+GanttPeriod-1&gt;=$E184),"━","")))</f>
        <v/>
      </c>
      <c r="DF184" s="69" t="str">
        <f aca="false">IF($E184="","",IF($M184,IF(AND($G184&gt;=DF$5,$G184&lt;DF$5+GanttPeriod),"◆",IF(AND($E184&gt;=DF$5,$E184&lt;DF$5+GanttPeriod),"◇","")),IF(AND(DF$5&lt;=$F184,DF$5+GanttPeriod-1&gt;=$E184),"━","")))</f>
        <v/>
      </c>
      <c r="DG184" s="69" t="str">
        <f aca="false">IF($E184="","",IF($M184,IF(AND($G184&gt;=DG$5,$G184&lt;DG$5+GanttPeriod),"◆",IF(AND($E184&gt;=DG$5,$E184&lt;DG$5+GanttPeriod),"◇","")),IF(AND(DG$5&lt;=$F184,DG$5+GanttPeriod-1&gt;=$E184),"━","")))</f>
        <v/>
      </c>
      <c r="DH184" s="69" t="str">
        <f aca="false">IF($E184="","",IF($M184,IF(AND($G184&gt;=DH$5,$G184&lt;DH$5+GanttPeriod),"◆",IF(AND($E184&gt;=DH$5,$E184&lt;DH$5+GanttPeriod),"◇","")),IF(AND(DH$5&lt;=$F184,DH$5+GanttPeriod-1&gt;=$E184),"━","")))</f>
        <v/>
      </c>
      <c r="DI184" s="69" t="str">
        <f aca="false">IF($E184="","",IF($M184,IF(AND($G184&gt;=DI$5,$G184&lt;DI$5+GanttPeriod),"◆",IF(AND($E184&gt;=DI$5,$E184&lt;DI$5+GanttPeriod),"◇","")),IF(AND(DI$5&lt;=$F184,DI$5+GanttPeriod-1&gt;=$E184),"━","")))</f>
        <v/>
      </c>
      <c r="DJ184" s="69" t="str">
        <f aca="false">IF($E184="","",IF($M184,IF(AND($G184&gt;=DJ$5,$G184&lt;DJ$5+GanttPeriod),"◆",IF(AND($E184&gt;=DJ$5,$E184&lt;DJ$5+GanttPeriod),"◇","")),IF(AND(DJ$5&lt;=$F184,DJ$5+GanttPeriod-1&gt;=$E184),"━","")))</f>
        <v/>
      </c>
      <c r="DK184" s="69" t="str">
        <f aca="false">IF($E184="","",IF($M184,IF(AND($G184&gt;=DK$5,$G184&lt;DK$5+GanttPeriod),"◆",IF(AND($E184&gt;=DK$5,$E184&lt;DK$5+GanttPeriod),"◇","")),IF(AND(DK$5&lt;=$F184,DK$5+GanttPeriod-1&gt;=$E184),"━","")))</f>
        <v/>
      </c>
      <c r="DL184" s="69" t="str">
        <f aca="false">IF($E184="","",IF($M184,IF(AND($G184&gt;=DL$5,$G184&lt;DL$5+GanttPeriod),"◆",IF(AND($E184&gt;=DL$5,$E184&lt;DL$5+GanttPeriod),"◇","")),IF(AND(DL$5&lt;=$F184,DL$5+GanttPeriod-1&gt;=$E184),"━","")))</f>
        <v/>
      </c>
      <c r="DM184" s="69" t="str">
        <f aca="false">IF($E184="","",IF($M184,IF(AND($G184&gt;=DM$5,$G184&lt;DM$5+GanttPeriod),"◆",IF(AND($E184&gt;=DM$5,$E184&lt;DM$5+GanttPeriod),"◇","")),IF(AND(DM$5&lt;=$F184,DM$5+GanttPeriod-1&gt;=$E184),"━","")))</f>
        <v/>
      </c>
      <c r="DN184" s="69" t="str">
        <f aca="false">IF($E184="","",IF($M184,IF(AND($G184&gt;=DN$5,$G184&lt;DN$5+GanttPeriod),"◆",IF(AND($E184&gt;=DN$5,$E184&lt;DN$5+GanttPeriod),"◇","")),IF(AND(DN$5&lt;=$F184,DN$5+GanttPeriod-1&gt;=$E184),"━","")))</f>
        <v/>
      </c>
      <c r="DO184" s="69" t="str">
        <f aca="false">IF($E184="","",IF($M184,IF(AND($G184&gt;=DO$5,$G184&lt;DO$5+GanttPeriod),"◆",IF(AND($E184&gt;=DO$5,$E184&lt;DO$5+GanttPeriod),"◇","")),IF(AND(DO$5&lt;=$F184,DO$5+GanttPeriod-1&gt;=$E184),"━","")))</f>
        <v/>
      </c>
      <c r="DP184" s="69" t="str">
        <f aca="false">IF($E184="","",IF($M184,IF(AND($G184&gt;=DP$5,$G184&lt;DP$5+GanttPeriod),"◆",IF(AND($E184&gt;=DP$5,$E184&lt;DP$5+GanttPeriod),"◇","")),IF(AND(DP$5&lt;=$F184,DP$5+GanttPeriod-1&gt;=$E184),"━","")))</f>
        <v/>
      </c>
      <c r="DQ184" s="69" t="str">
        <f aca="false">IF($E184="","",IF($M184,IF(AND($G184&gt;=DQ$5,$G184&lt;DQ$5+GanttPeriod),"◆",IF(AND($E184&gt;=DQ$5,$E184&lt;DQ$5+GanttPeriod),"◇","")),IF(AND(DQ$5&lt;=$F184,DQ$5+GanttPeriod-1&gt;=$E184),"━","")))</f>
        <v/>
      </c>
      <c r="DR184" s="69" t="str">
        <f aca="false">IF($E184="","",IF($M184,IF(AND($G184&gt;=DR$5,$G184&lt;DR$5+GanttPeriod),"◆",IF(AND($E184&gt;=DR$5,$E184&lt;DR$5+GanttPeriod),"◇","")),IF(AND(DR$5&lt;=$F184,DR$5+GanttPeriod-1&gt;=$E184),"━","")))</f>
        <v/>
      </c>
      <c r="DS184" s="69" t="str">
        <f aca="false">IF($E184="","",IF($M184,IF(AND($G184&gt;=DS$5,$G184&lt;DS$5+GanttPeriod),"◆",IF(AND($E184&gt;=DS$5,$E184&lt;DS$5+GanttPeriod),"◇","")),IF(AND(DS$5&lt;=$F184,DS$5+GanttPeriod-1&gt;=$E184),"━","")))</f>
        <v/>
      </c>
      <c r="DT184" s="69" t="str">
        <f aca="false">IF($E184="","",IF($M184,IF(AND($G184&gt;=DT$5,$G184&lt;DT$5+GanttPeriod),"◆",IF(AND($E184&gt;=DT$5,$E184&lt;DT$5+GanttPeriod),"◇","")),IF(AND(DT$5&lt;=$F184,DT$5+GanttPeriod-1&gt;=$E184),"━","")))</f>
        <v/>
      </c>
      <c r="DU184" s="69" t="str">
        <f aca="false">IF($E184="","",IF($M184,IF(AND($G184&gt;=DU$5,$G184&lt;DU$5+GanttPeriod),"◆",IF(AND($E184&gt;=DU$5,$E184&lt;DU$5+GanttPeriod),"◇","")),IF(AND(DU$5&lt;=$F184,DU$5+GanttPeriod-1&gt;=$E184),"━","")))</f>
        <v/>
      </c>
      <c r="DV184" s="69" t="str">
        <f aca="false">IF($E184="","",IF($M184,IF(AND($G184&gt;=DV$5,$G184&lt;DV$5+GanttPeriod),"◆",IF(AND($E184&gt;=DV$5,$E184&lt;DV$5+GanttPeriod),"◇","")),IF(AND(DV$5&lt;=$F184,DV$5+GanttPeriod-1&gt;=$E184),"━","")))</f>
        <v/>
      </c>
      <c r="DW184" s="69" t="str">
        <f aca="false">IF($E184="","",IF($M184,IF(AND($G184&gt;=DW$5,$G184&lt;DW$5+GanttPeriod),"◆",IF(AND($E184&gt;=DW$5,$E184&lt;DW$5+GanttPeriod),"◇","")),IF(AND(DW$5&lt;=$F184,DW$5+GanttPeriod-1&gt;=$E184),"━","")))</f>
        <v/>
      </c>
      <c r="DX184" s="69" t="str">
        <f aca="false">IF($E184="","",IF($M184,IF(AND($G184&gt;=DX$5,$G184&lt;DX$5+GanttPeriod),"◆",IF(AND($E184&gt;=DX$5,$E184&lt;DX$5+GanttPeriod),"◇","")),IF(AND(DX$5&lt;=$F184,DX$5+GanttPeriod-1&gt;=$E184),"━","")))</f>
        <v/>
      </c>
      <c r="DY184" s="69" t="str">
        <f aca="false">IF($E184="","",IF($M184,IF(AND($G184&gt;=DY$5,$G184&lt;DY$5+GanttPeriod),"◆",IF(AND($E184&gt;=DY$5,$E184&lt;DY$5+GanttPeriod),"◇","")),IF(AND(DY$5&lt;=$F184,DY$5+GanttPeriod-1&gt;=$E184),"━","")))</f>
        <v/>
      </c>
      <c r="DZ184" s="69" t="str">
        <f aca="false">IF($E184="","",IF($M184,IF(AND($G184&gt;=DZ$5,$G184&lt;DZ$5+GanttPeriod),"◆",IF(AND($E184&gt;=DZ$5,$E184&lt;DZ$5+GanttPeriod),"◇","")),IF(AND(DZ$5&lt;=$F184,DZ$5+GanttPeriod-1&gt;=$E184),"━","")))</f>
        <v/>
      </c>
      <c r="EA184" s="69" t="str">
        <f aca="false">IF($E184="","",IF($M184,IF(AND($G184&gt;=EA$5,$G184&lt;EA$5+GanttPeriod),"◆",IF(AND($E184&gt;=EA$5,$E184&lt;EA$5+GanttPeriod),"◇","")),IF(AND(EA$5&lt;=$F184,EA$5+GanttPeriod-1&gt;=$E184),"━","")))</f>
        <v/>
      </c>
      <c r="EB184" s="69" t="str">
        <f aca="false">IF($E184="","",IF($M184,IF(AND($G184&gt;=EB$5,$G184&lt;EB$5+GanttPeriod),"◆",IF(AND($E184&gt;=EB$5,$E184&lt;EB$5+GanttPeriod),"◇","")),IF(AND(EB$5&lt;=$F184,EB$5+GanttPeriod-1&gt;=$E184),"━","")))</f>
        <v/>
      </c>
      <c r="EC184" s="69" t="str">
        <f aca="false">IF($E184="","",IF($M184,IF(AND($G184&gt;=EC$5,$G184&lt;EC$5+GanttPeriod),"◆",IF(AND($E184&gt;=EC$5,$E184&lt;EC$5+GanttPeriod),"◇","")),IF(AND(EC$5&lt;=$F184,EC$5+GanttPeriod-1&gt;=$E184),"━","")))</f>
        <v/>
      </c>
      <c r="ED184" s="69" t="str">
        <f aca="false">IF($E184="","",IF($M184,IF(AND($G184&gt;=ED$5,$G184&lt;ED$5+GanttPeriod),"◆",IF(AND($E184&gt;=ED$5,$E184&lt;ED$5+GanttPeriod),"◇","")),IF(AND(ED$5&lt;=$F184,ED$5+GanttPeriod-1&gt;=$E184),"━","")))</f>
        <v/>
      </c>
      <c r="EE184" s="69" t="str">
        <f aca="false">IF($E184="","",IF($M184,IF(AND($G184&gt;=EE$5,$G184&lt;EE$5+GanttPeriod),"◆",IF(AND($E184&gt;=EE$5,$E184&lt;EE$5+GanttPeriod),"◇","")),IF(AND(EE$5&lt;=$F184,EE$5+GanttPeriod-1&gt;=$E184),"━","")))</f>
        <v/>
      </c>
      <c r="EF184" s="69" t="str">
        <f aca="false">IF($E184="","",IF($M184,IF(AND($G184&gt;=EF$5,$G184&lt;EF$5+GanttPeriod),"◆",IF(AND($E184&gt;=EF$5,$E184&lt;EF$5+GanttPeriod),"◇","")),IF(AND(EF$5&lt;=$F184,EF$5+GanttPeriod-1&gt;=$E184),"━","")))</f>
        <v/>
      </c>
      <c r="EG184" s="69" t="str">
        <f aca="false">IF($E184="","",IF($M184,IF(AND($G184&gt;=EG$5,$G184&lt;EG$5+GanttPeriod),"◆",IF(AND($E184&gt;=EG$5,$E184&lt;EG$5+GanttPeriod),"◇","")),IF(AND(EG$5&lt;=$F184,EG$5+GanttPeriod-1&gt;=$E184),"━","")))</f>
        <v/>
      </c>
      <c r="EH184" s="69" t="str">
        <f aca="false">IF($E184="","",IF($M184,IF(AND($G184&gt;=EH$5,$G184&lt;EH$5+GanttPeriod),"◆",IF(AND($E184&gt;=EH$5,$E184&lt;EH$5+GanttPeriod),"◇","")),IF(AND(EH$5&lt;=$F184,EH$5+GanttPeriod-1&gt;=$E184),"━","")))</f>
        <v/>
      </c>
      <c r="EI184" s="69" t="str">
        <f aca="false">IF($E184="","",IF($M184,IF(AND($G184&gt;=EI$5,$G184&lt;EI$5+GanttPeriod),"◆",IF(AND($E184&gt;=EI$5,$E184&lt;EI$5+GanttPeriod),"◇","")),IF(AND(EI$5&lt;=$F184,EI$5+GanttPeriod-1&gt;=$E184),"━","")))</f>
        <v/>
      </c>
      <c r="EJ184" s="69" t="str">
        <f aca="false">IF($E184="","",IF($M184,IF(AND($G184&gt;=EJ$5,$G184&lt;EJ$5+GanttPeriod),"◆",IF(AND($E184&gt;=EJ$5,$E184&lt;EJ$5+GanttPeriod),"◇","")),IF(AND(EJ$5&lt;=$F184,EJ$5+GanttPeriod-1&gt;=$E184),"━","")))</f>
        <v/>
      </c>
      <c r="EK184" s="69" t="str">
        <f aca="false">IF($E184="","",IF($M184,IF(AND($G184&gt;=EK$5,$G184&lt;EK$5+GanttPeriod),"◆",IF(AND($E184&gt;=EK$5,$E184&lt;EK$5+GanttPeriod),"◇","")),IF(AND(EK$5&lt;=$F184,EK$5+GanttPeriod-1&gt;=$E184),"━","")))</f>
        <v/>
      </c>
      <c r="EL184" s="69" t="str">
        <f aca="false">IF($E184="","",IF($M184,IF(AND($G184&gt;=EL$5,$G184&lt;EL$5+GanttPeriod),"◆",IF(AND($E184&gt;=EL$5,$E184&lt;EL$5+GanttPeriod),"◇","")),IF(AND(EL$5&lt;=$F184,EL$5+GanttPeriod-1&gt;=$E184),"━","")))</f>
        <v/>
      </c>
      <c r="EM184" s="69" t="str">
        <f aca="false">IF($E184="","",IF($M184,IF(AND($G184&gt;=EM$5,$G184&lt;EM$5+GanttPeriod),"◆",IF(AND($E184&gt;=EM$5,$E184&lt;EM$5+GanttPeriod),"◇","")),IF(AND(EM$5&lt;=$F184,EM$5+GanttPeriod-1&gt;=$E184),"━","")))</f>
        <v/>
      </c>
      <c r="EN184" s="69" t="str">
        <f aca="false">IF($E184="","",IF($M184,IF(AND($G184&gt;=EN$5,$G184&lt;EN$5+GanttPeriod),"◆",IF(AND($E184&gt;=EN$5,$E184&lt;EN$5+GanttPeriod),"◇","")),IF(AND(EN$5&lt;=$F184,EN$5+GanttPeriod-1&gt;=$E184),"━","")))</f>
        <v/>
      </c>
      <c r="EO184" s="69" t="str">
        <f aca="false">IF($E184="","",IF($M184,IF(AND($G184&gt;=EO$5,$G184&lt;EO$5+GanttPeriod),"◆",IF(AND($E184&gt;=EO$5,$E184&lt;EO$5+GanttPeriod),"◇","")),IF(AND(EO$5&lt;=$F184,EO$5+GanttPeriod-1&gt;=$E184),"━","")))</f>
        <v/>
      </c>
      <c r="EP184" s="69" t="str">
        <f aca="false">IF($E184="","",IF($M184,IF(AND($G184&gt;=EP$5,$G184&lt;EP$5+GanttPeriod),"◆",IF(AND($E184&gt;=EP$5,$E184&lt;EP$5+GanttPeriod),"◇","")),IF(AND(EP$5&lt;=$F184,EP$5+GanttPeriod-1&gt;=$E184),"━","")))</f>
        <v/>
      </c>
      <c r="EQ184" s="69" t="str">
        <f aca="false">IF($E184="","",IF($M184,IF(AND($G184&gt;=EQ$5,$G184&lt;EQ$5+GanttPeriod),"◆",IF(AND($E184&gt;=EQ$5,$E184&lt;EQ$5+GanttPeriod),"◇","")),IF(AND(EQ$5&lt;=$F184,EQ$5+GanttPeriod-1&gt;=$E184),"━","")))</f>
        <v/>
      </c>
      <c r="ER184" s="69" t="str">
        <f aca="false">IF($E184="","",IF($M184,IF(AND($G184&gt;=ER$5,$G184&lt;ER$5+GanttPeriod),"◆",IF(AND($E184&gt;=ER$5,$E184&lt;ER$5+GanttPeriod),"◇","")),IF(AND(ER$5&lt;=$F184,ER$5+GanttPeriod-1&gt;=$E184),"━","")))</f>
        <v/>
      </c>
      <c r="ES184" s="69" t="str">
        <f aca="false">IF($E184="","",IF($M184,IF(AND($G184&gt;=ES$5,$G184&lt;ES$5+GanttPeriod),"◆",IF(AND($E184&gt;=ES$5,$E184&lt;ES$5+GanttPeriod),"◇","")),IF(AND(ES$5&lt;=$F184,ES$5+GanttPeriod-1&gt;=$E184),"━","")))</f>
        <v/>
      </c>
      <c r="ET184" s="69" t="str">
        <f aca="false">IF($E184="","",IF($M184,IF(AND($G184&gt;=ET$5,$G184&lt;ET$5+GanttPeriod),"◆",IF(AND($E184&gt;=ET$5,$E184&lt;ET$5+GanttPeriod),"◇","")),IF(AND(ET$5&lt;=$F184,ET$5+GanttPeriod-1&gt;=$E184),"━","")))</f>
        <v/>
      </c>
      <c r="EU184" s="69" t="str">
        <f aca="false">IF($E184="","",IF($M184,IF(AND($G184&gt;=EU$5,$G184&lt;EU$5+GanttPeriod),"◆",IF(AND($E184&gt;=EU$5,$E184&lt;EU$5+GanttPeriod),"◇","")),IF(AND(EU$5&lt;=$F184,EU$5+GanttPeriod-1&gt;=$E184),"━","")))</f>
        <v/>
      </c>
      <c r="EV184" s="69" t="str">
        <f aca="false">IF($E184="","",IF($M184,IF(AND($G184&gt;=EV$5,$G184&lt;EV$5+GanttPeriod),"◆",IF(AND($E184&gt;=EV$5,$E184&lt;EV$5+GanttPeriod),"◇","")),IF(AND(EV$5&lt;=$F184,EV$5+GanttPeriod-1&gt;=$E184),"━","")))</f>
        <v/>
      </c>
      <c r="EW184" s="69" t="str">
        <f aca="false">IF($E184="","",IF($M184,IF(AND($G184&gt;=EW$5,$G184&lt;EW$5+GanttPeriod),"◆",IF(AND($E184&gt;=EW$5,$E184&lt;EW$5+GanttPeriod),"◇","")),IF(AND(EW$5&lt;=$F184,EW$5+GanttPeriod-1&gt;=$E184),"━","")))</f>
        <v/>
      </c>
      <c r="EX184" s="69" t="str">
        <f aca="false">IF($E184="","",IF($M184,IF(AND($G184&gt;=EX$5,$G184&lt;EX$5+GanttPeriod),"◆",IF(AND($E184&gt;=EX$5,$E184&lt;EX$5+GanttPeriod),"◇","")),IF(AND(EX$5&lt;=$F184,EX$5+GanttPeriod-1&gt;=$E184),"━","")))</f>
        <v/>
      </c>
      <c r="EY184" s="69" t="str">
        <f aca="false">IF($E184="","",IF($M184,IF(AND($G184&gt;=EY$5,$G184&lt;EY$5+GanttPeriod),"◆",IF(AND($E184&gt;=EY$5,$E184&lt;EY$5+GanttPeriod),"◇","")),IF(AND(EY$5&lt;=$F184,EY$5+GanttPeriod-1&gt;=$E184),"━","")))</f>
        <v/>
      </c>
      <c r="EZ184" s="69" t="str">
        <f aca="false">IF($E184="","",IF($M184,IF(AND($G184&gt;=EZ$5,$G184&lt;EZ$5+GanttPeriod),"◆",IF(AND($E184&gt;=EZ$5,$E184&lt;EZ$5+GanttPeriod),"◇","")),IF(AND(EZ$5&lt;=$F184,EZ$5+GanttPeriod-1&gt;=$E184),"━","")))</f>
        <v/>
      </c>
      <c r="FA184" s="69" t="str">
        <f aca="false">IF($E184="","",IF($M184,IF(AND($G184&gt;=FA$5,$G184&lt;FA$5+GanttPeriod),"◆",IF(AND($E184&gt;=FA$5,$E184&lt;FA$5+GanttPeriod),"◇","")),IF(AND(FA$5&lt;=$F184,FA$5+GanttPeriod-1&gt;=$E184),"━","")))</f>
        <v/>
      </c>
      <c r="FB184" s="69" t="str">
        <f aca="false">IF($E184="","",IF($M184,IF(AND($G184&gt;=FB$5,$G184&lt;FB$5+GanttPeriod),"◆",IF(AND($E184&gt;=FB$5,$E184&lt;FB$5+GanttPeriod),"◇","")),IF(AND(FB$5&lt;=$F184,FB$5+GanttPeriod-1&gt;=$E184),"━","")))</f>
        <v/>
      </c>
      <c r="FC184" s="69" t="str">
        <f aca="false">IF($E184="","",IF($M184,IF(AND($G184&gt;=FC$5,$G184&lt;FC$5+GanttPeriod),"◆",IF(AND($E184&gt;=FC$5,$E184&lt;FC$5+GanttPeriod),"◇","")),IF(AND(FC$5&lt;=$F184,FC$5+GanttPeriod-1&gt;=$E184),"━","")))</f>
        <v/>
      </c>
      <c r="FD184" s="69" t="str">
        <f aca="false">IF($E184="","",IF($M184,IF(AND($G184&gt;=FD$5,$G184&lt;FD$5+GanttPeriod),"◆",IF(AND($E184&gt;=FD$5,$E184&lt;FD$5+GanttPeriod),"◇","")),IF(AND(FD$5&lt;=$F184,FD$5+GanttPeriod-1&gt;=$E184),"━","")))</f>
        <v/>
      </c>
      <c r="FE184" s="69" t="str">
        <f aca="false">IF($E184="","",IF($M184,IF(AND($G184&gt;=FE$5,$G184&lt;FE$5+GanttPeriod),"◆",IF(AND($E184&gt;=FE$5,$E184&lt;FE$5+GanttPeriod),"◇","")),IF(AND(FE$5&lt;=$F184,FE$5+GanttPeriod-1&gt;=$E184),"━","")))</f>
        <v/>
      </c>
      <c r="FF184" s="69" t="str">
        <f aca="false">IF($E184="","",IF($M184,IF(AND($G184&gt;=FF$5,$G184&lt;FF$5+GanttPeriod),"◆",IF(AND($E184&gt;=FF$5,$E184&lt;FF$5+GanttPeriod),"◇","")),IF(AND(FF$5&lt;=$F184,FF$5+GanttPeriod-1&gt;=$E184),"━","")))</f>
        <v/>
      </c>
      <c r="FG184" s="69" t="str">
        <f aca="false">IF($E184="","",IF($M184,IF(AND($G184&gt;=FG$5,$G184&lt;FG$5+GanttPeriod),"◆",IF(AND($E184&gt;=FG$5,$E184&lt;FG$5+GanttPeriod),"◇","")),IF(AND(FG$5&lt;=$F184,FG$5+GanttPeriod-1&gt;=$E184),"━","")))</f>
        <v/>
      </c>
      <c r="FH184" s="69" t="str">
        <f aca="false">IF($E184="","",IF($M184,IF(AND($G184&gt;=FH$5,$G184&lt;FH$5+GanttPeriod),"◆",IF(AND($E184&gt;=FH$5,$E184&lt;FH$5+GanttPeriod),"◇","")),IF(AND(FH$5&lt;=$F184,FH$5+GanttPeriod-1&gt;=$E184),"━","")))</f>
        <v/>
      </c>
      <c r="FI184" s="69" t="str">
        <f aca="false">IF($E184="","",IF($M184,IF(AND($G184&gt;=FI$5,$G184&lt;FI$5+GanttPeriod),"◆",IF(AND($E184&gt;=FI$5,$E184&lt;FI$5+GanttPeriod),"◇","")),IF(AND(FI$5&lt;=$F184,FI$5+GanttPeriod-1&gt;=$E184),"━","")))</f>
        <v/>
      </c>
      <c r="FJ184" s="69" t="str">
        <f aca="false">IF($E184="","",IF($M184,IF(AND($G184&gt;=FJ$5,$G184&lt;FJ$5+GanttPeriod),"◆",IF(AND($E184&gt;=FJ$5,$E184&lt;FJ$5+GanttPeriod),"◇","")),IF(AND(FJ$5&lt;=$F184,FJ$5+GanttPeriod-1&gt;=$E184),"━","")))</f>
        <v/>
      </c>
      <c r="FK184" s="69" t="str">
        <f aca="false">IF($E184="","",IF($M184,IF(AND($G184&gt;=FK$5,$G184&lt;FK$5+GanttPeriod),"◆",IF(AND($E184&gt;=FK$5,$E184&lt;FK$5+GanttPeriod),"◇","")),IF(AND(FK$5&lt;=$F184,FK$5+GanttPeriod-1&gt;=$E184),"━","")))</f>
        <v/>
      </c>
      <c r="FL184" s="69" t="str">
        <f aca="false">IF($E184="","",IF($M184,IF(AND($G184&gt;=FL$5,$G184&lt;FL$5+GanttPeriod),"◆",IF(AND($E184&gt;=FL$5,$E184&lt;FL$5+GanttPeriod),"◇","")),IF(AND(FL$5&lt;=$F184,FL$5+GanttPeriod-1&gt;=$E184),"━","")))</f>
        <v/>
      </c>
      <c r="FM184" s="69" t="str">
        <f aca="false">IF($E184="","",IF($M184,IF(AND($G184&gt;=FM$5,$G184&lt;FM$5+GanttPeriod),"◆",IF(AND($E184&gt;=FM$5,$E184&lt;FM$5+GanttPeriod),"◇","")),IF(AND(FM$5&lt;=$F184,FM$5+GanttPeriod-1&gt;=$E184),"━","")))</f>
        <v/>
      </c>
    </row>
    <row r="185" customFormat="false" ht="15" hidden="false" customHeight="false" outlineLevel="0" collapsed="false">
      <c r="A185" s="62" t="str">
        <f aca="false">IF(Tasks!$D185="","",Tasks!$A185)</f>
        <v/>
      </c>
      <c r="B185" s="62" t="str">
        <f aca="false">IF(Tasks!$D185="","",Tasks!$B185)</f>
        <v/>
      </c>
      <c r="C185" s="63" t="str">
        <f aca="false">IF(Tasks!$D185="","",REPT("    ",Tasks!$AE185-1)&amp;Tasks!$D185)</f>
        <v/>
      </c>
      <c r="D185" s="62" t="str">
        <f aca="false">IF(Tasks!$D185="","",IF(Tasks!$AI185,NETWORKDAYS.INTL(Tasks!$R185,Tasks!$S185,WorkWeek,Holidays),N(Tasks!$F185)))</f>
        <v/>
      </c>
      <c r="E185" s="64" t="str">
        <f aca="false">IF(Tasks!$D185="","",Tasks!$N185)</f>
        <v/>
      </c>
      <c r="F185" s="64" t="str">
        <f aca="false">IF(Tasks!$D185="","",Tasks!$O185)</f>
        <v/>
      </c>
      <c r="G185" s="64" t="str">
        <f aca="false">IF(Tasks!$D185="","",Tasks!$R185)</f>
        <v/>
      </c>
      <c r="H185" s="64" t="str">
        <f aca="false">IF(Tasks!$D185="","",Tasks!$S185)</f>
        <v/>
      </c>
      <c r="I185" s="65" t="str">
        <f aca="false">IF(Tasks!$D185="","",Tasks!$V185)</f>
        <v/>
      </c>
      <c r="J185" s="63" t="str">
        <f aca="false">IF(Tasks!$D185="","",Tasks!$X185&amp;"")</f>
        <v/>
      </c>
      <c r="K185" s="66" t="str">
        <f aca="false">IF(Tasks!$D185="","",Tasks!$W185)</f>
        <v/>
      </c>
      <c r="L185" s="67" t="b">
        <f aca="false">IF(Tasks!$D185="",FALSE(),Tasks!$AI185)</f>
        <v>0</v>
      </c>
      <c r="M185" s="67" t="b">
        <f aca="false">AND(Tasks!$AJ185=1,N(Tasks!$F185)=0)</f>
        <v>0</v>
      </c>
      <c r="N185" s="68" t="n">
        <f aca="false">IF(AND(Tasks!$AJ185=1,NOT($M185),N($I185)&gt;0),$G185,0)</f>
        <v>0</v>
      </c>
      <c r="O185" s="68" t="n">
        <f aca="false">IF($N185=0,0,IF($I185&gt;=1,$H185,MAX($N185,$G185+ROUND(($H185-$G185+1)*$I185,0)-1)))</f>
        <v>0</v>
      </c>
      <c r="P185" s="68" t="n">
        <f aca="false">IF(OR(Tasks!$AJ185&lt;&gt;1,$M185,N($I185)&gt;=1),0,IF($O185&gt;0,$O185+1,$G185))</f>
        <v>0</v>
      </c>
      <c r="Q185" s="68" t="n">
        <f aca="false">IF($P185=0,0,$H185)</f>
        <v>0</v>
      </c>
      <c r="R185" s="67" t="b">
        <f aca="false">AND(Tasks!$D185&lt;&gt;"",N(Tasks!$T185)&gt;0)</f>
        <v>0</v>
      </c>
      <c r="T185" s="69" t="str">
        <f aca="false">IF($E185="","",IF($M185,IF(AND($G185&gt;=T$5,$G185&lt;T$5+GanttPeriod),"◆",IF(AND($E185&gt;=T$5,$E185&lt;T$5+GanttPeriod),"◇","")),IF(AND(T$5&lt;=$F185,T$5+GanttPeriod-1&gt;=$E185),"━","")))</f>
        <v/>
      </c>
      <c r="U185" s="69" t="str">
        <f aca="false">IF($E185="","",IF($M185,IF(AND($G185&gt;=U$5,$G185&lt;U$5+GanttPeriod),"◆",IF(AND($E185&gt;=U$5,$E185&lt;U$5+GanttPeriod),"◇","")),IF(AND(U$5&lt;=$F185,U$5+GanttPeriod-1&gt;=$E185),"━","")))</f>
        <v/>
      </c>
      <c r="V185" s="69" t="str">
        <f aca="false">IF($E185="","",IF($M185,IF(AND($G185&gt;=V$5,$G185&lt;V$5+GanttPeriod),"◆",IF(AND($E185&gt;=V$5,$E185&lt;V$5+GanttPeriod),"◇","")),IF(AND(V$5&lt;=$F185,V$5+GanttPeriod-1&gt;=$E185),"━","")))</f>
        <v/>
      </c>
      <c r="W185" s="69" t="str">
        <f aca="false">IF($E185="","",IF($M185,IF(AND($G185&gt;=W$5,$G185&lt;W$5+GanttPeriod),"◆",IF(AND($E185&gt;=W$5,$E185&lt;W$5+GanttPeriod),"◇","")),IF(AND(W$5&lt;=$F185,W$5+GanttPeriod-1&gt;=$E185),"━","")))</f>
        <v/>
      </c>
      <c r="X185" s="69" t="str">
        <f aca="false">IF($E185="","",IF($M185,IF(AND($G185&gt;=X$5,$G185&lt;X$5+GanttPeriod),"◆",IF(AND($E185&gt;=X$5,$E185&lt;X$5+GanttPeriod),"◇","")),IF(AND(X$5&lt;=$F185,X$5+GanttPeriod-1&gt;=$E185),"━","")))</f>
        <v/>
      </c>
      <c r="Y185" s="69" t="str">
        <f aca="false">IF($E185="","",IF($M185,IF(AND($G185&gt;=Y$5,$G185&lt;Y$5+GanttPeriod),"◆",IF(AND($E185&gt;=Y$5,$E185&lt;Y$5+GanttPeriod),"◇","")),IF(AND(Y$5&lt;=$F185,Y$5+GanttPeriod-1&gt;=$E185),"━","")))</f>
        <v/>
      </c>
      <c r="Z185" s="69" t="str">
        <f aca="false">IF($E185="","",IF($M185,IF(AND($G185&gt;=Z$5,$G185&lt;Z$5+GanttPeriod),"◆",IF(AND($E185&gt;=Z$5,$E185&lt;Z$5+GanttPeriod),"◇","")),IF(AND(Z$5&lt;=$F185,Z$5+GanttPeriod-1&gt;=$E185),"━","")))</f>
        <v/>
      </c>
      <c r="AA185" s="69" t="str">
        <f aca="false">IF($E185="","",IF($M185,IF(AND($G185&gt;=AA$5,$G185&lt;AA$5+GanttPeriod),"◆",IF(AND($E185&gt;=AA$5,$E185&lt;AA$5+GanttPeriod),"◇","")),IF(AND(AA$5&lt;=$F185,AA$5+GanttPeriod-1&gt;=$E185),"━","")))</f>
        <v/>
      </c>
      <c r="AB185" s="69" t="str">
        <f aca="false">IF($E185="","",IF($M185,IF(AND($G185&gt;=AB$5,$G185&lt;AB$5+GanttPeriod),"◆",IF(AND($E185&gt;=AB$5,$E185&lt;AB$5+GanttPeriod),"◇","")),IF(AND(AB$5&lt;=$F185,AB$5+GanttPeriod-1&gt;=$E185),"━","")))</f>
        <v/>
      </c>
      <c r="AC185" s="69" t="str">
        <f aca="false">IF($E185="","",IF($M185,IF(AND($G185&gt;=AC$5,$G185&lt;AC$5+GanttPeriod),"◆",IF(AND($E185&gt;=AC$5,$E185&lt;AC$5+GanttPeriod),"◇","")),IF(AND(AC$5&lt;=$F185,AC$5+GanttPeriod-1&gt;=$E185),"━","")))</f>
        <v/>
      </c>
      <c r="AD185" s="69" t="str">
        <f aca="false">IF($E185="","",IF($M185,IF(AND($G185&gt;=AD$5,$G185&lt;AD$5+GanttPeriod),"◆",IF(AND($E185&gt;=AD$5,$E185&lt;AD$5+GanttPeriod),"◇","")),IF(AND(AD$5&lt;=$F185,AD$5+GanttPeriod-1&gt;=$E185),"━","")))</f>
        <v/>
      </c>
      <c r="AE185" s="69" t="str">
        <f aca="false">IF($E185="","",IF($M185,IF(AND($G185&gt;=AE$5,$G185&lt;AE$5+GanttPeriod),"◆",IF(AND($E185&gt;=AE$5,$E185&lt;AE$5+GanttPeriod),"◇","")),IF(AND(AE$5&lt;=$F185,AE$5+GanttPeriod-1&gt;=$E185),"━","")))</f>
        <v/>
      </c>
      <c r="AF185" s="69" t="str">
        <f aca="false">IF($E185="","",IF($M185,IF(AND($G185&gt;=AF$5,$G185&lt;AF$5+GanttPeriod),"◆",IF(AND($E185&gt;=AF$5,$E185&lt;AF$5+GanttPeriod),"◇","")),IF(AND(AF$5&lt;=$F185,AF$5+GanttPeriod-1&gt;=$E185),"━","")))</f>
        <v/>
      </c>
      <c r="AG185" s="69" t="str">
        <f aca="false">IF($E185="","",IF($M185,IF(AND($G185&gt;=AG$5,$G185&lt;AG$5+GanttPeriod),"◆",IF(AND($E185&gt;=AG$5,$E185&lt;AG$5+GanttPeriod),"◇","")),IF(AND(AG$5&lt;=$F185,AG$5+GanttPeriod-1&gt;=$E185),"━","")))</f>
        <v/>
      </c>
      <c r="AH185" s="69" t="str">
        <f aca="false">IF($E185="","",IF($M185,IF(AND($G185&gt;=AH$5,$G185&lt;AH$5+GanttPeriod),"◆",IF(AND($E185&gt;=AH$5,$E185&lt;AH$5+GanttPeriod),"◇","")),IF(AND(AH$5&lt;=$F185,AH$5+GanttPeriod-1&gt;=$E185),"━","")))</f>
        <v/>
      </c>
      <c r="AI185" s="69" t="str">
        <f aca="false">IF($E185="","",IF($M185,IF(AND($G185&gt;=AI$5,$G185&lt;AI$5+GanttPeriod),"◆",IF(AND($E185&gt;=AI$5,$E185&lt;AI$5+GanttPeriod),"◇","")),IF(AND(AI$5&lt;=$F185,AI$5+GanttPeriod-1&gt;=$E185),"━","")))</f>
        <v/>
      </c>
      <c r="AJ185" s="69" t="str">
        <f aca="false">IF($E185="","",IF($M185,IF(AND($G185&gt;=AJ$5,$G185&lt;AJ$5+GanttPeriod),"◆",IF(AND($E185&gt;=AJ$5,$E185&lt;AJ$5+GanttPeriod),"◇","")),IF(AND(AJ$5&lt;=$F185,AJ$5+GanttPeriod-1&gt;=$E185),"━","")))</f>
        <v/>
      </c>
      <c r="AK185" s="69" t="str">
        <f aca="false">IF($E185="","",IF($M185,IF(AND($G185&gt;=AK$5,$G185&lt;AK$5+GanttPeriod),"◆",IF(AND($E185&gt;=AK$5,$E185&lt;AK$5+GanttPeriod),"◇","")),IF(AND(AK$5&lt;=$F185,AK$5+GanttPeriod-1&gt;=$E185),"━","")))</f>
        <v/>
      </c>
      <c r="AL185" s="69" t="str">
        <f aca="false">IF($E185="","",IF($M185,IF(AND($G185&gt;=AL$5,$G185&lt;AL$5+GanttPeriod),"◆",IF(AND($E185&gt;=AL$5,$E185&lt;AL$5+GanttPeriod),"◇","")),IF(AND(AL$5&lt;=$F185,AL$5+GanttPeriod-1&gt;=$E185),"━","")))</f>
        <v/>
      </c>
      <c r="AM185" s="69" t="str">
        <f aca="false">IF($E185="","",IF($M185,IF(AND($G185&gt;=AM$5,$G185&lt;AM$5+GanttPeriod),"◆",IF(AND($E185&gt;=AM$5,$E185&lt;AM$5+GanttPeriod),"◇","")),IF(AND(AM$5&lt;=$F185,AM$5+GanttPeriod-1&gt;=$E185),"━","")))</f>
        <v/>
      </c>
      <c r="AN185" s="69" t="str">
        <f aca="false">IF($E185="","",IF($M185,IF(AND($G185&gt;=AN$5,$G185&lt;AN$5+GanttPeriod),"◆",IF(AND($E185&gt;=AN$5,$E185&lt;AN$5+GanttPeriod),"◇","")),IF(AND(AN$5&lt;=$F185,AN$5+GanttPeriod-1&gt;=$E185),"━","")))</f>
        <v/>
      </c>
      <c r="AO185" s="69" t="str">
        <f aca="false">IF($E185="","",IF($M185,IF(AND($G185&gt;=AO$5,$G185&lt;AO$5+GanttPeriod),"◆",IF(AND($E185&gt;=AO$5,$E185&lt;AO$5+GanttPeriod),"◇","")),IF(AND(AO$5&lt;=$F185,AO$5+GanttPeriod-1&gt;=$E185),"━","")))</f>
        <v/>
      </c>
      <c r="AP185" s="69" t="str">
        <f aca="false">IF($E185="","",IF($M185,IF(AND($G185&gt;=AP$5,$G185&lt;AP$5+GanttPeriod),"◆",IF(AND($E185&gt;=AP$5,$E185&lt;AP$5+GanttPeriod),"◇","")),IF(AND(AP$5&lt;=$F185,AP$5+GanttPeriod-1&gt;=$E185),"━","")))</f>
        <v/>
      </c>
      <c r="AQ185" s="69" t="str">
        <f aca="false">IF($E185="","",IF($M185,IF(AND($G185&gt;=AQ$5,$G185&lt;AQ$5+GanttPeriod),"◆",IF(AND($E185&gt;=AQ$5,$E185&lt;AQ$5+GanttPeriod),"◇","")),IF(AND(AQ$5&lt;=$F185,AQ$5+GanttPeriod-1&gt;=$E185),"━","")))</f>
        <v/>
      </c>
      <c r="AR185" s="69" t="str">
        <f aca="false">IF($E185="","",IF($M185,IF(AND($G185&gt;=AR$5,$G185&lt;AR$5+GanttPeriod),"◆",IF(AND($E185&gt;=AR$5,$E185&lt;AR$5+GanttPeriod),"◇","")),IF(AND(AR$5&lt;=$F185,AR$5+GanttPeriod-1&gt;=$E185),"━","")))</f>
        <v/>
      </c>
      <c r="AS185" s="69" t="str">
        <f aca="false">IF($E185="","",IF($M185,IF(AND($G185&gt;=AS$5,$G185&lt;AS$5+GanttPeriod),"◆",IF(AND($E185&gt;=AS$5,$E185&lt;AS$5+GanttPeriod),"◇","")),IF(AND(AS$5&lt;=$F185,AS$5+GanttPeriod-1&gt;=$E185),"━","")))</f>
        <v/>
      </c>
      <c r="AT185" s="69" t="str">
        <f aca="false">IF($E185="","",IF($M185,IF(AND($G185&gt;=AT$5,$G185&lt;AT$5+GanttPeriod),"◆",IF(AND($E185&gt;=AT$5,$E185&lt;AT$5+GanttPeriod),"◇","")),IF(AND(AT$5&lt;=$F185,AT$5+GanttPeriod-1&gt;=$E185),"━","")))</f>
        <v/>
      </c>
      <c r="AU185" s="69" t="str">
        <f aca="false">IF($E185="","",IF($M185,IF(AND($G185&gt;=AU$5,$G185&lt;AU$5+GanttPeriod),"◆",IF(AND($E185&gt;=AU$5,$E185&lt;AU$5+GanttPeriod),"◇","")),IF(AND(AU$5&lt;=$F185,AU$5+GanttPeriod-1&gt;=$E185),"━","")))</f>
        <v/>
      </c>
      <c r="AV185" s="69" t="str">
        <f aca="false">IF($E185="","",IF($M185,IF(AND($G185&gt;=AV$5,$G185&lt;AV$5+GanttPeriod),"◆",IF(AND($E185&gt;=AV$5,$E185&lt;AV$5+GanttPeriod),"◇","")),IF(AND(AV$5&lt;=$F185,AV$5+GanttPeriod-1&gt;=$E185),"━","")))</f>
        <v/>
      </c>
      <c r="AW185" s="69" t="str">
        <f aca="false">IF($E185="","",IF($M185,IF(AND($G185&gt;=AW$5,$G185&lt;AW$5+GanttPeriod),"◆",IF(AND($E185&gt;=AW$5,$E185&lt;AW$5+GanttPeriod),"◇","")),IF(AND(AW$5&lt;=$F185,AW$5+GanttPeriod-1&gt;=$E185),"━","")))</f>
        <v/>
      </c>
      <c r="AX185" s="69" t="str">
        <f aca="false">IF($E185="","",IF($M185,IF(AND($G185&gt;=AX$5,$G185&lt;AX$5+GanttPeriod),"◆",IF(AND($E185&gt;=AX$5,$E185&lt;AX$5+GanttPeriod),"◇","")),IF(AND(AX$5&lt;=$F185,AX$5+GanttPeriod-1&gt;=$E185),"━","")))</f>
        <v/>
      </c>
      <c r="AY185" s="69" t="str">
        <f aca="false">IF($E185="","",IF($M185,IF(AND($G185&gt;=AY$5,$G185&lt;AY$5+GanttPeriod),"◆",IF(AND($E185&gt;=AY$5,$E185&lt;AY$5+GanttPeriod),"◇","")),IF(AND(AY$5&lt;=$F185,AY$5+GanttPeriod-1&gt;=$E185),"━","")))</f>
        <v/>
      </c>
      <c r="AZ185" s="69" t="str">
        <f aca="false">IF($E185="","",IF($M185,IF(AND($G185&gt;=AZ$5,$G185&lt;AZ$5+GanttPeriod),"◆",IF(AND($E185&gt;=AZ$5,$E185&lt;AZ$5+GanttPeriod),"◇","")),IF(AND(AZ$5&lt;=$F185,AZ$5+GanttPeriod-1&gt;=$E185),"━","")))</f>
        <v/>
      </c>
      <c r="BA185" s="69" t="str">
        <f aca="false">IF($E185="","",IF($M185,IF(AND($G185&gt;=BA$5,$G185&lt;BA$5+GanttPeriod),"◆",IF(AND($E185&gt;=BA$5,$E185&lt;BA$5+GanttPeriod),"◇","")),IF(AND(BA$5&lt;=$F185,BA$5+GanttPeriod-1&gt;=$E185),"━","")))</f>
        <v/>
      </c>
      <c r="BB185" s="69" t="str">
        <f aca="false">IF($E185="","",IF($M185,IF(AND($G185&gt;=BB$5,$G185&lt;BB$5+GanttPeriod),"◆",IF(AND($E185&gt;=BB$5,$E185&lt;BB$5+GanttPeriod),"◇","")),IF(AND(BB$5&lt;=$F185,BB$5+GanttPeriod-1&gt;=$E185),"━","")))</f>
        <v/>
      </c>
      <c r="BC185" s="69" t="str">
        <f aca="false">IF($E185="","",IF($M185,IF(AND($G185&gt;=BC$5,$G185&lt;BC$5+GanttPeriod),"◆",IF(AND($E185&gt;=BC$5,$E185&lt;BC$5+GanttPeriod),"◇","")),IF(AND(BC$5&lt;=$F185,BC$5+GanttPeriod-1&gt;=$E185),"━","")))</f>
        <v/>
      </c>
      <c r="BD185" s="69" t="str">
        <f aca="false">IF($E185="","",IF($M185,IF(AND($G185&gt;=BD$5,$G185&lt;BD$5+GanttPeriod),"◆",IF(AND($E185&gt;=BD$5,$E185&lt;BD$5+GanttPeriod),"◇","")),IF(AND(BD$5&lt;=$F185,BD$5+GanttPeriod-1&gt;=$E185),"━","")))</f>
        <v/>
      </c>
      <c r="BE185" s="69" t="str">
        <f aca="false">IF($E185="","",IF($M185,IF(AND($G185&gt;=BE$5,$G185&lt;BE$5+GanttPeriod),"◆",IF(AND($E185&gt;=BE$5,$E185&lt;BE$5+GanttPeriod),"◇","")),IF(AND(BE$5&lt;=$F185,BE$5+GanttPeriod-1&gt;=$E185),"━","")))</f>
        <v/>
      </c>
      <c r="BF185" s="69" t="str">
        <f aca="false">IF($E185="","",IF($M185,IF(AND($G185&gt;=BF$5,$G185&lt;BF$5+GanttPeriod),"◆",IF(AND($E185&gt;=BF$5,$E185&lt;BF$5+GanttPeriod),"◇","")),IF(AND(BF$5&lt;=$F185,BF$5+GanttPeriod-1&gt;=$E185),"━","")))</f>
        <v/>
      </c>
      <c r="BG185" s="69" t="str">
        <f aca="false">IF($E185="","",IF($M185,IF(AND($G185&gt;=BG$5,$G185&lt;BG$5+GanttPeriod),"◆",IF(AND($E185&gt;=BG$5,$E185&lt;BG$5+GanttPeriod),"◇","")),IF(AND(BG$5&lt;=$F185,BG$5+GanttPeriod-1&gt;=$E185),"━","")))</f>
        <v/>
      </c>
      <c r="BH185" s="69" t="str">
        <f aca="false">IF($E185="","",IF($M185,IF(AND($G185&gt;=BH$5,$G185&lt;BH$5+GanttPeriod),"◆",IF(AND($E185&gt;=BH$5,$E185&lt;BH$5+GanttPeriod),"◇","")),IF(AND(BH$5&lt;=$F185,BH$5+GanttPeriod-1&gt;=$E185),"━","")))</f>
        <v/>
      </c>
      <c r="BI185" s="69" t="str">
        <f aca="false">IF($E185="","",IF($M185,IF(AND($G185&gt;=BI$5,$G185&lt;BI$5+GanttPeriod),"◆",IF(AND($E185&gt;=BI$5,$E185&lt;BI$5+GanttPeriod),"◇","")),IF(AND(BI$5&lt;=$F185,BI$5+GanttPeriod-1&gt;=$E185),"━","")))</f>
        <v/>
      </c>
      <c r="BJ185" s="69" t="str">
        <f aca="false">IF($E185="","",IF($M185,IF(AND($G185&gt;=BJ$5,$G185&lt;BJ$5+GanttPeriod),"◆",IF(AND($E185&gt;=BJ$5,$E185&lt;BJ$5+GanttPeriod),"◇","")),IF(AND(BJ$5&lt;=$F185,BJ$5+GanttPeriod-1&gt;=$E185),"━","")))</f>
        <v/>
      </c>
      <c r="BK185" s="69" t="str">
        <f aca="false">IF($E185="","",IF($M185,IF(AND($G185&gt;=BK$5,$G185&lt;BK$5+GanttPeriod),"◆",IF(AND($E185&gt;=BK$5,$E185&lt;BK$5+GanttPeriod),"◇","")),IF(AND(BK$5&lt;=$F185,BK$5+GanttPeriod-1&gt;=$E185),"━","")))</f>
        <v/>
      </c>
      <c r="BL185" s="69" t="str">
        <f aca="false">IF($E185="","",IF($M185,IF(AND($G185&gt;=BL$5,$G185&lt;BL$5+GanttPeriod),"◆",IF(AND($E185&gt;=BL$5,$E185&lt;BL$5+GanttPeriod),"◇","")),IF(AND(BL$5&lt;=$F185,BL$5+GanttPeriod-1&gt;=$E185),"━","")))</f>
        <v/>
      </c>
      <c r="BM185" s="69" t="str">
        <f aca="false">IF($E185="","",IF($M185,IF(AND($G185&gt;=BM$5,$G185&lt;BM$5+GanttPeriod),"◆",IF(AND($E185&gt;=BM$5,$E185&lt;BM$5+GanttPeriod),"◇","")),IF(AND(BM$5&lt;=$F185,BM$5+GanttPeriod-1&gt;=$E185),"━","")))</f>
        <v/>
      </c>
      <c r="BN185" s="69" t="str">
        <f aca="false">IF($E185="","",IF($M185,IF(AND($G185&gt;=BN$5,$G185&lt;BN$5+GanttPeriod),"◆",IF(AND($E185&gt;=BN$5,$E185&lt;BN$5+GanttPeriod),"◇","")),IF(AND(BN$5&lt;=$F185,BN$5+GanttPeriod-1&gt;=$E185),"━","")))</f>
        <v/>
      </c>
      <c r="BO185" s="69" t="str">
        <f aca="false">IF($E185="","",IF($M185,IF(AND($G185&gt;=BO$5,$G185&lt;BO$5+GanttPeriod),"◆",IF(AND($E185&gt;=BO$5,$E185&lt;BO$5+GanttPeriod),"◇","")),IF(AND(BO$5&lt;=$F185,BO$5+GanttPeriod-1&gt;=$E185),"━","")))</f>
        <v/>
      </c>
      <c r="BP185" s="69" t="str">
        <f aca="false">IF($E185="","",IF($M185,IF(AND($G185&gt;=BP$5,$G185&lt;BP$5+GanttPeriod),"◆",IF(AND($E185&gt;=BP$5,$E185&lt;BP$5+GanttPeriod),"◇","")),IF(AND(BP$5&lt;=$F185,BP$5+GanttPeriod-1&gt;=$E185),"━","")))</f>
        <v/>
      </c>
      <c r="BQ185" s="69" t="str">
        <f aca="false">IF($E185="","",IF($M185,IF(AND($G185&gt;=BQ$5,$G185&lt;BQ$5+GanttPeriod),"◆",IF(AND($E185&gt;=BQ$5,$E185&lt;BQ$5+GanttPeriod),"◇","")),IF(AND(BQ$5&lt;=$F185,BQ$5+GanttPeriod-1&gt;=$E185),"━","")))</f>
        <v/>
      </c>
      <c r="BR185" s="69" t="str">
        <f aca="false">IF($E185="","",IF($M185,IF(AND($G185&gt;=BR$5,$G185&lt;BR$5+GanttPeriod),"◆",IF(AND($E185&gt;=BR$5,$E185&lt;BR$5+GanttPeriod),"◇","")),IF(AND(BR$5&lt;=$F185,BR$5+GanttPeriod-1&gt;=$E185),"━","")))</f>
        <v/>
      </c>
      <c r="BS185" s="69" t="str">
        <f aca="false">IF($E185="","",IF($M185,IF(AND($G185&gt;=BS$5,$G185&lt;BS$5+GanttPeriod),"◆",IF(AND($E185&gt;=BS$5,$E185&lt;BS$5+GanttPeriod),"◇","")),IF(AND(BS$5&lt;=$F185,BS$5+GanttPeriod-1&gt;=$E185),"━","")))</f>
        <v/>
      </c>
      <c r="BT185" s="69" t="str">
        <f aca="false">IF($E185="","",IF($M185,IF(AND($G185&gt;=BT$5,$G185&lt;BT$5+GanttPeriod),"◆",IF(AND($E185&gt;=BT$5,$E185&lt;BT$5+GanttPeriod),"◇","")),IF(AND(BT$5&lt;=$F185,BT$5+GanttPeriod-1&gt;=$E185),"━","")))</f>
        <v/>
      </c>
      <c r="BU185" s="69" t="str">
        <f aca="false">IF($E185="","",IF($M185,IF(AND($G185&gt;=BU$5,$G185&lt;BU$5+GanttPeriod),"◆",IF(AND($E185&gt;=BU$5,$E185&lt;BU$5+GanttPeriod),"◇","")),IF(AND(BU$5&lt;=$F185,BU$5+GanttPeriod-1&gt;=$E185),"━","")))</f>
        <v/>
      </c>
      <c r="BV185" s="69" t="str">
        <f aca="false">IF($E185="","",IF($M185,IF(AND($G185&gt;=BV$5,$G185&lt;BV$5+GanttPeriod),"◆",IF(AND($E185&gt;=BV$5,$E185&lt;BV$5+GanttPeriod),"◇","")),IF(AND(BV$5&lt;=$F185,BV$5+GanttPeriod-1&gt;=$E185),"━","")))</f>
        <v/>
      </c>
      <c r="BW185" s="69" t="str">
        <f aca="false">IF($E185="","",IF($M185,IF(AND($G185&gt;=BW$5,$G185&lt;BW$5+GanttPeriod),"◆",IF(AND($E185&gt;=BW$5,$E185&lt;BW$5+GanttPeriod),"◇","")),IF(AND(BW$5&lt;=$F185,BW$5+GanttPeriod-1&gt;=$E185),"━","")))</f>
        <v/>
      </c>
      <c r="BX185" s="69" t="str">
        <f aca="false">IF($E185="","",IF($M185,IF(AND($G185&gt;=BX$5,$G185&lt;BX$5+GanttPeriod),"◆",IF(AND($E185&gt;=BX$5,$E185&lt;BX$5+GanttPeriod),"◇","")),IF(AND(BX$5&lt;=$F185,BX$5+GanttPeriod-1&gt;=$E185),"━","")))</f>
        <v/>
      </c>
      <c r="BY185" s="69" t="str">
        <f aca="false">IF($E185="","",IF($M185,IF(AND($G185&gt;=BY$5,$G185&lt;BY$5+GanttPeriod),"◆",IF(AND($E185&gt;=BY$5,$E185&lt;BY$5+GanttPeriod),"◇","")),IF(AND(BY$5&lt;=$F185,BY$5+GanttPeriod-1&gt;=$E185),"━","")))</f>
        <v/>
      </c>
      <c r="BZ185" s="69" t="str">
        <f aca="false">IF($E185="","",IF($M185,IF(AND($G185&gt;=BZ$5,$G185&lt;BZ$5+GanttPeriod),"◆",IF(AND($E185&gt;=BZ$5,$E185&lt;BZ$5+GanttPeriod),"◇","")),IF(AND(BZ$5&lt;=$F185,BZ$5+GanttPeriod-1&gt;=$E185),"━","")))</f>
        <v/>
      </c>
      <c r="CA185" s="69" t="str">
        <f aca="false">IF($E185="","",IF($M185,IF(AND($G185&gt;=CA$5,$G185&lt;CA$5+GanttPeriod),"◆",IF(AND($E185&gt;=CA$5,$E185&lt;CA$5+GanttPeriod),"◇","")),IF(AND(CA$5&lt;=$F185,CA$5+GanttPeriod-1&gt;=$E185),"━","")))</f>
        <v/>
      </c>
      <c r="CB185" s="69" t="str">
        <f aca="false">IF($E185="","",IF($M185,IF(AND($G185&gt;=CB$5,$G185&lt;CB$5+GanttPeriod),"◆",IF(AND($E185&gt;=CB$5,$E185&lt;CB$5+GanttPeriod),"◇","")),IF(AND(CB$5&lt;=$F185,CB$5+GanttPeriod-1&gt;=$E185),"━","")))</f>
        <v/>
      </c>
      <c r="CC185" s="69" t="str">
        <f aca="false">IF($E185="","",IF($M185,IF(AND($G185&gt;=CC$5,$G185&lt;CC$5+GanttPeriod),"◆",IF(AND($E185&gt;=CC$5,$E185&lt;CC$5+GanttPeriod),"◇","")),IF(AND(CC$5&lt;=$F185,CC$5+GanttPeriod-1&gt;=$E185),"━","")))</f>
        <v/>
      </c>
      <c r="CD185" s="69" t="str">
        <f aca="false">IF($E185="","",IF($M185,IF(AND($G185&gt;=CD$5,$G185&lt;CD$5+GanttPeriod),"◆",IF(AND($E185&gt;=CD$5,$E185&lt;CD$5+GanttPeriod),"◇","")),IF(AND(CD$5&lt;=$F185,CD$5+GanttPeriod-1&gt;=$E185),"━","")))</f>
        <v/>
      </c>
      <c r="CE185" s="69" t="str">
        <f aca="false">IF($E185="","",IF($M185,IF(AND($G185&gt;=CE$5,$G185&lt;CE$5+GanttPeriod),"◆",IF(AND($E185&gt;=CE$5,$E185&lt;CE$5+GanttPeriod),"◇","")),IF(AND(CE$5&lt;=$F185,CE$5+GanttPeriod-1&gt;=$E185),"━","")))</f>
        <v/>
      </c>
      <c r="CF185" s="69" t="str">
        <f aca="false">IF($E185="","",IF($M185,IF(AND($G185&gt;=CF$5,$G185&lt;CF$5+GanttPeriod),"◆",IF(AND($E185&gt;=CF$5,$E185&lt;CF$5+GanttPeriod),"◇","")),IF(AND(CF$5&lt;=$F185,CF$5+GanttPeriod-1&gt;=$E185),"━","")))</f>
        <v/>
      </c>
      <c r="CG185" s="69" t="str">
        <f aca="false">IF($E185="","",IF($M185,IF(AND($G185&gt;=CG$5,$G185&lt;CG$5+GanttPeriod),"◆",IF(AND($E185&gt;=CG$5,$E185&lt;CG$5+GanttPeriod),"◇","")),IF(AND(CG$5&lt;=$F185,CG$5+GanttPeriod-1&gt;=$E185),"━","")))</f>
        <v/>
      </c>
      <c r="CH185" s="69" t="str">
        <f aca="false">IF($E185="","",IF($M185,IF(AND($G185&gt;=CH$5,$G185&lt;CH$5+GanttPeriod),"◆",IF(AND($E185&gt;=CH$5,$E185&lt;CH$5+GanttPeriod),"◇","")),IF(AND(CH$5&lt;=$F185,CH$5+GanttPeriod-1&gt;=$E185),"━","")))</f>
        <v/>
      </c>
      <c r="CI185" s="69" t="str">
        <f aca="false">IF($E185="","",IF($M185,IF(AND($G185&gt;=CI$5,$G185&lt;CI$5+GanttPeriod),"◆",IF(AND($E185&gt;=CI$5,$E185&lt;CI$5+GanttPeriod),"◇","")),IF(AND(CI$5&lt;=$F185,CI$5+GanttPeriod-1&gt;=$E185),"━","")))</f>
        <v/>
      </c>
      <c r="CJ185" s="69" t="str">
        <f aca="false">IF($E185="","",IF($M185,IF(AND($G185&gt;=CJ$5,$G185&lt;CJ$5+GanttPeriod),"◆",IF(AND($E185&gt;=CJ$5,$E185&lt;CJ$5+GanttPeriod),"◇","")),IF(AND(CJ$5&lt;=$F185,CJ$5+GanttPeriod-1&gt;=$E185),"━","")))</f>
        <v/>
      </c>
      <c r="CK185" s="69" t="str">
        <f aca="false">IF($E185="","",IF($M185,IF(AND($G185&gt;=CK$5,$G185&lt;CK$5+GanttPeriod),"◆",IF(AND($E185&gt;=CK$5,$E185&lt;CK$5+GanttPeriod),"◇","")),IF(AND(CK$5&lt;=$F185,CK$5+GanttPeriod-1&gt;=$E185),"━","")))</f>
        <v/>
      </c>
      <c r="CL185" s="69" t="str">
        <f aca="false">IF($E185="","",IF($M185,IF(AND($G185&gt;=CL$5,$G185&lt;CL$5+GanttPeriod),"◆",IF(AND($E185&gt;=CL$5,$E185&lt;CL$5+GanttPeriod),"◇","")),IF(AND(CL$5&lt;=$F185,CL$5+GanttPeriod-1&gt;=$E185),"━","")))</f>
        <v/>
      </c>
      <c r="CM185" s="69" t="str">
        <f aca="false">IF($E185="","",IF($M185,IF(AND($G185&gt;=CM$5,$G185&lt;CM$5+GanttPeriod),"◆",IF(AND($E185&gt;=CM$5,$E185&lt;CM$5+GanttPeriod),"◇","")),IF(AND(CM$5&lt;=$F185,CM$5+GanttPeriod-1&gt;=$E185),"━","")))</f>
        <v/>
      </c>
      <c r="CN185" s="69" t="str">
        <f aca="false">IF($E185="","",IF($M185,IF(AND($G185&gt;=CN$5,$G185&lt;CN$5+GanttPeriod),"◆",IF(AND($E185&gt;=CN$5,$E185&lt;CN$5+GanttPeriod),"◇","")),IF(AND(CN$5&lt;=$F185,CN$5+GanttPeriod-1&gt;=$E185),"━","")))</f>
        <v/>
      </c>
      <c r="CO185" s="69" t="str">
        <f aca="false">IF($E185="","",IF($M185,IF(AND($G185&gt;=CO$5,$G185&lt;CO$5+GanttPeriod),"◆",IF(AND($E185&gt;=CO$5,$E185&lt;CO$5+GanttPeriod),"◇","")),IF(AND(CO$5&lt;=$F185,CO$5+GanttPeriod-1&gt;=$E185),"━","")))</f>
        <v/>
      </c>
      <c r="CP185" s="69" t="str">
        <f aca="false">IF($E185="","",IF($M185,IF(AND($G185&gt;=CP$5,$G185&lt;CP$5+GanttPeriod),"◆",IF(AND($E185&gt;=CP$5,$E185&lt;CP$5+GanttPeriod),"◇","")),IF(AND(CP$5&lt;=$F185,CP$5+GanttPeriod-1&gt;=$E185),"━","")))</f>
        <v/>
      </c>
      <c r="CQ185" s="69" t="str">
        <f aca="false">IF($E185="","",IF($M185,IF(AND($G185&gt;=CQ$5,$G185&lt;CQ$5+GanttPeriod),"◆",IF(AND($E185&gt;=CQ$5,$E185&lt;CQ$5+GanttPeriod),"◇","")),IF(AND(CQ$5&lt;=$F185,CQ$5+GanttPeriod-1&gt;=$E185),"━","")))</f>
        <v/>
      </c>
      <c r="CR185" s="69" t="str">
        <f aca="false">IF($E185="","",IF($M185,IF(AND($G185&gt;=CR$5,$G185&lt;CR$5+GanttPeriod),"◆",IF(AND($E185&gt;=CR$5,$E185&lt;CR$5+GanttPeriod),"◇","")),IF(AND(CR$5&lt;=$F185,CR$5+GanttPeriod-1&gt;=$E185),"━","")))</f>
        <v/>
      </c>
      <c r="CS185" s="69" t="str">
        <f aca="false">IF($E185="","",IF($M185,IF(AND($G185&gt;=CS$5,$G185&lt;CS$5+GanttPeriod),"◆",IF(AND($E185&gt;=CS$5,$E185&lt;CS$5+GanttPeriod),"◇","")),IF(AND(CS$5&lt;=$F185,CS$5+GanttPeriod-1&gt;=$E185),"━","")))</f>
        <v/>
      </c>
      <c r="CT185" s="69" t="str">
        <f aca="false">IF($E185="","",IF($M185,IF(AND($G185&gt;=CT$5,$G185&lt;CT$5+GanttPeriod),"◆",IF(AND($E185&gt;=CT$5,$E185&lt;CT$5+GanttPeriod),"◇","")),IF(AND(CT$5&lt;=$F185,CT$5+GanttPeriod-1&gt;=$E185),"━","")))</f>
        <v/>
      </c>
      <c r="CU185" s="69" t="str">
        <f aca="false">IF($E185="","",IF($M185,IF(AND($G185&gt;=CU$5,$G185&lt;CU$5+GanttPeriod),"◆",IF(AND($E185&gt;=CU$5,$E185&lt;CU$5+GanttPeriod),"◇","")),IF(AND(CU$5&lt;=$F185,CU$5+GanttPeriod-1&gt;=$E185),"━","")))</f>
        <v/>
      </c>
      <c r="CV185" s="69" t="str">
        <f aca="false">IF($E185="","",IF($M185,IF(AND($G185&gt;=CV$5,$G185&lt;CV$5+GanttPeriod),"◆",IF(AND($E185&gt;=CV$5,$E185&lt;CV$5+GanttPeriod),"◇","")),IF(AND(CV$5&lt;=$F185,CV$5+GanttPeriod-1&gt;=$E185),"━","")))</f>
        <v/>
      </c>
      <c r="CW185" s="69" t="str">
        <f aca="false">IF($E185="","",IF($M185,IF(AND($G185&gt;=CW$5,$G185&lt;CW$5+GanttPeriod),"◆",IF(AND($E185&gt;=CW$5,$E185&lt;CW$5+GanttPeriod),"◇","")),IF(AND(CW$5&lt;=$F185,CW$5+GanttPeriod-1&gt;=$E185),"━","")))</f>
        <v/>
      </c>
      <c r="CX185" s="69" t="str">
        <f aca="false">IF($E185="","",IF($M185,IF(AND($G185&gt;=CX$5,$G185&lt;CX$5+GanttPeriod),"◆",IF(AND($E185&gt;=CX$5,$E185&lt;CX$5+GanttPeriod),"◇","")),IF(AND(CX$5&lt;=$F185,CX$5+GanttPeriod-1&gt;=$E185),"━","")))</f>
        <v/>
      </c>
      <c r="CY185" s="69" t="str">
        <f aca="false">IF($E185="","",IF($M185,IF(AND($G185&gt;=CY$5,$G185&lt;CY$5+GanttPeriod),"◆",IF(AND($E185&gt;=CY$5,$E185&lt;CY$5+GanttPeriod),"◇","")),IF(AND(CY$5&lt;=$F185,CY$5+GanttPeriod-1&gt;=$E185),"━","")))</f>
        <v/>
      </c>
      <c r="CZ185" s="69" t="str">
        <f aca="false">IF($E185="","",IF($M185,IF(AND($G185&gt;=CZ$5,$G185&lt;CZ$5+GanttPeriod),"◆",IF(AND($E185&gt;=CZ$5,$E185&lt;CZ$5+GanttPeriod),"◇","")),IF(AND(CZ$5&lt;=$F185,CZ$5+GanttPeriod-1&gt;=$E185),"━","")))</f>
        <v/>
      </c>
      <c r="DA185" s="69" t="str">
        <f aca="false">IF($E185="","",IF($M185,IF(AND($G185&gt;=DA$5,$G185&lt;DA$5+GanttPeriod),"◆",IF(AND($E185&gt;=DA$5,$E185&lt;DA$5+GanttPeriod),"◇","")),IF(AND(DA$5&lt;=$F185,DA$5+GanttPeriod-1&gt;=$E185),"━","")))</f>
        <v/>
      </c>
      <c r="DB185" s="69" t="str">
        <f aca="false">IF($E185="","",IF($M185,IF(AND($G185&gt;=DB$5,$G185&lt;DB$5+GanttPeriod),"◆",IF(AND($E185&gt;=DB$5,$E185&lt;DB$5+GanttPeriod),"◇","")),IF(AND(DB$5&lt;=$F185,DB$5+GanttPeriod-1&gt;=$E185),"━","")))</f>
        <v/>
      </c>
      <c r="DC185" s="69" t="str">
        <f aca="false">IF($E185="","",IF($M185,IF(AND($G185&gt;=DC$5,$G185&lt;DC$5+GanttPeriod),"◆",IF(AND($E185&gt;=DC$5,$E185&lt;DC$5+GanttPeriod),"◇","")),IF(AND(DC$5&lt;=$F185,DC$5+GanttPeriod-1&gt;=$E185),"━","")))</f>
        <v/>
      </c>
      <c r="DD185" s="69" t="str">
        <f aca="false">IF($E185="","",IF($M185,IF(AND($G185&gt;=DD$5,$G185&lt;DD$5+GanttPeriod),"◆",IF(AND($E185&gt;=DD$5,$E185&lt;DD$5+GanttPeriod),"◇","")),IF(AND(DD$5&lt;=$F185,DD$5+GanttPeriod-1&gt;=$E185),"━","")))</f>
        <v/>
      </c>
      <c r="DE185" s="69" t="str">
        <f aca="false">IF($E185="","",IF($M185,IF(AND($G185&gt;=DE$5,$G185&lt;DE$5+GanttPeriod),"◆",IF(AND($E185&gt;=DE$5,$E185&lt;DE$5+GanttPeriod),"◇","")),IF(AND(DE$5&lt;=$F185,DE$5+GanttPeriod-1&gt;=$E185),"━","")))</f>
        <v/>
      </c>
      <c r="DF185" s="69" t="str">
        <f aca="false">IF($E185="","",IF($M185,IF(AND($G185&gt;=DF$5,$G185&lt;DF$5+GanttPeriod),"◆",IF(AND($E185&gt;=DF$5,$E185&lt;DF$5+GanttPeriod),"◇","")),IF(AND(DF$5&lt;=$F185,DF$5+GanttPeriod-1&gt;=$E185),"━","")))</f>
        <v/>
      </c>
      <c r="DG185" s="69" t="str">
        <f aca="false">IF($E185="","",IF($M185,IF(AND($G185&gt;=DG$5,$G185&lt;DG$5+GanttPeriod),"◆",IF(AND($E185&gt;=DG$5,$E185&lt;DG$5+GanttPeriod),"◇","")),IF(AND(DG$5&lt;=$F185,DG$5+GanttPeriod-1&gt;=$E185),"━","")))</f>
        <v/>
      </c>
      <c r="DH185" s="69" t="str">
        <f aca="false">IF($E185="","",IF($M185,IF(AND($G185&gt;=DH$5,$G185&lt;DH$5+GanttPeriod),"◆",IF(AND($E185&gt;=DH$5,$E185&lt;DH$5+GanttPeriod),"◇","")),IF(AND(DH$5&lt;=$F185,DH$5+GanttPeriod-1&gt;=$E185),"━","")))</f>
        <v/>
      </c>
      <c r="DI185" s="69" t="str">
        <f aca="false">IF($E185="","",IF($M185,IF(AND($G185&gt;=DI$5,$G185&lt;DI$5+GanttPeriod),"◆",IF(AND($E185&gt;=DI$5,$E185&lt;DI$5+GanttPeriod),"◇","")),IF(AND(DI$5&lt;=$F185,DI$5+GanttPeriod-1&gt;=$E185),"━","")))</f>
        <v/>
      </c>
      <c r="DJ185" s="69" t="str">
        <f aca="false">IF($E185="","",IF($M185,IF(AND($G185&gt;=DJ$5,$G185&lt;DJ$5+GanttPeriod),"◆",IF(AND($E185&gt;=DJ$5,$E185&lt;DJ$5+GanttPeriod),"◇","")),IF(AND(DJ$5&lt;=$F185,DJ$5+GanttPeriod-1&gt;=$E185),"━","")))</f>
        <v/>
      </c>
      <c r="DK185" s="69" t="str">
        <f aca="false">IF($E185="","",IF($M185,IF(AND($G185&gt;=DK$5,$G185&lt;DK$5+GanttPeriod),"◆",IF(AND($E185&gt;=DK$5,$E185&lt;DK$5+GanttPeriod),"◇","")),IF(AND(DK$5&lt;=$F185,DK$5+GanttPeriod-1&gt;=$E185),"━","")))</f>
        <v/>
      </c>
      <c r="DL185" s="69" t="str">
        <f aca="false">IF($E185="","",IF($M185,IF(AND($G185&gt;=DL$5,$G185&lt;DL$5+GanttPeriod),"◆",IF(AND($E185&gt;=DL$5,$E185&lt;DL$5+GanttPeriod),"◇","")),IF(AND(DL$5&lt;=$F185,DL$5+GanttPeriod-1&gt;=$E185),"━","")))</f>
        <v/>
      </c>
      <c r="DM185" s="69" t="str">
        <f aca="false">IF($E185="","",IF($M185,IF(AND($G185&gt;=DM$5,$G185&lt;DM$5+GanttPeriod),"◆",IF(AND($E185&gt;=DM$5,$E185&lt;DM$5+GanttPeriod),"◇","")),IF(AND(DM$5&lt;=$F185,DM$5+GanttPeriod-1&gt;=$E185),"━","")))</f>
        <v/>
      </c>
      <c r="DN185" s="69" t="str">
        <f aca="false">IF($E185="","",IF($M185,IF(AND($G185&gt;=DN$5,$G185&lt;DN$5+GanttPeriod),"◆",IF(AND($E185&gt;=DN$5,$E185&lt;DN$5+GanttPeriod),"◇","")),IF(AND(DN$5&lt;=$F185,DN$5+GanttPeriod-1&gt;=$E185),"━","")))</f>
        <v/>
      </c>
      <c r="DO185" s="69" t="str">
        <f aca="false">IF($E185="","",IF($M185,IF(AND($G185&gt;=DO$5,$G185&lt;DO$5+GanttPeriod),"◆",IF(AND($E185&gt;=DO$5,$E185&lt;DO$5+GanttPeriod),"◇","")),IF(AND(DO$5&lt;=$F185,DO$5+GanttPeriod-1&gt;=$E185),"━","")))</f>
        <v/>
      </c>
      <c r="DP185" s="69" t="str">
        <f aca="false">IF($E185="","",IF($M185,IF(AND($G185&gt;=DP$5,$G185&lt;DP$5+GanttPeriod),"◆",IF(AND($E185&gt;=DP$5,$E185&lt;DP$5+GanttPeriod),"◇","")),IF(AND(DP$5&lt;=$F185,DP$5+GanttPeriod-1&gt;=$E185),"━","")))</f>
        <v/>
      </c>
      <c r="DQ185" s="69" t="str">
        <f aca="false">IF($E185="","",IF($M185,IF(AND($G185&gt;=DQ$5,$G185&lt;DQ$5+GanttPeriod),"◆",IF(AND($E185&gt;=DQ$5,$E185&lt;DQ$5+GanttPeriod),"◇","")),IF(AND(DQ$5&lt;=$F185,DQ$5+GanttPeriod-1&gt;=$E185),"━","")))</f>
        <v/>
      </c>
      <c r="DR185" s="69" t="str">
        <f aca="false">IF($E185="","",IF($M185,IF(AND($G185&gt;=DR$5,$G185&lt;DR$5+GanttPeriod),"◆",IF(AND($E185&gt;=DR$5,$E185&lt;DR$5+GanttPeriod),"◇","")),IF(AND(DR$5&lt;=$F185,DR$5+GanttPeriod-1&gt;=$E185),"━","")))</f>
        <v/>
      </c>
      <c r="DS185" s="69" t="str">
        <f aca="false">IF($E185="","",IF($M185,IF(AND($G185&gt;=DS$5,$G185&lt;DS$5+GanttPeriod),"◆",IF(AND($E185&gt;=DS$5,$E185&lt;DS$5+GanttPeriod),"◇","")),IF(AND(DS$5&lt;=$F185,DS$5+GanttPeriod-1&gt;=$E185),"━","")))</f>
        <v/>
      </c>
      <c r="DT185" s="69" t="str">
        <f aca="false">IF($E185="","",IF($M185,IF(AND($G185&gt;=DT$5,$G185&lt;DT$5+GanttPeriod),"◆",IF(AND($E185&gt;=DT$5,$E185&lt;DT$5+GanttPeriod),"◇","")),IF(AND(DT$5&lt;=$F185,DT$5+GanttPeriod-1&gt;=$E185),"━","")))</f>
        <v/>
      </c>
      <c r="DU185" s="69" t="str">
        <f aca="false">IF($E185="","",IF($M185,IF(AND($G185&gt;=DU$5,$G185&lt;DU$5+GanttPeriod),"◆",IF(AND($E185&gt;=DU$5,$E185&lt;DU$5+GanttPeriod),"◇","")),IF(AND(DU$5&lt;=$F185,DU$5+GanttPeriod-1&gt;=$E185),"━","")))</f>
        <v/>
      </c>
      <c r="DV185" s="69" t="str">
        <f aca="false">IF($E185="","",IF($M185,IF(AND($G185&gt;=DV$5,$G185&lt;DV$5+GanttPeriod),"◆",IF(AND($E185&gt;=DV$5,$E185&lt;DV$5+GanttPeriod),"◇","")),IF(AND(DV$5&lt;=$F185,DV$5+GanttPeriod-1&gt;=$E185),"━","")))</f>
        <v/>
      </c>
      <c r="DW185" s="69" t="str">
        <f aca="false">IF($E185="","",IF($M185,IF(AND($G185&gt;=DW$5,$G185&lt;DW$5+GanttPeriod),"◆",IF(AND($E185&gt;=DW$5,$E185&lt;DW$5+GanttPeriod),"◇","")),IF(AND(DW$5&lt;=$F185,DW$5+GanttPeriod-1&gt;=$E185),"━","")))</f>
        <v/>
      </c>
      <c r="DX185" s="69" t="str">
        <f aca="false">IF($E185="","",IF($M185,IF(AND($G185&gt;=DX$5,$G185&lt;DX$5+GanttPeriod),"◆",IF(AND($E185&gt;=DX$5,$E185&lt;DX$5+GanttPeriod),"◇","")),IF(AND(DX$5&lt;=$F185,DX$5+GanttPeriod-1&gt;=$E185),"━","")))</f>
        <v/>
      </c>
      <c r="DY185" s="69" t="str">
        <f aca="false">IF($E185="","",IF($M185,IF(AND($G185&gt;=DY$5,$G185&lt;DY$5+GanttPeriod),"◆",IF(AND($E185&gt;=DY$5,$E185&lt;DY$5+GanttPeriod),"◇","")),IF(AND(DY$5&lt;=$F185,DY$5+GanttPeriod-1&gt;=$E185),"━","")))</f>
        <v/>
      </c>
      <c r="DZ185" s="69" t="str">
        <f aca="false">IF($E185="","",IF($M185,IF(AND($G185&gt;=DZ$5,$G185&lt;DZ$5+GanttPeriod),"◆",IF(AND($E185&gt;=DZ$5,$E185&lt;DZ$5+GanttPeriod),"◇","")),IF(AND(DZ$5&lt;=$F185,DZ$5+GanttPeriod-1&gt;=$E185),"━","")))</f>
        <v/>
      </c>
      <c r="EA185" s="69" t="str">
        <f aca="false">IF($E185="","",IF($M185,IF(AND($G185&gt;=EA$5,$G185&lt;EA$5+GanttPeriod),"◆",IF(AND($E185&gt;=EA$5,$E185&lt;EA$5+GanttPeriod),"◇","")),IF(AND(EA$5&lt;=$F185,EA$5+GanttPeriod-1&gt;=$E185),"━","")))</f>
        <v/>
      </c>
      <c r="EB185" s="69" t="str">
        <f aca="false">IF($E185="","",IF($M185,IF(AND($G185&gt;=EB$5,$G185&lt;EB$5+GanttPeriod),"◆",IF(AND($E185&gt;=EB$5,$E185&lt;EB$5+GanttPeriod),"◇","")),IF(AND(EB$5&lt;=$F185,EB$5+GanttPeriod-1&gt;=$E185),"━","")))</f>
        <v/>
      </c>
      <c r="EC185" s="69" t="str">
        <f aca="false">IF($E185="","",IF($M185,IF(AND($G185&gt;=EC$5,$G185&lt;EC$5+GanttPeriod),"◆",IF(AND($E185&gt;=EC$5,$E185&lt;EC$5+GanttPeriod),"◇","")),IF(AND(EC$5&lt;=$F185,EC$5+GanttPeriod-1&gt;=$E185),"━","")))</f>
        <v/>
      </c>
      <c r="ED185" s="69" t="str">
        <f aca="false">IF($E185="","",IF($M185,IF(AND($G185&gt;=ED$5,$G185&lt;ED$5+GanttPeriod),"◆",IF(AND($E185&gt;=ED$5,$E185&lt;ED$5+GanttPeriod),"◇","")),IF(AND(ED$5&lt;=$F185,ED$5+GanttPeriod-1&gt;=$E185),"━","")))</f>
        <v/>
      </c>
      <c r="EE185" s="69" t="str">
        <f aca="false">IF($E185="","",IF($M185,IF(AND($G185&gt;=EE$5,$G185&lt;EE$5+GanttPeriod),"◆",IF(AND($E185&gt;=EE$5,$E185&lt;EE$5+GanttPeriod),"◇","")),IF(AND(EE$5&lt;=$F185,EE$5+GanttPeriod-1&gt;=$E185),"━","")))</f>
        <v/>
      </c>
      <c r="EF185" s="69" t="str">
        <f aca="false">IF($E185="","",IF($M185,IF(AND($G185&gt;=EF$5,$G185&lt;EF$5+GanttPeriod),"◆",IF(AND($E185&gt;=EF$5,$E185&lt;EF$5+GanttPeriod),"◇","")),IF(AND(EF$5&lt;=$F185,EF$5+GanttPeriod-1&gt;=$E185),"━","")))</f>
        <v/>
      </c>
      <c r="EG185" s="69" t="str">
        <f aca="false">IF($E185="","",IF($M185,IF(AND($G185&gt;=EG$5,$G185&lt;EG$5+GanttPeriod),"◆",IF(AND($E185&gt;=EG$5,$E185&lt;EG$5+GanttPeriod),"◇","")),IF(AND(EG$5&lt;=$F185,EG$5+GanttPeriod-1&gt;=$E185),"━","")))</f>
        <v/>
      </c>
      <c r="EH185" s="69" t="str">
        <f aca="false">IF($E185="","",IF($M185,IF(AND($G185&gt;=EH$5,$G185&lt;EH$5+GanttPeriod),"◆",IF(AND($E185&gt;=EH$5,$E185&lt;EH$5+GanttPeriod),"◇","")),IF(AND(EH$5&lt;=$F185,EH$5+GanttPeriod-1&gt;=$E185),"━","")))</f>
        <v/>
      </c>
      <c r="EI185" s="69" t="str">
        <f aca="false">IF($E185="","",IF($M185,IF(AND($G185&gt;=EI$5,$G185&lt;EI$5+GanttPeriod),"◆",IF(AND($E185&gt;=EI$5,$E185&lt;EI$5+GanttPeriod),"◇","")),IF(AND(EI$5&lt;=$F185,EI$5+GanttPeriod-1&gt;=$E185),"━","")))</f>
        <v/>
      </c>
      <c r="EJ185" s="69" t="str">
        <f aca="false">IF($E185="","",IF($M185,IF(AND($G185&gt;=EJ$5,$G185&lt;EJ$5+GanttPeriod),"◆",IF(AND($E185&gt;=EJ$5,$E185&lt;EJ$5+GanttPeriod),"◇","")),IF(AND(EJ$5&lt;=$F185,EJ$5+GanttPeriod-1&gt;=$E185),"━","")))</f>
        <v/>
      </c>
      <c r="EK185" s="69" t="str">
        <f aca="false">IF($E185="","",IF($M185,IF(AND($G185&gt;=EK$5,$G185&lt;EK$5+GanttPeriod),"◆",IF(AND($E185&gt;=EK$5,$E185&lt;EK$5+GanttPeriod),"◇","")),IF(AND(EK$5&lt;=$F185,EK$5+GanttPeriod-1&gt;=$E185),"━","")))</f>
        <v/>
      </c>
      <c r="EL185" s="69" t="str">
        <f aca="false">IF($E185="","",IF($M185,IF(AND($G185&gt;=EL$5,$G185&lt;EL$5+GanttPeriod),"◆",IF(AND($E185&gt;=EL$5,$E185&lt;EL$5+GanttPeriod),"◇","")),IF(AND(EL$5&lt;=$F185,EL$5+GanttPeriod-1&gt;=$E185),"━","")))</f>
        <v/>
      </c>
      <c r="EM185" s="69" t="str">
        <f aca="false">IF($E185="","",IF($M185,IF(AND($G185&gt;=EM$5,$G185&lt;EM$5+GanttPeriod),"◆",IF(AND($E185&gt;=EM$5,$E185&lt;EM$5+GanttPeriod),"◇","")),IF(AND(EM$5&lt;=$F185,EM$5+GanttPeriod-1&gt;=$E185),"━","")))</f>
        <v/>
      </c>
      <c r="EN185" s="69" t="str">
        <f aca="false">IF($E185="","",IF($M185,IF(AND($G185&gt;=EN$5,$G185&lt;EN$5+GanttPeriod),"◆",IF(AND($E185&gt;=EN$5,$E185&lt;EN$5+GanttPeriod),"◇","")),IF(AND(EN$5&lt;=$F185,EN$5+GanttPeriod-1&gt;=$E185),"━","")))</f>
        <v/>
      </c>
      <c r="EO185" s="69" t="str">
        <f aca="false">IF($E185="","",IF($M185,IF(AND($G185&gt;=EO$5,$G185&lt;EO$5+GanttPeriod),"◆",IF(AND($E185&gt;=EO$5,$E185&lt;EO$5+GanttPeriod),"◇","")),IF(AND(EO$5&lt;=$F185,EO$5+GanttPeriod-1&gt;=$E185),"━","")))</f>
        <v/>
      </c>
      <c r="EP185" s="69" t="str">
        <f aca="false">IF($E185="","",IF($M185,IF(AND($G185&gt;=EP$5,$G185&lt;EP$5+GanttPeriod),"◆",IF(AND($E185&gt;=EP$5,$E185&lt;EP$5+GanttPeriod),"◇","")),IF(AND(EP$5&lt;=$F185,EP$5+GanttPeriod-1&gt;=$E185),"━","")))</f>
        <v/>
      </c>
      <c r="EQ185" s="69" t="str">
        <f aca="false">IF($E185="","",IF($M185,IF(AND($G185&gt;=EQ$5,$G185&lt;EQ$5+GanttPeriod),"◆",IF(AND($E185&gt;=EQ$5,$E185&lt;EQ$5+GanttPeriod),"◇","")),IF(AND(EQ$5&lt;=$F185,EQ$5+GanttPeriod-1&gt;=$E185),"━","")))</f>
        <v/>
      </c>
      <c r="ER185" s="69" t="str">
        <f aca="false">IF($E185="","",IF($M185,IF(AND($G185&gt;=ER$5,$G185&lt;ER$5+GanttPeriod),"◆",IF(AND($E185&gt;=ER$5,$E185&lt;ER$5+GanttPeriod),"◇","")),IF(AND(ER$5&lt;=$F185,ER$5+GanttPeriod-1&gt;=$E185),"━","")))</f>
        <v/>
      </c>
      <c r="ES185" s="69" t="str">
        <f aca="false">IF($E185="","",IF($M185,IF(AND($G185&gt;=ES$5,$G185&lt;ES$5+GanttPeriod),"◆",IF(AND($E185&gt;=ES$5,$E185&lt;ES$5+GanttPeriod),"◇","")),IF(AND(ES$5&lt;=$F185,ES$5+GanttPeriod-1&gt;=$E185),"━","")))</f>
        <v/>
      </c>
      <c r="ET185" s="69" t="str">
        <f aca="false">IF($E185="","",IF($M185,IF(AND($G185&gt;=ET$5,$G185&lt;ET$5+GanttPeriod),"◆",IF(AND($E185&gt;=ET$5,$E185&lt;ET$5+GanttPeriod),"◇","")),IF(AND(ET$5&lt;=$F185,ET$5+GanttPeriod-1&gt;=$E185),"━","")))</f>
        <v/>
      </c>
      <c r="EU185" s="69" t="str">
        <f aca="false">IF($E185="","",IF($M185,IF(AND($G185&gt;=EU$5,$G185&lt;EU$5+GanttPeriod),"◆",IF(AND($E185&gt;=EU$5,$E185&lt;EU$5+GanttPeriod),"◇","")),IF(AND(EU$5&lt;=$F185,EU$5+GanttPeriod-1&gt;=$E185),"━","")))</f>
        <v/>
      </c>
      <c r="EV185" s="69" t="str">
        <f aca="false">IF($E185="","",IF($M185,IF(AND($G185&gt;=EV$5,$G185&lt;EV$5+GanttPeriod),"◆",IF(AND($E185&gt;=EV$5,$E185&lt;EV$5+GanttPeriod),"◇","")),IF(AND(EV$5&lt;=$F185,EV$5+GanttPeriod-1&gt;=$E185),"━","")))</f>
        <v/>
      </c>
      <c r="EW185" s="69" t="str">
        <f aca="false">IF($E185="","",IF($M185,IF(AND($G185&gt;=EW$5,$G185&lt;EW$5+GanttPeriod),"◆",IF(AND($E185&gt;=EW$5,$E185&lt;EW$5+GanttPeriod),"◇","")),IF(AND(EW$5&lt;=$F185,EW$5+GanttPeriod-1&gt;=$E185),"━","")))</f>
        <v/>
      </c>
      <c r="EX185" s="69" t="str">
        <f aca="false">IF($E185="","",IF($M185,IF(AND($G185&gt;=EX$5,$G185&lt;EX$5+GanttPeriod),"◆",IF(AND($E185&gt;=EX$5,$E185&lt;EX$5+GanttPeriod),"◇","")),IF(AND(EX$5&lt;=$F185,EX$5+GanttPeriod-1&gt;=$E185),"━","")))</f>
        <v/>
      </c>
      <c r="EY185" s="69" t="str">
        <f aca="false">IF($E185="","",IF($M185,IF(AND($G185&gt;=EY$5,$G185&lt;EY$5+GanttPeriod),"◆",IF(AND($E185&gt;=EY$5,$E185&lt;EY$5+GanttPeriod),"◇","")),IF(AND(EY$5&lt;=$F185,EY$5+GanttPeriod-1&gt;=$E185),"━","")))</f>
        <v/>
      </c>
      <c r="EZ185" s="69" t="str">
        <f aca="false">IF($E185="","",IF($M185,IF(AND($G185&gt;=EZ$5,$G185&lt;EZ$5+GanttPeriod),"◆",IF(AND($E185&gt;=EZ$5,$E185&lt;EZ$5+GanttPeriod),"◇","")),IF(AND(EZ$5&lt;=$F185,EZ$5+GanttPeriod-1&gt;=$E185),"━","")))</f>
        <v/>
      </c>
      <c r="FA185" s="69" t="str">
        <f aca="false">IF($E185="","",IF($M185,IF(AND($G185&gt;=FA$5,$G185&lt;FA$5+GanttPeriod),"◆",IF(AND($E185&gt;=FA$5,$E185&lt;FA$5+GanttPeriod),"◇","")),IF(AND(FA$5&lt;=$F185,FA$5+GanttPeriod-1&gt;=$E185),"━","")))</f>
        <v/>
      </c>
      <c r="FB185" s="69" t="str">
        <f aca="false">IF($E185="","",IF($M185,IF(AND($G185&gt;=FB$5,$G185&lt;FB$5+GanttPeriod),"◆",IF(AND($E185&gt;=FB$5,$E185&lt;FB$5+GanttPeriod),"◇","")),IF(AND(FB$5&lt;=$F185,FB$5+GanttPeriod-1&gt;=$E185),"━","")))</f>
        <v/>
      </c>
      <c r="FC185" s="69" t="str">
        <f aca="false">IF($E185="","",IF($M185,IF(AND($G185&gt;=FC$5,$G185&lt;FC$5+GanttPeriod),"◆",IF(AND($E185&gt;=FC$5,$E185&lt;FC$5+GanttPeriod),"◇","")),IF(AND(FC$5&lt;=$F185,FC$5+GanttPeriod-1&gt;=$E185),"━","")))</f>
        <v/>
      </c>
      <c r="FD185" s="69" t="str">
        <f aca="false">IF($E185="","",IF($M185,IF(AND($G185&gt;=FD$5,$G185&lt;FD$5+GanttPeriod),"◆",IF(AND($E185&gt;=FD$5,$E185&lt;FD$5+GanttPeriod),"◇","")),IF(AND(FD$5&lt;=$F185,FD$5+GanttPeriod-1&gt;=$E185),"━","")))</f>
        <v/>
      </c>
      <c r="FE185" s="69" t="str">
        <f aca="false">IF($E185="","",IF($M185,IF(AND($G185&gt;=FE$5,$G185&lt;FE$5+GanttPeriod),"◆",IF(AND($E185&gt;=FE$5,$E185&lt;FE$5+GanttPeriod),"◇","")),IF(AND(FE$5&lt;=$F185,FE$5+GanttPeriod-1&gt;=$E185),"━","")))</f>
        <v/>
      </c>
      <c r="FF185" s="69" t="str">
        <f aca="false">IF($E185="","",IF($M185,IF(AND($G185&gt;=FF$5,$G185&lt;FF$5+GanttPeriod),"◆",IF(AND($E185&gt;=FF$5,$E185&lt;FF$5+GanttPeriod),"◇","")),IF(AND(FF$5&lt;=$F185,FF$5+GanttPeriod-1&gt;=$E185),"━","")))</f>
        <v/>
      </c>
      <c r="FG185" s="69" t="str">
        <f aca="false">IF($E185="","",IF($M185,IF(AND($G185&gt;=FG$5,$G185&lt;FG$5+GanttPeriod),"◆",IF(AND($E185&gt;=FG$5,$E185&lt;FG$5+GanttPeriod),"◇","")),IF(AND(FG$5&lt;=$F185,FG$5+GanttPeriod-1&gt;=$E185),"━","")))</f>
        <v/>
      </c>
      <c r="FH185" s="69" t="str">
        <f aca="false">IF($E185="","",IF($M185,IF(AND($G185&gt;=FH$5,$G185&lt;FH$5+GanttPeriod),"◆",IF(AND($E185&gt;=FH$5,$E185&lt;FH$5+GanttPeriod),"◇","")),IF(AND(FH$5&lt;=$F185,FH$5+GanttPeriod-1&gt;=$E185),"━","")))</f>
        <v/>
      </c>
      <c r="FI185" s="69" t="str">
        <f aca="false">IF($E185="","",IF($M185,IF(AND($G185&gt;=FI$5,$G185&lt;FI$5+GanttPeriod),"◆",IF(AND($E185&gt;=FI$5,$E185&lt;FI$5+GanttPeriod),"◇","")),IF(AND(FI$5&lt;=$F185,FI$5+GanttPeriod-1&gt;=$E185),"━","")))</f>
        <v/>
      </c>
      <c r="FJ185" s="69" t="str">
        <f aca="false">IF($E185="","",IF($M185,IF(AND($G185&gt;=FJ$5,$G185&lt;FJ$5+GanttPeriod),"◆",IF(AND($E185&gt;=FJ$5,$E185&lt;FJ$5+GanttPeriod),"◇","")),IF(AND(FJ$5&lt;=$F185,FJ$5+GanttPeriod-1&gt;=$E185),"━","")))</f>
        <v/>
      </c>
      <c r="FK185" s="69" t="str">
        <f aca="false">IF($E185="","",IF($M185,IF(AND($G185&gt;=FK$5,$G185&lt;FK$5+GanttPeriod),"◆",IF(AND($E185&gt;=FK$5,$E185&lt;FK$5+GanttPeriod),"◇","")),IF(AND(FK$5&lt;=$F185,FK$5+GanttPeriod-1&gt;=$E185),"━","")))</f>
        <v/>
      </c>
      <c r="FL185" s="69" t="str">
        <f aca="false">IF($E185="","",IF($M185,IF(AND($G185&gt;=FL$5,$G185&lt;FL$5+GanttPeriod),"◆",IF(AND($E185&gt;=FL$5,$E185&lt;FL$5+GanttPeriod),"◇","")),IF(AND(FL$5&lt;=$F185,FL$5+GanttPeriod-1&gt;=$E185),"━","")))</f>
        <v/>
      </c>
      <c r="FM185" s="69" t="str">
        <f aca="false">IF($E185="","",IF($M185,IF(AND($G185&gt;=FM$5,$G185&lt;FM$5+GanttPeriod),"◆",IF(AND($E185&gt;=FM$5,$E185&lt;FM$5+GanttPeriod),"◇","")),IF(AND(FM$5&lt;=$F185,FM$5+GanttPeriod-1&gt;=$E185),"━","")))</f>
        <v/>
      </c>
    </row>
    <row r="186" customFormat="false" ht="15" hidden="false" customHeight="false" outlineLevel="0" collapsed="false">
      <c r="A186" s="62" t="str">
        <f aca="false">IF(Tasks!$D186="","",Tasks!$A186)</f>
        <v/>
      </c>
      <c r="B186" s="62" t="str">
        <f aca="false">IF(Tasks!$D186="","",Tasks!$B186)</f>
        <v/>
      </c>
      <c r="C186" s="63" t="str">
        <f aca="false">IF(Tasks!$D186="","",REPT("    ",Tasks!$AE186-1)&amp;Tasks!$D186)</f>
        <v/>
      </c>
      <c r="D186" s="62" t="str">
        <f aca="false">IF(Tasks!$D186="","",IF(Tasks!$AI186,NETWORKDAYS.INTL(Tasks!$R186,Tasks!$S186,WorkWeek,Holidays),N(Tasks!$F186)))</f>
        <v/>
      </c>
      <c r="E186" s="64" t="str">
        <f aca="false">IF(Tasks!$D186="","",Tasks!$N186)</f>
        <v/>
      </c>
      <c r="F186" s="64" t="str">
        <f aca="false">IF(Tasks!$D186="","",Tasks!$O186)</f>
        <v/>
      </c>
      <c r="G186" s="64" t="str">
        <f aca="false">IF(Tasks!$D186="","",Tasks!$R186)</f>
        <v/>
      </c>
      <c r="H186" s="64" t="str">
        <f aca="false">IF(Tasks!$D186="","",Tasks!$S186)</f>
        <v/>
      </c>
      <c r="I186" s="65" t="str">
        <f aca="false">IF(Tasks!$D186="","",Tasks!$V186)</f>
        <v/>
      </c>
      <c r="J186" s="63" t="str">
        <f aca="false">IF(Tasks!$D186="","",Tasks!$X186&amp;"")</f>
        <v/>
      </c>
      <c r="K186" s="66" t="str">
        <f aca="false">IF(Tasks!$D186="","",Tasks!$W186)</f>
        <v/>
      </c>
      <c r="L186" s="67" t="b">
        <f aca="false">IF(Tasks!$D186="",FALSE(),Tasks!$AI186)</f>
        <v>0</v>
      </c>
      <c r="M186" s="67" t="b">
        <f aca="false">AND(Tasks!$AJ186=1,N(Tasks!$F186)=0)</f>
        <v>0</v>
      </c>
      <c r="N186" s="68" t="n">
        <f aca="false">IF(AND(Tasks!$AJ186=1,NOT($M186),N($I186)&gt;0),$G186,0)</f>
        <v>0</v>
      </c>
      <c r="O186" s="68" t="n">
        <f aca="false">IF($N186=0,0,IF($I186&gt;=1,$H186,MAX($N186,$G186+ROUND(($H186-$G186+1)*$I186,0)-1)))</f>
        <v>0</v>
      </c>
      <c r="P186" s="68" t="n">
        <f aca="false">IF(OR(Tasks!$AJ186&lt;&gt;1,$M186,N($I186)&gt;=1),0,IF($O186&gt;0,$O186+1,$G186))</f>
        <v>0</v>
      </c>
      <c r="Q186" s="68" t="n">
        <f aca="false">IF($P186=0,0,$H186)</f>
        <v>0</v>
      </c>
      <c r="R186" s="67" t="b">
        <f aca="false">AND(Tasks!$D186&lt;&gt;"",N(Tasks!$T186)&gt;0)</f>
        <v>0</v>
      </c>
      <c r="T186" s="69" t="str">
        <f aca="false">IF($E186="","",IF($M186,IF(AND($G186&gt;=T$5,$G186&lt;T$5+GanttPeriod),"◆",IF(AND($E186&gt;=T$5,$E186&lt;T$5+GanttPeriod),"◇","")),IF(AND(T$5&lt;=$F186,T$5+GanttPeriod-1&gt;=$E186),"━","")))</f>
        <v/>
      </c>
      <c r="U186" s="69" t="str">
        <f aca="false">IF($E186="","",IF($M186,IF(AND($G186&gt;=U$5,$G186&lt;U$5+GanttPeriod),"◆",IF(AND($E186&gt;=U$5,$E186&lt;U$5+GanttPeriod),"◇","")),IF(AND(U$5&lt;=$F186,U$5+GanttPeriod-1&gt;=$E186),"━","")))</f>
        <v/>
      </c>
      <c r="V186" s="69" t="str">
        <f aca="false">IF($E186="","",IF($M186,IF(AND($G186&gt;=V$5,$G186&lt;V$5+GanttPeriod),"◆",IF(AND($E186&gt;=V$5,$E186&lt;V$5+GanttPeriod),"◇","")),IF(AND(V$5&lt;=$F186,V$5+GanttPeriod-1&gt;=$E186),"━","")))</f>
        <v/>
      </c>
      <c r="W186" s="69" t="str">
        <f aca="false">IF($E186="","",IF($M186,IF(AND($G186&gt;=W$5,$G186&lt;W$5+GanttPeriod),"◆",IF(AND($E186&gt;=W$5,$E186&lt;W$5+GanttPeriod),"◇","")),IF(AND(W$5&lt;=$F186,W$5+GanttPeriod-1&gt;=$E186),"━","")))</f>
        <v/>
      </c>
      <c r="X186" s="69" t="str">
        <f aca="false">IF($E186="","",IF($M186,IF(AND($G186&gt;=X$5,$G186&lt;X$5+GanttPeriod),"◆",IF(AND($E186&gt;=X$5,$E186&lt;X$5+GanttPeriod),"◇","")),IF(AND(X$5&lt;=$F186,X$5+GanttPeriod-1&gt;=$E186),"━","")))</f>
        <v/>
      </c>
      <c r="Y186" s="69" t="str">
        <f aca="false">IF($E186="","",IF($M186,IF(AND($G186&gt;=Y$5,$G186&lt;Y$5+GanttPeriod),"◆",IF(AND($E186&gt;=Y$5,$E186&lt;Y$5+GanttPeriod),"◇","")),IF(AND(Y$5&lt;=$F186,Y$5+GanttPeriod-1&gt;=$E186),"━","")))</f>
        <v/>
      </c>
      <c r="Z186" s="69" t="str">
        <f aca="false">IF($E186="","",IF($M186,IF(AND($G186&gt;=Z$5,$G186&lt;Z$5+GanttPeriod),"◆",IF(AND($E186&gt;=Z$5,$E186&lt;Z$5+GanttPeriod),"◇","")),IF(AND(Z$5&lt;=$F186,Z$5+GanttPeriod-1&gt;=$E186),"━","")))</f>
        <v/>
      </c>
      <c r="AA186" s="69" t="str">
        <f aca="false">IF($E186="","",IF($M186,IF(AND($G186&gt;=AA$5,$G186&lt;AA$5+GanttPeriod),"◆",IF(AND($E186&gt;=AA$5,$E186&lt;AA$5+GanttPeriod),"◇","")),IF(AND(AA$5&lt;=$F186,AA$5+GanttPeriod-1&gt;=$E186),"━","")))</f>
        <v/>
      </c>
      <c r="AB186" s="69" t="str">
        <f aca="false">IF($E186="","",IF($M186,IF(AND($G186&gt;=AB$5,$G186&lt;AB$5+GanttPeriod),"◆",IF(AND($E186&gt;=AB$5,$E186&lt;AB$5+GanttPeriod),"◇","")),IF(AND(AB$5&lt;=$F186,AB$5+GanttPeriod-1&gt;=$E186),"━","")))</f>
        <v/>
      </c>
      <c r="AC186" s="69" t="str">
        <f aca="false">IF($E186="","",IF($M186,IF(AND($G186&gt;=AC$5,$G186&lt;AC$5+GanttPeriod),"◆",IF(AND($E186&gt;=AC$5,$E186&lt;AC$5+GanttPeriod),"◇","")),IF(AND(AC$5&lt;=$F186,AC$5+GanttPeriod-1&gt;=$E186),"━","")))</f>
        <v/>
      </c>
      <c r="AD186" s="69" t="str">
        <f aca="false">IF($E186="","",IF($M186,IF(AND($G186&gt;=AD$5,$G186&lt;AD$5+GanttPeriod),"◆",IF(AND($E186&gt;=AD$5,$E186&lt;AD$5+GanttPeriod),"◇","")),IF(AND(AD$5&lt;=$F186,AD$5+GanttPeriod-1&gt;=$E186),"━","")))</f>
        <v/>
      </c>
      <c r="AE186" s="69" t="str">
        <f aca="false">IF($E186="","",IF($M186,IF(AND($G186&gt;=AE$5,$G186&lt;AE$5+GanttPeriod),"◆",IF(AND($E186&gt;=AE$5,$E186&lt;AE$5+GanttPeriod),"◇","")),IF(AND(AE$5&lt;=$F186,AE$5+GanttPeriod-1&gt;=$E186),"━","")))</f>
        <v/>
      </c>
      <c r="AF186" s="69" t="str">
        <f aca="false">IF($E186="","",IF($M186,IF(AND($G186&gt;=AF$5,$G186&lt;AF$5+GanttPeriod),"◆",IF(AND($E186&gt;=AF$5,$E186&lt;AF$5+GanttPeriod),"◇","")),IF(AND(AF$5&lt;=$F186,AF$5+GanttPeriod-1&gt;=$E186),"━","")))</f>
        <v/>
      </c>
      <c r="AG186" s="69" t="str">
        <f aca="false">IF($E186="","",IF($M186,IF(AND($G186&gt;=AG$5,$G186&lt;AG$5+GanttPeriod),"◆",IF(AND($E186&gt;=AG$5,$E186&lt;AG$5+GanttPeriod),"◇","")),IF(AND(AG$5&lt;=$F186,AG$5+GanttPeriod-1&gt;=$E186),"━","")))</f>
        <v/>
      </c>
      <c r="AH186" s="69" t="str">
        <f aca="false">IF($E186="","",IF($M186,IF(AND($G186&gt;=AH$5,$G186&lt;AH$5+GanttPeriod),"◆",IF(AND($E186&gt;=AH$5,$E186&lt;AH$5+GanttPeriod),"◇","")),IF(AND(AH$5&lt;=$F186,AH$5+GanttPeriod-1&gt;=$E186),"━","")))</f>
        <v/>
      </c>
      <c r="AI186" s="69" t="str">
        <f aca="false">IF($E186="","",IF($M186,IF(AND($G186&gt;=AI$5,$G186&lt;AI$5+GanttPeriod),"◆",IF(AND($E186&gt;=AI$5,$E186&lt;AI$5+GanttPeriod),"◇","")),IF(AND(AI$5&lt;=$F186,AI$5+GanttPeriod-1&gt;=$E186),"━","")))</f>
        <v/>
      </c>
      <c r="AJ186" s="69" t="str">
        <f aca="false">IF($E186="","",IF($M186,IF(AND($G186&gt;=AJ$5,$G186&lt;AJ$5+GanttPeriod),"◆",IF(AND($E186&gt;=AJ$5,$E186&lt;AJ$5+GanttPeriod),"◇","")),IF(AND(AJ$5&lt;=$F186,AJ$5+GanttPeriod-1&gt;=$E186),"━","")))</f>
        <v/>
      </c>
      <c r="AK186" s="69" t="str">
        <f aca="false">IF($E186="","",IF($M186,IF(AND($G186&gt;=AK$5,$G186&lt;AK$5+GanttPeriod),"◆",IF(AND($E186&gt;=AK$5,$E186&lt;AK$5+GanttPeriod),"◇","")),IF(AND(AK$5&lt;=$F186,AK$5+GanttPeriod-1&gt;=$E186),"━","")))</f>
        <v/>
      </c>
      <c r="AL186" s="69" t="str">
        <f aca="false">IF($E186="","",IF($M186,IF(AND($G186&gt;=AL$5,$G186&lt;AL$5+GanttPeriod),"◆",IF(AND($E186&gt;=AL$5,$E186&lt;AL$5+GanttPeriod),"◇","")),IF(AND(AL$5&lt;=$F186,AL$5+GanttPeriod-1&gt;=$E186),"━","")))</f>
        <v/>
      </c>
      <c r="AM186" s="69" t="str">
        <f aca="false">IF($E186="","",IF($M186,IF(AND($G186&gt;=AM$5,$G186&lt;AM$5+GanttPeriod),"◆",IF(AND($E186&gt;=AM$5,$E186&lt;AM$5+GanttPeriod),"◇","")),IF(AND(AM$5&lt;=$F186,AM$5+GanttPeriod-1&gt;=$E186),"━","")))</f>
        <v/>
      </c>
      <c r="AN186" s="69" t="str">
        <f aca="false">IF($E186="","",IF($M186,IF(AND($G186&gt;=AN$5,$G186&lt;AN$5+GanttPeriod),"◆",IF(AND($E186&gt;=AN$5,$E186&lt;AN$5+GanttPeriod),"◇","")),IF(AND(AN$5&lt;=$F186,AN$5+GanttPeriod-1&gt;=$E186),"━","")))</f>
        <v/>
      </c>
      <c r="AO186" s="69" t="str">
        <f aca="false">IF($E186="","",IF($M186,IF(AND($G186&gt;=AO$5,$G186&lt;AO$5+GanttPeriod),"◆",IF(AND($E186&gt;=AO$5,$E186&lt;AO$5+GanttPeriod),"◇","")),IF(AND(AO$5&lt;=$F186,AO$5+GanttPeriod-1&gt;=$E186),"━","")))</f>
        <v/>
      </c>
      <c r="AP186" s="69" t="str">
        <f aca="false">IF($E186="","",IF($M186,IF(AND($G186&gt;=AP$5,$G186&lt;AP$5+GanttPeriod),"◆",IF(AND($E186&gt;=AP$5,$E186&lt;AP$5+GanttPeriod),"◇","")),IF(AND(AP$5&lt;=$F186,AP$5+GanttPeriod-1&gt;=$E186),"━","")))</f>
        <v/>
      </c>
      <c r="AQ186" s="69" t="str">
        <f aca="false">IF($E186="","",IF($M186,IF(AND($G186&gt;=AQ$5,$G186&lt;AQ$5+GanttPeriod),"◆",IF(AND($E186&gt;=AQ$5,$E186&lt;AQ$5+GanttPeriod),"◇","")),IF(AND(AQ$5&lt;=$F186,AQ$5+GanttPeriod-1&gt;=$E186),"━","")))</f>
        <v/>
      </c>
      <c r="AR186" s="69" t="str">
        <f aca="false">IF($E186="","",IF($M186,IF(AND($G186&gt;=AR$5,$G186&lt;AR$5+GanttPeriod),"◆",IF(AND($E186&gt;=AR$5,$E186&lt;AR$5+GanttPeriod),"◇","")),IF(AND(AR$5&lt;=$F186,AR$5+GanttPeriod-1&gt;=$E186),"━","")))</f>
        <v/>
      </c>
      <c r="AS186" s="69" t="str">
        <f aca="false">IF($E186="","",IF($M186,IF(AND($G186&gt;=AS$5,$G186&lt;AS$5+GanttPeriod),"◆",IF(AND($E186&gt;=AS$5,$E186&lt;AS$5+GanttPeriod),"◇","")),IF(AND(AS$5&lt;=$F186,AS$5+GanttPeriod-1&gt;=$E186),"━","")))</f>
        <v/>
      </c>
      <c r="AT186" s="69" t="str">
        <f aca="false">IF($E186="","",IF($M186,IF(AND($G186&gt;=AT$5,$G186&lt;AT$5+GanttPeriod),"◆",IF(AND($E186&gt;=AT$5,$E186&lt;AT$5+GanttPeriod),"◇","")),IF(AND(AT$5&lt;=$F186,AT$5+GanttPeriod-1&gt;=$E186),"━","")))</f>
        <v/>
      </c>
      <c r="AU186" s="69" t="str">
        <f aca="false">IF($E186="","",IF($M186,IF(AND($G186&gt;=AU$5,$G186&lt;AU$5+GanttPeriod),"◆",IF(AND($E186&gt;=AU$5,$E186&lt;AU$5+GanttPeriod),"◇","")),IF(AND(AU$5&lt;=$F186,AU$5+GanttPeriod-1&gt;=$E186),"━","")))</f>
        <v/>
      </c>
      <c r="AV186" s="69" t="str">
        <f aca="false">IF($E186="","",IF($M186,IF(AND($G186&gt;=AV$5,$G186&lt;AV$5+GanttPeriod),"◆",IF(AND($E186&gt;=AV$5,$E186&lt;AV$5+GanttPeriod),"◇","")),IF(AND(AV$5&lt;=$F186,AV$5+GanttPeriod-1&gt;=$E186),"━","")))</f>
        <v/>
      </c>
      <c r="AW186" s="69" t="str">
        <f aca="false">IF($E186="","",IF($M186,IF(AND($G186&gt;=AW$5,$G186&lt;AW$5+GanttPeriod),"◆",IF(AND($E186&gt;=AW$5,$E186&lt;AW$5+GanttPeriod),"◇","")),IF(AND(AW$5&lt;=$F186,AW$5+GanttPeriod-1&gt;=$E186),"━","")))</f>
        <v/>
      </c>
      <c r="AX186" s="69" t="str">
        <f aca="false">IF($E186="","",IF($M186,IF(AND($G186&gt;=AX$5,$G186&lt;AX$5+GanttPeriod),"◆",IF(AND($E186&gt;=AX$5,$E186&lt;AX$5+GanttPeriod),"◇","")),IF(AND(AX$5&lt;=$F186,AX$5+GanttPeriod-1&gt;=$E186),"━","")))</f>
        <v/>
      </c>
      <c r="AY186" s="69" t="str">
        <f aca="false">IF($E186="","",IF($M186,IF(AND($G186&gt;=AY$5,$G186&lt;AY$5+GanttPeriod),"◆",IF(AND($E186&gt;=AY$5,$E186&lt;AY$5+GanttPeriod),"◇","")),IF(AND(AY$5&lt;=$F186,AY$5+GanttPeriod-1&gt;=$E186),"━","")))</f>
        <v/>
      </c>
      <c r="AZ186" s="69" t="str">
        <f aca="false">IF($E186="","",IF($M186,IF(AND($G186&gt;=AZ$5,$G186&lt;AZ$5+GanttPeriod),"◆",IF(AND($E186&gt;=AZ$5,$E186&lt;AZ$5+GanttPeriod),"◇","")),IF(AND(AZ$5&lt;=$F186,AZ$5+GanttPeriod-1&gt;=$E186),"━","")))</f>
        <v/>
      </c>
      <c r="BA186" s="69" t="str">
        <f aca="false">IF($E186="","",IF($M186,IF(AND($G186&gt;=BA$5,$G186&lt;BA$5+GanttPeriod),"◆",IF(AND($E186&gt;=BA$5,$E186&lt;BA$5+GanttPeriod),"◇","")),IF(AND(BA$5&lt;=$F186,BA$5+GanttPeriod-1&gt;=$E186),"━","")))</f>
        <v/>
      </c>
      <c r="BB186" s="69" t="str">
        <f aca="false">IF($E186="","",IF($M186,IF(AND($G186&gt;=BB$5,$G186&lt;BB$5+GanttPeriod),"◆",IF(AND($E186&gt;=BB$5,$E186&lt;BB$5+GanttPeriod),"◇","")),IF(AND(BB$5&lt;=$F186,BB$5+GanttPeriod-1&gt;=$E186),"━","")))</f>
        <v/>
      </c>
      <c r="BC186" s="69" t="str">
        <f aca="false">IF($E186="","",IF($M186,IF(AND($G186&gt;=BC$5,$G186&lt;BC$5+GanttPeriod),"◆",IF(AND($E186&gt;=BC$5,$E186&lt;BC$5+GanttPeriod),"◇","")),IF(AND(BC$5&lt;=$F186,BC$5+GanttPeriod-1&gt;=$E186),"━","")))</f>
        <v/>
      </c>
      <c r="BD186" s="69" t="str">
        <f aca="false">IF($E186="","",IF($M186,IF(AND($G186&gt;=BD$5,$G186&lt;BD$5+GanttPeriod),"◆",IF(AND($E186&gt;=BD$5,$E186&lt;BD$5+GanttPeriod),"◇","")),IF(AND(BD$5&lt;=$F186,BD$5+GanttPeriod-1&gt;=$E186),"━","")))</f>
        <v/>
      </c>
      <c r="BE186" s="69" t="str">
        <f aca="false">IF($E186="","",IF($M186,IF(AND($G186&gt;=BE$5,$G186&lt;BE$5+GanttPeriod),"◆",IF(AND($E186&gt;=BE$5,$E186&lt;BE$5+GanttPeriod),"◇","")),IF(AND(BE$5&lt;=$F186,BE$5+GanttPeriod-1&gt;=$E186),"━","")))</f>
        <v/>
      </c>
      <c r="BF186" s="69" t="str">
        <f aca="false">IF($E186="","",IF($M186,IF(AND($G186&gt;=BF$5,$G186&lt;BF$5+GanttPeriod),"◆",IF(AND($E186&gt;=BF$5,$E186&lt;BF$5+GanttPeriod),"◇","")),IF(AND(BF$5&lt;=$F186,BF$5+GanttPeriod-1&gt;=$E186),"━","")))</f>
        <v/>
      </c>
      <c r="BG186" s="69" t="str">
        <f aca="false">IF($E186="","",IF($M186,IF(AND($G186&gt;=BG$5,$G186&lt;BG$5+GanttPeriod),"◆",IF(AND($E186&gt;=BG$5,$E186&lt;BG$5+GanttPeriod),"◇","")),IF(AND(BG$5&lt;=$F186,BG$5+GanttPeriod-1&gt;=$E186),"━","")))</f>
        <v/>
      </c>
      <c r="BH186" s="69" t="str">
        <f aca="false">IF($E186="","",IF($M186,IF(AND($G186&gt;=BH$5,$G186&lt;BH$5+GanttPeriod),"◆",IF(AND($E186&gt;=BH$5,$E186&lt;BH$5+GanttPeriod),"◇","")),IF(AND(BH$5&lt;=$F186,BH$5+GanttPeriod-1&gt;=$E186),"━","")))</f>
        <v/>
      </c>
      <c r="BI186" s="69" t="str">
        <f aca="false">IF($E186="","",IF($M186,IF(AND($G186&gt;=BI$5,$G186&lt;BI$5+GanttPeriod),"◆",IF(AND($E186&gt;=BI$5,$E186&lt;BI$5+GanttPeriod),"◇","")),IF(AND(BI$5&lt;=$F186,BI$5+GanttPeriod-1&gt;=$E186),"━","")))</f>
        <v/>
      </c>
      <c r="BJ186" s="69" t="str">
        <f aca="false">IF($E186="","",IF($M186,IF(AND($G186&gt;=BJ$5,$G186&lt;BJ$5+GanttPeriod),"◆",IF(AND($E186&gt;=BJ$5,$E186&lt;BJ$5+GanttPeriod),"◇","")),IF(AND(BJ$5&lt;=$F186,BJ$5+GanttPeriod-1&gt;=$E186),"━","")))</f>
        <v/>
      </c>
      <c r="BK186" s="69" t="str">
        <f aca="false">IF($E186="","",IF($M186,IF(AND($G186&gt;=BK$5,$G186&lt;BK$5+GanttPeriod),"◆",IF(AND($E186&gt;=BK$5,$E186&lt;BK$5+GanttPeriod),"◇","")),IF(AND(BK$5&lt;=$F186,BK$5+GanttPeriod-1&gt;=$E186),"━","")))</f>
        <v/>
      </c>
      <c r="BL186" s="69" t="str">
        <f aca="false">IF($E186="","",IF($M186,IF(AND($G186&gt;=BL$5,$G186&lt;BL$5+GanttPeriod),"◆",IF(AND($E186&gt;=BL$5,$E186&lt;BL$5+GanttPeriod),"◇","")),IF(AND(BL$5&lt;=$F186,BL$5+GanttPeriod-1&gt;=$E186),"━","")))</f>
        <v/>
      </c>
      <c r="BM186" s="69" t="str">
        <f aca="false">IF($E186="","",IF($M186,IF(AND($G186&gt;=BM$5,$G186&lt;BM$5+GanttPeriod),"◆",IF(AND($E186&gt;=BM$5,$E186&lt;BM$5+GanttPeriod),"◇","")),IF(AND(BM$5&lt;=$F186,BM$5+GanttPeriod-1&gt;=$E186),"━","")))</f>
        <v/>
      </c>
      <c r="BN186" s="69" t="str">
        <f aca="false">IF($E186="","",IF($M186,IF(AND($G186&gt;=BN$5,$G186&lt;BN$5+GanttPeriod),"◆",IF(AND($E186&gt;=BN$5,$E186&lt;BN$5+GanttPeriod),"◇","")),IF(AND(BN$5&lt;=$F186,BN$5+GanttPeriod-1&gt;=$E186),"━","")))</f>
        <v/>
      </c>
      <c r="BO186" s="69" t="str">
        <f aca="false">IF($E186="","",IF($M186,IF(AND($G186&gt;=BO$5,$G186&lt;BO$5+GanttPeriod),"◆",IF(AND($E186&gt;=BO$5,$E186&lt;BO$5+GanttPeriod),"◇","")),IF(AND(BO$5&lt;=$F186,BO$5+GanttPeriod-1&gt;=$E186),"━","")))</f>
        <v/>
      </c>
      <c r="BP186" s="69" t="str">
        <f aca="false">IF($E186="","",IF($M186,IF(AND($G186&gt;=BP$5,$G186&lt;BP$5+GanttPeriod),"◆",IF(AND($E186&gt;=BP$5,$E186&lt;BP$5+GanttPeriod),"◇","")),IF(AND(BP$5&lt;=$F186,BP$5+GanttPeriod-1&gt;=$E186),"━","")))</f>
        <v/>
      </c>
      <c r="BQ186" s="69" t="str">
        <f aca="false">IF($E186="","",IF($M186,IF(AND($G186&gt;=BQ$5,$G186&lt;BQ$5+GanttPeriod),"◆",IF(AND($E186&gt;=BQ$5,$E186&lt;BQ$5+GanttPeriod),"◇","")),IF(AND(BQ$5&lt;=$F186,BQ$5+GanttPeriod-1&gt;=$E186),"━","")))</f>
        <v/>
      </c>
      <c r="BR186" s="69" t="str">
        <f aca="false">IF($E186="","",IF($M186,IF(AND($G186&gt;=BR$5,$G186&lt;BR$5+GanttPeriod),"◆",IF(AND($E186&gt;=BR$5,$E186&lt;BR$5+GanttPeriod),"◇","")),IF(AND(BR$5&lt;=$F186,BR$5+GanttPeriod-1&gt;=$E186),"━","")))</f>
        <v/>
      </c>
      <c r="BS186" s="69" t="str">
        <f aca="false">IF($E186="","",IF($M186,IF(AND($G186&gt;=BS$5,$G186&lt;BS$5+GanttPeriod),"◆",IF(AND($E186&gt;=BS$5,$E186&lt;BS$5+GanttPeriod),"◇","")),IF(AND(BS$5&lt;=$F186,BS$5+GanttPeriod-1&gt;=$E186),"━","")))</f>
        <v/>
      </c>
      <c r="BT186" s="69" t="str">
        <f aca="false">IF($E186="","",IF($M186,IF(AND($G186&gt;=BT$5,$G186&lt;BT$5+GanttPeriod),"◆",IF(AND($E186&gt;=BT$5,$E186&lt;BT$5+GanttPeriod),"◇","")),IF(AND(BT$5&lt;=$F186,BT$5+GanttPeriod-1&gt;=$E186),"━","")))</f>
        <v/>
      </c>
      <c r="BU186" s="69" t="str">
        <f aca="false">IF($E186="","",IF($M186,IF(AND($G186&gt;=BU$5,$G186&lt;BU$5+GanttPeriod),"◆",IF(AND($E186&gt;=BU$5,$E186&lt;BU$5+GanttPeriod),"◇","")),IF(AND(BU$5&lt;=$F186,BU$5+GanttPeriod-1&gt;=$E186),"━","")))</f>
        <v/>
      </c>
      <c r="BV186" s="69" t="str">
        <f aca="false">IF($E186="","",IF($M186,IF(AND($G186&gt;=BV$5,$G186&lt;BV$5+GanttPeriod),"◆",IF(AND($E186&gt;=BV$5,$E186&lt;BV$5+GanttPeriod),"◇","")),IF(AND(BV$5&lt;=$F186,BV$5+GanttPeriod-1&gt;=$E186),"━","")))</f>
        <v/>
      </c>
      <c r="BW186" s="69" t="str">
        <f aca="false">IF($E186="","",IF($M186,IF(AND($G186&gt;=BW$5,$G186&lt;BW$5+GanttPeriod),"◆",IF(AND($E186&gt;=BW$5,$E186&lt;BW$5+GanttPeriod),"◇","")),IF(AND(BW$5&lt;=$F186,BW$5+GanttPeriod-1&gt;=$E186),"━","")))</f>
        <v/>
      </c>
      <c r="BX186" s="69" t="str">
        <f aca="false">IF($E186="","",IF($M186,IF(AND($G186&gt;=BX$5,$G186&lt;BX$5+GanttPeriod),"◆",IF(AND($E186&gt;=BX$5,$E186&lt;BX$5+GanttPeriod),"◇","")),IF(AND(BX$5&lt;=$F186,BX$5+GanttPeriod-1&gt;=$E186),"━","")))</f>
        <v/>
      </c>
      <c r="BY186" s="69" t="str">
        <f aca="false">IF($E186="","",IF($M186,IF(AND($G186&gt;=BY$5,$G186&lt;BY$5+GanttPeriod),"◆",IF(AND($E186&gt;=BY$5,$E186&lt;BY$5+GanttPeriod),"◇","")),IF(AND(BY$5&lt;=$F186,BY$5+GanttPeriod-1&gt;=$E186),"━","")))</f>
        <v/>
      </c>
      <c r="BZ186" s="69" t="str">
        <f aca="false">IF($E186="","",IF($M186,IF(AND($G186&gt;=BZ$5,$G186&lt;BZ$5+GanttPeriod),"◆",IF(AND($E186&gt;=BZ$5,$E186&lt;BZ$5+GanttPeriod),"◇","")),IF(AND(BZ$5&lt;=$F186,BZ$5+GanttPeriod-1&gt;=$E186),"━","")))</f>
        <v/>
      </c>
      <c r="CA186" s="69" t="str">
        <f aca="false">IF($E186="","",IF($M186,IF(AND($G186&gt;=CA$5,$G186&lt;CA$5+GanttPeriod),"◆",IF(AND($E186&gt;=CA$5,$E186&lt;CA$5+GanttPeriod),"◇","")),IF(AND(CA$5&lt;=$F186,CA$5+GanttPeriod-1&gt;=$E186),"━","")))</f>
        <v/>
      </c>
      <c r="CB186" s="69" t="str">
        <f aca="false">IF($E186="","",IF($M186,IF(AND($G186&gt;=CB$5,$G186&lt;CB$5+GanttPeriod),"◆",IF(AND($E186&gt;=CB$5,$E186&lt;CB$5+GanttPeriod),"◇","")),IF(AND(CB$5&lt;=$F186,CB$5+GanttPeriod-1&gt;=$E186),"━","")))</f>
        <v/>
      </c>
      <c r="CC186" s="69" t="str">
        <f aca="false">IF($E186="","",IF($M186,IF(AND($G186&gt;=CC$5,$G186&lt;CC$5+GanttPeriod),"◆",IF(AND($E186&gt;=CC$5,$E186&lt;CC$5+GanttPeriod),"◇","")),IF(AND(CC$5&lt;=$F186,CC$5+GanttPeriod-1&gt;=$E186),"━","")))</f>
        <v/>
      </c>
      <c r="CD186" s="69" t="str">
        <f aca="false">IF($E186="","",IF($M186,IF(AND($G186&gt;=CD$5,$G186&lt;CD$5+GanttPeriod),"◆",IF(AND($E186&gt;=CD$5,$E186&lt;CD$5+GanttPeriod),"◇","")),IF(AND(CD$5&lt;=$F186,CD$5+GanttPeriod-1&gt;=$E186),"━","")))</f>
        <v/>
      </c>
      <c r="CE186" s="69" t="str">
        <f aca="false">IF($E186="","",IF($M186,IF(AND($G186&gt;=CE$5,$G186&lt;CE$5+GanttPeriod),"◆",IF(AND($E186&gt;=CE$5,$E186&lt;CE$5+GanttPeriod),"◇","")),IF(AND(CE$5&lt;=$F186,CE$5+GanttPeriod-1&gt;=$E186),"━","")))</f>
        <v/>
      </c>
      <c r="CF186" s="69" t="str">
        <f aca="false">IF($E186="","",IF($M186,IF(AND($G186&gt;=CF$5,$G186&lt;CF$5+GanttPeriod),"◆",IF(AND($E186&gt;=CF$5,$E186&lt;CF$5+GanttPeriod),"◇","")),IF(AND(CF$5&lt;=$F186,CF$5+GanttPeriod-1&gt;=$E186),"━","")))</f>
        <v/>
      </c>
      <c r="CG186" s="69" t="str">
        <f aca="false">IF($E186="","",IF($M186,IF(AND($G186&gt;=CG$5,$G186&lt;CG$5+GanttPeriod),"◆",IF(AND($E186&gt;=CG$5,$E186&lt;CG$5+GanttPeriod),"◇","")),IF(AND(CG$5&lt;=$F186,CG$5+GanttPeriod-1&gt;=$E186),"━","")))</f>
        <v/>
      </c>
      <c r="CH186" s="69" t="str">
        <f aca="false">IF($E186="","",IF($M186,IF(AND($G186&gt;=CH$5,$G186&lt;CH$5+GanttPeriod),"◆",IF(AND($E186&gt;=CH$5,$E186&lt;CH$5+GanttPeriod),"◇","")),IF(AND(CH$5&lt;=$F186,CH$5+GanttPeriod-1&gt;=$E186),"━","")))</f>
        <v/>
      </c>
      <c r="CI186" s="69" t="str">
        <f aca="false">IF($E186="","",IF($M186,IF(AND($G186&gt;=CI$5,$G186&lt;CI$5+GanttPeriod),"◆",IF(AND($E186&gt;=CI$5,$E186&lt;CI$5+GanttPeriod),"◇","")),IF(AND(CI$5&lt;=$F186,CI$5+GanttPeriod-1&gt;=$E186),"━","")))</f>
        <v/>
      </c>
      <c r="CJ186" s="69" t="str">
        <f aca="false">IF($E186="","",IF($M186,IF(AND($G186&gt;=CJ$5,$G186&lt;CJ$5+GanttPeriod),"◆",IF(AND($E186&gt;=CJ$5,$E186&lt;CJ$5+GanttPeriod),"◇","")),IF(AND(CJ$5&lt;=$F186,CJ$5+GanttPeriod-1&gt;=$E186),"━","")))</f>
        <v/>
      </c>
      <c r="CK186" s="69" t="str">
        <f aca="false">IF($E186="","",IF($M186,IF(AND($G186&gt;=CK$5,$G186&lt;CK$5+GanttPeriod),"◆",IF(AND($E186&gt;=CK$5,$E186&lt;CK$5+GanttPeriod),"◇","")),IF(AND(CK$5&lt;=$F186,CK$5+GanttPeriod-1&gt;=$E186),"━","")))</f>
        <v/>
      </c>
      <c r="CL186" s="69" t="str">
        <f aca="false">IF($E186="","",IF($M186,IF(AND($G186&gt;=CL$5,$G186&lt;CL$5+GanttPeriod),"◆",IF(AND($E186&gt;=CL$5,$E186&lt;CL$5+GanttPeriod),"◇","")),IF(AND(CL$5&lt;=$F186,CL$5+GanttPeriod-1&gt;=$E186),"━","")))</f>
        <v/>
      </c>
      <c r="CM186" s="69" t="str">
        <f aca="false">IF($E186="","",IF($M186,IF(AND($G186&gt;=CM$5,$G186&lt;CM$5+GanttPeriod),"◆",IF(AND($E186&gt;=CM$5,$E186&lt;CM$5+GanttPeriod),"◇","")),IF(AND(CM$5&lt;=$F186,CM$5+GanttPeriod-1&gt;=$E186),"━","")))</f>
        <v/>
      </c>
      <c r="CN186" s="69" t="str">
        <f aca="false">IF($E186="","",IF($M186,IF(AND($G186&gt;=CN$5,$G186&lt;CN$5+GanttPeriod),"◆",IF(AND($E186&gt;=CN$5,$E186&lt;CN$5+GanttPeriod),"◇","")),IF(AND(CN$5&lt;=$F186,CN$5+GanttPeriod-1&gt;=$E186),"━","")))</f>
        <v/>
      </c>
      <c r="CO186" s="69" t="str">
        <f aca="false">IF($E186="","",IF($M186,IF(AND($G186&gt;=CO$5,$G186&lt;CO$5+GanttPeriod),"◆",IF(AND($E186&gt;=CO$5,$E186&lt;CO$5+GanttPeriod),"◇","")),IF(AND(CO$5&lt;=$F186,CO$5+GanttPeriod-1&gt;=$E186),"━","")))</f>
        <v/>
      </c>
      <c r="CP186" s="69" t="str">
        <f aca="false">IF($E186="","",IF($M186,IF(AND($G186&gt;=CP$5,$G186&lt;CP$5+GanttPeriod),"◆",IF(AND($E186&gt;=CP$5,$E186&lt;CP$5+GanttPeriod),"◇","")),IF(AND(CP$5&lt;=$F186,CP$5+GanttPeriod-1&gt;=$E186),"━","")))</f>
        <v/>
      </c>
      <c r="CQ186" s="69" t="str">
        <f aca="false">IF($E186="","",IF($M186,IF(AND($G186&gt;=CQ$5,$G186&lt;CQ$5+GanttPeriod),"◆",IF(AND($E186&gt;=CQ$5,$E186&lt;CQ$5+GanttPeriod),"◇","")),IF(AND(CQ$5&lt;=$F186,CQ$5+GanttPeriod-1&gt;=$E186),"━","")))</f>
        <v/>
      </c>
      <c r="CR186" s="69" t="str">
        <f aca="false">IF($E186="","",IF($M186,IF(AND($G186&gt;=CR$5,$G186&lt;CR$5+GanttPeriod),"◆",IF(AND($E186&gt;=CR$5,$E186&lt;CR$5+GanttPeriod),"◇","")),IF(AND(CR$5&lt;=$F186,CR$5+GanttPeriod-1&gt;=$E186),"━","")))</f>
        <v/>
      </c>
      <c r="CS186" s="69" t="str">
        <f aca="false">IF($E186="","",IF($M186,IF(AND($G186&gt;=CS$5,$G186&lt;CS$5+GanttPeriod),"◆",IF(AND($E186&gt;=CS$5,$E186&lt;CS$5+GanttPeriod),"◇","")),IF(AND(CS$5&lt;=$F186,CS$5+GanttPeriod-1&gt;=$E186),"━","")))</f>
        <v/>
      </c>
      <c r="CT186" s="69" t="str">
        <f aca="false">IF($E186="","",IF($M186,IF(AND($G186&gt;=CT$5,$G186&lt;CT$5+GanttPeriod),"◆",IF(AND($E186&gt;=CT$5,$E186&lt;CT$5+GanttPeriod),"◇","")),IF(AND(CT$5&lt;=$F186,CT$5+GanttPeriod-1&gt;=$E186),"━","")))</f>
        <v/>
      </c>
      <c r="CU186" s="69" t="str">
        <f aca="false">IF($E186="","",IF($M186,IF(AND($G186&gt;=CU$5,$G186&lt;CU$5+GanttPeriod),"◆",IF(AND($E186&gt;=CU$5,$E186&lt;CU$5+GanttPeriod),"◇","")),IF(AND(CU$5&lt;=$F186,CU$5+GanttPeriod-1&gt;=$E186),"━","")))</f>
        <v/>
      </c>
      <c r="CV186" s="69" t="str">
        <f aca="false">IF($E186="","",IF($M186,IF(AND($G186&gt;=CV$5,$G186&lt;CV$5+GanttPeriod),"◆",IF(AND($E186&gt;=CV$5,$E186&lt;CV$5+GanttPeriod),"◇","")),IF(AND(CV$5&lt;=$F186,CV$5+GanttPeriod-1&gt;=$E186),"━","")))</f>
        <v/>
      </c>
      <c r="CW186" s="69" t="str">
        <f aca="false">IF($E186="","",IF($M186,IF(AND($G186&gt;=CW$5,$G186&lt;CW$5+GanttPeriod),"◆",IF(AND($E186&gt;=CW$5,$E186&lt;CW$5+GanttPeriod),"◇","")),IF(AND(CW$5&lt;=$F186,CW$5+GanttPeriod-1&gt;=$E186),"━","")))</f>
        <v/>
      </c>
      <c r="CX186" s="69" t="str">
        <f aca="false">IF($E186="","",IF($M186,IF(AND($G186&gt;=CX$5,$G186&lt;CX$5+GanttPeriod),"◆",IF(AND($E186&gt;=CX$5,$E186&lt;CX$5+GanttPeriod),"◇","")),IF(AND(CX$5&lt;=$F186,CX$5+GanttPeriod-1&gt;=$E186),"━","")))</f>
        <v/>
      </c>
      <c r="CY186" s="69" t="str">
        <f aca="false">IF($E186="","",IF($M186,IF(AND($G186&gt;=CY$5,$G186&lt;CY$5+GanttPeriod),"◆",IF(AND($E186&gt;=CY$5,$E186&lt;CY$5+GanttPeriod),"◇","")),IF(AND(CY$5&lt;=$F186,CY$5+GanttPeriod-1&gt;=$E186),"━","")))</f>
        <v/>
      </c>
      <c r="CZ186" s="69" t="str">
        <f aca="false">IF($E186="","",IF($M186,IF(AND($G186&gt;=CZ$5,$G186&lt;CZ$5+GanttPeriod),"◆",IF(AND($E186&gt;=CZ$5,$E186&lt;CZ$5+GanttPeriod),"◇","")),IF(AND(CZ$5&lt;=$F186,CZ$5+GanttPeriod-1&gt;=$E186),"━","")))</f>
        <v/>
      </c>
      <c r="DA186" s="69" t="str">
        <f aca="false">IF($E186="","",IF($M186,IF(AND($G186&gt;=DA$5,$G186&lt;DA$5+GanttPeriod),"◆",IF(AND($E186&gt;=DA$5,$E186&lt;DA$5+GanttPeriod),"◇","")),IF(AND(DA$5&lt;=$F186,DA$5+GanttPeriod-1&gt;=$E186),"━","")))</f>
        <v/>
      </c>
      <c r="DB186" s="69" t="str">
        <f aca="false">IF($E186="","",IF($M186,IF(AND($G186&gt;=DB$5,$G186&lt;DB$5+GanttPeriod),"◆",IF(AND($E186&gt;=DB$5,$E186&lt;DB$5+GanttPeriod),"◇","")),IF(AND(DB$5&lt;=$F186,DB$5+GanttPeriod-1&gt;=$E186),"━","")))</f>
        <v/>
      </c>
      <c r="DC186" s="69" t="str">
        <f aca="false">IF($E186="","",IF($M186,IF(AND($G186&gt;=DC$5,$G186&lt;DC$5+GanttPeriod),"◆",IF(AND($E186&gt;=DC$5,$E186&lt;DC$5+GanttPeriod),"◇","")),IF(AND(DC$5&lt;=$F186,DC$5+GanttPeriod-1&gt;=$E186),"━","")))</f>
        <v/>
      </c>
      <c r="DD186" s="69" t="str">
        <f aca="false">IF($E186="","",IF($M186,IF(AND($G186&gt;=DD$5,$G186&lt;DD$5+GanttPeriod),"◆",IF(AND($E186&gt;=DD$5,$E186&lt;DD$5+GanttPeriod),"◇","")),IF(AND(DD$5&lt;=$F186,DD$5+GanttPeriod-1&gt;=$E186),"━","")))</f>
        <v/>
      </c>
      <c r="DE186" s="69" t="str">
        <f aca="false">IF($E186="","",IF($M186,IF(AND($G186&gt;=DE$5,$G186&lt;DE$5+GanttPeriod),"◆",IF(AND($E186&gt;=DE$5,$E186&lt;DE$5+GanttPeriod),"◇","")),IF(AND(DE$5&lt;=$F186,DE$5+GanttPeriod-1&gt;=$E186),"━","")))</f>
        <v/>
      </c>
      <c r="DF186" s="69" t="str">
        <f aca="false">IF($E186="","",IF($M186,IF(AND($G186&gt;=DF$5,$G186&lt;DF$5+GanttPeriod),"◆",IF(AND($E186&gt;=DF$5,$E186&lt;DF$5+GanttPeriod),"◇","")),IF(AND(DF$5&lt;=$F186,DF$5+GanttPeriod-1&gt;=$E186),"━","")))</f>
        <v/>
      </c>
      <c r="DG186" s="69" t="str">
        <f aca="false">IF($E186="","",IF($M186,IF(AND($G186&gt;=DG$5,$G186&lt;DG$5+GanttPeriod),"◆",IF(AND($E186&gt;=DG$5,$E186&lt;DG$5+GanttPeriod),"◇","")),IF(AND(DG$5&lt;=$F186,DG$5+GanttPeriod-1&gt;=$E186),"━","")))</f>
        <v/>
      </c>
      <c r="DH186" s="69" t="str">
        <f aca="false">IF($E186="","",IF($M186,IF(AND($G186&gt;=DH$5,$G186&lt;DH$5+GanttPeriod),"◆",IF(AND($E186&gt;=DH$5,$E186&lt;DH$5+GanttPeriod),"◇","")),IF(AND(DH$5&lt;=$F186,DH$5+GanttPeriod-1&gt;=$E186),"━","")))</f>
        <v/>
      </c>
      <c r="DI186" s="69" t="str">
        <f aca="false">IF($E186="","",IF($M186,IF(AND($G186&gt;=DI$5,$G186&lt;DI$5+GanttPeriod),"◆",IF(AND($E186&gt;=DI$5,$E186&lt;DI$5+GanttPeriod),"◇","")),IF(AND(DI$5&lt;=$F186,DI$5+GanttPeriod-1&gt;=$E186),"━","")))</f>
        <v/>
      </c>
      <c r="DJ186" s="69" t="str">
        <f aca="false">IF($E186="","",IF($M186,IF(AND($G186&gt;=DJ$5,$G186&lt;DJ$5+GanttPeriod),"◆",IF(AND($E186&gt;=DJ$5,$E186&lt;DJ$5+GanttPeriod),"◇","")),IF(AND(DJ$5&lt;=$F186,DJ$5+GanttPeriod-1&gt;=$E186),"━","")))</f>
        <v/>
      </c>
      <c r="DK186" s="69" t="str">
        <f aca="false">IF($E186="","",IF($M186,IF(AND($G186&gt;=DK$5,$G186&lt;DK$5+GanttPeriod),"◆",IF(AND($E186&gt;=DK$5,$E186&lt;DK$5+GanttPeriod),"◇","")),IF(AND(DK$5&lt;=$F186,DK$5+GanttPeriod-1&gt;=$E186),"━","")))</f>
        <v/>
      </c>
      <c r="DL186" s="69" t="str">
        <f aca="false">IF($E186="","",IF($M186,IF(AND($G186&gt;=DL$5,$G186&lt;DL$5+GanttPeriod),"◆",IF(AND($E186&gt;=DL$5,$E186&lt;DL$5+GanttPeriod),"◇","")),IF(AND(DL$5&lt;=$F186,DL$5+GanttPeriod-1&gt;=$E186),"━","")))</f>
        <v/>
      </c>
      <c r="DM186" s="69" t="str">
        <f aca="false">IF($E186="","",IF($M186,IF(AND($G186&gt;=DM$5,$G186&lt;DM$5+GanttPeriod),"◆",IF(AND($E186&gt;=DM$5,$E186&lt;DM$5+GanttPeriod),"◇","")),IF(AND(DM$5&lt;=$F186,DM$5+GanttPeriod-1&gt;=$E186),"━","")))</f>
        <v/>
      </c>
      <c r="DN186" s="69" t="str">
        <f aca="false">IF($E186="","",IF($M186,IF(AND($G186&gt;=DN$5,$G186&lt;DN$5+GanttPeriod),"◆",IF(AND($E186&gt;=DN$5,$E186&lt;DN$5+GanttPeriod),"◇","")),IF(AND(DN$5&lt;=$F186,DN$5+GanttPeriod-1&gt;=$E186),"━","")))</f>
        <v/>
      </c>
      <c r="DO186" s="69" t="str">
        <f aca="false">IF($E186="","",IF($M186,IF(AND($G186&gt;=DO$5,$G186&lt;DO$5+GanttPeriod),"◆",IF(AND($E186&gt;=DO$5,$E186&lt;DO$5+GanttPeriod),"◇","")),IF(AND(DO$5&lt;=$F186,DO$5+GanttPeriod-1&gt;=$E186),"━","")))</f>
        <v/>
      </c>
      <c r="DP186" s="69" t="str">
        <f aca="false">IF($E186="","",IF($M186,IF(AND($G186&gt;=DP$5,$G186&lt;DP$5+GanttPeriod),"◆",IF(AND($E186&gt;=DP$5,$E186&lt;DP$5+GanttPeriod),"◇","")),IF(AND(DP$5&lt;=$F186,DP$5+GanttPeriod-1&gt;=$E186),"━","")))</f>
        <v/>
      </c>
      <c r="DQ186" s="69" t="str">
        <f aca="false">IF($E186="","",IF($M186,IF(AND($G186&gt;=DQ$5,$G186&lt;DQ$5+GanttPeriod),"◆",IF(AND($E186&gt;=DQ$5,$E186&lt;DQ$5+GanttPeriod),"◇","")),IF(AND(DQ$5&lt;=$F186,DQ$5+GanttPeriod-1&gt;=$E186),"━","")))</f>
        <v/>
      </c>
      <c r="DR186" s="69" t="str">
        <f aca="false">IF($E186="","",IF($M186,IF(AND($G186&gt;=DR$5,$G186&lt;DR$5+GanttPeriod),"◆",IF(AND($E186&gt;=DR$5,$E186&lt;DR$5+GanttPeriod),"◇","")),IF(AND(DR$5&lt;=$F186,DR$5+GanttPeriod-1&gt;=$E186),"━","")))</f>
        <v/>
      </c>
      <c r="DS186" s="69" t="str">
        <f aca="false">IF($E186="","",IF($M186,IF(AND($G186&gt;=DS$5,$G186&lt;DS$5+GanttPeriod),"◆",IF(AND($E186&gt;=DS$5,$E186&lt;DS$5+GanttPeriod),"◇","")),IF(AND(DS$5&lt;=$F186,DS$5+GanttPeriod-1&gt;=$E186),"━","")))</f>
        <v/>
      </c>
      <c r="DT186" s="69" t="str">
        <f aca="false">IF($E186="","",IF($M186,IF(AND($G186&gt;=DT$5,$G186&lt;DT$5+GanttPeriod),"◆",IF(AND($E186&gt;=DT$5,$E186&lt;DT$5+GanttPeriod),"◇","")),IF(AND(DT$5&lt;=$F186,DT$5+GanttPeriod-1&gt;=$E186),"━","")))</f>
        <v/>
      </c>
      <c r="DU186" s="69" t="str">
        <f aca="false">IF($E186="","",IF($M186,IF(AND($G186&gt;=DU$5,$G186&lt;DU$5+GanttPeriod),"◆",IF(AND($E186&gt;=DU$5,$E186&lt;DU$5+GanttPeriod),"◇","")),IF(AND(DU$5&lt;=$F186,DU$5+GanttPeriod-1&gt;=$E186),"━","")))</f>
        <v/>
      </c>
      <c r="DV186" s="69" t="str">
        <f aca="false">IF($E186="","",IF($M186,IF(AND($G186&gt;=DV$5,$G186&lt;DV$5+GanttPeriod),"◆",IF(AND($E186&gt;=DV$5,$E186&lt;DV$5+GanttPeriod),"◇","")),IF(AND(DV$5&lt;=$F186,DV$5+GanttPeriod-1&gt;=$E186),"━","")))</f>
        <v/>
      </c>
      <c r="DW186" s="69" t="str">
        <f aca="false">IF($E186="","",IF($M186,IF(AND($G186&gt;=DW$5,$G186&lt;DW$5+GanttPeriod),"◆",IF(AND($E186&gt;=DW$5,$E186&lt;DW$5+GanttPeriod),"◇","")),IF(AND(DW$5&lt;=$F186,DW$5+GanttPeriod-1&gt;=$E186),"━","")))</f>
        <v/>
      </c>
      <c r="DX186" s="69" t="str">
        <f aca="false">IF($E186="","",IF($M186,IF(AND($G186&gt;=DX$5,$G186&lt;DX$5+GanttPeriod),"◆",IF(AND($E186&gt;=DX$5,$E186&lt;DX$5+GanttPeriod),"◇","")),IF(AND(DX$5&lt;=$F186,DX$5+GanttPeriod-1&gt;=$E186),"━","")))</f>
        <v/>
      </c>
      <c r="DY186" s="69" t="str">
        <f aca="false">IF($E186="","",IF($M186,IF(AND($G186&gt;=DY$5,$G186&lt;DY$5+GanttPeriod),"◆",IF(AND($E186&gt;=DY$5,$E186&lt;DY$5+GanttPeriod),"◇","")),IF(AND(DY$5&lt;=$F186,DY$5+GanttPeriod-1&gt;=$E186),"━","")))</f>
        <v/>
      </c>
      <c r="DZ186" s="69" t="str">
        <f aca="false">IF($E186="","",IF($M186,IF(AND($G186&gt;=DZ$5,$G186&lt;DZ$5+GanttPeriod),"◆",IF(AND($E186&gt;=DZ$5,$E186&lt;DZ$5+GanttPeriod),"◇","")),IF(AND(DZ$5&lt;=$F186,DZ$5+GanttPeriod-1&gt;=$E186),"━","")))</f>
        <v/>
      </c>
      <c r="EA186" s="69" t="str">
        <f aca="false">IF($E186="","",IF($M186,IF(AND($G186&gt;=EA$5,$G186&lt;EA$5+GanttPeriod),"◆",IF(AND($E186&gt;=EA$5,$E186&lt;EA$5+GanttPeriod),"◇","")),IF(AND(EA$5&lt;=$F186,EA$5+GanttPeriod-1&gt;=$E186),"━","")))</f>
        <v/>
      </c>
      <c r="EB186" s="69" t="str">
        <f aca="false">IF($E186="","",IF($M186,IF(AND($G186&gt;=EB$5,$G186&lt;EB$5+GanttPeriod),"◆",IF(AND($E186&gt;=EB$5,$E186&lt;EB$5+GanttPeriod),"◇","")),IF(AND(EB$5&lt;=$F186,EB$5+GanttPeriod-1&gt;=$E186),"━","")))</f>
        <v/>
      </c>
      <c r="EC186" s="69" t="str">
        <f aca="false">IF($E186="","",IF($M186,IF(AND($G186&gt;=EC$5,$G186&lt;EC$5+GanttPeriod),"◆",IF(AND($E186&gt;=EC$5,$E186&lt;EC$5+GanttPeriod),"◇","")),IF(AND(EC$5&lt;=$F186,EC$5+GanttPeriod-1&gt;=$E186),"━","")))</f>
        <v/>
      </c>
      <c r="ED186" s="69" t="str">
        <f aca="false">IF($E186="","",IF($M186,IF(AND($G186&gt;=ED$5,$G186&lt;ED$5+GanttPeriod),"◆",IF(AND($E186&gt;=ED$5,$E186&lt;ED$5+GanttPeriod),"◇","")),IF(AND(ED$5&lt;=$F186,ED$5+GanttPeriod-1&gt;=$E186),"━","")))</f>
        <v/>
      </c>
      <c r="EE186" s="69" t="str">
        <f aca="false">IF($E186="","",IF($M186,IF(AND($G186&gt;=EE$5,$G186&lt;EE$5+GanttPeriod),"◆",IF(AND($E186&gt;=EE$5,$E186&lt;EE$5+GanttPeriod),"◇","")),IF(AND(EE$5&lt;=$F186,EE$5+GanttPeriod-1&gt;=$E186),"━","")))</f>
        <v/>
      </c>
      <c r="EF186" s="69" t="str">
        <f aca="false">IF($E186="","",IF($M186,IF(AND($G186&gt;=EF$5,$G186&lt;EF$5+GanttPeriod),"◆",IF(AND($E186&gt;=EF$5,$E186&lt;EF$5+GanttPeriod),"◇","")),IF(AND(EF$5&lt;=$F186,EF$5+GanttPeriod-1&gt;=$E186),"━","")))</f>
        <v/>
      </c>
      <c r="EG186" s="69" t="str">
        <f aca="false">IF($E186="","",IF($M186,IF(AND($G186&gt;=EG$5,$G186&lt;EG$5+GanttPeriod),"◆",IF(AND($E186&gt;=EG$5,$E186&lt;EG$5+GanttPeriod),"◇","")),IF(AND(EG$5&lt;=$F186,EG$5+GanttPeriod-1&gt;=$E186),"━","")))</f>
        <v/>
      </c>
      <c r="EH186" s="69" t="str">
        <f aca="false">IF($E186="","",IF($M186,IF(AND($G186&gt;=EH$5,$G186&lt;EH$5+GanttPeriod),"◆",IF(AND($E186&gt;=EH$5,$E186&lt;EH$5+GanttPeriod),"◇","")),IF(AND(EH$5&lt;=$F186,EH$5+GanttPeriod-1&gt;=$E186),"━","")))</f>
        <v/>
      </c>
      <c r="EI186" s="69" t="str">
        <f aca="false">IF($E186="","",IF($M186,IF(AND($G186&gt;=EI$5,$G186&lt;EI$5+GanttPeriod),"◆",IF(AND($E186&gt;=EI$5,$E186&lt;EI$5+GanttPeriod),"◇","")),IF(AND(EI$5&lt;=$F186,EI$5+GanttPeriod-1&gt;=$E186),"━","")))</f>
        <v/>
      </c>
      <c r="EJ186" s="69" t="str">
        <f aca="false">IF($E186="","",IF($M186,IF(AND($G186&gt;=EJ$5,$G186&lt;EJ$5+GanttPeriod),"◆",IF(AND($E186&gt;=EJ$5,$E186&lt;EJ$5+GanttPeriod),"◇","")),IF(AND(EJ$5&lt;=$F186,EJ$5+GanttPeriod-1&gt;=$E186),"━","")))</f>
        <v/>
      </c>
      <c r="EK186" s="69" t="str">
        <f aca="false">IF($E186="","",IF($M186,IF(AND($G186&gt;=EK$5,$G186&lt;EK$5+GanttPeriod),"◆",IF(AND($E186&gt;=EK$5,$E186&lt;EK$5+GanttPeriod),"◇","")),IF(AND(EK$5&lt;=$F186,EK$5+GanttPeriod-1&gt;=$E186),"━","")))</f>
        <v/>
      </c>
      <c r="EL186" s="69" t="str">
        <f aca="false">IF($E186="","",IF($M186,IF(AND($G186&gt;=EL$5,$G186&lt;EL$5+GanttPeriod),"◆",IF(AND($E186&gt;=EL$5,$E186&lt;EL$5+GanttPeriod),"◇","")),IF(AND(EL$5&lt;=$F186,EL$5+GanttPeriod-1&gt;=$E186),"━","")))</f>
        <v/>
      </c>
      <c r="EM186" s="69" t="str">
        <f aca="false">IF($E186="","",IF($M186,IF(AND($G186&gt;=EM$5,$G186&lt;EM$5+GanttPeriod),"◆",IF(AND($E186&gt;=EM$5,$E186&lt;EM$5+GanttPeriod),"◇","")),IF(AND(EM$5&lt;=$F186,EM$5+GanttPeriod-1&gt;=$E186),"━","")))</f>
        <v/>
      </c>
      <c r="EN186" s="69" t="str">
        <f aca="false">IF($E186="","",IF($M186,IF(AND($G186&gt;=EN$5,$G186&lt;EN$5+GanttPeriod),"◆",IF(AND($E186&gt;=EN$5,$E186&lt;EN$5+GanttPeriod),"◇","")),IF(AND(EN$5&lt;=$F186,EN$5+GanttPeriod-1&gt;=$E186),"━","")))</f>
        <v/>
      </c>
      <c r="EO186" s="69" t="str">
        <f aca="false">IF($E186="","",IF($M186,IF(AND($G186&gt;=EO$5,$G186&lt;EO$5+GanttPeriod),"◆",IF(AND($E186&gt;=EO$5,$E186&lt;EO$5+GanttPeriod),"◇","")),IF(AND(EO$5&lt;=$F186,EO$5+GanttPeriod-1&gt;=$E186),"━","")))</f>
        <v/>
      </c>
      <c r="EP186" s="69" t="str">
        <f aca="false">IF($E186="","",IF($M186,IF(AND($G186&gt;=EP$5,$G186&lt;EP$5+GanttPeriod),"◆",IF(AND($E186&gt;=EP$5,$E186&lt;EP$5+GanttPeriod),"◇","")),IF(AND(EP$5&lt;=$F186,EP$5+GanttPeriod-1&gt;=$E186),"━","")))</f>
        <v/>
      </c>
      <c r="EQ186" s="69" t="str">
        <f aca="false">IF($E186="","",IF($M186,IF(AND($G186&gt;=EQ$5,$G186&lt;EQ$5+GanttPeriod),"◆",IF(AND($E186&gt;=EQ$5,$E186&lt;EQ$5+GanttPeriod),"◇","")),IF(AND(EQ$5&lt;=$F186,EQ$5+GanttPeriod-1&gt;=$E186),"━","")))</f>
        <v/>
      </c>
      <c r="ER186" s="69" t="str">
        <f aca="false">IF($E186="","",IF($M186,IF(AND($G186&gt;=ER$5,$G186&lt;ER$5+GanttPeriod),"◆",IF(AND($E186&gt;=ER$5,$E186&lt;ER$5+GanttPeriod),"◇","")),IF(AND(ER$5&lt;=$F186,ER$5+GanttPeriod-1&gt;=$E186),"━","")))</f>
        <v/>
      </c>
      <c r="ES186" s="69" t="str">
        <f aca="false">IF($E186="","",IF($M186,IF(AND($G186&gt;=ES$5,$G186&lt;ES$5+GanttPeriod),"◆",IF(AND($E186&gt;=ES$5,$E186&lt;ES$5+GanttPeriod),"◇","")),IF(AND(ES$5&lt;=$F186,ES$5+GanttPeriod-1&gt;=$E186),"━","")))</f>
        <v/>
      </c>
      <c r="ET186" s="69" t="str">
        <f aca="false">IF($E186="","",IF($M186,IF(AND($G186&gt;=ET$5,$G186&lt;ET$5+GanttPeriod),"◆",IF(AND($E186&gt;=ET$5,$E186&lt;ET$5+GanttPeriod),"◇","")),IF(AND(ET$5&lt;=$F186,ET$5+GanttPeriod-1&gt;=$E186),"━","")))</f>
        <v/>
      </c>
      <c r="EU186" s="69" t="str">
        <f aca="false">IF($E186="","",IF($M186,IF(AND($G186&gt;=EU$5,$G186&lt;EU$5+GanttPeriod),"◆",IF(AND($E186&gt;=EU$5,$E186&lt;EU$5+GanttPeriod),"◇","")),IF(AND(EU$5&lt;=$F186,EU$5+GanttPeriod-1&gt;=$E186),"━","")))</f>
        <v/>
      </c>
      <c r="EV186" s="69" t="str">
        <f aca="false">IF($E186="","",IF($M186,IF(AND($G186&gt;=EV$5,$G186&lt;EV$5+GanttPeriod),"◆",IF(AND($E186&gt;=EV$5,$E186&lt;EV$5+GanttPeriod),"◇","")),IF(AND(EV$5&lt;=$F186,EV$5+GanttPeriod-1&gt;=$E186),"━","")))</f>
        <v/>
      </c>
      <c r="EW186" s="69" t="str">
        <f aca="false">IF($E186="","",IF($M186,IF(AND($G186&gt;=EW$5,$G186&lt;EW$5+GanttPeriod),"◆",IF(AND($E186&gt;=EW$5,$E186&lt;EW$5+GanttPeriod),"◇","")),IF(AND(EW$5&lt;=$F186,EW$5+GanttPeriod-1&gt;=$E186),"━","")))</f>
        <v/>
      </c>
      <c r="EX186" s="69" t="str">
        <f aca="false">IF($E186="","",IF($M186,IF(AND($G186&gt;=EX$5,$G186&lt;EX$5+GanttPeriod),"◆",IF(AND($E186&gt;=EX$5,$E186&lt;EX$5+GanttPeriod),"◇","")),IF(AND(EX$5&lt;=$F186,EX$5+GanttPeriod-1&gt;=$E186),"━","")))</f>
        <v/>
      </c>
      <c r="EY186" s="69" t="str">
        <f aca="false">IF($E186="","",IF($M186,IF(AND($G186&gt;=EY$5,$G186&lt;EY$5+GanttPeriod),"◆",IF(AND($E186&gt;=EY$5,$E186&lt;EY$5+GanttPeriod),"◇","")),IF(AND(EY$5&lt;=$F186,EY$5+GanttPeriod-1&gt;=$E186),"━","")))</f>
        <v/>
      </c>
      <c r="EZ186" s="69" t="str">
        <f aca="false">IF($E186="","",IF($M186,IF(AND($G186&gt;=EZ$5,$G186&lt;EZ$5+GanttPeriod),"◆",IF(AND($E186&gt;=EZ$5,$E186&lt;EZ$5+GanttPeriod),"◇","")),IF(AND(EZ$5&lt;=$F186,EZ$5+GanttPeriod-1&gt;=$E186),"━","")))</f>
        <v/>
      </c>
      <c r="FA186" s="69" t="str">
        <f aca="false">IF($E186="","",IF($M186,IF(AND($G186&gt;=FA$5,$G186&lt;FA$5+GanttPeriod),"◆",IF(AND($E186&gt;=FA$5,$E186&lt;FA$5+GanttPeriod),"◇","")),IF(AND(FA$5&lt;=$F186,FA$5+GanttPeriod-1&gt;=$E186),"━","")))</f>
        <v/>
      </c>
      <c r="FB186" s="69" t="str">
        <f aca="false">IF($E186="","",IF($M186,IF(AND($G186&gt;=FB$5,$G186&lt;FB$5+GanttPeriod),"◆",IF(AND($E186&gt;=FB$5,$E186&lt;FB$5+GanttPeriod),"◇","")),IF(AND(FB$5&lt;=$F186,FB$5+GanttPeriod-1&gt;=$E186),"━","")))</f>
        <v/>
      </c>
      <c r="FC186" s="69" t="str">
        <f aca="false">IF($E186="","",IF($M186,IF(AND($G186&gt;=FC$5,$G186&lt;FC$5+GanttPeriod),"◆",IF(AND($E186&gt;=FC$5,$E186&lt;FC$5+GanttPeriod),"◇","")),IF(AND(FC$5&lt;=$F186,FC$5+GanttPeriod-1&gt;=$E186),"━","")))</f>
        <v/>
      </c>
      <c r="FD186" s="69" t="str">
        <f aca="false">IF($E186="","",IF($M186,IF(AND($G186&gt;=FD$5,$G186&lt;FD$5+GanttPeriod),"◆",IF(AND($E186&gt;=FD$5,$E186&lt;FD$5+GanttPeriod),"◇","")),IF(AND(FD$5&lt;=$F186,FD$5+GanttPeriod-1&gt;=$E186),"━","")))</f>
        <v/>
      </c>
      <c r="FE186" s="69" t="str">
        <f aca="false">IF($E186="","",IF($M186,IF(AND($G186&gt;=FE$5,$G186&lt;FE$5+GanttPeriod),"◆",IF(AND($E186&gt;=FE$5,$E186&lt;FE$5+GanttPeriod),"◇","")),IF(AND(FE$5&lt;=$F186,FE$5+GanttPeriod-1&gt;=$E186),"━","")))</f>
        <v/>
      </c>
      <c r="FF186" s="69" t="str">
        <f aca="false">IF($E186="","",IF($M186,IF(AND($G186&gt;=FF$5,$G186&lt;FF$5+GanttPeriod),"◆",IF(AND($E186&gt;=FF$5,$E186&lt;FF$5+GanttPeriod),"◇","")),IF(AND(FF$5&lt;=$F186,FF$5+GanttPeriod-1&gt;=$E186),"━","")))</f>
        <v/>
      </c>
      <c r="FG186" s="69" t="str">
        <f aca="false">IF($E186="","",IF($M186,IF(AND($G186&gt;=FG$5,$G186&lt;FG$5+GanttPeriod),"◆",IF(AND($E186&gt;=FG$5,$E186&lt;FG$5+GanttPeriod),"◇","")),IF(AND(FG$5&lt;=$F186,FG$5+GanttPeriod-1&gt;=$E186),"━","")))</f>
        <v/>
      </c>
      <c r="FH186" s="69" t="str">
        <f aca="false">IF($E186="","",IF($M186,IF(AND($G186&gt;=FH$5,$G186&lt;FH$5+GanttPeriod),"◆",IF(AND($E186&gt;=FH$5,$E186&lt;FH$5+GanttPeriod),"◇","")),IF(AND(FH$5&lt;=$F186,FH$5+GanttPeriod-1&gt;=$E186),"━","")))</f>
        <v/>
      </c>
      <c r="FI186" s="69" t="str">
        <f aca="false">IF($E186="","",IF($M186,IF(AND($G186&gt;=FI$5,$G186&lt;FI$5+GanttPeriod),"◆",IF(AND($E186&gt;=FI$5,$E186&lt;FI$5+GanttPeriod),"◇","")),IF(AND(FI$5&lt;=$F186,FI$5+GanttPeriod-1&gt;=$E186),"━","")))</f>
        <v/>
      </c>
      <c r="FJ186" s="69" t="str">
        <f aca="false">IF($E186="","",IF($M186,IF(AND($G186&gt;=FJ$5,$G186&lt;FJ$5+GanttPeriod),"◆",IF(AND($E186&gt;=FJ$5,$E186&lt;FJ$5+GanttPeriod),"◇","")),IF(AND(FJ$5&lt;=$F186,FJ$5+GanttPeriod-1&gt;=$E186),"━","")))</f>
        <v/>
      </c>
      <c r="FK186" s="69" t="str">
        <f aca="false">IF($E186="","",IF($M186,IF(AND($G186&gt;=FK$5,$G186&lt;FK$5+GanttPeriod),"◆",IF(AND($E186&gt;=FK$5,$E186&lt;FK$5+GanttPeriod),"◇","")),IF(AND(FK$5&lt;=$F186,FK$5+GanttPeriod-1&gt;=$E186),"━","")))</f>
        <v/>
      </c>
      <c r="FL186" s="69" t="str">
        <f aca="false">IF($E186="","",IF($M186,IF(AND($G186&gt;=FL$5,$G186&lt;FL$5+GanttPeriod),"◆",IF(AND($E186&gt;=FL$5,$E186&lt;FL$5+GanttPeriod),"◇","")),IF(AND(FL$5&lt;=$F186,FL$5+GanttPeriod-1&gt;=$E186),"━","")))</f>
        <v/>
      </c>
      <c r="FM186" s="69" t="str">
        <f aca="false">IF($E186="","",IF($M186,IF(AND($G186&gt;=FM$5,$G186&lt;FM$5+GanttPeriod),"◆",IF(AND($E186&gt;=FM$5,$E186&lt;FM$5+GanttPeriod),"◇","")),IF(AND(FM$5&lt;=$F186,FM$5+GanttPeriod-1&gt;=$E186),"━","")))</f>
        <v/>
      </c>
    </row>
    <row r="187" customFormat="false" ht="15" hidden="false" customHeight="false" outlineLevel="0" collapsed="false">
      <c r="A187" s="62" t="str">
        <f aca="false">IF(Tasks!$D187="","",Tasks!$A187)</f>
        <v/>
      </c>
      <c r="B187" s="62" t="str">
        <f aca="false">IF(Tasks!$D187="","",Tasks!$B187)</f>
        <v/>
      </c>
      <c r="C187" s="63" t="str">
        <f aca="false">IF(Tasks!$D187="","",REPT("    ",Tasks!$AE187-1)&amp;Tasks!$D187)</f>
        <v/>
      </c>
      <c r="D187" s="62" t="str">
        <f aca="false">IF(Tasks!$D187="","",IF(Tasks!$AI187,NETWORKDAYS.INTL(Tasks!$R187,Tasks!$S187,WorkWeek,Holidays),N(Tasks!$F187)))</f>
        <v/>
      </c>
      <c r="E187" s="64" t="str">
        <f aca="false">IF(Tasks!$D187="","",Tasks!$N187)</f>
        <v/>
      </c>
      <c r="F187" s="64" t="str">
        <f aca="false">IF(Tasks!$D187="","",Tasks!$O187)</f>
        <v/>
      </c>
      <c r="G187" s="64" t="str">
        <f aca="false">IF(Tasks!$D187="","",Tasks!$R187)</f>
        <v/>
      </c>
      <c r="H187" s="64" t="str">
        <f aca="false">IF(Tasks!$D187="","",Tasks!$S187)</f>
        <v/>
      </c>
      <c r="I187" s="65" t="str">
        <f aca="false">IF(Tasks!$D187="","",Tasks!$V187)</f>
        <v/>
      </c>
      <c r="J187" s="63" t="str">
        <f aca="false">IF(Tasks!$D187="","",Tasks!$X187&amp;"")</f>
        <v/>
      </c>
      <c r="K187" s="66" t="str">
        <f aca="false">IF(Tasks!$D187="","",Tasks!$W187)</f>
        <v/>
      </c>
      <c r="L187" s="67" t="b">
        <f aca="false">IF(Tasks!$D187="",FALSE(),Tasks!$AI187)</f>
        <v>0</v>
      </c>
      <c r="M187" s="67" t="b">
        <f aca="false">AND(Tasks!$AJ187=1,N(Tasks!$F187)=0)</f>
        <v>0</v>
      </c>
      <c r="N187" s="68" t="n">
        <f aca="false">IF(AND(Tasks!$AJ187=1,NOT($M187),N($I187)&gt;0),$G187,0)</f>
        <v>0</v>
      </c>
      <c r="O187" s="68" t="n">
        <f aca="false">IF($N187=0,0,IF($I187&gt;=1,$H187,MAX($N187,$G187+ROUND(($H187-$G187+1)*$I187,0)-1)))</f>
        <v>0</v>
      </c>
      <c r="P187" s="68" t="n">
        <f aca="false">IF(OR(Tasks!$AJ187&lt;&gt;1,$M187,N($I187)&gt;=1),0,IF($O187&gt;0,$O187+1,$G187))</f>
        <v>0</v>
      </c>
      <c r="Q187" s="68" t="n">
        <f aca="false">IF($P187=0,0,$H187)</f>
        <v>0</v>
      </c>
      <c r="R187" s="67" t="b">
        <f aca="false">AND(Tasks!$D187&lt;&gt;"",N(Tasks!$T187)&gt;0)</f>
        <v>0</v>
      </c>
      <c r="T187" s="69" t="str">
        <f aca="false">IF($E187="","",IF($M187,IF(AND($G187&gt;=T$5,$G187&lt;T$5+GanttPeriod),"◆",IF(AND($E187&gt;=T$5,$E187&lt;T$5+GanttPeriod),"◇","")),IF(AND(T$5&lt;=$F187,T$5+GanttPeriod-1&gt;=$E187),"━","")))</f>
        <v/>
      </c>
      <c r="U187" s="69" t="str">
        <f aca="false">IF($E187="","",IF($M187,IF(AND($G187&gt;=U$5,$G187&lt;U$5+GanttPeriod),"◆",IF(AND($E187&gt;=U$5,$E187&lt;U$5+GanttPeriod),"◇","")),IF(AND(U$5&lt;=$F187,U$5+GanttPeriod-1&gt;=$E187),"━","")))</f>
        <v/>
      </c>
      <c r="V187" s="69" t="str">
        <f aca="false">IF($E187="","",IF($M187,IF(AND($G187&gt;=V$5,$G187&lt;V$5+GanttPeriod),"◆",IF(AND($E187&gt;=V$5,$E187&lt;V$5+GanttPeriod),"◇","")),IF(AND(V$5&lt;=$F187,V$5+GanttPeriod-1&gt;=$E187),"━","")))</f>
        <v/>
      </c>
      <c r="W187" s="69" t="str">
        <f aca="false">IF($E187="","",IF($M187,IF(AND($G187&gt;=W$5,$G187&lt;W$5+GanttPeriod),"◆",IF(AND($E187&gt;=W$5,$E187&lt;W$5+GanttPeriod),"◇","")),IF(AND(W$5&lt;=$F187,W$5+GanttPeriod-1&gt;=$E187),"━","")))</f>
        <v/>
      </c>
      <c r="X187" s="69" t="str">
        <f aca="false">IF($E187="","",IF($M187,IF(AND($G187&gt;=X$5,$G187&lt;X$5+GanttPeriod),"◆",IF(AND($E187&gt;=X$5,$E187&lt;X$5+GanttPeriod),"◇","")),IF(AND(X$5&lt;=$F187,X$5+GanttPeriod-1&gt;=$E187),"━","")))</f>
        <v/>
      </c>
      <c r="Y187" s="69" t="str">
        <f aca="false">IF($E187="","",IF($M187,IF(AND($G187&gt;=Y$5,$G187&lt;Y$5+GanttPeriod),"◆",IF(AND($E187&gt;=Y$5,$E187&lt;Y$5+GanttPeriod),"◇","")),IF(AND(Y$5&lt;=$F187,Y$5+GanttPeriod-1&gt;=$E187),"━","")))</f>
        <v/>
      </c>
      <c r="Z187" s="69" t="str">
        <f aca="false">IF($E187="","",IF($M187,IF(AND($G187&gt;=Z$5,$G187&lt;Z$5+GanttPeriod),"◆",IF(AND($E187&gt;=Z$5,$E187&lt;Z$5+GanttPeriod),"◇","")),IF(AND(Z$5&lt;=$F187,Z$5+GanttPeriod-1&gt;=$E187),"━","")))</f>
        <v/>
      </c>
      <c r="AA187" s="69" t="str">
        <f aca="false">IF($E187="","",IF($M187,IF(AND($G187&gt;=AA$5,$G187&lt;AA$5+GanttPeriod),"◆",IF(AND($E187&gt;=AA$5,$E187&lt;AA$5+GanttPeriod),"◇","")),IF(AND(AA$5&lt;=$F187,AA$5+GanttPeriod-1&gt;=$E187),"━","")))</f>
        <v/>
      </c>
      <c r="AB187" s="69" t="str">
        <f aca="false">IF($E187="","",IF($M187,IF(AND($G187&gt;=AB$5,$G187&lt;AB$5+GanttPeriod),"◆",IF(AND($E187&gt;=AB$5,$E187&lt;AB$5+GanttPeriod),"◇","")),IF(AND(AB$5&lt;=$F187,AB$5+GanttPeriod-1&gt;=$E187),"━","")))</f>
        <v/>
      </c>
      <c r="AC187" s="69" t="str">
        <f aca="false">IF($E187="","",IF($M187,IF(AND($G187&gt;=AC$5,$G187&lt;AC$5+GanttPeriod),"◆",IF(AND($E187&gt;=AC$5,$E187&lt;AC$5+GanttPeriod),"◇","")),IF(AND(AC$5&lt;=$F187,AC$5+GanttPeriod-1&gt;=$E187),"━","")))</f>
        <v/>
      </c>
      <c r="AD187" s="69" t="str">
        <f aca="false">IF($E187="","",IF($M187,IF(AND($G187&gt;=AD$5,$G187&lt;AD$5+GanttPeriod),"◆",IF(AND($E187&gt;=AD$5,$E187&lt;AD$5+GanttPeriod),"◇","")),IF(AND(AD$5&lt;=$F187,AD$5+GanttPeriod-1&gt;=$E187),"━","")))</f>
        <v/>
      </c>
      <c r="AE187" s="69" t="str">
        <f aca="false">IF($E187="","",IF($M187,IF(AND($G187&gt;=AE$5,$G187&lt;AE$5+GanttPeriod),"◆",IF(AND($E187&gt;=AE$5,$E187&lt;AE$5+GanttPeriod),"◇","")),IF(AND(AE$5&lt;=$F187,AE$5+GanttPeriod-1&gt;=$E187),"━","")))</f>
        <v/>
      </c>
      <c r="AF187" s="69" t="str">
        <f aca="false">IF($E187="","",IF($M187,IF(AND($G187&gt;=AF$5,$G187&lt;AF$5+GanttPeriod),"◆",IF(AND($E187&gt;=AF$5,$E187&lt;AF$5+GanttPeriod),"◇","")),IF(AND(AF$5&lt;=$F187,AF$5+GanttPeriod-1&gt;=$E187),"━","")))</f>
        <v/>
      </c>
      <c r="AG187" s="69" t="str">
        <f aca="false">IF($E187="","",IF($M187,IF(AND($G187&gt;=AG$5,$G187&lt;AG$5+GanttPeriod),"◆",IF(AND($E187&gt;=AG$5,$E187&lt;AG$5+GanttPeriod),"◇","")),IF(AND(AG$5&lt;=$F187,AG$5+GanttPeriod-1&gt;=$E187),"━","")))</f>
        <v/>
      </c>
      <c r="AH187" s="69" t="str">
        <f aca="false">IF($E187="","",IF($M187,IF(AND($G187&gt;=AH$5,$G187&lt;AH$5+GanttPeriod),"◆",IF(AND($E187&gt;=AH$5,$E187&lt;AH$5+GanttPeriod),"◇","")),IF(AND(AH$5&lt;=$F187,AH$5+GanttPeriod-1&gt;=$E187),"━","")))</f>
        <v/>
      </c>
      <c r="AI187" s="69" t="str">
        <f aca="false">IF($E187="","",IF($M187,IF(AND($G187&gt;=AI$5,$G187&lt;AI$5+GanttPeriod),"◆",IF(AND($E187&gt;=AI$5,$E187&lt;AI$5+GanttPeriod),"◇","")),IF(AND(AI$5&lt;=$F187,AI$5+GanttPeriod-1&gt;=$E187),"━","")))</f>
        <v/>
      </c>
      <c r="AJ187" s="69" t="str">
        <f aca="false">IF($E187="","",IF($M187,IF(AND($G187&gt;=AJ$5,$G187&lt;AJ$5+GanttPeriod),"◆",IF(AND($E187&gt;=AJ$5,$E187&lt;AJ$5+GanttPeriod),"◇","")),IF(AND(AJ$5&lt;=$F187,AJ$5+GanttPeriod-1&gt;=$E187),"━","")))</f>
        <v/>
      </c>
      <c r="AK187" s="69" t="str">
        <f aca="false">IF($E187="","",IF($M187,IF(AND($G187&gt;=AK$5,$G187&lt;AK$5+GanttPeriod),"◆",IF(AND($E187&gt;=AK$5,$E187&lt;AK$5+GanttPeriod),"◇","")),IF(AND(AK$5&lt;=$F187,AK$5+GanttPeriod-1&gt;=$E187),"━","")))</f>
        <v/>
      </c>
      <c r="AL187" s="69" t="str">
        <f aca="false">IF($E187="","",IF($M187,IF(AND($G187&gt;=AL$5,$G187&lt;AL$5+GanttPeriod),"◆",IF(AND($E187&gt;=AL$5,$E187&lt;AL$5+GanttPeriod),"◇","")),IF(AND(AL$5&lt;=$F187,AL$5+GanttPeriod-1&gt;=$E187),"━","")))</f>
        <v/>
      </c>
      <c r="AM187" s="69" t="str">
        <f aca="false">IF($E187="","",IF($M187,IF(AND($G187&gt;=AM$5,$G187&lt;AM$5+GanttPeriod),"◆",IF(AND($E187&gt;=AM$5,$E187&lt;AM$5+GanttPeriod),"◇","")),IF(AND(AM$5&lt;=$F187,AM$5+GanttPeriod-1&gt;=$E187),"━","")))</f>
        <v/>
      </c>
      <c r="AN187" s="69" t="str">
        <f aca="false">IF($E187="","",IF($M187,IF(AND($G187&gt;=AN$5,$G187&lt;AN$5+GanttPeriod),"◆",IF(AND($E187&gt;=AN$5,$E187&lt;AN$5+GanttPeriod),"◇","")),IF(AND(AN$5&lt;=$F187,AN$5+GanttPeriod-1&gt;=$E187),"━","")))</f>
        <v/>
      </c>
      <c r="AO187" s="69" t="str">
        <f aca="false">IF($E187="","",IF($M187,IF(AND($G187&gt;=AO$5,$G187&lt;AO$5+GanttPeriod),"◆",IF(AND($E187&gt;=AO$5,$E187&lt;AO$5+GanttPeriod),"◇","")),IF(AND(AO$5&lt;=$F187,AO$5+GanttPeriod-1&gt;=$E187),"━","")))</f>
        <v/>
      </c>
      <c r="AP187" s="69" t="str">
        <f aca="false">IF($E187="","",IF($M187,IF(AND($G187&gt;=AP$5,$G187&lt;AP$5+GanttPeriod),"◆",IF(AND($E187&gt;=AP$5,$E187&lt;AP$5+GanttPeriod),"◇","")),IF(AND(AP$5&lt;=$F187,AP$5+GanttPeriod-1&gt;=$E187),"━","")))</f>
        <v/>
      </c>
      <c r="AQ187" s="69" t="str">
        <f aca="false">IF($E187="","",IF($M187,IF(AND($G187&gt;=AQ$5,$G187&lt;AQ$5+GanttPeriod),"◆",IF(AND($E187&gt;=AQ$5,$E187&lt;AQ$5+GanttPeriod),"◇","")),IF(AND(AQ$5&lt;=$F187,AQ$5+GanttPeriod-1&gt;=$E187),"━","")))</f>
        <v/>
      </c>
      <c r="AR187" s="69" t="str">
        <f aca="false">IF($E187="","",IF($M187,IF(AND($G187&gt;=AR$5,$G187&lt;AR$5+GanttPeriod),"◆",IF(AND($E187&gt;=AR$5,$E187&lt;AR$5+GanttPeriod),"◇","")),IF(AND(AR$5&lt;=$F187,AR$5+GanttPeriod-1&gt;=$E187),"━","")))</f>
        <v/>
      </c>
      <c r="AS187" s="69" t="str">
        <f aca="false">IF($E187="","",IF($M187,IF(AND($G187&gt;=AS$5,$G187&lt;AS$5+GanttPeriod),"◆",IF(AND($E187&gt;=AS$5,$E187&lt;AS$5+GanttPeriod),"◇","")),IF(AND(AS$5&lt;=$F187,AS$5+GanttPeriod-1&gt;=$E187),"━","")))</f>
        <v/>
      </c>
      <c r="AT187" s="69" t="str">
        <f aca="false">IF($E187="","",IF($M187,IF(AND($G187&gt;=AT$5,$G187&lt;AT$5+GanttPeriod),"◆",IF(AND($E187&gt;=AT$5,$E187&lt;AT$5+GanttPeriod),"◇","")),IF(AND(AT$5&lt;=$F187,AT$5+GanttPeriod-1&gt;=$E187),"━","")))</f>
        <v/>
      </c>
      <c r="AU187" s="69" t="str">
        <f aca="false">IF($E187="","",IF($M187,IF(AND($G187&gt;=AU$5,$G187&lt;AU$5+GanttPeriod),"◆",IF(AND($E187&gt;=AU$5,$E187&lt;AU$5+GanttPeriod),"◇","")),IF(AND(AU$5&lt;=$F187,AU$5+GanttPeriod-1&gt;=$E187),"━","")))</f>
        <v/>
      </c>
      <c r="AV187" s="69" t="str">
        <f aca="false">IF($E187="","",IF($M187,IF(AND($G187&gt;=AV$5,$G187&lt;AV$5+GanttPeriod),"◆",IF(AND($E187&gt;=AV$5,$E187&lt;AV$5+GanttPeriod),"◇","")),IF(AND(AV$5&lt;=$F187,AV$5+GanttPeriod-1&gt;=$E187),"━","")))</f>
        <v/>
      </c>
      <c r="AW187" s="69" t="str">
        <f aca="false">IF($E187="","",IF($M187,IF(AND($G187&gt;=AW$5,$G187&lt;AW$5+GanttPeriod),"◆",IF(AND($E187&gt;=AW$5,$E187&lt;AW$5+GanttPeriod),"◇","")),IF(AND(AW$5&lt;=$F187,AW$5+GanttPeriod-1&gt;=$E187),"━","")))</f>
        <v/>
      </c>
      <c r="AX187" s="69" t="str">
        <f aca="false">IF($E187="","",IF($M187,IF(AND($G187&gt;=AX$5,$G187&lt;AX$5+GanttPeriod),"◆",IF(AND($E187&gt;=AX$5,$E187&lt;AX$5+GanttPeriod),"◇","")),IF(AND(AX$5&lt;=$F187,AX$5+GanttPeriod-1&gt;=$E187),"━","")))</f>
        <v/>
      </c>
      <c r="AY187" s="69" t="str">
        <f aca="false">IF($E187="","",IF($M187,IF(AND($G187&gt;=AY$5,$G187&lt;AY$5+GanttPeriod),"◆",IF(AND($E187&gt;=AY$5,$E187&lt;AY$5+GanttPeriod),"◇","")),IF(AND(AY$5&lt;=$F187,AY$5+GanttPeriod-1&gt;=$E187),"━","")))</f>
        <v/>
      </c>
      <c r="AZ187" s="69" t="str">
        <f aca="false">IF($E187="","",IF($M187,IF(AND($G187&gt;=AZ$5,$G187&lt;AZ$5+GanttPeriod),"◆",IF(AND($E187&gt;=AZ$5,$E187&lt;AZ$5+GanttPeriod),"◇","")),IF(AND(AZ$5&lt;=$F187,AZ$5+GanttPeriod-1&gt;=$E187),"━","")))</f>
        <v/>
      </c>
      <c r="BA187" s="69" t="str">
        <f aca="false">IF($E187="","",IF($M187,IF(AND($G187&gt;=BA$5,$G187&lt;BA$5+GanttPeriod),"◆",IF(AND($E187&gt;=BA$5,$E187&lt;BA$5+GanttPeriod),"◇","")),IF(AND(BA$5&lt;=$F187,BA$5+GanttPeriod-1&gt;=$E187),"━","")))</f>
        <v/>
      </c>
      <c r="BB187" s="69" t="str">
        <f aca="false">IF($E187="","",IF($M187,IF(AND($G187&gt;=BB$5,$G187&lt;BB$5+GanttPeriod),"◆",IF(AND($E187&gt;=BB$5,$E187&lt;BB$5+GanttPeriod),"◇","")),IF(AND(BB$5&lt;=$F187,BB$5+GanttPeriod-1&gt;=$E187),"━","")))</f>
        <v/>
      </c>
      <c r="BC187" s="69" t="str">
        <f aca="false">IF($E187="","",IF($M187,IF(AND($G187&gt;=BC$5,$G187&lt;BC$5+GanttPeriod),"◆",IF(AND($E187&gt;=BC$5,$E187&lt;BC$5+GanttPeriod),"◇","")),IF(AND(BC$5&lt;=$F187,BC$5+GanttPeriod-1&gt;=$E187),"━","")))</f>
        <v/>
      </c>
      <c r="BD187" s="69" t="str">
        <f aca="false">IF($E187="","",IF($M187,IF(AND($G187&gt;=BD$5,$G187&lt;BD$5+GanttPeriod),"◆",IF(AND($E187&gt;=BD$5,$E187&lt;BD$5+GanttPeriod),"◇","")),IF(AND(BD$5&lt;=$F187,BD$5+GanttPeriod-1&gt;=$E187),"━","")))</f>
        <v/>
      </c>
      <c r="BE187" s="69" t="str">
        <f aca="false">IF($E187="","",IF($M187,IF(AND($G187&gt;=BE$5,$G187&lt;BE$5+GanttPeriod),"◆",IF(AND($E187&gt;=BE$5,$E187&lt;BE$5+GanttPeriod),"◇","")),IF(AND(BE$5&lt;=$F187,BE$5+GanttPeriod-1&gt;=$E187),"━","")))</f>
        <v/>
      </c>
      <c r="BF187" s="69" t="str">
        <f aca="false">IF($E187="","",IF($M187,IF(AND($G187&gt;=BF$5,$G187&lt;BF$5+GanttPeriod),"◆",IF(AND($E187&gt;=BF$5,$E187&lt;BF$5+GanttPeriod),"◇","")),IF(AND(BF$5&lt;=$F187,BF$5+GanttPeriod-1&gt;=$E187),"━","")))</f>
        <v/>
      </c>
      <c r="BG187" s="69" t="str">
        <f aca="false">IF($E187="","",IF($M187,IF(AND($G187&gt;=BG$5,$G187&lt;BG$5+GanttPeriod),"◆",IF(AND($E187&gt;=BG$5,$E187&lt;BG$5+GanttPeriod),"◇","")),IF(AND(BG$5&lt;=$F187,BG$5+GanttPeriod-1&gt;=$E187),"━","")))</f>
        <v/>
      </c>
      <c r="BH187" s="69" t="str">
        <f aca="false">IF($E187="","",IF($M187,IF(AND($G187&gt;=BH$5,$G187&lt;BH$5+GanttPeriod),"◆",IF(AND($E187&gt;=BH$5,$E187&lt;BH$5+GanttPeriod),"◇","")),IF(AND(BH$5&lt;=$F187,BH$5+GanttPeriod-1&gt;=$E187),"━","")))</f>
        <v/>
      </c>
      <c r="BI187" s="69" t="str">
        <f aca="false">IF($E187="","",IF($M187,IF(AND($G187&gt;=BI$5,$G187&lt;BI$5+GanttPeriod),"◆",IF(AND($E187&gt;=BI$5,$E187&lt;BI$5+GanttPeriod),"◇","")),IF(AND(BI$5&lt;=$F187,BI$5+GanttPeriod-1&gt;=$E187),"━","")))</f>
        <v/>
      </c>
      <c r="BJ187" s="69" t="str">
        <f aca="false">IF($E187="","",IF($M187,IF(AND($G187&gt;=BJ$5,$G187&lt;BJ$5+GanttPeriod),"◆",IF(AND($E187&gt;=BJ$5,$E187&lt;BJ$5+GanttPeriod),"◇","")),IF(AND(BJ$5&lt;=$F187,BJ$5+GanttPeriod-1&gt;=$E187),"━","")))</f>
        <v/>
      </c>
      <c r="BK187" s="69" t="str">
        <f aca="false">IF($E187="","",IF($M187,IF(AND($G187&gt;=BK$5,$G187&lt;BK$5+GanttPeriod),"◆",IF(AND($E187&gt;=BK$5,$E187&lt;BK$5+GanttPeriod),"◇","")),IF(AND(BK$5&lt;=$F187,BK$5+GanttPeriod-1&gt;=$E187),"━","")))</f>
        <v/>
      </c>
      <c r="BL187" s="69" t="str">
        <f aca="false">IF($E187="","",IF($M187,IF(AND($G187&gt;=BL$5,$G187&lt;BL$5+GanttPeriod),"◆",IF(AND($E187&gt;=BL$5,$E187&lt;BL$5+GanttPeriod),"◇","")),IF(AND(BL$5&lt;=$F187,BL$5+GanttPeriod-1&gt;=$E187),"━","")))</f>
        <v/>
      </c>
      <c r="BM187" s="69" t="str">
        <f aca="false">IF($E187="","",IF($M187,IF(AND($G187&gt;=BM$5,$G187&lt;BM$5+GanttPeriod),"◆",IF(AND($E187&gt;=BM$5,$E187&lt;BM$5+GanttPeriod),"◇","")),IF(AND(BM$5&lt;=$F187,BM$5+GanttPeriod-1&gt;=$E187),"━","")))</f>
        <v/>
      </c>
      <c r="BN187" s="69" t="str">
        <f aca="false">IF($E187="","",IF($M187,IF(AND($G187&gt;=BN$5,$G187&lt;BN$5+GanttPeriod),"◆",IF(AND($E187&gt;=BN$5,$E187&lt;BN$5+GanttPeriod),"◇","")),IF(AND(BN$5&lt;=$F187,BN$5+GanttPeriod-1&gt;=$E187),"━","")))</f>
        <v/>
      </c>
      <c r="BO187" s="69" t="str">
        <f aca="false">IF($E187="","",IF($M187,IF(AND($G187&gt;=BO$5,$G187&lt;BO$5+GanttPeriod),"◆",IF(AND($E187&gt;=BO$5,$E187&lt;BO$5+GanttPeriod),"◇","")),IF(AND(BO$5&lt;=$F187,BO$5+GanttPeriod-1&gt;=$E187),"━","")))</f>
        <v/>
      </c>
      <c r="BP187" s="69" t="str">
        <f aca="false">IF($E187="","",IF($M187,IF(AND($G187&gt;=BP$5,$G187&lt;BP$5+GanttPeriod),"◆",IF(AND($E187&gt;=BP$5,$E187&lt;BP$5+GanttPeriod),"◇","")),IF(AND(BP$5&lt;=$F187,BP$5+GanttPeriod-1&gt;=$E187),"━","")))</f>
        <v/>
      </c>
      <c r="BQ187" s="69" t="str">
        <f aca="false">IF($E187="","",IF($M187,IF(AND($G187&gt;=BQ$5,$G187&lt;BQ$5+GanttPeriod),"◆",IF(AND($E187&gt;=BQ$5,$E187&lt;BQ$5+GanttPeriod),"◇","")),IF(AND(BQ$5&lt;=$F187,BQ$5+GanttPeriod-1&gt;=$E187),"━","")))</f>
        <v/>
      </c>
      <c r="BR187" s="69" t="str">
        <f aca="false">IF($E187="","",IF($M187,IF(AND($G187&gt;=BR$5,$G187&lt;BR$5+GanttPeriod),"◆",IF(AND($E187&gt;=BR$5,$E187&lt;BR$5+GanttPeriod),"◇","")),IF(AND(BR$5&lt;=$F187,BR$5+GanttPeriod-1&gt;=$E187),"━","")))</f>
        <v/>
      </c>
      <c r="BS187" s="69" t="str">
        <f aca="false">IF($E187="","",IF($M187,IF(AND($G187&gt;=BS$5,$G187&lt;BS$5+GanttPeriod),"◆",IF(AND($E187&gt;=BS$5,$E187&lt;BS$5+GanttPeriod),"◇","")),IF(AND(BS$5&lt;=$F187,BS$5+GanttPeriod-1&gt;=$E187),"━","")))</f>
        <v/>
      </c>
      <c r="BT187" s="69" t="str">
        <f aca="false">IF($E187="","",IF($M187,IF(AND($G187&gt;=BT$5,$G187&lt;BT$5+GanttPeriod),"◆",IF(AND($E187&gt;=BT$5,$E187&lt;BT$5+GanttPeriod),"◇","")),IF(AND(BT$5&lt;=$F187,BT$5+GanttPeriod-1&gt;=$E187),"━","")))</f>
        <v/>
      </c>
      <c r="BU187" s="69" t="str">
        <f aca="false">IF($E187="","",IF($M187,IF(AND($G187&gt;=BU$5,$G187&lt;BU$5+GanttPeriod),"◆",IF(AND($E187&gt;=BU$5,$E187&lt;BU$5+GanttPeriod),"◇","")),IF(AND(BU$5&lt;=$F187,BU$5+GanttPeriod-1&gt;=$E187),"━","")))</f>
        <v/>
      </c>
      <c r="BV187" s="69" t="str">
        <f aca="false">IF($E187="","",IF($M187,IF(AND($G187&gt;=BV$5,$G187&lt;BV$5+GanttPeriod),"◆",IF(AND($E187&gt;=BV$5,$E187&lt;BV$5+GanttPeriod),"◇","")),IF(AND(BV$5&lt;=$F187,BV$5+GanttPeriod-1&gt;=$E187),"━","")))</f>
        <v/>
      </c>
      <c r="BW187" s="69" t="str">
        <f aca="false">IF($E187="","",IF($M187,IF(AND($G187&gt;=BW$5,$G187&lt;BW$5+GanttPeriod),"◆",IF(AND($E187&gt;=BW$5,$E187&lt;BW$5+GanttPeriod),"◇","")),IF(AND(BW$5&lt;=$F187,BW$5+GanttPeriod-1&gt;=$E187),"━","")))</f>
        <v/>
      </c>
      <c r="BX187" s="69" t="str">
        <f aca="false">IF($E187="","",IF($M187,IF(AND($G187&gt;=BX$5,$G187&lt;BX$5+GanttPeriod),"◆",IF(AND($E187&gt;=BX$5,$E187&lt;BX$5+GanttPeriod),"◇","")),IF(AND(BX$5&lt;=$F187,BX$5+GanttPeriod-1&gt;=$E187),"━","")))</f>
        <v/>
      </c>
      <c r="BY187" s="69" t="str">
        <f aca="false">IF($E187="","",IF($M187,IF(AND($G187&gt;=BY$5,$G187&lt;BY$5+GanttPeriod),"◆",IF(AND($E187&gt;=BY$5,$E187&lt;BY$5+GanttPeriod),"◇","")),IF(AND(BY$5&lt;=$F187,BY$5+GanttPeriod-1&gt;=$E187),"━","")))</f>
        <v/>
      </c>
      <c r="BZ187" s="69" t="str">
        <f aca="false">IF($E187="","",IF($M187,IF(AND($G187&gt;=BZ$5,$G187&lt;BZ$5+GanttPeriod),"◆",IF(AND($E187&gt;=BZ$5,$E187&lt;BZ$5+GanttPeriod),"◇","")),IF(AND(BZ$5&lt;=$F187,BZ$5+GanttPeriod-1&gt;=$E187),"━","")))</f>
        <v/>
      </c>
      <c r="CA187" s="69" t="str">
        <f aca="false">IF($E187="","",IF($M187,IF(AND($G187&gt;=CA$5,$G187&lt;CA$5+GanttPeriod),"◆",IF(AND($E187&gt;=CA$5,$E187&lt;CA$5+GanttPeriod),"◇","")),IF(AND(CA$5&lt;=$F187,CA$5+GanttPeriod-1&gt;=$E187),"━","")))</f>
        <v/>
      </c>
      <c r="CB187" s="69" t="str">
        <f aca="false">IF($E187="","",IF($M187,IF(AND($G187&gt;=CB$5,$G187&lt;CB$5+GanttPeriod),"◆",IF(AND($E187&gt;=CB$5,$E187&lt;CB$5+GanttPeriod),"◇","")),IF(AND(CB$5&lt;=$F187,CB$5+GanttPeriod-1&gt;=$E187),"━","")))</f>
        <v/>
      </c>
      <c r="CC187" s="69" t="str">
        <f aca="false">IF($E187="","",IF($M187,IF(AND($G187&gt;=CC$5,$G187&lt;CC$5+GanttPeriod),"◆",IF(AND($E187&gt;=CC$5,$E187&lt;CC$5+GanttPeriod),"◇","")),IF(AND(CC$5&lt;=$F187,CC$5+GanttPeriod-1&gt;=$E187),"━","")))</f>
        <v/>
      </c>
      <c r="CD187" s="69" t="str">
        <f aca="false">IF($E187="","",IF($M187,IF(AND($G187&gt;=CD$5,$G187&lt;CD$5+GanttPeriod),"◆",IF(AND($E187&gt;=CD$5,$E187&lt;CD$5+GanttPeriod),"◇","")),IF(AND(CD$5&lt;=$F187,CD$5+GanttPeriod-1&gt;=$E187),"━","")))</f>
        <v/>
      </c>
      <c r="CE187" s="69" t="str">
        <f aca="false">IF($E187="","",IF($M187,IF(AND($G187&gt;=CE$5,$G187&lt;CE$5+GanttPeriod),"◆",IF(AND($E187&gt;=CE$5,$E187&lt;CE$5+GanttPeriod),"◇","")),IF(AND(CE$5&lt;=$F187,CE$5+GanttPeriod-1&gt;=$E187),"━","")))</f>
        <v/>
      </c>
      <c r="CF187" s="69" t="str">
        <f aca="false">IF($E187="","",IF($M187,IF(AND($G187&gt;=CF$5,$G187&lt;CF$5+GanttPeriod),"◆",IF(AND($E187&gt;=CF$5,$E187&lt;CF$5+GanttPeriod),"◇","")),IF(AND(CF$5&lt;=$F187,CF$5+GanttPeriod-1&gt;=$E187),"━","")))</f>
        <v/>
      </c>
      <c r="CG187" s="69" t="str">
        <f aca="false">IF($E187="","",IF($M187,IF(AND($G187&gt;=CG$5,$G187&lt;CG$5+GanttPeriod),"◆",IF(AND($E187&gt;=CG$5,$E187&lt;CG$5+GanttPeriod),"◇","")),IF(AND(CG$5&lt;=$F187,CG$5+GanttPeriod-1&gt;=$E187),"━","")))</f>
        <v/>
      </c>
      <c r="CH187" s="69" t="str">
        <f aca="false">IF($E187="","",IF($M187,IF(AND($G187&gt;=CH$5,$G187&lt;CH$5+GanttPeriod),"◆",IF(AND($E187&gt;=CH$5,$E187&lt;CH$5+GanttPeriod),"◇","")),IF(AND(CH$5&lt;=$F187,CH$5+GanttPeriod-1&gt;=$E187),"━","")))</f>
        <v/>
      </c>
      <c r="CI187" s="69" t="str">
        <f aca="false">IF($E187="","",IF($M187,IF(AND($G187&gt;=CI$5,$G187&lt;CI$5+GanttPeriod),"◆",IF(AND($E187&gt;=CI$5,$E187&lt;CI$5+GanttPeriod),"◇","")),IF(AND(CI$5&lt;=$F187,CI$5+GanttPeriod-1&gt;=$E187),"━","")))</f>
        <v/>
      </c>
      <c r="CJ187" s="69" t="str">
        <f aca="false">IF($E187="","",IF($M187,IF(AND($G187&gt;=CJ$5,$G187&lt;CJ$5+GanttPeriod),"◆",IF(AND($E187&gt;=CJ$5,$E187&lt;CJ$5+GanttPeriod),"◇","")),IF(AND(CJ$5&lt;=$F187,CJ$5+GanttPeriod-1&gt;=$E187),"━","")))</f>
        <v/>
      </c>
      <c r="CK187" s="69" t="str">
        <f aca="false">IF($E187="","",IF($M187,IF(AND($G187&gt;=CK$5,$G187&lt;CK$5+GanttPeriod),"◆",IF(AND($E187&gt;=CK$5,$E187&lt;CK$5+GanttPeriod),"◇","")),IF(AND(CK$5&lt;=$F187,CK$5+GanttPeriod-1&gt;=$E187),"━","")))</f>
        <v/>
      </c>
      <c r="CL187" s="69" t="str">
        <f aca="false">IF($E187="","",IF($M187,IF(AND($G187&gt;=CL$5,$G187&lt;CL$5+GanttPeriod),"◆",IF(AND($E187&gt;=CL$5,$E187&lt;CL$5+GanttPeriod),"◇","")),IF(AND(CL$5&lt;=$F187,CL$5+GanttPeriod-1&gt;=$E187),"━","")))</f>
        <v/>
      </c>
      <c r="CM187" s="69" t="str">
        <f aca="false">IF($E187="","",IF($M187,IF(AND($G187&gt;=CM$5,$G187&lt;CM$5+GanttPeriod),"◆",IF(AND($E187&gt;=CM$5,$E187&lt;CM$5+GanttPeriod),"◇","")),IF(AND(CM$5&lt;=$F187,CM$5+GanttPeriod-1&gt;=$E187),"━","")))</f>
        <v/>
      </c>
      <c r="CN187" s="69" t="str">
        <f aca="false">IF($E187="","",IF($M187,IF(AND($G187&gt;=CN$5,$G187&lt;CN$5+GanttPeriod),"◆",IF(AND($E187&gt;=CN$5,$E187&lt;CN$5+GanttPeriod),"◇","")),IF(AND(CN$5&lt;=$F187,CN$5+GanttPeriod-1&gt;=$E187),"━","")))</f>
        <v/>
      </c>
      <c r="CO187" s="69" t="str">
        <f aca="false">IF($E187="","",IF($M187,IF(AND($G187&gt;=CO$5,$G187&lt;CO$5+GanttPeriod),"◆",IF(AND($E187&gt;=CO$5,$E187&lt;CO$5+GanttPeriod),"◇","")),IF(AND(CO$5&lt;=$F187,CO$5+GanttPeriod-1&gt;=$E187),"━","")))</f>
        <v/>
      </c>
      <c r="CP187" s="69" t="str">
        <f aca="false">IF($E187="","",IF($M187,IF(AND($G187&gt;=CP$5,$G187&lt;CP$5+GanttPeriod),"◆",IF(AND($E187&gt;=CP$5,$E187&lt;CP$5+GanttPeriod),"◇","")),IF(AND(CP$5&lt;=$F187,CP$5+GanttPeriod-1&gt;=$E187),"━","")))</f>
        <v/>
      </c>
      <c r="CQ187" s="69" t="str">
        <f aca="false">IF($E187="","",IF($M187,IF(AND($G187&gt;=CQ$5,$G187&lt;CQ$5+GanttPeriod),"◆",IF(AND($E187&gt;=CQ$5,$E187&lt;CQ$5+GanttPeriod),"◇","")),IF(AND(CQ$5&lt;=$F187,CQ$5+GanttPeriod-1&gt;=$E187),"━","")))</f>
        <v/>
      </c>
      <c r="CR187" s="69" t="str">
        <f aca="false">IF($E187="","",IF($M187,IF(AND($G187&gt;=CR$5,$G187&lt;CR$5+GanttPeriod),"◆",IF(AND($E187&gt;=CR$5,$E187&lt;CR$5+GanttPeriod),"◇","")),IF(AND(CR$5&lt;=$F187,CR$5+GanttPeriod-1&gt;=$E187),"━","")))</f>
        <v/>
      </c>
      <c r="CS187" s="69" t="str">
        <f aca="false">IF($E187="","",IF($M187,IF(AND($G187&gt;=CS$5,$G187&lt;CS$5+GanttPeriod),"◆",IF(AND($E187&gt;=CS$5,$E187&lt;CS$5+GanttPeriod),"◇","")),IF(AND(CS$5&lt;=$F187,CS$5+GanttPeriod-1&gt;=$E187),"━","")))</f>
        <v/>
      </c>
      <c r="CT187" s="69" t="str">
        <f aca="false">IF($E187="","",IF($M187,IF(AND($G187&gt;=CT$5,$G187&lt;CT$5+GanttPeriod),"◆",IF(AND($E187&gt;=CT$5,$E187&lt;CT$5+GanttPeriod),"◇","")),IF(AND(CT$5&lt;=$F187,CT$5+GanttPeriod-1&gt;=$E187),"━","")))</f>
        <v/>
      </c>
      <c r="CU187" s="69" t="str">
        <f aca="false">IF($E187="","",IF($M187,IF(AND($G187&gt;=CU$5,$G187&lt;CU$5+GanttPeriod),"◆",IF(AND($E187&gt;=CU$5,$E187&lt;CU$5+GanttPeriod),"◇","")),IF(AND(CU$5&lt;=$F187,CU$5+GanttPeriod-1&gt;=$E187),"━","")))</f>
        <v/>
      </c>
      <c r="CV187" s="69" t="str">
        <f aca="false">IF($E187="","",IF($M187,IF(AND($G187&gt;=CV$5,$G187&lt;CV$5+GanttPeriod),"◆",IF(AND($E187&gt;=CV$5,$E187&lt;CV$5+GanttPeriod),"◇","")),IF(AND(CV$5&lt;=$F187,CV$5+GanttPeriod-1&gt;=$E187),"━","")))</f>
        <v/>
      </c>
      <c r="CW187" s="69" t="str">
        <f aca="false">IF($E187="","",IF($M187,IF(AND($G187&gt;=CW$5,$G187&lt;CW$5+GanttPeriod),"◆",IF(AND($E187&gt;=CW$5,$E187&lt;CW$5+GanttPeriod),"◇","")),IF(AND(CW$5&lt;=$F187,CW$5+GanttPeriod-1&gt;=$E187),"━","")))</f>
        <v/>
      </c>
      <c r="CX187" s="69" t="str">
        <f aca="false">IF($E187="","",IF($M187,IF(AND($G187&gt;=CX$5,$G187&lt;CX$5+GanttPeriod),"◆",IF(AND($E187&gt;=CX$5,$E187&lt;CX$5+GanttPeriod),"◇","")),IF(AND(CX$5&lt;=$F187,CX$5+GanttPeriod-1&gt;=$E187),"━","")))</f>
        <v/>
      </c>
      <c r="CY187" s="69" t="str">
        <f aca="false">IF($E187="","",IF($M187,IF(AND($G187&gt;=CY$5,$G187&lt;CY$5+GanttPeriod),"◆",IF(AND($E187&gt;=CY$5,$E187&lt;CY$5+GanttPeriod),"◇","")),IF(AND(CY$5&lt;=$F187,CY$5+GanttPeriod-1&gt;=$E187),"━","")))</f>
        <v/>
      </c>
      <c r="CZ187" s="69" t="str">
        <f aca="false">IF($E187="","",IF($M187,IF(AND($G187&gt;=CZ$5,$G187&lt;CZ$5+GanttPeriod),"◆",IF(AND($E187&gt;=CZ$5,$E187&lt;CZ$5+GanttPeriod),"◇","")),IF(AND(CZ$5&lt;=$F187,CZ$5+GanttPeriod-1&gt;=$E187),"━","")))</f>
        <v/>
      </c>
      <c r="DA187" s="69" t="str">
        <f aca="false">IF($E187="","",IF($M187,IF(AND($G187&gt;=DA$5,$G187&lt;DA$5+GanttPeriod),"◆",IF(AND($E187&gt;=DA$5,$E187&lt;DA$5+GanttPeriod),"◇","")),IF(AND(DA$5&lt;=$F187,DA$5+GanttPeriod-1&gt;=$E187),"━","")))</f>
        <v/>
      </c>
      <c r="DB187" s="69" t="str">
        <f aca="false">IF($E187="","",IF($M187,IF(AND($G187&gt;=DB$5,$G187&lt;DB$5+GanttPeriod),"◆",IF(AND($E187&gt;=DB$5,$E187&lt;DB$5+GanttPeriod),"◇","")),IF(AND(DB$5&lt;=$F187,DB$5+GanttPeriod-1&gt;=$E187),"━","")))</f>
        <v/>
      </c>
      <c r="DC187" s="69" t="str">
        <f aca="false">IF($E187="","",IF($M187,IF(AND($G187&gt;=DC$5,$G187&lt;DC$5+GanttPeriod),"◆",IF(AND($E187&gt;=DC$5,$E187&lt;DC$5+GanttPeriod),"◇","")),IF(AND(DC$5&lt;=$F187,DC$5+GanttPeriod-1&gt;=$E187),"━","")))</f>
        <v/>
      </c>
      <c r="DD187" s="69" t="str">
        <f aca="false">IF($E187="","",IF($M187,IF(AND($G187&gt;=DD$5,$G187&lt;DD$5+GanttPeriod),"◆",IF(AND($E187&gt;=DD$5,$E187&lt;DD$5+GanttPeriod),"◇","")),IF(AND(DD$5&lt;=$F187,DD$5+GanttPeriod-1&gt;=$E187),"━","")))</f>
        <v/>
      </c>
      <c r="DE187" s="69" t="str">
        <f aca="false">IF($E187="","",IF($M187,IF(AND($G187&gt;=DE$5,$G187&lt;DE$5+GanttPeriod),"◆",IF(AND($E187&gt;=DE$5,$E187&lt;DE$5+GanttPeriod),"◇","")),IF(AND(DE$5&lt;=$F187,DE$5+GanttPeriod-1&gt;=$E187),"━","")))</f>
        <v/>
      </c>
      <c r="DF187" s="69" t="str">
        <f aca="false">IF($E187="","",IF($M187,IF(AND($G187&gt;=DF$5,$G187&lt;DF$5+GanttPeriod),"◆",IF(AND($E187&gt;=DF$5,$E187&lt;DF$5+GanttPeriod),"◇","")),IF(AND(DF$5&lt;=$F187,DF$5+GanttPeriod-1&gt;=$E187),"━","")))</f>
        <v/>
      </c>
      <c r="DG187" s="69" t="str">
        <f aca="false">IF($E187="","",IF($M187,IF(AND($G187&gt;=DG$5,$G187&lt;DG$5+GanttPeriod),"◆",IF(AND($E187&gt;=DG$5,$E187&lt;DG$5+GanttPeriod),"◇","")),IF(AND(DG$5&lt;=$F187,DG$5+GanttPeriod-1&gt;=$E187),"━","")))</f>
        <v/>
      </c>
      <c r="DH187" s="69" t="str">
        <f aca="false">IF($E187="","",IF($M187,IF(AND($G187&gt;=DH$5,$G187&lt;DH$5+GanttPeriod),"◆",IF(AND($E187&gt;=DH$5,$E187&lt;DH$5+GanttPeriod),"◇","")),IF(AND(DH$5&lt;=$F187,DH$5+GanttPeriod-1&gt;=$E187),"━","")))</f>
        <v/>
      </c>
      <c r="DI187" s="69" t="str">
        <f aca="false">IF($E187="","",IF($M187,IF(AND($G187&gt;=DI$5,$G187&lt;DI$5+GanttPeriod),"◆",IF(AND($E187&gt;=DI$5,$E187&lt;DI$5+GanttPeriod),"◇","")),IF(AND(DI$5&lt;=$F187,DI$5+GanttPeriod-1&gt;=$E187),"━","")))</f>
        <v/>
      </c>
      <c r="DJ187" s="69" t="str">
        <f aca="false">IF($E187="","",IF($M187,IF(AND($G187&gt;=DJ$5,$G187&lt;DJ$5+GanttPeriod),"◆",IF(AND($E187&gt;=DJ$5,$E187&lt;DJ$5+GanttPeriod),"◇","")),IF(AND(DJ$5&lt;=$F187,DJ$5+GanttPeriod-1&gt;=$E187),"━","")))</f>
        <v/>
      </c>
      <c r="DK187" s="69" t="str">
        <f aca="false">IF($E187="","",IF($M187,IF(AND($G187&gt;=DK$5,$G187&lt;DK$5+GanttPeriod),"◆",IF(AND($E187&gt;=DK$5,$E187&lt;DK$5+GanttPeriod),"◇","")),IF(AND(DK$5&lt;=$F187,DK$5+GanttPeriod-1&gt;=$E187),"━","")))</f>
        <v/>
      </c>
      <c r="DL187" s="69" t="str">
        <f aca="false">IF($E187="","",IF($M187,IF(AND($G187&gt;=DL$5,$G187&lt;DL$5+GanttPeriod),"◆",IF(AND($E187&gt;=DL$5,$E187&lt;DL$5+GanttPeriod),"◇","")),IF(AND(DL$5&lt;=$F187,DL$5+GanttPeriod-1&gt;=$E187),"━","")))</f>
        <v/>
      </c>
      <c r="DM187" s="69" t="str">
        <f aca="false">IF($E187="","",IF($M187,IF(AND($G187&gt;=DM$5,$G187&lt;DM$5+GanttPeriod),"◆",IF(AND($E187&gt;=DM$5,$E187&lt;DM$5+GanttPeriod),"◇","")),IF(AND(DM$5&lt;=$F187,DM$5+GanttPeriod-1&gt;=$E187),"━","")))</f>
        <v/>
      </c>
      <c r="DN187" s="69" t="str">
        <f aca="false">IF($E187="","",IF($M187,IF(AND($G187&gt;=DN$5,$G187&lt;DN$5+GanttPeriod),"◆",IF(AND($E187&gt;=DN$5,$E187&lt;DN$5+GanttPeriod),"◇","")),IF(AND(DN$5&lt;=$F187,DN$5+GanttPeriod-1&gt;=$E187),"━","")))</f>
        <v/>
      </c>
      <c r="DO187" s="69" t="str">
        <f aca="false">IF($E187="","",IF($M187,IF(AND($G187&gt;=DO$5,$G187&lt;DO$5+GanttPeriod),"◆",IF(AND($E187&gt;=DO$5,$E187&lt;DO$5+GanttPeriod),"◇","")),IF(AND(DO$5&lt;=$F187,DO$5+GanttPeriod-1&gt;=$E187),"━","")))</f>
        <v/>
      </c>
      <c r="DP187" s="69" t="str">
        <f aca="false">IF($E187="","",IF($M187,IF(AND($G187&gt;=DP$5,$G187&lt;DP$5+GanttPeriod),"◆",IF(AND($E187&gt;=DP$5,$E187&lt;DP$5+GanttPeriod),"◇","")),IF(AND(DP$5&lt;=$F187,DP$5+GanttPeriod-1&gt;=$E187),"━","")))</f>
        <v/>
      </c>
      <c r="DQ187" s="69" t="str">
        <f aca="false">IF($E187="","",IF($M187,IF(AND($G187&gt;=DQ$5,$G187&lt;DQ$5+GanttPeriod),"◆",IF(AND($E187&gt;=DQ$5,$E187&lt;DQ$5+GanttPeriod),"◇","")),IF(AND(DQ$5&lt;=$F187,DQ$5+GanttPeriod-1&gt;=$E187),"━","")))</f>
        <v/>
      </c>
      <c r="DR187" s="69" t="str">
        <f aca="false">IF($E187="","",IF($M187,IF(AND($G187&gt;=DR$5,$G187&lt;DR$5+GanttPeriod),"◆",IF(AND($E187&gt;=DR$5,$E187&lt;DR$5+GanttPeriod),"◇","")),IF(AND(DR$5&lt;=$F187,DR$5+GanttPeriod-1&gt;=$E187),"━","")))</f>
        <v/>
      </c>
      <c r="DS187" s="69" t="str">
        <f aca="false">IF($E187="","",IF($M187,IF(AND($G187&gt;=DS$5,$G187&lt;DS$5+GanttPeriod),"◆",IF(AND($E187&gt;=DS$5,$E187&lt;DS$5+GanttPeriod),"◇","")),IF(AND(DS$5&lt;=$F187,DS$5+GanttPeriod-1&gt;=$E187),"━","")))</f>
        <v/>
      </c>
      <c r="DT187" s="69" t="str">
        <f aca="false">IF($E187="","",IF($M187,IF(AND($G187&gt;=DT$5,$G187&lt;DT$5+GanttPeriod),"◆",IF(AND($E187&gt;=DT$5,$E187&lt;DT$5+GanttPeriod),"◇","")),IF(AND(DT$5&lt;=$F187,DT$5+GanttPeriod-1&gt;=$E187),"━","")))</f>
        <v/>
      </c>
      <c r="DU187" s="69" t="str">
        <f aca="false">IF($E187="","",IF($M187,IF(AND($G187&gt;=DU$5,$G187&lt;DU$5+GanttPeriod),"◆",IF(AND($E187&gt;=DU$5,$E187&lt;DU$5+GanttPeriod),"◇","")),IF(AND(DU$5&lt;=$F187,DU$5+GanttPeriod-1&gt;=$E187),"━","")))</f>
        <v/>
      </c>
      <c r="DV187" s="69" t="str">
        <f aca="false">IF($E187="","",IF($M187,IF(AND($G187&gt;=DV$5,$G187&lt;DV$5+GanttPeriod),"◆",IF(AND($E187&gt;=DV$5,$E187&lt;DV$5+GanttPeriod),"◇","")),IF(AND(DV$5&lt;=$F187,DV$5+GanttPeriod-1&gt;=$E187),"━","")))</f>
        <v/>
      </c>
      <c r="DW187" s="69" t="str">
        <f aca="false">IF($E187="","",IF($M187,IF(AND($G187&gt;=DW$5,$G187&lt;DW$5+GanttPeriod),"◆",IF(AND($E187&gt;=DW$5,$E187&lt;DW$5+GanttPeriod),"◇","")),IF(AND(DW$5&lt;=$F187,DW$5+GanttPeriod-1&gt;=$E187),"━","")))</f>
        <v/>
      </c>
      <c r="DX187" s="69" t="str">
        <f aca="false">IF($E187="","",IF($M187,IF(AND($G187&gt;=DX$5,$G187&lt;DX$5+GanttPeriod),"◆",IF(AND($E187&gt;=DX$5,$E187&lt;DX$5+GanttPeriod),"◇","")),IF(AND(DX$5&lt;=$F187,DX$5+GanttPeriod-1&gt;=$E187),"━","")))</f>
        <v/>
      </c>
      <c r="DY187" s="69" t="str">
        <f aca="false">IF($E187="","",IF($M187,IF(AND($G187&gt;=DY$5,$G187&lt;DY$5+GanttPeriod),"◆",IF(AND($E187&gt;=DY$5,$E187&lt;DY$5+GanttPeriod),"◇","")),IF(AND(DY$5&lt;=$F187,DY$5+GanttPeriod-1&gt;=$E187),"━","")))</f>
        <v/>
      </c>
      <c r="DZ187" s="69" t="str">
        <f aca="false">IF($E187="","",IF($M187,IF(AND($G187&gt;=DZ$5,$G187&lt;DZ$5+GanttPeriod),"◆",IF(AND($E187&gt;=DZ$5,$E187&lt;DZ$5+GanttPeriod),"◇","")),IF(AND(DZ$5&lt;=$F187,DZ$5+GanttPeriod-1&gt;=$E187),"━","")))</f>
        <v/>
      </c>
      <c r="EA187" s="69" t="str">
        <f aca="false">IF($E187="","",IF($M187,IF(AND($G187&gt;=EA$5,$G187&lt;EA$5+GanttPeriod),"◆",IF(AND($E187&gt;=EA$5,$E187&lt;EA$5+GanttPeriod),"◇","")),IF(AND(EA$5&lt;=$F187,EA$5+GanttPeriod-1&gt;=$E187),"━","")))</f>
        <v/>
      </c>
      <c r="EB187" s="69" t="str">
        <f aca="false">IF($E187="","",IF($M187,IF(AND($G187&gt;=EB$5,$G187&lt;EB$5+GanttPeriod),"◆",IF(AND($E187&gt;=EB$5,$E187&lt;EB$5+GanttPeriod),"◇","")),IF(AND(EB$5&lt;=$F187,EB$5+GanttPeriod-1&gt;=$E187),"━","")))</f>
        <v/>
      </c>
      <c r="EC187" s="69" t="str">
        <f aca="false">IF($E187="","",IF($M187,IF(AND($G187&gt;=EC$5,$G187&lt;EC$5+GanttPeriod),"◆",IF(AND($E187&gt;=EC$5,$E187&lt;EC$5+GanttPeriod),"◇","")),IF(AND(EC$5&lt;=$F187,EC$5+GanttPeriod-1&gt;=$E187),"━","")))</f>
        <v/>
      </c>
      <c r="ED187" s="69" t="str">
        <f aca="false">IF($E187="","",IF($M187,IF(AND($G187&gt;=ED$5,$G187&lt;ED$5+GanttPeriod),"◆",IF(AND($E187&gt;=ED$5,$E187&lt;ED$5+GanttPeriod),"◇","")),IF(AND(ED$5&lt;=$F187,ED$5+GanttPeriod-1&gt;=$E187),"━","")))</f>
        <v/>
      </c>
      <c r="EE187" s="69" t="str">
        <f aca="false">IF($E187="","",IF($M187,IF(AND($G187&gt;=EE$5,$G187&lt;EE$5+GanttPeriod),"◆",IF(AND($E187&gt;=EE$5,$E187&lt;EE$5+GanttPeriod),"◇","")),IF(AND(EE$5&lt;=$F187,EE$5+GanttPeriod-1&gt;=$E187),"━","")))</f>
        <v/>
      </c>
      <c r="EF187" s="69" t="str">
        <f aca="false">IF($E187="","",IF($M187,IF(AND($G187&gt;=EF$5,$G187&lt;EF$5+GanttPeriod),"◆",IF(AND($E187&gt;=EF$5,$E187&lt;EF$5+GanttPeriod),"◇","")),IF(AND(EF$5&lt;=$F187,EF$5+GanttPeriod-1&gt;=$E187),"━","")))</f>
        <v/>
      </c>
      <c r="EG187" s="69" t="str">
        <f aca="false">IF($E187="","",IF($M187,IF(AND($G187&gt;=EG$5,$G187&lt;EG$5+GanttPeriod),"◆",IF(AND($E187&gt;=EG$5,$E187&lt;EG$5+GanttPeriod),"◇","")),IF(AND(EG$5&lt;=$F187,EG$5+GanttPeriod-1&gt;=$E187),"━","")))</f>
        <v/>
      </c>
      <c r="EH187" s="69" t="str">
        <f aca="false">IF($E187="","",IF($M187,IF(AND($G187&gt;=EH$5,$G187&lt;EH$5+GanttPeriod),"◆",IF(AND($E187&gt;=EH$5,$E187&lt;EH$5+GanttPeriod),"◇","")),IF(AND(EH$5&lt;=$F187,EH$5+GanttPeriod-1&gt;=$E187),"━","")))</f>
        <v/>
      </c>
      <c r="EI187" s="69" t="str">
        <f aca="false">IF($E187="","",IF($M187,IF(AND($G187&gt;=EI$5,$G187&lt;EI$5+GanttPeriod),"◆",IF(AND($E187&gt;=EI$5,$E187&lt;EI$5+GanttPeriod),"◇","")),IF(AND(EI$5&lt;=$F187,EI$5+GanttPeriod-1&gt;=$E187),"━","")))</f>
        <v/>
      </c>
      <c r="EJ187" s="69" t="str">
        <f aca="false">IF($E187="","",IF($M187,IF(AND($G187&gt;=EJ$5,$G187&lt;EJ$5+GanttPeriod),"◆",IF(AND($E187&gt;=EJ$5,$E187&lt;EJ$5+GanttPeriod),"◇","")),IF(AND(EJ$5&lt;=$F187,EJ$5+GanttPeriod-1&gt;=$E187),"━","")))</f>
        <v/>
      </c>
      <c r="EK187" s="69" t="str">
        <f aca="false">IF($E187="","",IF($M187,IF(AND($G187&gt;=EK$5,$G187&lt;EK$5+GanttPeriod),"◆",IF(AND($E187&gt;=EK$5,$E187&lt;EK$5+GanttPeriod),"◇","")),IF(AND(EK$5&lt;=$F187,EK$5+GanttPeriod-1&gt;=$E187),"━","")))</f>
        <v/>
      </c>
      <c r="EL187" s="69" t="str">
        <f aca="false">IF($E187="","",IF($M187,IF(AND($G187&gt;=EL$5,$G187&lt;EL$5+GanttPeriod),"◆",IF(AND($E187&gt;=EL$5,$E187&lt;EL$5+GanttPeriod),"◇","")),IF(AND(EL$5&lt;=$F187,EL$5+GanttPeriod-1&gt;=$E187),"━","")))</f>
        <v/>
      </c>
      <c r="EM187" s="69" t="str">
        <f aca="false">IF($E187="","",IF($M187,IF(AND($G187&gt;=EM$5,$G187&lt;EM$5+GanttPeriod),"◆",IF(AND($E187&gt;=EM$5,$E187&lt;EM$5+GanttPeriod),"◇","")),IF(AND(EM$5&lt;=$F187,EM$5+GanttPeriod-1&gt;=$E187),"━","")))</f>
        <v/>
      </c>
      <c r="EN187" s="69" t="str">
        <f aca="false">IF($E187="","",IF($M187,IF(AND($G187&gt;=EN$5,$G187&lt;EN$5+GanttPeriod),"◆",IF(AND($E187&gt;=EN$5,$E187&lt;EN$5+GanttPeriod),"◇","")),IF(AND(EN$5&lt;=$F187,EN$5+GanttPeriod-1&gt;=$E187),"━","")))</f>
        <v/>
      </c>
      <c r="EO187" s="69" t="str">
        <f aca="false">IF($E187="","",IF($M187,IF(AND($G187&gt;=EO$5,$G187&lt;EO$5+GanttPeriod),"◆",IF(AND($E187&gt;=EO$5,$E187&lt;EO$5+GanttPeriod),"◇","")),IF(AND(EO$5&lt;=$F187,EO$5+GanttPeriod-1&gt;=$E187),"━","")))</f>
        <v/>
      </c>
      <c r="EP187" s="69" t="str">
        <f aca="false">IF($E187="","",IF($M187,IF(AND($G187&gt;=EP$5,$G187&lt;EP$5+GanttPeriod),"◆",IF(AND($E187&gt;=EP$5,$E187&lt;EP$5+GanttPeriod),"◇","")),IF(AND(EP$5&lt;=$F187,EP$5+GanttPeriod-1&gt;=$E187),"━","")))</f>
        <v/>
      </c>
      <c r="EQ187" s="69" t="str">
        <f aca="false">IF($E187="","",IF($M187,IF(AND($G187&gt;=EQ$5,$G187&lt;EQ$5+GanttPeriod),"◆",IF(AND($E187&gt;=EQ$5,$E187&lt;EQ$5+GanttPeriod),"◇","")),IF(AND(EQ$5&lt;=$F187,EQ$5+GanttPeriod-1&gt;=$E187),"━","")))</f>
        <v/>
      </c>
      <c r="ER187" s="69" t="str">
        <f aca="false">IF($E187="","",IF($M187,IF(AND($G187&gt;=ER$5,$G187&lt;ER$5+GanttPeriod),"◆",IF(AND($E187&gt;=ER$5,$E187&lt;ER$5+GanttPeriod),"◇","")),IF(AND(ER$5&lt;=$F187,ER$5+GanttPeriod-1&gt;=$E187),"━","")))</f>
        <v/>
      </c>
      <c r="ES187" s="69" t="str">
        <f aca="false">IF($E187="","",IF($M187,IF(AND($G187&gt;=ES$5,$G187&lt;ES$5+GanttPeriod),"◆",IF(AND($E187&gt;=ES$5,$E187&lt;ES$5+GanttPeriod),"◇","")),IF(AND(ES$5&lt;=$F187,ES$5+GanttPeriod-1&gt;=$E187),"━","")))</f>
        <v/>
      </c>
      <c r="ET187" s="69" t="str">
        <f aca="false">IF($E187="","",IF($M187,IF(AND($G187&gt;=ET$5,$G187&lt;ET$5+GanttPeriod),"◆",IF(AND($E187&gt;=ET$5,$E187&lt;ET$5+GanttPeriod),"◇","")),IF(AND(ET$5&lt;=$F187,ET$5+GanttPeriod-1&gt;=$E187),"━","")))</f>
        <v/>
      </c>
      <c r="EU187" s="69" t="str">
        <f aca="false">IF($E187="","",IF($M187,IF(AND($G187&gt;=EU$5,$G187&lt;EU$5+GanttPeriod),"◆",IF(AND($E187&gt;=EU$5,$E187&lt;EU$5+GanttPeriod),"◇","")),IF(AND(EU$5&lt;=$F187,EU$5+GanttPeriod-1&gt;=$E187),"━","")))</f>
        <v/>
      </c>
      <c r="EV187" s="69" t="str">
        <f aca="false">IF($E187="","",IF($M187,IF(AND($G187&gt;=EV$5,$G187&lt;EV$5+GanttPeriod),"◆",IF(AND($E187&gt;=EV$5,$E187&lt;EV$5+GanttPeriod),"◇","")),IF(AND(EV$5&lt;=$F187,EV$5+GanttPeriod-1&gt;=$E187),"━","")))</f>
        <v/>
      </c>
      <c r="EW187" s="69" t="str">
        <f aca="false">IF($E187="","",IF($M187,IF(AND($G187&gt;=EW$5,$G187&lt;EW$5+GanttPeriod),"◆",IF(AND($E187&gt;=EW$5,$E187&lt;EW$5+GanttPeriod),"◇","")),IF(AND(EW$5&lt;=$F187,EW$5+GanttPeriod-1&gt;=$E187),"━","")))</f>
        <v/>
      </c>
      <c r="EX187" s="69" t="str">
        <f aca="false">IF($E187="","",IF($M187,IF(AND($G187&gt;=EX$5,$G187&lt;EX$5+GanttPeriod),"◆",IF(AND($E187&gt;=EX$5,$E187&lt;EX$5+GanttPeriod),"◇","")),IF(AND(EX$5&lt;=$F187,EX$5+GanttPeriod-1&gt;=$E187),"━","")))</f>
        <v/>
      </c>
      <c r="EY187" s="69" t="str">
        <f aca="false">IF($E187="","",IF($M187,IF(AND($G187&gt;=EY$5,$G187&lt;EY$5+GanttPeriod),"◆",IF(AND($E187&gt;=EY$5,$E187&lt;EY$5+GanttPeriod),"◇","")),IF(AND(EY$5&lt;=$F187,EY$5+GanttPeriod-1&gt;=$E187),"━","")))</f>
        <v/>
      </c>
      <c r="EZ187" s="69" t="str">
        <f aca="false">IF($E187="","",IF($M187,IF(AND($G187&gt;=EZ$5,$G187&lt;EZ$5+GanttPeriod),"◆",IF(AND($E187&gt;=EZ$5,$E187&lt;EZ$5+GanttPeriod),"◇","")),IF(AND(EZ$5&lt;=$F187,EZ$5+GanttPeriod-1&gt;=$E187),"━","")))</f>
        <v/>
      </c>
      <c r="FA187" s="69" t="str">
        <f aca="false">IF($E187="","",IF($M187,IF(AND($G187&gt;=FA$5,$G187&lt;FA$5+GanttPeriod),"◆",IF(AND($E187&gt;=FA$5,$E187&lt;FA$5+GanttPeriod),"◇","")),IF(AND(FA$5&lt;=$F187,FA$5+GanttPeriod-1&gt;=$E187),"━","")))</f>
        <v/>
      </c>
      <c r="FB187" s="69" t="str">
        <f aca="false">IF($E187="","",IF($M187,IF(AND($G187&gt;=FB$5,$G187&lt;FB$5+GanttPeriod),"◆",IF(AND($E187&gt;=FB$5,$E187&lt;FB$5+GanttPeriod),"◇","")),IF(AND(FB$5&lt;=$F187,FB$5+GanttPeriod-1&gt;=$E187),"━","")))</f>
        <v/>
      </c>
      <c r="FC187" s="69" t="str">
        <f aca="false">IF($E187="","",IF($M187,IF(AND($G187&gt;=FC$5,$G187&lt;FC$5+GanttPeriod),"◆",IF(AND($E187&gt;=FC$5,$E187&lt;FC$5+GanttPeriod),"◇","")),IF(AND(FC$5&lt;=$F187,FC$5+GanttPeriod-1&gt;=$E187),"━","")))</f>
        <v/>
      </c>
      <c r="FD187" s="69" t="str">
        <f aca="false">IF($E187="","",IF($M187,IF(AND($G187&gt;=FD$5,$G187&lt;FD$5+GanttPeriod),"◆",IF(AND($E187&gt;=FD$5,$E187&lt;FD$5+GanttPeriod),"◇","")),IF(AND(FD$5&lt;=$F187,FD$5+GanttPeriod-1&gt;=$E187),"━","")))</f>
        <v/>
      </c>
      <c r="FE187" s="69" t="str">
        <f aca="false">IF($E187="","",IF($M187,IF(AND($G187&gt;=FE$5,$G187&lt;FE$5+GanttPeriod),"◆",IF(AND($E187&gt;=FE$5,$E187&lt;FE$5+GanttPeriod),"◇","")),IF(AND(FE$5&lt;=$F187,FE$5+GanttPeriod-1&gt;=$E187),"━","")))</f>
        <v/>
      </c>
      <c r="FF187" s="69" t="str">
        <f aca="false">IF($E187="","",IF($M187,IF(AND($G187&gt;=FF$5,$G187&lt;FF$5+GanttPeriod),"◆",IF(AND($E187&gt;=FF$5,$E187&lt;FF$5+GanttPeriod),"◇","")),IF(AND(FF$5&lt;=$F187,FF$5+GanttPeriod-1&gt;=$E187),"━","")))</f>
        <v/>
      </c>
      <c r="FG187" s="69" t="str">
        <f aca="false">IF($E187="","",IF($M187,IF(AND($G187&gt;=FG$5,$G187&lt;FG$5+GanttPeriod),"◆",IF(AND($E187&gt;=FG$5,$E187&lt;FG$5+GanttPeriod),"◇","")),IF(AND(FG$5&lt;=$F187,FG$5+GanttPeriod-1&gt;=$E187),"━","")))</f>
        <v/>
      </c>
      <c r="FH187" s="69" t="str">
        <f aca="false">IF($E187="","",IF($M187,IF(AND($G187&gt;=FH$5,$G187&lt;FH$5+GanttPeriod),"◆",IF(AND($E187&gt;=FH$5,$E187&lt;FH$5+GanttPeriod),"◇","")),IF(AND(FH$5&lt;=$F187,FH$5+GanttPeriod-1&gt;=$E187),"━","")))</f>
        <v/>
      </c>
      <c r="FI187" s="69" t="str">
        <f aca="false">IF($E187="","",IF($M187,IF(AND($G187&gt;=FI$5,$G187&lt;FI$5+GanttPeriod),"◆",IF(AND($E187&gt;=FI$5,$E187&lt;FI$5+GanttPeriod),"◇","")),IF(AND(FI$5&lt;=$F187,FI$5+GanttPeriod-1&gt;=$E187),"━","")))</f>
        <v/>
      </c>
      <c r="FJ187" s="69" t="str">
        <f aca="false">IF($E187="","",IF($M187,IF(AND($G187&gt;=FJ$5,$G187&lt;FJ$5+GanttPeriod),"◆",IF(AND($E187&gt;=FJ$5,$E187&lt;FJ$5+GanttPeriod),"◇","")),IF(AND(FJ$5&lt;=$F187,FJ$5+GanttPeriod-1&gt;=$E187),"━","")))</f>
        <v/>
      </c>
      <c r="FK187" s="69" t="str">
        <f aca="false">IF($E187="","",IF($M187,IF(AND($G187&gt;=FK$5,$G187&lt;FK$5+GanttPeriod),"◆",IF(AND($E187&gt;=FK$5,$E187&lt;FK$5+GanttPeriod),"◇","")),IF(AND(FK$5&lt;=$F187,FK$5+GanttPeriod-1&gt;=$E187),"━","")))</f>
        <v/>
      </c>
      <c r="FL187" s="69" t="str">
        <f aca="false">IF($E187="","",IF($M187,IF(AND($G187&gt;=FL$5,$G187&lt;FL$5+GanttPeriod),"◆",IF(AND($E187&gt;=FL$5,$E187&lt;FL$5+GanttPeriod),"◇","")),IF(AND(FL$5&lt;=$F187,FL$5+GanttPeriod-1&gt;=$E187),"━","")))</f>
        <v/>
      </c>
      <c r="FM187" s="69" t="str">
        <f aca="false">IF($E187="","",IF($M187,IF(AND($G187&gt;=FM$5,$G187&lt;FM$5+GanttPeriod),"◆",IF(AND($E187&gt;=FM$5,$E187&lt;FM$5+GanttPeriod),"◇","")),IF(AND(FM$5&lt;=$F187,FM$5+GanttPeriod-1&gt;=$E187),"━","")))</f>
        <v/>
      </c>
    </row>
    <row r="188" customFormat="false" ht="15" hidden="false" customHeight="false" outlineLevel="0" collapsed="false">
      <c r="A188" s="62" t="str">
        <f aca="false">IF(Tasks!$D188="","",Tasks!$A188)</f>
        <v/>
      </c>
      <c r="B188" s="62" t="str">
        <f aca="false">IF(Tasks!$D188="","",Tasks!$B188)</f>
        <v/>
      </c>
      <c r="C188" s="63" t="str">
        <f aca="false">IF(Tasks!$D188="","",REPT("    ",Tasks!$AE188-1)&amp;Tasks!$D188)</f>
        <v/>
      </c>
      <c r="D188" s="62" t="str">
        <f aca="false">IF(Tasks!$D188="","",IF(Tasks!$AI188,NETWORKDAYS.INTL(Tasks!$R188,Tasks!$S188,WorkWeek,Holidays),N(Tasks!$F188)))</f>
        <v/>
      </c>
      <c r="E188" s="64" t="str">
        <f aca="false">IF(Tasks!$D188="","",Tasks!$N188)</f>
        <v/>
      </c>
      <c r="F188" s="64" t="str">
        <f aca="false">IF(Tasks!$D188="","",Tasks!$O188)</f>
        <v/>
      </c>
      <c r="G188" s="64" t="str">
        <f aca="false">IF(Tasks!$D188="","",Tasks!$R188)</f>
        <v/>
      </c>
      <c r="H188" s="64" t="str">
        <f aca="false">IF(Tasks!$D188="","",Tasks!$S188)</f>
        <v/>
      </c>
      <c r="I188" s="65" t="str">
        <f aca="false">IF(Tasks!$D188="","",Tasks!$V188)</f>
        <v/>
      </c>
      <c r="J188" s="63" t="str">
        <f aca="false">IF(Tasks!$D188="","",Tasks!$X188&amp;"")</f>
        <v/>
      </c>
      <c r="K188" s="66" t="str">
        <f aca="false">IF(Tasks!$D188="","",Tasks!$W188)</f>
        <v/>
      </c>
      <c r="L188" s="67" t="b">
        <f aca="false">IF(Tasks!$D188="",FALSE(),Tasks!$AI188)</f>
        <v>0</v>
      </c>
      <c r="M188" s="67" t="b">
        <f aca="false">AND(Tasks!$AJ188=1,N(Tasks!$F188)=0)</f>
        <v>0</v>
      </c>
      <c r="N188" s="68" t="n">
        <f aca="false">IF(AND(Tasks!$AJ188=1,NOT($M188),N($I188)&gt;0),$G188,0)</f>
        <v>0</v>
      </c>
      <c r="O188" s="68" t="n">
        <f aca="false">IF($N188=0,0,IF($I188&gt;=1,$H188,MAX($N188,$G188+ROUND(($H188-$G188+1)*$I188,0)-1)))</f>
        <v>0</v>
      </c>
      <c r="P188" s="68" t="n">
        <f aca="false">IF(OR(Tasks!$AJ188&lt;&gt;1,$M188,N($I188)&gt;=1),0,IF($O188&gt;0,$O188+1,$G188))</f>
        <v>0</v>
      </c>
      <c r="Q188" s="68" t="n">
        <f aca="false">IF($P188=0,0,$H188)</f>
        <v>0</v>
      </c>
      <c r="R188" s="67" t="b">
        <f aca="false">AND(Tasks!$D188&lt;&gt;"",N(Tasks!$T188)&gt;0)</f>
        <v>0</v>
      </c>
      <c r="T188" s="69" t="str">
        <f aca="false">IF($E188="","",IF($M188,IF(AND($G188&gt;=T$5,$G188&lt;T$5+GanttPeriod),"◆",IF(AND($E188&gt;=T$5,$E188&lt;T$5+GanttPeriod),"◇","")),IF(AND(T$5&lt;=$F188,T$5+GanttPeriod-1&gt;=$E188),"━","")))</f>
        <v/>
      </c>
      <c r="U188" s="69" t="str">
        <f aca="false">IF($E188="","",IF($M188,IF(AND($G188&gt;=U$5,$G188&lt;U$5+GanttPeriod),"◆",IF(AND($E188&gt;=U$5,$E188&lt;U$5+GanttPeriod),"◇","")),IF(AND(U$5&lt;=$F188,U$5+GanttPeriod-1&gt;=$E188),"━","")))</f>
        <v/>
      </c>
      <c r="V188" s="69" t="str">
        <f aca="false">IF($E188="","",IF($M188,IF(AND($G188&gt;=V$5,$G188&lt;V$5+GanttPeriod),"◆",IF(AND($E188&gt;=V$5,$E188&lt;V$5+GanttPeriod),"◇","")),IF(AND(V$5&lt;=$F188,V$5+GanttPeriod-1&gt;=$E188),"━","")))</f>
        <v/>
      </c>
      <c r="W188" s="69" t="str">
        <f aca="false">IF($E188="","",IF($M188,IF(AND($G188&gt;=W$5,$G188&lt;W$5+GanttPeriod),"◆",IF(AND($E188&gt;=W$5,$E188&lt;W$5+GanttPeriod),"◇","")),IF(AND(W$5&lt;=$F188,W$5+GanttPeriod-1&gt;=$E188),"━","")))</f>
        <v/>
      </c>
      <c r="X188" s="69" t="str">
        <f aca="false">IF($E188="","",IF($M188,IF(AND($G188&gt;=X$5,$G188&lt;X$5+GanttPeriod),"◆",IF(AND($E188&gt;=X$5,$E188&lt;X$5+GanttPeriod),"◇","")),IF(AND(X$5&lt;=$F188,X$5+GanttPeriod-1&gt;=$E188),"━","")))</f>
        <v/>
      </c>
      <c r="Y188" s="69" t="str">
        <f aca="false">IF($E188="","",IF($M188,IF(AND($G188&gt;=Y$5,$G188&lt;Y$5+GanttPeriod),"◆",IF(AND($E188&gt;=Y$5,$E188&lt;Y$5+GanttPeriod),"◇","")),IF(AND(Y$5&lt;=$F188,Y$5+GanttPeriod-1&gt;=$E188),"━","")))</f>
        <v/>
      </c>
      <c r="Z188" s="69" t="str">
        <f aca="false">IF($E188="","",IF($M188,IF(AND($G188&gt;=Z$5,$G188&lt;Z$5+GanttPeriod),"◆",IF(AND($E188&gt;=Z$5,$E188&lt;Z$5+GanttPeriod),"◇","")),IF(AND(Z$5&lt;=$F188,Z$5+GanttPeriod-1&gt;=$E188),"━","")))</f>
        <v/>
      </c>
      <c r="AA188" s="69" t="str">
        <f aca="false">IF($E188="","",IF($M188,IF(AND($G188&gt;=AA$5,$G188&lt;AA$5+GanttPeriod),"◆",IF(AND($E188&gt;=AA$5,$E188&lt;AA$5+GanttPeriod),"◇","")),IF(AND(AA$5&lt;=$F188,AA$5+GanttPeriod-1&gt;=$E188),"━","")))</f>
        <v/>
      </c>
      <c r="AB188" s="69" t="str">
        <f aca="false">IF($E188="","",IF($M188,IF(AND($G188&gt;=AB$5,$G188&lt;AB$5+GanttPeriod),"◆",IF(AND($E188&gt;=AB$5,$E188&lt;AB$5+GanttPeriod),"◇","")),IF(AND(AB$5&lt;=$F188,AB$5+GanttPeriod-1&gt;=$E188),"━","")))</f>
        <v/>
      </c>
      <c r="AC188" s="69" t="str">
        <f aca="false">IF($E188="","",IF($M188,IF(AND($G188&gt;=AC$5,$G188&lt;AC$5+GanttPeriod),"◆",IF(AND($E188&gt;=AC$5,$E188&lt;AC$5+GanttPeriod),"◇","")),IF(AND(AC$5&lt;=$F188,AC$5+GanttPeriod-1&gt;=$E188),"━","")))</f>
        <v/>
      </c>
      <c r="AD188" s="69" t="str">
        <f aca="false">IF($E188="","",IF($M188,IF(AND($G188&gt;=AD$5,$G188&lt;AD$5+GanttPeriod),"◆",IF(AND($E188&gt;=AD$5,$E188&lt;AD$5+GanttPeriod),"◇","")),IF(AND(AD$5&lt;=$F188,AD$5+GanttPeriod-1&gt;=$E188),"━","")))</f>
        <v/>
      </c>
      <c r="AE188" s="69" t="str">
        <f aca="false">IF($E188="","",IF($M188,IF(AND($G188&gt;=AE$5,$G188&lt;AE$5+GanttPeriod),"◆",IF(AND($E188&gt;=AE$5,$E188&lt;AE$5+GanttPeriod),"◇","")),IF(AND(AE$5&lt;=$F188,AE$5+GanttPeriod-1&gt;=$E188),"━","")))</f>
        <v/>
      </c>
      <c r="AF188" s="69" t="str">
        <f aca="false">IF($E188="","",IF($M188,IF(AND($G188&gt;=AF$5,$G188&lt;AF$5+GanttPeriod),"◆",IF(AND($E188&gt;=AF$5,$E188&lt;AF$5+GanttPeriod),"◇","")),IF(AND(AF$5&lt;=$F188,AF$5+GanttPeriod-1&gt;=$E188),"━","")))</f>
        <v/>
      </c>
      <c r="AG188" s="69" t="str">
        <f aca="false">IF($E188="","",IF($M188,IF(AND($G188&gt;=AG$5,$G188&lt;AG$5+GanttPeriod),"◆",IF(AND($E188&gt;=AG$5,$E188&lt;AG$5+GanttPeriod),"◇","")),IF(AND(AG$5&lt;=$F188,AG$5+GanttPeriod-1&gt;=$E188),"━","")))</f>
        <v/>
      </c>
      <c r="AH188" s="69" t="str">
        <f aca="false">IF($E188="","",IF($M188,IF(AND($G188&gt;=AH$5,$G188&lt;AH$5+GanttPeriod),"◆",IF(AND($E188&gt;=AH$5,$E188&lt;AH$5+GanttPeriod),"◇","")),IF(AND(AH$5&lt;=$F188,AH$5+GanttPeriod-1&gt;=$E188),"━","")))</f>
        <v/>
      </c>
      <c r="AI188" s="69" t="str">
        <f aca="false">IF($E188="","",IF($M188,IF(AND($G188&gt;=AI$5,$G188&lt;AI$5+GanttPeriod),"◆",IF(AND($E188&gt;=AI$5,$E188&lt;AI$5+GanttPeriod),"◇","")),IF(AND(AI$5&lt;=$F188,AI$5+GanttPeriod-1&gt;=$E188),"━","")))</f>
        <v/>
      </c>
      <c r="AJ188" s="69" t="str">
        <f aca="false">IF($E188="","",IF($M188,IF(AND($G188&gt;=AJ$5,$G188&lt;AJ$5+GanttPeriod),"◆",IF(AND($E188&gt;=AJ$5,$E188&lt;AJ$5+GanttPeriod),"◇","")),IF(AND(AJ$5&lt;=$F188,AJ$5+GanttPeriod-1&gt;=$E188),"━","")))</f>
        <v/>
      </c>
      <c r="AK188" s="69" t="str">
        <f aca="false">IF($E188="","",IF($M188,IF(AND($G188&gt;=AK$5,$G188&lt;AK$5+GanttPeriod),"◆",IF(AND($E188&gt;=AK$5,$E188&lt;AK$5+GanttPeriod),"◇","")),IF(AND(AK$5&lt;=$F188,AK$5+GanttPeriod-1&gt;=$E188),"━","")))</f>
        <v/>
      </c>
      <c r="AL188" s="69" t="str">
        <f aca="false">IF($E188="","",IF($M188,IF(AND($G188&gt;=AL$5,$G188&lt;AL$5+GanttPeriod),"◆",IF(AND($E188&gt;=AL$5,$E188&lt;AL$5+GanttPeriod),"◇","")),IF(AND(AL$5&lt;=$F188,AL$5+GanttPeriod-1&gt;=$E188),"━","")))</f>
        <v/>
      </c>
      <c r="AM188" s="69" t="str">
        <f aca="false">IF($E188="","",IF($M188,IF(AND($G188&gt;=AM$5,$G188&lt;AM$5+GanttPeriod),"◆",IF(AND($E188&gt;=AM$5,$E188&lt;AM$5+GanttPeriod),"◇","")),IF(AND(AM$5&lt;=$F188,AM$5+GanttPeriod-1&gt;=$E188),"━","")))</f>
        <v/>
      </c>
      <c r="AN188" s="69" t="str">
        <f aca="false">IF($E188="","",IF($M188,IF(AND($G188&gt;=AN$5,$G188&lt;AN$5+GanttPeriod),"◆",IF(AND($E188&gt;=AN$5,$E188&lt;AN$5+GanttPeriod),"◇","")),IF(AND(AN$5&lt;=$F188,AN$5+GanttPeriod-1&gt;=$E188),"━","")))</f>
        <v/>
      </c>
      <c r="AO188" s="69" t="str">
        <f aca="false">IF($E188="","",IF($M188,IF(AND($G188&gt;=AO$5,$G188&lt;AO$5+GanttPeriod),"◆",IF(AND($E188&gt;=AO$5,$E188&lt;AO$5+GanttPeriod),"◇","")),IF(AND(AO$5&lt;=$F188,AO$5+GanttPeriod-1&gt;=$E188),"━","")))</f>
        <v/>
      </c>
      <c r="AP188" s="69" t="str">
        <f aca="false">IF($E188="","",IF($M188,IF(AND($G188&gt;=AP$5,$G188&lt;AP$5+GanttPeriod),"◆",IF(AND($E188&gt;=AP$5,$E188&lt;AP$5+GanttPeriod),"◇","")),IF(AND(AP$5&lt;=$F188,AP$5+GanttPeriod-1&gt;=$E188),"━","")))</f>
        <v/>
      </c>
      <c r="AQ188" s="69" t="str">
        <f aca="false">IF($E188="","",IF($M188,IF(AND($G188&gt;=AQ$5,$G188&lt;AQ$5+GanttPeriod),"◆",IF(AND($E188&gt;=AQ$5,$E188&lt;AQ$5+GanttPeriod),"◇","")),IF(AND(AQ$5&lt;=$F188,AQ$5+GanttPeriod-1&gt;=$E188),"━","")))</f>
        <v/>
      </c>
      <c r="AR188" s="69" t="str">
        <f aca="false">IF($E188="","",IF($M188,IF(AND($G188&gt;=AR$5,$G188&lt;AR$5+GanttPeriod),"◆",IF(AND($E188&gt;=AR$5,$E188&lt;AR$5+GanttPeriod),"◇","")),IF(AND(AR$5&lt;=$F188,AR$5+GanttPeriod-1&gt;=$E188),"━","")))</f>
        <v/>
      </c>
      <c r="AS188" s="69" t="str">
        <f aca="false">IF($E188="","",IF($M188,IF(AND($G188&gt;=AS$5,$G188&lt;AS$5+GanttPeriod),"◆",IF(AND($E188&gt;=AS$5,$E188&lt;AS$5+GanttPeriod),"◇","")),IF(AND(AS$5&lt;=$F188,AS$5+GanttPeriod-1&gt;=$E188),"━","")))</f>
        <v/>
      </c>
      <c r="AT188" s="69" t="str">
        <f aca="false">IF($E188="","",IF($M188,IF(AND($G188&gt;=AT$5,$G188&lt;AT$5+GanttPeriod),"◆",IF(AND($E188&gt;=AT$5,$E188&lt;AT$5+GanttPeriod),"◇","")),IF(AND(AT$5&lt;=$F188,AT$5+GanttPeriod-1&gt;=$E188),"━","")))</f>
        <v/>
      </c>
      <c r="AU188" s="69" t="str">
        <f aca="false">IF($E188="","",IF($M188,IF(AND($G188&gt;=AU$5,$G188&lt;AU$5+GanttPeriod),"◆",IF(AND($E188&gt;=AU$5,$E188&lt;AU$5+GanttPeriod),"◇","")),IF(AND(AU$5&lt;=$F188,AU$5+GanttPeriod-1&gt;=$E188),"━","")))</f>
        <v/>
      </c>
      <c r="AV188" s="69" t="str">
        <f aca="false">IF($E188="","",IF($M188,IF(AND($G188&gt;=AV$5,$G188&lt;AV$5+GanttPeriod),"◆",IF(AND($E188&gt;=AV$5,$E188&lt;AV$5+GanttPeriod),"◇","")),IF(AND(AV$5&lt;=$F188,AV$5+GanttPeriod-1&gt;=$E188),"━","")))</f>
        <v/>
      </c>
      <c r="AW188" s="69" t="str">
        <f aca="false">IF($E188="","",IF($M188,IF(AND($G188&gt;=AW$5,$G188&lt;AW$5+GanttPeriod),"◆",IF(AND($E188&gt;=AW$5,$E188&lt;AW$5+GanttPeriod),"◇","")),IF(AND(AW$5&lt;=$F188,AW$5+GanttPeriod-1&gt;=$E188),"━","")))</f>
        <v/>
      </c>
      <c r="AX188" s="69" t="str">
        <f aca="false">IF($E188="","",IF($M188,IF(AND($G188&gt;=AX$5,$G188&lt;AX$5+GanttPeriod),"◆",IF(AND($E188&gt;=AX$5,$E188&lt;AX$5+GanttPeriod),"◇","")),IF(AND(AX$5&lt;=$F188,AX$5+GanttPeriod-1&gt;=$E188),"━","")))</f>
        <v/>
      </c>
      <c r="AY188" s="69" t="str">
        <f aca="false">IF($E188="","",IF($M188,IF(AND($G188&gt;=AY$5,$G188&lt;AY$5+GanttPeriod),"◆",IF(AND($E188&gt;=AY$5,$E188&lt;AY$5+GanttPeriod),"◇","")),IF(AND(AY$5&lt;=$F188,AY$5+GanttPeriod-1&gt;=$E188),"━","")))</f>
        <v/>
      </c>
      <c r="AZ188" s="69" t="str">
        <f aca="false">IF($E188="","",IF($M188,IF(AND($G188&gt;=AZ$5,$G188&lt;AZ$5+GanttPeriod),"◆",IF(AND($E188&gt;=AZ$5,$E188&lt;AZ$5+GanttPeriod),"◇","")),IF(AND(AZ$5&lt;=$F188,AZ$5+GanttPeriod-1&gt;=$E188),"━","")))</f>
        <v/>
      </c>
      <c r="BA188" s="69" t="str">
        <f aca="false">IF($E188="","",IF($M188,IF(AND($G188&gt;=BA$5,$G188&lt;BA$5+GanttPeriod),"◆",IF(AND($E188&gt;=BA$5,$E188&lt;BA$5+GanttPeriod),"◇","")),IF(AND(BA$5&lt;=$F188,BA$5+GanttPeriod-1&gt;=$E188),"━","")))</f>
        <v/>
      </c>
      <c r="BB188" s="69" t="str">
        <f aca="false">IF($E188="","",IF($M188,IF(AND($G188&gt;=BB$5,$G188&lt;BB$5+GanttPeriod),"◆",IF(AND($E188&gt;=BB$5,$E188&lt;BB$5+GanttPeriod),"◇","")),IF(AND(BB$5&lt;=$F188,BB$5+GanttPeriod-1&gt;=$E188),"━","")))</f>
        <v/>
      </c>
      <c r="BC188" s="69" t="str">
        <f aca="false">IF($E188="","",IF($M188,IF(AND($G188&gt;=BC$5,$G188&lt;BC$5+GanttPeriod),"◆",IF(AND($E188&gt;=BC$5,$E188&lt;BC$5+GanttPeriod),"◇","")),IF(AND(BC$5&lt;=$F188,BC$5+GanttPeriod-1&gt;=$E188),"━","")))</f>
        <v/>
      </c>
      <c r="BD188" s="69" t="str">
        <f aca="false">IF($E188="","",IF($M188,IF(AND($G188&gt;=BD$5,$G188&lt;BD$5+GanttPeriod),"◆",IF(AND($E188&gt;=BD$5,$E188&lt;BD$5+GanttPeriod),"◇","")),IF(AND(BD$5&lt;=$F188,BD$5+GanttPeriod-1&gt;=$E188),"━","")))</f>
        <v/>
      </c>
      <c r="BE188" s="69" t="str">
        <f aca="false">IF($E188="","",IF($M188,IF(AND($G188&gt;=BE$5,$G188&lt;BE$5+GanttPeriod),"◆",IF(AND($E188&gt;=BE$5,$E188&lt;BE$5+GanttPeriod),"◇","")),IF(AND(BE$5&lt;=$F188,BE$5+GanttPeriod-1&gt;=$E188),"━","")))</f>
        <v/>
      </c>
      <c r="BF188" s="69" t="str">
        <f aca="false">IF($E188="","",IF($M188,IF(AND($G188&gt;=BF$5,$G188&lt;BF$5+GanttPeriod),"◆",IF(AND($E188&gt;=BF$5,$E188&lt;BF$5+GanttPeriod),"◇","")),IF(AND(BF$5&lt;=$F188,BF$5+GanttPeriod-1&gt;=$E188),"━","")))</f>
        <v/>
      </c>
      <c r="BG188" s="69" t="str">
        <f aca="false">IF($E188="","",IF($M188,IF(AND($G188&gt;=BG$5,$G188&lt;BG$5+GanttPeriod),"◆",IF(AND($E188&gt;=BG$5,$E188&lt;BG$5+GanttPeriod),"◇","")),IF(AND(BG$5&lt;=$F188,BG$5+GanttPeriod-1&gt;=$E188),"━","")))</f>
        <v/>
      </c>
      <c r="BH188" s="69" t="str">
        <f aca="false">IF($E188="","",IF($M188,IF(AND($G188&gt;=BH$5,$G188&lt;BH$5+GanttPeriod),"◆",IF(AND($E188&gt;=BH$5,$E188&lt;BH$5+GanttPeriod),"◇","")),IF(AND(BH$5&lt;=$F188,BH$5+GanttPeriod-1&gt;=$E188),"━","")))</f>
        <v/>
      </c>
      <c r="BI188" s="69" t="str">
        <f aca="false">IF($E188="","",IF($M188,IF(AND($G188&gt;=BI$5,$G188&lt;BI$5+GanttPeriod),"◆",IF(AND($E188&gt;=BI$5,$E188&lt;BI$5+GanttPeriod),"◇","")),IF(AND(BI$5&lt;=$F188,BI$5+GanttPeriod-1&gt;=$E188),"━","")))</f>
        <v/>
      </c>
      <c r="BJ188" s="69" t="str">
        <f aca="false">IF($E188="","",IF($M188,IF(AND($G188&gt;=BJ$5,$G188&lt;BJ$5+GanttPeriod),"◆",IF(AND($E188&gt;=BJ$5,$E188&lt;BJ$5+GanttPeriod),"◇","")),IF(AND(BJ$5&lt;=$F188,BJ$5+GanttPeriod-1&gt;=$E188),"━","")))</f>
        <v/>
      </c>
      <c r="BK188" s="69" t="str">
        <f aca="false">IF($E188="","",IF($M188,IF(AND($G188&gt;=BK$5,$G188&lt;BK$5+GanttPeriod),"◆",IF(AND($E188&gt;=BK$5,$E188&lt;BK$5+GanttPeriod),"◇","")),IF(AND(BK$5&lt;=$F188,BK$5+GanttPeriod-1&gt;=$E188),"━","")))</f>
        <v/>
      </c>
      <c r="BL188" s="69" t="str">
        <f aca="false">IF($E188="","",IF($M188,IF(AND($G188&gt;=BL$5,$G188&lt;BL$5+GanttPeriod),"◆",IF(AND($E188&gt;=BL$5,$E188&lt;BL$5+GanttPeriod),"◇","")),IF(AND(BL$5&lt;=$F188,BL$5+GanttPeriod-1&gt;=$E188),"━","")))</f>
        <v/>
      </c>
      <c r="BM188" s="69" t="str">
        <f aca="false">IF($E188="","",IF($M188,IF(AND($G188&gt;=BM$5,$G188&lt;BM$5+GanttPeriod),"◆",IF(AND($E188&gt;=BM$5,$E188&lt;BM$5+GanttPeriod),"◇","")),IF(AND(BM$5&lt;=$F188,BM$5+GanttPeriod-1&gt;=$E188),"━","")))</f>
        <v/>
      </c>
      <c r="BN188" s="69" t="str">
        <f aca="false">IF($E188="","",IF($M188,IF(AND($G188&gt;=BN$5,$G188&lt;BN$5+GanttPeriod),"◆",IF(AND($E188&gt;=BN$5,$E188&lt;BN$5+GanttPeriod),"◇","")),IF(AND(BN$5&lt;=$F188,BN$5+GanttPeriod-1&gt;=$E188),"━","")))</f>
        <v/>
      </c>
      <c r="BO188" s="69" t="str">
        <f aca="false">IF($E188="","",IF($M188,IF(AND($G188&gt;=BO$5,$G188&lt;BO$5+GanttPeriod),"◆",IF(AND($E188&gt;=BO$5,$E188&lt;BO$5+GanttPeriod),"◇","")),IF(AND(BO$5&lt;=$F188,BO$5+GanttPeriod-1&gt;=$E188),"━","")))</f>
        <v/>
      </c>
      <c r="BP188" s="69" t="str">
        <f aca="false">IF($E188="","",IF($M188,IF(AND($G188&gt;=BP$5,$G188&lt;BP$5+GanttPeriod),"◆",IF(AND($E188&gt;=BP$5,$E188&lt;BP$5+GanttPeriod),"◇","")),IF(AND(BP$5&lt;=$F188,BP$5+GanttPeriod-1&gt;=$E188),"━","")))</f>
        <v/>
      </c>
      <c r="BQ188" s="69" t="str">
        <f aca="false">IF($E188="","",IF($M188,IF(AND($G188&gt;=BQ$5,$G188&lt;BQ$5+GanttPeriod),"◆",IF(AND($E188&gt;=BQ$5,$E188&lt;BQ$5+GanttPeriod),"◇","")),IF(AND(BQ$5&lt;=$F188,BQ$5+GanttPeriod-1&gt;=$E188),"━","")))</f>
        <v/>
      </c>
      <c r="BR188" s="69" t="str">
        <f aca="false">IF($E188="","",IF($M188,IF(AND($G188&gt;=BR$5,$G188&lt;BR$5+GanttPeriod),"◆",IF(AND($E188&gt;=BR$5,$E188&lt;BR$5+GanttPeriod),"◇","")),IF(AND(BR$5&lt;=$F188,BR$5+GanttPeriod-1&gt;=$E188),"━","")))</f>
        <v/>
      </c>
      <c r="BS188" s="69" t="str">
        <f aca="false">IF($E188="","",IF($M188,IF(AND($G188&gt;=BS$5,$G188&lt;BS$5+GanttPeriod),"◆",IF(AND($E188&gt;=BS$5,$E188&lt;BS$5+GanttPeriod),"◇","")),IF(AND(BS$5&lt;=$F188,BS$5+GanttPeriod-1&gt;=$E188),"━","")))</f>
        <v/>
      </c>
      <c r="BT188" s="69" t="str">
        <f aca="false">IF($E188="","",IF($M188,IF(AND($G188&gt;=BT$5,$G188&lt;BT$5+GanttPeriod),"◆",IF(AND($E188&gt;=BT$5,$E188&lt;BT$5+GanttPeriod),"◇","")),IF(AND(BT$5&lt;=$F188,BT$5+GanttPeriod-1&gt;=$E188),"━","")))</f>
        <v/>
      </c>
      <c r="BU188" s="69" t="str">
        <f aca="false">IF($E188="","",IF($M188,IF(AND($G188&gt;=BU$5,$G188&lt;BU$5+GanttPeriod),"◆",IF(AND($E188&gt;=BU$5,$E188&lt;BU$5+GanttPeriod),"◇","")),IF(AND(BU$5&lt;=$F188,BU$5+GanttPeriod-1&gt;=$E188),"━","")))</f>
        <v/>
      </c>
      <c r="BV188" s="69" t="str">
        <f aca="false">IF($E188="","",IF($M188,IF(AND($G188&gt;=BV$5,$G188&lt;BV$5+GanttPeriod),"◆",IF(AND($E188&gt;=BV$5,$E188&lt;BV$5+GanttPeriod),"◇","")),IF(AND(BV$5&lt;=$F188,BV$5+GanttPeriod-1&gt;=$E188),"━","")))</f>
        <v/>
      </c>
      <c r="BW188" s="69" t="str">
        <f aca="false">IF($E188="","",IF($M188,IF(AND($G188&gt;=BW$5,$G188&lt;BW$5+GanttPeriod),"◆",IF(AND($E188&gt;=BW$5,$E188&lt;BW$5+GanttPeriod),"◇","")),IF(AND(BW$5&lt;=$F188,BW$5+GanttPeriod-1&gt;=$E188),"━","")))</f>
        <v/>
      </c>
      <c r="BX188" s="69" t="str">
        <f aca="false">IF($E188="","",IF($M188,IF(AND($G188&gt;=BX$5,$G188&lt;BX$5+GanttPeriod),"◆",IF(AND($E188&gt;=BX$5,$E188&lt;BX$5+GanttPeriod),"◇","")),IF(AND(BX$5&lt;=$F188,BX$5+GanttPeriod-1&gt;=$E188),"━","")))</f>
        <v/>
      </c>
      <c r="BY188" s="69" t="str">
        <f aca="false">IF($E188="","",IF($M188,IF(AND($G188&gt;=BY$5,$G188&lt;BY$5+GanttPeriod),"◆",IF(AND($E188&gt;=BY$5,$E188&lt;BY$5+GanttPeriod),"◇","")),IF(AND(BY$5&lt;=$F188,BY$5+GanttPeriod-1&gt;=$E188),"━","")))</f>
        <v/>
      </c>
      <c r="BZ188" s="69" t="str">
        <f aca="false">IF($E188="","",IF($M188,IF(AND($G188&gt;=BZ$5,$G188&lt;BZ$5+GanttPeriod),"◆",IF(AND($E188&gt;=BZ$5,$E188&lt;BZ$5+GanttPeriod),"◇","")),IF(AND(BZ$5&lt;=$F188,BZ$5+GanttPeriod-1&gt;=$E188),"━","")))</f>
        <v/>
      </c>
      <c r="CA188" s="69" t="str">
        <f aca="false">IF($E188="","",IF($M188,IF(AND($G188&gt;=CA$5,$G188&lt;CA$5+GanttPeriod),"◆",IF(AND($E188&gt;=CA$5,$E188&lt;CA$5+GanttPeriod),"◇","")),IF(AND(CA$5&lt;=$F188,CA$5+GanttPeriod-1&gt;=$E188),"━","")))</f>
        <v/>
      </c>
      <c r="CB188" s="69" t="str">
        <f aca="false">IF($E188="","",IF($M188,IF(AND($G188&gt;=CB$5,$G188&lt;CB$5+GanttPeriod),"◆",IF(AND($E188&gt;=CB$5,$E188&lt;CB$5+GanttPeriod),"◇","")),IF(AND(CB$5&lt;=$F188,CB$5+GanttPeriod-1&gt;=$E188),"━","")))</f>
        <v/>
      </c>
      <c r="CC188" s="69" t="str">
        <f aca="false">IF($E188="","",IF($M188,IF(AND($G188&gt;=CC$5,$G188&lt;CC$5+GanttPeriod),"◆",IF(AND($E188&gt;=CC$5,$E188&lt;CC$5+GanttPeriod),"◇","")),IF(AND(CC$5&lt;=$F188,CC$5+GanttPeriod-1&gt;=$E188),"━","")))</f>
        <v/>
      </c>
      <c r="CD188" s="69" t="str">
        <f aca="false">IF($E188="","",IF($M188,IF(AND($G188&gt;=CD$5,$G188&lt;CD$5+GanttPeriod),"◆",IF(AND($E188&gt;=CD$5,$E188&lt;CD$5+GanttPeriod),"◇","")),IF(AND(CD$5&lt;=$F188,CD$5+GanttPeriod-1&gt;=$E188),"━","")))</f>
        <v/>
      </c>
      <c r="CE188" s="69" t="str">
        <f aca="false">IF($E188="","",IF($M188,IF(AND($G188&gt;=CE$5,$G188&lt;CE$5+GanttPeriod),"◆",IF(AND($E188&gt;=CE$5,$E188&lt;CE$5+GanttPeriod),"◇","")),IF(AND(CE$5&lt;=$F188,CE$5+GanttPeriod-1&gt;=$E188),"━","")))</f>
        <v/>
      </c>
      <c r="CF188" s="69" t="str">
        <f aca="false">IF($E188="","",IF($M188,IF(AND($G188&gt;=CF$5,$G188&lt;CF$5+GanttPeriod),"◆",IF(AND($E188&gt;=CF$5,$E188&lt;CF$5+GanttPeriod),"◇","")),IF(AND(CF$5&lt;=$F188,CF$5+GanttPeriod-1&gt;=$E188),"━","")))</f>
        <v/>
      </c>
      <c r="CG188" s="69" t="str">
        <f aca="false">IF($E188="","",IF($M188,IF(AND($G188&gt;=CG$5,$G188&lt;CG$5+GanttPeriod),"◆",IF(AND($E188&gt;=CG$5,$E188&lt;CG$5+GanttPeriod),"◇","")),IF(AND(CG$5&lt;=$F188,CG$5+GanttPeriod-1&gt;=$E188),"━","")))</f>
        <v/>
      </c>
      <c r="CH188" s="69" t="str">
        <f aca="false">IF($E188="","",IF($M188,IF(AND($G188&gt;=CH$5,$G188&lt;CH$5+GanttPeriod),"◆",IF(AND($E188&gt;=CH$5,$E188&lt;CH$5+GanttPeriod),"◇","")),IF(AND(CH$5&lt;=$F188,CH$5+GanttPeriod-1&gt;=$E188),"━","")))</f>
        <v/>
      </c>
      <c r="CI188" s="69" t="str">
        <f aca="false">IF($E188="","",IF($M188,IF(AND($G188&gt;=CI$5,$G188&lt;CI$5+GanttPeriod),"◆",IF(AND($E188&gt;=CI$5,$E188&lt;CI$5+GanttPeriod),"◇","")),IF(AND(CI$5&lt;=$F188,CI$5+GanttPeriod-1&gt;=$E188),"━","")))</f>
        <v/>
      </c>
      <c r="CJ188" s="69" t="str">
        <f aca="false">IF($E188="","",IF($M188,IF(AND($G188&gt;=CJ$5,$G188&lt;CJ$5+GanttPeriod),"◆",IF(AND($E188&gt;=CJ$5,$E188&lt;CJ$5+GanttPeriod),"◇","")),IF(AND(CJ$5&lt;=$F188,CJ$5+GanttPeriod-1&gt;=$E188),"━","")))</f>
        <v/>
      </c>
      <c r="CK188" s="69" t="str">
        <f aca="false">IF($E188="","",IF($M188,IF(AND($G188&gt;=CK$5,$G188&lt;CK$5+GanttPeriod),"◆",IF(AND($E188&gt;=CK$5,$E188&lt;CK$5+GanttPeriod),"◇","")),IF(AND(CK$5&lt;=$F188,CK$5+GanttPeriod-1&gt;=$E188),"━","")))</f>
        <v/>
      </c>
      <c r="CL188" s="69" t="str">
        <f aca="false">IF($E188="","",IF($M188,IF(AND($G188&gt;=CL$5,$G188&lt;CL$5+GanttPeriod),"◆",IF(AND($E188&gt;=CL$5,$E188&lt;CL$5+GanttPeriod),"◇","")),IF(AND(CL$5&lt;=$F188,CL$5+GanttPeriod-1&gt;=$E188),"━","")))</f>
        <v/>
      </c>
      <c r="CM188" s="69" t="str">
        <f aca="false">IF($E188="","",IF($M188,IF(AND($G188&gt;=CM$5,$G188&lt;CM$5+GanttPeriod),"◆",IF(AND($E188&gt;=CM$5,$E188&lt;CM$5+GanttPeriod),"◇","")),IF(AND(CM$5&lt;=$F188,CM$5+GanttPeriod-1&gt;=$E188),"━","")))</f>
        <v/>
      </c>
      <c r="CN188" s="69" t="str">
        <f aca="false">IF($E188="","",IF($M188,IF(AND($G188&gt;=CN$5,$G188&lt;CN$5+GanttPeriod),"◆",IF(AND($E188&gt;=CN$5,$E188&lt;CN$5+GanttPeriod),"◇","")),IF(AND(CN$5&lt;=$F188,CN$5+GanttPeriod-1&gt;=$E188),"━","")))</f>
        <v/>
      </c>
      <c r="CO188" s="69" t="str">
        <f aca="false">IF($E188="","",IF($M188,IF(AND($G188&gt;=CO$5,$G188&lt;CO$5+GanttPeriod),"◆",IF(AND($E188&gt;=CO$5,$E188&lt;CO$5+GanttPeriod),"◇","")),IF(AND(CO$5&lt;=$F188,CO$5+GanttPeriod-1&gt;=$E188),"━","")))</f>
        <v/>
      </c>
      <c r="CP188" s="69" t="str">
        <f aca="false">IF($E188="","",IF($M188,IF(AND($G188&gt;=CP$5,$G188&lt;CP$5+GanttPeriod),"◆",IF(AND($E188&gt;=CP$5,$E188&lt;CP$5+GanttPeriod),"◇","")),IF(AND(CP$5&lt;=$F188,CP$5+GanttPeriod-1&gt;=$E188),"━","")))</f>
        <v/>
      </c>
      <c r="CQ188" s="69" t="str">
        <f aca="false">IF($E188="","",IF($M188,IF(AND($G188&gt;=CQ$5,$G188&lt;CQ$5+GanttPeriod),"◆",IF(AND($E188&gt;=CQ$5,$E188&lt;CQ$5+GanttPeriod),"◇","")),IF(AND(CQ$5&lt;=$F188,CQ$5+GanttPeriod-1&gt;=$E188),"━","")))</f>
        <v/>
      </c>
      <c r="CR188" s="69" t="str">
        <f aca="false">IF($E188="","",IF($M188,IF(AND($G188&gt;=CR$5,$G188&lt;CR$5+GanttPeriod),"◆",IF(AND($E188&gt;=CR$5,$E188&lt;CR$5+GanttPeriod),"◇","")),IF(AND(CR$5&lt;=$F188,CR$5+GanttPeriod-1&gt;=$E188),"━","")))</f>
        <v/>
      </c>
      <c r="CS188" s="69" t="str">
        <f aca="false">IF($E188="","",IF($M188,IF(AND($G188&gt;=CS$5,$G188&lt;CS$5+GanttPeriod),"◆",IF(AND($E188&gt;=CS$5,$E188&lt;CS$5+GanttPeriod),"◇","")),IF(AND(CS$5&lt;=$F188,CS$5+GanttPeriod-1&gt;=$E188),"━","")))</f>
        <v/>
      </c>
      <c r="CT188" s="69" t="str">
        <f aca="false">IF($E188="","",IF($M188,IF(AND($G188&gt;=CT$5,$G188&lt;CT$5+GanttPeriod),"◆",IF(AND($E188&gt;=CT$5,$E188&lt;CT$5+GanttPeriod),"◇","")),IF(AND(CT$5&lt;=$F188,CT$5+GanttPeriod-1&gt;=$E188),"━","")))</f>
        <v/>
      </c>
      <c r="CU188" s="69" t="str">
        <f aca="false">IF($E188="","",IF($M188,IF(AND($G188&gt;=CU$5,$G188&lt;CU$5+GanttPeriod),"◆",IF(AND($E188&gt;=CU$5,$E188&lt;CU$5+GanttPeriod),"◇","")),IF(AND(CU$5&lt;=$F188,CU$5+GanttPeriod-1&gt;=$E188),"━","")))</f>
        <v/>
      </c>
      <c r="CV188" s="69" t="str">
        <f aca="false">IF($E188="","",IF($M188,IF(AND($G188&gt;=CV$5,$G188&lt;CV$5+GanttPeriod),"◆",IF(AND($E188&gt;=CV$5,$E188&lt;CV$5+GanttPeriod),"◇","")),IF(AND(CV$5&lt;=$F188,CV$5+GanttPeriod-1&gt;=$E188),"━","")))</f>
        <v/>
      </c>
      <c r="CW188" s="69" t="str">
        <f aca="false">IF($E188="","",IF($M188,IF(AND($G188&gt;=CW$5,$G188&lt;CW$5+GanttPeriod),"◆",IF(AND($E188&gt;=CW$5,$E188&lt;CW$5+GanttPeriod),"◇","")),IF(AND(CW$5&lt;=$F188,CW$5+GanttPeriod-1&gt;=$E188),"━","")))</f>
        <v/>
      </c>
      <c r="CX188" s="69" t="str">
        <f aca="false">IF($E188="","",IF($M188,IF(AND($G188&gt;=CX$5,$G188&lt;CX$5+GanttPeriod),"◆",IF(AND($E188&gt;=CX$5,$E188&lt;CX$5+GanttPeriod),"◇","")),IF(AND(CX$5&lt;=$F188,CX$5+GanttPeriod-1&gt;=$E188),"━","")))</f>
        <v/>
      </c>
      <c r="CY188" s="69" t="str">
        <f aca="false">IF($E188="","",IF($M188,IF(AND($G188&gt;=CY$5,$G188&lt;CY$5+GanttPeriod),"◆",IF(AND($E188&gt;=CY$5,$E188&lt;CY$5+GanttPeriod),"◇","")),IF(AND(CY$5&lt;=$F188,CY$5+GanttPeriod-1&gt;=$E188),"━","")))</f>
        <v/>
      </c>
      <c r="CZ188" s="69" t="str">
        <f aca="false">IF($E188="","",IF($M188,IF(AND($G188&gt;=CZ$5,$G188&lt;CZ$5+GanttPeriod),"◆",IF(AND($E188&gt;=CZ$5,$E188&lt;CZ$5+GanttPeriod),"◇","")),IF(AND(CZ$5&lt;=$F188,CZ$5+GanttPeriod-1&gt;=$E188),"━","")))</f>
        <v/>
      </c>
      <c r="DA188" s="69" t="str">
        <f aca="false">IF($E188="","",IF($M188,IF(AND($G188&gt;=DA$5,$G188&lt;DA$5+GanttPeriod),"◆",IF(AND($E188&gt;=DA$5,$E188&lt;DA$5+GanttPeriod),"◇","")),IF(AND(DA$5&lt;=$F188,DA$5+GanttPeriod-1&gt;=$E188),"━","")))</f>
        <v/>
      </c>
      <c r="DB188" s="69" t="str">
        <f aca="false">IF($E188="","",IF($M188,IF(AND($G188&gt;=DB$5,$G188&lt;DB$5+GanttPeriod),"◆",IF(AND($E188&gt;=DB$5,$E188&lt;DB$5+GanttPeriod),"◇","")),IF(AND(DB$5&lt;=$F188,DB$5+GanttPeriod-1&gt;=$E188),"━","")))</f>
        <v/>
      </c>
      <c r="DC188" s="69" t="str">
        <f aca="false">IF($E188="","",IF($M188,IF(AND($G188&gt;=DC$5,$G188&lt;DC$5+GanttPeriod),"◆",IF(AND($E188&gt;=DC$5,$E188&lt;DC$5+GanttPeriod),"◇","")),IF(AND(DC$5&lt;=$F188,DC$5+GanttPeriod-1&gt;=$E188),"━","")))</f>
        <v/>
      </c>
      <c r="DD188" s="69" t="str">
        <f aca="false">IF($E188="","",IF($M188,IF(AND($G188&gt;=DD$5,$G188&lt;DD$5+GanttPeriod),"◆",IF(AND($E188&gt;=DD$5,$E188&lt;DD$5+GanttPeriod),"◇","")),IF(AND(DD$5&lt;=$F188,DD$5+GanttPeriod-1&gt;=$E188),"━","")))</f>
        <v/>
      </c>
      <c r="DE188" s="69" t="str">
        <f aca="false">IF($E188="","",IF($M188,IF(AND($G188&gt;=DE$5,$G188&lt;DE$5+GanttPeriod),"◆",IF(AND($E188&gt;=DE$5,$E188&lt;DE$5+GanttPeriod),"◇","")),IF(AND(DE$5&lt;=$F188,DE$5+GanttPeriod-1&gt;=$E188),"━","")))</f>
        <v/>
      </c>
      <c r="DF188" s="69" t="str">
        <f aca="false">IF($E188="","",IF($M188,IF(AND($G188&gt;=DF$5,$G188&lt;DF$5+GanttPeriod),"◆",IF(AND($E188&gt;=DF$5,$E188&lt;DF$5+GanttPeriod),"◇","")),IF(AND(DF$5&lt;=$F188,DF$5+GanttPeriod-1&gt;=$E188),"━","")))</f>
        <v/>
      </c>
      <c r="DG188" s="69" t="str">
        <f aca="false">IF($E188="","",IF($M188,IF(AND($G188&gt;=DG$5,$G188&lt;DG$5+GanttPeriod),"◆",IF(AND($E188&gt;=DG$5,$E188&lt;DG$5+GanttPeriod),"◇","")),IF(AND(DG$5&lt;=$F188,DG$5+GanttPeriod-1&gt;=$E188),"━","")))</f>
        <v/>
      </c>
      <c r="DH188" s="69" t="str">
        <f aca="false">IF($E188="","",IF($M188,IF(AND($G188&gt;=DH$5,$G188&lt;DH$5+GanttPeriod),"◆",IF(AND($E188&gt;=DH$5,$E188&lt;DH$5+GanttPeriod),"◇","")),IF(AND(DH$5&lt;=$F188,DH$5+GanttPeriod-1&gt;=$E188),"━","")))</f>
        <v/>
      </c>
      <c r="DI188" s="69" t="str">
        <f aca="false">IF($E188="","",IF($M188,IF(AND($G188&gt;=DI$5,$G188&lt;DI$5+GanttPeriod),"◆",IF(AND($E188&gt;=DI$5,$E188&lt;DI$5+GanttPeriod),"◇","")),IF(AND(DI$5&lt;=$F188,DI$5+GanttPeriod-1&gt;=$E188),"━","")))</f>
        <v/>
      </c>
      <c r="DJ188" s="69" t="str">
        <f aca="false">IF($E188="","",IF($M188,IF(AND($G188&gt;=DJ$5,$G188&lt;DJ$5+GanttPeriod),"◆",IF(AND($E188&gt;=DJ$5,$E188&lt;DJ$5+GanttPeriod),"◇","")),IF(AND(DJ$5&lt;=$F188,DJ$5+GanttPeriod-1&gt;=$E188),"━","")))</f>
        <v/>
      </c>
      <c r="DK188" s="69" t="str">
        <f aca="false">IF($E188="","",IF($M188,IF(AND($G188&gt;=DK$5,$G188&lt;DK$5+GanttPeriod),"◆",IF(AND($E188&gt;=DK$5,$E188&lt;DK$5+GanttPeriod),"◇","")),IF(AND(DK$5&lt;=$F188,DK$5+GanttPeriod-1&gt;=$E188),"━","")))</f>
        <v/>
      </c>
      <c r="DL188" s="69" t="str">
        <f aca="false">IF($E188="","",IF($M188,IF(AND($G188&gt;=DL$5,$G188&lt;DL$5+GanttPeriod),"◆",IF(AND($E188&gt;=DL$5,$E188&lt;DL$5+GanttPeriod),"◇","")),IF(AND(DL$5&lt;=$F188,DL$5+GanttPeriod-1&gt;=$E188),"━","")))</f>
        <v/>
      </c>
      <c r="DM188" s="69" t="str">
        <f aca="false">IF($E188="","",IF($M188,IF(AND($G188&gt;=DM$5,$G188&lt;DM$5+GanttPeriod),"◆",IF(AND($E188&gt;=DM$5,$E188&lt;DM$5+GanttPeriod),"◇","")),IF(AND(DM$5&lt;=$F188,DM$5+GanttPeriod-1&gt;=$E188),"━","")))</f>
        <v/>
      </c>
      <c r="DN188" s="69" t="str">
        <f aca="false">IF($E188="","",IF($M188,IF(AND($G188&gt;=DN$5,$G188&lt;DN$5+GanttPeriod),"◆",IF(AND($E188&gt;=DN$5,$E188&lt;DN$5+GanttPeriod),"◇","")),IF(AND(DN$5&lt;=$F188,DN$5+GanttPeriod-1&gt;=$E188),"━","")))</f>
        <v/>
      </c>
      <c r="DO188" s="69" t="str">
        <f aca="false">IF($E188="","",IF($M188,IF(AND($G188&gt;=DO$5,$G188&lt;DO$5+GanttPeriod),"◆",IF(AND($E188&gt;=DO$5,$E188&lt;DO$5+GanttPeriod),"◇","")),IF(AND(DO$5&lt;=$F188,DO$5+GanttPeriod-1&gt;=$E188),"━","")))</f>
        <v/>
      </c>
      <c r="DP188" s="69" t="str">
        <f aca="false">IF($E188="","",IF($M188,IF(AND($G188&gt;=DP$5,$G188&lt;DP$5+GanttPeriod),"◆",IF(AND($E188&gt;=DP$5,$E188&lt;DP$5+GanttPeriod),"◇","")),IF(AND(DP$5&lt;=$F188,DP$5+GanttPeriod-1&gt;=$E188),"━","")))</f>
        <v/>
      </c>
      <c r="DQ188" s="69" t="str">
        <f aca="false">IF($E188="","",IF($M188,IF(AND($G188&gt;=DQ$5,$G188&lt;DQ$5+GanttPeriod),"◆",IF(AND($E188&gt;=DQ$5,$E188&lt;DQ$5+GanttPeriod),"◇","")),IF(AND(DQ$5&lt;=$F188,DQ$5+GanttPeriod-1&gt;=$E188),"━","")))</f>
        <v/>
      </c>
      <c r="DR188" s="69" t="str">
        <f aca="false">IF($E188="","",IF($M188,IF(AND($G188&gt;=DR$5,$G188&lt;DR$5+GanttPeriod),"◆",IF(AND($E188&gt;=DR$5,$E188&lt;DR$5+GanttPeriod),"◇","")),IF(AND(DR$5&lt;=$F188,DR$5+GanttPeriod-1&gt;=$E188),"━","")))</f>
        <v/>
      </c>
      <c r="DS188" s="69" t="str">
        <f aca="false">IF($E188="","",IF($M188,IF(AND($G188&gt;=DS$5,$G188&lt;DS$5+GanttPeriod),"◆",IF(AND($E188&gt;=DS$5,$E188&lt;DS$5+GanttPeriod),"◇","")),IF(AND(DS$5&lt;=$F188,DS$5+GanttPeriod-1&gt;=$E188),"━","")))</f>
        <v/>
      </c>
      <c r="DT188" s="69" t="str">
        <f aca="false">IF($E188="","",IF($M188,IF(AND($G188&gt;=DT$5,$G188&lt;DT$5+GanttPeriod),"◆",IF(AND($E188&gt;=DT$5,$E188&lt;DT$5+GanttPeriod),"◇","")),IF(AND(DT$5&lt;=$F188,DT$5+GanttPeriod-1&gt;=$E188),"━","")))</f>
        <v/>
      </c>
      <c r="DU188" s="69" t="str">
        <f aca="false">IF($E188="","",IF($M188,IF(AND($G188&gt;=DU$5,$G188&lt;DU$5+GanttPeriod),"◆",IF(AND($E188&gt;=DU$5,$E188&lt;DU$5+GanttPeriod),"◇","")),IF(AND(DU$5&lt;=$F188,DU$5+GanttPeriod-1&gt;=$E188),"━","")))</f>
        <v/>
      </c>
      <c r="DV188" s="69" t="str">
        <f aca="false">IF($E188="","",IF($M188,IF(AND($G188&gt;=DV$5,$G188&lt;DV$5+GanttPeriod),"◆",IF(AND($E188&gt;=DV$5,$E188&lt;DV$5+GanttPeriod),"◇","")),IF(AND(DV$5&lt;=$F188,DV$5+GanttPeriod-1&gt;=$E188),"━","")))</f>
        <v/>
      </c>
      <c r="DW188" s="69" t="str">
        <f aca="false">IF($E188="","",IF($M188,IF(AND($G188&gt;=DW$5,$G188&lt;DW$5+GanttPeriod),"◆",IF(AND($E188&gt;=DW$5,$E188&lt;DW$5+GanttPeriod),"◇","")),IF(AND(DW$5&lt;=$F188,DW$5+GanttPeriod-1&gt;=$E188),"━","")))</f>
        <v/>
      </c>
      <c r="DX188" s="69" t="str">
        <f aca="false">IF($E188="","",IF($M188,IF(AND($G188&gt;=DX$5,$G188&lt;DX$5+GanttPeriod),"◆",IF(AND($E188&gt;=DX$5,$E188&lt;DX$5+GanttPeriod),"◇","")),IF(AND(DX$5&lt;=$F188,DX$5+GanttPeriod-1&gt;=$E188),"━","")))</f>
        <v/>
      </c>
      <c r="DY188" s="69" t="str">
        <f aca="false">IF($E188="","",IF($M188,IF(AND($G188&gt;=DY$5,$G188&lt;DY$5+GanttPeriod),"◆",IF(AND($E188&gt;=DY$5,$E188&lt;DY$5+GanttPeriod),"◇","")),IF(AND(DY$5&lt;=$F188,DY$5+GanttPeriod-1&gt;=$E188),"━","")))</f>
        <v/>
      </c>
      <c r="DZ188" s="69" t="str">
        <f aca="false">IF($E188="","",IF($M188,IF(AND($G188&gt;=DZ$5,$G188&lt;DZ$5+GanttPeriod),"◆",IF(AND($E188&gt;=DZ$5,$E188&lt;DZ$5+GanttPeriod),"◇","")),IF(AND(DZ$5&lt;=$F188,DZ$5+GanttPeriod-1&gt;=$E188),"━","")))</f>
        <v/>
      </c>
      <c r="EA188" s="69" t="str">
        <f aca="false">IF($E188="","",IF($M188,IF(AND($G188&gt;=EA$5,$G188&lt;EA$5+GanttPeriod),"◆",IF(AND($E188&gt;=EA$5,$E188&lt;EA$5+GanttPeriod),"◇","")),IF(AND(EA$5&lt;=$F188,EA$5+GanttPeriod-1&gt;=$E188),"━","")))</f>
        <v/>
      </c>
      <c r="EB188" s="69" t="str">
        <f aca="false">IF($E188="","",IF($M188,IF(AND($G188&gt;=EB$5,$G188&lt;EB$5+GanttPeriod),"◆",IF(AND($E188&gt;=EB$5,$E188&lt;EB$5+GanttPeriod),"◇","")),IF(AND(EB$5&lt;=$F188,EB$5+GanttPeriod-1&gt;=$E188),"━","")))</f>
        <v/>
      </c>
      <c r="EC188" s="69" t="str">
        <f aca="false">IF($E188="","",IF($M188,IF(AND($G188&gt;=EC$5,$G188&lt;EC$5+GanttPeriod),"◆",IF(AND($E188&gt;=EC$5,$E188&lt;EC$5+GanttPeriod),"◇","")),IF(AND(EC$5&lt;=$F188,EC$5+GanttPeriod-1&gt;=$E188),"━","")))</f>
        <v/>
      </c>
      <c r="ED188" s="69" t="str">
        <f aca="false">IF($E188="","",IF($M188,IF(AND($G188&gt;=ED$5,$G188&lt;ED$5+GanttPeriod),"◆",IF(AND($E188&gt;=ED$5,$E188&lt;ED$5+GanttPeriod),"◇","")),IF(AND(ED$5&lt;=$F188,ED$5+GanttPeriod-1&gt;=$E188),"━","")))</f>
        <v/>
      </c>
      <c r="EE188" s="69" t="str">
        <f aca="false">IF($E188="","",IF($M188,IF(AND($G188&gt;=EE$5,$G188&lt;EE$5+GanttPeriod),"◆",IF(AND($E188&gt;=EE$5,$E188&lt;EE$5+GanttPeriod),"◇","")),IF(AND(EE$5&lt;=$F188,EE$5+GanttPeriod-1&gt;=$E188),"━","")))</f>
        <v/>
      </c>
      <c r="EF188" s="69" t="str">
        <f aca="false">IF($E188="","",IF($M188,IF(AND($G188&gt;=EF$5,$G188&lt;EF$5+GanttPeriod),"◆",IF(AND($E188&gt;=EF$5,$E188&lt;EF$5+GanttPeriod),"◇","")),IF(AND(EF$5&lt;=$F188,EF$5+GanttPeriod-1&gt;=$E188),"━","")))</f>
        <v/>
      </c>
      <c r="EG188" s="69" t="str">
        <f aca="false">IF($E188="","",IF($M188,IF(AND($G188&gt;=EG$5,$G188&lt;EG$5+GanttPeriod),"◆",IF(AND($E188&gt;=EG$5,$E188&lt;EG$5+GanttPeriod),"◇","")),IF(AND(EG$5&lt;=$F188,EG$5+GanttPeriod-1&gt;=$E188),"━","")))</f>
        <v/>
      </c>
      <c r="EH188" s="69" t="str">
        <f aca="false">IF($E188="","",IF($M188,IF(AND($G188&gt;=EH$5,$G188&lt;EH$5+GanttPeriod),"◆",IF(AND($E188&gt;=EH$5,$E188&lt;EH$5+GanttPeriod),"◇","")),IF(AND(EH$5&lt;=$F188,EH$5+GanttPeriod-1&gt;=$E188),"━","")))</f>
        <v/>
      </c>
      <c r="EI188" s="69" t="str">
        <f aca="false">IF($E188="","",IF($M188,IF(AND($G188&gt;=EI$5,$G188&lt;EI$5+GanttPeriod),"◆",IF(AND($E188&gt;=EI$5,$E188&lt;EI$5+GanttPeriod),"◇","")),IF(AND(EI$5&lt;=$F188,EI$5+GanttPeriod-1&gt;=$E188),"━","")))</f>
        <v/>
      </c>
      <c r="EJ188" s="69" t="str">
        <f aca="false">IF($E188="","",IF($M188,IF(AND($G188&gt;=EJ$5,$G188&lt;EJ$5+GanttPeriod),"◆",IF(AND($E188&gt;=EJ$5,$E188&lt;EJ$5+GanttPeriod),"◇","")),IF(AND(EJ$5&lt;=$F188,EJ$5+GanttPeriod-1&gt;=$E188),"━","")))</f>
        <v/>
      </c>
      <c r="EK188" s="69" t="str">
        <f aca="false">IF($E188="","",IF($M188,IF(AND($G188&gt;=EK$5,$G188&lt;EK$5+GanttPeriod),"◆",IF(AND($E188&gt;=EK$5,$E188&lt;EK$5+GanttPeriod),"◇","")),IF(AND(EK$5&lt;=$F188,EK$5+GanttPeriod-1&gt;=$E188),"━","")))</f>
        <v/>
      </c>
      <c r="EL188" s="69" t="str">
        <f aca="false">IF($E188="","",IF($M188,IF(AND($G188&gt;=EL$5,$G188&lt;EL$5+GanttPeriod),"◆",IF(AND($E188&gt;=EL$5,$E188&lt;EL$5+GanttPeriod),"◇","")),IF(AND(EL$5&lt;=$F188,EL$5+GanttPeriod-1&gt;=$E188),"━","")))</f>
        <v/>
      </c>
      <c r="EM188" s="69" t="str">
        <f aca="false">IF($E188="","",IF($M188,IF(AND($G188&gt;=EM$5,$G188&lt;EM$5+GanttPeriod),"◆",IF(AND($E188&gt;=EM$5,$E188&lt;EM$5+GanttPeriod),"◇","")),IF(AND(EM$5&lt;=$F188,EM$5+GanttPeriod-1&gt;=$E188),"━","")))</f>
        <v/>
      </c>
      <c r="EN188" s="69" t="str">
        <f aca="false">IF($E188="","",IF($M188,IF(AND($G188&gt;=EN$5,$G188&lt;EN$5+GanttPeriod),"◆",IF(AND($E188&gt;=EN$5,$E188&lt;EN$5+GanttPeriod),"◇","")),IF(AND(EN$5&lt;=$F188,EN$5+GanttPeriod-1&gt;=$E188),"━","")))</f>
        <v/>
      </c>
      <c r="EO188" s="69" t="str">
        <f aca="false">IF($E188="","",IF($M188,IF(AND($G188&gt;=EO$5,$G188&lt;EO$5+GanttPeriod),"◆",IF(AND($E188&gt;=EO$5,$E188&lt;EO$5+GanttPeriod),"◇","")),IF(AND(EO$5&lt;=$F188,EO$5+GanttPeriod-1&gt;=$E188),"━","")))</f>
        <v/>
      </c>
      <c r="EP188" s="69" t="str">
        <f aca="false">IF($E188="","",IF($M188,IF(AND($G188&gt;=EP$5,$G188&lt;EP$5+GanttPeriod),"◆",IF(AND($E188&gt;=EP$5,$E188&lt;EP$5+GanttPeriod),"◇","")),IF(AND(EP$5&lt;=$F188,EP$5+GanttPeriod-1&gt;=$E188),"━","")))</f>
        <v/>
      </c>
      <c r="EQ188" s="69" t="str">
        <f aca="false">IF($E188="","",IF($M188,IF(AND($G188&gt;=EQ$5,$G188&lt;EQ$5+GanttPeriod),"◆",IF(AND($E188&gt;=EQ$5,$E188&lt;EQ$5+GanttPeriod),"◇","")),IF(AND(EQ$5&lt;=$F188,EQ$5+GanttPeriod-1&gt;=$E188),"━","")))</f>
        <v/>
      </c>
      <c r="ER188" s="69" t="str">
        <f aca="false">IF($E188="","",IF($M188,IF(AND($G188&gt;=ER$5,$G188&lt;ER$5+GanttPeriod),"◆",IF(AND($E188&gt;=ER$5,$E188&lt;ER$5+GanttPeriod),"◇","")),IF(AND(ER$5&lt;=$F188,ER$5+GanttPeriod-1&gt;=$E188),"━","")))</f>
        <v/>
      </c>
      <c r="ES188" s="69" t="str">
        <f aca="false">IF($E188="","",IF($M188,IF(AND($G188&gt;=ES$5,$G188&lt;ES$5+GanttPeriod),"◆",IF(AND($E188&gt;=ES$5,$E188&lt;ES$5+GanttPeriod),"◇","")),IF(AND(ES$5&lt;=$F188,ES$5+GanttPeriod-1&gt;=$E188),"━","")))</f>
        <v/>
      </c>
      <c r="ET188" s="69" t="str">
        <f aca="false">IF($E188="","",IF($M188,IF(AND($G188&gt;=ET$5,$G188&lt;ET$5+GanttPeriod),"◆",IF(AND($E188&gt;=ET$5,$E188&lt;ET$5+GanttPeriod),"◇","")),IF(AND(ET$5&lt;=$F188,ET$5+GanttPeriod-1&gt;=$E188),"━","")))</f>
        <v/>
      </c>
      <c r="EU188" s="69" t="str">
        <f aca="false">IF($E188="","",IF($M188,IF(AND($G188&gt;=EU$5,$G188&lt;EU$5+GanttPeriod),"◆",IF(AND($E188&gt;=EU$5,$E188&lt;EU$5+GanttPeriod),"◇","")),IF(AND(EU$5&lt;=$F188,EU$5+GanttPeriod-1&gt;=$E188),"━","")))</f>
        <v/>
      </c>
      <c r="EV188" s="69" t="str">
        <f aca="false">IF($E188="","",IF($M188,IF(AND($G188&gt;=EV$5,$G188&lt;EV$5+GanttPeriod),"◆",IF(AND($E188&gt;=EV$5,$E188&lt;EV$5+GanttPeriod),"◇","")),IF(AND(EV$5&lt;=$F188,EV$5+GanttPeriod-1&gt;=$E188),"━","")))</f>
        <v/>
      </c>
      <c r="EW188" s="69" t="str">
        <f aca="false">IF($E188="","",IF($M188,IF(AND($G188&gt;=EW$5,$G188&lt;EW$5+GanttPeriod),"◆",IF(AND($E188&gt;=EW$5,$E188&lt;EW$5+GanttPeriod),"◇","")),IF(AND(EW$5&lt;=$F188,EW$5+GanttPeriod-1&gt;=$E188),"━","")))</f>
        <v/>
      </c>
      <c r="EX188" s="69" t="str">
        <f aca="false">IF($E188="","",IF($M188,IF(AND($G188&gt;=EX$5,$G188&lt;EX$5+GanttPeriod),"◆",IF(AND($E188&gt;=EX$5,$E188&lt;EX$5+GanttPeriod),"◇","")),IF(AND(EX$5&lt;=$F188,EX$5+GanttPeriod-1&gt;=$E188),"━","")))</f>
        <v/>
      </c>
      <c r="EY188" s="69" t="str">
        <f aca="false">IF($E188="","",IF($M188,IF(AND($G188&gt;=EY$5,$G188&lt;EY$5+GanttPeriod),"◆",IF(AND($E188&gt;=EY$5,$E188&lt;EY$5+GanttPeriod),"◇","")),IF(AND(EY$5&lt;=$F188,EY$5+GanttPeriod-1&gt;=$E188),"━","")))</f>
        <v/>
      </c>
      <c r="EZ188" s="69" t="str">
        <f aca="false">IF($E188="","",IF($M188,IF(AND($G188&gt;=EZ$5,$G188&lt;EZ$5+GanttPeriod),"◆",IF(AND($E188&gt;=EZ$5,$E188&lt;EZ$5+GanttPeriod),"◇","")),IF(AND(EZ$5&lt;=$F188,EZ$5+GanttPeriod-1&gt;=$E188),"━","")))</f>
        <v/>
      </c>
      <c r="FA188" s="69" t="str">
        <f aca="false">IF($E188="","",IF($M188,IF(AND($G188&gt;=FA$5,$G188&lt;FA$5+GanttPeriod),"◆",IF(AND($E188&gt;=FA$5,$E188&lt;FA$5+GanttPeriod),"◇","")),IF(AND(FA$5&lt;=$F188,FA$5+GanttPeriod-1&gt;=$E188),"━","")))</f>
        <v/>
      </c>
      <c r="FB188" s="69" t="str">
        <f aca="false">IF($E188="","",IF($M188,IF(AND($G188&gt;=FB$5,$G188&lt;FB$5+GanttPeriod),"◆",IF(AND($E188&gt;=FB$5,$E188&lt;FB$5+GanttPeriod),"◇","")),IF(AND(FB$5&lt;=$F188,FB$5+GanttPeriod-1&gt;=$E188),"━","")))</f>
        <v/>
      </c>
      <c r="FC188" s="69" t="str">
        <f aca="false">IF($E188="","",IF($M188,IF(AND($G188&gt;=FC$5,$G188&lt;FC$5+GanttPeriod),"◆",IF(AND($E188&gt;=FC$5,$E188&lt;FC$5+GanttPeriod),"◇","")),IF(AND(FC$5&lt;=$F188,FC$5+GanttPeriod-1&gt;=$E188),"━","")))</f>
        <v/>
      </c>
      <c r="FD188" s="69" t="str">
        <f aca="false">IF($E188="","",IF($M188,IF(AND($G188&gt;=FD$5,$G188&lt;FD$5+GanttPeriod),"◆",IF(AND($E188&gt;=FD$5,$E188&lt;FD$5+GanttPeriod),"◇","")),IF(AND(FD$5&lt;=$F188,FD$5+GanttPeriod-1&gt;=$E188),"━","")))</f>
        <v/>
      </c>
      <c r="FE188" s="69" t="str">
        <f aca="false">IF($E188="","",IF($M188,IF(AND($G188&gt;=FE$5,$G188&lt;FE$5+GanttPeriod),"◆",IF(AND($E188&gt;=FE$5,$E188&lt;FE$5+GanttPeriod),"◇","")),IF(AND(FE$5&lt;=$F188,FE$5+GanttPeriod-1&gt;=$E188),"━","")))</f>
        <v/>
      </c>
      <c r="FF188" s="69" t="str">
        <f aca="false">IF($E188="","",IF($M188,IF(AND($G188&gt;=FF$5,$G188&lt;FF$5+GanttPeriod),"◆",IF(AND($E188&gt;=FF$5,$E188&lt;FF$5+GanttPeriod),"◇","")),IF(AND(FF$5&lt;=$F188,FF$5+GanttPeriod-1&gt;=$E188),"━","")))</f>
        <v/>
      </c>
      <c r="FG188" s="69" t="str">
        <f aca="false">IF($E188="","",IF($M188,IF(AND($G188&gt;=FG$5,$G188&lt;FG$5+GanttPeriod),"◆",IF(AND($E188&gt;=FG$5,$E188&lt;FG$5+GanttPeriod),"◇","")),IF(AND(FG$5&lt;=$F188,FG$5+GanttPeriod-1&gt;=$E188),"━","")))</f>
        <v/>
      </c>
      <c r="FH188" s="69" t="str">
        <f aca="false">IF($E188="","",IF($M188,IF(AND($G188&gt;=FH$5,$G188&lt;FH$5+GanttPeriod),"◆",IF(AND($E188&gt;=FH$5,$E188&lt;FH$5+GanttPeriod),"◇","")),IF(AND(FH$5&lt;=$F188,FH$5+GanttPeriod-1&gt;=$E188),"━","")))</f>
        <v/>
      </c>
      <c r="FI188" s="69" t="str">
        <f aca="false">IF($E188="","",IF($M188,IF(AND($G188&gt;=FI$5,$G188&lt;FI$5+GanttPeriod),"◆",IF(AND($E188&gt;=FI$5,$E188&lt;FI$5+GanttPeriod),"◇","")),IF(AND(FI$5&lt;=$F188,FI$5+GanttPeriod-1&gt;=$E188),"━","")))</f>
        <v/>
      </c>
      <c r="FJ188" s="69" t="str">
        <f aca="false">IF($E188="","",IF($M188,IF(AND($G188&gt;=FJ$5,$G188&lt;FJ$5+GanttPeriod),"◆",IF(AND($E188&gt;=FJ$5,$E188&lt;FJ$5+GanttPeriod),"◇","")),IF(AND(FJ$5&lt;=$F188,FJ$5+GanttPeriod-1&gt;=$E188),"━","")))</f>
        <v/>
      </c>
      <c r="FK188" s="69" t="str">
        <f aca="false">IF($E188="","",IF($M188,IF(AND($G188&gt;=FK$5,$G188&lt;FK$5+GanttPeriod),"◆",IF(AND($E188&gt;=FK$5,$E188&lt;FK$5+GanttPeriod),"◇","")),IF(AND(FK$5&lt;=$F188,FK$5+GanttPeriod-1&gt;=$E188),"━","")))</f>
        <v/>
      </c>
      <c r="FL188" s="69" t="str">
        <f aca="false">IF($E188="","",IF($M188,IF(AND($G188&gt;=FL$5,$G188&lt;FL$5+GanttPeriod),"◆",IF(AND($E188&gt;=FL$5,$E188&lt;FL$5+GanttPeriod),"◇","")),IF(AND(FL$5&lt;=$F188,FL$5+GanttPeriod-1&gt;=$E188),"━","")))</f>
        <v/>
      </c>
      <c r="FM188" s="69" t="str">
        <f aca="false">IF($E188="","",IF($M188,IF(AND($G188&gt;=FM$5,$G188&lt;FM$5+GanttPeriod),"◆",IF(AND($E188&gt;=FM$5,$E188&lt;FM$5+GanttPeriod),"◇","")),IF(AND(FM$5&lt;=$F188,FM$5+GanttPeriod-1&gt;=$E188),"━","")))</f>
        <v/>
      </c>
    </row>
    <row r="189" customFormat="false" ht="15" hidden="false" customHeight="false" outlineLevel="0" collapsed="false">
      <c r="A189" s="62" t="str">
        <f aca="false">IF(Tasks!$D189="","",Tasks!$A189)</f>
        <v/>
      </c>
      <c r="B189" s="62" t="str">
        <f aca="false">IF(Tasks!$D189="","",Tasks!$B189)</f>
        <v/>
      </c>
      <c r="C189" s="63" t="str">
        <f aca="false">IF(Tasks!$D189="","",REPT("    ",Tasks!$AE189-1)&amp;Tasks!$D189)</f>
        <v/>
      </c>
      <c r="D189" s="62" t="str">
        <f aca="false">IF(Tasks!$D189="","",IF(Tasks!$AI189,NETWORKDAYS.INTL(Tasks!$R189,Tasks!$S189,WorkWeek,Holidays),N(Tasks!$F189)))</f>
        <v/>
      </c>
      <c r="E189" s="64" t="str">
        <f aca="false">IF(Tasks!$D189="","",Tasks!$N189)</f>
        <v/>
      </c>
      <c r="F189" s="64" t="str">
        <f aca="false">IF(Tasks!$D189="","",Tasks!$O189)</f>
        <v/>
      </c>
      <c r="G189" s="64" t="str">
        <f aca="false">IF(Tasks!$D189="","",Tasks!$R189)</f>
        <v/>
      </c>
      <c r="H189" s="64" t="str">
        <f aca="false">IF(Tasks!$D189="","",Tasks!$S189)</f>
        <v/>
      </c>
      <c r="I189" s="65" t="str">
        <f aca="false">IF(Tasks!$D189="","",Tasks!$V189)</f>
        <v/>
      </c>
      <c r="J189" s="63" t="str">
        <f aca="false">IF(Tasks!$D189="","",Tasks!$X189&amp;"")</f>
        <v/>
      </c>
      <c r="K189" s="66" t="str">
        <f aca="false">IF(Tasks!$D189="","",Tasks!$W189)</f>
        <v/>
      </c>
      <c r="L189" s="67" t="b">
        <f aca="false">IF(Tasks!$D189="",FALSE(),Tasks!$AI189)</f>
        <v>0</v>
      </c>
      <c r="M189" s="67" t="b">
        <f aca="false">AND(Tasks!$AJ189=1,N(Tasks!$F189)=0)</f>
        <v>0</v>
      </c>
      <c r="N189" s="68" t="n">
        <f aca="false">IF(AND(Tasks!$AJ189=1,NOT($M189),N($I189)&gt;0),$G189,0)</f>
        <v>0</v>
      </c>
      <c r="O189" s="68" t="n">
        <f aca="false">IF($N189=0,0,IF($I189&gt;=1,$H189,MAX($N189,$G189+ROUND(($H189-$G189+1)*$I189,0)-1)))</f>
        <v>0</v>
      </c>
      <c r="P189" s="68" t="n">
        <f aca="false">IF(OR(Tasks!$AJ189&lt;&gt;1,$M189,N($I189)&gt;=1),0,IF($O189&gt;0,$O189+1,$G189))</f>
        <v>0</v>
      </c>
      <c r="Q189" s="68" t="n">
        <f aca="false">IF($P189=0,0,$H189)</f>
        <v>0</v>
      </c>
      <c r="R189" s="67" t="b">
        <f aca="false">AND(Tasks!$D189&lt;&gt;"",N(Tasks!$T189)&gt;0)</f>
        <v>0</v>
      </c>
      <c r="T189" s="69" t="str">
        <f aca="false">IF($E189="","",IF($M189,IF(AND($G189&gt;=T$5,$G189&lt;T$5+GanttPeriod),"◆",IF(AND($E189&gt;=T$5,$E189&lt;T$5+GanttPeriod),"◇","")),IF(AND(T$5&lt;=$F189,T$5+GanttPeriod-1&gt;=$E189),"━","")))</f>
        <v/>
      </c>
      <c r="U189" s="69" t="str">
        <f aca="false">IF($E189="","",IF($M189,IF(AND($G189&gt;=U$5,$G189&lt;U$5+GanttPeriod),"◆",IF(AND($E189&gt;=U$5,$E189&lt;U$5+GanttPeriod),"◇","")),IF(AND(U$5&lt;=$F189,U$5+GanttPeriod-1&gt;=$E189),"━","")))</f>
        <v/>
      </c>
      <c r="V189" s="69" t="str">
        <f aca="false">IF($E189="","",IF($M189,IF(AND($G189&gt;=V$5,$G189&lt;V$5+GanttPeriod),"◆",IF(AND($E189&gt;=V$5,$E189&lt;V$5+GanttPeriod),"◇","")),IF(AND(V$5&lt;=$F189,V$5+GanttPeriod-1&gt;=$E189),"━","")))</f>
        <v/>
      </c>
      <c r="W189" s="69" t="str">
        <f aca="false">IF($E189="","",IF($M189,IF(AND($G189&gt;=W$5,$G189&lt;W$5+GanttPeriod),"◆",IF(AND($E189&gt;=W$5,$E189&lt;W$5+GanttPeriod),"◇","")),IF(AND(W$5&lt;=$F189,W$5+GanttPeriod-1&gt;=$E189),"━","")))</f>
        <v/>
      </c>
      <c r="X189" s="69" t="str">
        <f aca="false">IF($E189="","",IF($M189,IF(AND($G189&gt;=X$5,$G189&lt;X$5+GanttPeriod),"◆",IF(AND($E189&gt;=X$5,$E189&lt;X$5+GanttPeriod),"◇","")),IF(AND(X$5&lt;=$F189,X$5+GanttPeriod-1&gt;=$E189),"━","")))</f>
        <v/>
      </c>
      <c r="Y189" s="69" t="str">
        <f aca="false">IF($E189="","",IF($M189,IF(AND($G189&gt;=Y$5,$G189&lt;Y$5+GanttPeriod),"◆",IF(AND($E189&gt;=Y$5,$E189&lt;Y$5+GanttPeriod),"◇","")),IF(AND(Y$5&lt;=$F189,Y$5+GanttPeriod-1&gt;=$E189),"━","")))</f>
        <v/>
      </c>
      <c r="Z189" s="69" t="str">
        <f aca="false">IF($E189="","",IF($M189,IF(AND($G189&gt;=Z$5,$G189&lt;Z$5+GanttPeriod),"◆",IF(AND($E189&gt;=Z$5,$E189&lt;Z$5+GanttPeriod),"◇","")),IF(AND(Z$5&lt;=$F189,Z$5+GanttPeriod-1&gt;=$E189),"━","")))</f>
        <v/>
      </c>
      <c r="AA189" s="69" t="str">
        <f aca="false">IF($E189="","",IF($M189,IF(AND($G189&gt;=AA$5,$G189&lt;AA$5+GanttPeriod),"◆",IF(AND($E189&gt;=AA$5,$E189&lt;AA$5+GanttPeriod),"◇","")),IF(AND(AA$5&lt;=$F189,AA$5+GanttPeriod-1&gt;=$E189),"━","")))</f>
        <v/>
      </c>
      <c r="AB189" s="69" t="str">
        <f aca="false">IF($E189="","",IF($M189,IF(AND($G189&gt;=AB$5,$G189&lt;AB$5+GanttPeriod),"◆",IF(AND($E189&gt;=AB$5,$E189&lt;AB$5+GanttPeriod),"◇","")),IF(AND(AB$5&lt;=$F189,AB$5+GanttPeriod-1&gt;=$E189),"━","")))</f>
        <v/>
      </c>
      <c r="AC189" s="69" t="str">
        <f aca="false">IF($E189="","",IF($M189,IF(AND($G189&gt;=AC$5,$G189&lt;AC$5+GanttPeriod),"◆",IF(AND($E189&gt;=AC$5,$E189&lt;AC$5+GanttPeriod),"◇","")),IF(AND(AC$5&lt;=$F189,AC$5+GanttPeriod-1&gt;=$E189),"━","")))</f>
        <v/>
      </c>
      <c r="AD189" s="69" t="str">
        <f aca="false">IF($E189="","",IF($M189,IF(AND($G189&gt;=AD$5,$G189&lt;AD$5+GanttPeriod),"◆",IF(AND($E189&gt;=AD$5,$E189&lt;AD$5+GanttPeriod),"◇","")),IF(AND(AD$5&lt;=$F189,AD$5+GanttPeriod-1&gt;=$E189),"━","")))</f>
        <v/>
      </c>
      <c r="AE189" s="69" t="str">
        <f aca="false">IF($E189="","",IF($M189,IF(AND($G189&gt;=AE$5,$G189&lt;AE$5+GanttPeriod),"◆",IF(AND($E189&gt;=AE$5,$E189&lt;AE$5+GanttPeriod),"◇","")),IF(AND(AE$5&lt;=$F189,AE$5+GanttPeriod-1&gt;=$E189),"━","")))</f>
        <v/>
      </c>
      <c r="AF189" s="69" t="str">
        <f aca="false">IF($E189="","",IF($M189,IF(AND($G189&gt;=AF$5,$G189&lt;AF$5+GanttPeriod),"◆",IF(AND($E189&gt;=AF$5,$E189&lt;AF$5+GanttPeriod),"◇","")),IF(AND(AF$5&lt;=$F189,AF$5+GanttPeriod-1&gt;=$E189),"━","")))</f>
        <v/>
      </c>
      <c r="AG189" s="69" t="str">
        <f aca="false">IF($E189="","",IF($M189,IF(AND($G189&gt;=AG$5,$G189&lt;AG$5+GanttPeriod),"◆",IF(AND($E189&gt;=AG$5,$E189&lt;AG$5+GanttPeriod),"◇","")),IF(AND(AG$5&lt;=$F189,AG$5+GanttPeriod-1&gt;=$E189),"━","")))</f>
        <v/>
      </c>
      <c r="AH189" s="69" t="str">
        <f aca="false">IF($E189="","",IF($M189,IF(AND($G189&gt;=AH$5,$G189&lt;AH$5+GanttPeriod),"◆",IF(AND($E189&gt;=AH$5,$E189&lt;AH$5+GanttPeriod),"◇","")),IF(AND(AH$5&lt;=$F189,AH$5+GanttPeriod-1&gt;=$E189),"━","")))</f>
        <v/>
      </c>
      <c r="AI189" s="69" t="str">
        <f aca="false">IF($E189="","",IF($M189,IF(AND($G189&gt;=AI$5,$G189&lt;AI$5+GanttPeriod),"◆",IF(AND($E189&gt;=AI$5,$E189&lt;AI$5+GanttPeriod),"◇","")),IF(AND(AI$5&lt;=$F189,AI$5+GanttPeriod-1&gt;=$E189),"━","")))</f>
        <v/>
      </c>
      <c r="AJ189" s="69" t="str">
        <f aca="false">IF($E189="","",IF($M189,IF(AND($G189&gt;=AJ$5,$G189&lt;AJ$5+GanttPeriod),"◆",IF(AND($E189&gt;=AJ$5,$E189&lt;AJ$5+GanttPeriod),"◇","")),IF(AND(AJ$5&lt;=$F189,AJ$5+GanttPeriod-1&gt;=$E189),"━","")))</f>
        <v/>
      </c>
      <c r="AK189" s="69" t="str">
        <f aca="false">IF($E189="","",IF($M189,IF(AND($G189&gt;=AK$5,$G189&lt;AK$5+GanttPeriod),"◆",IF(AND($E189&gt;=AK$5,$E189&lt;AK$5+GanttPeriod),"◇","")),IF(AND(AK$5&lt;=$F189,AK$5+GanttPeriod-1&gt;=$E189),"━","")))</f>
        <v/>
      </c>
      <c r="AL189" s="69" t="str">
        <f aca="false">IF($E189="","",IF($M189,IF(AND($G189&gt;=AL$5,$G189&lt;AL$5+GanttPeriod),"◆",IF(AND($E189&gt;=AL$5,$E189&lt;AL$5+GanttPeriod),"◇","")),IF(AND(AL$5&lt;=$F189,AL$5+GanttPeriod-1&gt;=$E189),"━","")))</f>
        <v/>
      </c>
      <c r="AM189" s="69" t="str">
        <f aca="false">IF($E189="","",IF($M189,IF(AND($G189&gt;=AM$5,$G189&lt;AM$5+GanttPeriod),"◆",IF(AND($E189&gt;=AM$5,$E189&lt;AM$5+GanttPeriod),"◇","")),IF(AND(AM$5&lt;=$F189,AM$5+GanttPeriod-1&gt;=$E189),"━","")))</f>
        <v/>
      </c>
      <c r="AN189" s="69" t="str">
        <f aca="false">IF($E189="","",IF($M189,IF(AND($G189&gt;=AN$5,$G189&lt;AN$5+GanttPeriod),"◆",IF(AND($E189&gt;=AN$5,$E189&lt;AN$5+GanttPeriod),"◇","")),IF(AND(AN$5&lt;=$F189,AN$5+GanttPeriod-1&gt;=$E189),"━","")))</f>
        <v/>
      </c>
      <c r="AO189" s="69" t="str">
        <f aca="false">IF($E189="","",IF($M189,IF(AND($G189&gt;=AO$5,$G189&lt;AO$5+GanttPeriod),"◆",IF(AND($E189&gt;=AO$5,$E189&lt;AO$5+GanttPeriod),"◇","")),IF(AND(AO$5&lt;=$F189,AO$5+GanttPeriod-1&gt;=$E189),"━","")))</f>
        <v/>
      </c>
      <c r="AP189" s="69" t="str">
        <f aca="false">IF($E189="","",IF($M189,IF(AND($G189&gt;=AP$5,$G189&lt;AP$5+GanttPeriod),"◆",IF(AND($E189&gt;=AP$5,$E189&lt;AP$5+GanttPeriod),"◇","")),IF(AND(AP$5&lt;=$F189,AP$5+GanttPeriod-1&gt;=$E189),"━","")))</f>
        <v/>
      </c>
      <c r="AQ189" s="69" t="str">
        <f aca="false">IF($E189="","",IF($M189,IF(AND($G189&gt;=AQ$5,$G189&lt;AQ$5+GanttPeriod),"◆",IF(AND($E189&gt;=AQ$5,$E189&lt;AQ$5+GanttPeriod),"◇","")),IF(AND(AQ$5&lt;=$F189,AQ$5+GanttPeriod-1&gt;=$E189),"━","")))</f>
        <v/>
      </c>
      <c r="AR189" s="69" t="str">
        <f aca="false">IF($E189="","",IF($M189,IF(AND($G189&gt;=AR$5,$G189&lt;AR$5+GanttPeriod),"◆",IF(AND($E189&gt;=AR$5,$E189&lt;AR$5+GanttPeriod),"◇","")),IF(AND(AR$5&lt;=$F189,AR$5+GanttPeriod-1&gt;=$E189),"━","")))</f>
        <v/>
      </c>
      <c r="AS189" s="69" t="str">
        <f aca="false">IF($E189="","",IF($M189,IF(AND($G189&gt;=AS$5,$G189&lt;AS$5+GanttPeriod),"◆",IF(AND($E189&gt;=AS$5,$E189&lt;AS$5+GanttPeriod),"◇","")),IF(AND(AS$5&lt;=$F189,AS$5+GanttPeriod-1&gt;=$E189),"━","")))</f>
        <v/>
      </c>
      <c r="AT189" s="69" t="str">
        <f aca="false">IF($E189="","",IF($M189,IF(AND($G189&gt;=AT$5,$G189&lt;AT$5+GanttPeriod),"◆",IF(AND($E189&gt;=AT$5,$E189&lt;AT$5+GanttPeriod),"◇","")),IF(AND(AT$5&lt;=$F189,AT$5+GanttPeriod-1&gt;=$E189),"━","")))</f>
        <v/>
      </c>
      <c r="AU189" s="69" t="str">
        <f aca="false">IF($E189="","",IF($M189,IF(AND($G189&gt;=AU$5,$G189&lt;AU$5+GanttPeriod),"◆",IF(AND($E189&gt;=AU$5,$E189&lt;AU$5+GanttPeriod),"◇","")),IF(AND(AU$5&lt;=$F189,AU$5+GanttPeriod-1&gt;=$E189),"━","")))</f>
        <v/>
      </c>
      <c r="AV189" s="69" t="str">
        <f aca="false">IF($E189="","",IF($M189,IF(AND($G189&gt;=AV$5,$G189&lt;AV$5+GanttPeriod),"◆",IF(AND($E189&gt;=AV$5,$E189&lt;AV$5+GanttPeriod),"◇","")),IF(AND(AV$5&lt;=$F189,AV$5+GanttPeriod-1&gt;=$E189),"━","")))</f>
        <v/>
      </c>
      <c r="AW189" s="69" t="str">
        <f aca="false">IF($E189="","",IF($M189,IF(AND($G189&gt;=AW$5,$G189&lt;AW$5+GanttPeriod),"◆",IF(AND($E189&gt;=AW$5,$E189&lt;AW$5+GanttPeriod),"◇","")),IF(AND(AW$5&lt;=$F189,AW$5+GanttPeriod-1&gt;=$E189),"━","")))</f>
        <v/>
      </c>
      <c r="AX189" s="69" t="str">
        <f aca="false">IF($E189="","",IF($M189,IF(AND($G189&gt;=AX$5,$G189&lt;AX$5+GanttPeriod),"◆",IF(AND($E189&gt;=AX$5,$E189&lt;AX$5+GanttPeriod),"◇","")),IF(AND(AX$5&lt;=$F189,AX$5+GanttPeriod-1&gt;=$E189),"━","")))</f>
        <v/>
      </c>
      <c r="AY189" s="69" t="str">
        <f aca="false">IF($E189="","",IF($M189,IF(AND($G189&gt;=AY$5,$G189&lt;AY$5+GanttPeriod),"◆",IF(AND($E189&gt;=AY$5,$E189&lt;AY$5+GanttPeriod),"◇","")),IF(AND(AY$5&lt;=$F189,AY$5+GanttPeriod-1&gt;=$E189),"━","")))</f>
        <v/>
      </c>
      <c r="AZ189" s="69" t="str">
        <f aca="false">IF($E189="","",IF($M189,IF(AND($G189&gt;=AZ$5,$G189&lt;AZ$5+GanttPeriod),"◆",IF(AND($E189&gt;=AZ$5,$E189&lt;AZ$5+GanttPeriod),"◇","")),IF(AND(AZ$5&lt;=$F189,AZ$5+GanttPeriod-1&gt;=$E189),"━","")))</f>
        <v/>
      </c>
      <c r="BA189" s="69" t="str">
        <f aca="false">IF($E189="","",IF($M189,IF(AND($G189&gt;=BA$5,$G189&lt;BA$5+GanttPeriod),"◆",IF(AND($E189&gt;=BA$5,$E189&lt;BA$5+GanttPeriod),"◇","")),IF(AND(BA$5&lt;=$F189,BA$5+GanttPeriod-1&gt;=$E189),"━","")))</f>
        <v/>
      </c>
      <c r="BB189" s="69" t="str">
        <f aca="false">IF($E189="","",IF($M189,IF(AND($G189&gt;=BB$5,$G189&lt;BB$5+GanttPeriod),"◆",IF(AND($E189&gt;=BB$5,$E189&lt;BB$5+GanttPeriod),"◇","")),IF(AND(BB$5&lt;=$F189,BB$5+GanttPeriod-1&gt;=$E189),"━","")))</f>
        <v/>
      </c>
      <c r="BC189" s="69" t="str">
        <f aca="false">IF($E189="","",IF($M189,IF(AND($G189&gt;=BC$5,$G189&lt;BC$5+GanttPeriod),"◆",IF(AND($E189&gt;=BC$5,$E189&lt;BC$5+GanttPeriod),"◇","")),IF(AND(BC$5&lt;=$F189,BC$5+GanttPeriod-1&gt;=$E189),"━","")))</f>
        <v/>
      </c>
      <c r="BD189" s="69" t="str">
        <f aca="false">IF($E189="","",IF($M189,IF(AND($G189&gt;=BD$5,$G189&lt;BD$5+GanttPeriod),"◆",IF(AND($E189&gt;=BD$5,$E189&lt;BD$5+GanttPeriod),"◇","")),IF(AND(BD$5&lt;=$F189,BD$5+GanttPeriod-1&gt;=$E189),"━","")))</f>
        <v/>
      </c>
      <c r="BE189" s="69" t="str">
        <f aca="false">IF($E189="","",IF($M189,IF(AND($G189&gt;=BE$5,$G189&lt;BE$5+GanttPeriod),"◆",IF(AND($E189&gt;=BE$5,$E189&lt;BE$5+GanttPeriod),"◇","")),IF(AND(BE$5&lt;=$F189,BE$5+GanttPeriod-1&gt;=$E189),"━","")))</f>
        <v/>
      </c>
      <c r="BF189" s="69" t="str">
        <f aca="false">IF($E189="","",IF($M189,IF(AND($G189&gt;=BF$5,$G189&lt;BF$5+GanttPeriod),"◆",IF(AND($E189&gt;=BF$5,$E189&lt;BF$5+GanttPeriod),"◇","")),IF(AND(BF$5&lt;=$F189,BF$5+GanttPeriod-1&gt;=$E189),"━","")))</f>
        <v/>
      </c>
      <c r="BG189" s="69" t="str">
        <f aca="false">IF($E189="","",IF($M189,IF(AND($G189&gt;=BG$5,$G189&lt;BG$5+GanttPeriod),"◆",IF(AND($E189&gt;=BG$5,$E189&lt;BG$5+GanttPeriod),"◇","")),IF(AND(BG$5&lt;=$F189,BG$5+GanttPeriod-1&gt;=$E189),"━","")))</f>
        <v/>
      </c>
      <c r="BH189" s="69" t="str">
        <f aca="false">IF($E189="","",IF($M189,IF(AND($G189&gt;=BH$5,$G189&lt;BH$5+GanttPeriod),"◆",IF(AND($E189&gt;=BH$5,$E189&lt;BH$5+GanttPeriod),"◇","")),IF(AND(BH$5&lt;=$F189,BH$5+GanttPeriod-1&gt;=$E189),"━","")))</f>
        <v/>
      </c>
      <c r="BI189" s="69" t="str">
        <f aca="false">IF($E189="","",IF($M189,IF(AND($G189&gt;=BI$5,$G189&lt;BI$5+GanttPeriod),"◆",IF(AND($E189&gt;=BI$5,$E189&lt;BI$5+GanttPeriod),"◇","")),IF(AND(BI$5&lt;=$F189,BI$5+GanttPeriod-1&gt;=$E189),"━","")))</f>
        <v/>
      </c>
      <c r="BJ189" s="69" t="str">
        <f aca="false">IF($E189="","",IF($M189,IF(AND($G189&gt;=BJ$5,$G189&lt;BJ$5+GanttPeriod),"◆",IF(AND($E189&gt;=BJ$5,$E189&lt;BJ$5+GanttPeriod),"◇","")),IF(AND(BJ$5&lt;=$F189,BJ$5+GanttPeriod-1&gt;=$E189),"━","")))</f>
        <v/>
      </c>
      <c r="BK189" s="69" t="str">
        <f aca="false">IF($E189="","",IF($M189,IF(AND($G189&gt;=BK$5,$G189&lt;BK$5+GanttPeriod),"◆",IF(AND($E189&gt;=BK$5,$E189&lt;BK$5+GanttPeriod),"◇","")),IF(AND(BK$5&lt;=$F189,BK$5+GanttPeriod-1&gt;=$E189),"━","")))</f>
        <v/>
      </c>
      <c r="BL189" s="69" t="str">
        <f aca="false">IF($E189="","",IF($M189,IF(AND($G189&gt;=BL$5,$G189&lt;BL$5+GanttPeriod),"◆",IF(AND($E189&gt;=BL$5,$E189&lt;BL$5+GanttPeriod),"◇","")),IF(AND(BL$5&lt;=$F189,BL$5+GanttPeriod-1&gt;=$E189),"━","")))</f>
        <v/>
      </c>
      <c r="BM189" s="69" t="str">
        <f aca="false">IF($E189="","",IF($M189,IF(AND($G189&gt;=BM$5,$G189&lt;BM$5+GanttPeriod),"◆",IF(AND($E189&gt;=BM$5,$E189&lt;BM$5+GanttPeriod),"◇","")),IF(AND(BM$5&lt;=$F189,BM$5+GanttPeriod-1&gt;=$E189),"━","")))</f>
        <v/>
      </c>
      <c r="BN189" s="69" t="str">
        <f aca="false">IF($E189="","",IF($M189,IF(AND($G189&gt;=BN$5,$G189&lt;BN$5+GanttPeriod),"◆",IF(AND($E189&gt;=BN$5,$E189&lt;BN$5+GanttPeriod),"◇","")),IF(AND(BN$5&lt;=$F189,BN$5+GanttPeriod-1&gt;=$E189),"━","")))</f>
        <v/>
      </c>
      <c r="BO189" s="69" t="str">
        <f aca="false">IF($E189="","",IF($M189,IF(AND($G189&gt;=BO$5,$G189&lt;BO$5+GanttPeriod),"◆",IF(AND($E189&gt;=BO$5,$E189&lt;BO$5+GanttPeriod),"◇","")),IF(AND(BO$5&lt;=$F189,BO$5+GanttPeriod-1&gt;=$E189),"━","")))</f>
        <v/>
      </c>
      <c r="BP189" s="69" t="str">
        <f aca="false">IF($E189="","",IF($M189,IF(AND($G189&gt;=BP$5,$G189&lt;BP$5+GanttPeriod),"◆",IF(AND($E189&gt;=BP$5,$E189&lt;BP$5+GanttPeriod),"◇","")),IF(AND(BP$5&lt;=$F189,BP$5+GanttPeriod-1&gt;=$E189),"━","")))</f>
        <v/>
      </c>
      <c r="BQ189" s="69" t="str">
        <f aca="false">IF($E189="","",IF($M189,IF(AND($G189&gt;=BQ$5,$G189&lt;BQ$5+GanttPeriod),"◆",IF(AND($E189&gt;=BQ$5,$E189&lt;BQ$5+GanttPeriod),"◇","")),IF(AND(BQ$5&lt;=$F189,BQ$5+GanttPeriod-1&gt;=$E189),"━","")))</f>
        <v/>
      </c>
      <c r="BR189" s="69" t="str">
        <f aca="false">IF($E189="","",IF($M189,IF(AND($G189&gt;=BR$5,$G189&lt;BR$5+GanttPeriod),"◆",IF(AND($E189&gt;=BR$5,$E189&lt;BR$5+GanttPeriod),"◇","")),IF(AND(BR$5&lt;=$F189,BR$5+GanttPeriod-1&gt;=$E189),"━","")))</f>
        <v/>
      </c>
      <c r="BS189" s="69" t="str">
        <f aca="false">IF($E189="","",IF($M189,IF(AND($G189&gt;=BS$5,$G189&lt;BS$5+GanttPeriod),"◆",IF(AND($E189&gt;=BS$5,$E189&lt;BS$5+GanttPeriod),"◇","")),IF(AND(BS$5&lt;=$F189,BS$5+GanttPeriod-1&gt;=$E189),"━","")))</f>
        <v/>
      </c>
      <c r="BT189" s="69" t="str">
        <f aca="false">IF($E189="","",IF($M189,IF(AND($G189&gt;=BT$5,$G189&lt;BT$5+GanttPeriod),"◆",IF(AND($E189&gt;=BT$5,$E189&lt;BT$5+GanttPeriod),"◇","")),IF(AND(BT$5&lt;=$F189,BT$5+GanttPeriod-1&gt;=$E189),"━","")))</f>
        <v/>
      </c>
      <c r="BU189" s="69" t="str">
        <f aca="false">IF($E189="","",IF($M189,IF(AND($G189&gt;=BU$5,$G189&lt;BU$5+GanttPeriod),"◆",IF(AND($E189&gt;=BU$5,$E189&lt;BU$5+GanttPeriod),"◇","")),IF(AND(BU$5&lt;=$F189,BU$5+GanttPeriod-1&gt;=$E189),"━","")))</f>
        <v/>
      </c>
      <c r="BV189" s="69" t="str">
        <f aca="false">IF($E189="","",IF($M189,IF(AND($G189&gt;=BV$5,$G189&lt;BV$5+GanttPeriod),"◆",IF(AND($E189&gt;=BV$5,$E189&lt;BV$5+GanttPeriod),"◇","")),IF(AND(BV$5&lt;=$F189,BV$5+GanttPeriod-1&gt;=$E189),"━","")))</f>
        <v/>
      </c>
      <c r="BW189" s="69" t="str">
        <f aca="false">IF($E189="","",IF($M189,IF(AND($G189&gt;=BW$5,$G189&lt;BW$5+GanttPeriod),"◆",IF(AND($E189&gt;=BW$5,$E189&lt;BW$5+GanttPeriod),"◇","")),IF(AND(BW$5&lt;=$F189,BW$5+GanttPeriod-1&gt;=$E189),"━","")))</f>
        <v/>
      </c>
      <c r="BX189" s="69" t="str">
        <f aca="false">IF($E189="","",IF($M189,IF(AND($G189&gt;=BX$5,$G189&lt;BX$5+GanttPeriod),"◆",IF(AND($E189&gt;=BX$5,$E189&lt;BX$5+GanttPeriod),"◇","")),IF(AND(BX$5&lt;=$F189,BX$5+GanttPeriod-1&gt;=$E189),"━","")))</f>
        <v/>
      </c>
      <c r="BY189" s="69" t="str">
        <f aca="false">IF($E189="","",IF($M189,IF(AND($G189&gt;=BY$5,$G189&lt;BY$5+GanttPeriod),"◆",IF(AND($E189&gt;=BY$5,$E189&lt;BY$5+GanttPeriod),"◇","")),IF(AND(BY$5&lt;=$F189,BY$5+GanttPeriod-1&gt;=$E189),"━","")))</f>
        <v/>
      </c>
      <c r="BZ189" s="69" t="str">
        <f aca="false">IF($E189="","",IF($M189,IF(AND($G189&gt;=BZ$5,$G189&lt;BZ$5+GanttPeriod),"◆",IF(AND($E189&gt;=BZ$5,$E189&lt;BZ$5+GanttPeriod),"◇","")),IF(AND(BZ$5&lt;=$F189,BZ$5+GanttPeriod-1&gt;=$E189),"━","")))</f>
        <v/>
      </c>
      <c r="CA189" s="69" t="str">
        <f aca="false">IF($E189="","",IF($M189,IF(AND($G189&gt;=CA$5,$G189&lt;CA$5+GanttPeriod),"◆",IF(AND($E189&gt;=CA$5,$E189&lt;CA$5+GanttPeriod),"◇","")),IF(AND(CA$5&lt;=$F189,CA$5+GanttPeriod-1&gt;=$E189),"━","")))</f>
        <v/>
      </c>
      <c r="CB189" s="69" t="str">
        <f aca="false">IF($E189="","",IF($M189,IF(AND($G189&gt;=CB$5,$G189&lt;CB$5+GanttPeriod),"◆",IF(AND($E189&gt;=CB$5,$E189&lt;CB$5+GanttPeriod),"◇","")),IF(AND(CB$5&lt;=$F189,CB$5+GanttPeriod-1&gt;=$E189),"━","")))</f>
        <v/>
      </c>
      <c r="CC189" s="69" t="str">
        <f aca="false">IF($E189="","",IF($M189,IF(AND($G189&gt;=CC$5,$G189&lt;CC$5+GanttPeriod),"◆",IF(AND($E189&gt;=CC$5,$E189&lt;CC$5+GanttPeriod),"◇","")),IF(AND(CC$5&lt;=$F189,CC$5+GanttPeriod-1&gt;=$E189),"━","")))</f>
        <v/>
      </c>
      <c r="CD189" s="69" t="str">
        <f aca="false">IF($E189="","",IF($M189,IF(AND($G189&gt;=CD$5,$G189&lt;CD$5+GanttPeriod),"◆",IF(AND($E189&gt;=CD$5,$E189&lt;CD$5+GanttPeriod),"◇","")),IF(AND(CD$5&lt;=$F189,CD$5+GanttPeriod-1&gt;=$E189),"━","")))</f>
        <v/>
      </c>
      <c r="CE189" s="69" t="str">
        <f aca="false">IF($E189="","",IF($M189,IF(AND($G189&gt;=CE$5,$G189&lt;CE$5+GanttPeriod),"◆",IF(AND($E189&gt;=CE$5,$E189&lt;CE$5+GanttPeriod),"◇","")),IF(AND(CE$5&lt;=$F189,CE$5+GanttPeriod-1&gt;=$E189),"━","")))</f>
        <v/>
      </c>
      <c r="CF189" s="69" t="str">
        <f aca="false">IF($E189="","",IF($M189,IF(AND($G189&gt;=CF$5,$G189&lt;CF$5+GanttPeriod),"◆",IF(AND($E189&gt;=CF$5,$E189&lt;CF$5+GanttPeriod),"◇","")),IF(AND(CF$5&lt;=$F189,CF$5+GanttPeriod-1&gt;=$E189),"━","")))</f>
        <v/>
      </c>
      <c r="CG189" s="69" t="str">
        <f aca="false">IF($E189="","",IF($M189,IF(AND($G189&gt;=CG$5,$G189&lt;CG$5+GanttPeriod),"◆",IF(AND($E189&gt;=CG$5,$E189&lt;CG$5+GanttPeriod),"◇","")),IF(AND(CG$5&lt;=$F189,CG$5+GanttPeriod-1&gt;=$E189),"━","")))</f>
        <v/>
      </c>
      <c r="CH189" s="69" t="str">
        <f aca="false">IF($E189="","",IF($M189,IF(AND($G189&gt;=CH$5,$G189&lt;CH$5+GanttPeriod),"◆",IF(AND($E189&gt;=CH$5,$E189&lt;CH$5+GanttPeriod),"◇","")),IF(AND(CH$5&lt;=$F189,CH$5+GanttPeriod-1&gt;=$E189),"━","")))</f>
        <v/>
      </c>
      <c r="CI189" s="69" t="str">
        <f aca="false">IF($E189="","",IF($M189,IF(AND($G189&gt;=CI$5,$G189&lt;CI$5+GanttPeriod),"◆",IF(AND($E189&gt;=CI$5,$E189&lt;CI$5+GanttPeriod),"◇","")),IF(AND(CI$5&lt;=$F189,CI$5+GanttPeriod-1&gt;=$E189),"━","")))</f>
        <v/>
      </c>
      <c r="CJ189" s="69" t="str">
        <f aca="false">IF($E189="","",IF($M189,IF(AND($G189&gt;=CJ$5,$G189&lt;CJ$5+GanttPeriod),"◆",IF(AND($E189&gt;=CJ$5,$E189&lt;CJ$5+GanttPeriod),"◇","")),IF(AND(CJ$5&lt;=$F189,CJ$5+GanttPeriod-1&gt;=$E189),"━","")))</f>
        <v/>
      </c>
      <c r="CK189" s="69" t="str">
        <f aca="false">IF($E189="","",IF($M189,IF(AND($G189&gt;=CK$5,$G189&lt;CK$5+GanttPeriod),"◆",IF(AND($E189&gt;=CK$5,$E189&lt;CK$5+GanttPeriod),"◇","")),IF(AND(CK$5&lt;=$F189,CK$5+GanttPeriod-1&gt;=$E189),"━","")))</f>
        <v/>
      </c>
      <c r="CL189" s="69" t="str">
        <f aca="false">IF($E189="","",IF($M189,IF(AND($G189&gt;=CL$5,$G189&lt;CL$5+GanttPeriod),"◆",IF(AND($E189&gt;=CL$5,$E189&lt;CL$5+GanttPeriod),"◇","")),IF(AND(CL$5&lt;=$F189,CL$5+GanttPeriod-1&gt;=$E189),"━","")))</f>
        <v/>
      </c>
      <c r="CM189" s="69" t="str">
        <f aca="false">IF($E189="","",IF($M189,IF(AND($G189&gt;=CM$5,$G189&lt;CM$5+GanttPeriod),"◆",IF(AND($E189&gt;=CM$5,$E189&lt;CM$5+GanttPeriod),"◇","")),IF(AND(CM$5&lt;=$F189,CM$5+GanttPeriod-1&gt;=$E189),"━","")))</f>
        <v/>
      </c>
      <c r="CN189" s="69" t="str">
        <f aca="false">IF($E189="","",IF($M189,IF(AND($G189&gt;=CN$5,$G189&lt;CN$5+GanttPeriod),"◆",IF(AND($E189&gt;=CN$5,$E189&lt;CN$5+GanttPeriod),"◇","")),IF(AND(CN$5&lt;=$F189,CN$5+GanttPeriod-1&gt;=$E189),"━","")))</f>
        <v/>
      </c>
      <c r="CO189" s="69" t="str">
        <f aca="false">IF($E189="","",IF($M189,IF(AND($G189&gt;=CO$5,$G189&lt;CO$5+GanttPeriod),"◆",IF(AND($E189&gt;=CO$5,$E189&lt;CO$5+GanttPeriod),"◇","")),IF(AND(CO$5&lt;=$F189,CO$5+GanttPeriod-1&gt;=$E189),"━","")))</f>
        <v/>
      </c>
      <c r="CP189" s="69" t="str">
        <f aca="false">IF($E189="","",IF($M189,IF(AND($G189&gt;=CP$5,$G189&lt;CP$5+GanttPeriod),"◆",IF(AND($E189&gt;=CP$5,$E189&lt;CP$5+GanttPeriod),"◇","")),IF(AND(CP$5&lt;=$F189,CP$5+GanttPeriod-1&gt;=$E189),"━","")))</f>
        <v/>
      </c>
      <c r="CQ189" s="69" t="str">
        <f aca="false">IF($E189="","",IF($M189,IF(AND($G189&gt;=CQ$5,$G189&lt;CQ$5+GanttPeriod),"◆",IF(AND($E189&gt;=CQ$5,$E189&lt;CQ$5+GanttPeriod),"◇","")),IF(AND(CQ$5&lt;=$F189,CQ$5+GanttPeriod-1&gt;=$E189),"━","")))</f>
        <v/>
      </c>
      <c r="CR189" s="69" t="str">
        <f aca="false">IF($E189="","",IF($M189,IF(AND($G189&gt;=CR$5,$G189&lt;CR$5+GanttPeriod),"◆",IF(AND($E189&gt;=CR$5,$E189&lt;CR$5+GanttPeriod),"◇","")),IF(AND(CR$5&lt;=$F189,CR$5+GanttPeriod-1&gt;=$E189),"━","")))</f>
        <v/>
      </c>
      <c r="CS189" s="69" t="str">
        <f aca="false">IF($E189="","",IF($M189,IF(AND($G189&gt;=CS$5,$G189&lt;CS$5+GanttPeriod),"◆",IF(AND($E189&gt;=CS$5,$E189&lt;CS$5+GanttPeriod),"◇","")),IF(AND(CS$5&lt;=$F189,CS$5+GanttPeriod-1&gt;=$E189),"━","")))</f>
        <v/>
      </c>
      <c r="CT189" s="69" t="str">
        <f aca="false">IF($E189="","",IF($M189,IF(AND($G189&gt;=CT$5,$G189&lt;CT$5+GanttPeriod),"◆",IF(AND($E189&gt;=CT$5,$E189&lt;CT$5+GanttPeriod),"◇","")),IF(AND(CT$5&lt;=$F189,CT$5+GanttPeriod-1&gt;=$E189),"━","")))</f>
        <v/>
      </c>
      <c r="CU189" s="69" t="str">
        <f aca="false">IF($E189="","",IF($M189,IF(AND($G189&gt;=CU$5,$G189&lt;CU$5+GanttPeriod),"◆",IF(AND($E189&gt;=CU$5,$E189&lt;CU$5+GanttPeriod),"◇","")),IF(AND(CU$5&lt;=$F189,CU$5+GanttPeriod-1&gt;=$E189),"━","")))</f>
        <v/>
      </c>
      <c r="CV189" s="69" t="str">
        <f aca="false">IF($E189="","",IF($M189,IF(AND($G189&gt;=CV$5,$G189&lt;CV$5+GanttPeriod),"◆",IF(AND($E189&gt;=CV$5,$E189&lt;CV$5+GanttPeriod),"◇","")),IF(AND(CV$5&lt;=$F189,CV$5+GanttPeriod-1&gt;=$E189),"━","")))</f>
        <v/>
      </c>
      <c r="CW189" s="69" t="str">
        <f aca="false">IF($E189="","",IF($M189,IF(AND($G189&gt;=CW$5,$G189&lt;CW$5+GanttPeriod),"◆",IF(AND($E189&gt;=CW$5,$E189&lt;CW$5+GanttPeriod),"◇","")),IF(AND(CW$5&lt;=$F189,CW$5+GanttPeriod-1&gt;=$E189),"━","")))</f>
        <v/>
      </c>
      <c r="CX189" s="69" t="str">
        <f aca="false">IF($E189="","",IF($M189,IF(AND($G189&gt;=CX$5,$G189&lt;CX$5+GanttPeriod),"◆",IF(AND($E189&gt;=CX$5,$E189&lt;CX$5+GanttPeriod),"◇","")),IF(AND(CX$5&lt;=$F189,CX$5+GanttPeriod-1&gt;=$E189),"━","")))</f>
        <v/>
      </c>
      <c r="CY189" s="69" t="str">
        <f aca="false">IF($E189="","",IF($M189,IF(AND($G189&gt;=CY$5,$G189&lt;CY$5+GanttPeriod),"◆",IF(AND($E189&gt;=CY$5,$E189&lt;CY$5+GanttPeriod),"◇","")),IF(AND(CY$5&lt;=$F189,CY$5+GanttPeriod-1&gt;=$E189),"━","")))</f>
        <v/>
      </c>
      <c r="CZ189" s="69" t="str">
        <f aca="false">IF($E189="","",IF($M189,IF(AND($G189&gt;=CZ$5,$G189&lt;CZ$5+GanttPeriod),"◆",IF(AND($E189&gt;=CZ$5,$E189&lt;CZ$5+GanttPeriod),"◇","")),IF(AND(CZ$5&lt;=$F189,CZ$5+GanttPeriod-1&gt;=$E189),"━","")))</f>
        <v/>
      </c>
      <c r="DA189" s="69" t="str">
        <f aca="false">IF($E189="","",IF($M189,IF(AND($G189&gt;=DA$5,$G189&lt;DA$5+GanttPeriod),"◆",IF(AND($E189&gt;=DA$5,$E189&lt;DA$5+GanttPeriod),"◇","")),IF(AND(DA$5&lt;=$F189,DA$5+GanttPeriod-1&gt;=$E189),"━","")))</f>
        <v/>
      </c>
      <c r="DB189" s="69" t="str">
        <f aca="false">IF($E189="","",IF($M189,IF(AND($G189&gt;=DB$5,$G189&lt;DB$5+GanttPeriod),"◆",IF(AND($E189&gt;=DB$5,$E189&lt;DB$5+GanttPeriod),"◇","")),IF(AND(DB$5&lt;=$F189,DB$5+GanttPeriod-1&gt;=$E189),"━","")))</f>
        <v/>
      </c>
      <c r="DC189" s="69" t="str">
        <f aca="false">IF($E189="","",IF($M189,IF(AND($G189&gt;=DC$5,$G189&lt;DC$5+GanttPeriod),"◆",IF(AND($E189&gt;=DC$5,$E189&lt;DC$5+GanttPeriod),"◇","")),IF(AND(DC$5&lt;=$F189,DC$5+GanttPeriod-1&gt;=$E189),"━","")))</f>
        <v/>
      </c>
      <c r="DD189" s="69" t="str">
        <f aca="false">IF($E189="","",IF($M189,IF(AND($G189&gt;=DD$5,$G189&lt;DD$5+GanttPeriod),"◆",IF(AND($E189&gt;=DD$5,$E189&lt;DD$5+GanttPeriod),"◇","")),IF(AND(DD$5&lt;=$F189,DD$5+GanttPeriod-1&gt;=$E189),"━","")))</f>
        <v/>
      </c>
      <c r="DE189" s="69" t="str">
        <f aca="false">IF($E189="","",IF($M189,IF(AND($G189&gt;=DE$5,$G189&lt;DE$5+GanttPeriod),"◆",IF(AND($E189&gt;=DE$5,$E189&lt;DE$5+GanttPeriod),"◇","")),IF(AND(DE$5&lt;=$F189,DE$5+GanttPeriod-1&gt;=$E189),"━","")))</f>
        <v/>
      </c>
      <c r="DF189" s="69" t="str">
        <f aca="false">IF($E189="","",IF($M189,IF(AND($G189&gt;=DF$5,$G189&lt;DF$5+GanttPeriod),"◆",IF(AND($E189&gt;=DF$5,$E189&lt;DF$5+GanttPeriod),"◇","")),IF(AND(DF$5&lt;=$F189,DF$5+GanttPeriod-1&gt;=$E189),"━","")))</f>
        <v/>
      </c>
      <c r="DG189" s="69" t="str">
        <f aca="false">IF($E189="","",IF($M189,IF(AND($G189&gt;=DG$5,$G189&lt;DG$5+GanttPeriod),"◆",IF(AND($E189&gt;=DG$5,$E189&lt;DG$5+GanttPeriod),"◇","")),IF(AND(DG$5&lt;=$F189,DG$5+GanttPeriod-1&gt;=$E189),"━","")))</f>
        <v/>
      </c>
      <c r="DH189" s="69" t="str">
        <f aca="false">IF($E189="","",IF($M189,IF(AND($G189&gt;=DH$5,$G189&lt;DH$5+GanttPeriod),"◆",IF(AND($E189&gt;=DH$5,$E189&lt;DH$5+GanttPeriod),"◇","")),IF(AND(DH$5&lt;=$F189,DH$5+GanttPeriod-1&gt;=$E189),"━","")))</f>
        <v/>
      </c>
      <c r="DI189" s="69" t="str">
        <f aca="false">IF($E189="","",IF($M189,IF(AND($G189&gt;=DI$5,$G189&lt;DI$5+GanttPeriod),"◆",IF(AND($E189&gt;=DI$5,$E189&lt;DI$5+GanttPeriod),"◇","")),IF(AND(DI$5&lt;=$F189,DI$5+GanttPeriod-1&gt;=$E189),"━","")))</f>
        <v/>
      </c>
      <c r="DJ189" s="69" t="str">
        <f aca="false">IF($E189="","",IF($M189,IF(AND($G189&gt;=DJ$5,$G189&lt;DJ$5+GanttPeriod),"◆",IF(AND($E189&gt;=DJ$5,$E189&lt;DJ$5+GanttPeriod),"◇","")),IF(AND(DJ$5&lt;=$F189,DJ$5+GanttPeriod-1&gt;=$E189),"━","")))</f>
        <v/>
      </c>
      <c r="DK189" s="69" t="str">
        <f aca="false">IF($E189="","",IF($M189,IF(AND($G189&gt;=DK$5,$G189&lt;DK$5+GanttPeriod),"◆",IF(AND($E189&gt;=DK$5,$E189&lt;DK$5+GanttPeriod),"◇","")),IF(AND(DK$5&lt;=$F189,DK$5+GanttPeriod-1&gt;=$E189),"━","")))</f>
        <v/>
      </c>
      <c r="DL189" s="69" t="str">
        <f aca="false">IF($E189="","",IF($M189,IF(AND($G189&gt;=DL$5,$G189&lt;DL$5+GanttPeriod),"◆",IF(AND($E189&gt;=DL$5,$E189&lt;DL$5+GanttPeriod),"◇","")),IF(AND(DL$5&lt;=$F189,DL$5+GanttPeriod-1&gt;=$E189),"━","")))</f>
        <v/>
      </c>
      <c r="DM189" s="69" t="str">
        <f aca="false">IF($E189="","",IF($M189,IF(AND($G189&gt;=DM$5,$G189&lt;DM$5+GanttPeriod),"◆",IF(AND($E189&gt;=DM$5,$E189&lt;DM$5+GanttPeriod),"◇","")),IF(AND(DM$5&lt;=$F189,DM$5+GanttPeriod-1&gt;=$E189),"━","")))</f>
        <v/>
      </c>
      <c r="DN189" s="69" t="str">
        <f aca="false">IF($E189="","",IF($M189,IF(AND($G189&gt;=DN$5,$G189&lt;DN$5+GanttPeriod),"◆",IF(AND($E189&gt;=DN$5,$E189&lt;DN$5+GanttPeriod),"◇","")),IF(AND(DN$5&lt;=$F189,DN$5+GanttPeriod-1&gt;=$E189),"━","")))</f>
        <v/>
      </c>
      <c r="DO189" s="69" t="str">
        <f aca="false">IF($E189="","",IF($M189,IF(AND($G189&gt;=DO$5,$G189&lt;DO$5+GanttPeriod),"◆",IF(AND($E189&gt;=DO$5,$E189&lt;DO$5+GanttPeriod),"◇","")),IF(AND(DO$5&lt;=$F189,DO$5+GanttPeriod-1&gt;=$E189),"━","")))</f>
        <v/>
      </c>
      <c r="DP189" s="69" t="str">
        <f aca="false">IF($E189="","",IF($M189,IF(AND($G189&gt;=DP$5,$G189&lt;DP$5+GanttPeriod),"◆",IF(AND($E189&gt;=DP$5,$E189&lt;DP$5+GanttPeriod),"◇","")),IF(AND(DP$5&lt;=$F189,DP$5+GanttPeriod-1&gt;=$E189),"━","")))</f>
        <v/>
      </c>
      <c r="DQ189" s="69" t="str">
        <f aca="false">IF($E189="","",IF($M189,IF(AND($G189&gt;=DQ$5,$G189&lt;DQ$5+GanttPeriod),"◆",IF(AND($E189&gt;=DQ$5,$E189&lt;DQ$5+GanttPeriod),"◇","")),IF(AND(DQ$5&lt;=$F189,DQ$5+GanttPeriod-1&gt;=$E189),"━","")))</f>
        <v/>
      </c>
      <c r="DR189" s="69" t="str">
        <f aca="false">IF($E189="","",IF($M189,IF(AND($G189&gt;=DR$5,$G189&lt;DR$5+GanttPeriod),"◆",IF(AND($E189&gt;=DR$5,$E189&lt;DR$5+GanttPeriod),"◇","")),IF(AND(DR$5&lt;=$F189,DR$5+GanttPeriod-1&gt;=$E189),"━","")))</f>
        <v/>
      </c>
      <c r="DS189" s="69" t="str">
        <f aca="false">IF($E189="","",IF($M189,IF(AND($G189&gt;=DS$5,$G189&lt;DS$5+GanttPeriod),"◆",IF(AND($E189&gt;=DS$5,$E189&lt;DS$5+GanttPeriod),"◇","")),IF(AND(DS$5&lt;=$F189,DS$5+GanttPeriod-1&gt;=$E189),"━","")))</f>
        <v/>
      </c>
      <c r="DT189" s="69" t="str">
        <f aca="false">IF($E189="","",IF($M189,IF(AND($G189&gt;=DT$5,$G189&lt;DT$5+GanttPeriod),"◆",IF(AND($E189&gt;=DT$5,$E189&lt;DT$5+GanttPeriod),"◇","")),IF(AND(DT$5&lt;=$F189,DT$5+GanttPeriod-1&gt;=$E189),"━","")))</f>
        <v/>
      </c>
      <c r="DU189" s="69" t="str">
        <f aca="false">IF($E189="","",IF($M189,IF(AND($G189&gt;=DU$5,$G189&lt;DU$5+GanttPeriod),"◆",IF(AND($E189&gt;=DU$5,$E189&lt;DU$5+GanttPeriod),"◇","")),IF(AND(DU$5&lt;=$F189,DU$5+GanttPeriod-1&gt;=$E189),"━","")))</f>
        <v/>
      </c>
      <c r="DV189" s="69" t="str">
        <f aca="false">IF($E189="","",IF($M189,IF(AND($G189&gt;=DV$5,$G189&lt;DV$5+GanttPeriod),"◆",IF(AND($E189&gt;=DV$5,$E189&lt;DV$5+GanttPeriod),"◇","")),IF(AND(DV$5&lt;=$F189,DV$5+GanttPeriod-1&gt;=$E189),"━","")))</f>
        <v/>
      </c>
      <c r="DW189" s="69" t="str">
        <f aca="false">IF($E189="","",IF($M189,IF(AND($G189&gt;=DW$5,$G189&lt;DW$5+GanttPeriod),"◆",IF(AND($E189&gt;=DW$5,$E189&lt;DW$5+GanttPeriod),"◇","")),IF(AND(DW$5&lt;=$F189,DW$5+GanttPeriod-1&gt;=$E189),"━","")))</f>
        <v/>
      </c>
      <c r="DX189" s="69" t="str">
        <f aca="false">IF($E189="","",IF($M189,IF(AND($G189&gt;=DX$5,$G189&lt;DX$5+GanttPeriod),"◆",IF(AND($E189&gt;=DX$5,$E189&lt;DX$5+GanttPeriod),"◇","")),IF(AND(DX$5&lt;=$F189,DX$5+GanttPeriod-1&gt;=$E189),"━","")))</f>
        <v/>
      </c>
      <c r="DY189" s="69" t="str">
        <f aca="false">IF($E189="","",IF($M189,IF(AND($G189&gt;=DY$5,$G189&lt;DY$5+GanttPeriod),"◆",IF(AND($E189&gt;=DY$5,$E189&lt;DY$5+GanttPeriod),"◇","")),IF(AND(DY$5&lt;=$F189,DY$5+GanttPeriod-1&gt;=$E189),"━","")))</f>
        <v/>
      </c>
      <c r="DZ189" s="69" t="str">
        <f aca="false">IF($E189="","",IF($M189,IF(AND($G189&gt;=DZ$5,$G189&lt;DZ$5+GanttPeriod),"◆",IF(AND($E189&gt;=DZ$5,$E189&lt;DZ$5+GanttPeriod),"◇","")),IF(AND(DZ$5&lt;=$F189,DZ$5+GanttPeriod-1&gt;=$E189),"━","")))</f>
        <v/>
      </c>
      <c r="EA189" s="69" t="str">
        <f aca="false">IF($E189="","",IF($M189,IF(AND($G189&gt;=EA$5,$G189&lt;EA$5+GanttPeriod),"◆",IF(AND($E189&gt;=EA$5,$E189&lt;EA$5+GanttPeriod),"◇","")),IF(AND(EA$5&lt;=$F189,EA$5+GanttPeriod-1&gt;=$E189),"━","")))</f>
        <v/>
      </c>
      <c r="EB189" s="69" t="str">
        <f aca="false">IF($E189="","",IF($M189,IF(AND($G189&gt;=EB$5,$G189&lt;EB$5+GanttPeriod),"◆",IF(AND($E189&gt;=EB$5,$E189&lt;EB$5+GanttPeriod),"◇","")),IF(AND(EB$5&lt;=$F189,EB$5+GanttPeriod-1&gt;=$E189),"━","")))</f>
        <v/>
      </c>
      <c r="EC189" s="69" t="str">
        <f aca="false">IF($E189="","",IF($M189,IF(AND($G189&gt;=EC$5,$G189&lt;EC$5+GanttPeriod),"◆",IF(AND($E189&gt;=EC$5,$E189&lt;EC$5+GanttPeriod),"◇","")),IF(AND(EC$5&lt;=$F189,EC$5+GanttPeriod-1&gt;=$E189),"━","")))</f>
        <v/>
      </c>
      <c r="ED189" s="69" t="str">
        <f aca="false">IF($E189="","",IF($M189,IF(AND($G189&gt;=ED$5,$G189&lt;ED$5+GanttPeriod),"◆",IF(AND($E189&gt;=ED$5,$E189&lt;ED$5+GanttPeriod),"◇","")),IF(AND(ED$5&lt;=$F189,ED$5+GanttPeriod-1&gt;=$E189),"━","")))</f>
        <v/>
      </c>
      <c r="EE189" s="69" t="str">
        <f aca="false">IF($E189="","",IF($M189,IF(AND($G189&gt;=EE$5,$G189&lt;EE$5+GanttPeriod),"◆",IF(AND($E189&gt;=EE$5,$E189&lt;EE$5+GanttPeriod),"◇","")),IF(AND(EE$5&lt;=$F189,EE$5+GanttPeriod-1&gt;=$E189),"━","")))</f>
        <v/>
      </c>
      <c r="EF189" s="69" t="str">
        <f aca="false">IF($E189="","",IF($M189,IF(AND($G189&gt;=EF$5,$G189&lt;EF$5+GanttPeriod),"◆",IF(AND($E189&gt;=EF$5,$E189&lt;EF$5+GanttPeriod),"◇","")),IF(AND(EF$5&lt;=$F189,EF$5+GanttPeriod-1&gt;=$E189),"━","")))</f>
        <v/>
      </c>
      <c r="EG189" s="69" t="str">
        <f aca="false">IF($E189="","",IF($M189,IF(AND($G189&gt;=EG$5,$G189&lt;EG$5+GanttPeriod),"◆",IF(AND($E189&gt;=EG$5,$E189&lt;EG$5+GanttPeriod),"◇","")),IF(AND(EG$5&lt;=$F189,EG$5+GanttPeriod-1&gt;=$E189),"━","")))</f>
        <v/>
      </c>
      <c r="EH189" s="69" t="str">
        <f aca="false">IF($E189="","",IF($M189,IF(AND($G189&gt;=EH$5,$G189&lt;EH$5+GanttPeriod),"◆",IF(AND($E189&gt;=EH$5,$E189&lt;EH$5+GanttPeriod),"◇","")),IF(AND(EH$5&lt;=$F189,EH$5+GanttPeriod-1&gt;=$E189),"━","")))</f>
        <v/>
      </c>
      <c r="EI189" s="69" t="str">
        <f aca="false">IF($E189="","",IF($M189,IF(AND($G189&gt;=EI$5,$G189&lt;EI$5+GanttPeriod),"◆",IF(AND($E189&gt;=EI$5,$E189&lt;EI$5+GanttPeriod),"◇","")),IF(AND(EI$5&lt;=$F189,EI$5+GanttPeriod-1&gt;=$E189),"━","")))</f>
        <v/>
      </c>
      <c r="EJ189" s="69" t="str">
        <f aca="false">IF($E189="","",IF($M189,IF(AND($G189&gt;=EJ$5,$G189&lt;EJ$5+GanttPeriod),"◆",IF(AND($E189&gt;=EJ$5,$E189&lt;EJ$5+GanttPeriod),"◇","")),IF(AND(EJ$5&lt;=$F189,EJ$5+GanttPeriod-1&gt;=$E189),"━","")))</f>
        <v/>
      </c>
      <c r="EK189" s="69" t="str">
        <f aca="false">IF($E189="","",IF($M189,IF(AND($G189&gt;=EK$5,$G189&lt;EK$5+GanttPeriod),"◆",IF(AND($E189&gt;=EK$5,$E189&lt;EK$5+GanttPeriod),"◇","")),IF(AND(EK$5&lt;=$F189,EK$5+GanttPeriod-1&gt;=$E189),"━","")))</f>
        <v/>
      </c>
      <c r="EL189" s="69" t="str">
        <f aca="false">IF($E189="","",IF($M189,IF(AND($G189&gt;=EL$5,$G189&lt;EL$5+GanttPeriod),"◆",IF(AND($E189&gt;=EL$5,$E189&lt;EL$5+GanttPeriod),"◇","")),IF(AND(EL$5&lt;=$F189,EL$5+GanttPeriod-1&gt;=$E189),"━","")))</f>
        <v/>
      </c>
      <c r="EM189" s="69" t="str">
        <f aca="false">IF($E189="","",IF($M189,IF(AND($G189&gt;=EM$5,$G189&lt;EM$5+GanttPeriod),"◆",IF(AND($E189&gt;=EM$5,$E189&lt;EM$5+GanttPeriod),"◇","")),IF(AND(EM$5&lt;=$F189,EM$5+GanttPeriod-1&gt;=$E189),"━","")))</f>
        <v/>
      </c>
      <c r="EN189" s="69" t="str">
        <f aca="false">IF($E189="","",IF($M189,IF(AND($G189&gt;=EN$5,$G189&lt;EN$5+GanttPeriod),"◆",IF(AND($E189&gt;=EN$5,$E189&lt;EN$5+GanttPeriod),"◇","")),IF(AND(EN$5&lt;=$F189,EN$5+GanttPeriod-1&gt;=$E189),"━","")))</f>
        <v/>
      </c>
      <c r="EO189" s="69" t="str">
        <f aca="false">IF($E189="","",IF($M189,IF(AND($G189&gt;=EO$5,$G189&lt;EO$5+GanttPeriod),"◆",IF(AND($E189&gt;=EO$5,$E189&lt;EO$5+GanttPeriod),"◇","")),IF(AND(EO$5&lt;=$F189,EO$5+GanttPeriod-1&gt;=$E189),"━","")))</f>
        <v/>
      </c>
      <c r="EP189" s="69" t="str">
        <f aca="false">IF($E189="","",IF($M189,IF(AND($G189&gt;=EP$5,$G189&lt;EP$5+GanttPeriod),"◆",IF(AND($E189&gt;=EP$5,$E189&lt;EP$5+GanttPeriod),"◇","")),IF(AND(EP$5&lt;=$F189,EP$5+GanttPeriod-1&gt;=$E189),"━","")))</f>
        <v/>
      </c>
      <c r="EQ189" s="69" t="str">
        <f aca="false">IF($E189="","",IF($M189,IF(AND($G189&gt;=EQ$5,$G189&lt;EQ$5+GanttPeriod),"◆",IF(AND($E189&gt;=EQ$5,$E189&lt;EQ$5+GanttPeriod),"◇","")),IF(AND(EQ$5&lt;=$F189,EQ$5+GanttPeriod-1&gt;=$E189),"━","")))</f>
        <v/>
      </c>
      <c r="ER189" s="69" t="str">
        <f aca="false">IF($E189="","",IF($M189,IF(AND($G189&gt;=ER$5,$G189&lt;ER$5+GanttPeriod),"◆",IF(AND($E189&gt;=ER$5,$E189&lt;ER$5+GanttPeriod),"◇","")),IF(AND(ER$5&lt;=$F189,ER$5+GanttPeriod-1&gt;=$E189),"━","")))</f>
        <v/>
      </c>
      <c r="ES189" s="69" t="str">
        <f aca="false">IF($E189="","",IF($M189,IF(AND($G189&gt;=ES$5,$G189&lt;ES$5+GanttPeriod),"◆",IF(AND($E189&gt;=ES$5,$E189&lt;ES$5+GanttPeriod),"◇","")),IF(AND(ES$5&lt;=$F189,ES$5+GanttPeriod-1&gt;=$E189),"━","")))</f>
        <v/>
      </c>
      <c r="ET189" s="69" t="str">
        <f aca="false">IF($E189="","",IF($M189,IF(AND($G189&gt;=ET$5,$G189&lt;ET$5+GanttPeriod),"◆",IF(AND($E189&gt;=ET$5,$E189&lt;ET$5+GanttPeriod),"◇","")),IF(AND(ET$5&lt;=$F189,ET$5+GanttPeriod-1&gt;=$E189),"━","")))</f>
        <v/>
      </c>
      <c r="EU189" s="69" t="str">
        <f aca="false">IF($E189="","",IF($M189,IF(AND($G189&gt;=EU$5,$G189&lt;EU$5+GanttPeriod),"◆",IF(AND($E189&gt;=EU$5,$E189&lt;EU$5+GanttPeriod),"◇","")),IF(AND(EU$5&lt;=$F189,EU$5+GanttPeriod-1&gt;=$E189),"━","")))</f>
        <v/>
      </c>
      <c r="EV189" s="69" t="str">
        <f aca="false">IF($E189="","",IF($M189,IF(AND($G189&gt;=EV$5,$G189&lt;EV$5+GanttPeriod),"◆",IF(AND($E189&gt;=EV$5,$E189&lt;EV$5+GanttPeriod),"◇","")),IF(AND(EV$5&lt;=$F189,EV$5+GanttPeriod-1&gt;=$E189),"━","")))</f>
        <v/>
      </c>
      <c r="EW189" s="69" t="str">
        <f aca="false">IF($E189="","",IF($M189,IF(AND($G189&gt;=EW$5,$G189&lt;EW$5+GanttPeriod),"◆",IF(AND($E189&gt;=EW$5,$E189&lt;EW$5+GanttPeriod),"◇","")),IF(AND(EW$5&lt;=$F189,EW$5+GanttPeriod-1&gt;=$E189),"━","")))</f>
        <v/>
      </c>
      <c r="EX189" s="69" t="str">
        <f aca="false">IF($E189="","",IF($M189,IF(AND($G189&gt;=EX$5,$G189&lt;EX$5+GanttPeriod),"◆",IF(AND($E189&gt;=EX$5,$E189&lt;EX$5+GanttPeriod),"◇","")),IF(AND(EX$5&lt;=$F189,EX$5+GanttPeriod-1&gt;=$E189),"━","")))</f>
        <v/>
      </c>
      <c r="EY189" s="69" t="str">
        <f aca="false">IF($E189="","",IF($M189,IF(AND($G189&gt;=EY$5,$G189&lt;EY$5+GanttPeriod),"◆",IF(AND($E189&gt;=EY$5,$E189&lt;EY$5+GanttPeriod),"◇","")),IF(AND(EY$5&lt;=$F189,EY$5+GanttPeriod-1&gt;=$E189),"━","")))</f>
        <v/>
      </c>
      <c r="EZ189" s="69" t="str">
        <f aca="false">IF($E189="","",IF($M189,IF(AND($G189&gt;=EZ$5,$G189&lt;EZ$5+GanttPeriod),"◆",IF(AND($E189&gt;=EZ$5,$E189&lt;EZ$5+GanttPeriod),"◇","")),IF(AND(EZ$5&lt;=$F189,EZ$5+GanttPeriod-1&gt;=$E189),"━","")))</f>
        <v/>
      </c>
      <c r="FA189" s="69" t="str">
        <f aca="false">IF($E189="","",IF($M189,IF(AND($G189&gt;=FA$5,$G189&lt;FA$5+GanttPeriod),"◆",IF(AND($E189&gt;=FA$5,$E189&lt;FA$5+GanttPeriod),"◇","")),IF(AND(FA$5&lt;=$F189,FA$5+GanttPeriod-1&gt;=$E189),"━","")))</f>
        <v/>
      </c>
      <c r="FB189" s="69" t="str">
        <f aca="false">IF($E189="","",IF($M189,IF(AND($G189&gt;=FB$5,$G189&lt;FB$5+GanttPeriod),"◆",IF(AND($E189&gt;=FB$5,$E189&lt;FB$5+GanttPeriod),"◇","")),IF(AND(FB$5&lt;=$F189,FB$5+GanttPeriod-1&gt;=$E189),"━","")))</f>
        <v/>
      </c>
      <c r="FC189" s="69" t="str">
        <f aca="false">IF($E189="","",IF($M189,IF(AND($G189&gt;=FC$5,$G189&lt;FC$5+GanttPeriod),"◆",IF(AND($E189&gt;=FC$5,$E189&lt;FC$5+GanttPeriod),"◇","")),IF(AND(FC$5&lt;=$F189,FC$5+GanttPeriod-1&gt;=$E189),"━","")))</f>
        <v/>
      </c>
      <c r="FD189" s="69" t="str">
        <f aca="false">IF($E189="","",IF($M189,IF(AND($G189&gt;=FD$5,$G189&lt;FD$5+GanttPeriod),"◆",IF(AND($E189&gt;=FD$5,$E189&lt;FD$5+GanttPeriod),"◇","")),IF(AND(FD$5&lt;=$F189,FD$5+GanttPeriod-1&gt;=$E189),"━","")))</f>
        <v/>
      </c>
      <c r="FE189" s="69" t="str">
        <f aca="false">IF($E189="","",IF($M189,IF(AND($G189&gt;=FE$5,$G189&lt;FE$5+GanttPeriod),"◆",IF(AND($E189&gt;=FE$5,$E189&lt;FE$5+GanttPeriod),"◇","")),IF(AND(FE$5&lt;=$F189,FE$5+GanttPeriod-1&gt;=$E189),"━","")))</f>
        <v/>
      </c>
      <c r="FF189" s="69" t="str">
        <f aca="false">IF($E189="","",IF($M189,IF(AND($G189&gt;=FF$5,$G189&lt;FF$5+GanttPeriod),"◆",IF(AND($E189&gt;=FF$5,$E189&lt;FF$5+GanttPeriod),"◇","")),IF(AND(FF$5&lt;=$F189,FF$5+GanttPeriod-1&gt;=$E189),"━","")))</f>
        <v/>
      </c>
      <c r="FG189" s="69" t="str">
        <f aca="false">IF($E189="","",IF($M189,IF(AND($G189&gt;=FG$5,$G189&lt;FG$5+GanttPeriod),"◆",IF(AND($E189&gt;=FG$5,$E189&lt;FG$5+GanttPeriod),"◇","")),IF(AND(FG$5&lt;=$F189,FG$5+GanttPeriod-1&gt;=$E189),"━","")))</f>
        <v/>
      </c>
      <c r="FH189" s="69" t="str">
        <f aca="false">IF($E189="","",IF($M189,IF(AND($G189&gt;=FH$5,$G189&lt;FH$5+GanttPeriod),"◆",IF(AND($E189&gt;=FH$5,$E189&lt;FH$5+GanttPeriod),"◇","")),IF(AND(FH$5&lt;=$F189,FH$5+GanttPeriod-1&gt;=$E189),"━","")))</f>
        <v/>
      </c>
      <c r="FI189" s="69" t="str">
        <f aca="false">IF($E189="","",IF($M189,IF(AND($G189&gt;=FI$5,$G189&lt;FI$5+GanttPeriod),"◆",IF(AND($E189&gt;=FI$5,$E189&lt;FI$5+GanttPeriod),"◇","")),IF(AND(FI$5&lt;=$F189,FI$5+GanttPeriod-1&gt;=$E189),"━","")))</f>
        <v/>
      </c>
      <c r="FJ189" s="69" t="str">
        <f aca="false">IF($E189="","",IF($M189,IF(AND($G189&gt;=FJ$5,$G189&lt;FJ$5+GanttPeriod),"◆",IF(AND($E189&gt;=FJ$5,$E189&lt;FJ$5+GanttPeriod),"◇","")),IF(AND(FJ$5&lt;=$F189,FJ$5+GanttPeriod-1&gt;=$E189),"━","")))</f>
        <v/>
      </c>
      <c r="FK189" s="69" t="str">
        <f aca="false">IF($E189="","",IF($M189,IF(AND($G189&gt;=FK$5,$G189&lt;FK$5+GanttPeriod),"◆",IF(AND($E189&gt;=FK$5,$E189&lt;FK$5+GanttPeriod),"◇","")),IF(AND(FK$5&lt;=$F189,FK$5+GanttPeriod-1&gt;=$E189),"━","")))</f>
        <v/>
      </c>
      <c r="FL189" s="69" t="str">
        <f aca="false">IF($E189="","",IF($M189,IF(AND($G189&gt;=FL$5,$G189&lt;FL$5+GanttPeriod),"◆",IF(AND($E189&gt;=FL$5,$E189&lt;FL$5+GanttPeriod),"◇","")),IF(AND(FL$5&lt;=$F189,FL$5+GanttPeriod-1&gt;=$E189),"━","")))</f>
        <v/>
      </c>
      <c r="FM189" s="69" t="str">
        <f aca="false">IF($E189="","",IF($M189,IF(AND($G189&gt;=FM$5,$G189&lt;FM$5+GanttPeriod),"◆",IF(AND($E189&gt;=FM$5,$E189&lt;FM$5+GanttPeriod),"◇","")),IF(AND(FM$5&lt;=$F189,FM$5+GanttPeriod-1&gt;=$E189),"━","")))</f>
        <v/>
      </c>
    </row>
    <row r="190" customFormat="false" ht="15" hidden="false" customHeight="false" outlineLevel="0" collapsed="false">
      <c r="A190" s="62" t="str">
        <f aca="false">IF(Tasks!$D190="","",Tasks!$A190)</f>
        <v/>
      </c>
      <c r="B190" s="62" t="str">
        <f aca="false">IF(Tasks!$D190="","",Tasks!$B190)</f>
        <v/>
      </c>
      <c r="C190" s="63" t="str">
        <f aca="false">IF(Tasks!$D190="","",REPT("    ",Tasks!$AE190-1)&amp;Tasks!$D190)</f>
        <v/>
      </c>
      <c r="D190" s="62" t="str">
        <f aca="false">IF(Tasks!$D190="","",IF(Tasks!$AI190,NETWORKDAYS.INTL(Tasks!$R190,Tasks!$S190,WorkWeek,Holidays),N(Tasks!$F190)))</f>
        <v/>
      </c>
      <c r="E190" s="64" t="str">
        <f aca="false">IF(Tasks!$D190="","",Tasks!$N190)</f>
        <v/>
      </c>
      <c r="F190" s="64" t="str">
        <f aca="false">IF(Tasks!$D190="","",Tasks!$O190)</f>
        <v/>
      </c>
      <c r="G190" s="64" t="str">
        <f aca="false">IF(Tasks!$D190="","",Tasks!$R190)</f>
        <v/>
      </c>
      <c r="H190" s="64" t="str">
        <f aca="false">IF(Tasks!$D190="","",Tasks!$S190)</f>
        <v/>
      </c>
      <c r="I190" s="65" t="str">
        <f aca="false">IF(Tasks!$D190="","",Tasks!$V190)</f>
        <v/>
      </c>
      <c r="J190" s="63" t="str">
        <f aca="false">IF(Tasks!$D190="","",Tasks!$X190&amp;"")</f>
        <v/>
      </c>
      <c r="K190" s="66" t="str">
        <f aca="false">IF(Tasks!$D190="","",Tasks!$W190)</f>
        <v/>
      </c>
      <c r="L190" s="67" t="b">
        <f aca="false">IF(Tasks!$D190="",FALSE(),Tasks!$AI190)</f>
        <v>0</v>
      </c>
      <c r="M190" s="67" t="b">
        <f aca="false">AND(Tasks!$AJ190=1,N(Tasks!$F190)=0)</f>
        <v>0</v>
      </c>
      <c r="N190" s="68" t="n">
        <f aca="false">IF(AND(Tasks!$AJ190=1,NOT($M190),N($I190)&gt;0),$G190,0)</f>
        <v>0</v>
      </c>
      <c r="O190" s="68" t="n">
        <f aca="false">IF($N190=0,0,IF($I190&gt;=1,$H190,MAX($N190,$G190+ROUND(($H190-$G190+1)*$I190,0)-1)))</f>
        <v>0</v>
      </c>
      <c r="P190" s="68" t="n">
        <f aca="false">IF(OR(Tasks!$AJ190&lt;&gt;1,$M190,N($I190)&gt;=1),0,IF($O190&gt;0,$O190+1,$G190))</f>
        <v>0</v>
      </c>
      <c r="Q190" s="68" t="n">
        <f aca="false">IF($P190=0,0,$H190)</f>
        <v>0</v>
      </c>
      <c r="R190" s="67" t="b">
        <f aca="false">AND(Tasks!$D190&lt;&gt;"",N(Tasks!$T190)&gt;0)</f>
        <v>0</v>
      </c>
      <c r="T190" s="69" t="str">
        <f aca="false">IF($E190="","",IF($M190,IF(AND($G190&gt;=T$5,$G190&lt;T$5+GanttPeriod),"◆",IF(AND($E190&gt;=T$5,$E190&lt;T$5+GanttPeriod),"◇","")),IF(AND(T$5&lt;=$F190,T$5+GanttPeriod-1&gt;=$E190),"━","")))</f>
        <v/>
      </c>
      <c r="U190" s="69" t="str">
        <f aca="false">IF($E190="","",IF($M190,IF(AND($G190&gt;=U$5,$G190&lt;U$5+GanttPeriod),"◆",IF(AND($E190&gt;=U$5,$E190&lt;U$5+GanttPeriod),"◇","")),IF(AND(U$5&lt;=$F190,U$5+GanttPeriod-1&gt;=$E190),"━","")))</f>
        <v/>
      </c>
      <c r="V190" s="69" t="str">
        <f aca="false">IF($E190="","",IF($M190,IF(AND($G190&gt;=V$5,$G190&lt;V$5+GanttPeriod),"◆",IF(AND($E190&gt;=V$5,$E190&lt;V$5+GanttPeriod),"◇","")),IF(AND(V$5&lt;=$F190,V$5+GanttPeriod-1&gt;=$E190),"━","")))</f>
        <v/>
      </c>
      <c r="W190" s="69" t="str">
        <f aca="false">IF($E190="","",IF($M190,IF(AND($G190&gt;=W$5,$G190&lt;W$5+GanttPeriod),"◆",IF(AND($E190&gt;=W$5,$E190&lt;W$5+GanttPeriod),"◇","")),IF(AND(W$5&lt;=$F190,W$5+GanttPeriod-1&gt;=$E190),"━","")))</f>
        <v/>
      </c>
      <c r="X190" s="69" t="str">
        <f aca="false">IF($E190="","",IF($M190,IF(AND($G190&gt;=X$5,$G190&lt;X$5+GanttPeriod),"◆",IF(AND($E190&gt;=X$5,$E190&lt;X$5+GanttPeriod),"◇","")),IF(AND(X$5&lt;=$F190,X$5+GanttPeriod-1&gt;=$E190),"━","")))</f>
        <v/>
      </c>
      <c r="Y190" s="69" t="str">
        <f aca="false">IF($E190="","",IF($M190,IF(AND($G190&gt;=Y$5,$G190&lt;Y$5+GanttPeriod),"◆",IF(AND($E190&gt;=Y$5,$E190&lt;Y$5+GanttPeriod),"◇","")),IF(AND(Y$5&lt;=$F190,Y$5+GanttPeriod-1&gt;=$E190),"━","")))</f>
        <v/>
      </c>
      <c r="Z190" s="69" t="str">
        <f aca="false">IF($E190="","",IF($M190,IF(AND($G190&gt;=Z$5,$G190&lt;Z$5+GanttPeriod),"◆",IF(AND($E190&gt;=Z$5,$E190&lt;Z$5+GanttPeriod),"◇","")),IF(AND(Z$5&lt;=$F190,Z$5+GanttPeriod-1&gt;=$E190),"━","")))</f>
        <v/>
      </c>
      <c r="AA190" s="69" t="str">
        <f aca="false">IF($E190="","",IF($M190,IF(AND($G190&gt;=AA$5,$G190&lt;AA$5+GanttPeriod),"◆",IF(AND($E190&gt;=AA$5,$E190&lt;AA$5+GanttPeriod),"◇","")),IF(AND(AA$5&lt;=$F190,AA$5+GanttPeriod-1&gt;=$E190),"━","")))</f>
        <v/>
      </c>
      <c r="AB190" s="69" t="str">
        <f aca="false">IF($E190="","",IF($M190,IF(AND($G190&gt;=AB$5,$G190&lt;AB$5+GanttPeriod),"◆",IF(AND($E190&gt;=AB$5,$E190&lt;AB$5+GanttPeriod),"◇","")),IF(AND(AB$5&lt;=$F190,AB$5+GanttPeriod-1&gt;=$E190),"━","")))</f>
        <v/>
      </c>
      <c r="AC190" s="69" t="str">
        <f aca="false">IF($E190="","",IF($M190,IF(AND($G190&gt;=AC$5,$G190&lt;AC$5+GanttPeriod),"◆",IF(AND($E190&gt;=AC$5,$E190&lt;AC$5+GanttPeriod),"◇","")),IF(AND(AC$5&lt;=$F190,AC$5+GanttPeriod-1&gt;=$E190),"━","")))</f>
        <v/>
      </c>
      <c r="AD190" s="69" t="str">
        <f aca="false">IF($E190="","",IF($M190,IF(AND($G190&gt;=AD$5,$G190&lt;AD$5+GanttPeriod),"◆",IF(AND($E190&gt;=AD$5,$E190&lt;AD$5+GanttPeriod),"◇","")),IF(AND(AD$5&lt;=$F190,AD$5+GanttPeriod-1&gt;=$E190),"━","")))</f>
        <v/>
      </c>
      <c r="AE190" s="69" t="str">
        <f aca="false">IF($E190="","",IF($M190,IF(AND($G190&gt;=AE$5,$G190&lt;AE$5+GanttPeriod),"◆",IF(AND($E190&gt;=AE$5,$E190&lt;AE$5+GanttPeriod),"◇","")),IF(AND(AE$5&lt;=$F190,AE$5+GanttPeriod-1&gt;=$E190),"━","")))</f>
        <v/>
      </c>
      <c r="AF190" s="69" t="str">
        <f aca="false">IF($E190="","",IF($M190,IF(AND($G190&gt;=AF$5,$G190&lt;AF$5+GanttPeriod),"◆",IF(AND($E190&gt;=AF$5,$E190&lt;AF$5+GanttPeriod),"◇","")),IF(AND(AF$5&lt;=$F190,AF$5+GanttPeriod-1&gt;=$E190),"━","")))</f>
        <v/>
      </c>
      <c r="AG190" s="69" t="str">
        <f aca="false">IF($E190="","",IF($M190,IF(AND($G190&gt;=AG$5,$G190&lt;AG$5+GanttPeriod),"◆",IF(AND($E190&gt;=AG$5,$E190&lt;AG$5+GanttPeriod),"◇","")),IF(AND(AG$5&lt;=$F190,AG$5+GanttPeriod-1&gt;=$E190),"━","")))</f>
        <v/>
      </c>
      <c r="AH190" s="69" t="str">
        <f aca="false">IF($E190="","",IF($M190,IF(AND($G190&gt;=AH$5,$G190&lt;AH$5+GanttPeriod),"◆",IF(AND($E190&gt;=AH$5,$E190&lt;AH$5+GanttPeriod),"◇","")),IF(AND(AH$5&lt;=$F190,AH$5+GanttPeriod-1&gt;=$E190),"━","")))</f>
        <v/>
      </c>
      <c r="AI190" s="69" t="str">
        <f aca="false">IF($E190="","",IF($M190,IF(AND($G190&gt;=AI$5,$G190&lt;AI$5+GanttPeriod),"◆",IF(AND($E190&gt;=AI$5,$E190&lt;AI$5+GanttPeriod),"◇","")),IF(AND(AI$5&lt;=$F190,AI$5+GanttPeriod-1&gt;=$E190),"━","")))</f>
        <v/>
      </c>
      <c r="AJ190" s="69" t="str">
        <f aca="false">IF($E190="","",IF($M190,IF(AND($G190&gt;=AJ$5,$G190&lt;AJ$5+GanttPeriod),"◆",IF(AND($E190&gt;=AJ$5,$E190&lt;AJ$5+GanttPeriod),"◇","")),IF(AND(AJ$5&lt;=$F190,AJ$5+GanttPeriod-1&gt;=$E190),"━","")))</f>
        <v/>
      </c>
      <c r="AK190" s="69" t="str">
        <f aca="false">IF($E190="","",IF($M190,IF(AND($G190&gt;=AK$5,$G190&lt;AK$5+GanttPeriod),"◆",IF(AND($E190&gt;=AK$5,$E190&lt;AK$5+GanttPeriod),"◇","")),IF(AND(AK$5&lt;=$F190,AK$5+GanttPeriod-1&gt;=$E190),"━","")))</f>
        <v/>
      </c>
      <c r="AL190" s="69" t="str">
        <f aca="false">IF($E190="","",IF($M190,IF(AND($G190&gt;=AL$5,$G190&lt;AL$5+GanttPeriod),"◆",IF(AND($E190&gt;=AL$5,$E190&lt;AL$5+GanttPeriod),"◇","")),IF(AND(AL$5&lt;=$F190,AL$5+GanttPeriod-1&gt;=$E190),"━","")))</f>
        <v/>
      </c>
      <c r="AM190" s="69" t="str">
        <f aca="false">IF($E190="","",IF($M190,IF(AND($G190&gt;=AM$5,$G190&lt;AM$5+GanttPeriod),"◆",IF(AND($E190&gt;=AM$5,$E190&lt;AM$5+GanttPeriod),"◇","")),IF(AND(AM$5&lt;=$F190,AM$5+GanttPeriod-1&gt;=$E190),"━","")))</f>
        <v/>
      </c>
      <c r="AN190" s="69" t="str">
        <f aca="false">IF($E190="","",IF($M190,IF(AND($G190&gt;=AN$5,$G190&lt;AN$5+GanttPeriod),"◆",IF(AND($E190&gt;=AN$5,$E190&lt;AN$5+GanttPeriod),"◇","")),IF(AND(AN$5&lt;=$F190,AN$5+GanttPeriod-1&gt;=$E190),"━","")))</f>
        <v/>
      </c>
      <c r="AO190" s="69" t="str">
        <f aca="false">IF($E190="","",IF($M190,IF(AND($G190&gt;=AO$5,$G190&lt;AO$5+GanttPeriod),"◆",IF(AND($E190&gt;=AO$5,$E190&lt;AO$5+GanttPeriod),"◇","")),IF(AND(AO$5&lt;=$F190,AO$5+GanttPeriod-1&gt;=$E190),"━","")))</f>
        <v/>
      </c>
      <c r="AP190" s="69" t="str">
        <f aca="false">IF($E190="","",IF($M190,IF(AND($G190&gt;=AP$5,$G190&lt;AP$5+GanttPeriod),"◆",IF(AND($E190&gt;=AP$5,$E190&lt;AP$5+GanttPeriod),"◇","")),IF(AND(AP$5&lt;=$F190,AP$5+GanttPeriod-1&gt;=$E190),"━","")))</f>
        <v/>
      </c>
      <c r="AQ190" s="69" t="str">
        <f aca="false">IF($E190="","",IF($M190,IF(AND($G190&gt;=AQ$5,$G190&lt;AQ$5+GanttPeriod),"◆",IF(AND($E190&gt;=AQ$5,$E190&lt;AQ$5+GanttPeriod),"◇","")),IF(AND(AQ$5&lt;=$F190,AQ$5+GanttPeriod-1&gt;=$E190),"━","")))</f>
        <v/>
      </c>
      <c r="AR190" s="69" t="str">
        <f aca="false">IF($E190="","",IF($M190,IF(AND($G190&gt;=AR$5,$G190&lt;AR$5+GanttPeriod),"◆",IF(AND($E190&gt;=AR$5,$E190&lt;AR$5+GanttPeriod),"◇","")),IF(AND(AR$5&lt;=$F190,AR$5+GanttPeriod-1&gt;=$E190),"━","")))</f>
        <v/>
      </c>
      <c r="AS190" s="69" t="str">
        <f aca="false">IF($E190="","",IF($M190,IF(AND($G190&gt;=AS$5,$G190&lt;AS$5+GanttPeriod),"◆",IF(AND($E190&gt;=AS$5,$E190&lt;AS$5+GanttPeriod),"◇","")),IF(AND(AS$5&lt;=$F190,AS$5+GanttPeriod-1&gt;=$E190),"━","")))</f>
        <v/>
      </c>
      <c r="AT190" s="69" t="str">
        <f aca="false">IF($E190="","",IF($M190,IF(AND($G190&gt;=AT$5,$G190&lt;AT$5+GanttPeriod),"◆",IF(AND($E190&gt;=AT$5,$E190&lt;AT$5+GanttPeriod),"◇","")),IF(AND(AT$5&lt;=$F190,AT$5+GanttPeriod-1&gt;=$E190),"━","")))</f>
        <v/>
      </c>
      <c r="AU190" s="69" t="str">
        <f aca="false">IF($E190="","",IF($M190,IF(AND($G190&gt;=AU$5,$G190&lt;AU$5+GanttPeriod),"◆",IF(AND($E190&gt;=AU$5,$E190&lt;AU$5+GanttPeriod),"◇","")),IF(AND(AU$5&lt;=$F190,AU$5+GanttPeriod-1&gt;=$E190),"━","")))</f>
        <v/>
      </c>
      <c r="AV190" s="69" t="str">
        <f aca="false">IF($E190="","",IF($M190,IF(AND($G190&gt;=AV$5,$G190&lt;AV$5+GanttPeriod),"◆",IF(AND($E190&gt;=AV$5,$E190&lt;AV$5+GanttPeriod),"◇","")),IF(AND(AV$5&lt;=$F190,AV$5+GanttPeriod-1&gt;=$E190),"━","")))</f>
        <v/>
      </c>
      <c r="AW190" s="69" t="str">
        <f aca="false">IF($E190="","",IF($M190,IF(AND($G190&gt;=AW$5,$G190&lt;AW$5+GanttPeriod),"◆",IF(AND($E190&gt;=AW$5,$E190&lt;AW$5+GanttPeriod),"◇","")),IF(AND(AW$5&lt;=$F190,AW$5+GanttPeriod-1&gt;=$E190),"━","")))</f>
        <v/>
      </c>
      <c r="AX190" s="69" t="str">
        <f aca="false">IF($E190="","",IF($M190,IF(AND($G190&gt;=AX$5,$G190&lt;AX$5+GanttPeriod),"◆",IF(AND($E190&gt;=AX$5,$E190&lt;AX$5+GanttPeriod),"◇","")),IF(AND(AX$5&lt;=$F190,AX$5+GanttPeriod-1&gt;=$E190),"━","")))</f>
        <v/>
      </c>
      <c r="AY190" s="69" t="str">
        <f aca="false">IF($E190="","",IF($M190,IF(AND($G190&gt;=AY$5,$G190&lt;AY$5+GanttPeriod),"◆",IF(AND($E190&gt;=AY$5,$E190&lt;AY$5+GanttPeriod),"◇","")),IF(AND(AY$5&lt;=$F190,AY$5+GanttPeriod-1&gt;=$E190),"━","")))</f>
        <v/>
      </c>
      <c r="AZ190" s="69" t="str">
        <f aca="false">IF($E190="","",IF($M190,IF(AND($G190&gt;=AZ$5,$G190&lt;AZ$5+GanttPeriod),"◆",IF(AND($E190&gt;=AZ$5,$E190&lt;AZ$5+GanttPeriod),"◇","")),IF(AND(AZ$5&lt;=$F190,AZ$5+GanttPeriod-1&gt;=$E190),"━","")))</f>
        <v/>
      </c>
      <c r="BA190" s="69" t="str">
        <f aca="false">IF($E190="","",IF($M190,IF(AND($G190&gt;=BA$5,$G190&lt;BA$5+GanttPeriod),"◆",IF(AND($E190&gt;=BA$5,$E190&lt;BA$5+GanttPeriod),"◇","")),IF(AND(BA$5&lt;=$F190,BA$5+GanttPeriod-1&gt;=$E190),"━","")))</f>
        <v/>
      </c>
      <c r="BB190" s="69" t="str">
        <f aca="false">IF($E190="","",IF($M190,IF(AND($G190&gt;=BB$5,$G190&lt;BB$5+GanttPeriod),"◆",IF(AND($E190&gt;=BB$5,$E190&lt;BB$5+GanttPeriod),"◇","")),IF(AND(BB$5&lt;=$F190,BB$5+GanttPeriod-1&gt;=$E190),"━","")))</f>
        <v/>
      </c>
      <c r="BC190" s="69" t="str">
        <f aca="false">IF($E190="","",IF($M190,IF(AND($G190&gt;=BC$5,$G190&lt;BC$5+GanttPeriod),"◆",IF(AND($E190&gt;=BC$5,$E190&lt;BC$5+GanttPeriod),"◇","")),IF(AND(BC$5&lt;=$F190,BC$5+GanttPeriod-1&gt;=$E190),"━","")))</f>
        <v/>
      </c>
      <c r="BD190" s="69" t="str">
        <f aca="false">IF($E190="","",IF($M190,IF(AND($G190&gt;=BD$5,$G190&lt;BD$5+GanttPeriod),"◆",IF(AND($E190&gt;=BD$5,$E190&lt;BD$5+GanttPeriod),"◇","")),IF(AND(BD$5&lt;=$F190,BD$5+GanttPeriod-1&gt;=$E190),"━","")))</f>
        <v/>
      </c>
      <c r="BE190" s="69" t="str">
        <f aca="false">IF($E190="","",IF($M190,IF(AND($G190&gt;=BE$5,$G190&lt;BE$5+GanttPeriod),"◆",IF(AND($E190&gt;=BE$5,$E190&lt;BE$5+GanttPeriod),"◇","")),IF(AND(BE$5&lt;=$F190,BE$5+GanttPeriod-1&gt;=$E190),"━","")))</f>
        <v/>
      </c>
      <c r="BF190" s="69" t="str">
        <f aca="false">IF($E190="","",IF($M190,IF(AND($G190&gt;=BF$5,$G190&lt;BF$5+GanttPeriod),"◆",IF(AND($E190&gt;=BF$5,$E190&lt;BF$5+GanttPeriod),"◇","")),IF(AND(BF$5&lt;=$F190,BF$5+GanttPeriod-1&gt;=$E190),"━","")))</f>
        <v/>
      </c>
      <c r="BG190" s="69" t="str">
        <f aca="false">IF($E190="","",IF($M190,IF(AND($G190&gt;=BG$5,$G190&lt;BG$5+GanttPeriod),"◆",IF(AND($E190&gt;=BG$5,$E190&lt;BG$5+GanttPeriod),"◇","")),IF(AND(BG$5&lt;=$F190,BG$5+GanttPeriod-1&gt;=$E190),"━","")))</f>
        <v/>
      </c>
      <c r="BH190" s="69" t="str">
        <f aca="false">IF($E190="","",IF($M190,IF(AND($G190&gt;=BH$5,$G190&lt;BH$5+GanttPeriod),"◆",IF(AND($E190&gt;=BH$5,$E190&lt;BH$5+GanttPeriod),"◇","")),IF(AND(BH$5&lt;=$F190,BH$5+GanttPeriod-1&gt;=$E190),"━","")))</f>
        <v/>
      </c>
      <c r="BI190" s="69" t="str">
        <f aca="false">IF($E190="","",IF($M190,IF(AND($G190&gt;=BI$5,$G190&lt;BI$5+GanttPeriod),"◆",IF(AND($E190&gt;=BI$5,$E190&lt;BI$5+GanttPeriod),"◇","")),IF(AND(BI$5&lt;=$F190,BI$5+GanttPeriod-1&gt;=$E190),"━","")))</f>
        <v/>
      </c>
      <c r="BJ190" s="69" t="str">
        <f aca="false">IF($E190="","",IF($M190,IF(AND($G190&gt;=BJ$5,$G190&lt;BJ$5+GanttPeriod),"◆",IF(AND($E190&gt;=BJ$5,$E190&lt;BJ$5+GanttPeriod),"◇","")),IF(AND(BJ$5&lt;=$F190,BJ$5+GanttPeriod-1&gt;=$E190),"━","")))</f>
        <v/>
      </c>
      <c r="BK190" s="69" t="str">
        <f aca="false">IF($E190="","",IF($M190,IF(AND($G190&gt;=BK$5,$G190&lt;BK$5+GanttPeriod),"◆",IF(AND($E190&gt;=BK$5,$E190&lt;BK$5+GanttPeriod),"◇","")),IF(AND(BK$5&lt;=$F190,BK$5+GanttPeriod-1&gt;=$E190),"━","")))</f>
        <v/>
      </c>
      <c r="BL190" s="69" t="str">
        <f aca="false">IF($E190="","",IF($M190,IF(AND($G190&gt;=BL$5,$G190&lt;BL$5+GanttPeriod),"◆",IF(AND($E190&gt;=BL$5,$E190&lt;BL$5+GanttPeriod),"◇","")),IF(AND(BL$5&lt;=$F190,BL$5+GanttPeriod-1&gt;=$E190),"━","")))</f>
        <v/>
      </c>
      <c r="BM190" s="69" t="str">
        <f aca="false">IF($E190="","",IF($M190,IF(AND($G190&gt;=BM$5,$G190&lt;BM$5+GanttPeriod),"◆",IF(AND($E190&gt;=BM$5,$E190&lt;BM$5+GanttPeriod),"◇","")),IF(AND(BM$5&lt;=$F190,BM$5+GanttPeriod-1&gt;=$E190),"━","")))</f>
        <v/>
      </c>
      <c r="BN190" s="69" t="str">
        <f aca="false">IF($E190="","",IF($M190,IF(AND($G190&gt;=BN$5,$G190&lt;BN$5+GanttPeriod),"◆",IF(AND($E190&gt;=BN$5,$E190&lt;BN$5+GanttPeriod),"◇","")),IF(AND(BN$5&lt;=$F190,BN$5+GanttPeriod-1&gt;=$E190),"━","")))</f>
        <v/>
      </c>
      <c r="BO190" s="69" t="str">
        <f aca="false">IF($E190="","",IF($M190,IF(AND($G190&gt;=BO$5,$G190&lt;BO$5+GanttPeriod),"◆",IF(AND($E190&gt;=BO$5,$E190&lt;BO$5+GanttPeriod),"◇","")),IF(AND(BO$5&lt;=$F190,BO$5+GanttPeriod-1&gt;=$E190),"━","")))</f>
        <v/>
      </c>
      <c r="BP190" s="69" t="str">
        <f aca="false">IF($E190="","",IF($M190,IF(AND($G190&gt;=BP$5,$G190&lt;BP$5+GanttPeriod),"◆",IF(AND($E190&gt;=BP$5,$E190&lt;BP$5+GanttPeriod),"◇","")),IF(AND(BP$5&lt;=$F190,BP$5+GanttPeriod-1&gt;=$E190),"━","")))</f>
        <v/>
      </c>
      <c r="BQ190" s="69" t="str">
        <f aca="false">IF($E190="","",IF($M190,IF(AND($G190&gt;=BQ$5,$G190&lt;BQ$5+GanttPeriod),"◆",IF(AND($E190&gt;=BQ$5,$E190&lt;BQ$5+GanttPeriod),"◇","")),IF(AND(BQ$5&lt;=$F190,BQ$5+GanttPeriod-1&gt;=$E190),"━","")))</f>
        <v/>
      </c>
      <c r="BR190" s="69" t="str">
        <f aca="false">IF($E190="","",IF($M190,IF(AND($G190&gt;=BR$5,$G190&lt;BR$5+GanttPeriod),"◆",IF(AND($E190&gt;=BR$5,$E190&lt;BR$5+GanttPeriod),"◇","")),IF(AND(BR$5&lt;=$F190,BR$5+GanttPeriod-1&gt;=$E190),"━","")))</f>
        <v/>
      </c>
      <c r="BS190" s="69" t="str">
        <f aca="false">IF($E190="","",IF($M190,IF(AND($G190&gt;=BS$5,$G190&lt;BS$5+GanttPeriod),"◆",IF(AND($E190&gt;=BS$5,$E190&lt;BS$5+GanttPeriod),"◇","")),IF(AND(BS$5&lt;=$F190,BS$5+GanttPeriod-1&gt;=$E190),"━","")))</f>
        <v/>
      </c>
      <c r="BT190" s="69" t="str">
        <f aca="false">IF($E190="","",IF($M190,IF(AND($G190&gt;=BT$5,$G190&lt;BT$5+GanttPeriod),"◆",IF(AND($E190&gt;=BT$5,$E190&lt;BT$5+GanttPeriod),"◇","")),IF(AND(BT$5&lt;=$F190,BT$5+GanttPeriod-1&gt;=$E190),"━","")))</f>
        <v/>
      </c>
      <c r="BU190" s="69" t="str">
        <f aca="false">IF($E190="","",IF($M190,IF(AND($G190&gt;=BU$5,$G190&lt;BU$5+GanttPeriod),"◆",IF(AND($E190&gt;=BU$5,$E190&lt;BU$5+GanttPeriod),"◇","")),IF(AND(BU$5&lt;=$F190,BU$5+GanttPeriod-1&gt;=$E190),"━","")))</f>
        <v/>
      </c>
      <c r="BV190" s="69" t="str">
        <f aca="false">IF($E190="","",IF($M190,IF(AND($G190&gt;=BV$5,$G190&lt;BV$5+GanttPeriod),"◆",IF(AND($E190&gt;=BV$5,$E190&lt;BV$5+GanttPeriod),"◇","")),IF(AND(BV$5&lt;=$F190,BV$5+GanttPeriod-1&gt;=$E190),"━","")))</f>
        <v/>
      </c>
      <c r="BW190" s="69" t="str">
        <f aca="false">IF($E190="","",IF($M190,IF(AND($G190&gt;=BW$5,$G190&lt;BW$5+GanttPeriod),"◆",IF(AND($E190&gt;=BW$5,$E190&lt;BW$5+GanttPeriod),"◇","")),IF(AND(BW$5&lt;=$F190,BW$5+GanttPeriod-1&gt;=$E190),"━","")))</f>
        <v/>
      </c>
      <c r="BX190" s="69" t="str">
        <f aca="false">IF($E190="","",IF($M190,IF(AND($G190&gt;=BX$5,$G190&lt;BX$5+GanttPeriod),"◆",IF(AND($E190&gt;=BX$5,$E190&lt;BX$5+GanttPeriod),"◇","")),IF(AND(BX$5&lt;=$F190,BX$5+GanttPeriod-1&gt;=$E190),"━","")))</f>
        <v/>
      </c>
      <c r="BY190" s="69" t="str">
        <f aca="false">IF($E190="","",IF($M190,IF(AND($G190&gt;=BY$5,$G190&lt;BY$5+GanttPeriod),"◆",IF(AND($E190&gt;=BY$5,$E190&lt;BY$5+GanttPeriod),"◇","")),IF(AND(BY$5&lt;=$F190,BY$5+GanttPeriod-1&gt;=$E190),"━","")))</f>
        <v/>
      </c>
      <c r="BZ190" s="69" t="str">
        <f aca="false">IF($E190="","",IF($M190,IF(AND($G190&gt;=BZ$5,$G190&lt;BZ$5+GanttPeriod),"◆",IF(AND($E190&gt;=BZ$5,$E190&lt;BZ$5+GanttPeriod),"◇","")),IF(AND(BZ$5&lt;=$F190,BZ$5+GanttPeriod-1&gt;=$E190),"━","")))</f>
        <v/>
      </c>
      <c r="CA190" s="69" t="str">
        <f aca="false">IF($E190="","",IF($M190,IF(AND($G190&gt;=CA$5,$G190&lt;CA$5+GanttPeriod),"◆",IF(AND($E190&gt;=CA$5,$E190&lt;CA$5+GanttPeriod),"◇","")),IF(AND(CA$5&lt;=$F190,CA$5+GanttPeriod-1&gt;=$E190),"━","")))</f>
        <v/>
      </c>
      <c r="CB190" s="69" t="str">
        <f aca="false">IF($E190="","",IF($M190,IF(AND($G190&gt;=CB$5,$G190&lt;CB$5+GanttPeriod),"◆",IF(AND($E190&gt;=CB$5,$E190&lt;CB$5+GanttPeriod),"◇","")),IF(AND(CB$5&lt;=$F190,CB$5+GanttPeriod-1&gt;=$E190),"━","")))</f>
        <v/>
      </c>
      <c r="CC190" s="69" t="str">
        <f aca="false">IF($E190="","",IF($M190,IF(AND($G190&gt;=CC$5,$G190&lt;CC$5+GanttPeriod),"◆",IF(AND($E190&gt;=CC$5,$E190&lt;CC$5+GanttPeriod),"◇","")),IF(AND(CC$5&lt;=$F190,CC$5+GanttPeriod-1&gt;=$E190),"━","")))</f>
        <v/>
      </c>
      <c r="CD190" s="69" t="str">
        <f aca="false">IF($E190="","",IF($M190,IF(AND($G190&gt;=CD$5,$G190&lt;CD$5+GanttPeriod),"◆",IF(AND($E190&gt;=CD$5,$E190&lt;CD$5+GanttPeriod),"◇","")),IF(AND(CD$5&lt;=$F190,CD$5+GanttPeriod-1&gt;=$E190),"━","")))</f>
        <v/>
      </c>
      <c r="CE190" s="69" t="str">
        <f aca="false">IF($E190="","",IF($M190,IF(AND($G190&gt;=CE$5,$G190&lt;CE$5+GanttPeriod),"◆",IF(AND($E190&gt;=CE$5,$E190&lt;CE$5+GanttPeriod),"◇","")),IF(AND(CE$5&lt;=$F190,CE$5+GanttPeriod-1&gt;=$E190),"━","")))</f>
        <v/>
      </c>
      <c r="CF190" s="69" t="str">
        <f aca="false">IF($E190="","",IF($M190,IF(AND($G190&gt;=CF$5,$G190&lt;CF$5+GanttPeriod),"◆",IF(AND($E190&gt;=CF$5,$E190&lt;CF$5+GanttPeriod),"◇","")),IF(AND(CF$5&lt;=$F190,CF$5+GanttPeriod-1&gt;=$E190),"━","")))</f>
        <v/>
      </c>
      <c r="CG190" s="69" t="str">
        <f aca="false">IF($E190="","",IF($M190,IF(AND($G190&gt;=CG$5,$G190&lt;CG$5+GanttPeriod),"◆",IF(AND($E190&gt;=CG$5,$E190&lt;CG$5+GanttPeriod),"◇","")),IF(AND(CG$5&lt;=$F190,CG$5+GanttPeriod-1&gt;=$E190),"━","")))</f>
        <v/>
      </c>
      <c r="CH190" s="69" t="str">
        <f aca="false">IF($E190="","",IF($M190,IF(AND($G190&gt;=CH$5,$G190&lt;CH$5+GanttPeriod),"◆",IF(AND($E190&gt;=CH$5,$E190&lt;CH$5+GanttPeriod),"◇","")),IF(AND(CH$5&lt;=$F190,CH$5+GanttPeriod-1&gt;=$E190),"━","")))</f>
        <v/>
      </c>
      <c r="CI190" s="69" t="str">
        <f aca="false">IF($E190="","",IF($M190,IF(AND($G190&gt;=CI$5,$G190&lt;CI$5+GanttPeriod),"◆",IF(AND($E190&gt;=CI$5,$E190&lt;CI$5+GanttPeriod),"◇","")),IF(AND(CI$5&lt;=$F190,CI$5+GanttPeriod-1&gt;=$E190),"━","")))</f>
        <v/>
      </c>
      <c r="CJ190" s="69" t="str">
        <f aca="false">IF($E190="","",IF($M190,IF(AND($G190&gt;=CJ$5,$G190&lt;CJ$5+GanttPeriod),"◆",IF(AND($E190&gt;=CJ$5,$E190&lt;CJ$5+GanttPeriod),"◇","")),IF(AND(CJ$5&lt;=$F190,CJ$5+GanttPeriod-1&gt;=$E190),"━","")))</f>
        <v/>
      </c>
      <c r="CK190" s="69" t="str">
        <f aca="false">IF($E190="","",IF($M190,IF(AND($G190&gt;=CK$5,$G190&lt;CK$5+GanttPeriod),"◆",IF(AND($E190&gt;=CK$5,$E190&lt;CK$5+GanttPeriod),"◇","")),IF(AND(CK$5&lt;=$F190,CK$5+GanttPeriod-1&gt;=$E190),"━","")))</f>
        <v/>
      </c>
      <c r="CL190" s="69" t="str">
        <f aca="false">IF($E190="","",IF($M190,IF(AND($G190&gt;=CL$5,$G190&lt;CL$5+GanttPeriod),"◆",IF(AND($E190&gt;=CL$5,$E190&lt;CL$5+GanttPeriod),"◇","")),IF(AND(CL$5&lt;=$F190,CL$5+GanttPeriod-1&gt;=$E190),"━","")))</f>
        <v/>
      </c>
      <c r="CM190" s="69" t="str">
        <f aca="false">IF($E190="","",IF($M190,IF(AND($G190&gt;=CM$5,$G190&lt;CM$5+GanttPeriod),"◆",IF(AND($E190&gt;=CM$5,$E190&lt;CM$5+GanttPeriod),"◇","")),IF(AND(CM$5&lt;=$F190,CM$5+GanttPeriod-1&gt;=$E190),"━","")))</f>
        <v/>
      </c>
      <c r="CN190" s="69" t="str">
        <f aca="false">IF($E190="","",IF($M190,IF(AND($G190&gt;=CN$5,$G190&lt;CN$5+GanttPeriod),"◆",IF(AND($E190&gt;=CN$5,$E190&lt;CN$5+GanttPeriod),"◇","")),IF(AND(CN$5&lt;=$F190,CN$5+GanttPeriod-1&gt;=$E190),"━","")))</f>
        <v/>
      </c>
      <c r="CO190" s="69" t="str">
        <f aca="false">IF($E190="","",IF($M190,IF(AND($G190&gt;=CO$5,$G190&lt;CO$5+GanttPeriod),"◆",IF(AND($E190&gt;=CO$5,$E190&lt;CO$5+GanttPeriod),"◇","")),IF(AND(CO$5&lt;=$F190,CO$5+GanttPeriod-1&gt;=$E190),"━","")))</f>
        <v/>
      </c>
      <c r="CP190" s="69" t="str">
        <f aca="false">IF($E190="","",IF($M190,IF(AND($G190&gt;=CP$5,$G190&lt;CP$5+GanttPeriod),"◆",IF(AND($E190&gt;=CP$5,$E190&lt;CP$5+GanttPeriod),"◇","")),IF(AND(CP$5&lt;=$F190,CP$5+GanttPeriod-1&gt;=$E190),"━","")))</f>
        <v/>
      </c>
      <c r="CQ190" s="69" t="str">
        <f aca="false">IF($E190="","",IF($M190,IF(AND($G190&gt;=CQ$5,$G190&lt;CQ$5+GanttPeriod),"◆",IF(AND($E190&gt;=CQ$5,$E190&lt;CQ$5+GanttPeriod),"◇","")),IF(AND(CQ$5&lt;=$F190,CQ$5+GanttPeriod-1&gt;=$E190),"━","")))</f>
        <v/>
      </c>
      <c r="CR190" s="69" t="str">
        <f aca="false">IF($E190="","",IF($M190,IF(AND($G190&gt;=CR$5,$G190&lt;CR$5+GanttPeriod),"◆",IF(AND($E190&gt;=CR$5,$E190&lt;CR$5+GanttPeriod),"◇","")),IF(AND(CR$5&lt;=$F190,CR$5+GanttPeriod-1&gt;=$E190),"━","")))</f>
        <v/>
      </c>
      <c r="CS190" s="69" t="str">
        <f aca="false">IF($E190="","",IF($M190,IF(AND($G190&gt;=CS$5,$G190&lt;CS$5+GanttPeriod),"◆",IF(AND($E190&gt;=CS$5,$E190&lt;CS$5+GanttPeriod),"◇","")),IF(AND(CS$5&lt;=$F190,CS$5+GanttPeriod-1&gt;=$E190),"━","")))</f>
        <v/>
      </c>
      <c r="CT190" s="69" t="str">
        <f aca="false">IF($E190="","",IF($M190,IF(AND($G190&gt;=CT$5,$G190&lt;CT$5+GanttPeriod),"◆",IF(AND($E190&gt;=CT$5,$E190&lt;CT$5+GanttPeriod),"◇","")),IF(AND(CT$5&lt;=$F190,CT$5+GanttPeriod-1&gt;=$E190),"━","")))</f>
        <v/>
      </c>
      <c r="CU190" s="69" t="str">
        <f aca="false">IF($E190="","",IF($M190,IF(AND($G190&gt;=CU$5,$G190&lt;CU$5+GanttPeriod),"◆",IF(AND($E190&gt;=CU$5,$E190&lt;CU$5+GanttPeriod),"◇","")),IF(AND(CU$5&lt;=$F190,CU$5+GanttPeriod-1&gt;=$E190),"━","")))</f>
        <v/>
      </c>
      <c r="CV190" s="69" t="str">
        <f aca="false">IF($E190="","",IF($M190,IF(AND($G190&gt;=CV$5,$G190&lt;CV$5+GanttPeriod),"◆",IF(AND($E190&gt;=CV$5,$E190&lt;CV$5+GanttPeriod),"◇","")),IF(AND(CV$5&lt;=$F190,CV$5+GanttPeriod-1&gt;=$E190),"━","")))</f>
        <v/>
      </c>
      <c r="CW190" s="69" t="str">
        <f aca="false">IF($E190="","",IF($M190,IF(AND($G190&gt;=CW$5,$G190&lt;CW$5+GanttPeriod),"◆",IF(AND($E190&gt;=CW$5,$E190&lt;CW$5+GanttPeriod),"◇","")),IF(AND(CW$5&lt;=$F190,CW$5+GanttPeriod-1&gt;=$E190),"━","")))</f>
        <v/>
      </c>
      <c r="CX190" s="69" t="str">
        <f aca="false">IF($E190="","",IF($M190,IF(AND($G190&gt;=CX$5,$G190&lt;CX$5+GanttPeriod),"◆",IF(AND($E190&gt;=CX$5,$E190&lt;CX$5+GanttPeriod),"◇","")),IF(AND(CX$5&lt;=$F190,CX$5+GanttPeriod-1&gt;=$E190),"━","")))</f>
        <v/>
      </c>
      <c r="CY190" s="69" t="str">
        <f aca="false">IF($E190="","",IF($M190,IF(AND($G190&gt;=CY$5,$G190&lt;CY$5+GanttPeriod),"◆",IF(AND($E190&gt;=CY$5,$E190&lt;CY$5+GanttPeriod),"◇","")),IF(AND(CY$5&lt;=$F190,CY$5+GanttPeriod-1&gt;=$E190),"━","")))</f>
        <v/>
      </c>
      <c r="CZ190" s="69" t="str">
        <f aca="false">IF($E190="","",IF($M190,IF(AND($G190&gt;=CZ$5,$G190&lt;CZ$5+GanttPeriod),"◆",IF(AND($E190&gt;=CZ$5,$E190&lt;CZ$5+GanttPeriod),"◇","")),IF(AND(CZ$5&lt;=$F190,CZ$5+GanttPeriod-1&gt;=$E190),"━","")))</f>
        <v/>
      </c>
      <c r="DA190" s="69" t="str">
        <f aca="false">IF($E190="","",IF($M190,IF(AND($G190&gt;=DA$5,$G190&lt;DA$5+GanttPeriod),"◆",IF(AND($E190&gt;=DA$5,$E190&lt;DA$5+GanttPeriod),"◇","")),IF(AND(DA$5&lt;=$F190,DA$5+GanttPeriod-1&gt;=$E190),"━","")))</f>
        <v/>
      </c>
      <c r="DB190" s="69" t="str">
        <f aca="false">IF($E190="","",IF($M190,IF(AND($G190&gt;=DB$5,$G190&lt;DB$5+GanttPeriod),"◆",IF(AND($E190&gt;=DB$5,$E190&lt;DB$5+GanttPeriod),"◇","")),IF(AND(DB$5&lt;=$F190,DB$5+GanttPeriod-1&gt;=$E190),"━","")))</f>
        <v/>
      </c>
      <c r="DC190" s="69" t="str">
        <f aca="false">IF($E190="","",IF($M190,IF(AND($G190&gt;=DC$5,$G190&lt;DC$5+GanttPeriod),"◆",IF(AND($E190&gt;=DC$5,$E190&lt;DC$5+GanttPeriod),"◇","")),IF(AND(DC$5&lt;=$F190,DC$5+GanttPeriod-1&gt;=$E190),"━","")))</f>
        <v/>
      </c>
      <c r="DD190" s="69" t="str">
        <f aca="false">IF($E190="","",IF($M190,IF(AND($G190&gt;=DD$5,$G190&lt;DD$5+GanttPeriod),"◆",IF(AND($E190&gt;=DD$5,$E190&lt;DD$5+GanttPeriod),"◇","")),IF(AND(DD$5&lt;=$F190,DD$5+GanttPeriod-1&gt;=$E190),"━","")))</f>
        <v/>
      </c>
      <c r="DE190" s="69" t="str">
        <f aca="false">IF($E190="","",IF($M190,IF(AND($G190&gt;=DE$5,$G190&lt;DE$5+GanttPeriod),"◆",IF(AND($E190&gt;=DE$5,$E190&lt;DE$5+GanttPeriod),"◇","")),IF(AND(DE$5&lt;=$F190,DE$5+GanttPeriod-1&gt;=$E190),"━","")))</f>
        <v/>
      </c>
      <c r="DF190" s="69" t="str">
        <f aca="false">IF($E190="","",IF($M190,IF(AND($G190&gt;=DF$5,$G190&lt;DF$5+GanttPeriod),"◆",IF(AND($E190&gt;=DF$5,$E190&lt;DF$5+GanttPeriod),"◇","")),IF(AND(DF$5&lt;=$F190,DF$5+GanttPeriod-1&gt;=$E190),"━","")))</f>
        <v/>
      </c>
      <c r="DG190" s="69" t="str">
        <f aca="false">IF($E190="","",IF($M190,IF(AND($G190&gt;=DG$5,$G190&lt;DG$5+GanttPeriod),"◆",IF(AND($E190&gt;=DG$5,$E190&lt;DG$5+GanttPeriod),"◇","")),IF(AND(DG$5&lt;=$F190,DG$5+GanttPeriod-1&gt;=$E190),"━","")))</f>
        <v/>
      </c>
      <c r="DH190" s="69" t="str">
        <f aca="false">IF($E190="","",IF($M190,IF(AND($G190&gt;=DH$5,$G190&lt;DH$5+GanttPeriod),"◆",IF(AND($E190&gt;=DH$5,$E190&lt;DH$5+GanttPeriod),"◇","")),IF(AND(DH$5&lt;=$F190,DH$5+GanttPeriod-1&gt;=$E190),"━","")))</f>
        <v/>
      </c>
      <c r="DI190" s="69" t="str">
        <f aca="false">IF($E190="","",IF($M190,IF(AND($G190&gt;=DI$5,$G190&lt;DI$5+GanttPeriod),"◆",IF(AND($E190&gt;=DI$5,$E190&lt;DI$5+GanttPeriod),"◇","")),IF(AND(DI$5&lt;=$F190,DI$5+GanttPeriod-1&gt;=$E190),"━","")))</f>
        <v/>
      </c>
      <c r="DJ190" s="69" t="str">
        <f aca="false">IF($E190="","",IF($M190,IF(AND($G190&gt;=DJ$5,$G190&lt;DJ$5+GanttPeriod),"◆",IF(AND($E190&gt;=DJ$5,$E190&lt;DJ$5+GanttPeriod),"◇","")),IF(AND(DJ$5&lt;=$F190,DJ$5+GanttPeriod-1&gt;=$E190),"━","")))</f>
        <v/>
      </c>
      <c r="DK190" s="69" t="str">
        <f aca="false">IF($E190="","",IF($M190,IF(AND($G190&gt;=DK$5,$G190&lt;DK$5+GanttPeriod),"◆",IF(AND($E190&gt;=DK$5,$E190&lt;DK$5+GanttPeriod),"◇","")),IF(AND(DK$5&lt;=$F190,DK$5+GanttPeriod-1&gt;=$E190),"━","")))</f>
        <v/>
      </c>
      <c r="DL190" s="69" t="str">
        <f aca="false">IF($E190="","",IF($M190,IF(AND($G190&gt;=DL$5,$G190&lt;DL$5+GanttPeriod),"◆",IF(AND($E190&gt;=DL$5,$E190&lt;DL$5+GanttPeriod),"◇","")),IF(AND(DL$5&lt;=$F190,DL$5+GanttPeriod-1&gt;=$E190),"━","")))</f>
        <v/>
      </c>
      <c r="DM190" s="69" t="str">
        <f aca="false">IF($E190="","",IF($M190,IF(AND($G190&gt;=DM$5,$G190&lt;DM$5+GanttPeriod),"◆",IF(AND($E190&gt;=DM$5,$E190&lt;DM$5+GanttPeriod),"◇","")),IF(AND(DM$5&lt;=$F190,DM$5+GanttPeriod-1&gt;=$E190),"━","")))</f>
        <v/>
      </c>
      <c r="DN190" s="69" t="str">
        <f aca="false">IF($E190="","",IF($M190,IF(AND($G190&gt;=DN$5,$G190&lt;DN$5+GanttPeriod),"◆",IF(AND($E190&gt;=DN$5,$E190&lt;DN$5+GanttPeriod),"◇","")),IF(AND(DN$5&lt;=$F190,DN$5+GanttPeriod-1&gt;=$E190),"━","")))</f>
        <v/>
      </c>
      <c r="DO190" s="69" t="str">
        <f aca="false">IF($E190="","",IF($M190,IF(AND($G190&gt;=DO$5,$G190&lt;DO$5+GanttPeriod),"◆",IF(AND($E190&gt;=DO$5,$E190&lt;DO$5+GanttPeriod),"◇","")),IF(AND(DO$5&lt;=$F190,DO$5+GanttPeriod-1&gt;=$E190),"━","")))</f>
        <v/>
      </c>
      <c r="DP190" s="69" t="str">
        <f aca="false">IF($E190="","",IF($M190,IF(AND($G190&gt;=DP$5,$G190&lt;DP$5+GanttPeriod),"◆",IF(AND($E190&gt;=DP$5,$E190&lt;DP$5+GanttPeriod),"◇","")),IF(AND(DP$5&lt;=$F190,DP$5+GanttPeriod-1&gt;=$E190),"━","")))</f>
        <v/>
      </c>
      <c r="DQ190" s="69" t="str">
        <f aca="false">IF($E190="","",IF($M190,IF(AND($G190&gt;=DQ$5,$G190&lt;DQ$5+GanttPeriod),"◆",IF(AND($E190&gt;=DQ$5,$E190&lt;DQ$5+GanttPeriod),"◇","")),IF(AND(DQ$5&lt;=$F190,DQ$5+GanttPeriod-1&gt;=$E190),"━","")))</f>
        <v/>
      </c>
      <c r="DR190" s="69" t="str">
        <f aca="false">IF($E190="","",IF($M190,IF(AND($G190&gt;=DR$5,$G190&lt;DR$5+GanttPeriod),"◆",IF(AND($E190&gt;=DR$5,$E190&lt;DR$5+GanttPeriod),"◇","")),IF(AND(DR$5&lt;=$F190,DR$5+GanttPeriod-1&gt;=$E190),"━","")))</f>
        <v/>
      </c>
      <c r="DS190" s="69" t="str">
        <f aca="false">IF($E190="","",IF($M190,IF(AND($G190&gt;=DS$5,$G190&lt;DS$5+GanttPeriod),"◆",IF(AND($E190&gt;=DS$5,$E190&lt;DS$5+GanttPeriod),"◇","")),IF(AND(DS$5&lt;=$F190,DS$5+GanttPeriod-1&gt;=$E190),"━","")))</f>
        <v/>
      </c>
      <c r="DT190" s="69" t="str">
        <f aca="false">IF($E190="","",IF($M190,IF(AND($G190&gt;=DT$5,$G190&lt;DT$5+GanttPeriod),"◆",IF(AND($E190&gt;=DT$5,$E190&lt;DT$5+GanttPeriod),"◇","")),IF(AND(DT$5&lt;=$F190,DT$5+GanttPeriod-1&gt;=$E190),"━","")))</f>
        <v/>
      </c>
      <c r="DU190" s="69" t="str">
        <f aca="false">IF($E190="","",IF($M190,IF(AND($G190&gt;=DU$5,$G190&lt;DU$5+GanttPeriod),"◆",IF(AND($E190&gt;=DU$5,$E190&lt;DU$5+GanttPeriod),"◇","")),IF(AND(DU$5&lt;=$F190,DU$5+GanttPeriod-1&gt;=$E190),"━","")))</f>
        <v/>
      </c>
      <c r="DV190" s="69" t="str">
        <f aca="false">IF($E190="","",IF($M190,IF(AND($G190&gt;=DV$5,$G190&lt;DV$5+GanttPeriod),"◆",IF(AND($E190&gt;=DV$5,$E190&lt;DV$5+GanttPeriod),"◇","")),IF(AND(DV$5&lt;=$F190,DV$5+GanttPeriod-1&gt;=$E190),"━","")))</f>
        <v/>
      </c>
      <c r="DW190" s="69" t="str">
        <f aca="false">IF($E190="","",IF($M190,IF(AND($G190&gt;=DW$5,$G190&lt;DW$5+GanttPeriod),"◆",IF(AND($E190&gt;=DW$5,$E190&lt;DW$5+GanttPeriod),"◇","")),IF(AND(DW$5&lt;=$F190,DW$5+GanttPeriod-1&gt;=$E190),"━","")))</f>
        <v/>
      </c>
      <c r="DX190" s="69" t="str">
        <f aca="false">IF($E190="","",IF($M190,IF(AND($G190&gt;=DX$5,$G190&lt;DX$5+GanttPeriod),"◆",IF(AND($E190&gt;=DX$5,$E190&lt;DX$5+GanttPeriod),"◇","")),IF(AND(DX$5&lt;=$F190,DX$5+GanttPeriod-1&gt;=$E190),"━","")))</f>
        <v/>
      </c>
      <c r="DY190" s="69" t="str">
        <f aca="false">IF($E190="","",IF($M190,IF(AND($G190&gt;=DY$5,$G190&lt;DY$5+GanttPeriod),"◆",IF(AND($E190&gt;=DY$5,$E190&lt;DY$5+GanttPeriod),"◇","")),IF(AND(DY$5&lt;=$F190,DY$5+GanttPeriod-1&gt;=$E190),"━","")))</f>
        <v/>
      </c>
      <c r="DZ190" s="69" t="str">
        <f aca="false">IF($E190="","",IF($M190,IF(AND($G190&gt;=DZ$5,$G190&lt;DZ$5+GanttPeriod),"◆",IF(AND($E190&gt;=DZ$5,$E190&lt;DZ$5+GanttPeriod),"◇","")),IF(AND(DZ$5&lt;=$F190,DZ$5+GanttPeriod-1&gt;=$E190),"━","")))</f>
        <v/>
      </c>
      <c r="EA190" s="69" t="str">
        <f aca="false">IF($E190="","",IF($M190,IF(AND($G190&gt;=EA$5,$G190&lt;EA$5+GanttPeriod),"◆",IF(AND($E190&gt;=EA$5,$E190&lt;EA$5+GanttPeriod),"◇","")),IF(AND(EA$5&lt;=$F190,EA$5+GanttPeriod-1&gt;=$E190),"━","")))</f>
        <v/>
      </c>
      <c r="EB190" s="69" t="str">
        <f aca="false">IF($E190="","",IF($M190,IF(AND($G190&gt;=EB$5,$G190&lt;EB$5+GanttPeriod),"◆",IF(AND($E190&gt;=EB$5,$E190&lt;EB$5+GanttPeriod),"◇","")),IF(AND(EB$5&lt;=$F190,EB$5+GanttPeriod-1&gt;=$E190),"━","")))</f>
        <v/>
      </c>
      <c r="EC190" s="69" t="str">
        <f aca="false">IF($E190="","",IF($M190,IF(AND($G190&gt;=EC$5,$G190&lt;EC$5+GanttPeriod),"◆",IF(AND($E190&gt;=EC$5,$E190&lt;EC$5+GanttPeriod),"◇","")),IF(AND(EC$5&lt;=$F190,EC$5+GanttPeriod-1&gt;=$E190),"━","")))</f>
        <v/>
      </c>
      <c r="ED190" s="69" t="str">
        <f aca="false">IF($E190="","",IF($M190,IF(AND($G190&gt;=ED$5,$G190&lt;ED$5+GanttPeriod),"◆",IF(AND($E190&gt;=ED$5,$E190&lt;ED$5+GanttPeriod),"◇","")),IF(AND(ED$5&lt;=$F190,ED$5+GanttPeriod-1&gt;=$E190),"━","")))</f>
        <v/>
      </c>
      <c r="EE190" s="69" t="str">
        <f aca="false">IF($E190="","",IF($M190,IF(AND($G190&gt;=EE$5,$G190&lt;EE$5+GanttPeriod),"◆",IF(AND($E190&gt;=EE$5,$E190&lt;EE$5+GanttPeriod),"◇","")),IF(AND(EE$5&lt;=$F190,EE$5+GanttPeriod-1&gt;=$E190),"━","")))</f>
        <v/>
      </c>
      <c r="EF190" s="69" t="str">
        <f aca="false">IF($E190="","",IF($M190,IF(AND($G190&gt;=EF$5,$G190&lt;EF$5+GanttPeriod),"◆",IF(AND($E190&gt;=EF$5,$E190&lt;EF$5+GanttPeriod),"◇","")),IF(AND(EF$5&lt;=$F190,EF$5+GanttPeriod-1&gt;=$E190),"━","")))</f>
        <v/>
      </c>
      <c r="EG190" s="69" t="str">
        <f aca="false">IF($E190="","",IF($M190,IF(AND($G190&gt;=EG$5,$G190&lt;EG$5+GanttPeriod),"◆",IF(AND($E190&gt;=EG$5,$E190&lt;EG$5+GanttPeriod),"◇","")),IF(AND(EG$5&lt;=$F190,EG$5+GanttPeriod-1&gt;=$E190),"━","")))</f>
        <v/>
      </c>
      <c r="EH190" s="69" t="str">
        <f aca="false">IF($E190="","",IF($M190,IF(AND($G190&gt;=EH$5,$G190&lt;EH$5+GanttPeriod),"◆",IF(AND($E190&gt;=EH$5,$E190&lt;EH$5+GanttPeriod),"◇","")),IF(AND(EH$5&lt;=$F190,EH$5+GanttPeriod-1&gt;=$E190),"━","")))</f>
        <v/>
      </c>
      <c r="EI190" s="69" t="str">
        <f aca="false">IF($E190="","",IF($M190,IF(AND($G190&gt;=EI$5,$G190&lt;EI$5+GanttPeriod),"◆",IF(AND($E190&gt;=EI$5,$E190&lt;EI$5+GanttPeriod),"◇","")),IF(AND(EI$5&lt;=$F190,EI$5+GanttPeriod-1&gt;=$E190),"━","")))</f>
        <v/>
      </c>
      <c r="EJ190" s="69" t="str">
        <f aca="false">IF($E190="","",IF($M190,IF(AND($G190&gt;=EJ$5,$G190&lt;EJ$5+GanttPeriod),"◆",IF(AND($E190&gt;=EJ$5,$E190&lt;EJ$5+GanttPeriod),"◇","")),IF(AND(EJ$5&lt;=$F190,EJ$5+GanttPeriod-1&gt;=$E190),"━","")))</f>
        <v/>
      </c>
      <c r="EK190" s="69" t="str">
        <f aca="false">IF($E190="","",IF($M190,IF(AND($G190&gt;=EK$5,$G190&lt;EK$5+GanttPeriod),"◆",IF(AND($E190&gt;=EK$5,$E190&lt;EK$5+GanttPeriod),"◇","")),IF(AND(EK$5&lt;=$F190,EK$5+GanttPeriod-1&gt;=$E190),"━","")))</f>
        <v/>
      </c>
      <c r="EL190" s="69" t="str">
        <f aca="false">IF($E190="","",IF($M190,IF(AND($G190&gt;=EL$5,$G190&lt;EL$5+GanttPeriod),"◆",IF(AND($E190&gt;=EL$5,$E190&lt;EL$5+GanttPeriod),"◇","")),IF(AND(EL$5&lt;=$F190,EL$5+GanttPeriod-1&gt;=$E190),"━","")))</f>
        <v/>
      </c>
      <c r="EM190" s="69" t="str">
        <f aca="false">IF($E190="","",IF($M190,IF(AND($G190&gt;=EM$5,$G190&lt;EM$5+GanttPeriod),"◆",IF(AND($E190&gt;=EM$5,$E190&lt;EM$5+GanttPeriod),"◇","")),IF(AND(EM$5&lt;=$F190,EM$5+GanttPeriod-1&gt;=$E190),"━","")))</f>
        <v/>
      </c>
      <c r="EN190" s="69" t="str">
        <f aca="false">IF($E190="","",IF($M190,IF(AND($G190&gt;=EN$5,$G190&lt;EN$5+GanttPeriod),"◆",IF(AND($E190&gt;=EN$5,$E190&lt;EN$5+GanttPeriod),"◇","")),IF(AND(EN$5&lt;=$F190,EN$5+GanttPeriod-1&gt;=$E190),"━","")))</f>
        <v/>
      </c>
      <c r="EO190" s="69" t="str">
        <f aca="false">IF($E190="","",IF($M190,IF(AND($G190&gt;=EO$5,$G190&lt;EO$5+GanttPeriod),"◆",IF(AND($E190&gt;=EO$5,$E190&lt;EO$5+GanttPeriod),"◇","")),IF(AND(EO$5&lt;=$F190,EO$5+GanttPeriod-1&gt;=$E190),"━","")))</f>
        <v/>
      </c>
      <c r="EP190" s="69" t="str">
        <f aca="false">IF($E190="","",IF($M190,IF(AND($G190&gt;=EP$5,$G190&lt;EP$5+GanttPeriod),"◆",IF(AND($E190&gt;=EP$5,$E190&lt;EP$5+GanttPeriod),"◇","")),IF(AND(EP$5&lt;=$F190,EP$5+GanttPeriod-1&gt;=$E190),"━","")))</f>
        <v/>
      </c>
      <c r="EQ190" s="69" t="str">
        <f aca="false">IF($E190="","",IF($M190,IF(AND($G190&gt;=EQ$5,$G190&lt;EQ$5+GanttPeriod),"◆",IF(AND($E190&gt;=EQ$5,$E190&lt;EQ$5+GanttPeriod),"◇","")),IF(AND(EQ$5&lt;=$F190,EQ$5+GanttPeriod-1&gt;=$E190),"━","")))</f>
        <v/>
      </c>
      <c r="ER190" s="69" t="str">
        <f aca="false">IF($E190="","",IF($M190,IF(AND($G190&gt;=ER$5,$G190&lt;ER$5+GanttPeriod),"◆",IF(AND($E190&gt;=ER$5,$E190&lt;ER$5+GanttPeriod),"◇","")),IF(AND(ER$5&lt;=$F190,ER$5+GanttPeriod-1&gt;=$E190),"━","")))</f>
        <v/>
      </c>
      <c r="ES190" s="69" t="str">
        <f aca="false">IF($E190="","",IF($M190,IF(AND($G190&gt;=ES$5,$G190&lt;ES$5+GanttPeriod),"◆",IF(AND($E190&gt;=ES$5,$E190&lt;ES$5+GanttPeriod),"◇","")),IF(AND(ES$5&lt;=$F190,ES$5+GanttPeriod-1&gt;=$E190),"━","")))</f>
        <v/>
      </c>
      <c r="ET190" s="69" t="str">
        <f aca="false">IF($E190="","",IF($M190,IF(AND($G190&gt;=ET$5,$G190&lt;ET$5+GanttPeriod),"◆",IF(AND($E190&gt;=ET$5,$E190&lt;ET$5+GanttPeriod),"◇","")),IF(AND(ET$5&lt;=$F190,ET$5+GanttPeriod-1&gt;=$E190),"━","")))</f>
        <v/>
      </c>
      <c r="EU190" s="69" t="str">
        <f aca="false">IF($E190="","",IF($M190,IF(AND($G190&gt;=EU$5,$G190&lt;EU$5+GanttPeriod),"◆",IF(AND($E190&gt;=EU$5,$E190&lt;EU$5+GanttPeriod),"◇","")),IF(AND(EU$5&lt;=$F190,EU$5+GanttPeriod-1&gt;=$E190),"━","")))</f>
        <v/>
      </c>
      <c r="EV190" s="69" t="str">
        <f aca="false">IF($E190="","",IF($M190,IF(AND($G190&gt;=EV$5,$G190&lt;EV$5+GanttPeriod),"◆",IF(AND($E190&gt;=EV$5,$E190&lt;EV$5+GanttPeriod),"◇","")),IF(AND(EV$5&lt;=$F190,EV$5+GanttPeriod-1&gt;=$E190),"━","")))</f>
        <v/>
      </c>
      <c r="EW190" s="69" t="str">
        <f aca="false">IF($E190="","",IF($M190,IF(AND($G190&gt;=EW$5,$G190&lt;EW$5+GanttPeriod),"◆",IF(AND($E190&gt;=EW$5,$E190&lt;EW$5+GanttPeriod),"◇","")),IF(AND(EW$5&lt;=$F190,EW$5+GanttPeriod-1&gt;=$E190),"━","")))</f>
        <v/>
      </c>
      <c r="EX190" s="69" t="str">
        <f aca="false">IF($E190="","",IF($M190,IF(AND($G190&gt;=EX$5,$G190&lt;EX$5+GanttPeriod),"◆",IF(AND($E190&gt;=EX$5,$E190&lt;EX$5+GanttPeriod),"◇","")),IF(AND(EX$5&lt;=$F190,EX$5+GanttPeriod-1&gt;=$E190),"━","")))</f>
        <v/>
      </c>
      <c r="EY190" s="69" t="str">
        <f aca="false">IF($E190="","",IF($M190,IF(AND($G190&gt;=EY$5,$G190&lt;EY$5+GanttPeriod),"◆",IF(AND($E190&gt;=EY$5,$E190&lt;EY$5+GanttPeriod),"◇","")),IF(AND(EY$5&lt;=$F190,EY$5+GanttPeriod-1&gt;=$E190),"━","")))</f>
        <v/>
      </c>
      <c r="EZ190" s="69" t="str">
        <f aca="false">IF($E190="","",IF($M190,IF(AND($G190&gt;=EZ$5,$G190&lt;EZ$5+GanttPeriod),"◆",IF(AND($E190&gt;=EZ$5,$E190&lt;EZ$5+GanttPeriod),"◇","")),IF(AND(EZ$5&lt;=$F190,EZ$5+GanttPeriod-1&gt;=$E190),"━","")))</f>
        <v/>
      </c>
      <c r="FA190" s="69" t="str">
        <f aca="false">IF($E190="","",IF($M190,IF(AND($G190&gt;=FA$5,$G190&lt;FA$5+GanttPeriod),"◆",IF(AND($E190&gt;=FA$5,$E190&lt;FA$5+GanttPeriod),"◇","")),IF(AND(FA$5&lt;=$F190,FA$5+GanttPeriod-1&gt;=$E190),"━","")))</f>
        <v/>
      </c>
      <c r="FB190" s="69" t="str">
        <f aca="false">IF($E190="","",IF($M190,IF(AND($G190&gt;=FB$5,$G190&lt;FB$5+GanttPeriod),"◆",IF(AND($E190&gt;=FB$5,$E190&lt;FB$5+GanttPeriod),"◇","")),IF(AND(FB$5&lt;=$F190,FB$5+GanttPeriod-1&gt;=$E190),"━","")))</f>
        <v/>
      </c>
      <c r="FC190" s="69" t="str">
        <f aca="false">IF($E190="","",IF($M190,IF(AND($G190&gt;=FC$5,$G190&lt;FC$5+GanttPeriod),"◆",IF(AND($E190&gt;=FC$5,$E190&lt;FC$5+GanttPeriod),"◇","")),IF(AND(FC$5&lt;=$F190,FC$5+GanttPeriod-1&gt;=$E190),"━","")))</f>
        <v/>
      </c>
      <c r="FD190" s="69" t="str">
        <f aca="false">IF($E190="","",IF($M190,IF(AND($G190&gt;=FD$5,$G190&lt;FD$5+GanttPeriod),"◆",IF(AND($E190&gt;=FD$5,$E190&lt;FD$5+GanttPeriod),"◇","")),IF(AND(FD$5&lt;=$F190,FD$5+GanttPeriod-1&gt;=$E190),"━","")))</f>
        <v/>
      </c>
      <c r="FE190" s="69" t="str">
        <f aca="false">IF($E190="","",IF($M190,IF(AND($G190&gt;=FE$5,$G190&lt;FE$5+GanttPeriod),"◆",IF(AND($E190&gt;=FE$5,$E190&lt;FE$5+GanttPeriod),"◇","")),IF(AND(FE$5&lt;=$F190,FE$5+GanttPeriod-1&gt;=$E190),"━","")))</f>
        <v/>
      </c>
      <c r="FF190" s="69" t="str">
        <f aca="false">IF($E190="","",IF($M190,IF(AND($G190&gt;=FF$5,$G190&lt;FF$5+GanttPeriod),"◆",IF(AND($E190&gt;=FF$5,$E190&lt;FF$5+GanttPeriod),"◇","")),IF(AND(FF$5&lt;=$F190,FF$5+GanttPeriod-1&gt;=$E190),"━","")))</f>
        <v/>
      </c>
      <c r="FG190" s="69" t="str">
        <f aca="false">IF($E190="","",IF($M190,IF(AND($G190&gt;=FG$5,$G190&lt;FG$5+GanttPeriod),"◆",IF(AND($E190&gt;=FG$5,$E190&lt;FG$5+GanttPeriod),"◇","")),IF(AND(FG$5&lt;=$F190,FG$5+GanttPeriod-1&gt;=$E190),"━","")))</f>
        <v/>
      </c>
      <c r="FH190" s="69" t="str">
        <f aca="false">IF($E190="","",IF($M190,IF(AND($G190&gt;=FH$5,$G190&lt;FH$5+GanttPeriod),"◆",IF(AND($E190&gt;=FH$5,$E190&lt;FH$5+GanttPeriod),"◇","")),IF(AND(FH$5&lt;=$F190,FH$5+GanttPeriod-1&gt;=$E190),"━","")))</f>
        <v/>
      </c>
      <c r="FI190" s="69" t="str">
        <f aca="false">IF($E190="","",IF($M190,IF(AND($G190&gt;=FI$5,$G190&lt;FI$5+GanttPeriod),"◆",IF(AND($E190&gt;=FI$5,$E190&lt;FI$5+GanttPeriod),"◇","")),IF(AND(FI$5&lt;=$F190,FI$5+GanttPeriod-1&gt;=$E190),"━","")))</f>
        <v/>
      </c>
      <c r="FJ190" s="69" t="str">
        <f aca="false">IF($E190="","",IF($M190,IF(AND($G190&gt;=FJ$5,$G190&lt;FJ$5+GanttPeriod),"◆",IF(AND($E190&gt;=FJ$5,$E190&lt;FJ$5+GanttPeriod),"◇","")),IF(AND(FJ$5&lt;=$F190,FJ$5+GanttPeriod-1&gt;=$E190),"━","")))</f>
        <v/>
      </c>
      <c r="FK190" s="69" t="str">
        <f aca="false">IF($E190="","",IF($M190,IF(AND($G190&gt;=FK$5,$G190&lt;FK$5+GanttPeriod),"◆",IF(AND($E190&gt;=FK$5,$E190&lt;FK$5+GanttPeriod),"◇","")),IF(AND(FK$5&lt;=$F190,FK$5+GanttPeriod-1&gt;=$E190),"━","")))</f>
        <v/>
      </c>
      <c r="FL190" s="69" t="str">
        <f aca="false">IF($E190="","",IF($M190,IF(AND($G190&gt;=FL$5,$G190&lt;FL$5+GanttPeriod),"◆",IF(AND($E190&gt;=FL$5,$E190&lt;FL$5+GanttPeriod),"◇","")),IF(AND(FL$5&lt;=$F190,FL$5+GanttPeriod-1&gt;=$E190),"━","")))</f>
        <v/>
      </c>
      <c r="FM190" s="69" t="str">
        <f aca="false">IF($E190="","",IF($M190,IF(AND($G190&gt;=FM$5,$G190&lt;FM$5+GanttPeriod),"◆",IF(AND($E190&gt;=FM$5,$E190&lt;FM$5+GanttPeriod),"◇","")),IF(AND(FM$5&lt;=$F190,FM$5+GanttPeriod-1&gt;=$E190),"━","")))</f>
        <v/>
      </c>
    </row>
    <row r="191" customFormat="false" ht="15" hidden="false" customHeight="false" outlineLevel="0" collapsed="false">
      <c r="A191" s="62" t="str">
        <f aca="false">IF(Tasks!$D191="","",Tasks!$A191)</f>
        <v/>
      </c>
      <c r="B191" s="62" t="str">
        <f aca="false">IF(Tasks!$D191="","",Tasks!$B191)</f>
        <v/>
      </c>
      <c r="C191" s="63" t="str">
        <f aca="false">IF(Tasks!$D191="","",REPT("    ",Tasks!$AE191-1)&amp;Tasks!$D191)</f>
        <v/>
      </c>
      <c r="D191" s="62" t="str">
        <f aca="false">IF(Tasks!$D191="","",IF(Tasks!$AI191,NETWORKDAYS.INTL(Tasks!$R191,Tasks!$S191,WorkWeek,Holidays),N(Tasks!$F191)))</f>
        <v/>
      </c>
      <c r="E191" s="64" t="str">
        <f aca="false">IF(Tasks!$D191="","",Tasks!$N191)</f>
        <v/>
      </c>
      <c r="F191" s="64" t="str">
        <f aca="false">IF(Tasks!$D191="","",Tasks!$O191)</f>
        <v/>
      </c>
      <c r="G191" s="64" t="str">
        <f aca="false">IF(Tasks!$D191="","",Tasks!$R191)</f>
        <v/>
      </c>
      <c r="H191" s="64" t="str">
        <f aca="false">IF(Tasks!$D191="","",Tasks!$S191)</f>
        <v/>
      </c>
      <c r="I191" s="65" t="str">
        <f aca="false">IF(Tasks!$D191="","",Tasks!$V191)</f>
        <v/>
      </c>
      <c r="J191" s="63" t="str">
        <f aca="false">IF(Tasks!$D191="","",Tasks!$X191&amp;"")</f>
        <v/>
      </c>
      <c r="K191" s="66" t="str">
        <f aca="false">IF(Tasks!$D191="","",Tasks!$W191)</f>
        <v/>
      </c>
      <c r="L191" s="67" t="b">
        <f aca="false">IF(Tasks!$D191="",FALSE(),Tasks!$AI191)</f>
        <v>0</v>
      </c>
      <c r="M191" s="67" t="b">
        <f aca="false">AND(Tasks!$AJ191=1,N(Tasks!$F191)=0)</f>
        <v>0</v>
      </c>
      <c r="N191" s="68" t="n">
        <f aca="false">IF(AND(Tasks!$AJ191=1,NOT($M191),N($I191)&gt;0),$G191,0)</f>
        <v>0</v>
      </c>
      <c r="O191" s="68" t="n">
        <f aca="false">IF($N191=0,0,IF($I191&gt;=1,$H191,MAX($N191,$G191+ROUND(($H191-$G191+1)*$I191,0)-1)))</f>
        <v>0</v>
      </c>
      <c r="P191" s="68" t="n">
        <f aca="false">IF(OR(Tasks!$AJ191&lt;&gt;1,$M191,N($I191)&gt;=1),0,IF($O191&gt;0,$O191+1,$G191))</f>
        <v>0</v>
      </c>
      <c r="Q191" s="68" t="n">
        <f aca="false">IF($P191=0,0,$H191)</f>
        <v>0</v>
      </c>
      <c r="R191" s="67" t="b">
        <f aca="false">AND(Tasks!$D191&lt;&gt;"",N(Tasks!$T191)&gt;0)</f>
        <v>0</v>
      </c>
      <c r="T191" s="69" t="str">
        <f aca="false">IF($E191="","",IF($M191,IF(AND($G191&gt;=T$5,$G191&lt;T$5+GanttPeriod),"◆",IF(AND($E191&gt;=T$5,$E191&lt;T$5+GanttPeriod),"◇","")),IF(AND(T$5&lt;=$F191,T$5+GanttPeriod-1&gt;=$E191),"━","")))</f>
        <v/>
      </c>
      <c r="U191" s="69" t="str">
        <f aca="false">IF($E191="","",IF($M191,IF(AND($G191&gt;=U$5,$G191&lt;U$5+GanttPeriod),"◆",IF(AND($E191&gt;=U$5,$E191&lt;U$5+GanttPeriod),"◇","")),IF(AND(U$5&lt;=$F191,U$5+GanttPeriod-1&gt;=$E191),"━","")))</f>
        <v/>
      </c>
      <c r="V191" s="69" t="str">
        <f aca="false">IF($E191="","",IF($M191,IF(AND($G191&gt;=V$5,$G191&lt;V$5+GanttPeriod),"◆",IF(AND($E191&gt;=V$5,$E191&lt;V$5+GanttPeriod),"◇","")),IF(AND(V$5&lt;=$F191,V$5+GanttPeriod-1&gt;=$E191),"━","")))</f>
        <v/>
      </c>
      <c r="W191" s="69" t="str">
        <f aca="false">IF($E191="","",IF($M191,IF(AND($G191&gt;=W$5,$G191&lt;W$5+GanttPeriod),"◆",IF(AND($E191&gt;=W$5,$E191&lt;W$5+GanttPeriod),"◇","")),IF(AND(W$5&lt;=$F191,W$5+GanttPeriod-1&gt;=$E191),"━","")))</f>
        <v/>
      </c>
      <c r="X191" s="69" t="str">
        <f aca="false">IF($E191="","",IF($M191,IF(AND($G191&gt;=X$5,$G191&lt;X$5+GanttPeriod),"◆",IF(AND($E191&gt;=X$5,$E191&lt;X$5+GanttPeriod),"◇","")),IF(AND(X$5&lt;=$F191,X$5+GanttPeriod-1&gt;=$E191),"━","")))</f>
        <v/>
      </c>
      <c r="Y191" s="69" t="str">
        <f aca="false">IF($E191="","",IF($M191,IF(AND($G191&gt;=Y$5,$G191&lt;Y$5+GanttPeriod),"◆",IF(AND($E191&gt;=Y$5,$E191&lt;Y$5+GanttPeriod),"◇","")),IF(AND(Y$5&lt;=$F191,Y$5+GanttPeriod-1&gt;=$E191),"━","")))</f>
        <v/>
      </c>
      <c r="Z191" s="69" t="str">
        <f aca="false">IF($E191="","",IF($M191,IF(AND($G191&gt;=Z$5,$G191&lt;Z$5+GanttPeriod),"◆",IF(AND($E191&gt;=Z$5,$E191&lt;Z$5+GanttPeriod),"◇","")),IF(AND(Z$5&lt;=$F191,Z$5+GanttPeriod-1&gt;=$E191),"━","")))</f>
        <v/>
      </c>
      <c r="AA191" s="69" t="str">
        <f aca="false">IF($E191="","",IF($M191,IF(AND($G191&gt;=AA$5,$G191&lt;AA$5+GanttPeriod),"◆",IF(AND($E191&gt;=AA$5,$E191&lt;AA$5+GanttPeriod),"◇","")),IF(AND(AA$5&lt;=$F191,AA$5+GanttPeriod-1&gt;=$E191),"━","")))</f>
        <v/>
      </c>
      <c r="AB191" s="69" t="str">
        <f aca="false">IF($E191="","",IF($M191,IF(AND($G191&gt;=AB$5,$G191&lt;AB$5+GanttPeriod),"◆",IF(AND($E191&gt;=AB$5,$E191&lt;AB$5+GanttPeriod),"◇","")),IF(AND(AB$5&lt;=$F191,AB$5+GanttPeriod-1&gt;=$E191),"━","")))</f>
        <v/>
      </c>
      <c r="AC191" s="69" t="str">
        <f aca="false">IF($E191="","",IF($M191,IF(AND($G191&gt;=AC$5,$G191&lt;AC$5+GanttPeriod),"◆",IF(AND($E191&gt;=AC$5,$E191&lt;AC$5+GanttPeriod),"◇","")),IF(AND(AC$5&lt;=$F191,AC$5+GanttPeriod-1&gt;=$E191),"━","")))</f>
        <v/>
      </c>
      <c r="AD191" s="69" t="str">
        <f aca="false">IF($E191="","",IF($M191,IF(AND($G191&gt;=AD$5,$G191&lt;AD$5+GanttPeriod),"◆",IF(AND($E191&gt;=AD$5,$E191&lt;AD$5+GanttPeriod),"◇","")),IF(AND(AD$5&lt;=$F191,AD$5+GanttPeriod-1&gt;=$E191),"━","")))</f>
        <v/>
      </c>
      <c r="AE191" s="69" t="str">
        <f aca="false">IF($E191="","",IF($M191,IF(AND($G191&gt;=AE$5,$G191&lt;AE$5+GanttPeriod),"◆",IF(AND($E191&gt;=AE$5,$E191&lt;AE$5+GanttPeriod),"◇","")),IF(AND(AE$5&lt;=$F191,AE$5+GanttPeriod-1&gt;=$E191),"━","")))</f>
        <v/>
      </c>
      <c r="AF191" s="69" t="str">
        <f aca="false">IF($E191="","",IF($M191,IF(AND($G191&gt;=AF$5,$G191&lt;AF$5+GanttPeriod),"◆",IF(AND($E191&gt;=AF$5,$E191&lt;AF$5+GanttPeriod),"◇","")),IF(AND(AF$5&lt;=$F191,AF$5+GanttPeriod-1&gt;=$E191),"━","")))</f>
        <v/>
      </c>
      <c r="AG191" s="69" t="str">
        <f aca="false">IF($E191="","",IF($M191,IF(AND($G191&gt;=AG$5,$G191&lt;AG$5+GanttPeriod),"◆",IF(AND($E191&gt;=AG$5,$E191&lt;AG$5+GanttPeriod),"◇","")),IF(AND(AG$5&lt;=$F191,AG$5+GanttPeriod-1&gt;=$E191),"━","")))</f>
        <v/>
      </c>
      <c r="AH191" s="69" t="str">
        <f aca="false">IF($E191="","",IF($M191,IF(AND($G191&gt;=AH$5,$G191&lt;AH$5+GanttPeriod),"◆",IF(AND($E191&gt;=AH$5,$E191&lt;AH$5+GanttPeriod),"◇","")),IF(AND(AH$5&lt;=$F191,AH$5+GanttPeriod-1&gt;=$E191),"━","")))</f>
        <v/>
      </c>
      <c r="AI191" s="69" t="str">
        <f aca="false">IF($E191="","",IF($M191,IF(AND($G191&gt;=AI$5,$G191&lt;AI$5+GanttPeriod),"◆",IF(AND($E191&gt;=AI$5,$E191&lt;AI$5+GanttPeriod),"◇","")),IF(AND(AI$5&lt;=$F191,AI$5+GanttPeriod-1&gt;=$E191),"━","")))</f>
        <v/>
      </c>
      <c r="AJ191" s="69" t="str">
        <f aca="false">IF($E191="","",IF($M191,IF(AND($G191&gt;=AJ$5,$G191&lt;AJ$5+GanttPeriod),"◆",IF(AND($E191&gt;=AJ$5,$E191&lt;AJ$5+GanttPeriod),"◇","")),IF(AND(AJ$5&lt;=$F191,AJ$5+GanttPeriod-1&gt;=$E191),"━","")))</f>
        <v/>
      </c>
      <c r="AK191" s="69" t="str">
        <f aca="false">IF($E191="","",IF($M191,IF(AND($G191&gt;=AK$5,$G191&lt;AK$5+GanttPeriod),"◆",IF(AND($E191&gt;=AK$5,$E191&lt;AK$5+GanttPeriod),"◇","")),IF(AND(AK$5&lt;=$F191,AK$5+GanttPeriod-1&gt;=$E191),"━","")))</f>
        <v/>
      </c>
      <c r="AL191" s="69" t="str">
        <f aca="false">IF($E191="","",IF($M191,IF(AND($G191&gt;=AL$5,$G191&lt;AL$5+GanttPeriod),"◆",IF(AND($E191&gt;=AL$5,$E191&lt;AL$5+GanttPeriod),"◇","")),IF(AND(AL$5&lt;=$F191,AL$5+GanttPeriod-1&gt;=$E191),"━","")))</f>
        <v/>
      </c>
      <c r="AM191" s="69" t="str">
        <f aca="false">IF($E191="","",IF($M191,IF(AND($G191&gt;=AM$5,$G191&lt;AM$5+GanttPeriod),"◆",IF(AND($E191&gt;=AM$5,$E191&lt;AM$5+GanttPeriod),"◇","")),IF(AND(AM$5&lt;=$F191,AM$5+GanttPeriod-1&gt;=$E191),"━","")))</f>
        <v/>
      </c>
      <c r="AN191" s="69" t="str">
        <f aca="false">IF($E191="","",IF($M191,IF(AND($G191&gt;=AN$5,$G191&lt;AN$5+GanttPeriod),"◆",IF(AND($E191&gt;=AN$5,$E191&lt;AN$5+GanttPeriod),"◇","")),IF(AND(AN$5&lt;=$F191,AN$5+GanttPeriod-1&gt;=$E191),"━","")))</f>
        <v/>
      </c>
      <c r="AO191" s="69" t="str">
        <f aca="false">IF($E191="","",IF($M191,IF(AND($G191&gt;=AO$5,$G191&lt;AO$5+GanttPeriod),"◆",IF(AND($E191&gt;=AO$5,$E191&lt;AO$5+GanttPeriod),"◇","")),IF(AND(AO$5&lt;=$F191,AO$5+GanttPeriod-1&gt;=$E191),"━","")))</f>
        <v/>
      </c>
      <c r="AP191" s="69" t="str">
        <f aca="false">IF($E191="","",IF($M191,IF(AND($G191&gt;=AP$5,$G191&lt;AP$5+GanttPeriod),"◆",IF(AND($E191&gt;=AP$5,$E191&lt;AP$5+GanttPeriod),"◇","")),IF(AND(AP$5&lt;=$F191,AP$5+GanttPeriod-1&gt;=$E191),"━","")))</f>
        <v/>
      </c>
      <c r="AQ191" s="69" t="str">
        <f aca="false">IF($E191="","",IF($M191,IF(AND($G191&gt;=AQ$5,$G191&lt;AQ$5+GanttPeriod),"◆",IF(AND($E191&gt;=AQ$5,$E191&lt;AQ$5+GanttPeriod),"◇","")),IF(AND(AQ$5&lt;=$F191,AQ$5+GanttPeriod-1&gt;=$E191),"━","")))</f>
        <v/>
      </c>
      <c r="AR191" s="69" t="str">
        <f aca="false">IF($E191="","",IF($M191,IF(AND($G191&gt;=AR$5,$G191&lt;AR$5+GanttPeriod),"◆",IF(AND($E191&gt;=AR$5,$E191&lt;AR$5+GanttPeriod),"◇","")),IF(AND(AR$5&lt;=$F191,AR$5+GanttPeriod-1&gt;=$E191),"━","")))</f>
        <v/>
      </c>
      <c r="AS191" s="69" t="str">
        <f aca="false">IF($E191="","",IF($M191,IF(AND($G191&gt;=AS$5,$G191&lt;AS$5+GanttPeriod),"◆",IF(AND($E191&gt;=AS$5,$E191&lt;AS$5+GanttPeriod),"◇","")),IF(AND(AS$5&lt;=$F191,AS$5+GanttPeriod-1&gt;=$E191),"━","")))</f>
        <v/>
      </c>
      <c r="AT191" s="69" t="str">
        <f aca="false">IF($E191="","",IF($M191,IF(AND($G191&gt;=AT$5,$G191&lt;AT$5+GanttPeriod),"◆",IF(AND($E191&gt;=AT$5,$E191&lt;AT$5+GanttPeriod),"◇","")),IF(AND(AT$5&lt;=$F191,AT$5+GanttPeriod-1&gt;=$E191),"━","")))</f>
        <v/>
      </c>
      <c r="AU191" s="69" t="str">
        <f aca="false">IF($E191="","",IF($M191,IF(AND($G191&gt;=AU$5,$G191&lt;AU$5+GanttPeriod),"◆",IF(AND($E191&gt;=AU$5,$E191&lt;AU$5+GanttPeriod),"◇","")),IF(AND(AU$5&lt;=$F191,AU$5+GanttPeriod-1&gt;=$E191),"━","")))</f>
        <v/>
      </c>
      <c r="AV191" s="69" t="str">
        <f aca="false">IF($E191="","",IF($M191,IF(AND($G191&gt;=AV$5,$G191&lt;AV$5+GanttPeriod),"◆",IF(AND($E191&gt;=AV$5,$E191&lt;AV$5+GanttPeriod),"◇","")),IF(AND(AV$5&lt;=$F191,AV$5+GanttPeriod-1&gt;=$E191),"━","")))</f>
        <v/>
      </c>
      <c r="AW191" s="69" t="str">
        <f aca="false">IF($E191="","",IF($M191,IF(AND($G191&gt;=AW$5,$G191&lt;AW$5+GanttPeriod),"◆",IF(AND($E191&gt;=AW$5,$E191&lt;AW$5+GanttPeriod),"◇","")),IF(AND(AW$5&lt;=$F191,AW$5+GanttPeriod-1&gt;=$E191),"━","")))</f>
        <v/>
      </c>
      <c r="AX191" s="69" t="str">
        <f aca="false">IF($E191="","",IF($M191,IF(AND($G191&gt;=AX$5,$G191&lt;AX$5+GanttPeriod),"◆",IF(AND($E191&gt;=AX$5,$E191&lt;AX$5+GanttPeriod),"◇","")),IF(AND(AX$5&lt;=$F191,AX$5+GanttPeriod-1&gt;=$E191),"━","")))</f>
        <v/>
      </c>
      <c r="AY191" s="69" t="str">
        <f aca="false">IF($E191="","",IF($M191,IF(AND($G191&gt;=AY$5,$G191&lt;AY$5+GanttPeriod),"◆",IF(AND($E191&gt;=AY$5,$E191&lt;AY$5+GanttPeriod),"◇","")),IF(AND(AY$5&lt;=$F191,AY$5+GanttPeriod-1&gt;=$E191),"━","")))</f>
        <v/>
      </c>
      <c r="AZ191" s="69" t="str">
        <f aca="false">IF($E191="","",IF($M191,IF(AND($G191&gt;=AZ$5,$G191&lt;AZ$5+GanttPeriod),"◆",IF(AND($E191&gt;=AZ$5,$E191&lt;AZ$5+GanttPeriod),"◇","")),IF(AND(AZ$5&lt;=$F191,AZ$5+GanttPeriod-1&gt;=$E191),"━","")))</f>
        <v/>
      </c>
      <c r="BA191" s="69" t="str">
        <f aca="false">IF($E191="","",IF($M191,IF(AND($G191&gt;=BA$5,$G191&lt;BA$5+GanttPeriod),"◆",IF(AND($E191&gt;=BA$5,$E191&lt;BA$5+GanttPeriod),"◇","")),IF(AND(BA$5&lt;=$F191,BA$5+GanttPeriod-1&gt;=$E191),"━","")))</f>
        <v/>
      </c>
      <c r="BB191" s="69" t="str">
        <f aca="false">IF($E191="","",IF($M191,IF(AND($G191&gt;=BB$5,$G191&lt;BB$5+GanttPeriod),"◆",IF(AND($E191&gt;=BB$5,$E191&lt;BB$5+GanttPeriod),"◇","")),IF(AND(BB$5&lt;=$F191,BB$5+GanttPeriod-1&gt;=$E191),"━","")))</f>
        <v/>
      </c>
      <c r="BC191" s="69" t="str">
        <f aca="false">IF($E191="","",IF($M191,IF(AND($G191&gt;=BC$5,$G191&lt;BC$5+GanttPeriod),"◆",IF(AND($E191&gt;=BC$5,$E191&lt;BC$5+GanttPeriod),"◇","")),IF(AND(BC$5&lt;=$F191,BC$5+GanttPeriod-1&gt;=$E191),"━","")))</f>
        <v/>
      </c>
      <c r="BD191" s="69" t="str">
        <f aca="false">IF($E191="","",IF($M191,IF(AND($G191&gt;=BD$5,$G191&lt;BD$5+GanttPeriod),"◆",IF(AND($E191&gt;=BD$5,$E191&lt;BD$5+GanttPeriod),"◇","")),IF(AND(BD$5&lt;=$F191,BD$5+GanttPeriod-1&gt;=$E191),"━","")))</f>
        <v/>
      </c>
      <c r="BE191" s="69" t="str">
        <f aca="false">IF($E191="","",IF($M191,IF(AND($G191&gt;=BE$5,$G191&lt;BE$5+GanttPeriod),"◆",IF(AND($E191&gt;=BE$5,$E191&lt;BE$5+GanttPeriod),"◇","")),IF(AND(BE$5&lt;=$F191,BE$5+GanttPeriod-1&gt;=$E191),"━","")))</f>
        <v/>
      </c>
      <c r="BF191" s="69" t="str">
        <f aca="false">IF($E191="","",IF($M191,IF(AND($G191&gt;=BF$5,$G191&lt;BF$5+GanttPeriod),"◆",IF(AND($E191&gt;=BF$5,$E191&lt;BF$5+GanttPeriod),"◇","")),IF(AND(BF$5&lt;=$F191,BF$5+GanttPeriod-1&gt;=$E191),"━","")))</f>
        <v/>
      </c>
      <c r="BG191" s="69" t="str">
        <f aca="false">IF($E191="","",IF($M191,IF(AND($G191&gt;=BG$5,$G191&lt;BG$5+GanttPeriod),"◆",IF(AND($E191&gt;=BG$5,$E191&lt;BG$5+GanttPeriod),"◇","")),IF(AND(BG$5&lt;=$F191,BG$5+GanttPeriod-1&gt;=$E191),"━","")))</f>
        <v/>
      </c>
      <c r="BH191" s="69" t="str">
        <f aca="false">IF($E191="","",IF($M191,IF(AND($G191&gt;=BH$5,$G191&lt;BH$5+GanttPeriod),"◆",IF(AND($E191&gt;=BH$5,$E191&lt;BH$5+GanttPeriod),"◇","")),IF(AND(BH$5&lt;=$F191,BH$5+GanttPeriod-1&gt;=$E191),"━","")))</f>
        <v/>
      </c>
      <c r="BI191" s="69" t="str">
        <f aca="false">IF($E191="","",IF($M191,IF(AND($G191&gt;=BI$5,$G191&lt;BI$5+GanttPeriod),"◆",IF(AND($E191&gt;=BI$5,$E191&lt;BI$5+GanttPeriod),"◇","")),IF(AND(BI$5&lt;=$F191,BI$5+GanttPeriod-1&gt;=$E191),"━","")))</f>
        <v/>
      </c>
      <c r="BJ191" s="69" t="str">
        <f aca="false">IF($E191="","",IF($M191,IF(AND($G191&gt;=BJ$5,$G191&lt;BJ$5+GanttPeriod),"◆",IF(AND($E191&gt;=BJ$5,$E191&lt;BJ$5+GanttPeriod),"◇","")),IF(AND(BJ$5&lt;=$F191,BJ$5+GanttPeriod-1&gt;=$E191),"━","")))</f>
        <v/>
      </c>
      <c r="BK191" s="69" t="str">
        <f aca="false">IF($E191="","",IF($M191,IF(AND($G191&gt;=BK$5,$G191&lt;BK$5+GanttPeriod),"◆",IF(AND($E191&gt;=BK$5,$E191&lt;BK$5+GanttPeriod),"◇","")),IF(AND(BK$5&lt;=$F191,BK$5+GanttPeriod-1&gt;=$E191),"━","")))</f>
        <v/>
      </c>
      <c r="BL191" s="69" t="str">
        <f aca="false">IF($E191="","",IF($M191,IF(AND($G191&gt;=BL$5,$G191&lt;BL$5+GanttPeriod),"◆",IF(AND($E191&gt;=BL$5,$E191&lt;BL$5+GanttPeriod),"◇","")),IF(AND(BL$5&lt;=$F191,BL$5+GanttPeriod-1&gt;=$E191),"━","")))</f>
        <v/>
      </c>
      <c r="BM191" s="69" t="str">
        <f aca="false">IF($E191="","",IF($M191,IF(AND($G191&gt;=BM$5,$G191&lt;BM$5+GanttPeriod),"◆",IF(AND($E191&gt;=BM$5,$E191&lt;BM$5+GanttPeriod),"◇","")),IF(AND(BM$5&lt;=$F191,BM$5+GanttPeriod-1&gt;=$E191),"━","")))</f>
        <v/>
      </c>
      <c r="BN191" s="69" t="str">
        <f aca="false">IF($E191="","",IF($M191,IF(AND($G191&gt;=BN$5,$G191&lt;BN$5+GanttPeriod),"◆",IF(AND($E191&gt;=BN$5,$E191&lt;BN$5+GanttPeriod),"◇","")),IF(AND(BN$5&lt;=$F191,BN$5+GanttPeriod-1&gt;=$E191),"━","")))</f>
        <v/>
      </c>
      <c r="BO191" s="69" t="str">
        <f aca="false">IF($E191="","",IF($M191,IF(AND($G191&gt;=BO$5,$G191&lt;BO$5+GanttPeriod),"◆",IF(AND($E191&gt;=BO$5,$E191&lt;BO$5+GanttPeriod),"◇","")),IF(AND(BO$5&lt;=$F191,BO$5+GanttPeriod-1&gt;=$E191),"━","")))</f>
        <v/>
      </c>
      <c r="BP191" s="69" t="str">
        <f aca="false">IF($E191="","",IF($M191,IF(AND($G191&gt;=BP$5,$G191&lt;BP$5+GanttPeriod),"◆",IF(AND($E191&gt;=BP$5,$E191&lt;BP$5+GanttPeriod),"◇","")),IF(AND(BP$5&lt;=$F191,BP$5+GanttPeriod-1&gt;=$E191),"━","")))</f>
        <v/>
      </c>
      <c r="BQ191" s="69" t="str">
        <f aca="false">IF($E191="","",IF($M191,IF(AND($G191&gt;=BQ$5,$G191&lt;BQ$5+GanttPeriod),"◆",IF(AND($E191&gt;=BQ$5,$E191&lt;BQ$5+GanttPeriod),"◇","")),IF(AND(BQ$5&lt;=$F191,BQ$5+GanttPeriod-1&gt;=$E191),"━","")))</f>
        <v/>
      </c>
      <c r="BR191" s="69" t="str">
        <f aca="false">IF($E191="","",IF($M191,IF(AND($G191&gt;=BR$5,$G191&lt;BR$5+GanttPeriod),"◆",IF(AND($E191&gt;=BR$5,$E191&lt;BR$5+GanttPeriod),"◇","")),IF(AND(BR$5&lt;=$F191,BR$5+GanttPeriod-1&gt;=$E191),"━","")))</f>
        <v/>
      </c>
      <c r="BS191" s="69" t="str">
        <f aca="false">IF($E191="","",IF($M191,IF(AND($G191&gt;=BS$5,$G191&lt;BS$5+GanttPeriod),"◆",IF(AND($E191&gt;=BS$5,$E191&lt;BS$5+GanttPeriod),"◇","")),IF(AND(BS$5&lt;=$F191,BS$5+GanttPeriod-1&gt;=$E191),"━","")))</f>
        <v/>
      </c>
      <c r="BT191" s="69" t="str">
        <f aca="false">IF($E191="","",IF($M191,IF(AND($G191&gt;=BT$5,$G191&lt;BT$5+GanttPeriod),"◆",IF(AND($E191&gt;=BT$5,$E191&lt;BT$5+GanttPeriod),"◇","")),IF(AND(BT$5&lt;=$F191,BT$5+GanttPeriod-1&gt;=$E191),"━","")))</f>
        <v/>
      </c>
      <c r="BU191" s="69" t="str">
        <f aca="false">IF($E191="","",IF($M191,IF(AND($G191&gt;=BU$5,$G191&lt;BU$5+GanttPeriod),"◆",IF(AND($E191&gt;=BU$5,$E191&lt;BU$5+GanttPeriod),"◇","")),IF(AND(BU$5&lt;=$F191,BU$5+GanttPeriod-1&gt;=$E191),"━","")))</f>
        <v/>
      </c>
      <c r="BV191" s="69" t="str">
        <f aca="false">IF($E191="","",IF($M191,IF(AND($G191&gt;=BV$5,$G191&lt;BV$5+GanttPeriod),"◆",IF(AND($E191&gt;=BV$5,$E191&lt;BV$5+GanttPeriod),"◇","")),IF(AND(BV$5&lt;=$F191,BV$5+GanttPeriod-1&gt;=$E191),"━","")))</f>
        <v/>
      </c>
      <c r="BW191" s="69" t="str">
        <f aca="false">IF($E191="","",IF($M191,IF(AND($G191&gt;=BW$5,$G191&lt;BW$5+GanttPeriod),"◆",IF(AND($E191&gt;=BW$5,$E191&lt;BW$5+GanttPeriod),"◇","")),IF(AND(BW$5&lt;=$F191,BW$5+GanttPeriod-1&gt;=$E191),"━","")))</f>
        <v/>
      </c>
      <c r="BX191" s="69" t="str">
        <f aca="false">IF($E191="","",IF($M191,IF(AND($G191&gt;=BX$5,$G191&lt;BX$5+GanttPeriod),"◆",IF(AND($E191&gt;=BX$5,$E191&lt;BX$5+GanttPeriod),"◇","")),IF(AND(BX$5&lt;=$F191,BX$5+GanttPeriod-1&gt;=$E191),"━","")))</f>
        <v/>
      </c>
      <c r="BY191" s="69" t="str">
        <f aca="false">IF($E191="","",IF($M191,IF(AND($G191&gt;=BY$5,$G191&lt;BY$5+GanttPeriod),"◆",IF(AND($E191&gt;=BY$5,$E191&lt;BY$5+GanttPeriod),"◇","")),IF(AND(BY$5&lt;=$F191,BY$5+GanttPeriod-1&gt;=$E191),"━","")))</f>
        <v/>
      </c>
      <c r="BZ191" s="69" t="str">
        <f aca="false">IF($E191="","",IF($M191,IF(AND($G191&gt;=BZ$5,$G191&lt;BZ$5+GanttPeriod),"◆",IF(AND($E191&gt;=BZ$5,$E191&lt;BZ$5+GanttPeriod),"◇","")),IF(AND(BZ$5&lt;=$F191,BZ$5+GanttPeriod-1&gt;=$E191),"━","")))</f>
        <v/>
      </c>
      <c r="CA191" s="69" t="str">
        <f aca="false">IF($E191="","",IF($M191,IF(AND($G191&gt;=CA$5,$G191&lt;CA$5+GanttPeriod),"◆",IF(AND($E191&gt;=CA$5,$E191&lt;CA$5+GanttPeriod),"◇","")),IF(AND(CA$5&lt;=$F191,CA$5+GanttPeriod-1&gt;=$E191),"━","")))</f>
        <v/>
      </c>
      <c r="CB191" s="69" t="str">
        <f aca="false">IF($E191="","",IF($M191,IF(AND($G191&gt;=CB$5,$G191&lt;CB$5+GanttPeriod),"◆",IF(AND($E191&gt;=CB$5,$E191&lt;CB$5+GanttPeriod),"◇","")),IF(AND(CB$5&lt;=$F191,CB$5+GanttPeriod-1&gt;=$E191),"━","")))</f>
        <v/>
      </c>
      <c r="CC191" s="69" t="str">
        <f aca="false">IF($E191="","",IF($M191,IF(AND($G191&gt;=CC$5,$G191&lt;CC$5+GanttPeriod),"◆",IF(AND($E191&gt;=CC$5,$E191&lt;CC$5+GanttPeriod),"◇","")),IF(AND(CC$5&lt;=$F191,CC$5+GanttPeriod-1&gt;=$E191),"━","")))</f>
        <v/>
      </c>
      <c r="CD191" s="69" t="str">
        <f aca="false">IF($E191="","",IF($M191,IF(AND($G191&gt;=CD$5,$G191&lt;CD$5+GanttPeriod),"◆",IF(AND($E191&gt;=CD$5,$E191&lt;CD$5+GanttPeriod),"◇","")),IF(AND(CD$5&lt;=$F191,CD$5+GanttPeriod-1&gt;=$E191),"━","")))</f>
        <v/>
      </c>
      <c r="CE191" s="69" t="str">
        <f aca="false">IF($E191="","",IF($M191,IF(AND($G191&gt;=CE$5,$G191&lt;CE$5+GanttPeriod),"◆",IF(AND($E191&gt;=CE$5,$E191&lt;CE$5+GanttPeriod),"◇","")),IF(AND(CE$5&lt;=$F191,CE$5+GanttPeriod-1&gt;=$E191),"━","")))</f>
        <v/>
      </c>
      <c r="CF191" s="69" t="str">
        <f aca="false">IF($E191="","",IF($M191,IF(AND($G191&gt;=CF$5,$G191&lt;CF$5+GanttPeriod),"◆",IF(AND($E191&gt;=CF$5,$E191&lt;CF$5+GanttPeriod),"◇","")),IF(AND(CF$5&lt;=$F191,CF$5+GanttPeriod-1&gt;=$E191),"━","")))</f>
        <v/>
      </c>
      <c r="CG191" s="69" t="str">
        <f aca="false">IF($E191="","",IF($M191,IF(AND($G191&gt;=CG$5,$G191&lt;CG$5+GanttPeriod),"◆",IF(AND($E191&gt;=CG$5,$E191&lt;CG$5+GanttPeriod),"◇","")),IF(AND(CG$5&lt;=$F191,CG$5+GanttPeriod-1&gt;=$E191),"━","")))</f>
        <v/>
      </c>
      <c r="CH191" s="69" t="str">
        <f aca="false">IF($E191="","",IF($M191,IF(AND($G191&gt;=CH$5,$G191&lt;CH$5+GanttPeriod),"◆",IF(AND($E191&gt;=CH$5,$E191&lt;CH$5+GanttPeriod),"◇","")),IF(AND(CH$5&lt;=$F191,CH$5+GanttPeriod-1&gt;=$E191),"━","")))</f>
        <v/>
      </c>
      <c r="CI191" s="69" t="str">
        <f aca="false">IF($E191="","",IF($M191,IF(AND($G191&gt;=CI$5,$G191&lt;CI$5+GanttPeriod),"◆",IF(AND($E191&gt;=CI$5,$E191&lt;CI$5+GanttPeriod),"◇","")),IF(AND(CI$5&lt;=$F191,CI$5+GanttPeriod-1&gt;=$E191),"━","")))</f>
        <v/>
      </c>
      <c r="CJ191" s="69" t="str">
        <f aca="false">IF($E191="","",IF($M191,IF(AND($G191&gt;=CJ$5,$G191&lt;CJ$5+GanttPeriod),"◆",IF(AND($E191&gt;=CJ$5,$E191&lt;CJ$5+GanttPeriod),"◇","")),IF(AND(CJ$5&lt;=$F191,CJ$5+GanttPeriod-1&gt;=$E191),"━","")))</f>
        <v/>
      </c>
      <c r="CK191" s="69" t="str">
        <f aca="false">IF($E191="","",IF($M191,IF(AND($G191&gt;=CK$5,$G191&lt;CK$5+GanttPeriod),"◆",IF(AND($E191&gt;=CK$5,$E191&lt;CK$5+GanttPeriod),"◇","")),IF(AND(CK$5&lt;=$F191,CK$5+GanttPeriod-1&gt;=$E191),"━","")))</f>
        <v/>
      </c>
      <c r="CL191" s="69" t="str">
        <f aca="false">IF($E191="","",IF($M191,IF(AND($G191&gt;=CL$5,$G191&lt;CL$5+GanttPeriod),"◆",IF(AND($E191&gt;=CL$5,$E191&lt;CL$5+GanttPeriod),"◇","")),IF(AND(CL$5&lt;=$F191,CL$5+GanttPeriod-1&gt;=$E191),"━","")))</f>
        <v/>
      </c>
      <c r="CM191" s="69" t="str">
        <f aca="false">IF($E191="","",IF($M191,IF(AND($G191&gt;=CM$5,$G191&lt;CM$5+GanttPeriod),"◆",IF(AND($E191&gt;=CM$5,$E191&lt;CM$5+GanttPeriod),"◇","")),IF(AND(CM$5&lt;=$F191,CM$5+GanttPeriod-1&gt;=$E191),"━","")))</f>
        <v/>
      </c>
      <c r="CN191" s="69" t="str">
        <f aca="false">IF($E191="","",IF($M191,IF(AND($G191&gt;=CN$5,$G191&lt;CN$5+GanttPeriod),"◆",IF(AND($E191&gt;=CN$5,$E191&lt;CN$5+GanttPeriod),"◇","")),IF(AND(CN$5&lt;=$F191,CN$5+GanttPeriod-1&gt;=$E191),"━","")))</f>
        <v/>
      </c>
      <c r="CO191" s="69" t="str">
        <f aca="false">IF($E191="","",IF($M191,IF(AND($G191&gt;=CO$5,$G191&lt;CO$5+GanttPeriod),"◆",IF(AND($E191&gt;=CO$5,$E191&lt;CO$5+GanttPeriod),"◇","")),IF(AND(CO$5&lt;=$F191,CO$5+GanttPeriod-1&gt;=$E191),"━","")))</f>
        <v/>
      </c>
      <c r="CP191" s="69" t="str">
        <f aca="false">IF($E191="","",IF($M191,IF(AND($G191&gt;=CP$5,$G191&lt;CP$5+GanttPeriod),"◆",IF(AND($E191&gt;=CP$5,$E191&lt;CP$5+GanttPeriod),"◇","")),IF(AND(CP$5&lt;=$F191,CP$5+GanttPeriod-1&gt;=$E191),"━","")))</f>
        <v/>
      </c>
      <c r="CQ191" s="69" t="str">
        <f aca="false">IF($E191="","",IF($M191,IF(AND($G191&gt;=CQ$5,$G191&lt;CQ$5+GanttPeriod),"◆",IF(AND($E191&gt;=CQ$5,$E191&lt;CQ$5+GanttPeriod),"◇","")),IF(AND(CQ$5&lt;=$F191,CQ$5+GanttPeriod-1&gt;=$E191),"━","")))</f>
        <v/>
      </c>
      <c r="CR191" s="69" t="str">
        <f aca="false">IF($E191="","",IF($M191,IF(AND($G191&gt;=CR$5,$G191&lt;CR$5+GanttPeriod),"◆",IF(AND($E191&gt;=CR$5,$E191&lt;CR$5+GanttPeriod),"◇","")),IF(AND(CR$5&lt;=$F191,CR$5+GanttPeriod-1&gt;=$E191),"━","")))</f>
        <v/>
      </c>
      <c r="CS191" s="69" t="str">
        <f aca="false">IF($E191="","",IF($M191,IF(AND($G191&gt;=CS$5,$G191&lt;CS$5+GanttPeriod),"◆",IF(AND($E191&gt;=CS$5,$E191&lt;CS$5+GanttPeriod),"◇","")),IF(AND(CS$5&lt;=$F191,CS$5+GanttPeriod-1&gt;=$E191),"━","")))</f>
        <v/>
      </c>
      <c r="CT191" s="69" t="str">
        <f aca="false">IF($E191="","",IF($M191,IF(AND($G191&gt;=CT$5,$G191&lt;CT$5+GanttPeriod),"◆",IF(AND($E191&gt;=CT$5,$E191&lt;CT$5+GanttPeriod),"◇","")),IF(AND(CT$5&lt;=$F191,CT$5+GanttPeriod-1&gt;=$E191),"━","")))</f>
        <v/>
      </c>
      <c r="CU191" s="69" t="str">
        <f aca="false">IF($E191="","",IF($M191,IF(AND($G191&gt;=CU$5,$G191&lt;CU$5+GanttPeriod),"◆",IF(AND($E191&gt;=CU$5,$E191&lt;CU$5+GanttPeriod),"◇","")),IF(AND(CU$5&lt;=$F191,CU$5+GanttPeriod-1&gt;=$E191),"━","")))</f>
        <v/>
      </c>
      <c r="CV191" s="69" t="str">
        <f aca="false">IF($E191="","",IF($M191,IF(AND($G191&gt;=CV$5,$G191&lt;CV$5+GanttPeriod),"◆",IF(AND($E191&gt;=CV$5,$E191&lt;CV$5+GanttPeriod),"◇","")),IF(AND(CV$5&lt;=$F191,CV$5+GanttPeriod-1&gt;=$E191),"━","")))</f>
        <v/>
      </c>
      <c r="CW191" s="69" t="str">
        <f aca="false">IF($E191="","",IF($M191,IF(AND($G191&gt;=CW$5,$G191&lt;CW$5+GanttPeriod),"◆",IF(AND($E191&gt;=CW$5,$E191&lt;CW$5+GanttPeriod),"◇","")),IF(AND(CW$5&lt;=$F191,CW$5+GanttPeriod-1&gt;=$E191),"━","")))</f>
        <v/>
      </c>
      <c r="CX191" s="69" t="str">
        <f aca="false">IF($E191="","",IF($M191,IF(AND($G191&gt;=CX$5,$G191&lt;CX$5+GanttPeriod),"◆",IF(AND($E191&gt;=CX$5,$E191&lt;CX$5+GanttPeriod),"◇","")),IF(AND(CX$5&lt;=$F191,CX$5+GanttPeriod-1&gt;=$E191),"━","")))</f>
        <v/>
      </c>
      <c r="CY191" s="69" t="str">
        <f aca="false">IF($E191="","",IF($M191,IF(AND($G191&gt;=CY$5,$G191&lt;CY$5+GanttPeriod),"◆",IF(AND($E191&gt;=CY$5,$E191&lt;CY$5+GanttPeriod),"◇","")),IF(AND(CY$5&lt;=$F191,CY$5+GanttPeriod-1&gt;=$E191),"━","")))</f>
        <v/>
      </c>
      <c r="CZ191" s="69" t="str">
        <f aca="false">IF($E191="","",IF($M191,IF(AND($G191&gt;=CZ$5,$G191&lt;CZ$5+GanttPeriod),"◆",IF(AND($E191&gt;=CZ$5,$E191&lt;CZ$5+GanttPeriod),"◇","")),IF(AND(CZ$5&lt;=$F191,CZ$5+GanttPeriod-1&gt;=$E191),"━","")))</f>
        <v/>
      </c>
      <c r="DA191" s="69" t="str">
        <f aca="false">IF($E191="","",IF($M191,IF(AND($G191&gt;=DA$5,$G191&lt;DA$5+GanttPeriod),"◆",IF(AND($E191&gt;=DA$5,$E191&lt;DA$5+GanttPeriod),"◇","")),IF(AND(DA$5&lt;=$F191,DA$5+GanttPeriod-1&gt;=$E191),"━","")))</f>
        <v/>
      </c>
      <c r="DB191" s="69" t="str">
        <f aca="false">IF($E191="","",IF($M191,IF(AND($G191&gt;=DB$5,$G191&lt;DB$5+GanttPeriod),"◆",IF(AND($E191&gt;=DB$5,$E191&lt;DB$5+GanttPeriod),"◇","")),IF(AND(DB$5&lt;=$F191,DB$5+GanttPeriod-1&gt;=$E191),"━","")))</f>
        <v/>
      </c>
      <c r="DC191" s="69" t="str">
        <f aca="false">IF($E191="","",IF($M191,IF(AND($G191&gt;=DC$5,$G191&lt;DC$5+GanttPeriod),"◆",IF(AND($E191&gt;=DC$5,$E191&lt;DC$5+GanttPeriod),"◇","")),IF(AND(DC$5&lt;=$F191,DC$5+GanttPeriod-1&gt;=$E191),"━","")))</f>
        <v/>
      </c>
      <c r="DD191" s="69" t="str">
        <f aca="false">IF($E191="","",IF($M191,IF(AND($G191&gt;=DD$5,$G191&lt;DD$5+GanttPeriod),"◆",IF(AND($E191&gt;=DD$5,$E191&lt;DD$5+GanttPeriod),"◇","")),IF(AND(DD$5&lt;=$F191,DD$5+GanttPeriod-1&gt;=$E191),"━","")))</f>
        <v/>
      </c>
      <c r="DE191" s="69" t="str">
        <f aca="false">IF($E191="","",IF($M191,IF(AND($G191&gt;=DE$5,$G191&lt;DE$5+GanttPeriod),"◆",IF(AND($E191&gt;=DE$5,$E191&lt;DE$5+GanttPeriod),"◇","")),IF(AND(DE$5&lt;=$F191,DE$5+GanttPeriod-1&gt;=$E191),"━","")))</f>
        <v/>
      </c>
      <c r="DF191" s="69" t="str">
        <f aca="false">IF($E191="","",IF($M191,IF(AND($G191&gt;=DF$5,$G191&lt;DF$5+GanttPeriod),"◆",IF(AND($E191&gt;=DF$5,$E191&lt;DF$5+GanttPeriod),"◇","")),IF(AND(DF$5&lt;=$F191,DF$5+GanttPeriod-1&gt;=$E191),"━","")))</f>
        <v/>
      </c>
      <c r="DG191" s="69" t="str">
        <f aca="false">IF($E191="","",IF($M191,IF(AND($G191&gt;=DG$5,$G191&lt;DG$5+GanttPeriod),"◆",IF(AND($E191&gt;=DG$5,$E191&lt;DG$5+GanttPeriod),"◇","")),IF(AND(DG$5&lt;=$F191,DG$5+GanttPeriod-1&gt;=$E191),"━","")))</f>
        <v/>
      </c>
      <c r="DH191" s="69" t="str">
        <f aca="false">IF($E191="","",IF($M191,IF(AND($G191&gt;=DH$5,$G191&lt;DH$5+GanttPeriod),"◆",IF(AND($E191&gt;=DH$5,$E191&lt;DH$5+GanttPeriod),"◇","")),IF(AND(DH$5&lt;=$F191,DH$5+GanttPeriod-1&gt;=$E191),"━","")))</f>
        <v/>
      </c>
      <c r="DI191" s="69" t="str">
        <f aca="false">IF($E191="","",IF($M191,IF(AND($G191&gt;=DI$5,$G191&lt;DI$5+GanttPeriod),"◆",IF(AND($E191&gt;=DI$5,$E191&lt;DI$5+GanttPeriod),"◇","")),IF(AND(DI$5&lt;=$F191,DI$5+GanttPeriod-1&gt;=$E191),"━","")))</f>
        <v/>
      </c>
      <c r="DJ191" s="69" t="str">
        <f aca="false">IF($E191="","",IF($M191,IF(AND($G191&gt;=DJ$5,$G191&lt;DJ$5+GanttPeriod),"◆",IF(AND($E191&gt;=DJ$5,$E191&lt;DJ$5+GanttPeriod),"◇","")),IF(AND(DJ$5&lt;=$F191,DJ$5+GanttPeriod-1&gt;=$E191),"━","")))</f>
        <v/>
      </c>
      <c r="DK191" s="69" t="str">
        <f aca="false">IF($E191="","",IF($M191,IF(AND($G191&gt;=DK$5,$G191&lt;DK$5+GanttPeriod),"◆",IF(AND($E191&gt;=DK$5,$E191&lt;DK$5+GanttPeriod),"◇","")),IF(AND(DK$5&lt;=$F191,DK$5+GanttPeriod-1&gt;=$E191),"━","")))</f>
        <v/>
      </c>
      <c r="DL191" s="69" t="str">
        <f aca="false">IF($E191="","",IF($M191,IF(AND($G191&gt;=DL$5,$G191&lt;DL$5+GanttPeriod),"◆",IF(AND($E191&gt;=DL$5,$E191&lt;DL$5+GanttPeriod),"◇","")),IF(AND(DL$5&lt;=$F191,DL$5+GanttPeriod-1&gt;=$E191),"━","")))</f>
        <v/>
      </c>
      <c r="DM191" s="69" t="str">
        <f aca="false">IF($E191="","",IF($M191,IF(AND($G191&gt;=DM$5,$G191&lt;DM$5+GanttPeriod),"◆",IF(AND($E191&gt;=DM$5,$E191&lt;DM$5+GanttPeriod),"◇","")),IF(AND(DM$5&lt;=$F191,DM$5+GanttPeriod-1&gt;=$E191),"━","")))</f>
        <v/>
      </c>
      <c r="DN191" s="69" t="str">
        <f aca="false">IF($E191="","",IF($M191,IF(AND($G191&gt;=DN$5,$G191&lt;DN$5+GanttPeriod),"◆",IF(AND($E191&gt;=DN$5,$E191&lt;DN$5+GanttPeriod),"◇","")),IF(AND(DN$5&lt;=$F191,DN$5+GanttPeriod-1&gt;=$E191),"━","")))</f>
        <v/>
      </c>
      <c r="DO191" s="69" t="str">
        <f aca="false">IF($E191="","",IF($M191,IF(AND($G191&gt;=DO$5,$G191&lt;DO$5+GanttPeriod),"◆",IF(AND($E191&gt;=DO$5,$E191&lt;DO$5+GanttPeriod),"◇","")),IF(AND(DO$5&lt;=$F191,DO$5+GanttPeriod-1&gt;=$E191),"━","")))</f>
        <v/>
      </c>
      <c r="DP191" s="69" t="str">
        <f aca="false">IF($E191="","",IF($M191,IF(AND($G191&gt;=DP$5,$G191&lt;DP$5+GanttPeriod),"◆",IF(AND($E191&gt;=DP$5,$E191&lt;DP$5+GanttPeriod),"◇","")),IF(AND(DP$5&lt;=$F191,DP$5+GanttPeriod-1&gt;=$E191),"━","")))</f>
        <v/>
      </c>
      <c r="DQ191" s="69" t="str">
        <f aca="false">IF($E191="","",IF($M191,IF(AND($G191&gt;=DQ$5,$G191&lt;DQ$5+GanttPeriod),"◆",IF(AND($E191&gt;=DQ$5,$E191&lt;DQ$5+GanttPeriod),"◇","")),IF(AND(DQ$5&lt;=$F191,DQ$5+GanttPeriod-1&gt;=$E191),"━","")))</f>
        <v/>
      </c>
      <c r="DR191" s="69" t="str">
        <f aca="false">IF($E191="","",IF($M191,IF(AND($G191&gt;=DR$5,$G191&lt;DR$5+GanttPeriod),"◆",IF(AND($E191&gt;=DR$5,$E191&lt;DR$5+GanttPeriod),"◇","")),IF(AND(DR$5&lt;=$F191,DR$5+GanttPeriod-1&gt;=$E191),"━","")))</f>
        <v/>
      </c>
      <c r="DS191" s="69" t="str">
        <f aca="false">IF($E191="","",IF($M191,IF(AND($G191&gt;=DS$5,$G191&lt;DS$5+GanttPeriod),"◆",IF(AND($E191&gt;=DS$5,$E191&lt;DS$5+GanttPeriod),"◇","")),IF(AND(DS$5&lt;=$F191,DS$5+GanttPeriod-1&gt;=$E191),"━","")))</f>
        <v/>
      </c>
      <c r="DT191" s="69" t="str">
        <f aca="false">IF($E191="","",IF($M191,IF(AND($G191&gt;=DT$5,$G191&lt;DT$5+GanttPeriod),"◆",IF(AND($E191&gt;=DT$5,$E191&lt;DT$5+GanttPeriod),"◇","")),IF(AND(DT$5&lt;=$F191,DT$5+GanttPeriod-1&gt;=$E191),"━","")))</f>
        <v/>
      </c>
      <c r="DU191" s="69" t="str">
        <f aca="false">IF($E191="","",IF($M191,IF(AND($G191&gt;=DU$5,$G191&lt;DU$5+GanttPeriod),"◆",IF(AND($E191&gt;=DU$5,$E191&lt;DU$5+GanttPeriod),"◇","")),IF(AND(DU$5&lt;=$F191,DU$5+GanttPeriod-1&gt;=$E191),"━","")))</f>
        <v/>
      </c>
      <c r="DV191" s="69" t="str">
        <f aca="false">IF($E191="","",IF($M191,IF(AND($G191&gt;=DV$5,$G191&lt;DV$5+GanttPeriod),"◆",IF(AND($E191&gt;=DV$5,$E191&lt;DV$5+GanttPeriod),"◇","")),IF(AND(DV$5&lt;=$F191,DV$5+GanttPeriod-1&gt;=$E191),"━","")))</f>
        <v/>
      </c>
      <c r="DW191" s="69" t="str">
        <f aca="false">IF($E191="","",IF($M191,IF(AND($G191&gt;=DW$5,$G191&lt;DW$5+GanttPeriod),"◆",IF(AND($E191&gt;=DW$5,$E191&lt;DW$5+GanttPeriod),"◇","")),IF(AND(DW$5&lt;=$F191,DW$5+GanttPeriod-1&gt;=$E191),"━","")))</f>
        <v/>
      </c>
      <c r="DX191" s="69" t="str">
        <f aca="false">IF($E191="","",IF($M191,IF(AND($G191&gt;=DX$5,$G191&lt;DX$5+GanttPeriod),"◆",IF(AND($E191&gt;=DX$5,$E191&lt;DX$5+GanttPeriod),"◇","")),IF(AND(DX$5&lt;=$F191,DX$5+GanttPeriod-1&gt;=$E191),"━","")))</f>
        <v/>
      </c>
      <c r="DY191" s="69" t="str">
        <f aca="false">IF($E191="","",IF($M191,IF(AND($G191&gt;=DY$5,$G191&lt;DY$5+GanttPeriod),"◆",IF(AND($E191&gt;=DY$5,$E191&lt;DY$5+GanttPeriod),"◇","")),IF(AND(DY$5&lt;=$F191,DY$5+GanttPeriod-1&gt;=$E191),"━","")))</f>
        <v/>
      </c>
      <c r="DZ191" s="69" t="str">
        <f aca="false">IF($E191="","",IF($M191,IF(AND($G191&gt;=DZ$5,$G191&lt;DZ$5+GanttPeriod),"◆",IF(AND($E191&gt;=DZ$5,$E191&lt;DZ$5+GanttPeriod),"◇","")),IF(AND(DZ$5&lt;=$F191,DZ$5+GanttPeriod-1&gt;=$E191),"━","")))</f>
        <v/>
      </c>
      <c r="EA191" s="69" t="str">
        <f aca="false">IF($E191="","",IF($M191,IF(AND($G191&gt;=EA$5,$G191&lt;EA$5+GanttPeriod),"◆",IF(AND($E191&gt;=EA$5,$E191&lt;EA$5+GanttPeriod),"◇","")),IF(AND(EA$5&lt;=$F191,EA$5+GanttPeriod-1&gt;=$E191),"━","")))</f>
        <v/>
      </c>
      <c r="EB191" s="69" t="str">
        <f aca="false">IF($E191="","",IF($M191,IF(AND($G191&gt;=EB$5,$G191&lt;EB$5+GanttPeriod),"◆",IF(AND($E191&gt;=EB$5,$E191&lt;EB$5+GanttPeriod),"◇","")),IF(AND(EB$5&lt;=$F191,EB$5+GanttPeriod-1&gt;=$E191),"━","")))</f>
        <v/>
      </c>
      <c r="EC191" s="69" t="str">
        <f aca="false">IF($E191="","",IF($M191,IF(AND($G191&gt;=EC$5,$G191&lt;EC$5+GanttPeriod),"◆",IF(AND($E191&gt;=EC$5,$E191&lt;EC$5+GanttPeriod),"◇","")),IF(AND(EC$5&lt;=$F191,EC$5+GanttPeriod-1&gt;=$E191),"━","")))</f>
        <v/>
      </c>
      <c r="ED191" s="69" t="str">
        <f aca="false">IF($E191="","",IF($M191,IF(AND($G191&gt;=ED$5,$G191&lt;ED$5+GanttPeriod),"◆",IF(AND($E191&gt;=ED$5,$E191&lt;ED$5+GanttPeriod),"◇","")),IF(AND(ED$5&lt;=$F191,ED$5+GanttPeriod-1&gt;=$E191),"━","")))</f>
        <v/>
      </c>
      <c r="EE191" s="69" t="str">
        <f aca="false">IF($E191="","",IF($M191,IF(AND($G191&gt;=EE$5,$G191&lt;EE$5+GanttPeriod),"◆",IF(AND($E191&gt;=EE$5,$E191&lt;EE$5+GanttPeriod),"◇","")),IF(AND(EE$5&lt;=$F191,EE$5+GanttPeriod-1&gt;=$E191),"━","")))</f>
        <v/>
      </c>
      <c r="EF191" s="69" t="str">
        <f aca="false">IF($E191="","",IF($M191,IF(AND($G191&gt;=EF$5,$G191&lt;EF$5+GanttPeriod),"◆",IF(AND($E191&gt;=EF$5,$E191&lt;EF$5+GanttPeriod),"◇","")),IF(AND(EF$5&lt;=$F191,EF$5+GanttPeriod-1&gt;=$E191),"━","")))</f>
        <v/>
      </c>
      <c r="EG191" s="69" t="str">
        <f aca="false">IF($E191="","",IF($M191,IF(AND($G191&gt;=EG$5,$G191&lt;EG$5+GanttPeriod),"◆",IF(AND($E191&gt;=EG$5,$E191&lt;EG$5+GanttPeriod),"◇","")),IF(AND(EG$5&lt;=$F191,EG$5+GanttPeriod-1&gt;=$E191),"━","")))</f>
        <v/>
      </c>
      <c r="EH191" s="69" t="str">
        <f aca="false">IF($E191="","",IF($M191,IF(AND($G191&gt;=EH$5,$G191&lt;EH$5+GanttPeriod),"◆",IF(AND($E191&gt;=EH$5,$E191&lt;EH$5+GanttPeriod),"◇","")),IF(AND(EH$5&lt;=$F191,EH$5+GanttPeriod-1&gt;=$E191),"━","")))</f>
        <v/>
      </c>
      <c r="EI191" s="69" t="str">
        <f aca="false">IF($E191="","",IF($M191,IF(AND($G191&gt;=EI$5,$G191&lt;EI$5+GanttPeriod),"◆",IF(AND($E191&gt;=EI$5,$E191&lt;EI$5+GanttPeriod),"◇","")),IF(AND(EI$5&lt;=$F191,EI$5+GanttPeriod-1&gt;=$E191),"━","")))</f>
        <v/>
      </c>
      <c r="EJ191" s="69" t="str">
        <f aca="false">IF($E191="","",IF($M191,IF(AND($G191&gt;=EJ$5,$G191&lt;EJ$5+GanttPeriod),"◆",IF(AND($E191&gt;=EJ$5,$E191&lt;EJ$5+GanttPeriod),"◇","")),IF(AND(EJ$5&lt;=$F191,EJ$5+GanttPeriod-1&gt;=$E191),"━","")))</f>
        <v/>
      </c>
      <c r="EK191" s="69" t="str">
        <f aca="false">IF($E191="","",IF($M191,IF(AND($G191&gt;=EK$5,$G191&lt;EK$5+GanttPeriod),"◆",IF(AND($E191&gt;=EK$5,$E191&lt;EK$5+GanttPeriod),"◇","")),IF(AND(EK$5&lt;=$F191,EK$5+GanttPeriod-1&gt;=$E191),"━","")))</f>
        <v/>
      </c>
      <c r="EL191" s="69" t="str">
        <f aca="false">IF($E191="","",IF($M191,IF(AND($G191&gt;=EL$5,$G191&lt;EL$5+GanttPeriod),"◆",IF(AND($E191&gt;=EL$5,$E191&lt;EL$5+GanttPeriod),"◇","")),IF(AND(EL$5&lt;=$F191,EL$5+GanttPeriod-1&gt;=$E191),"━","")))</f>
        <v/>
      </c>
      <c r="EM191" s="69" t="str">
        <f aca="false">IF($E191="","",IF($M191,IF(AND($G191&gt;=EM$5,$G191&lt;EM$5+GanttPeriod),"◆",IF(AND($E191&gt;=EM$5,$E191&lt;EM$5+GanttPeriod),"◇","")),IF(AND(EM$5&lt;=$F191,EM$5+GanttPeriod-1&gt;=$E191),"━","")))</f>
        <v/>
      </c>
      <c r="EN191" s="69" t="str">
        <f aca="false">IF($E191="","",IF($M191,IF(AND($G191&gt;=EN$5,$G191&lt;EN$5+GanttPeriod),"◆",IF(AND($E191&gt;=EN$5,$E191&lt;EN$5+GanttPeriod),"◇","")),IF(AND(EN$5&lt;=$F191,EN$5+GanttPeriod-1&gt;=$E191),"━","")))</f>
        <v/>
      </c>
      <c r="EO191" s="69" t="str">
        <f aca="false">IF($E191="","",IF($M191,IF(AND($G191&gt;=EO$5,$G191&lt;EO$5+GanttPeriod),"◆",IF(AND($E191&gt;=EO$5,$E191&lt;EO$5+GanttPeriod),"◇","")),IF(AND(EO$5&lt;=$F191,EO$5+GanttPeriod-1&gt;=$E191),"━","")))</f>
        <v/>
      </c>
      <c r="EP191" s="69" t="str">
        <f aca="false">IF($E191="","",IF($M191,IF(AND($G191&gt;=EP$5,$G191&lt;EP$5+GanttPeriod),"◆",IF(AND($E191&gt;=EP$5,$E191&lt;EP$5+GanttPeriod),"◇","")),IF(AND(EP$5&lt;=$F191,EP$5+GanttPeriod-1&gt;=$E191),"━","")))</f>
        <v/>
      </c>
      <c r="EQ191" s="69" t="str">
        <f aca="false">IF($E191="","",IF($M191,IF(AND($G191&gt;=EQ$5,$G191&lt;EQ$5+GanttPeriod),"◆",IF(AND($E191&gt;=EQ$5,$E191&lt;EQ$5+GanttPeriod),"◇","")),IF(AND(EQ$5&lt;=$F191,EQ$5+GanttPeriod-1&gt;=$E191),"━","")))</f>
        <v/>
      </c>
      <c r="ER191" s="69" t="str">
        <f aca="false">IF($E191="","",IF($M191,IF(AND($G191&gt;=ER$5,$G191&lt;ER$5+GanttPeriod),"◆",IF(AND($E191&gt;=ER$5,$E191&lt;ER$5+GanttPeriod),"◇","")),IF(AND(ER$5&lt;=$F191,ER$5+GanttPeriod-1&gt;=$E191),"━","")))</f>
        <v/>
      </c>
      <c r="ES191" s="69" t="str">
        <f aca="false">IF($E191="","",IF($M191,IF(AND($G191&gt;=ES$5,$G191&lt;ES$5+GanttPeriod),"◆",IF(AND($E191&gt;=ES$5,$E191&lt;ES$5+GanttPeriod),"◇","")),IF(AND(ES$5&lt;=$F191,ES$5+GanttPeriod-1&gt;=$E191),"━","")))</f>
        <v/>
      </c>
      <c r="ET191" s="69" t="str">
        <f aca="false">IF($E191="","",IF($M191,IF(AND($G191&gt;=ET$5,$G191&lt;ET$5+GanttPeriod),"◆",IF(AND($E191&gt;=ET$5,$E191&lt;ET$5+GanttPeriod),"◇","")),IF(AND(ET$5&lt;=$F191,ET$5+GanttPeriod-1&gt;=$E191),"━","")))</f>
        <v/>
      </c>
      <c r="EU191" s="69" t="str">
        <f aca="false">IF($E191="","",IF($M191,IF(AND($G191&gt;=EU$5,$G191&lt;EU$5+GanttPeriod),"◆",IF(AND($E191&gt;=EU$5,$E191&lt;EU$5+GanttPeriod),"◇","")),IF(AND(EU$5&lt;=$F191,EU$5+GanttPeriod-1&gt;=$E191),"━","")))</f>
        <v/>
      </c>
      <c r="EV191" s="69" t="str">
        <f aca="false">IF($E191="","",IF($M191,IF(AND($G191&gt;=EV$5,$G191&lt;EV$5+GanttPeriod),"◆",IF(AND($E191&gt;=EV$5,$E191&lt;EV$5+GanttPeriod),"◇","")),IF(AND(EV$5&lt;=$F191,EV$5+GanttPeriod-1&gt;=$E191),"━","")))</f>
        <v/>
      </c>
      <c r="EW191" s="69" t="str">
        <f aca="false">IF($E191="","",IF($M191,IF(AND($G191&gt;=EW$5,$G191&lt;EW$5+GanttPeriod),"◆",IF(AND($E191&gt;=EW$5,$E191&lt;EW$5+GanttPeriod),"◇","")),IF(AND(EW$5&lt;=$F191,EW$5+GanttPeriod-1&gt;=$E191),"━","")))</f>
        <v/>
      </c>
      <c r="EX191" s="69" t="str">
        <f aca="false">IF($E191="","",IF($M191,IF(AND($G191&gt;=EX$5,$G191&lt;EX$5+GanttPeriod),"◆",IF(AND($E191&gt;=EX$5,$E191&lt;EX$5+GanttPeriod),"◇","")),IF(AND(EX$5&lt;=$F191,EX$5+GanttPeriod-1&gt;=$E191),"━","")))</f>
        <v/>
      </c>
      <c r="EY191" s="69" t="str">
        <f aca="false">IF($E191="","",IF($M191,IF(AND($G191&gt;=EY$5,$G191&lt;EY$5+GanttPeriod),"◆",IF(AND($E191&gt;=EY$5,$E191&lt;EY$5+GanttPeriod),"◇","")),IF(AND(EY$5&lt;=$F191,EY$5+GanttPeriod-1&gt;=$E191),"━","")))</f>
        <v/>
      </c>
      <c r="EZ191" s="69" t="str">
        <f aca="false">IF($E191="","",IF($M191,IF(AND($G191&gt;=EZ$5,$G191&lt;EZ$5+GanttPeriod),"◆",IF(AND($E191&gt;=EZ$5,$E191&lt;EZ$5+GanttPeriod),"◇","")),IF(AND(EZ$5&lt;=$F191,EZ$5+GanttPeriod-1&gt;=$E191),"━","")))</f>
        <v/>
      </c>
      <c r="FA191" s="69" t="str">
        <f aca="false">IF($E191="","",IF($M191,IF(AND($G191&gt;=FA$5,$G191&lt;FA$5+GanttPeriod),"◆",IF(AND($E191&gt;=FA$5,$E191&lt;FA$5+GanttPeriod),"◇","")),IF(AND(FA$5&lt;=$F191,FA$5+GanttPeriod-1&gt;=$E191),"━","")))</f>
        <v/>
      </c>
      <c r="FB191" s="69" t="str">
        <f aca="false">IF($E191="","",IF($M191,IF(AND($G191&gt;=FB$5,$G191&lt;FB$5+GanttPeriod),"◆",IF(AND($E191&gt;=FB$5,$E191&lt;FB$5+GanttPeriod),"◇","")),IF(AND(FB$5&lt;=$F191,FB$5+GanttPeriod-1&gt;=$E191),"━","")))</f>
        <v/>
      </c>
      <c r="FC191" s="69" t="str">
        <f aca="false">IF($E191="","",IF($M191,IF(AND($G191&gt;=FC$5,$G191&lt;FC$5+GanttPeriod),"◆",IF(AND($E191&gt;=FC$5,$E191&lt;FC$5+GanttPeriod),"◇","")),IF(AND(FC$5&lt;=$F191,FC$5+GanttPeriod-1&gt;=$E191),"━","")))</f>
        <v/>
      </c>
      <c r="FD191" s="69" t="str">
        <f aca="false">IF($E191="","",IF($M191,IF(AND($G191&gt;=FD$5,$G191&lt;FD$5+GanttPeriod),"◆",IF(AND($E191&gt;=FD$5,$E191&lt;FD$5+GanttPeriod),"◇","")),IF(AND(FD$5&lt;=$F191,FD$5+GanttPeriod-1&gt;=$E191),"━","")))</f>
        <v/>
      </c>
      <c r="FE191" s="69" t="str">
        <f aca="false">IF($E191="","",IF($M191,IF(AND($G191&gt;=FE$5,$G191&lt;FE$5+GanttPeriod),"◆",IF(AND($E191&gt;=FE$5,$E191&lt;FE$5+GanttPeriod),"◇","")),IF(AND(FE$5&lt;=$F191,FE$5+GanttPeriod-1&gt;=$E191),"━","")))</f>
        <v/>
      </c>
      <c r="FF191" s="69" t="str">
        <f aca="false">IF($E191="","",IF($M191,IF(AND($G191&gt;=FF$5,$G191&lt;FF$5+GanttPeriod),"◆",IF(AND($E191&gt;=FF$5,$E191&lt;FF$5+GanttPeriod),"◇","")),IF(AND(FF$5&lt;=$F191,FF$5+GanttPeriod-1&gt;=$E191),"━","")))</f>
        <v/>
      </c>
      <c r="FG191" s="69" t="str">
        <f aca="false">IF($E191="","",IF($M191,IF(AND($G191&gt;=FG$5,$G191&lt;FG$5+GanttPeriod),"◆",IF(AND($E191&gt;=FG$5,$E191&lt;FG$5+GanttPeriod),"◇","")),IF(AND(FG$5&lt;=$F191,FG$5+GanttPeriod-1&gt;=$E191),"━","")))</f>
        <v/>
      </c>
      <c r="FH191" s="69" t="str">
        <f aca="false">IF($E191="","",IF($M191,IF(AND($G191&gt;=FH$5,$G191&lt;FH$5+GanttPeriod),"◆",IF(AND($E191&gt;=FH$5,$E191&lt;FH$5+GanttPeriod),"◇","")),IF(AND(FH$5&lt;=$F191,FH$5+GanttPeriod-1&gt;=$E191),"━","")))</f>
        <v/>
      </c>
      <c r="FI191" s="69" t="str">
        <f aca="false">IF($E191="","",IF($M191,IF(AND($G191&gt;=FI$5,$G191&lt;FI$5+GanttPeriod),"◆",IF(AND($E191&gt;=FI$5,$E191&lt;FI$5+GanttPeriod),"◇","")),IF(AND(FI$5&lt;=$F191,FI$5+GanttPeriod-1&gt;=$E191),"━","")))</f>
        <v/>
      </c>
      <c r="FJ191" s="69" t="str">
        <f aca="false">IF($E191="","",IF($M191,IF(AND($G191&gt;=FJ$5,$G191&lt;FJ$5+GanttPeriod),"◆",IF(AND($E191&gt;=FJ$5,$E191&lt;FJ$5+GanttPeriod),"◇","")),IF(AND(FJ$5&lt;=$F191,FJ$5+GanttPeriod-1&gt;=$E191),"━","")))</f>
        <v/>
      </c>
      <c r="FK191" s="69" t="str">
        <f aca="false">IF($E191="","",IF($M191,IF(AND($G191&gt;=FK$5,$G191&lt;FK$5+GanttPeriod),"◆",IF(AND($E191&gt;=FK$5,$E191&lt;FK$5+GanttPeriod),"◇","")),IF(AND(FK$5&lt;=$F191,FK$5+GanttPeriod-1&gt;=$E191),"━","")))</f>
        <v/>
      </c>
      <c r="FL191" s="69" t="str">
        <f aca="false">IF($E191="","",IF($M191,IF(AND($G191&gt;=FL$5,$G191&lt;FL$5+GanttPeriod),"◆",IF(AND($E191&gt;=FL$5,$E191&lt;FL$5+GanttPeriod),"◇","")),IF(AND(FL$5&lt;=$F191,FL$5+GanttPeriod-1&gt;=$E191),"━","")))</f>
        <v/>
      </c>
      <c r="FM191" s="69" t="str">
        <f aca="false">IF($E191="","",IF($M191,IF(AND($G191&gt;=FM$5,$G191&lt;FM$5+GanttPeriod),"◆",IF(AND($E191&gt;=FM$5,$E191&lt;FM$5+GanttPeriod),"◇","")),IF(AND(FM$5&lt;=$F191,FM$5+GanttPeriod-1&gt;=$E191),"━","")))</f>
        <v/>
      </c>
    </row>
    <row r="192" customFormat="false" ht="15" hidden="false" customHeight="false" outlineLevel="0" collapsed="false">
      <c r="A192" s="62" t="str">
        <f aca="false">IF(Tasks!$D192="","",Tasks!$A192)</f>
        <v/>
      </c>
      <c r="B192" s="62" t="str">
        <f aca="false">IF(Tasks!$D192="","",Tasks!$B192)</f>
        <v/>
      </c>
      <c r="C192" s="63" t="str">
        <f aca="false">IF(Tasks!$D192="","",REPT("    ",Tasks!$AE192-1)&amp;Tasks!$D192)</f>
        <v/>
      </c>
      <c r="D192" s="62" t="str">
        <f aca="false">IF(Tasks!$D192="","",IF(Tasks!$AI192,NETWORKDAYS.INTL(Tasks!$R192,Tasks!$S192,WorkWeek,Holidays),N(Tasks!$F192)))</f>
        <v/>
      </c>
      <c r="E192" s="64" t="str">
        <f aca="false">IF(Tasks!$D192="","",Tasks!$N192)</f>
        <v/>
      </c>
      <c r="F192" s="64" t="str">
        <f aca="false">IF(Tasks!$D192="","",Tasks!$O192)</f>
        <v/>
      </c>
      <c r="G192" s="64" t="str">
        <f aca="false">IF(Tasks!$D192="","",Tasks!$R192)</f>
        <v/>
      </c>
      <c r="H192" s="64" t="str">
        <f aca="false">IF(Tasks!$D192="","",Tasks!$S192)</f>
        <v/>
      </c>
      <c r="I192" s="65" t="str">
        <f aca="false">IF(Tasks!$D192="","",Tasks!$V192)</f>
        <v/>
      </c>
      <c r="J192" s="63" t="str">
        <f aca="false">IF(Tasks!$D192="","",Tasks!$X192&amp;"")</f>
        <v/>
      </c>
      <c r="K192" s="66" t="str">
        <f aca="false">IF(Tasks!$D192="","",Tasks!$W192)</f>
        <v/>
      </c>
      <c r="L192" s="67" t="b">
        <f aca="false">IF(Tasks!$D192="",FALSE(),Tasks!$AI192)</f>
        <v>0</v>
      </c>
      <c r="M192" s="67" t="b">
        <f aca="false">AND(Tasks!$AJ192=1,N(Tasks!$F192)=0)</f>
        <v>0</v>
      </c>
      <c r="N192" s="68" t="n">
        <f aca="false">IF(AND(Tasks!$AJ192=1,NOT($M192),N($I192)&gt;0),$G192,0)</f>
        <v>0</v>
      </c>
      <c r="O192" s="68" t="n">
        <f aca="false">IF($N192=0,0,IF($I192&gt;=1,$H192,MAX($N192,$G192+ROUND(($H192-$G192+1)*$I192,0)-1)))</f>
        <v>0</v>
      </c>
      <c r="P192" s="68" t="n">
        <f aca="false">IF(OR(Tasks!$AJ192&lt;&gt;1,$M192,N($I192)&gt;=1),0,IF($O192&gt;0,$O192+1,$G192))</f>
        <v>0</v>
      </c>
      <c r="Q192" s="68" t="n">
        <f aca="false">IF($P192=0,0,$H192)</f>
        <v>0</v>
      </c>
      <c r="R192" s="67" t="b">
        <f aca="false">AND(Tasks!$D192&lt;&gt;"",N(Tasks!$T192)&gt;0)</f>
        <v>0</v>
      </c>
      <c r="T192" s="69" t="str">
        <f aca="false">IF($E192="","",IF($M192,IF(AND($G192&gt;=T$5,$G192&lt;T$5+GanttPeriod),"◆",IF(AND($E192&gt;=T$5,$E192&lt;T$5+GanttPeriod),"◇","")),IF(AND(T$5&lt;=$F192,T$5+GanttPeriod-1&gt;=$E192),"━","")))</f>
        <v/>
      </c>
      <c r="U192" s="69" t="str">
        <f aca="false">IF($E192="","",IF($M192,IF(AND($G192&gt;=U$5,$G192&lt;U$5+GanttPeriod),"◆",IF(AND($E192&gt;=U$5,$E192&lt;U$5+GanttPeriod),"◇","")),IF(AND(U$5&lt;=$F192,U$5+GanttPeriod-1&gt;=$E192),"━","")))</f>
        <v/>
      </c>
      <c r="V192" s="69" t="str">
        <f aca="false">IF($E192="","",IF($M192,IF(AND($G192&gt;=V$5,$G192&lt;V$5+GanttPeriod),"◆",IF(AND($E192&gt;=V$5,$E192&lt;V$5+GanttPeriod),"◇","")),IF(AND(V$5&lt;=$F192,V$5+GanttPeriod-1&gt;=$E192),"━","")))</f>
        <v/>
      </c>
      <c r="W192" s="69" t="str">
        <f aca="false">IF($E192="","",IF($M192,IF(AND($G192&gt;=W$5,$G192&lt;W$5+GanttPeriod),"◆",IF(AND($E192&gt;=W$5,$E192&lt;W$5+GanttPeriod),"◇","")),IF(AND(W$5&lt;=$F192,W$5+GanttPeriod-1&gt;=$E192),"━","")))</f>
        <v/>
      </c>
      <c r="X192" s="69" t="str">
        <f aca="false">IF($E192="","",IF($M192,IF(AND($G192&gt;=X$5,$G192&lt;X$5+GanttPeriod),"◆",IF(AND($E192&gt;=X$5,$E192&lt;X$5+GanttPeriod),"◇","")),IF(AND(X$5&lt;=$F192,X$5+GanttPeriod-1&gt;=$E192),"━","")))</f>
        <v/>
      </c>
      <c r="Y192" s="69" t="str">
        <f aca="false">IF($E192="","",IF($M192,IF(AND($G192&gt;=Y$5,$G192&lt;Y$5+GanttPeriod),"◆",IF(AND($E192&gt;=Y$5,$E192&lt;Y$5+GanttPeriod),"◇","")),IF(AND(Y$5&lt;=$F192,Y$5+GanttPeriod-1&gt;=$E192),"━","")))</f>
        <v/>
      </c>
      <c r="Z192" s="69" t="str">
        <f aca="false">IF($E192="","",IF($M192,IF(AND($G192&gt;=Z$5,$G192&lt;Z$5+GanttPeriod),"◆",IF(AND($E192&gt;=Z$5,$E192&lt;Z$5+GanttPeriod),"◇","")),IF(AND(Z$5&lt;=$F192,Z$5+GanttPeriod-1&gt;=$E192),"━","")))</f>
        <v/>
      </c>
      <c r="AA192" s="69" t="str">
        <f aca="false">IF($E192="","",IF($M192,IF(AND($G192&gt;=AA$5,$G192&lt;AA$5+GanttPeriod),"◆",IF(AND($E192&gt;=AA$5,$E192&lt;AA$5+GanttPeriod),"◇","")),IF(AND(AA$5&lt;=$F192,AA$5+GanttPeriod-1&gt;=$E192),"━","")))</f>
        <v/>
      </c>
      <c r="AB192" s="69" t="str">
        <f aca="false">IF($E192="","",IF($M192,IF(AND($G192&gt;=AB$5,$G192&lt;AB$5+GanttPeriod),"◆",IF(AND($E192&gt;=AB$5,$E192&lt;AB$5+GanttPeriod),"◇","")),IF(AND(AB$5&lt;=$F192,AB$5+GanttPeriod-1&gt;=$E192),"━","")))</f>
        <v/>
      </c>
      <c r="AC192" s="69" t="str">
        <f aca="false">IF($E192="","",IF($M192,IF(AND($G192&gt;=AC$5,$G192&lt;AC$5+GanttPeriod),"◆",IF(AND($E192&gt;=AC$5,$E192&lt;AC$5+GanttPeriod),"◇","")),IF(AND(AC$5&lt;=$F192,AC$5+GanttPeriod-1&gt;=$E192),"━","")))</f>
        <v/>
      </c>
      <c r="AD192" s="69" t="str">
        <f aca="false">IF($E192="","",IF($M192,IF(AND($G192&gt;=AD$5,$G192&lt;AD$5+GanttPeriod),"◆",IF(AND($E192&gt;=AD$5,$E192&lt;AD$5+GanttPeriod),"◇","")),IF(AND(AD$5&lt;=$F192,AD$5+GanttPeriod-1&gt;=$E192),"━","")))</f>
        <v/>
      </c>
      <c r="AE192" s="69" t="str">
        <f aca="false">IF($E192="","",IF($M192,IF(AND($G192&gt;=AE$5,$G192&lt;AE$5+GanttPeriod),"◆",IF(AND($E192&gt;=AE$5,$E192&lt;AE$5+GanttPeriod),"◇","")),IF(AND(AE$5&lt;=$F192,AE$5+GanttPeriod-1&gt;=$E192),"━","")))</f>
        <v/>
      </c>
      <c r="AF192" s="69" t="str">
        <f aca="false">IF($E192="","",IF($M192,IF(AND($G192&gt;=AF$5,$G192&lt;AF$5+GanttPeriod),"◆",IF(AND($E192&gt;=AF$5,$E192&lt;AF$5+GanttPeriod),"◇","")),IF(AND(AF$5&lt;=$F192,AF$5+GanttPeriod-1&gt;=$E192),"━","")))</f>
        <v/>
      </c>
      <c r="AG192" s="69" t="str">
        <f aca="false">IF($E192="","",IF($M192,IF(AND($G192&gt;=AG$5,$G192&lt;AG$5+GanttPeriod),"◆",IF(AND($E192&gt;=AG$5,$E192&lt;AG$5+GanttPeriod),"◇","")),IF(AND(AG$5&lt;=$F192,AG$5+GanttPeriod-1&gt;=$E192),"━","")))</f>
        <v/>
      </c>
      <c r="AH192" s="69" t="str">
        <f aca="false">IF($E192="","",IF($M192,IF(AND($G192&gt;=AH$5,$G192&lt;AH$5+GanttPeriod),"◆",IF(AND($E192&gt;=AH$5,$E192&lt;AH$5+GanttPeriod),"◇","")),IF(AND(AH$5&lt;=$F192,AH$5+GanttPeriod-1&gt;=$E192),"━","")))</f>
        <v/>
      </c>
      <c r="AI192" s="69" t="str">
        <f aca="false">IF($E192="","",IF($M192,IF(AND($G192&gt;=AI$5,$G192&lt;AI$5+GanttPeriod),"◆",IF(AND($E192&gt;=AI$5,$E192&lt;AI$5+GanttPeriod),"◇","")),IF(AND(AI$5&lt;=$F192,AI$5+GanttPeriod-1&gt;=$E192),"━","")))</f>
        <v/>
      </c>
      <c r="AJ192" s="69" t="str">
        <f aca="false">IF($E192="","",IF($M192,IF(AND($G192&gt;=AJ$5,$G192&lt;AJ$5+GanttPeriod),"◆",IF(AND($E192&gt;=AJ$5,$E192&lt;AJ$5+GanttPeriod),"◇","")),IF(AND(AJ$5&lt;=$F192,AJ$5+GanttPeriod-1&gt;=$E192),"━","")))</f>
        <v/>
      </c>
      <c r="AK192" s="69" t="str">
        <f aca="false">IF($E192="","",IF($M192,IF(AND($G192&gt;=AK$5,$G192&lt;AK$5+GanttPeriod),"◆",IF(AND($E192&gt;=AK$5,$E192&lt;AK$5+GanttPeriod),"◇","")),IF(AND(AK$5&lt;=$F192,AK$5+GanttPeriod-1&gt;=$E192),"━","")))</f>
        <v/>
      </c>
      <c r="AL192" s="69" t="str">
        <f aca="false">IF($E192="","",IF($M192,IF(AND($G192&gt;=AL$5,$G192&lt;AL$5+GanttPeriod),"◆",IF(AND($E192&gt;=AL$5,$E192&lt;AL$5+GanttPeriod),"◇","")),IF(AND(AL$5&lt;=$F192,AL$5+GanttPeriod-1&gt;=$E192),"━","")))</f>
        <v/>
      </c>
      <c r="AM192" s="69" t="str">
        <f aca="false">IF($E192="","",IF($M192,IF(AND($G192&gt;=AM$5,$G192&lt;AM$5+GanttPeriod),"◆",IF(AND($E192&gt;=AM$5,$E192&lt;AM$5+GanttPeriod),"◇","")),IF(AND(AM$5&lt;=$F192,AM$5+GanttPeriod-1&gt;=$E192),"━","")))</f>
        <v/>
      </c>
      <c r="AN192" s="69" t="str">
        <f aca="false">IF($E192="","",IF($M192,IF(AND($G192&gt;=AN$5,$G192&lt;AN$5+GanttPeriod),"◆",IF(AND($E192&gt;=AN$5,$E192&lt;AN$5+GanttPeriod),"◇","")),IF(AND(AN$5&lt;=$F192,AN$5+GanttPeriod-1&gt;=$E192),"━","")))</f>
        <v/>
      </c>
      <c r="AO192" s="69" t="str">
        <f aca="false">IF($E192="","",IF($M192,IF(AND($G192&gt;=AO$5,$G192&lt;AO$5+GanttPeriod),"◆",IF(AND($E192&gt;=AO$5,$E192&lt;AO$5+GanttPeriod),"◇","")),IF(AND(AO$5&lt;=$F192,AO$5+GanttPeriod-1&gt;=$E192),"━","")))</f>
        <v/>
      </c>
      <c r="AP192" s="69" t="str">
        <f aca="false">IF($E192="","",IF($M192,IF(AND($G192&gt;=AP$5,$G192&lt;AP$5+GanttPeriod),"◆",IF(AND($E192&gt;=AP$5,$E192&lt;AP$5+GanttPeriod),"◇","")),IF(AND(AP$5&lt;=$F192,AP$5+GanttPeriod-1&gt;=$E192),"━","")))</f>
        <v/>
      </c>
      <c r="AQ192" s="69" t="str">
        <f aca="false">IF($E192="","",IF($M192,IF(AND($G192&gt;=AQ$5,$G192&lt;AQ$5+GanttPeriod),"◆",IF(AND($E192&gt;=AQ$5,$E192&lt;AQ$5+GanttPeriod),"◇","")),IF(AND(AQ$5&lt;=$F192,AQ$5+GanttPeriod-1&gt;=$E192),"━","")))</f>
        <v/>
      </c>
      <c r="AR192" s="69" t="str">
        <f aca="false">IF($E192="","",IF($M192,IF(AND($G192&gt;=AR$5,$G192&lt;AR$5+GanttPeriod),"◆",IF(AND($E192&gt;=AR$5,$E192&lt;AR$5+GanttPeriod),"◇","")),IF(AND(AR$5&lt;=$F192,AR$5+GanttPeriod-1&gt;=$E192),"━","")))</f>
        <v/>
      </c>
      <c r="AS192" s="69" t="str">
        <f aca="false">IF($E192="","",IF($M192,IF(AND($G192&gt;=AS$5,$G192&lt;AS$5+GanttPeriod),"◆",IF(AND($E192&gt;=AS$5,$E192&lt;AS$5+GanttPeriod),"◇","")),IF(AND(AS$5&lt;=$F192,AS$5+GanttPeriod-1&gt;=$E192),"━","")))</f>
        <v/>
      </c>
      <c r="AT192" s="69" t="str">
        <f aca="false">IF($E192="","",IF($M192,IF(AND($G192&gt;=AT$5,$G192&lt;AT$5+GanttPeriod),"◆",IF(AND($E192&gt;=AT$5,$E192&lt;AT$5+GanttPeriod),"◇","")),IF(AND(AT$5&lt;=$F192,AT$5+GanttPeriod-1&gt;=$E192),"━","")))</f>
        <v/>
      </c>
      <c r="AU192" s="69" t="str">
        <f aca="false">IF($E192="","",IF($M192,IF(AND($G192&gt;=AU$5,$G192&lt;AU$5+GanttPeriod),"◆",IF(AND($E192&gt;=AU$5,$E192&lt;AU$5+GanttPeriod),"◇","")),IF(AND(AU$5&lt;=$F192,AU$5+GanttPeriod-1&gt;=$E192),"━","")))</f>
        <v/>
      </c>
      <c r="AV192" s="69" t="str">
        <f aca="false">IF($E192="","",IF($M192,IF(AND($G192&gt;=AV$5,$G192&lt;AV$5+GanttPeriod),"◆",IF(AND($E192&gt;=AV$5,$E192&lt;AV$5+GanttPeriod),"◇","")),IF(AND(AV$5&lt;=$F192,AV$5+GanttPeriod-1&gt;=$E192),"━","")))</f>
        <v/>
      </c>
      <c r="AW192" s="69" t="str">
        <f aca="false">IF($E192="","",IF($M192,IF(AND($G192&gt;=AW$5,$G192&lt;AW$5+GanttPeriod),"◆",IF(AND($E192&gt;=AW$5,$E192&lt;AW$5+GanttPeriod),"◇","")),IF(AND(AW$5&lt;=$F192,AW$5+GanttPeriod-1&gt;=$E192),"━","")))</f>
        <v/>
      </c>
      <c r="AX192" s="69" t="str">
        <f aca="false">IF($E192="","",IF($M192,IF(AND($G192&gt;=AX$5,$G192&lt;AX$5+GanttPeriod),"◆",IF(AND($E192&gt;=AX$5,$E192&lt;AX$5+GanttPeriod),"◇","")),IF(AND(AX$5&lt;=$F192,AX$5+GanttPeriod-1&gt;=$E192),"━","")))</f>
        <v/>
      </c>
      <c r="AY192" s="69" t="str">
        <f aca="false">IF($E192="","",IF($M192,IF(AND($G192&gt;=AY$5,$G192&lt;AY$5+GanttPeriod),"◆",IF(AND($E192&gt;=AY$5,$E192&lt;AY$5+GanttPeriod),"◇","")),IF(AND(AY$5&lt;=$F192,AY$5+GanttPeriod-1&gt;=$E192),"━","")))</f>
        <v/>
      </c>
      <c r="AZ192" s="69" t="str">
        <f aca="false">IF($E192="","",IF($M192,IF(AND($G192&gt;=AZ$5,$G192&lt;AZ$5+GanttPeriod),"◆",IF(AND($E192&gt;=AZ$5,$E192&lt;AZ$5+GanttPeriod),"◇","")),IF(AND(AZ$5&lt;=$F192,AZ$5+GanttPeriod-1&gt;=$E192),"━","")))</f>
        <v/>
      </c>
      <c r="BA192" s="69" t="str">
        <f aca="false">IF($E192="","",IF($M192,IF(AND($G192&gt;=BA$5,$G192&lt;BA$5+GanttPeriod),"◆",IF(AND($E192&gt;=BA$5,$E192&lt;BA$5+GanttPeriod),"◇","")),IF(AND(BA$5&lt;=$F192,BA$5+GanttPeriod-1&gt;=$E192),"━","")))</f>
        <v/>
      </c>
      <c r="BB192" s="69" t="str">
        <f aca="false">IF($E192="","",IF($M192,IF(AND($G192&gt;=BB$5,$G192&lt;BB$5+GanttPeriod),"◆",IF(AND($E192&gt;=BB$5,$E192&lt;BB$5+GanttPeriod),"◇","")),IF(AND(BB$5&lt;=$F192,BB$5+GanttPeriod-1&gt;=$E192),"━","")))</f>
        <v/>
      </c>
      <c r="BC192" s="69" t="str">
        <f aca="false">IF($E192="","",IF($M192,IF(AND($G192&gt;=BC$5,$G192&lt;BC$5+GanttPeriod),"◆",IF(AND($E192&gt;=BC$5,$E192&lt;BC$5+GanttPeriod),"◇","")),IF(AND(BC$5&lt;=$F192,BC$5+GanttPeriod-1&gt;=$E192),"━","")))</f>
        <v/>
      </c>
      <c r="BD192" s="69" t="str">
        <f aca="false">IF($E192="","",IF($M192,IF(AND($G192&gt;=BD$5,$G192&lt;BD$5+GanttPeriod),"◆",IF(AND($E192&gt;=BD$5,$E192&lt;BD$5+GanttPeriod),"◇","")),IF(AND(BD$5&lt;=$F192,BD$5+GanttPeriod-1&gt;=$E192),"━","")))</f>
        <v/>
      </c>
      <c r="BE192" s="69" t="str">
        <f aca="false">IF($E192="","",IF($M192,IF(AND($G192&gt;=BE$5,$G192&lt;BE$5+GanttPeriod),"◆",IF(AND($E192&gt;=BE$5,$E192&lt;BE$5+GanttPeriod),"◇","")),IF(AND(BE$5&lt;=$F192,BE$5+GanttPeriod-1&gt;=$E192),"━","")))</f>
        <v/>
      </c>
      <c r="BF192" s="69" t="str">
        <f aca="false">IF($E192="","",IF($M192,IF(AND($G192&gt;=BF$5,$G192&lt;BF$5+GanttPeriod),"◆",IF(AND($E192&gt;=BF$5,$E192&lt;BF$5+GanttPeriod),"◇","")),IF(AND(BF$5&lt;=$F192,BF$5+GanttPeriod-1&gt;=$E192),"━","")))</f>
        <v/>
      </c>
      <c r="BG192" s="69" t="str">
        <f aca="false">IF($E192="","",IF($M192,IF(AND($G192&gt;=BG$5,$G192&lt;BG$5+GanttPeriod),"◆",IF(AND($E192&gt;=BG$5,$E192&lt;BG$5+GanttPeriod),"◇","")),IF(AND(BG$5&lt;=$F192,BG$5+GanttPeriod-1&gt;=$E192),"━","")))</f>
        <v/>
      </c>
      <c r="BH192" s="69" t="str">
        <f aca="false">IF($E192="","",IF($M192,IF(AND($G192&gt;=BH$5,$G192&lt;BH$5+GanttPeriod),"◆",IF(AND($E192&gt;=BH$5,$E192&lt;BH$5+GanttPeriod),"◇","")),IF(AND(BH$5&lt;=$F192,BH$5+GanttPeriod-1&gt;=$E192),"━","")))</f>
        <v/>
      </c>
      <c r="BI192" s="69" t="str">
        <f aca="false">IF($E192="","",IF($M192,IF(AND($G192&gt;=BI$5,$G192&lt;BI$5+GanttPeriod),"◆",IF(AND($E192&gt;=BI$5,$E192&lt;BI$5+GanttPeriod),"◇","")),IF(AND(BI$5&lt;=$F192,BI$5+GanttPeriod-1&gt;=$E192),"━","")))</f>
        <v/>
      </c>
      <c r="BJ192" s="69" t="str">
        <f aca="false">IF($E192="","",IF($M192,IF(AND($G192&gt;=BJ$5,$G192&lt;BJ$5+GanttPeriod),"◆",IF(AND($E192&gt;=BJ$5,$E192&lt;BJ$5+GanttPeriod),"◇","")),IF(AND(BJ$5&lt;=$F192,BJ$5+GanttPeriod-1&gt;=$E192),"━","")))</f>
        <v/>
      </c>
      <c r="BK192" s="69" t="str">
        <f aca="false">IF($E192="","",IF($M192,IF(AND($G192&gt;=BK$5,$G192&lt;BK$5+GanttPeriod),"◆",IF(AND($E192&gt;=BK$5,$E192&lt;BK$5+GanttPeriod),"◇","")),IF(AND(BK$5&lt;=$F192,BK$5+GanttPeriod-1&gt;=$E192),"━","")))</f>
        <v/>
      </c>
      <c r="BL192" s="69" t="str">
        <f aca="false">IF($E192="","",IF($M192,IF(AND($G192&gt;=BL$5,$G192&lt;BL$5+GanttPeriod),"◆",IF(AND($E192&gt;=BL$5,$E192&lt;BL$5+GanttPeriod),"◇","")),IF(AND(BL$5&lt;=$F192,BL$5+GanttPeriod-1&gt;=$E192),"━","")))</f>
        <v/>
      </c>
      <c r="BM192" s="69" t="str">
        <f aca="false">IF($E192="","",IF($M192,IF(AND($G192&gt;=BM$5,$G192&lt;BM$5+GanttPeriod),"◆",IF(AND($E192&gt;=BM$5,$E192&lt;BM$5+GanttPeriod),"◇","")),IF(AND(BM$5&lt;=$F192,BM$5+GanttPeriod-1&gt;=$E192),"━","")))</f>
        <v/>
      </c>
      <c r="BN192" s="69" t="str">
        <f aca="false">IF($E192="","",IF($M192,IF(AND($G192&gt;=BN$5,$G192&lt;BN$5+GanttPeriod),"◆",IF(AND($E192&gt;=BN$5,$E192&lt;BN$5+GanttPeriod),"◇","")),IF(AND(BN$5&lt;=$F192,BN$5+GanttPeriod-1&gt;=$E192),"━","")))</f>
        <v/>
      </c>
      <c r="BO192" s="69" t="str">
        <f aca="false">IF($E192="","",IF($M192,IF(AND($G192&gt;=BO$5,$G192&lt;BO$5+GanttPeriod),"◆",IF(AND($E192&gt;=BO$5,$E192&lt;BO$5+GanttPeriod),"◇","")),IF(AND(BO$5&lt;=$F192,BO$5+GanttPeriod-1&gt;=$E192),"━","")))</f>
        <v/>
      </c>
      <c r="BP192" s="69" t="str">
        <f aca="false">IF($E192="","",IF($M192,IF(AND($G192&gt;=BP$5,$G192&lt;BP$5+GanttPeriod),"◆",IF(AND($E192&gt;=BP$5,$E192&lt;BP$5+GanttPeriod),"◇","")),IF(AND(BP$5&lt;=$F192,BP$5+GanttPeriod-1&gt;=$E192),"━","")))</f>
        <v/>
      </c>
      <c r="BQ192" s="69" t="str">
        <f aca="false">IF($E192="","",IF($M192,IF(AND($G192&gt;=BQ$5,$G192&lt;BQ$5+GanttPeriod),"◆",IF(AND($E192&gt;=BQ$5,$E192&lt;BQ$5+GanttPeriod),"◇","")),IF(AND(BQ$5&lt;=$F192,BQ$5+GanttPeriod-1&gt;=$E192),"━","")))</f>
        <v/>
      </c>
      <c r="BR192" s="69" t="str">
        <f aca="false">IF($E192="","",IF($M192,IF(AND($G192&gt;=BR$5,$G192&lt;BR$5+GanttPeriod),"◆",IF(AND($E192&gt;=BR$5,$E192&lt;BR$5+GanttPeriod),"◇","")),IF(AND(BR$5&lt;=$F192,BR$5+GanttPeriod-1&gt;=$E192),"━","")))</f>
        <v/>
      </c>
      <c r="BS192" s="69" t="str">
        <f aca="false">IF($E192="","",IF($M192,IF(AND($G192&gt;=BS$5,$G192&lt;BS$5+GanttPeriod),"◆",IF(AND($E192&gt;=BS$5,$E192&lt;BS$5+GanttPeriod),"◇","")),IF(AND(BS$5&lt;=$F192,BS$5+GanttPeriod-1&gt;=$E192),"━","")))</f>
        <v/>
      </c>
      <c r="BT192" s="69" t="str">
        <f aca="false">IF($E192="","",IF($M192,IF(AND($G192&gt;=BT$5,$G192&lt;BT$5+GanttPeriod),"◆",IF(AND($E192&gt;=BT$5,$E192&lt;BT$5+GanttPeriod),"◇","")),IF(AND(BT$5&lt;=$F192,BT$5+GanttPeriod-1&gt;=$E192),"━","")))</f>
        <v/>
      </c>
      <c r="BU192" s="69" t="str">
        <f aca="false">IF($E192="","",IF($M192,IF(AND($G192&gt;=BU$5,$G192&lt;BU$5+GanttPeriod),"◆",IF(AND($E192&gt;=BU$5,$E192&lt;BU$5+GanttPeriod),"◇","")),IF(AND(BU$5&lt;=$F192,BU$5+GanttPeriod-1&gt;=$E192),"━","")))</f>
        <v/>
      </c>
      <c r="BV192" s="69" t="str">
        <f aca="false">IF($E192="","",IF($M192,IF(AND($G192&gt;=BV$5,$G192&lt;BV$5+GanttPeriod),"◆",IF(AND($E192&gt;=BV$5,$E192&lt;BV$5+GanttPeriod),"◇","")),IF(AND(BV$5&lt;=$F192,BV$5+GanttPeriod-1&gt;=$E192),"━","")))</f>
        <v/>
      </c>
      <c r="BW192" s="69" t="str">
        <f aca="false">IF($E192="","",IF($M192,IF(AND($G192&gt;=BW$5,$G192&lt;BW$5+GanttPeriod),"◆",IF(AND($E192&gt;=BW$5,$E192&lt;BW$5+GanttPeriod),"◇","")),IF(AND(BW$5&lt;=$F192,BW$5+GanttPeriod-1&gt;=$E192),"━","")))</f>
        <v/>
      </c>
      <c r="BX192" s="69" t="str">
        <f aca="false">IF($E192="","",IF($M192,IF(AND($G192&gt;=BX$5,$G192&lt;BX$5+GanttPeriod),"◆",IF(AND($E192&gt;=BX$5,$E192&lt;BX$5+GanttPeriod),"◇","")),IF(AND(BX$5&lt;=$F192,BX$5+GanttPeriod-1&gt;=$E192),"━","")))</f>
        <v/>
      </c>
      <c r="BY192" s="69" t="str">
        <f aca="false">IF($E192="","",IF($M192,IF(AND($G192&gt;=BY$5,$G192&lt;BY$5+GanttPeriod),"◆",IF(AND($E192&gt;=BY$5,$E192&lt;BY$5+GanttPeriod),"◇","")),IF(AND(BY$5&lt;=$F192,BY$5+GanttPeriod-1&gt;=$E192),"━","")))</f>
        <v/>
      </c>
      <c r="BZ192" s="69" t="str">
        <f aca="false">IF($E192="","",IF($M192,IF(AND($G192&gt;=BZ$5,$G192&lt;BZ$5+GanttPeriod),"◆",IF(AND($E192&gt;=BZ$5,$E192&lt;BZ$5+GanttPeriod),"◇","")),IF(AND(BZ$5&lt;=$F192,BZ$5+GanttPeriod-1&gt;=$E192),"━","")))</f>
        <v/>
      </c>
      <c r="CA192" s="69" t="str">
        <f aca="false">IF($E192="","",IF($M192,IF(AND($G192&gt;=CA$5,$G192&lt;CA$5+GanttPeriod),"◆",IF(AND($E192&gt;=CA$5,$E192&lt;CA$5+GanttPeriod),"◇","")),IF(AND(CA$5&lt;=$F192,CA$5+GanttPeriod-1&gt;=$E192),"━","")))</f>
        <v/>
      </c>
      <c r="CB192" s="69" t="str">
        <f aca="false">IF($E192="","",IF($M192,IF(AND($G192&gt;=CB$5,$G192&lt;CB$5+GanttPeriod),"◆",IF(AND($E192&gt;=CB$5,$E192&lt;CB$5+GanttPeriod),"◇","")),IF(AND(CB$5&lt;=$F192,CB$5+GanttPeriod-1&gt;=$E192),"━","")))</f>
        <v/>
      </c>
      <c r="CC192" s="69" t="str">
        <f aca="false">IF($E192="","",IF($M192,IF(AND($G192&gt;=CC$5,$G192&lt;CC$5+GanttPeriod),"◆",IF(AND($E192&gt;=CC$5,$E192&lt;CC$5+GanttPeriod),"◇","")),IF(AND(CC$5&lt;=$F192,CC$5+GanttPeriod-1&gt;=$E192),"━","")))</f>
        <v/>
      </c>
      <c r="CD192" s="69" t="str">
        <f aca="false">IF($E192="","",IF($M192,IF(AND($G192&gt;=CD$5,$G192&lt;CD$5+GanttPeriod),"◆",IF(AND($E192&gt;=CD$5,$E192&lt;CD$5+GanttPeriod),"◇","")),IF(AND(CD$5&lt;=$F192,CD$5+GanttPeriod-1&gt;=$E192),"━","")))</f>
        <v/>
      </c>
      <c r="CE192" s="69" t="str">
        <f aca="false">IF($E192="","",IF($M192,IF(AND($G192&gt;=CE$5,$G192&lt;CE$5+GanttPeriod),"◆",IF(AND($E192&gt;=CE$5,$E192&lt;CE$5+GanttPeriod),"◇","")),IF(AND(CE$5&lt;=$F192,CE$5+GanttPeriod-1&gt;=$E192),"━","")))</f>
        <v/>
      </c>
      <c r="CF192" s="69" t="str">
        <f aca="false">IF($E192="","",IF($M192,IF(AND($G192&gt;=CF$5,$G192&lt;CF$5+GanttPeriod),"◆",IF(AND($E192&gt;=CF$5,$E192&lt;CF$5+GanttPeriod),"◇","")),IF(AND(CF$5&lt;=$F192,CF$5+GanttPeriod-1&gt;=$E192),"━","")))</f>
        <v/>
      </c>
      <c r="CG192" s="69" t="str">
        <f aca="false">IF($E192="","",IF($M192,IF(AND($G192&gt;=CG$5,$G192&lt;CG$5+GanttPeriod),"◆",IF(AND($E192&gt;=CG$5,$E192&lt;CG$5+GanttPeriod),"◇","")),IF(AND(CG$5&lt;=$F192,CG$5+GanttPeriod-1&gt;=$E192),"━","")))</f>
        <v/>
      </c>
      <c r="CH192" s="69" t="str">
        <f aca="false">IF($E192="","",IF($M192,IF(AND($G192&gt;=CH$5,$G192&lt;CH$5+GanttPeriod),"◆",IF(AND($E192&gt;=CH$5,$E192&lt;CH$5+GanttPeriod),"◇","")),IF(AND(CH$5&lt;=$F192,CH$5+GanttPeriod-1&gt;=$E192),"━","")))</f>
        <v/>
      </c>
      <c r="CI192" s="69" t="str">
        <f aca="false">IF($E192="","",IF($M192,IF(AND($G192&gt;=CI$5,$G192&lt;CI$5+GanttPeriod),"◆",IF(AND($E192&gt;=CI$5,$E192&lt;CI$5+GanttPeriod),"◇","")),IF(AND(CI$5&lt;=$F192,CI$5+GanttPeriod-1&gt;=$E192),"━","")))</f>
        <v/>
      </c>
      <c r="CJ192" s="69" t="str">
        <f aca="false">IF($E192="","",IF($M192,IF(AND($G192&gt;=CJ$5,$G192&lt;CJ$5+GanttPeriod),"◆",IF(AND($E192&gt;=CJ$5,$E192&lt;CJ$5+GanttPeriod),"◇","")),IF(AND(CJ$5&lt;=$F192,CJ$5+GanttPeriod-1&gt;=$E192),"━","")))</f>
        <v/>
      </c>
      <c r="CK192" s="69" t="str">
        <f aca="false">IF($E192="","",IF($M192,IF(AND($G192&gt;=CK$5,$G192&lt;CK$5+GanttPeriod),"◆",IF(AND($E192&gt;=CK$5,$E192&lt;CK$5+GanttPeriod),"◇","")),IF(AND(CK$5&lt;=$F192,CK$5+GanttPeriod-1&gt;=$E192),"━","")))</f>
        <v/>
      </c>
      <c r="CL192" s="69" t="str">
        <f aca="false">IF($E192="","",IF($M192,IF(AND($G192&gt;=CL$5,$G192&lt;CL$5+GanttPeriod),"◆",IF(AND($E192&gt;=CL$5,$E192&lt;CL$5+GanttPeriod),"◇","")),IF(AND(CL$5&lt;=$F192,CL$5+GanttPeriod-1&gt;=$E192),"━","")))</f>
        <v/>
      </c>
      <c r="CM192" s="69" t="str">
        <f aca="false">IF($E192="","",IF($M192,IF(AND($G192&gt;=CM$5,$G192&lt;CM$5+GanttPeriod),"◆",IF(AND($E192&gt;=CM$5,$E192&lt;CM$5+GanttPeriod),"◇","")),IF(AND(CM$5&lt;=$F192,CM$5+GanttPeriod-1&gt;=$E192),"━","")))</f>
        <v/>
      </c>
      <c r="CN192" s="69" t="str">
        <f aca="false">IF($E192="","",IF($M192,IF(AND($G192&gt;=CN$5,$G192&lt;CN$5+GanttPeriod),"◆",IF(AND($E192&gt;=CN$5,$E192&lt;CN$5+GanttPeriod),"◇","")),IF(AND(CN$5&lt;=$F192,CN$5+GanttPeriod-1&gt;=$E192),"━","")))</f>
        <v/>
      </c>
      <c r="CO192" s="69" t="str">
        <f aca="false">IF($E192="","",IF($M192,IF(AND($G192&gt;=CO$5,$G192&lt;CO$5+GanttPeriod),"◆",IF(AND($E192&gt;=CO$5,$E192&lt;CO$5+GanttPeriod),"◇","")),IF(AND(CO$5&lt;=$F192,CO$5+GanttPeriod-1&gt;=$E192),"━","")))</f>
        <v/>
      </c>
      <c r="CP192" s="69" t="str">
        <f aca="false">IF($E192="","",IF($M192,IF(AND($G192&gt;=CP$5,$G192&lt;CP$5+GanttPeriod),"◆",IF(AND($E192&gt;=CP$5,$E192&lt;CP$5+GanttPeriod),"◇","")),IF(AND(CP$5&lt;=$F192,CP$5+GanttPeriod-1&gt;=$E192),"━","")))</f>
        <v/>
      </c>
      <c r="CQ192" s="69" t="str">
        <f aca="false">IF($E192="","",IF($M192,IF(AND($G192&gt;=CQ$5,$G192&lt;CQ$5+GanttPeriod),"◆",IF(AND($E192&gt;=CQ$5,$E192&lt;CQ$5+GanttPeriod),"◇","")),IF(AND(CQ$5&lt;=$F192,CQ$5+GanttPeriod-1&gt;=$E192),"━","")))</f>
        <v/>
      </c>
      <c r="CR192" s="69" t="str">
        <f aca="false">IF($E192="","",IF($M192,IF(AND($G192&gt;=CR$5,$G192&lt;CR$5+GanttPeriod),"◆",IF(AND($E192&gt;=CR$5,$E192&lt;CR$5+GanttPeriod),"◇","")),IF(AND(CR$5&lt;=$F192,CR$5+GanttPeriod-1&gt;=$E192),"━","")))</f>
        <v/>
      </c>
      <c r="CS192" s="69" t="str">
        <f aca="false">IF($E192="","",IF($M192,IF(AND($G192&gt;=CS$5,$G192&lt;CS$5+GanttPeriod),"◆",IF(AND($E192&gt;=CS$5,$E192&lt;CS$5+GanttPeriod),"◇","")),IF(AND(CS$5&lt;=$F192,CS$5+GanttPeriod-1&gt;=$E192),"━","")))</f>
        <v/>
      </c>
      <c r="CT192" s="69" t="str">
        <f aca="false">IF($E192="","",IF($M192,IF(AND($G192&gt;=CT$5,$G192&lt;CT$5+GanttPeriod),"◆",IF(AND($E192&gt;=CT$5,$E192&lt;CT$5+GanttPeriod),"◇","")),IF(AND(CT$5&lt;=$F192,CT$5+GanttPeriod-1&gt;=$E192),"━","")))</f>
        <v/>
      </c>
      <c r="CU192" s="69" t="str">
        <f aca="false">IF($E192="","",IF($M192,IF(AND($G192&gt;=CU$5,$G192&lt;CU$5+GanttPeriod),"◆",IF(AND($E192&gt;=CU$5,$E192&lt;CU$5+GanttPeriod),"◇","")),IF(AND(CU$5&lt;=$F192,CU$5+GanttPeriod-1&gt;=$E192),"━","")))</f>
        <v/>
      </c>
      <c r="CV192" s="69" t="str">
        <f aca="false">IF($E192="","",IF($M192,IF(AND($G192&gt;=CV$5,$G192&lt;CV$5+GanttPeriod),"◆",IF(AND($E192&gt;=CV$5,$E192&lt;CV$5+GanttPeriod),"◇","")),IF(AND(CV$5&lt;=$F192,CV$5+GanttPeriod-1&gt;=$E192),"━","")))</f>
        <v/>
      </c>
      <c r="CW192" s="69" t="str">
        <f aca="false">IF($E192="","",IF($M192,IF(AND($G192&gt;=CW$5,$G192&lt;CW$5+GanttPeriod),"◆",IF(AND($E192&gt;=CW$5,$E192&lt;CW$5+GanttPeriod),"◇","")),IF(AND(CW$5&lt;=$F192,CW$5+GanttPeriod-1&gt;=$E192),"━","")))</f>
        <v/>
      </c>
      <c r="CX192" s="69" t="str">
        <f aca="false">IF($E192="","",IF($M192,IF(AND($G192&gt;=CX$5,$G192&lt;CX$5+GanttPeriod),"◆",IF(AND($E192&gt;=CX$5,$E192&lt;CX$5+GanttPeriod),"◇","")),IF(AND(CX$5&lt;=$F192,CX$5+GanttPeriod-1&gt;=$E192),"━","")))</f>
        <v/>
      </c>
      <c r="CY192" s="69" t="str">
        <f aca="false">IF($E192="","",IF($M192,IF(AND($G192&gt;=CY$5,$G192&lt;CY$5+GanttPeriod),"◆",IF(AND($E192&gt;=CY$5,$E192&lt;CY$5+GanttPeriod),"◇","")),IF(AND(CY$5&lt;=$F192,CY$5+GanttPeriod-1&gt;=$E192),"━","")))</f>
        <v/>
      </c>
      <c r="CZ192" s="69" t="str">
        <f aca="false">IF($E192="","",IF($M192,IF(AND($G192&gt;=CZ$5,$G192&lt;CZ$5+GanttPeriod),"◆",IF(AND($E192&gt;=CZ$5,$E192&lt;CZ$5+GanttPeriod),"◇","")),IF(AND(CZ$5&lt;=$F192,CZ$5+GanttPeriod-1&gt;=$E192),"━","")))</f>
        <v/>
      </c>
      <c r="DA192" s="69" t="str">
        <f aca="false">IF($E192="","",IF($M192,IF(AND($G192&gt;=DA$5,$G192&lt;DA$5+GanttPeriod),"◆",IF(AND($E192&gt;=DA$5,$E192&lt;DA$5+GanttPeriod),"◇","")),IF(AND(DA$5&lt;=$F192,DA$5+GanttPeriod-1&gt;=$E192),"━","")))</f>
        <v/>
      </c>
      <c r="DB192" s="69" t="str">
        <f aca="false">IF($E192="","",IF($M192,IF(AND($G192&gt;=DB$5,$G192&lt;DB$5+GanttPeriod),"◆",IF(AND($E192&gt;=DB$5,$E192&lt;DB$5+GanttPeriod),"◇","")),IF(AND(DB$5&lt;=$F192,DB$5+GanttPeriod-1&gt;=$E192),"━","")))</f>
        <v/>
      </c>
      <c r="DC192" s="69" t="str">
        <f aca="false">IF($E192="","",IF($M192,IF(AND($G192&gt;=DC$5,$G192&lt;DC$5+GanttPeriod),"◆",IF(AND($E192&gt;=DC$5,$E192&lt;DC$5+GanttPeriod),"◇","")),IF(AND(DC$5&lt;=$F192,DC$5+GanttPeriod-1&gt;=$E192),"━","")))</f>
        <v/>
      </c>
      <c r="DD192" s="69" t="str">
        <f aca="false">IF($E192="","",IF($M192,IF(AND($G192&gt;=DD$5,$G192&lt;DD$5+GanttPeriod),"◆",IF(AND($E192&gt;=DD$5,$E192&lt;DD$5+GanttPeriod),"◇","")),IF(AND(DD$5&lt;=$F192,DD$5+GanttPeriod-1&gt;=$E192),"━","")))</f>
        <v/>
      </c>
      <c r="DE192" s="69" t="str">
        <f aca="false">IF($E192="","",IF($M192,IF(AND($G192&gt;=DE$5,$G192&lt;DE$5+GanttPeriod),"◆",IF(AND($E192&gt;=DE$5,$E192&lt;DE$5+GanttPeriod),"◇","")),IF(AND(DE$5&lt;=$F192,DE$5+GanttPeriod-1&gt;=$E192),"━","")))</f>
        <v/>
      </c>
      <c r="DF192" s="69" t="str">
        <f aca="false">IF($E192="","",IF($M192,IF(AND($G192&gt;=DF$5,$G192&lt;DF$5+GanttPeriod),"◆",IF(AND($E192&gt;=DF$5,$E192&lt;DF$5+GanttPeriod),"◇","")),IF(AND(DF$5&lt;=$F192,DF$5+GanttPeriod-1&gt;=$E192),"━","")))</f>
        <v/>
      </c>
      <c r="DG192" s="69" t="str">
        <f aca="false">IF($E192="","",IF($M192,IF(AND($G192&gt;=DG$5,$G192&lt;DG$5+GanttPeriod),"◆",IF(AND($E192&gt;=DG$5,$E192&lt;DG$5+GanttPeriod),"◇","")),IF(AND(DG$5&lt;=$F192,DG$5+GanttPeriod-1&gt;=$E192),"━","")))</f>
        <v/>
      </c>
      <c r="DH192" s="69" t="str">
        <f aca="false">IF($E192="","",IF($M192,IF(AND($G192&gt;=DH$5,$G192&lt;DH$5+GanttPeriod),"◆",IF(AND($E192&gt;=DH$5,$E192&lt;DH$5+GanttPeriod),"◇","")),IF(AND(DH$5&lt;=$F192,DH$5+GanttPeriod-1&gt;=$E192),"━","")))</f>
        <v/>
      </c>
      <c r="DI192" s="69" t="str">
        <f aca="false">IF($E192="","",IF($M192,IF(AND($G192&gt;=DI$5,$G192&lt;DI$5+GanttPeriod),"◆",IF(AND($E192&gt;=DI$5,$E192&lt;DI$5+GanttPeriod),"◇","")),IF(AND(DI$5&lt;=$F192,DI$5+GanttPeriod-1&gt;=$E192),"━","")))</f>
        <v/>
      </c>
      <c r="DJ192" s="69" t="str">
        <f aca="false">IF($E192="","",IF($M192,IF(AND($G192&gt;=DJ$5,$G192&lt;DJ$5+GanttPeriod),"◆",IF(AND($E192&gt;=DJ$5,$E192&lt;DJ$5+GanttPeriod),"◇","")),IF(AND(DJ$5&lt;=$F192,DJ$5+GanttPeriod-1&gt;=$E192),"━","")))</f>
        <v/>
      </c>
      <c r="DK192" s="69" t="str">
        <f aca="false">IF($E192="","",IF($M192,IF(AND($G192&gt;=DK$5,$G192&lt;DK$5+GanttPeriod),"◆",IF(AND($E192&gt;=DK$5,$E192&lt;DK$5+GanttPeriod),"◇","")),IF(AND(DK$5&lt;=$F192,DK$5+GanttPeriod-1&gt;=$E192),"━","")))</f>
        <v/>
      </c>
      <c r="DL192" s="69" t="str">
        <f aca="false">IF($E192="","",IF($M192,IF(AND($G192&gt;=DL$5,$G192&lt;DL$5+GanttPeriod),"◆",IF(AND($E192&gt;=DL$5,$E192&lt;DL$5+GanttPeriod),"◇","")),IF(AND(DL$5&lt;=$F192,DL$5+GanttPeriod-1&gt;=$E192),"━","")))</f>
        <v/>
      </c>
      <c r="DM192" s="69" t="str">
        <f aca="false">IF($E192="","",IF($M192,IF(AND($G192&gt;=DM$5,$G192&lt;DM$5+GanttPeriod),"◆",IF(AND($E192&gt;=DM$5,$E192&lt;DM$5+GanttPeriod),"◇","")),IF(AND(DM$5&lt;=$F192,DM$5+GanttPeriod-1&gt;=$E192),"━","")))</f>
        <v/>
      </c>
      <c r="DN192" s="69" t="str">
        <f aca="false">IF($E192="","",IF($M192,IF(AND($G192&gt;=DN$5,$G192&lt;DN$5+GanttPeriod),"◆",IF(AND($E192&gt;=DN$5,$E192&lt;DN$5+GanttPeriod),"◇","")),IF(AND(DN$5&lt;=$F192,DN$5+GanttPeriod-1&gt;=$E192),"━","")))</f>
        <v/>
      </c>
      <c r="DO192" s="69" t="str">
        <f aca="false">IF($E192="","",IF($M192,IF(AND($G192&gt;=DO$5,$G192&lt;DO$5+GanttPeriod),"◆",IF(AND($E192&gt;=DO$5,$E192&lt;DO$5+GanttPeriod),"◇","")),IF(AND(DO$5&lt;=$F192,DO$5+GanttPeriod-1&gt;=$E192),"━","")))</f>
        <v/>
      </c>
      <c r="DP192" s="69" t="str">
        <f aca="false">IF($E192="","",IF($M192,IF(AND($G192&gt;=DP$5,$G192&lt;DP$5+GanttPeriod),"◆",IF(AND($E192&gt;=DP$5,$E192&lt;DP$5+GanttPeriod),"◇","")),IF(AND(DP$5&lt;=$F192,DP$5+GanttPeriod-1&gt;=$E192),"━","")))</f>
        <v/>
      </c>
      <c r="DQ192" s="69" t="str">
        <f aca="false">IF($E192="","",IF($M192,IF(AND($G192&gt;=DQ$5,$G192&lt;DQ$5+GanttPeriod),"◆",IF(AND($E192&gt;=DQ$5,$E192&lt;DQ$5+GanttPeriod),"◇","")),IF(AND(DQ$5&lt;=$F192,DQ$5+GanttPeriod-1&gt;=$E192),"━","")))</f>
        <v/>
      </c>
      <c r="DR192" s="69" t="str">
        <f aca="false">IF($E192="","",IF($M192,IF(AND($G192&gt;=DR$5,$G192&lt;DR$5+GanttPeriod),"◆",IF(AND($E192&gt;=DR$5,$E192&lt;DR$5+GanttPeriod),"◇","")),IF(AND(DR$5&lt;=$F192,DR$5+GanttPeriod-1&gt;=$E192),"━","")))</f>
        <v/>
      </c>
      <c r="DS192" s="69" t="str">
        <f aca="false">IF($E192="","",IF($M192,IF(AND($G192&gt;=DS$5,$G192&lt;DS$5+GanttPeriod),"◆",IF(AND($E192&gt;=DS$5,$E192&lt;DS$5+GanttPeriod),"◇","")),IF(AND(DS$5&lt;=$F192,DS$5+GanttPeriod-1&gt;=$E192),"━","")))</f>
        <v/>
      </c>
      <c r="DT192" s="69" t="str">
        <f aca="false">IF($E192="","",IF($M192,IF(AND($G192&gt;=DT$5,$G192&lt;DT$5+GanttPeriod),"◆",IF(AND($E192&gt;=DT$5,$E192&lt;DT$5+GanttPeriod),"◇","")),IF(AND(DT$5&lt;=$F192,DT$5+GanttPeriod-1&gt;=$E192),"━","")))</f>
        <v/>
      </c>
      <c r="DU192" s="69" t="str">
        <f aca="false">IF($E192="","",IF($M192,IF(AND($G192&gt;=DU$5,$G192&lt;DU$5+GanttPeriod),"◆",IF(AND($E192&gt;=DU$5,$E192&lt;DU$5+GanttPeriod),"◇","")),IF(AND(DU$5&lt;=$F192,DU$5+GanttPeriod-1&gt;=$E192),"━","")))</f>
        <v/>
      </c>
      <c r="DV192" s="69" t="str">
        <f aca="false">IF($E192="","",IF($M192,IF(AND($G192&gt;=DV$5,$G192&lt;DV$5+GanttPeriod),"◆",IF(AND($E192&gt;=DV$5,$E192&lt;DV$5+GanttPeriod),"◇","")),IF(AND(DV$5&lt;=$F192,DV$5+GanttPeriod-1&gt;=$E192),"━","")))</f>
        <v/>
      </c>
      <c r="DW192" s="69" t="str">
        <f aca="false">IF($E192="","",IF($M192,IF(AND($G192&gt;=DW$5,$G192&lt;DW$5+GanttPeriod),"◆",IF(AND($E192&gt;=DW$5,$E192&lt;DW$5+GanttPeriod),"◇","")),IF(AND(DW$5&lt;=$F192,DW$5+GanttPeriod-1&gt;=$E192),"━","")))</f>
        <v/>
      </c>
      <c r="DX192" s="69" t="str">
        <f aca="false">IF($E192="","",IF($M192,IF(AND($G192&gt;=DX$5,$G192&lt;DX$5+GanttPeriod),"◆",IF(AND($E192&gt;=DX$5,$E192&lt;DX$5+GanttPeriod),"◇","")),IF(AND(DX$5&lt;=$F192,DX$5+GanttPeriod-1&gt;=$E192),"━","")))</f>
        <v/>
      </c>
      <c r="DY192" s="69" t="str">
        <f aca="false">IF($E192="","",IF($M192,IF(AND($G192&gt;=DY$5,$G192&lt;DY$5+GanttPeriod),"◆",IF(AND($E192&gt;=DY$5,$E192&lt;DY$5+GanttPeriod),"◇","")),IF(AND(DY$5&lt;=$F192,DY$5+GanttPeriod-1&gt;=$E192),"━","")))</f>
        <v/>
      </c>
      <c r="DZ192" s="69" t="str">
        <f aca="false">IF($E192="","",IF($M192,IF(AND($G192&gt;=DZ$5,$G192&lt;DZ$5+GanttPeriod),"◆",IF(AND($E192&gt;=DZ$5,$E192&lt;DZ$5+GanttPeriod),"◇","")),IF(AND(DZ$5&lt;=$F192,DZ$5+GanttPeriod-1&gt;=$E192),"━","")))</f>
        <v/>
      </c>
      <c r="EA192" s="69" t="str">
        <f aca="false">IF($E192="","",IF($M192,IF(AND($G192&gt;=EA$5,$G192&lt;EA$5+GanttPeriod),"◆",IF(AND($E192&gt;=EA$5,$E192&lt;EA$5+GanttPeriod),"◇","")),IF(AND(EA$5&lt;=$F192,EA$5+GanttPeriod-1&gt;=$E192),"━","")))</f>
        <v/>
      </c>
      <c r="EB192" s="69" t="str">
        <f aca="false">IF($E192="","",IF($M192,IF(AND($G192&gt;=EB$5,$G192&lt;EB$5+GanttPeriod),"◆",IF(AND($E192&gt;=EB$5,$E192&lt;EB$5+GanttPeriod),"◇","")),IF(AND(EB$5&lt;=$F192,EB$5+GanttPeriod-1&gt;=$E192),"━","")))</f>
        <v/>
      </c>
      <c r="EC192" s="69" t="str">
        <f aca="false">IF($E192="","",IF($M192,IF(AND($G192&gt;=EC$5,$G192&lt;EC$5+GanttPeriod),"◆",IF(AND($E192&gt;=EC$5,$E192&lt;EC$5+GanttPeriod),"◇","")),IF(AND(EC$5&lt;=$F192,EC$5+GanttPeriod-1&gt;=$E192),"━","")))</f>
        <v/>
      </c>
      <c r="ED192" s="69" t="str">
        <f aca="false">IF($E192="","",IF($M192,IF(AND($G192&gt;=ED$5,$G192&lt;ED$5+GanttPeriod),"◆",IF(AND($E192&gt;=ED$5,$E192&lt;ED$5+GanttPeriod),"◇","")),IF(AND(ED$5&lt;=$F192,ED$5+GanttPeriod-1&gt;=$E192),"━","")))</f>
        <v/>
      </c>
      <c r="EE192" s="69" t="str">
        <f aca="false">IF($E192="","",IF($M192,IF(AND($G192&gt;=EE$5,$G192&lt;EE$5+GanttPeriod),"◆",IF(AND($E192&gt;=EE$5,$E192&lt;EE$5+GanttPeriod),"◇","")),IF(AND(EE$5&lt;=$F192,EE$5+GanttPeriod-1&gt;=$E192),"━","")))</f>
        <v/>
      </c>
      <c r="EF192" s="69" t="str">
        <f aca="false">IF($E192="","",IF($M192,IF(AND($G192&gt;=EF$5,$G192&lt;EF$5+GanttPeriod),"◆",IF(AND($E192&gt;=EF$5,$E192&lt;EF$5+GanttPeriod),"◇","")),IF(AND(EF$5&lt;=$F192,EF$5+GanttPeriod-1&gt;=$E192),"━","")))</f>
        <v/>
      </c>
      <c r="EG192" s="69" t="str">
        <f aca="false">IF($E192="","",IF($M192,IF(AND($G192&gt;=EG$5,$G192&lt;EG$5+GanttPeriod),"◆",IF(AND($E192&gt;=EG$5,$E192&lt;EG$5+GanttPeriod),"◇","")),IF(AND(EG$5&lt;=$F192,EG$5+GanttPeriod-1&gt;=$E192),"━","")))</f>
        <v/>
      </c>
      <c r="EH192" s="69" t="str">
        <f aca="false">IF($E192="","",IF($M192,IF(AND($G192&gt;=EH$5,$G192&lt;EH$5+GanttPeriod),"◆",IF(AND($E192&gt;=EH$5,$E192&lt;EH$5+GanttPeriod),"◇","")),IF(AND(EH$5&lt;=$F192,EH$5+GanttPeriod-1&gt;=$E192),"━","")))</f>
        <v/>
      </c>
      <c r="EI192" s="69" t="str">
        <f aca="false">IF($E192="","",IF($M192,IF(AND($G192&gt;=EI$5,$G192&lt;EI$5+GanttPeriod),"◆",IF(AND($E192&gt;=EI$5,$E192&lt;EI$5+GanttPeriod),"◇","")),IF(AND(EI$5&lt;=$F192,EI$5+GanttPeriod-1&gt;=$E192),"━","")))</f>
        <v/>
      </c>
      <c r="EJ192" s="69" t="str">
        <f aca="false">IF($E192="","",IF($M192,IF(AND($G192&gt;=EJ$5,$G192&lt;EJ$5+GanttPeriod),"◆",IF(AND($E192&gt;=EJ$5,$E192&lt;EJ$5+GanttPeriod),"◇","")),IF(AND(EJ$5&lt;=$F192,EJ$5+GanttPeriod-1&gt;=$E192),"━","")))</f>
        <v/>
      </c>
      <c r="EK192" s="69" t="str">
        <f aca="false">IF($E192="","",IF($M192,IF(AND($G192&gt;=EK$5,$G192&lt;EK$5+GanttPeriod),"◆",IF(AND($E192&gt;=EK$5,$E192&lt;EK$5+GanttPeriod),"◇","")),IF(AND(EK$5&lt;=$F192,EK$5+GanttPeriod-1&gt;=$E192),"━","")))</f>
        <v/>
      </c>
      <c r="EL192" s="69" t="str">
        <f aca="false">IF($E192="","",IF($M192,IF(AND($G192&gt;=EL$5,$G192&lt;EL$5+GanttPeriod),"◆",IF(AND($E192&gt;=EL$5,$E192&lt;EL$5+GanttPeriod),"◇","")),IF(AND(EL$5&lt;=$F192,EL$5+GanttPeriod-1&gt;=$E192),"━","")))</f>
        <v/>
      </c>
      <c r="EM192" s="69" t="str">
        <f aca="false">IF($E192="","",IF($M192,IF(AND($G192&gt;=EM$5,$G192&lt;EM$5+GanttPeriod),"◆",IF(AND($E192&gt;=EM$5,$E192&lt;EM$5+GanttPeriod),"◇","")),IF(AND(EM$5&lt;=$F192,EM$5+GanttPeriod-1&gt;=$E192),"━","")))</f>
        <v/>
      </c>
      <c r="EN192" s="69" t="str">
        <f aca="false">IF($E192="","",IF($M192,IF(AND($G192&gt;=EN$5,$G192&lt;EN$5+GanttPeriod),"◆",IF(AND($E192&gt;=EN$5,$E192&lt;EN$5+GanttPeriod),"◇","")),IF(AND(EN$5&lt;=$F192,EN$5+GanttPeriod-1&gt;=$E192),"━","")))</f>
        <v/>
      </c>
      <c r="EO192" s="69" t="str">
        <f aca="false">IF($E192="","",IF($M192,IF(AND($G192&gt;=EO$5,$G192&lt;EO$5+GanttPeriod),"◆",IF(AND($E192&gt;=EO$5,$E192&lt;EO$5+GanttPeriod),"◇","")),IF(AND(EO$5&lt;=$F192,EO$5+GanttPeriod-1&gt;=$E192),"━","")))</f>
        <v/>
      </c>
      <c r="EP192" s="69" t="str">
        <f aca="false">IF($E192="","",IF($M192,IF(AND($G192&gt;=EP$5,$G192&lt;EP$5+GanttPeriod),"◆",IF(AND($E192&gt;=EP$5,$E192&lt;EP$5+GanttPeriod),"◇","")),IF(AND(EP$5&lt;=$F192,EP$5+GanttPeriod-1&gt;=$E192),"━","")))</f>
        <v/>
      </c>
      <c r="EQ192" s="69" t="str">
        <f aca="false">IF($E192="","",IF($M192,IF(AND($G192&gt;=EQ$5,$G192&lt;EQ$5+GanttPeriod),"◆",IF(AND($E192&gt;=EQ$5,$E192&lt;EQ$5+GanttPeriod),"◇","")),IF(AND(EQ$5&lt;=$F192,EQ$5+GanttPeriod-1&gt;=$E192),"━","")))</f>
        <v/>
      </c>
      <c r="ER192" s="69" t="str">
        <f aca="false">IF($E192="","",IF($M192,IF(AND($G192&gt;=ER$5,$G192&lt;ER$5+GanttPeriod),"◆",IF(AND($E192&gt;=ER$5,$E192&lt;ER$5+GanttPeriod),"◇","")),IF(AND(ER$5&lt;=$F192,ER$5+GanttPeriod-1&gt;=$E192),"━","")))</f>
        <v/>
      </c>
      <c r="ES192" s="69" t="str">
        <f aca="false">IF($E192="","",IF($M192,IF(AND($G192&gt;=ES$5,$G192&lt;ES$5+GanttPeriod),"◆",IF(AND($E192&gt;=ES$5,$E192&lt;ES$5+GanttPeriod),"◇","")),IF(AND(ES$5&lt;=$F192,ES$5+GanttPeriod-1&gt;=$E192),"━","")))</f>
        <v/>
      </c>
      <c r="ET192" s="69" t="str">
        <f aca="false">IF($E192="","",IF($M192,IF(AND($G192&gt;=ET$5,$G192&lt;ET$5+GanttPeriod),"◆",IF(AND($E192&gt;=ET$5,$E192&lt;ET$5+GanttPeriod),"◇","")),IF(AND(ET$5&lt;=$F192,ET$5+GanttPeriod-1&gt;=$E192),"━","")))</f>
        <v/>
      </c>
      <c r="EU192" s="69" t="str">
        <f aca="false">IF($E192="","",IF($M192,IF(AND($G192&gt;=EU$5,$G192&lt;EU$5+GanttPeriod),"◆",IF(AND($E192&gt;=EU$5,$E192&lt;EU$5+GanttPeriod),"◇","")),IF(AND(EU$5&lt;=$F192,EU$5+GanttPeriod-1&gt;=$E192),"━","")))</f>
        <v/>
      </c>
      <c r="EV192" s="69" t="str">
        <f aca="false">IF($E192="","",IF($M192,IF(AND($G192&gt;=EV$5,$G192&lt;EV$5+GanttPeriod),"◆",IF(AND($E192&gt;=EV$5,$E192&lt;EV$5+GanttPeriod),"◇","")),IF(AND(EV$5&lt;=$F192,EV$5+GanttPeriod-1&gt;=$E192),"━","")))</f>
        <v/>
      </c>
      <c r="EW192" s="69" t="str">
        <f aca="false">IF($E192="","",IF($M192,IF(AND($G192&gt;=EW$5,$G192&lt;EW$5+GanttPeriod),"◆",IF(AND($E192&gt;=EW$5,$E192&lt;EW$5+GanttPeriod),"◇","")),IF(AND(EW$5&lt;=$F192,EW$5+GanttPeriod-1&gt;=$E192),"━","")))</f>
        <v/>
      </c>
      <c r="EX192" s="69" t="str">
        <f aca="false">IF($E192="","",IF($M192,IF(AND($G192&gt;=EX$5,$G192&lt;EX$5+GanttPeriod),"◆",IF(AND($E192&gt;=EX$5,$E192&lt;EX$5+GanttPeriod),"◇","")),IF(AND(EX$5&lt;=$F192,EX$5+GanttPeriod-1&gt;=$E192),"━","")))</f>
        <v/>
      </c>
      <c r="EY192" s="69" t="str">
        <f aca="false">IF($E192="","",IF($M192,IF(AND($G192&gt;=EY$5,$G192&lt;EY$5+GanttPeriod),"◆",IF(AND($E192&gt;=EY$5,$E192&lt;EY$5+GanttPeriod),"◇","")),IF(AND(EY$5&lt;=$F192,EY$5+GanttPeriod-1&gt;=$E192),"━","")))</f>
        <v/>
      </c>
      <c r="EZ192" s="69" t="str">
        <f aca="false">IF($E192="","",IF($M192,IF(AND($G192&gt;=EZ$5,$G192&lt;EZ$5+GanttPeriod),"◆",IF(AND($E192&gt;=EZ$5,$E192&lt;EZ$5+GanttPeriod),"◇","")),IF(AND(EZ$5&lt;=$F192,EZ$5+GanttPeriod-1&gt;=$E192),"━","")))</f>
        <v/>
      </c>
      <c r="FA192" s="69" t="str">
        <f aca="false">IF($E192="","",IF($M192,IF(AND($G192&gt;=FA$5,$G192&lt;FA$5+GanttPeriod),"◆",IF(AND($E192&gt;=FA$5,$E192&lt;FA$5+GanttPeriod),"◇","")),IF(AND(FA$5&lt;=$F192,FA$5+GanttPeriod-1&gt;=$E192),"━","")))</f>
        <v/>
      </c>
      <c r="FB192" s="69" t="str">
        <f aca="false">IF($E192="","",IF($M192,IF(AND($G192&gt;=FB$5,$G192&lt;FB$5+GanttPeriod),"◆",IF(AND($E192&gt;=FB$5,$E192&lt;FB$5+GanttPeriod),"◇","")),IF(AND(FB$5&lt;=$F192,FB$5+GanttPeriod-1&gt;=$E192),"━","")))</f>
        <v/>
      </c>
      <c r="FC192" s="69" t="str">
        <f aca="false">IF($E192="","",IF($M192,IF(AND($G192&gt;=FC$5,$G192&lt;FC$5+GanttPeriod),"◆",IF(AND($E192&gt;=FC$5,$E192&lt;FC$5+GanttPeriod),"◇","")),IF(AND(FC$5&lt;=$F192,FC$5+GanttPeriod-1&gt;=$E192),"━","")))</f>
        <v/>
      </c>
      <c r="FD192" s="69" t="str">
        <f aca="false">IF($E192="","",IF($M192,IF(AND($G192&gt;=FD$5,$G192&lt;FD$5+GanttPeriod),"◆",IF(AND($E192&gt;=FD$5,$E192&lt;FD$5+GanttPeriod),"◇","")),IF(AND(FD$5&lt;=$F192,FD$5+GanttPeriod-1&gt;=$E192),"━","")))</f>
        <v/>
      </c>
      <c r="FE192" s="69" t="str">
        <f aca="false">IF($E192="","",IF($M192,IF(AND($G192&gt;=FE$5,$G192&lt;FE$5+GanttPeriod),"◆",IF(AND($E192&gt;=FE$5,$E192&lt;FE$5+GanttPeriod),"◇","")),IF(AND(FE$5&lt;=$F192,FE$5+GanttPeriod-1&gt;=$E192),"━","")))</f>
        <v/>
      </c>
      <c r="FF192" s="69" t="str">
        <f aca="false">IF($E192="","",IF($M192,IF(AND($G192&gt;=FF$5,$G192&lt;FF$5+GanttPeriod),"◆",IF(AND($E192&gt;=FF$5,$E192&lt;FF$5+GanttPeriod),"◇","")),IF(AND(FF$5&lt;=$F192,FF$5+GanttPeriod-1&gt;=$E192),"━","")))</f>
        <v/>
      </c>
      <c r="FG192" s="69" t="str">
        <f aca="false">IF($E192="","",IF($M192,IF(AND($G192&gt;=FG$5,$G192&lt;FG$5+GanttPeriod),"◆",IF(AND($E192&gt;=FG$5,$E192&lt;FG$5+GanttPeriod),"◇","")),IF(AND(FG$5&lt;=$F192,FG$5+GanttPeriod-1&gt;=$E192),"━","")))</f>
        <v/>
      </c>
      <c r="FH192" s="69" t="str">
        <f aca="false">IF($E192="","",IF($M192,IF(AND($G192&gt;=FH$5,$G192&lt;FH$5+GanttPeriod),"◆",IF(AND($E192&gt;=FH$5,$E192&lt;FH$5+GanttPeriod),"◇","")),IF(AND(FH$5&lt;=$F192,FH$5+GanttPeriod-1&gt;=$E192),"━","")))</f>
        <v/>
      </c>
      <c r="FI192" s="69" t="str">
        <f aca="false">IF($E192="","",IF($M192,IF(AND($G192&gt;=FI$5,$G192&lt;FI$5+GanttPeriod),"◆",IF(AND($E192&gt;=FI$5,$E192&lt;FI$5+GanttPeriod),"◇","")),IF(AND(FI$5&lt;=$F192,FI$5+GanttPeriod-1&gt;=$E192),"━","")))</f>
        <v/>
      </c>
      <c r="FJ192" s="69" t="str">
        <f aca="false">IF($E192="","",IF($M192,IF(AND($G192&gt;=FJ$5,$G192&lt;FJ$5+GanttPeriod),"◆",IF(AND($E192&gt;=FJ$5,$E192&lt;FJ$5+GanttPeriod),"◇","")),IF(AND(FJ$5&lt;=$F192,FJ$5+GanttPeriod-1&gt;=$E192),"━","")))</f>
        <v/>
      </c>
      <c r="FK192" s="69" t="str">
        <f aca="false">IF($E192="","",IF($M192,IF(AND($G192&gt;=FK$5,$G192&lt;FK$5+GanttPeriod),"◆",IF(AND($E192&gt;=FK$5,$E192&lt;FK$5+GanttPeriod),"◇","")),IF(AND(FK$5&lt;=$F192,FK$5+GanttPeriod-1&gt;=$E192),"━","")))</f>
        <v/>
      </c>
      <c r="FL192" s="69" t="str">
        <f aca="false">IF($E192="","",IF($M192,IF(AND($G192&gt;=FL$5,$G192&lt;FL$5+GanttPeriod),"◆",IF(AND($E192&gt;=FL$5,$E192&lt;FL$5+GanttPeriod),"◇","")),IF(AND(FL$5&lt;=$F192,FL$5+GanttPeriod-1&gt;=$E192),"━","")))</f>
        <v/>
      </c>
      <c r="FM192" s="69" t="str">
        <f aca="false">IF($E192="","",IF($M192,IF(AND($G192&gt;=FM$5,$G192&lt;FM$5+GanttPeriod),"◆",IF(AND($E192&gt;=FM$5,$E192&lt;FM$5+GanttPeriod),"◇","")),IF(AND(FM$5&lt;=$F192,FM$5+GanttPeriod-1&gt;=$E192),"━","")))</f>
        <v/>
      </c>
    </row>
    <row r="193" customFormat="false" ht="15" hidden="false" customHeight="false" outlineLevel="0" collapsed="false">
      <c r="A193" s="62" t="str">
        <f aca="false">IF(Tasks!$D193="","",Tasks!$A193)</f>
        <v/>
      </c>
      <c r="B193" s="62" t="str">
        <f aca="false">IF(Tasks!$D193="","",Tasks!$B193)</f>
        <v/>
      </c>
      <c r="C193" s="63" t="str">
        <f aca="false">IF(Tasks!$D193="","",REPT("    ",Tasks!$AE193-1)&amp;Tasks!$D193)</f>
        <v/>
      </c>
      <c r="D193" s="62" t="str">
        <f aca="false">IF(Tasks!$D193="","",IF(Tasks!$AI193,NETWORKDAYS.INTL(Tasks!$R193,Tasks!$S193,WorkWeek,Holidays),N(Tasks!$F193)))</f>
        <v/>
      </c>
      <c r="E193" s="64" t="str">
        <f aca="false">IF(Tasks!$D193="","",Tasks!$N193)</f>
        <v/>
      </c>
      <c r="F193" s="64" t="str">
        <f aca="false">IF(Tasks!$D193="","",Tasks!$O193)</f>
        <v/>
      </c>
      <c r="G193" s="64" t="str">
        <f aca="false">IF(Tasks!$D193="","",Tasks!$R193)</f>
        <v/>
      </c>
      <c r="H193" s="64" t="str">
        <f aca="false">IF(Tasks!$D193="","",Tasks!$S193)</f>
        <v/>
      </c>
      <c r="I193" s="65" t="str">
        <f aca="false">IF(Tasks!$D193="","",Tasks!$V193)</f>
        <v/>
      </c>
      <c r="J193" s="63" t="str">
        <f aca="false">IF(Tasks!$D193="","",Tasks!$X193&amp;"")</f>
        <v/>
      </c>
      <c r="K193" s="66" t="str">
        <f aca="false">IF(Tasks!$D193="","",Tasks!$W193)</f>
        <v/>
      </c>
      <c r="L193" s="67" t="b">
        <f aca="false">IF(Tasks!$D193="",FALSE(),Tasks!$AI193)</f>
        <v>0</v>
      </c>
      <c r="M193" s="67" t="b">
        <f aca="false">AND(Tasks!$AJ193=1,N(Tasks!$F193)=0)</f>
        <v>0</v>
      </c>
      <c r="N193" s="68" t="n">
        <f aca="false">IF(AND(Tasks!$AJ193=1,NOT($M193),N($I193)&gt;0),$G193,0)</f>
        <v>0</v>
      </c>
      <c r="O193" s="68" t="n">
        <f aca="false">IF($N193=0,0,IF($I193&gt;=1,$H193,MAX($N193,$G193+ROUND(($H193-$G193+1)*$I193,0)-1)))</f>
        <v>0</v>
      </c>
      <c r="P193" s="68" t="n">
        <f aca="false">IF(OR(Tasks!$AJ193&lt;&gt;1,$M193,N($I193)&gt;=1),0,IF($O193&gt;0,$O193+1,$G193))</f>
        <v>0</v>
      </c>
      <c r="Q193" s="68" t="n">
        <f aca="false">IF($P193=0,0,$H193)</f>
        <v>0</v>
      </c>
      <c r="R193" s="67" t="b">
        <f aca="false">AND(Tasks!$D193&lt;&gt;"",N(Tasks!$T193)&gt;0)</f>
        <v>0</v>
      </c>
      <c r="T193" s="69" t="str">
        <f aca="false">IF($E193="","",IF($M193,IF(AND($G193&gt;=T$5,$G193&lt;T$5+GanttPeriod),"◆",IF(AND($E193&gt;=T$5,$E193&lt;T$5+GanttPeriod),"◇","")),IF(AND(T$5&lt;=$F193,T$5+GanttPeriod-1&gt;=$E193),"━","")))</f>
        <v/>
      </c>
      <c r="U193" s="69" t="str">
        <f aca="false">IF($E193="","",IF($M193,IF(AND($G193&gt;=U$5,$G193&lt;U$5+GanttPeriod),"◆",IF(AND($E193&gt;=U$5,$E193&lt;U$5+GanttPeriod),"◇","")),IF(AND(U$5&lt;=$F193,U$5+GanttPeriod-1&gt;=$E193),"━","")))</f>
        <v/>
      </c>
      <c r="V193" s="69" t="str">
        <f aca="false">IF($E193="","",IF($M193,IF(AND($G193&gt;=V$5,$G193&lt;V$5+GanttPeriod),"◆",IF(AND($E193&gt;=V$5,$E193&lt;V$5+GanttPeriod),"◇","")),IF(AND(V$5&lt;=$F193,V$5+GanttPeriod-1&gt;=$E193),"━","")))</f>
        <v/>
      </c>
      <c r="W193" s="69" t="str">
        <f aca="false">IF($E193="","",IF($M193,IF(AND($G193&gt;=W$5,$G193&lt;W$5+GanttPeriod),"◆",IF(AND($E193&gt;=W$5,$E193&lt;W$5+GanttPeriod),"◇","")),IF(AND(W$5&lt;=$F193,W$5+GanttPeriod-1&gt;=$E193),"━","")))</f>
        <v/>
      </c>
      <c r="X193" s="69" t="str">
        <f aca="false">IF($E193="","",IF($M193,IF(AND($G193&gt;=X$5,$G193&lt;X$5+GanttPeriod),"◆",IF(AND($E193&gt;=X$5,$E193&lt;X$5+GanttPeriod),"◇","")),IF(AND(X$5&lt;=$F193,X$5+GanttPeriod-1&gt;=$E193),"━","")))</f>
        <v/>
      </c>
      <c r="Y193" s="69" t="str">
        <f aca="false">IF($E193="","",IF($M193,IF(AND($G193&gt;=Y$5,$G193&lt;Y$5+GanttPeriod),"◆",IF(AND($E193&gt;=Y$5,$E193&lt;Y$5+GanttPeriod),"◇","")),IF(AND(Y$5&lt;=$F193,Y$5+GanttPeriod-1&gt;=$E193),"━","")))</f>
        <v/>
      </c>
      <c r="Z193" s="69" t="str">
        <f aca="false">IF($E193="","",IF($M193,IF(AND($G193&gt;=Z$5,$G193&lt;Z$5+GanttPeriod),"◆",IF(AND($E193&gt;=Z$5,$E193&lt;Z$5+GanttPeriod),"◇","")),IF(AND(Z$5&lt;=$F193,Z$5+GanttPeriod-1&gt;=$E193),"━","")))</f>
        <v/>
      </c>
      <c r="AA193" s="69" t="str">
        <f aca="false">IF($E193="","",IF($M193,IF(AND($G193&gt;=AA$5,$G193&lt;AA$5+GanttPeriod),"◆",IF(AND($E193&gt;=AA$5,$E193&lt;AA$5+GanttPeriod),"◇","")),IF(AND(AA$5&lt;=$F193,AA$5+GanttPeriod-1&gt;=$E193),"━","")))</f>
        <v/>
      </c>
      <c r="AB193" s="69" t="str">
        <f aca="false">IF($E193="","",IF($M193,IF(AND($G193&gt;=AB$5,$G193&lt;AB$5+GanttPeriod),"◆",IF(AND($E193&gt;=AB$5,$E193&lt;AB$5+GanttPeriod),"◇","")),IF(AND(AB$5&lt;=$F193,AB$5+GanttPeriod-1&gt;=$E193),"━","")))</f>
        <v/>
      </c>
      <c r="AC193" s="69" t="str">
        <f aca="false">IF($E193="","",IF($M193,IF(AND($G193&gt;=AC$5,$G193&lt;AC$5+GanttPeriod),"◆",IF(AND($E193&gt;=AC$5,$E193&lt;AC$5+GanttPeriod),"◇","")),IF(AND(AC$5&lt;=$F193,AC$5+GanttPeriod-1&gt;=$E193),"━","")))</f>
        <v/>
      </c>
      <c r="AD193" s="69" t="str">
        <f aca="false">IF($E193="","",IF($M193,IF(AND($G193&gt;=AD$5,$G193&lt;AD$5+GanttPeriod),"◆",IF(AND($E193&gt;=AD$5,$E193&lt;AD$5+GanttPeriod),"◇","")),IF(AND(AD$5&lt;=$F193,AD$5+GanttPeriod-1&gt;=$E193),"━","")))</f>
        <v/>
      </c>
      <c r="AE193" s="69" t="str">
        <f aca="false">IF($E193="","",IF($M193,IF(AND($G193&gt;=AE$5,$G193&lt;AE$5+GanttPeriod),"◆",IF(AND($E193&gt;=AE$5,$E193&lt;AE$5+GanttPeriod),"◇","")),IF(AND(AE$5&lt;=$F193,AE$5+GanttPeriod-1&gt;=$E193),"━","")))</f>
        <v/>
      </c>
      <c r="AF193" s="69" t="str">
        <f aca="false">IF($E193="","",IF($M193,IF(AND($G193&gt;=AF$5,$G193&lt;AF$5+GanttPeriod),"◆",IF(AND($E193&gt;=AF$5,$E193&lt;AF$5+GanttPeriod),"◇","")),IF(AND(AF$5&lt;=$F193,AF$5+GanttPeriod-1&gt;=$E193),"━","")))</f>
        <v/>
      </c>
      <c r="AG193" s="69" t="str">
        <f aca="false">IF($E193="","",IF($M193,IF(AND($G193&gt;=AG$5,$G193&lt;AG$5+GanttPeriod),"◆",IF(AND($E193&gt;=AG$5,$E193&lt;AG$5+GanttPeriod),"◇","")),IF(AND(AG$5&lt;=$F193,AG$5+GanttPeriod-1&gt;=$E193),"━","")))</f>
        <v/>
      </c>
      <c r="AH193" s="69" t="str">
        <f aca="false">IF($E193="","",IF($M193,IF(AND($G193&gt;=AH$5,$G193&lt;AH$5+GanttPeriod),"◆",IF(AND($E193&gt;=AH$5,$E193&lt;AH$5+GanttPeriod),"◇","")),IF(AND(AH$5&lt;=$F193,AH$5+GanttPeriod-1&gt;=$E193),"━","")))</f>
        <v/>
      </c>
      <c r="AI193" s="69" t="str">
        <f aca="false">IF($E193="","",IF($M193,IF(AND($G193&gt;=AI$5,$G193&lt;AI$5+GanttPeriod),"◆",IF(AND($E193&gt;=AI$5,$E193&lt;AI$5+GanttPeriod),"◇","")),IF(AND(AI$5&lt;=$F193,AI$5+GanttPeriod-1&gt;=$E193),"━","")))</f>
        <v/>
      </c>
      <c r="AJ193" s="69" t="str">
        <f aca="false">IF($E193="","",IF($M193,IF(AND($G193&gt;=AJ$5,$G193&lt;AJ$5+GanttPeriod),"◆",IF(AND($E193&gt;=AJ$5,$E193&lt;AJ$5+GanttPeriod),"◇","")),IF(AND(AJ$5&lt;=$F193,AJ$5+GanttPeriod-1&gt;=$E193),"━","")))</f>
        <v/>
      </c>
      <c r="AK193" s="69" t="str">
        <f aca="false">IF($E193="","",IF($M193,IF(AND($G193&gt;=AK$5,$G193&lt;AK$5+GanttPeriod),"◆",IF(AND($E193&gt;=AK$5,$E193&lt;AK$5+GanttPeriod),"◇","")),IF(AND(AK$5&lt;=$F193,AK$5+GanttPeriod-1&gt;=$E193),"━","")))</f>
        <v/>
      </c>
      <c r="AL193" s="69" t="str">
        <f aca="false">IF($E193="","",IF($M193,IF(AND($G193&gt;=AL$5,$G193&lt;AL$5+GanttPeriod),"◆",IF(AND($E193&gt;=AL$5,$E193&lt;AL$5+GanttPeriod),"◇","")),IF(AND(AL$5&lt;=$F193,AL$5+GanttPeriod-1&gt;=$E193),"━","")))</f>
        <v/>
      </c>
      <c r="AM193" s="69" t="str">
        <f aca="false">IF($E193="","",IF($M193,IF(AND($G193&gt;=AM$5,$G193&lt;AM$5+GanttPeriod),"◆",IF(AND($E193&gt;=AM$5,$E193&lt;AM$5+GanttPeriod),"◇","")),IF(AND(AM$5&lt;=$F193,AM$5+GanttPeriod-1&gt;=$E193),"━","")))</f>
        <v/>
      </c>
      <c r="AN193" s="69" t="str">
        <f aca="false">IF($E193="","",IF($M193,IF(AND($G193&gt;=AN$5,$G193&lt;AN$5+GanttPeriod),"◆",IF(AND($E193&gt;=AN$5,$E193&lt;AN$5+GanttPeriod),"◇","")),IF(AND(AN$5&lt;=$F193,AN$5+GanttPeriod-1&gt;=$E193),"━","")))</f>
        <v/>
      </c>
      <c r="AO193" s="69" t="str">
        <f aca="false">IF($E193="","",IF($M193,IF(AND($G193&gt;=AO$5,$G193&lt;AO$5+GanttPeriod),"◆",IF(AND($E193&gt;=AO$5,$E193&lt;AO$5+GanttPeriod),"◇","")),IF(AND(AO$5&lt;=$F193,AO$5+GanttPeriod-1&gt;=$E193),"━","")))</f>
        <v/>
      </c>
      <c r="AP193" s="69" t="str">
        <f aca="false">IF($E193="","",IF($M193,IF(AND($G193&gt;=AP$5,$G193&lt;AP$5+GanttPeriod),"◆",IF(AND($E193&gt;=AP$5,$E193&lt;AP$5+GanttPeriod),"◇","")),IF(AND(AP$5&lt;=$F193,AP$5+GanttPeriod-1&gt;=$E193),"━","")))</f>
        <v/>
      </c>
      <c r="AQ193" s="69" t="str">
        <f aca="false">IF($E193="","",IF($M193,IF(AND($G193&gt;=AQ$5,$G193&lt;AQ$5+GanttPeriod),"◆",IF(AND($E193&gt;=AQ$5,$E193&lt;AQ$5+GanttPeriod),"◇","")),IF(AND(AQ$5&lt;=$F193,AQ$5+GanttPeriod-1&gt;=$E193),"━","")))</f>
        <v/>
      </c>
      <c r="AR193" s="69" t="str">
        <f aca="false">IF($E193="","",IF($M193,IF(AND($G193&gt;=AR$5,$G193&lt;AR$5+GanttPeriod),"◆",IF(AND($E193&gt;=AR$5,$E193&lt;AR$5+GanttPeriod),"◇","")),IF(AND(AR$5&lt;=$F193,AR$5+GanttPeriod-1&gt;=$E193),"━","")))</f>
        <v/>
      </c>
      <c r="AS193" s="69" t="str">
        <f aca="false">IF($E193="","",IF($M193,IF(AND($G193&gt;=AS$5,$G193&lt;AS$5+GanttPeriod),"◆",IF(AND($E193&gt;=AS$5,$E193&lt;AS$5+GanttPeriod),"◇","")),IF(AND(AS$5&lt;=$F193,AS$5+GanttPeriod-1&gt;=$E193),"━","")))</f>
        <v/>
      </c>
      <c r="AT193" s="69" t="str">
        <f aca="false">IF($E193="","",IF($M193,IF(AND($G193&gt;=AT$5,$G193&lt;AT$5+GanttPeriod),"◆",IF(AND($E193&gt;=AT$5,$E193&lt;AT$5+GanttPeriod),"◇","")),IF(AND(AT$5&lt;=$F193,AT$5+GanttPeriod-1&gt;=$E193),"━","")))</f>
        <v/>
      </c>
      <c r="AU193" s="69" t="str">
        <f aca="false">IF($E193="","",IF($M193,IF(AND($G193&gt;=AU$5,$G193&lt;AU$5+GanttPeriod),"◆",IF(AND($E193&gt;=AU$5,$E193&lt;AU$5+GanttPeriod),"◇","")),IF(AND(AU$5&lt;=$F193,AU$5+GanttPeriod-1&gt;=$E193),"━","")))</f>
        <v/>
      </c>
      <c r="AV193" s="69" t="str">
        <f aca="false">IF($E193="","",IF($M193,IF(AND($G193&gt;=AV$5,$G193&lt;AV$5+GanttPeriod),"◆",IF(AND($E193&gt;=AV$5,$E193&lt;AV$5+GanttPeriod),"◇","")),IF(AND(AV$5&lt;=$F193,AV$5+GanttPeriod-1&gt;=$E193),"━","")))</f>
        <v/>
      </c>
      <c r="AW193" s="69" t="str">
        <f aca="false">IF($E193="","",IF($M193,IF(AND($G193&gt;=AW$5,$G193&lt;AW$5+GanttPeriod),"◆",IF(AND($E193&gt;=AW$5,$E193&lt;AW$5+GanttPeriod),"◇","")),IF(AND(AW$5&lt;=$F193,AW$5+GanttPeriod-1&gt;=$E193),"━","")))</f>
        <v/>
      </c>
      <c r="AX193" s="69" t="str">
        <f aca="false">IF($E193="","",IF($M193,IF(AND($G193&gt;=AX$5,$G193&lt;AX$5+GanttPeriod),"◆",IF(AND($E193&gt;=AX$5,$E193&lt;AX$5+GanttPeriod),"◇","")),IF(AND(AX$5&lt;=$F193,AX$5+GanttPeriod-1&gt;=$E193),"━","")))</f>
        <v/>
      </c>
      <c r="AY193" s="69" t="str">
        <f aca="false">IF($E193="","",IF($M193,IF(AND($G193&gt;=AY$5,$G193&lt;AY$5+GanttPeriod),"◆",IF(AND($E193&gt;=AY$5,$E193&lt;AY$5+GanttPeriod),"◇","")),IF(AND(AY$5&lt;=$F193,AY$5+GanttPeriod-1&gt;=$E193),"━","")))</f>
        <v/>
      </c>
      <c r="AZ193" s="69" t="str">
        <f aca="false">IF($E193="","",IF($M193,IF(AND($G193&gt;=AZ$5,$G193&lt;AZ$5+GanttPeriod),"◆",IF(AND($E193&gt;=AZ$5,$E193&lt;AZ$5+GanttPeriod),"◇","")),IF(AND(AZ$5&lt;=$F193,AZ$5+GanttPeriod-1&gt;=$E193),"━","")))</f>
        <v/>
      </c>
      <c r="BA193" s="69" t="str">
        <f aca="false">IF($E193="","",IF($M193,IF(AND($G193&gt;=BA$5,$G193&lt;BA$5+GanttPeriod),"◆",IF(AND($E193&gt;=BA$5,$E193&lt;BA$5+GanttPeriod),"◇","")),IF(AND(BA$5&lt;=$F193,BA$5+GanttPeriod-1&gt;=$E193),"━","")))</f>
        <v/>
      </c>
      <c r="BB193" s="69" t="str">
        <f aca="false">IF($E193="","",IF($M193,IF(AND($G193&gt;=BB$5,$G193&lt;BB$5+GanttPeriod),"◆",IF(AND($E193&gt;=BB$5,$E193&lt;BB$5+GanttPeriod),"◇","")),IF(AND(BB$5&lt;=$F193,BB$5+GanttPeriod-1&gt;=$E193),"━","")))</f>
        <v/>
      </c>
      <c r="BC193" s="69" t="str">
        <f aca="false">IF($E193="","",IF($M193,IF(AND($G193&gt;=BC$5,$G193&lt;BC$5+GanttPeriod),"◆",IF(AND($E193&gt;=BC$5,$E193&lt;BC$5+GanttPeriod),"◇","")),IF(AND(BC$5&lt;=$F193,BC$5+GanttPeriod-1&gt;=$E193),"━","")))</f>
        <v/>
      </c>
      <c r="BD193" s="69" t="str">
        <f aca="false">IF($E193="","",IF($M193,IF(AND($G193&gt;=BD$5,$G193&lt;BD$5+GanttPeriod),"◆",IF(AND($E193&gt;=BD$5,$E193&lt;BD$5+GanttPeriod),"◇","")),IF(AND(BD$5&lt;=$F193,BD$5+GanttPeriod-1&gt;=$E193),"━","")))</f>
        <v/>
      </c>
      <c r="BE193" s="69" t="str">
        <f aca="false">IF($E193="","",IF($M193,IF(AND($G193&gt;=BE$5,$G193&lt;BE$5+GanttPeriod),"◆",IF(AND($E193&gt;=BE$5,$E193&lt;BE$5+GanttPeriod),"◇","")),IF(AND(BE$5&lt;=$F193,BE$5+GanttPeriod-1&gt;=$E193),"━","")))</f>
        <v/>
      </c>
      <c r="BF193" s="69" t="str">
        <f aca="false">IF($E193="","",IF($M193,IF(AND($G193&gt;=BF$5,$G193&lt;BF$5+GanttPeriod),"◆",IF(AND($E193&gt;=BF$5,$E193&lt;BF$5+GanttPeriod),"◇","")),IF(AND(BF$5&lt;=$F193,BF$5+GanttPeriod-1&gt;=$E193),"━","")))</f>
        <v/>
      </c>
      <c r="BG193" s="69" t="str">
        <f aca="false">IF($E193="","",IF($M193,IF(AND($G193&gt;=BG$5,$G193&lt;BG$5+GanttPeriod),"◆",IF(AND($E193&gt;=BG$5,$E193&lt;BG$5+GanttPeriod),"◇","")),IF(AND(BG$5&lt;=$F193,BG$5+GanttPeriod-1&gt;=$E193),"━","")))</f>
        <v/>
      </c>
      <c r="BH193" s="69" t="str">
        <f aca="false">IF($E193="","",IF($M193,IF(AND($G193&gt;=BH$5,$G193&lt;BH$5+GanttPeriod),"◆",IF(AND($E193&gt;=BH$5,$E193&lt;BH$5+GanttPeriod),"◇","")),IF(AND(BH$5&lt;=$F193,BH$5+GanttPeriod-1&gt;=$E193),"━","")))</f>
        <v/>
      </c>
      <c r="BI193" s="69" t="str">
        <f aca="false">IF($E193="","",IF($M193,IF(AND($G193&gt;=BI$5,$G193&lt;BI$5+GanttPeriod),"◆",IF(AND($E193&gt;=BI$5,$E193&lt;BI$5+GanttPeriod),"◇","")),IF(AND(BI$5&lt;=$F193,BI$5+GanttPeriod-1&gt;=$E193),"━","")))</f>
        <v/>
      </c>
      <c r="BJ193" s="69" t="str">
        <f aca="false">IF($E193="","",IF($M193,IF(AND($G193&gt;=BJ$5,$G193&lt;BJ$5+GanttPeriod),"◆",IF(AND($E193&gt;=BJ$5,$E193&lt;BJ$5+GanttPeriod),"◇","")),IF(AND(BJ$5&lt;=$F193,BJ$5+GanttPeriod-1&gt;=$E193),"━","")))</f>
        <v/>
      </c>
      <c r="BK193" s="69" t="str">
        <f aca="false">IF($E193="","",IF($M193,IF(AND($G193&gt;=BK$5,$G193&lt;BK$5+GanttPeriod),"◆",IF(AND($E193&gt;=BK$5,$E193&lt;BK$5+GanttPeriod),"◇","")),IF(AND(BK$5&lt;=$F193,BK$5+GanttPeriod-1&gt;=$E193),"━","")))</f>
        <v/>
      </c>
      <c r="BL193" s="69" t="str">
        <f aca="false">IF($E193="","",IF($M193,IF(AND($G193&gt;=BL$5,$G193&lt;BL$5+GanttPeriod),"◆",IF(AND($E193&gt;=BL$5,$E193&lt;BL$5+GanttPeriod),"◇","")),IF(AND(BL$5&lt;=$F193,BL$5+GanttPeriod-1&gt;=$E193),"━","")))</f>
        <v/>
      </c>
      <c r="BM193" s="69" t="str">
        <f aca="false">IF($E193="","",IF($M193,IF(AND($G193&gt;=BM$5,$G193&lt;BM$5+GanttPeriod),"◆",IF(AND($E193&gt;=BM$5,$E193&lt;BM$5+GanttPeriod),"◇","")),IF(AND(BM$5&lt;=$F193,BM$5+GanttPeriod-1&gt;=$E193),"━","")))</f>
        <v/>
      </c>
      <c r="BN193" s="69" t="str">
        <f aca="false">IF($E193="","",IF($M193,IF(AND($G193&gt;=BN$5,$G193&lt;BN$5+GanttPeriod),"◆",IF(AND($E193&gt;=BN$5,$E193&lt;BN$5+GanttPeriod),"◇","")),IF(AND(BN$5&lt;=$F193,BN$5+GanttPeriod-1&gt;=$E193),"━","")))</f>
        <v/>
      </c>
      <c r="BO193" s="69" t="str">
        <f aca="false">IF($E193="","",IF($M193,IF(AND($G193&gt;=BO$5,$G193&lt;BO$5+GanttPeriod),"◆",IF(AND($E193&gt;=BO$5,$E193&lt;BO$5+GanttPeriod),"◇","")),IF(AND(BO$5&lt;=$F193,BO$5+GanttPeriod-1&gt;=$E193),"━","")))</f>
        <v/>
      </c>
      <c r="BP193" s="69" t="str">
        <f aca="false">IF($E193="","",IF($M193,IF(AND($G193&gt;=BP$5,$G193&lt;BP$5+GanttPeriod),"◆",IF(AND($E193&gt;=BP$5,$E193&lt;BP$5+GanttPeriod),"◇","")),IF(AND(BP$5&lt;=$F193,BP$5+GanttPeriod-1&gt;=$E193),"━","")))</f>
        <v/>
      </c>
      <c r="BQ193" s="69" t="str">
        <f aca="false">IF($E193="","",IF($M193,IF(AND($G193&gt;=BQ$5,$G193&lt;BQ$5+GanttPeriod),"◆",IF(AND($E193&gt;=BQ$5,$E193&lt;BQ$5+GanttPeriod),"◇","")),IF(AND(BQ$5&lt;=$F193,BQ$5+GanttPeriod-1&gt;=$E193),"━","")))</f>
        <v/>
      </c>
      <c r="BR193" s="69" t="str">
        <f aca="false">IF($E193="","",IF($M193,IF(AND($G193&gt;=BR$5,$G193&lt;BR$5+GanttPeriod),"◆",IF(AND($E193&gt;=BR$5,$E193&lt;BR$5+GanttPeriod),"◇","")),IF(AND(BR$5&lt;=$F193,BR$5+GanttPeriod-1&gt;=$E193),"━","")))</f>
        <v/>
      </c>
      <c r="BS193" s="69" t="str">
        <f aca="false">IF($E193="","",IF($M193,IF(AND($G193&gt;=BS$5,$G193&lt;BS$5+GanttPeriod),"◆",IF(AND($E193&gt;=BS$5,$E193&lt;BS$5+GanttPeriod),"◇","")),IF(AND(BS$5&lt;=$F193,BS$5+GanttPeriod-1&gt;=$E193),"━","")))</f>
        <v/>
      </c>
      <c r="BT193" s="69" t="str">
        <f aca="false">IF($E193="","",IF($M193,IF(AND($G193&gt;=BT$5,$G193&lt;BT$5+GanttPeriod),"◆",IF(AND($E193&gt;=BT$5,$E193&lt;BT$5+GanttPeriod),"◇","")),IF(AND(BT$5&lt;=$F193,BT$5+GanttPeriod-1&gt;=$E193),"━","")))</f>
        <v/>
      </c>
      <c r="BU193" s="69" t="str">
        <f aca="false">IF($E193="","",IF($M193,IF(AND($G193&gt;=BU$5,$G193&lt;BU$5+GanttPeriod),"◆",IF(AND($E193&gt;=BU$5,$E193&lt;BU$5+GanttPeriod),"◇","")),IF(AND(BU$5&lt;=$F193,BU$5+GanttPeriod-1&gt;=$E193),"━","")))</f>
        <v/>
      </c>
      <c r="BV193" s="69" t="str">
        <f aca="false">IF($E193="","",IF($M193,IF(AND($G193&gt;=BV$5,$G193&lt;BV$5+GanttPeriod),"◆",IF(AND($E193&gt;=BV$5,$E193&lt;BV$5+GanttPeriod),"◇","")),IF(AND(BV$5&lt;=$F193,BV$5+GanttPeriod-1&gt;=$E193),"━","")))</f>
        <v/>
      </c>
      <c r="BW193" s="69" t="str">
        <f aca="false">IF($E193="","",IF($M193,IF(AND($G193&gt;=BW$5,$G193&lt;BW$5+GanttPeriod),"◆",IF(AND($E193&gt;=BW$5,$E193&lt;BW$5+GanttPeriod),"◇","")),IF(AND(BW$5&lt;=$F193,BW$5+GanttPeriod-1&gt;=$E193),"━","")))</f>
        <v/>
      </c>
      <c r="BX193" s="69" t="str">
        <f aca="false">IF($E193="","",IF($M193,IF(AND($G193&gt;=BX$5,$G193&lt;BX$5+GanttPeriod),"◆",IF(AND($E193&gt;=BX$5,$E193&lt;BX$5+GanttPeriod),"◇","")),IF(AND(BX$5&lt;=$F193,BX$5+GanttPeriod-1&gt;=$E193),"━","")))</f>
        <v/>
      </c>
      <c r="BY193" s="69" t="str">
        <f aca="false">IF($E193="","",IF($M193,IF(AND($G193&gt;=BY$5,$G193&lt;BY$5+GanttPeriod),"◆",IF(AND($E193&gt;=BY$5,$E193&lt;BY$5+GanttPeriod),"◇","")),IF(AND(BY$5&lt;=$F193,BY$5+GanttPeriod-1&gt;=$E193),"━","")))</f>
        <v/>
      </c>
      <c r="BZ193" s="69" t="str">
        <f aca="false">IF($E193="","",IF($M193,IF(AND($G193&gt;=BZ$5,$G193&lt;BZ$5+GanttPeriod),"◆",IF(AND($E193&gt;=BZ$5,$E193&lt;BZ$5+GanttPeriod),"◇","")),IF(AND(BZ$5&lt;=$F193,BZ$5+GanttPeriod-1&gt;=$E193),"━","")))</f>
        <v/>
      </c>
      <c r="CA193" s="69" t="str">
        <f aca="false">IF($E193="","",IF($M193,IF(AND($G193&gt;=CA$5,$G193&lt;CA$5+GanttPeriod),"◆",IF(AND($E193&gt;=CA$5,$E193&lt;CA$5+GanttPeriod),"◇","")),IF(AND(CA$5&lt;=$F193,CA$5+GanttPeriod-1&gt;=$E193),"━","")))</f>
        <v/>
      </c>
      <c r="CB193" s="69" t="str">
        <f aca="false">IF($E193="","",IF($M193,IF(AND($G193&gt;=CB$5,$G193&lt;CB$5+GanttPeriod),"◆",IF(AND($E193&gt;=CB$5,$E193&lt;CB$5+GanttPeriod),"◇","")),IF(AND(CB$5&lt;=$F193,CB$5+GanttPeriod-1&gt;=$E193),"━","")))</f>
        <v/>
      </c>
      <c r="CC193" s="69" t="str">
        <f aca="false">IF($E193="","",IF($M193,IF(AND($G193&gt;=CC$5,$G193&lt;CC$5+GanttPeriod),"◆",IF(AND($E193&gt;=CC$5,$E193&lt;CC$5+GanttPeriod),"◇","")),IF(AND(CC$5&lt;=$F193,CC$5+GanttPeriod-1&gt;=$E193),"━","")))</f>
        <v/>
      </c>
      <c r="CD193" s="69" t="str">
        <f aca="false">IF($E193="","",IF($M193,IF(AND($G193&gt;=CD$5,$G193&lt;CD$5+GanttPeriod),"◆",IF(AND($E193&gt;=CD$5,$E193&lt;CD$5+GanttPeriod),"◇","")),IF(AND(CD$5&lt;=$F193,CD$5+GanttPeriod-1&gt;=$E193),"━","")))</f>
        <v/>
      </c>
      <c r="CE193" s="69" t="str">
        <f aca="false">IF($E193="","",IF($M193,IF(AND($G193&gt;=CE$5,$G193&lt;CE$5+GanttPeriod),"◆",IF(AND($E193&gt;=CE$5,$E193&lt;CE$5+GanttPeriod),"◇","")),IF(AND(CE$5&lt;=$F193,CE$5+GanttPeriod-1&gt;=$E193),"━","")))</f>
        <v/>
      </c>
      <c r="CF193" s="69" t="str">
        <f aca="false">IF($E193="","",IF($M193,IF(AND($G193&gt;=CF$5,$G193&lt;CF$5+GanttPeriod),"◆",IF(AND($E193&gt;=CF$5,$E193&lt;CF$5+GanttPeriod),"◇","")),IF(AND(CF$5&lt;=$F193,CF$5+GanttPeriod-1&gt;=$E193),"━","")))</f>
        <v/>
      </c>
      <c r="CG193" s="69" t="str">
        <f aca="false">IF($E193="","",IF($M193,IF(AND($G193&gt;=CG$5,$G193&lt;CG$5+GanttPeriod),"◆",IF(AND($E193&gt;=CG$5,$E193&lt;CG$5+GanttPeriod),"◇","")),IF(AND(CG$5&lt;=$F193,CG$5+GanttPeriod-1&gt;=$E193),"━","")))</f>
        <v/>
      </c>
      <c r="CH193" s="69" t="str">
        <f aca="false">IF($E193="","",IF($M193,IF(AND($G193&gt;=CH$5,$G193&lt;CH$5+GanttPeriod),"◆",IF(AND($E193&gt;=CH$5,$E193&lt;CH$5+GanttPeriod),"◇","")),IF(AND(CH$5&lt;=$F193,CH$5+GanttPeriod-1&gt;=$E193),"━","")))</f>
        <v/>
      </c>
      <c r="CI193" s="69" t="str">
        <f aca="false">IF($E193="","",IF($M193,IF(AND($G193&gt;=CI$5,$G193&lt;CI$5+GanttPeriod),"◆",IF(AND($E193&gt;=CI$5,$E193&lt;CI$5+GanttPeriod),"◇","")),IF(AND(CI$5&lt;=$F193,CI$5+GanttPeriod-1&gt;=$E193),"━","")))</f>
        <v/>
      </c>
      <c r="CJ193" s="69" t="str">
        <f aca="false">IF($E193="","",IF($M193,IF(AND($G193&gt;=CJ$5,$G193&lt;CJ$5+GanttPeriod),"◆",IF(AND($E193&gt;=CJ$5,$E193&lt;CJ$5+GanttPeriod),"◇","")),IF(AND(CJ$5&lt;=$F193,CJ$5+GanttPeriod-1&gt;=$E193),"━","")))</f>
        <v/>
      </c>
      <c r="CK193" s="69" t="str">
        <f aca="false">IF($E193="","",IF($M193,IF(AND($G193&gt;=CK$5,$G193&lt;CK$5+GanttPeriod),"◆",IF(AND($E193&gt;=CK$5,$E193&lt;CK$5+GanttPeriod),"◇","")),IF(AND(CK$5&lt;=$F193,CK$5+GanttPeriod-1&gt;=$E193),"━","")))</f>
        <v/>
      </c>
      <c r="CL193" s="69" t="str">
        <f aca="false">IF($E193="","",IF($M193,IF(AND($G193&gt;=CL$5,$G193&lt;CL$5+GanttPeriod),"◆",IF(AND($E193&gt;=CL$5,$E193&lt;CL$5+GanttPeriod),"◇","")),IF(AND(CL$5&lt;=$F193,CL$5+GanttPeriod-1&gt;=$E193),"━","")))</f>
        <v/>
      </c>
      <c r="CM193" s="69" t="str">
        <f aca="false">IF($E193="","",IF($M193,IF(AND($G193&gt;=CM$5,$G193&lt;CM$5+GanttPeriod),"◆",IF(AND($E193&gt;=CM$5,$E193&lt;CM$5+GanttPeriod),"◇","")),IF(AND(CM$5&lt;=$F193,CM$5+GanttPeriod-1&gt;=$E193),"━","")))</f>
        <v/>
      </c>
      <c r="CN193" s="69" t="str">
        <f aca="false">IF($E193="","",IF($M193,IF(AND($G193&gt;=CN$5,$G193&lt;CN$5+GanttPeriod),"◆",IF(AND($E193&gt;=CN$5,$E193&lt;CN$5+GanttPeriod),"◇","")),IF(AND(CN$5&lt;=$F193,CN$5+GanttPeriod-1&gt;=$E193),"━","")))</f>
        <v/>
      </c>
      <c r="CO193" s="69" t="str">
        <f aca="false">IF($E193="","",IF($M193,IF(AND($G193&gt;=CO$5,$G193&lt;CO$5+GanttPeriod),"◆",IF(AND($E193&gt;=CO$5,$E193&lt;CO$5+GanttPeriod),"◇","")),IF(AND(CO$5&lt;=$F193,CO$5+GanttPeriod-1&gt;=$E193),"━","")))</f>
        <v/>
      </c>
      <c r="CP193" s="69" t="str">
        <f aca="false">IF($E193="","",IF($M193,IF(AND($G193&gt;=CP$5,$G193&lt;CP$5+GanttPeriod),"◆",IF(AND($E193&gt;=CP$5,$E193&lt;CP$5+GanttPeriod),"◇","")),IF(AND(CP$5&lt;=$F193,CP$5+GanttPeriod-1&gt;=$E193),"━","")))</f>
        <v/>
      </c>
      <c r="CQ193" s="69" t="str">
        <f aca="false">IF($E193="","",IF($M193,IF(AND($G193&gt;=CQ$5,$G193&lt;CQ$5+GanttPeriod),"◆",IF(AND($E193&gt;=CQ$5,$E193&lt;CQ$5+GanttPeriod),"◇","")),IF(AND(CQ$5&lt;=$F193,CQ$5+GanttPeriod-1&gt;=$E193),"━","")))</f>
        <v/>
      </c>
      <c r="CR193" s="69" t="str">
        <f aca="false">IF($E193="","",IF($M193,IF(AND($G193&gt;=CR$5,$G193&lt;CR$5+GanttPeriod),"◆",IF(AND($E193&gt;=CR$5,$E193&lt;CR$5+GanttPeriod),"◇","")),IF(AND(CR$5&lt;=$F193,CR$5+GanttPeriod-1&gt;=$E193),"━","")))</f>
        <v/>
      </c>
      <c r="CS193" s="69" t="str">
        <f aca="false">IF($E193="","",IF($M193,IF(AND($G193&gt;=CS$5,$G193&lt;CS$5+GanttPeriod),"◆",IF(AND($E193&gt;=CS$5,$E193&lt;CS$5+GanttPeriod),"◇","")),IF(AND(CS$5&lt;=$F193,CS$5+GanttPeriod-1&gt;=$E193),"━","")))</f>
        <v/>
      </c>
      <c r="CT193" s="69" t="str">
        <f aca="false">IF($E193="","",IF($M193,IF(AND($G193&gt;=CT$5,$G193&lt;CT$5+GanttPeriod),"◆",IF(AND($E193&gt;=CT$5,$E193&lt;CT$5+GanttPeriod),"◇","")),IF(AND(CT$5&lt;=$F193,CT$5+GanttPeriod-1&gt;=$E193),"━","")))</f>
        <v/>
      </c>
      <c r="CU193" s="69" t="str">
        <f aca="false">IF($E193="","",IF($M193,IF(AND($G193&gt;=CU$5,$G193&lt;CU$5+GanttPeriod),"◆",IF(AND($E193&gt;=CU$5,$E193&lt;CU$5+GanttPeriod),"◇","")),IF(AND(CU$5&lt;=$F193,CU$5+GanttPeriod-1&gt;=$E193),"━","")))</f>
        <v/>
      </c>
      <c r="CV193" s="69" t="str">
        <f aca="false">IF($E193="","",IF($M193,IF(AND($G193&gt;=CV$5,$G193&lt;CV$5+GanttPeriod),"◆",IF(AND($E193&gt;=CV$5,$E193&lt;CV$5+GanttPeriod),"◇","")),IF(AND(CV$5&lt;=$F193,CV$5+GanttPeriod-1&gt;=$E193),"━","")))</f>
        <v/>
      </c>
      <c r="CW193" s="69" t="str">
        <f aca="false">IF($E193="","",IF($M193,IF(AND($G193&gt;=CW$5,$G193&lt;CW$5+GanttPeriod),"◆",IF(AND($E193&gt;=CW$5,$E193&lt;CW$5+GanttPeriod),"◇","")),IF(AND(CW$5&lt;=$F193,CW$5+GanttPeriod-1&gt;=$E193),"━","")))</f>
        <v/>
      </c>
      <c r="CX193" s="69" t="str">
        <f aca="false">IF($E193="","",IF($M193,IF(AND($G193&gt;=CX$5,$G193&lt;CX$5+GanttPeriod),"◆",IF(AND($E193&gt;=CX$5,$E193&lt;CX$5+GanttPeriod),"◇","")),IF(AND(CX$5&lt;=$F193,CX$5+GanttPeriod-1&gt;=$E193),"━","")))</f>
        <v/>
      </c>
      <c r="CY193" s="69" t="str">
        <f aca="false">IF($E193="","",IF($M193,IF(AND($G193&gt;=CY$5,$G193&lt;CY$5+GanttPeriod),"◆",IF(AND($E193&gt;=CY$5,$E193&lt;CY$5+GanttPeriod),"◇","")),IF(AND(CY$5&lt;=$F193,CY$5+GanttPeriod-1&gt;=$E193),"━","")))</f>
        <v/>
      </c>
      <c r="CZ193" s="69" t="str">
        <f aca="false">IF($E193="","",IF($M193,IF(AND($G193&gt;=CZ$5,$G193&lt;CZ$5+GanttPeriod),"◆",IF(AND($E193&gt;=CZ$5,$E193&lt;CZ$5+GanttPeriod),"◇","")),IF(AND(CZ$5&lt;=$F193,CZ$5+GanttPeriod-1&gt;=$E193),"━","")))</f>
        <v/>
      </c>
      <c r="DA193" s="69" t="str">
        <f aca="false">IF($E193="","",IF($M193,IF(AND($G193&gt;=DA$5,$G193&lt;DA$5+GanttPeriod),"◆",IF(AND($E193&gt;=DA$5,$E193&lt;DA$5+GanttPeriod),"◇","")),IF(AND(DA$5&lt;=$F193,DA$5+GanttPeriod-1&gt;=$E193),"━","")))</f>
        <v/>
      </c>
      <c r="DB193" s="69" t="str">
        <f aca="false">IF($E193="","",IF($M193,IF(AND($G193&gt;=DB$5,$G193&lt;DB$5+GanttPeriod),"◆",IF(AND($E193&gt;=DB$5,$E193&lt;DB$5+GanttPeriod),"◇","")),IF(AND(DB$5&lt;=$F193,DB$5+GanttPeriod-1&gt;=$E193),"━","")))</f>
        <v/>
      </c>
      <c r="DC193" s="69" t="str">
        <f aca="false">IF($E193="","",IF($M193,IF(AND($G193&gt;=DC$5,$G193&lt;DC$5+GanttPeriod),"◆",IF(AND($E193&gt;=DC$5,$E193&lt;DC$5+GanttPeriod),"◇","")),IF(AND(DC$5&lt;=$F193,DC$5+GanttPeriod-1&gt;=$E193),"━","")))</f>
        <v/>
      </c>
      <c r="DD193" s="69" t="str">
        <f aca="false">IF($E193="","",IF($M193,IF(AND($G193&gt;=DD$5,$G193&lt;DD$5+GanttPeriod),"◆",IF(AND($E193&gt;=DD$5,$E193&lt;DD$5+GanttPeriod),"◇","")),IF(AND(DD$5&lt;=$F193,DD$5+GanttPeriod-1&gt;=$E193),"━","")))</f>
        <v/>
      </c>
      <c r="DE193" s="69" t="str">
        <f aca="false">IF($E193="","",IF($M193,IF(AND($G193&gt;=DE$5,$G193&lt;DE$5+GanttPeriod),"◆",IF(AND($E193&gt;=DE$5,$E193&lt;DE$5+GanttPeriod),"◇","")),IF(AND(DE$5&lt;=$F193,DE$5+GanttPeriod-1&gt;=$E193),"━","")))</f>
        <v/>
      </c>
      <c r="DF193" s="69" t="str">
        <f aca="false">IF($E193="","",IF($M193,IF(AND($G193&gt;=DF$5,$G193&lt;DF$5+GanttPeriod),"◆",IF(AND($E193&gt;=DF$5,$E193&lt;DF$5+GanttPeriod),"◇","")),IF(AND(DF$5&lt;=$F193,DF$5+GanttPeriod-1&gt;=$E193),"━","")))</f>
        <v/>
      </c>
      <c r="DG193" s="69" t="str">
        <f aca="false">IF($E193="","",IF($M193,IF(AND($G193&gt;=DG$5,$G193&lt;DG$5+GanttPeriod),"◆",IF(AND($E193&gt;=DG$5,$E193&lt;DG$5+GanttPeriod),"◇","")),IF(AND(DG$5&lt;=$F193,DG$5+GanttPeriod-1&gt;=$E193),"━","")))</f>
        <v/>
      </c>
      <c r="DH193" s="69" t="str">
        <f aca="false">IF($E193="","",IF($M193,IF(AND($G193&gt;=DH$5,$G193&lt;DH$5+GanttPeriod),"◆",IF(AND($E193&gt;=DH$5,$E193&lt;DH$5+GanttPeriod),"◇","")),IF(AND(DH$5&lt;=$F193,DH$5+GanttPeriod-1&gt;=$E193),"━","")))</f>
        <v/>
      </c>
      <c r="DI193" s="69" t="str">
        <f aca="false">IF($E193="","",IF($M193,IF(AND($G193&gt;=DI$5,$G193&lt;DI$5+GanttPeriod),"◆",IF(AND($E193&gt;=DI$5,$E193&lt;DI$5+GanttPeriod),"◇","")),IF(AND(DI$5&lt;=$F193,DI$5+GanttPeriod-1&gt;=$E193),"━","")))</f>
        <v/>
      </c>
      <c r="DJ193" s="69" t="str">
        <f aca="false">IF($E193="","",IF($M193,IF(AND($G193&gt;=DJ$5,$G193&lt;DJ$5+GanttPeriod),"◆",IF(AND($E193&gt;=DJ$5,$E193&lt;DJ$5+GanttPeriod),"◇","")),IF(AND(DJ$5&lt;=$F193,DJ$5+GanttPeriod-1&gt;=$E193),"━","")))</f>
        <v/>
      </c>
      <c r="DK193" s="69" t="str">
        <f aca="false">IF($E193="","",IF($M193,IF(AND($G193&gt;=DK$5,$G193&lt;DK$5+GanttPeriod),"◆",IF(AND($E193&gt;=DK$5,$E193&lt;DK$5+GanttPeriod),"◇","")),IF(AND(DK$5&lt;=$F193,DK$5+GanttPeriod-1&gt;=$E193),"━","")))</f>
        <v/>
      </c>
      <c r="DL193" s="69" t="str">
        <f aca="false">IF($E193="","",IF($M193,IF(AND($G193&gt;=DL$5,$G193&lt;DL$5+GanttPeriod),"◆",IF(AND($E193&gt;=DL$5,$E193&lt;DL$5+GanttPeriod),"◇","")),IF(AND(DL$5&lt;=$F193,DL$5+GanttPeriod-1&gt;=$E193),"━","")))</f>
        <v/>
      </c>
      <c r="DM193" s="69" t="str">
        <f aca="false">IF($E193="","",IF($M193,IF(AND($G193&gt;=DM$5,$G193&lt;DM$5+GanttPeriod),"◆",IF(AND($E193&gt;=DM$5,$E193&lt;DM$5+GanttPeriod),"◇","")),IF(AND(DM$5&lt;=$F193,DM$5+GanttPeriod-1&gt;=$E193),"━","")))</f>
        <v/>
      </c>
      <c r="DN193" s="69" t="str">
        <f aca="false">IF($E193="","",IF($M193,IF(AND($G193&gt;=DN$5,$G193&lt;DN$5+GanttPeriod),"◆",IF(AND($E193&gt;=DN$5,$E193&lt;DN$5+GanttPeriod),"◇","")),IF(AND(DN$5&lt;=$F193,DN$5+GanttPeriod-1&gt;=$E193),"━","")))</f>
        <v/>
      </c>
      <c r="DO193" s="69" t="str">
        <f aca="false">IF($E193="","",IF($M193,IF(AND($G193&gt;=DO$5,$G193&lt;DO$5+GanttPeriod),"◆",IF(AND($E193&gt;=DO$5,$E193&lt;DO$5+GanttPeriod),"◇","")),IF(AND(DO$5&lt;=$F193,DO$5+GanttPeriod-1&gt;=$E193),"━","")))</f>
        <v/>
      </c>
      <c r="DP193" s="69" t="str">
        <f aca="false">IF($E193="","",IF($M193,IF(AND($G193&gt;=DP$5,$G193&lt;DP$5+GanttPeriod),"◆",IF(AND($E193&gt;=DP$5,$E193&lt;DP$5+GanttPeriod),"◇","")),IF(AND(DP$5&lt;=$F193,DP$5+GanttPeriod-1&gt;=$E193),"━","")))</f>
        <v/>
      </c>
      <c r="DQ193" s="69" t="str">
        <f aca="false">IF($E193="","",IF($M193,IF(AND($G193&gt;=DQ$5,$G193&lt;DQ$5+GanttPeriod),"◆",IF(AND($E193&gt;=DQ$5,$E193&lt;DQ$5+GanttPeriod),"◇","")),IF(AND(DQ$5&lt;=$F193,DQ$5+GanttPeriod-1&gt;=$E193),"━","")))</f>
        <v/>
      </c>
      <c r="DR193" s="69" t="str">
        <f aca="false">IF($E193="","",IF($M193,IF(AND($G193&gt;=DR$5,$G193&lt;DR$5+GanttPeriod),"◆",IF(AND($E193&gt;=DR$5,$E193&lt;DR$5+GanttPeriod),"◇","")),IF(AND(DR$5&lt;=$F193,DR$5+GanttPeriod-1&gt;=$E193),"━","")))</f>
        <v/>
      </c>
      <c r="DS193" s="69" t="str">
        <f aca="false">IF($E193="","",IF($M193,IF(AND($G193&gt;=DS$5,$G193&lt;DS$5+GanttPeriod),"◆",IF(AND($E193&gt;=DS$5,$E193&lt;DS$5+GanttPeriod),"◇","")),IF(AND(DS$5&lt;=$F193,DS$5+GanttPeriod-1&gt;=$E193),"━","")))</f>
        <v/>
      </c>
      <c r="DT193" s="69" t="str">
        <f aca="false">IF($E193="","",IF($M193,IF(AND($G193&gt;=DT$5,$G193&lt;DT$5+GanttPeriod),"◆",IF(AND($E193&gt;=DT$5,$E193&lt;DT$5+GanttPeriod),"◇","")),IF(AND(DT$5&lt;=$F193,DT$5+GanttPeriod-1&gt;=$E193),"━","")))</f>
        <v/>
      </c>
      <c r="DU193" s="69" t="str">
        <f aca="false">IF($E193="","",IF($M193,IF(AND($G193&gt;=DU$5,$G193&lt;DU$5+GanttPeriod),"◆",IF(AND($E193&gt;=DU$5,$E193&lt;DU$5+GanttPeriod),"◇","")),IF(AND(DU$5&lt;=$F193,DU$5+GanttPeriod-1&gt;=$E193),"━","")))</f>
        <v/>
      </c>
      <c r="DV193" s="69" t="str">
        <f aca="false">IF($E193="","",IF($M193,IF(AND($G193&gt;=DV$5,$G193&lt;DV$5+GanttPeriod),"◆",IF(AND($E193&gt;=DV$5,$E193&lt;DV$5+GanttPeriod),"◇","")),IF(AND(DV$5&lt;=$F193,DV$5+GanttPeriod-1&gt;=$E193),"━","")))</f>
        <v/>
      </c>
      <c r="DW193" s="69" t="str">
        <f aca="false">IF($E193="","",IF($M193,IF(AND($G193&gt;=DW$5,$G193&lt;DW$5+GanttPeriod),"◆",IF(AND($E193&gt;=DW$5,$E193&lt;DW$5+GanttPeriod),"◇","")),IF(AND(DW$5&lt;=$F193,DW$5+GanttPeriod-1&gt;=$E193),"━","")))</f>
        <v/>
      </c>
      <c r="DX193" s="69" t="str">
        <f aca="false">IF($E193="","",IF($M193,IF(AND($G193&gt;=DX$5,$G193&lt;DX$5+GanttPeriod),"◆",IF(AND($E193&gt;=DX$5,$E193&lt;DX$5+GanttPeriod),"◇","")),IF(AND(DX$5&lt;=$F193,DX$5+GanttPeriod-1&gt;=$E193),"━","")))</f>
        <v/>
      </c>
      <c r="DY193" s="69" t="str">
        <f aca="false">IF($E193="","",IF($M193,IF(AND($G193&gt;=DY$5,$G193&lt;DY$5+GanttPeriod),"◆",IF(AND($E193&gt;=DY$5,$E193&lt;DY$5+GanttPeriod),"◇","")),IF(AND(DY$5&lt;=$F193,DY$5+GanttPeriod-1&gt;=$E193),"━","")))</f>
        <v/>
      </c>
      <c r="DZ193" s="69" t="str">
        <f aca="false">IF($E193="","",IF($M193,IF(AND($G193&gt;=DZ$5,$G193&lt;DZ$5+GanttPeriod),"◆",IF(AND($E193&gt;=DZ$5,$E193&lt;DZ$5+GanttPeriod),"◇","")),IF(AND(DZ$5&lt;=$F193,DZ$5+GanttPeriod-1&gt;=$E193),"━","")))</f>
        <v/>
      </c>
      <c r="EA193" s="69" t="str">
        <f aca="false">IF($E193="","",IF($M193,IF(AND($G193&gt;=EA$5,$G193&lt;EA$5+GanttPeriod),"◆",IF(AND($E193&gt;=EA$5,$E193&lt;EA$5+GanttPeriod),"◇","")),IF(AND(EA$5&lt;=$F193,EA$5+GanttPeriod-1&gt;=$E193),"━","")))</f>
        <v/>
      </c>
      <c r="EB193" s="69" t="str">
        <f aca="false">IF($E193="","",IF($M193,IF(AND($G193&gt;=EB$5,$G193&lt;EB$5+GanttPeriod),"◆",IF(AND($E193&gt;=EB$5,$E193&lt;EB$5+GanttPeriod),"◇","")),IF(AND(EB$5&lt;=$F193,EB$5+GanttPeriod-1&gt;=$E193),"━","")))</f>
        <v/>
      </c>
      <c r="EC193" s="69" t="str">
        <f aca="false">IF($E193="","",IF($M193,IF(AND($G193&gt;=EC$5,$G193&lt;EC$5+GanttPeriod),"◆",IF(AND($E193&gt;=EC$5,$E193&lt;EC$5+GanttPeriod),"◇","")),IF(AND(EC$5&lt;=$F193,EC$5+GanttPeriod-1&gt;=$E193),"━","")))</f>
        <v/>
      </c>
      <c r="ED193" s="69" t="str">
        <f aca="false">IF($E193="","",IF($M193,IF(AND($G193&gt;=ED$5,$G193&lt;ED$5+GanttPeriod),"◆",IF(AND($E193&gt;=ED$5,$E193&lt;ED$5+GanttPeriod),"◇","")),IF(AND(ED$5&lt;=$F193,ED$5+GanttPeriod-1&gt;=$E193),"━","")))</f>
        <v/>
      </c>
      <c r="EE193" s="69" t="str">
        <f aca="false">IF($E193="","",IF($M193,IF(AND($G193&gt;=EE$5,$G193&lt;EE$5+GanttPeriod),"◆",IF(AND($E193&gt;=EE$5,$E193&lt;EE$5+GanttPeriod),"◇","")),IF(AND(EE$5&lt;=$F193,EE$5+GanttPeriod-1&gt;=$E193),"━","")))</f>
        <v/>
      </c>
      <c r="EF193" s="69" t="str">
        <f aca="false">IF($E193="","",IF($M193,IF(AND($G193&gt;=EF$5,$G193&lt;EF$5+GanttPeriod),"◆",IF(AND($E193&gt;=EF$5,$E193&lt;EF$5+GanttPeriod),"◇","")),IF(AND(EF$5&lt;=$F193,EF$5+GanttPeriod-1&gt;=$E193),"━","")))</f>
        <v/>
      </c>
      <c r="EG193" s="69" t="str">
        <f aca="false">IF($E193="","",IF($M193,IF(AND($G193&gt;=EG$5,$G193&lt;EG$5+GanttPeriod),"◆",IF(AND($E193&gt;=EG$5,$E193&lt;EG$5+GanttPeriod),"◇","")),IF(AND(EG$5&lt;=$F193,EG$5+GanttPeriod-1&gt;=$E193),"━","")))</f>
        <v/>
      </c>
      <c r="EH193" s="69" t="str">
        <f aca="false">IF($E193="","",IF($M193,IF(AND($G193&gt;=EH$5,$G193&lt;EH$5+GanttPeriod),"◆",IF(AND($E193&gt;=EH$5,$E193&lt;EH$5+GanttPeriod),"◇","")),IF(AND(EH$5&lt;=$F193,EH$5+GanttPeriod-1&gt;=$E193),"━","")))</f>
        <v/>
      </c>
      <c r="EI193" s="69" t="str">
        <f aca="false">IF($E193="","",IF($M193,IF(AND($G193&gt;=EI$5,$G193&lt;EI$5+GanttPeriod),"◆",IF(AND($E193&gt;=EI$5,$E193&lt;EI$5+GanttPeriod),"◇","")),IF(AND(EI$5&lt;=$F193,EI$5+GanttPeriod-1&gt;=$E193),"━","")))</f>
        <v/>
      </c>
      <c r="EJ193" s="69" t="str">
        <f aca="false">IF($E193="","",IF($M193,IF(AND($G193&gt;=EJ$5,$G193&lt;EJ$5+GanttPeriod),"◆",IF(AND($E193&gt;=EJ$5,$E193&lt;EJ$5+GanttPeriod),"◇","")),IF(AND(EJ$5&lt;=$F193,EJ$5+GanttPeriod-1&gt;=$E193),"━","")))</f>
        <v/>
      </c>
      <c r="EK193" s="69" t="str">
        <f aca="false">IF($E193="","",IF($M193,IF(AND($G193&gt;=EK$5,$G193&lt;EK$5+GanttPeriod),"◆",IF(AND($E193&gt;=EK$5,$E193&lt;EK$5+GanttPeriod),"◇","")),IF(AND(EK$5&lt;=$F193,EK$5+GanttPeriod-1&gt;=$E193),"━","")))</f>
        <v/>
      </c>
      <c r="EL193" s="69" t="str">
        <f aca="false">IF($E193="","",IF($M193,IF(AND($G193&gt;=EL$5,$G193&lt;EL$5+GanttPeriod),"◆",IF(AND($E193&gt;=EL$5,$E193&lt;EL$5+GanttPeriod),"◇","")),IF(AND(EL$5&lt;=$F193,EL$5+GanttPeriod-1&gt;=$E193),"━","")))</f>
        <v/>
      </c>
      <c r="EM193" s="69" t="str">
        <f aca="false">IF($E193="","",IF($M193,IF(AND($G193&gt;=EM$5,$G193&lt;EM$5+GanttPeriod),"◆",IF(AND($E193&gt;=EM$5,$E193&lt;EM$5+GanttPeriod),"◇","")),IF(AND(EM$5&lt;=$F193,EM$5+GanttPeriod-1&gt;=$E193),"━","")))</f>
        <v/>
      </c>
      <c r="EN193" s="69" t="str">
        <f aca="false">IF($E193="","",IF($M193,IF(AND($G193&gt;=EN$5,$G193&lt;EN$5+GanttPeriod),"◆",IF(AND($E193&gt;=EN$5,$E193&lt;EN$5+GanttPeriod),"◇","")),IF(AND(EN$5&lt;=$F193,EN$5+GanttPeriod-1&gt;=$E193),"━","")))</f>
        <v/>
      </c>
      <c r="EO193" s="69" t="str">
        <f aca="false">IF($E193="","",IF($M193,IF(AND($G193&gt;=EO$5,$G193&lt;EO$5+GanttPeriod),"◆",IF(AND($E193&gt;=EO$5,$E193&lt;EO$5+GanttPeriod),"◇","")),IF(AND(EO$5&lt;=$F193,EO$5+GanttPeriod-1&gt;=$E193),"━","")))</f>
        <v/>
      </c>
      <c r="EP193" s="69" t="str">
        <f aca="false">IF($E193="","",IF($M193,IF(AND($G193&gt;=EP$5,$G193&lt;EP$5+GanttPeriod),"◆",IF(AND($E193&gt;=EP$5,$E193&lt;EP$5+GanttPeriod),"◇","")),IF(AND(EP$5&lt;=$F193,EP$5+GanttPeriod-1&gt;=$E193),"━","")))</f>
        <v/>
      </c>
      <c r="EQ193" s="69" t="str">
        <f aca="false">IF($E193="","",IF($M193,IF(AND($G193&gt;=EQ$5,$G193&lt;EQ$5+GanttPeriod),"◆",IF(AND($E193&gt;=EQ$5,$E193&lt;EQ$5+GanttPeriod),"◇","")),IF(AND(EQ$5&lt;=$F193,EQ$5+GanttPeriod-1&gt;=$E193),"━","")))</f>
        <v/>
      </c>
      <c r="ER193" s="69" t="str">
        <f aca="false">IF($E193="","",IF($M193,IF(AND($G193&gt;=ER$5,$G193&lt;ER$5+GanttPeriod),"◆",IF(AND($E193&gt;=ER$5,$E193&lt;ER$5+GanttPeriod),"◇","")),IF(AND(ER$5&lt;=$F193,ER$5+GanttPeriod-1&gt;=$E193),"━","")))</f>
        <v/>
      </c>
      <c r="ES193" s="69" t="str">
        <f aca="false">IF($E193="","",IF($M193,IF(AND($G193&gt;=ES$5,$G193&lt;ES$5+GanttPeriod),"◆",IF(AND($E193&gt;=ES$5,$E193&lt;ES$5+GanttPeriod),"◇","")),IF(AND(ES$5&lt;=$F193,ES$5+GanttPeriod-1&gt;=$E193),"━","")))</f>
        <v/>
      </c>
      <c r="ET193" s="69" t="str">
        <f aca="false">IF($E193="","",IF($M193,IF(AND($G193&gt;=ET$5,$G193&lt;ET$5+GanttPeriod),"◆",IF(AND($E193&gt;=ET$5,$E193&lt;ET$5+GanttPeriod),"◇","")),IF(AND(ET$5&lt;=$F193,ET$5+GanttPeriod-1&gt;=$E193),"━","")))</f>
        <v/>
      </c>
      <c r="EU193" s="69" t="str">
        <f aca="false">IF($E193="","",IF($M193,IF(AND($G193&gt;=EU$5,$G193&lt;EU$5+GanttPeriod),"◆",IF(AND($E193&gt;=EU$5,$E193&lt;EU$5+GanttPeriod),"◇","")),IF(AND(EU$5&lt;=$F193,EU$5+GanttPeriod-1&gt;=$E193),"━","")))</f>
        <v/>
      </c>
      <c r="EV193" s="69" t="str">
        <f aca="false">IF($E193="","",IF($M193,IF(AND($G193&gt;=EV$5,$G193&lt;EV$5+GanttPeriod),"◆",IF(AND($E193&gt;=EV$5,$E193&lt;EV$5+GanttPeriod),"◇","")),IF(AND(EV$5&lt;=$F193,EV$5+GanttPeriod-1&gt;=$E193),"━","")))</f>
        <v/>
      </c>
      <c r="EW193" s="69" t="str">
        <f aca="false">IF($E193="","",IF($M193,IF(AND($G193&gt;=EW$5,$G193&lt;EW$5+GanttPeriod),"◆",IF(AND($E193&gt;=EW$5,$E193&lt;EW$5+GanttPeriod),"◇","")),IF(AND(EW$5&lt;=$F193,EW$5+GanttPeriod-1&gt;=$E193),"━","")))</f>
        <v/>
      </c>
      <c r="EX193" s="69" t="str">
        <f aca="false">IF($E193="","",IF($M193,IF(AND($G193&gt;=EX$5,$G193&lt;EX$5+GanttPeriod),"◆",IF(AND($E193&gt;=EX$5,$E193&lt;EX$5+GanttPeriod),"◇","")),IF(AND(EX$5&lt;=$F193,EX$5+GanttPeriod-1&gt;=$E193),"━","")))</f>
        <v/>
      </c>
      <c r="EY193" s="69" t="str">
        <f aca="false">IF($E193="","",IF($M193,IF(AND($G193&gt;=EY$5,$G193&lt;EY$5+GanttPeriod),"◆",IF(AND($E193&gt;=EY$5,$E193&lt;EY$5+GanttPeriod),"◇","")),IF(AND(EY$5&lt;=$F193,EY$5+GanttPeriod-1&gt;=$E193),"━","")))</f>
        <v/>
      </c>
      <c r="EZ193" s="69" t="str">
        <f aca="false">IF($E193="","",IF($M193,IF(AND($G193&gt;=EZ$5,$G193&lt;EZ$5+GanttPeriod),"◆",IF(AND($E193&gt;=EZ$5,$E193&lt;EZ$5+GanttPeriod),"◇","")),IF(AND(EZ$5&lt;=$F193,EZ$5+GanttPeriod-1&gt;=$E193),"━","")))</f>
        <v/>
      </c>
      <c r="FA193" s="69" t="str">
        <f aca="false">IF($E193="","",IF($M193,IF(AND($G193&gt;=FA$5,$G193&lt;FA$5+GanttPeriod),"◆",IF(AND($E193&gt;=FA$5,$E193&lt;FA$5+GanttPeriod),"◇","")),IF(AND(FA$5&lt;=$F193,FA$5+GanttPeriod-1&gt;=$E193),"━","")))</f>
        <v/>
      </c>
      <c r="FB193" s="69" t="str">
        <f aca="false">IF($E193="","",IF($M193,IF(AND($G193&gt;=FB$5,$G193&lt;FB$5+GanttPeriod),"◆",IF(AND($E193&gt;=FB$5,$E193&lt;FB$5+GanttPeriod),"◇","")),IF(AND(FB$5&lt;=$F193,FB$5+GanttPeriod-1&gt;=$E193),"━","")))</f>
        <v/>
      </c>
      <c r="FC193" s="69" t="str">
        <f aca="false">IF($E193="","",IF($M193,IF(AND($G193&gt;=FC$5,$G193&lt;FC$5+GanttPeriod),"◆",IF(AND($E193&gt;=FC$5,$E193&lt;FC$5+GanttPeriod),"◇","")),IF(AND(FC$5&lt;=$F193,FC$5+GanttPeriod-1&gt;=$E193),"━","")))</f>
        <v/>
      </c>
      <c r="FD193" s="69" t="str">
        <f aca="false">IF($E193="","",IF($M193,IF(AND($G193&gt;=FD$5,$G193&lt;FD$5+GanttPeriod),"◆",IF(AND($E193&gt;=FD$5,$E193&lt;FD$5+GanttPeriod),"◇","")),IF(AND(FD$5&lt;=$F193,FD$5+GanttPeriod-1&gt;=$E193),"━","")))</f>
        <v/>
      </c>
      <c r="FE193" s="69" t="str">
        <f aca="false">IF($E193="","",IF($M193,IF(AND($G193&gt;=FE$5,$G193&lt;FE$5+GanttPeriod),"◆",IF(AND($E193&gt;=FE$5,$E193&lt;FE$5+GanttPeriod),"◇","")),IF(AND(FE$5&lt;=$F193,FE$5+GanttPeriod-1&gt;=$E193),"━","")))</f>
        <v/>
      </c>
      <c r="FF193" s="69" t="str">
        <f aca="false">IF($E193="","",IF($M193,IF(AND($G193&gt;=FF$5,$G193&lt;FF$5+GanttPeriod),"◆",IF(AND($E193&gt;=FF$5,$E193&lt;FF$5+GanttPeriod),"◇","")),IF(AND(FF$5&lt;=$F193,FF$5+GanttPeriod-1&gt;=$E193),"━","")))</f>
        <v/>
      </c>
      <c r="FG193" s="69" t="str">
        <f aca="false">IF($E193="","",IF($M193,IF(AND($G193&gt;=FG$5,$G193&lt;FG$5+GanttPeriod),"◆",IF(AND($E193&gt;=FG$5,$E193&lt;FG$5+GanttPeriod),"◇","")),IF(AND(FG$5&lt;=$F193,FG$5+GanttPeriod-1&gt;=$E193),"━","")))</f>
        <v/>
      </c>
      <c r="FH193" s="69" t="str">
        <f aca="false">IF($E193="","",IF($M193,IF(AND($G193&gt;=FH$5,$G193&lt;FH$5+GanttPeriod),"◆",IF(AND($E193&gt;=FH$5,$E193&lt;FH$5+GanttPeriod),"◇","")),IF(AND(FH$5&lt;=$F193,FH$5+GanttPeriod-1&gt;=$E193),"━","")))</f>
        <v/>
      </c>
      <c r="FI193" s="69" t="str">
        <f aca="false">IF($E193="","",IF($M193,IF(AND($G193&gt;=FI$5,$G193&lt;FI$5+GanttPeriod),"◆",IF(AND($E193&gt;=FI$5,$E193&lt;FI$5+GanttPeriod),"◇","")),IF(AND(FI$5&lt;=$F193,FI$5+GanttPeriod-1&gt;=$E193),"━","")))</f>
        <v/>
      </c>
      <c r="FJ193" s="69" t="str">
        <f aca="false">IF($E193="","",IF($M193,IF(AND($G193&gt;=FJ$5,$G193&lt;FJ$5+GanttPeriod),"◆",IF(AND($E193&gt;=FJ$5,$E193&lt;FJ$5+GanttPeriod),"◇","")),IF(AND(FJ$5&lt;=$F193,FJ$5+GanttPeriod-1&gt;=$E193),"━","")))</f>
        <v/>
      </c>
      <c r="FK193" s="69" t="str">
        <f aca="false">IF($E193="","",IF($M193,IF(AND($G193&gt;=FK$5,$G193&lt;FK$5+GanttPeriod),"◆",IF(AND($E193&gt;=FK$5,$E193&lt;FK$5+GanttPeriod),"◇","")),IF(AND(FK$5&lt;=$F193,FK$5+GanttPeriod-1&gt;=$E193),"━","")))</f>
        <v/>
      </c>
      <c r="FL193" s="69" t="str">
        <f aca="false">IF($E193="","",IF($M193,IF(AND($G193&gt;=FL$5,$G193&lt;FL$5+GanttPeriod),"◆",IF(AND($E193&gt;=FL$5,$E193&lt;FL$5+GanttPeriod),"◇","")),IF(AND(FL$5&lt;=$F193,FL$5+GanttPeriod-1&gt;=$E193),"━","")))</f>
        <v/>
      </c>
      <c r="FM193" s="69" t="str">
        <f aca="false">IF($E193="","",IF($M193,IF(AND($G193&gt;=FM$5,$G193&lt;FM$5+GanttPeriod),"◆",IF(AND($E193&gt;=FM$5,$E193&lt;FM$5+GanttPeriod),"◇","")),IF(AND(FM$5&lt;=$F193,FM$5+GanttPeriod-1&gt;=$E193),"━","")))</f>
        <v/>
      </c>
    </row>
    <row r="194" customFormat="false" ht="15" hidden="false" customHeight="false" outlineLevel="0" collapsed="false">
      <c r="A194" s="62" t="str">
        <f aca="false">IF(Tasks!$D194="","",Tasks!$A194)</f>
        <v/>
      </c>
      <c r="B194" s="62" t="str">
        <f aca="false">IF(Tasks!$D194="","",Tasks!$B194)</f>
        <v/>
      </c>
      <c r="C194" s="63" t="str">
        <f aca="false">IF(Tasks!$D194="","",REPT("    ",Tasks!$AE194-1)&amp;Tasks!$D194)</f>
        <v/>
      </c>
      <c r="D194" s="62" t="str">
        <f aca="false">IF(Tasks!$D194="","",IF(Tasks!$AI194,NETWORKDAYS.INTL(Tasks!$R194,Tasks!$S194,WorkWeek,Holidays),N(Tasks!$F194)))</f>
        <v/>
      </c>
      <c r="E194" s="64" t="str">
        <f aca="false">IF(Tasks!$D194="","",Tasks!$N194)</f>
        <v/>
      </c>
      <c r="F194" s="64" t="str">
        <f aca="false">IF(Tasks!$D194="","",Tasks!$O194)</f>
        <v/>
      </c>
      <c r="G194" s="64" t="str">
        <f aca="false">IF(Tasks!$D194="","",Tasks!$R194)</f>
        <v/>
      </c>
      <c r="H194" s="64" t="str">
        <f aca="false">IF(Tasks!$D194="","",Tasks!$S194)</f>
        <v/>
      </c>
      <c r="I194" s="65" t="str">
        <f aca="false">IF(Tasks!$D194="","",Tasks!$V194)</f>
        <v/>
      </c>
      <c r="J194" s="63" t="str">
        <f aca="false">IF(Tasks!$D194="","",Tasks!$X194&amp;"")</f>
        <v/>
      </c>
      <c r="K194" s="66" t="str">
        <f aca="false">IF(Tasks!$D194="","",Tasks!$W194)</f>
        <v/>
      </c>
      <c r="L194" s="67" t="b">
        <f aca="false">IF(Tasks!$D194="",FALSE(),Tasks!$AI194)</f>
        <v>0</v>
      </c>
      <c r="M194" s="67" t="b">
        <f aca="false">AND(Tasks!$AJ194=1,N(Tasks!$F194)=0)</f>
        <v>0</v>
      </c>
      <c r="N194" s="68" t="n">
        <f aca="false">IF(AND(Tasks!$AJ194=1,NOT($M194),N($I194)&gt;0),$G194,0)</f>
        <v>0</v>
      </c>
      <c r="O194" s="68" t="n">
        <f aca="false">IF($N194=0,0,IF($I194&gt;=1,$H194,MAX($N194,$G194+ROUND(($H194-$G194+1)*$I194,0)-1)))</f>
        <v>0</v>
      </c>
      <c r="P194" s="68" t="n">
        <f aca="false">IF(OR(Tasks!$AJ194&lt;&gt;1,$M194,N($I194)&gt;=1),0,IF($O194&gt;0,$O194+1,$G194))</f>
        <v>0</v>
      </c>
      <c r="Q194" s="68" t="n">
        <f aca="false">IF($P194=0,0,$H194)</f>
        <v>0</v>
      </c>
      <c r="R194" s="67" t="b">
        <f aca="false">AND(Tasks!$D194&lt;&gt;"",N(Tasks!$T194)&gt;0)</f>
        <v>0</v>
      </c>
      <c r="T194" s="69" t="str">
        <f aca="false">IF($E194="","",IF($M194,IF(AND($G194&gt;=T$5,$G194&lt;T$5+GanttPeriod),"◆",IF(AND($E194&gt;=T$5,$E194&lt;T$5+GanttPeriod),"◇","")),IF(AND(T$5&lt;=$F194,T$5+GanttPeriod-1&gt;=$E194),"━","")))</f>
        <v/>
      </c>
      <c r="U194" s="69" t="str">
        <f aca="false">IF($E194="","",IF($M194,IF(AND($G194&gt;=U$5,$G194&lt;U$5+GanttPeriod),"◆",IF(AND($E194&gt;=U$5,$E194&lt;U$5+GanttPeriod),"◇","")),IF(AND(U$5&lt;=$F194,U$5+GanttPeriod-1&gt;=$E194),"━","")))</f>
        <v/>
      </c>
      <c r="V194" s="69" t="str">
        <f aca="false">IF($E194="","",IF($M194,IF(AND($G194&gt;=V$5,$G194&lt;V$5+GanttPeriod),"◆",IF(AND($E194&gt;=V$5,$E194&lt;V$5+GanttPeriod),"◇","")),IF(AND(V$5&lt;=$F194,V$5+GanttPeriod-1&gt;=$E194),"━","")))</f>
        <v/>
      </c>
      <c r="W194" s="69" t="str">
        <f aca="false">IF($E194="","",IF($M194,IF(AND($G194&gt;=W$5,$G194&lt;W$5+GanttPeriod),"◆",IF(AND($E194&gt;=W$5,$E194&lt;W$5+GanttPeriod),"◇","")),IF(AND(W$5&lt;=$F194,W$5+GanttPeriod-1&gt;=$E194),"━","")))</f>
        <v/>
      </c>
      <c r="X194" s="69" t="str">
        <f aca="false">IF($E194="","",IF($M194,IF(AND($G194&gt;=X$5,$G194&lt;X$5+GanttPeriod),"◆",IF(AND($E194&gt;=X$5,$E194&lt;X$5+GanttPeriod),"◇","")),IF(AND(X$5&lt;=$F194,X$5+GanttPeriod-1&gt;=$E194),"━","")))</f>
        <v/>
      </c>
      <c r="Y194" s="69" t="str">
        <f aca="false">IF($E194="","",IF($M194,IF(AND($G194&gt;=Y$5,$G194&lt;Y$5+GanttPeriod),"◆",IF(AND($E194&gt;=Y$5,$E194&lt;Y$5+GanttPeriod),"◇","")),IF(AND(Y$5&lt;=$F194,Y$5+GanttPeriod-1&gt;=$E194),"━","")))</f>
        <v/>
      </c>
      <c r="Z194" s="69" t="str">
        <f aca="false">IF($E194="","",IF($M194,IF(AND($G194&gt;=Z$5,$G194&lt;Z$5+GanttPeriod),"◆",IF(AND($E194&gt;=Z$5,$E194&lt;Z$5+GanttPeriod),"◇","")),IF(AND(Z$5&lt;=$F194,Z$5+GanttPeriod-1&gt;=$E194),"━","")))</f>
        <v/>
      </c>
      <c r="AA194" s="69" t="str">
        <f aca="false">IF($E194="","",IF($M194,IF(AND($G194&gt;=AA$5,$G194&lt;AA$5+GanttPeriod),"◆",IF(AND($E194&gt;=AA$5,$E194&lt;AA$5+GanttPeriod),"◇","")),IF(AND(AA$5&lt;=$F194,AA$5+GanttPeriod-1&gt;=$E194),"━","")))</f>
        <v/>
      </c>
      <c r="AB194" s="69" t="str">
        <f aca="false">IF($E194="","",IF($M194,IF(AND($G194&gt;=AB$5,$G194&lt;AB$5+GanttPeriod),"◆",IF(AND($E194&gt;=AB$5,$E194&lt;AB$5+GanttPeriod),"◇","")),IF(AND(AB$5&lt;=$F194,AB$5+GanttPeriod-1&gt;=$E194),"━","")))</f>
        <v/>
      </c>
      <c r="AC194" s="69" t="str">
        <f aca="false">IF($E194="","",IF($M194,IF(AND($G194&gt;=AC$5,$G194&lt;AC$5+GanttPeriod),"◆",IF(AND($E194&gt;=AC$5,$E194&lt;AC$5+GanttPeriod),"◇","")),IF(AND(AC$5&lt;=$F194,AC$5+GanttPeriod-1&gt;=$E194),"━","")))</f>
        <v/>
      </c>
      <c r="AD194" s="69" t="str">
        <f aca="false">IF($E194="","",IF($M194,IF(AND($G194&gt;=AD$5,$G194&lt;AD$5+GanttPeriod),"◆",IF(AND($E194&gt;=AD$5,$E194&lt;AD$5+GanttPeriod),"◇","")),IF(AND(AD$5&lt;=$F194,AD$5+GanttPeriod-1&gt;=$E194),"━","")))</f>
        <v/>
      </c>
      <c r="AE194" s="69" t="str">
        <f aca="false">IF($E194="","",IF($M194,IF(AND($G194&gt;=AE$5,$G194&lt;AE$5+GanttPeriod),"◆",IF(AND($E194&gt;=AE$5,$E194&lt;AE$5+GanttPeriod),"◇","")),IF(AND(AE$5&lt;=$F194,AE$5+GanttPeriod-1&gt;=$E194),"━","")))</f>
        <v/>
      </c>
      <c r="AF194" s="69" t="str">
        <f aca="false">IF($E194="","",IF($M194,IF(AND($G194&gt;=AF$5,$G194&lt;AF$5+GanttPeriod),"◆",IF(AND($E194&gt;=AF$5,$E194&lt;AF$5+GanttPeriod),"◇","")),IF(AND(AF$5&lt;=$F194,AF$5+GanttPeriod-1&gt;=$E194),"━","")))</f>
        <v/>
      </c>
      <c r="AG194" s="69" t="str">
        <f aca="false">IF($E194="","",IF($M194,IF(AND($G194&gt;=AG$5,$G194&lt;AG$5+GanttPeriod),"◆",IF(AND($E194&gt;=AG$5,$E194&lt;AG$5+GanttPeriod),"◇","")),IF(AND(AG$5&lt;=$F194,AG$5+GanttPeriod-1&gt;=$E194),"━","")))</f>
        <v/>
      </c>
      <c r="AH194" s="69" t="str">
        <f aca="false">IF($E194="","",IF($M194,IF(AND($G194&gt;=AH$5,$G194&lt;AH$5+GanttPeriod),"◆",IF(AND($E194&gt;=AH$5,$E194&lt;AH$5+GanttPeriod),"◇","")),IF(AND(AH$5&lt;=$F194,AH$5+GanttPeriod-1&gt;=$E194),"━","")))</f>
        <v/>
      </c>
      <c r="AI194" s="69" t="str">
        <f aca="false">IF($E194="","",IF($M194,IF(AND($G194&gt;=AI$5,$G194&lt;AI$5+GanttPeriod),"◆",IF(AND($E194&gt;=AI$5,$E194&lt;AI$5+GanttPeriod),"◇","")),IF(AND(AI$5&lt;=$F194,AI$5+GanttPeriod-1&gt;=$E194),"━","")))</f>
        <v/>
      </c>
      <c r="AJ194" s="69" t="str">
        <f aca="false">IF($E194="","",IF($M194,IF(AND($G194&gt;=AJ$5,$G194&lt;AJ$5+GanttPeriod),"◆",IF(AND($E194&gt;=AJ$5,$E194&lt;AJ$5+GanttPeriod),"◇","")),IF(AND(AJ$5&lt;=$F194,AJ$5+GanttPeriod-1&gt;=$E194),"━","")))</f>
        <v/>
      </c>
      <c r="AK194" s="69" t="str">
        <f aca="false">IF($E194="","",IF($M194,IF(AND($G194&gt;=AK$5,$G194&lt;AK$5+GanttPeriod),"◆",IF(AND($E194&gt;=AK$5,$E194&lt;AK$5+GanttPeriod),"◇","")),IF(AND(AK$5&lt;=$F194,AK$5+GanttPeriod-1&gt;=$E194),"━","")))</f>
        <v/>
      </c>
      <c r="AL194" s="69" t="str">
        <f aca="false">IF($E194="","",IF($M194,IF(AND($G194&gt;=AL$5,$G194&lt;AL$5+GanttPeriod),"◆",IF(AND($E194&gt;=AL$5,$E194&lt;AL$5+GanttPeriod),"◇","")),IF(AND(AL$5&lt;=$F194,AL$5+GanttPeriod-1&gt;=$E194),"━","")))</f>
        <v/>
      </c>
      <c r="AM194" s="69" t="str">
        <f aca="false">IF($E194="","",IF($M194,IF(AND($G194&gt;=AM$5,$G194&lt;AM$5+GanttPeriod),"◆",IF(AND($E194&gt;=AM$5,$E194&lt;AM$5+GanttPeriod),"◇","")),IF(AND(AM$5&lt;=$F194,AM$5+GanttPeriod-1&gt;=$E194),"━","")))</f>
        <v/>
      </c>
      <c r="AN194" s="69" t="str">
        <f aca="false">IF($E194="","",IF($M194,IF(AND($G194&gt;=AN$5,$G194&lt;AN$5+GanttPeriod),"◆",IF(AND($E194&gt;=AN$5,$E194&lt;AN$5+GanttPeriod),"◇","")),IF(AND(AN$5&lt;=$F194,AN$5+GanttPeriod-1&gt;=$E194),"━","")))</f>
        <v/>
      </c>
      <c r="AO194" s="69" t="str">
        <f aca="false">IF($E194="","",IF($M194,IF(AND($G194&gt;=AO$5,$G194&lt;AO$5+GanttPeriod),"◆",IF(AND($E194&gt;=AO$5,$E194&lt;AO$5+GanttPeriod),"◇","")),IF(AND(AO$5&lt;=$F194,AO$5+GanttPeriod-1&gt;=$E194),"━","")))</f>
        <v/>
      </c>
      <c r="AP194" s="69" t="str">
        <f aca="false">IF($E194="","",IF($M194,IF(AND($G194&gt;=AP$5,$G194&lt;AP$5+GanttPeriod),"◆",IF(AND($E194&gt;=AP$5,$E194&lt;AP$5+GanttPeriod),"◇","")),IF(AND(AP$5&lt;=$F194,AP$5+GanttPeriod-1&gt;=$E194),"━","")))</f>
        <v/>
      </c>
      <c r="AQ194" s="69" t="str">
        <f aca="false">IF($E194="","",IF($M194,IF(AND($G194&gt;=AQ$5,$G194&lt;AQ$5+GanttPeriod),"◆",IF(AND($E194&gt;=AQ$5,$E194&lt;AQ$5+GanttPeriod),"◇","")),IF(AND(AQ$5&lt;=$F194,AQ$5+GanttPeriod-1&gt;=$E194),"━","")))</f>
        <v/>
      </c>
      <c r="AR194" s="69" t="str">
        <f aca="false">IF($E194="","",IF($M194,IF(AND($G194&gt;=AR$5,$G194&lt;AR$5+GanttPeriod),"◆",IF(AND($E194&gt;=AR$5,$E194&lt;AR$5+GanttPeriod),"◇","")),IF(AND(AR$5&lt;=$F194,AR$5+GanttPeriod-1&gt;=$E194),"━","")))</f>
        <v/>
      </c>
      <c r="AS194" s="69" t="str">
        <f aca="false">IF($E194="","",IF($M194,IF(AND($G194&gt;=AS$5,$G194&lt;AS$5+GanttPeriod),"◆",IF(AND($E194&gt;=AS$5,$E194&lt;AS$5+GanttPeriod),"◇","")),IF(AND(AS$5&lt;=$F194,AS$5+GanttPeriod-1&gt;=$E194),"━","")))</f>
        <v/>
      </c>
      <c r="AT194" s="69" t="str">
        <f aca="false">IF($E194="","",IF($M194,IF(AND($G194&gt;=AT$5,$G194&lt;AT$5+GanttPeriod),"◆",IF(AND($E194&gt;=AT$5,$E194&lt;AT$5+GanttPeriod),"◇","")),IF(AND(AT$5&lt;=$F194,AT$5+GanttPeriod-1&gt;=$E194),"━","")))</f>
        <v/>
      </c>
      <c r="AU194" s="69" t="str">
        <f aca="false">IF($E194="","",IF($M194,IF(AND($G194&gt;=AU$5,$G194&lt;AU$5+GanttPeriod),"◆",IF(AND($E194&gt;=AU$5,$E194&lt;AU$5+GanttPeriod),"◇","")),IF(AND(AU$5&lt;=$F194,AU$5+GanttPeriod-1&gt;=$E194),"━","")))</f>
        <v/>
      </c>
      <c r="AV194" s="69" t="str">
        <f aca="false">IF($E194="","",IF($M194,IF(AND($G194&gt;=AV$5,$G194&lt;AV$5+GanttPeriod),"◆",IF(AND($E194&gt;=AV$5,$E194&lt;AV$5+GanttPeriod),"◇","")),IF(AND(AV$5&lt;=$F194,AV$5+GanttPeriod-1&gt;=$E194),"━","")))</f>
        <v/>
      </c>
      <c r="AW194" s="69" t="str">
        <f aca="false">IF($E194="","",IF($M194,IF(AND($G194&gt;=AW$5,$G194&lt;AW$5+GanttPeriod),"◆",IF(AND($E194&gt;=AW$5,$E194&lt;AW$5+GanttPeriod),"◇","")),IF(AND(AW$5&lt;=$F194,AW$5+GanttPeriod-1&gt;=$E194),"━","")))</f>
        <v/>
      </c>
      <c r="AX194" s="69" t="str">
        <f aca="false">IF($E194="","",IF($M194,IF(AND($G194&gt;=AX$5,$G194&lt;AX$5+GanttPeriod),"◆",IF(AND($E194&gt;=AX$5,$E194&lt;AX$5+GanttPeriod),"◇","")),IF(AND(AX$5&lt;=$F194,AX$5+GanttPeriod-1&gt;=$E194),"━","")))</f>
        <v/>
      </c>
      <c r="AY194" s="69" t="str">
        <f aca="false">IF($E194="","",IF($M194,IF(AND($G194&gt;=AY$5,$G194&lt;AY$5+GanttPeriod),"◆",IF(AND($E194&gt;=AY$5,$E194&lt;AY$5+GanttPeriod),"◇","")),IF(AND(AY$5&lt;=$F194,AY$5+GanttPeriod-1&gt;=$E194),"━","")))</f>
        <v/>
      </c>
      <c r="AZ194" s="69" t="str">
        <f aca="false">IF($E194="","",IF($M194,IF(AND($G194&gt;=AZ$5,$G194&lt;AZ$5+GanttPeriod),"◆",IF(AND($E194&gt;=AZ$5,$E194&lt;AZ$5+GanttPeriod),"◇","")),IF(AND(AZ$5&lt;=$F194,AZ$5+GanttPeriod-1&gt;=$E194),"━","")))</f>
        <v/>
      </c>
      <c r="BA194" s="69" t="str">
        <f aca="false">IF($E194="","",IF($M194,IF(AND($G194&gt;=BA$5,$G194&lt;BA$5+GanttPeriod),"◆",IF(AND($E194&gt;=BA$5,$E194&lt;BA$5+GanttPeriod),"◇","")),IF(AND(BA$5&lt;=$F194,BA$5+GanttPeriod-1&gt;=$E194),"━","")))</f>
        <v/>
      </c>
      <c r="BB194" s="69" t="str">
        <f aca="false">IF($E194="","",IF($M194,IF(AND($G194&gt;=BB$5,$G194&lt;BB$5+GanttPeriod),"◆",IF(AND($E194&gt;=BB$5,$E194&lt;BB$5+GanttPeriod),"◇","")),IF(AND(BB$5&lt;=$F194,BB$5+GanttPeriod-1&gt;=$E194),"━","")))</f>
        <v/>
      </c>
      <c r="BC194" s="69" t="str">
        <f aca="false">IF($E194="","",IF($M194,IF(AND($G194&gt;=BC$5,$G194&lt;BC$5+GanttPeriod),"◆",IF(AND($E194&gt;=BC$5,$E194&lt;BC$5+GanttPeriod),"◇","")),IF(AND(BC$5&lt;=$F194,BC$5+GanttPeriod-1&gt;=$E194),"━","")))</f>
        <v/>
      </c>
      <c r="BD194" s="69" t="str">
        <f aca="false">IF($E194="","",IF($M194,IF(AND($G194&gt;=BD$5,$G194&lt;BD$5+GanttPeriod),"◆",IF(AND($E194&gt;=BD$5,$E194&lt;BD$5+GanttPeriod),"◇","")),IF(AND(BD$5&lt;=$F194,BD$5+GanttPeriod-1&gt;=$E194),"━","")))</f>
        <v/>
      </c>
      <c r="BE194" s="69" t="str">
        <f aca="false">IF($E194="","",IF($M194,IF(AND($G194&gt;=BE$5,$G194&lt;BE$5+GanttPeriod),"◆",IF(AND($E194&gt;=BE$5,$E194&lt;BE$5+GanttPeriod),"◇","")),IF(AND(BE$5&lt;=$F194,BE$5+GanttPeriod-1&gt;=$E194),"━","")))</f>
        <v/>
      </c>
      <c r="BF194" s="69" t="str">
        <f aca="false">IF($E194="","",IF($M194,IF(AND($G194&gt;=BF$5,$G194&lt;BF$5+GanttPeriod),"◆",IF(AND($E194&gt;=BF$5,$E194&lt;BF$5+GanttPeriod),"◇","")),IF(AND(BF$5&lt;=$F194,BF$5+GanttPeriod-1&gt;=$E194),"━","")))</f>
        <v/>
      </c>
      <c r="BG194" s="69" t="str">
        <f aca="false">IF($E194="","",IF($M194,IF(AND($G194&gt;=BG$5,$G194&lt;BG$5+GanttPeriod),"◆",IF(AND($E194&gt;=BG$5,$E194&lt;BG$5+GanttPeriod),"◇","")),IF(AND(BG$5&lt;=$F194,BG$5+GanttPeriod-1&gt;=$E194),"━","")))</f>
        <v/>
      </c>
      <c r="BH194" s="69" t="str">
        <f aca="false">IF($E194="","",IF($M194,IF(AND($G194&gt;=BH$5,$G194&lt;BH$5+GanttPeriod),"◆",IF(AND($E194&gt;=BH$5,$E194&lt;BH$5+GanttPeriod),"◇","")),IF(AND(BH$5&lt;=$F194,BH$5+GanttPeriod-1&gt;=$E194),"━","")))</f>
        <v/>
      </c>
      <c r="BI194" s="69" t="str">
        <f aca="false">IF($E194="","",IF($M194,IF(AND($G194&gt;=BI$5,$G194&lt;BI$5+GanttPeriod),"◆",IF(AND($E194&gt;=BI$5,$E194&lt;BI$5+GanttPeriod),"◇","")),IF(AND(BI$5&lt;=$F194,BI$5+GanttPeriod-1&gt;=$E194),"━","")))</f>
        <v/>
      </c>
      <c r="BJ194" s="69" t="str">
        <f aca="false">IF($E194="","",IF($M194,IF(AND($G194&gt;=BJ$5,$G194&lt;BJ$5+GanttPeriod),"◆",IF(AND($E194&gt;=BJ$5,$E194&lt;BJ$5+GanttPeriod),"◇","")),IF(AND(BJ$5&lt;=$F194,BJ$5+GanttPeriod-1&gt;=$E194),"━","")))</f>
        <v/>
      </c>
      <c r="BK194" s="69" t="str">
        <f aca="false">IF($E194="","",IF($M194,IF(AND($G194&gt;=BK$5,$G194&lt;BK$5+GanttPeriod),"◆",IF(AND($E194&gt;=BK$5,$E194&lt;BK$5+GanttPeriod),"◇","")),IF(AND(BK$5&lt;=$F194,BK$5+GanttPeriod-1&gt;=$E194),"━","")))</f>
        <v/>
      </c>
      <c r="BL194" s="69" t="str">
        <f aca="false">IF($E194="","",IF($M194,IF(AND($G194&gt;=BL$5,$G194&lt;BL$5+GanttPeriod),"◆",IF(AND($E194&gt;=BL$5,$E194&lt;BL$5+GanttPeriod),"◇","")),IF(AND(BL$5&lt;=$F194,BL$5+GanttPeriod-1&gt;=$E194),"━","")))</f>
        <v/>
      </c>
      <c r="BM194" s="69" t="str">
        <f aca="false">IF($E194="","",IF($M194,IF(AND($G194&gt;=BM$5,$G194&lt;BM$5+GanttPeriod),"◆",IF(AND($E194&gt;=BM$5,$E194&lt;BM$5+GanttPeriod),"◇","")),IF(AND(BM$5&lt;=$F194,BM$5+GanttPeriod-1&gt;=$E194),"━","")))</f>
        <v/>
      </c>
      <c r="BN194" s="69" t="str">
        <f aca="false">IF($E194="","",IF($M194,IF(AND($G194&gt;=BN$5,$G194&lt;BN$5+GanttPeriod),"◆",IF(AND($E194&gt;=BN$5,$E194&lt;BN$5+GanttPeriod),"◇","")),IF(AND(BN$5&lt;=$F194,BN$5+GanttPeriod-1&gt;=$E194),"━","")))</f>
        <v/>
      </c>
      <c r="BO194" s="69" t="str">
        <f aca="false">IF($E194="","",IF($M194,IF(AND($G194&gt;=BO$5,$G194&lt;BO$5+GanttPeriod),"◆",IF(AND($E194&gt;=BO$5,$E194&lt;BO$5+GanttPeriod),"◇","")),IF(AND(BO$5&lt;=$F194,BO$5+GanttPeriod-1&gt;=$E194),"━","")))</f>
        <v/>
      </c>
      <c r="BP194" s="69" t="str">
        <f aca="false">IF($E194="","",IF($M194,IF(AND($G194&gt;=BP$5,$G194&lt;BP$5+GanttPeriod),"◆",IF(AND($E194&gt;=BP$5,$E194&lt;BP$5+GanttPeriod),"◇","")),IF(AND(BP$5&lt;=$F194,BP$5+GanttPeriod-1&gt;=$E194),"━","")))</f>
        <v/>
      </c>
      <c r="BQ194" s="69" t="str">
        <f aca="false">IF($E194="","",IF($M194,IF(AND($G194&gt;=BQ$5,$G194&lt;BQ$5+GanttPeriod),"◆",IF(AND($E194&gt;=BQ$5,$E194&lt;BQ$5+GanttPeriod),"◇","")),IF(AND(BQ$5&lt;=$F194,BQ$5+GanttPeriod-1&gt;=$E194),"━","")))</f>
        <v/>
      </c>
      <c r="BR194" s="69" t="str">
        <f aca="false">IF($E194="","",IF($M194,IF(AND($G194&gt;=BR$5,$G194&lt;BR$5+GanttPeriod),"◆",IF(AND($E194&gt;=BR$5,$E194&lt;BR$5+GanttPeriod),"◇","")),IF(AND(BR$5&lt;=$F194,BR$5+GanttPeriod-1&gt;=$E194),"━","")))</f>
        <v/>
      </c>
      <c r="BS194" s="69" t="str">
        <f aca="false">IF($E194="","",IF($M194,IF(AND($G194&gt;=BS$5,$G194&lt;BS$5+GanttPeriod),"◆",IF(AND($E194&gt;=BS$5,$E194&lt;BS$5+GanttPeriod),"◇","")),IF(AND(BS$5&lt;=$F194,BS$5+GanttPeriod-1&gt;=$E194),"━","")))</f>
        <v/>
      </c>
      <c r="BT194" s="69" t="str">
        <f aca="false">IF($E194="","",IF($M194,IF(AND($G194&gt;=BT$5,$G194&lt;BT$5+GanttPeriod),"◆",IF(AND($E194&gt;=BT$5,$E194&lt;BT$5+GanttPeriod),"◇","")),IF(AND(BT$5&lt;=$F194,BT$5+GanttPeriod-1&gt;=$E194),"━","")))</f>
        <v/>
      </c>
      <c r="BU194" s="69" t="str">
        <f aca="false">IF($E194="","",IF($M194,IF(AND($G194&gt;=BU$5,$G194&lt;BU$5+GanttPeriod),"◆",IF(AND($E194&gt;=BU$5,$E194&lt;BU$5+GanttPeriod),"◇","")),IF(AND(BU$5&lt;=$F194,BU$5+GanttPeriod-1&gt;=$E194),"━","")))</f>
        <v/>
      </c>
      <c r="BV194" s="69" t="str">
        <f aca="false">IF($E194="","",IF($M194,IF(AND($G194&gt;=BV$5,$G194&lt;BV$5+GanttPeriod),"◆",IF(AND($E194&gt;=BV$5,$E194&lt;BV$5+GanttPeriod),"◇","")),IF(AND(BV$5&lt;=$F194,BV$5+GanttPeriod-1&gt;=$E194),"━","")))</f>
        <v/>
      </c>
      <c r="BW194" s="69" t="str">
        <f aca="false">IF($E194="","",IF($M194,IF(AND($G194&gt;=BW$5,$G194&lt;BW$5+GanttPeriod),"◆",IF(AND($E194&gt;=BW$5,$E194&lt;BW$5+GanttPeriod),"◇","")),IF(AND(BW$5&lt;=$F194,BW$5+GanttPeriod-1&gt;=$E194),"━","")))</f>
        <v/>
      </c>
      <c r="BX194" s="69" t="str">
        <f aca="false">IF($E194="","",IF($M194,IF(AND($G194&gt;=BX$5,$G194&lt;BX$5+GanttPeriod),"◆",IF(AND($E194&gt;=BX$5,$E194&lt;BX$5+GanttPeriod),"◇","")),IF(AND(BX$5&lt;=$F194,BX$5+GanttPeriod-1&gt;=$E194),"━","")))</f>
        <v/>
      </c>
      <c r="BY194" s="69" t="str">
        <f aca="false">IF($E194="","",IF($M194,IF(AND($G194&gt;=BY$5,$G194&lt;BY$5+GanttPeriod),"◆",IF(AND($E194&gt;=BY$5,$E194&lt;BY$5+GanttPeriod),"◇","")),IF(AND(BY$5&lt;=$F194,BY$5+GanttPeriod-1&gt;=$E194),"━","")))</f>
        <v/>
      </c>
      <c r="BZ194" s="69" t="str">
        <f aca="false">IF($E194="","",IF($M194,IF(AND($G194&gt;=BZ$5,$G194&lt;BZ$5+GanttPeriod),"◆",IF(AND($E194&gt;=BZ$5,$E194&lt;BZ$5+GanttPeriod),"◇","")),IF(AND(BZ$5&lt;=$F194,BZ$5+GanttPeriod-1&gt;=$E194),"━","")))</f>
        <v/>
      </c>
      <c r="CA194" s="69" t="str">
        <f aca="false">IF($E194="","",IF($M194,IF(AND($G194&gt;=CA$5,$G194&lt;CA$5+GanttPeriod),"◆",IF(AND($E194&gt;=CA$5,$E194&lt;CA$5+GanttPeriod),"◇","")),IF(AND(CA$5&lt;=$F194,CA$5+GanttPeriod-1&gt;=$E194),"━","")))</f>
        <v/>
      </c>
      <c r="CB194" s="69" t="str">
        <f aca="false">IF($E194="","",IF($M194,IF(AND($G194&gt;=CB$5,$G194&lt;CB$5+GanttPeriod),"◆",IF(AND($E194&gt;=CB$5,$E194&lt;CB$5+GanttPeriod),"◇","")),IF(AND(CB$5&lt;=$F194,CB$5+GanttPeriod-1&gt;=$E194),"━","")))</f>
        <v/>
      </c>
      <c r="CC194" s="69" t="str">
        <f aca="false">IF($E194="","",IF($M194,IF(AND($G194&gt;=CC$5,$G194&lt;CC$5+GanttPeriod),"◆",IF(AND($E194&gt;=CC$5,$E194&lt;CC$5+GanttPeriod),"◇","")),IF(AND(CC$5&lt;=$F194,CC$5+GanttPeriod-1&gt;=$E194),"━","")))</f>
        <v/>
      </c>
      <c r="CD194" s="69" t="str">
        <f aca="false">IF($E194="","",IF($M194,IF(AND($G194&gt;=CD$5,$G194&lt;CD$5+GanttPeriod),"◆",IF(AND($E194&gt;=CD$5,$E194&lt;CD$5+GanttPeriod),"◇","")),IF(AND(CD$5&lt;=$F194,CD$5+GanttPeriod-1&gt;=$E194),"━","")))</f>
        <v/>
      </c>
      <c r="CE194" s="69" t="str">
        <f aca="false">IF($E194="","",IF($M194,IF(AND($G194&gt;=CE$5,$G194&lt;CE$5+GanttPeriod),"◆",IF(AND($E194&gt;=CE$5,$E194&lt;CE$5+GanttPeriod),"◇","")),IF(AND(CE$5&lt;=$F194,CE$5+GanttPeriod-1&gt;=$E194),"━","")))</f>
        <v/>
      </c>
      <c r="CF194" s="69" t="str">
        <f aca="false">IF($E194="","",IF($M194,IF(AND($G194&gt;=CF$5,$G194&lt;CF$5+GanttPeriod),"◆",IF(AND($E194&gt;=CF$5,$E194&lt;CF$5+GanttPeriod),"◇","")),IF(AND(CF$5&lt;=$F194,CF$5+GanttPeriod-1&gt;=$E194),"━","")))</f>
        <v/>
      </c>
      <c r="CG194" s="69" t="str">
        <f aca="false">IF($E194="","",IF($M194,IF(AND($G194&gt;=CG$5,$G194&lt;CG$5+GanttPeriod),"◆",IF(AND($E194&gt;=CG$5,$E194&lt;CG$5+GanttPeriod),"◇","")),IF(AND(CG$5&lt;=$F194,CG$5+GanttPeriod-1&gt;=$E194),"━","")))</f>
        <v/>
      </c>
      <c r="CH194" s="69" t="str">
        <f aca="false">IF($E194="","",IF($M194,IF(AND($G194&gt;=CH$5,$G194&lt;CH$5+GanttPeriod),"◆",IF(AND($E194&gt;=CH$5,$E194&lt;CH$5+GanttPeriod),"◇","")),IF(AND(CH$5&lt;=$F194,CH$5+GanttPeriod-1&gt;=$E194),"━","")))</f>
        <v/>
      </c>
      <c r="CI194" s="69" t="str">
        <f aca="false">IF($E194="","",IF($M194,IF(AND($G194&gt;=CI$5,$G194&lt;CI$5+GanttPeriod),"◆",IF(AND($E194&gt;=CI$5,$E194&lt;CI$5+GanttPeriod),"◇","")),IF(AND(CI$5&lt;=$F194,CI$5+GanttPeriod-1&gt;=$E194),"━","")))</f>
        <v/>
      </c>
      <c r="CJ194" s="69" t="str">
        <f aca="false">IF($E194="","",IF($M194,IF(AND($G194&gt;=CJ$5,$G194&lt;CJ$5+GanttPeriod),"◆",IF(AND($E194&gt;=CJ$5,$E194&lt;CJ$5+GanttPeriod),"◇","")),IF(AND(CJ$5&lt;=$F194,CJ$5+GanttPeriod-1&gt;=$E194),"━","")))</f>
        <v/>
      </c>
      <c r="CK194" s="69" t="str">
        <f aca="false">IF($E194="","",IF($M194,IF(AND($G194&gt;=CK$5,$G194&lt;CK$5+GanttPeriod),"◆",IF(AND($E194&gt;=CK$5,$E194&lt;CK$5+GanttPeriod),"◇","")),IF(AND(CK$5&lt;=$F194,CK$5+GanttPeriod-1&gt;=$E194),"━","")))</f>
        <v/>
      </c>
      <c r="CL194" s="69" t="str">
        <f aca="false">IF($E194="","",IF($M194,IF(AND($G194&gt;=CL$5,$G194&lt;CL$5+GanttPeriod),"◆",IF(AND($E194&gt;=CL$5,$E194&lt;CL$5+GanttPeriod),"◇","")),IF(AND(CL$5&lt;=$F194,CL$5+GanttPeriod-1&gt;=$E194),"━","")))</f>
        <v/>
      </c>
      <c r="CM194" s="69" t="str">
        <f aca="false">IF($E194="","",IF($M194,IF(AND($G194&gt;=CM$5,$G194&lt;CM$5+GanttPeriod),"◆",IF(AND($E194&gt;=CM$5,$E194&lt;CM$5+GanttPeriod),"◇","")),IF(AND(CM$5&lt;=$F194,CM$5+GanttPeriod-1&gt;=$E194),"━","")))</f>
        <v/>
      </c>
      <c r="CN194" s="69" t="str">
        <f aca="false">IF($E194="","",IF($M194,IF(AND($G194&gt;=CN$5,$G194&lt;CN$5+GanttPeriod),"◆",IF(AND($E194&gt;=CN$5,$E194&lt;CN$5+GanttPeriod),"◇","")),IF(AND(CN$5&lt;=$F194,CN$5+GanttPeriod-1&gt;=$E194),"━","")))</f>
        <v/>
      </c>
      <c r="CO194" s="69" t="str">
        <f aca="false">IF($E194="","",IF($M194,IF(AND($G194&gt;=CO$5,$G194&lt;CO$5+GanttPeriod),"◆",IF(AND($E194&gt;=CO$5,$E194&lt;CO$5+GanttPeriod),"◇","")),IF(AND(CO$5&lt;=$F194,CO$5+GanttPeriod-1&gt;=$E194),"━","")))</f>
        <v/>
      </c>
      <c r="CP194" s="69" t="str">
        <f aca="false">IF($E194="","",IF($M194,IF(AND($G194&gt;=CP$5,$G194&lt;CP$5+GanttPeriod),"◆",IF(AND($E194&gt;=CP$5,$E194&lt;CP$5+GanttPeriod),"◇","")),IF(AND(CP$5&lt;=$F194,CP$5+GanttPeriod-1&gt;=$E194),"━","")))</f>
        <v/>
      </c>
      <c r="CQ194" s="69" t="str">
        <f aca="false">IF($E194="","",IF($M194,IF(AND($G194&gt;=CQ$5,$G194&lt;CQ$5+GanttPeriod),"◆",IF(AND($E194&gt;=CQ$5,$E194&lt;CQ$5+GanttPeriod),"◇","")),IF(AND(CQ$5&lt;=$F194,CQ$5+GanttPeriod-1&gt;=$E194),"━","")))</f>
        <v/>
      </c>
      <c r="CR194" s="69" t="str">
        <f aca="false">IF($E194="","",IF($M194,IF(AND($G194&gt;=CR$5,$G194&lt;CR$5+GanttPeriod),"◆",IF(AND($E194&gt;=CR$5,$E194&lt;CR$5+GanttPeriod),"◇","")),IF(AND(CR$5&lt;=$F194,CR$5+GanttPeriod-1&gt;=$E194),"━","")))</f>
        <v/>
      </c>
      <c r="CS194" s="69" t="str">
        <f aca="false">IF($E194="","",IF($M194,IF(AND($G194&gt;=CS$5,$G194&lt;CS$5+GanttPeriod),"◆",IF(AND($E194&gt;=CS$5,$E194&lt;CS$5+GanttPeriod),"◇","")),IF(AND(CS$5&lt;=$F194,CS$5+GanttPeriod-1&gt;=$E194),"━","")))</f>
        <v/>
      </c>
      <c r="CT194" s="69" t="str">
        <f aca="false">IF($E194="","",IF($M194,IF(AND($G194&gt;=CT$5,$G194&lt;CT$5+GanttPeriod),"◆",IF(AND($E194&gt;=CT$5,$E194&lt;CT$5+GanttPeriod),"◇","")),IF(AND(CT$5&lt;=$F194,CT$5+GanttPeriod-1&gt;=$E194),"━","")))</f>
        <v/>
      </c>
      <c r="CU194" s="69" t="str">
        <f aca="false">IF($E194="","",IF($M194,IF(AND($G194&gt;=CU$5,$G194&lt;CU$5+GanttPeriod),"◆",IF(AND($E194&gt;=CU$5,$E194&lt;CU$5+GanttPeriod),"◇","")),IF(AND(CU$5&lt;=$F194,CU$5+GanttPeriod-1&gt;=$E194),"━","")))</f>
        <v/>
      </c>
      <c r="CV194" s="69" t="str">
        <f aca="false">IF($E194="","",IF($M194,IF(AND($G194&gt;=CV$5,$G194&lt;CV$5+GanttPeriod),"◆",IF(AND($E194&gt;=CV$5,$E194&lt;CV$5+GanttPeriod),"◇","")),IF(AND(CV$5&lt;=$F194,CV$5+GanttPeriod-1&gt;=$E194),"━","")))</f>
        <v/>
      </c>
      <c r="CW194" s="69" t="str">
        <f aca="false">IF($E194="","",IF($M194,IF(AND($G194&gt;=CW$5,$G194&lt;CW$5+GanttPeriod),"◆",IF(AND($E194&gt;=CW$5,$E194&lt;CW$5+GanttPeriod),"◇","")),IF(AND(CW$5&lt;=$F194,CW$5+GanttPeriod-1&gt;=$E194),"━","")))</f>
        <v/>
      </c>
      <c r="CX194" s="69" t="str">
        <f aca="false">IF($E194="","",IF($M194,IF(AND($G194&gt;=CX$5,$G194&lt;CX$5+GanttPeriod),"◆",IF(AND($E194&gt;=CX$5,$E194&lt;CX$5+GanttPeriod),"◇","")),IF(AND(CX$5&lt;=$F194,CX$5+GanttPeriod-1&gt;=$E194),"━","")))</f>
        <v/>
      </c>
      <c r="CY194" s="69" t="str">
        <f aca="false">IF($E194="","",IF($M194,IF(AND($G194&gt;=CY$5,$G194&lt;CY$5+GanttPeriod),"◆",IF(AND($E194&gt;=CY$5,$E194&lt;CY$5+GanttPeriod),"◇","")),IF(AND(CY$5&lt;=$F194,CY$5+GanttPeriod-1&gt;=$E194),"━","")))</f>
        <v/>
      </c>
      <c r="CZ194" s="69" t="str">
        <f aca="false">IF($E194="","",IF($M194,IF(AND($G194&gt;=CZ$5,$G194&lt;CZ$5+GanttPeriod),"◆",IF(AND($E194&gt;=CZ$5,$E194&lt;CZ$5+GanttPeriod),"◇","")),IF(AND(CZ$5&lt;=$F194,CZ$5+GanttPeriod-1&gt;=$E194),"━","")))</f>
        <v/>
      </c>
      <c r="DA194" s="69" t="str">
        <f aca="false">IF($E194="","",IF($M194,IF(AND($G194&gt;=DA$5,$G194&lt;DA$5+GanttPeriod),"◆",IF(AND($E194&gt;=DA$5,$E194&lt;DA$5+GanttPeriod),"◇","")),IF(AND(DA$5&lt;=$F194,DA$5+GanttPeriod-1&gt;=$E194),"━","")))</f>
        <v/>
      </c>
      <c r="DB194" s="69" t="str">
        <f aca="false">IF($E194="","",IF($M194,IF(AND($G194&gt;=DB$5,$G194&lt;DB$5+GanttPeriod),"◆",IF(AND($E194&gt;=DB$5,$E194&lt;DB$5+GanttPeriod),"◇","")),IF(AND(DB$5&lt;=$F194,DB$5+GanttPeriod-1&gt;=$E194),"━","")))</f>
        <v/>
      </c>
      <c r="DC194" s="69" t="str">
        <f aca="false">IF($E194="","",IF($M194,IF(AND($G194&gt;=DC$5,$G194&lt;DC$5+GanttPeriod),"◆",IF(AND($E194&gt;=DC$5,$E194&lt;DC$5+GanttPeriod),"◇","")),IF(AND(DC$5&lt;=$F194,DC$5+GanttPeriod-1&gt;=$E194),"━","")))</f>
        <v/>
      </c>
      <c r="DD194" s="69" t="str">
        <f aca="false">IF($E194="","",IF($M194,IF(AND($G194&gt;=DD$5,$G194&lt;DD$5+GanttPeriod),"◆",IF(AND($E194&gt;=DD$5,$E194&lt;DD$5+GanttPeriod),"◇","")),IF(AND(DD$5&lt;=$F194,DD$5+GanttPeriod-1&gt;=$E194),"━","")))</f>
        <v/>
      </c>
      <c r="DE194" s="69" t="str">
        <f aca="false">IF($E194="","",IF($M194,IF(AND($G194&gt;=DE$5,$G194&lt;DE$5+GanttPeriod),"◆",IF(AND($E194&gt;=DE$5,$E194&lt;DE$5+GanttPeriod),"◇","")),IF(AND(DE$5&lt;=$F194,DE$5+GanttPeriod-1&gt;=$E194),"━","")))</f>
        <v/>
      </c>
      <c r="DF194" s="69" t="str">
        <f aca="false">IF($E194="","",IF($M194,IF(AND($G194&gt;=DF$5,$G194&lt;DF$5+GanttPeriod),"◆",IF(AND($E194&gt;=DF$5,$E194&lt;DF$5+GanttPeriod),"◇","")),IF(AND(DF$5&lt;=$F194,DF$5+GanttPeriod-1&gt;=$E194),"━","")))</f>
        <v/>
      </c>
      <c r="DG194" s="69" t="str">
        <f aca="false">IF($E194="","",IF($M194,IF(AND($G194&gt;=DG$5,$G194&lt;DG$5+GanttPeriod),"◆",IF(AND($E194&gt;=DG$5,$E194&lt;DG$5+GanttPeriod),"◇","")),IF(AND(DG$5&lt;=$F194,DG$5+GanttPeriod-1&gt;=$E194),"━","")))</f>
        <v/>
      </c>
      <c r="DH194" s="69" t="str">
        <f aca="false">IF($E194="","",IF($M194,IF(AND($G194&gt;=DH$5,$G194&lt;DH$5+GanttPeriod),"◆",IF(AND($E194&gt;=DH$5,$E194&lt;DH$5+GanttPeriod),"◇","")),IF(AND(DH$5&lt;=$F194,DH$5+GanttPeriod-1&gt;=$E194),"━","")))</f>
        <v/>
      </c>
      <c r="DI194" s="69" t="str">
        <f aca="false">IF($E194="","",IF($M194,IF(AND($G194&gt;=DI$5,$G194&lt;DI$5+GanttPeriod),"◆",IF(AND($E194&gt;=DI$5,$E194&lt;DI$5+GanttPeriod),"◇","")),IF(AND(DI$5&lt;=$F194,DI$5+GanttPeriod-1&gt;=$E194),"━","")))</f>
        <v/>
      </c>
      <c r="DJ194" s="69" t="str">
        <f aca="false">IF($E194="","",IF($M194,IF(AND($G194&gt;=DJ$5,$G194&lt;DJ$5+GanttPeriod),"◆",IF(AND($E194&gt;=DJ$5,$E194&lt;DJ$5+GanttPeriod),"◇","")),IF(AND(DJ$5&lt;=$F194,DJ$5+GanttPeriod-1&gt;=$E194),"━","")))</f>
        <v/>
      </c>
      <c r="DK194" s="69" t="str">
        <f aca="false">IF($E194="","",IF($M194,IF(AND($G194&gt;=DK$5,$G194&lt;DK$5+GanttPeriod),"◆",IF(AND($E194&gt;=DK$5,$E194&lt;DK$5+GanttPeriod),"◇","")),IF(AND(DK$5&lt;=$F194,DK$5+GanttPeriod-1&gt;=$E194),"━","")))</f>
        <v/>
      </c>
      <c r="DL194" s="69" t="str">
        <f aca="false">IF($E194="","",IF($M194,IF(AND($G194&gt;=DL$5,$G194&lt;DL$5+GanttPeriod),"◆",IF(AND($E194&gt;=DL$5,$E194&lt;DL$5+GanttPeriod),"◇","")),IF(AND(DL$5&lt;=$F194,DL$5+GanttPeriod-1&gt;=$E194),"━","")))</f>
        <v/>
      </c>
      <c r="DM194" s="69" t="str">
        <f aca="false">IF($E194="","",IF($M194,IF(AND($G194&gt;=DM$5,$G194&lt;DM$5+GanttPeriod),"◆",IF(AND($E194&gt;=DM$5,$E194&lt;DM$5+GanttPeriod),"◇","")),IF(AND(DM$5&lt;=$F194,DM$5+GanttPeriod-1&gt;=$E194),"━","")))</f>
        <v/>
      </c>
      <c r="DN194" s="69" t="str">
        <f aca="false">IF($E194="","",IF($M194,IF(AND($G194&gt;=DN$5,$G194&lt;DN$5+GanttPeriod),"◆",IF(AND($E194&gt;=DN$5,$E194&lt;DN$5+GanttPeriod),"◇","")),IF(AND(DN$5&lt;=$F194,DN$5+GanttPeriod-1&gt;=$E194),"━","")))</f>
        <v/>
      </c>
      <c r="DO194" s="69" t="str">
        <f aca="false">IF($E194="","",IF($M194,IF(AND($G194&gt;=DO$5,$G194&lt;DO$5+GanttPeriod),"◆",IF(AND($E194&gt;=DO$5,$E194&lt;DO$5+GanttPeriod),"◇","")),IF(AND(DO$5&lt;=$F194,DO$5+GanttPeriod-1&gt;=$E194),"━","")))</f>
        <v/>
      </c>
      <c r="DP194" s="69" t="str">
        <f aca="false">IF($E194="","",IF($M194,IF(AND($G194&gt;=DP$5,$G194&lt;DP$5+GanttPeriod),"◆",IF(AND($E194&gt;=DP$5,$E194&lt;DP$5+GanttPeriod),"◇","")),IF(AND(DP$5&lt;=$F194,DP$5+GanttPeriod-1&gt;=$E194),"━","")))</f>
        <v/>
      </c>
      <c r="DQ194" s="69" t="str">
        <f aca="false">IF($E194="","",IF($M194,IF(AND($G194&gt;=DQ$5,$G194&lt;DQ$5+GanttPeriod),"◆",IF(AND($E194&gt;=DQ$5,$E194&lt;DQ$5+GanttPeriod),"◇","")),IF(AND(DQ$5&lt;=$F194,DQ$5+GanttPeriod-1&gt;=$E194),"━","")))</f>
        <v/>
      </c>
      <c r="DR194" s="69" t="str">
        <f aca="false">IF($E194="","",IF($M194,IF(AND($G194&gt;=DR$5,$G194&lt;DR$5+GanttPeriod),"◆",IF(AND($E194&gt;=DR$5,$E194&lt;DR$5+GanttPeriod),"◇","")),IF(AND(DR$5&lt;=$F194,DR$5+GanttPeriod-1&gt;=$E194),"━","")))</f>
        <v/>
      </c>
      <c r="DS194" s="69" t="str">
        <f aca="false">IF($E194="","",IF($M194,IF(AND($G194&gt;=DS$5,$G194&lt;DS$5+GanttPeriod),"◆",IF(AND($E194&gt;=DS$5,$E194&lt;DS$5+GanttPeriod),"◇","")),IF(AND(DS$5&lt;=$F194,DS$5+GanttPeriod-1&gt;=$E194),"━","")))</f>
        <v/>
      </c>
      <c r="DT194" s="69" t="str">
        <f aca="false">IF($E194="","",IF($M194,IF(AND($G194&gt;=DT$5,$G194&lt;DT$5+GanttPeriod),"◆",IF(AND($E194&gt;=DT$5,$E194&lt;DT$5+GanttPeriod),"◇","")),IF(AND(DT$5&lt;=$F194,DT$5+GanttPeriod-1&gt;=$E194),"━","")))</f>
        <v/>
      </c>
      <c r="DU194" s="69" t="str">
        <f aca="false">IF($E194="","",IF($M194,IF(AND($G194&gt;=DU$5,$G194&lt;DU$5+GanttPeriod),"◆",IF(AND($E194&gt;=DU$5,$E194&lt;DU$5+GanttPeriod),"◇","")),IF(AND(DU$5&lt;=$F194,DU$5+GanttPeriod-1&gt;=$E194),"━","")))</f>
        <v/>
      </c>
      <c r="DV194" s="69" t="str">
        <f aca="false">IF($E194="","",IF($M194,IF(AND($G194&gt;=DV$5,$G194&lt;DV$5+GanttPeriod),"◆",IF(AND($E194&gt;=DV$5,$E194&lt;DV$5+GanttPeriod),"◇","")),IF(AND(DV$5&lt;=$F194,DV$5+GanttPeriod-1&gt;=$E194),"━","")))</f>
        <v/>
      </c>
      <c r="DW194" s="69" t="str">
        <f aca="false">IF($E194="","",IF($M194,IF(AND($G194&gt;=DW$5,$G194&lt;DW$5+GanttPeriod),"◆",IF(AND($E194&gt;=DW$5,$E194&lt;DW$5+GanttPeriod),"◇","")),IF(AND(DW$5&lt;=$F194,DW$5+GanttPeriod-1&gt;=$E194),"━","")))</f>
        <v/>
      </c>
      <c r="DX194" s="69" t="str">
        <f aca="false">IF($E194="","",IF($M194,IF(AND($G194&gt;=DX$5,$G194&lt;DX$5+GanttPeriod),"◆",IF(AND($E194&gt;=DX$5,$E194&lt;DX$5+GanttPeriod),"◇","")),IF(AND(DX$5&lt;=$F194,DX$5+GanttPeriod-1&gt;=$E194),"━","")))</f>
        <v/>
      </c>
      <c r="DY194" s="69" t="str">
        <f aca="false">IF($E194="","",IF($M194,IF(AND($G194&gt;=DY$5,$G194&lt;DY$5+GanttPeriod),"◆",IF(AND($E194&gt;=DY$5,$E194&lt;DY$5+GanttPeriod),"◇","")),IF(AND(DY$5&lt;=$F194,DY$5+GanttPeriod-1&gt;=$E194),"━","")))</f>
        <v/>
      </c>
      <c r="DZ194" s="69" t="str">
        <f aca="false">IF($E194="","",IF($M194,IF(AND($G194&gt;=DZ$5,$G194&lt;DZ$5+GanttPeriod),"◆",IF(AND($E194&gt;=DZ$5,$E194&lt;DZ$5+GanttPeriod),"◇","")),IF(AND(DZ$5&lt;=$F194,DZ$5+GanttPeriod-1&gt;=$E194),"━","")))</f>
        <v/>
      </c>
      <c r="EA194" s="69" t="str">
        <f aca="false">IF($E194="","",IF($M194,IF(AND($G194&gt;=EA$5,$G194&lt;EA$5+GanttPeriod),"◆",IF(AND($E194&gt;=EA$5,$E194&lt;EA$5+GanttPeriod),"◇","")),IF(AND(EA$5&lt;=$F194,EA$5+GanttPeriod-1&gt;=$E194),"━","")))</f>
        <v/>
      </c>
      <c r="EB194" s="69" t="str">
        <f aca="false">IF($E194="","",IF($M194,IF(AND($G194&gt;=EB$5,$G194&lt;EB$5+GanttPeriod),"◆",IF(AND($E194&gt;=EB$5,$E194&lt;EB$5+GanttPeriod),"◇","")),IF(AND(EB$5&lt;=$F194,EB$5+GanttPeriod-1&gt;=$E194),"━","")))</f>
        <v/>
      </c>
      <c r="EC194" s="69" t="str">
        <f aca="false">IF($E194="","",IF($M194,IF(AND($G194&gt;=EC$5,$G194&lt;EC$5+GanttPeriod),"◆",IF(AND($E194&gt;=EC$5,$E194&lt;EC$5+GanttPeriod),"◇","")),IF(AND(EC$5&lt;=$F194,EC$5+GanttPeriod-1&gt;=$E194),"━","")))</f>
        <v/>
      </c>
      <c r="ED194" s="69" t="str">
        <f aca="false">IF($E194="","",IF($M194,IF(AND($G194&gt;=ED$5,$G194&lt;ED$5+GanttPeriod),"◆",IF(AND($E194&gt;=ED$5,$E194&lt;ED$5+GanttPeriod),"◇","")),IF(AND(ED$5&lt;=$F194,ED$5+GanttPeriod-1&gt;=$E194),"━","")))</f>
        <v/>
      </c>
      <c r="EE194" s="69" t="str">
        <f aca="false">IF($E194="","",IF($M194,IF(AND($G194&gt;=EE$5,$G194&lt;EE$5+GanttPeriod),"◆",IF(AND($E194&gt;=EE$5,$E194&lt;EE$5+GanttPeriod),"◇","")),IF(AND(EE$5&lt;=$F194,EE$5+GanttPeriod-1&gt;=$E194),"━","")))</f>
        <v/>
      </c>
      <c r="EF194" s="69" t="str">
        <f aca="false">IF($E194="","",IF($M194,IF(AND($G194&gt;=EF$5,$G194&lt;EF$5+GanttPeriod),"◆",IF(AND($E194&gt;=EF$5,$E194&lt;EF$5+GanttPeriod),"◇","")),IF(AND(EF$5&lt;=$F194,EF$5+GanttPeriod-1&gt;=$E194),"━","")))</f>
        <v/>
      </c>
      <c r="EG194" s="69" t="str">
        <f aca="false">IF($E194="","",IF($M194,IF(AND($G194&gt;=EG$5,$G194&lt;EG$5+GanttPeriod),"◆",IF(AND($E194&gt;=EG$5,$E194&lt;EG$5+GanttPeriod),"◇","")),IF(AND(EG$5&lt;=$F194,EG$5+GanttPeriod-1&gt;=$E194),"━","")))</f>
        <v/>
      </c>
      <c r="EH194" s="69" t="str">
        <f aca="false">IF($E194="","",IF($M194,IF(AND($G194&gt;=EH$5,$G194&lt;EH$5+GanttPeriod),"◆",IF(AND($E194&gt;=EH$5,$E194&lt;EH$5+GanttPeriod),"◇","")),IF(AND(EH$5&lt;=$F194,EH$5+GanttPeriod-1&gt;=$E194),"━","")))</f>
        <v/>
      </c>
      <c r="EI194" s="69" t="str">
        <f aca="false">IF($E194="","",IF($M194,IF(AND($G194&gt;=EI$5,$G194&lt;EI$5+GanttPeriod),"◆",IF(AND($E194&gt;=EI$5,$E194&lt;EI$5+GanttPeriod),"◇","")),IF(AND(EI$5&lt;=$F194,EI$5+GanttPeriod-1&gt;=$E194),"━","")))</f>
        <v/>
      </c>
      <c r="EJ194" s="69" t="str">
        <f aca="false">IF($E194="","",IF($M194,IF(AND($G194&gt;=EJ$5,$G194&lt;EJ$5+GanttPeriod),"◆",IF(AND($E194&gt;=EJ$5,$E194&lt;EJ$5+GanttPeriod),"◇","")),IF(AND(EJ$5&lt;=$F194,EJ$5+GanttPeriod-1&gt;=$E194),"━","")))</f>
        <v/>
      </c>
      <c r="EK194" s="69" t="str">
        <f aca="false">IF($E194="","",IF($M194,IF(AND($G194&gt;=EK$5,$G194&lt;EK$5+GanttPeriod),"◆",IF(AND($E194&gt;=EK$5,$E194&lt;EK$5+GanttPeriod),"◇","")),IF(AND(EK$5&lt;=$F194,EK$5+GanttPeriod-1&gt;=$E194),"━","")))</f>
        <v/>
      </c>
      <c r="EL194" s="69" t="str">
        <f aca="false">IF($E194="","",IF($M194,IF(AND($G194&gt;=EL$5,$G194&lt;EL$5+GanttPeriod),"◆",IF(AND($E194&gt;=EL$5,$E194&lt;EL$5+GanttPeriod),"◇","")),IF(AND(EL$5&lt;=$F194,EL$5+GanttPeriod-1&gt;=$E194),"━","")))</f>
        <v/>
      </c>
      <c r="EM194" s="69" t="str">
        <f aca="false">IF($E194="","",IF($M194,IF(AND($G194&gt;=EM$5,$G194&lt;EM$5+GanttPeriod),"◆",IF(AND($E194&gt;=EM$5,$E194&lt;EM$5+GanttPeriod),"◇","")),IF(AND(EM$5&lt;=$F194,EM$5+GanttPeriod-1&gt;=$E194),"━","")))</f>
        <v/>
      </c>
      <c r="EN194" s="69" t="str">
        <f aca="false">IF($E194="","",IF($M194,IF(AND($G194&gt;=EN$5,$G194&lt;EN$5+GanttPeriod),"◆",IF(AND($E194&gt;=EN$5,$E194&lt;EN$5+GanttPeriod),"◇","")),IF(AND(EN$5&lt;=$F194,EN$5+GanttPeriod-1&gt;=$E194),"━","")))</f>
        <v/>
      </c>
      <c r="EO194" s="69" t="str">
        <f aca="false">IF($E194="","",IF($M194,IF(AND($G194&gt;=EO$5,$G194&lt;EO$5+GanttPeriod),"◆",IF(AND($E194&gt;=EO$5,$E194&lt;EO$5+GanttPeriod),"◇","")),IF(AND(EO$5&lt;=$F194,EO$5+GanttPeriod-1&gt;=$E194),"━","")))</f>
        <v/>
      </c>
      <c r="EP194" s="69" t="str">
        <f aca="false">IF($E194="","",IF($M194,IF(AND($G194&gt;=EP$5,$G194&lt;EP$5+GanttPeriod),"◆",IF(AND($E194&gt;=EP$5,$E194&lt;EP$5+GanttPeriod),"◇","")),IF(AND(EP$5&lt;=$F194,EP$5+GanttPeriod-1&gt;=$E194),"━","")))</f>
        <v/>
      </c>
      <c r="EQ194" s="69" t="str">
        <f aca="false">IF($E194="","",IF($M194,IF(AND($G194&gt;=EQ$5,$G194&lt;EQ$5+GanttPeriod),"◆",IF(AND($E194&gt;=EQ$5,$E194&lt;EQ$5+GanttPeriod),"◇","")),IF(AND(EQ$5&lt;=$F194,EQ$5+GanttPeriod-1&gt;=$E194),"━","")))</f>
        <v/>
      </c>
      <c r="ER194" s="69" t="str">
        <f aca="false">IF($E194="","",IF($M194,IF(AND($G194&gt;=ER$5,$G194&lt;ER$5+GanttPeriod),"◆",IF(AND($E194&gt;=ER$5,$E194&lt;ER$5+GanttPeriod),"◇","")),IF(AND(ER$5&lt;=$F194,ER$5+GanttPeriod-1&gt;=$E194),"━","")))</f>
        <v/>
      </c>
      <c r="ES194" s="69" t="str">
        <f aca="false">IF($E194="","",IF($M194,IF(AND($G194&gt;=ES$5,$G194&lt;ES$5+GanttPeriod),"◆",IF(AND($E194&gt;=ES$5,$E194&lt;ES$5+GanttPeriod),"◇","")),IF(AND(ES$5&lt;=$F194,ES$5+GanttPeriod-1&gt;=$E194),"━","")))</f>
        <v/>
      </c>
      <c r="ET194" s="69" t="str">
        <f aca="false">IF($E194="","",IF($M194,IF(AND($G194&gt;=ET$5,$G194&lt;ET$5+GanttPeriod),"◆",IF(AND($E194&gt;=ET$5,$E194&lt;ET$5+GanttPeriod),"◇","")),IF(AND(ET$5&lt;=$F194,ET$5+GanttPeriod-1&gt;=$E194),"━","")))</f>
        <v/>
      </c>
      <c r="EU194" s="69" t="str">
        <f aca="false">IF($E194="","",IF($M194,IF(AND($G194&gt;=EU$5,$G194&lt;EU$5+GanttPeriod),"◆",IF(AND($E194&gt;=EU$5,$E194&lt;EU$5+GanttPeriod),"◇","")),IF(AND(EU$5&lt;=$F194,EU$5+GanttPeriod-1&gt;=$E194),"━","")))</f>
        <v/>
      </c>
      <c r="EV194" s="69" t="str">
        <f aca="false">IF($E194="","",IF($M194,IF(AND($G194&gt;=EV$5,$G194&lt;EV$5+GanttPeriod),"◆",IF(AND($E194&gt;=EV$5,$E194&lt;EV$5+GanttPeriod),"◇","")),IF(AND(EV$5&lt;=$F194,EV$5+GanttPeriod-1&gt;=$E194),"━","")))</f>
        <v/>
      </c>
      <c r="EW194" s="69" t="str">
        <f aca="false">IF($E194="","",IF($M194,IF(AND($G194&gt;=EW$5,$G194&lt;EW$5+GanttPeriod),"◆",IF(AND($E194&gt;=EW$5,$E194&lt;EW$5+GanttPeriod),"◇","")),IF(AND(EW$5&lt;=$F194,EW$5+GanttPeriod-1&gt;=$E194),"━","")))</f>
        <v/>
      </c>
      <c r="EX194" s="69" t="str">
        <f aca="false">IF($E194="","",IF($M194,IF(AND($G194&gt;=EX$5,$G194&lt;EX$5+GanttPeriod),"◆",IF(AND($E194&gt;=EX$5,$E194&lt;EX$5+GanttPeriod),"◇","")),IF(AND(EX$5&lt;=$F194,EX$5+GanttPeriod-1&gt;=$E194),"━","")))</f>
        <v/>
      </c>
      <c r="EY194" s="69" t="str">
        <f aca="false">IF($E194="","",IF($M194,IF(AND($G194&gt;=EY$5,$G194&lt;EY$5+GanttPeriod),"◆",IF(AND($E194&gt;=EY$5,$E194&lt;EY$5+GanttPeriod),"◇","")),IF(AND(EY$5&lt;=$F194,EY$5+GanttPeriod-1&gt;=$E194),"━","")))</f>
        <v/>
      </c>
      <c r="EZ194" s="69" t="str">
        <f aca="false">IF($E194="","",IF($M194,IF(AND($G194&gt;=EZ$5,$G194&lt;EZ$5+GanttPeriod),"◆",IF(AND($E194&gt;=EZ$5,$E194&lt;EZ$5+GanttPeriod),"◇","")),IF(AND(EZ$5&lt;=$F194,EZ$5+GanttPeriod-1&gt;=$E194),"━","")))</f>
        <v/>
      </c>
      <c r="FA194" s="69" t="str">
        <f aca="false">IF($E194="","",IF($M194,IF(AND($G194&gt;=FA$5,$G194&lt;FA$5+GanttPeriod),"◆",IF(AND($E194&gt;=FA$5,$E194&lt;FA$5+GanttPeriod),"◇","")),IF(AND(FA$5&lt;=$F194,FA$5+GanttPeriod-1&gt;=$E194),"━","")))</f>
        <v/>
      </c>
      <c r="FB194" s="69" t="str">
        <f aca="false">IF($E194="","",IF($M194,IF(AND($G194&gt;=FB$5,$G194&lt;FB$5+GanttPeriod),"◆",IF(AND($E194&gt;=FB$5,$E194&lt;FB$5+GanttPeriod),"◇","")),IF(AND(FB$5&lt;=$F194,FB$5+GanttPeriod-1&gt;=$E194),"━","")))</f>
        <v/>
      </c>
      <c r="FC194" s="69" t="str">
        <f aca="false">IF($E194="","",IF($M194,IF(AND($G194&gt;=FC$5,$G194&lt;FC$5+GanttPeriod),"◆",IF(AND($E194&gt;=FC$5,$E194&lt;FC$5+GanttPeriod),"◇","")),IF(AND(FC$5&lt;=$F194,FC$5+GanttPeriod-1&gt;=$E194),"━","")))</f>
        <v/>
      </c>
      <c r="FD194" s="69" t="str">
        <f aca="false">IF($E194="","",IF($M194,IF(AND($G194&gt;=FD$5,$G194&lt;FD$5+GanttPeriod),"◆",IF(AND($E194&gt;=FD$5,$E194&lt;FD$5+GanttPeriod),"◇","")),IF(AND(FD$5&lt;=$F194,FD$5+GanttPeriod-1&gt;=$E194),"━","")))</f>
        <v/>
      </c>
      <c r="FE194" s="69" t="str">
        <f aca="false">IF($E194="","",IF($M194,IF(AND($G194&gt;=FE$5,$G194&lt;FE$5+GanttPeriod),"◆",IF(AND($E194&gt;=FE$5,$E194&lt;FE$5+GanttPeriod),"◇","")),IF(AND(FE$5&lt;=$F194,FE$5+GanttPeriod-1&gt;=$E194),"━","")))</f>
        <v/>
      </c>
      <c r="FF194" s="69" t="str">
        <f aca="false">IF($E194="","",IF($M194,IF(AND($G194&gt;=FF$5,$G194&lt;FF$5+GanttPeriod),"◆",IF(AND($E194&gt;=FF$5,$E194&lt;FF$5+GanttPeriod),"◇","")),IF(AND(FF$5&lt;=$F194,FF$5+GanttPeriod-1&gt;=$E194),"━","")))</f>
        <v/>
      </c>
      <c r="FG194" s="69" t="str">
        <f aca="false">IF($E194="","",IF($M194,IF(AND($G194&gt;=FG$5,$G194&lt;FG$5+GanttPeriod),"◆",IF(AND($E194&gt;=FG$5,$E194&lt;FG$5+GanttPeriod),"◇","")),IF(AND(FG$5&lt;=$F194,FG$5+GanttPeriod-1&gt;=$E194),"━","")))</f>
        <v/>
      </c>
      <c r="FH194" s="69" t="str">
        <f aca="false">IF($E194="","",IF($M194,IF(AND($G194&gt;=FH$5,$G194&lt;FH$5+GanttPeriod),"◆",IF(AND($E194&gt;=FH$5,$E194&lt;FH$5+GanttPeriod),"◇","")),IF(AND(FH$5&lt;=$F194,FH$5+GanttPeriod-1&gt;=$E194),"━","")))</f>
        <v/>
      </c>
      <c r="FI194" s="69" t="str">
        <f aca="false">IF($E194="","",IF($M194,IF(AND($G194&gt;=FI$5,$G194&lt;FI$5+GanttPeriod),"◆",IF(AND($E194&gt;=FI$5,$E194&lt;FI$5+GanttPeriod),"◇","")),IF(AND(FI$5&lt;=$F194,FI$5+GanttPeriod-1&gt;=$E194),"━","")))</f>
        <v/>
      </c>
      <c r="FJ194" s="69" t="str">
        <f aca="false">IF($E194="","",IF($M194,IF(AND($G194&gt;=FJ$5,$G194&lt;FJ$5+GanttPeriod),"◆",IF(AND($E194&gt;=FJ$5,$E194&lt;FJ$5+GanttPeriod),"◇","")),IF(AND(FJ$5&lt;=$F194,FJ$5+GanttPeriod-1&gt;=$E194),"━","")))</f>
        <v/>
      </c>
      <c r="FK194" s="69" t="str">
        <f aca="false">IF($E194="","",IF($M194,IF(AND($G194&gt;=FK$5,$G194&lt;FK$5+GanttPeriod),"◆",IF(AND($E194&gt;=FK$5,$E194&lt;FK$5+GanttPeriod),"◇","")),IF(AND(FK$5&lt;=$F194,FK$5+GanttPeriod-1&gt;=$E194),"━","")))</f>
        <v/>
      </c>
      <c r="FL194" s="69" t="str">
        <f aca="false">IF($E194="","",IF($M194,IF(AND($G194&gt;=FL$5,$G194&lt;FL$5+GanttPeriod),"◆",IF(AND($E194&gt;=FL$5,$E194&lt;FL$5+GanttPeriod),"◇","")),IF(AND(FL$5&lt;=$F194,FL$5+GanttPeriod-1&gt;=$E194),"━","")))</f>
        <v/>
      </c>
      <c r="FM194" s="69" t="str">
        <f aca="false">IF($E194="","",IF($M194,IF(AND($G194&gt;=FM$5,$G194&lt;FM$5+GanttPeriod),"◆",IF(AND($E194&gt;=FM$5,$E194&lt;FM$5+GanttPeriod),"◇","")),IF(AND(FM$5&lt;=$F194,FM$5+GanttPeriod-1&gt;=$E194),"━","")))</f>
        <v/>
      </c>
    </row>
    <row r="195" customFormat="false" ht="15" hidden="false" customHeight="false" outlineLevel="0" collapsed="false">
      <c r="A195" s="62" t="str">
        <f aca="false">IF(Tasks!$D195="","",Tasks!$A195)</f>
        <v/>
      </c>
      <c r="B195" s="62" t="str">
        <f aca="false">IF(Tasks!$D195="","",Tasks!$B195)</f>
        <v/>
      </c>
      <c r="C195" s="63" t="str">
        <f aca="false">IF(Tasks!$D195="","",REPT("    ",Tasks!$AE195-1)&amp;Tasks!$D195)</f>
        <v/>
      </c>
      <c r="D195" s="62" t="str">
        <f aca="false">IF(Tasks!$D195="","",IF(Tasks!$AI195,NETWORKDAYS.INTL(Tasks!$R195,Tasks!$S195,WorkWeek,Holidays),N(Tasks!$F195)))</f>
        <v/>
      </c>
      <c r="E195" s="64" t="str">
        <f aca="false">IF(Tasks!$D195="","",Tasks!$N195)</f>
        <v/>
      </c>
      <c r="F195" s="64" t="str">
        <f aca="false">IF(Tasks!$D195="","",Tasks!$O195)</f>
        <v/>
      </c>
      <c r="G195" s="64" t="str">
        <f aca="false">IF(Tasks!$D195="","",Tasks!$R195)</f>
        <v/>
      </c>
      <c r="H195" s="64" t="str">
        <f aca="false">IF(Tasks!$D195="","",Tasks!$S195)</f>
        <v/>
      </c>
      <c r="I195" s="65" t="str">
        <f aca="false">IF(Tasks!$D195="","",Tasks!$V195)</f>
        <v/>
      </c>
      <c r="J195" s="63" t="str">
        <f aca="false">IF(Tasks!$D195="","",Tasks!$X195&amp;"")</f>
        <v/>
      </c>
      <c r="K195" s="66" t="str">
        <f aca="false">IF(Tasks!$D195="","",Tasks!$W195)</f>
        <v/>
      </c>
      <c r="L195" s="67" t="b">
        <f aca="false">IF(Tasks!$D195="",FALSE(),Tasks!$AI195)</f>
        <v>0</v>
      </c>
      <c r="M195" s="67" t="b">
        <f aca="false">AND(Tasks!$AJ195=1,N(Tasks!$F195)=0)</f>
        <v>0</v>
      </c>
      <c r="N195" s="68" t="n">
        <f aca="false">IF(AND(Tasks!$AJ195=1,NOT($M195),N($I195)&gt;0),$G195,0)</f>
        <v>0</v>
      </c>
      <c r="O195" s="68" t="n">
        <f aca="false">IF($N195=0,0,IF($I195&gt;=1,$H195,MAX($N195,$G195+ROUND(($H195-$G195+1)*$I195,0)-1)))</f>
        <v>0</v>
      </c>
      <c r="P195" s="68" t="n">
        <f aca="false">IF(OR(Tasks!$AJ195&lt;&gt;1,$M195,N($I195)&gt;=1),0,IF($O195&gt;0,$O195+1,$G195))</f>
        <v>0</v>
      </c>
      <c r="Q195" s="68" t="n">
        <f aca="false">IF($P195=0,0,$H195)</f>
        <v>0</v>
      </c>
      <c r="R195" s="67" t="b">
        <f aca="false">AND(Tasks!$D195&lt;&gt;"",N(Tasks!$T195)&gt;0)</f>
        <v>0</v>
      </c>
      <c r="T195" s="69" t="str">
        <f aca="false">IF($E195="","",IF($M195,IF(AND($G195&gt;=T$5,$G195&lt;T$5+GanttPeriod),"◆",IF(AND($E195&gt;=T$5,$E195&lt;T$5+GanttPeriod),"◇","")),IF(AND(T$5&lt;=$F195,T$5+GanttPeriod-1&gt;=$E195),"━","")))</f>
        <v/>
      </c>
      <c r="U195" s="69" t="str">
        <f aca="false">IF($E195="","",IF($M195,IF(AND($G195&gt;=U$5,$G195&lt;U$5+GanttPeriod),"◆",IF(AND($E195&gt;=U$5,$E195&lt;U$5+GanttPeriod),"◇","")),IF(AND(U$5&lt;=$F195,U$5+GanttPeriod-1&gt;=$E195),"━","")))</f>
        <v/>
      </c>
      <c r="V195" s="69" t="str">
        <f aca="false">IF($E195="","",IF($M195,IF(AND($G195&gt;=V$5,$G195&lt;V$5+GanttPeriod),"◆",IF(AND($E195&gt;=V$5,$E195&lt;V$5+GanttPeriod),"◇","")),IF(AND(V$5&lt;=$F195,V$5+GanttPeriod-1&gt;=$E195),"━","")))</f>
        <v/>
      </c>
      <c r="W195" s="69" t="str">
        <f aca="false">IF($E195="","",IF($M195,IF(AND($G195&gt;=W$5,$G195&lt;W$5+GanttPeriod),"◆",IF(AND($E195&gt;=W$5,$E195&lt;W$5+GanttPeriod),"◇","")),IF(AND(W$5&lt;=$F195,W$5+GanttPeriod-1&gt;=$E195),"━","")))</f>
        <v/>
      </c>
      <c r="X195" s="69" t="str">
        <f aca="false">IF($E195="","",IF($M195,IF(AND($G195&gt;=X$5,$G195&lt;X$5+GanttPeriod),"◆",IF(AND($E195&gt;=X$5,$E195&lt;X$5+GanttPeriod),"◇","")),IF(AND(X$5&lt;=$F195,X$5+GanttPeriod-1&gt;=$E195),"━","")))</f>
        <v/>
      </c>
      <c r="Y195" s="69" t="str">
        <f aca="false">IF($E195="","",IF($M195,IF(AND($G195&gt;=Y$5,$G195&lt;Y$5+GanttPeriod),"◆",IF(AND($E195&gt;=Y$5,$E195&lt;Y$5+GanttPeriod),"◇","")),IF(AND(Y$5&lt;=$F195,Y$5+GanttPeriod-1&gt;=$E195),"━","")))</f>
        <v/>
      </c>
      <c r="Z195" s="69" t="str">
        <f aca="false">IF($E195="","",IF($M195,IF(AND($G195&gt;=Z$5,$G195&lt;Z$5+GanttPeriod),"◆",IF(AND($E195&gt;=Z$5,$E195&lt;Z$5+GanttPeriod),"◇","")),IF(AND(Z$5&lt;=$F195,Z$5+GanttPeriod-1&gt;=$E195),"━","")))</f>
        <v/>
      </c>
      <c r="AA195" s="69" t="str">
        <f aca="false">IF($E195="","",IF($M195,IF(AND($G195&gt;=AA$5,$G195&lt;AA$5+GanttPeriod),"◆",IF(AND($E195&gt;=AA$5,$E195&lt;AA$5+GanttPeriod),"◇","")),IF(AND(AA$5&lt;=$F195,AA$5+GanttPeriod-1&gt;=$E195),"━","")))</f>
        <v/>
      </c>
      <c r="AB195" s="69" t="str">
        <f aca="false">IF($E195="","",IF($M195,IF(AND($G195&gt;=AB$5,$G195&lt;AB$5+GanttPeriod),"◆",IF(AND($E195&gt;=AB$5,$E195&lt;AB$5+GanttPeriod),"◇","")),IF(AND(AB$5&lt;=$F195,AB$5+GanttPeriod-1&gt;=$E195),"━","")))</f>
        <v/>
      </c>
      <c r="AC195" s="69" t="str">
        <f aca="false">IF($E195="","",IF($M195,IF(AND($G195&gt;=AC$5,$G195&lt;AC$5+GanttPeriod),"◆",IF(AND($E195&gt;=AC$5,$E195&lt;AC$5+GanttPeriod),"◇","")),IF(AND(AC$5&lt;=$F195,AC$5+GanttPeriod-1&gt;=$E195),"━","")))</f>
        <v/>
      </c>
      <c r="AD195" s="69" t="str">
        <f aca="false">IF($E195="","",IF($M195,IF(AND($G195&gt;=AD$5,$G195&lt;AD$5+GanttPeriod),"◆",IF(AND($E195&gt;=AD$5,$E195&lt;AD$5+GanttPeriod),"◇","")),IF(AND(AD$5&lt;=$F195,AD$5+GanttPeriod-1&gt;=$E195),"━","")))</f>
        <v/>
      </c>
      <c r="AE195" s="69" t="str">
        <f aca="false">IF($E195="","",IF($M195,IF(AND($G195&gt;=AE$5,$G195&lt;AE$5+GanttPeriod),"◆",IF(AND($E195&gt;=AE$5,$E195&lt;AE$5+GanttPeriod),"◇","")),IF(AND(AE$5&lt;=$F195,AE$5+GanttPeriod-1&gt;=$E195),"━","")))</f>
        <v/>
      </c>
      <c r="AF195" s="69" t="str">
        <f aca="false">IF($E195="","",IF($M195,IF(AND($G195&gt;=AF$5,$G195&lt;AF$5+GanttPeriod),"◆",IF(AND($E195&gt;=AF$5,$E195&lt;AF$5+GanttPeriod),"◇","")),IF(AND(AF$5&lt;=$F195,AF$5+GanttPeriod-1&gt;=$E195),"━","")))</f>
        <v/>
      </c>
      <c r="AG195" s="69" t="str">
        <f aca="false">IF($E195="","",IF($M195,IF(AND($G195&gt;=AG$5,$G195&lt;AG$5+GanttPeriod),"◆",IF(AND($E195&gt;=AG$5,$E195&lt;AG$5+GanttPeriod),"◇","")),IF(AND(AG$5&lt;=$F195,AG$5+GanttPeriod-1&gt;=$E195),"━","")))</f>
        <v/>
      </c>
      <c r="AH195" s="69" t="str">
        <f aca="false">IF($E195="","",IF($M195,IF(AND($G195&gt;=AH$5,$G195&lt;AH$5+GanttPeriod),"◆",IF(AND($E195&gt;=AH$5,$E195&lt;AH$5+GanttPeriod),"◇","")),IF(AND(AH$5&lt;=$F195,AH$5+GanttPeriod-1&gt;=$E195),"━","")))</f>
        <v/>
      </c>
      <c r="AI195" s="69" t="str">
        <f aca="false">IF($E195="","",IF($M195,IF(AND($G195&gt;=AI$5,$G195&lt;AI$5+GanttPeriod),"◆",IF(AND($E195&gt;=AI$5,$E195&lt;AI$5+GanttPeriod),"◇","")),IF(AND(AI$5&lt;=$F195,AI$5+GanttPeriod-1&gt;=$E195),"━","")))</f>
        <v/>
      </c>
      <c r="AJ195" s="69" t="str">
        <f aca="false">IF($E195="","",IF($M195,IF(AND($G195&gt;=AJ$5,$G195&lt;AJ$5+GanttPeriod),"◆",IF(AND($E195&gt;=AJ$5,$E195&lt;AJ$5+GanttPeriod),"◇","")),IF(AND(AJ$5&lt;=$F195,AJ$5+GanttPeriod-1&gt;=$E195),"━","")))</f>
        <v/>
      </c>
      <c r="AK195" s="69" t="str">
        <f aca="false">IF($E195="","",IF($M195,IF(AND($G195&gt;=AK$5,$G195&lt;AK$5+GanttPeriod),"◆",IF(AND($E195&gt;=AK$5,$E195&lt;AK$5+GanttPeriod),"◇","")),IF(AND(AK$5&lt;=$F195,AK$5+GanttPeriod-1&gt;=$E195),"━","")))</f>
        <v/>
      </c>
      <c r="AL195" s="69" t="str">
        <f aca="false">IF($E195="","",IF($M195,IF(AND($G195&gt;=AL$5,$G195&lt;AL$5+GanttPeriod),"◆",IF(AND($E195&gt;=AL$5,$E195&lt;AL$5+GanttPeriod),"◇","")),IF(AND(AL$5&lt;=$F195,AL$5+GanttPeriod-1&gt;=$E195),"━","")))</f>
        <v/>
      </c>
      <c r="AM195" s="69" t="str">
        <f aca="false">IF($E195="","",IF($M195,IF(AND($G195&gt;=AM$5,$G195&lt;AM$5+GanttPeriod),"◆",IF(AND($E195&gt;=AM$5,$E195&lt;AM$5+GanttPeriod),"◇","")),IF(AND(AM$5&lt;=$F195,AM$5+GanttPeriod-1&gt;=$E195),"━","")))</f>
        <v/>
      </c>
      <c r="AN195" s="69" t="str">
        <f aca="false">IF($E195="","",IF($M195,IF(AND($G195&gt;=AN$5,$G195&lt;AN$5+GanttPeriod),"◆",IF(AND($E195&gt;=AN$5,$E195&lt;AN$5+GanttPeriod),"◇","")),IF(AND(AN$5&lt;=$F195,AN$5+GanttPeriod-1&gt;=$E195),"━","")))</f>
        <v/>
      </c>
      <c r="AO195" s="69" t="str">
        <f aca="false">IF($E195="","",IF($M195,IF(AND($G195&gt;=AO$5,$G195&lt;AO$5+GanttPeriod),"◆",IF(AND($E195&gt;=AO$5,$E195&lt;AO$5+GanttPeriod),"◇","")),IF(AND(AO$5&lt;=$F195,AO$5+GanttPeriod-1&gt;=$E195),"━","")))</f>
        <v/>
      </c>
      <c r="AP195" s="69" t="str">
        <f aca="false">IF($E195="","",IF($M195,IF(AND($G195&gt;=AP$5,$G195&lt;AP$5+GanttPeriod),"◆",IF(AND($E195&gt;=AP$5,$E195&lt;AP$5+GanttPeriod),"◇","")),IF(AND(AP$5&lt;=$F195,AP$5+GanttPeriod-1&gt;=$E195),"━","")))</f>
        <v/>
      </c>
      <c r="AQ195" s="69" t="str">
        <f aca="false">IF($E195="","",IF($M195,IF(AND($G195&gt;=AQ$5,$G195&lt;AQ$5+GanttPeriod),"◆",IF(AND($E195&gt;=AQ$5,$E195&lt;AQ$5+GanttPeriod),"◇","")),IF(AND(AQ$5&lt;=$F195,AQ$5+GanttPeriod-1&gt;=$E195),"━","")))</f>
        <v/>
      </c>
      <c r="AR195" s="69" t="str">
        <f aca="false">IF($E195="","",IF($M195,IF(AND($G195&gt;=AR$5,$G195&lt;AR$5+GanttPeriod),"◆",IF(AND($E195&gt;=AR$5,$E195&lt;AR$5+GanttPeriod),"◇","")),IF(AND(AR$5&lt;=$F195,AR$5+GanttPeriod-1&gt;=$E195),"━","")))</f>
        <v/>
      </c>
      <c r="AS195" s="69" t="str">
        <f aca="false">IF($E195="","",IF($M195,IF(AND($G195&gt;=AS$5,$G195&lt;AS$5+GanttPeriod),"◆",IF(AND($E195&gt;=AS$5,$E195&lt;AS$5+GanttPeriod),"◇","")),IF(AND(AS$5&lt;=$F195,AS$5+GanttPeriod-1&gt;=$E195),"━","")))</f>
        <v/>
      </c>
      <c r="AT195" s="69" t="str">
        <f aca="false">IF($E195="","",IF($M195,IF(AND($G195&gt;=AT$5,$G195&lt;AT$5+GanttPeriod),"◆",IF(AND($E195&gt;=AT$5,$E195&lt;AT$5+GanttPeriod),"◇","")),IF(AND(AT$5&lt;=$F195,AT$5+GanttPeriod-1&gt;=$E195),"━","")))</f>
        <v/>
      </c>
      <c r="AU195" s="69" t="str">
        <f aca="false">IF($E195="","",IF($M195,IF(AND($G195&gt;=AU$5,$G195&lt;AU$5+GanttPeriod),"◆",IF(AND($E195&gt;=AU$5,$E195&lt;AU$5+GanttPeriod),"◇","")),IF(AND(AU$5&lt;=$F195,AU$5+GanttPeriod-1&gt;=$E195),"━","")))</f>
        <v/>
      </c>
      <c r="AV195" s="69" t="str">
        <f aca="false">IF($E195="","",IF($M195,IF(AND($G195&gt;=AV$5,$G195&lt;AV$5+GanttPeriod),"◆",IF(AND($E195&gt;=AV$5,$E195&lt;AV$5+GanttPeriod),"◇","")),IF(AND(AV$5&lt;=$F195,AV$5+GanttPeriod-1&gt;=$E195),"━","")))</f>
        <v/>
      </c>
      <c r="AW195" s="69" t="str">
        <f aca="false">IF($E195="","",IF($M195,IF(AND($G195&gt;=AW$5,$G195&lt;AW$5+GanttPeriod),"◆",IF(AND($E195&gt;=AW$5,$E195&lt;AW$5+GanttPeriod),"◇","")),IF(AND(AW$5&lt;=$F195,AW$5+GanttPeriod-1&gt;=$E195),"━","")))</f>
        <v/>
      </c>
      <c r="AX195" s="69" t="str">
        <f aca="false">IF($E195="","",IF($M195,IF(AND($G195&gt;=AX$5,$G195&lt;AX$5+GanttPeriod),"◆",IF(AND($E195&gt;=AX$5,$E195&lt;AX$5+GanttPeriod),"◇","")),IF(AND(AX$5&lt;=$F195,AX$5+GanttPeriod-1&gt;=$E195),"━","")))</f>
        <v/>
      </c>
      <c r="AY195" s="69" t="str">
        <f aca="false">IF($E195="","",IF($M195,IF(AND($G195&gt;=AY$5,$G195&lt;AY$5+GanttPeriod),"◆",IF(AND($E195&gt;=AY$5,$E195&lt;AY$5+GanttPeriod),"◇","")),IF(AND(AY$5&lt;=$F195,AY$5+GanttPeriod-1&gt;=$E195),"━","")))</f>
        <v/>
      </c>
      <c r="AZ195" s="69" t="str">
        <f aca="false">IF($E195="","",IF($M195,IF(AND($G195&gt;=AZ$5,$G195&lt;AZ$5+GanttPeriod),"◆",IF(AND($E195&gt;=AZ$5,$E195&lt;AZ$5+GanttPeriod),"◇","")),IF(AND(AZ$5&lt;=$F195,AZ$5+GanttPeriod-1&gt;=$E195),"━","")))</f>
        <v/>
      </c>
      <c r="BA195" s="69" t="str">
        <f aca="false">IF($E195="","",IF($M195,IF(AND($G195&gt;=BA$5,$G195&lt;BA$5+GanttPeriod),"◆",IF(AND($E195&gt;=BA$5,$E195&lt;BA$5+GanttPeriod),"◇","")),IF(AND(BA$5&lt;=$F195,BA$5+GanttPeriod-1&gt;=$E195),"━","")))</f>
        <v/>
      </c>
      <c r="BB195" s="69" t="str">
        <f aca="false">IF($E195="","",IF($M195,IF(AND($G195&gt;=BB$5,$G195&lt;BB$5+GanttPeriod),"◆",IF(AND($E195&gt;=BB$5,$E195&lt;BB$5+GanttPeriod),"◇","")),IF(AND(BB$5&lt;=$F195,BB$5+GanttPeriod-1&gt;=$E195),"━","")))</f>
        <v/>
      </c>
      <c r="BC195" s="69" t="str">
        <f aca="false">IF($E195="","",IF($M195,IF(AND($G195&gt;=BC$5,$G195&lt;BC$5+GanttPeriod),"◆",IF(AND($E195&gt;=BC$5,$E195&lt;BC$5+GanttPeriod),"◇","")),IF(AND(BC$5&lt;=$F195,BC$5+GanttPeriod-1&gt;=$E195),"━","")))</f>
        <v/>
      </c>
      <c r="BD195" s="69" t="str">
        <f aca="false">IF($E195="","",IF($M195,IF(AND($G195&gt;=BD$5,$G195&lt;BD$5+GanttPeriod),"◆",IF(AND($E195&gt;=BD$5,$E195&lt;BD$5+GanttPeriod),"◇","")),IF(AND(BD$5&lt;=$F195,BD$5+GanttPeriod-1&gt;=$E195),"━","")))</f>
        <v/>
      </c>
      <c r="BE195" s="69" t="str">
        <f aca="false">IF($E195="","",IF($M195,IF(AND($G195&gt;=BE$5,$G195&lt;BE$5+GanttPeriod),"◆",IF(AND($E195&gt;=BE$5,$E195&lt;BE$5+GanttPeriod),"◇","")),IF(AND(BE$5&lt;=$F195,BE$5+GanttPeriod-1&gt;=$E195),"━","")))</f>
        <v/>
      </c>
      <c r="BF195" s="69" t="str">
        <f aca="false">IF($E195="","",IF($M195,IF(AND($G195&gt;=BF$5,$G195&lt;BF$5+GanttPeriod),"◆",IF(AND($E195&gt;=BF$5,$E195&lt;BF$5+GanttPeriod),"◇","")),IF(AND(BF$5&lt;=$F195,BF$5+GanttPeriod-1&gt;=$E195),"━","")))</f>
        <v/>
      </c>
      <c r="BG195" s="69" t="str">
        <f aca="false">IF($E195="","",IF($M195,IF(AND($G195&gt;=BG$5,$G195&lt;BG$5+GanttPeriod),"◆",IF(AND($E195&gt;=BG$5,$E195&lt;BG$5+GanttPeriod),"◇","")),IF(AND(BG$5&lt;=$F195,BG$5+GanttPeriod-1&gt;=$E195),"━","")))</f>
        <v/>
      </c>
      <c r="BH195" s="69" t="str">
        <f aca="false">IF($E195="","",IF($M195,IF(AND($G195&gt;=BH$5,$G195&lt;BH$5+GanttPeriod),"◆",IF(AND($E195&gt;=BH$5,$E195&lt;BH$5+GanttPeriod),"◇","")),IF(AND(BH$5&lt;=$F195,BH$5+GanttPeriod-1&gt;=$E195),"━","")))</f>
        <v/>
      </c>
      <c r="BI195" s="69" t="str">
        <f aca="false">IF($E195="","",IF($M195,IF(AND($G195&gt;=BI$5,$G195&lt;BI$5+GanttPeriod),"◆",IF(AND($E195&gt;=BI$5,$E195&lt;BI$5+GanttPeriod),"◇","")),IF(AND(BI$5&lt;=$F195,BI$5+GanttPeriod-1&gt;=$E195),"━","")))</f>
        <v/>
      </c>
      <c r="BJ195" s="69" t="str">
        <f aca="false">IF($E195="","",IF($M195,IF(AND($G195&gt;=BJ$5,$G195&lt;BJ$5+GanttPeriod),"◆",IF(AND($E195&gt;=BJ$5,$E195&lt;BJ$5+GanttPeriod),"◇","")),IF(AND(BJ$5&lt;=$F195,BJ$5+GanttPeriod-1&gt;=$E195),"━","")))</f>
        <v/>
      </c>
      <c r="BK195" s="69" t="str">
        <f aca="false">IF($E195="","",IF($M195,IF(AND($G195&gt;=BK$5,$G195&lt;BK$5+GanttPeriod),"◆",IF(AND($E195&gt;=BK$5,$E195&lt;BK$5+GanttPeriod),"◇","")),IF(AND(BK$5&lt;=$F195,BK$5+GanttPeriod-1&gt;=$E195),"━","")))</f>
        <v/>
      </c>
      <c r="BL195" s="69" t="str">
        <f aca="false">IF($E195="","",IF($M195,IF(AND($G195&gt;=BL$5,$G195&lt;BL$5+GanttPeriod),"◆",IF(AND($E195&gt;=BL$5,$E195&lt;BL$5+GanttPeriod),"◇","")),IF(AND(BL$5&lt;=$F195,BL$5+GanttPeriod-1&gt;=$E195),"━","")))</f>
        <v/>
      </c>
      <c r="BM195" s="69" t="str">
        <f aca="false">IF($E195="","",IF($M195,IF(AND($G195&gt;=BM$5,$G195&lt;BM$5+GanttPeriod),"◆",IF(AND($E195&gt;=BM$5,$E195&lt;BM$5+GanttPeriod),"◇","")),IF(AND(BM$5&lt;=$F195,BM$5+GanttPeriod-1&gt;=$E195),"━","")))</f>
        <v/>
      </c>
      <c r="BN195" s="69" t="str">
        <f aca="false">IF($E195="","",IF($M195,IF(AND($G195&gt;=BN$5,$G195&lt;BN$5+GanttPeriod),"◆",IF(AND($E195&gt;=BN$5,$E195&lt;BN$5+GanttPeriod),"◇","")),IF(AND(BN$5&lt;=$F195,BN$5+GanttPeriod-1&gt;=$E195),"━","")))</f>
        <v/>
      </c>
      <c r="BO195" s="69" t="str">
        <f aca="false">IF($E195="","",IF($M195,IF(AND($G195&gt;=BO$5,$G195&lt;BO$5+GanttPeriod),"◆",IF(AND($E195&gt;=BO$5,$E195&lt;BO$5+GanttPeriod),"◇","")),IF(AND(BO$5&lt;=$F195,BO$5+GanttPeriod-1&gt;=$E195),"━","")))</f>
        <v/>
      </c>
      <c r="BP195" s="69" t="str">
        <f aca="false">IF($E195="","",IF($M195,IF(AND($G195&gt;=BP$5,$G195&lt;BP$5+GanttPeriod),"◆",IF(AND($E195&gt;=BP$5,$E195&lt;BP$5+GanttPeriod),"◇","")),IF(AND(BP$5&lt;=$F195,BP$5+GanttPeriod-1&gt;=$E195),"━","")))</f>
        <v/>
      </c>
      <c r="BQ195" s="69" t="str">
        <f aca="false">IF($E195="","",IF($M195,IF(AND($G195&gt;=BQ$5,$G195&lt;BQ$5+GanttPeriod),"◆",IF(AND($E195&gt;=BQ$5,$E195&lt;BQ$5+GanttPeriod),"◇","")),IF(AND(BQ$5&lt;=$F195,BQ$5+GanttPeriod-1&gt;=$E195),"━","")))</f>
        <v/>
      </c>
      <c r="BR195" s="69" t="str">
        <f aca="false">IF($E195="","",IF($M195,IF(AND($G195&gt;=BR$5,$G195&lt;BR$5+GanttPeriod),"◆",IF(AND($E195&gt;=BR$5,$E195&lt;BR$5+GanttPeriod),"◇","")),IF(AND(BR$5&lt;=$F195,BR$5+GanttPeriod-1&gt;=$E195),"━","")))</f>
        <v/>
      </c>
      <c r="BS195" s="69" t="str">
        <f aca="false">IF($E195="","",IF($M195,IF(AND($G195&gt;=BS$5,$G195&lt;BS$5+GanttPeriod),"◆",IF(AND($E195&gt;=BS$5,$E195&lt;BS$5+GanttPeriod),"◇","")),IF(AND(BS$5&lt;=$F195,BS$5+GanttPeriod-1&gt;=$E195),"━","")))</f>
        <v/>
      </c>
      <c r="BT195" s="69" t="str">
        <f aca="false">IF($E195="","",IF($M195,IF(AND($G195&gt;=BT$5,$G195&lt;BT$5+GanttPeriod),"◆",IF(AND($E195&gt;=BT$5,$E195&lt;BT$5+GanttPeriod),"◇","")),IF(AND(BT$5&lt;=$F195,BT$5+GanttPeriod-1&gt;=$E195),"━","")))</f>
        <v/>
      </c>
      <c r="BU195" s="69" t="str">
        <f aca="false">IF($E195="","",IF($M195,IF(AND($G195&gt;=BU$5,$G195&lt;BU$5+GanttPeriod),"◆",IF(AND($E195&gt;=BU$5,$E195&lt;BU$5+GanttPeriod),"◇","")),IF(AND(BU$5&lt;=$F195,BU$5+GanttPeriod-1&gt;=$E195),"━","")))</f>
        <v/>
      </c>
      <c r="BV195" s="69" t="str">
        <f aca="false">IF($E195="","",IF($M195,IF(AND($G195&gt;=BV$5,$G195&lt;BV$5+GanttPeriod),"◆",IF(AND($E195&gt;=BV$5,$E195&lt;BV$5+GanttPeriod),"◇","")),IF(AND(BV$5&lt;=$F195,BV$5+GanttPeriod-1&gt;=$E195),"━","")))</f>
        <v/>
      </c>
      <c r="BW195" s="69" t="str">
        <f aca="false">IF($E195="","",IF($M195,IF(AND($G195&gt;=BW$5,$G195&lt;BW$5+GanttPeriod),"◆",IF(AND($E195&gt;=BW$5,$E195&lt;BW$5+GanttPeriod),"◇","")),IF(AND(BW$5&lt;=$F195,BW$5+GanttPeriod-1&gt;=$E195),"━","")))</f>
        <v/>
      </c>
      <c r="BX195" s="69" t="str">
        <f aca="false">IF($E195="","",IF($M195,IF(AND($G195&gt;=BX$5,$G195&lt;BX$5+GanttPeriod),"◆",IF(AND($E195&gt;=BX$5,$E195&lt;BX$5+GanttPeriod),"◇","")),IF(AND(BX$5&lt;=$F195,BX$5+GanttPeriod-1&gt;=$E195),"━","")))</f>
        <v/>
      </c>
      <c r="BY195" s="69" t="str">
        <f aca="false">IF($E195="","",IF($M195,IF(AND($G195&gt;=BY$5,$G195&lt;BY$5+GanttPeriod),"◆",IF(AND($E195&gt;=BY$5,$E195&lt;BY$5+GanttPeriod),"◇","")),IF(AND(BY$5&lt;=$F195,BY$5+GanttPeriod-1&gt;=$E195),"━","")))</f>
        <v/>
      </c>
      <c r="BZ195" s="69" t="str">
        <f aca="false">IF($E195="","",IF($M195,IF(AND($G195&gt;=BZ$5,$G195&lt;BZ$5+GanttPeriod),"◆",IF(AND($E195&gt;=BZ$5,$E195&lt;BZ$5+GanttPeriod),"◇","")),IF(AND(BZ$5&lt;=$F195,BZ$5+GanttPeriod-1&gt;=$E195),"━","")))</f>
        <v/>
      </c>
      <c r="CA195" s="69" t="str">
        <f aca="false">IF($E195="","",IF($M195,IF(AND($G195&gt;=CA$5,$G195&lt;CA$5+GanttPeriod),"◆",IF(AND($E195&gt;=CA$5,$E195&lt;CA$5+GanttPeriod),"◇","")),IF(AND(CA$5&lt;=$F195,CA$5+GanttPeriod-1&gt;=$E195),"━","")))</f>
        <v/>
      </c>
      <c r="CB195" s="69" t="str">
        <f aca="false">IF($E195="","",IF($M195,IF(AND($G195&gt;=CB$5,$G195&lt;CB$5+GanttPeriod),"◆",IF(AND($E195&gt;=CB$5,$E195&lt;CB$5+GanttPeriod),"◇","")),IF(AND(CB$5&lt;=$F195,CB$5+GanttPeriod-1&gt;=$E195),"━","")))</f>
        <v/>
      </c>
      <c r="CC195" s="69" t="str">
        <f aca="false">IF($E195="","",IF($M195,IF(AND($G195&gt;=CC$5,$G195&lt;CC$5+GanttPeriod),"◆",IF(AND($E195&gt;=CC$5,$E195&lt;CC$5+GanttPeriod),"◇","")),IF(AND(CC$5&lt;=$F195,CC$5+GanttPeriod-1&gt;=$E195),"━","")))</f>
        <v/>
      </c>
      <c r="CD195" s="69" t="str">
        <f aca="false">IF($E195="","",IF($M195,IF(AND($G195&gt;=CD$5,$G195&lt;CD$5+GanttPeriod),"◆",IF(AND($E195&gt;=CD$5,$E195&lt;CD$5+GanttPeriod),"◇","")),IF(AND(CD$5&lt;=$F195,CD$5+GanttPeriod-1&gt;=$E195),"━","")))</f>
        <v/>
      </c>
      <c r="CE195" s="69" t="str">
        <f aca="false">IF($E195="","",IF($M195,IF(AND($G195&gt;=CE$5,$G195&lt;CE$5+GanttPeriod),"◆",IF(AND($E195&gt;=CE$5,$E195&lt;CE$5+GanttPeriod),"◇","")),IF(AND(CE$5&lt;=$F195,CE$5+GanttPeriod-1&gt;=$E195),"━","")))</f>
        <v/>
      </c>
      <c r="CF195" s="69" t="str">
        <f aca="false">IF($E195="","",IF($M195,IF(AND($G195&gt;=CF$5,$G195&lt;CF$5+GanttPeriod),"◆",IF(AND($E195&gt;=CF$5,$E195&lt;CF$5+GanttPeriod),"◇","")),IF(AND(CF$5&lt;=$F195,CF$5+GanttPeriod-1&gt;=$E195),"━","")))</f>
        <v/>
      </c>
      <c r="CG195" s="69" t="str">
        <f aca="false">IF($E195="","",IF($M195,IF(AND($G195&gt;=CG$5,$G195&lt;CG$5+GanttPeriod),"◆",IF(AND($E195&gt;=CG$5,$E195&lt;CG$5+GanttPeriod),"◇","")),IF(AND(CG$5&lt;=$F195,CG$5+GanttPeriod-1&gt;=$E195),"━","")))</f>
        <v/>
      </c>
      <c r="CH195" s="69" t="str">
        <f aca="false">IF($E195="","",IF($M195,IF(AND($G195&gt;=CH$5,$G195&lt;CH$5+GanttPeriod),"◆",IF(AND($E195&gt;=CH$5,$E195&lt;CH$5+GanttPeriod),"◇","")),IF(AND(CH$5&lt;=$F195,CH$5+GanttPeriod-1&gt;=$E195),"━","")))</f>
        <v/>
      </c>
      <c r="CI195" s="69" t="str">
        <f aca="false">IF($E195="","",IF($M195,IF(AND($G195&gt;=CI$5,$G195&lt;CI$5+GanttPeriod),"◆",IF(AND($E195&gt;=CI$5,$E195&lt;CI$5+GanttPeriod),"◇","")),IF(AND(CI$5&lt;=$F195,CI$5+GanttPeriod-1&gt;=$E195),"━","")))</f>
        <v/>
      </c>
      <c r="CJ195" s="69" t="str">
        <f aca="false">IF($E195="","",IF($M195,IF(AND($G195&gt;=CJ$5,$G195&lt;CJ$5+GanttPeriod),"◆",IF(AND($E195&gt;=CJ$5,$E195&lt;CJ$5+GanttPeriod),"◇","")),IF(AND(CJ$5&lt;=$F195,CJ$5+GanttPeriod-1&gt;=$E195),"━","")))</f>
        <v/>
      </c>
      <c r="CK195" s="69" t="str">
        <f aca="false">IF($E195="","",IF($M195,IF(AND($G195&gt;=CK$5,$G195&lt;CK$5+GanttPeriod),"◆",IF(AND($E195&gt;=CK$5,$E195&lt;CK$5+GanttPeriod),"◇","")),IF(AND(CK$5&lt;=$F195,CK$5+GanttPeriod-1&gt;=$E195),"━","")))</f>
        <v/>
      </c>
      <c r="CL195" s="69" t="str">
        <f aca="false">IF($E195="","",IF($M195,IF(AND($G195&gt;=CL$5,$G195&lt;CL$5+GanttPeriod),"◆",IF(AND($E195&gt;=CL$5,$E195&lt;CL$5+GanttPeriod),"◇","")),IF(AND(CL$5&lt;=$F195,CL$5+GanttPeriod-1&gt;=$E195),"━","")))</f>
        <v/>
      </c>
      <c r="CM195" s="69" t="str">
        <f aca="false">IF($E195="","",IF($M195,IF(AND($G195&gt;=CM$5,$G195&lt;CM$5+GanttPeriod),"◆",IF(AND($E195&gt;=CM$5,$E195&lt;CM$5+GanttPeriod),"◇","")),IF(AND(CM$5&lt;=$F195,CM$5+GanttPeriod-1&gt;=$E195),"━","")))</f>
        <v/>
      </c>
      <c r="CN195" s="69" t="str">
        <f aca="false">IF($E195="","",IF($M195,IF(AND($G195&gt;=CN$5,$G195&lt;CN$5+GanttPeriod),"◆",IF(AND($E195&gt;=CN$5,$E195&lt;CN$5+GanttPeriod),"◇","")),IF(AND(CN$5&lt;=$F195,CN$5+GanttPeriod-1&gt;=$E195),"━","")))</f>
        <v/>
      </c>
      <c r="CO195" s="69" t="str">
        <f aca="false">IF($E195="","",IF($M195,IF(AND($G195&gt;=CO$5,$G195&lt;CO$5+GanttPeriod),"◆",IF(AND($E195&gt;=CO$5,$E195&lt;CO$5+GanttPeriod),"◇","")),IF(AND(CO$5&lt;=$F195,CO$5+GanttPeriod-1&gt;=$E195),"━","")))</f>
        <v/>
      </c>
      <c r="CP195" s="69" t="str">
        <f aca="false">IF($E195="","",IF($M195,IF(AND($G195&gt;=CP$5,$G195&lt;CP$5+GanttPeriod),"◆",IF(AND($E195&gt;=CP$5,$E195&lt;CP$5+GanttPeriod),"◇","")),IF(AND(CP$5&lt;=$F195,CP$5+GanttPeriod-1&gt;=$E195),"━","")))</f>
        <v/>
      </c>
      <c r="CQ195" s="69" t="str">
        <f aca="false">IF($E195="","",IF($M195,IF(AND($G195&gt;=CQ$5,$G195&lt;CQ$5+GanttPeriod),"◆",IF(AND($E195&gt;=CQ$5,$E195&lt;CQ$5+GanttPeriod),"◇","")),IF(AND(CQ$5&lt;=$F195,CQ$5+GanttPeriod-1&gt;=$E195),"━","")))</f>
        <v/>
      </c>
      <c r="CR195" s="69" t="str">
        <f aca="false">IF($E195="","",IF($M195,IF(AND($G195&gt;=CR$5,$G195&lt;CR$5+GanttPeriod),"◆",IF(AND($E195&gt;=CR$5,$E195&lt;CR$5+GanttPeriod),"◇","")),IF(AND(CR$5&lt;=$F195,CR$5+GanttPeriod-1&gt;=$E195),"━","")))</f>
        <v/>
      </c>
      <c r="CS195" s="69" t="str">
        <f aca="false">IF($E195="","",IF($M195,IF(AND($G195&gt;=CS$5,$G195&lt;CS$5+GanttPeriod),"◆",IF(AND($E195&gt;=CS$5,$E195&lt;CS$5+GanttPeriod),"◇","")),IF(AND(CS$5&lt;=$F195,CS$5+GanttPeriod-1&gt;=$E195),"━","")))</f>
        <v/>
      </c>
      <c r="CT195" s="69" t="str">
        <f aca="false">IF($E195="","",IF($M195,IF(AND($G195&gt;=CT$5,$G195&lt;CT$5+GanttPeriod),"◆",IF(AND($E195&gt;=CT$5,$E195&lt;CT$5+GanttPeriod),"◇","")),IF(AND(CT$5&lt;=$F195,CT$5+GanttPeriod-1&gt;=$E195),"━","")))</f>
        <v/>
      </c>
      <c r="CU195" s="69" t="str">
        <f aca="false">IF($E195="","",IF($M195,IF(AND($G195&gt;=CU$5,$G195&lt;CU$5+GanttPeriod),"◆",IF(AND($E195&gt;=CU$5,$E195&lt;CU$5+GanttPeriod),"◇","")),IF(AND(CU$5&lt;=$F195,CU$5+GanttPeriod-1&gt;=$E195),"━","")))</f>
        <v/>
      </c>
      <c r="CV195" s="69" t="str">
        <f aca="false">IF($E195="","",IF($M195,IF(AND($G195&gt;=CV$5,$G195&lt;CV$5+GanttPeriod),"◆",IF(AND($E195&gt;=CV$5,$E195&lt;CV$5+GanttPeriod),"◇","")),IF(AND(CV$5&lt;=$F195,CV$5+GanttPeriod-1&gt;=$E195),"━","")))</f>
        <v/>
      </c>
      <c r="CW195" s="69" t="str">
        <f aca="false">IF($E195="","",IF($M195,IF(AND($G195&gt;=CW$5,$G195&lt;CW$5+GanttPeriod),"◆",IF(AND($E195&gt;=CW$5,$E195&lt;CW$5+GanttPeriod),"◇","")),IF(AND(CW$5&lt;=$F195,CW$5+GanttPeriod-1&gt;=$E195),"━","")))</f>
        <v/>
      </c>
      <c r="CX195" s="69" t="str">
        <f aca="false">IF($E195="","",IF($M195,IF(AND($G195&gt;=CX$5,$G195&lt;CX$5+GanttPeriod),"◆",IF(AND($E195&gt;=CX$5,$E195&lt;CX$5+GanttPeriod),"◇","")),IF(AND(CX$5&lt;=$F195,CX$5+GanttPeriod-1&gt;=$E195),"━","")))</f>
        <v/>
      </c>
      <c r="CY195" s="69" t="str">
        <f aca="false">IF($E195="","",IF($M195,IF(AND($G195&gt;=CY$5,$G195&lt;CY$5+GanttPeriod),"◆",IF(AND($E195&gt;=CY$5,$E195&lt;CY$5+GanttPeriod),"◇","")),IF(AND(CY$5&lt;=$F195,CY$5+GanttPeriod-1&gt;=$E195),"━","")))</f>
        <v/>
      </c>
      <c r="CZ195" s="69" t="str">
        <f aca="false">IF($E195="","",IF($M195,IF(AND($G195&gt;=CZ$5,$G195&lt;CZ$5+GanttPeriod),"◆",IF(AND($E195&gt;=CZ$5,$E195&lt;CZ$5+GanttPeriod),"◇","")),IF(AND(CZ$5&lt;=$F195,CZ$5+GanttPeriod-1&gt;=$E195),"━","")))</f>
        <v/>
      </c>
      <c r="DA195" s="69" t="str">
        <f aca="false">IF($E195="","",IF($M195,IF(AND($G195&gt;=DA$5,$G195&lt;DA$5+GanttPeriod),"◆",IF(AND($E195&gt;=DA$5,$E195&lt;DA$5+GanttPeriod),"◇","")),IF(AND(DA$5&lt;=$F195,DA$5+GanttPeriod-1&gt;=$E195),"━","")))</f>
        <v/>
      </c>
      <c r="DB195" s="69" t="str">
        <f aca="false">IF($E195="","",IF($M195,IF(AND($G195&gt;=DB$5,$G195&lt;DB$5+GanttPeriod),"◆",IF(AND($E195&gt;=DB$5,$E195&lt;DB$5+GanttPeriod),"◇","")),IF(AND(DB$5&lt;=$F195,DB$5+GanttPeriod-1&gt;=$E195),"━","")))</f>
        <v/>
      </c>
      <c r="DC195" s="69" t="str">
        <f aca="false">IF($E195="","",IF($M195,IF(AND($G195&gt;=DC$5,$G195&lt;DC$5+GanttPeriod),"◆",IF(AND($E195&gt;=DC$5,$E195&lt;DC$5+GanttPeriod),"◇","")),IF(AND(DC$5&lt;=$F195,DC$5+GanttPeriod-1&gt;=$E195),"━","")))</f>
        <v/>
      </c>
      <c r="DD195" s="69" t="str">
        <f aca="false">IF($E195="","",IF($M195,IF(AND($G195&gt;=DD$5,$G195&lt;DD$5+GanttPeriod),"◆",IF(AND($E195&gt;=DD$5,$E195&lt;DD$5+GanttPeriod),"◇","")),IF(AND(DD$5&lt;=$F195,DD$5+GanttPeriod-1&gt;=$E195),"━","")))</f>
        <v/>
      </c>
      <c r="DE195" s="69" t="str">
        <f aca="false">IF($E195="","",IF($M195,IF(AND($G195&gt;=DE$5,$G195&lt;DE$5+GanttPeriod),"◆",IF(AND($E195&gt;=DE$5,$E195&lt;DE$5+GanttPeriod),"◇","")),IF(AND(DE$5&lt;=$F195,DE$5+GanttPeriod-1&gt;=$E195),"━","")))</f>
        <v/>
      </c>
      <c r="DF195" s="69" t="str">
        <f aca="false">IF($E195="","",IF($M195,IF(AND($G195&gt;=DF$5,$G195&lt;DF$5+GanttPeriod),"◆",IF(AND($E195&gt;=DF$5,$E195&lt;DF$5+GanttPeriod),"◇","")),IF(AND(DF$5&lt;=$F195,DF$5+GanttPeriod-1&gt;=$E195),"━","")))</f>
        <v/>
      </c>
      <c r="DG195" s="69" t="str">
        <f aca="false">IF($E195="","",IF($M195,IF(AND($G195&gt;=DG$5,$G195&lt;DG$5+GanttPeriod),"◆",IF(AND($E195&gt;=DG$5,$E195&lt;DG$5+GanttPeriod),"◇","")),IF(AND(DG$5&lt;=$F195,DG$5+GanttPeriod-1&gt;=$E195),"━","")))</f>
        <v/>
      </c>
      <c r="DH195" s="69" t="str">
        <f aca="false">IF($E195="","",IF($M195,IF(AND($G195&gt;=DH$5,$G195&lt;DH$5+GanttPeriod),"◆",IF(AND($E195&gt;=DH$5,$E195&lt;DH$5+GanttPeriod),"◇","")),IF(AND(DH$5&lt;=$F195,DH$5+GanttPeriod-1&gt;=$E195),"━","")))</f>
        <v/>
      </c>
      <c r="DI195" s="69" t="str">
        <f aca="false">IF($E195="","",IF($M195,IF(AND($G195&gt;=DI$5,$G195&lt;DI$5+GanttPeriod),"◆",IF(AND($E195&gt;=DI$5,$E195&lt;DI$5+GanttPeriod),"◇","")),IF(AND(DI$5&lt;=$F195,DI$5+GanttPeriod-1&gt;=$E195),"━","")))</f>
        <v/>
      </c>
      <c r="DJ195" s="69" t="str">
        <f aca="false">IF($E195="","",IF($M195,IF(AND($G195&gt;=DJ$5,$G195&lt;DJ$5+GanttPeriod),"◆",IF(AND($E195&gt;=DJ$5,$E195&lt;DJ$5+GanttPeriod),"◇","")),IF(AND(DJ$5&lt;=$F195,DJ$5+GanttPeriod-1&gt;=$E195),"━","")))</f>
        <v/>
      </c>
      <c r="DK195" s="69" t="str">
        <f aca="false">IF($E195="","",IF($M195,IF(AND($G195&gt;=DK$5,$G195&lt;DK$5+GanttPeriod),"◆",IF(AND($E195&gt;=DK$5,$E195&lt;DK$5+GanttPeriod),"◇","")),IF(AND(DK$5&lt;=$F195,DK$5+GanttPeriod-1&gt;=$E195),"━","")))</f>
        <v/>
      </c>
      <c r="DL195" s="69" t="str">
        <f aca="false">IF($E195="","",IF($M195,IF(AND($G195&gt;=DL$5,$G195&lt;DL$5+GanttPeriod),"◆",IF(AND($E195&gt;=DL$5,$E195&lt;DL$5+GanttPeriod),"◇","")),IF(AND(DL$5&lt;=$F195,DL$5+GanttPeriod-1&gt;=$E195),"━","")))</f>
        <v/>
      </c>
      <c r="DM195" s="69" t="str">
        <f aca="false">IF($E195="","",IF($M195,IF(AND($G195&gt;=DM$5,$G195&lt;DM$5+GanttPeriod),"◆",IF(AND($E195&gt;=DM$5,$E195&lt;DM$5+GanttPeriod),"◇","")),IF(AND(DM$5&lt;=$F195,DM$5+GanttPeriod-1&gt;=$E195),"━","")))</f>
        <v/>
      </c>
      <c r="DN195" s="69" t="str">
        <f aca="false">IF($E195="","",IF($M195,IF(AND($G195&gt;=DN$5,$G195&lt;DN$5+GanttPeriod),"◆",IF(AND($E195&gt;=DN$5,$E195&lt;DN$5+GanttPeriod),"◇","")),IF(AND(DN$5&lt;=$F195,DN$5+GanttPeriod-1&gt;=$E195),"━","")))</f>
        <v/>
      </c>
      <c r="DO195" s="69" t="str">
        <f aca="false">IF($E195="","",IF($M195,IF(AND($G195&gt;=DO$5,$G195&lt;DO$5+GanttPeriod),"◆",IF(AND($E195&gt;=DO$5,$E195&lt;DO$5+GanttPeriod),"◇","")),IF(AND(DO$5&lt;=$F195,DO$5+GanttPeriod-1&gt;=$E195),"━","")))</f>
        <v/>
      </c>
      <c r="DP195" s="69" t="str">
        <f aca="false">IF($E195="","",IF($M195,IF(AND($G195&gt;=DP$5,$G195&lt;DP$5+GanttPeriod),"◆",IF(AND($E195&gt;=DP$5,$E195&lt;DP$5+GanttPeriod),"◇","")),IF(AND(DP$5&lt;=$F195,DP$5+GanttPeriod-1&gt;=$E195),"━","")))</f>
        <v/>
      </c>
      <c r="DQ195" s="69" t="str">
        <f aca="false">IF($E195="","",IF($M195,IF(AND($G195&gt;=DQ$5,$G195&lt;DQ$5+GanttPeriod),"◆",IF(AND($E195&gt;=DQ$5,$E195&lt;DQ$5+GanttPeriod),"◇","")),IF(AND(DQ$5&lt;=$F195,DQ$5+GanttPeriod-1&gt;=$E195),"━","")))</f>
        <v/>
      </c>
      <c r="DR195" s="69" t="str">
        <f aca="false">IF($E195="","",IF($M195,IF(AND($G195&gt;=DR$5,$G195&lt;DR$5+GanttPeriod),"◆",IF(AND($E195&gt;=DR$5,$E195&lt;DR$5+GanttPeriod),"◇","")),IF(AND(DR$5&lt;=$F195,DR$5+GanttPeriod-1&gt;=$E195),"━","")))</f>
        <v/>
      </c>
      <c r="DS195" s="69" t="str">
        <f aca="false">IF($E195="","",IF($M195,IF(AND($G195&gt;=DS$5,$G195&lt;DS$5+GanttPeriod),"◆",IF(AND($E195&gt;=DS$5,$E195&lt;DS$5+GanttPeriod),"◇","")),IF(AND(DS$5&lt;=$F195,DS$5+GanttPeriod-1&gt;=$E195),"━","")))</f>
        <v/>
      </c>
      <c r="DT195" s="69" t="str">
        <f aca="false">IF($E195="","",IF($M195,IF(AND($G195&gt;=DT$5,$G195&lt;DT$5+GanttPeriod),"◆",IF(AND($E195&gt;=DT$5,$E195&lt;DT$5+GanttPeriod),"◇","")),IF(AND(DT$5&lt;=$F195,DT$5+GanttPeriod-1&gt;=$E195),"━","")))</f>
        <v/>
      </c>
      <c r="DU195" s="69" t="str">
        <f aca="false">IF($E195="","",IF($M195,IF(AND($G195&gt;=DU$5,$G195&lt;DU$5+GanttPeriod),"◆",IF(AND($E195&gt;=DU$5,$E195&lt;DU$5+GanttPeriod),"◇","")),IF(AND(DU$5&lt;=$F195,DU$5+GanttPeriod-1&gt;=$E195),"━","")))</f>
        <v/>
      </c>
      <c r="DV195" s="69" t="str">
        <f aca="false">IF($E195="","",IF($M195,IF(AND($G195&gt;=DV$5,$G195&lt;DV$5+GanttPeriod),"◆",IF(AND($E195&gt;=DV$5,$E195&lt;DV$5+GanttPeriod),"◇","")),IF(AND(DV$5&lt;=$F195,DV$5+GanttPeriod-1&gt;=$E195),"━","")))</f>
        <v/>
      </c>
      <c r="DW195" s="69" t="str">
        <f aca="false">IF($E195="","",IF($M195,IF(AND($G195&gt;=DW$5,$G195&lt;DW$5+GanttPeriod),"◆",IF(AND($E195&gt;=DW$5,$E195&lt;DW$5+GanttPeriod),"◇","")),IF(AND(DW$5&lt;=$F195,DW$5+GanttPeriod-1&gt;=$E195),"━","")))</f>
        <v/>
      </c>
      <c r="DX195" s="69" t="str">
        <f aca="false">IF($E195="","",IF($M195,IF(AND($G195&gt;=DX$5,$G195&lt;DX$5+GanttPeriod),"◆",IF(AND($E195&gt;=DX$5,$E195&lt;DX$5+GanttPeriod),"◇","")),IF(AND(DX$5&lt;=$F195,DX$5+GanttPeriod-1&gt;=$E195),"━","")))</f>
        <v/>
      </c>
      <c r="DY195" s="69" t="str">
        <f aca="false">IF($E195="","",IF($M195,IF(AND($G195&gt;=DY$5,$G195&lt;DY$5+GanttPeriod),"◆",IF(AND($E195&gt;=DY$5,$E195&lt;DY$5+GanttPeriod),"◇","")),IF(AND(DY$5&lt;=$F195,DY$5+GanttPeriod-1&gt;=$E195),"━","")))</f>
        <v/>
      </c>
      <c r="DZ195" s="69" t="str">
        <f aca="false">IF($E195="","",IF($M195,IF(AND($G195&gt;=DZ$5,$G195&lt;DZ$5+GanttPeriod),"◆",IF(AND($E195&gt;=DZ$5,$E195&lt;DZ$5+GanttPeriod),"◇","")),IF(AND(DZ$5&lt;=$F195,DZ$5+GanttPeriod-1&gt;=$E195),"━","")))</f>
        <v/>
      </c>
      <c r="EA195" s="69" t="str">
        <f aca="false">IF($E195="","",IF($M195,IF(AND($G195&gt;=EA$5,$G195&lt;EA$5+GanttPeriod),"◆",IF(AND($E195&gt;=EA$5,$E195&lt;EA$5+GanttPeriod),"◇","")),IF(AND(EA$5&lt;=$F195,EA$5+GanttPeriod-1&gt;=$E195),"━","")))</f>
        <v/>
      </c>
      <c r="EB195" s="69" t="str">
        <f aca="false">IF($E195="","",IF($M195,IF(AND($G195&gt;=EB$5,$G195&lt;EB$5+GanttPeriod),"◆",IF(AND($E195&gt;=EB$5,$E195&lt;EB$5+GanttPeriod),"◇","")),IF(AND(EB$5&lt;=$F195,EB$5+GanttPeriod-1&gt;=$E195),"━","")))</f>
        <v/>
      </c>
      <c r="EC195" s="69" t="str">
        <f aca="false">IF($E195="","",IF($M195,IF(AND($G195&gt;=EC$5,$G195&lt;EC$5+GanttPeriod),"◆",IF(AND($E195&gt;=EC$5,$E195&lt;EC$5+GanttPeriod),"◇","")),IF(AND(EC$5&lt;=$F195,EC$5+GanttPeriod-1&gt;=$E195),"━","")))</f>
        <v/>
      </c>
      <c r="ED195" s="69" t="str">
        <f aca="false">IF($E195="","",IF($M195,IF(AND($G195&gt;=ED$5,$G195&lt;ED$5+GanttPeriod),"◆",IF(AND($E195&gt;=ED$5,$E195&lt;ED$5+GanttPeriod),"◇","")),IF(AND(ED$5&lt;=$F195,ED$5+GanttPeriod-1&gt;=$E195),"━","")))</f>
        <v/>
      </c>
      <c r="EE195" s="69" t="str">
        <f aca="false">IF($E195="","",IF($M195,IF(AND($G195&gt;=EE$5,$G195&lt;EE$5+GanttPeriod),"◆",IF(AND($E195&gt;=EE$5,$E195&lt;EE$5+GanttPeriod),"◇","")),IF(AND(EE$5&lt;=$F195,EE$5+GanttPeriod-1&gt;=$E195),"━","")))</f>
        <v/>
      </c>
      <c r="EF195" s="69" t="str">
        <f aca="false">IF($E195="","",IF($M195,IF(AND($G195&gt;=EF$5,$G195&lt;EF$5+GanttPeriod),"◆",IF(AND($E195&gt;=EF$5,$E195&lt;EF$5+GanttPeriod),"◇","")),IF(AND(EF$5&lt;=$F195,EF$5+GanttPeriod-1&gt;=$E195),"━","")))</f>
        <v/>
      </c>
      <c r="EG195" s="69" t="str">
        <f aca="false">IF($E195="","",IF($M195,IF(AND($G195&gt;=EG$5,$G195&lt;EG$5+GanttPeriod),"◆",IF(AND($E195&gt;=EG$5,$E195&lt;EG$5+GanttPeriod),"◇","")),IF(AND(EG$5&lt;=$F195,EG$5+GanttPeriod-1&gt;=$E195),"━","")))</f>
        <v/>
      </c>
      <c r="EH195" s="69" t="str">
        <f aca="false">IF($E195="","",IF($M195,IF(AND($G195&gt;=EH$5,$G195&lt;EH$5+GanttPeriod),"◆",IF(AND($E195&gt;=EH$5,$E195&lt;EH$5+GanttPeriod),"◇","")),IF(AND(EH$5&lt;=$F195,EH$5+GanttPeriod-1&gt;=$E195),"━","")))</f>
        <v/>
      </c>
      <c r="EI195" s="69" t="str">
        <f aca="false">IF($E195="","",IF($M195,IF(AND($G195&gt;=EI$5,$G195&lt;EI$5+GanttPeriod),"◆",IF(AND($E195&gt;=EI$5,$E195&lt;EI$5+GanttPeriod),"◇","")),IF(AND(EI$5&lt;=$F195,EI$5+GanttPeriod-1&gt;=$E195),"━","")))</f>
        <v/>
      </c>
      <c r="EJ195" s="69" t="str">
        <f aca="false">IF($E195="","",IF($M195,IF(AND($G195&gt;=EJ$5,$G195&lt;EJ$5+GanttPeriod),"◆",IF(AND($E195&gt;=EJ$5,$E195&lt;EJ$5+GanttPeriod),"◇","")),IF(AND(EJ$5&lt;=$F195,EJ$5+GanttPeriod-1&gt;=$E195),"━","")))</f>
        <v/>
      </c>
      <c r="EK195" s="69" t="str">
        <f aca="false">IF($E195="","",IF($M195,IF(AND($G195&gt;=EK$5,$G195&lt;EK$5+GanttPeriod),"◆",IF(AND($E195&gt;=EK$5,$E195&lt;EK$5+GanttPeriod),"◇","")),IF(AND(EK$5&lt;=$F195,EK$5+GanttPeriod-1&gt;=$E195),"━","")))</f>
        <v/>
      </c>
      <c r="EL195" s="69" t="str">
        <f aca="false">IF($E195="","",IF($M195,IF(AND($G195&gt;=EL$5,$G195&lt;EL$5+GanttPeriod),"◆",IF(AND($E195&gt;=EL$5,$E195&lt;EL$5+GanttPeriod),"◇","")),IF(AND(EL$5&lt;=$F195,EL$5+GanttPeriod-1&gt;=$E195),"━","")))</f>
        <v/>
      </c>
      <c r="EM195" s="69" t="str">
        <f aca="false">IF($E195="","",IF($M195,IF(AND($G195&gt;=EM$5,$G195&lt;EM$5+GanttPeriod),"◆",IF(AND($E195&gt;=EM$5,$E195&lt;EM$5+GanttPeriod),"◇","")),IF(AND(EM$5&lt;=$F195,EM$5+GanttPeriod-1&gt;=$E195),"━","")))</f>
        <v/>
      </c>
      <c r="EN195" s="69" t="str">
        <f aca="false">IF($E195="","",IF($M195,IF(AND($G195&gt;=EN$5,$G195&lt;EN$5+GanttPeriod),"◆",IF(AND($E195&gt;=EN$5,$E195&lt;EN$5+GanttPeriod),"◇","")),IF(AND(EN$5&lt;=$F195,EN$5+GanttPeriod-1&gt;=$E195),"━","")))</f>
        <v/>
      </c>
      <c r="EO195" s="69" t="str">
        <f aca="false">IF($E195="","",IF($M195,IF(AND($G195&gt;=EO$5,$G195&lt;EO$5+GanttPeriod),"◆",IF(AND($E195&gt;=EO$5,$E195&lt;EO$5+GanttPeriod),"◇","")),IF(AND(EO$5&lt;=$F195,EO$5+GanttPeriod-1&gt;=$E195),"━","")))</f>
        <v/>
      </c>
      <c r="EP195" s="69" t="str">
        <f aca="false">IF($E195="","",IF($M195,IF(AND($G195&gt;=EP$5,$G195&lt;EP$5+GanttPeriod),"◆",IF(AND($E195&gt;=EP$5,$E195&lt;EP$5+GanttPeriod),"◇","")),IF(AND(EP$5&lt;=$F195,EP$5+GanttPeriod-1&gt;=$E195),"━","")))</f>
        <v/>
      </c>
      <c r="EQ195" s="69" t="str">
        <f aca="false">IF($E195="","",IF($M195,IF(AND($G195&gt;=EQ$5,$G195&lt;EQ$5+GanttPeriod),"◆",IF(AND($E195&gt;=EQ$5,$E195&lt;EQ$5+GanttPeriod),"◇","")),IF(AND(EQ$5&lt;=$F195,EQ$5+GanttPeriod-1&gt;=$E195),"━","")))</f>
        <v/>
      </c>
      <c r="ER195" s="69" t="str">
        <f aca="false">IF($E195="","",IF($M195,IF(AND($G195&gt;=ER$5,$G195&lt;ER$5+GanttPeriod),"◆",IF(AND($E195&gt;=ER$5,$E195&lt;ER$5+GanttPeriod),"◇","")),IF(AND(ER$5&lt;=$F195,ER$5+GanttPeriod-1&gt;=$E195),"━","")))</f>
        <v/>
      </c>
      <c r="ES195" s="69" t="str">
        <f aca="false">IF($E195="","",IF($M195,IF(AND($G195&gt;=ES$5,$G195&lt;ES$5+GanttPeriod),"◆",IF(AND($E195&gt;=ES$5,$E195&lt;ES$5+GanttPeriod),"◇","")),IF(AND(ES$5&lt;=$F195,ES$5+GanttPeriod-1&gt;=$E195),"━","")))</f>
        <v/>
      </c>
      <c r="ET195" s="69" t="str">
        <f aca="false">IF($E195="","",IF($M195,IF(AND($G195&gt;=ET$5,$G195&lt;ET$5+GanttPeriod),"◆",IF(AND($E195&gt;=ET$5,$E195&lt;ET$5+GanttPeriod),"◇","")),IF(AND(ET$5&lt;=$F195,ET$5+GanttPeriod-1&gt;=$E195),"━","")))</f>
        <v/>
      </c>
      <c r="EU195" s="69" t="str">
        <f aca="false">IF($E195="","",IF($M195,IF(AND($G195&gt;=EU$5,$G195&lt;EU$5+GanttPeriod),"◆",IF(AND($E195&gt;=EU$5,$E195&lt;EU$5+GanttPeriod),"◇","")),IF(AND(EU$5&lt;=$F195,EU$5+GanttPeriod-1&gt;=$E195),"━","")))</f>
        <v/>
      </c>
      <c r="EV195" s="69" t="str">
        <f aca="false">IF($E195="","",IF($M195,IF(AND($G195&gt;=EV$5,$G195&lt;EV$5+GanttPeriod),"◆",IF(AND($E195&gt;=EV$5,$E195&lt;EV$5+GanttPeriod),"◇","")),IF(AND(EV$5&lt;=$F195,EV$5+GanttPeriod-1&gt;=$E195),"━","")))</f>
        <v/>
      </c>
      <c r="EW195" s="69" t="str">
        <f aca="false">IF($E195="","",IF($M195,IF(AND($G195&gt;=EW$5,$G195&lt;EW$5+GanttPeriod),"◆",IF(AND($E195&gt;=EW$5,$E195&lt;EW$5+GanttPeriod),"◇","")),IF(AND(EW$5&lt;=$F195,EW$5+GanttPeriod-1&gt;=$E195),"━","")))</f>
        <v/>
      </c>
      <c r="EX195" s="69" t="str">
        <f aca="false">IF($E195="","",IF($M195,IF(AND($G195&gt;=EX$5,$G195&lt;EX$5+GanttPeriod),"◆",IF(AND($E195&gt;=EX$5,$E195&lt;EX$5+GanttPeriod),"◇","")),IF(AND(EX$5&lt;=$F195,EX$5+GanttPeriod-1&gt;=$E195),"━","")))</f>
        <v/>
      </c>
      <c r="EY195" s="69" t="str">
        <f aca="false">IF($E195="","",IF($M195,IF(AND($G195&gt;=EY$5,$G195&lt;EY$5+GanttPeriod),"◆",IF(AND($E195&gt;=EY$5,$E195&lt;EY$5+GanttPeriod),"◇","")),IF(AND(EY$5&lt;=$F195,EY$5+GanttPeriod-1&gt;=$E195),"━","")))</f>
        <v/>
      </c>
      <c r="EZ195" s="69" t="str">
        <f aca="false">IF($E195="","",IF($M195,IF(AND($G195&gt;=EZ$5,$G195&lt;EZ$5+GanttPeriod),"◆",IF(AND($E195&gt;=EZ$5,$E195&lt;EZ$5+GanttPeriod),"◇","")),IF(AND(EZ$5&lt;=$F195,EZ$5+GanttPeriod-1&gt;=$E195),"━","")))</f>
        <v/>
      </c>
      <c r="FA195" s="69" t="str">
        <f aca="false">IF($E195="","",IF($M195,IF(AND($G195&gt;=FA$5,$G195&lt;FA$5+GanttPeriod),"◆",IF(AND($E195&gt;=FA$5,$E195&lt;FA$5+GanttPeriod),"◇","")),IF(AND(FA$5&lt;=$F195,FA$5+GanttPeriod-1&gt;=$E195),"━","")))</f>
        <v/>
      </c>
      <c r="FB195" s="69" t="str">
        <f aca="false">IF($E195="","",IF($M195,IF(AND($G195&gt;=FB$5,$G195&lt;FB$5+GanttPeriod),"◆",IF(AND($E195&gt;=FB$5,$E195&lt;FB$5+GanttPeriod),"◇","")),IF(AND(FB$5&lt;=$F195,FB$5+GanttPeriod-1&gt;=$E195),"━","")))</f>
        <v/>
      </c>
      <c r="FC195" s="69" t="str">
        <f aca="false">IF($E195="","",IF($M195,IF(AND($G195&gt;=FC$5,$G195&lt;FC$5+GanttPeriod),"◆",IF(AND($E195&gt;=FC$5,$E195&lt;FC$5+GanttPeriod),"◇","")),IF(AND(FC$5&lt;=$F195,FC$5+GanttPeriod-1&gt;=$E195),"━","")))</f>
        <v/>
      </c>
      <c r="FD195" s="69" t="str">
        <f aca="false">IF($E195="","",IF($M195,IF(AND($G195&gt;=FD$5,$G195&lt;FD$5+GanttPeriod),"◆",IF(AND($E195&gt;=FD$5,$E195&lt;FD$5+GanttPeriod),"◇","")),IF(AND(FD$5&lt;=$F195,FD$5+GanttPeriod-1&gt;=$E195),"━","")))</f>
        <v/>
      </c>
      <c r="FE195" s="69" t="str">
        <f aca="false">IF($E195="","",IF($M195,IF(AND($G195&gt;=FE$5,$G195&lt;FE$5+GanttPeriod),"◆",IF(AND($E195&gt;=FE$5,$E195&lt;FE$5+GanttPeriod),"◇","")),IF(AND(FE$5&lt;=$F195,FE$5+GanttPeriod-1&gt;=$E195),"━","")))</f>
        <v/>
      </c>
      <c r="FF195" s="69" t="str">
        <f aca="false">IF($E195="","",IF($M195,IF(AND($G195&gt;=FF$5,$G195&lt;FF$5+GanttPeriod),"◆",IF(AND($E195&gt;=FF$5,$E195&lt;FF$5+GanttPeriod),"◇","")),IF(AND(FF$5&lt;=$F195,FF$5+GanttPeriod-1&gt;=$E195),"━","")))</f>
        <v/>
      </c>
      <c r="FG195" s="69" t="str">
        <f aca="false">IF($E195="","",IF($M195,IF(AND($G195&gt;=FG$5,$G195&lt;FG$5+GanttPeriod),"◆",IF(AND($E195&gt;=FG$5,$E195&lt;FG$5+GanttPeriod),"◇","")),IF(AND(FG$5&lt;=$F195,FG$5+GanttPeriod-1&gt;=$E195),"━","")))</f>
        <v/>
      </c>
      <c r="FH195" s="69" t="str">
        <f aca="false">IF($E195="","",IF($M195,IF(AND($G195&gt;=FH$5,$G195&lt;FH$5+GanttPeriod),"◆",IF(AND($E195&gt;=FH$5,$E195&lt;FH$5+GanttPeriod),"◇","")),IF(AND(FH$5&lt;=$F195,FH$5+GanttPeriod-1&gt;=$E195),"━","")))</f>
        <v/>
      </c>
      <c r="FI195" s="69" t="str">
        <f aca="false">IF($E195="","",IF($M195,IF(AND($G195&gt;=FI$5,$G195&lt;FI$5+GanttPeriod),"◆",IF(AND($E195&gt;=FI$5,$E195&lt;FI$5+GanttPeriod),"◇","")),IF(AND(FI$5&lt;=$F195,FI$5+GanttPeriod-1&gt;=$E195),"━","")))</f>
        <v/>
      </c>
      <c r="FJ195" s="69" t="str">
        <f aca="false">IF($E195="","",IF($M195,IF(AND($G195&gt;=FJ$5,$G195&lt;FJ$5+GanttPeriod),"◆",IF(AND($E195&gt;=FJ$5,$E195&lt;FJ$5+GanttPeriod),"◇","")),IF(AND(FJ$5&lt;=$F195,FJ$5+GanttPeriod-1&gt;=$E195),"━","")))</f>
        <v/>
      </c>
      <c r="FK195" s="69" t="str">
        <f aca="false">IF($E195="","",IF($M195,IF(AND($G195&gt;=FK$5,$G195&lt;FK$5+GanttPeriod),"◆",IF(AND($E195&gt;=FK$5,$E195&lt;FK$5+GanttPeriod),"◇","")),IF(AND(FK$5&lt;=$F195,FK$5+GanttPeriod-1&gt;=$E195),"━","")))</f>
        <v/>
      </c>
      <c r="FL195" s="69" t="str">
        <f aca="false">IF($E195="","",IF($M195,IF(AND($G195&gt;=FL$5,$G195&lt;FL$5+GanttPeriod),"◆",IF(AND($E195&gt;=FL$5,$E195&lt;FL$5+GanttPeriod),"◇","")),IF(AND(FL$5&lt;=$F195,FL$5+GanttPeriod-1&gt;=$E195),"━","")))</f>
        <v/>
      </c>
      <c r="FM195" s="69" t="str">
        <f aca="false">IF($E195="","",IF($M195,IF(AND($G195&gt;=FM$5,$G195&lt;FM$5+GanttPeriod),"◆",IF(AND($E195&gt;=FM$5,$E195&lt;FM$5+GanttPeriod),"◇","")),IF(AND(FM$5&lt;=$F195,FM$5+GanttPeriod-1&gt;=$E195),"━","")))</f>
        <v/>
      </c>
    </row>
    <row r="196" customFormat="false" ht="15" hidden="false" customHeight="false" outlineLevel="0" collapsed="false">
      <c r="A196" s="62" t="str">
        <f aca="false">IF(Tasks!$D196="","",Tasks!$A196)</f>
        <v/>
      </c>
      <c r="B196" s="62" t="str">
        <f aca="false">IF(Tasks!$D196="","",Tasks!$B196)</f>
        <v/>
      </c>
      <c r="C196" s="63" t="str">
        <f aca="false">IF(Tasks!$D196="","",REPT("    ",Tasks!$AE196-1)&amp;Tasks!$D196)</f>
        <v/>
      </c>
      <c r="D196" s="62" t="str">
        <f aca="false">IF(Tasks!$D196="","",IF(Tasks!$AI196,NETWORKDAYS.INTL(Tasks!$R196,Tasks!$S196,WorkWeek,Holidays),N(Tasks!$F196)))</f>
        <v/>
      </c>
      <c r="E196" s="64" t="str">
        <f aca="false">IF(Tasks!$D196="","",Tasks!$N196)</f>
        <v/>
      </c>
      <c r="F196" s="64" t="str">
        <f aca="false">IF(Tasks!$D196="","",Tasks!$O196)</f>
        <v/>
      </c>
      <c r="G196" s="64" t="str">
        <f aca="false">IF(Tasks!$D196="","",Tasks!$R196)</f>
        <v/>
      </c>
      <c r="H196" s="64" t="str">
        <f aca="false">IF(Tasks!$D196="","",Tasks!$S196)</f>
        <v/>
      </c>
      <c r="I196" s="65" t="str">
        <f aca="false">IF(Tasks!$D196="","",Tasks!$V196)</f>
        <v/>
      </c>
      <c r="J196" s="63" t="str">
        <f aca="false">IF(Tasks!$D196="","",Tasks!$X196&amp;"")</f>
        <v/>
      </c>
      <c r="K196" s="66" t="str">
        <f aca="false">IF(Tasks!$D196="","",Tasks!$W196)</f>
        <v/>
      </c>
      <c r="L196" s="67" t="b">
        <f aca="false">IF(Tasks!$D196="",FALSE(),Tasks!$AI196)</f>
        <v>0</v>
      </c>
      <c r="M196" s="67" t="b">
        <f aca="false">AND(Tasks!$AJ196=1,N(Tasks!$F196)=0)</f>
        <v>0</v>
      </c>
      <c r="N196" s="68" t="n">
        <f aca="false">IF(AND(Tasks!$AJ196=1,NOT($M196),N($I196)&gt;0),$G196,0)</f>
        <v>0</v>
      </c>
      <c r="O196" s="68" t="n">
        <f aca="false">IF($N196=0,0,IF($I196&gt;=1,$H196,MAX($N196,$G196+ROUND(($H196-$G196+1)*$I196,0)-1)))</f>
        <v>0</v>
      </c>
      <c r="P196" s="68" t="n">
        <f aca="false">IF(OR(Tasks!$AJ196&lt;&gt;1,$M196,N($I196)&gt;=1),0,IF($O196&gt;0,$O196+1,$G196))</f>
        <v>0</v>
      </c>
      <c r="Q196" s="68" t="n">
        <f aca="false">IF($P196=0,0,$H196)</f>
        <v>0</v>
      </c>
      <c r="R196" s="67" t="b">
        <f aca="false">AND(Tasks!$D196&lt;&gt;"",N(Tasks!$T196)&gt;0)</f>
        <v>0</v>
      </c>
      <c r="T196" s="69" t="str">
        <f aca="false">IF($E196="","",IF($M196,IF(AND($G196&gt;=T$5,$G196&lt;T$5+GanttPeriod),"◆",IF(AND($E196&gt;=T$5,$E196&lt;T$5+GanttPeriod),"◇","")),IF(AND(T$5&lt;=$F196,T$5+GanttPeriod-1&gt;=$E196),"━","")))</f>
        <v/>
      </c>
      <c r="U196" s="69" t="str">
        <f aca="false">IF($E196="","",IF($M196,IF(AND($G196&gt;=U$5,$G196&lt;U$5+GanttPeriod),"◆",IF(AND($E196&gt;=U$5,$E196&lt;U$5+GanttPeriod),"◇","")),IF(AND(U$5&lt;=$F196,U$5+GanttPeriod-1&gt;=$E196),"━","")))</f>
        <v/>
      </c>
      <c r="V196" s="69" t="str">
        <f aca="false">IF($E196="","",IF($M196,IF(AND($G196&gt;=V$5,$G196&lt;V$5+GanttPeriod),"◆",IF(AND($E196&gt;=V$5,$E196&lt;V$5+GanttPeriod),"◇","")),IF(AND(V$5&lt;=$F196,V$5+GanttPeriod-1&gt;=$E196),"━","")))</f>
        <v/>
      </c>
      <c r="W196" s="69" t="str">
        <f aca="false">IF($E196="","",IF($M196,IF(AND($G196&gt;=W$5,$G196&lt;W$5+GanttPeriod),"◆",IF(AND($E196&gt;=W$5,$E196&lt;W$5+GanttPeriod),"◇","")),IF(AND(W$5&lt;=$F196,W$5+GanttPeriod-1&gt;=$E196),"━","")))</f>
        <v/>
      </c>
      <c r="X196" s="69" t="str">
        <f aca="false">IF($E196="","",IF($M196,IF(AND($G196&gt;=X$5,$G196&lt;X$5+GanttPeriod),"◆",IF(AND($E196&gt;=X$5,$E196&lt;X$5+GanttPeriod),"◇","")),IF(AND(X$5&lt;=$F196,X$5+GanttPeriod-1&gt;=$E196),"━","")))</f>
        <v/>
      </c>
      <c r="Y196" s="69" t="str">
        <f aca="false">IF($E196="","",IF($M196,IF(AND($G196&gt;=Y$5,$G196&lt;Y$5+GanttPeriod),"◆",IF(AND($E196&gt;=Y$5,$E196&lt;Y$5+GanttPeriod),"◇","")),IF(AND(Y$5&lt;=$F196,Y$5+GanttPeriod-1&gt;=$E196),"━","")))</f>
        <v/>
      </c>
      <c r="Z196" s="69" t="str">
        <f aca="false">IF($E196="","",IF($M196,IF(AND($G196&gt;=Z$5,$G196&lt;Z$5+GanttPeriod),"◆",IF(AND($E196&gt;=Z$5,$E196&lt;Z$5+GanttPeriod),"◇","")),IF(AND(Z$5&lt;=$F196,Z$5+GanttPeriod-1&gt;=$E196),"━","")))</f>
        <v/>
      </c>
      <c r="AA196" s="69" t="str">
        <f aca="false">IF($E196="","",IF($M196,IF(AND($G196&gt;=AA$5,$G196&lt;AA$5+GanttPeriod),"◆",IF(AND($E196&gt;=AA$5,$E196&lt;AA$5+GanttPeriod),"◇","")),IF(AND(AA$5&lt;=$F196,AA$5+GanttPeriod-1&gt;=$E196),"━","")))</f>
        <v/>
      </c>
      <c r="AB196" s="69" t="str">
        <f aca="false">IF($E196="","",IF($M196,IF(AND($G196&gt;=AB$5,$G196&lt;AB$5+GanttPeriod),"◆",IF(AND($E196&gt;=AB$5,$E196&lt;AB$5+GanttPeriod),"◇","")),IF(AND(AB$5&lt;=$F196,AB$5+GanttPeriod-1&gt;=$E196),"━","")))</f>
        <v/>
      </c>
      <c r="AC196" s="69" t="str">
        <f aca="false">IF($E196="","",IF($M196,IF(AND($G196&gt;=AC$5,$G196&lt;AC$5+GanttPeriod),"◆",IF(AND($E196&gt;=AC$5,$E196&lt;AC$5+GanttPeriod),"◇","")),IF(AND(AC$5&lt;=$F196,AC$5+GanttPeriod-1&gt;=$E196),"━","")))</f>
        <v/>
      </c>
      <c r="AD196" s="69" t="str">
        <f aca="false">IF($E196="","",IF($M196,IF(AND($G196&gt;=AD$5,$G196&lt;AD$5+GanttPeriod),"◆",IF(AND($E196&gt;=AD$5,$E196&lt;AD$5+GanttPeriod),"◇","")),IF(AND(AD$5&lt;=$F196,AD$5+GanttPeriod-1&gt;=$E196),"━","")))</f>
        <v/>
      </c>
      <c r="AE196" s="69" t="str">
        <f aca="false">IF($E196="","",IF($M196,IF(AND($G196&gt;=AE$5,$G196&lt;AE$5+GanttPeriod),"◆",IF(AND($E196&gt;=AE$5,$E196&lt;AE$5+GanttPeriod),"◇","")),IF(AND(AE$5&lt;=$F196,AE$5+GanttPeriod-1&gt;=$E196),"━","")))</f>
        <v/>
      </c>
      <c r="AF196" s="69" t="str">
        <f aca="false">IF($E196="","",IF($M196,IF(AND($G196&gt;=AF$5,$G196&lt;AF$5+GanttPeriod),"◆",IF(AND($E196&gt;=AF$5,$E196&lt;AF$5+GanttPeriod),"◇","")),IF(AND(AF$5&lt;=$F196,AF$5+GanttPeriod-1&gt;=$E196),"━","")))</f>
        <v/>
      </c>
      <c r="AG196" s="69" t="str">
        <f aca="false">IF($E196="","",IF($M196,IF(AND($G196&gt;=AG$5,$G196&lt;AG$5+GanttPeriod),"◆",IF(AND($E196&gt;=AG$5,$E196&lt;AG$5+GanttPeriod),"◇","")),IF(AND(AG$5&lt;=$F196,AG$5+GanttPeriod-1&gt;=$E196),"━","")))</f>
        <v/>
      </c>
      <c r="AH196" s="69" t="str">
        <f aca="false">IF($E196="","",IF($M196,IF(AND($G196&gt;=AH$5,$G196&lt;AH$5+GanttPeriod),"◆",IF(AND($E196&gt;=AH$5,$E196&lt;AH$5+GanttPeriod),"◇","")),IF(AND(AH$5&lt;=$F196,AH$5+GanttPeriod-1&gt;=$E196),"━","")))</f>
        <v/>
      </c>
      <c r="AI196" s="69" t="str">
        <f aca="false">IF($E196="","",IF($M196,IF(AND($G196&gt;=AI$5,$G196&lt;AI$5+GanttPeriod),"◆",IF(AND($E196&gt;=AI$5,$E196&lt;AI$5+GanttPeriod),"◇","")),IF(AND(AI$5&lt;=$F196,AI$5+GanttPeriod-1&gt;=$E196),"━","")))</f>
        <v/>
      </c>
      <c r="AJ196" s="69" t="str">
        <f aca="false">IF($E196="","",IF($M196,IF(AND($G196&gt;=AJ$5,$G196&lt;AJ$5+GanttPeriod),"◆",IF(AND($E196&gt;=AJ$5,$E196&lt;AJ$5+GanttPeriod),"◇","")),IF(AND(AJ$5&lt;=$F196,AJ$5+GanttPeriod-1&gt;=$E196),"━","")))</f>
        <v/>
      </c>
      <c r="AK196" s="69" t="str">
        <f aca="false">IF($E196="","",IF($M196,IF(AND($G196&gt;=AK$5,$G196&lt;AK$5+GanttPeriod),"◆",IF(AND($E196&gt;=AK$5,$E196&lt;AK$5+GanttPeriod),"◇","")),IF(AND(AK$5&lt;=$F196,AK$5+GanttPeriod-1&gt;=$E196),"━","")))</f>
        <v/>
      </c>
      <c r="AL196" s="69" t="str">
        <f aca="false">IF($E196="","",IF($M196,IF(AND($G196&gt;=AL$5,$G196&lt;AL$5+GanttPeriod),"◆",IF(AND($E196&gt;=AL$5,$E196&lt;AL$5+GanttPeriod),"◇","")),IF(AND(AL$5&lt;=$F196,AL$5+GanttPeriod-1&gt;=$E196),"━","")))</f>
        <v/>
      </c>
      <c r="AM196" s="69" t="str">
        <f aca="false">IF($E196="","",IF($M196,IF(AND($G196&gt;=AM$5,$G196&lt;AM$5+GanttPeriod),"◆",IF(AND($E196&gt;=AM$5,$E196&lt;AM$5+GanttPeriod),"◇","")),IF(AND(AM$5&lt;=$F196,AM$5+GanttPeriod-1&gt;=$E196),"━","")))</f>
        <v/>
      </c>
      <c r="AN196" s="69" t="str">
        <f aca="false">IF($E196="","",IF($M196,IF(AND($G196&gt;=AN$5,$G196&lt;AN$5+GanttPeriod),"◆",IF(AND($E196&gt;=AN$5,$E196&lt;AN$5+GanttPeriod),"◇","")),IF(AND(AN$5&lt;=$F196,AN$5+GanttPeriod-1&gt;=$E196),"━","")))</f>
        <v/>
      </c>
      <c r="AO196" s="69" t="str">
        <f aca="false">IF($E196="","",IF($M196,IF(AND($G196&gt;=AO$5,$G196&lt;AO$5+GanttPeriod),"◆",IF(AND($E196&gt;=AO$5,$E196&lt;AO$5+GanttPeriod),"◇","")),IF(AND(AO$5&lt;=$F196,AO$5+GanttPeriod-1&gt;=$E196),"━","")))</f>
        <v/>
      </c>
      <c r="AP196" s="69" t="str">
        <f aca="false">IF($E196="","",IF($M196,IF(AND($G196&gt;=AP$5,$G196&lt;AP$5+GanttPeriod),"◆",IF(AND($E196&gt;=AP$5,$E196&lt;AP$5+GanttPeriod),"◇","")),IF(AND(AP$5&lt;=$F196,AP$5+GanttPeriod-1&gt;=$E196),"━","")))</f>
        <v/>
      </c>
      <c r="AQ196" s="69" t="str">
        <f aca="false">IF($E196="","",IF($M196,IF(AND($G196&gt;=AQ$5,$G196&lt;AQ$5+GanttPeriod),"◆",IF(AND($E196&gt;=AQ$5,$E196&lt;AQ$5+GanttPeriod),"◇","")),IF(AND(AQ$5&lt;=$F196,AQ$5+GanttPeriod-1&gt;=$E196),"━","")))</f>
        <v/>
      </c>
      <c r="AR196" s="69" t="str">
        <f aca="false">IF($E196="","",IF($M196,IF(AND($G196&gt;=AR$5,$G196&lt;AR$5+GanttPeriod),"◆",IF(AND($E196&gt;=AR$5,$E196&lt;AR$5+GanttPeriod),"◇","")),IF(AND(AR$5&lt;=$F196,AR$5+GanttPeriod-1&gt;=$E196),"━","")))</f>
        <v/>
      </c>
      <c r="AS196" s="69" t="str">
        <f aca="false">IF($E196="","",IF($M196,IF(AND($G196&gt;=AS$5,$G196&lt;AS$5+GanttPeriod),"◆",IF(AND($E196&gt;=AS$5,$E196&lt;AS$5+GanttPeriod),"◇","")),IF(AND(AS$5&lt;=$F196,AS$5+GanttPeriod-1&gt;=$E196),"━","")))</f>
        <v/>
      </c>
      <c r="AT196" s="69" t="str">
        <f aca="false">IF($E196="","",IF($M196,IF(AND($G196&gt;=AT$5,$G196&lt;AT$5+GanttPeriod),"◆",IF(AND($E196&gt;=AT$5,$E196&lt;AT$5+GanttPeriod),"◇","")),IF(AND(AT$5&lt;=$F196,AT$5+GanttPeriod-1&gt;=$E196),"━","")))</f>
        <v/>
      </c>
      <c r="AU196" s="69" t="str">
        <f aca="false">IF($E196="","",IF($M196,IF(AND($G196&gt;=AU$5,$G196&lt;AU$5+GanttPeriod),"◆",IF(AND($E196&gt;=AU$5,$E196&lt;AU$5+GanttPeriod),"◇","")),IF(AND(AU$5&lt;=$F196,AU$5+GanttPeriod-1&gt;=$E196),"━","")))</f>
        <v/>
      </c>
      <c r="AV196" s="69" t="str">
        <f aca="false">IF($E196="","",IF($M196,IF(AND($G196&gt;=AV$5,$G196&lt;AV$5+GanttPeriod),"◆",IF(AND($E196&gt;=AV$5,$E196&lt;AV$5+GanttPeriod),"◇","")),IF(AND(AV$5&lt;=$F196,AV$5+GanttPeriod-1&gt;=$E196),"━","")))</f>
        <v/>
      </c>
      <c r="AW196" s="69" t="str">
        <f aca="false">IF($E196="","",IF($M196,IF(AND($G196&gt;=AW$5,$G196&lt;AW$5+GanttPeriod),"◆",IF(AND($E196&gt;=AW$5,$E196&lt;AW$5+GanttPeriod),"◇","")),IF(AND(AW$5&lt;=$F196,AW$5+GanttPeriod-1&gt;=$E196),"━","")))</f>
        <v/>
      </c>
      <c r="AX196" s="69" t="str">
        <f aca="false">IF($E196="","",IF($M196,IF(AND($G196&gt;=AX$5,$G196&lt;AX$5+GanttPeriod),"◆",IF(AND($E196&gt;=AX$5,$E196&lt;AX$5+GanttPeriod),"◇","")),IF(AND(AX$5&lt;=$F196,AX$5+GanttPeriod-1&gt;=$E196),"━","")))</f>
        <v/>
      </c>
      <c r="AY196" s="69" t="str">
        <f aca="false">IF($E196="","",IF($M196,IF(AND($G196&gt;=AY$5,$G196&lt;AY$5+GanttPeriod),"◆",IF(AND($E196&gt;=AY$5,$E196&lt;AY$5+GanttPeriod),"◇","")),IF(AND(AY$5&lt;=$F196,AY$5+GanttPeriod-1&gt;=$E196),"━","")))</f>
        <v/>
      </c>
      <c r="AZ196" s="69" t="str">
        <f aca="false">IF($E196="","",IF($M196,IF(AND($G196&gt;=AZ$5,$G196&lt;AZ$5+GanttPeriod),"◆",IF(AND($E196&gt;=AZ$5,$E196&lt;AZ$5+GanttPeriod),"◇","")),IF(AND(AZ$5&lt;=$F196,AZ$5+GanttPeriod-1&gt;=$E196),"━","")))</f>
        <v/>
      </c>
      <c r="BA196" s="69" t="str">
        <f aca="false">IF($E196="","",IF($M196,IF(AND($G196&gt;=BA$5,$G196&lt;BA$5+GanttPeriod),"◆",IF(AND($E196&gt;=BA$5,$E196&lt;BA$5+GanttPeriod),"◇","")),IF(AND(BA$5&lt;=$F196,BA$5+GanttPeriod-1&gt;=$E196),"━","")))</f>
        <v/>
      </c>
      <c r="BB196" s="69" t="str">
        <f aca="false">IF($E196="","",IF($M196,IF(AND($G196&gt;=BB$5,$G196&lt;BB$5+GanttPeriod),"◆",IF(AND($E196&gt;=BB$5,$E196&lt;BB$5+GanttPeriod),"◇","")),IF(AND(BB$5&lt;=$F196,BB$5+GanttPeriod-1&gt;=$E196),"━","")))</f>
        <v/>
      </c>
      <c r="BC196" s="69" t="str">
        <f aca="false">IF($E196="","",IF($M196,IF(AND($G196&gt;=BC$5,$G196&lt;BC$5+GanttPeriod),"◆",IF(AND($E196&gt;=BC$5,$E196&lt;BC$5+GanttPeriod),"◇","")),IF(AND(BC$5&lt;=$F196,BC$5+GanttPeriod-1&gt;=$E196),"━","")))</f>
        <v/>
      </c>
      <c r="BD196" s="69" t="str">
        <f aca="false">IF($E196="","",IF($M196,IF(AND($G196&gt;=BD$5,$G196&lt;BD$5+GanttPeriod),"◆",IF(AND($E196&gt;=BD$5,$E196&lt;BD$5+GanttPeriod),"◇","")),IF(AND(BD$5&lt;=$F196,BD$5+GanttPeriod-1&gt;=$E196),"━","")))</f>
        <v/>
      </c>
      <c r="BE196" s="69" t="str">
        <f aca="false">IF($E196="","",IF($M196,IF(AND($G196&gt;=BE$5,$G196&lt;BE$5+GanttPeriod),"◆",IF(AND($E196&gt;=BE$5,$E196&lt;BE$5+GanttPeriod),"◇","")),IF(AND(BE$5&lt;=$F196,BE$5+GanttPeriod-1&gt;=$E196),"━","")))</f>
        <v/>
      </c>
      <c r="BF196" s="69" t="str">
        <f aca="false">IF($E196="","",IF($M196,IF(AND($G196&gt;=BF$5,$G196&lt;BF$5+GanttPeriod),"◆",IF(AND($E196&gt;=BF$5,$E196&lt;BF$5+GanttPeriod),"◇","")),IF(AND(BF$5&lt;=$F196,BF$5+GanttPeriod-1&gt;=$E196),"━","")))</f>
        <v/>
      </c>
      <c r="BG196" s="69" t="str">
        <f aca="false">IF($E196="","",IF($M196,IF(AND($G196&gt;=BG$5,$G196&lt;BG$5+GanttPeriod),"◆",IF(AND($E196&gt;=BG$5,$E196&lt;BG$5+GanttPeriod),"◇","")),IF(AND(BG$5&lt;=$F196,BG$5+GanttPeriod-1&gt;=$E196),"━","")))</f>
        <v/>
      </c>
      <c r="BH196" s="69" t="str">
        <f aca="false">IF($E196="","",IF($M196,IF(AND($G196&gt;=BH$5,$G196&lt;BH$5+GanttPeriod),"◆",IF(AND($E196&gt;=BH$5,$E196&lt;BH$5+GanttPeriod),"◇","")),IF(AND(BH$5&lt;=$F196,BH$5+GanttPeriod-1&gt;=$E196),"━","")))</f>
        <v/>
      </c>
      <c r="BI196" s="69" t="str">
        <f aca="false">IF($E196="","",IF($M196,IF(AND($G196&gt;=BI$5,$G196&lt;BI$5+GanttPeriod),"◆",IF(AND($E196&gt;=BI$5,$E196&lt;BI$5+GanttPeriod),"◇","")),IF(AND(BI$5&lt;=$F196,BI$5+GanttPeriod-1&gt;=$E196),"━","")))</f>
        <v/>
      </c>
      <c r="BJ196" s="69" t="str">
        <f aca="false">IF($E196="","",IF($M196,IF(AND($G196&gt;=BJ$5,$G196&lt;BJ$5+GanttPeriod),"◆",IF(AND($E196&gt;=BJ$5,$E196&lt;BJ$5+GanttPeriod),"◇","")),IF(AND(BJ$5&lt;=$F196,BJ$5+GanttPeriod-1&gt;=$E196),"━","")))</f>
        <v/>
      </c>
      <c r="BK196" s="69" t="str">
        <f aca="false">IF($E196="","",IF($M196,IF(AND($G196&gt;=BK$5,$G196&lt;BK$5+GanttPeriod),"◆",IF(AND($E196&gt;=BK$5,$E196&lt;BK$5+GanttPeriod),"◇","")),IF(AND(BK$5&lt;=$F196,BK$5+GanttPeriod-1&gt;=$E196),"━","")))</f>
        <v/>
      </c>
      <c r="BL196" s="69" t="str">
        <f aca="false">IF($E196="","",IF($M196,IF(AND($G196&gt;=BL$5,$G196&lt;BL$5+GanttPeriod),"◆",IF(AND($E196&gt;=BL$5,$E196&lt;BL$5+GanttPeriod),"◇","")),IF(AND(BL$5&lt;=$F196,BL$5+GanttPeriod-1&gt;=$E196),"━","")))</f>
        <v/>
      </c>
      <c r="BM196" s="69" t="str">
        <f aca="false">IF($E196="","",IF($M196,IF(AND($G196&gt;=BM$5,$G196&lt;BM$5+GanttPeriod),"◆",IF(AND($E196&gt;=BM$5,$E196&lt;BM$5+GanttPeriod),"◇","")),IF(AND(BM$5&lt;=$F196,BM$5+GanttPeriod-1&gt;=$E196),"━","")))</f>
        <v/>
      </c>
      <c r="BN196" s="69" t="str">
        <f aca="false">IF($E196="","",IF($M196,IF(AND($G196&gt;=BN$5,$G196&lt;BN$5+GanttPeriod),"◆",IF(AND($E196&gt;=BN$5,$E196&lt;BN$5+GanttPeriod),"◇","")),IF(AND(BN$5&lt;=$F196,BN$5+GanttPeriod-1&gt;=$E196),"━","")))</f>
        <v/>
      </c>
      <c r="BO196" s="69" t="str">
        <f aca="false">IF($E196="","",IF($M196,IF(AND($G196&gt;=BO$5,$G196&lt;BO$5+GanttPeriod),"◆",IF(AND($E196&gt;=BO$5,$E196&lt;BO$5+GanttPeriod),"◇","")),IF(AND(BO$5&lt;=$F196,BO$5+GanttPeriod-1&gt;=$E196),"━","")))</f>
        <v/>
      </c>
      <c r="BP196" s="69" t="str">
        <f aca="false">IF($E196="","",IF($M196,IF(AND($G196&gt;=BP$5,$G196&lt;BP$5+GanttPeriod),"◆",IF(AND($E196&gt;=BP$5,$E196&lt;BP$5+GanttPeriod),"◇","")),IF(AND(BP$5&lt;=$F196,BP$5+GanttPeriod-1&gt;=$E196),"━","")))</f>
        <v/>
      </c>
      <c r="BQ196" s="69" t="str">
        <f aca="false">IF($E196="","",IF($M196,IF(AND($G196&gt;=BQ$5,$G196&lt;BQ$5+GanttPeriod),"◆",IF(AND($E196&gt;=BQ$5,$E196&lt;BQ$5+GanttPeriod),"◇","")),IF(AND(BQ$5&lt;=$F196,BQ$5+GanttPeriod-1&gt;=$E196),"━","")))</f>
        <v/>
      </c>
      <c r="BR196" s="69" t="str">
        <f aca="false">IF($E196="","",IF($M196,IF(AND($G196&gt;=BR$5,$G196&lt;BR$5+GanttPeriod),"◆",IF(AND($E196&gt;=BR$5,$E196&lt;BR$5+GanttPeriod),"◇","")),IF(AND(BR$5&lt;=$F196,BR$5+GanttPeriod-1&gt;=$E196),"━","")))</f>
        <v/>
      </c>
      <c r="BS196" s="69" t="str">
        <f aca="false">IF($E196="","",IF($M196,IF(AND($G196&gt;=BS$5,$G196&lt;BS$5+GanttPeriod),"◆",IF(AND($E196&gt;=BS$5,$E196&lt;BS$5+GanttPeriod),"◇","")),IF(AND(BS$5&lt;=$F196,BS$5+GanttPeriod-1&gt;=$E196),"━","")))</f>
        <v/>
      </c>
      <c r="BT196" s="69" t="str">
        <f aca="false">IF($E196="","",IF($M196,IF(AND($G196&gt;=BT$5,$G196&lt;BT$5+GanttPeriod),"◆",IF(AND($E196&gt;=BT$5,$E196&lt;BT$5+GanttPeriod),"◇","")),IF(AND(BT$5&lt;=$F196,BT$5+GanttPeriod-1&gt;=$E196),"━","")))</f>
        <v/>
      </c>
      <c r="BU196" s="69" t="str">
        <f aca="false">IF($E196="","",IF($M196,IF(AND($G196&gt;=BU$5,$G196&lt;BU$5+GanttPeriod),"◆",IF(AND($E196&gt;=BU$5,$E196&lt;BU$5+GanttPeriod),"◇","")),IF(AND(BU$5&lt;=$F196,BU$5+GanttPeriod-1&gt;=$E196),"━","")))</f>
        <v/>
      </c>
      <c r="BV196" s="69" t="str">
        <f aca="false">IF($E196="","",IF($M196,IF(AND($G196&gt;=BV$5,$G196&lt;BV$5+GanttPeriod),"◆",IF(AND($E196&gt;=BV$5,$E196&lt;BV$5+GanttPeriod),"◇","")),IF(AND(BV$5&lt;=$F196,BV$5+GanttPeriod-1&gt;=$E196),"━","")))</f>
        <v/>
      </c>
      <c r="BW196" s="69" t="str">
        <f aca="false">IF($E196="","",IF($M196,IF(AND($G196&gt;=BW$5,$G196&lt;BW$5+GanttPeriod),"◆",IF(AND($E196&gt;=BW$5,$E196&lt;BW$5+GanttPeriod),"◇","")),IF(AND(BW$5&lt;=$F196,BW$5+GanttPeriod-1&gt;=$E196),"━","")))</f>
        <v/>
      </c>
      <c r="BX196" s="69" t="str">
        <f aca="false">IF($E196="","",IF($M196,IF(AND($G196&gt;=BX$5,$G196&lt;BX$5+GanttPeriod),"◆",IF(AND($E196&gt;=BX$5,$E196&lt;BX$5+GanttPeriod),"◇","")),IF(AND(BX$5&lt;=$F196,BX$5+GanttPeriod-1&gt;=$E196),"━","")))</f>
        <v/>
      </c>
      <c r="BY196" s="69" t="str">
        <f aca="false">IF($E196="","",IF($M196,IF(AND($G196&gt;=BY$5,$G196&lt;BY$5+GanttPeriod),"◆",IF(AND($E196&gt;=BY$5,$E196&lt;BY$5+GanttPeriod),"◇","")),IF(AND(BY$5&lt;=$F196,BY$5+GanttPeriod-1&gt;=$E196),"━","")))</f>
        <v/>
      </c>
      <c r="BZ196" s="69" t="str">
        <f aca="false">IF($E196="","",IF($M196,IF(AND($G196&gt;=BZ$5,$G196&lt;BZ$5+GanttPeriod),"◆",IF(AND($E196&gt;=BZ$5,$E196&lt;BZ$5+GanttPeriod),"◇","")),IF(AND(BZ$5&lt;=$F196,BZ$5+GanttPeriod-1&gt;=$E196),"━","")))</f>
        <v/>
      </c>
      <c r="CA196" s="69" t="str">
        <f aca="false">IF($E196="","",IF($M196,IF(AND($G196&gt;=CA$5,$G196&lt;CA$5+GanttPeriod),"◆",IF(AND($E196&gt;=CA$5,$E196&lt;CA$5+GanttPeriod),"◇","")),IF(AND(CA$5&lt;=$F196,CA$5+GanttPeriod-1&gt;=$E196),"━","")))</f>
        <v/>
      </c>
      <c r="CB196" s="69" t="str">
        <f aca="false">IF($E196="","",IF($M196,IF(AND($G196&gt;=CB$5,$G196&lt;CB$5+GanttPeriod),"◆",IF(AND($E196&gt;=CB$5,$E196&lt;CB$5+GanttPeriod),"◇","")),IF(AND(CB$5&lt;=$F196,CB$5+GanttPeriod-1&gt;=$E196),"━","")))</f>
        <v/>
      </c>
      <c r="CC196" s="69" t="str">
        <f aca="false">IF($E196="","",IF($M196,IF(AND($G196&gt;=CC$5,$G196&lt;CC$5+GanttPeriod),"◆",IF(AND($E196&gt;=CC$5,$E196&lt;CC$5+GanttPeriod),"◇","")),IF(AND(CC$5&lt;=$F196,CC$5+GanttPeriod-1&gt;=$E196),"━","")))</f>
        <v/>
      </c>
      <c r="CD196" s="69" t="str">
        <f aca="false">IF($E196="","",IF($M196,IF(AND($G196&gt;=CD$5,$G196&lt;CD$5+GanttPeriod),"◆",IF(AND($E196&gt;=CD$5,$E196&lt;CD$5+GanttPeriod),"◇","")),IF(AND(CD$5&lt;=$F196,CD$5+GanttPeriod-1&gt;=$E196),"━","")))</f>
        <v/>
      </c>
      <c r="CE196" s="69" t="str">
        <f aca="false">IF($E196="","",IF($M196,IF(AND($G196&gt;=CE$5,$G196&lt;CE$5+GanttPeriod),"◆",IF(AND($E196&gt;=CE$5,$E196&lt;CE$5+GanttPeriod),"◇","")),IF(AND(CE$5&lt;=$F196,CE$5+GanttPeriod-1&gt;=$E196),"━","")))</f>
        <v/>
      </c>
      <c r="CF196" s="69" t="str">
        <f aca="false">IF($E196="","",IF($M196,IF(AND($G196&gt;=CF$5,$G196&lt;CF$5+GanttPeriod),"◆",IF(AND($E196&gt;=CF$5,$E196&lt;CF$5+GanttPeriod),"◇","")),IF(AND(CF$5&lt;=$F196,CF$5+GanttPeriod-1&gt;=$E196),"━","")))</f>
        <v/>
      </c>
      <c r="CG196" s="69" t="str">
        <f aca="false">IF($E196="","",IF($M196,IF(AND($G196&gt;=CG$5,$G196&lt;CG$5+GanttPeriod),"◆",IF(AND($E196&gt;=CG$5,$E196&lt;CG$5+GanttPeriod),"◇","")),IF(AND(CG$5&lt;=$F196,CG$5+GanttPeriod-1&gt;=$E196),"━","")))</f>
        <v/>
      </c>
      <c r="CH196" s="69" t="str">
        <f aca="false">IF($E196="","",IF($M196,IF(AND($G196&gt;=CH$5,$G196&lt;CH$5+GanttPeriod),"◆",IF(AND($E196&gt;=CH$5,$E196&lt;CH$5+GanttPeriod),"◇","")),IF(AND(CH$5&lt;=$F196,CH$5+GanttPeriod-1&gt;=$E196),"━","")))</f>
        <v/>
      </c>
      <c r="CI196" s="69" t="str">
        <f aca="false">IF($E196="","",IF($M196,IF(AND($G196&gt;=CI$5,$G196&lt;CI$5+GanttPeriod),"◆",IF(AND($E196&gt;=CI$5,$E196&lt;CI$5+GanttPeriod),"◇","")),IF(AND(CI$5&lt;=$F196,CI$5+GanttPeriod-1&gt;=$E196),"━","")))</f>
        <v/>
      </c>
      <c r="CJ196" s="69" t="str">
        <f aca="false">IF($E196="","",IF($M196,IF(AND($G196&gt;=CJ$5,$G196&lt;CJ$5+GanttPeriod),"◆",IF(AND($E196&gt;=CJ$5,$E196&lt;CJ$5+GanttPeriod),"◇","")),IF(AND(CJ$5&lt;=$F196,CJ$5+GanttPeriod-1&gt;=$E196),"━","")))</f>
        <v/>
      </c>
      <c r="CK196" s="69" t="str">
        <f aca="false">IF($E196="","",IF($M196,IF(AND($G196&gt;=CK$5,$G196&lt;CK$5+GanttPeriod),"◆",IF(AND($E196&gt;=CK$5,$E196&lt;CK$5+GanttPeriod),"◇","")),IF(AND(CK$5&lt;=$F196,CK$5+GanttPeriod-1&gt;=$E196),"━","")))</f>
        <v/>
      </c>
      <c r="CL196" s="69" t="str">
        <f aca="false">IF($E196="","",IF($M196,IF(AND($G196&gt;=CL$5,$G196&lt;CL$5+GanttPeriod),"◆",IF(AND($E196&gt;=CL$5,$E196&lt;CL$5+GanttPeriod),"◇","")),IF(AND(CL$5&lt;=$F196,CL$5+GanttPeriod-1&gt;=$E196),"━","")))</f>
        <v/>
      </c>
      <c r="CM196" s="69" t="str">
        <f aca="false">IF($E196="","",IF($M196,IF(AND($G196&gt;=CM$5,$G196&lt;CM$5+GanttPeriod),"◆",IF(AND($E196&gt;=CM$5,$E196&lt;CM$5+GanttPeriod),"◇","")),IF(AND(CM$5&lt;=$F196,CM$5+GanttPeriod-1&gt;=$E196),"━","")))</f>
        <v/>
      </c>
      <c r="CN196" s="69" t="str">
        <f aca="false">IF($E196="","",IF($M196,IF(AND($G196&gt;=CN$5,$G196&lt;CN$5+GanttPeriod),"◆",IF(AND($E196&gt;=CN$5,$E196&lt;CN$5+GanttPeriod),"◇","")),IF(AND(CN$5&lt;=$F196,CN$5+GanttPeriod-1&gt;=$E196),"━","")))</f>
        <v/>
      </c>
      <c r="CO196" s="69" t="str">
        <f aca="false">IF($E196="","",IF($M196,IF(AND($G196&gt;=CO$5,$G196&lt;CO$5+GanttPeriod),"◆",IF(AND($E196&gt;=CO$5,$E196&lt;CO$5+GanttPeriod),"◇","")),IF(AND(CO$5&lt;=$F196,CO$5+GanttPeriod-1&gt;=$E196),"━","")))</f>
        <v/>
      </c>
      <c r="CP196" s="69" t="str">
        <f aca="false">IF($E196="","",IF($M196,IF(AND($G196&gt;=CP$5,$G196&lt;CP$5+GanttPeriod),"◆",IF(AND($E196&gt;=CP$5,$E196&lt;CP$5+GanttPeriod),"◇","")),IF(AND(CP$5&lt;=$F196,CP$5+GanttPeriod-1&gt;=$E196),"━","")))</f>
        <v/>
      </c>
      <c r="CQ196" s="69" t="str">
        <f aca="false">IF($E196="","",IF($M196,IF(AND($G196&gt;=CQ$5,$G196&lt;CQ$5+GanttPeriod),"◆",IF(AND($E196&gt;=CQ$5,$E196&lt;CQ$5+GanttPeriod),"◇","")),IF(AND(CQ$5&lt;=$F196,CQ$5+GanttPeriod-1&gt;=$E196),"━","")))</f>
        <v/>
      </c>
      <c r="CR196" s="69" t="str">
        <f aca="false">IF($E196="","",IF($M196,IF(AND($G196&gt;=CR$5,$G196&lt;CR$5+GanttPeriod),"◆",IF(AND($E196&gt;=CR$5,$E196&lt;CR$5+GanttPeriod),"◇","")),IF(AND(CR$5&lt;=$F196,CR$5+GanttPeriod-1&gt;=$E196),"━","")))</f>
        <v/>
      </c>
      <c r="CS196" s="69" t="str">
        <f aca="false">IF($E196="","",IF($M196,IF(AND($G196&gt;=CS$5,$G196&lt;CS$5+GanttPeriod),"◆",IF(AND($E196&gt;=CS$5,$E196&lt;CS$5+GanttPeriod),"◇","")),IF(AND(CS$5&lt;=$F196,CS$5+GanttPeriod-1&gt;=$E196),"━","")))</f>
        <v/>
      </c>
      <c r="CT196" s="69" t="str">
        <f aca="false">IF($E196="","",IF($M196,IF(AND($G196&gt;=CT$5,$G196&lt;CT$5+GanttPeriod),"◆",IF(AND($E196&gt;=CT$5,$E196&lt;CT$5+GanttPeriod),"◇","")),IF(AND(CT$5&lt;=$F196,CT$5+GanttPeriod-1&gt;=$E196),"━","")))</f>
        <v/>
      </c>
      <c r="CU196" s="69" t="str">
        <f aca="false">IF($E196="","",IF($M196,IF(AND($G196&gt;=CU$5,$G196&lt;CU$5+GanttPeriod),"◆",IF(AND($E196&gt;=CU$5,$E196&lt;CU$5+GanttPeriod),"◇","")),IF(AND(CU$5&lt;=$F196,CU$5+GanttPeriod-1&gt;=$E196),"━","")))</f>
        <v/>
      </c>
      <c r="CV196" s="69" t="str">
        <f aca="false">IF($E196="","",IF($M196,IF(AND($G196&gt;=CV$5,$G196&lt;CV$5+GanttPeriod),"◆",IF(AND($E196&gt;=CV$5,$E196&lt;CV$5+GanttPeriod),"◇","")),IF(AND(CV$5&lt;=$F196,CV$5+GanttPeriod-1&gt;=$E196),"━","")))</f>
        <v/>
      </c>
      <c r="CW196" s="69" t="str">
        <f aca="false">IF($E196="","",IF($M196,IF(AND($G196&gt;=CW$5,$G196&lt;CW$5+GanttPeriod),"◆",IF(AND($E196&gt;=CW$5,$E196&lt;CW$5+GanttPeriod),"◇","")),IF(AND(CW$5&lt;=$F196,CW$5+GanttPeriod-1&gt;=$E196),"━","")))</f>
        <v/>
      </c>
      <c r="CX196" s="69" t="str">
        <f aca="false">IF($E196="","",IF($M196,IF(AND($G196&gt;=CX$5,$G196&lt;CX$5+GanttPeriod),"◆",IF(AND($E196&gt;=CX$5,$E196&lt;CX$5+GanttPeriod),"◇","")),IF(AND(CX$5&lt;=$F196,CX$5+GanttPeriod-1&gt;=$E196),"━","")))</f>
        <v/>
      </c>
      <c r="CY196" s="69" t="str">
        <f aca="false">IF($E196="","",IF($M196,IF(AND($G196&gt;=CY$5,$G196&lt;CY$5+GanttPeriod),"◆",IF(AND($E196&gt;=CY$5,$E196&lt;CY$5+GanttPeriod),"◇","")),IF(AND(CY$5&lt;=$F196,CY$5+GanttPeriod-1&gt;=$E196),"━","")))</f>
        <v/>
      </c>
      <c r="CZ196" s="69" t="str">
        <f aca="false">IF($E196="","",IF($M196,IF(AND($G196&gt;=CZ$5,$G196&lt;CZ$5+GanttPeriod),"◆",IF(AND($E196&gt;=CZ$5,$E196&lt;CZ$5+GanttPeriod),"◇","")),IF(AND(CZ$5&lt;=$F196,CZ$5+GanttPeriod-1&gt;=$E196),"━","")))</f>
        <v/>
      </c>
      <c r="DA196" s="69" t="str">
        <f aca="false">IF($E196="","",IF($M196,IF(AND($G196&gt;=DA$5,$G196&lt;DA$5+GanttPeriod),"◆",IF(AND($E196&gt;=DA$5,$E196&lt;DA$5+GanttPeriod),"◇","")),IF(AND(DA$5&lt;=$F196,DA$5+GanttPeriod-1&gt;=$E196),"━","")))</f>
        <v/>
      </c>
      <c r="DB196" s="69" t="str">
        <f aca="false">IF($E196="","",IF($M196,IF(AND($G196&gt;=DB$5,$G196&lt;DB$5+GanttPeriod),"◆",IF(AND($E196&gt;=DB$5,$E196&lt;DB$5+GanttPeriod),"◇","")),IF(AND(DB$5&lt;=$F196,DB$5+GanttPeriod-1&gt;=$E196),"━","")))</f>
        <v/>
      </c>
      <c r="DC196" s="69" t="str">
        <f aca="false">IF($E196="","",IF($M196,IF(AND($G196&gt;=DC$5,$G196&lt;DC$5+GanttPeriod),"◆",IF(AND($E196&gt;=DC$5,$E196&lt;DC$5+GanttPeriod),"◇","")),IF(AND(DC$5&lt;=$F196,DC$5+GanttPeriod-1&gt;=$E196),"━","")))</f>
        <v/>
      </c>
      <c r="DD196" s="69" t="str">
        <f aca="false">IF($E196="","",IF($M196,IF(AND($G196&gt;=DD$5,$G196&lt;DD$5+GanttPeriod),"◆",IF(AND($E196&gt;=DD$5,$E196&lt;DD$5+GanttPeriod),"◇","")),IF(AND(DD$5&lt;=$F196,DD$5+GanttPeriod-1&gt;=$E196),"━","")))</f>
        <v/>
      </c>
      <c r="DE196" s="69" t="str">
        <f aca="false">IF($E196="","",IF($M196,IF(AND($G196&gt;=DE$5,$G196&lt;DE$5+GanttPeriod),"◆",IF(AND($E196&gt;=DE$5,$E196&lt;DE$5+GanttPeriod),"◇","")),IF(AND(DE$5&lt;=$F196,DE$5+GanttPeriod-1&gt;=$E196),"━","")))</f>
        <v/>
      </c>
      <c r="DF196" s="69" t="str">
        <f aca="false">IF($E196="","",IF($M196,IF(AND($G196&gt;=DF$5,$G196&lt;DF$5+GanttPeriod),"◆",IF(AND($E196&gt;=DF$5,$E196&lt;DF$5+GanttPeriod),"◇","")),IF(AND(DF$5&lt;=$F196,DF$5+GanttPeriod-1&gt;=$E196),"━","")))</f>
        <v/>
      </c>
      <c r="DG196" s="69" t="str">
        <f aca="false">IF($E196="","",IF($M196,IF(AND($G196&gt;=DG$5,$G196&lt;DG$5+GanttPeriod),"◆",IF(AND($E196&gt;=DG$5,$E196&lt;DG$5+GanttPeriod),"◇","")),IF(AND(DG$5&lt;=$F196,DG$5+GanttPeriod-1&gt;=$E196),"━","")))</f>
        <v/>
      </c>
      <c r="DH196" s="69" t="str">
        <f aca="false">IF($E196="","",IF($M196,IF(AND($G196&gt;=DH$5,$G196&lt;DH$5+GanttPeriod),"◆",IF(AND($E196&gt;=DH$5,$E196&lt;DH$5+GanttPeriod),"◇","")),IF(AND(DH$5&lt;=$F196,DH$5+GanttPeriod-1&gt;=$E196),"━","")))</f>
        <v/>
      </c>
      <c r="DI196" s="69" t="str">
        <f aca="false">IF($E196="","",IF($M196,IF(AND($G196&gt;=DI$5,$G196&lt;DI$5+GanttPeriod),"◆",IF(AND($E196&gt;=DI$5,$E196&lt;DI$5+GanttPeriod),"◇","")),IF(AND(DI$5&lt;=$F196,DI$5+GanttPeriod-1&gt;=$E196),"━","")))</f>
        <v/>
      </c>
      <c r="DJ196" s="69" t="str">
        <f aca="false">IF($E196="","",IF($M196,IF(AND($G196&gt;=DJ$5,$G196&lt;DJ$5+GanttPeriod),"◆",IF(AND($E196&gt;=DJ$5,$E196&lt;DJ$5+GanttPeriod),"◇","")),IF(AND(DJ$5&lt;=$F196,DJ$5+GanttPeriod-1&gt;=$E196),"━","")))</f>
        <v/>
      </c>
      <c r="DK196" s="69" t="str">
        <f aca="false">IF($E196="","",IF($M196,IF(AND($G196&gt;=DK$5,$G196&lt;DK$5+GanttPeriod),"◆",IF(AND($E196&gt;=DK$5,$E196&lt;DK$5+GanttPeriod),"◇","")),IF(AND(DK$5&lt;=$F196,DK$5+GanttPeriod-1&gt;=$E196),"━","")))</f>
        <v/>
      </c>
      <c r="DL196" s="69" t="str">
        <f aca="false">IF($E196="","",IF($M196,IF(AND($G196&gt;=DL$5,$G196&lt;DL$5+GanttPeriod),"◆",IF(AND($E196&gt;=DL$5,$E196&lt;DL$5+GanttPeriod),"◇","")),IF(AND(DL$5&lt;=$F196,DL$5+GanttPeriod-1&gt;=$E196),"━","")))</f>
        <v/>
      </c>
      <c r="DM196" s="69" t="str">
        <f aca="false">IF($E196="","",IF($M196,IF(AND($G196&gt;=DM$5,$G196&lt;DM$5+GanttPeriod),"◆",IF(AND($E196&gt;=DM$5,$E196&lt;DM$5+GanttPeriod),"◇","")),IF(AND(DM$5&lt;=$F196,DM$5+GanttPeriod-1&gt;=$E196),"━","")))</f>
        <v/>
      </c>
      <c r="DN196" s="69" t="str">
        <f aca="false">IF($E196="","",IF($M196,IF(AND($G196&gt;=DN$5,$G196&lt;DN$5+GanttPeriod),"◆",IF(AND($E196&gt;=DN$5,$E196&lt;DN$5+GanttPeriod),"◇","")),IF(AND(DN$5&lt;=$F196,DN$5+GanttPeriod-1&gt;=$E196),"━","")))</f>
        <v/>
      </c>
      <c r="DO196" s="69" t="str">
        <f aca="false">IF($E196="","",IF($M196,IF(AND($G196&gt;=DO$5,$G196&lt;DO$5+GanttPeriod),"◆",IF(AND($E196&gt;=DO$5,$E196&lt;DO$5+GanttPeriod),"◇","")),IF(AND(DO$5&lt;=$F196,DO$5+GanttPeriod-1&gt;=$E196),"━","")))</f>
        <v/>
      </c>
      <c r="DP196" s="69" t="str">
        <f aca="false">IF($E196="","",IF($M196,IF(AND($G196&gt;=DP$5,$G196&lt;DP$5+GanttPeriod),"◆",IF(AND($E196&gt;=DP$5,$E196&lt;DP$5+GanttPeriod),"◇","")),IF(AND(DP$5&lt;=$F196,DP$5+GanttPeriod-1&gt;=$E196),"━","")))</f>
        <v/>
      </c>
      <c r="DQ196" s="69" t="str">
        <f aca="false">IF($E196="","",IF($M196,IF(AND($G196&gt;=DQ$5,$G196&lt;DQ$5+GanttPeriod),"◆",IF(AND($E196&gt;=DQ$5,$E196&lt;DQ$5+GanttPeriod),"◇","")),IF(AND(DQ$5&lt;=$F196,DQ$5+GanttPeriod-1&gt;=$E196),"━","")))</f>
        <v/>
      </c>
      <c r="DR196" s="69" t="str">
        <f aca="false">IF($E196="","",IF($M196,IF(AND($G196&gt;=DR$5,$G196&lt;DR$5+GanttPeriod),"◆",IF(AND($E196&gt;=DR$5,$E196&lt;DR$5+GanttPeriod),"◇","")),IF(AND(DR$5&lt;=$F196,DR$5+GanttPeriod-1&gt;=$E196),"━","")))</f>
        <v/>
      </c>
      <c r="DS196" s="69" t="str">
        <f aca="false">IF($E196="","",IF($M196,IF(AND($G196&gt;=DS$5,$G196&lt;DS$5+GanttPeriod),"◆",IF(AND($E196&gt;=DS$5,$E196&lt;DS$5+GanttPeriod),"◇","")),IF(AND(DS$5&lt;=$F196,DS$5+GanttPeriod-1&gt;=$E196),"━","")))</f>
        <v/>
      </c>
      <c r="DT196" s="69" t="str">
        <f aca="false">IF($E196="","",IF($M196,IF(AND($G196&gt;=DT$5,$G196&lt;DT$5+GanttPeriod),"◆",IF(AND($E196&gt;=DT$5,$E196&lt;DT$5+GanttPeriod),"◇","")),IF(AND(DT$5&lt;=$F196,DT$5+GanttPeriod-1&gt;=$E196),"━","")))</f>
        <v/>
      </c>
      <c r="DU196" s="69" t="str">
        <f aca="false">IF($E196="","",IF($M196,IF(AND($G196&gt;=DU$5,$G196&lt;DU$5+GanttPeriod),"◆",IF(AND($E196&gt;=DU$5,$E196&lt;DU$5+GanttPeriod),"◇","")),IF(AND(DU$5&lt;=$F196,DU$5+GanttPeriod-1&gt;=$E196),"━","")))</f>
        <v/>
      </c>
      <c r="DV196" s="69" t="str">
        <f aca="false">IF($E196="","",IF($M196,IF(AND($G196&gt;=DV$5,$G196&lt;DV$5+GanttPeriod),"◆",IF(AND($E196&gt;=DV$5,$E196&lt;DV$5+GanttPeriod),"◇","")),IF(AND(DV$5&lt;=$F196,DV$5+GanttPeriod-1&gt;=$E196),"━","")))</f>
        <v/>
      </c>
      <c r="DW196" s="69" t="str">
        <f aca="false">IF($E196="","",IF($M196,IF(AND($G196&gt;=DW$5,$G196&lt;DW$5+GanttPeriod),"◆",IF(AND($E196&gt;=DW$5,$E196&lt;DW$5+GanttPeriod),"◇","")),IF(AND(DW$5&lt;=$F196,DW$5+GanttPeriod-1&gt;=$E196),"━","")))</f>
        <v/>
      </c>
      <c r="DX196" s="69" t="str">
        <f aca="false">IF($E196="","",IF($M196,IF(AND($G196&gt;=DX$5,$G196&lt;DX$5+GanttPeriod),"◆",IF(AND($E196&gt;=DX$5,$E196&lt;DX$5+GanttPeriod),"◇","")),IF(AND(DX$5&lt;=$F196,DX$5+GanttPeriod-1&gt;=$E196),"━","")))</f>
        <v/>
      </c>
      <c r="DY196" s="69" t="str">
        <f aca="false">IF($E196="","",IF($M196,IF(AND($G196&gt;=DY$5,$G196&lt;DY$5+GanttPeriod),"◆",IF(AND($E196&gt;=DY$5,$E196&lt;DY$5+GanttPeriod),"◇","")),IF(AND(DY$5&lt;=$F196,DY$5+GanttPeriod-1&gt;=$E196),"━","")))</f>
        <v/>
      </c>
      <c r="DZ196" s="69" t="str">
        <f aca="false">IF($E196="","",IF($M196,IF(AND($G196&gt;=DZ$5,$G196&lt;DZ$5+GanttPeriod),"◆",IF(AND($E196&gt;=DZ$5,$E196&lt;DZ$5+GanttPeriod),"◇","")),IF(AND(DZ$5&lt;=$F196,DZ$5+GanttPeriod-1&gt;=$E196),"━","")))</f>
        <v/>
      </c>
      <c r="EA196" s="69" t="str">
        <f aca="false">IF($E196="","",IF($M196,IF(AND($G196&gt;=EA$5,$G196&lt;EA$5+GanttPeriod),"◆",IF(AND($E196&gt;=EA$5,$E196&lt;EA$5+GanttPeriod),"◇","")),IF(AND(EA$5&lt;=$F196,EA$5+GanttPeriod-1&gt;=$E196),"━","")))</f>
        <v/>
      </c>
      <c r="EB196" s="69" t="str">
        <f aca="false">IF($E196="","",IF($M196,IF(AND($G196&gt;=EB$5,$G196&lt;EB$5+GanttPeriod),"◆",IF(AND($E196&gt;=EB$5,$E196&lt;EB$5+GanttPeriod),"◇","")),IF(AND(EB$5&lt;=$F196,EB$5+GanttPeriod-1&gt;=$E196),"━","")))</f>
        <v/>
      </c>
      <c r="EC196" s="69" t="str">
        <f aca="false">IF($E196="","",IF($M196,IF(AND($G196&gt;=EC$5,$G196&lt;EC$5+GanttPeriod),"◆",IF(AND($E196&gt;=EC$5,$E196&lt;EC$5+GanttPeriod),"◇","")),IF(AND(EC$5&lt;=$F196,EC$5+GanttPeriod-1&gt;=$E196),"━","")))</f>
        <v/>
      </c>
      <c r="ED196" s="69" t="str">
        <f aca="false">IF($E196="","",IF($M196,IF(AND($G196&gt;=ED$5,$G196&lt;ED$5+GanttPeriod),"◆",IF(AND($E196&gt;=ED$5,$E196&lt;ED$5+GanttPeriod),"◇","")),IF(AND(ED$5&lt;=$F196,ED$5+GanttPeriod-1&gt;=$E196),"━","")))</f>
        <v/>
      </c>
      <c r="EE196" s="69" t="str">
        <f aca="false">IF($E196="","",IF($M196,IF(AND($G196&gt;=EE$5,$G196&lt;EE$5+GanttPeriod),"◆",IF(AND($E196&gt;=EE$5,$E196&lt;EE$5+GanttPeriod),"◇","")),IF(AND(EE$5&lt;=$F196,EE$5+GanttPeriod-1&gt;=$E196),"━","")))</f>
        <v/>
      </c>
      <c r="EF196" s="69" t="str">
        <f aca="false">IF($E196="","",IF($M196,IF(AND($G196&gt;=EF$5,$G196&lt;EF$5+GanttPeriod),"◆",IF(AND($E196&gt;=EF$5,$E196&lt;EF$5+GanttPeriod),"◇","")),IF(AND(EF$5&lt;=$F196,EF$5+GanttPeriod-1&gt;=$E196),"━","")))</f>
        <v/>
      </c>
      <c r="EG196" s="69" t="str">
        <f aca="false">IF($E196="","",IF($M196,IF(AND($G196&gt;=EG$5,$G196&lt;EG$5+GanttPeriod),"◆",IF(AND($E196&gt;=EG$5,$E196&lt;EG$5+GanttPeriod),"◇","")),IF(AND(EG$5&lt;=$F196,EG$5+GanttPeriod-1&gt;=$E196),"━","")))</f>
        <v/>
      </c>
      <c r="EH196" s="69" t="str">
        <f aca="false">IF($E196="","",IF($M196,IF(AND($G196&gt;=EH$5,$G196&lt;EH$5+GanttPeriod),"◆",IF(AND($E196&gt;=EH$5,$E196&lt;EH$5+GanttPeriod),"◇","")),IF(AND(EH$5&lt;=$F196,EH$5+GanttPeriod-1&gt;=$E196),"━","")))</f>
        <v/>
      </c>
      <c r="EI196" s="69" t="str">
        <f aca="false">IF($E196="","",IF($M196,IF(AND($G196&gt;=EI$5,$G196&lt;EI$5+GanttPeriod),"◆",IF(AND($E196&gt;=EI$5,$E196&lt;EI$5+GanttPeriod),"◇","")),IF(AND(EI$5&lt;=$F196,EI$5+GanttPeriod-1&gt;=$E196),"━","")))</f>
        <v/>
      </c>
      <c r="EJ196" s="69" t="str">
        <f aca="false">IF($E196="","",IF($M196,IF(AND($G196&gt;=EJ$5,$G196&lt;EJ$5+GanttPeriod),"◆",IF(AND($E196&gt;=EJ$5,$E196&lt;EJ$5+GanttPeriod),"◇","")),IF(AND(EJ$5&lt;=$F196,EJ$5+GanttPeriod-1&gt;=$E196),"━","")))</f>
        <v/>
      </c>
      <c r="EK196" s="69" t="str">
        <f aca="false">IF($E196="","",IF($M196,IF(AND($G196&gt;=EK$5,$G196&lt;EK$5+GanttPeriod),"◆",IF(AND($E196&gt;=EK$5,$E196&lt;EK$5+GanttPeriod),"◇","")),IF(AND(EK$5&lt;=$F196,EK$5+GanttPeriod-1&gt;=$E196),"━","")))</f>
        <v/>
      </c>
      <c r="EL196" s="69" t="str">
        <f aca="false">IF($E196="","",IF($M196,IF(AND($G196&gt;=EL$5,$G196&lt;EL$5+GanttPeriod),"◆",IF(AND($E196&gt;=EL$5,$E196&lt;EL$5+GanttPeriod),"◇","")),IF(AND(EL$5&lt;=$F196,EL$5+GanttPeriod-1&gt;=$E196),"━","")))</f>
        <v/>
      </c>
      <c r="EM196" s="69" t="str">
        <f aca="false">IF($E196="","",IF($M196,IF(AND($G196&gt;=EM$5,$G196&lt;EM$5+GanttPeriod),"◆",IF(AND($E196&gt;=EM$5,$E196&lt;EM$5+GanttPeriod),"◇","")),IF(AND(EM$5&lt;=$F196,EM$5+GanttPeriod-1&gt;=$E196),"━","")))</f>
        <v/>
      </c>
      <c r="EN196" s="69" t="str">
        <f aca="false">IF($E196="","",IF($M196,IF(AND($G196&gt;=EN$5,$G196&lt;EN$5+GanttPeriod),"◆",IF(AND($E196&gt;=EN$5,$E196&lt;EN$5+GanttPeriod),"◇","")),IF(AND(EN$5&lt;=$F196,EN$5+GanttPeriod-1&gt;=$E196),"━","")))</f>
        <v/>
      </c>
      <c r="EO196" s="69" t="str">
        <f aca="false">IF($E196="","",IF($M196,IF(AND($G196&gt;=EO$5,$G196&lt;EO$5+GanttPeriod),"◆",IF(AND($E196&gt;=EO$5,$E196&lt;EO$5+GanttPeriod),"◇","")),IF(AND(EO$5&lt;=$F196,EO$5+GanttPeriod-1&gt;=$E196),"━","")))</f>
        <v/>
      </c>
      <c r="EP196" s="69" t="str">
        <f aca="false">IF($E196="","",IF($M196,IF(AND($G196&gt;=EP$5,$G196&lt;EP$5+GanttPeriod),"◆",IF(AND($E196&gt;=EP$5,$E196&lt;EP$5+GanttPeriod),"◇","")),IF(AND(EP$5&lt;=$F196,EP$5+GanttPeriod-1&gt;=$E196),"━","")))</f>
        <v/>
      </c>
      <c r="EQ196" s="69" t="str">
        <f aca="false">IF($E196="","",IF($M196,IF(AND($G196&gt;=EQ$5,$G196&lt;EQ$5+GanttPeriod),"◆",IF(AND($E196&gt;=EQ$5,$E196&lt;EQ$5+GanttPeriod),"◇","")),IF(AND(EQ$5&lt;=$F196,EQ$5+GanttPeriod-1&gt;=$E196),"━","")))</f>
        <v/>
      </c>
      <c r="ER196" s="69" t="str">
        <f aca="false">IF($E196="","",IF($M196,IF(AND($G196&gt;=ER$5,$G196&lt;ER$5+GanttPeriod),"◆",IF(AND($E196&gt;=ER$5,$E196&lt;ER$5+GanttPeriod),"◇","")),IF(AND(ER$5&lt;=$F196,ER$5+GanttPeriod-1&gt;=$E196),"━","")))</f>
        <v/>
      </c>
      <c r="ES196" s="69" t="str">
        <f aca="false">IF($E196="","",IF($M196,IF(AND($G196&gt;=ES$5,$G196&lt;ES$5+GanttPeriod),"◆",IF(AND($E196&gt;=ES$5,$E196&lt;ES$5+GanttPeriod),"◇","")),IF(AND(ES$5&lt;=$F196,ES$5+GanttPeriod-1&gt;=$E196),"━","")))</f>
        <v/>
      </c>
      <c r="ET196" s="69" t="str">
        <f aca="false">IF($E196="","",IF($M196,IF(AND($G196&gt;=ET$5,$G196&lt;ET$5+GanttPeriod),"◆",IF(AND($E196&gt;=ET$5,$E196&lt;ET$5+GanttPeriod),"◇","")),IF(AND(ET$5&lt;=$F196,ET$5+GanttPeriod-1&gt;=$E196),"━","")))</f>
        <v/>
      </c>
      <c r="EU196" s="69" t="str">
        <f aca="false">IF($E196="","",IF($M196,IF(AND($G196&gt;=EU$5,$G196&lt;EU$5+GanttPeriod),"◆",IF(AND($E196&gt;=EU$5,$E196&lt;EU$5+GanttPeriod),"◇","")),IF(AND(EU$5&lt;=$F196,EU$5+GanttPeriod-1&gt;=$E196),"━","")))</f>
        <v/>
      </c>
      <c r="EV196" s="69" t="str">
        <f aca="false">IF($E196="","",IF($M196,IF(AND($G196&gt;=EV$5,$G196&lt;EV$5+GanttPeriod),"◆",IF(AND($E196&gt;=EV$5,$E196&lt;EV$5+GanttPeriod),"◇","")),IF(AND(EV$5&lt;=$F196,EV$5+GanttPeriod-1&gt;=$E196),"━","")))</f>
        <v/>
      </c>
      <c r="EW196" s="69" t="str">
        <f aca="false">IF($E196="","",IF($M196,IF(AND($G196&gt;=EW$5,$G196&lt;EW$5+GanttPeriod),"◆",IF(AND($E196&gt;=EW$5,$E196&lt;EW$5+GanttPeriod),"◇","")),IF(AND(EW$5&lt;=$F196,EW$5+GanttPeriod-1&gt;=$E196),"━","")))</f>
        <v/>
      </c>
      <c r="EX196" s="69" t="str">
        <f aca="false">IF($E196="","",IF($M196,IF(AND($G196&gt;=EX$5,$G196&lt;EX$5+GanttPeriod),"◆",IF(AND($E196&gt;=EX$5,$E196&lt;EX$5+GanttPeriod),"◇","")),IF(AND(EX$5&lt;=$F196,EX$5+GanttPeriod-1&gt;=$E196),"━","")))</f>
        <v/>
      </c>
      <c r="EY196" s="69" t="str">
        <f aca="false">IF($E196="","",IF($M196,IF(AND($G196&gt;=EY$5,$G196&lt;EY$5+GanttPeriod),"◆",IF(AND($E196&gt;=EY$5,$E196&lt;EY$5+GanttPeriod),"◇","")),IF(AND(EY$5&lt;=$F196,EY$5+GanttPeriod-1&gt;=$E196),"━","")))</f>
        <v/>
      </c>
      <c r="EZ196" s="69" t="str">
        <f aca="false">IF($E196="","",IF($M196,IF(AND($G196&gt;=EZ$5,$G196&lt;EZ$5+GanttPeriod),"◆",IF(AND($E196&gt;=EZ$5,$E196&lt;EZ$5+GanttPeriod),"◇","")),IF(AND(EZ$5&lt;=$F196,EZ$5+GanttPeriod-1&gt;=$E196),"━","")))</f>
        <v/>
      </c>
      <c r="FA196" s="69" t="str">
        <f aca="false">IF($E196="","",IF($M196,IF(AND($G196&gt;=FA$5,$G196&lt;FA$5+GanttPeriod),"◆",IF(AND($E196&gt;=FA$5,$E196&lt;FA$5+GanttPeriod),"◇","")),IF(AND(FA$5&lt;=$F196,FA$5+GanttPeriod-1&gt;=$E196),"━","")))</f>
        <v/>
      </c>
      <c r="FB196" s="69" t="str">
        <f aca="false">IF($E196="","",IF($M196,IF(AND($G196&gt;=FB$5,$G196&lt;FB$5+GanttPeriod),"◆",IF(AND($E196&gt;=FB$5,$E196&lt;FB$5+GanttPeriod),"◇","")),IF(AND(FB$5&lt;=$F196,FB$5+GanttPeriod-1&gt;=$E196),"━","")))</f>
        <v/>
      </c>
      <c r="FC196" s="69" t="str">
        <f aca="false">IF($E196="","",IF($M196,IF(AND($G196&gt;=FC$5,$G196&lt;FC$5+GanttPeriod),"◆",IF(AND($E196&gt;=FC$5,$E196&lt;FC$5+GanttPeriod),"◇","")),IF(AND(FC$5&lt;=$F196,FC$5+GanttPeriod-1&gt;=$E196),"━","")))</f>
        <v/>
      </c>
      <c r="FD196" s="69" t="str">
        <f aca="false">IF($E196="","",IF($M196,IF(AND($G196&gt;=FD$5,$G196&lt;FD$5+GanttPeriod),"◆",IF(AND($E196&gt;=FD$5,$E196&lt;FD$5+GanttPeriod),"◇","")),IF(AND(FD$5&lt;=$F196,FD$5+GanttPeriod-1&gt;=$E196),"━","")))</f>
        <v/>
      </c>
      <c r="FE196" s="69" t="str">
        <f aca="false">IF($E196="","",IF($M196,IF(AND($G196&gt;=FE$5,$G196&lt;FE$5+GanttPeriod),"◆",IF(AND($E196&gt;=FE$5,$E196&lt;FE$5+GanttPeriod),"◇","")),IF(AND(FE$5&lt;=$F196,FE$5+GanttPeriod-1&gt;=$E196),"━","")))</f>
        <v/>
      </c>
      <c r="FF196" s="69" t="str">
        <f aca="false">IF($E196="","",IF($M196,IF(AND($G196&gt;=FF$5,$G196&lt;FF$5+GanttPeriod),"◆",IF(AND($E196&gt;=FF$5,$E196&lt;FF$5+GanttPeriod),"◇","")),IF(AND(FF$5&lt;=$F196,FF$5+GanttPeriod-1&gt;=$E196),"━","")))</f>
        <v/>
      </c>
      <c r="FG196" s="69" t="str">
        <f aca="false">IF($E196="","",IF($M196,IF(AND($G196&gt;=FG$5,$G196&lt;FG$5+GanttPeriod),"◆",IF(AND($E196&gt;=FG$5,$E196&lt;FG$5+GanttPeriod),"◇","")),IF(AND(FG$5&lt;=$F196,FG$5+GanttPeriod-1&gt;=$E196),"━","")))</f>
        <v/>
      </c>
      <c r="FH196" s="69" t="str">
        <f aca="false">IF($E196="","",IF($M196,IF(AND($G196&gt;=FH$5,$G196&lt;FH$5+GanttPeriod),"◆",IF(AND($E196&gt;=FH$5,$E196&lt;FH$5+GanttPeriod),"◇","")),IF(AND(FH$5&lt;=$F196,FH$5+GanttPeriod-1&gt;=$E196),"━","")))</f>
        <v/>
      </c>
      <c r="FI196" s="69" t="str">
        <f aca="false">IF($E196="","",IF($M196,IF(AND($G196&gt;=FI$5,$G196&lt;FI$5+GanttPeriod),"◆",IF(AND($E196&gt;=FI$5,$E196&lt;FI$5+GanttPeriod),"◇","")),IF(AND(FI$5&lt;=$F196,FI$5+GanttPeriod-1&gt;=$E196),"━","")))</f>
        <v/>
      </c>
      <c r="FJ196" s="69" t="str">
        <f aca="false">IF($E196="","",IF($M196,IF(AND($G196&gt;=FJ$5,$G196&lt;FJ$5+GanttPeriod),"◆",IF(AND($E196&gt;=FJ$5,$E196&lt;FJ$5+GanttPeriod),"◇","")),IF(AND(FJ$5&lt;=$F196,FJ$5+GanttPeriod-1&gt;=$E196),"━","")))</f>
        <v/>
      </c>
      <c r="FK196" s="69" t="str">
        <f aca="false">IF($E196="","",IF($M196,IF(AND($G196&gt;=FK$5,$G196&lt;FK$5+GanttPeriod),"◆",IF(AND($E196&gt;=FK$5,$E196&lt;FK$5+GanttPeriod),"◇","")),IF(AND(FK$5&lt;=$F196,FK$5+GanttPeriod-1&gt;=$E196),"━","")))</f>
        <v/>
      </c>
      <c r="FL196" s="69" t="str">
        <f aca="false">IF($E196="","",IF($M196,IF(AND($G196&gt;=FL$5,$G196&lt;FL$5+GanttPeriod),"◆",IF(AND($E196&gt;=FL$5,$E196&lt;FL$5+GanttPeriod),"◇","")),IF(AND(FL$5&lt;=$F196,FL$5+GanttPeriod-1&gt;=$E196),"━","")))</f>
        <v/>
      </c>
      <c r="FM196" s="69" t="str">
        <f aca="false">IF($E196="","",IF($M196,IF(AND($G196&gt;=FM$5,$G196&lt;FM$5+GanttPeriod),"◆",IF(AND($E196&gt;=FM$5,$E196&lt;FM$5+GanttPeriod),"◇","")),IF(AND(FM$5&lt;=$F196,FM$5+GanttPeriod-1&gt;=$E196),"━","")))</f>
        <v/>
      </c>
    </row>
    <row r="197" customFormat="false" ht="15" hidden="false" customHeight="false" outlineLevel="0" collapsed="false">
      <c r="A197" s="62" t="str">
        <f aca="false">IF(Tasks!$D197="","",Tasks!$A197)</f>
        <v/>
      </c>
      <c r="B197" s="62" t="str">
        <f aca="false">IF(Tasks!$D197="","",Tasks!$B197)</f>
        <v/>
      </c>
      <c r="C197" s="63" t="str">
        <f aca="false">IF(Tasks!$D197="","",REPT("    ",Tasks!$AE197-1)&amp;Tasks!$D197)</f>
        <v/>
      </c>
      <c r="D197" s="62" t="str">
        <f aca="false">IF(Tasks!$D197="","",IF(Tasks!$AI197,NETWORKDAYS.INTL(Tasks!$R197,Tasks!$S197,WorkWeek,Holidays),N(Tasks!$F197)))</f>
        <v/>
      </c>
      <c r="E197" s="64" t="str">
        <f aca="false">IF(Tasks!$D197="","",Tasks!$N197)</f>
        <v/>
      </c>
      <c r="F197" s="64" t="str">
        <f aca="false">IF(Tasks!$D197="","",Tasks!$O197)</f>
        <v/>
      </c>
      <c r="G197" s="64" t="str">
        <f aca="false">IF(Tasks!$D197="","",Tasks!$R197)</f>
        <v/>
      </c>
      <c r="H197" s="64" t="str">
        <f aca="false">IF(Tasks!$D197="","",Tasks!$S197)</f>
        <v/>
      </c>
      <c r="I197" s="65" t="str">
        <f aca="false">IF(Tasks!$D197="","",Tasks!$V197)</f>
        <v/>
      </c>
      <c r="J197" s="63" t="str">
        <f aca="false">IF(Tasks!$D197="","",Tasks!$X197&amp;"")</f>
        <v/>
      </c>
      <c r="K197" s="66" t="str">
        <f aca="false">IF(Tasks!$D197="","",Tasks!$W197)</f>
        <v/>
      </c>
      <c r="L197" s="67" t="b">
        <f aca="false">IF(Tasks!$D197="",FALSE(),Tasks!$AI197)</f>
        <v>0</v>
      </c>
      <c r="M197" s="67" t="b">
        <f aca="false">AND(Tasks!$AJ197=1,N(Tasks!$F197)=0)</f>
        <v>0</v>
      </c>
      <c r="N197" s="68" t="n">
        <f aca="false">IF(AND(Tasks!$AJ197=1,NOT($M197),N($I197)&gt;0),$G197,0)</f>
        <v>0</v>
      </c>
      <c r="O197" s="68" t="n">
        <f aca="false">IF($N197=0,0,IF($I197&gt;=1,$H197,MAX($N197,$G197+ROUND(($H197-$G197+1)*$I197,0)-1)))</f>
        <v>0</v>
      </c>
      <c r="P197" s="68" t="n">
        <f aca="false">IF(OR(Tasks!$AJ197&lt;&gt;1,$M197,N($I197)&gt;=1),0,IF($O197&gt;0,$O197+1,$G197))</f>
        <v>0</v>
      </c>
      <c r="Q197" s="68" t="n">
        <f aca="false">IF($P197=0,0,$H197)</f>
        <v>0</v>
      </c>
      <c r="R197" s="67" t="b">
        <f aca="false">AND(Tasks!$D197&lt;&gt;"",N(Tasks!$T197)&gt;0)</f>
        <v>0</v>
      </c>
      <c r="T197" s="69" t="str">
        <f aca="false">IF($E197="","",IF($M197,IF(AND($G197&gt;=T$5,$G197&lt;T$5+GanttPeriod),"◆",IF(AND($E197&gt;=T$5,$E197&lt;T$5+GanttPeriod),"◇","")),IF(AND(T$5&lt;=$F197,T$5+GanttPeriod-1&gt;=$E197),"━","")))</f>
        <v/>
      </c>
      <c r="U197" s="69" t="str">
        <f aca="false">IF($E197="","",IF($M197,IF(AND($G197&gt;=U$5,$G197&lt;U$5+GanttPeriod),"◆",IF(AND($E197&gt;=U$5,$E197&lt;U$5+GanttPeriod),"◇","")),IF(AND(U$5&lt;=$F197,U$5+GanttPeriod-1&gt;=$E197),"━","")))</f>
        <v/>
      </c>
      <c r="V197" s="69" t="str">
        <f aca="false">IF($E197="","",IF($M197,IF(AND($G197&gt;=V$5,$G197&lt;V$5+GanttPeriod),"◆",IF(AND($E197&gt;=V$5,$E197&lt;V$5+GanttPeriod),"◇","")),IF(AND(V$5&lt;=$F197,V$5+GanttPeriod-1&gt;=$E197),"━","")))</f>
        <v/>
      </c>
      <c r="W197" s="69" t="str">
        <f aca="false">IF($E197="","",IF($M197,IF(AND($G197&gt;=W$5,$G197&lt;W$5+GanttPeriod),"◆",IF(AND($E197&gt;=W$5,$E197&lt;W$5+GanttPeriod),"◇","")),IF(AND(W$5&lt;=$F197,W$5+GanttPeriod-1&gt;=$E197),"━","")))</f>
        <v/>
      </c>
      <c r="X197" s="69" t="str">
        <f aca="false">IF($E197="","",IF($M197,IF(AND($G197&gt;=X$5,$G197&lt;X$5+GanttPeriod),"◆",IF(AND($E197&gt;=X$5,$E197&lt;X$5+GanttPeriod),"◇","")),IF(AND(X$5&lt;=$F197,X$5+GanttPeriod-1&gt;=$E197),"━","")))</f>
        <v/>
      </c>
      <c r="Y197" s="69" t="str">
        <f aca="false">IF($E197="","",IF($M197,IF(AND($G197&gt;=Y$5,$G197&lt;Y$5+GanttPeriod),"◆",IF(AND($E197&gt;=Y$5,$E197&lt;Y$5+GanttPeriod),"◇","")),IF(AND(Y$5&lt;=$F197,Y$5+GanttPeriod-1&gt;=$E197),"━","")))</f>
        <v/>
      </c>
      <c r="Z197" s="69" t="str">
        <f aca="false">IF($E197="","",IF($M197,IF(AND($G197&gt;=Z$5,$G197&lt;Z$5+GanttPeriod),"◆",IF(AND($E197&gt;=Z$5,$E197&lt;Z$5+GanttPeriod),"◇","")),IF(AND(Z$5&lt;=$F197,Z$5+GanttPeriod-1&gt;=$E197),"━","")))</f>
        <v/>
      </c>
      <c r="AA197" s="69" t="str">
        <f aca="false">IF($E197="","",IF($M197,IF(AND($G197&gt;=AA$5,$G197&lt;AA$5+GanttPeriod),"◆",IF(AND($E197&gt;=AA$5,$E197&lt;AA$5+GanttPeriod),"◇","")),IF(AND(AA$5&lt;=$F197,AA$5+GanttPeriod-1&gt;=$E197),"━","")))</f>
        <v/>
      </c>
      <c r="AB197" s="69" t="str">
        <f aca="false">IF($E197="","",IF($M197,IF(AND($G197&gt;=AB$5,$G197&lt;AB$5+GanttPeriod),"◆",IF(AND($E197&gt;=AB$5,$E197&lt;AB$5+GanttPeriod),"◇","")),IF(AND(AB$5&lt;=$F197,AB$5+GanttPeriod-1&gt;=$E197),"━","")))</f>
        <v/>
      </c>
      <c r="AC197" s="69" t="str">
        <f aca="false">IF($E197="","",IF($M197,IF(AND($G197&gt;=AC$5,$G197&lt;AC$5+GanttPeriod),"◆",IF(AND($E197&gt;=AC$5,$E197&lt;AC$5+GanttPeriod),"◇","")),IF(AND(AC$5&lt;=$F197,AC$5+GanttPeriod-1&gt;=$E197),"━","")))</f>
        <v/>
      </c>
      <c r="AD197" s="69" t="str">
        <f aca="false">IF($E197="","",IF($M197,IF(AND($G197&gt;=AD$5,$G197&lt;AD$5+GanttPeriod),"◆",IF(AND($E197&gt;=AD$5,$E197&lt;AD$5+GanttPeriod),"◇","")),IF(AND(AD$5&lt;=$F197,AD$5+GanttPeriod-1&gt;=$E197),"━","")))</f>
        <v/>
      </c>
      <c r="AE197" s="69" t="str">
        <f aca="false">IF($E197="","",IF($M197,IF(AND($G197&gt;=AE$5,$G197&lt;AE$5+GanttPeriod),"◆",IF(AND($E197&gt;=AE$5,$E197&lt;AE$5+GanttPeriod),"◇","")),IF(AND(AE$5&lt;=$F197,AE$5+GanttPeriod-1&gt;=$E197),"━","")))</f>
        <v/>
      </c>
      <c r="AF197" s="69" t="str">
        <f aca="false">IF($E197="","",IF($M197,IF(AND($G197&gt;=AF$5,$G197&lt;AF$5+GanttPeriod),"◆",IF(AND($E197&gt;=AF$5,$E197&lt;AF$5+GanttPeriod),"◇","")),IF(AND(AF$5&lt;=$F197,AF$5+GanttPeriod-1&gt;=$E197),"━","")))</f>
        <v/>
      </c>
      <c r="AG197" s="69" t="str">
        <f aca="false">IF($E197="","",IF($M197,IF(AND($G197&gt;=AG$5,$G197&lt;AG$5+GanttPeriod),"◆",IF(AND($E197&gt;=AG$5,$E197&lt;AG$5+GanttPeriod),"◇","")),IF(AND(AG$5&lt;=$F197,AG$5+GanttPeriod-1&gt;=$E197),"━","")))</f>
        <v/>
      </c>
      <c r="AH197" s="69" t="str">
        <f aca="false">IF($E197="","",IF($M197,IF(AND($G197&gt;=AH$5,$G197&lt;AH$5+GanttPeriod),"◆",IF(AND($E197&gt;=AH$5,$E197&lt;AH$5+GanttPeriod),"◇","")),IF(AND(AH$5&lt;=$F197,AH$5+GanttPeriod-1&gt;=$E197),"━","")))</f>
        <v/>
      </c>
      <c r="AI197" s="69" t="str">
        <f aca="false">IF($E197="","",IF($M197,IF(AND($G197&gt;=AI$5,$G197&lt;AI$5+GanttPeriod),"◆",IF(AND($E197&gt;=AI$5,$E197&lt;AI$5+GanttPeriod),"◇","")),IF(AND(AI$5&lt;=$F197,AI$5+GanttPeriod-1&gt;=$E197),"━","")))</f>
        <v/>
      </c>
      <c r="AJ197" s="69" t="str">
        <f aca="false">IF($E197="","",IF($M197,IF(AND($G197&gt;=AJ$5,$G197&lt;AJ$5+GanttPeriod),"◆",IF(AND($E197&gt;=AJ$5,$E197&lt;AJ$5+GanttPeriod),"◇","")),IF(AND(AJ$5&lt;=$F197,AJ$5+GanttPeriod-1&gt;=$E197),"━","")))</f>
        <v/>
      </c>
      <c r="AK197" s="69" t="str">
        <f aca="false">IF($E197="","",IF($M197,IF(AND($G197&gt;=AK$5,$G197&lt;AK$5+GanttPeriod),"◆",IF(AND($E197&gt;=AK$5,$E197&lt;AK$5+GanttPeriod),"◇","")),IF(AND(AK$5&lt;=$F197,AK$5+GanttPeriod-1&gt;=$E197),"━","")))</f>
        <v/>
      </c>
      <c r="AL197" s="69" t="str">
        <f aca="false">IF($E197="","",IF($M197,IF(AND($G197&gt;=AL$5,$G197&lt;AL$5+GanttPeriod),"◆",IF(AND($E197&gt;=AL$5,$E197&lt;AL$5+GanttPeriod),"◇","")),IF(AND(AL$5&lt;=$F197,AL$5+GanttPeriod-1&gt;=$E197),"━","")))</f>
        <v/>
      </c>
      <c r="AM197" s="69" t="str">
        <f aca="false">IF($E197="","",IF($M197,IF(AND($G197&gt;=AM$5,$G197&lt;AM$5+GanttPeriod),"◆",IF(AND($E197&gt;=AM$5,$E197&lt;AM$5+GanttPeriod),"◇","")),IF(AND(AM$5&lt;=$F197,AM$5+GanttPeriod-1&gt;=$E197),"━","")))</f>
        <v/>
      </c>
      <c r="AN197" s="69" t="str">
        <f aca="false">IF($E197="","",IF($M197,IF(AND($G197&gt;=AN$5,$G197&lt;AN$5+GanttPeriod),"◆",IF(AND($E197&gt;=AN$5,$E197&lt;AN$5+GanttPeriod),"◇","")),IF(AND(AN$5&lt;=$F197,AN$5+GanttPeriod-1&gt;=$E197),"━","")))</f>
        <v/>
      </c>
      <c r="AO197" s="69" t="str">
        <f aca="false">IF($E197="","",IF($M197,IF(AND($G197&gt;=AO$5,$G197&lt;AO$5+GanttPeriod),"◆",IF(AND($E197&gt;=AO$5,$E197&lt;AO$5+GanttPeriod),"◇","")),IF(AND(AO$5&lt;=$F197,AO$5+GanttPeriod-1&gt;=$E197),"━","")))</f>
        <v/>
      </c>
      <c r="AP197" s="69" t="str">
        <f aca="false">IF($E197="","",IF($M197,IF(AND($G197&gt;=AP$5,$G197&lt;AP$5+GanttPeriod),"◆",IF(AND($E197&gt;=AP$5,$E197&lt;AP$5+GanttPeriod),"◇","")),IF(AND(AP$5&lt;=$F197,AP$5+GanttPeriod-1&gt;=$E197),"━","")))</f>
        <v/>
      </c>
      <c r="AQ197" s="69" t="str">
        <f aca="false">IF($E197="","",IF($M197,IF(AND($G197&gt;=AQ$5,$G197&lt;AQ$5+GanttPeriod),"◆",IF(AND($E197&gt;=AQ$5,$E197&lt;AQ$5+GanttPeriod),"◇","")),IF(AND(AQ$5&lt;=$F197,AQ$5+GanttPeriod-1&gt;=$E197),"━","")))</f>
        <v/>
      </c>
      <c r="AR197" s="69" t="str">
        <f aca="false">IF($E197="","",IF($M197,IF(AND($G197&gt;=AR$5,$G197&lt;AR$5+GanttPeriod),"◆",IF(AND($E197&gt;=AR$5,$E197&lt;AR$5+GanttPeriod),"◇","")),IF(AND(AR$5&lt;=$F197,AR$5+GanttPeriod-1&gt;=$E197),"━","")))</f>
        <v/>
      </c>
      <c r="AS197" s="69" t="str">
        <f aca="false">IF($E197="","",IF($M197,IF(AND($G197&gt;=AS$5,$G197&lt;AS$5+GanttPeriod),"◆",IF(AND($E197&gt;=AS$5,$E197&lt;AS$5+GanttPeriod),"◇","")),IF(AND(AS$5&lt;=$F197,AS$5+GanttPeriod-1&gt;=$E197),"━","")))</f>
        <v/>
      </c>
      <c r="AT197" s="69" t="str">
        <f aca="false">IF($E197="","",IF($M197,IF(AND($G197&gt;=AT$5,$G197&lt;AT$5+GanttPeriod),"◆",IF(AND($E197&gt;=AT$5,$E197&lt;AT$5+GanttPeriod),"◇","")),IF(AND(AT$5&lt;=$F197,AT$5+GanttPeriod-1&gt;=$E197),"━","")))</f>
        <v/>
      </c>
      <c r="AU197" s="69" t="str">
        <f aca="false">IF($E197="","",IF($M197,IF(AND($G197&gt;=AU$5,$G197&lt;AU$5+GanttPeriod),"◆",IF(AND($E197&gt;=AU$5,$E197&lt;AU$5+GanttPeriod),"◇","")),IF(AND(AU$5&lt;=$F197,AU$5+GanttPeriod-1&gt;=$E197),"━","")))</f>
        <v/>
      </c>
      <c r="AV197" s="69" t="str">
        <f aca="false">IF($E197="","",IF($M197,IF(AND($G197&gt;=AV$5,$G197&lt;AV$5+GanttPeriod),"◆",IF(AND($E197&gt;=AV$5,$E197&lt;AV$5+GanttPeriod),"◇","")),IF(AND(AV$5&lt;=$F197,AV$5+GanttPeriod-1&gt;=$E197),"━","")))</f>
        <v/>
      </c>
      <c r="AW197" s="69" t="str">
        <f aca="false">IF($E197="","",IF($M197,IF(AND($G197&gt;=AW$5,$G197&lt;AW$5+GanttPeriod),"◆",IF(AND($E197&gt;=AW$5,$E197&lt;AW$5+GanttPeriod),"◇","")),IF(AND(AW$5&lt;=$F197,AW$5+GanttPeriod-1&gt;=$E197),"━","")))</f>
        <v/>
      </c>
      <c r="AX197" s="69" t="str">
        <f aca="false">IF($E197="","",IF($M197,IF(AND($G197&gt;=AX$5,$G197&lt;AX$5+GanttPeriod),"◆",IF(AND($E197&gt;=AX$5,$E197&lt;AX$5+GanttPeriod),"◇","")),IF(AND(AX$5&lt;=$F197,AX$5+GanttPeriod-1&gt;=$E197),"━","")))</f>
        <v/>
      </c>
      <c r="AY197" s="69" t="str">
        <f aca="false">IF($E197="","",IF($M197,IF(AND($G197&gt;=AY$5,$G197&lt;AY$5+GanttPeriod),"◆",IF(AND($E197&gt;=AY$5,$E197&lt;AY$5+GanttPeriod),"◇","")),IF(AND(AY$5&lt;=$F197,AY$5+GanttPeriod-1&gt;=$E197),"━","")))</f>
        <v/>
      </c>
      <c r="AZ197" s="69" t="str">
        <f aca="false">IF($E197="","",IF($M197,IF(AND($G197&gt;=AZ$5,$G197&lt;AZ$5+GanttPeriod),"◆",IF(AND($E197&gt;=AZ$5,$E197&lt;AZ$5+GanttPeriod),"◇","")),IF(AND(AZ$5&lt;=$F197,AZ$5+GanttPeriod-1&gt;=$E197),"━","")))</f>
        <v/>
      </c>
      <c r="BA197" s="69" t="str">
        <f aca="false">IF($E197="","",IF($M197,IF(AND($G197&gt;=BA$5,$G197&lt;BA$5+GanttPeriod),"◆",IF(AND($E197&gt;=BA$5,$E197&lt;BA$5+GanttPeriod),"◇","")),IF(AND(BA$5&lt;=$F197,BA$5+GanttPeriod-1&gt;=$E197),"━","")))</f>
        <v/>
      </c>
      <c r="BB197" s="69" t="str">
        <f aca="false">IF($E197="","",IF($M197,IF(AND($G197&gt;=BB$5,$G197&lt;BB$5+GanttPeriod),"◆",IF(AND($E197&gt;=BB$5,$E197&lt;BB$5+GanttPeriod),"◇","")),IF(AND(BB$5&lt;=$F197,BB$5+GanttPeriod-1&gt;=$E197),"━","")))</f>
        <v/>
      </c>
      <c r="BC197" s="69" t="str">
        <f aca="false">IF($E197="","",IF($M197,IF(AND($G197&gt;=BC$5,$G197&lt;BC$5+GanttPeriod),"◆",IF(AND($E197&gt;=BC$5,$E197&lt;BC$5+GanttPeriod),"◇","")),IF(AND(BC$5&lt;=$F197,BC$5+GanttPeriod-1&gt;=$E197),"━","")))</f>
        <v/>
      </c>
      <c r="BD197" s="69" t="str">
        <f aca="false">IF($E197="","",IF($M197,IF(AND($G197&gt;=BD$5,$G197&lt;BD$5+GanttPeriod),"◆",IF(AND($E197&gt;=BD$5,$E197&lt;BD$5+GanttPeriod),"◇","")),IF(AND(BD$5&lt;=$F197,BD$5+GanttPeriod-1&gt;=$E197),"━","")))</f>
        <v/>
      </c>
      <c r="BE197" s="69" t="str">
        <f aca="false">IF($E197="","",IF($M197,IF(AND($G197&gt;=BE$5,$G197&lt;BE$5+GanttPeriod),"◆",IF(AND($E197&gt;=BE$5,$E197&lt;BE$5+GanttPeriod),"◇","")),IF(AND(BE$5&lt;=$F197,BE$5+GanttPeriod-1&gt;=$E197),"━","")))</f>
        <v/>
      </c>
      <c r="BF197" s="69" t="str">
        <f aca="false">IF($E197="","",IF($M197,IF(AND($G197&gt;=BF$5,$G197&lt;BF$5+GanttPeriod),"◆",IF(AND($E197&gt;=BF$5,$E197&lt;BF$5+GanttPeriod),"◇","")),IF(AND(BF$5&lt;=$F197,BF$5+GanttPeriod-1&gt;=$E197),"━","")))</f>
        <v/>
      </c>
      <c r="BG197" s="69" t="str">
        <f aca="false">IF($E197="","",IF($M197,IF(AND($G197&gt;=BG$5,$G197&lt;BG$5+GanttPeriod),"◆",IF(AND($E197&gt;=BG$5,$E197&lt;BG$5+GanttPeriod),"◇","")),IF(AND(BG$5&lt;=$F197,BG$5+GanttPeriod-1&gt;=$E197),"━","")))</f>
        <v/>
      </c>
      <c r="BH197" s="69" t="str">
        <f aca="false">IF($E197="","",IF($M197,IF(AND($G197&gt;=BH$5,$G197&lt;BH$5+GanttPeriod),"◆",IF(AND($E197&gt;=BH$5,$E197&lt;BH$5+GanttPeriod),"◇","")),IF(AND(BH$5&lt;=$F197,BH$5+GanttPeriod-1&gt;=$E197),"━","")))</f>
        <v/>
      </c>
      <c r="BI197" s="69" t="str">
        <f aca="false">IF($E197="","",IF($M197,IF(AND($G197&gt;=BI$5,$G197&lt;BI$5+GanttPeriod),"◆",IF(AND($E197&gt;=BI$5,$E197&lt;BI$5+GanttPeriod),"◇","")),IF(AND(BI$5&lt;=$F197,BI$5+GanttPeriod-1&gt;=$E197),"━","")))</f>
        <v/>
      </c>
      <c r="BJ197" s="69" t="str">
        <f aca="false">IF($E197="","",IF($M197,IF(AND($G197&gt;=BJ$5,$G197&lt;BJ$5+GanttPeriod),"◆",IF(AND($E197&gt;=BJ$5,$E197&lt;BJ$5+GanttPeriod),"◇","")),IF(AND(BJ$5&lt;=$F197,BJ$5+GanttPeriod-1&gt;=$E197),"━","")))</f>
        <v/>
      </c>
      <c r="BK197" s="69" t="str">
        <f aca="false">IF($E197="","",IF($M197,IF(AND($G197&gt;=BK$5,$G197&lt;BK$5+GanttPeriod),"◆",IF(AND($E197&gt;=BK$5,$E197&lt;BK$5+GanttPeriod),"◇","")),IF(AND(BK$5&lt;=$F197,BK$5+GanttPeriod-1&gt;=$E197),"━","")))</f>
        <v/>
      </c>
      <c r="BL197" s="69" t="str">
        <f aca="false">IF($E197="","",IF($M197,IF(AND($G197&gt;=BL$5,$G197&lt;BL$5+GanttPeriod),"◆",IF(AND($E197&gt;=BL$5,$E197&lt;BL$5+GanttPeriod),"◇","")),IF(AND(BL$5&lt;=$F197,BL$5+GanttPeriod-1&gt;=$E197),"━","")))</f>
        <v/>
      </c>
      <c r="BM197" s="69" t="str">
        <f aca="false">IF($E197="","",IF($M197,IF(AND($G197&gt;=BM$5,$G197&lt;BM$5+GanttPeriod),"◆",IF(AND($E197&gt;=BM$5,$E197&lt;BM$5+GanttPeriod),"◇","")),IF(AND(BM$5&lt;=$F197,BM$5+GanttPeriod-1&gt;=$E197),"━","")))</f>
        <v/>
      </c>
      <c r="BN197" s="69" t="str">
        <f aca="false">IF($E197="","",IF($M197,IF(AND($G197&gt;=BN$5,$G197&lt;BN$5+GanttPeriod),"◆",IF(AND($E197&gt;=BN$5,$E197&lt;BN$5+GanttPeriod),"◇","")),IF(AND(BN$5&lt;=$F197,BN$5+GanttPeriod-1&gt;=$E197),"━","")))</f>
        <v/>
      </c>
      <c r="BO197" s="69" t="str">
        <f aca="false">IF($E197="","",IF($M197,IF(AND($G197&gt;=BO$5,$G197&lt;BO$5+GanttPeriod),"◆",IF(AND($E197&gt;=BO$5,$E197&lt;BO$5+GanttPeriod),"◇","")),IF(AND(BO$5&lt;=$F197,BO$5+GanttPeriod-1&gt;=$E197),"━","")))</f>
        <v/>
      </c>
      <c r="BP197" s="69" t="str">
        <f aca="false">IF($E197="","",IF($M197,IF(AND($G197&gt;=BP$5,$G197&lt;BP$5+GanttPeriod),"◆",IF(AND($E197&gt;=BP$5,$E197&lt;BP$5+GanttPeriod),"◇","")),IF(AND(BP$5&lt;=$F197,BP$5+GanttPeriod-1&gt;=$E197),"━","")))</f>
        <v/>
      </c>
      <c r="BQ197" s="69" t="str">
        <f aca="false">IF($E197="","",IF($M197,IF(AND($G197&gt;=BQ$5,$G197&lt;BQ$5+GanttPeriod),"◆",IF(AND($E197&gt;=BQ$5,$E197&lt;BQ$5+GanttPeriod),"◇","")),IF(AND(BQ$5&lt;=$F197,BQ$5+GanttPeriod-1&gt;=$E197),"━","")))</f>
        <v/>
      </c>
      <c r="BR197" s="69" t="str">
        <f aca="false">IF($E197="","",IF($M197,IF(AND($G197&gt;=BR$5,$G197&lt;BR$5+GanttPeriod),"◆",IF(AND($E197&gt;=BR$5,$E197&lt;BR$5+GanttPeriod),"◇","")),IF(AND(BR$5&lt;=$F197,BR$5+GanttPeriod-1&gt;=$E197),"━","")))</f>
        <v/>
      </c>
      <c r="BS197" s="69" t="str">
        <f aca="false">IF($E197="","",IF($M197,IF(AND($G197&gt;=BS$5,$G197&lt;BS$5+GanttPeriod),"◆",IF(AND($E197&gt;=BS$5,$E197&lt;BS$5+GanttPeriod),"◇","")),IF(AND(BS$5&lt;=$F197,BS$5+GanttPeriod-1&gt;=$E197),"━","")))</f>
        <v/>
      </c>
      <c r="BT197" s="69" t="str">
        <f aca="false">IF($E197="","",IF($M197,IF(AND($G197&gt;=BT$5,$G197&lt;BT$5+GanttPeriod),"◆",IF(AND($E197&gt;=BT$5,$E197&lt;BT$5+GanttPeriod),"◇","")),IF(AND(BT$5&lt;=$F197,BT$5+GanttPeriod-1&gt;=$E197),"━","")))</f>
        <v/>
      </c>
      <c r="BU197" s="69" t="str">
        <f aca="false">IF($E197="","",IF($M197,IF(AND($G197&gt;=BU$5,$G197&lt;BU$5+GanttPeriod),"◆",IF(AND($E197&gt;=BU$5,$E197&lt;BU$5+GanttPeriod),"◇","")),IF(AND(BU$5&lt;=$F197,BU$5+GanttPeriod-1&gt;=$E197),"━","")))</f>
        <v/>
      </c>
      <c r="BV197" s="69" t="str">
        <f aca="false">IF($E197="","",IF($M197,IF(AND($G197&gt;=BV$5,$G197&lt;BV$5+GanttPeriod),"◆",IF(AND($E197&gt;=BV$5,$E197&lt;BV$5+GanttPeriod),"◇","")),IF(AND(BV$5&lt;=$F197,BV$5+GanttPeriod-1&gt;=$E197),"━","")))</f>
        <v/>
      </c>
      <c r="BW197" s="69" t="str">
        <f aca="false">IF($E197="","",IF($M197,IF(AND($G197&gt;=BW$5,$G197&lt;BW$5+GanttPeriod),"◆",IF(AND($E197&gt;=BW$5,$E197&lt;BW$5+GanttPeriod),"◇","")),IF(AND(BW$5&lt;=$F197,BW$5+GanttPeriod-1&gt;=$E197),"━","")))</f>
        <v/>
      </c>
      <c r="BX197" s="69" t="str">
        <f aca="false">IF($E197="","",IF($M197,IF(AND($G197&gt;=BX$5,$G197&lt;BX$5+GanttPeriod),"◆",IF(AND($E197&gt;=BX$5,$E197&lt;BX$5+GanttPeriod),"◇","")),IF(AND(BX$5&lt;=$F197,BX$5+GanttPeriod-1&gt;=$E197),"━","")))</f>
        <v/>
      </c>
      <c r="BY197" s="69" t="str">
        <f aca="false">IF($E197="","",IF($M197,IF(AND($G197&gt;=BY$5,$G197&lt;BY$5+GanttPeriod),"◆",IF(AND($E197&gt;=BY$5,$E197&lt;BY$5+GanttPeriod),"◇","")),IF(AND(BY$5&lt;=$F197,BY$5+GanttPeriod-1&gt;=$E197),"━","")))</f>
        <v/>
      </c>
      <c r="BZ197" s="69" t="str">
        <f aca="false">IF($E197="","",IF($M197,IF(AND($G197&gt;=BZ$5,$G197&lt;BZ$5+GanttPeriod),"◆",IF(AND($E197&gt;=BZ$5,$E197&lt;BZ$5+GanttPeriod),"◇","")),IF(AND(BZ$5&lt;=$F197,BZ$5+GanttPeriod-1&gt;=$E197),"━","")))</f>
        <v/>
      </c>
      <c r="CA197" s="69" t="str">
        <f aca="false">IF($E197="","",IF($M197,IF(AND($G197&gt;=CA$5,$G197&lt;CA$5+GanttPeriod),"◆",IF(AND($E197&gt;=CA$5,$E197&lt;CA$5+GanttPeriod),"◇","")),IF(AND(CA$5&lt;=$F197,CA$5+GanttPeriod-1&gt;=$E197),"━","")))</f>
        <v/>
      </c>
      <c r="CB197" s="69" t="str">
        <f aca="false">IF($E197="","",IF($M197,IF(AND($G197&gt;=CB$5,$G197&lt;CB$5+GanttPeriod),"◆",IF(AND($E197&gt;=CB$5,$E197&lt;CB$5+GanttPeriod),"◇","")),IF(AND(CB$5&lt;=$F197,CB$5+GanttPeriod-1&gt;=$E197),"━","")))</f>
        <v/>
      </c>
      <c r="CC197" s="69" t="str">
        <f aca="false">IF($E197="","",IF($M197,IF(AND($G197&gt;=CC$5,$G197&lt;CC$5+GanttPeriod),"◆",IF(AND($E197&gt;=CC$5,$E197&lt;CC$5+GanttPeriod),"◇","")),IF(AND(CC$5&lt;=$F197,CC$5+GanttPeriod-1&gt;=$E197),"━","")))</f>
        <v/>
      </c>
      <c r="CD197" s="69" t="str">
        <f aca="false">IF($E197="","",IF($M197,IF(AND($G197&gt;=CD$5,$G197&lt;CD$5+GanttPeriod),"◆",IF(AND($E197&gt;=CD$5,$E197&lt;CD$5+GanttPeriod),"◇","")),IF(AND(CD$5&lt;=$F197,CD$5+GanttPeriod-1&gt;=$E197),"━","")))</f>
        <v/>
      </c>
      <c r="CE197" s="69" t="str">
        <f aca="false">IF($E197="","",IF($M197,IF(AND($G197&gt;=CE$5,$G197&lt;CE$5+GanttPeriod),"◆",IF(AND($E197&gt;=CE$5,$E197&lt;CE$5+GanttPeriod),"◇","")),IF(AND(CE$5&lt;=$F197,CE$5+GanttPeriod-1&gt;=$E197),"━","")))</f>
        <v/>
      </c>
      <c r="CF197" s="69" t="str">
        <f aca="false">IF($E197="","",IF($M197,IF(AND($G197&gt;=CF$5,$G197&lt;CF$5+GanttPeriod),"◆",IF(AND($E197&gt;=CF$5,$E197&lt;CF$5+GanttPeriod),"◇","")),IF(AND(CF$5&lt;=$F197,CF$5+GanttPeriod-1&gt;=$E197),"━","")))</f>
        <v/>
      </c>
      <c r="CG197" s="69" t="str">
        <f aca="false">IF($E197="","",IF($M197,IF(AND($G197&gt;=CG$5,$G197&lt;CG$5+GanttPeriod),"◆",IF(AND($E197&gt;=CG$5,$E197&lt;CG$5+GanttPeriod),"◇","")),IF(AND(CG$5&lt;=$F197,CG$5+GanttPeriod-1&gt;=$E197),"━","")))</f>
        <v/>
      </c>
      <c r="CH197" s="69" t="str">
        <f aca="false">IF($E197="","",IF($M197,IF(AND($G197&gt;=CH$5,$G197&lt;CH$5+GanttPeriod),"◆",IF(AND($E197&gt;=CH$5,$E197&lt;CH$5+GanttPeriod),"◇","")),IF(AND(CH$5&lt;=$F197,CH$5+GanttPeriod-1&gt;=$E197),"━","")))</f>
        <v/>
      </c>
      <c r="CI197" s="69" t="str">
        <f aca="false">IF($E197="","",IF($M197,IF(AND($G197&gt;=CI$5,$G197&lt;CI$5+GanttPeriod),"◆",IF(AND($E197&gt;=CI$5,$E197&lt;CI$5+GanttPeriod),"◇","")),IF(AND(CI$5&lt;=$F197,CI$5+GanttPeriod-1&gt;=$E197),"━","")))</f>
        <v/>
      </c>
      <c r="CJ197" s="69" t="str">
        <f aca="false">IF($E197="","",IF($M197,IF(AND($G197&gt;=CJ$5,$G197&lt;CJ$5+GanttPeriod),"◆",IF(AND($E197&gt;=CJ$5,$E197&lt;CJ$5+GanttPeriod),"◇","")),IF(AND(CJ$5&lt;=$F197,CJ$5+GanttPeriod-1&gt;=$E197),"━","")))</f>
        <v/>
      </c>
      <c r="CK197" s="69" t="str">
        <f aca="false">IF($E197="","",IF($M197,IF(AND($G197&gt;=CK$5,$G197&lt;CK$5+GanttPeriod),"◆",IF(AND($E197&gt;=CK$5,$E197&lt;CK$5+GanttPeriod),"◇","")),IF(AND(CK$5&lt;=$F197,CK$5+GanttPeriod-1&gt;=$E197),"━","")))</f>
        <v/>
      </c>
      <c r="CL197" s="69" t="str">
        <f aca="false">IF($E197="","",IF($M197,IF(AND($G197&gt;=CL$5,$G197&lt;CL$5+GanttPeriod),"◆",IF(AND($E197&gt;=CL$5,$E197&lt;CL$5+GanttPeriod),"◇","")),IF(AND(CL$5&lt;=$F197,CL$5+GanttPeriod-1&gt;=$E197),"━","")))</f>
        <v/>
      </c>
      <c r="CM197" s="69" t="str">
        <f aca="false">IF($E197="","",IF($M197,IF(AND($G197&gt;=CM$5,$G197&lt;CM$5+GanttPeriod),"◆",IF(AND($E197&gt;=CM$5,$E197&lt;CM$5+GanttPeriod),"◇","")),IF(AND(CM$5&lt;=$F197,CM$5+GanttPeriod-1&gt;=$E197),"━","")))</f>
        <v/>
      </c>
      <c r="CN197" s="69" t="str">
        <f aca="false">IF($E197="","",IF($M197,IF(AND($G197&gt;=CN$5,$G197&lt;CN$5+GanttPeriod),"◆",IF(AND($E197&gt;=CN$5,$E197&lt;CN$5+GanttPeriod),"◇","")),IF(AND(CN$5&lt;=$F197,CN$5+GanttPeriod-1&gt;=$E197),"━","")))</f>
        <v/>
      </c>
      <c r="CO197" s="69" t="str">
        <f aca="false">IF($E197="","",IF($M197,IF(AND($G197&gt;=CO$5,$G197&lt;CO$5+GanttPeriod),"◆",IF(AND($E197&gt;=CO$5,$E197&lt;CO$5+GanttPeriod),"◇","")),IF(AND(CO$5&lt;=$F197,CO$5+GanttPeriod-1&gt;=$E197),"━","")))</f>
        <v/>
      </c>
      <c r="CP197" s="69" t="str">
        <f aca="false">IF($E197="","",IF($M197,IF(AND($G197&gt;=CP$5,$G197&lt;CP$5+GanttPeriod),"◆",IF(AND($E197&gt;=CP$5,$E197&lt;CP$5+GanttPeriod),"◇","")),IF(AND(CP$5&lt;=$F197,CP$5+GanttPeriod-1&gt;=$E197),"━","")))</f>
        <v/>
      </c>
      <c r="CQ197" s="69" t="str">
        <f aca="false">IF($E197="","",IF($M197,IF(AND($G197&gt;=CQ$5,$G197&lt;CQ$5+GanttPeriod),"◆",IF(AND($E197&gt;=CQ$5,$E197&lt;CQ$5+GanttPeriod),"◇","")),IF(AND(CQ$5&lt;=$F197,CQ$5+GanttPeriod-1&gt;=$E197),"━","")))</f>
        <v/>
      </c>
      <c r="CR197" s="69" t="str">
        <f aca="false">IF($E197="","",IF($M197,IF(AND($G197&gt;=CR$5,$G197&lt;CR$5+GanttPeriod),"◆",IF(AND($E197&gt;=CR$5,$E197&lt;CR$5+GanttPeriod),"◇","")),IF(AND(CR$5&lt;=$F197,CR$5+GanttPeriod-1&gt;=$E197),"━","")))</f>
        <v/>
      </c>
      <c r="CS197" s="69" t="str">
        <f aca="false">IF($E197="","",IF($M197,IF(AND($G197&gt;=CS$5,$G197&lt;CS$5+GanttPeriod),"◆",IF(AND($E197&gt;=CS$5,$E197&lt;CS$5+GanttPeriod),"◇","")),IF(AND(CS$5&lt;=$F197,CS$5+GanttPeriod-1&gt;=$E197),"━","")))</f>
        <v/>
      </c>
      <c r="CT197" s="69" t="str">
        <f aca="false">IF($E197="","",IF($M197,IF(AND($G197&gt;=CT$5,$G197&lt;CT$5+GanttPeriod),"◆",IF(AND($E197&gt;=CT$5,$E197&lt;CT$5+GanttPeriod),"◇","")),IF(AND(CT$5&lt;=$F197,CT$5+GanttPeriod-1&gt;=$E197),"━","")))</f>
        <v/>
      </c>
      <c r="CU197" s="69" t="str">
        <f aca="false">IF($E197="","",IF($M197,IF(AND($G197&gt;=CU$5,$G197&lt;CU$5+GanttPeriod),"◆",IF(AND($E197&gt;=CU$5,$E197&lt;CU$5+GanttPeriod),"◇","")),IF(AND(CU$5&lt;=$F197,CU$5+GanttPeriod-1&gt;=$E197),"━","")))</f>
        <v/>
      </c>
      <c r="CV197" s="69" t="str">
        <f aca="false">IF($E197="","",IF($M197,IF(AND($G197&gt;=CV$5,$G197&lt;CV$5+GanttPeriod),"◆",IF(AND($E197&gt;=CV$5,$E197&lt;CV$5+GanttPeriod),"◇","")),IF(AND(CV$5&lt;=$F197,CV$5+GanttPeriod-1&gt;=$E197),"━","")))</f>
        <v/>
      </c>
      <c r="CW197" s="69" t="str">
        <f aca="false">IF($E197="","",IF($M197,IF(AND($G197&gt;=CW$5,$G197&lt;CW$5+GanttPeriod),"◆",IF(AND($E197&gt;=CW$5,$E197&lt;CW$5+GanttPeriod),"◇","")),IF(AND(CW$5&lt;=$F197,CW$5+GanttPeriod-1&gt;=$E197),"━","")))</f>
        <v/>
      </c>
      <c r="CX197" s="69" t="str">
        <f aca="false">IF($E197="","",IF($M197,IF(AND($G197&gt;=CX$5,$G197&lt;CX$5+GanttPeriod),"◆",IF(AND($E197&gt;=CX$5,$E197&lt;CX$5+GanttPeriod),"◇","")),IF(AND(CX$5&lt;=$F197,CX$5+GanttPeriod-1&gt;=$E197),"━","")))</f>
        <v/>
      </c>
      <c r="CY197" s="69" t="str">
        <f aca="false">IF($E197="","",IF($M197,IF(AND($G197&gt;=CY$5,$G197&lt;CY$5+GanttPeriod),"◆",IF(AND($E197&gt;=CY$5,$E197&lt;CY$5+GanttPeriod),"◇","")),IF(AND(CY$5&lt;=$F197,CY$5+GanttPeriod-1&gt;=$E197),"━","")))</f>
        <v/>
      </c>
      <c r="CZ197" s="69" t="str">
        <f aca="false">IF($E197="","",IF($M197,IF(AND($G197&gt;=CZ$5,$G197&lt;CZ$5+GanttPeriod),"◆",IF(AND($E197&gt;=CZ$5,$E197&lt;CZ$5+GanttPeriod),"◇","")),IF(AND(CZ$5&lt;=$F197,CZ$5+GanttPeriod-1&gt;=$E197),"━","")))</f>
        <v/>
      </c>
      <c r="DA197" s="69" t="str">
        <f aca="false">IF($E197="","",IF($M197,IF(AND($G197&gt;=DA$5,$G197&lt;DA$5+GanttPeriod),"◆",IF(AND($E197&gt;=DA$5,$E197&lt;DA$5+GanttPeriod),"◇","")),IF(AND(DA$5&lt;=$F197,DA$5+GanttPeriod-1&gt;=$E197),"━","")))</f>
        <v/>
      </c>
      <c r="DB197" s="69" t="str">
        <f aca="false">IF($E197="","",IF($M197,IF(AND($G197&gt;=DB$5,$G197&lt;DB$5+GanttPeriod),"◆",IF(AND($E197&gt;=DB$5,$E197&lt;DB$5+GanttPeriod),"◇","")),IF(AND(DB$5&lt;=$F197,DB$5+GanttPeriod-1&gt;=$E197),"━","")))</f>
        <v/>
      </c>
      <c r="DC197" s="69" t="str">
        <f aca="false">IF($E197="","",IF($M197,IF(AND($G197&gt;=DC$5,$G197&lt;DC$5+GanttPeriod),"◆",IF(AND($E197&gt;=DC$5,$E197&lt;DC$5+GanttPeriod),"◇","")),IF(AND(DC$5&lt;=$F197,DC$5+GanttPeriod-1&gt;=$E197),"━","")))</f>
        <v/>
      </c>
      <c r="DD197" s="69" t="str">
        <f aca="false">IF($E197="","",IF($M197,IF(AND($G197&gt;=DD$5,$G197&lt;DD$5+GanttPeriod),"◆",IF(AND($E197&gt;=DD$5,$E197&lt;DD$5+GanttPeriod),"◇","")),IF(AND(DD$5&lt;=$F197,DD$5+GanttPeriod-1&gt;=$E197),"━","")))</f>
        <v/>
      </c>
      <c r="DE197" s="69" t="str">
        <f aca="false">IF($E197="","",IF($M197,IF(AND($G197&gt;=DE$5,$G197&lt;DE$5+GanttPeriod),"◆",IF(AND($E197&gt;=DE$5,$E197&lt;DE$5+GanttPeriod),"◇","")),IF(AND(DE$5&lt;=$F197,DE$5+GanttPeriod-1&gt;=$E197),"━","")))</f>
        <v/>
      </c>
      <c r="DF197" s="69" t="str">
        <f aca="false">IF($E197="","",IF($M197,IF(AND($G197&gt;=DF$5,$G197&lt;DF$5+GanttPeriod),"◆",IF(AND($E197&gt;=DF$5,$E197&lt;DF$5+GanttPeriod),"◇","")),IF(AND(DF$5&lt;=$F197,DF$5+GanttPeriod-1&gt;=$E197),"━","")))</f>
        <v/>
      </c>
      <c r="DG197" s="69" t="str">
        <f aca="false">IF($E197="","",IF($M197,IF(AND($G197&gt;=DG$5,$G197&lt;DG$5+GanttPeriod),"◆",IF(AND($E197&gt;=DG$5,$E197&lt;DG$5+GanttPeriod),"◇","")),IF(AND(DG$5&lt;=$F197,DG$5+GanttPeriod-1&gt;=$E197),"━","")))</f>
        <v/>
      </c>
      <c r="DH197" s="69" t="str">
        <f aca="false">IF($E197="","",IF($M197,IF(AND($G197&gt;=DH$5,$G197&lt;DH$5+GanttPeriod),"◆",IF(AND($E197&gt;=DH$5,$E197&lt;DH$5+GanttPeriod),"◇","")),IF(AND(DH$5&lt;=$F197,DH$5+GanttPeriod-1&gt;=$E197),"━","")))</f>
        <v/>
      </c>
      <c r="DI197" s="69" t="str">
        <f aca="false">IF($E197="","",IF($M197,IF(AND($G197&gt;=DI$5,$G197&lt;DI$5+GanttPeriod),"◆",IF(AND($E197&gt;=DI$5,$E197&lt;DI$5+GanttPeriod),"◇","")),IF(AND(DI$5&lt;=$F197,DI$5+GanttPeriod-1&gt;=$E197),"━","")))</f>
        <v/>
      </c>
      <c r="DJ197" s="69" t="str">
        <f aca="false">IF($E197="","",IF($M197,IF(AND($G197&gt;=DJ$5,$G197&lt;DJ$5+GanttPeriod),"◆",IF(AND($E197&gt;=DJ$5,$E197&lt;DJ$5+GanttPeriod),"◇","")),IF(AND(DJ$5&lt;=$F197,DJ$5+GanttPeriod-1&gt;=$E197),"━","")))</f>
        <v/>
      </c>
      <c r="DK197" s="69" t="str">
        <f aca="false">IF($E197="","",IF($M197,IF(AND($G197&gt;=DK$5,$G197&lt;DK$5+GanttPeriod),"◆",IF(AND($E197&gt;=DK$5,$E197&lt;DK$5+GanttPeriod),"◇","")),IF(AND(DK$5&lt;=$F197,DK$5+GanttPeriod-1&gt;=$E197),"━","")))</f>
        <v/>
      </c>
      <c r="DL197" s="69" t="str">
        <f aca="false">IF($E197="","",IF($M197,IF(AND($G197&gt;=DL$5,$G197&lt;DL$5+GanttPeriod),"◆",IF(AND($E197&gt;=DL$5,$E197&lt;DL$5+GanttPeriod),"◇","")),IF(AND(DL$5&lt;=$F197,DL$5+GanttPeriod-1&gt;=$E197),"━","")))</f>
        <v/>
      </c>
      <c r="DM197" s="69" t="str">
        <f aca="false">IF($E197="","",IF($M197,IF(AND($G197&gt;=DM$5,$G197&lt;DM$5+GanttPeriod),"◆",IF(AND($E197&gt;=DM$5,$E197&lt;DM$5+GanttPeriod),"◇","")),IF(AND(DM$5&lt;=$F197,DM$5+GanttPeriod-1&gt;=$E197),"━","")))</f>
        <v/>
      </c>
      <c r="DN197" s="69" t="str">
        <f aca="false">IF($E197="","",IF($M197,IF(AND($G197&gt;=DN$5,$G197&lt;DN$5+GanttPeriod),"◆",IF(AND($E197&gt;=DN$5,$E197&lt;DN$5+GanttPeriod),"◇","")),IF(AND(DN$5&lt;=$F197,DN$5+GanttPeriod-1&gt;=$E197),"━","")))</f>
        <v/>
      </c>
      <c r="DO197" s="69" t="str">
        <f aca="false">IF($E197="","",IF($M197,IF(AND($G197&gt;=DO$5,$G197&lt;DO$5+GanttPeriod),"◆",IF(AND($E197&gt;=DO$5,$E197&lt;DO$5+GanttPeriod),"◇","")),IF(AND(DO$5&lt;=$F197,DO$5+GanttPeriod-1&gt;=$E197),"━","")))</f>
        <v/>
      </c>
      <c r="DP197" s="69" t="str">
        <f aca="false">IF($E197="","",IF($M197,IF(AND($G197&gt;=DP$5,$G197&lt;DP$5+GanttPeriod),"◆",IF(AND($E197&gt;=DP$5,$E197&lt;DP$5+GanttPeriod),"◇","")),IF(AND(DP$5&lt;=$F197,DP$5+GanttPeriod-1&gt;=$E197),"━","")))</f>
        <v/>
      </c>
      <c r="DQ197" s="69" t="str">
        <f aca="false">IF($E197="","",IF($M197,IF(AND($G197&gt;=DQ$5,$G197&lt;DQ$5+GanttPeriod),"◆",IF(AND($E197&gt;=DQ$5,$E197&lt;DQ$5+GanttPeriod),"◇","")),IF(AND(DQ$5&lt;=$F197,DQ$5+GanttPeriod-1&gt;=$E197),"━","")))</f>
        <v/>
      </c>
      <c r="DR197" s="69" t="str">
        <f aca="false">IF($E197="","",IF($M197,IF(AND($G197&gt;=DR$5,$G197&lt;DR$5+GanttPeriod),"◆",IF(AND($E197&gt;=DR$5,$E197&lt;DR$5+GanttPeriod),"◇","")),IF(AND(DR$5&lt;=$F197,DR$5+GanttPeriod-1&gt;=$E197),"━","")))</f>
        <v/>
      </c>
      <c r="DS197" s="69" t="str">
        <f aca="false">IF($E197="","",IF($M197,IF(AND($G197&gt;=DS$5,$G197&lt;DS$5+GanttPeriod),"◆",IF(AND($E197&gt;=DS$5,$E197&lt;DS$5+GanttPeriod),"◇","")),IF(AND(DS$5&lt;=$F197,DS$5+GanttPeriod-1&gt;=$E197),"━","")))</f>
        <v/>
      </c>
      <c r="DT197" s="69" t="str">
        <f aca="false">IF($E197="","",IF($M197,IF(AND($G197&gt;=DT$5,$G197&lt;DT$5+GanttPeriod),"◆",IF(AND($E197&gt;=DT$5,$E197&lt;DT$5+GanttPeriod),"◇","")),IF(AND(DT$5&lt;=$F197,DT$5+GanttPeriod-1&gt;=$E197),"━","")))</f>
        <v/>
      </c>
      <c r="DU197" s="69" t="str">
        <f aca="false">IF($E197="","",IF($M197,IF(AND($G197&gt;=DU$5,$G197&lt;DU$5+GanttPeriod),"◆",IF(AND($E197&gt;=DU$5,$E197&lt;DU$5+GanttPeriod),"◇","")),IF(AND(DU$5&lt;=$F197,DU$5+GanttPeriod-1&gt;=$E197),"━","")))</f>
        <v/>
      </c>
      <c r="DV197" s="69" t="str">
        <f aca="false">IF($E197="","",IF($M197,IF(AND($G197&gt;=DV$5,$G197&lt;DV$5+GanttPeriod),"◆",IF(AND($E197&gt;=DV$5,$E197&lt;DV$5+GanttPeriod),"◇","")),IF(AND(DV$5&lt;=$F197,DV$5+GanttPeriod-1&gt;=$E197),"━","")))</f>
        <v/>
      </c>
      <c r="DW197" s="69" t="str">
        <f aca="false">IF($E197="","",IF($M197,IF(AND($G197&gt;=DW$5,$G197&lt;DW$5+GanttPeriod),"◆",IF(AND($E197&gt;=DW$5,$E197&lt;DW$5+GanttPeriod),"◇","")),IF(AND(DW$5&lt;=$F197,DW$5+GanttPeriod-1&gt;=$E197),"━","")))</f>
        <v/>
      </c>
      <c r="DX197" s="69" t="str">
        <f aca="false">IF($E197="","",IF($M197,IF(AND($G197&gt;=DX$5,$G197&lt;DX$5+GanttPeriod),"◆",IF(AND($E197&gt;=DX$5,$E197&lt;DX$5+GanttPeriod),"◇","")),IF(AND(DX$5&lt;=$F197,DX$5+GanttPeriod-1&gt;=$E197),"━","")))</f>
        <v/>
      </c>
      <c r="DY197" s="69" t="str">
        <f aca="false">IF($E197="","",IF($M197,IF(AND($G197&gt;=DY$5,$G197&lt;DY$5+GanttPeriod),"◆",IF(AND($E197&gt;=DY$5,$E197&lt;DY$5+GanttPeriod),"◇","")),IF(AND(DY$5&lt;=$F197,DY$5+GanttPeriod-1&gt;=$E197),"━","")))</f>
        <v/>
      </c>
      <c r="DZ197" s="69" t="str">
        <f aca="false">IF($E197="","",IF($M197,IF(AND($G197&gt;=DZ$5,$G197&lt;DZ$5+GanttPeriod),"◆",IF(AND($E197&gt;=DZ$5,$E197&lt;DZ$5+GanttPeriod),"◇","")),IF(AND(DZ$5&lt;=$F197,DZ$5+GanttPeriod-1&gt;=$E197),"━","")))</f>
        <v/>
      </c>
      <c r="EA197" s="69" t="str">
        <f aca="false">IF($E197="","",IF($M197,IF(AND($G197&gt;=EA$5,$G197&lt;EA$5+GanttPeriod),"◆",IF(AND($E197&gt;=EA$5,$E197&lt;EA$5+GanttPeriod),"◇","")),IF(AND(EA$5&lt;=$F197,EA$5+GanttPeriod-1&gt;=$E197),"━","")))</f>
        <v/>
      </c>
      <c r="EB197" s="69" t="str">
        <f aca="false">IF($E197="","",IF($M197,IF(AND($G197&gt;=EB$5,$G197&lt;EB$5+GanttPeriod),"◆",IF(AND($E197&gt;=EB$5,$E197&lt;EB$5+GanttPeriod),"◇","")),IF(AND(EB$5&lt;=$F197,EB$5+GanttPeriod-1&gt;=$E197),"━","")))</f>
        <v/>
      </c>
      <c r="EC197" s="69" t="str">
        <f aca="false">IF($E197="","",IF($M197,IF(AND($G197&gt;=EC$5,$G197&lt;EC$5+GanttPeriod),"◆",IF(AND($E197&gt;=EC$5,$E197&lt;EC$5+GanttPeriod),"◇","")),IF(AND(EC$5&lt;=$F197,EC$5+GanttPeriod-1&gt;=$E197),"━","")))</f>
        <v/>
      </c>
      <c r="ED197" s="69" t="str">
        <f aca="false">IF($E197="","",IF($M197,IF(AND($G197&gt;=ED$5,$G197&lt;ED$5+GanttPeriod),"◆",IF(AND($E197&gt;=ED$5,$E197&lt;ED$5+GanttPeriod),"◇","")),IF(AND(ED$5&lt;=$F197,ED$5+GanttPeriod-1&gt;=$E197),"━","")))</f>
        <v/>
      </c>
      <c r="EE197" s="69" t="str">
        <f aca="false">IF($E197="","",IF($M197,IF(AND($G197&gt;=EE$5,$G197&lt;EE$5+GanttPeriod),"◆",IF(AND($E197&gt;=EE$5,$E197&lt;EE$5+GanttPeriod),"◇","")),IF(AND(EE$5&lt;=$F197,EE$5+GanttPeriod-1&gt;=$E197),"━","")))</f>
        <v/>
      </c>
      <c r="EF197" s="69" t="str">
        <f aca="false">IF($E197="","",IF($M197,IF(AND($G197&gt;=EF$5,$G197&lt;EF$5+GanttPeriod),"◆",IF(AND($E197&gt;=EF$5,$E197&lt;EF$5+GanttPeriod),"◇","")),IF(AND(EF$5&lt;=$F197,EF$5+GanttPeriod-1&gt;=$E197),"━","")))</f>
        <v/>
      </c>
      <c r="EG197" s="69" t="str">
        <f aca="false">IF($E197="","",IF($M197,IF(AND($G197&gt;=EG$5,$G197&lt;EG$5+GanttPeriod),"◆",IF(AND($E197&gt;=EG$5,$E197&lt;EG$5+GanttPeriod),"◇","")),IF(AND(EG$5&lt;=$F197,EG$5+GanttPeriod-1&gt;=$E197),"━","")))</f>
        <v/>
      </c>
      <c r="EH197" s="69" t="str">
        <f aca="false">IF($E197="","",IF($M197,IF(AND($G197&gt;=EH$5,$G197&lt;EH$5+GanttPeriod),"◆",IF(AND($E197&gt;=EH$5,$E197&lt;EH$5+GanttPeriod),"◇","")),IF(AND(EH$5&lt;=$F197,EH$5+GanttPeriod-1&gt;=$E197),"━","")))</f>
        <v/>
      </c>
      <c r="EI197" s="69" t="str">
        <f aca="false">IF($E197="","",IF($M197,IF(AND($G197&gt;=EI$5,$G197&lt;EI$5+GanttPeriod),"◆",IF(AND($E197&gt;=EI$5,$E197&lt;EI$5+GanttPeriod),"◇","")),IF(AND(EI$5&lt;=$F197,EI$5+GanttPeriod-1&gt;=$E197),"━","")))</f>
        <v/>
      </c>
      <c r="EJ197" s="69" t="str">
        <f aca="false">IF($E197="","",IF($M197,IF(AND($G197&gt;=EJ$5,$G197&lt;EJ$5+GanttPeriod),"◆",IF(AND($E197&gt;=EJ$5,$E197&lt;EJ$5+GanttPeriod),"◇","")),IF(AND(EJ$5&lt;=$F197,EJ$5+GanttPeriod-1&gt;=$E197),"━","")))</f>
        <v/>
      </c>
      <c r="EK197" s="69" t="str">
        <f aca="false">IF($E197="","",IF($M197,IF(AND($G197&gt;=EK$5,$G197&lt;EK$5+GanttPeriod),"◆",IF(AND($E197&gt;=EK$5,$E197&lt;EK$5+GanttPeriod),"◇","")),IF(AND(EK$5&lt;=$F197,EK$5+GanttPeriod-1&gt;=$E197),"━","")))</f>
        <v/>
      </c>
      <c r="EL197" s="69" t="str">
        <f aca="false">IF($E197="","",IF($M197,IF(AND($G197&gt;=EL$5,$G197&lt;EL$5+GanttPeriod),"◆",IF(AND($E197&gt;=EL$5,$E197&lt;EL$5+GanttPeriod),"◇","")),IF(AND(EL$5&lt;=$F197,EL$5+GanttPeriod-1&gt;=$E197),"━","")))</f>
        <v/>
      </c>
      <c r="EM197" s="69" t="str">
        <f aca="false">IF($E197="","",IF($M197,IF(AND($G197&gt;=EM$5,$G197&lt;EM$5+GanttPeriod),"◆",IF(AND($E197&gt;=EM$5,$E197&lt;EM$5+GanttPeriod),"◇","")),IF(AND(EM$5&lt;=$F197,EM$5+GanttPeriod-1&gt;=$E197),"━","")))</f>
        <v/>
      </c>
      <c r="EN197" s="69" t="str">
        <f aca="false">IF($E197="","",IF($M197,IF(AND($G197&gt;=EN$5,$G197&lt;EN$5+GanttPeriod),"◆",IF(AND($E197&gt;=EN$5,$E197&lt;EN$5+GanttPeriod),"◇","")),IF(AND(EN$5&lt;=$F197,EN$5+GanttPeriod-1&gt;=$E197),"━","")))</f>
        <v/>
      </c>
      <c r="EO197" s="69" t="str">
        <f aca="false">IF($E197="","",IF($M197,IF(AND($G197&gt;=EO$5,$G197&lt;EO$5+GanttPeriod),"◆",IF(AND($E197&gt;=EO$5,$E197&lt;EO$5+GanttPeriod),"◇","")),IF(AND(EO$5&lt;=$F197,EO$5+GanttPeriod-1&gt;=$E197),"━","")))</f>
        <v/>
      </c>
      <c r="EP197" s="69" t="str">
        <f aca="false">IF($E197="","",IF($M197,IF(AND($G197&gt;=EP$5,$G197&lt;EP$5+GanttPeriod),"◆",IF(AND($E197&gt;=EP$5,$E197&lt;EP$5+GanttPeriod),"◇","")),IF(AND(EP$5&lt;=$F197,EP$5+GanttPeriod-1&gt;=$E197),"━","")))</f>
        <v/>
      </c>
      <c r="EQ197" s="69" t="str">
        <f aca="false">IF($E197="","",IF($M197,IF(AND($G197&gt;=EQ$5,$G197&lt;EQ$5+GanttPeriod),"◆",IF(AND($E197&gt;=EQ$5,$E197&lt;EQ$5+GanttPeriod),"◇","")),IF(AND(EQ$5&lt;=$F197,EQ$5+GanttPeriod-1&gt;=$E197),"━","")))</f>
        <v/>
      </c>
      <c r="ER197" s="69" t="str">
        <f aca="false">IF($E197="","",IF($M197,IF(AND($G197&gt;=ER$5,$G197&lt;ER$5+GanttPeriod),"◆",IF(AND($E197&gt;=ER$5,$E197&lt;ER$5+GanttPeriod),"◇","")),IF(AND(ER$5&lt;=$F197,ER$5+GanttPeriod-1&gt;=$E197),"━","")))</f>
        <v/>
      </c>
      <c r="ES197" s="69" t="str">
        <f aca="false">IF($E197="","",IF($M197,IF(AND($G197&gt;=ES$5,$G197&lt;ES$5+GanttPeriod),"◆",IF(AND($E197&gt;=ES$5,$E197&lt;ES$5+GanttPeriod),"◇","")),IF(AND(ES$5&lt;=$F197,ES$5+GanttPeriod-1&gt;=$E197),"━","")))</f>
        <v/>
      </c>
      <c r="ET197" s="69" t="str">
        <f aca="false">IF($E197="","",IF($M197,IF(AND($G197&gt;=ET$5,$G197&lt;ET$5+GanttPeriod),"◆",IF(AND($E197&gt;=ET$5,$E197&lt;ET$5+GanttPeriod),"◇","")),IF(AND(ET$5&lt;=$F197,ET$5+GanttPeriod-1&gt;=$E197),"━","")))</f>
        <v/>
      </c>
      <c r="EU197" s="69" t="str">
        <f aca="false">IF($E197="","",IF($M197,IF(AND($G197&gt;=EU$5,$G197&lt;EU$5+GanttPeriod),"◆",IF(AND($E197&gt;=EU$5,$E197&lt;EU$5+GanttPeriod),"◇","")),IF(AND(EU$5&lt;=$F197,EU$5+GanttPeriod-1&gt;=$E197),"━","")))</f>
        <v/>
      </c>
      <c r="EV197" s="69" t="str">
        <f aca="false">IF($E197="","",IF($M197,IF(AND($G197&gt;=EV$5,$G197&lt;EV$5+GanttPeriod),"◆",IF(AND($E197&gt;=EV$5,$E197&lt;EV$5+GanttPeriod),"◇","")),IF(AND(EV$5&lt;=$F197,EV$5+GanttPeriod-1&gt;=$E197),"━","")))</f>
        <v/>
      </c>
      <c r="EW197" s="69" t="str">
        <f aca="false">IF($E197="","",IF($M197,IF(AND($G197&gt;=EW$5,$G197&lt;EW$5+GanttPeriod),"◆",IF(AND($E197&gt;=EW$5,$E197&lt;EW$5+GanttPeriod),"◇","")),IF(AND(EW$5&lt;=$F197,EW$5+GanttPeriod-1&gt;=$E197),"━","")))</f>
        <v/>
      </c>
      <c r="EX197" s="69" t="str">
        <f aca="false">IF($E197="","",IF($M197,IF(AND($G197&gt;=EX$5,$G197&lt;EX$5+GanttPeriod),"◆",IF(AND($E197&gt;=EX$5,$E197&lt;EX$5+GanttPeriod),"◇","")),IF(AND(EX$5&lt;=$F197,EX$5+GanttPeriod-1&gt;=$E197),"━","")))</f>
        <v/>
      </c>
      <c r="EY197" s="69" t="str">
        <f aca="false">IF($E197="","",IF($M197,IF(AND($G197&gt;=EY$5,$G197&lt;EY$5+GanttPeriod),"◆",IF(AND($E197&gt;=EY$5,$E197&lt;EY$5+GanttPeriod),"◇","")),IF(AND(EY$5&lt;=$F197,EY$5+GanttPeriod-1&gt;=$E197),"━","")))</f>
        <v/>
      </c>
      <c r="EZ197" s="69" t="str">
        <f aca="false">IF($E197="","",IF($M197,IF(AND($G197&gt;=EZ$5,$G197&lt;EZ$5+GanttPeriod),"◆",IF(AND($E197&gt;=EZ$5,$E197&lt;EZ$5+GanttPeriod),"◇","")),IF(AND(EZ$5&lt;=$F197,EZ$5+GanttPeriod-1&gt;=$E197),"━","")))</f>
        <v/>
      </c>
      <c r="FA197" s="69" t="str">
        <f aca="false">IF($E197="","",IF($M197,IF(AND($G197&gt;=FA$5,$G197&lt;FA$5+GanttPeriod),"◆",IF(AND($E197&gt;=FA$5,$E197&lt;FA$5+GanttPeriod),"◇","")),IF(AND(FA$5&lt;=$F197,FA$5+GanttPeriod-1&gt;=$E197),"━","")))</f>
        <v/>
      </c>
      <c r="FB197" s="69" t="str">
        <f aca="false">IF($E197="","",IF($M197,IF(AND($G197&gt;=FB$5,$G197&lt;FB$5+GanttPeriod),"◆",IF(AND($E197&gt;=FB$5,$E197&lt;FB$5+GanttPeriod),"◇","")),IF(AND(FB$5&lt;=$F197,FB$5+GanttPeriod-1&gt;=$E197),"━","")))</f>
        <v/>
      </c>
      <c r="FC197" s="69" t="str">
        <f aca="false">IF($E197="","",IF($M197,IF(AND($G197&gt;=FC$5,$G197&lt;FC$5+GanttPeriod),"◆",IF(AND($E197&gt;=FC$5,$E197&lt;FC$5+GanttPeriod),"◇","")),IF(AND(FC$5&lt;=$F197,FC$5+GanttPeriod-1&gt;=$E197),"━","")))</f>
        <v/>
      </c>
      <c r="FD197" s="69" t="str">
        <f aca="false">IF($E197="","",IF($M197,IF(AND($G197&gt;=FD$5,$G197&lt;FD$5+GanttPeriod),"◆",IF(AND($E197&gt;=FD$5,$E197&lt;FD$5+GanttPeriod),"◇","")),IF(AND(FD$5&lt;=$F197,FD$5+GanttPeriod-1&gt;=$E197),"━","")))</f>
        <v/>
      </c>
      <c r="FE197" s="69" t="str">
        <f aca="false">IF($E197="","",IF($M197,IF(AND($G197&gt;=FE$5,$G197&lt;FE$5+GanttPeriod),"◆",IF(AND($E197&gt;=FE$5,$E197&lt;FE$5+GanttPeriod),"◇","")),IF(AND(FE$5&lt;=$F197,FE$5+GanttPeriod-1&gt;=$E197),"━","")))</f>
        <v/>
      </c>
      <c r="FF197" s="69" t="str">
        <f aca="false">IF($E197="","",IF($M197,IF(AND($G197&gt;=FF$5,$G197&lt;FF$5+GanttPeriod),"◆",IF(AND($E197&gt;=FF$5,$E197&lt;FF$5+GanttPeriod),"◇","")),IF(AND(FF$5&lt;=$F197,FF$5+GanttPeriod-1&gt;=$E197),"━","")))</f>
        <v/>
      </c>
      <c r="FG197" s="69" t="str">
        <f aca="false">IF($E197="","",IF($M197,IF(AND($G197&gt;=FG$5,$G197&lt;FG$5+GanttPeriod),"◆",IF(AND($E197&gt;=FG$5,$E197&lt;FG$5+GanttPeriod),"◇","")),IF(AND(FG$5&lt;=$F197,FG$5+GanttPeriod-1&gt;=$E197),"━","")))</f>
        <v/>
      </c>
      <c r="FH197" s="69" t="str">
        <f aca="false">IF($E197="","",IF($M197,IF(AND($G197&gt;=FH$5,$G197&lt;FH$5+GanttPeriod),"◆",IF(AND($E197&gt;=FH$5,$E197&lt;FH$5+GanttPeriod),"◇","")),IF(AND(FH$5&lt;=$F197,FH$5+GanttPeriod-1&gt;=$E197),"━","")))</f>
        <v/>
      </c>
      <c r="FI197" s="69" t="str">
        <f aca="false">IF($E197="","",IF($M197,IF(AND($G197&gt;=FI$5,$G197&lt;FI$5+GanttPeriod),"◆",IF(AND($E197&gt;=FI$5,$E197&lt;FI$5+GanttPeriod),"◇","")),IF(AND(FI$5&lt;=$F197,FI$5+GanttPeriod-1&gt;=$E197),"━","")))</f>
        <v/>
      </c>
      <c r="FJ197" s="69" t="str">
        <f aca="false">IF($E197="","",IF($M197,IF(AND($G197&gt;=FJ$5,$G197&lt;FJ$5+GanttPeriod),"◆",IF(AND($E197&gt;=FJ$5,$E197&lt;FJ$5+GanttPeriod),"◇","")),IF(AND(FJ$5&lt;=$F197,FJ$5+GanttPeriod-1&gt;=$E197),"━","")))</f>
        <v/>
      </c>
      <c r="FK197" s="69" t="str">
        <f aca="false">IF($E197="","",IF($M197,IF(AND($G197&gt;=FK$5,$G197&lt;FK$5+GanttPeriod),"◆",IF(AND($E197&gt;=FK$5,$E197&lt;FK$5+GanttPeriod),"◇","")),IF(AND(FK$5&lt;=$F197,FK$5+GanttPeriod-1&gt;=$E197),"━","")))</f>
        <v/>
      </c>
      <c r="FL197" s="69" t="str">
        <f aca="false">IF($E197="","",IF($M197,IF(AND($G197&gt;=FL$5,$G197&lt;FL$5+GanttPeriod),"◆",IF(AND($E197&gt;=FL$5,$E197&lt;FL$5+GanttPeriod),"◇","")),IF(AND(FL$5&lt;=$F197,FL$5+GanttPeriod-1&gt;=$E197),"━","")))</f>
        <v/>
      </c>
      <c r="FM197" s="69" t="str">
        <f aca="false">IF($E197="","",IF($M197,IF(AND($G197&gt;=FM$5,$G197&lt;FM$5+GanttPeriod),"◆",IF(AND($E197&gt;=FM$5,$E197&lt;FM$5+GanttPeriod),"◇","")),IF(AND(FM$5&lt;=$F197,FM$5+GanttPeriod-1&gt;=$E197),"━","")))</f>
        <v/>
      </c>
    </row>
    <row r="198" customFormat="false" ht="15" hidden="false" customHeight="false" outlineLevel="0" collapsed="false">
      <c r="A198" s="62" t="str">
        <f aca="false">IF(Tasks!$D198="","",Tasks!$A198)</f>
        <v/>
      </c>
      <c r="B198" s="62" t="str">
        <f aca="false">IF(Tasks!$D198="","",Tasks!$B198)</f>
        <v/>
      </c>
      <c r="C198" s="63" t="str">
        <f aca="false">IF(Tasks!$D198="","",REPT("    ",Tasks!$AE198-1)&amp;Tasks!$D198)</f>
        <v/>
      </c>
      <c r="D198" s="62" t="str">
        <f aca="false">IF(Tasks!$D198="","",IF(Tasks!$AI198,NETWORKDAYS.INTL(Tasks!$R198,Tasks!$S198,WorkWeek,Holidays),N(Tasks!$F198)))</f>
        <v/>
      </c>
      <c r="E198" s="64" t="str">
        <f aca="false">IF(Tasks!$D198="","",Tasks!$N198)</f>
        <v/>
      </c>
      <c r="F198" s="64" t="str">
        <f aca="false">IF(Tasks!$D198="","",Tasks!$O198)</f>
        <v/>
      </c>
      <c r="G198" s="64" t="str">
        <f aca="false">IF(Tasks!$D198="","",Tasks!$R198)</f>
        <v/>
      </c>
      <c r="H198" s="64" t="str">
        <f aca="false">IF(Tasks!$D198="","",Tasks!$S198)</f>
        <v/>
      </c>
      <c r="I198" s="65" t="str">
        <f aca="false">IF(Tasks!$D198="","",Tasks!$V198)</f>
        <v/>
      </c>
      <c r="J198" s="63" t="str">
        <f aca="false">IF(Tasks!$D198="","",Tasks!$X198&amp;"")</f>
        <v/>
      </c>
      <c r="K198" s="66" t="str">
        <f aca="false">IF(Tasks!$D198="","",Tasks!$W198)</f>
        <v/>
      </c>
      <c r="L198" s="67" t="b">
        <f aca="false">IF(Tasks!$D198="",FALSE(),Tasks!$AI198)</f>
        <v>0</v>
      </c>
      <c r="M198" s="67" t="b">
        <f aca="false">AND(Tasks!$AJ198=1,N(Tasks!$F198)=0)</f>
        <v>0</v>
      </c>
      <c r="N198" s="68" t="n">
        <f aca="false">IF(AND(Tasks!$AJ198=1,NOT($M198),N($I198)&gt;0),$G198,0)</f>
        <v>0</v>
      </c>
      <c r="O198" s="68" t="n">
        <f aca="false">IF($N198=0,0,IF($I198&gt;=1,$H198,MAX($N198,$G198+ROUND(($H198-$G198+1)*$I198,0)-1)))</f>
        <v>0</v>
      </c>
      <c r="P198" s="68" t="n">
        <f aca="false">IF(OR(Tasks!$AJ198&lt;&gt;1,$M198,N($I198)&gt;=1),0,IF($O198&gt;0,$O198+1,$G198))</f>
        <v>0</v>
      </c>
      <c r="Q198" s="68" t="n">
        <f aca="false">IF($P198=0,0,$H198)</f>
        <v>0</v>
      </c>
      <c r="R198" s="67" t="b">
        <f aca="false">AND(Tasks!$D198&lt;&gt;"",N(Tasks!$T198)&gt;0)</f>
        <v>0</v>
      </c>
      <c r="T198" s="69" t="str">
        <f aca="false">IF($E198="","",IF($M198,IF(AND($G198&gt;=T$5,$G198&lt;T$5+GanttPeriod),"◆",IF(AND($E198&gt;=T$5,$E198&lt;T$5+GanttPeriod),"◇","")),IF(AND(T$5&lt;=$F198,T$5+GanttPeriod-1&gt;=$E198),"━","")))</f>
        <v/>
      </c>
      <c r="U198" s="69" t="str">
        <f aca="false">IF($E198="","",IF($M198,IF(AND($G198&gt;=U$5,$G198&lt;U$5+GanttPeriod),"◆",IF(AND($E198&gt;=U$5,$E198&lt;U$5+GanttPeriod),"◇","")),IF(AND(U$5&lt;=$F198,U$5+GanttPeriod-1&gt;=$E198),"━","")))</f>
        <v/>
      </c>
      <c r="V198" s="69" t="str">
        <f aca="false">IF($E198="","",IF($M198,IF(AND($G198&gt;=V$5,$G198&lt;V$5+GanttPeriod),"◆",IF(AND($E198&gt;=V$5,$E198&lt;V$5+GanttPeriod),"◇","")),IF(AND(V$5&lt;=$F198,V$5+GanttPeriod-1&gt;=$E198),"━","")))</f>
        <v/>
      </c>
      <c r="W198" s="69" t="str">
        <f aca="false">IF($E198="","",IF($M198,IF(AND($G198&gt;=W$5,$G198&lt;W$5+GanttPeriod),"◆",IF(AND($E198&gt;=W$5,$E198&lt;W$5+GanttPeriod),"◇","")),IF(AND(W$5&lt;=$F198,W$5+GanttPeriod-1&gt;=$E198),"━","")))</f>
        <v/>
      </c>
      <c r="X198" s="69" t="str">
        <f aca="false">IF($E198="","",IF($M198,IF(AND($G198&gt;=X$5,$G198&lt;X$5+GanttPeriod),"◆",IF(AND($E198&gt;=X$5,$E198&lt;X$5+GanttPeriod),"◇","")),IF(AND(X$5&lt;=$F198,X$5+GanttPeriod-1&gt;=$E198),"━","")))</f>
        <v/>
      </c>
      <c r="Y198" s="69" t="str">
        <f aca="false">IF($E198="","",IF($M198,IF(AND($G198&gt;=Y$5,$G198&lt;Y$5+GanttPeriod),"◆",IF(AND($E198&gt;=Y$5,$E198&lt;Y$5+GanttPeriod),"◇","")),IF(AND(Y$5&lt;=$F198,Y$5+GanttPeriod-1&gt;=$E198),"━","")))</f>
        <v/>
      </c>
      <c r="Z198" s="69" t="str">
        <f aca="false">IF($E198="","",IF($M198,IF(AND($G198&gt;=Z$5,$G198&lt;Z$5+GanttPeriod),"◆",IF(AND($E198&gt;=Z$5,$E198&lt;Z$5+GanttPeriod),"◇","")),IF(AND(Z$5&lt;=$F198,Z$5+GanttPeriod-1&gt;=$E198),"━","")))</f>
        <v/>
      </c>
      <c r="AA198" s="69" t="str">
        <f aca="false">IF($E198="","",IF($M198,IF(AND($G198&gt;=AA$5,$G198&lt;AA$5+GanttPeriod),"◆",IF(AND($E198&gt;=AA$5,$E198&lt;AA$5+GanttPeriod),"◇","")),IF(AND(AA$5&lt;=$F198,AA$5+GanttPeriod-1&gt;=$E198),"━","")))</f>
        <v/>
      </c>
      <c r="AB198" s="69" t="str">
        <f aca="false">IF($E198="","",IF($M198,IF(AND($G198&gt;=AB$5,$G198&lt;AB$5+GanttPeriod),"◆",IF(AND($E198&gt;=AB$5,$E198&lt;AB$5+GanttPeriod),"◇","")),IF(AND(AB$5&lt;=$F198,AB$5+GanttPeriod-1&gt;=$E198),"━","")))</f>
        <v/>
      </c>
      <c r="AC198" s="69" t="str">
        <f aca="false">IF($E198="","",IF($M198,IF(AND($G198&gt;=AC$5,$G198&lt;AC$5+GanttPeriod),"◆",IF(AND($E198&gt;=AC$5,$E198&lt;AC$5+GanttPeriod),"◇","")),IF(AND(AC$5&lt;=$F198,AC$5+GanttPeriod-1&gt;=$E198),"━","")))</f>
        <v/>
      </c>
      <c r="AD198" s="69" t="str">
        <f aca="false">IF($E198="","",IF($M198,IF(AND($G198&gt;=AD$5,$G198&lt;AD$5+GanttPeriod),"◆",IF(AND($E198&gt;=AD$5,$E198&lt;AD$5+GanttPeriod),"◇","")),IF(AND(AD$5&lt;=$F198,AD$5+GanttPeriod-1&gt;=$E198),"━","")))</f>
        <v/>
      </c>
      <c r="AE198" s="69" t="str">
        <f aca="false">IF($E198="","",IF($M198,IF(AND($G198&gt;=AE$5,$G198&lt;AE$5+GanttPeriod),"◆",IF(AND($E198&gt;=AE$5,$E198&lt;AE$5+GanttPeriod),"◇","")),IF(AND(AE$5&lt;=$F198,AE$5+GanttPeriod-1&gt;=$E198),"━","")))</f>
        <v/>
      </c>
      <c r="AF198" s="69" t="str">
        <f aca="false">IF($E198="","",IF($M198,IF(AND($G198&gt;=AF$5,$G198&lt;AF$5+GanttPeriod),"◆",IF(AND($E198&gt;=AF$5,$E198&lt;AF$5+GanttPeriod),"◇","")),IF(AND(AF$5&lt;=$F198,AF$5+GanttPeriod-1&gt;=$E198),"━","")))</f>
        <v/>
      </c>
      <c r="AG198" s="69" t="str">
        <f aca="false">IF($E198="","",IF($M198,IF(AND($G198&gt;=AG$5,$G198&lt;AG$5+GanttPeriod),"◆",IF(AND($E198&gt;=AG$5,$E198&lt;AG$5+GanttPeriod),"◇","")),IF(AND(AG$5&lt;=$F198,AG$5+GanttPeriod-1&gt;=$E198),"━","")))</f>
        <v/>
      </c>
      <c r="AH198" s="69" t="str">
        <f aca="false">IF($E198="","",IF($M198,IF(AND($G198&gt;=AH$5,$G198&lt;AH$5+GanttPeriod),"◆",IF(AND($E198&gt;=AH$5,$E198&lt;AH$5+GanttPeriod),"◇","")),IF(AND(AH$5&lt;=$F198,AH$5+GanttPeriod-1&gt;=$E198),"━","")))</f>
        <v/>
      </c>
      <c r="AI198" s="69" t="str">
        <f aca="false">IF($E198="","",IF($M198,IF(AND($G198&gt;=AI$5,$G198&lt;AI$5+GanttPeriod),"◆",IF(AND($E198&gt;=AI$5,$E198&lt;AI$5+GanttPeriod),"◇","")),IF(AND(AI$5&lt;=$F198,AI$5+GanttPeriod-1&gt;=$E198),"━","")))</f>
        <v/>
      </c>
      <c r="AJ198" s="69" t="str">
        <f aca="false">IF($E198="","",IF($M198,IF(AND($G198&gt;=AJ$5,$G198&lt;AJ$5+GanttPeriod),"◆",IF(AND($E198&gt;=AJ$5,$E198&lt;AJ$5+GanttPeriod),"◇","")),IF(AND(AJ$5&lt;=$F198,AJ$5+GanttPeriod-1&gt;=$E198),"━","")))</f>
        <v/>
      </c>
      <c r="AK198" s="69" t="str">
        <f aca="false">IF($E198="","",IF($M198,IF(AND($G198&gt;=AK$5,$G198&lt;AK$5+GanttPeriod),"◆",IF(AND($E198&gt;=AK$5,$E198&lt;AK$5+GanttPeriod),"◇","")),IF(AND(AK$5&lt;=$F198,AK$5+GanttPeriod-1&gt;=$E198),"━","")))</f>
        <v/>
      </c>
      <c r="AL198" s="69" t="str">
        <f aca="false">IF($E198="","",IF($M198,IF(AND($G198&gt;=AL$5,$G198&lt;AL$5+GanttPeriod),"◆",IF(AND($E198&gt;=AL$5,$E198&lt;AL$5+GanttPeriod),"◇","")),IF(AND(AL$5&lt;=$F198,AL$5+GanttPeriod-1&gt;=$E198),"━","")))</f>
        <v/>
      </c>
      <c r="AM198" s="69" t="str">
        <f aca="false">IF($E198="","",IF($M198,IF(AND($G198&gt;=AM$5,$G198&lt;AM$5+GanttPeriod),"◆",IF(AND($E198&gt;=AM$5,$E198&lt;AM$5+GanttPeriod),"◇","")),IF(AND(AM$5&lt;=$F198,AM$5+GanttPeriod-1&gt;=$E198),"━","")))</f>
        <v/>
      </c>
      <c r="AN198" s="69" t="str">
        <f aca="false">IF($E198="","",IF($M198,IF(AND($G198&gt;=AN$5,$G198&lt;AN$5+GanttPeriod),"◆",IF(AND($E198&gt;=AN$5,$E198&lt;AN$5+GanttPeriod),"◇","")),IF(AND(AN$5&lt;=$F198,AN$5+GanttPeriod-1&gt;=$E198),"━","")))</f>
        <v/>
      </c>
      <c r="AO198" s="69" t="str">
        <f aca="false">IF($E198="","",IF($M198,IF(AND($G198&gt;=AO$5,$G198&lt;AO$5+GanttPeriod),"◆",IF(AND($E198&gt;=AO$5,$E198&lt;AO$5+GanttPeriod),"◇","")),IF(AND(AO$5&lt;=$F198,AO$5+GanttPeriod-1&gt;=$E198),"━","")))</f>
        <v/>
      </c>
      <c r="AP198" s="69" t="str">
        <f aca="false">IF($E198="","",IF($M198,IF(AND($G198&gt;=AP$5,$G198&lt;AP$5+GanttPeriod),"◆",IF(AND($E198&gt;=AP$5,$E198&lt;AP$5+GanttPeriod),"◇","")),IF(AND(AP$5&lt;=$F198,AP$5+GanttPeriod-1&gt;=$E198),"━","")))</f>
        <v/>
      </c>
      <c r="AQ198" s="69" t="str">
        <f aca="false">IF($E198="","",IF($M198,IF(AND($G198&gt;=AQ$5,$G198&lt;AQ$5+GanttPeriod),"◆",IF(AND($E198&gt;=AQ$5,$E198&lt;AQ$5+GanttPeriod),"◇","")),IF(AND(AQ$5&lt;=$F198,AQ$5+GanttPeriod-1&gt;=$E198),"━","")))</f>
        <v/>
      </c>
      <c r="AR198" s="69" t="str">
        <f aca="false">IF($E198="","",IF($M198,IF(AND($G198&gt;=AR$5,$G198&lt;AR$5+GanttPeriod),"◆",IF(AND($E198&gt;=AR$5,$E198&lt;AR$5+GanttPeriod),"◇","")),IF(AND(AR$5&lt;=$F198,AR$5+GanttPeriod-1&gt;=$E198),"━","")))</f>
        <v/>
      </c>
      <c r="AS198" s="69" t="str">
        <f aca="false">IF($E198="","",IF($M198,IF(AND($G198&gt;=AS$5,$G198&lt;AS$5+GanttPeriod),"◆",IF(AND($E198&gt;=AS$5,$E198&lt;AS$5+GanttPeriod),"◇","")),IF(AND(AS$5&lt;=$F198,AS$5+GanttPeriod-1&gt;=$E198),"━","")))</f>
        <v/>
      </c>
      <c r="AT198" s="69" t="str">
        <f aca="false">IF($E198="","",IF($M198,IF(AND($G198&gt;=AT$5,$G198&lt;AT$5+GanttPeriod),"◆",IF(AND($E198&gt;=AT$5,$E198&lt;AT$5+GanttPeriod),"◇","")),IF(AND(AT$5&lt;=$F198,AT$5+GanttPeriod-1&gt;=$E198),"━","")))</f>
        <v/>
      </c>
      <c r="AU198" s="69" t="str">
        <f aca="false">IF($E198="","",IF($M198,IF(AND($G198&gt;=AU$5,$G198&lt;AU$5+GanttPeriod),"◆",IF(AND($E198&gt;=AU$5,$E198&lt;AU$5+GanttPeriod),"◇","")),IF(AND(AU$5&lt;=$F198,AU$5+GanttPeriod-1&gt;=$E198),"━","")))</f>
        <v/>
      </c>
      <c r="AV198" s="69" t="str">
        <f aca="false">IF($E198="","",IF($M198,IF(AND($G198&gt;=AV$5,$G198&lt;AV$5+GanttPeriod),"◆",IF(AND($E198&gt;=AV$5,$E198&lt;AV$5+GanttPeriod),"◇","")),IF(AND(AV$5&lt;=$F198,AV$5+GanttPeriod-1&gt;=$E198),"━","")))</f>
        <v/>
      </c>
      <c r="AW198" s="69" t="str">
        <f aca="false">IF($E198="","",IF($M198,IF(AND($G198&gt;=AW$5,$G198&lt;AW$5+GanttPeriod),"◆",IF(AND($E198&gt;=AW$5,$E198&lt;AW$5+GanttPeriod),"◇","")),IF(AND(AW$5&lt;=$F198,AW$5+GanttPeriod-1&gt;=$E198),"━","")))</f>
        <v/>
      </c>
      <c r="AX198" s="69" t="str">
        <f aca="false">IF($E198="","",IF($M198,IF(AND($G198&gt;=AX$5,$G198&lt;AX$5+GanttPeriod),"◆",IF(AND($E198&gt;=AX$5,$E198&lt;AX$5+GanttPeriod),"◇","")),IF(AND(AX$5&lt;=$F198,AX$5+GanttPeriod-1&gt;=$E198),"━","")))</f>
        <v/>
      </c>
      <c r="AY198" s="69" t="str">
        <f aca="false">IF($E198="","",IF($M198,IF(AND($G198&gt;=AY$5,$G198&lt;AY$5+GanttPeriod),"◆",IF(AND($E198&gt;=AY$5,$E198&lt;AY$5+GanttPeriod),"◇","")),IF(AND(AY$5&lt;=$F198,AY$5+GanttPeriod-1&gt;=$E198),"━","")))</f>
        <v/>
      </c>
      <c r="AZ198" s="69" t="str">
        <f aca="false">IF($E198="","",IF($M198,IF(AND($G198&gt;=AZ$5,$G198&lt;AZ$5+GanttPeriod),"◆",IF(AND($E198&gt;=AZ$5,$E198&lt;AZ$5+GanttPeriod),"◇","")),IF(AND(AZ$5&lt;=$F198,AZ$5+GanttPeriod-1&gt;=$E198),"━","")))</f>
        <v/>
      </c>
      <c r="BA198" s="69" t="str">
        <f aca="false">IF($E198="","",IF($M198,IF(AND($G198&gt;=BA$5,$G198&lt;BA$5+GanttPeriod),"◆",IF(AND($E198&gt;=BA$5,$E198&lt;BA$5+GanttPeriod),"◇","")),IF(AND(BA$5&lt;=$F198,BA$5+GanttPeriod-1&gt;=$E198),"━","")))</f>
        <v/>
      </c>
      <c r="BB198" s="69" t="str">
        <f aca="false">IF($E198="","",IF($M198,IF(AND($G198&gt;=BB$5,$G198&lt;BB$5+GanttPeriod),"◆",IF(AND($E198&gt;=BB$5,$E198&lt;BB$5+GanttPeriod),"◇","")),IF(AND(BB$5&lt;=$F198,BB$5+GanttPeriod-1&gt;=$E198),"━","")))</f>
        <v/>
      </c>
      <c r="BC198" s="69" t="str">
        <f aca="false">IF($E198="","",IF($M198,IF(AND($G198&gt;=BC$5,$G198&lt;BC$5+GanttPeriod),"◆",IF(AND($E198&gt;=BC$5,$E198&lt;BC$5+GanttPeriod),"◇","")),IF(AND(BC$5&lt;=$F198,BC$5+GanttPeriod-1&gt;=$E198),"━","")))</f>
        <v/>
      </c>
      <c r="BD198" s="69" t="str">
        <f aca="false">IF($E198="","",IF($M198,IF(AND($G198&gt;=BD$5,$G198&lt;BD$5+GanttPeriod),"◆",IF(AND($E198&gt;=BD$5,$E198&lt;BD$5+GanttPeriod),"◇","")),IF(AND(BD$5&lt;=$F198,BD$5+GanttPeriod-1&gt;=$E198),"━","")))</f>
        <v/>
      </c>
      <c r="BE198" s="69" t="str">
        <f aca="false">IF($E198="","",IF($M198,IF(AND($G198&gt;=BE$5,$G198&lt;BE$5+GanttPeriod),"◆",IF(AND($E198&gt;=BE$5,$E198&lt;BE$5+GanttPeriod),"◇","")),IF(AND(BE$5&lt;=$F198,BE$5+GanttPeriod-1&gt;=$E198),"━","")))</f>
        <v/>
      </c>
      <c r="BF198" s="69" t="str">
        <f aca="false">IF($E198="","",IF($M198,IF(AND($G198&gt;=BF$5,$G198&lt;BF$5+GanttPeriod),"◆",IF(AND($E198&gt;=BF$5,$E198&lt;BF$5+GanttPeriod),"◇","")),IF(AND(BF$5&lt;=$F198,BF$5+GanttPeriod-1&gt;=$E198),"━","")))</f>
        <v/>
      </c>
      <c r="BG198" s="69" t="str">
        <f aca="false">IF($E198="","",IF($M198,IF(AND($G198&gt;=BG$5,$G198&lt;BG$5+GanttPeriod),"◆",IF(AND($E198&gt;=BG$5,$E198&lt;BG$5+GanttPeriod),"◇","")),IF(AND(BG$5&lt;=$F198,BG$5+GanttPeriod-1&gt;=$E198),"━","")))</f>
        <v/>
      </c>
      <c r="BH198" s="69" t="str">
        <f aca="false">IF($E198="","",IF($M198,IF(AND($G198&gt;=BH$5,$G198&lt;BH$5+GanttPeriod),"◆",IF(AND($E198&gt;=BH$5,$E198&lt;BH$5+GanttPeriod),"◇","")),IF(AND(BH$5&lt;=$F198,BH$5+GanttPeriod-1&gt;=$E198),"━","")))</f>
        <v/>
      </c>
      <c r="BI198" s="69" t="str">
        <f aca="false">IF($E198="","",IF($M198,IF(AND($G198&gt;=BI$5,$G198&lt;BI$5+GanttPeriod),"◆",IF(AND($E198&gt;=BI$5,$E198&lt;BI$5+GanttPeriod),"◇","")),IF(AND(BI$5&lt;=$F198,BI$5+GanttPeriod-1&gt;=$E198),"━","")))</f>
        <v/>
      </c>
      <c r="BJ198" s="69" t="str">
        <f aca="false">IF($E198="","",IF($M198,IF(AND($G198&gt;=BJ$5,$G198&lt;BJ$5+GanttPeriod),"◆",IF(AND($E198&gt;=BJ$5,$E198&lt;BJ$5+GanttPeriod),"◇","")),IF(AND(BJ$5&lt;=$F198,BJ$5+GanttPeriod-1&gt;=$E198),"━","")))</f>
        <v/>
      </c>
      <c r="BK198" s="69" t="str">
        <f aca="false">IF($E198="","",IF($M198,IF(AND($G198&gt;=BK$5,$G198&lt;BK$5+GanttPeriod),"◆",IF(AND($E198&gt;=BK$5,$E198&lt;BK$5+GanttPeriod),"◇","")),IF(AND(BK$5&lt;=$F198,BK$5+GanttPeriod-1&gt;=$E198),"━","")))</f>
        <v/>
      </c>
      <c r="BL198" s="69" t="str">
        <f aca="false">IF($E198="","",IF($M198,IF(AND($G198&gt;=BL$5,$G198&lt;BL$5+GanttPeriod),"◆",IF(AND($E198&gt;=BL$5,$E198&lt;BL$5+GanttPeriod),"◇","")),IF(AND(BL$5&lt;=$F198,BL$5+GanttPeriod-1&gt;=$E198),"━","")))</f>
        <v/>
      </c>
      <c r="BM198" s="69" t="str">
        <f aca="false">IF($E198="","",IF($M198,IF(AND($G198&gt;=BM$5,$G198&lt;BM$5+GanttPeriod),"◆",IF(AND($E198&gt;=BM$5,$E198&lt;BM$5+GanttPeriod),"◇","")),IF(AND(BM$5&lt;=$F198,BM$5+GanttPeriod-1&gt;=$E198),"━","")))</f>
        <v/>
      </c>
      <c r="BN198" s="69" t="str">
        <f aca="false">IF($E198="","",IF($M198,IF(AND($G198&gt;=BN$5,$G198&lt;BN$5+GanttPeriod),"◆",IF(AND($E198&gt;=BN$5,$E198&lt;BN$5+GanttPeriod),"◇","")),IF(AND(BN$5&lt;=$F198,BN$5+GanttPeriod-1&gt;=$E198),"━","")))</f>
        <v/>
      </c>
      <c r="BO198" s="69" t="str">
        <f aca="false">IF($E198="","",IF($M198,IF(AND($G198&gt;=BO$5,$G198&lt;BO$5+GanttPeriod),"◆",IF(AND($E198&gt;=BO$5,$E198&lt;BO$5+GanttPeriod),"◇","")),IF(AND(BO$5&lt;=$F198,BO$5+GanttPeriod-1&gt;=$E198),"━","")))</f>
        <v/>
      </c>
      <c r="BP198" s="69" t="str">
        <f aca="false">IF($E198="","",IF($M198,IF(AND($G198&gt;=BP$5,$G198&lt;BP$5+GanttPeriod),"◆",IF(AND($E198&gt;=BP$5,$E198&lt;BP$5+GanttPeriod),"◇","")),IF(AND(BP$5&lt;=$F198,BP$5+GanttPeriod-1&gt;=$E198),"━","")))</f>
        <v/>
      </c>
      <c r="BQ198" s="69" t="str">
        <f aca="false">IF($E198="","",IF($M198,IF(AND($G198&gt;=BQ$5,$G198&lt;BQ$5+GanttPeriod),"◆",IF(AND($E198&gt;=BQ$5,$E198&lt;BQ$5+GanttPeriod),"◇","")),IF(AND(BQ$5&lt;=$F198,BQ$5+GanttPeriod-1&gt;=$E198),"━","")))</f>
        <v/>
      </c>
      <c r="BR198" s="69" t="str">
        <f aca="false">IF($E198="","",IF($M198,IF(AND($G198&gt;=BR$5,$G198&lt;BR$5+GanttPeriod),"◆",IF(AND($E198&gt;=BR$5,$E198&lt;BR$5+GanttPeriod),"◇","")),IF(AND(BR$5&lt;=$F198,BR$5+GanttPeriod-1&gt;=$E198),"━","")))</f>
        <v/>
      </c>
      <c r="BS198" s="69" t="str">
        <f aca="false">IF($E198="","",IF($M198,IF(AND($G198&gt;=BS$5,$G198&lt;BS$5+GanttPeriod),"◆",IF(AND($E198&gt;=BS$5,$E198&lt;BS$5+GanttPeriod),"◇","")),IF(AND(BS$5&lt;=$F198,BS$5+GanttPeriod-1&gt;=$E198),"━","")))</f>
        <v/>
      </c>
      <c r="BT198" s="69" t="str">
        <f aca="false">IF($E198="","",IF($M198,IF(AND($G198&gt;=BT$5,$G198&lt;BT$5+GanttPeriod),"◆",IF(AND($E198&gt;=BT$5,$E198&lt;BT$5+GanttPeriod),"◇","")),IF(AND(BT$5&lt;=$F198,BT$5+GanttPeriod-1&gt;=$E198),"━","")))</f>
        <v/>
      </c>
      <c r="BU198" s="69" t="str">
        <f aca="false">IF($E198="","",IF($M198,IF(AND($G198&gt;=BU$5,$G198&lt;BU$5+GanttPeriod),"◆",IF(AND($E198&gt;=BU$5,$E198&lt;BU$5+GanttPeriod),"◇","")),IF(AND(BU$5&lt;=$F198,BU$5+GanttPeriod-1&gt;=$E198),"━","")))</f>
        <v/>
      </c>
      <c r="BV198" s="69" t="str">
        <f aca="false">IF($E198="","",IF($M198,IF(AND($G198&gt;=BV$5,$G198&lt;BV$5+GanttPeriod),"◆",IF(AND($E198&gt;=BV$5,$E198&lt;BV$5+GanttPeriod),"◇","")),IF(AND(BV$5&lt;=$F198,BV$5+GanttPeriod-1&gt;=$E198),"━","")))</f>
        <v/>
      </c>
      <c r="BW198" s="69" t="str">
        <f aca="false">IF($E198="","",IF($M198,IF(AND($G198&gt;=BW$5,$G198&lt;BW$5+GanttPeriod),"◆",IF(AND($E198&gt;=BW$5,$E198&lt;BW$5+GanttPeriod),"◇","")),IF(AND(BW$5&lt;=$F198,BW$5+GanttPeriod-1&gt;=$E198),"━","")))</f>
        <v/>
      </c>
      <c r="BX198" s="69" t="str">
        <f aca="false">IF($E198="","",IF($M198,IF(AND($G198&gt;=BX$5,$G198&lt;BX$5+GanttPeriod),"◆",IF(AND($E198&gt;=BX$5,$E198&lt;BX$5+GanttPeriod),"◇","")),IF(AND(BX$5&lt;=$F198,BX$5+GanttPeriod-1&gt;=$E198),"━","")))</f>
        <v/>
      </c>
      <c r="BY198" s="69" t="str">
        <f aca="false">IF($E198="","",IF($M198,IF(AND($G198&gt;=BY$5,$G198&lt;BY$5+GanttPeriod),"◆",IF(AND($E198&gt;=BY$5,$E198&lt;BY$5+GanttPeriod),"◇","")),IF(AND(BY$5&lt;=$F198,BY$5+GanttPeriod-1&gt;=$E198),"━","")))</f>
        <v/>
      </c>
      <c r="BZ198" s="69" t="str">
        <f aca="false">IF($E198="","",IF($M198,IF(AND($G198&gt;=BZ$5,$G198&lt;BZ$5+GanttPeriod),"◆",IF(AND($E198&gt;=BZ$5,$E198&lt;BZ$5+GanttPeriod),"◇","")),IF(AND(BZ$5&lt;=$F198,BZ$5+GanttPeriod-1&gt;=$E198),"━","")))</f>
        <v/>
      </c>
      <c r="CA198" s="69" t="str">
        <f aca="false">IF($E198="","",IF($M198,IF(AND($G198&gt;=CA$5,$G198&lt;CA$5+GanttPeriod),"◆",IF(AND($E198&gt;=CA$5,$E198&lt;CA$5+GanttPeriod),"◇","")),IF(AND(CA$5&lt;=$F198,CA$5+GanttPeriod-1&gt;=$E198),"━","")))</f>
        <v/>
      </c>
      <c r="CB198" s="69" t="str">
        <f aca="false">IF($E198="","",IF($M198,IF(AND($G198&gt;=CB$5,$G198&lt;CB$5+GanttPeriod),"◆",IF(AND($E198&gt;=CB$5,$E198&lt;CB$5+GanttPeriod),"◇","")),IF(AND(CB$5&lt;=$F198,CB$5+GanttPeriod-1&gt;=$E198),"━","")))</f>
        <v/>
      </c>
      <c r="CC198" s="69" t="str">
        <f aca="false">IF($E198="","",IF($M198,IF(AND($G198&gt;=CC$5,$G198&lt;CC$5+GanttPeriod),"◆",IF(AND($E198&gt;=CC$5,$E198&lt;CC$5+GanttPeriod),"◇","")),IF(AND(CC$5&lt;=$F198,CC$5+GanttPeriod-1&gt;=$E198),"━","")))</f>
        <v/>
      </c>
      <c r="CD198" s="69" t="str">
        <f aca="false">IF($E198="","",IF($M198,IF(AND($G198&gt;=CD$5,$G198&lt;CD$5+GanttPeriod),"◆",IF(AND($E198&gt;=CD$5,$E198&lt;CD$5+GanttPeriod),"◇","")),IF(AND(CD$5&lt;=$F198,CD$5+GanttPeriod-1&gt;=$E198),"━","")))</f>
        <v/>
      </c>
      <c r="CE198" s="69" t="str">
        <f aca="false">IF($E198="","",IF($M198,IF(AND($G198&gt;=CE$5,$G198&lt;CE$5+GanttPeriod),"◆",IF(AND($E198&gt;=CE$5,$E198&lt;CE$5+GanttPeriod),"◇","")),IF(AND(CE$5&lt;=$F198,CE$5+GanttPeriod-1&gt;=$E198),"━","")))</f>
        <v/>
      </c>
      <c r="CF198" s="69" t="str">
        <f aca="false">IF($E198="","",IF($M198,IF(AND($G198&gt;=CF$5,$G198&lt;CF$5+GanttPeriod),"◆",IF(AND($E198&gt;=CF$5,$E198&lt;CF$5+GanttPeriod),"◇","")),IF(AND(CF$5&lt;=$F198,CF$5+GanttPeriod-1&gt;=$E198),"━","")))</f>
        <v/>
      </c>
      <c r="CG198" s="69" t="str">
        <f aca="false">IF($E198="","",IF($M198,IF(AND($G198&gt;=CG$5,$G198&lt;CG$5+GanttPeriod),"◆",IF(AND($E198&gt;=CG$5,$E198&lt;CG$5+GanttPeriod),"◇","")),IF(AND(CG$5&lt;=$F198,CG$5+GanttPeriod-1&gt;=$E198),"━","")))</f>
        <v/>
      </c>
      <c r="CH198" s="69" t="str">
        <f aca="false">IF($E198="","",IF($M198,IF(AND($G198&gt;=CH$5,$G198&lt;CH$5+GanttPeriod),"◆",IF(AND($E198&gt;=CH$5,$E198&lt;CH$5+GanttPeriod),"◇","")),IF(AND(CH$5&lt;=$F198,CH$5+GanttPeriod-1&gt;=$E198),"━","")))</f>
        <v/>
      </c>
      <c r="CI198" s="69" t="str">
        <f aca="false">IF($E198="","",IF($M198,IF(AND($G198&gt;=CI$5,$G198&lt;CI$5+GanttPeriod),"◆",IF(AND($E198&gt;=CI$5,$E198&lt;CI$5+GanttPeriod),"◇","")),IF(AND(CI$5&lt;=$F198,CI$5+GanttPeriod-1&gt;=$E198),"━","")))</f>
        <v/>
      </c>
      <c r="CJ198" s="69" t="str">
        <f aca="false">IF($E198="","",IF($M198,IF(AND($G198&gt;=CJ$5,$G198&lt;CJ$5+GanttPeriod),"◆",IF(AND($E198&gt;=CJ$5,$E198&lt;CJ$5+GanttPeriod),"◇","")),IF(AND(CJ$5&lt;=$F198,CJ$5+GanttPeriod-1&gt;=$E198),"━","")))</f>
        <v/>
      </c>
      <c r="CK198" s="69" t="str">
        <f aca="false">IF($E198="","",IF($M198,IF(AND($G198&gt;=CK$5,$G198&lt;CK$5+GanttPeriod),"◆",IF(AND($E198&gt;=CK$5,$E198&lt;CK$5+GanttPeriod),"◇","")),IF(AND(CK$5&lt;=$F198,CK$5+GanttPeriod-1&gt;=$E198),"━","")))</f>
        <v/>
      </c>
      <c r="CL198" s="69" t="str">
        <f aca="false">IF($E198="","",IF($M198,IF(AND($G198&gt;=CL$5,$G198&lt;CL$5+GanttPeriod),"◆",IF(AND($E198&gt;=CL$5,$E198&lt;CL$5+GanttPeriod),"◇","")),IF(AND(CL$5&lt;=$F198,CL$5+GanttPeriod-1&gt;=$E198),"━","")))</f>
        <v/>
      </c>
      <c r="CM198" s="69" t="str">
        <f aca="false">IF($E198="","",IF($M198,IF(AND($G198&gt;=CM$5,$G198&lt;CM$5+GanttPeriod),"◆",IF(AND($E198&gt;=CM$5,$E198&lt;CM$5+GanttPeriod),"◇","")),IF(AND(CM$5&lt;=$F198,CM$5+GanttPeriod-1&gt;=$E198),"━","")))</f>
        <v/>
      </c>
      <c r="CN198" s="69" t="str">
        <f aca="false">IF($E198="","",IF($M198,IF(AND($G198&gt;=CN$5,$G198&lt;CN$5+GanttPeriod),"◆",IF(AND($E198&gt;=CN$5,$E198&lt;CN$5+GanttPeriod),"◇","")),IF(AND(CN$5&lt;=$F198,CN$5+GanttPeriod-1&gt;=$E198),"━","")))</f>
        <v/>
      </c>
      <c r="CO198" s="69" t="str">
        <f aca="false">IF($E198="","",IF($M198,IF(AND($G198&gt;=CO$5,$G198&lt;CO$5+GanttPeriod),"◆",IF(AND($E198&gt;=CO$5,$E198&lt;CO$5+GanttPeriod),"◇","")),IF(AND(CO$5&lt;=$F198,CO$5+GanttPeriod-1&gt;=$E198),"━","")))</f>
        <v/>
      </c>
      <c r="CP198" s="69" t="str">
        <f aca="false">IF($E198="","",IF($M198,IF(AND($G198&gt;=CP$5,$G198&lt;CP$5+GanttPeriod),"◆",IF(AND($E198&gt;=CP$5,$E198&lt;CP$5+GanttPeriod),"◇","")),IF(AND(CP$5&lt;=$F198,CP$5+GanttPeriod-1&gt;=$E198),"━","")))</f>
        <v/>
      </c>
      <c r="CQ198" s="69" t="str">
        <f aca="false">IF($E198="","",IF($M198,IF(AND($G198&gt;=CQ$5,$G198&lt;CQ$5+GanttPeriod),"◆",IF(AND($E198&gt;=CQ$5,$E198&lt;CQ$5+GanttPeriod),"◇","")),IF(AND(CQ$5&lt;=$F198,CQ$5+GanttPeriod-1&gt;=$E198),"━","")))</f>
        <v/>
      </c>
      <c r="CR198" s="69" t="str">
        <f aca="false">IF($E198="","",IF($M198,IF(AND($G198&gt;=CR$5,$G198&lt;CR$5+GanttPeriod),"◆",IF(AND($E198&gt;=CR$5,$E198&lt;CR$5+GanttPeriod),"◇","")),IF(AND(CR$5&lt;=$F198,CR$5+GanttPeriod-1&gt;=$E198),"━","")))</f>
        <v/>
      </c>
      <c r="CS198" s="69" t="str">
        <f aca="false">IF($E198="","",IF($M198,IF(AND($G198&gt;=CS$5,$G198&lt;CS$5+GanttPeriod),"◆",IF(AND($E198&gt;=CS$5,$E198&lt;CS$5+GanttPeriod),"◇","")),IF(AND(CS$5&lt;=$F198,CS$5+GanttPeriod-1&gt;=$E198),"━","")))</f>
        <v/>
      </c>
      <c r="CT198" s="69" t="str">
        <f aca="false">IF($E198="","",IF($M198,IF(AND($G198&gt;=CT$5,$G198&lt;CT$5+GanttPeriod),"◆",IF(AND($E198&gt;=CT$5,$E198&lt;CT$5+GanttPeriod),"◇","")),IF(AND(CT$5&lt;=$F198,CT$5+GanttPeriod-1&gt;=$E198),"━","")))</f>
        <v/>
      </c>
      <c r="CU198" s="69" t="str">
        <f aca="false">IF($E198="","",IF($M198,IF(AND($G198&gt;=CU$5,$G198&lt;CU$5+GanttPeriod),"◆",IF(AND($E198&gt;=CU$5,$E198&lt;CU$5+GanttPeriod),"◇","")),IF(AND(CU$5&lt;=$F198,CU$5+GanttPeriod-1&gt;=$E198),"━","")))</f>
        <v/>
      </c>
      <c r="CV198" s="69" t="str">
        <f aca="false">IF($E198="","",IF($M198,IF(AND($G198&gt;=CV$5,$G198&lt;CV$5+GanttPeriod),"◆",IF(AND($E198&gt;=CV$5,$E198&lt;CV$5+GanttPeriod),"◇","")),IF(AND(CV$5&lt;=$F198,CV$5+GanttPeriod-1&gt;=$E198),"━","")))</f>
        <v/>
      </c>
      <c r="CW198" s="69" t="str">
        <f aca="false">IF($E198="","",IF($M198,IF(AND($G198&gt;=CW$5,$G198&lt;CW$5+GanttPeriod),"◆",IF(AND($E198&gt;=CW$5,$E198&lt;CW$5+GanttPeriod),"◇","")),IF(AND(CW$5&lt;=$F198,CW$5+GanttPeriod-1&gt;=$E198),"━","")))</f>
        <v/>
      </c>
      <c r="CX198" s="69" t="str">
        <f aca="false">IF($E198="","",IF($M198,IF(AND($G198&gt;=CX$5,$G198&lt;CX$5+GanttPeriod),"◆",IF(AND($E198&gt;=CX$5,$E198&lt;CX$5+GanttPeriod),"◇","")),IF(AND(CX$5&lt;=$F198,CX$5+GanttPeriod-1&gt;=$E198),"━","")))</f>
        <v/>
      </c>
      <c r="CY198" s="69" t="str">
        <f aca="false">IF($E198="","",IF($M198,IF(AND($G198&gt;=CY$5,$G198&lt;CY$5+GanttPeriod),"◆",IF(AND($E198&gt;=CY$5,$E198&lt;CY$5+GanttPeriod),"◇","")),IF(AND(CY$5&lt;=$F198,CY$5+GanttPeriod-1&gt;=$E198),"━","")))</f>
        <v/>
      </c>
      <c r="CZ198" s="69" t="str">
        <f aca="false">IF($E198="","",IF($M198,IF(AND($G198&gt;=CZ$5,$G198&lt;CZ$5+GanttPeriod),"◆",IF(AND($E198&gt;=CZ$5,$E198&lt;CZ$5+GanttPeriod),"◇","")),IF(AND(CZ$5&lt;=$F198,CZ$5+GanttPeriod-1&gt;=$E198),"━","")))</f>
        <v/>
      </c>
      <c r="DA198" s="69" t="str">
        <f aca="false">IF($E198="","",IF($M198,IF(AND($G198&gt;=DA$5,$G198&lt;DA$5+GanttPeriod),"◆",IF(AND($E198&gt;=DA$5,$E198&lt;DA$5+GanttPeriod),"◇","")),IF(AND(DA$5&lt;=$F198,DA$5+GanttPeriod-1&gt;=$E198),"━","")))</f>
        <v/>
      </c>
      <c r="DB198" s="69" t="str">
        <f aca="false">IF($E198="","",IF($M198,IF(AND($G198&gt;=DB$5,$G198&lt;DB$5+GanttPeriod),"◆",IF(AND($E198&gt;=DB$5,$E198&lt;DB$5+GanttPeriod),"◇","")),IF(AND(DB$5&lt;=$F198,DB$5+GanttPeriod-1&gt;=$E198),"━","")))</f>
        <v/>
      </c>
      <c r="DC198" s="69" t="str">
        <f aca="false">IF($E198="","",IF($M198,IF(AND($G198&gt;=DC$5,$G198&lt;DC$5+GanttPeriod),"◆",IF(AND($E198&gt;=DC$5,$E198&lt;DC$5+GanttPeriod),"◇","")),IF(AND(DC$5&lt;=$F198,DC$5+GanttPeriod-1&gt;=$E198),"━","")))</f>
        <v/>
      </c>
      <c r="DD198" s="69" t="str">
        <f aca="false">IF($E198="","",IF($M198,IF(AND($G198&gt;=DD$5,$G198&lt;DD$5+GanttPeriod),"◆",IF(AND($E198&gt;=DD$5,$E198&lt;DD$5+GanttPeriod),"◇","")),IF(AND(DD$5&lt;=$F198,DD$5+GanttPeriod-1&gt;=$E198),"━","")))</f>
        <v/>
      </c>
      <c r="DE198" s="69" t="str">
        <f aca="false">IF($E198="","",IF($M198,IF(AND($G198&gt;=DE$5,$G198&lt;DE$5+GanttPeriod),"◆",IF(AND($E198&gt;=DE$5,$E198&lt;DE$5+GanttPeriod),"◇","")),IF(AND(DE$5&lt;=$F198,DE$5+GanttPeriod-1&gt;=$E198),"━","")))</f>
        <v/>
      </c>
      <c r="DF198" s="69" t="str">
        <f aca="false">IF($E198="","",IF($M198,IF(AND($G198&gt;=DF$5,$G198&lt;DF$5+GanttPeriod),"◆",IF(AND($E198&gt;=DF$5,$E198&lt;DF$5+GanttPeriod),"◇","")),IF(AND(DF$5&lt;=$F198,DF$5+GanttPeriod-1&gt;=$E198),"━","")))</f>
        <v/>
      </c>
      <c r="DG198" s="69" t="str">
        <f aca="false">IF($E198="","",IF($M198,IF(AND($G198&gt;=DG$5,$G198&lt;DG$5+GanttPeriod),"◆",IF(AND($E198&gt;=DG$5,$E198&lt;DG$5+GanttPeriod),"◇","")),IF(AND(DG$5&lt;=$F198,DG$5+GanttPeriod-1&gt;=$E198),"━","")))</f>
        <v/>
      </c>
      <c r="DH198" s="69" t="str">
        <f aca="false">IF($E198="","",IF($M198,IF(AND($G198&gt;=DH$5,$G198&lt;DH$5+GanttPeriod),"◆",IF(AND($E198&gt;=DH$5,$E198&lt;DH$5+GanttPeriod),"◇","")),IF(AND(DH$5&lt;=$F198,DH$5+GanttPeriod-1&gt;=$E198),"━","")))</f>
        <v/>
      </c>
      <c r="DI198" s="69" t="str">
        <f aca="false">IF($E198="","",IF($M198,IF(AND($G198&gt;=DI$5,$G198&lt;DI$5+GanttPeriod),"◆",IF(AND($E198&gt;=DI$5,$E198&lt;DI$5+GanttPeriod),"◇","")),IF(AND(DI$5&lt;=$F198,DI$5+GanttPeriod-1&gt;=$E198),"━","")))</f>
        <v/>
      </c>
      <c r="DJ198" s="69" t="str">
        <f aca="false">IF($E198="","",IF($M198,IF(AND($G198&gt;=DJ$5,$G198&lt;DJ$5+GanttPeriod),"◆",IF(AND($E198&gt;=DJ$5,$E198&lt;DJ$5+GanttPeriod),"◇","")),IF(AND(DJ$5&lt;=$F198,DJ$5+GanttPeriod-1&gt;=$E198),"━","")))</f>
        <v/>
      </c>
      <c r="DK198" s="69" t="str">
        <f aca="false">IF($E198="","",IF($M198,IF(AND($G198&gt;=DK$5,$G198&lt;DK$5+GanttPeriod),"◆",IF(AND($E198&gt;=DK$5,$E198&lt;DK$5+GanttPeriod),"◇","")),IF(AND(DK$5&lt;=$F198,DK$5+GanttPeriod-1&gt;=$E198),"━","")))</f>
        <v/>
      </c>
      <c r="DL198" s="69" t="str">
        <f aca="false">IF($E198="","",IF($M198,IF(AND($G198&gt;=DL$5,$G198&lt;DL$5+GanttPeriod),"◆",IF(AND($E198&gt;=DL$5,$E198&lt;DL$5+GanttPeriod),"◇","")),IF(AND(DL$5&lt;=$F198,DL$5+GanttPeriod-1&gt;=$E198),"━","")))</f>
        <v/>
      </c>
      <c r="DM198" s="69" t="str">
        <f aca="false">IF($E198="","",IF($M198,IF(AND($G198&gt;=DM$5,$G198&lt;DM$5+GanttPeriod),"◆",IF(AND($E198&gt;=DM$5,$E198&lt;DM$5+GanttPeriod),"◇","")),IF(AND(DM$5&lt;=$F198,DM$5+GanttPeriod-1&gt;=$E198),"━","")))</f>
        <v/>
      </c>
      <c r="DN198" s="69" t="str">
        <f aca="false">IF($E198="","",IF($M198,IF(AND($G198&gt;=DN$5,$G198&lt;DN$5+GanttPeriod),"◆",IF(AND($E198&gt;=DN$5,$E198&lt;DN$5+GanttPeriod),"◇","")),IF(AND(DN$5&lt;=$F198,DN$5+GanttPeriod-1&gt;=$E198),"━","")))</f>
        <v/>
      </c>
      <c r="DO198" s="69" t="str">
        <f aca="false">IF($E198="","",IF($M198,IF(AND($G198&gt;=DO$5,$G198&lt;DO$5+GanttPeriod),"◆",IF(AND($E198&gt;=DO$5,$E198&lt;DO$5+GanttPeriod),"◇","")),IF(AND(DO$5&lt;=$F198,DO$5+GanttPeriod-1&gt;=$E198),"━","")))</f>
        <v/>
      </c>
      <c r="DP198" s="69" t="str">
        <f aca="false">IF($E198="","",IF($M198,IF(AND($G198&gt;=DP$5,$G198&lt;DP$5+GanttPeriod),"◆",IF(AND($E198&gt;=DP$5,$E198&lt;DP$5+GanttPeriod),"◇","")),IF(AND(DP$5&lt;=$F198,DP$5+GanttPeriod-1&gt;=$E198),"━","")))</f>
        <v/>
      </c>
      <c r="DQ198" s="69" t="str">
        <f aca="false">IF($E198="","",IF($M198,IF(AND($G198&gt;=DQ$5,$G198&lt;DQ$5+GanttPeriod),"◆",IF(AND($E198&gt;=DQ$5,$E198&lt;DQ$5+GanttPeriod),"◇","")),IF(AND(DQ$5&lt;=$F198,DQ$5+GanttPeriod-1&gt;=$E198),"━","")))</f>
        <v/>
      </c>
      <c r="DR198" s="69" t="str">
        <f aca="false">IF($E198="","",IF($M198,IF(AND($G198&gt;=DR$5,$G198&lt;DR$5+GanttPeriod),"◆",IF(AND($E198&gt;=DR$5,$E198&lt;DR$5+GanttPeriod),"◇","")),IF(AND(DR$5&lt;=$F198,DR$5+GanttPeriod-1&gt;=$E198),"━","")))</f>
        <v/>
      </c>
      <c r="DS198" s="69" t="str">
        <f aca="false">IF($E198="","",IF($M198,IF(AND($G198&gt;=DS$5,$G198&lt;DS$5+GanttPeriod),"◆",IF(AND($E198&gt;=DS$5,$E198&lt;DS$5+GanttPeriod),"◇","")),IF(AND(DS$5&lt;=$F198,DS$5+GanttPeriod-1&gt;=$E198),"━","")))</f>
        <v/>
      </c>
      <c r="DT198" s="69" t="str">
        <f aca="false">IF($E198="","",IF($M198,IF(AND($G198&gt;=DT$5,$G198&lt;DT$5+GanttPeriod),"◆",IF(AND($E198&gt;=DT$5,$E198&lt;DT$5+GanttPeriod),"◇","")),IF(AND(DT$5&lt;=$F198,DT$5+GanttPeriod-1&gt;=$E198),"━","")))</f>
        <v/>
      </c>
      <c r="DU198" s="69" t="str">
        <f aca="false">IF($E198="","",IF($M198,IF(AND($G198&gt;=DU$5,$G198&lt;DU$5+GanttPeriod),"◆",IF(AND($E198&gt;=DU$5,$E198&lt;DU$5+GanttPeriod),"◇","")),IF(AND(DU$5&lt;=$F198,DU$5+GanttPeriod-1&gt;=$E198),"━","")))</f>
        <v/>
      </c>
      <c r="DV198" s="69" t="str">
        <f aca="false">IF($E198="","",IF($M198,IF(AND($G198&gt;=DV$5,$G198&lt;DV$5+GanttPeriod),"◆",IF(AND($E198&gt;=DV$5,$E198&lt;DV$5+GanttPeriod),"◇","")),IF(AND(DV$5&lt;=$F198,DV$5+GanttPeriod-1&gt;=$E198),"━","")))</f>
        <v/>
      </c>
      <c r="DW198" s="69" t="str">
        <f aca="false">IF($E198="","",IF($M198,IF(AND($G198&gt;=DW$5,$G198&lt;DW$5+GanttPeriod),"◆",IF(AND($E198&gt;=DW$5,$E198&lt;DW$5+GanttPeriod),"◇","")),IF(AND(DW$5&lt;=$F198,DW$5+GanttPeriod-1&gt;=$E198),"━","")))</f>
        <v/>
      </c>
      <c r="DX198" s="69" t="str">
        <f aca="false">IF($E198="","",IF($M198,IF(AND($G198&gt;=DX$5,$G198&lt;DX$5+GanttPeriod),"◆",IF(AND($E198&gt;=DX$5,$E198&lt;DX$5+GanttPeriod),"◇","")),IF(AND(DX$5&lt;=$F198,DX$5+GanttPeriod-1&gt;=$E198),"━","")))</f>
        <v/>
      </c>
      <c r="DY198" s="69" t="str">
        <f aca="false">IF($E198="","",IF($M198,IF(AND($G198&gt;=DY$5,$G198&lt;DY$5+GanttPeriod),"◆",IF(AND($E198&gt;=DY$5,$E198&lt;DY$5+GanttPeriod),"◇","")),IF(AND(DY$5&lt;=$F198,DY$5+GanttPeriod-1&gt;=$E198),"━","")))</f>
        <v/>
      </c>
      <c r="DZ198" s="69" t="str">
        <f aca="false">IF($E198="","",IF($M198,IF(AND($G198&gt;=DZ$5,$G198&lt;DZ$5+GanttPeriod),"◆",IF(AND($E198&gt;=DZ$5,$E198&lt;DZ$5+GanttPeriod),"◇","")),IF(AND(DZ$5&lt;=$F198,DZ$5+GanttPeriod-1&gt;=$E198),"━","")))</f>
        <v/>
      </c>
      <c r="EA198" s="69" t="str">
        <f aca="false">IF($E198="","",IF($M198,IF(AND($G198&gt;=EA$5,$G198&lt;EA$5+GanttPeriod),"◆",IF(AND($E198&gt;=EA$5,$E198&lt;EA$5+GanttPeriod),"◇","")),IF(AND(EA$5&lt;=$F198,EA$5+GanttPeriod-1&gt;=$E198),"━","")))</f>
        <v/>
      </c>
      <c r="EB198" s="69" t="str">
        <f aca="false">IF($E198="","",IF($M198,IF(AND($G198&gt;=EB$5,$G198&lt;EB$5+GanttPeriod),"◆",IF(AND($E198&gt;=EB$5,$E198&lt;EB$5+GanttPeriod),"◇","")),IF(AND(EB$5&lt;=$F198,EB$5+GanttPeriod-1&gt;=$E198),"━","")))</f>
        <v/>
      </c>
      <c r="EC198" s="69" t="str">
        <f aca="false">IF($E198="","",IF($M198,IF(AND($G198&gt;=EC$5,$G198&lt;EC$5+GanttPeriod),"◆",IF(AND($E198&gt;=EC$5,$E198&lt;EC$5+GanttPeriod),"◇","")),IF(AND(EC$5&lt;=$F198,EC$5+GanttPeriod-1&gt;=$E198),"━","")))</f>
        <v/>
      </c>
      <c r="ED198" s="69" t="str">
        <f aca="false">IF($E198="","",IF($M198,IF(AND($G198&gt;=ED$5,$G198&lt;ED$5+GanttPeriod),"◆",IF(AND($E198&gt;=ED$5,$E198&lt;ED$5+GanttPeriod),"◇","")),IF(AND(ED$5&lt;=$F198,ED$5+GanttPeriod-1&gt;=$E198),"━","")))</f>
        <v/>
      </c>
      <c r="EE198" s="69" t="str">
        <f aca="false">IF($E198="","",IF($M198,IF(AND($G198&gt;=EE$5,$G198&lt;EE$5+GanttPeriod),"◆",IF(AND($E198&gt;=EE$5,$E198&lt;EE$5+GanttPeriod),"◇","")),IF(AND(EE$5&lt;=$F198,EE$5+GanttPeriod-1&gt;=$E198),"━","")))</f>
        <v/>
      </c>
      <c r="EF198" s="69" t="str">
        <f aca="false">IF($E198="","",IF($M198,IF(AND($G198&gt;=EF$5,$G198&lt;EF$5+GanttPeriod),"◆",IF(AND($E198&gt;=EF$5,$E198&lt;EF$5+GanttPeriod),"◇","")),IF(AND(EF$5&lt;=$F198,EF$5+GanttPeriod-1&gt;=$E198),"━","")))</f>
        <v/>
      </c>
      <c r="EG198" s="69" t="str">
        <f aca="false">IF($E198="","",IF($M198,IF(AND($G198&gt;=EG$5,$G198&lt;EG$5+GanttPeriod),"◆",IF(AND($E198&gt;=EG$5,$E198&lt;EG$5+GanttPeriod),"◇","")),IF(AND(EG$5&lt;=$F198,EG$5+GanttPeriod-1&gt;=$E198),"━","")))</f>
        <v/>
      </c>
      <c r="EH198" s="69" t="str">
        <f aca="false">IF($E198="","",IF($M198,IF(AND($G198&gt;=EH$5,$G198&lt;EH$5+GanttPeriod),"◆",IF(AND($E198&gt;=EH$5,$E198&lt;EH$5+GanttPeriod),"◇","")),IF(AND(EH$5&lt;=$F198,EH$5+GanttPeriod-1&gt;=$E198),"━","")))</f>
        <v/>
      </c>
      <c r="EI198" s="69" t="str">
        <f aca="false">IF($E198="","",IF($M198,IF(AND($G198&gt;=EI$5,$G198&lt;EI$5+GanttPeriod),"◆",IF(AND($E198&gt;=EI$5,$E198&lt;EI$5+GanttPeriod),"◇","")),IF(AND(EI$5&lt;=$F198,EI$5+GanttPeriod-1&gt;=$E198),"━","")))</f>
        <v/>
      </c>
      <c r="EJ198" s="69" t="str">
        <f aca="false">IF($E198="","",IF($M198,IF(AND($G198&gt;=EJ$5,$G198&lt;EJ$5+GanttPeriod),"◆",IF(AND($E198&gt;=EJ$5,$E198&lt;EJ$5+GanttPeriod),"◇","")),IF(AND(EJ$5&lt;=$F198,EJ$5+GanttPeriod-1&gt;=$E198),"━","")))</f>
        <v/>
      </c>
      <c r="EK198" s="69" t="str">
        <f aca="false">IF($E198="","",IF($M198,IF(AND($G198&gt;=EK$5,$G198&lt;EK$5+GanttPeriod),"◆",IF(AND($E198&gt;=EK$5,$E198&lt;EK$5+GanttPeriod),"◇","")),IF(AND(EK$5&lt;=$F198,EK$5+GanttPeriod-1&gt;=$E198),"━","")))</f>
        <v/>
      </c>
      <c r="EL198" s="69" t="str">
        <f aca="false">IF($E198="","",IF($M198,IF(AND($G198&gt;=EL$5,$G198&lt;EL$5+GanttPeriod),"◆",IF(AND($E198&gt;=EL$5,$E198&lt;EL$5+GanttPeriod),"◇","")),IF(AND(EL$5&lt;=$F198,EL$5+GanttPeriod-1&gt;=$E198),"━","")))</f>
        <v/>
      </c>
      <c r="EM198" s="69" t="str">
        <f aca="false">IF($E198="","",IF($M198,IF(AND($G198&gt;=EM$5,$G198&lt;EM$5+GanttPeriod),"◆",IF(AND($E198&gt;=EM$5,$E198&lt;EM$5+GanttPeriod),"◇","")),IF(AND(EM$5&lt;=$F198,EM$5+GanttPeriod-1&gt;=$E198),"━","")))</f>
        <v/>
      </c>
      <c r="EN198" s="69" t="str">
        <f aca="false">IF($E198="","",IF($M198,IF(AND($G198&gt;=EN$5,$G198&lt;EN$5+GanttPeriod),"◆",IF(AND($E198&gt;=EN$5,$E198&lt;EN$5+GanttPeriod),"◇","")),IF(AND(EN$5&lt;=$F198,EN$5+GanttPeriod-1&gt;=$E198),"━","")))</f>
        <v/>
      </c>
      <c r="EO198" s="69" t="str">
        <f aca="false">IF($E198="","",IF($M198,IF(AND($G198&gt;=EO$5,$G198&lt;EO$5+GanttPeriod),"◆",IF(AND($E198&gt;=EO$5,$E198&lt;EO$5+GanttPeriod),"◇","")),IF(AND(EO$5&lt;=$F198,EO$5+GanttPeriod-1&gt;=$E198),"━","")))</f>
        <v/>
      </c>
      <c r="EP198" s="69" t="str">
        <f aca="false">IF($E198="","",IF($M198,IF(AND($G198&gt;=EP$5,$G198&lt;EP$5+GanttPeriod),"◆",IF(AND($E198&gt;=EP$5,$E198&lt;EP$5+GanttPeriod),"◇","")),IF(AND(EP$5&lt;=$F198,EP$5+GanttPeriod-1&gt;=$E198),"━","")))</f>
        <v/>
      </c>
      <c r="EQ198" s="69" t="str">
        <f aca="false">IF($E198="","",IF($M198,IF(AND($G198&gt;=EQ$5,$G198&lt;EQ$5+GanttPeriod),"◆",IF(AND($E198&gt;=EQ$5,$E198&lt;EQ$5+GanttPeriod),"◇","")),IF(AND(EQ$5&lt;=$F198,EQ$5+GanttPeriod-1&gt;=$E198),"━","")))</f>
        <v/>
      </c>
      <c r="ER198" s="69" t="str">
        <f aca="false">IF($E198="","",IF($M198,IF(AND($G198&gt;=ER$5,$G198&lt;ER$5+GanttPeriod),"◆",IF(AND($E198&gt;=ER$5,$E198&lt;ER$5+GanttPeriod),"◇","")),IF(AND(ER$5&lt;=$F198,ER$5+GanttPeriod-1&gt;=$E198),"━","")))</f>
        <v/>
      </c>
      <c r="ES198" s="69" t="str">
        <f aca="false">IF($E198="","",IF($M198,IF(AND($G198&gt;=ES$5,$G198&lt;ES$5+GanttPeriod),"◆",IF(AND($E198&gt;=ES$5,$E198&lt;ES$5+GanttPeriod),"◇","")),IF(AND(ES$5&lt;=$F198,ES$5+GanttPeriod-1&gt;=$E198),"━","")))</f>
        <v/>
      </c>
      <c r="ET198" s="69" t="str">
        <f aca="false">IF($E198="","",IF($M198,IF(AND($G198&gt;=ET$5,$G198&lt;ET$5+GanttPeriod),"◆",IF(AND($E198&gt;=ET$5,$E198&lt;ET$5+GanttPeriod),"◇","")),IF(AND(ET$5&lt;=$F198,ET$5+GanttPeriod-1&gt;=$E198),"━","")))</f>
        <v/>
      </c>
      <c r="EU198" s="69" t="str">
        <f aca="false">IF($E198="","",IF($M198,IF(AND($G198&gt;=EU$5,$G198&lt;EU$5+GanttPeriod),"◆",IF(AND($E198&gt;=EU$5,$E198&lt;EU$5+GanttPeriod),"◇","")),IF(AND(EU$5&lt;=$F198,EU$5+GanttPeriod-1&gt;=$E198),"━","")))</f>
        <v/>
      </c>
      <c r="EV198" s="69" t="str">
        <f aca="false">IF($E198="","",IF($M198,IF(AND($G198&gt;=EV$5,$G198&lt;EV$5+GanttPeriod),"◆",IF(AND($E198&gt;=EV$5,$E198&lt;EV$5+GanttPeriod),"◇","")),IF(AND(EV$5&lt;=$F198,EV$5+GanttPeriod-1&gt;=$E198),"━","")))</f>
        <v/>
      </c>
      <c r="EW198" s="69" t="str">
        <f aca="false">IF($E198="","",IF($M198,IF(AND($G198&gt;=EW$5,$G198&lt;EW$5+GanttPeriod),"◆",IF(AND($E198&gt;=EW$5,$E198&lt;EW$5+GanttPeriod),"◇","")),IF(AND(EW$5&lt;=$F198,EW$5+GanttPeriod-1&gt;=$E198),"━","")))</f>
        <v/>
      </c>
      <c r="EX198" s="69" t="str">
        <f aca="false">IF($E198="","",IF($M198,IF(AND($G198&gt;=EX$5,$G198&lt;EX$5+GanttPeriod),"◆",IF(AND($E198&gt;=EX$5,$E198&lt;EX$5+GanttPeriod),"◇","")),IF(AND(EX$5&lt;=$F198,EX$5+GanttPeriod-1&gt;=$E198),"━","")))</f>
        <v/>
      </c>
      <c r="EY198" s="69" t="str">
        <f aca="false">IF($E198="","",IF($M198,IF(AND($G198&gt;=EY$5,$G198&lt;EY$5+GanttPeriod),"◆",IF(AND($E198&gt;=EY$5,$E198&lt;EY$5+GanttPeriod),"◇","")),IF(AND(EY$5&lt;=$F198,EY$5+GanttPeriod-1&gt;=$E198),"━","")))</f>
        <v/>
      </c>
      <c r="EZ198" s="69" t="str">
        <f aca="false">IF($E198="","",IF($M198,IF(AND($G198&gt;=EZ$5,$G198&lt;EZ$5+GanttPeriod),"◆",IF(AND($E198&gt;=EZ$5,$E198&lt;EZ$5+GanttPeriod),"◇","")),IF(AND(EZ$5&lt;=$F198,EZ$5+GanttPeriod-1&gt;=$E198),"━","")))</f>
        <v/>
      </c>
      <c r="FA198" s="69" t="str">
        <f aca="false">IF($E198="","",IF($M198,IF(AND($G198&gt;=FA$5,$G198&lt;FA$5+GanttPeriod),"◆",IF(AND($E198&gt;=FA$5,$E198&lt;FA$5+GanttPeriod),"◇","")),IF(AND(FA$5&lt;=$F198,FA$5+GanttPeriod-1&gt;=$E198),"━","")))</f>
        <v/>
      </c>
      <c r="FB198" s="69" t="str">
        <f aca="false">IF($E198="","",IF($M198,IF(AND($G198&gt;=FB$5,$G198&lt;FB$5+GanttPeriod),"◆",IF(AND($E198&gt;=FB$5,$E198&lt;FB$5+GanttPeriod),"◇","")),IF(AND(FB$5&lt;=$F198,FB$5+GanttPeriod-1&gt;=$E198),"━","")))</f>
        <v/>
      </c>
      <c r="FC198" s="69" t="str">
        <f aca="false">IF($E198="","",IF($M198,IF(AND($G198&gt;=FC$5,$G198&lt;FC$5+GanttPeriod),"◆",IF(AND($E198&gt;=FC$5,$E198&lt;FC$5+GanttPeriod),"◇","")),IF(AND(FC$5&lt;=$F198,FC$5+GanttPeriod-1&gt;=$E198),"━","")))</f>
        <v/>
      </c>
      <c r="FD198" s="69" t="str">
        <f aca="false">IF($E198="","",IF($M198,IF(AND($G198&gt;=FD$5,$G198&lt;FD$5+GanttPeriod),"◆",IF(AND($E198&gt;=FD$5,$E198&lt;FD$5+GanttPeriod),"◇","")),IF(AND(FD$5&lt;=$F198,FD$5+GanttPeriod-1&gt;=$E198),"━","")))</f>
        <v/>
      </c>
      <c r="FE198" s="69" t="str">
        <f aca="false">IF($E198="","",IF($M198,IF(AND($G198&gt;=FE$5,$G198&lt;FE$5+GanttPeriod),"◆",IF(AND($E198&gt;=FE$5,$E198&lt;FE$5+GanttPeriod),"◇","")),IF(AND(FE$5&lt;=$F198,FE$5+GanttPeriod-1&gt;=$E198),"━","")))</f>
        <v/>
      </c>
      <c r="FF198" s="69" t="str">
        <f aca="false">IF($E198="","",IF($M198,IF(AND($G198&gt;=FF$5,$G198&lt;FF$5+GanttPeriod),"◆",IF(AND($E198&gt;=FF$5,$E198&lt;FF$5+GanttPeriod),"◇","")),IF(AND(FF$5&lt;=$F198,FF$5+GanttPeriod-1&gt;=$E198),"━","")))</f>
        <v/>
      </c>
      <c r="FG198" s="69" t="str">
        <f aca="false">IF($E198="","",IF($M198,IF(AND($G198&gt;=FG$5,$G198&lt;FG$5+GanttPeriod),"◆",IF(AND($E198&gt;=FG$5,$E198&lt;FG$5+GanttPeriod),"◇","")),IF(AND(FG$5&lt;=$F198,FG$5+GanttPeriod-1&gt;=$E198),"━","")))</f>
        <v/>
      </c>
      <c r="FH198" s="69" t="str">
        <f aca="false">IF($E198="","",IF($M198,IF(AND($G198&gt;=FH$5,$G198&lt;FH$5+GanttPeriod),"◆",IF(AND($E198&gt;=FH$5,$E198&lt;FH$5+GanttPeriod),"◇","")),IF(AND(FH$5&lt;=$F198,FH$5+GanttPeriod-1&gt;=$E198),"━","")))</f>
        <v/>
      </c>
      <c r="FI198" s="69" t="str">
        <f aca="false">IF($E198="","",IF($M198,IF(AND($G198&gt;=FI$5,$G198&lt;FI$5+GanttPeriod),"◆",IF(AND($E198&gt;=FI$5,$E198&lt;FI$5+GanttPeriod),"◇","")),IF(AND(FI$5&lt;=$F198,FI$5+GanttPeriod-1&gt;=$E198),"━","")))</f>
        <v/>
      </c>
      <c r="FJ198" s="69" t="str">
        <f aca="false">IF($E198="","",IF($M198,IF(AND($G198&gt;=FJ$5,$G198&lt;FJ$5+GanttPeriod),"◆",IF(AND($E198&gt;=FJ$5,$E198&lt;FJ$5+GanttPeriod),"◇","")),IF(AND(FJ$5&lt;=$F198,FJ$5+GanttPeriod-1&gt;=$E198),"━","")))</f>
        <v/>
      </c>
      <c r="FK198" s="69" t="str">
        <f aca="false">IF($E198="","",IF($M198,IF(AND($G198&gt;=FK$5,$G198&lt;FK$5+GanttPeriod),"◆",IF(AND($E198&gt;=FK$5,$E198&lt;FK$5+GanttPeriod),"◇","")),IF(AND(FK$5&lt;=$F198,FK$5+GanttPeriod-1&gt;=$E198),"━","")))</f>
        <v/>
      </c>
      <c r="FL198" s="69" t="str">
        <f aca="false">IF($E198="","",IF($M198,IF(AND($G198&gt;=FL$5,$G198&lt;FL$5+GanttPeriod),"◆",IF(AND($E198&gt;=FL$5,$E198&lt;FL$5+GanttPeriod),"◇","")),IF(AND(FL$5&lt;=$F198,FL$5+GanttPeriod-1&gt;=$E198),"━","")))</f>
        <v/>
      </c>
      <c r="FM198" s="69" t="str">
        <f aca="false">IF($E198="","",IF($M198,IF(AND($G198&gt;=FM$5,$G198&lt;FM$5+GanttPeriod),"◆",IF(AND($E198&gt;=FM$5,$E198&lt;FM$5+GanttPeriod),"◇","")),IF(AND(FM$5&lt;=$F198,FM$5+GanttPeriod-1&gt;=$E198),"━","")))</f>
        <v/>
      </c>
    </row>
    <row r="199" customFormat="false" ht="15" hidden="false" customHeight="false" outlineLevel="0" collapsed="false">
      <c r="A199" s="62" t="str">
        <f aca="false">IF(Tasks!$D199="","",Tasks!$A199)</f>
        <v/>
      </c>
      <c r="B199" s="62" t="str">
        <f aca="false">IF(Tasks!$D199="","",Tasks!$B199)</f>
        <v/>
      </c>
      <c r="C199" s="63" t="str">
        <f aca="false">IF(Tasks!$D199="","",REPT("    ",Tasks!$AE199-1)&amp;Tasks!$D199)</f>
        <v/>
      </c>
      <c r="D199" s="62" t="str">
        <f aca="false">IF(Tasks!$D199="","",IF(Tasks!$AI199,NETWORKDAYS.INTL(Tasks!$R199,Tasks!$S199,WorkWeek,Holidays),N(Tasks!$F199)))</f>
        <v/>
      </c>
      <c r="E199" s="64" t="str">
        <f aca="false">IF(Tasks!$D199="","",Tasks!$N199)</f>
        <v/>
      </c>
      <c r="F199" s="64" t="str">
        <f aca="false">IF(Tasks!$D199="","",Tasks!$O199)</f>
        <v/>
      </c>
      <c r="G199" s="64" t="str">
        <f aca="false">IF(Tasks!$D199="","",Tasks!$R199)</f>
        <v/>
      </c>
      <c r="H199" s="64" t="str">
        <f aca="false">IF(Tasks!$D199="","",Tasks!$S199)</f>
        <v/>
      </c>
      <c r="I199" s="65" t="str">
        <f aca="false">IF(Tasks!$D199="","",Tasks!$V199)</f>
        <v/>
      </c>
      <c r="J199" s="63" t="str">
        <f aca="false">IF(Tasks!$D199="","",Tasks!$X199&amp;"")</f>
        <v/>
      </c>
      <c r="K199" s="66" t="str">
        <f aca="false">IF(Tasks!$D199="","",Tasks!$W199)</f>
        <v/>
      </c>
      <c r="L199" s="67" t="b">
        <f aca="false">IF(Tasks!$D199="",FALSE(),Tasks!$AI199)</f>
        <v>0</v>
      </c>
      <c r="M199" s="67" t="b">
        <f aca="false">AND(Tasks!$AJ199=1,N(Tasks!$F199)=0)</f>
        <v>0</v>
      </c>
      <c r="N199" s="68" t="n">
        <f aca="false">IF(AND(Tasks!$AJ199=1,NOT($M199),N($I199)&gt;0),$G199,0)</f>
        <v>0</v>
      </c>
      <c r="O199" s="68" t="n">
        <f aca="false">IF($N199=0,0,IF($I199&gt;=1,$H199,MAX($N199,$G199+ROUND(($H199-$G199+1)*$I199,0)-1)))</f>
        <v>0</v>
      </c>
      <c r="P199" s="68" t="n">
        <f aca="false">IF(OR(Tasks!$AJ199&lt;&gt;1,$M199,N($I199)&gt;=1),0,IF($O199&gt;0,$O199+1,$G199))</f>
        <v>0</v>
      </c>
      <c r="Q199" s="68" t="n">
        <f aca="false">IF($P199=0,0,$H199)</f>
        <v>0</v>
      </c>
      <c r="R199" s="67" t="b">
        <f aca="false">AND(Tasks!$D199&lt;&gt;"",N(Tasks!$T199)&gt;0)</f>
        <v>0</v>
      </c>
      <c r="T199" s="69" t="str">
        <f aca="false">IF($E199="","",IF($M199,IF(AND($G199&gt;=T$5,$G199&lt;T$5+GanttPeriod),"◆",IF(AND($E199&gt;=T$5,$E199&lt;T$5+GanttPeriod),"◇","")),IF(AND(T$5&lt;=$F199,T$5+GanttPeriod-1&gt;=$E199),"━","")))</f>
        <v/>
      </c>
      <c r="U199" s="69" t="str">
        <f aca="false">IF($E199="","",IF($M199,IF(AND($G199&gt;=U$5,$G199&lt;U$5+GanttPeriod),"◆",IF(AND($E199&gt;=U$5,$E199&lt;U$5+GanttPeriod),"◇","")),IF(AND(U$5&lt;=$F199,U$5+GanttPeriod-1&gt;=$E199),"━","")))</f>
        <v/>
      </c>
      <c r="V199" s="69" t="str">
        <f aca="false">IF($E199="","",IF($M199,IF(AND($G199&gt;=V$5,$G199&lt;V$5+GanttPeriod),"◆",IF(AND($E199&gt;=V$5,$E199&lt;V$5+GanttPeriod),"◇","")),IF(AND(V$5&lt;=$F199,V$5+GanttPeriod-1&gt;=$E199),"━","")))</f>
        <v/>
      </c>
      <c r="W199" s="69" t="str">
        <f aca="false">IF($E199="","",IF($M199,IF(AND($G199&gt;=W$5,$G199&lt;W$5+GanttPeriod),"◆",IF(AND($E199&gt;=W$5,$E199&lt;W$5+GanttPeriod),"◇","")),IF(AND(W$5&lt;=$F199,W$5+GanttPeriod-1&gt;=$E199),"━","")))</f>
        <v/>
      </c>
      <c r="X199" s="69" t="str">
        <f aca="false">IF($E199="","",IF($M199,IF(AND($G199&gt;=X$5,$G199&lt;X$5+GanttPeriod),"◆",IF(AND($E199&gt;=X$5,$E199&lt;X$5+GanttPeriod),"◇","")),IF(AND(X$5&lt;=$F199,X$5+GanttPeriod-1&gt;=$E199),"━","")))</f>
        <v/>
      </c>
      <c r="Y199" s="69" t="str">
        <f aca="false">IF($E199="","",IF($M199,IF(AND($G199&gt;=Y$5,$G199&lt;Y$5+GanttPeriod),"◆",IF(AND($E199&gt;=Y$5,$E199&lt;Y$5+GanttPeriod),"◇","")),IF(AND(Y$5&lt;=$F199,Y$5+GanttPeriod-1&gt;=$E199),"━","")))</f>
        <v/>
      </c>
      <c r="Z199" s="69" t="str">
        <f aca="false">IF($E199="","",IF($M199,IF(AND($G199&gt;=Z$5,$G199&lt;Z$5+GanttPeriod),"◆",IF(AND($E199&gt;=Z$5,$E199&lt;Z$5+GanttPeriod),"◇","")),IF(AND(Z$5&lt;=$F199,Z$5+GanttPeriod-1&gt;=$E199),"━","")))</f>
        <v/>
      </c>
      <c r="AA199" s="69" t="str">
        <f aca="false">IF($E199="","",IF($M199,IF(AND($G199&gt;=AA$5,$G199&lt;AA$5+GanttPeriod),"◆",IF(AND($E199&gt;=AA$5,$E199&lt;AA$5+GanttPeriod),"◇","")),IF(AND(AA$5&lt;=$F199,AA$5+GanttPeriod-1&gt;=$E199),"━","")))</f>
        <v/>
      </c>
      <c r="AB199" s="69" t="str">
        <f aca="false">IF($E199="","",IF($M199,IF(AND($G199&gt;=AB$5,$G199&lt;AB$5+GanttPeriod),"◆",IF(AND($E199&gt;=AB$5,$E199&lt;AB$5+GanttPeriod),"◇","")),IF(AND(AB$5&lt;=$F199,AB$5+GanttPeriod-1&gt;=$E199),"━","")))</f>
        <v/>
      </c>
      <c r="AC199" s="69" t="str">
        <f aca="false">IF($E199="","",IF($M199,IF(AND($G199&gt;=AC$5,$G199&lt;AC$5+GanttPeriod),"◆",IF(AND($E199&gt;=AC$5,$E199&lt;AC$5+GanttPeriod),"◇","")),IF(AND(AC$5&lt;=$F199,AC$5+GanttPeriod-1&gt;=$E199),"━","")))</f>
        <v/>
      </c>
      <c r="AD199" s="69" t="str">
        <f aca="false">IF($E199="","",IF($M199,IF(AND($G199&gt;=AD$5,$G199&lt;AD$5+GanttPeriod),"◆",IF(AND($E199&gt;=AD$5,$E199&lt;AD$5+GanttPeriod),"◇","")),IF(AND(AD$5&lt;=$F199,AD$5+GanttPeriod-1&gt;=$E199),"━","")))</f>
        <v/>
      </c>
      <c r="AE199" s="69" t="str">
        <f aca="false">IF($E199="","",IF($M199,IF(AND($G199&gt;=AE$5,$G199&lt;AE$5+GanttPeriod),"◆",IF(AND($E199&gt;=AE$5,$E199&lt;AE$5+GanttPeriod),"◇","")),IF(AND(AE$5&lt;=$F199,AE$5+GanttPeriod-1&gt;=$E199),"━","")))</f>
        <v/>
      </c>
      <c r="AF199" s="69" t="str">
        <f aca="false">IF($E199="","",IF($M199,IF(AND($G199&gt;=AF$5,$G199&lt;AF$5+GanttPeriod),"◆",IF(AND($E199&gt;=AF$5,$E199&lt;AF$5+GanttPeriod),"◇","")),IF(AND(AF$5&lt;=$F199,AF$5+GanttPeriod-1&gt;=$E199),"━","")))</f>
        <v/>
      </c>
      <c r="AG199" s="69" t="str">
        <f aca="false">IF($E199="","",IF($M199,IF(AND($G199&gt;=AG$5,$G199&lt;AG$5+GanttPeriod),"◆",IF(AND($E199&gt;=AG$5,$E199&lt;AG$5+GanttPeriod),"◇","")),IF(AND(AG$5&lt;=$F199,AG$5+GanttPeriod-1&gt;=$E199),"━","")))</f>
        <v/>
      </c>
      <c r="AH199" s="69" t="str">
        <f aca="false">IF($E199="","",IF($M199,IF(AND($G199&gt;=AH$5,$G199&lt;AH$5+GanttPeriod),"◆",IF(AND($E199&gt;=AH$5,$E199&lt;AH$5+GanttPeriod),"◇","")),IF(AND(AH$5&lt;=$F199,AH$5+GanttPeriod-1&gt;=$E199),"━","")))</f>
        <v/>
      </c>
      <c r="AI199" s="69" t="str">
        <f aca="false">IF($E199="","",IF($M199,IF(AND($G199&gt;=AI$5,$G199&lt;AI$5+GanttPeriod),"◆",IF(AND($E199&gt;=AI$5,$E199&lt;AI$5+GanttPeriod),"◇","")),IF(AND(AI$5&lt;=$F199,AI$5+GanttPeriod-1&gt;=$E199),"━","")))</f>
        <v/>
      </c>
      <c r="AJ199" s="69" t="str">
        <f aca="false">IF($E199="","",IF($M199,IF(AND($G199&gt;=AJ$5,$G199&lt;AJ$5+GanttPeriod),"◆",IF(AND($E199&gt;=AJ$5,$E199&lt;AJ$5+GanttPeriod),"◇","")),IF(AND(AJ$5&lt;=$F199,AJ$5+GanttPeriod-1&gt;=$E199),"━","")))</f>
        <v/>
      </c>
      <c r="AK199" s="69" t="str">
        <f aca="false">IF($E199="","",IF($M199,IF(AND($G199&gt;=AK$5,$G199&lt;AK$5+GanttPeriod),"◆",IF(AND($E199&gt;=AK$5,$E199&lt;AK$5+GanttPeriod),"◇","")),IF(AND(AK$5&lt;=$F199,AK$5+GanttPeriod-1&gt;=$E199),"━","")))</f>
        <v/>
      </c>
      <c r="AL199" s="69" t="str">
        <f aca="false">IF($E199="","",IF($M199,IF(AND($G199&gt;=AL$5,$G199&lt;AL$5+GanttPeriod),"◆",IF(AND($E199&gt;=AL$5,$E199&lt;AL$5+GanttPeriod),"◇","")),IF(AND(AL$5&lt;=$F199,AL$5+GanttPeriod-1&gt;=$E199),"━","")))</f>
        <v/>
      </c>
      <c r="AM199" s="69" t="str">
        <f aca="false">IF($E199="","",IF($M199,IF(AND($G199&gt;=AM$5,$G199&lt;AM$5+GanttPeriod),"◆",IF(AND($E199&gt;=AM$5,$E199&lt;AM$5+GanttPeriod),"◇","")),IF(AND(AM$5&lt;=$F199,AM$5+GanttPeriod-1&gt;=$E199),"━","")))</f>
        <v/>
      </c>
      <c r="AN199" s="69" t="str">
        <f aca="false">IF($E199="","",IF($M199,IF(AND($G199&gt;=AN$5,$G199&lt;AN$5+GanttPeriod),"◆",IF(AND($E199&gt;=AN$5,$E199&lt;AN$5+GanttPeriod),"◇","")),IF(AND(AN$5&lt;=$F199,AN$5+GanttPeriod-1&gt;=$E199),"━","")))</f>
        <v/>
      </c>
      <c r="AO199" s="69" t="str">
        <f aca="false">IF($E199="","",IF($M199,IF(AND($G199&gt;=AO$5,$G199&lt;AO$5+GanttPeriod),"◆",IF(AND($E199&gt;=AO$5,$E199&lt;AO$5+GanttPeriod),"◇","")),IF(AND(AO$5&lt;=$F199,AO$5+GanttPeriod-1&gt;=$E199),"━","")))</f>
        <v/>
      </c>
      <c r="AP199" s="69" t="str">
        <f aca="false">IF($E199="","",IF($M199,IF(AND($G199&gt;=AP$5,$G199&lt;AP$5+GanttPeriod),"◆",IF(AND($E199&gt;=AP$5,$E199&lt;AP$5+GanttPeriod),"◇","")),IF(AND(AP$5&lt;=$F199,AP$5+GanttPeriod-1&gt;=$E199),"━","")))</f>
        <v/>
      </c>
      <c r="AQ199" s="69" t="str">
        <f aca="false">IF($E199="","",IF($M199,IF(AND($G199&gt;=AQ$5,$G199&lt;AQ$5+GanttPeriod),"◆",IF(AND($E199&gt;=AQ$5,$E199&lt;AQ$5+GanttPeriod),"◇","")),IF(AND(AQ$5&lt;=$F199,AQ$5+GanttPeriod-1&gt;=$E199),"━","")))</f>
        <v/>
      </c>
      <c r="AR199" s="69" t="str">
        <f aca="false">IF($E199="","",IF($M199,IF(AND($G199&gt;=AR$5,$G199&lt;AR$5+GanttPeriod),"◆",IF(AND($E199&gt;=AR$5,$E199&lt;AR$5+GanttPeriod),"◇","")),IF(AND(AR$5&lt;=$F199,AR$5+GanttPeriod-1&gt;=$E199),"━","")))</f>
        <v/>
      </c>
      <c r="AS199" s="69" t="str">
        <f aca="false">IF($E199="","",IF($M199,IF(AND($G199&gt;=AS$5,$G199&lt;AS$5+GanttPeriod),"◆",IF(AND($E199&gt;=AS$5,$E199&lt;AS$5+GanttPeriod),"◇","")),IF(AND(AS$5&lt;=$F199,AS$5+GanttPeriod-1&gt;=$E199),"━","")))</f>
        <v/>
      </c>
      <c r="AT199" s="69" t="str">
        <f aca="false">IF($E199="","",IF($M199,IF(AND($G199&gt;=AT$5,$G199&lt;AT$5+GanttPeriod),"◆",IF(AND($E199&gt;=AT$5,$E199&lt;AT$5+GanttPeriod),"◇","")),IF(AND(AT$5&lt;=$F199,AT$5+GanttPeriod-1&gt;=$E199),"━","")))</f>
        <v/>
      </c>
      <c r="AU199" s="69" t="str">
        <f aca="false">IF($E199="","",IF($M199,IF(AND($G199&gt;=AU$5,$G199&lt;AU$5+GanttPeriod),"◆",IF(AND($E199&gt;=AU$5,$E199&lt;AU$5+GanttPeriod),"◇","")),IF(AND(AU$5&lt;=$F199,AU$5+GanttPeriod-1&gt;=$E199),"━","")))</f>
        <v/>
      </c>
      <c r="AV199" s="69" t="str">
        <f aca="false">IF($E199="","",IF($M199,IF(AND($G199&gt;=AV$5,$G199&lt;AV$5+GanttPeriod),"◆",IF(AND($E199&gt;=AV$5,$E199&lt;AV$5+GanttPeriod),"◇","")),IF(AND(AV$5&lt;=$F199,AV$5+GanttPeriod-1&gt;=$E199),"━","")))</f>
        <v/>
      </c>
      <c r="AW199" s="69" t="str">
        <f aca="false">IF($E199="","",IF($M199,IF(AND($G199&gt;=AW$5,$G199&lt;AW$5+GanttPeriod),"◆",IF(AND($E199&gt;=AW$5,$E199&lt;AW$5+GanttPeriod),"◇","")),IF(AND(AW$5&lt;=$F199,AW$5+GanttPeriod-1&gt;=$E199),"━","")))</f>
        <v/>
      </c>
      <c r="AX199" s="69" t="str">
        <f aca="false">IF($E199="","",IF($M199,IF(AND($G199&gt;=AX$5,$G199&lt;AX$5+GanttPeriod),"◆",IF(AND($E199&gt;=AX$5,$E199&lt;AX$5+GanttPeriod),"◇","")),IF(AND(AX$5&lt;=$F199,AX$5+GanttPeriod-1&gt;=$E199),"━","")))</f>
        <v/>
      </c>
      <c r="AY199" s="69" t="str">
        <f aca="false">IF($E199="","",IF($M199,IF(AND($G199&gt;=AY$5,$G199&lt;AY$5+GanttPeriod),"◆",IF(AND($E199&gt;=AY$5,$E199&lt;AY$5+GanttPeriod),"◇","")),IF(AND(AY$5&lt;=$F199,AY$5+GanttPeriod-1&gt;=$E199),"━","")))</f>
        <v/>
      </c>
      <c r="AZ199" s="69" t="str">
        <f aca="false">IF($E199="","",IF($M199,IF(AND($G199&gt;=AZ$5,$G199&lt;AZ$5+GanttPeriod),"◆",IF(AND($E199&gt;=AZ$5,$E199&lt;AZ$5+GanttPeriod),"◇","")),IF(AND(AZ$5&lt;=$F199,AZ$5+GanttPeriod-1&gt;=$E199),"━","")))</f>
        <v/>
      </c>
      <c r="BA199" s="69" t="str">
        <f aca="false">IF($E199="","",IF($M199,IF(AND($G199&gt;=BA$5,$G199&lt;BA$5+GanttPeriod),"◆",IF(AND($E199&gt;=BA$5,$E199&lt;BA$5+GanttPeriod),"◇","")),IF(AND(BA$5&lt;=$F199,BA$5+GanttPeriod-1&gt;=$E199),"━","")))</f>
        <v/>
      </c>
      <c r="BB199" s="69" t="str">
        <f aca="false">IF($E199="","",IF($M199,IF(AND($G199&gt;=BB$5,$G199&lt;BB$5+GanttPeriod),"◆",IF(AND($E199&gt;=BB$5,$E199&lt;BB$5+GanttPeriod),"◇","")),IF(AND(BB$5&lt;=$F199,BB$5+GanttPeriod-1&gt;=$E199),"━","")))</f>
        <v/>
      </c>
      <c r="BC199" s="69" t="str">
        <f aca="false">IF($E199="","",IF($M199,IF(AND($G199&gt;=BC$5,$G199&lt;BC$5+GanttPeriod),"◆",IF(AND($E199&gt;=BC$5,$E199&lt;BC$5+GanttPeriod),"◇","")),IF(AND(BC$5&lt;=$F199,BC$5+GanttPeriod-1&gt;=$E199),"━","")))</f>
        <v/>
      </c>
      <c r="BD199" s="69" t="str">
        <f aca="false">IF($E199="","",IF($M199,IF(AND($G199&gt;=BD$5,$G199&lt;BD$5+GanttPeriod),"◆",IF(AND($E199&gt;=BD$5,$E199&lt;BD$5+GanttPeriod),"◇","")),IF(AND(BD$5&lt;=$F199,BD$5+GanttPeriod-1&gt;=$E199),"━","")))</f>
        <v/>
      </c>
      <c r="BE199" s="69" t="str">
        <f aca="false">IF($E199="","",IF($M199,IF(AND($G199&gt;=BE$5,$G199&lt;BE$5+GanttPeriod),"◆",IF(AND($E199&gt;=BE$5,$E199&lt;BE$5+GanttPeriod),"◇","")),IF(AND(BE$5&lt;=$F199,BE$5+GanttPeriod-1&gt;=$E199),"━","")))</f>
        <v/>
      </c>
      <c r="BF199" s="69" t="str">
        <f aca="false">IF($E199="","",IF($M199,IF(AND($G199&gt;=BF$5,$G199&lt;BF$5+GanttPeriod),"◆",IF(AND($E199&gt;=BF$5,$E199&lt;BF$5+GanttPeriod),"◇","")),IF(AND(BF$5&lt;=$F199,BF$5+GanttPeriod-1&gt;=$E199),"━","")))</f>
        <v/>
      </c>
      <c r="BG199" s="69" t="str">
        <f aca="false">IF($E199="","",IF($M199,IF(AND($G199&gt;=BG$5,$G199&lt;BG$5+GanttPeriod),"◆",IF(AND($E199&gt;=BG$5,$E199&lt;BG$5+GanttPeriod),"◇","")),IF(AND(BG$5&lt;=$F199,BG$5+GanttPeriod-1&gt;=$E199),"━","")))</f>
        <v/>
      </c>
      <c r="BH199" s="69" t="str">
        <f aca="false">IF($E199="","",IF($M199,IF(AND($G199&gt;=BH$5,$G199&lt;BH$5+GanttPeriod),"◆",IF(AND($E199&gt;=BH$5,$E199&lt;BH$5+GanttPeriod),"◇","")),IF(AND(BH$5&lt;=$F199,BH$5+GanttPeriod-1&gt;=$E199),"━","")))</f>
        <v/>
      </c>
      <c r="BI199" s="69" t="str">
        <f aca="false">IF($E199="","",IF($M199,IF(AND($G199&gt;=BI$5,$G199&lt;BI$5+GanttPeriod),"◆",IF(AND($E199&gt;=BI$5,$E199&lt;BI$5+GanttPeriod),"◇","")),IF(AND(BI$5&lt;=$F199,BI$5+GanttPeriod-1&gt;=$E199),"━","")))</f>
        <v/>
      </c>
      <c r="BJ199" s="69" t="str">
        <f aca="false">IF($E199="","",IF($M199,IF(AND($G199&gt;=BJ$5,$G199&lt;BJ$5+GanttPeriod),"◆",IF(AND($E199&gt;=BJ$5,$E199&lt;BJ$5+GanttPeriod),"◇","")),IF(AND(BJ$5&lt;=$F199,BJ$5+GanttPeriod-1&gt;=$E199),"━","")))</f>
        <v/>
      </c>
      <c r="BK199" s="69" t="str">
        <f aca="false">IF($E199="","",IF($M199,IF(AND($G199&gt;=BK$5,$G199&lt;BK$5+GanttPeriod),"◆",IF(AND($E199&gt;=BK$5,$E199&lt;BK$5+GanttPeriod),"◇","")),IF(AND(BK$5&lt;=$F199,BK$5+GanttPeriod-1&gt;=$E199),"━","")))</f>
        <v/>
      </c>
      <c r="BL199" s="69" t="str">
        <f aca="false">IF($E199="","",IF($M199,IF(AND($G199&gt;=BL$5,$G199&lt;BL$5+GanttPeriod),"◆",IF(AND($E199&gt;=BL$5,$E199&lt;BL$5+GanttPeriod),"◇","")),IF(AND(BL$5&lt;=$F199,BL$5+GanttPeriod-1&gt;=$E199),"━","")))</f>
        <v/>
      </c>
      <c r="BM199" s="69" t="str">
        <f aca="false">IF($E199="","",IF($M199,IF(AND($G199&gt;=BM$5,$G199&lt;BM$5+GanttPeriod),"◆",IF(AND($E199&gt;=BM$5,$E199&lt;BM$5+GanttPeriod),"◇","")),IF(AND(BM$5&lt;=$F199,BM$5+GanttPeriod-1&gt;=$E199),"━","")))</f>
        <v/>
      </c>
      <c r="BN199" s="69" t="str">
        <f aca="false">IF($E199="","",IF($M199,IF(AND($G199&gt;=BN$5,$G199&lt;BN$5+GanttPeriod),"◆",IF(AND($E199&gt;=BN$5,$E199&lt;BN$5+GanttPeriod),"◇","")),IF(AND(BN$5&lt;=$F199,BN$5+GanttPeriod-1&gt;=$E199),"━","")))</f>
        <v/>
      </c>
      <c r="BO199" s="69" t="str">
        <f aca="false">IF($E199="","",IF($M199,IF(AND($G199&gt;=BO$5,$G199&lt;BO$5+GanttPeriod),"◆",IF(AND($E199&gt;=BO$5,$E199&lt;BO$5+GanttPeriod),"◇","")),IF(AND(BO$5&lt;=$F199,BO$5+GanttPeriod-1&gt;=$E199),"━","")))</f>
        <v/>
      </c>
      <c r="BP199" s="69" t="str">
        <f aca="false">IF($E199="","",IF($M199,IF(AND($G199&gt;=BP$5,$G199&lt;BP$5+GanttPeriod),"◆",IF(AND($E199&gt;=BP$5,$E199&lt;BP$5+GanttPeriod),"◇","")),IF(AND(BP$5&lt;=$F199,BP$5+GanttPeriod-1&gt;=$E199),"━","")))</f>
        <v/>
      </c>
      <c r="BQ199" s="69" t="str">
        <f aca="false">IF($E199="","",IF($M199,IF(AND($G199&gt;=BQ$5,$G199&lt;BQ$5+GanttPeriod),"◆",IF(AND($E199&gt;=BQ$5,$E199&lt;BQ$5+GanttPeriod),"◇","")),IF(AND(BQ$5&lt;=$F199,BQ$5+GanttPeriod-1&gt;=$E199),"━","")))</f>
        <v/>
      </c>
      <c r="BR199" s="69" t="str">
        <f aca="false">IF($E199="","",IF($M199,IF(AND($G199&gt;=BR$5,$G199&lt;BR$5+GanttPeriod),"◆",IF(AND($E199&gt;=BR$5,$E199&lt;BR$5+GanttPeriod),"◇","")),IF(AND(BR$5&lt;=$F199,BR$5+GanttPeriod-1&gt;=$E199),"━","")))</f>
        <v/>
      </c>
      <c r="BS199" s="69" t="str">
        <f aca="false">IF($E199="","",IF($M199,IF(AND($G199&gt;=BS$5,$G199&lt;BS$5+GanttPeriod),"◆",IF(AND($E199&gt;=BS$5,$E199&lt;BS$5+GanttPeriod),"◇","")),IF(AND(BS$5&lt;=$F199,BS$5+GanttPeriod-1&gt;=$E199),"━","")))</f>
        <v/>
      </c>
      <c r="BT199" s="69" t="str">
        <f aca="false">IF($E199="","",IF($M199,IF(AND($G199&gt;=BT$5,$G199&lt;BT$5+GanttPeriod),"◆",IF(AND($E199&gt;=BT$5,$E199&lt;BT$5+GanttPeriod),"◇","")),IF(AND(BT$5&lt;=$F199,BT$5+GanttPeriod-1&gt;=$E199),"━","")))</f>
        <v/>
      </c>
      <c r="BU199" s="69" t="str">
        <f aca="false">IF($E199="","",IF($M199,IF(AND($G199&gt;=BU$5,$G199&lt;BU$5+GanttPeriod),"◆",IF(AND($E199&gt;=BU$5,$E199&lt;BU$5+GanttPeriod),"◇","")),IF(AND(BU$5&lt;=$F199,BU$5+GanttPeriod-1&gt;=$E199),"━","")))</f>
        <v/>
      </c>
      <c r="BV199" s="69" t="str">
        <f aca="false">IF($E199="","",IF($M199,IF(AND($G199&gt;=BV$5,$G199&lt;BV$5+GanttPeriod),"◆",IF(AND($E199&gt;=BV$5,$E199&lt;BV$5+GanttPeriod),"◇","")),IF(AND(BV$5&lt;=$F199,BV$5+GanttPeriod-1&gt;=$E199),"━","")))</f>
        <v/>
      </c>
      <c r="BW199" s="69" t="str">
        <f aca="false">IF($E199="","",IF($M199,IF(AND($G199&gt;=BW$5,$G199&lt;BW$5+GanttPeriod),"◆",IF(AND($E199&gt;=BW$5,$E199&lt;BW$5+GanttPeriod),"◇","")),IF(AND(BW$5&lt;=$F199,BW$5+GanttPeriod-1&gt;=$E199),"━","")))</f>
        <v/>
      </c>
      <c r="BX199" s="69" t="str">
        <f aca="false">IF($E199="","",IF($M199,IF(AND($G199&gt;=BX$5,$G199&lt;BX$5+GanttPeriod),"◆",IF(AND($E199&gt;=BX$5,$E199&lt;BX$5+GanttPeriod),"◇","")),IF(AND(BX$5&lt;=$F199,BX$5+GanttPeriod-1&gt;=$E199),"━","")))</f>
        <v/>
      </c>
      <c r="BY199" s="69" t="str">
        <f aca="false">IF($E199="","",IF($M199,IF(AND($G199&gt;=BY$5,$G199&lt;BY$5+GanttPeriod),"◆",IF(AND($E199&gt;=BY$5,$E199&lt;BY$5+GanttPeriod),"◇","")),IF(AND(BY$5&lt;=$F199,BY$5+GanttPeriod-1&gt;=$E199),"━","")))</f>
        <v/>
      </c>
      <c r="BZ199" s="69" t="str">
        <f aca="false">IF($E199="","",IF($M199,IF(AND($G199&gt;=BZ$5,$G199&lt;BZ$5+GanttPeriod),"◆",IF(AND($E199&gt;=BZ$5,$E199&lt;BZ$5+GanttPeriod),"◇","")),IF(AND(BZ$5&lt;=$F199,BZ$5+GanttPeriod-1&gt;=$E199),"━","")))</f>
        <v/>
      </c>
      <c r="CA199" s="69" t="str">
        <f aca="false">IF($E199="","",IF($M199,IF(AND($G199&gt;=CA$5,$G199&lt;CA$5+GanttPeriod),"◆",IF(AND($E199&gt;=CA$5,$E199&lt;CA$5+GanttPeriod),"◇","")),IF(AND(CA$5&lt;=$F199,CA$5+GanttPeriod-1&gt;=$E199),"━","")))</f>
        <v/>
      </c>
      <c r="CB199" s="69" t="str">
        <f aca="false">IF($E199="","",IF($M199,IF(AND($G199&gt;=CB$5,$G199&lt;CB$5+GanttPeriod),"◆",IF(AND($E199&gt;=CB$5,$E199&lt;CB$5+GanttPeriod),"◇","")),IF(AND(CB$5&lt;=$F199,CB$5+GanttPeriod-1&gt;=$E199),"━","")))</f>
        <v/>
      </c>
      <c r="CC199" s="69" t="str">
        <f aca="false">IF($E199="","",IF($M199,IF(AND($G199&gt;=CC$5,$G199&lt;CC$5+GanttPeriod),"◆",IF(AND($E199&gt;=CC$5,$E199&lt;CC$5+GanttPeriod),"◇","")),IF(AND(CC$5&lt;=$F199,CC$5+GanttPeriod-1&gt;=$E199),"━","")))</f>
        <v/>
      </c>
      <c r="CD199" s="69" t="str">
        <f aca="false">IF($E199="","",IF($M199,IF(AND($G199&gt;=CD$5,$G199&lt;CD$5+GanttPeriod),"◆",IF(AND($E199&gt;=CD$5,$E199&lt;CD$5+GanttPeriod),"◇","")),IF(AND(CD$5&lt;=$F199,CD$5+GanttPeriod-1&gt;=$E199),"━","")))</f>
        <v/>
      </c>
      <c r="CE199" s="69" t="str">
        <f aca="false">IF($E199="","",IF($M199,IF(AND($G199&gt;=CE$5,$G199&lt;CE$5+GanttPeriod),"◆",IF(AND($E199&gt;=CE$5,$E199&lt;CE$5+GanttPeriod),"◇","")),IF(AND(CE$5&lt;=$F199,CE$5+GanttPeriod-1&gt;=$E199),"━","")))</f>
        <v/>
      </c>
      <c r="CF199" s="69" t="str">
        <f aca="false">IF($E199="","",IF($M199,IF(AND($G199&gt;=CF$5,$G199&lt;CF$5+GanttPeriod),"◆",IF(AND($E199&gt;=CF$5,$E199&lt;CF$5+GanttPeriod),"◇","")),IF(AND(CF$5&lt;=$F199,CF$5+GanttPeriod-1&gt;=$E199),"━","")))</f>
        <v/>
      </c>
      <c r="CG199" s="69" t="str">
        <f aca="false">IF($E199="","",IF($M199,IF(AND($G199&gt;=CG$5,$G199&lt;CG$5+GanttPeriod),"◆",IF(AND($E199&gt;=CG$5,$E199&lt;CG$5+GanttPeriod),"◇","")),IF(AND(CG$5&lt;=$F199,CG$5+GanttPeriod-1&gt;=$E199),"━","")))</f>
        <v/>
      </c>
      <c r="CH199" s="69" t="str">
        <f aca="false">IF($E199="","",IF($M199,IF(AND($G199&gt;=CH$5,$G199&lt;CH$5+GanttPeriod),"◆",IF(AND($E199&gt;=CH$5,$E199&lt;CH$5+GanttPeriod),"◇","")),IF(AND(CH$5&lt;=$F199,CH$5+GanttPeriod-1&gt;=$E199),"━","")))</f>
        <v/>
      </c>
      <c r="CI199" s="69" t="str">
        <f aca="false">IF($E199="","",IF($M199,IF(AND($G199&gt;=CI$5,$G199&lt;CI$5+GanttPeriod),"◆",IF(AND($E199&gt;=CI$5,$E199&lt;CI$5+GanttPeriod),"◇","")),IF(AND(CI$5&lt;=$F199,CI$5+GanttPeriod-1&gt;=$E199),"━","")))</f>
        <v/>
      </c>
      <c r="CJ199" s="69" t="str">
        <f aca="false">IF($E199="","",IF($M199,IF(AND($G199&gt;=CJ$5,$G199&lt;CJ$5+GanttPeriod),"◆",IF(AND($E199&gt;=CJ$5,$E199&lt;CJ$5+GanttPeriod),"◇","")),IF(AND(CJ$5&lt;=$F199,CJ$5+GanttPeriod-1&gt;=$E199),"━","")))</f>
        <v/>
      </c>
      <c r="CK199" s="69" t="str">
        <f aca="false">IF($E199="","",IF($M199,IF(AND($G199&gt;=CK$5,$G199&lt;CK$5+GanttPeriod),"◆",IF(AND($E199&gt;=CK$5,$E199&lt;CK$5+GanttPeriod),"◇","")),IF(AND(CK$5&lt;=$F199,CK$5+GanttPeriod-1&gt;=$E199),"━","")))</f>
        <v/>
      </c>
      <c r="CL199" s="69" t="str">
        <f aca="false">IF($E199="","",IF($M199,IF(AND($G199&gt;=CL$5,$G199&lt;CL$5+GanttPeriod),"◆",IF(AND($E199&gt;=CL$5,$E199&lt;CL$5+GanttPeriod),"◇","")),IF(AND(CL$5&lt;=$F199,CL$5+GanttPeriod-1&gt;=$E199),"━","")))</f>
        <v/>
      </c>
      <c r="CM199" s="69" t="str">
        <f aca="false">IF($E199="","",IF($M199,IF(AND($G199&gt;=CM$5,$G199&lt;CM$5+GanttPeriod),"◆",IF(AND($E199&gt;=CM$5,$E199&lt;CM$5+GanttPeriod),"◇","")),IF(AND(CM$5&lt;=$F199,CM$5+GanttPeriod-1&gt;=$E199),"━","")))</f>
        <v/>
      </c>
      <c r="CN199" s="69" t="str">
        <f aca="false">IF($E199="","",IF($M199,IF(AND($G199&gt;=CN$5,$G199&lt;CN$5+GanttPeriod),"◆",IF(AND($E199&gt;=CN$5,$E199&lt;CN$5+GanttPeriod),"◇","")),IF(AND(CN$5&lt;=$F199,CN$5+GanttPeriod-1&gt;=$E199),"━","")))</f>
        <v/>
      </c>
      <c r="CO199" s="69" t="str">
        <f aca="false">IF($E199="","",IF($M199,IF(AND($G199&gt;=CO$5,$G199&lt;CO$5+GanttPeriod),"◆",IF(AND($E199&gt;=CO$5,$E199&lt;CO$5+GanttPeriod),"◇","")),IF(AND(CO$5&lt;=$F199,CO$5+GanttPeriod-1&gt;=$E199),"━","")))</f>
        <v/>
      </c>
      <c r="CP199" s="69" t="str">
        <f aca="false">IF($E199="","",IF($M199,IF(AND($G199&gt;=CP$5,$G199&lt;CP$5+GanttPeriod),"◆",IF(AND($E199&gt;=CP$5,$E199&lt;CP$5+GanttPeriod),"◇","")),IF(AND(CP$5&lt;=$F199,CP$5+GanttPeriod-1&gt;=$E199),"━","")))</f>
        <v/>
      </c>
      <c r="CQ199" s="69" t="str">
        <f aca="false">IF($E199="","",IF($M199,IF(AND($G199&gt;=CQ$5,$G199&lt;CQ$5+GanttPeriod),"◆",IF(AND($E199&gt;=CQ$5,$E199&lt;CQ$5+GanttPeriod),"◇","")),IF(AND(CQ$5&lt;=$F199,CQ$5+GanttPeriod-1&gt;=$E199),"━","")))</f>
        <v/>
      </c>
      <c r="CR199" s="69" t="str">
        <f aca="false">IF($E199="","",IF($M199,IF(AND($G199&gt;=CR$5,$G199&lt;CR$5+GanttPeriod),"◆",IF(AND($E199&gt;=CR$5,$E199&lt;CR$5+GanttPeriod),"◇","")),IF(AND(CR$5&lt;=$F199,CR$5+GanttPeriod-1&gt;=$E199),"━","")))</f>
        <v/>
      </c>
      <c r="CS199" s="69" t="str">
        <f aca="false">IF($E199="","",IF($M199,IF(AND($G199&gt;=CS$5,$G199&lt;CS$5+GanttPeriod),"◆",IF(AND($E199&gt;=CS$5,$E199&lt;CS$5+GanttPeriod),"◇","")),IF(AND(CS$5&lt;=$F199,CS$5+GanttPeriod-1&gt;=$E199),"━","")))</f>
        <v/>
      </c>
      <c r="CT199" s="69" t="str">
        <f aca="false">IF($E199="","",IF($M199,IF(AND($G199&gt;=CT$5,$G199&lt;CT$5+GanttPeriod),"◆",IF(AND($E199&gt;=CT$5,$E199&lt;CT$5+GanttPeriod),"◇","")),IF(AND(CT$5&lt;=$F199,CT$5+GanttPeriod-1&gt;=$E199),"━","")))</f>
        <v/>
      </c>
      <c r="CU199" s="69" t="str">
        <f aca="false">IF($E199="","",IF($M199,IF(AND($G199&gt;=CU$5,$G199&lt;CU$5+GanttPeriod),"◆",IF(AND($E199&gt;=CU$5,$E199&lt;CU$5+GanttPeriod),"◇","")),IF(AND(CU$5&lt;=$F199,CU$5+GanttPeriod-1&gt;=$E199),"━","")))</f>
        <v/>
      </c>
      <c r="CV199" s="69" t="str">
        <f aca="false">IF($E199="","",IF($M199,IF(AND($G199&gt;=CV$5,$G199&lt;CV$5+GanttPeriod),"◆",IF(AND($E199&gt;=CV$5,$E199&lt;CV$5+GanttPeriod),"◇","")),IF(AND(CV$5&lt;=$F199,CV$5+GanttPeriod-1&gt;=$E199),"━","")))</f>
        <v/>
      </c>
      <c r="CW199" s="69" t="str">
        <f aca="false">IF($E199="","",IF($M199,IF(AND($G199&gt;=CW$5,$G199&lt;CW$5+GanttPeriod),"◆",IF(AND($E199&gt;=CW$5,$E199&lt;CW$5+GanttPeriod),"◇","")),IF(AND(CW$5&lt;=$F199,CW$5+GanttPeriod-1&gt;=$E199),"━","")))</f>
        <v/>
      </c>
      <c r="CX199" s="69" t="str">
        <f aca="false">IF($E199="","",IF($M199,IF(AND($G199&gt;=CX$5,$G199&lt;CX$5+GanttPeriod),"◆",IF(AND($E199&gt;=CX$5,$E199&lt;CX$5+GanttPeriod),"◇","")),IF(AND(CX$5&lt;=$F199,CX$5+GanttPeriod-1&gt;=$E199),"━","")))</f>
        <v/>
      </c>
      <c r="CY199" s="69" t="str">
        <f aca="false">IF($E199="","",IF($M199,IF(AND($G199&gt;=CY$5,$G199&lt;CY$5+GanttPeriod),"◆",IF(AND($E199&gt;=CY$5,$E199&lt;CY$5+GanttPeriod),"◇","")),IF(AND(CY$5&lt;=$F199,CY$5+GanttPeriod-1&gt;=$E199),"━","")))</f>
        <v/>
      </c>
      <c r="CZ199" s="69" t="str">
        <f aca="false">IF($E199="","",IF($M199,IF(AND($G199&gt;=CZ$5,$G199&lt;CZ$5+GanttPeriod),"◆",IF(AND($E199&gt;=CZ$5,$E199&lt;CZ$5+GanttPeriod),"◇","")),IF(AND(CZ$5&lt;=$F199,CZ$5+GanttPeriod-1&gt;=$E199),"━","")))</f>
        <v/>
      </c>
      <c r="DA199" s="69" t="str">
        <f aca="false">IF($E199="","",IF($M199,IF(AND($G199&gt;=DA$5,$G199&lt;DA$5+GanttPeriod),"◆",IF(AND($E199&gt;=DA$5,$E199&lt;DA$5+GanttPeriod),"◇","")),IF(AND(DA$5&lt;=$F199,DA$5+GanttPeriod-1&gt;=$E199),"━","")))</f>
        <v/>
      </c>
      <c r="DB199" s="69" t="str">
        <f aca="false">IF($E199="","",IF($M199,IF(AND($G199&gt;=DB$5,$G199&lt;DB$5+GanttPeriod),"◆",IF(AND($E199&gt;=DB$5,$E199&lt;DB$5+GanttPeriod),"◇","")),IF(AND(DB$5&lt;=$F199,DB$5+GanttPeriod-1&gt;=$E199),"━","")))</f>
        <v/>
      </c>
      <c r="DC199" s="69" t="str">
        <f aca="false">IF($E199="","",IF($M199,IF(AND($G199&gt;=DC$5,$G199&lt;DC$5+GanttPeriod),"◆",IF(AND($E199&gt;=DC$5,$E199&lt;DC$5+GanttPeriod),"◇","")),IF(AND(DC$5&lt;=$F199,DC$5+GanttPeriod-1&gt;=$E199),"━","")))</f>
        <v/>
      </c>
      <c r="DD199" s="69" t="str">
        <f aca="false">IF($E199="","",IF($M199,IF(AND($G199&gt;=DD$5,$G199&lt;DD$5+GanttPeriod),"◆",IF(AND($E199&gt;=DD$5,$E199&lt;DD$5+GanttPeriod),"◇","")),IF(AND(DD$5&lt;=$F199,DD$5+GanttPeriod-1&gt;=$E199),"━","")))</f>
        <v/>
      </c>
      <c r="DE199" s="69" t="str">
        <f aca="false">IF($E199="","",IF($M199,IF(AND($G199&gt;=DE$5,$G199&lt;DE$5+GanttPeriod),"◆",IF(AND($E199&gt;=DE$5,$E199&lt;DE$5+GanttPeriod),"◇","")),IF(AND(DE$5&lt;=$F199,DE$5+GanttPeriod-1&gt;=$E199),"━","")))</f>
        <v/>
      </c>
      <c r="DF199" s="69" t="str">
        <f aca="false">IF($E199="","",IF($M199,IF(AND($G199&gt;=DF$5,$G199&lt;DF$5+GanttPeriod),"◆",IF(AND($E199&gt;=DF$5,$E199&lt;DF$5+GanttPeriod),"◇","")),IF(AND(DF$5&lt;=$F199,DF$5+GanttPeriod-1&gt;=$E199),"━","")))</f>
        <v/>
      </c>
      <c r="DG199" s="69" t="str">
        <f aca="false">IF($E199="","",IF($M199,IF(AND($G199&gt;=DG$5,$G199&lt;DG$5+GanttPeriod),"◆",IF(AND($E199&gt;=DG$5,$E199&lt;DG$5+GanttPeriod),"◇","")),IF(AND(DG$5&lt;=$F199,DG$5+GanttPeriod-1&gt;=$E199),"━","")))</f>
        <v/>
      </c>
      <c r="DH199" s="69" t="str">
        <f aca="false">IF($E199="","",IF($M199,IF(AND($G199&gt;=DH$5,$G199&lt;DH$5+GanttPeriod),"◆",IF(AND($E199&gt;=DH$5,$E199&lt;DH$5+GanttPeriod),"◇","")),IF(AND(DH$5&lt;=$F199,DH$5+GanttPeriod-1&gt;=$E199),"━","")))</f>
        <v/>
      </c>
      <c r="DI199" s="69" t="str">
        <f aca="false">IF($E199="","",IF($M199,IF(AND($G199&gt;=DI$5,$G199&lt;DI$5+GanttPeriod),"◆",IF(AND($E199&gt;=DI$5,$E199&lt;DI$5+GanttPeriod),"◇","")),IF(AND(DI$5&lt;=$F199,DI$5+GanttPeriod-1&gt;=$E199),"━","")))</f>
        <v/>
      </c>
      <c r="DJ199" s="69" t="str">
        <f aca="false">IF($E199="","",IF($M199,IF(AND($G199&gt;=DJ$5,$G199&lt;DJ$5+GanttPeriod),"◆",IF(AND($E199&gt;=DJ$5,$E199&lt;DJ$5+GanttPeriod),"◇","")),IF(AND(DJ$5&lt;=$F199,DJ$5+GanttPeriod-1&gt;=$E199),"━","")))</f>
        <v/>
      </c>
      <c r="DK199" s="69" t="str">
        <f aca="false">IF($E199="","",IF($M199,IF(AND($G199&gt;=DK$5,$G199&lt;DK$5+GanttPeriod),"◆",IF(AND($E199&gt;=DK$5,$E199&lt;DK$5+GanttPeriod),"◇","")),IF(AND(DK$5&lt;=$F199,DK$5+GanttPeriod-1&gt;=$E199),"━","")))</f>
        <v/>
      </c>
      <c r="DL199" s="69" t="str">
        <f aca="false">IF($E199="","",IF($M199,IF(AND($G199&gt;=DL$5,$G199&lt;DL$5+GanttPeriod),"◆",IF(AND($E199&gt;=DL$5,$E199&lt;DL$5+GanttPeriod),"◇","")),IF(AND(DL$5&lt;=$F199,DL$5+GanttPeriod-1&gt;=$E199),"━","")))</f>
        <v/>
      </c>
      <c r="DM199" s="69" t="str">
        <f aca="false">IF($E199="","",IF($M199,IF(AND($G199&gt;=DM$5,$G199&lt;DM$5+GanttPeriod),"◆",IF(AND($E199&gt;=DM$5,$E199&lt;DM$5+GanttPeriod),"◇","")),IF(AND(DM$5&lt;=$F199,DM$5+GanttPeriod-1&gt;=$E199),"━","")))</f>
        <v/>
      </c>
      <c r="DN199" s="69" t="str">
        <f aca="false">IF($E199="","",IF($M199,IF(AND($G199&gt;=DN$5,$G199&lt;DN$5+GanttPeriod),"◆",IF(AND($E199&gt;=DN$5,$E199&lt;DN$5+GanttPeriod),"◇","")),IF(AND(DN$5&lt;=$F199,DN$5+GanttPeriod-1&gt;=$E199),"━","")))</f>
        <v/>
      </c>
      <c r="DO199" s="69" t="str">
        <f aca="false">IF($E199="","",IF($M199,IF(AND($G199&gt;=DO$5,$G199&lt;DO$5+GanttPeriod),"◆",IF(AND($E199&gt;=DO$5,$E199&lt;DO$5+GanttPeriod),"◇","")),IF(AND(DO$5&lt;=$F199,DO$5+GanttPeriod-1&gt;=$E199),"━","")))</f>
        <v/>
      </c>
      <c r="DP199" s="69" t="str">
        <f aca="false">IF($E199="","",IF($M199,IF(AND($G199&gt;=DP$5,$G199&lt;DP$5+GanttPeriod),"◆",IF(AND($E199&gt;=DP$5,$E199&lt;DP$5+GanttPeriod),"◇","")),IF(AND(DP$5&lt;=$F199,DP$5+GanttPeriod-1&gt;=$E199),"━","")))</f>
        <v/>
      </c>
      <c r="DQ199" s="69" t="str">
        <f aca="false">IF($E199="","",IF($M199,IF(AND($G199&gt;=DQ$5,$G199&lt;DQ$5+GanttPeriod),"◆",IF(AND($E199&gt;=DQ$5,$E199&lt;DQ$5+GanttPeriod),"◇","")),IF(AND(DQ$5&lt;=$F199,DQ$5+GanttPeriod-1&gt;=$E199),"━","")))</f>
        <v/>
      </c>
      <c r="DR199" s="69" t="str">
        <f aca="false">IF($E199="","",IF($M199,IF(AND($G199&gt;=DR$5,$G199&lt;DR$5+GanttPeriod),"◆",IF(AND($E199&gt;=DR$5,$E199&lt;DR$5+GanttPeriod),"◇","")),IF(AND(DR$5&lt;=$F199,DR$5+GanttPeriod-1&gt;=$E199),"━","")))</f>
        <v/>
      </c>
      <c r="DS199" s="69" t="str">
        <f aca="false">IF($E199="","",IF($M199,IF(AND($G199&gt;=DS$5,$G199&lt;DS$5+GanttPeriod),"◆",IF(AND($E199&gt;=DS$5,$E199&lt;DS$5+GanttPeriod),"◇","")),IF(AND(DS$5&lt;=$F199,DS$5+GanttPeriod-1&gt;=$E199),"━","")))</f>
        <v/>
      </c>
      <c r="DT199" s="69" t="str">
        <f aca="false">IF($E199="","",IF($M199,IF(AND($G199&gt;=DT$5,$G199&lt;DT$5+GanttPeriod),"◆",IF(AND($E199&gt;=DT$5,$E199&lt;DT$5+GanttPeriod),"◇","")),IF(AND(DT$5&lt;=$F199,DT$5+GanttPeriod-1&gt;=$E199),"━","")))</f>
        <v/>
      </c>
      <c r="DU199" s="69" t="str">
        <f aca="false">IF($E199="","",IF($M199,IF(AND($G199&gt;=DU$5,$G199&lt;DU$5+GanttPeriod),"◆",IF(AND($E199&gt;=DU$5,$E199&lt;DU$5+GanttPeriod),"◇","")),IF(AND(DU$5&lt;=$F199,DU$5+GanttPeriod-1&gt;=$E199),"━","")))</f>
        <v/>
      </c>
      <c r="DV199" s="69" t="str">
        <f aca="false">IF($E199="","",IF($M199,IF(AND($G199&gt;=DV$5,$G199&lt;DV$5+GanttPeriod),"◆",IF(AND($E199&gt;=DV$5,$E199&lt;DV$5+GanttPeriod),"◇","")),IF(AND(DV$5&lt;=$F199,DV$5+GanttPeriod-1&gt;=$E199),"━","")))</f>
        <v/>
      </c>
      <c r="DW199" s="69" t="str">
        <f aca="false">IF($E199="","",IF($M199,IF(AND($G199&gt;=DW$5,$G199&lt;DW$5+GanttPeriod),"◆",IF(AND($E199&gt;=DW$5,$E199&lt;DW$5+GanttPeriod),"◇","")),IF(AND(DW$5&lt;=$F199,DW$5+GanttPeriod-1&gt;=$E199),"━","")))</f>
        <v/>
      </c>
      <c r="DX199" s="69" t="str">
        <f aca="false">IF($E199="","",IF($M199,IF(AND($G199&gt;=DX$5,$G199&lt;DX$5+GanttPeriod),"◆",IF(AND($E199&gt;=DX$5,$E199&lt;DX$5+GanttPeriod),"◇","")),IF(AND(DX$5&lt;=$F199,DX$5+GanttPeriod-1&gt;=$E199),"━","")))</f>
        <v/>
      </c>
      <c r="DY199" s="69" t="str">
        <f aca="false">IF($E199="","",IF($M199,IF(AND($G199&gt;=DY$5,$G199&lt;DY$5+GanttPeriod),"◆",IF(AND($E199&gt;=DY$5,$E199&lt;DY$5+GanttPeriod),"◇","")),IF(AND(DY$5&lt;=$F199,DY$5+GanttPeriod-1&gt;=$E199),"━","")))</f>
        <v/>
      </c>
      <c r="DZ199" s="69" t="str">
        <f aca="false">IF($E199="","",IF($M199,IF(AND($G199&gt;=DZ$5,$G199&lt;DZ$5+GanttPeriod),"◆",IF(AND($E199&gt;=DZ$5,$E199&lt;DZ$5+GanttPeriod),"◇","")),IF(AND(DZ$5&lt;=$F199,DZ$5+GanttPeriod-1&gt;=$E199),"━","")))</f>
        <v/>
      </c>
      <c r="EA199" s="69" t="str">
        <f aca="false">IF($E199="","",IF($M199,IF(AND($G199&gt;=EA$5,$G199&lt;EA$5+GanttPeriod),"◆",IF(AND($E199&gt;=EA$5,$E199&lt;EA$5+GanttPeriod),"◇","")),IF(AND(EA$5&lt;=$F199,EA$5+GanttPeriod-1&gt;=$E199),"━","")))</f>
        <v/>
      </c>
      <c r="EB199" s="69" t="str">
        <f aca="false">IF($E199="","",IF($M199,IF(AND($G199&gt;=EB$5,$G199&lt;EB$5+GanttPeriod),"◆",IF(AND($E199&gt;=EB$5,$E199&lt;EB$5+GanttPeriod),"◇","")),IF(AND(EB$5&lt;=$F199,EB$5+GanttPeriod-1&gt;=$E199),"━","")))</f>
        <v/>
      </c>
      <c r="EC199" s="69" t="str">
        <f aca="false">IF($E199="","",IF($M199,IF(AND($G199&gt;=EC$5,$G199&lt;EC$5+GanttPeriod),"◆",IF(AND($E199&gt;=EC$5,$E199&lt;EC$5+GanttPeriod),"◇","")),IF(AND(EC$5&lt;=$F199,EC$5+GanttPeriod-1&gt;=$E199),"━","")))</f>
        <v/>
      </c>
      <c r="ED199" s="69" t="str">
        <f aca="false">IF($E199="","",IF($M199,IF(AND($G199&gt;=ED$5,$G199&lt;ED$5+GanttPeriod),"◆",IF(AND($E199&gt;=ED$5,$E199&lt;ED$5+GanttPeriod),"◇","")),IF(AND(ED$5&lt;=$F199,ED$5+GanttPeriod-1&gt;=$E199),"━","")))</f>
        <v/>
      </c>
      <c r="EE199" s="69" t="str">
        <f aca="false">IF($E199="","",IF($M199,IF(AND($G199&gt;=EE$5,$G199&lt;EE$5+GanttPeriod),"◆",IF(AND($E199&gt;=EE$5,$E199&lt;EE$5+GanttPeriod),"◇","")),IF(AND(EE$5&lt;=$F199,EE$5+GanttPeriod-1&gt;=$E199),"━","")))</f>
        <v/>
      </c>
      <c r="EF199" s="69" t="str">
        <f aca="false">IF($E199="","",IF($M199,IF(AND($G199&gt;=EF$5,$G199&lt;EF$5+GanttPeriod),"◆",IF(AND($E199&gt;=EF$5,$E199&lt;EF$5+GanttPeriod),"◇","")),IF(AND(EF$5&lt;=$F199,EF$5+GanttPeriod-1&gt;=$E199),"━","")))</f>
        <v/>
      </c>
      <c r="EG199" s="69" t="str">
        <f aca="false">IF($E199="","",IF($M199,IF(AND($G199&gt;=EG$5,$G199&lt;EG$5+GanttPeriod),"◆",IF(AND($E199&gt;=EG$5,$E199&lt;EG$5+GanttPeriod),"◇","")),IF(AND(EG$5&lt;=$F199,EG$5+GanttPeriod-1&gt;=$E199),"━","")))</f>
        <v/>
      </c>
      <c r="EH199" s="69" t="str">
        <f aca="false">IF($E199="","",IF($M199,IF(AND($G199&gt;=EH$5,$G199&lt;EH$5+GanttPeriod),"◆",IF(AND($E199&gt;=EH$5,$E199&lt;EH$5+GanttPeriod),"◇","")),IF(AND(EH$5&lt;=$F199,EH$5+GanttPeriod-1&gt;=$E199),"━","")))</f>
        <v/>
      </c>
      <c r="EI199" s="69" t="str">
        <f aca="false">IF($E199="","",IF($M199,IF(AND($G199&gt;=EI$5,$G199&lt;EI$5+GanttPeriod),"◆",IF(AND($E199&gt;=EI$5,$E199&lt;EI$5+GanttPeriod),"◇","")),IF(AND(EI$5&lt;=$F199,EI$5+GanttPeriod-1&gt;=$E199),"━","")))</f>
        <v/>
      </c>
      <c r="EJ199" s="69" t="str">
        <f aca="false">IF($E199="","",IF($M199,IF(AND($G199&gt;=EJ$5,$G199&lt;EJ$5+GanttPeriod),"◆",IF(AND($E199&gt;=EJ$5,$E199&lt;EJ$5+GanttPeriod),"◇","")),IF(AND(EJ$5&lt;=$F199,EJ$5+GanttPeriod-1&gt;=$E199),"━","")))</f>
        <v/>
      </c>
      <c r="EK199" s="69" t="str">
        <f aca="false">IF($E199="","",IF($M199,IF(AND($G199&gt;=EK$5,$G199&lt;EK$5+GanttPeriod),"◆",IF(AND($E199&gt;=EK$5,$E199&lt;EK$5+GanttPeriod),"◇","")),IF(AND(EK$5&lt;=$F199,EK$5+GanttPeriod-1&gt;=$E199),"━","")))</f>
        <v/>
      </c>
      <c r="EL199" s="69" t="str">
        <f aca="false">IF($E199="","",IF($M199,IF(AND($G199&gt;=EL$5,$G199&lt;EL$5+GanttPeriod),"◆",IF(AND($E199&gt;=EL$5,$E199&lt;EL$5+GanttPeriod),"◇","")),IF(AND(EL$5&lt;=$F199,EL$5+GanttPeriod-1&gt;=$E199),"━","")))</f>
        <v/>
      </c>
      <c r="EM199" s="69" t="str">
        <f aca="false">IF($E199="","",IF($M199,IF(AND($G199&gt;=EM$5,$G199&lt;EM$5+GanttPeriod),"◆",IF(AND($E199&gt;=EM$5,$E199&lt;EM$5+GanttPeriod),"◇","")),IF(AND(EM$5&lt;=$F199,EM$5+GanttPeriod-1&gt;=$E199),"━","")))</f>
        <v/>
      </c>
      <c r="EN199" s="69" t="str">
        <f aca="false">IF($E199="","",IF($M199,IF(AND($G199&gt;=EN$5,$G199&lt;EN$5+GanttPeriod),"◆",IF(AND($E199&gt;=EN$5,$E199&lt;EN$5+GanttPeriod),"◇","")),IF(AND(EN$5&lt;=$F199,EN$5+GanttPeriod-1&gt;=$E199),"━","")))</f>
        <v/>
      </c>
      <c r="EO199" s="69" t="str">
        <f aca="false">IF($E199="","",IF($M199,IF(AND($G199&gt;=EO$5,$G199&lt;EO$5+GanttPeriod),"◆",IF(AND($E199&gt;=EO$5,$E199&lt;EO$5+GanttPeriod),"◇","")),IF(AND(EO$5&lt;=$F199,EO$5+GanttPeriod-1&gt;=$E199),"━","")))</f>
        <v/>
      </c>
      <c r="EP199" s="69" t="str">
        <f aca="false">IF($E199="","",IF($M199,IF(AND($G199&gt;=EP$5,$G199&lt;EP$5+GanttPeriod),"◆",IF(AND($E199&gt;=EP$5,$E199&lt;EP$5+GanttPeriod),"◇","")),IF(AND(EP$5&lt;=$F199,EP$5+GanttPeriod-1&gt;=$E199),"━","")))</f>
        <v/>
      </c>
      <c r="EQ199" s="69" t="str">
        <f aca="false">IF($E199="","",IF($M199,IF(AND($G199&gt;=EQ$5,$G199&lt;EQ$5+GanttPeriod),"◆",IF(AND($E199&gt;=EQ$5,$E199&lt;EQ$5+GanttPeriod),"◇","")),IF(AND(EQ$5&lt;=$F199,EQ$5+GanttPeriod-1&gt;=$E199),"━","")))</f>
        <v/>
      </c>
      <c r="ER199" s="69" t="str">
        <f aca="false">IF($E199="","",IF($M199,IF(AND($G199&gt;=ER$5,$G199&lt;ER$5+GanttPeriod),"◆",IF(AND($E199&gt;=ER$5,$E199&lt;ER$5+GanttPeriod),"◇","")),IF(AND(ER$5&lt;=$F199,ER$5+GanttPeriod-1&gt;=$E199),"━","")))</f>
        <v/>
      </c>
      <c r="ES199" s="69" t="str">
        <f aca="false">IF($E199="","",IF($M199,IF(AND($G199&gt;=ES$5,$G199&lt;ES$5+GanttPeriod),"◆",IF(AND($E199&gt;=ES$5,$E199&lt;ES$5+GanttPeriod),"◇","")),IF(AND(ES$5&lt;=$F199,ES$5+GanttPeriod-1&gt;=$E199),"━","")))</f>
        <v/>
      </c>
      <c r="ET199" s="69" t="str">
        <f aca="false">IF($E199="","",IF($M199,IF(AND($G199&gt;=ET$5,$G199&lt;ET$5+GanttPeriod),"◆",IF(AND($E199&gt;=ET$5,$E199&lt;ET$5+GanttPeriod),"◇","")),IF(AND(ET$5&lt;=$F199,ET$5+GanttPeriod-1&gt;=$E199),"━","")))</f>
        <v/>
      </c>
      <c r="EU199" s="69" t="str">
        <f aca="false">IF($E199="","",IF($M199,IF(AND($G199&gt;=EU$5,$G199&lt;EU$5+GanttPeriod),"◆",IF(AND($E199&gt;=EU$5,$E199&lt;EU$5+GanttPeriod),"◇","")),IF(AND(EU$5&lt;=$F199,EU$5+GanttPeriod-1&gt;=$E199),"━","")))</f>
        <v/>
      </c>
      <c r="EV199" s="69" t="str">
        <f aca="false">IF($E199="","",IF($M199,IF(AND($G199&gt;=EV$5,$G199&lt;EV$5+GanttPeriod),"◆",IF(AND($E199&gt;=EV$5,$E199&lt;EV$5+GanttPeriod),"◇","")),IF(AND(EV$5&lt;=$F199,EV$5+GanttPeriod-1&gt;=$E199),"━","")))</f>
        <v/>
      </c>
      <c r="EW199" s="69" t="str">
        <f aca="false">IF($E199="","",IF($M199,IF(AND($G199&gt;=EW$5,$G199&lt;EW$5+GanttPeriod),"◆",IF(AND($E199&gt;=EW$5,$E199&lt;EW$5+GanttPeriod),"◇","")),IF(AND(EW$5&lt;=$F199,EW$5+GanttPeriod-1&gt;=$E199),"━","")))</f>
        <v/>
      </c>
      <c r="EX199" s="69" t="str">
        <f aca="false">IF($E199="","",IF($M199,IF(AND($G199&gt;=EX$5,$G199&lt;EX$5+GanttPeriod),"◆",IF(AND($E199&gt;=EX$5,$E199&lt;EX$5+GanttPeriod),"◇","")),IF(AND(EX$5&lt;=$F199,EX$5+GanttPeriod-1&gt;=$E199),"━","")))</f>
        <v/>
      </c>
      <c r="EY199" s="69" t="str">
        <f aca="false">IF($E199="","",IF($M199,IF(AND($G199&gt;=EY$5,$G199&lt;EY$5+GanttPeriod),"◆",IF(AND($E199&gt;=EY$5,$E199&lt;EY$5+GanttPeriod),"◇","")),IF(AND(EY$5&lt;=$F199,EY$5+GanttPeriod-1&gt;=$E199),"━","")))</f>
        <v/>
      </c>
      <c r="EZ199" s="69" t="str">
        <f aca="false">IF($E199="","",IF($M199,IF(AND($G199&gt;=EZ$5,$G199&lt;EZ$5+GanttPeriod),"◆",IF(AND($E199&gt;=EZ$5,$E199&lt;EZ$5+GanttPeriod),"◇","")),IF(AND(EZ$5&lt;=$F199,EZ$5+GanttPeriod-1&gt;=$E199),"━","")))</f>
        <v/>
      </c>
      <c r="FA199" s="69" t="str">
        <f aca="false">IF($E199="","",IF($M199,IF(AND($G199&gt;=FA$5,$G199&lt;FA$5+GanttPeriod),"◆",IF(AND($E199&gt;=FA$5,$E199&lt;FA$5+GanttPeriod),"◇","")),IF(AND(FA$5&lt;=$F199,FA$5+GanttPeriod-1&gt;=$E199),"━","")))</f>
        <v/>
      </c>
      <c r="FB199" s="69" t="str">
        <f aca="false">IF($E199="","",IF($M199,IF(AND($G199&gt;=FB$5,$G199&lt;FB$5+GanttPeriod),"◆",IF(AND($E199&gt;=FB$5,$E199&lt;FB$5+GanttPeriod),"◇","")),IF(AND(FB$5&lt;=$F199,FB$5+GanttPeriod-1&gt;=$E199),"━","")))</f>
        <v/>
      </c>
      <c r="FC199" s="69" t="str">
        <f aca="false">IF($E199="","",IF($M199,IF(AND($G199&gt;=FC$5,$G199&lt;FC$5+GanttPeriod),"◆",IF(AND($E199&gt;=FC$5,$E199&lt;FC$5+GanttPeriod),"◇","")),IF(AND(FC$5&lt;=$F199,FC$5+GanttPeriod-1&gt;=$E199),"━","")))</f>
        <v/>
      </c>
      <c r="FD199" s="69" t="str">
        <f aca="false">IF($E199="","",IF($M199,IF(AND($G199&gt;=FD$5,$G199&lt;FD$5+GanttPeriod),"◆",IF(AND($E199&gt;=FD$5,$E199&lt;FD$5+GanttPeriod),"◇","")),IF(AND(FD$5&lt;=$F199,FD$5+GanttPeriod-1&gt;=$E199),"━","")))</f>
        <v/>
      </c>
      <c r="FE199" s="69" t="str">
        <f aca="false">IF($E199="","",IF($M199,IF(AND($G199&gt;=FE$5,$G199&lt;FE$5+GanttPeriod),"◆",IF(AND($E199&gt;=FE$5,$E199&lt;FE$5+GanttPeriod),"◇","")),IF(AND(FE$5&lt;=$F199,FE$5+GanttPeriod-1&gt;=$E199),"━","")))</f>
        <v/>
      </c>
      <c r="FF199" s="69" t="str">
        <f aca="false">IF($E199="","",IF($M199,IF(AND($G199&gt;=FF$5,$G199&lt;FF$5+GanttPeriod),"◆",IF(AND($E199&gt;=FF$5,$E199&lt;FF$5+GanttPeriod),"◇","")),IF(AND(FF$5&lt;=$F199,FF$5+GanttPeriod-1&gt;=$E199),"━","")))</f>
        <v/>
      </c>
      <c r="FG199" s="69" t="str">
        <f aca="false">IF($E199="","",IF($M199,IF(AND($G199&gt;=FG$5,$G199&lt;FG$5+GanttPeriod),"◆",IF(AND($E199&gt;=FG$5,$E199&lt;FG$5+GanttPeriod),"◇","")),IF(AND(FG$5&lt;=$F199,FG$5+GanttPeriod-1&gt;=$E199),"━","")))</f>
        <v/>
      </c>
      <c r="FH199" s="69" t="str">
        <f aca="false">IF($E199="","",IF($M199,IF(AND($G199&gt;=FH$5,$G199&lt;FH$5+GanttPeriod),"◆",IF(AND($E199&gt;=FH$5,$E199&lt;FH$5+GanttPeriod),"◇","")),IF(AND(FH$5&lt;=$F199,FH$5+GanttPeriod-1&gt;=$E199),"━","")))</f>
        <v/>
      </c>
      <c r="FI199" s="69" t="str">
        <f aca="false">IF($E199="","",IF($M199,IF(AND($G199&gt;=FI$5,$G199&lt;FI$5+GanttPeriod),"◆",IF(AND($E199&gt;=FI$5,$E199&lt;FI$5+GanttPeriod),"◇","")),IF(AND(FI$5&lt;=$F199,FI$5+GanttPeriod-1&gt;=$E199),"━","")))</f>
        <v/>
      </c>
      <c r="FJ199" s="69" t="str">
        <f aca="false">IF($E199="","",IF($M199,IF(AND($G199&gt;=FJ$5,$G199&lt;FJ$5+GanttPeriod),"◆",IF(AND($E199&gt;=FJ$5,$E199&lt;FJ$5+GanttPeriod),"◇","")),IF(AND(FJ$5&lt;=$F199,FJ$5+GanttPeriod-1&gt;=$E199),"━","")))</f>
        <v/>
      </c>
      <c r="FK199" s="69" t="str">
        <f aca="false">IF($E199="","",IF($M199,IF(AND($G199&gt;=FK$5,$G199&lt;FK$5+GanttPeriod),"◆",IF(AND($E199&gt;=FK$5,$E199&lt;FK$5+GanttPeriod),"◇","")),IF(AND(FK$5&lt;=$F199,FK$5+GanttPeriod-1&gt;=$E199),"━","")))</f>
        <v/>
      </c>
      <c r="FL199" s="69" t="str">
        <f aca="false">IF($E199="","",IF($M199,IF(AND($G199&gt;=FL$5,$G199&lt;FL$5+GanttPeriod),"◆",IF(AND($E199&gt;=FL$5,$E199&lt;FL$5+GanttPeriod),"◇","")),IF(AND(FL$5&lt;=$F199,FL$5+GanttPeriod-1&gt;=$E199),"━","")))</f>
        <v/>
      </c>
      <c r="FM199" s="69" t="str">
        <f aca="false">IF($E199="","",IF($M199,IF(AND($G199&gt;=FM$5,$G199&lt;FM$5+GanttPeriod),"◆",IF(AND($E199&gt;=FM$5,$E199&lt;FM$5+GanttPeriod),"◇","")),IF(AND(FM$5&lt;=$F199,FM$5+GanttPeriod-1&gt;=$E199),"━","")))</f>
        <v/>
      </c>
    </row>
    <row r="200" customFormat="false" ht="15" hidden="false" customHeight="false" outlineLevel="0" collapsed="false">
      <c r="A200" s="62" t="str">
        <f aca="false">IF(Tasks!$D200="","",Tasks!$A200)</f>
        <v/>
      </c>
      <c r="B200" s="62" t="str">
        <f aca="false">IF(Tasks!$D200="","",Tasks!$B200)</f>
        <v/>
      </c>
      <c r="C200" s="63" t="str">
        <f aca="false">IF(Tasks!$D200="","",REPT("    ",Tasks!$AE200-1)&amp;Tasks!$D200)</f>
        <v/>
      </c>
      <c r="D200" s="62" t="str">
        <f aca="false">IF(Tasks!$D200="","",IF(Tasks!$AI200,NETWORKDAYS.INTL(Tasks!$R200,Tasks!$S200,WorkWeek,Holidays),N(Tasks!$F200)))</f>
        <v/>
      </c>
      <c r="E200" s="64" t="str">
        <f aca="false">IF(Tasks!$D200="","",Tasks!$N200)</f>
        <v/>
      </c>
      <c r="F200" s="64" t="str">
        <f aca="false">IF(Tasks!$D200="","",Tasks!$O200)</f>
        <v/>
      </c>
      <c r="G200" s="64" t="str">
        <f aca="false">IF(Tasks!$D200="","",Tasks!$R200)</f>
        <v/>
      </c>
      <c r="H200" s="64" t="str">
        <f aca="false">IF(Tasks!$D200="","",Tasks!$S200)</f>
        <v/>
      </c>
      <c r="I200" s="65" t="str">
        <f aca="false">IF(Tasks!$D200="","",Tasks!$V200)</f>
        <v/>
      </c>
      <c r="J200" s="63" t="str">
        <f aca="false">IF(Tasks!$D200="","",Tasks!$X200&amp;"")</f>
        <v/>
      </c>
      <c r="K200" s="66" t="str">
        <f aca="false">IF(Tasks!$D200="","",Tasks!$W200)</f>
        <v/>
      </c>
      <c r="L200" s="67" t="b">
        <f aca="false">IF(Tasks!$D200="",FALSE(),Tasks!$AI200)</f>
        <v>0</v>
      </c>
      <c r="M200" s="67" t="b">
        <f aca="false">AND(Tasks!$AJ200=1,N(Tasks!$F200)=0)</f>
        <v>0</v>
      </c>
      <c r="N200" s="68" t="n">
        <f aca="false">IF(AND(Tasks!$AJ200=1,NOT($M200),N($I200)&gt;0),$G200,0)</f>
        <v>0</v>
      </c>
      <c r="O200" s="68" t="n">
        <f aca="false">IF($N200=0,0,IF($I200&gt;=1,$H200,MAX($N200,$G200+ROUND(($H200-$G200+1)*$I200,0)-1)))</f>
        <v>0</v>
      </c>
      <c r="P200" s="68" t="n">
        <f aca="false">IF(OR(Tasks!$AJ200&lt;&gt;1,$M200,N($I200)&gt;=1),0,IF($O200&gt;0,$O200+1,$G200))</f>
        <v>0</v>
      </c>
      <c r="Q200" s="68" t="n">
        <f aca="false">IF($P200=0,0,$H200)</f>
        <v>0</v>
      </c>
      <c r="R200" s="67" t="b">
        <f aca="false">AND(Tasks!$D200&lt;&gt;"",N(Tasks!$T200)&gt;0)</f>
        <v>0</v>
      </c>
      <c r="T200" s="69" t="str">
        <f aca="false">IF($E200="","",IF($M200,IF(AND($G200&gt;=T$5,$G200&lt;T$5+GanttPeriod),"◆",IF(AND($E200&gt;=T$5,$E200&lt;T$5+GanttPeriod),"◇","")),IF(AND(T$5&lt;=$F200,T$5+GanttPeriod-1&gt;=$E200),"━","")))</f>
        <v/>
      </c>
      <c r="U200" s="69" t="str">
        <f aca="false">IF($E200="","",IF($M200,IF(AND($G200&gt;=U$5,$G200&lt;U$5+GanttPeriod),"◆",IF(AND($E200&gt;=U$5,$E200&lt;U$5+GanttPeriod),"◇","")),IF(AND(U$5&lt;=$F200,U$5+GanttPeriod-1&gt;=$E200),"━","")))</f>
        <v/>
      </c>
      <c r="V200" s="69" t="str">
        <f aca="false">IF($E200="","",IF($M200,IF(AND($G200&gt;=V$5,$G200&lt;V$5+GanttPeriod),"◆",IF(AND($E200&gt;=V$5,$E200&lt;V$5+GanttPeriod),"◇","")),IF(AND(V$5&lt;=$F200,V$5+GanttPeriod-1&gt;=$E200),"━","")))</f>
        <v/>
      </c>
      <c r="W200" s="69" t="str">
        <f aca="false">IF($E200="","",IF($M200,IF(AND($G200&gt;=W$5,$G200&lt;W$5+GanttPeriod),"◆",IF(AND($E200&gt;=W$5,$E200&lt;W$5+GanttPeriod),"◇","")),IF(AND(W$5&lt;=$F200,W$5+GanttPeriod-1&gt;=$E200),"━","")))</f>
        <v/>
      </c>
      <c r="X200" s="69" t="str">
        <f aca="false">IF($E200="","",IF($M200,IF(AND($G200&gt;=X$5,$G200&lt;X$5+GanttPeriod),"◆",IF(AND($E200&gt;=X$5,$E200&lt;X$5+GanttPeriod),"◇","")),IF(AND(X$5&lt;=$F200,X$5+GanttPeriod-1&gt;=$E200),"━","")))</f>
        <v/>
      </c>
      <c r="Y200" s="69" t="str">
        <f aca="false">IF($E200="","",IF($M200,IF(AND($G200&gt;=Y$5,$G200&lt;Y$5+GanttPeriod),"◆",IF(AND($E200&gt;=Y$5,$E200&lt;Y$5+GanttPeriod),"◇","")),IF(AND(Y$5&lt;=$F200,Y$5+GanttPeriod-1&gt;=$E200),"━","")))</f>
        <v/>
      </c>
      <c r="Z200" s="69" t="str">
        <f aca="false">IF($E200="","",IF($M200,IF(AND($G200&gt;=Z$5,$G200&lt;Z$5+GanttPeriod),"◆",IF(AND($E200&gt;=Z$5,$E200&lt;Z$5+GanttPeriod),"◇","")),IF(AND(Z$5&lt;=$F200,Z$5+GanttPeriod-1&gt;=$E200),"━","")))</f>
        <v/>
      </c>
      <c r="AA200" s="69" t="str">
        <f aca="false">IF($E200="","",IF($M200,IF(AND($G200&gt;=AA$5,$G200&lt;AA$5+GanttPeriod),"◆",IF(AND($E200&gt;=AA$5,$E200&lt;AA$5+GanttPeriod),"◇","")),IF(AND(AA$5&lt;=$F200,AA$5+GanttPeriod-1&gt;=$E200),"━","")))</f>
        <v/>
      </c>
      <c r="AB200" s="69" t="str">
        <f aca="false">IF($E200="","",IF($M200,IF(AND($G200&gt;=AB$5,$G200&lt;AB$5+GanttPeriod),"◆",IF(AND($E200&gt;=AB$5,$E200&lt;AB$5+GanttPeriod),"◇","")),IF(AND(AB$5&lt;=$F200,AB$5+GanttPeriod-1&gt;=$E200),"━","")))</f>
        <v/>
      </c>
      <c r="AC200" s="69" t="str">
        <f aca="false">IF($E200="","",IF($M200,IF(AND($G200&gt;=AC$5,$G200&lt;AC$5+GanttPeriod),"◆",IF(AND($E200&gt;=AC$5,$E200&lt;AC$5+GanttPeriod),"◇","")),IF(AND(AC$5&lt;=$F200,AC$5+GanttPeriod-1&gt;=$E200),"━","")))</f>
        <v/>
      </c>
      <c r="AD200" s="69" t="str">
        <f aca="false">IF($E200="","",IF($M200,IF(AND($G200&gt;=AD$5,$G200&lt;AD$5+GanttPeriod),"◆",IF(AND($E200&gt;=AD$5,$E200&lt;AD$5+GanttPeriod),"◇","")),IF(AND(AD$5&lt;=$F200,AD$5+GanttPeriod-1&gt;=$E200),"━","")))</f>
        <v/>
      </c>
      <c r="AE200" s="69" t="str">
        <f aca="false">IF($E200="","",IF($M200,IF(AND($G200&gt;=AE$5,$G200&lt;AE$5+GanttPeriod),"◆",IF(AND($E200&gt;=AE$5,$E200&lt;AE$5+GanttPeriod),"◇","")),IF(AND(AE$5&lt;=$F200,AE$5+GanttPeriod-1&gt;=$E200),"━","")))</f>
        <v/>
      </c>
      <c r="AF200" s="69" t="str">
        <f aca="false">IF($E200="","",IF($M200,IF(AND($G200&gt;=AF$5,$G200&lt;AF$5+GanttPeriod),"◆",IF(AND($E200&gt;=AF$5,$E200&lt;AF$5+GanttPeriod),"◇","")),IF(AND(AF$5&lt;=$F200,AF$5+GanttPeriod-1&gt;=$E200),"━","")))</f>
        <v/>
      </c>
      <c r="AG200" s="69" t="str">
        <f aca="false">IF($E200="","",IF($M200,IF(AND($G200&gt;=AG$5,$G200&lt;AG$5+GanttPeriod),"◆",IF(AND($E200&gt;=AG$5,$E200&lt;AG$5+GanttPeriod),"◇","")),IF(AND(AG$5&lt;=$F200,AG$5+GanttPeriod-1&gt;=$E200),"━","")))</f>
        <v/>
      </c>
      <c r="AH200" s="69" t="str">
        <f aca="false">IF($E200="","",IF($M200,IF(AND($G200&gt;=AH$5,$G200&lt;AH$5+GanttPeriod),"◆",IF(AND($E200&gt;=AH$5,$E200&lt;AH$5+GanttPeriod),"◇","")),IF(AND(AH$5&lt;=$F200,AH$5+GanttPeriod-1&gt;=$E200),"━","")))</f>
        <v/>
      </c>
      <c r="AI200" s="69" t="str">
        <f aca="false">IF($E200="","",IF($M200,IF(AND($G200&gt;=AI$5,$G200&lt;AI$5+GanttPeriod),"◆",IF(AND($E200&gt;=AI$5,$E200&lt;AI$5+GanttPeriod),"◇","")),IF(AND(AI$5&lt;=$F200,AI$5+GanttPeriod-1&gt;=$E200),"━","")))</f>
        <v/>
      </c>
      <c r="AJ200" s="69" t="str">
        <f aca="false">IF($E200="","",IF($M200,IF(AND($G200&gt;=AJ$5,$G200&lt;AJ$5+GanttPeriod),"◆",IF(AND($E200&gt;=AJ$5,$E200&lt;AJ$5+GanttPeriod),"◇","")),IF(AND(AJ$5&lt;=$F200,AJ$5+GanttPeriod-1&gt;=$E200),"━","")))</f>
        <v/>
      </c>
      <c r="AK200" s="69" t="str">
        <f aca="false">IF($E200="","",IF($M200,IF(AND($G200&gt;=AK$5,$G200&lt;AK$5+GanttPeriod),"◆",IF(AND($E200&gt;=AK$5,$E200&lt;AK$5+GanttPeriod),"◇","")),IF(AND(AK$5&lt;=$F200,AK$5+GanttPeriod-1&gt;=$E200),"━","")))</f>
        <v/>
      </c>
      <c r="AL200" s="69" t="str">
        <f aca="false">IF($E200="","",IF($M200,IF(AND($G200&gt;=AL$5,$G200&lt;AL$5+GanttPeriod),"◆",IF(AND($E200&gt;=AL$5,$E200&lt;AL$5+GanttPeriod),"◇","")),IF(AND(AL$5&lt;=$F200,AL$5+GanttPeriod-1&gt;=$E200),"━","")))</f>
        <v/>
      </c>
      <c r="AM200" s="69" t="str">
        <f aca="false">IF($E200="","",IF($M200,IF(AND($G200&gt;=AM$5,$G200&lt;AM$5+GanttPeriod),"◆",IF(AND($E200&gt;=AM$5,$E200&lt;AM$5+GanttPeriod),"◇","")),IF(AND(AM$5&lt;=$F200,AM$5+GanttPeriod-1&gt;=$E200),"━","")))</f>
        <v/>
      </c>
      <c r="AN200" s="69" t="str">
        <f aca="false">IF($E200="","",IF($M200,IF(AND($G200&gt;=AN$5,$G200&lt;AN$5+GanttPeriod),"◆",IF(AND($E200&gt;=AN$5,$E200&lt;AN$5+GanttPeriod),"◇","")),IF(AND(AN$5&lt;=$F200,AN$5+GanttPeriod-1&gt;=$E200),"━","")))</f>
        <v/>
      </c>
      <c r="AO200" s="69" t="str">
        <f aca="false">IF($E200="","",IF($M200,IF(AND($G200&gt;=AO$5,$G200&lt;AO$5+GanttPeriod),"◆",IF(AND($E200&gt;=AO$5,$E200&lt;AO$5+GanttPeriod),"◇","")),IF(AND(AO$5&lt;=$F200,AO$5+GanttPeriod-1&gt;=$E200),"━","")))</f>
        <v/>
      </c>
      <c r="AP200" s="69" t="str">
        <f aca="false">IF($E200="","",IF($M200,IF(AND($G200&gt;=AP$5,$G200&lt;AP$5+GanttPeriod),"◆",IF(AND($E200&gt;=AP$5,$E200&lt;AP$5+GanttPeriod),"◇","")),IF(AND(AP$5&lt;=$F200,AP$5+GanttPeriod-1&gt;=$E200),"━","")))</f>
        <v/>
      </c>
      <c r="AQ200" s="69" t="str">
        <f aca="false">IF($E200="","",IF($M200,IF(AND($G200&gt;=AQ$5,$G200&lt;AQ$5+GanttPeriod),"◆",IF(AND($E200&gt;=AQ$5,$E200&lt;AQ$5+GanttPeriod),"◇","")),IF(AND(AQ$5&lt;=$F200,AQ$5+GanttPeriod-1&gt;=$E200),"━","")))</f>
        <v/>
      </c>
      <c r="AR200" s="69" t="str">
        <f aca="false">IF($E200="","",IF($M200,IF(AND($G200&gt;=AR$5,$G200&lt;AR$5+GanttPeriod),"◆",IF(AND($E200&gt;=AR$5,$E200&lt;AR$5+GanttPeriod),"◇","")),IF(AND(AR$5&lt;=$F200,AR$5+GanttPeriod-1&gt;=$E200),"━","")))</f>
        <v/>
      </c>
      <c r="AS200" s="69" t="str">
        <f aca="false">IF($E200="","",IF($M200,IF(AND($G200&gt;=AS$5,$G200&lt;AS$5+GanttPeriod),"◆",IF(AND($E200&gt;=AS$5,$E200&lt;AS$5+GanttPeriod),"◇","")),IF(AND(AS$5&lt;=$F200,AS$5+GanttPeriod-1&gt;=$E200),"━","")))</f>
        <v/>
      </c>
      <c r="AT200" s="69" t="str">
        <f aca="false">IF($E200="","",IF($M200,IF(AND($G200&gt;=AT$5,$G200&lt;AT$5+GanttPeriod),"◆",IF(AND($E200&gt;=AT$5,$E200&lt;AT$5+GanttPeriod),"◇","")),IF(AND(AT$5&lt;=$F200,AT$5+GanttPeriod-1&gt;=$E200),"━","")))</f>
        <v/>
      </c>
      <c r="AU200" s="69" t="str">
        <f aca="false">IF($E200="","",IF($M200,IF(AND($G200&gt;=AU$5,$G200&lt;AU$5+GanttPeriod),"◆",IF(AND($E200&gt;=AU$5,$E200&lt;AU$5+GanttPeriod),"◇","")),IF(AND(AU$5&lt;=$F200,AU$5+GanttPeriod-1&gt;=$E200),"━","")))</f>
        <v/>
      </c>
      <c r="AV200" s="69" t="str">
        <f aca="false">IF($E200="","",IF($M200,IF(AND($G200&gt;=AV$5,$G200&lt;AV$5+GanttPeriod),"◆",IF(AND($E200&gt;=AV$5,$E200&lt;AV$5+GanttPeriod),"◇","")),IF(AND(AV$5&lt;=$F200,AV$5+GanttPeriod-1&gt;=$E200),"━","")))</f>
        <v/>
      </c>
      <c r="AW200" s="69" t="str">
        <f aca="false">IF($E200="","",IF($M200,IF(AND($G200&gt;=AW$5,$G200&lt;AW$5+GanttPeriod),"◆",IF(AND($E200&gt;=AW$5,$E200&lt;AW$5+GanttPeriod),"◇","")),IF(AND(AW$5&lt;=$F200,AW$5+GanttPeriod-1&gt;=$E200),"━","")))</f>
        <v/>
      </c>
      <c r="AX200" s="69" t="str">
        <f aca="false">IF($E200="","",IF($M200,IF(AND($G200&gt;=AX$5,$G200&lt;AX$5+GanttPeriod),"◆",IF(AND($E200&gt;=AX$5,$E200&lt;AX$5+GanttPeriod),"◇","")),IF(AND(AX$5&lt;=$F200,AX$5+GanttPeriod-1&gt;=$E200),"━","")))</f>
        <v/>
      </c>
      <c r="AY200" s="69" t="str">
        <f aca="false">IF($E200="","",IF($M200,IF(AND($G200&gt;=AY$5,$G200&lt;AY$5+GanttPeriod),"◆",IF(AND($E200&gt;=AY$5,$E200&lt;AY$5+GanttPeriod),"◇","")),IF(AND(AY$5&lt;=$F200,AY$5+GanttPeriod-1&gt;=$E200),"━","")))</f>
        <v/>
      </c>
      <c r="AZ200" s="69" t="str">
        <f aca="false">IF($E200="","",IF($M200,IF(AND($G200&gt;=AZ$5,$G200&lt;AZ$5+GanttPeriod),"◆",IF(AND($E200&gt;=AZ$5,$E200&lt;AZ$5+GanttPeriod),"◇","")),IF(AND(AZ$5&lt;=$F200,AZ$5+GanttPeriod-1&gt;=$E200),"━","")))</f>
        <v/>
      </c>
      <c r="BA200" s="69" t="str">
        <f aca="false">IF($E200="","",IF($M200,IF(AND($G200&gt;=BA$5,$G200&lt;BA$5+GanttPeriod),"◆",IF(AND($E200&gt;=BA$5,$E200&lt;BA$5+GanttPeriod),"◇","")),IF(AND(BA$5&lt;=$F200,BA$5+GanttPeriod-1&gt;=$E200),"━","")))</f>
        <v/>
      </c>
      <c r="BB200" s="69" t="str">
        <f aca="false">IF($E200="","",IF($M200,IF(AND($G200&gt;=BB$5,$G200&lt;BB$5+GanttPeriod),"◆",IF(AND($E200&gt;=BB$5,$E200&lt;BB$5+GanttPeriod),"◇","")),IF(AND(BB$5&lt;=$F200,BB$5+GanttPeriod-1&gt;=$E200),"━","")))</f>
        <v/>
      </c>
      <c r="BC200" s="69" t="str">
        <f aca="false">IF($E200="","",IF($M200,IF(AND($G200&gt;=BC$5,$G200&lt;BC$5+GanttPeriod),"◆",IF(AND($E200&gt;=BC$5,$E200&lt;BC$5+GanttPeriod),"◇","")),IF(AND(BC$5&lt;=$F200,BC$5+GanttPeriod-1&gt;=$E200),"━","")))</f>
        <v/>
      </c>
      <c r="BD200" s="69" t="str">
        <f aca="false">IF($E200="","",IF($M200,IF(AND($G200&gt;=BD$5,$G200&lt;BD$5+GanttPeriod),"◆",IF(AND($E200&gt;=BD$5,$E200&lt;BD$5+GanttPeriod),"◇","")),IF(AND(BD$5&lt;=$F200,BD$5+GanttPeriod-1&gt;=$E200),"━","")))</f>
        <v/>
      </c>
      <c r="BE200" s="69" t="str">
        <f aca="false">IF($E200="","",IF($M200,IF(AND($G200&gt;=BE$5,$G200&lt;BE$5+GanttPeriod),"◆",IF(AND($E200&gt;=BE$5,$E200&lt;BE$5+GanttPeriod),"◇","")),IF(AND(BE$5&lt;=$F200,BE$5+GanttPeriod-1&gt;=$E200),"━","")))</f>
        <v/>
      </c>
      <c r="BF200" s="69" t="str">
        <f aca="false">IF($E200="","",IF($M200,IF(AND($G200&gt;=BF$5,$G200&lt;BF$5+GanttPeriod),"◆",IF(AND($E200&gt;=BF$5,$E200&lt;BF$5+GanttPeriod),"◇","")),IF(AND(BF$5&lt;=$F200,BF$5+GanttPeriod-1&gt;=$E200),"━","")))</f>
        <v/>
      </c>
      <c r="BG200" s="69" t="str">
        <f aca="false">IF($E200="","",IF($M200,IF(AND($G200&gt;=BG$5,$G200&lt;BG$5+GanttPeriod),"◆",IF(AND($E200&gt;=BG$5,$E200&lt;BG$5+GanttPeriod),"◇","")),IF(AND(BG$5&lt;=$F200,BG$5+GanttPeriod-1&gt;=$E200),"━","")))</f>
        <v/>
      </c>
      <c r="BH200" s="69" t="str">
        <f aca="false">IF($E200="","",IF($M200,IF(AND($G200&gt;=BH$5,$G200&lt;BH$5+GanttPeriod),"◆",IF(AND($E200&gt;=BH$5,$E200&lt;BH$5+GanttPeriod),"◇","")),IF(AND(BH$5&lt;=$F200,BH$5+GanttPeriod-1&gt;=$E200),"━","")))</f>
        <v/>
      </c>
      <c r="BI200" s="69" t="str">
        <f aca="false">IF($E200="","",IF($M200,IF(AND($G200&gt;=BI$5,$G200&lt;BI$5+GanttPeriod),"◆",IF(AND($E200&gt;=BI$5,$E200&lt;BI$5+GanttPeriod),"◇","")),IF(AND(BI$5&lt;=$F200,BI$5+GanttPeriod-1&gt;=$E200),"━","")))</f>
        <v/>
      </c>
      <c r="BJ200" s="69" t="str">
        <f aca="false">IF($E200="","",IF($M200,IF(AND($G200&gt;=BJ$5,$G200&lt;BJ$5+GanttPeriod),"◆",IF(AND($E200&gt;=BJ$5,$E200&lt;BJ$5+GanttPeriod),"◇","")),IF(AND(BJ$5&lt;=$F200,BJ$5+GanttPeriod-1&gt;=$E200),"━","")))</f>
        <v/>
      </c>
      <c r="BK200" s="69" t="str">
        <f aca="false">IF($E200="","",IF($M200,IF(AND($G200&gt;=BK$5,$G200&lt;BK$5+GanttPeriod),"◆",IF(AND($E200&gt;=BK$5,$E200&lt;BK$5+GanttPeriod),"◇","")),IF(AND(BK$5&lt;=$F200,BK$5+GanttPeriod-1&gt;=$E200),"━","")))</f>
        <v/>
      </c>
      <c r="BL200" s="69" t="str">
        <f aca="false">IF($E200="","",IF($M200,IF(AND($G200&gt;=BL$5,$G200&lt;BL$5+GanttPeriod),"◆",IF(AND($E200&gt;=BL$5,$E200&lt;BL$5+GanttPeriod),"◇","")),IF(AND(BL$5&lt;=$F200,BL$5+GanttPeriod-1&gt;=$E200),"━","")))</f>
        <v/>
      </c>
      <c r="BM200" s="69" t="str">
        <f aca="false">IF($E200="","",IF($M200,IF(AND($G200&gt;=BM$5,$G200&lt;BM$5+GanttPeriod),"◆",IF(AND($E200&gt;=BM$5,$E200&lt;BM$5+GanttPeriod),"◇","")),IF(AND(BM$5&lt;=$F200,BM$5+GanttPeriod-1&gt;=$E200),"━","")))</f>
        <v/>
      </c>
      <c r="BN200" s="69" t="str">
        <f aca="false">IF($E200="","",IF($M200,IF(AND($G200&gt;=BN$5,$G200&lt;BN$5+GanttPeriod),"◆",IF(AND($E200&gt;=BN$5,$E200&lt;BN$5+GanttPeriod),"◇","")),IF(AND(BN$5&lt;=$F200,BN$5+GanttPeriod-1&gt;=$E200),"━","")))</f>
        <v/>
      </c>
      <c r="BO200" s="69" t="str">
        <f aca="false">IF($E200="","",IF($M200,IF(AND($G200&gt;=BO$5,$G200&lt;BO$5+GanttPeriod),"◆",IF(AND($E200&gt;=BO$5,$E200&lt;BO$5+GanttPeriod),"◇","")),IF(AND(BO$5&lt;=$F200,BO$5+GanttPeriod-1&gt;=$E200),"━","")))</f>
        <v/>
      </c>
      <c r="BP200" s="69" t="str">
        <f aca="false">IF($E200="","",IF($M200,IF(AND($G200&gt;=BP$5,$G200&lt;BP$5+GanttPeriod),"◆",IF(AND($E200&gt;=BP$5,$E200&lt;BP$5+GanttPeriod),"◇","")),IF(AND(BP$5&lt;=$F200,BP$5+GanttPeriod-1&gt;=$E200),"━","")))</f>
        <v/>
      </c>
      <c r="BQ200" s="69" t="str">
        <f aca="false">IF($E200="","",IF($M200,IF(AND($G200&gt;=BQ$5,$G200&lt;BQ$5+GanttPeriod),"◆",IF(AND($E200&gt;=BQ$5,$E200&lt;BQ$5+GanttPeriod),"◇","")),IF(AND(BQ$5&lt;=$F200,BQ$5+GanttPeriod-1&gt;=$E200),"━","")))</f>
        <v/>
      </c>
      <c r="BR200" s="69" t="str">
        <f aca="false">IF($E200="","",IF($M200,IF(AND($G200&gt;=BR$5,$G200&lt;BR$5+GanttPeriod),"◆",IF(AND($E200&gt;=BR$5,$E200&lt;BR$5+GanttPeriod),"◇","")),IF(AND(BR$5&lt;=$F200,BR$5+GanttPeriod-1&gt;=$E200),"━","")))</f>
        <v/>
      </c>
      <c r="BS200" s="69" t="str">
        <f aca="false">IF($E200="","",IF($M200,IF(AND($G200&gt;=BS$5,$G200&lt;BS$5+GanttPeriod),"◆",IF(AND($E200&gt;=BS$5,$E200&lt;BS$5+GanttPeriod),"◇","")),IF(AND(BS$5&lt;=$F200,BS$5+GanttPeriod-1&gt;=$E200),"━","")))</f>
        <v/>
      </c>
      <c r="BT200" s="69" t="str">
        <f aca="false">IF($E200="","",IF($M200,IF(AND($G200&gt;=BT$5,$G200&lt;BT$5+GanttPeriod),"◆",IF(AND($E200&gt;=BT$5,$E200&lt;BT$5+GanttPeriod),"◇","")),IF(AND(BT$5&lt;=$F200,BT$5+GanttPeriod-1&gt;=$E200),"━","")))</f>
        <v/>
      </c>
      <c r="BU200" s="69" t="str">
        <f aca="false">IF($E200="","",IF($M200,IF(AND($G200&gt;=BU$5,$G200&lt;BU$5+GanttPeriod),"◆",IF(AND($E200&gt;=BU$5,$E200&lt;BU$5+GanttPeriod),"◇","")),IF(AND(BU$5&lt;=$F200,BU$5+GanttPeriod-1&gt;=$E200),"━","")))</f>
        <v/>
      </c>
      <c r="BV200" s="69" t="str">
        <f aca="false">IF($E200="","",IF($M200,IF(AND($G200&gt;=BV$5,$G200&lt;BV$5+GanttPeriod),"◆",IF(AND($E200&gt;=BV$5,$E200&lt;BV$5+GanttPeriod),"◇","")),IF(AND(BV$5&lt;=$F200,BV$5+GanttPeriod-1&gt;=$E200),"━","")))</f>
        <v/>
      </c>
      <c r="BW200" s="69" t="str">
        <f aca="false">IF($E200="","",IF($M200,IF(AND($G200&gt;=BW$5,$G200&lt;BW$5+GanttPeriod),"◆",IF(AND($E200&gt;=BW$5,$E200&lt;BW$5+GanttPeriod),"◇","")),IF(AND(BW$5&lt;=$F200,BW$5+GanttPeriod-1&gt;=$E200),"━","")))</f>
        <v/>
      </c>
      <c r="BX200" s="69" t="str">
        <f aca="false">IF($E200="","",IF($M200,IF(AND($G200&gt;=BX$5,$G200&lt;BX$5+GanttPeriod),"◆",IF(AND($E200&gt;=BX$5,$E200&lt;BX$5+GanttPeriod),"◇","")),IF(AND(BX$5&lt;=$F200,BX$5+GanttPeriod-1&gt;=$E200),"━","")))</f>
        <v/>
      </c>
      <c r="BY200" s="69" t="str">
        <f aca="false">IF($E200="","",IF($M200,IF(AND($G200&gt;=BY$5,$G200&lt;BY$5+GanttPeriod),"◆",IF(AND($E200&gt;=BY$5,$E200&lt;BY$5+GanttPeriod),"◇","")),IF(AND(BY$5&lt;=$F200,BY$5+GanttPeriod-1&gt;=$E200),"━","")))</f>
        <v/>
      </c>
      <c r="BZ200" s="69" t="str">
        <f aca="false">IF($E200="","",IF($M200,IF(AND($G200&gt;=BZ$5,$G200&lt;BZ$5+GanttPeriod),"◆",IF(AND($E200&gt;=BZ$5,$E200&lt;BZ$5+GanttPeriod),"◇","")),IF(AND(BZ$5&lt;=$F200,BZ$5+GanttPeriod-1&gt;=$E200),"━","")))</f>
        <v/>
      </c>
      <c r="CA200" s="69" t="str">
        <f aca="false">IF($E200="","",IF($M200,IF(AND($G200&gt;=CA$5,$G200&lt;CA$5+GanttPeriod),"◆",IF(AND($E200&gt;=CA$5,$E200&lt;CA$5+GanttPeriod),"◇","")),IF(AND(CA$5&lt;=$F200,CA$5+GanttPeriod-1&gt;=$E200),"━","")))</f>
        <v/>
      </c>
      <c r="CB200" s="69" t="str">
        <f aca="false">IF($E200="","",IF($M200,IF(AND($G200&gt;=CB$5,$G200&lt;CB$5+GanttPeriod),"◆",IF(AND($E200&gt;=CB$5,$E200&lt;CB$5+GanttPeriod),"◇","")),IF(AND(CB$5&lt;=$F200,CB$5+GanttPeriod-1&gt;=$E200),"━","")))</f>
        <v/>
      </c>
      <c r="CC200" s="69" t="str">
        <f aca="false">IF($E200="","",IF($M200,IF(AND($G200&gt;=CC$5,$G200&lt;CC$5+GanttPeriod),"◆",IF(AND($E200&gt;=CC$5,$E200&lt;CC$5+GanttPeriod),"◇","")),IF(AND(CC$5&lt;=$F200,CC$5+GanttPeriod-1&gt;=$E200),"━","")))</f>
        <v/>
      </c>
      <c r="CD200" s="69" t="str">
        <f aca="false">IF($E200="","",IF($M200,IF(AND($G200&gt;=CD$5,$G200&lt;CD$5+GanttPeriod),"◆",IF(AND($E200&gt;=CD$5,$E200&lt;CD$5+GanttPeriod),"◇","")),IF(AND(CD$5&lt;=$F200,CD$5+GanttPeriod-1&gt;=$E200),"━","")))</f>
        <v/>
      </c>
      <c r="CE200" s="69" t="str">
        <f aca="false">IF($E200="","",IF($M200,IF(AND($G200&gt;=CE$5,$G200&lt;CE$5+GanttPeriod),"◆",IF(AND($E200&gt;=CE$5,$E200&lt;CE$5+GanttPeriod),"◇","")),IF(AND(CE$5&lt;=$F200,CE$5+GanttPeriod-1&gt;=$E200),"━","")))</f>
        <v/>
      </c>
      <c r="CF200" s="69" t="str">
        <f aca="false">IF($E200="","",IF($M200,IF(AND($G200&gt;=CF$5,$G200&lt;CF$5+GanttPeriod),"◆",IF(AND($E200&gt;=CF$5,$E200&lt;CF$5+GanttPeriod),"◇","")),IF(AND(CF$5&lt;=$F200,CF$5+GanttPeriod-1&gt;=$E200),"━","")))</f>
        <v/>
      </c>
      <c r="CG200" s="69" t="str">
        <f aca="false">IF($E200="","",IF($M200,IF(AND($G200&gt;=CG$5,$G200&lt;CG$5+GanttPeriod),"◆",IF(AND($E200&gt;=CG$5,$E200&lt;CG$5+GanttPeriod),"◇","")),IF(AND(CG$5&lt;=$F200,CG$5+GanttPeriod-1&gt;=$E200),"━","")))</f>
        <v/>
      </c>
      <c r="CH200" s="69" t="str">
        <f aca="false">IF($E200="","",IF($M200,IF(AND($G200&gt;=CH$5,$G200&lt;CH$5+GanttPeriod),"◆",IF(AND($E200&gt;=CH$5,$E200&lt;CH$5+GanttPeriod),"◇","")),IF(AND(CH$5&lt;=$F200,CH$5+GanttPeriod-1&gt;=$E200),"━","")))</f>
        <v/>
      </c>
      <c r="CI200" s="69" t="str">
        <f aca="false">IF($E200="","",IF($M200,IF(AND($G200&gt;=CI$5,$G200&lt;CI$5+GanttPeriod),"◆",IF(AND($E200&gt;=CI$5,$E200&lt;CI$5+GanttPeriod),"◇","")),IF(AND(CI$5&lt;=$F200,CI$5+GanttPeriod-1&gt;=$E200),"━","")))</f>
        <v/>
      </c>
      <c r="CJ200" s="69" t="str">
        <f aca="false">IF($E200="","",IF($M200,IF(AND($G200&gt;=CJ$5,$G200&lt;CJ$5+GanttPeriod),"◆",IF(AND($E200&gt;=CJ$5,$E200&lt;CJ$5+GanttPeriod),"◇","")),IF(AND(CJ$5&lt;=$F200,CJ$5+GanttPeriod-1&gt;=$E200),"━","")))</f>
        <v/>
      </c>
      <c r="CK200" s="69" t="str">
        <f aca="false">IF($E200="","",IF($M200,IF(AND($G200&gt;=CK$5,$G200&lt;CK$5+GanttPeriod),"◆",IF(AND($E200&gt;=CK$5,$E200&lt;CK$5+GanttPeriod),"◇","")),IF(AND(CK$5&lt;=$F200,CK$5+GanttPeriod-1&gt;=$E200),"━","")))</f>
        <v/>
      </c>
      <c r="CL200" s="69" t="str">
        <f aca="false">IF($E200="","",IF($M200,IF(AND($G200&gt;=CL$5,$G200&lt;CL$5+GanttPeriod),"◆",IF(AND($E200&gt;=CL$5,$E200&lt;CL$5+GanttPeriod),"◇","")),IF(AND(CL$5&lt;=$F200,CL$5+GanttPeriod-1&gt;=$E200),"━","")))</f>
        <v/>
      </c>
      <c r="CM200" s="69" t="str">
        <f aca="false">IF($E200="","",IF($M200,IF(AND($G200&gt;=CM$5,$G200&lt;CM$5+GanttPeriod),"◆",IF(AND($E200&gt;=CM$5,$E200&lt;CM$5+GanttPeriod),"◇","")),IF(AND(CM$5&lt;=$F200,CM$5+GanttPeriod-1&gt;=$E200),"━","")))</f>
        <v/>
      </c>
      <c r="CN200" s="69" t="str">
        <f aca="false">IF($E200="","",IF($M200,IF(AND($G200&gt;=CN$5,$G200&lt;CN$5+GanttPeriod),"◆",IF(AND($E200&gt;=CN$5,$E200&lt;CN$5+GanttPeriod),"◇","")),IF(AND(CN$5&lt;=$F200,CN$5+GanttPeriod-1&gt;=$E200),"━","")))</f>
        <v/>
      </c>
      <c r="CO200" s="69" t="str">
        <f aca="false">IF($E200="","",IF($M200,IF(AND($G200&gt;=CO$5,$G200&lt;CO$5+GanttPeriod),"◆",IF(AND($E200&gt;=CO$5,$E200&lt;CO$5+GanttPeriod),"◇","")),IF(AND(CO$5&lt;=$F200,CO$5+GanttPeriod-1&gt;=$E200),"━","")))</f>
        <v/>
      </c>
      <c r="CP200" s="69" t="str">
        <f aca="false">IF($E200="","",IF($M200,IF(AND($G200&gt;=CP$5,$G200&lt;CP$5+GanttPeriod),"◆",IF(AND($E200&gt;=CP$5,$E200&lt;CP$5+GanttPeriod),"◇","")),IF(AND(CP$5&lt;=$F200,CP$5+GanttPeriod-1&gt;=$E200),"━","")))</f>
        <v/>
      </c>
      <c r="CQ200" s="69" t="str">
        <f aca="false">IF($E200="","",IF($M200,IF(AND($G200&gt;=CQ$5,$G200&lt;CQ$5+GanttPeriod),"◆",IF(AND($E200&gt;=CQ$5,$E200&lt;CQ$5+GanttPeriod),"◇","")),IF(AND(CQ$5&lt;=$F200,CQ$5+GanttPeriod-1&gt;=$E200),"━","")))</f>
        <v/>
      </c>
      <c r="CR200" s="69" t="str">
        <f aca="false">IF($E200="","",IF($M200,IF(AND($G200&gt;=CR$5,$G200&lt;CR$5+GanttPeriod),"◆",IF(AND($E200&gt;=CR$5,$E200&lt;CR$5+GanttPeriod),"◇","")),IF(AND(CR$5&lt;=$F200,CR$5+GanttPeriod-1&gt;=$E200),"━","")))</f>
        <v/>
      </c>
      <c r="CS200" s="69" t="str">
        <f aca="false">IF($E200="","",IF($M200,IF(AND($G200&gt;=CS$5,$G200&lt;CS$5+GanttPeriod),"◆",IF(AND($E200&gt;=CS$5,$E200&lt;CS$5+GanttPeriod),"◇","")),IF(AND(CS$5&lt;=$F200,CS$5+GanttPeriod-1&gt;=$E200),"━","")))</f>
        <v/>
      </c>
      <c r="CT200" s="69" t="str">
        <f aca="false">IF($E200="","",IF($M200,IF(AND($G200&gt;=CT$5,$G200&lt;CT$5+GanttPeriod),"◆",IF(AND($E200&gt;=CT$5,$E200&lt;CT$5+GanttPeriod),"◇","")),IF(AND(CT$5&lt;=$F200,CT$5+GanttPeriod-1&gt;=$E200),"━","")))</f>
        <v/>
      </c>
      <c r="CU200" s="69" t="str">
        <f aca="false">IF($E200="","",IF($M200,IF(AND($G200&gt;=CU$5,$G200&lt;CU$5+GanttPeriod),"◆",IF(AND($E200&gt;=CU$5,$E200&lt;CU$5+GanttPeriod),"◇","")),IF(AND(CU$5&lt;=$F200,CU$5+GanttPeriod-1&gt;=$E200),"━","")))</f>
        <v/>
      </c>
      <c r="CV200" s="69" t="str">
        <f aca="false">IF($E200="","",IF($M200,IF(AND($G200&gt;=CV$5,$G200&lt;CV$5+GanttPeriod),"◆",IF(AND($E200&gt;=CV$5,$E200&lt;CV$5+GanttPeriod),"◇","")),IF(AND(CV$5&lt;=$F200,CV$5+GanttPeriod-1&gt;=$E200),"━","")))</f>
        <v/>
      </c>
      <c r="CW200" s="69" t="str">
        <f aca="false">IF($E200="","",IF($M200,IF(AND($G200&gt;=CW$5,$G200&lt;CW$5+GanttPeriod),"◆",IF(AND($E200&gt;=CW$5,$E200&lt;CW$5+GanttPeriod),"◇","")),IF(AND(CW$5&lt;=$F200,CW$5+GanttPeriod-1&gt;=$E200),"━","")))</f>
        <v/>
      </c>
      <c r="CX200" s="69" t="str">
        <f aca="false">IF($E200="","",IF($M200,IF(AND($G200&gt;=CX$5,$G200&lt;CX$5+GanttPeriod),"◆",IF(AND($E200&gt;=CX$5,$E200&lt;CX$5+GanttPeriod),"◇","")),IF(AND(CX$5&lt;=$F200,CX$5+GanttPeriod-1&gt;=$E200),"━","")))</f>
        <v/>
      </c>
      <c r="CY200" s="69" t="str">
        <f aca="false">IF($E200="","",IF($M200,IF(AND($G200&gt;=CY$5,$G200&lt;CY$5+GanttPeriod),"◆",IF(AND($E200&gt;=CY$5,$E200&lt;CY$5+GanttPeriod),"◇","")),IF(AND(CY$5&lt;=$F200,CY$5+GanttPeriod-1&gt;=$E200),"━","")))</f>
        <v/>
      </c>
      <c r="CZ200" s="69" t="str">
        <f aca="false">IF($E200="","",IF($M200,IF(AND($G200&gt;=CZ$5,$G200&lt;CZ$5+GanttPeriod),"◆",IF(AND($E200&gt;=CZ$5,$E200&lt;CZ$5+GanttPeriod),"◇","")),IF(AND(CZ$5&lt;=$F200,CZ$5+GanttPeriod-1&gt;=$E200),"━","")))</f>
        <v/>
      </c>
      <c r="DA200" s="69" t="str">
        <f aca="false">IF($E200="","",IF($M200,IF(AND($G200&gt;=DA$5,$G200&lt;DA$5+GanttPeriod),"◆",IF(AND($E200&gt;=DA$5,$E200&lt;DA$5+GanttPeriod),"◇","")),IF(AND(DA$5&lt;=$F200,DA$5+GanttPeriod-1&gt;=$E200),"━","")))</f>
        <v/>
      </c>
      <c r="DB200" s="69" t="str">
        <f aca="false">IF($E200="","",IF($M200,IF(AND($G200&gt;=DB$5,$G200&lt;DB$5+GanttPeriod),"◆",IF(AND($E200&gt;=DB$5,$E200&lt;DB$5+GanttPeriod),"◇","")),IF(AND(DB$5&lt;=$F200,DB$5+GanttPeriod-1&gt;=$E200),"━","")))</f>
        <v/>
      </c>
      <c r="DC200" s="69" t="str">
        <f aca="false">IF($E200="","",IF($M200,IF(AND($G200&gt;=DC$5,$G200&lt;DC$5+GanttPeriod),"◆",IF(AND($E200&gt;=DC$5,$E200&lt;DC$5+GanttPeriod),"◇","")),IF(AND(DC$5&lt;=$F200,DC$5+GanttPeriod-1&gt;=$E200),"━","")))</f>
        <v/>
      </c>
      <c r="DD200" s="69" t="str">
        <f aca="false">IF($E200="","",IF($M200,IF(AND($G200&gt;=DD$5,$G200&lt;DD$5+GanttPeriod),"◆",IF(AND($E200&gt;=DD$5,$E200&lt;DD$5+GanttPeriod),"◇","")),IF(AND(DD$5&lt;=$F200,DD$5+GanttPeriod-1&gt;=$E200),"━","")))</f>
        <v/>
      </c>
      <c r="DE200" s="69" t="str">
        <f aca="false">IF($E200="","",IF($M200,IF(AND($G200&gt;=DE$5,$G200&lt;DE$5+GanttPeriod),"◆",IF(AND($E200&gt;=DE$5,$E200&lt;DE$5+GanttPeriod),"◇","")),IF(AND(DE$5&lt;=$F200,DE$5+GanttPeriod-1&gt;=$E200),"━","")))</f>
        <v/>
      </c>
      <c r="DF200" s="69" t="str">
        <f aca="false">IF($E200="","",IF($M200,IF(AND($G200&gt;=DF$5,$G200&lt;DF$5+GanttPeriod),"◆",IF(AND($E200&gt;=DF$5,$E200&lt;DF$5+GanttPeriod),"◇","")),IF(AND(DF$5&lt;=$F200,DF$5+GanttPeriod-1&gt;=$E200),"━","")))</f>
        <v/>
      </c>
      <c r="DG200" s="69" t="str">
        <f aca="false">IF($E200="","",IF($M200,IF(AND($G200&gt;=DG$5,$G200&lt;DG$5+GanttPeriod),"◆",IF(AND($E200&gt;=DG$5,$E200&lt;DG$5+GanttPeriod),"◇","")),IF(AND(DG$5&lt;=$F200,DG$5+GanttPeriod-1&gt;=$E200),"━","")))</f>
        <v/>
      </c>
      <c r="DH200" s="69" t="str">
        <f aca="false">IF($E200="","",IF($M200,IF(AND($G200&gt;=DH$5,$G200&lt;DH$5+GanttPeriod),"◆",IF(AND($E200&gt;=DH$5,$E200&lt;DH$5+GanttPeriod),"◇","")),IF(AND(DH$5&lt;=$F200,DH$5+GanttPeriod-1&gt;=$E200),"━","")))</f>
        <v/>
      </c>
      <c r="DI200" s="69" t="str">
        <f aca="false">IF($E200="","",IF($M200,IF(AND($G200&gt;=DI$5,$G200&lt;DI$5+GanttPeriod),"◆",IF(AND($E200&gt;=DI$5,$E200&lt;DI$5+GanttPeriod),"◇","")),IF(AND(DI$5&lt;=$F200,DI$5+GanttPeriod-1&gt;=$E200),"━","")))</f>
        <v/>
      </c>
      <c r="DJ200" s="69" t="str">
        <f aca="false">IF($E200="","",IF($M200,IF(AND($G200&gt;=DJ$5,$G200&lt;DJ$5+GanttPeriod),"◆",IF(AND($E200&gt;=DJ$5,$E200&lt;DJ$5+GanttPeriod),"◇","")),IF(AND(DJ$5&lt;=$F200,DJ$5+GanttPeriod-1&gt;=$E200),"━","")))</f>
        <v/>
      </c>
      <c r="DK200" s="69" t="str">
        <f aca="false">IF($E200="","",IF($M200,IF(AND($G200&gt;=DK$5,$G200&lt;DK$5+GanttPeriod),"◆",IF(AND($E200&gt;=DK$5,$E200&lt;DK$5+GanttPeriod),"◇","")),IF(AND(DK$5&lt;=$F200,DK$5+GanttPeriod-1&gt;=$E200),"━","")))</f>
        <v/>
      </c>
      <c r="DL200" s="69" t="str">
        <f aca="false">IF($E200="","",IF($M200,IF(AND($G200&gt;=DL$5,$G200&lt;DL$5+GanttPeriod),"◆",IF(AND($E200&gt;=DL$5,$E200&lt;DL$5+GanttPeriod),"◇","")),IF(AND(DL$5&lt;=$F200,DL$5+GanttPeriod-1&gt;=$E200),"━","")))</f>
        <v/>
      </c>
      <c r="DM200" s="69" t="str">
        <f aca="false">IF($E200="","",IF($M200,IF(AND($G200&gt;=DM$5,$G200&lt;DM$5+GanttPeriod),"◆",IF(AND($E200&gt;=DM$5,$E200&lt;DM$5+GanttPeriod),"◇","")),IF(AND(DM$5&lt;=$F200,DM$5+GanttPeriod-1&gt;=$E200),"━","")))</f>
        <v/>
      </c>
      <c r="DN200" s="69" t="str">
        <f aca="false">IF($E200="","",IF($M200,IF(AND($G200&gt;=DN$5,$G200&lt;DN$5+GanttPeriod),"◆",IF(AND($E200&gt;=DN$5,$E200&lt;DN$5+GanttPeriod),"◇","")),IF(AND(DN$5&lt;=$F200,DN$5+GanttPeriod-1&gt;=$E200),"━","")))</f>
        <v/>
      </c>
      <c r="DO200" s="69" t="str">
        <f aca="false">IF($E200="","",IF($M200,IF(AND($G200&gt;=DO$5,$G200&lt;DO$5+GanttPeriod),"◆",IF(AND($E200&gt;=DO$5,$E200&lt;DO$5+GanttPeriod),"◇","")),IF(AND(DO$5&lt;=$F200,DO$5+GanttPeriod-1&gt;=$E200),"━","")))</f>
        <v/>
      </c>
      <c r="DP200" s="69" t="str">
        <f aca="false">IF($E200="","",IF($M200,IF(AND($G200&gt;=DP$5,$G200&lt;DP$5+GanttPeriod),"◆",IF(AND($E200&gt;=DP$5,$E200&lt;DP$5+GanttPeriod),"◇","")),IF(AND(DP$5&lt;=$F200,DP$5+GanttPeriod-1&gt;=$E200),"━","")))</f>
        <v/>
      </c>
      <c r="DQ200" s="69" t="str">
        <f aca="false">IF($E200="","",IF($M200,IF(AND($G200&gt;=DQ$5,$G200&lt;DQ$5+GanttPeriod),"◆",IF(AND($E200&gt;=DQ$5,$E200&lt;DQ$5+GanttPeriod),"◇","")),IF(AND(DQ$5&lt;=$F200,DQ$5+GanttPeriod-1&gt;=$E200),"━","")))</f>
        <v/>
      </c>
      <c r="DR200" s="69" t="str">
        <f aca="false">IF($E200="","",IF($M200,IF(AND($G200&gt;=DR$5,$G200&lt;DR$5+GanttPeriod),"◆",IF(AND($E200&gt;=DR$5,$E200&lt;DR$5+GanttPeriod),"◇","")),IF(AND(DR$5&lt;=$F200,DR$5+GanttPeriod-1&gt;=$E200),"━","")))</f>
        <v/>
      </c>
      <c r="DS200" s="69" t="str">
        <f aca="false">IF($E200="","",IF($M200,IF(AND($G200&gt;=DS$5,$G200&lt;DS$5+GanttPeriod),"◆",IF(AND($E200&gt;=DS$5,$E200&lt;DS$5+GanttPeriod),"◇","")),IF(AND(DS$5&lt;=$F200,DS$5+GanttPeriod-1&gt;=$E200),"━","")))</f>
        <v/>
      </c>
      <c r="DT200" s="69" t="str">
        <f aca="false">IF($E200="","",IF($M200,IF(AND($G200&gt;=DT$5,$G200&lt;DT$5+GanttPeriod),"◆",IF(AND($E200&gt;=DT$5,$E200&lt;DT$5+GanttPeriod),"◇","")),IF(AND(DT$5&lt;=$F200,DT$5+GanttPeriod-1&gt;=$E200),"━","")))</f>
        <v/>
      </c>
      <c r="DU200" s="69" t="str">
        <f aca="false">IF($E200="","",IF($M200,IF(AND($G200&gt;=DU$5,$G200&lt;DU$5+GanttPeriod),"◆",IF(AND($E200&gt;=DU$5,$E200&lt;DU$5+GanttPeriod),"◇","")),IF(AND(DU$5&lt;=$F200,DU$5+GanttPeriod-1&gt;=$E200),"━","")))</f>
        <v/>
      </c>
      <c r="DV200" s="69" t="str">
        <f aca="false">IF($E200="","",IF($M200,IF(AND($G200&gt;=DV$5,$G200&lt;DV$5+GanttPeriod),"◆",IF(AND($E200&gt;=DV$5,$E200&lt;DV$5+GanttPeriod),"◇","")),IF(AND(DV$5&lt;=$F200,DV$5+GanttPeriod-1&gt;=$E200),"━","")))</f>
        <v/>
      </c>
      <c r="DW200" s="69" t="str">
        <f aca="false">IF($E200="","",IF($M200,IF(AND($G200&gt;=DW$5,$G200&lt;DW$5+GanttPeriod),"◆",IF(AND($E200&gt;=DW$5,$E200&lt;DW$5+GanttPeriod),"◇","")),IF(AND(DW$5&lt;=$F200,DW$5+GanttPeriod-1&gt;=$E200),"━","")))</f>
        <v/>
      </c>
      <c r="DX200" s="69" t="str">
        <f aca="false">IF($E200="","",IF($M200,IF(AND($G200&gt;=DX$5,$G200&lt;DX$5+GanttPeriod),"◆",IF(AND($E200&gt;=DX$5,$E200&lt;DX$5+GanttPeriod),"◇","")),IF(AND(DX$5&lt;=$F200,DX$5+GanttPeriod-1&gt;=$E200),"━","")))</f>
        <v/>
      </c>
      <c r="DY200" s="69" t="str">
        <f aca="false">IF($E200="","",IF($M200,IF(AND($G200&gt;=DY$5,$G200&lt;DY$5+GanttPeriod),"◆",IF(AND($E200&gt;=DY$5,$E200&lt;DY$5+GanttPeriod),"◇","")),IF(AND(DY$5&lt;=$F200,DY$5+GanttPeriod-1&gt;=$E200),"━","")))</f>
        <v/>
      </c>
      <c r="DZ200" s="69" t="str">
        <f aca="false">IF($E200="","",IF($M200,IF(AND($G200&gt;=DZ$5,$G200&lt;DZ$5+GanttPeriod),"◆",IF(AND($E200&gt;=DZ$5,$E200&lt;DZ$5+GanttPeriod),"◇","")),IF(AND(DZ$5&lt;=$F200,DZ$5+GanttPeriod-1&gt;=$E200),"━","")))</f>
        <v/>
      </c>
      <c r="EA200" s="69" t="str">
        <f aca="false">IF($E200="","",IF($M200,IF(AND($G200&gt;=EA$5,$G200&lt;EA$5+GanttPeriod),"◆",IF(AND($E200&gt;=EA$5,$E200&lt;EA$5+GanttPeriod),"◇","")),IF(AND(EA$5&lt;=$F200,EA$5+GanttPeriod-1&gt;=$E200),"━","")))</f>
        <v/>
      </c>
      <c r="EB200" s="69" t="str">
        <f aca="false">IF($E200="","",IF($M200,IF(AND($G200&gt;=EB$5,$G200&lt;EB$5+GanttPeriod),"◆",IF(AND($E200&gt;=EB$5,$E200&lt;EB$5+GanttPeriod),"◇","")),IF(AND(EB$5&lt;=$F200,EB$5+GanttPeriod-1&gt;=$E200),"━","")))</f>
        <v/>
      </c>
      <c r="EC200" s="69" t="str">
        <f aca="false">IF($E200="","",IF($M200,IF(AND($G200&gt;=EC$5,$G200&lt;EC$5+GanttPeriod),"◆",IF(AND($E200&gt;=EC$5,$E200&lt;EC$5+GanttPeriod),"◇","")),IF(AND(EC$5&lt;=$F200,EC$5+GanttPeriod-1&gt;=$E200),"━","")))</f>
        <v/>
      </c>
      <c r="ED200" s="69" t="str">
        <f aca="false">IF($E200="","",IF($M200,IF(AND($G200&gt;=ED$5,$G200&lt;ED$5+GanttPeriod),"◆",IF(AND($E200&gt;=ED$5,$E200&lt;ED$5+GanttPeriod),"◇","")),IF(AND(ED$5&lt;=$F200,ED$5+GanttPeriod-1&gt;=$E200),"━","")))</f>
        <v/>
      </c>
      <c r="EE200" s="69" t="str">
        <f aca="false">IF($E200="","",IF($M200,IF(AND($G200&gt;=EE$5,$G200&lt;EE$5+GanttPeriod),"◆",IF(AND($E200&gt;=EE$5,$E200&lt;EE$5+GanttPeriod),"◇","")),IF(AND(EE$5&lt;=$F200,EE$5+GanttPeriod-1&gt;=$E200),"━","")))</f>
        <v/>
      </c>
      <c r="EF200" s="69" t="str">
        <f aca="false">IF($E200="","",IF($M200,IF(AND($G200&gt;=EF$5,$G200&lt;EF$5+GanttPeriod),"◆",IF(AND($E200&gt;=EF$5,$E200&lt;EF$5+GanttPeriod),"◇","")),IF(AND(EF$5&lt;=$F200,EF$5+GanttPeriod-1&gt;=$E200),"━","")))</f>
        <v/>
      </c>
      <c r="EG200" s="69" t="str">
        <f aca="false">IF($E200="","",IF($M200,IF(AND($G200&gt;=EG$5,$G200&lt;EG$5+GanttPeriod),"◆",IF(AND($E200&gt;=EG$5,$E200&lt;EG$5+GanttPeriod),"◇","")),IF(AND(EG$5&lt;=$F200,EG$5+GanttPeriod-1&gt;=$E200),"━","")))</f>
        <v/>
      </c>
      <c r="EH200" s="69" t="str">
        <f aca="false">IF($E200="","",IF($M200,IF(AND($G200&gt;=EH$5,$G200&lt;EH$5+GanttPeriod),"◆",IF(AND($E200&gt;=EH$5,$E200&lt;EH$5+GanttPeriod),"◇","")),IF(AND(EH$5&lt;=$F200,EH$5+GanttPeriod-1&gt;=$E200),"━","")))</f>
        <v/>
      </c>
      <c r="EI200" s="69" t="str">
        <f aca="false">IF($E200="","",IF($M200,IF(AND($G200&gt;=EI$5,$G200&lt;EI$5+GanttPeriod),"◆",IF(AND($E200&gt;=EI$5,$E200&lt;EI$5+GanttPeriod),"◇","")),IF(AND(EI$5&lt;=$F200,EI$5+GanttPeriod-1&gt;=$E200),"━","")))</f>
        <v/>
      </c>
      <c r="EJ200" s="69" t="str">
        <f aca="false">IF($E200="","",IF($M200,IF(AND($G200&gt;=EJ$5,$G200&lt;EJ$5+GanttPeriod),"◆",IF(AND($E200&gt;=EJ$5,$E200&lt;EJ$5+GanttPeriod),"◇","")),IF(AND(EJ$5&lt;=$F200,EJ$5+GanttPeriod-1&gt;=$E200),"━","")))</f>
        <v/>
      </c>
      <c r="EK200" s="69" t="str">
        <f aca="false">IF($E200="","",IF($M200,IF(AND($G200&gt;=EK$5,$G200&lt;EK$5+GanttPeriod),"◆",IF(AND($E200&gt;=EK$5,$E200&lt;EK$5+GanttPeriod),"◇","")),IF(AND(EK$5&lt;=$F200,EK$5+GanttPeriod-1&gt;=$E200),"━","")))</f>
        <v/>
      </c>
      <c r="EL200" s="69" t="str">
        <f aca="false">IF($E200="","",IF($M200,IF(AND($G200&gt;=EL$5,$G200&lt;EL$5+GanttPeriod),"◆",IF(AND($E200&gt;=EL$5,$E200&lt;EL$5+GanttPeriod),"◇","")),IF(AND(EL$5&lt;=$F200,EL$5+GanttPeriod-1&gt;=$E200),"━","")))</f>
        <v/>
      </c>
      <c r="EM200" s="69" t="str">
        <f aca="false">IF($E200="","",IF($M200,IF(AND($G200&gt;=EM$5,$G200&lt;EM$5+GanttPeriod),"◆",IF(AND($E200&gt;=EM$5,$E200&lt;EM$5+GanttPeriod),"◇","")),IF(AND(EM$5&lt;=$F200,EM$5+GanttPeriod-1&gt;=$E200),"━","")))</f>
        <v/>
      </c>
      <c r="EN200" s="69" t="str">
        <f aca="false">IF($E200="","",IF($M200,IF(AND($G200&gt;=EN$5,$G200&lt;EN$5+GanttPeriod),"◆",IF(AND($E200&gt;=EN$5,$E200&lt;EN$5+GanttPeriod),"◇","")),IF(AND(EN$5&lt;=$F200,EN$5+GanttPeriod-1&gt;=$E200),"━","")))</f>
        <v/>
      </c>
      <c r="EO200" s="69" t="str">
        <f aca="false">IF($E200="","",IF($M200,IF(AND($G200&gt;=EO$5,$G200&lt;EO$5+GanttPeriod),"◆",IF(AND($E200&gt;=EO$5,$E200&lt;EO$5+GanttPeriod),"◇","")),IF(AND(EO$5&lt;=$F200,EO$5+GanttPeriod-1&gt;=$E200),"━","")))</f>
        <v/>
      </c>
      <c r="EP200" s="69" t="str">
        <f aca="false">IF($E200="","",IF($M200,IF(AND($G200&gt;=EP$5,$G200&lt;EP$5+GanttPeriod),"◆",IF(AND($E200&gt;=EP$5,$E200&lt;EP$5+GanttPeriod),"◇","")),IF(AND(EP$5&lt;=$F200,EP$5+GanttPeriod-1&gt;=$E200),"━","")))</f>
        <v/>
      </c>
      <c r="EQ200" s="69" t="str">
        <f aca="false">IF($E200="","",IF($M200,IF(AND($G200&gt;=EQ$5,$G200&lt;EQ$5+GanttPeriod),"◆",IF(AND($E200&gt;=EQ$5,$E200&lt;EQ$5+GanttPeriod),"◇","")),IF(AND(EQ$5&lt;=$F200,EQ$5+GanttPeriod-1&gt;=$E200),"━","")))</f>
        <v/>
      </c>
      <c r="ER200" s="69" t="str">
        <f aca="false">IF($E200="","",IF($M200,IF(AND($G200&gt;=ER$5,$G200&lt;ER$5+GanttPeriod),"◆",IF(AND($E200&gt;=ER$5,$E200&lt;ER$5+GanttPeriod),"◇","")),IF(AND(ER$5&lt;=$F200,ER$5+GanttPeriod-1&gt;=$E200),"━","")))</f>
        <v/>
      </c>
      <c r="ES200" s="69" t="str">
        <f aca="false">IF($E200="","",IF($M200,IF(AND($G200&gt;=ES$5,$G200&lt;ES$5+GanttPeriod),"◆",IF(AND($E200&gt;=ES$5,$E200&lt;ES$5+GanttPeriod),"◇","")),IF(AND(ES$5&lt;=$F200,ES$5+GanttPeriod-1&gt;=$E200),"━","")))</f>
        <v/>
      </c>
      <c r="ET200" s="69" t="str">
        <f aca="false">IF($E200="","",IF($M200,IF(AND($G200&gt;=ET$5,$G200&lt;ET$5+GanttPeriod),"◆",IF(AND($E200&gt;=ET$5,$E200&lt;ET$5+GanttPeriod),"◇","")),IF(AND(ET$5&lt;=$F200,ET$5+GanttPeriod-1&gt;=$E200),"━","")))</f>
        <v/>
      </c>
      <c r="EU200" s="69" t="str">
        <f aca="false">IF($E200="","",IF($M200,IF(AND($G200&gt;=EU$5,$G200&lt;EU$5+GanttPeriod),"◆",IF(AND($E200&gt;=EU$5,$E200&lt;EU$5+GanttPeriod),"◇","")),IF(AND(EU$5&lt;=$F200,EU$5+GanttPeriod-1&gt;=$E200),"━","")))</f>
        <v/>
      </c>
      <c r="EV200" s="69" t="str">
        <f aca="false">IF($E200="","",IF($M200,IF(AND($G200&gt;=EV$5,$G200&lt;EV$5+GanttPeriod),"◆",IF(AND($E200&gt;=EV$5,$E200&lt;EV$5+GanttPeriod),"◇","")),IF(AND(EV$5&lt;=$F200,EV$5+GanttPeriod-1&gt;=$E200),"━","")))</f>
        <v/>
      </c>
      <c r="EW200" s="69" t="str">
        <f aca="false">IF($E200="","",IF($M200,IF(AND($G200&gt;=EW$5,$G200&lt;EW$5+GanttPeriod),"◆",IF(AND($E200&gt;=EW$5,$E200&lt;EW$5+GanttPeriod),"◇","")),IF(AND(EW$5&lt;=$F200,EW$5+GanttPeriod-1&gt;=$E200),"━","")))</f>
        <v/>
      </c>
      <c r="EX200" s="69" t="str">
        <f aca="false">IF($E200="","",IF($M200,IF(AND($G200&gt;=EX$5,$G200&lt;EX$5+GanttPeriod),"◆",IF(AND($E200&gt;=EX$5,$E200&lt;EX$5+GanttPeriod),"◇","")),IF(AND(EX$5&lt;=$F200,EX$5+GanttPeriod-1&gt;=$E200),"━","")))</f>
        <v/>
      </c>
      <c r="EY200" s="69" t="str">
        <f aca="false">IF($E200="","",IF($M200,IF(AND($G200&gt;=EY$5,$G200&lt;EY$5+GanttPeriod),"◆",IF(AND($E200&gt;=EY$5,$E200&lt;EY$5+GanttPeriod),"◇","")),IF(AND(EY$5&lt;=$F200,EY$5+GanttPeriod-1&gt;=$E200),"━","")))</f>
        <v/>
      </c>
      <c r="EZ200" s="69" t="str">
        <f aca="false">IF($E200="","",IF($M200,IF(AND($G200&gt;=EZ$5,$G200&lt;EZ$5+GanttPeriod),"◆",IF(AND($E200&gt;=EZ$5,$E200&lt;EZ$5+GanttPeriod),"◇","")),IF(AND(EZ$5&lt;=$F200,EZ$5+GanttPeriod-1&gt;=$E200),"━","")))</f>
        <v/>
      </c>
      <c r="FA200" s="69" t="str">
        <f aca="false">IF($E200="","",IF($M200,IF(AND($G200&gt;=FA$5,$G200&lt;FA$5+GanttPeriod),"◆",IF(AND($E200&gt;=FA$5,$E200&lt;FA$5+GanttPeriod),"◇","")),IF(AND(FA$5&lt;=$F200,FA$5+GanttPeriod-1&gt;=$E200),"━","")))</f>
        <v/>
      </c>
      <c r="FB200" s="69" t="str">
        <f aca="false">IF($E200="","",IF($M200,IF(AND($G200&gt;=FB$5,$G200&lt;FB$5+GanttPeriod),"◆",IF(AND($E200&gt;=FB$5,$E200&lt;FB$5+GanttPeriod),"◇","")),IF(AND(FB$5&lt;=$F200,FB$5+GanttPeriod-1&gt;=$E200),"━","")))</f>
        <v/>
      </c>
      <c r="FC200" s="69" t="str">
        <f aca="false">IF($E200="","",IF($M200,IF(AND($G200&gt;=FC$5,$G200&lt;FC$5+GanttPeriod),"◆",IF(AND($E200&gt;=FC$5,$E200&lt;FC$5+GanttPeriod),"◇","")),IF(AND(FC$5&lt;=$F200,FC$5+GanttPeriod-1&gt;=$E200),"━","")))</f>
        <v/>
      </c>
      <c r="FD200" s="69" t="str">
        <f aca="false">IF($E200="","",IF($M200,IF(AND($G200&gt;=FD$5,$G200&lt;FD$5+GanttPeriod),"◆",IF(AND($E200&gt;=FD$5,$E200&lt;FD$5+GanttPeriod),"◇","")),IF(AND(FD$5&lt;=$F200,FD$5+GanttPeriod-1&gt;=$E200),"━","")))</f>
        <v/>
      </c>
      <c r="FE200" s="69" t="str">
        <f aca="false">IF($E200="","",IF($M200,IF(AND($G200&gt;=FE$5,$G200&lt;FE$5+GanttPeriod),"◆",IF(AND($E200&gt;=FE$5,$E200&lt;FE$5+GanttPeriod),"◇","")),IF(AND(FE$5&lt;=$F200,FE$5+GanttPeriod-1&gt;=$E200),"━","")))</f>
        <v/>
      </c>
      <c r="FF200" s="69" t="str">
        <f aca="false">IF($E200="","",IF($M200,IF(AND($G200&gt;=FF$5,$G200&lt;FF$5+GanttPeriod),"◆",IF(AND($E200&gt;=FF$5,$E200&lt;FF$5+GanttPeriod),"◇","")),IF(AND(FF$5&lt;=$F200,FF$5+GanttPeriod-1&gt;=$E200),"━","")))</f>
        <v/>
      </c>
      <c r="FG200" s="69" t="str">
        <f aca="false">IF($E200="","",IF($M200,IF(AND($G200&gt;=FG$5,$G200&lt;FG$5+GanttPeriod),"◆",IF(AND($E200&gt;=FG$5,$E200&lt;FG$5+GanttPeriod),"◇","")),IF(AND(FG$5&lt;=$F200,FG$5+GanttPeriod-1&gt;=$E200),"━","")))</f>
        <v/>
      </c>
      <c r="FH200" s="69" t="str">
        <f aca="false">IF($E200="","",IF($M200,IF(AND($G200&gt;=FH$5,$G200&lt;FH$5+GanttPeriod),"◆",IF(AND($E200&gt;=FH$5,$E200&lt;FH$5+GanttPeriod),"◇","")),IF(AND(FH$5&lt;=$F200,FH$5+GanttPeriod-1&gt;=$E200),"━","")))</f>
        <v/>
      </c>
      <c r="FI200" s="69" t="str">
        <f aca="false">IF($E200="","",IF($M200,IF(AND($G200&gt;=FI$5,$G200&lt;FI$5+GanttPeriod),"◆",IF(AND($E200&gt;=FI$5,$E200&lt;FI$5+GanttPeriod),"◇","")),IF(AND(FI$5&lt;=$F200,FI$5+GanttPeriod-1&gt;=$E200),"━","")))</f>
        <v/>
      </c>
      <c r="FJ200" s="69" t="str">
        <f aca="false">IF($E200="","",IF($M200,IF(AND($G200&gt;=FJ$5,$G200&lt;FJ$5+GanttPeriod),"◆",IF(AND($E200&gt;=FJ$5,$E200&lt;FJ$5+GanttPeriod),"◇","")),IF(AND(FJ$5&lt;=$F200,FJ$5+GanttPeriod-1&gt;=$E200),"━","")))</f>
        <v/>
      </c>
      <c r="FK200" s="69" t="str">
        <f aca="false">IF($E200="","",IF($M200,IF(AND($G200&gt;=FK$5,$G200&lt;FK$5+GanttPeriod),"◆",IF(AND($E200&gt;=FK$5,$E200&lt;FK$5+GanttPeriod),"◇","")),IF(AND(FK$5&lt;=$F200,FK$5+GanttPeriod-1&gt;=$E200),"━","")))</f>
        <v/>
      </c>
      <c r="FL200" s="69" t="str">
        <f aca="false">IF($E200="","",IF($M200,IF(AND($G200&gt;=FL$5,$G200&lt;FL$5+GanttPeriod),"◆",IF(AND($E200&gt;=FL$5,$E200&lt;FL$5+GanttPeriod),"◇","")),IF(AND(FL$5&lt;=$F200,FL$5+GanttPeriod-1&gt;=$E200),"━","")))</f>
        <v/>
      </c>
      <c r="FM200" s="69" t="str">
        <f aca="false">IF($E200="","",IF($M200,IF(AND($G200&gt;=FM$5,$G200&lt;FM$5+GanttPeriod),"◆",IF(AND($E200&gt;=FM$5,$E200&lt;FM$5+GanttPeriod),"◇","")),IF(AND(FM$5&lt;=$F200,FM$5+GanttPeriod-1&gt;=$E200),"━","")))</f>
        <v/>
      </c>
    </row>
    <row r="201" customFormat="false" ht="15" hidden="false" customHeight="false" outlineLevel="0" collapsed="false">
      <c r="A201" s="62" t="str">
        <f aca="false">IF(Tasks!$D201="","",Tasks!$A201)</f>
        <v/>
      </c>
      <c r="B201" s="62" t="str">
        <f aca="false">IF(Tasks!$D201="","",Tasks!$B201)</f>
        <v/>
      </c>
      <c r="C201" s="63" t="str">
        <f aca="false">IF(Tasks!$D201="","",REPT("    ",Tasks!$AE201-1)&amp;Tasks!$D201)</f>
        <v/>
      </c>
      <c r="D201" s="62" t="str">
        <f aca="false">IF(Tasks!$D201="","",IF(Tasks!$AI201,NETWORKDAYS.INTL(Tasks!$R201,Tasks!$S201,WorkWeek,Holidays),N(Tasks!$F201)))</f>
        <v/>
      </c>
      <c r="E201" s="64" t="str">
        <f aca="false">IF(Tasks!$D201="","",Tasks!$N201)</f>
        <v/>
      </c>
      <c r="F201" s="64" t="str">
        <f aca="false">IF(Tasks!$D201="","",Tasks!$O201)</f>
        <v/>
      </c>
      <c r="G201" s="64" t="str">
        <f aca="false">IF(Tasks!$D201="","",Tasks!$R201)</f>
        <v/>
      </c>
      <c r="H201" s="64" t="str">
        <f aca="false">IF(Tasks!$D201="","",Tasks!$S201)</f>
        <v/>
      </c>
      <c r="I201" s="65" t="str">
        <f aca="false">IF(Tasks!$D201="","",Tasks!$V201)</f>
        <v/>
      </c>
      <c r="J201" s="63" t="str">
        <f aca="false">IF(Tasks!$D201="","",Tasks!$X201&amp;"")</f>
        <v/>
      </c>
      <c r="K201" s="66" t="str">
        <f aca="false">IF(Tasks!$D201="","",Tasks!$W201)</f>
        <v/>
      </c>
      <c r="L201" s="67" t="b">
        <f aca="false">IF(Tasks!$D201="",FALSE(),Tasks!$AI201)</f>
        <v>0</v>
      </c>
      <c r="M201" s="67" t="b">
        <f aca="false">AND(Tasks!$AJ201=1,N(Tasks!$F201)=0)</f>
        <v>0</v>
      </c>
      <c r="N201" s="68" t="n">
        <f aca="false">IF(AND(Tasks!$AJ201=1,NOT($M201),N($I201)&gt;0),$G201,0)</f>
        <v>0</v>
      </c>
      <c r="O201" s="68" t="n">
        <f aca="false">IF($N201=0,0,IF($I201&gt;=1,$H201,MAX($N201,$G201+ROUND(($H201-$G201+1)*$I201,0)-1)))</f>
        <v>0</v>
      </c>
      <c r="P201" s="68" t="n">
        <f aca="false">IF(OR(Tasks!$AJ201&lt;&gt;1,$M201,N($I201)&gt;=1),0,IF($O201&gt;0,$O201+1,$G201))</f>
        <v>0</v>
      </c>
      <c r="Q201" s="68" t="n">
        <f aca="false">IF($P201=0,0,$H201)</f>
        <v>0</v>
      </c>
      <c r="R201" s="67" t="b">
        <f aca="false">AND(Tasks!$D201&lt;&gt;"",N(Tasks!$T201)&gt;0)</f>
        <v>0</v>
      </c>
      <c r="T201" s="69" t="str">
        <f aca="false">IF($E201="","",IF($M201,IF(AND($G201&gt;=T$5,$G201&lt;T$5+GanttPeriod),"◆",IF(AND($E201&gt;=T$5,$E201&lt;T$5+GanttPeriod),"◇","")),IF(AND(T$5&lt;=$F201,T$5+GanttPeriod-1&gt;=$E201),"━","")))</f>
        <v/>
      </c>
      <c r="U201" s="69" t="str">
        <f aca="false">IF($E201="","",IF($M201,IF(AND($G201&gt;=U$5,$G201&lt;U$5+GanttPeriod),"◆",IF(AND($E201&gt;=U$5,$E201&lt;U$5+GanttPeriod),"◇","")),IF(AND(U$5&lt;=$F201,U$5+GanttPeriod-1&gt;=$E201),"━","")))</f>
        <v/>
      </c>
      <c r="V201" s="69" t="str">
        <f aca="false">IF($E201="","",IF($M201,IF(AND($G201&gt;=V$5,$G201&lt;V$5+GanttPeriod),"◆",IF(AND($E201&gt;=V$5,$E201&lt;V$5+GanttPeriod),"◇","")),IF(AND(V$5&lt;=$F201,V$5+GanttPeriod-1&gt;=$E201),"━","")))</f>
        <v/>
      </c>
      <c r="W201" s="69" t="str">
        <f aca="false">IF($E201="","",IF($M201,IF(AND($G201&gt;=W$5,$G201&lt;W$5+GanttPeriod),"◆",IF(AND($E201&gt;=W$5,$E201&lt;W$5+GanttPeriod),"◇","")),IF(AND(W$5&lt;=$F201,W$5+GanttPeriod-1&gt;=$E201),"━","")))</f>
        <v/>
      </c>
      <c r="X201" s="69" t="str">
        <f aca="false">IF($E201="","",IF($M201,IF(AND($G201&gt;=X$5,$G201&lt;X$5+GanttPeriod),"◆",IF(AND($E201&gt;=X$5,$E201&lt;X$5+GanttPeriod),"◇","")),IF(AND(X$5&lt;=$F201,X$5+GanttPeriod-1&gt;=$E201),"━","")))</f>
        <v/>
      </c>
      <c r="Y201" s="69" t="str">
        <f aca="false">IF($E201="","",IF($M201,IF(AND($G201&gt;=Y$5,$G201&lt;Y$5+GanttPeriod),"◆",IF(AND($E201&gt;=Y$5,$E201&lt;Y$5+GanttPeriod),"◇","")),IF(AND(Y$5&lt;=$F201,Y$5+GanttPeriod-1&gt;=$E201),"━","")))</f>
        <v/>
      </c>
      <c r="Z201" s="69" t="str">
        <f aca="false">IF($E201="","",IF($M201,IF(AND($G201&gt;=Z$5,$G201&lt;Z$5+GanttPeriod),"◆",IF(AND($E201&gt;=Z$5,$E201&lt;Z$5+GanttPeriod),"◇","")),IF(AND(Z$5&lt;=$F201,Z$5+GanttPeriod-1&gt;=$E201),"━","")))</f>
        <v/>
      </c>
      <c r="AA201" s="69" t="str">
        <f aca="false">IF($E201="","",IF($M201,IF(AND($G201&gt;=AA$5,$G201&lt;AA$5+GanttPeriod),"◆",IF(AND($E201&gt;=AA$5,$E201&lt;AA$5+GanttPeriod),"◇","")),IF(AND(AA$5&lt;=$F201,AA$5+GanttPeriod-1&gt;=$E201),"━","")))</f>
        <v/>
      </c>
      <c r="AB201" s="69" t="str">
        <f aca="false">IF($E201="","",IF($M201,IF(AND($G201&gt;=AB$5,$G201&lt;AB$5+GanttPeriod),"◆",IF(AND($E201&gt;=AB$5,$E201&lt;AB$5+GanttPeriod),"◇","")),IF(AND(AB$5&lt;=$F201,AB$5+GanttPeriod-1&gt;=$E201),"━","")))</f>
        <v/>
      </c>
      <c r="AC201" s="69" t="str">
        <f aca="false">IF($E201="","",IF($M201,IF(AND($G201&gt;=AC$5,$G201&lt;AC$5+GanttPeriod),"◆",IF(AND($E201&gt;=AC$5,$E201&lt;AC$5+GanttPeriod),"◇","")),IF(AND(AC$5&lt;=$F201,AC$5+GanttPeriod-1&gt;=$E201),"━","")))</f>
        <v/>
      </c>
      <c r="AD201" s="69" t="str">
        <f aca="false">IF($E201="","",IF($M201,IF(AND($G201&gt;=AD$5,$G201&lt;AD$5+GanttPeriod),"◆",IF(AND($E201&gt;=AD$5,$E201&lt;AD$5+GanttPeriod),"◇","")),IF(AND(AD$5&lt;=$F201,AD$5+GanttPeriod-1&gt;=$E201),"━","")))</f>
        <v/>
      </c>
      <c r="AE201" s="69" t="str">
        <f aca="false">IF($E201="","",IF($M201,IF(AND($G201&gt;=AE$5,$G201&lt;AE$5+GanttPeriod),"◆",IF(AND($E201&gt;=AE$5,$E201&lt;AE$5+GanttPeriod),"◇","")),IF(AND(AE$5&lt;=$F201,AE$5+GanttPeriod-1&gt;=$E201),"━","")))</f>
        <v/>
      </c>
      <c r="AF201" s="69" t="str">
        <f aca="false">IF($E201="","",IF($M201,IF(AND($G201&gt;=AF$5,$G201&lt;AF$5+GanttPeriod),"◆",IF(AND($E201&gt;=AF$5,$E201&lt;AF$5+GanttPeriod),"◇","")),IF(AND(AF$5&lt;=$F201,AF$5+GanttPeriod-1&gt;=$E201),"━","")))</f>
        <v/>
      </c>
      <c r="AG201" s="69" t="str">
        <f aca="false">IF($E201="","",IF($M201,IF(AND($G201&gt;=AG$5,$G201&lt;AG$5+GanttPeriod),"◆",IF(AND($E201&gt;=AG$5,$E201&lt;AG$5+GanttPeriod),"◇","")),IF(AND(AG$5&lt;=$F201,AG$5+GanttPeriod-1&gt;=$E201),"━","")))</f>
        <v/>
      </c>
      <c r="AH201" s="69" t="str">
        <f aca="false">IF($E201="","",IF($M201,IF(AND($G201&gt;=AH$5,$G201&lt;AH$5+GanttPeriod),"◆",IF(AND($E201&gt;=AH$5,$E201&lt;AH$5+GanttPeriod),"◇","")),IF(AND(AH$5&lt;=$F201,AH$5+GanttPeriod-1&gt;=$E201),"━","")))</f>
        <v/>
      </c>
      <c r="AI201" s="69" t="str">
        <f aca="false">IF($E201="","",IF($M201,IF(AND($G201&gt;=AI$5,$G201&lt;AI$5+GanttPeriod),"◆",IF(AND($E201&gt;=AI$5,$E201&lt;AI$5+GanttPeriod),"◇","")),IF(AND(AI$5&lt;=$F201,AI$5+GanttPeriod-1&gt;=$E201),"━","")))</f>
        <v/>
      </c>
      <c r="AJ201" s="69" t="str">
        <f aca="false">IF($E201="","",IF($M201,IF(AND($G201&gt;=AJ$5,$G201&lt;AJ$5+GanttPeriod),"◆",IF(AND($E201&gt;=AJ$5,$E201&lt;AJ$5+GanttPeriod),"◇","")),IF(AND(AJ$5&lt;=$F201,AJ$5+GanttPeriod-1&gt;=$E201),"━","")))</f>
        <v/>
      </c>
      <c r="AK201" s="69" t="str">
        <f aca="false">IF($E201="","",IF($M201,IF(AND($G201&gt;=AK$5,$G201&lt;AK$5+GanttPeriod),"◆",IF(AND($E201&gt;=AK$5,$E201&lt;AK$5+GanttPeriod),"◇","")),IF(AND(AK$5&lt;=$F201,AK$5+GanttPeriod-1&gt;=$E201),"━","")))</f>
        <v/>
      </c>
      <c r="AL201" s="69" t="str">
        <f aca="false">IF($E201="","",IF($M201,IF(AND($G201&gt;=AL$5,$G201&lt;AL$5+GanttPeriod),"◆",IF(AND($E201&gt;=AL$5,$E201&lt;AL$5+GanttPeriod),"◇","")),IF(AND(AL$5&lt;=$F201,AL$5+GanttPeriod-1&gt;=$E201),"━","")))</f>
        <v/>
      </c>
      <c r="AM201" s="69" t="str">
        <f aca="false">IF($E201="","",IF($M201,IF(AND($G201&gt;=AM$5,$G201&lt;AM$5+GanttPeriod),"◆",IF(AND($E201&gt;=AM$5,$E201&lt;AM$5+GanttPeriod),"◇","")),IF(AND(AM$5&lt;=$F201,AM$5+GanttPeriod-1&gt;=$E201),"━","")))</f>
        <v/>
      </c>
      <c r="AN201" s="69" t="str">
        <f aca="false">IF($E201="","",IF($M201,IF(AND($G201&gt;=AN$5,$G201&lt;AN$5+GanttPeriod),"◆",IF(AND($E201&gt;=AN$5,$E201&lt;AN$5+GanttPeriod),"◇","")),IF(AND(AN$5&lt;=$F201,AN$5+GanttPeriod-1&gt;=$E201),"━","")))</f>
        <v/>
      </c>
      <c r="AO201" s="69" t="str">
        <f aca="false">IF($E201="","",IF($M201,IF(AND($G201&gt;=AO$5,$G201&lt;AO$5+GanttPeriod),"◆",IF(AND($E201&gt;=AO$5,$E201&lt;AO$5+GanttPeriod),"◇","")),IF(AND(AO$5&lt;=$F201,AO$5+GanttPeriod-1&gt;=$E201),"━","")))</f>
        <v/>
      </c>
      <c r="AP201" s="69" t="str">
        <f aca="false">IF($E201="","",IF($M201,IF(AND($G201&gt;=AP$5,$G201&lt;AP$5+GanttPeriod),"◆",IF(AND($E201&gt;=AP$5,$E201&lt;AP$5+GanttPeriod),"◇","")),IF(AND(AP$5&lt;=$F201,AP$5+GanttPeriod-1&gt;=$E201),"━","")))</f>
        <v/>
      </c>
      <c r="AQ201" s="69" t="str">
        <f aca="false">IF($E201="","",IF($M201,IF(AND($G201&gt;=AQ$5,$G201&lt;AQ$5+GanttPeriod),"◆",IF(AND($E201&gt;=AQ$5,$E201&lt;AQ$5+GanttPeriod),"◇","")),IF(AND(AQ$5&lt;=$F201,AQ$5+GanttPeriod-1&gt;=$E201),"━","")))</f>
        <v/>
      </c>
      <c r="AR201" s="69" t="str">
        <f aca="false">IF($E201="","",IF($M201,IF(AND($G201&gt;=AR$5,$G201&lt;AR$5+GanttPeriod),"◆",IF(AND($E201&gt;=AR$5,$E201&lt;AR$5+GanttPeriod),"◇","")),IF(AND(AR$5&lt;=$F201,AR$5+GanttPeriod-1&gt;=$E201),"━","")))</f>
        <v/>
      </c>
      <c r="AS201" s="69" t="str">
        <f aca="false">IF($E201="","",IF($M201,IF(AND($G201&gt;=AS$5,$G201&lt;AS$5+GanttPeriod),"◆",IF(AND($E201&gt;=AS$5,$E201&lt;AS$5+GanttPeriod),"◇","")),IF(AND(AS$5&lt;=$F201,AS$5+GanttPeriod-1&gt;=$E201),"━","")))</f>
        <v/>
      </c>
      <c r="AT201" s="69" t="str">
        <f aca="false">IF($E201="","",IF($M201,IF(AND($G201&gt;=AT$5,$G201&lt;AT$5+GanttPeriod),"◆",IF(AND($E201&gt;=AT$5,$E201&lt;AT$5+GanttPeriod),"◇","")),IF(AND(AT$5&lt;=$F201,AT$5+GanttPeriod-1&gt;=$E201),"━","")))</f>
        <v/>
      </c>
      <c r="AU201" s="69" t="str">
        <f aca="false">IF($E201="","",IF($M201,IF(AND($G201&gt;=AU$5,$G201&lt;AU$5+GanttPeriod),"◆",IF(AND($E201&gt;=AU$5,$E201&lt;AU$5+GanttPeriod),"◇","")),IF(AND(AU$5&lt;=$F201,AU$5+GanttPeriod-1&gt;=$E201),"━","")))</f>
        <v/>
      </c>
      <c r="AV201" s="69" t="str">
        <f aca="false">IF($E201="","",IF($M201,IF(AND($G201&gt;=AV$5,$G201&lt;AV$5+GanttPeriod),"◆",IF(AND($E201&gt;=AV$5,$E201&lt;AV$5+GanttPeriod),"◇","")),IF(AND(AV$5&lt;=$F201,AV$5+GanttPeriod-1&gt;=$E201),"━","")))</f>
        <v/>
      </c>
      <c r="AW201" s="69" t="str">
        <f aca="false">IF($E201="","",IF($M201,IF(AND($G201&gt;=AW$5,$G201&lt;AW$5+GanttPeriod),"◆",IF(AND($E201&gt;=AW$5,$E201&lt;AW$5+GanttPeriod),"◇","")),IF(AND(AW$5&lt;=$F201,AW$5+GanttPeriod-1&gt;=$E201),"━","")))</f>
        <v/>
      </c>
      <c r="AX201" s="69" t="str">
        <f aca="false">IF($E201="","",IF($M201,IF(AND($G201&gt;=AX$5,$G201&lt;AX$5+GanttPeriod),"◆",IF(AND($E201&gt;=AX$5,$E201&lt;AX$5+GanttPeriod),"◇","")),IF(AND(AX$5&lt;=$F201,AX$5+GanttPeriod-1&gt;=$E201),"━","")))</f>
        <v/>
      </c>
      <c r="AY201" s="69" t="str">
        <f aca="false">IF($E201="","",IF($M201,IF(AND($G201&gt;=AY$5,$G201&lt;AY$5+GanttPeriod),"◆",IF(AND($E201&gt;=AY$5,$E201&lt;AY$5+GanttPeriod),"◇","")),IF(AND(AY$5&lt;=$F201,AY$5+GanttPeriod-1&gt;=$E201),"━","")))</f>
        <v/>
      </c>
      <c r="AZ201" s="69" t="str">
        <f aca="false">IF($E201="","",IF($M201,IF(AND($G201&gt;=AZ$5,$G201&lt;AZ$5+GanttPeriod),"◆",IF(AND($E201&gt;=AZ$5,$E201&lt;AZ$5+GanttPeriod),"◇","")),IF(AND(AZ$5&lt;=$F201,AZ$5+GanttPeriod-1&gt;=$E201),"━","")))</f>
        <v/>
      </c>
      <c r="BA201" s="69" t="str">
        <f aca="false">IF($E201="","",IF($M201,IF(AND($G201&gt;=BA$5,$G201&lt;BA$5+GanttPeriod),"◆",IF(AND($E201&gt;=BA$5,$E201&lt;BA$5+GanttPeriod),"◇","")),IF(AND(BA$5&lt;=$F201,BA$5+GanttPeriod-1&gt;=$E201),"━","")))</f>
        <v/>
      </c>
      <c r="BB201" s="69" t="str">
        <f aca="false">IF($E201="","",IF($M201,IF(AND($G201&gt;=BB$5,$G201&lt;BB$5+GanttPeriod),"◆",IF(AND($E201&gt;=BB$5,$E201&lt;BB$5+GanttPeriod),"◇","")),IF(AND(BB$5&lt;=$F201,BB$5+GanttPeriod-1&gt;=$E201),"━","")))</f>
        <v/>
      </c>
      <c r="BC201" s="69" t="str">
        <f aca="false">IF($E201="","",IF($M201,IF(AND($G201&gt;=BC$5,$G201&lt;BC$5+GanttPeriod),"◆",IF(AND($E201&gt;=BC$5,$E201&lt;BC$5+GanttPeriod),"◇","")),IF(AND(BC$5&lt;=$F201,BC$5+GanttPeriod-1&gt;=$E201),"━","")))</f>
        <v/>
      </c>
      <c r="BD201" s="69" t="str">
        <f aca="false">IF($E201="","",IF($M201,IF(AND($G201&gt;=BD$5,$G201&lt;BD$5+GanttPeriod),"◆",IF(AND($E201&gt;=BD$5,$E201&lt;BD$5+GanttPeriod),"◇","")),IF(AND(BD$5&lt;=$F201,BD$5+GanttPeriod-1&gt;=$E201),"━","")))</f>
        <v/>
      </c>
      <c r="BE201" s="69" t="str">
        <f aca="false">IF($E201="","",IF($M201,IF(AND($G201&gt;=BE$5,$G201&lt;BE$5+GanttPeriod),"◆",IF(AND($E201&gt;=BE$5,$E201&lt;BE$5+GanttPeriod),"◇","")),IF(AND(BE$5&lt;=$F201,BE$5+GanttPeriod-1&gt;=$E201),"━","")))</f>
        <v/>
      </c>
      <c r="BF201" s="69" t="str">
        <f aca="false">IF($E201="","",IF($M201,IF(AND($G201&gt;=BF$5,$G201&lt;BF$5+GanttPeriod),"◆",IF(AND($E201&gt;=BF$5,$E201&lt;BF$5+GanttPeriod),"◇","")),IF(AND(BF$5&lt;=$F201,BF$5+GanttPeriod-1&gt;=$E201),"━","")))</f>
        <v/>
      </c>
      <c r="BG201" s="69" t="str">
        <f aca="false">IF($E201="","",IF($M201,IF(AND($G201&gt;=BG$5,$G201&lt;BG$5+GanttPeriod),"◆",IF(AND($E201&gt;=BG$5,$E201&lt;BG$5+GanttPeriod),"◇","")),IF(AND(BG$5&lt;=$F201,BG$5+GanttPeriod-1&gt;=$E201),"━","")))</f>
        <v/>
      </c>
      <c r="BH201" s="69" t="str">
        <f aca="false">IF($E201="","",IF($M201,IF(AND($G201&gt;=BH$5,$G201&lt;BH$5+GanttPeriod),"◆",IF(AND($E201&gt;=BH$5,$E201&lt;BH$5+GanttPeriod),"◇","")),IF(AND(BH$5&lt;=$F201,BH$5+GanttPeriod-1&gt;=$E201),"━","")))</f>
        <v/>
      </c>
      <c r="BI201" s="69" t="str">
        <f aca="false">IF($E201="","",IF($M201,IF(AND($G201&gt;=BI$5,$G201&lt;BI$5+GanttPeriod),"◆",IF(AND($E201&gt;=BI$5,$E201&lt;BI$5+GanttPeriod),"◇","")),IF(AND(BI$5&lt;=$F201,BI$5+GanttPeriod-1&gt;=$E201),"━","")))</f>
        <v/>
      </c>
      <c r="BJ201" s="69" t="str">
        <f aca="false">IF($E201="","",IF($M201,IF(AND($G201&gt;=BJ$5,$G201&lt;BJ$5+GanttPeriod),"◆",IF(AND($E201&gt;=BJ$5,$E201&lt;BJ$5+GanttPeriod),"◇","")),IF(AND(BJ$5&lt;=$F201,BJ$5+GanttPeriod-1&gt;=$E201),"━","")))</f>
        <v/>
      </c>
      <c r="BK201" s="69" t="str">
        <f aca="false">IF($E201="","",IF($M201,IF(AND($G201&gt;=BK$5,$G201&lt;BK$5+GanttPeriod),"◆",IF(AND($E201&gt;=BK$5,$E201&lt;BK$5+GanttPeriod),"◇","")),IF(AND(BK$5&lt;=$F201,BK$5+GanttPeriod-1&gt;=$E201),"━","")))</f>
        <v/>
      </c>
      <c r="BL201" s="69" t="str">
        <f aca="false">IF($E201="","",IF($M201,IF(AND($G201&gt;=BL$5,$G201&lt;BL$5+GanttPeriod),"◆",IF(AND($E201&gt;=BL$5,$E201&lt;BL$5+GanttPeriod),"◇","")),IF(AND(BL$5&lt;=$F201,BL$5+GanttPeriod-1&gt;=$E201),"━","")))</f>
        <v/>
      </c>
      <c r="BM201" s="69" t="str">
        <f aca="false">IF($E201="","",IF($M201,IF(AND($G201&gt;=BM$5,$G201&lt;BM$5+GanttPeriod),"◆",IF(AND($E201&gt;=BM$5,$E201&lt;BM$5+GanttPeriod),"◇","")),IF(AND(BM$5&lt;=$F201,BM$5+GanttPeriod-1&gt;=$E201),"━","")))</f>
        <v/>
      </c>
      <c r="BN201" s="69" t="str">
        <f aca="false">IF($E201="","",IF($M201,IF(AND($G201&gt;=BN$5,$G201&lt;BN$5+GanttPeriod),"◆",IF(AND($E201&gt;=BN$5,$E201&lt;BN$5+GanttPeriod),"◇","")),IF(AND(BN$5&lt;=$F201,BN$5+GanttPeriod-1&gt;=$E201),"━","")))</f>
        <v/>
      </c>
      <c r="BO201" s="69" t="str">
        <f aca="false">IF($E201="","",IF($M201,IF(AND($G201&gt;=BO$5,$G201&lt;BO$5+GanttPeriod),"◆",IF(AND($E201&gt;=BO$5,$E201&lt;BO$5+GanttPeriod),"◇","")),IF(AND(BO$5&lt;=$F201,BO$5+GanttPeriod-1&gt;=$E201),"━","")))</f>
        <v/>
      </c>
      <c r="BP201" s="69" t="str">
        <f aca="false">IF($E201="","",IF($M201,IF(AND($G201&gt;=BP$5,$G201&lt;BP$5+GanttPeriod),"◆",IF(AND($E201&gt;=BP$5,$E201&lt;BP$5+GanttPeriod),"◇","")),IF(AND(BP$5&lt;=$F201,BP$5+GanttPeriod-1&gt;=$E201),"━","")))</f>
        <v/>
      </c>
      <c r="BQ201" s="69" t="str">
        <f aca="false">IF($E201="","",IF($M201,IF(AND($G201&gt;=BQ$5,$G201&lt;BQ$5+GanttPeriod),"◆",IF(AND($E201&gt;=BQ$5,$E201&lt;BQ$5+GanttPeriod),"◇","")),IF(AND(BQ$5&lt;=$F201,BQ$5+GanttPeriod-1&gt;=$E201),"━","")))</f>
        <v/>
      </c>
      <c r="BR201" s="69" t="str">
        <f aca="false">IF($E201="","",IF($M201,IF(AND($G201&gt;=BR$5,$G201&lt;BR$5+GanttPeriod),"◆",IF(AND($E201&gt;=BR$5,$E201&lt;BR$5+GanttPeriod),"◇","")),IF(AND(BR$5&lt;=$F201,BR$5+GanttPeriod-1&gt;=$E201),"━","")))</f>
        <v/>
      </c>
      <c r="BS201" s="69" t="str">
        <f aca="false">IF($E201="","",IF($M201,IF(AND($G201&gt;=BS$5,$G201&lt;BS$5+GanttPeriod),"◆",IF(AND($E201&gt;=BS$5,$E201&lt;BS$5+GanttPeriod),"◇","")),IF(AND(BS$5&lt;=$F201,BS$5+GanttPeriod-1&gt;=$E201),"━","")))</f>
        <v/>
      </c>
      <c r="BT201" s="69" t="str">
        <f aca="false">IF($E201="","",IF($M201,IF(AND($G201&gt;=BT$5,$G201&lt;BT$5+GanttPeriod),"◆",IF(AND($E201&gt;=BT$5,$E201&lt;BT$5+GanttPeriod),"◇","")),IF(AND(BT$5&lt;=$F201,BT$5+GanttPeriod-1&gt;=$E201),"━","")))</f>
        <v/>
      </c>
      <c r="BU201" s="69" t="str">
        <f aca="false">IF($E201="","",IF($M201,IF(AND($G201&gt;=BU$5,$G201&lt;BU$5+GanttPeriod),"◆",IF(AND($E201&gt;=BU$5,$E201&lt;BU$5+GanttPeriod),"◇","")),IF(AND(BU$5&lt;=$F201,BU$5+GanttPeriod-1&gt;=$E201),"━","")))</f>
        <v/>
      </c>
      <c r="BV201" s="69" t="str">
        <f aca="false">IF($E201="","",IF($M201,IF(AND($G201&gt;=BV$5,$G201&lt;BV$5+GanttPeriod),"◆",IF(AND($E201&gt;=BV$5,$E201&lt;BV$5+GanttPeriod),"◇","")),IF(AND(BV$5&lt;=$F201,BV$5+GanttPeriod-1&gt;=$E201),"━","")))</f>
        <v/>
      </c>
      <c r="BW201" s="69" t="str">
        <f aca="false">IF($E201="","",IF($M201,IF(AND($G201&gt;=BW$5,$G201&lt;BW$5+GanttPeriod),"◆",IF(AND($E201&gt;=BW$5,$E201&lt;BW$5+GanttPeriod),"◇","")),IF(AND(BW$5&lt;=$F201,BW$5+GanttPeriod-1&gt;=$E201),"━","")))</f>
        <v/>
      </c>
      <c r="BX201" s="69" t="str">
        <f aca="false">IF($E201="","",IF($M201,IF(AND($G201&gt;=BX$5,$G201&lt;BX$5+GanttPeriod),"◆",IF(AND($E201&gt;=BX$5,$E201&lt;BX$5+GanttPeriod),"◇","")),IF(AND(BX$5&lt;=$F201,BX$5+GanttPeriod-1&gt;=$E201),"━","")))</f>
        <v/>
      </c>
      <c r="BY201" s="69" t="str">
        <f aca="false">IF($E201="","",IF($M201,IF(AND($G201&gt;=BY$5,$G201&lt;BY$5+GanttPeriod),"◆",IF(AND($E201&gt;=BY$5,$E201&lt;BY$5+GanttPeriod),"◇","")),IF(AND(BY$5&lt;=$F201,BY$5+GanttPeriod-1&gt;=$E201),"━","")))</f>
        <v/>
      </c>
      <c r="BZ201" s="69" t="str">
        <f aca="false">IF($E201="","",IF($M201,IF(AND($G201&gt;=BZ$5,$G201&lt;BZ$5+GanttPeriod),"◆",IF(AND($E201&gt;=BZ$5,$E201&lt;BZ$5+GanttPeriod),"◇","")),IF(AND(BZ$5&lt;=$F201,BZ$5+GanttPeriod-1&gt;=$E201),"━","")))</f>
        <v/>
      </c>
      <c r="CA201" s="69" t="str">
        <f aca="false">IF($E201="","",IF($M201,IF(AND($G201&gt;=CA$5,$G201&lt;CA$5+GanttPeriod),"◆",IF(AND($E201&gt;=CA$5,$E201&lt;CA$5+GanttPeriod),"◇","")),IF(AND(CA$5&lt;=$F201,CA$5+GanttPeriod-1&gt;=$E201),"━","")))</f>
        <v/>
      </c>
      <c r="CB201" s="69" t="str">
        <f aca="false">IF($E201="","",IF($M201,IF(AND($G201&gt;=CB$5,$G201&lt;CB$5+GanttPeriod),"◆",IF(AND($E201&gt;=CB$5,$E201&lt;CB$5+GanttPeriod),"◇","")),IF(AND(CB$5&lt;=$F201,CB$5+GanttPeriod-1&gt;=$E201),"━","")))</f>
        <v/>
      </c>
      <c r="CC201" s="69" t="str">
        <f aca="false">IF($E201="","",IF($M201,IF(AND($G201&gt;=CC$5,$G201&lt;CC$5+GanttPeriod),"◆",IF(AND($E201&gt;=CC$5,$E201&lt;CC$5+GanttPeriod),"◇","")),IF(AND(CC$5&lt;=$F201,CC$5+GanttPeriod-1&gt;=$E201),"━","")))</f>
        <v/>
      </c>
      <c r="CD201" s="69" t="str">
        <f aca="false">IF($E201="","",IF($M201,IF(AND($G201&gt;=CD$5,$G201&lt;CD$5+GanttPeriod),"◆",IF(AND($E201&gt;=CD$5,$E201&lt;CD$5+GanttPeriod),"◇","")),IF(AND(CD$5&lt;=$F201,CD$5+GanttPeriod-1&gt;=$E201),"━","")))</f>
        <v/>
      </c>
      <c r="CE201" s="69" t="str">
        <f aca="false">IF($E201="","",IF($M201,IF(AND($G201&gt;=CE$5,$G201&lt;CE$5+GanttPeriod),"◆",IF(AND($E201&gt;=CE$5,$E201&lt;CE$5+GanttPeriod),"◇","")),IF(AND(CE$5&lt;=$F201,CE$5+GanttPeriod-1&gt;=$E201),"━","")))</f>
        <v/>
      </c>
      <c r="CF201" s="69" t="str">
        <f aca="false">IF($E201="","",IF($M201,IF(AND($G201&gt;=CF$5,$G201&lt;CF$5+GanttPeriod),"◆",IF(AND($E201&gt;=CF$5,$E201&lt;CF$5+GanttPeriod),"◇","")),IF(AND(CF$5&lt;=$F201,CF$5+GanttPeriod-1&gt;=$E201),"━","")))</f>
        <v/>
      </c>
      <c r="CG201" s="69" t="str">
        <f aca="false">IF($E201="","",IF($M201,IF(AND($G201&gt;=CG$5,$G201&lt;CG$5+GanttPeriod),"◆",IF(AND($E201&gt;=CG$5,$E201&lt;CG$5+GanttPeriod),"◇","")),IF(AND(CG$5&lt;=$F201,CG$5+GanttPeriod-1&gt;=$E201),"━","")))</f>
        <v/>
      </c>
      <c r="CH201" s="69" t="str">
        <f aca="false">IF($E201="","",IF($M201,IF(AND($G201&gt;=CH$5,$G201&lt;CH$5+GanttPeriod),"◆",IF(AND($E201&gt;=CH$5,$E201&lt;CH$5+GanttPeriod),"◇","")),IF(AND(CH$5&lt;=$F201,CH$5+GanttPeriod-1&gt;=$E201),"━","")))</f>
        <v/>
      </c>
      <c r="CI201" s="69" t="str">
        <f aca="false">IF($E201="","",IF($M201,IF(AND($G201&gt;=CI$5,$G201&lt;CI$5+GanttPeriod),"◆",IF(AND($E201&gt;=CI$5,$E201&lt;CI$5+GanttPeriod),"◇","")),IF(AND(CI$5&lt;=$F201,CI$5+GanttPeriod-1&gt;=$E201),"━","")))</f>
        <v/>
      </c>
      <c r="CJ201" s="69" t="str">
        <f aca="false">IF($E201="","",IF($M201,IF(AND($G201&gt;=CJ$5,$G201&lt;CJ$5+GanttPeriod),"◆",IF(AND($E201&gt;=CJ$5,$E201&lt;CJ$5+GanttPeriod),"◇","")),IF(AND(CJ$5&lt;=$F201,CJ$5+GanttPeriod-1&gt;=$E201),"━","")))</f>
        <v/>
      </c>
      <c r="CK201" s="69" t="str">
        <f aca="false">IF($E201="","",IF($M201,IF(AND($G201&gt;=CK$5,$G201&lt;CK$5+GanttPeriod),"◆",IF(AND($E201&gt;=CK$5,$E201&lt;CK$5+GanttPeriod),"◇","")),IF(AND(CK$5&lt;=$F201,CK$5+GanttPeriod-1&gt;=$E201),"━","")))</f>
        <v/>
      </c>
      <c r="CL201" s="69" t="str">
        <f aca="false">IF($E201="","",IF($M201,IF(AND($G201&gt;=CL$5,$G201&lt;CL$5+GanttPeriod),"◆",IF(AND($E201&gt;=CL$5,$E201&lt;CL$5+GanttPeriod),"◇","")),IF(AND(CL$5&lt;=$F201,CL$5+GanttPeriod-1&gt;=$E201),"━","")))</f>
        <v/>
      </c>
      <c r="CM201" s="69" t="str">
        <f aca="false">IF($E201="","",IF($M201,IF(AND($G201&gt;=CM$5,$G201&lt;CM$5+GanttPeriod),"◆",IF(AND($E201&gt;=CM$5,$E201&lt;CM$5+GanttPeriod),"◇","")),IF(AND(CM$5&lt;=$F201,CM$5+GanttPeriod-1&gt;=$E201),"━","")))</f>
        <v/>
      </c>
      <c r="CN201" s="69" t="str">
        <f aca="false">IF($E201="","",IF($M201,IF(AND($G201&gt;=CN$5,$G201&lt;CN$5+GanttPeriod),"◆",IF(AND($E201&gt;=CN$5,$E201&lt;CN$5+GanttPeriod),"◇","")),IF(AND(CN$5&lt;=$F201,CN$5+GanttPeriod-1&gt;=$E201),"━","")))</f>
        <v/>
      </c>
      <c r="CO201" s="69" t="str">
        <f aca="false">IF($E201="","",IF($M201,IF(AND($G201&gt;=CO$5,$G201&lt;CO$5+GanttPeriod),"◆",IF(AND($E201&gt;=CO$5,$E201&lt;CO$5+GanttPeriod),"◇","")),IF(AND(CO$5&lt;=$F201,CO$5+GanttPeriod-1&gt;=$E201),"━","")))</f>
        <v/>
      </c>
      <c r="CP201" s="69" t="str">
        <f aca="false">IF($E201="","",IF($M201,IF(AND($G201&gt;=CP$5,$G201&lt;CP$5+GanttPeriod),"◆",IF(AND($E201&gt;=CP$5,$E201&lt;CP$5+GanttPeriod),"◇","")),IF(AND(CP$5&lt;=$F201,CP$5+GanttPeriod-1&gt;=$E201),"━","")))</f>
        <v/>
      </c>
      <c r="CQ201" s="69" t="str">
        <f aca="false">IF($E201="","",IF($M201,IF(AND($G201&gt;=CQ$5,$G201&lt;CQ$5+GanttPeriod),"◆",IF(AND($E201&gt;=CQ$5,$E201&lt;CQ$5+GanttPeriod),"◇","")),IF(AND(CQ$5&lt;=$F201,CQ$5+GanttPeriod-1&gt;=$E201),"━","")))</f>
        <v/>
      </c>
      <c r="CR201" s="69" t="str">
        <f aca="false">IF($E201="","",IF($M201,IF(AND($G201&gt;=CR$5,$G201&lt;CR$5+GanttPeriod),"◆",IF(AND($E201&gt;=CR$5,$E201&lt;CR$5+GanttPeriod),"◇","")),IF(AND(CR$5&lt;=$F201,CR$5+GanttPeriod-1&gt;=$E201),"━","")))</f>
        <v/>
      </c>
      <c r="CS201" s="69" t="str">
        <f aca="false">IF($E201="","",IF($M201,IF(AND($G201&gt;=CS$5,$G201&lt;CS$5+GanttPeriod),"◆",IF(AND($E201&gt;=CS$5,$E201&lt;CS$5+GanttPeriod),"◇","")),IF(AND(CS$5&lt;=$F201,CS$5+GanttPeriod-1&gt;=$E201),"━","")))</f>
        <v/>
      </c>
      <c r="CT201" s="69" t="str">
        <f aca="false">IF($E201="","",IF($M201,IF(AND($G201&gt;=CT$5,$G201&lt;CT$5+GanttPeriod),"◆",IF(AND($E201&gt;=CT$5,$E201&lt;CT$5+GanttPeriod),"◇","")),IF(AND(CT$5&lt;=$F201,CT$5+GanttPeriod-1&gt;=$E201),"━","")))</f>
        <v/>
      </c>
      <c r="CU201" s="69" t="str">
        <f aca="false">IF($E201="","",IF($M201,IF(AND($G201&gt;=CU$5,$G201&lt;CU$5+GanttPeriod),"◆",IF(AND($E201&gt;=CU$5,$E201&lt;CU$5+GanttPeriod),"◇","")),IF(AND(CU$5&lt;=$F201,CU$5+GanttPeriod-1&gt;=$E201),"━","")))</f>
        <v/>
      </c>
      <c r="CV201" s="69" t="str">
        <f aca="false">IF($E201="","",IF($M201,IF(AND($G201&gt;=CV$5,$G201&lt;CV$5+GanttPeriod),"◆",IF(AND($E201&gt;=CV$5,$E201&lt;CV$5+GanttPeriod),"◇","")),IF(AND(CV$5&lt;=$F201,CV$5+GanttPeriod-1&gt;=$E201),"━","")))</f>
        <v/>
      </c>
      <c r="CW201" s="69" t="str">
        <f aca="false">IF($E201="","",IF($M201,IF(AND($G201&gt;=CW$5,$G201&lt;CW$5+GanttPeriod),"◆",IF(AND($E201&gt;=CW$5,$E201&lt;CW$5+GanttPeriod),"◇","")),IF(AND(CW$5&lt;=$F201,CW$5+GanttPeriod-1&gt;=$E201),"━","")))</f>
        <v/>
      </c>
      <c r="CX201" s="69" t="str">
        <f aca="false">IF($E201="","",IF($M201,IF(AND($G201&gt;=CX$5,$G201&lt;CX$5+GanttPeriod),"◆",IF(AND($E201&gt;=CX$5,$E201&lt;CX$5+GanttPeriod),"◇","")),IF(AND(CX$5&lt;=$F201,CX$5+GanttPeriod-1&gt;=$E201),"━","")))</f>
        <v/>
      </c>
      <c r="CY201" s="69" t="str">
        <f aca="false">IF($E201="","",IF($M201,IF(AND($G201&gt;=CY$5,$G201&lt;CY$5+GanttPeriod),"◆",IF(AND($E201&gt;=CY$5,$E201&lt;CY$5+GanttPeriod),"◇","")),IF(AND(CY$5&lt;=$F201,CY$5+GanttPeriod-1&gt;=$E201),"━","")))</f>
        <v/>
      </c>
      <c r="CZ201" s="69" t="str">
        <f aca="false">IF($E201="","",IF($M201,IF(AND($G201&gt;=CZ$5,$G201&lt;CZ$5+GanttPeriod),"◆",IF(AND($E201&gt;=CZ$5,$E201&lt;CZ$5+GanttPeriod),"◇","")),IF(AND(CZ$5&lt;=$F201,CZ$5+GanttPeriod-1&gt;=$E201),"━","")))</f>
        <v/>
      </c>
      <c r="DA201" s="69" t="str">
        <f aca="false">IF($E201="","",IF($M201,IF(AND($G201&gt;=DA$5,$G201&lt;DA$5+GanttPeriod),"◆",IF(AND($E201&gt;=DA$5,$E201&lt;DA$5+GanttPeriod),"◇","")),IF(AND(DA$5&lt;=$F201,DA$5+GanttPeriod-1&gt;=$E201),"━","")))</f>
        <v/>
      </c>
      <c r="DB201" s="69" t="str">
        <f aca="false">IF($E201="","",IF($M201,IF(AND($G201&gt;=DB$5,$G201&lt;DB$5+GanttPeriod),"◆",IF(AND($E201&gt;=DB$5,$E201&lt;DB$5+GanttPeriod),"◇","")),IF(AND(DB$5&lt;=$F201,DB$5+GanttPeriod-1&gt;=$E201),"━","")))</f>
        <v/>
      </c>
      <c r="DC201" s="69" t="str">
        <f aca="false">IF($E201="","",IF($M201,IF(AND($G201&gt;=DC$5,$G201&lt;DC$5+GanttPeriod),"◆",IF(AND($E201&gt;=DC$5,$E201&lt;DC$5+GanttPeriod),"◇","")),IF(AND(DC$5&lt;=$F201,DC$5+GanttPeriod-1&gt;=$E201),"━","")))</f>
        <v/>
      </c>
      <c r="DD201" s="69" t="str">
        <f aca="false">IF($E201="","",IF($M201,IF(AND($G201&gt;=DD$5,$G201&lt;DD$5+GanttPeriod),"◆",IF(AND($E201&gt;=DD$5,$E201&lt;DD$5+GanttPeriod),"◇","")),IF(AND(DD$5&lt;=$F201,DD$5+GanttPeriod-1&gt;=$E201),"━","")))</f>
        <v/>
      </c>
      <c r="DE201" s="69" t="str">
        <f aca="false">IF($E201="","",IF($M201,IF(AND($G201&gt;=DE$5,$G201&lt;DE$5+GanttPeriod),"◆",IF(AND($E201&gt;=DE$5,$E201&lt;DE$5+GanttPeriod),"◇","")),IF(AND(DE$5&lt;=$F201,DE$5+GanttPeriod-1&gt;=$E201),"━","")))</f>
        <v/>
      </c>
      <c r="DF201" s="69" t="str">
        <f aca="false">IF($E201="","",IF($M201,IF(AND($G201&gt;=DF$5,$G201&lt;DF$5+GanttPeriod),"◆",IF(AND($E201&gt;=DF$5,$E201&lt;DF$5+GanttPeriod),"◇","")),IF(AND(DF$5&lt;=$F201,DF$5+GanttPeriod-1&gt;=$E201),"━","")))</f>
        <v/>
      </c>
      <c r="DG201" s="69" t="str">
        <f aca="false">IF($E201="","",IF($M201,IF(AND($G201&gt;=DG$5,$G201&lt;DG$5+GanttPeriod),"◆",IF(AND($E201&gt;=DG$5,$E201&lt;DG$5+GanttPeriod),"◇","")),IF(AND(DG$5&lt;=$F201,DG$5+GanttPeriod-1&gt;=$E201),"━","")))</f>
        <v/>
      </c>
      <c r="DH201" s="69" t="str">
        <f aca="false">IF($E201="","",IF($M201,IF(AND($G201&gt;=DH$5,$G201&lt;DH$5+GanttPeriod),"◆",IF(AND($E201&gt;=DH$5,$E201&lt;DH$5+GanttPeriod),"◇","")),IF(AND(DH$5&lt;=$F201,DH$5+GanttPeriod-1&gt;=$E201),"━","")))</f>
        <v/>
      </c>
      <c r="DI201" s="69" t="str">
        <f aca="false">IF($E201="","",IF($M201,IF(AND($G201&gt;=DI$5,$G201&lt;DI$5+GanttPeriod),"◆",IF(AND($E201&gt;=DI$5,$E201&lt;DI$5+GanttPeriod),"◇","")),IF(AND(DI$5&lt;=$F201,DI$5+GanttPeriod-1&gt;=$E201),"━","")))</f>
        <v/>
      </c>
      <c r="DJ201" s="69" t="str">
        <f aca="false">IF($E201="","",IF($M201,IF(AND($G201&gt;=DJ$5,$G201&lt;DJ$5+GanttPeriod),"◆",IF(AND($E201&gt;=DJ$5,$E201&lt;DJ$5+GanttPeriod),"◇","")),IF(AND(DJ$5&lt;=$F201,DJ$5+GanttPeriod-1&gt;=$E201),"━","")))</f>
        <v/>
      </c>
      <c r="DK201" s="69" t="str">
        <f aca="false">IF($E201="","",IF($M201,IF(AND($G201&gt;=DK$5,$G201&lt;DK$5+GanttPeriod),"◆",IF(AND($E201&gt;=DK$5,$E201&lt;DK$5+GanttPeriod),"◇","")),IF(AND(DK$5&lt;=$F201,DK$5+GanttPeriod-1&gt;=$E201),"━","")))</f>
        <v/>
      </c>
      <c r="DL201" s="69" t="str">
        <f aca="false">IF($E201="","",IF($M201,IF(AND($G201&gt;=DL$5,$G201&lt;DL$5+GanttPeriod),"◆",IF(AND($E201&gt;=DL$5,$E201&lt;DL$5+GanttPeriod),"◇","")),IF(AND(DL$5&lt;=$F201,DL$5+GanttPeriod-1&gt;=$E201),"━","")))</f>
        <v/>
      </c>
      <c r="DM201" s="69" t="str">
        <f aca="false">IF($E201="","",IF($M201,IF(AND($G201&gt;=DM$5,$G201&lt;DM$5+GanttPeriod),"◆",IF(AND($E201&gt;=DM$5,$E201&lt;DM$5+GanttPeriod),"◇","")),IF(AND(DM$5&lt;=$F201,DM$5+GanttPeriod-1&gt;=$E201),"━","")))</f>
        <v/>
      </c>
      <c r="DN201" s="69" t="str">
        <f aca="false">IF($E201="","",IF($M201,IF(AND($G201&gt;=DN$5,$G201&lt;DN$5+GanttPeriod),"◆",IF(AND($E201&gt;=DN$5,$E201&lt;DN$5+GanttPeriod),"◇","")),IF(AND(DN$5&lt;=$F201,DN$5+GanttPeriod-1&gt;=$E201),"━","")))</f>
        <v/>
      </c>
      <c r="DO201" s="69" t="str">
        <f aca="false">IF($E201="","",IF($M201,IF(AND($G201&gt;=DO$5,$G201&lt;DO$5+GanttPeriod),"◆",IF(AND($E201&gt;=DO$5,$E201&lt;DO$5+GanttPeriod),"◇","")),IF(AND(DO$5&lt;=$F201,DO$5+GanttPeriod-1&gt;=$E201),"━","")))</f>
        <v/>
      </c>
      <c r="DP201" s="69" t="str">
        <f aca="false">IF($E201="","",IF($M201,IF(AND($G201&gt;=DP$5,$G201&lt;DP$5+GanttPeriod),"◆",IF(AND($E201&gt;=DP$5,$E201&lt;DP$5+GanttPeriod),"◇","")),IF(AND(DP$5&lt;=$F201,DP$5+GanttPeriod-1&gt;=$E201),"━","")))</f>
        <v/>
      </c>
      <c r="DQ201" s="69" t="str">
        <f aca="false">IF($E201="","",IF($M201,IF(AND($G201&gt;=DQ$5,$G201&lt;DQ$5+GanttPeriod),"◆",IF(AND($E201&gt;=DQ$5,$E201&lt;DQ$5+GanttPeriod),"◇","")),IF(AND(DQ$5&lt;=$F201,DQ$5+GanttPeriod-1&gt;=$E201),"━","")))</f>
        <v/>
      </c>
      <c r="DR201" s="69" t="str">
        <f aca="false">IF($E201="","",IF($M201,IF(AND($G201&gt;=DR$5,$G201&lt;DR$5+GanttPeriod),"◆",IF(AND($E201&gt;=DR$5,$E201&lt;DR$5+GanttPeriod),"◇","")),IF(AND(DR$5&lt;=$F201,DR$5+GanttPeriod-1&gt;=$E201),"━","")))</f>
        <v/>
      </c>
      <c r="DS201" s="69" t="str">
        <f aca="false">IF($E201="","",IF($M201,IF(AND($G201&gt;=DS$5,$G201&lt;DS$5+GanttPeriod),"◆",IF(AND($E201&gt;=DS$5,$E201&lt;DS$5+GanttPeriod),"◇","")),IF(AND(DS$5&lt;=$F201,DS$5+GanttPeriod-1&gt;=$E201),"━","")))</f>
        <v/>
      </c>
      <c r="DT201" s="69" t="str">
        <f aca="false">IF($E201="","",IF($M201,IF(AND($G201&gt;=DT$5,$G201&lt;DT$5+GanttPeriod),"◆",IF(AND($E201&gt;=DT$5,$E201&lt;DT$5+GanttPeriod),"◇","")),IF(AND(DT$5&lt;=$F201,DT$5+GanttPeriod-1&gt;=$E201),"━","")))</f>
        <v/>
      </c>
      <c r="DU201" s="69" t="str">
        <f aca="false">IF($E201="","",IF($M201,IF(AND($G201&gt;=DU$5,$G201&lt;DU$5+GanttPeriod),"◆",IF(AND($E201&gt;=DU$5,$E201&lt;DU$5+GanttPeriod),"◇","")),IF(AND(DU$5&lt;=$F201,DU$5+GanttPeriod-1&gt;=$E201),"━","")))</f>
        <v/>
      </c>
      <c r="DV201" s="69" t="str">
        <f aca="false">IF($E201="","",IF($M201,IF(AND($G201&gt;=DV$5,$G201&lt;DV$5+GanttPeriod),"◆",IF(AND($E201&gt;=DV$5,$E201&lt;DV$5+GanttPeriod),"◇","")),IF(AND(DV$5&lt;=$F201,DV$5+GanttPeriod-1&gt;=$E201),"━","")))</f>
        <v/>
      </c>
      <c r="DW201" s="69" t="str">
        <f aca="false">IF($E201="","",IF($M201,IF(AND($G201&gt;=DW$5,$G201&lt;DW$5+GanttPeriod),"◆",IF(AND($E201&gt;=DW$5,$E201&lt;DW$5+GanttPeriod),"◇","")),IF(AND(DW$5&lt;=$F201,DW$5+GanttPeriod-1&gt;=$E201),"━","")))</f>
        <v/>
      </c>
      <c r="DX201" s="69" t="str">
        <f aca="false">IF($E201="","",IF($M201,IF(AND($G201&gt;=DX$5,$G201&lt;DX$5+GanttPeriod),"◆",IF(AND($E201&gt;=DX$5,$E201&lt;DX$5+GanttPeriod),"◇","")),IF(AND(DX$5&lt;=$F201,DX$5+GanttPeriod-1&gt;=$E201),"━","")))</f>
        <v/>
      </c>
      <c r="DY201" s="69" t="str">
        <f aca="false">IF($E201="","",IF($M201,IF(AND($G201&gt;=DY$5,$G201&lt;DY$5+GanttPeriod),"◆",IF(AND($E201&gt;=DY$5,$E201&lt;DY$5+GanttPeriod),"◇","")),IF(AND(DY$5&lt;=$F201,DY$5+GanttPeriod-1&gt;=$E201),"━","")))</f>
        <v/>
      </c>
      <c r="DZ201" s="69" t="str">
        <f aca="false">IF($E201="","",IF($M201,IF(AND($G201&gt;=DZ$5,$G201&lt;DZ$5+GanttPeriod),"◆",IF(AND($E201&gt;=DZ$5,$E201&lt;DZ$5+GanttPeriod),"◇","")),IF(AND(DZ$5&lt;=$F201,DZ$5+GanttPeriod-1&gt;=$E201),"━","")))</f>
        <v/>
      </c>
      <c r="EA201" s="69" t="str">
        <f aca="false">IF($E201="","",IF($M201,IF(AND($G201&gt;=EA$5,$G201&lt;EA$5+GanttPeriod),"◆",IF(AND($E201&gt;=EA$5,$E201&lt;EA$5+GanttPeriod),"◇","")),IF(AND(EA$5&lt;=$F201,EA$5+GanttPeriod-1&gt;=$E201),"━","")))</f>
        <v/>
      </c>
      <c r="EB201" s="69" t="str">
        <f aca="false">IF($E201="","",IF($M201,IF(AND($G201&gt;=EB$5,$G201&lt;EB$5+GanttPeriod),"◆",IF(AND($E201&gt;=EB$5,$E201&lt;EB$5+GanttPeriod),"◇","")),IF(AND(EB$5&lt;=$F201,EB$5+GanttPeriod-1&gt;=$E201),"━","")))</f>
        <v/>
      </c>
      <c r="EC201" s="69" t="str">
        <f aca="false">IF($E201="","",IF($M201,IF(AND($G201&gt;=EC$5,$G201&lt;EC$5+GanttPeriod),"◆",IF(AND($E201&gt;=EC$5,$E201&lt;EC$5+GanttPeriod),"◇","")),IF(AND(EC$5&lt;=$F201,EC$5+GanttPeriod-1&gt;=$E201),"━","")))</f>
        <v/>
      </c>
      <c r="ED201" s="69" t="str">
        <f aca="false">IF($E201="","",IF($M201,IF(AND($G201&gt;=ED$5,$G201&lt;ED$5+GanttPeriod),"◆",IF(AND($E201&gt;=ED$5,$E201&lt;ED$5+GanttPeriod),"◇","")),IF(AND(ED$5&lt;=$F201,ED$5+GanttPeriod-1&gt;=$E201),"━","")))</f>
        <v/>
      </c>
      <c r="EE201" s="69" t="str">
        <f aca="false">IF($E201="","",IF($M201,IF(AND($G201&gt;=EE$5,$G201&lt;EE$5+GanttPeriod),"◆",IF(AND($E201&gt;=EE$5,$E201&lt;EE$5+GanttPeriod),"◇","")),IF(AND(EE$5&lt;=$F201,EE$5+GanttPeriod-1&gt;=$E201),"━","")))</f>
        <v/>
      </c>
      <c r="EF201" s="69" t="str">
        <f aca="false">IF($E201="","",IF($M201,IF(AND($G201&gt;=EF$5,$G201&lt;EF$5+GanttPeriod),"◆",IF(AND($E201&gt;=EF$5,$E201&lt;EF$5+GanttPeriod),"◇","")),IF(AND(EF$5&lt;=$F201,EF$5+GanttPeriod-1&gt;=$E201),"━","")))</f>
        <v/>
      </c>
      <c r="EG201" s="69" t="str">
        <f aca="false">IF($E201="","",IF($M201,IF(AND($G201&gt;=EG$5,$G201&lt;EG$5+GanttPeriod),"◆",IF(AND($E201&gt;=EG$5,$E201&lt;EG$5+GanttPeriod),"◇","")),IF(AND(EG$5&lt;=$F201,EG$5+GanttPeriod-1&gt;=$E201),"━","")))</f>
        <v/>
      </c>
      <c r="EH201" s="69" t="str">
        <f aca="false">IF($E201="","",IF($M201,IF(AND($G201&gt;=EH$5,$G201&lt;EH$5+GanttPeriod),"◆",IF(AND($E201&gt;=EH$5,$E201&lt;EH$5+GanttPeriod),"◇","")),IF(AND(EH$5&lt;=$F201,EH$5+GanttPeriod-1&gt;=$E201),"━","")))</f>
        <v/>
      </c>
      <c r="EI201" s="69" t="str">
        <f aca="false">IF($E201="","",IF($M201,IF(AND($G201&gt;=EI$5,$G201&lt;EI$5+GanttPeriod),"◆",IF(AND($E201&gt;=EI$5,$E201&lt;EI$5+GanttPeriod),"◇","")),IF(AND(EI$5&lt;=$F201,EI$5+GanttPeriod-1&gt;=$E201),"━","")))</f>
        <v/>
      </c>
      <c r="EJ201" s="69" t="str">
        <f aca="false">IF($E201="","",IF($M201,IF(AND($G201&gt;=EJ$5,$G201&lt;EJ$5+GanttPeriod),"◆",IF(AND($E201&gt;=EJ$5,$E201&lt;EJ$5+GanttPeriod),"◇","")),IF(AND(EJ$5&lt;=$F201,EJ$5+GanttPeriod-1&gt;=$E201),"━","")))</f>
        <v/>
      </c>
      <c r="EK201" s="69" t="str">
        <f aca="false">IF($E201="","",IF($M201,IF(AND($G201&gt;=EK$5,$G201&lt;EK$5+GanttPeriod),"◆",IF(AND($E201&gt;=EK$5,$E201&lt;EK$5+GanttPeriod),"◇","")),IF(AND(EK$5&lt;=$F201,EK$5+GanttPeriod-1&gt;=$E201),"━","")))</f>
        <v/>
      </c>
      <c r="EL201" s="69" t="str">
        <f aca="false">IF($E201="","",IF($M201,IF(AND($G201&gt;=EL$5,$G201&lt;EL$5+GanttPeriod),"◆",IF(AND($E201&gt;=EL$5,$E201&lt;EL$5+GanttPeriod),"◇","")),IF(AND(EL$5&lt;=$F201,EL$5+GanttPeriod-1&gt;=$E201),"━","")))</f>
        <v/>
      </c>
      <c r="EM201" s="69" t="str">
        <f aca="false">IF($E201="","",IF($M201,IF(AND($G201&gt;=EM$5,$G201&lt;EM$5+GanttPeriod),"◆",IF(AND($E201&gt;=EM$5,$E201&lt;EM$5+GanttPeriod),"◇","")),IF(AND(EM$5&lt;=$F201,EM$5+GanttPeriod-1&gt;=$E201),"━","")))</f>
        <v/>
      </c>
      <c r="EN201" s="69" t="str">
        <f aca="false">IF($E201="","",IF($M201,IF(AND($G201&gt;=EN$5,$G201&lt;EN$5+GanttPeriod),"◆",IF(AND($E201&gt;=EN$5,$E201&lt;EN$5+GanttPeriod),"◇","")),IF(AND(EN$5&lt;=$F201,EN$5+GanttPeriod-1&gt;=$E201),"━","")))</f>
        <v/>
      </c>
      <c r="EO201" s="69" t="str">
        <f aca="false">IF($E201="","",IF($M201,IF(AND($G201&gt;=EO$5,$G201&lt;EO$5+GanttPeriod),"◆",IF(AND($E201&gt;=EO$5,$E201&lt;EO$5+GanttPeriod),"◇","")),IF(AND(EO$5&lt;=$F201,EO$5+GanttPeriod-1&gt;=$E201),"━","")))</f>
        <v/>
      </c>
      <c r="EP201" s="69" t="str">
        <f aca="false">IF($E201="","",IF($M201,IF(AND($G201&gt;=EP$5,$G201&lt;EP$5+GanttPeriod),"◆",IF(AND($E201&gt;=EP$5,$E201&lt;EP$5+GanttPeriod),"◇","")),IF(AND(EP$5&lt;=$F201,EP$5+GanttPeriod-1&gt;=$E201),"━","")))</f>
        <v/>
      </c>
      <c r="EQ201" s="69" t="str">
        <f aca="false">IF($E201="","",IF($M201,IF(AND($G201&gt;=EQ$5,$G201&lt;EQ$5+GanttPeriod),"◆",IF(AND($E201&gt;=EQ$5,$E201&lt;EQ$5+GanttPeriod),"◇","")),IF(AND(EQ$5&lt;=$F201,EQ$5+GanttPeriod-1&gt;=$E201),"━","")))</f>
        <v/>
      </c>
      <c r="ER201" s="69" t="str">
        <f aca="false">IF($E201="","",IF($M201,IF(AND($G201&gt;=ER$5,$G201&lt;ER$5+GanttPeriod),"◆",IF(AND($E201&gt;=ER$5,$E201&lt;ER$5+GanttPeriod),"◇","")),IF(AND(ER$5&lt;=$F201,ER$5+GanttPeriod-1&gt;=$E201),"━","")))</f>
        <v/>
      </c>
      <c r="ES201" s="69" t="str">
        <f aca="false">IF($E201="","",IF($M201,IF(AND($G201&gt;=ES$5,$G201&lt;ES$5+GanttPeriod),"◆",IF(AND($E201&gt;=ES$5,$E201&lt;ES$5+GanttPeriod),"◇","")),IF(AND(ES$5&lt;=$F201,ES$5+GanttPeriod-1&gt;=$E201),"━","")))</f>
        <v/>
      </c>
      <c r="ET201" s="69" t="str">
        <f aca="false">IF($E201="","",IF($M201,IF(AND($G201&gt;=ET$5,$G201&lt;ET$5+GanttPeriod),"◆",IF(AND($E201&gt;=ET$5,$E201&lt;ET$5+GanttPeriod),"◇","")),IF(AND(ET$5&lt;=$F201,ET$5+GanttPeriod-1&gt;=$E201),"━","")))</f>
        <v/>
      </c>
      <c r="EU201" s="69" t="str">
        <f aca="false">IF($E201="","",IF($M201,IF(AND($G201&gt;=EU$5,$G201&lt;EU$5+GanttPeriod),"◆",IF(AND($E201&gt;=EU$5,$E201&lt;EU$5+GanttPeriod),"◇","")),IF(AND(EU$5&lt;=$F201,EU$5+GanttPeriod-1&gt;=$E201),"━","")))</f>
        <v/>
      </c>
      <c r="EV201" s="69" t="str">
        <f aca="false">IF($E201="","",IF($M201,IF(AND($G201&gt;=EV$5,$G201&lt;EV$5+GanttPeriod),"◆",IF(AND($E201&gt;=EV$5,$E201&lt;EV$5+GanttPeriod),"◇","")),IF(AND(EV$5&lt;=$F201,EV$5+GanttPeriod-1&gt;=$E201),"━","")))</f>
        <v/>
      </c>
      <c r="EW201" s="69" t="str">
        <f aca="false">IF($E201="","",IF($M201,IF(AND($G201&gt;=EW$5,$G201&lt;EW$5+GanttPeriod),"◆",IF(AND($E201&gt;=EW$5,$E201&lt;EW$5+GanttPeriod),"◇","")),IF(AND(EW$5&lt;=$F201,EW$5+GanttPeriod-1&gt;=$E201),"━","")))</f>
        <v/>
      </c>
      <c r="EX201" s="69" t="str">
        <f aca="false">IF($E201="","",IF($M201,IF(AND($G201&gt;=EX$5,$G201&lt;EX$5+GanttPeriod),"◆",IF(AND($E201&gt;=EX$5,$E201&lt;EX$5+GanttPeriod),"◇","")),IF(AND(EX$5&lt;=$F201,EX$5+GanttPeriod-1&gt;=$E201),"━","")))</f>
        <v/>
      </c>
      <c r="EY201" s="69" t="str">
        <f aca="false">IF($E201="","",IF($M201,IF(AND($G201&gt;=EY$5,$G201&lt;EY$5+GanttPeriod),"◆",IF(AND($E201&gt;=EY$5,$E201&lt;EY$5+GanttPeriod),"◇","")),IF(AND(EY$5&lt;=$F201,EY$5+GanttPeriod-1&gt;=$E201),"━","")))</f>
        <v/>
      </c>
      <c r="EZ201" s="69" t="str">
        <f aca="false">IF($E201="","",IF($M201,IF(AND($G201&gt;=EZ$5,$G201&lt;EZ$5+GanttPeriod),"◆",IF(AND($E201&gt;=EZ$5,$E201&lt;EZ$5+GanttPeriod),"◇","")),IF(AND(EZ$5&lt;=$F201,EZ$5+GanttPeriod-1&gt;=$E201),"━","")))</f>
        <v/>
      </c>
      <c r="FA201" s="69" t="str">
        <f aca="false">IF($E201="","",IF($M201,IF(AND($G201&gt;=FA$5,$G201&lt;FA$5+GanttPeriod),"◆",IF(AND($E201&gt;=FA$5,$E201&lt;FA$5+GanttPeriod),"◇","")),IF(AND(FA$5&lt;=$F201,FA$5+GanttPeriod-1&gt;=$E201),"━","")))</f>
        <v/>
      </c>
      <c r="FB201" s="69" t="str">
        <f aca="false">IF($E201="","",IF($M201,IF(AND($G201&gt;=FB$5,$G201&lt;FB$5+GanttPeriod),"◆",IF(AND($E201&gt;=FB$5,$E201&lt;FB$5+GanttPeriod),"◇","")),IF(AND(FB$5&lt;=$F201,FB$5+GanttPeriod-1&gt;=$E201),"━","")))</f>
        <v/>
      </c>
      <c r="FC201" s="69" t="str">
        <f aca="false">IF($E201="","",IF($M201,IF(AND($G201&gt;=FC$5,$G201&lt;FC$5+GanttPeriod),"◆",IF(AND($E201&gt;=FC$5,$E201&lt;FC$5+GanttPeriod),"◇","")),IF(AND(FC$5&lt;=$F201,FC$5+GanttPeriod-1&gt;=$E201),"━","")))</f>
        <v/>
      </c>
      <c r="FD201" s="69" t="str">
        <f aca="false">IF($E201="","",IF($M201,IF(AND($G201&gt;=FD$5,$G201&lt;FD$5+GanttPeriod),"◆",IF(AND($E201&gt;=FD$5,$E201&lt;FD$5+GanttPeriod),"◇","")),IF(AND(FD$5&lt;=$F201,FD$5+GanttPeriod-1&gt;=$E201),"━","")))</f>
        <v/>
      </c>
      <c r="FE201" s="69" t="str">
        <f aca="false">IF($E201="","",IF($M201,IF(AND($G201&gt;=FE$5,$G201&lt;FE$5+GanttPeriod),"◆",IF(AND($E201&gt;=FE$5,$E201&lt;FE$5+GanttPeriod),"◇","")),IF(AND(FE$5&lt;=$F201,FE$5+GanttPeriod-1&gt;=$E201),"━","")))</f>
        <v/>
      </c>
      <c r="FF201" s="69" t="str">
        <f aca="false">IF($E201="","",IF($M201,IF(AND($G201&gt;=FF$5,$G201&lt;FF$5+GanttPeriod),"◆",IF(AND($E201&gt;=FF$5,$E201&lt;FF$5+GanttPeriod),"◇","")),IF(AND(FF$5&lt;=$F201,FF$5+GanttPeriod-1&gt;=$E201),"━","")))</f>
        <v/>
      </c>
      <c r="FG201" s="69" t="str">
        <f aca="false">IF($E201="","",IF($M201,IF(AND($G201&gt;=FG$5,$G201&lt;FG$5+GanttPeriod),"◆",IF(AND($E201&gt;=FG$5,$E201&lt;FG$5+GanttPeriod),"◇","")),IF(AND(FG$5&lt;=$F201,FG$5+GanttPeriod-1&gt;=$E201),"━","")))</f>
        <v/>
      </c>
      <c r="FH201" s="69" t="str">
        <f aca="false">IF($E201="","",IF($M201,IF(AND($G201&gt;=FH$5,$G201&lt;FH$5+GanttPeriod),"◆",IF(AND($E201&gt;=FH$5,$E201&lt;FH$5+GanttPeriod),"◇","")),IF(AND(FH$5&lt;=$F201,FH$5+GanttPeriod-1&gt;=$E201),"━","")))</f>
        <v/>
      </c>
      <c r="FI201" s="69" t="str">
        <f aca="false">IF($E201="","",IF($M201,IF(AND($G201&gt;=FI$5,$G201&lt;FI$5+GanttPeriod),"◆",IF(AND($E201&gt;=FI$5,$E201&lt;FI$5+GanttPeriod),"◇","")),IF(AND(FI$5&lt;=$F201,FI$5+GanttPeriod-1&gt;=$E201),"━","")))</f>
        <v/>
      </c>
      <c r="FJ201" s="69" t="str">
        <f aca="false">IF($E201="","",IF($M201,IF(AND($G201&gt;=FJ$5,$G201&lt;FJ$5+GanttPeriod),"◆",IF(AND($E201&gt;=FJ$5,$E201&lt;FJ$5+GanttPeriod),"◇","")),IF(AND(FJ$5&lt;=$F201,FJ$5+GanttPeriod-1&gt;=$E201),"━","")))</f>
        <v/>
      </c>
      <c r="FK201" s="69" t="str">
        <f aca="false">IF($E201="","",IF($M201,IF(AND($G201&gt;=FK$5,$G201&lt;FK$5+GanttPeriod),"◆",IF(AND($E201&gt;=FK$5,$E201&lt;FK$5+GanttPeriod),"◇","")),IF(AND(FK$5&lt;=$F201,FK$5+GanttPeriod-1&gt;=$E201),"━","")))</f>
        <v/>
      </c>
      <c r="FL201" s="69" t="str">
        <f aca="false">IF($E201="","",IF($M201,IF(AND($G201&gt;=FL$5,$G201&lt;FL$5+GanttPeriod),"◆",IF(AND($E201&gt;=FL$5,$E201&lt;FL$5+GanttPeriod),"◇","")),IF(AND(FL$5&lt;=$F201,FL$5+GanttPeriod-1&gt;=$E201),"━","")))</f>
        <v/>
      </c>
      <c r="FM201" s="69" t="str">
        <f aca="false">IF($E201="","",IF($M201,IF(AND($G201&gt;=FM$5,$G201&lt;FM$5+GanttPeriod),"◆",IF(AND($E201&gt;=FM$5,$E201&lt;FM$5+GanttPeriod),"◇","")),IF(AND(FM$5&lt;=$F201,FM$5+GanttPeriod-1&gt;=$E201),"━","")))</f>
        <v/>
      </c>
    </row>
    <row r="202" customFormat="false" ht="15" hidden="false" customHeight="false" outlineLevel="0" collapsed="false">
      <c r="A202" s="62" t="str">
        <f aca="false">IF(Tasks!$D202="","",Tasks!$A202)</f>
        <v/>
      </c>
      <c r="B202" s="62" t="str">
        <f aca="false">IF(Tasks!$D202="","",Tasks!$B202)</f>
        <v/>
      </c>
      <c r="C202" s="63" t="str">
        <f aca="false">IF(Tasks!$D202="","",REPT("    ",Tasks!$AE202-1)&amp;Tasks!$D202)</f>
        <v/>
      </c>
      <c r="D202" s="62" t="str">
        <f aca="false">IF(Tasks!$D202="","",IF(Tasks!$AI202,NETWORKDAYS.INTL(Tasks!$R202,Tasks!$S202,WorkWeek,Holidays),N(Tasks!$F202)))</f>
        <v/>
      </c>
      <c r="E202" s="64" t="str">
        <f aca="false">IF(Tasks!$D202="","",Tasks!$N202)</f>
        <v/>
      </c>
      <c r="F202" s="64" t="str">
        <f aca="false">IF(Tasks!$D202="","",Tasks!$O202)</f>
        <v/>
      </c>
      <c r="G202" s="64" t="str">
        <f aca="false">IF(Tasks!$D202="","",Tasks!$R202)</f>
        <v/>
      </c>
      <c r="H202" s="64" t="str">
        <f aca="false">IF(Tasks!$D202="","",Tasks!$S202)</f>
        <v/>
      </c>
      <c r="I202" s="65" t="str">
        <f aca="false">IF(Tasks!$D202="","",Tasks!$V202)</f>
        <v/>
      </c>
      <c r="J202" s="63" t="str">
        <f aca="false">IF(Tasks!$D202="","",Tasks!$X202&amp;"")</f>
        <v/>
      </c>
      <c r="K202" s="66" t="str">
        <f aca="false">IF(Tasks!$D202="","",Tasks!$W202)</f>
        <v/>
      </c>
      <c r="L202" s="67" t="b">
        <f aca="false">IF(Tasks!$D202="",FALSE(),Tasks!$AI202)</f>
        <v>0</v>
      </c>
      <c r="M202" s="67" t="b">
        <f aca="false">AND(Tasks!$AJ202=1,N(Tasks!$F202)=0)</f>
        <v>0</v>
      </c>
      <c r="N202" s="68" t="n">
        <f aca="false">IF(AND(Tasks!$AJ202=1,NOT($M202),N($I202)&gt;0),$G202,0)</f>
        <v>0</v>
      </c>
      <c r="O202" s="68" t="n">
        <f aca="false">IF($N202=0,0,IF($I202&gt;=1,$H202,MAX($N202,$G202+ROUND(($H202-$G202+1)*$I202,0)-1)))</f>
        <v>0</v>
      </c>
      <c r="P202" s="68" t="n">
        <f aca="false">IF(OR(Tasks!$AJ202&lt;&gt;1,$M202,N($I202)&gt;=1),0,IF($O202&gt;0,$O202+1,$G202))</f>
        <v>0</v>
      </c>
      <c r="Q202" s="68" t="n">
        <f aca="false">IF($P202=0,0,$H202)</f>
        <v>0</v>
      </c>
      <c r="R202" s="67" t="b">
        <f aca="false">AND(Tasks!$D202&lt;&gt;"",N(Tasks!$T202)&gt;0)</f>
        <v>0</v>
      </c>
      <c r="T202" s="69" t="str">
        <f aca="false">IF($E202="","",IF($M202,IF(AND($G202&gt;=T$5,$G202&lt;T$5+GanttPeriod),"◆",IF(AND($E202&gt;=T$5,$E202&lt;T$5+GanttPeriod),"◇","")),IF(AND(T$5&lt;=$F202,T$5+GanttPeriod-1&gt;=$E202),"━","")))</f>
        <v/>
      </c>
      <c r="U202" s="69" t="str">
        <f aca="false">IF($E202="","",IF($M202,IF(AND($G202&gt;=U$5,$G202&lt;U$5+GanttPeriod),"◆",IF(AND($E202&gt;=U$5,$E202&lt;U$5+GanttPeriod),"◇","")),IF(AND(U$5&lt;=$F202,U$5+GanttPeriod-1&gt;=$E202),"━","")))</f>
        <v/>
      </c>
      <c r="V202" s="69" t="str">
        <f aca="false">IF($E202="","",IF($M202,IF(AND($G202&gt;=V$5,$G202&lt;V$5+GanttPeriod),"◆",IF(AND($E202&gt;=V$5,$E202&lt;V$5+GanttPeriod),"◇","")),IF(AND(V$5&lt;=$F202,V$5+GanttPeriod-1&gt;=$E202),"━","")))</f>
        <v/>
      </c>
      <c r="W202" s="69" t="str">
        <f aca="false">IF($E202="","",IF($M202,IF(AND($G202&gt;=W$5,$G202&lt;W$5+GanttPeriod),"◆",IF(AND($E202&gt;=W$5,$E202&lt;W$5+GanttPeriod),"◇","")),IF(AND(W$5&lt;=$F202,W$5+GanttPeriod-1&gt;=$E202),"━","")))</f>
        <v/>
      </c>
      <c r="X202" s="69" t="str">
        <f aca="false">IF($E202="","",IF($M202,IF(AND($G202&gt;=X$5,$G202&lt;X$5+GanttPeriod),"◆",IF(AND($E202&gt;=X$5,$E202&lt;X$5+GanttPeriod),"◇","")),IF(AND(X$5&lt;=$F202,X$5+GanttPeriod-1&gt;=$E202),"━","")))</f>
        <v/>
      </c>
      <c r="Y202" s="69" t="str">
        <f aca="false">IF($E202="","",IF($M202,IF(AND($G202&gt;=Y$5,$G202&lt;Y$5+GanttPeriod),"◆",IF(AND($E202&gt;=Y$5,$E202&lt;Y$5+GanttPeriod),"◇","")),IF(AND(Y$5&lt;=$F202,Y$5+GanttPeriod-1&gt;=$E202),"━","")))</f>
        <v/>
      </c>
      <c r="Z202" s="69" t="str">
        <f aca="false">IF($E202="","",IF($M202,IF(AND($G202&gt;=Z$5,$G202&lt;Z$5+GanttPeriod),"◆",IF(AND($E202&gt;=Z$5,$E202&lt;Z$5+GanttPeriod),"◇","")),IF(AND(Z$5&lt;=$F202,Z$5+GanttPeriod-1&gt;=$E202),"━","")))</f>
        <v/>
      </c>
      <c r="AA202" s="69" t="str">
        <f aca="false">IF($E202="","",IF($M202,IF(AND($G202&gt;=AA$5,$G202&lt;AA$5+GanttPeriod),"◆",IF(AND($E202&gt;=AA$5,$E202&lt;AA$5+GanttPeriod),"◇","")),IF(AND(AA$5&lt;=$F202,AA$5+GanttPeriod-1&gt;=$E202),"━","")))</f>
        <v/>
      </c>
      <c r="AB202" s="69" t="str">
        <f aca="false">IF($E202="","",IF($M202,IF(AND($G202&gt;=AB$5,$G202&lt;AB$5+GanttPeriod),"◆",IF(AND($E202&gt;=AB$5,$E202&lt;AB$5+GanttPeriod),"◇","")),IF(AND(AB$5&lt;=$F202,AB$5+GanttPeriod-1&gt;=$E202),"━","")))</f>
        <v/>
      </c>
      <c r="AC202" s="69" t="str">
        <f aca="false">IF($E202="","",IF($M202,IF(AND($G202&gt;=AC$5,$G202&lt;AC$5+GanttPeriod),"◆",IF(AND($E202&gt;=AC$5,$E202&lt;AC$5+GanttPeriod),"◇","")),IF(AND(AC$5&lt;=$F202,AC$5+GanttPeriod-1&gt;=$E202),"━","")))</f>
        <v/>
      </c>
      <c r="AD202" s="69" t="str">
        <f aca="false">IF($E202="","",IF($M202,IF(AND($G202&gt;=AD$5,$G202&lt;AD$5+GanttPeriod),"◆",IF(AND($E202&gt;=AD$5,$E202&lt;AD$5+GanttPeriod),"◇","")),IF(AND(AD$5&lt;=$F202,AD$5+GanttPeriod-1&gt;=$E202),"━","")))</f>
        <v/>
      </c>
      <c r="AE202" s="69" t="str">
        <f aca="false">IF($E202="","",IF($M202,IF(AND($G202&gt;=AE$5,$G202&lt;AE$5+GanttPeriod),"◆",IF(AND($E202&gt;=AE$5,$E202&lt;AE$5+GanttPeriod),"◇","")),IF(AND(AE$5&lt;=$F202,AE$5+GanttPeriod-1&gt;=$E202),"━","")))</f>
        <v/>
      </c>
      <c r="AF202" s="69" t="str">
        <f aca="false">IF($E202="","",IF($M202,IF(AND($G202&gt;=AF$5,$G202&lt;AF$5+GanttPeriod),"◆",IF(AND($E202&gt;=AF$5,$E202&lt;AF$5+GanttPeriod),"◇","")),IF(AND(AF$5&lt;=$F202,AF$5+GanttPeriod-1&gt;=$E202),"━","")))</f>
        <v/>
      </c>
      <c r="AG202" s="69" t="str">
        <f aca="false">IF($E202="","",IF($M202,IF(AND($G202&gt;=AG$5,$G202&lt;AG$5+GanttPeriod),"◆",IF(AND($E202&gt;=AG$5,$E202&lt;AG$5+GanttPeriod),"◇","")),IF(AND(AG$5&lt;=$F202,AG$5+GanttPeriod-1&gt;=$E202),"━","")))</f>
        <v/>
      </c>
      <c r="AH202" s="69" t="str">
        <f aca="false">IF($E202="","",IF($M202,IF(AND($G202&gt;=AH$5,$G202&lt;AH$5+GanttPeriod),"◆",IF(AND($E202&gt;=AH$5,$E202&lt;AH$5+GanttPeriod),"◇","")),IF(AND(AH$5&lt;=$F202,AH$5+GanttPeriod-1&gt;=$E202),"━","")))</f>
        <v/>
      </c>
      <c r="AI202" s="69" t="str">
        <f aca="false">IF($E202="","",IF($M202,IF(AND($G202&gt;=AI$5,$G202&lt;AI$5+GanttPeriod),"◆",IF(AND($E202&gt;=AI$5,$E202&lt;AI$5+GanttPeriod),"◇","")),IF(AND(AI$5&lt;=$F202,AI$5+GanttPeriod-1&gt;=$E202),"━","")))</f>
        <v/>
      </c>
      <c r="AJ202" s="69" t="str">
        <f aca="false">IF($E202="","",IF($M202,IF(AND($G202&gt;=AJ$5,$G202&lt;AJ$5+GanttPeriod),"◆",IF(AND($E202&gt;=AJ$5,$E202&lt;AJ$5+GanttPeriod),"◇","")),IF(AND(AJ$5&lt;=$F202,AJ$5+GanttPeriod-1&gt;=$E202),"━","")))</f>
        <v/>
      </c>
      <c r="AK202" s="69" t="str">
        <f aca="false">IF($E202="","",IF($M202,IF(AND($G202&gt;=AK$5,$G202&lt;AK$5+GanttPeriod),"◆",IF(AND($E202&gt;=AK$5,$E202&lt;AK$5+GanttPeriod),"◇","")),IF(AND(AK$5&lt;=$F202,AK$5+GanttPeriod-1&gt;=$E202),"━","")))</f>
        <v/>
      </c>
      <c r="AL202" s="69" t="str">
        <f aca="false">IF($E202="","",IF($M202,IF(AND($G202&gt;=AL$5,$G202&lt;AL$5+GanttPeriod),"◆",IF(AND($E202&gt;=AL$5,$E202&lt;AL$5+GanttPeriod),"◇","")),IF(AND(AL$5&lt;=$F202,AL$5+GanttPeriod-1&gt;=$E202),"━","")))</f>
        <v/>
      </c>
      <c r="AM202" s="69" t="str">
        <f aca="false">IF($E202="","",IF($M202,IF(AND($G202&gt;=AM$5,$G202&lt;AM$5+GanttPeriod),"◆",IF(AND($E202&gt;=AM$5,$E202&lt;AM$5+GanttPeriod),"◇","")),IF(AND(AM$5&lt;=$F202,AM$5+GanttPeriod-1&gt;=$E202),"━","")))</f>
        <v/>
      </c>
      <c r="AN202" s="69" t="str">
        <f aca="false">IF($E202="","",IF($M202,IF(AND($G202&gt;=AN$5,$G202&lt;AN$5+GanttPeriod),"◆",IF(AND($E202&gt;=AN$5,$E202&lt;AN$5+GanttPeriod),"◇","")),IF(AND(AN$5&lt;=$F202,AN$5+GanttPeriod-1&gt;=$E202),"━","")))</f>
        <v/>
      </c>
      <c r="AO202" s="69" t="str">
        <f aca="false">IF($E202="","",IF($M202,IF(AND($G202&gt;=AO$5,$G202&lt;AO$5+GanttPeriod),"◆",IF(AND($E202&gt;=AO$5,$E202&lt;AO$5+GanttPeriod),"◇","")),IF(AND(AO$5&lt;=$F202,AO$5+GanttPeriod-1&gt;=$E202),"━","")))</f>
        <v/>
      </c>
      <c r="AP202" s="69" t="str">
        <f aca="false">IF($E202="","",IF($M202,IF(AND($G202&gt;=AP$5,$G202&lt;AP$5+GanttPeriod),"◆",IF(AND($E202&gt;=AP$5,$E202&lt;AP$5+GanttPeriod),"◇","")),IF(AND(AP$5&lt;=$F202,AP$5+GanttPeriod-1&gt;=$E202),"━","")))</f>
        <v/>
      </c>
      <c r="AQ202" s="69" t="str">
        <f aca="false">IF($E202="","",IF($M202,IF(AND($G202&gt;=AQ$5,$G202&lt;AQ$5+GanttPeriod),"◆",IF(AND($E202&gt;=AQ$5,$E202&lt;AQ$5+GanttPeriod),"◇","")),IF(AND(AQ$5&lt;=$F202,AQ$5+GanttPeriod-1&gt;=$E202),"━","")))</f>
        <v/>
      </c>
      <c r="AR202" s="69" t="str">
        <f aca="false">IF($E202="","",IF($M202,IF(AND($G202&gt;=AR$5,$G202&lt;AR$5+GanttPeriod),"◆",IF(AND($E202&gt;=AR$5,$E202&lt;AR$5+GanttPeriod),"◇","")),IF(AND(AR$5&lt;=$F202,AR$5+GanttPeriod-1&gt;=$E202),"━","")))</f>
        <v/>
      </c>
      <c r="AS202" s="69" t="str">
        <f aca="false">IF($E202="","",IF($M202,IF(AND($G202&gt;=AS$5,$G202&lt;AS$5+GanttPeriod),"◆",IF(AND($E202&gt;=AS$5,$E202&lt;AS$5+GanttPeriod),"◇","")),IF(AND(AS$5&lt;=$F202,AS$5+GanttPeriod-1&gt;=$E202),"━","")))</f>
        <v/>
      </c>
      <c r="AT202" s="69" t="str">
        <f aca="false">IF($E202="","",IF($M202,IF(AND($G202&gt;=AT$5,$G202&lt;AT$5+GanttPeriod),"◆",IF(AND($E202&gt;=AT$5,$E202&lt;AT$5+GanttPeriod),"◇","")),IF(AND(AT$5&lt;=$F202,AT$5+GanttPeriod-1&gt;=$E202),"━","")))</f>
        <v/>
      </c>
      <c r="AU202" s="69" t="str">
        <f aca="false">IF($E202="","",IF($M202,IF(AND($G202&gt;=AU$5,$G202&lt;AU$5+GanttPeriod),"◆",IF(AND($E202&gt;=AU$5,$E202&lt;AU$5+GanttPeriod),"◇","")),IF(AND(AU$5&lt;=$F202,AU$5+GanttPeriod-1&gt;=$E202),"━","")))</f>
        <v/>
      </c>
      <c r="AV202" s="69" t="str">
        <f aca="false">IF($E202="","",IF($M202,IF(AND($G202&gt;=AV$5,$G202&lt;AV$5+GanttPeriod),"◆",IF(AND($E202&gt;=AV$5,$E202&lt;AV$5+GanttPeriod),"◇","")),IF(AND(AV$5&lt;=$F202,AV$5+GanttPeriod-1&gt;=$E202),"━","")))</f>
        <v/>
      </c>
      <c r="AW202" s="69" t="str">
        <f aca="false">IF($E202="","",IF($M202,IF(AND($G202&gt;=AW$5,$G202&lt;AW$5+GanttPeriod),"◆",IF(AND($E202&gt;=AW$5,$E202&lt;AW$5+GanttPeriod),"◇","")),IF(AND(AW$5&lt;=$F202,AW$5+GanttPeriod-1&gt;=$E202),"━","")))</f>
        <v/>
      </c>
      <c r="AX202" s="69" t="str">
        <f aca="false">IF($E202="","",IF($M202,IF(AND($G202&gt;=AX$5,$G202&lt;AX$5+GanttPeriod),"◆",IF(AND($E202&gt;=AX$5,$E202&lt;AX$5+GanttPeriod),"◇","")),IF(AND(AX$5&lt;=$F202,AX$5+GanttPeriod-1&gt;=$E202),"━","")))</f>
        <v/>
      </c>
      <c r="AY202" s="69" t="str">
        <f aca="false">IF($E202="","",IF($M202,IF(AND($G202&gt;=AY$5,$G202&lt;AY$5+GanttPeriod),"◆",IF(AND($E202&gt;=AY$5,$E202&lt;AY$5+GanttPeriod),"◇","")),IF(AND(AY$5&lt;=$F202,AY$5+GanttPeriod-1&gt;=$E202),"━","")))</f>
        <v/>
      </c>
      <c r="AZ202" s="69" t="str">
        <f aca="false">IF($E202="","",IF($M202,IF(AND($G202&gt;=AZ$5,$G202&lt;AZ$5+GanttPeriod),"◆",IF(AND($E202&gt;=AZ$5,$E202&lt;AZ$5+GanttPeriod),"◇","")),IF(AND(AZ$5&lt;=$F202,AZ$5+GanttPeriod-1&gt;=$E202),"━","")))</f>
        <v/>
      </c>
      <c r="BA202" s="69" t="str">
        <f aca="false">IF($E202="","",IF($M202,IF(AND($G202&gt;=BA$5,$G202&lt;BA$5+GanttPeriod),"◆",IF(AND($E202&gt;=BA$5,$E202&lt;BA$5+GanttPeriod),"◇","")),IF(AND(BA$5&lt;=$F202,BA$5+GanttPeriod-1&gt;=$E202),"━","")))</f>
        <v/>
      </c>
      <c r="BB202" s="69" t="str">
        <f aca="false">IF($E202="","",IF($M202,IF(AND($G202&gt;=BB$5,$G202&lt;BB$5+GanttPeriod),"◆",IF(AND($E202&gt;=BB$5,$E202&lt;BB$5+GanttPeriod),"◇","")),IF(AND(BB$5&lt;=$F202,BB$5+GanttPeriod-1&gt;=$E202),"━","")))</f>
        <v/>
      </c>
      <c r="BC202" s="69" t="str">
        <f aca="false">IF($E202="","",IF($M202,IF(AND($G202&gt;=BC$5,$G202&lt;BC$5+GanttPeriod),"◆",IF(AND($E202&gt;=BC$5,$E202&lt;BC$5+GanttPeriod),"◇","")),IF(AND(BC$5&lt;=$F202,BC$5+GanttPeriod-1&gt;=$E202),"━","")))</f>
        <v/>
      </c>
      <c r="BD202" s="69" t="str">
        <f aca="false">IF($E202="","",IF($M202,IF(AND($G202&gt;=BD$5,$G202&lt;BD$5+GanttPeriod),"◆",IF(AND($E202&gt;=BD$5,$E202&lt;BD$5+GanttPeriod),"◇","")),IF(AND(BD$5&lt;=$F202,BD$5+GanttPeriod-1&gt;=$E202),"━","")))</f>
        <v/>
      </c>
      <c r="BE202" s="69" t="str">
        <f aca="false">IF($E202="","",IF($M202,IF(AND($G202&gt;=BE$5,$G202&lt;BE$5+GanttPeriod),"◆",IF(AND($E202&gt;=BE$5,$E202&lt;BE$5+GanttPeriod),"◇","")),IF(AND(BE$5&lt;=$F202,BE$5+GanttPeriod-1&gt;=$E202),"━","")))</f>
        <v/>
      </c>
      <c r="BF202" s="69" t="str">
        <f aca="false">IF($E202="","",IF($M202,IF(AND($G202&gt;=BF$5,$G202&lt;BF$5+GanttPeriod),"◆",IF(AND($E202&gt;=BF$5,$E202&lt;BF$5+GanttPeriod),"◇","")),IF(AND(BF$5&lt;=$F202,BF$5+GanttPeriod-1&gt;=$E202),"━","")))</f>
        <v/>
      </c>
      <c r="BG202" s="69" t="str">
        <f aca="false">IF($E202="","",IF($M202,IF(AND($G202&gt;=BG$5,$G202&lt;BG$5+GanttPeriod),"◆",IF(AND($E202&gt;=BG$5,$E202&lt;BG$5+GanttPeriod),"◇","")),IF(AND(BG$5&lt;=$F202,BG$5+GanttPeriod-1&gt;=$E202),"━","")))</f>
        <v/>
      </c>
      <c r="BH202" s="69" t="str">
        <f aca="false">IF($E202="","",IF($M202,IF(AND($G202&gt;=BH$5,$G202&lt;BH$5+GanttPeriod),"◆",IF(AND($E202&gt;=BH$5,$E202&lt;BH$5+GanttPeriod),"◇","")),IF(AND(BH$5&lt;=$F202,BH$5+GanttPeriod-1&gt;=$E202),"━","")))</f>
        <v/>
      </c>
      <c r="BI202" s="69" t="str">
        <f aca="false">IF($E202="","",IF($M202,IF(AND($G202&gt;=BI$5,$G202&lt;BI$5+GanttPeriod),"◆",IF(AND($E202&gt;=BI$5,$E202&lt;BI$5+GanttPeriod),"◇","")),IF(AND(BI$5&lt;=$F202,BI$5+GanttPeriod-1&gt;=$E202),"━","")))</f>
        <v/>
      </c>
      <c r="BJ202" s="69" t="str">
        <f aca="false">IF($E202="","",IF($M202,IF(AND($G202&gt;=BJ$5,$G202&lt;BJ$5+GanttPeriod),"◆",IF(AND($E202&gt;=BJ$5,$E202&lt;BJ$5+GanttPeriod),"◇","")),IF(AND(BJ$5&lt;=$F202,BJ$5+GanttPeriod-1&gt;=$E202),"━","")))</f>
        <v/>
      </c>
      <c r="BK202" s="69" t="str">
        <f aca="false">IF($E202="","",IF($M202,IF(AND($G202&gt;=BK$5,$G202&lt;BK$5+GanttPeriod),"◆",IF(AND($E202&gt;=BK$5,$E202&lt;BK$5+GanttPeriod),"◇","")),IF(AND(BK$5&lt;=$F202,BK$5+GanttPeriod-1&gt;=$E202),"━","")))</f>
        <v/>
      </c>
      <c r="BL202" s="69" t="str">
        <f aca="false">IF($E202="","",IF($M202,IF(AND($G202&gt;=BL$5,$G202&lt;BL$5+GanttPeriod),"◆",IF(AND($E202&gt;=BL$5,$E202&lt;BL$5+GanttPeriod),"◇","")),IF(AND(BL$5&lt;=$F202,BL$5+GanttPeriod-1&gt;=$E202),"━","")))</f>
        <v/>
      </c>
      <c r="BM202" s="69" t="str">
        <f aca="false">IF($E202="","",IF($M202,IF(AND($G202&gt;=BM$5,$G202&lt;BM$5+GanttPeriod),"◆",IF(AND($E202&gt;=BM$5,$E202&lt;BM$5+GanttPeriod),"◇","")),IF(AND(BM$5&lt;=$F202,BM$5+GanttPeriod-1&gt;=$E202),"━","")))</f>
        <v/>
      </c>
      <c r="BN202" s="69" t="str">
        <f aca="false">IF($E202="","",IF($M202,IF(AND($G202&gt;=BN$5,$G202&lt;BN$5+GanttPeriod),"◆",IF(AND($E202&gt;=BN$5,$E202&lt;BN$5+GanttPeriod),"◇","")),IF(AND(BN$5&lt;=$F202,BN$5+GanttPeriod-1&gt;=$E202),"━","")))</f>
        <v/>
      </c>
      <c r="BO202" s="69" t="str">
        <f aca="false">IF($E202="","",IF($M202,IF(AND($G202&gt;=BO$5,$G202&lt;BO$5+GanttPeriod),"◆",IF(AND($E202&gt;=BO$5,$E202&lt;BO$5+GanttPeriod),"◇","")),IF(AND(BO$5&lt;=$F202,BO$5+GanttPeriod-1&gt;=$E202),"━","")))</f>
        <v/>
      </c>
      <c r="BP202" s="69" t="str">
        <f aca="false">IF($E202="","",IF($M202,IF(AND($G202&gt;=BP$5,$G202&lt;BP$5+GanttPeriod),"◆",IF(AND($E202&gt;=BP$5,$E202&lt;BP$5+GanttPeriod),"◇","")),IF(AND(BP$5&lt;=$F202,BP$5+GanttPeriod-1&gt;=$E202),"━","")))</f>
        <v/>
      </c>
      <c r="BQ202" s="69" t="str">
        <f aca="false">IF($E202="","",IF($M202,IF(AND($G202&gt;=BQ$5,$G202&lt;BQ$5+GanttPeriod),"◆",IF(AND($E202&gt;=BQ$5,$E202&lt;BQ$5+GanttPeriod),"◇","")),IF(AND(BQ$5&lt;=$F202,BQ$5+GanttPeriod-1&gt;=$E202),"━","")))</f>
        <v/>
      </c>
      <c r="BR202" s="69" t="str">
        <f aca="false">IF($E202="","",IF($M202,IF(AND($G202&gt;=BR$5,$G202&lt;BR$5+GanttPeriod),"◆",IF(AND($E202&gt;=BR$5,$E202&lt;BR$5+GanttPeriod),"◇","")),IF(AND(BR$5&lt;=$F202,BR$5+GanttPeriod-1&gt;=$E202),"━","")))</f>
        <v/>
      </c>
      <c r="BS202" s="69" t="str">
        <f aca="false">IF($E202="","",IF($M202,IF(AND($G202&gt;=BS$5,$G202&lt;BS$5+GanttPeriod),"◆",IF(AND($E202&gt;=BS$5,$E202&lt;BS$5+GanttPeriod),"◇","")),IF(AND(BS$5&lt;=$F202,BS$5+GanttPeriod-1&gt;=$E202),"━","")))</f>
        <v/>
      </c>
      <c r="BT202" s="69" t="str">
        <f aca="false">IF($E202="","",IF($M202,IF(AND($G202&gt;=BT$5,$G202&lt;BT$5+GanttPeriod),"◆",IF(AND($E202&gt;=BT$5,$E202&lt;BT$5+GanttPeriod),"◇","")),IF(AND(BT$5&lt;=$F202,BT$5+GanttPeriod-1&gt;=$E202),"━","")))</f>
        <v/>
      </c>
      <c r="BU202" s="69" t="str">
        <f aca="false">IF($E202="","",IF($M202,IF(AND($G202&gt;=BU$5,$G202&lt;BU$5+GanttPeriod),"◆",IF(AND($E202&gt;=BU$5,$E202&lt;BU$5+GanttPeriod),"◇","")),IF(AND(BU$5&lt;=$F202,BU$5+GanttPeriod-1&gt;=$E202),"━","")))</f>
        <v/>
      </c>
      <c r="BV202" s="69" t="str">
        <f aca="false">IF($E202="","",IF($M202,IF(AND($G202&gt;=BV$5,$G202&lt;BV$5+GanttPeriod),"◆",IF(AND($E202&gt;=BV$5,$E202&lt;BV$5+GanttPeriod),"◇","")),IF(AND(BV$5&lt;=$F202,BV$5+GanttPeriod-1&gt;=$E202),"━","")))</f>
        <v/>
      </c>
      <c r="BW202" s="69" t="str">
        <f aca="false">IF($E202="","",IF($M202,IF(AND($G202&gt;=BW$5,$G202&lt;BW$5+GanttPeriod),"◆",IF(AND($E202&gt;=BW$5,$E202&lt;BW$5+GanttPeriod),"◇","")),IF(AND(BW$5&lt;=$F202,BW$5+GanttPeriod-1&gt;=$E202),"━","")))</f>
        <v/>
      </c>
      <c r="BX202" s="69" t="str">
        <f aca="false">IF($E202="","",IF($M202,IF(AND($G202&gt;=BX$5,$G202&lt;BX$5+GanttPeriod),"◆",IF(AND($E202&gt;=BX$5,$E202&lt;BX$5+GanttPeriod),"◇","")),IF(AND(BX$5&lt;=$F202,BX$5+GanttPeriod-1&gt;=$E202),"━","")))</f>
        <v/>
      </c>
      <c r="BY202" s="69" t="str">
        <f aca="false">IF($E202="","",IF($M202,IF(AND($G202&gt;=BY$5,$G202&lt;BY$5+GanttPeriod),"◆",IF(AND($E202&gt;=BY$5,$E202&lt;BY$5+GanttPeriod),"◇","")),IF(AND(BY$5&lt;=$F202,BY$5+GanttPeriod-1&gt;=$E202),"━","")))</f>
        <v/>
      </c>
      <c r="BZ202" s="69" t="str">
        <f aca="false">IF($E202="","",IF($M202,IF(AND($G202&gt;=BZ$5,$G202&lt;BZ$5+GanttPeriod),"◆",IF(AND($E202&gt;=BZ$5,$E202&lt;BZ$5+GanttPeriod),"◇","")),IF(AND(BZ$5&lt;=$F202,BZ$5+GanttPeriod-1&gt;=$E202),"━","")))</f>
        <v/>
      </c>
      <c r="CA202" s="69" t="str">
        <f aca="false">IF($E202="","",IF($M202,IF(AND($G202&gt;=CA$5,$G202&lt;CA$5+GanttPeriod),"◆",IF(AND($E202&gt;=CA$5,$E202&lt;CA$5+GanttPeriod),"◇","")),IF(AND(CA$5&lt;=$F202,CA$5+GanttPeriod-1&gt;=$E202),"━","")))</f>
        <v/>
      </c>
      <c r="CB202" s="69" t="str">
        <f aca="false">IF($E202="","",IF($M202,IF(AND($G202&gt;=CB$5,$G202&lt;CB$5+GanttPeriod),"◆",IF(AND($E202&gt;=CB$5,$E202&lt;CB$5+GanttPeriod),"◇","")),IF(AND(CB$5&lt;=$F202,CB$5+GanttPeriod-1&gt;=$E202),"━","")))</f>
        <v/>
      </c>
      <c r="CC202" s="69" t="str">
        <f aca="false">IF($E202="","",IF($M202,IF(AND($G202&gt;=CC$5,$G202&lt;CC$5+GanttPeriod),"◆",IF(AND($E202&gt;=CC$5,$E202&lt;CC$5+GanttPeriod),"◇","")),IF(AND(CC$5&lt;=$F202,CC$5+GanttPeriod-1&gt;=$E202),"━","")))</f>
        <v/>
      </c>
      <c r="CD202" s="69" t="str">
        <f aca="false">IF($E202="","",IF($M202,IF(AND($G202&gt;=CD$5,$G202&lt;CD$5+GanttPeriod),"◆",IF(AND($E202&gt;=CD$5,$E202&lt;CD$5+GanttPeriod),"◇","")),IF(AND(CD$5&lt;=$F202,CD$5+GanttPeriod-1&gt;=$E202),"━","")))</f>
        <v/>
      </c>
      <c r="CE202" s="69" t="str">
        <f aca="false">IF($E202="","",IF($M202,IF(AND($G202&gt;=CE$5,$G202&lt;CE$5+GanttPeriod),"◆",IF(AND($E202&gt;=CE$5,$E202&lt;CE$5+GanttPeriod),"◇","")),IF(AND(CE$5&lt;=$F202,CE$5+GanttPeriod-1&gt;=$E202),"━","")))</f>
        <v/>
      </c>
      <c r="CF202" s="69" t="str">
        <f aca="false">IF($E202="","",IF($M202,IF(AND($G202&gt;=CF$5,$G202&lt;CF$5+GanttPeriod),"◆",IF(AND($E202&gt;=CF$5,$E202&lt;CF$5+GanttPeriod),"◇","")),IF(AND(CF$5&lt;=$F202,CF$5+GanttPeriod-1&gt;=$E202),"━","")))</f>
        <v/>
      </c>
      <c r="CG202" s="69" t="str">
        <f aca="false">IF($E202="","",IF($M202,IF(AND($G202&gt;=CG$5,$G202&lt;CG$5+GanttPeriod),"◆",IF(AND($E202&gt;=CG$5,$E202&lt;CG$5+GanttPeriod),"◇","")),IF(AND(CG$5&lt;=$F202,CG$5+GanttPeriod-1&gt;=$E202),"━","")))</f>
        <v/>
      </c>
      <c r="CH202" s="69" t="str">
        <f aca="false">IF($E202="","",IF($M202,IF(AND($G202&gt;=CH$5,$G202&lt;CH$5+GanttPeriod),"◆",IF(AND($E202&gt;=CH$5,$E202&lt;CH$5+GanttPeriod),"◇","")),IF(AND(CH$5&lt;=$F202,CH$5+GanttPeriod-1&gt;=$E202),"━","")))</f>
        <v/>
      </c>
      <c r="CI202" s="69" t="str">
        <f aca="false">IF($E202="","",IF($M202,IF(AND($G202&gt;=CI$5,$G202&lt;CI$5+GanttPeriod),"◆",IF(AND($E202&gt;=CI$5,$E202&lt;CI$5+GanttPeriod),"◇","")),IF(AND(CI$5&lt;=$F202,CI$5+GanttPeriod-1&gt;=$E202),"━","")))</f>
        <v/>
      </c>
      <c r="CJ202" s="69" t="str">
        <f aca="false">IF($E202="","",IF($M202,IF(AND($G202&gt;=CJ$5,$G202&lt;CJ$5+GanttPeriod),"◆",IF(AND($E202&gt;=CJ$5,$E202&lt;CJ$5+GanttPeriod),"◇","")),IF(AND(CJ$5&lt;=$F202,CJ$5+GanttPeriod-1&gt;=$E202),"━","")))</f>
        <v/>
      </c>
      <c r="CK202" s="69" t="str">
        <f aca="false">IF($E202="","",IF($M202,IF(AND($G202&gt;=CK$5,$G202&lt;CK$5+GanttPeriod),"◆",IF(AND($E202&gt;=CK$5,$E202&lt;CK$5+GanttPeriod),"◇","")),IF(AND(CK$5&lt;=$F202,CK$5+GanttPeriod-1&gt;=$E202),"━","")))</f>
        <v/>
      </c>
      <c r="CL202" s="69" t="str">
        <f aca="false">IF($E202="","",IF($M202,IF(AND($G202&gt;=CL$5,$G202&lt;CL$5+GanttPeriod),"◆",IF(AND($E202&gt;=CL$5,$E202&lt;CL$5+GanttPeriod),"◇","")),IF(AND(CL$5&lt;=$F202,CL$5+GanttPeriod-1&gt;=$E202),"━","")))</f>
        <v/>
      </c>
      <c r="CM202" s="69" t="str">
        <f aca="false">IF($E202="","",IF($M202,IF(AND($G202&gt;=CM$5,$G202&lt;CM$5+GanttPeriod),"◆",IF(AND($E202&gt;=CM$5,$E202&lt;CM$5+GanttPeriod),"◇","")),IF(AND(CM$5&lt;=$F202,CM$5+GanttPeriod-1&gt;=$E202),"━","")))</f>
        <v/>
      </c>
      <c r="CN202" s="69" t="str">
        <f aca="false">IF($E202="","",IF($M202,IF(AND($G202&gt;=CN$5,$G202&lt;CN$5+GanttPeriod),"◆",IF(AND($E202&gt;=CN$5,$E202&lt;CN$5+GanttPeriod),"◇","")),IF(AND(CN$5&lt;=$F202,CN$5+GanttPeriod-1&gt;=$E202),"━","")))</f>
        <v/>
      </c>
      <c r="CO202" s="69" t="str">
        <f aca="false">IF($E202="","",IF($M202,IF(AND($G202&gt;=CO$5,$G202&lt;CO$5+GanttPeriod),"◆",IF(AND($E202&gt;=CO$5,$E202&lt;CO$5+GanttPeriod),"◇","")),IF(AND(CO$5&lt;=$F202,CO$5+GanttPeriod-1&gt;=$E202),"━","")))</f>
        <v/>
      </c>
      <c r="CP202" s="69" t="str">
        <f aca="false">IF($E202="","",IF($M202,IF(AND($G202&gt;=CP$5,$G202&lt;CP$5+GanttPeriod),"◆",IF(AND($E202&gt;=CP$5,$E202&lt;CP$5+GanttPeriod),"◇","")),IF(AND(CP$5&lt;=$F202,CP$5+GanttPeriod-1&gt;=$E202),"━","")))</f>
        <v/>
      </c>
      <c r="CQ202" s="69" t="str">
        <f aca="false">IF($E202="","",IF($M202,IF(AND($G202&gt;=CQ$5,$G202&lt;CQ$5+GanttPeriod),"◆",IF(AND($E202&gt;=CQ$5,$E202&lt;CQ$5+GanttPeriod),"◇","")),IF(AND(CQ$5&lt;=$F202,CQ$5+GanttPeriod-1&gt;=$E202),"━","")))</f>
        <v/>
      </c>
      <c r="CR202" s="69" t="str">
        <f aca="false">IF($E202="","",IF($M202,IF(AND($G202&gt;=CR$5,$G202&lt;CR$5+GanttPeriod),"◆",IF(AND($E202&gt;=CR$5,$E202&lt;CR$5+GanttPeriod),"◇","")),IF(AND(CR$5&lt;=$F202,CR$5+GanttPeriod-1&gt;=$E202),"━","")))</f>
        <v/>
      </c>
      <c r="CS202" s="69" t="str">
        <f aca="false">IF($E202="","",IF($M202,IF(AND($G202&gt;=CS$5,$G202&lt;CS$5+GanttPeriod),"◆",IF(AND($E202&gt;=CS$5,$E202&lt;CS$5+GanttPeriod),"◇","")),IF(AND(CS$5&lt;=$F202,CS$5+GanttPeriod-1&gt;=$E202),"━","")))</f>
        <v/>
      </c>
      <c r="CT202" s="69" t="str">
        <f aca="false">IF($E202="","",IF($M202,IF(AND($G202&gt;=CT$5,$G202&lt;CT$5+GanttPeriod),"◆",IF(AND($E202&gt;=CT$5,$E202&lt;CT$5+GanttPeriod),"◇","")),IF(AND(CT$5&lt;=$F202,CT$5+GanttPeriod-1&gt;=$E202),"━","")))</f>
        <v/>
      </c>
      <c r="CU202" s="69" t="str">
        <f aca="false">IF($E202="","",IF($M202,IF(AND($G202&gt;=CU$5,$G202&lt;CU$5+GanttPeriod),"◆",IF(AND($E202&gt;=CU$5,$E202&lt;CU$5+GanttPeriod),"◇","")),IF(AND(CU$5&lt;=$F202,CU$5+GanttPeriod-1&gt;=$E202),"━","")))</f>
        <v/>
      </c>
      <c r="CV202" s="69" t="str">
        <f aca="false">IF($E202="","",IF($M202,IF(AND($G202&gt;=CV$5,$G202&lt;CV$5+GanttPeriod),"◆",IF(AND($E202&gt;=CV$5,$E202&lt;CV$5+GanttPeriod),"◇","")),IF(AND(CV$5&lt;=$F202,CV$5+GanttPeriod-1&gt;=$E202),"━","")))</f>
        <v/>
      </c>
      <c r="CW202" s="69" t="str">
        <f aca="false">IF($E202="","",IF($M202,IF(AND($G202&gt;=CW$5,$G202&lt;CW$5+GanttPeriod),"◆",IF(AND($E202&gt;=CW$5,$E202&lt;CW$5+GanttPeriod),"◇","")),IF(AND(CW$5&lt;=$F202,CW$5+GanttPeriod-1&gt;=$E202),"━","")))</f>
        <v/>
      </c>
      <c r="CX202" s="69" t="str">
        <f aca="false">IF($E202="","",IF($M202,IF(AND($G202&gt;=CX$5,$G202&lt;CX$5+GanttPeriod),"◆",IF(AND($E202&gt;=CX$5,$E202&lt;CX$5+GanttPeriod),"◇","")),IF(AND(CX$5&lt;=$F202,CX$5+GanttPeriod-1&gt;=$E202),"━","")))</f>
        <v/>
      </c>
      <c r="CY202" s="69" t="str">
        <f aca="false">IF($E202="","",IF($M202,IF(AND($G202&gt;=CY$5,$G202&lt;CY$5+GanttPeriod),"◆",IF(AND($E202&gt;=CY$5,$E202&lt;CY$5+GanttPeriod),"◇","")),IF(AND(CY$5&lt;=$F202,CY$5+GanttPeriod-1&gt;=$E202),"━","")))</f>
        <v/>
      </c>
      <c r="CZ202" s="69" t="str">
        <f aca="false">IF($E202="","",IF($M202,IF(AND($G202&gt;=CZ$5,$G202&lt;CZ$5+GanttPeriod),"◆",IF(AND($E202&gt;=CZ$5,$E202&lt;CZ$5+GanttPeriod),"◇","")),IF(AND(CZ$5&lt;=$F202,CZ$5+GanttPeriod-1&gt;=$E202),"━","")))</f>
        <v/>
      </c>
      <c r="DA202" s="69" t="str">
        <f aca="false">IF($E202="","",IF($M202,IF(AND($G202&gt;=DA$5,$G202&lt;DA$5+GanttPeriod),"◆",IF(AND($E202&gt;=DA$5,$E202&lt;DA$5+GanttPeriod),"◇","")),IF(AND(DA$5&lt;=$F202,DA$5+GanttPeriod-1&gt;=$E202),"━","")))</f>
        <v/>
      </c>
      <c r="DB202" s="69" t="str">
        <f aca="false">IF($E202="","",IF($M202,IF(AND($G202&gt;=DB$5,$G202&lt;DB$5+GanttPeriod),"◆",IF(AND($E202&gt;=DB$5,$E202&lt;DB$5+GanttPeriod),"◇","")),IF(AND(DB$5&lt;=$F202,DB$5+GanttPeriod-1&gt;=$E202),"━","")))</f>
        <v/>
      </c>
      <c r="DC202" s="69" t="str">
        <f aca="false">IF($E202="","",IF($M202,IF(AND($G202&gt;=DC$5,$G202&lt;DC$5+GanttPeriod),"◆",IF(AND($E202&gt;=DC$5,$E202&lt;DC$5+GanttPeriod),"◇","")),IF(AND(DC$5&lt;=$F202,DC$5+GanttPeriod-1&gt;=$E202),"━","")))</f>
        <v/>
      </c>
      <c r="DD202" s="69" t="str">
        <f aca="false">IF($E202="","",IF($M202,IF(AND($G202&gt;=DD$5,$G202&lt;DD$5+GanttPeriod),"◆",IF(AND($E202&gt;=DD$5,$E202&lt;DD$5+GanttPeriod),"◇","")),IF(AND(DD$5&lt;=$F202,DD$5+GanttPeriod-1&gt;=$E202),"━","")))</f>
        <v/>
      </c>
      <c r="DE202" s="69" t="str">
        <f aca="false">IF($E202="","",IF($M202,IF(AND($G202&gt;=DE$5,$G202&lt;DE$5+GanttPeriod),"◆",IF(AND($E202&gt;=DE$5,$E202&lt;DE$5+GanttPeriod),"◇","")),IF(AND(DE$5&lt;=$F202,DE$5+GanttPeriod-1&gt;=$E202),"━","")))</f>
        <v/>
      </c>
      <c r="DF202" s="69" t="str">
        <f aca="false">IF($E202="","",IF($M202,IF(AND($G202&gt;=DF$5,$G202&lt;DF$5+GanttPeriod),"◆",IF(AND($E202&gt;=DF$5,$E202&lt;DF$5+GanttPeriod),"◇","")),IF(AND(DF$5&lt;=$F202,DF$5+GanttPeriod-1&gt;=$E202),"━","")))</f>
        <v/>
      </c>
      <c r="DG202" s="69" t="str">
        <f aca="false">IF($E202="","",IF($M202,IF(AND($G202&gt;=DG$5,$G202&lt;DG$5+GanttPeriod),"◆",IF(AND($E202&gt;=DG$5,$E202&lt;DG$5+GanttPeriod),"◇","")),IF(AND(DG$5&lt;=$F202,DG$5+GanttPeriod-1&gt;=$E202),"━","")))</f>
        <v/>
      </c>
      <c r="DH202" s="69" t="str">
        <f aca="false">IF($E202="","",IF($M202,IF(AND($G202&gt;=DH$5,$G202&lt;DH$5+GanttPeriod),"◆",IF(AND($E202&gt;=DH$5,$E202&lt;DH$5+GanttPeriod),"◇","")),IF(AND(DH$5&lt;=$F202,DH$5+GanttPeriod-1&gt;=$E202),"━","")))</f>
        <v/>
      </c>
      <c r="DI202" s="69" t="str">
        <f aca="false">IF($E202="","",IF($M202,IF(AND($G202&gt;=DI$5,$G202&lt;DI$5+GanttPeriod),"◆",IF(AND($E202&gt;=DI$5,$E202&lt;DI$5+GanttPeriod),"◇","")),IF(AND(DI$5&lt;=$F202,DI$5+GanttPeriod-1&gt;=$E202),"━","")))</f>
        <v/>
      </c>
      <c r="DJ202" s="69" t="str">
        <f aca="false">IF($E202="","",IF($M202,IF(AND($G202&gt;=DJ$5,$G202&lt;DJ$5+GanttPeriod),"◆",IF(AND($E202&gt;=DJ$5,$E202&lt;DJ$5+GanttPeriod),"◇","")),IF(AND(DJ$5&lt;=$F202,DJ$5+GanttPeriod-1&gt;=$E202),"━","")))</f>
        <v/>
      </c>
      <c r="DK202" s="69" t="str">
        <f aca="false">IF($E202="","",IF($M202,IF(AND($G202&gt;=DK$5,$G202&lt;DK$5+GanttPeriod),"◆",IF(AND($E202&gt;=DK$5,$E202&lt;DK$5+GanttPeriod),"◇","")),IF(AND(DK$5&lt;=$F202,DK$5+GanttPeriod-1&gt;=$E202),"━","")))</f>
        <v/>
      </c>
      <c r="DL202" s="69" t="str">
        <f aca="false">IF($E202="","",IF($M202,IF(AND($G202&gt;=DL$5,$G202&lt;DL$5+GanttPeriod),"◆",IF(AND($E202&gt;=DL$5,$E202&lt;DL$5+GanttPeriod),"◇","")),IF(AND(DL$5&lt;=$F202,DL$5+GanttPeriod-1&gt;=$E202),"━","")))</f>
        <v/>
      </c>
      <c r="DM202" s="69" t="str">
        <f aca="false">IF($E202="","",IF($M202,IF(AND($G202&gt;=DM$5,$G202&lt;DM$5+GanttPeriod),"◆",IF(AND($E202&gt;=DM$5,$E202&lt;DM$5+GanttPeriod),"◇","")),IF(AND(DM$5&lt;=$F202,DM$5+GanttPeriod-1&gt;=$E202),"━","")))</f>
        <v/>
      </c>
      <c r="DN202" s="69" t="str">
        <f aca="false">IF($E202="","",IF($M202,IF(AND($G202&gt;=DN$5,$G202&lt;DN$5+GanttPeriod),"◆",IF(AND($E202&gt;=DN$5,$E202&lt;DN$5+GanttPeriod),"◇","")),IF(AND(DN$5&lt;=$F202,DN$5+GanttPeriod-1&gt;=$E202),"━","")))</f>
        <v/>
      </c>
      <c r="DO202" s="69" t="str">
        <f aca="false">IF($E202="","",IF($M202,IF(AND($G202&gt;=DO$5,$G202&lt;DO$5+GanttPeriod),"◆",IF(AND($E202&gt;=DO$5,$E202&lt;DO$5+GanttPeriod),"◇","")),IF(AND(DO$5&lt;=$F202,DO$5+GanttPeriod-1&gt;=$E202),"━","")))</f>
        <v/>
      </c>
      <c r="DP202" s="69" t="str">
        <f aca="false">IF($E202="","",IF($M202,IF(AND($G202&gt;=DP$5,$G202&lt;DP$5+GanttPeriod),"◆",IF(AND($E202&gt;=DP$5,$E202&lt;DP$5+GanttPeriod),"◇","")),IF(AND(DP$5&lt;=$F202,DP$5+GanttPeriod-1&gt;=$E202),"━","")))</f>
        <v/>
      </c>
      <c r="DQ202" s="69" t="str">
        <f aca="false">IF($E202="","",IF($M202,IF(AND($G202&gt;=DQ$5,$G202&lt;DQ$5+GanttPeriod),"◆",IF(AND($E202&gt;=DQ$5,$E202&lt;DQ$5+GanttPeriod),"◇","")),IF(AND(DQ$5&lt;=$F202,DQ$5+GanttPeriod-1&gt;=$E202),"━","")))</f>
        <v/>
      </c>
      <c r="DR202" s="69" t="str">
        <f aca="false">IF($E202="","",IF($M202,IF(AND($G202&gt;=DR$5,$G202&lt;DR$5+GanttPeriod),"◆",IF(AND($E202&gt;=DR$5,$E202&lt;DR$5+GanttPeriod),"◇","")),IF(AND(DR$5&lt;=$F202,DR$5+GanttPeriod-1&gt;=$E202),"━","")))</f>
        <v/>
      </c>
      <c r="DS202" s="69" t="str">
        <f aca="false">IF($E202="","",IF($M202,IF(AND($G202&gt;=DS$5,$G202&lt;DS$5+GanttPeriod),"◆",IF(AND($E202&gt;=DS$5,$E202&lt;DS$5+GanttPeriod),"◇","")),IF(AND(DS$5&lt;=$F202,DS$5+GanttPeriod-1&gt;=$E202),"━","")))</f>
        <v/>
      </c>
      <c r="DT202" s="69" t="str">
        <f aca="false">IF($E202="","",IF($M202,IF(AND($G202&gt;=DT$5,$G202&lt;DT$5+GanttPeriod),"◆",IF(AND($E202&gt;=DT$5,$E202&lt;DT$5+GanttPeriod),"◇","")),IF(AND(DT$5&lt;=$F202,DT$5+GanttPeriod-1&gt;=$E202),"━","")))</f>
        <v/>
      </c>
      <c r="DU202" s="69" t="str">
        <f aca="false">IF($E202="","",IF($M202,IF(AND($G202&gt;=DU$5,$G202&lt;DU$5+GanttPeriod),"◆",IF(AND($E202&gt;=DU$5,$E202&lt;DU$5+GanttPeriod),"◇","")),IF(AND(DU$5&lt;=$F202,DU$5+GanttPeriod-1&gt;=$E202),"━","")))</f>
        <v/>
      </c>
      <c r="DV202" s="69" t="str">
        <f aca="false">IF($E202="","",IF($M202,IF(AND($G202&gt;=DV$5,$G202&lt;DV$5+GanttPeriod),"◆",IF(AND($E202&gt;=DV$5,$E202&lt;DV$5+GanttPeriod),"◇","")),IF(AND(DV$5&lt;=$F202,DV$5+GanttPeriod-1&gt;=$E202),"━","")))</f>
        <v/>
      </c>
      <c r="DW202" s="69" t="str">
        <f aca="false">IF($E202="","",IF($M202,IF(AND($G202&gt;=DW$5,$G202&lt;DW$5+GanttPeriod),"◆",IF(AND($E202&gt;=DW$5,$E202&lt;DW$5+GanttPeriod),"◇","")),IF(AND(DW$5&lt;=$F202,DW$5+GanttPeriod-1&gt;=$E202),"━","")))</f>
        <v/>
      </c>
      <c r="DX202" s="69" t="str">
        <f aca="false">IF($E202="","",IF($M202,IF(AND($G202&gt;=DX$5,$G202&lt;DX$5+GanttPeriod),"◆",IF(AND($E202&gt;=DX$5,$E202&lt;DX$5+GanttPeriod),"◇","")),IF(AND(DX$5&lt;=$F202,DX$5+GanttPeriod-1&gt;=$E202),"━","")))</f>
        <v/>
      </c>
      <c r="DY202" s="69" t="str">
        <f aca="false">IF($E202="","",IF($M202,IF(AND($G202&gt;=DY$5,$G202&lt;DY$5+GanttPeriod),"◆",IF(AND($E202&gt;=DY$5,$E202&lt;DY$5+GanttPeriod),"◇","")),IF(AND(DY$5&lt;=$F202,DY$5+GanttPeriod-1&gt;=$E202),"━","")))</f>
        <v/>
      </c>
      <c r="DZ202" s="69" t="str">
        <f aca="false">IF($E202="","",IF($M202,IF(AND($G202&gt;=DZ$5,$G202&lt;DZ$5+GanttPeriod),"◆",IF(AND($E202&gt;=DZ$5,$E202&lt;DZ$5+GanttPeriod),"◇","")),IF(AND(DZ$5&lt;=$F202,DZ$5+GanttPeriod-1&gt;=$E202),"━","")))</f>
        <v/>
      </c>
      <c r="EA202" s="69" t="str">
        <f aca="false">IF($E202="","",IF($M202,IF(AND($G202&gt;=EA$5,$G202&lt;EA$5+GanttPeriod),"◆",IF(AND($E202&gt;=EA$5,$E202&lt;EA$5+GanttPeriod),"◇","")),IF(AND(EA$5&lt;=$F202,EA$5+GanttPeriod-1&gt;=$E202),"━","")))</f>
        <v/>
      </c>
      <c r="EB202" s="69" t="str">
        <f aca="false">IF($E202="","",IF($M202,IF(AND($G202&gt;=EB$5,$G202&lt;EB$5+GanttPeriod),"◆",IF(AND($E202&gt;=EB$5,$E202&lt;EB$5+GanttPeriod),"◇","")),IF(AND(EB$5&lt;=$F202,EB$5+GanttPeriod-1&gt;=$E202),"━","")))</f>
        <v/>
      </c>
      <c r="EC202" s="69" t="str">
        <f aca="false">IF($E202="","",IF($M202,IF(AND($G202&gt;=EC$5,$G202&lt;EC$5+GanttPeriod),"◆",IF(AND($E202&gt;=EC$5,$E202&lt;EC$5+GanttPeriod),"◇","")),IF(AND(EC$5&lt;=$F202,EC$5+GanttPeriod-1&gt;=$E202),"━","")))</f>
        <v/>
      </c>
      <c r="ED202" s="69" t="str">
        <f aca="false">IF($E202="","",IF($M202,IF(AND($G202&gt;=ED$5,$G202&lt;ED$5+GanttPeriod),"◆",IF(AND($E202&gt;=ED$5,$E202&lt;ED$5+GanttPeriod),"◇","")),IF(AND(ED$5&lt;=$F202,ED$5+GanttPeriod-1&gt;=$E202),"━","")))</f>
        <v/>
      </c>
      <c r="EE202" s="69" t="str">
        <f aca="false">IF($E202="","",IF($M202,IF(AND($G202&gt;=EE$5,$G202&lt;EE$5+GanttPeriod),"◆",IF(AND($E202&gt;=EE$5,$E202&lt;EE$5+GanttPeriod),"◇","")),IF(AND(EE$5&lt;=$F202,EE$5+GanttPeriod-1&gt;=$E202),"━","")))</f>
        <v/>
      </c>
      <c r="EF202" s="69" t="str">
        <f aca="false">IF($E202="","",IF($M202,IF(AND($G202&gt;=EF$5,$G202&lt;EF$5+GanttPeriod),"◆",IF(AND($E202&gt;=EF$5,$E202&lt;EF$5+GanttPeriod),"◇","")),IF(AND(EF$5&lt;=$F202,EF$5+GanttPeriod-1&gt;=$E202),"━","")))</f>
        <v/>
      </c>
      <c r="EG202" s="69" t="str">
        <f aca="false">IF($E202="","",IF($M202,IF(AND($G202&gt;=EG$5,$G202&lt;EG$5+GanttPeriod),"◆",IF(AND($E202&gt;=EG$5,$E202&lt;EG$5+GanttPeriod),"◇","")),IF(AND(EG$5&lt;=$F202,EG$5+GanttPeriod-1&gt;=$E202),"━","")))</f>
        <v/>
      </c>
      <c r="EH202" s="69" t="str">
        <f aca="false">IF($E202="","",IF($M202,IF(AND($G202&gt;=EH$5,$G202&lt;EH$5+GanttPeriod),"◆",IF(AND($E202&gt;=EH$5,$E202&lt;EH$5+GanttPeriod),"◇","")),IF(AND(EH$5&lt;=$F202,EH$5+GanttPeriod-1&gt;=$E202),"━","")))</f>
        <v/>
      </c>
      <c r="EI202" s="69" t="str">
        <f aca="false">IF($E202="","",IF($M202,IF(AND($G202&gt;=EI$5,$G202&lt;EI$5+GanttPeriod),"◆",IF(AND($E202&gt;=EI$5,$E202&lt;EI$5+GanttPeriod),"◇","")),IF(AND(EI$5&lt;=$F202,EI$5+GanttPeriod-1&gt;=$E202),"━","")))</f>
        <v/>
      </c>
      <c r="EJ202" s="69" t="str">
        <f aca="false">IF($E202="","",IF($M202,IF(AND($G202&gt;=EJ$5,$G202&lt;EJ$5+GanttPeriod),"◆",IF(AND($E202&gt;=EJ$5,$E202&lt;EJ$5+GanttPeriod),"◇","")),IF(AND(EJ$5&lt;=$F202,EJ$5+GanttPeriod-1&gt;=$E202),"━","")))</f>
        <v/>
      </c>
      <c r="EK202" s="69" t="str">
        <f aca="false">IF($E202="","",IF($M202,IF(AND($G202&gt;=EK$5,$G202&lt;EK$5+GanttPeriod),"◆",IF(AND($E202&gt;=EK$5,$E202&lt;EK$5+GanttPeriod),"◇","")),IF(AND(EK$5&lt;=$F202,EK$5+GanttPeriod-1&gt;=$E202),"━","")))</f>
        <v/>
      </c>
      <c r="EL202" s="69" t="str">
        <f aca="false">IF($E202="","",IF($M202,IF(AND($G202&gt;=EL$5,$G202&lt;EL$5+GanttPeriod),"◆",IF(AND($E202&gt;=EL$5,$E202&lt;EL$5+GanttPeriod),"◇","")),IF(AND(EL$5&lt;=$F202,EL$5+GanttPeriod-1&gt;=$E202),"━","")))</f>
        <v/>
      </c>
      <c r="EM202" s="69" t="str">
        <f aca="false">IF($E202="","",IF($M202,IF(AND($G202&gt;=EM$5,$G202&lt;EM$5+GanttPeriod),"◆",IF(AND($E202&gt;=EM$5,$E202&lt;EM$5+GanttPeriod),"◇","")),IF(AND(EM$5&lt;=$F202,EM$5+GanttPeriod-1&gt;=$E202),"━","")))</f>
        <v/>
      </c>
      <c r="EN202" s="69" t="str">
        <f aca="false">IF($E202="","",IF($M202,IF(AND($G202&gt;=EN$5,$G202&lt;EN$5+GanttPeriod),"◆",IF(AND($E202&gt;=EN$5,$E202&lt;EN$5+GanttPeriod),"◇","")),IF(AND(EN$5&lt;=$F202,EN$5+GanttPeriod-1&gt;=$E202),"━","")))</f>
        <v/>
      </c>
      <c r="EO202" s="69" t="str">
        <f aca="false">IF($E202="","",IF($M202,IF(AND($G202&gt;=EO$5,$G202&lt;EO$5+GanttPeriod),"◆",IF(AND($E202&gt;=EO$5,$E202&lt;EO$5+GanttPeriod),"◇","")),IF(AND(EO$5&lt;=$F202,EO$5+GanttPeriod-1&gt;=$E202),"━","")))</f>
        <v/>
      </c>
      <c r="EP202" s="69" t="str">
        <f aca="false">IF($E202="","",IF($M202,IF(AND($G202&gt;=EP$5,$G202&lt;EP$5+GanttPeriod),"◆",IF(AND($E202&gt;=EP$5,$E202&lt;EP$5+GanttPeriod),"◇","")),IF(AND(EP$5&lt;=$F202,EP$5+GanttPeriod-1&gt;=$E202),"━","")))</f>
        <v/>
      </c>
      <c r="EQ202" s="69" t="str">
        <f aca="false">IF($E202="","",IF($M202,IF(AND($G202&gt;=EQ$5,$G202&lt;EQ$5+GanttPeriod),"◆",IF(AND($E202&gt;=EQ$5,$E202&lt;EQ$5+GanttPeriod),"◇","")),IF(AND(EQ$5&lt;=$F202,EQ$5+GanttPeriod-1&gt;=$E202),"━","")))</f>
        <v/>
      </c>
      <c r="ER202" s="69" t="str">
        <f aca="false">IF($E202="","",IF($M202,IF(AND($G202&gt;=ER$5,$G202&lt;ER$5+GanttPeriod),"◆",IF(AND($E202&gt;=ER$5,$E202&lt;ER$5+GanttPeriod),"◇","")),IF(AND(ER$5&lt;=$F202,ER$5+GanttPeriod-1&gt;=$E202),"━","")))</f>
        <v/>
      </c>
      <c r="ES202" s="69" t="str">
        <f aca="false">IF($E202="","",IF($M202,IF(AND($G202&gt;=ES$5,$G202&lt;ES$5+GanttPeriod),"◆",IF(AND($E202&gt;=ES$5,$E202&lt;ES$5+GanttPeriod),"◇","")),IF(AND(ES$5&lt;=$F202,ES$5+GanttPeriod-1&gt;=$E202),"━","")))</f>
        <v/>
      </c>
      <c r="ET202" s="69" t="str">
        <f aca="false">IF($E202="","",IF($M202,IF(AND($G202&gt;=ET$5,$G202&lt;ET$5+GanttPeriod),"◆",IF(AND($E202&gt;=ET$5,$E202&lt;ET$5+GanttPeriod),"◇","")),IF(AND(ET$5&lt;=$F202,ET$5+GanttPeriod-1&gt;=$E202),"━","")))</f>
        <v/>
      </c>
      <c r="EU202" s="69" t="str">
        <f aca="false">IF($E202="","",IF($M202,IF(AND($G202&gt;=EU$5,$G202&lt;EU$5+GanttPeriod),"◆",IF(AND($E202&gt;=EU$5,$E202&lt;EU$5+GanttPeriod),"◇","")),IF(AND(EU$5&lt;=$F202,EU$5+GanttPeriod-1&gt;=$E202),"━","")))</f>
        <v/>
      </c>
      <c r="EV202" s="69" t="str">
        <f aca="false">IF($E202="","",IF($M202,IF(AND($G202&gt;=EV$5,$G202&lt;EV$5+GanttPeriod),"◆",IF(AND($E202&gt;=EV$5,$E202&lt;EV$5+GanttPeriod),"◇","")),IF(AND(EV$5&lt;=$F202,EV$5+GanttPeriod-1&gt;=$E202),"━","")))</f>
        <v/>
      </c>
      <c r="EW202" s="69" t="str">
        <f aca="false">IF($E202="","",IF($M202,IF(AND($G202&gt;=EW$5,$G202&lt;EW$5+GanttPeriod),"◆",IF(AND($E202&gt;=EW$5,$E202&lt;EW$5+GanttPeriod),"◇","")),IF(AND(EW$5&lt;=$F202,EW$5+GanttPeriod-1&gt;=$E202),"━","")))</f>
        <v/>
      </c>
      <c r="EX202" s="69" t="str">
        <f aca="false">IF($E202="","",IF($M202,IF(AND($G202&gt;=EX$5,$G202&lt;EX$5+GanttPeriod),"◆",IF(AND($E202&gt;=EX$5,$E202&lt;EX$5+GanttPeriod),"◇","")),IF(AND(EX$5&lt;=$F202,EX$5+GanttPeriod-1&gt;=$E202),"━","")))</f>
        <v/>
      </c>
      <c r="EY202" s="69" t="str">
        <f aca="false">IF($E202="","",IF($M202,IF(AND($G202&gt;=EY$5,$G202&lt;EY$5+GanttPeriod),"◆",IF(AND($E202&gt;=EY$5,$E202&lt;EY$5+GanttPeriod),"◇","")),IF(AND(EY$5&lt;=$F202,EY$5+GanttPeriod-1&gt;=$E202),"━","")))</f>
        <v/>
      </c>
      <c r="EZ202" s="69" t="str">
        <f aca="false">IF($E202="","",IF($M202,IF(AND($G202&gt;=EZ$5,$G202&lt;EZ$5+GanttPeriod),"◆",IF(AND($E202&gt;=EZ$5,$E202&lt;EZ$5+GanttPeriod),"◇","")),IF(AND(EZ$5&lt;=$F202,EZ$5+GanttPeriod-1&gt;=$E202),"━","")))</f>
        <v/>
      </c>
      <c r="FA202" s="69" t="str">
        <f aca="false">IF($E202="","",IF($M202,IF(AND($G202&gt;=FA$5,$G202&lt;FA$5+GanttPeriod),"◆",IF(AND($E202&gt;=FA$5,$E202&lt;FA$5+GanttPeriod),"◇","")),IF(AND(FA$5&lt;=$F202,FA$5+GanttPeriod-1&gt;=$E202),"━","")))</f>
        <v/>
      </c>
      <c r="FB202" s="69" t="str">
        <f aca="false">IF($E202="","",IF($M202,IF(AND($G202&gt;=FB$5,$G202&lt;FB$5+GanttPeriod),"◆",IF(AND($E202&gt;=FB$5,$E202&lt;FB$5+GanttPeriod),"◇","")),IF(AND(FB$5&lt;=$F202,FB$5+GanttPeriod-1&gt;=$E202),"━","")))</f>
        <v/>
      </c>
      <c r="FC202" s="69" t="str">
        <f aca="false">IF($E202="","",IF($M202,IF(AND($G202&gt;=FC$5,$G202&lt;FC$5+GanttPeriod),"◆",IF(AND($E202&gt;=FC$5,$E202&lt;FC$5+GanttPeriod),"◇","")),IF(AND(FC$5&lt;=$F202,FC$5+GanttPeriod-1&gt;=$E202),"━","")))</f>
        <v/>
      </c>
      <c r="FD202" s="69" t="str">
        <f aca="false">IF($E202="","",IF($M202,IF(AND($G202&gt;=FD$5,$G202&lt;FD$5+GanttPeriod),"◆",IF(AND($E202&gt;=FD$5,$E202&lt;FD$5+GanttPeriod),"◇","")),IF(AND(FD$5&lt;=$F202,FD$5+GanttPeriod-1&gt;=$E202),"━","")))</f>
        <v/>
      </c>
      <c r="FE202" s="69" t="str">
        <f aca="false">IF($E202="","",IF($M202,IF(AND($G202&gt;=FE$5,$G202&lt;FE$5+GanttPeriod),"◆",IF(AND($E202&gt;=FE$5,$E202&lt;FE$5+GanttPeriod),"◇","")),IF(AND(FE$5&lt;=$F202,FE$5+GanttPeriod-1&gt;=$E202),"━","")))</f>
        <v/>
      </c>
      <c r="FF202" s="69" t="str">
        <f aca="false">IF($E202="","",IF($M202,IF(AND($G202&gt;=FF$5,$G202&lt;FF$5+GanttPeriod),"◆",IF(AND($E202&gt;=FF$5,$E202&lt;FF$5+GanttPeriod),"◇","")),IF(AND(FF$5&lt;=$F202,FF$5+GanttPeriod-1&gt;=$E202),"━","")))</f>
        <v/>
      </c>
      <c r="FG202" s="69" t="str">
        <f aca="false">IF($E202="","",IF($M202,IF(AND($G202&gt;=FG$5,$G202&lt;FG$5+GanttPeriod),"◆",IF(AND($E202&gt;=FG$5,$E202&lt;FG$5+GanttPeriod),"◇","")),IF(AND(FG$5&lt;=$F202,FG$5+GanttPeriod-1&gt;=$E202),"━","")))</f>
        <v/>
      </c>
      <c r="FH202" s="69" t="str">
        <f aca="false">IF($E202="","",IF($M202,IF(AND($G202&gt;=FH$5,$G202&lt;FH$5+GanttPeriod),"◆",IF(AND($E202&gt;=FH$5,$E202&lt;FH$5+GanttPeriod),"◇","")),IF(AND(FH$5&lt;=$F202,FH$5+GanttPeriod-1&gt;=$E202),"━","")))</f>
        <v/>
      </c>
      <c r="FI202" s="69" t="str">
        <f aca="false">IF($E202="","",IF($M202,IF(AND($G202&gt;=FI$5,$G202&lt;FI$5+GanttPeriod),"◆",IF(AND($E202&gt;=FI$5,$E202&lt;FI$5+GanttPeriod),"◇","")),IF(AND(FI$5&lt;=$F202,FI$5+GanttPeriod-1&gt;=$E202),"━","")))</f>
        <v/>
      </c>
      <c r="FJ202" s="69" t="str">
        <f aca="false">IF($E202="","",IF($M202,IF(AND($G202&gt;=FJ$5,$G202&lt;FJ$5+GanttPeriod),"◆",IF(AND($E202&gt;=FJ$5,$E202&lt;FJ$5+GanttPeriod),"◇","")),IF(AND(FJ$5&lt;=$F202,FJ$5+GanttPeriod-1&gt;=$E202),"━","")))</f>
        <v/>
      </c>
      <c r="FK202" s="69" t="str">
        <f aca="false">IF($E202="","",IF($M202,IF(AND($G202&gt;=FK$5,$G202&lt;FK$5+GanttPeriod),"◆",IF(AND($E202&gt;=FK$5,$E202&lt;FK$5+GanttPeriod),"◇","")),IF(AND(FK$5&lt;=$F202,FK$5+GanttPeriod-1&gt;=$E202),"━","")))</f>
        <v/>
      </c>
      <c r="FL202" s="69" t="str">
        <f aca="false">IF($E202="","",IF($M202,IF(AND($G202&gt;=FL$5,$G202&lt;FL$5+GanttPeriod),"◆",IF(AND($E202&gt;=FL$5,$E202&lt;FL$5+GanttPeriod),"◇","")),IF(AND(FL$5&lt;=$F202,FL$5+GanttPeriod-1&gt;=$E202),"━","")))</f>
        <v/>
      </c>
      <c r="FM202" s="69" t="str">
        <f aca="false">IF($E202="","",IF($M202,IF(AND($G202&gt;=FM$5,$G202&lt;FM$5+GanttPeriod),"◆",IF(AND($E202&gt;=FM$5,$E202&lt;FM$5+GanttPeriod),"◇","")),IF(AND(FM$5&lt;=$F202,FM$5+GanttPeriod-1&gt;=$E202),"━","")))</f>
        <v/>
      </c>
    </row>
    <row r="203" customFormat="false" ht="15" hidden="false" customHeight="false" outlineLevel="0" collapsed="false">
      <c r="A203" s="62" t="str">
        <f aca="false">IF(Tasks!$D203="","",Tasks!$A203)</f>
        <v/>
      </c>
      <c r="B203" s="62" t="str">
        <f aca="false">IF(Tasks!$D203="","",Tasks!$B203)</f>
        <v/>
      </c>
      <c r="C203" s="63" t="str">
        <f aca="false">IF(Tasks!$D203="","",REPT("    ",Tasks!$AE203-1)&amp;Tasks!$D203)</f>
        <v/>
      </c>
      <c r="D203" s="62" t="str">
        <f aca="false">IF(Tasks!$D203="","",IF(Tasks!$AI203,NETWORKDAYS.INTL(Tasks!$R203,Tasks!$S203,WorkWeek,Holidays),N(Tasks!$F203)))</f>
        <v/>
      </c>
      <c r="E203" s="64" t="str">
        <f aca="false">IF(Tasks!$D203="","",Tasks!$N203)</f>
        <v/>
      </c>
      <c r="F203" s="64" t="str">
        <f aca="false">IF(Tasks!$D203="","",Tasks!$O203)</f>
        <v/>
      </c>
      <c r="G203" s="64" t="str">
        <f aca="false">IF(Tasks!$D203="","",Tasks!$R203)</f>
        <v/>
      </c>
      <c r="H203" s="64" t="str">
        <f aca="false">IF(Tasks!$D203="","",Tasks!$S203)</f>
        <v/>
      </c>
      <c r="I203" s="65" t="str">
        <f aca="false">IF(Tasks!$D203="","",Tasks!$V203)</f>
        <v/>
      </c>
      <c r="J203" s="63" t="str">
        <f aca="false">IF(Tasks!$D203="","",Tasks!$X203&amp;"")</f>
        <v/>
      </c>
      <c r="K203" s="66" t="str">
        <f aca="false">IF(Tasks!$D203="","",Tasks!$W203)</f>
        <v/>
      </c>
      <c r="L203" s="67" t="b">
        <f aca="false">IF(Tasks!$D203="",FALSE(),Tasks!$AI203)</f>
        <v>0</v>
      </c>
      <c r="M203" s="67" t="b">
        <f aca="false">AND(Tasks!$AJ203=1,N(Tasks!$F203)=0)</f>
        <v>0</v>
      </c>
      <c r="N203" s="68" t="n">
        <f aca="false">IF(AND(Tasks!$AJ203=1,NOT($M203),N($I203)&gt;0),$G203,0)</f>
        <v>0</v>
      </c>
      <c r="O203" s="68" t="n">
        <f aca="false">IF($N203=0,0,IF($I203&gt;=1,$H203,MAX($N203,$G203+ROUND(($H203-$G203+1)*$I203,0)-1)))</f>
        <v>0</v>
      </c>
      <c r="P203" s="68" t="n">
        <f aca="false">IF(OR(Tasks!$AJ203&lt;&gt;1,$M203,N($I203)&gt;=1),0,IF($O203&gt;0,$O203+1,$G203))</f>
        <v>0</v>
      </c>
      <c r="Q203" s="68" t="n">
        <f aca="false">IF($P203=0,0,$H203)</f>
        <v>0</v>
      </c>
      <c r="R203" s="67" t="b">
        <f aca="false">AND(Tasks!$D203&lt;&gt;"",N(Tasks!$T203)&gt;0)</f>
        <v>0</v>
      </c>
      <c r="T203" s="69" t="str">
        <f aca="false">IF($E203="","",IF($M203,IF(AND($G203&gt;=T$5,$G203&lt;T$5+GanttPeriod),"◆",IF(AND($E203&gt;=T$5,$E203&lt;T$5+GanttPeriod),"◇","")),IF(AND(T$5&lt;=$F203,T$5+GanttPeriod-1&gt;=$E203),"━","")))</f>
        <v/>
      </c>
      <c r="U203" s="69" t="str">
        <f aca="false">IF($E203="","",IF($M203,IF(AND($G203&gt;=U$5,$G203&lt;U$5+GanttPeriod),"◆",IF(AND($E203&gt;=U$5,$E203&lt;U$5+GanttPeriod),"◇","")),IF(AND(U$5&lt;=$F203,U$5+GanttPeriod-1&gt;=$E203),"━","")))</f>
        <v/>
      </c>
      <c r="V203" s="69" t="str">
        <f aca="false">IF($E203="","",IF($M203,IF(AND($G203&gt;=V$5,$G203&lt;V$5+GanttPeriod),"◆",IF(AND($E203&gt;=V$5,$E203&lt;V$5+GanttPeriod),"◇","")),IF(AND(V$5&lt;=$F203,V$5+GanttPeriod-1&gt;=$E203),"━","")))</f>
        <v/>
      </c>
      <c r="W203" s="69" t="str">
        <f aca="false">IF($E203="","",IF($M203,IF(AND($G203&gt;=W$5,$G203&lt;W$5+GanttPeriod),"◆",IF(AND($E203&gt;=W$5,$E203&lt;W$5+GanttPeriod),"◇","")),IF(AND(W$5&lt;=$F203,W$5+GanttPeriod-1&gt;=$E203),"━","")))</f>
        <v/>
      </c>
      <c r="X203" s="69" t="str">
        <f aca="false">IF($E203="","",IF($M203,IF(AND($G203&gt;=X$5,$G203&lt;X$5+GanttPeriod),"◆",IF(AND($E203&gt;=X$5,$E203&lt;X$5+GanttPeriod),"◇","")),IF(AND(X$5&lt;=$F203,X$5+GanttPeriod-1&gt;=$E203),"━","")))</f>
        <v/>
      </c>
      <c r="Y203" s="69" t="str">
        <f aca="false">IF($E203="","",IF($M203,IF(AND($G203&gt;=Y$5,$G203&lt;Y$5+GanttPeriod),"◆",IF(AND($E203&gt;=Y$5,$E203&lt;Y$5+GanttPeriod),"◇","")),IF(AND(Y$5&lt;=$F203,Y$5+GanttPeriod-1&gt;=$E203),"━","")))</f>
        <v/>
      </c>
      <c r="Z203" s="69" t="str">
        <f aca="false">IF($E203="","",IF($M203,IF(AND($G203&gt;=Z$5,$G203&lt;Z$5+GanttPeriod),"◆",IF(AND($E203&gt;=Z$5,$E203&lt;Z$5+GanttPeriod),"◇","")),IF(AND(Z$5&lt;=$F203,Z$5+GanttPeriod-1&gt;=$E203),"━","")))</f>
        <v/>
      </c>
      <c r="AA203" s="69" t="str">
        <f aca="false">IF($E203="","",IF($M203,IF(AND($G203&gt;=AA$5,$G203&lt;AA$5+GanttPeriod),"◆",IF(AND($E203&gt;=AA$5,$E203&lt;AA$5+GanttPeriod),"◇","")),IF(AND(AA$5&lt;=$F203,AA$5+GanttPeriod-1&gt;=$E203),"━","")))</f>
        <v/>
      </c>
      <c r="AB203" s="69" t="str">
        <f aca="false">IF($E203="","",IF($M203,IF(AND($G203&gt;=AB$5,$G203&lt;AB$5+GanttPeriod),"◆",IF(AND($E203&gt;=AB$5,$E203&lt;AB$5+GanttPeriod),"◇","")),IF(AND(AB$5&lt;=$F203,AB$5+GanttPeriod-1&gt;=$E203),"━","")))</f>
        <v/>
      </c>
      <c r="AC203" s="69" t="str">
        <f aca="false">IF($E203="","",IF($M203,IF(AND($G203&gt;=AC$5,$G203&lt;AC$5+GanttPeriod),"◆",IF(AND($E203&gt;=AC$5,$E203&lt;AC$5+GanttPeriod),"◇","")),IF(AND(AC$5&lt;=$F203,AC$5+GanttPeriod-1&gt;=$E203),"━","")))</f>
        <v/>
      </c>
      <c r="AD203" s="69" t="str">
        <f aca="false">IF($E203="","",IF($M203,IF(AND($G203&gt;=AD$5,$G203&lt;AD$5+GanttPeriod),"◆",IF(AND($E203&gt;=AD$5,$E203&lt;AD$5+GanttPeriod),"◇","")),IF(AND(AD$5&lt;=$F203,AD$5+GanttPeriod-1&gt;=$E203),"━","")))</f>
        <v/>
      </c>
      <c r="AE203" s="69" t="str">
        <f aca="false">IF($E203="","",IF($M203,IF(AND($G203&gt;=AE$5,$G203&lt;AE$5+GanttPeriod),"◆",IF(AND($E203&gt;=AE$5,$E203&lt;AE$5+GanttPeriod),"◇","")),IF(AND(AE$5&lt;=$F203,AE$5+GanttPeriod-1&gt;=$E203),"━","")))</f>
        <v/>
      </c>
      <c r="AF203" s="69" t="str">
        <f aca="false">IF($E203="","",IF($M203,IF(AND($G203&gt;=AF$5,$G203&lt;AF$5+GanttPeriod),"◆",IF(AND($E203&gt;=AF$5,$E203&lt;AF$5+GanttPeriod),"◇","")),IF(AND(AF$5&lt;=$F203,AF$5+GanttPeriod-1&gt;=$E203),"━","")))</f>
        <v/>
      </c>
      <c r="AG203" s="69" t="str">
        <f aca="false">IF($E203="","",IF($M203,IF(AND($G203&gt;=AG$5,$G203&lt;AG$5+GanttPeriod),"◆",IF(AND($E203&gt;=AG$5,$E203&lt;AG$5+GanttPeriod),"◇","")),IF(AND(AG$5&lt;=$F203,AG$5+GanttPeriod-1&gt;=$E203),"━","")))</f>
        <v/>
      </c>
      <c r="AH203" s="69" t="str">
        <f aca="false">IF($E203="","",IF($M203,IF(AND($G203&gt;=AH$5,$G203&lt;AH$5+GanttPeriod),"◆",IF(AND($E203&gt;=AH$5,$E203&lt;AH$5+GanttPeriod),"◇","")),IF(AND(AH$5&lt;=$F203,AH$5+GanttPeriod-1&gt;=$E203),"━","")))</f>
        <v/>
      </c>
      <c r="AI203" s="69" t="str">
        <f aca="false">IF($E203="","",IF($M203,IF(AND($G203&gt;=AI$5,$G203&lt;AI$5+GanttPeriod),"◆",IF(AND($E203&gt;=AI$5,$E203&lt;AI$5+GanttPeriod),"◇","")),IF(AND(AI$5&lt;=$F203,AI$5+GanttPeriod-1&gt;=$E203),"━","")))</f>
        <v/>
      </c>
      <c r="AJ203" s="69" t="str">
        <f aca="false">IF($E203="","",IF($M203,IF(AND($G203&gt;=AJ$5,$G203&lt;AJ$5+GanttPeriod),"◆",IF(AND($E203&gt;=AJ$5,$E203&lt;AJ$5+GanttPeriod),"◇","")),IF(AND(AJ$5&lt;=$F203,AJ$5+GanttPeriod-1&gt;=$E203),"━","")))</f>
        <v/>
      </c>
      <c r="AK203" s="69" t="str">
        <f aca="false">IF($E203="","",IF($M203,IF(AND($G203&gt;=AK$5,$G203&lt;AK$5+GanttPeriod),"◆",IF(AND($E203&gt;=AK$5,$E203&lt;AK$5+GanttPeriod),"◇","")),IF(AND(AK$5&lt;=$F203,AK$5+GanttPeriod-1&gt;=$E203),"━","")))</f>
        <v/>
      </c>
      <c r="AL203" s="69" t="str">
        <f aca="false">IF($E203="","",IF($M203,IF(AND($G203&gt;=AL$5,$G203&lt;AL$5+GanttPeriod),"◆",IF(AND($E203&gt;=AL$5,$E203&lt;AL$5+GanttPeriod),"◇","")),IF(AND(AL$5&lt;=$F203,AL$5+GanttPeriod-1&gt;=$E203),"━","")))</f>
        <v/>
      </c>
      <c r="AM203" s="69" t="str">
        <f aca="false">IF($E203="","",IF($M203,IF(AND($G203&gt;=AM$5,$G203&lt;AM$5+GanttPeriod),"◆",IF(AND($E203&gt;=AM$5,$E203&lt;AM$5+GanttPeriod),"◇","")),IF(AND(AM$5&lt;=$F203,AM$5+GanttPeriod-1&gt;=$E203),"━","")))</f>
        <v/>
      </c>
      <c r="AN203" s="69" t="str">
        <f aca="false">IF($E203="","",IF($M203,IF(AND($G203&gt;=AN$5,$G203&lt;AN$5+GanttPeriod),"◆",IF(AND($E203&gt;=AN$5,$E203&lt;AN$5+GanttPeriod),"◇","")),IF(AND(AN$5&lt;=$F203,AN$5+GanttPeriod-1&gt;=$E203),"━","")))</f>
        <v/>
      </c>
      <c r="AO203" s="69" t="str">
        <f aca="false">IF($E203="","",IF($M203,IF(AND($G203&gt;=AO$5,$G203&lt;AO$5+GanttPeriod),"◆",IF(AND($E203&gt;=AO$5,$E203&lt;AO$5+GanttPeriod),"◇","")),IF(AND(AO$5&lt;=$F203,AO$5+GanttPeriod-1&gt;=$E203),"━","")))</f>
        <v/>
      </c>
      <c r="AP203" s="69" t="str">
        <f aca="false">IF($E203="","",IF($M203,IF(AND($G203&gt;=AP$5,$G203&lt;AP$5+GanttPeriod),"◆",IF(AND($E203&gt;=AP$5,$E203&lt;AP$5+GanttPeriod),"◇","")),IF(AND(AP$5&lt;=$F203,AP$5+GanttPeriod-1&gt;=$E203),"━","")))</f>
        <v/>
      </c>
      <c r="AQ203" s="69" t="str">
        <f aca="false">IF($E203="","",IF($M203,IF(AND($G203&gt;=AQ$5,$G203&lt;AQ$5+GanttPeriod),"◆",IF(AND($E203&gt;=AQ$5,$E203&lt;AQ$5+GanttPeriod),"◇","")),IF(AND(AQ$5&lt;=$F203,AQ$5+GanttPeriod-1&gt;=$E203),"━","")))</f>
        <v/>
      </c>
      <c r="AR203" s="69" t="str">
        <f aca="false">IF($E203="","",IF($M203,IF(AND($G203&gt;=AR$5,$G203&lt;AR$5+GanttPeriod),"◆",IF(AND($E203&gt;=AR$5,$E203&lt;AR$5+GanttPeriod),"◇","")),IF(AND(AR$5&lt;=$F203,AR$5+GanttPeriod-1&gt;=$E203),"━","")))</f>
        <v/>
      </c>
      <c r="AS203" s="69" t="str">
        <f aca="false">IF($E203="","",IF($M203,IF(AND($G203&gt;=AS$5,$G203&lt;AS$5+GanttPeriod),"◆",IF(AND($E203&gt;=AS$5,$E203&lt;AS$5+GanttPeriod),"◇","")),IF(AND(AS$5&lt;=$F203,AS$5+GanttPeriod-1&gt;=$E203),"━","")))</f>
        <v/>
      </c>
      <c r="AT203" s="69" t="str">
        <f aca="false">IF($E203="","",IF($M203,IF(AND($G203&gt;=AT$5,$G203&lt;AT$5+GanttPeriod),"◆",IF(AND($E203&gt;=AT$5,$E203&lt;AT$5+GanttPeriod),"◇","")),IF(AND(AT$5&lt;=$F203,AT$5+GanttPeriod-1&gt;=$E203),"━","")))</f>
        <v/>
      </c>
      <c r="AU203" s="69" t="str">
        <f aca="false">IF($E203="","",IF($M203,IF(AND($G203&gt;=AU$5,$G203&lt;AU$5+GanttPeriod),"◆",IF(AND($E203&gt;=AU$5,$E203&lt;AU$5+GanttPeriod),"◇","")),IF(AND(AU$5&lt;=$F203,AU$5+GanttPeriod-1&gt;=$E203),"━","")))</f>
        <v/>
      </c>
      <c r="AV203" s="69" t="str">
        <f aca="false">IF($E203="","",IF($M203,IF(AND($G203&gt;=AV$5,$G203&lt;AV$5+GanttPeriod),"◆",IF(AND($E203&gt;=AV$5,$E203&lt;AV$5+GanttPeriod),"◇","")),IF(AND(AV$5&lt;=$F203,AV$5+GanttPeriod-1&gt;=$E203),"━","")))</f>
        <v/>
      </c>
      <c r="AW203" s="69" t="str">
        <f aca="false">IF($E203="","",IF($M203,IF(AND($G203&gt;=AW$5,$G203&lt;AW$5+GanttPeriod),"◆",IF(AND($E203&gt;=AW$5,$E203&lt;AW$5+GanttPeriod),"◇","")),IF(AND(AW$5&lt;=$F203,AW$5+GanttPeriod-1&gt;=$E203),"━","")))</f>
        <v/>
      </c>
      <c r="AX203" s="69" t="str">
        <f aca="false">IF($E203="","",IF($M203,IF(AND($G203&gt;=AX$5,$G203&lt;AX$5+GanttPeriod),"◆",IF(AND($E203&gt;=AX$5,$E203&lt;AX$5+GanttPeriod),"◇","")),IF(AND(AX$5&lt;=$F203,AX$5+GanttPeriod-1&gt;=$E203),"━","")))</f>
        <v/>
      </c>
      <c r="AY203" s="69" t="str">
        <f aca="false">IF($E203="","",IF($M203,IF(AND($G203&gt;=AY$5,$G203&lt;AY$5+GanttPeriod),"◆",IF(AND($E203&gt;=AY$5,$E203&lt;AY$5+GanttPeriod),"◇","")),IF(AND(AY$5&lt;=$F203,AY$5+GanttPeriod-1&gt;=$E203),"━","")))</f>
        <v/>
      </c>
      <c r="AZ203" s="69" t="str">
        <f aca="false">IF($E203="","",IF($M203,IF(AND($G203&gt;=AZ$5,$G203&lt;AZ$5+GanttPeriod),"◆",IF(AND($E203&gt;=AZ$5,$E203&lt;AZ$5+GanttPeriod),"◇","")),IF(AND(AZ$5&lt;=$F203,AZ$5+GanttPeriod-1&gt;=$E203),"━","")))</f>
        <v/>
      </c>
      <c r="BA203" s="69" t="str">
        <f aca="false">IF($E203="","",IF($M203,IF(AND($G203&gt;=BA$5,$G203&lt;BA$5+GanttPeriod),"◆",IF(AND($E203&gt;=BA$5,$E203&lt;BA$5+GanttPeriod),"◇","")),IF(AND(BA$5&lt;=$F203,BA$5+GanttPeriod-1&gt;=$E203),"━","")))</f>
        <v/>
      </c>
      <c r="BB203" s="69" t="str">
        <f aca="false">IF($E203="","",IF($M203,IF(AND($G203&gt;=BB$5,$G203&lt;BB$5+GanttPeriod),"◆",IF(AND($E203&gt;=BB$5,$E203&lt;BB$5+GanttPeriod),"◇","")),IF(AND(BB$5&lt;=$F203,BB$5+GanttPeriod-1&gt;=$E203),"━","")))</f>
        <v/>
      </c>
      <c r="BC203" s="69" t="str">
        <f aca="false">IF($E203="","",IF($M203,IF(AND($G203&gt;=BC$5,$G203&lt;BC$5+GanttPeriod),"◆",IF(AND($E203&gt;=BC$5,$E203&lt;BC$5+GanttPeriod),"◇","")),IF(AND(BC$5&lt;=$F203,BC$5+GanttPeriod-1&gt;=$E203),"━","")))</f>
        <v/>
      </c>
      <c r="BD203" s="69" t="str">
        <f aca="false">IF($E203="","",IF($M203,IF(AND($G203&gt;=BD$5,$G203&lt;BD$5+GanttPeriod),"◆",IF(AND($E203&gt;=BD$5,$E203&lt;BD$5+GanttPeriod),"◇","")),IF(AND(BD$5&lt;=$F203,BD$5+GanttPeriod-1&gt;=$E203),"━","")))</f>
        <v/>
      </c>
      <c r="BE203" s="69" t="str">
        <f aca="false">IF($E203="","",IF($M203,IF(AND($G203&gt;=BE$5,$G203&lt;BE$5+GanttPeriod),"◆",IF(AND($E203&gt;=BE$5,$E203&lt;BE$5+GanttPeriod),"◇","")),IF(AND(BE$5&lt;=$F203,BE$5+GanttPeriod-1&gt;=$E203),"━","")))</f>
        <v/>
      </c>
      <c r="BF203" s="69" t="str">
        <f aca="false">IF($E203="","",IF($M203,IF(AND($G203&gt;=BF$5,$G203&lt;BF$5+GanttPeriod),"◆",IF(AND($E203&gt;=BF$5,$E203&lt;BF$5+GanttPeriod),"◇","")),IF(AND(BF$5&lt;=$F203,BF$5+GanttPeriod-1&gt;=$E203),"━","")))</f>
        <v/>
      </c>
      <c r="BG203" s="69" t="str">
        <f aca="false">IF($E203="","",IF($M203,IF(AND($G203&gt;=BG$5,$G203&lt;BG$5+GanttPeriod),"◆",IF(AND($E203&gt;=BG$5,$E203&lt;BG$5+GanttPeriod),"◇","")),IF(AND(BG$5&lt;=$F203,BG$5+GanttPeriod-1&gt;=$E203),"━","")))</f>
        <v/>
      </c>
      <c r="BH203" s="69" t="str">
        <f aca="false">IF($E203="","",IF($M203,IF(AND($G203&gt;=BH$5,$G203&lt;BH$5+GanttPeriod),"◆",IF(AND($E203&gt;=BH$5,$E203&lt;BH$5+GanttPeriod),"◇","")),IF(AND(BH$5&lt;=$F203,BH$5+GanttPeriod-1&gt;=$E203),"━","")))</f>
        <v/>
      </c>
      <c r="BI203" s="69" t="str">
        <f aca="false">IF($E203="","",IF($M203,IF(AND($G203&gt;=BI$5,$G203&lt;BI$5+GanttPeriod),"◆",IF(AND($E203&gt;=BI$5,$E203&lt;BI$5+GanttPeriod),"◇","")),IF(AND(BI$5&lt;=$F203,BI$5+GanttPeriod-1&gt;=$E203),"━","")))</f>
        <v/>
      </c>
      <c r="BJ203" s="69" t="str">
        <f aca="false">IF($E203="","",IF($M203,IF(AND($G203&gt;=BJ$5,$G203&lt;BJ$5+GanttPeriod),"◆",IF(AND($E203&gt;=BJ$5,$E203&lt;BJ$5+GanttPeriod),"◇","")),IF(AND(BJ$5&lt;=$F203,BJ$5+GanttPeriod-1&gt;=$E203),"━","")))</f>
        <v/>
      </c>
      <c r="BK203" s="69" t="str">
        <f aca="false">IF($E203="","",IF($M203,IF(AND($G203&gt;=BK$5,$G203&lt;BK$5+GanttPeriod),"◆",IF(AND($E203&gt;=BK$5,$E203&lt;BK$5+GanttPeriod),"◇","")),IF(AND(BK$5&lt;=$F203,BK$5+GanttPeriod-1&gt;=$E203),"━","")))</f>
        <v/>
      </c>
      <c r="BL203" s="69" t="str">
        <f aca="false">IF($E203="","",IF($M203,IF(AND($G203&gt;=BL$5,$G203&lt;BL$5+GanttPeriod),"◆",IF(AND($E203&gt;=BL$5,$E203&lt;BL$5+GanttPeriod),"◇","")),IF(AND(BL$5&lt;=$F203,BL$5+GanttPeriod-1&gt;=$E203),"━","")))</f>
        <v/>
      </c>
      <c r="BM203" s="69" t="str">
        <f aca="false">IF($E203="","",IF($M203,IF(AND($G203&gt;=BM$5,$G203&lt;BM$5+GanttPeriod),"◆",IF(AND($E203&gt;=BM$5,$E203&lt;BM$5+GanttPeriod),"◇","")),IF(AND(BM$5&lt;=$F203,BM$5+GanttPeriod-1&gt;=$E203),"━","")))</f>
        <v/>
      </c>
      <c r="BN203" s="69" t="str">
        <f aca="false">IF($E203="","",IF($M203,IF(AND($G203&gt;=BN$5,$G203&lt;BN$5+GanttPeriod),"◆",IF(AND($E203&gt;=BN$5,$E203&lt;BN$5+GanttPeriod),"◇","")),IF(AND(BN$5&lt;=$F203,BN$5+GanttPeriod-1&gt;=$E203),"━","")))</f>
        <v/>
      </c>
      <c r="BO203" s="69" t="str">
        <f aca="false">IF($E203="","",IF($M203,IF(AND($G203&gt;=BO$5,$G203&lt;BO$5+GanttPeriod),"◆",IF(AND($E203&gt;=BO$5,$E203&lt;BO$5+GanttPeriod),"◇","")),IF(AND(BO$5&lt;=$F203,BO$5+GanttPeriod-1&gt;=$E203),"━","")))</f>
        <v/>
      </c>
      <c r="BP203" s="69" t="str">
        <f aca="false">IF($E203="","",IF($M203,IF(AND($G203&gt;=BP$5,$G203&lt;BP$5+GanttPeriod),"◆",IF(AND($E203&gt;=BP$5,$E203&lt;BP$5+GanttPeriod),"◇","")),IF(AND(BP$5&lt;=$F203,BP$5+GanttPeriod-1&gt;=$E203),"━","")))</f>
        <v/>
      </c>
      <c r="BQ203" s="69" t="str">
        <f aca="false">IF($E203="","",IF($M203,IF(AND($G203&gt;=BQ$5,$G203&lt;BQ$5+GanttPeriod),"◆",IF(AND($E203&gt;=BQ$5,$E203&lt;BQ$5+GanttPeriod),"◇","")),IF(AND(BQ$5&lt;=$F203,BQ$5+GanttPeriod-1&gt;=$E203),"━","")))</f>
        <v/>
      </c>
      <c r="BR203" s="69" t="str">
        <f aca="false">IF($E203="","",IF($M203,IF(AND($G203&gt;=BR$5,$G203&lt;BR$5+GanttPeriod),"◆",IF(AND($E203&gt;=BR$5,$E203&lt;BR$5+GanttPeriod),"◇","")),IF(AND(BR$5&lt;=$F203,BR$5+GanttPeriod-1&gt;=$E203),"━","")))</f>
        <v/>
      </c>
      <c r="BS203" s="69" t="str">
        <f aca="false">IF($E203="","",IF($M203,IF(AND($G203&gt;=BS$5,$G203&lt;BS$5+GanttPeriod),"◆",IF(AND($E203&gt;=BS$5,$E203&lt;BS$5+GanttPeriod),"◇","")),IF(AND(BS$5&lt;=$F203,BS$5+GanttPeriod-1&gt;=$E203),"━","")))</f>
        <v/>
      </c>
      <c r="BT203" s="69" t="str">
        <f aca="false">IF($E203="","",IF($M203,IF(AND($G203&gt;=BT$5,$G203&lt;BT$5+GanttPeriod),"◆",IF(AND($E203&gt;=BT$5,$E203&lt;BT$5+GanttPeriod),"◇","")),IF(AND(BT$5&lt;=$F203,BT$5+GanttPeriod-1&gt;=$E203),"━","")))</f>
        <v/>
      </c>
      <c r="BU203" s="69" t="str">
        <f aca="false">IF($E203="","",IF($M203,IF(AND($G203&gt;=BU$5,$G203&lt;BU$5+GanttPeriod),"◆",IF(AND($E203&gt;=BU$5,$E203&lt;BU$5+GanttPeriod),"◇","")),IF(AND(BU$5&lt;=$F203,BU$5+GanttPeriod-1&gt;=$E203),"━","")))</f>
        <v/>
      </c>
      <c r="BV203" s="69" t="str">
        <f aca="false">IF($E203="","",IF($M203,IF(AND($G203&gt;=BV$5,$G203&lt;BV$5+GanttPeriod),"◆",IF(AND($E203&gt;=BV$5,$E203&lt;BV$5+GanttPeriod),"◇","")),IF(AND(BV$5&lt;=$F203,BV$5+GanttPeriod-1&gt;=$E203),"━","")))</f>
        <v/>
      </c>
      <c r="BW203" s="69" t="str">
        <f aca="false">IF($E203="","",IF($M203,IF(AND($G203&gt;=BW$5,$G203&lt;BW$5+GanttPeriod),"◆",IF(AND($E203&gt;=BW$5,$E203&lt;BW$5+GanttPeriod),"◇","")),IF(AND(BW$5&lt;=$F203,BW$5+GanttPeriod-1&gt;=$E203),"━","")))</f>
        <v/>
      </c>
      <c r="BX203" s="69" t="str">
        <f aca="false">IF($E203="","",IF($M203,IF(AND($G203&gt;=BX$5,$G203&lt;BX$5+GanttPeriod),"◆",IF(AND($E203&gt;=BX$5,$E203&lt;BX$5+GanttPeriod),"◇","")),IF(AND(BX$5&lt;=$F203,BX$5+GanttPeriod-1&gt;=$E203),"━","")))</f>
        <v/>
      </c>
      <c r="BY203" s="69" t="str">
        <f aca="false">IF($E203="","",IF($M203,IF(AND($G203&gt;=BY$5,$G203&lt;BY$5+GanttPeriod),"◆",IF(AND($E203&gt;=BY$5,$E203&lt;BY$5+GanttPeriod),"◇","")),IF(AND(BY$5&lt;=$F203,BY$5+GanttPeriod-1&gt;=$E203),"━","")))</f>
        <v/>
      </c>
      <c r="BZ203" s="69" t="str">
        <f aca="false">IF($E203="","",IF($M203,IF(AND($G203&gt;=BZ$5,$G203&lt;BZ$5+GanttPeriod),"◆",IF(AND($E203&gt;=BZ$5,$E203&lt;BZ$5+GanttPeriod),"◇","")),IF(AND(BZ$5&lt;=$F203,BZ$5+GanttPeriod-1&gt;=$E203),"━","")))</f>
        <v/>
      </c>
      <c r="CA203" s="69" t="str">
        <f aca="false">IF($E203="","",IF($M203,IF(AND($G203&gt;=CA$5,$G203&lt;CA$5+GanttPeriod),"◆",IF(AND($E203&gt;=CA$5,$E203&lt;CA$5+GanttPeriod),"◇","")),IF(AND(CA$5&lt;=$F203,CA$5+GanttPeriod-1&gt;=$E203),"━","")))</f>
        <v/>
      </c>
      <c r="CB203" s="69" t="str">
        <f aca="false">IF($E203="","",IF($M203,IF(AND($G203&gt;=CB$5,$G203&lt;CB$5+GanttPeriod),"◆",IF(AND($E203&gt;=CB$5,$E203&lt;CB$5+GanttPeriod),"◇","")),IF(AND(CB$5&lt;=$F203,CB$5+GanttPeriod-1&gt;=$E203),"━","")))</f>
        <v/>
      </c>
      <c r="CC203" s="69" t="str">
        <f aca="false">IF($E203="","",IF($M203,IF(AND($G203&gt;=CC$5,$G203&lt;CC$5+GanttPeriod),"◆",IF(AND($E203&gt;=CC$5,$E203&lt;CC$5+GanttPeriod),"◇","")),IF(AND(CC$5&lt;=$F203,CC$5+GanttPeriod-1&gt;=$E203),"━","")))</f>
        <v/>
      </c>
      <c r="CD203" s="69" t="str">
        <f aca="false">IF($E203="","",IF($M203,IF(AND($G203&gt;=CD$5,$G203&lt;CD$5+GanttPeriod),"◆",IF(AND($E203&gt;=CD$5,$E203&lt;CD$5+GanttPeriod),"◇","")),IF(AND(CD$5&lt;=$F203,CD$5+GanttPeriod-1&gt;=$E203),"━","")))</f>
        <v/>
      </c>
      <c r="CE203" s="69" t="str">
        <f aca="false">IF($E203="","",IF($M203,IF(AND($G203&gt;=CE$5,$G203&lt;CE$5+GanttPeriod),"◆",IF(AND($E203&gt;=CE$5,$E203&lt;CE$5+GanttPeriod),"◇","")),IF(AND(CE$5&lt;=$F203,CE$5+GanttPeriod-1&gt;=$E203),"━","")))</f>
        <v/>
      </c>
      <c r="CF203" s="69" t="str">
        <f aca="false">IF($E203="","",IF($M203,IF(AND($G203&gt;=CF$5,$G203&lt;CF$5+GanttPeriod),"◆",IF(AND($E203&gt;=CF$5,$E203&lt;CF$5+GanttPeriod),"◇","")),IF(AND(CF$5&lt;=$F203,CF$5+GanttPeriod-1&gt;=$E203),"━","")))</f>
        <v/>
      </c>
      <c r="CG203" s="69" t="str">
        <f aca="false">IF($E203="","",IF($M203,IF(AND($G203&gt;=CG$5,$G203&lt;CG$5+GanttPeriod),"◆",IF(AND($E203&gt;=CG$5,$E203&lt;CG$5+GanttPeriod),"◇","")),IF(AND(CG$5&lt;=$F203,CG$5+GanttPeriod-1&gt;=$E203),"━","")))</f>
        <v/>
      </c>
      <c r="CH203" s="69" t="str">
        <f aca="false">IF($E203="","",IF($M203,IF(AND($G203&gt;=CH$5,$G203&lt;CH$5+GanttPeriod),"◆",IF(AND($E203&gt;=CH$5,$E203&lt;CH$5+GanttPeriod),"◇","")),IF(AND(CH$5&lt;=$F203,CH$5+GanttPeriod-1&gt;=$E203),"━","")))</f>
        <v/>
      </c>
      <c r="CI203" s="69" t="str">
        <f aca="false">IF($E203="","",IF($M203,IF(AND($G203&gt;=CI$5,$G203&lt;CI$5+GanttPeriod),"◆",IF(AND($E203&gt;=CI$5,$E203&lt;CI$5+GanttPeriod),"◇","")),IF(AND(CI$5&lt;=$F203,CI$5+GanttPeriod-1&gt;=$E203),"━","")))</f>
        <v/>
      </c>
      <c r="CJ203" s="69" t="str">
        <f aca="false">IF($E203="","",IF($M203,IF(AND($G203&gt;=CJ$5,$G203&lt;CJ$5+GanttPeriod),"◆",IF(AND($E203&gt;=CJ$5,$E203&lt;CJ$5+GanttPeriod),"◇","")),IF(AND(CJ$5&lt;=$F203,CJ$5+GanttPeriod-1&gt;=$E203),"━","")))</f>
        <v/>
      </c>
      <c r="CK203" s="69" t="str">
        <f aca="false">IF($E203="","",IF($M203,IF(AND($G203&gt;=CK$5,$G203&lt;CK$5+GanttPeriod),"◆",IF(AND($E203&gt;=CK$5,$E203&lt;CK$5+GanttPeriod),"◇","")),IF(AND(CK$5&lt;=$F203,CK$5+GanttPeriod-1&gt;=$E203),"━","")))</f>
        <v/>
      </c>
      <c r="CL203" s="69" t="str">
        <f aca="false">IF($E203="","",IF($M203,IF(AND($G203&gt;=CL$5,$G203&lt;CL$5+GanttPeriod),"◆",IF(AND($E203&gt;=CL$5,$E203&lt;CL$5+GanttPeriod),"◇","")),IF(AND(CL$5&lt;=$F203,CL$5+GanttPeriod-1&gt;=$E203),"━","")))</f>
        <v/>
      </c>
      <c r="CM203" s="69" t="str">
        <f aca="false">IF($E203="","",IF($M203,IF(AND($G203&gt;=CM$5,$G203&lt;CM$5+GanttPeriod),"◆",IF(AND($E203&gt;=CM$5,$E203&lt;CM$5+GanttPeriod),"◇","")),IF(AND(CM$5&lt;=$F203,CM$5+GanttPeriod-1&gt;=$E203),"━","")))</f>
        <v/>
      </c>
      <c r="CN203" s="69" t="str">
        <f aca="false">IF($E203="","",IF($M203,IF(AND($G203&gt;=CN$5,$G203&lt;CN$5+GanttPeriod),"◆",IF(AND($E203&gt;=CN$5,$E203&lt;CN$5+GanttPeriod),"◇","")),IF(AND(CN$5&lt;=$F203,CN$5+GanttPeriod-1&gt;=$E203),"━","")))</f>
        <v/>
      </c>
      <c r="CO203" s="69" t="str">
        <f aca="false">IF($E203="","",IF($M203,IF(AND($G203&gt;=CO$5,$G203&lt;CO$5+GanttPeriod),"◆",IF(AND($E203&gt;=CO$5,$E203&lt;CO$5+GanttPeriod),"◇","")),IF(AND(CO$5&lt;=$F203,CO$5+GanttPeriod-1&gt;=$E203),"━","")))</f>
        <v/>
      </c>
      <c r="CP203" s="69" t="str">
        <f aca="false">IF($E203="","",IF($M203,IF(AND($G203&gt;=CP$5,$G203&lt;CP$5+GanttPeriod),"◆",IF(AND($E203&gt;=CP$5,$E203&lt;CP$5+GanttPeriod),"◇","")),IF(AND(CP$5&lt;=$F203,CP$5+GanttPeriod-1&gt;=$E203),"━","")))</f>
        <v/>
      </c>
      <c r="CQ203" s="69" t="str">
        <f aca="false">IF($E203="","",IF($M203,IF(AND($G203&gt;=CQ$5,$G203&lt;CQ$5+GanttPeriod),"◆",IF(AND($E203&gt;=CQ$5,$E203&lt;CQ$5+GanttPeriod),"◇","")),IF(AND(CQ$5&lt;=$F203,CQ$5+GanttPeriod-1&gt;=$E203),"━","")))</f>
        <v/>
      </c>
      <c r="CR203" s="69" t="str">
        <f aca="false">IF($E203="","",IF($M203,IF(AND($G203&gt;=CR$5,$G203&lt;CR$5+GanttPeriod),"◆",IF(AND($E203&gt;=CR$5,$E203&lt;CR$5+GanttPeriod),"◇","")),IF(AND(CR$5&lt;=$F203,CR$5+GanttPeriod-1&gt;=$E203),"━","")))</f>
        <v/>
      </c>
      <c r="CS203" s="69" t="str">
        <f aca="false">IF($E203="","",IF($M203,IF(AND($G203&gt;=CS$5,$G203&lt;CS$5+GanttPeriod),"◆",IF(AND($E203&gt;=CS$5,$E203&lt;CS$5+GanttPeriod),"◇","")),IF(AND(CS$5&lt;=$F203,CS$5+GanttPeriod-1&gt;=$E203),"━","")))</f>
        <v/>
      </c>
      <c r="CT203" s="69" t="str">
        <f aca="false">IF($E203="","",IF($M203,IF(AND($G203&gt;=CT$5,$G203&lt;CT$5+GanttPeriod),"◆",IF(AND($E203&gt;=CT$5,$E203&lt;CT$5+GanttPeriod),"◇","")),IF(AND(CT$5&lt;=$F203,CT$5+GanttPeriod-1&gt;=$E203),"━","")))</f>
        <v/>
      </c>
      <c r="CU203" s="69" t="str">
        <f aca="false">IF($E203="","",IF($M203,IF(AND($G203&gt;=CU$5,$G203&lt;CU$5+GanttPeriod),"◆",IF(AND($E203&gt;=CU$5,$E203&lt;CU$5+GanttPeriod),"◇","")),IF(AND(CU$5&lt;=$F203,CU$5+GanttPeriod-1&gt;=$E203),"━","")))</f>
        <v/>
      </c>
      <c r="CV203" s="69" t="str">
        <f aca="false">IF($E203="","",IF($M203,IF(AND($G203&gt;=CV$5,$G203&lt;CV$5+GanttPeriod),"◆",IF(AND($E203&gt;=CV$5,$E203&lt;CV$5+GanttPeriod),"◇","")),IF(AND(CV$5&lt;=$F203,CV$5+GanttPeriod-1&gt;=$E203),"━","")))</f>
        <v/>
      </c>
      <c r="CW203" s="69" t="str">
        <f aca="false">IF($E203="","",IF($M203,IF(AND($G203&gt;=CW$5,$G203&lt;CW$5+GanttPeriod),"◆",IF(AND($E203&gt;=CW$5,$E203&lt;CW$5+GanttPeriod),"◇","")),IF(AND(CW$5&lt;=$F203,CW$5+GanttPeriod-1&gt;=$E203),"━","")))</f>
        <v/>
      </c>
      <c r="CX203" s="69" t="str">
        <f aca="false">IF($E203="","",IF($M203,IF(AND($G203&gt;=CX$5,$G203&lt;CX$5+GanttPeriod),"◆",IF(AND($E203&gt;=CX$5,$E203&lt;CX$5+GanttPeriod),"◇","")),IF(AND(CX$5&lt;=$F203,CX$5+GanttPeriod-1&gt;=$E203),"━","")))</f>
        <v/>
      </c>
      <c r="CY203" s="69" t="str">
        <f aca="false">IF($E203="","",IF($M203,IF(AND($G203&gt;=CY$5,$G203&lt;CY$5+GanttPeriod),"◆",IF(AND($E203&gt;=CY$5,$E203&lt;CY$5+GanttPeriod),"◇","")),IF(AND(CY$5&lt;=$F203,CY$5+GanttPeriod-1&gt;=$E203),"━","")))</f>
        <v/>
      </c>
      <c r="CZ203" s="69" t="str">
        <f aca="false">IF($E203="","",IF($M203,IF(AND($G203&gt;=CZ$5,$G203&lt;CZ$5+GanttPeriod),"◆",IF(AND($E203&gt;=CZ$5,$E203&lt;CZ$5+GanttPeriod),"◇","")),IF(AND(CZ$5&lt;=$F203,CZ$5+GanttPeriod-1&gt;=$E203),"━","")))</f>
        <v/>
      </c>
      <c r="DA203" s="69" t="str">
        <f aca="false">IF($E203="","",IF($M203,IF(AND($G203&gt;=DA$5,$G203&lt;DA$5+GanttPeriod),"◆",IF(AND($E203&gt;=DA$5,$E203&lt;DA$5+GanttPeriod),"◇","")),IF(AND(DA$5&lt;=$F203,DA$5+GanttPeriod-1&gt;=$E203),"━","")))</f>
        <v/>
      </c>
      <c r="DB203" s="69" t="str">
        <f aca="false">IF($E203="","",IF($M203,IF(AND($G203&gt;=DB$5,$G203&lt;DB$5+GanttPeriod),"◆",IF(AND($E203&gt;=DB$5,$E203&lt;DB$5+GanttPeriod),"◇","")),IF(AND(DB$5&lt;=$F203,DB$5+GanttPeriod-1&gt;=$E203),"━","")))</f>
        <v/>
      </c>
      <c r="DC203" s="69" t="str">
        <f aca="false">IF($E203="","",IF($M203,IF(AND($G203&gt;=DC$5,$G203&lt;DC$5+GanttPeriod),"◆",IF(AND($E203&gt;=DC$5,$E203&lt;DC$5+GanttPeriod),"◇","")),IF(AND(DC$5&lt;=$F203,DC$5+GanttPeriod-1&gt;=$E203),"━","")))</f>
        <v/>
      </c>
      <c r="DD203" s="69" t="str">
        <f aca="false">IF($E203="","",IF($M203,IF(AND($G203&gt;=DD$5,$G203&lt;DD$5+GanttPeriod),"◆",IF(AND($E203&gt;=DD$5,$E203&lt;DD$5+GanttPeriod),"◇","")),IF(AND(DD$5&lt;=$F203,DD$5+GanttPeriod-1&gt;=$E203),"━","")))</f>
        <v/>
      </c>
      <c r="DE203" s="69" t="str">
        <f aca="false">IF($E203="","",IF($M203,IF(AND($G203&gt;=DE$5,$G203&lt;DE$5+GanttPeriod),"◆",IF(AND($E203&gt;=DE$5,$E203&lt;DE$5+GanttPeriod),"◇","")),IF(AND(DE$5&lt;=$F203,DE$5+GanttPeriod-1&gt;=$E203),"━","")))</f>
        <v/>
      </c>
      <c r="DF203" s="69" t="str">
        <f aca="false">IF($E203="","",IF($M203,IF(AND($G203&gt;=DF$5,$G203&lt;DF$5+GanttPeriod),"◆",IF(AND($E203&gt;=DF$5,$E203&lt;DF$5+GanttPeriod),"◇","")),IF(AND(DF$5&lt;=$F203,DF$5+GanttPeriod-1&gt;=$E203),"━","")))</f>
        <v/>
      </c>
      <c r="DG203" s="69" t="str">
        <f aca="false">IF($E203="","",IF($M203,IF(AND($G203&gt;=DG$5,$G203&lt;DG$5+GanttPeriod),"◆",IF(AND($E203&gt;=DG$5,$E203&lt;DG$5+GanttPeriod),"◇","")),IF(AND(DG$5&lt;=$F203,DG$5+GanttPeriod-1&gt;=$E203),"━","")))</f>
        <v/>
      </c>
      <c r="DH203" s="69" t="str">
        <f aca="false">IF($E203="","",IF($M203,IF(AND($G203&gt;=DH$5,$G203&lt;DH$5+GanttPeriod),"◆",IF(AND($E203&gt;=DH$5,$E203&lt;DH$5+GanttPeriod),"◇","")),IF(AND(DH$5&lt;=$F203,DH$5+GanttPeriod-1&gt;=$E203),"━","")))</f>
        <v/>
      </c>
      <c r="DI203" s="69" t="str">
        <f aca="false">IF($E203="","",IF($M203,IF(AND($G203&gt;=DI$5,$G203&lt;DI$5+GanttPeriod),"◆",IF(AND($E203&gt;=DI$5,$E203&lt;DI$5+GanttPeriod),"◇","")),IF(AND(DI$5&lt;=$F203,DI$5+GanttPeriod-1&gt;=$E203),"━","")))</f>
        <v/>
      </c>
      <c r="DJ203" s="69" t="str">
        <f aca="false">IF($E203="","",IF($M203,IF(AND($G203&gt;=DJ$5,$G203&lt;DJ$5+GanttPeriod),"◆",IF(AND($E203&gt;=DJ$5,$E203&lt;DJ$5+GanttPeriod),"◇","")),IF(AND(DJ$5&lt;=$F203,DJ$5+GanttPeriod-1&gt;=$E203),"━","")))</f>
        <v/>
      </c>
      <c r="DK203" s="69" t="str">
        <f aca="false">IF($E203="","",IF($M203,IF(AND($G203&gt;=DK$5,$G203&lt;DK$5+GanttPeriod),"◆",IF(AND($E203&gt;=DK$5,$E203&lt;DK$5+GanttPeriod),"◇","")),IF(AND(DK$5&lt;=$F203,DK$5+GanttPeriod-1&gt;=$E203),"━","")))</f>
        <v/>
      </c>
      <c r="DL203" s="69" t="str">
        <f aca="false">IF($E203="","",IF($M203,IF(AND($G203&gt;=DL$5,$G203&lt;DL$5+GanttPeriod),"◆",IF(AND($E203&gt;=DL$5,$E203&lt;DL$5+GanttPeriod),"◇","")),IF(AND(DL$5&lt;=$F203,DL$5+GanttPeriod-1&gt;=$E203),"━","")))</f>
        <v/>
      </c>
      <c r="DM203" s="69" t="str">
        <f aca="false">IF($E203="","",IF($M203,IF(AND($G203&gt;=DM$5,$G203&lt;DM$5+GanttPeriod),"◆",IF(AND($E203&gt;=DM$5,$E203&lt;DM$5+GanttPeriod),"◇","")),IF(AND(DM$5&lt;=$F203,DM$5+GanttPeriod-1&gt;=$E203),"━","")))</f>
        <v/>
      </c>
      <c r="DN203" s="69" t="str">
        <f aca="false">IF($E203="","",IF($M203,IF(AND($G203&gt;=DN$5,$G203&lt;DN$5+GanttPeriod),"◆",IF(AND($E203&gt;=DN$5,$E203&lt;DN$5+GanttPeriod),"◇","")),IF(AND(DN$5&lt;=$F203,DN$5+GanttPeriod-1&gt;=$E203),"━","")))</f>
        <v/>
      </c>
      <c r="DO203" s="69" t="str">
        <f aca="false">IF($E203="","",IF($M203,IF(AND($G203&gt;=DO$5,$G203&lt;DO$5+GanttPeriod),"◆",IF(AND($E203&gt;=DO$5,$E203&lt;DO$5+GanttPeriod),"◇","")),IF(AND(DO$5&lt;=$F203,DO$5+GanttPeriod-1&gt;=$E203),"━","")))</f>
        <v/>
      </c>
      <c r="DP203" s="69" t="str">
        <f aca="false">IF($E203="","",IF($M203,IF(AND($G203&gt;=DP$5,$G203&lt;DP$5+GanttPeriod),"◆",IF(AND($E203&gt;=DP$5,$E203&lt;DP$5+GanttPeriod),"◇","")),IF(AND(DP$5&lt;=$F203,DP$5+GanttPeriod-1&gt;=$E203),"━","")))</f>
        <v/>
      </c>
      <c r="DQ203" s="69" t="str">
        <f aca="false">IF($E203="","",IF($M203,IF(AND($G203&gt;=DQ$5,$G203&lt;DQ$5+GanttPeriod),"◆",IF(AND($E203&gt;=DQ$5,$E203&lt;DQ$5+GanttPeriod),"◇","")),IF(AND(DQ$5&lt;=$F203,DQ$5+GanttPeriod-1&gt;=$E203),"━","")))</f>
        <v/>
      </c>
      <c r="DR203" s="69" t="str">
        <f aca="false">IF($E203="","",IF($M203,IF(AND($G203&gt;=DR$5,$G203&lt;DR$5+GanttPeriod),"◆",IF(AND($E203&gt;=DR$5,$E203&lt;DR$5+GanttPeriod),"◇","")),IF(AND(DR$5&lt;=$F203,DR$5+GanttPeriod-1&gt;=$E203),"━","")))</f>
        <v/>
      </c>
      <c r="DS203" s="69" t="str">
        <f aca="false">IF($E203="","",IF($M203,IF(AND($G203&gt;=DS$5,$G203&lt;DS$5+GanttPeriod),"◆",IF(AND($E203&gt;=DS$5,$E203&lt;DS$5+GanttPeriod),"◇","")),IF(AND(DS$5&lt;=$F203,DS$5+GanttPeriod-1&gt;=$E203),"━","")))</f>
        <v/>
      </c>
      <c r="DT203" s="69" t="str">
        <f aca="false">IF($E203="","",IF($M203,IF(AND($G203&gt;=DT$5,$G203&lt;DT$5+GanttPeriod),"◆",IF(AND($E203&gt;=DT$5,$E203&lt;DT$5+GanttPeriod),"◇","")),IF(AND(DT$5&lt;=$F203,DT$5+GanttPeriod-1&gt;=$E203),"━","")))</f>
        <v/>
      </c>
      <c r="DU203" s="69" t="str">
        <f aca="false">IF($E203="","",IF($M203,IF(AND($G203&gt;=DU$5,$G203&lt;DU$5+GanttPeriod),"◆",IF(AND($E203&gt;=DU$5,$E203&lt;DU$5+GanttPeriod),"◇","")),IF(AND(DU$5&lt;=$F203,DU$5+GanttPeriod-1&gt;=$E203),"━","")))</f>
        <v/>
      </c>
      <c r="DV203" s="69" t="str">
        <f aca="false">IF($E203="","",IF($M203,IF(AND($G203&gt;=DV$5,$G203&lt;DV$5+GanttPeriod),"◆",IF(AND($E203&gt;=DV$5,$E203&lt;DV$5+GanttPeriod),"◇","")),IF(AND(DV$5&lt;=$F203,DV$5+GanttPeriod-1&gt;=$E203),"━","")))</f>
        <v/>
      </c>
      <c r="DW203" s="69" t="str">
        <f aca="false">IF($E203="","",IF($M203,IF(AND($G203&gt;=DW$5,$G203&lt;DW$5+GanttPeriod),"◆",IF(AND($E203&gt;=DW$5,$E203&lt;DW$5+GanttPeriod),"◇","")),IF(AND(DW$5&lt;=$F203,DW$5+GanttPeriod-1&gt;=$E203),"━","")))</f>
        <v/>
      </c>
      <c r="DX203" s="69" t="str">
        <f aca="false">IF($E203="","",IF($M203,IF(AND($G203&gt;=DX$5,$G203&lt;DX$5+GanttPeriod),"◆",IF(AND($E203&gt;=DX$5,$E203&lt;DX$5+GanttPeriod),"◇","")),IF(AND(DX$5&lt;=$F203,DX$5+GanttPeriod-1&gt;=$E203),"━","")))</f>
        <v/>
      </c>
      <c r="DY203" s="69" t="str">
        <f aca="false">IF($E203="","",IF($M203,IF(AND($G203&gt;=DY$5,$G203&lt;DY$5+GanttPeriod),"◆",IF(AND($E203&gt;=DY$5,$E203&lt;DY$5+GanttPeriod),"◇","")),IF(AND(DY$5&lt;=$F203,DY$5+GanttPeriod-1&gt;=$E203),"━","")))</f>
        <v/>
      </c>
      <c r="DZ203" s="69" t="str">
        <f aca="false">IF($E203="","",IF($M203,IF(AND($G203&gt;=DZ$5,$G203&lt;DZ$5+GanttPeriod),"◆",IF(AND($E203&gt;=DZ$5,$E203&lt;DZ$5+GanttPeriod),"◇","")),IF(AND(DZ$5&lt;=$F203,DZ$5+GanttPeriod-1&gt;=$E203),"━","")))</f>
        <v/>
      </c>
      <c r="EA203" s="69" t="str">
        <f aca="false">IF($E203="","",IF($M203,IF(AND($G203&gt;=EA$5,$G203&lt;EA$5+GanttPeriod),"◆",IF(AND($E203&gt;=EA$5,$E203&lt;EA$5+GanttPeriod),"◇","")),IF(AND(EA$5&lt;=$F203,EA$5+GanttPeriod-1&gt;=$E203),"━","")))</f>
        <v/>
      </c>
      <c r="EB203" s="69" t="str">
        <f aca="false">IF($E203="","",IF($M203,IF(AND($G203&gt;=EB$5,$G203&lt;EB$5+GanttPeriod),"◆",IF(AND($E203&gt;=EB$5,$E203&lt;EB$5+GanttPeriod),"◇","")),IF(AND(EB$5&lt;=$F203,EB$5+GanttPeriod-1&gt;=$E203),"━","")))</f>
        <v/>
      </c>
      <c r="EC203" s="69" t="str">
        <f aca="false">IF($E203="","",IF($M203,IF(AND($G203&gt;=EC$5,$G203&lt;EC$5+GanttPeriod),"◆",IF(AND($E203&gt;=EC$5,$E203&lt;EC$5+GanttPeriod),"◇","")),IF(AND(EC$5&lt;=$F203,EC$5+GanttPeriod-1&gt;=$E203),"━","")))</f>
        <v/>
      </c>
      <c r="ED203" s="69" t="str">
        <f aca="false">IF($E203="","",IF($M203,IF(AND($G203&gt;=ED$5,$G203&lt;ED$5+GanttPeriod),"◆",IF(AND($E203&gt;=ED$5,$E203&lt;ED$5+GanttPeriod),"◇","")),IF(AND(ED$5&lt;=$F203,ED$5+GanttPeriod-1&gt;=$E203),"━","")))</f>
        <v/>
      </c>
      <c r="EE203" s="69" t="str">
        <f aca="false">IF($E203="","",IF($M203,IF(AND($G203&gt;=EE$5,$G203&lt;EE$5+GanttPeriod),"◆",IF(AND($E203&gt;=EE$5,$E203&lt;EE$5+GanttPeriod),"◇","")),IF(AND(EE$5&lt;=$F203,EE$5+GanttPeriod-1&gt;=$E203),"━","")))</f>
        <v/>
      </c>
      <c r="EF203" s="69" t="str">
        <f aca="false">IF($E203="","",IF($M203,IF(AND($G203&gt;=EF$5,$G203&lt;EF$5+GanttPeriod),"◆",IF(AND($E203&gt;=EF$5,$E203&lt;EF$5+GanttPeriod),"◇","")),IF(AND(EF$5&lt;=$F203,EF$5+GanttPeriod-1&gt;=$E203),"━","")))</f>
        <v/>
      </c>
      <c r="EG203" s="69" t="str">
        <f aca="false">IF($E203="","",IF($M203,IF(AND($G203&gt;=EG$5,$G203&lt;EG$5+GanttPeriod),"◆",IF(AND($E203&gt;=EG$5,$E203&lt;EG$5+GanttPeriod),"◇","")),IF(AND(EG$5&lt;=$F203,EG$5+GanttPeriod-1&gt;=$E203),"━","")))</f>
        <v/>
      </c>
      <c r="EH203" s="69" t="str">
        <f aca="false">IF($E203="","",IF($M203,IF(AND($G203&gt;=EH$5,$G203&lt;EH$5+GanttPeriod),"◆",IF(AND($E203&gt;=EH$5,$E203&lt;EH$5+GanttPeriod),"◇","")),IF(AND(EH$5&lt;=$F203,EH$5+GanttPeriod-1&gt;=$E203),"━","")))</f>
        <v/>
      </c>
      <c r="EI203" s="69" t="str">
        <f aca="false">IF($E203="","",IF($M203,IF(AND($G203&gt;=EI$5,$G203&lt;EI$5+GanttPeriod),"◆",IF(AND($E203&gt;=EI$5,$E203&lt;EI$5+GanttPeriod),"◇","")),IF(AND(EI$5&lt;=$F203,EI$5+GanttPeriod-1&gt;=$E203),"━","")))</f>
        <v/>
      </c>
      <c r="EJ203" s="69" t="str">
        <f aca="false">IF($E203="","",IF($M203,IF(AND($G203&gt;=EJ$5,$G203&lt;EJ$5+GanttPeriod),"◆",IF(AND($E203&gt;=EJ$5,$E203&lt;EJ$5+GanttPeriod),"◇","")),IF(AND(EJ$5&lt;=$F203,EJ$5+GanttPeriod-1&gt;=$E203),"━","")))</f>
        <v/>
      </c>
      <c r="EK203" s="69" t="str">
        <f aca="false">IF($E203="","",IF($M203,IF(AND($G203&gt;=EK$5,$G203&lt;EK$5+GanttPeriod),"◆",IF(AND($E203&gt;=EK$5,$E203&lt;EK$5+GanttPeriod),"◇","")),IF(AND(EK$5&lt;=$F203,EK$5+GanttPeriod-1&gt;=$E203),"━","")))</f>
        <v/>
      </c>
      <c r="EL203" s="69" t="str">
        <f aca="false">IF($E203="","",IF($M203,IF(AND($G203&gt;=EL$5,$G203&lt;EL$5+GanttPeriod),"◆",IF(AND($E203&gt;=EL$5,$E203&lt;EL$5+GanttPeriod),"◇","")),IF(AND(EL$5&lt;=$F203,EL$5+GanttPeriod-1&gt;=$E203),"━","")))</f>
        <v/>
      </c>
      <c r="EM203" s="69" t="str">
        <f aca="false">IF($E203="","",IF($M203,IF(AND($G203&gt;=EM$5,$G203&lt;EM$5+GanttPeriod),"◆",IF(AND($E203&gt;=EM$5,$E203&lt;EM$5+GanttPeriod),"◇","")),IF(AND(EM$5&lt;=$F203,EM$5+GanttPeriod-1&gt;=$E203),"━","")))</f>
        <v/>
      </c>
      <c r="EN203" s="69" t="str">
        <f aca="false">IF($E203="","",IF($M203,IF(AND($G203&gt;=EN$5,$G203&lt;EN$5+GanttPeriod),"◆",IF(AND($E203&gt;=EN$5,$E203&lt;EN$5+GanttPeriod),"◇","")),IF(AND(EN$5&lt;=$F203,EN$5+GanttPeriod-1&gt;=$E203),"━","")))</f>
        <v/>
      </c>
      <c r="EO203" s="69" t="str">
        <f aca="false">IF($E203="","",IF($M203,IF(AND($G203&gt;=EO$5,$G203&lt;EO$5+GanttPeriod),"◆",IF(AND($E203&gt;=EO$5,$E203&lt;EO$5+GanttPeriod),"◇","")),IF(AND(EO$5&lt;=$F203,EO$5+GanttPeriod-1&gt;=$E203),"━","")))</f>
        <v/>
      </c>
      <c r="EP203" s="69" t="str">
        <f aca="false">IF($E203="","",IF($M203,IF(AND($G203&gt;=EP$5,$G203&lt;EP$5+GanttPeriod),"◆",IF(AND($E203&gt;=EP$5,$E203&lt;EP$5+GanttPeriod),"◇","")),IF(AND(EP$5&lt;=$F203,EP$5+GanttPeriod-1&gt;=$E203),"━","")))</f>
        <v/>
      </c>
      <c r="EQ203" s="69" t="str">
        <f aca="false">IF($E203="","",IF($M203,IF(AND($G203&gt;=EQ$5,$G203&lt;EQ$5+GanttPeriod),"◆",IF(AND($E203&gt;=EQ$5,$E203&lt;EQ$5+GanttPeriod),"◇","")),IF(AND(EQ$5&lt;=$F203,EQ$5+GanttPeriod-1&gt;=$E203),"━","")))</f>
        <v/>
      </c>
      <c r="ER203" s="69" t="str">
        <f aca="false">IF($E203="","",IF($M203,IF(AND($G203&gt;=ER$5,$G203&lt;ER$5+GanttPeriod),"◆",IF(AND($E203&gt;=ER$5,$E203&lt;ER$5+GanttPeriod),"◇","")),IF(AND(ER$5&lt;=$F203,ER$5+GanttPeriod-1&gt;=$E203),"━","")))</f>
        <v/>
      </c>
      <c r="ES203" s="69" t="str">
        <f aca="false">IF($E203="","",IF($M203,IF(AND($G203&gt;=ES$5,$G203&lt;ES$5+GanttPeriod),"◆",IF(AND($E203&gt;=ES$5,$E203&lt;ES$5+GanttPeriod),"◇","")),IF(AND(ES$5&lt;=$F203,ES$5+GanttPeriod-1&gt;=$E203),"━","")))</f>
        <v/>
      </c>
      <c r="ET203" s="69" t="str">
        <f aca="false">IF($E203="","",IF($M203,IF(AND($G203&gt;=ET$5,$G203&lt;ET$5+GanttPeriod),"◆",IF(AND($E203&gt;=ET$5,$E203&lt;ET$5+GanttPeriod),"◇","")),IF(AND(ET$5&lt;=$F203,ET$5+GanttPeriod-1&gt;=$E203),"━","")))</f>
        <v/>
      </c>
      <c r="EU203" s="69" t="str">
        <f aca="false">IF($E203="","",IF($M203,IF(AND($G203&gt;=EU$5,$G203&lt;EU$5+GanttPeriod),"◆",IF(AND($E203&gt;=EU$5,$E203&lt;EU$5+GanttPeriod),"◇","")),IF(AND(EU$5&lt;=$F203,EU$5+GanttPeriod-1&gt;=$E203),"━","")))</f>
        <v/>
      </c>
      <c r="EV203" s="69" t="str">
        <f aca="false">IF($E203="","",IF($M203,IF(AND($G203&gt;=EV$5,$G203&lt;EV$5+GanttPeriod),"◆",IF(AND($E203&gt;=EV$5,$E203&lt;EV$5+GanttPeriod),"◇","")),IF(AND(EV$5&lt;=$F203,EV$5+GanttPeriod-1&gt;=$E203),"━","")))</f>
        <v/>
      </c>
      <c r="EW203" s="69" t="str">
        <f aca="false">IF($E203="","",IF($M203,IF(AND($G203&gt;=EW$5,$G203&lt;EW$5+GanttPeriod),"◆",IF(AND($E203&gt;=EW$5,$E203&lt;EW$5+GanttPeriod),"◇","")),IF(AND(EW$5&lt;=$F203,EW$5+GanttPeriod-1&gt;=$E203),"━","")))</f>
        <v/>
      </c>
      <c r="EX203" s="69" t="str">
        <f aca="false">IF($E203="","",IF($M203,IF(AND($G203&gt;=EX$5,$G203&lt;EX$5+GanttPeriod),"◆",IF(AND($E203&gt;=EX$5,$E203&lt;EX$5+GanttPeriod),"◇","")),IF(AND(EX$5&lt;=$F203,EX$5+GanttPeriod-1&gt;=$E203),"━","")))</f>
        <v/>
      </c>
      <c r="EY203" s="69" t="str">
        <f aca="false">IF($E203="","",IF($M203,IF(AND($G203&gt;=EY$5,$G203&lt;EY$5+GanttPeriod),"◆",IF(AND($E203&gt;=EY$5,$E203&lt;EY$5+GanttPeriod),"◇","")),IF(AND(EY$5&lt;=$F203,EY$5+GanttPeriod-1&gt;=$E203),"━","")))</f>
        <v/>
      </c>
      <c r="EZ203" s="69" t="str">
        <f aca="false">IF($E203="","",IF($M203,IF(AND($G203&gt;=EZ$5,$G203&lt;EZ$5+GanttPeriod),"◆",IF(AND($E203&gt;=EZ$5,$E203&lt;EZ$5+GanttPeriod),"◇","")),IF(AND(EZ$5&lt;=$F203,EZ$5+GanttPeriod-1&gt;=$E203),"━","")))</f>
        <v/>
      </c>
      <c r="FA203" s="69" t="str">
        <f aca="false">IF($E203="","",IF($M203,IF(AND($G203&gt;=FA$5,$G203&lt;FA$5+GanttPeriod),"◆",IF(AND($E203&gt;=FA$5,$E203&lt;FA$5+GanttPeriod),"◇","")),IF(AND(FA$5&lt;=$F203,FA$5+GanttPeriod-1&gt;=$E203),"━","")))</f>
        <v/>
      </c>
      <c r="FB203" s="69" t="str">
        <f aca="false">IF($E203="","",IF($M203,IF(AND($G203&gt;=FB$5,$G203&lt;FB$5+GanttPeriod),"◆",IF(AND($E203&gt;=FB$5,$E203&lt;FB$5+GanttPeriod),"◇","")),IF(AND(FB$5&lt;=$F203,FB$5+GanttPeriod-1&gt;=$E203),"━","")))</f>
        <v/>
      </c>
      <c r="FC203" s="69" t="str">
        <f aca="false">IF($E203="","",IF($M203,IF(AND($G203&gt;=FC$5,$G203&lt;FC$5+GanttPeriod),"◆",IF(AND($E203&gt;=FC$5,$E203&lt;FC$5+GanttPeriod),"◇","")),IF(AND(FC$5&lt;=$F203,FC$5+GanttPeriod-1&gt;=$E203),"━","")))</f>
        <v/>
      </c>
      <c r="FD203" s="69" t="str">
        <f aca="false">IF($E203="","",IF($M203,IF(AND($G203&gt;=FD$5,$G203&lt;FD$5+GanttPeriod),"◆",IF(AND($E203&gt;=FD$5,$E203&lt;FD$5+GanttPeriod),"◇","")),IF(AND(FD$5&lt;=$F203,FD$5+GanttPeriod-1&gt;=$E203),"━","")))</f>
        <v/>
      </c>
      <c r="FE203" s="69" t="str">
        <f aca="false">IF($E203="","",IF($M203,IF(AND($G203&gt;=FE$5,$G203&lt;FE$5+GanttPeriod),"◆",IF(AND($E203&gt;=FE$5,$E203&lt;FE$5+GanttPeriod),"◇","")),IF(AND(FE$5&lt;=$F203,FE$5+GanttPeriod-1&gt;=$E203),"━","")))</f>
        <v/>
      </c>
      <c r="FF203" s="69" t="str">
        <f aca="false">IF($E203="","",IF($M203,IF(AND($G203&gt;=FF$5,$G203&lt;FF$5+GanttPeriod),"◆",IF(AND($E203&gt;=FF$5,$E203&lt;FF$5+GanttPeriod),"◇","")),IF(AND(FF$5&lt;=$F203,FF$5+GanttPeriod-1&gt;=$E203),"━","")))</f>
        <v/>
      </c>
      <c r="FG203" s="69" t="str">
        <f aca="false">IF($E203="","",IF($M203,IF(AND($G203&gt;=FG$5,$G203&lt;FG$5+GanttPeriod),"◆",IF(AND($E203&gt;=FG$5,$E203&lt;FG$5+GanttPeriod),"◇","")),IF(AND(FG$5&lt;=$F203,FG$5+GanttPeriod-1&gt;=$E203),"━","")))</f>
        <v/>
      </c>
      <c r="FH203" s="69" t="str">
        <f aca="false">IF($E203="","",IF($M203,IF(AND($G203&gt;=FH$5,$G203&lt;FH$5+GanttPeriod),"◆",IF(AND($E203&gt;=FH$5,$E203&lt;FH$5+GanttPeriod),"◇","")),IF(AND(FH$5&lt;=$F203,FH$5+GanttPeriod-1&gt;=$E203),"━","")))</f>
        <v/>
      </c>
      <c r="FI203" s="69" t="str">
        <f aca="false">IF($E203="","",IF($M203,IF(AND($G203&gt;=FI$5,$G203&lt;FI$5+GanttPeriod),"◆",IF(AND($E203&gt;=FI$5,$E203&lt;FI$5+GanttPeriod),"◇","")),IF(AND(FI$5&lt;=$F203,FI$5+GanttPeriod-1&gt;=$E203),"━","")))</f>
        <v/>
      </c>
      <c r="FJ203" s="69" t="str">
        <f aca="false">IF($E203="","",IF($M203,IF(AND($G203&gt;=FJ$5,$G203&lt;FJ$5+GanttPeriod),"◆",IF(AND($E203&gt;=FJ$5,$E203&lt;FJ$5+GanttPeriod),"◇","")),IF(AND(FJ$5&lt;=$F203,FJ$5+GanttPeriod-1&gt;=$E203),"━","")))</f>
        <v/>
      </c>
      <c r="FK203" s="69" t="str">
        <f aca="false">IF($E203="","",IF($M203,IF(AND($G203&gt;=FK$5,$G203&lt;FK$5+GanttPeriod),"◆",IF(AND($E203&gt;=FK$5,$E203&lt;FK$5+GanttPeriod),"◇","")),IF(AND(FK$5&lt;=$F203,FK$5+GanttPeriod-1&gt;=$E203),"━","")))</f>
        <v/>
      </c>
      <c r="FL203" s="69" t="str">
        <f aca="false">IF($E203="","",IF($M203,IF(AND($G203&gt;=FL$5,$G203&lt;FL$5+GanttPeriod),"◆",IF(AND($E203&gt;=FL$5,$E203&lt;FL$5+GanttPeriod),"◇","")),IF(AND(FL$5&lt;=$F203,FL$5+GanttPeriod-1&gt;=$E203),"━","")))</f>
        <v/>
      </c>
      <c r="FM203" s="69" t="str">
        <f aca="false">IF($E203="","",IF($M203,IF(AND($G203&gt;=FM$5,$G203&lt;FM$5+GanttPeriod),"◆",IF(AND($E203&gt;=FM$5,$E203&lt;FM$5+GanttPeriod),"◇","")),IF(AND(FM$5&lt;=$F203,FM$5+GanttPeriod-1&gt;=$E203),"━","")))</f>
        <v/>
      </c>
    </row>
    <row r="204" customFormat="false" ht="15" hidden="false" customHeight="false" outlineLevel="0" collapsed="false">
      <c r="A204" s="62" t="str">
        <f aca="false">IF(Tasks!$D204="","",Tasks!$A204)</f>
        <v/>
      </c>
      <c r="B204" s="62" t="str">
        <f aca="false">IF(Tasks!$D204="","",Tasks!$B204)</f>
        <v/>
      </c>
      <c r="C204" s="63" t="str">
        <f aca="false">IF(Tasks!$D204="","",REPT("    ",Tasks!$AE204-1)&amp;Tasks!$D204)</f>
        <v/>
      </c>
      <c r="D204" s="62" t="str">
        <f aca="false">IF(Tasks!$D204="","",IF(Tasks!$AI204,NETWORKDAYS.INTL(Tasks!$R204,Tasks!$S204,WorkWeek,Holidays),N(Tasks!$F204)))</f>
        <v/>
      </c>
      <c r="E204" s="64" t="str">
        <f aca="false">IF(Tasks!$D204="","",Tasks!$N204)</f>
        <v/>
      </c>
      <c r="F204" s="64" t="str">
        <f aca="false">IF(Tasks!$D204="","",Tasks!$O204)</f>
        <v/>
      </c>
      <c r="G204" s="64" t="str">
        <f aca="false">IF(Tasks!$D204="","",Tasks!$R204)</f>
        <v/>
      </c>
      <c r="H204" s="64" t="str">
        <f aca="false">IF(Tasks!$D204="","",Tasks!$S204)</f>
        <v/>
      </c>
      <c r="I204" s="65" t="str">
        <f aca="false">IF(Tasks!$D204="","",Tasks!$V204)</f>
        <v/>
      </c>
      <c r="J204" s="63" t="str">
        <f aca="false">IF(Tasks!$D204="","",Tasks!$X204&amp;"")</f>
        <v/>
      </c>
      <c r="K204" s="66" t="str">
        <f aca="false">IF(Tasks!$D204="","",Tasks!$W204)</f>
        <v/>
      </c>
      <c r="L204" s="67" t="b">
        <f aca="false">IF(Tasks!$D204="",FALSE(),Tasks!$AI204)</f>
        <v>0</v>
      </c>
      <c r="M204" s="67" t="b">
        <f aca="false">AND(Tasks!$AJ204=1,N(Tasks!$F204)=0)</f>
        <v>0</v>
      </c>
      <c r="N204" s="68" t="n">
        <f aca="false">IF(AND(Tasks!$AJ204=1,NOT($M204),N($I204)&gt;0),$G204,0)</f>
        <v>0</v>
      </c>
      <c r="O204" s="68" t="n">
        <f aca="false">IF($N204=0,0,IF($I204&gt;=1,$H204,MAX($N204,$G204+ROUND(($H204-$G204+1)*$I204,0)-1)))</f>
        <v>0</v>
      </c>
      <c r="P204" s="68" t="n">
        <f aca="false">IF(OR(Tasks!$AJ204&lt;&gt;1,$M204,N($I204)&gt;=1),0,IF($O204&gt;0,$O204+1,$G204))</f>
        <v>0</v>
      </c>
      <c r="Q204" s="68" t="n">
        <f aca="false">IF($P204=0,0,$H204)</f>
        <v>0</v>
      </c>
      <c r="R204" s="67" t="b">
        <f aca="false">AND(Tasks!$D204&lt;&gt;"",N(Tasks!$T204)&gt;0)</f>
        <v>0</v>
      </c>
      <c r="T204" s="69" t="str">
        <f aca="false">IF($E204="","",IF($M204,IF(AND($G204&gt;=T$5,$G204&lt;T$5+GanttPeriod),"◆",IF(AND($E204&gt;=T$5,$E204&lt;T$5+GanttPeriod),"◇","")),IF(AND(T$5&lt;=$F204,T$5+GanttPeriod-1&gt;=$E204),"━","")))</f>
        <v/>
      </c>
      <c r="U204" s="69" t="str">
        <f aca="false">IF($E204="","",IF($M204,IF(AND($G204&gt;=U$5,$G204&lt;U$5+GanttPeriod),"◆",IF(AND($E204&gt;=U$5,$E204&lt;U$5+GanttPeriod),"◇","")),IF(AND(U$5&lt;=$F204,U$5+GanttPeriod-1&gt;=$E204),"━","")))</f>
        <v/>
      </c>
      <c r="V204" s="69" t="str">
        <f aca="false">IF($E204="","",IF($M204,IF(AND($G204&gt;=V$5,$G204&lt;V$5+GanttPeriod),"◆",IF(AND($E204&gt;=V$5,$E204&lt;V$5+GanttPeriod),"◇","")),IF(AND(V$5&lt;=$F204,V$5+GanttPeriod-1&gt;=$E204),"━","")))</f>
        <v/>
      </c>
      <c r="W204" s="69" t="str">
        <f aca="false">IF($E204="","",IF($M204,IF(AND($G204&gt;=W$5,$G204&lt;W$5+GanttPeriod),"◆",IF(AND($E204&gt;=W$5,$E204&lt;W$5+GanttPeriod),"◇","")),IF(AND(W$5&lt;=$F204,W$5+GanttPeriod-1&gt;=$E204),"━","")))</f>
        <v/>
      </c>
      <c r="X204" s="69" t="str">
        <f aca="false">IF($E204="","",IF($M204,IF(AND($G204&gt;=X$5,$G204&lt;X$5+GanttPeriod),"◆",IF(AND($E204&gt;=X$5,$E204&lt;X$5+GanttPeriod),"◇","")),IF(AND(X$5&lt;=$F204,X$5+GanttPeriod-1&gt;=$E204),"━","")))</f>
        <v/>
      </c>
      <c r="Y204" s="69" t="str">
        <f aca="false">IF($E204="","",IF($M204,IF(AND($G204&gt;=Y$5,$G204&lt;Y$5+GanttPeriod),"◆",IF(AND($E204&gt;=Y$5,$E204&lt;Y$5+GanttPeriod),"◇","")),IF(AND(Y$5&lt;=$F204,Y$5+GanttPeriod-1&gt;=$E204),"━","")))</f>
        <v/>
      </c>
      <c r="Z204" s="69" t="str">
        <f aca="false">IF($E204="","",IF($M204,IF(AND($G204&gt;=Z$5,$G204&lt;Z$5+GanttPeriod),"◆",IF(AND($E204&gt;=Z$5,$E204&lt;Z$5+GanttPeriod),"◇","")),IF(AND(Z$5&lt;=$F204,Z$5+GanttPeriod-1&gt;=$E204),"━","")))</f>
        <v/>
      </c>
      <c r="AA204" s="69" t="str">
        <f aca="false">IF($E204="","",IF($M204,IF(AND($G204&gt;=AA$5,$G204&lt;AA$5+GanttPeriod),"◆",IF(AND($E204&gt;=AA$5,$E204&lt;AA$5+GanttPeriod),"◇","")),IF(AND(AA$5&lt;=$F204,AA$5+GanttPeriod-1&gt;=$E204),"━","")))</f>
        <v/>
      </c>
      <c r="AB204" s="69" t="str">
        <f aca="false">IF($E204="","",IF($M204,IF(AND($G204&gt;=AB$5,$G204&lt;AB$5+GanttPeriod),"◆",IF(AND($E204&gt;=AB$5,$E204&lt;AB$5+GanttPeriod),"◇","")),IF(AND(AB$5&lt;=$F204,AB$5+GanttPeriod-1&gt;=$E204),"━","")))</f>
        <v/>
      </c>
      <c r="AC204" s="69" t="str">
        <f aca="false">IF($E204="","",IF($M204,IF(AND($G204&gt;=AC$5,$G204&lt;AC$5+GanttPeriod),"◆",IF(AND($E204&gt;=AC$5,$E204&lt;AC$5+GanttPeriod),"◇","")),IF(AND(AC$5&lt;=$F204,AC$5+GanttPeriod-1&gt;=$E204),"━","")))</f>
        <v/>
      </c>
      <c r="AD204" s="69" t="str">
        <f aca="false">IF($E204="","",IF($M204,IF(AND($G204&gt;=AD$5,$G204&lt;AD$5+GanttPeriod),"◆",IF(AND($E204&gt;=AD$5,$E204&lt;AD$5+GanttPeriod),"◇","")),IF(AND(AD$5&lt;=$F204,AD$5+GanttPeriod-1&gt;=$E204),"━","")))</f>
        <v/>
      </c>
      <c r="AE204" s="69" t="str">
        <f aca="false">IF($E204="","",IF($M204,IF(AND($G204&gt;=AE$5,$G204&lt;AE$5+GanttPeriod),"◆",IF(AND($E204&gt;=AE$5,$E204&lt;AE$5+GanttPeriod),"◇","")),IF(AND(AE$5&lt;=$F204,AE$5+GanttPeriod-1&gt;=$E204),"━","")))</f>
        <v/>
      </c>
      <c r="AF204" s="69" t="str">
        <f aca="false">IF($E204="","",IF($M204,IF(AND($G204&gt;=AF$5,$G204&lt;AF$5+GanttPeriod),"◆",IF(AND($E204&gt;=AF$5,$E204&lt;AF$5+GanttPeriod),"◇","")),IF(AND(AF$5&lt;=$F204,AF$5+GanttPeriod-1&gt;=$E204),"━","")))</f>
        <v/>
      </c>
      <c r="AG204" s="69" t="str">
        <f aca="false">IF($E204="","",IF($M204,IF(AND($G204&gt;=AG$5,$G204&lt;AG$5+GanttPeriod),"◆",IF(AND($E204&gt;=AG$5,$E204&lt;AG$5+GanttPeriod),"◇","")),IF(AND(AG$5&lt;=$F204,AG$5+GanttPeriod-1&gt;=$E204),"━","")))</f>
        <v/>
      </c>
      <c r="AH204" s="69" t="str">
        <f aca="false">IF($E204="","",IF($M204,IF(AND($G204&gt;=AH$5,$G204&lt;AH$5+GanttPeriod),"◆",IF(AND($E204&gt;=AH$5,$E204&lt;AH$5+GanttPeriod),"◇","")),IF(AND(AH$5&lt;=$F204,AH$5+GanttPeriod-1&gt;=$E204),"━","")))</f>
        <v/>
      </c>
      <c r="AI204" s="69" t="str">
        <f aca="false">IF($E204="","",IF($M204,IF(AND($G204&gt;=AI$5,$G204&lt;AI$5+GanttPeriod),"◆",IF(AND($E204&gt;=AI$5,$E204&lt;AI$5+GanttPeriod),"◇","")),IF(AND(AI$5&lt;=$F204,AI$5+GanttPeriod-1&gt;=$E204),"━","")))</f>
        <v/>
      </c>
      <c r="AJ204" s="69" t="str">
        <f aca="false">IF($E204="","",IF($M204,IF(AND($G204&gt;=AJ$5,$G204&lt;AJ$5+GanttPeriod),"◆",IF(AND($E204&gt;=AJ$5,$E204&lt;AJ$5+GanttPeriod),"◇","")),IF(AND(AJ$5&lt;=$F204,AJ$5+GanttPeriod-1&gt;=$E204),"━","")))</f>
        <v/>
      </c>
      <c r="AK204" s="69" t="str">
        <f aca="false">IF($E204="","",IF($M204,IF(AND($G204&gt;=AK$5,$G204&lt;AK$5+GanttPeriod),"◆",IF(AND($E204&gt;=AK$5,$E204&lt;AK$5+GanttPeriod),"◇","")),IF(AND(AK$5&lt;=$F204,AK$5+GanttPeriod-1&gt;=$E204),"━","")))</f>
        <v/>
      </c>
      <c r="AL204" s="69" t="str">
        <f aca="false">IF($E204="","",IF($M204,IF(AND($G204&gt;=AL$5,$G204&lt;AL$5+GanttPeriod),"◆",IF(AND($E204&gt;=AL$5,$E204&lt;AL$5+GanttPeriod),"◇","")),IF(AND(AL$5&lt;=$F204,AL$5+GanttPeriod-1&gt;=$E204),"━","")))</f>
        <v/>
      </c>
      <c r="AM204" s="69" t="str">
        <f aca="false">IF($E204="","",IF($M204,IF(AND($G204&gt;=AM$5,$G204&lt;AM$5+GanttPeriod),"◆",IF(AND($E204&gt;=AM$5,$E204&lt;AM$5+GanttPeriod),"◇","")),IF(AND(AM$5&lt;=$F204,AM$5+GanttPeriod-1&gt;=$E204),"━","")))</f>
        <v/>
      </c>
      <c r="AN204" s="69" t="str">
        <f aca="false">IF($E204="","",IF($M204,IF(AND($G204&gt;=AN$5,$G204&lt;AN$5+GanttPeriod),"◆",IF(AND($E204&gt;=AN$5,$E204&lt;AN$5+GanttPeriod),"◇","")),IF(AND(AN$5&lt;=$F204,AN$5+GanttPeriod-1&gt;=$E204),"━","")))</f>
        <v/>
      </c>
      <c r="AO204" s="69" t="str">
        <f aca="false">IF($E204="","",IF($M204,IF(AND($G204&gt;=AO$5,$G204&lt;AO$5+GanttPeriod),"◆",IF(AND($E204&gt;=AO$5,$E204&lt;AO$5+GanttPeriod),"◇","")),IF(AND(AO$5&lt;=$F204,AO$5+GanttPeriod-1&gt;=$E204),"━","")))</f>
        <v/>
      </c>
      <c r="AP204" s="69" t="str">
        <f aca="false">IF($E204="","",IF($M204,IF(AND($G204&gt;=AP$5,$G204&lt;AP$5+GanttPeriod),"◆",IF(AND($E204&gt;=AP$5,$E204&lt;AP$5+GanttPeriod),"◇","")),IF(AND(AP$5&lt;=$F204,AP$5+GanttPeriod-1&gt;=$E204),"━","")))</f>
        <v/>
      </c>
      <c r="AQ204" s="69" t="str">
        <f aca="false">IF($E204="","",IF($M204,IF(AND($G204&gt;=AQ$5,$G204&lt;AQ$5+GanttPeriod),"◆",IF(AND($E204&gt;=AQ$5,$E204&lt;AQ$5+GanttPeriod),"◇","")),IF(AND(AQ$5&lt;=$F204,AQ$5+GanttPeriod-1&gt;=$E204),"━","")))</f>
        <v/>
      </c>
      <c r="AR204" s="69" t="str">
        <f aca="false">IF($E204="","",IF($M204,IF(AND($G204&gt;=AR$5,$G204&lt;AR$5+GanttPeriod),"◆",IF(AND($E204&gt;=AR$5,$E204&lt;AR$5+GanttPeriod),"◇","")),IF(AND(AR$5&lt;=$F204,AR$5+GanttPeriod-1&gt;=$E204),"━","")))</f>
        <v/>
      </c>
      <c r="AS204" s="69" t="str">
        <f aca="false">IF($E204="","",IF($M204,IF(AND($G204&gt;=AS$5,$G204&lt;AS$5+GanttPeriod),"◆",IF(AND($E204&gt;=AS$5,$E204&lt;AS$5+GanttPeriod),"◇","")),IF(AND(AS$5&lt;=$F204,AS$5+GanttPeriod-1&gt;=$E204),"━","")))</f>
        <v/>
      </c>
      <c r="AT204" s="69" t="str">
        <f aca="false">IF($E204="","",IF($M204,IF(AND($G204&gt;=AT$5,$G204&lt;AT$5+GanttPeriod),"◆",IF(AND($E204&gt;=AT$5,$E204&lt;AT$5+GanttPeriod),"◇","")),IF(AND(AT$5&lt;=$F204,AT$5+GanttPeriod-1&gt;=$E204),"━","")))</f>
        <v/>
      </c>
      <c r="AU204" s="69" t="str">
        <f aca="false">IF($E204="","",IF($M204,IF(AND($G204&gt;=AU$5,$G204&lt;AU$5+GanttPeriod),"◆",IF(AND($E204&gt;=AU$5,$E204&lt;AU$5+GanttPeriod),"◇","")),IF(AND(AU$5&lt;=$F204,AU$5+GanttPeriod-1&gt;=$E204),"━","")))</f>
        <v/>
      </c>
      <c r="AV204" s="69" t="str">
        <f aca="false">IF($E204="","",IF($M204,IF(AND($G204&gt;=AV$5,$G204&lt;AV$5+GanttPeriod),"◆",IF(AND($E204&gt;=AV$5,$E204&lt;AV$5+GanttPeriod),"◇","")),IF(AND(AV$5&lt;=$F204,AV$5+GanttPeriod-1&gt;=$E204),"━","")))</f>
        <v/>
      </c>
      <c r="AW204" s="69" t="str">
        <f aca="false">IF($E204="","",IF($M204,IF(AND($G204&gt;=AW$5,$G204&lt;AW$5+GanttPeriod),"◆",IF(AND($E204&gt;=AW$5,$E204&lt;AW$5+GanttPeriod),"◇","")),IF(AND(AW$5&lt;=$F204,AW$5+GanttPeriod-1&gt;=$E204),"━","")))</f>
        <v/>
      </c>
      <c r="AX204" s="69" t="str">
        <f aca="false">IF($E204="","",IF($M204,IF(AND($G204&gt;=AX$5,$G204&lt;AX$5+GanttPeriod),"◆",IF(AND($E204&gt;=AX$5,$E204&lt;AX$5+GanttPeriod),"◇","")),IF(AND(AX$5&lt;=$F204,AX$5+GanttPeriod-1&gt;=$E204),"━","")))</f>
        <v/>
      </c>
      <c r="AY204" s="69" t="str">
        <f aca="false">IF($E204="","",IF($M204,IF(AND($G204&gt;=AY$5,$G204&lt;AY$5+GanttPeriod),"◆",IF(AND($E204&gt;=AY$5,$E204&lt;AY$5+GanttPeriod),"◇","")),IF(AND(AY$5&lt;=$F204,AY$5+GanttPeriod-1&gt;=$E204),"━","")))</f>
        <v/>
      </c>
      <c r="AZ204" s="69" t="str">
        <f aca="false">IF($E204="","",IF($M204,IF(AND($G204&gt;=AZ$5,$G204&lt;AZ$5+GanttPeriod),"◆",IF(AND($E204&gt;=AZ$5,$E204&lt;AZ$5+GanttPeriod),"◇","")),IF(AND(AZ$5&lt;=$F204,AZ$5+GanttPeriod-1&gt;=$E204),"━","")))</f>
        <v/>
      </c>
      <c r="BA204" s="69" t="str">
        <f aca="false">IF($E204="","",IF($M204,IF(AND($G204&gt;=BA$5,$G204&lt;BA$5+GanttPeriod),"◆",IF(AND($E204&gt;=BA$5,$E204&lt;BA$5+GanttPeriod),"◇","")),IF(AND(BA$5&lt;=$F204,BA$5+GanttPeriod-1&gt;=$E204),"━","")))</f>
        <v/>
      </c>
      <c r="BB204" s="69" t="str">
        <f aca="false">IF($E204="","",IF($M204,IF(AND($G204&gt;=BB$5,$G204&lt;BB$5+GanttPeriod),"◆",IF(AND($E204&gt;=BB$5,$E204&lt;BB$5+GanttPeriod),"◇","")),IF(AND(BB$5&lt;=$F204,BB$5+GanttPeriod-1&gt;=$E204),"━","")))</f>
        <v/>
      </c>
      <c r="BC204" s="69" t="str">
        <f aca="false">IF($E204="","",IF($M204,IF(AND($G204&gt;=BC$5,$G204&lt;BC$5+GanttPeriod),"◆",IF(AND($E204&gt;=BC$5,$E204&lt;BC$5+GanttPeriod),"◇","")),IF(AND(BC$5&lt;=$F204,BC$5+GanttPeriod-1&gt;=$E204),"━","")))</f>
        <v/>
      </c>
      <c r="BD204" s="69" t="str">
        <f aca="false">IF($E204="","",IF($M204,IF(AND($G204&gt;=BD$5,$G204&lt;BD$5+GanttPeriod),"◆",IF(AND($E204&gt;=BD$5,$E204&lt;BD$5+GanttPeriod),"◇","")),IF(AND(BD$5&lt;=$F204,BD$5+GanttPeriod-1&gt;=$E204),"━","")))</f>
        <v/>
      </c>
      <c r="BE204" s="69" t="str">
        <f aca="false">IF($E204="","",IF($M204,IF(AND($G204&gt;=BE$5,$G204&lt;BE$5+GanttPeriod),"◆",IF(AND($E204&gt;=BE$5,$E204&lt;BE$5+GanttPeriod),"◇","")),IF(AND(BE$5&lt;=$F204,BE$5+GanttPeriod-1&gt;=$E204),"━","")))</f>
        <v/>
      </c>
      <c r="BF204" s="69" t="str">
        <f aca="false">IF($E204="","",IF($M204,IF(AND($G204&gt;=BF$5,$G204&lt;BF$5+GanttPeriod),"◆",IF(AND($E204&gt;=BF$5,$E204&lt;BF$5+GanttPeriod),"◇","")),IF(AND(BF$5&lt;=$F204,BF$5+GanttPeriod-1&gt;=$E204),"━","")))</f>
        <v/>
      </c>
      <c r="BG204" s="69" t="str">
        <f aca="false">IF($E204="","",IF($M204,IF(AND($G204&gt;=BG$5,$G204&lt;BG$5+GanttPeriod),"◆",IF(AND($E204&gt;=BG$5,$E204&lt;BG$5+GanttPeriod),"◇","")),IF(AND(BG$5&lt;=$F204,BG$5+GanttPeriod-1&gt;=$E204),"━","")))</f>
        <v/>
      </c>
      <c r="BH204" s="69" t="str">
        <f aca="false">IF($E204="","",IF($M204,IF(AND($G204&gt;=BH$5,$G204&lt;BH$5+GanttPeriod),"◆",IF(AND($E204&gt;=BH$5,$E204&lt;BH$5+GanttPeriod),"◇","")),IF(AND(BH$5&lt;=$F204,BH$5+GanttPeriod-1&gt;=$E204),"━","")))</f>
        <v/>
      </c>
      <c r="BI204" s="69" t="str">
        <f aca="false">IF($E204="","",IF($M204,IF(AND($G204&gt;=BI$5,$G204&lt;BI$5+GanttPeriod),"◆",IF(AND($E204&gt;=BI$5,$E204&lt;BI$5+GanttPeriod),"◇","")),IF(AND(BI$5&lt;=$F204,BI$5+GanttPeriod-1&gt;=$E204),"━","")))</f>
        <v/>
      </c>
      <c r="BJ204" s="69" t="str">
        <f aca="false">IF($E204="","",IF($M204,IF(AND($G204&gt;=BJ$5,$G204&lt;BJ$5+GanttPeriod),"◆",IF(AND($E204&gt;=BJ$5,$E204&lt;BJ$5+GanttPeriod),"◇","")),IF(AND(BJ$5&lt;=$F204,BJ$5+GanttPeriod-1&gt;=$E204),"━","")))</f>
        <v/>
      </c>
      <c r="BK204" s="69" t="str">
        <f aca="false">IF($E204="","",IF($M204,IF(AND($G204&gt;=BK$5,$G204&lt;BK$5+GanttPeriod),"◆",IF(AND($E204&gt;=BK$5,$E204&lt;BK$5+GanttPeriod),"◇","")),IF(AND(BK$5&lt;=$F204,BK$5+GanttPeriod-1&gt;=$E204),"━","")))</f>
        <v/>
      </c>
      <c r="BL204" s="69" t="str">
        <f aca="false">IF($E204="","",IF($M204,IF(AND($G204&gt;=BL$5,$G204&lt;BL$5+GanttPeriod),"◆",IF(AND($E204&gt;=BL$5,$E204&lt;BL$5+GanttPeriod),"◇","")),IF(AND(BL$5&lt;=$F204,BL$5+GanttPeriod-1&gt;=$E204),"━","")))</f>
        <v/>
      </c>
      <c r="BM204" s="69" t="str">
        <f aca="false">IF($E204="","",IF($M204,IF(AND($G204&gt;=BM$5,$G204&lt;BM$5+GanttPeriod),"◆",IF(AND($E204&gt;=BM$5,$E204&lt;BM$5+GanttPeriod),"◇","")),IF(AND(BM$5&lt;=$F204,BM$5+GanttPeriod-1&gt;=$E204),"━","")))</f>
        <v/>
      </c>
      <c r="BN204" s="69" t="str">
        <f aca="false">IF($E204="","",IF($M204,IF(AND($G204&gt;=BN$5,$G204&lt;BN$5+GanttPeriod),"◆",IF(AND($E204&gt;=BN$5,$E204&lt;BN$5+GanttPeriod),"◇","")),IF(AND(BN$5&lt;=$F204,BN$5+GanttPeriod-1&gt;=$E204),"━","")))</f>
        <v/>
      </c>
      <c r="BO204" s="69" t="str">
        <f aca="false">IF($E204="","",IF($M204,IF(AND($G204&gt;=BO$5,$G204&lt;BO$5+GanttPeriod),"◆",IF(AND($E204&gt;=BO$5,$E204&lt;BO$5+GanttPeriod),"◇","")),IF(AND(BO$5&lt;=$F204,BO$5+GanttPeriod-1&gt;=$E204),"━","")))</f>
        <v/>
      </c>
      <c r="BP204" s="69" t="str">
        <f aca="false">IF($E204="","",IF($M204,IF(AND($G204&gt;=BP$5,$G204&lt;BP$5+GanttPeriod),"◆",IF(AND($E204&gt;=BP$5,$E204&lt;BP$5+GanttPeriod),"◇","")),IF(AND(BP$5&lt;=$F204,BP$5+GanttPeriod-1&gt;=$E204),"━","")))</f>
        <v/>
      </c>
      <c r="BQ204" s="69" t="str">
        <f aca="false">IF($E204="","",IF($M204,IF(AND($G204&gt;=BQ$5,$G204&lt;BQ$5+GanttPeriod),"◆",IF(AND($E204&gt;=BQ$5,$E204&lt;BQ$5+GanttPeriod),"◇","")),IF(AND(BQ$5&lt;=$F204,BQ$5+GanttPeriod-1&gt;=$E204),"━","")))</f>
        <v/>
      </c>
      <c r="BR204" s="69" t="str">
        <f aca="false">IF($E204="","",IF($M204,IF(AND($G204&gt;=BR$5,$G204&lt;BR$5+GanttPeriod),"◆",IF(AND($E204&gt;=BR$5,$E204&lt;BR$5+GanttPeriod),"◇","")),IF(AND(BR$5&lt;=$F204,BR$5+GanttPeriod-1&gt;=$E204),"━","")))</f>
        <v/>
      </c>
      <c r="BS204" s="69" t="str">
        <f aca="false">IF($E204="","",IF($M204,IF(AND($G204&gt;=BS$5,$G204&lt;BS$5+GanttPeriod),"◆",IF(AND($E204&gt;=BS$5,$E204&lt;BS$5+GanttPeriod),"◇","")),IF(AND(BS$5&lt;=$F204,BS$5+GanttPeriod-1&gt;=$E204),"━","")))</f>
        <v/>
      </c>
      <c r="BT204" s="69" t="str">
        <f aca="false">IF($E204="","",IF($M204,IF(AND($G204&gt;=BT$5,$G204&lt;BT$5+GanttPeriod),"◆",IF(AND($E204&gt;=BT$5,$E204&lt;BT$5+GanttPeriod),"◇","")),IF(AND(BT$5&lt;=$F204,BT$5+GanttPeriod-1&gt;=$E204),"━","")))</f>
        <v/>
      </c>
      <c r="BU204" s="69" t="str">
        <f aca="false">IF($E204="","",IF($M204,IF(AND($G204&gt;=BU$5,$G204&lt;BU$5+GanttPeriod),"◆",IF(AND($E204&gt;=BU$5,$E204&lt;BU$5+GanttPeriod),"◇","")),IF(AND(BU$5&lt;=$F204,BU$5+GanttPeriod-1&gt;=$E204),"━","")))</f>
        <v/>
      </c>
      <c r="BV204" s="69" t="str">
        <f aca="false">IF($E204="","",IF($M204,IF(AND($G204&gt;=BV$5,$G204&lt;BV$5+GanttPeriod),"◆",IF(AND($E204&gt;=BV$5,$E204&lt;BV$5+GanttPeriod),"◇","")),IF(AND(BV$5&lt;=$F204,BV$5+GanttPeriod-1&gt;=$E204),"━","")))</f>
        <v/>
      </c>
      <c r="BW204" s="69" t="str">
        <f aca="false">IF($E204="","",IF($M204,IF(AND($G204&gt;=BW$5,$G204&lt;BW$5+GanttPeriod),"◆",IF(AND($E204&gt;=BW$5,$E204&lt;BW$5+GanttPeriod),"◇","")),IF(AND(BW$5&lt;=$F204,BW$5+GanttPeriod-1&gt;=$E204),"━","")))</f>
        <v/>
      </c>
      <c r="BX204" s="69" t="str">
        <f aca="false">IF($E204="","",IF($M204,IF(AND($G204&gt;=BX$5,$G204&lt;BX$5+GanttPeriod),"◆",IF(AND($E204&gt;=BX$5,$E204&lt;BX$5+GanttPeriod),"◇","")),IF(AND(BX$5&lt;=$F204,BX$5+GanttPeriod-1&gt;=$E204),"━","")))</f>
        <v/>
      </c>
      <c r="BY204" s="69" t="str">
        <f aca="false">IF($E204="","",IF($M204,IF(AND($G204&gt;=BY$5,$G204&lt;BY$5+GanttPeriod),"◆",IF(AND($E204&gt;=BY$5,$E204&lt;BY$5+GanttPeriod),"◇","")),IF(AND(BY$5&lt;=$F204,BY$5+GanttPeriod-1&gt;=$E204),"━","")))</f>
        <v/>
      </c>
      <c r="BZ204" s="69" t="str">
        <f aca="false">IF($E204="","",IF($M204,IF(AND($G204&gt;=BZ$5,$G204&lt;BZ$5+GanttPeriod),"◆",IF(AND($E204&gt;=BZ$5,$E204&lt;BZ$5+GanttPeriod),"◇","")),IF(AND(BZ$5&lt;=$F204,BZ$5+GanttPeriod-1&gt;=$E204),"━","")))</f>
        <v/>
      </c>
      <c r="CA204" s="69" t="str">
        <f aca="false">IF($E204="","",IF($M204,IF(AND($G204&gt;=CA$5,$G204&lt;CA$5+GanttPeriod),"◆",IF(AND($E204&gt;=CA$5,$E204&lt;CA$5+GanttPeriod),"◇","")),IF(AND(CA$5&lt;=$F204,CA$5+GanttPeriod-1&gt;=$E204),"━","")))</f>
        <v/>
      </c>
      <c r="CB204" s="69" t="str">
        <f aca="false">IF($E204="","",IF($M204,IF(AND($G204&gt;=CB$5,$G204&lt;CB$5+GanttPeriod),"◆",IF(AND($E204&gt;=CB$5,$E204&lt;CB$5+GanttPeriod),"◇","")),IF(AND(CB$5&lt;=$F204,CB$5+GanttPeriod-1&gt;=$E204),"━","")))</f>
        <v/>
      </c>
      <c r="CC204" s="69" t="str">
        <f aca="false">IF($E204="","",IF($M204,IF(AND($G204&gt;=CC$5,$G204&lt;CC$5+GanttPeriod),"◆",IF(AND($E204&gt;=CC$5,$E204&lt;CC$5+GanttPeriod),"◇","")),IF(AND(CC$5&lt;=$F204,CC$5+GanttPeriod-1&gt;=$E204),"━","")))</f>
        <v/>
      </c>
      <c r="CD204" s="69" t="str">
        <f aca="false">IF($E204="","",IF($M204,IF(AND($G204&gt;=CD$5,$G204&lt;CD$5+GanttPeriod),"◆",IF(AND($E204&gt;=CD$5,$E204&lt;CD$5+GanttPeriod),"◇","")),IF(AND(CD$5&lt;=$F204,CD$5+GanttPeriod-1&gt;=$E204),"━","")))</f>
        <v/>
      </c>
      <c r="CE204" s="69" t="str">
        <f aca="false">IF($E204="","",IF($M204,IF(AND($G204&gt;=CE$5,$G204&lt;CE$5+GanttPeriod),"◆",IF(AND($E204&gt;=CE$5,$E204&lt;CE$5+GanttPeriod),"◇","")),IF(AND(CE$5&lt;=$F204,CE$5+GanttPeriod-1&gt;=$E204),"━","")))</f>
        <v/>
      </c>
      <c r="CF204" s="69" t="str">
        <f aca="false">IF($E204="","",IF($M204,IF(AND($G204&gt;=CF$5,$G204&lt;CF$5+GanttPeriod),"◆",IF(AND($E204&gt;=CF$5,$E204&lt;CF$5+GanttPeriod),"◇","")),IF(AND(CF$5&lt;=$F204,CF$5+GanttPeriod-1&gt;=$E204),"━","")))</f>
        <v/>
      </c>
      <c r="CG204" s="69" t="str">
        <f aca="false">IF($E204="","",IF($M204,IF(AND($G204&gt;=CG$5,$G204&lt;CG$5+GanttPeriod),"◆",IF(AND($E204&gt;=CG$5,$E204&lt;CG$5+GanttPeriod),"◇","")),IF(AND(CG$5&lt;=$F204,CG$5+GanttPeriod-1&gt;=$E204),"━","")))</f>
        <v/>
      </c>
      <c r="CH204" s="69" t="str">
        <f aca="false">IF($E204="","",IF($M204,IF(AND($G204&gt;=CH$5,$G204&lt;CH$5+GanttPeriod),"◆",IF(AND($E204&gt;=CH$5,$E204&lt;CH$5+GanttPeriod),"◇","")),IF(AND(CH$5&lt;=$F204,CH$5+GanttPeriod-1&gt;=$E204),"━","")))</f>
        <v/>
      </c>
      <c r="CI204" s="69" t="str">
        <f aca="false">IF($E204="","",IF($M204,IF(AND($G204&gt;=CI$5,$G204&lt;CI$5+GanttPeriod),"◆",IF(AND($E204&gt;=CI$5,$E204&lt;CI$5+GanttPeriod),"◇","")),IF(AND(CI$5&lt;=$F204,CI$5+GanttPeriod-1&gt;=$E204),"━","")))</f>
        <v/>
      </c>
      <c r="CJ204" s="69" t="str">
        <f aca="false">IF($E204="","",IF($M204,IF(AND($G204&gt;=CJ$5,$G204&lt;CJ$5+GanttPeriod),"◆",IF(AND($E204&gt;=CJ$5,$E204&lt;CJ$5+GanttPeriod),"◇","")),IF(AND(CJ$5&lt;=$F204,CJ$5+GanttPeriod-1&gt;=$E204),"━","")))</f>
        <v/>
      </c>
      <c r="CK204" s="69" t="str">
        <f aca="false">IF($E204="","",IF($M204,IF(AND($G204&gt;=CK$5,$G204&lt;CK$5+GanttPeriod),"◆",IF(AND($E204&gt;=CK$5,$E204&lt;CK$5+GanttPeriod),"◇","")),IF(AND(CK$5&lt;=$F204,CK$5+GanttPeriod-1&gt;=$E204),"━","")))</f>
        <v/>
      </c>
      <c r="CL204" s="69" t="str">
        <f aca="false">IF($E204="","",IF($M204,IF(AND($G204&gt;=CL$5,$G204&lt;CL$5+GanttPeriod),"◆",IF(AND($E204&gt;=CL$5,$E204&lt;CL$5+GanttPeriod),"◇","")),IF(AND(CL$5&lt;=$F204,CL$5+GanttPeriod-1&gt;=$E204),"━","")))</f>
        <v/>
      </c>
      <c r="CM204" s="69" t="str">
        <f aca="false">IF($E204="","",IF($M204,IF(AND($G204&gt;=CM$5,$G204&lt;CM$5+GanttPeriod),"◆",IF(AND($E204&gt;=CM$5,$E204&lt;CM$5+GanttPeriod),"◇","")),IF(AND(CM$5&lt;=$F204,CM$5+GanttPeriod-1&gt;=$E204),"━","")))</f>
        <v/>
      </c>
      <c r="CN204" s="69" t="str">
        <f aca="false">IF($E204="","",IF($M204,IF(AND($G204&gt;=CN$5,$G204&lt;CN$5+GanttPeriod),"◆",IF(AND($E204&gt;=CN$5,$E204&lt;CN$5+GanttPeriod),"◇","")),IF(AND(CN$5&lt;=$F204,CN$5+GanttPeriod-1&gt;=$E204),"━","")))</f>
        <v/>
      </c>
      <c r="CO204" s="69" t="str">
        <f aca="false">IF($E204="","",IF($M204,IF(AND($G204&gt;=CO$5,$G204&lt;CO$5+GanttPeriod),"◆",IF(AND($E204&gt;=CO$5,$E204&lt;CO$5+GanttPeriod),"◇","")),IF(AND(CO$5&lt;=$F204,CO$5+GanttPeriod-1&gt;=$E204),"━","")))</f>
        <v/>
      </c>
      <c r="CP204" s="69" t="str">
        <f aca="false">IF($E204="","",IF($M204,IF(AND($G204&gt;=CP$5,$G204&lt;CP$5+GanttPeriod),"◆",IF(AND($E204&gt;=CP$5,$E204&lt;CP$5+GanttPeriod),"◇","")),IF(AND(CP$5&lt;=$F204,CP$5+GanttPeriod-1&gt;=$E204),"━","")))</f>
        <v/>
      </c>
      <c r="CQ204" s="69" t="str">
        <f aca="false">IF($E204="","",IF($M204,IF(AND($G204&gt;=CQ$5,$G204&lt;CQ$5+GanttPeriod),"◆",IF(AND($E204&gt;=CQ$5,$E204&lt;CQ$5+GanttPeriod),"◇","")),IF(AND(CQ$5&lt;=$F204,CQ$5+GanttPeriod-1&gt;=$E204),"━","")))</f>
        <v/>
      </c>
      <c r="CR204" s="69" t="str">
        <f aca="false">IF($E204="","",IF($M204,IF(AND($G204&gt;=CR$5,$G204&lt;CR$5+GanttPeriod),"◆",IF(AND($E204&gt;=CR$5,$E204&lt;CR$5+GanttPeriod),"◇","")),IF(AND(CR$5&lt;=$F204,CR$5+GanttPeriod-1&gt;=$E204),"━","")))</f>
        <v/>
      </c>
      <c r="CS204" s="69" t="str">
        <f aca="false">IF($E204="","",IF($M204,IF(AND($G204&gt;=CS$5,$G204&lt;CS$5+GanttPeriod),"◆",IF(AND($E204&gt;=CS$5,$E204&lt;CS$5+GanttPeriod),"◇","")),IF(AND(CS$5&lt;=$F204,CS$5+GanttPeriod-1&gt;=$E204),"━","")))</f>
        <v/>
      </c>
      <c r="CT204" s="69" t="str">
        <f aca="false">IF($E204="","",IF($M204,IF(AND($G204&gt;=CT$5,$G204&lt;CT$5+GanttPeriod),"◆",IF(AND($E204&gt;=CT$5,$E204&lt;CT$5+GanttPeriod),"◇","")),IF(AND(CT$5&lt;=$F204,CT$5+GanttPeriod-1&gt;=$E204),"━","")))</f>
        <v/>
      </c>
      <c r="CU204" s="69" t="str">
        <f aca="false">IF($E204="","",IF($M204,IF(AND($G204&gt;=CU$5,$G204&lt;CU$5+GanttPeriod),"◆",IF(AND($E204&gt;=CU$5,$E204&lt;CU$5+GanttPeriod),"◇","")),IF(AND(CU$5&lt;=$F204,CU$5+GanttPeriod-1&gt;=$E204),"━","")))</f>
        <v/>
      </c>
      <c r="CV204" s="69" t="str">
        <f aca="false">IF($E204="","",IF($M204,IF(AND($G204&gt;=CV$5,$G204&lt;CV$5+GanttPeriod),"◆",IF(AND($E204&gt;=CV$5,$E204&lt;CV$5+GanttPeriod),"◇","")),IF(AND(CV$5&lt;=$F204,CV$5+GanttPeriod-1&gt;=$E204),"━","")))</f>
        <v/>
      </c>
      <c r="CW204" s="69" t="str">
        <f aca="false">IF($E204="","",IF($M204,IF(AND($G204&gt;=CW$5,$G204&lt;CW$5+GanttPeriod),"◆",IF(AND($E204&gt;=CW$5,$E204&lt;CW$5+GanttPeriod),"◇","")),IF(AND(CW$5&lt;=$F204,CW$5+GanttPeriod-1&gt;=$E204),"━","")))</f>
        <v/>
      </c>
      <c r="CX204" s="69" t="str">
        <f aca="false">IF($E204="","",IF($M204,IF(AND($G204&gt;=CX$5,$G204&lt;CX$5+GanttPeriod),"◆",IF(AND($E204&gt;=CX$5,$E204&lt;CX$5+GanttPeriod),"◇","")),IF(AND(CX$5&lt;=$F204,CX$5+GanttPeriod-1&gt;=$E204),"━","")))</f>
        <v/>
      </c>
      <c r="CY204" s="69" t="str">
        <f aca="false">IF($E204="","",IF($M204,IF(AND($G204&gt;=CY$5,$G204&lt;CY$5+GanttPeriod),"◆",IF(AND($E204&gt;=CY$5,$E204&lt;CY$5+GanttPeriod),"◇","")),IF(AND(CY$5&lt;=$F204,CY$5+GanttPeriod-1&gt;=$E204),"━","")))</f>
        <v/>
      </c>
      <c r="CZ204" s="69" t="str">
        <f aca="false">IF($E204="","",IF($M204,IF(AND($G204&gt;=CZ$5,$G204&lt;CZ$5+GanttPeriod),"◆",IF(AND($E204&gt;=CZ$5,$E204&lt;CZ$5+GanttPeriod),"◇","")),IF(AND(CZ$5&lt;=$F204,CZ$5+GanttPeriod-1&gt;=$E204),"━","")))</f>
        <v/>
      </c>
      <c r="DA204" s="69" t="str">
        <f aca="false">IF($E204="","",IF($M204,IF(AND($G204&gt;=DA$5,$G204&lt;DA$5+GanttPeriod),"◆",IF(AND($E204&gt;=DA$5,$E204&lt;DA$5+GanttPeriod),"◇","")),IF(AND(DA$5&lt;=$F204,DA$5+GanttPeriod-1&gt;=$E204),"━","")))</f>
        <v/>
      </c>
      <c r="DB204" s="69" t="str">
        <f aca="false">IF($E204="","",IF($M204,IF(AND($G204&gt;=DB$5,$G204&lt;DB$5+GanttPeriod),"◆",IF(AND($E204&gt;=DB$5,$E204&lt;DB$5+GanttPeriod),"◇","")),IF(AND(DB$5&lt;=$F204,DB$5+GanttPeriod-1&gt;=$E204),"━","")))</f>
        <v/>
      </c>
      <c r="DC204" s="69" t="str">
        <f aca="false">IF($E204="","",IF($M204,IF(AND($G204&gt;=DC$5,$G204&lt;DC$5+GanttPeriod),"◆",IF(AND($E204&gt;=DC$5,$E204&lt;DC$5+GanttPeriod),"◇","")),IF(AND(DC$5&lt;=$F204,DC$5+GanttPeriod-1&gt;=$E204),"━","")))</f>
        <v/>
      </c>
      <c r="DD204" s="69" t="str">
        <f aca="false">IF($E204="","",IF($M204,IF(AND($G204&gt;=DD$5,$G204&lt;DD$5+GanttPeriod),"◆",IF(AND($E204&gt;=DD$5,$E204&lt;DD$5+GanttPeriod),"◇","")),IF(AND(DD$5&lt;=$F204,DD$5+GanttPeriod-1&gt;=$E204),"━","")))</f>
        <v/>
      </c>
      <c r="DE204" s="69" t="str">
        <f aca="false">IF($E204="","",IF($M204,IF(AND($G204&gt;=DE$5,$G204&lt;DE$5+GanttPeriod),"◆",IF(AND($E204&gt;=DE$5,$E204&lt;DE$5+GanttPeriod),"◇","")),IF(AND(DE$5&lt;=$F204,DE$5+GanttPeriod-1&gt;=$E204),"━","")))</f>
        <v/>
      </c>
      <c r="DF204" s="69" t="str">
        <f aca="false">IF($E204="","",IF($M204,IF(AND($G204&gt;=DF$5,$G204&lt;DF$5+GanttPeriod),"◆",IF(AND($E204&gt;=DF$5,$E204&lt;DF$5+GanttPeriod),"◇","")),IF(AND(DF$5&lt;=$F204,DF$5+GanttPeriod-1&gt;=$E204),"━","")))</f>
        <v/>
      </c>
      <c r="DG204" s="69" t="str">
        <f aca="false">IF($E204="","",IF($M204,IF(AND($G204&gt;=DG$5,$G204&lt;DG$5+GanttPeriod),"◆",IF(AND($E204&gt;=DG$5,$E204&lt;DG$5+GanttPeriod),"◇","")),IF(AND(DG$5&lt;=$F204,DG$5+GanttPeriod-1&gt;=$E204),"━","")))</f>
        <v/>
      </c>
      <c r="DH204" s="69" t="str">
        <f aca="false">IF($E204="","",IF($M204,IF(AND($G204&gt;=DH$5,$G204&lt;DH$5+GanttPeriod),"◆",IF(AND($E204&gt;=DH$5,$E204&lt;DH$5+GanttPeriod),"◇","")),IF(AND(DH$5&lt;=$F204,DH$5+GanttPeriod-1&gt;=$E204),"━","")))</f>
        <v/>
      </c>
      <c r="DI204" s="69" t="str">
        <f aca="false">IF($E204="","",IF($M204,IF(AND($G204&gt;=DI$5,$G204&lt;DI$5+GanttPeriod),"◆",IF(AND($E204&gt;=DI$5,$E204&lt;DI$5+GanttPeriod),"◇","")),IF(AND(DI$5&lt;=$F204,DI$5+GanttPeriod-1&gt;=$E204),"━","")))</f>
        <v/>
      </c>
      <c r="DJ204" s="69" t="str">
        <f aca="false">IF($E204="","",IF($M204,IF(AND($G204&gt;=DJ$5,$G204&lt;DJ$5+GanttPeriod),"◆",IF(AND($E204&gt;=DJ$5,$E204&lt;DJ$5+GanttPeriod),"◇","")),IF(AND(DJ$5&lt;=$F204,DJ$5+GanttPeriod-1&gt;=$E204),"━","")))</f>
        <v/>
      </c>
      <c r="DK204" s="69" t="str">
        <f aca="false">IF($E204="","",IF($M204,IF(AND($G204&gt;=DK$5,$G204&lt;DK$5+GanttPeriod),"◆",IF(AND($E204&gt;=DK$5,$E204&lt;DK$5+GanttPeriod),"◇","")),IF(AND(DK$5&lt;=$F204,DK$5+GanttPeriod-1&gt;=$E204),"━","")))</f>
        <v/>
      </c>
      <c r="DL204" s="69" t="str">
        <f aca="false">IF($E204="","",IF($M204,IF(AND($G204&gt;=DL$5,$G204&lt;DL$5+GanttPeriod),"◆",IF(AND($E204&gt;=DL$5,$E204&lt;DL$5+GanttPeriod),"◇","")),IF(AND(DL$5&lt;=$F204,DL$5+GanttPeriod-1&gt;=$E204),"━","")))</f>
        <v/>
      </c>
      <c r="DM204" s="69" t="str">
        <f aca="false">IF($E204="","",IF($M204,IF(AND($G204&gt;=DM$5,$G204&lt;DM$5+GanttPeriod),"◆",IF(AND($E204&gt;=DM$5,$E204&lt;DM$5+GanttPeriod),"◇","")),IF(AND(DM$5&lt;=$F204,DM$5+GanttPeriod-1&gt;=$E204),"━","")))</f>
        <v/>
      </c>
      <c r="DN204" s="69" t="str">
        <f aca="false">IF($E204="","",IF($M204,IF(AND($G204&gt;=DN$5,$G204&lt;DN$5+GanttPeriod),"◆",IF(AND($E204&gt;=DN$5,$E204&lt;DN$5+GanttPeriod),"◇","")),IF(AND(DN$5&lt;=$F204,DN$5+GanttPeriod-1&gt;=$E204),"━","")))</f>
        <v/>
      </c>
      <c r="DO204" s="69" t="str">
        <f aca="false">IF($E204="","",IF($M204,IF(AND($G204&gt;=DO$5,$G204&lt;DO$5+GanttPeriod),"◆",IF(AND($E204&gt;=DO$5,$E204&lt;DO$5+GanttPeriod),"◇","")),IF(AND(DO$5&lt;=$F204,DO$5+GanttPeriod-1&gt;=$E204),"━","")))</f>
        <v/>
      </c>
      <c r="DP204" s="69" t="str">
        <f aca="false">IF($E204="","",IF($M204,IF(AND($G204&gt;=DP$5,$G204&lt;DP$5+GanttPeriod),"◆",IF(AND($E204&gt;=DP$5,$E204&lt;DP$5+GanttPeriod),"◇","")),IF(AND(DP$5&lt;=$F204,DP$5+GanttPeriod-1&gt;=$E204),"━","")))</f>
        <v/>
      </c>
      <c r="DQ204" s="69" t="str">
        <f aca="false">IF($E204="","",IF($M204,IF(AND($G204&gt;=DQ$5,$G204&lt;DQ$5+GanttPeriod),"◆",IF(AND($E204&gt;=DQ$5,$E204&lt;DQ$5+GanttPeriod),"◇","")),IF(AND(DQ$5&lt;=$F204,DQ$5+GanttPeriod-1&gt;=$E204),"━","")))</f>
        <v/>
      </c>
      <c r="DR204" s="69" t="str">
        <f aca="false">IF($E204="","",IF($M204,IF(AND($G204&gt;=DR$5,$G204&lt;DR$5+GanttPeriod),"◆",IF(AND($E204&gt;=DR$5,$E204&lt;DR$5+GanttPeriod),"◇","")),IF(AND(DR$5&lt;=$F204,DR$5+GanttPeriod-1&gt;=$E204),"━","")))</f>
        <v/>
      </c>
      <c r="DS204" s="69" t="str">
        <f aca="false">IF($E204="","",IF($M204,IF(AND($G204&gt;=DS$5,$G204&lt;DS$5+GanttPeriod),"◆",IF(AND($E204&gt;=DS$5,$E204&lt;DS$5+GanttPeriod),"◇","")),IF(AND(DS$5&lt;=$F204,DS$5+GanttPeriod-1&gt;=$E204),"━","")))</f>
        <v/>
      </c>
      <c r="DT204" s="69" t="str">
        <f aca="false">IF($E204="","",IF($M204,IF(AND($G204&gt;=DT$5,$G204&lt;DT$5+GanttPeriod),"◆",IF(AND($E204&gt;=DT$5,$E204&lt;DT$5+GanttPeriod),"◇","")),IF(AND(DT$5&lt;=$F204,DT$5+GanttPeriod-1&gt;=$E204),"━","")))</f>
        <v/>
      </c>
      <c r="DU204" s="69" t="str">
        <f aca="false">IF($E204="","",IF($M204,IF(AND($G204&gt;=DU$5,$G204&lt;DU$5+GanttPeriod),"◆",IF(AND($E204&gt;=DU$5,$E204&lt;DU$5+GanttPeriod),"◇","")),IF(AND(DU$5&lt;=$F204,DU$5+GanttPeriod-1&gt;=$E204),"━","")))</f>
        <v/>
      </c>
      <c r="DV204" s="69" t="str">
        <f aca="false">IF($E204="","",IF($M204,IF(AND($G204&gt;=DV$5,$G204&lt;DV$5+GanttPeriod),"◆",IF(AND($E204&gt;=DV$5,$E204&lt;DV$5+GanttPeriod),"◇","")),IF(AND(DV$5&lt;=$F204,DV$5+GanttPeriod-1&gt;=$E204),"━","")))</f>
        <v/>
      </c>
      <c r="DW204" s="69" t="str">
        <f aca="false">IF($E204="","",IF($M204,IF(AND($G204&gt;=DW$5,$G204&lt;DW$5+GanttPeriod),"◆",IF(AND($E204&gt;=DW$5,$E204&lt;DW$5+GanttPeriod),"◇","")),IF(AND(DW$5&lt;=$F204,DW$5+GanttPeriod-1&gt;=$E204),"━","")))</f>
        <v/>
      </c>
      <c r="DX204" s="69" t="str">
        <f aca="false">IF($E204="","",IF($M204,IF(AND($G204&gt;=DX$5,$G204&lt;DX$5+GanttPeriod),"◆",IF(AND($E204&gt;=DX$5,$E204&lt;DX$5+GanttPeriod),"◇","")),IF(AND(DX$5&lt;=$F204,DX$5+GanttPeriod-1&gt;=$E204),"━","")))</f>
        <v/>
      </c>
      <c r="DY204" s="69" t="str">
        <f aca="false">IF($E204="","",IF($M204,IF(AND($G204&gt;=DY$5,$G204&lt;DY$5+GanttPeriod),"◆",IF(AND($E204&gt;=DY$5,$E204&lt;DY$5+GanttPeriod),"◇","")),IF(AND(DY$5&lt;=$F204,DY$5+GanttPeriod-1&gt;=$E204),"━","")))</f>
        <v/>
      </c>
      <c r="DZ204" s="69" t="str">
        <f aca="false">IF($E204="","",IF($M204,IF(AND($G204&gt;=DZ$5,$G204&lt;DZ$5+GanttPeriod),"◆",IF(AND($E204&gt;=DZ$5,$E204&lt;DZ$5+GanttPeriod),"◇","")),IF(AND(DZ$5&lt;=$F204,DZ$5+GanttPeriod-1&gt;=$E204),"━","")))</f>
        <v/>
      </c>
      <c r="EA204" s="69" t="str">
        <f aca="false">IF($E204="","",IF($M204,IF(AND($G204&gt;=EA$5,$G204&lt;EA$5+GanttPeriod),"◆",IF(AND($E204&gt;=EA$5,$E204&lt;EA$5+GanttPeriod),"◇","")),IF(AND(EA$5&lt;=$F204,EA$5+GanttPeriod-1&gt;=$E204),"━","")))</f>
        <v/>
      </c>
      <c r="EB204" s="69" t="str">
        <f aca="false">IF($E204="","",IF($M204,IF(AND($G204&gt;=EB$5,$G204&lt;EB$5+GanttPeriod),"◆",IF(AND($E204&gt;=EB$5,$E204&lt;EB$5+GanttPeriod),"◇","")),IF(AND(EB$5&lt;=$F204,EB$5+GanttPeriod-1&gt;=$E204),"━","")))</f>
        <v/>
      </c>
      <c r="EC204" s="69" t="str">
        <f aca="false">IF($E204="","",IF($M204,IF(AND($G204&gt;=EC$5,$G204&lt;EC$5+GanttPeriod),"◆",IF(AND($E204&gt;=EC$5,$E204&lt;EC$5+GanttPeriod),"◇","")),IF(AND(EC$5&lt;=$F204,EC$5+GanttPeriod-1&gt;=$E204),"━","")))</f>
        <v/>
      </c>
      <c r="ED204" s="69" t="str">
        <f aca="false">IF($E204="","",IF($M204,IF(AND($G204&gt;=ED$5,$G204&lt;ED$5+GanttPeriod),"◆",IF(AND($E204&gt;=ED$5,$E204&lt;ED$5+GanttPeriod),"◇","")),IF(AND(ED$5&lt;=$F204,ED$5+GanttPeriod-1&gt;=$E204),"━","")))</f>
        <v/>
      </c>
      <c r="EE204" s="69" t="str">
        <f aca="false">IF($E204="","",IF($M204,IF(AND($G204&gt;=EE$5,$G204&lt;EE$5+GanttPeriod),"◆",IF(AND($E204&gt;=EE$5,$E204&lt;EE$5+GanttPeriod),"◇","")),IF(AND(EE$5&lt;=$F204,EE$5+GanttPeriod-1&gt;=$E204),"━","")))</f>
        <v/>
      </c>
      <c r="EF204" s="69" t="str">
        <f aca="false">IF($E204="","",IF($M204,IF(AND($G204&gt;=EF$5,$G204&lt;EF$5+GanttPeriod),"◆",IF(AND($E204&gt;=EF$5,$E204&lt;EF$5+GanttPeriod),"◇","")),IF(AND(EF$5&lt;=$F204,EF$5+GanttPeriod-1&gt;=$E204),"━","")))</f>
        <v/>
      </c>
      <c r="EG204" s="69" t="str">
        <f aca="false">IF($E204="","",IF($M204,IF(AND($G204&gt;=EG$5,$G204&lt;EG$5+GanttPeriod),"◆",IF(AND($E204&gt;=EG$5,$E204&lt;EG$5+GanttPeriod),"◇","")),IF(AND(EG$5&lt;=$F204,EG$5+GanttPeriod-1&gt;=$E204),"━","")))</f>
        <v/>
      </c>
      <c r="EH204" s="69" t="str">
        <f aca="false">IF($E204="","",IF($M204,IF(AND($G204&gt;=EH$5,$G204&lt;EH$5+GanttPeriod),"◆",IF(AND($E204&gt;=EH$5,$E204&lt;EH$5+GanttPeriod),"◇","")),IF(AND(EH$5&lt;=$F204,EH$5+GanttPeriod-1&gt;=$E204),"━","")))</f>
        <v/>
      </c>
      <c r="EI204" s="69" t="str">
        <f aca="false">IF($E204="","",IF($M204,IF(AND($G204&gt;=EI$5,$G204&lt;EI$5+GanttPeriod),"◆",IF(AND($E204&gt;=EI$5,$E204&lt;EI$5+GanttPeriod),"◇","")),IF(AND(EI$5&lt;=$F204,EI$5+GanttPeriod-1&gt;=$E204),"━","")))</f>
        <v/>
      </c>
      <c r="EJ204" s="69" t="str">
        <f aca="false">IF($E204="","",IF($M204,IF(AND($G204&gt;=EJ$5,$G204&lt;EJ$5+GanttPeriod),"◆",IF(AND($E204&gt;=EJ$5,$E204&lt;EJ$5+GanttPeriod),"◇","")),IF(AND(EJ$5&lt;=$F204,EJ$5+GanttPeriod-1&gt;=$E204),"━","")))</f>
        <v/>
      </c>
      <c r="EK204" s="69" t="str">
        <f aca="false">IF($E204="","",IF($M204,IF(AND($G204&gt;=EK$5,$G204&lt;EK$5+GanttPeriod),"◆",IF(AND($E204&gt;=EK$5,$E204&lt;EK$5+GanttPeriod),"◇","")),IF(AND(EK$5&lt;=$F204,EK$5+GanttPeriod-1&gt;=$E204),"━","")))</f>
        <v/>
      </c>
      <c r="EL204" s="69" t="str">
        <f aca="false">IF($E204="","",IF($M204,IF(AND($G204&gt;=EL$5,$G204&lt;EL$5+GanttPeriod),"◆",IF(AND($E204&gt;=EL$5,$E204&lt;EL$5+GanttPeriod),"◇","")),IF(AND(EL$5&lt;=$F204,EL$5+GanttPeriod-1&gt;=$E204),"━","")))</f>
        <v/>
      </c>
      <c r="EM204" s="69" t="str">
        <f aca="false">IF($E204="","",IF($M204,IF(AND($G204&gt;=EM$5,$G204&lt;EM$5+GanttPeriod),"◆",IF(AND($E204&gt;=EM$5,$E204&lt;EM$5+GanttPeriod),"◇","")),IF(AND(EM$5&lt;=$F204,EM$5+GanttPeriod-1&gt;=$E204),"━","")))</f>
        <v/>
      </c>
      <c r="EN204" s="69" t="str">
        <f aca="false">IF($E204="","",IF($M204,IF(AND($G204&gt;=EN$5,$G204&lt;EN$5+GanttPeriod),"◆",IF(AND($E204&gt;=EN$5,$E204&lt;EN$5+GanttPeriod),"◇","")),IF(AND(EN$5&lt;=$F204,EN$5+GanttPeriod-1&gt;=$E204),"━","")))</f>
        <v/>
      </c>
      <c r="EO204" s="69" t="str">
        <f aca="false">IF($E204="","",IF($M204,IF(AND($G204&gt;=EO$5,$G204&lt;EO$5+GanttPeriod),"◆",IF(AND($E204&gt;=EO$5,$E204&lt;EO$5+GanttPeriod),"◇","")),IF(AND(EO$5&lt;=$F204,EO$5+GanttPeriod-1&gt;=$E204),"━","")))</f>
        <v/>
      </c>
      <c r="EP204" s="69" t="str">
        <f aca="false">IF($E204="","",IF($M204,IF(AND($G204&gt;=EP$5,$G204&lt;EP$5+GanttPeriod),"◆",IF(AND($E204&gt;=EP$5,$E204&lt;EP$5+GanttPeriod),"◇","")),IF(AND(EP$5&lt;=$F204,EP$5+GanttPeriod-1&gt;=$E204),"━","")))</f>
        <v/>
      </c>
      <c r="EQ204" s="69" t="str">
        <f aca="false">IF($E204="","",IF($M204,IF(AND($G204&gt;=EQ$5,$G204&lt;EQ$5+GanttPeriod),"◆",IF(AND($E204&gt;=EQ$5,$E204&lt;EQ$5+GanttPeriod),"◇","")),IF(AND(EQ$5&lt;=$F204,EQ$5+GanttPeriod-1&gt;=$E204),"━","")))</f>
        <v/>
      </c>
      <c r="ER204" s="69" t="str">
        <f aca="false">IF($E204="","",IF($M204,IF(AND($G204&gt;=ER$5,$G204&lt;ER$5+GanttPeriod),"◆",IF(AND($E204&gt;=ER$5,$E204&lt;ER$5+GanttPeriod),"◇","")),IF(AND(ER$5&lt;=$F204,ER$5+GanttPeriod-1&gt;=$E204),"━","")))</f>
        <v/>
      </c>
      <c r="ES204" s="69" t="str">
        <f aca="false">IF($E204="","",IF($M204,IF(AND($G204&gt;=ES$5,$G204&lt;ES$5+GanttPeriod),"◆",IF(AND($E204&gt;=ES$5,$E204&lt;ES$5+GanttPeriod),"◇","")),IF(AND(ES$5&lt;=$F204,ES$5+GanttPeriod-1&gt;=$E204),"━","")))</f>
        <v/>
      </c>
      <c r="ET204" s="69" t="str">
        <f aca="false">IF($E204="","",IF($M204,IF(AND($G204&gt;=ET$5,$G204&lt;ET$5+GanttPeriod),"◆",IF(AND($E204&gt;=ET$5,$E204&lt;ET$5+GanttPeriod),"◇","")),IF(AND(ET$5&lt;=$F204,ET$5+GanttPeriod-1&gt;=$E204),"━","")))</f>
        <v/>
      </c>
      <c r="EU204" s="69" t="str">
        <f aca="false">IF($E204="","",IF($M204,IF(AND($G204&gt;=EU$5,$G204&lt;EU$5+GanttPeriod),"◆",IF(AND($E204&gt;=EU$5,$E204&lt;EU$5+GanttPeriod),"◇","")),IF(AND(EU$5&lt;=$F204,EU$5+GanttPeriod-1&gt;=$E204),"━","")))</f>
        <v/>
      </c>
      <c r="EV204" s="69" t="str">
        <f aca="false">IF($E204="","",IF($M204,IF(AND($G204&gt;=EV$5,$G204&lt;EV$5+GanttPeriod),"◆",IF(AND($E204&gt;=EV$5,$E204&lt;EV$5+GanttPeriod),"◇","")),IF(AND(EV$5&lt;=$F204,EV$5+GanttPeriod-1&gt;=$E204),"━","")))</f>
        <v/>
      </c>
      <c r="EW204" s="69" t="str">
        <f aca="false">IF($E204="","",IF($M204,IF(AND($G204&gt;=EW$5,$G204&lt;EW$5+GanttPeriod),"◆",IF(AND($E204&gt;=EW$5,$E204&lt;EW$5+GanttPeriod),"◇","")),IF(AND(EW$5&lt;=$F204,EW$5+GanttPeriod-1&gt;=$E204),"━","")))</f>
        <v/>
      </c>
      <c r="EX204" s="69" t="str">
        <f aca="false">IF($E204="","",IF($M204,IF(AND($G204&gt;=EX$5,$G204&lt;EX$5+GanttPeriod),"◆",IF(AND($E204&gt;=EX$5,$E204&lt;EX$5+GanttPeriod),"◇","")),IF(AND(EX$5&lt;=$F204,EX$5+GanttPeriod-1&gt;=$E204),"━","")))</f>
        <v/>
      </c>
      <c r="EY204" s="69" t="str">
        <f aca="false">IF($E204="","",IF($M204,IF(AND($G204&gt;=EY$5,$G204&lt;EY$5+GanttPeriod),"◆",IF(AND($E204&gt;=EY$5,$E204&lt;EY$5+GanttPeriod),"◇","")),IF(AND(EY$5&lt;=$F204,EY$5+GanttPeriod-1&gt;=$E204),"━","")))</f>
        <v/>
      </c>
      <c r="EZ204" s="69" t="str">
        <f aca="false">IF($E204="","",IF($M204,IF(AND($G204&gt;=EZ$5,$G204&lt;EZ$5+GanttPeriod),"◆",IF(AND($E204&gt;=EZ$5,$E204&lt;EZ$5+GanttPeriod),"◇","")),IF(AND(EZ$5&lt;=$F204,EZ$5+GanttPeriod-1&gt;=$E204),"━","")))</f>
        <v/>
      </c>
      <c r="FA204" s="69" t="str">
        <f aca="false">IF($E204="","",IF($M204,IF(AND($G204&gt;=FA$5,$G204&lt;FA$5+GanttPeriod),"◆",IF(AND($E204&gt;=FA$5,$E204&lt;FA$5+GanttPeriod),"◇","")),IF(AND(FA$5&lt;=$F204,FA$5+GanttPeriod-1&gt;=$E204),"━","")))</f>
        <v/>
      </c>
      <c r="FB204" s="69" t="str">
        <f aca="false">IF($E204="","",IF($M204,IF(AND($G204&gt;=FB$5,$G204&lt;FB$5+GanttPeriod),"◆",IF(AND($E204&gt;=FB$5,$E204&lt;FB$5+GanttPeriod),"◇","")),IF(AND(FB$5&lt;=$F204,FB$5+GanttPeriod-1&gt;=$E204),"━","")))</f>
        <v/>
      </c>
      <c r="FC204" s="69" t="str">
        <f aca="false">IF($E204="","",IF($M204,IF(AND($G204&gt;=FC$5,$G204&lt;FC$5+GanttPeriod),"◆",IF(AND($E204&gt;=FC$5,$E204&lt;FC$5+GanttPeriod),"◇","")),IF(AND(FC$5&lt;=$F204,FC$5+GanttPeriod-1&gt;=$E204),"━","")))</f>
        <v/>
      </c>
      <c r="FD204" s="69" t="str">
        <f aca="false">IF($E204="","",IF($M204,IF(AND($G204&gt;=FD$5,$G204&lt;FD$5+GanttPeriod),"◆",IF(AND($E204&gt;=FD$5,$E204&lt;FD$5+GanttPeriod),"◇","")),IF(AND(FD$5&lt;=$F204,FD$5+GanttPeriod-1&gt;=$E204),"━","")))</f>
        <v/>
      </c>
      <c r="FE204" s="69" t="str">
        <f aca="false">IF($E204="","",IF($M204,IF(AND($G204&gt;=FE$5,$G204&lt;FE$5+GanttPeriod),"◆",IF(AND($E204&gt;=FE$5,$E204&lt;FE$5+GanttPeriod),"◇","")),IF(AND(FE$5&lt;=$F204,FE$5+GanttPeriod-1&gt;=$E204),"━","")))</f>
        <v/>
      </c>
      <c r="FF204" s="69" t="str">
        <f aca="false">IF($E204="","",IF($M204,IF(AND($G204&gt;=FF$5,$G204&lt;FF$5+GanttPeriod),"◆",IF(AND($E204&gt;=FF$5,$E204&lt;FF$5+GanttPeriod),"◇","")),IF(AND(FF$5&lt;=$F204,FF$5+GanttPeriod-1&gt;=$E204),"━","")))</f>
        <v/>
      </c>
      <c r="FG204" s="69" t="str">
        <f aca="false">IF($E204="","",IF($M204,IF(AND($G204&gt;=FG$5,$G204&lt;FG$5+GanttPeriod),"◆",IF(AND($E204&gt;=FG$5,$E204&lt;FG$5+GanttPeriod),"◇","")),IF(AND(FG$5&lt;=$F204,FG$5+GanttPeriod-1&gt;=$E204),"━","")))</f>
        <v/>
      </c>
      <c r="FH204" s="69" t="str">
        <f aca="false">IF($E204="","",IF($M204,IF(AND($G204&gt;=FH$5,$G204&lt;FH$5+GanttPeriod),"◆",IF(AND($E204&gt;=FH$5,$E204&lt;FH$5+GanttPeriod),"◇","")),IF(AND(FH$5&lt;=$F204,FH$5+GanttPeriod-1&gt;=$E204),"━","")))</f>
        <v/>
      </c>
      <c r="FI204" s="69" t="str">
        <f aca="false">IF($E204="","",IF($M204,IF(AND($G204&gt;=FI$5,$G204&lt;FI$5+GanttPeriod),"◆",IF(AND($E204&gt;=FI$5,$E204&lt;FI$5+GanttPeriod),"◇","")),IF(AND(FI$5&lt;=$F204,FI$5+GanttPeriod-1&gt;=$E204),"━","")))</f>
        <v/>
      </c>
      <c r="FJ204" s="69" t="str">
        <f aca="false">IF($E204="","",IF($M204,IF(AND($G204&gt;=FJ$5,$G204&lt;FJ$5+GanttPeriod),"◆",IF(AND($E204&gt;=FJ$5,$E204&lt;FJ$5+GanttPeriod),"◇","")),IF(AND(FJ$5&lt;=$F204,FJ$5+GanttPeriod-1&gt;=$E204),"━","")))</f>
        <v/>
      </c>
      <c r="FK204" s="69" t="str">
        <f aca="false">IF($E204="","",IF($M204,IF(AND($G204&gt;=FK$5,$G204&lt;FK$5+GanttPeriod),"◆",IF(AND($E204&gt;=FK$5,$E204&lt;FK$5+GanttPeriod),"◇","")),IF(AND(FK$5&lt;=$F204,FK$5+GanttPeriod-1&gt;=$E204),"━","")))</f>
        <v/>
      </c>
      <c r="FL204" s="69" t="str">
        <f aca="false">IF($E204="","",IF($M204,IF(AND($G204&gt;=FL$5,$G204&lt;FL$5+GanttPeriod),"◆",IF(AND($E204&gt;=FL$5,$E204&lt;FL$5+GanttPeriod),"◇","")),IF(AND(FL$5&lt;=$F204,FL$5+GanttPeriod-1&gt;=$E204),"━","")))</f>
        <v/>
      </c>
      <c r="FM204" s="69" t="str">
        <f aca="false">IF($E204="","",IF($M204,IF(AND($G204&gt;=FM$5,$G204&lt;FM$5+GanttPeriod),"◆",IF(AND($E204&gt;=FM$5,$E204&lt;FM$5+GanttPeriod),"◇","")),IF(AND(FM$5&lt;=$F204,FM$5+GanttPeriod-1&gt;=$E204),"━","")))</f>
        <v/>
      </c>
    </row>
    <row r="205" customFormat="false" ht="15" hidden="false" customHeight="false" outlineLevel="0" collapsed="false">
      <c r="A205" s="62" t="str">
        <f aca="false">IF(Tasks!$D205="","",Tasks!$A205)</f>
        <v/>
      </c>
      <c r="B205" s="62" t="str">
        <f aca="false">IF(Tasks!$D205="","",Tasks!$B205)</f>
        <v/>
      </c>
      <c r="C205" s="63" t="str">
        <f aca="false">IF(Tasks!$D205="","",REPT("    ",Tasks!$AE205-1)&amp;Tasks!$D205)</f>
        <v/>
      </c>
      <c r="D205" s="62" t="str">
        <f aca="false">IF(Tasks!$D205="","",IF(Tasks!$AI205,NETWORKDAYS.INTL(Tasks!$R205,Tasks!$S205,WorkWeek,Holidays),N(Tasks!$F205)))</f>
        <v/>
      </c>
      <c r="E205" s="64" t="str">
        <f aca="false">IF(Tasks!$D205="","",Tasks!$N205)</f>
        <v/>
      </c>
      <c r="F205" s="64" t="str">
        <f aca="false">IF(Tasks!$D205="","",Tasks!$O205)</f>
        <v/>
      </c>
      <c r="G205" s="64" t="str">
        <f aca="false">IF(Tasks!$D205="","",Tasks!$R205)</f>
        <v/>
      </c>
      <c r="H205" s="64" t="str">
        <f aca="false">IF(Tasks!$D205="","",Tasks!$S205)</f>
        <v/>
      </c>
      <c r="I205" s="65" t="str">
        <f aca="false">IF(Tasks!$D205="","",Tasks!$V205)</f>
        <v/>
      </c>
      <c r="J205" s="63" t="str">
        <f aca="false">IF(Tasks!$D205="","",Tasks!$X205&amp;"")</f>
        <v/>
      </c>
      <c r="K205" s="66" t="str">
        <f aca="false">IF(Tasks!$D205="","",Tasks!$W205)</f>
        <v/>
      </c>
      <c r="L205" s="67" t="b">
        <f aca="false">IF(Tasks!$D205="",FALSE(),Tasks!$AI205)</f>
        <v>0</v>
      </c>
      <c r="M205" s="67" t="b">
        <f aca="false">AND(Tasks!$AJ205=1,N(Tasks!$F205)=0)</f>
        <v>0</v>
      </c>
      <c r="N205" s="68" t="n">
        <f aca="false">IF(AND(Tasks!$AJ205=1,NOT($M205),N($I205)&gt;0),$G205,0)</f>
        <v>0</v>
      </c>
      <c r="O205" s="68" t="n">
        <f aca="false">IF($N205=0,0,IF($I205&gt;=1,$H205,MAX($N205,$G205+ROUND(($H205-$G205+1)*$I205,0)-1)))</f>
        <v>0</v>
      </c>
      <c r="P205" s="68" t="n">
        <f aca="false">IF(OR(Tasks!$AJ205&lt;&gt;1,$M205,N($I205)&gt;=1),0,IF($O205&gt;0,$O205+1,$G205))</f>
        <v>0</v>
      </c>
      <c r="Q205" s="68" t="n">
        <f aca="false">IF($P205=0,0,$H205)</f>
        <v>0</v>
      </c>
      <c r="R205" s="67" t="b">
        <f aca="false">AND(Tasks!$D205&lt;&gt;"",N(Tasks!$T205)&gt;0)</f>
        <v>0</v>
      </c>
      <c r="T205" s="69" t="str">
        <f aca="false">IF($E205="","",IF($M205,IF(AND($G205&gt;=T$5,$G205&lt;T$5+GanttPeriod),"◆",IF(AND($E205&gt;=T$5,$E205&lt;T$5+GanttPeriod),"◇","")),IF(AND(T$5&lt;=$F205,T$5+GanttPeriod-1&gt;=$E205),"━","")))</f>
        <v/>
      </c>
      <c r="U205" s="69" t="str">
        <f aca="false">IF($E205="","",IF($M205,IF(AND($G205&gt;=U$5,$G205&lt;U$5+GanttPeriod),"◆",IF(AND($E205&gt;=U$5,$E205&lt;U$5+GanttPeriod),"◇","")),IF(AND(U$5&lt;=$F205,U$5+GanttPeriod-1&gt;=$E205),"━","")))</f>
        <v/>
      </c>
      <c r="V205" s="69" t="str">
        <f aca="false">IF($E205="","",IF($M205,IF(AND($G205&gt;=V$5,$G205&lt;V$5+GanttPeriod),"◆",IF(AND($E205&gt;=V$5,$E205&lt;V$5+GanttPeriod),"◇","")),IF(AND(V$5&lt;=$F205,V$5+GanttPeriod-1&gt;=$E205),"━","")))</f>
        <v/>
      </c>
      <c r="W205" s="69" t="str">
        <f aca="false">IF($E205="","",IF($M205,IF(AND($G205&gt;=W$5,$G205&lt;W$5+GanttPeriod),"◆",IF(AND($E205&gt;=W$5,$E205&lt;W$5+GanttPeriod),"◇","")),IF(AND(W$5&lt;=$F205,W$5+GanttPeriod-1&gt;=$E205),"━","")))</f>
        <v/>
      </c>
      <c r="X205" s="69" t="str">
        <f aca="false">IF($E205="","",IF($M205,IF(AND($G205&gt;=X$5,$G205&lt;X$5+GanttPeriod),"◆",IF(AND($E205&gt;=X$5,$E205&lt;X$5+GanttPeriod),"◇","")),IF(AND(X$5&lt;=$F205,X$5+GanttPeriod-1&gt;=$E205),"━","")))</f>
        <v/>
      </c>
      <c r="Y205" s="69" t="str">
        <f aca="false">IF($E205="","",IF($M205,IF(AND($G205&gt;=Y$5,$G205&lt;Y$5+GanttPeriod),"◆",IF(AND($E205&gt;=Y$5,$E205&lt;Y$5+GanttPeriod),"◇","")),IF(AND(Y$5&lt;=$F205,Y$5+GanttPeriod-1&gt;=$E205),"━","")))</f>
        <v/>
      </c>
      <c r="Z205" s="69" t="str">
        <f aca="false">IF($E205="","",IF($M205,IF(AND($G205&gt;=Z$5,$G205&lt;Z$5+GanttPeriod),"◆",IF(AND($E205&gt;=Z$5,$E205&lt;Z$5+GanttPeriod),"◇","")),IF(AND(Z$5&lt;=$F205,Z$5+GanttPeriod-1&gt;=$E205),"━","")))</f>
        <v/>
      </c>
      <c r="AA205" s="69" t="str">
        <f aca="false">IF($E205="","",IF($M205,IF(AND($G205&gt;=AA$5,$G205&lt;AA$5+GanttPeriod),"◆",IF(AND($E205&gt;=AA$5,$E205&lt;AA$5+GanttPeriod),"◇","")),IF(AND(AA$5&lt;=$F205,AA$5+GanttPeriod-1&gt;=$E205),"━","")))</f>
        <v/>
      </c>
      <c r="AB205" s="69" t="str">
        <f aca="false">IF($E205="","",IF($M205,IF(AND($G205&gt;=AB$5,$G205&lt;AB$5+GanttPeriod),"◆",IF(AND($E205&gt;=AB$5,$E205&lt;AB$5+GanttPeriod),"◇","")),IF(AND(AB$5&lt;=$F205,AB$5+GanttPeriod-1&gt;=$E205),"━","")))</f>
        <v/>
      </c>
      <c r="AC205" s="69" t="str">
        <f aca="false">IF($E205="","",IF($M205,IF(AND($G205&gt;=AC$5,$G205&lt;AC$5+GanttPeriod),"◆",IF(AND($E205&gt;=AC$5,$E205&lt;AC$5+GanttPeriod),"◇","")),IF(AND(AC$5&lt;=$F205,AC$5+GanttPeriod-1&gt;=$E205),"━","")))</f>
        <v/>
      </c>
      <c r="AD205" s="69" t="str">
        <f aca="false">IF($E205="","",IF($M205,IF(AND($G205&gt;=AD$5,$G205&lt;AD$5+GanttPeriod),"◆",IF(AND($E205&gt;=AD$5,$E205&lt;AD$5+GanttPeriod),"◇","")),IF(AND(AD$5&lt;=$F205,AD$5+GanttPeriod-1&gt;=$E205),"━","")))</f>
        <v/>
      </c>
      <c r="AE205" s="69" t="str">
        <f aca="false">IF($E205="","",IF($M205,IF(AND($G205&gt;=AE$5,$G205&lt;AE$5+GanttPeriod),"◆",IF(AND($E205&gt;=AE$5,$E205&lt;AE$5+GanttPeriod),"◇","")),IF(AND(AE$5&lt;=$F205,AE$5+GanttPeriod-1&gt;=$E205),"━","")))</f>
        <v/>
      </c>
      <c r="AF205" s="69" t="str">
        <f aca="false">IF($E205="","",IF($M205,IF(AND($G205&gt;=AF$5,$G205&lt;AF$5+GanttPeriod),"◆",IF(AND($E205&gt;=AF$5,$E205&lt;AF$5+GanttPeriod),"◇","")),IF(AND(AF$5&lt;=$F205,AF$5+GanttPeriod-1&gt;=$E205),"━","")))</f>
        <v/>
      </c>
      <c r="AG205" s="69" t="str">
        <f aca="false">IF($E205="","",IF($M205,IF(AND($G205&gt;=AG$5,$G205&lt;AG$5+GanttPeriod),"◆",IF(AND($E205&gt;=AG$5,$E205&lt;AG$5+GanttPeriod),"◇","")),IF(AND(AG$5&lt;=$F205,AG$5+GanttPeriod-1&gt;=$E205),"━","")))</f>
        <v/>
      </c>
      <c r="AH205" s="69" t="str">
        <f aca="false">IF($E205="","",IF($M205,IF(AND($G205&gt;=AH$5,$G205&lt;AH$5+GanttPeriod),"◆",IF(AND($E205&gt;=AH$5,$E205&lt;AH$5+GanttPeriod),"◇","")),IF(AND(AH$5&lt;=$F205,AH$5+GanttPeriod-1&gt;=$E205),"━","")))</f>
        <v/>
      </c>
      <c r="AI205" s="69" t="str">
        <f aca="false">IF($E205="","",IF($M205,IF(AND($G205&gt;=AI$5,$G205&lt;AI$5+GanttPeriod),"◆",IF(AND($E205&gt;=AI$5,$E205&lt;AI$5+GanttPeriod),"◇","")),IF(AND(AI$5&lt;=$F205,AI$5+GanttPeriod-1&gt;=$E205),"━","")))</f>
        <v/>
      </c>
      <c r="AJ205" s="69" t="str">
        <f aca="false">IF($E205="","",IF($M205,IF(AND($G205&gt;=AJ$5,$G205&lt;AJ$5+GanttPeriod),"◆",IF(AND($E205&gt;=AJ$5,$E205&lt;AJ$5+GanttPeriod),"◇","")),IF(AND(AJ$5&lt;=$F205,AJ$5+GanttPeriod-1&gt;=$E205),"━","")))</f>
        <v/>
      </c>
      <c r="AK205" s="69" t="str">
        <f aca="false">IF($E205="","",IF($M205,IF(AND($G205&gt;=AK$5,$G205&lt;AK$5+GanttPeriod),"◆",IF(AND($E205&gt;=AK$5,$E205&lt;AK$5+GanttPeriod),"◇","")),IF(AND(AK$5&lt;=$F205,AK$5+GanttPeriod-1&gt;=$E205),"━","")))</f>
        <v/>
      </c>
      <c r="AL205" s="69" t="str">
        <f aca="false">IF($E205="","",IF($M205,IF(AND($G205&gt;=AL$5,$G205&lt;AL$5+GanttPeriod),"◆",IF(AND($E205&gt;=AL$5,$E205&lt;AL$5+GanttPeriod),"◇","")),IF(AND(AL$5&lt;=$F205,AL$5+GanttPeriod-1&gt;=$E205),"━","")))</f>
        <v/>
      </c>
      <c r="AM205" s="69" t="str">
        <f aca="false">IF($E205="","",IF($M205,IF(AND($G205&gt;=AM$5,$G205&lt;AM$5+GanttPeriod),"◆",IF(AND($E205&gt;=AM$5,$E205&lt;AM$5+GanttPeriod),"◇","")),IF(AND(AM$5&lt;=$F205,AM$5+GanttPeriod-1&gt;=$E205),"━","")))</f>
        <v/>
      </c>
      <c r="AN205" s="69" t="str">
        <f aca="false">IF($E205="","",IF($M205,IF(AND($G205&gt;=AN$5,$G205&lt;AN$5+GanttPeriod),"◆",IF(AND($E205&gt;=AN$5,$E205&lt;AN$5+GanttPeriod),"◇","")),IF(AND(AN$5&lt;=$F205,AN$5+GanttPeriod-1&gt;=$E205),"━","")))</f>
        <v/>
      </c>
      <c r="AO205" s="69" t="str">
        <f aca="false">IF($E205="","",IF($M205,IF(AND($G205&gt;=AO$5,$G205&lt;AO$5+GanttPeriod),"◆",IF(AND($E205&gt;=AO$5,$E205&lt;AO$5+GanttPeriod),"◇","")),IF(AND(AO$5&lt;=$F205,AO$5+GanttPeriod-1&gt;=$E205),"━","")))</f>
        <v/>
      </c>
      <c r="AP205" s="69" t="str">
        <f aca="false">IF($E205="","",IF($M205,IF(AND($G205&gt;=AP$5,$G205&lt;AP$5+GanttPeriod),"◆",IF(AND($E205&gt;=AP$5,$E205&lt;AP$5+GanttPeriod),"◇","")),IF(AND(AP$5&lt;=$F205,AP$5+GanttPeriod-1&gt;=$E205),"━","")))</f>
        <v/>
      </c>
      <c r="AQ205" s="69" t="str">
        <f aca="false">IF($E205="","",IF($M205,IF(AND($G205&gt;=AQ$5,$G205&lt;AQ$5+GanttPeriod),"◆",IF(AND($E205&gt;=AQ$5,$E205&lt;AQ$5+GanttPeriod),"◇","")),IF(AND(AQ$5&lt;=$F205,AQ$5+GanttPeriod-1&gt;=$E205),"━","")))</f>
        <v/>
      </c>
      <c r="AR205" s="69" t="str">
        <f aca="false">IF($E205="","",IF($M205,IF(AND($G205&gt;=AR$5,$G205&lt;AR$5+GanttPeriod),"◆",IF(AND($E205&gt;=AR$5,$E205&lt;AR$5+GanttPeriod),"◇","")),IF(AND(AR$5&lt;=$F205,AR$5+GanttPeriod-1&gt;=$E205),"━","")))</f>
        <v/>
      </c>
      <c r="AS205" s="69" t="str">
        <f aca="false">IF($E205="","",IF($M205,IF(AND($G205&gt;=AS$5,$G205&lt;AS$5+GanttPeriod),"◆",IF(AND($E205&gt;=AS$5,$E205&lt;AS$5+GanttPeriod),"◇","")),IF(AND(AS$5&lt;=$F205,AS$5+GanttPeriod-1&gt;=$E205),"━","")))</f>
        <v/>
      </c>
      <c r="AT205" s="69" t="str">
        <f aca="false">IF($E205="","",IF($M205,IF(AND($G205&gt;=AT$5,$G205&lt;AT$5+GanttPeriod),"◆",IF(AND($E205&gt;=AT$5,$E205&lt;AT$5+GanttPeriod),"◇","")),IF(AND(AT$5&lt;=$F205,AT$5+GanttPeriod-1&gt;=$E205),"━","")))</f>
        <v/>
      </c>
      <c r="AU205" s="69" t="str">
        <f aca="false">IF($E205="","",IF($M205,IF(AND($G205&gt;=AU$5,$G205&lt;AU$5+GanttPeriod),"◆",IF(AND($E205&gt;=AU$5,$E205&lt;AU$5+GanttPeriod),"◇","")),IF(AND(AU$5&lt;=$F205,AU$5+GanttPeriod-1&gt;=$E205),"━","")))</f>
        <v/>
      </c>
      <c r="AV205" s="69" t="str">
        <f aca="false">IF($E205="","",IF($M205,IF(AND($G205&gt;=AV$5,$G205&lt;AV$5+GanttPeriod),"◆",IF(AND($E205&gt;=AV$5,$E205&lt;AV$5+GanttPeriod),"◇","")),IF(AND(AV$5&lt;=$F205,AV$5+GanttPeriod-1&gt;=$E205),"━","")))</f>
        <v/>
      </c>
      <c r="AW205" s="69" t="str">
        <f aca="false">IF($E205="","",IF($M205,IF(AND($G205&gt;=AW$5,$G205&lt;AW$5+GanttPeriod),"◆",IF(AND($E205&gt;=AW$5,$E205&lt;AW$5+GanttPeriod),"◇","")),IF(AND(AW$5&lt;=$F205,AW$5+GanttPeriod-1&gt;=$E205),"━","")))</f>
        <v/>
      </c>
      <c r="AX205" s="69" t="str">
        <f aca="false">IF($E205="","",IF($M205,IF(AND($G205&gt;=AX$5,$G205&lt;AX$5+GanttPeriod),"◆",IF(AND($E205&gt;=AX$5,$E205&lt;AX$5+GanttPeriod),"◇","")),IF(AND(AX$5&lt;=$F205,AX$5+GanttPeriod-1&gt;=$E205),"━","")))</f>
        <v/>
      </c>
      <c r="AY205" s="69" t="str">
        <f aca="false">IF($E205="","",IF($M205,IF(AND($G205&gt;=AY$5,$G205&lt;AY$5+GanttPeriod),"◆",IF(AND($E205&gt;=AY$5,$E205&lt;AY$5+GanttPeriod),"◇","")),IF(AND(AY$5&lt;=$F205,AY$5+GanttPeriod-1&gt;=$E205),"━","")))</f>
        <v/>
      </c>
      <c r="AZ205" s="69" t="str">
        <f aca="false">IF($E205="","",IF($M205,IF(AND($G205&gt;=AZ$5,$G205&lt;AZ$5+GanttPeriod),"◆",IF(AND($E205&gt;=AZ$5,$E205&lt;AZ$5+GanttPeriod),"◇","")),IF(AND(AZ$5&lt;=$F205,AZ$5+GanttPeriod-1&gt;=$E205),"━","")))</f>
        <v/>
      </c>
      <c r="BA205" s="69" t="str">
        <f aca="false">IF($E205="","",IF($M205,IF(AND($G205&gt;=BA$5,$G205&lt;BA$5+GanttPeriod),"◆",IF(AND($E205&gt;=BA$5,$E205&lt;BA$5+GanttPeriod),"◇","")),IF(AND(BA$5&lt;=$F205,BA$5+GanttPeriod-1&gt;=$E205),"━","")))</f>
        <v/>
      </c>
      <c r="BB205" s="69" t="str">
        <f aca="false">IF($E205="","",IF($M205,IF(AND($G205&gt;=BB$5,$G205&lt;BB$5+GanttPeriod),"◆",IF(AND($E205&gt;=BB$5,$E205&lt;BB$5+GanttPeriod),"◇","")),IF(AND(BB$5&lt;=$F205,BB$5+GanttPeriod-1&gt;=$E205),"━","")))</f>
        <v/>
      </c>
      <c r="BC205" s="69" t="str">
        <f aca="false">IF($E205="","",IF($M205,IF(AND($G205&gt;=BC$5,$G205&lt;BC$5+GanttPeriod),"◆",IF(AND($E205&gt;=BC$5,$E205&lt;BC$5+GanttPeriod),"◇","")),IF(AND(BC$5&lt;=$F205,BC$5+GanttPeriod-1&gt;=$E205),"━","")))</f>
        <v/>
      </c>
      <c r="BD205" s="69" t="str">
        <f aca="false">IF($E205="","",IF($M205,IF(AND($G205&gt;=BD$5,$G205&lt;BD$5+GanttPeriod),"◆",IF(AND($E205&gt;=BD$5,$E205&lt;BD$5+GanttPeriod),"◇","")),IF(AND(BD$5&lt;=$F205,BD$5+GanttPeriod-1&gt;=$E205),"━","")))</f>
        <v/>
      </c>
      <c r="BE205" s="69" t="str">
        <f aca="false">IF($E205="","",IF($M205,IF(AND($G205&gt;=BE$5,$G205&lt;BE$5+GanttPeriod),"◆",IF(AND($E205&gt;=BE$5,$E205&lt;BE$5+GanttPeriod),"◇","")),IF(AND(BE$5&lt;=$F205,BE$5+GanttPeriod-1&gt;=$E205),"━","")))</f>
        <v/>
      </c>
      <c r="BF205" s="69" t="str">
        <f aca="false">IF($E205="","",IF($M205,IF(AND($G205&gt;=BF$5,$G205&lt;BF$5+GanttPeriod),"◆",IF(AND($E205&gt;=BF$5,$E205&lt;BF$5+GanttPeriod),"◇","")),IF(AND(BF$5&lt;=$F205,BF$5+GanttPeriod-1&gt;=$E205),"━","")))</f>
        <v/>
      </c>
      <c r="BG205" s="69" t="str">
        <f aca="false">IF($E205="","",IF($M205,IF(AND($G205&gt;=BG$5,$G205&lt;BG$5+GanttPeriod),"◆",IF(AND($E205&gt;=BG$5,$E205&lt;BG$5+GanttPeriod),"◇","")),IF(AND(BG$5&lt;=$F205,BG$5+GanttPeriod-1&gt;=$E205),"━","")))</f>
        <v/>
      </c>
      <c r="BH205" s="69" t="str">
        <f aca="false">IF($E205="","",IF($M205,IF(AND($G205&gt;=BH$5,$G205&lt;BH$5+GanttPeriod),"◆",IF(AND($E205&gt;=BH$5,$E205&lt;BH$5+GanttPeriod),"◇","")),IF(AND(BH$5&lt;=$F205,BH$5+GanttPeriod-1&gt;=$E205),"━","")))</f>
        <v/>
      </c>
      <c r="BI205" s="69" t="str">
        <f aca="false">IF($E205="","",IF($M205,IF(AND($G205&gt;=BI$5,$G205&lt;BI$5+GanttPeriod),"◆",IF(AND($E205&gt;=BI$5,$E205&lt;BI$5+GanttPeriod),"◇","")),IF(AND(BI$5&lt;=$F205,BI$5+GanttPeriod-1&gt;=$E205),"━","")))</f>
        <v/>
      </c>
      <c r="BJ205" s="69" t="str">
        <f aca="false">IF($E205="","",IF($M205,IF(AND($G205&gt;=BJ$5,$G205&lt;BJ$5+GanttPeriod),"◆",IF(AND($E205&gt;=BJ$5,$E205&lt;BJ$5+GanttPeriod),"◇","")),IF(AND(BJ$5&lt;=$F205,BJ$5+GanttPeriod-1&gt;=$E205),"━","")))</f>
        <v/>
      </c>
      <c r="BK205" s="69" t="str">
        <f aca="false">IF($E205="","",IF($M205,IF(AND($G205&gt;=BK$5,$G205&lt;BK$5+GanttPeriod),"◆",IF(AND($E205&gt;=BK$5,$E205&lt;BK$5+GanttPeriod),"◇","")),IF(AND(BK$5&lt;=$F205,BK$5+GanttPeriod-1&gt;=$E205),"━","")))</f>
        <v/>
      </c>
      <c r="BL205" s="69" t="str">
        <f aca="false">IF($E205="","",IF($M205,IF(AND($G205&gt;=BL$5,$G205&lt;BL$5+GanttPeriod),"◆",IF(AND($E205&gt;=BL$5,$E205&lt;BL$5+GanttPeriod),"◇","")),IF(AND(BL$5&lt;=$F205,BL$5+GanttPeriod-1&gt;=$E205),"━","")))</f>
        <v/>
      </c>
      <c r="BM205" s="69" t="str">
        <f aca="false">IF($E205="","",IF($M205,IF(AND($G205&gt;=BM$5,$G205&lt;BM$5+GanttPeriod),"◆",IF(AND($E205&gt;=BM$5,$E205&lt;BM$5+GanttPeriod),"◇","")),IF(AND(BM$5&lt;=$F205,BM$5+GanttPeriod-1&gt;=$E205),"━","")))</f>
        <v/>
      </c>
      <c r="BN205" s="69" t="str">
        <f aca="false">IF($E205="","",IF($M205,IF(AND($G205&gt;=BN$5,$G205&lt;BN$5+GanttPeriod),"◆",IF(AND($E205&gt;=BN$5,$E205&lt;BN$5+GanttPeriod),"◇","")),IF(AND(BN$5&lt;=$F205,BN$5+GanttPeriod-1&gt;=$E205),"━","")))</f>
        <v/>
      </c>
      <c r="BO205" s="69" t="str">
        <f aca="false">IF($E205="","",IF($M205,IF(AND($G205&gt;=BO$5,$G205&lt;BO$5+GanttPeriod),"◆",IF(AND($E205&gt;=BO$5,$E205&lt;BO$5+GanttPeriod),"◇","")),IF(AND(BO$5&lt;=$F205,BO$5+GanttPeriod-1&gt;=$E205),"━","")))</f>
        <v/>
      </c>
      <c r="BP205" s="69" t="str">
        <f aca="false">IF($E205="","",IF($M205,IF(AND($G205&gt;=BP$5,$G205&lt;BP$5+GanttPeriod),"◆",IF(AND($E205&gt;=BP$5,$E205&lt;BP$5+GanttPeriod),"◇","")),IF(AND(BP$5&lt;=$F205,BP$5+GanttPeriod-1&gt;=$E205),"━","")))</f>
        <v/>
      </c>
      <c r="BQ205" s="69" t="str">
        <f aca="false">IF($E205="","",IF($M205,IF(AND($G205&gt;=BQ$5,$G205&lt;BQ$5+GanttPeriod),"◆",IF(AND($E205&gt;=BQ$5,$E205&lt;BQ$5+GanttPeriod),"◇","")),IF(AND(BQ$5&lt;=$F205,BQ$5+GanttPeriod-1&gt;=$E205),"━","")))</f>
        <v/>
      </c>
      <c r="BR205" s="69" t="str">
        <f aca="false">IF($E205="","",IF($M205,IF(AND($G205&gt;=BR$5,$G205&lt;BR$5+GanttPeriod),"◆",IF(AND($E205&gt;=BR$5,$E205&lt;BR$5+GanttPeriod),"◇","")),IF(AND(BR$5&lt;=$F205,BR$5+GanttPeriod-1&gt;=$E205),"━","")))</f>
        <v/>
      </c>
      <c r="BS205" s="69" t="str">
        <f aca="false">IF($E205="","",IF($M205,IF(AND($G205&gt;=BS$5,$G205&lt;BS$5+GanttPeriod),"◆",IF(AND($E205&gt;=BS$5,$E205&lt;BS$5+GanttPeriod),"◇","")),IF(AND(BS$5&lt;=$F205,BS$5+GanttPeriod-1&gt;=$E205),"━","")))</f>
        <v/>
      </c>
      <c r="BT205" s="69" t="str">
        <f aca="false">IF($E205="","",IF($M205,IF(AND($G205&gt;=BT$5,$G205&lt;BT$5+GanttPeriod),"◆",IF(AND($E205&gt;=BT$5,$E205&lt;BT$5+GanttPeriod),"◇","")),IF(AND(BT$5&lt;=$F205,BT$5+GanttPeriod-1&gt;=$E205),"━","")))</f>
        <v/>
      </c>
      <c r="BU205" s="69" t="str">
        <f aca="false">IF($E205="","",IF($M205,IF(AND($G205&gt;=BU$5,$G205&lt;BU$5+GanttPeriod),"◆",IF(AND($E205&gt;=BU$5,$E205&lt;BU$5+GanttPeriod),"◇","")),IF(AND(BU$5&lt;=$F205,BU$5+GanttPeriod-1&gt;=$E205),"━","")))</f>
        <v/>
      </c>
      <c r="BV205" s="69" t="str">
        <f aca="false">IF($E205="","",IF($M205,IF(AND($G205&gt;=BV$5,$G205&lt;BV$5+GanttPeriod),"◆",IF(AND($E205&gt;=BV$5,$E205&lt;BV$5+GanttPeriod),"◇","")),IF(AND(BV$5&lt;=$F205,BV$5+GanttPeriod-1&gt;=$E205),"━","")))</f>
        <v/>
      </c>
      <c r="BW205" s="69" t="str">
        <f aca="false">IF($E205="","",IF($M205,IF(AND($G205&gt;=BW$5,$G205&lt;BW$5+GanttPeriod),"◆",IF(AND($E205&gt;=BW$5,$E205&lt;BW$5+GanttPeriod),"◇","")),IF(AND(BW$5&lt;=$F205,BW$5+GanttPeriod-1&gt;=$E205),"━","")))</f>
        <v/>
      </c>
      <c r="BX205" s="69" t="str">
        <f aca="false">IF($E205="","",IF($M205,IF(AND($G205&gt;=BX$5,$G205&lt;BX$5+GanttPeriod),"◆",IF(AND($E205&gt;=BX$5,$E205&lt;BX$5+GanttPeriod),"◇","")),IF(AND(BX$5&lt;=$F205,BX$5+GanttPeriod-1&gt;=$E205),"━","")))</f>
        <v/>
      </c>
      <c r="BY205" s="69" t="str">
        <f aca="false">IF($E205="","",IF($M205,IF(AND($G205&gt;=BY$5,$G205&lt;BY$5+GanttPeriod),"◆",IF(AND($E205&gt;=BY$5,$E205&lt;BY$5+GanttPeriod),"◇","")),IF(AND(BY$5&lt;=$F205,BY$5+GanttPeriod-1&gt;=$E205),"━","")))</f>
        <v/>
      </c>
      <c r="BZ205" s="69" t="str">
        <f aca="false">IF($E205="","",IF($M205,IF(AND($G205&gt;=BZ$5,$G205&lt;BZ$5+GanttPeriod),"◆",IF(AND($E205&gt;=BZ$5,$E205&lt;BZ$5+GanttPeriod),"◇","")),IF(AND(BZ$5&lt;=$F205,BZ$5+GanttPeriod-1&gt;=$E205),"━","")))</f>
        <v/>
      </c>
      <c r="CA205" s="69" t="str">
        <f aca="false">IF($E205="","",IF($M205,IF(AND($G205&gt;=CA$5,$G205&lt;CA$5+GanttPeriod),"◆",IF(AND($E205&gt;=CA$5,$E205&lt;CA$5+GanttPeriod),"◇","")),IF(AND(CA$5&lt;=$F205,CA$5+GanttPeriod-1&gt;=$E205),"━","")))</f>
        <v/>
      </c>
      <c r="CB205" s="69" t="str">
        <f aca="false">IF($E205="","",IF($M205,IF(AND($G205&gt;=CB$5,$G205&lt;CB$5+GanttPeriod),"◆",IF(AND($E205&gt;=CB$5,$E205&lt;CB$5+GanttPeriod),"◇","")),IF(AND(CB$5&lt;=$F205,CB$5+GanttPeriod-1&gt;=$E205),"━","")))</f>
        <v/>
      </c>
      <c r="CC205" s="69" t="str">
        <f aca="false">IF($E205="","",IF($M205,IF(AND($G205&gt;=CC$5,$G205&lt;CC$5+GanttPeriod),"◆",IF(AND($E205&gt;=CC$5,$E205&lt;CC$5+GanttPeriod),"◇","")),IF(AND(CC$5&lt;=$F205,CC$5+GanttPeriod-1&gt;=$E205),"━","")))</f>
        <v/>
      </c>
      <c r="CD205" s="69" t="str">
        <f aca="false">IF($E205="","",IF($M205,IF(AND($G205&gt;=CD$5,$G205&lt;CD$5+GanttPeriod),"◆",IF(AND($E205&gt;=CD$5,$E205&lt;CD$5+GanttPeriod),"◇","")),IF(AND(CD$5&lt;=$F205,CD$5+GanttPeriod-1&gt;=$E205),"━","")))</f>
        <v/>
      </c>
      <c r="CE205" s="69" t="str">
        <f aca="false">IF($E205="","",IF($M205,IF(AND($G205&gt;=CE$5,$G205&lt;CE$5+GanttPeriod),"◆",IF(AND($E205&gt;=CE$5,$E205&lt;CE$5+GanttPeriod),"◇","")),IF(AND(CE$5&lt;=$F205,CE$5+GanttPeriod-1&gt;=$E205),"━","")))</f>
        <v/>
      </c>
      <c r="CF205" s="69" t="str">
        <f aca="false">IF($E205="","",IF($M205,IF(AND($G205&gt;=CF$5,$G205&lt;CF$5+GanttPeriod),"◆",IF(AND($E205&gt;=CF$5,$E205&lt;CF$5+GanttPeriod),"◇","")),IF(AND(CF$5&lt;=$F205,CF$5+GanttPeriod-1&gt;=$E205),"━","")))</f>
        <v/>
      </c>
      <c r="CG205" s="69" t="str">
        <f aca="false">IF($E205="","",IF($M205,IF(AND($G205&gt;=CG$5,$G205&lt;CG$5+GanttPeriod),"◆",IF(AND($E205&gt;=CG$5,$E205&lt;CG$5+GanttPeriod),"◇","")),IF(AND(CG$5&lt;=$F205,CG$5+GanttPeriod-1&gt;=$E205),"━","")))</f>
        <v/>
      </c>
      <c r="CH205" s="69" t="str">
        <f aca="false">IF($E205="","",IF($M205,IF(AND($G205&gt;=CH$5,$G205&lt;CH$5+GanttPeriod),"◆",IF(AND($E205&gt;=CH$5,$E205&lt;CH$5+GanttPeriod),"◇","")),IF(AND(CH$5&lt;=$F205,CH$5+GanttPeriod-1&gt;=$E205),"━","")))</f>
        <v/>
      </c>
      <c r="CI205" s="69" t="str">
        <f aca="false">IF($E205="","",IF($M205,IF(AND($G205&gt;=CI$5,$G205&lt;CI$5+GanttPeriod),"◆",IF(AND($E205&gt;=CI$5,$E205&lt;CI$5+GanttPeriod),"◇","")),IF(AND(CI$5&lt;=$F205,CI$5+GanttPeriod-1&gt;=$E205),"━","")))</f>
        <v/>
      </c>
      <c r="CJ205" s="69" t="str">
        <f aca="false">IF($E205="","",IF($M205,IF(AND($G205&gt;=CJ$5,$G205&lt;CJ$5+GanttPeriod),"◆",IF(AND($E205&gt;=CJ$5,$E205&lt;CJ$5+GanttPeriod),"◇","")),IF(AND(CJ$5&lt;=$F205,CJ$5+GanttPeriod-1&gt;=$E205),"━","")))</f>
        <v/>
      </c>
      <c r="CK205" s="69" t="str">
        <f aca="false">IF($E205="","",IF($M205,IF(AND($G205&gt;=CK$5,$G205&lt;CK$5+GanttPeriod),"◆",IF(AND($E205&gt;=CK$5,$E205&lt;CK$5+GanttPeriod),"◇","")),IF(AND(CK$5&lt;=$F205,CK$5+GanttPeriod-1&gt;=$E205),"━","")))</f>
        <v/>
      </c>
      <c r="CL205" s="69" t="str">
        <f aca="false">IF($E205="","",IF($M205,IF(AND($G205&gt;=CL$5,$G205&lt;CL$5+GanttPeriod),"◆",IF(AND($E205&gt;=CL$5,$E205&lt;CL$5+GanttPeriod),"◇","")),IF(AND(CL$5&lt;=$F205,CL$5+GanttPeriod-1&gt;=$E205),"━","")))</f>
        <v/>
      </c>
      <c r="CM205" s="69" t="str">
        <f aca="false">IF($E205="","",IF($M205,IF(AND($G205&gt;=CM$5,$G205&lt;CM$5+GanttPeriod),"◆",IF(AND($E205&gt;=CM$5,$E205&lt;CM$5+GanttPeriod),"◇","")),IF(AND(CM$5&lt;=$F205,CM$5+GanttPeriod-1&gt;=$E205),"━","")))</f>
        <v/>
      </c>
      <c r="CN205" s="69" t="str">
        <f aca="false">IF($E205="","",IF($M205,IF(AND($G205&gt;=CN$5,$G205&lt;CN$5+GanttPeriod),"◆",IF(AND($E205&gt;=CN$5,$E205&lt;CN$5+GanttPeriod),"◇","")),IF(AND(CN$5&lt;=$F205,CN$5+GanttPeriod-1&gt;=$E205),"━","")))</f>
        <v/>
      </c>
      <c r="CO205" s="69" t="str">
        <f aca="false">IF($E205="","",IF($M205,IF(AND($G205&gt;=CO$5,$G205&lt;CO$5+GanttPeriod),"◆",IF(AND($E205&gt;=CO$5,$E205&lt;CO$5+GanttPeriod),"◇","")),IF(AND(CO$5&lt;=$F205,CO$5+GanttPeriod-1&gt;=$E205),"━","")))</f>
        <v/>
      </c>
      <c r="CP205" s="69" t="str">
        <f aca="false">IF($E205="","",IF($M205,IF(AND($G205&gt;=CP$5,$G205&lt;CP$5+GanttPeriod),"◆",IF(AND($E205&gt;=CP$5,$E205&lt;CP$5+GanttPeriod),"◇","")),IF(AND(CP$5&lt;=$F205,CP$5+GanttPeriod-1&gt;=$E205),"━","")))</f>
        <v/>
      </c>
      <c r="CQ205" s="69" t="str">
        <f aca="false">IF($E205="","",IF($M205,IF(AND($G205&gt;=CQ$5,$G205&lt;CQ$5+GanttPeriod),"◆",IF(AND($E205&gt;=CQ$5,$E205&lt;CQ$5+GanttPeriod),"◇","")),IF(AND(CQ$5&lt;=$F205,CQ$5+GanttPeriod-1&gt;=$E205),"━","")))</f>
        <v/>
      </c>
      <c r="CR205" s="69" t="str">
        <f aca="false">IF($E205="","",IF($M205,IF(AND($G205&gt;=CR$5,$G205&lt;CR$5+GanttPeriod),"◆",IF(AND($E205&gt;=CR$5,$E205&lt;CR$5+GanttPeriod),"◇","")),IF(AND(CR$5&lt;=$F205,CR$5+GanttPeriod-1&gt;=$E205),"━","")))</f>
        <v/>
      </c>
      <c r="CS205" s="69" t="str">
        <f aca="false">IF($E205="","",IF($M205,IF(AND($G205&gt;=CS$5,$G205&lt;CS$5+GanttPeriod),"◆",IF(AND($E205&gt;=CS$5,$E205&lt;CS$5+GanttPeriod),"◇","")),IF(AND(CS$5&lt;=$F205,CS$5+GanttPeriod-1&gt;=$E205),"━","")))</f>
        <v/>
      </c>
      <c r="CT205" s="69" t="str">
        <f aca="false">IF($E205="","",IF($M205,IF(AND($G205&gt;=CT$5,$G205&lt;CT$5+GanttPeriod),"◆",IF(AND($E205&gt;=CT$5,$E205&lt;CT$5+GanttPeriod),"◇","")),IF(AND(CT$5&lt;=$F205,CT$5+GanttPeriod-1&gt;=$E205),"━","")))</f>
        <v/>
      </c>
      <c r="CU205" s="69" t="str">
        <f aca="false">IF($E205="","",IF($M205,IF(AND($G205&gt;=CU$5,$G205&lt;CU$5+GanttPeriod),"◆",IF(AND($E205&gt;=CU$5,$E205&lt;CU$5+GanttPeriod),"◇","")),IF(AND(CU$5&lt;=$F205,CU$5+GanttPeriod-1&gt;=$E205),"━","")))</f>
        <v/>
      </c>
      <c r="CV205" s="69" t="str">
        <f aca="false">IF($E205="","",IF($M205,IF(AND($G205&gt;=CV$5,$G205&lt;CV$5+GanttPeriod),"◆",IF(AND($E205&gt;=CV$5,$E205&lt;CV$5+GanttPeriod),"◇","")),IF(AND(CV$5&lt;=$F205,CV$5+GanttPeriod-1&gt;=$E205),"━","")))</f>
        <v/>
      </c>
      <c r="CW205" s="69" t="str">
        <f aca="false">IF($E205="","",IF($M205,IF(AND($G205&gt;=CW$5,$G205&lt;CW$5+GanttPeriod),"◆",IF(AND($E205&gt;=CW$5,$E205&lt;CW$5+GanttPeriod),"◇","")),IF(AND(CW$5&lt;=$F205,CW$5+GanttPeriod-1&gt;=$E205),"━","")))</f>
        <v/>
      </c>
      <c r="CX205" s="69" t="str">
        <f aca="false">IF($E205="","",IF($M205,IF(AND($G205&gt;=CX$5,$G205&lt;CX$5+GanttPeriod),"◆",IF(AND($E205&gt;=CX$5,$E205&lt;CX$5+GanttPeriod),"◇","")),IF(AND(CX$5&lt;=$F205,CX$5+GanttPeriod-1&gt;=$E205),"━","")))</f>
        <v/>
      </c>
      <c r="CY205" s="69" t="str">
        <f aca="false">IF($E205="","",IF($M205,IF(AND($G205&gt;=CY$5,$G205&lt;CY$5+GanttPeriod),"◆",IF(AND($E205&gt;=CY$5,$E205&lt;CY$5+GanttPeriod),"◇","")),IF(AND(CY$5&lt;=$F205,CY$5+GanttPeriod-1&gt;=$E205),"━","")))</f>
        <v/>
      </c>
      <c r="CZ205" s="69" t="str">
        <f aca="false">IF($E205="","",IF($M205,IF(AND($G205&gt;=CZ$5,$G205&lt;CZ$5+GanttPeriod),"◆",IF(AND($E205&gt;=CZ$5,$E205&lt;CZ$5+GanttPeriod),"◇","")),IF(AND(CZ$5&lt;=$F205,CZ$5+GanttPeriod-1&gt;=$E205),"━","")))</f>
        <v/>
      </c>
      <c r="DA205" s="69" t="str">
        <f aca="false">IF($E205="","",IF($M205,IF(AND($G205&gt;=DA$5,$G205&lt;DA$5+GanttPeriod),"◆",IF(AND($E205&gt;=DA$5,$E205&lt;DA$5+GanttPeriod),"◇","")),IF(AND(DA$5&lt;=$F205,DA$5+GanttPeriod-1&gt;=$E205),"━","")))</f>
        <v/>
      </c>
      <c r="DB205" s="69" t="str">
        <f aca="false">IF($E205="","",IF($M205,IF(AND($G205&gt;=DB$5,$G205&lt;DB$5+GanttPeriod),"◆",IF(AND($E205&gt;=DB$5,$E205&lt;DB$5+GanttPeriod),"◇","")),IF(AND(DB$5&lt;=$F205,DB$5+GanttPeriod-1&gt;=$E205),"━","")))</f>
        <v/>
      </c>
      <c r="DC205" s="69" t="str">
        <f aca="false">IF($E205="","",IF($M205,IF(AND($G205&gt;=DC$5,$G205&lt;DC$5+GanttPeriod),"◆",IF(AND($E205&gt;=DC$5,$E205&lt;DC$5+GanttPeriod),"◇","")),IF(AND(DC$5&lt;=$F205,DC$5+GanttPeriod-1&gt;=$E205),"━","")))</f>
        <v/>
      </c>
      <c r="DD205" s="69" t="str">
        <f aca="false">IF($E205="","",IF($M205,IF(AND($G205&gt;=DD$5,$G205&lt;DD$5+GanttPeriod),"◆",IF(AND($E205&gt;=DD$5,$E205&lt;DD$5+GanttPeriod),"◇","")),IF(AND(DD$5&lt;=$F205,DD$5+GanttPeriod-1&gt;=$E205),"━","")))</f>
        <v/>
      </c>
      <c r="DE205" s="69" t="str">
        <f aca="false">IF($E205="","",IF($M205,IF(AND($G205&gt;=DE$5,$G205&lt;DE$5+GanttPeriod),"◆",IF(AND($E205&gt;=DE$5,$E205&lt;DE$5+GanttPeriod),"◇","")),IF(AND(DE$5&lt;=$F205,DE$5+GanttPeriod-1&gt;=$E205),"━","")))</f>
        <v/>
      </c>
      <c r="DF205" s="69" t="str">
        <f aca="false">IF($E205="","",IF($M205,IF(AND($G205&gt;=DF$5,$G205&lt;DF$5+GanttPeriod),"◆",IF(AND($E205&gt;=DF$5,$E205&lt;DF$5+GanttPeriod),"◇","")),IF(AND(DF$5&lt;=$F205,DF$5+GanttPeriod-1&gt;=$E205),"━","")))</f>
        <v/>
      </c>
      <c r="DG205" s="69" t="str">
        <f aca="false">IF($E205="","",IF($M205,IF(AND($G205&gt;=DG$5,$G205&lt;DG$5+GanttPeriod),"◆",IF(AND($E205&gt;=DG$5,$E205&lt;DG$5+GanttPeriod),"◇","")),IF(AND(DG$5&lt;=$F205,DG$5+GanttPeriod-1&gt;=$E205),"━","")))</f>
        <v/>
      </c>
      <c r="DH205" s="69" t="str">
        <f aca="false">IF($E205="","",IF($M205,IF(AND($G205&gt;=DH$5,$G205&lt;DH$5+GanttPeriod),"◆",IF(AND($E205&gt;=DH$5,$E205&lt;DH$5+GanttPeriod),"◇","")),IF(AND(DH$5&lt;=$F205,DH$5+GanttPeriod-1&gt;=$E205),"━","")))</f>
        <v/>
      </c>
      <c r="DI205" s="69" t="str">
        <f aca="false">IF($E205="","",IF($M205,IF(AND($G205&gt;=DI$5,$G205&lt;DI$5+GanttPeriod),"◆",IF(AND($E205&gt;=DI$5,$E205&lt;DI$5+GanttPeriod),"◇","")),IF(AND(DI$5&lt;=$F205,DI$5+GanttPeriod-1&gt;=$E205),"━","")))</f>
        <v/>
      </c>
      <c r="DJ205" s="69" t="str">
        <f aca="false">IF($E205="","",IF($M205,IF(AND($G205&gt;=DJ$5,$G205&lt;DJ$5+GanttPeriod),"◆",IF(AND($E205&gt;=DJ$5,$E205&lt;DJ$5+GanttPeriod),"◇","")),IF(AND(DJ$5&lt;=$F205,DJ$5+GanttPeriod-1&gt;=$E205),"━","")))</f>
        <v/>
      </c>
      <c r="DK205" s="69" t="str">
        <f aca="false">IF($E205="","",IF($M205,IF(AND($G205&gt;=DK$5,$G205&lt;DK$5+GanttPeriod),"◆",IF(AND($E205&gt;=DK$5,$E205&lt;DK$5+GanttPeriod),"◇","")),IF(AND(DK$5&lt;=$F205,DK$5+GanttPeriod-1&gt;=$E205),"━","")))</f>
        <v/>
      </c>
      <c r="DL205" s="69" t="str">
        <f aca="false">IF($E205="","",IF($M205,IF(AND($G205&gt;=DL$5,$G205&lt;DL$5+GanttPeriod),"◆",IF(AND($E205&gt;=DL$5,$E205&lt;DL$5+GanttPeriod),"◇","")),IF(AND(DL$5&lt;=$F205,DL$5+GanttPeriod-1&gt;=$E205),"━","")))</f>
        <v/>
      </c>
      <c r="DM205" s="69" t="str">
        <f aca="false">IF($E205="","",IF($M205,IF(AND($G205&gt;=DM$5,$G205&lt;DM$5+GanttPeriod),"◆",IF(AND($E205&gt;=DM$5,$E205&lt;DM$5+GanttPeriod),"◇","")),IF(AND(DM$5&lt;=$F205,DM$5+GanttPeriod-1&gt;=$E205),"━","")))</f>
        <v/>
      </c>
      <c r="DN205" s="69" t="str">
        <f aca="false">IF($E205="","",IF($M205,IF(AND($G205&gt;=DN$5,$G205&lt;DN$5+GanttPeriod),"◆",IF(AND($E205&gt;=DN$5,$E205&lt;DN$5+GanttPeriod),"◇","")),IF(AND(DN$5&lt;=$F205,DN$5+GanttPeriod-1&gt;=$E205),"━","")))</f>
        <v/>
      </c>
      <c r="DO205" s="69" t="str">
        <f aca="false">IF($E205="","",IF($M205,IF(AND($G205&gt;=DO$5,$G205&lt;DO$5+GanttPeriod),"◆",IF(AND($E205&gt;=DO$5,$E205&lt;DO$5+GanttPeriod),"◇","")),IF(AND(DO$5&lt;=$F205,DO$5+GanttPeriod-1&gt;=$E205),"━","")))</f>
        <v/>
      </c>
      <c r="DP205" s="69" t="str">
        <f aca="false">IF($E205="","",IF($M205,IF(AND($G205&gt;=DP$5,$G205&lt;DP$5+GanttPeriod),"◆",IF(AND($E205&gt;=DP$5,$E205&lt;DP$5+GanttPeriod),"◇","")),IF(AND(DP$5&lt;=$F205,DP$5+GanttPeriod-1&gt;=$E205),"━","")))</f>
        <v/>
      </c>
      <c r="DQ205" s="69" t="str">
        <f aca="false">IF($E205="","",IF($M205,IF(AND($G205&gt;=DQ$5,$G205&lt;DQ$5+GanttPeriod),"◆",IF(AND($E205&gt;=DQ$5,$E205&lt;DQ$5+GanttPeriod),"◇","")),IF(AND(DQ$5&lt;=$F205,DQ$5+GanttPeriod-1&gt;=$E205),"━","")))</f>
        <v/>
      </c>
      <c r="DR205" s="69" t="str">
        <f aca="false">IF($E205="","",IF($M205,IF(AND($G205&gt;=DR$5,$G205&lt;DR$5+GanttPeriod),"◆",IF(AND($E205&gt;=DR$5,$E205&lt;DR$5+GanttPeriod),"◇","")),IF(AND(DR$5&lt;=$F205,DR$5+GanttPeriod-1&gt;=$E205),"━","")))</f>
        <v/>
      </c>
      <c r="DS205" s="69" t="str">
        <f aca="false">IF($E205="","",IF($M205,IF(AND($G205&gt;=DS$5,$G205&lt;DS$5+GanttPeriod),"◆",IF(AND($E205&gt;=DS$5,$E205&lt;DS$5+GanttPeriod),"◇","")),IF(AND(DS$5&lt;=$F205,DS$5+GanttPeriod-1&gt;=$E205),"━","")))</f>
        <v/>
      </c>
      <c r="DT205" s="69" t="str">
        <f aca="false">IF($E205="","",IF($M205,IF(AND($G205&gt;=DT$5,$G205&lt;DT$5+GanttPeriod),"◆",IF(AND($E205&gt;=DT$5,$E205&lt;DT$5+GanttPeriod),"◇","")),IF(AND(DT$5&lt;=$F205,DT$5+GanttPeriod-1&gt;=$E205),"━","")))</f>
        <v/>
      </c>
      <c r="DU205" s="69" t="str">
        <f aca="false">IF($E205="","",IF($M205,IF(AND($G205&gt;=DU$5,$G205&lt;DU$5+GanttPeriod),"◆",IF(AND($E205&gt;=DU$5,$E205&lt;DU$5+GanttPeriod),"◇","")),IF(AND(DU$5&lt;=$F205,DU$5+GanttPeriod-1&gt;=$E205),"━","")))</f>
        <v/>
      </c>
      <c r="DV205" s="69" t="str">
        <f aca="false">IF($E205="","",IF($M205,IF(AND($G205&gt;=DV$5,$G205&lt;DV$5+GanttPeriod),"◆",IF(AND($E205&gt;=DV$5,$E205&lt;DV$5+GanttPeriod),"◇","")),IF(AND(DV$5&lt;=$F205,DV$5+GanttPeriod-1&gt;=$E205),"━","")))</f>
        <v/>
      </c>
      <c r="DW205" s="69" t="str">
        <f aca="false">IF($E205="","",IF($M205,IF(AND($G205&gt;=DW$5,$G205&lt;DW$5+GanttPeriod),"◆",IF(AND($E205&gt;=DW$5,$E205&lt;DW$5+GanttPeriod),"◇","")),IF(AND(DW$5&lt;=$F205,DW$5+GanttPeriod-1&gt;=$E205),"━","")))</f>
        <v/>
      </c>
      <c r="DX205" s="69" t="str">
        <f aca="false">IF($E205="","",IF($M205,IF(AND($G205&gt;=DX$5,$G205&lt;DX$5+GanttPeriod),"◆",IF(AND($E205&gt;=DX$5,$E205&lt;DX$5+GanttPeriod),"◇","")),IF(AND(DX$5&lt;=$F205,DX$5+GanttPeriod-1&gt;=$E205),"━","")))</f>
        <v/>
      </c>
      <c r="DY205" s="69" t="str">
        <f aca="false">IF($E205="","",IF($M205,IF(AND($G205&gt;=DY$5,$G205&lt;DY$5+GanttPeriod),"◆",IF(AND($E205&gt;=DY$5,$E205&lt;DY$5+GanttPeriod),"◇","")),IF(AND(DY$5&lt;=$F205,DY$5+GanttPeriod-1&gt;=$E205),"━","")))</f>
        <v/>
      </c>
      <c r="DZ205" s="69" t="str">
        <f aca="false">IF($E205="","",IF($M205,IF(AND($G205&gt;=DZ$5,$G205&lt;DZ$5+GanttPeriod),"◆",IF(AND($E205&gt;=DZ$5,$E205&lt;DZ$5+GanttPeriod),"◇","")),IF(AND(DZ$5&lt;=$F205,DZ$5+GanttPeriod-1&gt;=$E205),"━","")))</f>
        <v/>
      </c>
      <c r="EA205" s="69" t="str">
        <f aca="false">IF($E205="","",IF($M205,IF(AND($G205&gt;=EA$5,$G205&lt;EA$5+GanttPeriod),"◆",IF(AND($E205&gt;=EA$5,$E205&lt;EA$5+GanttPeriod),"◇","")),IF(AND(EA$5&lt;=$F205,EA$5+GanttPeriod-1&gt;=$E205),"━","")))</f>
        <v/>
      </c>
      <c r="EB205" s="69" t="str">
        <f aca="false">IF($E205="","",IF($M205,IF(AND($G205&gt;=EB$5,$G205&lt;EB$5+GanttPeriod),"◆",IF(AND($E205&gt;=EB$5,$E205&lt;EB$5+GanttPeriod),"◇","")),IF(AND(EB$5&lt;=$F205,EB$5+GanttPeriod-1&gt;=$E205),"━","")))</f>
        <v/>
      </c>
      <c r="EC205" s="69" t="str">
        <f aca="false">IF($E205="","",IF($M205,IF(AND($G205&gt;=EC$5,$G205&lt;EC$5+GanttPeriod),"◆",IF(AND($E205&gt;=EC$5,$E205&lt;EC$5+GanttPeriod),"◇","")),IF(AND(EC$5&lt;=$F205,EC$5+GanttPeriod-1&gt;=$E205),"━","")))</f>
        <v/>
      </c>
      <c r="ED205" s="69" t="str">
        <f aca="false">IF($E205="","",IF($M205,IF(AND($G205&gt;=ED$5,$G205&lt;ED$5+GanttPeriod),"◆",IF(AND($E205&gt;=ED$5,$E205&lt;ED$5+GanttPeriod),"◇","")),IF(AND(ED$5&lt;=$F205,ED$5+GanttPeriod-1&gt;=$E205),"━","")))</f>
        <v/>
      </c>
      <c r="EE205" s="69" t="str">
        <f aca="false">IF($E205="","",IF($M205,IF(AND($G205&gt;=EE$5,$G205&lt;EE$5+GanttPeriod),"◆",IF(AND($E205&gt;=EE$5,$E205&lt;EE$5+GanttPeriod),"◇","")),IF(AND(EE$5&lt;=$F205,EE$5+GanttPeriod-1&gt;=$E205),"━","")))</f>
        <v/>
      </c>
      <c r="EF205" s="69" t="str">
        <f aca="false">IF($E205="","",IF($M205,IF(AND($G205&gt;=EF$5,$G205&lt;EF$5+GanttPeriod),"◆",IF(AND($E205&gt;=EF$5,$E205&lt;EF$5+GanttPeriod),"◇","")),IF(AND(EF$5&lt;=$F205,EF$5+GanttPeriod-1&gt;=$E205),"━","")))</f>
        <v/>
      </c>
      <c r="EG205" s="69" t="str">
        <f aca="false">IF($E205="","",IF($M205,IF(AND($G205&gt;=EG$5,$G205&lt;EG$5+GanttPeriod),"◆",IF(AND($E205&gt;=EG$5,$E205&lt;EG$5+GanttPeriod),"◇","")),IF(AND(EG$5&lt;=$F205,EG$5+GanttPeriod-1&gt;=$E205),"━","")))</f>
        <v/>
      </c>
      <c r="EH205" s="69" t="str">
        <f aca="false">IF($E205="","",IF($M205,IF(AND($G205&gt;=EH$5,$G205&lt;EH$5+GanttPeriod),"◆",IF(AND($E205&gt;=EH$5,$E205&lt;EH$5+GanttPeriod),"◇","")),IF(AND(EH$5&lt;=$F205,EH$5+GanttPeriod-1&gt;=$E205),"━","")))</f>
        <v/>
      </c>
      <c r="EI205" s="69" t="str">
        <f aca="false">IF($E205="","",IF($M205,IF(AND($G205&gt;=EI$5,$G205&lt;EI$5+GanttPeriod),"◆",IF(AND($E205&gt;=EI$5,$E205&lt;EI$5+GanttPeriod),"◇","")),IF(AND(EI$5&lt;=$F205,EI$5+GanttPeriod-1&gt;=$E205),"━","")))</f>
        <v/>
      </c>
      <c r="EJ205" s="69" t="str">
        <f aca="false">IF($E205="","",IF($M205,IF(AND($G205&gt;=EJ$5,$G205&lt;EJ$5+GanttPeriod),"◆",IF(AND($E205&gt;=EJ$5,$E205&lt;EJ$5+GanttPeriod),"◇","")),IF(AND(EJ$5&lt;=$F205,EJ$5+GanttPeriod-1&gt;=$E205),"━","")))</f>
        <v/>
      </c>
      <c r="EK205" s="69" t="str">
        <f aca="false">IF($E205="","",IF($M205,IF(AND($G205&gt;=EK$5,$G205&lt;EK$5+GanttPeriod),"◆",IF(AND($E205&gt;=EK$5,$E205&lt;EK$5+GanttPeriod),"◇","")),IF(AND(EK$5&lt;=$F205,EK$5+GanttPeriod-1&gt;=$E205),"━","")))</f>
        <v/>
      </c>
      <c r="EL205" s="69" t="str">
        <f aca="false">IF($E205="","",IF($M205,IF(AND($G205&gt;=EL$5,$G205&lt;EL$5+GanttPeriod),"◆",IF(AND($E205&gt;=EL$5,$E205&lt;EL$5+GanttPeriod),"◇","")),IF(AND(EL$5&lt;=$F205,EL$5+GanttPeriod-1&gt;=$E205),"━","")))</f>
        <v/>
      </c>
      <c r="EM205" s="69" t="str">
        <f aca="false">IF($E205="","",IF($M205,IF(AND($G205&gt;=EM$5,$G205&lt;EM$5+GanttPeriod),"◆",IF(AND($E205&gt;=EM$5,$E205&lt;EM$5+GanttPeriod),"◇","")),IF(AND(EM$5&lt;=$F205,EM$5+GanttPeriod-1&gt;=$E205),"━","")))</f>
        <v/>
      </c>
      <c r="EN205" s="69" t="str">
        <f aca="false">IF($E205="","",IF($M205,IF(AND($G205&gt;=EN$5,$G205&lt;EN$5+GanttPeriod),"◆",IF(AND($E205&gt;=EN$5,$E205&lt;EN$5+GanttPeriod),"◇","")),IF(AND(EN$5&lt;=$F205,EN$5+GanttPeriod-1&gt;=$E205),"━","")))</f>
        <v/>
      </c>
      <c r="EO205" s="69" t="str">
        <f aca="false">IF($E205="","",IF($M205,IF(AND($G205&gt;=EO$5,$G205&lt;EO$5+GanttPeriod),"◆",IF(AND($E205&gt;=EO$5,$E205&lt;EO$5+GanttPeriod),"◇","")),IF(AND(EO$5&lt;=$F205,EO$5+GanttPeriod-1&gt;=$E205),"━","")))</f>
        <v/>
      </c>
      <c r="EP205" s="69" t="str">
        <f aca="false">IF($E205="","",IF($M205,IF(AND($G205&gt;=EP$5,$G205&lt;EP$5+GanttPeriod),"◆",IF(AND($E205&gt;=EP$5,$E205&lt;EP$5+GanttPeriod),"◇","")),IF(AND(EP$5&lt;=$F205,EP$5+GanttPeriod-1&gt;=$E205),"━","")))</f>
        <v/>
      </c>
      <c r="EQ205" s="69" t="str">
        <f aca="false">IF($E205="","",IF($M205,IF(AND($G205&gt;=EQ$5,$G205&lt;EQ$5+GanttPeriod),"◆",IF(AND($E205&gt;=EQ$5,$E205&lt;EQ$5+GanttPeriod),"◇","")),IF(AND(EQ$5&lt;=$F205,EQ$5+GanttPeriod-1&gt;=$E205),"━","")))</f>
        <v/>
      </c>
      <c r="ER205" s="69" t="str">
        <f aca="false">IF($E205="","",IF($M205,IF(AND($G205&gt;=ER$5,$G205&lt;ER$5+GanttPeriod),"◆",IF(AND($E205&gt;=ER$5,$E205&lt;ER$5+GanttPeriod),"◇","")),IF(AND(ER$5&lt;=$F205,ER$5+GanttPeriod-1&gt;=$E205),"━","")))</f>
        <v/>
      </c>
      <c r="ES205" s="69" t="str">
        <f aca="false">IF($E205="","",IF($M205,IF(AND($G205&gt;=ES$5,$G205&lt;ES$5+GanttPeriod),"◆",IF(AND($E205&gt;=ES$5,$E205&lt;ES$5+GanttPeriod),"◇","")),IF(AND(ES$5&lt;=$F205,ES$5+GanttPeriod-1&gt;=$E205),"━","")))</f>
        <v/>
      </c>
      <c r="ET205" s="69" t="str">
        <f aca="false">IF($E205="","",IF($M205,IF(AND($G205&gt;=ET$5,$G205&lt;ET$5+GanttPeriod),"◆",IF(AND($E205&gt;=ET$5,$E205&lt;ET$5+GanttPeriod),"◇","")),IF(AND(ET$5&lt;=$F205,ET$5+GanttPeriod-1&gt;=$E205),"━","")))</f>
        <v/>
      </c>
      <c r="EU205" s="69" t="str">
        <f aca="false">IF($E205="","",IF($M205,IF(AND($G205&gt;=EU$5,$G205&lt;EU$5+GanttPeriod),"◆",IF(AND($E205&gt;=EU$5,$E205&lt;EU$5+GanttPeriod),"◇","")),IF(AND(EU$5&lt;=$F205,EU$5+GanttPeriod-1&gt;=$E205),"━","")))</f>
        <v/>
      </c>
      <c r="EV205" s="69" t="str">
        <f aca="false">IF($E205="","",IF($M205,IF(AND($G205&gt;=EV$5,$G205&lt;EV$5+GanttPeriod),"◆",IF(AND($E205&gt;=EV$5,$E205&lt;EV$5+GanttPeriod),"◇","")),IF(AND(EV$5&lt;=$F205,EV$5+GanttPeriod-1&gt;=$E205),"━","")))</f>
        <v/>
      </c>
      <c r="EW205" s="69" t="str">
        <f aca="false">IF($E205="","",IF($M205,IF(AND($G205&gt;=EW$5,$G205&lt;EW$5+GanttPeriod),"◆",IF(AND($E205&gt;=EW$5,$E205&lt;EW$5+GanttPeriod),"◇","")),IF(AND(EW$5&lt;=$F205,EW$5+GanttPeriod-1&gt;=$E205),"━","")))</f>
        <v/>
      </c>
      <c r="EX205" s="69" t="str">
        <f aca="false">IF($E205="","",IF($M205,IF(AND($G205&gt;=EX$5,$G205&lt;EX$5+GanttPeriod),"◆",IF(AND($E205&gt;=EX$5,$E205&lt;EX$5+GanttPeriod),"◇","")),IF(AND(EX$5&lt;=$F205,EX$5+GanttPeriod-1&gt;=$E205),"━","")))</f>
        <v/>
      </c>
      <c r="EY205" s="69" t="str">
        <f aca="false">IF($E205="","",IF($M205,IF(AND($G205&gt;=EY$5,$G205&lt;EY$5+GanttPeriod),"◆",IF(AND($E205&gt;=EY$5,$E205&lt;EY$5+GanttPeriod),"◇","")),IF(AND(EY$5&lt;=$F205,EY$5+GanttPeriod-1&gt;=$E205),"━","")))</f>
        <v/>
      </c>
      <c r="EZ205" s="69" t="str">
        <f aca="false">IF($E205="","",IF($M205,IF(AND($G205&gt;=EZ$5,$G205&lt;EZ$5+GanttPeriod),"◆",IF(AND($E205&gt;=EZ$5,$E205&lt;EZ$5+GanttPeriod),"◇","")),IF(AND(EZ$5&lt;=$F205,EZ$5+GanttPeriod-1&gt;=$E205),"━","")))</f>
        <v/>
      </c>
      <c r="FA205" s="69" t="str">
        <f aca="false">IF($E205="","",IF($M205,IF(AND($G205&gt;=FA$5,$G205&lt;FA$5+GanttPeriod),"◆",IF(AND($E205&gt;=FA$5,$E205&lt;FA$5+GanttPeriod),"◇","")),IF(AND(FA$5&lt;=$F205,FA$5+GanttPeriod-1&gt;=$E205),"━","")))</f>
        <v/>
      </c>
      <c r="FB205" s="69" t="str">
        <f aca="false">IF($E205="","",IF($M205,IF(AND($G205&gt;=FB$5,$G205&lt;FB$5+GanttPeriod),"◆",IF(AND($E205&gt;=FB$5,$E205&lt;FB$5+GanttPeriod),"◇","")),IF(AND(FB$5&lt;=$F205,FB$5+GanttPeriod-1&gt;=$E205),"━","")))</f>
        <v/>
      </c>
      <c r="FC205" s="69" t="str">
        <f aca="false">IF($E205="","",IF($M205,IF(AND($G205&gt;=FC$5,$G205&lt;FC$5+GanttPeriod),"◆",IF(AND($E205&gt;=FC$5,$E205&lt;FC$5+GanttPeriod),"◇","")),IF(AND(FC$5&lt;=$F205,FC$5+GanttPeriod-1&gt;=$E205),"━","")))</f>
        <v/>
      </c>
      <c r="FD205" s="69" t="str">
        <f aca="false">IF($E205="","",IF($M205,IF(AND($G205&gt;=FD$5,$G205&lt;FD$5+GanttPeriod),"◆",IF(AND($E205&gt;=FD$5,$E205&lt;FD$5+GanttPeriod),"◇","")),IF(AND(FD$5&lt;=$F205,FD$5+GanttPeriod-1&gt;=$E205),"━","")))</f>
        <v/>
      </c>
      <c r="FE205" s="69" t="str">
        <f aca="false">IF($E205="","",IF($M205,IF(AND($G205&gt;=FE$5,$G205&lt;FE$5+GanttPeriod),"◆",IF(AND($E205&gt;=FE$5,$E205&lt;FE$5+GanttPeriod),"◇","")),IF(AND(FE$5&lt;=$F205,FE$5+GanttPeriod-1&gt;=$E205),"━","")))</f>
        <v/>
      </c>
      <c r="FF205" s="69" t="str">
        <f aca="false">IF($E205="","",IF($M205,IF(AND($G205&gt;=FF$5,$G205&lt;FF$5+GanttPeriod),"◆",IF(AND($E205&gt;=FF$5,$E205&lt;FF$5+GanttPeriod),"◇","")),IF(AND(FF$5&lt;=$F205,FF$5+GanttPeriod-1&gt;=$E205),"━","")))</f>
        <v/>
      </c>
      <c r="FG205" s="69" t="str">
        <f aca="false">IF($E205="","",IF($M205,IF(AND($G205&gt;=FG$5,$G205&lt;FG$5+GanttPeriod),"◆",IF(AND($E205&gt;=FG$5,$E205&lt;FG$5+GanttPeriod),"◇","")),IF(AND(FG$5&lt;=$F205,FG$5+GanttPeriod-1&gt;=$E205),"━","")))</f>
        <v/>
      </c>
      <c r="FH205" s="69" t="str">
        <f aca="false">IF($E205="","",IF($M205,IF(AND($G205&gt;=FH$5,$G205&lt;FH$5+GanttPeriod),"◆",IF(AND($E205&gt;=FH$5,$E205&lt;FH$5+GanttPeriod),"◇","")),IF(AND(FH$5&lt;=$F205,FH$5+GanttPeriod-1&gt;=$E205),"━","")))</f>
        <v/>
      </c>
      <c r="FI205" s="69" t="str">
        <f aca="false">IF($E205="","",IF($M205,IF(AND($G205&gt;=FI$5,$G205&lt;FI$5+GanttPeriod),"◆",IF(AND($E205&gt;=FI$5,$E205&lt;FI$5+GanttPeriod),"◇","")),IF(AND(FI$5&lt;=$F205,FI$5+GanttPeriod-1&gt;=$E205),"━","")))</f>
        <v/>
      </c>
      <c r="FJ205" s="69" t="str">
        <f aca="false">IF($E205="","",IF($M205,IF(AND($G205&gt;=FJ$5,$G205&lt;FJ$5+GanttPeriod),"◆",IF(AND($E205&gt;=FJ$5,$E205&lt;FJ$5+GanttPeriod),"◇","")),IF(AND(FJ$5&lt;=$F205,FJ$5+GanttPeriod-1&gt;=$E205),"━","")))</f>
        <v/>
      </c>
      <c r="FK205" s="69" t="str">
        <f aca="false">IF($E205="","",IF($M205,IF(AND($G205&gt;=FK$5,$G205&lt;FK$5+GanttPeriod),"◆",IF(AND($E205&gt;=FK$5,$E205&lt;FK$5+GanttPeriod),"◇","")),IF(AND(FK$5&lt;=$F205,FK$5+GanttPeriod-1&gt;=$E205),"━","")))</f>
        <v/>
      </c>
      <c r="FL205" s="69" t="str">
        <f aca="false">IF($E205="","",IF($M205,IF(AND($G205&gt;=FL$5,$G205&lt;FL$5+GanttPeriod),"◆",IF(AND($E205&gt;=FL$5,$E205&lt;FL$5+GanttPeriod),"◇","")),IF(AND(FL$5&lt;=$F205,FL$5+GanttPeriod-1&gt;=$E205),"━","")))</f>
        <v/>
      </c>
      <c r="FM205" s="69" t="str">
        <f aca="false">IF($E205="","",IF($M205,IF(AND($G205&gt;=FM$5,$G205&lt;FM$5+GanttPeriod),"◆",IF(AND($E205&gt;=FM$5,$E205&lt;FM$5+GanttPeriod),"◇","")),IF(AND(FM$5&lt;=$F205,FM$5+GanttPeriod-1&gt;=$E205),"━","")))</f>
        <v/>
      </c>
    </row>
  </sheetData>
  <conditionalFormatting sqref="T6:FM205">
    <cfRule type="expression" priority="2" aboveAverage="0" equalAverage="0" bottom="0" percent="0" rank="0" text="" dxfId="21">
      <formula>AND($L6,T$5&lt;=$H6,T$5+GanttPeriod-1&gt;=$G6)</formula>
    </cfRule>
    <cfRule type="expression" priority="3" aboveAverage="0" equalAverage="0" bottom="0" percent="0" rank="0" text="" dxfId="22">
      <formula>AND($N6&gt;0,T$5&lt;=$O6,T$5+GanttPeriod-1&gt;=$N6)</formula>
    </cfRule>
    <cfRule type="expression" priority="4" aboveAverage="0" equalAverage="0" bottom="0" percent="0" rank="0" text="" dxfId="23">
      <formula>AND($R6,AND($P6&gt;0,T$5&lt;=$Q6,T$5+GanttPeriod-1&gt;=$P6))</formula>
    </cfRule>
    <cfRule type="expression" priority="5" aboveAverage="0" equalAverage="0" bottom="0" percent="0" rank="0" text="" dxfId="24">
      <formula>AND($P6&gt;0,T$5&lt;=$Q6,T$5+GanttPeriod-1&gt;=$P6)</formula>
    </cfRule>
    <cfRule type="expression" priority="6" aboveAverage="0" equalAverage="0" bottom="0" percent="0" rank="0" text="" dxfId="0">
      <formula>AND($M6,$R6)</formula>
    </cfRule>
    <cfRule type="expression" priority="7" aboveAverage="0" equalAverage="0" bottom="0" percent="0" rank="0" text="" dxfId="25">
      <formula>AND(StatusDate&gt;=T$5,StatusDate&lt;T$5+GanttPeriod)</formula>
    </cfRule>
    <cfRule type="expression" priority="8" aboveAverage="0" equalAverage="0" bottom="0" percent="0" rank="0" text="" dxfId="26">
      <formula>AND(GanttPeriod=1,NETWORKDAYS.INTL(T$5,T$5,WorkWeek,Holidays)=0)</formula>
    </cfRule>
  </conditionalFormatting>
  <conditionalFormatting sqref="T5:FM5">
    <cfRule type="expression" priority="9" aboveAverage="0" equalAverage="0" bottom="0" percent="0" rank="0" text="" dxfId="27">
      <formula>AND(StatusDate&gt;=T$5,StatusDate&lt;T$5+GanttPeriod)</formula>
    </cfRule>
  </conditionalFormatting>
  <conditionalFormatting sqref="A6:K205">
    <cfRule type="expression" priority="10" aboveAverage="0" equalAverage="0" bottom="0" percent="0" rank="0" text="" dxfId="14">
      <formula>$L6</formula>
    </cfRule>
  </conditionalFormatting>
  <conditionalFormatting sqref="K6:K205">
    <cfRule type="expression" priority="11" aboveAverage="0" equalAverage="0" bottom="0" percent="0" rank="0" text="" dxfId="1">
      <formula>$K6="Complete"</formula>
    </cfRule>
    <cfRule type="expression" priority="12" aboveAverage="0" equalAverage="0" bottom="0" percent="0" rank="0" text="" dxfId="16">
      <formula>$K6="In Progress"</formula>
    </cfRule>
    <cfRule type="expression" priority="13" aboveAverage="0" equalAverage="0" bottom="0" percent="0" rank="0" text="" dxfId="0">
      <formula>$K6="Behind"</formula>
    </cfRule>
    <cfRule type="expression" priority="14" aboveAverage="0" equalAverage="0" bottom="0" percent="0" rank="0" text="" dxfId="17">
      <formula>$K6="Late Start"</formula>
    </cfRule>
    <cfRule type="expression" priority="15" aboveAverage="0" equalAverage="0" bottom="0" percent="0" rank="0" text="" dxfId="18">
      <formula>$K6="Not Started"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1" min="10" style="0" width="13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25" t="s">
        <v>278</v>
      </c>
    </row>
    <row r="2" customFormat="false" ht="15" hidden="false" customHeight="false" outlineLevel="0" collapsed="false">
      <c r="A2" s="8" t="s">
        <v>279</v>
      </c>
    </row>
    <row r="5" customFormat="false" ht="23.85" hidden="false" customHeight="false" outlineLevel="0" collapsed="false">
      <c r="B5" s="36" t="s">
        <v>280</v>
      </c>
      <c r="C5" s="36" t="s">
        <v>281</v>
      </c>
      <c r="D5" s="36" t="s">
        <v>282</v>
      </c>
      <c r="E5" s="36" t="s">
        <v>283</v>
      </c>
      <c r="F5" s="36" t="s">
        <v>284</v>
      </c>
      <c r="G5" s="36" t="s">
        <v>285</v>
      </c>
      <c r="H5" s="36" t="s">
        <v>286</v>
      </c>
      <c r="I5" s="9" t="s">
        <v>287</v>
      </c>
      <c r="J5" s="9" t="s">
        <v>288</v>
      </c>
      <c r="K5" s="9" t="s">
        <v>289</v>
      </c>
      <c r="L5" s="36" t="s">
        <v>82</v>
      </c>
    </row>
    <row r="6" customFormat="false" ht="15" hidden="false" customHeight="false" outlineLevel="0" collapsed="false">
      <c r="B6" s="41" t="s">
        <v>88</v>
      </c>
      <c r="C6" s="41" t="s">
        <v>290</v>
      </c>
      <c r="D6" s="41" t="s">
        <v>291</v>
      </c>
      <c r="E6" s="41" t="s">
        <v>292</v>
      </c>
      <c r="F6" s="32" t="n">
        <v>0.5</v>
      </c>
      <c r="G6" s="70" t="n">
        <v>95</v>
      </c>
      <c r="H6" s="41" t="s">
        <v>293</v>
      </c>
      <c r="I6" s="71" t="n">
        <f aca="false">IF($B6="","",COUNTIFS(tsk_Resource,$B6,tsk_IsLeaf,1))</f>
        <v>4</v>
      </c>
      <c r="J6" s="43" t="n">
        <f aca="false">IF($B6="","",SUMIFS(tsk_Work,tsk_Resource,$B6,tsk_IsLeaf,1))</f>
        <v>56</v>
      </c>
      <c r="K6" s="44" t="n">
        <f aca="false">IF($B6="","",SUMIFS(tsk_Cost,tsk_Resource,$B6,tsk_IsLeaf,1))</f>
        <v>5320</v>
      </c>
      <c r="L6" s="41"/>
    </row>
    <row r="7" customFormat="false" ht="15" hidden="false" customHeight="false" outlineLevel="0" collapsed="false">
      <c r="B7" s="41" t="s">
        <v>211</v>
      </c>
      <c r="C7" s="41" t="s">
        <v>294</v>
      </c>
      <c r="D7" s="41" t="s">
        <v>295</v>
      </c>
      <c r="E7" s="41" t="s">
        <v>292</v>
      </c>
      <c r="F7" s="32" t="n">
        <v>1</v>
      </c>
      <c r="G7" s="70" t="n">
        <v>70</v>
      </c>
      <c r="H7" s="41" t="s">
        <v>296</v>
      </c>
      <c r="I7" s="71" t="n">
        <f aca="false">IF($B7="","",COUNTIFS(tsk_Resource,$B7,tsk_IsLeaf,1))</f>
        <v>3</v>
      </c>
      <c r="J7" s="43" t="n">
        <f aca="false">IF($B7="","",SUMIFS(tsk_Work,tsk_Resource,$B7,tsk_IsLeaf,1))</f>
        <v>128</v>
      </c>
      <c r="K7" s="44" t="n">
        <f aca="false">IF($B7="","",SUMIFS(tsk_Cost,tsk_Resource,$B7,tsk_IsLeaf,1))</f>
        <v>8960</v>
      </c>
      <c r="L7" s="41"/>
    </row>
    <row r="8" customFormat="false" ht="15" hidden="false" customHeight="false" outlineLevel="0" collapsed="false">
      <c r="B8" s="41" t="s">
        <v>218</v>
      </c>
      <c r="C8" s="41" t="s">
        <v>297</v>
      </c>
      <c r="D8" s="41" t="s">
        <v>298</v>
      </c>
      <c r="E8" s="41" t="s">
        <v>292</v>
      </c>
      <c r="F8" s="32" t="n">
        <v>0.5</v>
      </c>
      <c r="G8" s="70" t="n">
        <v>110</v>
      </c>
      <c r="H8" s="41" t="s">
        <v>299</v>
      </c>
      <c r="I8" s="71" t="n">
        <f aca="false">IF($B8="","",COUNTIFS(tsk_Resource,$B8,tsk_IsLeaf,1))</f>
        <v>1</v>
      </c>
      <c r="J8" s="43" t="n">
        <f aca="false">IF($B8="","",SUMIFS(tsk_Work,tsk_Resource,$B8,tsk_IsLeaf,1))</f>
        <v>40</v>
      </c>
      <c r="K8" s="44" t="n">
        <f aca="false">IF($B8="","",SUMIFS(tsk_Cost,tsk_Resource,$B8,tsk_IsLeaf,1))</f>
        <v>4400</v>
      </c>
      <c r="L8" s="41"/>
    </row>
    <row r="9" customFormat="false" ht="15" hidden="false" customHeight="false" outlineLevel="0" collapsed="false">
      <c r="B9" s="41" t="s">
        <v>221</v>
      </c>
      <c r="C9" s="41" t="s">
        <v>300</v>
      </c>
      <c r="D9" s="41" t="s">
        <v>301</v>
      </c>
      <c r="E9" s="41" t="s">
        <v>292</v>
      </c>
      <c r="F9" s="32" t="n">
        <v>1</v>
      </c>
      <c r="G9" s="70" t="n">
        <v>75</v>
      </c>
      <c r="H9" s="41" t="s">
        <v>302</v>
      </c>
      <c r="I9" s="71" t="n">
        <f aca="false">IF($B9="","",COUNTIFS(tsk_Resource,$B9,tsk_IsLeaf,1))</f>
        <v>3</v>
      </c>
      <c r="J9" s="43" t="n">
        <f aca="false">IF($B9="","",SUMIFS(tsk_Work,tsk_Resource,$B9,tsk_IsLeaf,1))</f>
        <v>80</v>
      </c>
      <c r="K9" s="44" t="n">
        <f aca="false">IF($B9="","",SUMIFS(tsk_Cost,tsk_Resource,$B9,tsk_IsLeaf,1))</f>
        <v>6000</v>
      </c>
      <c r="L9" s="41"/>
    </row>
    <row r="10" customFormat="false" ht="15" hidden="false" customHeight="false" outlineLevel="0" collapsed="false">
      <c r="B10" s="41" t="s">
        <v>228</v>
      </c>
      <c r="C10" s="41" t="s">
        <v>303</v>
      </c>
      <c r="D10" s="41" t="s">
        <v>304</v>
      </c>
      <c r="E10" s="41" t="s">
        <v>292</v>
      </c>
      <c r="F10" s="32" t="n">
        <v>1</v>
      </c>
      <c r="G10" s="70" t="n">
        <v>85</v>
      </c>
      <c r="H10" s="41" t="s">
        <v>305</v>
      </c>
      <c r="I10" s="71" t="n">
        <f aca="false">IF($B10="","",COUNTIFS(tsk_Resource,$B10,tsk_IsLeaf,1))</f>
        <v>4</v>
      </c>
      <c r="J10" s="43" t="n">
        <f aca="false">IF($B10="","",SUMIFS(tsk_Work,tsk_Resource,$B10,tsk_IsLeaf,1))</f>
        <v>208</v>
      </c>
      <c r="K10" s="44" t="n">
        <f aca="false">IF($B10="","",SUMIFS(tsk_Cost,tsk_Resource,$B10,tsk_IsLeaf,1))</f>
        <v>17680</v>
      </c>
      <c r="L10" s="41"/>
    </row>
    <row r="11" customFormat="false" ht="15" hidden="false" customHeight="false" outlineLevel="0" collapsed="false">
      <c r="B11" s="41" t="s">
        <v>234</v>
      </c>
      <c r="C11" s="41" t="s">
        <v>306</v>
      </c>
      <c r="D11" s="41" t="s">
        <v>307</v>
      </c>
      <c r="E11" s="41" t="s">
        <v>292</v>
      </c>
      <c r="F11" s="32" t="n">
        <v>1</v>
      </c>
      <c r="G11" s="70" t="n">
        <v>80</v>
      </c>
      <c r="H11" s="41" t="s">
        <v>308</v>
      </c>
      <c r="I11" s="71" t="n">
        <f aca="false">IF($B11="","",COUNTIFS(tsk_Resource,$B11,tsk_IsLeaf,1))</f>
        <v>2</v>
      </c>
      <c r="J11" s="43" t="n">
        <f aca="false">IF($B11="","",SUMIFS(tsk_Work,tsk_Resource,$B11,tsk_IsLeaf,1))</f>
        <v>144</v>
      </c>
      <c r="K11" s="44" t="n">
        <f aca="false">IF($B11="","",SUMIFS(tsk_Cost,tsk_Resource,$B11,tsk_IsLeaf,1))</f>
        <v>11520</v>
      </c>
      <c r="L11" s="41"/>
    </row>
    <row r="12" customFormat="false" ht="15" hidden="false" customHeight="false" outlineLevel="0" collapsed="false">
      <c r="B12" s="41" t="s">
        <v>243</v>
      </c>
      <c r="C12" s="41" t="s">
        <v>309</v>
      </c>
      <c r="D12" s="41" t="s">
        <v>310</v>
      </c>
      <c r="E12" s="41" t="s">
        <v>292</v>
      </c>
      <c r="F12" s="32" t="n">
        <v>1</v>
      </c>
      <c r="G12" s="70" t="n">
        <v>65</v>
      </c>
      <c r="H12" s="41" t="s">
        <v>311</v>
      </c>
      <c r="I12" s="71" t="n">
        <f aca="false">IF($B12="","",COUNTIFS(tsk_Resource,$B12,tsk_IsLeaf,1))</f>
        <v>1</v>
      </c>
      <c r="J12" s="43" t="n">
        <f aca="false">IF($B12="","",SUMIFS(tsk_Work,tsk_Resource,$B12,tsk_IsLeaf,1))</f>
        <v>64</v>
      </c>
      <c r="K12" s="44" t="n">
        <f aca="false">IF($B12="","",SUMIFS(tsk_Cost,tsk_Resource,$B12,tsk_IsLeaf,1))</f>
        <v>4160</v>
      </c>
      <c r="L12" s="41"/>
    </row>
    <row r="13" customFormat="false" ht="15" hidden="false" customHeight="false" outlineLevel="0" collapsed="false">
      <c r="B13" s="41"/>
      <c r="C13" s="41"/>
      <c r="D13" s="41"/>
      <c r="E13" s="41"/>
      <c r="F13" s="32"/>
      <c r="G13" s="70"/>
      <c r="H13" s="41"/>
      <c r="I13" s="71" t="str">
        <f aca="false">IF($B13="","",COUNTIFS(tsk_Resource,$B13,tsk_IsLeaf,1))</f>
        <v/>
      </c>
      <c r="J13" s="43" t="str">
        <f aca="false">IF($B13="","",SUMIFS(tsk_Work,tsk_Resource,$B13,tsk_IsLeaf,1))</f>
        <v/>
      </c>
      <c r="K13" s="44" t="str">
        <f aca="false">IF($B13="","",SUMIFS(tsk_Cost,tsk_Resource,$B13,tsk_IsLeaf,1))</f>
        <v/>
      </c>
      <c r="L13" s="41"/>
    </row>
    <row r="14" customFormat="false" ht="15" hidden="false" customHeight="false" outlineLevel="0" collapsed="false">
      <c r="B14" s="41"/>
      <c r="C14" s="41"/>
      <c r="D14" s="41"/>
      <c r="E14" s="41"/>
      <c r="F14" s="32"/>
      <c r="G14" s="70"/>
      <c r="H14" s="41"/>
      <c r="I14" s="71" t="str">
        <f aca="false">IF($B14="","",COUNTIFS(tsk_Resource,$B14,tsk_IsLeaf,1))</f>
        <v/>
      </c>
      <c r="J14" s="43" t="str">
        <f aca="false">IF($B14="","",SUMIFS(tsk_Work,tsk_Resource,$B14,tsk_IsLeaf,1))</f>
        <v/>
      </c>
      <c r="K14" s="44" t="str">
        <f aca="false">IF($B14="","",SUMIFS(tsk_Cost,tsk_Resource,$B14,tsk_IsLeaf,1))</f>
        <v/>
      </c>
      <c r="L14" s="41"/>
    </row>
    <row r="15" customFormat="false" ht="15" hidden="false" customHeight="false" outlineLevel="0" collapsed="false">
      <c r="B15" s="41"/>
      <c r="C15" s="41"/>
      <c r="D15" s="41"/>
      <c r="E15" s="41"/>
      <c r="F15" s="32"/>
      <c r="G15" s="70"/>
      <c r="H15" s="41"/>
      <c r="I15" s="71" t="str">
        <f aca="false">IF($B15="","",COUNTIFS(tsk_Resource,$B15,tsk_IsLeaf,1))</f>
        <v/>
      </c>
      <c r="J15" s="43" t="str">
        <f aca="false">IF($B15="","",SUMIFS(tsk_Work,tsk_Resource,$B15,tsk_IsLeaf,1))</f>
        <v/>
      </c>
      <c r="K15" s="44" t="str">
        <f aca="false">IF($B15="","",SUMIFS(tsk_Cost,tsk_Resource,$B15,tsk_IsLeaf,1))</f>
        <v/>
      </c>
      <c r="L15" s="41"/>
    </row>
    <row r="16" customFormat="false" ht="15" hidden="false" customHeight="false" outlineLevel="0" collapsed="false">
      <c r="B16" s="41"/>
      <c r="C16" s="41"/>
      <c r="D16" s="41"/>
      <c r="E16" s="41"/>
      <c r="F16" s="32"/>
      <c r="G16" s="70"/>
      <c r="H16" s="41"/>
      <c r="I16" s="71" t="str">
        <f aca="false">IF($B16="","",COUNTIFS(tsk_Resource,$B16,tsk_IsLeaf,1))</f>
        <v/>
      </c>
      <c r="J16" s="43" t="str">
        <f aca="false">IF($B16="","",SUMIFS(tsk_Work,tsk_Resource,$B16,tsk_IsLeaf,1))</f>
        <v/>
      </c>
      <c r="K16" s="44" t="str">
        <f aca="false">IF($B16="","",SUMIFS(tsk_Cost,tsk_Resource,$B16,tsk_IsLeaf,1))</f>
        <v/>
      </c>
      <c r="L16" s="41"/>
    </row>
    <row r="17" customFormat="false" ht="15" hidden="false" customHeight="false" outlineLevel="0" collapsed="false">
      <c r="B17" s="41"/>
      <c r="C17" s="41"/>
      <c r="D17" s="41"/>
      <c r="E17" s="41"/>
      <c r="F17" s="32"/>
      <c r="G17" s="70"/>
      <c r="H17" s="41"/>
      <c r="I17" s="71" t="str">
        <f aca="false">IF($B17="","",COUNTIFS(tsk_Resource,$B17,tsk_IsLeaf,1))</f>
        <v/>
      </c>
      <c r="J17" s="43" t="str">
        <f aca="false">IF($B17="","",SUMIFS(tsk_Work,tsk_Resource,$B17,tsk_IsLeaf,1))</f>
        <v/>
      </c>
      <c r="K17" s="44" t="str">
        <f aca="false">IF($B17="","",SUMIFS(tsk_Cost,tsk_Resource,$B17,tsk_IsLeaf,1))</f>
        <v/>
      </c>
      <c r="L17" s="41"/>
    </row>
    <row r="18" customFormat="false" ht="15" hidden="false" customHeight="false" outlineLevel="0" collapsed="false">
      <c r="B18" s="41"/>
      <c r="C18" s="41"/>
      <c r="D18" s="41"/>
      <c r="E18" s="41"/>
      <c r="F18" s="32"/>
      <c r="G18" s="70"/>
      <c r="H18" s="41"/>
      <c r="I18" s="71" t="str">
        <f aca="false">IF($B18="","",COUNTIFS(tsk_Resource,$B18,tsk_IsLeaf,1))</f>
        <v/>
      </c>
      <c r="J18" s="43" t="str">
        <f aca="false">IF($B18="","",SUMIFS(tsk_Work,tsk_Resource,$B18,tsk_IsLeaf,1))</f>
        <v/>
      </c>
      <c r="K18" s="44" t="str">
        <f aca="false">IF($B18="","",SUMIFS(tsk_Cost,tsk_Resource,$B18,tsk_IsLeaf,1))</f>
        <v/>
      </c>
      <c r="L18" s="41"/>
    </row>
    <row r="19" customFormat="false" ht="15" hidden="false" customHeight="false" outlineLevel="0" collapsed="false">
      <c r="B19" s="41"/>
      <c r="C19" s="41"/>
      <c r="D19" s="41"/>
      <c r="E19" s="41"/>
      <c r="F19" s="32"/>
      <c r="G19" s="70"/>
      <c r="H19" s="41"/>
      <c r="I19" s="71" t="str">
        <f aca="false">IF($B19="","",COUNTIFS(tsk_Resource,$B19,tsk_IsLeaf,1))</f>
        <v/>
      </c>
      <c r="J19" s="43" t="str">
        <f aca="false">IF($B19="","",SUMIFS(tsk_Work,tsk_Resource,$B19,tsk_IsLeaf,1))</f>
        <v/>
      </c>
      <c r="K19" s="44" t="str">
        <f aca="false">IF($B19="","",SUMIFS(tsk_Cost,tsk_Resource,$B19,tsk_IsLeaf,1))</f>
        <v/>
      </c>
      <c r="L19" s="41"/>
    </row>
    <row r="20" customFormat="false" ht="15" hidden="false" customHeight="false" outlineLevel="0" collapsed="false">
      <c r="B20" s="41"/>
      <c r="C20" s="41"/>
      <c r="D20" s="41"/>
      <c r="E20" s="41"/>
      <c r="F20" s="32"/>
      <c r="G20" s="70"/>
      <c r="H20" s="41"/>
      <c r="I20" s="71" t="str">
        <f aca="false">IF($B20="","",COUNTIFS(tsk_Resource,$B20,tsk_IsLeaf,1))</f>
        <v/>
      </c>
      <c r="J20" s="43" t="str">
        <f aca="false">IF($B20="","",SUMIFS(tsk_Work,tsk_Resource,$B20,tsk_IsLeaf,1))</f>
        <v/>
      </c>
      <c r="K20" s="44" t="str">
        <f aca="false">IF($B20="","",SUMIFS(tsk_Cost,tsk_Resource,$B20,tsk_IsLeaf,1))</f>
        <v/>
      </c>
      <c r="L20" s="41"/>
    </row>
    <row r="21" customFormat="false" ht="15" hidden="false" customHeight="false" outlineLevel="0" collapsed="false">
      <c r="B21" s="41"/>
      <c r="C21" s="41"/>
      <c r="D21" s="41"/>
      <c r="E21" s="41"/>
      <c r="F21" s="32"/>
      <c r="G21" s="70"/>
      <c r="H21" s="41"/>
      <c r="I21" s="71" t="str">
        <f aca="false">IF($B21="","",COUNTIFS(tsk_Resource,$B21,tsk_IsLeaf,1))</f>
        <v/>
      </c>
      <c r="J21" s="43" t="str">
        <f aca="false">IF($B21="","",SUMIFS(tsk_Work,tsk_Resource,$B21,tsk_IsLeaf,1))</f>
        <v/>
      </c>
      <c r="K21" s="44" t="str">
        <f aca="false">IF($B21="","",SUMIFS(tsk_Cost,tsk_Resource,$B21,tsk_IsLeaf,1))</f>
        <v/>
      </c>
      <c r="L21" s="41"/>
    </row>
    <row r="22" customFormat="false" ht="15" hidden="false" customHeight="false" outlineLevel="0" collapsed="false">
      <c r="B22" s="41"/>
      <c r="C22" s="41"/>
      <c r="D22" s="41"/>
      <c r="E22" s="41"/>
      <c r="F22" s="32"/>
      <c r="G22" s="70"/>
      <c r="H22" s="41"/>
      <c r="I22" s="71" t="str">
        <f aca="false">IF($B22="","",COUNTIFS(tsk_Resource,$B22,tsk_IsLeaf,1))</f>
        <v/>
      </c>
      <c r="J22" s="43" t="str">
        <f aca="false">IF($B22="","",SUMIFS(tsk_Work,tsk_Resource,$B22,tsk_IsLeaf,1))</f>
        <v/>
      </c>
      <c r="K22" s="44" t="str">
        <f aca="false">IF($B22="","",SUMIFS(tsk_Cost,tsk_Resource,$B22,tsk_IsLeaf,1))</f>
        <v/>
      </c>
      <c r="L22" s="41"/>
    </row>
    <row r="23" customFormat="false" ht="15" hidden="false" customHeight="false" outlineLevel="0" collapsed="false">
      <c r="B23" s="41"/>
      <c r="C23" s="41"/>
      <c r="D23" s="41"/>
      <c r="E23" s="41"/>
      <c r="F23" s="32"/>
      <c r="G23" s="70"/>
      <c r="H23" s="41"/>
      <c r="I23" s="71" t="str">
        <f aca="false">IF($B23="","",COUNTIFS(tsk_Resource,$B23,tsk_IsLeaf,1))</f>
        <v/>
      </c>
      <c r="J23" s="43" t="str">
        <f aca="false">IF($B23="","",SUMIFS(tsk_Work,tsk_Resource,$B23,tsk_IsLeaf,1))</f>
        <v/>
      </c>
      <c r="K23" s="44" t="str">
        <f aca="false">IF($B23="","",SUMIFS(tsk_Cost,tsk_Resource,$B23,tsk_IsLeaf,1))</f>
        <v/>
      </c>
      <c r="L23" s="41"/>
    </row>
    <row r="24" customFormat="false" ht="15" hidden="false" customHeight="false" outlineLevel="0" collapsed="false">
      <c r="B24" s="41"/>
      <c r="C24" s="41"/>
      <c r="D24" s="41"/>
      <c r="E24" s="41"/>
      <c r="F24" s="32"/>
      <c r="G24" s="70"/>
      <c r="H24" s="41"/>
      <c r="I24" s="71" t="str">
        <f aca="false">IF($B24="","",COUNTIFS(tsk_Resource,$B24,tsk_IsLeaf,1))</f>
        <v/>
      </c>
      <c r="J24" s="43" t="str">
        <f aca="false">IF($B24="","",SUMIFS(tsk_Work,tsk_Resource,$B24,tsk_IsLeaf,1))</f>
        <v/>
      </c>
      <c r="K24" s="44" t="str">
        <f aca="false">IF($B24="","",SUMIFS(tsk_Cost,tsk_Resource,$B24,tsk_IsLeaf,1))</f>
        <v/>
      </c>
      <c r="L24" s="41"/>
    </row>
    <row r="25" customFormat="false" ht="15" hidden="false" customHeight="false" outlineLevel="0" collapsed="false">
      <c r="B25" s="41"/>
      <c r="C25" s="41"/>
      <c r="D25" s="41"/>
      <c r="E25" s="41"/>
      <c r="F25" s="32"/>
      <c r="G25" s="70"/>
      <c r="H25" s="41"/>
      <c r="I25" s="71" t="str">
        <f aca="false">IF($B25="","",COUNTIFS(tsk_Resource,$B25,tsk_IsLeaf,1))</f>
        <v/>
      </c>
      <c r="J25" s="43" t="str">
        <f aca="false">IF($B25="","",SUMIFS(tsk_Work,tsk_Resource,$B25,tsk_IsLeaf,1))</f>
        <v/>
      </c>
      <c r="K25" s="44" t="str">
        <f aca="false">IF($B25="","",SUMIFS(tsk_Cost,tsk_Resource,$B25,tsk_IsLeaf,1))</f>
        <v/>
      </c>
      <c r="L25" s="41"/>
    </row>
    <row r="26" customFormat="false" ht="15" hidden="false" customHeight="false" outlineLevel="0" collapsed="false">
      <c r="B26" s="41"/>
      <c r="C26" s="41"/>
      <c r="D26" s="41"/>
      <c r="E26" s="41"/>
      <c r="F26" s="32"/>
      <c r="G26" s="70"/>
      <c r="H26" s="41"/>
      <c r="I26" s="71" t="str">
        <f aca="false">IF($B26="","",COUNTIFS(tsk_Resource,$B26,tsk_IsLeaf,1))</f>
        <v/>
      </c>
      <c r="J26" s="43" t="str">
        <f aca="false">IF($B26="","",SUMIFS(tsk_Work,tsk_Resource,$B26,tsk_IsLeaf,1))</f>
        <v/>
      </c>
      <c r="K26" s="44" t="str">
        <f aca="false">IF($B26="","",SUMIFS(tsk_Cost,tsk_Resource,$B26,tsk_IsLeaf,1))</f>
        <v/>
      </c>
      <c r="L26" s="41"/>
    </row>
    <row r="27" customFormat="false" ht="15" hidden="false" customHeight="false" outlineLevel="0" collapsed="false">
      <c r="B27" s="41"/>
      <c r="C27" s="41"/>
      <c r="D27" s="41"/>
      <c r="E27" s="41"/>
      <c r="F27" s="32"/>
      <c r="G27" s="70"/>
      <c r="H27" s="41"/>
      <c r="I27" s="71" t="str">
        <f aca="false">IF($B27="","",COUNTIFS(tsk_Resource,$B27,tsk_IsLeaf,1))</f>
        <v/>
      </c>
      <c r="J27" s="43" t="str">
        <f aca="false">IF($B27="","",SUMIFS(tsk_Work,tsk_Resource,$B27,tsk_IsLeaf,1))</f>
        <v/>
      </c>
      <c r="K27" s="44" t="str">
        <f aca="false">IF($B27="","",SUMIFS(tsk_Cost,tsk_Resource,$B27,tsk_IsLeaf,1))</f>
        <v/>
      </c>
      <c r="L27" s="41"/>
    </row>
    <row r="28" customFormat="false" ht="15" hidden="false" customHeight="false" outlineLevel="0" collapsed="false">
      <c r="B28" s="41"/>
      <c r="C28" s="41"/>
      <c r="D28" s="41"/>
      <c r="E28" s="41"/>
      <c r="F28" s="32"/>
      <c r="G28" s="70"/>
      <c r="H28" s="41"/>
      <c r="I28" s="71" t="str">
        <f aca="false">IF($B28="","",COUNTIFS(tsk_Resource,$B28,tsk_IsLeaf,1))</f>
        <v/>
      </c>
      <c r="J28" s="43" t="str">
        <f aca="false">IF($B28="","",SUMIFS(tsk_Work,tsk_Resource,$B28,tsk_IsLeaf,1))</f>
        <v/>
      </c>
      <c r="K28" s="44" t="str">
        <f aca="false">IF($B28="","",SUMIFS(tsk_Cost,tsk_Resource,$B28,tsk_IsLeaf,1))</f>
        <v/>
      </c>
      <c r="L28" s="41"/>
    </row>
    <row r="29" customFormat="false" ht="15" hidden="false" customHeight="false" outlineLevel="0" collapsed="false">
      <c r="B29" s="41"/>
      <c r="C29" s="41"/>
      <c r="D29" s="41"/>
      <c r="E29" s="41"/>
      <c r="F29" s="32"/>
      <c r="G29" s="70"/>
      <c r="H29" s="41"/>
      <c r="I29" s="71" t="str">
        <f aca="false">IF($B29="","",COUNTIFS(tsk_Resource,$B29,tsk_IsLeaf,1))</f>
        <v/>
      </c>
      <c r="J29" s="43" t="str">
        <f aca="false">IF($B29="","",SUMIFS(tsk_Work,tsk_Resource,$B29,tsk_IsLeaf,1))</f>
        <v/>
      </c>
      <c r="K29" s="44" t="str">
        <f aca="false">IF($B29="","",SUMIFS(tsk_Cost,tsk_Resource,$B29,tsk_IsLeaf,1))</f>
        <v/>
      </c>
      <c r="L29" s="41"/>
    </row>
    <row r="30" customFormat="false" ht="15" hidden="false" customHeight="false" outlineLevel="0" collapsed="false">
      <c r="B30" s="41"/>
      <c r="C30" s="41"/>
      <c r="D30" s="41"/>
      <c r="E30" s="41"/>
      <c r="F30" s="32"/>
      <c r="G30" s="70"/>
      <c r="H30" s="41"/>
      <c r="I30" s="71" t="str">
        <f aca="false">IF($B30="","",COUNTIFS(tsk_Resource,$B30,tsk_IsLeaf,1))</f>
        <v/>
      </c>
      <c r="J30" s="43" t="str">
        <f aca="false">IF($B30="","",SUMIFS(tsk_Work,tsk_Resource,$B30,tsk_IsLeaf,1))</f>
        <v/>
      </c>
      <c r="K30" s="44" t="str">
        <f aca="false">IF($B30="","",SUMIFS(tsk_Cost,tsk_Resource,$B30,tsk_IsLeaf,1))</f>
        <v/>
      </c>
      <c r="L30" s="41"/>
    </row>
    <row r="31" customFormat="false" ht="15" hidden="false" customHeight="false" outlineLevel="0" collapsed="false">
      <c r="B31" s="41"/>
      <c r="C31" s="41"/>
      <c r="D31" s="41"/>
      <c r="E31" s="41"/>
      <c r="F31" s="32"/>
      <c r="G31" s="70"/>
      <c r="H31" s="41"/>
      <c r="I31" s="71" t="str">
        <f aca="false">IF($B31="","",COUNTIFS(tsk_Resource,$B31,tsk_IsLeaf,1))</f>
        <v/>
      </c>
      <c r="J31" s="43" t="str">
        <f aca="false">IF($B31="","",SUMIFS(tsk_Work,tsk_Resource,$B31,tsk_IsLeaf,1))</f>
        <v/>
      </c>
      <c r="K31" s="44" t="str">
        <f aca="false">IF($B31="","",SUMIFS(tsk_Cost,tsk_Resource,$B31,tsk_IsLeaf,1))</f>
        <v/>
      </c>
      <c r="L31" s="41"/>
    </row>
    <row r="32" customFormat="false" ht="15" hidden="false" customHeight="false" outlineLevel="0" collapsed="false">
      <c r="B32" s="41"/>
      <c r="C32" s="41"/>
      <c r="D32" s="41"/>
      <c r="E32" s="41"/>
      <c r="F32" s="32"/>
      <c r="G32" s="70"/>
      <c r="H32" s="41"/>
      <c r="I32" s="71" t="str">
        <f aca="false">IF($B32="","",COUNTIFS(tsk_Resource,$B32,tsk_IsLeaf,1))</f>
        <v/>
      </c>
      <c r="J32" s="43" t="str">
        <f aca="false">IF($B32="","",SUMIFS(tsk_Work,tsk_Resource,$B32,tsk_IsLeaf,1))</f>
        <v/>
      </c>
      <c r="K32" s="44" t="str">
        <f aca="false">IF($B32="","",SUMIFS(tsk_Cost,tsk_Resource,$B32,tsk_IsLeaf,1))</f>
        <v/>
      </c>
      <c r="L32" s="41"/>
    </row>
    <row r="33" customFormat="false" ht="15" hidden="false" customHeight="false" outlineLevel="0" collapsed="false">
      <c r="B33" s="41"/>
      <c r="C33" s="41"/>
      <c r="D33" s="41"/>
      <c r="E33" s="41"/>
      <c r="F33" s="32"/>
      <c r="G33" s="70"/>
      <c r="H33" s="41"/>
      <c r="I33" s="71" t="str">
        <f aca="false">IF($B33="","",COUNTIFS(tsk_Resource,$B33,tsk_IsLeaf,1))</f>
        <v/>
      </c>
      <c r="J33" s="43" t="str">
        <f aca="false">IF($B33="","",SUMIFS(tsk_Work,tsk_Resource,$B33,tsk_IsLeaf,1))</f>
        <v/>
      </c>
      <c r="K33" s="44" t="str">
        <f aca="false">IF($B33="","",SUMIFS(tsk_Cost,tsk_Resource,$B33,tsk_IsLeaf,1))</f>
        <v/>
      </c>
      <c r="L33" s="41"/>
    </row>
    <row r="34" customFormat="false" ht="15" hidden="false" customHeight="false" outlineLevel="0" collapsed="false">
      <c r="B34" s="41"/>
      <c r="C34" s="41"/>
      <c r="D34" s="41"/>
      <c r="E34" s="41"/>
      <c r="F34" s="32"/>
      <c r="G34" s="70"/>
      <c r="H34" s="41"/>
      <c r="I34" s="71" t="str">
        <f aca="false">IF($B34="","",COUNTIFS(tsk_Resource,$B34,tsk_IsLeaf,1))</f>
        <v/>
      </c>
      <c r="J34" s="43" t="str">
        <f aca="false">IF($B34="","",SUMIFS(tsk_Work,tsk_Resource,$B34,tsk_IsLeaf,1))</f>
        <v/>
      </c>
      <c r="K34" s="44" t="str">
        <f aca="false">IF($B34="","",SUMIFS(tsk_Cost,tsk_Resource,$B34,tsk_IsLeaf,1))</f>
        <v/>
      </c>
      <c r="L34" s="41"/>
    </row>
    <row r="35" customFormat="false" ht="15" hidden="false" customHeight="false" outlineLevel="0" collapsed="false">
      <c r="B35" s="41"/>
      <c r="C35" s="41"/>
      <c r="D35" s="41"/>
      <c r="E35" s="41"/>
      <c r="F35" s="32"/>
      <c r="G35" s="70"/>
      <c r="H35" s="41"/>
      <c r="I35" s="71" t="str">
        <f aca="false">IF($B35="","",COUNTIFS(tsk_Resource,$B35,tsk_IsLeaf,1))</f>
        <v/>
      </c>
      <c r="J35" s="43" t="str">
        <f aca="false">IF($B35="","",SUMIFS(tsk_Work,tsk_Resource,$B35,tsk_IsLeaf,1))</f>
        <v/>
      </c>
      <c r="K35" s="44" t="str">
        <f aca="false">IF($B35="","",SUMIFS(tsk_Cost,tsk_Resource,$B35,tsk_IsLeaf,1))</f>
        <v/>
      </c>
      <c r="L35" s="41"/>
    </row>
    <row r="36" customFormat="false" ht="15" hidden="false" customHeight="false" outlineLevel="0" collapsed="false">
      <c r="B36" s="41"/>
      <c r="C36" s="41"/>
      <c r="D36" s="41"/>
      <c r="E36" s="41"/>
      <c r="F36" s="32"/>
      <c r="G36" s="70"/>
      <c r="H36" s="41"/>
      <c r="I36" s="71" t="str">
        <f aca="false">IF($B36="","",COUNTIFS(tsk_Resource,$B36,tsk_IsLeaf,1))</f>
        <v/>
      </c>
      <c r="J36" s="43" t="str">
        <f aca="false">IF($B36="","",SUMIFS(tsk_Work,tsk_Resource,$B36,tsk_IsLeaf,1))</f>
        <v/>
      </c>
      <c r="K36" s="44" t="str">
        <f aca="false">IF($B36="","",SUMIFS(tsk_Cost,tsk_Resource,$B36,tsk_IsLeaf,1))</f>
        <v/>
      </c>
      <c r="L36" s="41"/>
    </row>
    <row r="37" customFormat="false" ht="15" hidden="false" customHeight="false" outlineLevel="0" collapsed="false">
      <c r="B37" s="41"/>
      <c r="C37" s="41"/>
      <c r="D37" s="41"/>
      <c r="E37" s="41"/>
      <c r="F37" s="32"/>
      <c r="G37" s="70"/>
      <c r="H37" s="41"/>
      <c r="I37" s="71" t="str">
        <f aca="false">IF($B37="","",COUNTIFS(tsk_Resource,$B37,tsk_IsLeaf,1))</f>
        <v/>
      </c>
      <c r="J37" s="43" t="str">
        <f aca="false">IF($B37="","",SUMIFS(tsk_Work,tsk_Resource,$B37,tsk_IsLeaf,1))</f>
        <v/>
      </c>
      <c r="K37" s="44" t="str">
        <f aca="false">IF($B37="","",SUMIFS(tsk_Cost,tsk_Resource,$B37,tsk_IsLeaf,1))</f>
        <v/>
      </c>
      <c r="L37" s="41"/>
    </row>
    <row r="38" customFormat="false" ht="15" hidden="false" customHeight="false" outlineLevel="0" collapsed="false">
      <c r="B38" s="41"/>
      <c r="C38" s="41"/>
      <c r="D38" s="41"/>
      <c r="E38" s="41"/>
      <c r="F38" s="32"/>
      <c r="G38" s="70"/>
      <c r="H38" s="41"/>
      <c r="I38" s="71" t="str">
        <f aca="false">IF($B38="","",COUNTIFS(tsk_Resource,$B38,tsk_IsLeaf,1))</f>
        <v/>
      </c>
      <c r="J38" s="43" t="str">
        <f aca="false">IF($B38="","",SUMIFS(tsk_Work,tsk_Resource,$B38,tsk_IsLeaf,1))</f>
        <v/>
      </c>
      <c r="K38" s="44" t="str">
        <f aca="false">IF($B38="","",SUMIFS(tsk_Cost,tsk_Resource,$B38,tsk_IsLeaf,1))</f>
        <v/>
      </c>
      <c r="L38" s="41"/>
    </row>
    <row r="39" customFormat="false" ht="15" hidden="false" customHeight="false" outlineLevel="0" collapsed="false">
      <c r="B39" s="41"/>
      <c r="C39" s="41"/>
      <c r="D39" s="41"/>
      <c r="E39" s="41"/>
      <c r="F39" s="32"/>
      <c r="G39" s="70"/>
      <c r="H39" s="41"/>
      <c r="I39" s="71" t="str">
        <f aca="false">IF($B39="","",COUNTIFS(tsk_Resource,$B39,tsk_IsLeaf,1))</f>
        <v/>
      </c>
      <c r="J39" s="43" t="str">
        <f aca="false">IF($B39="","",SUMIFS(tsk_Work,tsk_Resource,$B39,tsk_IsLeaf,1))</f>
        <v/>
      </c>
      <c r="K39" s="44" t="str">
        <f aca="false">IF($B39="","",SUMIFS(tsk_Cost,tsk_Resource,$B39,tsk_IsLeaf,1))</f>
        <v/>
      </c>
      <c r="L39" s="41"/>
    </row>
    <row r="40" customFormat="false" ht="15" hidden="false" customHeight="false" outlineLevel="0" collapsed="false">
      <c r="B40" s="41"/>
      <c r="C40" s="41"/>
      <c r="D40" s="41"/>
      <c r="E40" s="41"/>
      <c r="F40" s="32"/>
      <c r="G40" s="70"/>
      <c r="H40" s="41"/>
      <c r="I40" s="71" t="str">
        <f aca="false">IF($B40="","",COUNTIFS(tsk_Resource,$B40,tsk_IsLeaf,1))</f>
        <v/>
      </c>
      <c r="J40" s="43" t="str">
        <f aca="false">IF($B40="","",SUMIFS(tsk_Work,tsk_Resource,$B40,tsk_IsLeaf,1))</f>
        <v/>
      </c>
      <c r="K40" s="44" t="str">
        <f aca="false">IF($B40="","",SUMIFS(tsk_Cost,tsk_Resource,$B40,tsk_IsLeaf,1))</f>
        <v/>
      </c>
      <c r="L40" s="41"/>
    </row>
    <row r="41" customFormat="false" ht="15" hidden="false" customHeight="false" outlineLevel="0" collapsed="false">
      <c r="B41" s="41"/>
      <c r="C41" s="41"/>
      <c r="D41" s="41"/>
      <c r="E41" s="41"/>
      <c r="F41" s="32"/>
      <c r="G41" s="70"/>
      <c r="H41" s="41"/>
      <c r="I41" s="71" t="str">
        <f aca="false">IF($B41="","",COUNTIFS(tsk_Resource,$B41,tsk_IsLeaf,1))</f>
        <v/>
      </c>
      <c r="J41" s="43" t="str">
        <f aca="false">IF($B41="","",SUMIFS(tsk_Work,tsk_Resource,$B41,tsk_IsLeaf,1))</f>
        <v/>
      </c>
      <c r="K41" s="44" t="str">
        <f aca="false">IF($B41="","",SUMIFS(tsk_Cost,tsk_Resource,$B41,tsk_IsLeaf,1))</f>
        <v/>
      </c>
      <c r="L41" s="41"/>
    </row>
    <row r="42" customFormat="false" ht="15" hidden="false" customHeight="false" outlineLevel="0" collapsed="false">
      <c r="B42" s="41"/>
      <c r="C42" s="41"/>
      <c r="D42" s="41"/>
      <c r="E42" s="41"/>
      <c r="F42" s="32"/>
      <c r="G42" s="70"/>
      <c r="H42" s="41"/>
      <c r="I42" s="71" t="str">
        <f aca="false">IF($B42="","",COUNTIFS(tsk_Resource,$B42,tsk_IsLeaf,1))</f>
        <v/>
      </c>
      <c r="J42" s="43" t="str">
        <f aca="false">IF($B42="","",SUMIFS(tsk_Work,tsk_Resource,$B42,tsk_IsLeaf,1))</f>
        <v/>
      </c>
      <c r="K42" s="44" t="str">
        <f aca="false">IF($B42="","",SUMIFS(tsk_Cost,tsk_Resource,$B42,tsk_IsLeaf,1))</f>
        <v/>
      </c>
      <c r="L42" s="41"/>
    </row>
    <row r="43" customFormat="false" ht="15" hidden="false" customHeight="false" outlineLevel="0" collapsed="false">
      <c r="B43" s="41"/>
      <c r="C43" s="41"/>
      <c r="D43" s="41"/>
      <c r="E43" s="41"/>
      <c r="F43" s="32"/>
      <c r="G43" s="70"/>
      <c r="H43" s="41"/>
      <c r="I43" s="71" t="str">
        <f aca="false">IF($B43="","",COUNTIFS(tsk_Resource,$B43,tsk_IsLeaf,1))</f>
        <v/>
      </c>
      <c r="J43" s="43" t="str">
        <f aca="false">IF($B43="","",SUMIFS(tsk_Work,tsk_Resource,$B43,tsk_IsLeaf,1))</f>
        <v/>
      </c>
      <c r="K43" s="44" t="str">
        <f aca="false">IF($B43="","",SUMIFS(tsk_Cost,tsk_Resource,$B43,tsk_IsLeaf,1))</f>
        <v/>
      </c>
      <c r="L43" s="41"/>
    </row>
    <row r="44" customFormat="false" ht="15" hidden="false" customHeight="false" outlineLevel="0" collapsed="false">
      <c r="B44" s="41"/>
      <c r="C44" s="41"/>
      <c r="D44" s="41"/>
      <c r="E44" s="41"/>
      <c r="F44" s="32"/>
      <c r="G44" s="70"/>
      <c r="H44" s="41"/>
      <c r="I44" s="71" t="str">
        <f aca="false">IF($B44="","",COUNTIFS(tsk_Resource,$B44,tsk_IsLeaf,1))</f>
        <v/>
      </c>
      <c r="J44" s="43" t="str">
        <f aca="false">IF($B44="","",SUMIFS(tsk_Work,tsk_Resource,$B44,tsk_IsLeaf,1))</f>
        <v/>
      </c>
      <c r="K44" s="44" t="str">
        <f aca="false">IF($B44="","",SUMIFS(tsk_Cost,tsk_Resource,$B44,tsk_IsLeaf,1))</f>
        <v/>
      </c>
      <c r="L44" s="41"/>
    </row>
    <row r="45" customFormat="false" ht="15" hidden="false" customHeight="false" outlineLevel="0" collapsed="false">
      <c r="B45" s="41"/>
      <c r="C45" s="41"/>
      <c r="D45" s="41"/>
      <c r="E45" s="41"/>
      <c r="F45" s="32"/>
      <c r="G45" s="70"/>
      <c r="H45" s="41"/>
      <c r="I45" s="71" t="str">
        <f aca="false">IF($B45="","",COUNTIFS(tsk_Resource,$B45,tsk_IsLeaf,1))</f>
        <v/>
      </c>
      <c r="J45" s="43" t="str">
        <f aca="false">IF($B45="","",SUMIFS(tsk_Work,tsk_Resource,$B45,tsk_IsLeaf,1))</f>
        <v/>
      </c>
      <c r="K45" s="44" t="str">
        <f aca="false">IF($B45="","",SUMIFS(tsk_Cost,tsk_Resource,$B45,tsk_IsLeaf,1))</f>
        <v/>
      </c>
      <c r="L45" s="41"/>
    </row>
    <row r="46" customFormat="false" ht="15" hidden="false" customHeight="false" outlineLevel="0" collapsed="false">
      <c r="B46" s="41"/>
      <c r="C46" s="41"/>
      <c r="D46" s="41"/>
      <c r="E46" s="41"/>
      <c r="F46" s="32"/>
      <c r="G46" s="70"/>
      <c r="H46" s="41"/>
      <c r="I46" s="71" t="str">
        <f aca="false">IF($B46="","",COUNTIFS(tsk_Resource,$B46,tsk_IsLeaf,1))</f>
        <v/>
      </c>
      <c r="J46" s="43" t="str">
        <f aca="false">IF($B46="","",SUMIFS(tsk_Work,tsk_Resource,$B46,tsk_IsLeaf,1))</f>
        <v/>
      </c>
      <c r="K46" s="44" t="str">
        <f aca="false">IF($B46="","",SUMIFS(tsk_Cost,tsk_Resource,$B46,tsk_IsLeaf,1))</f>
        <v/>
      </c>
      <c r="L46" s="41"/>
    </row>
    <row r="47" customFormat="false" ht="15" hidden="false" customHeight="false" outlineLevel="0" collapsed="false">
      <c r="B47" s="41"/>
      <c r="C47" s="41"/>
      <c r="D47" s="41"/>
      <c r="E47" s="41"/>
      <c r="F47" s="32"/>
      <c r="G47" s="70"/>
      <c r="H47" s="41"/>
      <c r="I47" s="71" t="str">
        <f aca="false">IF($B47="","",COUNTIFS(tsk_Resource,$B47,tsk_IsLeaf,1))</f>
        <v/>
      </c>
      <c r="J47" s="43" t="str">
        <f aca="false">IF($B47="","",SUMIFS(tsk_Work,tsk_Resource,$B47,tsk_IsLeaf,1))</f>
        <v/>
      </c>
      <c r="K47" s="44" t="str">
        <f aca="false">IF($B47="","",SUMIFS(tsk_Cost,tsk_Resource,$B47,tsk_IsLeaf,1))</f>
        <v/>
      </c>
      <c r="L47" s="41"/>
    </row>
    <row r="48" customFormat="false" ht="15" hidden="false" customHeight="false" outlineLevel="0" collapsed="false">
      <c r="B48" s="41"/>
      <c r="C48" s="41"/>
      <c r="D48" s="41"/>
      <c r="E48" s="41"/>
      <c r="F48" s="32"/>
      <c r="G48" s="70"/>
      <c r="H48" s="41"/>
      <c r="I48" s="71" t="str">
        <f aca="false">IF($B48="","",COUNTIFS(tsk_Resource,$B48,tsk_IsLeaf,1))</f>
        <v/>
      </c>
      <c r="J48" s="43" t="str">
        <f aca="false">IF($B48="","",SUMIFS(tsk_Work,tsk_Resource,$B48,tsk_IsLeaf,1))</f>
        <v/>
      </c>
      <c r="K48" s="44" t="str">
        <f aca="false">IF($B48="","",SUMIFS(tsk_Cost,tsk_Resource,$B48,tsk_IsLeaf,1))</f>
        <v/>
      </c>
      <c r="L48" s="41"/>
    </row>
    <row r="49" customFormat="false" ht="15" hidden="false" customHeight="false" outlineLevel="0" collapsed="false">
      <c r="B49" s="41"/>
      <c r="C49" s="41"/>
      <c r="D49" s="41"/>
      <c r="E49" s="41"/>
      <c r="F49" s="32"/>
      <c r="G49" s="70"/>
      <c r="H49" s="41"/>
      <c r="I49" s="71" t="str">
        <f aca="false">IF($B49="","",COUNTIFS(tsk_Resource,$B49,tsk_IsLeaf,1))</f>
        <v/>
      </c>
      <c r="J49" s="43" t="str">
        <f aca="false">IF($B49="","",SUMIFS(tsk_Work,tsk_Resource,$B49,tsk_IsLeaf,1))</f>
        <v/>
      </c>
      <c r="K49" s="44" t="str">
        <f aca="false">IF($B49="","",SUMIFS(tsk_Cost,tsk_Resource,$B49,tsk_IsLeaf,1))</f>
        <v/>
      </c>
      <c r="L49" s="41"/>
    </row>
    <row r="50" customFormat="false" ht="15" hidden="false" customHeight="false" outlineLevel="0" collapsed="false">
      <c r="B50" s="41"/>
      <c r="C50" s="41"/>
      <c r="D50" s="41"/>
      <c r="E50" s="41"/>
      <c r="F50" s="32"/>
      <c r="G50" s="70"/>
      <c r="H50" s="41"/>
      <c r="I50" s="71" t="str">
        <f aca="false">IF($B50="","",COUNTIFS(tsk_Resource,$B50,tsk_IsLeaf,1))</f>
        <v/>
      </c>
      <c r="J50" s="43" t="str">
        <f aca="false">IF($B50="","",SUMIFS(tsk_Work,tsk_Resource,$B50,tsk_IsLeaf,1))</f>
        <v/>
      </c>
      <c r="K50" s="44" t="str">
        <f aca="false">IF($B50="","",SUMIFS(tsk_Cost,tsk_Resource,$B50,tsk_IsLeaf,1))</f>
        <v/>
      </c>
      <c r="L50" s="41"/>
    </row>
    <row r="51" customFormat="false" ht="15" hidden="false" customHeight="false" outlineLevel="0" collapsed="false">
      <c r="B51" s="41"/>
      <c r="C51" s="41"/>
      <c r="D51" s="41"/>
      <c r="E51" s="41"/>
      <c r="F51" s="32"/>
      <c r="G51" s="70"/>
      <c r="H51" s="41"/>
      <c r="I51" s="71" t="str">
        <f aca="false">IF($B51="","",COUNTIFS(tsk_Resource,$B51,tsk_IsLeaf,1))</f>
        <v/>
      </c>
      <c r="J51" s="43" t="str">
        <f aca="false">IF($B51="","",SUMIFS(tsk_Work,tsk_Resource,$B51,tsk_IsLeaf,1))</f>
        <v/>
      </c>
      <c r="K51" s="44" t="str">
        <f aca="false">IF($B51="","",SUMIFS(tsk_Cost,tsk_Resource,$B51,tsk_IsLeaf,1))</f>
        <v/>
      </c>
      <c r="L51" s="41"/>
    </row>
    <row r="52" customFormat="false" ht="15" hidden="false" customHeight="false" outlineLevel="0" collapsed="false">
      <c r="B52" s="41"/>
      <c r="C52" s="41"/>
      <c r="D52" s="41"/>
      <c r="E52" s="41"/>
      <c r="F52" s="32"/>
      <c r="G52" s="70"/>
      <c r="H52" s="41"/>
      <c r="I52" s="71" t="str">
        <f aca="false">IF($B52="","",COUNTIFS(tsk_Resource,$B52,tsk_IsLeaf,1))</f>
        <v/>
      </c>
      <c r="J52" s="43" t="str">
        <f aca="false">IF($B52="","",SUMIFS(tsk_Work,tsk_Resource,$B52,tsk_IsLeaf,1))</f>
        <v/>
      </c>
      <c r="K52" s="44" t="str">
        <f aca="false">IF($B52="","",SUMIFS(tsk_Cost,tsk_Resource,$B52,tsk_IsLeaf,1))</f>
        <v/>
      </c>
      <c r="L52" s="41"/>
    </row>
    <row r="53" customFormat="false" ht="15" hidden="false" customHeight="false" outlineLevel="0" collapsed="false">
      <c r="B53" s="41"/>
      <c r="C53" s="41"/>
      <c r="D53" s="41"/>
      <c r="E53" s="41"/>
      <c r="F53" s="32"/>
      <c r="G53" s="70"/>
      <c r="H53" s="41"/>
      <c r="I53" s="71" t="str">
        <f aca="false">IF($B53="","",COUNTIFS(tsk_Resource,$B53,tsk_IsLeaf,1))</f>
        <v/>
      </c>
      <c r="J53" s="43" t="str">
        <f aca="false">IF($B53="","",SUMIFS(tsk_Work,tsk_Resource,$B53,tsk_IsLeaf,1))</f>
        <v/>
      </c>
      <c r="K53" s="44" t="str">
        <f aca="false">IF($B53="","",SUMIFS(tsk_Cost,tsk_Resource,$B53,tsk_IsLeaf,1))</f>
        <v/>
      </c>
      <c r="L53" s="41"/>
    </row>
    <row r="54" customFormat="false" ht="15" hidden="false" customHeight="false" outlineLevel="0" collapsed="false">
      <c r="B54" s="41"/>
      <c r="C54" s="41"/>
      <c r="D54" s="41"/>
      <c r="E54" s="41"/>
      <c r="F54" s="32"/>
      <c r="G54" s="70"/>
      <c r="H54" s="41"/>
      <c r="I54" s="71" t="str">
        <f aca="false">IF($B54="","",COUNTIFS(tsk_Resource,$B54,tsk_IsLeaf,1))</f>
        <v/>
      </c>
      <c r="J54" s="43" t="str">
        <f aca="false">IF($B54="","",SUMIFS(tsk_Work,tsk_Resource,$B54,tsk_IsLeaf,1))</f>
        <v/>
      </c>
      <c r="K54" s="44" t="str">
        <f aca="false">IF($B54="","",SUMIFS(tsk_Cost,tsk_Resource,$B54,tsk_IsLeaf,1))</f>
        <v/>
      </c>
      <c r="L54" s="41"/>
    </row>
    <row r="55" customFormat="false" ht="15" hidden="false" customHeight="false" outlineLevel="0" collapsed="false">
      <c r="B55" s="41"/>
      <c r="C55" s="41"/>
      <c r="D55" s="41"/>
      <c r="E55" s="41"/>
      <c r="F55" s="32"/>
      <c r="G55" s="70"/>
      <c r="H55" s="41"/>
      <c r="I55" s="71" t="str">
        <f aca="false">IF($B55="","",COUNTIFS(tsk_Resource,$B55,tsk_IsLeaf,1))</f>
        <v/>
      </c>
      <c r="J55" s="43" t="str">
        <f aca="false">IF($B55="","",SUMIFS(tsk_Work,tsk_Resource,$B55,tsk_IsLeaf,1))</f>
        <v/>
      </c>
      <c r="K55" s="44" t="str">
        <f aca="false">IF($B55="","",SUMIFS(tsk_Cost,tsk_Resource,$B55,tsk_IsLeaf,1))</f>
        <v/>
      </c>
      <c r="L55" s="41"/>
    </row>
  </sheetData>
  <dataValidations count="1">
    <dataValidation allowBlank="false" errorStyle="stop" operator="between" showDropDown="false" showErrorMessage="false" showInputMessage="false" sqref="E6:E55" type="list">
      <formula1>L_ResType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C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9"/>
    <col collapsed="false" customWidth="true" hidden="false" outlineLevel="0" max="6" min="6" style="0" width="36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29" min="12" style="0" width="13"/>
  </cols>
  <sheetData>
    <row r="1" customFormat="false" ht="19.7" hidden="false" customHeight="false" outlineLevel="0" collapsed="false">
      <c r="A1" s="25" t="str">
        <f aca="false">ProjectName&amp;"  -  Sprint &amp; Capacity Planning"</f>
        <v>Customer Portal Implementation  -  Sprint &amp; Capacity Planning</v>
      </c>
    </row>
    <row r="2" customFormat="false" ht="15" hidden="false" customHeight="false" outlineLevel="0" collapsed="false">
      <c r="A2" s="8" t="s">
        <v>312</v>
      </c>
    </row>
    <row r="5" customFormat="false" ht="35.05" hidden="false" customHeight="false" outlineLevel="0" collapsed="false">
      <c r="A5" s="9" t="s">
        <v>313</v>
      </c>
      <c r="B5" s="9" t="s">
        <v>184</v>
      </c>
      <c r="C5" s="9" t="s">
        <v>314</v>
      </c>
      <c r="D5" s="9" t="s">
        <v>315</v>
      </c>
      <c r="E5" s="9" t="s">
        <v>316</v>
      </c>
      <c r="F5" s="36" t="s">
        <v>317</v>
      </c>
      <c r="G5" s="9" t="s">
        <v>318</v>
      </c>
      <c r="H5" s="9" t="s">
        <v>319</v>
      </c>
      <c r="I5" s="9" t="s">
        <v>320</v>
      </c>
      <c r="J5" s="9" t="s">
        <v>321</v>
      </c>
      <c r="K5" s="9" t="s">
        <v>179</v>
      </c>
    </row>
    <row r="6" customFormat="false" ht="15" hidden="false" customHeight="false" outlineLevel="0" collapsed="false">
      <c r="A6" s="45" t="n">
        <v>1</v>
      </c>
      <c r="B6" s="45" t="str">
        <f aca="false">IF($A6&lt;=SprintCount,SprintPrefix&amp;$A6,"")</f>
        <v>Sprint 1</v>
      </c>
      <c r="C6" s="30" t="n">
        <f aca="false">Sprint1Start+($A6-1)*SprintLength</f>
        <v>46272</v>
      </c>
      <c r="D6" s="30" t="n">
        <f aca="false">$C6+SprintLength-1</f>
        <v>46285</v>
      </c>
      <c r="E6" s="45" t="n">
        <f aca="false">NETWORKDAYS.INTL($C6,$D6,WorkWeek,Holidays)</f>
        <v>10</v>
      </c>
      <c r="F6" s="41" t="s">
        <v>322</v>
      </c>
      <c r="G6" s="45" t="n">
        <f aca="false">IF($B6="","",COUNTIF(tsk_Sprint,$B6))</f>
        <v>5</v>
      </c>
      <c r="H6" s="43" t="n">
        <f aca="false">IF($B6="","",SUMPRODUCT(tsk_WorkPerDay*((((tsk_FinishN+$D6-ABS(tsk_FinishN-$D6))/2-(tsk_StartN+$C6+ABS(tsk_StartN-$C6))/2+1)+ABS((tsk_FinishN+$D6-ABS(tsk_FinishN-$D6))/2-(tsk_StartN+$C6+ABS(tsk_StartN-$C6))/2+1))/2)))</f>
        <v>89.9090909090909</v>
      </c>
      <c r="I6" s="43" t="n">
        <f aca="false">IF($B6="","",SUMIFS(res_MaxUnits,res_Type,"Work")*HoursPerDay*$E6)</f>
        <v>480</v>
      </c>
      <c r="J6" s="42" t="n">
        <f aca="false">IF(OR($B6="",N($I6)=0),"",$H6/$I6)</f>
        <v>0.187310606060606</v>
      </c>
      <c r="K6" s="45" t="str">
        <f aca="false">IF($B6="","",IF(StatusDate&gt;$D6,"Closed",IF(StatusDate&gt;=$C6,"Active","Future")))</f>
        <v>Closed</v>
      </c>
    </row>
    <row r="7" customFormat="false" ht="15" hidden="false" customHeight="false" outlineLevel="0" collapsed="false">
      <c r="A7" s="45" t="n">
        <v>2</v>
      </c>
      <c r="B7" s="45" t="str">
        <f aca="false">IF($A7&lt;=SprintCount,SprintPrefix&amp;$A7,"")</f>
        <v>Sprint 2</v>
      </c>
      <c r="C7" s="30" t="n">
        <f aca="false">Sprint1Start+($A7-1)*SprintLength</f>
        <v>46286</v>
      </c>
      <c r="D7" s="30" t="n">
        <f aca="false">$C7+SprintLength-1</f>
        <v>46299</v>
      </c>
      <c r="E7" s="45" t="n">
        <f aca="false">NETWORKDAYS.INTL($C7,$D7,WorkWeek,Holidays)</f>
        <v>10</v>
      </c>
      <c r="F7" s="41" t="s">
        <v>323</v>
      </c>
      <c r="G7" s="45" t="n">
        <f aca="false">IF($B7="","",COUNTIF(tsk_Sprint,$B7))</f>
        <v>1</v>
      </c>
      <c r="H7" s="43" t="n">
        <f aca="false">IF($B7="","",SUMPRODUCT(tsk_WorkPerDay*((((tsk_FinishN+$D7-ABS(tsk_FinishN-$D7))/2-(tsk_StartN+$C7+ABS(tsk_StartN-$C7))/2+1)+ABS((tsk_FinishN+$D7-ABS(tsk_FinishN-$D7))/2-(tsk_StartN+$C7+ABS(tsk_StartN-$C7))/2+1))/2)))</f>
        <v>91.4242424242424</v>
      </c>
      <c r="I7" s="43" t="n">
        <f aca="false">IF($B7="","",SUMIFS(res_MaxUnits,res_Type,"Work")*HoursPerDay*$E7)</f>
        <v>480</v>
      </c>
      <c r="J7" s="42" t="n">
        <f aca="false">IF(OR($B7="",N($I7)=0),"",$H7/$I7)</f>
        <v>0.190467171717172</v>
      </c>
      <c r="K7" s="45" t="str">
        <f aca="false">IF($B7="","",IF(StatusDate&gt;$D7,"Closed",IF(StatusDate&gt;=$C7,"Active","Future")))</f>
        <v>Closed</v>
      </c>
    </row>
    <row r="8" customFormat="false" ht="15" hidden="false" customHeight="false" outlineLevel="0" collapsed="false">
      <c r="A8" s="45" t="n">
        <v>3</v>
      </c>
      <c r="B8" s="45" t="str">
        <f aca="false">IF($A8&lt;=SprintCount,SprintPrefix&amp;$A8,"")</f>
        <v>Sprint 3</v>
      </c>
      <c r="C8" s="30" t="n">
        <f aca="false">Sprint1Start+($A8-1)*SprintLength</f>
        <v>46300</v>
      </c>
      <c r="D8" s="30" t="n">
        <f aca="false">$C8+SprintLength-1</f>
        <v>46313</v>
      </c>
      <c r="E8" s="45" t="n">
        <f aca="false">NETWORKDAYS.INTL($C8,$D8,WorkWeek,Holidays)</f>
        <v>10</v>
      </c>
      <c r="F8" s="41" t="s">
        <v>324</v>
      </c>
      <c r="G8" s="45" t="n">
        <f aca="false">IF($B8="","",COUNTIF(tsk_Sprint,$B8))</f>
        <v>4</v>
      </c>
      <c r="H8" s="43" t="n">
        <f aca="false">IF($B8="","",SUMPRODUCT(tsk_WorkPerDay*((((tsk_FinishN+$D8-ABS(tsk_FinishN-$D8))/2-(tsk_StartN+$C8+ABS(tsk_StartN-$C8))/2+1)+ABS((tsk_FinishN+$D8-ABS(tsk_FinishN-$D8))/2-(tsk_StartN+$C8+ABS(tsk_StartN-$C8))/2+1))/2)))</f>
        <v>118.666666666667</v>
      </c>
      <c r="I8" s="43" t="n">
        <f aca="false">IF($B8="","",SUMIFS(res_MaxUnits,res_Type,"Work")*HoursPerDay*$E8)</f>
        <v>480</v>
      </c>
      <c r="J8" s="42" t="n">
        <f aca="false">IF(OR($B8="",N($I8)=0),"",$H8/$I8)</f>
        <v>0.247222222222222</v>
      </c>
      <c r="K8" s="45" t="str">
        <f aca="false">IF($B8="","",IF(StatusDate&gt;$D8,"Closed",IF(StatusDate&gt;=$C8,"Active","Future")))</f>
        <v>Closed</v>
      </c>
    </row>
    <row r="9" customFormat="false" ht="15" hidden="false" customHeight="false" outlineLevel="0" collapsed="false">
      <c r="A9" s="45" t="n">
        <v>4</v>
      </c>
      <c r="B9" s="45" t="str">
        <f aca="false">IF($A9&lt;=SprintCount,SprintPrefix&amp;$A9,"")</f>
        <v>Sprint 4</v>
      </c>
      <c r="C9" s="30" t="n">
        <f aca="false">Sprint1Start+($A9-1)*SprintLength</f>
        <v>46314</v>
      </c>
      <c r="D9" s="30" t="n">
        <f aca="false">$C9+SprintLength-1</f>
        <v>46327</v>
      </c>
      <c r="E9" s="45" t="n">
        <f aca="false">NETWORKDAYS.INTL($C9,$D9,WorkWeek,Holidays)</f>
        <v>10</v>
      </c>
      <c r="F9" s="41" t="s">
        <v>325</v>
      </c>
      <c r="G9" s="45" t="n">
        <f aca="false">IF($B9="","",COUNTIF(tsk_Sprint,$B9))</f>
        <v>1</v>
      </c>
      <c r="H9" s="43" t="n">
        <f aca="false">IF($B9="","",SUMPRODUCT(tsk_WorkPerDay*((((tsk_FinishN+$D9-ABS(tsk_FinishN-$D9))/2-(tsk_StartN+$C9+ABS(tsk_StartN-$C9))/2+1)+ABS((tsk_FinishN+$D9-ABS(tsk_FinishN-$D9))/2-(tsk_StartN+$C9+ABS(tsk_StartN-$C9))/2+1))/2)))</f>
        <v>134.666666666667</v>
      </c>
      <c r="I9" s="43" t="n">
        <f aca="false">IF($B9="","",SUMIFS(res_MaxUnits,res_Type,"Work")*HoursPerDay*$E9)</f>
        <v>480</v>
      </c>
      <c r="J9" s="42" t="n">
        <f aca="false">IF(OR($B9="",N($I9)=0),"",$H9/$I9)</f>
        <v>0.280555555555556</v>
      </c>
      <c r="K9" s="45" t="str">
        <f aca="false">IF($B9="","",IF(StatusDate&gt;$D9,"Closed",IF(StatusDate&gt;=$C9,"Active","Future")))</f>
        <v>Active</v>
      </c>
    </row>
    <row r="10" customFormat="false" ht="15" hidden="false" customHeight="false" outlineLevel="0" collapsed="false">
      <c r="A10" s="45" t="n">
        <v>5</v>
      </c>
      <c r="B10" s="45" t="str">
        <f aca="false">IF($A10&lt;=SprintCount,SprintPrefix&amp;$A10,"")</f>
        <v>Sprint 5</v>
      </c>
      <c r="C10" s="30" t="n">
        <f aca="false">Sprint1Start+($A10-1)*SprintLength</f>
        <v>46328</v>
      </c>
      <c r="D10" s="30" t="n">
        <f aca="false">$C10+SprintLength-1</f>
        <v>46341</v>
      </c>
      <c r="E10" s="45" t="n">
        <f aca="false">NETWORKDAYS.INTL($C10,$D10,WorkWeek,Holidays)</f>
        <v>10</v>
      </c>
      <c r="F10" s="41" t="s">
        <v>326</v>
      </c>
      <c r="G10" s="45" t="n">
        <f aca="false">IF($B10="","",COUNTIF(tsk_Sprint,$B10))</f>
        <v>5</v>
      </c>
      <c r="H10" s="43" t="n">
        <f aca="false">IF($B10="","",SUMPRODUCT(tsk_WorkPerDay*((((tsk_FinishN+$D10-ABS(tsk_FinishN-$D10))/2-(tsk_StartN+$C10+ABS(tsk_StartN-$C10))/2+1)+ABS((tsk_FinishN+$D10-ABS(tsk_FinishN-$D10))/2-(tsk_StartN+$C10+ABS(tsk_StartN-$C10))/2+1))/2)))</f>
        <v>131.161904761905</v>
      </c>
      <c r="I10" s="43" t="n">
        <f aca="false">IF($B10="","",SUMIFS(res_MaxUnits,res_Type,"Work")*HoursPerDay*$E10)</f>
        <v>480</v>
      </c>
      <c r="J10" s="42" t="n">
        <f aca="false">IF(OR($B10="",N($I10)=0),"",$H10/$I10)</f>
        <v>0.273253968253968</v>
      </c>
      <c r="K10" s="45" t="str">
        <f aca="false">IF($B10="","",IF(StatusDate&gt;$D10,"Closed",IF(StatusDate&gt;=$C10,"Active","Future")))</f>
        <v>Future</v>
      </c>
    </row>
    <row r="11" customFormat="false" ht="15" hidden="false" customHeight="false" outlineLevel="0" collapsed="false">
      <c r="A11" s="45" t="n">
        <v>6</v>
      </c>
      <c r="B11" s="45" t="str">
        <f aca="false">IF($A11&lt;=SprintCount,SprintPrefix&amp;$A11,"")</f>
        <v>Sprint 6</v>
      </c>
      <c r="C11" s="30" t="n">
        <f aca="false">Sprint1Start+($A11-1)*SprintLength</f>
        <v>46342</v>
      </c>
      <c r="D11" s="30" t="n">
        <f aca="false">$C11+SprintLength-1</f>
        <v>46355</v>
      </c>
      <c r="E11" s="45" t="n">
        <f aca="false">NETWORKDAYS.INTL($C11,$D11,WorkWeek,Holidays)</f>
        <v>10</v>
      </c>
      <c r="F11" s="41" t="s">
        <v>327</v>
      </c>
      <c r="G11" s="45" t="n">
        <f aca="false">IF($B11="","",COUNTIF(tsk_Sprint,$B11))</f>
        <v>1</v>
      </c>
      <c r="H11" s="43" t="n">
        <f aca="false">IF($B11="","",SUMPRODUCT(tsk_WorkPerDay*((((tsk_FinishN+$D11-ABS(tsk_FinishN-$D11))/2-(tsk_StartN+$C11+ABS(tsk_StartN-$C11))/2+1)+ABS((tsk_FinishN+$D11-ABS(tsk_FinishN-$D11))/2-(tsk_StartN+$C11+ABS(tsk_StartN-$C11))/2+1))/2)))</f>
        <v>42.1714285714286</v>
      </c>
      <c r="I11" s="43" t="n">
        <f aca="false">IF($B11="","",SUMIFS(res_MaxUnits,res_Type,"Work")*HoursPerDay*$E11)</f>
        <v>480</v>
      </c>
      <c r="J11" s="42" t="n">
        <f aca="false">IF(OR($B11="",N($I11)=0),"",$H11/$I11)</f>
        <v>0.0878571428571429</v>
      </c>
      <c r="K11" s="45" t="str">
        <f aca="false">IF($B11="","",IF(StatusDate&gt;$D11,"Closed",IF(StatusDate&gt;=$C11,"Active","Future")))</f>
        <v>Future</v>
      </c>
    </row>
    <row r="12" customFormat="false" ht="15" hidden="false" customHeight="false" outlineLevel="0" collapsed="false">
      <c r="A12" s="45" t="n">
        <v>7</v>
      </c>
      <c r="B12" s="45" t="str">
        <f aca="false">IF($A12&lt;=SprintCount,SprintPrefix&amp;$A12,"")</f>
        <v>Sprint 7</v>
      </c>
      <c r="C12" s="30" t="n">
        <f aca="false">Sprint1Start+($A12-1)*SprintLength</f>
        <v>46356</v>
      </c>
      <c r="D12" s="30" t="n">
        <f aca="false">$C12+SprintLength-1</f>
        <v>46369</v>
      </c>
      <c r="E12" s="45" t="n">
        <f aca="false">NETWORKDAYS.INTL($C12,$D12,WorkWeek,Holidays)</f>
        <v>10</v>
      </c>
      <c r="F12" s="41" t="s">
        <v>328</v>
      </c>
      <c r="G12" s="45" t="n">
        <f aca="false">IF($B12="","",COUNTIF(tsk_Sprint,$B12))</f>
        <v>1</v>
      </c>
      <c r="H12" s="43" t="n">
        <f aca="false">IF($B12="","",SUMPRODUCT(tsk_WorkPerDay*((((tsk_FinishN+$D12-ABS(tsk_FinishN-$D12))/2-(tsk_StartN+$C12+ABS(tsk_StartN-$C12))/2+1)+ABS((tsk_FinishN+$D12-ABS(tsk_FinishN-$D12))/2-(tsk_StartN+$C12+ABS(tsk_StartN-$C12))/2+1))/2)))</f>
        <v>42</v>
      </c>
      <c r="I12" s="43" t="n">
        <f aca="false">IF($B12="","",SUMIFS(res_MaxUnits,res_Type,"Work")*HoursPerDay*$E12)</f>
        <v>480</v>
      </c>
      <c r="J12" s="42" t="n">
        <f aca="false">IF(OR($B12="",N($I12)=0),"",$H12/$I12)</f>
        <v>0.0875</v>
      </c>
      <c r="K12" s="45" t="str">
        <f aca="false">IF($B12="","",IF(StatusDate&gt;$D12,"Closed",IF(StatusDate&gt;=$C12,"Active","Future")))</f>
        <v>Future</v>
      </c>
    </row>
    <row r="13" customFormat="false" ht="15" hidden="false" customHeight="false" outlineLevel="0" collapsed="false">
      <c r="A13" s="45" t="n">
        <v>8</v>
      </c>
      <c r="B13" s="45" t="str">
        <f aca="false">IF($A13&lt;=SprintCount,SprintPrefix&amp;$A13,"")</f>
        <v>Sprint 8</v>
      </c>
      <c r="C13" s="30" t="n">
        <f aca="false">Sprint1Start+($A13-1)*SprintLength</f>
        <v>46370</v>
      </c>
      <c r="D13" s="30" t="n">
        <f aca="false">$C13+SprintLength-1</f>
        <v>46383</v>
      </c>
      <c r="E13" s="45" t="n">
        <f aca="false">NETWORKDAYS.INTL($C13,$D13,WorkWeek,Holidays)</f>
        <v>8</v>
      </c>
      <c r="F13" s="41" t="s">
        <v>329</v>
      </c>
      <c r="G13" s="45" t="n">
        <f aca="false">IF($B13="","",COUNTIF(tsk_Sprint,$B13))</f>
        <v>3</v>
      </c>
      <c r="H13" s="43" t="n">
        <f aca="false">IF($B13="","",SUMPRODUCT(tsk_WorkPerDay*((((tsk_FinishN+$D13-ABS(tsk_FinishN-$D13))/2-(tsk_StartN+$C13+ABS(tsk_StartN-$C13))/2+1)+ABS((tsk_FinishN+$D13-ABS(tsk_FinishN-$D13))/2-(tsk_StartN+$C13+ABS(tsk_StartN-$C13))/2+1))/2)))</f>
        <v>38</v>
      </c>
      <c r="I13" s="43" t="n">
        <f aca="false">IF($B13="","",SUMIFS(res_MaxUnits,res_Type,"Work")*HoursPerDay*$E13)</f>
        <v>384</v>
      </c>
      <c r="J13" s="42" t="n">
        <f aca="false">IF(OR($B13="",N($I13)=0),"",$H13/$I13)</f>
        <v>0.0989583333333333</v>
      </c>
      <c r="K13" s="45" t="str">
        <f aca="false">IF($B13="","",IF(StatusDate&gt;$D13,"Closed",IF(StatusDate&gt;=$C13,"Active","Future")))</f>
        <v>Future</v>
      </c>
    </row>
    <row r="14" customFormat="false" ht="15" hidden="false" customHeight="false" outlineLevel="0" collapsed="false">
      <c r="A14" s="45" t="n">
        <v>9</v>
      </c>
      <c r="B14" s="45" t="str">
        <f aca="false">IF($A14&lt;=SprintCount,SprintPrefix&amp;$A14,"")</f>
        <v>Sprint 9</v>
      </c>
      <c r="C14" s="30" t="n">
        <f aca="false">Sprint1Start+($A14-1)*SprintLength</f>
        <v>46384</v>
      </c>
      <c r="D14" s="30" t="n">
        <f aca="false">$C14+SprintLength-1</f>
        <v>46397</v>
      </c>
      <c r="E14" s="45" t="n">
        <f aca="false">NETWORKDAYS.INTL($C14,$D14,WorkWeek,Holidays)</f>
        <v>8</v>
      </c>
      <c r="F14" s="41" t="s">
        <v>330</v>
      </c>
      <c r="G14" s="45" t="n">
        <f aca="false">IF($B14="","",COUNTIF(tsk_Sprint,$B14))</f>
        <v>2</v>
      </c>
      <c r="H14" s="43" t="n">
        <f aca="false">IF($B14="","",SUMPRODUCT(tsk_WorkPerDay*((((tsk_FinishN+$D14-ABS(tsk_FinishN-$D14))/2-(tsk_StartN+$C14+ABS(tsk_StartN-$C14))/2+1)+ABS((tsk_FinishN+$D14-ABS(tsk_FinishN-$D14))/2-(tsk_StartN+$C14+ABS(tsk_StartN-$C14))/2+1))/2)))</f>
        <v>32</v>
      </c>
      <c r="I14" s="43" t="n">
        <f aca="false">IF($B14="","",SUMIFS(res_MaxUnits,res_Type,"Work")*HoursPerDay*$E14)</f>
        <v>384</v>
      </c>
      <c r="J14" s="42" t="n">
        <f aca="false">IF(OR($B14="",N($I14)=0),"",$H14/$I14)</f>
        <v>0.0833333333333333</v>
      </c>
      <c r="K14" s="45" t="str">
        <f aca="false">IF($B14="","",IF(StatusDate&gt;$D14,"Closed",IF(StatusDate&gt;=$C14,"Active","Future")))</f>
        <v>Future</v>
      </c>
    </row>
    <row r="15" customFormat="false" ht="15" hidden="false" customHeight="false" outlineLevel="0" collapsed="false">
      <c r="A15" s="45" t="n">
        <v>10</v>
      </c>
      <c r="B15" s="45" t="str">
        <f aca="false">IF($A15&lt;=SprintCount,SprintPrefix&amp;$A15,"")</f>
        <v>Sprint 10</v>
      </c>
      <c r="C15" s="30" t="n">
        <f aca="false">Sprint1Start+($A15-1)*SprintLength</f>
        <v>46398</v>
      </c>
      <c r="D15" s="30" t="n">
        <f aca="false">$C15+SprintLength-1</f>
        <v>46411</v>
      </c>
      <c r="E15" s="45" t="n">
        <f aca="false">NETWORKDAYS.INTL($C15,$D15,WorkWeek,Holidays)</f>
        <v>10</v>
      </c>
      <c r="F15" s="41" t="s">
        <v>331</v>
      </c>
      <c r="G15" s="45" t="n">
        <f aca="false">IF($B15="","",COUNTIF(tsk_Sprint,$B15))</f>
        <v>0</v>
      </c>
      <c r="H15" s="43" t="n">
        <f aca="false">IF($B15="","",SUMPRODUCT(tsk_WorkPerDay*((((tsk_FinishN+$D15-ABS(tsk_FinishN-$D15))/2-(tsk_StartN+$C15+ABS(tsk_StartN-$C15))/2+1)+ABS((tsk_FinishN+$D15-ABS(tsk_FinishN-$D15))/2-(tsk_StartN+$C15+ABS(tsk_StartN-$C15))/2+1))/2)))</f>
        <v>0</v>
      </c>
      <c r="I15" s="43" t="n">
        <f aca="false">IF($B15="","",SUMIFS(res_MaxUnits,res_Type,"Work")*HoursPerDay*$E15)</f>
        <v>480</v>
      </c>
      <c r="J15" s="42" t="n">
        <f aca="false">IF(OR($B15="",N($I15)=0),"",$H15/$I15)</f>
        <v>0</v>
      </c>
      <c r="K15" s="45" t="str">
        <f aca="false">IF($B15="","",IF(StatusDate&gt;$D15,"Closed",IF(StatusDate&gt;=$C15,"Active","Future")))</f>
        <v>Future</v>
      </c>
    </row>
    <row r="16" customFormat="false" ht="15" hidden="false" customHeight="false" outlineLevel="0" collapsed="false">
      <c r="A16" s="45" t="n">
        <v>11</v>
      </c>
      <c r="B16" s="45" t="str">
        <f aca="false">IF($A16&lt;=SprintCount,SprintPrefix&amp;$A16,"")</f>
        <v>Sprint 11</v>
      </c>
      <c r="C16" s="30" t="n">
        <f aca="false">Sprint1Start+($A16-1)*SprintLength</f>
        <v>46412</v>
      </c>
      <c r="D16" s="30" t="n">
        <f aca="false">$C16+SprintLength-1</f>
        <v>46425</v>
      </c>
      <c r="E16" s="45" t="n">
        <f aca="false">NETWORKDAYS.INTL($C16,$D16,WorkWeek,Holidays)</f>
        <v>10</v>
      </c>
      <c r="F16" s="41" t="s">
        <v>332</v>
      </c>
      <c r="G16" s="45" t="n">
        <f aca="false">IF($B16="","",COUNTIF(tsk_Sprint,$B16))</f>
        <v>0</v>
      </c>
      <c r="H16" s="43" t="n">
        <f aca="false">IF($B16="","",SUMPRODUCT(tsk_WorkPerDay*((((tsk_FinishN+$D16-ABS(tsk_FinishN-$D16))/2-(tsk_StartN+$C16+ABS(tsk_StartN-$C16))/2+1)+ABS((tsk_FinishN+$D16-ABS(tsk_FinishN-$D16))/2-(tsk_StartN+$C16+ABS(tsk_StartN-$C16))/2+1))/2)))</f>
        <v>0</v>
      </c>
      <c r="I16" s="43" t="n">
        <f aca="false">IF($B16="","",SUMIFS(res_MaxUnits,res_Type,"Work")*HoursPerDay*$E16)</f>
        <v>480</v>
      </c>
      <c r="J16" s="42" t="n">
        <f aca="false">IF(OR($B16="",N($I16)=0),"",$H16/$I16)</f>
        <v>0</v>
      </c>
      <c r="K16" s="45" t="str">
        <f aca="false">IF($B16="","",IF(StatusDate&gt;$D16,"Closed",IF(StatusDate&gt;=$C16,"Active","Future")))</f>
        <v>Future</v>
      </c>
    </row>
    <row r="17" customFormat="false" ht="15" hidden="false" customHeight="false" outlineLevel="0" collapsed="false">
      <c r="A17" s="45" t="n">
        <v>12</v>
      </c>
      <c r="B17" s="45" t="str">
        <f aca="false">IF($A17&lt;=SprintCount,SprintPrefix&amp;$A17,"")</f>
        <v>Sprint 12</v>
      </c>
      <c r="C17" s="30" t="n">
        <f aca="false">Sprint1Start+($A17-1)*SprintLength</f>
        <v>46426</v>
      </c>
      <c r="D17" s="30" t="n">
        <f aca="false">$C17+SprintLength-1</f>
        <v>46439</v>
      </c>
      <c r="E17" s="45" t="n">
        <f aca="false">NETWORKDAYS.INTL($C17,$D17,WorkWeek,Holidays)</f>
        <v>10</v>
      </c>
      <c r="F17" s="41" t="s">
        <v>333</v>
      </c>
      <c r="G17" s="45" t="n">
        <f aca="false">IF($B17="","",COUNTIF(tsk_Sprint,$B17))</f>
        <v>0</v>
      </c>
      <c r="H17" s="43" t="n">
        <f aca="false">IF($B17="","",SUMPRODUCT(tsk_WorkPerDay*((((tsk_FinishN+$D17-ABS(tsk_FinishN-$D17))/2-(tsk_StartN+$C17+ABS(tsk_StartN-$C17))/2+1)+ABS((tsk_FinishN+$D17-ABS(tsk_FinishN-$D17))/2-(tsk_StartN+$C17+ABS(tsk_StartN-$C17))/2+1))/2)))</f>
        <v>0</v>
      </c>
      <c r="I17" s="43" t="n">
        <f aca="false">IF($B17="","",SUMIFS(res_MaxUnits,res_Type,"Work")*HoursPerDay*$E17)</f>
        <v>480</v>
      </c>
      <c r="J17" s="42" t="n">
        <f aca="false">IF(OR($B17="",N($I17)=0),"",$H17/$I17)</f>
        <v>0</v>
      </c>
      <c r="K17" s="45" t="str">
        <f aca="false">IF($B17="","",IF(StatusDate&gt;$D17,"Closed",IF(StatusDate&gt;=$C17,"Active","Future")))</f>
        <v>Future</v>
      </c>
    </row>
    <row r="18" customFormat="false" ht="15" hidden="false" customHeight="false" outlineLevel="0" collapsed="false">
      <c r="A18" s="45" t="n">
        <v>13</v>
      </c>
      <c r="B18" s="45" t="str">
        <f aca="false">IF($A18&lt;=SprintCount,SprintPrefix&amp;$A18,"")</f>
        <v/>
      </c>
      <c r="C18" s="30" t="n">
        <f aca="false">Sprint1Start+($A18-1)*SprintLength</f>
        <v>46440</v>
      </c>
      <c r="D18" s="30" t="n">
        <f aca="false">$C18+SprintLength-1</f>
        <v>46453</v>
      </c>
      <c r="E18" s="45" t="n">
        <f aca="false">NETWORKDAYS.INTL($C18,$D18,WorkWeek,Holidays)</f>
        <v>10</v>
      </c>
      <c r="F18" s="41"/>
      <c r="G18" s="45" t="str">
        <f aca="false">IF($B18="","",COUNTIF(tsk_Sprint,$B18))</f>
        <v/>
      </c>
      <c r="H18" s="43" t="str">
        <f aca="false">IF($B18="","",SUMPRODUCT(tsk_WorkPerDay*((((tsk_FinishN+$D18-ABS(tsk_FinishN-$D18))/2-(tsk_StartN+$C18+ABS(tsk_StartN-$C18))/2+1)+ABS((tsk_FinishN+$D18-ABS(tsk_FinishN-$D18))/2-(tsk_StartN+$C18+ABS(tsk_StartN-$C18))/2+1))/2)))</f>
        <v/>
      </c>
      <c r="I18" s="43" t="str">
        <f aca="false">IF($B18="","",SUMIFS(res_MaxUnits,res_Type,"Work")*HoursPerDay*$E18)</f>
        <v/>
      </c>
      <c r="J18" s="42" t="str">
        <f aca="false">IF(OR($B18="",N($I18)=0),"",$H18/$I18)</f>
        <v/>
      </c>
      <c r="K18" s="45" t="str">
        <f aca="false">IF($B18="","",IF(StatusDate&gt;$D18,"Closed",IF(StatusDate&gt;=$C18,"Active","Future")))</f>
        <v/>
      </c>
    </row>
    <row r="19" customFormat="false" ht="15" hidden="false" customHeight="false" outlineLevel="0" collapsed="false">
      <c r="A19" s="45" t="n">
        <v>14</v>
      </c>
      <c r="B19" s="45" t="str">
        <f aca="false">IF($A19&lt;=SprintCount,SprintPrefix&amp;$A19,"")</f>
        <v/>
      </c>
      <c r="C19" s="30" t="n">
        <f aca="false">Sprint1Start+($A19-1)*SprintLength</f>
        <v>46454</v>
      </c>
      <c r="D19" s="30" t="n">
        <f aca="false">$C19+SprintLength-1</f>
        <v>46467</v>
      </c>
      <c r="E19" s="45" t="n">
        <f aca="false">NETWORKDAYS.INTL($C19,$D19,WorkWeek,Holidays)</f>
        <v>10</v>
      </c>
      <c r="F19" s="41"/>
      <c r="G19" s="45" t="str">
        <f aca="false">IF($B19="","",COUNTIF(tsk_Sprint,$B19))</f>
        <v/>
      </c>
      <c r="H19" s="43" t="str">
        <f aca="false">IF($B19="","",SUMPRODUCT(tsk_WorkPerDay*((((tsk_FinishN+$D19-ABS(tsk_FinishN-$D19))/2-(tsk_StartN+$C19+ABS(tsk_StartN-$C19))/2+1)+ABS((tsk_FinishN+$D19-ABS(tsk_FinishN-$D19))/2-(tsk_StartN+$C19+ABS(tsk_StartN-$C19))/2+1))/2)))</f>
        <v/>
      </c>
      <c r="I19" s="43" t="str">
        <f aca="false">IF($B19="","",SUMIFS(res_MaxUnits,res_Type,"Work")*HoursPerDay*$E19)</f>
        <v/>
      </c>
      <c r="J19" s="42" t="str">
        <f aca="false">IF(OR($B19="",N($I19)=0),"",$H19/$I19)</f>
        <v/>
      </c>
      <c r="K19" s="45" t="str">
        <f aca="false">IF($B19="","",IF(StatusDate&gt;$D19,"Closed",IF(StatusDate&gt;=$C19,"Active","Future")))</f>
        <v/>
      </c>
    </row>
    <row r="20" customFormat="false" ht="15" hidden="false" customHeight="false" outlineLevel="0" collapsed="false">
      <c r="A20" s="45" t="n">
        <v>15</v>
      </c>
      <c r="B20" s="45" t="str">
        <f aca="false">IF($A20&lt;=SprintCount,SprintPrefix&amp;$A20,"")</f>
        <v/>
      </c>
      <c r="C20" s="30" t="n">
        <f aca="false">Sprint1Start+($A20-1)*SprintLength</f>
        <v>46468</v>
      </c>
      <c r="D20" s="30" t="n">
        <f aca="false">$C20+SprintLength-1</f>
        <v>46481</v>
      </c>
      <c r="E20" s="45" t="n">
        <f aca="false">NETWORKDAYS.INTL($C20,$D20,WorkWeek,Holidays)</f>
        <v>10</v>
      </c>
      <c r="F20" s="41"/>
      <c r="G20" s="45" t="str">
        <f aca="false">IF($B20="","",COUNTIF(tsk_Sprint,$B20))</f>
        <v/>
      </c>
      <c r="H20" s="43" t="str">
        <f aca="false">IF($B20="","",SUMPRODUCT(tsk_WorkPerDay*((((tsk_FinishN+$D20-ABS(tsk_FinishN-$D20))/2-(tsk_StartN+$C20+ABS(tsk_StartN-$C20))/2+1)+ABS((tsk_FinishN+$D20-ABS(tsk_FinishN-$D20))/2-(tsk_StartN+$C20+ABS(tsk_StartN-$C20))/2+1))/2)))</f>
        <v/>
      </c>
      <c r="I20" s="43" t="str">
        <f aca="false">IF($B20="","",SUMIFS(res_MaxUnits,res_Type,"Work")*HoursPerDay*$E20)</f>
        <v/>
      </c>
      <c r="J20" s="42" t="str">
        <f aca="false">IF(OR($B20="",N($I20)=0),"",$H20/$I20)</f>
        <v/>
      </c>
      <c r="K20" s="45" t="str">
        <f aca="false">IF($B20="","",IF(StatusDate&gt;$D20,"Closed",IF(StatusDate&gt;=$C20,"Active","Future")))</f>
        <v/>
      </c>
    </row>
    <row r="21" customFormat="false" ht="15" hidden="false" customHeight="false" outlineLevel="0" collapsed="false">
      <c r="A21" s="45" t="n">
        <v>16</v>
      </c>
      <c r="B21" s="45" t="str">
        <f aca="false">IF($A21&lt;=SprintCount,SprintPrefix&amp;$A21,"")</f>
        <v/>
      </c>
      <c r="C21" s="30" t="n">
        <f aca="false">Sprint1Start+($A21-1)*SprintLength</f>
        <v>46482</v>
      </c>
      <c r="D21" s="30" t="n">
        <f aca="false">$C21+SprintLength-1</f>
        <v>46495</v>
      </c>
      <c r="E21" s="45" t="n">
        <f aca="false">NETWORKDAYS.INTL($C21,$D21,WorkWeek,Holidays)</f>
        <v>10</v>
      </c>
      <c r="F21" s="41"/>
      <c r="G21" s="45" t="str">
        <f aca="false">IF($B21="","",COUNTIF(tsk_Sprint,$B21))</f>
        <v/>
      </c>
      <c r="H21" s="43" t="str">
        <f aca="false">IF($B21="","",SUMPRODUCT(tsk_WorkPerDay*((((tsk_FinishN+$D21-ABS(tsk_FinishN-$D21))/2-(tsk_StartN+$C21+ABS(tsk_StartN-$C21))/2+1)+ABS((tsk_FinishN+$D21-ABS(tsk_FinishN-$D21))/2-(tsk_StartN+$C21+ABS(tsk_StartN-$C21))/2+1))/2)))</f>
        <v/>
      </c>
      <c r="I21" s="43" t="str">
        <f aca="false">IF($B21="","",SUMIFS(res_MaxUnits,res_Type,"Work")*HoursPerDay*$E21)</f>
        <v/>
      </c>
      <c r="J21" s="42" t="str">
        <f aca="false">IF(OR($B21="",N($I21)=0),"",$H21/$I21)</f>
        <v/>
      </c>
      <c r="K21" s="45" t="str">
        <f aca="false">IF($B21="","",IF(StatusDate&gt;$D21,"Closed",IF(StatusDate&gt;=$C21,"Active","Future")))</f>
        <v/>
      </c>
    </row>
    <row r="22" customFormat="false" ht="15" hidden="false" customHeight="false" outlineLevel="0" collapsed="false">
      <c r="A22" s="45" t="n">
        <v>17</v>
      </c>
      <c r="B22" s="45" t="str">
        <f aca="false">IF($A22&lt;=SprintCount,SprintPrefix&amp;$A22,"")</f>
        <v/>
      </c>
      <c r="C22" s="30" t="n">
        <f aca="false">Sprint1Start+($A22-1)*SprintLength</f>
        <v>46496</v>
      </c>
      <c r="D22" s="30" t="n">
        <f aca="false">$C22+SprintLength-1</f>
        <v>46509</v>
      </c>
      <c r="E22" s="45" t="n">
        <f aca="false">NETWORKDAYS.INTL($C22,$D22,WorkWeek,Holidays)</f>
        <v>10</v>
      </c>
      <c r="F22" s="41"/>
      <c r="G22" s="45" t="str">
        <f aca="false">IF($B22="","",COUNTIF(tsk_Sprint,$B22))</f>
        <v/>
      </c>
      <c r="H22" s="43" t="str">
        <f aca="false">IF($B22="","",SUMPRODUCT(tsk_WorkPerDay*((((tsk_FinishN+$D22-ABS(tsk_FinishN-$D22))/2-(tsk_StartN+$C22+ABS(tsk_StartN-$C22))/2+1)+ABS((tsk_FinishN+$D22-ABS(tsk_FinishN-$D22))/2-(tsk_StartN+$C22+ABS(tsk_StartN-$C22))/2+1))/2)))</f>
        <v/>
      </c>
      <c r="I22" s="43" t="str">
        <f aca="false">IF($B22="","",SUMIFS(res_MaxUnits,res_Type,"Work")*HoursPerDay*$E22)</f>
        <v/>
      </c>
      <c r="J22" s="42" t="str">
        <f aca="false">IF(OR($B22="",N($I22)=0),"",$H22/$I22)</f>
        <v/>
      </c>
      <c r="K22" s="45" t="str">
        <f aca="false">IF($B22="","",IF(StatusDate&gt;$D22,"Closed",IF(StatusDate&gt;=$C22,"Active","Future")))</f>
        <v/>
      </c>
    </row>
    <row r="23" customFormat="false" ht="15" hidden="false" customHeight="false" outlineLevel="0" collapsed="false">
      <c r="A23" s="45" t="n">
        <v>18</v>
      </c>
      <c r="B23" s="45" t="str">
        <f aca="false">IF($A23&lt;=SprintCount,SprintPrefix&amp;$A23,"")</f>
        <v/>
      </c>
      <c r="C23" s="30" t="n">
        <f aca="false">Sprint1Start+($A23-1)*SprintLength</f>
        <v>46510</v>
      </c>
      <c r="D23" s="30" t="n">
        <f aca="false">$C23+SprintLength-1</f>
        <v>46523</v>
      </c>
      <c r="E23" s="45" t="n">
        <f aca="false">NETWORKDAYS.INTL($C23,$D23,WorkWeek,Holidays)</f>
        <v>10</v>
      </c>
      <c r="F23" s="41"/>
      <c r="G23" s="45" t="str">
        <f aca="false">IF($B23="","",COUNTIF(tsk_Sprint,$B23))</f>
        <v/>
      </c>
      <c r="H23" s="43" t="str">
        <f aca="false">IF($B23="","",SUMPRODUCT(tsk_WorkPerDay*((((tsk_FinishN+$D23-ABS(tsk_FinishN-$D23))/2-(tsk_StartN+$C23+ABS(tsk_StartN-$C23))/2+1)+ABS((tsk_FinishN+$D23-ABS(tsk_FinishN-$D23))/2-(tsk_StartN+$C23+ABS(tsk_StartN-$C23))/2+1))/2)))</f>
        <v/>
      </c>
      <c r="I23" s="43" t="str">
        <f aca="false">IF($B23="","",SUMIFS(res_MaxUnits,res_Type,"Work")*HoursPerDay*$E23)</f>
        <v/>
      </c>
      <c r="J23" s="42" t="str">
        <f aca="false">IF(OR($B23="",N($I23)=0),"",$H23/$I23)</f>
        <v/>
      </c>
      <c r="K23" s="45" t="str">
        <f aca="false">IF($B23="","",IF(StatusDate&gt;$D23,"Closed",IF(StatusDate&gt;=$C23,"Active","Future")))</f>
        <v/>
      </c>
    </row>
    <row r="24" customFormat="false" ht="15" hidden="false" customHeight="false" outlineLevel="0" collapsed="false">
      <c r="A24" s="45" t="n">
        <v>19</v>
      </c>
      <c r="B24" s="45" t="str">
        <f aca="false">IF($A24&lt;=SprintCount,SprintPrefix&amp;$A24,"")</f>
        <v/>
      </c>
      <c r="C24" s="30" t="n">
        <f aca="false">Sprint1Start+($A24-1)*SprintLength</f>
        <v>46524</v>
      </c>
      <c r="D24" s="30" t="n">
        <f aca="false">$C24+SprintLength-1</f>
        <v>46537</v>
      </c>
      <c r="E24" s="45" t="n">
        <f aca="false">NETWORKDAYS.INTL($C24,$D24,WorkWeek,Holidays)</f>
        <v>10</v>
      </c>
      <c r="F24" s="41"/>
      <c r="G24" s="45" t="str">
        <f aca="false">IF($B24="","",COUNTIF(tsk_Sprint,$B24))</f>
        <v/>
      </c>
      <c r="H24" s="43" t="str">
        <f aca="false">IF($B24="","",SUMPRODUCT(tsk_WorkPerDay*((((tsk_FinishN+$D24-ABS(tsk_FinishN-$D24))/2-(tsk_StartN+$C24+ABS(tsk_StartN-$C24))/2+1)+ABS((tsk_FinishN+$D24-ABS(tsk_FinishN-$D24))/2-(tsk_StartN+$C24+ABS(tsk_StartN-$C24))/2+1))/2)))</f>
        <v/>
      </c>
      <c r="I24" s="43" t="str">
        <f aca="false">IF($B24="","",SUMIFS(res_MaxUnits,res_Type,"Work")*HoursPerDay*$E24)</f>
        <v/>
      </c>
      <c r="J24" s="42" t="str">
        <f aca="false">IF(OR($B24="",N($I24)=0),"",$H24/$I24)</f>
        <v/>
      </c>
      <c r="K24" s="45" t="str">
        <f aca="false">IF($B24="","",IF(StatusDate&gt;$D24,"Closed",IF(StatusDate&gt;=$C24,"Active","Future")))</f>
        <v/>
      </c>
    </row>
    <row r="25" customFormat="false" ht="15" hidden="false" customHeight="false" outlineLevel="0" collapsed="false">
      <c r="A25" s="45" t="n">
        <v>20</v>
      </c>
      <c r="B25" s="45" t="str">
        <f aca="false">IF($A25&lt;=SprintCount,SprintPrefix&amp;$A25,"")</f>
        <v/>
      </c>
      <c r="C25" s="30" t="n">
        <f aca="false">Sprint1Start+($A25-1)*SprintLength</f>
        <v>46538</v>
      </c>
      <c r="D25" s="30" t="n">
        <f aca="false">$C25+SprintLength-1</f>
        <v>46551</v>
      </c>
      <c r="E25" s="45" t="n">
        <f aca="false">NETWORKDAYS.INTL($C25,$D25,WorkWeek,Holidays)</f>
        <v>10</v>
      </c>
      <c r="F25" s="41"/>
      <c r="G25" s="45" t="str">
        <f aca="false">IF($B25="","",COUNTIF(tsk_Sprint,$B25))</f>
        <v/>
      </c>
      <c r="H25" s="43" t="str">
        <f aca="false">IF($B25="","",SUMPRODUCT(tsk_WorkPerDay*((((tsk_FinishN+$D25-ABS(tsk_FinishN-$D25))/2-(tsk_StartN+$C25+ABS(tsk_StartN-$C25))/2+1)+ABS((tsk_FinishN+$D25-ABS(tsk_FinishN-$D25))/2-(tsk_StartN+$C25+ABS(tsk_StartN-$C25))/2+1))/2)))</f>
        <v/>
      </c>
      <c r="I25" s="43" t="str">
        <f aca="false">IF($B25="","",SUMIFS(res_MaxUnits,res_Type,"Work")*HoursPerDay*$E25)</f>
        <v/>
      </c>
      <c r="J25" s="42" t="str">
        <f aca="false">IF(OR($B25="",N($I25)=0),"",$H25/$I25)</f>
        <v/>
      </c>
      <c r="K25" s="45" t="str">
        <f aca="false">IF($B25="","",IF(StatusDate&gt;$D25,"Closed",IF(StatusDate&gt;=$C25,"Active","Future")))</f>
        <v/>
      </c>
    </row>
    <row r="26" customFormat="false" ht="15" hidden="false" customHeight="false" outlineLevel="0" collapsed="false">
      <c r="A26" s="45" t="n">
        <v>21</v>
      </c>
      <c r="B26" s="45" t="str">
        <f aca="false">IF($A26&lt;=SprintCount,SprintPrefix&amp;$A26,"")</f>
        <v/>
      </c>
      <c r="C26" s="30" t="n">
        <f aca="false">Sprint1Start+($A26-1)*SprintLength</f>
        <v>46552</v>
      </c>
      <c r="D26" s="30" t="n">
        <f aca="false">$C26+SprintLength-1</f>
        <v>46565</v>
      </c>
      <c r="E26" s="45" t="n">
        <f aca="false">NETWORKDAYS.INTL($C26,$D26,WorkWeek,Holidays)</f>
        <v>10</v>
      </c>
      <c r="F26" s="41"/>
      <c r="G26" s="45" t="str">
        <f aca="false">IF($B26="","",COUNTIF(tsk_Sprint,$B26))</f>
        <v/>
      </c>
      <c r="H26" s="43" t="str">
        <f aca="false">IF($B26="","",SUMPRODUCT(tsk_WorkPerDay*((((tsk_FinishN+$D26-ABS(tsk_FinishN-$D26))/2-(tsk_StartN+$C26+ABS(tsk_StartN-$C26))/2+1)+ABS((tsk_FinishN+$D26-ABS(tsk_FinishN-$D26))/2-(tsk_StartN+$C26+ABS(tsk_StartN-$C26))/2+1))/2)))</f>
        <v/>
      </c>
      <c r="I26" s="43" t="str">
        <f aca="false">IF($B26="","",SUMIFS(res_MaxUnits,res_Type,"Work")*HoursPerDay*$E26)</f>
        <v/>
      </c>
      <c r="J26" s="42" t="str">
        <f aca="false">IF(OR($B26="",N($I26)=0),"",$H26/$I26)</f>
        <v/>
      </c>
      <c r="K26" s="45" t="str">
        <f aca="false">IF($B26="","",IF(StatusDate&gt;$D26,"Closed",IF(StatusDate&gt;=$C26,"Active","Future")))</f>
        <v/>
      </c>
    </row>
    <row r="27" customFormat="false" ht="15" hidden="false" customHeight="false" outlineLevel="0" collapsed="false">
      <c r="A27" s="45" t="n">
        <v>22</v>
      </c>
      <c r="B27" s="45" t="str">
        <f aca="false">IF($A27&lt;=SprintCount,SprintPrefix&amp;$A27,"")</f>
        <v/>
      </c>
      <c r="C27" s="30" t="n">
        <f aca="false">Sprint1Start+($A27-1)*SprintLength</f>
        <v>46566</v>
      </c>
      <c r="D27" s="30" t="n">
        <f aca="false">$C27+SprintLength-1</f>
        <v>46579</v>
      </c>
      <c r="E27" s="45" t="n">
        <f aca="false">NETWORKDAYS.INTL($C27,$D27,WorkWeek,Holidays)</f>
        <v>10</v>
      </c>
      <c r="F27" s="41"/>
      <c r="G27" s="45" t="str">
        <f aca="false">IF($B27="","",COUNTIF(tsk_Sprint,$B27))</f>
        <v/>
      </c>
      <c r="H27" s="43" t="str">
        <f aca="false">IF($B27="","",SUMPRODUCT(tsk_WorkPerDay*((((tsk_FinishN+$D27-ABS(tsk_FinishN-$D27))/2-(tsk_StartN+$C27+ABS(tsk_StartN-$C27))/2+1)+ABS((tsk_FinishN+$D27-ABS(tsk_FinishN-$D27))/2-(tsk_StartN+$C27+ABS(tsk_StartN-$C27))/2+1))/2)))</f>
        <v/>
      </c>
      <c r="I27" s="43" t="str">
        <f aca="false">IF($B27="","",SUMIFS(res_MaxUnits,res_Type,"Work")*HoursPerDay*$E27)</f>
        <v/>
      </c>
      <c r="J27" s="42" t="str">
        <f aca="false">IF(OR($B27="",N($I27)=0),"",$H27/$I27)</f>
        <v/>
      </c>
      <c r="K27" s="45" t="str">
        <f aca="false">IF($B27="","",IF(StatusDate&gt;$D27,"Closed",IF(StatusDate&gt;=$C27,"Active","Future")))</f>
        <v/>
      </c>
    </row>
    <row r="28" customFormat="false" ht="15" hidden="false" customHeight="false" outlineLevel="0" collapsed="false">
      <c r="A28" s="45" t="n">
        <v>23</v>
      </c>
      <c r="B28" s="45" t="str">
        <f aca="false">IF($A28&lt;=SprintCount,SprintPrefix&amp;$A28,"")</f>
        <v/>
      </c>
      <c r="C28" s="30" t="n">
        <f aca="false">Sprint1Start+($A28-1)*SprintLength</f>
        <v>46580</v>
      </c>
      <c r="D28" s="30" t="n">
        <f aca="false">$C28+SprintLength-1</f>
        <v>46593</v>
      </c>
      <c r="E28" s="45" t="n">
        <f aca="false">NETWORKDAYS.INTL($C28,$D28,WorkWeek,Holidays)</f>
        <v>10</v>
      </c>
      <c r="F28" s="41"/>
      <c r="G28" s="45" t="str">
        <f aca="false">IF($B28="","",COUNTIF(tsk_Sprint,$B28))</f>
        <v/>
      </c>
      <c r="H28" s="43" t="str">
        <f aca="false">IF($B28="","",SUMPRODUCT(tsk_WorkPerDay*((((tsk_FinishN+$D28-ABS(tsk_FinishN-$D28))/2-(tsk_StartN+$C28+ABS(tsk_StartN-$C28))/2+1)+ABS((tsk_FinishN+$D28-ABS(tsk_FinishN-$D28))/2-(tsk_StartN+$C28+ABS(tsk_StartN-$C28))/2+1))/2)))</f>
        <v/>
      </c>
      <c r="I28" s="43" t="str">
        <f aca="false">IF($B28="","",SUMIFS(res_MaxUnits,res_Type,"Work")*HoursPerDay*$E28)</f>
        <v/>
      </c>
      <c r="J28" s="42" t="str">
        <f aca="false">IF(OR($B28="",N($I28)=0),"",$H28/$I28)</f>
        <v/>
      </c>
      <c r="K28" s="45" t="str">
        <f aca="false">IF($B28="","",IF(StatusDate&gt;$D28,"Closed",IF(StatusDate&gt;=$C28,"Active","Future")))</f>
        <v/>
      </c>
    </row>
    <row r="29" customFormat="false" ht="15" hidden="false" customHeight="false" outlineLevel="0" collapsed="false">
      <c r="A29" s="45" t="n">
        <v>24</v>
      </c>
      <c r="B29" s="45" t="str">
        <f aca="false">IF($A29&lt;=SprintCount,SprintPrefix&amp;$A29,"")</f>
        <v/>
      </c>
      <c r="C29" s="30" t="n">
        <f aca="false">Sprint1Start+($A29-1)*SprintLength</f>
        <v>46594</v>
      </c>
      <c r="D29" s="30" t="n">
        <f aca="false">$C29+SprintLength-1</f>
        <v>46607</v>
      </c>
      <c r="E29" s="45" t="n">
        <f aca="false">NETWORKDAYS.INTL($C29,$D29,WorkWeek,Holidays)</f>
        <v>10</v>
      </c>
      <c r="F29" s="41"/>
      <c r="G29" s="45" t="str">
        <f aca="false">IF($B29="","",COUNTIF(tsk_Sprint,$B29))</f>
        <v/>
      </c>
      <c r="H29" s="43" t="str">
        <f aca="false">IF($B29="","",SUMPRODUCT(tsk_WorkPerDay*((((tsk_FinishN+$D29-ABS(tsk_FinishN-$D29))/2-(tsk_StartN+$C29+ABS(tsk_StartN-$C29))/2+1)+ABS((tsk_FinishN+$D29-ABS(tsk_FinishN-$D29))/2-(tsk_StartN+$C29+ABS(tsk_StartN-$C29))/2+1))/2)))</f>
        <v/>
      </c>
      <c r="I29" s="43" t="str">
        <f aca="false">IF($B29="","",SUMIFS(res_MaxUnits,res_Type,"Work")*HoursPerDay*$E29)</f>
        <v/>
      </c>
      <c r="J29" s="42" t="str">
        <f aca="false">IF(OR($B29="",N($I29)=0),"",$H29/$I29)</f>
        <v/>
      </c>
      <c r="K29" s="45" t="str">
        <f aca="false">IF($B29="","",IF(StatusDate&gt;$D29,"Closed",IF(StatusDate&gt;=$C29,"Active","Future")))</f>
        <v/>
      </c>
    </row>
    <row r="30" customFormat="false" ht="15" hidden="false" customHeight="false" outlineLevel="0" collapsed="false">
      <c r="A30" s="45" t="n">
        <v>25</v>
      </c>
      <c r="B30" s="45" t="str">
        <f aca="false">IF($A30&lt;=SprintCount,SprintPrefix&amp;$A30,"")</f>
        <v/>
      </c>
      <c r="C30" s="30" t="n">
        <f aca="false">Sprint1Start+($A30-1)*SprintLength</f>
        <v>46608</v>
      </c>
      <c r="D30" s="30" t="n">
        <f aca="false">$C30+SprintLength-1</f>
        <v>46621</v>
      </c>
      <c r="E30" s="45" t="n">
        <f aca="false">NETWORKDAYS.INTL($C30,$D30,WorkWeek,Holidays)</f>
        <v>10</v>
      </c>
      <c r="F30" s="41"/>
      <c r="G30" s="45" t="str">
        <f aca="false">IF($B30="","",COUNTIF(tsk_Sprint,$B30))</f>
        <v/>
      </c>
      <c r="H30" s="43" t="str">
        <f aca="false">IF($B30="","",SUMPRODUCT(tsk_WorkPerDay*((((tsk_FinishN+$D30-ABS(tsk_FinishN-$D30))/2-(tsk_StartN+$C30+ABS(tsk_StartN-$C30))/2+1)+ABS((tsk_FinishN+$D30-ABS(tsk_FinishN-$D30))/2-(tsk_StartN+$C30+ABS(tsk_StartN-$C30))/2+1))/2)))</f>
        <v/>
      </c>
      <c r="I30" s="43" t="str">
        <f aca="false">IF($B30="","",SUMIFS(res_MaxUnits,res_Type,"Work")*HoursPerDay*$E30)</f>
        <v/>
      </c>
      <c r="J30" s="42" t="str">
        <f aca="false">IF(OR($B30="",N($I30)=0),"",$H30/$I30)</f>
        <v/>
      </c>
      <c r="K30" s="45" t="str">
        <f aca="false">IF($B30="","",IF(StatusDate&gt;$D30,"Closed",IF(StatusDate&gt;=$C30,"Active","Future")))</f>
        <v/>
      </c>
    </row>
    <row r="31" customFormat="false" ht="15" hidden="false" customHeight="false" outlineLevel="0" collapsed="false">
      <c r="A31" s="45" t="n">
        <v>26</v>
      </c>
      <c r="B31" s="45" t="str">
        <f aca="false">IF($A31&lt;=SprintCount,SprintPrefix&amp;$A31,"")</f>
        <v/>
      </c>
      <c r="C31" s="30" t="n">
        <f aca="false">Sprint1Start+($A31-1)*SprintLength</f>
        <v>46622</v>
      </c>
      <c r="D31" s="30" t="n">
        <f aca="false">$C31+SprintLength-1</f>
        <v>46635</v>
      </c>
      <c r="E31" s="45" t="n">
        <f aca="false">NETWORKDAYS.INTL($C31,$D31,WorkWeek,Holidays)</f>
        <v>10</v>
      </c>
      <c r="F31" s="41"/>
      <c r="G31" s="45" t="str">
        <f aca="false">IF($B31="","",COUNTIF(tsk_Sprint,$B31))</f>
        <v/>
      </c>
      <c r="H31" s="43" t="str">
        <f aca="false">IF($B31="","",SUMPRODUCT(tsk_WorkPerDay*((((tsk_FinishN+$D31-ABS(tsk_FinishN-$D31))/2-(tsk_StartN+$C31+ABS(tsk_StartN-$C31))/2+1)+ABS((tsk_FinishN+$D31-ABS(tsk_FinishN-$D31))/2-(tsk_StartN+$C31+ABS(tsk_StartN-$C31))/2+1))/2)))</f>
        <v/>
      </c>
      <c r="I31" s="43" t="str">
        <f aca="false">IF($B31="","",SUMIFS(res_MaxUnits,res_Type,"Work")*HoursPerDay*$E31)</f>
        <v/>
      </c>
      <c r="J31" s="42" t="str">
        <f aca="false">IF(OR($B31="",N($I31)=0),"",$H31/$I31)</f>
        <v/>
      </c>
      <c r="K31" s="45" t="str">
        <f aca="false">IF($B31="","",IF(StatusDate&gt;$D31,"Closed",IF(StatusDate&gt;=$C31,"Active","Future")))</f>
        <v/>
      </c>
    </row>
    <row r="34" customFormat="false" ht="15" hidden="false" customHeight="false" outlineLevel="0" collapsed="false">
      <c r="A34" s="72" t="s">
        <v>334</v>
      </c>
    </row>
    <row r="35" customFormat="false" ht="15" hidden="false" customHeight="false" outlineLevel="0" collapsed="false">
      <c r="B35" s="9" t="s">
        <v>180</v>
      </c>
      <c r="C35" s="9" t="s">
        <v>284</v>
      </c>
      <c r="D35" s="9" t="str">
        <f aca="false">INDEX(spr_Name,1)</f>
        <v>Sprint 1</v>
      </c>
      <c r="E35" s="9" t="str">
        <f aca="false">INDEX(spr_Name,2)</f>
        <v>Sprint 2</v>
      </c>
      <c r="F35" s="9" t="str">
        <f aca="false">INDEX(spr_Name,3)</f>
        <v>Sprint 3</v>
      </c>
      <c r="G35" s="9" t="str">
        <f aca="false">INDEX(spr_Name,4)</f>
        <v>Sprint 4</v>
      </c>
      <c r="H35" s="9" t="str">
        <f aca="false">INDEX(spr_Name,5)</f>
        <v>Sprint 5</v>
      </c>
      <c r="I35" s="9" t="str">
        <f aca="false">INDEX(spr_Name,6)</f>
        <v>Sprint 6</v>
      </c>
      <c r="J35" s="9" t="str">
        <f aca="false">INDEX(spr_Name,7)</f>
        <v>Sprint 7</v>
      </c>
      <c r="K35" s="9" t="str">
        <f aca="false">INDEX(spr_Name,8)</f>
        <v>Sprint 8</v>
      </c>
      <c r="L35" s="9" t="str">
        <f aca="false">INDEX(spr_Name,9)</f>
        <v>Sprint 9</v>
      </c>
      <c r="M35" s="9" t="str">
        <f aca="false">INDEX(spr_Name,10)</f>
        <v>Sprint 10</v>
      </c>
      <c r="N35" s="9" t="str">
        <f aca="false">INDEX(spr_Name,11)</f>
        <v>Sprint 11</v>
      </c>
      <c r="O35" s="9" t="str">
        <f aca="false">INDEX(spr_Name,12)</f>
        <v>Sprint 12</v>
      </c>
      <c r="P35" s="9" t="str">
        <f aca="false">INDEX(spr_Name,13)</f>
        <v/>
      </c>
      <c r="Q35" s="9" t="str">
        <f aca="false">INDEX(spr_Name,14)</f>
        <v/>
      </c>
      <c r="R35" s="9" t="str">
        <f aca="false">INDEX(spr_Name,15)</f>
        <v/>
      </c>
      <c r="S35" s="9" t="str">
        <f aca="false">INDEX(spr_Name,16)</f>
        <v/>
      </c>
      <c r="T35" s="9" t="str">
        <f aca="false">INDEX(spr_Name,17)</f>
        <v/>
      </c>
      <c r="U35" s="9" t="str">
        <f aca="false">INDEX(spr_Name,18)</f>
        <v/>
      </c>
      <c r="V35" s="9" t="str">
        <f aca="false">INDEX(spr_Name,19)</f>
        <v/>
      </c>
      <c r="W35" s="9" t="str">
        <f aca="false">INDEX(spr_Name,20)</f>
        <v/>
      </c>
      <c r="X35" s="9" t="str">
        <f aca="false">INDEX(spr_Name,21)</f>
        <v/>
      </c>
      <c r="Y35" s="9" t="str">
        <f aca="false">INDEX(spr_Name,22)</f>
        <v/>
      </c>
      <c r="Z35" s="9" t="str">
        <f aca="false">INDEX(spr_Name,23)</f>
        <v/>
      </c>
      <c r="AA35" s="9" t="str">
        <f aca="false">INDEX(spr_Name,24)</f>
        <v/>
      </c>
      <c r="AB35" s="9" t="str">
        <f aca="false">INDEX(spr_Name,25)</f>
        <v/>
      </c>
      <c r="AC35" s="9" t="str">
        <f aca="false">INDEX(spr_Name,26)</f>
        <v/>
      </c>
    </row>
    <row r="36" customFormat="false" ht="15" hidden="false" customHeight="false" outlineLevel="0" collapsed="false">
      <c r="B36" s="73" t="s">
        <v>335</v>
      </c>
      <c r="D36" s="74" t="n">
        <f aca="false">INDEX(spr_Start,1)</f>
        <v>46272</v>
      </c>
      <c r="E36" s="74" t="n">
        <f aca="false">INDEX(spr_Start,2)</f>
        <v>46286</v>
      </c>
      <c r="F36" s="74" t="n">
        <f aca="false">INDEX(spr_Start,3)</f>
        <v>46300</v>
      </c>
      <c r="G36" s="74" t="n">
        <f aca="false">INDEX(spr_Start,4)</f>
        <v>46314</v>
      </c>
      <c r="H36" s="74" t="n">
        <f aca="false">INDEX(spr_Start,5)</f>
        <v>46328</v>
      </c>
      <c r="I36" s="74" t="n">
        <f aca="false">INDEX(spr_Start,6)</f>
        <v>46342</v>
      </c>
      <c r="J36" s="74" t="n">
        <f aca="false">INDEX(spr_Start,7)</f>
        <v>46356</v>
      </c>
      <c r="K36" s="74" t="n">
        <f aca="false">INDEX(spr_Start,8)</f>
        <v>46370</v>
      </c>
      <c r="L36" s="74" t="n">
        <f aca="false">INDEX(spr_Start,9)</f>
        <v>46384</v>
      </c>
      <c r="M36" s="74" t="n">
        <f aca="false">INDEX(spr_Start,10)</f>
        <v>46398</v>
      </c>
      <c r="N36" s="74" t="n">
        <f aca="false">INDEX(spr_Start,11)</f>
        <v>46412</v>
      </c>
      <c r="O36" s="74" t="n">
        <f aca="false">INDEX(spr_Start,12)</f>
        <v>46426</v>
      </c>
      <c r="P36" s="74" t="n">
        <f aca="false">INDEX(spr_Start,13)</f>
        <v>46440</v>
      </c>
      <c r="Q36" s="74" t="n">
        <f aca="false">INDEX(spr_Start,14)</f>
        <v>46454</v>
      </c>
      <c r="R36" s="74" t="n">
        <f aca="false">INDEX(spr_Start,15)</f>
        <v>46468</v>
      </c>
      <c r="S36" s="74" t="n">
        <f aca="false">INDEX(spr_Start,16)</f>
        <v>46482</v>
      </c>
      <c r="T36" s="74" t="n">
        <f aca="false">INDEX(spr_Start,17)</f>
        <v>46496</v>
      </c>
      <c r="U36" s="74" t="n">
        <f aca="false">INDEX(spr_Start,18)</f>
        <v>46510</v>
      </c>
      <c r="V36" s="74" t="n">
        <f aca="false">INDEX(spr_Start,19)</f>
        <v>46524</v>
      </c>
      <c r="W36" s="74" t="n">
        <f aca="false">INDEX(spr_Start,20)</f>
        <v>46538</v>
      </c>
      <c r="X36" s="74" t="n">
        <f aca="false">INDEX(spr_Start,21)</f>
        <v>46552</v>
      </c>
      <c r="Y36" s="74" t="n">
        <f aca="false">INDEX(spr_Start,22)</f>
        <v>46566</v>
      </c>
      <c r="Z36" s="74" t="n">
        <f aca="false">INDEX(spr_Start,23)</f>
        <v>46580</v>
      </c>
      <c r="AA36" s="74" t="n">
        <f aca="false">INDEX(spr_Start,24)</f>
        <v>46594</v>
      </c>
      <c r="AB36" s="74" t="n">
        <f aca="false">INDEX(spr_Start,25)</f>
        <v>46608</v>
      </c>
      <c r="AC36" s="74" t="n">
        <f aca="false">INDEX(spr_Start,26)</f>
        <v>46622</v>
      </c>
    </row>
    <row r="37" customFormat="false" ht="15" hidden="false" customHeight="false" outlineLevel="0" collapsed="false">
      <c r="B37" s="73" t="s">
        <v>336</v>
      </c>
      <c r="D37" s="74" t="n">
        <f aca="false">INDEX(spr_End,1)</f>
        <v>46285</v>
      </c>
      <c r="E37" s="74" t="n">
        <f aca="false">INDEX(spr_End,2)</f>
        <v>46299</v>
      </c>
      <c r="F37" s="74" t="n">
        <f aca="false">INDEX(spr_End,3)</f>
        <v>46313</v>
      </c>
      <c r="G37" s="74" t="n">
        <f aca="false">INDEX(spr_End,4)</f>
        <v>46327</v>
      </c>
      <c r="H37" s="74" t="n">
        <f aca="false">INDEX(spr_End,5)</f>
        <v>46341</v>
      </c>
      <c r="I37" s="74" t="n">
        <f aca="false">INDEX(spr_End,6)</f>
        <v>46355</v>
      </c>
      <c r="J37" s="74" t="n">
        <f aca="false">INDEX(spr_End,7)</f>
        <v>46369</v>
      </c>
      <c r="K37" s="74" t="n">
        <f aca="false">INDEX(spr_End,8)</f>
        <v>46383</v>
      </c>
      <c r="L37" s="74" t="n">
        <f aca="false">INDEX(spr_End,9)</f>
        <v>46397</v>
      </c>
      <c r="M37" s="74" t="n">
        <f aca="false">INDEX(spr_End,10)</f>
        <v>46411</v>
      </c>
      <c r="N37" s="74" t="n">
        <f aca="false">INDEX(spr_End,11)</f>
        <v>46425</v>
      </c>
      <c r="O37" s="74" t="n">
        <f aca="false">INDEX(spr_End,12)</f>
        <v>46439</v>
      </c>
      <c r="P37" s="74" t="n">
        <f aca="false">INDEX(spr_End,13)</f>
        <v>46453</v>
      </c>
      <c r="Q37" s="74" t="n">
        <f aca="false">INDEX(spr_End,14)</f>
        <v>46467</v>
      </c>
      <c r="R37" s="74" t="n">
        <f aca="false">INDEX(spr_End,15)</f>
        <v>46481</v>
      </c>
      <c r="S37" s="74" t="n">
        <f aca="false">INDEX(spr_End,16)</f>
        <v>46495</v>
      </c>
      <c r="T37" s="74" t="n">
        <f aca="false">INDEX(spr_End,17)</f>
        <v>46509</v>
      </c>
      <c r="U37" s="74" t="n">
        <f aca="false">INDEX(spr_End,18)</f>
        <v>46523</v>
      </c>
      <c r="V37" s="74" t="n">
        <f aca="false">INDEX(spr_End,19)</f>
        <v>46537</v>
      </c>
      <c r="W37" s="74" t="n">
        <f aca="false">INDEX(spr_End,20)</f>
        <v>46551</v>
      </c>
      <c r="X37" s="74" t="n">
        <f aca="false">INDEX(spr_End,21)</f>
        <v>46565</v>
      </c>
      <c r="Y37" s="74" t="n">
        <f aca="false">INDEX(spr_End,22)</f>
        <v>46579</v>
      </c>
      <c r="Z37" s="74" t="n">
        <f aca="false">INDEX(spr_End,23)</f>
        <v>46593</v>
      </c>
      <c r="AA37" s="74" t="n">
        <f aca="false">INDEX(spr_End,24)</f>
        <v>46607</v>
      </c>
      <c r="AB37" s="74" t="n">
        <f aca="false">INDEX(spr_End,25)</f>
        <v>46621</v>
      </c>
      <c r="AC37" s="74" t="n">
        <f aca="false">INDEX(spr_End,26)</f>
        <v>46635</v>
      </c>
    </row>
    <row r="38" customFormat="false" ht="15" hidden="false" customHeight="false" outlineLevel="0" collapsed="false">
      <c r="B38" s="75" t="str">
        <f aca="false">IF(INDEX(res_Name,1)="","",INDEX(res_Name,1))</f>
        <v>Priya Sharma</v>
      </c>
      <c r="C38" s="76" t="n">
        <f aca="false">IF($B38="","",INDEX(res_MaxUnits,1))</f>
        <v>0.5</v>
      </c>
      <c r="D38" s="77" t="n">
        <f aca="false">IF(OR($B38="",D$35=""),"",SUMPRODUCT((tsk_Resource=$B38)*tsk_WorkPerDay*((((tsk_FinishN+D$37-ABS(tsk_FinishN-D$37))/2-(tsk_StartN+D$36+ABS(tsk_StartN-D$36))/2+1)+ABS((tsk_FinishN+D$37-ABS(tsk_FinishN-D$37))/2-(tsk_StartN+D$36+ABS(tsk_StartN-D$36))/2+1))/2)))</f>
        <v>24</v>
      </c>
      <c r="E38" s="77" t="n">
        <f aca="false">IF(OR($B38="",E$35=""),"",SUMPRODUCT((tsk_Resource=$B38)*tsk_WorkPerDay*((((tsk_FinishN+E$37-ABS(tsk_FinishN-E$37))/2-(tsk_StartN+E$36+ABS(tsk_StartN-E$36))/2+1)+ABS((tsk_FinishN+E$37-ABS(tsk_FinishN-E$37))/2-(tsk_StartN+E$36+ABS(tsk_StartN-E$36))/2+1))/2)))</f>
        <v>0</v>
      </c>
      <c r="F38" s="77" t="n">
        <f aca="false">IF(OR($B38="",F$35=""),"",SUMPRODUCT((tsk_Resource=$B38)*tsk_WorkPerDay*((((tsk_FinishN+F$37-ABS(tsk_FinishN-F$37))/2-(tsk_StartN+F$36+ABS(tsk_StartN-F$36))/2+1)+ABS((tsk_FinishN+F$37-ABS(tsk_FinishN-F$37))/2-(tsk_StartN+F$36+ABS(tsk_StartN-F$36))/2+1))/2)))</f>
        <v>0</v>
      </c>
      <c r="G38" s="77" t="n">
        <f aca="false">IF(OR($B38="",G$35=""),"",SUMPRODUCT((tsk_Resource=$B38)*tsk_WorkPerDay*((((tsk_FinishN+G$37-ABS(tsk_FinishN-G$37))/2-(tsk_StartN+G$36+ABS(tsk_StartN-G$36))/2+1)+ABS((tsk_FinishN+G$37-ABS(tsk_FinishN-G$37))/2-(tsk_StartN+G$36+ABS(tsk_StartN-G$36))/2+1))/2)))</f>
        <v>0</v>
      </c>
      <c r="H38" s="77" t="n">
        <f aca="false">IF(OR($B38="",H$35=""),"",SUMPRODUCT((tsk_Resource=$B38)*tsk_WorkPerDay*((((tsk_FinishN+H$37-ABS(tsk_FinishN-H$37))/2-(tsk_StartN+H$36+ABS(tsk_StartN-H$36))/2+1)+ABS((tsk_FinishN+H$37-ABS(tsk_FinishN-H$37))/2-(tsk_StartN+H$36+ABS(tsk_StartN-H$36))/2+1))/2)))</f>
        <v>0</v>
      </c>
      <c r="I38" s="77" t="n">
        <f aca="false">IF(OR($B38="",I$35=""),"",SUMPRODUCT((tsk_Resource=$B38)*tsk_WorkPerDay*((((tsk_FinishN+I$37-ABS(tsk_FinishN-I$37))/2-(tsk_StartN+I$36+ABS(tsk_StartN-I$36))/2+1)+ABS((tsk_FinishN+I$37-ABS(tsk_FinishN-I$37))/2-(tsk_StartN+I$36+ABS(tsk_StartN-I$36))/2+1))/2)))</f>
        <v>8</v>
      </c>
      <c r="J38" s="77" t="n">
        <f aca="false">IF(OR($B38="",J$35=""),"",SUMPRODUCT((tsk_Resource=$B38)*tsk_WorkPerDay*((((tsk_FinishN+J$37-ABS(tsk_FinishN-J$37))/2-(tsk_StartN+J$36+ABS(tsk_StartN-J$36))/2+1)+ABS((tsk_FinishN+J$37-ABS(tsk_FinishN-J$37))/2-(tsk_StartN+J$36+ABS(tsk_StartN-J$36))/2+1))/2)))</f>
        <v>0</v>
      </c>
      <c r="K38" s="77" t="n">
        <f aca="false">IF(OR($B38="",K$35=""),"",SUMPRODUCT((tsk_Resource=$B38)*tsk_WorkPerDay*((((tsk_FinishN+K$37-ABS(tsk_FinishN-K$37))/2-(tsk_StartN+K$36+ABS(tsk_StartN-K$36))/2+1)+ABS((tsk_FinishN+K$37-ABS(tsk_FinishN-K$37))/2-(tsk_StartN+K$36+ABS(tsk_StartN-K$36))/2+1))/2)))</f>
        <v>8</v>
      </c>
      <c r="L38" s="77" t="n">
        <f aca="false">IF(OR($B38="",L$35=""),"",SUMPRODUCT((tsk_Resource=$B38)*tsk_WorkPerDay*((((tsk_FinishN+L$37-ABS(tsk_FinishN-L$37))/2-(tsk_StartN+L$36+ABS(tsk_StartN-L$36))/2+1)+ABS((tsk_FinishN+L$37-ABS(tsk_FinishN-L$37))/2-(tsk_StartN+L$36+ABS(tsk_StartN-L$36))/2+1))/2)))</f>
        <v>16</v>
      </c>
      <c r="M38" s="77" t="n">
        <f aca="false">IF(OR($B38="",M$35=""),"",SUMPRODUCT((tsk_Resource=$B38)*tsk_WorkPerDay*((((tsk_FinishN+M$37-ABS(tsk_FinishN-M$37))/2-(tsk_StartN+M$36+ABS(tsk_StartN-M$36))/2+1)+ABS((tsk_FinishN+M$37-ABS(tsk_FinishN-M$37))/2-(tsk_StartN+M$36+ABS(tsk_StartN-M$36))/2+1))/2)))</f>
        <v>0</v>
      </c>
      <c r="N38" s="77" t="n">
        <f aca="false">IF(OR($B38="",N$35=""),"",SUMPRODUCT((tsk_Resource=$B38)*tsk_WorkPerDay*((((tsk_FinishN+N$37-ABS(tsk_FinishN-N$37))/2-(tsk_StartN+N$36+ABS(tsk_StartN-N$36))/2+1)+ABS((tsk_FinishN+N$37-ABS(tsk_FinishN-N$37))/2-(tsk_StartN+N$36+ABS(tsk_StartN-N$36))/2+1))/2)))</f>
        <v>0</v>
      </c>
      <c r="O38" s="77" t="n">
        <f aca="false">IF(OR($B38="",O$35=""),"",SUMPRODUCT((tsk_Resource=$B38)*tsk_WorkPerDay*((((tsk_FinishN+O$37-ABS(tsk_FinishN-O$37))/2-(tsk_StartN+O$36+ABS(tsk_StartN-O$36))/2+1)+ABS((tsk_FinishN+O$37-ABS(tsk_FinishN-O$37))/2-(tsk_StartN+O$36+ABS(tsk_StartN-O$36))/2+1))/2)))</f>
        <v>0</v>
      </c>
      <c r="P38" s="77" t="str">
        <f aca="false">IF(OR($B38="",P$35=""),"",SUMPRODUCT((tsk_Resource=$B38)*tsk_WorkPerDay*((((tsk_FinishN+P$37-ABS(tsk_FinishN-P$37))/2-(tsk_StartN+P$36+ABS(tsk_StartN-P$36))/2+1)+ABS((tsk_FinishN+P$37-ABS(tsk_FinishN-P$37))/2-(tsk_StartN+P$36+ABS(tsk_StartN-P$36))/2+1))/2)))</f>
        <v/>
      </c>
      <c r="Q38" s="77" t="str">
        <f aca="false">IF(OR($B38="",Q$35=""),"",SUMPRODUCT((tsk_Resource=$B38)*tsk_WorkPerDay*((((tsk_FinishN+Q$37-ABS(tsk_FinishN-Q$37))/2-(tsk_StartN+Q$36+ABS(tsk_StartN-Q$36))/2+1)+ABS((tsk_FinishN+Q$37-ABS(tsk_FinishN-Q$37))/2-(tsk_StartN+Q$36+ABS(tsk_StartN-Q$36))/2+1))/2)))</f>
        <v/>
      </c>
      <c r="R38" s="77" t="str">
        <f aca="false">IF(OR($B38="",R$35=""),"",SUMPRODUCT((tsk_Resource=$B38)*tsk_WorkPerDay*((((tsk_FinishN+R$37-ABS(tsk_FinishN-R$37))/2-(tsk_StartN+R$36+ABS(tsk_StartN-R$36))/2+1)+ABS((tsk_FinishN+R$37-ABS(tsk_FinishN-R$37))/2-(tsk_StartN+R$36+ABS(tsk_StartN-R$36))/2+1))/2)))</f>
        <v/>
      </c>
      <c r="S38" s="77" t="str">
        <f aca="false">IF(OR($B38="",S$35=""),"",SUMPRODUCT((tsk_Resource=$B38)*tsk_WorkPerDay*((((tsk_FinishN+S$37-ABS(tsk_FinishN-S$37))/2-(tsk_StartN+S$36+ABS(tsk_StartN-S$36))/2+1)+ABS((tsk_FinishN+S$37-ABS(tsk_FinishN-S$37))/2-(tsk_StartN+S$36+ABS(tsk_StartN-S$36))/2+1))/2)))</f>
        <v/>
      </c>
      <c r="T38" s="77" t="str">
        <f aca="false">IF(OR($B38="",T$35=""),"",SUMPRODUCT((tsk_Resource=$B38)*tsk_WorkPerDay*((((tsk_FinishN+T$37-ABS(tsk_FinishN-T$37))/2-(tsk_StartN+T$36+ABS(tsk_StartN-T$36))/2+1)+ABS((tsk_FinishN+T$37-ABS(tsk_FinishN-T$37))/2-(tsk_StartN+T$36+ABS(tsk_StartN-T$36))/2+1))/2)))</f>
        <v/>
      </c>
      <c r="U38" s="77" t="str">
        <f aca="false">IF(OR($B38="",U$35=""),"",SUMPRODUCT((tsk_Resource=$B38)*tsk_WorkPerDay*((((tsk_FinishN+U$37-ABS(tsk_FinishN-U$37))/2-(tsk_StartN+U$36+ABS(tsk_StartN-U$36))/2+1)+ABS((tsk_FinishN+U$37-ABS(tsk_FinishN-U$37))/2-(tsk_StartN+U$36+ABS(tsk_StartN-U$36))/2+1))/2)))</f>
        <v/>
      </c>
      <c r="V38" s="77" t="str">
        <f aca="false">IF(OR($B38="",V$35=""),"",SUMPRODUCT((tsk_Resource=$B38)*tsk_WorkPerDay*((((tsk_FinishN+V$37-ABS(tsk_FinishN-V$37))/2-(tsk_StartN+V$36+ABS(tsk_StartN-V$36))/2+1)+ABS((tsk_FinishN+V$37-ABS(tsk_FinishN-V$37))/2-(tsk_StartN+V$36+ABS(tsk_StartN-V$36))/2+1))/2)))</f>
        <v/>
      </c>
      <c r="W38" s="77" t="str">
        <f aca="false">IF(OR($B38="",W$35=""),"",SUMPRODUCT((tsk_Resource=$B38)*tsk_WorkPerDay*((((tsk_FinishN+W$37-ABS(tsk_FinishN-W$37))/2-(tsk_StartN+W$36+ABS(tsk_StartN-W$36))/2+1)+ABS((tsk_FinishN+W$37-ABS(tsk_FinishN-W$37))/2-(tsk_StartN+W$36+ABS(tsk_StartN-W$36))/2+1))/2)))</f>
        <v/>
      </c>
      <c r="X38" s="77" t="str">
        <f aca="false">IF(OR($B38="",X$35=""),"",SUMPRODUCT((tsk_Resource=$B38)*tsk_WorkPerDay*((((tsk_FinishN+X$37-ABS(tsk_FinishN-X$37))/2-(tsk_StartN+X$36+ABS(tsk_StartN-X$36))/2+1)+ABS((tsk_FinishN+X$37-ABS(tsk_FinishN-X$37))/2-(tsk_StartN+X$36+ABS(tsk_StartN-X$36))/2+1))/2)))</f>
        <v/>
      </c>
      <c r="Y38" s="77" t="str">
        <f aca="false">IF(OR($B38="",Y$35=""),"",SUMPRODUCT((tsk_Resource=$B38)*tsk_WorkPerDay*((((tsk_FinishN+Y$37-ABS(tsk_FinishN-Y$37))/2-(tsk_StartN+Y$36+ABS(tsk_StartN-Y$36))/2+1)+ABS((tsk_FinishN+Y$37-ABS(tsk_FinishN-Y$37))/2-(tsk_StartN+Y$36+ABS(tsk_StartN-Y$36))/2+1))/2)))</f>
        <v/>
      </c>
      <c r="Z38" s="77" t="str">
        <f aca="false">IF(OR($B38="",Z$35=""),"",SUMPRODUCT((tsk_Resource=$B38)*tsk_WorkPerDay*((((tsk_FinishN+Z$37-ABS(tsk_FinishN-Z$37))/2-(tsk_StartN+Z$36+ABS(tsk_StartN-Z$36))/2+1)+ABS((tsk_FinishN+Z$37-ABS(tsk_FinishN-Z$37))/2-(tsk_StartN+Z$36+ABS(tsk_StartN-Z$36))/2+1))/2)))</f>
        <v/>
      </c>
      <c r="AA38" s="77" t="str">
        <f aca="false">IF(OR($B38="",AA$35=""),"",SUMPRODUCT((tsk_Resource=$B38)*tsk_WorkPerDay*((((tsk_FinishN+AA$37-ABS(tsk_FinishN-AA$37))/2-(tsk_StartN+AA$36+ABS(tsk_StartN-AA$36))/2+1)+ABS((tsk_FinishN+AA$37-ABS(tsk_FinishN-AA$37))/2-(tsk_StartN+AA$36+ABS(tsk_StartN-AA$36))/2+1))/2)))</f>
        <v/>
      </c>
      <c r="AB38" s="77" t="str">
        <f aca="false">IF(OR($B38="",AB$35=""),"",SUMPRODUCT((tsk_Resource=$B38)*tsk_WorkPerDay*((((tsk_FinishN+AB$37-ABS(tsk_FinishN-AB$37))/2-(tsk_StartN+AB$36+ABS(tsk_StartN-AB$36))/2+1)+ABS((tsk_FinishN+AB$37-ABS(tsk_FinishN-AB$37))/2-(tsk_StartN+AB$36+ABS(tsk_StartN-AB$36))/2+1))/2)))</f>
        <v/>
      </c>
      <c r="AC38" s="77" t="str">
        <f aca="false">IF(OR($B38="",AC$35=""),"",SUMPRODUCT((tsk_Resource=$B38)*tsk_WorkPerDay*((((tsk_FinishN+AC$37-ABS(tsk_FinishN-AC$37))/2-(tsk_StartN+AC$36+ABS(tsk_StartN-AC$36))/2+1)+ABS((tsk_FinishN+AC$37-ABS(tsk_FinishN-AC$37))/2-(tsk_StartN+AC$36+ABS(tsk_StartN-AC$36))/2+1))/2)))</f>
        <v/>
      </c>
    </row>
    <row r="39" customFormat="false" ht="15" hidden="false" customHeight="false" outlineLevel="0" collapsed="false">
      <c r="B39" s="75" t="str">
        <f aca="false">IF(INDEX(res_Name,2)="","",INDEX(res_Name,2))</f>
        <v>Morgan Patel</v>
      </c>
      <c r="C39" s="76" t="n">
        <f aca="false">IF($B39="","",INDEX(res_MaxUnits,2))</f>
        <v>1</v>
      </c>
      <c r="D39" s="77" t="n">
        <f aca="false">IF(OR($B39="",D$35=""),"",SUMPRODUCT((tsk_Resource=$B39)*tsk_WorkPerDay*((((tsk_FinishN+D$37-ABS(tsk_FinishN-D$37))/2-(tsk_StartN+D$36+ABS(tsk_StartN-D$36))/2+1)+ABS((tsk_FinishN+D$37-ABS(tsk_FinishN-D$37))/2-(tsk_StartN+D$36+ABS(tsk_StartN-D$36))/2+1))/2)))</f>
        <v>50.9090909090909</v>
      </c>
      <c r="E39" s="77" t="n">
        <f aca="false">IF(OR($B39="",E$35=""),"",SUMPRODUCT((tsk_Resource=$B39)*tsk_WorkPerDay*((((tsk_FinishN+E$37-ABS(tsk_FinishN-E$37))/2-(tsk_StartN+E$36+ABS(tsk_StartN-E$36))/2+1)+ABS((tsk_FinishN+E$37-ABS(tsk_FinishN-E$37))/2-(tsk_StartN+E$36+ABS(tsk_StartN-E$36))/2+1))/2)))</f>
        <v>29.0909090909091</v>
      </c>
      <c r="F39" s="77" t="n">
        <f aca="false">IF(OR($B39="",F$35=""),"",SUMPRODUCT((tsk_Resource=$B39)*tsk_WorkPerDay*((((tsk_FinishN+F$37-ABS(tsk_FinishN-F$37))/2-(tsk_StartN+F$36+ABS(tsk_StartN-F$36))/2+1)+ABS((tsk_FinishN+F$37-ABS(tsk_FinishN-F$37))/2-(tsk_StartN+F$36+ABS(tsk_StartN-F$36))/2+1))/2)))</f>
        <v>0</v>
      </c>
      <c r="G39" s="77" t="n">
        <f aca="false">IF(OR($B39="",G$35=""),"",SUMPRODUCT((tsk_Resource=$B39)*tsk_WorkPerDay*((((tsk_FinishN+G$37-ABS(tsk_FinishN-G$37))/2-(tsk_StartN+G$36+ABS(tsk_StartN-G$36))/2+1)+ABS((tsk_FinishN+G$37-ABS(tsk_FinishN-G$37))/2-(tsk_StartN+G$36+ABS(tsk_StartN-G$36))/2+1))/2)))</f>
        <v>0</v>
      </c>
      <c r="H39" s="77" t="n">
        <f aca="false">IF(OR($B39="",H$35=""),"",SUMPRODUCT((tsk_Resource=$B39)*tsk_WorkPerDay*((((tsk_FinishN+H$37-ABS(tsk_FinishN-H$37))/2-(tsk_StartN+H$36+ABS(tsk_StartN-H$36))/2+1)+ABS((tsk_FinishN+H$37-ABS(tsk_FinishN-H$37))/2-(tsk_StartN+H$36+ABS(tsk_StartN-H$36))/2+1))/2)))</f>
        <v>0</v>
      </c>
      <c r="I39" s="77" t="n">
        <f aca="false">IF(OR($B39="",I$35=""),"",SUMPRODUCT((tsk_Resource=$B39)*tsk_WorkPerDay*((((tsk_FinishN+I$37-ABS(tsk_FinishN-I$37))/2-(tsk_StartN+I$36+ABS(tsk_StartN-I$36))/2+1)+ABS((tsk_FinishN+I$37-ABS(tsk_FinishN-I$37))/2-(tsk_StartN+I$36+ABS(tsk_StartN-I$36))/2+1))/2)))</f>
        <v>0</v>
      </c>
      <c r="J39" s="77" t="n">
        <f aca="false">IF(OR($B39="",J$35=""),"",SUMPRODUCT((tsk_Resource=$B39)*tsk_WorkPerDay*((((tsk_FinishN+J$37-ABS(tsk_FinishN-J$37))/2-(tsk_StartN+J$36+ABS(tsk_StartN-J$36))/2+1)+ABS((tsk_FinishN+J$37-ABS(tsk_FinishN-J$37))/2-(tsk_StartN+J$36+ABS(tsk_StartN-J$36))/2+1))/2)))</f>
        <v>42</v>
      </c>
      <c r="K39" s="77" t="n">
        <f aca="false">IF(OR($B39="",K$35=""),"",SUMPRODUCT((tsk_Resource=$B39)*tsk_WorkPerDay*((((tsk_FinishN+K$37-ABS(tsk_FinishN-K$37))/2-(tsk_StartN+K$36+ABS(tsk_StartN-K$36))/2+1)+ABS((tsk_FinishN+K$37-ABS(tsk_FinishN-K$37))/2-(tsk_StartN+K$36+ABS(tsk_StartN-K$36))/2+1))/2)))</f>
        <v>6</v>
      </c>
      <c r="L39" s="77" t="n">
        <f aca="false">IF(OR($B39="",L$35=""),"",SUMPRODUCT((tsk_Resource=$B39)*tsk_WorkPerDay*((((tsk_FinishN+L$37-ABS(tsk_FinishN-L$37))/2-(tsk_StartN+L$36+ABS(tsk_StartN-L$36))/2+1)+ABS((tsk_FinishN+L$37-ABS(tsk_FinishN-L$37))/2-(tsk_StartN+L$36+ABS(tsk_StartN-L$36))/2+1))/2)))</f>
        <v>0</v>
      </c>
      <c r="M39" s="77" t="n">
        <f aca="false">IF(OR($B39="",M$35=""),"",SUMPRODUCT((tsk_Resource=$B39)*tsk_WorkPerDay*((((tsk_FinishN+M$37-ABS(tsk_FinishN-M$37))/2-(tsk_StartN+M$36+ABS(tsk_StartN-M$36))/2+1)+ABS((tsk_FinishN+M$37-ABS(tsk_FinishN-M$37))/2-(tsk_StartN+M$36+ABS(tsk_StartN-M$36))/2+1))/2)))</f>
        <v>0</v>
      </c>
      <c r="N39" s="77" t="n">
        <f aca="false">IF(OR($B39="",N$35=""),"",SUMPRODUCT((tsk_Resource=$B39)*tsk_WorkPerDay*((((tsk_FinishN+N$37-ABS(tsk_FinishN-N$37))/2-(tsk_StartN+N$36+ABS(tsk_StartN-N$36))/2+1)+ABS((tsk_FinishN+N$37-ABS(tsk_FinishN-N$37))/2-(tsk_StartN+N$36+ABS(tsk_StartN-N$36))/2+1))/2)))</f>
        <v>0</v>
      </c>
      <c r="O39" s="77" t="n">
        <f aca="false">IF(OR($B39="",O$35=""),"",SUMPRODUCT((tsk_Resource=$B39)*tsk_WorkPerDay*((((tsk_FinishN+O$37-ABS(tsk_FinishN-O$37))/2-(tsk_StartN+O$36+ABS(tsk_StartN-O$36))/2+1)+ABS((tsk_FinishN+O$37-ABS(tsk_FinishN-O$37))/2-(tsk_StartN+O$36+ABS(tsk_StartN-O$36))/2+1))/2)))</f>
        <v>0</v>
      </c>
      <c r="P39" s="77" t="str">
        <f aca="false">IF(OR($B39="",P$35=""),"",SUMPRODUCT((tsk_Resource=$B39)*tsk_WorkPerDay*((((tsk_FinishN+P$37-ABS(tsk_FinishN-P$37))/2-(tsk_StartN+P$36+ABS(tsk_StartN-P$36))/2+1)+ABS((tsk_FinishN+P$37-ABS(tsk_FinishN-P$37))/2-(tsk_StartN+P$36+ABS(tsk_StartN-P$36))/2+1))/2)))</f>
        <v/>
      </c>
      <c r="Q39" s="77" t="str">
        <f aca="false">IF(OR($B39="",Q$35=""),"",SUMPRODUCT((tsk_Resource=$B39)*tsk_WorkPerDay*((((tsk_FinishN+Q$37-ABS(tsk_FinishN-Q$37))/2-(tsk_StartN+Q$36+ABS(tsk_StartN-Q$36))/2+1)+ABS((tsk_FinishN+Q$37-ABS(tsk_FinishN-Q$37))/2-(tsk_StartN+Q$36+ABS(tsk_StartN-Q$36))/2+1))/2)))</f>
        <v/>
      </c>
      <c r="R39" s="77" t="str">
        <f aca="false">IF(OR($B39="",R$35=""),"",SUMPRODUCT((tsk_Resource=$B39)*tsk_WorkPerDay*((((tsk_FinishN+R$37-ABS(tsk_FinishN-R$37))/2-(tsk_StartN+R$36+ABS(tsk_StartN-R$36))/2+1)+ABS((tsk_FinishN+R$37-ABS(tsk_FinishN-R$37))/2-(tsk_StartN+R$36+ABS(tsk_StartN-R$36))/2+1))/2)))</f>
        <v/>
      </c>
      <c r="S39" s="77" t="str">
        <f aca="false">IF(OR($B39="",S$35=""),"",SUMPRODUCT((tsk_Resource=$B39)*tsk_WorkPerDay*((((tsk_FinishN+S$37-ABS(tsk_FinishN-S$37))/2-(tsk_StartN+S$36+ABS(tsk_StartN-S$36))/2+1)+ABS((tsk_FinishN+S$37-ABS(tsk_FinishN-S$37))/2-(tsk_StartN+S$36+ABS(tsk_StartN-S$36))/2+1))/2)))</f>
        <v/>
      </c>
      <c r="T39" s="77" t="str">
        <f aca="false">IF(OR($B39="",T$35=""),"",SUMPRODUCT((tsk_Resource=$B39)*tsk_WorkPerDay*((((tsk_FinishN+T$37-ABS(tsk_FinishN-T$37))/2-(tsk_StartN+T$36+ABS(tsk_StartN-T$36))/2+1)+ABS((tsk_FinishN+T$37-ABS(tsk_FinishN-T$37))/2-(tsk_StartN+T$36+ABS(tsk_StartN-T$36))/2+1))/2)))</f>
        <v/>
      </c>
      <c r="U39" s="77" t="str">
        <f aca="false">IF(OR($B39="",U$35=""),"",SUMPRODUCT((tsk_Resource=$B39)*tsk_WorkPerDay*((((tsk_FinishN+U$37-ABS(tsk_FinishN-U$37))/2-(tsk_StartN+U$36+ABS(tsk_StartN-U$36))/2+1)+ABS((tsk_FinishN+U$37-ABS(tsk_FinishN-U$37))/2-(tsk_StartN+U$36+ABS(tsk_StartN-U$36))/2+1))/2)))</f>
        <v/>
      </c>
      <c r="V39" s="77" t="str">
        <f aca="false">IF(OR($B39="",V$35=""),"",SUMPRODUCT((tsk_Resource=$B39)*tsk_WorkPerDay*((((tsk_FinishN+V$37-ABS(tsk_FinishN-V$37))/2-(tsk_StartN+V$36+ABS(tsk_StartN-V$36))/2+1)+ABS((tsk_FinishN+V$37-ABS(tsk_FinishN-V$37))/2-(tsk_StartN+V$36+ABS(tsk_StartN-V$36))/2+1))/2)))</f>
        <v/>
      </c>
      <c r="W39" s="77" t="str">
        <f aca="false">IF(OR($B39="",W$35=""),"",SUMPRODUCT((tsk_Resource=$B39)*tsk_WorkPerDay*((((tsk_FinishN+W$37-ABS(tsk_FinishN-W$37))/2-(tsk_StartN+W$36+ABS(tsk_StartN-W$36))/2+1)+ABS((tsk_FinishN+W$37-ABS(tsk_FinishN-W$37))/2-(tsk_StartN+W$36+ABS(tsk_StartN-W$36))/2+1))/2)))</f>
        <v/>
      </c>
      <c r="X39" s="77" t="str">
        <f aca="false">IF(OR($B39="",X$35=""),"",SUMPRODUCT((tsk_Resource=$B39)*tsk_WorkPerDay*((((tsk_FinishN+X$37-ABS(tsk_FinishN-X$37))/2-(tsk_StartN+X$36+ABS(tsk_StartN-X$36))/2+1)+ABS((tsk_FinishN+X$37-ABS(tsk_FinishN-X$37))/2-(tsk_StartN+X$36+ABS(tsk_StartN-X$36))/2+1))/2)))</f>
        <v/>
      </c>
      <c r="Y39" s="77" t="str">
        <f aca="false">IF(OR($B39="",Y$35=""),"",SUMPRODUCT((tsk_Resource=$B39)*tsk_WorkPerDay*((((tsk_FinishN+Y$37-ABS(tsk_FinishN-Y$37))/2-(tsk_StartN+Y$36+ABS(tsk_StartN-Y$36))/2+1)+ABS((tsk_FinishN+Y$37-ABS(tsk_FinishN-Y$37))/2-(tsk_StartN+Y$36+ABS(tsk_StartN-Y$36))/2+1))/2)))</f>
        <v/>
      </c>
      <c r="Z39" s="77" t="str">
        <f aca="false">IF(OR($B39="",Z$35=""),"",SUMPRODUCT((tsk_Resource=$B39)*tsk_WorkPerDay*((((tsk_FinishN+Z$37-ABS(tsk_FinishN-Z$37))/2-(tsk_StartN+Z$36+ABS(tsk_StartN-Z$36))/2+1)+ABS((tsk_FinishN+Z$37-ABS(tsk_FinishN-Z$37))/2-(tsk_StartN+Z$36+ABS(tsk_StartN-Z$36))/2+1))/2)))</f>
        <v/>
      </c>
      <c r="AA39" s="77" t="str">
        <f aca="false">IF(OR($B39="",AA$35=""),"",SUMPRODUCT((tsk_Resource=$B39)*tsk_WorkPerDay*((((tsk_FinishN+AA$37-ABS(tsk_FinishN-AA$37))/2-(tsk_StartN+AA$36+ABS(tsk_StartN-AA$36))/2+1)+ABS((tsk_FinishN+AA$37-ABS(tsk_FinishN-AA$37))/2-(tsk_StartN+AA$36+ABS(tsk_StartN-AA$36))/2+1))/2)))</f>
        <v/>
      </c>
      <c r="AB39" s="77" t="str">
        <f aca="false">IF(OR($B39="",AB$35=""),"",SUMPRODUCT((tsk_Resource=$B39)*tsk_WorkPerDay*((((tsk_FinishN+AB$37-ABS(tsk_FinishN-AB$37))/2-(tsk_StartN+AB$36+ABS(tsk_StartN-AB$36))/2+1)+ABS((tsk_FinishN+AB$37-ABS(tsk_FinishN-AB$37))/2-(tsk_StartN+AB$36+ABS(tsk_StartN-AB$36))/2+1))/2)))</f>
        <v/>
      </c>
      <c r="AC39" s="77" t="str">
        <f aca="false">IF(OR($B39="",AC$35=""),"",SUMPRODUCT((tsk_Resource=$B39)*tsk_WorkPerDay*((((tsk_FinishN+AC$37-ABS(tsk_FinishN-AC$37))/2-(tsk_StartN+AC$36+ABS(tsk_StartN-AC$36))/2+1)+ABS((tsk_FinishN+AC$37-ABS(tsk_FinishN-AC$37))/2-(tsk_StartN+AC$36+ABS(tsk_StartN-AC$36))/2+1))/2)))</f>
        <v/>
      </c>
    </row>
    <row r="40" customFormat="false" ht="15" hidden="false" customHeight="false" outlineLevel="0" collapsed="false">
      <c r="B40" s="75" t="str">
        <f aca="false">IF(INDEX(res_Name,3)="","",INDEX(res_Name,3))</f>
        <v>Alex Chen</v>
      </c>
      <c r="C40" s="76" t="n">
        <f aca="false">IF($B40="","",INDEX(res_MaxUnits,3))</f>
        <v>0.5</v>
      </c>
      <c r="D40" s="77" t="n">
        <f aca="false">IF(OR($B40="",D$35=""),"",SUMPRODUCT((tsk_Resource=$B40)*tsk_WorkPerDay*((((tsk_FinishN+D$37-ABS(tsk_FinishN-D$37))/2-(tsk_StartN+D$36+ABS(tsk_StartN-D$36))/2+1)+ABS((tsk_FinishN+D$37-ABS(tsk_FinishN-D$37))/2-(tsk_StartN+D$36+ABS(tsk_StartN-D$36))/2+1))/2)))</f>
        <v>15</v>
      </c>
      <c r="E40" s="77" t="n">
        <f aca="false">IF(OR($B40="",E$35=""),"",SUMPRODUCT((tsk_Resource=$B40)*tsk_WorkPerDay*((((tsk_FinishN+E$37-ABS(tsk_FinishN-E$37))/2-(tsk_StartN+E$36+ABS(tsk_StartN-E$36))/2+1)+ABS((tsk_FinishN+E$37-ABS(tsk_FinishN-E$37))/2-(tsk_StartN+E$36+ABS(tsk_StartN-E$36))/2+1))/2)))</f>
        <v>25</v>
      </c>
      <c r="F40" s="77" t="n">
        <f aca="false">IF(OR($B40="",F$35=""),"",SUMPRODUCT((tsk_Resource=$B40)*tsk_WorkPerDay*((((tsk_FinishN+F$37-ABS(tsk_FinishN-F$37))/2-(tsk_StartN+F$36+ABS(tsk_StartN-F$36))/2+1)+ABS((tsk_FinishN+F$37-ABS(tsk_FinishN-F$37))/2-(tsk_StartN+F$36+ABS(tsk_StartN-F$36))/2+1))/2)))</f>
        <v>0</v>
      </c>
      <c r="G40" s="77" t="n">
        <f aca="false">IF(OR($B40="",G$35=""),"",SUMPRODUCT((tsk_Resource=$B40)*tsk_WorkPerDay*((((tsk_FinishN+G$37-ABS(tsk_FinishN-G$37))/2-(tsk_StartN+G$36+ABS(tsk_StartN-G$36))/2+1)+ABS((tsk_FinishN+G$37-ABS(tsk_FinishN-G$37))/2-(tsk_StartN+G$36+ABS(tsk_StartN-G$36))/2+1))/2)))</f>
        <v>0</v>
      </c>
      <c r="H40" s="77" t="n">
        <f aca="false">IF(OR($B40="",H$35=""),"",SUMPRODUCT((tsk_Resource=$B40)*tsk_WorkPerDay*((((tsk_FinishN+H$37-ABS(tsk_FinishN-H$37))/2-(tsk_StartN+H$36+ABS(tsk_StartN-H$36))/2+1)+ABS((tsk_FinishN+H$37-ABS(tsk_FinishN-H$37))/2-(tsk_StartN+H$36+ABS(tsk_StartN-H$36))/2+1))/2)))</f>
        <v>0</v>
      </c>
      <c r="I40" s="77" t="n">
        <f aca="false">IF(OR($B40="",I$35=""),"",SUMPRODUCT((tsk_Resource=$B40)*tsk_WorkPerDay*((((tsk_FinishN+I$37-ABS(tsk_FinishN-I$37))/2-(tsk_StartN+I$36+ABS(tsk_StartN-I$36))/2+1)+ABS((tsk_FinishN+I$37-ABS(tsk_FinishN-I$37))/2-(tsk_StartN+I$36+ABS(tsk_StartN-I$36))/2+1))/2)))</f>
        <v>0</v>
      </c>
      <c r="J40" s="77" t="n">
        <f aca="false">IF(OR($B40="",J$35=""),"",SUMPRODUCT((tsk_Resource=$B40)*tsk_WorkPerDay*((((tsk_FinishN+J$37-ABS(tsk_FinishN-J$37))/2-(tsk_StartN+J$36+ABS(tsk_StartN-J$36))/2+1)+ABS((tsk_FinishN+J$37-ABS(tsk_FinishN-J$37))/2-(tsk_StartN+J$36+ABS(tsk_StartN-J$36))/2+1))/2)))</f>
        <v>0</v>
      </c>
      <c r="K40" s="77" t="n">
        <f aca="false">IF(OR($B40="",K$35=""),"",SUMPRODUCT((tsk_Resource=$B40)*tsk_WorkPerDay*((((tsk_FinishN+K$37-ABS(tsk_FinishN-K$37))/2-(tsk_StartN+K$36+ABS(tsk_StartN-K$36))/2+1)+ABS((tsk_FinishN+K$37-ABS(tsk_FinishN-K$37))/2-(tsk_StartN+K$36+ABS(tsk_StartN-K$36))/2+1))/2)))</f>
        <v>0</v>
      </c>
      <c r="L40" s="77" t="n">
        <f aca="false">IF(OR($B40="",L$35=""),"",SUMPRODUCT((tsk_Resource=$B40)*tsk_WorkPerDay*((((tsk_FinishN+L$37-ABS(tsk_FinishN-L$37))/2-(tsk_StartN+L$36+ABS(tsk_StartN-L$36))/2+1)+ABS((tsk_FinishN+L$37-ABS(tsk_FinishN-L$37))/2-(tsk_StartN+L$36+ABS(tsk_StartN-L$36))/2+1))/2)))</f>
        <v>0</v>
      </c>
      <c r="M40" s="77" t="n">
        <f aca="false">IF(OR($B40="",M$35=""),"",SUMPRODUCT((tsk_Resource=$B40)*tsk_WorkPerDay*((((tsk_FinishN+M$37-ABS(tsk_FinishN-M$37))/2-(tsk_StartN+M$36+ABS(tsk_StartN-M$36))/2+1)+ABS((tsk_FinishN+M$37-ABS(tsk_FinishN-M$37))/2-(tsk_StartN+M$36+ABS(tsk_StartN-M$36))/2+1))/2)))</f>
        <v>0</v>
      </c>
      <c r="N40" s="77" t="n">
        <f aca="false">IF(OR($B40="",N$35=""),"",SUMPRODUCT((tsk_Resource=$B40)*tsk_WorkPerDay*((((tsk_FinishN+N$37-ABS(tsk_FinishN-N$37))/2-(tsk_StartN+N$36+ABS(tsk_StartN-N$36))/2+1)+ABS((tsk_FinishN+N$37-ABS(tsk_FinishN-N$37))/2-(tsk_StartN+N$36+ABS(tsk_StartN-N$36))/2+1))/2)))</f>
        <v>0</v>
      </c>
      <c r="O40" s="77" t="n">
        <f aca="false">IF(OR($B40="",O$35=""),"",SUMPRODUCT((tsk_Resource=$B40)*tsk_WorkPerDay*((((tsk_FinishN+O$37-ABS(tsk_FinishN-O$37))/2-(tsk_StartN+O$36+ABS(tsk_StartN-O$36))/2+1)+ABS((tsk_FinishN+O$37-ABS(tsk_FinishN-O$37))/2-(tsk_StartN+O$36+ABS(tsk_StartN-O$36))/2+1))/2)))</f>
        <v>0</v>
      </c>
      <c r="P40" s="77" t="str">
        <f aca="false">IF(OR($B40="",P$35=""),"",SUMPRODUCT((tsk_Resource=$B40)*tsk_WorkPerDay*((((tsk_FinishN+P$37-ABS(tsk_FinishN-P$37))/2-(tsk_StartN+P$36+ABS(tsk_StartN-P$36))/2+1)+ABS((tsk_FinishN+P$37-ABS(tsk_FinishN-P$37))/2-(tsk_StartN+P$36+ABS(tsk_StartN-P$36))/2+1))/2)))</f>
        <v/>
      </c>
      <c r="Q40" s="77" t="str">
        <f aca="false">IF(OR($B40="",Q$35=""),"",SUMPRODUCT((tsk_Resource=$B40)*tsk_WorkPerDay*((((tsk_FinishN+Q$37-ABS(tsk_FinishN-Q$37))/2-(tsk_StartN+Q$36+ABS(tsk_StartN-Q$36))/2+1)+ABS((tsk_FinishN+Q$37-ABS(tsk_FinishN-Q$37))/2-(tsk_StartN+Q$36+ABS(tsk_StartN-Q$36))/2+1))/2)))</f>
        <v/>
      </c>
      <c r="R40" s="77" t="str">
        <f aca="false">IF(OR($B40="",R$35=""),"",SUMPRODUCT((tsk_Resource=$B40)*tsk_WorkPerDay*((((tsk_FinishN+R$37-ABS(tsk_FinishN-R$37))/2-(tsk_StartN+R$36+ABS(tsk_StartN-R$36))/2+1)+ABS((tsk_FinishN+R$37-ABS(tsk_FinishN-R$37))/2-(tsk_StartN+R$36+ABS(tsk_StartN-R$36))/2+1))/2)))</f>
        <v/>
      </c>
      <c r="S40" s="77" t="str">
        <f aca="false">IF(OR($B40="",S$35=""),"",SUMPRODUCT((tsk_Resource=$B40)*tsk_WorkPerDay*((((tsk_FinishN+S$37-ABS(tsk_FinishN-S$37))/2-(tsk_StartN+S$36+ABS(tsk_StartN-S$36))/2+1)+ABS((tsk_FinishN+S$37-ABS(tsk_FinishN-S$37))/2-(tsk_StartN+S$36+ABS(tsk_StartN-S$36))/2+1))/2)))</f>
        <v/>
      </c>
      <c r="T40" s="77" t="str">
        <f aca="false">IF(OR($B40="",T$35=""),"",SUMPRODUCT((tsk_Resource=$B40)*tsk_WorkPerDay*((((tsk_FinishN+T$37-ABS(tsk_FinishN-T$37))/2-(tsk_StartN+T$36+ABS(tsk_StartN-T$36))/2+1)+ABS((tsk_FinishN+T$37-ABS(tsk_FinishN-T$37))/2-(tsk_StartN+T$36+ABS(tsk_StartN-T$36))/2+1))/2)))</f>
        <v/>
      </c>
      <c r="U40" s="77" t="str">
        <f aca="false">IF(OR($B40="",U$35=""),"",SUMPRODUCT((tsk_Resource=$B40)*tsk_WorkPerDay*((((tsk_FinishN+U$37-ABS(tsk_FinishN-U$37))/2-(tsk_StartN+U$36+ABS(tsk_StartN-U$36))/2+1)+ABS((tsk_FinishN+U$37-ABS(tsk_FinishN-U$37))/2-(tsk_StartN+U$36+ABS(tsk_StartN-U$36))/2+1))/2)))</f>
        <v/>
      </c>
      <c r="V40" s="77" t="str">
        <f aca="false">IF(OR($B40="",V$35=""),"",SUMPRODUCT((tsk_Resource=$B40)*tsk_WorkPerDay*((((tsk_FinishN+V$37-ABS(tsk_FinishN-V$37))/2-(tsk_StartN+V$36+ABS(tsk_StartN-V$36))/2+1)+ABS((tsk_FinishN+V$37-ABS(tsk_FinishN-V$37))/2-(tsk_StartN+V$36+ABS(tsk_StartN-V$36))/2+1))/2)))</f>
        <v/>
      </c>
      <c r="W40" s="77" t="str">
        <f aca="false">IF(OR($B40="",W$35=""),"",SUMPRODUCT((tsk_Resource=$B40)*tsk_WorkPerDay*((((tsk_FinishN+W$37-ABS(tsk_FinishN-W$37))/2-(tsk_StartN+W$36+ABS(tsk_StartN-W$36))/2+1)+ABS((tsk_FinishN+W$37-ABS(tsk_FinishN-W$37))/2-(tsk_StartN+W$36+ABS(tsk_StartN-W$36))/2+1))/2)))</f>
        <v/>
      </c>
      <c r="X40" s="77" t="str">
        <f aca="false">IF(OR($B40="",X$35=""),"",SUMPRODUCT((tsk_Resource=$B40)*tsk_WorkPerDay*((((tsk_FinishN+X$37-ABS(tsk_FinishN-X$37))/2-(tsk_StartN+X$36+ABS(tsk_StartN-X$36))/2+1)+ABS((tsk_FinishN+X$37-ABS(tsk_FinishN-X$37))/2-(tsk_StartN+X$36+ABS(tsk_StartN-X$36))/2+1))/2)))</f>
        <v/>
      </c>
      <c r="Y40" s="77" t="str">
        <f aca="false">IF(OR($B40="",Y$35=""),"",SUMPRODUCT((tsk_Resource=$B40)*tsk_WorkPerDay*((((tsk_FinishN+Y$37-ABS(tsk_FinishN-Y$37))/2-(tsk_StartN+Y$36+ABS(tsk_StartN-Y$36))/2+1)+ABS((tsk_FinishN+Y$37-ABS(tsk_FinishN-Y$37))/2-(tsk_StartN+Y$36+ABS(tsk_StartN-Y$36))/2+1))/2)))</f>
        <v/>
      </c>
      <c r="Z40" s="77" t="str">
        <f aca="false">IF(OR($B40="",Z$35=""),"",SUMPRODUCT((tsk_Resource=$B40)*tsk_WorkPerDay*((((tsk_FinishN+Z$37-ABS(tsk_FinishN-Z$37))/2-(tsk_StartN+Z$36+ABS(tsk_StartN-Z$36))/2+1)+ABS((tsk_FinishN+Z$37-ABS(tsk_FinishN-Z$37))/2-(tsk_StartN+Z$36+ABS(tsk_StartN-Z$36))/2+1))/2)))</f>
        <v/>
      </c>
      <c r="AA40" s="77" t="str">
        <f aca="false">IF(OR($B40="",AA$35=""),"",SUMPRODUCT((tsk_Resource=$B40)*tsk_WorkPerDay*((((tsk_FinishN+AA$37-ABS(tsk_FinishN-AA$37))/2-(tsk_StartN+AA$36+ABS(tsk_StartN-AA$36))/2+1)+ABS((tsk_FinishN+AA$37-ABS(tsk_FinishN-AA$37))/2-(tsk_StartN+AA$36+ABS(tsk_StartN-AA$36))/2+1))/2)))</f>
        <v/>
      </c>
      <c r="AB40" s="77" t="str">
        <f aca="false">IF(OR($B40="",AB$35=""),"",SUMPRODUCT((tsk_Resource=$B40)*tsk_WorkPerDay*((((tsk_FinishN+AB$37-ABS(tsk_FinishN-AB$37))/2-(tsk_StartN+AB$36+ABS(tsk_StartN-AB$36))/2+1)+ABS((tsk_FinishN+AB$37-ABS(tsk_FinishN-AB$37))/2-(tsk_StartN+AB$36+ABS(tsk_StartN-AB$36))/2+1))/2)))</f>
        <v/>
      </c>
      <c r="AC40" s="77" t="str">
        <f aca="false">IF(OR($B40="",AC$35=""),"",SUMPRODUCT((tsk_Resource=$B40)*tsk_WorkPerDay*((((tsk_FinishN+AC$37-ABS(tsk_FinishN-AC$37))/2-(tsk_StartN+AC$36+ABS(tsk_StartN-AC$36))/2+1)+ABS((tsk_FinishN+AC$37-ABS(tsk_FinishN-AC$37))/2-(tsk_StartN+AC$36+ABS(tsk_StartN-AC$36))/2+1))/2)))</f>
        <v/>
      </c>
    </row>
    <row r="41" customFormat="false" ht="15" hidden="false" customHeight="false" outlineLevel="0" collapsed="false">
      <c r="B41" s="75" t="str">
        <f aca="false">IF(INDEX(res_Name,4)="","",INDEX(res_Name,4))</f>
        <v>Casey Kim</v>
      </c>
      <c r="C41" s="76" t="n">
        <f aca="false">IF($B41="","",INDEX(res_MaxUnits,4))</f>
        <v>1</v>
      </c>
      <c r="D41" s="77" t="n">
        <f aca="false">IF(OR($B41="",D$35=""),"",SUMPRODUCT((tsk_Resource=$B41)*tsk_WorkPerDay*((((tsk_FinishN+D$37-ABS(tsk_FinishN-D$37))/2-(tsk_StartN+D$36+ABS(tsk_StartN-D$36))/2+1)+ABS((tsk_FinishN+D$37-ABS(tsk_FinishN-D$37))/2-(tsk_StartN+D$36+ABS(tsk_StartN-D$36))/2+1))/2)))</f>
        <v>0</v>
      </c>
      <c r="E41" s="77" t="n">
        <f aca="false">IF(OR($B41="",E$35=""),"",SUMPRODUCT((tsk_Resource=$B41)*tsk_WorkPerDay*((((tsk_FinishN+E$37-ABS(tsk_FinishN-E$37))/2-(tsk_StartN+E$36+ABS(tsk_StartN-E$36))/2+1)+ABS((tsk_FinishN+E$37-ABS(tsk_FinishN-E$37))/2-(tsk_StartN+E$36+ABS(tsk_StartN-E$36))/2+1))/2)))</f>
        <v>37.3333333333333</v>
      </c>
      <c r="F41" s="77" t="n">
        <f aca="false">IF(OR($B41="",F$35=""),"",SUMPRODUCT((tsk_Resource=$B41)*tsk_WorkPerDay*((((tsk_FinishN+F$37-ABS(tsk_FinishN-F$37))/2-(tsk_StartN+F$36+ABS(tsk_StartN-F$36))/2+1)+ABS((tsk_FinishN+F$37-ABS(tsk_FinishN-F$37))/2-(tsk_StartN+F$36+ABS(tsk_StartN-F$36))/2+1))/2)))</f>
        <v>10.6666666666667</v>
      </c>
      <c r="G41" s="77" t="n">
        <f aca="false">IF(OR($B41="",G$35=""),"",SUMPRODUCT((tsk_Resource=$B41)*tsk_WorkPerDay*((((tsk_FinishN+G$37-ABS(tsk_FinishN-G$37))/2-(tsk_StartN+G$36+ABS(tsk_StartN-G$36))/2+1)+ABS((tsk_FinishN+G$37-ABS(tsk_FinishN-G$37))/2-(tsk_StartN+G$36+ABS(tsk_StartN-G$36))/2+1))/2)))</f>
        <v>0</v>
      </c>
      <c r="H41" s="77" t="n">
        <f aca="false">IF(OR($B41="",H$35=""),"",SUMPRODUCT((tsk_Resource=$B41)*tsk_WorkPerDay*((((tsk_FinishN+H$37-ABS(tsk_FinishN-H$37))/2-(tsk_StartN+H$36+ABS(tsk_StartN-H$36))/2+1)+ABS((tsk_FinishN+H$37-ABS(tsk_FinishN-H$37))/2-(tsk_StartN+H$36+ABS(tsk_StartN-H$36))/2+1))/2)))</f>
        <v>23.4285714285714</v>
      </c>
      <c r="I41" s="77" t="n">
        <f aca="false">IF(OR($B41="",I$35=""),"",SUMPRODUCT((tsk_Resource=$B41)*tsk_WorkPerDay*((((tsk_FinishN+I$37-ABS(tsk_FinishN-I$37))/2-(tsk_StartN+I$36+ABS(tsk_StartN-I$36))/2+1)+ABS((tsk_FinishN+I$37-ABS(tsk_FinishN-I$37))/2-(tsk_StartN+I$36+ABS(tsk_StartN-I$36))/2+1))/2)))</f>
        <v>8.57142857142857</v>
      </c>
      <c r="J41" s="77" t="n">
        <f aca="false">IF(OR($B41="",J$35=""),"",SUMPRODUCT((tsk_Resource=$B41)*tsk_WorkPerDay*((((tsk_FinishN+J$37-ABS(tsk_FinishN-J$37))/2-(tsk_StartN+J$36+ABS(tsk_StartN-J$36))/2+1)+ABS((tsk_FinishN+J$37-ABS(tsk_FinishN-J$37))/2-(tsk_StartN+J$36+ABS(tsk_StartN-J$36))/2+1))/2)))</f>
        <v>0</v>
      </c>
      <c r="K41" s="77" t="n">
        <f aca="false">IF(OR($B41="",K$35=""),"",SUMPRODUCT((tsk_Resource=$B41)*tsk_WorkPerDay*((((tsk_FinishN+K$37-ABS(tsk_FinishN-K$37))/2-(tsk_StartN+K$36+ABS(tsk_StartN-K$36))/2+1)+ABS((tsk_FinishN+K$37-ABS(tsk_FinishN-K$37))/2-(tsk_StartN+K$36+ABS(tsk_StartN-K$36))/2+1))/2)))</f>
        <v>0</v>
      </c>
      <c r="L41" s="77" t="n">
        <f aca="false">IF(OR($B41="",L$35=""),"",SUMPRODUCT((tsk_Resource=$B41)*tsk_WorkPerDay*((((tsk_FinishN+L$37-ABS(tsk_FinishN-L$37))/2-(tsk_StartN+L$36+ABS(tsk_StartN-L$36))/2+1)+ABS((tsk_FinishN+L$37-ABS(tsk_FinishN-L$37))/2-(tsk_StartN+L$36+ABS(tsk_StartN-L$36))/2+1))/2)))</f>
        <v>0</v>
      </c>
      <c r="M41" s="77" t="n">
        <f aca="false">IF(OR($B41="",M$35=""),"",SUMPRODUCT((tsk_Resource=$B41)*tsk_WorkPerDay*((((tsk_FinishN+M$37-ABS(tsk_FinishN-M$37))/2-(tsk_StartN+M$36+ABS(tsk_StartN-M$36))/2+1)+ABS((tsk_FinishN+M$37-ABS(tsk_FinishN-M$37))/2-(tsk_StartN+M$36+ABS(tsk_StartN-M$36))/2+1))/2)))</f>
        <v>0</v>
      </c>
      <c r="N41" s="77" t="n">
        <f aca="false">IF(OR($B41="",N$35=""),"",SUMPRODUCT((tsk_Resource=$B41)*tsk_WorkPerDay*((((tsk_FinishN+N$37-ABS(tsk_FinishN-N$37))/2-(tsk_StartN+N$36+ABS(tsk_StartN-N$36))/2+1)+ABS((tsk_FinishN+N$37-ABS(tsk_FinishN-N$37))/2-(tsk_StartN+N$36+ABS(tsk_StartN-N$36))/2+1))/2)))</f>
        <v>0</v>
      </c>
      <c r="O41" s="77" t="n">
        <f aca="false">IF(OR($B41="",O$35=""),"",SUMPRODUCT((tsk_Resource=$B41)*tsk_WorkPerDay*((((tsk_FinishN+O$37-ABS(tsk_FinishN-O$37))/2-(tsk_StartN+O$36+ABS(tsk_StartN-O$36))/2+1)+ABS((tsk_FinishN+O$37-ABS(tsk_FinishN-O$37))/2-(tsk_StartN+O$36+ABS(tsk_StartN-O$36))/2+1))/2)))</f>
        <v>0</v>
      </c>
      <c r="P41" s="77" t="str">
        <f aca="false">IF(OR($B41="",P$35=""),"",SUMPRODUCT((tsk_Resource=$B41)*tsk_WorkPerDay*((((tsk_FinishN+P$37-ABS(tsk_FinishN-P$37))/2-(tsk_StartN+P$36+ABS(tsk_StartN-P$36))/2+1)+ABS((tsk_FinishN+P$37-ABS(tsk_FinishN-P$37))/2-(tsk_StartN+P$36+ABS(tsk_StartN-P$36))/2+1))/2)))</f>
        <v/>
      </c>
      <c r="Q41" s="77" t="str">
        <f aca="false">IF(OR($B41="",Q$35=""),"",SUMPRODUCT((tsk_Resource=$B41)*tsk_WorkPerDay*((((tsk_FinishN+Q$37-ABS(tsk_FinishN-Q$37))/2-(tsk_StartN+Q$36+ABS(tsk_StartN-Q$36))/2+1)+ABS((tsk_FinishN+Q$37-ABS(tsk_FinishN-Q$37))/2-(tsk_StartN+Q$36+ABS(tsk_StartN-Q$36))/2+1))/2)))</f>
        <v/>
      </c>
      <c r="R41" s="77" t="str">
        <f aca="false">IF(OR($B41="",R$35=""),"",SUMPRODUCT((tsk_Resource=$B41)*tsk_WorkPerDay*((((tsk_FinishN+R$37-ABS(tsk_FinishN-R$37))/2-(tsk_StartN+R$36+ABS(tsk_StartN-R$36))/2+1)+ABS((tsk_FinishN+R$37-ABS(tsk_FinishN-R$37))/2-(tsk_StartN+R$36+ABS(tsk_StartN-R$36))/2+1))/2)))</f>
        <v/>
      </c>
      <c r="S41" s="77" t="str">
        <f aca="false">IF(OR($B41="",S$35=""),"",SUMPRODUCT((tsk_Resource=$B41)*tsk_WorkPerDay*((((tsk_FinishN+S$37-ABS(tsk_FinishN-S$37))/2-(tsk_StartN+S$36+ABS(tsk_StartN-S$36))/2+1)+ABS((tsk_FinishN+S$37-ABS(tsk_FinishN-S$37))/2-(tsk_StartN+S$36+ABS(tsk_StartN-S$36))/2+1))/2)))</f>
        <v/>
      </c>
      <c r="T41" s="77" t="str">
        <f aca="false">IF(OR($B41="",T$35=""),"",SUMPRODUCT((tsk_Resource=$B41)*tsk_WorkPerDay*((((tsk_FinishN+T$37-ABS(tsk_FinishN-T$37))/2-(tsk_StartN+T$36+ABS(tsk_StartN-T$36))/2+1)+ABS((tsk_FinishN+T$37-ABS(tsk_FinishN-T$37))/2-(tsk_StartN+T$36+ABS(tsk_StartN-T$36))/2+1))/2)))</f>
        <v/>
      </c>
      <c r="U41" s="77" t="str">
        <f aca="false">IF(OR($B41="",U$35=""),"",SUMPRODUCT((tsk_Resource=$B41)*tsk_WorkPerDay*((((tsk_FinishN+U$37-ABS(tsk_FinishN-U$37))/2-(tsk_StartN+U$36+ABS(tsk_StartN-U$36))/2+1)+ABS((tsk_FinishN+U$37-ABS(tsk_FinishN-U$37))/2-(tsk_StartN+U$36+ABS(tsk_StartN-U$36))/2+1))/2)))</f>
        <v/>
      </c>
      <c r="V41" s="77" t="str">
        <f aca="false">IF(OR($B41="",V$35=""),"",SUMPRODUCT((tsk_Resource=$B41)*tsk_WorkPerDay*((((tsk_FinishN+V$37-ABS(tsk_FinishN-V$37))/2-(tsk_StartN+V$36+ABS(tsk_StartN-V$36))/2+1)+ABS((tsk_FinishN+V$37-ABS(tsk_FinishN-V$37))/2-(tsk_StartN+V$36+ABS(tsk_StartN-V$36))/2+1))/2)))</f>
        <v/>
      </c>
      <c r="W41" s="77" t="str">
        <f aca="false">IF(OR($B41="",W$35=""),"",SUMPRODUCT((tsk_Resource=$B41)*tsk_WorkPerDay*((((tsk_FinishN+W$37-ABS(tsk_FinishN-W$37))/2-(tsk_StartN+W$36+ABS(tsk_StartN-W$36))/2+1)+ABS((tsk_FinishN+W$37-ABS(tsk_FinishN-W$37))/2-(tsk_StartN+W$36+ABS(tsk_StartN-W$36))/2+1))/2)))</f>
        <v/>
      </c>
      <c r="X41" s="77" t="str">
        <f aca="false">IF(OR($B41="",X$35=""),"",SUMPRODUCT((tsk_Resource=$B41)*tsk_WorkPerDay*((((tsk_FinishN+X$37-ABS(tsk_FinishN-X$37))/2-(tsk_StartN+X$36+ABS(tsk_StartN-X$36))/2+1)+ABS((tsk_FinishN+X$37-ABS(tsk_FinishN-X$37))/2-(tsk_StartN+X$36+ABS(tsk_StartN-X$36))/2+1))/2)))</f>
        <v/>
      </c>
      <c r="Y41" s="77" t="str">
        <f aca="false">IF(OR($B41="",Y$35=""),"",SUMPRODUCT((tsk_Resource=$B41)*tsk_WorkPerDay*((((tsk_FinishN+Y$37-ABS(tsk_FinishN-Y$37))/2-(tsk_StartN+Y$36+ABS(tsk_StartN-Y$36))/2+1)+ABS((tsk_FinishN+Y$37-ABS(tsk_FinishN-Y$37))/2-(tsk_StartN+Y$36+ABS(tsk_StartN-Y$36))/2+1))/2)))</f>
        <v/>
      </c>
      <c r="Z41" s="77" t="str">
        <f aca="false">IF(OR($B41="",Z$35=""),"",SUMPRODUCT((tsk_Resource=$B41)*tsk_WorkPerDay*((((tsk_FinishN+Z$37-ABS(tsk_FinishN-Z$37))/2-(tsk_StartN+Z$36+ABS(tsk_StartN-Z$36))/2+1)+ABS((tsk_FinishN+Z$37-ABS(tsk_FinishN-Z$37))/2-(tsk_StartN+Z$36+ABS(tsk_StartN-Z$36))/2+1))/2)))</f>
        <v/>
      </c>
      <c r="AA41" s="77" t="str">
        <f aca="false">IF(OR($B41="",AA$35=""),"",SUMPRODUCT((tsk_Resource=$B41)*tsk_WorkPerDay*((((tsk_FinishN+AA$37-ABS(tsk_FinishN-AA$37))/2-(tsk_StartN+AA$36+ABS(tsk_StartN-AA$36))/2+1)+ABS((tsk_FinishN+AA$37-ABS(tsk_FinishN-AA$37))/2-(tsk_StartN+AA$36+ABS(tsk_StartN-AA$36))/2+1))/2)))</f>
        <v/>
      </c>
      <c r="AB41" s="77" t="str">
        <f aca="false">IF(OR($B41="",AB$35=""),"",SUMPRODUCT((tsk_Resource=$B41)*tsk_WorkPerDay*((((tsk_FinishN+AB$37-ABS(tsk_FinishN-AB$37))/2-(tsk_StartN+AB$36+ABS(tsk_StartN-AB$36))/2+1)+ABS((tsk_FinishN+AB$37-ABS(tsk_FinishN-AB$37))/2-(tsk_StartN+AB$36+ABS(tsk_StartN-AB$36))/2+1))/2)))</f>
        <v/>
      </c>
      <c r="AC41" s="77" t="str">
        <f aca="false">IF(OR($B41="",AC$35=""),"",SUMPRODUCT((tsk_Resource=$B41)*tsk_WorkPerDay*((((tsk_FinishN+AC$37-ABS(tsk_FinishN-AC$37))/2-(tsk_StartN+AC$36+ABS(tsk_StartN-AC$36))/2+1)+ABS((tsk_FinishN+AC$37-ABS(tsk_FinishN-AC$37))/2-(tsk_StartN+AC$36+ABS(tsk_StartN-AC$36))/2+1))/2)))</f>
        <v/>
      </c>
    </row>
    <row r="42" customFormat="false" ht="15" hidden="false" customHeight="false" outlineLevel="0" collapsed="false">
      <c r="B42" s="75" t="str">
        <f aca="false">IF(INDEX(res_Name,5)="","",INDEX(res_Name,5))</f>
        <v>Jordan Lee</v>
      </c>
      <c r="C42" s="76" t="n">
        <f aca="false">IF($B42="","",INDEX(res_MaxUnits,5))</f>
        <v>1</v>
      </c>
      <c r="D42" s="77" t="n">
        <f aca="false">IF(OR($B42="",D$35=""),"",SUMPRODUCT((tsk_Resource=$B42)*tsk_WorkPerDay*((((tsk_FinishN+D$37-ABS(tsk_FinishN-D$37))/2-(tsk_StartN+D$36+ABS(tsk_StartN-D$36))/2+1)+ABS((tsk_FinishN+D$37-ABS(tsk_FinishN-D$37))/2-(tsk_StartN+D$36+ABS(tsk_StartN-D$36))/2+1))/2)))</f>
        <v>0</v>
      </c>
      <c r="E42" s="77" t="n">
        <f aca="false">IF(OR($B42="",E$35=""),"",SUMPRODUCT((tsk_Resource=$B42)*tsk_WorkPerDay*((((tsk_FinishN+E$37-ABS(tsk_FinishN-E$37))/2-(tsk_StartN+E$36+ABS(tsk_StartN-E$36))/2+1)+ABS((tsk_FinishN+E$37-ABS(tsk_FinishN-E$37))/2-(tsk_StartN+E$36+ABS(tsk_StartN-E$36))/2+1))/2)))</f>
        <v>0</v>
      </c>
      <c r="F42" s="77" t="n">
        <f aca="false">IF(OR($B42="",F$35=""),"",SUMPRODUCT((tsk_Resource=$B42)*tsk_WorkPerDay*((((tsk_FinishN+F$37-ABS(tsk_FinishN-F$37))/2-(tsk_StartN+F$36+ABS(tsk_StartN-F$36))/2+1)+ABS((tsk_FinishN+F$37-ABS(tsk_FinishN-F$37))/2-(tsk_StartN+F$36+ABS(tsk_StartN-F$36))/2+1))/2)))</f>
        <v>60</v>
      </c>
      <c r="G42" s="77" t="n">
        <f aca="false">IF(OR($B42="",G$35=""),"",SUMPRODUCT((tsk_Resource=$B42)*tsk_WorkPerDay*((((tsk_FinishN+G$37-ABS(tsk_FinishN-G$37))/2-(tsk_StartN+G$36+ABS(tsk_StartN-G$36))/2+1)+ABS((tsk_FinishN+G$37-ABS(tsk_FinishN-G$37))/2-(tsk_StartN+G$36+ABS(tsk_StartN-G$36))/2+1))/2)))</f>
        <v>60</v>
      </c>
      <c r="H42" s="77" t="n">
        <f aca="false">IF(OR($B42="",H$35=""),"",SUMPRODUCT((tsk_Resource=$B42)*tsk_WorkPerDay*((((tsk_FinishN+H$37-ABS(tsk_FinishN-H$37))/2-(tsk_StartN+H$36+ABS(tsk_StartN-H$36))/2+1)+ABS((tsk_FinishN+H$37-ABS(tsk_FinishN-H$37))/2-(tsk_StartN+H$36+ABS(tsk_StartN-H$36))/2+1))/2)))</f>
        <v>48</v>
      </c>
      <c r="I42" s="77" t="n">
        <f aca="false">IF(OR($B42="",I$35=""),"",SUMPRODUCT((tsk_Resource=$B42)*tsk_WorkPerDay*((((tsk_FinishN+I$37-ABS(tsk_FinishN-I$37))/2-(tsk_StartN+I$36+ABS(tsk_StartN-I$36))/2+1)+ABS((tsk_FinishN+I$37-ABS(tsk_FinishN-I$37))/2-(tsk_StartN+I$36+ABS(tsk_StartN-I$36))/2+1))/2)))</f>
        <v>0</v>
      </c>
      <c r="J42" s="77" t="n">
        <f aca="false">IF(OR($B42="",J$35=""),"",SUMPRODUCT((tsk_Resource=$B42)*tsk_WorkPerDay*((((tsk_FinishN+J$37-ABS(tsk_FinishN-J$37))/2-(tsk_StartN+J$36+ABS(tsk_StartN-J$36))/2+1)+ABS((tsk_FinishN+J$37-ABS(tsk_FinishN-J$37))/2-(tsk_StartN+J$36+ABS(tsk_StartN-J$36))/2+1))/2)))</f>
        <v>0</v>
      </c>
      <c r="K42" s="77" t="n">
        <f aca="false">IF(OR($B42="",K$35=""),"",SUMPRODUCT((tsk_Resource=$B42)*tsk_WorkPerDay*((((tsk_FinishN+K$37-ABS(tsk_FinishN-K$37))/2-(tsk_StartN+K$36+ABS(tsk_StartN-K$36))/2+1)+ABS((tsk_FinishN+K$37-ABS(tsk_FinishN-K$37))/2-(tsk_StartN+K$36+ABS(tsk_StartN-K$36))/2+1))/2)))</f>
        <v>24</v>
      </c>
      <c r="L42" s="77" t="n">
        <f aca="false">IF(OR($B42="",L$35=""),"",SUMPRODUCT((tsk_Resource=$B42)*tsk_WorkPerDay*((((tsk_FinishN+L$37-ABS(tsk_FinishN-L$37))/2-(tsk_StartN+L$36+ABS(tsk_StartN-L$36))/2+1)+ABS((tsk_FinishN+L$37-ABS(tsk_FinishN-L$37))/2-(tsk_StartN+L$36+ABS(tsk_StartN-L$36))/2+1))/2)))</f>
        <v>16</v>
      </c>
      <c r="M42" s="77" t="n">
        <f aca="false">IF(OR($B42="",M$35=""),"",SUMPRODUCT((tsk_Resource=$B42)*tsk_WorkPerDay*((((tsk_FinishN+M$37-ABS(tsk_FinishN-M$37))/2-(tsk_StartN+M$36+ABS(tsk_StartN-M$36))/2+1)+ABS((tsk_FinishN+M$37-ABS(tsk_FinishN-M$37))/2-(tsk_StartN+M$36+ABS(tsk_StartN-M$36))/2+1))/2)))</f>
        <v>0</v>
      </c>
      <c r="N42" s="77" t="n">
        <f aca="false">IF(OR($B42="",N$35=""),"",SUMPRODUCT((tsk_Resource=$B42)*tsk_WorkPerDay*((((tsk_FinishN+N$37-ABS(tsk_FinishN-N$37))/2-(tsk_StartN+N$36+ABS(tsk_StartN-N$36))/2+1)+ABS((tsk_FinishN+N$37-ABS(tsk_FinishN-N$37))/2-(tsk_StartN+N$36+ABS(tsk_StartN-N$36))/2+1))/2)))</f>
        <v>0</v>
      </c>
      <c r="O42" s="77" t="n">
        <f aca="false">IF(OR($B42="",O$35=""),"",SUMPRODUCT((tsk_Resource=$B42)*tsk_WorkPerDay*((((tsk_FinishN+O$37-ABS(tsk_FinishN-O$37))/2-(tsk_StartN+O$36+ABS(tsk_StartN-O$36))/2+1)+ABS((tsk_FinishN+O$37-ABS(tsk_FinishN-O$37))/2-(tsk_StartN+O$36+ABS(tsk_StartN-O$36))/2+1))/2)))</f>
        <v>0</v>
      </c>
      <c r="P42" s="77" t="str">
        <f aca="false">IF(OR($B42="",P$35=""),"",SUMPRODUCT((tsk_Resource=$B42)*tsk_WorkPerDay*((((tsk_FinishN+P$37-ABS(tsk_FinishN-P$37))/2-(tsk_StartN+P$36+ABS(tsk_StartN-P$36))/2+1)+ABS((tsk_FinishN+P$37-ABS(tsk_FinishN-P$37))/2-(tsk_StartN+P$36+ABS(tsk_StartN-P$36))/2+1))/2)))</f>
        <v/>
      </c>
      <c r="Q42" s="77" t="str">
        <f aca="false">IF(OR($B42="",Q$35=""),"",SUMPRODUCT((tsk_Resource=$B42)*tsk_WorkPerDay*((((tsk_FinishN+Q$37-ABS(tsk_FinishN-Q$37))/2-(tsk_StartN+Q$36+ABS(tsk_StartN-Q$36))/2+1)+ABS((tsk_FinishN+Q$37-ABS(tsk_FinishN-Q$37))/2-(tsk_StartN+Q$36+ABS(tsk_StartN-Q$36))/2+1))/2)))</f>
        <v/>
      </c>
      <c r="R42" s="77" t="str">
        <f aca="false">IF(OR($B42="",R$35=""),"",SUMPRODUCT((tsk_Resource=$B42)*tsk_WorkPerDay*((((tsk_FinishN+R$37-ABS(tsk_FinishN-R$37))/2-(tsk_StartN+R$36+ABS(tsk_StartN-R$36))/2+1)+ABS((tsk_FinishN+R$37-ABS(tsk_FinishN-R$37))/2-(tsk_StartN+R$36+ABS(tsk_StartN-R$36))/2+1))/2)))</f>
        <v/>
      </c>
      <c r="S42" s="77" t="str">
        <f aca="false">IF(OR($B42="",S$35=""),"",SUMPRODUCT((tsk_Resource=$B42)*tsk_WorkPerDay*((((tsk_FinishN+S$37-ABS(tsk_FinishN-S$37))/2-(tsk_StartN+S$36+ABS(tsk_StartN-S$36))/2+1)+ABS((tsk_FinishN+S$37-ABS(tsk_FinishN-S$37))/2-(tsk_StartN+S$36+ABS(tsk_StartN-S$36))/2+1))/2)))</f>
        <v/>
      </c>
      <c r="T42" s="77" t="str">
        <f aca="false">IF(OR($B42="",T$35=""),"",SUMPRODUCT((tsk_Resource=$B42)*tsk_WorkPerDay*((((tsk_FinishN+T$37-ABS(tsk_FinishN-T$37))/2-(tsk_StartN+T$36+ABS(tsk_StartN-T$36))/2+1)+ABS((tsk_FinishN+T$37-ABS(tsk_FinishN-T$37))/2-(tsk_StartN+T$36+ABS(tsk_StartN-T$36))/2+1))/2)))</f>
        <v/>
      </c>
      <c r="U42" s="77" t="str">
        <f aca="false">IF(OR($B42="",U$35=""),"",SUMPRODUCT((tsk_Resource=$B42)*tsk_WorkPerDay*((((tsk_FinishN+U$37-ABS(tsk_FinishN-U$37))/2-(tsk_StartN+U$36+ABS(tsk_StartN-U$36))/2+1)+ABS((tsk_FinishN+U$37-ABS(tsk_FinishN-U$37))/2-(tsk_StartN+U$36+ABS(tsk_StartN-U$36))/2+1))/2)))</f>
        <v/>
      </c>
      <c r="V42" s="77" t="str">
        <f aca="false">IF(OR($B42="",V$35=""),"",SUMPRODUCT((tsk_Resource=$B42)*tsk_WorkPerDay*((((tsk_FinishN+V$37-ABS(tsk_FinishN-V$37))/2-(tsk_StartN+V$36+ABS(tsk_StartN-V$36))/2+1)+ABS((tsk_FinishN+V$37-ABS(tsk_FinishN-V$37))/2-(tsk_StartN+V$36+ABS(tsk_StartN-V$36))/2+1))/2)))</f>
        <v/>
      </c>
      <c r="W42" s="77" t="str">
        <f aca="false">IF(OR($B42="",W$35=""),"",SUMPRODUCT((tsk_Resource=$B42)*tsk_WorkPerDay*((((tsk_FinishN+W$37-ABS(tsk_FinishN-W$37))/2-(tsk_StartN+W$36+ABS(tsk_StartN-W$36))/2+1)+ABS((tsk_FinishN+W$37-ABS(tsk_FinishN-W$37))/2-(tsk_StartN+W$36+ABS(tsk_StartN-W$36))/2+1))/2)))</f>
        <v/>
      </c>
      <c r="X42" s="77" t="str">
        <f aca="false">IF(OR($B42="",X$35=""),"",SUMPRODUCT((tsk_Resource=$B42)*tsk_WorkPerDay*((((tsk_FinishN+X$37-ABS(tsk_FinishN-X$37))/2-(tsk_StartN+X$36+ABS(tsk_StartN-X$36))/2+1)+ABS((tsk_FinishN+X$37-ABS(tsk_FinishN-X$37))/2-(tsk_StartN+X$36+ABS(tsk_StartN-X$36))/2+1))/2)))</f>
        <v/>
      </c>
      <c r="Y42" s="77" t="str">
        <f aca="false">IF(OR($B42="",Y$35=""),"",SUMPRODUCT((tsk_Resource=$B42)*tsk_WorkPerDay*((((tsk_FinishN+Y$37-ABS(tsk_FinishN-Y$37))/2-(tsk_StartN+Y$36+ABS(tsk_StartN-Y$36))/2+1)+ABS((tsk_FinishN+Y$37-ABS(tsk_FinishN-Y$37))/2-(tsk_StartN+Y$36+ABS(tsk_StartN-Y$36))/2+1))/2)))</f>
        <v/>
      </c>
      <c r="Z42" s="77" t="str">
        <f aca="false">IF(OR($B42="",Z$35=""),"",SUMPRODUCT((tsk_Resource=$B42)*tsk_WorkPerDay*((((tsk_FinishN+Z$37-ABS(tsk_FinishN-Z$37))/2-(tsk_StartN+Z$36+ABS(tsk_StartN-Z$36))/2+1)+ABS((tsk_FinishN+Z$37-ABS(tsk_FinishN-Z$37))/2-(tsk_StartN+Z$36+ABS(tsk_StartN-Z$36))/2+1))/2)))</f>
        <v/>
      </c>
      <c r="AA42" s="77" t="str">
        <f aca="false">IF(OR($B42="",AA$35=""),"",SUMPRODUCT((tsk_Resource=$B42)*tsk_WorkPerDay*((((tsk_FinishN+AA$37-ABS(tsk_FinishN-AA$37))/2-(tsk_StartN+AA$36+ABS(tsk_StartN-AA$36))/2+1)+ABS((tsk_FinishN+AA$37-ABS(tsk_FinishN-AA$37))/2-(tsk_StartN+AA$36+ABS(tsk_StartN-AA$36))/2+1))/2)))</f>
        <v/>
      </c>
      <c r="AB42" s="77" t="str">
        <f aca="false">IF(OR($B42="",AB$35=""),"",SUMPRODUCT((tsk_Resource=$B42)*tsk_WorkPerDay*((((tsk_FinishN+AB$37-ABS(tsk_FinishN-AB$37))/2-(tsk_StartN+AB$36+ABS(tsk_StartN-AB$36))/2+1)+ABS((tsk_FinishN+AB$37-ABS(tsk_FinishN-AB$37))/2-(tsk_StartN+AB$36+ABS(tsk_StartN-AB$36))/2+1))/2)))</f>
        <v/>
      </c>
      <c r="AC42" s="77" t="str">
        <f aca="false">IF(OR($B42="",AC$35=""),"",SUMPRODUCT((tsk_Resource=$B42)*tsk_WorkPerDay*((((tsk_FinishN+AC$37-ABS(tsk_FinishN-AC$37))/2-(tsk_StartN+AC$36+ABS(tsk_StartN-AC$36))/2+1)+ABS((tsk_FinishN+AC$37-ABS(tsk_FinishN-AC$37))/2-(tsk_StartN+AC$36+ABS(tsk_StartN-AC$36))/2+1))/2)))</f>
        <v/>
      </c>
    </row>
    <row r="43" customFormat="false" ht="15" hidden="false" customHeight="false" outlineLevel="0" collapsed="false">
      <c r="B43" s="75" t="str">
        <f aca="false">IF(INDEX(res_Name,6)="","",INDEX(res_Name,6))</f>
        <v>Sam Rivera</v>
      </c>
      <c r="C43" s="76" t="n">
        <f aca="false">IF($B43="","",INDEX(res_MaxUnits,6))</f>
        <v>1</v>
      </c>
      <c r="D43" s="77" t="n">
        <f aca="false">IF(OR($B43="",D$35=""),"",SUMPRODUCT((tsk_Resource=$B43)*tsk_WorkPerDay*((((tsk_FinishN+D$37-ABS(tsk_FinishN-D$37))/2-(tsk_StartN+D$36+ABS(tsk_StartN-D$36))/2+1)+ABS((tsk_FinishN+D$37-ABS(tsk_FinishN-D$37))/2-(tsk_StartN+D$36+ABS(tsk_StartN-D$36))/2+1))/2)))</f>
        <v>0</v>
      </c>
      <c r="E43" s="77" t="n">
        <f aca="false">IF(OR($B43="",E$35=""),"",SUMPRODUCT((tsk_Resource=$B43)*tsk_WorkPerDay*((((tsk_FinishN+E$37-ABS(tsk_FinishN-E$37))/2-(tsk_StartN+E$36+ABS(tsk_StartN-E$36))/2+1)+ABS((tsk_FinishN+E$37-ABS(tsk_FinishN-E$37))/2-(tsk_StartN+E$36+ABS(tsk_StartN-E$36))/2+1))/2)))</f>
        <v>0</v>
      </c>
      <c r="F43" s="77" t="n">
        <f aca="false">IF(OR($B43="",F$35=""),"",SUMPRODUCT((tsk_Resource=$B43)*tsk_WorkPerDay*((((tsk_FinishN+F$37-ABS(tsk_FinishN-F$37))/2-(tsk_StartN+F$36+ABS(tsk_StartN-F$36))/2+1)+ABS((tsk_FinishN+F$37-ABS(tsk_FinishN-F$37))/2-(tsk_StartN+F$36+ABS(tsk_StartN-F$36))/2+1))/2)))</f>
        <v>48</v>
      </c>
      <c r="G43" s="77" t="n">
        <f aca="false">IF(OR($B43="",G$35=""),"",SUMPRODUCT((tsk_Resource=$B43)*tsk_WorkPerDay*((((tsk_FinishN+G$37-ABS(tsk_FinishN-G$37))/2-(tsk_StartN+G$36+ABS(tsk_StartN-G$36))/2+1)+ABS((tsk_FinishN+G$37-ABS(tsk_FinishN-G$37))/2-(tsk_StartN+G$36+ABS(tsk_StartN-G$36))/2+1))/2)))</f>
        <v>74.6666666666667</v>
      </c>
      <c r="H43" s="77" t="n">
        <f aca="false">IF(OR($B43="",H$35=""),"",SUMPRODUCT((tsk_Resource=$B43)*tsk_WorkPerDay*((((tsk_FinishN+H$37-ABS(tsk_FinishN-H$37))/2-(tsk_StartN+H$36+ABS(tsk_StartN-H$36))/2+1)+ABS((tsk_FinishN+H$37-ABS(tsk_FinishN-H$37))/2-(tsk_StartN+H$36+ABS(tsk_StartN-H$36))/2+1))/2)))</f>
        <v>21.3333333333333</v>
      </c>
      <c r="I43" s="77" t="n">
        <f aca="false">IF(OR($B43="",I$35=""),"",SUMPRODUCT((tsk_Resource=$B43)*tsk_WorkPerDay*((((tsk_FinishN+I$37-ABS(tsk_FinishN-I$37))/2-(tsk_StartN+I$36+ABS(tsk_StartN-I$36))/2+1)+ABS((tsk_FinishN+I$37-ABS(tsk_FinishN-I$37))/2-(tsk_StartN+I$36+ABS(tsk_StartN-I$36))/2+1))/2)))</f>
        <v>0</v>
      </c>
      <c r="J43" s="77" t="n">
        <f aca="false">IF(OR($B43="",J$35=""),"",SUMPRODUCT((tsk_Resource=$B43)*tsk_WorkPerDay*((((tsk_FinishN+J$37-ABS(tsk_FinishN-J$37))/2-(tsk_StartN+J$36+ABS(tsk_StartN-J$36))/2+1)+ABS((tsk_FinishN+J$37-ABS(tsk_FinishN-J$37))/2-(tsk_StartN+J$36+ABS(tsk_StartN-J$36))/2+1))/2)))</f>
        <v>0</v>
      </c>
      <c r="K43" s="77" t="n">
        <f aca="false">IF(OR($B43="",K$35=""),"",SUMPRODUCT((tsk_Resource=$B43)*tsk_WorkPerDay*((((tsk_FinishN+K$37-ABS(tsk_FinishN-K$37))/2-(tsk_StartN+K$36+ABS(tsk_StartN-K$36))/2+1)+ABS((tsk_FinishN+K$37-ABS(tsk_FinishN-K$37))/2-(tsk_StartN+K$36+ABS(tsk_StartN-K$36))/2+1))/2)))</f>
        <v>0</v>
      </c>
      <c r="L43" s="77" t="n">
        <f aca="false">IF(OR($B43="",L$35=""),"",SUMPRODUCT((tsk_Resource=$B43)*tsk_WorkPerDay*((((tsk_FinishN+L$37-ABS(tsk_FinishN-L$37))/2-(tsk_StartN+L$36+ABS(tsk_StartN-L$36))/2+1)+ABS((tsk_FinishN+L$37-ABS(tsk_FinishN-L$37))/2-(tsk_StartN+L$36+ABS(tsk_StartN-L$36))/2+1))/2)))</f>
        <v>0</v>
      </c>
      <c r="M43" s="77" t="n">
        <f aca="false">IF(OR($B43="",M$35=""),"",SUMPRODUCT((tsk_Resource=$B43)*tsk_WorkPerDay*((((tsk_FinishN+M$37-ABS(tsk_FinishN-M$37))/2-(tsk_StartN+M$36+ABS(tsk_StartN-M$36))/2+1)+ABS((tsk_FinishN+M$37-ABS(tsk_FinishN-M$37))/2-(tsk_StartN+M$36+ABS(tsk_StartN-M$36))/2+1))/2)))</f>
        <v>0</v>
      </c>
      <c r="N43" s="77" t="n">
        <f aca="false">IF(OR($B43="",N$35=""),"",SUMPRODUCT((tsk_Resource=$B43)*tsk_WorkPerDay*((((tsk_FinishN+N$37-ABS(tsk_FinishN-N$37))/2-(tsk_StartN+N$36+ABS(tsk_StartN-N$36))/2+1)+ABS((tsk_FinishN+N$37-ABS(tsk_FinishN-N$37))/2-(tsk_StartN+N$36+ABS(tsk_StartN-N$36))/2+1))/2)))</f>
        <v>0</v>
      </c>
      <c r="O43" s="77" t="n">
        <f aca="false">IF(OR($B43="",O$35=""),"",SUMPRODUCT((tsk_Resource=$B43)*tsk_WorkPerDay*((((tsk_FinishN+O$37-ABS(tsk_FinishN-O$37))/2-(tsk_StartN+O$36+ABS(tsk_StartN-O$36))/2+1)+ABS((tsk_FinishN+O$37-ABS(tsk_FinishN-O$37))/2-(tsk_StartN+O$36+ABS(tsk_StartN-O$36))/2+1))/2)))</f>
        <v>0</v>
      </c>
      <c r="P43" s="77" t="str">
        <f aca="false">IF(OR($B43="",P$35=""),"",SUMPRODUCT((tsk_Resource=$B43)*tsk_WorkPerDay*((((tsk_FinishN+P$37-ABS(tsk_FinishN-P$37))/2-(tsk_StartN+P$36+ABS(tsk_StartN-P$36))/2+1)+ABS((tsk_FinishN+P$37-ABS(tsk_FinishN-P$37))/2-(tsk_StartN+P$36+ABS(tsk_StartN-P$36))/2+1))/2)))</f>
        <v/>
      </c>
      <c r="Q43" s="77" t="str">
        <f aca="false">IF(OR($B43="",Q$35=""),"",SUMPRODUCT((tsk_Resource=$B43)*tsk_WorkPerDay*((((tsk_FinishN+Q$37-ABS(tsk_FinishN-Q$37))/2-(tsk_StartN+Q$36+ABS(tsk_StartN-Q$36))/2+1)+ABS((tsk_FinishN+Q$37-ABS(tsk_FinishN-Q$37))/2-(tsk_StartN+Q$36+ABS(tsk_StartN-Q$36))/2+1))/2)))</f>
        <v/>
      </c>
      <c r="R43" s="77" t="str">
        <f aca="false">IF(OR($B43="",R$35=""),"",SUMPRODUCT((tsk_Resource=$B43)*tsk_WorkPerDay*((((tsk_FinishN+R$37-ABS(tsk_FinishN-R$37))/2-(tsk_StartN+R$36+ABS(tsk_StartN-R$36))/2+1)+ABS((tsk_FinishN+R$37-ABS(tsk_FinishN-R$37))/2-(tsk_StartN+R$36+ABS(tsk_StartN-R$36))/2+1))/2)))</f>
        <v/>
      </c>
      <c r="S43" s="77" t="str">
        <f aca="false">IF(OR($B43="",S$35=""),"",SUMPRODUCT((tsk_Resource=$B43)*tsk_WorkPerDay*((((tsk_FinishN+S$37-ABS(tsk_FinishN-S$37))/2-(tsk_StartN+S$36+ABS(tsk_StartN-S$36))/2+1)+ABS((tsk_FinishN+S$37-ABS(tsk_FinishN-S$37))/2-(tsk_StartN+S$36+ABS(tsk_StartN-S$36))/2+1))/2)))</f>
        <v/>
      </c>
      <c r="T43" s="77" t="str">
        <f aca="false">IF(OR($B43="",T$35=""),"",SUMPRODUCT((tsk_Resource=$B43)*tsk_WorkPerDay*((((tsk_FinishN+T$37-ABS(tsk_FinishN-T$37))/2-(tsk_StartN+T$36+ABS(tsk_StartN-T$36))/2+1)+ABS((tsk_FinishN+T$37-ABS(tsk_FinishN-T$37))/2-(tsk_StartN+T$36+ABS(tsk_StartN-T$36))/2+1))/2)))</f>
        <v/>
      </c>
      <c r="U43" s="77" t="str">
        <f aca="false">IF(OR($B43="",U$35=""),"",SUMPRODUCT((tsk_Resource=$B43)*tsk_WorkPerDay*((((tsk_FinishN+U$37-ABS(tsk_FinishN-U$37))/2-(tsk_StartN+U$36+ABS(tsk_StartN-U$36))/2+1)+ABS((tsk_FinishN+U$37-ABS(tsk_FinishN-U$37))/2-(tsk_StartN+U$36+ABS(tsk_StartN-U$36))/2+1))/2)))</f>
        <v/>
      </c>
      <c r="V43" s="77" t="str">
        <f aca="false">IF(OR($B43="",V$35=""),"",SUMPRODUCT((tsk_Resource=$B43)*tsk_WorkPerDay*((((tsk_FinishN+V$37-ABS(tsk_FinishN-V$37))/2-(tsk_StartN+V$36+ABS(tsk_StartN-V$36))/2+1)+ABS((tsk_FinishN+V$37-ABS(tsk_FinishN-V$37))/2-(tsk_StartN+V$36+ABS(tsk_StartN-V$36))/2+1))/2)))</f>
        <v/>
      </c>
      <c r="W43" s="77" t="str">
        <f aca="false">IF(OR($B43="",W$35=""),"",SUMPRODUCT((tsk_Resource=$B43)*tsk_WorkPerDay*((((tsk_FinishN+W$37-ABS(tsk_FinishN-W$37))/2-(tsk_StartN+W$36+ABS(tsk_StartN-W$36))/2+1)+ABS((tsk_FinishN+W$37-ABS(tsk_FinishN-W$37))/2-(tsk_StartN+W$36+ABS(tsk_StartN-W$36))/2+1))/2)))</f>
        <v/>
      </c>
      <c r="X43" s="77" t="str">
        <f aca="false">IF(OR($B43="",X$35=""),"",SUMPRODUCT((tsk_Resource=$B43)*tsk_WorkPerDay*((((tsk_FinishN+X$37-ABS(tsk_FinishN-X$37))/2-(tsk_StartN+X$36+ABS(tsk_StartN-X$36))/2+1)+ABS((tsk_FinishN+X$37-ABS(tsk_FinishN-X$37))/2-(tsk_StartN+X$36+ABS(tsk_StartN-X$36))/2+1))/2)))</f>
        <v/>
      </c>
      <c r="Y43" s="77" t="str">
        <f aca="false">IF(OR($B43="",Y$35=""),"",SUMPRODUCT((tsk_Resource=$B43)*tsk_WorkPerDay*((((tsk_FinishN+Y$37-ABS(tsk_FinishN-Y$37))/2-(tsk_StartN+Y$36+ABS(tsk_StartN-Y$36))/2+1)+ABS((tsk_FinishN+Y$37-ABS(tsk_FinishN-Y$37))/2-(tsk_StartN+Y$36+ABS(tsk_StartN-Y$36))/2+1))/2)))</f>
        <v/>
      </c>
      <c r="Z43" s="77" t="str">
        <f aca="false">IF(OR($B43="",Z$35=""),"",SUMPRODUCT((tsk_Resource=$B43)*tsk_WorkPerDay*((((tsk_FinishN+Z$37-ABS(tsk_FinishN-Z$37))/2-(tsk_StartN+Z$36+ABS(tsk_StartN-Z$36))/2+1)+ABS((tsk_FinishN+Z$37-ABS(tsk_FinishN-Z$37))/2-(tsk_StartN+Z$36+ABS(tsk_StartN-Z$36))/2+1))/2)))</f>
        <v/>
      </c>
      <c r="AA43" s="77" t="str">
        <f aca="false">IF(OR($B43="",AA$35=""),"",SUMPRODUCT((tsk_Resource=$B43)*tsk_WorkPerDay*((((tsk_FinishN+AA$37-ABS(tsk_FinishN-AA$37))/2-(tsk_StartN+AA$36+ABS(tsk_StartN-AA$36))/2+1)+ABS((tsk_FinishN+AA$37-ABS(tsk_FinishN-AA$37))/2-(tsk_StartN+AA$36+ABS(tsk_StartN-AA$36))/2+1))/2)))</f>
        <v/>
      </c>
      <c r="AB43" s="77" t="str">
        <f aca="false">IF(OR($B43="",AB$35=""),"",SUMPRODUCT((tsk_Resource=$B43)*tsk_WorkPerDay*((((tsk_FinishN+AB$37-ABS(tsk_FinishN-AB$37))/2-(tsk_StartN+AB$36+ABS(tsk_StartN-AB$36))/2+1)+ABS((tsk_FinishN+AB$37-ABS(tsk_FinishN-AB$37))/2-(tsk_StartN+AB$36+ABS(tsk_StartN-AB$36))/2+1))/2)))</f>
        <v/>
      </c>
      <c r="AC43" s="77" t="str">
        <f aca="false">IF(OR($B43="",AC$35=""),"",SUMPRODUCT((tsk_Resource=$B43)*tsk_WorkPerDay*((((tsk_FinishN+AC$37-ABS(tsk_FinishN-AC$37))/2-(tsk_StartN+AC$36+ABS(tsk_StartN-AC$36))/2+1)+ABS((tsk_FinishN+AC$37-ABS(tsk_FinishN-AC$37))/2-(tsk_StartN+AC$36+ABS(tsk_StartN-AC$36))/2+1))/2)))</f>
        <v/>
      </c>
    </row>
    <row r="44" customFormat="false" ht="15" hidden="false" customHeight="false" outlineLevel="0" collapsed="false">
      <c r="B44" s="75" t="str">
        <f aca="false">IF(INDEX(res_Name,7)="","",INDEX(res_Name,7))</f>
        <v>Taylor Morgan</v>
      </c>
      <c r="C44" s="76" t="n">
        <f aca="false">IF($B44="","",INDEX(res_MaxUnits,7))</f>
        <v>1</v>
      </c>
      <c r="D44" s="77" t="n">
        <f aca="false">IF(OR($B44="",D$35=""),"",SUMPRODUCT((tsk_Resource=$B44)*tsk_WorkPerDay*((((tsk_FinishN+D$37-ABS(tsk_FinishN-D$37))/2-(tsk_StartN+D$36+ABS(tsk_StartN-D$36))/2+1)+ABS((tsk_FinishN+D$37-ABS(tsk_FinishN-D$37))/2-(tsk_StartN+D$36+ABS(tsk_StartN-D$36))/2+1))/2)))</f>
        <v>0</v>
      </c>
      <c r="E44" s="77" t="n">
        <f aca="false">IF(OR($B44="",E$35=""),"",SUMPRODUCT((tsk_Resource=$B44)*tsk_WorkPerDay*((((tsk_FinishN+E$37-ABS(tsk_FinishN-E$37))/2-(tsk_StartN+E$36+ABS(tsk_StartN-E$36))/2+1)+ABS((tsk_FinishN+E$37-ABS(tsk_FinishN-E$37))/2-(tsk_StartN+E$36+ABS(tsk_StartN-E$36))/2+1))/2)))</f>
        <v>0</v>
      </c>
      <c r="F44" s="77" t="n">
        <f aca="false">IF(OR($B44="",F$35=""),"",SUMPRODUCT((tsk_Resource=$B44)*tsk_WorkPerDay*((((tsk_FinishN+F$37-ABS(tsk_FinishN-F$37))/2-(tsk_StartN+F$36+ABS(tsk_StartN-F$36))/2+1)+ABS((tsk_FinishN+F$37-ABS(tsk_FinishN-F$37))/2-(tsk_StartN+F$36+ABS(tsk_StartN-F$36))/2+1))/2)))</f>
        <v>0</v>
      </c>
      <c r="G44" s="77" t="n">
        <f aca="false">IF(OR($B44="",G$35=""),"",SUMPRODUCT((tsk_Resource=$B44)*tsk_WorkPerDay*((((tsk_FinishN+G$37-ABS(tsk_FinishN-G$37))/2-(tsk_StartN+G$36+ABS(tsk_StartN-G$36))/2+1)+ABS((tsk_FinishN+G$37-ABS(tsk_FinishN-G$37))/2-(tsk_StartN+G$36+ABS(tsk_StartN-G$36))/2+1))/2)))</f>
        <v>0</v>
      </c>
      <c r="H44" s="77" t="n">
        <f aca="false">IF(OR($B44="",H$35=""),"",SUMPRODUCT((tsk_Resource=$B44)*tsk_WorkPerDay*((((tsk_FinishN+H$37-ABS(tsk_FinishN-H$37))/2-(tsk_StartN+H$36+ABS(tsk_StartN-H$36))/2+1)+ABS((tsk_FinishN+H$37-ABS(tsk_FinishN-H$37))/2-(tsk_StartN+H$36+ABS(tsk_StartN-H$36))/2+1))/2)))</f>
        <v>38.4</v>
      </c>
      <c r="I44" s="77" t="n">
        <f aca="false">IF(OR($B44="",I$35=""),"",SUMPRODUCT((tsk_Resource=$B44)*tsk_WorkPerDay*((((tsk_FinishN+I$37-ABS(tsk_FinishN-I$37))/2-(tsk_StartN+I$36+ABS(tsk_StartN-I$36))/2+1)+ABS((tsk_FinishN+I$37-ABS(tsk_FinishN-I$37))/2-(tsk_StartN+I$36+ABS(tsk_StartN-I$36))/2+1))/2)))</f>
        <v>25.6</v>
      </c>
      <c r="J44" s="77" t="n">
        <f aca="false">IF(OR($B44="",J$35=""),"",SUMPRODUCT((tsk_Resource=$B44)*tsk_WorkPerDay*((((tsk_FinishN+J$37-ABS(tsk_FinishN-J$37))/2-(tsk_StartN+J$36+ABS(tsk_StartN-J$36))/2+1)+ABS((tsk_FinishN+J$37-ABS(tsk_FinishN-J$37))/2-(tsk_StartN+J$36+ABS(tsk_StartN-J$36))/2+1))/2)))</f>
        <v>0</v>
      </c>
      <c r="K44" s="77" t="n">
        <f aca="false">IF(OR($B44="",K$35=""),"",SUMPRODUCT((tsk_Resource=$B44)*tsk_WorkPerDay*((((tsk_FinishN+K$37-ABS(tsk_FinishN-K$37))/2-(tsk_StartN+K$36+ABS(tsk_StartN-K$36))/2+1)+ABS((tsk_FinishN+K$37-ABS(tsk_FinishN-K$37))/2-(tsk_StartN+K$36+ABS(tsk_StartN-K$36))/2+1))/2)))</f>
        <v>0</v>
      </c>
      <c r="L44" s="77" t="n">
        <f aca="false">IF(OR($B44="",L$35=""),"",SUMPRODUCT((tsk_Resource=$B44)*tsk_WorkPerDay*((((tsk_FinishN+L$37-ABS(tsk_FinishN-L$37))/2-(tsk_StartN+L$36+ABS(tsk_StartN-L$36))/2+1)+ABS((tsk_FinishN+L$37-ABS(tsk_FinishN-L$37))/2-(tsk_StartN+L$36+ABS(tsk_StartN-L$36))/2+1))/2)))</f>
        <v>0</v>
      </c>
      <c r="M44" s="77" t="n">
        <f aca="false">IF(OR($B44="",M$35=""),"",SUMPRODUCT((tsk_Resource=$B44)*tsk_WorkPerDay*((((tsk_FinishN+M$37-ABS(tsk_FinishN-M$37))/2-(tsk_StartN+M$36+ABS(tsk_StartN-M$36))/2+1)+ABS((tsk_FinishN+M$37-ABS(tsk_FinishN-M$37))/2-(tsk_StartN+M$36+ABS(tsk_StartN-M$36))/2+1))/2)))</f>
        <v>0</v>
      </c>
      <c r="N44" s="77" t="n">
        <f aca="false">IF(OR($B44="",N$35=""),"",SUMPRODUCT((tsk_Resource=$B44)*tsk_WorkPerDay*((((tsk_FinishN+N$37-ABS(tsk_FinishN-N$37))/2-(tsk_StartN+N$36+ABS(tsk_StartN-N$36))/2+1)+ABS((tsk_FinishN+N$37-ABS(tsk_FinishN-N$37))/2-(tsk_StartN+N$36+ABS(tsk_StartN-N$36))/2+1))/2)))</f>
        <v>0</v>
      </c>
      <c r="O44" s="77" t="n">
        <f aca="false">IF(OR($B44="",O$35=""),"",SUMPRODUCT((tsk_Resource=$B44)*tsk_WorkPerDay*((((tsk_FinishN+O$37-ABS(tsk_FinishN-O$37))/2-(tsk_StartN+O$36+ABS(tsk_StartN-O$36))/2+1)+ABS((tsk_FinishN+O$37-ABS(tsk_FinishN-O$37))/2-(tsk_StartN+O$36+ABS(tsk_StartN-O$36))/2+1))/2)))</f>
        <v>0</v>
      </c>
      <c r="P44" s="77" t="str">
        <f aca="false">IF(OR($B44="",P$35=""),"",SUMPRODUCT((tsk_Resource=$B44)*tsk_WorkPerDay*((((tsk_FinishN+P$37-ABS(tsk_FinishN-P$37))/2-(tsk_StartN+P$36+ABS(tsk_StartN-P$36))/2+1)+ABS((tsk_FinishN+P$37-ABS(tsk_FinishN-P$37))/2-(tsk_StartN+P$36+ABS(tsk_StartN-P$36))/2+1))/2)))</f>
        <v/>
      </c>
      <c r="Q44" s="77" t="str">
        <f aca="false">IF(OR($B44="",Q$35=""),"",SUMPRODUCT((tsk_Resource=$B44)*tsk_WorkPerDay*((((tsk_FinishN+Q$37-ABS(tsk_FinishN-Q$37))/2-(tsk_StartN+Q$36+ABS(tsk_StartN-Q$36))/2+1)+ABS((tsk_FinishN+Q$37-ABS(tsk_FinishN-Q$37))/2-(tsk_StartN+Q$36+ABS(tsk_StartN-Q$36))/2+1))/2)))</f>
        <v/>
      </c>
      <c r="R44" s="77" t="str">
        <f aca="false">IF(OR($B44="",R$35=""),"",SUMPRODUCT((tsk_Resource=$B44)*tsk_WorkPerDay*((((tsk_FinishN+R$37-ABS(tsk_FinishN-R$37))/2-(tsk_StartN+R$36+ABS(tsk_StartN-R$36))/2+1)+ABS((tsk_FinishN+R$37-ABS(tsk_FinishN-R$37))/2-(tsk_StartN+R$36+ABS(tsk_StartN-R$36))/2+1))/2)))</f>
        <v/>
      </c>
      <c r="S44" s="77" t="str">
        <f aca="false">IF(OR($B44="",S$35=""),"",SUMPRODUCT((tsk_Resource=$B44)*tsk_WorkPerDay*((((tsk_FinishN+S$37-ABS(tsk_FinishN-S$37))/2-(tsk_StartN+S$36+ABS(tsk_StartN-S$36))/2+1)+ABS((tsk_FinishN+S$37-ABS(tsk_FinishN-S$37))/2-(tsk_StartN+S$36+ABS(tsk_StartN-S$36))/2+1))/2)))</f>
        <v/>
      </c>
      <c r="T44" s="77" t="str">
        <f aca="false">IF(OR($B44="",T$35=""),"",SUMPRODUCT((tsk_Resource=$B44)*tsk_WorkPerDay*((((tsk_FinishN+T$37-ABS(tsk_FinishN-T$37))/2-(tsk_StartN+T$36+ABS(tsk_StartN-T$36))/2+1)+ABS((tsk_FinishN+T$37-ABS(tsk_FinishN-T$37))/2-(tsk_StartN+T$36+ABS(tsk_StartN-T$36))/2+1))/2)))</f>
        <v/>
      </c>
      <c r="U44" s="77" t="str">
        <f aca="false">IF(OR($B44="",U$35=""),"",SUMPRODUCT((tsk_Resource=$B44)*tsk_WorkPerDay*((((tsk_FinishN+U$37-ABS(tsk_FinishN-U$37))/2-(tsk_StartN+U$36+ABS(tsk_StartN-U$36))/2+1)+ABS((tsk_FinishN+U$37-ABS(tsk_FinishN-U$37))/2-(tsk_StartN+U$36+ABS(tsk_StartN-U$36))/2+1))/2)))</f>
        <v/>
      </c>
      <c r="V44" s="77" t="str">
        <f aca="false">IF(OR($B44="",V$35=""),"",SUMPRODUCT((tsk_Resource=$B44)*tsk_WorkPerDay*((((tsk_FinishN+V$37-ABS(tsk_FinishN-V$37))/2-(tsk_StartN+V$36+ABS(tsk_StartN-V$36))/2+1)+ABS((tsk_FinishN+V$37-ABS(tsk_FinishN-V$37))/2-(tsk_StartN+V$36+ABS(tsk_StartN-V$36))/2+1))/2)))</f>
        <v/>
      </c>
      <c r="W44" s="77" t="str">
        <f aca="false">IF(OR($B44="",W$35=""),"",SUMPRODUCT((tsk_Resource=$B44)*tsk_WorkPerDay*((((tsk_FinishN+W$37-ABS(tsk_FinishN-W$37))/2-(tsk_StartN+W$36+ABS(tsk_StartN-W$36))/2+1)+ABS((tsk_FinishN+W$37-ABS(tsk_FinishN-W$37))/2-(tsk_StartN+W$36+ABS(tsk_StartN-W$36))/2+1))/2)))</f>
        <v/>
      </c>
      <c r="X44" s="77" t="str">
        <f aca="false">IF(OR($B44="",X$35=""),"",SUMPRODUCT((tsk_Resource=$B44)*tsk_WorkPerDay*((((tsk_FinishN+X$37-ABS(tsk_FinishN-X$37))/2-(tsk_StartN+X$36+ABS(tsk_StartN-X$36))/2+1)+ABS((tsk_FinishN+X$37-ABS(tsk_FinishN-X$37))/2-(tsk_StartN+X$36+ABS(tsk_StartN-X$36))/2+1))/2)))</f>
        <v/>
      </c>
      <c r="Y44" s="77" t="str">
        <f aca="false">IF(OR($B44="",Y$35=""),"",SUMPRODUCT((tsk_Resource=$B44)*tsk_WorkPerDay*((((tsk_FinishN+Y$37-ABS(tsk_FinishN-Y$37))/2-(tsk_StartN+Y$36+ABS(tsk_StartN-Y$36))/2+1)+ABS((tsk_FinishN+Y$37-ABS(tsk_FinishN-Y$37))/2-(tsk_StartN+Y$36+ABS(tsk_StartN-Y$36))/2+1))/2)))</f>
        <v/>
      </c>
      <c r="Z44" s="77" t="str">
        <f aca="false">IF(OR($B44="",Z$35=""),"",SUMPRODUCT((tsk_Resource=$B44)*tsk_WorkPerDay*((((tsk_FinishN+Z$37-ABS(tsk_FinishN-Z$37))/2-(tsk_StartN+Z$36+ABS(tsk_StartN-Z$36))/2+1)+ABS((tsk_FinishN+Z$37-ABS(tsk_FinishN-Z$37))/2-(tsk_StartN+Z$36+ABS(tsk_StartN-Z$36))/2+1))/2)))</f>
        <v/>
      </c>
      <c r="AA44" s="77" t="str">
        <f aca="false">IF(OR($B44="",AA$35=""),"",SUMPRODUCT((tsk_Resource=$B44)*tsk_WorkPerDay*((((tsk_FinishN+AA$37-ABS(tsk_FinishN-AA$37))/2-(tsk_StartN+AA$36+ABS(tsk_StartN-AA$36))/2+1)+ABS((tsk_FinishN+AA$37-ABS(tsk_FinishN-AA$37))/2-(tsk_StartN+AA$36+ABS(tsk_StartN-AA$36))/2+1))/2)))</f>
        <v/>
      </c>
      <c r="AB44" s="77" t="str">
        <f aca="false">IF(OR($B44="",AB$35=""),"",SUMPRODUCT((tsk_Resource=$B44)*tsk_WorkPerDay*((((tsk_FinishN+AB$37-ABS(tsk_FinishN-AB$37))/2-(tsk_StartN+AB$36+ABS(tsk_StartN-AB$36))/2+1)+ABS((tsk_FinishN+AB$37-ABS(tsk_FinishN-AB$37))/2-(tsk_StartN+AB$36+ABS(tsk_StartN-AB$36))/2+1))/2)))</f>
        <v/>
      </c>
      <c r="AC44" s="77" t="str">
        <f aca="false">IF(OR($B44="",AC$35=""),"",SUMPRODUCT((tsk_Resource=$B44)*tsk_WorkPerDay*((((tsk_FinishN+AC$37-ABS(tsk_FinishN-AC$37))/2-(tsk_StartN+AC$36+ABS(tsk_StartN-AC$36))/2+1)+ABS((tsk_FinishN+AC$37-ABS(tsk_FinishN-AC$37))/2-(tsk_StartN+AC$36+ABS(tsk_StartN-AC$36))/2+1))/2)))</f>
        <v/>
      </c>
    </row>
    <row r="45" customFormat="false" ht="15" hidden="false" customHeight="false" outlineLevel="0" collapsed="false">
      <c r="B45" s="75" t="str">
        <f aca="false">IF(INDEX(res_Name,8)="","",INDEX(res_Name,8))</f>
        <v/>
      </c>
      <c r="C45" s="76" t="str">
        <f aca="false">IF($B45="","",INDEX(res_MaxUnits,8))</f>
        <v/>
      </c>
      <c r="D45" s="77" t="str">
        <f aca="false">IF(OR($B45="",D$35=""),"",SUMPRODUCT((tsk_Resource=$B45)*tsk_WorkPerDay*((((tsk_FinishN+D$37-ABS(tsk_FinishN-D$37))/2-(tsk_StartN+D$36+ABS(tsk_StartN-D$36))/2+1)+ABS((tsk_FinishN+D$37-ABS(tsk_FinishN-D$37))/2-(tsk_StartN+D$36+ABS(tsk_StartN-D$36))/2+1))/2)))</f>
        <v/>
      </c>
      <c r="E45" s="77" t="str">
        <f aca="false">IF(OR($B45="",E$35=""),"",SUMPRODUCT((tsk_Resource=$B45)*tsk_WorkPerDay*((((tsk_FinishN+E$37-ABS(tsk_FinishN-E$37))/2-(tsk_StartN+E$36+ABS(tsk_StartN-E$36))/2+1)+ABS((tsk_FinishN+E$37-ABS(tsk_FinishN-E$37))/2-(tsk_StartN+E$36+ABS(tsk_StartN-E$36))/2+1))/2)))</f>
        <v/>
      </c>
      <c r="F45" s="77" t="str">
        <f aca="false">IF(OR($B45="",F$35=""),"",SUMPRODUCT((tsk_Resource=$B45)*tsk_WorkPerDay*((((tsk_FinishN+F$37-ABS(tsk_FinishN-F$37))/2-(tsk_StartN+F$36+ABS(tsk_StartN-F$36))/2+1)+ABS((tsk_FinishN+F$37-ABS(tsk_FinishN-F$37))/2-(tsk_StartN+F$36+ABS(tsk_StartN-F$36))/2+1))/2)))</f>
        <v/>
      </c>
      <c r="G45" s="77" t="str">
        <f aca="false">IF(OR($B45="",G$35=""),"",SUMPRODUCT((tsk_Resource=$B45)*tsk_WorkPerDay*((((tsk_FinishN+G$37-ABS(tsk_FinishN-G$37))/2-(tsk_StartN+G$36+ABS(tsk_StartN-G$36))/2+1)+ABS((tsk_FinishN+G$37-ABS(tsk_FinishN-G$37))/2-(tsk_StartN+G$36+ABS(tsk_StartN-G$36))/2+1))/2)))</f>
        <v/>
      </c>
      <c r="H45" s="77" t="str">
        <f aca="false">IF(OR($B45="",H$35=""),"",SUMPRODUCT((tsk_Resource=$B45)*tsk_WorkPerDay*((((tsk_FinishN+H$37-ABS(tsk_FinishN-H$37))/2-(tsk_StartN+H$36+ABS(tsk_StartN-H$36))/2+1)+ABS((tsk_FinishN+H$37-ABS(tsk_FinishN-H$37))/2-(tsk_StartN+H$36+ABS(tsk_StartN-H$36))/2+1))/2)))</f>
        <v/>
      </c>
      <c r="I45" s="77" t="str">
        <f aca="false">IF(OR($B45="",I$35=""),"",SUMPRODUCT((tsk_Resource=$B45)*tsk_WorkPerDay*((((tsk_FinishN+I$37-ABS(tsk_FinishN-I$37))/2-(tsk_StartN+I$36+ABS(tsk_StartN-I$36))/2+1)+ABS((tsk_FinishN+I$37-ABS(tsk_FinishN-I$37))/2-(tsk_StartN+I$36+ABS(tsk_StartN-I$36))/2+1))/2)))</f>
        <v/>
      </c>
      <c r="J45" s="77" t="str">
        <f aca="false">IF(OR($B45="",J$35=""),"",SUMPRODUCT((tsk_Resource=$B45)*tsk_WorkPerDay*((((tsk_FinishN+J$37-ABS(tsk_FinishN-J$37))/2-(tsk_StartN+J$36+ABS(tsk_StartN-J$36))/2+1)+ABS((tsk_FinishN+J$37-ABS(tsk_FinishN-J$37))/2-(tsk_StartN+J$36+ABS(tsk_StartN-J$36))/2+1))/2)))</f>
        <v/>
      </c>
      <c r="K45" s="77" t="str">
        <f aca="false">IF(OR($B45="",K$35=""),"",SUMPRODUCT((tsk_Resource=$B45)*tsk_WorkPerDay*((((tsk_FinishN+K$37-ABS(tsk_FinishN-K$37))/2-(tsk_StartN+K$36+ABS(tsk_StartN-K$36))/2+1)+ABS((tsk_FinishN+K$37-ABS(tsk_FinishN-K$37))/2-(tsk_StartN+K$36+ABS(tsk_StartN-K$36))/2+1))/2)))</f>
        <v/>
      </c>
      <c r="L45" s="77" t="str">
        <f aca="false">IF(OR($B45="",L$35=""),"",SUMPRODUCT((tsk_Resource=$B45)*tsk_WorkPerDay*((((tsk_FinishN+L$37-ABS(tsk_FinishN-L$37))/2-(tsk_StartN+L$36+ABS(tsk_StartN-L$36))/2+1)+ABS((tsk_FinishN+L$37-ABS(tsk_FinishN-L$37))/2-(tsk_StartN+L$36+ABS(tsk_StartN-L$36))/2+1))/2)))</f>
        <v/>
      </c>
      <c r="M45" s="77" t="str">
        <f aca="false">IF(OR($B45="",M$35=""),"",SUMPRODUCT((tsk_Resource=$B45)*tsk_WorkPerDay*((((tsk_FinishN+M$37-ABS(tsk_FinishN-M$37))/2-(tsk_StartN+M$36+ABS(tsk_StartN-M$36))/2+1)+ABS((tsk_FinishN+M$37-ABS(tsk_FinishN-M$37))/2-(tsk_StartN+M$36+ABS(tsk_StartN-M$36))/2+1))/2)))</f>
        <v/>
      </c>
      <c r="N45" s="77" t="str">
        <f aca="false">IF(OR($B45="",N$35=""),"",SUMPRODUCT((tsk_Resource=$B45)*tsk_WorkPerDay*((((tsk_FinishN+N$37-ABS(tsk_FinishN-N$37))/2-(tsk_StartN+N$36+ABS(tsk_StartN-N$36))/2+1)+ABS((tsk_FinishN+N$37-ABS(tsk_FinishN-N$37))/2-(tsk_StartN+N$36+ABS(tsk_StartN-N$36))/2+1))/2)))</f>
        <v/>
      </c>
      <c r="O45" s="77" t="str">
        <f aca="false">IF(OR($B45="",O$35=""),"",SUMPRODUCT((tsk_Resource=$B45)*tsk_WorkPerDay*((((tsk_FinishN+O$37-ABS(tsk_FinishN-O$37))/2-(tsk_StartN+O$36+ABS(tsk_StartN-O$36))/2+1)+ABS((tsk_FinishN+O$37-ABS(tsk_FinishN-O$37))/2-(tsk_StartN+O$36+ABS(tsk_StartN-O$36))/2+1))/2)))</f>
        <v/>
      </c>
      <c r="P45" s="77" t="str">
        <f aca="false">IF(OR($B45="",P$35=""),"",SUMPRODUCT((tsk_Resource=$B45)*tsk_WorkPerDay*((((tsk_FinishN+P$37-ABS(tsk_FinishN-P$37))/2-(tsk_StartN+P$36+ABS(tsk_StartN-P$36))/2+1)+ABS((tsk_FinishN+P$37-ABS(tsk_FinishN-P$37))/2-(tsk_StartN+P$36+ABS(tsk_StartN-P$36))/2+1))/2)))</f>
        <v/>
      </c>
      <c r="Q45" s="77" t="str">
        <f aca="false">IF(OR($B45="",Q$35=""),"",SUMPRODUCT((tsk_Resource=$B45)*tsk_WorkPerDay*((((tsk_FinishN+Q$37-ABS(tsk_FinishN-Q$37))/2-(tsk_StartN+Q$36+ABS(tsk_StartN-Q$36))/2+1)+ABS((tsk_FinishN+Q$37-ABS(tsk_FinishN-Q$37))/2-(tsk_StartN+Q$36+ABS(tsk_StartN-Q$36))/2+1))/2)))</f>
        <v/>
      </c>
      <c r="R45" s="77" t="str">
        <f aca="false">IF(OR($B45="",R$35=""),"",SUMPRODUCT((tsk_Resource=$B45)*tsk_WorkPerDay*((((tsk_FinishN+R$37-ABS(tsk_FinishN-R$37))/2-(tsk_StartN+R$36+ABS(tsk_StartN-R$36))/2+1)+ABS((tsk_FinishN+R$37-ABS(tsk_FinishN-R$37))/2-(tsk_StartN+R$36+ABS(tsk_StartN-R$36))/2+1))/2)))</f>
        <v/>
      </c>
      <c r="S45" s="77" t="str">
        <f aca="false">IF(OR($B45="",S$35=""),"",SUMPRODUCT((tsk_Resource=$B45)*tsk_WorkPerDay*((((tsk_FinishN+S$37-ABS(tsk_FinishN-S$37))/2-(tsk_StartN+S$36+ABS(tsk_StartN-S$36))/2+1)+ABS((tsk_FinishN+S$37-ABS(tsk_FinishN-S$37))/2-(tsk_StartN+S$36+ABS(tsk_StartN-S$36))/2+1))/2)))</f>
        <v/>
      </c>
      <c r="T45" s="77" t="str">
        <f aca="false">IF(OR($B45="",T$35=""),"",SUMPRODUCT((tsk_Resource=$B45)*tsk_WorkPerDay*((((tsk_FinishN+T$37-ABS(tsk_FinishN-T$37))/2-(tsk_StartN+T$36+ABS(tsk_StartN-T$36))/2+1)+ABS((tsk_FinishN+T$37-ABS(tsk_FinishN-T$37))/2-(tsk_StartN+T$36+ABS(tsk_StartN-T$36))/2+1))/2)))</f>
        <v/>
      </c>
      <c r="U45" s="77" t="str">
        <f aca="false">IF(OR($B45="",U$35=""),"",SUMPRODUCT((tsk_Resource=$B45)*tsk_WorkPerDay*((((tsk_FinishN+U$37-ABS(tsk_FinishN-U$37))/2-(tsk_StartN+U$36+ABS(tsk_StartN-U$36))/2+1)+ABS((tsk_FinishN+U$37-ABS(tsk_FinishN-U$37))/2-(tsk_StartN+U$36+ABS(tsk_StartN-U$36))/2+1))/2)))</f>
        <v/>
      </c>
      <c r="V45" s="77" t="str">
        <f aca="false">IF(OR($B45="",V$35=""),"",SUMPRODUCT((tsk_Resource=$B45)*tsk_WorkPerDay*((((tsk_FinishN+V$37-ABS(tsk_FinishN-V$37))/2-(tsk_StartN+V$36+ABS(tsk_StartN-V$36))/2+1)+ABS((tsk_FinishN+V$37-ABS(tsk_FinishN-V$37))/2-(tsk_StartN+V$36+ABS(tsk_StartN-V$36))/2+1))/2)))</f>
        <v/>
      </c>
      <c r="W45" s="77" t="str">
        <f aca="false">IF(OR($B45="",W$35=""),"",SUMPRODUCT((tsk_Resource=$B45)*tsk_WorkPerDay*((((tsk_FinishN+W$37-ABS(tsk_FinishN-W$37))/2-(tsk_StartN+W$36+ABS(tsk_StartN-W$36))/2+1)+ABS((tsk_FinishN+W$37-ABS(tsk_FinishN-W$37))/2-(tsk_StartN+W$36+ABS(tsk_StartN-W$36))/2+1))/2)))</f>
        <v/>
      </c>
      <c r="X45" s="77" t="str">
        <f aca="false">IF(OR($B45="",X$35=""),"",SUMPRODUCT((tsk_Resource=$B45)*tsk_WorkPerDay*((((tsk_FinishN+X$37-ABS(tsk_FinishN-X$37))/2-(tsk_StartN+X$36+ABS(tsk_StartN-X$36))/2+1)+ABS((tsk_FinishN+X$37-ABS(tsk_FinishN-X$37))/2-(tsk_StartN+X$36+ABS(tsk_StartN-X$36))/2+1))/2)))</f>
        <v/>
      </c>
      <c r="Y45" s="77" t="str">
        <f aca="false">IF(OR($B45="",Y$35=""),"",SUMPRODUCT((tsk_Resource=$B45)*tsk_WorkPerDay*((((tsk_FinishN+Y$37-ABS(tsk_FinishN-Y$37))/2-(tsk_StartN+Y$36+ABS(tsk_StartN-Y$36))/2+1)+ABS((tsk_FinishN+Y$37-ABS(tsk_FinishN-Y$37))/2-(tsk_StartN+Y$36+ABS(tsk_StartN-Y$36))/2+1))/2)))</f>
        <v/>
      </c>
      <c r="Z45" s="77" t="str">
        <f aca="false">IF(OR($B45="",Z$35=""),"",SUMPRODUCT((tsk_Resource=$B45)*tsk_WorkPerDay*((((tsk_FinishN+Z$37-ABS(tsk_FinishN-Z$37))/2-(tsk_StartN+Z$36+ABS(tsk_StartN-Z$36))/2+1)+ABS((tsk_FinishN+Z$37-ABS(tsk_FinishN-Z$37))/2-(tsk_StartN+Z$36+ABS(tsk_StartN-Z$36))/2+1))/2)))</f>
        <v/>
      </c>
      <c r="AA45" s="77" t="str">
        <f aca="false">IF(OR($B45="",AA$35=""),"",SUMPRODUCT((tsk_Resource=$B45)*tsk_WorkPerDay*((((tsk_FinishN+AA$37-ABS(tsk_FinishN-AA$37))/2-(tsk_StartN+AA$36+ABS(tsk_StartN-AA$36))/2+1)+ABS((tsk_FinishN+AA$37-ABS(tsk_FinishN-AA$37))/2-(tsk_StartN+AA$36+ABS(tsk_StartN-AA$36))/2+1))/2)))</f>
        <v/>
      </c>
      <c r="AB45" s="77" t="str">
        <f aca="false">IF(OR($B45="",AB$35=""),"",SUMPRODUCT((tsk_Resource=$B45)*tsk_WorkPerDay*((((tsk_FinishN+AB$37-ABS(tsk_FinishN-AB$37))/2-(tsk_StartN+AB$36+ABS(tsk_StartN-AB$36))/2+1)+ABS((tsk_FinishN+AB$37-ABS(tsk_FinishN-AB$37))/2-(tsk_StartN+AB$36+ABS(tsk_StartN-AB$36))/2+1))/2)))</f>
        <v/>
      </c>
      <c r="AC45" s="77" t="str">
        <f aca="false">IF(OR($B45="",AC$35=""),"",SUMPRODUCT((tsk_Resource=$B45)*tsk_WorkPerDay*((((tsk_FinishN+AC$37-ABS(tsk_FinishN-AC$37))/2-(tsk_StartN+AC$36+ABS(tsk_StartN-AC$36))/2+1)+ABS((tsk_FinishN+AC$37-ABS(tsk_FinishN-AC$37))/2-(tsk_StartN+AC$36+ABS(tsk_StartN-AC$36))/2+1))/2)))</f>
        <v/>
      </c>
    </row>
    <row r="46" customFormat="false" ht="15" hidden="false" customHeight="false" outlineLevel="0" collapsed="false">
      <c r="B46" s="75" t="str">
        <f aca="false">IF(INDEX(res_Name,9)="","",INDEX(res_Name,9))</f>
        <v/>
      </c>
      <c r="C46" s="76" t="str">
        <f aca="false">IF($B46="","",INDEX(res_MaxUnits,9))</f>
        <v/>
      </c>
      <c r="D46" s="77" t="str">
        <f aca="false">IF(OR($B46="",D$35=""),"",SUMPRODUCT((tsk_Resource=$B46)*tsk_WorkPerDay*((((tsk_FinishN+D$37-ABS(tsk_FinishN-D$37))/2-(tsk_StartN+D$36+ABS(tsk_StartN-D$36))/2+1)+ABS((tsk_FinishN+D$37-ABS(tsk_FinishN-D$37))/2-(tsk_StartN+D$36+ABS(tsk_StartN-D$36))/2+1))/2)))</f>
        <v/>
      </c>
      <c r="E46" s="77" t="str">
        <f aca="false">IF(OR($B46="",E$35=""),"",SUMPRODUCT((tsk_Resource=$B46)*tsk_WorkPerDay*((((tsk_FinishN+E$37-ABS(tsk_FinishN-E$37))/2-(tsk_StartN+E$36+ABS(tsk_StartN-E$36))/2+1)+ABS((tsk_FinishN+E$37-ABS(tsk_FinishN-E$37))/2-(tsk_StartN+E$36+ABS(tsk_StartN-E$36))/2+1))/2)))</f>
        <v/>
      </c>
      <c r="F46" s="77" t="str">
        <f aca="false">IF(OR($B46="",F$35=""),"",SUMPRODUCT((tsk_Resource=$B46)*tsk_WorkPerDay*((((tsk_FinishN+F$37-ABS(tsk_FinishN-F$37))/2-(tsk_StartN+F$36+ABS(tsk_StartN-F$36))/2+1)+ABS((tsk_FinishN+F$37-ABS(tsk_FinishN-F$37))/2-(tsk_StartN+F$36+ABS(tsk_StartN-F$36))/2+1))/2)))</f>
        <v/>
      </c>
      <c r="G46" s="77" t="str">
        <f aca="false">IF(OR($B46="",G$35=""),"",SUMPRODUCT((tsk_Resource=$B46)*tsk_WorkPerDay*((((tsk_FinishN+G$37-ABS(tsk_FinishN-G$37))/2-(tsk_StartN+G$36+ABS(tsk_StartN-G$36))/2+1)+ABS((tsk_FinishN+G$37-ABS(tsk_FinishN-G$37))/2-(tsk_StartN+G$36+ABS(tsk_StartN-G$36))/2+1))/2)))</f>
        <v/>
      </c>
      <c r="H46" s="77" t="str">
        <f aca="false">IF(OR($B46="",H$35=""),"",SUMPRODUCT((tsk_Resource=$B46)*tsk_WorkPerDay*((((tsk_FinishN+H$37-ABS(tsk_FinishN-H$37))/2-(tsk_StartN+H$36+ABS(tsk_StartN-H$36))/2+1)+ABS((tsk_FinishN+H$37-ABS(tsk_FinishN-H$37))/2-(tsk_StartN+H$36+ABS(tsk_StartN-H$36))/2+1))/2)))</f>
        <v/>
      </c>
      <c r="I46" s="77" t="str">
        <f aca="false">IF(OR($B46="",I$35=""),"",SUMPRODUCT((tsk_Resource=$B46)*tsk_WorkPerDay*((((tsk_FinishN+I$37-ABS(tsk_FinishN-I$37))/2-(tsk_StartN+I$36+ABS(tsk_StartN-I$36))/2+1)+ABS((tsk_FinishN+I$37-ABS(tsk_FinishN-I$37))/2-(tsk_StartN+I$36+ABS(tsk_StartN-I$36))/2+1))/2)))</f>
        <v/>
      </c>
      <c r="J46" s="77" t="str">
        <f aca="false">IF(OR($B46="",J$35=""),"",SUMPRODUCT((tsk_Resource=$B46)*tsk_WorkPerDay*((((tsk_FinishN+J$37-ABS(tsk_FinishN-J$37))/2-(tsk_StartN+J$36+ABS(tsk_StartN-J$36))/2+1)+ABS((tsk_FinishN+J$37-ABS(tsk_FinishN-J$37))/2-(tsk_StartN+J$36+ABS(tsk_StartN-J$36))/2+1))/2)))</f>
        <v/>
      </c>
      <c r="K46" s="77" t="str">
        <f aca="false">IF(OR($B46="",K$35=""),"",SUMPRODUCT((tsk_Resource=$B46)*tsk_WorkPerDay*((((tsk_FinishN+K$37-ABS(tsk_FinishN-K$37))/2-(tsk_StartN+K$36+ABS(tsk_StartN-K$36))/2+1)+ABS((tsk_FinishN+K$37-ABS(tsk_FinishN-K$37))/2-(tsk_StartN+K$36+ABS(tsk_StartN-K$36))/2+1))/2)))</f>
        <v/>
      </c>
      <c r="L46" s="77" t="str">
        <f aca="false">IF(OR($B46="",L$35=""),"",SUMPRODUCT((tsk_Resource=$B46)*tsk_WorkPerDay*((((tsk_FinishN+L$37-ABS(tsk_FinishN-L$37))/2-(tsk_StartN+L$36+ABS(tsk_StartN-L$36))/2+1)+ABS((tsk_FinishN+L$37-ABS(tsk_FinishN-L$37))/2-(tsk_StartN+L$36+ABS(tsk_StartN-L$36))/2+1))/2)))</f>
        <v/>
      </c>
      <c r="M46" s="77" t="str">
        <f aca="false">IF(OR($B46="",M$35=""),"",SUMPRODUCT((tsk_Resource=$B46)*tsk_WorkPerDay*((((tsk_FinishN+M$37-ABS(tsk_FinishN-M$37))/2-(tsk_StartN+M$36+ABS(tsk_StartN-M$36))/2+1)+ABS((tsk_FinishN+M$37-ABS(tsk_FinishN-M$37))/2-(tsk_StartN+M$36+ABS(tsk_StartN-M$36))/2+1))/2)))</f>
        <v/>
      </c>
      <c r="N46" s="77" t="str">
        <f aca="false">IF(OR($B46="",N$35=""),"",SUMPRODUCT((tsk_Resource=$B46)*tsk_WorkPerDay*((((tsk_FinishN+N$37-ABS(tsk_FinishN-N$37))/2-(tsk_StartN+N$36+ABS(tsk_StartN-N$36))/2+1)+ABS((tsk_FinishN+N$37-ABS(tsk_FinishN-N$37))/2-(tsk_StartN+N$36+ABS(tsk_StartN-N$36))/2+1))/2)))</f>
        <v/>
      </c>
      <c r="O46" s="77" t="str">
        <f aca="false">IF(OR($B46="",O$35=""),"",SUMPRODUCT((tsk_Resource=$B46)*tsk_WorkPerDay*((((tsk_FinishN+O$37-ABS(tsk_FinishN-O$37))/2-(tsk_StartN+O$36+ABS(tsk_StartN-O$36))/2+1)+ABS((tsk_FinishN+O$37-ABS(tsk_FinishN-O$37))/2-(tsk_StartN+O$36+ABS(tsk_StartN-O$36))/2+1))/2)))</f>
        <v/>
      </c>
      <c r="P46" s="77" t="str">
        <f aca="false">IF(OR($B46="",P$35=""),"",SUMPRODUCT((tsk_Resource=$B46)*tsk_WorkPerDay*((((tsk_FinishN+P$37-ABS(tsk_FinishN-P$37))/2-(tsk_StartN+P$36+ABS(tsk_StartN-P$36))/2+1)+ABS((tsk_FinishN+P$37-ABS(tsk_FinishN-P$37))/2-(tsk_StartN+P$36+ABS(tsk_StartN-P$36))/2+1))/2)))</f>
        <v/>
      </c>
      <c r="Q46" s="77" t="str">
        <f aca="false">IF(OR($B46="",Q$35=""),"",SUMPRODUCT((tsk_Resource=$B46)*tsk_WorkPerDay*((((tsk_FinishN+Q$37-ABS(tsk_FinishN-Q$37))/2-(tsk_StartN+Q$36+ABS(tsk_StartN-Q$36))/2+1)+ABS((tsk_FinishN+Q$37-ABS(tsk_FinishN-Q$37))/2-(tsk_StartN+Q$36+ABS(tsk_StartN-Q$36))/2+1))/2)))</f>
        <v/>
      </c>
      <c r="R46" s="77" t="str">
        <f aca="false">IF(OR($B46="",R$35=""),"",SUMPRODUCT((tsk_Resource=$B46)*tsk_WorkPerDay*((((tsk_FinishN+R$37-ABS(tsk_FinishN-R$37))/2-(tsk_StartN+R$36+ABS(tsk_StartN-R$36))/2+1)+ABS((tsk_FinishN+R$37-ABS(tsk_FinishN-R$37))/2-(tsk_StartN+R$36+ABS(tsk_StartN-R$36))/2+1))/2)))</f>
        <v/>
      </c>
      <c r="S46" s="77" t="str">
        <f aca="false">IF(OR($B46="",S$35=""),"",SUMPRODUCT((tsk_Resource=$B46)*tsk_WorkPerDay*((((tsk_FinishN+S$37-ABS(tsk_FinishN-S$37))/2-(tsk_StartN+S$36+ABS(tsk_StartN-S$36))/2+1)+ABS((tsk_FinishN+S$37-ABS(tsk_FinishN-S$37))/2-(tsk_StartN+S$36+ABS(tsk_StartN-S$36))/2+1))/2)))</f>
        <v/>
      </c>
      <c r="T46" s="77" t="str">
        <f aca="false">IF(OR($B46="",T$35=""),"",SUMPRODUCT((tsk_Resource=$B46)*tsk_WorkPerDay*((((tsk_FinishN+T$37-ABS(tsk_FinishN-T$37))/2-(tsk_StartN+T$36+ABS(tsk_StartN-T$36))/2+1)+ABS((tsk_FinishN+T$37-ABS(tsk_FinishN-T$37))/2-(tsk_StartN+T$36+ABS(tsk_StartN-T$36))/2+1))/2)))</f>
        <v/>
      </c>
      <c r="U46" s="77" t="str">
        <f aca="false">IF(OR($B46="",U$35=""),"",SUMPRODUCT((tsk_Resource=$B46)*tsk_WorkPerDay*((((tsk_FinishN+U$37-ABS(tsk_FinishN-U$37))/2-(tsk_StartN+U$36+ABS(tsk_StartN-U$36))/2+1)+ABS((tsk_FinishN+U$37-ABS(tsk_FinishN-U$37))/2-(tsk_StartN+U$36+ABS(tsk_StartN-U$36))/2+1))/2)))</f>
        <v/>
      </c>
      <c r="V46" s="77" t="str">
        <f aca="false">IF(OR($B46="",V$35=""),"",SUMPRODUCT((tsk_Resource=$B46)*tsk_WorkPerDay*((((tsk_FinishN+V$37-ABS(tsk_FinishN-V$37))/2-(tsk_StartN+V$36+ABS(tsk_StartN-V$36))/2+1)+ABS((tsk_FinishN+V$37-ABS(tsk_FinishN-V$37))/2-(tsk_StartN+V$36+ABS(tsk_StartN-V$36))/2+1))/2)))</f>
        <v/>
      </c>
      <c r="W46" s="77" t="str">
        <f aca="false">IF(OR($B46="",W$35=""),"",SUMPRODUCT((tsk_Resource=$B46)*tsk_WorkPerDay*((((tsk_FinishN+W$37-ABS(tsk_FinishN-W$37))/2-(tsk_StartN+W$36+ABS(tsk_StartN-W$36))/2+1)+ABS((tsk_FinishN+W$37-ABS(tsk_FinishN-W$37))/2-(tsk_StartN+W$36+ABS(tsk_StartN-W$36))/2+1))/2)))</f>
        <v/>
      </c>
      <c r="X46" s="77" t="str">
        <f aca="false">IF(OR($B46="",X$35=""),"",SUMPRODUCT((tsk_Resource=$B46)*tsk_WorkPerDay*((((tsk_FinishN+X$37-ABS(tsk_FinishN-X$37))/2-(tsk_StartN+X$36+ABS(tsk_StartN-X$36))/2+1)+ABS((tsk_FinishN+X$37-ABS(tsk_FinishN-X$37))/2-(tsk_StartN+X$36+ABS(tsk_StartN-X$36))/2+1))/2)))</f>
        <v/>
      </c>
      <c r="Y46" s="77" t="str">
        <f aca="false">IF(OR($B46="",Y$35=""),"",SUMPRODUCT((tsk_Resource=$B46)*tsk_WorkPerDay*((((tsk_FinishN+Y$37-ABS(tsk_FinishN-Y$37))/2-(tsk_StartN+Y$36+ABS(tsk_StartN-Y$36))/2+1)+ABS((tsk_FinishN+Y$37-ABS(tsk_FinishN-Y$37))/2-(tsk_StartN+Y$36+ABS(tsk_StartN-Y$36))/2+1))/2)))</f>
        <v/>
      </c>
      <c r="Z46" s="77" t="str">
        <f aca="false">IF(OR($B46="",Z$35=""),"",SUMPRODUCT((tsk_Resource=$B46)*tsk_WorkPerDay*((((tsk_FinishN+Z$37-ABS(tsk_FinishN-Z$37))/2-(tsk_StartN+Z$36+ABS(tsk_StartN-Z$36))/2+1)+ABS((tsk_FinishN+Z$37-ABS(tsk_FinishN-Z$37))/2-(tsk_StartN+Z$36+ABS(tsk_StartN-Z$36))/2+1))/2)))</f>
        <v/>
      </c>
      <c r="AA46" s="77" t="str">
        <f aca="false">IF(OR($B46="",AA$35=""),"",SUMPRODUCT((tsk_Resource=$B46)*tsk_WorkPerDay*((((tsk_FinishN+AA$37-ABS(tsk_FinishN-AA$37))/2-(tsk_StartN+AA$36+ABS(tsk_StartN-AA$36))/2+1)+ABS((tsk_FinishN+AA$37-ABS(tsk_FinishN-AA$37))/2-(tsk_StartN+AA$36+ABS(tsk_StartN-AA$36))/2+1))/2)))</f>
        <v/>
      </c>
      <c r="AB46" s="77" t="str">
        <f aca="false">IF(OR($B46="",AB$35=""),"",SUMPRODUCT((tsk_Resource=$B46)*tsk_WorkPerDay*((((tsk_FinishN+AB$37-ABS(tsk_FinishN-AB$37))/2-(tsk_StartN+AB$36+ABS(tsk_StartN-AB$36))/2+1)+ABS((tsk_FinishN+AB$37-ABS(tsk_FinishN-AB$37))/2-(tsk_StartN+AB$36+ABS(tsk_StartN-AB$36))/2+1))/2)))</f>
        <v/>
      </c>
      <c r="AC46" s="77" t="str">
        <f aca="false">IF(OR($B46="",AC$35=""),"",SUMPRODUCT((tsk_Resource=$B46)*tsk_WorkPerDay*((((tsk_FinishN+AC$37-ABS(tsk_FinishN-AC$37))/2-(tsk_StartN+AC$36+ABS(tsk_StartN-AC$36))/2+1)+ABS((tsk_FinishN+AC$37-ABS(tsk_FinishN-AC$37))/2-(tsk_StartN+AC$36+ABS(tsk_StartN-AC$36))/2+1))/2)))</f>
        <v/>
      </c>
    </row>
    <row r="47" customFormat="false" ht="15" hidden="false" customHeight="false" outlineLevel="0" collapsed="false">
      <c r="B47" s="75" t="str">
        <f aca="false">IF(INDEX(res_Name,10)="","",INDEX(res_Name,10))</f>
        <v/>
      </c>
      <c r="C47" s="76" t="str">
        <f aca="false">IF($B47="","",INDEX(res_MaxUnits,10))</f>
        <v/>
      </c>
      <c r="D47" s="77" t="str">
        <f aca="false">IF(OR($B47="",D$35=""),"",SUMPRODUCT((tsk_Resource=$B47)*tsk_WorkPerDay*((((tsk_FinishN+D$37-ABS(tsk_FinishN-D$37))/2-(tsk_StartN+D$36+ABS(tsk_StartN-D$36))/2+1)+ABS((tsk_FinishN+D$37-ABS(tsk_FinishN-D$37))/2-(tsk_StartN+D$36+ABS(tsk_StartN-D$36))/2+1))/2)))</f>
        <v/>
      </c>
      <c r="E47" s="77" t="str">
        <f aca="false">IF(OR($B47="",E$35=""),"",SUMPRODUCT((tsk_Resource=$B47)*tsk_WorkPerDay*((((tsk_FinishN+E$37-ABS(tsk_FinishN-E$37))/2-(tsk_StartN+E$36+ABS(tsk_StartN-E$36))/2+1)+ABS((tsk_FinishN+E$37-ABS(tsk_FinishN-E$37))/2-(tsk_StartN+E$36+ABS(tsk_StartN-E$36))/2+1))/2)))</f>
        <v/>
      </c>
      <c r="F47" s="77" t="str">
        <f aca="false">IF(OR($B47="",F$35=""),"",SUMPRODUCT((tsk_Resource=$B47)*tsk_WorkPerDay*((((tsk_FinishN+F$37-ABS(tsk_FinishN-F$37))/2-(tsk_StartN+F$36+ABS(tsk_StartN-F$36))/2+1)+ABS((tsk_FinishN+F$37-ABS(tsk_FinishN-F$37))/2-(tsk_StartN+F$36+ABS(tsk_StartN-F$36))/2+1))/2)))</f>
        <v/>
      </c>
      <c r="G47" s="77" t="str">
        <f aca="false">IF(OR($B47="",G$35=""),"",SUMPRODUCT((tsk_Resource=$B47)*tsk_WorkPerDay*((((tsk_FinishN+G$37-ABS(tsk_FinishN-G$37))/2-(tsk_StartN+G$36+ABS(tsk_StartN-G$36))/2+1)+ABS((tsk_FinishN+G$37-ABS(tsk_FinishN-G$37))/2-(tsk_StartN+G$36+ABS(tsk_StartN-G$36))/2+1))/2)))</f>
        <v/>
      </c>
      <c r="H47" s="77" t="str">
        <f aca="false">IF(OR($B47="",H$35=""),"",SUMPRODUCT((tsk_Resource=$B47)*tsk_WorkPerDay*((((tsk_FinishN+H$37-ABS(tsk_FinishN-H$37))/2-(tsk_StartN+H$36+ABS(tsk_StartN-H$36))/2+1)+ABS((tsk_FinishN+H$37-ABS(tsk_FinishN-H$37))/2-(tsk_StartN+H$36+ABS(tsk_StartN-H$36))/2+1))/2)))</f>
        <v/>
      </c>
      <c r="I47" s="77" t="str">
        <f aca="false">IF(OR($B47="",I$35=""),"",SUMPRODUCT((tsk_Resource=$B47)*tsk_WorkPerDay*((((tsk_FinishN+I$37-ABS(tsk_FinishN-I$37))/2-(tsk_StartN+I$36+ABS(tsk_StartN-I$36))/2+1)+ABS((tsk_FinishN+I$37-ABS(tsk_FinishN-I$37))/2-(tsk_StartN+I$36+ABS(tsk_StartN-I$36))/2+1))/2)))</f>
        <v/>
      </c>
      <c r="J47" s="77" t="str">
        <f aca="false">IF(OR($B47="",J$35=""),"",SUMPRODUCT((tsk_Resource=$B47)*tsk_WorkPerDay*((((tsk_FinishN+J$37-ABS(tsk_FinishN-J$37))/2-(tsk_StartN+J$36+ABS(tsk_StartN-J$36))/2+1)+ABS((tsk_FinishN+J$37-ABS(tsk_FinishN-J$37))/2-(tsk_StartN+J$36+ABS(tsk_StartN-J$36))/2+1))/2)))</f>
        <v/>
      </c>
      <c r="K47" s="77" t="str">
        <f aca="false">IF(OR($B47="",K$35=""),"",SUMPRODUCT((tsk_Resource=$B47)*tsk_WorkPerDay*((((tsk_FinishN+K$37-ABS(tsk_FinishN-K$37))/2-(tsk_StartN+K$36+ABS(tsk_StartN-K$36))/2+1)+ABS((tsk_FinishN+K$37-ABS(tsk_FinishN-K$37))/2-(tsk_StartN+K$36+ABS(tsk_StartN-K$36))/2+1))/2)))</f>
        <v/>
      </c>
      <c r="L47" s="77" t="str">
        <f aca="false">IF(OR($B47="",L$35=""),"",SUMPRODUCT((tsk_Resource=$B47)*tsk_WorkPerDay*((((tsk_FinishN+L$37-ABS(tsk_FinishN-L$37))/2-(tsk_StartN+L$36+ABS(tsk_StartN-L$36))/2+1)+ABS((tsk_FinishN+L$37-ABS(tsk_FinishN-L$37))/2-(tsk_StartN+L$36+ABS(tsk_StartN-L$36))/2+1))/2)))</f>
        <v/>
      </c>
      <c r="M47" s="77" t="str">
        <f aca="false">IF(OR($B47="",M$35=""),"",SUMPRODUCT((tsk_Resource=$B47)*tsk_WorkPerDay*((((tsk_FinishN+M$37-ABS(tsk_FinishN-M$37))/2-(tsk_StartN+M$36+ABS(tsk_StartN-M$36))/2+1)+ABS((tsk_FinishN+M$37-ABS(tsk_FinishN-M$37))/2-(tsk_StartN+M$36+ABS(tsk_StartN-M$36))/2+1))/2)))</f>
        <v/>
      </c>
      <c r="N47" s="77" t="str">
        <f aca="false">IF(OR($B47="",N$35=""),"",SUMPRODUCT((tsk_Resource=$B47)*tsk_WorkPerDay*((((tsk_FinishN+N$37-ABS(tsk_FinishN-N$37))/2-(tsk_StartN+N$36+ABS(tsk_StartN-N$36))/2+1)+ABS((tsk_FinishN+N$37-ABS(tsk_FinishN-N$37))/2-(tsk_StartN+N$36+ABS(tsk_StartN-N$36))/2+1))/2)))</f>
        <v/>
      </c>
      <c r="O47" s="77" t="str">
        <f aca="false">IF(OR($B47="",O$35=""),"",SUMPRODUCT((tsk_Resource=$B47)*tsk_WorkPerDay*((((tsk_FinishN+O$37-ABS(tsk_FinishN-O$37))/2-(tsk_StartN+O$36+ABS(tsk_StartN-O$36))/2+1)+ABS((tsk_FinishN+O$37-ABS(tsk_FinishN-O$37))/2-(tsk_StartN+O$36+ABS(tsk_StartN-O$36))/2+1))/2)))</f>
        <v/>
      </c>
      <c r="P47" s="77" t="str">
        <f aca="false">IF(OR($B47="",P$35=""),"",SUMPRODUCT((tsk_Resource=$B47)*tsk_WorkPerDay*((((tsk_FinishN+P$37-ABS(tsk_FinishN-P$37))/2-(tsk_StartN+P$36+ABS(tsk_StartN-P$36))/2+1)+ABS((tsk_FinishN+P$37-ABS(tsk_FinishN-P$37))/2-(tsk_StartN+P$36+ABS(tsk_StartN-P$36))/2+1))/2)))</f>
        <v/>
      </c>
      <c r="Q47" s="77" t="str">
        <f aca="false">IF(OR($B47="",Q$35=""),"",SUMPRODUCT((tsk_Resource=$B47)*tsk_WorkPerDay*((((tsk_FinishN+Q$37-ABS(tsk_FinishN-Q$37))/2-(tsk_StartN+Q$36+ABS(tsk_StartN-Q$36))/2+1)+ABS((tsk_FinishN+Q$37-ABS(tsk_FinishN-Q$37))/2-(tsk_StartN+Q$36+ABS(tsk_StartN-Q$36))/2+1))/2)))</f>
        <v/>
      </c>
      <c r="R47" s="77" t="str">
        <f aca="false">IF(OR($B47="",R$35=""),"",SUMPRODUCT((tsk_Resource=$B47)*tsk_WorkPerDay*((((tsk_FinishN+R$37-ABS(tsk_FinishN-R$37))/2-(tsk_StartN+R$36+ABS(tsk_StartN-R$36))/2+1)+ABS((tsk_FinishN+R$37-ABS(tsk_FinishN-R$37))/2-(tsk_StartN+R$36+ABS(tsk_StartN-R$36))/2+1))/2)))</f>
        <v/>
      </c>
      <c r="S47" s="77" t="str">
        <f aca="false">IF(OR($B47="",S$35=""),"",SUMPRODUCT((tsk_Resource=$B47)*tsk_WorkPerDay*((((tsk_FinishN+S$37-ABS(tsk_FinishN-S$37))/2-(tsk_StartN+S$36+ABS(tsk_StartN-S$36))/2+1)+ABS((tsk_FinishN+S$37-ABS(tsk_FinishN-S$37))/2-(tsk_StartN+S$36+ABS(tsk_StartN-S$36))/2+1))/2)))</f>
        <v/>
      </c>
      <c r="T47" s="77" t="str">
        <f aca="false">IF(OR($B47="",T$35=""),"",SUMPRODUCT((tsk_Resource=$B47)*tsk_WorkPerDay*((((tsk_FinishN+T$37-ABS(tsk_FinishN-T$37))/2-(tsk_StartN+T$36+ABS(tsk_StartN-T$36))/2+1)+ABS((tsk_FinishN+T$37-ABS(tsk_FinishN-T$37))/2-(tsk_StartN+T$36+ABS(tsk_StartN-T$36))/2+1))/2)))</f>
        <v/>
      </c>
      <c r="U47" s="77" t="str">
        <f aca="false">IF(OR($B47="",U$35=""),"",SUMPRODUCT((tsk_Resource=$B47)*tsk_WorkPerDay*((((tsk_FinishN+U$37-ABS(tsk_FinishN-U$37))/2-(tsk_StartN+U$36+ABS(tsk_StartN-U$36))/2+1)+ABS((tsk_FinishN+U$37-ABS(tsk_FinishN-U$37))/2-(tsk_StartN+U$36+ABS(tsk_StartN-U$36))/2+1))/2)))</f>
        <v/>
      </c>
      <c r="V47" s="77" t="str">
        <f aca="false">IF(OR($B47="",V$35=""),"",SUMPRODUCT((tsk_Resource=$B47)*tsk_WorkPerDay*((((tsk_FinishN+V$37-ABS(tsk_FinishN-V$37))/2-(tsk_StartN+V$36+ABS(tsk_StartN-V$36))/2+1)+ABS((tsk_FinishN+V$37-ABS(tsk_FinishN-V$37))/2-(tsk_StartN+V$36+ABS(tsk_StartN-V$36))/2+1))/2)))</f>
        <v/>
      </c>
      <c r="W47" s="77" t="str">
        <f aca="false">IF(OR($B47="",W$35=""),"",SUMPRODUCT((tsk_Resource=$B47)*tsk_WorkPerDay*((((tsk_FinishN+W$37-ABS(tsk_FinishN-W$37))/2-(tsk_StartN+W$36+ABS(tsk_StartN-W$36))/2+1)+ABS((tsk_FinishN+W$37-ABS(tsk_FinishN-W$37))/2-(tsk_StartN+W$36+ABS(tsk_StartN-W$36))/2+1))/2)))</f>
        <v/>
      </c>
      <c r="X47" s="77" t="str">
        <f aca="false">IF(OR($B47="",X$35=""),"",SUMPRODUCT((tsk_Resource=$B47)*tsk_WorkPerDay*((((tsk_FinishN+X$37-ABS(tsk_FinishN-X$37))/2-(tsk_StartN+X$36+ABS(tsk_StartN-X$36))/2+1)+ABS((tsk_FinishN+X$37-ABS(tsk_FinishN-X$37))/2-(tsk_StartN+X$36+ABS(tsk_StartN-X$36))/2+1))/2)))</f>
        <v/>
      </c>
      <c r="Y47" s="77" t="str">
        <f aca="false">IF(OR($B47="",Y$35=""),"",SUMPRODUCT((tsk_Resource=$B47)*tsk_WorkPerDay*((((tsk_FinishN+Y$37-ABS(tsk_FinishN-Y$37))/2-(tsk_StartN+Y$36+ABS(tsk_StartN-Y$36))/2+1)+ABS((tsk_FinishN+Y$37-ABS(tsk_FinishN-Y$37))/2-(tsk_StartN+Y$36+ABS(tsk_StartN-Y$36))/2+1))/2)))</f>
        <v/>
      </c>
      <c r="Z47" s="77" t="str">
        <f aca="false">IF(OR($B47="",Z$35=""),"",SUMPRODUCT((tsk_Resource=$B47)*tsk_WorkPerDay*((((tsk_FinishN+Z$37-ABS(tsk_FinishN-Z$37))/2-(tsk_StartN+Z$36+ABS(tsk_StartN-Z$36))/2+1)+ABS((tsk_FinishN+Z$37-ABS(tsk_FinishN-Z$37))/2-(tsk_StartN+Z$36+ABS(tsk_StartN-Z$36))/2+1))/2)))</f>
        <v/>
      </c>
      <c r="AA47" s="77" t="str">
        <f aca="false">IF(OR($B47="",AA$35=""),"",SUMPRODUCT((tsk_Resource=$B47)*tsk_WorkPerDay*((((tsk_FinishN+AA$37-ABS(tsk_FinishN-AA$37))/2-(tsk_StartN+AA$36+ABS(tsk_StartN-AA$36))/2+1)+ABS((tsk_FinishN+AA$37-ABS(tsk_FinishN-AA$37))/2-(tsk_StartN+AA$36+ABS(tsk_StartN-AA$36))/2+1))/2)))</f>
        <v/>
      </c>
      <c r="AB47" s="77" t="str">
        <f aca="false">IF(OR($B47="",AB$35=""),"",SUMPRODUCT((tsk_Resource=$B47)*tsk_WorkPerDay*((((tsk_FinishN+AB$37-ABS(tsk_FinishN-AB$37))/2-(tsk_StartN+AB$36+ABS(tsk_StartN-AB$36))/2+1)+ABS((tsk_FinishN+AB$37-ABS(tsk_FinishN-AB$37))/2-(tsk_StartN+AB$36+ABS(tsk_StartN-AB$36))/2+1))/2)))</f>
        <v/>
      </c>
      <c r="AC47" s="77" t="str">
        <f aca="false">IF(OR($B47="",AC$35=""),"",SUMPRODUCT((tsk_Resource=$B47)*tsk_WorkPerDay*((((tsk_FinishN+AC$37-ABS(tsk_FinishN-AC$37))/2-(tsk_StartN+AC$36+ABS(tsk_StartN-AC$36))/2+1)+ABS((tsk_FinishN+AC$37-ABS(tsk_FinishN-AC$37))/2-(tsk_StartN+AC$36+ABS(tsk_StartN-AC$36))/2+1))/2)))</f>
        <v/>
      </c>
    </row>
    <row r="48" customFormat="false" ht="15" hidden="false" customHeight="false" outlineLevel="0" collapsed="false">
      <c r="B48" s="75" t="str">
        <f aca="false">IF(INDEX(res_Name,11)="","",INDEX(res_Name,11))</f>
        <v/>
      </c>
      <c r="C48" s="76" t="str">
        <f aca="false">IF($B48="","",INDEX(res_MaxUnits,11))</f>
        <v/>
      </c>
      <c r="D48" s="77" t="str">
        <f aca="false">IF(OR($B48="",D$35=""),"",SUMPRODUCT((tsk_Resource=$B48)*tsk_WorkPerDay*((((tsk_FinishN+D$37-ABS(tsk_FinishN-D$37))/2-(tsk_StartN+D$36+ABS(tsk_StartN-D$36))/2+1)+ABS((tsk_FinishN+D$37-ABS(tsk_FinishN-D$37))/2-(tsk_StartN+D$36+ABS(tsk_StartN-D$36))/2+1))/2)))</f>
        <v/>
      </c>
      <c r="E48" s="77" t="str">
        <f aca="false">IF(OR($B48="",E$35=""),"",SUMPRODUCT((tsk_Resource=$B48)*tsk_WorkPerDay*((((tsk_FinishN+E$37-ABS(tsk_FinishN-E$37))/2-(tsk_StartN+E$36+ABS(tsk_StartN-E$36))/2+1)+ABS((tsk_FinishN+E$37-ABS(tsk_FinishN-E$37))/2-(tsk_StartN+E$36+ABS(tsk_StartN-E$36))/2+1))/2)))</f>
        <v/>
      </c>
      <c r="F48" s="77" t="str">
        <f aca="false">IF(OR($B48="",F$35=""),"",SUMPRODUCT((tsk_Resource=$B48)*tsk_WorkPerDay*((((tsk_FinishN+F$37-ABS(tsk_FinishN-F$37))/2-(tsk_StartN+F$36+ABS(tsk_StartN-F$36))/2+1)+ABS((tsk_FinishN+F$37-ABS(tsk_FinishN-F$37))/2-(tsk_StartN+F$36+ABS(tsk_StartN-F$36))/2+1))/2)))</f>
        <v/>
      </c>
      <c r="G48" s="77" t="str">
        <f aca="false">IF(OR($B48="",G$35=""),"",SUMPRODUCT((tsk_Resource=$B48)*tsk_WorkPerDay*((((tsk_FinishN+G$37-ABS(tsk_FinishN-G$37))/2-(tsk_StartN+G$36+ABS(tsk_StartN-G$36))/2+1)+ABS((tsk_FinishN+G$37-ABS(tsk_FinishN-G$37))/2-(tsk_StartN+G$36+ABS(tsk_StartN-G$36))/2+1))/2)))</f>
        <v/>
      </c>
      <c r="H48" s="77" t="str">
        <f aca="false">IF(OR($B48="",H$35=""),"",SUMPRODUCT((tsk_Resource=$B48)*tsk_WorkPerDay*((((tsk_FinishN+H$37-ABS(tsk_FinishN-H$37))/2-(tsk_StartN+H$36+ABS(tsk_StartN-H$36))/2+1)+ABS((tsk_FinishN+H$37-ABS(tsk_FinishN-H$37))/2-(tsk_StartN+H$36+ABS(tsk_StartN-H$36))/2+1))/2)))</f>
        <v/>
      </c>
      <c r="I48" s="77" t="str">
        <f aca="false">IF(OR($B48="",I$35=""),"",SUMPRODUCT((tsk_Resource=$B48)*tsk_WorkPerDay*((((tsk_FinishN+I$37-ABS(tsk_FinishN-I$37))/2-(tsk_StartN+I$36+ABS(tsk_StartN-I$36))/2+1)+ABS((tsk_FinishN+I$37-ABS(tsk_FinishN-I$37))/2-(tsk_StartN+I$36+ABS(tsk_StartN-I$36))/2+1))/2)))</f>
        <v/>
      </c>
      <c r="J48" s="77" t="str">
        <f aca="false">IF(OR($B48="",J$35=""),"",SUMPRODUCT((tsk_Resource=$B48)*tsk_WorkPerDay*((((tsk_FinishN+J$37-ABS(tsk_FinishN-J$37))/2-(tsk_StartN+J$36+ABS(tsk_StartN-J$36))/2+1)+ABS((tsk_FinishN+J$37-ABS(tsk_FinishN-J$37))/2-(tsk_StartN+J$36+ABS(tsk_StartN-J$36))/2+1))/2)))</f>
        <v/>
      </c>
      <c r="K48" s="77" t="str">
        <f aca="false">IF(OR($B48="",K$35=""),"",SUMPRODUCT((tsk_Resource=$B48)*tsk_WorkPerDay*((((tsk_FinishN+K$37-ABS(tsk_FinishN-K$37))/2-(tsk_StartN+K$36+ABS(tsk_StartN-K$36))/2+1)+ABS((tsk_FinishN+K$37-ABS(tsk_FinishN-K$37))/2-(tsk_StartN+K$36+ABS(tsk_StartN-K$36))/2+1))/2)))</f>
        <v/>
      </c>
      <c r="L48" s="77" t="str">
        <f aca="false">IF(OR($B48="",L$35=""),"",SUMPRODUCT((tsk_Resource=$B48)*tsk_WorkPerDay*((((tsk_FinishN+L$37-ABS(tsk_FinishN-L$37))/2-(tsk_StartN+L$36+ABS(tsk_StartN-L$36))/2+1)+ABS((tsk_FinishN+L$37-ABS(tsk_FinishN-L$37))/2-(tsk_StartN+L$36+ABS(tsk_StartN-L$36))/2+1))/2)))</f>
        <v/>
      </c>
      <c r="M48" s="77" t="str">
        <f aca="false">IF(OR($B48="",M$35=""),"",SUMPRODUCT((tsk_Resource=$B48)*tsk_WorkPerDay*((((tsk_FinishN+M$37-ABS(tsk_FinishN-M$37))/2-(tsk_StartN+M$36+ABS(tsk_StartN-M$36))/2+1)+ABS((tsk_FinishN+M$37-ABS(tsk_FinishN-M$37))/2-(tsk_StartN+M$36+ABS(tsk_StartN-M$36))/2+1))/2)))</f>
        <v/>
      </c>
      <c r="N48" s="77" t="str">
        <f aca="false">IF(OR($B48="",N$35=""),"",SUMPRODUCT((tsk_Resource=$B48)*tsk_WorkPerDay*((((tsk_FinishN+N$37-ABS(tsk_FinishN-N$37))/2-(tsk_StartN+N$36+ABS(tsk_StartN-N$36))/2+1)+ABS((tsk_FinishN+N$37-ABS(tsk_FinishN-N$37))/2-(tsk_StartN+N$36+ABS(tsk_StartN-N$36))/2+1))/2)))</f>
        <v/>
      </c>
      <c r="O48" s="77" t="str">
        <f aca="false">IF(OR($B48="",O$35=""),"",SUMPRODUCT((tsk_Resource=$B48)*tsk_WorkPerDay*((((tsk_FinishN+O$37-ABS(tsk_FinishN-O$37))/2-(tsk_StartN+O$36+ABS(tsk_StartN-O$36))/2+1)+ABS((tsk_FinishN+O$37-ABS(tsk_FinishN-O$37))/2-(tsk_StartN+O$36+ABS(tsk_StartN-O$36))/2+1))/2)))</f>
        <v/>
      </c>
      <c r="P48" s="77" t="str">
        <f aca="false">IF(OR($B48="",P$35=""),"",SUMPRODUCT((tsk_Resource=$B48)*tsk_WorkPerDay*((((tsk_FinishN+P$37-ABS(tsk_FinishN-P$37))/2-(tsk_StartN+P$36+ABS(tsk_StartN-P$36))/2+1)+ABS((tsk_FinishN+P$37-ABS(tsk_FinishN-P$37))/2-(tsk_StartN+P$36+ABS(tsk_StartN-P$36))/2+1))/2)))</f>
        <v/>
      </c>
      <c r="Q48" s="77" t="str">
        <f aca="false">IF(OR($B48="",Q$35=""),"",SUMPRODUCT((tsk_Resource=$B48)*tsk_WorkPerDay*((((tsk_FinishN+Q$37-ABS(tsk_FinishN-Q$37))/2-(tsk_StartN+Q$36+ABS(tsk_StartN-Q$36))/2+1)+ABS((tsk_FinishN+Q$37-ABS(tsk_FinishN-Q$37))/2-(tsk_StartN+Q$36+ABS(tsk_StartN-Q$36))/2+1))/2)))</f>
        <v/>
      </c>
      <c r="R48" s="77" t="str">
        <f aca="false">IF(OR($B48="",R$35=""),"",SUMPRODUCT((tsk_Resource=$B48)*tsk_WorkPerDay*((((tsk_FinishN+R$37-ABS(tsk_FinishN-R$37))/2-(tsk_StartN+R$36+ABS(tsk_StartN-R$36))/2+1)+ABS((tsk_FinishN+R$37-ABS(tsk_FinishN-R$37))/2-(tsk_StartN+R$36+ABS(tsk_StartN-R$36))/2+1))/2)))</f>
        <v/>
      </c>
      <c r="S48" s="77" t="str">
        <f aca="false">IF(OR($B48="",S$35=""),"",SUMPRODUCT((tsk_Resource=$B48)*tsk_WorkPerDay*((((tsk_FinishN+S$37-ABS(tsk_FinishN-S$37))/2-(tsk_StartN+S$36+ABS(tsk_StartN-S$36))/2+1)+ABS((tsk_FinishN+S$37-ABS(tsk_FinishN-S$37))/2-(tsk_StartN+S$36+ABS(tsk_StartN-S$36))/2+1))/2)))</f>
        <v/>
      </c>
      <c r="T48" s="77" t="str">
        <f aca="false">IF(OR($B48="",T$35=""),"",SUMPRODUCT((tsk_Resource=$B48)*tsk_WorkPerDay*((((tsk_FinishN+T$37-ABS(tsk_FinishN-T$37))/2-(tsk_StartN+T$36+ABS(tsk_StartN-T$36))/2+1)+ABS((tsk_FinishN+T$37-ABS(tsk_FinishN-T$37))/2-(tsk_StartN+T$36+ABS(tsk_StartN-T$36))/2+1))/2)))</f>
        <v/>
      </c>
      <c r="U48" s="77" t="str">
        <f aca="false">IF(OR($B48="",U$35=""),"",SUMPRODUCT((tsk_Resource=$B48)*tsk_WorkPerDay*((((tsk_FinishN+U$37-ABS(tsk_FinishN-U$37))/2-(tsk_StartN+U$36+ABS(tsk_StartN-U$36))/2+1)+ABS((tsk_FinishN+U$37-ABS(tsk_FinishN-U$37))/2-(tsk_StartN+U$36+ABS(tsk_StartN-U$36))/2+1))/2)))</f>
        <v/>
      </c>
      <c r="V48" s="77" t="str">
        <f aca="false">IF(OR($B48="",V$35=""),"",SUMPRODUCT((tsk_Resource=$B48)*tsk_WorkPerDay*((((tsk_FinishN+V$37-ABS(tsk_FinishN-V$37))/2-(tsk_StartN+V$36+ABS(tsk_StartN-V$36))/2+1)+ABS((tsk_FinishN+V$37-ABS(tsk_FinishN-V$37))/2-(tsk_StartN+V$36+ABS(tsk_StartN-V$36))/2+1))/2)))</f>
        <v/>
      </c>
      <c r="W48" s="77" t="str">
        <f aca="false">IF(OR($B48="",W$35=""),"",SUMPRODUCT((tsk_Resource=$B48)*tsk_WorkPerDay*((((tsk_FinishN+W$37-ABS(tsk_FinishN-W$37))/2-(tsk_StartN+W$36+ABS(tsk_StartN-W$36))/2+1)+ABS((tsk_FinishN+W$37-ABS(tsk_FinishN-W$37))/2-(tsk_StartN+W$36+ABS(tsk_StartN-W$36))/2+1))/2)))</f>
        <v/>
      </c>
      <c r="X48" s="77" t="str">
        <f aca="false">IF(OR($B48="",X$35=""),"",SUMPRODUCT((tsk_Resource=$B48)*tsk_WorkPerDay*((((tsk_FinishN+X$37-ABS(tsk_FinishN-X$37))/2-(tsk_StartN+X$36+ABS(tsk_StartN-X$36))/2+1)+ABS((tsk_FinishN+X$37-ABS(tsk_FinishN-X$37))/2-(tsk_StartN+X$36+ABS(tsk_StartN-X$36))/2+1))/2)))</f>
        <v/>
      </c>
      <c r="Y48" s="77" t="str">
        <f aca="false">IF(OR($B48="",Y$35=""),"",SUMPRODUCT((tsk_Resource=$B48)*tsk_WorkPerDay*((((tsk_FinishN+Y$37-ABS(tsk_FinishN-Y$37))/2-(tsk_StartN+Y$36+ABS(tsk_StartN-Y$36))/2+1)+ABS((tsk_FinishN+Y$37-ABS(tsk_FinishN-Y$37))/2-(tsk_StartN+Y$36+ABS(tsk_StartN-Y$36))/2+1))/2)))</f>
        <v/>
      </c>
      <c r="Z48" s="77" t="str">
        <f aca="false">IF(OR($B48="",Z$35=""),"",SUMPRODUCT((tsk_Resource=$B48)*tsk_WorkPerDay*((((tsk_FinishN+Z$37-ABS(tsk_FinishN-Z$37))/2-(tsk_StartN+Z$36+ABS(tsk_StartN-Z$36))/2+1)+ABS((tsk_FinishN+Z$37-ABS(tsk_FinishN-Z$37))/2-(tsk_StartN+Z$36+ABS(tsk_StartN-Z$36))/2+1))/2)))</f>
        <v/>
      </c>
      <c r="AA48" s="77" t="str">
        <f aca="false">IF(OR($B48="",AA$35=""),"",SUMPRODUCT((tsk_Resource=$B48)*tsk_WorkPerDay*((((tsk_FinishN+AA$37-ABS(tsk_FinishN-AA$37))/2-(tsk_StartN+AA$36+ABS(tsk_StartN-AA$36))/2+1)+ABS((tsk_FinishN+AA$37-ABS(tsk_FinishN-AA$37))/2-(tsk_StartN+AA$36+ABS(tsk_StartN-AA$36))/2+1))/2)))</f>
        <v/>
      </c>
      <c r="AB48" s="77" t="str">
        <f aca="false">IF(OR($B48="",AB$35=""),"",SUMPRODUCT((tsk_Resource=$B48)*tsk_WorkPerDay*((((tsk_FinishN+AB$37-ABS(tsk_FinishN-AB$37))/2-(tsk_StartN+AB$36+ABS(tsk_StartN-AB$36))/2+1)+ABS((tsk_FinishN+AB$37-ABS(tsk_FinishN-AB$37))/2-(tsk_StartN+AB$36+ABS(tsk_StartN-AB$36))/2+1))/2)))</f>
        <v/>
      </c>
      <c r="AC48" s="77" t="str">
        <f aca="false">IF(OR($B48="",AC$35=""),"",SUMPRODUCT((tsk_Resource=$B48)*tsk_WorkPerDay*((((tsk_FinishN+AC$37-ABS(tsk_FinishN-AC$37))/2-(tsk_StartN+AC$36+ABS(tsk_StartN-AC$36))/2+1)+ABS((tsk_FinishN+AC$37-ABS(tsk_FinishN-AC$37))/2-(tsk_StartN+AC$36+ABS(tsk_StartN-AC$36))/2+1))/2)))</f>
        <v/>
      </c>
    </row>
    <row r="49" customFormat="false" ht="15" hidden="false" customHeight="false" outlineLevel="0" collapsed="false">
      <c r="B49" s="75" t="str">
        <f aca="false">IF(INDEX(res_Name,12)="","",INDEX(res_Name,12))</f>
        <v/>
      </c>
      <c r="C49" s="76" t="str">
        <f aca="false">IF($B49="","",INDEX(res_MaxUnits,12))</f>
        <v/>
      </c>
      <c r="D49" s="77" t="str">
        <f aca="false">IF(OR($B49="",D$35=""),"",SUMPRODUCT((tsk_Resource=$B49)*tsk_WorkPerDay*((((tsk_FinishN+D$37-ABS(tsk_FinishN-D$37))/2-(tsk_StartN+D$36+ABS(tsk_StartN-D$36))/2+1)+ABS((tsk_FinishN+D$37-ABS(tsk_FinishN-D$37))/2-(tsk_StartN+D$36+ABS(tsk_StartN-D$36))/2+1))/2)))</f>
        <v/>
      </c>
      <c r="E49" s="77" t="str">
        <f aca="false">IF(OR($B49="",E$35=""),"",SUMPRODUCT((tsk_Resource=$B49)*tsk_WorkPerDay*((((tsk_FinishN+E$37-ABS(tsk_FinishN-E$37))/2-(tsk_StartN+E$36+ABS(tsk_StartN-E$36))/2+1)+ABS((tsk_FinishN+E$37-ABS(tsk_FinishN-E$37))/2-(tsk_StartN+E$36+ABS(tsk_StartN-E$36))/2+1))/2)))</f>
        <v/>
      </c>
      <c r="F49" s="77" t="str">
        <f aca="false">IF(OR($B49="",F$35=""),"",SUMPRODUCT((tsk_Resource=$B49)*tsk_WorkPerDay*((((tsk_FinishN+F$37-ABS(tsk_FinishN-F$37))/2-(tsk_StartN+F$36+ABS(tsk_StartN-F$36))/2+1)+ABS((tsk_FinishN+F$37-ABS(tsk_FinishN-F$37))/2-(tsk_StartN+F$36+ABS(tsk_StartN-F$36))/2+1))/2)))</f>
        <v/>
      </c>
      <c r="G49" s="77" t="str">
        <f aca="false">IF(OR($B49="",G$35=""),"",SUMPRODUCT((tsk_Resource=$B49)*tsk_WorkPerDay*((((tsk_FinishN+G$37-ABS(tsk_FinishN-G$37))/2-(tsk_StartN+G$36+ABS(tsk_StartN-G$36))/2+1)+ABS((tsk_FinishN+G$37-ABS(tsk_FinishN-G$37))/2-(tsk_StartN+G$36+ABS(tsk_StartN-G$36))/2+1))/2)))</f>
        <v/>
      </c>
      <c r="H49" s="77" t="str">
        <f aca="false">IF(OR($B49="",H$35=""),"",SUMPRODUCT((tsk_Resource=$B49)*tsk_WorkPerDay*((((tsk_FinishN+H$37-ABS(tsk_FinishN-H$37))/2-(tsk_StartN+H$36+ABS(tsk_StartN-H$36))/2+1)+ABS((tsk_FinishN+H$37-ABS(tsk_FinishN-H$37))/2-(tsk_StartN+H$36+ABS(tsk_StartN-H$36))/2+1))/2)))</f>
        <v/>
      </c>
      <c r="I49" s="77" t="str">
        <f aca="false">IF(OR($B49="",I$35=""),"",SUMPRODUCT((tsk_Resource=$B49)*tsk_WorkPerDay*((((tsk_FinishN+I$37-ABS(tsk_FinishN-I$37))/2-(tsk_StartN+I$36+ABS(tsk_StartN-I$36))/2+1)+ABS((tsk_FinishN+I$37-ABS(tsk_FinishN-I$37))/2-(tsk_StartN+I$36+ABS(tsk_StartN-I$36))/2+1))/2)))</f>
        <v/>
      </c>
      <c r="J49" s="77" t="str">
        <f aca="false">IF(OR($B49="",J$35=""),"",SUMPRODUCT((tsk_Resource=$B49)*tsk_WorkPerDay*((((tsk_FinishN+J$37-ABS(tsk_FinishN-J$37))/2-(tsk_StartN+J$36+ABS(tsk_StartN-J$36))/2+1)+ABS((tsk_FinishN+J$37-ABS(tsk_FinishN-J$37))/2-(tsk_StartN+J$36+ABS(tsk_StartN-J$36))/2+1))/2)))</f>
        <v/>
      </c>
      <c r="K49" s="77" t="str">
        <f aca="false">IF(OR($B49="",K$35=""),"",SUMPRODUCT((tsk_Resource=$B49)*tsk_WorkPerDay*((((tsk_FinishN+K$37-ABS(tsk_FinishN-K$37))/2-(tsk_StartN+K$36+ABS(tsk_StartN-K$36))/2+1)+ABS((tsk_FinishN+K$37-ABS(tsk_FinishN-K$37))/2-(tsk_StartN+K$36+ABS(tsk_StartN-K$36))/2+1))/2)))</f>
        <v/>
      </c>
      <c r="L49" s="77" t="str">
        <f aca="false">IF(OR($B49="",L$35=""),"",SUMPRODUCT((tsk_Resource=$B49)*tsk_WorkPerDay*((((tsk_FinishN+L$37-ABS(tsk_FinishN-L$37))/2-(tsk_StartN+L$36+ABS(tsk_StartN-L$36))/2+1)+ABS((tsk_FinishN+L$37-ABS(tsk_FinishN-L$37))/2-(tsk_StartN+L$36+ABS(tsk_StartN-L$36))/2+1))/2)))</f>
        <v/>
      </c>
      <c r="M49" s="77" t="str">
        <f aca="false">IF(OR($B49="",M$35=""),"",SUMPRODUCT((tsk_Resource=$B49)*tsk_WorkPerDay*((((tsk_FinishN+M$37-ABS(tsk_FinishN-M$37))/2-(tsk_StartN+M$36+ABS(tsk_StartN-M$36))/2+1)+ABS((tsk_FinishN+M$37-ABS(tsk_FinishN-M$37))/2-(tsk_StartN+M$36+ABS(tsk_StartN-M$36))/2+1))/2)))</f>
        <v/>
      </c>
      <c r="N49" s="77" t="str">
        <f aca="false">IF(OR($B49="",N$35=""),"",SUMPRODUCT((tsk_Resource=$B49)*tsk_WorkPerDay*((((tsk_FinishN+N$37-ABS(tsk_FinishN-N$37))/2-(tsk_StartN+N$36+ABS(tsk_StartN-N$36))/2+1)+ABS((tsk_FinishN+N$37-ABS(tsk_FinishN-N$37))/2-(tsk_StartN+N$36+ABS(tsk_StartN-N$36))/2+1))/2)))</f>
        <v/>
      </c>
      <c r="O49" s="77" t="str">
        <f aca="false">IF(OR($B49="",O$35=""),"",SUMPRODUCT((tsk_Resource=$B49)*tsk_WorkPerDay*((((tsk_FinishN+O$37-ABS(tsk_FinishN-O$37))/2-(tsk_StartN+O$36+ABS(tsk_StartN-O$36))/2+1)+ABS((tsk_FinishN+O$37-ABS(tsk_FinishN-O$37))/2-(tsk_StartN+O$36+ABS(tsk_StartN-O$36))/2+1))/2)))</f>
        <v/>
      </c>
      <c r="P49" s="77" t="str">
        <f aca="false">IF(OR($B49="",P$35=""),"",SUMPRODUCT((tsk_Resource=$B49)*tsk_WorkPerDay*((((tsk_FinishN+P$37-ABS(tsk_FinishN-P$37))/2-(tsk_StartN+P$36+ABS(tsk_StartN-P$36))/2+1)+ABS((tsk_FinishN+P$37-ABS(tsk_FinishN-P$37))/2-(tsk_StartN+P$36+ABS(tsk_StartN-P$36))/2+1))/2)))</f>
        <v/>
      </c>
      <c r="Q49" s="77" t="str">
        <f aca="false">IF(OR($B49="",Q$35=""),"",SUMPRODUCT((tsk_Resource=$B49)*tsk_WorkPerDay*((((tsk_FinishN+Q$37-ABS(tsk_FinishN-Q$37))/2-(tsk_StartN+Q$36+ABS(tsk_StartN-Q$36))/2+1)+ABS((tsk_FinishN+Q$37-ABS(tsk_FinishN-Q$37))/2-(tsk_StartN+Q$36+ABS(tsk_StartN-Q$36))/2+1))/2)))</f>
        <v/>
      </c>
      <c r="R49" s="77" t="str">
        <f aca="false">IF(OR($B49="",R$35=""),"",SUMPRODUCT((tsk_Resource=$B49)*tsk_WorkPerDay*((((tsk_FinishN+R$37-ABS(tsk_FinishN-R$37))/2-(tsk_StartN+R$36+ABS(tsk_StartN-R$36))/2+1)+ABS((tsk_FinishN+R$37-ABS(tsk_FinishN-R$37))/2-(tsk_StartN+R$36+ABS(tsk_StartN-R$36))/2+1))/2)))</f>
        <v/>
      </c>
      <c r="S49" s="77" t="str">
        <f aca="false">IF(OR($B49="",S$35=""),"",SUMPRODUCT((tsk_Resource=$B49)*tsk_WorkPerDay*((((tsk_FinishN+S$37-ABS(tsk_FinishN-S$37))/2-(tsk_StartN+S$36+ABS(tsk_StartN-S$36))/2+1)+ABS((tsk_FinishN+S$37-ABS(tsk_FinishN-S$37))/2-(tsk_StartN+S$36+ABS(tsk_StartN-S$36))/2+1))/2)))</f>
        <v/>
      </c>
      <c r="T49" s="77" t="str">
        <f aca="false">IF(OR($B49="",T$35=""),"",SUMPRODUCT((tsk_Resource=$B49)*tsk_WorkPerDay*((((tsk_FinishN+T$37-ABS(tsk_FinishN-T$37))/2-(tsk_StartN+T$36+ABS(tsk_StartN-T$36))/2+1)+ABS((tsk_FinishN+T$37-ABS(tsk_FinishN-T$37))/2-(tsk_StartN+T$36+ABS(tsk_StartN-T$36))/2+1))/2)))</f>
        <v/>
      </c>
      <c r="U49" s="77" t="str">
        <f aca="false">IF(OR($B49="",U$35=""),"",SUMPRODUCT((tsk_Resource=$B49)*tsk_WorkPerDay*((((tsk_FinishN+U$37-ABS(tsk_FinishN-U$37))/2-(tsk_StartN+U$36+ABS(tsk_StartN-U$36))/2+1)+ABS((tsk_FinishN+U$37-ABS(tsk_FinishN-U$37))/2-(tsk_StartN+U$36+ABS(tsk_StartN-U$36))/2+1))/2)))</f>
        <v/>
      </c>
      <c r="V49" s="77" t="str">
        <f aca="false">IF(OR($B49="",V$35=""),"",SUMPRODUCT((tsk_Resource=$B49)*tsk_WorkPerDay*((((tsk_FinishN+V$37-ABS(tsk_FinishN-V$37))/2-(tsk_StartN+V$36+ABS(tsk_StartN-V$36))/2+1)+ABS((tsk_FinishN+V$37-ABS(tsk_FinishN-V$37))/2-(tsk_StartN+V$36+ABS(tsk_StartN-V$36))/2+1))/2)))</f>
        <v/>
      </c>
      <c r="W49" s="77" t="str">
        <f aca="false">IF(OR($B49="",W$35=""),"",SUMPRODUCT((tsk_Resource=$B49)*tsk_WorkPerDay*((((tsk_FinishN+W$37-ABS(tsk_FinishN-W$37))/2-(tsk_StartN+W$36+ABS(tsk_StartN-W$36))/2+1)+ABS((tsk_FinishN+W$37-ABS(tsk_FinishN-W$37))/2-(tsk_StartN+W$36+ABS(tsk_StartN-W$36))/2+1))/2)))</f>
        <v/>
      </c>
      <c r="X49" s="77" t="str">
        <f aca="false">IF(OR($B49="",X$35=""),"",SUMPRODUCT((tsk_Resource=$B49)*tsk_WorkPerDay*((((tsk_FinishN+X$37-ABS(tsk_FinishN-X$37))/2-(tsk_StartN+X$36+ABS(tsk_StartN-X$36))/2+1)+ABS((tsk_FinishN+X$37-ABS(tsk_FinishN-X$37))/2-(tsk_StartN+X$36+ABS(tsk_StartN-X$36))/2+1))/2)))</f>
        <v/>
      </c>
      <c r="Y49" s="77" t="str">
        <f aca="false">IF(OR($B49="",Y$35=""),"",SUMPRODUCT((tsk_Resource=$B49)*tsk_WorkPerDay*((((tsk_FinishN+Y$37-ABS(tsk_FinishN-Y$37))/2-(tsk_StartN+Y$36+ABS(tsk_StartN-Y$36))/2+1)+ABS((tsk_FinishN+Y$37-ABS(tsk_FinishN-Y$37))/2-(tsk_StartN+Y$36+ABS(tsk_StartN-Y$36))/2+1))/2)))</f>
        <v/>
      </c>
      <c r="Z49" s="77" t="str">
        <f aca="false">IF(OR($B49="",Z$35=""),"",SUMPRODUCT((tsk_Resource=$B49)*tsk_WorkPerDay*((((tsk_FinishN+Z$37-ABS(tsk_FinishN-Z$37))/2-(tsk_StartN+Z$36+ABS(tsk_StartN-Z$36))/2+1)+ABS((tsk_FinishN+Z$37-ABS(tsk_FinishN-Z$37))/2-(tsk_StartN+Z$36+ABS(tsk_StartN-Z$36))/2+1))/2)))</f>
        <v/>
      </c>
      <c r="AA49" s="77" t="str">
        <f aca="false">IF(OR($B49="",AA$35=""),"",SUMPRODUCT((tsk_Resource=$B49)*tsk_WorkPerDay*((((tsk_FinishN+AA$37-ABS(tsk_FinishN-AA$37))/2-(tsk_StartN+AA$36+ABS(tsk_StartN-AA$36))/2+1)+ABS((tsk_FinishN+AA$37-ABS(tsk_FinishN-AA$37))/2-(tsk_StartN+AA$36+ABS(tsk_StartN-AA$36))/2+1))/2)))</f>
        <v/>
      </c>
      <c r="AB49" s="77" t="str">
        <f aca="false">IF(OR($B49="",AB$35=""),"",SUMPRODUCT((tsk_Resource=$B49)*tsk_WorkPerDay*((((tsk_FinishN+AB$37-ABS(tsk_FinishN-AB$37))/2-(tsk_StartN+AB$36+ABS(tsk_StartN-AB$36))/2+1)+ABS((tsk_FinishN+AB$37-ABS(tsk_FinishN-AB$37))/2-(tsk_StartN+AB$36+ABS(tsk_StartN-AB$36))/2+1))/2)))</f>
        <v/>
      </c>
      <c r="AC49" s="77" t="str">
        <f aca="false">IF(OR($B49="",AC$35=""),"",SUMPRODUCT((tsk_Resource=$B49)*tsk_WorkPerDay*((((tsk_FinishN+AC$37-ABS(tsk_FinishN-AC$37))/2-(tsk_StartN+AC$36+ABS(tsk_StartN-AC$36))/2+1)+ABS((tsk_FinishN+AC$37-ABS(tsk_FinishN-AC$37))/2-(tsk_StartN+AC$36+ABS(tsk_StartN-AC$36))/2+1))/2)))</f>
        <v/>
      </c>
    </row>
    <row r="50" customFormat="false" ht="15" hidden="false" customHeight="false" outlineLevel="0" collapsed="false">
      <c r="B50" s="75" t="str">
        <f aca="false">IF(INDEX(res_Name,13)="","",INDEX(res_Name,13))</f>
        <v/>
      </c>
      <c r="C50" s="76" t="str">
        <f aca="false">IF($B50="","",INDEX(res_MaxUnits,13))</f>
        <v/>
      </c>
      <c r="D50" s="77" t="str">
        <f aca="false">IF(OR($B50="",D$35=""),"",SUMPRODUCT((tsk_Resource=$B50)*tsk_WorkPerDay*((((tsk_FinishN+D$37-ABS(tsk_FinishN-D$37))/2-(tsk_StartN+D$36+ABS(tsk_StartN-D$36))/2+1)+ABS((tsk_FinishN+D$37-ABS(tsk_FinishN-D$37))/2-(tsk_StartN+D$36+ABS(tsk_StartN-D$36))/2+1))/2)))</f>
        <v/>
      </c>
      <c r="E50" s="77" t="str">
        <f aca="false">IF(OR($B50="",E$35=""),"",SUMPRODUCT((tsk_Resource=$B50)*tsk_WorkPerDay*((((tsk_FinishN+E$37-ABS(tsk_FinishN-E$37))/2-(tsk_StartN+E$36+ABS(tsk_StartN-E$36))/2+1)+ABS((tsk_FinishN+E$37-ABS(tsk_FinishN-E$37))/2-(tsk_StartN+E$36+ABS(tsk_StartN-E$36))/2+1))/2)))</f>
        <v/>
      </c>
      <c r="F50" s="77" t="str">
        <f aca="false">IF(OR($B50="",F$35=""),"",SUMPRODUCT((tsk_Resource=$B50)*tsk_WorkPerDay*((((tsk_FinishN+F$37-ABS(tsk_FinishN-F$37))/2-(tsk_StartN+F$36+ABS(tsk_StartN-F$36))/2+1)+ABS((tsk_FinishN+F$37-ABS(tsk_FinishN-F$37))/2-(tsk_StartN+F$36+ABS(tsk_StartN-F$36))/2+1))/2)))</f>
        <v/>
      </c>
      <c r="G50" s="77" t="str">
        <f aca="false">IF(OR($B50="",G$35=""),"",SUMPRODUCT((tsk_Resource=$B50)*tsk_WorkPerDay*((((tsk_FinishN+G$37-ABS(tsk_FinishN-G$37))/2-(tsk_StartN+G$36+ABS(tsk_StartN-G$36))/2+1)+ABS((tsk_FinishN+G$37-ABS(tsk_FinishN-G$37))/2-(tsk_StartN+G$36+ABS(tsk_StartN-G$36))/2+1))/2)))</f>
        <v/>
      </c>
      <c r="H50" s="77" t="str">
        <f aca="false">IF(OR($B50="",H$35=""),"",SUMPRODUCT((tsk_Resource=$B50)*tsk_WorkPerDay*((((tsk_FinishN+H$37-ABS(tsk_FinishN-H$37))/2-(tsk_StartN+H$36+ABS(tsk_StartN-H$36))/2+1)+ABS((tsk_FinishN+H$37-ABS(tsk_FinishN-H$37))/2-(tsk_StartN+H$36+ABS(tsk_StartN-H$36))/2+1))/2)))</f>
        <v/>
      </c>
      <c r="I50" s="77" t="str">
        <f aca="false">IF(OR($B50="",I$35=""),"",SUMPRODUCT((tsk_Resource=$B50)*tsk_WorkPerDay*((((tsk_FinishN+I$37-ABS(tsk_FinishN-I$37))/2-(tsk_StartN+I$36+ABS(tsk_StartN-I$36))/2+1)+ABS((tsk_FinishN+I$37-ABS(tsk_FinishN-I$37))/2-(tsk_StartN+I$36+ABS(tsk_StartN-I$36))/2+1))/2)))</f>
        <v/>
      </c>
      <c r="J50" s="77" t="str">
        <f aca="false">IF(OR($B50="",J$35=""),"",SUMPRODUCT((tsk_Resource=$B50)*tsk_WorkPerDay*((((tsk_FinishN+J$37-ABS(tsk_FinishN-J$37))/2-(tsk_StartN+J$36+ABS(tsk_StartN-J$36))/2+1)+ABS((tsk_FinishN+J$37-ABS(tsk_FinishN-J$37))/2-(tsk_StartN+J$36+ABS(tsk_StartN-J$36))/2+1))/2)))</f>
        <v/>
      </c>
      <c r="K50" s="77" t="str">
        <f aca="false">IF(OR($B50="",K$35=""),"",SUMPRODUCT((tsk_Resource=$B50)*tsk_WorkPerDay*((((tsk_FinishN+K$37-ABS(tsk_FinishN-K$37))/2-(tsk_StartN+K$36+ABS(tsk_StartN-K$36))/2+1)+ABS((tsk_FinishN+K$37-ABS(tsk_FinishN-K$37))/2-(tsk_StartN+K$36+ABS(tsk_StartN-K$36))/2+1))/2)))</f>
        <v/>
      </c>
      <c r="L50" s="77" t="str">
        <f aca="false">IF(OR($B50="",L$35=""),"",SUMPRODUCT((tsk_Resource=$B50)*tsk_WorkPerDay*((((tsk_FinishN+L$37-ABS(tsk_FinishN-L$37))/2-(tsk_StartN+L$36+ABS(tsk_StartN-L$36))/2+1)+ABS((tsk_FinishN+L$37-ABS(tsk_FinishN-L$37))/2-(tsk_StartN+L$36+ABS(tsk_StartN-L$36))/2+1))/2)))</f>
        <v/>
      </c>
      <c r="M50" s="77" t="str">
        <f aca="false">IF(OR($B50="",M$35=""),"",SUMPRODUCT((tsk_Resource=$B50)*tsk_WorkPerDay*((((tsk_FinishN+M$37-ABS(tsk_FinishN-M$37))/2-(tsk_StartN+M$36+ABS(tsk_StartN-M$36))/2+1)+ABS((tsk_FinishN+M$37-ABS(tsk_FinishN-M$37))/2-(tsk_StartN+M$36+ABS(tsk_StartN-M$36))/2+1))/2)))</f>
        <v/>
      </c>
      <c r="N50" s="77" t="str">
        <f aca="false">IF(OR($B50="",N$35=""),"",SUMPRODUCT((tsk_Resource=$B50)*tsk_WorkPerDay*((((tsk_FinishN+N$37-ABS(tsk_FinishN-N$37))/2-(tsk_StartN+N$36+ABS(tsk_StartN-N$36))/2+1)+ABS((tsk_FinishN+N$37-ABS(tsk_FinishN-N$37))/2-(tsk_StartN+N$36+ABS(tsk_StartN-N$36))/2+1))/2)))</f>
        <v/>
      </c>
      <c r="O50" s="77" t="str">
        <f aca="false">IF(OR($B50="",O$35=""),"",SUMPRODUCT((tsk_Resource=$B50)*tsk_WorkPerDay*((((tsk_FinishN+O$37-ABS(tsk_FinishN-O$37))/2-(tsk_StartN+O$36+ABS(tsk_StartN-O$36))/2+1)+ABS((tsk_FinishN+O$37-ABS(tsk_FinishN-O$37))/2-(tsk_StartN+O$36+ABS(tsk_StartN-O$36))/2+1))/2)))</f>
        <v/>
      </c>
      <c r="P50" s="77" t="str">
        <f aca="false">IF(OR($B50="",P$35=""),"",SUMPRODUCT((tsk_Resource=$B50)*tsk_WorkPerDay*((((tsk_FinishN+P$37-ABS(tsk_FinishN-P$37))/2-(tsk_StartN+P$36+ABS(tsk_StartN-P$36))/2+1)+ABS((tsk_FinishN+P$37-ABS(tsk_FinishN-P$37))/2-(tsk_StartN+P$36+ABS(tsk_StartN-P$36))/2+1))/2)))</f>
        <v/>
      </c>
      <c r="Q50" s="77" t="str">
        <f aca="false">IF(OR($B50="",Q$35=""),"",SUMPRODUCT((tsk_Resource=$B50)*tsk_WorkPerDay*((((tsk_FinishN+Q$37-ABS(tsk_FinishN-Q$37))/2-(tsk_StartN+Q$36+ABS(tsk_StartN-Q$36))/2+1)+ABS((tsk_FinishN+Q$37-ABS(tsk_FinishN-Q$37))/2-(tsk_StartN+Q$36+ABS(tsk_StartN-Q$36))/2+1))/2)))</f>
        <v/>
      </c>
      <c r="R50" s="77" t="str">
        <f aca="false">IF(OR($B50="",R$35=""),"",SUMPRODUCT((tsk_Resource=$B50)*tsk_WorkPerDay*((((tsk_FinishN+R$37-ABS(tsk_FinishN-R$37))/2-(tsk_StartN+R$36+ABS(tsk_StartN-R$36))/2+1)+ABS((tsk_FinishN+R$37-ABS(tsk_FinishN-R$37))/2-(tsk_StartN+R$36+ABS(tsk_StartN-R$36))/2+1))/2)))</f>
        <v/>
      </c>
      <c r="S50" s="77" t="str">
        <f aca="false">IF(OR($B50="",S$35=""),"",SUMPRODUCT((tsk_Resource=$B50)*tsk_WorkPerDay*((((tsk_FinishN+S$37-ABS(tsk_FinishN-S$37))/2-(tsk_StartN+S$36+ABS(tsk_StartN-S$36))/2+1)+ABS((tsk_FinishN+S$37-ABS(tsk_FinishN-S$37))/2-(tsk_StartN+S$36+ABS(tsk_StartN-S$36))/2+1))/2)))</f>
        <v/>
      </c>
      <c r="T50" s="77" t="str">
        <f aca="false">IF(OR($B50="",T$35=""),"",SUMPRODUCT((tsk_Resource=$B50)*tsk_WorkPerDay*((((tsk_FinishN+T$37-ABS(tsk_FinishN-T$37))/2-(tsk_StartN+T$36+ABS(tsk_StartN-T$36))/2+1)+ABS((tsk_FinishN+T$37-ABS(tsk_FinishN-T$37))/2-(tsk_StartN+T$36+ABS(tsk_StartN-T$36))/2+1))/2)))</f>
        <v/>
      </c>
      <c r="U50" s="77" t="str">
        <f aca="false">IF(OR($B50="",U$35=""),"",SUMPRODUCT((tsk_Resource=$B50)*tsk_WorkPerDay*((((tsk_FinishN+U$37-ABS(tsk_FinishN-U$37))/2-(tsk_StartN+U$36+ABS(tsk_StartN-U$36))/2+1)+ABS((tsk_FinishN+U$37-ABS(tsk_FinishN-U$37))/2-(tsk_StartN+U$36+ABS(tsk_StartN-U$36))/2+1))/2)))</f>
        <v/>
      </c>
      <c r="V50" s="77" t="str">
        <f aca="false">IF(OR($B50="",V$35=""),"",SUMPRODUCT((tsk_Resource=$B50)*tsk_WorkPerDay*((((tsk_FinishN+V$37-ABS(tsk_FinishN-V$37))/2-(tsk_StartN+V$36+ABS(tsk_StartN-V$36))/2+1)+ABS((tsk_FinishN+V$37-ABS(tsk_FinishN-V$37))/2-(tsk_StartN+V$36+ABS(tsk_StartN-V$36))/2+1))/2)))</f>
        <v/>
      </c>
      <c r="W50" s="77" t="str">
        <f aca="false">IF(OR($B50="",W$35=""),"",SUMPRODUCT((tsk_Resource=$B50)*tsk_WorkPerDay*((((tsk_FinishN+W$37-ABS(tsk_FinishN-W$37))/2-(tsk_StartN+W$36+ABS(tsk_StartN-W$36))/2+1)+ABS((tsk_FinishN+W$37-ABS(tsk_FinishN-W$37))/2-(tsk_StartN+W$36+ABS(tsk_StartN-W$36))/2+1))/2)))</f>
        <v/>
      </c>
      <c r="X50" s="77" t="str">
        <f aca="false">IF(OR($B50="",X$35=""),"",SUMPRODUCT((tsk_Resource=$B50)*tsk_WorkPerDay*((((tsk_FinishN+X$37-ABS(tsk_FinishN-X$37))/2-(tsk_StartN+X$36+ABS(tsk_StartN-X$36))/2+1)+ABS((tsk_FinishN+X$37-ABS(tsk_FinishN-X$37))/2-(tsk_StartN+X$36+ABS(tsk_StartN-X$36))/2+1))/2)))</f>
        <v/>
      </c>
      <c r="Y50" s="77" t="str">
        <f aca="false">IF(OR($B50="",Y$35=""),"",SUMPRODUCT((tsk_Resource=$B50)*tsk_WorkPerDay*((((tsk_FinishN+Y$37-ABS(tsk_FinishN-Y$37))/2-(tsk_StartN+Y$36+ABS(tsk_StartN-Y$36))/2+1)+ABS((tsk_FinishN+Y$37-ABS(tsk_FinishN-Y$37))/2-(tsk_StartN+Y$36+ABS(tsk_StartN-Y$36))/2+1))/2)))</f>
        <v/>
      </c>
      <c r="Z50" s="77" t="str">
        <f aca="false">IF(OR($B50="",Z$35=""),"",SUMPRODUCT((tsk_Resource=$B50)*tsk_WorkPerDay*((((tsk_FinishN+Z$37-ABS(tsk_FinishN-Z$37))/2-(tsk_StartN+Z$36+ABS(tsk_StartN-Z$36))/2+1)+ABS((tsk_FinishN+Z$37-ABS(tsk_FinishN-Z$37))/2-(tsk_StartN+Z$36+ABS(tsk_StartN-Z$36))/2+1))/2)))</f>
        <v/>
      </c>
      <c r="AA50" s="77" t="str">
        <f aca="false">IF(OR($B50="",AA$35=""),"",SUMPRODUCT((tsk_Resource=$B50)*tsk_WorkPerDay*((((tsk_FinishN+AA$37-ABS(tsk_FinishN-AA$37))/2-(tsk_StartN+AA$36+ABS(tsk_StartN-AA$36))/2+1)+ABS((tsk_FinishN+AA$37-ABS(tsk_FinishN-AA$37))/2-(tsk_StartN+AA$36+ABS(tsk_StartN-AA$36))/2+1))/2)))</f>
        <v/>
      </c>
      <c r="AB50" s="77" t="str">
        <f aca="false">IF(OR($B50="",AB$35=""),"",SUMPRODUCT((tsk_Resource=$B50)*tsk_WorkPerDay*((((tsk_FinishN+AB$37-ABS(tsk_FinishN-AB$37))/2-(tsk_StartN+AB$36+ABS(tsk_StartN-AB$36))/2+1)+ABS((tsk_FinishN+AB$37-ABS(tsk_FinishN-AB$37))/2-(tsk_StartN+AB$36+ABS(tsk_StartN-AB$36))/2+1))/2)))</f>
        <v/>
      </c>
      <c r="AC50" s="77" t="str">
        <f aca="false">IF(OR($B50="",AC$35=""),"",SUMPRODUCT((tsk_Resource=$B50)*tsk_WorkPerDay*((((tsk_FinishN+AC$37-ABS(tsk_FinishN-AC$37))/2-(tsk_StartN+AC$36+ABS(tsk_StartN-AC$36))/2+1)+ABS((tsk_FinishN+AC$37-ABS(tsk_FinishN-AC$37))/2-(tsk_StartN+AC$36+ABS(tsk_StartN-AC$36))/2+1))/2)))</f>
        <v/>
      </c>
    </row>
    <row r="51" customFormat="false" ht="15" hidden="false" customHeight="false" outlineLevel="0" collapsed="false">
      <c r="B51" s="75" t="str">
        <f aca="false">IF(INDEX(res_Name,14)="","",INDEX(res_Name,14))</f>
        <v/>
      </c>
      <c r="C51" s="76" t="str">
        <f aca="false">IF($B51="","",INDEX(res_MaxUnits,14))</f>
        <v/>
      </c>
      <c r="D51" s="77" t="str">
        <f aca="false">IF(OR($B51="",D$35=""),"",SUMPRODUCT((tsk_Resource=$B51)*tsk_WorkPerDay*((((tsk_FinishN+D$37-ABS(tsk_FinishN-D$37))/2-(tsk_StartN+D$36+ABS(tsk_StartN-D$36))/2+1)+ABS((tsk_FinishN+D$37-ABS(tsk_FinishN-D$37))/2-(tsk_StartN+D$36+ABS(tsk_StartN-D$36))/2+1))/2)))</f>
        <v/>
      </c>
      <c r="E51" s="77" t="str">
        <f aca="false">IF(OR($B51="",E$35=""),"",SUMPRODUCT((tsk_Resource=$B51)*tsk_WorkPerDay*((((tsk_FinishN+E$37-ABS(tsk_FinishN-E$37))/2-(tsk_StartN+E$36+ABS(tsk_StartN-E$36))/2+1)+ABS((tsk_FinishN+E$37-ABS(tsk_FinishN-E$37))/2-(tsk_StartN+E$36+ABS(tsk_StartN-E$36))/2+1))/2)))</f>
        <v/>
      </c>
      <c r="F51" s="77" t="str">
        <f aca="false">IF(OR($B51="",F$35=""),"",SUMPRODUCT((tsk_Resource=$B51)*tsk_WorkPerDay*((((tsk_FinishN+F$37-ABS(tsk_FinishN-F$37))/2-(tsk_StartN+F$36+ABS(tsk_StartN-F$36))/2+1)+ABS((tsk_FinishN+F$37-ABS(tsk_FinishN-F$37))/2-(tsk_StartN+F$36+ABS(tsk_StartN-F$36))/2+1))/2)))</f>
        <v/>
      </c>
      <c r="G51" s="77" t="str">
        <f aca="false">IF(OR($B51="",G$35=""),"",SUMPRODUCT((tsk_Resource=$B51)*tsk_WorkPerDay*((((tsk_FinishN+G$37-ABS(tsk_FinishN-G$37))/2-(tsk_StartN+G$36+ABS(tsk_StartN-G$36))/2+1)+ABS((tsk_FinishN+G$37-ABS(tsk_FinishN-G$37))/2-(tsk_StartN+G$36+ABS(tsk_StartN-G$36))/2+1))/2)))</f>
        <v/>
      </c>
      <c r="H51" s="77" t="str">
        <f aca="false">IF(OR($B51="",H$35=""),"",SUMPRODUCT((tsk_Resource=$B51)*tsk_WorkPerDay*((((tsk_FinishN+H$37-ABS(tsk_FinishN-H$37))/2-(tsk_StartN+H$36+ABS(tsk_StartN-H$36))/2+1)+ABS((tsk_FinishN+H$37-ABS(tsk_FinishN-H$37))/2-(tsk_StartN+H$36+ABS(tsk_StartN-H$36))/2+1))/2)))</f>
        <v/>
      </c>
      <c r="I51" s="77" t="str">
        <f aca="false">IF(OR($B51="",I$35=""),"",SUMPRODUCT((tsk_Resource=$B51)*tsk_WorkPerDay*((((tsk_FinishN+I$37-ABS(tsk_FinishN-I$37))/2-(tsk_StartN+I$36+ABS(tsk_StartN-I$36))/2+1)+ABS((tsk_FinishN+I$37-ABS(tsk_FinishN-I$37))/2-(tsk_StartN+I$36+ABS(tsk_StartN-I$36))/2+1))/2)))</f>
        <v/>
      </c>
      <c r="J51" s="77" t="str">
        <f aca="false">IF(OR($B51="",J$35=""),"",SUMPRODUCT((tsk_Resource=$B51)*tsk_WorkPerDay*((((tsk_FinishN+J$37-ABS(tsk_FinishN-J$37))/2-(tsk_StartN+J$36+ABS(tsk_StartN-J$36))/2+1)+ABS((tsk_FinishN+J$37-ABS(tsk_FinishN-J$37))/2-(tsk_StartN+J$36+ABS(tsk_StartN-J$36))/2+1))/2)))</f>
        <v/>
      </c>
      <c r="K51" s="77" t="str">
        <f aca="false">IF(OR($B51="",K$35=""),"",SUMPRODUCT((tsk_Resource=$B51)*tsk_WorkPerDay*((((tsk_FinishN+K$37-ABS(tsk_FinishN-K$37))/2-(tsk_StartN+K$36+ABS(tsk_StartN-K$36))/2+1)+ABS((tsk_FinishN+K$37-ABS(tsk_FinishN-K$37))/2-(tsk_StartN+K$36+ABS(tsk_StartN-K$36))/2+1))/2)))</f>
        <v/>
      </c>
      <c r="L51" s="77" t="str">
        <f aca="false">IF(OR($B51="",L$35=""),"",SUMPRODUCT((tsk_Resource=$B51)*tsk_WorkPerDay*((((tsk_FinishN+L$37-ABS(tsk_FinishN-L$37))/2-(tsk_StartN+L$36+ABS(tsk_StartN-L$36))/2+1)+ABS((tsk_FinishN+L$37-ABS(tsk_FinishN-L$37))/2-(tsk_StartN+L$36+ABS(tsk_StartN-L$36))/2+1))/2)))</f>
        <v/>
      </c>
      <c r="M51" s="77" t="str">
        <f aca="false">IF(OR($B51="",M$35=""),"",SUMPRODUCT((tsk_Resource=$B51)*tsk_WorkPerDay*((((tsk_FinishN+M$37-ABS(tsk_FinishN-M$37))/2-(tsk_StartN+M$36+ABS(tsk_StartN-M$36))/2+1)+ABS((tsk_FinishN+M$37-ABS(tsk_FinishN-M$37))/2-(tsk_StartN+M$36+ABS(tsk_StartN-M$36))/2+1))/2)))</f>
        <v/>
      </c>
      <c r="N51" s="77" t="str">
        <f aca="false">IF(OR($B51="",N$35=""),"",SUMPRODUCT((tsk_Resource=$B51)*tsk_WorkPerDay*((((tsk_FinishN+N$37-ABS(tsk_FinishN-N$37))/2-(tsk_StartN+N$36+ABS(tsk_StartN-N$36))/2+1)+ABS((tsk_FinishN+N$37-ABS(tsk_FinishN-N$37))/2-(tsk_StartN+N$36+ABS(tsk_StartN-N$36))/2+1))/2)))</f>
        <v/>
      </c>
      <c r="O51" s="77" t="str">
        <f aca="false">IF(OR($B51="",O$35=""),"",SUMPRODUCT((tsk_Resource=$B51)*tsk_WorkPerDay*((((tsk_FinishN+O$37-ABS(tsk_FinishN-O$37))/2-(tsk_StartN+O$36+ABS(tsk_StartN-O$36))/2+1)+ABS((tsk_FinishN+O$37-ABS(tsk_FinishN-O$37))/2-(tsk_StartN+O$36+ABS(tsk_StartN-O$36))/2+1))/2)))</f>
        <v/>
      </c>
      <c r="P51" s="77" t="str">
        <f aca="false">IF(OR($B51="",P$35=""),"",SUMPRODUCT((tsk_Resource=$B51)*tsk_WorkPerDay*((((tsk_FinishN+P$37-ABS(tsk_FinishN-P$37))/2-(tsk_StartN+P$36+ABS(tsk_StartN-P$36))/2+1)+ABS((tsk_FinishN+P$37-ABS(tsk_FinishN-P$37))/2-(tsk_StartN+P$36+ABS(tsk_StartN-P$36))/2+1))/2)))</f>
        <v/>
      </c>
      <c r="Q51" s="77" t="str">
        <f aca="false">IF(OR($B51="",Q$35=""),"",SUMPRODUCT((tsk_Resource=$B51)*tsk_WorkPerDay*((((tsk_FinishN+Q$37-ABS(tsk_FinishN-Q$37))/2-(tsk_StartN+Q$36+ABS(tsk_StartN-Q$36))/2+1)+ABS((tsk_FinishN+Q$37-ABS(tsk_FinishN-Q$37))/2-(tsk_StartN+Q$36+ABS(tsk_StartN-Q$36))/2+1))/2)))</f>
        <v/>
      </c>
      <c r="R51" s="77" t="str">
        <f aca="false">IF(OR($B51="",R$35=""),"",SUMPRODUCT((tsk_Resource=$B51)*tsk_WorkPerDay*((((tsk_FinishN+R$37-ABS(tsk_FinishN-R$37))/2-(tsk_StartN+R$36+ABS(tsk_StartN-R$36))/2+1)+ABS((tsk_FinishN+R$37-ABS(tsk_FinishN-R$37))/2-(tsk_StartN+R$36+ABS(tsk_StartN-R$36))/2+1))/2)))</f>
        <v/>
      </c>
      <c r="S51" s="77" t="str">
        <f aca="false">IF(OR($B51="",S$35=""),"",SUMPRODUCT((tsk_Resource=$B51)*tsk_WorkPerDay*((((tsk_FinishN+S$37-ABS(tsk_FinishN-S$37))/2-(tsk_StartN+S$36+ABS(tsk_StartN-S$36))/2+1)+ABS((tsk_FinishN+S$37-ABS(tsk_FinishN-S$37))/2-(tsk_StartN+S$36+ABS(tsk_StartN-S$36))/2+1))/2)))</f>
        <v/>
      </c>
      <c r="T51" s="77" t="str">
        <f aca="false">IF(OR($B51="",T$35=""),"",SUMPRODUCT((tsk_Resource=$B51)*tsk_WorkPerDay*((((tsk_FinishN+T$37-ABS(tsk_FinishN-T$37))/2-(tsk_StartN+T$36+ABS(tsk_StartN-T$36))/2+1)+ABS((tsk_FinishN+T$37-ABS(tsk_FinishN-T$37))/2-(tsk_StartN+T$36+ABS(tsk_StartN-T$36))/2+1))/2)))</f>
        <v/>
      </c>
      <c r="U51" s="77" t="str">
        <f aca="false">IF(OR($B51="",U$35=""),"",SUMPRODUCT((tsk_Resource=$B51)*tsk_WorkPerDay*((((tsk_FinishN+U$37-ABS(tsk_FinishN-U$37))/2-(tsk_StartN+U$36+ABS(tsk_StartN-U$36))/2+1)+ABS((tsk_FinishN+U$37-ABS(tsk_FinishN-U$37))/2-(tsk_StartN+U$36+ABS(tsk_StartN-U$36))/2+1))/2)))</f>
        <v/>
      </c>
      <c r="V51" s="77" t="str">
        <f aca="false">IF(OR($B51="",V$35=""),"",SUMPRODUCT((tsk_Resource=$B51)*tsk_WorkPerDay*((((tsk_FinishN+V$37-ABS(tsk_FinishN-V$37))/2-(tsk_StartN+V$36+ABS(tsk_StartN-V$36))/2+1)+ABS((tsk_FinishN+V$37-ABS(tsk_FinishN-V$37))/2-(tsk_StartN+V$36+ABS(tsk_StartN-V$36))/2+1))/2)))</f>
        <v/>
      </c>
      <c r="W51" s="77" t="str">
        <f aca="false">IF(OR($B51="",W$35=""),"",SUMPRODUCT((tsk_Resource=$B51)*tsk_WorkPerDay*((((tsk_FinishN+W$37-ABS(tsk_FinishN-W$37))/2-(tsk_StartN+W$36+ABS(tsk_StartN-W$36))/2+1)+ABS((tsk_FinishN+W$37-ABS(tsk_FinishN-W$37))/2-(tsk_StartN+W$36+ABS(tsk_StartN-W$36))/2+1))/2)))</f>
        <v/>
      </c>
      <c r="X51" s="77" t="str">
        <f aca="false">IF(OR($B51="",X$35=""),"",SUMPRODUCT((tsk_Resource=$B51)*tsk_WorkPerDay*((((tsk_FinishN+X$37-ABS(tsk_FinishN-X$37))/2-(tsk_StartN+X$36+ABS(tsk_StartN-X$36))/2+1)+ABS((tsk_FinishN+X$37-ABS(tsk_FinishN-X$37))/2-(tsk_StartN+X$36+ABS(tsk_StartN-X$36))/2+1))/2)))</f>
        <v/>
      </c>
      <c r="Y51" s="77" t="str">
        <f aca="false">IF(OR($B51="",Y$35=""),"",SUMPRODUCT((tsk_Resource=$B51)*tsk_WorkPerDay*((((tsk_FinishN+Y$37-ABS(tsk_FinishN-Y$37))/2-(tsk_StartN+Y$36+ABS(tsk_StartN-Y$36))/2+1)+ABS((tsk_FinishN+Y$37-ABS(tsk_FinishN-Y$37))/2-(tsk_StartN+Y$36+ABS(tsk_StartN-Y$36))/2+1))/2)))</f>
        <v/>
      </c>
      <c r="Z51" s="77" t="str">
        <f aca="false">IF(OR($B51="",Z$35=""),"",SUMPRODUCT((tsk_Resource=$B51)*tsk_WorkPerDay*((((tsk_FinishN+Z$37-ABS(tsk_FinishN-Z$37))/2-(tsk_StartN+Z$36+ABS(tsk_StartN-Z$36))/2+1)+ABS((tsk_FinishN+Z$37-ABS(tsk_FinishN-Z$37))/2-(tsk_StartN+Z$36+ABS(tsk_StartN-Z$36))/2+1))/2)))</f>
        <v/>
      </c>
      <c r="AA51" s="77" t="str">
        <f aca="false">IF(OR($B51="",AA$35=""),"",SUMPRODUCT((tsk_Resource=$B51)*tsk_WorkPerDay*((((tsk_FinishN+AA$37-ABS(tsk_FinishN-AA$37))/2-(tsk_StartN+AA$36+ABS(tsk_StartN-AA$36))/2+1)+ABS((tsk_FinishN+AA$37-ABS(tsk_FinishN-AA$37))/2-(tsk_StartN+AA$36+ABS(tsk_StartN-AA$36))/2+1))/2)))</f>
        <v/>
      </c>
      <c r="AB51" s="77" t="str">
        <f aca="false">IF(OR($B51="",AB$35=""),"",SUMPRODUCT((tsk_Resource=$B51)*tsk_WorkPerDay*((((tsk_FinishN+AB$37-ABS(tsk_FinishN-AB$37))/2-(tsk_StartN+AB$36+ABS(tsk_StartN-AB$36))/2+1)+ABS((tsk_FinishN+AB$37-ABS(tsk_FinishN-AB$37))/2-(tsk_StartN+AB$36+ABS(tsk_StartN-AB$36))/2+1))/2)))</f>
        <v/>
      </c>
      <c r="AC51" s="77" t="str">
        <f aca="false">IF(OR($B51="",AC$35=""),"",SUMPRODUCT((tsk_Resource=$B51)*tsk_WorkPerDay*((((tsk_FinishN+AC$37-ABS(tsk_FinishN-AC$37))/2-(tsk_StartN+AC$36+ABS(tsk_StartN-AC$36))/2+1)+ABS((tsk_FinishN+AC$37-ABS(tsk_FinishN-AC$37))/2-(tsk_StartN+AC$36+ABS(tsk_StartN-AC$36))/2+1))/2)))</f>
        <v/>
      </c>
    </row>
    <row r="52" customFormat="false" ht="15" hidden="false" customHeight="false" outlineLevel="0" collapsed="false">
      <c r="B52" s="75" t="str">
        <f aca="false">IF(INDEX(res_Name,15)="","",INDEX(res_Name,15))</f>
        <v/>
      </c>
      <c r="C52" s="76" t="str">
        <f aca="false">IF($B52="","",INDEX(res_MaxUnits,15))</f>
        <v/>
      </c>
      <c r="D52" s="77" t="str">
        <f aca="false">IF(OR($B52="",D$35=""),"",SUMPRODUCT((tsk_Resource=$B52)*tsk_WorkPerDay*((((tsk_FinishN+D$37-ABS(tsk_FinishN-D$37))/2-(tsk_StartN+D$36+ABS(tsk_StartN-D$36))/2+1)+ABS((tsk_FinishN+D$37-ABS(tsk_FinishN-D$37))/2-(tsk_StartN+D$36+ABS(tsk_StartN-D$36))/2+1))/2)))</f>
        <v/>
      </c>
      <c r="E52" s="77" t="str">
        <f aca="false">IF(OR($B52="",E$35=""),"",SUMPRODUCT((tsk_Resource=$B52)*tsk_WorkPerDay*((((tsk_FinishN+E$37-ABS(tsk_FinishN-E$37))/2-(tsk_StartN+E$36+ABS(tsk_StartN-E$36))/2+1)+ABS((tsk_FinishN+E$37-ABS(tsk_FinishN-E$37))/2-(tsk_StartN+E$36+ABS(tsk_StartN-E$36))/2+1))/2)))</f>
        <v/>
      </c>
      <c r="F52" s="77" t="str">
        <f aca="false">IF(OR($B52="",F$35=""),"",SUMPRODUCT((tsk_Resource=$B52)*tsk_WorkPerDay*((((tsk_FinishN+F$37-ABS(tsk_FinishN-F$37))/2-(tsk_StartN+F$36+ABS(tsk_StartN-F$36))/2+1)+ABS((tsk_FinishN+F$37-ABS(tsk_FinishN-F$37))/2-(tsk_StartN+F$36+ABS(tsk_StartN-F$36))/2+1))/2)))</f>
        <v/>
      </c>
      <c r="G52" s="77" t="str">
        <f aca="false">IF(OR($B52="",G$35=""),"",SUMPRODUCT((tsk_Resource=$B52)*tsk_WorkPerDay*((((tsk_FinishN+G$37-ABS(tsk_FinishN-G$37))/2-(tsk_StartN+G$36+ABS(tsk_StartN-G$36))/2+1)+ABS((tsk_FinishN+G$37-ABS(tsk_FinishN-G$37))/2-(tsk_StartN+G$36+ABS(tsk_StartN-G$36))/2+1))/2)))</f>
        <v/>
      </c>
      <c r="H52" s="77" t="str">
        <f aca="false">IF(OR($B52="",H$35=""),"",SUMPRODUCT((tsk_Resource=$B52)*tsk_WorkPerDay*((((tsk_FinishN+H$37-ABS(tsk_FinishN-H$37))/2-(tsk_StartN+H$36+ABS(tsk_StartN-H$36))/2+1)+ABS((tsk_FinishN+H$37-ABS(tsk_FinishN-H$37))/2-(tsk_StartN+H$36+ABS(tsk_StartN-H$36))/2+1))/2)))</f>
        <v/>
      </c>
      <c r="I52" s="77" t="str">
        <f aca="false">IF(OR($B52="",I$35=""),"",SUMPRODUCT((tsk_Resource=$B52)*tsk_WorkPerDay*((((tsk_FinishN+I$37-ABS(tsk_FinishN-I$37))/2-(tsk_StartN+I$36+ABS(tsk_StartN-I$36))/2+1)+ABS((tsk_FinishN+I$37-ABS(tsk_FinishN-I$37))/2-(tsk_StartN+I$36+ABS(tsk_StartN-I$36))/2+1))/2)))</f>
        <v/>
      </c>
      <c r="J52" s="77" t="str">
        <f aca="false">IF(OR($B52="",J$35=""),"",SUMPRODUCT((tsk_Resource=$B52)*tsk_WorkPerDay*((((tsk_FinishN+J$37-ABS(tsk_FinishN-J$37))/2-(tsk_StartN+J$36+ABS(tsk_StartN-J$36))/2+1)+ABS((tsk_FinishN+J$37-ABS(tsk_FinishN-J$37))/2-(tsk_StartN+J$36+ABS(tsk_StartN-J$36))/2+1))/2)))</f>
        <v/>
      </c>
      <c r="K52" s="77" t="str">
        <f aca="false">IF(OR($B52="",K$35=""),"",SUMPRODUCT((tsk_Resource=$B52)*tsk_WorkPerDay*((((tsk_FinishN+K$37-ABS(tsk_FinishN-K$37))/2-(tsk_StartN+K$36+ABS(tsk_StartN-K$36))/2+1)+ABS((tsk_FinishN+K$37-ABS(tsk_FinishN-K$37))/2-(tsk_StartN+K$36+ABS(tsk_StartN-K$36))/2+1))/2)))</f>
        <v/>
      </c>
      <c r="L52" s="77" t="str">
        <f aca="false">IF(OR($B52="",L$35=""),"",SUMPRODUCT((tsk_Resource=$B52)*tsk_WorkPerDay*((((tsk_FinishN+L$37-ABS(tsk_FinishN-L$37))/2-(tsk_StartN+L$36+ABS(tsk_StartN-L$36))/2+1)+ABS((tsk_FinishN+L$37-ABS(tsk_FinishN-L$37))/2-(tsk_StartN+L$36+ABS(tsk_StartN-L$36))/2+1))/2)))</f>
        <v/>
      </c>
      <c r="M52" s="77" t="str">
        <f aca="false">IF(OR($B52="",M$35=""),"",SUMPRODUCT((tsk_Resource=$B52)*tsk_WorkPerDay*((((tsk_FinishN+M$37-ABS(tsk_FinishN-M$37))/2-(tsk_StartN+M$36+ABS(tsk_StartN-M$36))/2+1)+ABS((tsk_FinishN+M$37-ABS(tsk_FinishN-M$37))/2-(tsk_StartN+M$36+ABS(tsk_StartN-M$36))/2+1))/2)))</f>
        <v/>
      </c>
      <c r="N52" s="77" t="str">
        <f aca="false">IF(OR($B52="",N$35=""),"",SUMPRODUCT((tsk_Resource=$B52)*tsk_WorkPerDay*((((tsk_FinishN+N$37-ABS(tsk_FinishN-N$37))/2-(tsk_StartN+N$36+ABS(tsk_StartN-N$36))/2+1)+ABS((tsk_FinishN+N$37-ABS(tsk_FinishN-N$37))/2-(tsk_StartN+N$36+ABS(tsk_StartN-N$36))/2+1))/2)))</f>
        <v/>
      </c>
      <c r="O52" s="77" t="str">
        <f aca="false">IF(OR($B52="",O$35=""),"",SUMPRODUCT((tsk_Resource=$B52)*tsk_WorkPerDay*((((tsk_FinishN+O$37-ABS(tsk_FinishN-O$37))/2-(tsk_StartN+O$36+ABS(tsk_StartN-O$36))/2+1)+ABS((tsk_FinishN+O$37-ABS(tsk_FinishN-O$37))/2-(tsk_StartN+O$36+ABS(tsk_StartN-O$36))/2+1))/2)))</f>
        <v/>
      </c>
      <c r="P52" s="77" t="str">
        <f aca="false">IF(OR($B52="",P$35=""),"",SUMPRODUCT((tsk_Resource=$B52)*tsk_WorkPerDay*((((tsk_FinishN+P$37-ABS(tsk_FinishN-P$37))/2-(tsk_StartN+P$36+ABS(tsk_StartN-P$36))/2+1)+ABS((tsk_FinishN+P$37-ABS(tsk_FinishN-P$37))/2-(tsk_StartN+P$36+ABS(tsk_StartN-P$36))/2+1))/2)))</f>
        <v/>
      </c>
      <c r="Q52" s="77" t="str">
        <f aca="false">IF(OR($B52="",Q$35=""),"",SUMPRODUCT((tsk_Resource=$B52)*tsk_WorkPerDay*((((tsk_FinishN+Q$37-ABS(tsk_FinishN-Q$37))/2-(tsk_StartN+Q$36+ABS(tsk_StartN-Q$36))/2+1)+ABS((tsk_FinishN+Q$37-ABS(tsk_FinishN-Q$37))/2-(tsk_StartN+Q$36+ABS(tsk_StartN-Q$36))/2+1))/2)))</f>
        <v/>
      </c>
      <c r="R52" s="77" t="str">
        <f aca="false">IF(OR($B52="",R$35=""),"",SUMPRODUCT((tsk_Resource=$B52)*tsk_WorkPerDay*((((tsk_FinishN+R$37-ABS(tsk_FinishN-R$37))/2-(tsk_StartN+R$36+ABS(tsk_StartN-R$36))/2+1)+ABS((tsk_FinishN+R$37-ABS(tsk_FinishN-R$37))/2-(tsk_StartN+R$36+ABS(tsk_StartN-R$36))/2+1))/2)))</f>
        <v/>
      </c>
      <c r="S52" s="77" t="str">
        <f aca="false">IF(OR($B52="",S$35=""),"",SUMPRODUCT((tsk_Resource=$B52)*tsk_WorkPerDay*((((tsk_FinishN+S$37-ABS(tsk_FinishN-S$37))/2-(tsk_StartN+S$36+ABS(tsk_StartN-S$36))/2+1)+ABS((tsk_FinishN+S$37-ABS(tsk_FinishN-S$37))/2-(tsk_StartN+S$36+ABS(tsk_StartN-S$36))/2+1))/2)))</f>
        <v/>
      </c>
      <c r="T52" s="77" t="str">
        <f aca="false">IF(OR($B52="",T$35=""),"",SUMPRODUCT((tsk_Resource=$B52)*tsk_WorkPerDay*((((tsk_FinishN+T$37-ABS(tsk_FinishN-T$37))/2-(tsk_StartN+T$36+ABS(tsk_StartN-T$36))/2+1)+ABS((tsk_FinishN+T$37-ABS(tsk_FinishN-T$37))/2-(tsk_StartN+T$36+ABS(tsk_StartN-T$36))/2+1))/2)))</f>
        <v/>
      </c>
      <c r="U52" s="77" t="str">
        <f aca="false">IF(OR($B52="",U$35=""),"",SUMPRODUCT((tsk_Resource=$B52)*tsk_WorkPerDay*((((tsk_FinishN+U$37-ABS(tsk_FinishN-U$37))/2-(tsk_StartN+U$36+ABS(tsk_StartN-U$36))/2+1)+ABS((tsk_FinishN+U$37-ABS(tsk_FinishN-U$37))/2-(tsk_StartN+U$36+ABS(tsk_StartN-U$36))/2+1))/2)))</f>
        <v/>
      </c>
      <c r="V52" s="77" t="str">
        <f aca="false">IF(OR($B52="",V$35=""),"",SUMPRODUCT((tsk_Resource=$B52)*tsk_WorkPerDay*((((tsk_FinishN+V$37-ABS(tsk_FinishN-V$37))/2-(tsk_StartN+V$36+ABS(tsk_StartN-V$36))/2+1)+ABS((tsk_FinishN+V$37-ABS(tsk_FinishN-V$37))/2-(tsk_StartN+V$36+ABS(tsk_StartN-V$36))/2+1))/2)))</f>
        <v/>
      </c>
      <c r="W52" s="77" t="str">
        <f aca="false">IF(OR($B52="",W$35=""),"",SUMPRODUCT((tsk_Resource=$B52)*tsk_WorkPerDay*((((tsk_FinishN+W$37-ABS(tsk_FinishN-W$37))/2-(tsk_StartN+W$36+ABS(tsk_StartN-W$36))/2+1)+ABS((tsk_FinishN+W$37-ABS(tsk_FinishN-W$37))/2-(tsk_StartN+W$36+ABS(tsk_StartN-W$36))/2+1))/2)))</f>
        <v/>
      </c>
      <c r="X52" s="77" t="str">
        <f aca="false">IF(OR($B52="",X$35=""),"",SUMPRODUCT((tsk_Resource=$B52)*tsk_WorkPerDay*((((tsk_FinishN+X$37-ABS(tsk_FinishN-X$37))/2-(tsk_StartN+X$36+ABS(tsk_StartN-X$36))/2+1)+ABS((tsk_FinishN+X$37-ABS(tsk_FinishN-X$37))/2-(tsk_StartN+X$36+ABS(tsk_StartN-X$36))/2+1))/2)))</f>
        <v/>
      </c>
      <c r="Y52" s="77" t="str">
        <f aca="false">IF(OR($B52="",Y$35=""),"",SUMPRODUCT((tsk_Resource=$B52)*tsk_WorkPerDay*((((tsk_FinishN+Y$37-ABS(tsk_FinishN-Y$37))/2-(tsk_StartN+Y$36+ABS(tsk_StartN-Y$36))/2+1)+ABS((tsk_FinishN+Y$37-ABS(tsk_FinishN-Y$37))/2-(tsk_StartN+Y$36+ABS(tsk_StartN-Y$36))/2+1))/2)))</f>
        <v/>
      </c>
      <c r="Z52" s="77" t="str">
        <f aca="false">IF(OR($B52="",Z$35=""),"",SUMPRODUCT((tsk_Resource=$B52)*tsk_WorkPerDay*((((tsk_FinishN+Z$37-ABS(tsk_FinishN-Z$37))/2-(tsk_StartN+Z$36+ABS(tsk_StartN-Z$36))/2+1)+ABS((tsk_FinishN+Z$37-ABS(tsk_FinishN-Z$37))/2-(tsk_StartN+Z$36+ABS(tsk_StartN-Z$36))/2+1))/2)))</f>
        <v/>
      </c>
      <c r="AA52" s="77" t="str">
        <f aca="false">IF(OR($B52="",AA$35=""),"",SUMPRODUCT((tsk_Resource=$B52)*tsk_WorkPerDay*((((tsk_FinishN+AA$37-ABS(tsk_FinishN-AA$37))/2-(tsk_StartN+AA$36+ABS(tsk_StartN-AA$36))/2+1)+ABS((tsk_FinishN+AA$37-ABS(tsk_FinishN-AA$37))/2-(tsk_StartN+AA$36+ABS(tsk_StartN-AA$36))/2+1))/2)))</f>
        <v/>
      </c>
      <c r="AB52" s="77" t="str">
        <f aca="false">IF(OR($B52="",AB$35=""),"",SUMPRODUCT((tsk_Resource=$B52)*tsk_WorkPerDay*((((tsk_FinishN+AB$37-ABS(tsk_FinishN-AB$37))/2-(tsk_StartN+AB$36+ABS(tsk_StartN-AB$36))/2+1)+ABS((tsk_FinishN+AB$37-ABS(tsk_FinishN-AB$37))/2-(tsk_StartN+AB$36+ABS(tsk_StartN-AB$36))/2+1))/2)))</f>
        <v/>
      </c>
      <c r="AC52" s="77" t="str">
        <f aca="false">IF(OR($B52="",AC$35=""),"",SUMPRODUCT((tsk_Resource=$B52)*tsk_WorkPerDay*((((tsk_FinishN+AC$37-ABS(tsk_FinishN-AC$37))/2-(tsk_StartN+AC$36+ABS(tsk_StartN-AC$36))/2+1)+ABS((tsk_FinishN+AC$37-ABS(tsk_FinishN-AC$37))/2-(tsk_StartN+AC$36+ABS(tsk_StartN-AC$36))/2+1))/2)))</f>
        <v/>
      </c>
    </row>
    <row r="53" customFormat="false" ht="15" hidden="false" customHeight="false" outlineLevel="0" collapsed="false">
      <c r="B53" s="75" t="str">
        <f aca="false">IF(INDEX(res_Name,16)="","",INDEX(res_Name,16))</f>
        <v/>
      </c>
      <c r="C53" s="76" t="str">
        <f aca="false">IF($B53="","",INDEX(res_MaxUnits,16))</f>
        <v/>
      </c>
      <c r="D53" s="77" t="str">
        <f aca="false">IF(OR($B53="",D$35=""),"",SUMPRODUCT((tsk_Resource=$B53)*tsk_WorkPerDay*((((tsk_FinishN+D$37-ABS(tsk_FinishN-D$37))/2-(tsk_StartN+D$36+ABS(tsk_StartN-D$36))/2+1)+ABS((tsk_FinishN+D$37-ABS(tsk_FinishN-D$37))/2-(tsk_StartN+D$36+ABS(tsk_StartN-D$36))/2+1))/2)))</f>
        <v/>
      </c>
      <c r="E53" s="77" t="str">
        <f aca="false">IF(OR($B53="",E$35=""),"",SUMPRODUCT((tsk_Resource=$B53)*tsk_WorkPerDay*((((tsk_FinishN+E$37-ABS(tsk_FinishN-E$37))/2-(tsk_StartN+E$36+ABS(tsk_StartN-E$36))/2+1)+ABS((tsk_FinishN+E$37-ABS(tsk_FinishN-E$37))/2-(tsk_StartN+E$36+ABS(tsk_StartN-E$36))/2+1))/2)))</f>
        <v/>
      </c>
      <c r="F53" s="77" t="str">
        <f aca="false">IF(OR($B53="",F$35=""),"",SUMPRODUCT((tsk_Resource=$B53)*tsk_WorkPerDay*((((tsk_FinishN+F$37-ABS(tsk_FinishN-F$37))/2-(tsk_StartN+F$36+ABS(tsk_StartN-F$36))/2+1)+ABS((tsk_FinishN+F$37-ABS(tsk_FinishN-F$37))/2-(tsk_StartN+F$36+ABS(tsk_StartN-F$36))/2+1))/2)))</f>
        <v/>
      </c>
      <c r="G53" s="77" t="str">
        <f aca="false">IF(OR($B53="",G$35=""),"",SUMPRODUCT((tsk_Resource=$B53)*tsk_WorkPerDay*((((tsk_FinishN+G$37-ABS(tsk_FinishN-G$37))/2-(tsk_StartN+G$36+ABS(tsk_StartN-G$36))/2+1)+ABS((tsk_FinishN+G$37-ABS(tsk_FinishN-G$37))/2-(tsk_StartN+G$36+ABS(tsk_StartN-G$36))/2+1))/2)))</f>
        <v/>
      </c>
      <c r="H53" s="77" t="str">
        <f aca="false">IF(OR($B53="",H$35=""),"",SUMPRODUCT((tsk_Resource=$B53)*tsk_WorkPerDay*((((tsk_FinishN+H$37-ABS(tsk_FinishN-H$37))/2-(tsk_StartN+H$36+ABS(tsk_StartN-H$36))/2+1)+ABS((tsk_FinishN+H$37-ABS(tsk_FinishN-H$37))/2-(tsk_StartN+H$36+ABS(tsk_StartN-H$36))/2+1))/2)))</f>
        <v/>
      </c>
      <c r="I53" s="77" t="str">
        <f aca="false">IF(OR($B53="",I$35=""),"",SUMPRODUCT((tsk_Resource=$B53)*tsk_WorkPerDay*((((tsk_FinishN+I$37-ABS(tsk_FinishN-I$37))/2-(tsk_StartN+I$36+ABS(tsk_StartN-I$36))/2+1)+ABS((tsk_FinishN+I$37-ABS(tsk_FinishN-I$37))/2-(tsk_StartN+I$36+ABS(tsk_StartN-I$36))/2+1))/2)))</f>
        <v/>
      </c>
      <c r="J53" s="77" t="str">
        <f aca="false">IF(OR($B53="",J$35=""),"",SUMPRODUCT((tsk_Resource=$B53)*tsk_WorkPerDay*((((tsk_FinishN+J$37-ABS(tsk_FinishN-J$37))/2-(tsk_StartN+J$36+ABS(tsk_StartN-J$36))/2+1)+ABS((tsk_FinishN+J$37-ABS(tsk_FinishN-J$37))/2-(tsk_StartN+J$36+ABS(tsk_StartN-J$36))/2+1))/2)))</f>
        <v/>
      </c>
      <c r="K53" s="77" t="str">
        <f aca="false">IF(OR($B53="",K$35=""),"",SUMPRODUCT((tsk_Resource=$B53)*tsk_WorkPerDay*((((tsk_FinishN+K$37-ABS(tsk_FinishN-K$37))/2-(tsk_StartN+K$36+ABS(tsk_StartN-K$36))/2+1)+ABS((tsk_FinishN+K$37-ABS(tsk_FinishN-K$37))/2-(tsk_StartN+K$36+ABS(tsk_StartN-K$36))/2+1))/2)))</f>
        <v/>
      </c>
      <c r="L53" s="77" t="str">
        <f aca="false">IF(OR($B53="",L$35=""),"",SUMPRODUCT((tsk_Resource=$B53)*tsk_WorkPerDay*((((tsk_FinishN+L$37-ABS(tsk_FinishN-L$37))/2-(tsk_StartN+L$36+ABS(tsk_StartN-L$36))/2+1)+ABS((tsk_FinishN+L$37-ABS(tsk_FinishN-L$37))/2-(tsk_StartN+L$36+ABS(tsk_StartN-L$36))/2+1))/2)))</f>
        <v/>
      </c>
      <c r="M53" s="77" t="str">
        <f aca="false">IF(OR($B53="",M$35=""),"",SUMPRODUCT((tsk_Resource=$B53)*tsk_WorkPerDay*((((tsk_FinishN+M$37-ABS(tsk_FinishN-M$37))/2-(tsk_StartN+M$36+ABS(tsk_StartN-M$36))/2+1)+ABS((tsk_FinishN+M$37-ABS(tsk_FinishN-M$37))/2-(tsk_StartN+M$36+ABS(tsk_StartN-M$36))/2+1))/2)))</f>
        <v/>
      </c>
      <c r="N53" s="77" t="str">
        <f aca="false">IF(OR($B53="",N$35=""),"",SUMPRODUCT((tsk_Resource=$B53)*tsk_WorkPerDay*((((tsk_FinishN+N$37-ABS(tsk_FinishN-N$37))/2-(tsk_StartN+N$36+ABS(tsk_StartN-N$36))/2+1)+ABS((tsk_FinishN+N$37-ABS(tsk_FinishN-N$37))/2-(tsk_StartN+N$36+ABS(tsk_StartN-N$36))/2+1))/2)))</f>
        <v/>
      </c>
      <c r="O53" s="77" t="str">
        <f aca="false">IF(OR($B53="",O$35=""),"",SUMPRODUCT((tsk_Resource=$B53)*tsk_WorkPerDay*((((tsk_FinishN+O$37-ABS(tsk_FinishN-O$37))/2-(tsk_StartN+O$36+ABS(tsk_StartN-O$36))/2+1)+ABS((tsk_FinishN+O$37-ABS(tsk_FinishN-O$37))/2-(tsk_StartN+O$36+ABS(tsk_StartN-O$36))/2+1))/2)))</f>
        <v/>
      </c>
      <c r="P53" s="77" t="str">
        <f aca="false">IF(OR($B53="",P$35=""),"",SUMPRODUCT((tsk_Resource=$B53)*tsk_WorkPerDay*((((tsk_FinishN+P$37-ABS(tsk_FinishN-P$37))/2-(tsk_StartN+P$36+ABS(tsk_StartN-P$36))/2+1)+ABS((tsk_FinishN+P$37-ABS(tsk_FinishN-P$37))/2-(tsk_StartN+P$36+ABS(tsk_StartN-P$36))/2+1))/2)))</f>
        <v/>
      </c>
      <c r="Q53" s="77" t="str">
        <f aca="false">IF(OR($B53="",Q$35=""),"",SUMPRODUCT((tsk_Resource=$B53)*tsk_WorkPerDay*((((tsk_FinishN+Q$37-ABS(tsk_FinishN-Q$37))/2-(tsk_StartN+Q$36+ABS(tsk_StartN-Q$36))/2+1)+ABS((tsk_FinishN+Q$37-ABS(tsk_FinishN-Q$37))/2-(tsk_StartN+Q$36+ABS(tsk_StartN-Q$36))/2+1))/2)))</f>
        <v/>
      </c>
      <c r="R53" s="77" t="str">
        <f aca="false">IF(OR($B53="",R$35=""),"",SUMPRODUCT((tsk_Resource=$B53)*tsk_WorkPerDay*((((tsk_FinishN+R$37-ABS(tsk_FinishN-R$37))/2-(tsk_StartN+R$36+ABS(tsk_StartN-R$36))/2+1)+ABS((tsk_FinishN+R$37-ABS(tsk_FinishN-R$37))/2-(tsk_StartN+R$36+ABS(tsk_StartN-R$36))/2+1))/2)))</f>
        <v/>
      </c>
      <c r="S53" s="77" t="str">
        <f aca="false">IF(OR($B53="",S$35=""),"",SUMPRODUCT((tsk_Resource=$B53)*tsk_WorkPerDay*((((tsk_FinishN+S$37-ABS(tsk_FinishN-S$37))/2-(tsk_StartN+S$36+ABS(tsk_StartN-S$36))/2+1)+ABS((tsk_FinishN+S$37-ABS(tsk_FinishN-S$37))/2-(tsk_StartN+S$36+ABS(tsk_StartN-S$36))/2+1))/2)))</f>
        <v/>
      </c>
      <c r="T53" s="77" t="str">
        <f aca="false">IF(OR($B53="",T$35=""),"",SUMPRODUCT((tsk_Resource=$B53)*tsk_WorkPerDay*((((tsk_FinishN+T$37-ABS(tsk_FinishN-T$37))/2-(tsk_StartN+T$36+ABS(tsk_StartN-T$36))/2+1)+ABS((tsk_FinishN+T$37-ABS(tsk_FinishN-T$37))/2-(tsk_StartN+T$36+ABS(tsk_StartN-T$36))/2+1))/2)))</f>
        <v/>
      </c>
      <c r="U53" s="77" t="str">
        <f aca="false">IF(OR($B53="",U$35=""),"",SUMPRODUCT((tsk_Resource=$B53)*tsk_WorkPerDay*((((tsk_FinishN+U$37-ABS(tsk_FinishN-U$37))/2-(tsk_StartN+U$36+ABS(tsk_StartN-U$36))/2+1)+ABS((tsk_FinishN+U$37-ABS(tsk_FinishN-U$37))/2-(tsk_StartN+U$36+ABS(tsk_StartN-U$36))/2+1))/2)))</f>
        <v/>
      </c>
      <c r="V53" s="77" t="str">
        <f aca="false">IF(OR($B53="",V$35=""),"",SUMPRODUCT((tsk_Resource=$B53)*tsk_WorkPerDay*((((tsk_FinishN+V$37-ABS(tsk_FinishN-V$37))/2-(tsk_StartN+V$36+ABS(tsk_StartN-V$36))/2+1)+ABS((tsk_FinishN+V$37-ABS(tsk_FinishN-V$37))/2-(tsk_StartN+V$36+ABS(tsk_StartN-V$36))/2+1))/2)))</f>
        <v/>
      </c>
      <c r="W53" s="77" t="str">
        <f aca="false">IF(OR($B53="",W$35=""),"",SUMPRODUCT((tsk_Resource=$B53)*tsk_WorkPerDay*((((tsk_FinishN+W$37-ABS(tsk_FinishN-W$37))/2-(tsk_StartN+W$36+ABS(tsk_StartN-W$36))/2+1)+ABS((tsk_FinishN+W$37-ABS(tsk_FinishN-W$37))/2-(tsk_StartN+W$36+ABS(tsk_StartN-W$36))/2+1))/2)))</f>
        <v/>
      </c>
      <c r="X53" s="77" t="str">
        <f aca="false">IF(OR($B53="",X$35=""),"",SUMPRODUCT((tsk_Resource=$B53)*tsk_WorkPerDay*((((tsk_FinishN+X$37-ABS(tsk_FinishN-X$37))/2-(tsk_StartN+X$36+ABS(tsk_StartN-X$36))/2+1)+ABS((tsk_FinishN+X$37-ABS(tsk_FinishN-X$37))/2-(tsk_StartN+X$36+ABS(tsk_StartN-X$36))/2+1))/2)))</f>
        <v/>
      </c>
      <c r="Y53" s="77" t="str">
        <f aca="false">IF(OR($B53="",Y$35=""),"",SUMPRODUCT((tsk_Resource=$B53)*tsk_WorkPerDay*((((tsk_FinishN+Y$37-ABS(tsk_FinishN-Y$37))/2-(tsk_StartN+Y$36+ABS(tsk_StartN-Y$36))/2+1)+ABS((tsk_FinishN+Y$37-ABS(tsk_FinishN-Y$37))/2-(tsk_StartN+Y$36+ABS(tsk_StartN-Y$36))/2+1))/2)))</f>
        <v/>
      </c>
      <c r="Z53" s="77" t="str">
        <f aca="false">IF(OR($B53="",Z$35=""),"",SUMPRODUCT((tsk_Resource=$B53)*tsk_WorkPerDay*((((tsk_FinishN+Z$37-ABS(tsk_FinishN-Z$37))/2-(tsk_StartN+Z$36+ABS(tsk_StartN-Z$36))/2+1)+ABS((tsk_FinishN+Z$37-ABS(tsk_FinishN-Z$37))/2-(tsk_StartN+Z$36+ABS(tsk_StartN-Z$36))/2+1))/2)))</f>
        <v/>
      </c>
      <c r="AA53" s="77" t="str">
        <f aca="false">IF(OR($B53="",AA$35=""),"",SUMPRODUCT((tsk_Resource=$B53)*tsk_WorkPerDay*((((tsk_FinishN+AA$37-ABS(tsk_FinishN-AA$37))/2-(tsk_StartN+AA$36+ABS(tsk_StartN-AA$36))/2+1)+ABS((tsk_FinishN+AA$37-ABS(tsk_FinishN-AA$37))/2-(tsk_StartN+AA$36+ABS(tsk_StartN-AA$36))/2+1))/2)))</f>
        <v/>
      </c>
      <c r="AB53" s="77" t="str">
        <f aca="false">IF(OR($B53="",AB$35=""),"",SUMPRODUCT((tsk_Resource=$B53)*tsk_WorkPerDay*((((tsk_FinishN+AB$37-ABS(tsk_FinishN-AB$37))/2-(tsk_StartN+AB$36+ABS(tsk_StartN-AB$36))/2+1)+ABS((tsk_FinishN+AB$37-ABS(tsk_FinishN-AB$37))/2-(tsk_StartN+AB$36+ABS(tsk_StartN-AB$36))/2+1))/2)))</f>
        <v/>
      </c>
      <c r="AC53" s="77" t="str">
        <f aca="false">IF(OR($B53="",AC$35=""),"",SUMPRODUCT((tsk_Resource=$B53)*tsk_WorkPerDay*((((tsk_FinishN+AC$37-ABS(tsk_FinishN-AC$37))/2-(tsk_StartN+AC$36+ABS(tsk_StartN-AC$36))/2+1)+ABS((tsk_FinishN+AC$37-ABS(tsk_FinishN-AC$37))/2-(tsk_StartN+AC$36+ABS(tsk_StartN-AC$36))/2+1))/2)))</f>
        <v/>
      </c>
    </row>
    <row r="54" customFormat="false" ht="15" hidden="false" customHeight="false" outlineLevel="0" collapsed="false">
      <c r="B54" s="75" t="str">
        <f aca="false">IF(INDEX(res_Name,17)="","",INDEX(res_Name,17))</f>
        <v/>
      </c>
      <c r="C54" s="76" t="str">
        <f aca="false">IF($B54="","",INDEX(res_MaxUnits,17))</f>
        <v/>
      </c>
      <c r="D54" s="77" t="str">
        <f aca="false">IF(OR($B54="",D$35=""),"",SUMPRODUCT((tsk_Resource=$B54)*tsk_WorkPerDay*((((tsk_FinishN+D$37-ABS(tsk_FinishN-D$37))/2-(tsk_StartN+D$36+ABS(tsk_StartN-D$36))/2+1)+ABS((tsk_FinishN+D$37-ABS(tsk_FinishN-D$37))/2-(tsk_StartN+D$36+ABS(tsk_StartN-D$36))/2+1))/2)))</f>
        <v/>
      </c>
      <c r="E54" s="77" t="str">
        <f aca="false">IF(OR($B54="",E$35=""),"",SUMPRODUCT((tsk_Resource=$B54)*tsk_WorkPerDay*((((tsk_FinishN+E$37-ABS(tsk_FinishN-E$37))/2-(tsk_StartN+E$36+ABS(tsk_StartN-E$36))/2+1)+ABS((tsk_FinishN+E$37-ABS(tsk_FinishN-E$37))/2-(tsk_StartN+E$36+ABS(tsk_StartN-E$36))/2+1))/2)))</f>
        <v/>
      </c>
      <c r="F54" s="77" t="str">
        <f aca="false">IF(OR($B54="",F$35=""),"",SUMPRODUCT((tsk_Resource=$B54)*tsk_WorkPerDay*((((tsk_FinishN+F$37-ABS(tsk_FinishN-F$37))/2-(tsk_StartN+F$36+ABS(tsk_StartN-F$36))/2+1)+ABS((tsk_FinishN+F$37-ABS(tsk_FinishN-F$37))/2-(tsk_StartN+F$36+ABS(tsk_StartN-F$36))/2+1))/2)))</f>
        <v/>
      </c>
      <c r="G54" s="77" t="str">
        <f aca="false">IF(OR($B54="",G$35=""),"",SUMPRODUCT((tsk_Resource=$B54)*tsk_WorkPerDay*((((tsk_FinishN+G$37-ABS(tsk_FinishN-G$37))/2-(tsk_StartN+G$36+ABS(tsk_StartN-G$36))/2+1)+ABS((tsk_FinishN+G$37-ABS(tsk_FinishN-G$37))/2-(tsk_StartN+G$36+ABS(tsk_StartN-G$36))/2+1))/2)))</f>
        <v/>
      </c>
      <c r="H54" s="77" t="str">
        <f aca="false">IF(OR($B54="",H$35=""),"",SUMPRODUCT((tsk_Resource=$B54)*tsk_WorkPerDay*((((tsk_FinishN+H$37-ABS(tsk_FinishN-H$37))/2-(tsk_StartN+H$36+ABS(tsk_StartN-H$36))/2+1)+ABS((tsk_FinishN+H$37-ABS(tsk_FinishN-H$37))/2-(tsk_StartN+H$36+ABS(tsk_StartN-H$36))/2+1))/2)))</f>
        <v/>
      </c>
      <c r="I54" s="77" t="str">
        <f aca="false">IF(OR($B54="",I$35=""),"",SUMPRODUCT((tsk_Resource=$B54)*tsk_WorkPerDay*((((tsk_FinishN+I$37-ABS(tsk_FinishN-I$37))/2-(tsk_StartN+I$36+ABS(tsk_StartN-I$36))/2+1)+ABS((tsk_FinishN+I$37-ABS(tsk_FinishN-I$37))/2-(tsk_StartN+I$36+ABS(tsk_StartN-I$36))/2+1))/2)))</f>
        <v/>
      </c>
      <c r="J54" s="77" t="str">
        <f aca="false">IF(OR($B54="",J$35=""),"",SUMPRODUCT((tsk_Resource=$B54)*tsk_WorkPerDay*((((tsk_FinishN+J$37-ABS(tsk_FinishN-J$37))/2-(tsk_StartN+J$36+ABS(tsk_StartN-J$36))/2+1)+ABS((tsk_FinishN+J$37-ABS(tsk_FinishN-J$37))/2-(tsk_StartN+J$36+ABS(tsk_StartN-J$36))/2+1))/2)))</f>
        <v/>
      </c>
      <c r="K54" s="77" t="str">
        <f aca="false">IF(OR($B54="",K$35=""),"",SUMPRODUCT((tsk_Resource=$B54)*tsk_WorkPerDay*((((tsk_FinishN+K$37-ABS(tsk_FinishN-K$37))/2-(tsk_StartN+K$36+ABS(tsk_StartN-K$36))/2+1)+ABS((tsk_FinishN+K$37-ABS(tsk_FinishN-K$37))/2-(tsk_StartN+K$36+ABS(tsk_StartN-K$36))/2+1))/2)))</f>
        <v/>
      </c>
      <c r="L54" s="77" t="str">
        <f aca="false">IF(OR($B54="",L$35=""),"",SUMPRODUCT((tsk_Resource=$B54)*tsk_WorkPerDay*((((tsk_FinishN+L$37-ABS(tsk_FinishN-L$37))/2-(tsk_StartN+L$36+ABS(tsk_StartN-L$36))/2+1)+ABS((tsk_FinishN+L$37-ABS(tsk_FinishN-L$37))/2-(tsk_StartN+L$36+ABS(tsk_StartN-L$36))/2+1))/2)))</f>
        <v/>
      </c>
      <c r="M54" s="77" t="str">
        <f aca="false">IF(OR($B54="",M$35=""),"",SUMPRODUCT((tsk_Resource=$B54)*tsk_WorkPerDay*((((tsk_FinishN+M$37-ABS(tsk_FinishN-M$37))/2-(tsk_StartN+M$36+ABS(tsk_StartN-M$36))/2+1)+ABS((tsk_FinishN+M$37-ABS(tsk_FinishN-M$37))/2-(tsk_StartN+M$36+ABS(tsk_StartN-M$36))/2+1))/2)))</f>
        <v/>
      </c>
      <c r="N54" s="77" t="str">
        <f aca="false">IF(OR($B54="",N$35=""),"",SUMPRODUCT((tsk_Resource=$B54)*tsk_WorkPerDay*((((tsk_FinishN+N$37-ABS(tsk_FinishN-N$37))/2-(tsk_StartN+N$36+ABS(tsk_StartN-N$36))/2+1)+ABS((tsk_FinishN+N$37-ABS(tsk_FinishN-N$37))/2-(tsk_StartN+N$36+ABS(tsk_StartN-N$36))/2+1))/2)))</f>
        <v/>
      </c>
      <c r="O54" s="77" t="str">
        <f aca="false">IF(OR($B54="",O$35=""),"",SUMPRODUCT((tsk_Resource=$B54)*tsk_WorkPerDay*((((tsk_FinishN+O$37-ABS(tsk_FinishN-O$37))/2-(tsk_StartN+O$36+ABS(tsk_StartN-O$36))/2+1)+ABS((tsk_FinishN+O$37-ABS(tsk_FinishN-O$37))/2-(tsk_StartN+O$36+ABS(tsk_StartN-O$36))/2+1))/2)))</f>
        <v/>
      </c>
      <c r="P54" s="77" t="str">
        <f aca="false">IF(OR($B54="",P$35=""),"",SUMPRODUCT((tsk_Resource=$B54)*tsk_WorkPerDay*((((tsk_FinishN+P$37-ABS(tsk_FinishN-P$37))/2-(tsk_StartN+P$36+ABS(tsk_StartN-P$36))/2+1)+ABS((tsk_FinishN+P$37-ABS(tsk_FinishN-P$37))/2-(tsk_StartN+P$36+ABS(tsk_StartN-P$36))/2+1))/2)))</f>
        <v/>
      </c>
      <c r="Q54" s="77" t="str">
        <f aca="false">IF(OR($B54="",Q$35=""),"",SUMPRODUCT((tsk_Resource=$B54)*tsk_WorkPerDay*((((tsk_FinishN+Q$37-ABS(tsk_FinishN-Q$37))/2-(tsk_StartN+Q$36+ABS(tsk_StartN-Q$36))/2+1)+ABS((tsk_FinishN+Q$37-ABS(tsk_FinishN-Q$37))/2-(tsk_StartN+Q$36+ABS(tsk_StartN-Q$36))/2+1))/2)))</f>
        <v/>
      </c>
      <c r="R54" s="77" t="str">
        <f aca="false">IF(OR($B54="",R$35=""),"",SUMPRODUCT((tsk_Resource=$B54)*tsk_WorkPerDay*((((tsk_FinishN+R$37-ABS(tsk_FinishN-R$37))/2-(tsk_StartN+R$36+ABS(tsk_StartN-R$36))/2+1)+ABS((tsk_FinishN+R$37-ABS(tsk_FinishN-R$37))/2-(tsk_StartN+R$36+ABS(tsk_StartN-R$36))/2+1))/2)))</f>
        <v/>
      </c>
      <c r="S54" s="77" t="str">
        <f aca="false">IF(OR($B54="",S$35=""),"",SUMPRODUCT((tsk_Resource=$B54)*tsk_WorkPerDay*((((tsk_FinishN+S$37-ABS(tsk_FinishN-S$37))/2-(tsk_StartN+S$36+ABS(tsk_StartN-S$36))/2+1)+ABS((tsk_FinishN+S$37-ABS(tsk_FinishN-S$37))/2-(tsk_StartN+S$36+ABS(tsk_StartN-S$36))/2+1))/2)))</f>
        <v/>
      </c>
      <c r="T54" s="77" t="str">
        <f aca="false">IF(OR($B54="",T$35=""),"",SUMPRODUCT((tsk_Resource=$B54)*tsk_WorkPerDay*((((tsk_FinishN+T$37-ABS(tsk_FinishN-T$37))/2-(tsk_StartN+T$36+ABS(tsk_StartN-T$36))/2+1)+ABS((tsk_FinishN+T$37-ABS(tsk_FinishN-T$37))/2-(tsk_StartN+T$36+ABS(tsk_StartN-T$36))/2+1))/2)))</f>
        <v/>
      </c>
      <c r="U54" s="77" t="str">
        <f aca="false">IF(OR($B54="",U$35=""),"",SUMPRODUCT((tsk_Resource=$B54)*tsk_WorkPerDay*((((tsk_FinishN+U$37-ABS(tsk_FinishN-U$37))/2-(tsk_StartN+U$36+ABS(tsk_StartN-U$36))/2+1)+ABS((tsk_FinishN+U$37-ABS(tsk_FinishN-U$37))/2-(tsk_StartN+U$36+ABS(tsk_StartN-U$36))/2+1))/2)))</f>
        <v/>
      </c>
      <c r="V54" s="77" t="str">
        <f aca="false">IF(OR($B54="",V$35=""),"",SUMPRODUCT((tsk_Resource=$B54)*tsk_WorkPerDay*((((tsk_FinishN+V$37-ABS(tsk_FinishN-V$37))/2-(tsk_StartN+V$36+ABS(tsk_StartN-V$36))/2+1)+ABS((tsk_FinishN+V$37-ABS(tsk_FinishN-V$37))/2-(tsk_StartN+V$36+ABS(tsk_StartN-V$36))/2+1))/2)))</f>
        <v/>
      </c>
      <c r="W54" s="77" t="str">
        <f aca="false">IF(OR($B54="",W$35=""),"",SUMPRODUCT((tsk_Resource=$B54)*tsk_WorkPerDay*((((tsk_FinishN+W$37-ABS(tsk_FinishN-W$37))/2-(tsk_StartN+W$36+ABS(tsk_StartN-W$36))/2+1)+ABS((tsk_FinishN+W$37-ABS(tsk_FinishN-W$37))/2-(tsk_StartN+W$36+ABS(tsk_StartN-W$36))/2+1))/2)))</f>
        <v/>
      </c>
      <c r="X54" s="77" t="str">
        <f aca="false">IF(OR($B54="",X$35=""),"",SUMPRODUCT((tsk_Resource=$B54)*tsk_WorkPerDay*((((tsk_FinishN+X$37-ABS(tsk_FinishN-X$37))/2-(tsk_StartN+X$36+ABS(tsk_StartN-X$36))/2+1)+ABS((tsk_FinishN+X$37-ABS(tsk_FinishN-X$37))/2-(tsk_StartN+X$36+ABS(tsk_StartN-X$36))/2+1))/2)))</f>
        <v/>
      </c>
      <c r="Y54" s="77" t="str">
        <f aca="false">IF(OR($B54="",Y$35=""),"",SUMPRODUCT((tsk_Resource=$B54)*tsk_WorkPerDay*((((tsk_FinishN+Y$37-ABS(tsk_FinishN-Y$37))/2-(tsk_StartN+Y$36+ABS(tsk_StartN-Y$36))/2+1)+ABS((tsk_FinishN+Y$37-ABS(tsk_FinishN-Y$37))/2-(tsk_StartN+Y$36+ABS(tsk_StartN-Y$36))/2+1))/2)))</f>
        <v/>
      </c>
      <c r="Z54" s="77" t="str">
        <f aca="false">IF(OR($B54="",Z$35=""),"",SUMPRODUCT((tsk_Resource=$B54)*tsk_WorkPerDay*((((tsk_FinishN+Z$37-ABS(tsk_FinishN-Z$37))/2-(tsk_StartN+Z$36+ABS(tsk_StartN-Z$36))/2+1)+ABS((tsk_FinishN+Z$37-ABS(tsk_FinishN-Z$37))/2-(tsk_StartN+Z$36+ABS(tsk_StartN-Z$36))/2+1))/2)))</f>
        <v/>
      </c>
      <c r="AA54" s="77" t="str">
        <f aca="false">IF(OR($B54="",AA$35=""),"",SUMPRODUCT((tsk_Resource=$B54)*tsk_WorkPerDay*((((tsk_FinishN+AA$37-ABS(tsk_FinishN-AA$37))/2-(tsk_StartN+AA$36+ABS(tsk_StartN-AA$36))/2+1)+ABS((tsk_FinishN+AA$37-ABS(tsk_FinishN-AA$37))/2-(tsk_StartN+AA$36+ABS(tsk_StartN-AA$36))/2+1))/2)))</f>
        <v/>
      </c>
      <c r="AB54" s="77" t="str">
        <f aca="false">IF(OR($B54="",AB$35=""),"",SUMPRODUCT((tsk_Resource=$B54)*tsk_WorkPerDay*((((tsk_FinishN+AB$37-ABS(tsk_FinishN-AB$37))/2-(tsk_StartN+AB$36+ABS(tsk_StartN-AB$36))/2+1)+ABS((tsk_FinishN+AB$37-ABS(tsk_FinishN-AB$37))/2-(tsk_StartN+AB$36+ABS(tsk_StartN-AB$36))/2+1))/2)))</f>
        <v/>
      </c>
      <c r="AC54" s="77" t="str">
        <f aca="false">IF(OR($B54="",AC$35=""),"",SUMPRODUCT((tsk_Resource=$B54)*tsk_WorkPerDay*((((tsk_FinishN+AC$37-ABS(tsk_FinishN-AC$37))/2-(tsk_StartN+AC$36+ABS(tsk_StartN-AC$36))/2+1)+ABS((tsk_FinishN+AC$37-ABS(tsk_FinishN-AC$37))/2-(tsk_StartN+AC$36+ABS(tsk_StartN-AC$36))/2+1))/2)))</f>
        <v/>
      </c>
    </row>
    <row r="55" customFormat="false" ht="15" hidden="false" customHeight="false" outlineLevel="0" collapsed="false">
      <c r="B55" s="75" t="str">
        <f aca="false">IF(INDEX(res_Name,18)="","",INDEX(res_Name,18))</f>
        <v/>
      </c>
      <c r="C55" s="76" t="str">
        <f aca="false">IF($B55="","",INDEX(res_MaxUnits,18))</f>
        <v/>
      </c>
      <c r="D55" s="77" t="str">
        <f aca="false">IF(OR($B55="",D$35=""),"",SUMPRODUCT((tsk_Resource=$B55)*tsk_WorkPerDay*((((tsk_FinishN+D$37-ABS(tsk_FinishN-D$37))/2-(tsk_StartN+D$36+ABS(tsk_StartN-D$36))/2+1)+ABS((tsk_FinishN+D$37-ABS(tsk_FinishN-D$37))/2-(tsk_StartN+D$36+ABS(tsk_StartN-D$36))/2+1))/2)))</f>
        <v/>
      </c>
      <c r="E55" s="77" t="str">
        <f aca="false">IF(OR($B55="",E$35=""),"",SUMPRODUCT((tsk_Resource=$B55)*tsk_WorkPerDay*((((tsk_FinishN+E$37-ABS(tsk_FinishN-E$37))/2-(tsk_StartN+E$36+ABS(tsk_StartN-E$36))/2+1)+ABS((tsk_FinishN+E$37-ABS(tsk_FinishN-E$37))/2-(tsk_StartN+E$36+ABS(tsk_StartN-E$36))/2+1))/2)))</f>
        <v/>
      </c>
      <c r="F55" s="77" t="str">
        <f aca="false">IF(OR($B55="",F$35=""),"",SUMPRODUCT((tsk_Resource=$B55)*tsk_WorkPerDay*((((tsk_FinishN+F$37-ABS(tsk_FinishN-F$37))/2-(tsk_StartN+F$36+ABS(tsk_StartN-F$36))/2+1)+ABS((tsk_FinishN+F$37-ABS(tsk_FinishN-F$37))/2-(tsk_StartN+F$36+ABS(tsk_StartN-F$36))/2+1))/2)))</f>
        <v/>
      </c>
      <c r="G55" s="77" t="str">
        <f aca="false">IF(OR($B55="",G$35=""),"",SUMPRODUCT((tsk_Resource=$B55)*tsk_WorkPerDay*((((tsk_FinishN+G$37-ABS(tsk_FinishN-G$37))/2-(tsk_StartN+G$36+ABS(tsk_StartN-G$36))/2+1)+ABS((tsk_FinishN+G$37-ABS(tsk_FinishN-G$37))/2-(tsk_StartN+G$36+ABS(tsk_StartN-G$36))/2+1))/2)))</f>
        <v/>
      </c>
      <c r="H55" s="77" t="str">
        <f aca="false">IF(OR($B55="",H$35=""),"",SUMPRODUCT((tsk_Resource=$B55)*tsk_WorkPerDay*((((tsk_FinishN+H$37-ABS(tsk_FinishN-H$37))/2-(tsk_StartN+H$36+ABS(tsk_StartN-H$36))/2+1)+ABS((tsk_FinishN+H$37-ABS(tsk_FinishN-H$37))/2-(tsk_StartN+H$36+ABS(tsk_StartN-H$36))/2+1))/2)))</f>
        <v/>
      </c>
      <c r="I55" s="77" t="str">
        <f aca="false">IF(OR($B55="",I$35=""),"",SUMPRODUCT((tsk_Resource=$B55)*tsk_WorkPerDay*((((tsk_FinishN+I$37-ABS(tsk_FinishN-I$37))/2-(tsk_StartN+I$36+ABS(tsk_StartN-I$36))/2+1)+ABS((tsk_FinishN+I$37-ABS(tsk_FinishN-I$37))/2-(tsk_StartN+I$36+ABS(tsk_StartN-I$36))/2+1))/2)))</f>
        <v/>
      </c>
      <c r="J55" s="77" t="str">
        <f aca="false">IF(OR($B55="",J$35=""),"",SUMPRODUCT((tsk_Resource=$B55)*tsk_WorkPerDay*((((tsk_FinishN+J$37-ABS(tsk_FinishN-J$37))/2-(tsk_StartN+J$36+ABS(tsk_StartN-J$36))/2+1)+ABS((tsk_FinishN+J$37-ABS(tsk_FinishN-J$37))/2-(tsk_StartN+J$36+ABS(tsk_StartN-J$36))/2+1))/2)))</f>
        <v/>
      </c>
      <c r="K55" s="77" t="str">
        <f aca="false">IF(OR($B55="",K$35=""),"",SUMPRODUCT((tsk_Resource=$B55)*tsk_WorkPerDay*((((tsk_FinishN+K$37-ABS(tsk_FinishN-K$37))/2-(tsk_StartN+K$36+ABS(tsk_StartN-K$36))/2+1)+ABS((tsk_FinishN+K$37-ABS(tsk_FinishN-K$37))/2-(tsk_StartN+K$36+ABS(tsk_StartN-K$36))/2+1))/2)))</f>
        <v/>
      </c>
      <c r="L55" s="77" t="str">
        <f aca="false">IF(OR($B55="",L$35=""),"",SUMPRODUCT((tsk_Resource=$B55)*tsk_WorkPerDay*((((tsk_FinishN+L$37-ABS(tsk_FinishN-L$37))/2-(tsk_StartN+L$36+ABS(tsk_StartN-L$36))/2+1)+ABS((tsk_FinishN+L$37-ABS(tsk_FinishN-L$37))/2-(tsk_StartN+L$36+ABS(tsk_StartN-L$36))/2+1))/2)))</f>
        <v/>
      </c>
      <c r="M55" s="77" t="str">
        <f aca="false">IF(OR($B55="",M$35=""),"",SUMPRODUCT((tsk_Resource=$B55)*tsk_WorkPerDay*((((tsk_FinishN+M$37-ABS(tsk_FinishN-M$37))/2-(tsk_StartN+M$36+ABS(tsk_StartN-M$36))/2+1)+ABS((tsk_FinishN+M$37-ABS(tsk_FinishN-M$37))/2-(tsk_StartN+M$36+ABS(tsk_StartN-M$36))/2+1))/2)))</f>
        <v/>
      </c>
      <c r="N55" s="77" t="str">
        <f aca="false">IF(OR($B55="",N$35=""),"",SUMPRODUCT((tsk_Resource=$B55)*tsk_WorkPerDay*((((tsk_FinishN+N$37-ABS(tsk_FinishN-N$37))/2-(tsk_StartN+N$36+ABS(tsk_StartN-N$36))/2+1)+ABS((tsk_FinishN+N$37-ABS(tsk_FinishN-N$37))/2-(tsk_StartN+N$36+ABS(tsk_StartN-N$36))/2+1))/2)))</f>
        <v/>
      </c>
      <c r="O55" s="77" t="str">
        <f aca="false">IF(OR($B55="",O$35=""),"",SUMPRODUCT((tsk_Resource=$B55)*tsk_WorkPerDay*((((tsk_FinishN+O$37-ABS(tsk_FinishN-O$37))/2-(tsk_StartN+O$36+ABS(tsk_StartN-O$36))/2+1)+ABS((tsk_FinishN+O$37-ABS(tsk_FinishN-O$37))/2-(tsk_StartN+O$36+ABS(tsk_StartN-O$36))/2+1))/2)))</f>
        <v/>
      </c>
      <c r="P55" s="77" t="str">
        <f aca="false">IF(OR($B55="",P$35=""),"",SUMPRODUCT((tsk_Resource=$B55)*tsk_WorkPerDay*((((tsk_FinishN+P$37-ABS(tsk_FinishN-P$37))/2-(tsk_StartN+P$36+ABS(tsk_StartN-P$36))/2+1)+ABS((tsk_FinishN+P$37-ABS(tsk_FinishN-P$37))/2-(tsk_StartN+P$36+ABS(tsk_StartN-P$36))/2+1))/2)))</f>
        <v/>
      </c>
      <c r="Q55" s="77" t="str">
        <f aca="false">IF(OR($B55="",Q$35=""),"",SUMPRODUCT((tsk_Resource=$B55)*tsk_WorkPerDay*((((tsk_FinishN+Q$37-ABS(tsk_FinishN-Q$37))/2-(tsk_StartN+Q$36+ABS(tsk_StartN-Q$36))/2+1)+ABS((tsk_FinishN+Q$37-ABS(tsk_FinishN-Q$37))/2-(tsk_StartN+Q$36+ABS(tsk_StartN-Q$36))/2+1))/2)))</f>
        <v/>
      </c>
      <c r="R55" s="77" t="str">
        <f aca="false">IF(OR($B55="",R$35=""),"",SUMPRODUCT((tsk_Resource=$B55)*tsk_WorkPerDay*((((tsk_FinishN+R$37-ABS(tsk_FinishN-R$37))/2-(tsk_StartN+R$36+ABS(tsk_StartN-R$36))/2+1)+ABS((tsk_FinishN+R$37-ABS(tsk_FinishN-R$37))/2-(tsk_StartN+R$36+ABS(tsk_StartN-R$36))/2+1))/2)))</f>
        <v/>
      </c>
      <c r="S55" s="77" t="str">
        <f aca="false">IF(OR($B55="",S$35=""),"",SUMPRODUCT((tsk_Resource=$B55)*tsk_WorkPerDay*((((tsk_FinishN+S$37-ABS(tsk_FinishN-S$37))/2-(tsk_StartN+S$36+ABS(tsk_StartN-S$36))/2+1)+ABS((tsk_FinishN+S$37-ABS(tsk_FinishN-S$37))/2-(tsk_StartN+S$36+ABS(tsk_StartN-S$36))/2+1))/2)))</f>
        <v/>
      </c>
      <c r="T55" s="77" t="str">
        <f aca="false">IF(OR($B55="",T$35=""),"",SUMPRODUCT((tsk_Resource=$B55)*tsk_WorkPerDay*((((tsk_FinishN+T$37-ABS(tsk_FinishN-T$37))/2-(tsk_StartN+T$36+ABS(tsk_StartN-T$36))/2+1)+ABS((tsk_FinishN+T$37-ABS(tsk_FinishN-T$37))/2-(tsk_StartN+T$36+ABS(tsk_StartN-T$36))/2+1))/2)))</f>
        <v/>
      </c>
      <c r="U55" s="77" t="str">
        <f aca="false">IF(OR($B55="",U$35=""),"",SUMPRODUCT((tsk_Resource=$B55)*tsk_WorkPerDay*((((tsk_FinishN+U$37-ABS(tsk_FinishN-U$37))/2-(tsk_StartN+U$36+ABS(tsk_StartN-U$36))/2+1)+ABS((tsk_FinishN+U$37-ABS(tsk_FinishN-U$37))/2-(tsk_StartN+U$36+ABS(tsk_StartN-U$36))/2+1))/2)))</f>
        <v/>
      </c>
      <c r="V55" s="77" t="str">
        <f aca="false">IF(OR($B55="",V$35=""),"",SUMPRODUCT((tsk_Resource=$B55)*tsk_WorkPerDay*((((tsk_FinishN+V$37-ABS(tsk_FinishN-V$37))/2-(tsk_StartN+V$36+ABS(tsk_StartN-V$36))/2+1)+ABS((tsk_FinishN+V$37-ABS(tsk_FinishN-V$37))/2-(tsk_StartN+V$36+ABS(tsk_StartN-V$36))/2+1))/2)))</f>
        <v/>
      </c>
      <c r="W55" s="77" t="str">
        <f aca="false">IF(OR($B55="",W$35=""),"",SUMPRODUCT((tsk_Resource=$B55)*tsk_WorkPerDay*((((tsk_FinishN+W$37-ABS(tsk_FinishN-W$37))/2-(tsk_StartN+W$36+ABS(tsk_StartN-W$36))/2+1)+ABS((tsk_FinishN+W$37-ABS(tsk_FinishN-W$37))/2-(tsk_StartN+W$36+ABS(tsk_StartN-W$36))/2+1))/2)))</f>
        <v/>
      </c>
      <c r="X55" s="77" t="str">
        <f aca="false">IF(OR($B55="",X$35=""),"",SUMPRODUCT((tsk_Resource=$B55)*tsk_WorkPerDay*((((tsk_FinishN+X$37-ABS(tsk_FinishN-X$37))/2-(tsk_StartN+X$36+ABS(tsk_StartN-X$36))/2+1)+ABS((tsk_FinishN+X$37-ABS(tsk_FinishN-X$37))/2-(tsk_StartN+X$36+ABS(tsk_StartN-X$36))/2+1))/2)))</f>
        <v/>
      </c>
      <c r="Y55" s="77" t="str">
        <f aca="false">IF(OR($B55="",Y$35=""),"",SUMPRODUCT((tsk_Resource=$B55)*tsk_WorkPerDay*((((tsk_FinishN+Y$37-ABS(tsk_FinishN-Y$37))/2-(tsk_StartN+Y$36+ABS(tsk_StartN-Y$36))/2+1)+ABS((tsk_FinishN+Y$37-ABS(tsk_FinishN-Y$37))/2-(tsk_StartN+Y$36+ABS(tsk_StartN-Y$36))/2+1))/2)))</f>
        <v/>
      </c>
      <c r="Z55" s="77" t="str">
        <f aca="false">IF(OR($B55="",Z$35=""),"",SUMPRODUCT((tsk_Resource=$B55)*tsk_WorkPerDay*((((tsk_FinishN+Z$37-ABS(tsk_FinishN-Z$37))/2-(tsk_StartN+Z$36+ABS(tsk_StartN-Z$36))/2+1)+ABS((tsk_FinishN+Z$37-ABS(tsk_FinishN-Z$37))/2-(tsk_StartN+Z$36+ABS(tsk_StartN-Z$36))/2+1))/2)))</f>
        <v/>
      </c>
      <c r="AA55" s="77" t="str">
        <f aca="false">IF(OR($B55="",AA$35=""),"",SUMPRODUCT((tsk_Resource=$B55)*tsk_WorkPerDay*((((tsk_FinishN+AA$37-ABS(tsk_FinishN-AA$37))/2-(tsk_StartN+AA$36+ABS(tsk_StartN-AA$36))/2+1)+ABS((tsk_FinishN+AA$37-ABS(tsk_FinishN-AA$37))/2-(tsk_StartN+AA$36+ABS(tsk_StartN-AA$36))/2+1))/2)))</f>
        <v/>
      </c>
      <c r="AB55" s="77" t="str">
        <f aca="false">IF(OR($B55="",AB$35=""),"",SUMPRODUCT((tsk_Resource=$B55)*tsk_WorkPerDay*((((tsk_FinishN+AB$37-ABS(tsk_FinishN-AB$37))/2-(tsk_StartN+AB$36+ABS(tsk_StartN-AB$36))/2+1)+ABS((tsk_FinishN+AB$37-ABS(tsk_FinishN-AB$37))/2-(tsk_StartN+AB$36+ABS(tsk_StartN-AB$36))/2+1))/2)))</f>
        <v/>
      </c>
      <c r="AC55" s="77" t="str">
        <f aca="false">IF(OR($B55="",AC$35=""),"",SUMPRODUCT((tsk_Resource=$B55)*tsk_WorkPerDay*((((tsk_FinishN+AC$37-ABS(tsk_FinishN-AC$37))/2-(tsk_StartN+AC$36+ABS(tsk_StartN-AC$36))/2+1)+ABS((tsk_FinishN+AC$37-ABS(tsk_FinishN-AC$37))/2-(tsk_StartN+AC$36+ABS(tsk_StartN-AC$36))/2+1))/2)))</f>
        <v/>
      </c>
    </row>
    <row r="56" customFormat="false" ht="15" hidden="false" customHeight="false" outlineLevel="0" collapsed="false">
      <c r="B56" s="75" t="str">
        <f aca="false">IF(INDEX(res_Name,19)="","",INDEX(res_Name,19))</f>
        <v/>
      </c>
      <c r="C56" s="76" t="str">
        <f aca="false">IF($B56="","",INDEX(res_MaxUnits,19))</f>
        <v/>
      </c>
      <c r="D56" s="77" t="str">
        <f aca="false">IF(OR($B56="",D$35=""),"",SUMPRODUCT((tsk_Resource=$B56)*tsk_WorkPerDay*((((tsk_FinishN+D$37-ABS(tsk_FinishN-D$37))/2-(tsk_StartN+D$36+ABS(tsk_StartN-D$36))/2+1)+ABS((tsk_FinishN+D$37-ABS(tsk_FinishN-D$37))/2-(tsk_StartN+D$36+ABS(tsk_StartN-D$36))/2+1))/2)))</f>
        <v/>
      </c>
      <c r="E56" s="77" t="str">
        <f aca="false">IF(OR($B56="",E$35=""),"",SUMPRODUCT((tsk_Resource=$B56)*tsk_WorkPerDay*((((tsk_FinishN+E$37-ABS(tsk_FinishN-E$37))/2-(tsk_StartN+E$36+ABS(tsk_StartN-E$36))/2+1)+ABS((tsk_FinishN+E$37-ABS(tsk_FinishN-E$37))/2-(tsk_StartN+E$36+ABS(tsk_StartN-E$36))/2+1))/2)))</f>
        <v/>
      </c>
      <c r="F56" s="77" t="str">
        <f aca="false">IF(OR($B56="",F$35=""),"",SUMPRODUCT((tsk_Resource=$B56)*tsk_WorkPerDay*((((tsk_FinishN+F$37-ABS(tsk_FinishN-F$37))/2-(tsk_StartN+F$36+ABS(tsk_StartN-F$36))/2+1)+ABS((tsk_FinishN+F$37-ABS(tsk_FinishN-F$37))/2-(tsk_StartN+F$36+ABS(tsk_StartN-F$36))/2+1))/2)))</f>
        <v/>
      </c>
      <c r="G56" s="77" t="str">
        <f aca="false">IF(OR($B56="",G$35=""),"",SUMPRODUCT((tsk_Resource=$B56)*tsk_WorkPerDay*((((tsk_FinishN+G$37-ABS(tsk_FinishN-G$37))/2-(tsk_StartN+G$36+ABS(tsk_StartN-G$36))/2+1)+ABS((tsk_FinishN+G$37-ABS(tsk_FinishN-G$37))/2-(tsk_StartN+G$36+ABS(tsk_StartN-G$36))/2+1))/2)))</f>
        <v/>
      </c>
      <c r="H56" s="77" t="str">
        <f aca="false">IF(OR($B56="",H$35=""),"",SUMPRODUCT((tsk_Resource=$B56)*tsk_WorkPerDay*((((tsk_FinishN+H$37-ABS(tsk_FinishN-H$37))/2-(tsk_StartN+H$36+ABS(tsk_StartN-H$36))/2+1)+ABS((tsk_FinishN+H$37-ABS(tsk_FinishN-H$37))/2-(tsk_StartN+H$36+ABS(tsk_StartN-H$36))/2+1))/2)))</f>
        <v/>
      </c>
      <c r="I56" s="77" t="str">
        <f aca="false">IF(OR($B56="",I$35=""),"",SUMPRODUCT((tsk_Resource=$B56)*tsk_WorkPerDay*((((tsk_FinishN+I$37-ABS(tsk_FinishN-I$37))/2-(tsk_StartN+I$36+ABS(tsk_StartN-I$36))/2+1)+ABS((tsk_FinishN+I$37-ABS(tsk_FinishN-I$37))/2-(tsk_StartN+I$36+ABS(tsk_StartN-I$36))/2+1))/2)))</f>
        <v/>
      </c>
      <c r="J56" s="77" t="str">
        <f aca="false">IF(OR($B56="",J$35=""),"",SUMPRODUCT((tsk_Resource=$B56)*tsk_WorkPerDay*((((tsk_FinishN+J$37-ABS(tsk_FinishN-J$37))/2-(tsk_StartN+J$36+ABS(tsk_StartN-J$36))/2+1)+ABS((tsk_FinishN+J$37-ABS(tsk_FinishN-J$37))/2-(tsk_StartN+J$36+ABS(tsk_StartN-J$36))/2+1))/2)))</f>
        <v/>
      </c>
      <c r="K56" s="77" t="str">
        <f aca="false">IF(OR($B56="",K$35=""),"",SUMPRODUCT((tsk_Resource=$B56)*tsk_WorkPerDay*((((tsk_FinishN+K$37-ABS(tsk_FinishN-K$37))/2-(tsk_StartN+K$36+ABS(tsk_StartN-K$36))/2+1)+ABS((tsk_FinishN+K$37-ABS(tsk_FinishN-K$37))/2-(tsk_StartN+K$36+ABS(tsk_StartN-K$36))/2+1))/2)))</f>
        <v/>
      </c>
      <c r="L56" s="77" t="str">
        <f aca="false">IF(OR($B56="",L$35=""),"",SUMPRODUCT((tsk_Resource=$B56)*tsk_WorkPerDay*((((tsk_FinishN+L$37-ABS(tsk_FinishN-L$37))/2-(tsk_StartN+L$36+ABS(tsk_StartN-L$36))/2+1)+ABS((tsk_FinishN+L$37-ABS(tsk_FinishN-L$37))/2-(tsk_StartN+L$36+ABS(tsk_StartN-L$36))/2+1))/2)))</f>
        <v/>
      </c>
      <c r="M56" s="77" t="str">
        <f aca="false">IF(OR($B56="",M$35=""),"",SUMPRODUCT((tsk_Resource=$B56)*tsk_WorkPerDay*((((tsk_FinishN+M$37-ABS(tsk_FinishN-M$37))/2-(tsk_StartN+M$36+ABS(tsk_StartN-M$36))/2+1)+ABS((tsk_FinishN+M$37-ABS(tsk_FinishN-M$37))/2-(tsk_StartN+M$36+ABS(tsk_StartN-M$36))/2+1))/2)))</f>
        <v/>
      </c>
      <c r="N56" s="77" t="str">
        <f aca="false">IF(OR($B56="",N$35=""),"",SUMPRODUCT((tsk_Resource=$B56)*tsk_WorkPerDay*((((tsk_FinishN+N$37-ABS(tsk_FinishN-N$37))/2-(tsk_StartN+N$36+ABS(tsk_StartN-N$36))/2+1)+ABS((tsk_FinishN+N$37-ABS(tsk_FinishN-N$37))/2-(tsk_StartN+N$36+ABS(tsk_StartN-N$36))/2+1))/2)))</f>
        <v/>
      </c>
      <c r="O56" s="77" t="str">
        <f aca="false">IF(OR($B56="",O$35=""),"",SUMPRODUCT((tsk_Resource=$B56)*tsk_WorkPerDay*((((tsk_FinishN+O$37-ABS(tsk_FinishN-O$37))/2-(tsk_StartN+O$36+ABS(tsk_StartN-O$36))/2+1)+ABS((tsk_FinishN+O$37-ABS(tsk_FinishN-O$37))/2-(tsk_StartN+O$36+ABS(tsk_StartN-O$36))/2+1))/2)))</f>
        <v/>
      </c>
      <c r="P56" s="77" t="str">
        <f aca="false">IF(OR($B56="",P$35=""),"",SUMPRODUCT((tsk_Resource=$B56)*tsk_WorkPerDay*((((tsk_FinishN+P$37-ABS(tsk_FinishN-P$37))/2-(tsk_StartN+P$36+ABS(tsk_StartN-P$36))/2+1)+ABS((tsk_FinishN+P$37-ABS(tsk_FinishN-P$37))/2-(tsk_StartN+P$36+ABS(tsk_StartN-P$36))/2+1))/2)))</f>
        <v/>
      </c>
      <c r="Q56" s="77" t="str">
        <f aca="false">IF(OR($B56="",Q$35=""),"",SUMPRODUCT((tsk_Resource=$B56)*tsk_WorkPerDay*((((tsk_FinishN+Q$37-ABS(tsk_FinishN-Q$37))/2-(tsk_StartN+Q$36+ABS(tsk_StartN-Q$36))/2+1)+ABS((tsk_FinishN+Q$37-ABS(tsk_FinishN-Q$37))/2-(tsk_StartN+Q$36+ABS(tsk_StartN-Q$36))/2+1))/2)))</f>
        <v/>
      </c>
      <c r="R56" s="77" t="str">
        <f aca="false">IF(OR($B56="",R$35=""),"",SUMPRODUCT((tsk_Resource=$B56)*tsk_WorkPerDay*((((tsk_FinishN+R$37-ABS(tsk_FinishN-R$37))/2-(tsk_StartN+R$36+ABS(tsk_StartN-R$36))/2+1)+ABS((tsk_FinishN+R$37-ABS(tsk_FinishN-R$37))/2-(tsk_StartN+R$36+ABS(tsk_StartN-R$36))/2+1))/2)))</f>
        <v/>
      </c>
      <c r="S56" s="77" t="str">
        <f aca="false">IF(OR($B56="",S$35=""),"",SUMPRODUCT((tsk_Resource=$B56)*tsk_WorkPerDay*((((tsk_FinishN+S$37-ABS(tsk_FinishN-S$37))/2-(tsk_StartN+S$36+ABS(tsk_StartN-S$36))/2+1)+ABS((tsk_FinishN+S$37-ABS(tsk_FinishN-S$37))/2-(tsk_StartN+S$36+ABS(tsk_StartN-S$36))/2+1))/2)))</f>
        <v/>
      </c>
      <c r="T56" s="77" t="str">
        <f aca="false">IF(OR($B56="",T$35=""),"",SUMPRODUCT((tsk_Resource=$B56)*tsk_WorkPerDay*((((tsk_FinishN+T$37-ABS(tsk_FinishN-T$37))/2-(tsk_StartN+T$36+ABS(tsk_StartN-T$36))/2+1)+ABS((tsk_FinishN+T$37-ABS(tsk_FinishN-T$37))/2-(tsk_StartN+T$36+ABS(tsk_StartN-T$36))/2+1))/2)))</f>
        <v/>
      </c>
      <c r="U56" s="77" t="str">
        <f aca="false">IF(OR($B56="",U$35=""),"",SUMPRODUCT((tsk_Resource=$B56)*tsk_WorkPerDay*((((tsk_FinishN+U$37-ABS(tsk_FinishN-U$37))/2-(tsk_StartN+U$36+ABS(tsk_StartN-U$36))/2+1)+ABS((tsk_FinishN+U$37-ABS(tsk_FinishN-U$37))/2-(tsk_StartN+U$36+ABS(tsk_StartN-U$36))/2+1))/2)))</f>
        <v/>
      </c>
      <c r="V56" s="77" t="str">
        <f aca="false">IF(OR($B56="",V$35=""),"",SUMPRODUCT((tsk_Resource=$B56)*tsk_WorkPerDay*((((tsk_FinishN+V$37-ABS(tsk_FinishN-V$37))/2-(tsk_StartN+V$36+ABS(tsk_StartN-V$36))/2+1)+ABS((tsk_FinishN+V$37-ABS(tsk_FinishN-V$37))/2-(tsk_StartN+V$36+ABS(tsk_StartN-V$36))/2+1))/2)))</f>
        <v/>
      </c>
      <c r="W56" s="77" t="str">
        <f aca="false">IF(OR($B56="",W$35=""),"",SUMPRODUCT((tsk_Resource=$B56)*tsk_WorkPerDay*((((tsk_FinishN+W$37-ABS(tsk_FinishN-W$37))/2-(tsk_StartN+W$36+ABS(tsk_StartN-W$36))/2+1)+ABS((tsk_FinishN+W$37-ABS(tsk_FinishN-W$37))/2-(tsk_StartN+W$36+ABS(tsk_StartN-W$36))/2+1))/2)))</f>
        <v/>
      </c>
      <c r="X56" s="77" t="str">
        <f aca="false">IF(OR($B56="",X$35=""),"",SUMPRODUCT((tsk_Resource=$B56)*tsk_WorkPerDay*((((tsk_FinishN+X$37-ABS(tsk_FinishN-X$37))/2-(tsk_StartN+X$36+ABS(tsk_StartN-X$36))/2+1)+ABS((tsk_FinishN+X$37-ABS(tsk_FinishN-X$37))/2-(tsk_StartN+X$36+ABS(tsk_StartN-X$36))/2+1))/2)))</f>
        <v/>
      </c>
      <c r="Y56" s="77" t="str">
        <f aca="false">IF(OR($B56="",Y$35=""),"",SUMPRODUCT((tsk_Resource=$B56)*tsk_WorkPerDay*((((tsk_FinishN+Y$37-ABS(tsk_FinishN-Y$37))/2-(tsk_StartN+Y$36+ABS(tsk_StartN-Y$36))/2+1)+ABS((tsk_FinishN+Y$37-ABS(tsk_FinishN-Y$37))/2-(tsk_StartN+Y$36+ABS(tsk_StartN-Y$36))/2+1))/2)))</f>
        <v/>
      </c>
      <c r="Z56" s="77" t="str">
        <f aca="false">IF(OR($B56="",Z$35=""),"",SUMPRODUCT((tsk_Resource=$B56)*tsk_WorkPerDay*((((tsk_FinishN+Z$37-ABS(tsk_FinishN-Z$37))/2-(tsk_StartN+Z$36+ABS(tsk_StartN-Z$36))/2+1)+ABS((tsk_FinishN+Z$37-ABS(tsk_FinishN-Z$37))/2-(tsk_StartN+Z$36+ABS(tsk_StartN-Z$36))/2+1))/2)))</f>
        <v/>
      </c>
      <c r="AA56" s="77" t="str">
        <f aca="false">IF(OR($B56="",AA$35=""),"",SUMPRODUCT((tsk_Resource=$B56)*tsk_WorkPerDay*((((tsk_FinishN+AA$37-ABS(tsk_FinishN-AA$37))/2-(tsk_StartN+AA$36+ABS(tsk_StartN-AA$36))/2+1)+ABS((tsk_FinishN+AA$37-ABS(tsk_FinishN-AA$37))/2-(tsk_StartN+AA$36+ABS(tsk_StartN-AA$36))/2+1))/2)))</f>
        <v/>
      </c>
      <c r="AB56" s="77" t="str">
        <f aca="false">IF(OR($B56="",AB$35=""),"",SUMPRODUCT((tsk_Resource=$B56)*tsk_WorkPerDay*((((tsk_FinishN+AB$37-ABS(tsk_FinishN-AB$37))/2-(tsk_StartN+AB$36+ABS(tsk_StartN-AB$36))/2+1)+ABS((tsk_FinishN+AB$37-ABS(tsk_FinishN-AB$37))/2-(tsk_StartN+AB$36+ABS(tsk_StartN-AB$36))/2+1))/2)))</f>
        <v/>
      </c>
      <c r="AC56" s="77" t="str">
        <f aca="false">IF(OR($B56="",AC$35=""),"",SUMPRODUCT((tsk_Resource=$B56)*tsk_WorkPerDay*((((tsk_FinishN+AC$37-ABS(tsk_FinishN-AC$37))/2-(tsk_StartN+AC$36+ABS(tsk_StartN-AC$36))/2+1)+ABS((tsk_FinishN+AC$37-ABS(tsk_FinishN-AC$37))/2-(tsk_StartN+AC$36+ABS(tsk_StartN-AC$36))/2+1))/2)))</f>
        <v/>
      </c>
    </row>
    <row r="57" customFormat="false" ht="15" hidden="false" customHeight="false" outlineLevel="0" collapsed="false">
      <c r="B57" s="75" t="str">
        <f aca="false">IF(INDEX(res_Name,20)="","",INDEX(res_Name,20))</f>
        <v/>
      </c>
      <c r="C57" s="76" t="str">
        <f aca="false">IF($B57="","",INDEX(res_MaxUnits,20))</f>
        <v/>
      </c>
      <c r="D57" s="77" t="str">
        <f aca="false">IF(OR($B57="",D$35=""),"",SUMPRODUCT((tsk_Resource=$B57)*tsk_WorkPerDay*((((tsk_FinishN+D$37-ABS(tsk_FinishN-D$37))/2-(tsk_StartN+D$36+ABS(tsk_StartN-D$36))/2+1)+ABS((tsk_FinishN+D$37-ABS(tsk_FinishN-D$37))/2-(tsk_StartN+D$36+ABS(tsk_StartN-D$36))/2+1))/2)))</f>
        <v/>
      </c>
      <c r="E57" s="77" t="str">
        <f aca="false">IF(OR($B57="",E$35=""),"",SUMPRODUCT((tsk_Resource=$B57)*tsk_WorkPerDay*((((tsk_FinishN+E$37-ABS(tsk_FinishN-E$37))/2-(tsk_StartN+E$36+ABS(tsk_StartN-E$36))/2+1)+ABS((tsk_FinishN+E$37-ABS(tsk_FinishN-E$37))/2-(tsk_StartN+E$36+ABS(tsk_StartN-E$36))/2+1))/2)))</f>
        <v/>
      </c>
      <c r="F57" s="77" t="str">
        <f aca="false">IF(OR($B57="",F$35=""),"",SUMPRODUCT((tsk_Resource=$B57)*tsk_WorkPerDay*((((tsk_FinishN+F$37-ABS(tsk_FinishN-F$37))/2-(tsk_StartN+F$36+ABS(tsk_StartN-F$36))/2+1)+ABS((tsk_FinishN+F$37-ABS(tsk_FinishN-F$37))/2-(tsk_StartN+F$36+ABS(tsk_StartN-F$36))/2+1))/2)))</f>
        <v/>
      </c>
      <c r="G57" s="77" t="str">
        <f aca="false">IF(OR($B57="",G$35=""),"",SUMPRODUCT((tsk_Resource=$B57)*tsk_WorkPerDay*((((tsk_FinishN+G$37-ABS(tsk_FinishN-G$37))/2-(tsk_StartN+G$36+ABS(tsk_StartN-G$36))/2+1)+ABS((tsk_FinishN+G$37-ABS(tsk_FinishN-G$37))/2-(tsk_StartN+G$36+ABS(tsk_StartN-G$36))/2+1))/2)))</f>
        <v/>
      </c>
      <c r="H57" s="77" t="str">
        <f aca="false">IF(OR($B57="",H$35=""),"",SUMPRODUCT((tsk_Resource=$B57)*tsk_WorkPerDay*((((tsk_FinishN+H$37-ABS(tsk_FinishN-H$37))/2-(tsk_StartN+H$36+ABS(tsk_StartN-H$36))/2+1)+ABS((tsk_FinishN+H$37-ABS(tsk_FinishN-H$37))/2-(tsk_StartN+H$36+ABS(tsk_StartN-H$36))/2+1))/2)))</f>
        <v/>
      </c>
      <c r="I57" s="77" t="str">
        <f aca="false">IF(OR($B57="",I$35=""),"",SUMPRODUCT((tsk_Resource=$B57)*tsk_WorkPerDay*((((tsk_FinishN+I$37-ABS(tsk_FinishN-I$37))/2-(tsk_StartN+I$36+ABS(tsk_StartN-I$36))/2+1)+ABS((tsk_FinishN+I$37-ABS(tsk_FinishN-I$37))/2-(tsk_StartN+I$36+ABS(tsk_StartN-I$36))/2+1))/2)))</f>
        <v/>
      </c>
      <c r="J57" s="77" t="str">
        <f aca="false">IF(OR($B57="",J$35=""),"",SUMPRODUCT((tsk_Resource=$B57)*tsk_WorkPerDay*((((tsk_FinishN+J$37-ABS(tsk_FinishN-J$37))/2-(tsk_StartN+J$36+ABS(tsk_StartN-J$36))/2+1)+ABS((tsk_FinishN+J$37-ABS(tsk_FinishN-J$37))/2-(tsk_StartN+J$36+ABS(tsk_StartN-J$36))/2+1))/2)))</f>
        <v/>
      </c>
      <c r="K57" s="77" t="str">
        <f aca="false">IF(OR($B57="",K$35=""),"",SUMPRODUCT((tsk_Resource=$B57)*tsk_WorkPerDay*((((tsk_FinishN+K$37-ABS(tsk_FinishN-K$37))/2-(tsk_StartN+K$36+ABS(tsk_StartN-K$36))/2+1)+ABS((tsk_FinishN+K$37-ABS(tsk_FinishN-K$37))/2-(tsk_StartN+K$36+ABS(tsk_StartN-K$36))/2+1))/2)))</f>
        <v/>
      </c>
      <c r="L57" s="77" t="str">
        <f aca="false">IF(OR($B57="",L$35=""),"",SUMPRODUCT((tsk_Resource=$B57)*tsk_WorkPerDay*((((tsk_FinishN+L$37-ABS(tsk_FinishN-L$37))/2-(tsk_StartN+L$36+ABS(tsk_StartN-L$36))/2+1)+ABS((tsk_FinishN+L$37-ABS(tsk_FinishN-L$37))/2-(tsk_StartN+L$36+ABS(tsk_StartN-L$36))/2+1))/2)))</f>
        <v/>
      </c>
      <c r="M57" s="77" t="str">
        <f aca="false">IF(OR($B57="",M$35=""),"",SUMPRODUCT((tsk_Resource=$B57)*tsk_WorkPerDay*((((tsk_FinishN+M$37-ABS(tsk_FinishN-M$37))/2-(tsk_StartN+M$36+ABS(tsk_StartN-M$36))/2+1)+ABS((tsk_FinishN+M$37-ABS(tsk_FinishN-M$37))/2-(tsk_StartN+M$36+ABS(tsk_StartN-M$36))/2+1))/2)))</f>
        <v/>
      </c>
      <c r="N57" s="77" t="str">
        <f aca="false">IF(OR($B57="",N$35=""),"",SUMPRODUCT((tsk_Resource=$B57)*tsk_WorkPerDay*((((tsk_FinishN+N$37-ABS(tsk_FinishN-N$37))/2-(tsk_StartN+N$36+ABS(tsk_StartN-N$36))/2+1)+ABS((tsk_FinishN+N$37-ABS(tsk_FinishN-N$37))/2-(tsk_StartN+N$36+ABS(tsk_StartN-N$36))/2+1))/2)))</f>
        <v/>
      </c>
      <c r="O57" s="77" t="str">
        <f aca="false">IF(OR($B57="",O$35=""),"",SUMPRODUCT((tsk_Resource=$B57)*tsk_WorkPerDay*((((tsk_FinishN+O$37-ABS(tsk_FinishN-O$37))/2-(tsk_StartN+O$36+ABS(tsk_StartN-O$36))/2+1)+ABS((tsk_FinishN+O$37-ABS(tsk_FinishN-O$37))/2-(tsk_StartN+O$36+ABS(tsk_StartN-O$36))/2+1))/2)))</f>
        <v/>
      </c>
      <c r="P57" s="77" t="str">
        <f aca="false">IF(OR($B57="",P$35=""),"",SUMPRODUCT((tsk_Resource=$B57)*tsk_WorkPerDay*((((tsk_FinishN+P$37-ABS(tsk_FinishN-P$37))/2-(tsk_StartN+P$36+ABS(tsk_StartN-P$36))/2+1)+ABS((tsk_FinishN+P$37-ABS(tsk_FinishN-P$37))/2-(tsk_StartN+P$36+ABS(tsk_StartN-P$36))/2+1))/2)))</f>
        <v/>
      </c>
      <c r="Q57" s="77" t="str">
        <f aca="false">IF(OR($B57="",Q$35=""),"",SUMPRODUCT((tsk_Resource=$B57)*tsk_WorkPerDay*((((tsk_FinishN+Q$37-ABS(tsk_FinishN-Q$37))/2-(tsk_StartN+Q$36+ABS(tsk_StartN-Q$36))/2+1)+ABS((tsk_FinishN+Q$37-ABS(tsk_FinishN-Q$37))/2-(tsk_StartN+Q$36+ABS(tsk_StartN-Q$36))/2+1))/2)))</f>
        <v/>
      </c>
      <c r="R57" s="77" t="str">
        <f aca="false">IF(OR($B57="",R$35=""),"",SUMPRODUCT((tsk_Resource=$B57)*tsk_WorkPerDay*((((tsk_FinishN+R$37-ABS(tsk_FinishN-R$37))/2-(tsk_StartN+R$36+ABS(tsk_StartN-R$36))/2+1)+ABS((tsk_FinishN+R$37-ABS(tsk_FinishN-R$37))/2-(tsk_StartN+R$36+ABS(tsk_StartN-R$36))/2+1))/2)))</f>
        <v/>
      </c>
      <c r="S57" s="77" t="str">
        <f aca="false">IF(OR($B57="",S$35=""),"",SUMPRODUCT((tsk_Resource=$B57)*tsk_WorkPerDay*((((tsk_FinishN+S$37-ABS(tsk_FinishN-S$37))/2-(tsk_StartN+S$36+ABS(tsk_StartN-S$36))/2+1)+ABS((tsk_FinishN+S$37-ABS(tsk_FinishN-S$37))/2-(tsk_StartN+S$36+ABS(tsk_StartN-S$36))/2+1))/2)))</f>
        <v/>
      </c>
      <c r="T57" s="77" t="str">
        <f aca="false">IF(OR($B57="",T$35=""),"",SUMPRODUCT((tsk_Resource=$B57)*tsk_WorkPerDay*((((tsk_FinishN+T$37-ABS(tsk_FinishN-T$37))/2-(tsk_StartN+T$36+ABS(tsk_StartN-T$36))/2+1)+ABS((tsk_FinishN+T$37-ABS(tsk_FinishN-T$37))/2-(tsk_StartN+T$36+ABS(tsk_StartN-T$36))/2+1))/2)))</f>
        <v/>
      </c>
      <c r="U57" s="77" t="str">
        <f aca="false">IF(OR($B57="",U$35=""),"",SUMPRODUCT((tsk_Resource=$B57)*tsk_WorkPerDay*((((tsk_FinishN+U$37-ABS(tsk_FinishN-U$37))/2-(tsk_StartN+U$36+ABS(tsk_StartN-U$36))/2+1)+ABS((tsk_FinishN+U$37-ABS(tsk_FinishN-U$37))/2-(tsk_StartN+U$36+ABS(tsk_StartN-U$36))/2+1))/2)))</f>
        <v/>
      </c>
      <c r="V57" s="77" t="str">
        <f aca="false">IF(OR($B57="",V$35=""),"",SUMPRODUCT((tsk_Resource=$B57)*tsk_WorkPerDay*((((tsk_FinishN+V$37-ABS(tsk_FinishN-V$37))/2-(tsk_StartN+V$36+ABS(tsk_StartN-V$36))/2+1)+ABS((tsk_FinishN+V$37-ABS(tsk_FinishN-V$37))/2-(tsk_StartN+V$36+ABS(tsk_StartN-V$36))/2+1))/2)))</f>
        <v/>
      </c>
      <c r="W57" s="77" t="str">
        <f aca="false">IF(OR($B57="",W$35=""),"",SUMPRODUCT((tsk_Resource=$B57)*tsk_WorkPerDay*((((tsk_FinishN+W$37-ABS(tsk_FinishN-W$37))/2-(tsk_StartN+W$36+ABS(tsk_StartN-W$36))/2+1)+ABS((tsk_FinishN+W$37-ABS(tsk_FinishN-W$37))/2-(tsk_StartN+W$36+ABS(tsk_StartN-W$36))/2+1))/2)))</f>
        <v/>
      </c>
      <c r="X57" s="77" t="str">
        <f aca="false">IF(OR($B57="",X$35=""),"",SUMPRODUCT((tsk_Resource=$B57)*tsk_WorkPerDay*((((tsk_FinishN+X$37-ABS(tsk_FinishN-X$37))/2-(tsk_StartN+X$36+ABS(tsk_StartN-X$36))/2+1)+ABS((tsk_FinishN+X$37-ABS(tsk_FinishN-X$37))/2-(tsk_StartN+X$36+ABS(tsk_StartN-X$36))/2+1))/2)))</f>
        <v/>
      </c>
      <c r="Y57" s="77" t="str">
        <f aca="false">IF(OR($B57="",Y$35=""),"",SUMPRODUCT((tsk_Resource=$B57)*tsk_WorkPerDay*((((tsk_FinishN+Y$37-ABS(tsk_FinishN-Y$37))/2-(tsk_StartN+Y$36+ABS(tsk_StartN-Y$36))/2+1)+ABS((tsk_FinishN+Y$37-ABS(tsk_FinishN-Y$37))/2-(tsk_StartN+Y$36+ABS(tsk_StartN-Y$36))/2+1))/2)))</f>
        <v/>
      </c>
      <c r="Z57" s="77" t="str">
        <f aca="false">IF(OR($B57="",Z$35=""),"",SUMPRODUCT((tsk_Resource=$B57)*tsk_WorkPerDay*((((tsk_FinishN+Z$37-ABS(tsk_FinishN-Z$37))/2-(tsk_StartN+Z$36+ABS(tsk_StartN-Z$36))/2+1)+ABS((tsk_FinishN+Z$37-ABS(tsk_FinishN-Z$37))/2-(tsk_StartN+Z$36+ABS(tsk_StartN-Z$36))/2+1))/2)))</f>
        <v/>
      </c>
      <c r="AA57" s="77" t="str">
        <f aca="false">IF(OR($B57="",AA$35=""),"",SUMPRODUCT((tsk_Resource=$B57)*tsk_WorkPerDay*((((tsk_FinishN+AA$37-ABS(tsk_FinishN-AA$37))/2-(tsk_StartN+AA$36+ABS(tsk_StartN-AA$36))/2+1)+ABS((tsk_FinishN+AA$37-ABS(tsk_FinishN-AA$37))/2-(tsk_StartN+AA$36+ABS(tsk_StartN-AA$36))/2+1))/2)))</f>
        <v/>
      </c>
      <c r="AB57" s="77" t="str">
        <f aca="false">IF(OR($B57="",AB$35=""),"",SUMPRODUCT((tsk_Resource=$B57)*tsk_WorkPerDay*((((tsk_FinishN+AB$37-ABS(tsk_FinishN-AB$37))/2-(tsk_StartN+AB$36+ABS(tsk_StartN-AB$36))/2+1)+ABS((tsk_FinishN+AB$37-ABS(tsk_FinishN-AB$37))/2-(tsk_StartN+AB$36+ABS(tsk_StartN-AB$36))/2+1))/2)))</f>
        <v/>
      </c>
      <c r="AC57" s="77" t="str">
        <f aca="false">IF(OR($B57="",AC$35=""),"",SUMPRODUCT((tsk_Resource=$B57)*tsk_WorkPerDay*((((tsk_FinishN+AC$37-ABS(tsk_FinishN-AC$37))/2-(tsk_StartN+AC$36+ABS(tsk_StartN-AC$36))/2+1)+ABS((tsk_FinishN+AC$37-ABS(tsk_FinishN-AC$37))/2-(tsk_StartN+AC$36+ABS(tsk_StartN-AC$36))/2+1))/2)))</f>
        <v/>
      </c>
    </row>
    <row r="58" customFormat="false" ht="15" hidden="false" customHeight="false" outlineLevel="0" collapsed="false">
      <c r="B58" s="75" t="str">
        <f aca="false">IF(INDEX(res_Name,21)="","",INDEX(res_Name,21))</f>
        <v/>
      </c>
      <c r="C58" s="76" t="str">
        <f aca="false">IF($B58="","",INDEX(res_MaxUnits,21))</f>
        <v/>
      </c>
      <c r="D58" s="77" t="str">
        <f aca="false">IF(OR($B58="",D$35=""),"",SUMPRODUCT((tsk_Resource=$B58)*tsk_WorkPerDay*((((tsk_FinishN+D$37-ABS(tsk_FinishN-D$37))/2-(tsk_StartN+D$36+ABS(tsk_StartN-D$36))/2+1)+ABS((tsk_FinishN+D$37-ABS(tsk_FinishN-D$37))/2-(tsk_StartN+D$36+ABS(tsk_StartN-D$36))/2+1))/2)))</f>
        <v/>
      </c>
      <c r="E58" s="77" t="str">
        <f aca="false">IF(OR($B58="",E$35=""),"",SUMPRODUCT((tsk_Resource=$B58)*tsk_WorkPerDay*((((tsk_FinishN+E$37-ABS(tsk_FinishN-E$37))/2-(tsk_StartN+E$36+ABS(tsk_StartN-E$36))/2+1)+ABS((tsk_FinishN+E$37-ABS(tsk_FinishN-E$37))/2-(tsk_StartN+E$36+ABS(tsk_StartN-E$36))/2+1))/2)))</f>
        <v/>
      </c>
      <c r="F58" s="77" t="str">
        <f aca="false">IF(OR($B58="",F$35=""),"",SUMPRODUCT((tsk_Resource=$B58)*tsk_WorkPerDay*((((tsk_FinishN+F$37-ABS(tsk_FinishN-F$37))/2-(tsk_StartN+F$36+ABS(tsk_StartN-F$36))/2+1)+ABS((tsk_FinishN+F$37-ABS(tsk_FinishN-F$37))/2-(tsk_StartN+F$36+ABS(tsk_StartN-F$36))/2+1))/2)))</f>
        <v/>
      </c>
      <c r="G58" s="77" t="str">
        <f aca="false">IF(OR($B58="",G$35=""),"",SUMPRODUCT((tsk_Resource=$B58)*tsk_WorkPerDay*((((tsk_FinishN+G$37-ABS(tsk_FinishN-G$37))/2-(tsk_StartN+G$36+ABS(tsk_StartN-G$36))/2+1)+ABS((tsk_FinishN+G$37-ABS(tsk_FinishN-G$37))/2-(tsk_StartN+G$36+ABS(tsk_StartN-G$36))/2+1))/2)))</f>
        <v/>
      </c>
      <c r="H58" s="77" t="str">
        <f aca="false">IF(OR($B58="",H$35=""),"",SUMPRODUCT((tsk_Resource=$B58)*tsk_WorkPerDay*((((tsk_FinishN+H$37-ABS(tsk_FinishN-H$37))/2-(tsk_StartN+H$36+ABS(tsk_StartN-H$36))/2+1)+ABS((tsk_FinishN+H$37-ABS(tsk_FinishN-H$37))/2-(tsk_StartN+H$36+ABS(tsk_StartN-H$36))/2+1))/2)))</f>
        <v/>
      </c>
      <c r="I58" s="77" t="str">
        <f aca="false">IF(OR($B58="",I$35=""),"",SUMPRODUCT((tsk_Resource=$B58)*tsk_WorkPerDay*((((tsk_FinishN+I$37-ABS(tsk_FinishN-I$37))/2-(tsk_StartN+I$36+ABS(tsk_StartN-I$36))/2+1)+ABS((tsk_FinishN+I$37-ABS(tsk_FinishN-I$37))/2-(tsk_StartN+I$36+ABS(tsk_StartN-I$36))/2+1))/2)))</f>
        <v/>
      </c>
      <c r="J58" s="77" t="str">
        <f aca="false">IF(OR($B58="",J$35=""),"",SUMPRODUCT((tsk_Resource=$B58)*tsk_WorkPerDay*((((tsk_FinishN+J$37-ABS(tsk_FinishN-J$37))/2-(tsk_StartN+J$36+ABS(tsk_StartN-J$36))/2+1)+ABS((tsk_FinishN+J$37-ABS(tsk_FinishN-J$37))/2-(tsk_StartN+J$36+ABS(tsk_StartN-J$36))/2+1))/2)))</f>
        <v/>
      </c>
      <c r="K58" s="77" t="str">
        <f aca="false">IF(OR($B58="",K$35=""),"",SUMPRODUCT((tsk_Resource=$B58)*tsk_WorkPerDay*((((tsk_FinishN+K$37-ABS(tsk_FinishN-K$37))/2-(tsk_StartN+K$36+ABS(tsk_StartN-K$36))/2+1)+ABS((tsk_FinishN+K$37-ABS(tsk_FinishN-K$37))/2-(tsk_StartN+K$36+ABS(tsk_StartN-K$36))/2+1))/2)))</f>
        <v/>
      </c>
      <c r="L58" s="77" t="str">
        <f aca="false">IF(OR($B58="",L$35=""),"",SUMPRODUCT((tsk_Resource=$B58)*tsk_WorkPerDay*((((tsk_FinishN+L$37-ABS(tsk_FinishN-L$37))/2-(tsk_StartN+L$36+ABS(tsk_StartN-L$36))/2+1)+ABS((tsk_FinishN+L$37-ABS(tsk_FinishN-L$37))/2-(tsk_StartN+L$36+ABS(tsk_StartN-L$36))/2+1))/2)))</f>
        <v/>
      </c>
      <c r="M58" s="77" t="str">
        <f aca="false">IF(OR($B58="",M$35=""),"",SUMPRODUCT((tsk_Resource=$B58)*tsk_WorkPerDay*((((tsk_FinishN+M$37-ABS(tsk_FinishN-M$37))/2-(tsk_StartN+M$36+ABS(tsk_StartN-M$36))/2+1)+ABS((tsk_FinishN+M$37-ABS(tsk_FinishN-M$37))/2-(tsk_StartN+M$36+ABS(tsk_StartN-M$36))/2+1))/2)))</f>
        <v/>
      </c>
      <c r="N58" s="77" t="str">
        <f aca="false">IF(OR($B58="",N$35=""),"",SUMPRODUCT((tsk_Resource=$B58)*tsk_WorkPerDay*((((tsk_FinishN+N$37-ABS(tsk_FinishN-N$37))/2-(tsk_StartN+N$36+ABS(tsk_StartN-N$36))/2+1)+ABS((tsk_FinishN+N$37-ABS(tsk_FinishN-N$37))/2-(tsk_StartN+N$36+ABS(tsk_StartN-N$36))/2+1))/2)))</f>
        <v/>
      </c>
      <c r="O58" s="77" t="str">
        <f aca="false">IF(OR($B58="",O$35=""),"",SUMPRODUCT((tsk_Resource=$B58)*tsk_WorkPerDay*((((tsk_FinishN+O$37-ABS(tsk_FinishN-O$37))/2-(tsk_StartN+O$36+ABS(tsk_StartN-O$36))/2+1)+ABS((tsk_FinishN+O$37-ABS(tsk_FinishN-O$37))/2-(tsk_StartN+O$36+ABS(tsk_StartN-O$36))/2+1))/2)))</f>
        <v/>
      </c>
      <c r="P58" s="77" t="str">
        <f aca="false">IF(OR($B58="",P$35=""),"",SUMPRODUCT((tsk_Resource=$B58)*tsk_WorkPerDay*((((tsk_FinishN+P$37-ABS(tsk_FinishN-P$37))/2-(tsk_StartN+P$36+ABS(tsk_StartN-P$36))/2+1)+ABS((tsk_FinishN+P$37-ABS(tsk_FinishN-P$37))/2-(tsk_StartN+P$36+ABS(tsk_StartN-P$36))/2+1))/2)))</f>
        <v/>
      </c>
      <c r="Q58" s="77" t="str">
        <f aca="false">IF(OR($B58="",Q$35=""),"",SUMPRODUCT((tsk_Resource=$B58)*tsk_WorkPerDay*((((tsk_FinishN+Q$37-ABS(tsk_FinishN-Q$37))/2-(tsk_StartN+Q$36+ABS(tsk_StartN-Q$36))/2+1)+ABS((tsk_FinishN+Q$37-ABS(tsk_FinishN-Q$37))/2-(tsk_StartN+Q$36+ABS(tsk_StartN-Q$36))/2+1))/2)))</f>
        <v/>
      </c>
      <c r="R58" s="77" t="str">
        <f aca="false">IF(OR($B58="",R$35=""),"",SUMPRODUCT((tsk_Resource=$B58)*tsk_WorkPerDay*((((tsk_FinishN+R$37-ABS(tsk_FinishN-R$37))/2-(tsk_StartN+R$36+ABS(tsk_StartN-R$36))/2+1)+ABS((tsk_FinishN+R$37-ABS(tsk_FinishN-R$37))/2-(tsk_StartN+R$36+ABS(tsk_StartN-R$36))/2+1))/2)))</f>
        <v/>
      </c>
      <c r="S58" s="77" t="str">
        <f aca="false">IF(OR($B58="",S$35=""),"",SUMPRODUCT((tsk_Resource=$B58)*tsk_WorkPerDay*((((tsk_FinishN+S$37-ABS(tsk_FinishN-S$37))/2-(tsk_StartN+S$36+ABS(tsk_StartN-S$36))/2+1)+ABS((tsk_FinishN+S$37-ABS(tsk_FinishN-S$37))/2-(tsk_StartN+S$36+ABS(tsk_StartN-S$36))/2+1))/2)))</f>
        <v/>
      </c>
      <c r="T58" s="77" t="str">
        <f aca="false">IF(OR($B58="",T$35=""),"",SUMPRODUCT((tsk_Resource=$B58)*tsk_WorkPerDay*((((tsk_FinishN+T$37-ABS(tsk_FinishN-T$37))/2-(tsk_StartN+T$36+ABS(tsk_StartN-T$36))/2+1)+ABS((tsk_FinishN+T$37-ABS(tsk_FinishN-T$37))/2-(tsk_StartN+T$36+ABS(tsk_StartN-T$36))/2+1))/2)))</f>
        <v/>
      </c>
      <c r="U58" s="77" t="str">
        <f aca="false">IF(OR($B58="",U$35=""),"",SUMPRODUCT((tsk_Resource=$B58)*tsk_WorkPerDay*((((tsk_FinishN+U$37-ABS(tsk_FinishN-U$37))/2-(tsk_StartN+U$36+ABS(tsk_StartN-U$36))/2+1)+ABS((tsk_FinishN+U$37-ABS(tsk_FinishN-U$37))/2-(tsk_StartN+U$36+ABS(tsk_StartN-U$36))/2+1))/2)))</f>
        <v/>
      </c>
      <c r="V58" s="77" t="str">
        <f aca="false">IF(OR($B58="",V$35=""),"",SUMPRODUCT((tsk_Resource=$B58)*tsk_WorkPerDay*((((tsk_FinishN+V$37-ABS(tsk_FinishN-V$37))/2-(tsk_StartN+V$36+ABS(tsk_StartN-V$36))/2+1)+ABS((tsk_FinishN+V$37-ABS(tsk_FinishN-V$37))/2-(tsk_StartN+V$36+ABS(tsk_StartN-V$36))/2+1))/2)))</f>
        <v/>
      </c>
      <c r="W58" s="77" t="str">
        <f aca="false">IF(OR($B58="",W$35=""),"",SUMPRODUCT((tsk_Resource=$B58)*tsk_WorkPerDay*((((tsk_FinishN+W$37-ABS(tsk_FinishN-W$37))/2-(tsk_StartN+W$36+ABS(tsk_StartN-W$36))/2+1)+ABS((tsk_FinishN+W$37-ABS(tsk_FinishN-W$37))/2-(tsk_StartN+W$36+ABS(tsk_StartN-W$36))/2+1))/2)))</f>
        <v/>
      </c>
      <c r="X58" s="77" t="str">
        <f aca="false">IF(OR($B58="",X$35=""),"",SUMPRODUCT((tsk_Resource=$B58)*tsk_WorkPerDay*((((tsk_FinishN+X$37-ABS(tsk_FinishN-X$37))/2-(tsk_StartN+X$36+ABS(tsk_StartN-X$36))/2+1)+ABS((tsk_FinishN+X$37-ABS(tsk_FinishN-X$37))/2-(tsk_StartN+X$36+ABS(tsk_StartN-X$36))/2+1))/2)))</f>
        <v/>
      </c>
      <c r="Y58" s="77" t="str">
        <f aca="false">IF(OR($B58="",Y$35=""),"",SUMPRODUCT((tsk_Resource=$B58)*tsk_WorkPerDay*((((tsk_FinishN+Y$37-ABS(tsk_FinishN-Y$37))/2-(tsk_StartN+Y$36+ABS(tsk_StartN-Y$36))/2+1)+ABS((tsk_FinishN+Y$37-ABS(tsk_FinishN-Y$37))/2-(tsk_StartN+Y$36+ABS(tsk_StartN-Y$36))/2+1))/2)))</f>
        <v/>
      </c>
      <c r="Z58" s="77" t="str">
        <f aca="false">IF(OR($B58="",Z$35=""),"",SUMPRODUCT((tsk_Resource=$B58)*tsk_WorkPerDay*((((tsk_FinishN+Z$37-ABS(tsk_FinishN-Z$37))/2-(tsk_StartN+Z$36+ABS(tsk_StartN-Z$36))/2+1)+ABS((tsk_FinishN+Z$37-ABS(tsk_FinishN-Z$37))/2-(tsk_StartN+Z$36+ABS(tsk_StartN-Z$36))/2+1))/2)))</f>
        <v/>
      </c>
      <c r="AA58" s="77" t="str">
        <f aca="false">IF(OR($B58="",AA$35=""),"",SUMPRODUCT((tsk_Resource=$B58)*tsk_WorkPerDay*((((tsk_FinishN+AA$37-ABS(tsk_FinishN-AA$37))/2-(tsk_StartN+AA$36+ABS(tsk_StartN-AA$36))/2+1)+ABS((tsk_FinishN+AA$37-ABS(tsk_FinishN-AA$37))/2-(tsk_StartN+AA$36+ABS(tsk_StartN-AA$36))/2+1))/2)))</f>
        <v/>
      </c>
      <c r="AB58" s="77" t="str">
        <f aca="false">IF(OR($B58="",AB$35=""),"",SUMPRODUCT((tsk_Resource=$B58)*tsk_WorkPerDay*((((tsk_FinishN+AB$37-ABS(tsk_FinishN-AB$37))/2-(tsk_StartN+AB$36+ABS(tsk_StartN-AB$36))/2+1)+ABS((tsk_FinishN+AB$37-ABS(tsk_FinishN-AB$37))/2-(tsk_StartN+AB$36+ABS(tsk_StartN-AB$36))/2+1))/2)))</f>
        <v/>
      </c>
      <c r="AC58" s="77" t="str">
        <f aca="false">IF(OR($B58="",AC$35=""),"",SUMPRODUCT((tsk_Resource=$B58)*tsk_WorkPerDay*((((tsk_FinishN+AC$37-ABS(tsk_FinishN-AC$37))/2-(tsk_StartN+AC$36+ABS(tsk_StartN-AC$36))/2+1)+ABS((tsk_FinishN+AC$37-ABS(tsk_FinishN-AC$37))/2-(tsk_StartN+AC$36+ABS(tsk_StartN-AC$36))/2+1))/2)))</f>
        <v/>
      </c>
    </row>
    <row r="59" customFormat="false" ht="15" hidden="false" customHeight="false" outlineLevel="0" collapsed="false">
      <c r="B59" s="75" t="str">
        <f aca="false">IF(INDEX(res_Name,22)="","",INDEX(res_Name,22))</f>
        <v/>
      </c>
      <c r="C59" s="76" t="str">
        <f aca="false">IF($B59="","",INDEX(res_MaxUnits,22))</f>
        <v/>
      </c>
      <c r="D59" s="77" t="str">
        <f aca="false">IF(OR($B59="",D$35=""),"",SUMPRODUCT((tsk_Resource=$B59)*tsk_WorkPerDay*((((tsk_FinishN+D$37-ABS(tsk_FinishN-D$37))/2-(tsk_StartN+D$36+ABS(tsk_StartN-D$36))/2+1)+ABS((tsk_FinishN+D$37-ABS(tsk_FinishN-D$37))/2-(tsk_StartN+D$36+ABS(tsk_StartN-D$36))/2+1))/2)))</f>
        <v/>
      </c>
      <c r="E59" s="77" t="str">
        <f aca="false">IF(OR($B59="",E$35=""),"",SUMPRODUCT((tsk_Resource=$B59)*tsk_WorkPerDay*((((tsk_FinishN+E$37-ABS(tsk_FinishN-E$37))/2-(tsk_StartN+E$36+ABS(tsk_StartN-E$36))/2+1)+ABS((tsk_FinishN+E$37-ABS(tsk_FinishN-E$37))/2-(tsk_StartN+E$36+ABS(tsk_StartN-E$36))/2+1))/2)))</f>
        <v/>
      </c>
      <c r="F59" s="77" t="str">
        <f aca="false">IF(OR($B59="",F$35=""),"",SUMPRODUCT((tsk_Resource=$B59)*tsk_WorkPerDay*((((tsk_FinishN+F$37-ABS(tsk_FinishN-F$37))/2-(tsk_StartN+F$36+ABS(tsk_StartN-F$36))/2+1)+ABS((tsk_FinishN+F$37-ABS(tsk_FinishN-F$37))/2-(tsk_StartN+F$36+ABS(tsk_StartN-F$36))/2+1))/2)))</f>
        <v/>
      </c>
      <c r="G59" s="77" t="str">
        <f aca="false">IF(OR($B59="",G$35=""),"",SUMPRODUCT((tsk_Resource=$B59)*tsk_WorkPerDay*((((tsk_FinishN+G$37-ABS(tsk_FinishN-G$37))/2-(tsk_StartN+G$36+ABS(tsk_StartN-G$36))/2+1)+ABS((tsk_FinishN+G$37-ABS(tsk_FinishN-G$37))/2-(tsk_StartN+G$36+ABS(tsk_StartN-G$36))/2+1))/2)))</f>
        <v/>
      </c>
      <c r="H59" s="77" t="str">
        <f aca="false">IF(OR($B59="",H$35=""),"",SUMPRODUCT((tsk_Resource=$B59)*tsk_WorkPerDay*((((tsk_FinishN+H$37-ABS(tsk_FinishN-H$37))/2-(tsk_StartN+H$36+ABS(tsk_StartN-H$36))/2+1)+ABS((tsk_FinishN+H$37-ABS(tsk_FinishN-H$37))/2-(tsk_StartN+H$36+ABS(tsk_StartN-H$36))/2+1))/2)))</f>
        <v/>
      </c>
      <c r="I59" s="77" t="str">
        <f aca="false">IF(OR($B59="",I$35=""),"",SUMPRODUCT((tsk_Resource=$B59)*tsk_WorkPerDay*((((tsk_FinishN+I$37-ABS(tsk_FinishN-I$37))/2-(tsk_StartN+I$36+ABS(tsk_StartN-I$36))/2+1)+ABS((tsk_FinishN+I$37-ABS(tsk_FinishN-I$37))/2-(tsk_StartN+I$36+ABS(tsk_StartN-I$36))/2+1))/2)))</f>
        <v/>
      </c>
      <c r="J59" s="77" t="str">
        <f aca="false">IF(OR($B59="",J$35=""),"",SUMPRODUCT((tsk_Resource=$B59)*tsk_WorkPerDay*((((tsk_FinishN+J$37-ABS(tsk_FinishN-J$37))/2-(tsk_StartN+J$36+ABS(tsk_StartN-J$36))/2+1)+ABS((tsk_FinishN+J$37-ABS(tsk_FinishN-J$37))/2-(tsk_StartN+J$36+ABS(tsk_StartN-J$36))/2+1))/2)))</f>
        <v/>
      </c>
      <c r="K59" s="77" t="str">
        <f aca="false">IF(OR($B59="",K$35=""),"",SUMPRODUCT((tsk_Resource=$B59)*tsk_WorkPerDay*((((tsk_FinishN+K$37-ABS(tsk_FinishN-K$37))/2-(tsk_StartN+K$36+ABS(tsk_StartN-K$36))/2+1)+ABS((tsk_FinishN+K$37-ABS(tsk_FinishN-K$37))/2-(tsk_StartN+K$36+ABS(tsk_StartN-K$36))/2+1))/2)))</f>
        <v/>
      </c>
      <c r="L59" s="77" t="str">
        <f aca="false">IF(OR($B59="",L$35=""),"",SUMPRODUCT((tsk_Resource=$B59)*tsk_WorkPerDay*((((tsk_FinishN+L$37-ABS(tsk_FinishN-L$37))/2-(tsk_StartN+L$36+ABS(tsk_StartN-L$36))/2+1)+ABS((tsk_FinishN+L$37-ABS(tsk_FinishN-L$37))/2-(tsk_StartN+L$36+ABS(tsk_StartN-L$36))/2+1))/2)))</f>
        <v/>
      </c>
      <c r="M59" s="77" t="str">
        <f aca="false">IF(OR($B59="",M$35=""),"",SUMPRODUCT((tsk_Resource=$B59)*tsk_WorkPerDay*((((tsk_FinishN+M$37-ABS(tsk_FinishN-M$37))/2-(tsk_StartN+M$36+ABS(tsk_StartN-M$36))/2+1)+ABS((tsk_FinishN+M$37-ABS(tsk_FinishN-M$37))/2-(tsk_StartN+M$36+ABS(tsk_StartN-M$36))/2+1))/2)))</f>
        <v/>
      </c>
      <c r="N59" s="77" t="str">
        <f aca="false">IF(OR($B59="",N$35=""),"",SUMPRODUCT((tsk_Resource=$B59)*tsk_WorkPerDay*((((tsk_FinishN+N$37-ABS(tsk_FinishN-N$37))/2-(tsk_StartN+N$36+ABS(tsk_StartN-N$36))/2+1)+ABS((tsk_FinishN+N$37-ABS(tsk_FinishN-N$37))/2-(tsk_StartN+N$36+ABS(tsk_StartN-N$36))/2+1))/2)))</f>
        <v/>
      </c>
      <c r="O59" s="77" t="str">
        <f aca="false">IF(OR($B59="",O$35=""),"",SUMPRODUCT((tsk_Resource=$B59)*tsk_WorkPerDay*((((tsk_FinishN+O$37-ABS(tsk_FinishN-O$37))/2-(tsk_StartN+O$36+ABS(tsk_StartN-O$36))/2+1)+ABS((tsk_FinishN+O$37-ABS(tsk_FinishN-O$37))/2-(tsk_StartN+O$36+ABS(tsk_StartN-O$36))/2+1))/2)))</f>
        <v/>
      </c>
      <c r="P59" s="77" t="str">
        <f aca="false">IF(OR($B59="",P$35=""),"",SUMPRODUCT((tsk_Resource=$B59)*tsk_WorkPerDay*((((tsk_FinishN+P$37-ABS(tsk_FinishN-P$37))/2-(tsk_StartN+P$36+ABS(tsk_StartN-P$36))/2+1)+ABS((tsk_FinishN+P$37-ABS(tsk_FinishN-P$37))/2-(tsk_StartN+P$36+ABS(tsk_StartN-P$36))/2+1))/2)))</f>
        <v/>
      </c>
      <c r="Q59" s="77" t="str">
        <f aca="false">IF(OR($B59="",Q$35=""),"",SUMPRODUCT((tsk_Resource=$B59)*tsk_WorkPerDay*((((tsk_FinishN+Q$37-ABS(tsk_FinishN-Q$37))/2-(tsk_StartN+Q$36+ABS(tsk_StartN-Q$36))/2+1)+ABS((tsk_FinishN+Q$37-ABS(tsk_FinishN-Q$37))/2-(tsk_StartN+Q$36+ABS(tsk_StartN-Q$36))/2+1))/2)))</f>
        <v/>
      </c>
      <c r="R59" s="77" t="str">
        <f aca="false">IF(OR($B59="",R$35=""),"",SUMPRODUCT((tsk_Resource=$B59)*tsk_WorkPerDay*((((tsk_FinishN+R$37-ABS(tsk_FinishN-R$37))/2-(tsk_StartN+R$36+ABS(tsk_StartN-R$36))/2+1)+ABS((tsk_FinishN+R$37-ABS(tsk_FinishN-R$37))/2-(tsk_StartN+R$36+ABS(tsk_StartN-R$36))/2+1))/2)))</f>
        <v/>
      </c>
      <c r="S59" s="77" t="str">
        <f aca="false">IF(OR($B59="",S$35=""),"",SUMPRODUCT((tsk_Resource=$B59)*tsk_WorkPerDay*((((tsk_FinishN+S$37-ABS(tsk_FinishN-S$37))/2-(tsk_StartN+S$36+ABS(tsk_StartN-S$36))/2+1)+ABS((tsk_FinishN+S$37-ABS(tsk_FinishN-S$37))/2-(tsk_StartN+S$36+ABS(tsk_StartN-S$36))/2+1))/2)))</f>
        <v/>
      </c>
      <c r="T59" s="77" t="str">
        <f aca="false">IF(OR($B59="",T$35=""),"",SUMPRODUCT((tsk_Resource=$B59)*tsk_WorkPerDay*((((tsk_FinishN+T$37-ABS(tsk_FinishN-T$37))/2-(tsk_StartN+T$36+ABS(tsk_StartN-T$36))/2+1)+ABS((tsk_FinishN+T$37-ABS(tsk_FinishN-T$37))/2-(tsk_StartN+T$36+ABS(tsk_StartN-T$36))/2+1))/2)))</f>
        <v/>
      </c>
      <c r="U59" s="77" t="str">
        <f aca="false">IF(OR($B59="",U$35=""),"",SUMPRODUCT((tsk_Resource=$B59)*tsk_WorkPerDay*((((tsk_FinishN+U$37-ABS(tsk_FinishN-U$37))/2-(tsk_StartN+U$36+ABS(tsk_StartN-U$36))/2+1)+ABS((tsk_FinishN+U$37-ABS(tsk_FinishN-U$37))/2-(tsk_StartN+U$36+ABS(tsk_StartN-U$36))/2+1))/2)))</f>
        <v/>
      </c>
      <c r="V59" s="77" t="str">
        <f aca="false">IF(OR($B59="",V$35=""),"",SUMPRODUCT((tsk_Resource=$B59)*tsk_WorkPerDay*((((tsk_FinishN+V$37-ABS(tsk_FinishN-V$37))/2-(tsk_StartN+V$36+ABS(tsk_StartN-V$36))/2+1)+ABS((tsk_FinishN+V$37-ABS(tsk_FinishN-V$37))/2-(tsk_StartN+V$36+ABS(tsk_StartN-V$36))/2+1))/2)))</f>
        <v/>
      </c>
      <c r="W59" s="77" t="str">
        <f aca="false">IF(OR($B59="",W$35=""),"",SUMPRODUCT((tsk_Resource=$B59)*tsk_WorkPerDay*((((tsk_FinishN+W$37-ABS(tsk_FinishN-W$37))/2-(tsk_StartN+W$36+ABS(tsk_StartN-W$36))/2+1)+ABS((tsk_FinishN+W$37-ABS(tsk_FinishN-W$37))/2-(tsk_StartN+W$36+ABS(tsk_StartN-W$36))/2+1))/2)))</f>
        <v/>
      </c>
      <c r="X59" s="77" t="str">
        <f aca="false">IF(OR($B59="",X$35=""),"",SUMPRODUCT((tsk_Resource=$B59)*tsk_WorkPerDay*((((tsk_FinishN+X$37-ABS(tsk_FinishN-X$37))/2-(tsk_StartN+X$36+ABS(tsk_StartN-X$36))/2+1)+ABS((tsk_FinishN+X$37-ABS(tsk_FinishN-X$37))/2-(tsk_StartN+X$36+ABS(tsk_StartN-X$36))/2+1))/2)))</f>
        <v/>
      </c>
      <c r="Y59" s="77" t="str">
        <f aca="false">IF(OR($B59="",Y$35=""),"",SUMPRODUCT((tsk_Resource=$B59)*tsk_WorkPerDay*((((tsk_FinishN+Y$37-ABS(tsk_FinishN-Y$37))/2-(tsk_StartN+Y$36+ABS(tsk_StartN-Y$36))/2+1)+ABS((tsk_FinishN+Y$37-ABS(tsk_FinishN-Y$37))/2-(tsk_StartN+Y$36+ABS(tsk_StartN-Y$36))/2+1))/2)))</f>
        <v/>
      </c>
      <c r="Z59" s="77" t="str">
        <f aca="false">IF(OR($B59="",Z$35=""),"",SUMPRODUCT((tsk_Resource=$B59)*tsk_WorkPerDay*((((tsk_FinishN+Z$37-ABS(tsk_FinishN-Z$37))/2-(tsk_StartN+Z$36+ABS(tsk_StartN-Z$36))/2+1)+ABS((tsk_FinishN+Z$37-ABS(tsk_FinishN-Z$37))/2-(tsk_StartN+Z$36+ABS(tsk_StartN-Z$36))/2+1))/2)))</f>
        <v/>
      </c>
      <c r="AA59" s="77" t="str">
        <f aca="false">IF(OR($B59="",AA$35=""),"",SUMPRODUCT((tsk_Resource=$B59)*tsk_WorkPerDay*((((tsk_FinishN+AA$37-ABS(tsk_FinishN-AA$37))/2-(tsk_StartN+AA$36+ABS(tsk_StartN-AA$36))/2+1)+ABS((tsk_FinishN+AA$37-ABS(tsk_FinishN-AA$37))/2-(tsk_StartN+AA$36+ABS(tsk_StartN-AA$36))/2+1))/2)))</f>
        <v/>
      </c>
      <c r="AB59" s="77" t="str">
        <f aca="false">IF(OR($B59="",AB$35=""),"",SUMPRODUCT((tsk_Resource=$B59)*tsk_WorkPerDay*((((tsk_FinishN+AB$37-ABS(tsk_FinishN-AB$37))/2-(tsk_StartN+AB$36+ABS(tsk_StartN-AB$36))/2+1)+ABS((tsk_FinishN+AB$37-ABS(tsk_FinishN-AB$37))/2-(tsk_StartN+AB$36+ABS(tsk_StartN-AB$36))/2+1))/2)))</f>
        <v/>
      </c>
      <c r="AC59" s="77" t="str">
        <f aca="false">IF(OR($B59="",AC$35=""),"",SUMPRODUCT((tsk_Resource=$B59)*tsk_WorkPerDay*((((tsk_FinishN+AC$37-ABS(tsk_FinishN-AC$37))/2-(tsk_StartN+AC$36+ABS(tsk_StartN-AC$36))/2+1)+ABS((tsk_FinishN+AC$37-ABS(tsk_FinishN-AC$37))/2-(tsk_StartN+AC$36+ABS(tsk_StartN-AC$36))/2+1))/2)))</f>
        <v/>
      </c>
    </row>
    <row r="60" customFormat="false" ht="15" hidden="false" customHeight="false" outlineLevel="0" collapsed="false">
      <c r="B60" s="75" t="str">
        <f aca="false">IF(INDEX(res_Name,23)="","",INDEX(res_Name,23))</f>
        <v/>
      </c>
      <c r="C60" s="76" t="str">
        <f aca="false">IF($B60="","",INDEX(res_MaxUnits,23))</f>
        <v/>
      </c>
      <c r="D60" s="77" t="str">
        <f aca="false">IF(OR($B60="",D$35=""),"",SUMPRODUCT((tsk_Resource=$B60)*tsk_WorkPerDay*((((tsk_FinishN+D$37-ABS(tsk_FinishN-D$37))/2-(tsk_StartN+D$36+ABS(tsk_StartN-D$36))/2+1)+ABS((tsk_FinishN+D$37-ABS(tsk_FinishN-D$37))/2-(tsk_StartN+D$36+ABS(tsk_StartN-D$36))/2+1))/2)))</f>
        <v/>
      </c>
      <c r="E60" s="77" t="str">
        <f aca="false">IF(OR($B60="",E$35=""),"",SUMPRODUCT((tsk_Resource=$B60)*tsk_WorkPerDay*((((tsk_FinishN+E$37-ABS(tsk_FinishN-E$37))/2-(tsk_StartN+E$36+ABS(tsk_StartN-E$36))/2+1)+ABS((tsk_FinishN+E$37-ABS(tsk_FinishN-E$37))/2-(tsk_StartN+E$36+ABS(tsk_StartN-E$36))/2+1))/2)))</f>
        <v/>
      </c>
      <c r="F60" s="77" t="str">
        <f aca="false">IF(OR($B60="",F$35=""),"",SUMPRODUCT((tsk_Resource=$B60)*tsk_WorkPerDay*((((tsk_FinishN+F$37-ABS(tsk_FinishN-F$37))/2-(tsk_StartN+F$36+ABS(tsk_StartN-F$36))/2+1)+ABS((tsk_FinishN+F$37-ABS(tsk_FinishN-F$37))/2-(tsk_StartN+F$36+ABS(tsk_StartN-F$36))/2+1))/2)))</f>
        <v/>
      </c>
      <c r="G60" s="77" t="str">
        <f aca="false">IF(OR($B60="",G$35=""),"",SUMPRODUCT((tsk_Resource=$B60)*tsk_WorkPerDay*((((tsk_FinishN+G$37-ABS(tsk_FinishN-G$37))/2-(tsk_StartN+G$36+ABS(tsk_StartN-G$36))/2+1)+ABS((tsk_FinishN+G$37-ABS(tsk_FinishN-G$37))/2-(tsk_StartN+G$36+ABS(tsk_StartN-G$36))/2+1))/2)))</f>
        <v/>
      </c>
      <c r="H60" s="77" t="str">
        <f aca="false">IF(OR($B60="",H$35=""),"",SUMPRODUCT((tsk_Resource=$B60)*tsk_WorkPerDay*((((tsk_FinishN+H$37-ABS(tsk_FinishN-H$37))/2-(tsk_StartN+H$36+ABS(tsk_StartN-H$36))/2+1)+ABS((tsk_FinishN+H$37-ABS(tsk_FinishN-H$37))/2-(tsk_StartN+H$36+ABS(tsk_StartN-H$36))/2+1))/2)))</f>
        <v/>
      </c>
      <c r="I60" s="77" t="str">
        <f aca="false">IF(OR($B60="",I$35=""),"",SUMPRODUCT((tsk_Resource=$B60)*tsk_WorkPerDay*((((tsk_FinishN+I$37-ABS(tsk_FinishN-I$37))/2-(tsk_StartN+I$36+ABS(tsk_StartN-I$36))/2+1)+ABS((tsk_FinishN+I$37-ABS(tsk_FinishN-I$37))/2-(tsk_StartN+I$36+ABS(tsk_StartN-I$36))/2+1))/2)))</f>
        <v/>
      </c>
      <c r="J60" s="77" t="str">
        <f aca="false">IF(OR($B60="",J$35=""),"",SUMPRODUCT((tsk_Resource=$B60)*tsk_WorkPerDay*((((tsk_FinishN+J$37-ABS(tsk_FinishN-J$37))/2-(tsk_StartN+J$36+ABS(tsk_StartN-J$36))/2+1)+ABS((tsk_FinishN+J$37-ABS(tsk_FinishN-J$37))/2-(tsk_StartN+J$36+ABS(tsk_StartN-J$36))/2+1))/2)))</f>
        <v/>
      </c>
      <c r="K60" s="77" t="str">
        <f aca="false">IF(OR($B60="",K$35=""),"",SUMPRODUCT((tsk_Resource=$B60)*tsk_WorkPerDay*((((tsk_FinishN+K$37-ABS(tsk_FinishN-K$37))/2-(tsk_StartN+K$36+ABS(tsk_StartN-K$36))/2+1)+ABS((tsk_FinishN+K$37-ABS(tsk_FinishN-K$37))/2-(tsk_StartN+K$36+ABS(tsk_StartN-K$36))/2+1))/2)))</f>
        <v/>
      </c>
      <c r="L60" s="77" t="str">
        <f aca="false">IF(OR($B60="",L$35=""),"",SUMPRODUCT((tsk_Resource=$B60)*tsk_WorkPerDay*((((tsk_FinishN+L$37-ABS(tsk_FinishN-L$37))/2-(tsk_StartN+L$36+ABS(tsk_StartN-L$36))/2+1)+ABS((tsk_FinishN+L$37-ABS(tsk_FinishN-L$37))/2-(tsk_StartN+L$36+ABS(tsk_StartN-L$36))/2+1))/2)))</f>
        <v/>
      </c>
      <c r="M60" s="77" t="str">
        <f aca="false">IF(OR($B60="",M$35=""),"",SUMPRODUCT((tsk_Resource=$B60)*tsk_WorkPerDay*((((tsk_FinishN+M$37-ABS(tsk_FinishN-M$37))/2-(tsk_StartN+M$36+ABS(tsk_StartN-M$36))/2+1)+ABS((tsk_FinishN+M$37-ABS(tsk_FinishN-M$37))/2-(tsk_StartN+M$36+ABS(tsk_StartN-M$36))/2+1))/2)))</f>
        <v/>
      </c>
      <c r="N60" s="77" t="str">
        <f aca="false">IF(OR($B60="",N$35=""),"",SUMPRODUCT((tsk_Resource=$B60)*tsk_WorkPerDay*((((tsk_FinishN+N$37-ABS(tsk_FinishN-N$37))/2-(tsk_StartN+N$36+ABS(tsk_StartN-N$36))/2+1)+ABS((tsk_FinishN+N$37-ABS(tsk_FinishN-N$37))/2-(tsk_StartN+N$36+ABS(tsk_StartN-N$36))/2+1))/2)))</f>
        <v/>
      </c>
      <c r="O60" s="77" t="str">
        <f aca="false">IF(OR($B60="",O$35=""),"",SUMPRODUCT((tsk_Resource=$B60)*tsk_WorkPerDay*((((tsk_FinishN+O$37-ABS(tsk_FinishN-O$37))/2-(tsk_StartN+O$36+ABS(tsk_StartN-O$36))/2+1)+ABS((tsk_FinishN+O$37-ABS(tsk_FinishN-O$37))/2-(tsk_StartN+O$36+ABS(tsk_StartN-O$36))/2+1))/2)))</f>
        <v/>
      </c>
      <c r="P60" s="77" t="str">
        <f aca="false">IF(OR($B60="",P$35=""),"",SUMPRODUCT((tsk_Resource=$B60)*tsk_WorkPerDay*((((tsk_FinishN+P$37-ABS(tsk_FinishN-P$37))/2-(tsk_StartN+P$36+ABS(tsk_StartN-P$36))/2+1)+ABS((tsk_FinishN+P$37-ABS(tsk_FinishN-P$37))/2-(tsk_StartN+P$36+ABS(tsk_StartN-P$36))/2+1))/2)))</f>
        <v/>
      </c>
      <c r="Q60" s="77" t="str">
        <f aca="false">IF(OR($B60="",Q$35=""),"",SUMPRODUCT((tsk_Resource=$B60)*tsk_WorkPerDay*((((tsk_FinishN+Q$37-ABS(tsk_FinishN-Q$37))/2-(tsk_StartN+Q$36+ABS(tsk_StartN-Q$36))/2+1)+ABS((tsk_FinishN+Q$37-ABS(tsk_FinishN-Q$37))/2-(tsk_StartN+Q$36+ABS(tsk_StartN-Q$36))/2+1))/2)))</f>
        <v/>
      </c>
      <c r="R60" s="77" t="str">
        <f aca="false">IF(OR($B60="",R$35=""),"",SUMPRODUCT((tsk_Resource=$B60)*tsk_WorkPerDay*((((tsk_FinishN+R$37-ABS(tsk_FinishN-R$37))/2-(tsk_StartN+R$36+ABS(tsk_StartN-R$36))/2+1)+ABS((tsk_FinishN+R$37-ABS(tsk_FinishN-R$37))/2-(tsk_StartN+R$36+ABS(tsk_StartN-R$36))/2+1))/2)))</f>
        <v/>
      </c>
      <c r="S60" s="77" t="str">
        <f aca="false">IF(OR($B60="",S$35=""),"",SUMPRODUCT((tsk_Resource=$B60)*tsk_WorkPerDay*((((tsk_FinishN+S$37-ABS(tsk_FinishN-S$37))/2-(tsk_StartN+S$36+ABS(tsk_StartN-S$36))/2+1)+ABS((tsk_FinishN+S$37-ABS(tsk_FinishN-S$37))/2-(tsk_StartN+S$36+ABS(tsk_StartN-S$36))/2+1))/2)))</f>
        <v/>
      </c>
      <c r="T60" s="77" t="str">
        <f aca="false">IF(OR($B60="",T$35=""),"",SUMPRODUCT((tsk_Resource=$B60)*tsk_WorkPerDay*((((tsk_FinishN+T$37-ABS(tsk_FinishN-T$37))/2-(tsk_StartN+T$36+ABS(tsk_StartN-T$36))/2+1)+ABS((tsk_FinishN+T$37-ABS(tsk_FinishN-T$37))/2-(tsk_StartN+T$36+ABS(tsk_StartN-T$36))/2+1))/2)))</f>
        <v/>
      </c>
      <c r="U60" s="77" t="str">
        <f aca="false">IF(OR($B60="",U$35=""),"",SUMPRODUCT((tsk_Resource=$B60)*tsk_WorkPerDay*((((tsk_FinishN+U$37-ABS(tsk_FinishN-U$37))/2-(tsk_StartN+U$36+ABS(tsk_StartN-U$36))/2+1)+ABS((tsk_FinishN+U$37-ABS(tsk_FinishN-U$37))/2-(tsk_StartN+U$36+ABS(tsk_StartN-U$36))/2+1))/2)))</f>
        <v/>
      </c>
      <c r="V60" s="77" t="str">
        <f aca="false">IF(OR($B60="",V$35=""),"",SUMPRODUCT((tsk_Resource=$B60)*tsk_WorkPerDay*((((tsk_FinishN+V$37-ABS(tsk_FinishN-V$37))/2-(tsk_StartN+V$36+ABS(tsk_StartN-V$36))/2+1)+ABS((tsk_FinishN+V$37-ABS(tsk_FinishN-V$37))/2-(tsk_StartN+V$36+ABS(tsk_StartN-V$36))/2+1))/2)))</f>
        <v/>
      </c>
      <c r="W60" s="77" t="str">
        <f aca="false">IF(OR($B60="",W$35=""),"",SUMPRODUCT((tsk_Resource=$B60)*tsk_WorkPerDay*((((tsk_FinishN+W$37-ABS(tsk_FinishN-W$37))/2-(tsk_StartN+W$36+ABS(tsk_StartN-W$36))/2+1)+ABS((tsk_FinishN+W$37-ABS(tsk_FinishN-W$37))/2-(tsk_StartN+W$36+ABS(tsk_StartN-W$36))/2+1))/2)))</f>
        <v/>
      </c>
      <c r="X60" s="77" t="str">
        <f aca="false">IF(OR($B60="",X$35=""),"",SUMPRODUCT((tsk_Resource=$B60)*tsk_WorkPerDay*((((tsk_FinishN+X$37-ABS(tsk_FinishN-X$37))/2-(tsk_StartN+X$36+ABS(tsk_StartN-X$36))/2+1)+ABS((tsk_FinishN+X$37-ABS(tsk_FinishN-X$37))/2-(tsk_StartN+X$36+ABS(tsk_StartN-X$36))/2+1))/2)))</f>
        <v/>
      </c>
      <c r="Y60" s="77" t="str">
        <f aca="false">IF(OR($B60="",Y$35=""),"",SUMPRODUCT((tsk_Resource=$B60)*tsk_WorkPerDay*((((tsk_FinishN+Y$37-ABS(tsk_FinishN-Y$37))/2-(tsk_StartN+Y$36+ABS(tsk_StartN-Y$36))/2+1)+ABS((tsk_FinishN+Y$37-ABS(tsk_FinishN-Y$37))/2-(tsk_StartN+Y$36+ABS(tsk_StartN-Y$36))/2+1))/2)))</f>
        <v/>
      </c>
      <c r="Z60" s="77" t="str">
        <f aca="false">IF(OR($B60="",Z$35=""),"",SUMPRODUCT((tsk_Resource=$B60)*tsk_WorkPerDay*((((tsk_FinishN+Z$37-ABS(tsk_FinishN-Z$37))/2-(tsk_StartN+Z$36+ABS(tsk_StartN-Z$36))/2+1)+ABS((tsk_FinishN+Z$37-ABS(tsk_FinishN-Z$37))/2-(tsk_StartN+Z$36+ABS(tsk_StartN-Z$36))/2+1))/2)))</f>
        <v/>
      </c>
      <c r="AA60" s="77" t="str">
        <f aca="false">IF(OR($B60="",AA$35=""),"",SUMPRODUCT((tsk_Resource=$B60)*tsk_WorkPerDay*((((tsk_FinishN+AA$37-ABS(tsk_FinishN-AA$37))/2-(tsk_StartN+AA$36+ABS(tsk_StartN-AA$36))/2+1)+ABS((tsk_FinishN+AA$37-ABS(tsk_FinishN-AA$37))/2-(tsk_StartN+AA$36+ABS(tsk_StartN-AA$36))/2+1))/2)))</f>
        <v/>
      </c>
      <c r="AB60" s="77" t="str">
        <f aca="false">IF(OR($B60="",AB$35=""),"",SUMPRODUCT((tsk_Resource=$B60)*tsk_WorkPerDay*((((tsk_FinishN+AB$37-ABS(tsk_FinishN-AB$37))/2-(tsk_StartN+AB$36+ABS(tsk_StartN-AB$36))/2+1)+ABS((tsk_FinishN+AB$37-ABS(tsk_FinishN-AB$37))/2-(tsk_StartN+AB$36+ABS(tsk_StartN-AB$36))/2+1))/2)))</f>
        <v/>
      </c>
      <c r="AC60" s="77" t="str">
        <f aca="false">IF(OR($B60="",AC$35=""),"",SUMPRODUCT((tsk_Resource=$B60)*tsk_WorkPerDay*((((tsk_FinishN+AC$37-ABS(tsk_FinishN-AC$37))/2-(tsk_StartN+AC$36+ABS(tsk_StartN-AC$36))/2+1)+ABS((tsk_FinishN+AC$37-ABS(tsk_FinishN-AC$37))/2-(tsk_StartN+AC$36+ABS(tsk_StartN-AC$36))/2+1))/2)))</f>
        <v/>
      </c>
    </row>
    <row r="61" customFormat="false" ht="15" hidden="false" customHeight="false" outlineLevel="0" collapsed="false">
      <c r="B61" s="75" t="str">
        <f aca="false">IF(INDEX(res_Name,24)="","",INDEX(res_Name,24))</f>
        <v/>
      </c>
      <c r="C61" s="76" t="str">
        <f aca="false">IF($B61="","",INDEX(res_MaxUnits,24))</f>
        <v/>
      </c>
      <c r="D61" s="77" t="str">
        <f aca="false">IF(OR($B61="",D$35=""),"",SUMPRODUCT((tsk_Resource=$B61)*tsk_WorkPerDay*((((tsk_FinishN+D$37-ABS(tsk_FinishN-D$37))/2-(tsk_StartN+D$36+ABS(tsk_StartN-D$36))/2+1)+ABS((tsk_FinishN+D$37-ABS(tsk_FinishN-D$37))/2-(tsk_StartN+D$36+ABS(tsk_StartN-D$36))/2+1))/2)))</f>
        <v/>
      </c>
      <c r="E61" s="77" t="str">
        <f aca="false">IF(OR($B61="",E$35=""),"",SUMPRODUCT((tsk_Resource=$B61)*tsk_WorkPerDay*((((tsk_FinishN+E$37-ABS(tsk_FinishN-E$37))/2-(tsk_StartN+E$36+ABS(tsk_StartN-E$36))/2+1)+ABS((tsk_FinishN+E$37-ABS(tsk_FinishN-E$37))/2-(tsk_StartN+E$36+ABS(tsk_StartN-E$36))/2+1))/2)))</f>
        <v/>
      </c>
      <c r="F61" s="77" t="str">
        <f aca="false">IF(OR($B61="",F$35=""),"",SUMPRODUCT((tsk_Resource=$B61)*tsk_WorkPerDay*((((tsk_FinishN+F$37-ABS(tsk_FinishN-F$37))/2-(tsk_StartN+F$36+ABS(tsk_StartN-F$36))/2+1)+ABS((tsk_FinishN+F$37-ABS(tsk_FinishN-F$37))/2-(tsk_StartN+F$36+ABS(tsk_StartN-F$36))/2+1))/2)))</f>
        <v/>
      </c>
      <c r="G61" s="77" t="str">
        <f aca="false">IF(OR($B61="",G$35=""),"",SUMPRODUCT((tsk_Resource=$B61)*tsk_WorkPerDay*((((tsk_FinishN+G$37-ABS(tsk_FinishN-G$37))/2-(tsk_StartN+G$36+ABS(tsk_StartN-G$36))/2+1)+ABS((tsk_FinishN+G$37-ABS(tsk_FinishN-G$37))/2-(tsk_StartN+G$36+ABS(tsk_StartN-G$36))/2+1))/2)))</f>
        <v/>
      </c>
      <c r="H61" s="77" t="str">
        <f aca="false">IF(OR($B61="",H$35=""),"",SUMPRODUCT((tsk_Resource=$B61)*tsk_WorkPerDay*((((tsk_FinishN+H$37-ABS(tsk_FinishN-H$37))/2-(tsk_StartN+H$36+ABS(tsk_StartN-H$36))/2+1)+ABS((tsk_FinishN+H$37-ABS(tsk_FinishN-H$37))/2-(tsk_StartN+H$36+ABS(tsk_StartN-H$36))/2+1))/2)))</f>
        <v/>
      </c>
      <c r="I61" s="77" t="str">
        <f aca="false">IF(OR($B61="",I$35=""),"",SUMPRODUCT((tsk_Resource=$B61)*tsk_WorkPerDay*((((tsk_FinishN+I$37-ABS(tsk_FinishN-I$37))/2-(tsk_StartN+I$36+ABS(tsk_StartN-I$36))/2+1)+ABS((tsk_FinishN+I$37-ABS(tsk_FinishN-I$37))/2-(tsk_StartN+I$36+ABS(tsk_StartN-I$36))/2+1))/2)))</f>
        <v/>
      </c>
      <c r="J61" s="77" t="str">
        <f aca="false">IF(OR($B61="",J$35=""),"",SUMPRODUCT((tsk_Resource=$B61)*tsk_WorkPerDay*((((tsk_FinishN+J$37-ABS(tsk_FinishN-J$37))/2-(tsk_StartN+J$36+ABS(tsk_StartN-J$36))/2+1)+ABS((tsk_FinishN+J$37-ABS(tsk_FinishN-J$37))/2-(tsk_StartN+J$36+ABS(tsk_StartN-J$36))/2+1))/2)))</f>
        <v/>
      </c>
      <c r="K61" s="77" t="str">
        <f aca="false">IF(OR($B61="",K$35=""),"",SUMPRODUCT((tsk_Resource=$B61)*tsk_WorkPerDay*((((tsk_FinishN+K$37-ABS(tsk_FinishN-K$37))/2-(tsk_StartN+K$36+ABS(tsk_StartN-K$36))/2+1)+ABS((tsk_FinishN+K$37-ABS(tsk_FinishN-K$37))/2-(tsk_StartN+K$36+ABS(tsk_StartN-K$36))/2+1))/2)))</f>
        <v/>
      </c>
      <c r="L61" s="77" t="str">
        <f aca="false">IF(OR($B61="",L$35=""),"",SUMPRODUCT((tsk_Resource=$B61)*tsk_WorkPerDay*((((tsk_FinishN+L$37-ABS(tsk_FinishN-L$37))/2-(tsk_StartN+L$36+ABS(tsk_StartN-L$36))/2+1)+ABS((tsk_FinishN+L$37-ABS(tsk_FinishN-L$37))/2-(tsk_StartN+L$36+ABS(tsk_StartN-L$36))/2+1))/2)))</f>
        <v/>
      </c>
      <c r="M61" s="77" t="str">
        <f aca="false">IF(OR($B61="",M$35=""),"",SUMPRODUCT((tsk_Resource=$B61)*tsk_WorkPerDay*((((tsk_FinishN+M$37-ABS(tsk_FinishN-M$37))/2-(tsk_StartN+M$36+ABS(tsk_StartN-M$36))/2+1)+ABS((tsk_FinishN+M$37-ABS(tsk_FinishN-M$37))/2-(tsk_StartN+M$36+ABS(tsk_StartN-M$36))/2+1))/2)))</f>
        <v/>
      </c>
      <c r="N61" s="77" t="str">
        <f aca="false">IF(OR($B61="",N$35=""),"",SUMPRODUCT((tsk_Resource=$B61)*tsk_WorkPerDay*((((tsk_FinishN+N$37-ABS(tsk_FinishN-N$37))/2-(tsk_StartN+N$36+ABS(tsk_StartN-N$36))/2+1)+ABS((tsk_FinishN+N$37-ABS(tsk_FinishN-N$37))/2-(tsk_StartN+N$36+ABS(tsk_StartN-N$36))/2+1))/2)))</f>
        <v/>
      </c>
      <c r="O61" s="77" t="str">
        <f aca="false">IF(OR($B61="",O$35=""),"",SUMPRODUCT((tsk_Resource=$B61)*tsk_WorkPerDay*((((tsk_FinishN+O$37-ABS(tsk_FinishN-O$37))/2-(tsk_StartN+O$36+ABS(tsk_StartN-O$36))/2+1)+ABS((tsk_FinishN+O$37-ABS(tsk_FinishN-O$37))/2-(tsk_StartN+O$36+ABS(tsk_StartN-O$36))/2+1))/2)))</f>
        <v/>
      </c>
      <c r="P61" s="77" t="str">
        <f aca="false">IF(OR($B61="",P$35=""),"",SUMPRODUCT((tsk_Resource=$B61)*tsk_WorkPerDay*((((tsk_FinishN+P$37-ABS(tsk_FinishN-P$37))/2-(tsk_StartN+P$36+ABS(tsk_StartN-P$36))/2+1)+ABS((tsk_FinishN+P$37-ABS(tsk_FinishN-P$37))/2-(tsk_StartN+P$36+ABS(tsk_StartN-P$36))/2+1))/2)))</f>
        <v/>
      </c>
      <c r="Q61" s="77" t="str">
        <f aca="false">IF(OR($B61="",Q$35=""),"",SUMPRODUCT((tsk_Resource=$B61)*tsk_WorkPerDay*((((tsk_FinishN+Q$37-ABS(tsk_FinishN-Q$37))/2-(tsk_StartN+Q$36+ABS(tsk_StartN-Q$36))/2+1)+ABS((tsk_FinishN+Q$37-ABS(tsk_FinishN-Q$37))/2-(tsk_StartN+Q$36+ABS(tsk_StartN-Q$36))/2+1))/2)))</f>
        <v/>
      </c>
      <c r="R61" s="77" t="str">
        <f aca="false">IF(OR($B61="",R$35=""),"",SUMPRODUCT((tsk_Resource=$B61)*tsk_WorkPerDay*((((tsk_FinishN+R$37-ABS(tsk_FinishN-R$37))/2-(tsk_StartN+R$36+ABS(tsk_StartN-R$36))/2+1)+ABS((tsk_FinishN+R$37-ABS(tsk_FinishN-R$37))/2-(tsk_StartN+R$36+ABS(tsk_StartN-R$36))/2+1))/2)))</f>
        <v/>
      </c>
      <c r="S61" s="77" t="str">
        <f aca="false">IF(OR($B61="",S$35=""),"",SUMPRODUCT((tsk_Resource=$B61)*tsk_WorkPerDay*((((tsk_FinishN+S$37-ABS(tsk_FinishN-S$37))/2-(tsk_StartN+S$36+ABS(tsk_StartN-S$36))/2+1)+ABS((tsk_FinishN+S$37-ABS(tsk_FinishN-S$37))/2-(tsk_StartN+S$36+ABS(tsk_StartN-S$36))/2+1))/2)))</f>
        <v/>
      </c>
      <c r="T61" s="77" t="str">
        <f aca="false">IF(OR($B61="",T$35=""),"",SUMPRODUCT((tsk_Resource=$B61)*tsk_WorkPerDay*((((tsk_FinishN+T$37-ABS(tsk_FinishN-T$37))/2-(tsk_StartN+T$36+ABS(tsk_StartN-T$36))/2+1)+ABS((tsk_FinishN+T$37-ABS(tsk_FinishN-T$37))/2-(tsk_StartN+T$36+ABS(tsk_StartN-T$36))/2+1))/2)))</f>
        <v/>
      </c>
      <c r="U61" s="77" t="str">
        <f aca="false">IF(OR($B61="",U$35=""),"",SUMPRODUCT((tsk_Resource=$B61)*tsk_WorkPerDay*((((tsk_FinishN+U$37-ABS(tsk_FinishN-U$37))/2-(tsk_StartN+U$36+ABS(tsk_StartN-U$36))/2+1)+ABS((tsk_FinishN+U$37-ABS(tsk_FinishN-U$37))/2-(tsk_StartN+U$36+ABS(tsk_StartN-U$36))/2+1))/2)))</f>
        <v/>
      </c>
      <c r="V61" s="77" t="str">
        <f aca="false">IF(OR($B61="",V$35=""),"",SUMPRODUCT((tsk_Resource=$B61)*tsk_WorkPerDay*((((tsk_FinishN+V$37-ABS(tsk_FinishN-V$37))/2-(tsk_StartN+V$36+ABS(tsk_StartN-V$36))/2+1)+ABS((tsk_FinishN+V$37-ABS(tsk_FinishN-V$37))/2-(tsk_StartN+V$36+ABS(tsk_StartN-V$36))/2+1))/2)))</f>
        <v/>
      </c>
      <c r="W61" s="77" t="str">
        <f aca="false">IF(OR($B61="",W$35=""),"",SUMPRODUCT((tsk_Resource=$B61)*tsk_WorkPerDay*((((tsk_FinishN+W$37-ABS(tsk_FinishN-W$37))/2-(tsk_StartN+W$36+ABS(tsk_StartN-W$36))/2+1)+ABS((tsk_FinishN+W$37-ABS(tsk_FinishN-W$37))/2-(tsk_StartN+W$36+ABS(tsk_StartN-W$36))/2+1))/2)))</f>
        <v/>
      </c>
      <c r="X61" s="77" t="str">
        <f aca="false">IF(OR($B61="",X$35=""),"",SUMPRODUCT((tsk_Resource=$B61)*tsk_WorkPerDay*((((tsk_FinishN+X$37-ABS(tsk_FinishN-X$37))/2-(tsk_StartN+X$36+ABS(tsk_StartN-X$36))/2+1)+ABS((tsk_FinishN+X$37-ABS(tsk_FinishN-X$37))/2-(tsk_StartN+X$36+ABS(tsk_StartN-X$36))/2+1))/2)))</f>
        <v/>
      </c>
      <c r="Y61" s="77" t="str">
        <f aca="false">IF(OR($B61="",Y$35=""),"",SUMPRODUCT((tsk_Resource=$B61)*tsk_WorkPerDay*((((tsk_FinishN+Y$37-ABS(tsk_FinishN-Y$37))/2-(tsk_StartN+Y$36+ABS(tsk_StartN-Y$36))/2+1)+ABS((tsk_FinishN+Y$37-ABS(tsk_FinishN-Y$37))/2-(tsk_StartN+Y$36+ABS(tsk_StartN-Y$36))/2+1))/2)))</f>
        <v/>
      </c>
      <c r="Z61" s="77" t="str">
        <f aca="false">IF(OR($B61="",Z$35=""),"",SUMPRODUCT((tsk_Resource=$B61)*tsk_WorkPerDay*((((tsk_FinishN+Z$37-ABS(tsk_FinishN-Z$37))/2-(tsk_StartN+Z$36+ABS(tsk_StartN-Z$36))/2+1)+ABS((tsk_FinishN+Z$37-ABS(tsk_FinishN-Z$37))/2-(tsk_StartN+Z$36+ABS(tsk_StartN-Z$36))/2+1))/2)))</f>
        <v/>
      </c>
      <c r="AA61" s="77" t="str">
        <f aca="false">IF(OR($B61="",AA$35=""),"",SUMPRODUCT((tsk_Resource=$B61)*tsk_WorkPerDay*((((tsk_FinishN+AA$37-ABS(tsk_FinishN-AA$37))/2-(tsk_StartN+AA$36+ABS(tsk_StartN-AA$36))/2+1)+ABS((tsk_FinishN+AA$37-ABS(tsk_FinishN-AA$37))/2-(tsk_StartN+AA$36+ABS(tsk_StartN-AA$36))/2+1))/2)))</f>
        <v/>
      </c>
      <c r="AB61" s="77" t="str">
        <f aca="false">IF(OR($B61="",AB$35=""),"",SUMPRODUCT((tsk_Resource=$B61)*tsk_WorkPerDay*((((tsk_FinishN+AB$37-ABS(tsk_FinishN-AB$37))/2-(tsk_StartN+AB$36+ABS(tsk_StartN-AB$36))/2+1)+ABS((tsk_FinishN+AB$37-ABS(tsk_FinishN-AB$37))/2-(tsk_StartN+AB$36+ABS(tsk_StartN-AB$36))/2+1))/2)))</f>
        <v/>
      </c>
      <c r="AC61" s="77" t="str">
        <f aca="false">IF(OR($B61="",AC$35=""),"",SUMPRODUCT((tsk_Resource=$B61)*tsk_WorkPerDay*((((tsk_FinishN+AC$37-ABS(tsk_FinishN-AC$37))/2-(tsk_StartN+AC$36+ABS(tsk_StartN-AC$36))/2+1)+ABS((tsk_FinishN+AC$37-ABS(tsk_FinishN-AC$37))/2-(tsk_StartN+AC$36+ABS(tsk_StartN-AC$36))/2+1))/2)))</f>
        <v/>
      </c>
    </row>
    <row r="62" customFormat="false" ht="15" hidden="false" customHeight="false" outlineLevel="0" collapsed="false">
      <c r="B62" s="75" t="str">
        <f aca="false">IF(INDEX(res_Name,25)="","",INDEX(res_Name,25))</f>
        <v/>
      </c>
      <c r="C62" s="76" t="str">
        <f aca="false">IF($B62="","",INDEX(res_MaxUnits,25))</f>
        <v/>
      </c>
      <c r="D62" s="77" t="str">
        <f aca="false">IF(OR($B62="",D$35=""),"",SUMPRODUCT((tsk_Resource=$B62)*tsk_WorkPerDay*((((tsk_FinishN+D$37-ABS(tsk_FinishN-D$37))/2-(tsk_StartN+D$36+ABS(tsk_StartN-D$36))/2+1)+ABS((tsk_FinishN+D$37-ABS(tsk_FinishN-D$37))/2-(tsk_StartN+D$36+ABS(tsk_StartN-D$36))/2+1))/2)))</f>
        <v/>
      </c>
      <c r="E62" s="77" t="str">
        <f aca="false">IF(OR($B62="",E$35=""),"",SUMPRODUCT((tsk_Resource=$B62)*tsk_WorkPerDay*((((tsk_FinishN+E$37-ABS(tsk_FinishN-E$37))/2-(tsk_StartN+E$36+ABS(tsk_StartN-E$36))/2+1)+ABS((tsk_FinishN+E$37-ABS(tsk_FinishN-E$37))/2-(tsk_StartN+E$36+ABS(tsk_StartN-E$36))/2+1))/2)))</f>
        <v/>
      </c>
      <c r="F62" s="77" t="str">
        <f aca="false">IF(OR($B62="",F$35=""),"",SUMPRODUCT((tsk_Resource=$B62)*tsk_WorkPerDay*((((tsk_FinishN+F$37-ABS(tsk_FinishN-F$37))/2-(tsk_StartN+F$36+ABS(tsk_StartN-F$36))/2+1)+ABS((tsk_FinishN+F$37-ABS(tsk_FinishN-F$37))/2-(tsk_StartN+F$36+ABS(tsk_StartN-F$36))/2+1))/2)))</f>
        <v/>
      </c>
      <c r="G62" s="77" t="str">
        <f aca="false">IF(OR($B62="",G$35=""),"",SUMPRODUCT((tsk_Resource=$B62)*tsk_WorkPerDay*((((tsk_FinishN+G$37-ABS(tsk_FinishN-G$37))/2-(tsk_StartN+G$36+ABS(tsk_StartN-G$36))/2+1)+ABS((tsk_FinishN+G$37-ABS(tsk_FinishN-G$37))/2-(tsk_StartN+G$36+ABS(tsk_StartN-G$36))/2+1))/2)))</f>
        <v/>
      </c>
      <c r="H62" s="77" t="str">
        <f aca="false">IF(OR($B62="",H$35=""),"",SUMPRODUCT((tsk_Resource=$B62)*tsk_WorkPerDay*((((tsk_FinishN+H$37-ABS(tsk_FinishN-H$37))/2-(tsk_StartN+H$36+ABS(tsk_StartN-H$36))/2+1)+ABS((tsk_FinishN+H$37-ABS(tsk_FinishN-H$37))/2-(tsk_StartN+H$36+ABS(tsk_StartN-H$36))/2+1))/2)))</f>
        <v/>
      </c>
      <c r="I62" s="77" t="str">
        <f aca="false">IF(OR($B62="",I$35=""),"",SUMPRODUCT((tsk_Resource=$B62)*tsk_WorkPerDay*((((tsk_FinishN+I$37-ABS(tsk_FinishN-I$37))/2-(tsk_StartN+I$36+ABS(tsk_StartN-I$36))/2+1)+ABS((tsk_FinishN+I$37-ABS(tsk_FinishN-I$37))/2-(tsk_StartN+I$36+ABS(tsk_StartN-I$36))/2+1))/2)))</f>
        <v/>
      </c>
      <c r="J62" s="77" t="str">
        <f aca="false">IF(OR($B62="",J$35=""),"",SUMPRODUCT((tsk_Resource=$B62)*tsk_WorkPerDay*((((tsk_FinishN+J$37-ABS(tsk_FinishN-J$37))/2-(tsk_StartN+J$36+ABS(tsk_StartN-J$36))/2+1)+ABS((tsk_FinishN+J$37-ABS(tsk_FinishN-J$37))/2-(tsk_StartN+J$36+ABS(tsk_StartN-J$36))/2+1))/2)))</f>
        <v/>
      </c>
      <c r="K62" s="77" t="str">
        <f aca="false">IF(OR($B62="",K$35=""),"",SUMPRODUCT((tsk_Resource=$B62)*tsk_WorkPerDay*((((tsk_FinishN+K$37-ABS(tsk_FinishN-K$37))/2-(tsk_StartN+K$36+ABS(tsk_StartN-K$36))/2+1)+ABS((tsk_FinishN+K$37-ABS(tsk_FinishN-K$37))/2-(tsk_StartN+K$36+ABS(tsk_StartN-K$36))/2+1))/2)))</f>
        <v/>
      </c>
      <c r="L62" s="77" t="str">
        <f aca="false">IF(OR($B62="",L$35=""),"",SUMPRODUCT((tsk_Resource=$B62)*tsk_WorkPerDay*((((tsk_FinishN+L$37-ABS(tsk_FinishN-L$37))/2-(tsk_StartN+L$36+ABS(tsk_StartN-L$36))/2+1)+ABS((tsk_FinishN+L$37-ABS(tsk_FinishN-L$37))/2-(tsk_StartN+L$36+ABS(tsk_StartN-L$36))/2+1))/2)))</f>
        <v/>
      </c>
      <c r="M62" s="77" t="str">
        <f aca="false">IF(OR($B62="",M$35=""),"",SUMPRODUCT((tsk_Resource=$B62)*tsk_WorkPerDay*((((tsk_FinishN+M$37-ABS(tsk_FinishN-M$37))/2-(tsk_StartN+M$36+ABS(tsk_StartN-M$36))/2+1)+ABS((tsk_FinishN+M$37-ABS(tsk_FinishN-M$37))/2-(tsk_StartN+M$36+ABS(tsk_StartN-M$36))/2+1))/2)))</f>
        <v/>
      </c>
      <c r="N62" s="77" t="str">
        <f aca="false">IF(OR($B62="",N$35=""),"",SUMPRODUCT((tsk_Resource=$B62)*tsk_WorkPerDay*((((tsk_FinishN+N$37-ABS(tsk_FinishN-N$37))/2-(tsk_StartN+N$36+ABS(tsk_StartN-N$36))/2+1)+ABS((tsk_FinishN+N$37-ABS(tsk_FinishN-N$37))/2-(tsk_StartN+N$36+ABS(tsk_StartN-N$36))/2+1))/2)))</f>
        <v/>
      </c>
      <c r="O62" s="77" t="str">
        <f aca="false">IF(OR($B62="",O$35=""),"",SUMPRODUCT((tsk_Resource=$B62)*tsk_WorkPerDay*((((tsk_FinishN+O$37-ABS(tsk_FinishN-O$37))/2-(tsk_StartN+O$36+ABS(tsk_StartN-O$36))/2+1)+ABS((tsk_FinishN+O$37-ABS(tsk_FinishN-O$37))/2-(tsk_StartN+O$36+ABS(tsk_StartN-O$36))/2+1))/2)))</f>
        <v/>
      </c>
      <c r="P62" s="77" t="str">
        <f aca="false">IF(OR($B62="",P$35=""),"",SUMPRODUCT((tsk_Resource=$B62)*tsk_WorkPerDay*((((tsk_FinishN+P$37-ABS(tsk_FinishN-P$37))/2-(tsk_StartN+P$36+ABS(tsk_StartN-P$36))/2+1)+ABS((tsk_FinishN+P$37-ABS(tsk_FinishN-P$37))/2-(tsk_StartN+P$36+ABS(tsk_StartN-P$36))/2+1))/2)))</f>
        <v/>
      </c>
      <c r="Q62" s="77" t="str">
        <f aca="false">IF(OR($B62="",Q$35=""),"",SUMPRODUCT((tsk_Resource=$B62)*tsk_WorkPerDay*((((tsk_FinishN+Q$37-ABS(tsk_FinishN-Q$37))/2-(tsk_StartN+Q$36+ABS(tsk_StartN-Q$36))/2+1)+ABS((tsk_FinishN+Q$37-ABS(tsk_FinishN-Q$37))/2-(tsk_StartN+Q$36+ABS(tsk_StartN-Q$36))/2+1))/2)))</f>
        <v/>
      </c>
      <c r="R62" s="77" t="str">
        <f aca="false">IF(OR($B62="",R$35=""),"",SUMPRODUCT((tsk_Resource=$B62)*tsk_WorkPerDay*((((tsk_FinishN+R$37-ABS(tsk_FinishN-R$37))/2-(tsk_StartN+R$36+ABS(tsk_StartN-R$36))/2+1)+ABS((tsk_FinishN+R$37-ABS(tsk_FinishN-R$37))/2-(tsk_StartN+R$36+ABS(tsk_StartN-R$36))/2+1))/2)))</f>
        <v/>
      </c>
      <c r="S62" s="77" t="str">
        <f aca="false">IF(OR($B62="",S$35=""),"",SUMPRODUCT((tsk_Resource=$B62)*tsk_WorkPerDay*((((tsk_FinishN+S$37-ABS(tsk_FinishN-S$37))/2-(tsk_StartN+S$36+ABS(tsk_StartN-S$36))/2+1)+ABS((tsk_FinishN+S$37-ABS(tsk_FinishN-S$37))/2-(tsk_StartN+S$36+ABS(tsk_StartN-S$36))/2+1))/2)))</f>
        <v/>
      </c>
      <c r="T62" s="77" t="str">
        <f aca="false">IF(OR($B62="",T$35=""),"",SUMPRODUCT((tsk_Resource=$B62)*tsk_WorkPerDay*((((tsk_FinishN+T$37-ABS(tsk_FinishN-T$37))/2-(tsk_StartN+T$36+ABS(tsk_StartN-T$36))/2+1)+ABS((tsk_FinishN+T$37-ABS(tsk_FinishN-T$37))/2-(tsk_StartN+T$36+ABS(tsk_StartN-T$36))/2+1))/2)))</f>
        <v/>
      </c>
      <c r="U62" s="77" t="str">
        <f aca="false">IF(OR($B62="",U$35=""),"",SUMPRODUCT((tsk_Resource=$B62)*tsk_WorkPerDay*((((tsk_FinishN+U$37-ABS(tsk_FinishN-U$37))/2-(tsk_StartN+U$36+ABS(tsk_StartN-U$36))/2+1)+ABS((tsk_FinishN+U$37-ABS(tsk_FinishN-U$37))/2-(tsk_StartN+U$36+ABS(tsk_StartN-U$36))/2+1))/2)))</f>
        <v/>
      </c>
      <c r="V62" s="77" t="str">
        <f aca="false">IF(OR($B62="",V$35=""),"",SUMPRODUCT((tsk_Resource=$B62)*tsk_WorkPerDay*((((tsk_FinishN+V$37-ABS(tsk_FinishN-V$37))/2-(tsk_StartN+V$36+ABS(tsk_StartN-V$36))/2+1)+ABS((tsk_FinishN+V$37-ABS(tsk_FinishN-V$37))/2-(tsk_StartN+V$36+ABS(tsk_StartN-V$36))/2+1))/2)))</f>
        <v/>
      </c>
      <c r="W62" s="77" t="str">
        <f aca="false">IF(OR($B62="",W$35=""),"",SUMPRODUCT((tsk_Resource=$B62)*tsk_WorkPerDay*((((tsk_FinishN+W$37-ABS(tsk_FinishN-W$37))/2-(tsk_StartN+W$36+ABS(tsk_StartN-W$36))/2+1)+ABS((tsk_FinishN+W$37-ABS(tsk_FinishN-W$37))/2-(tsk_StartN+W$36+ABS(tsk_StartN-W$36))/2+1))/2)))</f>
        <v/>
      </c>
      <c r="X62" s="77" t="str">
        <f aca="false">IF(OR($B62="",X$35=""),"",SUMPRODUCT((tsk_Resource=$B62)*tsk_WorkPerDay*((((tsk_FinishN+X$37-ABS(tsk_FinishN-X$37))/2-(tsk_StartN+X$36+ABS(tsk_StartN-X$36))/2+1)+ABS((tsk_FinishN+X$37-ABS(tsk_FinishN-X$37))/2-(tsk_StartN+X$36+ABS(tsk_StartN-X$36))/2+1))/2)))</f>
        <v/>
      </c>
      <c r="Y62" s="77" t="str">
        <f aca="false">IF(OR($B62="",Y$35=""),"",SUMPRODUCT((tsk_Resource=$B62)*tsk_WorkPerDay*((((tsk_FinishN+Y$37-ABS(tsk_FinishN-Y$37))/2-(tsk_StartN+Y$36+ABS(tsk_StartN-Y$36))/2+1)+ABS((tsk_FinishN+Y$37-ABS(tsk_FinishN-Y$37))/2-(tsk_StartN+Y$36+ABS(tsk_StartN-Y$36))/2+1))/2)))</f>
        <v/>
      </c>
      <c r="Z62" s="77" t="str">
        <f aca="false">IF(OR($B62="",Z$35=""),"",SUMPRODUCT((tsk_Resource=$B62)*tsk_WorkPerDay*((((tsk_FinishN+Z$37-ABS(tsk_FinishN-Z$37))/2-(tsk_StartN+Z$36+ABS(tsk_StartN-Z$36))/2+1)+ABS((tsk_FinishN+Z$37-ABS(tsk_FinishN-Z$37))/2-(tsk_StartN+Z$36+ABS(tsk_StartN-Z$36))/2+1))/2)))</f>
        <v/>
      </c>
      <c r="AA62" s="77" t="str">
        <f aca="false">IF(OR($B62="",AA$35=""),"",SUMPRODUCT((tsk_Resource=$B62)*tsk_WorkPerDay*((((tsk_FinishN+AA$37-ABS(tsk_FinishN-AA$37))/2-(tsk_StartN+AA$36+ABS(tsk_StartN-AA$36))/2+1)+ABS((tsk_FinishN+AA$37-ABS(tsk_FinishN-AA$37))/2-(tsk_StartN+AA$36+ABS(tsk_StartN-AA$36))/2+1))/2)))</f>
        <v/>
      </c>
      <c r="AB62" s="77" t="str">
        <f aca="false">IF(OR($B62="",AB$35=""),"",SUMPRODUCT((tsk_Resource=$B62)*tsk_WorkPerDay*((((tsk_FinishN+AB$37-ABS(tsk_FinishN-AB$37))/2-(tsk_StartN+AB$36+ABS(tsk_StartN-AB$36))/2+1)+ABS((tsk_FinishN+AB$37-ABS(tsk_FinishN-AB$37))/2-(tsk_StartN+AB$36+ABS(tsk_StartN-AB$36))/2+1))/2)))</f>
        <v/>
      </c>
      <c r="AC62" s="77" t="str">
        <f aca="false">IF(OR($B62="",AC$35=""),"",SUMPRODUCT((tsk_Resource=$B62)*tsk_WorkPerDay*((((tsk_FinishN+AC$37-ABS(tsk_FinishN-AC$37))/2-(tsk_StartN+AC$36+ABS(tsk_StartN-AC$36))/2+1)+ABS((tsk_FinishN+AC$37-ABS(tsk_FinishN-AC$37))/2-(tsk_StartN+AC$36+ABS(tsk_StartN-AC$36))/2+1))/2)))</f>
        <v/>
      </c>
    </row>
    <row r="64" customFormat="false" ht="15" hidden="false" customHeight="false" outlineLevel="0" collapsed="false">
      <c r="A64" s="72" t="s">
        <v>337</v>
      </c>
    </row>
    <row r="65" customFormat="false" ht="15" hidden="false" customHeight="false" outlineLevel="0" collapsed="false">
      <c r="B65" s="9" t="s">
        <v>180</v>
      </c>
      <c r="C65" s="9" t="s">
        <v>284</v>
      </c>
      <c r="D65" s="9" t="str">
        <f aca="false">D$35</f>
        <v>Sprint 1</v>
      </c>
      <c r="E65" s="9" t="str">
        <f aca="false">E$35</f>
        <v>Sprint 2</v>
      </c>
      <c r="F65" s="9" t="str">
        <f aca="false">F$35</f>
        <v>Sprint 3</v>
      </c>
      <c r="G65" s="9" t="str">
        <f aca="false">G$35</f>
        <v>Sprint 4</v>
      </c>
      <c r="H65" s="9" t="str">
        <f aca="false">H$35</f>
        <v>Sprint 5</v>
      </c>
      <c r="I65" s="9" t="str">
        <f aca="false">I$35</f>
        <v>Sprint 6</v>
      </c>
      <c r="J65" s="9" t="str">
        <f aca="false">J$35</f>
        <v>Sprint 7</v>
      </c>
      <c r="K65" s="9" t="str">
        <f aca="false">K$35</f>
        <v>Sprint 8</v>
      </c>
      <c r="L65" s="9" t="str">
        <f aca="false">L$35</f>
        <v>Sprint 9</v>
      </c>
      <c r="M65" s="9" t="str">
        <f aca="false">M$35</f>
        <v>Sprint 10</v>
      </c>
      <c r="N65" s="9" t="str">
        <f aca="false">N$35</f>
        <v>Sprint 11</v>
      </c>
      <c r="O65" s="9" t="str">
        <f aca="false">O$35</f>
        <v>Sprint 12</v>
      </c>
      <c r="P65" s="9" t="str">
        <f aca="false">P$35</f>
        <v/>
      </c>
      <c r="Q65" s="9" t="str">
        <f aca="false">Q$35</f>
        <v/>
      </c>
      <c r="R65" s="9" t="str">
        <f aca="false">R$35</f>
        <v/>
      </c>
      <c r="S65" s="9" t="str">
        <f aca="false">S$35</f>
        <v/>
      </c>
      <c r="T65" s="9" t="str">
        <f aca="false">T$35</f>
        <v/>
      </c>
      <c r="U65" s="9" t="str">
        <f aca="false">U$35</f>
        <v/>
      </c>
      <c r="V65" s="9" t="str">
        <f aca="false">V$35</f>
        <v/>
      </c>
      <c r="W65" s="9" t="str">
        <f aca="false">W$35</f>
        <v/>
      </c>
      <c r="X65" s="9" t="str">
        <f aca="false">X$35</f>
        <v/>
      </c>
      <c r="Y65" s="9" t="str">
        <f aca="false">Y$35</f>
        <v/>
      </c>
      <c r="Z65" s="9" t="str">
        <f aca="false">Z$35</f>
        <v/>
      </c>
      <c r="AA65" s="9" t="str">
        <f aca="false">AA$35</f>
        <v/>
      </c>
      <c r="AB65" s="9" t="str">
        <f aca="false">AB$35</f>
        <v/>
      </c>
      <c r="AC65" s="9" t="str">
        <f aca="false">AC$35</f>
        <v/>
      </c>
    </row>
    <row r="66" customFormat="false" ht="15" hidden="false" customHeight="false" outlineLevel="0" collapsed="false">
      <c r="B66" s="75" t="str">
        <f aca="false">$B38</f>
        <v>Priya Sharma</v>
      </c>
      <c r="C66" s="76" t="n">
        <f aca="false">$C38</f>
        <v>0.5</v>
      </c>
      <c r="D66" s="78" t="n">
        <f aca="false">IF(OR($B66="",D$35="",N($C66)=0),"",D38/($C66*HoursPerDay*INDEX(Sprints!$E$6:$E$31,1)))</f>
        <v>0.6</v>
      </c>
      <c r="E66" s="78" t="n">
        <f aca="false">IF(OR($B66="",E$35="",N($C66)=0),"",E38/($C66*HoursPerDay*INDEX(Sprints!$E$6:$E$31,2)))</f>
        <v>0</v>
      </c>
      <c r="F66" s="78" t="n">
        <f aca="false">IF(OR($B66="",F$35="",N($C66)=0),"",F38/($C66*HoursPerDay*INDEX(Sprints!$E$6:$E$31,3)))</f>
        <v>0</v>
      </c>
      <c r="G66" s="78" t="n">
        <f aca="false">IF(OR($B66="",G$35="",N($C66)=0),"",G38/($C66*HoursPerDay*INDEX(Sprints!$E$6:$E$31,4)))</f>
        <v>0</v>
      </c>
      <c r="H66" s="78" t="n">
        <f aca="false">IF(OR($B66="",H$35="",N($C66)=0),"",H38/($C66*HoursPerDay*INDEX(Sprints!$E$6:$E$31,5)))</f>
        <v>0</v>
      </c>
      <c r="I66" s="78" t="n">
        <f aca="false">IF(OR($B66="",I$35="",N($C66)=0),"",I38/($C66*HoursPerDay*INDEX(Sprints!$E$6:$E$31,6)))</f>
        <v>0.2</v>
      </c>
      <c r="J66" s="78" t="n">
        <f aca="false">IF(OR($B66="",J$35="",N($C66)=0),"",J38/($C66*HoursPerDay*INDEX(Sprints!$E$6:$E$31,7)))</f>
        <v>0</v>
      </c>
      <c r="K66" s="78" t="n">
        <f aca="false">IF(OR($B66="",K$35="",N($C66)=0),"",K38/($C66*HoursPerDay*INDEX(Sprints!$E$6:$E$31,8)))</f>
        <v>0.25</v>
      </c>
      <c r="L66" s="78" t="n">
        <f aca="false">IF(OR($B66="",L$35="",N($C66)=0),"",L38/($C66*HoursPerDay*INDEX(Sprints!$E$6:$E$31,9)))</f>
        <v>0.5</v>
      </c>
      <c r="M66" s="78" t="n">
        <f aca="false">IF(OR($B66="",M$35="",N($C66)=0),"",M38/($C66*HoursPerDay*INDEX(Sprints!$E$6:$E$31,10)))</f>
        <v>0</v>
      </c>
      <c r="N66" s="78" t="n">
        <f aca="false">IF(OR($B66="",N$35="",N($C66)=0),"",N38/($C66*HoursPerDay*INDEX(Sprints!$E$6:$E$31,11)))</f>
        <v>0</v>
      </c>
      <c r="O66" s="78" t="n">
        <f aca="false">IF(OR($B66="",O$35="",N($C66)=0),"",O38/($C66*HoursPerDay*INDEX(Sprints!$E$6:$E$31,12)))</f>
        <v>0</v>
      </c>
      <c r="P66" s="78" t="str">
        <f aca="false">IF(OR($B66="",P$35="",N($C66)=0),"",P38/($C66*HoursPerDay*INDEX(Sprints!$E$6:$E$31,13)))</f>
        <v/>
      </c>
      <c r="Q66" s="78" t="str">
        <f aca="false">IF(OR($B66="",Q$35="",N($C66)=0),"",Q38/($C66*HoursPerDay*INDEX(Sprints!$E$6:$E$31,14)))</f>
        <v/>
      </c>
      <c r="R66" s="78" t="str">
        <f aca="false">IF(OR($B66="",R$35="",N($C66)=0),"",R38/($C66*HoursPerDay*INDEX(Sprints!$E$6:$E$31,15)))</f>
        <v/>
      </c>
      <c r="S66" s="78" t="str">
        <f aca="false">IF(OR($B66="",S$35="",N($C66)=0),"",S38/($C66*HoursPerDay*INDEX(Sprints!$E$6:$E$31,16)))</f>
        <v/>
      </c>
      <c r="T66" s="78" t="str">
        <f aca="false">IF(OR($B66="",T$35="",N($C66)=0),"",T38/($C66*HoursPerDay*INDEX(Sprints!$E$6:$E$31,17)))</f>
        <v/>
      </c>
      <c r="U66" s="78" t="str">
        <f aca="false">IF(OR($B66="",U$35="",N($C66)=0),"",U38/($C66*HoursPerDay*INDEX(Sprints!$E$6:$E$31,18)))</f>
        <v/>
      </c>
      <c r="V66" s="78" t="str">
        <f aca="false">IF(OR($B66="",V$35="",N($C66)=0),"",V38/($C66*HoursPerDay*INDEX(Sprints!$E$6:$E$31,19)))</f>
        <v/>
      </c>
      <c r="W66" s="78" t="str">
        <f aca="false">IF(OR($B66="",W$35="",N($C66)=0),"",W38/($C66*HoursPerDay*INDEX(Sprints!$E$6:$E$31,20)))</f>
        <v/>
      </c>
      <c r="X66" s="78" t="str">
        <f aca="false">IF(OR($B66="",X$35="",N($C66)=0),"",X38/($C66*HoursPerDay*INDEX(Sprints!$E$6:$E$31,21)))</f>
        <v/>
      </c>
      <c r="Y66" s="78" t="str">
        <f aca="false">IF(OR($B66="",Y$35="",N($C66)=0),"",Y38/($C66*HoursPerDay*INDEX(Sprints!$E$6:$E$31,22)))</f>
        <v/>
      </c>
      <c r="Z66" s="78" t="str">
        <f aca="false">IF(OR($B66="",Z$35="",N($C66)=0),"",Z38/($C66*HoursPerDay*INDEX(Sprints!$E$6:$E$31,23)))</f>
        <v/>
      </c>
      <c r="AA66" s="78" t="str">
        <f aca="false">IF(OR($B66="",AA$35="",N($C66)=0),"",AA38/($C66*HoursPerDay*INDEX(Sprints!$E$6:$E$31,24)))</f>
        <v/>
      </c>
      <c r="AB66" s="78" t="str">
        <f aca="false">IF(OR($B66="",AB$35="",N($C66)=0),"",AB38/($C66*HoursPerDay*INDEX(Sprints!$E$6:$E$31,25)))</f>
        <v/>
      </c>
      <c r="AC66" s="78" t="str">
        <f aca="false">IF(OR($B66="",AC$35="",N($C66)=0),"",AC38/($C66*HoursPerDay*INDEX(Sprints!$E$6:$E$31,26)))</f>
        <v/>
      </c>
    </row>
    <row r="67" customFormat="false" ht="15" hidden="false" customHeight="false" outlineLevel="0" collapsed="false">
      <c r="B67" s="75" t="str">
        <f aca="false">$B39</f>
        <v>Morgan Patel</v>
      </c>
      <c r="C67" s="76" t="n">
        <f aca="false">$C39</f>
        <v>1</v>
      </c>
      <c r="D67" s="78" t="n">
        <f aca="false">IF(OR($B67="",D$35="",N($C67)=0),"",D39/($C67*HoursPerDay*INDEX(Sprints!$E$6:$E$31,1)))</f>
        <v>0.636363636363636</v>
      </c>
      <c r="E67" s="78" t="n">
        <f aca="false">IF(OR($B67="",E$35="",N($C67)=0),"",E39/($C67*HoursPerDay*INDEX(Sprints!$E$6:$E$31,2)))</f>
        <v>0.363636363636364</v>
      </c>
      <c r="F67" s="78" t="n">
        <f aca="false">IF(OR($B67="",F$35="",N($C67)=0),"",F39/($C67*HoursPerDay*INDEX(Sprints!$E$6:$E$31,3)))</f>
        <v>0</v>
      </c>
      <c r="G67" s="78" t="n">
        <f aca="false">IF(OR($B67="",G$35="",N($C67)=0),"",G39/($C67*HoursPerDay*INDEX(Sprints!$E$6:$E$31,4)))</f>
        <v>0</v>
      </c>
      <c r="H67" s="78" t="n">
        <f aca="false">IF(OR($B67="",H$35="",N($C67)=0),"",H39/($C67*HoursPerDay*INDEX(Sprints!$E$6:$E$31,5)))</f>
        <v>0</v>
      </c>
      <c r="I67" s="78" t="n">
        <f aca="false">IF(OR($B67="",I$35="",N($C67)=0),"",I39/($C67*HoursPerDay*INDEX(Sprints!$E$6:$E$31,6)))</f>
        <v>0</v>
      </c>
      <c r="J67" s="78" t="n">
        <f aca="false">IF(OR($B67="",J$35="",N($C67)=0),"",J39/($C67*HoursPerDay*INDEX(Sprints!$E$6:$E$31,7)))</f>
        <v>0.525</v>
      </c>
      <c r="K67" s="78" t="n">
        <f aca="false">IF(OR($B67="",K$35="",N($C67)=0),"",K39/($C67*HoursPerDay*INDEX(Sprints!$E$6:$E$31,8)))</f>
        <v>0.09375</v>
      </c>
      <c r="L67" s="78" t="n">
        <f aca="false">IF(OR($B67="",L$35="",N($C67)=0),"",L39/($C67*HoursPerDay*INDEX(Sprints!$E$6:$E$31,9)))</f>
        <v>0</v>
      </c>
      <c r="M67" s="78" t="n">
        <f aca="false">IF(OR($B67="",M$35="",N($C67)=0),"",M39/($C67*HoursPerDay*INDEX(Sprints!$E$6:$E$31,10)))</f>
        <v>0</v>
      </c>
      <c r="N67" s="78" t="n">
        <f aca="false">IF(OR($B67="",N$35="",N($C67)=0),"",N39/($C67*HoursPerDay*INDEX(Sprints!$E$6:$E$31,11)))</f>
        <v>0</v>
      </c>
      <c r="O67" s="78" t="n">
        <f aca="false">IF(OR($B67="",O$35="",N($C67)=0),"",O39/($C67*HoursPerDay*INDEX(Sprints!$E$6:$E$31,12)))</f>
        <v>0</v>
      </c>
      <c r="P67" s="78" t="str">
        <f aca="false">IF(OR($B67="",P$35="",N($C67)=0),"",P39/($C67*HoursPerDay*INDEX(Sprints!$E$6:$E$31,13)))</f>
        <v/>
      </c>
      <c r="Q67" s="78" t="str">
        <f aca="false">IF(OR($B67="",Q$35="",N($C67)=0),"",Q39/($C67*HoursPerDay*INDEX(Sprints!$E$6:$E$31,14)))</f>
        <v/>
      </c>
      <c r="R67" s="78" t="str">
        <f aca="false">IF(OR($B67="",R$35="",N($C67)=0),"",R39/($C67*HoursPerDay*INDEX(Sprints!$E$6:$E$31,15)))</f>
        <v/>
      </c>
      <c r="S67" s="78" t="str">
        <f aca="false">IF(OR($B67="",S$35="",N($C67)=0),"",S39/($C67*HoursPerDay*INDEX(Sprints!$E$6:$E$31,16)))</f>
        <v/>
      </c>
      <c r="T67" s="78" t="str">
        <f aca="false">IF(OR($B67="",T$35="",N($C67)=0),"",T39/($C67*HoursPerDay*INDEX(Sprints!$E$6:$E$31,17)))</f>
        <v/>
      </c>
      <c r="U67" s="78" t="str">
        <f aca="false">IF(OR($B67="",U$35="",N($C67)=0),"",U39/($C67*HoursPerDay*INDEX(Sprints!$E$6:$E$31,18)))</f>
        <v/>
      </c>
      <c r="V67" s="78" t="str">
        <f aca="false">IF(OR($B67="",V$35="",N($C67)=0),"",V39/($C67*HoursPerDay*INDEX(Sprints!$E$6:$E$31,19)))</f>
        <v/>
      </c>
      <c r="W67" s="78" t="str">
        <f aca="false">IF(OR($B67="",W$35="",N($C67)=0),"",W39/($C67*HoursPerDay*INDEX(Sprints!$E$6:$E$31,20)))</f>
        <v/>
      </c>
      <c r="X67" s="78" t="str">
        <f aca="false">IF(OR($B67="",X$35="",N($C67)=0),"",X39/($C67*HoursPerDay*INDEX(Sprints!$E$6:$E$31,21)))</f>
        <v/>
      </c>
      <c r="Y67" s="78" t="str">
        <f aca="false">IF(OR($B67="",Y$35="",N($C67)=0),"",Y39/($C67*HoursPerDay*INDEX(Sprints!$E$6:$E$31,22)))</f>
        <v/>
      </c>
      <c r="Z67" s="78" t="str">
        <f aca="false">IF(OR($B67="",Z$35="",N($C67)=0),"",Z39/($C67*HoursPerDay*INDEX(Sprints!$E$6:$E$31,23)))</f>
        <v/>
      </c>
      <c r="AA67" s="78" t="str">
        <f aca="false">IF(OR($B67="",AA$35="",N($C67)=0),"",AA39/($C67*HoursPerDay*INDEX(Sprints!$E$6:$E$31,24)))</f>
        <v/>
      </c>
      <c r="AB67" s="78" t="str">
        <f aca="false">IF(OR($B67="",AB$35="",N($C67)=0),"",AB39/($C67*HoursPerDay*INDEX(Sprints!$E$6:$E$31,25)))</f>
        <v/>
      </c>
      <c r="AC67" s="78" t="str">
        <f aca="false">IF(OR($B67="",AC$35="",N($C67)=0),"",AC39/($C67*HoursPerDay*INDEX(Sprints!$E$6:$E$31,26)))</f>
        <v/>
      </c>
    </row>
    <row r="68" customFormat="false" ht="15" hidden="false" customHeight="false" outlineLevel="0" collapsed="false">
      <c r="B68" s="75" t="str">
        <f aca="false">$B40</f>
        <v>Alex Chen</v>
      </c>
      <c r="C68" s="76" t="n">
        <f aca="false">$C40</f>
        <v>0.5</v>
      </c>
      <c r="D68" s="78" t="n">
        <f aca="false">IF(OR($B68="",D$35="",N($C68)=0),"",D40/($C68*HoursPerDay*INDEX(Sprints!$E$6:$E$31,1)))</f>
        <v>0.375</v>
      </c>
      <c r="E68" s="78" t="n">
        <f aca="false">IF(OR($B68="",E$35="",N($C68)=0),"",E40/($C68*HoursPerDay*INDEX(Sprints!$E$6:$E$31,2)))</f>
        <v>0.625</v>
      </c>
      <c r="F68" s="78" t="n">
        <f aca="false">IF(OR($B68="",F$35="",N($C68)=0),"",F40/($C68*HoursPerDay*INDEX(Sprints!$E$6:$E$31,3)))</f>
        <v>0</v>
      </c>
      <c r="G68" s="78" t="n">
        <f aca="false">IF(OR($B68="",G$35="",N($C68)=0),"",G40/($C68*HoursPerDay*INDEX(Sprints!$E$6:$E$31,4)))</f>
        <v>0</v>
      </c>
      <c r="H68" s="78" t="n">
        <f aca="false">IF(OR($B68="",H$35="",N($C68)=0),"",H40/($C68*HoursPerDay*INDEX(Sprints!$E$6:$E$31,5)))</f>
        <v>0</v>
      </c>
      <c r="I68" s="78" t="n">
        <f aca="false">IF(OR($B68="",I$35="",N($C68)=0),"",I40/($C68*HoursPerDay*INDEX(Sprints!$E$6:$E$31,6)))</f>
        <v>0</v>
      </c>
      <c r="J68" s="78" t="n">
        <f aca="false">IF(OR($B68="",J$35="",N($C68)=0),"",J40/($C68*HoursPerDay*INDEX(Sprints!$E$6:$E$31,7)))</f>
        <v>0</v>
      </c>
      <c r="K68" s="78" t="n">
        <f aca="false">IF(OR($B68="",K$35="",N($C68)=0),"",K40/($C68*HoursPerDay*INDEX(Sprints!$E$6:$E$31,8)))</f>
        <v>0</v>
      </c>
      <c r="L68" s="78" t="n">
        <f aca="false">IF(OR($B68="",L$35="",N($C68)=0),"",L40/($C68*HoursPerDay*INDEX(Sprints!$E$6:$E$31,9)))</f>
        <v>0</v>
      </c>
      <c r="M68" s="78" t="n">
        <f aca="false">IF(OR($B68="",M$35="",N($C68)=0),"",M40/($C68*HoursPerDay*INDEX(Sprints!$E$6:$E$31,10)))</f>
        <v>0</v>
      </c>
      <c r="N68" s="78" t="n">
        <f aca="false">IF(OR($B68="",N$35="",N($C68)=0),"",N40/($C68*HoursPerDay*INDEX(Sprints!$E$6:$E$31,11)))</f>
        <v>0</v>
      </c>
      <c r="O68" s="78" t="n">
        <f aca="false">IF(OR($B68="",O$35="",N($C68)=0),"",O40/($C68*HoursPerDay*INDEX(Sprints!$E$6:$E$31,12)))</f>
        <v>0</v>
      </c>
      <c r="P68" s="78" t="str">
        <f aca="false">IF(OR($B68="",P$35="",N($C68)=0),"",P40/($C68*HoursPerDay*INDEX(Sprints!$E$6:$E$31,13)))</f>
        <v/>
      </c>
      <c r="Q68" s="78" t="str">
        <f aca="false">IF(OR($B68="",Q$35="",N($C68)=0),"",Q40/($C68*HoursPerDay*INDEX(Sprints!$E$6:$E$31,14)))</f>
        <v/>
      </c>
      <c r="R68" s="78" t="str">
        <f aca="false">IF(OR($B68="",R$35="",N($C68)=0),"",R40/($C68*HoursPerDay*INDEX(Sprints!$E$6:$E$31,15)))</f>
        <v/>
      </c>
      <c r="S68" s="78" t="str">
        <f aca="false">IF(OR($B68="",S$35="",N($C68)=0),"",S40/($C68*HoursPerDay*INDEX(Sprints!$E$6:$E$31,16)))</f>
        <v/>
      </c>
      <c r="T68" s="78" t="str">
        <f aca="false">IF(OR($B68="",T$35="",N($C68)=0),"",T40/($C68*HoursPerDay*INDEX(Sprints!$E$6:$E$31,17)))</f>
        <v/>
      </c>
      <c r="U68" s="78" t="str">
        <f aca="false">IF(OR($B68="",U$35="",N($C68)=0),"",U40/($C68*HoursPerDay*INDEX(Sprints!$E$6:$E$31,18)))</f>
        <v/>
      </c>
      <c r="V68" s="78" t="str">
        <f aca="false">IF(OR($B68="",V$35="",N($C68)=0),"",V40/($C68*HoursPerDay*INDEX(Sprints!$E$6:$E$31,19)))</f>
        <v/>
      </c>
      <c r="W68" s="78" t="str">
        <f aca="false">IF(OR($B68="",W$35="",N($C68)=0),"",W40/($C68*HoursPerDay*INDEX(Sprints!$E$6:$E$31,20)))</f>
        <v/>
      </c>
      <c r="X68" s="78" t="str">
        <f aca="false">IF(OR($B68="",X$35="",N($C68)=0),"",X40/($C68*HoursPerDay*INDEX(Sprints!$E$6:$E$31,21)))</f>
        <v/>
      </c>
      <c r="Y68" s="78" t="str">
        <f aca="false">IF(OR($B68="",Y$35="",N($C68)=0),"",Y40/($C68*HoursPerDay*INDEX(Sprints!$E$6:$E$31,22)))</f>
        <v/>
      </c>
      <c r="Z68" s="78" t="str">
        <f aca="false">IF(OR($B68="",Z$35="",N($C68)=0),"",Z40/($C68*HoursPerDay*INDEX(Sprints!$E$6:$E$31,23)))</f>
        <v/>
      </c>
      <c r="AA68" s="78" t="str">
        <f aca="false">IF(OR($B68="",AA$35="",N($C68)=0),"",AA40/($C68*HoursPerDay*INDEX(Sprints!$E$6:$E$31,24)))</f>
        <v/>
      </c>
      <c r="AB68" s="78" t="str">
        <f aca="false">IF(OR($B68="",AB$35="",N($C68)=0),"",AB40/($C68*HoursPerDay*INDEX(Sprints!$E$6:$E$31,25)))</f>
        <v/>
      </c>
      <c r="AC68" s="78" t="str">
        <f aca="false">IF(OR($B68="",AC$35="",N($C68)=0),"",AC40/($C68*HoursPerDay*INDEX(Sprints!$E$6:$E$31,26)))</f>
        <v/>
      </c>
    </row>
    <row r="69" customFormat="false" ht="15" hidden="false" customHeight="false" outlineLevel="0" collapsed="false">
      <c r="B69" s="75" t="str">
        <f aca="false">$B41</f>
        <v>Casey Kim</v>
      </c>
      <c r="C69" s="76" t="n">
        <f aca="false">$C41</f>
        <v>1</v>
      </c>
      <c r="D69" s="78" t="n">
        <f aca="false">IF(OR($B69="",D$35="",N($C69)=0),"",D41/($C69*HoursPerDay*INDEX(Sprints!$E$6:$E$31,1)))</f>
        <v>0</v>
      </c>
      <c r="E69" s="78" t="n">
        <f aca="false">IF(OR($B69="",E$35="",N($C69)=0),"",E41/($C69*HoursPerDay*INDEX(Sprints!$E$6:$E$31,2)))</f>
        <v>0.466666666666667</v>
      </c>
      <c r="F69" s="78" t="n">
        <f aca="false">IF(OR($B69="",F$35="",N($C69)=0),"",F41/($C69*HoursPerDay*INDEX(Sprints!$E$6:$E$31,3)))</f>
        <v>0.133333333333333</v>
      </c>
      <c r="G69" s="78" t="n">
        <f aca="false">IF(OR($B69="",G$35="",N($C69)=0),"",G41/($C69*HoursPerDay*INDEX(Sprints!$E$6:$E$31,4)))</f>
        <v>0</v>
      </c>
      <c r="H69" s="78" t="n">
        <f aca="false">IF(OR($B69="",H$35="",N($C69)=0),"",H41/($C69*HoursPerDay*INDEX(Sprints!$E$6:$E$31,5)))</f>
        <v>0.292857142857143</v>
      </c>
      <c r="I69" s="78" t="n">
        <f aca="false">IF(OR($B69="",I$35="",N($C69)=0),"",I41/($C69*HoursPerDay*INDEX(Sprints!$E$6:$E$31,6)))</f>
        <v>0.107142857142857</v>
      </c>
      <c r="J69" s="78" t="n">
        <f aca="false">IF(OR($B69="",J$35="",N($C69)=0),"",J41/($C69*HoursPerDay*INDEX(Sprints!$E$6:$E$31,7)))</f>
        <v>0</v>
      </c>
      <c r="K69" s="78" t="n">
        <f aca="false">IF(OR($B69="",K$35="",N($C69)=0),"",K41/($C69*HoursPerDay*INDEX(Sprints!$E$6:$E$31,8)))</f>
        <v>0</v>
      </c>
      <c r="L69" s="78" t="n">
        <f aca="false">IF(OR($B69="",L$35="",N($C69)=0),"",L41/($C69*HoursPerDay*INDEX(Sprints!$E$6:$E$31,9)))</f>
        <v>0</v>
      </c>
      <c r="M69" s="78" t="n">
        <f aca="false">IF(OR($B69="",M$35="",N($C69)=0),"",M41/($C69*HoursPerDay*INDEX(Sprints!$E$6:$E$31,10)))</f>
        <v>0</v>
      </c>
      <c r="N69" s="78" t="n">
        <f aca="false">IF(OR($B69="",N$35="",N($C69)=0),"",N41/($C69*HoursPerDay*INDEX(Sprints!$E$6:$E$31,11)))</f>
        <v>0</v>
      </c>
      <c r="O69" s="78" t="n">
        <f aca="false">IF(OR($B69="",O$35="",N($C69)=0),"",O41/($C69*HoursPerDay*INDEX(Sprints!$E$6:$E$31,12)))</f>
        <v>0</v>
      </c>
      <c r="P69" s="78" t="str">
        <f aca="false">IF(OR($B69="",P$35="",N($C69)=0),"",P41/($C69*HoursPerDay*INDEX(Sprints!$E$6:$E$31,13)))</f>
        <v/>
      </c>
      <c r="Q69" s="78" t="str">
        <f aca="false">IF(OR($B69="",Q$35="",N($C69)=0),"",Q41/($C69*HoursPerDay*INDEX(Sprints!$E$6:$E$31,14)))</f>
        <v/>
      </c>
      <c r="R69" s="78" t="str">
        <f aca="false">IF(OR($B69="",R$35="",N($C69)=0),"",R41/($C69*HoursPerDay*INDEX(Sprints!$E$6:$E$31,15)))</f>
        <v/>
      </c>
      <c r="S69" s="78" t="str">
        <f aca="false">IF(OR($B69="",S$35="",N($C69)=0),"",S41/($C69*HoursPerDay*INDEX(Sprints!$E$6:$E$31,16)))</f>
        <v/>
      </c>
      <c r="T69" s="78" t="str">
        <f aca="false">IF(OR($B69="",T$35="",N($C69)=0),"",T41/($C69*HoursPerDay*INDEX(Sprints!$E$6:$E$31,17)))</f>
        <v/>
      </c>
      <c r="U69" s="78" t="str">
        <f aca="false">IF(OR($B69="",U$35="",N($C69)=0),"",U41/($C69*HoursPerDay*INDEX(Sprints!$E$6:$E$31,18)))</f>
        <v/>
      </c>
      <c r="V69" s="78" t="str">
        <f aca="false">IF(OR($B69="",V$35="",N($C69)=0),"",V41/($C69*HoursPerDay*INDEX(Sprints!$E$6:$E$31,19)))</f>
        <v/>
      </c>
      <c r="W69" s="78" t="str">
        <f aca="false">IF(OR($B69="",W$35="",N($C69)=0),"",W41/($C69*HoursPerDay*INDEX(Sprints!$E$6:$E$31,20)))</f>
        <v/>
      </c>
      <c r="X69" s="78" t="str">
        <f aca="false">IF(OR($B69="",X$35="",N($C69)=0),"",X41/($C69*HoursPerDay*INDEX(Sprints!$E$6:$E$31,21)))</f>
        <v/>
      </c>
      <c r="Y69" s="78" t="str">
        <f aca="false">IF(OR($B69="",Y$35="",N($C69)=0),"",Y41/($C69*HoursPerDay*INDEX(Sprints!$E$6:$E$31,22)))</f>
        <v/>
      </c>
      <c r="Z69" s="78" t="str">
        <f aca="false">IF(OR($B69="",Z$35="",N($C69)=0),"",Z41/($C69*HoursPerDay*INDEX(Sprints!$E$6:$E$31,23)))</f>
        <v/>
      </c>
      <c r="AA69" s="78" t="str">
        <f aca="false">IF(OR($B69="",AA$35="",N($C69)=0),"",AA41/($C69*HoursPerDay*INDEX(Sprints!$E$6:$E$31,24)))</f>
        <v/>
      </c>
      <c r="AB69" s="78" t="str">
        <f aca="false">IF(OR($B69="",AB$35="",N($C69)=0),"",AB41/($C69*HoursPerDay*INDEX(Sprints!$E$6:$E$31,25)))</f>
        <v/>
      </c>
      <c r="AC69" s="78" t="str">
        <f aca="false">IF(OR($B69="",AC$35="",N($C69)=0),"",AC41/($C69*HoursPerDay*INDEX(Sprints!$E$6:$E$31,26)))</f>
        <v/>
      </c>
    </row>
    <row r="70" customFormat="false" ht="15" hidden="false" customHeight="false" outlineLevel="0" collapsed="false">
      <c r="B70" s="75" t="str">
        <f aca="false">$B42</f>
        <v>Jordan Lee</v>
      </c>
      <c r="C70" s="76" t="n">
        <f aca="false">$C42</f>
        <v>1</v>
      </c>
      <c r="D70" s="78" t="n">
        <f aca="false">IF(OR($B70="",D$35="",N($C70)=0),"",D42/($C70*HoursPerDay*INDEX(Sprints!$E$6:$E$31,1)))</f>
        <v>0</v>
      </c>
      <c r="E70" s="78" t="n">
        <f aca="false">IF(OR($B70="",E$35="",N($C70)=0),"",E42/($C70*HoursPerDay*INDEX(Sprints!$E$6:$E$31,2)))</f>
        <v>0</v>
      </c>
      <c r="F70" s="78" t="n">
        <f aca="false">IF(OR($B70="",F$35="",N($C70)=0),"",F42/($C70*HoursPerDay*INDEX(Sprints!$E$6:$E$31,3)))</f>
        <v>0.75</v>
      </c>
      <c r="G70" s="78" t="n">
        <f aca="false">IF(OR($B70="",G$35="",N($C70)=0),"",G42/($C70*HoursPerDay*INDEX(Sprints!$E$6:$E$31,4)))</f>
        <v>0.75</v>
      </c>
      <c r="H70" s="78" t="n">
        <f aca="false">IF(OR($B70="",H$35="",N($C70)=0),"",H42/($C70*HoursPerDay*INDEX(Sprints!$E$6:$E$31,5)))</f>
        <v>0.6</v>
      </c>
      <c r="I70" s="78" t="n">
        <f aca="false">IF(OR($B70="",I$35="",N($C70)=0),"",I42/($C70*HoursPerDay*INDEX(Sprints!$E$6:$E$31,6)))</f>
        <v>0</v>
      </c>
      <c r="J70" s="78" t="n">
        <f aca="false">IF(OR($B70="",J$35="",N($C70)=0),"",J42/($C70*HoursPerDay*INDEX(Sprints!$E$6:$E$31,7)))</f>
        <v>0</v>
      </c>
      <c r="K70" s="78" t="n">
        <f aca="false">IF(OR($B70="",K$35="",N($C70)=0),"",K42/($C70*HoursPerDay*INDEX(Sprints!$E$6:$E$31,8)))</f>
        <v>0.375</v>
      </c>
      <c r="L70" s="78" t="n">
        <f aca="false">IF(OR($B70="",L$35="",N($C70)=0),"",L42/($C70*HoursPerDay*INDEX(Sprints!$E$6:$E$31,9)))</f>
        <v>0.25</v>
      </c>
      <c r="M70" s="78" t="n">
        <f aca="false">IF(OR($B70="",M$35="",N($C70)=0),"",M42/($C70*HoursPerDay*INDEX(Sprints!$E$6:$E$31,10)))</f>
        <v>0</v>
      </c>
      <c r="N70" s="78" t="n">
        <f aca="false">IF(OR($B70="",N$35="",N($C70)=0),"",N42/($C70*HoursPerDay*INDEX(Sprints!$E$6:$E$31,11)))</f>
        <v>0</v>
      </c>
      <c r="O70" s="78" t="n">
        <f aca="false">IF(OR($B70="",O$35="",N($C70)=0),"",O42/($C70*HoursPerDay*INDEX(Sprints!$E$6:$E$31,12)))</f>
        <v>0</v>
      </c>
      <c r="P70" s="78" t="str">
        <f aca="false">IF(OR($B70="",P$35="",N($C70)=0),"",P42/($C70*HoursPerDay*INDEX(Sprints!$E$6:$E$31,13)))</f>
        <v/>
      </c>
      <c r="Q70" s="78" t="str">
        <f aca="false">IF(OR($B70="",Q$35="",N($C70)=0),"",Q42/($C70*HoursPerDay*INDEX(Sprints!$E$6:$E$31,14)))</f>
        <v/>
      </c>
      <c r="R70" s="78" t="str">
        <f aca="false">IF(OR($B70="",R$35="",N($C70)=0),"",R42/($C70*HoursPerDay*INDEX(Sprints!$E$6:$E$31,15)))</f>
        <v/>
      </c>
      <c r="S70" s="78" t="str">
        <f aca="false">IF(OR($B70="",S$35="",N($C70)=0),"",S42/($C70*HoursPerDay*INDEX(Sprints!$E$6:$E$31,16)))</f>
        <v/>
      </c>
      <c r="T70" s="78" t="str">
        <f aca="false">IF(OR($B70="",T$35="",N($C70)=0),"",T42/($C70*HoursPerDay*INDEX(Sprints!$E$6:$E$31,17)))</f>
        <v/>
      </c>
      <c r="U70" s="78" t="str">
        <f aca="false">IF(OR($B70="",U$35="",N($C70)=0),"",U42/($C70*HoursPerDay*INDEX(Sprints!$E$6:$E$31,18)))</f>
        <v/>
      </c>
      <c r="V70" s="78" t="str">
        <f aca="false">IF(OR($B70="",V$35="",N($C70)=0),"",V42/($C70*HoursPerDay*INDEX(Sprints!$E$6:$E$31,19)))</f>
        <v/>
      </c>
      <c r="W70" s="78" t="str">
        <f aca="false">IF(OR($B70="",W$35="",N($C70)=0),"",W42/($C70*HoursPerDay*INDEX(Sprints!$E$6:$E$31,20)))</f>
        <v/>
      </c>
      <c r="X70" s="78" t="str">
        <f aca="false">IF(OR($B70="",X$35="",N($C70)=0),"",X42/($C70*HoursPerDay*INDEX(Sprints!$E$6:$E$31,21)))</f>
        <v/>
      </c>
      <c r="Y70" s="78" t="str">
        <f aca="false">IF(OR($B70="",Y$35="",N($C70)=0),"",Y42/($C70*HoursPerDay*INDEX(Sprints!$E$6:$E$31,22)))</f>
        <v/>
      </c>
      <c r="Z70" s="78" t="str">
        <f aca="false">IF(OR($B70="",Z$35="",N($C70)=0),"",Z42/($C70*HoursPerDay*INDEX(Sprints!$E$6:$E$31,23)))</f>
        <v/>
      </c>
      <c r="AA70" s="78" t="str">
        <f aca="false">IF(OR($B70="",AA$35="",N($C70)=0),"",AA42/($C70*HoursPerDay*INDEX(Sprints!$E$6:$E$31,24)))</f>
        <v/>
      </c>
      <c r="AB70" s="78" t="str">
        <f aca="false">IF(OR($B70="",AB$35="",N($C70)=0),"",AB42/($C70*HoursPerDay*INDEX(Sprints!$E$6:$E$31,25)))</f>
        <v/>
      </c>
      <c r="AC70" s="78" t="str">
        <f aca="false">IF(OR($B70="",AC$35="",N($C70)=0),"",AC42/($C70*HoursPerDay*INDEX(Sprints!$E$6:$E$31,26)))</f>
        <v/>
      </c>
    </row>
    <row r="71" customFormat="false" ht="15" hidden="false" customHeight="false" outlineLevel="0" collapsed="false">
      <c r="B71" s="75" t="str">
        <f aca="false">$B43</f>
        <v>Sam Rivera</v>
      </c>
      <c r="C71" s="76" t="n">
        <f aca="false">$C43</f>
        <v>1</v>
      </c>
      <c r="D71" s="78" t="n">
        <f aca="false">IF(OR($B71="",D$35="",N($C71)=0),"",D43/($C71*HoursPerDay*INDEX(Sprints!$E$6:$E$31,1)))</f>
        <v>0</v>
      </c>
      <c r="E71" s="78" t="n">
        <f aca="false">IF(OR($B71="",E$35="",N($C71)=0),"",E43/($C71*HoursPerDay*INDEX(Sprints!$E$6:$E$31,2)))</f>
        <v>0</v>
      </c>
      <c r="F71" s="78" t="n">
        <f aca="false">IF(OR($B71="",F$35="",N($C71)=0),"",F43/($C71*HoursPerDay*INDEX(Sprints!$E$6:$E$31,3)))</f>
        <v>0.6</v>
      </c>
      <c r="G71" s="78" t="n">
        <f aca="false">IF(OR($B71="",G$35="",N($C71)=0),"",G43/($C71*HoursPerDay*INDEX(Sprints!$E$6:$E$31,4)))</f>
        <v>0.933333333333333</v>
      </c>
      <c r="H71" s="78" t="n">
        <f aca="false">IF(OR($B71="",H$35="",N($C71)=0),"",H43/($C71*HoursPerDay*INDEX(Sprints!$E$6:$E$31,5)))</f>
        <v>0.266666666666667</v>
      </c>
      <c r="I71" s="78" t="n">
        <f aca="false">IF(OR($B71="",I$35="",N($C71)=0),"",I43/($C71*HoursPerDay*INDEX(Sprints!$E$6:$E$31,6)))</f>
        <v>0</v>
      </c>
      <c r="J71" s="78" t="n">
        <f aca="false">IF(OR($B71="",J$35="",N($C71)=0),"",J43/($C71*HoursPerDay*INDEX(Sprints!$E$6:$E$31,7)))</f>
        <v>0</v>
      </c>
      <c r="K71" s="78" t="n">
        <f aca="false">IF(OR($B71="",K$35="",N($C71)=0),"",K43/($C71*HoursPerDay*INDEX(Sprints!$E$6:$E$31,8)))</f>
        <v>0</v>
      </c>
      <c r="L71" s="78" t="n">
        <f aca="false">IF(OR($B71="",L$35="",N($C71)=0),"",L43/($C71*HoursPerDay*INDEX(Sprints!$E$6:$E$31,9)))</f>
        <v>0</v>
      </c>
      <c r="M71" s="78" t="n">
        <f aca="false">IF(OR($B71="",M$35="",N($C71)=0),"",M43/($C71*HoursPerDay*INDEX(Sprints!$E$6:$E$31,10)))</f>
        <v>0</v>
      </c>
      <c r="N71" s="78" t="n">
        <f aca="false">IF(OR($B71="",N$35="",N($C71)=0),"",N43/($C71*HoursPerDay*INDEX(Sprints!$E$6:$E$31,11)))</f>
        <v>0</v>
      </c>
      <c r="O71" s="78" t="n">
        <f aca="false">IF(OR($B71="",O$35="",N($C71)=0),"",O43/($C71*HoursPerDay*INDEX(Sprints!$E$6:$E$31,12)))</f>
        <v>0</v>
      </c>
      <c r="P71" s="78" t="str">
        <f aca="false">IF(OR($B71="",P$35="",N($C71)=0),"",P43/($C71*HoursPerDay*INDEX(Sprints!$E$6:$E$31,13)))</f>
        <v/>
      </c>
      <c r="Q71" s="78" t="str">
        <f aca="false">IF(OR($B71="",Q$35="",N($C71)=0),"",Q43/($C71*HoursPerDay*INDEX(Sprints!$E$6:$E$31,14)))</f>
        <v/>
      </c>
      <c r="R71" s="78" t="str">
        <f aca="false">IF(OR($B71="",R$35="",N($C71)=0),"",R43/($C71*HoursPerDay*INDEX(Sprints!$E$6:$E$31,15)))</f>
        <v/>
      </c>
      <c r="S71" s="78" t="str">
        <f aca="false">IF(OR($B71="",S$35="",N($C71)=0),"",S43/($C71*HoursPerDay*INDEX(Sprints!$E$6:$E$31,16)))</f>
        <v/>
      </c>
      <c r="T71" s="78" t="str">
        <f aca="false">IF(OR($B71="",T$35="",N($C71)=0),"",T43/($C71*HoursPerDay*INDEX(Sprints!$E$6:$E$31,17)))</f>
        <v/>
      </c>
      <c r="U71" s="78" t="str">
        <f aca="false">IF(OR($B71="",U$35="",N($C71)=0),"",U43/($C71*HoursPerDay*INDEX(Sprints!$E$6:$E$31,18)))</f>
        <v/>
      </c>
      <c r="V71" s="78" t="str">
        <f aca="false">IF(OR($B71="",V$35="",N($C71)=0),"",V43/($C71*HoursPerDay*INDEX(Sprints!$E$6:$E$31,19)))</f>
        <v/>
      </c>
      <c r="W71" s="78" t="str">
        <f aca="false">IF(OR($B71="",W$35="",N($C71)=0),"",W43/($C71*HoursPerDay*INDEX(Sprints!$E$6:$E$31,20)))</f>
        <v/>
      </c>
      <c r="X71" s="78" t="str">
        <f aca="false">IF(OR($B71="",X$35="",N($C71)=0),"",X43/($C71*HoursPerDay*INDEX(Sprints!$E$6:$E$31,21)))</f>
        <v/>
      </c>
      <c r="Y71" s="78" t="str">
        <f aca="false">IF(OR($B71="",Y$35="",N($C71)=0),"",Y43/($C71*HoursPerDay*INDEX(Sprints!$E$6:$E$31,22)))</f>
        <v/>
      </c>
      <c r="Z71" s="78" t="str">
        <f aca="false">IF(OR($B71="",Z$35="",N($C71)=0),"",Z43/($C71*HoursPerDay*INDEX(Sprints!$E$6:$E$31,23)))</f>
        <v/>
      </c>
      <c r="AA71" s="78" t="str">
        <f aca="false">IF(OR($B71="",AA$35="",N($C71)=0),"",AA43/($C71*HoursPerDay*INDEX(Sprints!$E$6:$E$31,24)))</f>
        <v/>
      </c>
      <c r="AB71" s="78" t="str">
        <f aca="false">IF(OR($B71="",AB$35="",N($C71)=0),"",AB43/($C71*HoursPerDay*INDEX(Sprints!$E$6:$E$31,25)))</f>
        <v/>
      </c>
      <c r="AC71" s="78" t="str">
        <f aca="false">IF(OR($B71="",AC$35="",N($C71)=0),"",AC43/($C71*HoursPerDay*INDEX(Sprints!$E$6:$E$31,26)))</f>
        <v/>
      </c>
    </row>
    <row r="72" customFormat="false" ht="15" hidden="false" customHeight="false" outlineLevel="0" collapsed="false">
      <c r="B72" s="75" t="str">
        <f aca="false">$B44</f>
        <v>Taylor Morgan</v>
      </c>
      <c r="C72" s="76" t="n">
        <f aca="false">$C44</f>
        <v>1</v>
      </c>
      <c r="D72" s="78" t="n">
        <f aca="false">IF(OR($B72="",D$35="",N($C72)=0),"",D44/($C72*HoursPerDay*INDEX(Sprints!$E$6:$E$31,1)))</f>
        <v>0</v>
      </c>
      <c r="E72" s="78" t="n">
        <f aca="false">IF(OR($B72="",E$35="",N($C72)=0),"",E44/($C72*HoursPerDay*INDEX(Sprints!$E$6:$E$31,2)))</f>
        <v>0</v>
      </c>
      <c r="F72" s="78" t="n">
        <f aca="false">IF(OR($B72="",F$35="",N($C72)=0),"",F44/($C72*HoursPerDay*INDEX(Sprints!$E$6:$E$31,3)))</f>
        <v>0</v>
      </c>
      <c r="G72" s="78" t="n">
        <f aca="false">IF(OR($B72="",G$35="",N($C72)=0),"",G44/($C72*HoursPerDay*INDEX(Sprints!$E$6:$E$31,4)))</f>
        <v>0</v>
      </c>
      <c r="H72" s="78" t="n">
        <f aca="false">IF(OR($B72="",H$35="",N($C72)=0),"",H44/($C72*HoursPerDay*INDEX(Sprints!$E$6:$E$31,5)))</f>
        <v>0.48</v>
      </c>
      <c r="I72" s="78" t="n">
        <f aca="false">IF(OR($B72="",I$35="",N($C72)=0),"",I44/($C72*HoursPerDay*INDEX(Sprints!$E$6:$E$31,6)))</f>
        <v>0.32</v>
      </c>
      <c r="J72" s="78" t="n">
        <f aca="false">IF(OR($B72="",J$35="",N($C72)=0),"",J44/($C72*HoursPerDay*INDEX(Sprints!$E$6:$E$31,7)))</f>
        <v>0</v>
      </c>
      <c r="K72" s="78" t="n">
        <f aca="false">IF(OR($B72="",K$35="",N($C72)=0),"",K44/($C72*HoursPerDay*INDEX(Sprints!$E$6:$E$31,8)))</f>
        <v>0</v>
      </c>
      <c r="L72" s="78" t="n">
        <f aca="false">IF(OR($B72="",L$35="",N($C72)=0),"",L44/($C72*HoursPerDay*INDEX(Sprints!$E$6:$E$31,9)))</f>
        <v>0</v>
      </c>
      <c r="M72" s="78" t="n">
        <f aca="false">IF(OR($B72="",M$35="",N($C72)=0),"",M44/($C72*HoursPerDay*INDEX(Sprints!$E$6:$E$31,10)))</f>
        <v>0</v>
      </c>
      <c r="N72" s="78" t="n">
        <f aca="false">IF(OR($B72="",N$35="",N($C72)=0),"",N44/($C72*HoursPerDay*INDEX(Sprints!$E$6:$E$31,11)))</f>
        <v>0</v>
      </c>
      <c r="O72" s="78" t="n">
        <f aca="false">IF(OR($B72="",O$35="",N($C72)=0),"",O44/($C72*HoursPerDay*INDEX(Sprints!$E$6:$E$31,12)))</f>
        <v>0</v>
      </c>
      <c r="P72" s="78" t="str">
        <f aca="false">IF(OR($B72="",P$35="",N($C72)=0),"",P44/($C72*HoursPerDay*INDEX(Sprints!$E$6:$E$31,13)))</f>
        <v/>
      </c>
      <c r="Q72" s="78" t="str">
        <f aca="false">IF(OR($B72="",Q$35="",N($C72)=0),"",Q44/($C72*HoursPerDay*INDEX(Sprints!$E$6:$E$31,14)))</f>
        <v/>
      </c>
      <c r="R72" s="78" t="str">
        <f aca="false">IF(OR($B72="",R$35="",N($C72)=0),"",R44/($C72*HoursPerDay*INDEX(Sprints!$E$6:$E$31,15)))</f>
        <v/>
      </c>
      <c r="S72" s="78" t="str">
        <f aca="false">IF(OR($B72="",S$35="",N($C72)=0),"",S44/($C72*HoursPerDay*INDEX(Sprints!$E$6:$E$31,16)))</f>
        <v/>
      </c>
      <c r="T72" s="78" t="str">
        <f aca="false">IF(OR($B72="",T$35="",N($C72)=0),"",T44/($C72*HoursPerDay*INDEX(Sprints!$E$6:$E$31,17)))</f>
        <v/>
      </c>
      <c r="U72" s="78" t="str">
        <f aca="false">IF(OR($B72="",U$35="",N($C72)=0),"",U44/($C72*HoursPerDay*INDEX(Sprints!$E$6:$E$31,18)))</f>
        <v/>
      </c>
      <c r="V72" s="78" t="str">
        <f aca="false">IF(OR($B72="",V$35="",N($C72)=0),"",V44/($C72*HoursPerDay*INDEX(Sprints!$E$6:$E$31,19)))</f>
        <v/>
      </c>
      <c r="W72" s="78" t="str">
        <f aca="false">IF(OR($B72="",W$35="",N($C72)=0),"",W44/($C72*HoursPerDay*INDEX(Sprints!$E$6:$E$31,20)))</f>
        <v/>
      </c>
      <c r="X72" s="78" t="str">
        <f aca="false">IF(OR($B72="",X$35="",N($C72)=0),"",X44/($C72*HoursPerDay*INDEX(Sprints!$E$6:$E$31,21)))</f>
        <v/>
      </c>
      <c r="Y72" s="78" t="str">
        <f aca="false">IF(OR($B72="",Y$35="",N($C72)=0),"",Y44/($C72*HoursPerDay*INDEX(Sprints!$E$6:$E$31,22)))</f>
        <v/>
      </c>
      <c r="Z72" s="78" t="str">
        <f aca="false">IF(OR($B72="",Z$35="",N($C72)=0),"",Z44/($C72*HoursPerDay*INDEX(Sprints!$E$6:$E$31,23)))</f>
        <v/>
      </c>
      <c r="AA72" s="78" t="str">
        <f aca="false">IF(OR($B72="",AA$35="",N($C72)=0),"",AA44/($C72*HoursPerDay*INDEX(Sprints!$E$6:$E$31,24)))</f>
        <v/>
      </c>
      <c r="AB72" s="78" t="str">
        <f aca="false">IF(OR($B72="",AB$35="",N($C72)=0),"",AB44/($C72*HoursPerDay*INDEX(Sprints!$E$6:$E$31,25)))</f>
        <v/>
      </c>
      <c r="AC72" s="78" t="str">
        <f aca="false">IF(OR($B72="",AC$35="",N($C72)=0),"",AC44/($C72*HoursPerDay*INDEX(Sprints!$E$6:$E$31,26)))</f>
        <v/>
      </c>
    </row>
    <row r="73" customFormat="false" ht="15" hidden="false" customHeight="false" outlineLevel="0" collapsed="false">
      <c r="B73" s="75" t="str">
        <f aca="false">$B45</f>
        <v/>
      </c>
      <c r="C73" s="76" t="str">
        <f aca="false">$C45</f>
        <v/>
      </c>
      <c r="D73" s="78" t="str">
        <f aca="false">IF(OR($B73="",D$35="",N($C73)=0),"",D45/($C73*HoursPerDay*INDEX(Sprints!$E$6:$E$31,1)))</f>
        <v/>
      </c>
      <c r="E73" s="78" t="str">
        <f aca="false">IF(OR($B73="",E$35="",N($C73)=0),"",E45/($C73*HoursPerDay*INDEX(Sprints!$E$6:$E$31,2)))</f>
        <v/>
      </c>
      <c r="F73" s="78" t="str">
        <f aca="false">IF(OR($B73="",F$35="",N($C73)=0),"",F45/($C73*HoursPerDay*INDEX(Sprints!$E$6:$E$31,3)))</f>
        <v/>
      </c>
      <c r="G73" s="78" t="str">
        <f aca="false">IF(OR($B73="",G$35="",N($C73)=0),"",G45/($C73*HoursPerDay*INDEX(Sprints!$E$6:$E$31,4)))</f>
        <v/>
      </c>
      <c r="H73" s="78" t="str">
        <f aca="false">IF(OR($B73="",H$35="",N($C73)=0),"",H45/($C73*HoursPerDay*INDEX(Sprints!$E$6:$E$31,5)))</f>
        <v/>
      </c>
      <c r="I73" s="78" t="str">
        <f aca="false">IF(OR($B73="",I$35="",N($C73)=0),"",I45/($C73*HoursPerDay*INDEX(Sprints!$E$6:$E$31,6)))</f>
        <v/>
      </c>
      <c r="J73" s="78" t="str">
        <f aca="false">IF(OR($B73="",J$35="",N($C73)=0),"",J45/($C73*HoursPerDay*INDEX(Sprints!$E$6:$E$31,7)))</f>
        <v/>
      </c>
      <c r="K73" s="78" t="str">
        <f aca="false">IF(OR($B73="",K$35="",N($C73)=0),"",K45/($C73*HoursPerDay*INDEX(Sprints!$E$6:$E$31,8)))</f>
        <v/>
      </c>
      <c r="L73" s="78" t="str">
        <f aca="false">IF(OR($B73="",L$35="",N($C73)=0),"",L45/($C73*HoursPerDay*INDEX(Sprints!$E$6:$E$31,9)))</f>
        <v/>
      </c>
      <c r="M73" s="78" t="str">
        <f aca="false">IF(OR($B73="",M$35="",N($C73)=0),"",M45/($C73*HoursPerDay*INDEX(Sprints!$E$6:$E$31,10)))</f>
        <v/>
      </c>
      <c r="N73" s="78" t="str">
        <f aca="false">IF(OR($B73="",N$35="",N($C73)=0),"",N45/($C73*HoursPerDay*INDEX(Sprints!$E$6:$E$31,11)))</f>
        <v/>
      </c>
      <c r="O73" s="78" t="str">
        <f aca="false">IF(OR($B73="",O$35="",N($C73)=0),"",O45/($C73*HoursPerDay*INDEX(Sprints!$E$6:$E$31,12)))</f>
        <v/>
      </c>
      <c r="P73" s="78" t="str">
        <f aca="false">IF(OR($B73="",P$35="",N($C73)=0),"",P45/($C73*HoursPerDay*INDEX(Sprints!$E$6:$E$31,13)))</f>
        <v/>
      </c>
      <c r="Q73" s="78" t="str">
        <f aca="false">IF(OR($B73="",Q$35="",N($C73)=0),"",Q45/($C73*HoursPerDay*INDEX(Sprints!$E$6:$E$31,14)))</f>
        <v/>
      </c>
      <c r="R73" s="78" t="str">
        <f aca="false">IF(OR($B73="",R$35="",N($C73)=0),"",R45/($C73*HoursPerDay*INDEX(Sprints!$E$6:$E$31,15)))</f>
        <v/>
      </c>
      <c r="S73" s="78" t="str">
        <f aca="false">IF(OR($B73="",S$35="",N($C73)=0),"",S45/($C73*HoursPerDay*INDEX(Sprints!$E$6:$E$31,16)))</f>
        <v/>
      </c>
      <c r="T73" s="78" t="str">
        <f aca="false">IF(OR($B73="",T$35="",N($C73)=0),"",T45/($C73*HoursPerDay*INDEX(Sprints!$E$6:$E$31,17)))</f>
        <v/>
      </c>
      <c r="U73" s="78" t="str">
        <f aca="false">IF(OR($B73="",U$35="",N($C73)=0),"",U45/($C73*HoursPerDay*INDEX(Sprints!$E$6:$E$31,18)))</f>
        <v/>
      </c>
      <c r="V73" s="78" t="str">
        <f aca="false">IF(OR($B73="",V$35="",N($C73)=0),"",V45/($C73*HoursPerDay*INDEX(Sprints!$E$6:$E$31,19)))</f>
        <v/>
      </c>
      <c r="W73" s="78" t="str">
        <f aca="false">IF(OR($B73="",W$35="",N($C73)=0),"",W45/($C73*HoursPerDay*INDEX(Sprints!$E$6:$E$31,20)))</f>
        <v/>
      </c>
      <c r="X73" s="78" t="str">
        <f aca="false">IF(OR($B73="",X$35="",N($C73)=0),"",X45/($C73*HoursPerDay*INDEX(Sprints!$E$6:$E$31,21)))</f>
        <v/>
      </c>
      <c r="Y73" s="78" t="str">
        <f aca="false">IF(OR($B73="",Y$35="",N($C73)=0),"",Y45/($C73*HoursPerDay*INDEX(Sprints!$E$6:$E$31,22)))</f>
        <v/>
      </c>
      <c r="Z73" s="78" t="str">
        <f aca="false">IF(OR($B73="",Z$35="",N($C73)=0),"",Z45/($C73*HoursPerDay*INDEX(Sprints!$E$6:$E$31,23)))</f>
        <v/>
      </c>
      <c r="AA73" s="78" t="str">
        <f aca="false">IF(OR($B73="",AA$35="",N($C73)=0),"",AA45/($C73*HoursPerDay*INDEX(Sprints!$E$6:$E$31,24)))</f>
        <v/>
      </c>
      <c r="AB73" s="78" t="str">
        <f aca="false">IF(OR($B73="",AB$35="",N($C73)=0),"",AB45/($C73*HoursPerDay*INDEX(Sprints!$E$6:$E$31,25)))</f>
        <v/>
      </c>
      <c r="AC73" s="78" t="str">
        <f aca="false">IF(OR($B73="",AC$35="",N($C73)=0),"",AC45/($C73*HoursPerDay*INDEX(Sprints!$E$6:$E$31,26)))</f>
        <v/>
      </c>
    </row>
    <row r="74" customFormat="false" ht="15" hidden="false" customHeight="false" outlineLevel="0" collapsed="false">
      <c r="B74" s="75" t="str">
        <f aca="false">$B46</f>
        <v/>
      </c>
      <c r="C74" s="76" t="str">
        <f aca="false">$C46</f>
        <v/>
      </c>
      <c r="D74" s="78" t="str">
        <f aca="false">IF(OR($B74="",D$35="",N($C74)=0),"",D46/($C74*HoursPerDay*INDEX(Sprints!$E$6:$E$31,1)))</f>
        <v/>
      </c>
      <c r="E74" s="78" t="str">
        <f aca="false">IF(OR($B74="",E$35="",N($C74)=0),"",E46/($C74*HoursPerDay*INDEX(Sprints!$E$6:$E$31,2)))</f>
        <v/>
      </c>
      <c r="F74" s="78" t="str">
        <f aca="false">IF(OR($B74="",F$35="",N($C74)=0),"",F46/($C74*HoursPerDay*INDEX(Sprints!$E$6:$E$31,3)))</f>
        <v/>
      </c>
      <c r="G74" s="78" t="str">
        <f aca="false">IF(OR($B74="",G$35="",N($C74)=0),"",G46/($C74*HoursPerDay*INDEX(Sprints!$E$6:$E$31,4)))</f>
        <v/>
      </c>
      <c r="H74" s="78" t="str">
        <f aca="false">IF(OR($B74="",H$35="",N($C74)=0),"",H46/($C74*HoursPerDay*INDEX(Sprints!$E$6:$E$31,5)))</f>
        <v/>
      </c>
      <c r="I74" s="78" t="str">
        <f aca="false">IF(OR($B74="",I$35="",N($C74)=0),"",I46/($C74*HoursPerDay*INDEX(Sprints!$E$6:$E$31,6)))</f>
        <v/>
      </c>
      <c r="J74" s="78" t="str">
        <f aca="false">IF(OR($B74="",J$35="",N($C74)=0),"",J46/($C74*HoursPerDay*INDEX(Sprints!$E$6:$E$31,7)))</f>
        <v/>
      </c>
      <c r="K74" s="78" t="str">
        <f aca="false">IF(OR($B74="",K$35="",N($C74)=0),"",K46/($C74*HoursPerDay*INDEX(Sprints!$E$6:$E$31,8)))</f>
        <v/>
      </c>
      <c r="L74" s="78" t="str">
        <f aca="false">IF(OR($B74="",L$35="",N($C74)=0),"",L46/($C74*HoursPerDay*INDEX(Sprints!$E$6:$E$31,9)))</f>
        <v/>
      </c>
      <c r="M74" s="78" t="str">
        <f aca="false">IF(OR($B74="",M$35="",N($C74)=0),"",M46/($C74*HoursPerDay*INDEX(Sprints!$E$6:$E$31,10)))</f>
        <v/>
      </c>
      <c r="N74" s="78" t="str">
        <f aca="false">IF(OR($B74="",N$35="",N($C74)=0),"",N46/($C74*HoursPerDay*INDEX(Sprints!$E$6:$E$31,11)))</f>
        <v/>
      </c>
      <c r="O74" s="78" t="str">
        <f aca="false">IF(OR($B74="",O$35="",N($C74)=0),"",O46/($C74*HoursPerDay*INDEX(Sprints!$E$6:$E$31,12)))</f>
        <v/>
      </c>
      <c r="P74" s="78" t="str">
        <f aca="false">IF(OR($B74="",P$35="",N($C74)=0),"",P46/($C74*HoursPerDay*INDEX(Sprints!$E$6:$E$31,13)))</f>
        <v/>
      </c>
      <c r="Q74" s="78" t="str">
        <f aca="false">IF(OR($B74="",Q$35="",N($C74)=0),"",Q46/($C74*HoursPerDay*INDEX(Sprints!$E$6:$E$31,14)))</f>
        <v/>
      </c>
      <c r="R74" s="78" t="str">
        <f aca="false">IF(OR($B74="",R$35="",N($C74)=0),"",R46/($C74*HoursPerDay*INDEX(Sprints!$E$6:$E$31,15)))</f>
        <v/>
      </c>
      <c r="S74" s="78" t="str">
        <f aca="false">IF(OR($B74="",S$35="",N($C74)=0),"",S46/($C74*HoursPerDay*INDEX(Sprints!$E$6:$E$31,16)))</f>
        <v/>
      </c>
      <c r="T74" s="78" t="str">
        <f aca="false">IF(OR($B74="",T$35="",N($C74)=0),"",T46/($C74*HoursPerDay*INDEX(Sprints!$E$6:$E$31,17)))</f>
        <v/>
      </c>
      <c r="U74" s="78" t="str">
        <f aca="false">IF(OR($B74="",U$35="",N($C74)=0),"",U46/($C74*HoursPerDay*INDEX(Sprints!$E$6:$E$31,18)))</f>
        <v/>
      </c>
      <c r="V74" s="78" t="str">
        <f aca="false">IF(OR($B74="",V$35="",N($C74)=0),"",V46/($C74*HoursPerDay*INDEX(Sprints!$E$6:$E$31,19)))</f>
        <v/>
      </c>
      <c r="W74" s="78" t="str">
        <f aca="false">IF(OR($B74="",W$35="",N($C74)=0),"",W46/($C74*HoursPerDay*INDEX(Sprints!$E$6:$E$31,20)))</f>
        <v/>
      </c>
      <c r="X74" s="78" t="str">
        <f aca="false">IF(OR($B74="",X$35="",N($C74)=0),"",X46/($C74*HoursPerDay*INDEX(Sprints!$E$6:$E$31,21)))</f>
        <v/>
      </c>
      <c r="Y74" s="78" t="str">
        <f aca="false">IF(OR($B74="",Y$35="",N($C74)=0),"",Y46/($C74*HoursPerDay*INDEX(Sprints!$E$6:$E$31,22)))</f>
        <v/>
      </c>
      <c r="Z74" s="78" t="str">
        <f aca="false">IF(OR($B74="",Z$35="",N($C74)=0),"",Z46/($C74*HoursPerDay*INDEX(Sprints!$E$6:$E$31,23)))</f>
        <v/>
      </c>
      <c r="AA74" s="78" t="str">
        <f aca="false">IF(OR($B74="",AA$35="",N($C74)=0),"",AA46/($C74*HoursPerDay*INDEX(Sprints!$E$6:$E$31,24)))</f>
        <v/>
      </c>
      <c r="AB74" s="78" t="str">
        <f aca="false">IF(OR($B74="",AB$35="",N($C74)=0),"",AB46/($C74*HoursPerDay*INDEX(Sprints!$E$6:$E$31,25)))</f>
        <v/>
      </c>
      <c r="AC74" s="78" t="str">
        <f aca="false">IF(OR($B74="",AC$35="",N($C74)=0),"",AC46/($C74*HoursPerDay*INDEX(Sprints!$E$6:$E$31,26)))</f>
        <v/>
      </c>
    </row>
    <row r="75" customFormat="false" ht="15" hidden="false" customHeight="false" outlineLevel="0" collapsed="false">
      <c r="B75" s="75" t="str">
        <f aca="false">$B47</f>
        <v/>
      </c>
      <c r="C75" s="76" t="str">
        <f aca="false">$C47</f>
        <v/>
      </c>
      <c r="D75" s="78" t="str">
        <f aca="false">IF(OR($B75="",D$35="",N($C75)=0),"",D47/($C75*HoursPerDay*INDEX(Sprints!$E$6:$E$31,1)))</f>
        <v/>
      </c>
      <c r="E75" s="78" t="str">
        <f aca="false">IF(OR($B75="",E$35="",N($C75)=0),"",E47/($C75*HoursPerDay*INDEX(Sprints!$E$6:$E$31,2)))</f>
        <v/>
      </c>
      <c r="F75" s="78" t="str">
        <f aca="false">IF(OR($B75="",F$35="",N($C75)=0),"",F47/($C75*HoursPerDay*INDEX(Sprints!$E$6:$E$31,3)))</f>
        <v/>
      </c>
      <c r="G75" s="78" t="str">
        <f aca="false">IF(OR($B75="",G$35="",N($C75)=0),"",G47/($C75*HoursPerDay*INDEX(Sprints!$E$6:$E$31,4)))</f>
        <v/>
      </c>
      <c r="H75" s="78" t="str">
        <f aca="false">IF(OR($B75="",H$35="",N($C75)=0),"",H47/($C75*HoursPerDay*INDEX(Sprints!$E$6:$E$31,5)))</f>
        <v/>
      </c>
      <c r="I75" s="78" t="str">
        <f aca="false">IF(OR($B75="",I$35="",N($C75)=0),"",I47/($C75*HoursPerDay*INDEX(Sprints!$E$6:$E$31,6)))</f>
        <v/>
      </c>
      <c r="J75" s="78" t="str">
        <f aca="false">IF(OR($B75="",J$35="",N($C75)=0),"",J47/($C75*HoursPerDay*INDEX(Sprints!$E$6:$E$31,7)))</f>
        <v/>
      </c>
      <c r="K75" s="78" t="str">
        <f aca="false">IF(OR($B75="",K$35="",N($C75)=0),"",K47/($C75*HoursPerDay*INDEX(Sprints!$E$6:$E$31,8)))</f>
        <v/>
      </c>
      <c r="L75" s="78" t="str">
        <f aca="false">IF(OR($B75="",L$35="",N($C75)=0),"",L47/($C75*HoursPerDay*INDEX(Sprints!$E$6:$E$31,9)))</f>
        <v/>
      </c>
      <c r="M75" s="78" t="str">
        <f aca="false">IF(OR($B75="",M$35="",N($C75)=0),"",M47/($C75*HoursPerDay*INDEX(Sprints!$E$6:$E$31,10)))</f>
        <v/>
      </c>
      <c r="N75" s="78" t="str">
        <f aca="false">IF(OR($B75="",N$35="",N($C75)=0),"",N47/($C75*HoursPerDay*INDEX(Sprints!$E$6:$E$31,11)))</f>
        <v/>
      </c>
      <c r="O75" s="78" t="str">
        <f aca="false">IF(OR($B75="",O$35="",N($C75)=0),"",O47/($C75*HoursPerDay*INDEX(Sprints!$E$6:$E$31,12)))</f>
        <v/>
      </c>
      <c r="P75" s="78" t="str">
        <f aca="false">IF(OR($B75="",P$35="",N($C75)=0),"",P47/($C75*HoursPerDay*INDEX(Sprints!$E$6:$E$31,13)))</f>
        <v/>
      </c>
      <c r="Q75" s="78" t="str">
        <f aca="false">IF(OR($B75="",Q$35="",N($C75)=0),"",Q47/($C75*HoursPerDay*INDEX(Sprints!$E$6:$E$31,14)))</f>
        <v/>
      </c>
      <c r="R75" s="78" t="str">
        <f aca="false">IF(OR($B75="",R$35="",N($C75)=0),"",R47/($C75*HoursPerDay*INDEX(Sprints!$E$6:$E$31,15)))</f>
        <v/>
      </c>
      <c r="S75" s="78" t="str">
        <f aca="false">IF(OR($B75="",S$35="",N($C75)=0),"",S47/($C75*HoursPerDay*INDEX(Sprints!$E$6:$E$31,16)))</f>
        <v/>
      </c>
      <c r="T75" s="78" t="str">
        <f aca="false">IF(OR($B75="",T$35="",N($C75)=0),"",T47/($C75*HoursPerDay*INDEX(Sprints!$E$6:$E$31,17)))</f>
        <v/>
      </c>
      <c r="U75" s="78" t="str">
        <f aca="false">IF(OR($B75="",U$35="",N($C75)=0),"",U47/($C75*HoursPerDay*INDEX(Sprints!$E$6:$E$31,18)))</f>
        <v/>
      </c>
      <c r="V75" s="78" t="str">
        <f aca="false">IF(OR($B75="",V$35="",N($C75)=0),"",V47/($C75*HoursPerDay*INDEX(Sprints!$E$6:$E$31,19)))</f>
        <v/>
      </c>
      <c r="W75" s="78" t="str">
        <f aca="false">IF(OR($B75="",W$35="",N($C75)=0),"",W47/($C75*HoursPerDay*INDEX(Sprints!$E$6:$E$31,20)))</f>
        <v/>
      </c>
      <c r="X75" s="78" t="str">
        <f aca="false">IF(OR($B75="",X$35="",N($C75)=0),"",X47/($C75*HoursPerDay*INDEX(Sprints!$E$6:$E$31,21)))</f>
        <v/>
      </c>
      <c r="Y75" s="78" t="str">
        <f aca="false">IF(OR($B75="",Y$35="",N($C75)=0),"",Y47/($C75*HoursPerDay*INDEX(Sprints!$E$6:$E$31,22)))</f>
        <v/>
      </c>
      <c r="Z75" s="78" t="str">
        <f aca="false">IF(OR($B75="",Z$35="",N($C75)=0),"",Z47/($C75*HoursPerDay*INDEX(Sprints!$E$6:$E$31,23)))</f>
        <v/>
      </c>
      <c r="AA75" s="78" t="str">
        <f aca="false">IF(OR($B75="",AA$35="",N($C75)=0),"",AA47/($C75*HoursPerDay*INDEX(Sprints!$E$6:$E$31,24)))</f>
        <v/>
      </c>
      <c r="AB75" s="78" t="str">
        <f aca="false">IF(OR($B75="",AB$35="",N($C75)=0),"",AB47/($C75*HoursPerDay*INDEX(Sprints!$E$6:$E$31,25)))</f>
        <v/>
      </c>
      <c r="AC75" s="78" t="str">
        <f aca="false">IF(OR($B75="",AC$35="",N($C75)=0),"",AC47/($C75*HoursPerDay*INDEX(Sprints!$E$6:$E$31,26)))</f>
        <v/>
      </c>
    </row>
    <row r="76" customFormat="false" ht="15" hidden="false" customHeight="false" outlineLevel="0" collapsed="false">
      <c r="B76" s="75" t="str">
        <f aca="false">$B48</f>
        <v/>
      </c>
      <c r="C76" s="76" t="str">
        <f aca="false">$C48</f>
        <v/>
      </c>
      <c r="D76" s="78" t="str">
        <f aca="false">IF(OR($B76="",D$35="",N($C76)=0),"",D48/($C76*HoursPerDay*INDEX(Sprints!$E$6:$E$31,1)))</f>
        <v/>
      </c>
      <c r="E76" s="78" t="str">
        <f aca="false">IF(OR($B76="",E$35="",N($C76)=0),"",E48/($C76*HoursPerDay*INDEX(Sprints!$E$6:$E$31,2)))</f>
        <v/>
      </c>
      <c r="F76" s="78" t="str">
        <f aca="false">IF(OR($B76="",F$35="",N($C76)=0),"",F48/($C76*HoursPerDay*INDEX(Sprints!$E$6:$E$31,3)))</f>
        <v/>
      </c>
      <c r="G76" s="78" t="str">
        <f aca="false">IF(OR($B76="",G$35="",N($C76)=0),"",G48/($C76*HoursPerDay*INDEX(Sprints!$E$6:$E$31,4)))</f>
        <v/>
      </c>
      <c r="H76" s="78" t="str">
        <f aca="false">IF(OR($B76="",H$35="",N($C76)=0),"",H48/($C76*HoursPerDay*INDEX(Sprints!$E$6:$E$31,5)))</f>
        <v/>
      </c>
      <c r="I76" s="78" t="str">
        <f aca="false">IF(OR($B76="",I$35="",N($C76)=0),"",I48/($C76*HoursPerDay*INDEX(Sprints!$E$6:$E$31,6)))</f>
        <v/>
      </c>
      <c r="J76" s="78" t="str">
        <f aca="false">IF(OR($B76="",J$35="",N($C76)=0),"",J48/($C76*HoursPerDay*INDEX(Sprints!$E$6:$E$31,7)))</f>
        <v/>
      </c>
      <c r="K76" s="78" t="str">
        <f aca="false">IF(OR($B76="",K$35="",N($C76)=0),"",K48/($C76*HoursPerDay*INDEX(Sprints!$E$6:$E$31,8)))</f>
        <v/>
      </c>
      <c r="L76" s="78" t="str">
        <f aca="false">IF(OR($B76="",L$35="",N($C76)=0),"",L48/($C76*HoursPerDay*INDEX(Sprints!$E$6:$E$31,9)))</f>
        <v/>
      </c>
      <c r="M76" s="78" t="str">
        <f aca="false">IF(OR($B76="",M$35="",N($C76)=0),"",M48/($C76*HoursPerDay*INDEX(Sprints!$E$6:$E$31,10)))</f>
        <v/>
      </c>
      <c r="N76" s="78" t="str">
        <f aca="false">IF(OR($B76="",N$35="",N($C76)=0),"",N48/($C76*HoursPerDay*INDEX(Sprints!$E$6:$E$31,11)))</f>
        <v/>
      </c>
      <c r="O76" s="78" t="str">
        <f aca="false">IF(OR($B76="",O$35="",N($C76)=0),"",O48/($C76*HoursPerDay*INDEX(Sprints!$E$6:$E$31,12)))</f>
        <v/>
      </c>
      <c r="P76" s="78" t="str">
        <f aca="false">IF(OR($B76="",P$35="",N($C76)=0),"",P48/($C76*HoursPerDay*INDEX(Sprints!$E$6:$E$31,13)))</f>
        <v/>
      </c>
      <c r="Q76" s="78" t="str">
        <f aca="false">IF(OR($B76="",Q$35="",N($C76)=0),"",Q48/($C76*HoursPerDay*INDEX(Sprints!$E$6:$E$31,14)))</f>
        <v/>
      </c>
      <c r="R76" s="78" t="str">
        <f aca="false">IF(OR($B76="",R$35="",N($C76)=0),"",R48/($C76*HoursPerDay*INDEX(Sprints!$E$6:$E$31,15)))</f>
        <v/>
      </c>
      <c r="S76" s="78" t="str">
        <f aca="false">IF(OR($B76="",S$35="",N($C76)=0),"",S48/($C76*HoursPerDay*INDEX(Sprints!$E$6:$E$31,16)))</f>
        <v/>
      </c>
      <c r="T76" s="78" t="str">
        <f aca="false">IF(OR($B76="",T$35="",N($C76)=0),"",T48/($C76*HoursPerDay*INDEX(Sprints!$E$6:$E$31,17)))</f>
        <v/>
      </c>
      <c r="U76" s="78" t="str">
        <f aca="false">IF(OR($B76="",U$35="",N($C76)=0),"",U48/($C76*HoursPerDay*INDEX(Sprints!$E$6:$E$31,18)))</f>
        <v/>
      </c>
      <c r="V76" s="78" t="str">
        <f aca="false">IF(OR($B76="",V$35="",N($C76)=0),"",V48/($C76*HoursPerDay*INDEX(Sprints!$E$6:$E$31,19)))</f>
        <v/>
      </c>
      <c r="W76" s="78" t="str">
        <f aca="false">IF(OR($B76="",W$35="",N($C76)=0),"",W48/($C76*HoursPerDay*INDEX(Sprints!$E$6:$E$31,20)))</f>
        <v/>
      </c>
      <c r="X76" s="78" t="str">
        <f aca="false">IF(OR($B76="",X$35="",N($C76)=0),"",X48/($C76*HoursPerDay*INDEX(Sprints!$E$6:$E$31,21)))</f>
        <v/>
      </c>
      <c r="Y76" s="78" t="str">
        <f aca="false">IF(OR($B76="",Y$35="",N($C76)=0),"",Y48/($C76*HoursPerDay*INDEX(Sprints!$E$6:$E$31,22)))</f>
        <v/>
      </c>
      <c r="Z76" s="78" t="str">
        <f aca="false">IF(OR($B76="",Z$35="",N($C76)=0),"",Z48/($C76*HoursPerDay*INDEX(Sprints!$E$6:$E$31,23)))</f>
        <v/>
      </c>
      <c r="AA76" s="78" t="str">
        <f aca="false">IF(OR($B76="",AA$35="",N($C76)=0),"",AA48/($C76*HoursPerDay*INDEX(Sprints!$E$6:$E$31,24)))</f>
        <v/>
      </c>
      <c r="AB76" s="78" t="str">
        <f aca="false">IF(OR($B76="",AB$35="",N($C76)=0),"",AB48/($C76*HoursPerDay*INDEX(Sprints!$E$6:$E$31,25)))</f>
        <v/>
      </c>
      <c r="AC76" s="78" t="str">
        <f aca="false">IF(OR($B76="",AC$35="",N($C76)=0),"",AC48/($C76*HoursPerDay*INDEX(Sprints!$E$6:$E$31,26)))</f>
        <v/>
      </c>
    </row>
    <row r="77" customFormat="false" ht="15" hidden="false" customHeight="false" outlineLevel="0" collapsed="false">
      <c r="B77" s="75" t="str">
        <f aca="false">$B49</f>
        <v/>
      </c>
      <c r="C77" s="76" t="str">
        <f aca="false">$C49</f>
        <v/>
      </c>
      <c r="D77" s="78" t="str">
        <f aca="false">IF(OR($B77="",D$35="",N($C77)=0),"",D49/($C77*HoursPerDay*INDEX(Sprints!$E$6:$E$31,1)))</f>
        <v/>
      </c>
      <c r="E77" s="78" t="str">
        <f aca="false">IF(OR($B77="",E$35="",N($C77)=0),"",E49/($C77*HoursPerDay*INDEX(Sprints!$E$6:$E$31,2)))</f>
        <v/>
      </c>
      <c r="F77" s="78" t="str">
        <f aca="false">IF(OR($B77="",F$35="",N($C77)=0),"",F49/($C77*HoursPerDay*INDEX(Sprints!$E$6:$E$31,3)))</f>
        <v/>
      </c>
      <c r="G77" s="78" t="str">
        <f aca="false">IF(OR($B77="",G$35="",N($C77)=0),"",G49/($C77*HoursPerDay*INDEX(Sprints!$E$6:$E$31,4)))</f>
        <v/>
      </c>
      <c r="H77" s="78" t="str">
        <f aca="false">IF(OR($B77="",H$35="",N($C77)=0),"",H49/($C77*HoursPerDay*INDEX(Sprints!$E$6:$E$31,5)))</f>
        <v/>
      </c>
      <c r="I77" s="78" t="str">
        <f aca="false">IF(OR($B77="",I$35="",N($C77)=0),"",I49/($C77*HoursPerDay*INDEX(Sprints!$E$6:$E$31,6)))</f>
        <v/>
      </c>
      <c r="J77" s="78" t="str">
        <f aca="false">IF(OR($B77="",J$35="",N($C77)=0),"",J49/($C77*HoursPerDay*INDEX(Sprints!$E$6:$E$31,7)))</f>
        <v/>
      </c>
      <c r="K77" s="78" t="str">
        <f aca="false">IF(OR($B77="",K$35="",N($C77)=0),"",K49/($C77*HoursPerDay*INDEX(Sprints!$E$6:$E$31,8)))</f>
        <v/>
      </c>
      <c r="L77" s="78" t="str">
        <f aca="false">IF(OR($B77="",L$35="",N($C77)=0),"",L49/($C77*HoursPerDay*INDEX(Sprints!$E$6:$E$31,9)))</f>
        <v/>
      </c>
      <c r="M77" s="78" t="str">
        <f aca="false">IF(OR($B77="",M$35="",N($C77)=0),"",M49/($C77*HoursPerDay*INDEX(Sprints!$E$6:$E$31,10)))</f>
        <v/>
      </c>
      <c r="N77" s="78" t="str">
        <f aca="false">IF(OR($B77="",N$35="",N($C77)=0),"",N49/($C77*HoursPerDay*INDEX(Sprints!$E$6:$E$31,11)))</f>
        <v/>
      </c>
      <c r="O77" s="78" t="str">
        <f aca="false">IF(OR($B77="",O$35="",N($C77)=0),"",O49/($C77*HoursPerDay*INDEX(Sprints!$E$6:$E$31,12)))</f>
        <v/>
      </c>
      <c r="P77" s="78" t="str">
        <f aca="false">IF(OR($B77="",P$35="",N($C77)=0),"",P49/($C77*HoursPerDay*INDEX(Sprints!$E$6:$E$31,13)))</f>
        <v/>
      </c>
      <c r="Q77" s="78" t="str">
        <f aca="false">IF(OR($B77="",Q$35="",N($C77)=0),"",Q49/($C77*HoursPerDay*INDEX(Sprints!$E$6:$E$31,14)))</f>
        <v/>
      </c>
      <c r="R77" s="78" t="str">
        <f aca="false">IF(OR($B77="",R$35="",N($C77)=0),"",R49/($C77*HoursPerDay*INDEX(Sprints!$E$6:$E$31,15)))</f>
        <v/>
      </c>
      <c r="S77" s="78" t="str">
        <f aca="false">IF(OR($B77="",S$35="",N($C77)=0),"",S49/($C77*HoursPerDay*INDEX(Sprints!$E$6:$E$31,16)))</f>
        <v/>
      </c>
      <c r="T77" s="78" t="str">
        <f aca="false">IF(OR($B77="",T$35="",N($C77)=0),"",T49/($C77*HoursPerDay*INDEX(Sprints!$E$6:$E$31,17)))</f>
        <v/>
      </c>
      <c r="U77" s="78" t="str">
        <f aca="false">IF(OR($B77="",U$35="",N($C77)=0),"",U49/($C77*HoursPerDay*INDEX(Sprints!$E$6:$E$31,18)))</f>
        <v/>
      </c>
      <c r="V77" s="78" t="str">
        <f aca="false">IF(OR($B77="",V$35="",N($C77)=0),"",V49/($C77*HoursPerDay*INDEX(Sprints!$E$6:$E$31,19)))</f>
        <v/>
      </c>
      <c r="W77" s="78" t="str">
        <f aca="false">IF(OR($B77="",W$35="",N($C77)=0),"",W49/($C77*HoursPerDay*INDEX(Sprints!$E$6:$E$31,20)))</f>
        <v/>
      </c>
      <c r="X77" s="78" t="str">
        <f aca="false">IF(OR($B77="",X$35="",N($C77)=0),"",X49/($C77*HoursPerDay*INDEX(Sprints!$E$6:$E$31,21)))</f>
        <v/>
      </c>
      <c r="Y77" s="78" t="str">
        <f aca="false">IF(OR($B77="",Y$35="",N($C77)=0),"",Y49/($C77*HoursPerDay*INDEX(Sprints!$E$6:$E$31,22)))</f>
        <v/>
      </c>
      <c r="Z77" s="78" t="str">
        <f aca="false">IF(OR($B77="",Z$35="",N($C77)=0),"",Z49/($C77*HoursPerDay*INDEX(Sprints!$E$6:$E$31,23)))</f>
        <v/>
      </c>
      <c r="AA77" s="78" t="str">
        <f aca="false">IF(OR($B77="",AA$35="",N($C77)=0),"",AA49/($C77*HoursPerDay*INDEX(Sprints!$E$6:$E$31,24)))</f>
        <v/>
      </c>
      <c r="AB77" s="78" t="str">
        <f aca="false">IF(OR($B77="",AB$35="",N($C77)=0),"",AB49/($C77*HoursPerDay*INDEX(Sprints!$E$6:$E$31,25)))</f>
        <v/>
      </c>
      <c r="AC77" s="78" t="str">
        <f aca="false">IF(OR($B77="",AC$35="",N($C77)=0),"",AC49/($C77*HoursPerDay*INDEX(Sprints!$E$6:$E$31,26)))</f>
        <v/>
      </c>
    </row>
    <row r="78" customFormat="false" ht="15" hidden="false" customHeight="false" outlineLevel="0" collapsed="false">
      <c r="B78" s="75" t="str">
        <f aca="false">$B50</f>
        <v/>
      </c>
      <c r="C78" s="76" t="str">
        <f aca="false">$C50</f>
        <v/>
      </c>
      <c r="D78" s="78" t="str">
        <f aca="false">IF(OR($B78="",D$35="",N($C78)=0),"",D50/($C78*HoursPerDay*INDEX(Sprints!$E$6:$E$31,1)))</f>
        <v/>
      </c>
      <c r="E78" s="78" t="str">
        <f aca="false">IF(OR($B78="",E$35="",N($C78)=0),"",E50/($C78*HoursPerDay*INDEX(Sprints!$E$6:$E$31,2)))</f>
        <v/>
      </c>
      <c r="F78" s="78" t="str">
        <f aca="false">IF(OR($B78="",F$35="",N($C78)=0),"",F50/($C78*HoursPerDay*INDEX(Sprints!$E$6:$E$31,3)))</f>
        <v/>
      </c>
      <c r="G78" s="78" t="str">
        <f aca="false">IF(OR($B78="",G$35="",N($C78)=0),"",G50/($C78*HoursPerDay*INDEX(Sprints!$E$6:$E$31,4)))</f>
        <v/>
      </c>
      <c r="H78" s="78" t="str">
        <f aca="false">IF(OR($B78="",H$35="",N($C78)=0),"",H50/($C78*HoursPerDay*INDEX(Sprints!$E$6:$E$31,5)))</f>
        <v/>
      </c>
      <c r="I78" s="78" t="str">
        <f aca="false">IF(OR($B78="",I$35="",N($C78)=0),"",I50/($C78*HoursPerDay*INDEX(Sprints!$E$6:$E$31,6)))</f>
        <v/>
      </c>
      <c r="J78" s="78" t="str">
        <f aca="false">IF(OR($B78="",J$35="",N($C78)=0),"",J50/($C78*HoursPerDay*INDEX(Sprints!$E$6:$E$31,7)))</f>
        <v/>
      </c>
      <c r="K78" s="78" t="str">
        <f aca="false">IF(OR($B78="",K$35="",N($C78)=0),"",K50/($C78*HoursPerDay*INDEX(Sprints!$E$6:$E$31,8)))</f>
        <v/>
      </c>
      <c r="L78" s="78" t="str">
        <f aca="false">IF(OR($B78="",L$35="",N($C78)=0),"",L50/($C78*HoursPerDay*INDEX(Sprints!$E$6:$E$31,9)))</f>
        <v/>
      </c>
      <c r="M78" s="78" t="str">
        <f aca="false">IF(OR($B78="",M$35="",N($C78)=0),"",M50/($C78*HoursPerDay*INDEX(Sprints!$E$6:$E$31,10)))</f>
        <v/>
      </c>
      <c r="N78" s="78" t="str">
        <f aca="false">IF(OR($B78="",N$35="",N($C78)=0),"",N50/($C78*HoursPerDay*INDEX(Sprints!$E$6:$E$31,11)))</f>
        <v/>
      </c>
      <c r="O78" s="78" t="str">
        <f aca="false">IF(OR($B78="",O$35="",N($C78)=0),"",O50/($C78*HoursPerDay*INDEX(Sprints!$E$6:$E$31,12)))</f>
        <v/>
      </c>
      <c r="P78" s="78" t="str">
        <f aca="false">IF(OR($B78="",P$35="",N($C78)=0),"",P50/($C78*HoursPerDay*INDEX(Sprints!$E$6:$E$31,13)))</f>
        <v/>
      </c>
      <c r="Q78" s="78" t="str">
        <f aca="false">IF(OR($B78="",Q$35="",N($C78)=0),"",Q50/($C78*HoursPerDay*INDEX(Sprints!$E$6:$E$31,14)))</f>
        <v/>
      </c>
      <c r="R78" s="78" t="str">
        <f aca="false">IF(OR($B78="",R$35="",N($C78)=0),"",R50/($C78*HoursPerDay*INDEX(Sprints!$E$6:$E$31,15)))</f>
        <v/>
      </c>
      <c r="S78" s="78" t="str">
        <f aca="false">IF(OR($B78="",S$35="",N($C78)=0),"",S50/($C78*HoursPerDay*INDEX(Sprints!$E$6:$E$31,16)))</f>
        <v/>
      </c>
      <c r="T78" s="78" t="str">
        <f aca="false">IF(OR($B78="",T$35="",N($C78)=0),"",T50/($C78*HoursPerDay*INDEX(Sprints!$E$6:$E$31,17)))</f>
        <v/>
      </c>
      <c r="U78" s="78" t="str">
        <f aca="false">IF(OR($B78="",U$35="",N($C78)=0),"",U50/($C78*HoursPerDay*INDEX(Sprints!$E$6:$E$31,18)))</f>
        <v/>
      </c>
      <c r="V78" s="78" t="str">
        <f aca="false">IF(OR($B78="",V$35="",N($C78)=0),"",V50/($C78*HoursPerDay*INDEX(Sprints!$E$6:$E$31,19)))</f>
        <v/>
      </c>
      <c r="W78" s="78" t="str">
        <f aca="false">IF(OR($B78="",W$35="",N($C78)=0),"",W50/($C78*HoursPerDay*INDEX(Sprints!$E$6:$E$31,20)))</f>
        <v/>
      </c>
      <c r="X78" s="78" t="str">
        <f aca="false">IF(OR($B78="",X$35="",N($C78)=0),"",X50/($C78*HoursPerDay*INDEX(Sprints!$E$6:$E$31,21)))</f>
        <v/>
      </c>
      <c r="Y78" s="78" t="str">
        <f aca="false">IF(OR($B78="",Y$35="",N($C78)=0),"",Y50/($C78*HoursPerDay*INDEX(Sprints!$E$6:$E$31,22)))</f>
        <v/>
      </c>
      <c r="Z78" s="78" t="str">
        <f aca="false">IF(OR($B78="",Z$35="",N($C78)=0),"",Z50/($C78*HoursPerDay*INDEX(Sprints!$E$6:$E$31,23)))</f>
        <v/>
      </c>
      <c r="AA78" s="78" t="str">
        <f aca="false">IF(OR($B78="",AA$35="",N($C78)=0),"",AA50/($C78*HoursPerDay*INDEX(Sprints!$E$6:$E$31,24)))</f>
        <v/>
      </c>
      <c r="AB78" s="78" t="str">
        <f aca="false">IF(OR($B78="",AB$35="",N($C78)=0),"",AB50/($C78*HoursPerDay*INDEX(Sprints!$E$6:$E$31,25)))</f>
        <v/>
      </c>
      <c r="AC78" s="78" t="str">
        <f aca="false">IF(OR($B78="",AC$35="",N($C78)=0),"",AC50/($C78*HoursPerDay*INDEX(Sprints!$E$6:$E$31,26)))</f>
        <v/>
      </c>
    </row>
    <row r="79" customFormat="false" ht="15" hidden="false" customHeight="false" outlineLevel="0" collapsed="false">
      <c r="B79" s="75" t="str">
        <f aca="false">$B51</f>
        <v/>
      </c>
      <c r="C79" s="76" t="str">
        <f aca="false">$C51</f>
        <v/>
      </c>
      <c r="D79" s="78" t="str">
        <f aca="false">IF(OR($B79="",D$35="",N($C79)=0),"",D51/($C79*HoursPerDay*INDEX(Sprints!$E$6:$E$31,1)))</f>
        <v/>
      </c>
      <c r="E79" s="78" t="str">
        <f aca="false">IF(OR($B79="",E$35="",N($C79)=0),"",E51/($C79*HoursPerDay*INDEX(Sprints!$E$6:$E$31,2)))</f>
        <v/>
      </c>
      <c r="F79" s="78" t="str">
        <f aca="false">IF(OR($B79="",F$35="",N($C79)=0),"",F51/($C79*HoursPerDay*INDEX(Sprints!$E$6:$E$31,3)))</f>
        <v/>
      </c>
      <c r="G79" s="78" t="str">
        <f aca="false">IF(OR($B79="",G$35="",N($C79)=0),"",G51/($C79*HoursPerDay*INDEX(Sprints!$E$6:$E$31,4)))</f>
        <v/>
      </c>
      <c r="H79" s="78" t="str">
        <f aca="false">IF(OR($B79="",H$35="",N($C79)=0),"",H51/($C79*HoursPerDay*INDEX(Sprints!$E$6:$E$31,5)))</f>
        <v/>
      </c>
      <c r="I79" s="78" t="str">
        <f aca="false">IF(OR($B79="",I$35="",N($C79)=0),"",I51/($C79*HoursPerDay*INDEX(Sprints!$E$6:$E$31,6)))</f>
        <v/>
      </c>
      <c r="J79" s="78" t="str">
        <f aca="false">IF(OR($B79="",J$35="",N($C79)=0),"",J51/($C79*HoursPerDay*INDEX(Sprints!$E$6:$E$31,7)))</f>
        <v/>
      </c>
      <c r="K79" s="78" t="str">
        <f aca="false">IF(OR($B79="",K$35="",N($C79)=0),"",K51/($C79*HoursPerDay*INDEX(Sprints!$E$6:$E$31,8)))</f>
        <v/>
      </c>
      <c r="L79" s="78" t="str">
        <f aca="false">IF(OR($B79="",L$35="",N($C79)=0),"",L51/($C79*HoursPerDay*INDEX(Sprints!$E$6:$E$31,9)))</f>
        <v/>
      </c>
      <c r="M79" s="78" t="str">
        <f aca="false">IF(OR($B79="",M$35="",N($C79)=0),"",M51/($C79*HoursPerDay*INDEX(Sprints!$E$6:$E$31,10)))</f>
        <v/>
      </c>
      <c r="N79" s="78" t="str">
        <f aca="false">IF(OR($B79="",N$35="",N($C79)=0),"",N51/($C79*HoursPerDay*INDEX(Sprints!$E$6:$E$31,11)))</f>
        <v/>
      </c>
      <c r="O79" s="78" t="str">
        <f aca="false">IF(OR($B79="",O$35="",N($C79)=0),"",O51/($C79*HoursPerDay*INDEX(Sprints!$E$6:$E$31,12)))</f>
        <v/>
      </c>
      <c r="P79" s="78" t="str">
        <f aca="false">IF(OR($B79="",P$35="",N($C79)=0),"",P51/($C79*HoursPerDay*INDEX(Sprints!$E$6:$E$31,13)))</f>
        <v/>
      </c>
      <c r="Q79" s="78" t="str">
        <f aca="false">IF(OR($B79="",Q$35="",N($C79)=0),"",Q51/($C79*HoursPerDay*INDEX(Sprints!$E$6:$E$31,14)))</f>
        <v/>
      </c>
      <c r="R79" s="78" t="str">
        <f aca="false">IF(OR($B79="",R$35="",N($C79)=0),"",R51/($C79*HoursPerDay*INDEX(Sprints!$E$6:$E$31,15)))</f>
        <v/>
      </c>
      <c r="S79" s="78" t="str">
        <f aca="false">IF(OR($B79="",S$35="",N($C79)=0),"",S51/($C79*HoursPerDay*INDEX(Sprints!$E$6:$E$31,16)))</f>
        <v/>
      </c>
      <c r="T79" s="78" t="str">
        <f aca="false">IF(OR($B79="",T$35="",N($C79)=0),"",T51/($C79*HoursPerDay*INDEX(Sprints!$E$6:$E$31,17)))</f>
        <v/>
      </c>
      <c r="U79" s="78" t="str">
        <f aca="false">IF(OR($B79="",U$35="",N($C79)=0),"",U51/($C79*HoursPerDay*INDEX(Sprints!$E$6:$E$31,18)))</f>
        <v/>
      </c>
      <c r="V79" s="78" t="str">
        <f aca="false">IF(OR($B79="",V$35="",N($C79)=0),"",V51/($C79*HoursPerDay*INDEX(Sprints!$E$6:$E$31,19)))</f>
        <v/>
      </c>
      <c r="W79" s="78" t="str">
        <f aca="false">IF(OR($B79="",W$35="",N($C79)=0),"",W51/($C79*HoursPerDay*INDEX(Sprints!$E$6:$E$31,20)))</f>
        <v/>
      </c>
      <c r="X79" s="78" t="str">
        <f aca="false">IF(OR($B79="",X$35="",N($C79)=0),"",X51/($C79*HoursPerDay*INDEX(Sprints!$E$6:$E$31,21)))</f>
        <v/>
      </c>
      <c r="Y79" s="78" t="str">
        <f aca="false">IF(OR($B79="",Y$35="",N($C79)=0),"",Y51/($C79*HoursPerDay*INDEX(Sprints!$E$6:$E$31,22)))</f>
        <v/>
      </c>
      <c r="Z79" s="78" t="str">
        <f aca="false">IF(OR($B79="",Z$35="",N($C79)=0),"",Z51/($C79*HoursPerDay*INDEX(Sprints!$E$6:$E$31,23)))</f>
        <v/>
      </c>
      <c r="AA79" s="78" t="str">
        <f aca="false">IF(OR($B79="",AA$35="",N($C79)=0),"",AA51/($C79*HoursPerDay*INDEX(Sprints!$E$6:$E$31,24)))</f>
        <v/>
      </c>
      <c r="AB79" s="78" t="str">
        <f aca="false">IF(OR($B79="",AB$35="",N($C79)=0),"",AB51/($C79*HoursPerDay*INDEX(Sprints!$E$6:$E$31,25)))</f>
        <v/>
      </c>
      <c r="AC79" s="78" t="str">
        <f aca="false">IF(OR($B79="",AC$35="",N($C79)=0),"",AC51/($C79*HoursPerDay*INDEX(Sprints!$E$6:$E$31,26)))</f>
        <v/>
      </c>
    </row>
    <row r="80" customFormat="false" ht="15" hidden="false" customHeight="false" outlineLevel="0" collapsed="false">
      <c r="B80" s="75" t="str">
        <f aca="false">$B52</f>
        <v/>
      </c>
      <c r="C80" s="76" t="str">
        <f aca="false">$C52</f>
        <v/>
      </c>
      <c r="D80" s="78" t="str">
        <f aca="false">IF(OR($B80="",D$35="",N($C80)=0),"",D52/($C80*HoursPerDay*INDEX(Sprints!$E$6:$E$31,1)))</f>
        <v/>
      </c>
      <c r="E80" s="78" t="str">
        <f aca="false">IF(OR($B80="",E$35="",N($C80)=0),"",E52/($C80*HoursPerDay*INDEX(Sprints!$E$6:$E$31,2)))</f>
        <v/>
      </c>
      <c r="F80" s="78" t="str">
        <f aca="false">IF(OR($B80="",F$35="",N($C80)=0),"",F52/($C80*HoursPerDay*INDEX(Sprints!$E$6:$E$31,3)))</f>
        <v/>
      </c>
      <c r="G80" s="78" t="str">
        <f aca="false">IF(OR($B80="",G$35="",N($C80)=0),"",G52/($C80*HoursPerDay*INDEX(Sprints!$E$6:$E$31,4)))</f>
        <v/>
      </c>
      <c r="H80" s="78" t="str">
        <f aca="false">IF(OR($B80="",H$35="",N($C80)=0),"",H52/($C80*HoursPerDay*INDEX(Sprints!$E$6:$E$31,5)))</f>
        <v/>
      </c>
      <c r="I80" s="78" t="str">
        <f aca="false">IF(OR($B80="",I$35="",N($C80)=0),"",I52/($C80*HoursPerDay*INDEX(Sprints!$E$6:$E$31,6)))</f>
        <v/>
      </c>
      <c r="J80" s="78" t="str">
        <f aca="false">IF(OR($B80="",J$35="",N($C80)=0),"",J52/($C80*HoursPerDay*INDEX(Sprints!$E$6:$E$31,7)))</f>
        <v/>
      </c>
      <c r="K80" s="78" t="str">
        <f aca="false">IF(OR($B80="",K$35="",N($C80)=0),"",K52/($C80*HoursPerDay*INDEX(Sprints!$E$6:$E$31,8)))</f>
        <v/>
      </c>
      <c r="L80" s="78" t="str">
        <f aca="false">IF(OR($B80="",L$35="",N($C80)=0),"",L52/($C80*HoursPerDay*INDEX(Sprints!$E$6:$E$31,9)))</f>
        <v/>
      </c>
      <c r="M80" s="78" t="str">
        <f aca="false">IF(OR($B80="",M$35="",N($C80)=0),"",M52/($C80*HoursPerDay*INDEX(Sprints!$E$6:$E$31,10)))</f>
        <v/>
      </c>
      <c r="N80" s="78" t="str">
        <f aca="false">IF(OR($B80="",N$35="",N($C80)=0),"",N52/($C80*HoursPerDay*INDEX(Sprints!$E$6:$E$31,11)))</f>
        <v/>
      </c>
      <c r="O80" s="78" t="str">
        <f aca="false">IF(OR($B80="",O$35="",N($C80)=0),"",O52/($C80*HoursPerDay*INDEX(Sprints!$E$6:$E$31,12)))</f>
        <v/>
      </c>
      <c r="P80" s="78" t="str">
        <f aca="false">IF(OR($B80="",P$35="",N($C80)=0),"",P52/($C80*HoursPerDay*INDEX(Sprints!$E$6:$E$31,13)))</f>
        <v/>
      </c>
      <c r="Q80" s="78" t="str">
        <f aca="false">IF(OR($B80="",Q$35="",N($C80)=0),"",Q52/($C80*HoursPerDay*INDEX(Sprints!$E$6:$E$31,14)))</f>
        <v/>
      </c>
      <c r="R80" s="78" t="str">
        <f aca="false">IF(OR($B80="",R$35="",N($C80)=0),"",R52/($C80*HoursPerDay*INDEX(Sprints!$E$6:$E$31,15)))</f>
        <v/>
      </c>
      <c r="S80" s="78" t="str">
        <f aca="false">IF(OR($B80="",S$35="",N($C80)=0),"",S52/($C80*HoursPerDay*INDEX(Sprints!$E$6:$E$31,16)))</f>
        <v/>
      </c>
      <c r="T80" s="78" t="str">
        <f aca="false">IF(OR($B80="",T$35="",N($C80)=0),"",T52/($C80*HoursPerDay*INDEX(Sprints!$E$6:$E$31,17)))</f>
        <v/>
      </c>
      <c r="U80" s="78" t="str">
        <f aca="false">IF(OR($B80="",U$35="",N($C80)=0),"",U52/($C80*HoursPerDay*INDEX(Sprints!$E$6:$E$31,18)))</f>
        <v/>
      </c>
      <c r="V80" s="78" t="str">
        <f aca="false">IF(OR($B80="",V$35="",N($C80)=0),"",V52/($C80*HoursPerDay*INDEX(Sprints!$E$6:$E$31,19)))</f>
        <v/>
      </c>
      <c r="W80" s="78" t="str">
        <f aca="false">IF(OR($B80="",W$35="",N($C80)=0),"",W52/($C80*HoursPerDay*INDEX(Sprints!$E$6:$E$31,20)))</f>
        <v/>
      </c>
      <c r="X80" s="78" t="str">
        <f aca="false">IF(OR($B80="",X$35="",N($C80)=0),"",X52/($C80*HoursPerDay*INDEX(Sprints!$E$6:$E$31,21)))</f>
        <v/>
      </c>
      <c r="Y80" s="78" t="str">
        <f aca="false">IF(OR($B80="",Y$35="",N($C80)=0),"",Y52/($C80*HoursPerDay*INDEX(Sprints!$E$6:$E$31,22)))</f>
        <v/>
      </c>
      <c r="Z80" s="78" t="str">
        <f aca="false">IF(OR($B80="",Z$35="",N($C80)=0),"",Z52/($C80*HoursPerDay*INDEX(Sprints!$E$6:$E$31,23)))</f>
        <v/>
      </c>
      <c r="AA80" s="78" t="str">
        <f aca="false">IF(OR($B80="",AA$35="",N($C80)=0),"",AA52/($C80*HoursPerDay*INDEX(Sprints!$E$6:$E$31,24)))</f>
        <v/>
      </c>
      <c r="AB80" s="78" t="str">
        <f aca="false">IF(OR($B80="",AB$35="",N($C80)=0),"",AB52/($C80*HoursPerDay*INDEX(Sprints!$E$6:$E$31,25)))</f>
        <v/>
      </c>
      <c r="AC80" s="78" t="str">
        <f aca="false">IF(OR($B80="",AC$35="",N($C80)=0),"",AC52/($C80*HoursPerDay*INDEX(Sprints!$E$6:$E$31,26)))</f>
        <v/>
      </c>
    </row>
    <row r="81" customFormat="false" ht="15" hidden="false" customHeight="false" outlineLevel="0" collapsed="false">
      <c r="B81" s="75" t="str">
        <f aca="false">$B53</f>
        <v/>
      </c>
      <c r="C81" s="76" t="str">
        <f aca="false">$C53</f>
        <v/>
      </c>
      <c r="D81" s="78" t="str">
        <f aca="false">IF(OR($B81="",D$35="",N($C81)=0),"",D53/($C81*HoursPerDay*INDEX(Sprints!$E$6:$E$31,1)))</f>
        <v/>
      </c>
      <c r="E81" s="78" t="str">
        <f aca="false">IF(OR($B81="",E$35="",N($C81)=0),"",E53/($C81*HoursPerDay*INDEX(Sprints!$E$6:$E$31,2)))</f>
        <v/>
      </c>
      <c r="F81" s="78" t="str">
        <f aca="false">IF(OR($B81="",F$35="",N($C81)=0),"",F53/($C81*HoursPerDay*INDEX(Sprints!$E$6:$E$31,3)))</f>
        <v/>
      </c>
      <c r="G81" s="78" t="str">
        <f aca="false">IF(OR($B81="",G$35="",N($C81)=0),"",G53/($C81*HoursPerDay*INDEX(Sprints!$E$6:$E$31,4)))</f>
        <v/>
      </c>
      <c r="H81" s="78" t="str">
        <f aca="false">IF(OR($B81="",H$35="",N($C81)=0),"",H53/($C81*HoursPerDay*INDEX(Sprints!$E$6:$E$31,5)))</f>
        <v/>
      </c>
      <c r="I81" s="78" t="str">
        <f aca="false">IF(OR($B81="",I$35="",N($C81)=0),"",I53/($C81*HoursPerDay*INDEX(Sprints!$E$6:$E$31,6)))</f>
        <v/>
      </c>
      <c r="J81" s="78" t="str">
        <f aca="false">IF(OR($B81="",J$35="",N($C81)=0),"",J53/($C81*HoursPerDay*INDEX(Sprints!$E$6:$E$31,7)))</f>
        <v/>
      </c>
      <c r="K81" s="78" t="str">
        <f aca="false">IF(OR($B81="",K$35="",N($C81)=0),"",K53/($C81*HoursPerDay*INDEX(Sprints!$E$6:$E$31,8)))</f>
        <v/>
      </c>
      <c r="L81" s="78" t="str">
        <f aca="false">IF(OR($B81="",L$35="",N($C81)=0),"",L53/($C81*HoursPerDay*INDEX(Sprints!$E$6:$E$31,9)))</f>
        <v/>
      </c>
      <c r="M81" s="78" t="str">
        <f aca="false">IF(OR($B81="",M$35="",N($C81)=0),"",M53/($C81*HoursPerDay*INDEX(Sprints!$E$6:$E$31,10)))</f>
        <v/>
      </c>
      <c r="N81" s="78" t="str">
        <f aca="false">IF(OR($B81="",N$35="",N($C81)=0),"",N53/($C81*HoursPerDay*INDEX(Sprints!$E$6:$E$31,11)))</f>
        <v/>
      </c>
      <c r="O81" s="78" t="str">
        <f aca="false">IF(OR($B81="",O$35="",N($C81)=0),"",O53/($C81*HoursPerDay*INDEX(Sprints!$E$6:$E$31,12)))</f>
        <v/>
      </c>
      <c r="P81" s="78" t="str">
        <f aca="false">IF(OR($B81="",P$35="",N($C81)=0),"",P53/($C81*HoursPerDay*INDEX(Sprints!$E$6:$E$31,13)))</f>
        <v/>
      </c>
      <c r="Q81" s="78" t="str">
        <f aca="false">IF(OR($B81="",Q$35="",N($C81)=0),"",Q53/($C81*HoursPerDay*INDEX(Sprints!$E$6:$E$31,14)))</f>
        <v/>
      </c>
      <c r="R81" s="78" t="str">
        <f aca="false">IF(OR($B81="",R$35="",N($C81)=0),"",R53/($C81*HoursPerDay*INDEX(Sprints!$E$6:$E$31,15)))</f>
        <v/>
      </c>
      <c r="S81" s="78" t="str">
        <f aca="false">IF(OR($B81="",S$35="",N($C81)=0),"",S53/($C81*HoursPerDay*INDEX(Sprints!$E$6:$E$31,16)))</f>
        <v/>
      </c>
      <c r="T81" s="78" t="str">
        <f aca="false">IF(OR($B81="",T$35="",N($C81)=0),"",T53/($C81*HoursPerDay*INDEX(Sprints!$E$6:$E$31,17)))</f>
        <v/>
      </c>
      <c r="U81" s="78" t="str">
        <f aca="false">IF(OR($B81="",U$35="",N($C81)=0),"",U53/($C81*HoursPerDay*INDEX(Sprints!$E$6:$E$31,18)))</f>
        <v/>
      </c>
      <c r="V81" s="78" t="str">
        <f aca="false">IF(OR($B81="",V$35="",N($C81)=0),"",V53/($C81*HoursPerDay*INDEX(Sprints!$E$6:$E$31,19)))</f>
        <v/>
      </c>
      <c r="W81" s="78" t="str">
        <f aca="false">IF(OR($B81="",W$35="",N($C81)=0),"",W53/($C81*HoursPerDay*INDEX(Sprints!$E$6:$E$31,20)))</f>
        <v/>
      </c>
      <c r="X81" s="78" t="str">
        <f aca="false">IF(OR($B81="",X$35="",N($C81)=0),"",X53/($C81*HoursPerDay*INDEX(Sprints!$E$6:$E$31,21)))</f>
        <v/>
      </c>
      <c r="Y81" s="78" t="str">
        <f aca="false">IF(OR($B81="",Y$35="",N($C81)=0),"",Y53/($C81*HoursPerDay*INDEX(Sprints!$E$6:$E$31,22)))</f>
        <v/>
      </c>
      <c r="Z81" s="78" t="str">
        <f aca="false">IF(OR($B81="",Z$35="",N($C81)=0),"",Z53/($C81*HoursPerDay*INDEX(Sprints!$E$6:$E$31,23)))</f>
        <v/>
      </c>
      <c r="AA81" s="78" t="str">
        <f aca="false">IF(OR($B81="",AA$35="",N($C81)=0),"",AA53/($C81*HoursPerDay*INDEX(Sprints!$E$6:$E$31,24)))</f>
        <v/>
      </c>
      <c r="AB81" s="78" t="str">
        <f aca="false">IF(OR($B81="",AB$35="",N($C81)=0),"",AB53/($C81*HoursPerDay*INDEX(Sprints!$E$6:$E$31,25)))</f>
        <v/>
      </c>
      <c r="AC81" s="78" t="str">
        <f aca="false">IF(OR($B81="",AC$35="",N($C81)=0),"",AC53/($C81*HoursPerDay*INDEX(Sprints!$E$6:$E$31,26)))</f>
        <v/>
      </c>
    </row>
    <row r="82" customFormat="false" ht="15" hidden="false" customHeight="false" outlineLevel="0" collapsed="false">
      <c r="B82" s="75" t="str">
        <f aca="false">$B54</f>
        <v/>
      </c>
      <c r="C82" s="76" t="str">
        <f aca="false">$C54</f>
        <v/>
      </c>
      <c r="D82" s="78" t="str">
        <f aca="false">IF(OR($B82="",D$35="",N($C82)=0),"",D54/($C82*HoursPerDay*INDEX(Sprints!$E$6:$E$31,1)))</f>
        <v/>
      </c>
      <c r="E82" s="78" t="str">
        <f aca="false">IF(OR($B82="",E$35="",N($C82)=0),"",E54/($C82*HoursPerDay*INDEX(Sprints!$E$6:$E$31,2)))</f>
        <v/>
      </c>
      <c r="F82" s="78" t="str">
        <f aca="false">IF(OR($B82="",F$35="",N($C82)=0),"",F54/($C82*HoursPerDay*INDEX(Sprints!$E$6:$E$31,3)))</f>
        <v/>
      </c>
      <c r="G82" s="78" t="str">
        <f aca="false">IF(OR($B82="",G$35="",N($C82)=0),"",G54/($C82*HoursPerDay*INDEX(Sprints!$E$6:$E$31,4)))</f>
        <v/>
      </c>
      <c r="H82" s="78" t="str">
        <f aca="false">IF(OR($B82="",H$35="",N($C82)=0),"",H54/($C82*HoursPerDay*INDEX(Sprints!$E$6:$E$31,5)))</f>
        <v/>
      </c>
      <c r="I82" s="78" t="str">
        <f aca="false">IF(OR($B82="",I$35="",N($C82)=0),"",I54/($C82*HoursPerDay*INDEX(Sprints!$E$6:$E$31,6)))</f>
        <v/>
      </c>
      <c r="J82" s="78" t="str">
        <f aca="false">IF(OR($B82="",J$35="",N($C82)=0),"",J54/($C82*HoursPerDay*INDEX(Sprints!$E$6:$E$31,7)))</f>
        <v/>
      </c>
      <c r="K82" s="78" t="str">
        <f aca="false">IF(OR($B82="",K$35="",N($C82)=0),"",K54/($C82*HoursPerDay*INDEX(Sprints!$E$6:$E$31,8)))</f>
        <v/>
      </c>
      <c r="L82" s="78" t="str">
        <f aca="false">IF(OR($B82="",L$35="",N($C82)=0),"",L54/($C82*HoursPerDay*INDEX(Sprints!$E$6:$E$31,9)))</f>
        <v/>
      </c>
      <c r="M82" s="78" t="str">
        <f aca="false">IF(OR($B82="",M$35="",N($C82)=0),"",M54/($C82*HoursPerDay*INDEX(Sprints!$E$6:$E$31,10)))</f>
        <v/>
      </c>
      <c r="N82" s="78" t="str">
        <f aca="false">IF(OR($B82="",N$35="",N($C82)=0),"",N54/($C82*HoursPerDay*INDEX(Sprints!$E$6:$E$31,11)))</f>
        <v/>
      </c>
      <c r="O82" s="78" t="str">
        <f aca="false">IF(OR($B82="",O$35="",N($C82)=0),"",O54/($C82*HoursPerDay*INDEX(Sprints!$E$6:$E$31,12)))</f>
        <v/>
      </c>
      <c r="P82" s="78" t="str">
        <f aca="false">IF(OR($B82="",P$35="",N($C82)=0),"",P54/($C82*HoursPerDay*INDEX(Sprints!$E$6:$E$31,13)))</f>
        <v/>
      </c>
      <c r="Q82" s="78" t="str">
        <f aca="false">IF(OR($B82="",Q$35="",N($C82)=0),"",Q54/($C82*HoursPerDay*INDEX(Sprints!$E$6:$E$31,14)))</f>
        <v/>
      </c>
      <c r="R82" s="78" t="str">
        <f aca="false">IF(OR($B82="",R$35="",N($C82)=0),"",R54/($C82*HoursPerDay*INDEX(Sprints!$E$6:$E$31,15)))</f>
        <v/>
      </c>
      <c r="S82" s="78" t="str">
        <f aca="false">IF(OR($B82="",S$35="",N($C82)=0),"",S54/($C82*HoursPerDay*INDEX(Sprints!$E$6:$E$31,16)))</f>
        <v/>
      </c>
      <c r="T82" s="78" t="str">
        <f aca="false">IF(OR($B82="",T$35="",N($C82)=0),"",T54/($C82*HoursPerDay*INDEX(Sprints!$E$6:$E$31,17)))</f>
        <v/>
      </c>
      <c r="U82" s="78" t="str">
        <f aca="false">IF(OR($B82="",U$35="",N($C82)=0),"",U54/($C82*HoursPerDay*INDEX(Sprints!$E$6:$E$31,18)))</f>
        <v/>
      </c>
      <c r="V82" s="78" t="str">
        <f aca="false">IF(OR($B82="",V$35="",N($C82)=0),"",V54/($C82*HoursPerDay*INDEX(Sprints!$E$6:$E$31,19)))</f>
        <v/>
      </c>
      <c r="W82" s="78" t="str">
        <f aca="false">IF(OR($B82="",W$35="",N($C82)=0),"",W54/($C82*HoursPerDay*INDEX(Sprints!$E$6:$E$31,20)))</f>
        <v/>
      </c>
      <c r="X82" s="78" t="str">
        <f aca="false">IF(OR($B82="",X$35="",N($C82)=0),"",X54/($C82*HoursPerDay*INDEX(Sprints!$E$6:$E$31,21)))</f>
        <v/>
      </c>
      <c r="Y82" s="78" t="str">
        <f aca="false">IF(OR($B82="",Y$35="",N($C82)=0),"",Y54/($C82*HoursPerDay*INDEX(Sprints!$E$6:$E$31,22)))</f>
        <v/>
      </c>
      <c r="Z82" s="78" t="str">
        <f aca="false">IF(OR($B82="",Z$35="",N($C82)=0),"",Z54/($C82*HoursPerDay*INDEX(Sprints!$E$6:$E$31,23)))</f>
        <v/>
      </c>
      <c r="AA82" s="78" t="str">
        <f aca="false">IF(OR($B82="",AA$35="",N($C82)=0),"",AA54/($C82*HoursPerDay*INDEX(Sprints!$E$6:$E$31,24)))</f>
        <v/>
      </c>
      <c r="AB82" s="78" t="str">
        <f aca="false">IF(OR($B82="",AB$35="",N($C82)=0),"",AB54/($C82*HoursPerDay*INDEX(Sprints!$E$6:$E$31,25)))</f>
        <v/>
      </c>
      <c r="AC82" s="78" t="str">
        <f aca="false">IF(OR($B82="",AC$35="",N($C82)=0),"",AC54/($C82*HoursPerDay*INDEX(Sprints!$E$6:$E$31,26)))</f>
        <v/>
      </c>
    </row>
    <row r="83" customFormat="false" ht="15" hidden="false" customHeight="false" outlineLevel="0" collapsed="false">
      <c r="B83" s="75" t="str">
        <f aca="false">$B55</f>
        <v/>
      </c>
      <c r="C83" s="76" t="str">
        <f aca="false">$C55</f>
        <v/>
      </c>
      <c r="D83" s="78" t="str">
        <f aca="false">IF(OR($B83="",D$35="",N($C83)=0),"",D55/($C83*HoursPerDay*INDEX(Sprints!$E$6:$E$31,1)))</f>
        <v/>
      </c>
      <c r="E83" s="78" t="str">
        <f aca="false">IF(OR($B83="",E$35="",N($C83)=0),"",E55/($C83*HoursPerDay*INDEX(Sprints!$E$6:$E$31,2)))</f>
        <v/>
      </c>
      <c r="F83" s="78" t="str">
        <f aca="false">IF(OR($B83="",F$35="",N($C83)=0),"",F55/($C83*HoursPerDay*INDEX(Sprints!$E$6:$E$31,3)))</f>
        <v/>
      </c>
      <c r="G83" s="78" t="str">
        <f aca="false">IF(OR($B83="",G$35="",N($C83)=0),"",G55/($C83*HoursPerDay*INDEX(Sprints!$E$6:$E$31,4)))</f>
        <v/>
      </c>
      <c r="H83" s="78" t="str">
        <f aca="false">IF(OR($B83="",H$35="",N($C83)=0),"",H55/($C83*HoursPerDay*INDEX(Sprints!$E$6:$E$31,5)))</f>
        <v/>
      </c>
      <c r="I83" s="78" t="str">
        <f aca="false">IF(OR($B83="",I$35="",N($C83)=0),"",I55/($C83*HoursPerDay*INDEX(Sprints!$E$6:$E$31,6)))</f>
        <v/>
      </c>
      <c r="J83" s="78" t="str">
        <f aca="false">IF(OR($B83="",J$35="",N($C83)=0),"",J55/($C83*HoursPerDay*INDEX(Sprints!$E$6:$E$31,7)))</f>
        <v/>
      </c>
      <c r="K83" s="78" t="str">
        <f aca="false">IF(OR($B83="",K$35="",N($C83)=0),"",K55/($C83*HoursPerDay*INDEX(Sprints!$E$6:$E$31,8)))</f>
        <v/>
      </c>
      <c r="L83" s="78" t="str">
        <f aca="false">IF(OR($B83="",L$35="",N($C83)=0),"",L55/($C83*HoursPerDay*INDEX(Sprints!$E$6:$E$31,9)))</f>
        <v/>
      </c>
      <c r="M83" s="78" t="str">
        <f aca="false">IF(OR($B83="",M$35="",N($C83)=0),"",M55/($C83*HoursPerDay*INDEX(Sprints!$E$6:$E$31,10)))</f>
        <v/>
      </c>
      <c r="N83" s="78" t="str">
        <f aca="false">IF(OR($B83="",N$35="",N($C83)=0),"",N55/($C83*HoursPerDay*INDEX(Sprints!$E$6:$E$31,11)))</f>
        <v/>
      </c>
      <c r="O83" s="78" t="str">
        <f aca="false">IF(OR($B83="",O$35="",N($C83)=0),"",O55/($C83*HoursPerDay*INDEX(Sprints!$E$6:$E$31,12)))</f>
        <v/>
      </c>
      <c r="P83" s="78" t="str">
        <f aca="false">IF(OR($B83="",P$35="",N($C83)=0),"",P55/($C83*HoursPerDay*INDEX(Sprints!$E$6:$E$31,13)))</f>
        <v/>
      </c>
      <c r="Q83" s="78" t="str">
        <f aca="false">IF(OR($B83="",Q$35="",N($C83)=0),"",Q55/($C83*HoursPerDay*INDEX(Sprints!$E$6:$E$31,14)))</f>
        <v/>
      </c>
      <c r="R83" s="78" t="str">
        <f aca="false">IF(OR($B83="",R$35="",N($C83)=0),"",R55/($C83*HoursPerDay*INDEX(Sprints!$E$6:$E$31,15)))</f>
        <v/>
      </c>
      <c r="S83" s="78" t="str">
        <f aca="false">IF(OR($B83="",S$35="",N($C83)=0),"",S55/($C83*HoursPerDay*INDEX(Sprints!$E$6:$E$31,16)))</f>
        <v/>
      </c>
      <c r="T83" s="78" t="str">
        <f aca="false">IF(OR($B83="",T$35="",N($C83)=0),"",T55/($C83*HoursPerDay*INDEX(Sprints!$E$6:$E$31,17)))</f>
        <v/>
      </c>
      <c r="U83" s="78" t="str">
        <f aca="false">IF(OR($B83="",U$35="",N($C83)=0),"",U55/($C83*HoursPerDay*INDEX(Sprints!$E$6:$E$31,18)))</f>
        <v/>
      </c>
      <c r="V83" s="78" t="str">
        <f aca="false">IF(OR($B83="",V$35="",N($C83)=0),"",V55/($C83*HoursPerDay*INDEX(Sprints!$E$6:$E$31,19)))</f>
        <v/>
      </c>
      <c r="W83" s="78" t="str">
        <f aca="false">IF(OR($B83="",W$35="",N($C83)=0),"",W55/($C83*HoursPerDay*INDEX(Sprints!$E$6:$E$31,20)))</f>
        <v/>
      </c>
      <c r="X83" s="78" t="str">
        <f aca="false">IF(OR($B83="",X$35="",N($C83)=0),"",X55/($C83*HoursPerDay*INDEX(Sprints!$E$6:$E$31,21)))</f>
        <v/>
      </c>
      <c r="Y83" s="78" t="str">
        <f aca="false">IF(OR($B83="",Y$35="",N($C83)=0),"",Y55/($C83*HoursPerDay*INDEX(Sprints!$E$6:$E$31,22)))</f>
        <v/>
      </c>
      <c r="Z83" s="78" t="str">
        <f aca="false">IF(OR($B83="",Z$35="",N($C83)=0),"",Z55/($C83*HoursPerDay*INDEX(Sprints!$E$6:$E$31,23)))</f>
        <v/>
      </c>
      <c r="AA83" s="78" t="str">
        <f aca="false">IF(OR($B83="",AA$35="",N($C83)=0),"",AA55/($C83*HoursPerDay*INDEX(Sprints!$E$6:$E$31,24)))</f>
        <v/>
      </c>
      <c r="AB83" s="78" t="str">
        <f aca="false">IF(OR($B83="",AB$35="",N($C83)=0),"",AB55/($C83*HoursPerDay*INDEX(Sprints!$E$6:$E$31,25)))</f>
        <v/>
      </c>
      <c r="AC83" s="78" t="str">
        <f aca="false">IF(OR($B83="",AC$35="",N($C83)=0),"",AC55/($C83*HoursPerDay*INDEX(Sprints!$E$6:$E$31,26)))</f>
        <v/>
      </c>
    </row>
    <row r="84" customFormat="false" ht="15" hidden="false" customHeight="false" outlineLevel="0" collapsed="false">
      <c r="B84" s="75" t="str">
        <f aca="false">$B56</f>
        <v/>
      </c>
      <c r="C84" s="76" t="str">
        <f aca="false">$C56</f>
        <v/>
      </c>
      <c r="D84" s="78" t="str">
        <f aca="false">IF(OR($B84="",D$35="",N($C84)=0),"",D56/($C84*HoursPerDay*INDEX(Sprints!$E$6:$E$31,1)))</f>
        <v/>
      </c>
      <c r="E84" s="78" t="str">
        <f aca="false">IF(OR($B84="",E$35="",N($C84)=0),"",E56/($C84*HoursPerDay*INDEX(Sprints!$E$6:$E$31,2)))</f>
        <v/>
      </c>
      <c r="F84" s="78" t="str">
        <f aca="false">IF(OR($B84="",F$35="",N($C84)=0),"",F56/($C84*HoursPerDay*INDEX(Sprints!$E$6:$E$31,3)))</f>
        <v/>
      </c>
      <c r="G84" s="78" t="str">
        <f aca="false">IF(OR($B84="",G$35="",N($C84)=0),"",G56/($C84*HoursPerDay*INDEX(Sprints!$E$6:$E$31,4)))</f>
        <v/>
      </c>
      <c r="H84" s="78" t="str">
        <f aca="false">IF(OR($B84="",H$35="",N($C84)=0),"",H56/($C84*HoursPerDay*INDEX(Sprints!$E$6:$E$31,5)))</f>
        <v/>
      </c>
      <c r="I84" s="78" t="str">
        <f aca="false">IF(OR($B84="",I$35="",N($C84)=0),"",I56/($C84*HoursPerDay*INDEX(Sprints!$E$6:$E$31,6)))</f>
        <v/>
      </c>
      <c r="J84" s="78" t="str">
        <f aca="false">IF(OR($B84="",J$35="",N($C84)=0),"",J56/($C84*HoursPerDay*INDEX(Sprints!$E$6:$E$31,7)))</f>
        <v/>
      </c>
      <c r="K84" s="78" t="str">
        <f aca="false">IF(OR($B84="",K$35="",N($C84)=0),"",K56/($C84*HoursPerDay*INDEX(Sprints!$E$6:$E$31,8)))</f>
        <v/>
      </c>
      <c r="L84" s="78" t="str">
        <f aca="false">IF(OR($B84="",L$35="",N($C84)=0),"",L56/($C84*HoursPerDay*INDEX(Sprints!$E$6:$E$31,9)))</f>
        <v/>
      </c>
      <c r="M84" s="78" t="str">
        <f aca="false">IF(OR($B84="",M$35="",N($C84)=0),"",M56/($C84*HoursPerDay*INDEX(Sprints!$E$6:$E$31,10)))</f>
        <v/>
      </c>
      <c r="N84" s="78" t="str">
        <f aca="false">IF(OR($B84="",N$35="",N($C84)=0),"",N56/($C84*HoursPerDay*INDEX(Sprints!$E$6:$E$31,11)))</f>
        <v/>
      </c>
      <c r="O84" s="78" t="str">
        <f aca="false">IF(OR($B84="",O$35="",N($C84)=0),"",O56/($C84*HoursPerDay*INDEX(Sprints!$E$6:$E$31,12)))</f>
        <v/>
      </c>
      <c r="P84" s="78" t="str">
        <f aca="false">IF(OR($B84="",P$35="",N($C84)=0),"",P56/($C84*HoursPerDay*INDEX(Sprints!$E$6:$E$31,13)))</f>
        <v/>
      </c>
      <c r="Q84" s="78" t="str">
        <f aca="false">IF(OR($B84="",Q$35="",N($C84)=0),"",Q56/($C84*HoursPerDay*INDEX(Sprints!$E$6:$E$31,14)))</f>
        <v/>
      </c>
      <c r="R84" s="78" t="str">
        <f aca="false">IF(OR($B84="",R$35="",N($C84)=0),"",R56/($C84*HoursPerDay*INDEX(Sprints!$E$6:$E$31,15)))</f>
        <v/>
      </c>
      <c r="S84" s="78" t="str">
        <f aca="false">IF(OR($B84="",S$35="",N($C84)=0),"",S56/($C84*HoursPerDay*INDEX(Sprints!$E$6:$E$31,16)))</f>
        <v/>
      </c>
      <c r="T84" s="78" t="str">
        <f aca="false">IF(OR($B84="",T$35="",N($C84)=0),"",T56/($C84*HoursPerDay*INDEX(Sprints!$E$6:$E$31,17)))</f>
        <v/>
      </c>
      <c r="U84" s="78" t="str">
        <f aca="false">IF(OR($B84="",U$35="",N($C84)=0),"",U56/($C84*HoursPerDay*INDEX(Sprints!$E$6:$E$31,18)))</f>
        <v/>
      </c>
      <c r="V84" s="78" t="str">
        <f aca="false">IF(OR($B84="",V$35="",N($C84)=0),"",V56/($C84*HoursPerDay*INDEX(Sprints!$E$6:$E$31,19)))</f>
        <v/>
      </c>
      <c r="W84" s="78" t="str">
        <f aca="false">IF(OR($B84="",W$35="",N($C84)=0),"",W56/($C84*HoursPerDay*INDEX(Sprints!$E$6:$E$31,20)))</f>
        <v/>
      </c>
      <c r="X84" s="78" t="str">
        <f aca="false">IF(OR($B84="",X$35="",N($C84)=0),"",X56/($C84*HoursPerDay*INDEX(Sprints!$E$6:$E$31,21)))</f>
        <v/>
      </c>
      <c r="Y84" s="78" t="str">
        <f aca="false">IF(OR($B84="",Y$35="",N($C84)=0),"",Y56/($C84*HoursPerDay*INDEX(Sprints!$E$6:$E$31,22)))</f>
        <v/>
      </c>
      <c r="Z84" s="78" t="str">
        <f aca="false">IF(OR($B84="",Z$35="",N($C84)=0),"",Z56/($C84*HoursPerDay*INDEX(Sprints!$E$6:$E$31,23)))</f>
        <v/>
      </c>
      <c r="AA84" s="78" t="str">
        <f aca="false">IF(OR($B84="",AA$35="",N($C84)=0),"",AA56/($C84*HoursPerDay*INDEX(Sprints!$E$6:$E$31,24)))</f>
        <v/>
      </c>
      <c r="AB84" s="78" t="str">
        <f aca="false">IF(OR($B84="",AB$35="",N($C84)=0),"",AB56/($C84*HoursPerDay*INDEX(Sprints!$E$6:$E$31,25)))</f>
        <v/>
      </c>
      <c r="AC84" s="78" t="str">
        <f aca="false">IF(OR($B84="",AC$35="",N($C84)=0),"",AC56/($C84*HoursPerDay*INDEX(Sprints!$E$6:$E$31,26)))</f>
        <v/>
      </c>
    </row>
    <row r="85" customFormat="false" ht="15" hidden="false" customHeight="false" outlineLevel="0" collapsed="false">
      <c r="B85" s="75" t="str">
        <f aca="false">$B57</f>
        <v/>
      </c>
      <c r="C85" s="76" t="str">
        <f aca="false">$C57</f>
        <v/>
      </c>
      <c r="D85" s="78" t="str">
        <f aca="false">IF(OR($B85="",D$35="",N($C85)=0),"",D57/($C85*HoursPerDay*INDEX(Sprints!$E$6:$E$31,1)))</f>
        <v/>
      </c>
      <c r="E85" s="78" t="str">
        <f aca="false">IF(OR($B85="",E$35="",N($C85)=0),"",E57/($C85*HoursPerDay*INDEX(Sprints!$E$6:$E$31,2)))</f>
        <v/>
      </c>
      <c r="F85" s="78" t="str">
        <f aca="false">IF(OR($B85="",F$35="",N($C85)=0),"",F57/($C85*HoursPerDay*INDEX(Sprints!$E$6:$E$31,3)))</f>
        <v/>
      </c>
      <c r="G85" s="78" t="str">
        <f aca="false">IF(OR($B85="",G$35="",N($C85)=0),"",G57/($C85*HoursPerDay*INDEX(Sprints!$E$6:$E$31,4)))</f>
        <v/>
      </c>
      <c r="H85" s="78" t="str">
        <f aca="false">IF(OR($B85="",H$35="",N($C85)=0),"",H57/($C85*HoursPerDay*INDEX(Sprints!$E$6:$E$31,5)))</f>
        <v/>
      </c>
      <c r="I85" s="78" t="str">
        <f aca="false">IF(OR($B85="",I$35="",N($C85)=0),"",I57/($C85*HoursPerDay*INDEX(Sprints!$E$6:$E$31,6)))</f>
        <v/>
      </c>
      <c r="J85" s="78" t="str">
        <f aca="false">IF(OR($B85="",J$35="",N($C85)=0),"",J57/($C85*HoursPerDay*INDEX(Sprints!$E$6:$E$31,7)))</f>
        <v/>
      </c>
      <c r="K85" s="78" t="str">
        <f aca="false">IF(OR($B85="",K$35="",N($C85)=0),"",K57/($C85*HoursPerDay*INDEX(Sprints!$E$6:$E$31,8)))</f>
        <v/>
      </c>
      <c r="L85" s="78" t="str">
        <f aca="false">IF(OR($B85="",L$35="",N($C85)=0),"",L57/($C85*HoursPerDay*INDEX(Sprints!$E$6:$E$31,9)))</f>
        <v/>
      </c>
      <c r="M85" s="78" t="str">
        <f aca="false">IF(OR($B85="",M$35="",N($C85)=0),"",M57/($C85*HoursPerDay*INDEX(Sprints!$E$6:$E$31,10)))</f>
        <v/>
      </c>
      <c r="N85" s="78" t="str">
        <f aca="false">IF(OR($B85="",N$35="",N($C85)=0),"",N57/($C85*HoursPerDay*INDEX(Sprints!$E$6:$E$31,11)))</f>
        <v/>
      </c>
      <c r="O85" s="78" t="str">
        <f aca="false">IF(OR($B85="",O$35="",N($C85)=0),"",O57/($C85*HoursPerDay*INDEX(Sprints!$E$6:$E$31,12)))</f>
        <v/>
      </c>
      <c r="P85" s="78" t="str">
        <f aca="false">IF(OR($B85="",P$35="",N($C85)=0),"",P57/($C85*HoursPerDay*INDEX(Sprints!$E$6:$E$31,13)))</f>
        <v/>
      </c>
      <c r="Q85" s="78" t="str">
        <f aca="false">IF(OR($B85="",Q$35="",N($C85)=0),"",Q57/($C85*HoursPerDay*INDEX(Sprints!$E$6:$E$31,14)))</f>
        <v/>
      </c>
      <c r="R85" s="78" t="str">
        <f aca="false">IF(OR($B85="",R$35="",N($C85)=0),"",R57/($C85*HoursPerDay*INDEX(Sprints!$E$6:$E$31,15)))</f>
        <v/>
      </c>
      <c r="S85" s="78" t="str">
        <f aca="false">IF(OR($B85="",S$35="",N($C85)=0),"",S57/($C85*HoursPerDay*INDEX(Sprints!$E$6:$E$31,16)))</f>
        <v/>
      </c>
      <c r="T85" s="78" t="str">
        <f aca="false">IF(OR($B85="",T$35="",N($C85)=0),"",T57/($C85*HoursPerDay*INDEX(Sprints!$E$6:$E$31,17)))</f>
        <v/>
      </c>
      <c r="U85" s="78" t="str">
        <f aca="false">IF(OR($B85="",U$35="",N($C85)=0),"",U57/($C85*HoursPerDay*INDEX(Sprints!$E$6:$E$31,18)))</f>
        <v/>
      </c>
      <c r="V85" s="78" t="str">
        <f aca="false">IF(OR($B85="",V$35="",N($C85)=0),"",V57/($C85*HoursPerDay*INDEX(Sprints!$E$6:$E$31,19)))</f>
        <v/>
      </c>
      <c r="W85" s="78" t="str">
        <f aca="false">IF(OR($B85="",W$35="",N($C85)=0),"",W57/($C85*HoursPerDay*INDEX(Sprints!$E$6:$E$31,20)))</f>
        <v/>
      </c>
      <c r="X85" s="78" t="str">
        <f aca="false">IF(OR($B85="",X$35="",N($C85)=0),"",X57/($C85*HoursPerDay*INDEX(Sprints!$E$6:$E$31,21)))</f>
        <v/>
      </c>
      <c r="Y85" s="78" t="str">
        <f aca="false">IF(OR($B85="",Y$35="",N($C85)=0),"",Y57/($C85*HoursPerDay*INDEX(Sprints!$E$6:$E$31,22)))</f>
        <v/>
      </c>
      <c r="Z85" s="78" t="str">
        <f aca="false">IF(OR($B85="",Z$35="",N($C85)=0),"",Z57/($C85*HoursPerDay*INDEX(Sprints!$E$6:$E$31,23)))</f>
        <v/>
      </c>
      <c r="AA85" s="78" t="str">
        <f aca="false">IF(OR($B85="",AA$35="",N($C85)=0),"",AA57/($C85*HoursPerDay*INDEX(Sprints!$E$6:$E$31,24)))</f>
        <v/>
      </c>
      <c r="AB85" s="78" t="str">
        <f aca="false">IF(OR($B85="",AB$35="",N($C85)=0),"",AB57/($C85*HoursPerDay*INDEX(Sprints!$E$6:$E$31,25)))</f>
        <v/>
      </c>
      <c r="AC85" s="78" t="str">
        <f aca="false">IF(OR($B85="",AC$35="",N($C85)=0),"",AC57/($C85*HoursPerDay*INDEX(Sprints!$E$6:$E$31,26)))</f>
        <v/>
      </c>
    </row>
    <row r="86" customFormat="false" ht="15" hidden="false" customHeight="false" outlineLevel="0" collapsed="false">
      <c r="B86" s="75" t="str">
        <f aca="false">$B58</f>
        <v/>
      </c>
      <c r="C86" s="76" t="str">
        <f aca="false">$C58</f>
        <v/>
      </c>
      <c r="D86" s="78" t="str">
        <f aca="false">IF(OR($B86="",D$35="",N($C86)=0),"",D58/($C86*HoursPerDay*INDEX(Sprints!$E$6:$E$31,1)))</f>
        <v/>
      </c>
      <c r="E86" s="78" t="str">
        <f aca="false">IF(OR($B86="",E$35="",N($C86)=0),"",E58/($C86*HoursPerDay*INDEX(Sprints!$E$6:$E$31,2)))</f>
        <v/>
      </c>
      <c r="F86" s="78" t="str">
        <f aca="false">IF(OR($B86="",F$35="",N($C86)=0),"",F58/($C86*HoursPerDay*INDEX(Sprints!$E$6:$E$31,3)))</f>
        <v/>
      </c>
      <c r="G86" s="78" t="str">
        <f aca="false">IF(OR($B86="",G$35="",N($C86)=0),"",G58/($C86*HoursPerDay*INDEX(Sprints!$E$6:$E$31,4)))</f>
        <v/>
      </c>
      <c r="H86" s="78" t="str">
        <f aca="false">IF(OR($B86="",H$35="",N($C86)=0),"",H58/($C86*HoursPerDay*INDEX(Sprints!$E$6:$E$31,5)))</f>
        <v/>
      </c>
      <c r="I86" s="78" t="str">
        <f aca="false">IF(OR($B86="",I$35="",N($C86)=0),"",I58/($C86*HoursPerDay*INDEX(Sprints!$E$6:$E$31,6)))</f>
        <v/>
      </c>
      <c r="J86" s="78" t="str">
        <f aca="false">IF(OR($B86="",J$35="",N($C86)=0),"",J58/($C86*HoursPerDay*INDEX(Sprints!$E$6:$E$31,7)))</f>
        <v/>
      </c>
      <c r="K86" s="78" t="str">
        <f aca="false">IF(OR($B86="",K$35="",N($C86)=0),"",K58/($C86*HoursPerDay*INDEX(Sprints!$E$6:$E$31,8)))</f>
        <v/>
      </c>
      <c r="L86" s="78" t="str">
        <f aca="false">IF(OR($B86="",L$35="",N($C86)=0),"",L58/($C86*HoursPerDay*INDEX(Sprints!$E$6:$E$31,9)))</f>
        <v/>
      </c>
      <c r="M86" s="78" t="str">
        <f aca="false">IF(OR($B86="",M$35="",N($C86)=0),"",M58/($C86*HoursPerDay*INDEX(Sprints!$E$6:$E$31,10)))</f>
        <v/>
      </c>
      <c r="N86" s="78" t="str">
        <f aca="false">IF(OR($B86="",N$35="",N($C86)=0),"",N58/($C86*HoursPerDay*INDEX(Sprints!$E$6:$E$31,11)))</f>
        <v/>
      </c>
      <c r="O86" s="78" t="str">
        <f aca="false">IF(OR($B86="",O$35="",N($C86)=0),"",O58/($C86*HoursPerDay*INDEX(Sprints!$E$6:$E$31,12)))</f>
        <v/>
      </c>
      <c r="P86" s="78" t="str">
        <f aca="false">IF(OR($B86="",P$35="",N($C86)=0),"",P58/($C86*HoursPerDay*INDEX(Sprints!$E$6:$E$31,13)))</f>
        <v/>
      </c>
      <c r="Q86" s="78" t="str">
        <f aca="false">IF(OR($B86="",Q$35="",N($C86)=0),"",Q58/($C86*HoursPerDay*INDEX(Sprints!$E$6:$E$31,14)))</f>
        <v/>
      </c>
      <c r="R86" s="78" t="str">
        <f aca="false">IF(OR($B86="",R$35="",N($C86)=0),"",R58/($C86*HoursPerDay*INDEX(Sprints!$E$6:$E$31,15)))</f>
        <v/>
      </c>
      <c r="S86" s="78" t="str">
        <f aca="false">IF(OR($B86="",S$35="",N($C86)=0),"",S58/($C86*HoursPerDay*INDEX(Sprints!$E$6:$E$31,16)))</f>
        <v/>
      </c>
      <c r="T86" s="78" t="str">
        <f aca="false">IF(OR($B86="",T$35="",N($C86)=0),"",T58/($C86*HoursPerDay*INDEX(Sprints!$E$6:$E$31,17)))</f>
        <v/>
      </c>
      <c r="U86" s="78" t="str">
        <f aca="false">IF(OR($B86="",U$35="",N($C86)=0),"",U58/($C86*HoursPerDay*INDEX(Sprints!$E$6:$E$31,18)))</f>
        <v/>
      </c>
      <c r="V86" s="78" t="str">
        <f aca="false">IF(OR($B86="",V$35="",N($C86)=0),"",V58/($C86*HoursPerDay*INDEX(Sprints!$E$6:$E$31,19)))</f>
        <v/>
      </c>
      <c r="W86" s="78" t="str">
        <f aca="false">IF(OR($B86="",W$35="",N($C86)=0),"",W58/($C86*HoursPerDay*INDEX(Sprints!$E$6:$E$31,20)))</f>
        <v/>
      </c>
      <c r="X86" s="78" t="str">
        <f aca="false">IF(OR($B86="",X$35="",N($C86)=0),"",X58/($C86*HoursPerDay*INDEX(Sprints!$E$6:$E$31,21)))</f>
        <v/>
      </c>
      <c r="Y86" s="78" t="str">
        <f aca="false">IF(OR($B86="",Y$35="",N($C86)=0),"",Y58/($C86*HoursPerDay*INDEX(Sprints!$E$6:$E$31,22)))</f>
        <v/>
      </c>
      <c r="Z86" s="78" t="str">
        <f aca="false">IF(OR($B86="",Z$35="",N($C86)=0),"",Z58/($C86*HoursPerDay*INDEX(Sprints!$E$6:$E$31,23)))</f>
        <v/>
      </c>
      <c r="AA86" s="78" t="str">
        <f aca="false">IF(OR($B86="",AA$35="",N($C86)=0),"",AA58/($C86*HoursPerDay*INDEX(Sprints!$E$6:$E$31,24)))</f>
        <v/>
      </c>
      <c r="AB86" s="78" t="str">
        <f aca="false">IF(OR($B86="",AB$35="",N($C86)=0),"",AB58/($C86*HoursPerDay*INDEX(Sprints!$E$6:$E$31,25)))</f>
        <v/>
      </c>
      <c r="AC86" s="78" t="str">
        <f aca="false">IF(OR($B86="",AC$35="",N($C86)=0),"",AC58/($C86*HoursPerDay*INDEX(Sprints!$E$6:$E$31,26)))</f>
        <v/>
      </c>
    </row>
    <row r="87" customFormat="false" ht="15" hidden="false" customHeight="false" outlineLevel="0" collapsed="false">
      <c r="B87" s="75" t="str">
        <f aca="false">$B59</f>
        <v/>
      </c>
      <c r="C87" s="76" t="str">
        <f aca="false">$C59</f>
        <v/>
      </c>
      <c r="D87" s="78" t="str">
        <f aca="false">IF(OR($B87="",D$35="",N($C87)=0),"",D59/($C87*HoursPerDay*INDEX(Sprints!$E$6:$E$31,1)))</f>
        <v/>
      </c>
      <c r="E87" s="78" t="str">
        <f aca="false">IF(OR($B87="",E$35="",N($C87)=0),"",E59/($C87*HoursPerDay*INDEX(Sprints!$E$6:$E$31,2)))</f>
        <v/>
      </c>
      <c r="F87" s="78" t="str">
        <f aca="false">IF(OR($B87="",F$35="",N($C87)=0),"",F59/($C87*HoursPerDay*INDEX(Sprints!$E$6:$E$31,3)))</f>
        <v/>
      </c>
      <c r="G87" s="78" t="str">
        <f aca="false">IF(OR($B87="",G$35="",N($C87)=0),"",G59/($C87*HoursPerDay*INDEX(Sprints!$E$6:$E$31,4)))</f>
        <v/>
      </c>
      <c r="H87" s="78" t="str">
        <f aca="false">IF(OR($B87="",H$35="",N($C87)=0),"",H59/($C87*HoursPerDay*INDEX(Sprints!$E$6:$E$31,5)))</f>
        <v/>
      </c>
      <c r="I87" s="78" t="str">
        <f aca="false">IF(OR($B87="",I$35="",N($C87)=0),"",I59/($C87*HoursPerDay*INDEX(Sprints!$E$6:$E$31,6)))</f>
        <v/>
      </c>
      <c r="J87" s="78" t="str">
        <f aca="false">IF(OR($B87="",J$35="",N($C87)=0),"",J59/($C87*HoursPerDay*INDEX(Sprints!$E$6:$E$31,7)))</f>
        <v/>
      </c>
      <c r="K87" s="78" t="str">
        <f aca="false">IF(OR($B87="",K$35="",N($C87)=0),"",K59/($C87*HoursPerDay*INDEX(Sprints!$E$6:$E$31,8)))</f>
        <v/>
      </c>
      <c r="L87" s="78" t="str">
        <f aca="false">IF(OR($B87="",L$35="",N($C87)=0),"",L59/($C87*HoursPerDay*INDEX(Sprints!$E$6:$E$31,9)))</f>
        <v/>
      </c>
      <c r="M87" s="78" t="str">
        <f aca="false">IF(OR($B87="",M$35="",N($C87)=0),"",M59/($C87*HoursPerDay*INDEX(Sprints!$E$6:$E$31,10)))</f>
        <v/>
      </c>
      <c r="N87" s="78" t="str">
        <f aca="false">IF(OR($B87="",N$35="",N($C87)=0),"",N59/($C87*HoursPerDay*INDEX(Sprints!$E$6:$E$31,11)))</f>
        <v/>
      </c>
      <c r="O87" s="78" t="str">
        <f aca="false">IF(OR($B87="",O$35="",N($C87)=0),"",O59/($C87*HoursPerDay*INDEX(Sprints!$E$6:$E$31,12)))</f>
        <v/>
      </c>
      <c r="P87" s="78" t="str">
        <f aca="false">IF(OR($B87="",P$35="",N($C87)=0),"",P59/($C87*HoursPerDay*INDEX(Sprints!$E$6:$E$31,13)))</f>
        <v/>
      </c>
      <c r="Q87" s="78" t="str">
        <f aca="false">IF(OR($B87="",Q$35="",N($C87)=0),"",Q59/($C87*HoursPerDay*INDEX(Sprints!$E$6:$E$31,14)))</f>
        <v/>
      </c>
      <c r="R87" s="78" t="str">
        <f aca="false">IF(OR($B87="",R$35="",N($C87)=0),"",R59/($C87*HoursPerDay*INDEX(Sprints!$E$6:$E$31,15)))</f>
        <v/>
      </c>
      <c r="S87" s="78" t="str">
        <f aca="false">IF(OR($B87="",S$35="",N($C87)=0),"",S59/($C87*HoursPerDay*INDEX(Sprints!$E$6:$E$31,16)))</f>
        <v/>
      </c>
      <c r="T87" s="78" t="str">
        <f aca="false">IF(OR($B87="",T$35="",N($C87)=0),"",T59/($C87*HoursPerDay*INDEX(Sprints!$E$6:$E$31,17)))</f>
        <v/>
      </c>
      <c r="U87" s="78" t="str">
        <f aca="false">IF(OR($B87="",U$35="",N($C87)=0),"",U59/($C87*HoursPerDay*INDEX(Sprints!$E$6:$E$31,18)))</f>
        <v/>
      </c>
      <c r="V87" s="78" t="str">
        <f aca="false">IF(OR($B87="",V$35="",N($C87)=0),"",V59/($C87*HoursPerDay*INDEX(Sprints!$E$6:$E$31,19)))</f>
        <v/>
      </c>
      <c r="W87" s="78" t="str">
        <f aca="false">IF(OR($B87="",W$35="",N($C87)=0),"",W59/($C87*HoursPerDay*INDEX(Sprints!$E$6:$E$31,20)))</f>
        <v/>
      </c>
      <c r="X87" s="78" t="str">
        <f aca="false">IF(OR($B87="",X$35="",N($C87)=0),"",X59/($C87*HoursPerDay*INDEX(Sprints!$E$6:$E$31,21)))</f>
        <v/>
      </c>
      <c r="Y87" s="78" t="str">
        <f aca="false">IF(OR($B87="",Y$35="",N($C87)=0),"",Y59/($C87*HoursPerDay*INDEX(Sprints!$E$6:$E$31,22)))</f>
        <v/>
      </c>
      <c r="Z87" s="78" t="str">
        <f aca="false">IF(OR($B87="",Z$35="",N($C87)=0),"",Z59/($C87*HoursPerDay*INDEX(Sprints!$E$6:$E$31,23)))</f>
        <v/>
      </c>
      <c r="AA87" s="78" t="str">
        <f aca="false">IF(OR($B87="",AA$35="",N($C87)=0),"",AA59/($C87*HoursPerDay*INDEX(Sprints!$E$6:$E$31,24)))</f>
        <v/>
      </c>
      <c r="AB87" s="78" t="str">
        <f aca="false">IF(OR($B87="",AB$35="",N($C87)=0),"",AB59/($C87*HoursPerDay*INDEX(Sprints!$E$6:$E$31,25)))</f>
        <v/>
      </c>
      <c r="AC87" s="78" t="str">
        <f aca="false">IF(OR($B87="",AC$35="",N($C87)=0),"",AC59/($C87*HoursPerDay*INDEX(Sprints!$E$6:$E$31,26)))</f>
        <v/>
      </c>
    </row>
    <row r="88" customFormat="false" ht="15" hidden="false" customHeight="false" outlineLevel="0" collapsed="false">
      <c r="B88" s="75" t="str">
        <f aca="false">$B60</f>
        <v/>
      </c>
      <c r="C88" s="76" t="str">
        <f aca="false">$C60</f>
        <v/>
      </c>
      <c r="D88" s="78" t="str">
        <f aca="false">IF(OR($B88="",D$35="",N($C88)=0),"",D60/($C88*HoursPerDay*INDEX(Sprints!$E$6:$E$31,1)))</f>
        <v/>
      </c>
      <c r="E88" s="78" t="str">
        <f aca="false">IF(OR($B88="",E$35="",N($C88)=0),"",E60/($C88*HoursPerDay*INDEX(Sprints!$E$6:$E$31,2)))</f>
        <v/>
      </c>
      <c r="F88" s="78" t="str">
        <f aca="false">IF(OR($B88="",F$35="",N($C88)=0),"",F60/($C88*HoursPerDay*INDEX(Sprints!$E$6:$E$31,3)))</f>
        <v/>
      </c>
      <c r="G88" s="78" t="str">
        <f aca="false">IF(OR($B88="",G$35="",N($C88)=0),"",G60/($C88*HoursPerDay*INDEX(Sprints!$E$6:$E$31,4)))</f>
        <v/>
      </c>
      <c r="H88" s="78" t="str">
        <f aca="false">IF(OR($B88="",H$35="",N($C88)=0),"",H60/($C88*HoursPerDay*INDEX(Sprints!$E$6:$E$31,5)))</f>
        <v/>
      </c>
      <c r="I88" s="78" t="str">
        <f aca="false">IF(OR($B88="",I$35="",N($C88)=0),"",I60/($C88*HoursPerDay*INDEX(Sprints!$E$6:$E$31,6)))</f>
        <v/>
      </c>
      <c r="J88" s="78" t="str">
        <f aca="false">IF(OR($B88="",J$35="",N($C88)=0),"",J60/($C88*HoursPerDay*INDEX(Sprints!$E$6:$E$31,7)))</f>
        <v/>
      </c>
      <c r="K88" s="78" t="str">
        <f aca="false">IF(OR($B88="",K$35="",N($C88)=0),"",K60/($C88*HoursPerDay*INDEX(Sprints!$E$6:$E$31,8)))</f>
        <v/>
      </c>
      <c r="L88" s="78" t="str">
        <f aca="false">IF(OR($B88="",L$35="",N($C88)=0),"",L60/($C88*HoursPerDay*INDEX(Sprints!$E$6:$E$31,9)))</f>
        <v/>
      </c>
      <c r="M88" s="78" t="str">
        <f aca="false">IF(OR($B88="",M$35="",N($C88)=0),"",M60/($C88*HoursPerDay*INDEX(Sprints!$E$6:$E$31,10)))</f>
        <v/>
      </c>
      <c r="N88" s="78" t="str">
        <f aca="false">IF(OR($B88="",N$35="",N($C88)=0),"",N60/($C88*HoursPerDay*INDEX(Sprints!$E$6:$E$31,11)))</f>
        <v/>
      </c>
      <c r="O88" s="78" t="str">
        <f aca="false">IF(OR($B88="",O$35="",N($C88)=0),"",O60/($C88*HoursPerDay*INDEX(Sprints!$E$6:$E$31,12)))</f>
        <v/>
      </c>
      <c r="P88" s="78" t="str">
        <f aca="false">IF(OR($B88="",P$35="",N($C88)=0),"",P60/($C88*HoursPerDay*INDEX(Sprints!$E$6:$E$31,13)))</f>
        <v/>
      </c>
      <c r="Q88" s="78" t="str">
        <f aca="false">IF(OR($B88="",Q$35="",N($C88)=0),"",Q60/($C88*HoursPerDay*INDEX(Sprints!$E$6:$E$31,14)))</f>
        <v/>
      </c>
      <c r="R88" s="78" t="str">
        <f aca="false">IF(OR($B88="",R$35="",N($C88)=0),"",R60/($C88*HoursPerDay*INDEX(Sprints!$E$6:$E$31,15)))</f>
        <v/>
      </c>
      <c r="S88" s="78" t="str">
        <f aca="false">IF(OR($B88="",S$35="",N($C88)=0),"",S60/($C88*HoursPerDay*INDEX(Sprints!$E$6:$E$31,16)))</f>
        <v/>
      </c>
      <c r="T88" s="78" t="str">
        <f aca="false">IF(OR($B88="",T$35="",N($C88)=0),"",T60/($C88*HoursPerDay*INDEX(Sprints!$E$6:$E$31,17)))</f>
        <v/>
      </c>
      <c r="U88" s="78" t="str">
        <f aca="false">IF(OR($B88="",U$35="",N($C88)=0),"",U60/($C88*HoursPerDay*INDEX(Sprints!$E$6:$E$31,18)))</f>
        <v/>
      </c>
      <c r="V88" s="78" t="str">
        <f aca="false">IF(OR($B88="",V$35="",N($C88)=0),"",V60/($C88*HoursPerDay*INDEX(Sprints!$E$6:$E$31,19)))</f>
        <v/>
      </c>
      <c r="W88" s="78" t="str">
        <f aca="false">IF(OR($B88="",W$35="",N($C88)=0),"",W60/($C88*HoursPerDay*INDEX(Sprints!$E$6:$E$31,20)))</f>
        <v/>
      </c>
      <c r="X88" s="78" t="str">
        <f aca="false">IF(OR($B88="",X$35="",N($C88)=0),"",X60/($C88*HoursPerDay*INDEX(Sprints!$E$6:$E$31,21)))</f>
        <v/>
      </c>
      <c r="Y88" s="78" t="str">
        <f aca="false">IF(OR($B88="",Y$35="",N($C88)=0),"",Y60/($C88*HoursPerDay*INDEX(Sprints!$E$6:$E$31,22)))</f>
        <v/>
      </c>
      <c r="Z88" s="78" t="str">
        <f aca="false">IF(OR($B88="",Z$35="",N($C88)=0),"",Z60/($C88*HoursPerDay*INDEX(Sprints!$E$6:$E$31,23)))</f>
        <v/>
      </c>
      <c r="AA88" s="78" t="str">
        <f aca="false">IF(OR($B88="",AA$35="",N($C88)=0),"",AA60/($C88*HoursPerDay*INDEX(Sprints!$E$6:$E$31,24)))</f>
        <v/>
      </c>
      <c r="AB88" s="78" t="str">
        <f aca="false">IF(OR($B88="",AB$35="",N($C88)=0),"",AB60/($C88*HoursPerDay*INDEX(Sprints!$E$6:$E$31,25)))</f>
        <v/>
      </c>
      <c r="AC88" s="78" t="str">
        <f aca="false">IF(OR($B88="",AC$35="",N($C88)=0),"",AC60/($C88*HoursPerDay*INDEX(Sprints!$E$6:$E$31,26)))</f>
        <v/>
      </c>
    </row>
    <row r="89" customFormat="false" ht="15" hidden="false" customHeight="false" outlineLevel="0" collapsed="false">
      <c r="B89" s="75" t="str">
        <f aca="false">$B61</f>
        <v/>
      </c>
      <c r="C89" s="76" t="str">
        <f aca="false">$C61</f>
        <v/>
      </c>
      <c r="D89" s="78" t="str">
        <f aca="false">IF(OR($B89="",D$35="",N($C89)=0),"",D61/($C89*HoursPerDay*INDEX(Sprints!$E$6:$E$31,1)))</f>
        <v/>
      </c>
      <c r="E89" s="78" t="str">
        <f aca="false">IF(OR($B89="",E$35="",N($C89)=0),"",E61/($C89*HoursPerDay*INDEX(Sprints!$E$6:$E$31,2)))</f>
        <v/>
      </c>
      <c r="F89" s="78" t="str">
        <f aca="false">IF(OR($B89="",F$35="",N($C89)=0),"",F61/($C89*HoursPerDay*INDEX(Sprints!$E$6:$E$31,3)))</f>
        <v/>
      </c>
      <c r="G89" s="78" t="str">
        <f aca="false">IF(OR($B89="",G$35="",N($C89)=0),"",G61/($C89*HoursPerDay*INDEX(Sprints!$E$6:$E$31,4)))</f>
        <v/>
      </c>
      <c r="H89" s="78" t="str">
        <f aca="false">IF(OR($B89="",H$35="",N($C89)=0),"",H61/($C89*HoursPerDay*INDEX(Sprints!$E$6:$E$31,5)))</f>
        <v/>
      </c>
      <c r="I89" s="78" t="str">
        <f aca="false">IF(OR($B89="",I$35="",N($C89)=0),"",I61/($C89*HoursPerDay*INDEX(Sprints!$E$6:$E$31,6)))</f>
        <v/>
      </c>
      <c r="J89" s="78" t="str">
        <f aca="false">IF(OR($B89="",J$35="",N($C89)=0),"",J61/($C89*HoursPerDay*INDEX(Sprints!$E$6:$E$31,7)))</f>
        <v/>
      </c>
      <c r="K89" s="78" t="str">
        <f aca="false">IF(OR($B89="",K$35="",N($C89)=0),"",K61/($C89*HoursPerDay*INDEX(Sprints!$E$6:$E$31,8)))</f>
        <v/>
      </c>
      <c r="L89" s="78" t="str">
        <f aca="false">IF(OR($B89="",L$35="",N($C89)=0),"",L61/($C89*HoursPerDay*INDEX(Sprints!$E$6:$E$31,9)))</f>
        <v/>
      </c>
      <c r="M89" s="78" t="str">
        <f aca="false">IF(OR($B89="",M$35="",N($C89)=0),"",M61/($C89*HoursPerDay*INDEX(Sprints!$E$6:$E$31,10)))</f>
        <v/>
      </c>
      <c r="N89" s="78" t="str">
        <f aca="false">IF(OR($B89="",N$35="",N($C89)=0),"",N61/($C89*HoursPerDay*INDEX(Sprints!$E$6:$E$31,11)))</f>
        <v/>
      </c>
      <c r="O89" s="78" t="str">
        <f aca="false">IF(OR($B89="",O$35="",N($C89)=0),"",O61/($C89*HoursPerDay*INDEX(Sprints!$E$6:$E$31,12)))</f>
        <v/>
      </c>
      <c r="P89" s="78" t="str">
        <f aca="false">IF(OR($B89="",P$35="",N($C89)=0),"",P61/($C89*HoursPerDay*INDEX(Sprints!$E$6:$E$31,13)))</f>
        <v/>
      </c>
      <c r="Q89" s="78" t="str">
        <f aca="false">IF(OR($B89="",Q$35="",N($C89)=0),"",Q61/($C89*HoursPerDay*INDEX(Sprints!$E$6:$E$31,14)))</f>
        <v/>
      </c>
      <c r="R89" s="78" t="str">
        <f aca="false">IF(OR($B89="",R$35="",N($C89)=0),"",R61/($C89*HoursPerDay*INDEX(Sprints!$E$6:$E$31,15)))</f>
        <v/>
      </c>
      <c r="S89" s="78" t="str">
        <f aca="false">IF(OR($B89="",S$35="",N($C89)=0),"",S61/($C89*HoursPerDay*INDEX(Sprints!$E$6:$E$31,16)))</f>
        <v/>
      </c>
      <c r="T89" s="78" t="str">
        <f aca="false">IF(OR($B89="",T$35="",N($C89)=0),"",T61/($C89*HoursPerDay*INDEX(Sprints!$E$6:$E$31,17)))</f>
        <v/>
      </c>
      <c r="U89" s="78" t="str">
        <f aca="false">IF(OR($B89="",U$35="",N($C89)=0),"",U61/($C89*HoursPerDay*INDEX(Sprints!$E$6:$E$31,18)))</f>
        <v/>
      </c>
      <c r="V89" s="78" t="str">
        <f aca="false">IF(OR($B89="",V$35="",N($C89)=0),"",V61/($C89*HoursPerDay*INDEX(Sprints!$E$6:$E$31,19)))</f>
        <v/>
      </c>
      <c r="W89" s="78" t="str">
        <f aca="false">IF(OR($B89="",W$35="",N($C89)=0),"",W61/($C89*HoursPerDay*INDEX(Sprints!$E$6:$E$31,20)))</f>
        <v/>
      </c>
      <c r="X89" s="78" t="str">
        <f aca="false">IF(OR($B89="",X$35="",N($C89)=0),"",X61/($C89*HoursPerDay*INDEX(Sprints!$E$6:$E$31,21)))</f>
        <v/>
      </c>
      <c r="Y89" s="78" t="str">
        <f aca="false">IF(OR($B89="",Y$35="",N($C89)=0),"",Y61/($C89*HoursPerDay*INDEX(Sprints!$E$6:$E$31,22)))</f>
        <v/>
      </c>
      <c r="Z89" s="78" t="str">
        <f aca="false">IF(OR($B89="",Z$35="",N($C89)=0),"",Z61/($C89*HoursPerDay*INDEX(Sprints!$E$6:$E$31,23)))</f>
        <v/>
      </c>
      <c r="AA89" s="78" t="str">
        <f aca="false">IF(OR($B89="",AA$35="",N($C89)=0),"",AA61/($C89*HoursPerDay*INDEX(Sprints!$E$6:$E$31,24)))</f>
        <v/>
      </c>
      <c r="AB89" s="78" t="str">
        <f aca="false">IF(OR($B89="",AB$35="",N($C89)=0),"",AB61/($C89*HoursPerDay*INDEX(Sprints!$E$6:$E$31,25)))</f>
        <v/>
      </c>
      <c r="AC89" s="78" t="str">
        <f aca="false">IF(OR($B89="",AC$35="",N($C89)=0),"",AC61/($C89*HoursPerDay*INDEX(Sprints!$E$6:$E$31,26)))</f>
        <v/>
      </c>
    </row>
    <row r="90" customFormat="false" ht="15" hidden="false" customHeight="false" outlineLevel="0" collapsed="false">
      <c r="B90" s="75" t="str">
        <f aca="false">$B62</f>
        <v/>
      </c>
      <c r="C90" s="76" t="str">
        <f aca="false">$C62</f>
        <v/>
      </c>
      <c r="D90" s="78" t="str">
        <f aca="false">IF(OR($B90="",D$35="",N($C90)=0),"",D62/($C90*HoursPerDay*INDEX(Sprints!$E$6:$E$31,1)))</f>
        <v/>
      </c>
      <c r="E90" s="78" t="str">
        <f aca="false">IF(OR($B90="",E$35="",N($C90)=0),"",E62/($C90*HoursPerDay*INDEX(Sprints!$E$6:$E$31,2)))</f>
        <v/>
      </c>
      <c r="F90" s="78" t="str">
        <f aca="false">IF(OR($B90="",F$35="",N($C90)=0),"",F62/($C90*HoursPerDay*INDEX(Sprints!$E$6:$E$31,3)))</f>
        <v/>
      </c>
      <c r="G90" s="78" t="str">
        <f aca="false">IF(OR($B90="",G$35="",N($C90)=0),"",G62/($C90*HoursPerDay*INDEX(Sprints!$E$6:$E$31,4)))</f>
        <v/>
      </c>
      <c r="H90" s="78" t="str">
        <f aca="false">IF(OR($B90="",H$35="",N($C90)=0),"",H62/($C90*HoursPerDay*INDEX(Sprints!$E$6:$E$31,5)))</f>
        <v/>
      </c>
      <c r="I90" s="78" t="str">
        <f aca="false">IF(OR($B90="",I$35="",N($C90)=0),"",I62/($C90*HoursPerDay*INDEX(Sprints!$E$6:$E$31,6)))</f>
        <v/>
      </c>
      <c r="J90" s="78" t="str">
        <f aca="false">IF(OR($B90="",J$35="",N($C90)=0),"",J62/($C90*HoursPerDay*INDEX(Sprints!$E$6:$E$31,7)))</f>
        <v/>
      </c>
      <c r="K90" s="78" t="str">
        <f aca="false">IF(OR($B90="",K$35="",N($C90)=0),"",K62/($C90*HoursPerDay*INDEX(Sprints!$E$6:$E$31,8)))</f>
        <v/>
      </c>
      <c r="L90" s="78" t="str">
        <f aca="false">IF(OR($B90="",L$35="",N($C90)=0),"",L62/($C90*HoursPerDay*INDEX(Sprints!$E$6:$E$31,9)))</f>
        <v/>
      </c>
      <c r="M90" s="78" t="str">
        <f aca="false">IF(OR($B90="",M$35="",N($C90)=0),"",M62/($C90*HoursPerDay*INDEX(Sprints!$E$6:$E$31,10)))</f>
        <v/>
      </c>
      <c r="N90" s="78" t="str">
        <f aca="false">IF(OR($B90="",N$35="",N($C90)=0),"",N62/($C90*HoursPerDay*INDEX(Sprints!$E$6:$E$31,11)))</f>
        <v/>
      </c>
      <c r="O90" s="78" t="str">
        <f aca="false">IF(OR($B90="",O$35="",N($C90)=0),"",O62/($C90*HoursPerDay*INDEX(Sprints!$E$6:$E$31,12)))</f>
        <v/>
      </c>
      <c r="P90" s="78" t="str">
        <f aca="false">IF(OR($B90="",P$35="",N($C90)=0),"",P62/($C90*HoursPerDay*INDEX(Sprints!$E$6:$E$31,13)))</f>
        <v/>
      </c>
      <c r="Q90" s="78" t="str">
        <f aca="false">IF(OR($B90="",Q$35="",N($C90)=0),"",Q62/($C90*HoursPerDay*INDEX(Sprints!$E$6:$E$31,14)))</f>
        <v/>
      </c>
      <c r="R90" s="78" t="str">
        <f aca="false">IF(OR($B90="",R$35="",N($C90)=0),"",R62/($C90*HoursPerDay*INDEX(Sprints!$E$6:$E$31,15)))</f>
        <v/>
      </c>
      <c r="S90" s="78" t="str">
        <f aca="false">IF(OR($B90="",S$35="",N($C90)=0),"",S62/($C90*HoursPerDay*INDEX(Sprints!$E$6:$E$31,16)))</f>
        <v/>
      </c>
      <c r="T90" s="78" t="str">
        <f aca="false">IF(OR($B90="",T$35="",N($C90)=0),"",T62/($C90*HoursPerDay*INDEX(Sprints!$E$6:$E$31,17)))</f>
        <v/>
      </c>
      <c r="U90" s="78" t="str">
        <f aca="false">IF(OR($B90="",U$35="",N($C90)=0),"",U62/($C90*HoursPerDay*INDEX(Sprints!$E$6:$E$31,18)))</f>
        <v/>
      </c>
      <c r="V90" s="78" t="str">
        <f aca="false">IF(OR($B90="",V$35="",N($C90)=0),"",V62/($C90*HoursPerDay*INDEX(Sprints!$E$6:$E$31,19)))</f>
        <v/>
      </c>
      <c r="W90" s="78" t="str">
        <f aca="false">IF(OR($B90="",W$35="",N($C90)=0),"",W62/($C90*HoursPerDay*INDEX(Sprints!$E$6:$E$31,20)))</f>
        <v/>
      </c>
      <c r="X90" s="78" t="str">
        <f aca="false">IF(OR($B90="",X$35="",N($C90)=0),"",X62/($C90*HoursPerDay*INDEX(Sprints!$E$6:$E$31,21)))</f>
        <v/>
      </c>
      <c r="Y90" s="78" t="str">
        <f aca="false">IF(OR($B90="",Y$35="",N($C90)=0),"",Y62/($C90*HoursPerDay*INDEX(Sprints!$E$6:$E$31,22)))</f>
        <v/>
      </c>
      <c r="Z90" s="78" t="str">
        <f aca="false">IF(OR($B90="",Z$35="",N($C90)=0),"",Z62/($C90*HoursPerDay*INDEX(Sprints!$E$6:$E$31,23)))</f>
        <v/>
      </c>
      <c r="AA90" s="78" t="str">
        <f aca="false">IF(OR($B90="",AA$35="",N($C90)=0),"",AA62/($C90*HoursPerDay*INDEX(Sprints!$E$6:$E$31,24)))</f>
        <v/>
      </c>
      <c r="AB90" s="78" t="str">
        <f aca="false">IF(OR($B90="",AB$35="",N($C90)=0),"",AB62/($C90*HoursPerDay*INDEX(Sprints!$E$6:$E$31,25)))</f>
        <v/>
      </c>
      <c r="AC90" s="78" t="str">
        <f aca="false">IF(OR($B90="",AC$35="",N($C90)=0),"",AC62/($C90*HoursPerDay*INDEX(Sprints!$E$6:$E$31,26)))</f>
        <v/>
      </c>
    </row>
  </sheetData>
  <conditionalFormatting sqref="A6:K31">
    <cfRule type="expression" priority="2" aboveAverage="0" equalAverage="0" bottom="0" percent="0" rank="0" text="" dxfId="28">
      <formula>$B6=""</formula>
    </cfRule>
    <cfRule type="expression" priority="3" aboveAverage="0" equalAverage="0" bottom="0" percent="0" rank="0" text="" dxfId="29">
      <formula>$K6="Active"</formula>
    </cfRule>
  </conditionalFormatting>
  <conditionalFormatting sqref="J6:J31">
    <cfRule type="expression" priority="4" aboveAverage="0" equalAverage="0" bottom="0" percent="0" rank="0" text="" dxfId="30">
      <formula>AND(ISNUMBER($J6),$J6&gt;1)</formula>
    </cfRule>
  </conditionalFormatting>
  <conditionalFormatting sqref="D38:AC62">
    <cfRule type="expression" priority="5" aboveAverage="0" equalAverage="0" bottom="0" percent="0" rank="0" text="" dxfId="31">
      <formula>AND(ISNUMBER(D38),D38&gt;$C38*HoursPerDay*INDEX(Sprints!$E$6:$E$31,COLUMN()-3))</formula>
    </cfRule>
  </conditionalFormatting>
  <conditionalFormatting sqref="D66:AC90">
    <cfRule type="colorScale" priority="6">
      <colorScale>
        <cfvo type="num" val="0"/>
        <cfvo type="num" val="0.8"/>
        <cfvo type="num" val="1.2"/>
        <color rgb="FFFFFFFF"/>
        <color rgb="FFC6EFCE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C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25" t="s">
        <v>338</v>
      </c>
    </row>
    <row r="2" customFormat="false" ht="15" hidden="false" customHeight="false" outlineLevel="0" collapsed="false">
      <c r="A2" s="8" t="s">
        <v>339</v>
      </c>
    </row>
    <row r="4" customFormat="false" ht="15" hidden="false" customHeight="false" outlineLevel="0" collapsed="false">
      <c r="B4" s="36" t="s">
        <v>340</v>
      </c>
      <c r="C4" s="36" t="s">
        <v>341</v>
      </c>
    </row>
    <row r="5" customFormat="false" ht="15" hidden="false" customHeight="false" outlineLevel="0" collapsed="false">
      <c r="B5" s="29" t="n">
        <v>46380</v>
      </c>
      <c r="C5" s="41" t="s">
        <v>342</v>
      </c>
    </row>
    <row r="6" customFormat="false" ht="15" hidden="false" customHeight="false" outlineLevel="0" collapsed="false">
      <c r="B6" s="29" t="n">
        <v>46381</v>
      </c>
      <c r="C6" s="41" t="s">
        <v>343</v>
      </c>
    </row>
    <row r="7" customFormat="false" ht="15" hidden="false" customHeight="false" outlineLevel="0" collapsed="false">
      <c r="B7" s="29" t="n">
        <v>46387</v>
      </c>
      <c r="C7" s="41" t="s">
        <v>344</v>
      </c>
    </row>
    <row r="8" customFormat="false" ht="15" hidden="false" customHeight="false" outlineLevel="0" collapsed="false">
      <c r="B8" s="29" t="n">
        <v>46388</v>
      </c>
      <c r="C8" s="41" t="s">
        <v>345</v>
      </c>
    </row>
    <row r="9" customFormat="false" ht="15" hidden="false" customHeight="false" outlineLevel="0" collapsed="false">
      <c r="B9" s="29"/>
      <c r="C9" s="41"/>
    </row>
    <row r="10" customFormat="false" ht="15" hidden="false" customHeight="false" outlineLevel="0" collapsed="false">
      <c r="B10" s="29"/>
      <c r="C10" s="41"/>
    </row>
    <row r="11" customFormat="false" ht="15" hidden="false" customHeight="false" outlineLevel="0" collapsed="false">
      <c r="B11" s="29"/>
      <c r="C11" s="41"/>
    </row>
    <row r="12" customFormat="false" ht="15" hidden="false" customHeight="false" outlineLevel="0" collapsed="false">
      <c r="B12" s="29"/>
      <c r="C12" s="41"/>
    </row>
    <row r="13" customFormat="false" ht="15" hidden="false" customHeight="false" outlineLevel="0" collapsed="false">
      <c r="B13" s="29"/>
      <c r="C13" s="41"/>
    </row>
    <row r="14" customFormat="false" ht="15" hidden="false" customHeight="false" outlineLevel="0" collapsed="false">
      <c r="B14" s="29"/>
      <c r="C14" s="41"/>
    </row>
    <row r="15" customFormat="false" ht="15" hidden="false" customHeight="false" outlineLevel="0" collapsed="false">
      <c r="B15" s="29"/>
      <c r="C15" s="41"/>
    </row>
    <row r="16" customFormat="false" ht="15" hidden="false" customHeight="false" outlineLevel="0" collapsed="false">
      <c r="B16" s="29"/>
      <c r="C16" s="41"/>
    </row>
    <row r="17" customFormat="false" ht="15" hidden="false" customHeight="false" outlineLevel="0" collapsed="false">
      <c r="B17" s="29"/>
      <c r="C17" s="41"/>
    </row>
    <row r="18" customFormat="false" ht="15" hidden="false" customHeight="false" outlineLevel="0" collapsed="false">
      <c r="B18" s="29"/>
      <c r="C18" s="41"/>
    </row>
    <row r="19" customFormat="false" ht="15" hidden="false" customHeight="false" outlineLevel="0" collapsed="false">
      <c r="B19" s="29"/>
      <c r="C19" s="41"/>
    </row>
    <row r="20" customFormat="false" ht="15" hidden="false" customHeight="false" outlineLevel="0" collapsed="false">
      <c r="B20" s="29"/>
      <c r="C20" s="41"/>
    </row>
    <row r="21" customFormat="false" ht="15" hidden="false" customHeight="false" outlineLevel="0" collapsed="false">
      <c r="B21" s="29"/>
      <c r="C21" s="41"/>
    </row>
    <row r="22" customFormat="false" ht="15" hidden="false" customHeight="false" outlineLevel="0" collapsed="false">
      <c r="B22" s="29"/>
      <c r="C22" s="41"/>
    </row>
    <row r="23" customFormat="false" ht="15" hidden="false" customHeight="false" outlineLevel="0" collapsed="false">
      <c r="B23" s="29"/>
      <c r="C23" s="41"/>
    </row>
    <row r="24" customFormat="false" ht="15" hidden="false" customHeight="false" outlineLevel="0" collapsed="false">
      <c r="B24" s="29"/>
      <c r="C24" s="41"/>
    </row>
    <row r="25" customFormat="false" ht="15" hidden="false" customHeight="false" outlineLevel="0" collapsed="false">
      <c r="B25" s="29"/>
      <c r="C25" s="41"/>
    </row>
    <row r="26" customFormat="false" ht="15" hidden="false" customHeight="false" outlineLevel="0" collapsed="false">
      <c r="B26" s="29"/>
      <c r="C26" s="41"/>
    </row>
    <row r="27" customFormat="false" ht="15" hidden="false" customHeight="false" outlineLevel="0" collapsed="false">
      <c r="B27" s="29"/>
      <c r="C27" s="41"/>
    </row>
    <row r="28" customFormat="false" ht="15" hidden="false" customHeight="false" outlineLevel="0" collapsed="false">
      <c r="B28" s="29"/>
      <c r="C28" s="41"/>
    </row>
    <row r="29" customFormat="false" ht="15" hidden="false" customHeight="false" outlineLevel="0" collapsed="false">
      <c r="B29" s="29"/>
      <c r="C29" s="41"/>
    </row>
    <row r="30" customFormat="false" ht="15" hidden="false" customHeight="false" outlineLevel="0" collapsed="false">
      <c r="B30" s="29"/>
      <c r="C30" s="41"/>
    </row>
    <row r="31" customFormat="false" ht="15" hidden="false" customHeight="false" outlineLevel="0" collapsed="false">
      <c r="B31" s="29"/>
      <c r="C31" s="41"/>
    </row>
    <row r="32" customFormat="false" ht="15" hidden="false" customHeight="false" outlineLevel="0" collapsed="false">
      <c r="B32" s="29"/>
      <c r="C32" s="41"/>
    </row>
    <row r="33" customFormat="false" ht="15" hidden="false" customHeight="false" outlineLevel="0" collapsed="false">
      <c r="B33" s="29"/>
      <c r="C33" s="41"/>
    </row>
    <row r="34" customFormat="false" ht="15" hidden="false" customHeight="false" outlineLevel="0" collapsed="false">
      <c r="B34" s="29"/>
      <c r="C34" s="41"/>
    </row>
    <row r="35" customFormat="false" ht="15" hidden="false" customHeight="false" outlineLevel="0" collapsed="false">
      <c r="B35" s="29"/>
      <c r="C35" s="41"/>
    </row>
    <row r="36" customFormat="false" ht="15" hidden="false" customHeight="false" outlineLevel="0" collapsed="false">
      <c r="B36" s="29"/>
      <c r="C36" s="41"/>
    </row>
    <row r="37" customFormat="false" ht="15" hidden="false" customHeight="false" outlineLevel="0" collapsed="false">
      <c r="B37" s="29"/>
      <c r="C37" s="41"/>
    </row>
    <row r="38" customFormat="false" ht="15" hidden="false" customHeight="false" outlineLevel="0" collapsed="false">
      <c r="B38" s="29"/>
      <c r="C38" s="41"/>
    </row>
    <row r="39" customFormat="false" ht="15" hidden="false" customHeight="false" outlineLevel="0" collapsed="false">
      <c r="B39" s="29"/>
      <c r="C39" s="41"/>
    </row>
    <row r="40" customFormat="false" ht="15" hidden="false" customHeight="false" outlineLevel="0" collapsed="false">
      <c r="B40" s="29"/>
      <c r="C40" s="41"/>
    </row>
    <row r="41" customFormat="false" ht="15" hidden="false" customHeight="false" outlineLevel="0" collapsed="false">
      <c r="B41" s="29"/>
      <c r="C41" s="41"/>
    </row>
    <row r="42" customFormat="false" ht="15" hidden="false" customHeight="false" outlineLevel="0" collapsed="false">
      <c r="B42" s="29"/>
      <c r="C42" s="41"/>
    </row>
    <row r="43" customFormat="false" ht="15" hidden="false" customHeight="false" outlineLevel="0" collapsed="false">
      <c r="B43" s="29"/>
      <c r="C43" s="41"/>
    </row>
    <row r="44" customFormat="false" ht="15" hidden="false" customHeight="false" outlineLevel="0" collapsed="false">
      <c r="B44" s="29"/>
      <c r="C44" s="41"/>
    </row>
    <row r="45" customFormat="false" ht="15" hidden="false" customHeight="false" outlineLevel="0" collapsed="false">
      <c r="B45" s="29"/>
      <c r="C45" s="41"/>
    </row>
    <row r="46" customFormat="false" ht="15" hidden="false" customHeight="false" outlineLevel="0" collapsed="false">
      <c r="B46" s="29"/>
      <c r="C46" s="41"/>
    </row>
    <row r="47" customFormat="false" ht="15" hidden="false" customHeight="false" outlineLevel="0" collapsed="false">
      <c r="B47" s="29"/>
      <c r="C47" s="41"/>
    </row>
    <row r="48" customFormat="false" ht="15" hidden="false" customHeight="false" outlineLevel="0" collapsed="false">
      <c r="B48" s="29"/>
      <c r="C48" s="41"/>
    </row>
    <row r="49" customFormat="false" ht="15" hidden="false" customHeight="false" outlineLevel="0" collapsed="false">
      <c r="B49" s="29"/>
      <c r="C49" s="41"/>
    </row>
    <row r="50" customFormat="false" ht="15" hidden="false" customHeight="false" outlineLevel="0" collapsed="false">
      <c r="B50" s="29"/>
      <c r="C50" s="41"/>
    </row>
    <row r="51" customFormat="false" ht="15" hidden="false" customHeight="false" outlineLevel="0" collapsed="false">
      <c r="B51" s="29"/>
      <c r="C51" s="41"/>
    </row>
    <row r="52" customFormat="false" ht="15" hidden="false" customHeight="false" outlineLevel="0" collapsed="false">
      <c r="B52" s="29"/>
      <c r="C52" s="41"/>
    </row>
    <row r="53" customFormat="false" ht="15" hidden="false" customHeight="false" outlineLevel="0" collapsed="false">
      <c r="B53" s="29"/>
      <c r="C53" s="41"/>
    </row>
    <row r="54" customFormat="false" ht="15" hidden="false" customHeight="false" outlineLevel="0" collapsed="false">
      <c r="B54" s="29"/>
      <c r="C54" s="41"/>
    </row>
    <row r="55" customFormat="false" ht="15" hidden="false" customHeight="false" outlineLevel="0" collapsed="false">
      <c r="B55" s="29"/>
      <c r="C55" s="41"/>
    </row>
    <row r="56" customFormat="false" ht="15" hidden="false" customHeight="false" outlineLevel="0" collapsed="false">
      <c r="B56" s="29"/>
      <c r="C56" s="41"/>
    </row>
    <row r="57" customFormat="false" ht="15" hidden="false" customHeight="false" outlineLevel="0" collapsed="false">
      <c r="B57" s="29"/>
      <c r="C57" s="41"/>
    </row>
    <row r="58" customFormat="false" ht="15" hidden="false" customHeight="false" outlineLevel="0" collapsed="false">
      <c r="B58" s="29"/>
      <c r="C58" s="41"/>
    </row>
    <row r="59" customFormat="false" ht="15" hidden="false" customHeight="false" outlineLevel="0" collapsed="false">
      <c r="B59" s="29"/>
      <c r="C59" s="41"/>
    </row>
    <row r="60" customFormat="false" ht="15" hidden="false" customHeight="false" outlineLevel="0" collapsed="false">
      <c r="B60" s="29"/>
      <c r="C60" s="41"/>
    </row>
    <row r="61" customFormat="false" ht="15" hidden="false" customHeight="false" outlineLevel="0" collapsed="false">
      <c r="B61" s="29"/>
      <c r="C61" s="41"/>
    </row>
    <row r="62" customFormat="false" ht="15" hidden="false" customHeight="false" outlineLevel="0" collapsed="false">
      <c r="B62" s="29"/>
      <c r="C62" s="41"/>
    </row>
    <row r="63" customFormat="false" ht="15" hidden="false" customHeight="false" outlineLevel="0" collapsed="false">
      <c r="B63" s="29"/>
      <c r="C63" s="41"/>
    </row>
    <row r="64" customFormat="false" ht="15" hidden="false" customHeight="false" outlineLevel="0" collapsed="false">
      <c r="B64" s="29"/>
      <c r="C64" s="41"/>
    </row>
    <row r="65" customFormat="false" ht="15" hidden="false" customHeight="false" outlineLevel="0" collapsed="false">
      <c r="B65" s="29"/>
      <c r="C65" s="41"/>
    </row>
    <row r="66" customFormat="false" ht="15" hidden="false" customHeight="false" outlineLevel="0" collapsed="false">
      <c r="B66" s="29"/>
      <c r="C66" s="41"/>
    </row>
    <row r="67" customFormat="false" ht="15" hidden="false" customHeight="false" outlineLevel="0" collapsed="false">
      <c r="B67" s="29"/>
      <c r="C67" s="41"/>
    </row>
    <row r="68" customFormat="false" ht="15" hidden="false" customHeight="false" outlineLevel="0" collapsed="false">
      <c r="B68" s="29"/>
      <c r="C68" s="41"/>
    </row>
    <row r="69" customFormat="false" ht="15" hidden="false" customHeight="false" outlineLevel="0" collapsed="false">
      <c r="B69" s="29"/>
      <c r="C69" s="41"/>
    </row>
    <row r="70" customFormat="false" ht="15" hidden="false" customHeight="false" outlineLevel="0" collapsed="false">
      <c r="B70" s="29"/>
      <c r="C70" s="41"/>
    </row>
    <row r="71" customFormat="false" ht="15" hidden="false" customHeight="false" outlineLevel="0" collapsed="false">
      <c r="B71" s="29"/>
      <c r="C71" s="41"/>
    </row>
    <row r="72" customFormat="false" ht="15" hidden="false" customHeight="false" outlineLevel="0" collapsed="false">
      <c r="B72" s="29"/>
      <c r="C72" s="41"/>
    </row>
    <row r="73" customFormat="false" ht="15" hidden="false" customHeight="false" outlineLevel="0" collapsed="false">
      <c r="B73" s="29"/>
      <c r="C73" s="41"/>
    </row>
    <row r="74" customFormat="false" ht="15" hidden="false" customHeight="false" outlineLevel="0" collapsed="false">
      <c r="B74" s="29"/>
      <c r="C74" s="41"/>
    </row>
    <row r="75" customFormat="false" ht="15" hidden="false" customHeight="false" outlineLevel="0" collapsed="false">
      <c r="B75" s="29"/>
      <c r="C75" s="41"/>
    </row>
    <row r="76" customFormat="false" ht="15" hidden="false" customHeight="false" outlineLevel="0" collapsed="false">
      <c r="B76" s="29"/>
      <c r="C76" s="41"/>
    </row>
    <row r="77" customFormat="false" ht="15" hidden="false" customHeight="false" outlineLevel="0" collapsed="false">
      <c r="B77" s="29"/>
      <c r="C77" s="41"/>
    </row>
    <row r="78" customFormat="false" ht="15" hidden="false" customHeight="false" outlineLevel="0" collapsed="false">
      <c r="B78" s="29"/>
      <c r="C78" s="41"/>
    </row>
    <row r="79" customFormat="false" ht="15" hidden="false" customHeight="false" outlineLevel="0" collapsed="false">
      <c r="B79" s="29"/>
      <c r="C79" s="41"/>
    </row>
    <row r="80" customFormat="false" ht="15" hidden="false" customHeight="false" outlineLevel="0" collapsed="false">
      <c r="B80" s="29"/>
      <c r="C80" s="41"/>
    </row>
    <row r="81" customFormat="false" ht="15" hidden="false" customHeight="false" outlineLevel="0" collapsed="false">
      <c r="B81" s="29"/>
      <c r="C81" s="41"/>
    </row>
    <row r="82" customFormat="false" ht="15" hidden="false" customHeight="false" outlineLevel="0" collapsed="false">
      <c r="B82" s="29"/>
      <c r="C82" s="41"/>
    </row>
    <row r="83" customFormat="false" ht="15" hidden="false" customHeight="false" outlineLevel="0" collapsed="false">
      <c r="B83" s="29"/>
      <c r="C83" s="41"/>
    </row>
    <row r="84" customFormat="false" ht="15" hidden="false" customHeight="false" outlineLevel="0" collapsed="false">
      <c r="B84" s="29"/>
      <c r="C84" s="41"/>
    </row>
    <row r="85" customFormat="false" ht="15" hidden="false" customHeight="false" outlineLevel="0" collapsed="false">
      <c r="B85" s="29"/>
      <c r="C85" s="41"/>
    </row>
    <row r="86" customFormat="false" ht="15" hidden="false" customHeight="false" outlineLevel="0" collapsed="false">
      <c r="B86" s="29"/>
      <c r="C86" s="41"/>
    </row>
    <row r="87" customFormat="false" ht="15" hidden="false" customHeight="false" outlineLevel="0" collapsed="false">
      <c r="B87" s="29"/>
      <c r="C87" s="41"/>
    </row>
    <row r="88" customFormat="false" ht="15" hidden="false" customHeight="false" outlineLevel="0" collapsed="false">
      <c r="B88" s="29"/>
      <c r="C88" s="41"/>
    </row>
    <row r="89" customFormat="false" ht="15" hidden="false" customHeight="false" outlineLevel="0" collapsed="false">
      <c r="B89" s="29"/>
      <c r="C89" s="41"/>
    </row>
    <row r="90" customFormat="false" ht="15" hidden="false" customHeight="false" outlineLevel="0" collapsed="false">
      <c r="B90" s="29"/>
      <c r="C90" s="41"/>
    </row>
    <row r="91" customFormat="false" ht="15" hidden="false" customHeight="false" outlineLevel="0" collapsed="false">
      <c r="B91" s="29"/>
      <c r="C91" s="41"/>
    </row>
    <row r="92" customFormat="false" ht="15" hidden="false" customHeight="false" outlineLevel="0" collapsed="false">
      <c r="B92" s="29"/>
      <c r="C92" s="41"/>
    </row>
    <row r="93" customFormat="false" ht="15" hidden="false" customHeight="false" outlineLevel="0" collapsed="false">
      <c r="B93" s="29"/>
      <c r="C93" s="41"/>
    </row>
    <row r="94" customFormat="false" ht="15" hidden="false" customHeight="false" outlineLevel="0" collapsed="false">
      <c r="B94" s="29"/>
      <c r="C94" s="41"/>
    </row>
    <row r="95" customFormat="false" ht="15" hidden="false" customHeight="false" outlineLevel="0" collapsed="false">
      <c r="B95" s="29"/>
      <c r="C95" s="41"/>
    </row>
    <row r="96" customFormat="false" ht="15" hidden="false" customHeight="false" outlineLevel="0" collapsed="false">
      <c r="B96" s="29"/>
      <c r="C96" s="41"/>
    </row>
    <row r="97" customFormat="false" ht="15" hidden="false" customHeight="false" outlineLevel="0" collapsed="false">
      <c r="B97" s="29"/>
      <c r="C97" s="41"/>
    </row>
    <row r="98" customFormat="false" ht="15" hidden="false" customHeight="false" outlineLevel="0" collapsed="false">
      <c r="B98" s="29"/>
      <c r="C98" s="41"/>
    </row>
    <row r="99" customFormat="false" ht="15" hidden="false" customHeight="false" outlineLevel="0" collapsed="false">
      <c r="B99" s="29"/>
      <c r="C99" s="41"/>
    </row>
    <row r="100" customFormat="false" ht="15" hidden="false" customHeight="false" outlineLevel="0" collapsed="false">
      <c r="B100" s="29"/>
      <c r="C100" s="41"/>
    </row>
    <row r="101" customFormat="false" ht="15" hidden="false" customHeight="false" outlineLevel="0" collapsed="false">
      <c r="B101" s="29"/>
      <c r="C101" s="41"/>
    </row>
    <row r="102" customFormat="false" ht="15" hidden="false" customHeight="false" outlineLevel="0" collapsed="false">
      <c r="B102" s="29"/>
      <c r="C102" s="41"/>
    </row>
    <row r="103" customFormat="false" ht="15" hidden="false" customHeight="false" outlineLevel="0" collapsed="false">
      <c r="B103" s="29"/>
      <c r="C103" s="41"/>
    </row>
    <row r="104" customFormat="false" ht="15" hidden="false" customHeight="false" outlineLevel="0" collapsed="false">
      <c r="B104" s="29"/>
      <c r="C104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Q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4" min="11" style="0" width="12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40"/>
  </cols>
  <sheetData>
    <row r="1" customFormat="false" ht="23.85" hidden="false" customHeight="false" outlineLevel="0" collapsed="false">
      <c r="A1" s="9" t="s">
        <v>158</v>
      </c>
      <c r="B1" s="9" t="s">
        <v>346</v>
      </c>
      <c r="C1" s="9" t="s">
        <v>347</v>
      </c>
      <c r="D1" s="9" t="s">
        <v>348</v>
      </c>
      <c r="E1" s="9" t="s">
        <v>349</v>
      </c>
      <c r="F1" s="9" t="s">
        <v>314</v>
      </c>
      <c r="G1" s="9" t="s">
        <v>350</v>
      </c>
      <c r="H1" s="9" t="s">
        <v>28</v>
      </c>
      <c r="I1" s="9" t="s">
        <v>351</v>
      </c>
      <c r="J1" s="9" t="s">
        <v>352</v>
      </c>
      <c r="K1" s="9" t="s">
        <v>172</v>
      </c>
      <c r="L1" s="9" t="s">
        <v>173</v>
      </c>
      <c r="M1" s="9" t="s">
        <v>353</v>
      </c>
      <c r="N1" s="9" t="s">
        <v>354</v>
      </c>
      <c r="O1" s="9" t="s">
        <v>355</v>
      </c>
      <c r="P1" s="9" t="s">
        <v>356</v>
      </c>
      <c r="Q1" s="9" t="s">
        <v>82</v>
      </c>
    </row>
    <row r="2" customFormat="false" ht="15" hidden="false" customHeight="false" outlineLevel="0" collapsed="false">
      <c r="A2" s="26" t="n">
        <f aca="false">IF(Tasks!$D6="","",Tasks!$A6)</f>
        <v>1</v>
      </c>
      <c r="B2" s="26" t="str">
        <f aca="false">IF(Tasks!$D6="","",Tasks!$D6)</f>
        <v>Initiation</v>
      </c>
      <c r="C2" s="26" t="n">
        <f aca="false">IF(Tasks!$D6="","",Tasks!$AE6)</f>
        <v>1</v>
      </c>
      <c r="D2" s="26" t="str">
        <f aca="false">IF(Tasks!$D6="","",IF(Tasks!$E6="Manual","Manually Scheduled","Auto Scheduled"))</f>
        <v>Auto Scheduled</v>
      </c>
      <c r="E2" s="26" t="str">
        <f aca="false">IF(OR(Tasks!$D6="",Tasks!$AI6),"",N(Tasks!$F6)&amp;"d")</f>
        <v/>
      </c>
      <c r="F2" s="79" t="n">
        <f aca="false">IF(Tasks!$D6="","",Tasks!$R6)</f>
        <v>46272</v>
      </c>
      <c r="G2" s="79" t="n">
        <f aca="false">IF(Tasks!$D6="","",Tasks!$S6)</f>
        <v>46279</v>
      </c>
      <c r="H2" s="26" t="str">
        <f aca="false">IF(OR(Tasks!$D6="",Tasks!$AI6),"",Tasks!$AC6)</f>
        <v/>
      </c>
      <c r="I2" s="26" t="str">
        <f aca="false">IF(OR(Tasks!$D6="",Tasks!$X6=""),"",Tasks!$X6&amp;IF(OR(Tasks!$Y6="",Tasks!$Y6=1),"","["&amp;ROUND(Tasks!$Y6*100,0)&amp;"%]"))</f>
        <v/>
      </c>
      <c r="J2" s="26" t="str">
        <f aca="false">IF(OR(Tasks!$D6="",Tasks!$AI6),"",ROUND(Tasks!$V6*100,0))</f>
        <v/>
      </c>
      <c r="K2" s="79" t="str">
        <f aca="false">IF(OR(Tasks!$D6="",N(Tasks!$P6)=0),"",Tasks!$P6)</f>
        <v/>
      </c>
      <c r="L2" s="79" t="str">
        <f aca="false">IF(OR(Tasks!$D6="",N(Tasks!$Q6)=0),"",Tasks!$Q6)</f>
        <v/>
      </c>
      <c r="M2" s="79" t="n">
        <f aca="false">IF(Tasks!$D6="","",Tasks!$N6)</f>
        <v>46272</v>
      </c>
      <c r="N2" s="79" t="n">
        <f aca="false">IF(Tasks!$D6="","",Tasks!$O6)</f>
        <v>46276</v>
      </c>
      <c r="O2" s="26" t="str">
        <f aca="false">IF(OR(Tasks!$D6="",Tasks!$AI6),"",IF(AND(Tasks!$E6&lt;&gt;"Manual",N(Tasks!$M6)&gt;0),"Start No Earlier Than","As Soon As Possible"))</f>
        <v/>
      </c>
      <c r="P2" s="79" t="str">
        <f aca="false">IF(OR(Tasks!$D6="",Tasks!$AI6,N(Tasks!$M6)=0,Tasks!$E6="Manual"),"",Tasks!$M6)</f>
        <v/>
      </c>
      <c r="Q2" s="26" t="str">
        <f aca="false">IF(Tasks!$D6="","",Tasks!$AD6&amp;"")</f>
        <v>Phase 1 - summary rows roll up dates, work, cost and progress automatically.</v>
      </c>
    </row>
    <row r="3" customFormat="false" ht="15" hidden="false" customHeight="false" outlineLevel="0" collapsed="false">
      <c r="A3" s="26" t="n">
        <f aca="false">IF(Tasks!$D7="","",Tasks!$A7)</f>
        <v>2</v>
      </c>
      <c r="B3" s="26" t="str">
        <f aca="false">IF(Tasks!$D7="","",Tasks!$D7)</f>
        <v>Project charter &amp; scope statement</v>
      </c>
      <c r="C3" s="26" t="n">
        <f aca="false">IF(Tasks!$D7="","",Tasks!$AE7)</f>
        <v>2</v>
      </c>
      <c r="D3" s="26" t="str">
        <f aca="false">IF(Tasks!$D7="","",IF(Tasks!$E7="Manual","Manually Scheduled","Auto Scheduled"))</f>
        <v>Auto Scheduled</v>
      </c>
      <c r="E3" s="26" t="str">
        <f aca="false">IF(OR(Tasks!$D7="",Tasks!$AI7),"",N(Tasks!$F7)&amp;"d")</f>
        <v>3d</v>
      </c>
      <c r="F3" s="79" t="n">
        <f aca="false">IF(Tasks!$D7="","",Tasks!$R7)</f>
        <v>46272</v>
      </c>
      <c r="G3" s="79" t="n">
        <f aca="false">IF(Tasks!$D7="","",Tasks!$S7)</f>
        <v>46275</v>
      </c>
      <c r="H3" s="26" t="str">
        <f aca="false">IF(OR(Tasks!$D7="",Tasks!$AI7),"",Tasks!$AC7)</f>
        <v/>
      </c>
      <c r="I3" s="26" t="str">
        <f aca="false">IF(OR(Tasks!$D7="",Tasks!$X7=""),"",Tasks!$X7&amp;IF(OR(Tasks!$Y7="",Tasks!$Y7=1),"","["&amp;ROUND(Tasks!$Y7*100,0)&amp;"%]"))</f>
        <v>Priya Sharma</v>
      </c>
      <c r="J3" s="26" t="n">
        <f aca="false">IF(OR(Tasks!$D7="",Tasks!$AI7),"",ROUND(Tasks!$V7*100,0))</f>
        <v>100</v>
      </c>
      <c r="K3" s="79" t="n">
        <f aca="false">IF(OR(Tasks!$D7="",N(Tasks!$P7)=0),"",Tasks!$P7)</f>
        <v>46272</v>
      </c>
      <c r="L3" s="79" t="n">
        <f aca="false">IF(OR(Tasks!$D7="",N(Tasks!$Q7)=0),"",Tasks!$Q7)</f>
        <v>46275</v>
      </c>
      <c r="M3" s="79" t="n">
        <f aca="false">IF(Tasks!$D7="","",Tasks!$N7)</f>
        <v>46272</v>
      </c>
      <c r="N3" s="79" t="n">
        <f aca="false">IF(Tasks!$D7="","",Tasks!$O7)</f>
        <v>46274</v>
      </c>
      <c r="O3" s="26" t="str">
        <f aca="false">IF(OR(Tasks!$D7="",Tasks!$AI7),"",IF(AND(Tasks!$E7&lt;&gt;"Manual",N(Tasks!$M7)&gt;0),"Start No Earlier Than","As Soon As Possible"))</f>
        <v>As Soon As Possible</v>
      </c>
      <c r="P3" s="79" t="str">
        <f aca="false">IF(OR(Tasks!$D7="",Tasks!$AI7,N(Tasks!$M7)=0,Tasks!$E7="Manual"),"",Tasks!$M7)</f>
        <v/>
      </c>
      <c r="Q3" s="26" t="str">
        <f aca="false">IF(Tasks!$D7="","",Tasks!$AD7&amp;"")</f>
        <v>Took 1 extra day for sponsor sign-off.</v>
      </c>
    </row>
    <row r="4" customFormat="false" ht="15" hidden="false" customHeight="false" outlineLevel="0" collapsed="false">
      <c r="A4" s="26" t="n">
        <f aca="false">IF(Tasks!$D8="","",Tasks!$A8)</f>
        <v>3</v>
      </c>
      <c r="B4" s="26" t="str">
        <f aca="false">IF(Tasks!$D8="","",Tasks!$D8)</f>
        <v>Stakeholder kickoff workshop</v>
      </c>
      <c r="C4" s="26" t="n">
        <f aca="false">IF(Tasks!$D8="","",Tasks!$AE8)</f>
        <v>2</v>
      </c>
      <c r="D4" s="26" t="str">
        <f aca="false">IF(Tasks!$D8="","",IF(Tasks!$E8="Manual","Manually Scheduled","Auto Scheduled"))</f>
        <v>Auto Scheduled</v>
      </c>
      <c r="E4" s="26" t="str">
        <f aca="false">IF(OR(Tasks!$D8="",Tasks!$AI8),"",N(Tasks!$F8)&amp;"d")</f>
        <v>2d</v>
      </c>
      <c r="F4" s="79" t="n">
        <f aca="false">IF(Tasks!$D8="","",Tasks!$R8)</f>
        <v>46276</v>
      </c>
      <c r="G4" s="79" t="n">
        <f aca="false">IF(Tasks!$D8="","",Tasks!$S8)</f>
        <v>46279</v>
      </c>
      <c r="H4" s="26" t="str">
        <f aca="false">IF(OR(Tasks!$D8="",Tasks!$AI8),"",Tasks!$AC8)</f>
        <v>2</v>
      </c>
      <c r="I4" s="26" t="str">
        <f aca="false">IF(OR(Tasks!$D8="",Tasks!$X8=""),"",Tasks!$X8&amp;IF(OR(Tasks!$Y8="",Tasks!$Y8=1),"","["&amp;ROUND(Tasks!$Y8*100,0)&amp;"%]"))</f>
        <v>Morgan Patel</v>
      </c>
      <c r="J4" s="26" t="n">
        <f aca="false">IF(OR(Tasks!$D8="",Tasks!$AI8),"",ROUND(Tasks!$V8*100,0))</f>
        <v>100</v>
      </c>
      <c r="K4" s="79" t="n">
        <f aca="false">IF(OR(Tasks!$D8="",N(Tasks!$P8)=0),"",Tasks!$P8)</f>
        <v>46276</v>
      </c>
      <c r="L4" s="79" t="n">
        <f aca="false">IF(OR(Tasks!$D8="",N(Tasks!$Q8)=0),"",Tasks!$Q8)</f>
        <v>46279</v>
      </c>
      <c r="M4" s="79" t="n">
        <f aca="false">IF(Tasks!$D8="","",Tasks!$N8)</f>
        <v>46275</v>
      </c>
      <c r="N4" s="79" t="n">
        <f aca="false">IF(Tasks!$D8="","",Tasks!$O8)</f>
        <v>46276</v>
      </c>
      <c r="O4" s="26" t="str">
        <f aca="false">IF(OR(Tasks!$D8="",Tasks!$AI8),"",IF(AND(Tasks!$E8&lt;&gt;"Manual",N(Tasks!$M8)&gt;0),"Start No Earlier Than","As Soon As Possible"))</f>
        <v>As Soon As Possible</v>
      </c>
      <c r="P4" s="79" t="str">
        <f aca="false">IF(OR(Tasks!$D8="",Tasks!$AI8,N(Tasks!$M8)=0,Tasks!$E8="Manual"),"",Tasks!$M8)</f>
        <v/>
      </c>
      <c r="Q4" s="26" t="str">
        <f aca="false">IF(Tasks!$D8="","",Tasks!$AD8&amp;"")</f>
        <v/>
      </c>
    </row>
    <row r="5" customFormat="false" ht="15" hidden="false" customHeight="false" outlineLevel="0" collapsed="false">
      <c r="A5" s="26" t="n">
        <f aca="false">IF(Tasks!$D9="","",Tasks!$A9)</f>
        <v>4</v>
      </c>
      <c r="B5" s="26" t="str">
        <f aca="false">IF(Tasks!$D9="","",Tasks!$D9)</f>
        <v>Kickoff complete</v>
      </c>
      <c r="C5" s="26" t="n">
        <f aca="false">IF(Tasks!$D9="","",Tasks!$AE9)</f>
        <v>2</v>
      </c>
      <c r="D5" s="26" t="str">
        <f aca="false">IF(Tasks!$D9="","",IF(Tasks!$E9="Manual","Manually Scheduled","Auto Scheduled"))</f>
        <v>Auto Scheduled</v>
      </c>
      <c r="E5" s="26" t="str">
        <f aca="false">IF(OR(Tasks!$D9="",Tasks!$AI9),"",N(Tasks!$F9)&amp;"d")</f>
        <v>0d</v>
      </c>
      <c r="F5" s="79" t="n">
        <f aca="false">IF(Tasks!$D9="","",Tasks!$R9)</f>
        <v>46279</v>
      </c>
      <c r="G5" s="79" t="n">
        <f aca="false">IF(Tasks!$D9="","",Tasks!$S9)</f>
        <v>46279</v>
      </c>
      <c r="H5" s="26" t="str">
        <f aca="false">IF(OR(Tasks!$D9="",Tasks!$AI9),"",Tasks!$AC9)</f>
        <v>3</v>
      </c>
      <c r="I5" s="26" t="str">
        <f aca="false">IF(OR(Tasks!$D9="",Tasks!$X9=""),"",Tasks!$X9&amp;IF(OR(Tasks!$Y9="",Tasks!$Y9=1),"","["&amp;ROUND(Tasks!$Y9*100,0)&amp;"%]"))</f>
        <v/>
      </c>
      <c r="J5" s="26" t="n">
        <f aca="false">IF(OR(Tasks!$D9="",Tasks!$AI9),"",ROUND(Tasks!$V9*100,0))</f>
        <v>100</v>
      </c>
      <c r="K5" s="79" t="n">
        <f aca="false">IF(OR(Tasks!$D9="",N(Tasks!$P9)=0),"",Tasks!$P9)</f>
        <v>46279</v>
      </c>
      <c r="L5" s="79" t="n">
        <f aca="false">IF(OR(Tasks!$D9="",N(Tasks!$Q9)=0),"",Tasks!$Q9)</f>
        <v>46279</v>
      </c>
      <c r="M5" s="79" t="n">
        <f aca="false">IF(Tasks!$D9="","",Tasks!$N9)</f>
        <v>46276</v>
      </c>
      <c r="N5" s="79" t="n">
        <f aca="false">IF(Tasks!$D9="","",Tasks!$O9)</f>
        <v>46276</v>
      </c>
      <c r="O5" s="26" t="str">
        <f aca="false">IF(OR(Tasks!$D9="",Tasks!$AI9),"",IF(AND(Tasks!$E9&lt;&gt;"Manual",N(Tasks!$M9)&gt;0),"Start No Earlier Than","As Soon As Possible"))</f>
        <v>As Soon As Possible</v>
      </c>
      <c r="P5" s="79" t="str">
        <f aca="false">IF(OR(Tasks!$D9="",Tasks!$AI9,N(Tasks!$M9)=0,Tasks!$E9="Manual"),"",Tasks!$M9)</f>
        <v/>
      </c>
      <c r="Q5" s="26" t="str">
        <f aca="false">IF(Tasks!$D9="","",Tasks!$AD9&amp;"")</f>
        <v>Milestone (Duration 0).</v>
      </c>
    </row>
    <row r="6" customFormat="false" ht="15" hidden="false" customHeight="false" outlineLevel="0" collapsed="false">
      <c r="A6" s="26" t="n">
        <f aca="false">IF(Tasks!$D10="","",Tasks!$A10)</f>
        <v>5</v>
      </c>
      <c r="B6" s="26" t="str">
        <f aca="false">IF(Tasks!$D10="","",Tasks!$D10)</f>
        <v>Requirements &amp; Design</v>
      </c>
      <c r="C6" s="26" t="n">
        <f aca="false">IF(Tasks!$D10="","",Tasks!$AE10)</f>
        <v>1</v>
      </c>
      <c r="D6" s="26" t="str">
        <f aca="false">IF(Tasks!$D10="","",IF(Tasks!$E10="Manual","Manually Scheduled","Auto Scheduled"))</f>
        <v>Auto Scheduled</v>
      </c>
      <c r="E6" s="26" t="str">
        <f aca="false">IF(OR(Tasks!$D10="",Tasks!$AI10),"",N(Tasks!$F10)&amp;"d")</f>
        <v/>
      </c>
      <c r="F6" s="79" t="n">
        <f aca="false">IF(Tasks!$D10="","",Tasks!$R10)</f>
        <v>46280</v>
      </c>
      <c r="G6" s="79" t="n">
        <f aca="false">IF(Tasks!$D10="","",Tasks!$S10)</f>
        <v>46301</v>
      </c>
      <c r="H6" s="26" t="str">
        <f aca="false">IF(OR(Tasks!$D10="",Tasks!$AI10),"",Tasks!$AC10)</f>
        <v/>
      </c>
      <c r="I6" s="26" t="str">
        <f aca="false">IF(OR(Tasks!$D10="",Tasks!$X10=""),"",Tasks!$X10&amp;IF(OR(Tasks!$Y10="",Tasks!$Y10=1),"","["&amp;ROUND(Tasks!$Y10*100,0)&amp;"%]"))</f>
        <v/>
      </c>
      <c r="J6" s="26" t="str">
        <f aca="false">IF(OR(Tasks!$D10="",Tasks!$AI10),"",ROUND(Tasks!$V10*100,0))</f>
        <v/>
      </c>
      <c r="K6" s="79" t="str">
        <f aca="false">IF(OR(Tasks!$D10="",N(Tasks!$P10)=0),"",Tasks!$P10)</f>
        <v/>
      </c>
      <c r="L6" s="79" t="str">
        <f aca="false">IF(OR(Tasks!$D10="",N(Tasks!$Q10)=0),"",Tasks!$Q10)</f>
        <v/>
      </c>
      <c r="M6" s="79" t="n">
        <f aca="false">IF(Tasks!$D10="","",Tasks!$N10)</f>
        <v>46279</v>
      </c>
      <c r="N6" s="79" t="n">
        <f aca="false">IF(Tasks!$D10="","",Tasks!$O10)</f>
        <v>46296</v>
      </c>
      <c r="O6" s="26" t="str">
        <f aca="false">IF(OR(Tasks!$D10="",Tasks!$AI10),"",IF(AND(Tasks!$E10&lt;&gt;"Manual",N(Tasks!$M10)&gt;0),"Start No Earlier Than","As Soon As Possible"))</f>
        <v/>
      </c>
      <c r="P6" s="79" t="str">
        <f aca="false">IF(OR(Tasks!$D10="",Tasks!$AI10,N(Tasks!$M10)=0,Tasks!$E10="Manual"),"",Tasks!$M10)</f>
        <v/>
      </c>
      <c r="Q6" s="26" t="str">
        <f aca="false">IF(Tasks!$D10="","",Tasks!$AD10&amp;"")</f>
        <v/>
      </c>
    </row>
    <row r="7" customFormat="false" ht="15" hidden="false" customHeight="false" outlineLevel="0" collapsed="false">
      <c r="A7" s="26" t="n">
        <f aca="false">IF(Tasks!$D11="","",Tasks!$A11)</f>
        <v>6</v>
      </c>
      <c r="B7" s="26" t="str">
        <f aca="false">IF(Tasks!$D11="","",Tasks!$D11)</f>
        <v>Requirements gathering</v>
      </c>
      <c r="C7" s="26" t="n">
        <f aca="false">IF(Tasks!$D11="","",Tasks!$AE11)</f>
        <v>2</v>
      </c>
      <c r="D7" s="26" t="str">
        <f aca="false">IF(Tasks!$D11="","",IF(Tasks!$E11="Manual","Manually Scheduled","Auto Scheduled"))</f>
        <v>Auto Scheduled</v>
      </c>
      <c r="E7" s="26" t="str">
        <f aca="false">IF(OR(Tasks!$D11="",Tasks!$AI11),"",N(Tasks!$F11)&amp;"d")</f>
        <v>8d</v>
      </c>
      <c r="F7" s="79" t="n">
        <f aca="false">IF(Tasks!$D11="","",Tasks!$R11)</f>
        <v>46280</v>
      </c>
      <c r="G7" s="79" t="n">
        <f aca="false">IF(Tasks!$D11="","",Tasks!$S11)</f>
        <v>46290</v>
      </c>
      <c r="H7" s="26" t="str">
        <f aca="false">IF(OR(Tasks!$D11="",Tasks!$AI11),"",Tasks!$AC11)</f>
        <v>4</v>
      </c>
      <c r="I7" s="26" t="str">
        <f aca="false">IF(OR(Tasks!$D11="",Tasks!$X11=""),"",Tasks!$X11&amp;IF(OR(Tasks!$Y11="",Tasks!$Y11=1),"","["&amp;ROUND(Tasks!$Y11*100,0)&amp;"%]"))</f>
        <v>Morgan Patel</v>
      </c>
      <c r="J7" s="26" t="n">
        <f aca="false">IF(OR(Tasks!$D11="",Tasks!$AI11),"",ROUND(Tasks!$V11*100,0))</f>
        <v>100</v>
      </c>
      <c r="K7" s="79" t="n">
        <f aca="false">IF(OR(Tasks!$D11="",N(Tasks!$P11)=0),"",Tasks!$P11)</f>
        <v>46280</v>
      </c>
      <c r="L7" s="79" t="n">
        <f aca="false">IF(OR(Tasks!$D11="",N(Tasks!$Q11)=0),"",Tasks!$Q11)</f>
        <v>46290</v>
      </c>
      <c r="M7" s="79" t="n">
        <f aca="false">IF(Tasks!$D11="","",Tasks!$N11)</f>
        <v>46279</v>
      </c>
      <c r="N7" s="79" t="n">
        <f aca="false">IF(Tasks!$D11="","",Tasks!$O11)</f>
        <v>46288</v>
      </c>
      <c r="O7" s="26" t="str">
        <f aca="false">IF(OR(Tasks!$D11="",Tasks!$AI11),"",IF(AND(Tasks!$E11&lt;&gt;"Manual",N(Tasks!$M11)&gt;0),"Start No Earlier Than","As Soon As Possible"))</f>
        <v>As Soon As Possible</v>
      </c>
      <c r="P7" s="79" t="str">
        <f aca="false">IF(OR(Tasks!$D11="",Tasks!$AI11,N(Tasks!$M11)=0,Tasks!$E11="Manual"),"",Tasks!$M11)</f>
        <v/>
      </c>
      <c r="Q7" s="26" t="str">
        <f aca="false">IF(Tasks!$D11="","",Tasks!$AD11&amp;"")</f>
        <v/>
      </c>
    </row>
    <row r="8" customFormat="false" ht="15" hidden="false" customHeight="false" outlineLevel="0" collapsed="false">
      <c r="A8" s="26" t="n">
        <f aca="false">IF(Tasks!$D12="","",Tasks!$A12)</f>
        <v>7</v>
      </c>
      <c r="B8" s="26" t="str">
        <f aca="false">IF(Tasks!$D12="","",Tasks!$D12)</f>
        <v>Solution architecture</v>
      </c>
      <c r="C8" s="26" t="n">
        <f aca="false">IF(Tasks!$D12="","",Tasks!$AE12)</f>
        <v>2</v>
      </c>
      <c r="D8" s="26" t="str">
        <f aca="false">IF(Tasks!$D12="","",IF(Tasks!$E12="Manual","Manually Scheduled","Auto Scheduled"))</f>
        <v>Auto Scheduled</v>
      </c>
      <c r="E8" s="26" t="str">
        <f aca="false">IF(OR(Tasks!$D12="",Tasks!$AI12),"",N(Tasks!$F12)&amp;"d")</f>
        <v>5d</v>
      </c>
      <c r="F8" s="79" t="n">
        <f aca="false">IF(Tasks!$D12="","",Tasks!$R12)</f>
        <v>46283</v>
      </c>
      <c r="G8" s="79" t="n">
        <f aca="false">IF(Tasks!$D12="","",Tasks!$S12)</f>
        <v>46290</v>
      </c>
      <c r="H8" s="26" t="str">
        <f aca="false">IF(OR(Tasks!$D12="",Tasks!$AI12),"",Tasks!$AC12)</f>
        <v>6SS+3d</v>
      </c>
      <c r="I8" s="26" t="str">
        <f aca="false">IF(OR(Tasks!$D12="",Tasks!$X12=""),"",Tasks!$X12&amp;IF(OR(Tasks!$Y12="",Tasks!$Y12=1),"","["&amp;ROUND(Tasks!$Y12*100,0)&amp;"%]"))</f>
        <v>Alex Chen</v>
      </c>
      <c r="J8" s="26" t="n">
        <f aca="false">IF(OR(Tasks!$D12="",Tasks!$AI12),"",ROUND(Tasks!$V12*100,0))</f>
        <v>100</v>
      </c>
      <c r="K8" s="79" t="n">
        <f aca="false">IF(OR(Tasks!$D12="",N(Tasks!$P12)=0),"",Tasks!$P12)</f>
        <v>46283</v>
      </c>
      <c r="L8" s="79" t="n">
        <f aca="false">IF(OR(Tasks!$D12="",N(Tasks!$Q12)=0),"",Tasks!$Q12)</f>
        <v>46290</v>
      </c>
      <c r="M8" s="79" t="n">
        <f aca="false">IF(Tasks!$D12="","",Tasks!$N12)</f>
        <v>46282</v>
      </c>
      <c r="N8" s="79" t="n">
        <f aca="false">IF(Tasks!$D12="","",Tasks!$O12)</f>
        <v>46288</v>
      </c>
      <c r="O8" s="26" t="str">
        <f aca="false">IF(OR(Tasks!$D12="",Tasks!$AI12),"",IF(AND(Tasks!$E12&lt;&gt;"Manual",N(Tasks!$M12)&gt;0),"Start No Earlier Than","As Soon As Possible"))</f>
        <v>As Soon As Possible</v>
      </c>
      <c r="P8" s="79" t="str">
        <f aca="false">IF(OR(Tasks!$D12="",Tasks!$AI12,N(Tasks!$M12)=0,Tasks!$E12="Manual"),"",Tasks!$M12)</f>
        <v/>
      </c>
      <c r="Q8" s="26" t="str">
        <f aca="false">IF(Tasks!$D12="","",Tasks!$AD12&amp;"")</f>
        <v>Start-to-Start + 3 day lag example.</v>
      </c>
    </row>
    <row r="9" customFormat="false" ht="15" hidden="false" customHeight="false" outlineLevel="0" collapsed="false">
      <c r="A9" s="26" t="n">
        <f aca="false">IF(Tasks!$D13="","",Tasks!$A13)</f>
        <v>8</v>
      </c>
      <c r="B9" s="26" t="str">
        <f aca="false">IF(Tasks!$D13="","",Tasks!$D13)</f>
        <v>UX wireframes &amp; prototype</v>
      </c>
      <c r="C9" s="26" t="n">
        <f aca="false">IF(Tasks!$D13="","",Tasks!$AE13)</f>
        <v>2</v>
      </c>
      <c r="D9" s="26" t="str">
        <f aca="false">IF(Tasks!$D13="","",IF(Tasks!$E13="Manual","Manually Scheduled","Auto Scheduled"))</f>
        <v>Auto Scheduled</v>
      </c>
      <c r="E9" s="26" t="str">
        <f aca="false">IF(OR(Tasks!$D13="",Tasks!$AI13),"",N(Tasks!$F13)&amp;"d")</f>
        <v>6d</v>
      </c>
      <c r="F9" s="79" t="n">
        <f aca="false">IF(Tasks!$D13="","",Tasks!$R13)</f>
        <v>46293</v>
      </c>
      <c r="G9" s="79" t="n">
        <f aca="false">IF(Tasks!$D13="","",Tasks!$S13)</f>
        <v>46301</v>
      </c>
      <c r="H9" s="26" t="str">
        <f aca="false">IF(OR(Tasks!$D13="",Tasks!$AI13),"",Tasks!$AC13)</f>
        <v>6</v>
      </c>
      <c r="I9" s="26" t="str">
        <f aca="false">IF(OR(Tasks!$D13="",Tasks!$X13=""),"",Tasks!$X13&amp;IF(OR(Tasks!$Y13="",Tasks!$Y13=1),"","["&amp;ROUND(Tasks!$Y13*100,0)&amp;"%]"))</f>
        <v>Casey Kim</v>
      </c>
      <c r="J9" s="26" t="n">
        <f aca="false">IF(OR(Tasks!$D13="",Tasks!$AI13),"",ROUND(Tasks!$V13*100,0))</f>
        <v>100</v>
      </c>
      <c r="K9" s="79" t="n">
        <f aca="false">IF(OR(Tasks!$D13="",N(Tasks!$P13)=0),"",Tasks!$P13)</f>
        <v>46293</v>
      </c>
      <c r="L9" s="79" t="n">
        <f aca="false">IF(OR(Tasks!$D13="",N(Tasks!$Q13)=0),"",Tasks!$Q13)</f>
        <v>46301</v>
      </c>
      <c r="M9" s="79" t="n">
        <f aca="false">IF(Tasks!$D13="","",Tasks!$N13)</f>
        <v>46289</v>
      </c>
      <c r="N9" s="79" t="n">
        <f aca="false">IF(Tasks!$D13="","",Tasks!$O13)</f>
        <v>46296</v>
      </c>
      <c r="O9" s="26" t="str">
        <f aca="false">IF(OR(Tasks!$D13="",Tasks!$AI13),"",IF(AND(Tasks!$E13&lt;&gt;"Manual",N(Tasks!$M13)&gt;0),"Start No Earlier Than","As Soon As Possible"))</f>
        <v>As Soon As Possible</v>
      </c>
      <c r="P9" s="79" t="str">
        <f aca="false">IF(OR(Tasks!$D13="",Tasks!$AI13,N(Tasks!$M13)=0,Tasks!$E13="Manual"),"",Tasks!$M13)</f>
        <v/>
      </c>
      <c r="Q9" s="26" t="str">
        <f aca="false">IF(Tasks!$D13="","",Tasks!$AD13&amp;"")</f>
        <v/>
      </c>
    </row>
    <row r="10" customFormat="false" ht="15" hidden="false" customHeight="false" outlineLevel="0" collapsed="false">
      <c r="A10" s="26" t="n">
        <f aca="false">IF(Tasks!$D14="","",Tasks!$A14)</f>
        <v>9</v>
      </c>
      <c r="B10" s="26" t="str">
        <f aca="false">IF(Tasks!$D14="","",Tasks!$D14)</f>
        <v>Design sign-off</v>
      </c>
      <c r="C10" s="26" t="n">
        <f aca="false">IF(Tasks!$D14="","",Tasks!$AE14)</f>
        <v>2</v>
      </c>
      <c r="D10" s="26" t="str">
        <f aca="false">IF(Tasks!$D14="","",IF(Tasks!$E14="Manual","Manually Scheduled","Auto Scheduled"))</f>
        <v>Auto Scheduled</v>
      </c>
      <c r="E10" s="26" t="str">
        <f aca="false">IF(OR(Tasks!$D14="",Tasks!$AI14),"",N(Tasks!$F14)&amp;"d")</f>
        <v>0d</v>
      </c>
      <c r="F10" s="79" t="n">
        <f aca="false">IF(Tasks!$D14="","",Tasks!$R14)</f>
        <v>46301</v>
      </c>
      <c r="G10" s="79" t="n">
        <f aca="false">IF(Tasks!$D14="","",Tasks!$S14)</f>
        <v>46301</v>
      </c>
      <c r="H10" s="26" t="str">
        <f aca="false">IF(OR(Tasks!$D14="",Tasks!$AI14),"",Tasks!$AC14)</f>
        <v>7,8</v>
      </c>
      <c r="I10" s="26" t="str">
        <f aca="false">IF(OR(Tasks!$D14="",Tasks!$X14=""),"",Tasks!$X14&amp;IF(OR(Tasks!$Y14="",Tasks!$Y14=1),"","["&amp;ROUND(Tasks!$Y14*100,0)&amp;"%]"))</f>
        <v/>
      </c>
      <c r="J10" s="26" t="n">
        <f aca="false">IF(OR(Tasks!$D14="",Tasks!$AI14),"",ROUND(Tasks!$V14*100,0))</f>
        <v>100</v>
      </c>
      <c r="K10" s="79" t="n">
        <f aca="false">IF(OR(Tasks!$D14="",N(Tasks!$P14)=0),"",Tasks!$P14)</f>
        <v>46301</v>
      </c>
      <c r="L10" s="79" t="n">
        <f aca="false">IF(OR(Tasks!$D14="",N(Tasks!$Q14)=0),"",Tasks!$Q14)</f>
        <v>46301</v>
      </c>
      <c r="M10" s="79" t="n">
        <f aca="false">IF(Tasks!$D14="","",Tasks!$N14)</f>
        <v>46296</v>
      </c>
      <c r="N10" s="79" t="n">
        <f aca="false">IF(Tasks!$D14="","",Tasks!$O14)</f>
        <v>46296</v>
      </c>
      <c r="O10" s="26" t="str">
        <f aca="false">IF(OR(Tasks!$D14="",Tasks!$AI14),"",IF(AND(Tasks!$E14&lt;&gt;"Manual",N(Tasks!$M14)&gt;0),"Start No Earlier Than","As Soon As Possible"))</f>
        <v>As Soon As Possible</v>
      </c>
      <c r="P10" s="79" t="str">
        <f aca="false">IF(OR(Tasks!$D14="",Tasks!$AI14,N(Tasks!$M14)=0,Tasks!$E14="Manual"),"",Tasks!$M14)</f>
        <v/>
      </c>
      <c r="Q10" s="26" t="str">
        <f aca="false">IF(Tasks!$D14="","",Tasks!$AD14&amp;"")</f>
        <v>Two predecessors - waits for the later one.</v>
      </c>
    </row>
    <row r="11" customFormat="false" ht="15" hidden="false" customHeight="false" outlineLevel="0" collapsed="false">
      <c r="A11" s="26" t="n">
        <f aca="false">IF(Tasks!$D15="","",Tasks!$A15)</f>
        <v>10</v>
      </c>
      <c r="B11" s="26" t="str">
        <f aca="false">IF(Tasks!$D15="","",Tasks!$D15)</f>
        <v>Build</v>
      </c>
      <c r="C11" s="26" t="n">
        <f aca="false">IF(Tasks!$D15="","",Tasks!$AE15)</f>
        <v>1</v>
      </c>
      <c r="D11" s="26" t="str">
        <f aca="false">IF(Tasks!$D15="","",IF(Tasks!$E15="Manual","Manually Scheduled","Auto Scheduled"))</f>
        <v>Auto Scheduled</v>
      </c>
      <c r="E11" s="26" t="str">
        <f aca="false">IF(OR(Tasks!$D15="",Tasks!$AI15),"",N(Tasks!$F15)&amp;"d")</f>
        <v/>
      </c>
      <c r="F11" s="79" t="n">
        <f aca="false">IF(Tasks!$D15="","",Tasks!$R15)</f>
        <v>46302</v>
      </c>
      <c r="G11" s="79" t="n">
        <f aca="false">IF(Tasks!$D15="","",Tasks!$S15)</f>
        <v>46335</v>
      </c>
      <c r="H11" s="26" t="str">
        <f aca="false">IF(OR(Tasks!$D15="",Tasks!$AI15),"",Tasks!$AC15)</f>
        <v/>
      </c>
      <c r="I11" s="26" t="str">
        <f aca="false">IF(OR(Tasks!$D15="",Tasks!$X15=""),"",Tasks!$X15&amp;IF(OR(Tasks!$Y15="",Tasks!$Y15=1),"","["&amp;ROUND(Tasks!$Y15*100,0)&amp;"%]"))</f>
        <v/>
      </c>
      <c r="J11" s="26" t="str">
        <f aca="false">IF(OR(Tasks!$D15="",Tasks!$AI15),"",ROUND(Tasks!$V15*100,0))</f>
        <v/>
      </c>
      <c r="K11" s="79" t="str">
        <f aca="false">IF(OR(Tasks!$D15="",N(Tasks!$P15)=0),"",Tasks!$P15)</f>
        <v/>
      </c>
      <c r="L11" s="79" t="str">
        <f aca="false">IF(OR(Tasks!$D15="",N(Tasks!$Q15)=0),"",Tasks!$Q15)</f>
        <v/>
      </c>
      <c r="M11" s="79" t="n">
        <f aca="false">IF(Tasks!$D15="","",Tasks!$N15)</f>
        <v>46297</v>
      </c>
      <c r="N11" s="79" t="n">
        <f aca="false">IF(Tasks!$D15="","",Tasks!$O15)</f>
        <v>46325</v>
      </c>
      <c r="O11" s="26" t="str">
        <f aca="false">IF(OR(Tasks!$D15="",Tasks!$AI15),"",IF(AND(Tasks!$E15&lt;&gt;"Manual",N(Tasks!$M15)&gt;0),"Start No Earlier Than","As Soon As Possible"))</f>
        <v/>
      </c>
      <c r="P11" s="79" t="str">
        <f aca="false">IF(OR(Tasks!$D15="",Tasks!$AI15,N(Tasks!$M15)=0,Tasks!$E15="Manual"),"",Tasks!$M15)</f>
        <v/>
      </c>
      <c r="Q11" s="26" t="str">
        <f aca="false">IF(Tasks!$D15="","",Tasks!$AD15&amp;"")</f>
        <v/>
      </c>
    </row>
    <row r="12" customFormat="false" ht="15" hidden="false" customHeight="false" outlineLevel="0" collapsed="false">
      <c r="A12" s="26" t="n">
        <f aca="false">IF(Tasks!$D16="","",Tasks!$A16)</f>
        <v>11</v>
      </c>
      <c r="B12" s="26" t="str">
        <f aca="false">IF(Tasks!$D16="","",Tasks!$D16)</f>
        <v>Backend</v>
      </c>
      <c r="C12" s="26" t="n">
        <f aca="false">IF(Tasks!$D16="","",Tasks!$AE16)</f>
        <v>2</v>
      </c>
      <c r="D12" s="26" t="str">
        <f aca="false">IF(Tasks!$D16="","",IF(Tasks!$E16="Manual","Manually Scheduled","Auto Scheduled"))</f>
        <v>Auto Scheduled</v>
      </c>
      <c r="E12" s="26" t="str">
        <f aca="false">IF(OR(Tasks!$D16="",Tasks!$AI16),"",N(Tasks!$F16)&amp;"d")</f>
        <v/>
      </c>
      <c r="F12" s="79" t="n">
        <f aca="false">IF(Tasks!$D16="","",Tasks!$R16)</f>
        <v>46302</v>
      </c>
      <c r="G12" s="79" t="n">
        <f aca="false">IF(Tasks!$D16="","",Tasks!$S16)</f>
        <v>46335</v>
      </c>
      <c r="H12" s="26" t="str">
        <f aca="false">IF(OR(Tasks!$D16="",Tasks!$AI16),"",Tasks!$AC16)</f>
        <v/>
      </c>
      <c r="I12" s="26" t="str">
        <f aca="false">IF(OR(Tasks!$D16="",Tasks!$X16=""),"",Tasks!$X16&amp;IF(OR(Tasks!$Y16="",Tasks!$Y16=1),"","["&amp;ROUND(Tasks!$Y16*100,0)&amp;"%]"))</f>
        <v/>
      </c>
      <c r="J12" s="26" t="str">
        <f aca="false">IF(OR(Tasks!$D16="",Tasks!$AI16),"",ROUND(Tasks!$V16*100,0))</f>
        <v/>
      </c>
      <c r="K12" s="79" t="str">
        <f aca="false">IF(OR(Tasks!$D16="",N(Tasks!$P16)=0),"",Tasks!$P16)</f>
        <v/>
      </c>
      <c r="L12" s="79" t="str">
        <f aca="false">IF(OR(Tasks!$D16="",N(Tasks!$Q16)=0),"",Tasks!$Q16)</f>
        <v/>
      </c>
      <c r="M12" s="79" t="n">
        <f aca="false">IF(Tasks!$D16="","",Tasks!$N16)</f>
        <v>46297</v>
      </c>
      <c r="N12" s="79" t="n">
        <f aca="false">IF(Tasks!$D16="","",Tasks!$O16)</f>
        <v>46325</v>
      </c>
      <c r="O12" s="26" t="str">
        <f aca="false">IF(OR(Tasks!$D16="",Tasks!$AI16),"",IF(AND(Tasks!$E16&lt;&gt;"Manual",N(Tasks!$M16)&gt;0),"Start No Earlier Than","As Soon As Possible"))</f>
        <v/>
      </c>
      <c r="P12" s="79" t="str">
        <f aca="false">IF(OR(Tasks!$D16="",Tasks!$AI16,N(Tasks!$M16)=0,Tasks!$E16="Manual"),"",Tasks!$M16)</f>
        <v/>
      </c>
      <c r="Q12" s="26" t="str">
        <f aca="false">IF(Tasks!$D16="","",Tasks!$AD16&amp;"")</f>
        <v>Level-2 summary with sub-tasks.</v>
      </c>
    </row>
    <row r="13" customFormat="false" ht="15" hidden="false" customHeight="false" outlineLevel="0" collapsed="false">
      <c r="A13" s="26" t="n">
        <f aca="false">IF(Tasks!$D17="","",Tasks!$A17)</f>
        <v>12</v>
      </c>
      <c r="B13" s="26" t="str">
        <f aca="false">IF(Tasks!$D17="","",Tasks!$D17)</f>
        <v>Data model &amp; database setup</v>
      </c>
      <c r="C13" s="26" t="n">
        <f aca="false">IF(Tasks!$D17="","",Tasks!$AE17)</f>
        <v>3</v>
      </c>
      <c r="D13" s="26" t="str">
        <f aca="false">IF(Tasks!$D17="","",IF(Tasks!$E17="Manual","Manually Scheduled","Auto Scheduled"))</f>
        <v>Auto Scheduled</v>
      </c>
      <c r="E13" s="26" t="str">
        <f aca="false">IF(OR(Tasks!$D17="",Tasks!$AI17),"",N(Tasks!$F17)&amp;"d")</f>
        <v>5d</v>
      </c>
      <c r="F13" s="79" t="n">
        <f aca="false">IF(Tasks!$D17="","",Tasks!$R17)</f>
        <v>46302</v>
      </c>
      <c r="G13" s="79" t="n">
        <f aca="false">IF(Tasks!$D17="","",Tasks!$S17)</f>
        <v>46309</v>
      </c>
      <c r="H13" s="26" t="str">
        <f aca="false">IF(OR(Tasks!$D17="",Tasks!$AI17),"",Tasks!$AC17)</f>
        <v>9</v>
      </c>
      <c r="I13" s="26" t="str">
        <f aca="false">IF(OR(Tasks!$D17="",Tasks!$X17=""),"",Tasks!$X17&amp;IF(OR(Tasks!$Y17="",Tasks!$Y17=1),"","["&amp;ROUND(Tasks!$Y17*100,0)&amp;"%]"))</f>
        <v>Jordan Lee</v>
      </c>
      <c r="J13" s="26" t="n">
        <f aca="false">IF(OR(Tasks!$D17="",Tasks!$AI17),"",ROUND(Tasks!$V17*100,0))</f>
        <v>100</v>
      </c>
      <c r="K13" s="79" t="n">
        <f aca="false">IF(OR(Tasks!$D17="",N(Tasks!$P17)=0),"",Tasks!$P17)</f>
        <v>46302</v>
      </c>
      <c r="L13" s="79" t="n">
        <f aca="false">IF(OR(Tasks!$D17="",N(Tasks!$Q17)=0),"",Tasks!$Q17)</f>
        <v>46309</v>
      </c>
      <c r="M13" s="79" t="n">
        <f aca="false">IF(Tasks!$D17="","",Tasks!$N17)</f>
        <v>46297</v>
      </c>
      <c r="N13" s="79" t="n">
        <f aca="false">IF(Tasks!$D17="","",Tasks!$O17)</f>
        <v>46303</v>
      </c>
      <c r="O13" s="26" t="str">
        <f aca="false">IF(OR(Tasks!$D17="",Tasks!$AI17),"",IF(AND(Tasks!$E17&lt;&gt;"Manual",N(Tasks!$M17)&gt;0),"Start No Earlier Than","As Soon As Possible"))</f>
        <v>As Soon As Possible</v>
      </c>
      <c r="P13" s="79" t="str">
        <f aca="false">IF(OR(Tasks!$D17="",Tasks!$AI17,N(Tasks!$M17)=0,Tasks!$E17="Manual"),"",Tasks!$M17)</f>
        <v/>
      </c>
      <c r="Q13" s="26" t="str">
        <f aca="false">IF(Tasks!$D17="","",Tasks!$AD17&amp;"")</f>
        <v/>
      </c>
    </row>
    <row r="14" customFormat="false" ht="15" hidden="false" customHeight="false" outlineLevel="0" collapsed="false">
      <c r="A14" s="26" t="n">
        <f aca="false">IF(Tasks!$D18="","",Tasks!$A18)</f>
        <v>13</v>
      </c>
      <c r="B14" s="26" t="str">
        <f aca="false">IF(Tasks!$D18="","",Tasks!$D18)</f>
        <v>Core API endpoints</v>
      </c>
      <c r="C14" s="26" t="n">
        <f aca="false">IF(Tasks!$D18="","",Tasks!$AE18)</f>
        <v>3</v>
      </c>
      <c r="D14" s="26" t="str">
        <f aca="false">IF(Tasks!$D18="","",IF(Tasks!$E18="Manual","Manually Scheduled","Auto Scheduled"))</f>
        <v>Auto Scheduled</v>
      </c>
      <c r="E14" s="26" t="str">
        <f aca="false">IF(OR(Tasks!$D18="",Tasks!$AI18),"",N(Tasks!$F18)&amp;"d")</f>
        <v>10d</v>
      </c>
      <c r="F14" s="79" t="n">
        <f aca="false">IF(Tasks!$D18="","",Tasks!$R18)</f>
        <v>46310</v>
      </c>
      <c r="G14" s="79" t="n">
        <f aca="false">IF(Tasks!$D18="","",Tasks!$S18)</f>
        <v>46325</v>
      </c>
      <c r="H14" s="26" t="str">
        <f aca="false">IF(OR(Tasks!$D18="",Tasks!$AI18),"",Tasks!$AC18)</f>
        <v>12</v>
      </c>
      <c r="I14" s="26" t="str">
        <f aca="false">IF(OR(Tasks!$D18="",Tasks!$X18=""),"",Tasks!$X18&amp;IF(OR(Tasks!$Y18="",Tasks!$Y18=1),"","["&amp;ROUND(Tasks!$Y18*100,0)&amp;"%]"))</f>
        <v>Jordan Lee</v>
      </c>
      <c r="J14" s="26" t="n">
        <f aca="false">IF(OR(Tasks!$D18="",Tasks!$AI18),"",ROUND(Tasks!$V18*100,0))</f>
        <v>50</v>
      </c>
      <c r="K14" s="79" t="n">
        <f aca="false">IF(OR(Tasks!$D18="",N(Tasks!$P18)=0),"",Tasks!$P18)</f>
        <v>46310</v>
      </c>
      <c r="L14" s="79" t="str">
        <f aca="false">IF(OR(Tasks!$D18="",N(Tasks!$Q18)=0),"",Tasks!$Q18)</f>
        <v/>
      </c>
      <c r="M14" s="79" t="n">
        <f aca="false">IF(Tasks!$D18="","",Tasks!$N18)</f>
        <v>46304</v>
      </c>
      <c r="N14" s="79" t="n">
        <f aca="false">IF(Tasks!$D18="","",Tasks!$O18)</f>
        <v>46317</v>
      </c>
      <c r="O14" s="26" t="str">
        <f aca="false">IF(OR(Tasks!$D18="",Tasks!$AI18),"",IF(AND(Tasks!$E18&lt;&gt;"Manual",N(Tasks!$M18)&gt;0),"Start No Earlier Than","As Soon As Possible"))</f>
        <v>As Soon As Possible</v>
      </c>
      <c r="P14" s="79" t="str">
        <f aca="false">IF(OR(Tasks!$D18="",Tasks!$AI18,N(Tasks!$M18)=0,Tasks!$E18="Manual"),"",Tasks!$M18)</f>
        <v/>
      </c>
      <c r="Q14" s="26" t="str">
        <f aca="false">IF(Tasks!$D18="","",Tasks!$AD18&amp;"")</f>
        <v>In progress - enter % Complete; forecast finish adjusts.</v>
      </c>
    </row>
    <row r="15" customFormat="false" ht="15" hidden="false" customHeight="false" outlineLevel="0" collapsed="false">
      <c r="A15" s="26" t="n">
        <f aca="false">IF(Tasks!$D19="","",Tasks!$A19)</f>
        <v>14</v>
      </c>
      <c r="B15" s="26" t="str">
        <f aca="false">IF(Tasks!$D19="","",Tasks!$D19)</f>
        <v>Payment gateway integration</v>
      </c>
      <c r="C15" s="26" t="n">
        <f aca="false">IF(Tasks!$D19="","",Tasks!$AE19)</f>
        <v>3</v>
      </c>
      <c r="D15" s="26" t="str">
        <f aca="false">IF(Tasks!$D19="","",IF(Tasks!$E19="Manual","Manually Scheduled","Auto Scheduled"))</f>
        <v>Auto Scheduled</v>
      </c>
      <c r="E15" s="26" t="str">
        <f aca="false">IF(OR(Tasks!$D19="",Tasks!$AI19),"",N(Tasks!$F19)&amp;"d")</f>
        <v>6d</v>
      </c>
      <c r="F15" s="79" t="n">
        <f aca="false">IF(Tasks!$D19="","",Tasks!$R19)</f>
        <v>46328</v>
      </c>
      <c r="G15" s="79" t="n">
        <f aca="false">IF(Tasks!$D19="","",Tasks!$S19)</f>
        <v>46335</v>
      </c>
      <c r="H15" s="26" t="str">
        <f aca="false">IF(OR(Tasks!$D19="",Tasks!$AI19),"",Tasks!$AC19)</f>
        <v>13</v>
      </c>
      <c r="I15" s="26" t="str">
        <f aca="false">IF(OR(Tasks!$D19="",Tasks!$X19=""),"",Tasks!$X19&amp;IF(OR(Tasks!$Y19="",Tasks!$Y19=1),"","["&amp;ROUND(Tasks!$Y19*100,0)&amp;"%]"))</f>
        <v>Jordan Lee</v>
      </c>
      <c r="J15" s="26" t="n">
        <f aca="false">IF(OR(Tasks!$D19="",Tasks!$AI19),"",ROUND(Tasks!$V19*100,0))</f>
        <v>0</v>
      </c>
      <c r="K15" s="79" t="str">
        <f aca="false">IF(OR(Tasks!$D19="",N(Tasks!$P19)=0),"",Tasks!$P19)</f>
        <v/>
      </c>
      <c r="L15" s="79" t="str">
        <f aca="false">IF(OR(Tasks!$D19="",N(Tasks!$Q19)=0),"",Tasks!$Q19)</f>
        <v/>
      </c>
      <c r="M15" s="79" t="n">
        <f aca="false">IF(Tasks!$D19="","",Tasks!$N19)</f>
        <v>46318</v>
      </c>
      <c r="N15" s="79" t="n">
        <f aca="false">IF(Tasks!$D19="","",Tasks!$O19)</f>
        <v>46325</v>
      </c>
      <c r="O15" s="26" t="str">
        <f aca="false">IF(OR(Tasks!$D19="",Tasks!$AI19),"",IF(AND(Tasks!$E19&lt;&gt;"Manual",N(Tasks!$M19)&gt;0),"Start No Earlier Than","As Soon As Possible"))</f>
        <v>As Soon As Possible</v>
      </c>
      <c r="P15" s="79" t="str">
        <f aca="false">IF(OR(Tasks!$D19="",Tasks!$AI19,N(Tasks!$M19)=0,Tasks!$E19="Manual"),"",Tasks!$M19)</f>
        <v/>
      </c>
      <c r="Q15" s="26" t="str">
        <f aca="false">IF(Tasks!$D19="","",Tasks!$AD19&amp;"")</f>
        <v/>
      </c>
    </row>
    <row r="16" customFormat="false" ht="15" hidden="false" customHeight="false" outlineLevel="0" collapsed="false">
      <c r="A16" s="26" t="n">
        <f aca="false">IF(Tasks!$D20="","",Tasks!$A20)</f>
        <v>15</v>
      </c>
      <c r="B16" s="26" t="str">
        <f aca="false">IF(Tasks!$D20="","",Tasks!$D20)</f>
        <v>Frontend</v>
      </c>
      <c r="C16" s="26" t="n">
        <f aca="false">IF(Tasks!$D20="","",Tasks!$AE20)</f>
        <v>2</v>
      </c>
      <c r="D16" s="26" t="str">
        <f aca="false">IF(Tasks!$D20="","",IF(Tasks!$E20="Manual","Manually Scheduled","Auto Scheduled"))</f>
        <v>Auto Scheduled</v>
      </c>
      <c r="E16" s="26" t="str">
        <f aca="false">IF(OR(Tasks!$D20="",Tasks!$AI20),"",N(Tasks!$F20)&amp;"d")</f>
        <v/>
      </c>
      <c r="F16" s="79" t="n">
        <f aca="false">IF(Tasks!$D20="","",Tasks!$R20)</f>
        <v>46302</v>
      </c>
      <c r="G16" s="79" t="n">
        <f aca="false">IF(Tasks!$D20="","",Tasks!$S20)</f>
        <v>46332</v>
      </c>
      <c r="H16" s="26" t="str">
        <f aca="false">IF(OR(Tasks!$D20="",Tasks!$AI20),"",Tasks!$AC20)</f>
        <v/>
      </c>
      <c r="I16" s="26" t="str">
        <f aca="false">IF(OR(Tasks!$D20="",Tasks!$X20=""),"",Tasks!$X20&amp;IF(OR(Tasks!$Y20="",Tasks!$Y20=1),"","["&amp;ROUND(Tasks!$Y20*100,0)&amp;"%]"))</f>
        <v/>
      </c>
      <c r="J16" s="26" t="str">
        <f aca="false">IF(OR(Tasks!$D20="",Tasks!$AI20),"",ROUND(Tasks!$V20*100,0))</f>
        <v/>
      </c>
      <c r="K16" s="79" t="str">
        <f aca="false">IF(OR(Tasks!$D20="",N(Tasks!$P20)=0),"",Tasks!$P20)</f>
        <v/>
      </c>
      <c r="L16" s="79" t="str">
        <f aca="false">IF(OR(Tasks!$D20="",N(Tasks!$Q20)=0),"",Tasks!$Q20)</f>
        <v/>
      </c>
      <c r="M16" s="79" t="n">
        <f aca="false">IF(Tasks!$D20="","",Tasks!$N20)</f>
        <v>46297</v>
      </c>
      <c r="N16" s="79" t="n">
        <f aca="false">IF(Tasks!$D20="","",Tasks!$O20)</f>
        <v>46324</v>
      </c>
      <c r="O16" s="26" t="str">
        <f aca="false">IF(OR(Tasks!$D20="",Tasks!$AI20),"",IF(AND(Tasks!$E20&lt;&gt;"Manual",N(Tasks!$M20)&gt;0),"Start No Earlier Than","As Soon As Possible"))</f>
        <v/>
      </c>
      <c r="P16" s="79" t="str">
        <f aca="false">IF(OR(Tasks!$D20="",Tasks!$AI20,N(Tasks!$M20)=0,Tasks!$E20="Manual"),"",Tasks!$M20)</f>
        <v/>
      </c>
      <c r="Q16" s="26" t="str">
        <f aca="false">IF(Tasks!$D20="","",Tasks!$AD20&amp;"")</f>
        <v/>
      </c>
    </row>
    <row r="17" customFormat="false" ht="15" hidden="false" customHeight="false" outlineLevel="0" collapsed="false">
      <c r="A17" s="26" t="n">
        <f aca="false">IF(Tasks!$D21="","",Tasks!$A21)</f>
        <v>16</v>
      </c>
      <c r="B17" s="26" t="str">
        <f aca="false">IF(Tasks!$D21="","",Tasks!$D21)</f>
        <v>UI component library</v>
      </c>
      <c r="C17" s="26" t="n">
        <f aca="false">IF(Tasks!$D21="","",Tasks!$AE21)</f>
        <v>3</v>
      </c>
      <c r="D17" s="26" t="str">
        <f aca="false">IF(Tasks!$D21="","",IF(Tasks!$E21="Manual","Manually Scheduled","Auto Scheduled"))</f>
        <v>Auto Scheduled</v>
      </c>
      <c r="E17" s="26" t="str">
        <f aca="false">IF(OR(Tasks!$D21="",Tasks!$AI21),"",N(Tasks!$F21)&amp;"d")</f>
        <v>6d</v>
      </c>
      <c r="F17" s="79" t="n">
        <f aca="false">IF(Tasks!$D21="","",Tasks!$R21)</f>
        <v>46302</v>
      </c>
      <c r="G17" s="79" t="n">
        <f aca="false">IF(Tasks!$D21="","",Tasks!$S21)</f>
        <v>46311</v>
      </c>
      <c r="H17" s="26" t="str">
        <f aca="false">IF(OR(Tasks!$D21="",Tasks!$AI21),"",Tasks!$AC21)</f>
        <v>9</v>
      </c>
      <c r="I17" s="26" t="str">
        <f aca="false">IF(OR(Tasks!$D21="",Tasks!$X21=""),"",Tasks!$X21&amp;IF(OR(Tasks!$Y21="",Tasks!$Y21=1),"","["&amp;ROUND(Tasks!$Y21*100,0)&amp;"%]"))</f>
        <v>Sam Rivera</v>
      </c>
      <c r="J17" s="26" t="n">
        <f aca="false">IF(OR(Tasks!$D21="",Tasks!$AI21),"",ROUND(Tasks!$V21*100,0))</f>
        <v>100</v>
      </c>
      <c r="K17" s="79" t="n">
        <f aca="false">IF(OR(Tasks!$D21="",N(Tasks!$P21)=0),"",Tasks!$P21)</f>
        <v>46302</v>
      </c>
      <c r="L17" s="79" t="n">
        <f aca="false">IF(OR(Tasks!$D21="",N(Tasks!$Q21)=0),"",Tasks!$Q21)</f>
        <v>46311</v>
      </c>
      <c r="M17" s="79" t="n">
        <f aca="false">IF(Tasks!$D21="","",Tasks!$N21)</f>
        <v>46297</v>
      </c>
      <c r="N17" s="79" t="n">
        <f aca="false">IF(Tasks!$D21="","",Tasks!$O21)</f>
        <v>46304</v>
      </c>
      <c r="O17" s="26" t="str">
        <f aca="false">IF(OR(Tasks!$D21="",Tasks!$AI21),"",IF(AND(Tasks!$E21&lt;&gt;"Manual",N(Tasks!$M21)&gt;0),"Start No Earlier Than","As Soon As Possible"))</f>
        <v>As Soon As Possible</v>
      </c>
      <c r="P17" s="79" t="str">
        <f aca="false">IF(OR(Tasks!$D21="",Tasks!$AI21,N(Tasks!$M21)=0,Tasks!$E21="Manual"),"",Tasks!$M21)</f>
        <v/>
      </c>
      <c r="Q17" s="26" t="str">
        <f aca="false">IF(Tasks!$D21="","",Tasks!$AD21&amp;"")</f>
        <v/>
      </c>
    </row>
    <row r="18" customFormat="false" ht="15" hidden="false" customHeight="false" outlineLevel="0" collapsed="false">
      <c r="A18" s="26" t="n">
        <f aca="false">IF(Tasks!$D22="","",Tasks!$A22)</f>
        <v>17</v>
      </c>
      <c r="B18" s="26" t="str">
        <f aca="false">IF(Tasks!$D22="","",Tasks!$D22)</f>
        <v>Feature screens</v>
      </c>
      <c r="C18" s="26" t="n">
        <f aca="false">IF(Tasks!$D22="","",Tasks!$AE22)</f>
        <v>3</v>
      </c>
      <c r="D18" s="26" t="str">
        <f aca="false">IF(Tasks!$D22="","",IF(Tasks!$E22="Manual","Manually Scheduled","Auto Scheduled"))</f>
        <v>Auto Scheduled</v>
      </c>
      <c r="E18" s="26" t="str">
        <f aca="false">IF(OR(Tasks!$D22="",Tasks!$AI22),"",N(Tasks!$F22)&amp;"d")</f>
        <v>12d</v>
      </c>
      <c r="F18" s="79" t="n">
        <f aca="false">IF(Tasks!$D22="","",Tasks!$R22)</f>
        <v>46314</v>
      </c>
      <c r="G18" s="79" t="n">
        <f aca="false">IF(Tasks!$D22="","",Tasks!$S22)</f>
        <v>46331</v>
      </c>
      <c r="H18" s="26" t="str">
        <f aca="false">IF(OR(Tasks!$D22="",Tasks!$AI22),"",Tasks!$AC22)</f>
        <v>16,13SS+2d</v>
      </c>
      <c r="I18" s="26" t="str">
        <f aca="false">IF(OR(Tasks!$D22="",Tasks!$X22=""),"",Tasks!$X22&amp;IF(OR(Tasks!$Y22="",Tasks!$Y22=1),"","["&amp;ROUND(Tasks!$Y22*100,0)&amp;"%]"))</f>
        <v>Sam Rivera</v>
      </c>
      <c r="J18" s="26" t="n">
        <f aca="false">IF(OR(Tasks!$D22="",Tasks!$AI22),"",ROUND(Tasks!$V22*100,0))</f>
        <v>25</v>
      </c>
      <c r="K18" s="79" t="n">
        <f aca="false">IF(OR(Tasks!$D22="",N(Tasks!$P22)=0),"",Tasks!$P22)</f>
        <v>46314</v>
      </c>
      <c r="L18" s="79" t="str">
        <f aca="false">IF(OR(Tasks!$D22="",N(Tasks!$Q22)=0),"",Tasks!$Q22)</f>
        <v/>
      </c>
      <c r="M18" s="79" t="n">
        <f aca="false">IF(Tasks!$D22="","",Tasks!$N22)</f>
        <v>46308</v>
      </c>
      <c r="N18" s="79" t="n">
        <f aca="false">IF(Tasks!$D22="","",Tasks!$O22)</f>
        <v>46323</v>
      </c>
      <c r="O18" s="26" t="str">
        <f aca="false">IF(OR(Tasks!$D22="",Tasks!$AI22),"",IF(AND(Tasks!$E22&lt;&gt;"Manual",N(Tasks!$M22)&gt;0),"Start No Earlier Than","As Soon As Possible"))</f>
        <v>As Soon As Possible</v>
      </c>
      <c r="P18" s="79" t="str">
        <f aca="false">IF(OR(Tasks!$D22="",Tasks!$AI22,N(Tasks!$M22)=0,Tasks!$E22="Manual"),"",Tasks!$M22)</f>
        <v/>
      </c>
      <c r="Q18" s="26" t="str">
        <f aca="false">IF(Tasks!$D22="","",Tasks!$AD22&amp;"")</f>
        <v/>
      </c>
    </row>
    <row r="19" customFormat="false" ht="15" hidden="false" customHeight="false" outlineLevel="0" collapsed="false">
      <c r="A19" s="26" t="n">
        <f aca="false">IF(Tasks!$D23="","",Tasks!$A23)</f>
        <v>18</v>
      </c>
      <c r="B19" s="26" t="str">
        <f aca="false">IF(Tasks!$D23="","",Tasks!$D23)</f>
        <v>Accessibility review</v>
      </c>
      <c r="C19" s="26" t="n">
        <f aca="false">IF(Tasks!$D23="","",Tasks!$AE23)</f>
        <v>3</v>
      </c>
      <c r="D19" s="26" t="str">
        <f aca="false">IF(Tasks!$D23="","",IF(Tasks!$E23="Manual","Manually Scheduled","Auto Scheduled"))</f>
        <v>Auto Scheduled</v>
      </c>
      <c r="E19" s="26" t="str">
        <f aca="false">IF(OR(Tasks!$D23="",Tasks!$AI23),"",N(Tasks!$F23)&amp;"d")</f>
        <v>3d</v>
      </c>
      <c r="F19" s="79" t="n">
        <f aca="false">IF(Tasks!$D23="","",Tasks!$R23)</f>
        <v>46330</v>
      </c>
      <c r="G19" s="79" t="n">
        <f aca="false">IF(Tasks!$D23="","",Tasks!$S23)</f>
        <v>46332</v>
      </c>
      <c r="H19" s="26" t="str">
        <f aca="false">IF(OR(Tasks!$D23="",Tasks!$AI23),"",Tasks!$AC23)</f>
        <v>17FF+1d</v>
      </c>
      <c r="I19" s="26" t="str">
        <f aca="false">IF(OR(Tasks!$D23="",Tasks!$X23=""),"",Tasks!$X23&amp;IF(OR(Tasks!$Y23="",Tasks!$Y23=1),"","["&amp;ROUND(Tasks!$Y23*100,0)&amp;"%]"))</f>
        <v>Casey Kim[50%]</v>
      </c>
      <c r="J19" s="26" t="n">
        <f aca="false">IF(OR(Tasks!$D23="",Tasks!$AI23),"",ROUND(Tasks!$V23*100,0))</f>
        <v>0</v>
      </c>
      <c r="K19" s="79" t="str">
        <f aca="false">IF(OR(Tasks!$D23="",N(Tasks!$P23)=0),"",Tasks!$P23)</f>
        <v/>
      </c>
      <c r="L19" s="79" t="str">
        <f aca="false">IF(OR(Tasks!$D23="",N(Tasks!$Q23)=0),"",Tasks!$Q23)</f>
        <v/>
      </c>
      <c r="M19" s="79" t="n">
        <f aca="false">IF(Tasks!$D23="","",Tasks!$N23)</f>
        <v>46322</v>
      </c>
      <c r="N19" s="79" t="n">
        <f aca="false">IF(Tasks!$D23="","",Tasks!$O23)</f>
        <v>46324</v>
      </c>
      <c r="O19" s="26" t="str">
        <f aca="false">IF(OR(Tasks!$D23="",Tasks!$AI23),"",IF(AND(Tasks!$E23&lt;&gt;"Manual",N(Tasks!$M23)&gt;0),"Start No Earlier Than","As Soon As Possible"))</f>
        <v>As Soon As Possible</v>
      </c>
      <c r="P19" s="79" t="str">
        <f aca="false">IF(OR(Tasks!$D23="",Tasks!$AI23,N(Tasks!$M23)=0,Tasks!$E23="Manual"),"",Tasks!$M23)</f>
        <v/>
      </c>
      <c r="Q19" s="26" t="str">
        <f aca="false">IF(Tasks!$D23="","",Tasks!$AD23&amp;"")</f>
        <v>Finish-to-Finish + 1 day; 50% units.</v>
      </c>
    </row>
    <row r="20" customFormat="false" ht="15" hidden="false" customHeight="false" outlineLevel="0" collapsed="false">
      <c r="A20" s="26" t="n">
        <f aca="false">IF(Tasks!$D24="","",Tasks!$A24)</f>
        <v>19</v>
      </c>
      <c r="B20" s="26" t="str">
        <f aca="false">IF(Tasks!$D24="","",Tasks!$D24)</f>
        <v>Build complete</v>
      </c>
      <c r="C20" s="26" t="n">
        <f aca="false">IF(Tasks!$D24="","",Tasks!$AE24)</f>
        <v>2</v>
      </c>
      <c r="D20" s="26" t="str">
        <f aca="false">IF(Tasks!$D24="","",IF(Tasks!$E24="Manual","Manually Scheduled","Auto Scheduled"))</f>
        <v>Auto Scheduled</v>
      </c>
      <c r="E20" s="26" t="str">
        <f aca="false">IF(OR(Tasks!$D24="",Tasks!$AI24),"",N(Tasks!$F24)&amp;"d")</f>
        <v>0d</v>
      </c>
      <c r="F20" s="79" t="n">
        <f aca="false">IF(Tasks!$D24="","",Tasks!$R24)</f>
        <v>46335</v>
      </c>
      <c r="G20" s="79" t="n">
        <f aca="false">IF(Tasks!$D24="","",Tasks!$S24)</f>
        <v>46335</v>
      </c>
      <c r="H20" s="26" t="str">
        <f aca="false">IF(OR(Tasks!$D24="",Tasks!$AI24),"",Tasks!$AC24)</f>
        <v>14,18</v>
      </c>
      <c r="I20" s="26" t="str">
        <f aca="false">IF(OR(Tasks!$D24="",Tasks!$X24=""),"",Tasks!$X24&amp;IF(OR(Tasks!$Y24="",Tasks!$Y24=1),"","["&amp;ROUND(Tasks!$Y24*100,0)&amp;"%]"))</f>
        <v/>
      </c>
      <c r="J20" s="26" t="n">
        <f aca="false">IF(OR(Tasks!$D24="",Tasks!$AI24),"",ROUND(Tasks!$V24*100,0))</f>
        <v>0</v>
      </c>
      <c r="K20" s="79" t="str">
        <f aca="false">IF(OR(Tasks!$D24="",N(Tasks!$P24)=0),"",Tasks!$P24)</f>
        <v/>
      </c>
      <c r="L20" s="79" t="str">
        <f aca="false">IF(OR(Tasks!$D24="",N(Tasks!$Q24)=0),"",Tasks!$Q24)</f>
        <v/>
      </c>
      <c r="M20" s="79" t="n">
        <f aca="false">IF(Tasks!$D24="","",Tasks!$N24)</f>
        <v>46325</v>
      </c>
      <c r="N20" s="79" t="n">
        <f aca="false">IF(Tasks!$D24="","",Tasks!$O24)</f>
        <v>46325</v>
      </c>
      <c r="O20" s="26" t="str">
        <f aca="false">IF(OR(Tasks!$D24="",Tasks!$AI24),"",IF(AND(Tasks!$E24&lt;&gt;"Manual",N(Tasks!$M24)&gt;0),"Start No Earlier Than","As Soon As Possible"))</f>
        <v>As Soon As Possible</v>
      </c>
      <c r="P20" s="79" t="str">
        <f aca="false">IF(OR(Tasks!$D24="",Tasks!$AI24,N(Tasks!$M24)=0,Tasks!$E24="Manual"),"",Tasks!$M24)</f>
        <v/>
      </c>
      <c r="Q20" s="26" t="str">
        <f aca="false">IF(Tasks!$D24="","",Tasks!$AD24&amp;"")</f>
        <v>Milestone</v>
      </c>
    </row>
    <row r="21" customFormat="false" ht="15" hidden="false" customHeight="false" outlineLevel="0" collapsed="false">
      <c r="A21" s="26" t="n">
        <f aca="false">IF(Tasks!$D25="","",Tasks!$A25)</f>
        <v>20</v>
      </c>
      <c r="B21" s="26" t="str">
        <f aca="false">IF(Tasks!$D25="","",Tasks!$D25)</f>
        <v>Test &amp; Release</v>
      </c>
      <c r="C21" s="26" t="n">
        <f aca="false">IF(Tasks!$D25="","",Tasks!$AE25)</f>
        <v>1</v>
      </c>
      <c r="D21" s="26" t="str">
        <f aca="false">IF(Tasks!$D25="","",IF(Tasks!$E25="Manual","Manually Scheduled","Auto Scheduled"))</f>
        <v>Auto Scheduled</v>
      </c>
      <c r="E21" s="26" t="str">
        <f aca="false">IF(OR(Tasks!$D25="",Tasks!$AI25),"",N(Tasks!$F25)&amp;"d")</f>
        <v/>
      </c>
      <c r="F21" s="79" t="n">
        <f aca="false">IF(Tasks!$D25="","",Tasks!$R25)</f>
        <v>46336</v>
      </c>
      <c r="G21" s="79" t="n">
        <f aca="false">IF(Tasks!$D25="","",Tasks!$S25)</f>
        <v>46391</v>
      </c>
      <c r="H21" s="26" t="str">
        <f aca="false">IF(OR(Tasks!$D25="",Tasks!$AI25),"",Tasks!$AC25)</f>
        <v/>
      </c>
      <c r="I21" s="26" t="str">
        <f aca="false">IF(OR(Tasks!$D25="",Tasks!$X25=""),"",Tasks!$X25&amp;IF(OR(Tasks!$Y25="",Tasks!$Y25=1),"","["&amp;ROUND(Tasks!$Y25*100,0)&amp;"%]"))</f>
        <v/>
      </c>
      <c r="J21" s="26" t="str">
        <f aca="false">IF(OR(Tasks!$D25="",Tasks!$AI25),"",ROUND(Tasks!$V25*100,0))</f>
        <v/>
      </c>
      <c r="K21" s="79" t="str">
        <f aca="false">IF(OR(Tasks!$D25="",N(Tasks!$P25)=0),"",Tasks!$P25)</f>
        <v/>
      </c>
      <c r="L21" s="79" t="str">
        <f aca="false">IF(OR(Tasks!$D25="",N(Tasks!$Q25)=0),"",Tasks!$Q25)</f>
        <v/>
      </c>
      <c r="M21" s="79" t="n">
        <f aca="false">IF(Tasks!$D25="","",Tasks!$N25)</f>
        <v>46328</v>
      </c>
      <c r="N21" s="79" t="n">
        <f aca="false">IF(Tasks!$D25="","",Tasks!$O25)</f>
        <v>46391</v>
      </c>
      <c r="O21" s="26" t="str">
        <f aca="false">IF(OR(Tasks!$D25="",Tasks!$AI25),"",IF(AND(Tasks!$E25&lt;&gt;"Manual",N(Tasks!$M25)&gt;0),"Start No Earlier Than","As Soon As Possible"))</f>
        <v/>
      </c>
      <c r="P21" s="79" t="str">
        <f aca="false">IF(OR(Tasks!$D25="",Tasks!$AI25,N(Tasks!$M25)=0,Tasks!$E25="Manual"),"",Tasks!$M25)</f>
        <v/>
      </c>
      <c r="Q21" s="26" t="str">
        <f aca="false">IF(Tasks!$D25="","",Tasks!$AD25&amp;"")</f>
        <v/>
      </c>
    </row>
    <row r="22" customFormat="false" ht="15" hidden="false" customHeight="false" outlineLevel="0" collapsed="false">
      <c r="A22" s="26" t="n">
        <f aca="false">IF(Tasks!$D26="","",Tasks!$A26)</f>
        <v>21</v>
      </c>
      <c r="B22" s="26" t="str">
        <f aca="false">IF(Tasks!$D26="","",Tasks!$D26)</f>
        <v>System integration testing</v>
      </c>
      <c r="C22" s="26" t="n">
        <f aca="false">IF(Tasks!$D26="","",Tasks!$AE26)</f>
        <v>2</v>
      </c>
      <c r="D22" s="26" t="str">
        <f aca="false">IF(Tasks!$D26="","",IF(Tasks!$E26="Manual","Manually Scheduled","Auto Scheduled"))</f>
        <v>Auto Scheduled</v>
      </c>
      <c r="E22" s="26" t="str">
        <f aca="false">IF(OR(Tasks!$D26="",Tasks!$AI26),"",N(Tasks!$F26)&amp;"d")</f>
        <v>8d</v>
      </c>
      <c r="F22" s="79" t="n">
        <f aca="false">IF(Tasks!$D26="","",Tasks!$R26)</f>
        <v>46336</v>
      </c>
      <c r="G22" s="79" t="n">
        <f aca="false">IF(Tasks!$D26="","",Tasks!$S26)</f>
        <v>46345</v>
      </c>
      <c r="H22" s="26" t="str">
        <f aca="false">IF(OR(Tasks!$D26="",Tasks!$AI26),"",Tasks!$AC26)</f>
        <v>19</v>
      </c>
      <c r="I22" s="26" t="str">
        <f aca="false">IF(OR(Tasks!$D26="",Tasks!$X26=""),"",Tasks!$X26&amp;IF(OR(Tasks!$Y26="",Tasks!$Y26=1),"","["&amp;ROUND(Tasks!$Y26*100,0)&amp;"%]"))</f>
        <v>Taylor Morgan</v>
      </c>
      <c r="J22" s="26" t="n">
        <f aca="false">IF(OR(Tasks!$D26="",Tasks!$AI26),"",ROUND(Tasks!$V26*100,0))</f>
        <v>0</v>
      </c>
      <c r="K22" s="79" t="str">
        <f aca="false">IF(OR(Tasks!$D26="",N(Tasks!$P26)=0),"",Tasks!$P26)</f>
        <v/>
      </c>
      <c r="L22" s="79" t="str">
        <f aca="false">IF(OR(Tasks!$D26="",N(Tasks!$Q26)=0),"",Tasks!$Q26)</f>
        <v/>
      </c>
      <c r="M22" s="79" t="n">
        <f aca="false">IF(Tasks!$D26="","",Tasks!$N26)</f>
        <v>46328</v>
      </c>
      <c r="N22" s="79" t="n">
        <f aca="false">IF(Tasks!$D26="","",Tasks!$O26)</f>
        <v>46337</v>
      </c>
      <c r="O22" s="26" t="str">
        <f aca="false">IF(OR(Tasks!$D26="",Tasks!$AI26),"",IF(AND(Tasks!$E26&lt;&gt;"Manual",N(Tasks!$M26)&gt;0),"Start No Earlier Than","As Soon As Possible"))</f>
        <v>As Soon As Possible</v>
      </c>
      <c r="P22" s="79" t="str">
        <f aca="false">IF(OR(Tasks!$D26="",Tasks!$AI26,N(Tasks!$M26)=0,Tasks!$E26="Manual"),"",Tasks!$M26)</f>
        <v/>
      </c>
      <c r="Q22" s="26" t="str">
        <f aca="false">IF(Tasks!$D26="","",Tasks!$AD26&amp;"")</f>
        <v/>
      </c>
    </row>
    <row r="23" customFormat="false" ht="15" hidden="false" customHeight="false" outlineLevel="0" collapsed="false">
      <c r="A23" s="26" t="n">
        <f aca="false">IF(Tasks!$D27="","",Tasks!$A27)</f>
        <v>22</v>
      </c>
      <c r="B23" s="26" t="str">
        <f aca="false">IF(Tasks!$D27="","",Tasks!$D27)</f>
        <v>User acceptance testing</v>
      </c>
      <c r="C23" s="26" t="n">
        <f aca="false">IF(Tasks!$D27="","",Tasks!$AE27)</f>
        <v>2</v>
      </c>
      <c r="D23" s="26" t="str">
        <f aca="false">IF(Tasks!$D27="","",IF(Tasks!$E27="Manual","Manually Scheduled","Auto Scheduled"))</f>
        <v>Auto Scheduled</v>
      </c>
      <c r="E23" s="26" t="str">
        <f aca="false">IF(OR(Tasks!$D27="",Tasks!$AI27),"",N(Tasks!$F27)&amp;"d")</f>
        <v>6d</v>
      </c>
      <c r="F23" s="79" t="n">
        <f aca="false">IF(Tasks!$D27="","",Tasks!$R27)</f>
        <v>46363</v>
      </c>
      <c r="G23" s="79" t="n">
        <f aca="false">IF(Tasks!$D27="","",Tasks!$S27)</f>
        <v>46370</v>
      </c>
      <c r="H23" s="26" t="str">
        <f aca="false">IF(OR(Tasks!$D27="",Tasks!$AI27),"",Tasks!$AC27)</f>
        <v>21</v>
      </c>
      <c r="I23" s="26" t="str">
        <f aca="false">IF(OR(Tasks!$D27="",Tasks!$X27=""),"",Tasks!$X27&amp;IF(OR(Tasks!$Y27="",Tasks!$Y27=1),"","["&amp;ROUND(Tasks!$Y27*100,0)&amp;"%]"))</f>
        <v>Morgan Patel</v>
      </c>
      <c r="J23" s="26" t="n">
        <f aca="false">IF(OR(Tasks!$D27="",Tasks!$AI27),"",ROUND(Tasks!$V27*100,0))</f>
        <v>0</v>
      </c>
      <c r="K23" s="79" t="str">
        <f aca="false">IF(OR(Tasks!$D27="",N(Tasks!$P27)=0),"",Tasks!$P27)</f>
        <v/>
      </c>
      <c r="L23" s="79" t="str">
        <f aca="false">IF(OR(Tasks!$D27="",N(Tasks!$Q27)=0),"",Tasks!$Q27)</f>
        <v/>
      </c>
      <c r="M23" s="79" t="n">
        <f aca="false">IF(Tasks!$D27="","",Tasks!$N27)</f>
        <v>46363</v>
      </c>
      <c r="N23" s="79" t="n">
        <f aca="false">IF(Tasks!$D27="","",Tasks!$O27)</f>
        <v>46370</v>
      </c>
      <c r="O23" s="26" t="str">
        <f aca="false">IF(OR(Tasks!$D27="",Tasks!$AI27),"",IF(AND(Tasks!$E27&lt;&gt;"Manual",N(Tasks!$M27)&gt;0),"Start No Earlier Than","As Soon As Possible"))</f>
        <v>Start No Earlier Than</v>
      </c>
      <c r="P23" s="79" t="n">
        <f aca="false">IF(OR(Tasks!$D27="",Tasks!$AI27,N(Tasks!$M27)=0,Tasks!$E27="Manual"),"",Tasks!$M27)</f>
        <v>46363</v>
      </c>
      <c r="Q23" s="26" t="str">
        <f aca="false">IF(Tasks!$D27="","",Tasks!$AD27&amp;"")</f>
        <v>Start No Earlier Than 07-Dec (client availability).</v>
      </c>
    </row>
    <row r="24" customFormat="false" ht="15" hidden="false" customHeight="false" outlineLevel="0" collapsed="false">
      <c r="A24" s="26" t="n">
        <f aca="false">IF(Tasks!$D28="","",Tasks!$A28)</f>
        <v>23</v>
      </c>
      <c r="B24" s="26" t="str">
        <f aca="false">IF(Tasks!$D28="","",Tasks!$D28)</f>
        <v>Training &amp; user guides</v>
      </c>
      <c r="C24" s="26" t="n">
        <f aca="false">IF(Tasks!$D28="","",Tasks!$AE28)</f>
        <v>2</v>
      </c>
      <c r="D24" s="26" t="str">
        <f aca="false">IF(Tasks!$D28="","",IF(Tasks!$E28="Manual","Manually Scheduled","Auto Scheduled"))</f>
        <v>Auto Scheduled</v>
      </c>
      <c r="E24" s="26" t="str">
        <f aca="false">IF(OR(Tasks!$D28="",Tasks!$AI28),"",N(Tasks!$F28)&amp;"d")</f>
        <v>5d</v>
      </c>
      <c r="F24" s="79" t="n">
        <f aca="false">IF(Tasks!$D28="","",Tasks!$R28)</f>
        <v>46338</v>
      </c>
      <c r="G24" s="79" t="n">
        <f aca="false">IF(Tasks!$D28="","",Tasks!$S28)</f>
        <v>46344</v>
      </c>
      <c r="H24" s="26" t="str">
        <f aca="false">IF(OR(Tasks!$D28="",Tasks!$AI28),"",Tasks!$AC28)</f>
        <v>21SS+2d</v>
      </c>
      <c r="I24" s="26" t="str">
        <f aca="false">IF(OR(Tasks!$D28="",Tasks!$X28=""),"",Tasks!$X28&amp;IF(OR(Tasks!$Y28="",Tasks!$Y28=1),"","["&amp;ROUND(Tasks!$Y28*100,0)&amp;"%]"))</f>
        <v>Casey Kim[50%]</v>
      </c>
      <c r="J24" s="26" t="n">
        <f aca="false">IF(OR(Tasks!$D28="",Tasks!$AI28),"",ROUND(Tasks!$V28*100,0))</f>
        <v>0</v>
      </c>
      <c r="K24" s="79" t="str">
        <f aca="false">IF(OR(Tasks!$D28="",N(Tasks!$P28)=0),"",Tasks!$P28)</f>
        <v/>
      </c>
      <c r="L24" s="79" t="str">
        <f aca="false">IF(OR(Tasks!$D28="",N(Tasks!$Q28)=0),"",Tasks!$Q28)</f>
        <v/>
      </c>
      <c r="M24" s="79" t="n">
        <f aca="false">IF(Tasks!$D28="","",Tasks!$N28)</f>
        <v>46330</v>
      </c>
      <c r="N24" s="79" t="n">
        <f aca="false">IF(Tasks!$D28="","",Tasks!$O28)</f>
        <v>46336</v>
      </c>
      <c r="O24" s="26" t="str">
        <f aca="false">IF(OR(Tasks!$D28="",Tasks!$AI28),"",IF(AND(Tasks!$E28&lt;&gt;"Manual",N(Tasks!$M28)&gt;0),"Start No Earlier Than","As Soon As Possible"))</f>
        <v>As Soon As Possible</v>
      </c>
      <c r="P24" s="79" t="str">
        <f aca="false">IF(OR(Tasks!$D28="",Tasks!$AI28,N(Tasks!$M28)=0,Tasks!$E28="Manual"),"",Tasks!$M28)</f>
        <v/>
      </c>
      <c r="Q24" s="26" t="str">
        <f aca="false">IF(Tasks!$D28="","",Tasks!$AD28&amp;"")</f>
        <v/>
      </c>
    </row>
    <row r="25" customFormat="false" ht="15" hidden="false" customHeight="false" outlineLevel="0" collapsed="false">
      <c r="A25" s="26" t="n">
        <f aca="false">IF(Tasks!$D29="","",Tasks!$A29)</f>
        <v>24</v>
      </c>
      <c r="B25" s="26" t="str">
        <f aca="false">IF(Tasks!$D29="","",Tasks!$D29)</f>
        <v>Go-live readiness review</v>
      </c>
      <c r="C25" s="26" t="n">
        <f aca="false">IF(Tasks!$D29="","",Tasks!$AE29)</f>
        <v>2</v>
      </c>
      <c r="D25" s="26" t="str">
        <f aca="false">IF(Tasks!$D29="","",IF(Tasks!$E29="Manual","Manually Scheduled","Auto Scheduled"))</f>
        <v>Auto Scheduled</v>
      </c>
      <c r="E25" s="26" t="str">
        <f aca="false">IF(OR(Tasks!$D29="",Tasks!$AI29),"",N(Tasks!$F29)&amp;"d")</f>
        <v>1d</v>
      </c>
      <c r="F25" s="79" t="n">
        <f aca="false">IF(Tasks!$D29="","",Tasks!$R29)</f>
        <v>46371</v>
      </c>
      <c r="G25" s="79" t="n">
        <f aca="false">IF(Tasks!$D29="","",Tasks!$S29)</f>
        <v>46371</v>
      </c>
      <c r="H25" s="26" t="str">
        <f aca="false">IF(OR(Tasks!$D29="",Tasks!$AI29),"",Tasks!$AC29)</f>
        <v>22,23</v>
      </c>
      <c r="I25" s="26" t="str">
        <f aca="false">IF(OR(Tasks!$D29="",Tasks!$X29=""),"",Tasks!$X29&amp;IF(OR(Tasks!$Y29="",Tasks!$Y29=1),"","["&amp;ROUND(Tasks!$Y29*100,0)&amp;"%]"))</f>
        <v>Priya Sharma</v>
      </c>
      <c r="J25" s="26" t="n">
        <f aca="false">IF(OR(Tasks!$D29="",Tasks!$AI29),"",ROUND(Tasks!$V29*100,0))</f>
        <v>0</v>
      </c>
      <c r="K25" s="79" t="str">
        <f aca="false">IF(OR(Tasks!$D29="",N(Tasks!$P29)=0),"",Tasks!$P29)</f>
        <v/>
      </c>
      <c r="L25" s="79" t="str">
        <f aca="false">IF(OR(Tasks!$D29="",N(Tasks!$Q29)=0),"",Tasks!$Q29)</f>
        <v/>
      </c>
      <c r="M25" s="79" t="n">
        <f aca="false">IF(Tasks!$D29="","",Tasks!$N29)</f>
        <v>46371</v>
      </c>
      <c r="N25" s="79" t="n">
        <f aca="false">IF(Tasks!$D29="","",Tasks!$O29)</f>
        <v>46371</v>
      </c>
      <c r="O25" s="26" t="str">
        <f aca="false">IF(OR(Tasks!$D29="",Tasks!$AI29),"",IF(AND(Tasks!$E29&lt;&gt;"Manual",N(Tasks!$M29)&gt;0),"Start No Earlier Than","As Soon As Possible"))</f>
        <v>As Soon As Possible</v>
      </c>
      <c r="P25" s="79" t="str">
        <f aca="false">IF(OR(Tasks!$D29="",Tasks!$AI29,N(Tasks!$M29)=0,Tasks!$E29="Manual"),"",Tasks!$M29)</f>
        <v/>
      </c>
      <c r="Q25" s="26" t="str">
        <f aca="false">IF(Tasks!$D29="","",Tasks!$AD29&amp;"")</f>
        <v/>
      </c>
    </row>
    <row r="26" customFormat="false" ht="15" hidden="false" customHeight="false" outlineLevel="0" collapsed="false">
      <c r="A26" s="26" t="n">
        <f aca="false">IF(Tasks!$D30="","",Tasks!$A30)</f>
        <v>25</v>
      </c>
      <c r="B26" s="26" t="str">
        <f aca="false">IF(Tasks!$D30="","",Tasks!$D30)</f>
        <v>Go-live</v>
      </c>
      <c r="C26" s="26" t="n">
        <f aca="false">IF(Tasks!$D30="","",Tasks!$AE30)</f>
        <v>2</v>
      </c>
      <c r="D26" s="26" t="str">
        <f aca="false">IF(Tasks!$D30="","",IF(Tasks!$E30="Manual","Manually Scheduled","Auto Scheduled"))</f>
        <v>Auto Scheduled</v>
      </c>
      <c r="E26" s="26" t="str">
        <f aca="false">IF(OR(Tasks!$D30="",Tasks!$AI30),"",N(Tasks!$F30)&amp;"d")</f>
        <v>0d</v>
      </c>
      <c r="F26" s="79" t="n">
        <f aca="false">IF(Tasks!$D30="","",Tasks!$R30)</f>
        <v>46371</v>
      </c>
      <c r="G26" s="79" t="n">
        <f aca="false">IF(Tasks!$D30="","",Tasks!$S30)</f>
        <v>46371</v>
      </c>
      <c r="H26" s="26" t="str">
        <f aca="false">IF(OR(Tasks!$D30="",Tasks!$AI30),"",Tasks!$AC30)</f>
        <v>24</v>
      </c>
      <c r="I26" s="26" t="str">
        <f aca="false">IF(OR(Tasks!$D30="",Tasks!$X30=""),"",Tasks!$X30&amp;IF(OR(Tasks!$Y30="",Tasks!$Y30=1),"","["&amp;ROUND(Tasks!$Y30*100,0)&amp;"%]"))</f>
        <v/>
      </c>
      <c r="J26" s="26" t="n">
        <f aca="false">IF(OR(Tasks!$D30="",Tasks!$AI30),"",ROUND(Tasks!$V30*100,0))</f>
        <v>0</v>
      </c>
      <c r="K26" s="79" t="str">
        <f aca="false">IF(OR(Tasks!$D30="",N(Tasks!$P30)=0),"",Tasks!$P30)</f>
        <v/>
      </c>
      <c r="L26" s="79" t="str">
        <f aca="false">IF(OR(Tasks!$D30="",N(Tasks!$Q30)=0),"",Tasks!$Q30)</f>
        <v/>
      </c>
      <c r="M26" s="79" t="n">
        <f aca="false">IF(Tasks!$D30="","",Tasks!$N30)</f>
        <v>46371</v>
      </c>
      <c r="N26" s="79" t="n">
        <f aca="false">IF(Tasks!$D30="","",Tasks!$O30)</f>
        <v>46371</v>
      </c>
      <c r="O26" s="26" t="str">
        <f aca="false">IF(OR(Tasks!$D30="",Tasks!$AI30),"",IF(AND(Tasks!$E30&lt;&gt;"Manual",N(Tasks!$M30)&gt;0),"Start No Earlier Than","As Soon As Possible"))</f>
        <v>As Soon As Possible</v>
      </c>
      <c r="P26" s="79" t="str">
        <f aca="false">IF(OR(Tasks!$D30="",Tasks!$AI30,N(Tasks!$M30)=0,Tasks!$E30="Manual"),"",Tasks!$M30)</f>
        <v/>
      </c>
      <c r="Q26" s="26" t="str">
        <f aca="false">IF(Tasks!$D30="","",Tasks!$AD30&amp;"")</f>
        <v>Milestone</v>
      </c>
    </row>
    <row r="27" customFormat="false" ht="15" hidden="false" customHeight="false" outlineLevel="0" collapsed="false">
      <c r="A27" s="26" t="n">
        <f aca="false">IF(Tasks!$D31="","",Tasks!$A31)</f>
        <v>26</v>
      </c>
      <c r="B27" s="26" t="str">
        <f aca="false">IF(Tasks!$D31="","",Tasks!$D31)</f>
        <v>Hypercare support</v>
      </c>
      <c r="C27" s="26" t="n">
        <f aca="false">IF(Tasks!$D31="","",Tasks!$AE31)</f>
        <v>2</v>
      </c>
      <c r="D27" s="26" t="str">
        <f aca="false">IF(Tasks!$D31="","",IF(Tasks!$E31="Manual","Manually Scheduled","Auto Scheduled"))</f>
        <v>Auto Scheduled</v>
      </c>
      <c r="E27" s="26" t="str">
        <f aca="false">IF(OR(Tasks!$D31="",Tasks!$AI31),"",N(Tasks!$F31)&amp;"d")</f>
        <v>10d</v>
      </c>
      <c r="F27" s="79" t="n">
        <f aca="false">IF(Tasks!$D31="","",Tasks!$R31)</f>
        <v>46372</v>
      </c>
      <c r="G27" s="79" t="n">
        <f aca="false">IF(Tasks!$D31="","",Tasks!$S31)</f>
        <v>46391</v>
      </c>
      <c r="H27" s="26" t="str">
        <f aca="false">IF(OR(Tasks!$D31="",Tasks!$AI31),"",Tasks!$AC31)</f>
        <v>25</v>
      </c>
      <c r="I27" s="26" t="str">
        <f aca="false">IF(OR(Tasks!$D31="",Tasks!$X31=""),"",Tasks!$X31&amp;IF(OR(Tasks!$Y31="",Tasks!$Y31=1),"","["&amp;ROUND(Tasks!$Y31*100,0)&amp;"%]"))</f>
        <v>Jordan Lee[50%]</v>
      </c>
      <c r="J27" s="26" t="n">
        <f aca="false">IF(OR(Tasks!$D31="",Tasks!$AI31),"",ROUND(Tasks!$V31*100,0))</f>
        <v>0</v>
      </c>
      <c r="K27" s="79" t="str">
        <f aca="false">IF(OR(Tasks!$D31="",N(Tasks!$P31)=0),"",Tasks!$P31)</f>
        <v/>
      </c>
      <c r="L27" s="79" t="str">
        <f aca="false">IF(OR(Tasks!$D31="",N(Tasks!$Q31)=0),"",Tasks!$Q31)</f>
        <v/>
      </c>
      <c r="M27" s="79" t="n">
        <f aca="false">IF(Tasks!$D31="","",Tasks!$N31)</f>
        <v>46372</v>
      </c>
      <c r="N27" s="79" t="n">
        <f aca="false">IF(Tasks!$D31="","",Tasks!$O31)</f>
        <v>46391</v>
      </c>
      <c r="O27" s="26" t="str">
        <f aca="false">IF(OR(Tasks!$D31="",Tasks!$AI31),"",IF(AND(Tasks!$E31&lt;&gt;"Manual",N(Tasks!$M31)&gt;0),"Start No Earlier Than","As Soon As Possible"))</f>
        <v>As Soon As Possible</v>
      </c>
      <c r="P27" s="79" t="str">
        <f aca="false">IF(OR(Tasks!$D31="",Tasks!$AI31,N(Tasks!$M31)=0,Tasks!$E31="Manual"),"",Tasks!$M31)</f>
        <v/>
      </c>
      <c r="Q27" s="26" t="str">
        <f aca="false">IF(Tasks!$D31="","",Tasks!$AD31&amp;"")</f>
        <v/>
      </c>
    </row>
    <row r="28" customFormat="false" ht="15" hidden="false" customHeight="false" outlineLevel="0" collapsed="false">
      <c r="A28" s="26" t="n">
        <f aca="false">IF(Tasks!$D32="","",Tasks!$A32)</f>
        <v>27</v>
      </c>
      <c r="B28" s="26" t="str">
        <f aca="false">IF(Tasks!$D32="","",Tasks!$D32)</f>
        <v>Project Close</v>
      </c>
      <c r="C28" s="26" t="n">
        <f aca="false">IF(Tasks!$D32="","",Tasks!$AE32)</f>
        <v>1</v>
      </c>
      <c r="D28" s="26" t="str">
        <f aca="false">IF(Tasks!$D32="","",IF(Tasks!$E32="Manual","Manually Scheduled","Auto Scheduled"))</f>
        <v>Auto Scheduled</v>
      </c>
      <c r="E28" s="26" t="str">
        <f aca="false">IF(OR(Tasks!$D32="",Tasks!$AI32),"",N(Tasks!$F32)&amp;"d")</f>
        <v/>
      </c>
      <c r="F28" s="79" t="n">
        <f aca="false">IF(Tasks!$D32="","",Tasks!$R32)</f>
        <v>46342</v>
      </c>
      <c r="G28" s="79" t="n">
        <f aca="false">IF(Tasks!$D32="","",Tasks!$S32)</f>
        <v>46393</v>
      </c>
      <c r="H28" s="26" t="str">
        <f aca="false">IF(OR(Tasks!$D32="",Tasks!$AI32),"",Tasks!$AC32)</f>
        <v/>
      </c>
      <c r="I28" s="26" t="str">
        <f aca="false">IF(OR(Tasks!$D32="",Tasks!$X32=""),"",Tasks!$X32&amp;IF(OR(Tasks!$Y32="",Tasks!$Y32=1),"","["&amp;ROUND(Tasks!$Y32*100,0)&amp;"%]"))</f>
        <v/>
      </c>
      <c r="J28" s="26" t="str">
        <f aca="false">IF(OR(Tasks!$D32="",Tasks!$AI32),"",ROUND(Tasks!$V32*100,0))</f>
        <v/>
      </c>
      <c r="K28" s="79" t="str">
        <f aca="false">IF(OR(Tasks!$D32="",N(Tasks!$P32)=0),"",Tasks!$P32)</f>
        <v/>
      </c>
      <c r="L28" s="79" t="str">
        <f aca="false">IF(OR(Tasks!$D32="",N(Tasks!$Q32)=0),"",Tasks!$Q32)</f>
        <v/>
      </c>
      <c r="M28" s="79" t="n">
        <f aca="false">IF(Tasks!$D32="","",Tasks!$N32)</f>
        <v>46342</v>
      </c>
      <c r="N28" s="79" t="n">
        <f aca="false">IF(Tasks!$D32="","",Tasks!$O32)</f>
        <v>46393</v>
      </c>
      <c r="O28" s="26" t="str">
        <f aca="false">IF(OR(Tasks!$D32="",Tasks!$AI32),"",IF(AND(Tasks!$E32&lt;&gt;"Manual",N(Tasks!$M32)&gt;0),"Start No Earlier Than","As Soon As Possible"))</f>
        <v/>
      </c>
      <c r="P28" s="79" t="str">
        <f aca="false">IF(OR(Tasks!$D32="",Tasks!$AI32,N(Tasks!$M32)=0,Tasks!$E32="Manual"),"",Tasks!$M32)</f>
        <v/>
      </c>
      <c r="Q28" s="26" t="str">
        <f aca="false">IF(Tasks!$D32="","",Tasks!$AD32&amp;"")</f>
        <v/>
      </c>
    </row>
    <row r="29" customFormat="false" ht="15" hidden="false" customHeight="false" outlineLevel="0" collapsed="false">
      <c r="A29" s="26" t="n">
        <f aca="false">IF(Tasks!$D33="","",Tasks!$A33)</f>
        <v>28</v>
      </c>
      <c r="B29" s="26" t="str">
        <f aca="false">IF(Tasks!$D33="","",Tasks!$D33)</f>
        <v>Steering committee update</v>
      </c>
      <c r="C29" s="26" t="n">
        <f aca="false">IF(Tasks!$D33="","",Tasks!$AE33)</f>
        <v>2</v>
      </c>
      <c r="D29" s="26" t="str">
        <f aca="false">IF(Tasks!$D33="","",IF(Tasks!$E33="Manual","Manually Scheduled","Auto Scheduled"))</f>
        <v>Manually Scheduled</v>
      </c>
      <c r="E29" s="26" t="str">
        <f aca="false">IF(OR(Tasks!$D33="",Tasks!$AI33),"",N(Tasks!$F33)&amp;"d")</f>
        <v>1d</v>
      </c>
      <c r="F29" s="79" t="n">
        <f aca="false">IF(Tasks!$D33="","",Tasks!$R33)</f>
        <v>46342</v>
      </c>
      <c r="G29" s="79" t="n">
        <f aca="false">IF(Tasks!$D33="","",Tasks!$S33)</f>
        <v>46342</v>
      </c>
      <c r="H29" s="26" t="str">
        <f aca="false">IF(OR(Tasks!$D33="",Tasks!$AI33),"",Tasks!$AC33)</f>
        <v/>
      </c>
      <c r="I29" s="26" t="str">
        <f aca="false">IF(OR(Tasks!$D33="",Tasks!$X33=""),"",Tasks!$X33&amp;IF(OR(Tasks!$Y33="",Tasks!$Y33=1),"","["&amp;ROUND(Tasks!$Y33*100,0)&amp;"%]"))</f>
        <v>Priya Sharma</v>
      </c>
      <c r="J29" s="26" t="n">
        <f aca="false">IF(OR(Tasks!$D33="",Tasks!$AI33),"",ROUND(Tasks!$V33*100,0))</f>
        <v>0</v>
      </c>
      <c r="K29" s="79" t="str">
        <f aca="false">IF(OR(Tasks!$D33="",N(Tasks!$P33)=0),"",Tasks!$P33)</f>
        <v/>
      </c>
      <c r="L29" s="79" t="str">
        <f aca="false">IF(OR(Tasks!$D33="",N(Tasks!$Q33)=0),"",Tasks!$Q33)</f>
        <v/>
      </c>
      <c r="M29" s="79" t="n">
        <f aca="false">IF(Tasks!$D33="","",Tasks!$N33)</f>
        <v>46342</v>
      </c>
      <c r="N29" s="79" t="n">
        <f aca="false">IF(Tasks!$D33="","",Tasks!$O33)</f>
        <v>46342</v>
      </c>
      <c r="O29" s="26" t="str">
        <f aca="false">IF(OR(Tasks!$D33="",Tasks!$AI33),"",IF(AND(Tasks!$E33&lt;&gt;"Manual",N(Tasks!$M33)&gt;0),"Start No Earlier Than","As Soon As Possible"))</f>
        <v>As Soon As Possible</v>
      </c>
      <c r="P29" s="79" t="str">
        <f aca="false">IF(OR(Tasks!$D33="",Tasks!$AI33,N(Tasks!$M33)=0,Tasks!$E33="Manual"),"",Tasks!$M33)</f>
        <v/>
      </c>
      <c r="Q29" s="26" t="str">
        <f aca="false">IF(Tasks!$D33="","",Tasks!$AD33&amp;"")</f>
        <v>Manual mode example: fixed on the date in the Start No Earlier Than / Manual Start column.</v>
      </c>
    </row>
    <row r="30" customFormat="false" ht="15" hidden="false" customHeight="false" outlineLevel="0" collapsed="false">
      <c r="A30" s="26" t="n">
        <f aca="false">IF(Tasks!$D34="","",Tasks!$A34)</f>
        <v>29</v>
      </c>
      <c r="B30" s="26" t="str">
        <f aca="false">IF(Tasks!$D34="","",Tasks!$D34)</f>
        <v>Lessons learned</v>
      </c>
      <c r="C30" s="26" t="n">
        <f aca="false">IF(Tasks!$D34="","",Tasks!$AE34)</f>
        <v>2</v>
      </c>
      <c r="D30" s="26" t="str">
        <f aca="false">IF(Tasks!$D34="","",IF(Tasks!$E34="Manual","Manually Scheduled","Auto Scheduled"))</f>
        <v>Auto Scheduled</v>
      </c>
      <c r="E30" s="26" t="str">
        <f aca="false">IF(OR(Tasks!$D34="",Tasks!$AI34),"",N(Tasks!$F34)&amp;"d")</f>
        <v>2d</v>
      </c>
      <c r="F30" s="79" t="n">
        <f aca="false">IF(Tasks!$D34="","",Tasks!$R34)</f>
        <v>46392</v>
      </c>
      <c r="G30" s="79" t="n">
        <f aca="false">IF(Tasks!$D34="","",Tasks!$S34)</f>
        <v>46393</v>
      </c>
      <c r="H30" s="26" t="str">
        <f aca="false">IF(OR(Tasks!$D34="",Tasks!$AI34),"",Tasks!$AC34)</f>
        <v>26</v>
      </c>
      <c r="I30" s="26" t="str">
        <f aca="false">IF(OR(Tasks!$D34="",Tasks!$X34=""),"",Tasks!$X34&amp;IF(OR(Tasks!$Y34="",Tasks!$Y34=1),"","["&amp;ROUND(Tasks!$Y34*100,0)&amp;"%]"))</f>
        <v>Priya Sharma</v>
      </c>
      <c r="J30" s="26" t="n">
        <f aca="false">IF(OR(Tasks!$D34="",Tasks!$AI34),"",ROUND(Tasks!$V34*100,0))</f>
        <v>0</v>
      </c>
      <c r="K30" s="79" t="str">
        <f aca="false">IF(OR(Tasks!$D34="",N(Tasks!$P34)=0),"",Tasks!$P34)</f>
        <v/>
      </c>
      <c r="L30" s="79" t="str">
        <f aca="false">IF(OR(Tasks!$D34="",N(Tasks!$Q34)=0),"",Tasks!$Q34)</f>
        <v/>
      </c>
      <c r="M30" s="79" t="n">
        <f aca="false">IF(Tasks!$D34="","",Tasks!$N34)</f>
        <v>46392</v>
      </c>
      <c r="N30" s="79" t="n">
        <f aca="false">IF(Tasks!$D34="","",Tasks!$O34)</f>
        <v>46393</v>
      </c>
      <c r="O30" s="26" t="str">
        <f aca="false">IF(OR(Tasks!$D34="",Tasks!$AI34),"",IF(AND(Tasks!$E34&lt;&gt;"Manual",N(Tasks!$M34)&gt;0),"Start No Earlier Than","As Soon As Possible"))</f>
        <v>As Soon As Possible</v>
      </c>
      <c r="P30" s="79" t="str">
        <f aca="false">IF(OR(Tasks!$D34="",Tasks!$AI34,N(Tasks!$M34)=0,Tasks!$E34="Manual"),"",Tasks!$M34)</f>
        <v/>
      </c>
      <c r="Q30" s="26" t="str">
        <f aca="false">IF(Tasks!$D34="","",Tasks!$AD34&amp;"")</f>
        <v/>
      </c>
    </row>
    <row r="31" customFormat="false" ht="15" hidden="false" customHeight="false" outlineLevel="0" collapsed="false">
      <c r="A31" s="26" t="n">
        <f aca="false">IF(Tasks!$D35="","",Tasks!$A35)</f>
        <v>30</v>
      </c>
      <c r="B31" s="26" t="str">
        <f aca="false">IF(Tasks!$D35="","",Tasks!$D35)</f>
        <v>Project closed</v>
      </c>
      <c r="C31" s="26" t="n">
        <f aca="false">IF(Tasks!$D35="","",Tasks!$AE35)</f>
        <v>2</v>
      </c>
      <c r="D31" s="26" t="str">
        <f aca="false">IF(Tasks!$D35="","",IF(Tasks!$E35="Manual","Manually Scheduled","Auto Scheduled"))</f>
        <v>Auto Scheduled</v>
      </c>
      <c r="E31" s="26" t="str">
        <f aca="false">IF(OR(Tasks!$D35="",Tasks!$AI35),"",N(Tasks!$F35)&amp;"d")</f>
        <v>0d</v>
      </c>
      <c r="F31" s="79" t="n">
        <f aca="false">IF(Tasks!$D35="","",Tasks!$R35)</f>
        <v>46393</v>
      </c>
      <c r="G31" s="79" t="n">
        <f aca="false">IF(Tasks!$D35="","",Tasks!$S35)</f>
        <v>46393</v>
      </c>
      <c r="H31" s="26" t="str">
        <f aca="false">IF(OR(Tasks!$D35="",Tasks!$AI35),"",Tasks!$AC35)</f>
        <v>29</v>
      </c>
      <c r="I31" s="26" t="str">
        <f aca="false">IF(OR(Tasks!$D35="",Tasks!$X35=""),"",Tasks!$X35&amp;IF(OR(Tasks!$Y35="",Tasks!$Y35=1),"","["&amp;ROUND(Tasks!$Y35*100,0)&amp;"%]"))</f>
        <v/>
      </c>
      <c r="J31" s="26" t="n">
        <f aca="false">IF(OR(Tasks!$D35="",Tasks!$AI35),"",ROUND(Tasks!$V35*100,0))</f>
        <v>0</v>
      </c>
      <c r="K31" s="79" t="str">
        <f aca="false">IF(OR(Tasks!$D35="",N(Tasks!$P35)=0),"",Tasks!$P35)</f>
        <v/>
      </c>
      <c r="L31" s="79" t="str">
        <f aca="false">IF(OR(Tasks!$D35="",N(Tasks!$Q35)=0),"",Tasks!$Q35)</f>
        <v/>
      </c>
      <c r="M31" s="79" t="n">
        <f aca="false">IF(Tasks!$D35="","",Tasks!$N35)</f>
        <v>46393</v>
      </c>
      <c r="N31" s="79" t="n">
        <f aca="false">IF(Tasks!$D35="","",Tasks!$O35)</f>
        <v>46393</v>
      </c>
      <c r="O31" s="26" t="str">
        <f aca="false">IF(OR(Tasks!$D35="",Tasks!$AI35),"",IF(AND(Tasks!$E35&lt;&gt;"Manual",N(Tasks!$M35)&gt;0),"Start No Earlier Than","As Soon As Possible"))</f>
        <v>As Soon As Possible</v>
      </c>
      <c r="P31" s="79" t="str">
        <f aca="false">IF(OR(Tasks!$D35="",Tasks!$AI35,N(Tasks!$M35)=0,Tasks!$E35="Manual"),"",Tasks!$M35)</f>
        <v/>
      </c>
      <c r="Q31" s="26" t="str">
        <f aca="false">IF(Tasks!$D35="","",Tasks!$AD35&amp;"")</f>
        <v>Milestone</v>
      </c>
    </row>
    <row r="32" customFormat="false" ht="15" hidden="false" customHeight="false" outlineLevel="0" collapsed="false">
      <c r="A32" s="26" t="str">
        <f aca="false">IF(Tasks!$D36="","",Tasks!$A36)</f>
        <v/>
      </c>
      <c r="B32" s="26" t="str">
        <f aca="false">IF(Tasks!$D36="","",Tasks!$D36)</f>
        <v/>
      </c>
      <c r="C32" s="26" t="str">
        <f aca="false">IF(Tasks!$D36="","",Tasks!$AE36)</f>
        <v/>
      </c>
      <c r="D32" s="26" t="str">
        <f aca="false">IF(Tasks!$D36="","",IF(Tasks!$E36="Manual","Manually Scheduled","Auto Scheduled"))</f>
        <v/>
      </c>
      <c r="E32" s="26" t="str">
        <f aca="false">IF(OR(Tasks!$D36="",Tasks!$AI36),"",N(Tasks!$F36)&amp;"d")</f>
        <v/>
      </c>
      <c r="F32" s="79" t="str">
        <f aca="false">IF(Tasks!$D36="","",Tasks!$R36)</f>
        <v/>
      </c>
      <c r="G32" s="79" t="str">
        <f aca="false">IF(Tasks!$D36="","",Tasks!$S36)</f>
        <v/>
      </c>
      <c r="H32" s="26" t="str">
        <f aca="false">IF(OR(Tasks!$D36="",Tasks!$AI36),"",Tasks!$AC36)</f>
        <v/>
      </c>
      <c r="I32" s="26" t="str">
        <f aca="false">IF(OR(Tasks!$D36="",Tasks!$X36=""),"",Tasks!$X36&amp;IF(OR(Tasks!$Y36="",Tasks!$Y36=1),"","["&amp;ROUND(Tasks!$Y36*100,0)&amp;"%]"))</f>
        <v/>
      </c>
      <c r="J32" s="26" t="str">
        <f aca="false">IF(OR(Tasks!$D36="",Tasks!$AI36),"",ROUND(Tasks!$V36*100,0))</f>
        <v/>
      </c>
      <c r="K32" s="79" t="str">
        <f aca="false">IF(OR(Tasks!$D36="",N(Tasks!$P36)=0),"",Tasks!$P36)</f>
        <v/>
      </c>
      <c r="L32" s="79" t="str">
        <f aca="false">IF(OR(Tasks!$D36="",N(Tasks!$Q36)=0),"",Tasks!$Q36)</f>
        <v/>
      </c>
      <c r="M32" s="79" t="str">
        <f aca="false">IF(Tasks!$D36="","",Tasks!$N36)</f>
        <v/>
      </c>
      <c r="N32" s="79" t="str">
        <f aca="false">IF(Tasks!$D36="","",Tasks!$O36)</f>
        <v/>
      </c>
      <c r="O32" s="26" t="str">
        <f aca="false">IF(OR(Tasks!$D36="",Tasks!$AI36),"",IF(AND(Tasks!$E36&lt;&gt;"Manual",N(Tasks!$M36)&gt;0),"Start No Earlier Than","As Soon As Possible"))</f>
        <v/>
      </c>
      <c r="P32" s="79" t="str">
        <f aca="false">IF(OR(Tasks!$D36="",Tasks!$AI36,N(Tasks!$M36)=0,Tasks!$E36="Manual"),"",Tasks!$M36)</f>
        <v/>
      </c>
      <c r="Q32" s="26" t="str">
        <f aca="false">IF(Tasks!$D36="","",Tasks!$AD36&amp;"")</f>
        <v/>
      </c>
    </row>
    <row r="33" customFormat="false" ht="15" hidden="false" customHeight="false" outlineLevel="0" collapsed="false">
      <c r="A33" s="26" t="str">
        <f aca="false">IF(Tasks!$D37="","",Tasks!$A37)</f>
        <v/>
      </c>
      <c r="B33" s="26" t="str">
        <f aca="false">IF(Tasks!$D37="","",Tasks!$D37)</f>
        <v/>
      </c>
      <c r="C33" s="26" t="str">
        <f aca="false">IF(Tasks!$D37="","",Tasks!$AE37)</f>
        <v/>
      </c>
      <c r="D33" s="26" t="str">
        <f aca="false">IF(Tasks!$D37="","",IF(Tasks!$E37="Manual","Manually Scheduled","Auto Scheduled"))</f>
        <v/>
      </c>
      <c r="E33" s="26" t="str">
        <f aca="false">IF(OR(Tasks!$D37="",Tasks!$AI37),"",N(Tasks!$F37)&amp;"d")</f>
        <v/>
      </c>
      <c r="F33" s="79" t="str">
        <f aca="false">IF(Tasks!$D37="","",Tasks!$R37)</f>
        <v/>
      </c>
      <c r="G33" s="79" t="str">
        <f aca="false">IF(Tasks!$D37="","",Tasks!$S37)</f>
        <v/>
      </c>
      <c r="H33" s="26" t="str">
        <f aca="false">IF(OR(Tasks!$D37="",Tasks!$AI37),"",Tasks!$AC37)</f>
        <v/>
      </c>
      <c r="I33" s="26" t="str">
        <f aca="false">IF(OR(Tasks!$D37="",Tasks!$X37=""),"",Tasks!$X37&amp;IF(OR(Tasks!$Y37="",Tasks!$Y37=1),"","["&amp;ROUND(Tasks!$Y37*100,0)&amp;"%]"))</f>
        <v/>
      </c>
      <c r="J33" s="26" t="str">
        <f aca="false">IF(OR(Tasks!$D37="",Tasks!$AI37),"",ROUND(Tasks!$V37*100,0))</f>
        <v/>
      </c>
      <c r="K33" s="79" t="str">
        <f aca="false">IF(OR(Tasks!$D37="",N(Tasks!$P37)=0),"",Tasks!$P37)</f>
        <v/>
      </c>
      <c r="L33" s="79" t="str">
        <f aca="false">IF(OR(Tasks!$D37="",N(Tasks!$Q37)=0),"",Tasks!$Q37)</f>
        <v/>
      </c>
      <c r="M33" s="79" t="str">
        <f aca="false">IF(Tasks!$D37="","",Tasks!$N37)</f>
        <v/>
      </c>
      <c r="N33" s="79" t="str">
        <f aca="false">IF(Tasks!$D37="","",Tasks!$O37)</f>
        <v/>
      </c>
      <c r="O33" s="26" t="str">
        <f aca="false">IF(OR(Tasks!$D37="",Tasks!$AI37),"",IF(AND(Tasks!$E37&lt;&gt;"Manual",N(Tasks!$M37)&gt;0),"Start No Earlier Than","As Soon As Possible"))</f>
        <v/>
      </c>
      <c r="P33" s="79" t="str">
        <f aca="false">IF(OR(Tasks!$D37="",Tasks!$AI37,N(Tasks!$M37)=0,Tasks!$E37="Manual"),"",Tasks!$M37)</f>
        <v/>
      </c>
      <c r="Q33" s="26" t="str">
        <f aca="false">IF(Tasks!$D37="","",Tasks!$AD37&amp;"")</f>
        <v/>
      </c>
    </row>
    <row r="34" customFormat="false" ht="15" hidden="false" customHeight="false" outlineLevel="0" collapsed="false">
      <c r="A34" s="26" t="str">
        <f aca="false">IF(Tasks!$D38="","",Tasks!$A38)</f>
        <v/>
      </c>
      <c r="B34" s="26" t="str">
        <f aca="false">IF(Tasks!$D38="","",Tasks!$D38)</f>
        <v/>
      </c>
      <c r="C34" s="26" t="str">
        <f aca="false">IF(Tasks!$D38="","",Tasks!$AE38)</f>
        <v/>
      </c>
      <c r="D34" s="26" t="str">
        <f aca="false">IF(Tasks!$D38="","",IF(Tasks!$E38="Manual","Manually Scheduled","Auto Scheduled"))</f>
        <v/>
      </c>
      <c r="E34" s="26" t="str">
        <f aca="false">IF(OR(Tasks!$D38="",Tasks!$AI38),"",N(Tasks!$F38)&amp;"d")</f>
        <v/>
      </c>
      <c r="F34" s="79" t="str">
        <f aca="false">IF(Tasks!$D38="","",Tasks!$R38)</f>
        <v/>
      </c>
      <c r="G34" s="79" t="str">
        <f aca="false">IF(Tasks!$D38="","",Tasks!$S38)</f>
        <v/>
      </c>
      <c r="H34" s="26" t="str">
        <f aca="false">IF(OR(Tasks!$D38="",Tasks!$AI38),"",Tasks!$AC38)</f>
        <v/>
      </c>
      <c r="I34" s="26" t="str">
        <f aca="false">IF(OR(Tasks!$D38="",Tasks!$X38=""),"",Tasks!$X38&amp;IF(OR(Tasks!$Y38="",Tasks!$Y38=1),"","["&amp;ROUND(Tasks!$Y38*100,0)&amp;"%]"))</f>
        <v/>
      </c>
      <c r="J34" s="26" t="str">
        <f aca="false">IF(OR(Tasks!$D38="",Tasks!$AI38),"",ROUND(Tasks!$V38*100,0))</f>
        <v/>
      </c>
      <c r="K34" s="79" t="str">
        <f aca="false">IF(OR(Tasks!$D38="",N(Tasks!$P38)=0),"",Tasks!$P38)</f>
        <v/>
      </c>
      <c r="L34" s="79" t="str">
        <f aca="false">IF(OR(Tasks!$D38="",N(Tasks!$Q38)=0),"",Tasks!$Q38)</f>
        <v/>
      </c>
      <c r="M34" s="79" t="str">
        <f aca="false">IF(Tasks!$D38="","",Tasks!$N38)</f>
        <v/>
      </c>
      <c r="N34" s="79" t="str">
        <f aca="false">IF(Tasks!$D38="","",Tasks!$O38)</f>
        <v/>
      </c>
      <c r="O34" s="26" t="str">
        <f aca="false">IF(OR(Tasks!$D38="",Tasks!$AI38),"",IF(AND(Tasks!$E38&lt;&gt;"Manual",N(Tasks!$M38)&gt;0),"Start No Earlier Than","As Soon As Possible"))</f>
        <v/>
      </c>
      <c r="P34" s="79" t="str">
        <f aca="false">IF(OR(Tasks!$D38="",Tasks!$AI38,N(Tasks!$M38)=0,Tasks!$E38="Manual"),"",Tasks!$M38)</f>
        <v/>
      </c>
      <c r="Q34" s="26" t="str">
        <f aca="false">IF(Tasks!$D38="","",Tasks!$AD38&amp;"")</f>
        <v/>
      </c>
    </row>
    <row r="35" customFormat="false" ht="15" hidden="false" customHeight="false" outlineLevel="0" collapsed="false">
      <c r="A35" s="26" t="str">
        <f aca="false">IF(Tasks!$D39="","",Tasks!$A39)</f>
        <v/>
      </c>
      <c r="B35" s="26" t="str">
        <f aca="false">IF(Tasks!$D39="","",Tasks!$D39)</f>
        <v/>
      </c>
      <c r="C35" s="26" t="str">
        <f aca="false">IF(Tasks!$D39="","",Tasks!$AE39)</f>
        <v/>
      </c>
      <c r="D35" s="26" t="str">
        <f aca="false">IF(Tasks!$D39="","",IF(Tasks!$E39="Manual","Manually Scheduled","Auto Scheduled"))</f>
        <v/>
      </c>
      <c r="E35" s="26" t="str">
        <f aca="false">IF(OR(Tasks!$D39="",Tasks!$AI39),"",N(Tasks!$F39)&amp;"d")</f>
        <v/>
      </c>
      <c r="F35" s="79" t="str">
        <f aca="false">IF(Tasks!$D39="","",Tasks!$R39)</f>
        <v/>
      </c>
      <c r="G35" s="79" t="str">
        <f aca="false">IF(Tasks!$D39="","",Tasks!$S39)</f>
        <v/>
      </c>
      <c r="H35" s="26" t="str">
        <f aca="false">IF(OR(Tasks!$D39="",Tasks!$AI39),"",Tasks!$AC39)</f>
        <v/>
      </c>
      <c r="I35" s="26" t="str">
        <f aca="false">IF(OR(Tasks!$D39="",Tasks!$X39=""),"",Tasks!$X39&amp;IF(OR(Tasks!$Y39="",Tasks!$Y39=1),"","["&amp;ROUND(Tasks!$Y39*100,0)&amp;"%]"))</f>
        <v/>
      </c>
      <c r="J35" s="26" t="str">
        <f aca="false">IF(OR(Tasks!$D39="",Tasks!$AI39),"",ROUND(Tasks!$V39*100,0))</f>
        <v/>
      </c>
      <c r="K35" s="79" t="str">
        <f aca="false">IF(OR(Tasks!$D39="",N(Tasks!$P39)=0),"",Tasks!$P39)</f>
        <v/>
      </c>
      <c r="L35" s="79" t="str">
        <f aca="false">IF(OR(Tasks!$D39="",N(Tasks!$Q39)=0),"",Tasks!$Q39)</f>
        <v/>
      </c>
      <c r="M35" s="79" t="str">
        <f aca="false">IF(Tasks!$D39="","",Tasks!$N39)</f>
        <v/>
      </c>
      <c r="N35" s="79" t="str">
        <f aca="false">IF(Tasks!$D39="","",Tasks!$O39)</f>
        <v/>
      </c>
      <c r="O35" s="26" t="str">
        <f aca="false">IF(OR(Tasks!$D39="",Tasks!$AI39),"",IF(AND(Tasks!$E39&lt;&gt;"Manual",N(Tasks!$M39)&gt;0),"Start No Earlier Than","As Soon As Possible"))</f>
        <v/>
      </c>
      <c r="P35" s="79" t="str">
        <f aca="false">IF(OR(Tasks!$D39="",Tasks!$AI39,N(Tasks!$M39)=0,Tasks!$E39="Manual"),"",Tasks!$M39)</f>
        <v/>
      </c>
      <c r="Q35" s="26" t="str">
        <f aca="false">IF(Tasks!$D39="","",Tasks!$AD39&amp;"")</f>
        <v/>
      </c>
    </row>
    <row r="36" customFormat="false" ht="15" hidden="false" customHeight="false" outlineLevel="0" collapsed="false">
      <c r="A36" s="26" t="str">
        <f aca="false">IF(Tasks!$D40="","",Tasks!$A40)</f>
        <v/>
      </c>
      <c r="B36" s="26" t="str">
        <f aca="false">IF(Tasks!$D40="","",Tasks!$D40)</f>
        <v/>
      </c>
      <c r="C36" s="26" t="str">
        <f aca="false">IF(Tasks!$D40="","",Tasks!$AE40)</f>
        <v/>
      </c>
      <c r="D36" s="26" t="str">
        <f aca="false">IF(Tasks!$D40="","",IF(Tasks!$E40="Manual","Manually Scheduled","Auto Scheduled"))</f>
        <v/>
      </c>
      <c r="E36" s="26" t="str">
        <f aca="false">IF(OR(Tasks!$D40="",Tasks!$AI40),"",N(Tasks!$F40)&amp;"d")</f>
        <v/>
      </c>
      <c r="F36" s="79" t="str">
        <f aca="false">IF(Tasks!$D40="","",Tasks!$R40)</f>
        <v/>
      </c>
      <c r="G36" s="79" t="str">
        <f aca="false">IF(Tasks!$D40="","",Tasks!$S40)</f>
        <v/>
      </c>
      <c r="H36" s="26" t="str">
        <f aca="false">IF(OR(Tasks!$D40="",Tasks!$AI40),"",Tasks!$AC40)</f>
        <v/>
      </c>
      <c r="I36" s="26" t="str">
        <f aca="false">IF(OR(Tasks!$D40="",Tasks!$X40=""),"",Tasks!$X40&amp;IF(OR(Tasks!$Y40="",Tasks!$Y40=1),"","["&amp;ROUND(Tasks!$Y40*100,0)&amp;"%]"))</f>
        <v/>
      </c>
      <c r="J36" s="26" t="str">
        <f aca="false">IF(OR(Tasks!$D40="",Tasks!$AI40),"",ROUND(Tasks!$V40*100,0))</f>
        <v/>
      </c>
      <c r="K36" s="79" t="str">
        <f aca="false">IF(OR(Tasks!$D40="",N(Tasks!$P40)=0),"",Tasks!$P40)</f>
        <v/>
      </c>
      <c r="L36" s="79" t="str">
        <f aca="false">IF(OR(Tasks!$D40="",N(Tasks!$Q40)=0),"",Tasks!$Q40)</f>
        <v/>
      </c>
      <c r="M36" s="79" t="str">
        <f aca="false">IF(Tasks!$D40="","",Tasks!$N40)</f>
        <v/>
      </c>
      <c r="N36" s="79" t="str">
        <f aca="false">IF(Tasks!$D40="","",Tasks!$O40)</f>
        <v/>
      </c>
      <c r="O36" s="26" t="str">
        <f aca="false">IF(OR(Tasks!$D40="",Tasks!$AI40),"",IF(AND(Tasks!$E40&lt;&gt;"Manual",N(Tasks!$M40)&gt;0),"Start No Earlier Than","As Soon As Possible"))</f>
        <v/>
      </c>
      <c r="P36" s="79" t="str">
        <f aca="false">IF(OR(Tasks!$D40="",Tasks!$AI40,N(Tasks!$M40)=0,Tasks!$E40="Manual"),"",Tasks!$M40)</f>
        <v/>
      </c>
      <c r="Q36" s="26" t="str">
        <f aca="false">IF(Tasks!$D40="","",Tasks!$AD40&amp;"")</f>
        <v/>
      </c>
    </row>
    <row r="37" customFormat="false" ht="15" hidden="false" customHeight="false" outlineLevel="0" collapsed="false">
      <c r="A37" s="26" t="str">
        <f aca="false">IF(Tasks!$D41="","",Tasks!$A41)</f>
        <v/>
      </c>
      <c r="B37" s="26" t="str">
        <f aca="false">IF(Tasks!$D41="","",Tasks!$D41)</f>
        <v/>
      </c>
      <c r="C37" s="26" t="str">
        <f aca="false">IF(Tasks!$D41="","",Tasks!$AE41)</f>
        <v/>
      </c>
      <c r="D37" s="26" t="str">
        <f aca="false">IF(Tasks!$D41="","",IF(Tasks!$E41="Manual","Manually Scheduled","Auto Scheduled"))</f>
        <v/>
      </c>
      <c r="E37" s="26" t="str">
        <f aca="false">IF(OR(Tasks!$D41="",Tasks!$AI41),"",N(Tasks!$F41)&amp;"d")</f>
        <v/>
      </c>
      <c r="F37" s="79" t="str">
        <f aca="false">IF(Tasks!$D41="","",Tasks!$R41)</f>
        <v/>
      </c>
      <c r="G37" s="79" t="str">
        <f aca="false">IF(Tasks!$D41="","",Tasks!$S41)</f>
        <v/>
      </c>
      <c r="H37" s="26" t="str">
        <f aca="false">IF(OR(Tasks!$D41="",Tasks!$AI41),"",Tasks!$AC41)</f>
        <v/>
      </c>
      <c r="I37" s="26" t="str">
        <f aca="false">IF(OR(Tasks!$D41="",Tasks!$X41=""),"",Tasks!$X41&amp;IF(OR(Tasks!$Y41="",Tasks!$Y41=1),"","["&amp;ROUND(Tasks!$Y41*100,0)&amp;"%]"))</f>
        <v/>
      </c>
      <c r="J37" s="26" t="str">
        <f aca="false">IF(OR(Tasks!$D41="",Tasks!$AI41),"",ROUND(Tasks!$V41*100,0))</f>
        <v/>
      </c>
      <c r="K37" s="79" t="str">
        <f aca="false">IF(OR(Tasks!$D41="",N(Tasks!$P41)=0),"",Tasks!$P41)</f>
        <v/>
      </c>
      <c r="L37" s="79" t="str">
        <f aca="false">IF(OR(Tasks!$D41="",N(Tasks!$Q41)=0),"",Tasks!$Q41)</f>
        <v/>
      </c>
      <c r="M37" s="79" t="str">
        <f aca="false">IF(Tasks!$D41="","",Tasks!$N41)</f>
        <v/>
      </c>
      <c r="N37" s="79" t="str">
        <f aca="false">IF(Tasks!$D41="","",Tasks!$O41)</f>
        <v/>
      </c>
      <c r="O37" s="26" t="str">
        <f aca="false">IF(OR(Tasks!$D41="",Tasks!$AI41),"",IF(AND(Tasks!$E41&lt;&gt;"Manual",N(Tasks!$M41)&gt;0),"Start No Earlier Than","As Soon As Possible"))</f>
        <v/>
      </c>
      <c r="P37" s="79" t="str">
        <f aca="false">IF(OR(Tasks!$D41="",Tasks!$AI41,N(Tasks!$M41)=0,Tasks!$E41="Manual"),"",Tasks!$M41)</f>
        <v/>
      </c>
      <c r="Q37" s="26" t="str">
        <f aca="false">IF(Tasks!$D41="","",Tasks!$AD41&amp;"")</f>
        <v/>
      </c>
    </row>
    <row r="38" customFormat="false" ht="15" hidden="false" customHeight="false" outlineLevel="0" collapsed="false">
      <c r="A38" s="26" t="str">
        <f aca="false">IF(Tasks!$D42="","",Tasks!$A42)</f>
        <v/>
      </c>
      <c r="B38" s="26" t="str">
        <f aca="false">IF(Tasks!$D42="","",Tasks!$D42)</f>
        <v/>
      </c>
      <c r="C38" s="26" t="str">
        <f aca="false">IF(Tasks!$D42="","",Tasks!$AE42)</f>
        <v/>
      </c>
      <c r="D38" s="26" t="str">
        <f aca="false">IF(Tasks!$D42="","",IF(Tasks!$E42="Manual","Manually Scheduled","Auto Scheduled"))</f>
        <v/>
      </c>
      <c r="E38" s="26" t="str">
        <f aca="false">IF(OR(Tasks!$D42="",Tasks!$AI42),"",N(Tasks!$F42)&amp;"d")</f>
        <v/>
      </c>
      <c r="F38" s="79" t="str">
        <f aca="false">IF(Tasks!$D42="","",Tasks!$R42)</f>
        <v/>
      </c>
      <c r="G38" s="79" t="str">
        <f aca="false">IF(Tasks!$D42="","",Tasks!$S42)</f>
        <v/>
      </c>
      <c r="H38" s="26" t="str">
        <f aca="false">IF(OR(Tasks!$D42="",Tasks!$AI42),"",Tasks!$AC42)</f>
        <v/>
      </c>
      <c r="I38" s="26" t="str">
        <f aca="false">IF(OR(Tasks!$D42="",Tasks!$X42=""),"",Tasks!$X42&amp;IF(OR(Tasks!$Y42="",Tasks!$Y42=1),"","["&amp;ROUND(Tasks!$Y42*100,0)&amp;"%]"))</f>
        <v/>
      </c>
      <c r="J38" s="26" t="str">
        <f aca="false">IF(OR(Tasks!$D42="",Tasks!$AI42),"",ROUND(Tasks!$V42*100,0))</f>
        <v/>
      </c>
      <c r="K38" s="79" t="str">
        <f aca="false">IF(OR(Tasks!$D42="",N(Tasks!$P42)=0),"",Tasks!$P42)</f>
        <v/>
      </c>
      <c r="L38" s="79" t="str">
        <f aca="false">IF(OR(Tasks!$D42="",N(Tasks!$Q42)=0),"",Tasks!$Q42)</f>
        <v/>
      </c>
      <c r="M38" s="79" t="str">
        <f aca="false">IF(Tasks!$D42="","",Tasks!$N42)</f>
        <v/>
      </c>
      <c r="N38" s="79" t="str">
        <f aca="false">IF(Tasks!$D42="","",Tasks!$O42)</f>
        <v/>
      </c>
      <c r="O38" s="26" t="str">
        <f aca="false">IF(OR(Tasks!$D42="",Tasks!$AI42),"",IF(AND(Tasks!$E42&lt;&gt;"Manual",N(Tasks!$M42)&gt;0),"Start No Earlier Than","As Soon As Possible"))</f>
        <v/>
      </c>
      <c r="P38" s="79" t="str">
        <f aca="false">IF(OR(Tasks!$D42="",Tasks!$AI42,N(Tasks!$M42)=0,Tasks!$E42="Manual"),"",Tasks!$M42)</f>
        <v/>
      </c>
      <c r="Q38" s="26" t="str">
        <f aca="false">IF(Tasks!$D42="","",Tasks!$AD42&amp;"")</f>
        <v/>
      </c>
    </row>
    <row r="39" customFormat="false" ht="15" hidden="false" customHeight="false" outlineLevel="0" collapsed="false">
      <c r="A39" s="26" t="str">
        <f aca="false">IF(Tasks!$D43="","",Tasks!$A43)</f>
        <v/>
      </c>
      <c r="B39" s="26" t="str">
        <f aca="false">IF(Tasks!$D43="","",Tasks!$D43)</f>
        <v/>
      </c>
      <c r="C39" s="26" t="str">
        <f aca="false">IF(Tasks!$D43="","",Tasks!$AE43)</f>
        <v/>
      </c>
      <c r="D39" s="26" t="str">
        <f aca="false">IF(Tasks!$D43="","",IF(Tasks!$E43="Manual","Manually Scheduled","Auto Scheduled"))</f>
        <v/>
      </c>
      <c r="E39" s="26" t="str">
        <f aca="false">IF(OR(Tasks!$D43="",Tasks!$AI43),"",N(Tasks!$F43)&amp;"d")</f>
        <v/>
      </c>
      <c r="F39" s="79" t="str">
        <f aca="false">IF(Tasks!$D43="","",Tasks!$R43)</f>
        <v/>
      </c>
      <c r="G39" s="79" t="str">
        <f aca="false">IF(Tasks!$D43="","",Tasks!$S43)</f>
        <v/>
      </c>
      <c r="H39" s="26" t="str">
        <f aca="false">IF(OR(Tasks!$D43="",Tasks!$AI43),"",Tasks!$AC43)</f>
        <v/>
      </c>
      <c r="I39" s="26" t="str">
        <f aca="false">IF(OR(Tasks!$D43="",Tasks!$X43=""),"",Tasks!$X43&amp;IF(OR(Tasks!$Y43="",Tasks!$Y43=1),"","["&amp;ROUND(Tasks!$Y43*100,0)&amp;"%]"))</f>
        <v/>
      </c>
      <c r="J39" s="26" t="str">
        <f aca="false">IF(OR(Tasks!$D43="",Tasks!$AI43),"",ROUND(Tasks!$V43*100,0))</f>
        <v/>
      </c>
      <c r="K39" s="79" t="str">
        <f aca="false">IF(OR(Tasks!$D43="",N(Tasks!$P43)=0),"",Tasks!$P43)</f>
        <v/>
      </c>
      <c r="L39" s="79" t="str">
        <f aca="false">IF(OR(Tasks!$D43="",N(Tasks!$Q43)=0),"",Tasks!$Q43)</f>
        <v/>
      </c>
      <c r="M39" s="79" t="str">
        <f aca="false">IF(Tasks!$D43="","",Tasks!$N43)</f>
        <v/>
      </c>
      <c r="N39" s="79" t="str">
        <f aca="false">IF(Tasks!$D43="","",Tasks!$O43)</f>
        <v/>
      </c>
      <c r="O39" s="26" t="str">
        <f aca="false">IF(OR(Tasks!$D43="",Tasks!$AI43),"",IF(AND(Tasks!$E43&lt;&gt;"Manual",N(Tasks!$M43)&gt;0),"Start No Earlier Than","As Soon As Possible"))</f>
        <v/>
      </c>
      <c r="P39" s="79" t="str">
        <f aca="false">IF(OR(Tasks!$D43="",Tasks!$AI43,N(Tasks!$M43)=0,Tasks!$E43="Manual"),"",Tasks!$M43)</f>
        <v/>
      </c>
      <c r="Q39" s="26" t="str">
        <f aca="false">IF(Tasks!$D43="","",Tasks!$AD43&amp;"")</f>
        <v/>
      </c>
    </row>
    <row r="40" customFormat="false" ht="15" hidden="false" customHeight="false" outlineLevel="0" collapsed="false">
      <c r="A40" s="26" t="str">
        <f aca="false">IF(Tasks!$D44="","",Tasks!$A44)</f>
        <v/>
      </c>
      <c r="B40" s="26" t="str">
        <f aca="false">IF(Tasks!$D44="","",Tasks!$D44)</f>
        <v/>
      </c>
      <c r="C40" s="26" t="str">
        <f aca="false">IF(Tasks!$D44="","",Tasks!$AE44)</f>
        <v/>
      </c>
      <c r="D40" s="26" t="str">
        <f aca="false">IF(Tasks!$D44="","",IF(Tasks!$E44="Manual","Manually Scheduled","Auto Scheduled"))</f>
        <v/>
      </c>
      <c r="E40" s="26" t="str">
        <f aca="false">IF(OR(Tasks!$D44="",Tasks!$AI44),"",N(Tasks!$F44)&amp;"d")</f>
        <v/>
      </c>
      <c r="F40" s="79" t="str">
        <f aca="false">IF(Tasks!$D44="","",Tasks!$R44)</f>
        <v/>
      </c>
      <c r="G40" s="79" t="str">
        <f aca="false">IF(Tasks!$D44="","",Tasks!$S44)</f>
        <v/>
      </c>
      <c r="H40" s="26" t="str">
        <f aca="false">IF(OR(Tasks!$D44="",Tasks!$AI44),"",Tasks!$AC44)</f>
        <v/>
      </c>
      <c r="I40" s="26" t="str">
        <f aca="false">IF(OR(Tasks!$D44="",Tasks!$X44=""),"",Tasks!$X44&amp;IF(OR(Tasks!$Y44="",Tasks!$Y44=1),"","["&amp;ROUND(Tasks!$Y44*100,0)&amp;"%]"))</f>
        <v/>
      </c>
      <c r="J40" s="26" t="str">
        <f aca="false">IF(OR(Tasks!$D44="",Tasks!$AI44),"",ROUND(Tasks!$V44*100,0))</f>
        <v/>
      </c>
      <c r="K40" s="79" t="str">
        <f aca="false">IF(OR(Tasks!$D44="",N(Tasks!$P44)=0),"",Tasks!$P44)</f>
        <v/>
      </c>
      <c r="L40" s="79" t="str">
        <f aca="false">IF(OR(Tasks!$D44="",N(Tasks!$Q44)=0),"",Tasks!$Q44)</f>
        <v/>
      </c>
      <c r="M40" s="79" t="str">
        <f aca="false">IF(Tasks!$D44="","",Tasks!$N44)</f>
        <v/>
      </c>
      <c r="N40" s="79" t="str">
        <f aca="false">IF(Tasks!$D44="","",Tasks!$O44)</f>
        <v/>
      </c>
      <c r="O40" s="26" t="str">
        <f aca="false">IF(OR(Tasks!$D44="",Tasks!$AI44),"",IF(AND(Tasks!$E44&lt;&gt;"Manual",N(Tasks!$M44)&gt;0),"Start No Earlier Than","As Soon As Possible"))</f>
        <v/>
      </c>
      <c r="P40" s="79" t="str">
        <f aca="false">IF(OR(Tasks!$D44="",Tasks!$AI44,N(Tasks!$M44)=0,Tasks!$E44="Manual"),"",Tasks!$M44)</f>
        <v/>
      </c>
      <c r="Q40" s="26" t="str">
        <f aca="false">IF(Tasks!$D44="","",Tasks!$AD44&amp;"")</f>
        <v/>
      </c>
    </row>
    <row r="41" customFormat="false" ht="15" hidden="false" customHeight="false" outlineLevel="0" collapsed="false">
      <c r="A41" s="26" t="str">
        <f aca="false">IF(Tasks!$D45="","",Tasks!$A45)</f>
        <v/>
      </c>
      <c r="B41" s="26" t="str">
        <f aca="false">IF(Tasks!$D45="","",Tasks!$D45)</f>
        <v/>
      </c>
      <c r="C41" s="26" t="str">
        <f aca="false">IF(Tasks!$D45="","",Tasks!$AE45)</f>
        <v/>
      </c>
      <c r="D41" s="26" t="str">
        <f aca="false">IF(Tasks!$D45="","",IF(Tasks!$E45="Manual","Manually Scheduled","Auto Scheduled"))</f>
        <v/>
      </c>
      <c r="E41" s="26" t="str">
        <f aca="false">IF(OR(Tasks!$D45="",Tasks!$AI45),"",N(Tasks!$F45)&amp;"d")</f>
        <v/>
      </c>
      <c r="F41" s="79" t="str">
        <f aca="false">IF(Tasks!$D45="","",Tasks!$R45)</f>
        <v/>
      </c>
      <c r="G41" s="79" t="str">
        <f aca="false">IF(Tasks!$D45="","",Tasks!$S45)</f>
        <v/>
      </c>
      <c r="H41" s="26" t="str">
        <f aca="false">IF(OR(Tasks!$D45="",Tasks!$AI45),"",Tasks!$AC45)</f>
        <v/>
      </c>
      <c r="I41" s="26" t="str">
        <f aca="false">IF(OR(Tasks!$D45="",Tasks!$X45=""),"",Tasks!$X45&amp;IF(OR(Tasks!$Y45="",Tasks!$Y45=1),"","["&amp;ROUND(Tasks!$Y45*100,0)&amp;"%]"))</f>
        <v/>
      </c>
      <c r="J41" s="26" t="str">
        <f aca="false">IF(OR(Tasks!$D45="",Tasks!$AI45),"",ROUND(Tasks!$V45*100,0))</f>
        <v/>
      </c>
      <c r="K41" s="79" t="str">
        <f aca="false">IF(OR(Tasks!$D45="",N(Tasks!$P45)=0),"",Tasks!$P45)</f>
        <v/>
      </c>
      <c r="L41" s="79" t="str">
        <f aca="false">IF(OR(Tasks!$D45="",N(Tasks!$Q45)=0),"",Tasks!$Q45)</f>
        <v/>
      </c>
      <c r="M41" s="79" t="str">
        <f aca="false">IF(Tasks!$D45="","",Tasks!$N45)</f>
        <v/>
      </c>
      <c r="N41" s="79" t="str">
        <f aca="false">IF(Tasks!$D45="","",Tasks!$O45)</f>
        <v/>
      </c>
      <c r="O41" s="26" t="str">
        <f aca="false">IF(OR(Tasks!$D45="",Tasks!$AI45),"",IF(AND(Tasks!$E45&lt;&gt;"Manual",N(Tasks!$M45)&gt;0),"Start No Earlier Than","As Soon As Possible"))</f>
        <v/>
      </c>
      <c r="P41" s="79" t="str">
        <f aca="false">IF(OR(Tasks!$D45="",Tasks!$AI45,N(Tasks!$M45)=0,Tasks!$E45="Manual"),"",Tasks!$M45)</f>
        <v/>
      </c>
      <c r="Q41" s="26" t="str">
        <f aca="false">IF(Tasks!$D45="","",Tasks!$AD45&amp;"")</f>
        <v/>
      </c>
    </row>
    <row r="42" customFormat="false" ht="15" hidden="false" customHeight="false" outlineLevel="0" collapsed="false">
      <c r="A42" s="26" t="str">
        <f aca="false">IF(Tasks!$D46="","",Tasks!$A46)</f>
        <v/>
      </c>
      <c r="B42" s="26" t="str">
        <f aca="false">IF(Tasks!$D46="","",Tasks!$D46)</f>
        <v/>
      </c>
      <c r="C42" s="26" t="str">
        <f aca="false">IF(Tasks!$D46="","",Tasks!$AE46)</f>
        <v/>
      </c>
      <c r="D42" s="26" t="str">
        <f aca="false">IF(Tasks!$D46="","",IF(Tasks!$E46="Manual","Manually Scheduled","Auto Scheduled"))</f>
        <v/>
      </c>
      <c r="E42" s="26" t="str">
        <f aca="false">IF(OR(Tasks!$D46="",Tasks!$AI46),"",N(Tasks!$F46)&amp;"d")</f>
        <v/>
      </c>
      <c r="F42" s="79" t="str">
        <f aca="false">IF(Tasks!$D46="","",Tasks!$R46)</f>
        <v/>
      </c>
      <c r="G42" s="79" t="str">
        <f aca="false">IF(Tasks!$D46="","",Tasks!$S46)</f>
        <v/>
      </c>
      <c r="H42" s="26" t="str">
        <f aca="false">IF(OR(Tasks!$D46="",Tasks!$AI46),"",Tasks!$AC46)</f>
        <v/>
      </c>
      <c r="I42" s="26" t="str">
        <f aca="false">IF(OR(Tasks!$D46="",Tasks!$X46=""),"",Tasks!$X46&amp;IF(OR(Tasks!$Y46="",Tasks!$Y46=1),"","["&amp;ROUND(Tasks!$Y46*100,0)&amp;"%]"))</f>
        <v/>
      </c>
      <c r="J42" s="26" t="str">
        <f aca="false">IF(OR(Tasks!$D46="",Tasks!$AI46),"",ROUND(Tasks!$V46*100,0))</f>
        <v/>
      </c>
      <c r="K42" s="79" t="str">
        <f aca="false">IF(OR(Tasks!$D46="",N(Tasks!$P46)=0),"",Tasks!$P46)</f>
        <v/>
      </c>
      <c r="L42" s="79" t="str">
        <f aca="false">IF(OR(Tasks!$D46="",N(Tasks!$Q46)=0),"",Tasks!$Q46)</f>
        <v/>
      </c>
      <c r="M42" s="79" t="str">
        <f aca="false">IF(Tasks!$D46="","",Tasks!$N46)</f>
        <v/>
      </c>
      <c r="N42" s="79" t="str">
        <f aca="false">IF(Tasks!$D46="","",Tasks!$O46)</f>
        <v/>
      </c>
      <c r="O42" s="26" t="str">
        <f aca="false">IF(OR(Tasks!$D46="",Tasks!$AI46),"",IF(AND(Tasks!$E46&lt;&gt;"Manual",N(Tasks!$M46)&gt;0),"Start No Earlier Than","As Soon As Possible"))</f>
        <v/>
      </c>
      <c r="P42" s="79" t="str">
        <f aca="false">IF(OR(Tasks!$D46="",Tasks!$AI46,N(Tasks!$M46)=0,Tasks!$E46="Manual"),"",Tasks!$M46)</f>
        <v/>
      </c>
      <c r="Q42" s="26" t="str">
        <f aca="false">IF(Tasks!$D46="","",Tasks!$AD46&amp;"")</f>
        <v/>
      </c>
    </row>
    <row r="43" customFormat="false" ht="15" hidden="false" customHeight="false" outlineLevel="0" collapsed="false">
      <c r="A43" s="26" t="str">
        <f aca="false">IF(Tasks!$D47="","",Tasks!$A47)</f>
        <v/>
      </c>
      <c r="B43" s="26" t="str">
        <f aca="false">IF(Tasks!$D47="","",Tasks!$D47)</f>
        <v/>
      </c>
      <c r="C43" s="26" t="str">
        <f aca="false">IF(Tasks!$D47="","",Tasks!$AE47)</f>
        <v/>
      </c>
      <c r="D43" s="26" t="str">
        <f aca="false">IF(Tasks!$D47="","",IF(Tasks!$E47="Manual","Manually Scheduled","Auto Scheduled"))</f>
        <v/>
      </c>
      <c r="E43" s="26" t="str">
        <f aca="false">IF(OR(Tasks!$D47="",Tasks!$AI47),"",N(Tasks!$F47)&amp;"d")</f>
        <v/>
      </c>
      <c r="F43" s="79" t="str">
        <f aca="false">IF(Tasks!$D47="","",Tasks!$R47)</f>
        <v/>
      </c>
      <c r="G43" s="79" t="str">
        <f aca="false">IF(Tasks!$D47="","",Tasks!$S47)</f>
        <v/>
      </c>
      <c r="H43" s="26" t="str">
        <f aca="false">IF(OR(Tasks!$D47="",Tasks!$AI47),"",Tasks!$AC47)</f>
        <v/>
      </c>
      <c r="I43" s="26" t="str">
        <f aca="false">IF(OR(Tasks!$D47="",Tasks!$X47=""),"",Tasks!$X47&amp;IF(OR(Tasks!$Y47="",Tasks!$Y47=1),"","["&amp;ROUND(Tasks!$Y47*100,0)&amp;"%]"))</f>
        <v/>
      </c>
      <c r="J43" s="26" t="str">
        <f aca="false">IF(OR(Tasks!$D47="",Tasks!$AI47),"",ROUND(Tasks!$V47*100,0))</f>
        <v/>
      </c>
      <c r="K43" s="79" t="str">
        <f aca="false">IF(OR(Tasks!$D47="",N(Tasks!$P47)=0),"",Tasks!$P47)</f>
        <v/>
      </c>
      <c r="L43" s="79" t="str">
        <f aca="false">IF(OR(Tasks!$D47="",N(Tasks!$Q47)=0),"",Tasks!$Q47)</f>
        <v/>
      </c>
      <c r="M43" s="79" t="str">
        <f aca="false">IF(Tasks!$D47="","",Tasks!$N47)</f>
        <v/>
      </c>
      <c r="N43" s="79" t="str">
        <f aca="false">IF(Tasks!$D47="","",Tasks!$O47)</f>
        <v/>
      </c>
      <c r="O43" s="26" t="str">
        <f aca="false">IF(OR(Tasks!$D47="",Tasks!$AI47),"",IF(AND(Tasks!$E47&lt;&gt;"Manual",N(Tasks!$M47)&gt;0),"Start No Earlier Than","As Soon As Possible"))</f>
        <v/>
      </c>
      <c r="P43" s="79" t="str">
        <f aca="false">IF(OR(Tasks!$D47="",Tasks!$AI47,N(Tasks!$M47)=0,Tasks!$E47="Manual"),"",Tasks!$M47)</f>
        <v/>
      </c>
      <c r="Q43" s="26" t="str">
        <f aca="false">IF(Tasks!$D47="","",Tasks!$AD47&amp;"")</f>
        <v/>
      </c>
    </row>
    <row r="44" customFormat="false" ht="15" hidden="false" customHeight="false" outlineLevel="0" collapsed="false">
      <c r="A44" s="26" t="str">
        <f aca="false">IF(Tasks!$D48="","",Tasks!$A48)</f>
        <v/>
      </c>
      <c r="B44" s="26" t="str">
        <f aca="false">IF(Tasks!$D48="","",Tasks!$D48)</f>
        <v/>
      </c>
      <c r="C44" s="26" t="str">
        <f aca="false">IF(Tasks!$D48="","",Tasks!$AE48)</f>
        <v/>
      </c>
      <c r="D44" s="26" t="str">
        <f aca="false">IF(Tasks!$D48="","",IF(Tasks!$E48="Manual","Manually Scheduled","Auto Scheduled"))</f>
        <v/>
      </c>
      <c r="E44" s="26" t="str">
        <f aca="false">IF(OR(Tasks!$D48="",Tasks!$AI48),"",N(Tasks!$F48)&amp;"d")</f>
        <v/>
      </c>
      <c r="F44" s="79" t="str">
        <f aca="false">IF(Tasks!$D48="","",Tasks!$R48)</f>
        <v/>
      </c>
      <c r="G44" s="79" t="str">
        <f aca="false">IF(Tasks!$D48="","",Tasks!$S48)</f>
        <v/>
      </c>
      <c r="H44" s="26" t="str">
        <f aca="false">IF(OR(Tasks!$D48="",Tasks!$AI48),"",Tasks!$AC48)</f>
        <v/>
      </c>
      <c r="I44" s="26" t="str">
        <f aca="false">IF(OR(Tasks!$D48="",Tasks!$X48=""),"",Tasks!$X48&amp;IF(OR(Tasks!$Y48="",Tasks!$Y48=1),"","["&amp;ROUND(Tasks!$Y48*100,0)&amp;"%]"))</f>
        <v/>
      </c>
      <c r="J44" s="26" t="str">
        <f aca="false">IF(OR(Tasks!$D48="",Tasks!$AI48),"",ROUND(Tasks!$V48*100,0))</f>
        <v/>
      </c>
      <c r="K44" s="79" t="str">
        <f aca="false">IF(OR(Tasks!$D48="",N(Tasks!$P48)=0),"",Tasks!$P48)</f>
        <v/>
      </c>
      <c r="L44" s="79" t="str">
        <f aca="false">IF(OR(Tasks!$D48="",N(Tasks!$Q48)=0),"",Tasks!$Q48)</f>
        <v/>
      </c>
      <c r="M44" s="79" t="str">
        <f aca="false">IF(Tasks!$D48="","",Tasks!$N48)</f>
        <v/>
      </c>
      <c r="N44" s="79" t="str">
        <f aca="false">IF(Tasks!$D48="","",Tasks!$O48)</f>
        <v/>
      </c>
      <c r="O44" s="26" t="str">
        <f aca="false">IF(OR(Tasks!$D48="",Tasks!$AI48),"",IF(AND(Tasks!$E48&lt;&gt;"Manual",N(Tasks!$M48)&gt;0),"Start No Earlier Than","As Soon As Possible"))</f>
        <v/>
      </c>
      <c r="P44" s="79" t="str">
        <f aca="false">IF(OR(Tasks!$D48="",Tasks!$AI48,N(Tasks!$M48)=0,Tasks!$E48="Manual"),"",Tasks!$M48)</f>
        <v/>
      </c>
      <c r="Q44" s="26" t="str">
        <f aca="false">IF(Tasks!$D48="","",Tasks!$AD48&amp;"")</f>
        <v/>
      </c>
    </row>
    <row r="45" customFormat="false" ht="15" hidden="false" customHeight="false" outlineLevel="0" collapsed="false">
      <c r="A45" s="26" t="str">
        <f aca="false">IF(Tasks!$D49="","",Tasks!$A49)</f>
        <v/>
      </c>
      <c r="B45" s="26" t="str">
        <f aca="false">IF(Tasks!$D49="","",Tasks!$D49)</f>
        <v/>
      </c>
      <c r="C45" s="26" t="str">
        <f aca="false">IF(Tasks!$D49="","",Tasks!$AE49)</f>
        <v/>
      </c>
      <c r="D45" s="26" t="str">
        <f aca="false">IF(Tasks!$D49="","",IF(Tasks!$E49="Manual","Manually Scheduled","Auto Scheduled"))</f>
        <v/>
      </c>
      <c r="E45" s="26" t="str">
        <f aca="false">IF(OR(Tasks!$D49="",Tasks!$AI49),"",N(Tasks!$F49)&amp;"d")</f>
        <v/>
      </c>
      <c r="F45" s="79" t="str">
        <f aca="false">IF(Tasks!$D49="","",Tasks!$R49)</f>
        <v/>
      </c>
      <c r="G45" s="79" t="str">
        <f aca="false">IF(Tasks!$D49="","",Tasks!$S49)</f>
        <v/>
      </c>
      <c r="H45" s="26" t="str">
        <f aca="false">IF(OR(Tasks!$D49="",Tasks!$AI49),"",Tasks!$AC49)</f>
        <v/>
      </c>
      <c r="I45" s="26" t="str">
        <f aca="false">IF(OR(Tasks!$D49="",Tasks!$X49=""),"",Tasks!$X49&amp;IF(OR(Tasks!$Y49="",Tasks!$Y49=1),"","["&amp;ROUND(Tasks!$Y49*100,0)&amp;"%]"))</f>
        <v/>
      </c>
      <c r="J45" s="26" t="str">
        <f aca="false">IF(OR(Tasks!$D49="",Tasks!$AI49),"",ROUND(Tasks!$V49*100,0))</f>
        <v/>
      </c>
      <c r="K45" s="79" t="str">
        <f aca="false">IF(OR(Tasks!$D49="",N(Tasks!$P49)=0),"",Tasks!$P49)</f>
        <v/>
      </c>
      <c r="L45" s="79" t="str">
        <f aca="false">IF(OR(Tasks!$D49="",N(Tasks!$Q49)=0),"",Tasks!$Q49)</f>
        <v/>
      </c>
      <c r="M45" s="79" t="str">
        <f aca="false">IF(Tasks!$D49="","",Tasks!$N49)</f>
        <v/>
      </c>
      <c r="N45" s="79" t="str">
        <f aca="false">IF(Tasks!$D49="","",Tasks!$O49)</f>
        <v/>
      </c>
      <c r="O45" s="26" t="str">
        <f aca="false">IF(OR(Tasks!$D49="",Tasks!$AI49),"",IF(AND(Tasks!$E49&lt;&gt;"Manual",N(Tasks!$M49)&gt;0),"Start No Earlier Than","As Soon As Possible"))</f>
        <v/>
      </c>
      <c r="P45" s="79" t="str">
        <f aca="false">IF(OR(Tasks!$D49="",Tasks!$AI49,N(Tasks!$M49)=0,Tasks!$E49="Manual"),"",Tasks!$M49)</f>
        <v/>
      </c>
      <c r="Q45" s="26" t="str">
        <f aca="false">IF(Tasks!$D49="","",Tasks!$AD49&amp;"")</f>
        <v/>
      </c>
    </row>
    <row r="46" customFormat="false" ht="15" hidden="false" customHeight="false" outlineLevel="0" collapsed="false">
      <c r="A46" s="26" t="str">
        <f aca="false">IF(Tasks!$D50="","",Tasks!$A50)</f>
        <v/>
      </c>
      <c r="B46" s="26" t="str">
        <f aca="false">IF(Tasks!$D50="","",Tasks!$D50)</f>
        <v/>
      </c>
      <c r="C46" s="26" t="str">
        <f aca="false">IF(Tasks!$D50="","",Tasks!$AE50)</f>
        <v/>
      </c>
      <c r="D46" s="26" t="str">
        <f aca="false">IF(Tasks!$D50="","",IF(Tasks!$E50="Manual","Manually Scheduled","Auto Scheduled"))</f>
        <v/>
      </c>
      <c r="E46" s="26" t="str">
        <f aca="false">IF(OR(Tasks!$D50="",Tasks!$AI50),"",N(Tasks!$F50)&amp;"d")</f>
        <v/>
      </c>
      <c r="F46" s="79" t="str">
        <f aca="false">IF(Tasks!$D50="","",Tasks!$R50)</f>
        <v/>
      </c>
      <c r="G46" s="79" t="str">
        <f aca="false">IF(Tasks!$D50="","",Tasks!$S50)</f>
        <v/>
      </c>
      <c r="H46" s="26" t="str">
        <f aca="false">IF(OR(Tasks!$D50="",Tasks!$AI50),"",Tasks!$AC50)</f>
        <v/>
      </c>
      <c r="I46" s="26" t="str">
        <f aca="false">IF(OR(Tasks!$D50="",Tasks!$X50=""),"",Tasks!$X50&amp;IF(OR(Tasks!$Y50="",Tasks!$Y50=1),"","["&amp;ROUND(Tasks!$Y50*100,0)&amp;"%]"))</f>
        <v/>
      </c>
      <c r="J46" s="26" t="str">
        <f aca="false">IF(OR(Tasks!$D50="",Tasks!$AI50),"",ROUND(Tasks!$V50*100,0))</f>
        <v/>
      </c>
      <c r="K46" s="79" t="str">
        <f aca="false">IF(OR(Tasks!$D50="",N(Tasks!$P50)=0),"",Tasks!$P50)</f>
        <v/>
      </c>
      <c r="L46" s="79" t="str">
        <f aca="false">IF(OR(Tasks!$D50="",N(Tasks!$Q50)=0),"",Tasks!$Q50)</f>
        <v/>
      </c>
      <c r="M46" s="79" t="str">
        <f aca="false">IF(Tasks!$D50="","",Tasks!$N50)</f>
        <v/>
      </c>
      <c r="N46" s="79" t="str">
        <f aca="false">IF(Tasks!$D50="","",Tasks!$O50)</f>
        <v/>
      </c>
      <c r="O46" s="26" t="str">
        <f aca="false">IF(OR(Tasks!$D50="",Tasks!$AI50),"",IF(AND(Tasks!$E50&lt;&gt;"Manual",N(Tasks!$M50)&gt;0),"Start No Earlier Than","As Soon As Possible"))</f>
        <v/>
      </c>
      <c r="P46" s="79" t="str">
        <f aca="false">IF(OR(Tasks!$D50="",Tasks!$AI50,N(Tasks!$M50)=0,Tasks!$E50="Manual"),"",Tasks!$M50)</f>
        <v/>
      </c>
      <c r="Q46" s="26" t="str">
        <f aca="false">IF(Tasks!$D50="","",Tasks!$AD50&amp;"")</f>
        <v/>
      </c>
    </row>
    <row r="47" customFormat="false" ht="15" hidden="false" customHeight="false" outlineLevel="0" collapsed="false">
      <c r="A47" s="26" t="str">
        <f aca="false">IF(Tasks!$D51="","",Tasks!$A51)</f>
        <v/>
      </c>
      <c r="B47" s="26" t="str">
        <f aca="false">IF(Tasks!$D51="","",Tasks!$D51)</f>
        <v/>
      </c>
      <c r="C47" s="26" t="str">
        <f aca="false">IF(Tasks!$D51="","",Tasks!$AE51)</f>
        <v/>
      </c>
      <c r="D47" s="26" t="str">
        <f aca="false">IF(Tasks!$D51="","",IF(Tasks!$E51="Manual","Manually Scheduled","Auto Scheduled"))</f>
        <v/>
      </c>
      <c r="E47" s="26" t="str">
        <f aca="false">IF(OR(Tasks!$D51="",Tasks!$AI51),"",N(Tasks!$F51)&amp;"d")</f>
        <v/>
      </c>
      <c r="F47" s="79" t="str">
        <f aca="false">IF(Tasks!$D51="","",Tasks!$R51)</f>
        <v/>
      </c>
      <c r="G47" s="79" t="str">
        <f aca="false">IF(Tasks!$D51="","",Tasks!$S51)</f>
        <v/>
      </c>
      <c r="H47" s="26" t="str">
        <f aca="false">IF(OR(Tasks!$D51="",Tasks!$AI51),"",Tasks!$AC51)</f>
        <v/>
      </c>
      <c r="I47" s="26" t="str">
        <f aca="false">IF(OR(Tasks!$D51="",Tasks!$X51=""),"",Tasks!$X51&amp;IF(OR(Tasks!$Y51="",Tasks!$Y51=1),"","["&amp;ROUND(Tasks!$Y51*100,0)&amp;"%]"))</f>
        <v/>
      </c>
      <c r="J47" s="26" t="str">
        <f aca="false">IF(OR(Tasks!$D51="",Tasks!$AI51),"",ROUND(Tasks!$V51*100,0))</f>
        <v/>
      </c>
      <c r="K47" s="79" t="str">
        <f aca="false">IF(OR(Tasks!$D51="",N(Tasks!$P51)=0),"",Tasks!$P51)</f>
        <v/>
      </c>
      <c r="L47" s="79" t="str">
        <f aca="false">IF(OR(Tasks!$D51="",N(Tasks!$Q51)=0),"",Tasks!$Q51)</f>
        <v/>
      </c>
      <c r="M47" s="79" t="str">
        <f aca="false">IF(Tasks!$D51="","",Tasks!$N51)</f>
        <v/>
      </c>
      <c r="N47" s="79" t="str">
        <f aca="false">IF(Tasks!$D51="","",Tasks!$O51)</f>
        <v/>
      </c>
      <c r="O47" s="26" t="str">
        <f aca="false">IF(OR(Tasks!$D51="",Tasks!$AI51),"",IF(AND(Tasks!$E51&lt;&gt;"Manual",N(Tasks!$M51)&gt;0),"Start No Earlier Than","As Soon As Possible"))</f>
        <v/>
      </c>
      <c r="P47" s="79" t="str">
        <f aca="false">IF(OR(Tasks!$D51="",Tasks!$AI51,N(Tasks!$M51)=0,Tasks!$E51="Manual"),"",Tasks!$M51)</f>
        <v/>
      </c>
      <c r="Q47" s="26" t="str">
        <f aca="false">IF(Tasks!$D51="","",Tasks!$AD51&amp;"")</f>
        <v/>
      </c>
    </row>
    <row r="48" customFormat="false" ht="15" hidden="false" customHeight="false" outlineLevel="0" collapsed="false">
      <c r="A48" s="26" t="str">
        <f aca="false">IF(Tasks!$D52="","",Tasks!$A52)</f>
        <v/>
      </c>
      <c r="B48" s="26" t="str">
        <f aca="false">IF(Tasks!$D52="","",Tasks!$D52)</f>
        <v/>
      </c>
      <c r="C48" s="26" t="str">
        <f aca="false">IF(Tasks!$D52="","",Tasks!$AE52)</f>
        <v/>
      </c>
      <c r="D48" s="26" t="str">
        <f aca="false">IF(Tasks!$D52="","",IF(Tasks!$E52="Manual","Manually Scheduled","Auto Scheduled"))</f>
        <v/>
      </c>
      <c r="E48" s="26" t="str">
        <f aca="false">IF(OR(Tasks!$D52="",Tasks!$AI52),"",N(Tasks!$F52)&amp;"d")</f>
        <v/>
      </c>
      <c r="F48" s="79" t="str">
        <f aca="false">IF(Tasks!$D52="","",Tasks!$R52)</f>
        <v/>
      </c>
      <c r="G48" s="79" t="str">
        <f aca="false">IF(Tasks!$D52="","",Tasks!$S52)</f>
        <v/>
      </c>
      <c r="H48" s="26" t="str">
        <f aca="false">IF(OR(Tasks!$D52="",Tasks!$AI52),"",Tasks!$AC52)</f>
        <v/>
      </c>
      <c r="I48" s="26" t="str">
        <f aca="false">IF(OR(Tasks!$D52="",Tasks!$X52=""),"",Tasks!$X52&amp;IF(OR(Tasks!$Y52="",Tasks!$Y52=1),"","["&amp;ROUND(Tasks!$Y52*100,0)&amp;"%]"))</f>
        <v/>
      </c>
      <c r="J48" s="26" t="str">
        <f aca="false">IF(OR(Tasks!$D52="",Tasks!$AI52),"",ROUND(Tasks!$V52*100,0))</f>
        <v/>
      </c>
      <c r="K48" s="79" t="str">
        <f aca="false">IF(OR(Tasks!$D52="",N(Tasks!$P52)=0),"",Tasks!$P52)</f>
        <v/>
      </c>
      <c r="L48" s="79" t="str">
        <f aca="false">IF(OR(Tasks!$D52="",N(Tasks!$Q52)=0),"",Tasks!$Q52)</f>
        <v/>
      </c>
      <c r="M48" s="79" t="str">
        <f aca="false">IF(Tasks!$D52="","",Tasks!$N52)</f>
        <v/>
      </c>
      <c r="N48" s="79" t="str">
        <f aca="false">IF(Tasks!$D52="","",Tasks!$O52)</f>
        <v/>
      </c>
      <c r="O48" s="26" t="str">
        <f aca="false">IF(OR(Tasks!$D52="",Tasks!$AI52),"",IF(AND(Tasks!$E52&lt;&gt;"Manual",N(Tasks!$M52)&gt;0),"Start No Earlier Than","As Soon As Possible"))</f>
        <v/>
      </c>
      <c r="P48" s="79" t="str">
        <f aca="false">IF(OR(Tasks!$D52="",Tasks!$AI52,N(Tasks!$M52)=0,Tasks!$E52="Manual"),"",Tasks!$M52)</f>
        <v/>
      </c>
      <c r="Q48" s="26" t="str">
        <f aca="false">IF(Tasks!$D52="","",Tasks!$AD52&amp;"")</f>
        <v/>
      </c>
    </row>
    <row r="49" customFormat="false" ht="15" hidden="false" customHeight="false" outlineLevel="0" collapsed="false">
      <c r="A49" s="26" t="str">
        <f aca="false">IF(Tasks!$D53="","",Tasks!$A53)</f>
        <v/>
      </c>
      <c r="B49" s="26" t="str">
        <f aca="false">IF(Tasks!$D53="","",Tasks!$D53)</f>
        <v/>
      </c>
      <c r="C49" s="26" t="str">
        <f aca="false">IF(Tasks!$D53="","",Tasks!$AE53)</f>
        <v/>
      </c>
      <c r="D49" s="26" t="str">
        <f aca="false">IF(Tasks!$D53="","",IF(Tasks!$E53="Manual","Manually Scheduled","Auto Scheduled"))</f>
        <v/>
      </c>
      <c r="E49" s="26" t="str">
        <f aca="false">IF(OR(Tasks!$D53="",Tasks!$AI53),"",N(Tasks!$F53)&amp;"d")</f>
        <v/>
      </c>
      <c r="F49" s="79" t="str">
        <f aca="false">IF(Tasks!$D53="","",Tasks!$R53)</f>
        <v/>
      </c>
      <c r="G49" s="79" t="str">
        <f aca="false">IF(Tasks!$D53="","",Tasks!$S53)</f>
        <v/>
      </c>
      <c r="H49" s="26" t="str">
        <f aca="false">IF(OR(Tasks!$D53="",Tasks!$AI53),"",Tasks!$AC53)</f>
        <v/>
      </c>
      <c r="I49" s="26" t="str">
        <f aca="false">IF(OR(Tasks!$D53="",Tasks!$X53=""),"",Tasks!$X53&amp;IF(OR(Tasks!$Y53="",Tasks!$Y53=1),"","["&amp;ROUND(Tasks!$Y53*100,0)&amp;"%]"))</f>
        <v/>
      </c>
      <c r="J49" s="26" t="str">
        <f aca="false">IF(OR(Tasks!$D53="",Tasks!$AI53),"",ROUND(Tasks!$V53*100,0))</f>
        <v/>
      </c>
      <c r="K49" s="79" t="str">
        <f aca="false">IF(OR(Tasks!$D53="",N(Tasks!$P53)=0),"",Tasks!$P53)</f>
        <v/>
      </c>
      <c r="L49" s="79" t="str">
        <f aca="false">IF(OR(Tasks!$D53="",N(Tasks!$Q53)=0),"",Tasks!$Q53)</f>
        <v/>
      </c>
      <c r="M49" s="79" t="str">
        <f aca="false">IF(Tasks!$D53="","",Tasks!$N53)</f>
        <v/>
      </c>
      <c r="N49" s="79" t="str">
        <f aca="false">IF(Tasks!$D53="","",Tasks!$O53)</f>
        <v/>
      </c>
      <c r="O49" s="26" t="str">
        <f aca="false">IF(OR(Tasks!$D53="",Tasks!$AI53),"",IF(AND(Tasks!$E53&lt;&gt;"Manual",N(Tasks!$M53)&gt;0),"Start No Earlier Than","As Soon As Possible"))</f>
        <v/>
      </c>
      <c r="P49" s="79" t="str">
        <f aca="false">IF(OR(Tasks!$D53="",Tasks!$AI53,N(Tasks!$M53)=0,Tasks!$E53="Manual"),"",Tasks!$M53)</f>
        <v/>
      </c>
      <c r="Q49" s="26" t="str">
        <f aca="false">IF(Tasks!$D53="","",Tasks!$AD53&amp;"")</f>
        <v/>
      </c>
    </row>
    <row r="50" customFormat="false" ht="15" hidden="false" customHeight="false" outlineLevel="0" collapsed="false">
      <c r="A50" s="26" t="str">
        <f aca="false">IF(Tasks!$D54="","",Tasks!$A54)</f>
        <v/>
      </c>
      <c r="B50" s="26" t="str">
        <f aca="false">IF(Tasks!$D54="","",Tasks!$D54)</f>
        <v/>
      </c>
      <c r="C50" s="26" t="str">
        <f aca="false">IF(Tasks!$D54="","",Tasks!$AE54)</f>
        <v/>
      </c>
      <c r="D50" s="26" t="str">
        <f aca="false">IF(Tasks!$D54="","",IF(Tasks!$E54="Manual","Manually Scheduled","Auto Scheduled"))</f>
        <v/>
      </c>
      <c r="E50" s="26" t="str">
        <f aca="false">IF(OR(Tasks!$D54="",Tasks!$AI54),"",N(Tasks!$F54)&amp;"d")</f>
        <v/>
      </c>
      <c r="F50" s="79" t="str">
        <f aca="false">IF(Tasks!$D54="","",Tasks!$R54)</f>
        <v/>
      </c>
      <c r="G50" s="79" t="str">
        <f aca="false">IF(Tasks!$D54="","",Tasks!$S54)</f>
        <v/>
      </c>
      <c r="H50" s="26" t="str">
        <f aca="false">IF(OR(Tasks!$D54="",Tasks!$AI54),"",Tasks!$AC54)</f>
        <v/>
      </c>
      <c r="I50" s="26" t="str">
        <f aca="false">IF(OR(Tasks!$D54="",Tasks!$X54=""),"",Tasks!$X54&amp;IF(OR(Tasks!$Y54="",Tasks!$Y54=1),"","["&amp;ROUND(Tasks!$Y54*100,0)&amp;"%]"))</f>
        <v/>
      </c>
      <c r="J50" s="26" t="str">
        <f aca="false">IF(OR(Tasks!$D54="",Tasks!$AI54),"",ROUND(Tasks!$V54*100,0))</f>
        <v/>
      </c>
      <c r="K50" s="79" t="str">
        <f aca="false">IF(OR(Tasks!$D54="",N(Tasks!$P54)=0),"",Tasks!$P54)</f>
        <v/>
      </c>
      <c r="L50" s="79" t="str">
        <f aca="false">IF(OR(Tasks!$D54="",N(Tasks!$Q54)=0),"",Tasks!$Q54)</f>
        <v/>
      </c>
      <c r="M50" s="79" t="str">
        <f aca="false">IF(Tasks!$D54="","",Tasks!$N54)</f>
        <v/>
      </c>
      <c r="N50" s="79" t="str">
        <f aca="false">IF(Tasks!$D54="","",Tasks!$O54)</f>
        <v/>
      </c>
      <c r="O50" s="26" t="str">
        <f aca="false">IF(OR(Tasks!$D54="",Tasks!$AI54),"",IF(AND(Tasks!$E54&lt;&gt;"Manual",N(Tasks!$M54)&gt;0),"Start No Earlier Than","As Soon As Possible"))</f>
        <v/>
      </c>
      <c r="P50" s="79" t="str">
        <f aca="false">IF(OR(Tasks!$D54="",Tasks!$AI54,N(Tasks!$M54)=0,Tasks!$E54="Manual"),"",Tasks!$M54)</f>
        <v/>
      </c>
      <c r="Q50" s="26" t="str">
        <f aca="false">IF(Tasks!$D54="","",Tasks!$AD54&amp;"")</f>
        <v/>
      </c>
    </row>
    <row r="51" customFormat="false" ht="15" hidden="false" customHeight="false" outlineLevel="0" collapsed="false">
      <c r="A51" s="26" t="str">
        <f aca="false">IF(Tasks!$D55="","",Tasks!$A55)</f>
        <v/>
      </c>
      <c r="B51" s="26" t="str">
        <f aca="false">IF(Tasks!$D55="","",Tasks!$D55)</f>
        <v/>
      </c>
      <c r="C51" s="26" t="str">
        <f aca="false">IF(Tasks!$D55="","",Tasks!$AE55)</f>
        <v/>
      </c>
      <c r="D51" s="26" t="str">
        <f aca="false">IF(Tasks!$D55="","",IF(Tasks!$E55="Manual","Manually Scheduled","Auto Scheduled"))</f>
        <v/>
      </c>
      <c r="E51" s="26" t="str">
        <f aca="false">IF(OR(Tasks!$D55="",Tasks!$AI55),"",N(Tasks!$F55)&amp;"d")</f>
        <v/>
      </c>
      <c r="F51" s="79" t="str">
        <f aca="false">IF(Tasks!$D55="","",Tasks!$R55)</f>
        <v/>
      </c>
      <c r="G51" s="79" t="str">
        <f aca="false">IF(Tasks!$D55="","",Tasks!$S55)</f>
        <v/>
      </c>
      <c r="H51" s="26" t="str">
        <f aca="false">IF(OR(Tasks!$D55="",Tasks!$AI55),"",Tasks!$AC55)</f>
        <v/>
      </c>
      <c r="I51" s="26" t="str">
        <f aca="false">IF(OR(Tasks!$D55="",Tasks!$X55=""),"",Tasks!$X55&amp;IF(OR(Tasks!$Y55="",Tasks!$Y55=1),"","["&amp;ROUND(Tasks!$Y55*100,0)&amp;"%]"))</f>
        <v/>
      </c>
      <c r="J51" s="26" t="str">
        <f aca="false">IF(OR(Tasks!$D55="",Tasks!$AI55),"",ROUND(Tasks!$V55*100,0))</f>
        <v/>
      </c>
      <c r="K51" s="79" t="str">
        <f aca="false">IF(OR(Tasks!$D55="",N(Tasks!$P55)=0),"",Tasks!$P55)</f>
        <v/>
      </c>
      <c r="L51" s="79" t="str">
        <f aca="false">IF(OR(Tasks!$D55="",N(Tasks!$Q55)=0),"",Tasks!$Q55)</f>
        <v/>
      </c>
      <c r="M51" s="79" t="str">
        <f aca="false">IF(Tasks!$D55="","",Tasks!$N55)</f>
        <v/>
      </c>
      <c r="N51" s="79" t="str">
        <f aca="false">IF(Tasks!$D55="","",Tasks!$O55)</f>
        <v/>
      </c>
      <c r="O51" s="26" t="str">
        <f aca="false">IF(OR(Tasks!$D55="",Tasks!$AI55),"",IF(AND(Tasks!$E55&lt;&gt;"Manual",N(Tasks!$M55)&gt;0),"Start No Earlier Than","As Soon As Possible"))</f>
        <v/>
      </c>
      <c r="P51" s="79" t="str">
        <f aca="false">IF(OR(Tasks!$D55="",Tasks!$AI55,N(Tasks!$M55)=0,Tasks!$E55="Manual"),"",Tasks!$M55)</f>
        <v/>
      </c>
      <c r="Q51" s="26" t="str">
        <f aca="false">IF(Tasks!$D55="","",Tasks!$AD55&amp;"")</f>
        <v/>
      </c>
    </row>
    <row r="52" customFormat="false" ht="15" hidden="false" customHeight="false" outlineLevel="0" collapsed="false">
      <c r="A52" s="26" t="str">
        <f aca="false">IF(Tasks!$D56="","",Tasks!$A56)</f>
        <v/>
      </c>
      <c r="B52" s="26" t="str">
        <f aca="false">IF(Tasks!$D56="","",Tasks!$D56)</f>
        <v/>
      </c>
      <c r="C52" s="26" t="str">
        <f aca="false">IF(Tasks!$D56="","",Tasks!$AE56)</f>
        <v/>
      </c>
      <c r="D52" s="26" t="str">
        <f aca="false">IF(Tasks!$D56="","",IF(Tasks!$E56="Manual","Manually Scheduled","Auto Scheduled"))</f>
        <v/>
      </c>
      <c r="E52" s="26" t="str">
        <f aca="false">IF(OR(Tasks!$D56="",Tasks!$AI56),"",N(Tasks!$F56)&amp;"d")</f>
        <v/>
      </c>
      <c r="F52" s="79" t="str">
        <f aca="false">IF(Tasks!$D56="","",Tasks!$R56)</f>
        <v/>
      </c>
      <c r="G52" s="79" t="str">
        <f aca="false">IF(Tasks!$D56="","",Tasks!$S56)</f>
        <v/>
      </c>
      <c r="H52" s="26" t="str">
        <f aca="false">IF(OR(Tasks!$D56="",Tasks!$AI56),"",Tasks!$AC56)</f>
        <v/>
      </c>
      <c r="I52" s="26" t="str">
        <f aca="false">IF(OR(Tasks!$D56="",Tasks!$X56=""),"",Tasks!$X56&amp;IF(OR(Tasks!$Y56="",Tasks!$Y56=1),"","["&amp;ROUND(Tasks!$Y56*100,0)&amp;"%]"))</f>
        <v/>
      </c>
      <c r="J52" s="26" t="str">
        <f aca="false">IF(OR(Tasks!$D56="",Tasks!$AI56),"",ROUND(Tasks!$V56*100,0))</f>
        <v/>
      </c>
      <c r="K52" s="79" t="str">
        <f aca="false">IF(OR(Tasks!$D56="",N(Tasks!$P56)=0),"",Tasks!$P56)</f>
        <v/>
      </c>
      <c r="L52" s="79" t="str">
        <f aca="false">IF(OR(Tasks!$D56="",N(Tasks!$Q56)=0),"",Tasks!$Q56)</f>
        <v/>
      </c>
      <c r="M52" s="79" t="str">
        <f aca="false">IF(Tasks!$D56="","",Tasks!$N56)</f>
        <v/>
      </c>
      <c r="N52" s="79" t="str">
        <f aca="false">IF(Tasks!$D56="","",Tasks!$O56)</f>
        <v/>
      </c>
      <c r="O52" s="26" t="str">
        <f aca="false">IF(OR(Tasks!$D56="",Tasks!$AI56),"",IF(AND(Tasks!$E56&lt;&gt;"Manual",N(Tasks!$M56)&gt;0),"Start No Earlier Than","As Soon As Possible"))</f>
        <v/>
      </c>
      <c r="P52" s="79" t="str">
        <f aca="false">IF(OR(Tasks!$D56="",Tasks!$AI56,N(Tasks!$M56)=0,Tasks!$E56="Manual"),"",Tasks!$M56)</f>
        <v/>
      </c>
      <c r="Q52" s="26" t="str">
        <f aca="false">IF(Tasks!$D56="","",Tasks!$AD56&amp;"")</f>
        <v/>
      </c>
    </row>
    <row r="53" customFormat="false" ht="15" hidden="false" customHeight="false" outlineLevel="0" collapsed="false">
      <c r="A53" s="26" t="str">
        <f aca="false">IF(Tasks!$D57="","",Tasks!$A57)</f>
        <v/>
      </c>
      <c r="B53" s="26" t="str">
        <f aca="false">IF(Tasks!$D57="","",Tasks!$D57)</f>
        <v/>
      </c>
      <c r="C53" s="26" t="str">
        <f aca="false">IF(Tasks!$D57="","",Tasks!$AE57)</f>
        <v/>
      </c>
      <c r="D53" s="26" t="str">
        <f aca="false">IF(Tasks!$D57="","",IF(Tasks!$E57="Manual","Manually Scheduled","Auto Scheduled"))</f>
        <v/>
      </c>
      <c r="E53" s="26" t="str">
        <f aca="false">IF(OR(Tasks!$D57="",Tasks!$AI57),"",N(Tasks!$F57)&amp;"d")</f>
        <v/>
      </c>
      <c r="F53" s="79" t="str">
        <f aca="false">IF(Tasks!$D57="","",Tasks!$R57)</f>
        <v/>
      </c>
      <c r="G53" s="79" t="str">
        <f aca="false">IF(Tasks!$D57="","",Tasks!$S57)</f>
        <v/>
      </c>
      <c r="H53" s="26" t="str">
        <f aca="false">IF(OR(Tasks!$D57="",Tasks!$AI57),"",Tasks!$AC57)</f>
        <v/>
      </c>
      <c r="I53" s="26" t="str">
        <f aca="false">IF(OR(Tasks!$D57="",Tasks!$X57=""),"",Tasks!$X57&amp;IF(OR(Tasks!$Y57="",Tasks!$Y57=1),"","["&amp;ROUND(Tasks!$Y57*100,0)&amp;"%]"))</f>
        <v/>
      </c>
      <c r="J53" s="26" t="str">
        <f aca="false">IF(OR(Tasks!$D57="",Tasks!$AI57),"",ROUND(Tasks!$V57*100,0))</f>
        <v/>
      </c>
      <c r="K53" s="79" t="str">
        <f aca="false">IF(OR(Tasks!$D57="",N(Tasks!$P57)=0),"",Tasks!$P57)</f>
        <v/>
      </c>
      <c r="L53" s="79" t="str">
        <f aca="false">IF(OR(Tasks!$D57="",N(Tasks!$Q57)=0),"",Tasks!$Q57)</f>
        <v/>
      </c>
      <c r="M53" s="79" t="str">
        <f aca="false">IF(Tasks!$D57="","",Tasks!$N57)</f>
        <v/>
      </c>
      <c r="N53" s="79" t="str">
        <f aca="false">IF(Tasks!$D57="","",Tasks!$O57)</f>
        <v/>
      </c>
      <c r="O53" s="26" t="str">
        <f aca="false">IF(OR(Tasks!$D57="",Tasks!$AI57),"",IF(AND(Tasks!$E57&lt;&gt;"Manual",N(Tasks!$M57)&gt;0),"Start No Earlier Than","As Soon As Possible"))</f>
        <v/>
      </c>
      <c r="P53" s="79" t="str">
        <f aca="false">IF(OR(Tasks!$D57="",Tasks!$AI57,N(Tasks!$M57)=0,Tasks!$E57="Manual"),"",Tasks!$M57)</f>
        <v/>
      </c>
      <c r="Q53" s="26" t="str">
        <f aca="false">IF(Tasks!$D57="","",Tasks!$AD57&amp;"")</f>
        <v/>
      </c>
    </row>
    <row r="54" customFormat="false" ht="15" hidden="false" customHeight="false" outlineLevel="0" collapsed="false">
      <c r="A54" s="26" t="str">
        <f aca="false">IF(Tasks!$D58="","",Tasks!$A58)</f>
        <v/>
      </c>
      <c r="B54" s="26" t="str">
        <f aca="false">IF(Tasks!$D58="","",Tasks!$D58)</f>
        <v/>
      </c>
      <c r="C54" s="26" t="str">
        <f aca="false">IF(Tasks!$D58="","",Tasks!$AE58)</f>
        <v/>
      </c>
      <c r="D54" s="26" t="str">
        <f aca="false">IF(Tasks!$D58="","",IF(Tasks!$E58="Manual","Manually Scheduled","Auto Scheduled"))</f>
        <v/>
      </c>
      <c r="E54" s="26" t="str">
        <f aca="false">IF(OR(Tasks!$D58="",Tasks!$AI58),"",N(Tasks!$F58)&amp;"d")</f>
        <v/>
      </c>
      <c r="F54" s="79" t="str">
        <f aca="false">IF(Tasks!$D58="","",Tasks!$R58)</f>
        <v/>
      </c>
      <c r="G54" s="79" t="str">
        <f aca="false">IF(Tasks!$D58="","",Tasks!$S58)</f>
        <v/>
      </c>
      <c r="H54" s="26" t="str">
        <f aca="false">IF(OR(Tasks!$D58="",Tasks!$AI58),"",Tasks!$AC58)</f>
        <v/>
      </c>
      <c r="I54" s="26" t="str">
        <f aca="false">IF(OR(Tasks!$D58="",Tasks!$X58=""),"",Tasks!$X58&amp;IF(OR(Tasks!$Y58="",Tasks!$Y58=1),"","["&amp;ROUND(Tasks!$Y58*100,0)&amp;"%]"))</f>
        <v/>
      </c>
      <c r="J54" s="26" t="str">
        <f aca="false">IF(OR(Tasks!$D58="",Tasks!$AI58),"",ROUND(Tasks!$V58*100,0))</f>
        <v/>
      </c>
      <c r="K54" s="79" t="str">
        <f aca="false">IF(OR(Tasks!$D58="",N(Tasks!$P58)=0),"",Tasks!$P58)</f>
        <v/>
      </c>
      <c r="L54" s="79" t="str">
        <f aca="false">IF(OR(Tasks!$D58="",N(Tasks!$Q58)=0),"",Tasks!$Q58)</f>
        <v/>
      </c>
      <c r="M54" s="79" t="str">
        <f aca="false">IF(Tasks!$D58="","",Tasks!$N58)</f>
        <v/>
      </c>
      <c r="N54" s="79" t="str">
        <f aca="false">IF(Tasks!$D58="","",Tasks!$O58)</f>
        <v/>
      </c>
      <c r="O54" s="26" t="str">
        <f aca="false">IF(OR(Tasks!$D58="",Tasks!$AI58),"",IF(AND(Tasks!$E58&lt;&gt;"Manual",N(Tasks!$M58)&gt;0),"Start No Earlier Than","As Soon As Possible"))</f>
        <v/>
      </c>
      <c r="P54" s="79" t="str">
        <f aca="false">IF(OR(Tasks!$D58="",Tasks!$AI58,N(Tasks!$M58)=0,Tasks!$E58="Manual"),"",Tasks!$M58)</f>
        <v/>
      </c>
      <c r="Q54" s="26" t="str">
        <f aca="false">IF(Tasks!$D58="","",Tasks!$AD58&amp;"")</f>
        <v/>
      </c>
    </row>
    <row r="55" customFormat="false" ht="15" hidden="false" customHeight="false" outlineLevel="0" collapsed="false">
      <c r="A55" s="26" t="str">
        <f aca="false">IF(Tasks!$D59="","",Tasks!$A59)</f>
        <v/>
      </c>
      <c r="B55" s="26" t="str">
        <f aca="false">IF(Tasks!$D59="","",Tasks!$D59)</f>
        <v/>
      </c>
      <c r="C55" s="26" t="str">
        <f aca="false">IF(Tasks!$D59="","",Tasks!$AE59)</f>
        <v/>
      </c>
      <c r="D55" s="26" t="str">
        <f aca="false">IF(Tasks!$D59="","",IF(Tasks!$E59="Manual","Manually Scheduled","Auto Scheduled"))</f>
        <v/>
      </c>
      <c r="E55" s="26" t="str">
        <f aca="false">IF(OR(Tasks!$D59="",Tasks!$AI59),"",N(Tasks!$F59)&amp;"d")</f>
        <v/>
      </c>
      <c r="F55" s="79" t="str">
        <f aca="false">IF(Tasks!$D59="","",Tasks!$R59)</f>
        <v/>
      </c>
      <c r="G55" s="79" t="str">
        <f aca="false">IF(Tasks!$D59="","",Tasks!$S59)</f>
        <v/>
      </c>
      <c r="H55" s="26" t="str">
        <f aca="false">IF(OR(Tasks!$D59="",Tasks!$AI59),"",Tasks!$AC59)</f>
        <v/>
      </c>
      <c r="I55" s="26" t="str">
        <f aca="false">IF(OR(Tasks!$D59="",Tasks!$X59=""),"",Tasks!$X59&amp;IF(OR(Tasks!$Y59="",Tasks!$Y59=1),"","["&amp;ROUND(Tasks!$Y59*100,0)&amp;"%]"))</f>
        <v/>
      </c>
      <c r="J55" s="26" t="str">
        <f aca="false">IF(OR(Tasks!$D59="",Tasks!$AI59),"",ROUND(Tasks!$V59*100,0))</f>
        <v/>
      </c>
      <c r="K55" s="79" t="str">
        <f aca="false">IF(OR(Tasks!$D59="",N(Tasks!$P59)=0),"",Tasks!$P59)</f>
        <v/>
      </c>
      <c r="L55" s="79" t="str">
        <f aca="false">IF(OR(Tasks!$D59="",N(Tasks!$Q59)=0),"",Tasks!$Q59)</f>
        <v/>
      </c>
      <c r="M55" s="79" t="str">
        <f aca="false">IF(Tasks!$D59="","",Tasks!$N59)</f>
        <v/>
      </c>
      <c r="N55" s="79" t="str">
        <f aca="false">IF(Tasks!$D59="","",Tasks!$O59)</f>
        <v/>
      </c>
      <c r="O55" s="26" t="str">
        <f aca="false">IF(OR(Tasks!$D59="",Tasks!$AI59),"",IF(AND(Tasks!$E59&lt;&gt;"Manual",N(Tasks!$M59)&gt;0),"Start No Earlier Than","As Soon As Possible"))</f>
        <v/>
      </c>
      <c r="P55" s="79" t="str">
        <f aca="false">IF(OR(Tasks!$D59="",Tasks!$AI59,N(Tasks!$M59)=0,Tasks!$E59="Manual"),"",Tasks!$M59)</f>
        <v/>
      </c>
      <c r="Q55" s="26" t="str">
        <f aca="false">IF(Tasks!$D59="","",Tasks!$AD59&amp;"")</f>
        <v/>
      </c>
    </row>
    <row r="56" customFormat="false" ht="15" hidden="false" customHeight="false" outlineLevel="0" collapsed="false">
      <c r="A56" s="26" t="str">
        <f aca="false">IF(Tasks!$D60="","",Tasks!$A60)</f>
        <v/>
      </c>
      <c r="B56" s="26" t="str">
        <f aca="false">IF(Tasks!$D60="","",Tasks!$D60)</f>
        <v/>
      </c>
      <c r="C56" s="26" t="str">
        <f aca="false">IF(Tasks!$D60="","",Tasks!$AE60)</f>
        <v/>
      </c>
      <c r="D56" s="26" t="str">
        <f aca="false">IF(Tasks!$D60="","",IF(Tasks!$E60="Manual","Manually Scheduled","Auto Scheduled"))</f>
        <v/>
      </c>
      <c r="E56" s="26" t="str">
        <f aca="false">IF(OR(Tasks!$D60="",Tasks!$AI60),"",N(Tasks!$F60)&amp;"d")</f>
        <v/>
      </c>
      <c r="F56" s="79" t="str">
        <f aca="false">IF(Tasks!$D60="","",Tasks!$R60)</f>
        <v/>
      </c>
      <c r="G56" s="79" t="str">
        <f aca="false">IF(Tasks!$D60="","",Tasks!$S60)</f>
        <v/>
      </c>
      <c r="H56" s="26" t="str">
        <f aca="false">IF(OR(Tasks!$D60="",Tasks!$AI60),"",Tasks!$AC60)</f>
        <v/>
      </c>
      <c r="I56" s="26" t="str">
        <f aca="false">IF(OR(Tasks!$D60="",Tasks!$X60=""),"",Tasks!$X60&amp;IF(OR(Tasks!$Y60="",Tasks!$Y60=1),"","["&amp;ROUND(Tasks!$Y60*100,0)&amp;"%]"))</f>
        <v/>
      </c>
      <c r="J56" s="26" t="str">
        <f aca="false">IF(OR(Tasks!$D60="",Tasks!$AI60),"",ROUND(Tasks!$V60*100,0))</f>
        <v/>
      </c>
      <c r="K56" s="79" t="str">
        <f aca="false">IF(OR(Tasks!$D60="",N(Tasks!$P60)=0),"",Tasks!$P60)</f>
        <v/>
      </c>
      <c r="L56" s="79" t="str">
        <f aca="false">IF(OR(Tasks!$D60="",N(Tasks!$Q60)=0),"",Tasks!$Q60)</f>
        <v/>
      </c>
      <c r="M56" s="79" t="str">
        <f aca="false">IF(Tasks!$D60="","",Tasks!$N60)</f>
        <v/>
      </c>
      <c r="N56" s="79" t="str">
        <f aca="false">IF(Tasks!$D60="","",Tasks!$O60)</f>
        <v/>
      </c>
      <c r="O56" s="26" t="str">
        <f aca="false">IF(OR(Tasks!$D60="",Tasks!$AI60),"",IF(AND(Tasks!$E60&lt;&gt;"Manual",N(Tasks!$M60)&gt;0),"Start No Earlier Than","As Soon As Possible"))</f>
        <v/>
      </c>
      <c r="P56" s="79" t="str">
        <f aca="false">IF(OR(Tasks!$D60="",Tasks!$AI60,N(Tasks!$M60)=0,Tasks!$E60="Manual"),"",Tasks!$M60)</f>
        <v/>
      </c>
      <c r="Q56" s="26" t="str">
        <f aca="false">IF(Tasks!$D60="","",Tasks!$AD60&amp;"")</f>
        <v/>
      </c>
    </row>
    <row r="57" customFormat="false" ht="15" hidden="false" customHeight="false" outlineLevel="0" collapsed="false">
      <c r="A57" s="26" t="str">
        <f aca="false">IF(Tasks!$D61="","",Tasks!$A61)</f>
        <v/>
      </c>
      <c r="B57" s="26" t="str">
        <f aca="false">IF(Tasks!$D61="","",Tasks!$D61)</f>
        <v/>
      </c>
      <c r="C57" s="26" t="str">
        <f aca="false">IF(Tasks!$D61="","",Tasks!$AE61)</f>
        <v/>
      </c>
      <c r="D57" s="26" t="str">
        <f aca="false">IF(Tasks!$D61="","",IF(Tasks!$E61="Manual","Manually Scheduled","Auto Scheduled"))</f>
        <v/>
      </c>
      <c r="E57" s="26" t="str">
        <f aca="false">IF(OR(Tasks!$D61="",Tasks!$AI61),"",N(Tasks!$F61)&amp;"d")</f>
        <v/>
      </c>
      <c r="F57" s="79" t="str">
        <f aca="false">IF(Tasks!$D61="","",Tasks!$R61)</f>
        <v/>
      </c>
      <c r="G57" s="79" t="str">
        <f aca="false">IF(Tasks!$D61="","",Tasks!$S61)</f>
        <v/>
      </c>
      <c r="H57" s="26" t="str">
        <f aca="false">IF(OR(Tasks!$D61="",Tasks!$AI61),"",Tasks!$AC61)</f>
        <v/>
      </c>
      <c r="I57" s="26" t="str">
        <f aca="false">IF(OR(Tasks!$D61="",Tasks!$X61=""),"",Tasks!$X61&amp;IF(OR(Tasks!$Y61="",Tasks!$Y61=1),"","["&amp;ROUND(Tasks!$Y61*100,0)&amp;"%]"))</f>
        <v/>
      </c>
      <c r="J57" s="26" t="str">
        <f aca="false">IF(OR(Tasks!$D61="",Tasks!$AI61),"",ROUND(Tasks!$V61*100,0))</f>
        <v/>
      </c>
      <c r="K57" s="79" t="str">
        <f aca="false">IF(OR(Tasks!$D61="",N(Tasks!$P61)=0),"",Tasks!$P61)</f>
        <v/>
      </c>
      <c r="L57" s="79" t="str">
        <f aca="false">IF(OR(Tasks!$D61="",N(Tasks!$Q61)=0),"",Tasks!$Q61)</f>
        <v/>
      </c>
      <c r="M57" s="79" t="str">
        <f aca="false">IF(Tasks!$D61="","",Tasks!$N61)</f>
        <v/>
      </c>
      <c r="N57" s="79" t="str">
        <f aca="false">IF(Tasks!$D61="","",Tasks!$O61)</f>
        <v/>
      </c>
      <c r="O57" s="26" t="str">
        <f aca="false">IF(OR(Tasks!$D61="",Tasks!$AI61),"",IF(AND(Tasks!$E61&lt;&gt;"Manual",N(Tasks!$M61)&gt;0),"Start No Earlier Than","As Soon As Possible"))</f>
        <v/>
      </c>
      <c r="P57" s="79" t="str">
        <f aca="false">IF(OR(Tasks!$D61="",Tasks!$AI61,N(Tasks!$M61)=0,Tasks!$E61="Manual"),"",Tasks!$M61)</f>
        <v/>
      </c>
      <c r="Q57" s="26" t="str">
        <f aca="false">IF(Tasks!$D61="","",Tasks!$AD61&amp;"")</f>
        <v/>
      </c>
    </row>
    <row r="58" customFormat="false" ht="15" hidden="false" customHeight="false" outlineLevel="0" collapsed="false">
      <c r="A58" s="26" t="str">
        <f aca="false">IF(Tasks!$D62="","",Tasks!$A62)</f>
        <v/>
      </c>
      <c r="B58" s="26" t="str">
        <f aca="false">IF(Tasks!$D62="","",Tasks!$D62)</f>
        <v/>
      </c>
      <c r="C58" s="26" t="str">
        <f aca="false">IF(Tasks!$D62="","",Tasks!$AE62)</f>
        <v/>
      </c>
      <c r="D58" s="26" t="str">
        <f aca="false">IF(Tasks!$D62="","",IF(Tasks!$E62="Manual","Manually Scheduled","Auto Scheduled"))</f>
        <v/>
      </c>
      <c r="E58" s="26" t="str">
        <f aca="false">IF(OR(Tasks!$D62="",Tasks!$AI62),"",N(Tasks!$F62)&amp;"d")</f>
        <v/>
      </c>
      <c r="F58" s="79" t="str">
        <f aca="false">IF(Tasks!$D62="","",Tasks!$R62)</f>
        <v/>
      </c>
      <c r="G58" s="79" t="str">
        <f aca="false">IF(Tasks!$D62="","",Tasks!$S62)</f>
        <v/>
      </c>
      <c r="H58" s="26" t="str">
        <f aca="false">IF(OR(Tasks!$D62="",Tasks!$AI62),"",Tasks!$AC62)</f>
        <v/>
      </c>
      <c r="I58" s="26" t="str">
        <f aca="false">IF(OR(Tasks!$D62="",Tasks!$X62=""),"",Tasks!$X62&amp;IF(OR(Tasks!$Y62="",Tasks!$Y62=1),"","["&amp;ROUND(Tasks!$Y62*100,0)&amp;"%]"))</f>
        <v/>
      </c>
      <c r="J58" s="26" t="str">
        <f aca="false">IF(OR(Tasks!$D62="",Tasks!$AI62),"",ROUND(Tasks!$V62*100,0))</f>
        <v/>
      </c>
      <c r="K58" s="79" t="str">
        <f aca="false">IF(OR(Tasks!$D62="",N(Tasks!$P62)=0),"",Tasks!$P62)</f>
        <v/>
      </c>
      <c r="L58" s="79" t="str">
        <f aca="false">IF(OR(Tasks!$D62="",N(Tasks!$Q62)=0),"",Tasks!$Q62)</f>
        <v/>
      </c>
      <c r="M58" s="79" t="str">
        <f aca="false">IF(Tasks!$D62="","",Tasks!$N62)</f>
        <v/>
      </c>
      <c r="N58" s="79" t="str">
        <f aca="false">IF(Tasks!$D62="","",Tasks!$O62)</f>
        <v/>
      </c>
      <c r="O58" s="26" t="str">
        <f aca="false">IF(OR(Tasks!$D62="",Tasks!$AI62),"",IF(AND(Tasks!$E62&lt;&gt;"Manual",N(Tasks!$M62)&gt;0),"Start No Earlier Than","As Soon As Possible"))</f>
        <v/>
      </c>
      <c r="P58" s="79" t="str">
        <f aca="false">IF(OR(Tasks!$D62="",Tasks!$AI62,N(Tasks!$M62)=0,Tasks!$E62="Manual"),"",Tasks!$M62)</f>
        <v/>
      </c>
      <c r="Q58" s="26" t="str">
        <f aca="false">IF(Tasks!$D62="","",Tasks!$AD62&amp;"")</f>
        <v/>
      </c>
    </row>
    <row r="59" customFormat="false" ht="15" hidden="false" customHeight="false" outlineLevel="0" collapsed="false">
      <c r="A59" s="26" t="str">
        <f aca="false">IF(Tasks!$D63="","",Tasks!$A63)</f>
        <v/>
      </c>
      <c r="B59" s="26" t="str">
        <f aca="false">IF(Tasks!$D63="","",Tasks!$D63)</f>
        <v/>
      </c>
      <c r="C59" s="26" t="str">
        <f aca="false">IF(Tasks!$D63="","",Tasks!$AE63)</f>
        <v/>
      </c>
      <c r="D59" s="26" t="str">
        <f aca="false">IF(Tasks!$D63="","",IF(Tasks!$E63="Manual","Manually Scheduled","Auto Scheduled"))</f>
        <v/>
      </c>
      <c r="E59" s="26" t="str">
        <f aca="false">IF(OR(Tasks!$D63="",Tasks!$AI63),"",N(Tasks!$F63)&amp;"d")</f>
        <v/>
      </c>
      <c r="F59" s="79" t="str">
        <f aca="false">IF(Tasks!$D63="","",Tasks!$R63)</f>
        <v/>
      </c>
      <c r="G59" s="79" t="str">
        <f aca="false">IF(Tasks!$D63="","",Tasks!$S63)</f>
        <v/>
      </c>
      <c r="H59" s="26" t="str">
        <f aca="false">IF(OR(Tasks!$D63="",Tasks!$AI63),"",Tasks!$AC63)</f>
        <v/>
      </c>
      <c r="I59" s="26" t="str">
        <f aca="false">IF(OR(Tasks!$D63="",Tasks!$X63=""),"",Tasks!$X63&amp;IF(OR(Tasks!$Y63="",Tasks!$Y63=1),"","["&amp;ROUND(Tasks!$Y63*100,0)&amp;"%]"))</f>
        <v/>
      </c>
      <c r="J59" s="26" t="str">
        <f aca="false">IF(OR(Tasks!$D63="",Tasks!$AI63),"",ROUND(Tasks!$V63*100,0))</f>
        <v/>
      </c>
      <c r="K59" s="79" t="str">
        <f aca="false">IF(OR(Tasks!$D63="",N(Tasks!$P63)=0),"",Tasks!$P63)</f>
        <v/>
      </c>
      <c r="L59" s="79" t="str">
        <f aca="false">IF(OR(Tasks!$D63="",N(Tasks!$Q63)=0),"",Tasks!$Q63)</f>
        <v/>
      </c>
      <c r="M59" s="79" t="str">
        <f aca="false">IF(Tasks!$D63="","",Tasks!$N63)</f>
        <v/>
      </c>
      <c r="N59" s="79" t="str">
        <f aca="false">IF(Tasks!$D63="","",Tasks!$O63)</f>
        <v/>
      </c>
      <c r="O59" s="26" t="str">
        <f aca="false">IF(OR(Tasks!$D63="",Tasks!$AI63),"",IF(AND(Tasks!$E63&lt;&gt;"Manual",N(Tasks!$M63)&gt;0),"Start No Earlier Than","As Soon As Possible"))</f>
        <v/>
      </c>
      <c r="P59" s="79" t="str">
        <f aca="false">IF(OR(Tasks!$D63="",Tasks!$AI63,N(Tasks!$M63)=0,Tasks!$E63="Manual"),"",Tasks!$M63)</f>
        <v/>
      </c>
      <c r="Q59" s="26" t="str">
        <f aca="false">IF(Tasks!$D63="","",Tasks!$AD63&amp;"")</f>
        <v/>
      </c>
    </row>
    <row r="60" customFormat="false" ht="15" hidden="false" customHeight="false" outlineLevel="0" collapsed="false">
      <c r="A60" s="26" t="str">
        <f aca="false">IF(Tasks!$D64="","",Tasks!$A64)</f>
        <v/>
      </c>
      <c r="B60" s="26" t="str">
        <f aca="false">IF(Tasks!$D64="","",Tasks!$D64)</f>
        <v/>
      </c>
      <c r="C60" s="26" t="str">
        <f aca="false">IF(Tasks!$D64="","",Tasks!$AE64)</f>
        <v/>
      </c>
      <c r="D60" s="26" t="str">
        <f aca="false">IF(Tasks!$D64="","",IF(Tasks!$E64="Manual","Manually Scheduled","Auto Scheduled"))</f>
        <v/>
      </c>
      <c r="E60" s="26" t="str">
        <f aca="false">IF(OR(Tasks!$D64="",Tasks!$AI64),"",N(Tasks!$F64)&amp;"d")</f>
        <v/>
      </c>
      <c r="F60" s="79" t="str">
        <f aca="false">IF(Tasks!$D64="","",Tasks!$R64)</f>
        <v/>
      </c>
      <c r="G60" s="79" t="str">
        <f aca="false">IF(Tasks!$D64="","",Tasks!$S64)</f>
        <v/>
      </c>
      <c r="H60" s="26" t="str">
        <f aca="false">IF(OR(Tasks!$D64="",Tasks!$AI64),"",Tasks!$AC64)</f>
        <v/>
      </c>
      <c r="I60" s="26" t="str">
        <f aca="false">IF(OR(Tasks!$D64="",Tasks!$X64=""),"",Tasks!$X64&amp;IF(OR(Tasks!$Y64="",Tasks!$Y64=1),"","["&amp;ROUND(Tasks!$Y64*100,0)&amp;"%]"))</f>
        <v/>
      </c>
      <c r="J60" s="26" t="str">
        <f aca="false">IF(OR(Tasks!$D64="",Tasks!$AI64),"",ROUND(Tasks!$V64*100,0))</f>
        <v/>
      </c>
      <c r="K60" s="79" t="str">
        <f aca="false">IF(OR(Tasks!$D64="",N(Tasks!$P64)=0),"",Tasks!$P64)</f>
        <v/>
      </c>
      <c r="L60" s="79" t="str">
        <f aca="false">IF(OR(Tasks!$D64="",N(Tasks!$Q64)=0),"",Tasks!$Q64)</f>
        <v/>
      </c>
      <c r="M60" s="79" t="str">
        <f aca="false">IF(Tasks!$D64="","",Tasks!$N64)</f>
        <v/>
      </c>
      <c r="N60" s="79" t="str">
        <f aca="false">IF(Tasks!$D64="","",Tasks!$O64)</f>
        <v/>
      </c>
      <c r="O60" s="26" t="str">
        <f aca="false">IF(OR(Tasks!$D64="",Tasks!$AI64),"",IF(AND(Tasks!$E64&lt;&gt;"Manual",N(Tasks!$M64)&gt;0),"Start No Earlier Than","As Soon As Possible"))</f>
        <v/>
      </c>
      <c r="P60" s="79" t="str">
        <f aca="false">IF(OR(Tasks!$D64="",Tasks!$AI64,N(Tasks!$M64)=0,Tasks!$E64="Manual"),"",Tasks!$M64)</f>
        <v/>
      </c>
      <c r="Q60" s="26" t="str">
        <f aca="false">IF(Tasks!$D64="","",Tasks!$AD64&amp;"")</f>
        <v/>
      </c>
    </row>
    <row r="61" customFormat="false" ht="15" hidden="false" customHeight="false" outlineLevel="0" collapsed="false">
      <c r="A61" s="26" t="str">
        <f aca="false">IF(Tasks!$D65="","",Tasks!$A65)</f>
        <v/>
      </c>
      <c r="B61" s="26" t="str">
        <f aca="false">IF(Tasks!$D65="","",Tasks!$D65)</f>
        <v/>
      </c>
      <c r="C61" s="26" t="str">
        <f aca="false">IF(Tasks!$D65="","",Tasks!$AE65)</f>
        <v/>
      </c>
      <c r="D61" s="26" t="str">
        <f aca="false">IF(Tasks!$D65="","",IF(Tasks!$E65="Manual","Manually Scheduled","Auto Scheduled"))</f>
        <v/>
      </c>
      <c r="E61" s="26" t="str">
        <f aca="false">IF(OR(Tasks!$D65="",Tasks!$AI65),"",N(Tasks!$F65)&amp;"d")</f>
        <v/>
      </c>
      <c r="F61" s="79" t="str">
        <f aca="false">IF(Tasks!$D65="","",Tasks!$R65)</f>
        <v/>
      </c>
      <c r="G61" s="79" t="str">
        <f aca="false">IF(Tasks!$D65="","",Tasks!$S65)</f>
        <v/>
      </c>
      <c r="H61" s="26" t="str">
        <f aca="false">IF(OR(Tasks!$D65="",Tasks!$AI65),"",Tasks!$AC65)</f>
        <v/>
      </c>
      <c r="I61" s="26" t="str">
        <f aca="false">IF(OR(Tasks!$D65="",Tasks!$X65=""),"",Tasks!$X65&amp;IF(OR(Tasks!$Y65="",Tasks!$Y65=1),"","["&amp;ROUND(Tasks!$Y65*100,0)&amp;"%]"))</f>
        <v/>
      </c>
      <c r="J61" s="26" t="str">
        <f aca="false">IF(OR(Tasks!$D65="",Tasks!$AI65),"",ROUND(Tasks!$V65*100,0))</f>
        <v/>
      </c>
      <c r="K61" s="79" t="str">
        <f aca="false">IF(OR(Tasks!$D65="",N(Tasks!$P65)=0),"",Tasks!$P65)</f>
        <v/>
      </c>
      <c r="L61" s="79" t="str">
        <f aca="false">IF(OR(Tasks!$D65="",N(Tasks!$Q65)=0),"",Tasks!$Q65)</f>
        <v/>
      </c>
      <c r="M61" s="79" t="str">
        <f aca="false">IF(Tasks!$D65="","",Tasks!$N65)</f>
        <v/>
      </c>
      <c r="N61" s="79" t="str">
        <f aca="false">IF(Tasks!$D65="","",Tasks!$O65)</f>
        <v/>
      </c>
      <c r="O61" s="26" t="str">
        <f aca="false">IF(OR(Tasks!$D65="",Tasks!$AI65),"",IF(AND(Tasks!$E65&lt;&gt;"Manual",N(Tasks!$M65)&gt;0),"Start No Earlier Than","As Soon As Possible"))</f>
        <v/>
      </c>
      <c r="P61" s="79" t="str">
        <f aca="false">IF(OR(Tasks!$D65="",Tasks!$AI65,N(Tasks!$M65)=0,Tasks!$E65="Manual"),"",Tasks!$M65)</f>
        <v/>
      </c>
      <c r="Q61" s="26" t="str">
        <f aca="false">IF(Tasks!$D65="","",Tasks!$AD65&amp;"")</f>
        <v/>
      </c>
    </row>
    <row r="62" customFormat="false" ht="15" hidden="false" customHeight="false" outlineLevel="0" collapsed="false">
      <c r="A62" s="26" t="str">
        <f aca="false">IF(Tasks!$D66="","",Tasks!$A66)</f>
        <v/>
      </c>
      <c r="B62" s="26" t="str">
        <f aca="false">IF(Tasks!$D66="","",Tasks!$D66)</f>
        <v/>
      </c>
      <c r="C62" s="26" t="str">
        <f aca="false">IF(Tasks!$D66="","",Tasks!$AE66)</f>
        <v/>
      </c>
      <c r="D62" s="26" t="str">
        <f aca="false">IF(Tasks!$D66="","",IF(Tasks!$E66="Manual","Manually Scheduled","Auto Scheduled"))</f>
        <v/>
      </c>
      <c r="E62" s="26" t="str">
        <f aca="false">IF(OR(Tasks!$D66="",Tasks!$AI66),"",N(Tasks!$F66)&amp;"d")</f>
        <v/>
      </c>
      <c r="F62" s="79" t="str">
        <f aca="false">IF(Tasks!$D66="","",Tasks!$R66)</f>
        <v/>
      </c>
      <c r="G62" s="79" t="str">
        <f aca="false">IF(Tasks!$D66="","",Tasks!$S66)</f>
        <v/>
      </c>
      <c r="H62" s="26" t="str">
        <f aca="false">IF(OR(Tasks!$D66="",Tasks!$AI66),"",Tasks!$AC66)</f>
        <v/>
      </c>
      <c r="I62" s="26" t="str">
        <f aca="false">IF(OR(Tasks!$D66="",Tasks!$X66=""),"",Tasks!$X66&amp;IF(OR(Tasks!$Y66="",Tasks!$Y66=1),"","["&amp;ROUND(Tasks!$Y66*100,0)&amp;"%]"))</f>
        <v/>
      </c>
      <c r="J62" s="26" t="str">
        <f aca="false">IF(OR(Tasks!$D66="",Tasks!$AI66),"",ROUND(Tasks!$V66*100,0))</f>
        <v/>
      </c>
      <c r="K62" s="79" t="str">
        <f aca="false">IF(OR(Tasks!$D66="",N(Tasks!$P66)=0),"",Tasks!$P66)</f>
        <v/>
      </c>
      <c r="L62" s="79" t="str">
        <f aca="false">IF(OR(Tasks!$D66="",N(Tasks!$Q66)=0),"",Tasks!$Q66)</f>
        <v/>
      </c>
      <c r="M62" s="79" t="str">
        <f aca="false">IF(Tasks!$D66="","",Tasks!$N66)</f>
        <v/>
      </c>
      <c r="N62" s="79" t="str">
        <f aca="false">IF(Tasks!$D66="","",Tasks!$O66)</f>
        <v/>
      </c>
      <c r="O62" s="26" t="str">
        <f aca="false">IF(OR(Tasks!$D66="",Tasks!$AI66),"",IF(AND(Tasks!$E66&lt;&gt;"Manual",N(Tasks!$M66)&gt;0),"Start No Earlier Than","As Soon As Possible"))</f>
        <v/>
      </c>
      <c r="P62" s="79" t="str">
        <f aca="false">IF(OR(Tasks!$D66="",Tasks!$AI66,N(Tasks!$M66)=0,Tasks!$E66="Manual"),"",Tasks!$M66)</f>
        <v/>
      </c>
      <c r="Q62" s="26" t="str">
        <f aca="false">IF(Tasks!$D66="","",Tasks!$AD66&amp;"")</f>
        <v/>
      </c>
    </row>
    <row r="63" customFormat="false" ht="15" hidden="false" customHeight="false" outlineLevel="0" collapsed="false">
      <c r="A63" s="26" t="str">
        <f aca="false">IF(Tasks!$D67="","",Tasks!$A67)</f>
        <v/>
      </c>
      <c r="B63" s="26" t="str">
        <f aca="false">IF(Tasks!$D67="","",Tasks!$D67)</f>
        <v/>
      </c>
      <c r="C63" s="26" t="str">
        <f aca="false">IF(Tasks!$D67="","",Tasks!$AE67)</f>
        <v/>
      </c>
      <c r="D63" s="26" t="str">
        <f aca="false">IF(Tasks!$D67="","",IF(Tasks!$E67="Manual","Manually Scheduled","Auto Scheduled"))</f>
        <v/>
      </c>
      <c r="E63" s="26" t="str">
        <f aca="false">IF(OR(Tasks!$D67="",Tasks!$AI67),"",N(Tasks!$F67)&amp;"d")</f>
        <v/>
      </c>
      <c r="F63" s="79" t="str">
        <f aca="false">IF(Tasks!$D67="","",Tasks!$R67)</f>
        <v/>
      </c>
      <c r="G63" s="79" t="str">
        <f aca="false">IF(Tasks!$D67="","",Tasks!$S67)</f>
        <v/>
      </c>
      <c r="H63" s="26" t="str">
        <f aca="false">IF(OR(Tasks!$D67="",Tasks!$AI67),"",Tasks!$AC67)</f>
        <v/>
      </c>
      <c r="I63" s="26" t="str">
        <f aca="false">IF(OR(Tasks!$D67="",Tasks!$X67=""),"",Tasks!$X67&amp;IF(OR(Tasks!$Y67="",Tasks!$Y67=1),"","["&amp;ROUND(Tasks!$Y67*100,0)&amp;"%]"))</f>
        <v/>
      </c>
      <c r="J63" s="26" t="str">
        <f aca="false">IF(OR(Tasks!$D67="",Tasks!$AI67),"",ROUND(Tasks!$V67*100,0))</f>
        <v/>
      </c>
      <c r="K63" s="79" t="str">
        <f aca="false">IF(OR(Tasks!$D67="",N(Tasks!$P67)=0),"",Tasks!$P67)</f>
        <v/>
      </c>
      <c r="L63" s="79" t="str">
        <f aca="false">IF(OR(Tasks!$D67="",N(Tasks!$Q67)=0),"",Tasks!$Q67)</f>
        <v/>
      </c>
      <c r="M63" s="79" t="str">
        <f aca="false">IF(Tasks!$D67="","",Tasks!$N67)</f>
        <v/>
      </c>
      <c r="N63" s="79" t="str">
        <f aca="false">IF(Tasks!$D67="","",Tasks!$O67)</f>
        <v/>
      </c>
      <c r="O63" s="26" t="str">
        <f aca="false">IF(OR(Tasks!$D67="",Tasks!$AI67),"",IF(AND(Tasks!$E67&lt;&gt;"Manual",N(Tasks!$M67)&gt;0),"Start No Earlier Than","As Soon As Possible"))</f>
        <v/>
      </c>
      <c r="P63" s="79" t="str">
        <f aca="false">IF(OR(Tasks!$D67="",Tasks!$AI67,N(Tasks!$M67)=0,Tasks!$E67="Manual"),"",Tasks!$M67)</f>
        <v/>
      </c>
      <c r="Q63" s="26" t="str">
        <f aca="false">IF(Tasks!$D67="","",Tasks!$AD67&amp;"")</f>
        <v/>
      </c>
    </row>
    <row r="64" customFormat="false" ht="15" hidden="false" customHeight="false" outlineLevel="0" collapsed="false">
      <c r="A64" s="26" t="str">
        <f aca="false">IF(Tasks!$D68="","",Tasks!$A68)</f>
        <v/>
      </c>
      <c r="B64" s="26" t="str">
        <f aca="false">IF(Tasks!$D68="","",Tasks!$D68)</f>
        <v/>
      </c>
      <c r="C64" s="26" t="str">
        <f aca="false">IF(Tasks!$D68="","",Tasks!$AE68)</f>
        <v/>
      </c>
      <c r="D64" s="26" t="str">
        <f aca="false">IF(Tasks!$D68="","",IF(Tasks!$E68="Manual","Manually Scheduled","Auto Scheduled"))</f>
        <v/>
      </c>
      <c r="E64" s="26" t="str">
        <f aca="false">IF(OR(Tasks!$D68="",Tasks!$AI68),"",N(Tasks!$F68)&amp;"d")</f>
        <v/>
      </c>
      <c r="F64" s="79" t="str">
        <f aca="false">IF(Tasks!$D68="","",Tasks!$R68)</f>
        <v/>
      </c>
      <c r="G64" s="79" t="str">
        <f aca="false">IF(Tasks!$D68="","",Tasks!$S68)</f>
        <v/>
      </c>
      <c r="H64" s="26" t="str">
        <f aca="false">IF(OR(Tasks!$D68="",Tasks!$AI68),"",Tasks!$AC68)</f>
        <v/>
      </c>
      <c r="I64" s="26" t="str">
        <f aca="false">IF(OR(Tasks!$D68="",Tasks!$X68=""),"",Tasks!$X68&amp;IF(OR(Tasks!$Y68="",Tasks!$Y68=1),"","["&amp;ROUND(Tasks!$Y68*100,0)&amp;"%]"))</f>
        <v/>
      </c>
      <c r="J64" s="26" t="str">
        <f aca="false">IF(OR(Tasks!$D68="",Tasks!$AI68),"",ROUND(Tasks!$V68*100,0))</f>
        <v/>
      </c>
      <c r="K64" s="79" t="str">
        <f aca="false">IF(OR(Tasks!$D68="",N(Tasks!$P68)=0),"",Tasks!$P68)</f>
        <v/>
      </c>
      <c r="L64" s="79" t="str">
        <f aca="false">IF(OR(Tasks!$D68="",N(Tasks!$Q68)=0),"",Tasks!$Q68)</f>
        <v/>
      </c>
      <c r="M64" s="79" t="str">
        <f aca="false">IF(Tasks!$D68="","",Tasks!$N68)</f>
        <v/>
      </c>
      <c r="N64" s="79" t="str">
        <f aca="false">IF(Tasks!$D68="","",Tasks!$O68)</f>
        <v/>
      </c>
      <c r="O64" s="26" t="str">
        <f aca="false">IF(OR(Tasks!$D68="",Tasks!$AI68),"",IF(AND(Tasks!$E68&lt;&gt;"Manual",N(Tasks!$M68)&gt;0),"Start No Earlier Than","As Soon As Possible"))</f>
        <v/>
      </c>
      <c r="P64" s="79" t="str">
        <f aca="false">IF(OR(Tasks!$D68="",Tasks!$AI68,N(Tasks!$M68)=0,Tasks!$E68="Manual"),"",Tasks!$M68)</f>
        <v/>
      </c>
      <c r="Q64" s="26" t="str">
        <f aca="false">IF(Tasks!$D68="","",Tasks!$AD68&amp;"")</f>
        <v/>
      </c>
    </row>
    <row r="65" customFormat="false" ht="15" hidden="false" customHeight="false" outlineLevel="0" collapsed="false">
      <c r="A65" s="26" t="str">
        <f aca="false">IF(Tasks!$D69="","",Tasks!$A69)</f>
        <v/>
      </c>
      <c r="B65" s="26" t="str">
        <f aca="false">IF(Tasks!$D69="","",Tasks!$D69)</f>
        <v/>
      </c>
      <c r="C65" s="26" t="str">
        <f aca="false">IF(Tasks!$D69="","",Tasks!$AE69)</f>
        <v/>
      </c>
      <c r="D65" s="26" t="str">
        <f aca="false">IF(Tasks!$D69="","",IF(Tasks!$E69="Manual","Manually Scheduled","Auto Scheduled"))</f>
        <v/>
      </c>
      <c r="E65" s="26" t="str">
        <f aca="false">IF(OR(Tasks!$D69="",Tasks!$AI69),"",N(Tasks!$F69)&amp;"d")</f>
        <v/>
      </c>
      <c r="F65" s="79" t="str">
        <f aca="false">IF(Tasks!$D69="","",Tasks!$R69)</f>
        <v/>
      </c>
      <c r="G65" s="79" t="str">
        <f aca="false">IF(Tasks!$D69="","",Tasks!$S69)</f>
        <v/>
      </c>
      <c r="H65" s="26" t="str">
        <f aca="false">IF(OR(Tasks!$D69="",Tasks!$AI69),"",Tasks!$AC69)</f>
        <v/>
      </c>
      <c r="I65" s="26" t="str">
        <f aca="false">IF(OR(Tasks!$D69="",Tasks!$X69=""),"",Tasks!$X69&amp;IF(OR(Tasks!$Y69="",Tasks!$Y69=1),"","["&amp;ROUND(Tasks!$Y69*100,0)&amp;"%]"))</f>
        <v/>
      </c>
      <c r="J65" s="26" t="str">
        <f aca="false">IF(OR(Tasks!$D69="",Tasks!$AI69),"",ROUND(Tasks!$V69*100,0))</f>
        <v/>
      </c>
      <c r="K65" s="79" t="str">
        <f aca="false">IF(OR(Tasks!$D69="",N(Tasks!$P69)=0),"",Tasks!$P69)</f>
        <v/>
      </c>
      <c r="L65" s="79" t="str">
        <f aca="false">IF(OR(Tasks!$D69="",N(Tasks!$Q69)=0),"",Tasks!$Q69)</f>
        <v/>
      </c>
      <c r="M65" s="79" t="str">
        <f aca="false">IF(Tasks!$D69="","",Tasks!$N69)</f>
        <v/>
      </c>
      <c r="N65" s="79" t="str">
        <f aca="false">IF(Tasks!$D69="","",Tasks!$O69)</f>
        <v/>
      </c>
      <c r="O65" s="26" t="str">
        <f aca="false">IF(OR(Tasks!$D69="",Tasks!$AI69),"",IF(AND(Tasks!$E69&lt;&gt;"Manual",N(Tasks!$M69)&gt;0),"Start No Earlier Than","As Soon As Possible"))</f>
        <v/>
      </c>
      <c r="P65" s="79" t="str">
        <f aca="false">IF(OR(Tasks!$D69="",Tasks!$AI69,N(Tasks!$M69)=0,Tasks!$E69="Manual"),"",Tasks!$M69)</f>
        <v/>
      </c>
      <c r="Q65" s="26" t="str">
        <f aca="false">IF(Tasks!$D69="","",Tasks!$AD69&amp;"")</f>
        <v/>
      </c>
    </row>
    <row r="66" customFormat="false" ht="15" hidden="false" customHeight="false" outlineLevel="0" collapsed="false">
      <c r="A66" s="26" t="str">
        <f aca="false">IF(Tasks!$D70="","",Tasks!$A70)</f>
        <v/>
      </c>
      <c r="B66" s="26" t="str">
        <f aca="false">IF(Tasks!$D70="","",Tasks!$D70)</f>
        <v/>
      </c>
      <c r="C66" s="26" t="str">
        <f aca="false">IF(Tasks!$D70="","",Tasks!$AE70)</f>
        <v/>
      </c>
      <c r="D66" s="26" t="str">
        <f aca="false">IF(Tasks!$D70="","",IF(Tasks!$E70="Manual","Manually Scheduled","Auto Scheduled"))</f>
        <v/>
      </c>
      <c r="E66" s="26" t="str">
        <f aca="false">IF(OR(Tasks!$D70="",Tasks!$AI70),"",N(Tasks!$F70)&amp;"d")</f>
        <v/>
      </c>
      <c r="F66" s="79" t="str">
        <f aca="false">IF(Tasks!$D70="","",Tasks!$R70)</f>
        <v/>
      </c>
      <c r="G66" s="79" t="str">
        <f aca="false">IF(Tasks!$D70="","",Tasks!$S70)</f>
        <v/>
      </c>
      <c r="H66" s="26" t="str">
        <f aca="false">IF(OR(Tasks!$D70="",Tasks!$AI70),"",Tasks!$AC70)</f>
        <v/>
      </c>
      <c r="I66" s="26" t="str">
        <f aca="false">IF(OR(Tasks!$D70="",Tasks!$X70=""),"",Tasks!$X70&amp;IF(OR(Tasks!$Y70="",Tasks!$Y70=1),"","["&amp;ROUND(Tasks!$Y70*100,0)&amp;"%]"))</f>
        <v/>
      </c>
      <c r="J66" s="26" t="str">
        <f aca="false">IF(OR(Tasks!$D70="",Tasks!$AI70),"",ROUND(Tasks!$V70*100,0))</f>
        <v/>
      </c>
      <c r="K66" s="79" t="str">
        <f aca="false">IF(OR(Tasks!$D70="",N(Tasks!$P70)=0),"",Tasks!$P70)</f>
        <v/>
      </c>
      <c r="L66" s="79" t="str">
        <f aca="false">IF(OR(Tasks!$D70="",N(Tasks!$Q70)=0),"",Tasks!$Q70)</f>
        <v/>
      </c>
      <c r="M66" s="79" t="str">
        <f aca="false">IF(Tasks!$D70="","",Tasks!$N70)</f>
        <v/>
      </c>
      <c r="N66" s="79" t="str">
        <f aca="false">IF(Tasks!$D70="","",Tasks!$O70)</f>
        <v/>
      </c>
      <c r="O66" s="26" t="str">
        <f aca="false">IF(OR(Tasks!$D70="",Tasks!$AI70),"",IF(AND(Tasks!$E70&lt;&gt;"Manual",N(Tasks!$M70)&gt;0),"Start No Earlier Than","As Soon As Possible"))</f>
        <v/>
      </c>
      <c r="P66" s="79" t="str">
        <f aca="false">IF(OR(Tasks!$D70="",Tasks!$AI70,N(Tasks!$M70)=0,Tasks!$E70="Manual"),"",Tasks!$M70)</f>
        <v/>
      </c>
      <c r="Q66" s="26" t="str">
        <f aca="false">IF(Tasks!$D70="","",Tasks!$AD70&amp;"")</f>
        <v/>
      </c>
    </row>
    <row r="67" customFormat="false" ht="15" hidden="false" customHeight="false" outlineLevel="0" collapsed="false">
      <c r="A67" s="26" t="str">
        <f aca="false">IF(Tasks!$D71="","",Tasks!$A71)</f>
        <v/>
      </c>
      <c r="B67" s="26" t="str">
        <f aca="false">IF(Tasks!$D71="","",Tasks!$D71)</f>
        <v/>
      </c>
      <c r="C67" s="26" t="str">
        <f aca="false">IF(Tasks!$D71="","",Tasks!$AE71)</f>
        <v/>
      </c>
      <c r="D67" s="26" t="str">
        <f aca="false">IF(Tasks!$D71="","",IF(Tasks!$E71="Manual","Manually Scheduled","Auto Scheduled"))</f>
        <v/>
      </c>
      <c r="E67" s="26" t="str">
        <f aca="false">IF(OR(Tasks!$D71="",Tasks!$AI71),"",N(Tasks!$F71)&amp;"d")</f>
        <v/>
      </c>
      <c r="F67" s="79" t="str">
        <f aca="false">IF(Tasks!$D71="","",Tasks!$R71)</f>
        <v/>
      </c>
      <c r="G67" s="79" t="str">
        <f aca="false">IF(Tasks!$D71="","",Tasks!$S71)</f>
        <v/>
      </c>
      <c r="H67" s="26" t="str">
        <f aca="false">IF(OR(Tasks!$D71="",Tasks!$AI71),"",Tasks!$AC71)</f>
        <v/>
      </c>
      <c r="I67" s="26" t="str">
        <f aca="false">IF(OR(Tasks!$D71="",Tasks!$X71=""),"",Tasks!$X71&amp;IF(OR(Tasks!$Y71="",Tasks!$Y71=1),"","["&amp;ROUND(Tasks!$Y71*100,0)&amp;"%]"))</f>
        <v/>
      </c>
      <c r="J67" s="26" t="str">
        <f aca="false">IF(OR(Tasks!$D71="",Tasks!$AI71),"",ROUND(Tasks!$V71*100,0))</f>
        <v/>
      </c>
      <c r="K67" s="79" t="str">
        <f aca="false">IF(OR(Tasks!$D71="",N(Tasks!$P71)=0),"",Tasks!$P71)</f>
        <v/>
      </c>
      <c r="L67" s="79" t="str">
        <f aca="false">IF(OR(Tasks!$D71="",N(Tasks!$Q71)=0),"",Tasks!$Q71)</f>
        <v/>
      </c>
      <c r="M67" s="79" t="str">
        <f aca="false">IF(Tasks!$D71="","",Tasks!$N71)</f>
        <v/>
      </c>
      <c r="N67" s="79" t="str">
        <f aca="false">IF(Tasks!$D71="","",Tasks!$O71)</f>
        <v/>
      </c>
      <c r="O67" s="26" t="str">
        <f aca="false">IF(OR(Tasks!$D71="",Tasks!$AI71),"",IF(AND(Tasks!$E71&lt;&gt;"Manual",N(Tasks!$M71)&gt;0),"Start No Earlier Than","As Soon As Possible"))</f>
        <v/>
      </c>
      <c r="P67" s="79" t="str">
        <f aca="false">IF(OR(Tasks!$D71="",Tasks!$AI71,N(Tasks!$M71)=0,Tasks!$E71="Manual"),"",Tasks!$M71)</f>
        <v/>
      </c>
      <c r="Q67" s="26" t="str">
        <f aca="false">IF(Tasks!$D71="","",Tasks!$AD71&amp;"")</f>
        <v/>
      </c>
    </row>
    <row r="68" customFormat="false" ht="15" hidden="false" customHeight="false" outlineLevel="0" collapsed="false">
      <c r="A68" s="26" t="str">
        <f aca="false">IF(Tasks!$D72="","",Tasks!$A72)</f>
        <v/>
      </c>
      <c r="B68" s="26" t="str">
        <f aca="false">IF(Tasks!$D72="","",Tasks!$D72)</f>
        <v/>
      </c>
      <c r="C68" s="26" t="str">
        <f aca="false">IF(Tasks!$D72="","",Tasks!$AE72)</f>
        <v/>
      </c>
      <c r="D68" s="26" t="str">
        <f aca="false">IF(Tasks!$D72="","",IF(Tasks!$E72="Manual","Manually Scheduled","Auto Scheduled"))</f>
        <v/>
      </c>
      <c r="E68" s="26" t="str">
        <f aca="false">IF(OR(Tasks!$D72="",Tasks!$AI72),"",N(Tasks!$F72)&amp;"d")</f>
        <v/>
      </c>
      <c r="F68" s="79" t="str">
        <f aca="false">IF(Tasks!$D72="","",Tasks!$R72)</f>
        <v/>
      </c>
      <c r="G68" s="79" t="str">
        <f aca="false">IF(Tasks!$D72="","",Tasks!$S72)</f>
        <v/>
      </c>
      <c r="H68" s="26" t="str">
        <f aca="false">IF(OR(Tasks!$D72="",Tasks!$AI72),"",Tasks!$AC72)</f>
        <v/>
      </c>
      <c r="I68" s="26" t="str">
        <f aca="false">IF(OR(Tasks!$D72="",Tasks!$X72=""),"",Tasks!$X72&amp;IF(OR(Tasks!$Y72="",Tasks!$Y72=1),"","["&amp;ROUND(Tasks!$Y72*100,0)&amp;"%]"))</f>
        <v/>
      </c>
      <c r="J68" s="26" t="str">
        <f aca="false">IF(OR(Tasks!$D72="",Tasks!$AI72),"",ROUND(Tasks!$V72*100,0))</f>
        <v/>
      </c>
      <c r="K68" s="79" t="str">
        <f aca="false">IF(OR(Tasks!$D72="",N(Tasks!$P72)=0),"",Tasks!$P72)</f>
        <v/>
      </c>
      <c r="L68" s="79" t="str">
        <f aca="false">IF(OR(Tasks!$D72="",N(Tasks!$Q72)=0),"",Tasks!$Q72)</f>
        <v/>
      </c>
      <c r="M68" s="79" t="str">
        <f aca="false">IF(Tasks!$D72="","",Tasks!$N72)</f>
        <v/>
      </c>
      <c r="N68" s="79" t="str">
        <f aca="false">IF(Tasks!$D72="","",Tasks!$O72)</f>
        <v/>
      </c>
      <c r="O68" s="26" t="str">
        <f aca="false">IF(OR(Tasks!$D72="",Tasks!$AI72),"",IF(AND(Tasks!$E72&lt;&gt;"Manual",N(Tasks!$M72)&gt;0),"Start No Earlier Than","As Soon As Possible"))</f>
        <v/>
      </c>
      <c r="P68" s="79" t="str">
        <f aca="false">IF(OR(Tasks!$D72="",Tasks!$AI72,N(Tasks!$M72)=0,Tasks!$E72="Manual"),"",Tasks!$M72)</f>
        <v/>
      </c>
      <c r="Q68" s="26" t="str">
        <f aca="false">IF(Tasks!$D72="","",Tasks!$AD72&amp;"")</f>
        <v/>
      </c>
    </row>
    <row r="69" customFormat="false" ht="15" hidden="false" customHeight="false" outlineLevel="0" collapsed="false">
      <c r="A69" s="26" t="str">
        <f aca="false">IF(Tasks!$D73="","",Tasks!$A73)</f>
        <v/>
      </c>
      <c r="B69" s="26" t="str">
        <f aca="false">IF(Tasks!$D73="","",Tasks!$D73)</f>
        <v/>
      </c>
      <c r="C69" s="26" t="str">
        <f aca="false">IF(Tasks!$D73="","",Tasks!$AE73)</f>
        <v/>
      </c>
      <c r="D69" s="26" t="str">
        <f aca="false">IF(Tasks!$D73="","",IF(Tasks!$E73="Manual","Manually Scheduled","Auto Scheduled"))</f>
        <v/>
      </c>
      <c r="E69" s="26" t="str">
        <f aca="false">IF(OR(Tasks!$D73="",Tasks!$AI73),"",N(Tasks!$F73)&amp;"d")</f>
        <v/>
      </c>
      <c r="F69" s="79" t="str">
        <f aca="false">IF(Tasks!$D73="","",Tasks!$R73)</f>
        <v/>
      </c>
      <c r="G69" s="79" t="str">
        <f aca="false">IF(Tasks!$D73="","",Tasks!$S73)</f>
        <v/>
      </c>
      <c r="H69" s="26" t="str">
        <f aca="false">IF(OR(Tasks!$D73="",Tasks!$AI73),"",Tasks!$AC73)</f>
        <v/>
      </c>
      <c r="I69" s="26" t="str">
        <f aca="false">IF(OR(Tasks!$D73="",Tasks!$X73=""),"",Tasks!$X73&amp;IF(OR(Tasks!$Y73="",Tasks!$Y73=1),"","["&amp;ROUND(Tasks!$Y73*100,0)&amp;"%]"))</f>
        <v/>
      </c>
      <c r="J69" s="26" t="str">
        <f aca="false">IF(OR(Tasks!$D73="",Tasks!$AI73),"",ROUND(Tasks!$V73*100,0))</f>
        <v/>
      </c>
      <c r="K69" s="79" t="str">
        <f aca="false">IF(OR(Tasks!$D73="",N(Tasks!$P73)=0),"",Tasks!$P73)</f>
        <v/>
      </c>
      <c r="L69" s="79" t="str">
        <f aca="false">IF(OR(Tasks!$D73="",N(Tasks!$Q73)=0),"",Tasks!$Q73)</f>
        <v/>
      </c>
      <c r="M69" s="79" t="str">
        <f aca="false">IF(Tasks!$D73="","",Tasks!$N73)</f>
        <v/>
      </c>
      <c r="N69" s="79" t="str">
        <f aca="false">IF(Tasks!$D73="","",Tasks!$O73)</f>
        <v/>
      </c>
      <c r="O69" s="26" t="str">
        <f aca="false">IF(OR(Tasks!$D73="",Tasks!$AI73),"",IF(AND(Tasks!$E73&lt;&gt;"Manual",N(Tasks!$M73)&gt;0),"Start No Earlier Than","As Soon As Possible"))</f>
        <v/>
      </c>
      <c r="P69" s="79" t="str">
        <f aca="false">IF(OR(Tasks!$D73="",Tasks!$AI73,N(Tasks!$M73)=0,Tasks!$E73="Manual"),"",Tasks!$M73)</f>
        <v/>
      </c>
      <c r="Q69" s="26" t="str">
        <f aca="false">IF(Tasks!$D73="","",Tasks!$AD73&amp;"")</f>
        <v/>
      </c>
    </row>
    <row r="70" customFormat="false" ht="15" hidden="false" customHeight="false" outlineLevel="0" collapsed="false">
      <c r="A70" s="26" t="str">
        <f aca="false">IF(Tasks!$D74="","",Tasks!$A74)</f>
        <v/>
      </c>
      <c r="B70" s="26" t="str">
        <f aca="false">IF(Tasks!$D74="","",Tasks!$D74)</f>
        <v/>
      </c>
      <c r="C70" s="26" t="str">
        <f aca="false">IF(Tasks!$D74="","",Tasks!$AE74)</f>
        <v/>
      </c>
      <c r="D70" s="26" t="str">
        <f aca="false">IF(Tasks!$D74="","",IF(Tasks!$E74="Manual","Manually Scheduled","Auto Scheduled"))</f>
        <v/>
      </c>
      <c r="E70" s="26" t="str">
        <f aca="false">IF(OR(Tasks!$D74="",Tasks!$AI74),"",N(Tasks!$F74)&amp;"d")</f>
        <v/>
      </c>
      <c r="F70" s="79" t="str">
        <f aca="false">IF(Tasks!$D74="","",Tasks!$R74)</f>
        <v/>
      </c>
      <c r="G70" s="79" t="str">
        <f aca="false">IF(Tasks!$D74="","",Tasks!$S74)</f>
        <v/>
      </c>
      <c r="H70" s="26" t="str">
        <f aca="false">IF(OR(Tasks!$D74="",Tasks!$AI74),"",Tasks!$AC74)</f>
        <v/>
      </c>
      <c r="I70" s="26" t="str">
        <f aca="false">IF(OR(Tasks!$D74="",Tasks!$X74=""),"",Tasks!$X74&amp;IF(OR(Tasks!$Y74="",Tasks!$Y74=1),"","["&amp;ROUND(Tasks!$Y74*100,0)&amp;"%]"))</f>
        <v/>
      </c>
      <c r="J70" s="26" t="str">
        <f aca="false">IF(OR(Tasks!$D74="",Tasks!$AI74),"",ROUND(Tasks!$V74*100,0))</f>
        <v/>
      </c>
      <c r="K70" s="79" t="str">
        <f aca="false">IF(OR(Tasks!$D74="",N(Tasks!$P74)=0),"",Tasks!$P74)</f>
        <v/>
      </c>
      <c r="L70" s="79" t="str">
        <f aca="false">IF(OR(Tasks!$D74="",N(Tasks!$Q74)=0),"",Tasks!$Q74)</f>
        <v/>
      </c>
      <c r="M70" s="79" t="str">
        <f aca="false">IF(Tasks!$D74="","",Tasks!$N74)</f>
        <v/>
      </c>
      <c r="N70" s="79" t="str">
        <f aca="false">IF(Tasks!$D74="","",Tasks!$O74)</f>
        <v/>
      </c>
      <c r="O70" s="26" t="str">
        <f aca="false">IF(OR(Tasks!$D74="",Tasks!$AI74),"",IF(AND(Tasks!$E74&lt;&gt;"Manual",N(Tasks!$M74)&gt;0),"Start No Earlier Than","As Soon As Possible"))</f>
        <v/>
      </c>
      <c r="P70" s="79" t="str">
        <f aca="false">IF(OR(Tasks!$D74="",Tasks!$AI74,N(Tasks!$M74)=0,Tasks!$E74="Manual"),"",Tasks!$M74)</f>
        <v/>
      </c>
      <c r="Q70" s="26" t="str">
        <f aca="false">IF(Tasks!$D74="","",Tasks!$AD74&amp;"")</f>
        <v/>
      </c>
    </row>
    <row r="71" customFormat="false" ht="15" hidden="false" customHeight="false" outlineLevel="0" collapsed="false">
      <c r="A71" s="26" t="str">
        <f aca="false">IF(Tasks!$D75="","",Tasks!$A75)</f>
        <v/>
      </c>
      <c r="B71" s="26" t="str">
        <f aca="false">IF(Tasks!$D75="","",Tasks!$D75)</f>
        <v/>
      </c>
      <c r="C71" s="26" t="str">
        <f aca="false">IF(Tasks!$D75="","",Tasks!$AE75)</f>
        <v/>
      </c>
      <c r="D71" s="26" t="str">
        <f aca="false">IF(Tasks!$D75="","",IF(Tasks!$E75="Manual","Manually Scheduled","Auto Scheduled"))</f>
        <v/>
      </c>
      <c r="E71" s="26" t="str">
        <f aca="false">IF(OR(Tasks!$D75="",Tasks!$AI75),"",N(Tasks!$F75)&amp;"d")</f>
        <v/>
      </c>
      <c r="F71" s="79" t="str">
        <f aca="false">IF(Tasks!$D75="","",Tasks!$R75)</f>
        <v/>
      </c>
      <c r="G71" s="79" t="str">
        <f aca="false">IF(Tasks!$D75="","",Tasks!$S75)</f>
        <v/>
      </c>
      <c r="H71" s="26" t="str">
        <f aca="false">IF(OR(Tasks!$D75="",Tasks!$AI75),"",Tasks!$AC75)</f>
        <v/>
      </c>
      <c r="I71" s="26" t="str">
        <f aca="false">IF(OR(Tasks!$D75="",Tasks!$X75=""),"",Tasks!$X75&amp;IF(OR(Tasks!$Y75="",Tasks!$Y75=1),"","["&amp;ROUND(Tasks!$Y75*100,0)&amp;"%]"))</f>
        <v/>
      </c>
      <c r="J71" s="26" t="str">
        <f aca="false">IF(OR(Tasks!$D75="",Tasks!$AI75),"",ROUND(Tasks!$V75*100,0))</f>
        <v/>
      </c>
      <c r="K71" s="79" t="str">
        <f aca="false">IF(OR(Tasks!$D75="",N(Tasks!$P75)=0),"",Tasks!$P75)</f>
        <v/>
      </c>
      <c r="L71" s="79" t="str">
        <f aca="false">IF(OR(Tasks!$D75="",N(Tasks!$Q75)=0),"",Tasks!$Q75)</f>
        <v/>
      </c>
      <c r="M71" s="79" t="str">
        <f aca="false">IF(Tasks!$D75="","",Tasks!$N75)</f>
        <v/>
      </c>
      <c r="N71" s="79" t="str">
        <f aca="false">IF(Tasks!$D75="","",Tasks!$O75)</f>
        <v/>
      </c>
      <c r="O71" s="26" t="str">
        <f aca="false">IF(OR(Tasks!$D75="",Tasks!$AI75),"",IF(AND(Tasks!$E75&lt;&gt;"Manual",N(Tasks!$M75)&gt;0),"Start No Earlier Than","As Soon As Possible"))</f>
        <v/>
      </c>
      <c r="P71" s="79" t="str">
        <f aca="false">IF(OR(Tasks!$D75="",Tasks!$AI75,N(Tasks!$M75)=0,Tasks!$E75="Manual"),"",Tasks!$M75)</f>
        <v/>
      </c>
      <c r="Q71" s="26" t="str">
        <f aca="false">IF(Tasks!$D75="","",Tasks!$AD75&amp;"")</f>
        <v/>
      </c>
    </row>
    <row r="72" customFormat="false" ht="15" hidden="false" customHeight="false" outlineLevel="0" collapsed="false">
      <c r="A72" s="26" t="str">
        <f aca="false">IF(Tasks!$D76="","",Tasks!$A76)</f>
        <v/>
      </c>
      <c r="B72" s="26" t="str">
        <f aca="false">IF(Tasks!$D76="","",Tasks!$D76)</f>
        <v/>
      </c>
      <c r="C72" s="26" t="str">
        <f aca="false">IF(Tasks!$D76="","",Tasks!$AE76)</f>
        <v/>
      </c>
      <c r="D72" s="26" t="str">
        <f aca="false">IF(Tasks!$D76="","",IF(Tasks!$E76="Manual","Manually Scheduled","Auto Scheduled"))</f>
        <v/>
      </c>
      <c r="E72" s="26" t="str">
        <f aca="false">IF(OR(Tasks!$D76="",Tasks!$AI76),"",N(Tasks!$F76)&amp;"d")</f>
        <v/>
      </c>
      <c r="F72" s="79" t="str">
        <f aca="false">IF(Tasks!$D76="","",Tasks!$R76)</f>
        <v/>
      </c>
      <c r="G72" s="79" t="str">
        <f aca="false">IF(Tasks!$D76="","",Tasks!$S76)</f>
        <v/>
      </c>
      <c r="H72" s="26" t="str">
        <f aca="false">IF(OR(Tasks!$D76="",Tasks!$AI76),"",Tasks!$AC76)</f>
        <v/>
      </c>
      <c r="I72" s="26" t="str">
        <f aca="false">IF(OR(Tasks!$D76="",Tasks!$X76=""),"",Tasks!$X76&amp;IF(OR(Tasks!$Y76="",Tasks!$Y76=1),"","["&amp;ROUND(Tasks!$Y76*100,0)&amp;"%]"))</f>
        <v/>
      </c>
      <c r="J72" s="26" t="str">
        <f aca="false">IF(OR(Tasks!$D76="",Tasks!$AI76),"",ROUND(Tasks!$V76*100,0))</f>
        <v/>
      </c>
      <c r="K72" s="79" t="str">
        <f aca="false">IF(OR(Tasks!$D76="",N(Tasks!$P76)=0),"",Tasks!$P76)</f>
        <v/>
      </c>
      <c r="L72" s="79" t="str">
        <f aca="false">IF(OR(Tasks!$D76="",N(Tasks!$Q76)=0),"",Tasks!$Q76)</f>
        <v/>
      </c>
      <c r="M72" s="79" t="str">
        <f aca="false">IF(Tasks!$D76="","",Tasks!$N76)</f>
        <v/>
      </c>
      <c r="N72" s="79" t="str">
        <f aca="false">IF(Tasks!$D76="","",Tasks!$O76)</f>
        <v/>
      </c>
      <c r="O72" s="26" t="str">
        <f aca="false">IF(OR(Tasks!$D76="",Tasks!$AI76),"",IF(AND(Tasks!$E76&lt;&gt;"Manual",N(Tasks!$M76)&gt;0),"Start No Earlier Than","As Soon As Possible"))</f>
        <v/>
      </c>
      <c r="P72" s="79" t="str">
        <f aca="false">IF(OR(Tasks!$D76="",Tasks!$AI76,N(Tasks!$M76)=0,Tasks!$E76="Manual"),"",Tasks!$M76)</f>
        <v/>
      </c>
      <c r="Q72" s="26" t="str">
        <f aca="false">IF(Tasks!$D76="","",Tasks!$AD76&amp;"")</f>
        <v/>
      </c>
    </row>
    <row r="73" customFormat="false" ht="15" hidden="false" customHeight="false" outlineLevel="0" collapsed="false">
      <c r="A73" s="26" t="str">
        <f aca="false">IF(Tasks!$D77="","",Tasks!$A77)</f>
        <v/>
      </c>
      <c r="B73" s="26" t="str">
        <f aca="false">IF(Tasks!$D77="","",Tasks!$D77)</f>
        <v/>
      </c>
      <c r="C73" s="26" t="str">
        <f aca="false">IF(Tasks!$D77="","",Tasks!$AE77)</f>
        <v/>
      </c>
      <c r="D73" s="26" t="str">
        <f aca="false">IF(Tasks!$D77="","",IF(Tasks!$E77="Manual","Manually Scheduled","Auto Scheduled"))</f>
        <v/>
      </c>
      <c r="E73" s="26" t="str">
        <f aca="false">IF(OR(Tasks!$D77="",Tasks!$AI77),"",N(Tasks!$F77)&amp;"d")</f>
        <v/>
      </c>
      <c r="F73" s="79" t="str">
        <f aca="false">IF(Tasks!$D77="","",Tasks!$R77)</f>
        <v/>
      </c>
      <c r="G73" s="79" t="str">
        <f aca="false">IF(Tasks!$D77="","",Tasks!$S77)</f>
        <v/>
      </c>
      <c r="H73" s="26" t="str">
        <f aca="false">IF(OR(Tasks!$D77="",Tasks!$AI77),"",Tasks!$AC77)</f>
        <v/>
      </c>
      <c r="I73" s="26" t="str">
        <f aca="false">IF(OR(Tasks!$D77="",Tasks!$X77=""),"",Tasks!$X77&amp;IF(OR(Tasks!$Y77="",Tasks!$Y77=1),"","["&amp;ROUND(Tasks!$Y77*100,0)&amp;"%]"))</f>
        <v/>
      </c>
      <c r="J73" s="26" t="str">
        <f aca="false">IF(OR(Tasks!$D77="",Tasks!$AI77),"",ROUND(Tasks!$V77*100,0))</f>
        <v/>
      </c>
      <c r="K73" s="79" t="str">
        <f aca="false">IF(OR(Tasks!$D77="",N(Tasks!$P77)=0),"",Tasks!$P77)</f>
        <v/>
      </c>
      <c r="L73" s="79" t="str">
        <f aca="false">IF(OR(Tasks!$D77="",N(Tasks!$Q77)=0),"",Tasks!$Q77)</f>
        <v/>
      </c>
      <c r="M73" s="79" t="str">
        <f aca="false">IF(Tasks!$D77="","",Tasks!$N77)</f>
        <v/>
      </c>
      <c r="N73" s="79" t="str">
        <f aca="false">IF(Tasks!$D77="","",Tasks!$O77)</f>
        <v/>
      </c>
      <c r="O73" s="26" t="str">
        <f aca="false">IF(OR(Tasks!$D77="",Tasks!$AI77),"",IF(AND(Tasks!$E77&lt;&gt;"Manual",N(Tasks!$M77)&gt;0),"Start No Earlier Than","As Soon As Possible"))</f>
        <v/>
      </c>
      <c r="P73" s="79" t="str">
        <f aca="false">IF(OR(Tasks!$D77="",Tasks!$AI77,N(Tasks!$M77)=0,Tasks!$E77="Manual"),"",Tasks!$M77)</f>
        <v/>
      </c>
      <c r="Q73" s="26" t="str">
        <f aca="false">IF(Tasks!$D77="","",Tasks!$AD77&amp;"")</f>
        <v/>
      </c>
    </row>
    <row r="74" customFormat="false" ht="15" hidden="false" customHeight="false" outlineLevel="0" collapsed="false">
      <c r="A74" s="26" t="str">
        <f aca="false">IF(Tasks!$D78="","",Tasks!$A78)</f>
        <v/>
      </c>
      <c r="B74" s="26" t="str">
        <f aca="false">IF(Tasks!$D78="","",Tasks!$D78)</f>
        <v/>
      </c>
      <c r="C74" s="26" t="str">
        <f aca="false">IF(Tasks!$D78="","",Tasks!$AE78)</f>
        <v/>
      </c>
      <c r="D74" s="26" t="str">
        <f aca="false">IF(Tasks!$D78="","",IF(Tasks!$E78="Manual","Manually Scheduled","Auto Scheduled"))</f>
        <v/>
      </c>
      <c r="E74" s="26" t="str">
        <f aca="false">IF(OR(Tasks!$D78="",Tasks!$AI78),"",N(Tasks!$F78)&amp;"d")</f>
        <v/>
      </c>
      <c r="F74" s="79" t="str">
        <f aca="false">IF(Tasks!$D78="","",Tasks!$R78)</f>
        <v/>
      </c>
      <c r="G74" s="79" t="str">
        <f aca="false">IF(Tasks!$D78="","",Tasks!$S78)</f>
        <v/>
      </c>
      <c r="H74" s="26" t="str">
        <f aca="false">IF(OR(Tasks!$D78="",Tasks!$AI78),"",Tasks!$AC78)</f>
        <v/>
      </c>
      <c r="I74" s="26" t="str">
        <f aca="false">IF(OR(Tasks!$D78="",Tasks!$X78=""),"",Tasks!$X78&amp;IF(OR(Tasks!$Y78="",Tasks!$Y78=1),"","["&amp;ROUND(Tasks!$Y78*100,0)&amp;"%]"))</f>
        <v/>
      </c>
      <c r="J74" s="26" t="str">
        <f aca="false">IF(OR(Tasks!$D78="",Tasks!$AI78),"",ROUND(Tasks!$V78*100,0))</f>
        <v/>
      </c>
      <c r="K74" s="79" t="str">
        <f aca="false">IF(OR(Tasks!$D78="",N(Tasks!$P78)=0),"",Tasks!$P78)</f>
        <v/>
      </c>
      <c r="L74" s="79" t="str">
        <f aca="false">IF(OR(Tasks!$D78="",N(Tasks!$Q78)=0),"",Tasks!$Q78)</f>
        <v/>
      </c>
      <c r="M74" s="79" t="str">
        <f aca="false">IF(Tasks!$D78="","",Tasks!$N78)</f>
        <v/>
      </c>
      <c r="N74" s="79" t="str">
        <f aca="false">IF(Tasks!$D78="","",Tasks!$O78)</f>
        <v/>
      </c>
      <c r="O74" s="26" t="str">
        <f aca="false">IF(OR(Tasks!$D78="",Tasks!$AI78),"",IF(AND(Tasks!$E78&lt;&gt;"Manual",N(Tasks!$M78)&gt;0),"Start No Earlier Than","As Soon As Possible"))</f>
        <v/>
      </c>
      <c r="P74" s="79" t="str">
        <f aca="false">IF(OR(Tasks!$D78="",Tasks!$AI78,N(Tasks!$M78)=0,Tasks!$E78="Manual"),"",Tasks!$M78)</f>
        <v/>
      </c>
      <c r="Q74" s="26" t="str">
        <f aca="false">IF(Tasks!$D78="","",Tasks!$AD78&amp;"")</f>
        <v/>
      </c>
    </row>
    <row r="75" customFormat="false" ht="15" hidden="false" customHeight="false" outlineLevel="0" collapsed="false">
      <c r="A75" s="26" t="str">
        <f aca="false">IF(Tasks!$D79="","",Tasks!$A79)</f>
        <v/>
      </c>
      <c r="B75" s="26" t="str">
        <f aca="false">IF(Tasks!$D79="","",Tasks!$D79)</f>
        <v/>
      </c>
      <c r="C75" s="26" t="str">
        <f aca="false">IF(Tasks!$D79="","",Tasks!$AE79)</f>
        <v/>
      </c>
      <c r="D75" s="26" t="str">
        <f aca="false">IF(Tasks!$D79="","",IF(Tasks!$E79="Manual","Manually Scheduled","Auto Scheduled"))</f>
        <v/>
      </c>
      <c r="E75" s="26" t="str">
        <f aca="false">IF(OR(Tasks!$D79="",Tasks!$AI79),"",N(Tasks!$F79)&amp;"d")</f>
        <v/>
      </c>
      <c r="F75" s="79" t="str">
        <f aca="false">IF(Tasks!$D79="","",Tasks!$R79)</f>
        <v/>
      </c>
      <c r="G75" s="79" t="str">
        <f aca="false">IF(Tasks!$D79="","",Tasks!$S79)</f>
        <v/>
      </c>
      <c r="H75" s="26" t="str">
        <f aca="false">IF(OR(Tasks!$D79="",Tasks!$AI79),"",Tasks!$AC79)</f>
        <v/>
      </c>
      <c r="I75" s="26" t="str">
        <f aca="false">IF(OR(Tasks!$D79="",Tasks!$X79=""),"",Tasks!$X79&amp;IF(OR(Tasks!$Y79="",Tasks!$Y79=1),"","["&amp;ROUND(Tasks!$Y79*100,0)&amp;"%]"))</f>
        <v/>
      </c>
      <c r="J75" s="26" t="str">
        <f aca="false">IF(OR(Tasks!$D79="",Tasks!$AI79),"",ROUND(Tasks!$V79*100,0))</f>
        <v/>
      </c>
      <c r="K75" s="79" t="str">
        <f aca="false">IF(OR(Tasks!$D79="",N(Tasks!$P79)=0),"",Tasks!$P79)</f>
        <v/>
      </c>
      <c r="L75" s="79" t="str">
        <f aca="false">IF(OR(Tasks!$D79="",N(Tasks!$Q79)=0),"",Tasks!$Q79)</f>
        <v/>
      </c>
      <c r="M75" s="79" t="str">
        <f aca="false">IF(Tasks!$D79="","",Tasks!$N79)</f>
        <v/>
      </c>
      <c r="N75" s="79" t="str">
        <f aca="false">IF(Tasks!$D79="","",Tasks!$O79)</f>
        <v/>
      </c>
      <c r="O75" s="26" t="str">
        <f aca="false">IF(OR(Tasks!$D79="",Tasks!$AI79),"",IF(AND(Tasks!$E79&lt;&gt;"Manual",N(Tasks!$M79)&gt;0),"Start No Earlier Than","As Soon As Possible"))</f>
        <v/>
      </c>
      <c r="P75" s="79" t="str">
        <f aca="false">IF(OR(Tasks!$D79="",Tasks!$AI79,N(Tasks!$M79)=0,Tasks!$E79="Manual"),"",Tasks!$M79)</f>
        <v/>
      </c>
      <c r="Q75" s="26" t="str">
        <f aca="false">IF(Tasks!$D79="","",Tasks!$AD79&amp;"")</f>
        <v/>
      </c>
    </row>
    <row r="76" customFormat="false" ht="15" hidden="false" customHeight="false" outlineLevel="0" collapsed="false">
      <c r="A76" s="26" t="str">
        <f aca="false">IF(Tasks!$D80="","",Tasks!$A80)</f>
        <v/>
      </c>
      <c r="B76" s="26" t="str">
        <f aca="false">IF(Tasks!$D80="","",Tasks!$D80)</f>
        <v/>
      </c>
      <c r="C76" s="26" t="str">
        <f aca="false">IF(Tasks!$D80="","",Tasks!$AE80)</f>
        <v/>
      </c>
      <c r="D76" s="26" t="str">
        <f aca="false">IF(Tasks!$D80="","",IF(Tasks!$E80="Manual","Manually Scheduled","Auto Scheduled"))</f>
        <v/>
      </c>
      <c r="E76" s="26" t="str">
        <f aca="false">IF(OR(Tasks!$D80="",Tasks!$AI80),"",N(Tasks!$F80)&amp;"d")</f>
        <v/>
      </c>
      <c r="F76" s="79" t="str">
        <f aca="false">IF(Tasks!$D80="","",Tasks!$R80)</f>
        <v/>
      </c>
      <c r="G76" s="79" t="str">
        <f aca="false">IF(Tasks!$D80="","",Tasks!$S80)</f>
        <v/>
      </c>
      <c r="H76" s="26" t="str">
        <f aca="false">IF(OR(Tasks!$D80="",Tasks!$AI80),"",Tasks!$AC80)</f>
        <v/>
      </c>
      <c r="I76" s="26" t="str">
        <f aca="false">IF(OR(Tasks!$D80="",Tasks!$X80=""),"",Tasks!$X80&amp;IF(OR(Tasks!$Y80="",Tasks!$Y80=1),"","["&amp;ROUND(Tasks!$Y80*100,0)&amp;"%]"))</f>
        <v/>
      </c>
      <c r="J76" s="26" t="str">
        <f aca="false">IF(OR(Tasks!$D80="",Tasks!$AI80),"",ROUND(Tasks!$V80*100,0))</f>
        <v/>
      </c>
      <c r="K76" s="79" t="str">
        <f aca="false">IF(OR(Tasks!$D80="",N(Tasks!$P80)=0),"",Tasks!$P80)</f>
        <v/>
      </c>
      <c r="L76" s="79" t="str">
        <f aca="false">IF(OR(Tasks!$D80="",N(Tasks!$Q80)=0),"",Tasks!$Q80)</f>
        <v/>
      </c>
      <c r="M76" s="79" t="str">
        <f aca="false">IF(Tasks!$D80="","",Tasks!$N80)</f>
        <v/>
      </c>
      <c r="N76" s="79" t="str">
        <f aca="false">IF(Tasks!$D80="","",Tasks!$O80)</f>
        <v/>
      </c>
      <c r="O76" s="26" t="str">
        <f aca="false">IF(OR(Tasks!$D80="",Tasks!$AI80),"",IF(AND(Tasks!$E80&lt;&gt;"Manual",N(Tasks!$M80)&gt;0),"Start No Earlier Than","As Soon As Possible"))</f>
        <v/>
      </c>
      <c r="P76" s="79" t="str">
        <f aca="false">IF(OR(Tasks!$D80="",Tasks!$AI80,N(Tasks!$M80)=0,Tasks!$E80="Manual"),"",Tasks!$M80)</f>
        <v/>
      </c>
      <c r="Q76" s="26" t="str">
        <f aca="false">IF(Tasks!$D80="","",Tasks!$AD80&amp;"")</f>
        <v/>
      </c>
    </row>
    <row r="77" customFormat="false" ht="15" hidden="false" customHeight="false" outlineLevel="0" collapsed="false">
      <c r="A77" s="26" t="str">
        <f aca="false">IF(Tasks!$D81="","",Tasks!$A81)</f>
        <v/>
      </c>
      <c r="B77" s="26" t="str">
        <f aca="false">IF(Tasks!$D81="","",Tasks!$D81)</f>
        <v/>
      </c>
      <c r="C77" s="26" t="str">
        <f aca="false">IF(Tasks!$D81="","",Tasks!$AE81)</f>
        <v/>
      </c>
      <c r="D77" s="26" t="str">
        <f aca="false">IF(Tasks!$D81="","",IF(Tasks!$E81="Manual","Manually Scheduled","Auto Scheduled"))</f>
        <v/>
      </c>
      <c r="E77" s="26" t="str">
        <f aca="false">IF(OR(Tasks!$D81="",Tasks!$AI81),"",N(Tasks!$F81)&amp;"d")</f>
        <v/>
      </c>
      <c r="F77" s="79" t="str">
        <f aca="false">IF(Tasks!$D81="","",Tasks!$R81)</f>
        <v/>
      </c>
      <c r="G77" s="79" t="str">
        <f aca="false">IF(Tasks!$D81="","",Tasks!$S81)</f>
        <v/>
      </c>
      <c r="H77" s="26" t="str">
        <f aca="false">IF(OR(Tasks!$D81="",Tasks!$AI81),"",Tasks!$AC81)</f>
        <v/>
      </c>
      <c r="I77" s="26" t="str">
        <f aca="false">IF(OR(Tasks!$D81="",Tasks!$X81=""),"",Tasks!$X81&amp;IF(OR(Tasks!$Y81="",Tasks!$Y81=1),"","["&amp;ROUND(Tasks!$Y81*100,0)&amp;"%]"))</f>
        <v/>
      </c>
      <c r="J77" s="26" t="str">
        <f aca="false">IF(OR(Tasks!$D81="",Tasks!$AI81),"",ROUND(Tasks!$V81*100,0))</f>
        <v/>
      </c>
      <c r="K77" s="79" t="str">
        <f aca="false">IF(OR(Tasks!$D81="",N(Tasks!$P81)=0),"",Tasks!$P81)</f>
        <v/>
      </c>
      <c r="L77" s="79" t="str">
        <f aca="false">IF(OR(Tasks!$D81="",N(Tasks!$Q81)=0),"",Tasks!$Q81)</f>
        <v/>
      </c>
      <c r="M77" s="79" t="str">
        <f aca="false">IF(Tasks!$D81="","",Tasks!$N81)</f>
        <v/>
      </c>
      <c r="N77" s="79" t="str">
        <f aca="false">IF(Tasks!$D81="","",Tasks!$O81)</f>
        <v/>
      </c>
      <c r="O77" s="26" t="str">
        <f aca="false">IF(OR(Tasks!$D81="",Tasks!$AI81),"",IF(AND(Tasks!$E81&lt;&gt;"Manual",N(Tasks!$M81)&gt;0),"Start No Earlier Than","As Soon As Possible"))</f>
        <v/>
      </c>
      <c r="P77" s="79" t="str">
        <f aca="false">IF(OR(Tasks!$D81="",Tasks!$AI81,N(Tasks!$M81)=0,Tasks!$E81="Manual"),"",Tasks!$M81)</f>
        <v/>
      </c>
      <c r="Q77" s="26" t="str">
        <f aca="false">IF(Tasks!$D81="","",Tasks!$AD81&amp;"")</f>
        <v/>
      </c>
    </row>
    <row r="78" customFormat="false" ht="15" hidden="false" customHeight="false" outlineLevel="0" collapsed="false">
      <c r="A78" s="26" t="str">
        <f aca="false">IF(Tasks!$D82="","",Tasks!$A82)</f>
        <v/>
      </c>
      <c r="B78" s="26" t="str">
        <f aca="false">IF(Tasks!$D82="","",Tasks!$D82)</f>
        <v/>
      </c>
      <c r="C78" s="26" t="str">
        <f aca="false">IF(Tasks!$D82="","",Tasks!$AE82)</f>
        <v/>
      </c>
      <c r="D78" s="26" t="str">
        <f aca="false">IF(Tasks!$D82="","",IF(Tasks!$E82="Manual","Manually Scheduled","Auto Scheduled"))</f>
        <v/>
      </c>
      <c r="E78" s="26" t="str">
        <f aca="false">IF(OR(Tasks!$D82="",Tasks!$AI82),"",N(Tasks!$F82)&amp;"d")</f>
        <v/>
      </c>
      <c r="F78" s="79" t="str">
        <f aca="false">IF(Tasks!$D82="","",Tasks!$R82)</f>
        <v/>
      </c>
      <c r="G78" s="79" t="str">
        <f aca="false">IF(Tasks!$D82="","",Tasks!$S82)</f>
        <v/>
      </c>
      <c r="H78" s="26" t="str">
        <f aca="false">IF(OR(Tasks!$D82="",Tasks!$AI82),"",Tasks!$AC82)</f>
        <v/>
      </c>
      <c r="I78" s="26" t="str">
        <f aca="false">IF(OR(Tasks!$D82="",Tasks!$X82=""),"",Tasks!$X82&amp;IF(OR(Tasks!$Y82="",Tasks!$Y82=1),"","["&amp;ROUND(Tasks!$Y82*100,0)&amp;"%]"))</f>
        <v/>
      </c>
      <c r="J78" s="26" t="str">
        <f aca="false">IF(OR(Tasks!$D82="",Tasks!$AI82),"",ROUND(Tasks!$V82*100,0))</f>
        <v/>
      </c>
      <c r="K78" s="79" t="str">
        <f aca="false">IF(OR(Tasks!$D82="",N(Tasks!$P82)=0),"",Tasks!$P82)</f>
        <v/>
      </c>
      <c r="L78" s="79" t="str">
        <f aca="false">IF(OR(Tasks!$D82="",N(Tasks!$Q82)=0),"",Tasks!$Q82)</f>
        <v/>
      </c>
      <c r="M78" s="79" t="str">
        <f aca="false">IF(Tasks!$D82="","",Tasks!$N82)</f>
        <v/>
      </c>
      <c r="N78" s="79" t="str">
        <f aca="false">IF(Tasks!$D82="","",Tasks!$O82)</f>
        <v/>
      </c>
      <c r="O78" s="26" t="str">
        <f aca="false">IF(OR(Tasks!$D82="",Tasks!$AI82),"",IF(AND(Tasks!$E82&lt;&gt;"Manual",N(Tasks!$M82)&gt;0),"Start No Earlier Than","As Soon As Possible"))</f>
        <v/>
      </c>
      <c r="P78" s="79" t="str">
        <f aca="false">IF(OR(Tasks!$D82="",Tasks!$AI82,N(Tasks!$M82)=0,Tasks!$E82="Manual"),"",Tasks!$M82)</f>
        <v/>
      </c>
      <c r="Q78" s="26" t="str">
        <f aca="false">IF(Tasks!$D82="","",Tasks!$AD82&amp;"")</f>
        <v/>
      </c>
    </row>
    <row r="79" customFormat="false" ht="15" hidden="false" customHeight="false" outlineLevel="0" collapsed="false">
      <c r="A79" s="26" t="str">
        <f aca="false">IF(Tasks!$D83="","",Tasks!$A83)</f>
        <v/>
      </c>
      <c r="B79" s="26" t="str">
        <f aca="false">IF(Tasks!$D83="","",Tasks!$D83)</f>
        <v/>
      </c>
      <c r="C79" s="26" t="str">
        <f aca="false">IF(Tasks!$D83="","",Tasks!$AE83)</f>
        <v/>
      </c>
      <c r="D79" s="26" t="str">
        <f aca="false">IF(Tasks!$D83="","",IF(Tasks!$E83="Manual","Manually Scheduled","Auto Scheduled"))</f>
        <v/>
      </c>
      <c r="E79" s="26" t="str">
        <f aca="false">IF(OR(Tasks!$D83="",Tasks!$AI83),"",N(Tasks!$F83)&amp;"d")</f>
        <v/>
      </c>
      <c r="F79" s="79" t="str">
        <f aca="false">IF(Tasks!$D83="","",Tasks!$R83)</f>
        <v/>
      </c>
      <c r="G79" s="79" t="str">
        <f aca="false">IF(Tasks!$D83="","",Tasks!$S83)</f>
        <v/>
      </c>
      <c r="H79" s="26" t="str">
        <f aca="false">IF(OR(Tasks!$D83="",Tasks!$AI83),"",Tasks!$AC83)</f>
        <v/>
      </c>
      <c r="I79" s="26" t="str">
        <f aca="false">IF(OR(Tasks!$D83="",Tasks!$X83=""),"",Tasks!$X83&amp;IF(OR(Tasks!$Y83="",Tasks!$Y83=1),"","["&amp;ROUND(Tasks!$Y83*100,0)&amp;"%]"))</f>
        <v/>
      </c>
      <c r="J79" s="26" t="str">
        <f aca="false">IF(OR(Tasks!$D83="",Tasks!$AI83),"",ROUND(Tasks!$V83*100,0))</f>
        <v/>
      </c>
      <c r="K79" s="79" t="str">
        <f aca="false">IF(OR(Tasks!$D83="",N(Tasks!$P83)=0),"",Tasks!$P83)</f>
        <v/>
      </c>
      <c r="L79" s="79" t="str">
        <f aca="false">IF(OR(Tasks!$D83="",N(Tasks!$Q83)=0),"",Tasks!$Q83)</f>
        <v/>
      </c>
      <c r="M79" s="79" t="str">
        <f aca="false">IF(Tasks!$D83="","",Tasks!$N83)</f>
        <v/>
      </c>
      <c r="N79" s="79" t="str">
        <f aca="false">IF(Tasks!$D83="","",Tasks!$O83)</f>
        <v/>
      </c>
      <c r="O79" s="26" t="str">
        <f aca="false">IF(OR(Tasks!$D83="",Tasks!$AI83),"",IF(AND(Tasks!$E83&lt;&gt;"Manual",N(Tasks!$M83)&gt;0),"Start No Earlier Than","As Soon As Possible"))</f>
        <v/>
      </c>
      <c r="P79" s="79" t="str">
        <f aca="false">IF(OR(Tasks!$D83="",Tasks!$AI83,N(Tasks!$M83)=0,Tasks!$E83="Manual"),"",Tasks!$M83)</f>
        <v/>
      </c>
      <c r="Q79" s="26" t="str">
        <f aca="false">IF(Tasks!$D83="","",Tasks!$AD83&amp;"")</f>
        <v/>
      </c>
    </row>
    <row r="80" customFormat="false" ht="15" hidden="false" customHeight="false" outlineLevel="0" collapsed="false">
      <c r="A80" s="26" t="str">
        <f aca="false">IF(Tasks!$D84="","",Tasks!$A84)</f>
        <v/>
      </c>
      <c r="B80" s="26" t="str">
        <f aca="false">IF(Tasks!$D84="","",Tasks!$D84)</f>
        <v/>
      </c>
      <c r="C80" s="26" t="str">
        <f aca="false">IF(Tasks!$D84="","",Tasks!$AE84)</f>
        <v/>
      </c>
      <c r="D80" s="26" t="str">
        <f aca="false">IF(Tasks!$D84="","",IF(Tasks!$E84="Manual","Manually Scheduled","Auto Scheduled"))</f>
        <v/>
      </c>
      <c r="E80" s="26" t="str">
        <f aca="false">IF(OR(Tasks!$D84="",Tasks!$AI84),"",N(Tasks!$F84)&amp;"d")</f>
        <v/>
      </c>
      <c r="F80" s="79" t="str">
        <f aca="false">IF(Tasks!$D84="","",Tasks!$R84)</f>
        <v/>
      </c>
      <c r="G80" s="79" t="str">
        <f aca="false">IF(Tasks!$D84="","",Tasks!$S84)</f>
        <v/>
      </c>
      <c r="H80" s="26" t="str">
        <f aca="false">IF(OR(Tasks!$D84="",Tasks!$AI84),"",Tasks!$AC84)</f>
        <v/>
      </c>
      <c r="I80" s="26" t="str">
        <f aca="false">IF(OR(Tasks!$D84="",Tasks!$X84=""),"",Tasks!$X84&amp;IF(OR(Tasks!$Y84="",Tasks!$Y84=1),"","["&amp;ROUND(Tasks!$Y84*100,0)&amp;"%]"))</f>
        <v/>
      </c>
      <c r="J80" s="26" t="str">
        <f aca="false">IF(OR(Tasks!$D84="",Tasks!$AI84),"",ROUND(Tasks!$V84*100,0))</f>
        <v/>
      </c>
      <c r="K80" s="79" t="str">
        <f aca="false">IF(OR(Tasks!$D84="",N(Tasks!$P84)=0),"",Tasks!$P84)</f>
        <v/>
      </c>
      <c r="L80" s="79" t="str">
        <f aca="false">IF(OR(Tasks!$D84="",N(Tasks!$Q84)=0),"",Tasks!$Q84)</f>
        <v/>
      </c>
      <c r="M80" s="79" t="str">
        <f aca="false">IF(Tasks!$D84="","",Tasks!$N84)</f>
        <v/>
      </c>
      <c r="N80" s="79" t="str">
        <f aca="false">IF(Tasks!$D84="","",Tasks!$O84)</f>
        <v/>
      </c>
      <c r="O80" s="26" t="str">
        <f aca="false">IF(OR(Tasks!$D84="",Tasks!$AI84),"",IF(AND(Tasks!$E84&lt;&gt;"Manual",N(Tasks!$M84)&gt;0),"Start No Earlier Than","As Soon As Possible"))</f>
        <v/>
      </c>
      <c r="P80" s="79" t="str">
        <f aca="false">IF(OR(Tasks!$D84="",Tasks!$AI84,N(Tasks!$M84)=0,Tasks!$E84="Manual"),"",Tasks!$M84)</f>
        <v/>
      </c>
      <c r="Q80" s="26" t="str">
        <f aca="false">IF(Tasks!$D84="","",Tasks!$AD84&amp;"")</f>
        <v/>
      </c>
    </row>
    <row r="81" customFormat="false" ht="15" hidden="false" customHeight="false" outlineLevel="0" collapsed="false">
      <c r="A81" s="26" t="str">
        <f aca="false">IF(Tasks!$D85="","",Tasks!$A85)</f>
        <v/>
      </c>
      <c r="B81" s="26" t="str">
        <f aca="false">IF(Tasks!$D85="","",Tasks!$D85)</f>
        <v/>
      </c>
      <c r="C81" s="26" t="str">
        <f aca="false">IF(Tasks!$D85="","",Tasks!$AE85)</f>
        <v/>
      </c>
      <c r="D81" s="26" t="str">
        <f aca="false">IF(Tasks!$D85="","",IF(Tasks!$E85="Manual","Manually Scheduled","Auto Scheduled"))</f>
        <v/>
      </c>
      <c r="E81" s="26" t="str">
        <f aca="false">IF(OR(Tasks!$D85="",Tasks!$AI85),"",N(Tasks!$F85)&amp;"d")</f>
        <v/>
      </c>
      <c r="F81" s="79" t="str">
        <f aca="false">IF(Tasks!$D85="","",Tasks!$R85)</f>
        <v/>
      </c>
      <c r="G81" s="79" t="str">
        <f aca="false">IF(Tasks!$D85="","",Tasks!$S85)</f>
        <v/>
      </c>
      <c r="H81" s="26" t="str">
        <f aca="false">IF(OR(Tasks!$D85="",Tasks!$AI85),"",Tasks!$AC85)</f>
        <v/>
      </c>
      <c r="I81" s="26" t="str">
        <f aca="false">IF(OR(Tasks!$D85="",Tasks!$X85=""),"",Tasks!$X85&amp;IF(OR(Tasks!$Y85="",Tasks!$Y85=1),"","["&amp;ROUND(Tasks!$Y85*100,0)&amp;"%]"))</f>
        <v/>
      </c>
      <c r="J81" s="26" t="str">
        <f aca="false">IF(OR(Tasks!$D85="",Tasks!$AI85),"",ROUND(Tasks!$V85*100,0))</f>
        <v/>
      </c>
      <c r="K81" s="79" t="str">
        <f aca="false">IF(OR(Tasks!$D85="",N(Tasks!$P85)=0),"",Tasks!$P85)</f>
        <v/>
      </c>
      <c r="L81" s="79" t="str">
        <f aca="false">IF(OR(Tasks!$D85="",N(Tasks!$Q85)=0),"",Tasks!$Q85)</f>
        <v/>
      </c>
      <c r="M81" s="79" t="str">
        <f aca="false">IF(Tasks!$D85="","",Tasks!$N85)</f>
        <v/>
      </c>
      <c r="N81" s="79" t="str">
        <f aca="false">IF(Tasks!$D85="","",Tasks!$O85)</f>
        <v/>
      </c>
      <c r="O81" s="26" t="str">
        <f aca="false">IF(OR(Tasks!$D85="",Tasks!$AI85),"",IF(AND(Tasks!$E85&lt;&gt;"Manual",N(Tasks!$M85)&gt;0),"Start No Earlier Than","As Soon As Possible"))</f>
        <v/>
      </c>
      <c r="P81" s="79" t="str">
        <f aca="false">IF(OR(Tasks!$D85="",Tasks!$AI85,N(Tasks!$M85)=0,Tasks!$E85="Manual"),"",Tasks!$M85)</f>
        <v/>
      </c>
      <c r="Q81" s="26" t="str">
        <f aca="false">IF(Tasks!$D85="","",Tasks!$AD85&amp;"")</f>
        <v/>
      </c>
    </row>
    <row r="82" customFormat="false" ht="15" hidden="false" customHeight="false" outlineLevel="0" collapsed="false">
      <c r="A82" s="26" t="str">
        <f aca="false">IF(Tasks!$D86="","",Tasks!$A86)</f>
        <v/>
      </c>
      <c r="B82" s="26" t="str">
        <f aca="false">IF(Tasks!$D86="","",Tasks!$D86)</f>
        <v/>
      </c>
      <c r="C82" s="26" t="str">
        <f aca="false">IF(Tasks!$D86="","",Tasks!$AE86)</f>
        <v/>
      </c>
      <c r="D82" s="26" t="str">
        <f aca="false">IF(Tasks!$D86="","",IF(Tasks!$E86="Manual","Manually Scheduled","Auto Scheduled"))</f>
        <v/>
      </c>
      <c r="E82" s="26" t="str">
        <f aca="false">IF(OR(Tasks!$D86="",Tasks!$AI86),"",N(Tasks!$F86)&amp;"d")</f>
        <v/>
      </c>
      <c r="F82" s="79" t="str">
        <f aca="false">IF(Tasks!$D86="","",Tasks!$R86)</f>
        <v/>
      </c>
      <c r="G82" s="79" t="str">
        <f aca="false">IF(Tasks!$D86="","",Tasks!$S86)</f>
        <v/>
      </c>
      <c r="H82" s="26" t="str">
        <f aca="false">IF(OR(Tasks!$D86="",Tasks!$AI86),"",Tasks!$AC86)</f>
        <v/>
      </c>
      <c r="I82" s="26" t="str">
        <f aca="false">IF(OR(Tasks!$D86="",Tasks!$X86=""),"",Tasks!$X86&amp;IF(OR(Tasks!$Y86="",Tasks!$Y86=1),"","["&amp;ROUND(Tasks!$Y86*100,0)&amp;"%]"))</f>
        <v/>
      </c>
      <c r="J82" s="26" t="str">
        <f aca="false">IF(OR(Tasks!$D86="",Tasks!$AI86),"",ROUND(Tasks!$V86*100,0))</f>
        <v/>
      </c>
      <c r="K82" s="79" t="str">
        <f aca="false">IF(OR(Tasks!$D86="",N(Tasks!$P86)=0),"",Tasks!$P86)</f>
        <v/>
      </c>
      <c r="L82" s="79" t="str">
        <f aca="false">IF(OR(Tasks!$D86="",N(Tasks!$Q86)=0),"",Tasks!$Q86)</f>
        <v/>
      </c>
      <c r="M82" s="79" t="str">
        <f aca="false">IF(Tasks!$D86="","",Tasks!$N86)</f>
        <v/>
      </c>
      <c r="N82" s="79" t="str">
        <f aca="false">IF(Tasks!$D86="","",Tasks!$O86)</f>
        <v/>
      </c>
      <c r="O82" s="26" t="str">
        <f aca="false">IF(OR(Tasks!$D86="",Tasks!$AI86),"",IF(AND(Tasks!$E86&lt;&gt;"Manual",N(Tasks!$M86)&gt;0),"Start No Earlier Than","As Soon As Possible"))</f>
        <v/>
      </c>
      <c r="P82" s="79" t="str">
        <f aca="false">IF(OR(Tasks!$D86="",Tasks!$AI86,N(Tasks!$M86)=0,Tasks!$E86="Manual"),"",Tasks!$M86)</f>
        <v/>
      </c>
      <c r="Q82" s="26" t="str">
        <f aca="false">IF(Tasks!$D86="","",Tasks!$AD86&amp;"")</f>
        <v/>
      </c>
    </row>
    <row r="83" customFormat="false" ht="15" hidden="false" customHeight="false" outlineLevel="0" collapsed="false">
      <c r="A83" s="26" t="str">
        <f aca="false">IF(Tasks!$D87="","",Tasks!$A87)</f>
        <v/>
      </c>
      <c r="B83" s="26" t="str">
        <f aca="false">IF(Tasks!$D87="","",Tasks!$D87)</f>
        <v/>
      </c>
      <c r="C83" s="26" t="str">
        <f aca="false">IF(Tasks!$D87="","",Tasks!$AE87)</f>
        <v/>
      </c>
      <c r="D83" s="26" t="str">
        <f aca="false">IF(Tasks!$D87="","",IF(Tasks!$E87="Manual","Manually Scheduled","Auto Scheduled"))</f>
        <v/>
      </c>
      <c r="E83" s="26" t="str">
        <f aca="false">IF(OR(Tasks!$D87="",Tasks!$AI87),"",N(Tasks!$F87)&amp;"d")</f>
        <v/>
      </c>
      <c r="F83" s="79" t="str">
        <f aca="false">IF(Tasks!$D87="","",Tasks!$R87)</f>
        <v/>
      </c>
      <c r="G83" s="79" t="str">
        <f aca="false">IF(Tasks!$D87="","",Tasks!$S87)</f>
        <v/>
      </c>
      <c r="H83" s="26" t="str">
        <f aca="false">IF(OR(Tasks!$D87="",Tasks!$AI87),"",Tasks!$AC87)</f>
        <v/>
      </c>
      <c r="I83" s="26" t="str">
        <f aca="false">IF(OR(Tasks!$D87="",Tasks!$X87=""),"",Tasks!$X87&amp;IF(OR(Tasks!$Y87="",Tasks!$Y87=1),"","["&amp;ROUND(Tasks!$Y87*100,0)&amp;"%]"))</f>
        <v/>
      </c>
      <c r="J83" s="26" t="str">
        <f aca="false">IF(OR(Tasks!$D87="",Tasks!$AI87),"",ROUND(Tasks!$V87*100,0))</f>
        <v/>
      </c>
      <c r="K83" s="79" t="str">
        <f aca="false">IF(OR(Tasks!$D87="",N(Tasks!$P87)=0),"",Tasks!$P87)</f>
        <v/>
      </c>
      <c r="L83" s="79" t="str">
        <f aca="false">IF(OR(Tasks!$D87="",N(Tasks!$Q87)=0),"",Tasks!$Q87)</f>
        <v/>
      </c>
      <c r="M83" s="79" t="str">
        <f aca="false">IF(Tasks!$D87="","",Tasks!$N87)</f>
        <v/>
      </c>
      <c r="N83" s="79" t="str">
        <f aca="false">IF(Tasks!$D87="","",Tasks!$O87)</f>
        <v/>
      </c>
      <c r="O83" s="26" t="str">
        <f aca="false">IF(OR(Tasks!$D87="",Tasks!$AI87),"",IF(AND(Tasks!$E87&lt;&gt;"Manual",N(Tasks!$M87)&gt;0),"Start No Earlier Than","As Soon As Possible"))</f>
        <v/>
      </c>
      <c r="P83" s="79" t="str">
        <f aca="false">IF(OR(Tasks!$D87="",Tasks!$AI87,N(Tasks!$M87)=0,Tasks!$E87="Manual"),"",Tasks!$M87)</f>
        <v/>
      </c>
      <c r="Q83" s="26" t="str">
        <f aca="false">IF(Tasks!$D87="","",Tasks!$AD87&amp;"")</f>
        <v/>
      </c>
    </row>
    <row r="84" customFormat="false" ht="15" hidden="false" customHeight="false" outlineLevel="0" collapsed="false">
      <c r="A84" s="26" t="str">
        <f aca="false">IF(Tasks!$D88="","",Tasks!$A88)</f>
        <v/>
      </c>
      <c r="B84" s="26" t="str">
        <f aca="false">IF(Tasks!$D88="","",Tasks!$D88)</f>
        <v/>
      </c>
      <c r="C84" s="26" t="str">
        <f aca="false">IF(Tasks!$D88="","",Tasks!$AE88)</f>
        <v/>
      </c>
      <c r="D84" s="26" t="str">
        <f aca="false">IF(Tasks!$D88="","",IF(Tasks!$E88="Manual","Manually Scheduled","Auto Scheduled"))</f>
        <v/>
      </c>
      <c r="E84" s="26" t="str">
        <f aca="false">IF(OR(Tasks!$D88="",Tasks!$AI88),"",N(Tasks!$F88)&amp;"d")</f>
        <v/>
      </c>
      <c r="F84" s="79" t="str">
        <f aca="false">IF(Tasks!$D88="","",Tasks!$R88)</f>
        <v/>
      </c>
      <c r="G84" s="79" t="str">
        <f aca="false">IF(Tasks!$D88="","",Tasks!$S88)</f>
        <v/>
      </c>
      <c r="H84" s="26" t="str">
        <f aca="false">IF(OR(Tasks!$D88="",Tasks!$AI88),"",Tasks!$AC88)</f>
        <v/>
      </c>
      <c r="I84" s="26" t="str">
        <f aca="false">IF(OR(Tasks!$D88="",Tasks!$X88=""),"",Tasks!$X88&amp;IF(OR(Tasks!$Y88="",Tasks!$Y88=1),"","["&amp;ROUND(Tasks!$Y88*100,0)&amp;"%]"))</f>
        <v/>
      </c>
      <c r="J84" s="26" t="str">
        <f aca="false">IF(OR(Tasks!$D88="",Tasks!$AI88),"",ROUND(Tasks!$V88*100,0))</f>
        <v/>
      </c>
      <c r="K84" s="79" t="str">
        <f aca="false">IF(OR(Tasks!$D88="",N(Tasks!$P88)=0),"",Tasks!$P88)</f>
        <v/>
      </c>
      <c r="L84" s="79" t="str">
        <f aca="false">IF(OR(Tasks!$D88="",N(Tasks!$Q88)=0),"",Tasks!$Q88)</f>
        <v/>
      </c>
      <c r="M84" s="79" t="str">
        <f aca="false">IF(Tasks!$D88="","",Tasks!$N88)</f>
        <v/>
      </c>
      <c r="N84" s="79" t="str">
        <f aca="false">IF(Tasks!$D88="","",Tasks!$O88)</f>
        <v/>
      </c>
      <c r="O84" s="26" t="str">
        <f aca="false">IF(OR(Tasks!$D88="",Tasks!$AI88),"",IF(AND(Tasks!$E88&lt;&gt;"Manual",N(Tasks!$M88)&gt;0),"Start No Earlier Than","As Soon As Possible"))</f>
        <v/>
      </c>
      <c r="P84" s="79" t="str">
        <f aca="false">IF(OR(Tasks!$D88="",Tasks!$AI88,N(Tasks!$M88)=0,Tasks!$E88="Manual"),"",Tasks!$M88)</f>
        <v/>
      </c>
      <c r="Q84" s="26" t="str">
        <f aca="false">IF(Tasks!$D88="","",Tasks!$AD88&amp;"")</f>
        <v/>
      </c>
    </row>
    <row r="85" customFormat="false" ht="15" hidden="false" customHeight="false" outlineLevel="0" collapsed="false">
      <c r="A85" s="26" t="str">
        <f aca="false">IF(Tasks!$D89="","",Tasks!$A89)</f>
        <v/>
      </c>
      <c r="B85" s="26" t="str">
        <f aca="false">IF(Tasks!$D89="","",Tasks!$D89)</f>
        <v/>
      </c>
      <c r="C85" s="26" t="str">
        <f aca="false">IF(Tasks!$D89="","",Tasks!$AE89)</f>
        <v/>
      </c>
      <c r="D85" s="26" t="str">
        <f aca="false">IF(Tasks!$D89="","",IF(Tasks!$E89="Manual","Manually Scheduled","Auto Scheduled"))</f>
        <v/>
      </c>
      <c r="E85" s="26" t="str">
        <f aca="false">IF(OR(Tasks!$D89="",Tasks!$AI89),"",N(Tasks!$F89)&amp;"d")</f>
        <v/>
      </c>
      <c r="F85" s="79" t="str">
        <f aca="false">IF(Tasks!$D89="","",Tasks!$R89)</f>
        <v/>
      </c>
      <c r="G85" s="79" t="str">
        <f aca="false">IF(Tasks!$D89="","",Tasks!$S89)</f>
        <v/>
      </c>
      <c r="H85" s="26" t="str">
        <f aca="false">IF(OR(Tasks!$D89="",Tasks!$AI89),"",Tasks!$AC89)</f>
        <v/>
      </c>
      <c r="I85" s="26" t="str">
        <f aca="false">IF(OR(Tasks!$D89="",Tasks!$X89=""),"",Tasks!$X89&amp;IF(OR(Tasks!$Y89="",Tasks!$Y89=1),"","["&amp;ROUND(Tasks!$Y89*100,0)&amp;"%]"))</f>
        <v/>
      </c>
      <c r="J85" s="26" t="str">
        <f aca="false">IF(OR(Tasks!$D89="",Tasks!$AI89),"",ROUND(Tasks!$V89*100,0))</f>
        <v/>
      </c>
      <c r="K85" s="79" t="str">
        <f aca="false">IF(OR(Tasks!$D89="",N(Tasks!$P89)=0),"",Tasks!$P89)</f>
        <v/>
      </c>
      <c r="L85" s="79" t="str">
        <f aca="false">IF(OR(Tasks!$D89="",N(Tasks!$Q89)=0),"",Tasks!$Q89)</f>
        <v/>
      </c>
      <c r="M85" s="79" t="str">
        <f aca="false">IF(Tasks!$D89="","",Tasks!$N89)</f>
        <v/>
      </c>
      <c r="N85" s="79" t="str">
        <f aca="false">IF(Tasks!$D89="","",Tasks!$O89)</f>
        <v/>
      </c>
      <c r="O85" s="26" t="str">
        <f aca="false">IF(OR(Tasks!$D89="",Tasks!$AI89),"",IF(AND(Tasks!$E89&lt;&gt;"Manual",N(Tasks!$M89)&gt;0),"Start No Earlier Than","As Soon As Possible"))</f>
        <v/>
      </c>
      <c r="P85" s="79" t="str">
        <f aca="false">IF(OR(Tasks!$D89="",Tasks!$AI89,N(Tasks!$M89)=0,Tasks!$E89="Manual"),"",Tasks!$M89)</f>
        <v/>
      </c>
      <c r="Q85" s="26" t="str">
        <f aca="false">IF(Tasks!$D89="","",Tasks!$AD89&amp;"")</f>
        <v/>
      </c>
    </row>
    <row r="86" customFormat="false" ht="15" hidden="false" customHeight="false" outlineLevel="0" collapsed="false">
      <c r="A86" s="26" t="str">
        <f aca="false">IF(Tasks!$D90="","",Tasks!$A90)</f>
        <v/>
      </c>
      <c r="B86" s="26" t="str">
        <f aca="false">IF(Tasks!$D90="","",Tasks!$D90)</f>
        <v/>
      </c>
      <c r="C86" s="26" t="str">
        <f aca="false">IF(Tasks!$D90="","",Tasks!$AE90)</f>
        <v/>
      </c>
      <c r="D86" s="26" t="str">
        <f aca="false">IF(Tasks!$D90="","",IF(Tasks!$E90="Manual","Manually Scheduled","Auto Scheduled"))</f>
        <v/>
      </c>
      <c r="E86" s="26" t="str">
        <f aca="false">IF(OR(Tasks!$D90="",Tasks!$AI90),"",N(Tasks!$F90)&amp;"d")</f>
        <v/>
      </c>
      <c r="F86" s="79" t="str">
        <f aca="false">IF(Tasks!$D90="","",Tasks!$R90)</f>
        <v/>
      </c>
      <c r="G86" s="79" t="str">
        <f aca="false">IF(Tasks!$D90="","",Tasks!$S90)</f>
        <v/>
      </c>
      <c r="H86" s="26" t="str">
        <f aca="false">IF(OR(Tasks!$D90="",Tasks!$AI90),"",Tasks!$AC90)</f>
        <v/>
      </c>
      <c r="I86" s="26" t="str">
        <f aca="false">IF(OR(Tasks!$D90="",Tasks!$X90=""),"",Tasks!$X90&amp;IF(OR(Tasks!$Y90="",Tasks!$Y90=1),"","["&amp;ROUND(Tasks!$Y90*100,0)&amp;"%]"))</f>
        <v/>
      </c>
      <c r="J86" s="26" t="str">
        <f aca="false">IF(OR(Tasks!$D90="",Tasks!$AI90),"",ROUND(Tasks!$V90*100,0))</f>
        <v/>
      </c>
      <c r="K86" s="79" t="str">
        <f aca="false">IF(OR(Tasks!$D90="",N(Tasks!$P90)=0),"",Tasks!$P90)</f>
        <v/>
      </c>
      <c r="L86" s="79" t="str">
        <f aca="false">IF(OR(Tasks!$D90="",N(Tasks!$Q90)=0),"",Tasks!$Q90)</f>
        <v/>
      </c>
      <c r="M86" s="79" t="str">
        <f aca="false">IF(Tasks!$D90="","",Tasks!$N90)</f>
        <v/>
      </c>
      <c r="N86" s="79" t="str">
        <f aca="false">IF(Tasks!$D90="","",Tasks!$O90)</f>
        <v/>
      </c>
      <c r="O86" s="26" t="str">
        <f aca="false">IF(OR(Tasks!$D90="",Tasks!$AI90),"",IF(AND(Tasks!$E90&lt;&gt;"Manual",N(Tasks!$M90)&gt;0),"Start No Earlier Than","As Soon As Possible"))</f>
        <v/>
      </c>
      <c r="P86" s="79" t="str">
        <f aca="false">IF(OR(Tasks!$D90="",Tasks!$AI90,N(Tasks!$M90)=0,Tasks!$E90="Manual"),"",Tasks!$M90)</f>
        <v/>
      </c>
      <c r="Q86" s="26" t="str">
        <f aca="false">IF(Tasks!$D90="","",Tasks!$AD90&amp;"")</f>
        <v/>
      </c>
    </row>
    <row r="87" customFormat="false" ht="15" hidden="false" customHeight="false" outlineLevel="0" collapsed="false">
      <c r="A87" s="26" t="str">
        <f aca="false">IF(Tasks!$D91="","",Tasks!$A91)</f>
        <v/>
      </c>
      <c r="B87" s="26" t="str">
        <f aca="false">IF(Tasks!$D91="","",Tasks!$D91)</f>
        <v/>
      </c>
      <c r="C87" s="26" t="str">
        <f aca="false">IF(Tasks!$D91="","",Tasks!$AE91)</f>
        <v/>
      </c>
      <c r="D87" s="26" t="str">
        <f aca="false">IF(Tasks!$D91="","",IF(Tasks!$E91="Manual","Manually Scheduled","Auto Scheduled"))</f>
        <v/>
      </c>
      <c r="E87" s="26" t="str">
        <f aca="false">IF(OR(Tasks!$D91="",Tasks!$AI91),"",N(Tasks!$F91)&amp;"d")</f>
        <v/>
      </c>
      <c r="F87" s="79" t="str">
        <f aca="false">IF(Tasks!$D91="","",Tasks!$R91)</f>
        <v/>
      </c>
      <c r="G87" s="79" t="str">
        <f aca="false">IF(Tasks!$D91="","",Tasks!$S91)</f>
        <v/>
      </c>
      <c r="H87" s="26" t="str">
        <f aca="false">IF(OR(Tasks!$D91="",Tasks!$AI91),"",Tasks!$AC91)</f>
        <v/>
      </c>
      <c r="I87" s="26" t="str">
        <f aca="false">IF(OR(Tasks!$D91="",Tasks!$X91=""),"",Tasks!$X91&amp;IF(OR(Tasks!$Y91="",Tasks!$Y91=1),"","["&amp;ROUND(Tasks!$Y91*100,0)&amp;"%]"))</f>
        <v/>
      </c>
      <c r="J87" s="26" t="str">
        <f aca="false">IF(OR(Tasks!$D91="",Tasks!$AI91),"",ROUND(Tasks!$V91*100,0))</f>
        <v/>
      </c>
      <c r="K87" s="79" t="str">
        <f aca="false">IF(OR(Tasks!$D91="",N(Tasks!$P91)=0),"",Tasks!$P91)</f>
        <v/>
      </c>
      <c r="L87" s="79" t="str">
        <f aca="false">IF(OR(Tasks!$D91="",N(Tasks!$Q91)=0),"",Tasks!$Q91)</f>
        <v/>
      </c>
      <c r="M87" s="79" t="str">
        <f aca="false">IF(Tasks!$D91="","",Tasks!$N91)</f>
        <v/>
      </c>
      <c r="N87" s="79" t="str">
        <f aca="false">IF(Tasks!$D91="","",Tasks!$O91)</f>
        <v/>
      </c>
      <c r="O87" s="26" t="str">
        <f aca="false">IF(OR(Tasks!$D91="",Tasks!$AI91),"",IF(AND(Tasks!$E91&lt;&gt;"Manual",N(Tasks!$M91)&gt;0),"Start No Earlier Than","As Soon As Possible"))</f>
        <v/>
      </c>
      <c r="P87" s="79" t="str">
        <f aca="false">IF(OR(Tasks!$D91="",Tasks!$AI91,N(Tasks!$M91)=0,Tasks!$E91="Manual"),"",Tasks!$M91)</f>
        <v/>
      </c>
      <c r="Q87" s="26" t="str">
        <f aca="false">IF(Tasks!$D91="","",Tasks!$AD91&amp;"")</f>
        <v/>
      </c>
    </row>
    <row r="88" customFormat="false" ht="15" hidden="false" customHeight="false" outlineLevel="0" collapsed="false">
      <c r="A88" s="26" t="str">
        <f aca="false">IF(Tasks!$D92="","",Tasks!$A92)</f>
        <v/>
      </c>
      <c r="B88" s="26" t="str">
        <f aca="false">IF(Tasks!$D92="","",Tasks!$D92)</f>
        <v/>
      </c>
      <c r="C88" s="26" t="str">
        <f aca="false">IF(Tasks!$D92="","",Tasks!$AE92)</f>
        <v/>
      </c>
      <c r="D88" s="26" t="str">
        <f aca="false">IF(Tasks!$D92="","",IF(Tasks!$E92="Manual","Manually Scheduled","Auto Scheduled"))</f>
        <v/>
      </c>
      <c r="E88" s="26" t="str">
        <f aca="false">IF(OR(Tasks!$D92="",Tasks!$AI92),"",N(Tasks!$F92)&amp;"d")</f>
        <v/>
      </c>
      <c r="F88" s="79" t="str">
        <f aca="false">IF(Tasks!$D92="","",Tasks!$R92)</f>
        <v/>
      </c>
      <c r="G88" s="79" t="str">
        <f aca="false">IF(Tasks!$D92="","",Tasks!$S92)</f>
        <v/>
      </c>
      <c r="H88" s="26" t="str">
        <f aca="false">IF(OR(Tasks!$D92="",Tasks!$AI92),"",Tasks!$AC92)</f>
        <v/>
      </c>
      <c r="I88" s="26" t="str">
        <f aca="false">IF(OR(Tasks!$D92="",Tasks!$X92=""),"",Tasks!$X92&amp;IF(OR(Tasks!$Y92="",Tasks!$Y92=1),"","["&amp;ROUND(Tasks!$Y92*100,0)&amp;"%]"))</f>
        <v/>
      </c>
      <c r="J88" s="26" t="str">
        <f aca="false">IF(OR(Tasks!$D92="",Tasks!$AI92),"",ROUND(Tasks!$V92*100,0))</f>
        <v/>
      </c>
      <c r="K88" s="79" t="str">
        <f aca="false">IF(OR(Tasks!$D92="",N(Tasks!$P92)=0),"",Tasks!$P92)</f>
        <v/>
      </c>
      <c r="L88" s="79" t="str">
        <f aca="false">IF(OR(Tasks!$D92="",N(Tasks!$Q92)=0),"",Tasks!$Q92)</f>
        <v/>
      </c>
      <c r="M88" s="79" t="str">
        <f aca="false">IF(Tasks!$D92="","",Tasks!$N92)</f>
        <v/>
      </c>
      <c r="N88" s="79" t="str">
        <f aca="false">IF(Tasks!$D92="","",Tasks!$O92)</f>
        <v/>
      </c>
      <c r="O88" s="26" t="str">
        <f aca="false">IF(OR(Tasks!$D92="",Tasks!$AI92),"",IF(AND(Tasks!$E92&lt;&gt;"Manual",N(Tasks!$M92)&gt;0),"Start No Earlier Than","As Soon As Possible"))</f>
        <v/>
      </c>
      <c r="P88" s="79" t="str">
        <f aca="false">IF(OR(Tasks!$D92="",Tasks!$AI92,N(Tasks!$M92)=0,Tasks!$E92="Manual"),"",Tasks!$M92)</f>
        <v/>
      </c>
      <c r="Q88" s="26" t="str">
        <f aca="false">IF(Tasks!$D92="","",Tasks!$AD92&amp;"")</f>
        <v/>
      </c>
    </row>
    <row r="89" customFormat="false" ht="15" hidden="false" customHeight="false" outlineLevel="0" collapsed="false">
      <c r="A89" s="26" t="str">
        <f aca="false">IF(Tasks!$D93="","",Tasks!$A93)</f>
        <v/>
      </c>
      <c r="B89" s="26" t="str">
        <f aca="false">IF(Tasks!$D93="","",Tasks!$D93)</f>
        <v/>
      </c>
      <c r="C89" s="26" t="str">
        <f aca="false">IF(Tasks!$D93="","",Tasks!$AE93)</f>
        <v/>
      </c>
      <c r="D89" s="26" t="str">
        <f aca="false">IF(Tasks!$D93="","",IF(Tasks!$E93="Manual","Manually Scheduled","Auto Scheduled"))</f>
        <v/>
      </c>
      <c r="E89" s="26" t="str">
        <f aca="false">IF(OR(Tasks!$D93="",Tasks!$AI93),"",N(Tasks!$F93)&amp;"d")</f>
        <v/>
      </c>
      <c r="F89" s="79" t="str">
        <f aca="false">IF(Tasks!$D93="","",Tasks!$R93)</f>
        <v/>
      </c>
      <c r="G89" s="79" t="str">
        <f aca="false">IF(Tasks!$D93="","",Tasks!$S93)</f>
        <v/>
      </c>
      <c r="H89" s="26" t="str">
        <f aca="false">IF(OR(Tasks!$D93="",Tasks!$AI93),"",Tasks!$AC93)</f>
        <v/>
      </c>
      <c r="I89" s="26" t="str">
        <f aca="false">IF(OR(Tasks!$D93="",Tasks!$X93=""),"",Tasks!$X93&amp;IF(OR(Tasks!$Y93="",Tasks!$Y93=1),"","["&amp;ROUND(Tasks!$Y93*100,0)&amp;"%]"))</f>
        <v/>
      </c>
      <c r="J89" s="26" t="str">
        <f aca="false">IF(OR(Tasks!$D93="",Tasks!$AI93),"",ROUND(Tasks!$V93*100,0))</f>
        <v/>
      </c>
      <c r="K89" s="79" t="str">
        <f aca="false">IF(OR(Tasks!$D93="",N(Tasks!$P93)=0),"",Tasks!$P93)</f>
        <v/>
      </c>
      <c r="L89" s="79" t="str">
        <f aca="false">IF(OR(Tasks!$D93="",N(Tasks!$Q93)=0),"",Tasks!$Q93)</f>
        <v/>
      </c>
      <c r="M89" s="79" t="str">
        <f aca="false">IF(Tasks!$D93="","",Tasks!$N93)</f>
        <v/>
      </c>
      <c r="N89" s="79" t="str">
        <f aca="false">IF(Tasks!$D93="","",Tasks!$O93)</f>
        <v/>
      </c>
      <c r="O89" s="26" t="str">
        <f aca="false">IF(OR(Tasks!$D93="",Tasks!$AI93),"",IF(AND(Tasks!$E93&lt;&gt;"Manual",N(Tasks!$M93)&gt;0),"Start No Earlier Than","As Soon As Possible"))</f>
        <v/>
      </c>
      <c r="P89" s="79" t="str">
        <f aca="false">IF(OR(Tasks!$D93="",Tasks!$AI93,N(Tasks!$M93)=0,Tasks!$E93="Manual"),"",Tasks!$M93)</f>
        <v/>
      </c>
      <c r="Q89" s="26" t="str">
        <f aca="false">IF(Tasks!$D93="","",Tasks!$AD93&amp;"")</f>
        <v/>
      </c>
    </row>
    <row r="90" customFormat="false" ht="15" hidden="false" customHeight="false" outlineLevel="0" collapsed="false">
      <c r="A90" s="26" t="str">
        <f aca="false">IF(Tasks!$D94="","",Tasks!$A94)</f>
        <v/>
      </c>
      <c r="B90" s="26" t="str">
        <f aca="false">IF(Tasks!$D94="","",Tasks!$D94)</f>
        <v/>
      </c>
      <c r="C90" s="26" t="str">
        <f aca="false">IF(Tasks!$D94="","",Tasks!$AE94)</f>
        <v/>
      </c>
      <c r="D90" s="26" t="str">
        <f aca="false">IF(Tasks!$D94="","",IF(Tasks!$E94="Manual","Manually Scheduled","Auto Scheduled"))</f>
        <v/>
      </c>
      <c r="E90" s="26" t="str">
        <f aca="false">IF(OR(Tasks!$D94="",Tasks!$AI94),"",N(Tasks!$F94)&amp;"d")</f>
        <v/>
      </c>
      <c r="F90" s="79" t="str">
        <f aca="false">IF(Tasks!$D94="","",Tasks!$R94)</f>
        <v/>
      </c>
      <c r="G90" s="79" t="str">
        <f aca="false">IF(Tasks!$D94="","",Tasks!$S94)</f>
        <v/>
      </c>
      <c r="H90" s="26" t="str">
        <f aca="false">IF(OR(Tasks!$D94="",Tasks!$AI94),"",Tasks!$AC94)</f>
        <v/>
      </c>
      <c r="I90" s="26" t="str">
        <f aca="false">IF(OR(Tasks!$D94="",Tasks!$X94=""),"",Tasks!$X94&amp;IF(OR(Tasks!$Y94="",Tasks!$Y94=1),"","["&amp;ROUND(Tasks!$Y94*100,0)&amp;"%]"))</f>
        <v/>
      </c>
      <c r="J90" s="26" t="str">
        <f aca="false">IF(OR(Tasks!$D94="",Tasks!$AI94),"",ROUND(Tasks!$V94*100,0))</f>
        <v/>
      </c>
      <c r="K90" s="79" t="str">
        <f aca="false">IF(OR(Tasks!$D94="",N(Tasks!$P94)=0),"",Tasks!$P94)</f>
        <v/>
      </c>
      <c r="L90" s="79" t="str">
        <f aca="false">IF(OR(Tasks!$D94="",N(Tasks!$Q94)=0),"",Tasks!$Q94)</f>
        <v/>
      </c>
      <c r="M90" s="79" t="str">
        <f aca="false">IF(Tasks!$D94="","",Tasks!$N94)</f>
        <v/>
      </c>
      <c r="N90" s="79" t="str">
        <f aca="false">IF(Tasks!$D94="","",Tasks!$O94)</f>
        <v/>
      </c>
      <c r="O90" s="26" t="str">
        <f aca="false">IF(OR(Tasks!$D94="",Tasks!$AI94),"",IF(AND(Tasks!$E94&lt;&gt;"Manual",N(Tasks!$M94)&gt;0),"Start No Earlier Than","As Soon As Possible"))</f>
        <v/>
      </c>
      <c r="P90" s="79" t="str">
        <f aca="false">IF(OR(Tasks!$D94="",Tasks!$AI94,N(Tasks!$M94)=0,Tasks!$E94="Manual"),"",Tasks!$M94)</f>
        <v/>
      </c>
      <c r="Q90" s="26" t="str">
        <f aca="false">IF(Tasks!$D94="","",Tasks!$AD94&amp;"")</f>
        <v/>
      </c>
    </row>
    <row r="91" customFormat="false" ht="15" hidden="false" customHeight="false" outlineLevel="0" collapsed="false">
      <c r="A91" s="26" t="str">
        <f aca="false">IF(Tasks!$D95="","",Tasks!$A95)</f>
        <v/>
      </c>
      <c r="B91" s="26" t="str">
        <f aca="false">IF(Tasks!$D95="","",Tasks!$D95)</f>
        <v/>
      </c>
      <c r="C91" s="26" t="str">
        <f aca="false">IF(Tasks!$D95="","",Tasks!$AE95)</f>
        <v/>
      </c>
      <c r="D91" s="26" t="str">
        <f aca="false">IF(Tasks!$D95="","",IF(Tasks!$E95="Manual","Manually Scheduled","Auto Scheduled"))</f>
        <v/>
      </c>
      <c r="E91" s="26" t="str">
        <f aca="false">IF(OR(Tasks!$D95="",Tasks!$AI95),"",N(Tasks!$F95)&amp;"d")</f>
        <v/>
      </c>
      <c r="F91" s="79" t="str">
        <f aca="false">IF(Tasks!$D95="","",Tasks!$R95)</f>
        <v/>
      </c>
      <c r="G91" s="79" t="str">
        <f aca="false">IF(Tasks!$D95="","",Tasks!$S95)</f>
        <v/>
      </c>
      <c r="H91" s="26" t="str">
        <f aca="false">IF(OR(Tasks!$D95="",Tasks!$AI95),"",Tasks!$AC95)</f>
        <v/>
      </c>
      <c r="I91" s="26" t="str">
        <f aca="false">IF(OR(Tasks!$D95="",Tasks!$X95=""),"",Tasks!$X95&amp;IF(OR(Tasks!$Y95="",Tasks!$Y95=1),"","["&amp;ROUND(Tasks!$Y95*100,0)&amp;"%]"))</f>
        <v/>
      </c>
      <c r="J91" s="26" t="str">
        <f aca="false">IF(OR(Tasks!$D95="",Tasks!$AI95),"",ROUND(Tasks!$V95*100,0))</f>
        <v/>
      </c>
      <c r="K91" s="79" t="str">
        <f aca="false">IF(OR(Tasks!$D95="",N(Tasks!$P95)=0),"",Tasks!$P95)</f>
        <v/>
      </c>
      <c r="L91" s="79" t="str">
        <f aca="false">IF(OR(Tasks!$D95="",N(Tasks!$Q95)=0),"",Tasks!$Q95)</f>
        <v/>
      </c>
      <c r="M91" s="79" t="str">
        <f aca="false">IF(Tasks!$D95="","",Tasks!$N95)</f>
        <v/>
      </c>
      <c r="N91" s="79" t="str">
        <f aca="false">IF(Tasks!$D95="","",Tasks!$O95)</f>
        <v/>
      </c>
      <c r="O91" s="26" t="str">
        <f aca="false">IF(OR(Tasks!$D95="",Tasks!$AI95),"",IF(AND(Tasks!$E95&lt;&gt;"Manual",N(Tasks!$M95)&gt;0),"Start No Earlier Than","As Soon As Possible"))</f>
        <v/>
      </c>
      <c r="P91" s="79" t="str">
        <f aca="false">IF(OR(Tasks!$D95="",Tasks!$AI95,N(Tasks!$M95)=0,Tasks!$E95="Manual"),"",Tasks!$M95)</f>
        <v/>
      </c>
      <c r="Q91" s="26" t="str">
        <f aca="false">IF(Tasks!$D95="","",Tasks!$AD95&amp;"")</f>
        <v/>
      </c>
    </row>
    <row r="92" customFormat="false" ht="15" hidden="false" customHeight="false" outlineLevel="0" collapsed="false">
      <c r="A92" s="26" t="str">
        <f aca="false">IF(Tasks!$D96="","",Tasks!$A96)</f>
        <v/>
      </c>
      <c r="B92" s="26" t="str">
        <f aca="false">IF(Tasks!$D96="","",Tasks!$D96)</f>
        <v/>
      </c>
      <c r="C92" s="26" t="str">
        <f aca="false">IF(Tasks!$D96="","",Tasks!$AE96)</f>
        <v/>
      </c>
      <c r="D92" s="26" t="str">
        <f aca="false">IF(Tasks!$D96="","",IF(Tasks!$E96="Manual","Manually Scheduled","Auto Scheduled"))</f>
        <v/>
      </c>
      <c r="E92" s="26" t="str">
        <f aca="false">IF(OR(Tasks!$D96="",Tasks!$AI96),"",N(Tasks!$F96)&amp;"d")</f>
        <v/>
      </c>
      <c r="F92" s="79" t="str">
        <f aca="false">IF(Tasks!$D96="","",Tasks!$R96)</f>
        <v/>
      </c>
      <c r="G92" s="79" t="str">
        <f aca="false">IF(Tasks!$D96="","",Tasks!$S96)</f>
        <v/>
      </c>
      <c r="H92" s="26" t="str">
        <f aca="false">IF(OR(Tasks!$D96="",Tasks!$AI96),"",Tasks!$AC96)</f>
        <v/>
      </c>
      <c r="I92" s="26" t="str">
        <f aca="false">IF(OR(Tasks!$D96="",Tasks!$X96=""),"",Tasks!$X96&amp;IF(OR(Tasks!$Y96="",Tasks!$Y96=1),"","["&amp;ROUND(Tasks!$Y96*100,0)&amp;"%]"))</f>
        <v/>
      </c>
      <c r="J92" s="26" t="str">
        <f aca="false">IF(OR(Tasks!$D96="",Tasks!$AI96),"",ROUND(Tasks!$V96*100,0))</f>
        <v/>
      </c>
      <c r="K92" s="79" t="str">
        <f aca="false">IF(OR(Tasks!$D96="",N(Tasks!$P96)=0),"",Tasks!$P96)</f>
        <v/>
      </c>
      <c r="L92" s="79" t="str">
        <f aca="false">IF(OR(Tasks!$D96="",N(Tasks!$Q96)=0),"",Tasks!$Q96)</f>
        <v/>
      </c>
      <c r="M92" s="79" t="str">
        <f aca="false">IF(Tasks!$D96="","",Tasks!$N96)</f>
        <v/>
      </c>
      <c r="N92" s="79" t="str">
        <f aca="false">IF(Tasks!$D96="","",Tasks!$O96)</f>
        <v/>
      </c>
      <c r="O92" s="26" t="str">
        <f aca="false">IF(OR(Tasks!$D96="",Tasks!$AI96),"",IF(AND(Tasks!$E96&lt;&gt;"Manual",N(Tasks!$M96)&gt;0),"Start No Earlier Than","As Soon As Possible"))</f>
        <v/>
      </c>
      <c r="P92" s="79" t="str">
        <f aca="false">IF(OR(Tasks!$D96="",Tasks!$AI96,N(Tasks!$M96)=0,Tasks!$E96="Manual"),"",Tasks!$M96)</f>
        <v/>
      </c>
      <c r="Q92" s="26" t="str">
        <f aca="false">IF(Tasks!$D96="","",Tasks!$AD96&amp;"")</f>
        <v/>
      </c>
    </row>
    <row r="93" customFormat="false" ht="15" hidden="false" customHeight="false" outlineLevel="0" collapsed="false">
      <c r="A93" s="26" t="str">
        <f aca="false">IF(Tasks!$D97="","",Tasks!$A97)</f>
        <v/>
      </c>
      <c r="B93" s="26" t="str">
        <f aca="false">IF(Tasks!$D97="","",Tasks!$D97)</f>
        <v/>
      </c>
      <c r="C93" s="26" t="str">
        <f aca="false">IF(Tasks!$D97="","",Tasks!$AE97)</f>
        <v/>
      </c>
      <c r="D93" s="26" t="str">
        <f aca="false">IF(Tasks!$D97="","",IF(Tasks!$E97="Manual","Manually Scheduled","Auto Scheduled"))</f>
        <v/>
      </c>
      <c r="E93" s="26" t="str">
        <f aca="false">IF(OR(Tasks!$D97="",Tasks!$AI97),"",N(Tasks!$F97)&amp;"d")</f>
        <v/>
      </c>
      <c r="F93" s="79" t="str">
        <f aca="false">IF(Tasks!$D97="","",Tasks!$R97)</f>
        <v/>
      </c>
      <c r="G93" s="79" t="str">
        <f aca="false">IF(Tasks!$D97="","",Tasks!$S97)</f>
        <v/>
      </c>
      <c r="H93" s="26" t="str">
        <f aca="false">IF(OR(Tasks!$D97="",Tasks!$AI97),"",Tasks!$AC97)</f>
        <v/>
      </c>
      <c r="I93" s="26" t="str">
        <f aca="false">IF(OR(Tasks!$D97="",Tasks!$X97=""),"",Tasks!$X97&amp;IF(OR(Tasks!$Y97="",Tasks!$Y97=1),"","["&amp;ROUND(Tasks!$Y97*100,0)&amp;"%]"))</f>
        <v/>
      </c>
      <c r="J93" s="26" t="str">
        <f aca="false">IF(OR(Tasks!$D97="",Tasks!$AI97),"",ROUND(Tasks!$V97*100,0))</f>
        <v/>
      </c>
      <c r="K93" s="79" t="str">
        <f aca="false">IF(OR(Tasks!$D97="",N(Tasks!$P97)=0),"",Tasks!$P97)</f>
        <v/>
      </c>
      <c r="L93" s="79" t="str">
        <f aca="false">IF(OR(Tasks!$D97="",N(Tasks!$Q97)=0),"",Tasks!$Q97)</f>
        <v/>
      </c>
      <c r="M93" s="79" t="str">
        <f aca="false">IF(Tasks!$D97="","",Tasks!$N97)</f>
        <v/>
      </c>
      <c r="N93" s="79" t="str">
        <f aca="false">IF(Tasks!$D97="","",Tasks!$O97)</f>
        <v/>
      </c>
      <c r="O93" s="26" t="str">
        <f aca="false">IF(OR(Tasks!$D97="",Tasks!$AI97),"",IF(AND(Tasks!$E97&lt;&gt;"Manual",N(Tasks!$M97)&gt;0),"Start No Earlier Than","As Soon As Possible"))</f>
        <v/>
      </c>
      <c r="P93" s="79" t="str">
        <f aca="false">IF(OR(Tasks!$D97="",Tasks!$AI97,N(Tasks!$M97)=0,Tasks!$E97="Manual"),"",Tasks!$M97)</f>
        <v/>
      </c>
      <c r="Q93" s="26" t="str">
        <f aca="false">IF(Tasks!$D97="","",Tasks!$AD97&amp;"")</f>
        <v/>
      </c>
    </row>
    <row r="94" customFormat="false" ht="15" hidden="false" customHeight="false" outlineLevel="0" collapsed="false">
      <c r="A94" s="26" t="str">
        <f aca="false">IF(Tasks!$D98="","",Tasks!$A98)</f>
        <v/>
      </c>
      <c r="B94" s="26" t="str">
        <f aca="false">IF(Tasks!$D98="","",Tasks!$D98)</f>
        <v/>
      </c>
      <c r="C94" s="26" t="str">
        <f aca="false">IF(Tasks!$D98="","",Tasks!$AE98)</f>
        <v/>
      </c>
      <c r="D94" s="26" t="str">
        <f aca="false">IF(Tasks!$D98="","",IF(Tasks!$E98="Manual","Manually Scheduled","Auto Scheduled"))</f>
        <v/>
      </c>
      <c r="E94" s="26" t="str">
        <f aca="false">IF(OR(Tasks!$D98="",Tasks!$AI98),"",N(Tasks!$F98)&amp;"d")</f>
        <v/>
      </c>
      <c r="F94" s="79" t="str">
        <f aca="false">IF(Tasks!$D98="","",Tasks!$R98)</f>
        <v/>
      </c>
      <c r="G94" s="79" t="str">
        <f aca="false">IF(Tasks!$D98="","",Tasks!$S98)</f>
        <v/>
      </c>
      <c r="H94" s="26" t="str">
        <f aca="false">IF(OR(Tasks!$D98="",Tasks!$AI98),"",Tasks!$AC98)</f>
        <v/>
      </c>
      <c r="I94" s="26" t="str">
        <f aca="false">IF(OR(Tasks!$D98="",Tasks!$X98=""),"",Tasks!$X98&amp;IF(OR(Tasks!$Y98="",Tasks!$Y98=1),"","["&amp;ROUND(Tasks!$Y98*100,0)&amp;"%]"))</f>
        <v/>
      </c>
      <c r="J94" s="26" t="str">
        <f aca="false">IF(OR(Tasks!$D98="",Tasks!$AI98),"",ROUND(Tasks!$V98*100,0))</f>
        <v/>
      </c>
      <c r="K94" s="79" t="str">
        <f aca="false">IF(OR(Tasks!$D98="",N(Tasks!$P98)=0),"",Tasks!$P98)</f>
        <v/>
      </c>
      <c r="L94" s="79" t="str">
        <f aca="false">IF(OR(Tasks!$D98="",N(Tasks!$Q98)=0),"",Tasks!$Q98)</f>
        <v/>
      </c>
      <c r="M94" s="79" t="str">
        <f aca="false">IF(Tasks!$D98="","",Tasks!$N98)</f>
        <v/>
      </c>
      <c r="N94" s="79" t="str">
        <f aca="false">IF(Tasks!$D98="","",Tasks!$O98)</f>
        <v/>
      </c>
      <c r="O94" s="26" t="str">
        <f aca="false">IF(OR(Tasks!$D98="",Tasks!$AI98),"",IF(AND(Tasks!$E98&lt;&gt;"Manual",N(Tasks!$M98)&gt;0),"Start No Earlier Than","As Soon As Possible"))</f>
        <v/>
      </c>
      <c r="P94" s="79" t="str">
        <f aca="false">IF(OR(Tasks!$D98="",Tasks!$AI98,N(Tasks!$M98)=0,Tasks!$E98="Manual"),"",Tasks!$M98)</f>
        <v/>
      </c>
      <c r="Q94" s="26" t="str">
        <f aca="false">IF(Tasks!$D98="","",Tasks!$AD98&amp;"")</f>
        <v/>
      </c>
    </row>
    <row r="95" customFormat="false" ht="15" hidden="false" customHeight="false" outlineLevel="0" collapsed="false">
      <c r="A95" s="26" t="str">
        <f aca="false">IF(Tasks!$D99="","",Tasks!$A99)</f>
        <v/>
      </c>
      <c r="B95" s="26" t="str">
        <f aca="false">IF(Tasks!$D99="","",Tasks!$D99)</f>
        <v/>
      </c>
      <c r="C95" s="26" t="str">
        <f aca="false">IF(Tasks!$D99="","",Tasks!$AE99)</f>
        <v/>
      </c>
      <c r="D95" s="26" t="str">
        <f aca="false">IF(Tasks!$D99="","",IF(Tasks!$E99="Manual","Manually Scheduled","Auto Scheduled"))</f>
        <v/>
      </c>
      <c r="E95" s="26" t="str">
        <f aca="false">IF(OR(Tasks!$D99="",Tasks!$AI99),"",N(Tasks!$F99)&amp;"d")</f>
        <v/>
      </c>
      <c r="F95" s="79" t="str">
        <f aca="false">IF(Tasks!$D99="","",Tasks!$R99)</f>
        <v/>
      </c>
      <c r="G95" s="79" t="str">
        <f aca="false">IF(Tasks!$D99="","",Tasks!$S99)</f>
        <v/>
      </c>
      <c r="H95" s="26" t="str">
        <f aca="false">IF(OR(Tasks!$D99="",Tasks!$AI99),"",Tasks!$AC99)</f>
        <v/>
      </c>
      <c r="I95" s="26" t="str">
        <f aca="false">IF(OR(Tasks!$D99="",Tasks!$X99=""),"",Tasks!$X99&amp;IF(OR(Tasks!$Y99="",Tasks!$Y99=1),"","["&amp;ROUND(Tasks!$Y99*100,0)&amp;"%]"))</f>
        <v/>
      </c>
      <c r="J95" s="26" t="str">
        <f aca="false">IF(OR(Tasks!$D99="",Tasks!$AI99),"",ROUND(Tasks!$V99*100,0))</f>
        <v/>
      </c>
      <c r="K95" s="79" t="str">
        <f aca="false">IF(OR(Tasks!$D99="",N(Tasks!$P99)=0),"",Tasks!$P99)</f>
        <v/>
      </c>
      <c r="L95" s="79" t="str">
        <f aca="false">IF(OR(Tasks!$D99="",N(Tasks!$Q99)=0),"",Tasks!$Q99)</f>
        <v/>
      </c>
      <c r="M95" s="79" t="str">
        <f aca="false">IF(Tasks!$D99="","",Tasks!$N99)</f>
        <v/>
      </c>
      <c r="N95" s="79" t="str">
        <f aca="false">IF(Tasks!$D99="","",Tasks!$O99)</f>
        <v/>
      </c>
      <c r="O95" s="26" t="str">
        <f aca="false">IF(OR(Tasks!$D99="",Tasks!$AI99),"",IF(AND(Tasks!$E99&lt;&gt;"Manual",N(Tasks!$M99)&gt;0),"Start No Earlier Than","As Soon As Possible"))</f>
        <v/>
      </c>
      <c r="P95" s="79" t="str">
        <f aca="false">IF(OR(Tasks!$D99="",Tasks!$AI99,N(Tasks!$M99)=0,Tasks!$E99="Manual"),"",Tasks!$M99)</f>
        <v/>
      </c>
      <c r="Q95" s="26" t="str">
        <f aca="false">IF(Tasks!$D99="","",Tasks!$AD99&amp;"")</f>
        <v/>
      </c>
    </row>
    <row r="96" customFormat="false" ht="15" hidden="false" customHeight="false" outlineLevel="0" collapsed="false">
      <c r="A96" s="26" t="str">
        <f aca="false">IF(Tasks!$D100="","",Tasks!$A100)</f>
        <v/>
      </c>
      <c r="B96" s="26" t="str">
        <f aca="false">IF(Tasks!$D100="","",Tasks!$D100)</f>
        <v/>
      </c>
      <c r="C96" s="26" t="str">
        <f aca="false">IF(Tasks!$D100="","",Tasks!$AE100)</f>
        <v/>
      </c>
      <c r="D96" s="26" t="str">
        <f aca="false">IF(Tasks!$D100="","",IF(Tasks!$E100="Manual","Manually Scheduled","Auto Scheduled"))</f>
        <v/>
      </c>
      <c r="E96" s="26" t="str">
        <f aca="false">IF(OR(Tasks!$D100="",Tasks!$AI100),"",N(Tasks!$F100)&amp;"d")</f>
        <v/>
      </c>
      <c r="F96" s="79" t="str">
        <f aca="false">IF(Tasks!$D100="","",Tasks!$R100)</f>
        <v/>
      </c>
      <c r="G96" s="79" t="str">
        <f aca="false">IF(Tasks!$D100="","",Tasks!$S100)</f>
        <v/>
      </c>
      <c r="H96" s="26" t="str">
        <f aca="false">IF(OR(Tasks!$D100="",Tasks!$AI100),"",Tasks!$AC100)</f>
        <v/>
      </c>
      <c r="I96" s="26" t="str">
        <f aca="false">IF(OR(Tasks!$D100="",Tasks!$X100=""),"",Tasks!$X100&amp;IF(OR(Tasks!$Y100="",Tasks!$Y100=1),"","["&amp;ROUND(Tasks!$Y100*100,0)&amp;"%]"))</f>
        <v/>
      </c>
      <c r="J96" s="26" t="str">
        <f aca="false">IF(OR(Tasks!$D100="",Tasks!$AI100),"",ROUND(Tasks!$V100*100,0))</f>
        <v/>
      </c>
      <c r="K96" s="79" t="str">
        <f aca="false">IF(OR(Tasks!$D100="",N(Tasks!$P100)=0),"",Tasks!$P100)</f>
        <v/>
      </c>
      <c r="L96" s="79" t="str">
        <f aca="false">IF(OR(Tasks!$D100="",N(Tasks!$Q100)=0),"",Tasks!$Q100)</f>
        <v/>
      </c>
      <c r="M96" s="79" t="str">
        <f aca="false">IF(Tasks!$D100="","",Tasks!$N100)</f>
        <v/>
      </c>
      <c r="N96" s="79" t="str">
        <f aca="false">IF(Tasks!$D100="","",Tasks!$O100)</f>
        <v/>
      </c>
      <c r="O96" s="26" t="str">
        <f aca="false">IF(OR(Tasks!$D100="",Tasks!$AI100),"",IF(AND(Tasks!$E100&lt;&gt;"Manual",N(Tasks!$M100)&gt;0),"Start No Earlier Than","As Soon As Possible"))</f>
        <v/>
      </c>
      <c r="P96" s="79" t="str">
        <f aca="false">IF(OR(Tasks!$D100="",Tasks!$AI100,N(Tasks!$M100)=0,Tasks!$E100="Manual"),"",Tasks!$M100)</f>
        <v/>
      </c>
      <c r="Q96" s="26" t="str">
        <f aca="false">IF(Tasks!$D100="","",Tasks!$AD100&amp;"")</f>
        <v/>
      </c>
    </row>
    <row r="97" customFormat="false" ht="15" hidden="false" customHeight="false" outlineLevel="0" collapsed="false">
      <c r="A97" s="26" t="str">
        <f aca="false">IF(Tasks!$D101="","",Tasks!$A101)</f>
        <v/>
      </c>
      <c r="B97" s="26" t="str">
        <f aca="false">IF(Tasks!$D101="","",Tasks!$D101)</f>
        <v/>
      </c>
      <c r="C97" s="26" t="str">
        <f aca="false">IF(Tasks!$D101="","",Tasks!$AE101)</f>
        <v/>
      </c>
      <c r="D97" s="26" t="str">
        <f aca="false">IF(Tasks!$D101="","",IF(Tasks!$E101="Manual","Manually Scheduled","Auto Scheduled"))</f>
        <v/>
      </c>
      <c r="E97" s="26" t="str">
        <f aca="false">IF(OR(Tasks!$D101="",Tasks!$AI101),"",N(Tasks!$F101)&amp;"d")</f>
        <v/>
      </c>
      <c r="F97" s="79" t="str">
        <f aca="false">IF(Tasks!$D101="","",Tasks!$R101)</f>
        <v/>
      </c>
      <c r="G97" s="79" t="str">
        <f aca="false">IF(Tasks!$D101="","",Tasks!$S101)</f>
        <v/>
      </c>
      <c r="H97" s="26" t="str">
        <f aca="false">IF(OR(Tasks!$D101="",Tasks!$AI101),"",Tasks!$AC101)</f>
        <v/>
      </c>
      <c r="I97" s="26" t="str">
        <f aca="false">IF(OR(Tasks!$D101="",Tasks!$X101=""),"",Tasks!$X101&amp;IF(OR(Tasks!$Y101="",Tasks!$Y101=1),"","["&amp;ROUND(Tasks!$Y101*100,0)&amp;"%]"))</f>
        <v/>
      </c>
      <c r="J97" s="26" t="str">
        <f aca="false">IF(OR(Tasks!$D101="",Tasks!$AI101),"",ROUND(Tasks!$V101*100,0))</f>
        <v/>
      </c>
      <c r="K97" s="79" t="str">
        <f aca="false">IF(OR(Tasks!$D101="",N(Tasks!$P101)=0),"",Tasks!$P101)</f>
        <v/>
      </c>
      <c r="L97" s="79" t="str">
        <f aca="false">IF(OR(Tasks!$D101="",N(Tasks!$Q101)=0),"",Tasks!$Q101)</f>
        <v/>
      </c>
      <c r="M97" s="79" t="str">
        <f aca="false">IF(Tasks!$D101="","",Tasks!$N101)</f>
        <v/>
      </c>
      <c r="N97" s="79" t="str">
        <f aca="false">IF(Tasks!$D101="","",Tasks!$O101)</f>
        <v/>
      </c>
      <c r="O97" s="26" t="str">
        <f aca="false">IF(OR(Tasks!$D101="",Tasks!$AI101),"",IF(AND(Tasks!$E101&lt;&gt;"Manual",N(Tasks!$M101)&gt;0),"Start No Earlier Than","As Soon As Possible"))</f>
        <v/>
      </c>
      <c r="P97" s="79" t="str">
        <f aca="false">IF(OR(Tasks!$D101="",Tasks!$AI101,N(Tasks!$M101)=0,Tasks!$E101="Manual"),"",Tasks!$M101)</f>
        <v/>
      </c>
      <c r="Q97" s="26" t="str">
        <f aca="false">IF(Tasks!$D101="","",Tasks!$AD101&amp;"")</f>
        <v/>
      </c>
    </row>
    <row r="98" customFormat="false" ht="15" hidden="false" customHeight="false" outlineLevel="0" collapsed="false">
      <c r="A98" s="26" t="str">
        <f aca="false">IF(Tasks!$D102="","",Tasks!$A102)</f>
        <v/>
      </c>
      <c r="B98" s="26" t="str">
        <f aca="false">IF(Tasks!$D102="","",Tasks!$D102)</f>
        <v/>
      </c>
      <c r="C98" s="26" t="str">
        <f aca="false">IF(Tasks!$D102="","",Tasks!$AE102)</f>
        <v/>
      </c>
      <c r="D98" s="26" t="str">
        <f aca="false">IF(Tasks!$D102="","",IF(Tasks!$E102="Manual","Manually Scheduled","Auto Scheduled"))</f>
        <v/>
      </c>
      <c r="E98" s="26" t="str">
        <f aca="false">IF(OR(Tasks!$D102="",Tasks!$AI102),"",N(Tasks!$F102)&amp;"d")</f>
        <v/>
      </c>
      <c r="F98" s="79" t="str">
        <f aca="false">IF(Tasks!$D102="","",Tasks!$R102)</f>
        <v/>
      </c>
      <c r="G98" s="79" t="str">
        <f aca="false">IF(Tasks!$D102="","",Tasks!$S102)</f>
        <v/>
      </c>
      <c r="H98" s="26" t="str">
        <f aca="false">IF(OR(Tasks!$D102="",Tasks!$AI102),"",Tasks!$AC102)</f>
        <v/>
      </c>
      <c r="I98" s="26" t="str">
        <f aca="false">IF(OR(Tasks!$D102="",Tasks!$X102=""),"",Tasks!$X102&amp;IF(OR(Tasks!$Y102="",Tasks!$Y102=1),"","["&amp;ROUND(Tasks!$Y102*100,0)&amp;"%]"))</f>
        <v/>
      </c>
      <c r="J98" s="26" t="str">
        <f aca="false">IF(OR(Tasks!$D102="",Tasks!$AI102),"",ROUND(Tasks!$V102*100,0))</f>
        <v/>
      </c>
      <c r="K98" s="79" t="str">
        <f aca="false">IF(OR(Tasks!$D102="",N(Tasks!$P102)=0),"",Tasks!$P102)</f>
        <v/>
      </c>
      <c r="L98" s="79" t="str">
        <f aca="false">IF(OR(Tasks!$D102="",N(Tasks!$Q102)=0),"",Tasks!$Q102)</f>
        <v/>
      </c>
      <c r="M98" s="79" t="str">
        <f aca="false">IF(Tasks!$D102="","",Tasks!$N102)</f>
        <v/>
      </c>
      <c r="N98" s="79" t="str">
        <f aca="false">IF(Tasks!$D102="","",Tasks!$O102)</f>
        <v/>
      </c>
      <c r="O98" s="26" t="str">
        <f aca="false">IF(OR(Tasks!$D102="",Tasks!$AI102),"",IF(AND(Tasks!$E102&lt;&gt;"Manual",N(Tasks!$M102)&gt;0),"Start No Earlier Than","As Soon As Possible"))</f>
        <v/>
      </c>
      <c r="P98" s="79" t="str">
        <f aca="false">IF(OR(Tasks!$D102="",Tasks!$AI102,N(Tasks!$M102)=0,Tasks!$E102="Manual"),"",Tasks!$M102)</f>
        <v/>
      </c>
      <c r="Q98" s="26" t="str">
        <f aca="false">IF(Tasks!$D102="","",Tasks!$AD102&amp;"")</f>
        <v/>
      </c>
    </row>
    <row r="99" customFormat="false" ht="15" hidden="false" customHeight="false" outlineLevel="0" collapsed="false">
      <c r="A99" s="26" t="str">
        <f aca="false">IF(Tasks!$D103="","",Tasks!$A103)</f>
        <v/>
      </c>
      <c r="B99" s="26" t="str">
        <f aca="false">IF(Tasks!$D103="","",Tasks!$D103)</f>
        <v/>
      </c>
      <c r="C99" s="26" t="str">
        <f aca="false">IF(Tasks!$D103="","",Tasks!$AE103)</f>
        <v/>
      </c>
      <c r="D99" s="26" t="str">
        <f aca="false">IF(Tasks!$D103="","",IF(Tasks!$E103="Manual","Manually Scheduled","Auto Scheduled"))</f>
        <v/>
      </c>
      <c r="E99" s="26" t="str">
        <f aca="false">IF(OR(Tasks!$D103="",Tasks!$AI103),"",N(Tasks!$F103)&amp;"d")</f>
        <v/>
      </c>
      <c r="F99" s="79" t="str">
        <f aca="false">IF(Tasks!$D103="","",Tasks!$R103)</f>
        <v/>
      </c>
      <c r="G99" s="79" t="str">
        <f aca="false">IF(Tasks!$D103="","",Tasks!$S103)</f>
        <v/>
      </c>
      <c r="H99" s="26" t="str">
        <f aca="false">IF(OR(Tasks!$D103="",Tasks!$AI103),"",Tasks!$AC103)</f>
        <v/>
      </c>
      <c r="I99" s="26" t="str">
        <f aca="false">IF(OR(Tasks!$D103="",Tasks!$X103=""),"",Tasks!$X103&amp;IF(OR(Tasks!$Y103="",Tasks!$Y103=1),"","["&amp;ROUND(Tasks!$Y103*100,0)&amp;"%]"))</f>
        <v/>
      </c>
      <c r="J99" s="26" t="str">
        <f aca="false">IF(OR(Tasks!$D103="",Tasks!$AI103),"",ROUND(Tasks!$V103*100,0))</f>
        <v/>
      </c>
      <c r="K99" s="79" t="str">
        <f aca="false">IF(OR(Tasks!$D103="",N(Tasks!$P103)=0),"",Tasks!$P103)</f>
        <v/>
      </c>
      <c r="L99" s="79" t="str">
        <f aca="false">IF(OR(Tasks!$D103="",N(Tasks!$Q103)=0),"",Tasks!$Q103)</f>
        <v/>
      </c>
      <c r="M99" s="79" t="str">
        <f aca="false">IF(Tasks!$D103="","",Tasks!$N103)</f>
        <v/>
      </c>
      <c r="N99" s="79" t="str">
        <f aca="false">IF(Tasks!$D103="","",Tasks!$O103)</f>
        <v/>
      </c>
      <c r="O99" s="26" t="str">
        <f aca="false">IF(OR(Tasks!$D103="",Tasks!$AI103),"",IF(AND(Tasks!$E103&lt;&gt;"Manual",N(Tasks!$M103)&gt;0),"Start No Earlier Than","As Soon As Possible"))</f>
        <v/>
      </c>
      <c r="P99" s="79" t="str">
        <f aca="false">IF(OR(Tasks!$D103="",Tasks!$AI103,N(Tasks!$M103)=0,Tasks!$E103="Manual"),"",Tasks!$M103)</f>
        <v/>
      </c>
      <c r="Q99" s="26" t="str">
        <f aca="false">IF(Tasks!$D103="","",Tasks!$AD103&amp;"")</f>
        <v/>
      </c>
    </row>
    <row r="100" customFormat="false" ht="15" hidden="false" customHeight="false" outlineLevel="0" collapsed="false">
      <c r="A100" s="26" t="str">
        <f aca="false">IF(Tasks!$D104="","",Tasks!$A104)</f>
        <v/>
      </c>
      <c r="B100" s="26" t="str">
        <f aca="false">IF(Tasks!$D104="","",Tasks!$D104)</f>
        <v/>
      </c>
      <c r="C100" s="26" t="str">
        <f aca="false">IF(Tasks!$D104="","",Tasks!$AE104)</f>
        <v/>
      </c>
      <c r="D100" s="26" t="str">
        <f aca="false">IF(Tasks!$D104="","",IF(Tasks!$E104="Manual","Manually Scheduled","Auto Scheduled"))</f>
        <v/>
      </c>
      <c r="E100" s="26" t="str">
        <f aca="false">IF(OR(Tasks!$D104="",Tasks!$AI104),"",N(Tasks!$F104)&amp;"d")</f>
        <v/>
      </c>
      <c r="F100" s="79" t="str">
        <f aca="false">IF(Tasks!$D104="","",Tasks!$R104)</f>
        <v/>
      </c>
      <c r="G100" s="79" t="str">
        <f aca="false">IF(Tasks!$D104="","",Tasks!$S104)</f>
        <v/>
      </c>
      <c r="H100" s="26" t="str">
        <f aca="false">IF(OR(Tasks!$D104="",Tasks!$AI104),"",Tasks!$AC104)</f>
        <v/>
      </c>
      <c r="I100" s="26" t="str">
        <f aca="false">IF(OR(Tasks!$D104="",Tasks!$X104=""),"",Tasks!$X104&amp;IF(OR(Tasks!$Y104="",Tasks!$Y104=1),"","["&amp;ROUND(Tasks!$Y104*100,0)&amp;"%]"))</f>
        <v/>
      </c>
      <c r="J100" s="26" t="str">
        <f aca="false">IF(OR(Tasks!$D104="",Tasks!$AI104),"",ROUND(Tasks!$V104*100,0))</f>
        <v/>
      </c>
      <c r="K100" s="79" t="str">
        <f aca="false">IF(OR(Tasks!$D104="",N(Tasks!$P104)=0),"",Tasks!$P104)</f>
        <v/>
      </c>
      <c r="L100" s="79" t="str">
        <f aca="false">IF(OR(Tasks!$D104="",N(Tasks!$Q104)=0),"",Tasks!$Q104)</f>
        <v/>
      </c>
      <c r="M100" s="79" t="str">
        <f aca="false">IF(Tasks!$D104="","",Tasks!$N104)</f>
        <v/>
      </c>
      <c r="N100" s="79" t="str">
        <f aca="false">IF(Tasks!$D104="","",Tasks!$O104)</f>
        <v/>
      </c>
      <c r="O100" s="26" t="str">
        <f aca="false">IF(OR(Tasks!$D104="",Tasks!$AI104),"",IF(AND(Tasks!$E104&lt;&gt;"Manual",N(Tasks!$M104)&gt;0),"Start No Earlier Than","As Soon As Possible"))</f>
        <v/>
      </c>
      <c r="P100" s="79" t="str">
        <f aca="false">IF(OR(Tasks!$D104="",Tasks!$AI104,N(Tasks!$M104)=0,Tasks!$E104="Manual"),"",Tasks!$M104)</f>
        <v/>
      </c>
      <c r="Q100" s="26" t="str">
        <f aca="false">IF(Tasks!$D104="","",Tasks!$AD104&amp;"")</f>
        <v/>
      </c>
    </row>
    <row r="101" customFormat="false" ht="15" hidden="false" customHeight="false" outlineLevel="0" collapsed="false">
      <c r="A101" s="26" t="str">
        <f aca="false">IF(Tasks!$D105="","",Tasks!$A105)</f>
        <v/>
      </c>
      <c r="B101" s="26" t="str">
        <f aca="false">IF(Tasks!$D105="","",Tasks!$D105)</f>
        <v/>
      </c>
      <c r="C101" s="26" t="str">
        <f aca="false">IF(Tasks!$D105="","",Tasks!$AE105)</f>
        <v/>
      </c>
      <c r="D101" s="26" t="str">
        <f aca="false">IF(Tasks!$D105="","",IF(Tasks!$E105="Manual","Manually Scheduled","Auto Scheduled"))</f>
        <v/>
      </c>
      <c r="E101" s="26" t="str">
        <f aca="false">IF(OR(Tasks!$D105="",Tasks!$AI105),"",N(Tasks!$F105)&amp;"d")</f>
        <v/>
      </c>
      <c r="F101" s="79" t="str">
        <f aca="false">IF(Tasks!$D105="","",Tasks!$R105)</f>
        <v/>
      </c>
      <c r="G101" s="79" t="str">
        <f aca="false">IF(Tasks!$D105="","",Tasks!$S105)</f>
        <v/>
      </c>
      <c r="H101" s="26" t="str">
        <f aca="false">IF(OR(Tasks!$D105="",Tasks!$AI105),"",Tasks!$AC105)</f>
        <v/>
      </c>
      <c r="I101" s="26" t="str">
        <f aca="false">IF(OR(Tasks!$D105="",Tasks!$X105=""),"",Tasks!$X105&amp;IF(OR(Tasks!$Y105="",Tasks!$Y105=1),"","["&amp;ROUND(Tasks!$Y105*100,0)&amp;"%]"))</f>
        <v/>
      </c>
      <c r="J101" s="26" t="str">
        <f aca="false">IF(OR(Tasks!$D105="",Tasks!$AI105),"",ROUND(Tasks!$V105*100,0))</f>
        <v/>
      </c>
      <c r="K101" s="79" t="str">
        <f aca="false">IF(OR(Tasks!$D105="",N(Tasks!$P105)=0),"",Tasks!$P105)</f>
        <v/>
      </c>
      <c r="L101" s="79" t="str">
        <f aca="false">IF(OR(Tasks!$D105="",N(Tasks!$Q105)=0),"",Tasks!$Q105)</f>
        <v/>
      </c>
      <c r="M101" s="79" t="str">
        <f aca="false">IF(Tasks!$D105="","",Tasks!$N105)</f>
        <v/>
      </c>
      <c r="N101" s="79" t="str">
        <f aca="false">IF(Tasks!$D105="","",Tasks!$O105)</f>
        <v/>
      </c>
      <c r="O101" s="26" t="str">
        <f aca="false">IF(OR(Tasks!$D105="",Tasks!$AI105),"",IF(AND(Tasks!$E105&lt;&gt;"Manual",N(Tasks!$M105)&gt;0),"Start No Earlier Than","As Soon As Possible"))</f>
        <v/>
      </c>
      <c r="P101" s="79" t="str">
        <f aca="false">IF(OR(Tasks!$D105="",Tasks!$AI105,N(Tasks!$M105)=0,Tasks!$E105="Manual"),"",Tasks!$M105)</f>
        <v/>
      </c>
      <c r="Q101" s="26" t="str">
        <f aca="false">IF(Tasks!$D105="","",Tasks!$AD105&amp;"")</f>
        <v/>
      </c>
    </row>
    <row r="102" customFormat="false" ht="15" hidden="false" customHeight="false" outlineLevel="0" collapsed="false">
      <c r="A102" s="26" t="str">
        <f aca="false">IF(Tasks!$D106="","",Tasks!$A106)</f>
        <v/>
      </c>
      <c r="B102" s="26" t="str">
        <f aca="false">IF(Tasks!$D106="","",Tasks!$D106)</f>
        <v/>
      </c>
      <c r="C102" s="26" t="str">
        <f aca="false">IF(Tasks!$D106="","",Tasks!$AE106)</f>
        <v/>
      </c>
      <c r="D102" s="26" t="str">
        <f aca="false">IF(Tasks!$D106="","",IF(Tasks!$E106="Manual","Manually Scheduled","Auto Scheduled"))</f>
        <v/>
      </c>
      <c r="E102" s="26" t="str">
        <f aca="false">IF(OR(Tasks!$D106="",Tasks!$AI106),"",N(Tasks!$F106)&amp;"d")</f>
        <v/>
      </c>
      <c r="F102" s="79" t="str">
        <f aca="false">IF(Tasks!$D106="","",Tasks!$R106)</f>
        <v/>
      </c>
      <c r="G102" s="79" t="str">
        <f aca="false">IF(Tasks!$D106="","",Tasks!$S106)</f>
        <v/>
      </c>
      <c r="H102" s="26" t="str">
        <f aca="false">IF(OR(Tasks!$D106="",Tasks!$AI106),"",Tasks!$AC106)</f>
        <v/>
      </c>
      <c r="I102" s="26" t="str">
        <f aca="false">IF(OR(Tasks!$D106="",Tasks!$X106=""),"",Tasks!$X106&amp;IF(OR(Tasks!$Y106="",Tasks!$Y106=1),"","["&amp;ROUND(Tasks!$Y106*100,0)&amp;"%]"))</f>
        <v/>
      </c>
      <c r="J102" s="26" t="str">
        <f aca="false">IF(OR(Tasks!$D106="",Tasks!$AI106),"",ROUND(Tasks!$V106*100,0))</f>
        <v/>
      </c>
      <c r="K102" s="79" t="str">
        <f aca="false">IF(OR(Tasks!$D106="",N(Tasks!$P106)=0),"",Tasks!$P106)</f>
        <v/>
      </c>
      <c r="L102" s="79" t="str">
        <f aca="false">IF(OR(Tasks!$D106="",N(Tasks!$Q106)=0),"",Tasks!$Q106)</f>
        <v/>
      </c>
      <c r="M102" s="79" t="str">
        <f aca="false">IF(Tasks!$D106="","",Tasks!$N106)</f>
        <v/>
      </c>
      <c r="N102" s="79" t="str">
        <f aca="false">IF(Tasks!$D106="","",Tasks!$O106)</f>
        <v/>
      </c>
      <c r="O102" s="26" t="str">
        <f aca="false">IF(OR(Tasks!$D106="",Tasks!$AI106),"",IF(AND(Tasks!$E106&lt;&gt;"Manual",N(Tasks!$M106)&gt;0),"Start No Earlier Than","As Soon As Possible"))</f>
        <v/>
      </c>
      <c r="P102" s="79" t="str">
        <f aca="false">IF(OR(Tasks!$D106="",Tasks!$AI106,N(Tasks!$M106)=0,Tasks!$E106="Manual"),"",Tasks!$M106)</f>
        <v/>
      </c>
      <c r="Q102" s="26" t="str">
        <f aca="false">IF(Tasks!$D106="","",Tasks!$AD106&amp;"")</f>
        <v/>
      </c>
    </row>
    <row r="103" customFormat="false" ht="15" hidden="false" customHeight="false" outlineLevel="0" collapsed="false">
      <c r="A103" s="26" t="str">
        <f aca="false">IF(Tasks!$D107="","",Tasks!$A107)</f>
        <v/>
      </c>
      <c r="B103" s="26" t="str">
        <f aca="false">IF(Tasks!$D107="","",Tasks!$D107)</f>
        <v/>
      </c>
      <c r="C103" s="26" t="str">
        <f aca="false">IF(Tasks!$D107="","",Tasks!$AE107)</f>
        <v/>
      </c>
      <c r="D103" s="26" t="str">
        <f aca="false">IF(Tasks!$D107="","",IF(Tasks!$E107="Manual","Manually Scheduled","Auto Scheduled"))</f>
        <v/>
      </c>
      <c r="E103" s="26" t="str">
        <f aca="false">IF(OR(Tasks!$D107="",Tasks!$AI107),"",N(Tasks!$F107)&amp;"d")</f>
        <v/>
      </c>
      <c r="F103" s="79" t="str">
        <f aca="false">IF(Tasks!$D107="","",Tasks!$R107)</f>
        <v/>
      </c>
      <c r="G103" s="79" t="str">
        <f aca="false">IF(Tasks!$D107="","",Tasks!$S107)</f>
        <v/>
      </c>
      <c r="H103" s="26" t="str">
        <f aca="false">IF(OR(Tasks!$D107="",Tasks!$AI107),"",Tasks!$AC107)</f>
        <v/>
      </c>
      <c r="I103" s="26" t="str">
        <f aca="false">IF(OR(Tasks!$D107="",Tasks!$X107=""),"",Tasks!$X107&amp;IF(OR(Tasks!$Y107="",Tasks!$Y107=1),"","["&amp;ROUND(Tasks!$Y107*100,0)&amp;"%]"))</f>
        <v/>
      </c>
      <c r="J103" s="26" t="str">
        <f aca="false">IF(OR(Tasks!$D107="",Tasks!$AI107),"",ROUND(Tasks!$V107*100,0))</f>
        <v/>
      </c>
      <c r="K103" s="79" t="str">
        <f aca="false">IF(OR(Tasks!$D107="",N(Tasks!$P107)=0),"",Tasks!$P107)</f>
        <v/>
      </c>
      <c r="L103" s="79" t="str">
        <f aca="false">IF(OR(Tasks!$D107="",N(Tasks!$Q107)=0),"",Tasks!$Q107)</f>
        <v/>
      </c>
      <c r="M103" s="79" t="str">
        <f aca="false">IF(Tasks!$D107="","",Tasks!$N107)</f>
        <v/>
      </c>
      <c r="N103" s="79" t="str">
        <f aca="false">IF(Tasks!$D107="","",Tasks!$O107)</f>
        <v/>
      </c>
      <c r="O103" s="26" t="str">
        <f aca="false">IF(OR(Tasks!$D107="",Tasks!$AI107),"",IF(AND(Tasks!$E107&lt;&gt;"Manual",N(Tasks!$M107)&gt;0),"Start No Earlier Than","As Soon As Possible"))</f>
        <v/>
      </c>
      <c r="P103" s="79" t="str">
        <f aca="false">IF(OR(Tasks!$D107="",Tasks!$AI107,N(Tasks!$M107)=0,Tasks!$E107="Manual"),"",Tasks!$M107)</f>
        <v/>
      </c>
      <c r="Q103" s="26" t="str">
        <f aca="false">IF(Tasks!$D107="","",Tasks!$AD107&amp;"")</f>
        <v/>
      </c>
    </row>
    <row r="104" customFormat="false" ht="15" hidden="false" customHeight="false" outlineLevel="0" collapsed="false">
      <c r="A104" s="26" t="str">
        <f aca="false">IF(Tasks!$D108="","",Tasks!$A108)</f>
        <v/>
      </c>
      <c r="B104" s="26" t="str">
        <f aca="false">IF(Tasks!$D108="","",Tasks!$D108)</f>
        <v/>
      </c>
      <c r="C104" s="26" t="str">
        <f aca="false">IF(Tasks!$D108="","",Tasks!$AE108)</f>
        <v/>
      </c>
      <c r="D104" s="26" t="str">
        <f aca="false">IF(Tasks!$D108="","",IF(Tasks!$E108="Manual","Manually Scheduled","Auto Scheduled"))</f>
        <v/>
      </c>
      <c r="E104" s="26" t="str">
        <f aca="false">IF(OR(Tasks!$D108="",Tasks!$AI108),"",N(Tasks!$F108)&amp;"d")</f>
        <v/>
      </c>
      <c r="F104" s="79" t="str">
        <f aca="false">IF(Tasks!$D108="","",Tasks!$R108)</f>
        <v/>
      </c>
      <c r="G104" s="79" t="str">
        <f aca="false">IF(Tasks!$D108="","",Tasks!$S108)</f>
        <v/>
      </c>
      <c r="H104" s="26" t="str">
        <f aca="false">IF(OR(Tasks!$D108="",Tasks!$AI108),"",Tasks!$AC108)</f>
        <v/>
      </c>
      <c r="I104" s="26" t="str">
        <f aca="false">IF(OR(Tasks!$D108="",Tasks!$X108=""),"",Tasks!$X108&amp;IF(OR(Tasks!$Y108="",Tasks!$Y108=1),"","["&amp;ROUND(Tasks!$Y108*100,0)&amp;"%]"))</f>
        <v/>
      </c>
      <c r="J104" s="26" t="str">
        <f aca="false">IF(OR(Tasks!$D108="",Tasks!$AI108),"",ROUND(Tasks!$V108*100,0))</f>
        <v/>
      </c>
      <c r="K104" s="79" t="str">
        <f aca="false">IF(OR(Tasks!$D108="",N(Tasks!$P108)=0),"",Tasks!$P108)</f>
        <v/>
      </c>
      <c r="L104" s="79" t="str">
        <f aca="false">IF(OR(Tasks!$D108="",N(Tasks!$Q108)=0),"",Tasks!$Q108)</f>
        <v/>
      </c>
      <c r="M104" s="79" t="str">
        <f aca="false">IF(Tasks!$D108="","",Tasks!$N108)</f>
        <v/>
      </c>
      <c r="N104" s="79" t="str">
        <f aca="false">IF(Tasks!$D108="","",Tasks!$O108)</f>
        <v/>
      </c>
      <c r="O104" s="26" t="str">
        <f aca="false">IF(OR(Tasks!$D108="",Tasks!$AI108),"",IF(AND(Tasks!$E108&lt;&gt;"Manual",N(Tasks!$M108)&gt;0),"Start No Earlier Than","As Soon As Possible"))</f>
        <v/>
      </c>
      <c r="P104" s="79" t="str">
        <f aca="false">IF(OR(Tasks!$D108="",Tasks!$AI108,N(Tasks!$M108)=0,Tasks!$E108="Manual"),"",Tasks!$M108)</f>
        <v/>
      </c>
      <c r="Q104" s="26" t="str">
        <f aca="false">IF(Tasks!$D108="","",Tasks!$AD108&amp;"")</f>
        <v/>
      </c>
    </row>
    <row r="105" customFormat="false" ht="15" hidden="false" customHeight="false" outlineLevel="0" collapsed="false">
      <c r="A105" s="26" t="str">
        <f aca="false">IF(Tasks!$D109="","",Tasks!$A109)</f>
        <v/>
      </c>
      <c r="B105" s="26" t="str">
        <f aca="false">IF(Tasks!$D109="","",Tasks!$D109)</f>
        <v/>
      </c>
      <c r="C105" s="26" t="str">
        <f aca="false">IF(Tasks!$D109="","",Tasks!$AE109)</f>
        <v/>
      </c>
      <c r="D105" s="26" t="str">
        <f aca="false">IF(Tasks!$D109="","",IF(Tasks!$E109="Manual","Manually Scheduled","Auto Scheduled"))</f>
        <v/>
      </c>
      <c r="E105" s="26" t="str">
        <f aca="false">IF(OR(Tasks!$D109="",Tasks!$AI109),"",N(Tasks!$F109)&amp;"d")</f>
        <v/>
      </c>
      <c r="F105" s="79" t="str">
        <f aca="false">IF(Tasks!$D109="","",Tasks!$R109)</f>
        <v/>
      </c>
      <c r="G105" s="79" t="str">
        <f aca="false">IF(Tasks!$D109="","",Tasks!$S109)</f>
        <v/>
      </c>
      <c r="H105" s="26" t="str">
        <f aca="false">IF(OR(Tasks!$D109="",Tasks!$AI109),"",Tasks!$AC109)</f>
        <v/>
      </c>
      <c r="I105" s="26" t="str">
        <f aca="false">IF(OR(Tasks!$D109="",Tasks!$X109=""),"",Tasks!$X109&amp;IF(OR(Tasks!$Y109="",Tasks!$Y109=1),"","["&amp;ROUND(Tasks!$Y109*100,0)&amp;"%]"))</f>
        <v/>
      </c>
      <c r="J105" s="26" t="str">
        <f aca="false">IF(OR(Tasks!$D109="",Tasks!$AI109),"",ROUND(Tasks!$V109*100,0))</f>
        <v/>
      </c>
      <c r="K105" s="79" t="str">
        <f aca="false">IF(OR(Tasks!$D109="",N(Tasks!$P109)=0),"",Tasks!$P109)</f>
        <v/>
      </c>
      <c r="L105" s="79" t="str">
        <f aca="false">IF(OR(Tasks!$D109="",N(Tasks!$Q109)=0),"",Tasks!$Q109)</f>
        <v/>
      </c>
      <c r="M105" s="79" t="str">
        <f aca="false">IF(Tasks!$D109="","",Tasks!$N109)</f>
        <v/>
      </c>
      <c r="N105" s="79" t="str">
        <f aca="false">IF(Tasks!$D109="","",Tasks!$O109)</f>
        <v/>
      </c>
      <c r="O105" s="26" t="str">
        <f aca="false">IF(OR(Tasks!$D109="",Tasks!$AI109),"",IF(AND(Tasks!$E109&lt;&gt;"Manual",N(Tasks!$M109)&gt;0),"Start No Earlier Than","As Soon As Possible"))</f>
        <v/>
      </c>
      <c r="P105" s="79" t="str">
        <f aca="false">IF(OR(Tasks!$D109="",Tasks!$AI109,N(Tasks!$M109)=0,Tasks!$E109="Manual"),"",Tasks!$M109)</f>
        <v/>
      </c>
      <c r="Q105" s="26" t="str">
        <f aca="false">IF(Tasks!$D109="","",Tasks!$AD109&amp;"")</f>
        <v/>
      </c>
    </row>
    <row r="106" customFormat="false" ht="15" hidden="false" customHeight="false" outlineLevel="0" collapsed="false">
      <c r="A106" s="26" t="str">
        <f aca="false">IF(Tasks!$D110="","",Tasks!$A110)</f>
        <v/>
      </c>
      <c r="B106" s="26" t="str">
        <f aca="false">IF(Tasks!$D110="","",Tasks!$D110)</f>
        <v/>
      </c>
      <c r="C106" s="26" t="str">
        <f aca="false">IF(Tasks!$D110="","",Tasks!$AE110)</f>
        <v/>
      </c>
      <c r="D106" s="26" t="str">
        <f aca="false">IF(Tasks!$D110="","",IF(Tasks!$E110="Manual","Manually Scheduled","Auto Scheduled"))</f>
        <v/>
      </c>
      <c r="E106" s="26" t="str">
        <f aca="false">IF(OR(Tasks!$D110="",Tasks!$AI110),"",N(Tasks!$F110)&amp;"d")</f>
        <v/>
      </c>
      <c r="F106" s="79" t="str">
        <f aca="false">IF(Tasks!$D110="","",Tasks!$R110)</f>
        <v/>
      </c>
      <c r="G106" s="79" t="str">
        <f aca="false">IF(Tasks!$D110="","",Tasks!$S110)</f>
        <v/>
      </c>
      <c r="H106" s="26" t="str">
        <f aca="false">IF(OR(Tasks!$D110="",Tasks!$AI110),"",Tasks!$AC110)</f>
        <v/>
      </c>
      <c r="I106" s="26" t="str">
        <f aca="false">IF(OR(Tasks!$D110="",Tasks!$X110=""),"",Tasks!$X110&amp;IF(OR(Tasks!$Y110="",Tasks!$Y110=1),"","["&amp;ROUND(Tasks!$Y110*100,0)&amp;"%]"))</f>
        <v/>
      </c>
      <c r="J106" s="26" t="str">
        <f aca="false">IF(OR(Tasks!$D110="",Tasks!$AI110),"",ROUND(Tasks!$V110*100,0))</f>
        <v/>
      </c>
      <c r="K106" s="79" t="str">
        <f aca="false">IF(OR(Tasks!$D110="",N(Tasks!$P110)=0),"",Tasks!$P110)</f>
        <v/>
      </c>
      <c r="L106" s="79" t="str">
        <f aca="false">IF(OR(Tasks!$D110="",N(Tasks!$Q110)=0),"",Tasks!$Q110)</f>
        <v/>
      </c>
      <c r="M106" s="79" t="str">
        <f aca="false">IF(Tasks!$D110="","",Tasks!$N110)</f>
        <v/>
      </c>
      <c r="N106" s="79" t="str">
        <f aca="false">IF(Tasks!$D110="","",Tasks!$O110)</f>
        <v/>
      </c>
      <c r="O106" s="26" t="str">
        <f aca="false">IF(OR(Tasks!$D110="",Tasks!$AI110),"",IF(AND(Tasks!$E110&lt;&gt;"Manual",N(Tasks!$M110)&gt;0),"Start No Earlier Than","As Soon As Possible"))</f>
        <v/>
      </c>
      <c r="P106" s="79" t="str">
        <f aca="false">IF(OR(Tasks!$D110="",Tasks!$AI110,N(Tasks!$M110)=0,Tasks!$E110="Manual"),"",Tasks!$M110)</f>
        <v/>
      </c>
      <c r="Q106" s="26" t="str">
        <f aca="false">IF(Tasks!$D110="","",Tasks!$AD110&amp;"")</f>
        <v/>
      </c>
    </row>
    <row r="107" customFormat="false" ht="15" hidden="false" customHeight="false" outlineLevel="0" collapsed="false">
      <c r="A107" s="26" t="str">
        <f aca="false">IF(Tasks!$D111="","",Tasks!$A111)</f>
        <v/>
      </c>
      <c r="B107" s="26" t="str">
        <f aca="false">IF(Tasks!$D111="","",Tasks!$D111)</f>
        <v/>
      </c>
      <c r="C107" s="26" t="str">
        <f aca="false">IF(Tasks!$D111="","",Tasks!$AE111)</f>
        <v/>
      </c>
      <c r="D107" s="26" t="str">
        <f aca="false">IF(Tasks!$D111="","",IF(Tasks!$E111="Manual","Manually Scheduled","Auto Scheduled"))</f>
        <v/>
      </c>
      <c r="E107" s="26" t="str">
        <f aca="false">IF(OR(Tasks!$D111="",Tasks!$AI111),"",N(Tasks!$F111)&amp;"d")</f>
        <v/>
      </c>
      <c r="F107" s="79" t="str">
        <f aca="false">IF(Tasks!$D111="","",Tasks!$R111)</f>
        <v/>
      </c>
      <c r="G107" s="79" t="str">
        <f aca="false">IF(Tasks!$D111="","",Tasks!$S111)</f>
        <v/>
      </c>
      <c r="H107" s="26" t="str">
        <f aca="false">IF(OR(Tasks!$D111="",Tasks!$AI111),"",Tasks!$AC111)</f>
        <v/>
      </c>
      <c r="I107" s="26" t="str">
        <f aca="false">IF(OR(Tasks!$D111="",Tasks!$X111=""),"",Tasks!$X111&amp;IF(OR(Tasks!$Y111="",Tasks!$Y111=1),"","["&amp;ROUND(Tasks!$Y111*100,0)&amp;"%]"))</f>
        <v/>
      </c>
      <c r="J107" s="26" t="str">
        <f aca="false">IF(OR(Tasks!$D111="",Tasks!$AI111),"",ROUND(Tasks!$V111*100,0))</f>
        <v/>
      </c>
      <c r="K107" s="79" t="str">
        <f aca="false">IF(OR(Tasks!$D111="",N(Tasks!$P111)=0),"",Tasks!$P111)</f>
        <v/>
      </c>
      <c r="L107" s="79" t="str">
        <f aca="false">IF(OR(Tasks!$D111="",N(Tasks!$Q111)=0),"",Tasks!$Q111)</f>
        <v/>
      </c>
      <c r="M107" s="79" t="str">
        <f aca="false">IF(Tasks!$D111="","",Tasks!$N111)</f>
        <v/>
      </c>
      <c r="N107" s="79" t="str">
        <f aca="false">IF(Tasks!$D111="","",Tasks!$O111)</f>
        <v/>
      </c>
      <c r="O107" s="26" t="str">
        <f aca="false">IF(OR(Tasks!$D111="",Tasks!$AI111),"",IF(AND(Tasks!$E111&lt;&gt;"Manual",N(Tasks!$M111)&gt;0),"Start No Earlier Than","As Soon As Possible"))</f>
        <v/>
      </c>
      <c r="P107" s="79" t="str">
        <f aca="false">IF(OR(Tasks!$D111="",Tasks!$AI111,N(Tasks!$M111)=0,Tasks!$E111="Manual"),"",Tasks!$M111)</f>
        <v/>
      </c>
      <c r="Q107" s="26" t="str">
        <f aca="false">IF(Tasks!$D111="","",Tasks!$AD111&amp;"")</f>
        <v/>
      </c>
    </row>
    <row r="108" customFormat="false" ht="15" hidden="false" customHeight="false" outlineLevel="0" collapsed="false">
      <c r="A108" s="26" t="str">
        <f aca="false">IF(Tasks!$D112="","",Tasks!$A112)</f>
        <v/>
      </c>
      <c r="B108" s="26" t="str">
        <f aca="false">IF(Tasks!$D112="","",Tasks!$D112)</f>
        <v/>
      </c>
      <c r="C108" s="26" t="str">
        <f aca="false">IF(Tasks!$D112="","",Tasks!$AE112)</f>
        <v/>
      </c>
      <c r="D108" s="26" t="str">
        <f aca="false">IF(Tasks!$D112="","",IF(Tasks!$E112="Manual","Manually Scheduled","Auto Scheduled"))</f>
        <v/>
      </c>
      <c r="E108" s="26" t="str">
        <f aca="false">IF(OR(Tasks!$D112="",Tasks!$AI112),"",N(Tasks!$F112)&amp;"d")</f>
        <v/>
      </c>
      <c r="F108" s="79" t="str">
        <f aca="false">IF(Tasks!$D112="","",Tasks!$R112)</f>
        <v/>
      </c>
      <c r="G108" s="79" t="str">
        <f aca="false">IF(Tasks!$D112="","",Tasks!$S112)</f>
        <v/>
      </c>
      <c r="H108" s="26" t="str">
        <f aca="false">IF(OR(Tasks!$D112="",Tasks!$AI112),"",Tasks!$AC112)</f>
        <v/>
      </c>
      <c r="I108" s="26" t="str">
        <f aca="false">IF(OR(Tasks!$D112="",Tasks!$X112=""),"",Tasks!$X112&amp;IF(OR(Tasks!$Y112="",Tasks!$Y112=1),"","["&amp;ROUND(Tasks!$Y112*100,0)&amp;"%]"))</f>
        <v/>
      </c>
      <c r="J108" s="26" t="str">
        <f aca="false">IF(OR(Tasks!$D112="",Tasks!$AI112),"",ROUND(Tasks!$V112*100,0))</f>
        <v/>
      </c>
      <c r="K108" s="79" t="str">
        <f aca="false">IF(OR(Tasks!$D112="",N(Tasks!$P112)=0),"",Tasks!$P112)</f>
        <v/>
      </c>
      <c r="L108" s="79" t="str">
        <f aca="false">IF(OR(Tasks!$D112="",N(Tasks!$Q112)=0),"",Tasks!$Q112)</f>
        <v/>
      </c>
      <c r="M108" s="79" t="str">
        <f aca="false">IF(Tasks!$D112="","",Tasks!$N112)</f>
        <v/>
      </c>
      <c r="N108" s="79" t="str">
        <f aca="false">IF(Tasks!$D112="","",Tasks!$O112)</f>
        <v/>
      </c>
      <c r="O108" s="26" t="str">
        <f aca="false">IF(OR(Tasks!$D112="",Tasks!$AI112),"",IF(AND(Tasks!$E112&lt;&gt;"Manual",N(Tasks!$M112)&gt;0),"Start No Earlier Than","As Soon As Possible"))</f>
        <v/>
      </c>
      <c r="P108" s="79" t="str">
        <f aca="false">IF(OR(Tasks!$D112="",Tasks!$AI112,N(Tasks!$M112)=0,Tasks!$E112="Manual"),"",Tasks!$M112)</f>
        <v/>
      </c>
      <c r="Q108" s="26" t="str">
        <f aca="false">IF(Tasks!$D112="","",Tasks!$AD112&amp;"")</f>
        <v/>
      </c>
    </row>
    <row r="109" customFormat="false" ht="15" hidden="false" customHeight="false" outlineLevel="0" collapsed="false">
      <c r="A109" s="26" t="str">
        <f aca="false">IF(Tasks!$D113="","",Tasks!$A113)</f>
        <v/>
      </c>
      <c r="B109" s="26" t="str">
        <f aca="false">IF(Tasks!$D113="","",Tasks!$D113)</f>
        <v/>
      </c>
      <c r="C109" s="26" t="str">
        <f aca="false">IF(Tasks!$D113="","",Tasks!$AE113)</f>
        <v/>
      </c>
      <c r="D109" s="26" t="str">
        <f aca="false">IF(Tasks!$D113="","",IF(Tasks!$E113="Manual","Manually Scheduled","Auto Scheduled"))</f>
        <v/>
      </c>
      <c r="E109" s="26" t="str">
        <f aca="false">IF(OR(Tasks!$D113="",Tasks!$AI113),"",N(Tasks!$F113)&amp;"d")</f>
        <v/>
      </c>
      <c r="F109" s="79" t="str">
        <f aca="false">IF(Tasks!$D113="","",Tasks!$R113)</f>
        <v/>
      </c>
      <c r="G109" s="79" t="str">
        <f aca="false">IF(Tasks!$D113="","",Tasks!$S113)</f>
        <v/>
      </c>
      <c r="H109" s="26" t="str">
        <f aca="false">IF(OR(Tasks!$D113="",Tasks!$AI113),"",Tasks!$AC113)</f>
        <v/>
      </c>
      <c r="I109" s="26" t="str">
        <f aca="false">IF(OR(Tasks!$D113="",Tasks!$X113=""),"",Tasks!$X113&amp;IF(OR(Tasks!$Y113="",Tasks!$Y113=1),"","["&amp;ROUND(Tasks!$Y113*100,0)&amp;"%]"))</f>
        <v/>
      </c>
      <c r="J109" s="26" t="str">
        <f aca="false">IF(OR(Tasks!$D113="",Tasks!$AI113),"",ROUND(Tasks!$V113*100,0))</f>
        <v/>
      </c>
      <c r="K109" s="79" t="str">
        <f aca="false">IF(OR(Tasks!$D113="",N(Tasks!$P113)=0),"",Tasks!$P113)</f>
        <v/>
      </c>
      <c r="L109" s="79" t="str">
        <f aca="false">IF(OR(Tasks!$D113="",N(Tasks!$Q113)=0),"",Tasks!$Q113)</f>
        <v/>
      </c>
      <c r="M109" s="79" t="str">
        <f aca="false">IF(Tasks!$D113="","",Tasks!$N113)</f>
        <v/>
      </c>
      <c r="N109" s="79" t="str">
        <f aca="false">IF(Tasks!$D113="","",Tasks!$O113)</f>
        <v/>
      </c>
      <c r="O109" s="26" t="str">
        <f aca="false">IF(OR(Tasks!$D113="",Tasks!$AI113),"",IF(AND(Tasks!$E113&lt;&gt;"Manual",N(Tasks!$M113)&gt;0),"Start No Earlier Than","As Soon As Possible"))</f>
        <v/>
      </c>
      <c r="P109" s="79" t="str">
        <f aca="false">IF(OR(Tasks!$D113="",Tasks!$AI113,N(Tasks!$M113)=0,Tasks!$E113="Manual"),"",Tasks!$M113)</f>
        <v/>
      </c>
      <c r="Q109" s="26" t="str">
        <f aca="false">IF(Tasks!$D113="","",Tasks!$AD113&amp;"")</f>
        <v/>
      </c>
    </row>
    <row r="110" customFormat="false" ht="15" hidden="false" customHeight="false" outlineLevel="0" collapsed="false">
      <c r="A110" s="26" t="str">
        <f aca="false">IF(Tasks!$D114="","",Tasks!$A114)</f>
        <v/>
      </c>
      <c r="B110" s="26" t="str">
        <f aca="false">IF(Tasks!$D114="","",Tasks!$D114)</f>
        <v/>
      </c>
      <c r="C110" s="26" t="str">
        <f aca="false">IF(Tasks!$D114="","",Tasks!$AE114)</f>
        <v/>
      </c>
      <c r="D110" s="26" t="str">
        <f aca="false">IF(Tasks!$D114="","",IF(Tasks!$E114="Manual","Manually Scheduled","Auto Scheduled"))</f>
        <v/>
      </c>
      <c r="E110" s="26" t="str">
        <f aca="false">IF(OR(Tasks!$D114="",Tasks!$AI114),"",N(Tasks!$F114)&amp;"d")</f>
        <v/>
      </c>
      <c r="F110" s="79" t="str">
        <f aca="false">IF(Tasks!$D114="","",Tasks!$R114)</f>
        <v/>
      </c>
      <c r="G110" s="79" t="str">
        <f aca="false">IF(Tasks!$D114="","",Tasks!$S114)</f>
        <v/>
      </c>
      <c r="H110" s="26" t="str">
        <f aca="false">IF(OR(Tasks!$D114="",Tasks!$AI114),"",Tasks!$AC114)</f>
        <v/>
      </c>
      <c r="I110" s="26" t="str">
        <f aca="false">IF(OR(Tasks!$D114="",Tasks!$X114=""),"",Tasks!$X114&amp;IF(OR(Tasks!$Y114="",Tasks!$Y114=1),"","["&amp;ROUND(Tasks!$Y114*100,0)&amp;"%]"))</f>
        <v/>
      </c>
      <c r="J110" s="26" t="str">
        <f aca="false">IF(OR(Tasks!$D114="",Tasks!$AI114),"",ROUND(Tasks!$V114*100,0))</f>
        <v/>
      </c>
      <c r="K110" s="79" t="str">
        <f aca="false">IF(OR(Tasks!$D114="",N(Tasks!$P114)=0),"",Tasks!$P114)</f>
        <v/>
      </c>
      <c r="L110" s="79" t="str">
        <f aca="false">IF(OR(Tasks!$D114="",N(Tasks!$Q114)=0),"",Tasks!$Q114)</f>
        <v/>
      </c>
      <c r="M110" s="79" t="str">
        <f aca="false">IF(Tasks!$D114="","",Tasks!$N114)</f>
        <v/>
      </c>
      <c r="N110" s="79" t="str">
        <f aca="false">IF(Tasks!$D114="","",Tasks!$O114)</f>
        <v/>
      </c>
      <c r="O110" s="26" t="str">
        <f aca="false">IF(OR(Tasks!$D114="",Tasks!$AI114),"",IF(AND(Tasks!$E114&lt;&gt;"Manual",N(Tasks!$M114)&gt;0),"Start No Earlier Than","As Soon As Possible"))</f>
        <v/>
      </c>
      <c r="P110" s="79" t="str">
        <f aca="false">IF(OR(Tasks!$D114="",Tasks!$AI114,N(Tasks!$M114)=0,Tasks!$E114="Manual"),"",Tasks!$M114)</f>
        <v/>
      </c>
      <c r="Q110" s="26" t="str">
        <f aca="false">IF(Tasks!$D114="","",Tasks!$AD114&amp;"")</f>
        <v/>
      </c>
    </row>
    <row r="111" customFormat="false" ht="15" hidden="false" customHeight="false" outlineLevel="0" collapsed="false">
      <c r="A111" s="26" t="str">
        <f aca="false">IF(Tasks!$D115="","",Tasks!$A115)</f>
        <v/>
      </c>
      <c r="B111" s="26" t="str">
        <f aca="false">IF(Tasks!$D115="","",Tasks!$D115)</f>
        <v/>
      </c>
      <c r="C111" s="26" t="str">
        <f aca="false">IF(Tasks!$D115="","",Tasks!$AE115)</f>
        <v/>
      </c>
      <c r="D111" s="26" t="str">
        <f aca="false">IF(Tasks!$D115="","",IF(Tasks!$E115="Manual","Manually Scheduled","Auto Scheduled"))</f>
        <v/>
      </c>
      <c r="E111" s="26" t="str">
        <f aca="false">IF(OR(Tasks!$D115="",Tasks!$AI115),"",N(Tasks!$F115)&amp;"d")</f>
        <v/>
      </c>
      <c r="F111" s="79" t="str">
        <f aca="false">IF(Tasks!$D115="","",Tasks!$R115)</f>
        <v/>
      </c>
      <c r="G111" s="79" t="str">
        <f aca="false">IF(Tasks!$D115="","",Tasks!$S115)</f>
        <v/>
      </c>
      <c r="H111" s="26" t="str">
        <f aca="false">IF(OR(Tasks!$D115="",Tasks!$AI115),"",Tasks!$AC115)</f>
        <v/>
      </c>
      <c r="I111" s="26" t="str">
        <f aca="false">IF(OR(Tasks!$D115="",Tasks!$X115=""),"",Tasks!$X115&amp;IF(OR(Tasks!$Y115="",Tasks!$Y115=1),"","["&amp;ROUND(Tasks!$Y115*100,0)&amp;"%]"))</f>
        <v/>
      </c>
      <c r="J111" s="26" t="str">
        <f aca="false">IF(OR(Tasks!$D115="",Tasks!$AI115),"",ROUND(Tasks!$V115*100,0))</f>
        <v/>
      </c>
      <c r="K111" s="79" t="str">
        <f aca="false">IF(OR(Tasks!$D115="",N(Tasks!$P115)=0),"",Tasks!$P115)</f>
        <v/>
      </c>
      <c r="L111" s="79" t="str">
        <f aca="false">IF(OR(Tasks!$D115="",N(Tasks!$Q115)=0),"",Tasks!$Q115)</f>
        <v/>
      </c>
      <c r="M111" s="79" t="str">
        <f aca="false">IF(Tasks!$D115="","",Tasks!$N115)</f>
        <v/>
      </c>
      <c r="N111" s="79" t="str">
        <f aca="false">IF(Tasks!$D115="","",Tasks!$O115)</f>
        <v/>
      </c>
      <c r="O111" s="26" t="str">
        <f aca="false">IF(OR(Tasks!$D115="",Tasks!$AI115),"",IF(AND(Tasks!$E115&lt;&gt;"Manual",N(Tasks!$M115)&gt;0),"Start No Earlier Than","As Soon As Possible"))</f>
        <v/>
      </c>
      <c r="P111" s="79" t="str">
        <f aca="false">IF(OR(Tasks!$D115="",Tasks!$AI115,N(Tasks!$M115)=0,Tasks!$E115="Manual"),"",Tasks!$M115)</f>
        <v/>
      </c>
      <c r="Q111" s="26" t="str">
        <f aca="false">IF(Tasks!$D115="","",Tasks!$AD115&amp;"")</f>
        <v/>
      </c>
    </row>
    <row r="112" customFormat="false" ht="15" hidden="false" customHeight="false" outlineLevel="0" collapsed="false">
      <c r="A112" s="26" t="str">
        <f aca="false">IF(Tasks!$D116="","",Tasks!$A116)</f>
        <v/>
      </c>
      <c r="B112" s="26" t="str">
        <f aca="false">IF(Tasks!$D116="","",Tasks!$D116)</f>
        <v/>
      </c>
      <c r="C112" s="26" t="str">
        <f aca="false">IF(Tasks!$D116="","",Tasks!$AE116)</f>
        <v/>
      </c>
      <c r="D112" s="26" t="str">
        <f aca="false">IF(Tasks!$D116="","",IF(Tasks!$E116="Manual","Manually Scheduled","Auto Scheduled"))</f>
        <v/>
      </c>
      <c r="E112" s="26" t="str">
        <f aca="false">IF(OR(Tasks!$D116="",Tasks!$AI116),"",N(Tasks!$F116)&amp;"d")</f>
        <v/>
      </c>
      <c r="F112" s="79" t="str">
        <f aca="false">IF(Tasks!$D116="","",Tasks!$R116)</f>
        <v/>
      </c>
      <c r="G112" s="79" t="str">
        <f aca="false">IF(Tasks!$D116="","",Tasks!$S116)</f>
        <v/>
      </c>
      <c r="H112" s="26" t="str">
        <f aca="false">IF(OR(Tasks!$D116="",Tasks!$AI116),"",Tasks!$AC116)</f>
        <v/>
      </c>
      <c r="I112" s="26" t="str">
        <f aca="false">IF(OR(Tasks!$D116="",Tasks!$X116=""),"",Tasks!$X116&amp;IF(OR(Tasks!$Y116="",Tasks!$Y116=1),"","["&amp;ROUND(Tasks!$Y116*100,0)&amp;"%]"))</f>
        <v/>
      </c>
      <c r="J112" s="26" t="str">
        <f aca="false">IF(OR(Tasks!$D116="",Tasks!$AI116),"",ROUND(Tasks!$V116*100,0))</f>
        <v/>
      </c>
      <c r="K112" s="79" t="str">
        <f aca="false">IF(OR(Tasks!$D116="",N(Tasks!$P116)=0),"",Tasks!$P116)</f>
        <v/>
      </c>
      <c r="L112" s="79" t="str">
        <f aca="false">IF(OR(Tasks!$D116="",N(Tasks!$Q116)=0),"",Tasks!$Q116)</f>
        <v/>
      </c>
      <c r="M112" s="79" t="str">
        <f aca="false">IF(Tasks!$D116="","",Tasks!$N116)</f>
        <v/>
      </c>
      <c r="N112" s="79" t="str">
        <f aca="false">IF(Tasks!$D116="","",Tasks!$O116)</f>
        <v/>
      </c>
      <c r="O112" s="26" t="str">
        <f aca="false">IF(OR(Tasks!$D116="",Tasks!$AI116),"",IF(AND(Tasks!$E116&lt;&gt;"Manual",N(Tasks!$M116)&gt;0),"Start No Earlier Than","As Soon As Possible"))</f>
        <v/>
      </c>
      <c r="P112" s="79" t="str">
        <f aca="false">IF(OR(Tasks!$D116="",Tasks!$AI116,N(Tasks!$M116)=0,Tasks!$E116="Manual"),"",Tasks!$M116)</f>
        <v/>
      </c>
      <c r="Q112" s="26" t="str">
        <f aca="false">IF(Tasks!$D116="","",Tasks!$AD116&amp;"")</f>
        <v/>
      </c>
    </row>
    <row r="113" customFormat="false" ht="15" hidden="false" customHeight="false" outlineLevel="0" collapsed="false">
      <c r="A113" s="26" t="str">
        <f aca="false">IF(Tasks!$D117="","",Tasks!$A117)</f>
        <v/>
      </c>
      <c r="B113" s="26" t="str">
        <f aca="false">IF(Tasks!$D117="","",Tasks!$D117)</f>
        <v/>
      </c>
      <c r="C113" s="26" t="str">
        <f aca="false">IF(Tasks!$D117="","",Tasks!$AE117)</f>
        <v/>
      </c>
      <c r="D113" s="26" t="str">
        <f aca="false">IF(Tasks!$D117="","",IF(Tasks!$E117="Manual","Manually Scheduled","Auto Scheduled"))</f>
        <v/>
      </c>
      <c r="E113" s="26" t="str">
        <f aca="false">IF(OR(Tasks!$D117="",Tasks!$AI117),"",N(Tasks!$F117)&amp;"d")</f>
        <v/>
      </c>
      <c r="F113" s="79" t="str">
        <f aca="false">IF(Tasks!$D117="","",Tasks!$R117)</f>
        <v/>
      </c>
      <c r="G113" s="79" t="str">
        <f aca="false">IF(Tasks!$D117="","",Tasks!$S117)</f>
        <v/>
      </c>
      <c r="H113" s="26" t="str">
        <f aca="false">IF(OR(Tasks!$D117="",Tasks!$AI117),"",Tasks!$AC117)</f>
        <v/>
      </c>
      <c r="I113" s="26" t="str">
        <f aca="false">IF(OR(Tasks!$D117="",Tasks!$X117=""),"",Tasks!$X117&amp;IF(OR(Tasks!$Y117="",Tasks!$Y117=1),"","["&amp;ROUND(Tasks!$Y117*100,0)&amp;"%]"))</f>
        <v/>
      </c>
      <c r="J113" s="26" t="str">
        <f aca="false">IF(OR(Tasks!$D117="",Tasks!$AI117),"",ROUND(Tasks!$V117*100,0))</f>
        <v/>
      </c>
      <c r="K113" s="79" t="str">
        <f aca="false">IF(OR(Tasks!$D117="",N(Tasks!$P117)=0),"",Tasks!$P117)</f>
        <v/>
      </c>
      <c r="L113" s="79" t="str">
        <f aca="false">IF(OR(Tasks!$D117="",N(Tasks!$Q117)=0),"",Tasks!$Q117)</f>
        <v/>
      </c>
      <c r="M113" s="79" t="str">
        <f aca="false">IF(Tasks!$D117="","",Tasks!$N117)</f>
        <v/>
      </c>
      <c r="N113" s="79" t="str">
        <f aca="false">IF(Tasks!$D117="","",Tasks!$O117)</f>
        <v/>
      </c>
      <c r="O113" s="26" t="str">
        <f aca="false">IF(OR(Tasks!$D117="",Tasks!$AI117),"",IF(AND(Tasks!$E117&lt;&gt;"Manual",N(Tasks!$M117)&gt;0),"Start No Earlier Than","As Soon As Possible"))</f>
        <v/>
      </c>
      <c r="P113" s="79" t="str">
        <f aca="false">IF(OR(Tasks!$D117="",Tasks!$AI117,N(Tasks!$M117)=0,Tasks!$E117="Manual"),"",Tasks!$M117)</f>
        <v/>
      </c>
      <c r="Q113" s="26" t="str">
        <f aca="false">IF(Tasks!$D117="","",Tasks!$AD117&amp;"")</f>
        <v/>
      </c>
    </row>
    <row r="114" customFormat="false" ht="15" hidden="false" customHeight="false" outlineLevel="0" collapsed="false">
      <c r="A114" s="26" t="str">
        <f aca="false">IF(Tasks!$D118="","",Tasks!$A118)</f>
        <v/>
      </c>
      <c r="B114" s="26" t="str">
        <f aca="false">IF(Tasks!$D118="","",Tasks!$D118)</f>
        <v/>
      </c>
      <c r="C114" s="26" t="str">
        <f aca="false">IF(Tasks!$D118="","",Tasks!$AE118)</f>
        <v/>
      </c>
      <c r="D114" s="26" t="str">
        <f aca="false">IF(Tasks!$D118="","",IF(Tasks!$E118="Manual","Manually Scheduled","Auto Scheduled"))</f>
        <v/>
      </c>
      <c r="E114" s="26" t="str">
        <f aca="false">IF(OR(Tasks!$D118="",Tasks!$AI118),"",N(Tasks!$F118)&amp;"d")</f>
        <v/>
      </c>
      <c r="F114" s="79" t="str">
        <f aca="false">IF(Tasks!$D118="","",Tasks!$R118)</f>
        <v/>
      </c>
      <c r="G114" s="79" t="str">
        <f aca="false">IF(Tasks!$D118="","",Tasks!$S118)</f>
        <v/>
      </c>
      <c r="H114" s="26" t="str">
        <f aca="false">IF(OR(Tasks!$D118="",Tasks!$AI118),"",Tasks!$AC118)</f>
        <v/>
      </c>
      <c r="I114" s="26" t="str">
        <f aca="false">IF(OR(Tasks!$D118="",Tasks!$X118=""),"",Tasks!$X118&amp;IF(OR(Tasks!$Y118="",Tasks!$Y118=1),"","["&amp;ROUND(Tasks!$Y118*100,0)&amp;"%]"))</f>
        <v/>
      </c>
      <c r="J114" s="26" t="str">
        <f aca="false">IF(OR(Tasks!$D118="",Tasks!$AI118),"",ROUND(Tasks!$V118*100,0))</f>
        <v/>
      </c>
      <c r="K114" s="79" t="str">
        <f aca="false">IF(OR(Tasks!$D118="",N(Tasks!$P118)=0),"",Tasks!$P118)</f>
        <v/>
      </c>
      <c r="L114" s="79" t="str">
        <f aca="false">IF(OR(Tasks!$D118="",N(Tasks!$Q118)=0),"",Tasks!$Q118)</f>
        <v/>
      </c>
      <c r="M114" s="79" t="str">
        <f aca="false">IF(Tasks!$D118="","",Tasks!$N118)</f>
        <v/>
      </c>
      <c r="N114" s="79" t="str">
        <f aca="false">IF(Tasks!$D118="","",Tasks!$O118)</f>
        <v/>
      </c>
      <c r="O114" s="26" t="str">
        <f aca="false">IF(OR(Tasks!$D118="",Tasks!$AI118),"",IF(AND(Tasks!$E118&lt;&gt;"Manual",N(Tasks!$M118)&gt;0),"Start No Earlier Than","As Soon As Possible"))</f>
        <v/>
      </c>
      <c r="P114" s="79" t="str">
        <f aca="false">IF(OR(Tasks!$D118="",Tasks!$AI118,N(Tasks!$M118)=0,Tasks!$E118="Manual"),"",Tasks!$M118)</f>
        <v/>
      </c>
      <c r="Q114" s="26" t="str">
        <f aca="false">IF(Tasks!$D118="","",Tasks!$AD118&amp;"")</f>
        <v/>
      </c>
    </row>
    <row r="115" customFormat="false" ht="15" hidden="false" customHeight="false" outlineLevel="0" collapsed="false">
      <c r="A115" s="26" t="str">
        <f aca="false">IF(Tasks!$D119="","",Tasks!$A119)</f>
        <v/>
      </c>
      <c r="B115" s="26" t="str">
        <f aca="false">IF(Tasks!$D119="","",Tasks!$D119)</f>
        <v/>
      </c>
      <c r="C115" s="26" t="str">
        <f aca="false">IF(Tasks!$D119="","",Tasks!$AE119)</f>
        <v/>
      </c>
      <c r="D115" s="26" t="str">
        <f aca="false">IF(Tasks!$D119="","",IF(Tasks!$E119="Manual","Manually Scheduled","Auto Scheduled"))</f>
        <v/>
      </c>
      <c r="E115" s="26" t="str">
        <f aca="false">IF(OR(Tasks!$D119="",Tasks!$AI119),"",N(Tasks!$F119)&amp;"d")</f>
        <v/>
      </c>
      <c r="F115" s="79" t="str">
        <f aca="false">IF(Tasks!$D119="","",Tasks!$R119)</f>
        <v/>
      </c>
      <c r="G115" s="79" t="str">
        <f aca="false">IF(Tasks!$D119="","",Tasks!$S119)</f>
        <v/>
      </c>
      <c r="H115" s="26" t="str">
        <f aca="false">IF(OR(Tasks!$D119="",Tasks!$AI119),"",Tasks!$AC119)</f>
        <v/>
      </c>
      <c r="I115" s="26" t="str">
        <f aca="false">IF(OR(Tasks!$D119="",Tasks!$X119=""),"",Tasks!$X119&amp;IF(OR(Tasks!$Y119="",Tasks!$Y119=1),"","["&amp;ROUND(Tasks!$Y119*100,0)&amp;"%]"))</f>
        <v/>
      </c>
      <c r="J115" s="26" t="str">
        <f aca="false">IF(OR(Tasks!$D119="",Tasks!$AI119),"",ROUND(Tasks!$V119*100,0))</f>
        <v/>
      </c>
      <c r="K115" s="79" t="str">
        <f aca="false">IF(OR(Tasks!$D119="",N(Tasks!$P119)=0),"",Tasks!$P119)</f>
        <v/>
      </c>
      <c r="L115" s="79" t="str">
        <f aca="false">IF(OR(Tasks!$D119="",N(Tasks!$Q119)=0),"",Tasks!$Q119)</f>
        <v/>
      </c>
      <c r="M115" s="79" t="str">
        <f aca="false">IF(Tasks!$D119="","",Tasks!$N119)</f>
        <v/>
      </c>
      <c r="N115" s="79" t="str">
        <f aca="false">IF(Tasks!$D119="","",Tasks!$O119)</f>
        <v/>
      </c>
      <c r="O115" s="26" t="str">
        <f aca="false">IF(OR(Tasks!$D119="",Tasks!$AI119),"",IF(AND(Tasks!$E119&lt;&gt;"Manual",N(Tasks!$M119)&gt;0),"Start No Earlier Than","As Soon As Possible"))</f>
        <v/>
      </c>
      <c r="P115" s="79" t="str">
        <f aca="false">IF(OR(Tasks!$D119="",Tasks!$AI119,N(Tasks!$M119)=0,Tasks!$E119="Manual"),"",Tasks!$M119)</f>
        <v/>
      </c>
      <c r="Q115" s="26" t="str">
        <f aca="false">IF(Tasks!$D119="","",Tasks!$AD119&amp;"")</f>
        <v/>
      </c>
    </row>
    <row r="116" customFormat="false" ht="15" hidden="false" customHeight="false" outlineLevel="0" collapsed="false">
      <c r="A116" s="26" t="str">
        <f aca="false">IF(Tasks!$D120="","",Tasks!$A120)</f>
        <v/>
      </c>
      <c r="B116" s="26" t="str">
        <f aca="false">IF(Tasks!$D120="","",Tasks!$D120)</f>
        <v/>
      </c>
      <c r="C116" s="26" t="str">
        <f aca="false">IF(Tasks!$D120="","",Tasks!$AE120)</f>
        <v/>
      </c>
      <c r="D116" s="26" t="str">
        <f aca="false">IF(Tasks!$D120="","",IF(Tasks!$E120="Manual","Manually Scheduled","Auto Scheduled"))</f>
        <v/>
      </c>
      <c r="E116" s="26" t="str">
        <f aca="false">IF(OR(Tasks!$D120="",Tasks!$AI120),"",N(Tasks!$F120)&amp;"d")</f>
        <v/>
      </c>
      <c r="F116" s="79" t="str">
        <f aca="false">IF(Tasks!$D120="","",Tasks!$R120)</f>
        <v/>
      </c>
      <c r="G116" s="79" t="str">
        <f aca="false">IF(Tasks!$D120="","",Tasks!$S120)</f>
        <v/>
      </c>
      <c r="H116" s="26" t="str">
        <f aca="false">IF(OR(Tasks!$D120="",Tasks!$AI120),"",Tasks!$AC120)</f>
        <v/>
      </c>
      <c r="I116" s="26" t="str">
        <f aca="false">IF(OR(Tasks!$D120="",Tasks!$X120=""),"",Tasks!$X120&amp;IF(OR(Tasks!$Y120="",Tasks!$Y120=1),"","["&amp;ROUND(Tasks!$Y120*100,0)&amp;"%]"))</f>
        <v/>
      </c>
      <c r="J116" s="26" t="str">
        <f aca="false">IF(OR(Tasks!$D120="",Tasks!$AI120),"",ROUND(Tasks!$V120*100,0))</f>
        <v/>
      </c>
      <c r="K116" s="79" t="str">
        <f aca="false">IF(OR(Tasks!$D120="",N(Tasks!$P120)=0),"",Tasks!$P120)</f>
        <v/>
      </c>
      <c r="L116" s="79" t="str">
        <f aca="false">IF(OR(Tasks!$D120="",N(Tasks!$Q120)=0),"",Tasks!$Q120)</f>
        <v/>
      </c>
      <c r="M116" s="79" t="str">
        <f aca="false">IF(Tasks!$D120="","",Tasks!$N120)</f>
        <v/>
      </c>
      <c r="N116" s="79" t="str">
        <f aca="false">IF(Tasks!$D120="","",Tasks!$O120)</f>
        <v/>
      </c>
      <c r="O116" s="26" t="str">
        <f aca="false">IF(OR(Tasks!$D120="",Tasks!$AI120),"",IF(AND(Tasks!$E120&lt;&gt;"Manual",N(Tasks!$M120)&gt;0),"Start No Earlier Than","As Soon As Possible"))</f>
        <v/>
      </c>
      <c r="P116" s="79" t="str">
        <f aca="false">IF(OR(Tasks!$D120="",Tasks!$AI120,N(Tasks!$M120)=0,Tasks!$E120="Manual"),"",Tasks!$M120)</f>
        <v/>
      </c>
      <c r="Q116" s="26" t="str">
        <f aca="false">IF(Tasks!$D120="","",Tasks!$AD120&amp;"")</f>
        <v/>
      </c>
    </row>
    <row r="117" customFormat="false" ht="15" hidden="false" customHeight="false" outlineLevel="0" collapsed="false">
      <c r="A117" s="26" t="str">
        <f aca="false">IF(Tasks!$D121="","",Tasks!$A121)</f>
        <v/>
      </c>
      <c r="B117" s="26" t="str">
        <f aca="false">IF(Tasks!$D121="","",Tasks!$D121)</f>
        <v/>
      </c>
      <c r="C117" s="26" t="str">
        <f aca="false">IF(Tasks!$D121="","",Tasks!$AE121)</f>
        <v/>
      </c>
      <c r="D117" s="26" t="str">
        <f aca="false">IF(Tasks!$D121="","",IF(Tasks!$E121="Manual","Manually Scheduled","Auto Scheduled"))</f>
        <v/>
      </c>
      <c r="E117" s="26" t="str">
        <f aca="false">IF(OR(Tasks!$D121="",Tasks!$AI121),"",N(Tasks!$F121)&amp;"d")</f>
        <v/>
      </c>
      <c r="F117" s="79" t="str">
        <f aca="false">IF(Tasks!$D121="","",Tasks!$R121)</f>
        <v/>
      </c>
      <c r="G117" s="79" t="str">
        <f aca="false">IF(Tasks!$D121="","",Tasks!$S121)</f>
        <v/>
      </c>
      <c r="H117" s="26" t="str">
        <f aca="false">IF(OR(Tasks!$D121="",Tasks!$AI121),"",Tasks!$AC121)</f>
        <v/>
      </c>
      <c r="I117" s="26" t="str">
        <f aca="false">IF(OR(Tasks!$D121="",Tasks!$X121=""),"",Tasks!$X121&amp;IF(OR(Tasks!$Y121="",Tasks!$Y121=1),"","["&amp;ROUND(Tasks!$Y121*100,0)&amp;"%]"))</f>
        <v/>
      </c>
      <c r="J117" s="26" t="str">
        <f aca="false">IF(OR(Tasks!$D121="",Tasks!$AI121),"",ROUND(Tasks!$V121*100,0))</f>
        <v/>
      </c>
      <c r="K117" s="79" t="str">
        <f aca="false">IF(OR(Tasks!$D121="",N(Tasks!$P121)=0),"",Tasks!$P121)</f>
        <v/>
      </c>
      <c r="L117" s="79" t="str">
        <f aca="false">IF(OR(Tasks!$D121="",N(Tasks!$Q121)=0),"",Tasks!$Q121)</f>
        <v/>
      </c>
      <c r="M117" s="79" t="str">
        <f aca="false">IF(Tasks!$D121="","",Tasks!$N121)</f>
        <v/>
      </c>
      <c r="N117" s="79" t="str">
        <f aca="false">IF(Tasks!$D121="","",Tasks!$O121)</f>
        <v/>
      </c>
      <c r="O117" s="26" t="str">
        <f aca="false">IF(OR(Tasks!$D121="",Tasks!$AI121),"",IF(AND(Tasks!$E121&lt;&gt;"Manual",N(Tasks!$M121)&gt;0),"Start No Earlier Than","As Soon As Possible"))</f>
        <v/>
      </c>
      <c r="P117" s="79" t="str">
        <f aca="false">IF(OR(Tasks!$D121="",Tasks!$AI121,N(Tasks!$M121)=0,Tasks!$E121="Manual"),"",Tasks!$M121)</f>
        <v/>
      </c>
      <c r="Q117" s="26" t="str">
        <f aca="false">IF(Tasks!$D121="","",Tasks!$AD121&amp;"")</f>
        <v/>
      </c>
    </row>
    <row r="118" customFormat="false" ht="15" hidden="false" customHeight="false" outlineLevel="0" collapsed="false">
      <c r="A118" s="26" t="str">
        <f aca="false">IF(Tasks!$D122="","",Tasks!$A122)</f>
        <v/>
      </c>
      <c r="B118" s="26" t="str">
        <f aca="false">IF(Tasks!$D122="","",Tasks!$D122)</f>
        <v/>
      </c>
      <c r="C118" s="26" t="str">
        <f aca="false">IF(Tasks!$D122="","",Tasks!$AE122)</f>
        <v/>
      </c>
      <c r="D118" s="26" t="str">
        <f aca="false">IF(Tasks!$D122="","",IF(Tasks!$E122="Manual","Manually Scheduled","Auto Scheduled"))</f>
        <v/>
      </c>
      <c r="E118" s="26" t="str">
        <f aca="false">IF(OR(Tasks!$D122="",Tasks!$AI122),"",N(Tasks!$F122)&amp;"d")</f>
        <v/>
      </c>
      <c r="F118" s="79" t="str">
        <f aca="false">IF(Tasks!$D122="","",Tasks!$R122)</f>
        <v/>
      </c>
      <c r="G118" s="79" t="str">
        <f aca="false">IF(Tasks!$D122="","",Tasks!$S122)</f>
        <v/>
      </c>
      <c r="H118" s="26" t="str">
        <f aca="false">IF(OR(Tasks!$D122="",Tasks!$AI122),"",Tasks!$AC122)</f>
        <v/>
      </c>
      <c r="I118" s="26" t="str">
        <f aca="false">IF(OR(Tasks!$D122="",Tasks!$X122=""),"",Tasks!$X122&amp;IF(OR(Tasks!$Y122="",Tasks!$Y122=1),"","["&amp;ROUND(Tasks!$Y122*100,0)&amp;"%]"))</f>
        <v/>
      </c>
      <c r="J118" s="26" t="str">
        <f aca="false">IF(OR(Tasks!$D122="",Tasks!$AI122),"",ROUND(Tasks!$V122*100,0))</f>
        <v/>
      </c>
      <c r="K118" s="79" t="str">
        <f aca="false">IF(OR(Tasks!$D122="",N(Tasks!$P122)=0),"",Tasks!$P122)</f>
        <v/>
      </c>
      <c r="L118" s="79" t="str">
        <f aca="false">IF(OR(Tasks!$D122="",N(Tasks!$Q122)=0),"",Tasks!$Q122)</f>
        <v/>
      </c>
      <c r="M118" s="79" t="str">
        <f aca="false">IF(Tasks!$D122="","",Tasks!$N122)</f>
        <v/>
      </c>
      <c r="N118" s="79" t="str">
        <f aca="false">IF(Tasks!$D122="","",Tasks!$O122)</f>
        <v/>
      </c>
      <c r="O118" s="26" t="str">
        <f aca="false">IF(OR(Tasks!$D122="",Tasks!$AI122),"",IF(AND(Tasks!$E122&lt;&gt;"Manual",N(Tasks!$M122)&gt;0),"Start No Earlier Than","As Soon As Possible"))</f>
        <v/>
      </c>
      <c r="P118" s="79" t="str">
        <f aca="false">IF(OR(Tasks!$D122="",Tasks!$AI122,N(Tasks!$M122)=0,Tasks!$E122="Manual"),"",Tasks!$M122)</f>
        <v/>
      </c>
      <c r="Q118" s="26" t="str">
        <f aca="false">IF(Tasks!$D122="","",Tasks!$AD122&amp;"")</f>
        <v/>
      </c>
    </row>
    <row r="119" customFormat="false" ht="15" hidden="false" customHeight="false" outlineLevel="0" collapsed="false">
      <c r="A119" s="26" t="str">
        <f aca="false">IF(Tasks!$D123="","",Tasks!$A123)</f>
        <v/>
      </c>
      <c r="B119" s="26" t="str">
        <f aca="false">IF(Tasks!$D123="","",Tasks!$D123)</f>
        <v/>
      </c>
      <c r="C119" s="26" t="str">
        <f aca="false">IF(Tasks!$D123="","",Tasks!$AE123)</f>
        <v/>
      </c>
      <c r="D119" s="26" t="str">
        <f aca="false">IF(Tasks!$D123="","",IF(Tasks!$E123="Manual","Manually Scheduled","Auto Scheduled"))</f>
        <v/>
      </c>
      <c r="E119" s="26" t="str">
        <f aca="false">IF(OR(Tasks!$D123="",Tasks!$AI123),"",N(Tasks!$F123)&amp;"d")</f>
        <v/>
      </c>
      <c r="F119" s="79" t="str">
        <f aca="false">IF(Tasks!$D123="","",Tasks!$R123)</f>
        <v/>
      </c>
      <c r="G119" s="79" t="str">
        <f aca="false">IF(Tasks!$D123="","",Tasks!$S123)</f>
        <v/>
      </c>
      <c r="H119" s="26" t="str">
        <f aca="false">IF(OR(Tasks!$D123="",Tasks!$AI123),"",Tasks!$AC123)</f>
        <v/>
      </c>
      <c r="I119" s="26" t="str">
        <f aca="false">IF(OR(Tasks!$D123="",Tasks!$X123=""),"",Tasks!$X123&amp;IF(OR(Tasks!$Y123="",Tasks!$Y123=1),"","["&amp;ROUND(Tasks!$Y123*100,0)&amp;"%]"))</f>
        <v/>
      </c>
      <c r="J119" s="26" t="str">
        <f aca="false">IF(OR(Tasks!$D123="",Tasks!$AI123),"",ROUND(Tasks!$V123*100,0))</f>
        <v/>
      </c>
      <c r="K119" s="79" t="str">
        <f aca="false">IF(OR(Tasks!$D123="",N(Tasks!$P123)=0),"",Tasks!$P123)</f>
        <v/>
      </c>
      <c r="L119" s="79" t="str">
        <f aca="false">IF(OR(Tasks!$D123="",N(Tasks!$Q123)=0),"",Tasks!$Q123)</f>
        <v/>
      </c>
      <c r="M119" s="79" t="str">
        <f aca="false">IF(Tasks!$D123="","",Tasks!$N123)</f>
        <v/>
      </c>
      <c r="N119" s="79" t="str">
        <f aca="false">IF(Tasks!$D123="","",Tasks!$O123)</f>
        <v/>
      </c>
      <c r="O119" s="26" t="str">
        <f aca="false">IF(OR(Tasks!$D123="",Tasks!$AI123),"",IF(AND(Tasks!$E123&lt;&gt;"Manual",N(Tasks!$M123)&gt;0),"Start No Earlier Than","As Soon As Possible"))</f>
        <v/>
      </c>
      <c r="P119" s="79" t="str">
        <f aca="false">IF(OR(Tasks!$D123="",Tasks!$AI123,N(Tasks!$M123)=0,Tasks!$E123="Manual"),"",Tasks!$M123)</f>
        <v/>
      </c>
      <c r="Q119" s="26" t="str">
        <f aca="false">IF(Tasks!$D123="","",Tasks!$AD123&amp;"")</f>
        <v/>
      </c>
    </row>
    <row r="120" customFormat="false" ht="15" hidden="false" customHeight="false" outlineLevel="0" collapsed="false">
      <c r="A120" s="26" t="str">
        <f aca="false">IF(Tasks!$D124="","",Tasks!$A124)</f>
        <v/>
      </c>
      <c r="B120" s="26" t="str">
        <f aca="false">IF(Tasks!$D124="","",Tasks!$D124)</f>
        <v/>
      </c>
      <c r="C120" s="26" t="str">
        <f aca="false">IF(Tasks!$D124="","",Tasks!$AE124)</f>
        <v/>
      </c>
      <c r="D120" s="26" t="str">
        <f aca="false">IF(Tasks!$D124="","",IF(Tasks!$E124="Manual","Manually Scheduled","Auto Scheduled"))</f>
        <v/>
      </c>
      <c r="E120" s="26" t="str">
        <f aca="false">IF(OR(Tasks!$D124="",Tasks!$AI124),"",N(Tasks!$F124)&amp;"d")</f>
        <v/>
      </c>
      <c r="F120" s="79" t="str">
        <f aca="false">IF(Tasks!$D124="","",Tasks!$R124)</f>
        <v/>
      </c>
      <c r="G120" s="79" t="str">
        <f aca="false">IF(Tasks!$D124="","",Tasks!$S124)</f>
        <v/>
      </c>
      <c r="H120" s="26" t="str">
        <f aca="false">IF(OR(Tasks!$D124="",Tasks!$AI124),"",Tasks!$AC124)</f>
        <v/>
      </c>
      <c r="I120" s="26" t="str">
        <f aca="false">IF(OR(Tasks!$D124="",Tasks!$X124=""),"",Tasks!$X124&amp;IF(OR(Tasks!$Y124="",Tasks!$Y124=1),"","["&amp;ROUND(Tasks!$Y124*100,0)&amp;"%]"))</f>
        <v/>
      </c>
      <c r="J120" s="26" t="str">
        <f aca="false">IF(OR(Tasks!$D124="",Tasks!$AI124),"",ROUND(Tasks!$V124*100,0))</f>
        <v/>
      </c>
      <c r="K120" s="79" t="str">
        <f aca="false">IF(OR(Tasks!$D124="",N(Tasks!$P124)=0),"",Tasks!$P124)</f>
        <v/>
      </c>
      <c r="L120" s="79" t="str">
        <f aca="false">IF(OR(Tasks!$D124="",N(Tasks!$Q124)=0),"",Tasks!$Q124)</f>
        <v/>
      </c>
      <c r="M120" s="79" t="str">
        <f aca="false">IF(Tasks!$D124="","",Tasks!$N124)</f>
        <v/>
      </c>
      <c r="N120" s="79" t="str">
        <f aca="false">IF(Tasks!$D124="","",Tasks!$O124)</f>
        <v/>
      </c>
      <c r="O120" s="26" t="str">
        <f aca="false">IF(OR(Tasks!$D124="",Tasks!$AI124),"",IF(AND(Tasks!$E124&lt;&gt;"Manual",N(Tasks!$M124)&gt;0),"Start No Earlier Than","As Soon As Possible"))</f>
        <v/>
      </c>
      <c r="P120" s="79" t="str">
        <f aca="false">IF(OR(Tasks!$D124="",Tasks!$AI124,N(Tasks!$M124)=0,Tasks!$E124="Manual"),"",Tasks!$M124)</f>
        <v/>
      </c>
      <c r="Q120" s="26" t="str">
        <f aca="false">IF(Tasks!$D124="","",Tasks!$AD124&amp;"")</f>
        <v/>
      </c>
    </row>
    <row r="121" customFormat="false" ht="15" hidden="false" customHeight="false" outlineLevel="0" collapsed="false">
      <c r="A121" s="26" t="str">
        <f aca="false">IF(Tasks!$D125="","",Tasks!$A125)</f>
        <v/>
      </c>
      <c r="B121" s="26" t="str">
        <f aca="false">IF(Tasks!$D125="","",Tasks!$D125)</f>
        <v/>
      </c>
      <c r="C121" s="26" t="str">
        <f aca="false">IF(Tasks!$D125="","",Tasks!$AE125)</f>
        <v/>
      </c>
      <c r="D121" s="26" t="str">
        <f aca="false">IF(Tasks!$D125="","",IF(Tasks!$E125="Manual","Manually Scheduled","Auto Scheduled"))</f>
        <v/>
      </c>
      <c r="E121" s="26" t="str">
        <f aca="false">IF(OR(Tasks!$D125="",Tasks!$AI125),"",N(Tasks!$F125)&amp;"d")</f>
        <v/>
      </c>
      <c r="F121" s="79" t="str">
        <f aca="false">IF(Tasks!$D125="","",Tasks!$R125)</f>
        <v/>
      </c>
      <c r="G121" s="79" t="str">
        <f aca="false">IF(Tasks!$D125="","",Tasks!$S125)</f>
        <v/>
      </c>
      <c r="H121" s="26" t="str">
        <f aca="false">IF(OR(Tasks!$D125="",Tasks!$AI125),"",Tasks!$AC125)</f>
        <v/>
      </c>
      <c r="I121" s="26" t="str">
        <f aca="false">IF(OR(Tasks!$D125="",Tasks!$X125=""),"",Tasks!$X125&amp;IF(OR(Tasks!$Y125="",Tasks!$Y125=1),"","["&amp;ROUND(Tasks!$Y125*100,0)&amp;"%]"))</f>
        <v/>
      </c>
      <c r="J121" s="26" t="str">
        <f aca="false">IF(OR(Tasks!$D125="",Tasks!$AI125),"",ROUND(Tasks!$V125*100,0))</f>
        <v/>
      </c>
      <c r="K121" s="79" t="str">
        <f aca="false">IF(OR(Tasks!$D125="",N(Tasks!$P125)=0),"",Tasks!$P125)</f>
        <v/>
      </c>
      <c r="L121" s="79" t="str">
        <f aca="false">IF(OR(Tasks!$D125="",N(Tasks!$Q125)=0),"",Tasks!$Q125)</f>
        <v/>
      </c>
      <c r="M121" s="79" t="str">
        <f aca="false">IF(Tasks!$D125="","",Tasks!$N125)</f>
        <v/>
      </c>
      <c r="N121" s="79" t="str">
        <f aca="false">IF(Tasks!$D125="","",Tasks!$O125)</f>
        <v/>
      </c>
      <c r="O121" s="26" t="str">
        <f aca="false">IF(OR(Tasks!$D125="",Tasks!$AI125),"",IF(AND(Tasks!$E125&lt;&gt;"Manual",N(Tasks!$M125)&gt;0),"Start No Earlier Than","As Soon As Possible"))</f>
        <v/>
      </c>
      <c r="P121" s="79" t="str">
        <f aca="false">IF(OR(Tasks!$D125="",Tasks!$AI125,N(Tasks!$M125)=0,Tasks!$E125="Manual"),"",Tasks!$M125)</f>
        <v/>
      </c>
      <c r="Q121" s="26" t="str">
        <f aca="false">IF(Tasks!$D125="","",Tasks!$AD125&amp;"")</f>
        <v/>
      </c>
    </row>
    <row r="122" customFormat="false" ht="15" hidden="false" customHeight="false" outlineLevel="0" collapsed="false">
      <c r="A122" s="26" t="str">
        <f aca="false">IF(Tasks!$D126="","",Tasks!$A126)</f>
        <v/>
      </c>
      <c r="B122" s="26" t="str">
        <f aca="false">IF(Tasks!$D126="","",Tasks!$D126)</f>
        <v/>
      </c>
      <c r="C122" s="26" t="str">
        <f aca="false">IF(Tasks!$D126="","",Tasks!$AE126)</f>
        <v/>
      </c>
      <c r="D122" s="26" t="str">
        <f aca="false">IF(Tasks!$D126="","",IF(Tasks!$E126="Manual","Manually Scheduled","Auto Scheduled"))</f>
        <v/>
      </c>
      <c r="E122" s="26" t="str">
        <f aca="false">IF(OR(Tasks!$D126="",Tasks!$AI126),"",N(Tasks!$F126)&amp;"d")</f>
        <v/>
      </c>
      <c r="F122" s="79" t="str">
        <f aca="false">IF(Tasks!$D126="","",Tasks!$R126)</f>
        <v/>
      </c>
      <c r="G122" s="79" t="str">
        <f aca="false">IF(Tasks!$D126="","",Tasks!$S126)</f>
        <v/>
      </c>
      <c r="H122" s="26" t="str">
        <f aca="false">IF(OR(Tasks!$D126="",Tasks!$AI126),"",Tasks!$AC126)</f>
        <v/>
      </c>
      <c r="I122" s="26" t="str">
        <f aca="false">IF(OR(Tasks!$D126="",Tasks!$X126=""),"",Tasks!$X126&amp;IF(OR(Tasks!$Y126="",Tasks!$Y126=1),"","["&amp;ROUND(Tasks!$Y126*100,0)&amp;"%]"))</f>
        <v/>
      </c>
      <c r="J122" s="26" t="str">
        <f aca="false">IF(OR(Tasks!$D126="",Tasks!$AI126),"",ROUND(Tasks!$V126*100,0))</f>
        <v/>
      </c>
      <c r="K122" s="79" t="str">
        <f aca="false">IF(OR(Tasks!$D126="",N(Tasks!$P126)=0),"",Tasks!$P126)</f>
        <v/>
      </c>
      <c r="L122" s="79" t="str">
        <f aca="false">IF(OR(Tasks!$D126="",N(Tasks!$Q126)=0),"",Tasks!$Q126)</f>
        <v/>
      </c>
      <c r="M122" s="79" t="str">
        <f aca="false">IF(Tasks!$D126="","",Tasks!$N126)</f>
        <v/>
      </c>
      <c r="N122" s="79" t="str">
        <f aca="false">IF(Tasks!$D126="","",Tasks!$O126)</f>
        <v/>
      </c>
      <c r="O122" s="26" t="str">
        <f aca="false">IF(OR(Tasks!$D126="",Tasks!$AI126),"",IF(AND(Tasks!$E126&lt;&gt;"Manual",N(Tasks!$M126)&gt;0),"Start No Earlier Than","As Soon As Possible"))</f>
        <v/>
      </c>
      <c r="P122" s="79" t="str">
        <f aca="false">IF(OR(Tasks!$D126="",Tasks!$AI126,N(Tasks!$M126)=0,Tasks!$E126="Manual"),"",Tasks!$M126)</f>
        <v/>
      </c>
      <c r="Q122" s="26" t="str">
        <f aca="false">IF(Tasks!$D126="","",Tasks!$AD126&amp;"")</f>
        <v/>
      </c>
    </row>
    <row r="123" customFormat="false" ht="15" hidden="false" customHeight="false" outlineLevel="0" collapsed="false">
      <c r="A123" s="26" t="str">
        <f aca="false">IF(Tasks!$D127="","",Tasks!$A127)</f>
        <v/>
      </c>
      <c r="B123" s="26" t="str">
        <f aca="false">IF(Tasks!$D127="","",Tasks!$D127)</f>
        <v/>
      </c>
      <c r="C123" s="26" t="str">
        <f aca="false">IF(Tasks!$D127="","",Tasks!$AE127)</f>
        <v/>
      </c>
      <c r="D123" s="26" t="str">
        <f aca="false">IF(Tasks!$D127="","",IF(Tasks!$E127="Manual","Manually Scheduled","Auto Scheduled"))</f>
        <v/>
      </c>
      <c r="E123" s="26" t="str">
        <f aca="false">IF(OR(Tasks!$D127="",Tasks!$AI127),"",N(Tasks!$F127)&amp;"d")</f>
        <v/>
      </c>
      <c r="F123" s="79" t="str">
        <f aca="false">IF(Tasks!$D127="","",Tasks!$R127)</f>
        <v/>
      </c>
      <c r="G123" s="79" t="str">
        <f aca="false">IF(Tasks!$D127="","",Tasks!$S127)</f>
        <v/>
      </c>
      <c r="H123" s="26" t="str">
        <f aca="false">IF(OR(Tasks!$D127="",Tasks!$AI127),"",Tasks!$AC127)</f>
        <v/>
      </c>
      <c r="I123" s="26" t="str">
        <f aca="false">IF(OR(Tasks!$D127="",Tasks!$X127=""),"",Tasks!$X127&amp;IF(OR(Tasks!$Y127="",Tasks!$Y127=1),"","["&amp;ROUND(Tasks!$Y127*100,0)&amp;"%]"))</f>
        <v/>
      </c>
      <c r="J123" s="26" t="str">
        <f aca="false">IF(OR(Tasks!$D127="",Tasks!$AI127),"",ROUND(Tasks!$V127*100,0))</f>
        <v/>
      </c>
      <c r="K123" s="79" t="str">
        <f aca="false">IF(OR(Tasks!$D127="",N(Tasks!$P127)=0),"",Tasks!$P127)</f>
        <v/>
      </c>
      <c r="L123" s="79" t="str">
        <f aca="false">IF(OR(Tasks!$D127="",N(Tasks!$Q127)=0),"",Tasks!$Q127)</f>
        <v/>
      </c>
      <c r="M123" s="79" t="str">
        <f aca="false">IF(Tasks!$D127="","",Tasks!$N127)</f>
        <v/>
      </c>
      <c r="N123" s="79" t="str">
        <f aca="false">IF(Tasks!$D127="","",Tasks!$O127)</f>
        <v/>
      </c>
      <c r="O123" s="26" t="str">
        <f aca="false">IF(OR(Tasks!$D127="",Tasks!$AI127),"",IF(AND(Tasks!$E127&lt;&gt;"Manual",N(Tasks!$M127)&gt;0),"Start No Earlier Than","As Soon As Possible"))</f>
        <v/>
      </c>
      <c r="P123" s="79" t="str">
        <f aca="false">IF(OR(Tasks!$D127="",Tasks!$AI127,N(Tasks!$M127)=0,Tasks!$E127="Manual"),"",Tasks!$M127)</f>
        <v/>
      </c>
      <c r="Q123" s="26" t="str">
        <f aca="false">IF(Tasks!$D127="","",Tasks!$AD127&amp;"")</f>
        <v/>
      </c>
    </row>
    <row r="124" customFormat="false" ht="15" hidden="false" customHeight="false" outlineLevel="0" collapsed="false">
      <c r="A124" s="26" t="str">
        <f aca="false">IF(Tasks!$D128="","",Tasks!$A128)</f>
        <v/>
      </c>
      <c r="B124" s="26" t="str">
        <f aca="false">IF(Tasks!$D128="","",Tasks!$D128)</f>
        <v/>
      </c>
      <c r="C124" s="26" t="str">
        <f aca="false">IF(Tasks!$D128="","",Tasks!$AE128)</f>
        <v/>
      </c>
      <c r="D124" s="26" t="str">
        <f aca="false">IF(Tasks!$D128="","",IF(Tasks!$E128="Manual","Manually Scheduled","Auto Scheduled"))</f>
        <v/>
      </c>
      <c r="E124" s="26" t="str">
        <f aca="false">IF(OR(Tasks!$D128="",Tasks!$AI128),"",N(Tasks!$F128)&amp;"d")</f>
        <v/>
      </c>
      <c r="F124" s="79" t="str">
        <f aca="false">IF(Tasks!$D128="","",Tasks!$R128)</f>
        <v/>
      </c>
      <c r="G124" s="79" t="str">
        <f aca="false">IF(Tasks!$D128="","",Tasks!$S128)</f>
        <v/>
      </c>
      <c r="H124" s="26" t="str">
        <f aca="false">IF(OR(Tasks!$D128="",Tasks!$AI128),"",Tasks!$AC128)</f>
        <v/>
      </c>
      <c r="I124" s="26" t="str">
        <f aca="false">IF(OR(Tasks!$D128="",Tasks!$X128=""),"",Tasks!$X128&amp;IF(OR(Tasks!$Y128="",Tasks!$Y128=1),"","["&amp;ROUND(Tasks!$Y128*100,0)&amp;"%]"))</f>
        <v/>
      </c>
      <c r="J124" s="26" t="str">
        <f aca="false">IF(OR(Tasks!$D128="",Tasks!$AI128),"",ROUND(Tasks!$V128*100,0))</f>
        <v/>
      </c>
      <c r="K124" s="79" t="str">
        <f aca="false">IF(OR(Tasks!$D128="",N(Tasks!$P128)=0),"",Tasks!$P128)</f>
        <v/>
      </c>
      <c r="L124" s="79" t="str">
        <f aca="false">IF(OR(Tasks!$D128="",N(Tasks!$Q128)=0),"",Tasks!$Q128)</f>
        <v/>
      </c>
      <c r="M124" s="79" t="str">
        <f aca="false">IF(Tasks!$D128="","",Tasks!$N128)</f>
        <v/>
      </c>
      <c r="N124" s="79" t="str">
        <f aca="false">IF(Tasks!$D128="","",Tasks!$O128)</f>
        <v/>
      </c>
      <c r="O124" s="26" t="str">
        <f aca="false">IF(OR(Tasks!$D128="",Tasks!$AI128),"",IF(AND(Tasks!$E128&lt;&gt;"Manual",N(Tasks!$M128)&gt;0),"Start No Earlier Than","As Soon As Possible"))</f>
        <v/>
      </c>
      <c r="P124" s="79" t="str">
        <f aca="false">IF(OR(Tasks!$D128="",Tasks!$AI128,N(Tasks!$M128)=0,Tasks!$E128="Manual"),"",Tasks!$M128)</f>
        <v/>
      </c>
      <c r="Q124" s="26" t="str">
        <f aca="false">IF(Tasks!$D128="","",Tasks!$AD128&amp;"")</f>
        <v/>
      </c>
    </row>
    <row r="125" customFormat="false" ht="15" hidden="false" customHeight="false" outlineLevel="0" collapsed="false">
      <c r="A125" s="26" t="str">
        <f aca="false">IF(Tasks!$D129="","",Tasks!$A129)</f>
        <v/>
      </c>
      <c r="B125" s="26" t="str">
        <f aca="false">IF(Tasks!$D129="","",Tasks!$D129)</f>
        <v/>
      </c>
      <c r="C125" s="26" t="str">
        <f aca="false">IF(Tasks!$D129="","",Tasks!$AE129)</f>
        <v/>
      </c>
      <c r="D125" s="26" t="str">
        <f aca="false">IF(Tasks!$D129="","",IF(Tasks!$E129="Manual","Manually Scheduled","Auto Scheduled"))</f>
        <v/>
      </c>
      <c r="E125" s="26" t="str">
        <f aca="false">IF(OR(Tasks!$D129="",Tasks!$AI129),"",N(Tasks!$F129)&amp;"d")</f>
        <v/>
      </c>
      <c r="F125" s="79" t="str">
        <f aca="false">IF(Tasks!$D129="","",Tasks!$R129)</f>
        <v/>
      </c>
      <c r="G125" s="79" t="str">
        <f aca="false">IF(Tasks!$D129="","",Tasks!$S129)</f>
        <v/>
      </c>
      <c r="H125" s="26" t="str">
        <f aca="false">IF(OR(Tasks!$D129="",Tasks!$AI129),"",Tasks!$AC129)</f>
        <v/>
      </c>
      <c r="I125" s="26" t="str">
        <f aca="false">IF(OR(Tasks!$D129="",Tasks!$X129=""),"",Tasks!$X129&amp;IF(OR(Tasks!$Y129="",Tasks!$Y129=1),"","["&amp;ROUND(Tasks!$Y129*100,0)&amp;"%]"))</f>
        <v/>
      </c>
      <c r="J125" s="26" t="str">
        <f aca="false">IF(OR(Tasks!$D129="",Tasks!$AI129),"",ROUND(Tasks!$V129*100,0))</f>
        <v/>
      </c>
      <c r="K125" s="79" t="str">
        <f aca="false">IF(OR(Tasks!$D129="",N(Tasks!$P129)=0),"",Tasks!$P129)</f>
        <v/>
      </c>
      <c r="L125" s="79" t="str">
        <f aca="false">IF(OR(Tasks!$D129="",N(Tasks!$Q129)=0),"",Tasks!$Q129)</f>
        <v/>
      </c>
      <c r="M125" s="79" t="str">
        <f aca="false">IF(Tasks!$D129="","",Tasks!$N129)</f>
        <v/>
      </c>
      <c r="N125" s="79" t="str">
        <f aca="false">IF(Tasks!$D129="","",Tasks!$O129)</f>
        <v/>
      </c>
      <c r="O125" s="26" t="str">
        <f aca="false">IF(OR(Tasks!$D129="",Tasks!$AI129),"",IF(AND(Tasks!$E129&lt;&gt;"Manual",N(Tasks!$M129)&gt;0),"Start No Earlier Than","As Soon As Possible"))</f>
        <v/>
      </c>
      <c r="P125" s="79" t="str">
        <f aca="false">IF(OR(Tasks!$D129="",Tasks!$AI129,N(Tasks!$M129)=0,Tasks!$E129="Manual"),"",Tasks!$M129)</f>
        <v/>
      </c>
      <c r="Q125" s="26" t="str">
        <f aca="false">IF(Tasks!$D129="","",Tasks!$AD129&amp;"")</f>
        <v/>
      </c>
    </row>
    <row r="126" customFormat="false" ht="15" hidden="false" customHeight="false" outlineLevel="0" collapsed="false">
      <c r="A126" s="26" t="str">
        <f aca="false">IF(Tasks!$D130="","",Tasks!$A130)</f>
        <v/>
      </c>
      <c r="B126" s="26" t="str">
        <f aca="false">IF(Tasks!$D130="","",Tasks!$D130)</f>
        <v/>
      </c>
      <c r="C126" s="26" t="str">
        <f aca="false">IF(Tasks!$D130="","",Tasks!$AE130)</f>
        <v/>
      </c>
      <c r="D126" s="26" t="str">
        <f aca="false">IF(Tasks!$D130="","",IF(Tasks!$E130="Manual","Manually Scheduled","Auto Scheduled"))</f>
        <v/>
      </c>
      <c r="E126" s="26" t="str">
        <f aca="false">IF(OR(Tasks!$D130="",Tasks!$AI130),"",N(Tasks!$F130)&amp;"d")</f>
        <v/>
      </c>
      <c r="F126" s="79" t="str">
        <f aca="false">IF(Tasks!$D130="","",Tasks!$R130)</f>
        <v/>
      </c>
      <c r="G126" s="79" t="str">
        <f aca="false">IF(Tasks!$D130="","",Tasks!$S130)</f>
        <v/>
      </c>
      <c r="H126" s="26" t="str">
        <f aca="false">IF(OR(Tasks!$D130="",Tasks!$AI130),"",Tasks!$AC130)</f>
        <v/>
      </c>
      <c r="I126" s="26" t="str">
        <f aca="false">IF(OR(Tasks!$D130="",Tasks!$X130=""),"",Tasks!$X130&amp;IF(OR(Tasks!$Y130="",Tasks!$Y130=1),"","["&amp;ROUND(Tasks!$Y130*100,0)&amp;"%]"))</f>
        <v/>
      </c>
      <c r="J126" s="26" t="str">
        <f aca="false">IF(OR(Tasks!$D130="",Tasks!$AI130),"",ROUND(Tasks!$V130*100,0))</f>
        <v/>
      </c>
      <c r="K126" s="79" t="str">
        <f aca="false">IF(OR(Tasks!$D130="",N(Tasks!$P130)=0),"",Tasks!$P130)</f>
        <v/>
      </c>
      <c r="L126" s="79" t="str">
        <f aca="false">IF(OR(Tasks!$D130="",N(Tasks!$Q130)=0),"",Tasks!$Q130)</f>
        <v/>
      </c>
      <c r="M126" s="79" t="str">
        <f aca="false">IF(Tasks!$D130="","",Tasks!$N130)</f>
        <v/>
      </c>
      <c r="N126" s="79" t="str">
        <f aca="false">IF(Tasks!$D130="","",Tasks!$O130)</f>
        <v/>
      </c>
      <c r="O126" s="26" t="str">
        <f aca="false">IF(OR(Tasks!$D130="",Tasks!$AI130),"",IF(AND(Tasks!$E130&lt;&gt;"Manual",N(Tasks!$M130)&gt;0),"Start No Earlier Than","As Soon As Possible"))</f>
        <v/>
      </c>
      <c r="P126" s="79" t="str">
        <f aca="false">IF(OR(Tasks!$D130="",Tasks!$AI130,N(Tasks!$M130)=0,Tasks!$E130="Manual"),"",Tasks!$M130)</f>
        <v/>
      </c>
      <c r="Q126" s="26" t="str">
        <f aca="false">IF(Tasks!$D130="","",Tasks!$AD130&amp;"")</f>
        <v/>
      </c>
    </row>
    <row r="127" customFormat="false" ht="15" hidden="false" customHeight="false" outlineLevel="0" collapsed="false">
      <c r="A127" s="26" t="str">
        <f aca="false">IF(Tasks!$D131="","",Tasks!$A131)</f>
        <v/>
      </c>
      <c r="B127" s="26" t="str">
        <f aca="false">IF(Tasks!$D131="","",Tasks!$D131)</f>
        <v/>
      </c>
      <c r="C127" s="26" t="str">
        <f aca="false">IF(Tasks!$D131="","",Tasks!$AE131)</f>
        <v/>
      </c>
      <c r="D127" s="26" t="str">
        <f aca="false">IF(Tasks!$D131="","",IF(Tasks!$E131="Manual","Manually Scheduled","Auto Scheduled"))</f>
        <v/>
      </c>
      <c r="E127" s="26" t="str">
        <f aca="false">IF(OR(Tasks!$D131="",Tasks!$AI131),"",N(Tasks!$F131)&amp;"d")</f>
        <v/>
      </c>
      <c r="F127" s="79" t="str">
        <f aca="false">IF(Tasks!$D131="","",Tasks!$R131)</f>
        <v/>
      </c>
      <c r="G127" s="79" t="str">
        <f aca="false">IF(Tasks!$D131="","",Tasks!$S131)</f>
        <v/>
      </c>
      <c r="H127" s="26" t="str">
        <f aca="false">IF(OR(Tasks!$D131="",Tasks!$AI131),"",Tasks!$AC131)</f>
        <v/>
      </c>
      <c r="I127" s="26" t="str">
        <f aca="false">IF(OR(Tasks!$D131="",Tasks!$X131=""),"",Tasks!$X131&amp;IF(OR(Tasks!$Y131="",Tasks!$Y131=1),"","["&amp;ROUND(Tasks!$Y131*100,0)&amp;"%]"))</f>
        <v/>
      </c>
      <c r="J127" s="26" t="str">
        <f aca="false">IF(OR(Tasks!$D131="",Tasks!$AI131),"",ROUND(Tasks!$V131*100,0))</f>
        <v/>
      </c>
      <c r="K127" s="79" t="str">
        <f aca="false">IF(OR(Tasks!$D131="",N(Tasks!$P131)=0),"",Tasks!$P131)</f>
        <v/>
      </c>
      <c r="L127" s="79" t="str">
        <f aca="false">IF(OR(Tasks!$D131="",N(Tasks!$Q131)=0),"",Tasks!$Q131)</f>
        <v/>
      </c>
      <c r="M127" s="79" t="str">
        <f aca="false">IF(Tasks!$D131="","",Tasks!$N131)</f>
        <v/>
      </c>
      <c r="N127" s="79" t="str">
        <f aca="false">IF(Tasks!$D131="","",Tasks!$O131)</f>
        <v/>
      </c>
      <c r="O127" s="26" t="str">
        <f aca="false">IF(OR(Tasks!$D131="",Tasks!$AI131),"",IF(AND(Tasks!$E131&lt;&gt;"Manual",N(Tasks!$M131)&gt;0),"Start No Earlier Than","As Soon As Possible"))</f>
        <v/>
      </c>
      <c r="P127" s="79" t="str">
        <f aca="false">IF(OR(Tasks!$D131="",Tasks!$AI131,N(Tasks!$M131)=0,Tasks!$E131="Manual"),"",Tasks!$M131)</f>
        <v/>
      </c>
      <c r="Q127" s="26" t="str">
        <f aca="false">IF(Tasks!$D131="","",Tasks!$AD131&amp;"")</f>
        <v/>
      </c>
    </row>
    <row r="128" customFormat="false" ht="15" hidden="false" customHeight="false" outlineLevel="0" collapsed="false">
      <c r="A128" s="26" t="str">
        <f aca="false">IF(Tasks!$D132="","",Tasks!$A132)</f>
        <v/>
      </c>
      <c r="B128" s="26" t="str">
        <f aca="false">IF(Tasks!$D132="","",Tasks!$D132)</f>
        <v/>
      </c>
      <c r="C128" s="26" t="str">
        <f aca="false">IF(Tasks!$D132="","",Tasks!$AE132)</f>
        <v/>
      </c>
      <c r="D128" s="26" t="str">
        <f aca="false">IF(Tasks!$D132="","",IF(Tasks!$E132="Manual","Manually Scheduled","Auto Scheduled"))</f>
        <v/>
      </c>
      <c r="E128" s="26" t="str">
        <f aca="false">IF(OR(Tasks!$D132="",Tasks!$AI132),"",N(Tasks!$F132)&amp;"d")</f>
        <v/>
      </c>
      <c r="F128" s="79" t="str">
        <f aca="false">IF(Tasks!$D132="","",Tasks!$R132)</f>
        <v/>
      </c>
      <c r="G128" s="79" t="str">
        <f aca="false">IF(Tasks!$D132="","",Tasks!$S132)</f>
        <v/>
      </c>
      <c r="H128" s="26" t="str">
        <f aca="false">IF(OR(Tasks!$D132="",Tasks!$AI132),"",Tasks!$AC132)</f>
        <v/>
      </c>
      <c r="I128" s="26" t="str">
        <f aca="false">IF(OR(Tasks!$D132="",Tasks!$X132=""),"",Tasks!$X132&amp;IF(OR(Tasks!$Y132="",Tasks!$Y132=1),"","["&amp;ROUND(Tasks!$Y132*100,0)&amp;"%]"))</f>
        <v/>
      </c>
      <c r="J128" s="26" t="str">
        <f aca="false">IF(OR(Tasks!$D132="",Tasks!$AI132),"",ROUND(Tasks!$V132*100,0))</f>
        <v/>
      </c>
      <c r="K128" s="79" t="str">
        <f aca="false">IF(OR(Tasks!$D132="",N(Tasks!$P132)=0),"",Tasks!$P132)</f>
        <v/>
      </c>
      <c r="L128" s="79" t="str">
        <f aca="false">IF(OR(Tasks!$D132="",N(Tasks!$Q132)=0),"",Tasks!$Q132)</f>
        <v/>
      </c>
      <c r="M128" s="79" t="str">
        <f aca="false">IF(Tasks!$D132="","",Tasks!$N132)</f>
        <v/>
      </c>
      <c r="N128" s="79" t="str">
        <f aca="false">IF(Tasks!$D132="","",Tasks!$O132)</f>
        <v/>
      </c>
      <c r="O128" s="26" t="str">
        <f aca="false">IF(OR(Tasks!$D132="",Tasks!$AI132),"",IF(AND(Tasks!$E132&lt;&gt;"Manual",N(Tasks!$M132)&gt;0),"Start No Earlier Than","As Soon As Possible"))</f>
        <v/>
      </c>
      <c r="P128" s="79" t="str">
        <f aca="false">IF(OR(Tasks!$D132="",Tasks!$AI132,N(Tasks!$M132)=0,Tasks!$E132="Manual"),"",Tasks!$M132)</f>
        <v/>
      </c>
      <c r="Q128" s="26" t="str">
        <f aca="false">IF(Tasks!$D132="","",Tasks!$AD132&amp;"")</f>
        <v/>
      </c>
    </row>
    <row r="129" customFormat="false" ht="15" hidden="false" customHeight="false" outlineLevel="0" collapsed="false">
      <c r="A129" s="26" t="str">
        <f aca="false">IF(Tasks!$D133="","",Tasks!$A133)</f>
        <v/>
      </c>
      <c r="B129" s="26" t="str">
        <f aca="false">IF(Tasks!$D133="","",Tasks!$D133)</f>
        <v/>
      </c>
      <c r="C129" s="26" t="str">
        <f aca="false">IF(Tasks!$D133="","",Tasks!$AE133)</f>
        <v/>
      </c>
      <c r="D129" s="26" t="str">
        <f aca="false">IF(Tasks!$D133="","",IF(Tasks!$E133="Manual","Manually Scheduled","Auto Scheduled"))</f>
        <v/>
      </c>
      <c r="E129" s="26" t="str">
        <f aca="false">IF(OR(Tasks!$D133="",Tasks!$AI133),"",N(Tasks!$F133)&amp;"d")</f>
        <v/>
      </c>
      <c r="F129" s="79" t="str">
        <f aca="false">IF(Tasks!$D133="","",Tasks!$R133)</f>
        <v/>
      </c>
      <c r="G129" s="79" t="str">
        <f aca="false">IF(Tasks!$D133="","",Tasks!$S133)</f>
        <v/>
      </c>
      <c r="H129" s="26" t="str">
        <f aca="false">IF(OR(Tasks!$D133="",Tasks!$AI133),"",Tasks!$AC133)</f>
        <v/>
      </c>
      <c r="I129" s="26" t="str">
        <f aca="false">IF(OR(Tasks!$D133="",Tasks!$X133=""),"",Tasks!$X133&amp;IF(OR(Tasks!$Y133="",Tasks!$Y133=1),"","["&amp;ROUND(Tasks!$Y133*100,0)&amp;"%]"))</f>
        <v/>
      </c>
      <c r="J129" s="26" t="str">
        <f aca="false">IF(OR(Tasks!$D133="",Tasks!$AI133),"",ROUND(Tasks!$V133*100,0))</f>
        <v/>
      </c>
      <c r="K129" s="79" t="str">
        <f aca="false">IF(OR(Tasks!$D133="",N(Tasks!$P133)=0),"",Tasks!$P133)</f>
        <v/>
      </c>
      <c r="L129" s="79" t="str">
        <f aca="false">IF(OR(Tasks!$D133="",N(Tasks!$Q133)=0),"",Tasks!$Q133)</f>
        <v/>
      </c>
      <c r="M129" s="79" t="str">
        <f aca="false">IF(Tasks!$D133="","",Tasks!$N133)</f>
        <v/>
      </c>
      <c r="N129" s="79" t="str">
        <f aca="false">IF(Tasks!$D133="","",Tasks!$O133)</f>
        <v/>
      </c>
      <c r="O129" s="26" t="str">
        <f aca="false">IF(OR(Tasks!$D133="",Tasks!$AI133),"",IF(AND(Tasks!$E133&lt;&gt;"Manual",N(Tasks!$M133)&gt;0),"Start No Earlier Than","As Soon As Possible"))</f>
        <v/>
      </c>
      <c r="P129" s="79" t="str">
        <f aca="false">IF(OR(Tasks!$D133="",Tasks!$AI133,N(Tasks!$M133)=0,Tasks!$E133="Manual"),"",Tasks!$M133)</f>
        <v/>
      </c>
      <c r="Q129" s="26" t="str">
        <f aca="false">IF(Tasks!$D133="","",Tasks!$AD133&amp;"")</f>
        <v/>
      </c>
    </row>
    <row r="130" customFormat="false" ht="15" hidden="false" customHeight="false" outlineLevel="0" collapsed="false">
      <c r="A130" s="26" t="str">
        <f aca="false">IF(Tasks!$D134="","",Tasks!$A134)</f>
        <v/>
      </c>
      <c r="B130" s="26" t="str">
        <f aca="false">IF(Tasks!$D134="","",Tasks!$D134)</f>
        <v/>
      </c>
      <c r="C130" s="26" t="str">
        <f aca="false">IF(Tasks!$D134="","",Tasks!$AE134)</f>
        <v/>
      </c>
      <c r="D130" s="26" t="str">
        <f aca="false">IF(Tasks!$D134="","",IF(Tasks!$E134="Manual","Manually Scheduled","Auto Scheduled"))</f>
        <v/>
      </c>
      <c r="E130" s="26" t="str">
        <f aca="false">IF(OR(Tasks!$D134="",Tasks!$AI134),"",N(Tasks!$F134)&amp;"d")</f>
        <v/>
      </c>
      <c r="F130" s="79" t="str">
        <f aca="false">IF(Tasks!$D134="","",Tasks!$R134)</f>
        <v/>
      </c>
      <c r="G130" s="79" t="str">
        <f aca="false">IF(Tasks!$D134="","",Tasks!$S134)</f>
        <v/>
      </c>
      <c r="H130" s="26" t="str">
        <f aca="false">IF(OR(Tasks!$D134="",Tasks!$AI134),"",Tasks!$AC134)</f>
        <v/>
      </c>
      <c r="I130" s="26" t="str">
        <f aca="false">IF(OR(Tasks!$D134="",Tasks!$X134=""),"",Tasks!$X134&amp;IF(OR(Tasks!$Y134="",Tasks!$Y134=1),"","["&amp;ROUND(Tasks!$Y134*100,0)&amp;"%]"))</f>
        <v/>
      </c>
      <c r="J130" s="26" t="str">
        <f aca="false">IF(OR(Tasks!$D134="",Tasks!$AI134),"",ROUND(Tasks!$V134*100,0))</f>
        <v/>
      </c>
      <c r="K130" s="79" t="str">
        <f aca="false">IF(OR(Tasks!$D134="",N(Tasks!$P134)=0),"",Tasks!$P134)</f>
        <v/>
      </c>
      <c r="L130" s="79" t="str">
        <f aca="false">IF(OR(Tasks!$D134="",N(Tasks!$Q134)=0),"",Tasks!$Q134)</f>
        <v/>
      </c>
      <c r="M130" s="79" t="str">
        <f aca="false">IF(Tasks!$D134="","",Tasks!$N134)</f>
        <v/>
      </c>
      <c r="N130" s="79" t="str">
        <f aca="false">IF(Tasks!$D134="","",Tasks!$O134)</f>
        <v/>
      </c>
      <c r="O130" s="26" t="str">
        <f aca="false">IF(OR(Tasks!$D134="",Tasks!$AI134),"",IF(AND(Tasks!$E134&lt;&gt;"Manual",N(Tasks!$M134)&gt;0),"Start No Earlier Than","As Soon As Possible"))</f>
        <v/>
      </c>
      <c r="P130" s="79" t="str">
        <f aca="false">IF(OR(Tasks!$D134="",Tasks!$AI134,N(Tasks!$M134)=0,Tasks!$E134="Manual"),"",Tasks!$M134)</f>
        <v/>
      </c>
      <c r="Q130" s="26" t="str">
        <f aca="false">IF(Tasks!$D134="","",Tasks!$AD134&amp;"")</f>
        <v/>
      </c>
    </row>
    <row r="131" customFormat="false" ht="15" hidden="false" customHeight="false" outlineLevel="0" collapsed="false">
      <c r="A131" s="26" t="str">
        <f aca="false">IF(Tasks!$D135="","",Tasks!$A135)</f>
        <v/>
      </c>
      <c r="B131" s="26" t="str">
        <f aca="false">IF(Tasks!$D135="","",Tasks!$D135)</f>
        <v/>
      </c>
      <c r="C131" s="26" t="str">
        <f aca="false">IF(Tasks!$D135="","",Tasks!$AE135)</f>
        <v/>
      </c>
      <c r="D131" s="26" t="str">
        <f aca="false">IF(Tasks!$D135="","",IF(Tasks!$E135="Manual","Manually Scheduled","Auto Scheduled"))</f>
        <v/>
      </c>
      <c r="E131" s="26" t="str">
        <f aca="false">IF(OR(Tasks!$D135="",Tasks!$AI135),"",N(Tasks!$F135)&amp;"d")</f>
        <v/>
      </c>
      <c r="F131" s="79" t="str">
        <f aca="false">IF(Tasks!$D135="","",Tasks!$R135)</f>
        <v/>
      </c>
      <c r="G131" s="79" t="str">
        <f aca="false">IF(Tasks!$D135="","",Tasks!$S135)</f>
        <v/>
      </c>
      <c r="H131" s="26" t="str">
        <f aca="false">IF(OR(Tasks!$D135="",Tasks!$AI135),"",Tasks!$AC135)</f>
        <v/>
      </c>
      <c r="I131" s="26" t="str">
        <f aca="false">IF(OR(Tasks!$D135="",Tasks!$X135=""),"",Tasks!$X135&amp;IF(OR(Tasks!$Y135="",Tasks!$Y135=1),"","["&amp;ROUND(Tasks!$Y135*100,0)&amp;"%]"))</f>
        <v/>
      </c>
      <c r="J131" s="26" t="str">
        <f aca="false">IF(OR(Tasks!$D135="",Tasks!$AI135),"",ROUND(Tasks!$V135*100,0))</f>
        <v/>
      </c>
      <c r="K131" s="79" t="str">
        <f aca="false">IF(OR(Tasks!$D135="",N(Tasks!$P135)=0),"",Tasks!$P135)</f>
        <v/>
      </c>
      <c r="L131" s="79" t="str">
        <f aca="false">IF(OR(Tasks!$D135="",N(Tasks!$Q135)=0),"",Tasks!$Q135)</f>
        <v/>
      </c>
      <c r="M131" s="79" t="str">
        <f aca="false">IF(Tasks!$D135="","",Tasks!$N135)</f>
        <v/>
      </c>
      <c r="N131" s="79" t="str">
        <f aca="false">IF(Tasks!$D135="","",Tasks!$O135)</f>
        <v/>
      </c>
      <c r="O131" s="26" t="str">
        <f aca="false">IF(OR(Tasks!$D135="",Tasks!$AI135),"",IF(AND(Tasks!$E135&lt;&gt;"Manual",N(Tasks!$M135)&gt;0),"Start No Earlier Than","As Soon As Possible"))</f>
        <v/>
      </c>
      <c r="P131" s="79" t="str">
        <f aca="false">IF(OR(Tasks!$D135="",Tasks!$AI135,N(Tasks!$M135)=0,Tasks!$E135="Manual"),"",Tasks!$M135)</f>
        <v/>
      </c>
      <c r="Q131" s="26" t="str">
        <f aca="false">IF(Tasks!$D135="","",Tasks!$AD135&amp;"")</f>
        <v/>
      </c>
    </row>
    <row r="132" customFormat="false" ht="15" hidden="false" customHeight="false" outlineLevel="0" collapsed="false">
      <c r="A132" s="26" t="str">
        <f aca="false">IF(Tasks!$D136="","",Tasks!$A136)</f>
        <v/>
      </c>
      <c r="B132" s="26" t="str">
        <f aca="false">IF(Tasks!$D136="","",Tasks!$D136)</f>
        <v/>
      </c>
      <c r="C132" s="26" t="str">
        <f aca="false">IF(Tasks!$D136="","",Tasks!$AE136)</f>
        <v/>
      </c>
      <c r="D132" s="26" t="str">
        <f aca="false">IF(Tasks!$D136="","",IF(Tasks!$E136="Manual","Manually Scheduled","Auto Scheduled"))</f>
        <v/>
      </c>
      <c r="E132" s="26" t="str">
        <f aca="false">IF(OR(Tasks!$D136="",Tasks!$AI136),"",N(Tasks!$F136)&amp;"d")</f>
        <v/>
      </c>
      <c r="F132" s="79" t="str">
        <f aca="false">IF(Tasks!$D136="","",Tasks!$R136)</f>
        <v/>
      </c>
      <c r="G132" s="79" t="str">
        <f aca="false">IF(Tasks!$D136="","",Tasks!$S136)</f>
        <v/>
      </c>
      <c r="H132" s="26" t="str">
        <f aca="false">IF(OR(Tasks!$D136="",Tasks!$AI136),"",Tasks!$AC136)</f>
        <v/>
      </c>
      <c r="I132" s="26" t="str">
        <f aca="false">IF(OR(Tasks!$D136="",Tasks!$X136=""),"",Tasks!$X136&amp;IF(OR(Tasks!$Y136="",Tasks!$Y136=1),"","["&amp;ROUND(Tasks!$Y136*100,0)&amp;"%]"))</f>
        <v/>
      </c>
      <c r="J132" s="26" t="str">
        <f aca="false">IF(OR(Tasks!$D136="",Tasks!$AI136),"",ROUND(Tasks!$V136*100,0))</f>
        <v/>
      </c>
      <c r="K132" s="79" t="str">
        <f aca="false">IF(OR(Tasks!$D136="",N(Tasks!$P136)=0),"",Tasks!$P136)</f>
        <v/>
      </c>
      <c r="L132" s="79" t="str">
        <f aca="false">IF(OR(Tasks!$D136="",N(Tasks!$Q136)=0),"",Tasks!$Q136)</f>
        <v/>
      </c>
      <c r="M132" s="79" t="str">
        <f aca="false">IF(Tasks!$D136="","",Tasks!$N136)</f>
        <v/>
      </c>
      <c r="N132" s="79" t="str">
        <f aca="false">IF(Tasks!$D136="","",Tasks!$O136)</f>
        <v/>
      </c>
      <c r="O132" s="26" t="str">
        <f aca="false">IF(OR(Tasks!$D136="",Tasks!$AI136),"",IF(AND(Tasks!$E136&lt;&gt;"Manual",N(Tasks!$M136)&gt;0),"Start No Earlier Than","As Soon As Possible"))</f>
        <v/>
      </c>
      <c r="P132" s="79" t="str">
        <f aca="false">IF(OR(Tasks!$D136="",Tasks!$AI136,N(Tasks!$M136)=0,Tasks!$E136="Manual"),"",Tasks!$M136)</f>
        <v/>
      </c>
      <c r="Q132" s="26" t="str">
        <f aca="false">IF(Tasks!$D136="","",Tasks!$AD136&amp;"")</f>
        <v/>
      </c>
    </row>
    <row r="133" customFormat="false" ht="15" hidden="false" customHeight="false" outlineLevel="0" collapsed="false">
      <c r="A133" s="26" t="str">
        <f aca="false">IF(Tasks!$D137="","",Tasks!$A137)</f>
        <v/>
      </c>
      <c r="B133" s="26" t="str">
        <f aca="false">IF(Tasks!$D137="","",Tasks!$D137)</f>
        <v/>
      </c>
      <c r="C133" s="26" t="str">
        <f aca="false">IF(Tasks!$D137="","",Tasks!$AE137)</f>
        <v/>
      </c>
      <c r="D133" s="26" t="str">
        <f aca="false">IF(Tasks!$D137="","",IF(Tasks!$E137="Manual","Manually Scheduled","Auto Scheduled"))</f>
        <v/>
      </c>
      <c r="E133" s="26" t="str">
        <f aca="false">IF(OR(Tasks!$D137="",Tasks!$AI137),"",N(Tasks!$F137)&amp;"d")</f>
        <v/>
      </c>
      <c r="F133" s="79" t="str">
        <f aca="false">IF(Tasks!$D137="","",Tasks!$R137)</f>
        <v/>
      </c>
      <c r="G133" s="79" t="str">
        <f aca="false">IF(Tasks!$D137="","",Tasks!$S137)</f>
        <v/>
      </c>
      <c r="H133" s="26" t="str">
        <f aca="false">IF(OR(Tasks!$D137="",Tasks!$AI137),"",Tasks!$AC137)</f>
        <v/>
      </c>
      <c r="I133" s="26" t="str">
        <f aca="false">IF(OR(Tasks!$D137="",Tasks!$X137=""),"",Tasks!$X137&amp;IF(OR(Tasks!$Y137="",Tasks!$Y137=1),"","["&amp;ROUND(Tasks!$Y137*100,0)&amp;"%]"))</f>
        <v/>
      </c>
      <c r="J133" s="26" t="str">
        <f aca="false">IF(OR(Tasks!$D137="",Tasks!$AI137),"",ROUND(Tasks!$V137*100,0))</f>
        <v/>
      </c>
      <c r="K133" s="79" t="str">
        <f aca="false">IF(OR(Tasks!$D137="",N(Tasks!$P137)=0),"",Tasks!$P137)</f>
        <v/>
      </c>
      <c r="L133" s="79" t="str">
        <f aca="false">IF(OR(Tasks!$D137="",N(Tasks!$Q137)=0),"",Tasks!$Q137)</f>
        <v/>
      </c>
      <c r="M133" s="79" t="str">
        <f aca="false">IF(Tasks!$D137="","",Tasks!$N137)</f>
        <v/>
      </c>
      <c r="N133" s="79" t="str">
        <f aca="false">IF(Tasks!$D137="","",Tasks!$O137)</f>
        <v/>
      </c>
      <c r="O133" s="26" t="str">
        <f aca="false">IF(OR(Tasks!$D137="",Tasks!$AI137),"",IF(AND(Tasks!$E137&lt;&gt;"Manual",N(Tasks!$M137)&gt;0),"Start No Earlier Than","As Soon As Possible"))</f>
        <v/>
      </c>
      <c r="P133" s="79" t="str">
        <f aca="false">IF(OR(Tasks!$D137="",Tasks!$AI137,N(Tasks!$M137)=0,Tasks!$E137="Manual"),"",Tasks!$M137)</f>
        <v/>
      </c>
      <c r="Q133" s="26" t="str">
        <f aca="false">IF(Tasks!$D137="","",Tasks!$AD137&amp;"")</f>
        <v/>
      </c>
    </row>
    <row r="134" customFormat="false" ht="15" hidden="false" customHeight="false" outlineLevel="0" collapsed="false">
      <c r="A134" s="26" t="str">
        <f aca="false">IF(Tasks!$D138="","",Tasks!$A138)</f>
        <v/>
      </c>
      <c r="B134" s="26" t="str">
        <f aca="false">IF(Tasks!$D138="","",Tasks!$D138)</f>
        <v/>
      </c>
      <c r="C134" s="26" t="str">
        <f aca="false">IF(Tasks!$D138="","",Tasks!$AE138)</f>
        <v/>
      </c>
      <c r="D134" s="26" t="str">
        <f aca="false">IF(Tasks!$D138="","",IF(Tasks!$E138="Manual","Manually Scheduled","Auto Scheduled"))</f>
        <v/>
      </c>
      <c r="E134" s="26" t="str">
        <f aca="false">IF(OR(Tasks!$D138="",Tasks!$AI138),"",N(Tasks!$F138)&amp;"d")</f>
        <v/>
      </c>
      <c r="F134" s="79" t="str">
        <f aca="false">IF(Tasks!$D138="","",Tasks!$R138)</f>
        <v/>
      </c>
      <c r="G134" s="79" t="str">
        <f aca="false">IF(Tasks!$D138="","",Tasks!$S138)</f>
        <v/>
      </c>
      <c r="H134" s="26" t="str">
        <f aca="false">IF(OR(Tasks!$D138="",Tasks!$AI138),"",Tasks!$AC138)</f>
        <v/>
      </c>
      <c r="I134" s="26" t="str">
        <f aca="false">IF(OR(Tasks!$D138="",Tasks!$X138=""),"",Tasks!$X138&amp;IF(OR(Tasks!$Y138="",Tasks!$Y138=1),"","["&amp;ROUND(Tasks!$Y138*100,0)&amp;"%]"))</f>
        <v/>
      </c>
      <c r="J134" s="26" t="str">
        <f aca="false">IF(OR(Tasks!$D138="",Tasks!$AI138),"",ROUND(Tasks!$V138*100,0))</f>
        <v/>
      </c>
      <c r="K134" s="79" t="str">
        <f aca="false">IF(OR(Tasks!$D138="",N(Tasks!$P138)=0),"",Tasks!$P138)</f>
        <v/>
      </c>
      <c r="L134" s="79" t="str">
        <f aca="false">IF(OR(Tasks!$D138="",N(Tasks!$Q138)=0),"",Tasks!$Q138)</f>
        <v/>
      </c>
      <c r="M134" s="79" t="str">
        <f aca="false">IF(Tasks!$D138="","",Tasks!$N138)</f>
        <v/>
      </c>
      <c r="N134" s="79" t="str">
        <f aca="false">IF(Tasks!$D138="","",Tasks!$O138)</f>
        <v/>
      </c>
      <c r="O134" s="26" t="str">
        <f aca="false">IF(OR(Tasks!$D138="",Tasks!$AI138),"",IF(AND(Tasks!$E138&lt;&gt;"Manual",N(Tasks!$M138)&gt;0),"Start No Earlier Than","As Soon As Possible"))</f>
        <v/>
      </c>
      <c r="P134" s="79" t="str">
        <f aca="false">IF(OR(Tasks!$D138="",Tasks!$AI138,N(Tasks!$M138)=0,Tasks!$E138="Manual"),"",Tasks!$M138)</f>
        <v/>
      </c>
      <c r="Q134" s="26" t="str">
        <f aca="false">IF(Tasks!$D138="","",Tasks!$AD138&amp;"")</f>
        <v/>
      </c>
    </row>
    <row r="135" customFormat="false" ht="15" hidden="false" customHeight="false" outlineLevel="0" collapsed="false">
      <c r="A135" s="26" t="str">
        <f aca="false">IF(Tasks!$D139="","",Tasks!$A139)</f>
        <v/>
      </c>
      <c r="B135" s="26" t="str">
        <f aca="false">IF(Tasks!$D139="","",Tasks!$D139)</f>
        <v/>
      </c>
      <c r="C135" s="26" t="str">
        <f aca="false">IF(Tasks!$D139="","",Tasks!$AE139)</f>
        <v/>
      </c>
      <c r="D135" s="26" t="str">
        <f aca="false">IF(Tasks!$D139="","",IF(Tasks!$E139="Manual","Manually Scheduled","Auto Scheduled"))</f>
        <v/>
      </c>
      <c r="E135" s="26" t="str">
        <f aca="false">IF(OR(Tasks!$D139="",Tasks!$AI139),"",N(Tasks!$F139)&amp;"d")</f>
        <v/>
      </c>
      <c r="F135" s="79" t="str">
        <f aca="false">IF(Tasks!$D139="","",Tasks!$R139)</f>
        <v/>
      </c>
      <c r="G135" s="79" t="str">
        <f aca="false">IF(Tasks!$D139="","",Tasks!$S139)</f>
        <v/>
      </c>
      <c r="H135" s="26" t="str">
        <f aca="false">IF(OR(Tasks!$D139="",Tasks!$AI139),"",Tasks!$AC139)</f>
        <v/>
      </c>
      <c r="I135" s="26" t="str">
        <f aca="false">IF(OR(Tasks!$D139="",Tasks!$X139=""),"",Tasks!$X139&amp;IF(OR(Tasks!$Y139="",Tasks!$Y139=1),"","["&amp;ROUND(Tasks!$Y139*100,0)&amp;"%]"))</f>
        <v/>
      </c>
      <c r="J135" s="26" t="str">
        <f aca="false">IF(OR(Tasks!$D139="",Tasks!$AI139),"",ROUND(Tasks!$V139*100,0))</f>
        <v/>
      </c>
      <c r="K135" s="79" t="str">
        <f aca="false">IF(OR(Tasks!$D139="",N(Tasks!$P139)=0),"",Tasks!$P139)</f>
        <v/>
      </c>
      <c r="L135" s="79" t="str">
        <f aca="false">IF(OR(Tasks!$D139="",N(Tasks!$Q139)=0),"",Tasks!$Q139)</f>
        <v/>
      </c>
      <c r="M135" s="79" t="str">
        <f aca="false">IF(Tasks!$D139="","",Tasks!$N139)</f>
        <v/>
      </c>
      <c r="N135" s="79" t="str">
        <f aca="false">IF(Tasks!$D139="","",Tasks!$O139)</f>
        <v/>
      </c>
      <c r="O135" s="26" t="str">
        <f aca="false">IF(OR(Tasks!$D139="",Tasks!$AI139),"",IF(AND(Tasks!$E139&lt;&gt;"Manual",N(Tasks!$M139)&gt;0),"Start No Earlier Than","As Soon As Possible"))</f>
        <v/>
      </c>
      <c r="P135" s="79" t="str">
        <f aca="false">IF(OR(Tasks!$D139="",Tasks!$AI139,N(Tasks!$M139)=0,Tasks!$E139="Manual"),"",Tasks!$M139)</f>
        <v/>
      </c>
      <c r="Q135" s="26" t="str">
        <f aca="false">IF(Tasks!$D139="","",Tasks!$AD139&amp;"")</f>
        <v/>
      </c>
    </row>
    <row r="136" customFormat="false" ht="15" hidden="false" customHeight="false" outlineLevel="0" collapsed="false">
      <c r="A136" s="26" t="str">
        <f aca="false">IF(Tasks!$D140="","",Tasks!$A140)</f>
        <v/>
      </c>
      <c r="B136" s="26" t="str">
        <f aca="false">IF(Tasks!$D140="","",Tasks!$D140)</f>
        <v/>
      </c>
      <c r="C136" s="26" t="str">
        <f aca="false">IF(Tasks!$D140="","",Tasks!$AE140)</f>
        <v/>
      </c>
      <c r="D136" s="26" t="str">
        <f aca="false">IF(Tasks!$D140="","",IF(Tasks!$E140="Manual","Manually Scheduled","Auto Scheduled"))</f>
        <v/>
      </c>
      <c r="E136" s="26" t="str">
        <f aca="false">IF(OR(Tasks!$D140="",Tasks!$AI140),"",N(Tasks!$F140)&amp;"d")</f>
        <v/>
      </c>
      <c r="F136" s="79" t="str">
        <f aca="false">IF(Tasks!$D140="","",Tasks!$R140)</f>
        <v/>
      </c>
      <c r="G136" s="79" t="str">
        <f aca="false">IF(Tasks!$D140="","",Tasks!$S140)</f>
        <v/>
      </c>
      <c r="H136" s="26" t="str">
        <f aca="false">IF(OR(Tasks!$D140="",Tasks!$AI140),"",Tasks!$AC140)</f>
        <v/>
      </c>
      <c r="I136" s="26" t="str">
        <f aca="false">IF(OR(Tasks!$D140="",Tasks!$X140=""),"",Tasks!$X140&amp;IF(OR(Tasks!$Y140="",Tasks!$Y140=1),"","["&amp;ROUND(Tasks!$Y140*100,0)&amp;"%]"))</f>
        <v/>
      </c>
      <c r="J136" s="26" t="str">
        <f aca="false">IF(OR(Tasks!$D140="",Tasks!$AI140),"",ROUND(Tasks!$V140*100,0))</f>
        <v/>
      </c>
      <c r="K136" s="79" t="str">
        <f aca="false">IF(OR(Tasks!$D140="",N(Tasks!$P140)=0),"",Tasks!$P140)</f>
        <v/>
      </c>
      <c r="L136" s="79" t="str">
        <f aca="false">IF(OR(Tasks!$D140="",N(Tasks!$Q140)=0),"",Tasks!$Q140)</f>
        <v/>
      </c>
      <c r="M136" s="79" t="str">
        <f aca="false">IF(Tasks!$D140="","",Tasks!$N140)</f>
        <v/>
      </c>
      <c r="N136" s="79" t="str">
        <f aca="false">IF(Tasks!$D140="","",Tasks!$O140)</f>
        <v/>
      </c>
      <c r="O136" s="26" t="str">
        <f aca="false">IF(OR(Tasks!$D140="",Tasks!$AI140),"",IF(AND(Tasks!$E140&lt;&gt;"Manual",N(Tasks!$M140)&gt;0),"Start No Earlier Than","As Soon As Possible"))</f>
        <v/>
      </c>
      <c r="P136" s="79" t="str">
        <f aca="false">IF(OR(Tasks!$D140="",Tasks!$AI140,N(Tasks!$M140)=0,Tasks!$E140="Manual"),"",Tasks!$M140)</f>
        <v/>
      </c>
      <c r="Q136" s="26" t="str">
        <f aca="false">IF(Tasks!$D140="","",Tasks!$AD140&amp;"")</f>
        <v/>
      </c>
    </row>
    <row r="137" customFormat="false" ht="15" hidden="false" customHeight="false" outlineLevel="0" collapsed="false">
      <c r="A137" s="26" t="str">
        <f aca="false">IF(Tasks!$D141="","",Tasks!$A141)</f>
        <v/>
      </c>
      <c r="B137" s="26" t="str">
        <f aca="false">IF(Tasks!$D141="","",Tasks!$D141)</f>
        <v/>
      </c>
      <c r="C137" s="26" t="str">
        <f aca="false">IF(Tasks!$D141="","",Tasks!$AE141)</f>
        <v/>
      </c>
      <c r="D137" s="26" t="str">
        <f aca="false">IF(Tasks!$D141="","",IF(Tasks!$E141="Manual","Manually Scheduled","Auto Scheduled"))</f>
        <v/>
      </c>
      <c r="E137" s="26" t="str">
        <f aca="false">IF(OR(Tasks!$D141="",Tasks!$AI141),"",N(Tasks!$F141)&amp;"d")</f>
        <v/>
      </c>
      <c r="F137" s="79" t="str">
        <f aca="false">IF(Tasks!$D141="","",Tasks!$R141)</f>
        <v/>
      </c>
      <c r="G137" s="79" t="str">
        <f aca="false">IF(Tasks!$D141="","",Tasks!$S141)</f>
        <v/>
      </c>
      <c r="H137" s="26" t="str">
        <f aca="false">IF(OR(Tasks!$D141="",Tasks!$AI141),"",Tasks!$AC141)</f>
        <v/>
      </c>
      <c r="I137" s="26" t="str">
        <f aca="false">IF(OR(Tasks!$D141="",Tasks!$X141=""),"",Tasks!$X141&amp;IF(OR(Tasks!$Y141="",Tasks!$Y141=1),"","["&amp;ROUND(Tasks!$Y141*100,0)&amp;"%]"))</f>
        <v/>
      </c>
      <c r="J137" s="26" t="str">
        <f aca="false">IF(OR(Tasks!$D141="",Tasks!$AI141),"",ROUND(Tasks!$V141*100,0))</f>
        <v/>
      </c>
      <c r="K137" s="79" t="str">
        <f aca="false">IF(OR(Tasks!$D141="",N(Tasks!$P141)=0),"",Tasks!$P141)</f>
        <v/>
      </c>
      <c r="L137" s="79" t="str">
        <f aca="false">IF(OR(Tasks!$D141="",N(Tasks!$Q141)=0),"",Tasks!$Q141)</f>
        <v/>
      </c>
      <c r="M137" s="79" t="str">
        <f aca="false">IF(Tasks!$D141="","",Tasks!$N141)</f>
        <v/>
      </c>
      <c r="N137" s="79" t="str">
        <f aca="false">IF(Tasks!$D141="","",Tasks!$O141)</f>
        <v/>
      </c>
      <c r="O137" s="26" t="str">
        <f aca="false">IF(OR(Tasks!$D141="",Tasks!$AI141),"",IF(AND(Tasks!$E141&lt;&gt;"Manual",N(Tasks!$M141)&gt;0),"Start No Earlier Than","As Soon As Possible"))</f>
        <v/>
      </c>
      <c r="P137" s="79" t="str">
        <f aca="false">IF(OR(Tasks!$D141="",Tasks!$AI141,N(Tasks!$M141)=0,Tasks!$E141="Manual"),"",Tasks!$M141)</f>
        <v/>
      </c>
      <c r="Q137" s="26" t="str">
        <f aca="false">IF(Tasks!$D141="","",Tasks!$AD141&amp;"")</f>
        <v/>
      </c>
    </row>
    <row r="138" customFormat="false" ht="15" hidden="false" customHeight="false" outlineLevel="0" collapsed="false">
      <c r="A138" s="26" t="str">
        <f aca="false">IF(Tasks!$D142="","",Tasks!$A142)</f>
        <v/>
      </c>
      <c r="B138" s="26" t="str">
        <f aca="false">IF(Tasks!$D142="","",Tasks!$D142)</f>
        <v/>
      </c>
      <c r="C138" s="26" t="str">
        <f aca="false">IF(Tasks!$D142="","",Tasks!$AE142)</f>
        <v/>
      </c>
      <c r="D138" s="26" t="str">
        <f aca="false">IF(Tasks!$D142="","",IF(Tasks!$E142="Manual","Manually Scheduled","Auto Scheduled"))</f>
        <v/>
      </c>
      <c r="E138" s="26" t="str">
        <f aca="false">IF(OR(Tasks!$D142="",Tasks!$AI142),"",N(Tasks!$F142)&amp;"d")</f>
        <v/>
      </c>
      <c r="F138" s="79" t="str">
        <f aca="false">IF(Tasks!$D142="","",Tasks!$R142)</f>
        <v/>
      </c>
      <c r="G138" s="79" t="str">
        <f aca="false">IF(Tasks!$D142="","",Tasks!$S142)</f>
        <v/>
      </c>
      <c r="H138" s="26" t="str">
        <f aca="false">IF(OR(Tasks!$D142="",Tasks!$AI142),"",Tasks!$AC142)</f>
        <v/>
      </c>
      <c r="I138" s="26" t="str">
        <f aca="false">IF(OR(Tasks!$D142="",Tasks!$X142=""),"",Tasks!$X142&amp;IF(OR(Tasks!$Y142="",Tasks!$Y142=1),"","["&amp;ROUND(Tasks!$Y142*100,0)&amp;"%]"))</f>
        <v/>
      </c>
      <c r="J138" s="26" t="str">
        <f aca="false">IF(OR(Tasks!$D142="",Tasks!$AI142),"",ROUND(Tasks!$V142*100,0))</f>
        <v/>
      </c>
      <c r="K138" s="79" t="str">
        <f aca="false">IF(OR(Tasks!$D142="",N(Tasks!$P142)=0),"",Tasks!$P142)</f>
        <v/>
      </c>
      <c r="L138" s="79" t="str">
        <f aca="false">IF(OR(Tasks!$D142="",N(Tasks!$Q142)=0),"",Tasks!$Q142)</f>
        <v/>
      </c>
      <c r="M138" s="79" t="str">
        <f aca="false">IF(Tasks!$D142="","",Tasks!$N142)</f>
        <v/>
      </c>
      <c r="N138" s="79" t="str">
        <f aca="false">IF(Tasks!$D142="","",Tasks!$O142)</f>
        <v/>
      </c>
      <c r="O138" s="26" t="str">
        <f aca="false">IF(OR(Tasks!$D142="",Tasks!$AI142),"",IF(AND(Tasks!$E142&lt;&gt;"Manual",N(Tasks!$M142)&gt;0),"Start No Earlier Than","As Soon As Possible"))</f>
        <v/>
      </c>
      <c r="P138" s="79" t="str">
        <f aca="false">IF(OR(Tasks!$D142="",Tasks!$AI142,N(Tasks!$M142)=0,Tasks!$E142="Manual"),"",Tasks!$M142)</f>
        <v/>
      </c>
      <c r="Q138" s="26" t="str">
        <f aca="false">IF(Tasks!$D142="","",Tasks!$AD142&amp;"")</f>
        <v/>
      </c>
    </row>
    <row r="139" customFormat="false" ht="15" hidden="false" customHeight="false" outlineLevel="0" collapsed="false">
      <c r="A139" s="26" t="str">
        <f aca="false">IF(Tasks!$D143="","",Tasks!$A143)</f>
        <v/>
      </c>
      <c r="B139" s="26" t="str">
        <f aca="false">IF(Tasks!$D143="","",Tasks!$D143)</f>
        <v/>
      </c>
      <c r="C139" s="26" t="str">
        <f aca="false">IF(Tasks!$D143="","",Tasks!$AE143)</f>
        <v/>
      </c>
      <c r="D139" s="26" t="str">
        <f aca="false">IF(Tasks!$D143="","",IF(Tasks!$E143="Manual","Manually Scheduled","Auto Scheduled"))</f>
        <v/>
      </c>
      <c r="E139" s="26" t="str">
        <f aca="false">IF(OR(Tasks!$D143="",Tasks!$AI143),"",N(Tasks!$F143)&amp;"d")</f>
        <v/>
      </c>
      <c r="F139" s="79" t="str">
        <f aca="false">IF(Tasks!$D143="","",Tasks!$R143)</f>
        <v/>
      </c>
      <c r="G139" s="79" t="str">
        <f aca="false">IF(Tasks!$D143="","",Tasks!$S143)</f>
        <v/>
      </c>
      <c r="H139" s="26" t="str">
        <f aca="false">IF(OR(Tasks!$D143="",Tasks!$AI143),"",Tasks!$AC143)</f>
        <v/>
      </c>
      <c r="I139" s="26" t="str">
        <f aca="false">IF(OR(Tasks!$D143="",Tasks!$X143=""),"",Tasks!$X143&amp;IF(OR(Tasks!$Y143="",Tasks!$Y143=1),"","["&amp;ROUND(Tasks!$Y143*100,0)&amp;"%]"))</f>
        <v/>
      </c>
      <c r="J139" s="26" t="str">
        <f aca="false">IF(OR(Tasks!$D143="",Tasks!$AI143),"",ROUND(Tasks!$V143*100,0))</f>
        <v/>
      </c>
      <c r="K139" s="79" t="str">
        <f aca="false">IF(OR(Tasks!$D143="",N(Tasks!$P143)=0),"",Tasks!$P143)</f>
        <v/>
      </c>
      <c r="L139" s="79" t="str">
        <f aca="false">IF(OR(Tasks!$D143="",N(Tasks!$Q143)=0),"",Tasks!$Q143)</f>
        <v/>
      </c>
      <c r="M139" s="79" t="str">
        <f aca="false">IF(Tasks!$D143="","",Tasks!$N143)</f>
        <v/>
      </c>
      <c r="N139" s="79" t="str">
        <f aca="false">IF(Tasks!$D143="","",Tasks!$O143)</f>
        <v/>
      </c>
      <c r="O139" s="26" t="str">
        <f aca="false">IF(OR(Tasks!$D143="",Tasks!$AI143),"",IF(AND(Tasks!$E143&lt;&gt;"Manual",N(Tasks!$M143)&gt;0),"Start No Earlier Than","As Soon As Possible"))</f>
        <v/>
      </c>
      <c r="P139" s="79" t="str">
        <f aca="false">IF(OR(Tasks!$D143="",Tasks!$AI143,N(Tasks!$M143)=0,Tasks!$E143="Manual"),"",Tasks!$M143)</f>
        <v/>
      </c>
      <c r="Q139" s="26" t="str">
        <f aca="false">IF(Tasks!$D143="","",Tasks!$AD143&amp;"")</f>
        <v/>
      </c>
    </row>
    <row r="140" customFormat="false" ht="15" hidden="false" customHeight="false" outlineLevel="0" collapsed="false">
      <c r="A140" s="26" t="str">
        <f aca="false">IF(Tasks!$D144="","",Tasks!$A144)</f>
        <v/>
      </c>
      <c r="B140" s="26" t="str">
        <f aca="false">IF(Tasks!$D144="","",Tasks!$D144)</f>
        <v/>
      </c>
      <c r="C140" s="26" t="str">
        <f aca="false">IF(Tasks!$D144="","",Tasks!$AE144)</f>
        <v/>
      </c>
      <c r="D140" s="26" t="str">
        <f aca="false">IF(Tasks!$D144="","",IF(Tasks!$E144="Manual","Manually Scheduled","Auto Scheduled"))</f>
        <v/>
      </c>
      <c r="E140" s="26" t="str">
        <f aca="false">IF(OR(Tasks!$D144="",Tasks!$AI144),"",N(Tasks!$F144)&amp;"d")</f>
        <v/>
      </c>
      <c r="F140" s="79" t="str">
        <f aca="false">IF(Tasks!$D144="","",Tasks!$R144)</f>
        <v/>
      </c>
      <c r="G140" s="79" t="str">
        <f aca="false">IF(Tasks!$D144="","",Tasks!$S144)</f>
        <v/>
      </c>
      <c r="H140" s="26" t="str">
        <f aca="false">IF(OR(Tasks!$D144="",Tasks!$AI144),"",Tasks!$AC144)</f>
        <v/>
      </c>
      <c r="I140" s="26" t="str">
        <f aca="false">IF(OR(Tasks!$D144="",Tasks!$X144=""),"",Tasks!$X144&amp;IF(OR(Tasks!$Y144="",Tasks!$Y144=1),"","["&amp;ROUND(Tasks!$Y144*100,0)&amp;"%]"))</f>
        <v/>
      </c>
      <c r="J140" s="26" t="str">
        <f aca="false">IF(OR(Tasks!$D144="",Tasks!$AI144),"",ROUND(Tasks!$V144*100,0))</f>
        <v/>
      </c>
      <c r="K140" s="79" t="str">
        <f aca="false">IF(OR(Tasks!$D144="",N(Tasks!$P144)=0),"",Tasks!$P144)</f>
        <v/>
      </c>
      <c r="L140" s="79" t="str">
        <f aca="false">IF(OR(Tasks!$D144="",N(Tasks!$Q144)=0),"",Tasks!$Q144)</f>
        <v/>
      </c>
      <c r="M140" s="79" t="str">
        <f aca="false">IF(Tasks!$D144="","",Tasks!$N144)</f>
        <v/>
      </c>
      <c r="N140" s="79" t="str">
        <f aca="false">IF(Tasks!$D144="","",Tasks!$O144)</f>
        <v/>
      </c>
      <c r="O140" s="26" t="str">
        <f aca="false">IF(OR(Tasks!$D144="",Tasks!$AI144),"",IF(AND(Tasks!$E144&lt;&gt;"Manual",N(Tasks!$M144)&gt;0),"Start No Earlier Than","As Soon As Possible"))</f>
        <v/>
      </c>
      <c r="P140" s="79" t="str">
        <f aca="false">IF(OR(Tasks!$D144="",Tasks!$AI144,N(Tasks!$M144)=0,Tasks!$E144="Manual"),"",Tasks!$M144)</f>
        <v/>
      </c>
      <c r="Q140" s="26" t="str">
        <f aca="false">IF(Tasks!$D144="","",Tasks!$AD144&amp;"")</f>
        <v/>
      </c>
    </row>
    <row r="141" customFormat="false" ht="15" hidden="false" customHeight="false" outlineLevel="0" collapsed="false">
      <c r="A141" s="26" t="str">
        <f aca="false">IF(Tasks!$D145="","",Tasks!$A145)</f>
        <v/>
      </c>
      <c r="B141" s="26" t="str">
        <f aca="false">IF(Tasks!$D145="","",Tasks!$D145)</f>
        <v/>
      </c>
      <c r="C141" s="26" t="str">
        <f aca="false">IF(Tasks!$D145="","",Tasks!$AE145)</f>
        <v/>
      </c>
      <c r="D141" s="26" t="str">
        <f aca="false">IF(Tasks!$D145="","",IF(Tasks!$E145="Manual","Manually Scheduled","Auto Scheduled"))</f>
        <v/>
      </c>
      <c r="E141" s="26" t="str">
        <f aca="false">IF(OR(Tasks!$D145="",Tasks!$AI145),"",N(Tasks!$F145)&amp;"d")</f>
        <v/>
      </c>
      <c r="F141" s="79" t="str">
        <f aca="false">IF(Tasks!$D145="","",Tasks!$R145)</f>
        <v/>
      </c>
      <c r="G141" s="79" t="str">
        <f aca="false">IF(Tasks!$D145="","",Tasks!$S145)</f>
        <v/>
      </c>
      <c r="H141" s="26" t="str">
        <f aca="false">IF(OR(Tasks!$D145="",Tasks!$AI145),"",Tasks!$AC145)</f>
        <v/>
      </c>
      <c r="I141" s="26" t="str">
        <f aca="false">IF(OR(Tasks!$D145="",Tasks!$X145=""),"",Tasks!$X145&amp;IF(OR(Tasks!$Y145="",Tasks!$Y145=1),"","["&amp;ROUND(Tasks!$Y145*100,0)&amp;"%]"))</f>
        <v/>
      </c>
      <c r="J141" s="26" t="str">
        <f aca="false">IF(OR(Tasks!$D145="",Tasks!$AI145),"",ROUND(Tasks!$V145*100,0))</f>
        <v/>
      </c>
      <c r="K141" s="79" t="str">
        <f aca="false">IF(OR(Tasks!$D145="",N(Tasks!$P145)=0),"",Tasks!$P145)</f>
        <v/>
      </c>
      <c r="L141" s="79" t="str">
        <f aca="false">IF(OR(Tasks!$D145="",N(Tasks!$Q145)=0),"",Tasks!$Q145)</f>
        <v/>
      </c>
      <c r="M141" s="79" t="str">
        <f aca="false">IF(Tasks!$D145="","",Tasks!$N145)</f>
        <v/>
      </c>
      <c r="N141" s="79" t="str">
        <f aca="false">IF(Tasks!$D145="","",Tasks!$O145)</f>
        <v/>
      </c>
      <c r="O141" s="26" t="str">
        <f aca="false">IF(OR(Tasks!$D145="",Tasks!$AI145),"",IF(AND(Tasks!$E145&lt;&gt;"Manual",N(Tasks!$M145)&gt;0),"Start No Earlier Than","As Soon As Possible"))</f>
        <v/>
      </c>
      <c r="P141" s="79" t="str">
        <f aca="false">IF(OR(Tasks!$D145="",Tasks!$AI145,N(Tasks!$M145)=0,Tasks!$E145="Manual"),"",Tasks!$M145)</f>
        <v/>
      </c>
      <c r="Q141" s="26" t="str">
        <f aca="false">IF(Tasks!$D145="","",Tasks!$AD145&amp;"")</f>
        <v/>
      </c>
    </row>
    <row r="142" customFormat="false" ht="15" hidden="false" customHeight="false" outlineLevel="0" collapsed="false">
      <c r="A142" s="26" t="str">
        <f aca="false">IF(Tasks!$D146="","",Tasks!$A146)</f>
        <v/>
      </c>
      <c r="B142" s="26" t="str">
        <f aca="false">IF(Tasks!$D146="","",Tasks!$D146)</f>
        <v/>
      </c>
      <c r="C142" s="26" t="str">
        <f aca="false">IF(Tasks!$D146="","",Tasks!$AE146)</f>
        <v/>
      </c>
      <c r="D142" s="26" t="str">
        <f aca="false">IF(Tasks!$D146="","",IF(Tasks!$E146="Manual","Manually Scheduled","Auto Scheduled"))</f>
        <v/>
      </c>
      <c r="E142" s="26" t="str">
        <f aca="false">IF(OR(Tasks!$D146="",Tasks!$AI146),"",N(Tasks!$F146)&amp;"d")</f>
        <v/>
      </c>
      <c r="F142" s="79" t="str">
        <f aca="false">IF(Tasks!$D146="","",Tasks!$R146)</f>
        <v/>
      </c>
      <c r="G142" s="79" t="str">
        <f aca="false">IF(Tasks!$D146="","",Tasks!$S146)</f>
        <v/>
      </c>
      <c r="H142" s="26" t="str">
        <f aca="false">IF(OR(Tasks!$D146="",Tasks!$AI146),"",Tasks!$AC146)</f>
        <v/>
      </c>
      <c r="I142" s="26" t="str">
        <f aca="false">IF(OR(Tasks!$D146="",Tasks!$X146=""),"",Tasks!$X146&amp;IF(OR(Tasks!$Y146="",Tasks!$Y146=1),"","["&amp;ROUND(Tasks!$Y146*100,0)&amp;"%]"))</f>
        <v/>
      </c>
      <c r="J142" s="26" t="str">
        <f aca="false">IF(OR(Tasks!$D146="",Tasks!$AI146),"",ROUND(Tasks!$V146*100,0))</f>
        <v/>
      </c>
      <c r="K142" s="79" t="str">
        <f aca="false">IF(OR(Tasks!$D146="",N(Tasks!$P146)=0),"",Tasks!$P146)</f>
        <v/>
      </c>
      <c r="L142" s="79" t="str">
        <f aca="false">IF(OR(Tasks!$D146="",N(Tasks!$Q146)=0),"",Tasks!$Q146)</f>
        <v/>
      </c>
      <c r="M142" s="79" t="str">
        <f aca="false">IF(Tasks!$D146="","",Tasks!$N146)</f>
        <v/>
      </c>
      <c r="N142" s="79" t="str">
        <f aca="false">IF(Tasks!$D146="","",Tasks!$O146)</f>
        <v/>
      </c>
      <c r="O142" s="26" t="str">
        <f aca="false">IF(OR(Tasks!$D146="",Tasks!$AI146),"",IF(AND(Tasks!$E146&lt;&gt;"Manual",N(Tasks!$M146)&gt;0),"Start No Earlier Than","As Soon As Possible"))</f>
        <v/>
      </c>
      <c r="P142" s="79" t="str">
        <f aca="false">IF(OR(Tasks!$D146="",Tasks!$AI146,N(Tasks!$M146)=0,Tasks!$E146="Manual"),"",Tasks!$M146)</f>
        <v/>
      </c>
      <c r="Q142" s="26" t="str">
        <f aca="false">IF(Tasks!$D146="","",Tasks!$AD146&amp;"")</f>
        <v/>
      </c>
    </row>
    <row r="143" customFormat="false" ht="15" hidden="false" customHeight="false" outlineLevel="0" collapsed="false">
      <c r="A143" s="26" t="str">
        <f aca="false">IF(Tasks!$D147="","",Tasks!$A147)</f>
        <v/>
      </c>
      <c r="B143" s="26" t="str">
        <f aca="false">IF(Tasks!$D147="","",Tasks!$D147)</f>
        <v/>
      </c>
      <c r="C143" s="26" t="str">
        <f aca="false">IF(Tasks!$D147="","",Tasks!$AE147)</f>
        <v/>
      </c>
      <c r="D143" s="26" t="str">
        <f aca="false">IF(Tasks!$D147="","",IF(Tasks!$E147="Manual","Manually Scheduled","Auto Scheduled"))</f>
        <v/>
      </c>
      <c r="E143" s="26" t="str">
        <f aca="false">IF(OR(Tasks!$D147="",Tasks!$AI147),"",N(Tasks!$F147)&amp;"d")</f>
        <v/>
      </c>
      <c r="F143" s="79" t="str">
        <f aca="false">IF(Tasks!$D147="","",Tasks!$R147)</f>
        <v/>
      </c>
      <c r="G143" s="79" t="str">
        <f aca="false">IF(Tasks!$D147="","",Tasks!$S147)</f>
        <v/>
      </c>
      <c r="H143" s="26" t="str">
        <f aca="false">IF(OR(Tasks!$D147="",Tasks!$AI147),"",Tasks!$AC147)</f>
        <v/>
      </c>
      <c r="I143" s="26" t="str">
        <f aca="false">IF(OR(Tasks!$D147="",Tasks!$X147=""),"",Tasks!$X147&amp;IF(OR(Tasks!$Y147="",Tasks!$Y147=1),"","["&amp;ROUND(Tasks!$Y147*100,0)&amp;"%]"))</f>
        <v/>
      </c>
      <c r="J143" s="26" t="str">
        <f aca="false">IF(OR(Tasks!$D147="",Tasks!$AI147),"",ROUND(Tasks!$V147*100,0))</f>
        <v/>
      </c>
      <c r="K143" s="79" t="str">
        <f aca="false">IF(OR(Tasks!$D147="",N(Tasks!$P147)=0),"",Tasks!$P147)</f>
        <v/>
      </c>
      <c r="L143" s="79" t="str">
        <f aca="false">IF(OR(Tasks!$D147="",N(Tasks!$Q147)=0),"",Tasks!$Q147)</f>
        <v/>
      </c>
      <c r="M143" s="79" t="str">
        <f aca="false">IF(Tasks!$D147="","",Tasks!$N147)</f>
        <v/>
      </c>
      <c r="N143" s="79" t="str">
        <f aca="false">IF(Tasks!$D147="","",Tasks!$O147)</f>
        <v/>
      </c>
      <c r="O143" s="26" t="str">
        <f aca="false">IF(OR(Tasks!$D147="",Tasks!$AI147),"",IF(AND(Tasks!$E147&lt;&gt;"Manual",N(Tasks!$M147)&gt;0),"Start No Earlier Than","As Soon As Possible"))</f>
        <v/>
      </c>
      <c r="P143" s="79" t="str">
        <f aca="false">IF(OR(Tasks!$D147="",Tasks!$AI147,N(Tasks!$M147)=0,Tasks!$E147="Manual"),"",Tasks!$M147)</f>
        <v/>
      </c>
      <c r="Q143" s="26" t="str">
        <f aca="false">IF(Tasks!$D147="","",Tasks!$AD147&amp;"")</f>
        <v/>
      </c>
    </row>
    <row r="144" customFormat="false" ht="15" hidden="false" customHeight="false" outlineLevel="0" collapsed="false">
      <c r="A144" s="26" t="str">
        <f aca="false">IF(Tasks!$D148="","",Tasks!$A148)</f>
        <v/>
      </c>
      <c r="B144" s="26" t="str">
        <f aca="false">IF(Tasks!$D148="","",Tasks!$D148)</f>
        <v/>
      </c>
      <c r="C144" s="26" t="str">
        <f aca="false">IF(Tasks!$D148="","",Tasks!$AE148)</f>
        <v/>
      </c>
      <c r="D144" s="26" t="str">
        <f aca="false">IF(Tasks!$D148="","",IF(Tasks!$E148="Manual","Manually Scheduled","Auto Scheduled"))</f>
        <v/>
      </c>
      <c r="E144" s="26" t="str">
        <f aca="false">IF(OR(Tasks!$D148="",Tasks!$AI148),"",N(Tasks!$F148)&amp;"d")</f>
        <v/>
      </c>
      <c r="F144" s="79" t="str">
        <f aca="false">IF(Tasks!$D148="","",Tasks!$R148)</f>
        <v/>
      </c>
      <c r="G144" s="79" t="str">
        <f aca="false">IF(Tasks!$D148="","",Tasks!$S148)</f>
        <v/>
      </c>
      <c r="H144" s="26" t="str">
        <f aca="false">IF(OR(Tasks!$D148="",Tasks!$AI148),"",Tasks!$AC148)</f>
        <v/>
      </c>
      <c r="I144" s="26" t="str">
        <f aca="false">IF(OR(Tasks!$D148="",Tasks!$X148=""),"",Tasks!$X148&amp;IF(OR(Tasks!$Y148="",Tasks!$Y148=1),"","["&amp;ROUND(Tasks!$Y148*100,0)&amp;"%]"))</f>
        <v/>
      </c>
      <c r="J144" s="26" t="str">
        <f aca="false">IF(OR(Tasks!$D148="",Tasks!$AI148),"",ROUND(Tasks!$V148*100,0))</f>
        <v/>
      </c>
      <c r="K144" s="79" t="str">
        <f aca="false">IF(OR(Tasks!$D148="",N(Tasks!$P148)=0),"",Tasks!$P148)</f>
        <v/>
      </c>
      <c r="L144" s="79" t="str">
        <f aca="false">IF(OR(Tasks!$D148="",N(Tasks!$Q148)=0),"",Tasks!$Q148)</f>
        <v/>
      </c>
      <c r="M144" s="79" t="str">
        <f aca="false">IF(Tasks!$D148="","",Tasks!$N148)</f>
        <v/>
      </c>
      <c r="N144" s="79" t="str">
        <f aca="false">IF(Tasks!$D148="","",Tasks!$O148)</f>
        <v/>
      </c>
      <c r="O144" s="26" t="str">
        <f aca="false">IF(OR(Tasks!$D148="",Tasks!$AI148),"",IF(AND(Tasks!$E148&lt;&gt;"Manual",N(Tasks!$M148)&gt;0),"Start No Earlier Than","As Soon As Possible"))</f>
        <v/>
      </c>
      <c r="P144" s="79" t="str">
        <f aca="false">IF(OR(Tasks!$D148="",Tasks!$AI148,N(Tasks!$M148)=0,Tasks!$E148="Manual"),"",Tasks!$M148)</f>
        <v/>
      </c>
      <c r="Q144" s="26" t="str">
        <f aca="false">IF(Tasks!$D148="","",Tasks!$AD148&amp;"")</f>
        <v/>
      </c>
    </row>
    <row r="145" customFormat="false" ht="15" hidden="false" customHeight="false" outlineLevel="0" collapsed="false">
      <c r="A145" s="26" t="str">
        <f aca="false">IF(Tasks!$D149="","",Tasks!$A149)</f>
        <v/>
      </c>
      <c r="B145" s="26" t="str">
        <f aca="false">IF(Tasks!$D149="","",Tasks!$D149)</f>
        <v/>
      </c>
      <c r="C145" s="26" t="str">
        <f aca="false">IF(Tasks!$D149="","",Tasks!$AE149)</f>
        <v/>
      </c>
      <c r="D145" s="26" t="str">
        <f aca="false">IF(Tasks!$D149="","",IF(Tasks!$E149="Manual","Manually Scheduled","Auto Scheduled"))</f>
        <v/>
      </c>
      <c r="E145" s="26" t="str">
        <f aca="false">IF(OR(Tasks!$D149="",Tasks!$AI149),"",N(Tasks!$F149)&amp;"d")</f>
        <v/>
      </c>
      <c r="F145" s="79" t="str">
        <f aca="false">IF(Tasks!$D149="","",Tasks!$R149)</f>
        <v/>
      </c>
      <c r="G145" s="79" t="str">
        <f aca="false">IF(Tasks!$D149="","",Tasks!$S149)</f>
        <v/>
      </c>
      <c r="H145" s="26" t="str">
        <f aca="false">IF(OR(Tasks!$D149="",Tasks!$AI149),"",Tasks!$AC149)</f>
        <v/>
      </c>
      <c r="I145" s="26" t="str">
        <f aca="false">IF(OR(Tasks!$D149="",Tasks!$X149=""),"",Tasks!$X149&amp;IF(OR(Tasks!$Y149="",Tasks!$Y149=1),"","["&amp;ROUND(Tasks!$Y149*100,0)&amp;"%]"))</f>
        <v/>
      </c>
      <c r="J145" s="26" t="str">
        <f aca="false">IF(OR(Tasks!$D149="",Tasks!$AI149),"",ROUND(Tasks!$V149*100,0))</f>
        <v/>
      </c>
      <c r="K145" s="79" t="str">
        <f aca="false">IF(OR(Tasks!$D149="",N(Tasks!$P149)=0),"",Tasks!$P149)</f>
        <v/>
      </c>
      <c r="L145" s="79" t="str">
        <f aca="false">IF(OR(Tasks!$D149="",N(Tasks!$Q149)=0),"",Tasks!$Q149)</f>
        <v/>
      </c>
      <c r="M145" s="79" t="str">
        <f aca="false">IF(Tasks!$D149="","",Tasks!$N149)</f>
        <v/>
      </c>
      <c r="N145" s="79" t="str">
        <f aca="false">IF(Tasks!$D149="","",Tasks!$O149)</f>
        <v/>
      </c>
      <c r="O145" s="26" t="str">
        <f aca="false">IF(OR(Tasks!$D149="",Tasks!$AI149),"",IF(AND(Tasks!$E149&lt;&gt;"Manual",N(Tasks!$M149)&gt;0),"Start No Earlier Than","As Soon As Possible"))</f>
        <v/>
      </c>
      <c r="P145" s="79" t="str">
        <f aca="false">IF(OR(Tasks!$D149="",Tasks!$AI149,N(Tasks!$M149)=0,Tasks!$E149="Manual"),"",Tasks!$M149)</f>
        <v/>
      </c>
      <c r="Q145" s="26" t="str">
        <f aca="false">IF(Tasks!$D149="","",Tasks!$AD149&amp;"")</f>
        <v/>
      </c>
    </row>
    <row r="146" customFormat="false" ht="15" hidden="false" customHeight="false" outlineLevel="0" collapsed="false">
      <c r="A146" s="26" t="str">
        <f aca="false">IF(Tasks!$D150="","",Tasks!$A150)</f>
        <v/>
      </c>
      <c r="B146" s="26" t="str">
        <f aca="false">IF(Tasks!$D150="","",Tasks!$D150)</f>
        <v/>
      </c>
      <c r="C146" s="26" t="str">
        <f aca="false">IF(Tasks!$D150="","",Tasks!$AE150)</f>
        <v/>
      </c>
      <c r="D146" s="26" t="str">
        <f aca="false">IF(Tasks!$D150="","",IF(Tasks!$E150="Manual","Manually Scheduled","Auto Scheduled"))</f>
        <v/>
      </c>
      <c r="E146" s="26" t="str">
        <f aca="false">IF(OR(Tasks!$D150="",Tasks!$AI150),"",N(Tasks!$F150)&amp;"d")</f>
        <v/>
      </c>
      <c r="F146" s="79" t="str">
        <f aca="false">IF(Tasks!$D150="","",Tasks!$R150)</f>
        <v/>
      </c>
      <c r="G146" s="79" t="str">
        <f aca="false">IF(Tasks!$D150="","",Tasks!$S150)</f>
        <v/>
      </c>
      <c r="H146" s="26" t="str">
        <f aca="false">IF(OR(Tasks!$D150="",Tasks!$AI150),"",Tasks!$AC150)</f>
        <v/>
      </c>
      <c r="I146" s="26" t="str">
        <f aca="false">IF(OR(Tasks!$D150="",Tasks!$X150=""),"",Tasks!$X150&amp;IF(OR(Tasks!$Y150="",Tasks!$Y150=1),"","["&amp;ROUND(Tasks!$Y150*100,0)&amp;"%]"))</f>
        <v/>
      </c>
      <c r="J146" s="26" t="str">
        <f aca="false">IF(OR(Tasks!$D150="",Tasks!$AI150),"",ROUND(Tasks!$V150*100,0))</f>
        <v/>
      </c>
      <c r="K146" s="79" t="str">
        <f aca="false">IF(OR(Tasks!$D150="",N(Tasks!$P150)=0),"",Tasks!$P150)</f>
        <v/>
      </c>
      <c r="L146" s="79" t="str">
        <f aca="false">IF(OR(Tasks!$D150="",N(Tasks!$Q150)=0),"",Tasks!$Q150)</f>
        <v/>
      </c>
      <c r="M146" s="79" t="str">
        <f aca="false">IF(Tasks!$D150="","",Tasks!$N150)</f>
        <v/>
      </c>
      <c r="N146" s="79" t="str">
        <f aca="false">IF(Tasks!$D150="","",Tasks!$O150)</f>
        <v/>
      </c>
      <c r="O146" s="26" t="str">
        <f aca="false">IF(OR(Tasks!$D150="",Tasks!$AI150),"",IF(AND(Tasks!$E150&lt;&gt;"Manual",N(Tasks!$M150)&gt;0),"Start No Earlier Than","As Soon As Possible"))</f>
        <v/>
      </c>
      <c r="P146" s="79" t="str">
        <f aca="false">IF(OR(Tasks!$D150="",Tasks!$AI150,N(Tasks!$M150)=0,Tasks!$E150="Manual"),"",Tasks!$M150)</f>
        <v/>
      </c>
      <c r="Q146" s="26" t="str">
        <f aca="false">IF(Tasks!$D150="","",Tasks!$AD150&amp;"")</f>
        <v/>
      </c>
    </row>
    <row r="147" customFormat="false" ht="15" hidden="false" customHeight="false" outlineLevel="0" collapsed="false">
      <c r="A147" s="26" t="str">
        <f aca="false">IF(Tasks!$D151="","",Tasks!$A151)</f>
        <v/>
      </c>
      <c r="B147" s="26" t="str">
        <f aca="false">IF(Tasks!$D151="","",Tasks!$D151)</f>
        <v/>
      </c>
      <c r="C147" s="26" t="str">
        <f aca="false">IF(Tasks!$D151="","",Tasks!$AE151)</f>
        <v/>
      </c>
      <c r="D147" s="26" t="str">
        <f aca="false">IF(Tasks!$D151="","",IF(Tasks!$E151="Manual","Manually Scheduled","Auto Scheduled"))</f>
        <v/>
      </c>
      <c r="E147" s="26" t="str">
        <f aca="false">IF(OR(Tasks!$D151="",Tasks!$AI151),"",N(Tasks!$F151)&amp;"d")</f>
        <v/>
      </c>
      <c r="F147" s="79" t="str">
        <f aca="false">IF(Tasks!$D151="","",Tasks!$R151)</f>
        <v/>
      </c>
      <c r="G147" s="79" t="str">
        <f aca="false">IF(Tasks!$D151="","",Tasks!$S151)</f>
        <v/>
      </c>
      <c r="H147" s="26" t="str">
        <f aca="false">IF(OR(Tasks!$D151="",Tasks!$AI151),"",Tasks!$AC151)</f>
        <v/>
      </c>
      <c r="I147" s="26" t="str">
        <f aca="false">IF(OR(Tasks!$D151="",Tasks!$X151=""),"",Tasks!$X151&amp;IF(OR(Tasks!$Y151="",Tasks!$Y151=1),"","["&amp;ROUND(Tasks!$Y151*100,0)&amp;"%]"))</f>
        <v/>
      </c>
      <c r="J147" s="26" t="str">
        <f aca="false">IF(OR(Tasks!$D151="",Tasks!$AI151),"",ROUND(Tasks!$V151*100,0))</f>
        <v/>
      </c>
      <c r="K147" s="79" t="str">
        <f aca="false">IF(OR(Tasks!$D151="",N(Tasks!$P151)=0),"",Tasks!$P151)</f>
        <v/>
      </c>
      <c r="L147" s="79" t="str">
        <f aca="false">IF(OR(Tasks!$D151="",N(Tasks!$Q151)=0),"",Tasks!$Q151)</f>
        <v/>
      </c>
      <c r="M147" s="79" t="str">
        <f aca="false">IF(Tasks!$D151="","",Tasks!$N151)</f>
        <v/>
      </c>
      <c r="N147" s="79" t="str">
        <f aca="false">IF(Tasks!$D151="","",Tasks!$O151)</f>
        <v/>
      </c>
      <c r="O147" s="26" t="str">
        <f aca="false">IF(OR(Tasks!$D151="",Tasks!$AI151),"",IF(AND(Tasks!$E151&lt;&gt;"Manual",N(Tasks!$M151)&gt;0),"Start No Earlier Than","As Soon As Possible"))</f>
        <v/>
      </c>
      <c r="P147" s="79" t="str">
        <f aca="false">IF(OR(Tasks!$D151="",Tasks!$AI151,N(Tasks!$M151)=0,Tasks!$E151="Manual"),"",Tasks!$M151)</f>
        <v/>
      </c>
      <c r="Q147" s="26" t="str">
        <f aca="false">IF(Tasks!$D151="","",Tasks!$AD151&amp;"")</f>
        <v/>
      </c>
    </row>
    <row r="148" customFormat="false" ht="15" hidden="false" customHeight="false" outlineLevel="0" collapsed="false">
      <c r="A148" s="26" t="str">
        <f aca="false">IF(Tasks!$D152="","",Tasks!$A152)</f>
        <v/>
      </c>
      <c r="B148" s="26" t="str">
        <f aca="false">IF(Tasks!$D152="","",Tasks!$D152)</f>
        <v/>
      </c>
      <c r="C148" s="26" t="str">
        <f aca="false">IF(Tasks!$D152="","",Tasks!$AE152)</f>
        <v/>
      </c>
      <c r="D148" s="26" t="str">
        <f aca="false">IF(Tasks!$D152="","",IF(Tasks!$E152="Manual","Manually Scheduled","Auto Scheduled"))</f>
        <v/>
      </c>
      <c r="E148" s="26" t="str">
        <f aca="false">IF(OR(Tasks!$D152="",Tasks!$AI152),"",N(Tasks!$F152)&amp;"d")</f>
        <v/>
      </c>
      <c r="F148" s="79" t="str">
        <f aca="false">IF(Tasks!$D152="","",Tasks!$R152)</f>
        <v/>
      </c>
      <c r="G148" s="79" t="str">
        <f aca="false">IF(Tasks!$D152="","",Tasks!$S152)</f>
        <v/>
      </c>
      <c r="H148" s="26" t="str">
        <f aca="false">IF(OR(Tasks!$D152="",Tasks!$AI152),"",Tasks!$AC152)</f>
        <v/>
      </c>
      <c r="I148" s="26" t="str">
        <f aca="false">IF(OR(Tasks!$D152="",Tasks!$X152=""),"",Tasks!$X152&amp;IF(OR(Tasks!$Y152="",Tasks!$Y152=1),"","["&amp;ROUND(Tasks!$Y152*100,0)&amp;"%]"))</f>
        <v/>
      </c>
      <c r="J148" s="26" t="str">
        <f aca="false">IF(OR(Tasks!$D152="",Tasks!$AI152),"",ROUND(Tasks!$V152*100,0))</f>
        <v/>
      </c>
      <c r="K148" s="79" t="str">
        <f aca="false">IF(OR(Tasks!$D152="",N(Tasks!$P152)=0),"",Tasks!$P152)</f>
        <v/>
      </c>
      <c r="L148" s="79" t="str">
        <f aca="false">IF(OR(Tasks!$D152="",N(Tasks!$Q152)=0),"",Tasks!$Q152)</f>
        <v/>
      </c>
      <c r="M148" s="79" t="str">
        <f aca="false">IF(Tasks!$D152="","",Tasks!$N152)</f>
        <v/>
      </c>
      <c r="N148" s="79" t="str">
        <f aca="false">IF(Tasks!$D152="","",Tasks!$O152)</f>
        <v/>
      </c>
      <c r="O148" s="26" t="str">
        <f aca="false">IF(OR(Tasks!$D152="",Tasks!$AI152),"",IF(AND(Tasks!$E152&lt;&gt;"Manual",N(Tasks!$M152)&gt;0),"Start No Earlier Than","As Soon As Possible"))</f>
        <v/>
      </c>
      <c r="P148" s="79" t="str">
        <f aca="false">IF(OR(Tasks!$D152="",Tasks!$AI152,N(Tasks!$M152)=0,Tasks!$E152="Manual"),"",Tasks!$M152)</f>
        <v/>
      </c>
      <c r="Q148" s="26" t="str">
        <f aca="false">IF(Tasks!$D152="","",Tasks!$AD152&amp;"")</f>
        <v/>
      </c>
    </row>
    <row r="149" customFormat="false" ht="15" hidden="false" customHeight="false" outlineLevel="0" collapsed="false">
      <c r="A149" s="26" t="str">
        <f aca="false">IF(Tasks!$D153="","",Tasks!$A153)</f>
        <v/>
      </c>
      <c r="B149" s="26" t="str">
        <f aca="false">IF(Tasks!$D153="","",Tasks!$D153)</f>
        <v/>
      </c>
      <c r="C149" s="26" t="str">
        <f aca="false">IF(Tasks!$D153="","",Tasks!$AE153)</f>
        <v/>
      </c>
      <c r="D149" s="26" t="str">
        <f aca="false">IF(Tasks!$D153="","",IF(Tasks!$E153="Manual","Manually Scheduled","Auto Scheduled"))</f>
        <v/>
      </c>
      <c r="E149" s="26" t="str">
        <f aca="false">IF(OR(Tasks!$D153="",Tasks!$AI153),"",N(Tasks!$F153)&amp;"d")</f>
        <v/>
      </c>
      <c r="F149" s="79" t="str">
        <f aca="false">IF(Tasks!$D153="","",Tasks!$R153)</f>
        <v/>
      </c>
      <c r="G149" s="79" t="str">
        <f aca="false">IF(Tasks!$D153="","",Tasks!$S153)</f>
        <v/>
      </c>
      <c r="H149" s="26" t="str">
        <f aca="false">IF(OR(Tasks!$D153="",Tasks!$AI153),"",Tasks!$AC153)</f>
        <v/>
      </c>
      <c r="I149" s="26" t="str">
        <f aca="false">IF(OR(Tasks!$D153="",Tasks!$X153=""),"",Tasks!$X153&amp;IF(OR(Tasks!$Y153="",Tasks!$Y153=1),"","["&amp;ROUND(Tasks!$Y153*100,0)&amp;"%]"))</f>
        <v/>
      </c>
      <c r="J149" s="26" t="str">
        <f aca="false">IF(OR(Tasks!$D153="",Tasks!$AI153),"",ROUND(Tasks!$V153*100,0))</f>
        <v/>
      </c>
      <c r="K149" s="79" t="str">
        <f aca="false">IF(OR(Tasks!$D153="",N(Tasks!$P153)=0),"",Tasks!$P153)</f>
        <v/>
      </c>
      <c r="L149" s="79" t="str">
        <f aca="false">IF(OR(Tasks!$D153="",N(Tasks!$Q153)=0),"",Tasks!$Q153)</f>
        <v/>
      </c>
      <c r="M149" s="79" t="str">
        <f aca="false">IF(Tasks!$D153="","",Tasks!$N153)</f>
        <v/>
      </c>
      <c r="N149" s="79" t="str">
        <f aca="false">IF(Tasks!$D153="","",Tasks!$O153)</f>
        <v/>
      </c>
      <c r="O149" s="26" t="str">
        <f aca="false">IF(OR(Tasks!$D153="",Tasks!$AI153),"",IF(AND(Tasks!$E153&lt;&gt;"Manual",N(Tasks!$M153)&gt;0),"Start No Earlier Than","As Soon As Possible"))</f>
        <v/>
      </c>
      <c r="P149" s="79" t="str">
        <f aca="false">IF(OR(Tasks!$D153="",Tasks!$AI153,N(Tasks!$M153)=0,Tasks!$E153="Manual"),"",Tasks!$M153)</f>
        <v/>
      </c>
      <c r="Q149" s="26" t="str">
        <f aca="false">IF(Tasks!$D153="","",Tasks!$AD153&amp;"")</f>
        <v/>
      </c>
    </row>
    <row r="150" customFormat="false" ht="15" hidden="false" customHeight="false" outlineLevel="0" collapsed="false">
      <c r="A150" s="26" t="str">
        <f aca="false">IF(Tasks!$D154="","",Tasks!$A154)</f>
        <v/>
      </c>
      <c r="B150" s="26" t="str">
        <f aca="false">IF(Tasks!$D154="","",Tasks!$D154)</f>
        <v/>
      </c>
      <c r="C150" s="26" t="str">
        <f aca="false">IF(Tasks!$D154="","",Tasks!$AE154)</f>
        <v/>
      </c>
      <c r="D150" s="26" t="str">
        <f aca="false">IF(Tasks!$D154="","",IF(Tasks!$E154="Manual","Manually Scheduled","Auto Scheduled"))</f>
        <v/>
      </c>
      <c r="E150" s="26" t="str">
        <f aca="false">IF(OR(Tasks!$D154="",Tasks!$AI154),"",N(Tasks!$F154)&amp;"d")</f>
        <v/>
      </c>
      <c r="F150" s="79" t="str">
        <f aca="false">IF(Tasks!$D154="","",Tasks!$R154)</f>
        <v/>
      </c>
      <c r="G150" s="79" t="str">
        <f aca="false">IF(Tasks!$D154="","",Tasks!$S154)</f>
        <v/>
      </c>
      <c r="H150" s="26" t="str">
        <f aca="false">IF(OR(Tasks!$D154="",Tasks!$AI154),"",Tasks!$AC154)</f>
        <v/>
      </c>
      <c r="I150" s="26" t="str">
        <f aca="false">IF(OR(Tasks!$D154="",Tasks!$X154=""),"",Tasks!$X154&amp;IF(OR(Tasks!$Y154="",Tasks!$Y154=1),"","["&amp;ROUND(Tasks!$Y154*100,0)&amp;"%]"))</f>
        <v/>
      </c>
      <c r="J150" s="26" t="str">
        <f aca="false">IF(OR(Tasks!$D154="",Tasks!$AI154),"",ROUND(Tasks!$V154*100,0))</f>
        <v/>
      </c>
      <c r="K150" s="79" t="str">
        <f aca="false">IF(OR(Tasks!$D154="",N(Tasks!$P154)=0),"",Tasks!$P154)</f>
        <v/>
      </c>
      <c r="L150" s="79" t="str">
        <f aca="false">IF(OR(Tasks!$D154="",N(Tasks!$Q154)=0),"",Tasks!$Q154)</f>
        <v/>
      </c>
      <c r="M150" s="79" t="str">
        <f aca="false">IF(Tasks!$D154="","",Tasks!$N154)</f>
        <v/>
      </c>
      <c r="N150" s="79" t="str">
        <f aca="false">IF(Tasks!$D154="","",Tasks!$O154)</f>
        <v/>
      </c>
      <c r="O150" s="26" t="str">
        <f aca="false">IF(OR(Tasks!$D154="",Tasks!$AI154),"",IF(AND(Tasks!$E154&lt;&gt;"Manual",N(Tasks!$M154)&gt;0),"Start No Earlier Than","As Soon As Possible"))</f>
        <v/>
      </c>
      <c r="P150" s="79" t="str">
        <f aca="false">IF(OR(Tasks!$D154="",Tasks!$AI154,N(Tasks!$M154)=0,Tasks!$E154="Manual"),"",Tasks!$M154)</f>
        <v/>
      </c>
      <c r="Q150" s="26" t="str">
        <f aca="false">IF(Tasks!$D154="","",Tasks!$AD154&amp;"")</f>
        <v/>
      </c>
    </row>
    <row r="151" customFormat="false" ht="15" hidden="false" customHeight="false" outlineLevel="0" collapsed="false">
      <c r="A151" s="26" t="str">
        <f aca="false">IF(Tasks!$D155="","",Tasks!$A155)</f>
        <v/>
      </c>
      <c r="B151" s="26" t="str">
        <f aca="false">IF(Tasks!$D155="","",Tasks!$D155)</f>
        <v/>
      </c>
      <c r="C151" s="26" t="str">
        <f aca="false">IF(Tasks!$D155="","",Tasks!$AE155)</f>
        <v/>
      </c>
      <c r="D151" s="26" t="str">
        <f aca="false">IF(Tasks!$D155="","",IF(Tasks!$E155="Manual","Manually Scheduled","Auto Scheduled"))</f>
        <v/>
      </c>
      <c r="E151" s="26" t="str">
        <f aca="false">IF(OR(Tasks!$D155="",Tasks!$AI155),"",N(Tasks!$F155)&amp;"d")</f>
        <v/>
      </c>
      <c r="F151" s="79" t="str">
        <f aca="false">IF(Tasks!$D155="","",Tasks!$R155)</f>
        <v/>
      </c>
      <c r="G151" s="79" t="str">
        <f aca="false">IF(Tasks!$D155="","",Tasks!$S155)</f>
        <v/>
      </c>
      <c r="H151" s="26" t="str">
        <f aca="false">IF(OR(Tasks!$D155="",Tasks!$AI155),"",Tasks!$AC155)</f>
        <v/>
      </c>
      <c r="I151" s="26" t="str">
        <f aca="false">IF(OR(Tasks!$D155="",Tasks!$X155=""),"",Tasks!$X155&amp;IF(OR(Tasks!$Y155="",Tasks!$Y155=1),"","["&amp;ROUND(Tasks!$Y155*100,0)&amp;"%]"))</f>
        <v/>
      </c>
      <c r="J151" s="26" t="str">
        <f aca="false">IF(OR(Tasks!$D155="",Tasks!$AI155),"",ROUND(Tasks!$V155*100,0))</f>
        <v/>
      </c>
      <c r="K151" s="79" t="str">
        <f aca="false">IF(OR(Tasks!$D155="",N(Tasks!$P155)=0),"",Tasks!$P155)</f>
        <v/>
      </c>
      <c r="L151" s="79" t="str">
        <f aca="false">IF(OR(Tasks!$D155="",N(Tasks!$Q155)=0),"",Tasks!$Q155)</f>
        <v/>
      </c>
      <c r="M151" s="79" t="str">
        <f aca="false">IF(Tasks!$D155="","",Tasks!$N155)</f>
        <v/>
      </c>
      <c r="N151" s="79" t="str">
        <f aca="false">IF(Tasks!$D155="","",Tasks!$O155)</f>
        <v/>
      </c>
      <c r="O151" s="26" t="str">
        <f aca="false">IF(OR(Tasks!$D155="",Tasks!$AI155),"",IF(AND(Tasks!$E155&lt;&gt;"Manual",N(Tasks!$M155)&gt;0),"Start No Earlier Than","As Soon As Possible"))</f>
        <v/>
      </c>
      <c r="P151" s="79" t="str">
        <f aca="false">IF(OR(Tasks!$D155="",Tasks!$AI155,N(Tasks!$M155)=0,Tasks!$E155="Manual"),"",Tasks!$M155)</f>
        <v/>
      </c>
      <c r="Q151" s="26" t="str">
        <f aca="false">IF(Tasks!$D155="","",Tasks!$AD155&amp;"")</f>
        <v/>
      </c>
    </row>
    <row r="152" customFormat="false" ht="15" hidden="false" customHeight="false" outlineLevel="0" collapsed="false">
      <c r="A152" s="26" t="str">
        <f aca="false">IF(Tasks!$D156="","",Tasks!$A156)</f>
        <v/>
      </c>
      <c r="B152" s="26" t="str">
        <f aca="false">IF(Tasks!$D156="","",Tasks!$D156)</f>
        <v/>
      </c>
      <c r="C152" s="26" t="str">
        <f aca="false">IF(Tasks!$D156="","",Tasks!$AE156)</f>
        <v/>
      </c>
      <c r="D152" s="26" t="str">
        <f aca="false">IF(Tasks!$D156="","",IF(Tasks!$E156="Manual","Manually Scheduled","Auto Scheduled"))</f>
        <v/>
      </c>
      <c r="E152" s="26" t="str">
        <f aca="false">IF(OR(Tasks!$D156="",Tasks!$AI156),"",N(Tasks!$F156)&amp;"d")</f>
        <v/>
      </c>
      <c r="F152" s="79" t="str">
        <f aca="false">IF(Tasks!$D156="","",Tasks!$R156)</f>
        <v/>
      </c>
      <c r="G152" s="79" t="str">
        <f aca="false">IF(Tasks!$D156="","",Tasks!$S156)</f>
        <v/>
      </c>
      <c r="H152" s="26" t="str">
        <f aca="false">IF(OR(Tasks!$D156="",Tasks!$AI156),"",Tasks!$AC156)</f>
        <v/>
      </c>
      <c r="I152" s="26" t="str">
        <f aca="false">IF(OR(Tasks!$D156="",Tasks!$X156=""),"",Tasks!$X156&amp;IF(OR(Tasks!$Y156="",Tasks!$Y156=1),"","["&amp;ROUND(Tasks!$Y156*100,0)&amp;"%]"))</f>
        <v/>
      </c>
      <c r="J152" s="26" t="str">
        <f aca="false">IF(OR(Tasks!$D156="",Tasks!$AI156),"",ROUND(Tasks!$V156*100,0))</f>
        <v/>
      </c>
      <c r="K152" s="79" t="str">
        <f aca="false">IF(OR(Tasks!$D156="",N(Tasks!$P156)=0),"",Tasks!$P156)</f>
        <v/>
      </c>
      <c r="L152" s="79" t="str">
        <f aca="false">IF(OR(Tasks!$D156="",N(Tasks!$Q156)=0),"",Tasks!$Q156)</f>
        <v/>
      </c>
      <c r="M152" s="79" t="str">
        <f aca="false">IF(Tasks!$D156="","",Tasks!$N156)</f>
        <v/>
      </c>
      <c r="N152" s="79" t="str">
        <f aca="false">IF(Tasks!$D156="","",Tasks!$O156)</f>
        <v/>
      </c>
      <c r="O152" s="26" t="str">
        <f aca="false">IF(OR(Tasks!$D156="",Tasks!$AI156),"",IF(AND(Tasks!$E156&lt;&gt;"Manual",N(Tasks!$M156)&gt;0),"Start No Earlier Than","As Soon As Possible"))</f>
        <v/>
      </c>
      <c r="P152" s="79" t="str">
        <f aca="false">IF(OR(Tasks!$D156="",Tasks!$AI156,N(Tasks!$M156)=0,Tasks!$E156="Manual"),"",Tasks!$M156)</f>
        <v/>
      </c>
      <c r="Q152" s="26" t="str">
        <f aca="false">IF(Tasks!$D156="","",Tasks!$AD156&amp;"")</f>
        <v/>
      </c>
    </row>
    <row r="153" customFormat="false" ht="15" hidden="false" customHeight="false" outlineLevel="0" collapsed="false">
      <c r="A153" s="26" t="str">
        <f aca="false">IF(Tasks!$D157="","",Tasks!$A157)</f>
        <v/>
      </c>
      <c r="B153" s="26" t="str">
        <f aca="false">IF(Tasks!$D157="","",Tasks!$D157)</f>
        <v/>
      </c>
      <c r="C153" s="26" t="str">
        <f aca="false">IF(Tasks!$D157="","",Tasks!$AE157)</f>
        <v/>
      </c>
      <c r="D153" s="26" t="str">
        <f aca="false">IF(Tasks!$D157="","",IF(Tasks!$E157="Manual","Manually Scheduled","Auto Scheduled"))</f>
        <v/>
      </c>
      <c r="E153" s="26" t="str">
        <f aca="false">IF(OR(Tasks!$D157="",Tasks!$AI157),"",N(Tasks!$F157)&amp;"d")</f>
        <v/>
      </c>
      <c r="F153" s="79" t="str">
        <f aca="false">IF(Tasks!$D157="","",Tasks!$R157)</f>
        <v/>
      </c>
      <c r="G153" s="79" t="str">
        <f aca="false">IF(Tasks!$D157="","",Tasks!$S157)</f>
        <v/>
      </c>
      <c r="H153" s="26" t="str">
        <f aca="false">IF(OR(Tasks!$D157="",Tasks!$AI157),"",Tasks!$AC157)</f>
        <v/>
      </c>
      <c r="I153" s="26" t="str">
        <f aca="false">IF(OR(Tasks!$D157="",Tasks!$X157=""),"",Tasks!$X157&amp;IF(OR(Tasks!$Y157="",Tasks!$Y157=1),"","["&amp;ROUND(Tasks!$Y157*100,0)&amp;"%]"))</f>
        <v/>
      </c>
      <c r="J153" s="26" t="str">
        <f aca="false">IF(OR(Tasks!$D157="",Tasks!$AI157),"",ROUND(Tasks!$V157*100,0))</f>
        <v/>
      </c>
      <c r="K153" s="79" t="str">
        <f aca="false">IF(OR(Tasks!$D157="",N(Tasks!$P157)=0),"",Tasks!$P157)</f>
        <v/>
      </c>
      <c r="L153" s="79" t="str">
        <f aca="false">IF(OR(Tasks!$D157="",N(Tasks!$Q157)=0),"",Tasks!$Q157)</f>
        <v/>
      </c>
      <c r="M153" s="79" t="str">
        <f aca="false">IF(Tasks!$D157="","",Tasks!$N157)</f>
        <v/>
      </c>
      <c r="N153" s="79" t="str">
        <f aca="false">IF(Tasks!$D157="","",Tasks!$O157)</f>
        <v/>
      </c>
      <c r="O153" s="26" t="str">
        <f aca="false">IF(OR(Tasks!$D157="",Tasks!$AI157),"",IF(AND(Tasks!$E157&lt;&gt;"Manual",N(Tasks!$M157)&gt;0),"Start No Earlier Than","As Soon As Possible"))</f>
        <v/>
      </c>
      <c r="P153" s="79" t="str">
        <f aca="false">IF(OR(Tasks!$D157="",Tasks!$AI157,N(Tasks!$M157)=0,Tasks!$E157="Manual"),"",Tasks!$M157)</f>
        <v/>
      </c>
      <c r="Q153" s="26" t="str">
        <f aca="false">IF(Tasks!$D157="","",Tasks!$AD157&amp;"")</f>
        <v/>
      </c>
    </row>
    <row r="154" customFormat="false" ht="15" hidden="false" customHeight="false" outlineLevel="0" collapsed="false">
      <c r="A154" s="26" t="str">
        <f aca="false">IF(Tasks!$D158="","",Tasks!$A158)</f>
        <v/>
      </c>
      <c r="B154" s="26" t="str">
        <f aca="false">IF(Tasks!$D158="","",Tasks!$D158)</f>
        <v/>
      </c>
      <c r="C154" s="26" t="str">
        <f aca="false">IF(Tasks!$D158="","",Tasks!$AE158)</f>
        <v/>
      </c>
      <c r="D154" s="26" t="str">
        <f aca="false">IF(Tasks!$D158="","",IF(Tasks!$E158="Manual","Manually Scheduled","Auto Scheduled"))</f>
        <v/>
      </c>
      <c r="E154" s="26" t="str">
        <f aca="false">IF(OR(Tasks!$D158="",Tasks!$AI158),"",N(Tasks!$F158)&amp;"d")</f>
        <v/>
      </c>
      <c r="F154" s="79" t="str">
        <f aca="false">IF(Tasks!$D158="","",Tasks!$R158)</f>
        <v/>
      </c>
      <c r="G154" s="79" t="str">
        <f aca="false">IF(Tasks!$D158="","",Tasks!$S158)</f>
        <v/>
      </c>
      <c r="H154" s="26" t="str">
        <f aca="false">IF(OR(Tasks!$D158="",Tasks!$AI158),"",Tasks!$AC158)</f>
        <v/>
      </c>
      <c r="I154" s="26" t="str">
        <f aca="false">IF(OR(Tasks!$D158="",Tasks!$X158=""),"",Tasks!$X158&amp;IF(OR(Tasks!$Y158="",Tasks!$Y158=1),"","["&amp;ROUND(Tasks!$Y158*100,0)&amp;"%]"))</f>
        <v/>
      </c>
      <c r="J154" s="26" t="str">
        <f aca="false">IF(OR(Tasks!$D158="",Tasks!$AI158),"",ROUND(Tasks!$V158*100,0))</f>
        <v/>
      </c>
      <c r="K154" s="79" t="str">
        <f aca="false">IF(OR(Tasks!$D158="",N(Tasks!$P158)=0),"",Tasks!$P158)</f>
        <v/>
      </c>
      <c r="L154" s="79" t="str">
        <f aca="false">IF(OR(Tasks!$D158="",N(Tasks!$Q158)=0),"",Tasks!$Q158)</f>
        <v/>
      </c>
      <c r="M154" s="79" t="str">
        <f aca="false">IF(Tasks!$D158="","",Tasks!$N158)</f>
        <v/>
      </c>
      <c r="N154" s="79" t="str">
        <f aca="false">IF(Tasks!$D158="","",Tasks!$O158)</f>
        <v/>
      </c>
      <c r="O154" s="26" t="str">
        <f aca="false">IF(OR(Tasks!$D158="",Tasks!$AI158),"",IF(AND(Tasks!$E158&lt;&gt;"Manual",N(Tasks!$M158)&gt;0),"Start No Earlier Than","As Soon As Possible"))</f>
        <v/>
      </c>
      <c r="P154" s="79" t="str">
        <f aca="false">IF(OR(Tasks!$D158="",Tasks!$AI158,N(Tasks!$M158)=0,Tasks!$E158="Manual"),"",Tasks!$M158)</f>
        <v/>
      </c>
      <c r="Q154" s="26" t="str">
        <f aca="false">IF(Tasks!$D158="","",Tasks!$AD158&amp;"")</f>
        <v/>
      </c>
    </row>
    <row r="155" customFormat="false" ht="15" hidden="false" customHeight="false" outlineLevel="0" collapsed="false">
      <c r="A155" s="26" t="str">
        <f aca="false">IF(Tasks!$D159="","",Tasks!$A159)</f>
        <v/>
      </c>
      <c r="B155" s="26" t="str">
        <f aca="false">IF(Tasks!$D159="","",Tasks!$D159)</f>
        <v/>
      </c>
      <c r="C155" s="26" t="str">
        <f aca="false">IF(Tasks!$D159="","",Tasks!$AE159)</f>
        <v/>
      </c>
      <c r="D155" s="26" t="str">
        <f aca="false">IF(Tasks!$D159="","",IF(Tasks!$E159="Manual","Manually Scheduled","Auto Scheduled"))</f>
        <v/>
      </c>
      <c r="E155" s="26" t="str">
        <f aca="false">IF(OR(Tasks!$D159="",Tasks!$AI159),"",N(Tasks!$F159)&amp;"d")</f>
        <v/>
      </c>
      <c r="F155" s="79" t="str">
        <f aca="false">IF(Tasks!$D159="","",Tasks!$R159)</f>
        <v/>
      </c>
      <c r="G155" s="79" t="str">
        <f aca="false">IF(Tasks!$D159="","",Tasks!$S159)</f>
        <v/>
      </c>
      <c r="H155" s="26" t="str">
        <f aca="false">IF(OR(Tasks!$D159="",Tasks!$AI159),"",Tasks!$AC159)</f>
        <v/>
      </c>
      <c r="I155" s="26" t="str">
        <f aca="false">IF(OR(Tasks!$D159="",Tasks!$X159=""),"",Tasks!$X159&amp;IF(OR(Tasks!$Y159="",Tasks!$Y159=1),"","["&amp;ROUND(Tasks!$Y159*100,0)&amp;"%]"))</f>
        <v/>
      </c>
      <c r="J155" s="26" t="str">
        <f aca="false">IF(OR(Tasks!$D159="",Tasks!$AI159),"",ROUND(Tasks!$V159*100,0))</f>
        <v/>
      </c>
      <c r="K155" s="79" t="str">
        <f aca="false">IF(OR(Tasks!$D159="",N(Tasks!$P159)=0),"",Tasks!$P159)</f>
        <v/>
      </c>
      <c r="L155" s="79" t="str">
        <f aca="false">IF(OR(Tasks!$D159="",N(Tasks!$Q159)=0),"",Tasks!$Q159)</f>
        <v/>
      </c>
      <c r="M155" s="79" t="str">
        <f aca="false">IF(Tasks!$D159="","",Tasks!$N159)</f>
        <v/>
      </c>
      <c r="N155" s="79" t="str">
        <f aca="false">IF(Tasks!$D159="","",Tasks!$O159)</f>
        <v/>
      </c>
      <c r="O155" s="26" t="str">
        <f aca="false">IF(OR(Tasks!$D159="",Tasks!$AI159),"",IF(AND(Tasks!$E159&lt;&gt;"Manual",N(Tasks!$M159)&gt;0),"Start No Earlier Than","As Soon As Possible"))</f>
        <v/>
      </c>
      <c r="P155" s="79" t="str">
        <f aca="false">IF(OR(Tasks!$D159="",Tasks!$AI159,N(Tasks!$M159)=0,Tasks!$E159="Manual"),"",Tasks!$M159)</f>
        <v/>
      </c>
      <c r="Q155" s="26" t="str">
        <f aca="false">IF(Tasks!$D159="","",Tasks!$AD159&amp;"")</f>
        <v/>
      </c>
    </row>
    <row r="156" customFormat="false" ht="15" hidden="false" customHeight="false" outlineLevel="0" collapsed="false">
      <c r="A156" s="26" t="str">
        <f aca="false">IF(Tasks!$D160="","",Tasks!$A160)</f>
        <v/>
      </c>
      <c r="B156" s="26" t="str">
        <f aca="false">IF(Tasks!$D160="","",Tasks!$D160)</f>
        <v/>
      </c>
      <c r="C156" s="26" t="str">
        <f aca="false">IF(Tasks!$D160="","",Tasks!$AE160)</f>
        <v/>
      </c>
      <c r="D156" s="26" t="str">
        <f aca="false">IF(Tasks!$D160="","",IF(Tasks!$E160="Manual","Manually Scheduled","Auto Scheduled"))</f>
        <v/>
      </c>
      <c r="E156" s="26" t="str">
        <f aca="false">IF(OR(Tasks!$D160="",Tasks!$AI160),"",N(Tasks!$F160)&amp;"d")</f>
        <v/>
      </c>
      <c r="F156" s="79" t="str">
        <f aca="false">IF(Tasks!$D160="","",Tasks!$R160)</f>
        <v/>
      </c>
      <c r="G156" s="79" t="str">
        <f aca="false">IF(Tasks!$D160="","",Tasks!$S160)</f>
        <v/>
      </c>
      <c r="H156" s="26" t="str">
        <f aca="false">IF(OR(Tasks!$D160="",Tasks!$AI160),"",Tasks!$AC160)</f>
        <v/>
      </c>
      <c r="I156" s="26" t="str">
        <f aca="false">IF(OR(Tasks!$D160="",Tasks!$X160=""),"",Tasks!$X160&amp;IF(OR(Tasks!$Y160="",Tasks!$Y160=1),"","["&amp;ROUND(Tasks!$Y160*100,0)&amp;"%]"))</f>
        <v/>
      </c>
      <c r="J156" s="26" t="str">
        <f aca="false">IF(OR(Tasks!$D160="",Tasks!$AI160),"",ROUND(Tasks!$V160*100,0))</f>
        <v/>
      </c>
      <c r="K156" s="79" t="str">
        <f aca="false">IF(OR(Tasks!$D160="",N(Tasks!$P160)=0),"",Tasks!$P160)</f>
        <v/>
      </c>
      <c r="L156" s="79" t="str">
        <f aca="false">IF(OR(Tasks!$D160="",N(Tasks!$Q160)=0),"",Tasks!$Q160)</f>
        <v/>
      </c>
      <c r="M156" s="79" t="str">
        <f aca="false">IF(Tasks!$D160="","",Tasks!$N160)</f>
        <v/>
      </c>
      <c r="N156" s="79" t="str">
        <f aca="false">IF(Tasks!$D160="","",Tasks!$O160)</f>
        <v/>
      </c>
      <c r="O156" s="26" t="str">
        <f aca="false">IF(OR(Tasks!$D160="",Tasks!$AI160),"",IF(AND(Tasks!$E160&lt;&gt;"Manual",N(Tasks!$M160)&gt;0),"Start No Earlier Than","As Soon As Possible"))</f>
        <v/>
      </c>
      <c r="P156" s="79" t="str">
        <f aca="false">IF(OR(Tasks!$D160="",Tasks!$AI160,N(Tasks!$M160)=0,Tasks!$E160="Manual"),"",Tasks!$M160)</f>
        <v/>
      </c>
      <c r="Q156" s="26" t="str">
        <f aca="false">IF(Tasks!$D160="","",Tasks!$AD160&amp;"")</f>
        <v/>
      </c>
    </row>
    <row r="157" customFormat="false" ht="15" hidden="false" customHeight="false" outlineLevel="0" collapsed="false">
      <c r="A157" s="26" t="str">
        <f aca="false">IF(Tasks!$D161="","",Tasks!$A161)</f>
        <v/>
      </c>
      <c r="B157" s="26" t="str">
        <f aca="false">IF(Tasks!$D161="","",Tasks!$D161)</f>
        <v/>
      </c>
      <c r="C157" s="26" t="str">
        <f aca="false">IF(Tasks!$D161="","",Tasks!$AE161)</f>
        <v/>
      </c>
      <c r="D157" s="26" t="str">
        <f aca="false">IF(Tasks!$D161="","",IF(Tasks!$E161="Manual","Manually Scheduled","Auto Scheduled"))</f>
        <v/>
      </c>
      <c r="E157" s="26" t="str">
        <f aca="false">IF(OR(Tasks!$D161="",Tasks!$AI161),"",N(Tasks!$F161)&amp;"d")</f>
        <v/>
      </c>
      <c r="F157" s="79" t="str">
        <f aca="false">IF(Tasks!$D161="","",Tasks!$R161)</f>
        <v/>
      </c>
      <c r="G157" s="79" t="str">
        <f aca="false">IF(Tasks!$D161="","",Tasks!$S161)</f>
        <v/>
      </c>
      <c r="H157" s="26" t="str">
        <f aca="false">IF(OR(Tasks!$D161="",Tasks!$AI161),"",Tasks!$AC161)</f>
        <v/>
      </c>
      <c r="I157" s="26" t="str">
        <f aca="false">IF(OR(Tasks!$D161="",Tasks!$X161=""),"",Tasks!$X161&amp;IF(OR(Tasks!$Y161="",Tasks!$Y161=1),"","["&amp;ROUND(Tasks!$Y161*100,0)&amp;"%]"))</f>
        <v/>
      </c>
      <c r="J157" s="26" t="str">
        <f aca="false">IF(OR(Tasks!$D161="",Tasks!$AI161),"",ROUND(Tasks!$V161*100,0))</f>
        <v/>
      </c>
      <c r="K157" s="79" t="str">
        <f aca="false">IF(OR(Tasks!$D161="",N(Tasks!$P161)=0),"",Tasks!$P161)</f>
        <v/>
      </c>
      <c r="L157" s="79" t="str">
        <f aca="false">IF(OR(Tasks!$D161="",N(Tasks!$Q161)=0),"",Tasks!$Q161)</f>
        <v/>
      </c>
      <c r="M157" s="79" t="str">
        <f aca="false">IF(Tasks!$D161="","",Tasks!$N161)</f>
        <v/>
      </c>
      <c r="N157" s="79" t="str">
        <f aca="false">IF(Tasks!$D161="","",Tasks!$O161)</f>
        <v/>
      </c>
      <c r="O157" s="26" t="str">
        <f aca="false">IF(OR(Tasks!$D161="",Tasks!$AI161),"",IF(AND(Tasks!$E161&lt;&gt;"Manual",N(Tasks!$M161)&gt;0),"Start No Earlier Than","As Soon As Possible"))</f>
        <v/>
      </c>
      <c r="P157" s="79" t="str">
        <f aca="false">IF(OR(Tasks!$D161="",Tasks!$AI161,N(Tasks!$M161)=0,Tasks!$E161="Manual"),"",Tasks!$M161)</f>
        <v/>
      </c>
      <c r="Q157" s="26" t="str">
        <f aca="false">IF(Tasks!$D161="","",Tasks!$AD161&amp;"")</f>
        <v/>
      </c>
    </row>
    <row r="158" customFormat="false" ht="15" hidden="false" customHeight="false" outlineLevel="0" collapsed="false">
      <c r="A158" s="26" t="str">
        <f aca="false">IF(Tasks!$D162="","",Tasks!$A162)</f>
        <v/>
      </c>
      <c r="B158" s="26" t="str">
        <f aca="false">IF(Tasks!$D162="","",Tasks!$D162)</f>
        <v/>
      </c>
      <c r="C158" s="26" t="str">
        <f aca="false">IF(Tasks!$D162="","",Tasks!$AE162)</f>
        <v/>
      </c>
      <c r="D158" s="26" t="str">
        <f aca="false">IF(Tasks!$D162="","",IF(Tasks!$E162="Manual","Manually Scheduled","Auto Scheduled"))</f>
        <v/>
      </c>
      <c r="E158" s="26" t="str">
        <f aca="false">IF(OR(Tasks!$D162="",Tasks!$AI162),"",N(Tasks!$F162)&amp;"d")</f>
        <v/>
      </c>
      <c r="F158" s="79" t="str">
        <f aca="false">IF(Tasks!$D162="","",Tasks!$R162)</f>
        <v/>
      </c>
      <c r="G158" s="79" t="str">
        <f aca="false">IF(Tasks!$D162="","",Tasks!$S162)</f>
        <v/>
      </c>
      <c r="H158" s="26" t="str">
        <f aca="false">IF(OR(Tasks!$D162="",Tasks!$AI162),"",Tasks!$AC162)</f>
        <v/>
      </c>
      <c r="I158" s="26" t="str">
        <f aca="false">IF(OR(Tasks!$D162="",Tasks!$X162=""),"",Tasks!$X162&amp;IF(OR(Tasks!$Y162="",Tasks!$Y162=1),"","["&amp;ROUND(Tasks!$Y162*100,0)&amp;"%]"))</f>
        <v/>
      </c>
      <c r="J158" s="26" t="str">
        <f aca="false">IF(OR(Tasks!$D162="",Tasks!$AI162),"",ROUND(Tasks!$V162*100,0))</f>
        <v/>
      </c>
      <c r="K158" s="79" t="str">
        <f aca="false">IF(OR(Tasks!$D162="",N(Tasks!$P162)=0),"",Tasks!$P162)</f>
        <v/>
      </c>
      <c r="L158" s="79" t="str">
        <f aca="false">IF(OR(Tasks!$D162="",N(Tasks!$Q162)=0),"",Tasks!$Q162)</f>
        <v/>
      </c>
      <c r="M158" s="79" t="str">
        <f aca="false">IF(Tasks!$D162="","",Tasks!$N162)</f>
        <v/>
      </c>
      <c r="N158" s="79" t="str">
        <f aca="false">IF(Tasks!$D162="","",Tasks!$O162)</f>
        <v/>
      </c>
      <c r="O158" s="26" t="str">
        <f aca="false">IF(OR(Tasks!$D162="",Tasks!$AI162),"",IF(AND(Tasks!$E162&lt;&gt;"Manual",N(Tasks!$M162)&gt;0),"Start No Earlier Than","As Soon As Possible"))</f>
        <v/>
      </c>
      <c r="P158" s="79" t="str">
        <f aca="false">IF(OR(Tasks!$D162="",Tasks!$AI162,N(Tasks!$M162)=0,Tasks!$E162="Manual"),"",Tasks!$M162)</f>
        <v/>
      </c>
      <c r="Q158" s="26" t="str">
        <f aca="false">IF(Tasks!$D162="","",Tasks!$AD162&amp;"")</f>
        <v/>
      </c>
    </row>
    <row r="159" customFormat="false" ht="15" hidden="false" customHeight="false" outlineLevel="0" collapsed="false">
      <c r="A159" s="26" t="str">
        <f aca="false">IF(Tasks!$D163="","",Tasks!$A163)</f>
        <v/>
      </c>
      <c r="B159" s="26" t="str">
        <f aca="false">IF(Tasks!$D163="","",Tasks!$D163)</f>
        <v/>
      </c>
      <c r="C159" s="26" t="str">
        <f aca="false">IF(Tasks!$D163="","",Tasks!$AE163)</f>
        <v/>
      </c>
      <c r="D159" s="26" t="str">
        <f aca="false">IF(Tasks!$D163="","",IF(Tasks!$E163="Manual","Manually Scheduled","Auto Scheduled"))</f>
        <v/>
      </c>
      <c r="E159" s="26" t="str">
        <f aca="false">IF(OR(Tasks!$D163="",Tasks!$AI163),"",N(Tasks!$F163)&amp;"d")</f>
        <v/>
      </c>
      <c r="F159" s="79" t="str">
        <f aca="false">IF(Tasks!$D163="","",Tasks!$R163)</f>
        <v/>
      </c>
      <c r="G159" s="79" t="str">
        <f aca="false">IF(Tasks!$D163="","",Tasks!$S163)</f>
        <v/>
      </c>
      <c r="H159" s="26" t="str">
        <f aca="false">IF(OR(Tasks!$D163="",Tasks!$AI163),"",Tasks!$AC163)</f>
        <v/>
      </c>
      <c r="I159" s="26" t="str">
        <f aca="false">IF(OR(Tasks!$D163="",Tasks!$X163=""),"",Tasks!$X163&amp;IF(OR(Tasks!$Y163="",Tasks!$Y163=1),"","["&amp;ROUND(Tasks!$Y163*100,0)&amp;"%]"))</f>
        <v/>
      </c>
      <c r="J159" s="26" t="str">
        <f aca="false">IF(OR(Tasks!$D163="",Tasks!$AI163),"",ROUND(Tasks!$V163*100,0))</f>
        <v/>
      </c>
      <c r="K159" s="79" t="str">
        <f aca="false">IF(OR(Tasks!$D163="",N(Tasks!$P163)=0),"",Tasks!$P163)</f>
        <v/>
      </c>
      <c r="L159" s="79" t="str">
        <f aca="false">IF(OR(Tasks!$D163="",N(Tasks!$Q163)=0),"",Tasks!$Q163)</f>
        <v/>
      </c>
      <c r="M159" s="79" t="str">
        <f aca="false">IF(Tasks!$D163="","",Tasks!$N163)</f>
        <v/>
      </c>
      <c r="N159" s="79" t="str">
        <f aca="false">IF(Tasks!$D163="","",Tasks!$O163)</f>
        <v/>
      </c>
      <c r="O159" s="26" t="str">
        <f aca="false">IF(OR(Tasks!$D163="",Tasks!$AI163),"",IF(AND(Tasks!$E163&lt;&gt;"Manual",N(Tasks!$M163)&gt;0),"Start No Earlier Than","As Soon As Possible"))</f>
        <v/>
      </c>
      <c r="P159" s="79" t="str">
        <f aca="false">IF(OR(Tasks!$D163="",Tasks!$AI163,N(Tasks!$M163)=0,Tasks!$E163="Manual"),"",Tasks!$M163)</f>
        <v/>
      </c>
      <c r="Q159" s="26" t="str">
        <f aca="false">IF(Tasks!$D163="","",Tasks!$AD163&amp;"")</f>
        <v/>
      </c>
    </row>
    <row r="160" customFormat="false" ht="15" hidden="false" customHeight="false" outlineLevel="0" collapsed="false">
      <c r="A160" s="26" t="str">
        <f aca="false">IF(Tasks!$D164="","",Tasks!$A164)</f>
        <v/>
      </c>
      <c r="B160" s="26" t="str">
        <f aca="false">IF(Tasks!$D164="","",Tasks!$D164)</f>
        <v/>
      </c>
      <c r="C160" s="26" t="str">
        <f aca="false">IF(Tasks!$D164="","",Tasks!$AE164)</f>
        <v/>
      </c>
      <c r="D160" s="26" t="str">
        <f aca="false">IF(Tasks!$D164="","",IF(Tasks!$E164="Manual","Manually Scheduled","Auto Scheduled"))</f>
        <v/>
      </c>
      <c r="E160" s="26" t="str">
        <f aca="false">IF(OR(Tasks!$D164="",Tasks!$AI164),"",N(Tasks!$F164)&amp;"d")</f>
        <v/>
      </c>
      <c r="F160" s="79" t="str">
        <f aca="false">IF(Tasks!$D164="","",Tasks!$R164)</f>
        <v/>
      </c>
      <c r="G160" s="79" t="str">
        <f aca="false">IF(Tasks!$D164="","",Tasks!$S164)</f>
        <v/>
      </c>
      <c r="H160" s="26" t="str">
        <f aca="false">IF(OR(Tasks!$D164="",Tasks!$AI164),"",Tasks!$AC164)</f>
        <v/>
      </c>
      <c r="I160" s="26" t="str">
        <f aca="false">IF(OR(Tasks!$D164="",Tasks!$X164=""),"",Tasks!$X164&amp;IF(OR(Tasks!$Y164="",Tasks!$Y164=1),"","["&amp;ROUND(Tasks!$Y164*100,0)&amp;"%]"))</f>
        <v/>
      </c>
      <c r="J160" s="26" t="str">
        <f aca="false">IF(OR(Tasks!$D164="",Tasks!$AI164),"",ROUND(Tasks!$V164*100,0))</f>
        <v/>
      </c>
      <c r="K160" s="79" t="str">
        <f aca="false">IF(OR(Tasks!$D164="",N(Tasks!$P164)=0),"",Tasks!$P164)</f>
        <v/>
      </c>
      <c r="L160" s="79" t="str">
        <f aca="false">IF(OR(Tasks!$D164="",N(Tasks!$Q164)=0),"",Tasks!$Q164)</f>
        <v/>
      </c>
      <c r="M160" s="79" t="str">
        <f aca="false">IF(Tasks!$D164="","",Tasks!$N164)</f>
        <v/>
      </c>
      <c r="N160" s="79" t="str">
        <f aca="false">IF(Tasks!$D164="","",Tasks!$O164)</f>
        <v/>
      </c>
      <c r="O160" s="26" t="str">
        <f aca="false">IF(OR(Tasks!$D164="",Tasks!$AI164),"",IF(AND(Tasks!$E164&lt;&gt;"Manual",N(Tasks!$M164)&gt;0),"Start No Earlier Than","As Soon As Possible"))</f>
        <v/>
      </c>
      <c r="P160" s="79" t="str">
        <f aca="false">IF(OR(Tasks!$D164="",Tasks!$AI164,N(Tasks!$M164)=0,Tasks!$E164="Manual"),"",Tasks!$M164)</f>
        <v/>
      </c>
      <c r="Q160" s="26" t="str">
        <f aca="false">IF(Tasks!$D164="","",Tasks!$AD164&amp;"")</f>
        <v/>
      </c>
    </row>
    <row r="161" customFormat="false" ht="15" hidden="false" customHeight="false" outlineLevel="0" collapsed="false">
      <c r="A161" s="26" t="str">
        <f aca="false">IF(Tasks!$D165="","",Tasks!$A165)</f>
        <v/>
      </c>
      <c r="B161" s="26" t="str">
        <f aca="false">IF(Tasks!$D165="","",Tasks!$D165)</f>
        <v/>
      </c>
      <c r="C161" s="26" t="str">
        <f aca="false">IF(Tasks!$D165="","",Tasks!$AE165)</f>
        <v/>
      </c>
      <c r="D161" s="26" t="str">
        <f aca="false">IF(Tasks!$D165="","",IF(Tasks!$E165="Manual","Manually Scheduled","Auto Scheduled"))</f>
        <v/>
      </c>
      <c r="E161" s="26" t="str">
        <f aca="false">IF(OR(Tasks!$D165="",Tasks!$AI165),"",N(Tasks!$F165)&amp;"d")</f>
        <v/>
      </c>
      <c r="F161" s="79" t="str">
        <f aca="false">IF(Tasks!$D165="","",Tasks!$R165)</f>
        <v/>
      </c>
      <c r="G161" s="79" t="str">
        <f aca="false">IF(Tasks!$D165="","",Tasks!$S165)</f>
        <v/>
      </c>
      <c r="H161" s="26" t="str">
        <f aca="false">IF(OR(Tasks!$D165="",Tasks!$AI165),"",Tasks!$AC165)</f>
        <v/>
      </c>
      <c r="I161" s="26" t="str">
        <f aca="false">IF(OR(Tasks!$D165="",Tasks!$X165=""),"",Tasks!$X165&amp;IF(OR(Tasks!$Y165="",Tasks!$Y165=1),"","["&amp;ROUND(Tasks!$Y165*100,0)&amp;"%]"))</f>
        <v/>
      </c>
      <c r="J161" s="26" t="str">
        <f aca="false">IF(OR(Tasks!$D165="",Tasks!$AI165),"",ROUND(Tasks!$V165*100,0))</f>
        <v/>
      </c>
      <c r="K161" s="79" t="str">
        <f aca="false">IF(OR(Tasks!$D165="",N(Tasks!$P165)=0),"",Tasks!$P165)</f>
        <v/>
      </c>
      <c r="L161" s="79" t="str">
        <f aca="false">IF(OR(Tasks!$D165="",N(Tasks!$Q165)=0),"",Tasks!$Q165)</f>
        <v/>
      </c>
      <c r="M161" s="79" t="str">
        <f aca="false">IF(Tasks!$D165="","",Tasks!$N165)</f>
        <v/>
      </c>
      <c r="N161" s="79" t="str">
        <f aca="false">IF(Tasks!$D165="","",Tasks!$O165)</f>
        <v/>
      </c>
      <c r="O161" s="26" t="str">
        <f aca="false">IF(OR(Tasks!$D165="",Tasks!$AI165),"",IF(AND(Tasks!$E165&lt;&gt;"Manual",N(Tasks!$M165)&gt;0),"Start No Earlier Than","As Soon As Possible"))</f>
        <v/>
      </c>
      <c r="P161" s="79" t="str">
        <f aca="false">IF(OR(Tasks!$D165="",Tasks!$AI165,N(Tasks!$M165)=0,Tasks!$E165="Manual"),"",Tasks!$M165)</f>
        <v/>
      </c>
      <c r="Q161" s="26" t="str">
        <f aca="false">IF(Tasks!$D165="","",Tasks!$AD165&amp;"")</f>
        <v/>
      </c>
    </row>
    <row r="162" customFormat="false" ht="15" hidden="false" customHeight="false" outlineLevel="0" collapsed="false">
      <c r="A162" s="26" t="str">
        <f aca="false">IF(Tasks!$D166="","",Tasks!$A166)</f>
        <v/>
      </c>
      <c r="B162" s="26" t="str">
        <f aca="false">IF(Tasks!$D166="","",Tasks!$D166)</f>
        <v/>
      </c>
      <c r="C162" s="26" t="str">
        <f aca="false">IF(Tasks!$D166="","",Tasks!$AE166)</f>
        <v/>
      </c>
      <c r="D162" s="26" t="str">
        <f aca="false">IF(Tasks!$D166="","",IF(Tasks!$E166="Manual","Manually Scheduled","Auto Scheduled"))</f>
        <v/>
      </c>
      <c r="E162" s="26" t="str">
        <f aca="false">IF(OR(Tasks!$D166="",Tasks!$AI166),"",N(Tasks!$F166)&amp;"d")</f>
        <v/>
      </c>
      <c r="F162" s="79" t="str">
        <f aca="false">IF(Tasks!$D166="","",Tasks!$R166)</f>
        <v/>
      </c>
      <c r="G162" s="79" t="str">
        <f aca="false">IF(Tasks!$D166="","",Tasks!$S166)</f>
        <v/>
      </c>
      <c r="H162" s="26" t="str">
        <f aca="false">IF(OR(Tasks!$D166="",Tasks!$AI166),"",Tasks!$AC166)</f>
        <v/>
      </c>
      <c r="I162" s="26" t="str">
        <f aca="false">IF(OR(Tasks!$D166="",Tasks!$X166=""),"",Tasks!$X166&amp;IF(OR(Tasks!$Y166="",Tasks!$Y166=1),"","["&amp;ROUND(Tasks!$Y166*100,0)&amp;"%]"))</f>
        <v/>
      </c>
      <c r="J162" s="26" t="str">
        <f aca="false">IF(OR(Tasks!$D166="",Tasks!$AI166),"",ROUND(Tasks!$V166*100,0))</f>
        <v/>
      </c>
      <c r="K162" s="79" t="str">
        <f aca="false">IF(OR(Tasks!$D166="",N(Tasks!$P166)=0),"",Tasks!$P166)</f>
        <v/>
      </c>
      <c r="L162" s="79" t="str">
        <f aca="false">IF(OR(Tasks!$D166="",N(Tasks!$Q166)=0),"",Tasks!$Q166)</f>
        <v/>
      </c>
      <c r="M162" s="79" t="str">
        <f aca="false">IF(Tasks!$D166="","",Tasks!$N166)</f>
        <v/>
      </c>
      <c r="N162" s="79" t="str">
        <f aca="false">IF(Tasks!$D166="","",Tasks!$O166)</f>
        <v/>
      </c>
      <c r="O162" s="26" t="str">
        <f aca="false">IF(OR(Tasks!$D166="",Tasks!$AI166),"",IF(AND(Tasks!$E166&lt;&gt;"Manual",N(Tasks!$M166)&gt;0),"Start No Earlier Than","As Soon As Possible"))</f>
        <v/>
      </c>
      <c r="P162" s="79" t="str">
        <f aca="false">IF(OR(Tasks!$D166="",Tasks!$AI166,N(Tasks!$M166)=0,Tasks!$E166="Manual"),"",Tasks!$M166)</f>
        <v/>
      </c>
      <c r="Q162" s="26" t="str">
        <f aca="false">IF(Tasks!$D166="","",Tasks!$AD166&amp;"")</f>
        <v/>
      </c>
    </row>
    <row r="163" customFormat="false" ht="15" hidden="false" customHeight="false" outlineLevel="0" collapsed="false">
      <c r="A163" s="26" t="str">
        <f aca="false">IF(Tasks!$D167="","",Tasks!$A167)</f>
        <v/>
      </c>
      <c r="B163" s="26" t="str">
        <f aca="false">IF(Tasks!$D167="","",Tasks!$D167)</f>
        <v/>
      </c>
      <c r="C163" s="26" t="str">
        <f aca="false">IF(Tasks!$D167="","",Tasks!$AE167)</f>
        <v/>
      </c>
      <c r="D163" s="26" t="str">
        <f aca="false">IF(Tasks!$D167="","",IF(Tasks!$E167="Manual","Manually Scheduled","Auto Scheduled"))</f>
        <v/>
      </c>
      <c r="E163" s="26" t="str">
        <f aca="false">IF(OR(Tasks!$D167="",Tasks!$AI167),"",N(Tasks!$F167)&amp;"d")</f>
        <v/>
      </c>
      <c r="F163" s="79" t="str">
        <f aca="false">IF(Tasks!$D167="","",Tasks!$R167)</f>
        <v/>
      </c>
      <c r="G163" s="79" t="str">
        <f aca="false">IF(Tasks!$D167="","",Tasks!$S167)</f>
        <v/>
      </c>
      <c r="H163" s="26" t="str">
        <f aca="false">IF(OR(Tasks!$D167="",Tasks!$AI167),"",Tasks!$AC167)</f>
        <v/>
      </c>
      <c r="I163" s="26" t="str">
        <f aca="false">IF(OR(Tasks!$D167="",Tasks!$X167=""),"",Tasks!$X167&amp;IF(OR(Tasks!$Y167="",Tasks!$Y167=1),"","["&amp;ROUND(Tasks!$Y167*100,0)&amp;"%]"))</f>
        <v/>
      </c>
      <c r="J163" s="26" t="str">
        <f aca="false">IF(OR(Tasks!$D167="",Tasks!$AI167),"",ROUND(Tasks!$V167*100,0))</f>
        <v/>
      </c>
      <c r="K163" s="79" t="str">
        <f aca="false">IF(OR(Tasks!$D167="",N(Tasks!$P167)=0),"",Tasks!$P167)</f>
        <v/>
      </c>
      <c r="L163" s="79" t="str">
        <f aca="false">IF(OR(Tasks!$D167="",N(Tasks!$Q167)=0),"",Tasks!$Q167)</f>
        <v/>
      </c>
      <c r="M163" s="79" t="str">
        <f aca="false">IF(Tasks!$D167="","",Tasks!$N167)</f>
        <v/>
      </c>
      <c r="N163" s="79" t="str">
        <f aca="false">IF(Tasks!$D167="","",Tasks!$O167)</f>
        <v/>
      </c>
      <c r="O163" s="26" t="str">
        <f aca="false">IF(OR(Tasks!$D167="",Tasks!$AI167),"",IF(AND(Tasks!$E167&lt;&gt;"Manual",N(Tasks!$M167)&gt;0),"Start No Earlier Than","As Soon As Possible"))</f>
        <v/>
      </c>
      <c r="P163" s="79" t="str">
        <f aca="false">IF(OR(Tasks!$D167="",Tasks!$AI167,N(Tasks!$M167)=0,Tasks!$E167="Manual"),"",Tasks!$M167)</f>
        <v/>
      </c>
      <c r="Q163" s="26" t="str">
        <f aca="false">IF(Tasks!$D167="","",Tasks!$AD167&amp;"")</f>
        <v/>
      </c>
    </row>
    <row r="164" customFormat="false" ht="15" hidden="false" customHeight="false" outlineLevel="0" collapsed="false">
      <c r="A164" s="26" t="str">
        <f aca="false">IF(Tasks!$D168="","",Tasks!$A168)</f>
        <v/>
      </c>
      <c r="B164" s="26" t="str">
        <f aca="false">IF(Tasks!$D168="","",Tasks!$D168)</f>
        <v/>
      </c>
      <c r="C164" s="26" t="str">
        <f aca="false">IF(Tasks!$D168="","",Tasks!$AE168)</f>
        <v/>
      </c>
      <c r="D164" s="26" t="str">
        <f aca="false">IF(Tasks!$D168="","",IF(Tasks!$E168="Manual","Manually Scheduled","Auto Scheduled"))</f>
        <v/>
      </c>
      <c r="E164" s="26" t="str">
        <f aca="false">IF(OR(Tasks!$D168="",Tasks!$AI168),"",N(Tasks!$F168)&amp;"d")</f>
        <v/>
      </c>
      <c r="F164" s="79" t="str">
        <f aca="false">IF(Tasks!$D168="","",Tasks!$R168)</f>
        <v/>
      </c>
      <c r="G164" s="79" t="str">
        <f aca="false">IF(Tasks!$D168="","",Tasks!$S168)</f>
        <v/>
      </c>
      <c r="H164" s="26" t="str">
        <f aca="false">IF(OR(Tasks!$D168="",Tasks!$AI168),"",Tasks!$AC168)</f>
        <v/>
      </c>
      <c r="I164" s="26" t="str">
        <f aca="false">IF(OR(Tasks!$D168="",Tasks!$X168=""),"",Tasks!$X168&amp;IF(OR(Tasks!$Y168="",Tasks!$Y168=1),"","["&amp;ROUND(Tasks!$Y168*100,0)&amp;"%]"))</f>
        <v/>
      </c>
      <c r="J164" s="26" t="str">
        <f aca="false">IF(OR(Tasks!$D168="",Tasks!$AI168),"",ROUND(Tasks!$V168*100,0))</f>
        <v/>
      </c>
      <c r="K164" s="79" t="str">
        <f aca="false">IF(OR(Tasks!$D168="",N(Tasks!$P168)=0),"",Tasks!$P168)</f>
        <v/>
      </c>
      <c r="L164" s="79" t="str">
        <f aca="false">IF(OR(Tasks!$D168="",N(Tasks!$Q168)=0),"",Tasks!$Q168)</f>
        <v/>
      </c>
      <c r="M164" s="79" t="str">
        <f aca="false">IF(Tasks!$D168="","",Tasks!$N168)</f>
        <v/>
      </c>
      <c r="N164" s="79" t="str">
        <f aca="false">IF(Tasks!$D168="","",Tasks!$O168)</f>
        <v/>
      </c>
      <c r="O164" s="26" t="str">
        <f aca="false">IF(OR(Tasks!$D168="",Tasks!$AI168),"",IF(AND(Tasks!$E168&lt;&gt;"Manual",N(Tasks!$M168)&gt;0),"Start No Earlier Than","As Soon As Possible"))</f>
        <v/>
      </c>
      <c r="P164" s="79" t="str">
        <f aca="false">IF(OR(Tasks!$D168="",Tasks!$AI168,N(Tasks!$M168)=0,Tasks!$E168="Manual"),"",Tasks!$M168)</f>
        <v/>
      </c>
      <c r="Q164" s="26" t="str">
        <f aca="false">IF(Tasks!$D168="","",Tasks!$AD168&amp;"")</f>
        <v/>
      </c>
    </row>
    <row r="165" customFormat="false" ht="15" hidden="false" customHeight="false" outlineLevel="0" collapsed="false">
      <c r="A165" s="26" t="str">
        <f aca="false">IF(Tasks!$D169="","",Tasks!$A169)</f>
        <v/>
      </c>
      <c r="B165" s="26" t="str">
        <f aca="false">IF(Tasks!$D169="","",Tasks!$D169)</f>
        <v/>
      </c>
      <c r="C165" s="26" t="str">
        <f aca="false">IF(Tasks!$D169="","",Tasks!$AE169)</f>
        <v/>
      </c>
      <c r="D165" s="26" t="str">
        <f aca="false">IF(Tasks!$D169="","",IF(Tasks!$E169="Manual","Manually Scheduled","Auto Scheduled"))</f>
        <v/>
      </c>
      <c r="E165" s="26" t="str">
        <f aca="false">IF(OR(Tasks!$D169="",Tasks!$AI169),"",N(Tasks!$F169)&amp;"d")</f>
        <v/>
      </c>
      <c r="F165" s="79" t="str">
        <f aca="false">IF(Tasks!$D169="","",Tasks!$R169)</f>
        <v/>
      </c>
      <c r="G165" s="79" t="str">
        <f aca="false">IF(Tasks!$D169="","",Tasks!$S169)</f>
        <v/>
      </c>
      <c r="H165" s="26" t="str">
        <f aca="false">IF(OR(Tasks!$D169="",Tasks!$AI169),"",Tasks!$AC169)</f>
        <v/>
      </c>
      <c r="I165" s="26" t="str">
        <f aca="false">IF(OR(Tasks!$D169="",Tasks!$X169=""),"",Tasks!$X169&amp;IF(OR(Tasks!$Y169="",Tasks!$Y169=1),"","["&amp;ROUND(Tasks!$Y169*100,0)&amp;"%]"))</f>
        <v/>
      </c>
      <c r="J165" s="26" t="str">
        <f aca="false">IF(OR(Tasks!$D169="",Tasks!$AI169),"",ROUND(Tasks!$V169*100,0))</f>
        <v/>
      </c>
      <c r="K165" s="79" t="str">
        <f aca="false">IF(OR(Tasks!$D169="",N(Tasks!$P169)=0),"",Tasks!$P169)</f>
        <v/>
      </c>
      <c r="L165" s="79" t="str">
        <f aca="false">IF(OR(Tasks!$D169="",N(Tasks!$Q169)=0),"",Tasks!$Q169)</f>
        <v/>
      </c>
      <c r="M165" s="79" t="str">
        <f aca="false">IF(Tasks!$D169="","",Tasks!$N169)</f>
        <v/>
      </c>
      <c r="N165" s="79" t="str">
        <f aca="false">IF(Tasks!$D169="","",Tasks!$O169)</f>
        <v/>
      </c>
      <c r="O165" s="26" t="str">
        <f aca="false">IF(OR(Tasks!$D169="",Tasks!$AI169),"",IF(AND(Tasks!$E169&lt;&gt;"Manual",N(Tasks!$M169)&gt;0),"Start No Earlier Than","As Soon As Possible"))</f>
        <v/>
      </c>
      <c r="P165" s="79" t="str">
        <f aca="false">IF(OR(Tasks!$D169="",Tasks!$AI169,N(Tasks!$M169)=0,Tasks!$E169="Manual"),"",Tasks!$M169)</f>
        <v/>
      </c>
      <c r="Q165" s="26" t="str">
        <f aca="false">IF(Tasks!$D169="","",Tasks!$AD169&amp;"")</f>
        <v/>
      </c>
    </row>
    <row r="166" customFormat="false" ht="15" hidden="false" customHeight="false" outlineLevel="0" collapsed="false">
      <c r="A166" s="26" t="str">
        <f aca="false">IF(Tasks!$D170="","",Tasks!$A170)</f>
        <v/>
      </c>
      <c r="B166" s="26" t="str">
        <f aca="false">IF(Tasks!$D170="","",Tasks!$D170)</f>
        <v/>
      </c>
      <c r="C166" s="26" t="str">
        <f aca="false">IF(Tasks!$D170="","",Tasks!$AE170)</f>
        <v/>
      </c>
      <c r="D166" s="26" t="str">
        <f aca="false">IF(Tasks!$D170="","",IF(Tasks!$E170="Manual","Manually Scheduled","Auto Scheduled"))</f>
        <v/>
      </c>
      <c r="E166" s="26" t="str">
        <f aca="false">IF(OR(Tasks!$D170="",Tasks!$AI170),"",N(Tasks!$F170)&amp;"d")</f>
        <v/>
      </c>
      <c r="F166" s="79" t="str">
        <f aca="false">IF(Tasks!$D170="","",Tasks!$R170)</f>
        <v/>
      </c>
      <c r="G166" s="79" t="str">
        <f aca="false">IF(Tasks!$D170="","",Tasks!$S170)</f>
        <v/>
      </c>
      <c r="H166" s="26" t="str">
        <f aca="false">IF(OR(Tasks!$D170="",Tasks!$AI170),"",Tasks!$AC170)</f>
        <v/>
      </c>
      <c r="I166" s="26" t="str">
        <f aca="false">IF(OR(Tasks!$D170="",Tasks!$X170=""),"",Tasks!$X170&amp;IF(OR(Tasks!$Y170="",Tasks!$Y170=1),"","["&amp;ROUND(Tasks!$Y170*100,0)&amp;"%]"))</f>
        <v/>
      </c>
      <c r="J166" s="26" t="str">
        <f aca="false">IF(OR(Tasks!$D170="",Tasks!$AI170),"",ROUND(Tasks!$V170*100,0))</f>
        <v/>
      </c>
      <c r="K166" s="79" t="str">
        <f aca="false">IF(OR(Tasks!$D170="",N(Tasks!$P170)=0),"",Tasks!$P170)</f>
        <v/>
      </c>
      <c r="L166" s="79" t="str">
        <f aca="false">IF(OR(Tasks!$D170="",N(Tasks!$Q170)=0),"",Tasks!$Q170)</f>
        <v/>
      </c>
      <c r="M166" s="79" t="str">
        <f aca="false">IF(Tasks!$D170="","",Tasks!$N170)</f>
        <v/>
      </c>
      <c r="N166" s="79" t="str">
        <f aca="false">IF(Tasks!$D170="","",Tasks!$O170)</f>
        <v/>
      </c>
      <c r="O166" s="26" t="str">
        <f aca="false">IF(OR(Tasks!$D170="",Tasks!$AI170),"",IF(AND(Tasks!$E170&lt;&gt;"Manual",N(Tasks!$M170)&gt;0),"Start No Earlier Than","As Soon As Possible"))</f>
        <v/>
      </c>
      <c r="P166" s="79" t="str">
        <f aca="false">IF(OR(Tasks!$D170="",Tasks!$AI170,N(Tasks!$M170)=0,Tasks!$E170="Manual"),"",Tasks!$M170)</f>
        <v/>
      </c>
      <c r="Q166" s="26" t="str">
        <f aca="false">IF(Tasks!$D170="","",Tasks!$AD170&amp;"")</f>
        <v/>
      </c>
    </row>
    <row r="167" customFormat="false" ht="15" hidden="false" customHeight="false" outlineLevel="0" collapsed="false">
      <c r="A167" s="26" t="str">
        <f aca="false">IF(Tasks!$D171="","",Tasks!$A171)</f>
        <v/>
      </c>
      <c r="B167" s="26" t="str">
        <f aca="false">IF(Tasks!$D171="","",Tasks!$D171)</f>
        <v/>
      </c>
      <c r="C167" s="26" t="str">
        <f aca="false">IF(Tasks!$D171="","",Tasks!$AE171)</f>
        <v/>
      </c>
      <c r="D167" s="26" t="str">
        <f aca="false">IF(Tasks!$D171="","",IF(Tasks!$E171="Manual","Manually Scheduled","Auto Scheduled"))</f>
        <v/>
      </c>
      <c r="E167" s="26" t="str">
        <f aca="false">IF(OR(Tasks!$D171="",Tasks!$AI171),"",N(Tasks!$F171)&amp;"d")</f>
        <v/>
      </c>
      <c r="F167" s="79" t="str">
        <f aca="false">IF(Tasks!$D171="","",Tasks!$R171)</f>
        <v/>
      </c>
      <c r="G167" s="79" t="str">
        <f aca="false">IF(Tasks!$D171="","",Tasks!$S171)</f>
        <v/>
      </c>
      <c r="H167" s="26" t="str">
        <f aca="false">IF(OR(Tasks!$D171="",Tasks!$AI171),"",Tasks!$AC171)</f>
        <v/>
      </c>
      <c r="I167" s="26" t="str">
        <f aca="false">IF(OR(Tasks!$D171="",Tasks!$X171=""),"",Tasks!$X171&amp;IF(OR(Tasks!$Y171="",Tasks!$Y171=1),"","["&amp;ROUND(Tasks!$Y171*100,0)&amp;"%]"))</f>
        <v/>
      </c>
      <c r="J167" s="26" t="str">
        <f aca="false">IF(OR(Tasks!$D171="",Tasks!$AI171),"",ROUND(Tasks!$V171*100,0))</f>
        <v/>
      </c>
      <c r="K167" s="79" t="str">
        <f aca="false">IF(OR(Tasks!$D171="",N(Tasks!$P171)=0),"",Tasks!$P171)</f>
        <v/>
      </c>
      <c r="L167" s="79" t="str">
        <f aca="false">IF(OR(Tasks!$D171="",N(Tasks!$Q171)=0),"",Tasks!$Q171)</f>
        <v/>
      </c>
      <c r="M167" s="79" t="str">
        <f aca="false">IF(Tasks!$D171="","",Tasks!$N171)</f>
        <v/>
      </c>
      <c r="N167" s="79" t="str">
        <f aca="false">IF(Tasks!$D171="","",Tasks!$O171)</f>
        <v/>
      </c>
      <c r="O167" s="26" t="str">
        <f aca="false">IF(OR(Tasks!$D171="",Tasks!$AI171),"",IF(AND(Tasks!$E171&lt;&gt;"Manual",N(Tasks!$M171)&gt;0),"Start No Earlier Than","As Soon As Possible"))</f>
        <v/>
      </c>
      <c r="P167" s="79" t="str">
        <f aca="false">IF(OR(Tasks!$D171="",Tasks!$AI171,N(Tasks!$M171)=0,Tasks!$E171="Manual"),"",Tasks!$M171)</f>
        <v/>
      </c>
      <c r="Q167" s="26" t="str">
        <f aca="false">IF(Tasks!$D171="","",Tasks!$AD171&amp;"")</f>
        <v/>
      </c>
    </row>
    <row r="168" customFormat="false" ht="15" hidden="false" customHeight="false" outlineLevel="0" collapsed="false">
      <c r="A168" s="26" t="str">
        <f aca="false">IF(Tasks!$D172="","",Tasks!$A172)</f>
        <v/>
      </c>
      <c r="B168" s="26" t="str">
        <f aca="false">IF(Tasks!$D172="","",Tasks!$D172)</f>
        <v/>
      </c>
      <c r="C168" s="26" t="str">
        <f aca="false">IF(Tasks!$D172="","",Tasks!$AE172)</f>
        <v/>
      </c>
      <c r="D168" s="26" t="str">
        <f aca="false">IF(Tasks!$D172="","",IF(Tasks!$E172="Manual","Manually Scheduled","Auto Scheduled"))</f>
        <v/>
      </c>
      <c r="E168" s="26" t="str">
        <f aca="false">IF(OR(Tasks!$D172="",Tasks!$AI172),"",N(Tasks!$F172)&amp;"d")</f>
        <v/>
      </c>
      <c r="F168" s="79" t="str">
        <f aca="false">IF(Tasks!$D172="","",Tasks!$R172)</f>
        <v/>
      </c>
      <c r="G168" s="79" t="str">
        <f aca="false">IF(Tasks!$D172="","",Tasks!$S172)</f>
        <v/>
      </c>
      <c r="H168" s="26" t="str">
        <f aca="false">IF(OR(Tasks!$D172="",Tasks!$AI172),"",Tasks!$AC172)</f>
        <v/>
      </c>
      <c r="I168" s="26" t="str">
        <f aca="false">IF(OR(Tasks!$D172="",Tasks!$X172=""),"",Tasks!$X172&amp;IF(OR(Tasks!$Y172="",Tasks!$Y172=1),"","["&amp;ROUND(Tasks!$Y172*100,0)&amp;"%]"))</f>
        <v/>
      </c>
      <c r="J168" s="26" t="str">
        <f aca="false">IF(OR(Tasks!$D172="",Tasks!$AI172),"",ROUND(Tasks!$V172*100,0))</f>
        <v/>
      </c>
      <c r="K168" s="79" t="str">
        <f aca="false">IF(OR(Tasks!$D172="",N(Tasks!$P172)=0),"",Tasks!$P172)</f>
        <v/>
      </c>
      <c r="L168" s="79" t="str">
        <f aca="false">IF(OR(Tasks!$D172="",N(Tasks!$Q172)=0),"",Tasks!$Q172)</f>
        <v/>
      </c>
      <c r="M168" s="79" t="str">
        <f aca="false">IF(Tasks!$D172="","",Tasks!$N172)</f>
        <v/>
      </c>
      <c r="N168" s="79" t="str">
        <f aca="false">IF(Tasks!$D172="","",Tasks!$O172)</f>
        <v/>
      </c>
      <c r="O168" s="26" t="str">
        <f aca="false">IF(OR(Tasks!$D172="",Tasks!$AI172),"",IF(AND(Tasks!$E172&lt;&gt;"Manual",N(Tasks!$M172)&gt;0),"Start No Earlier Than","As Soon As Possible"))</f>
        <v/>
      </c>
      <c r="P168" s="79" t="str">
        <f aca="false">IF(OR(Tasks!$D172="",Tasks!$AI172,N(Tasks!$M172)=0,Tasks!$E172="Manual"),"",Tasks!$M172)</f>
        <v/>
      </c>
      <c r="Q168" s="26" t="str">
        <f aca="false">IF(Tasks!$D172="","",Tasks!$AD172&amp;"")</f>
        <v/>
      </c>
    </row>
    <row r="169" customFormat="false" ht="15" hidden="false" customHeight="false" outlineLevel="0" collapsed="false">
      <c r="A169" s="26" t="str">
        <f aca="false">IF(Tasks!$D173="","",Tasks!$A173)</f>
        <v/>
      </c>
      <c r="B169" s="26" t="str">
        <f aca="false">IF(Tasks!$D173="","",Tasks!$D173)</f>
        <v/>
      </c>
      <c r="C169" s="26" t="str">
        <f aca="false">IF(Tasks!$D173="","",Tasks!$AE173)</f>
        <v/>
      </c>
      <c r="D169" s="26" t="str">
        <f aca="false">IF(Tasks!$D173="","",IF(Tasks!$E173="Manual","Manually Scheduled","Auto Scheduled"))</f>
        <v/>
      </c>
      <c r="E169" s="26" t="str">
        <f aca="false">IF(OR(Tasks!$D173="",Tasks!$AI173),"",N(Tasks!$F173)&amp;"d")</f>
        <v/>
      </c>
      <c r="F169" s="79" t="str">
        <f aca="false">IF(Tasks!$D173="","",Tasks!$R173)</f>
        <v/>
      </c>
      <c r="G169" s="79" t="str">
        <f aca="false">IF(Tasks!$D173="","",Tasks!$S173)</f>
        <v/>
      </c>
      <c r="H169" s="26" t="str">
        <f aca="false">IF(OR(Tasks!$D173="",Tasks!$AI173),"",Tasks!$AC173)</f>
        <v/>
      </c>
      <c r="I169" s="26" t="str">
        <f aca="false">IF(OR(Tasks!$D173="",Tasks!$X173=""),"",Tasks!$X173&amp;IF(OR(Tasks!$Y173="",Tasks!$Y173=1),"","["&amp;ROUND(Tasks!$Y173*100,0)&amp;"%]"))</f>
        <v/>
      </c>
      <c r="J169" s="26" t="str">
        <f aca="false">IF(OR(Tasks!$D173="",Tasks!$AI173),"",ROUND(Tasks!$V173*100,0))</f>
        <v/>
      </c>
      <c r="K169" s="79" t="str">
        <f aca="false">IF(OR(Tasks!$D173="",N(Tasks!$P173)=0),"",Tasks!$P173)</f>
        <v/>
      </c>
      <c r="L169" s="79" t="str">
        <f aca="false">IF(OR(Tasks!$D173="",N(Tasks!$Q173)=0),"",Tasks!$Q173)</f>
        <v/>
      </c>
      <c r="M169" s="79" t="str">
        <f aca="false">IF(Tasks!$D173="","",Tasks!$N173)</f>
        <v/>
      </c>
      <c r="N169" s="79" t="str">
        <f aca="false">IF(Tasks!$D173="","",Tasks!$O173)</f>
        <v/>
      </c>
      <c r="O169" s="26" t="str">
        <f aca="false">IF(OR(Tasks!$D173="",Tasks!$AI173),"",IF(AND(Tasks!$E173&lt;&gt;"Manual",N(Tasks!$M173)&gt;0),"Start No Earlier Than","As Soon As Possible"))</f>
        <v/>
      </c>
      <c r="P169" s="79" t="str">
        <f aca="false">IF(OR(Tasks!$D173="",Tasks!$AI173,N(Tasks!$M173)=0,Tasks!$E173="Manual"),"",Tasks!$M173)</f>
        <v/>
      </c>
      <c r="Q169" s="26" t="str">
        <f aca="false">IF(Tasks!$D173="","",Tasks!$AD173&amp;"")</f>
        <v/>
      </c>
    </row>
    <row r="170" customFormat="false" ht="15" hidden="false" customHeight="false" outlineLevel="0" collapsed="false">
      <c r="A170" s="26" t="str">
        <f aca="false">IF(Tasks!$D174="","",Tasks!$A174)</f>
        <v/>
      </c>
      <c r="B170" s="26" t="str">
        <f aca="false">IF(Tasks!$D174="","",Tasks!$D174)</f>
        <v/>
      </c>
      <c r="C170" s="26" t="str">
        <f aca="false">IF(Tasks!$D174="","",Tasks!$AE174)</f>
        <v/>
      </c>
      <c r="D170" s="26" t="str">
        <f aca="false">IF(Tasks!$D174="","",IF(Tasks!$E174="Manual","Manually Scheduled","Auto Scheduled"))</f>
        <v/>
      </c>
      <c r="E170" s="26" t="str">
        <f aca="false">IF(OR(Tasks!$D174="",Tasks!$AI174),"",N(Tasks!$F174)&amp;"d")</f>
        <v/>
      </c>
      <c r="F170" s="79" t="str">
        <f aca="false">IF(Tasks!$D174="","",Tasks!$R174)</f>
        <v/>
      </c>
      <c r="G170" s="79" t="str">
        <f aca="false">IF(Tasks!$D174="","",Tasks!$S174)</f>
        <v/>
      </c>
      <c r="H170" s="26" t="str">
        <f aca="false">IF(OR(Tasks!$D174="",Tasks!$AI174),"",Tasks!$AC174)</f>
        <v/>
      </c>
      <c r="I170" s="26" t="str">
        <f aca="false">IF(OR(Tasks!$D174="",Tasks!$X174=""),"",Tasks!$X174&amp;IF(OR(Tasks!$Y174="",Tasks!$Y174=1),"","["&amp;ROUND(Tasks!$Y174*100,0)&amp;"%]"))</f>
        <v/>
      </c>
      <c r="J170" s="26" t="str">
        <f aca="false">IF(OR(Tasks!$D174="",Tasks!$AI174),"",ROUND(Tasks!$V174*100,0))</f>
        <v/>
      </c>
      <c r="K170" s="79" t="str">
        <f aca="false">IF(OR(Tasks!$D174="",N(Tasks!$P174)=0),"",Tasks!$P174)</f>
        <v/>
      </c>
      <c r="L170" s="79" t="str">
        <f aca="false">IF(OR(Tasks!$D174="",N(Tasks!$Q174)=0),"",Tasks!$Q174)</f>
        <v/>
      </c>
      <c r="M170" s="79" t="str">
        <f aca="false">IF(Tasks!$D174="","",Tasks!$N174)</f>
        <v/>
      </c>
      <c r="N170" s="79" t="str">
        <f aca="false">IF(Tasks!$D174="","",Tasks!$O174)</f>
        <v/>
      </c>
      <c r="O170" s="26" t="str">
        <f aca="false">IF(OR(Tasks!$D174="",Tasks!$AI174),"",IF(AND(Tasks!$E174&lt;&gt;"Manual",N(Tasks!$M174)&gt;0),"Start No Earlier Than","As Soon As Possible"))</f>
        <v/>
      </c>
      <c r="P170" s="79" t="str">
        <f aca="false">IF(OR(Tasks!$D174="",Tasks!$AI174,N(Tasks!$M174)=0,Tasks!$E174="Manual"),"",Tasks!$M174)</f>
        <v/>
      </c>
      <c r="Q170" s="26" t="str">
        <f aca="false">IF(Tasks!$D174="","",Tasks!$AD174&amp;"")</f>
        <v/>
      </c>
    </row>
    <row r="171" customFormat="false" ht="15" hidden="false" customHeight="false" outlineLevel="0" collapsed="false">
      <c r="A171" s="26" t="str">
        <f aca="false">IF(Tasks!$D175="","",Tasks!$A175)</f>
        <v/>
      </c>
      <c r="B171" s="26" t="str">
        <f aca="false">IF(Tasks!$D175="","",Tasks!$D175)</f>
        <v/>
      </c>
      <c r="C171" s="26" t="str">
        <f aca="false">IF(Tasks!$D175="","",Tasks!$AE175)</f>
        <v/>
      </c>
      <c r="D171" s="26" t="str">
        <f aca="false">IF(Tasks!$D175="","",IF(Tasks!$E175="Manual","Manually Scheduled","Auto Scheduled"))</f>
        <v/>
      </c>
      <c r="E171" s="26" t="str">
        <f aca="false">IF(OR(Tasks!$D175="",Tasks!$AI175),"",N(Tasks!$F175)&amp;"d")</f>
        <v/>
      </c>
      <c r="F171" s="79" t="str">
        <f aca="false">IF(Tasks!$D175="","",Tasks!$R175)</f>
        <v/>
      </c>
      <c r="G171" s="79" t="str">
        <f aca="false">IF(Tasks!$D175="","",Tasks!$S175)</f>
        <v/>
      </c>
      <c r="H171" s="26" t="str">
        <f aca="false">IF(OR(Tasks!$D175="",Tasks!$AI175),"",Tasks!$AC175)</f>
        <v/>
      </c>
      <c r="I171" s="26" t="str">
        <f aca="false">IF(OR(Tasks!$D175="",Tasks!$X175=""),"",Tasks!$X175&amp;IF(OR(Tasks!$Y175="",Tasks!$Y175=1),"","["&amp;ROUND(Tasks!$Y175*100,0)&amp;"%]"))</f>
        <v/>
      </c>
      <c r="J171" s="26" t="str">
        <f aca="false">IF(OR(Tasks!$D175="",Tasks!$AI175),"",ROUND(Tasks!$V175*100,0))</f>
        <v/>
      </c>
      <c r="K171" s="79" t="str">
        <f aca="false">IF(OR(Tasks!$D175="",N(Tasks!$P175)=0),"",Tasks!$P175)</f>
        <v/>
      </c>
      <c r="L171" s="79" t="str">
        <f aca="false">IF(OR(Tasks!$D175="",N(Tasks!$Q175)=0),"",Tasks!$Q175)</f>
        <v/>
      </c>
      <c r="M171" s="79" t="str">
        <f aca="false">IF(Tasks!$D175="","",Tasks!$N175)</f>
        <v/>
      </c>
      <c r="N171" s="79" t="str">
        <f aca="false">IF(Tasks!$D175="","",Tasks!$O175)</f>
        <v/>
      </c>
      <c r="O171" s="26" t="str">
        <f aca="false">IF(OR(Tasks!$D175="",Tasks!$AI175),"",IF(AND(Tasks!$E175&lt;&gt;"Manual",N(Tasks!$M175)&gt;0),"Start No Earlier Than","As Soon As Possible"))</f>
        <v/>
      </c>
      <c r="P171" s="79" t="str">
        <f aca="false">IF(OR(Tasks!$D175="",Tasks!$AI175,N(Tasks!$M175)=0,Tasks!$E175="Manual"),"",Tasks!$M175)</f>
        <v/>
      </c>
      <c r="Q171" s="26" t="str">
        <f aca="false">IF(Tasks!$D175="","",Tasks!$AD175&amp;"")</f>
        <v/>
      </c>
    </row>
    <row r="172" customFormat="false" ht="15" hidden="false" customHeight="false" outlineLevel="0" collapsed="false">
      <c r="A172" s="26" t="str">
        <f aca="false">IF(Tasks!$D176="","",Tasks!$A176)</f>
        <v/>
      </c>
      <c r="B172" s="26" t="str">
        <f aca="false">IF(Tasks!$D176="","",Tasks!$D176)</f>
        <v/>
      </c>
      <c r="C172" s="26" t="str">
        <f aca="false">IF(Tasks!$D176="","",Tasks!$AE176)</f>
        <v/>
      </c>
      <c r="D172" s="26" t="str">
        <f aca="false">IF(Tasks!$D176="","",IF(Tasks!$E176="Manual","Manually Scheduled","Auto Scheduled"))</f>
        <v/>
      </c>
      <c r="E172" s="26" t="str">
        <f aca="false">IF(OR(Tasks!$D176="",Tasks!$AI176),"",N(Tasks!$F176)&amp;"d")</f>
        <v/>
      </c>
      <c r="F172" s="79" t="str">
        <f aca="false">IF(Tasks!$D176="","",Tasks!$R176)</f>
        <v/>
      </c>
      <c r="G172" s="79" t="str">
        <f aca="false">IF(Tasks!$D176="","",Tasks!$S176)</f>
        <v/>
      </c>
      <c r="H172" s="26" t="str">
        <f aca="false">IF(OR(Tasks!$D176="",Tasks!$AI176),"",Tasks!$AC176)</f>
        <v/>
      </c>
      <c r="I172" s="26" t="str">
        <f aca="false">IF(OR(Tasks!$D176="",Tasks!$X176=""),"",Tasks!$X176&amp;IF(OR(Tasks!$Y176="",Tasks!$Y176=1),"","["&amp;ROUND(Tasks!$Y176*100,0)&amp;"%]"))</f>
        <v/>
      </c>
      <c r="J172" s="26" t="str">
        <f aca="false">IF(OR(Tasks!$D176="",Tasks!$AI176),"",ROUND(Tasks!$V176*100,0))</f>
        <v/>
      </c>
      <c r="K172" s="79" t="str">
        <f aca="false">IF(OR(Tasks!$D176="",N(Tasks!$P176)=0),"",Tasks!$P176)</f>
        <v/>
      </c>
      <c r="L172" s="79" t="str">
        <f aca="false">IF(OR(Tasks!$D176="",N(Tasks!$Q176)=0),"",Tasks!$Q176)</f>
        <v/>
      </c>
      <c r="M172" s="79" t="str">
        <f aca="false">IF(Tasks!$D176="","",Tasks!$N176)</f>
        <v/>
      </c>
      <c r="N172" s="79" t="str">
        <f aca="false">IF(Tasks!$D176="","",Tasks!$O176)</f>
        <v/>
      </c>
      <c r="O172" s="26" t="str">
        <f aca="false">IF(OR(Tasks!$D176="",Tasks!$AI176),"",IF(AND(Tasks!$E176&lt;&gt;"Manual",N(Tasks!$M176)&gt;0),"Start No Earlier Than","As Soon As Possible"))</f>
        <v/>
      </c>
      <c r="P172" s="79" t="str">
        <f aca="false">IF(OR(Tasks!$D176="",Tasks!$AI176,N(Tasks!$M176)=0,Tasks!$E176="Manual"),"",Tasks!$M176)</f>
        <v/>
      </c>
      <c r="Q172" s="26" t="str">
        <f aca="false">IF(Tasks!$D176="","",Tasks!$AD176&amp;"")</f>
        <v/>
      </c>
    </row>
    <row r="173" customFormat="false" ht="15" hidden="false" customHeight="false" outlineLevel="0" collapsed="false">
      <c r="A173" s="26" t="str">
        <f aca="false">IF(Tasks!$D177="","",Tasks!$A177)</f>
        <v/>
      </c>
      <c r="B173" s="26" t="str">
        <f aca="false">IF(Tasks!$D177="","",Tasks!$D177)</f>
        <v/>
      </c>
      <c r="C173" s="26" t="str">
        <f aca="false">IF(Tasks!$D177="","",Tasks!$AE177)</f>
        <v/>
      </c>
      <c r="D173" s="26" t="str">
        <f aca="false">IF(Tasks!$D177="","",IF(Tasks!$E177="Manual","Manually Scheduled","Auto Scheduled"))</f>
        <v/>
      </c>
      <c r="E173" s="26" t="str">
        <f aca="false">IF(OR(Tasks!$D177="",Tasks!$AI177),"",N(Tasks!$F177)&amp;"d")</f>
        <v/>
      </c>
      <c r="F173" s="79" t="str">
        <f aca="false">IF(Tasks!$D177="","",Tasks!$R177)</f>
        <v/>
      </c>
      <c r="G173" s="79" t="str">
        <f aca="false">IF(Tasks!$D177="","",Tasks!$S177)</f>
        <v/>
      </c>
      <c r="H173" s="26" t="str">
        <f aca="false">IF(OR(Tasks!$D177="",Tasks!$AI177),"",Tasks!$AC177)</f>
        <v/>
      </c>
      <c r="I173" s="26" t="str">
        <f aca="false">IF(OR(Tasks!$D177="",Tasks!$X177=""),"",Tasks!$X177&amp;IF(OR(Tasks!$Y177="",Tasks!$Y177=1),"","["&amp;ROUND(Tasks!$Y177*100,0)&amp;"%]"))</f>
        <v/>
      </c>
      <c r="J173" s="26" t="str">
        <f aca="false">IF(OR(Tasks!$D177="",Tasks!$AI177),"",ROUND(Tasks!$V177*100,0))</f>
        <v/>
      </c>
      <c r="K173" s="79" t="str">
        <f aca="false">IF(OR(Tasks!$D177="",N(Tasks!$P177)=0),"",Tasks!$P177)</f>
        <v/>
      </c>
      <c r="L173" s="79" t="str">
        <f aca="false">IF(OR(Tasks!$D177="",N(Tasks!$Q177)=0),"",Tasks!$Q177)</f>
        <v/>
      </c>
      <c r="M173" s="79" t="str">
        <f aca="false">IF(Tasks!$D177="","",Tasks!$N177)</f>
        <v/>
      </c>
      <c r="N173" s="79" t="str">
        <f aca="false">IF(Tasks!$D177="","",Tasks!$O177)</f>
        <v/>
      </c>
      <c r="O173" s="26" t="str">
        <f aca="false">IF(OR(Tasks!$D177="",Tasks!$AI177),"",IF(AND(Tasks!$E177&lt;&gt;"Manual",N(Tasks!$M177)&gt;0),"Start No Earlier Than","As Soon As Possible"))</f>
        <v/>
      </c>
      <c r="P173" s="79" t="str">
        <f aca="false">IF(OR(Tasks!$D177="",Tasks!$AI177,N(Tasks!$M177)=0,Tasks!$E177="Manual"),"",Tasks!$M177)</f>
        <v/>
      </c>
      <c r="Q173" s="26" t="str">
        <f aca="false">IF(Tasks!$D177="","",Tasks!$AD177&amp;"")</f>
        <v/>
      </c>
    </row>
    <row r="174" customFormat="false" ht="15" hidden="false" customHeight="false" outlineLevel="0" collapsed="false">
      <c r="A174" s="26" t="str">
        <f aca="false">IF(Tasks!$D178="","",Tasks!$A178)</f>
        <v/>
      </c>
      <c r="B174" s="26" t="str">
        <f aca="false">IF(Tasks!$D178="","",Tasks!$D178)</f>
        <v/>
      </c>
      <c r="C174" s="26" t="str">
        <f aca="false">IF(Tasks!$D178="","",Tasks!$AE178)</f>
        <v/>
      </c>
      <c r="D174" s="26" t="str">
        <f aca="false">IF(Tasks!$D178="","",IF(Tasks!$E178="Manual","Manually Scheduled","Auto Scheduled"))</f>
        <v/>
      </c>
      <c r="E174" s="26" t="str">
        <f aca="false">IF(OR(Tasks!$D178="",Tasks!$AI178),"",N(Tasks!$F178)&amp;"d")</f>
        <v/>
      </c>
      <c r="F174" s="79" t="str">
        <f aca="false">IF(Tasks!$D178="","",Tasks!$R178)</f>
        <v/>
      </c>
      <c r="G174" s="79" t="str">
        <f aca="false">IF(Tasks!$D178="","",Tasks!$S178)</f>
        <v/>
      </c>
      <c r="H174" s="26" t="str">
        <f aca="false">IF(OR(Tasks!$D178="",Tasks!$AI178),"",Tasks!$AC178)</f>
        <v/>
      </c>
      <c r="I174" s="26" t="str">
        <f aca="false">IF(OR(Tasks!$D178="",Tasks!$X178=""),"",Tasks!$X178&amp;IF(OR(Tasks!$Y178="",Tasks!$Y178=1),"","["&amp;ROUND(Tasks!$Y178*100,0)&amp;"%]"))</f>
        <v/>
      </c>
      <c r="J174" s="26" t="str">
        <f aca="false">IF(OR(Tasks!$D178="",Tasks!$AI178),"",ROUND(Tasks!$V178*100,0))</f>
        <v/>
      </c>
      <c r="K174" s="79" t="str">
        <f aca="false">IF(OR(Tasks!$D178="",N(Tasks!$P178)=0),"",Tasks!$P178)</f>
        <v/>
      </c>
      <c r="L174" s="79" t="str">
        <f aca="false">IF(OR(Tasks!$D178="",N(Tasks!$Q178)=0),"",Tasks!$Q178)</f>
        <v/>
      </c>
      <c r="M174" s="79" t="str">
        <f aca="false">IF(Tasks!$D178="","",Tasks!$N178)</f>
        <v/>
      </c>
      <c r="N174" s="79" t="str">
        <f aca="false">IF(Tasks!$D178="","",Tasks!$O178)</f>
        <v/>
      </c>
      <c r="O174" s="26" t="str">
        <f aca="false">IF(OR(Tasks!$D178="",Tasks!$AI178),"",IF(AND(Tasks!$E178&lt;&gt;"Manual",N(Tasks!$M178)&gt;0),"Start No Earlier Than","As Soon As Possible"))</f>
        <v/>
      </c>
      <c r="P174" s="79" t="str">
        <f aca="false">IF(OR(Tasks!$D178="",Tasks!$AI178,N(Tasks!$M178)=0,Tasks!$E178="Manual"),"",Tasks!$M178)</f>
        <v/>
      </c>
      <c r="Q174" s="26" t="str">
        <f aca="false">IF(Tasks!$D178="","",Tasks!$AD178&amp;"")</f>
        <v/>
      </c>
    </row>
    <row r="175" customFormat="false" ht="15" hidden="false" customHeight="false" outlineLevel="0" collapsed="false">
      <c r="A175" s="26" t="str">
        <f aca="false">IF(Tasks!$D179="","",Tasks!$A179)</f>
        <v/>
      </c>
      <c r="B175" s="26" t="str">
        <f aca="false">IF(Tasks!$D179="","",Tasks!$D179)</f>
        <v/>
      </c>
      <c r="C175" s="26" t="str">
        <f aca="false">IF(Tasks!$D179="","",Tasks!$AE179)</f>
        <v/>
      </c>
      <c r="D175" s="26" t="str">
        <f aca="false">IF(Tasks!$D179="","",IF(Tasks!$E179="Manual","Manually Scheduled","Auto Scheduled"))</f>
        <v/>
      </c>
      <c r="E175" s="26" t="str">
        <f aca="false">IF(OR(Tasks!$D179="",Tasks!$AI179),"",N(Tasks!$F179)&amp;"d")</f>
        <v/>
      </c>
      <c r="F175" s="79" t="str">
        <f aca="false">IF(Tasks!$D179="","",Tasks!$R179)</f>
        <v/>
      </c>
      <c r="G175" s="79" t="str">
        <f aca="false">IF(Tasks!$D179="","",Tasks!$S179)</f>
        <v/>
      </c>
      <c r="H175" s="26" t="str">
        <f aca="false">IF(OR(Tasks!$D179="",Tasks!$AI179),"",Tasks!$AC179)</f>
        <v/>
      </c>
      <c r="I175" s="26" t="str">
        <f aca="false">IF(OR(Tasks!$D179="",Tasks!$X179=""),"",Tasks!$X179&amp;IF(OR(Tasks!$Y179="",Tasks!$Y179=1),"","["&amp;ROUND(Tasks!$Y179*100,0)&amp;"%]"))</f>
        <v/>
      </c>
      <c r="J175" s="26" t="str">
        <f aca="false">IF(OR(Tasks!$D179="",Tasks!$AI179),"",ROUND(Tasks!$V179*100,0))</f>
        <v/>
      </c>
      <c r="K175" s="79" t="str">
        <f aca="false">IF(OR(Tasks!$D179="",N(Tasks!$P179)=0),"",Tasks!$P179)</f>
        <v/>
      </c>
      <c r="L175" s="79" t="str">
        <f aca="false">IF(OR(Tasks!$D179="",N(Tasks!$Q179)=0),"",Tasks!$Q179)</f>
        <v/>
      </c>
      <c r="M175" s="79" t="str">
        <f aca="false">IF(Tasks!$D179="","",Tasks!$N179)</f>
        <v/>
      </c>
      <c r="N175" s="79" t="str">
        <f aca="false">IF(Tasks!$D179="","",Tasks!$O179)</f>
        <v/>
      </c>
      <c r="O175" s="26" t="str">
        <f aca="false">IF(OR(Tasks!$D179="",Tasks!$AI179),"",IF(AND(Tasks!$E179&lt;&gt;"Manual",N(Tasks!$M179)&gt;0),"Start No Earlier Than","As Soon As Possible"))</f>
        <v/>
      </c>
      <c r="P175" s="79" t="str">
        <f aca="false">IF(OR(Tasks!$D179="",Tasks!$AI179,N(Tasks!$M179)=0,Tasks!$E179="Manual"),"",Tasks!$M179)</f>
        <v/>
      </c>
      <c r="Q175" s="26" t="str">
        <f aca="false">IF(Tasks!$D179="","",Tasks!$AD179&amp;"")</f>
        <v/>
      </c>
    </row>
    <row r="176" customFormat="false" ht="15" hidden="false" customHeight="false" outlineLevel="0" collapsed="false">
      <c r="A176" s="26" t="str">
        <f aca="false">IF(Tasks!$D180="","",Tasks!$A180)</f>
        <v/>
      </c>
      <c r="B176" s="26" t="str">
        <f aca="false">IF(Tasks!$D180="","",Tasks!$D180)</f>
        <v/>
      </c>
      <c r="C176" s="26" t="str">
        <f aca="false">IF(Tasks!$D180="","",Tasks!$AE180)</f>
        <v/>
      </c>
      <c r="D176" s="26" t="str">
        <f aca="false">IF(Tasks!$D180="","",IF(Tasks!$E180="Manual","Manually Scheduled","Auto Scheduled"))</f>
        <v/>
      </c>
      <c r="E176" s="26" t="str">
        <f aca="false">IF(OR(Tasks!$D180="",Tasks!$AI180),"",N(Tasks!$F180)&amp;"d")</f>
        <v/>
      </c>
      <c r="F176" s="79" t="str">
        <f aca="false">IF(Tasks!$D180="","",Tasks!$R180)</f>
        <v/>
      </c>
      <c r="G176" s="79" t="str">
        <f aca="false">IF(Tasks!$D180="","",Tasks!$S180)</f>
        <v/>
      </c>
      <c r="H176" s="26" t="str">
        <f aca="false">IF(OR(Tasks!$D180="",Tasks!$AI180),"",Tasks!$AC180)</f>
        <v/>
      </c>
      <c r="I176" s="26" t="str">
        <f aca="false">IF(OR(Tasks!$D180="",Tasks!$X180=""),"",Tasks!$X180&amp;IF(OR(Tasks!$Y180="",Tasks!$Y180=1),"","["&amp;ROUND(Tasks!$Y180*100,0)&amp;"%]"))</f>
        <v/>
      </c>
      <c r="J176" s="26" t="str">
        <f aca="false">IF(OR(Tasks!$D180="",Tasks!$AI180),"",ROUND(Tasks!$V180*100,0))</f>
        <v/>
      </c>
      <c r="K176" s="79" t="str">
        <f aca="false">IF(OR(Tasks!$D180="",N(Tasks!$P180)=0),"",Tasks!$P180)</f>
        <v/>
      </c>
      <c r="L176" s="79" t="str">
        <f aca="false">IF(OR(Tasks!$D180="",N(Tasks!$Q180)=0),"",Tasks!$Q180)</f>
        <v/>
      </c>
      <c r="M176" s="79" t="str">
        <f aca="false">IF(Tasks!$D180="","",Tasks!$N180)</f>
        <v/>
      </c>
      <c r="N176" s="79" t="str">
        <f aca="false">IF(Tasks!$D180="","",Tasks!$O180)</f>
        <v/>
      </c>
      <c r="O176" s="26" t="str">
        <f aca="false">IF(OR(Tasks!$D180="",Tasks!$AI180),"",IF(AND(Tasks!$E180&lt;&gt;"Manual",N(Tasks!$M180)&gt;0),"Start No Earlier Than","As Soon As Possible"))</f>
        <v/>
      </c>
      <c r="P176" s="79" t="str">
        <f aca="false">IF(OR(Tasks!$D180="",Tasks!$AI180,N(Tasks!$M180)=0,Tasks!$E180="Manual"),"",Tasks!$M180)</f>
        <v/>
      </c>
      <c r="Q176" s="26" t="str">
        <f aca="false">IF(Tasks!$D180="","",Tasks!$AD180&amp;"")</f>
        <v/>
      </c>
    </row>
    <row r="177" customFormat="false" ht="15" hidden="false" customHeight="false" outlineLevel="0" collapsed="false">
      <c r="A177" s="26" t="str">
        <f aca="false">IF(Tasks!$D181="","",Tasks!$A181)</f>
        <v/>
      </c>
      <c r="B177" s="26" t="str">
        <f aca="false">IF(Tasks!$D181="","",Tasks!$D181)</f>
        <v/>
      </c>
      <c r="C177" s="26" t="str">
        <f aca="false">IF(Tasks!$D181="","",Tasks!$AE181)</f>
        <v/>
      </c>
      <c r="D177" s="26" t="str">
        <f aca="false">IF(Tasks!$D181="","",IF(Tasks!$E181="Manual","Manually Scheduled","Auto Scheduled"))</f>
        <v/>
      </c>
      <c r="E177" s="26" t="str">
        <f aca="false">IF(OR(Tasks!$D181="",Tasks!$AI181),"",N(Tasks!$F181)&amp;"d")</f>
        <v/>
      </c>
      <c r="F177" s="79" t="str">
        <f aca="false">IF(Tasks!$D181="","",Tasks!$R181)</f>
        <v/>
      </c>
      <c r="G177" s="79" t="str">
        <f aca="false">IF(Tasks!$D181="","",Tasks!$S181)</f>
        <v/>
      </c>
      <c r="H177" s="26" t="str">
        <f aca="false">IF(OR(Tasks!$D181="",Tasks!$AI181),"",Tasks!$AC181)</f>
        <v/>
      </c>
      <c r="I177" s="26" t="str">
        <f aca="false">IF(OR(Tasks!$D181="",Tasks!$X181=""),"",Tasks!$X181&amp;IF(OR(Tasks!$Y181="",Tasks!$Y181=1),"","["&amp;ROUND(Tasks!$Y181*100,0)&amp;"%]"))</f>
        <v/>
      </c>
      <c r="J177" s="26" t="str">
        <f aca="false">IF(OR(Tasks!$D181="",Tasks!$AI181),"",ROUND(Tasks!$V181*100,0))</f>
        <v/>
      </c>
      <c r="K177" s="79" t="str">
        <f aca="false">IF(OR(Tasks!$D181="",N(Tasks!$P181)=0),"",Tasks!$P181)</f>
        <v/>
      </c>
      <c r="L177" s="79" t="str">
        <f aca="false">IF(OR(Tasks!$D181="",N(Tasks!$Q181)=0),"",Tasks!$Q181)</f>
        <v/>
      </c>
      <c r="M177" s="79" t="str">
        <f aca="false">IF(Tasks!$D181="","",Tasks!$N181)</f>
        <v/>
      </c>
      <c r="N177" s="79" t="str">
        <f aca="false">IF(Tasks!$D181="","",Tasks!$O181)</f>
        <v/>
      </c>
      <c r="O177" s="26" t="str">
        <f aca="false">IF(OR(Tasks!$D181="",Tasks!$AI181),"",IF(AND(Tasks!$E181&lt;&gt;"Manual",N(Tasks!$M181)&gt;0),"Start No Earlier Than","As Soon As Possible"))</f>
        <v/>
      </c>
      <c r="P177" s="79" t="str">
        <f aca="false">IF(OR(Tasks!$D181="",Tasks!$AI181,N(Tasks!$M181)=0,Tasks!$E181="Manual"),"",Tasks!$M181)</f>
        <v/>
      </c>
      <c r="Q177" s="26" t="str">
        <f aca="false">IF(Tasks!$D181="","",Tasks!$AD181&amp;"")</f>
        <v/>
      </c>
    </row>
    <row r="178" customFormat="false" ht="15" hidden="false" customHeight="false" outlineLevel="0" collapsed="false">
      <c r="A178" s="26" t="str">
        <f aca="false">IF(Tasks!$D182="","",Tasks!$A182)</f>
        <v/>
      </c>
      <c r="B178" s="26" t="str">
        <f aca="false">IF(Tasks!$D182="","",Tasks!$D182)</f>
        <v/>
      </c>
      <c r="C178" s="26" t="str">
        <f aca="false">IF(Tasks!$D182="","",Tasks!$AE182)</f>
        <v/>
      </c>
      <c r="D178" s="26" t="str">
        <f aca="false">IF(Tasks!$D182="","",IF(Tasks!$E182="Manual","Manually Scheduled","Auto Scheduled"))</f>
        <v/>
      </c>
      <c r="E178" s="26" t="str">
        <f aca="false">IF(OR(Tasks!$D182="",Tasks!$AI182),"",N(Tasks!$F182)&amp;"d")</f>
        <v/>
      </c>
      <c r="F178" s="79" t="str">
        <f aca="false">IF(Tasks!$D182="","",Tasks!$R182)</f>
        <v/>
      </c>
      <c r="G178" s="79" t="str">
        <f aca="false">IF(Tasks!$D182="","",Tasks!$S182)</f>
        <v/>
      </c>
      <c r="H178" s="26" t="str">
        <f aca="false">IF(OR(Tasks!$D182="",Tasks!$AI182),"",Tasks!$AC182)</f>
        <v/>
      </c>
      <c r="I178" s="26" t="str">
        <f aca="false">IF(OR(Tasks!$D182="",Tasks!$X182=""),"",Tasks!$X182&amp;IF(OR(Tasks!$Y182="",Tasks!$Y182=1),"","["&amp;ROUND(Tasks!$Y182*100,0)&amp;"%]"))</f>
        <v/>
      </c>
      <c r="J178" s="26" t="str">
        <f aca="false">IF(OR(Tasks!$D182="",Tasks!$AI182),"",ROUND(Tasks!$V182*100,0))</f>
        <v/>
      </c>
      <c r="K178" s="79" t="str">
        <f aca="false">IF(OR(Tasks!$D182="",N(Tasks!$P182)=0),"",Tasks!$P182)</f>
        <v/>
      </c>
      <c r="L178" s="79" t="str">
        <f aca="false">IF(OR(Tasks!$D182="",N(Tasks!$Q182)=0),"",Tasks!$Q182)</f>
        <v/>
      </c>
      <c r="M178" s="79" t="str">
        <f aca="false">IF(Tasks!$D182="","",Tasks!$N182)</f>
        <v/>
      </c>
      <c r="N178" s="79" t="str">
        <f aca="false">IF(Tasks!$D182="","",Tasks!$O182)</f>
        <v/>
      </c>
      <c r="O178" s="26" t="str">
        <f aca="false">IF(OR(Tasks!$D182="",Tasks!$AI182),"",IF(AND(Tasks!$E182&lt;&gt;"Manual",N(Tasks!$M182)&gt;0),"Start No Earlier Than","As Soon As Possible"))</f>
        <v/>
      </c>
      <c r="P178" s="79" t="str">
        <f aca="false">IF(OR(Tasks!$D182="",Tasks!$AI182,N(Tasks!$M182)=0,Tasks!$E182="Manual"),"",Tasks!$M182)</f>
        <v/>
      </c>
      <c r="Q178" s="26" t="str">
        <f aca="false">IF(Tasks!$D182="","",Tasks!$AD182&amp;"")</f>
        <v/>
      </c>
    </row>
    <row r="179" customFormat="false" ht="15" hidden="false" customHeight="false" outlineLevel="0" collapsed="false">
      <c r="A179" s="26" t="str">
        <f aca="false">IF(Tasks!$D183="","",Tasks!$A183)</f>
        <v/>
      </c>
      <c r="B179" s="26" t="str">
        <f aca="false">IF(Tasks!$D183="","",Tasks!$D183)</f>
        <v/>
      </c>
      <c r="C179" s="26" t="str">
        <f aca="false">IF(Tasks!$D183="","",Tasks!$AE183)</f>
        <v/>
      </c>
      <c r="D179" s="26" t="str">
        <f aca="false">IF(Tasks!$D183="","",IF(Tasks!$E183="Manual","Manually Scheduled","Auto Scheduled"))</f>
        <v/>
      </c>
      <c r="E179" s="26" t="str">
        <f aca="false">IF(OR(Tasks!$D183="",Tasks!$AI183),"",N(Tasks!$F183)&amp;"d")</f>
        <v/>
      </c>
      <c r="F179" s="79" t="str">
        <f aca="false">IF(Tasks!$D183="","",Tasks!$R183)</f>
        <v/>
      </c>
      <c r="G179" s="79" t="str">
        <f aca="false">IF(Tasks!$D183="","",Tasks!$S183)</f>
        <v/>
      </c>
      <c r="H179" s="26" t="str">
        <f aca="false">IF(OR(Tasks!$D183="",Tasks!$AI183),"",Tasks!$AC183)</f>
        <v/>
      </c>
      <c r="I179" s="26" t="str">
        <f aca="false">IF(OR(Tasks!$D183="",Tasks!$X183=""),"",Tasks!$X183&amp;IF(OR(Tasks!$Y183="",Tasks!$Y183=1),"","["&amp;ROUND(Tasks!$Y183*100,0)&amp;"%]"))</f>
        <v/>
      </c>
      <c r="J179" s="26" t="str">
        <f aca="false">IF(OR(Tasks!$D183="",Tasks!$AI183),"",ROUND(Tasks!$V183*100,0))</f>
        <v/>
      </c>
      <c r="K179" s="79" t="str">
        <f aca="false">IF(OR(Tasks!$D183="",N(Tasks!$P183)=0),"",Tasks!$P183)</f>
        <v/>
      </c>
      <c r="L179" s="79" t="str">
        <f aca="false">IF(OR(Tasks!$D183="",N(Tasks!$Q183)=0),"",Tasks!$Q183)</f>
        <v/>
      </c>
      <c r="M179" s="79" t="str">
        <f aca="false">IF(Tasks!$D183="","",Tasks!$N183)</f>
        <v/>
      </c>
      <c r="N179" s="79" t="str">
        <f aca="false">IF(Tasks!$D183="","",Tasks!$O183)</f>
        <v/>
      </c>
      <c r="O179" s="26" t="str">
        <f aca="false">IF(OR(Tasks!$D183="",Tasks!$AI183),"",IF(AND(Tasks!$E183&lt;&gt;"Manual",N(Tasks!$M183)&gt;0),"Start No Earlier Than","As Soon As Possible"))</f>
        <v/>
      </c>
      <c r="P179" s="79" t="str">
        <f aca="false">IF(OR(Tasks!$D183="",Tasks!$AI183,N(Tasks!$M183)=0,Tasks!$E183="Manual"),"",Tasks!$M183)</f>
        <v/>
      </c>
      <c r="Q179" s="26" t="str">
        <f aca="false">IF(Tasks!$D183="","",Tasks!$AD183&amp;"")</f>
        <v/>
      </c>
    </row>
    <row r="180" customFormat="false" ht="15" hidden="false" customHeight="false" outlineLevel="0" collapsed="false">
      <c r="A180" s="26" t="str">
        <f aca="false">IF(Tasks!$D184="","",Tasks!$A184)</f>
        <v/>
      </c>
      <c r="B180" s="26" t="str">
        <f aca="false">IF(Tasks!$D184="","",Tasks!$D184)</f>
        <v/>
      </c>
      <c r="C180" s="26" t="str">
        <f aca="false">IF(Tasks!$D184="","",Tasks!$AE184)</f>
        <v/>
      </c>
      <c r="D180" s="26" t="str">
        <f aca="false">IF(Tasks!$D184="","",IF(Tasks!$E184="Manual","Manually Scheduled","Auto Scheduled"))</f>
        <v/>
      </c>
      <c r="E180" s="26" t="str">
        <f aca="false">IF(OR(Tasks!$D184="",Tasks!$AI184),"",N(Tasks!$F184)&amp;"d")</f>
        <v/>
      </c>
      <c r="F180" s="79" t="str">
        <f aca="false">IF(Tasks!$D184="","",Tasks!$R184)</f>
        <v/>
      </c>
      <c r="G180" s="79" t="str">
        <f aca="false">IF(Tasks!$D184="","",Tasks!$S184)</f>
        <v/>
      </c>
      <c r="H180" s="26" t="str">
        <f aca="false">IF(OR(Tasks!$D184="",Tasks!$AI184),"",Tasks!$AC184)</f>
        <v/>
      </c>
      <c r="I180" s="26" t="str">
        <f aca="false">IF(OR(Tasks!$D184="",Tasks!$X184=""),"",Tasks!$X184&amp;IF(OR(Tasks!$Y184="",Tasks!$Y184=1),"","["&amp;ROUND(Tasks!$Y184*100,0)&amp;"%]"))</f>
        <v/>
      </c>
      <c r="J180" s="26" t="str">
        <f aca="false">IF(OR(Tasks!$D184="",Tasks!$AI184),"",ROUND(Tasks!$V184*100,0))</f>
        <v/>
      </c>
      <c r="K180" s="79" t="str">
        <f aca="false">IF(OR(Tasks!$D184="",N(Tasks!$P184)=0),"",Tasks!$P184)</f>
        <v/>
      </c>
      <c r="L180" s="79" t="str">
        <f aca="false">IF(OR(Tasks!$D184="",N(Tasks!$Q184)=0),"",Tasks!$Q184)</f>
        <v/>
      </c>
      <c r="M180" s="79" t="str">
        <f aca="false">IF(Tasks!$D184="","",Tasks!$N184)</f>
        <v/>
      </c>
      <c r="N180" s="79" t="str">
        <f aca="false">IF(Tasks!$D184="","",Tasks!$O184)</f>
        <v/>
      </c>
      <c r="O180" s="26" t="str">
        <f aca="false">IF(OR(Tasks!$D184="",Tasks!$AI184),"",IF(AND(Tasks!$E184&lt;&gt;"Manual",N(Tasks!$M184)&gt;0),"Start No Earlier Than","As Soon As Possible"))</f>
        <v/>
      </c>
      <c r="P180" s="79" t="str">
        <f aca="false">IF(OR(Tasks!$D184="",Tasks!$AI184,N(Tasks!$M184)=0,Tasks!$E184="Manual"),"",Tasks!$M184)</f>
        <v/>
      </c>
      <c r="Q180" s="26" t="str">
        <f aca="false">IF(Tasks!$D184="","",Tasks!$AD184&amp;"")</f>
        <v/>
      </c>
    </row>
    <row r="181" customFormat="false" ht="15" hidden="false" customHeight="false" outlineLevel="0" collapsed="false">
      <c r="A181" s="26" t="str">
        <f aca="false">IF(Tasks!$D185="","",Tasks!$A185)</f>
        <v/>
      </c>
      <c r="B181" s="26" t="str">
        <f aca="false">IF(Tasks!$D185="","",Tasks!$D185)</f>
        <v/>
      </c>
      <c r="C181" s="26" t="str">
        <f aca="false">IF(Tasks!$D185="","",Tasks!$AE185)</f>
        <v/>
      </c>
      <c r="D181" s="26" t="str">
        <f aca="false">IF(Tasks!$D185="","",IF(Tasks!$E185="Manual","Manually Scheduled","Auto Scheduled"))</f>
        <v/>
      </c>
      <c r="E181" s="26" t="str">
        <f aca="false">IF(OR(Tasks!$D185="",Tasks!$AI185),"",N(Tasks!$F185)&amp;"d")</f>
        <v/>
      </c>
      <c r="F181" s="79" t="str">
        <f aca="false">IF(Tasks!$D185="","",Tasks!$R185)</f>
        <v/>
      </c>
      <c r="G181" s="79" t="str">
        <f aca="false">IF(Tasks!$D185="","",Tasks!$S185)</f>
        <v/>
      </c>
      <c r="H181" s="26" t="str">
        <f aca="false">IF(OR(Tasks!$D185="",Tasks!$AI185),"",Tasks!$AC185)</f>
        <v/>
      </c>
      <c r="I181" s="26" t="str">
        <f aca="false">IF(OR(Tasks!$D185="",Tasks!$X185=""),"",Tasks!$X185&amp;IF(OR(Tasks!$Y185="",Tasks!$Y185=1),"","["&amp;ROUND(Tasks!$Y185*100,0)&amp;"%]"))</f>
        <v/>
      </c>
      <c r="J181" s="26" t="str">
        <f aca="false">IF(OR(Tasks!$D185="",Tasks!$AI185),"",ROUND(Tasks!$V185*100,0))</f>
        <v/>
      </c>
      <c r="K181" s="79" t="str">
        <f aca="false">IF(OR(Tasks!$D185="",N(Tasks!$P185)=0),"",Tasks!$P185)</f>
        <v/>
      </c>
      <c r="L181" s="79" t="str">
        <f aca="false">IF(OR(Tasks!$D185="",N(Tasks!$Q185)=0),"",Tasks!$Q185)</f>
        <v/>
      </c>
      <c r="M181" s="79" t="str">
        <f aca="false">IF(Tasks!$D185="","",Tasks!$N185)</f>
        <v/>
      </c>
      <c r="N181" s="79" t="str">
        <f aca="false">IF(Tasks!$D185="","",Tasks!$O185)</f>
        <v/>
      </c>
      <c r="O181" s="26" t="str">
        <f aca="false">IF(OR(Tasks!$D185="",Tasks!$AI185),"",IF(AND(Tasks!$E185&lt;&gt;"Manual",N(Tasks!$M185)&gt;0),"Start No Earlier Than","As Soon As Possible"))</f>
        <v/>
      </c>
      <c r="P181" s="79" t="str">
        <f aca="false">IF(OR(Tasks!$D185="",Tasks!$AI185,N(Tasks!$M185)=0,Tasks!$E185="Manual"),"",Tasks!$M185)</f>
        <v/>
      </c>
      <c r="Q181" s="26" t="str">
        <f aca="false">IF(Tasks!$D185="","",Tasks!$AD185&amp;"")</f>
        <v/>
      </c>
    </row>
    <row r="182" customFormat="false" ht="15" hidden="false" customHeight="false" outlineLevel="0" collapsed="false">
      <c r="A182" s="26" t="str">
        <f aca="false">IF(Tasks!$D186="","",Tasks!$A186)</f>
        <v/>
      </c>
      <c r="B182" s="26" t="str">
        <f aca="false">IF(Tasks!$D186="","",Tasks!$D186)</f>
        <v/>
      </c>
      <c r="C182" s="26" t="str">
        <f aca="false">IF(Tasks!$D186="","",Tasks!$AE186)</f>
        <v/>
      </c>
      <c r="D182" s="26" t="str">
        <f aca="false">IF(Tasks!$D186="","",IF(Tasks!$E186="Manual","Manually Scheduled","Auto Scheduled"))</f>
        <v/>
      </c>
      <c r="E182" s="26" t="str">
        <f aca="false">IF(OR(Tasks!$D186="",Tasks!$AI186),"",N(Tasks!$F186)&amp;"d")</f>
        <v/>
      </c>
      <c r="F182" s="79" t="str">
        <f aca="false">IF(Tasks!$D186="","",Tasks!$R186)</f>
        <v/>
      </c>
      <c r="G182" s="79" t="str">
        <f aca="false">IF(Tasks!$D186="","",Tasks!$S186)</f>
        <v/>
      </c>
      <c r="H182" s="26" t="str">
        <f aca="false">IF(OR(Tasks!$D186="",Tasks!$AI186),"",Tasks!$AC186)</f>
        <v/>
      </c>
      <c r="I182" s="26" t="str">
        <f aca="false">IF(OR(Tasks!$D186="",Tasks!$X186=""),"",Tasks!$X186&amp;IF(OR(Tasks!$Y186="",Tasks!$Y186=1),"","["&amp;ROUND(Tasks!$Y186*100,0)&amp;"%]"))</f>
        <v/>
      </c>
      <c r="J182" s="26" t="str">
        <f aca="false">IF(OR(Tasks!$D186="",Tasks!$AI186),"",ROUND(Tasks!$V186*100,0))</f>
        <v/>
      </c>
      <c r="K182" s="79" t="str">
        <f aca="false">IF(OR(Tasks!$D186="",N(Tasks!$P186)=0),"",Tasks!$P186)</f>
        <v/>
      </c>
      <c r="L182" s="79" t="str">
        <f aca="false">IF(OR(Tasks!$D186="",N(Tasks!$Q186)=0),"",Tasks!$Q186)</f>
        <v/>
      </c>
      <c r="M182" s="79" t="str">
        <f aca="false">IF(Tasks!$D186="","",Tasks!$N186)</f>
        <v/>
      </c>
      <c r="N182" s="79" t="str">
        <f aca="false">IF(Tasks!$D186="","",Tasks!$O186)</f>
        <v/>
      </c>
      <c r="O182" s="26" t="str">
        <f aca="false">IF(OR(Tasks!$D186="",Tasks!$AI186),"",IF(AND(Tasks!$E186&lt;&gt;"Manual",N(Tasks!$M186)&gt;0),"Start No Earlier Than","As Soon As Possible"))</f>
        <v/>
      </c>
      <c r="P182" s="79" t="str">
        <f aca="false">IF(OR(Tasks!$D186="",Tasks!$AI186,N(Tasks!$M186)=0,Tasks!$E186="Manual"),"",Tasks!$M186)</f>
        <v/>
      </c>
      <c r="Q182" s="26" t="str">
        <f aca="false">IF(Tasks!$D186="","",Tasks!$AD186&amp;"")</f>
        <v/>
      </c>
    </row>
    <row r="183" customFormat="false" ht="15" hidden="false" customHeight="false" outlineLevel="0" collapsed="false">
      <c r="A183" s="26" t="str">
        <f aca="false">IF(Tasks!$D187="","",Tasks!$A187)</f>
        <v/>
      </c>
      <c r="B183" s="26" t="str">
        <f aca="false">IF(Tasks!$D187="","",Tasks!$D187)</f>
        <v/>
      </c>
      <c r="C183" s="26" t="str">
        <f aca="false">IF(Tasks!$D187="","",Tasks!$AE187)</f>
        <v/>
      </c>
      <c r="D183" s="26" t="str">
        <f aca="false">IF(Tasks!$D187="","",IF(Tasks!$E187="Manual","Manually Scheduled","Auto Scheduled"))</f>
        <v/>
      </c>
      <c r="E183" s="26" t="str">
        <f aca="false">IF(OR(Tasks!$D187="",Tasks!$AI187),"",N(Tasks!$F187)&amp;"d")</f>
        <v/>
      </c>
      <c r="F183" s="79" t="str">
        <f aca="false">IF(Tasks!$D187="","",Tasks!$R187)</f>
        <v/>
      </c>
      <c r="G183" s="79" t="str">
        <f aca="false">IF(Tasks!$D187="","",Tasks!$S187)</f>
        <v/>
      </c>
      <c r="H183" s="26" t="str">
        <f aca="false">IF(OR(Tasks!$D187="",Tasks!$AI187),"",Tasks!$AC187)</f>
        <v/>
      </c>
      <c r="I183" s="26" t="str">
        <f aca="false">IF(OR(Tasks!$D187="",Tasks!$X187=""),"",Tasks!$X187&amp;IF(OR(Tasks!$Y187="",Tasks!$Y187=1),"","["&amp;ROUND(Tasks!$Y187*100,0)&amp;"%]"))</f>
        <v/>
      </c>
      <c r="J183" s="26" t="str">
        <f aca="false">IF(OR(Tasks!$D187="",Tasks!$AI187),"",ROUND(Tasks!$V187*100,0))</f>
        <v/>
      </c>
      <c r="K183" s="79" t="str">
        <f aca="false">IF(OR(Tasks!$D187="",N(Tasks!$P187)=0),"",Tasks!$P187)</f>
        <v/>
      </c>
      <c r="L183" s="79" t="str">
        <f aca="false">IF(OR(Tasks!$D187="",N(Tasks!$Q187)=0),"",Tasks!$Q187)</f>
        <v/>
      </c>
      <c r="M183" s="79" t="str">
        <f aca="false">IF(Tasks!$D187="","",Tasks!$N187)</f>
        <v/>
      </c>
      <c r="N183" s="79" t="str">
        <f aca="false">IF(Tasks!$D187="","",Tasks!$O187)</f>
        <v/>
      </c>
      <c r="O183" s="26" t="str">
        <f aca="false">IF(OR(Tasks!$D187="",Tasks!$AI187),"",IF(AND(Tasks!$E187&lt;&gt;"Manual",N(Tasks!$M187)&gt;0),"Start No Earlier Than","As Soon As Possible"))</f>
        <v/>
      </c>
      <c r="P183" s="79" t="str">
        <f aca="false">IF(OR(Tasks!$D187="",Tasks!$AI187,N(Tasks!$M187)=0,Tasks!$E187="Manual"),"",Tasks!$M187)</f>
        <v/>
      </c>
      <c r="Q183" s="26" t="str">
        <f aca="false">IF(Tasks!$D187="","",Tasks!$AD187&amp;"")</f>
        <v/>
      </c>
    </row>
    <row r="184" customFormat="false" ht="15" hidden="false" customHeight="false" outlineLevel="0" collapsed="false">
      <c r="A184" s="26" t="str">
        <f aca="false">IF(Tasks!$D188="","",Tasks!$A188)</f>
        <v/>
      </c>
      <c r="B184" s="26" t="str">
        <f aca="false">IF(Tasks!$D188="","",Tasks!$D188)</f>
        <v/>
      </c>
      <c r="C184" s="26" t="str">
        <f aca="false">IF(Tasks!$D188="","",Tasks!$AE188)</f>
        <v/>
      </c>
      <c r="D184" s="26" t="str">
        <f aca="false">IF(Tasks!$D188="","",IF(Tasks!$E188="Manual","Manually Scheduled","Auto Scheduled"))</f>
        <v/>
      </c>
      <c r="E184" s="26" t="str">
        <f aca="false">IF(OR(Tasks!$D188="",Tasks!$AI188),"",N(Tasks!$F188)&amp;"d")</f>
        <v/>
      </c>
      <c r="F184" s="79" t="str">
        <f aca="false">IF(Tasks!$D188="","",Tasks!$R188)</f>
        <v/>
      </c>
      <c r="G184" s="79" t="str">
        <f aca="false">IF(Tasks!$D188="","",Tasks!$S188)</f>
        <v/>
      </c>
      <c r="H184" s="26" t="str">
        <f aca="false">IF(OR(Tasks!$D188="",Tasks!$AI188),"",Tasks!$AC188)</f>
        <v/>
      </c>
      <c r="I184" s="26" t="str">
        <f aca="false">IF(OR(Tasks!$D188="",Tasks!$X188=""),"",Tasks!$X188&amp;IF(OR(Tasks!$Y188="",Tasks!$Y188=1),"","["&amp;ROUND(Tasks!$Y188*100,0)&amp;"%]"))</f>
        <v/>
      </c>
      <c r="J184" s="26" t="str">
        <f aca="false">IF(OR(Tasks!$D188="",Tasks!$AI188),"",ROUND(Tasks!$V188*100,0))</f>
        <v/>
      </c>
      <c r="K184" s="79" t="str">
        <f aca="false">IF(OR(Tasks!$D188="",N(Tasks!$P188)=0),"",Tasks!$P188)</f>
        <v/>
      </c>
      <c r="L184" s="79" t="str">
        <f aca="false">IF(OR(Tasks!$D188="",N(Tasks!$Q188)=0),"",Tasks!$Q188)</f>
        <v/>
      </c>
      <c r="M184" s="79" t="str">
        <f aca="false">IF(Tasks!$D188="","",Tasks!$N188)</f>
        <v/>
      </c>
      <c r="N184" s="79" t="str">
        <f aca="false">IF(Tasks!$D188="","",Tasks!$O188)</f>
        <v/>
      </c>
      <c r="O184" s="26" t="str">
        <f aca="false">IF(OR(Tasks!$D188="",Tasks!$AI188),"",IF(AND(Tasks!$E188&lt;&gt;"Manual",N(Tasks!$M188)&gt;0),"Start No Earlier Than","As Soon As Possible"))</f>
        <v/>
      </c>
      <c r="P184" s="79" t="str">
        <f aca="false">IF(OR(Tasks!$D188="",Tasks!$AI188,N(Tasks!$M188)=0,Tasks!$E188="Manual"),"",Tasks!$M188)</f>
        <v/>
      </c>
      <c r="Q184" s="26" t="str">
        <f aca="false">IF(Tasks!$D188="","",Tasks!$AD188&amp;"")</f>
        <v/>
      </c>
    </row>
    <row r="185" customFormat="false" ht="15" hidden="false" customHeight="false" outlineLevel="0" collapsed="false">
      <c r="A185" s="26" t="str">
        <f aca="false">IF(Tasks!$D189="","",Tasks!$A189)</f>
        <v/>
      </c>
      <c r="B185" s="26" t="str">
        <f aca="false">IF(Tasks!$D189="","",Tasks!$D189)</f>
        <v/>
      </c>
      <c r="C185" s="26" t="str">
        <f aca="false">IF(Tasks!$D189="","",Tasks!$AE189)</f>
        <v/>
      </c>
      <c r="D185" s="26" t="str">
        <f aca="false">IF(Tasks!$D189="","",IF(Tasks!$E189="Manual","Manually Scheduled","Auto Scheduled"))</f>
        <v/>
      </c>
      <c r="E185" s="26" t="str">
        <f aca="false">IF(OR(Tasks!$D189="",Tasks!$AI189),"",N(Tasks!$F189)&amp;"d")</f>
        <v/>
      </c>
      <c r="F185" s="79" t="str">
        <f aca="false">IF(Tasks!$D189="","",Tasks!$R189)</f>
        <v/>
      </c>
      <c r="G185" s="79" t="str">
        <f aca="false">IF(Tasks!$D189="","",Tasks!$S189)</f>
        <v/>
      </c>
      <c r="H185" s="26" t="str">
        <f aca="false">IF(OR(Tasks!$D189="",Tasks!$AI189),"",Tasks!$AC189)</f>
        <v/>
      </c>
      <c r="I185" s="26" t="str">
        <f aca="false">IF(OR(Tasks!$D189="",Tasks!$X189=""),"",Tasks!$X189&amp;IF(OR(Tasks!$Y189="",Tasks!$Y189=1),"","["&amp;ROUND(Tasks!$Y189*100,0)&amp;"%]"))</f>
        <v/>
      </c>
      <c r="J185" s="26" t="str">
        <f aca="false">IF(OR(Tasks!$D189="",Tasks!$AI189),"",ROUND(Tasks!$V189*100,0))</f>
        <v/>
      </c>
      <c r="K185" s="79" t="str">
        <f aca="false">IF(OR(Tasks!$D189="",N(Tasks!$P189)=0),"",Tasks!$P189)</f>
        <v/>
      </c>
      <c r="L185" s="79" t="str">
        <f aca="false">IF(OR(Tasks!$D189="",N(Tasks!$Q189)=0),"",Tasks!$Q189)</f>
        <v/>
      </c>
      <c r="M185" s="79" t="str">
        <f aca="false">IF(Tasks!$D189="","",Tasks!$N189)</f>
        <v/>
      </c>
      <c r="N185" s="79" t="str">
        <f aca="false">IF(Tasks!$D189="","",Tasks!$O189)</f>
        <v/>
      </c>
      <c r="O185" s="26" t="str">
        <f aca="false">IF(OR(Tasks!$D189="",Tasks!$AI189),"",IF(AND(Tasks!$E189&lt;&gt;"Manual",N(Tasks!$M189)&gt;0),"Start No Earlier Than","As Soon As Possible"))</f>
        <v/>
      </c>
      <c r="P185" s="79" t="str">
        <f aca="false">IF(OR(Tasks!$D189="",Tasks!$AI189,N(Tasks!$M189)=0,Tasks!$E189="Manual"),"",Tasks!$M189)</f>
        <v/>
      </c>
      <c r="Q185" s="26" t="str">
        <f aca="false">IF(Tasks!$D189="","",Tasks!$AD189&amp;"")</f>
        <v/>
      </c>
    </row>
    <row r="186" customFormat="false" ht="15" hidden="false" customHeight="false" outlineLevel="0" collapsed="false">
      <c r="A186" s="26" t="str">
        <f aca="false">IF(Tasks!$D190="","",Tasks!$A190)</f>
        <v/>
      </c>
      <c r="B186" s="26" t="str">
        <f aca="false">IF(Tasks!$D190="","",Tasks!$D190)</f>
        <v/>
      </c>
      <c r="C186" s="26" t="str">
        <f aca="false">IF(Tasks!$D190="","",Tasks!$AE190)</f>
        <v/>
      </c>
      <c r="D186" s="26" t="str">
        <f aca="false">IF(Tasks!$D190="","",IF(Tasks!$E190="Manual","Manually Scheduled","Auto Scheduled"))</f>
        <v/>
      </c>
      <c r="E186" s="26" t="str">
        <f aca="false">IF(OR(Tasks!$D190="",Tasks!$AI190),"",N(Tasks!$F190)&amp;"d")</f>
        <v/>
      </c>
      <c r="F186" s="79" t="str">
        <f aca="false">IF(Tasks!$D190="","",Tasks!$R190)</f>
        <v/>
      </c>
      <c r="G186" s="79" t="str">
        <f aca="false">IF(Tasks!$D190="","",Tasks!$S190)</f>
        <v/>
      </c>
      <c r="H186" s="26" t="str">
        <f aca="false">IF(OR(Tasks!$D190="",Tasks!$AI190),"",Tasks!$AC190)</f>
        <v/>
      </c>
      <c r="I186" s="26" t="str">
        <f aca="false">IF(OR(Tasks!$D190="",Tasks!$X190=""),"",Tasks!$X190&amp;IF(OR(Tasks!$Y190="",Tasks!$Y190=1),"","["&amp;ROUND(Tasks!$Y190*100,0)&amp;"%]"))</f>
        <v/>
      </c>
      <c r="J186" s="26" t="str">
        <f aca="false">IF(OR(Tasks!$D190="",Tasks!$AI190),"",ROUND(Tasks!$V190*100,0))</f>
        <v/>
      </c>
      <c r="K186" s="79" t="str">
        <f aca="false">IF(OR(Tasks!$D190="",N(Tasks!$P190)=0),"",Tasks!$P190)</f>
        <v/>
      </c>
      <c r="L186" s="79" t="str">
        <f aca="false">IF(OR(Tasks!$D190="",N(Tasks!$Q190)=0),"",Tasks!$Q190)</f>
        <v/>
      </c>
      <c r="M186" s="79" t="str">
        <f aca="false">IF(Tasks!$D190="","",Tasks!$N190)</f>
        <v/>
      </c>
      <c r="N186" s="79" t="str">
        <f aca="false">IF(Tasks!$D190="","",Tasks!$O190)</f>
        <v/>
      </c>
      <c r="O186" s="26" t="str">
        <f aca="false">IF(OR(Tasks!$D190="",Tasks!$AI190),"",IF(AND(Tasks!$E190&lt;&gt;"Manual",N(Tasks!$M190)&gt;0),"Start No Earlier Than","As Soon As Possible"))</f>
        <v/>
      </c>
      <c r="P186" s="79" t="str">
        <f aca="false">IF(OR(Tasks!$D190="",Tasks!$AI190,N(Tasks!$M190)=0,Tasks!$E190="Manual"),"",Tasks!$M190)</f>
        <v/>
      </c>
      <c r="Q186" s="26" t="str">
        <f aca="false">IF(Tasks!$D190="","",Tasks!$AD190&amp;"")</f>
        <v/>
      </c>
    </row>
    <row r="187" customFormat="false" ht="15" hidden="false" customHeight="false" outlineLevel="0" collapsed="false">
      <c r="A187" s="26" t="str">
        <f aca="false">IF(Tasks!$D191="","",Tasks!$A191)</f>
        <v/>
      </c>
      <c r="B187" s="26" t="str">
        <f aca="false">IF(Tasks!$D191="","",Tasks!$D191)</f>
        <v/>
      </c>
      <c r="C187" s="26" t="str">
        <f aca="false">IF(Tasks!$D191="","",Tasks!$AE191)</f>
        <v/>
      </c>
      <c r="D187" s="26" t="str">
        <f aca="false">IF(Tasks!$D191="","",IF(Tasks!$E191="Manual","Manually Scheduled","Auto Scheduled"))</f>
        <v/>
      </c>
      <c r="E187" s="26" t="str">
        <f aca="false">IF(OR(Tasks!$D191="",Tasks!$AI191),"",N(Tasks!$F191)&amp;"d")</f>
        <v/>
      </c>
      <c r="F187" s="79" t="str">
        <f aca="false">IF(Tasks!$D191="","",Tasks!$R191)</f>
        <v/>
      </c>
      <c r="G187" s="79" t="str">
        <f aca="false">IF(Tasks!$D191="","",Tasks!$S191)</f>
        <v/>
      </c>
      <c r="H187" s="26" t="str">
        <f aca="false">IF(OR(Tasks!$D191="",Tasks!$AI191),"",Tasks!$AC191)</f>
        <v/>
      </c>
      <c r="I187" s="26" t="str">
        <f aca="false">IF(OR(Tasks!$D191="",Tasks!$X191=""),"",Tasks!$X191&amp;IF(OR(Tasks!$Y191="",Tasks!$Y191=1),"","["&amp;ROUND(Tasks!$Y191*100,0)&amp;"%]"))</f>
        <v/>
      </c>
      <c r="J187" s="26" t="str">
        <f aca="false">IF(OR(Tasks!$D191="",Tasks!$AI191),"",ROUND(Tasks!$V191*100,0))</f>
        <v/>
      </c>
      <c r="K187" s="79" t="str">
        <f aca="false">IF(OR(Tasks!$D191="",N(Tasks!$P191)=0),"",Tasks!$P191)</f>
        <v/>
      </c>
      <c r="L187" s="79" t="str">
        <f aca="false">IF(OR(Tasks!$D191="",N(Tasks!$Q191)=0),"",Tasks!$Q191)</f>
        <v/>
      </c>
      <c r="M187" s="79" t="str">
        <f aca="false">IF(Tasks!$D191="","",Tasks!$N191)</f>
        <v/>
      </c>
      <c r="N187" s="79" t="str">
        <f aca="false">IF(Tasks!$D191="","",Tasks!$O191)</f>
        <v/>
      </c>
      <c r="O187" s="26" t="str">
        <f aca="false">IF(OR(Tasks!$D191="",Tasks!$AI191),"",IF(AND(Tasks!$E191&lt;&gt;"Manual",N(Tasks!$M191)&gt;0),"Start No Earlier Than","As Soon As Possible"))</f>
        <v/>
      </c>
      <c r="P187" s="79" t="str">
        <f aca="false">IF(OR(Tasks!$D191="",Tasks!$AI191,N(Tasks!$M191)=0,Tasks!$E191="Manual"),"",Tasks!$M191)</f>
        <v/>
      </c>
      <c r="Q187" s="26" t="str">
        <f aca="false">IF(Tasks!$D191="","",Tasks!$AD191&amp;"")</f>
        <v/>
      </c>
    </row>
    <row r="188" customFormat="false" ht="15" hidden="false" customHeight="false" outlineLevel="0" collapsed="false">
      <c r="A188" s="26" t="str">
        <f aca="false">IF(Tasks!$D192="","",Tasks!$A192)</f>
        <v/>
      </c>
      <c r="B188" s="26" t="str">
        <f aca="false">IF(Tasks!$D192="","",Tasks!$D192)</f>
        <v/>
      </c>
      <c r="C188" s="26" t="str">
        <f aca="false">IF(Tasks!$D192="","",Tasks!$AE192)</f>
        <v/>
      </c>
      <c r="D188" s="26" t="str">
        <f aca="false">IF(Tasks!$D192="","",IF(Tasks!$E192="Manual","Manually Scheduled","Auto Scheduled"))</f>
        <v/>
      </c>
      <c r="E188" s="26" t="str">
        <f aca="false">IF(OR(Tasks!$D192="",Tasks!$AI192),"",N(Tasks!$F192)&amp;"d")</f>
        <v/>
      </c>
      <c r="F188" s="79" t="str">
        <f aca="false">IF(Tasks!$D192="","",Tasks!$R192)</f>
        <v/>
      </c>
      <c r="G188" s="79" t="str">
        <f aca="false">IF(Tasks!$D192="","",Tasks!$S192)</f>
        <v/>
      </c>
      <c r="H188" s="26" t="str">
        <f aca="false">IF(OR(Tasks!$D192="",Tasks!$AI192),"",Tasks!$AC192)</f>
        <v/>
      </c>
      <c r="I188" s="26" t="str">
        <f aca="false">IF(OR(Tasks!$D192="",Tasks!$X192=""),"",Tasks!$X192&amp;IF(OR(Tasks!$Y192="",Tasks!$Y192=1),"","["&amp;ROUND(Tasks!$Y192*100,0)&amp;"%]"))</f>
        <v/>
      </c>
      <c r="J188" s="26" t="str">
        <f aca="false">IF(OR(Tasks!$D192="",Tasks!$AI192),"",ROUND(Tasks!$V192*100,0))</f>
        <v/>
      </c>
      <c r="K188" s="79" t="str">
        <f aca="false">IF(OR(Tasks!$D192="",N(Tasks!$P192)=0),"",Tasks!$P192)</f>
        <v/>
      </c>
      <c r="L188" s="79" t="str">
        <f aca="false">IF(OR(Tasks!$D192="",N(Tasks!$Q192)=0),"",Tasks!$Q192)</f>
        <v/>
      </c>
      <c r="M188" s="79" t="str">
        <f aca="false">IF(Tasks!$D192="","",Tasks!$N192)</f>
        <v/>
      </c>
      <c r="N188" s="79" t="str">
        <f aca="false">IF(Tasks!$D192="","",Tasks!$O192)</f>
        <v/>
      </c>
      <c r="O188" s="26" t="str">
        <f aca="false">IF(OR(Tasks!$D192="",Tasks!$AI192),"",IF(AND(Tasks!$E192&lt;&gt;"Manual",N(Tasks!$M192)&gt;0),"Start No Earlier Than","As Soon As Possible"))</f>
        <v/>
      </c>
      <c r="P188" s="79" t="str">
        <f aca="false">IF(OR(Tasks!$D192="",Tasks!$AI192,N(Tasks!$M192)=0,Tasks!$E192="Manual"),"",Tasks!$M192)</f>
        <v/>
      </c>
      <c r="Q188" s="26" t="str">
        <f aca="false">IF(Tasks!$D192="","",Tasks!$AD192&amp;"")</f>
        <v/>
      </c>
    </row>
    <row r="189" customFormat="false" ht="15" hidden="false" customHeight="false" outlineLevel="0" collapsed="false">
      <c r="A189" s="26" t="str">
        <f aca="false">IF(Tasks!$D193="","",Tasks!$A193)</f>
        <v/>
      </c>
      <c r="B189" s="26" t="str">
        <f aca="false">IF(Tasks!$D193="","",Tasks!$D193)</f>
        <v/>
      </c>
      <c r="C189" s="26" t="str">
        <f aca="false">IF(Tasks!$D193="","",Tasks!$AE193)</f>
        <v/>
      </c>
      <c r="D189" s="26" t="str">
        <f aca="false">IF(Tasks!$D193="","",IF(Tasks!$E193="Manual","Manually Scheduled","Auto Scheduled"))</f>
        <v/>
      </c>
      <c r="E189" s="26" t="str">
        <f aca="false">IF(OR(Tasks!$D193="",Tasks!$AI193),"",N(Tasks!$F193)&amp;"d")</f>
        <v/>
      </c>
      <c r="F189" s="79" t="str">
        <f aca="false">IF(Tasks!$D193="","",Tasks!$R193)</f>
        <v/>
      </c>
      <c r="G189" s="79" t="str">
        <f aca="false">IF(Tasks!$D193="","",Tasks!$S193)</f>
        <v/>
      </c>
      <c r="H189" s="26" t="str">
        <f aca="false">IF(OR(Tasks!$D193="",Tasks!$AI193),"",Tasks!$AC193)</f>
        <v/>
      </c>
      <c r="I189" s="26" t="str">
        <f aca="false">IF(OR(Tasks!$D193="",Tasks!$X193=""),"",Tasks!$X193&amp;IF(OR(Tasks!$Y193="",Tasks!$Y193=1),"","["&amp;ROUND(Tasks!$Y193*100,0)&amp;"%]"))</f>
        <v/>
      </c>
      <c r="J189" s="26" t="str">
        <f aca="false">IF(OR(Tasks!$D193="",Tasks!$AI193),"",ROUND(Tasks!$V193*100,0))</f>
        <v/>
      </c>
      <c r="K189" s="79" t="str">
        <f aca="false">IF(OR(Tasks!$D193="",N(Tasks!$P193)=0),"",Tasks!$P193)</f>
        <v/>
      </c>
      <c r="L189" s="79" t="str">
        <f aca="false">IF(OR(Tasks!$D193="",N(Tasks!$Q193)=0),"",Tasks!$Q193)</f>
        <v/>
      </c>
      <c r="M189" s="79" t="str">
        <f aca="false">IF(Tasks!$D193="","",Tasks!$N193)</f>
        <v/>
      </c>
      <c r="N189" s="79" t="str">
        <f aca="false">IF(Tasks!$D193="","",Tasks!$O193)</f>
        <v/>
      </c>
      <c r="O189" s="26" t="str">
        <f aca="false">IF(OR(Tasks!$D193="",Tasks!$AI193),"",IF(AND(Tasks!$E193&lt;&gt;"Manual",N(Tasks!$M193)&gt;0),"Start No Earlier Than","As Soon As Possible"))</f>
        <v/>
      </c>
      <c r="P189" s="79" t="str">
        <f aca="false">IF(OR(Tasks!$D193="",Tasks!$AI193,N(Tasks!$M193)=0,Tasks!$E193="Manual"),"",Tasks!$M193)</f>
        <v/>
      </c>
      <c r="Q189" s="26" t="str">
        <f aca="false">IF(Tasks!$D193="","",Tasks!$AD193&amp;"")</f>
        <v/>
      </c>
    </row>
    <row r="190" customFormat="false" ht="15" hidden="false" customHeight="false" outlineLevel="0" collapsed="false">
      <c r="A190" s="26" t="str">
        <f aca="false">IF(Tasks!$D194="","",Tasks!$A194)</f>
        <v/>
      </c>
      <c r="B190" s="26" t="str">
        <f aca="false">IF(Tasks!$D194="","",Tasks!$D194)</f>
        <v/>
      </c>
      <c r="C190" s="26" t="str">
        <f aca="false">IF(Tasks!$D194="","",Tasks!$AE194)</f>
        <v/>
      </c>
      <c r="D190" s="26" t="str">
        <f aca="false">IF(Tasks!$D194="","",IF(Tasks!$E194="Manual","Manually Scheduled","Auto Scheduled"))</f>
        <v/>
      </c>
      <c r="E190" s="26" t="str">
        <f aca="false">IF(OR(Tasks!$D194="",Tasks!$AI194),"",N(Tasks!$F194)&amp;"d")</f>
        <v/>
      </c>
      <c r="F190" s="79" t="str">
        <f aca="false">IF(Tasks!$D194="","",Tasks!$R194)</f>
        <v/>
      </c>
      <c r="G190" s="79" t="str">
        <f aca="false">IF(Tasks!$D194="","",Tasks!$S194)</f>
        <v/>
      </c>
      <c r="H190" s="26" t="str">
        <f aca="false">IF(OR(Tasks!$D194="",Tasks!$AI194),"",Tasks!$AC194)</f>
        <v/>
      </c>
      <c r="I190" s="26" t="str">
        <f aca="false">IF(OR(Tasks!$D194="",Tasks!$X194=""),"",Tasks!$X194&amp;IF(OR(Tasks!$Y194="",Tasks!$Y194=1),"","["&amp;ROUND(Tasks!$Y194*100,0)&amp;"%]"))</f>
        <v/>
      </c>
      <c r="J190" s="26" t="str">
        <f aca="false">IF(OR(Tasks!$D194="",Tasks!$AI194),"",ROUND(Tasks!$V194*100,0))</f>
        <v/>
      </c>
      <c r="K190" s="79" t="str">
        <f aca="false">IF(OR(Tasks!$D194="",N(Tasks!$P194)=0),"",Tasks!$P194)</f>
        <v/>
      </c>
      <c r="L190" s="79" t="str">
        <f aca="false">IF(OR(Tasks!$D194="",N(Tasks!$Q194)=0),"",Tasks!$Q194)</f>
        <v/>
      </c>
      <c r="M190" s="79" t="str">
        <f aca="false">IF(Tasks!$D194="","",Tasks!$N194)</f>
        <v/>
      </c>
      <c r="N190" s="79" t="str">
        <f aca="false">IF(Tasks!$D194="","",Tasks!$O194)</f>
        <v/>
      </c>
      <c r="O190" s="26" t="str">
        <f aca="false">IF(OR(Tasks!$D194="",Tasks!$AI194),"",IF(AND(Tasks!$E194&lt;&gt;"Manual",N(Tasks!$M194)&gt;0),"Start No Earlier Than","As Soon As Possible"))</f>
        <v/>
      </c>
      <c r="P190" s="79" t="str">
        <f aca="false">IF(OR(Tasks!$D194="",Tasks!$AI194,N(Tasks!$M194)=0,Tasks!$E194="Manual"),"",Tasks!$M194)</f>
        <v/>
      </c>
      <c r="Q190" s="26" t="str">
        <f aca="false">IF(Tasks!$D194="","",Tasks!$AD194&amp;"")</f>
        <v/>
      </c>
    </row>
    <row r="191" customFormat="false" ht="15" hidden="false" customHeight="false" outlineLevel="0" collapsed="false">
      <c r="A191" s="26" t="str">
        <f aca="false">IF(Tasks!$D195="","",Tasks!$A195)</f>
        <v/>
      </c>
      <c r="B191" s="26" t="str">
        <f aca="false">IF(Tasks!$D195="","",Tasks!$D195)</f>
        <v/>
      </c>
      <c r="C191" s="26" t="str">
        <f aca="false">IF(Tasks!$D195="","",Tasks!$AE195)</f>
        <v/>
      </c>
      <c r="D191" s="26" t="str">
        <f aca="false">IF(Tasks!$D195="","",IF(Tasks!$E195="Manual","Manually Scheduled","Auto Scheduled"))</f>
        <v/>
      </c>
      <c r="E191" s="26" t="str">
        <f aca="false">IF(OR(Tasks!$D195="",Tasks!$AI195),"",N(Tasks!$F195)&amp;"d")</f>
        <v/>
      </c>
      <c r="F191" s="79" t="str">
        <f aca="false">IF(Tasks!$D195="","",Tasks!$R195)</f>
        <v/>
      </c>
      <c r="G191" s="79" t="str">
        <f aca="false">IF(Tasks!$D195="","",Tasks!$S195)</f>
        <v/>
      </c>
      <c r="H191" s="26" t="str">
        <f aca="false">IF(OR(Tasks!$D195="",Tasks!$AI195),"",Tasks!$AC195)</f>
        <v/>
      </c>
      <c r="I191" s="26" t="str">
        <f aca="false">IF(OR(Tasks!$D195="",Tasks!$X195=""),"",Tasks!$X195&amp;IF(OR(Tasks!$Y195="",Tasks!$Y195=1),"","["&amp;ROUND(Tasks!$Y195*100,0)&amp;"%]"))</f>
        <v/>
      </c>
      <c r="J191" s="26" t="str">
        <f aca="false">IF(OR(Tasks!$D195="",Tasks!$AI195),"",ROUND(Tasks!$V195*100,0))</f>
        <v/>
      </c>
      <c r="K191" s="79" t="str">
        <f aca="false">IF(OR(Tasks!$D195="",N(Tasks!$P195)=0),"",Tasks!$P195)</f>
        <v/>
      </c>
      <c r="L191" s="79" t="str">
        <f aca="false">IF(OR(Tasks!$D195="",N(Tasks!$Q195)=0),"",Tasks!$Q195)</f>
        <v/>
      </c>
      <c r="M191" s="79" t="str">
        <f aca="false">IF(Tasks!$D195="","",Tasks!$N195)</f>
        <v/>
      </c>
      <c r="N191" s="79" t="str">
        <f aca="false">IF(Tasks!$D195="","",Tasks!$O195)</f>
        <v/>
      </c>
      <c r="O191" s="26" t="str">
        <f aca="false">IF(OR(Tasks!$D195="",Tasks!$AI195),"",IF(AND(Tasks!$E195&lt;&gt;"Manual",N(Tasks!$M195)&gt;0),"Start No Earlier Than","As Soon As Possible"))</f>
        <v/>
      </c>
      <c r="P191" s="79" t="str">
        <f aca="false">IF(OR(Tasks!$D195="",Tasks!$AI195,N(Tasks!$M195)=0,Tasks!$E195="Manual"),"",Tasks!$M195)</f>
        <v/>
      </c>
      <c r="Q191" s="26" t="str">
        <f aca="false">IF(Tasks!$D195="","",Tasks!$AD195&amp;"")</f>
        <v/>
      </c>
    </row>
    <row r="192" customFormat="false" ht="15" hidden="false" customHeight="false" outlineLevel="0" collapsed="false">
      <c r="A192" s="26" t="str">
        <f aca="false">IF(Tasks!$D196="","",Tasks!$A196)</f>
        <v/>
      </c>
      <c r="B192" s="26" t="str">
        <f aca="false">IF(Tasks!$D196="","",Tasks!$D196)</f>
        <v/>
      </c>
      <c r="C192" s="26" t="str">
        <f aca="false">IF(Tasks!$D196="","",Tasks!$AE196)</f>
        <v/>
      </c>
      <c r="D192" s="26" t="str">
        <f aca="false">IF(Tasks!$D196="","",IF(Tasks!$E196="Manual","Manually Scheduled","Auto Scheduled"))</f>
        <v/>
      </c>
      <c r="E192" s="26" t="str">
        <f aca="false">IF(OR(Tasks!$D196="",Tasks!$AI196),"",N(Tasks!$F196)&amp;"d")</f>
        <v/>
      </c>
      <c r="F192" s="79" t="str">
        <f aca="false">IF(Tasks!$D196="","",Tasks!$R196)</f>
        <v/>
      </c>
      <c r="G192" s="79" t="str">
        <f aca="false">IF(Tasks!$D196="","",Tasks!$S196)</f>
        <v/>
      </c>
      <c r="H192" s="26" t="str">
        <f aca="false">IF(OR(Tasks!$D196="",Tasks!$AI196),"",Tasks!$AC196)</f>
        <v/>
      </c>
      <c r="I192" s="26" t="str">
        <f aca="false">IF(OR(Tasks!$D196="",Tasks!$X196=""),"",Tasks!$X196&amp;IF(OR(Tasks!$Y196="",Tasks!$Y196=1),"","["&amp;ROUND(Tasks!$Y196*100,0)&amp;"%]"))</f>
        <v/>
      </c>
      <c r="J192" s="26" t="str">
        <f aca="false">IF(OR(Tasks!$D196="",Tasks!$AI196),"",ROUND(Tasks!$V196*100,0))</f>
        <v/>
      </c>
      <c r="K192" s="79" t="str">
        <f aca="false">IF(OR(Tasks!$D196="",N(Tasks!$P196)=0),"",Tasks!$P196)</f>
        <v/>
      </c>
      <c r="L192" s="79" t="str">
        <f aca="false">IF(OR(Tasks!$D196="",N(Tasks!$Q196)=0),"",Tasks!$Q196)</f>
        <v/>
      </c>
      <c r="M192" s="79" t="str">
        <f aca="false">IF(Tasks!$D196="","",Tasks!$N196)</f>
        <v/>
      </c>
      <c r="N192" s="79" t="str">
        <f aca="false">IF(Tasks!$D196="","",Tasks!$O196)</f>
        <v/>
      </c>
      <c r="O192" s="26" t="str">
        <f aca="false">IF(OR(Tasks!$D196="",Tasks!$AI196),"",IF(AND(Tasks!$E196&lt;&gt;"Manual",N(Tasks!$M196)&gt;0),"Start No Earlier Than","As Soon As Possible"))</f>
        <v/>
      </c>
      <c r="P192" s="79" t="str">
        <f aca="false">IF(OR(Tasks!$D196="",Tasks!$AI196,N(Tasks!$M196)=0,Tasks!$E196="Manual"),"",Tasks!$M196)</f>
        <v/>
      </c>
      <c r="Q192" s="26" t="str">
        <f aca="false">IF(Tasks!$D196="","",Tasks!$AD196&amp;"")</f>
        <v/>
      </c>
    </row>
    <row r="193" customFormat="false" ht="15" hidden="false" customHeight="false" outlineLevel="0" collapsed="false">
      <c r="A193" s="26" t="str">
        <f aca="false">IF(Tasks!$D197="","",Tasks!$A197)</f>
        <v/>
      </c>
      <c r="B193" s="26" t="str">
        <f aca="false">IF(Tasks!$D197="","",Tasks!$D197)</f>
        <v/>
      </c>
      <c r="C193" s="26" t="str">
        <f aca="false">IF(Tasks!$D197="","",Tasks!$AE197)</f>
        <v/>
      </c>
      <c r="D193" s="26" t="str">
        <f aca="false">IF(Tasks!$D197="","",IF(Tasks!$E197="Manual","Manually Scheduled","Auto Scheduled"))</f>
        <v/>
      </c>
      <c r="E193" s="26" t="str">
        <f aca="false">IF(OR(Tasks!$D197="",Tasks!$AI197),"",N(Tasks!$F197)&amp;"d")</f>
        <v/>
      </c>
      <c r="F193" s="79" t="str">
        <f aca="false">IF(Tasks!$D197="","",Tasks!$R197)</f>
        <v/>
      </c>
      <c r="G193" s="79" t="str">
        <f aca="false">IF(Tasks!$D197="","",Tasks!$S197)</f>
        <v/>
      </c>
      <c r="H193" s="26" t="str">
        <f aca="false">IF(OR(Tasks!$D197="",Tasks!$AI197),"",Tasks!$AC197)</f>
        <v/>
      </c>
      <c r="I193" s="26" t="str">
        <f aca="false">IF(OR(Tasks!$D197="",Tasks!$X197=""),"",Tasks!$X197&amp;IF(OR(Tasks!$Y197="",Tasks!$Y197=1),"","["&amp;ROUND(Tasks!$Y197*100,0)&amp;"%]"))</f>
        <v/>
      </c>
      <c r="J193" s="26" t="str">
        <f aca="false">IF(OR(Tasks!$D197="",Tasks!$AI197),"",ROUND(Tasks!$V197*100,0))</f>
        <v/>
      </c>
      <c r="K193" s="79" t="str">
        <f aca="false">IF(OR(Tasks!$D197="",N(Tasks!$P197)=0),"",Tasks!$P197)</f>
        <v/>
      </c>
      <c r="L193" s="79" t="str">
        <f aca="false">IF(OR(Tasks!$D197="",N(Tasks!$Q197)=0),"",Tasks!$Q197)</f>
        <v/>
      </c>
      <c r="M193" s="79" t="str">
        <f aca="false">IF(Tasks!$D197="","",Tasks!$N197)</f>
        <v/>
      </c>
      <c r="N193" s="79" t="str">
        <f aca="false">IF(Tasks!$D197="","",Tasks!$O197)</f>
        <v/>
      </c>
      <c r="O193" s="26" t="str">
        <f aca="false">IF(OR(Tasks!$D197="",Tasks!$AI197),"",IF(AND(Tasks!$E197&lt;&gt;"Manual",N(Tasks!$M197)&gt;0),"Start No Earlier Than","As Soon As Possible"))</f>
        <v/>
      </c>
      <c r="P193" s="79" t="str">
        <f aca="false">IF(OR(Tasks!$D197="",Tasks!$AI197,N(Tasks!$M197)=0,Tasks!$E197="Manual"),"",Tasks!$M197)</f>
        <v/>
      </c>
      <c r="Q193" s="26" t="str">
        <f aca="false">IF(Tasks!$D197="","",Tasks!$AD197&amp;"")</f>
        <v/>
      </c>
    </row>
    <row r="194" customFormat="false" ht="15" hidden="false" customHeight="false" outlineLevel="0" collapsed="false">
      <c r="A194" s="26" t="str">
        <f aca="false">IF(Tasks!$D198="","",Tasks!$A198)</f>
        <v/>
      </c>
      <c r="B194" s="26" t="str">
        <f aca="false">IF(Tasks!$D198="","",Tasks!$D198)</f>
        <v/>
      </c>
      <c r="C194" s="26" t="str">
        <f aca="false">IF(Tasks!$D198="","",Tasks!$AE198)</f>
        <v/>
      </c>
      <c r="D194" s="26" t="str">
        <f aca="false">IF(Tasks!$D198="","",IF(Tasks!$E198="Manual","Manually Scheduled","Auto Scheduled"))</f>
        <v/>
      </c>
      <c r="E194" s="26" t="str">
        <f aca="false">IF(OR(Tasks!$D198="",Tasks!$AI198),"",N(Tasks!$F198)&amp;"d")</f>
        <v/>
      </c>
      <c r="F194" s="79" t="str">
        <f aca="false">IF(Tasks!$D198="","",Tasks!$R198)</f>
        <v/>
      </c>
      <c r="G194" s="79" t="str">
        <f aca="false">IF(Tasks!$D198="","",Tasks!$S198)</f>
        <v/>
      </c>
      <c r="H194" s="26" t="str">
        <f aca="false">IF(OR(Tasks!$D198="",Tasks!$AI198),"",Tasks!$AC198)</f>
        <v/>
      </c>
      <c r="I194" s="26" t="str">
        <f aca="false">IF(OR(Tasks!$D198="",Tasks!$X198=""),"",Tasks!$X198&amp;IF(OR(Tasks!$Y198="",Tasks!$Y198=1),"","["&amp;ROUND(Tasks!$Y198*100,0)&amp;"%]"))</f>
        <v/>
      </c>
      <c r="J194" s="26" t="str">
        <f aca="false">IF(OR(Tasks!$D198="",Tasks!$AI198),"",ROUND(Tasks!$V198*100,0))</f>
        <v/>
      </c>
      <c r="K194" s="79" t="str">
        <f aca="false">IF(OR(Tasks!$D198="",N(Tasks!$P198)=0),"",Tasks!$P198)</f>
        <v/>
      </c>
      <c r="L194" s="79" t="str">
        <f aca="false">IF(OR(Tasks!$D198="",N(Tasks!$Q198)=0),"",Tasks!$Q198)</f>
        <v/>
      </c>
      <c r="M194" s="79" t="str">
        <f aca="false">IF(Tasks!$D198="","",Tasks!$N198)</f>
        <v/>
      </c>
      <c r="N194" s="79" t="str">
        <f aca="false">IF(Tasks!$D198="","",Tasks!$O198)</f>
        <v/>
      </c>
      <c r="O194" s="26" t="str">
        <f aca="false">IF(OR(Tasks!$D198="",Tasks!$AI198),"",IF(AND(Tasks!$E198&lt;&gt;"Manual",N(Tasks!$M198)&gt;0),"Start No Earlier Than","As Soon As Possible"))</f>
        <v/>
      </c>
      <c r="P194" s="79" t="str">
        <f aca="false">IF(OR(Tasks!$D198="",Tasks!$AI198,N(Tasks!$M198)=0,Tasks!$E198="Manual"),"",Tasks!$M198)</f>
        <v/>
      </c>
      <c r="Q194" s="26" t="str">
        <f aca="false">IF(Tasks!$D198="","",Tasks!$AD198&amp;"")</f>
        <v/>
      </c>
    </row>
    <row r="195" customFormat="false" ht="15" hidden="false" customHeight="false" outlineLevel="0" collapsed="false">
      <c r="A195" s="26" t="str">
        <f aca="false">IF(Tasks!$D199="","",Tasks!$A199)</f>
        <v/>
      </c>
      <c r="B195" s="26" t="str">
        <f aca="false">IF(Tasks!$D199="","",Tasks!$D199)</f>
        <v/>
      </c>
      <c r="C195" s="26" t="str">
        <f aca="false">IF(Tasks!$D199="","",Tasks!$AE199)</f>
        <v/>
      </c>
      <c r="D195" s="26" t="str">
        <f aca="false">IF(Tasks!$D199="","",IF(Tasks!$E199="Manual","Manually Scheduled","Auto Scheduled"))</f>
        <v/>
      </c>
      <c r="E195" s="26" t="str">
        <f aca="false">IF(OR(Tasks!$D199="",Tasks!$AI199),"",N(Tasks!$F199)&amp;"d")</f>
        <v/>
      </c>
      <c r="F195" s="79" t="str">
        <f aca="false">IF(Tasks!$D199="","",Tasks!$R199)</f>
        <v/>
      </c>
      <c r="G195" s="79" t="str">
        <f aca="false">IF(Tasks!$D199="","",Tasks!$S199)</f>
        <v/>
      </c>
      <c r="H195" s="26" t="str">
        <f aca="false">IF(OR(Tasks!$D199="",Tasks!$AI199),"",Tasks!$AC199)</f>
        <v/>
      </c>
      <c r="I195" s="26" t="str">
        <f aca="false">IF(OR(Tasks!$D199="",Tasks!$X199=""),"",Tasks!$X199&amp;IF(OR(Tasks!$Y199="",Tasks!$Y199=1),"","["&amp;ROUND(Tasks!$Y199*100,0)&amp;"%]"))</f>
        <v/>
      </c>
      <c r="J195" s="26" t="str">
        <f aca="false">IF(OR(Tasks!$D199="",Tasks!$AI199),"",ROUND(Tasks!$V199*100,0))</f>
        <v/>
      </c>
      <c r="K195" s="79" t="str">
        <f aca="false">IF(OR(Tasks!$D199="",N(Tasks!$P199)=0),"",Tasks!$P199)</f>
        <v/>
      </c>
      <c r="L195" s="79" t="str">
        <f aca="false">IF(OR(Tasks!$D199="",N(Tasks!$Q199)=0),"",Tasks!$Q199)</f>
        <v/>
      </c>
      <c r="M195" s="79" t="str">
        <f aca="false">IF(Tasks!$D199="","",Tasks!$N199)</f>
        <v/>
      </c>
      <c r="N195" s="79" t="str">
        <f aca="false">IF(Tasks!$D199="","",Tasks!$O199)</f>
        <v/>
      </c>
      <c r="O195" s="26" t="str">
        <f aca="false">IF(OR(Tasks!$D199="",Tasks!$AI199),"",IF(AND(Tasks!$E199&lt;&gt;"Manual",N(Tasks!$M199)&gt;0),"Start No Earlier Than","As Soon As Possible"))</f>
        <v/>
      </c>
      <c r="P195" s="79" t="str">
        <f aca="false">IF(OR(Tasks!$D199="",Tasks!$AI199,N(Tasks!$M199)=0,Tasks!$E199="Manual"),"",Tasks!$M199)</f>
        <v/>
      </c>
      <c r="Q195" s="26" t="str">
        <f aca="false">IF(Tasks!$D199="","",Tasks!$AD199&amp;"")</f>
        <v/>
      </c>
    </row>
    <row r="196" customFormat="false" ht="15" hidden="false" customHeight="false" outlineLevel="0" collapsed="false">
      <c r="A196" s="26" t="str">
        <f aca="false">IF(Tasks!$D200="","",Tasks!$A200)</f>
        <v/>
      </c>
      <c r="B196" s="26" t="str">
        <f aca="false">IF(Tasks!$D200="","",Tasks!$D200)</f>
        <v/>
      </c>
      <c r="C196" s="26" t="str">
        <f aca="false">IF(Tasks!$D200="","",Tasks!$AE200)</f>
        <v/>
      </c>
      <c r="D196" s="26" t="str">
        <f aca="false">IF(Tasks!$D200="","",IF(Tasks!$E200="Manual","Manually Scheduled","Auto Scheduled"))</f>
        <v/>
      </c>
      <c r="E196" s="26" t="str">
        <f aca="false">IF(OR(Tasks!$D200="",Tasks!$AI200),"",N(Tasks!$F200)&amp;"d")</f>
        <v/>
      </c>
      <c r="F196" s="79" t="str">
        <f aca="false">IF(Tasks!$D200="","",Tasks!$R200)</f>
        <v/>
      </c>
      <c r="G196" s="79" t="str">
        <f aca="false">IF(Tasks!$D200="","",Tasks!$S200)</f>
        <v/>
      </c>
      <c r="H196" s="26" t="str">
        <f aca="false">IF(OR(Tasks!$D200="",Tasks!$AI200),"",Tasks!$AC200)</f>
        <v/>
      </c>
      <c r="I196" s="26" t="str">
        <f aca="false">IF(OR(Tasks!$D200="",Tasks!$X200=""),"",Tasks!$X200&amp;IF(OR(Tasks!$Y200="",Tasks!$Y200=1),"","["&amp;ROUND(Tasks!$Y200*100,0)&amp;"%]"))</f>
        <v/>
      </c>
      <c r="J196" s="26" t="str">
        <f aca="false">IF(OR(Tasks!$D200="",Tasks!$AI200),"",ROUND(Tasks!$V200*100,0))</f>
        <v/>
      </c>
      <c r="K196" s="79" t="str">
        <f aca="false">IF(OR(Tasks!$D200="",N(Tasks!$P200)=0),"",Tasks!$P200)</f>
        <v/>
      </c>
      <c r="L196" s="79" t="str">
        <f aca="false">IF(OR(Tasks!$D200="",N(Tasks!$Q200)=0),"",Tasks!$Q200)</f>
        <v/>
      </c>
      <c r="M196" s="79" t="str">
        <f aca="false">IF(Tasks!$D200="","",Tasks!$N200)</f>
        <v/>
      </c>
      <c r="N196" s="79" t="str">
        <f aca="false">IF(Tasks!$D200="","",Tasks!$O200)</f>
        <v/>
      </c>
      <c r="O196" s="26" t="str">
        <f aca="false">IF(OR(Tasks!$D200="",Tasks!$AI200),"",IF(AND(Tasks!$E200&lt;&gt;"Manual",N(Tasks!$M200)&gt;0),"Start No Earlier Than","As Soon As Possible"))</f>
        <v/>
      </c>
      <c r="P196" s="79" t="str">
        <f aca="false">IF(OR(Tasks!$D200="",Tasks!$AI200,N(Tasks!$M200)=0,Tasks!$E200="Manual"),"",Tasks!$M200)</f>
        <v/>
      </c>
      <c r="Q196" s="26" t="str">
        <f aca="false">IF(Tasks!$D200="","",Tasks!$AD200&amp;"")</f>
        <v/>
      </c>
    </row>
    <row r="197" customFormat="false" ht="15" hidden="false" customHeight="false" outlineLevel="0" collapsed="false">
      <c r="A197" s="26" t="str">
        <f aca="false">IF(Tasks!$D201="","",Tasks!$A201)</f>
        <v/>
      </c>
      <c r="B197" s="26" t="str">
        <f aca="false">IF(Tasks!$D201="","",Tasks!$D201)</f>
        <v/>
      </c>
      <c r="C197" s="26" t="str">
        <f aca="false">IF(Tasks!$D201="","",Tasks!$AE201)</f>
        <v/>
      </c>
      <c r="D197" s="26" t="str">
        <f aca="false">IF(Tasks!$D201="","",IF(Tasks!$E201="Manual","Manually Scheduled","Auto Scheduled"))</f>
        <v/>
      </c>
      <c r="E197" s="26" t="str">
        <f aca="false">IF(OR(Tasks!$D201="",Tasks!$AI201),"",N(Tasks!$F201)&amp;"d")</f>
        <v/>
      </c>
      <c r="F197" s="79" t="str">
        <f aca="false">IF(Tasks!$D201="","",Tasks!$R201)</f>
        <v/>
      </c>
      <c r="G197" s="79" t="str">
        <f aca="false">IF(Tasks!$D201="","",Tasks!$S201)</f>
        <v/>
      </c>
      <c r="H197" s="26" t="str">
        <f aca="false">IF(OR(Tasks!$D201="",Tasks!$AI201),"",Tasks!$AC201)</f>
        <v/>
      </c>
      <c r="I197" s="26" t="str">
        <f aca="false">IF(OR(Tasks!$D201="",Tasks!$X201=""),"",Tasks!$X201&amp;IF(OR(Tasks!$Y201="",Tasks!$Y201=1),"","["&amp;ROUND(Tasks!$Y201*100,0)&amp;"%]"))</f>
        <v/>
      </c>
      <c r="J197" s="26" t="str">
        <f aca="false">IF(OR(Tasks!$D201="",Tasks!$AI201),"",ROUND(Tasks!$V201*100,0))</f>
        <v/>
      </c>
      <c r="K197" s="79" t="str">
        <f aca="false">IF(OR(Tasks!$D201="",N(Tasks!$P201)=0),"",Tasks!$P201)</f>
        <v/>
      </c>
      <c r="L197" s="79" t="str">
        <f aca="false">IF(OR(Tasks!$D201="",N(Tasks!$Q201)=0),"",Tasks!$Q201)</f>
        <v/>
      </c>
      <c r="M197" s="79" t="str">
        <f aca="false">IF(Tasks!$D201="","",Tasks!$N201)</f>
        <v/>
      </c>
      <c r="N197" s="79" t="str">
        <f aca="false">IF(Tasks!$D201="","",Tasks!$O201)</f>
        <v/>
      </c>
      <c r="O197" s="26" t="str">
        <f aca="false">IF(OR(Tasks!$D201="",Tasks!$AI201),"",IF(AND(Tasks!$E201&lt;&gt;"Manual",N(Tasks!$M201)&gt;0),"Start No Earlier Than","As Soon As Possible"))</f>
        <v/>
      </c>
      <c r="P197" s="79" t="str">
        <f aca="false">IF(OR(Tasks!$D201="",Tasks!$AI201,N(Tasks!$M201)=0,Tasks!$E201="Manual"),"",Tasks!$M201)</f>
        <v/>
      </c>
      <c r="Q197" s="26" t="str">
        <f aca="false">IF(Tasks!$D201="","",Tasks!$AD201&amp;"")</f>
        <v/>
      </c>
    </row>
    <row r="198" customFormat="false" ht="15" hidden="false" customHeight="false" outlineLevel="0" collapsed="false">
      <c r="A198" s="26" t="str">
        <f aca="false">IF(Tasks!$D202="","",Tasks!$A202)</f>
        <v/>
      </c>
      <c r="B198" s="26" t="str">
        <f aca="false">IF(Tasks!$D202="","",Tasks!$D202)</f>
        <v/>
      </c>
      <c r="C198" s="26" t="str">
        <f aca="false">IF(Tasks!$D202="","",Tasks!$AE202)</f>
        <v/>
      </c>
      <c r="D198" s="26" t="str">
        <f aca="false">IF(Tasks!$D202="","",IF(Tasks!$E202="Manual","Manually Scheduled","Auto Scheduled"))</f>
        <v/>
      </c>
      <c r="E198" s="26" t="str">
        <f aca="false">IF(OR(Tasks!$D202="",Tasks!$AI202),"",N(Tasks!$F202)&amp;"d")</f>
        <v/>
      </c>
      <c r="F198" s="79" t="str">
        <f aca="false">IF(Tasks!$D202="","",Tasks!$R202)</f>
        <v/>
      </c>
      <c r="G198" s="79" t="str">
        <f aca="false">IF(Tasks!$D202="","",Tasks!$S202)</f>
        <v/>
      </c>
      <c r="H198" s="26" t="str">
        <f aca="false">IF(OR(Tasks!$D202="",Tasks!$AI202),"",Tasks!$AC202)</f>
        <v/>
      </c>
      <c r="I198" s="26" t="str">
        <f aca="false">IF(OR(Tasks!$D202="",Tasks!$X202=""),"",Tasks!$X202&amp;IF(OR(Tasks!$Y202="",Tasks!$Y202=1),"","["&amp;ROUND(Tasks!$Y202*100,0)&amp;"%]"))</f>
        <v/>
      </c>
      <c r="J198" s="26" t="str">
        <f aca="false">IF(OR(Tasks!$D202="",Tasks!$AI202),"",ROUND(Tasks!$V202*100,0))</f>
        <v/>
      </c>
      <c r="K198" s="79" t="str">
        <f aca="false">IF(OR(Tasks!$D202="",N(Tasks!$P202)=0),"",Tasks!$P202)</f>
        <v/>
      </c>
      <c r="L198" s="79" t="str">
        <f aca="false">IF(OR(Tasks!$D202="",N(Tasks!$Q202)=0),"",Tasks!$Q202)</f>
        <v/>
      </c>
      <c r="M198" s="79" t="str">
        <f aca="false">IF(Tasks!$D202="","",Tasks!$N202)</f>
        <v/>
      </c>
      <c r="N198" s="79" t="str">
        <f aca="false">IF(Tasks!$D202="","",Tasks!$O202)</f>
        <v/>
      </c>
      <c r="O198" s="26" t="str">
        <f aca="false">IF(OR(Tasks!$D202="",Tasks!$AI202),"",IF(AND(Tasks!$E202&lt;&gt;"Manual",N(Tasks!$M202)&gt;0),"Start No Earlier Than","As Soon As Possible"))</f>
        <v/>
      </c>
      <c r="P198" s="79" t="str">
        <f aca="false">IF(OR(Tasks!$D202="",Tasks!$AI202,N(Tasks!$M202)=0,Tasks!$E202="Manual"),"",Tasks!$M202)</f>
        <v/>
      </c>
      <c r="Q198" s="26" t="str">
        <f aca="false">IF(Tasks!$D202="","",Tasks!$AD202&amp;"")</f>
        <v/>
      </c>
    </row>
    <row r="199" customFormat="false" ht="15" hidden="false" customHeight="false" outlineLevel="0" collapsed="false">
      <c r="A199" s="26" t="str">
        <f aca="false">IF(Tasks!$D203="","",Tasks!$A203)</f>
        <v/>
      </c>
      <c r="B199" s="26" t="str">
        <f aca="false">IF(Tasks!$D203="","",Tasks!$D203)</f>
        <v/>
      </c>
      <c r="C199" s="26" t="str">
        <f aca="false">IF(Tasks!$D203="","",Tasks!$AE203)</f>
        <v/>
      </c>
      <c r="D199" s="26" t="str">
        <f aca="false">IF(Tasks!$D203="","",IF(Tasks!$E203="Manual","Manually Scheduled","Auto Scheduled"))</f>
        <v/>
      </c>
      <c r="E199" s="26" t="str">
        <f aca="false">IF(OR(Tasks!$D203="",Tasks!$AI203),"",N(Tasks!$F203)&amp;"d")</f>
        <v/>
      </c>
      <c r="F199" s="79" t="str">
        <f aca="false">IF(Tasks!$D203="","",Tasks!$R203)</f>
        <v/>
      </c>
      <c r="G199" s="79" t="str">
        <f aca="false">IF(Tasks!$D203="","",Tasks!$S203)</f>
        <v/>
      </c>
      <c r="H199" s="26" t="str">
        <f aca="false">IF(OR(Tasks!$D203="",Tasks!$AI203),"",Tasks!$AC203)</f>
        <v/>
      </c>
      <c r="I199" s="26" t="str">
        <f aca="false">IF(OR(Tasks!$D203="",Tasks!$X203=""),"",Tasks!$X203&amp;IF(OR(Tasks!$Y203="",Tasks!$Y203=1),"","["&amp;ROUND(Tasks!$Y203*100,0)&amp;"%]"))</f>
        <v/>
      </c>
      <c r="J199" s="26" t="str">
        <f aca="false">IF(OR(Tasks!$D203="",Tasks!$AI203),"",ROUND(Tasks!$V203*100,0))</f>
        <v/>
      </c>
      <c r="K199" s="79" t="str">
        <f aca="false">IF(OR(Tasks!$D203="",N(Tasks!$P203)=0),"",Tasks!$P203)</f>
        <v/>
      </c>
      <c r="L199" s="79" t="str">
        <f aca="false">IF(OR(Tasks!$D203="",N(Tasks!$Q203)=0),"",Tasks!$Q203)</f>
        <v/>
      </c>
      <c r="M199" s="79" t="str">
        <f aca="false">IF(Tasks!$D203="","",Tasks!$N203)</f>
        <v/>
      </c>
      <c r="N199" s="79" t="str">
        <f aca="false">IF(Tasks!$D203="","",Tasks!$O203)</f>
        <v/>
      </c>
      <c r="O199" s="26" t="str">
        <f aca="false">IF(OR(Tasks!$D203="",Tasks!$AI203),"",IF(AND(Tasks!$E203&lt;&gt;"Manual",N(Tasks!$M203)&gt;0),"Start No Earlier Than","As Soon As Possible"))</f>
        <v/>
      </c>
      <c r="P199" s="79" t="str">
        <f aca="false">IF(OR(Tasks!$D203="",Tasks!$AI203,N(Tasks!$M203)=0,Tasks!$E203="Manual"),"",Tasks!$M203)</f>
        <v/>
      </c>
      <c r="Q199" s="26" t="str">
        <f aca="false">IF(Tasks!$D203="","",Tasks!$AD203&amp;"")</f>
        <v/>
      </c>
    </row>
    <row r="200" customFormat="false" ht="15" hidden="false" customHeight="false" outlineLevel="0" collapsed="false">
      <c r="A200" s="26" t="str">
        <f aca="false">IF(Tasks!$D204="","",Tasks!$A204)</f>
        <v/>
      </c>
      <c r="B200" s="26" t="str">
        <f aca="false">IF(Tasks!$D204="","",Tasks!$D204)</f>
        <v/>
      </c>
      <c r="C200" s="26" t="str">
        <f aca="false">IF(Tasks!$D204="","",Tasks!$AE204)</f>
        <v/>
      </c>
      <c r="D200" s="26" t="str">
        <f aca="false">IF(Tasks!$D204="","",IF(Tasks!$E204="Manual","Manually Scheduled","Auto Scheduled"))</f>
        <v/>
      </c>
      <c r="E200" s="26" t="str">
        <f aca="false">IF(OR(Tasks!$D204="",Tasks!$AI204),"",N(Tasks!$F204)&amp;"d")</f>
        <v/>
      </c>
      <c r="F200" s="79" t="str">
        <f aca="false">IF(Tasks!$D204="","",Tasks!$R204)</f>
        <v/>
      </c>
      <c r="G200" s="79" t="str">
        <f aca="false">IF(Tasks!$D204="","",Tasks!$S204)</f>
        <v/>
      </c>
      <c r="H200" s="26" t="str">
        <f aca="false">IF(OR(Tasks!$D204="",Tasks!$AI204),"",Tasks!$AC204)</f>
        <v/>
      </c>
      <c r="I200" s="26" t="str">
        <f aca="false">IF(OR(Tasks!$D204="",Tasks!$X204=""),"",Tasks!$X204&amp;IF(OR(Tasks!$Y204="",Tasks!$Y204=1),"","["&amp;ROUND(Tasks!$Y204*100,0)&amp;"%]"))</f>
        <v/>
      </c>
      <c r="J200" s="26" t="str">
        <f aca="false">IF(OR(Tasks!$D204="",Tasks!$AI204),"",ROUND(Tasks!$V204*100,0))</f>
        <v/>
      </c>
      <c r="K200" s="79" t="str">
        <f aca="false">IF(OR(Tasks!$D204="",N(Tasks!$P204)=0),"",Tasks!$P204)</f>
        <v/>
      </c>
      <c r="L200" s="79" t="str">
        <f aca="false">IF(OR(Tasks!$D204="",N(Tasks!$Q204)=0),"",Tasks!$Q204)</f>
        <v/>
      </c>
      <c r="M200" s="79" t="str">
        <f aca="false">IF(Tasks!$D204="","",Tasks!$N204)</f>
        <v/>
      </c>
      <c r="N200" s="79" t="str">
        <f aca="false">IF(Tasks!$D204="","",Tasks!$O204)</f>
        <v/>
      </c>
      <c r="O200" s="26" t="str">
        <f aca="false">IF(OR(Tasks!$D204="",Tasks!$AI204),"",IF(AND(Tasks!$E204&lt;&gt;"Manual",N(Tasks!$M204)&gt;0),"Start No Earlier Than","As Soon As Possible"))</f>
        <v/>
      </c>
      <c r="P200" s="79" t="str">
        <f aca="false">IF(OR(Tasks!$D204="",Tasks!$AI204,N(Tasks!$M204)=0,Tasks!$E204="Manual"),"",Tasks!$M204)</f>
        <v/>
      </c>
      <c r="Q200" s="26" t="str">
        <f aca="false">IF(Tasks!$D204="","",Tasks!$AD204&amp;"")</f>
        <v/>
      </c>
    </row>
    <row r="201" customFormat="false" ht="15" hidden="false" customHeight="false" outlineLevel="0" collapsed="false">
      <c r="A201" s="26" t="str">
        <f aca="false">IF(Tasks!$D205="","",Tasks!$A205)</f>
        <v/>
      </c>
      <c r="B201" s="26" t="str">
        <f aca="false">IF(Tasks!$D205="","",Tasks!$D205)</f>
        <v/>
      </c>
      <c r="C201" s="26" t="str">
        <f aca="false">IF(Tasks!$D205="","",Tasks!$AE205)</f>
        <v/>
      </c>
      <c r="D201" s="26" t="str">
        <f aca="false">IF(Tasks!$D205="","",IF(Tasks!$E205="Manual","Manually Scheduled","Auto Scheduled"))</f>
        <v/>
      </c>
      <c r="E201" s="26" t="str">
        <f aca="false">IF(OR(Tasks!$D205="",Tasks!$AI205),"",N(Tasks!$F205)&amp;"d")</f>
        <v/>
      </c>
      <c r="F201" s="79" t="str">
        <f aca="false">IF(Tasks!$D205="","",Tasks!$R205)</f>
        <v/>
      </c>
      <c r="G201" s="79" t="str">
        <f aca="false">IF(Tasks!$D205="","",Tasks!$S205)</f>
        <v/>
      </c>
      <c r="H201" s="26" t="str">
        <f aca="false">IF(OR(Tasks!$D205="",Tasks!$AI205),"",Tasks!$AC205)</f>
        <v/>
      </c>
      <c r="I201" s="26" t="str">
        <f aca="false">IF(OR(Tasks!$D205="",Tasks!$X205=""),"",Tasks!$X205&amp;IF(OR(Tasks!$Y205="",Tasks!$Y205=1),"","["&amp;ROUND(Tasks!$Y205*100,0)&amp;"%]"))</f>
        <v/>
      </c>
      <c r="J201" s="26" t="str">
        <f aca="false">IF(OR(Tasks!$D205="",Tasks!$AI205),"",ROUND(Tasks!$V205*100,0))</f>
        <v/>
      </c>
      <c r="K201" s="79" t="str">
        <f aca="false">IF(OR(Tasks!$D205="",N(Tasks!$P205)=0),"",Tasks!$P205)</f>
        <v/>
      </c>
      <c r="L201" s="79" t="str">
        <f aca="false">IF(OR(Tasks!$D205="",N(Tasks!$Q205)=0),"",Tasks!$Q205)</f>
        <v/>
      </c>
      <c r="M201" s="79" t="str">
        <f aca="false">IF(Tasks!$D205="","",Tasks!$N205)</f>
        <v/>
      </c>
      <c r="N201" s="79" t="str">
        <f aca="false">IF(Tasks!$D205="","",Tasks!$O205)</f>
        <v/>
      </c>
      <c r="O201" s="26" t="str">
        <f aca="false">IF(OR(Tasks!$D205="",Tasks!$AI205),"",IF(AND(Tasks!$E205&lt;&gt;"Manual",N(Tasks!$M205)&gt;0),"Start No Earlier Than","As Soon As Possible"))</f>
        <v/>
      </c>
      <c r="P201" s="79" t="str">
        <f aca="false">IF(OR(Tasks!$D205="",Tasks!$AI205,N(Tasks!$M205)=0,Tasks!$E205="Manual"),"",Tasks!$M205)</f>
        <v/>
      </c>
      <c r="Q201" s="26" t="str">
        <f aca="false">IF(Tasks!$D205="","",Tasks!$AD205&amp;"")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23.85" hidden="false" customHeight="false" outlineLevel="0" collapsed="false">
      <c r="A1" s="9" t="s">
        <v>346</v>
      </c>
      <c r="B1" s="9" t="s">
        <v>281</v>
      </c>
      <c r="C1" s="9" t="s">
        <v>357</v>
      </c>
      <c r="D1" s="9" t="s">
        <v>283</v>
      </c>
      <c r="E1" s="9" t="s">
        <v>284</v>
      </c>
      <c r="F1" s="9" t="s">
        <v>358</v>
      </c>
      <c r="G1" s="9" t="s">
        <v>359</v>
      </c>
    </row>
    <row r="2" customFormat="false" ht="15" hidden="false" customHeight="false" outlineLevel="0" collapsed="false">
      <c r="A2" s="26" t="str">
        <f aca="false">IF(INDEX(res_Name,1)="","",INDEX(res_Name,1)&amp;"")</f>
        <v>Priya Sharma</v>
      </c>
      <c r="B2" s="26" t="str">
        <f aca="false">IF(INDEX(res_Initials,1)="","",INDEX(res_Initials,1)&amp;"")</f>
        <v>PS</v>
      </c>
      <c r="C2" s="26" t="str">
        <f aca="false">IF(INDEX(res_Group,1)="","",INDEX(res_Group,1)&amp;"")</f>
        <v>Project Manager</v>
      </c>
      <c r="D2" s="26" t="str">
        <f aca="false">IF(INDEX(res_Type,1)="","",INDEX(res_Type,1)&amp;"")</f>
        <v>Work</v>
      </c>
      <c r="E2" s="26" t="str">
        <f aca="false">IF(INDEX(res_Name,1)="","",ROUND(INDEX(res_MaxUnits,1)*100,0)&amp;"%")</f>
        <v>50%</v>
      </c>
      <c r="F2" s="26" t="str">
        <f aca="false">IF(INDEX(res_Name,1)="","",INDEX(res_Rate,1)&amp;"/h")</f>
        <v>95/h</v>
      </c>
      <c r="G2" s="26" t="str">
        <f aca="false">IF(INDEX(res_Email,1)="","",INDEX(res_Email,1)&amp;"")</f>
        <v>priya@example.com</v>
      </c>
    </row>
    <row r="3" customFormat="false" ht="15" hidden="false" customHeight="false" outlineLevel="0" collapsed="false">
      <c r="A3" s="26" t="str">
        <f aca="false">IF(INDEX(res_Name,2)="","",INDEX(res_Name,2)&amp;"")</f>
        <v>Morgan Patel</v>
      </c>
      <c r="B3" s="26" t="str">
        <f aca="false">IF(INDEX(res_Initials,2)="","",INDEX(res_Initials,2)&amp;"")</f>
        <v>MP</v>
      </c>
      <c r="C3" s="26" t="str">
        <f aca="false">IF(INDEX(res_Group,2)="","",INDEX(res_Group,2)&amp;"")</f>
        <v>Business Analyst</v>
      </c>
      <c r="D3" s="26" t="str">
        <f aca="false">IF(INDEX(res_Type,2)="","",INDEX(res_Type,2)&amp;"")</f>
        <v>Work</v>
      </c>
      <c r="E3" s="26" t="str">
        <f aca="false">IF(INDEX(res_Name,2)="","",ROUND(INDEX(res_MaxUnits,2)*100,0)&amp;"%")</f>
        <v>100%</v>
      </c>
      <c r="F3" s="26" t="str">
        <f aca="false">IF(INDEX(res_Name,2)="","",INDEX(res_Rate,2)&amp;"/h")</f>
        <v>70/h</v>
      </c>
      <c r="G3" s="26" t="str">
        <f aca="false">IF(INDEX(res_Email,2)="","",INDEX(res_Email,2)&amp;"")</f>
        <v>morgan@example.com</v>
      </c>
    </row>
    <row r="4" customFormat="false" ht="15" hidden="false" customHeight="false" outlineLevel="0" collapsed="false">
      <c r="A4" s="26" t="str">
        <f aca="false">IF(INDEX(res_Name,3)="","",INDEX(res_Name,3)&amp;"")</f>
        <v>Alex Chen</v>
      </c>
      <c r="B4" s="26" t="str">
        <f aca="false">IF(INDEX(res_Initials,3)="","",INDEX(res_Initials,3)&amp;"")</f>
        <v>AC</v>
      </c>
      <c r="C4" s="26" t="str">
        <f aca="false">IF(INDEX(res_Group,3)="","",INDEX(res_Group,3)&amp;"")</f>
        <v>Solution Architect</v>
      </c>
      <c r="D4" s="26" t="str">
        <f aca="false">IF(INDEX(res_Type,3)="","",INDEX(res_Type,3)&amp;"")</f>
        <v>Work</v>
      </c>
      <c r="E4" s="26" t="str">
        <f aca="false">IF(INDEX(res_Name,3)="","",ROUND(INDEX(res_MaxUnits,3)*100,0)&amp;"%")</f>
        <v>50%</v>
      </c>
      <c r="F4" s="26" t="str">
        <f aca="false">IF(INDEX(res_Name,3)="","",INDEX(res_Rate,3)&amp;"/h")</f>
        <v>110/h</v>
      </c>
      <c r="G4" s="26" t="str">
        <f aca="false">IF(INDEX(res_Email,3)="","",INDEX(res_Email,3)&amp;"")</f>
        <v>alex@example.com</v>
      </c>
    </row>
    <row r="5" customFormat="false" ht="15" hidden="false" customHeight="false" outlineLevel="0" collapsed="false">
      <c r="A5" s="26" t="str">
        <f aca="false">IF(INDEX(res_Name,4)="","",INDEX(res_Name,4)&amp;"")</f>
        <v>Casey Kim</v>
      </c>
      <c r="B5" s="26" t="str">
        <f aca="false">IF(INDEX(res_Initials,4)="","",INDEX(res_Initials,4)&amp;"")</f>
        <v>CK</v>
      </c>
      <c r="C5" s="26" t="str">
        <f aca="false">IF(INDEX(res_Group,4)="","",INDEX(res_Group,4)&amp;"")</f>
        <v>UX Designer</v>
      </c>
      <c r="D5" s="26" t="str">
        <f aca="false">IF(INDEX(res_Type,4)="","",INDEX(res_Type,4)&amp;"")</f>
        <v>Work</v>
      </c>
      <c r="E5" s="26" t="str">
        <f aca="false">IF(INDEX(res_Name,4)="","",ROUND(INDEX(res_MaxUnits,4)*100,0)&amp;"%")</f>
        <v>100%</v>
      </c>
      <c r="F5" s="26" t="str">
        <f aca="false">IF(INDEX(res_Name,4)="","",INDEX(res_Rate,4)&amp;"/h")</f>
        <v>75/h</v>
      </c>
      <c r="G5" s="26" t="str">
        <f aca="false">IF(INDEX(res_Email,4)="","",INDEX(res_Email,4)&amp;"")</f>
        <v>casey@example.com</v>
      </c>
    </row>
    <row r="6" customFormat="false" ht="15" hidden="false" customHeight="false" outlineLevel="0" collapsed="false">
      <c r="A6" s="26" t="str">
        <f aca="false">IF(INDEX(res_Name,5)="","",INDEX(res_Name,5)&amp;"")</f>
        <v>Jordan Lee</v>
      </c>
      <c r="B6" s="26" t="str">
        <f aca="false">IF(INDEX(res_Initials,5)="","",INDEX(res_Initials,5)&amp;"")</f>
        <v>JL</v>
      </c>
      <c r="C6" s="26" t="str">
        <f aca="false">IF(INDEX(res_Group,5)="","",INDEX(res_Group,5)&amp;"")</f>
        <v>Backend Developer</v>
      </c>
      <c r="D6" s="26" t="str">
        <f aca="false">IF(INDEX(res_Type,5)="","",INDEX(res_Type,5)&amp;"")</f>
        <v>Work</v>
      </c>
      <c r="E6" s="26" t="str">
        <f aca="false">IF(INDEX(res_Name,5)="","",ROUND(INDEX(res_MaxUnits,5)*100,0)&amp;"%")</f>
        <v>100%</v>
      </c>
      <c r="F6" s="26" t="str">
        <f aca="false">IF(INDEX(res_Name,5)="","",INDEX(res_Rate,5)&amp;"/h")</f>
        <v>85/h</v>
      </c>
      <c r="G6" s="26" t="str">
        <f aca="false">IF(INDEX(res_Email,5)="","",INDEX(res_Email,5)&amp;"")</f>
        <v>jordan@example.com</v>
      </c>
    </row>
    <row r="7" customFormat="false" ht="15" hidden="false" customHeight="false" outlineLevel="0" collapsed="false">
      <c r="A7" s="26" t="str">
        <f aca="false">IF(INDEX(res_Name,6)="","",INDEX(res_Name,6)&amp;"")</f>
        <v>Sam Rivera</v>
      </c>
      <c r="B7" s="26" t="str">
        <f aca="false">IF(INDEX(res_Initials,6)="","",INDEX(res_Initials,6)&amp;"")</f>
        <v>SR</v>
      </c>
      <c r="C7" s="26" t="str">
        <f aca="false">IF(INDEX(res_Group,6)="","",INDEX(res_Group,6)&amp;"")</f>
        <v>Frontend Developer</v>
      </c>
      <c r="D7" s="26" t="str">
        <f aca="false">IF(INDEX(res_Type,6)="","",INDEX(res_Type,6)&amp;"")</f>
        <v>Work</v>
      </c>
      <c r="E7" s="26" t="str">
        <f aca="false">IF(INDEX(res_Name,6)="","",ROUND(INDEX(res_MaxUnits,6)*100,0)&amp;"%")</f>
        <v>100%</v>
      </c>
      <c r="F7" s="26" t="str">
        <f aca="false">IF(INDEX(res_Name,6)="","",INDEX(res_Rate,6)&amp;"/h")</f>
        <v>80/h</v>
      </c>
      <c r="G7" s="26" t="str">
        <f aca="false">IF(INDEX(res_Email,6)="","",INDEX(res_Email,6)&amp;"")</f>
        <v>sam@example.com</v>
      </c>
    </row>
    <row r="8" customFormat="false" ht="15" hidden="false" customHeight="false" outlineLevel="0" collapsed="false">
      <c r="A8" s="26" t="str">
        <f aca="false">IF(INDEX(res_Name,7)="","",INDEX(res_Name,7)&amp;"")</f>
        <v>Taylor Morgan</v>
      </c>
      <c r="B8" s="26" t="str">
        <f aca="false">IF(INDEX(res_Initials,7)="","",INDEX(res_Initials,7)&amp;"")</f>
        <v>TM</v>
      </c>
      <c r="C8" s="26" t="str">
        <f aca="false">IF(INDEX(res_Group,7)="","",INDEX(res_Group,7)&amp;"")</f>
        <v>QA Engineer</v>
      </c>
      <c r="D8" s="26" t="str">
        <f aca="false">IF(INDEX(res_Type,7)="","",INDEX(res_Type,7)&amp;"")</f>
        <v>Work</v>
      </c>
      <c r="E8" s="26" t="str">
        <f aca="false">IF(INDEX(res_Name,7)="","",ROUND(INDEX(res_MaxUnits,7)*100,0)&amp;"%")</f>
        <v>100%</v>
      </c>
      <c r="F8" s="26" t="str">
        <f aca="false">IF(INDEX(res_Name,7)="","",INDEX(res_Rate,7)&amp;"/h")</f>
        <v>65/h</v>
      </c>
      <c r="G8" s="26" t="str">
        <f aca="false">IF(INDEX(res_Email,7)="","",INDEX(res_Email,7)&amp;"")</f>
        <v>taylor@example.com</v>
      </c>
    </row>
    <row r="9" customFormat="false" ht="15" hidden="false" customHeight="false" outlineLevel="0" collapsed="false">
      <c r="A9" s="26" t="str">
        <f aca="false">IF(INDEX(res_Name,8)="","",INDEX(res_Name,8)&amp;"")</f>
        <v/>
      </c>
      <c r="B9" s="26" t="str">
        <f aca="false">IF(INDEX(res_Initials,8)="","",INDEX(res_Initials,8)&amp;"")</f>
        <v/>
      </c>
      <c r="C9" s="26" t="str">
        <f aca="false">IF(INDEX(res_Group,8)="","",INDEX(res_Group,8)&amp;"")</f>
        <v/>
      </c>
      <c r="D9" s="26" t="str">
        <f aca="false">IF(INDEX(res_Type,8)="","",INDEX(res_Type,8)&amp;"")</f>
        <v/>
      </c>
      <c r="E9" s="26" t="str">
        <f aca="false">IF(INDEX(res_Name,8)="","",ROUND(INDEX(res_MaxUnits,8)*100,0)&amp;"%")</f>
        <v/>
      </c>
      <c r="F9" s="26" t="str">
        <f aca="false">IF(INDEX(res_Name,8)="","",INDEX(res_Rate,8)&amp;"/h")</f>
        <v/>
      </c>
      <c r="G9" s="26" t="str">
        <f aca="false">IF(INDEX(res_Email,8)="","",INDEX(res_Email,8)&amp;"")</f>
        <v/>
      </c>
    </row>
    <row r="10" customFormat="false" ht="15" hidden="false" customHeight="false" outlineLevel="0" collapsed="false">
      <c r="A10" s="26" t="str">
        <f aca="false">IF(INDEX(res_Name,9)="","",INDEX(res_Name,9)&amp;"")</f>
        <v/>
      </c>
      <c r="B10" s="26" t="str">
        <f aca="false">IF(INDEX(res_Initials,9)="","",INDEX(res_Initials,9)&amp;"")</f>
        <v/>
      </c>
      <c r="C10" s="26" t="str">
        <f aca="false">IF(INDEX(res_Group,9)="","",INDEX(res_Group,9)&amp;"")</f>
        <v/>
      </c>
      <c r="D10" s="26" t="str">
        <f aca="false">IF(INDEX(res_Type,9)="","",INDEX(res_Type,9)&amp;"")</f>
        <v/>
      </c>
      <c r="E10" s="26" t="str">
        <f aca="false">IF(INDEX(res_Name,9)="","",ROUND(INDEX(res_MaxUnits,9)*100,0)&amp;"%")</f>
        <v/>
      </c>
      <c r="F10" s="26" t="str">
        <f aca="false">IF(INDEX(res_Name,9)="","",INDEX(res_Rate,9)&amp;"/h")</f>
        <v/>
      </c>
      <c r="G10" s="26" t="str">
        <f aca="false">IF(INDEX(res_Email,9)="","",INDEX(res_Email,9)&amp;"")</f>
        <v/>
      </c>
    </row>
    <row r="11" customFormat="false" ht="15" hidden="false" customHeight="false" outlineLevel="0" collapsed="false">
      <c r="A11" s="26" t="str">
        <f aca="false">IF(INDEX(res_Name,10)="","",INDEX(res_Name,10)&amp;"")</f>
        <v/>
      </c>
      <c r="B11" s="26" t="str">
        <f aca="false">IF(INDEX(res_Initials,10)="","",INDEX(res_Initials,10)&amp;"")</f>
        <v/>
      </c>
      <c r="C11" s="26" t="str">
        <f aca="false">IF(INDEX(res_Group,10)="","",INDEX(res_Group,10)&amp;"")</f>
        <v/>
      </c>
      <c r="D11" s="26" t="str">
        <f aca="false">IF(INDEX(res_Type,10)="","",INDEX(res_Type,10)&amp;"")</f>
        <v/>
      </c>
      <c r="E11" s="26" t="str">
        <f aca="false">IF(INDEX(res_Name,10)="","",ROUND(INDEX(res_MaxUnits,10)*100,0)&amp;"%")</f>
        <v/>
      </c>
      <c r="F11" s="26" t="str">
        <f aca="false">IF(INDEX(res_Name,10)="","",INDEX(res_Rate,10)&amp;"/h")</f>
        <v/>
      </c>
      <c r="G11" s="26" t="str">
        <f aca="false">IF(INDEX(res_Email,10)="","",INDEX(res_Email,10)&amp;"")</f>
        <v/>
      </c>
    </row>
    <row r="12" customFormat="false" ht="15" hidden="false" customHeight="false" outlineLevel="0" collapsed="false">
      <c r="A12" s="26" t="str">
        <f aca="false">IF(INDEX(res_Name,11)="","",INDEX(res_Name,11)&amp;"")</f>
        <v/>
      </c>
      <c r="B12" s="26" t="str">
        <f aca="false">IF(INDEX(res_Initials,11)="","",INDEX(res_Initials,11)&amp;"")</f>
        <v/>
      </c>
      <c r="C12" s="26" t="str">
        <f aca="false">IF(INDEX(res_Group,11)="","",INDEX(res_Group,11)&amp;"")</f>
        <v/>
      </c>
      <c r="D12" s="26" t="str">
        <f aca="false">IF(INDEX(res_Type,11)="","",INDEX(res_Type,11)&amp;"")</f>
        <v/>
      </c>
      <c r="E12" s="26" t="str">
        <f aca="false">IF(INDEX(res_Name,11)="","",ROUND(INDEX(res_MaxUnits,11)*100,0)&amp;"%")</f>
        <v/>
      </c>
      <c r="F12" s="26" t="str">
        <f aca="false">IF(INDEX(res_Name,11)="","",INDEX(res_Rate,11)&amp;"/h")</f>
        <v/>
      </c>
      <c r="G12" s="26" t="str">
        <f aca="false">IF(INDEX(res_Email,11)="","",INDEX(res_Email,11)&amp;"")</f>
        <v/>
      </c>
    </row>
    <row r="13" customFormat="false" ht="15" hidden="false" customHeight="false" outlineLevel="0" collapsed="false">
      <c r="A13" s="26" t="str">
        <f aca="false">IF(INDEX(res_Name,12)="","",INDEX(res_Name,12)&amp;"")</f>
        <v/>
      </c>
      <c r="B13" s="26" t="str">
        <f aca="false">IF(INDEX(res_Initials,12)="","",INDEX(res_Initials,12)&amp;"")</f>
        <v/>
      </c>
      <c r="C13" s="26" t="str">
        <f aca="false">IF(INDEX(res_Group,12)="","",INDEX(res_Group,12)&amp;"")</f>
        <v/>
      </c>
      <c r="D13" s="26" t="str">
        <f aca="false">IF(INDEX(res_Type,12)="","",INDEX(res_Type,12)&amp;"")</f>
        <v/>
      </c>
      <c r="E13" s="26" t="str">
        <f aca="false">IF(INDEX(res_Name,12)="","",ROUND(INDEX(res_MaxUnits,12)*100,0)&amp;"%")</f>
        <v/>
      </c>
      <c r="F13" s="26" t="str">
        <f aca="false">IF(INDEX(res_Name,12)="","",INDEX(res_Rate,12)&amp;"/h")</f>
        <v/>
      </c>
      <c r="G13" s="26" t="str">
        <f aca="false">IF(INDEX(res_Email,12)="","",INDEX(res_Email,12)&amp;"")</f>
        <v/>
      </c>
    </row>
    <row r="14" customFormat="false" ht="15" hidden="false" customHeight="false" outlineLevel="0" collapsed="false">
      <c r="A14" s="26" t="str">
        <f aca="false">IF(INDEX(res_Name,13)="","",INDEX(res_Name,13)&amp;"")</f>
        <v/>
      </c>
      <c r="B14" s="26" t="str">
        <f aca="false">IF(INDEX(res_Initials,13)="","",INDEX(res_Initials,13)&amp;"")</f>
        <v/>
      </c>
      <c r="C14" s="26" t="str">
        <f aca="false">IF(INDEX(res_Group,13)="","",INDEX(res_Group,13)&amp;"")</f>
        <v/>
      </c>
      <c r="D14" s="26" t="str">
        <f aca="false">IF(INDEX(res_Type,13)="","",INDEX(res_Type,13)&amp;"")</f>
        <v/>
      </c>
      <c r="E14" s="26" t="str">
        <f aca="false">IF(INDEX(res_Name,13)="","",ROUND(INDEX(res_MaxUnits,13)*100,0)&amp;"%")</f>
        <v/>
      </c>
      <c r="F14" s="26" t="str">
        <f aca="false">IF(INDEX(res_Name,13)="","",INDEX(res_Rate,13)&amp;"/h")</f>
        <v/>
      </c>
      <c r="G14" s="26" t="str">
        <f aca="false">IF(INDEX(res_Email,13)="","",INDEX(res_Email,13)&amp;"")</f>
        <v/>
      </c>
    </row>
    <row r="15" customFormat="false" ht="15" hidden="false" customHeight="false" outlineLevel="0" collapsed="false">
      <c r="A15" s="26" t="str">
        <f aca="false">IF(INDEX(res_Name,14)="","",INDEX(res_Name,14)&amp;"")</f>
        <v/>
      </c>
      <c r="B15" s="26" t="str">
        <f aca="false">IF(INDEX(res_Initials,14)="","",INDEX(res_Initials,14)&amp;"")</f>
        <v/>
      </c>
      <c r="C15" s="26" t="str">
        <f aca="false">IF(INDEX(res_Group,14)="","",INDEX(res_Group,14)&amp;"")</f>
        <v/>
      </c>
      <c r="D15" s="26" t="str">
        <f aca="false">IF(INDEX(res_Type,14)="","",INDEX(res_Type,14)&amp;"")</f>
        <v/>
      </c>
      <c r="E15" s="26" t="str">
        <f aca="false">IF(INDEX(res_Name,14)="","",ROUND(INDEX(res_MaxUnits,14)*100,0)&amp;"%")</f>
        <v/>
      </c>
      <c r="F15" s="26" t="str">
        <f aca="false">IF(INDEX(res_Name,14)="","",INDEX(res_Rate,14)&amp;"/h")</f>
        <v/>
      </c>
      <c r="G15" s="26" t="str">
        <f aca="false">IF(INDEX(res_Email,14)="","",INDEX(res_Email,14)&amp;"")</f>
        <v/>
      </c>
    </row>
    <row r="16" customFormat="false" ht="15" hidden="false" customHeight="false" outlineLevel="0" collapsed="false">
      <c r="A16" s="26" t="str">
        <f aca="false">IF(INDEX(res_Name,15)="","",INDEX(res_Name,15)&amp;"")</f>
        <v/>
      </c>
      <c r="B16" s="26" t="str">
        <f aca="false">IF(INDEX(res_Initials,15)="","",INDEX(res_Initials,15)&amp;"")</f>
        <v/>
      </c>
      <c r="C16" s="26" t="str">
        <f aca="false">IF(INDEX(res_Group,15)="","",INDEX(res_Group,15)&amp;"")</f>
        <v/>
      </c>
      <c r="D16" s="26" t="str">
        <f aca="false">IF(INDEX(res_Type,15)="","",INDEX(res_Type,15)&amp;"")</f>
        <v/>
      </c>
      <c r="E16" s="26" t="str">
        <f aca="false">IF(INDEX(res_Name,15)="","",ROUND(INDEX(res_MaxUnits,15)*100,0)&amp;"%")</f>
        <v/>
      </c>
      <c r="F16" s="26" t="str">
        <f aca="false">IF(INDEX(res_Name,15)="","",INDEX(res_Rate,15)&amp;"/h")</f>
        <v/>
      </c>
      <c r="G16" s="26" t="str">
        <f aca="false">IF(INDEX(res_Email,15)="","",INDEX(res_Email,15)&amp;"")</f>
        <v/>
      </c>
    </row>
    <row r="17" customFormat="false" ht="15" hidden="false" customHeight="false" outlineLevel="0" collapsed="false">
      <c r="A17" s="26" t="str">
        <f aca="false">IF(INDEX(res_Name,16)="","",INDEX(res_Name,16)&amp;"")</f>
        <v/>
      </c>
      <c r="B17" s="26" t="str">
        <f aca="false">IF(INDEX(res_Initials,16)="","",INDEX(res_Initials,16)&amp;"")</f>
        <v/>
      </c>
      <c r="C17" s="26" t="str">
        <f aca="false">IF(INDEX(res_Group,16)="","",INDEX(res_Group,16)&amp;"")</f>
        <v/>
      </c>
      <c r="D17" s="26" t="str">
        <f aca="false">IF(INDEX(res_Type,16)="","",INDEX(res_Type,16)&amp;"")</f>
        <v/>
      </c>
      <c r="E17" s="26" t="str">
        <f aca="false">IF(INDEX(res_Name,16)="","",ROUND(INDEX(res_MaxUnits,16)*100,0)&amp;"%")</f>
        <v/>
      </c>
      <c r="F17" s="26" t="str">
        <f aca="false">IF(INDEX(res_Name,16)="","",INDEX(res_Rate,16)&amp;"/h")</f>
        <v/>
      </c>
      <c r="G17" s="26" t="str">
        <f aca="false">IF(INDEX(res_Email,16)="","",INDEX(res_Email,16)&amp;"")</f>
        <v/>
      </c>
    </row>
    <row r="18" customFormat="false" ht="15" hidden="false" customHeight="false" outlineLevel="0" collapsed="false">
      <c r="A18" s="26" t="str">
        <f aca="false">IF(INDEX(res_Name,17)="","",INDEX(res_Name,17)&amp;"")</f>
        <v/>
      </c>
      <c r="B18" s="26" t="str">
        <f aca="false">IF(INDEX(res_Initials,17)="","",INDEX(res_Initials,17)&amp;"")</f>
        <v/>
      </c>
      <c r="C18" s="26" t="str">
        <f aca="false">IF(INDEX(res_Group,17)="","",INDEX(res_Group,17)&amp;"")</f>
        <v/>
      </c>
      <c r="D18" s="26" t="str">
        <f aca="false">IF(INDEX(res_Type,17)="","",INDEX(res_Type,17)&amp;"")</f>
        <v/>
      </c>
      <c r="E18" s="26" t="str">
        <f aca="false">IF(INDEX(res_Name,17)="","",ROUND(INDEX(res_MaxUnits,17)*100,0)&amp;"%")</f>
        <v/>
      </c>
      <c r="F18" s="26" t="str">
        <f aca="false">IF(INDEX(res_Name,17)="","",INDEX(res_Rate,17)&amp;"/h")</f>
        <v/>
      </c>
      <c r="G18" s="26" t="str">
        <f aca="false">IF(INDEX(res_Email,17)="","",INDEX(res_Email,17)&amp;"")</f>
        <v/>
      </c>
    </row>
    <row r="19" customFormat="false" ht="15" hidden="false" customHeight="false" outlineLevel="0" collapsed="false">
      <c r="A19" s="26" t="str">
        <f aca="false">IF(INDEX(res_Name,18)="","",INDEX(res_Name,18)&amp;"")</f>
        <v/>
      </c>
      <c r="B19" s="26" t="str">
        <f aca="false">IF(INDEX(res_Initials,18)="","",INDEX(res_Initials,18)&amp;"")</f>
        <v/>
      </c>
      <c r="C19" s="26" t="str">
        <f aca="false">IF(INDEX(res_Group,18)="","",INDEX(res_Group,18)&amp;"")</f>
        <v/>
      </c>
      <c r="D19" s="26" t="str">
        <f aca="false">IF(INDEX(res_Type,18)="","",INDEX(res_Type,18)&amp;"")</f>
        <v/>
      </c>
      <c r="E19" s="26" t="str">
        <f aca="false">IF(INDEX(res_Name,18)="","",ROUND(INDEX(res_MaxUnits,18)*100,0)&amp;"%")</f>
        <v/>
      </c>
      <c r="F19" s="26" t="str">
        <f aca="false">IF(INDEX(res_Name,18)="","",INDEX(res_Rate,18)&amp;"/h")</f>
        <v/>
      </c>
      <c r="G19" s="26" t="str">
        <f aca="false">IF(INDEX(res_Email,18)="","",INDEX(res_Email,18)&amp;"")</f>
        <v/>
      </c>
    </row>
    <row r="20" customFormat="false" ht="15" hidden="false" customHeight="false" outlineLevel="0" collapsed="false">
      <c r="A20" s="26" t="str">
        <f aca="false">IF(INDEX(res_Name,19)="","",INDEX(res_Name,19)&amp;"")</f>
        <v/>
      </c>
      <c r="B20" s="26" t="str">
        <f aca="false">IF(INDEX(res_Initials,19)="","",INDEX(res_Initials,19)&amp;"")</f>
        <v/>
      </c>
      <c r="C20" s="26" t="str">
        <f aca="false">IF(INDEX(res_Group,19)="","",INDEX(res_Group,19)&amp;"")</f>
        <v/>
      </c>
      <c r="D20" s="26" t="str">
        <f aca="false">IF(INDEX(res_Type,19)="","",INDEX(res_Type,19)&amp;"")</f>
        <v/>
      </c>
      <c r="E20" s="26" t="str">
        <f aca="false">IF(INDEX(res_Name,19)="","",ROUND(INDEX(res_MaxUnits,19)*100,0)&amp;"%")</f>
        <v/>
      </c>
      <c r="F20" s="26" t="str">
        <f aca="false">IF(INDEX(res_Name,19)="","",INDEX(res_Rate,19)&amp;"/h")</f>
        <v/>
      </c>
      <c r="G20" s="26" t="str">
        <f aca="false">IF(INDEX(res_Email,19)="","",INDEX(res_Email,19)&amp;"")</f>
        <v/>
      </c>
    </row>
    <row r="21" customFormat="false" ht="15" hidden="false" customHeight="false" outlineLevel="0" collapsed="false">
      <c r="A21" s="26" t="str">
        <f aca="false">IF(INDEX(res_Name,20)="","",INDEX(res_Name,20)&amp;"")</f>
        <v/>
      </c>
      <c r="B21" s="26" t="str">
        <f aca="false">IF(INDEX(res_Initials,20)="","",INDEX(res_Initials,20)&amp;"")</f>
        <v/>
      </c>
      <c r="C21" s="26" t="str">
        <f aca="false">IF(INDEX(res_Group,20)="","",INDEX(res_Group,20)&amp;"")</f>
        <v/>
      </c>
      <c r="D21" s="26" t="str">
        <f aca="false">IF(INDEX(res_Type,20)="","",INDEX(res_Type,20)&amp;"")</f>
        <v/>
      </c>
      <c r="E21" s="26" t="str">
        <f aca="false">IF(INDEX(res_Name,20)="","",ROUND(INDEX(res_MaxUnits,20)*100,0)&amp;"%")</f>
        <v/>
      </c>
      <c r="F21" s="26" t="str">
        <f aca="false">IF(INDEX(res_Name,20)="","",INDEX(res_Rate,20)&amp;"/h")</f>
        <v/>
      </c>
      <c r="G21" s="26" t="str">
        <f aca="false">IF(INDEX(res_Email,20)="","",INDEX(res_Email,20)&amp;"")</f>
        <v/>
      </c>
    </row>
    <row r="22" customFormat="false" ht="15" hidden="false" customHeight="false" outlineLevel="0" collapsed="false">
      <c r="A22" s="26" t="str">
        <f aca="false">IF(INDEX(res_Name,21)="","",INDEX(res_Name,21)&amp;"")</f>
        <v/>
      </c>
      <c r="B22" s="26" t="str">
        <f aca="false">IF(INDEX(res_Initials,21)="","",INDEX(res_Initials,21)&amp;"")</f>
        <v/>
      </c>
      <c r="C22" s="26" t="str">
        <f aca="false">IF(INDEX(res_Group,21)="","",INDEX(res_Group,21)&amp;"")</f>
        <v/>
      </c>
      <c r="D22" s="26" t="str">
        <f aca="false">IF(INDEX(res_Type,21)="","",INDEX(res_Type,21)&amp;"")</f>
        <v/>
      </c>
      <c r="E22" s="26" t="str">
        <f aca="false">IF(INDEX(res_Name,21)="","",ROUND(INDEX(res_MaxUnits,21)*100,0)&amp;"%")</f>
        <v/>
      </c>
      <c r="F22" s="26" t="str">
        <f aca="false">IF(INDEX(res_Name,21)="","",INDEX(res_Rate,21)&amp;"/h")</f>
        <v/>
      </c>
      <c r="G22" s="26" t="str">
        <f aca="false">IF(INDEX(res_Email,21)="","",INDEX(res_Email,21)&amp;"")</f>
        <v/>
      </c>
    </row>
    <row r="23" customFormat="false" ht="15" hidden="false" customHeight="false" outlineLevel="0" collapsed="false">
      <c r="A23" s="26" t="str">
        <f aca="false">IF(INDEX(res_Name,22)="","",INDEX(res_Name,22)&amp;"")</f>
        <v/>
      </c>
      <c r="B23" s="26" t="str">
        <f aca="false">IF(INDEX(res_Initials,22)="","",INDEX(res_Initials,22)&amp;"")</f>
        <v/>
      </c>
      <c r="C23" s="26" t="str">
        <f aca="false">IF(INDEX(res_Group,22)="","",INDEX(res_Group,22)&amp;"")</f>
        <v/>
      </c>
      <c r="D23" s="26" t="str">
        <f aca="false">IF(INDEX(res_Type,22)="","",INDEX(res_Type,22)&amp;"")</f>
        <v/>
      </c>
      <c r="E23" s="26" t="str">
        <f aca="false">IF(INDEX(res_Name,22)="","",ROUND(INDEX(res_MaxUnits,22)*100,0)&amp;"%")</f>
        <v/>
      </c>
      <c r="F23" s="26" t="str">
        <f aca="false">IF(INDEX(res_Name,22)="","",INDEX(res_Rate,22)&amp;"/h")</f>
        <v/>
      </c>
      <c r="G23" s="26" t="str">
        <f aca="false">IF(INDEX(res_Email,22)="","",INDEX(res_Email,22)&amp;"")</f>
        <v/>
      </c>
    </row>
    <row r="24" customFormat="false" ht="15" hidden="false" customHeight="false" outlineLevel="0" collapsed="false">
      <c r="A24" s="26" t="str">
        <f aca="false">IF(INDEX(res_Name,23)="","",INDEX(res_Name,23)&amp;"")</f>
        <v/>
      </c>
      <c r="B24" s="26" t="str">
        <f aca="false">IF(INDEX(res_Initials,23)="","",INDEX(res_Initials,23)&amp;"")</f>
        <v/>
      </c>
      <c r="C24" s="26" t="str">
        <f aca="false">IF(INDEX(res_Group,23)="","",INDEX(res_Group,23)&amp;"")</f>
        <v/>
      </c>
      <c r="D24" s="26" t="str">
        <f aca="false">IF(INDEX(res_Type,23)="","",INDEX(res_Type,23)&amp;"")</f>
        <v/>
      </c>
      <c r="E24" s="26" t="str">
        <f aca="false">IF(INDEX(res_Name,23)="","",ROUND(INDEX(res_MaxUnits,23)*100,0)&amp;"%")</f>
        <v/>
      </c>
      <c r="F24" s="26" t="str">
        <f aca="false">IF(INDEX(res_Name,23)="","",INDEX(res_Rate,23)&amp;"/h")</f>
        <v/>
      </c>
      <c r="G24" s="26" t="str">
        <f aca="false">IF(INDEX(res_Email,23)="","",INDEX(res_Email,23)&amp;"")</f>
        <v/>
      </c>
    </row>
    <row r="25" customFormat="false" ht="15" hidden="false" customHeight="false" outlineLevel="0" collapsed="false">
      <c r="A25" s="26" t="str">
        <f aca="false">IF(INDEX(res_Name,24)="","",INDEX(res_Name,24)&amp;"")</f>
        <v/>
      </c>
      <c r="B25" s="26" t="str">
        <f aca="false">IF(INDEX(res_Initials,24)="","",INDEX(res_Initials,24)&amp;"")</f>
        <v/>
      </c>
      <c r="C25" s="26" t="str">
        <f aca="false">IF(INDEX(res_Group,24)="","",INDEX(res_Group,24)&amp;"")</f>
        <v/>
      </c>
      <c r="D25" s="26" t="str">
        <f aca="false">IF(INDEX(res_Type,24)="","",INDEX(res_Type,24)&amp;"")</f>
        <v/>
      </c>
      <c r="E25" s="26" t="str">
        <f aca="false">IF(INDEX(res_Name,24)="","",ROUND(INDEX(res_MaxUnits,24)*100,0)&amp;"%")</f>
        <v/>
      </c>
      <c r="F25" s="26" t="str">
        <f aca="false">IF(INDEX(res_Name,24)="","",INDEX(res_Rate,24)&amp;"/h")</f>
        <v/>
      </c>
      <c r="G25" s="26" t="str">
        <f aca="false">IF(INDEX(res_Email,24)="","",INDEX(res_Email,24)&amp;"")</f>
        <v/>
      </c>
    </row>
    <row r="26" customFormat="false" ht="15" hidden="false" customHeight="false" outlineLevel="0" collapsed="false">
      <c r="A26" s="26" t="str">
        <f aca="false">IF(INDEX(res_Name,25)="","",INDEX(res_Name,25)&amp;"")</f>
        <v/>
      </c>
      <c r="B26" s="26" t="str">
        <f aca="false">IF(INDEX(res_Initials,25)="","",INDEX(res_Initials,25)&amp;"")</f>
        <v/>
      </c>
      <c r="C26" s="26" t="str">
        <f aca="false">IF(INDEX(res_Group,25)="","",INDEX(res_Group,25)&amp;"")</f>
        <v/>
      </c>
      <c r="D26" s="26" t="str">
        <f aca="false">IF(INDEX(res_Type,25)="","",INDEX(res_Type,25)&amp;"")</f>
        <v/>
      </c>
      <c r="E26" s="26" t="str">
        <f aca="false">IF(INDEX(res_Name,25)="","",ROUND(INDEX(res_MaxUnits,25)*100,0)&amp;"%")</f>
        <v/>
      </c>
      <c r="F26" s="26" t="str">
        <f aca="false">IF(INDEX(res_Name,25)="","",INDEX(res_Rate,25)&amp;"/h")</f>
        <v/>
      </c>
      <c r="G26" s="26" t="str">
        <f aca="false">IF(INDEX(res_Email,25)="","",INDEX(res_Email,25)&amp;"")</f>
        <v/>
      </c>
    </row>
    <row r="27" customFormat="false" ht="15" hidden="false" customHeight="false" outlineLevel="0" collapsed="false">
      <c r="A27" s="26" t="str">
        <f aca="false">IF(INDEX(res_Name,26)="","",INDEX(res_Name,26)&amp;"")</f>
        <v/>
      </c>
      <c r="B27" s="26" t="str">
        <f aca="false">IF(INDEX(res_Initials,26)="","",INDEX(res_Initials,26)&amp;"")</f>
        <v/>
      </c>
      <c r="C27" s="26" t="str">
        <f aca="false">IF(INDEX(res_Group,26)="","",INDEX(res_Group,26)&amp;"")</f>
        <v/>
      </c>
      <c r="D27" s="26" t="str">
        <f aca="false">IF(INDEX(res_Type,26)="","",INDEX(res_Type,26)&amp;"")</f>
        <v/>
      </c>
      <c r="E27" s="26" t="str">
        <f aca="false">IF(INDEX(res_Name,26)="","",ROUND(INDEX(res_MaxUnits,26)*100,0)&amp;"%")</f>
        <v/>
      </c>
      <c r="F27" s="26" t="str">
        <f aca="false">IF(INDEX(res_Name,26)="","",INDEX(res_Rate,26)&amp;"/h")</f>
        <v/>
      </c>
      <c r="G27" s="26" t="str">
        <f aca="false">IF(INDEX(res_Email,26)="","",INDEX(res_Email,26)&amp;"")</f>
        <v/>
      </c>
    </row>
    <row r="28" customFormat="false" ht="15" hidden="false" customHeight="false" outlineLevel="0" collapsed="false">
      <c r="A28" s="26" t="str">
        <f aca="false">IF(INDEX(res_Name,27)="","",INDEX(res_Name,27)&amp;"")</f>
        <v/>
      </c>
      <c r="B28" s="26" t="str">
        <f aca="false">IF(INDEX(res_Initials,27)="","",INDEX(res_Initials,27)&amp;"")</f>
        <v/>
      </c>
      <c r="C28" s="26" t="str">
        <f aca="false">IF(INDEX(res_Group,27)="","",INDEX(res_Group,27)&amp;"")</f>
        <v/>
      </c>
      <c r="D28" s="26" t="str">
        <f aca="false">IF(INDEX(res_Type,27)="","",INDEX(res_Type,27)&amp;"")</f>
        <v/>
      </c>
      <c r="E28" s="26" t="str">
        <f aca="false">IF(INDEX(res_Name,27)="","",ROUND(INDEX(res_MaxUnits,27)*100,0)&amp;"%")</f>
        <v/>
      </c>
      <c r="F28" s="26" t="str">
        <f aca="false">IF(INDEX(res_Name,27)="","",INDEX(res_Rate,27)&amp;"/h")</f>
        <v/>
      </c>
      <c r="G28" s="26" t="str">
        <f aca="false">IF(INDEX(res_Email,27)="","",INDEX(res_Email,27)&amp;"")</f>
        <v/>
      </c>
    </row>
    <row r="29" customFormat="false" ht="15" hidden="false" customHeight="false" outlineLevel="0" collapsed="false">
      <c r="A29" s="26" t="str">
        <f aca="false">IF(INDEX(res_Name,28)="","",INDEX(res_Name,28)&amp;"")</f>
        <v/>
      </c>
      <c r="B29" s="26" t="str">
        <f aca="false">IF(INDEX(res_Initials,28)="","",INDEX(res_Initials,28)&amp;"")</f>
        <v/>
      </c>
      <c r="C29" s="26" t="str">
        <f aca="false">IF(INDEX(res_Group,28)="","",INDEX(res_Group,28)&amp;"")</f>
        <v/>
      </c>
      <c r="D29" s="26" t="str">
        <f aca="false">IF(INDEX(res_Type,28)="","",INDEX(res_Type,28)&amp;"")</f>
        <v/>
      </c>
      <c r="E29" s="26" t="str">
        <f aca="false">IF(INDEX(res_Name,28)="","",ROUND(INDEX(res_MaxUnits,28)*100,0)&amp;"%")</f>
        <v/>
      </c>
      <c r="F29" s="26" t="str">
        <f aca="false">IF(INDEX(res_Name,28)="","",INDEX(res_Rate,28)&amp;"/h")</f>
        <v/>
      </c>
      <c r="G29" s="26" t="str">
        <f aca="false">IF(INDEX(res_Email,28)="","",INDEX(res_Email,28)&amp;"")</f>
        <v/>
      </c>
    </row>
    <row r="30" customFormat="false" ht="15" hidden="false" customHeight="false" outlineLevel="0" collapsed="false">
      <c r="A30" s="26" t="str">
        <f aca="false">IF(INDEX(res_Name,29)="","",INDEX(res_Name,29)&amp;"")</f>
        <v/>
      </c>
      <c r="B30" s="26" t="str">
        <f aca="false">IF(INDEX(res_Initials,29)="","",INDEX(res_Initials,29)&amp;"")</f>
        <v/>
      </c>
      <c r="C30" s="26" t="str">
        <f aca="false">IF(INDEX(res_Group,29)="","",INDEX(res_Group,29)&amp;"")</f>
        <v/>
      </c>
      <c r="D30" s="26" t="str">
        <f aca="false">IF(INDEX(res_Type,29)="","",INDEX(res_Type,29)&amp;"")</f>
        <v/>
      </c>
      <c r="E30" s="26" t="str">
        <f aca="false">IF(INDEX(res_Name,29)="","",ROUND(INDEX(res_MaxUnits,29)*100,0)&amp;"%")</f>
        <v/>
      </c>
      <c r="F30" s="26" t="str">
        <f aca="false">IF(INDEX(res_Name,29)="","",INDEX(res_Rate,29)&amp;"/h")</f>
        <v/>
      </c>
      <c r="G30" s="26" t="str">
        <f aca="false">IF(INDEX(res_Email,29)="","",INDEX(res_Email,29)&amp;"")</f>
        <v/>
      </c>
    </row>
    <row r="31" customFormat="false" ht="15" hidden="false" customHeight="false" outlineLevel="0" collapsed="false">
      <c r="A31" s="26" t="str">
        <f aca="false">IF(INDEX(res_Name,30)="","",INDEX(res_Name,30)&amp;"")</f>
        <v/>
      </c>
      <c r="B31" s="26" t="str">
        <f aca="false">IF(INDEX(res_Initials,30)="","",INDEX(res_Initials,30)&amp;"")</f>
        <v/>
      </c>
      <c r="C31" s="26" t="str">
        <f aca="false">IF(INDEX(res_Group,30)="","",INDEX(res_Group,30)&amp;"")</f>
        <v/>
      </c>
      <c r="D31" s="26" t="str">
        <f aca="false">IF(INDEX(res_Type,30)="","",INDEX(res_Type,30)&amp;"")</f>
        <v/>
      </c>
      <c r="E31" s="26" t="str">
        <f aca="false">IF(INDEX(res_Name,30)="","",ROUND(INDEX(res_MaxUnits,30)*100,0)&amp;"%")</f>
        <v/>
      </c>
      <c r="F31" s="26" t="str">
        <f aca="false">IF(INDEX(res_Name,30)="","",INDEX(res_Rate,30)&amp;"/h")</f>
        <v/>
      </c>
      <c r="G31" s="26" t="str">
        <f aca="false">IF(INDEX(res_Email,30)="","",INDEX(res_Email,30)&amp;"")</f>
        <v/>
      </c>
    </row>
    <row r="32" customFormat="false" ht="15" hidden="false" customHeight="false" outlineLevel="0" collapsed="false">
      <c r="A32" s="26" t="str">
        <f aca="false">IF(INDEX(res_Name,31)="","",INDEX(res_Name,31)&amp;"")</f>
        <v/>
      </c>
      <c r="B32" s="26" t="str">
        <f aca="false">IF(INDEX(res_Initials,31)="","",INDEX(res_Initials,31)&amp;"")</f>
        <v/>
      </c>
      <c r="C32" s="26" t="str">
        <f aca="false">IF(INDEX(res_Group,31)="","",INDEX(res_Group,31)&amp;"")</f>
        <v/>
      </c>
      <c r="D32" s="26" t="str">
        <f aca="false">IF(INDEX(res_Type,31)="","",INDEX(res_Type,31)&amp;"")</f>
        <v/>
      </c>
      <c r="E32" s="26" t="str">
        <f aca="false">IF(INDEX(res_Name,31)="","",ROUND(INDEX(res_MaxUnits,31)*100,0)&amp;"%")</f>
        <v/>
      </c>
      <c r="F32" s="26" t="str">
        <f aca="false">IF(INDEX(res_Name,31)="","",INDEX(res_Rate,31)&amp;"/h")</f>
        <v/>
      </c>
      <c r="G32" s="26" t="str">
        <f aca="false">IF(INDEX(res_Email,31)="","",INDEX(res_Email,31)&amp;"")</f>
        <v/>
      </c>
    </row>
    <row r="33" customFormat="false" ht="15" hidden="false" customHeight="false" outlineLevel="0" collapsed="false">
      <c r="A33" s="26" t="str">
        <f aca="false">IF(INDEX(res_Name,32)="","",INDEX(res_Name,32)&amp;"")</f>
        <v/>
      </c>
      <c r="B33" s="26" t="str">
        <f aca="false">IF(INDEX(res_Initials,32)="","",INDEX(res_Initials,32)&amp;"")</f>
        <v/>
      </c>
      <c r="C33" s="26" t="str">
        <f aca="false">IF(INDEX(res_Group,32)="","",INDEX(res_Group,32)&amp;"")</f>
        <v/>
      </c>
      <c r="D33" s="26" t="str">
        <f aca="false">IF(INDEX(res_Type,32)="","",INDEX(res_Type,32)&amp;"")</f>
        <v/>
      </c>
      <c r="E33" s="26" t="str">
        <f aca="false">IF(INDEX(res_Name,32)="","",ROUND(INDEX(res_MaxUnits,32)*100,0)&amp;"%")</f>
        <v/>
      </c>
      <c r="F33" s="26" t="str">
        <f aca="false">IF(INDEX(res_Name,32)="","",INDEX(res_Rate,32)&amp;"/h")</f>
        <v/>
      </c>
      <c r="G33" s="26" t="str">
        <f aca="false">IF(INDEX(res_Email,32)="","",INDEX(res_Email,32)&amp;"")</f>
        <v/>
      </c>
    </row>
    <row r="34" customFormat="false" ht="15" hidden="false" customHeight="false" outlineLevel="0" collapsed="false">
      <c r="A34" s="26" t="str">
        <f aca="false">IF(INDEX(res_Name,33)="","",INDEX(res_Name,33)&amp;"")</f>
        <v/>
      </c>
      <c r="B34" s="26" t="str">
        <f aca="false">IF(INDEX(res_Initials,33)="","",INDEX(res_Initials,33)&amp;"")</f>
        <v/>
      </c>
      <c r="C34" s="26" t="str">
        <f aca="false">IF(INDEX(res_Group,33)="","",INDEX(res_Group,33)&amp;"")</f>
        <v/>
      </c>
      <c r="D34" s="26" t="str">
        <f aca="false">IF(INDEX(res_Type,33)="","",INDEX(res_Type,33)&amp;"")</f>
        <v/>
      </c>
      <c r="E34" s="26" t="str">
        <f aca="false">IF(INDEX(res_Name,33)="","",ROUND(INDEX(res_MaxUnits,33)*100,0)&amp;"%")</f>
        <v/>
      </c>
      <c r="F34" s="26" t="str">
        <f aca="false">IF(INDEX(res_Name,33)="","",INDEX(res_Rate,33)&amp;"/h")</f>
        <v/>
      </c>
      <c r="G34" s="26" t="str">
        <f aca="false">IF(INDEX(res_Email,33)="","",INDEX(res_Email,33)&amp;"")</f>
        <v/>
      </c>
    </row>
    <row r="35" customFormat="false" ht="15" hidden="false" customHeight="false" outlineLevel="0" collapsed="false">
      <c r="A35" s="26" t="str">
        <f aca="false">IF(INDEX(res_Name,34)="","",INDEX(res_Name,34)&amp;"")</f>
        <v/>
      </c>
      <c r="B35" s="26" t="str">
        <f aca="false">IF(INDEX(res_Initials,34)="","",INDEX(res_Initials,34)&amp;"")</f>
        <v/>
      </c>
      <c r="C35" s="26" t="str">
        <f aca="false">IF(INDEX(res_Group,34)="","",INDEX(res_Group,34)&amp;"")</f>
        <v/>
      </c>
      <c r="D35" s="26" t="str">
        <f aca="false">IF(INDEX(res_Type,34)="","",INDEX(res_Type,34)&amp;"")</f>
        <v/>
      </c>
      <c r="E35" s="26" t="str">
        <f aca="false">IF(INDEX(res_Name,34)="","",ROUND(INDEX(res_MaxUnits,34)*100,0)&amp;"%")</f>
        <v/>
      </c>
      <c r="F35" s="26" t="str">
        <f aca="false">IF(INDEX(res_Name,34)="","",INDEX(res_Rate,34)&amp;"/h")</f>
        <v/>
      </c>
      <c r="G35" s="26" t="str">
        <f aca="false">IF(INDEX(res_Email,34)="","",INDEX(res_Email,34)&amp;"")</f>
        <v/>
      </c>
    </row>
    <row r="36" customFormat="false" ht="15" hidden="false" customHeight="false" outlineLevel="0" collapsed="false">
      <c r="A36" s="26" t="str">
        <f aca="false">IF(INDEX(res_Name,35)="","",INDEX(res_Name,35)&amp;"")</f>
        <v/>
      </c>
      <c r="B36" s="26" t="str">
        <f aca="false">IF(INDEX(res_Initials,35)="","",INDEX(res_Initials,35)&amp;"")</f>
        <v/>
      </c>
      <c r="C36" s="26" t="str">
        <f aca="false">IF(INDEX(res_Group,35)="","",INDEX(res_Group,35)&amp;"")</f>
        <v/>
      </c>
      <c r="D36" s="26" t="str">
        <f aca="false">IF(INDEX(res_Type,35)="","",INDEX(res_Type,35)&amp;"")</f>
        <v/>
      </c>
      <c r="E36" s="26" t="str">
        <f aca="false">IF(INDEX(res_Name,35)="","",ROUND(INDEX(res_MaxUnits,35)*100,0)&amp;"%")</f>
        <v/>
      </c>
      <c r="F36" s="26" t="str">
        <f aca="false">IF(INDEX(res_Name,35)="","",INDEX(res_Rate,35)&amp;"/h")</f>
        <v/>
      </c>
      <c r="G36" s="26" t="str">
        <f aca="false">IF(INDEX(res_Email,35)="","",INDEX(res_Email,35)&amp;"")</f>
        <v/>
      </c>
    </row>
    <row r="37" customFormat="false" ht="15" hidden="false" customHeight="false" outlineLevel="0" collapsed="false">
      <c r="A37" s="26" t="str">
        <f aca="false">IF(INDEX(res_Name,36)="","",INDEX(res_Name,36)&amp;"")</f>
        <v/>
      </c>
      <c r="B37" s="26" t="str">
        <f aca="false">IF(INDEX(res_Initials,36)="","",INDEX(res_Initials,36)&amp;"")</f>
        <v/>
      </c>
      <c r="C37" s="26" t="str">
        <f aca="false">IF(INDEX(res_Group,36)="","",INDEX(res_Group,36)&amp;"")</f>
        <v/>
      </c>
      <c r="D37" s="26" t="str">
        <f aca="false">IF(INDEX(res_Type,36)="","",INDEX(res_Type,36)&amp;"")</f>
        <v/>
      </c>
      <c r="E37" s="26" t="str">
        <f aca="false">IF(INDEX(res_Name,36)="","",ROUND(INDEX(res_MaxUnits,36)*100,0)&amp;"%")</f>
        <v/>
      </c>
      <c r="F37" s="26" t="str">
        <f aca="false">IF(INDEX(res_Name,36)="","",INDEX(res_Rate,36)&amp;"/h")</f>
        <v/>
      </c>
      <c r="G37" s="26" t="str">
        <f aca="false">IF(INDEX(res_Email,36)="","",INDEX(res_Email,36)&amp;"")</f>
        <v/>
      </c>
    </row>
    <row r="38" customFormat="false" ht="15" hidden="false" customHeight="false" outlineLevel="0" collapsed="false">
      <c r="A38" s="26" t="str">
        <f aca="false">IF(INDEX(res_Name,37)="","",INDEX(res_Name,37)&amp;"")</f>
        <v/>
      </c>
      <c r="B38" s="26" t="str">
        <f aca="false">IF(INDEX(res_Initials,37)="","",INDEX(res_Initials,37)&amp;"")</f>
        <v/>
      </c>
      <c r="C38" s="26" t="str">
        <f aca="false">IF(INDEX(res_Group,37)="","",INDEX(res_Group,37)&amp;"")</f>
        <v/>
      </c>
      <c r="D38" s="26" t="str">
        <f aca="false">IF(INDEX(res_Type,37)="","",INDEX(res_Type,37)&amp;"")</f>
        <v/>
      </c>
      <c r="E38" s="26" t="str">
        <f aca="false">IF(INDEX(res_Name,37)="","",ROUND(INDEX(res_MaxUnits,37)*100,0)&amp;"%")</f>
        <v/>
      </c>
      <c r="F38" s="26" t="str">
        <f aca="false">IF(INDEX(res_Name,37)="","",INDEX(res_Rate,37)&amp;"/h")</f>
        <v/>
      </c>
      <c r="G38" s="26" t="str">
        <f aca="false">IF(INDEX(res_Email,37)="","",INDEX(res_Email,37)&amp;"")</f>
        <v/>
      </c>
    </row>
    <row r="39" customFormat="false" ht="15" hidden="false" customHeight="false" outlineLevel="0" collapsed="false">
      <c r="A39" s="26" t="str">
        <f aca="false">IF(INDEX(res_Name,38)="","",INDEX(res_Name,38)&amp;"")</f>
        <v/>
      </c>
      <c r="B39" s="26" t="str">
        <f aca="false">IF(INDEX(res_Initials,38)="","",INDEX(res_Initials,38)&amp;"")</f>
        <v/>
      </c>
      <c r="C39" s="26" t="str">
        <f aca="false">IF(INDEX(res_Group,38)="","",INDEX(res_Group,38)&amp;"")</f>
        <v/>
      </c>
      <c r="D39" s="26" t="str">
        <f aca="false">IF(INDEX(res_Type,38)="","",INDEX(res_Type,38)&amp;"")</f>
        <v/>
      </c>
      <c r="E39" s="26" t="str">
        <f aca="false">IF(INDEX(res_Name,38)="","",ROUND(INDEX(res_MaxUnits,38)*100,0)&amp;"%")</f>
        <v/>
      </c>
      <c r="F39" s="26" t="str">
        <f aca="false">IF(INDEX(res_Name,38)="","",INDEX(res_Rate,38)&amp;"/h")</f>
        <v/>
      </c>
      <c r="G39" s="26" t="str">
        <f aca="false">IF(INDEX(res_Email,38)="","",INDEX(res_Email,38)&amp;"")</f>
        <v/>
      </c>
    </row>
    <row r="40" customFormat="false" ht="15" hidden="false" customHeight="false" outlineLevel="0" collapsed="false">
      <c r="A40" s="26" t="str">
        <f aca="false">IF(INDEX(res_Name,39)="","",INDEX(res_Name,39)&amp;"")</f>
        <v/>
      </c>
      <c r="B40" s="26" t="str">
        <f aca="false">IF(INDEX(res_Initials,39)="","",INDEX(res_Initials,39)&amp;"")</f>
        <v/>
      </c>
      <c r="C40" s="26" t="str">
        <f aca="false">IF(INDEX(res_Group,39)="","",INDEX(res_Group,39)&amp;"")</f>
        <v/>
      </c>
      <c r="D40" s="26" t="str">
        <f aca="false">IF(INDEX(res_Type,39)="","",INDEX(res_Type,39)&amp;"")</f>
        <v/>
      </c>
      <c r="E40" s="26" t="str">
        <f aca="false">IF(INDEX(res_Name,39)="","",ROUND(INDEX(res_MaxUnits,39)*100,0)&amp;"%")</f>
        <v/>
      </c>
      <c r="F40" s="26" t="str">
        <f aca="false">IF(INDEX(res_Name,39)="","",INDEX(res_Rate,39)&amp;"/h")</f>
        <v/>
      </c>
      <c r="G40" s="26" t="str">
        <f aca="false">IF(INDEX(res_Email,39)="","",INDEX(res_Email,39)&amp;"")</f>
        <v/>
      </c>
    </row>
    <row r="41" customFormat="false" ht="15" hidden="false" customHeight="false" outlineLevel="0" collapsed="false">
      <c r="A41" s="26" t="str">
        <f aca="false">IF(INDEX(res_Name,40)="","",INDEX(res_Name,40)&amp;"")</f>
        <v/>
      </c>
      <c r="B41" s="26" t="str">
        <f aca="false">IF(INDEX(res_Initials,40)="","",INDEX(res_Initials,40)&amp;"")</f>
        <v/>
      </c>
      <c r="C41" s="26" t="str">
        <f aca="false">IF(INDEX(res_Group,40)="","",INDEX(res_Group,40)&amp;"")</f>
        <v/>
      </c>
      <c r="D41" s="26" t="str">
        <f aca="false">IF(INDEX(res_Type,40)="","",INDEX(res_Type,40)&amp;"")</f>
        <v/>
      </c>
      <c r="E41" s="26" t="str">
        <f aca="false">IF(INDEX(res_Name,40)="","",ROUND(INDEX(res_MaxUnits,40)*100,0)&amp;"%")</f>
        <v/>
      </c>
      <c r="F41" s="26" t="str">
        <f aca="false">IF(INDEX(res_Name,40)="","",INDEX(res_Rate,40)&amp;"/h")</f>
        <v/>
      </c>
      <c r="G41" s="26" t="str">
        <f aca="false">IF(INDEX(res_Email,40)="","",INDEX(res_Email,40)&amp;"")</f>
        <v/>
      </c>
    </row>
    <row r="42" customFormat="false" ht="15" hidden="false" customHeight="false" outlineLevel="0" collapsed="false">
      <c r="A42" s="26" t="str">
        <f aca="false">IF(INDEX(res_Name,41)="","",INDEX(res_Name,41)&amp;"")</f>
        <v/>
      </c>
      <c r="B42" s="26" t="str">
        <f aca="false">IF(INDEX(res_Initials,41)="","",INDEX(res_Initials,41)&amp;"")</f>
        <v/>
      </c>
      <c r="C42" s="26" t="str">
        <f aca="false">IF(INDEX(res_Group,41)="","",INDEX(res_Group,41)&amp;"")</f>
        <v/>
      </c>
      <c r="D42" s="26" t="str">
        <f aca="false">IF(INDEX(res_Type,41)="","",INDEX(res_Type,41)&amp;"")</f>
        <v/>
      </c>
      <c r="E42" s="26" t="str">
        <f aca="false">IF(INDEX(res_Name,41)="","",ROUND(INDEX(res_MaxUnits,41)*100,0)&amp;"%")</f>
        <v/>
      </c>
      <c r="F42" s="26" t="str">
        <f aca="false">IF(INDEX(res_Name,41)="","",INDEX(res_Rate,41)&amp;"/h")</f>
        <v/>
      </c>
      <c r="G42" s="26" t="str">
        <f aca="false">IF(INDEX(res_Email,41)="","",INDEX(res_Email,41)&amp;"")</f>
        <v/>
      </c>
    </row>
    <row r="43" customFormat="false" ht="15" hidden="false" customHeight="false" outlineLevel="0" collapsed="false">
      <c r="A43" s="26" t="str">
        <f aca="false">IF(INDEX(res_Name,42)="","",INDEX(res_Name,42)&amp;"")</f>
        <v/>
      </c>
      <c r="B43" s="26" t="str">
        <f aca="false">IF(INDEX(res_Initials,42)="","",INDEX(res_Initials,42)&amp;"")</f>
        <v/>
      </c>
      <c r="C43" s="26" t="str">
        <f aca="false">IF(INDEX(res_Group,42)="","",INDEX(res_Group,42)&amp;"")</f>
        <v/>
      </c>
      <c r="D43" s="26" t="str">
        <f aca="false">IF(INDEX(res_Type,42)="","",INDEX(res_Type,42)&amp;"")</f>
        <v/>
      </c>
      <c r="E43" s="26" t="str">
        <f aca="false">IF(INDEX(res_Name,42)="","",ROUND(INDEX(res_MaxUnits,42)*100,0)&amp;"%")</f>
        <v/>
      </c>
      <c r="F43" s="26" t="str">
        <f aca="false">IF(INDEX(res_Name,42)="","",INDEX(res_Rate,42)&amp;"/h")</f>
        <v/>
      </c>
      <c r="G43" s="26" t="str">
        <f aca="false">IF(INDEX(res_Email,42)="","",INDEX(res_Email,42)&amp;"")</f>
        <v/>
      </c>
    </row>
    <row r="44" customFormat="false" ht="15" hidden="false" customHeight="false" outlineLevel="0" collapsed="false">
      <c r="A44" s="26" t="str">
        <f aca="false">IF(INDEX(res_Name,43)="","",INDEX(res_Name,43)&amp;"")</f>
        <v/>
      </c>
      <c r="B44" s="26" t="str">
        <f aca="false">IF(INDEX(res_Initials,43)="","",INDEX(res_Initials,43)&amp;"")</f>
        <v/>
      </c>
      <c r="C44" s="26" t="str">
        <f aca="false">IF(INDEX(res_Group,43)="","",INDEX(res_Group,43)&amp;"")</f>
        <v/>
      </c>
      <c r="D44" s="26" t="str">
        <f aca="false">IF(INDEX(res_Type,43)="","",INDEX(res_Type,43)&amp;"")</f>
        <v/>
      </c>
      <c r="E44" s="26" t="str">
        <f aca="false">IF(INDEX(res_Name,43)="","",ROUND(INDEX(res_MaxUnits,43)*100,0)&amp;"%")</f>
        <v/>
      </c>
      <c r="F44" s="26" t="str">
        <f aca="false">IF(INDEX(res_Name,43)="","",INDEX(res_Rate,43)&amp;"/h")</f>
        <v/>
      </c>
      <c r="G44" s="26" t="str">
        <f aca="false">IF(INDEX(res_Email,43)="","",INDEX(res_Email,43)&amp;"")</f>
        <v/>
      </c>
    </row>
    <row r="45" customFormat="false" ht="15" hidden="false" customHeight="false" outlineLevel="0" collapsed="false">
      <c r="A45" s="26" t="str">
        <f aca="false">IF(INDEX(res_Name,44)="","",INDEX(res_Name,44)&amp;"")</f>
        <v/>
      </c>
      <c r="B45" s="26" t="str">
        <f aca="false">IF(INDEX(res_Initials,44)="","",INDEX(res_Initials,44)&amp;"")</f>
        <v/>
      </c>
      <c r="C45" s="26" t="str">
        <f aca="false">IF(INDEX(res_Group,44)="","",INDEX(res_Group,44)&amp;"")</f>
        <v/>
      </c>
      <c r="D45" s="26" t="str">
        <f aca="false">IF(INDEX(res_Type,44)="","",INDEX(res_Type,44)&amp;"")</f>
        <v/>
      </c>
      <c r="E45" s="26" t="str">
        <f aca="false">IF(INDEX(res_Name,44)="","",ROUND(INDEX(res_MaxUnits,44)*100,0)&amp;"%")</f>
        <v/>
      </c>
      <c r="F45" s="26" t="str">
        <f aca="false">IF(INDEX(res_Name,44)="","",INDEX(res_Rate,44)&amp;"/h")</f>
        <v/>
      </c>
      <c r="G45" s="26" t="str">
        <f aca="false">IF(INDEX(res_Email,44)="","",INDEX(res_Email,44)&amp;"")</f>
        <v/>
      </c>
    </row>
    <row r="46" customFormat="false" ht="15" hidden="false" customHeight="false" outlineLevel="0" collapsed="false">
      <c r="A46" s="26" t="str">
        <f aca="false">IF(INDEX(res_Name,45)="","",INDEX(res_Name,45)&amp;"")</f>
        <v/>
      </c>
      <c r="B46" s="26" t="str">
        <f aca="false">IF(INDEX(res_Initials,45)="","",INDEX(res_Initials,45)&amp;"")</f>
        <v/>
      </c>
      <c r="C46" s="26" t="str">
        <f aca="false">IF(INDEX(res_Group,45)="","",INDEX(res_Group,45)&amp;"")</f>
        <v/>
      </c>
      <c r="D46" s="26" t="str">
        <f aca="false">IF(INDEX(res_Type,45)="","",INDEX(res_Type,45)&amp;"")</f>
        <v/>
      </c>
      <c r="E46" s="26" t="str">
        <f aca="false">IF(INDEX(res_Name,45)="","",ROUND(INDEX(res_MaxUnits,45)*100,0)&amp;"%")</f>
        <v/>
      </c>
      <c r="F46" s="26" t="str">
        <f aca="false">IF(INDEX(res_Name,45)="","",INDEX(res_Rate,45)&amp;"/h")</f>
        <v/>
      </c>
      <c r="G46" s="26" t="str">
        <f aca="false">IF(INDEX(res_Email,45)="","",INDEX(res_Email,45)&amp;"")</f>
        <v/>
      </c>
    </row>
    <row r="47" customFormat="false" ht="15" hidden="false" customHeight="false" outlineLevel="0" collapsed="false">
      <c r="A47" s="26" t="str">
        <f aca="false">IF(INDEX(res_Name,46)="","",INDEX(res_Name,46)&amp;"")</f>
        <v/>
      </c>
      <c r="B47" s="26" t="str">
        <f aca="false">IF(INDEX(res_Initials,46)="","",INDEX(res_Initials,46)&amp;"")</f>
        <v/>
      </c>
      <c r="C47" s="26" t="str">
        <f aca="false">IF(INDEX(res_Group,46)="","",INDEX(res_Group,46)&amp;"")</f>
        <v/>
      </c>
      <c r="D47" s="26" t="str">
        <f aca="false">IF(INDEX(res_Type,46)="","",INDEX(res_Type,46)&amp;"")</f>
        <v/>
      </c>
      <c r="E47" s="26" t="str">
        <f aca="false">IF(INDEX(res_Name,46)="","",ROUND(INDEX(res_MaxUnits,46)*100,0)&amp;"%")</f>
        <v/>
      </c>
      <c r="F47" s="26" t="str">
        <f aca="false">IF(INDEX(res_Name,46)="","",INDEX(res_Rate,46)&amp;"/h")</f>
        <v/>
      </c>
      <c r="G47" s="26" t="str">
        <f aca="false">IF(INDEX(res_Email,46)="","",INDEX(res_Email,46)&amp;"")</f>
        <v/>
      </c>
    </row>
    <row r="48" customFormat="false" ht="15" hidden="false" customHeight="false" outlineLevel="0" collapsed="false">
      <c r="A48" s="26" t="str">
        <f aca="false">IF(INDEX(res_Name,47)="","",INDEX(res_Name,47)&amp;"")</f>
        <v/>
      </c>
      <c r="B48" s="26" t="str">
        <f aca="false">IF(INDEX(res_Initials,47)="","",INDEX(res_Initials,47)&amp;"")</f>
        <v/>
      </c>
      <c r="C48" s="26" t="str">
        <f aca="false">IF(INDEX(res_Group,47)="","",INDEX(res_Group,47)&amp;"")</f>
        <v/>
      </c>
      <c r="D48" s="26" t="str">
        <f aca="false">IF(INDEX(res_Type,47)="","",INDEX(res_Type,47)&amp;"")</f>
        <v/>
      </c>
      <c r="E48" s="26" t="str">
        <f aca="false">IF(INDEX(res_Name,47)="","",ROUND(INDEX(res_MaxUnits,47)*100,0)&amp;"%")</f>
        <v/>
      </c>
      <c r="F48" s="26" t="str">
        <f aca="false">IF(INDEX(res_Name,47)="","",INDEX(res_Rate,47)&amp;"/h")</f>
        <v/>
      </c>
      <c r="G48" s="26" t="str">
        <f aca="false">IF(INDEX(res_Email,47)="","",INDEX(res_Email,47)&amp;"")</f>
        <v/>
      </c>
    </row>
    <row r="49" customFormat="false" ht="15" hidden="false" customHeight="false" outlineLevel="0" collapsed="false">
      <c r="A49" s="26" t="str">
        <f aca="false">IF(INDEX(res_Name,48)="","",INDEX(res_Name,48)&amp;"")</f>
        <v/>
      </c>
      <c r="B49" s="26" t="str">
        <f aca="false">IF(INDEX(res_Initials,48)="","",INDEX(res_Initials,48)&amp;"")</f>
        <v/>
      </c>
      <c r="C49" s="26" t="str">
        <f aca="false">IF(INDEX(res_Group,48)="","",INDEX(res_Group,48)&amp;"")</f>
        <v/>
      </c>
      <c r="D49" s="26" t="str">
        <f aca="false">IF(INDEX(res_Type,48)="","",INDEX(res_Type,48)&amp;"")</f>
        <v/>
      </c>
      <c r="E49" s="26" t="str">
        <f aca="false">IF(INDEX(res_Name,48)="","",ROUND(INDEX(res_MaxUnits,48)*100,0)&amp;"%")</f>
        <v/>
      </c>
      <c r="F49" s="26" t="str">
        <f aca="false">IF(INDEX(res_Name,48)="","",INDEX(res_Rate,48)&amp;"/h")</f>
        <v/>
      </c>
      <c r="G49" s="26" t="str">
        <f aca="false">IF(INDEX(res_Email,48)="","",INDEX(res_Email,48)&amp;"")</f>
        <v/>
      </c>
    </row>
    <row r="50" customFormat="false" ht="15" hidden="false" customHeight="false" outlineLevel="0" collapsed="false">
      <c r="A50" s="26" t="str">
        <f aca="false">IF(INDEX(res_Name,49)="","",INDEX(res_Name,49)&amp;"")</f>
        <v/>
      </c>
      <c r="B50" s="26" t="str">
        <f aca="false">IF(INDEX(res_Initials,49)="","",INDEX(res_Initials,49)&amp;"")</f>
        <v/>
      </c>
      <c r="C50" s="26" t="str">
        <f aca="false">IF(INDEX(res_Group,49)="","",INDEX(res_Group,49)&amp;"")</f>
        <v/>
      </c>
      <c r="D50" s="26" t="str">
        <f aca="false">IF(INDEX(res_Type,49)="","",INDEX(res_Type,49)&amp;"")</f>
        <v/>
      </c>
      <c r="E50" s="26" t="str">
        <f aca="false">IF(INDEX(res_Name,49)="","",ROUND(INDEX(res_MaxUnits,49)*100,0)&amp;"%")</f>
        <v/>
      </c>
      <c r="F50" s="26" t="str">
        <f aca="false">IF(INDEX(res_Name,49)="","",INDEX(res_Rate,49)&amp;"/h")</f>
        <v/>
      </c>
      <c r="G50" s="26" t="str">
        <f aca="false">IF(INDEX(res_Email,49)="","",INDEX(res_Email,49)&amp;"")</f>
        <v/>
      </c>
    </row>
    <row r="51" customFormat="false" ht="15" hidden="false" customHeight="false" outlineLevel="0" collapsed="false">
      <c r="A51" s="26" t="str">
        <f aca="false">IF(INDEX(res_Name,50)="","",INDEX(res_Name,50)&amp;"")</f>
        <v/>
      </c>
      <c r="B51" s="26" t="str">
        <f aca="false">IF(INDEX(res_Initials,50)="","",INDEX(res_Initials,50)&amp;"")</f>
        <v/>
      </c>
      <c r="C51" s="26" t="str">
        <f aca="false">IF(INDEX(res_Group,50)="","",INDEX(res_Group,50)&amp;"")</f>
        <v/>
      </c>
      <c r="D51" s="26" t="str">
        <f aca="false">IF(INDEX(res_Type,50)="","",INDEX(res_Type,50)&amp;"")</f>
        <v/>
      </c>
      <c r="E51" s="26" t="str">
        <f aca="false">IF(INDEX(res_Name,50)="","",ROUND(INDEX(res_MaxUnits,50)*100,0)&amp;"%")</f>
        <v/>
      </c>
      <c r="F51" s="26" t="str">
        <f aca="false">IF(INDEX(res_Name,50)="","",INDEX(res_Rate,50)&amp;"/h")</f>
        <v/>
      </c>
      <c r="G51" s="26" t="str">
        <f aca="false">IF(INDEX(res_Email,50)="","",INDEX(res_Email,50)&amp;"")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9" t="s">
        <v>360</v>
      </c>
      <c r="B1" s="9" t="s">
        <v>361</v>
      </c>
      <c r="C1" s="9" t="s">
        <v>362</v>
      </c>
      <c r="D1" s="9" t="s">
        <v>363</v>
      </c>
      <c r="E1" s="9" t="s">
        <v>364</v>
      </c>
    </row>
    <row r="2" customFormat="false" ht="15" hidden="false" customHeight="false" outlineLevel="0" collapsed="false">
      <c r="A2" s="26" t="s">
        <v>210</v>
      </c>
      <c r="B2" s="26" t="s">
        <v>205</v>
      </c>
      <c r="C2" s="26" t="s">
        <v>102</v>
      </c>
      <c r="D2" s="26" t="s">
        <v>292</v>
      </c>
      <c r="E2" s="26" t="n">
        <v>1</v>
      </c>
    </row>
    <row r="3" customFormat="false" ht="15" hidden="false" customHeight="false" outlineLevel="0" collapsed="false">
      <c r="A3" s="26" t="s">
        <v>217</v>
      </c>
      <c r="B3" s="26" t="s">
        <v>252</v>
      </c>
      <c r="C3" s="26" t="s">
        <v>123</v>
      </c>
      <c r="D3" s="26" t="s">
        <v>365</v>
      </c>
      <c r="E3" s="26" t="n">
        <v>7</v>
      </c>
    </row>
    <row r="4" customFormat="false" ht="15" hidden="false" customHeight="false" outlineLevel="0" collapsed="false">
      <c r="A4" s="26" t="s">
        <v>237</v>
      </c>
      <c r="D4" s="26" t="s">
        <v>183</v>
      </c>
    </row>
    <row r="5" customFormat="false" ht="15" hidden="false" customHeight="false" outlineLevel="0" collapsed="false">
      <c r="A5" s="26" t="s">
        <v>366</v>
      </c>
    </row>
    <row r="8" customFormat="false" ht="15" hidden="false" customHeight="false" outlineLevel="0" collapsed="false">
      <c r="A8" s="73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2026-10-25T19:06:30Z</dcterms:created>
  <dc:creator>openpyxl</dc:creator>
  <dc:description/>
  <dc:language>en-US</dc:language>
  <cp:lastModifiedBy/>
  <dcterms:modified xsi:type="dcterms:W3CDTF">2026-10-25T19:06:39Z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